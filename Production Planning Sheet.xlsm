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AB Associates\Lucy Electric\PP Sheet\New folder\"/>
    </mc:Choice>
  </mc:AlternateContent>
  <xr:revisionPtr revIDLastSave="0" documentId="13_ncr:1_{AD5031CB-E227-4954-9C0B-50771BB311D1}" xr6:coauthVersionLast="47" xr6:coauthVersionMax="47" xr10:uidLastSave="{00000000-0000-0000-0000-000000000000}"/>
  <bookViews>
    <workbookView xWindow="-108" yWindow="-108" windowWidth="23256" windowHeight="12456" activeTab="3" xr2:uid="{3773FE86-203F-44DB-963B-7E77A000EA2D}"/>
  </bookViews>
  <sheets>
    <sheet name="Dashboard" sheetId="7" r:id="rId1"/>
    <sheet name="Planning Sheet" sheetId="6" r:id="rId2"/>
    <sheet name="Weeks Plan" sheetId="5" r:id="rId3"/>
    <sheet name="Job Master" sheetId="4" r:id="rId4"/>
  </sheets>
  <definedNames>
    <definedName name="_xlnm._FilterDatabase" localSheetId="1" hidden="1">'Planning Sheet'!$B$7:$DX$500</definedName>
    <definedName name="_xlnm.Criteria" localSheetId="1">'Planning Sheet'!#REF!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E13" i="7" l="1"/>
  <c r="AC8" i="7" a="1"/>
  <c r="AC8" i="7" s="1"/>
  <c r="AZ17" i="6"/>
  <c r="AA5" i="7"/>
  <c r="AH6" i="7" s="1"/>
  <c r="AS500" i="6"/>
  <c r="AR500" i="6"/>
  <c r="AS499" i="6"/>
  <c r="AR499" i="6"/>
  <c r="AS498" i="6"/>
  <c r="AR498" i="6"/>
  <c r="AS497" i="6"/>
  <c r="AR497" i="6"/>
  <c r="AS496" i="6"/>
  <c r="AR496" i="6"/>
  <c r="AS495" i="6"/>
  <c r="AR495" i="6"/>
  <c r="AS494" i="6"/>
  <c r="AR494" i="6"/>
  <c r="AS493" i="6"/>
  <c r="AR493" i="6"/>
  <c r="AS492" i="6"/>
  <c r="AR492" i="6"/>
  <c r="AS491" i="6"/>
  <c r="AR491" i="6"/>
  <c r="AS490" i="6"/>
  <c r="AR490" i="6"/>
  <c r="AS489" i="6"/>
  <c r="AR489" i="6"/>
  <c r="AS488" i="6"/>
  <c r="AR488" i="6"/>
  <c r="AS487" i="6"/>
  <c r="AR487" i="6"/>
  <c r="AS486" i="6"/>
  <c r="AR486" i="6"/>
  <c r="AS485" i="6"/>
  <c r="AR485" i="6"/>
  <c r="AS484" i="6"/>
  <c r="AR484" i="6"/>
  <c r="AS483" i="6"/>
  <c r="AR483" i="6"/>
  <c r="AS482" i="6"/>
  <c r="AR482" i="6"/>
  <c r="AS481" i="6"/>
  <c r="AR481" i="6"/>
  <c r="AS480" i="6"/>
  <c r="AR480" i="6"/>
  <c r="AS479" i="6"/>
  <c r="AR479" i="6"/>
  <c r="AS478" i="6"/>
  <c r="AR478" i="6"/>
  <c r="AS477" i="6"/>
  <c r="AR477" i="6"/>
  <c r="AS476" i="6"/>
  <c r="AR476" i="6"/>
  <c r="AS475" i="6"/>
  <c r="AR475" i="6"/>
  <c r="AS474" i="6"/>
  <c r="AR474" i="6"/>
  <c r="AS473" i="6"/>
  <c r="AR473" i="6"/>
  <c r="AS472" i="6"/>
  <c r="AR472" i="6"/>
  <c r="AS471" i="6"/>
  <c r="AR471" i="6"/>
  <c r="AS470" i="6"/>
  <c r="AR470" i="6"/>
  <c r="AS469" i="6"/>
  <c r="AR469" i="6"/>
  <c r="AS468" i="6"/>
  <c r="AR468" i="6"/>
  <c r="AS467" i="6"/>
  <c r="AR467" i="6"/>
  <c r="AS466" i="6"/>
  <c r="AR466" i="6"/>
  <c r="AS465" i="6"/>
  <c r="AR465" i="6"/>
  <c r="AS464" i="6"/>
  <c r="AR464" i="6"/>
  <c r="AS463" i="6"/>
  <c r="AR463" i="6"/>
  <c r="AS462" i="6"/>
  <c r="AR462" i="6"/>
  <c r="AS461" i="6"/>
  <c r="AR461" i="6"/>
  <c r="AS460" i="6"/>
  <c r="AR460" i="6"/>
  <c r="AS459" i="6"/>
  <c r="AR459" i="6"/>
  <c r="AS458" i="6"/>
  <c r="AR458" i="6"/>
  <c r="AS457" i="6"/>
  <c r="AR457" i="6"/>
  <c r="AS456" i="6"/>
  <c r="AR456" i="6"/>
  <c r="AS455" i="6"/>
  <c r="AR455" i="6"/>
  <c r="AS454" i="6"/>
  <c r="AR454" i="6"/>
  <c r="AS453" i="6"/>
  <c r="AR453" i="6"/>
  <c r="AS452" i="6"/>
  <c r="AR452" i="6"/>
  <c r="AS451" i="6"/>
  <c r="AR451" i="6"/>
  <c r="AS450" i="6"/>
  <c r="AR450" i="6"/>
  <c r="AS449" i="6"/>
  <c r="AR449" i="6"/>
  <c r="AS448" i="6"/>
  <c r="AR448" i="6"/>
  <c r="AS447" i="6"/>
  <c r="AR447" i="6"/>
  <c r="AS446" i="6"/>
  <c r="AR446" i="6"/>
  <c r="AS445" i="6"/>
  <c r="AR445" i="6"/>
  <c r="AS444" i="6"/>
  <c r="AR444" i="6"/>
  <c r="AS443" i="6"/>
  <c r="AR443" i="6"/>
  <c r="AS442" i="6"/>
  <c r="AR442" i="6"/>
  <c r="AS441" i="6"/>
  <c r="AR441" i="6"/>
  <c r="AS440" i="6"/>
  <c r="AR440" i="6"/>
  <c r="AS439" i="6"/>
  <c r="AR439" i="6"/>
  <c r="AS438" i="6"/>
  <c r="AR438" i="6"/>
  <c r="AS437" i="6"/>
  <c r="AR437" i="6"/>
  <c r="AS436" i="6"/>
  <c r="AR436" i="6"/>
  <c r="AS435" i="6"/>
  <c r="AR435" i="6"/>
  <c r="AS434" i="6"/>
  <c r="AR434" i="6"/>
  <c r="AS433" i="6"/>
  <c r="AR433" i="6"/>
  <c r="AS432" i="6"/>
  <c r="AR432" i="6"/>
  <c r="AS431" i="6"/>
  <c r="AR431" i="6"/>
  <c r="AS430" i="6"/>
  <c r="AR430" i="6"/>
  <c r="AS429" i="6"/>
  <c r="AR429" i="6"/>
  <c r="AS428" i="6"/>
  <c r="AR428" i="6"/>
  <c r="AS427" i="6"/>
  <c r="AR427" i="6"/>
  <c r="AS426" i="6"/>
  <c r="AR426" i="6"/>
  <c r="AS425" i="6"/>
  <c r="AR425" i="6"/>
  <c r="AS424" i="6"/>
  <c r="AR424" i="6"/>
  <c r="AS423" i="6"/>
  <c r="AR423" i="6"/>
  <c r="AS422" i="6"/>
  <c r="AR422" i="6"/>
  <c r="AS421" i="6"/>
  <c r="AR421" i="6"/>
  <c r="AS420" i="6"/>
  <c r="AR420" i="6"/>
  <c r="AS419" i="6"/>
  <c r="AR419" i="6"/>
  <c r="AS418" i="6"/>
  <c r="AR418" i="6"/>
  <c r="AS417" i="6"/>
  <c r="AR417" i="6"/>
  <c r="AS416" i="6"/>
  <c r="AR416" i="6"/>
  <c r="AS415" i="6"/>
  <c r="AR415" i="6"/>
  <c r="AS414" i="6"/>
  <c r="AR414" i="6"/>
  <c r="AS413" i="6"/>
  <c r="AR413" i="6"/>
  <c r="AS412" i="6"/>
  <c r="AR412" i="6"/>
  <c r="AS411" i="6"/>
  <c r="AR411" i="6"/>
  <c r="AS410" i="6"/>
  <c r="AR410" i="6"/>
  <c r="AS409" i="6"/>
  <c r="AR409" i="6"/>
  <c r="AS408" i="6"/>
  <c r="AR408" i="6"/>
  <c r="AS407" i="6"/>
  <c r="AR407" i="6"/>
  <c r="AS406" i="6"/>
  <c r="AR406" i="6"/>
  <c r="AS405" i="6"/>
  <c r="AR405" i="6"/>
  <c r="AS404" i="6"/>
  <c r="AR404" i="6"/>
  <c r="AS403" i="6"/>
  <c r="AR403" i="6"/>
  <c r="AS402" i="6"/>
  <c r="AR402" i="6"/>
  <c r="AS401" i="6"/>
  <c r="AR401" i="6"/>
  <c r="AS400" i="6"/>
  <c r="AR400" i="6"/>
  <c r="AS399" i="6"/>
  <c r="AR399" i="6"/>
  <c r="AS398" i="6"/>
  <c r="AR398" i="6"/>
  <c r="AS397" i="6"/>
  <c r="AR397" i="6"/>
  <c r="AS396" i="6"/>
  <c r="AR396" i="6"/>
  <c r="AS395" i="6"/>
  <c r="AR395" i="6"/>
  <c r="AS394" i="6"/>
  <c r="AR394" i="6"/>
  <c r="AS393" i="6"/>
  <c r="AR393" i="6"/>
  <c r="AS392" i="6"/>
  <c r="AR392" i="6"/>
  <c r="AS391" i="6"/>
  <c r="AR391" i="6"/>
  <c r="AS390" i="6"/>
  <c r="AR390" i="6"/>
  <c r="AS389" i="6"/>
  <c r="AR389" i="6"/>
  <c r="AS388" i="6"/>
  <c r="AR388" i="6"/>
  <c r="AS387" i="6"/>
  <c r="AR387" i="6"/>
  <c r="AS386" i="6"/>
  <c r="AR386" i="6"/>
  <c r="AS385" i="6"/>
  <c r="AR385" i="6"/>
  <c r="AS384" i="6"/>
  <c r="AR384" i="6"/>
  <c r="AS383" i="6"/>
  <c r="AR383" i="6"/>
  <c r="AS382" i="6"/>
  <c r="AR382" i="6"/>
  <c r="AS381" i="6"/>
  <c r="AR381" i="6"/>
  <c r="AS380" i="6"/>
  <c r="AR380" i="6"/>
  <c r="AS379" i="6"/>
  <c r="AR379" i="6"/>
  <c r="AS378" i="6"/>
  <c r="AR378" i="6"/>
  <c r="AS377" i="6"/>
  <c r="AR377" i="6"/>
  <c r="AS376" i="6"/>
  <c r="AR376" i="6"/>
  <c r="AS375" i="6"/>
  <c r="AR375" i="6"/>
  <c r="AS374" i="6"/>
  <c r="AR374" i="6"/>
  <c r="AS373" i="6"/>
  <c r="AR373" i="6"/>
  <c r="AS372" i="6"/>
  <c r="AR372" i="6"/>
  <c r="AS371" i="6"/>
  <c r="AR371" i="6"/>
  <c r="AS370" i="6"/>
  <c r="AR370" i="6"/>
  <c r="AS369" i="6"/>
  <c r="AR369" i="6"/>
  <c r="AS368" i="6"/>
  <c r="AR368" i="6"/>
  <c r="AS367" i="6"/>
  <c r="AR367" i="6"/>
  <c r="AS366" i="6"/>
  <c r="AR366" i="6"/>
  <c r="AS365" i="6"/>
  <c r="AR365" i="6"/>
  <c r="AS364" i="6"/>
  <c r="AR364" i="6"/>
  <c r="AS363" i="6"/>
  <c r="AR363" i="6"/>
  <c r="AS362" i="6"/>
  <c r="AR362" i="6"/>
  <c r="AS361" i="6"/>
  <c r="AR361" i="6"/>
  <c r="AS360" i="6"/>
  <c r="AR360" i="6"/>
  <c r="AS359" i="6"/>
  <c r="AR359" i="6"/>
  <c r="AS358" i="6"/>
  <c r="AR358" i="6"/>
  <c r="AS357" i="6"/>
  <c r="AR357" i="6"/>
  <c r="AS356" i="6"/>
  <c r="AR356" i="6"/>
  <c r="AS355" i="6"/>
  <c r="AR355" i="6"/>
  <c r="AS354" i="6"/>
  <c r="AR354" i="6"/>
  <c r="AS353" i="6"/>
  <c r="AR353" i="6"/>
  <c r="AS352" i="6"/>
  <c r="AR352" i="6"/>
  <c r="AS351" i="6"/>
  <c r="AR351" i="6"/>
  <c r="AS350" i="6"/>
  <c r="AR350" i="6"/>
  <c r="AS349" i="6"/>
  <c r="AR349" i="6"/>
  <c r="AS348" i="6"/>
  <c r="AR348" i="6"/>
  <c r="AS347" i="6"/>
  <c r="AR347" i="6"/>
  <c r="AS346" i="6"/>
  <c r="AR346" i="6"/>
  <c r="AS345" i="6"/>
  <c r="AR345" i="6"/>
  <c r="AS344" i="6"/>
  <c r="AR344" i="6"/>
  <c r="AS343" i="6"/>
  <c r="AR343" i="6"/>
  <c r="AS342" i="6"/>
  <c r="AR342" i="6"/>
  <c r="AS341" i="6"/>
  <c r="AR341" i="6"/>
  <c r="AS340" i="6"/>
  <c r="AR340" i="6"/>
  <c r="AS339" i="6"/>
  <c r="AR339" i="6"/>
  <c r="AS338" i="6"/>
  <c r="AR338" i="6"/>
  <c r="AS337" i="6"/>
  <c r="AR337" i="6"/>
  <c r="AS336" i="6"/>
  <c r="AR336" i="6"/>
  <c r="AS335" i="6"/>
  <c r="AR335" i="6"/>
  <c r="AS334" i="6"/>
  <c r="AR334" i="6"/>
  <c r="AS333" i="6"/>
  <c r="AR333" i="6"/>
  <c r="AS332" i="6"/>
  <c r="AR332" i="6"/>
  <c r="AS331" i="6"/>
  <c r="AR331" i="6"/>
  <c r="AS330" i="6"/>
  <c r="AR330" i="6"/>
  <c r="AS329" i="6"/>
  <c r="AR329" i="6"/>
  <c r="AS328" i="6"/>
  <c r="AR328" i="6"/>
  <c r="AS327" i="6"/>
  <c r="AR327" i="6"/>
  <c r="AS326" i="6"/>
  <c r="AR326" i="6"/>
  <c r="AS325" i="6"/>
  <c r="AR325" i="6"/>
  <c r="AS324" i="6"/>
  <c r="AR324" i="6"/>
  <c r="AS323" i="6"/>
  <c r="AR323" i="6"/>
  <c r="AS322" i="6"/>
  <c r="AR322" i="6"/>
  <c r="AS321" i="6"/>
  <c r="AR321" i="6"/>
  <c r="AS320" i="6"/>
  <c r="AR320" i="6"/>
  <c r="AS319" i="6"/>
  <c r="AR319" i="6"/>
  <c r="AS318" i="6"/>
  <c r="AR318" i="6"/>
  <c r="AS317" i="6"/>
  <c r="AR317" i="6"/>
  <c r="AS316" i="6"/>
  <c r="AR316" i="6"/>
  <c r="AS315" i="6"/>
  <c r="AR315" i="6"/>
  <c r="AS314" i="6"/>
  <c r="AR314" i="6"/>
  <c r="AS313" i="6"/>
  <c r="AR313" i="6"/>
  <c r="AS312" i="6"/>
  <c r="AR312" i="6"/>
  <c r="AS311" i="6"/>
  <c r="AR311" i="6"/>
  <c r="AS310" i="6"/>
  <c r="AR310" i="6"/>
  <c r="AS309" i="6"/>
  <c r="AR309" i="6"/>
  <c r="AS308" i="6"/>
  <c r="AR308" i="6"/>
  <c r="AS307" i="6"/>
  <c r="AR307" i="6"/>
  <c r="AS306" i="6"/>
  <c r="AR306" i="6"/>
  <c r="AS305" i="6"/>
  <c r="AR305" i="6"/>
  <c r="AS304" i="6"/>
  <c r="AR304" i="6"/>
  <c r="AS303" i="6"/>
  <c r="AR303" i="6"/>
  <c r="AS302" i="6"/>
  <c r="AR302" i="6"/>
  <c r="AS301" i="6"/>
  <c r="AR301" i="6"/>
  <c r="AS300" i="6"/>
  <c r="AR300" i="6"/>
  <c r="AS299" i="6"/>
  <c r="AR299" i="6"/>
  <c r="AS298" i="6"/>
  <c r="AR298" i="6"/>
  <c r="AS297" i="6"/>
  <c r="AR297" i="6"/>
  <c r="AS296" i="6"/>
  <c r="AR296" i="6"/>
  <c r="AS295" i="6"/>
  <c r="AR295" i="6"/>
  <c r="AS294" i="6"/>
  <c r="AR294" i="6"/>
  <c r="AS293" i="6"/>
  <c r="AR293" i="6"/>
  <c r="AS292" i="6"/>
  <c r="AR292" i="6"/>
  <c r="AS291" i="6"/>
  <c r="AR291" i="6"/>
  <c r="AS290" i="6"/>
  <c r="AR290" i="6"/>
  <c r="AS289" i="6"/>
  <c r="AR289" i="6"/>
  <c r="AS288" i="6"/>
  <c r="AR288" i="6"/>
  <c r="AS287" i="6"/>
  <c r="AR287" i="6"/>
  <c r="AS286" i="6"/>
  <c r="AR286" i="6"/>
  <c r="AS285" i="6"/>
  <c r="AR285" i="6"/>
  <c r="AS284" i="6"/>
  <c r="AR284" i="6"/>
  <c r="AS283" i="6"/>
  <c r="AR283" i="6"/>
  <c r="AS282" i="6"/>
  <c r="AR282" i="6"/>
  <c r="AS281" i="6"/>
  <c r="AR281" i="6"/>
  <c r="AS280" i="6"/>
  <c r="AR280" i="6"/>
  <c r="AS279" i="6"/>
  <c r="AR279" i="6"/>
  <c r="AS278" i="6"/>
  <c r="AR278" i="6"/>
  <c r="AS277" i="6"/>
  <c r="AR277" i="6"/>
  <c r="AS276" i="6"/>
  <c r="AR276" i="6"/>
  <c r="AS275" i="6"/>
  <c r="AR275" i="6"/>
  <c r="AS274" i="6"/>
  <c r="AR274" i="6"/>
  <c r="AS273" i="6"/>
  <c r="AR273" i="6"/>
  <c r="AS272" i="6"/>
  <c r="AR272" i="6"/>
  <c r="AS271" i="6"/>
  <c r="AR271" i="6"/>
  <c r="AS270" i="6"/>
  <c r="AR270" i="6"/>
  <c r="AS269" i="6"/>
  <c r="AR269" i="6"/>
  <c r="AS268" i="6"/>
  <c r="AR268" i="6"/>
  <c r="AS267" i="6"/>
  <c r="AR267" i="6"/>
  <c r="AS266" i="6"/>
  <c r="AR266" i="6"/>
  <c r="AS265" i="6"/>
  <c r="AR265" i="6"/>
  <c r="AS264" i="6"/>
  <c r="AR264" i="6"/>
  <c r="AS263" i="6"/>
  <c r="AR263" i="6"/>
  <c r="AS262" i="6"/>
  <c r="AR262" i="6"/>
  <c r="AS261" i="6"/>
  <c r="AR261" i="6"/>
  <c r="AS260" i="6"/>
  <c r="AR260" i="6"/>
  <c r="AS259" i="6"/>
  <c r="AR259" i="6"/>
  <c r="AS258" i="6"/>
  <c r="AR258" i="6"/>
  <c r="AS257" i="6"/>
  <c r="AR257" i="6"/>
  <c r="AS256" i="6"/>
  <c r="AR256" i="6"/>
  <c r="AS255" i="6"/>
  <c r="AR255" i="6"/>
  <c r="AS254" i="6"/>
  <c r="AR254" i="6"/>
  <c r="AS253" i="6"/>
  <c r="AR253" i="6"/>
  <c r="AS252" i="6"/>
  <c r="AR252" i="6"/>
  <c r="AS251" i="6"/>
  <c r="AR251" i="6"/>
  <c r="AS250" i="6"/>
  <c r="AR250" i="6"/>
  <c r="AS249" i="6"/>
  <c r="AR249" i="6"/>
  <c r="AS248" i="6"/>
  <c r="AR248" i="6"/>
  <c r="AS247" i="6"/>
  <c r="AR247" i="6"/>
  <c r="AS246" i="6"/>
  <c r="AR246" i="6"/>
  <c r="AS245" i="6"/>
  <c r="AR245" i="6"/>
  <c r="AS244" i="6"/>
  <c r="AR244" i="6"/>
  <c r="AS243" i="6"/>
  <c r="AR243" i="6"/>
  <c r="AS242" i="6"/>
  <c r="AR242" i="6"/>
  <c r="AS241" i="6"/>
  <c r="AR241" i="6"/>
  <c r="AS240" i="6"/>
  <c r="AR240" i="6"/>
  <c r="AS239" i="6"/>
  <c r="AR239" i="6"/>
  <c r="AS238" i="6"/>
  <c r="AR238" i="6"/>
  <c r="AS237" i="6"/>
  <c r="AR237" i="6"/>
  <c r="AS236" i="6"/>
  <c r="AR236" i="6"/>
  <c r="AS235" i="6"/>
  <c r="AR235" i="6"/>
  <c r="AS234" i="6"/>
  <c r="AR234" i="6"/>
  <c r="AS233" i="6"/>
  <c r="AR233" i="6"/>
  <c r="AS232" i="6"/>
  <c r="AR232" i="6"/>
  <c r="AS231" i="6"/>
  <c r="AR231" i="6"/>
  <c r="AS230" i="6"/>
  <c r="AR230" i="6"/>
  <c r="AS229" i="6"/>
  <c r="AR229" i="6"/>
  <c r="AS228" i="6"/>
  <c r="AR228" i="6"/>
  <c r="AS227" i="6"/>
  <c r="AR227" i="6"/>
  <c r="AS226" i="6"/>
  <c r="AR226" i="6"/>
  <c r="AS225" i="6"/>
  <c r="AR225" i="6"/>
  <c r="AS224" i="6"/>
  <c r="AR224" i="6"/>
  <c r="AS223" i="6"/>
  <c r="AR223" i="6"/>
  <c r="AS222" i="6"/>
  <c r="AR222" i="6"/>
  <c r="AS221" i="6"/>
  <c r="AR221" i="6"/>
  <c r="AS220" i="6"/>
  <c r="AR220" i="6"/>
  <c r="AS219" i="6"/>
  <c r="AR219" i="6"/>
  <c r="AS218" i="6"/>
  <c r="AR218" i="6"/>
  <c r="AS217" i="6"/>
  <c r="AR217" i="6"/>
  <c r="AS216" i="6"/>
  <c r="AR216" i="6"/>
  <c r="AS215" i="6"/>
  <c r="AR215" i="6"/>
  <c r="AS214" i="6"/>
  <c r="AR214" i="6"/>
  <c r="AS213" i="6"/>
  <c r="AR213" i="6"/>
  <c r="AS212" i="6"/>
  <c r="AR212" i="6"/>
  <c r="AS211" i="6"/>
  <c r="AR211" i="6"/>
  <c r="AS210" i="6"/>
  <c r="AR210" i="6"/>
  <c r="AS209" i="6"/>
  <c r="AR209" i="6"/>
  <c r="AS208" i="6"/>
  <c r="AR208" i="6"/>
  <c r="AS207" i="6"/>
  <c r="AR207" i="6"/>
  <c r="AS206" i="6"/>
  <c r="AR206" i="6"/>
  <c r="AS205" i="6"/>
  <c r="AR205" i="6"/>
  <c r="AS204" i="6"/>
  <c r="AR204" i="6"/>
  <c r="AS203" i="6"/>
  <c r="AR203" i="6"/>
  <c r="AS202" i="6"/>
  <c r="AR202" i="6"/>
  <c r="AS201" i="6"/>
  <c r="AR201" i="6"/>
  <c r="AS200" i="6"/>
  <c r="AR200" i="6"/>
  <c r="AS199" i="6"/>
  <c r="AR199" i="6"/>
  <c r="AS198" i="6"/>
  <c r="AR198" i="6"/>
  <c r="AS197" i="6"/>
  <c r="AR197" i="6"/>
  <c r="AS196" i="6"/>
  <c r="AR196" i="6"/>
  <c r="AS195" i="6"/>
  <c r="AR195" i="6"/>
  <c r="AS194" i="6"/>
  <c r="AR194" i="6"/>
  <c r="AS193" i="6"/>
  <c r="AR193" i="6"/>
  <c r="AS192" i="6"/>
  <c r="AR192" i="6"/>
  <c r="AS191" i="6"/>
  <c r="AR191" i="6"/>
  <c r="AS190" i="6"/>
  <c r="AR190" i="6"/>
  <c r="AS189" i="6"/>
  <c r="AR189" i="6"/>
  <c r="AS188" i="6"/>
  <c r="AR188" i="6"/>
  <c r="AS187" i="6"/>
  <c r="AR187" i="6"/>
  <c r="AS186" i="6"/>
  <c r="AR186" i="6"/>
  <c r="AS185" i="6"/>
  <c r="AR185" i="6"/>
  <c r="AS184" i="6"/>
  <c r="AR184" i="6"/>
  <c r="AS183" i="6"/>
  <c r="AR183" i="6"/>
  <c r="AS182" i="6"/>
  <c r="AR182" i="6"/>
  <c r="AS181" i="6"/>
  <c r="AR181" i="6"/>
  <c r="AS180" i="6"/>
  <c r="AR180" i="6"/>
  <c r="AS179" i="6"/>
  <c r="AR179" i="6"/>
  <c r="AS178" i="6"/>
  <c r="AR178" i="6"/>
  <c r="AS177" i="6"/>
  <c r="AR177" i="6"/>
  <c r="AS176" i="6"/>
  <c r="AR176" i="6"/>
  <c r="AS175" i="6"/>
  <c r="AR175" i="6"/>
  <c r="AS174" i="6"/>
  <c r="AR174" i="6"/>
  <c r="AS173" i="6"/>
  <c r="AR173" i="6"/>
  <c r="AS172" i="6"/>
  <c r="AR172" i="6"/>
  <c r="AS171" i="6"/>
  <c r="AR171" i="6"/>
  <c r="AS170" i="6"/>
  <c r="AR170" i="6"/>
  <c r="AS169" i="6"/>
  <c r="AR169" i="6"/>
  <c r="AS168" i="6"/>
  <c r="AR168" i="6"/>
  <c r="AS167" i="6"/>
  <c r="AR167" i="6"/>
  <c r="AS166" i="6"/>
  <c r="AR166" i="6"/>
  <c r="AS165" i="6"/>
  <c r="AR165" i="6"/>
  <c r="AS164" i="6"/>
  <c r="AR164" i="6"/>
  <c r="AS163" i="6"/>
  <c r="AR163" i="6"/>
  <c r="AS162" i="6"/>
  <c r="AR162" i="6"/>
  <c r="AS161" i="6"/>
  <c r="AR161" i="6"/>
  <c r="AS160" i="6"/>
  <c r="AR160" i="6"/>
  <c r="AS159" i="6"/>
  <c r="AR159" i="6"/>
  <c r="AS158" i="6"/>
  <c r="AR158" i="6"/>
  <c r="AS157" i="6"/>
  <c r="AR157" i="6"/>
  <c r="AS156" i="6"/>
  <c r="AR156" i="6"/>
  <c r="AS155" i="6"/>
  <c r="AR155" i="6"/>
  <c r="AS154" i="6"/>
  <c r="AR154" i="6"/>
  <c r="AS153" i="6"/>
  <c r="AR153" i="6"/>
  <c r="AS152" i="6"/>
  <c r="AR152" i="6"/>
  <c r="AS151" i="6"/>
  <c r="AR151" i="6"/>
  <c r="AS150" i="6"/>
  <c r="AR150" i="6"/>
  <c r="AS149" i="6"/>
  <c r="AR149" i="6"/>
  <c r="AS148" i="6"/>
  <c r="AR148" i="6"/>
  <c r="AS147" i="6"/>
  <c r="AR147" i="6"/>
  <c r="AS146" i="6"/>
  <c r="AR146" i="6"/>
  <c r="AS145" i="6"/>
  <c r="AR145" i="6"/>
  <c r="AS144" i="6"/>
  <c r="AR144" i="6"/>
  <c r="AS143" i="6"/>
  <c r="AR143" i="6"/>
  <c r="AS142" i="6"/>
  <c r="AR142" i="6"/>
  <c r="AS141" i="6"/>
  <c r="AR141" i="6"/>
  <c r="AS140" i="6"/>
  <c r="AR140" i="6"/>
  <c r="AS139" i="6"/>
  <c r="AR139" i="6"/>
  <c r="AS138" i="6"/>
  <c r="AR138" i="6"/>
  <c r="AS137" i="6"/>
  <c r="AR137" i="6"/>
  <c r="AS136" i="6"/>
  <c r="AR136" i="6"/>
  <c r="AS135" i="6"/>
  <c r="AR135" i="6"/>
  <c r="AS134" i="6"/>
  <c r="AR134" i="6"/>
  <c r="AS133" i="6"/>
  <c r="AR133" i="6"/>
  <c r="AS132" i="6"/>
  <c r="AR132" i="6"/>
  <c r="AS131" i="6"/>
  <c r="AR131" i="6"/>
  <c r="AS130" i="6"/>
  <c r="AR130" i="6"/>
  <c r="AS129" i="6"/>
  <c r="AR129" i="6"/>
  <c r="AS128" i="6"/>
  <c r="AR128" i="6"/>
  <c r="AS127" i="6"/>
  <c r="AR127" i="6"/>
  <c r="AS126" i="6"/>
  <c r="AR126" i="6"/>
  <c r="AS125" i="6"/>
  <c r="AR125" i="6"/>
  <c r="AS124" i="6"/>
  <c r="AR124" i="6"/>
  <c r="AS123" i="6"/>
  <c r="AR123" i="6"/>
  <c r="AS122" i="6"/>
  <c r="AR122" i="6"/>
  <c r="AS121" i="6"/>
  <c r="AR121" i="6"/>
  <c r="AS120" i="6"/>
  <c r="AR120" i="6"/>
  <c r="AS119" i="6"/>
  <c r="AR119" i="6"/>
  <c r="AS118" i="6"/>
  <c r="AR118" i="6"/>
  <c r="AS117" i="6"/>
  <c r="AR117" i="6"/>
  <c r="AS116" i="6"/>
  <c r="AR116" i="6"/>
  <c r="AS115" i="6"/>
  <c r="AR115" i="6"/>
  <c r="AS114" i="6"/>
  <c r="AR114" i="6"/>
  <c r="AS113" i="6"/>
  <c r="AR113" i="6"/>
  <c r="AS112" i="6"/>
  <c r="AR112" i="6"/>
  <c r="AS111" i="6"/>
  <c r="AR111" i="6"/>
  <c r="AS110" i="6"/>
  <c r="AR110" i="6"/>
  <c r="AS109" i="6"/>
  <c r="AR109" i="6"/>
  <c r="AS108" i="6"/>
  <c r="AR108" i="6"/>
  <c r="AS107" i="6"/>
  <c r="AR107" i="6"/>
  <c r="AS106" i="6"/>
  <c r="AR106" i="6"/>
  <c r="AS105" i="6"/>
  <c r="AR105" i="6"/>
  <c r="AS104" i="6"/>
  <c r="AR104" i="6"/>
  <c r="AS103" i="6"/>
  <c r="AR103" i="6"/>
  <c r="AS102" i="6"/>
  <c r="AR102" i="6"/>
  <c r="AS101" i="6"/>
  <c r="AR101" i="6"/>
  <c r="AS100" i="6"/>
  <c r="AR100" i="6"/>
  <c r="AS99" i="6"/>
  <c r="AR99" i="6"/>
  <c r="AS98" i="6"/>
  <c r="AR98" i="6"/>
  <c r="AS97" i="6"/>
  <c r="AR97" i="6"/>
  <c r="AS96" i="6"/>
  <c r="AR96" i="6"/>
  <c r="AS95" i="6"/>
  <c r="AR95" i="6"/>
  <c r="AS94" i="6"/>
  <c r="AR94" i="6"/>
  <c r="AS93" i="6"/>
  <c r="AR93" i="6"/>
  <c r="AS92" i="6"/>
  <c r="AR92" i="6"/>
  <c r="AS91" i="6"/>
  <c r="AR91" i="6"/>
  <c r="AS90" i="6"/>
  <c r="AR90" i="6"/>
  <c r="AS89" i="6"/>
  <c r="AR89" i="6"/>
  <c r="AS88" i="6"/>
  <c r="AR88" i="6"/>
  <c r="AS87" i="6"/>
  <c r="AR87" i="6"/>
  <c r="AS86" i="6"/>
  <c r="AR86" i="6"/>
  <c r="AS85" i="6"/>
  <c r="AR85" i="6"/>
  <c r="AS84" i="6"/>
  <c r="AR84" i="6"/>
  <c r="AS83" i="6"/>
  <c r="AR83" i="6"/>
  <c r="AS82" i="6"/>
  <c r="AR82" i="6"/>
  <c r="AS81" i="6"/>
  <c r="AR81" i="6"/>
  <c r="AS80" i="6"/>
  <c r="AR80" i="6"/>
  <c r="AS79" i="6"/>
  <c r="AR79" i="6"/>
  <c r="AS78" i="6"/>
  <c r="AR78" i="6"/>
  <c r="AS77" i="6"/>
  <c r="AR77" i="6"/>
  <c r="AS76" i="6"/>
  <c r="AR76" i="6"/>
  <c r="AS75" i="6"/>
  <c r="AR75" i="6"/>
  <c r="AS74" i="6"/>
  <c r="AR74" i="6"/>
  <c r="AS73" i="6"/>
  <c r="AR73" i="6"/>
  <c r="AS72" i="6"/>
  <c r="AR72" i="6"/>
  <c r="AS71" i="6"/>
  <c r="AR71" i="6"/>
  <c r="AS70" i="6"/>
  <c r="AR70" i="6"/>
  <c r="AS69" i="6"/>
  <c r="AR69" i="6"/>
  <c r="AS68" i="6"/>
  <c r="AR68" i="6"/>
  <c r="AS67" i="6"/>
  <c r="AR67" i="6"/>
  <c r="AS66" i="6"/>
  <c r="AR66" i="6"/>
  <c r="AS65" i="6"/>
  <c r="AR65" i="6"/>
  <c r="AS64" i="6"/>
  <c r="AR64" i="6"/>
  <c r="AS63" i="6"/>
  <c r="AR63" i="6"/>
  <c r="AS62" i="6"/>
  <c r="AR62" i="6"/>
  <c r="AS61" i="6"/>
  <c r="AR61" i="6"/>
  <c r="AS60" i="6"/>
  <c r="AR60" i="6"/>
  <c r="AS59" i="6"/>
  <c r="AR59" i="6"/>
  <c r="AS58" i="6"/>
  <c r="AR58" i="6"/>
  <c r="AS57" i="6"/>
  <c r="AR57" i="6"/>
  <c r="AS56" i="6"/>
  <c r="AR56" i="6"/>
  <c r="AS55" i="6"/>
  <c r="AR55" i="6"/>
  <c r="AS54" i="6"/>
  <c r="AR54" i="6"/>
  <c r="AS53" i="6"/>
  <c r="AR53" i="6"/>
  <c r="AS52" i="6"/>
  <c r="AR52" i="6"/>
  <c r="AS51" i="6"/>
  <c r="AR51" i="6"/>
  <c r="AS50" i="6"/>
  <c r="AR50" i="6"/>
  <c r="AS49" i="6"/>
  <c r="AR49" i="6"/>
  <c r="AS48" i="6"/>
  <c r="AR48" i="6"/>
  <c r="AS47" i="6"/>
  <c r="AR47" i="6"/>
  <c r="AS46" i="6"/>
  <c r="AR46" i="6"/>
  <c r="AS45" i="6"/>
  <c r="AR45" i="6"/>
  <c r="AS44" i="6"/>
  <c r="AR44" i="6"/>
  <c r="AS43" i="6"/>
  <c r="AR43" i="6"/>
  <c r="AS42" i="6"/>
  <c r="AR42" i="6"/>
  <c r="AS41" i="6"/>
  <c r="AR41" i="6"/>
  <c r="AS40" i="6"/>
  <c r="AR40" i="6"/>
  <c r="AS39" i="6"/>
  <c r="AR39" i="6"/>
  <c r="AS38" i="6"/>
  <c r="AR38" i="6"/>
  <c r="AS37" i="6"/>
  <c r="AR37" i="6"/>
  <c r="AS36" i="6"/>
  <c r="AR36" i="6"/>
  <c r="AS35" i="6"/>
  <c r="AR35" i="6"/>
  <c r="AS34" i="6"/>
  <c r="AR34" i="6"/>
  <c r="AS33" i="6"/>
  <c r="AR33" i="6"/>
  <c r="AS32" i="6"/>
  <c r="AR32" i="6"/>
  <c r="AS31" i="6"/>
  <c r="AR31" i="6"/>
  <c r="AS30" i="6"/>
  <c r="AR30" i="6"/>
  <c r="AS29" i="6"/>
  <c r="AR29" i="6"/>
  <c r="AS28" i="6"/>
  <c r="AR28" i="6"/>
  <c r="AS27" i="6"/>
  <c r="AR27" i="6"/>
  <c r="AS26" i="6"/>
  <c r="AR26" i="6"/>
  <c r="AS25" i="6"/>
  <c r="AR25" i="6"/>
  <c r="AS24" i="6"/>
  <c r="AR24" i="6"/>
  <c r="AS23" i="6"/>
  <c r="AR23" i="6"/>
  <c r="AS22" i="6"/>
  <c r="AR22" i="6"/>
  <c r="AS21" i="6"/>
  <c r="AR21" i="6"/>
  <c r="AS20" i="6"/>
  <c r="AR20" i="6"/>
  <c r="AS19" i="6"/>
  <c r="AR19" i="6"/>
  <c r="AS18" i="6"/>
  <c r="AR18" i="6"/>
  <c r="AS17" i="6"/>
  <c r="AR17" i="6"/>
  <c r="AS16" i="6"/>
  <c r="AR16" i="6"/>
  <c r="AS15" i="6"/>
  <c r="AR15" i="6"/>
  <c r="AS14" i="6"/>
  <c r="AR14" i="6"/>
  <c r="AS13" i="6"/>
  <c r="AR13" i="6"/>
  <c r="AS12" i="6"/>
  <c r="AR12" i="6"/>
  <c r="AS11" i="6"/>
  <c r="AR11" i="6"/>
  <c r="AS10" i="6"/>
  <c r="AR10" i="6"/>
  <c r="AS9" i="6"/>
  <c r="AR9" i="6"/>
  <c r="AS8" i="6"/>
  <c r="AR8" i="6"/>
  <c r="AZ500" i="6"/>
  <c r="AY500" i="6"/>
  <c r="AZ499" i="6"/>
  <c r="AY499" i="6"/>
  <c r="AZ498" i="6"/>
  <c r="AY498" i="6"/>
  <c r="AZ497" i="6"/>
  <c r="AY497" i="6"/>
  <c r="AZ496" i="6"/>
  <c r="AY496" i="6"/>
  <c r="AZ495" i="6"/>
  <c r="AY495" i="6"/>
  <c r="AZ494" i="6"/>
  <c r="AY494" i="6"/>
  <c r="AZ493" i="6"/>
  <c r="AY493" i="6"/>
  <c r="AZ492" i="6"/>
  <c r="AY492" i="6"/>
  <c r="AZ491" i="6"/>
  <c r="AY491" i="6"/>
  <c r="AZ490" i="6"/>
  <c r="AY490" i="6"/>
  <c r="AZ489" i="6"/>
  <c r="AY489" i="6"/>
  <c r="AZ488" i="6"/>
  <c r="AY488" i="6"/>
  <c r="AZ487" i="6"/>
  <c r="AY487" i="6"/>
  <c r="AZ486" i="6"/>
  <c r="AY486" i="6"/>
  <c r="AZ485" i="6"/>
  <c r="AY485" i="6"/>
  <c r="AZ484" i="6"/>
  <c r="AY484" i="6"/>
  <c r="AZ483" i="6"/>
  <c r="AY483" i="6"/>
  <c r="AZ482" i="6"/>
  <c r="AY482" i="6"/>
  <c r="AZ481" i="6"/>
  <c r="AY481" i="6"/>
  <c r="AZ480" i="6"/>
  <c r="AY480" i="6"/>
  <c r="AZ479" i="6"/>
  <c r="AY479" i="6"/>
  <c r="AZ478" i="6"/>
  <c r="AY478" i="6"/>
  <c r="AZ477" i="6"/>
  <c r="AY477" i="6"/>
  <c r="AZ476" i="6"/>
  <c r="AY476" i="6"/>
  <c r="AZ475" i="6"/>
  <c r="AY475" i="6"/>
  <c r="AZ474" i="6"/>
  <c r="AY474" i="6"/>
  <c r="AZ473" i="6"/>
  <c r="AY473" i="6"/>
  <c r="AZ472" i="6"/>
  <c r="AY472" i="6"/>
  <c r="AZ471" i="6"/>
  <c r="AY471" i="6"/>
  <c r="AZ470" i="6"/>
  <c r="AY470" i="6"/>
  <c r="AZ469" i="6"/>
  <c r="AY469" i="6"/>
  <c r="AZ468" i="6"/>
  <c r="AY468" i="6"/>
  <c r="AZ467" i="6"/>
  <c r="AY467" i="6"/>
  <c r="AZ466" i="6"/>
  <c r="AY466" i="6"/>
  <c r="AZ465" i="6"/>
  <c r="AY465" i="6"/>
  <c r="AZ464" i="6"/>
  <c r="AY464" i="6"/>
  <c r="AZ463" i="6"/>
  <c r="AY463" i="6"/>
  <c r="AZ462" i="6"/>
  <c r="AY462" i="6"/>
  <c r="AZ461" i="6"/>
  <c r="AY461" i="6"/>
  <c r="AZ460" i="6"/>
  <c r="AY460" i="6"/>
  <c r="AZ459" i="6"/>
  <c r="AY459" i="6"/>
  <c r="AZ458" i="6"/>
  <c r="AY458" i="6"/>
  <c r="AZ457" i="6"/>
  <c r="AY457" i="6"/>
  <c r="AZ456" i="6"/>
  <c r="AY456" i="6"/>
  <c r="AZ455" i="6"/>
  <c r="AY455" i="6"/>
  <c r="AZ454" i="6"/>
  <c r="AY454" i="6"/>
  <c r="AZ453" i="6"/>
  <c r="AY453" i="6"/>
  <c r="AZ452" i="6"/>
  <c r="AY452" i="6"/>
  <c r="AZ451" i="6"/>
  <c r="AY451" i="6"/>
  <c r="AZ450" i="6"/>
  <c r="AY450" i="6"/>
  <c r="AZ449" i="6"/>
  <c r="AY449" i="6"/>
  <c r="AZ448" i="6"/>
  <c r="AY448" i="6"/>
  <c r="AZ447" i="6"/>
  <c r="AY447" i="6"/>
  <c r="AZ446" i="6"/>
  <c r="AY446" i="6"/>
  <c r="AZ445" i="6"/>
  <c r="AY445" i="6"/>
  <c r="AZ444" i="6"/>
  <c r="AY444" i="6"/>
  <c r="AZ443" i="6"/>
  <c r="AY443" i="6"/>
  <c r="AZ442" i="6"/>
  <c r="AY442" i="6"/>
  <c r="AZ441" i="6"/>
  <c r="AY441" i="6"/>
  <c r="AZ440" i="6"/>
  <c r="AY440" i="6"/>
  <c r="AZ439" i="6"/>
  <c r="AY439" i="6"/>
  <c r="AZ438" i="6"/>
  <c r="AY438" i="6"/>
  <c r="AZ437" i="6"/>
  <c r="AY437" i="6"/>
  <c r="AZ436" i="6"/>
  <c r="AY436" i="6"/>
  <c r="AZ435" i="6"/>
  <c r="AY435" i="6"/>
  <c r="AZ434" i="6"/>
  <c r="AY434" i="6"/>
  <c r="AZ433" i="6"/>
  <c r="AY433" i="6"/>
  <c r="AZ432" i="6"/>
  <c r="AY432" i="6"/>
  <c r="AZ431" i="6"/>
  <c r="AY431" i="6"/>
  <c r="AZ430" i="6"/>
  <c r="AY430" i="6"/>
  <c r="AZ429" i="6"/>
  <c r="AY429" i="6"/>
  <c r="AZ428" i="6"/>
  <c r="AY428" i="6"/>
  <c r="AZ427" i="6"/>
  <c r="AY427" i="6"/>
  <c r="AZ426" i="6"/>
  <c r="AY426" i="6"/>
  <c r="AZ425" i="6"/>
  <c r="AY425" i="6"/>
  <c r="AZ424" i="6"/>
  <c r="AY424" i="6"/>
  <c r="AZ423" i="6"/>
  <c r="AY423" i="6"/>
  <c r="AZ422" i="6"/>
  <c r="AY422" i="6"/>
  <c r="AZ421" i="6"/>
  <c r="AY421" i="6"/>
  <c r="AZ420" i="6"/>
  <c r="AY420" i="6"/>
  <c r="AZ419" i="6"/>
  <c r="AY419" i="6"/>
  <c r="AZ418" i="6"/>
  <c r="AY418" i="6"/>
  <c r="AZ417" i="6"/>
  <c r="AY417" i="6"/>
  <c r="AZ416" i="6"/>
  <c r="AY416" i="6"/>
  <c r="AZ415" i="6"/>
  <c r="AY415" i="6"/>
  <c r="AZ414" i="6"/>
  <c r="AY414" i="6"/>
  <c r="AZ413" i="6"/>
  <c r="AY413" i="6"/>
  <c r="AZ412" i="6"/>
  <c r="AY412" i="6"/>
  <c r="AZ411" i="6"/>
  <c r="AY411" i="6"/>
  <c r="AZ410" i="6"/>
  <c r="AY410" i="6"/>
  <c r="AZ409" i="6"/>
  <c r="AY409" i="6"/>
  <c r="AZ408" i="6"/>
  <c r="AY408" i="6"/>
  <c r="AZ407" i="6"/>
  <c r="AY407" i="6"/>
  <c r="AZ406" i="6"/>
  <c r="AY406" i="6"/>
  <c r="AZ405" i="6"/>
  <c r="AY405" i="6"/>
  <c r="AZ404" i="6"/>
  <c r="AY404" i="6"/>
  <c r="AZ403" i="6"/>
  <c r="AY403" i="6"/>
  <c r="AZ402" i="6"/>
  <c r="AY402" i="6"/>
  <c r="AZ401" i="6"/>
  <c r="AY401" i="6"/>
  <c r="AZ400" i="6"/>
  <c r="AY400" i="6"/>
  <c r="AZ399" i="6"/>
  <c r="AY399" i="6"/>
  <c r="AZ398" i="6"/>
  <c r="AY398" i="6"/>
  <c r="AZ397" i="6"/>
  <c r="AY397" i="6"/>
  <c r="AZ396" i="6"/>
  <c r="AY396" i="6"/>
  <c r="AZ395" i="6"/>
  <c r="AY395" i="6"/>
  <c r="AZ394" i="6"/>
  <c r="AY394" i="6"/>
  <c r="AZ393" i="6"/>
  <c r="AY393" i="6"/>
  <c r="AZ392" i="6"/>
  <c r="AY392" i="6"/>
  <c r="AZ391" i="6"/>
  <c r="AY391" i="6"/>
  <c r="AZ390" i="6"/>
  <c r="AY390" i="6"/>
  <c r="AZ389" i="6"/>
  <c r="AY389" i="6"/>
  <c r="AZ388" i="6"/>
  <c r="AY388" i="6"/>
  <c r="AZ387" i="6"/>
  <c r="AY387" i="6"/>
  <c r="AZ386" i="6"/>
  <c r="AY386" i="6"/>
  <c r="AZ385" i="6"/>
  <c r="AY385" i="6"/>
  <c r="AZ384" i="6"/>
  <c r="AY384" i="6"/>
  <c r="AZ383" i="6"/>
  <c r="AY383" i="6"/>
  <c r="AZ382" i="6"/>
  <c r="AY382" i="6"/>
  <c r="AZ381" i="6"/>
  <c r="AY381" i="6"/>
  <c r="AZ380" i="6"/>
  <c r="AY380" i="6"/>
  <c r="AZ379" i="6"/>
  <c r="AY379" i="6"/>
  <c r="AZ378" i="6"/>
  <c r="AY378" i="6"/>
  <c r="AZ377" i="6"/>
  <c r="AY377" i="6"/>
  <c r="AZ376" i="6"/>
  <c r="AY376" i="6"/>
  <c r="AZ375" i="6"/>
  <c r="AY375" i="6"/>
  <c r="AZ374" i="6"/>
  <c r="AY374" i="6"/>
  <c r="AZ373" i="6"/>
  <c r="AY373" i="6"/>
  <c r="AZ372" i="6"/>
  <c r="AY372" i="6"/>
  <c r="AZ371" i="6"/>
  <c r="AY371" i="6"/>
  <c r="AZ370" i="6"/>
  <c r="AY370" i="6"/>
  <c r="AZ369" i="6"/>
  <c r="AY369" i="6"/>
  <c r="AZ368" i="6"/>
  <c r="AY368" i="6"/>
  <c r="AZ367" i="6"/>
  <c r="AY367" i="6"/>
  <c r="AZ366" i="6"/>
  <c r="AY366" i="6"/>
  <c r="AZ365" i="6"/>
  <c r="AY365" i="6"/>
  <c r="AZ364" i="6"/>
  <c r="AY364" i="6"/>
  <c r="AZ363" i="6"/>
  <c r="AY363" i="6"/>
  <c r="AZ362" i="6"/>
  <c r="AY362" i="6"/>
  <c r="AZ361" i="6"/>
  <c r="AY361" i="6"/>
  <c r="AZ360" i="6"/>
  <c r="AY360" i="6"/>
  <c r="AZ359" i="6"/>
  <c r="AY359" i="6"/>
  <c r="AZ358" i="6"/>
  <c r="AY358" i="6"/>
  <c r="AZ357" i="6"/>
  <c r="AY357" i="6"/>
  <c r="AZ356" i="6"/>
  <c r="AY356" i="6"/>
  <c r="AZ355" i="6"/>
  <c r="AY355" i="6"/>
  <c r="AZ354" i="6"/>
  <c r="AY354" i="6"/>
  <c r="AZ353" i="6"/>
  <c r="AY353" i="6"/>
  <c r="AZ352" i="6"/>
  <c r="AY352" i="6"/>
  <c r="AZ351" i="6"/>
  <c r="AY351" i="6"/>
  <c r="AZ350" i="6"/>
  <c r="AY350" i="6"/>
  <c r="AZ349" i="6"/>
  <c r="AY349" i="6"/>
  <c r="AZ348" i="6"/>
  <c r="AY348" i="6"/>
  <c r="AZ347" i="6"/>
  <c r="AY347" i="6"/>
  <c r="AZ346" i="6"/>
  <c r="AY346" i="6"/>
  <c r="AZ345" i="6"/>
  <c r="AY345" i="6"/>
  <c r="AZ344" i="6"/>
  <c r="AY344" i="6"/>
  <c r="AZ343" i="6"/>
  <c r="AY343" i="6"/>
  <c r="AZ342" i="6"/>
  <c r="AY342" i="6"/>
  <c r="AZ341" i="6"/>
  <c r="AY341" i="6"/>
  <c r="AZ340" i="6"/>
  <c r="AY340" i="6"/>
  <c r="AZ339" i="6"/>
  <c r="AY339" i="6"/>
  <c r="AZ338" i="6"/>
  <c r="AY338" i="6"/>
  <c r="AZ337" i="6"/>
  <c r="AY337" i="6"/>
  <c r="AZ336" i="6"/>
  <c r="AY336" i="6"/>
  <c r="AZ335" i="6"/>
  <c r="AY335" i="6"/>
  <c r="AZ334" i="6"/>
  <c r="AY334" i="6"/>
  <c r="AZ333" i="6"/>
  <c r="AY333" i="6"/>
  <c r="AZ332" i="6"/>
  <c r="AY332" i="6"/>
  <c r="AZ331" i="6"/>
  <c r="AY331" i="6"/>
  <c r="AZ330" i="6"/>
  <c r="AY330" i="6"/>
  <c r="AZ329" i="6"/>
  <c r="AY329" i="6"/>
  <c r="AZ328" i="6"/>
  <c r="AY328" i="6"/>
  <c r="AZ327" i="6"/>
  <c r="AY327" i="6"/>
  <c r="AZ326" i="6"/>
  <c r="AY326" i="6"/>
  <c r="AZ325" i="6"/>
  <c r="AY325" i="6"/>
  <c r="AZ324" i="6"/>
  <c r="AY324" i="6"/>
  <c r="AZ323" i="6"/>
  <c r="AY323" i="6"/>
  <c r="AZ322" i="6"/>
  <c r="AY322" i="6"/>
  <c r="AZ321" i="6"/>
  <c r="AY321" i="6"/>
  <c r="AZ320" i="6"/>
  <c r="AY320" i="6"/>
  <c r="AZ319" i="6"/>
  <c r="AY319" i="6"/>
  <c r="AZ318" i="6"/>
  <c r="AY318" i="6"/>
  <c r="AZ317" i="6"/>
  <c r="AY317" i="6"/>
  <c r="AZ316" i="6"/>
  <c r="AY316" i="6"/>
  <c r="AZ315" i="6"/>
  <c r="AY315" i="6"/>
  <c r="AZ314" i="6"/>
  <c r="AY314" i="6"/>
  <c r="AZ313" i="6"/>
  <c r="AY313" i="6"/>
  <c r="AZ312" i="6"/>
  <c r="AY312" i="6"/>
  <c r="AZ311" i="6"/>
  <c r="AY311" i="6"/>
  <c r="AZ310" i="6"/>
  <c r="AY310" i="6"/>
  <c r="AZ309" i="6"/>
  <c r="AY309" i="6"/>
  <c r="AZ308" i="6"/>
  <c r="AY308" i="6"/>
  <c r="AZ307" i="6"/>
  <c r="AY307" i="6"/>
  <c r="AZ306" i="6"/>
  <c r="AY306" i="6"/>
  <c r="AZ305" i="6"/>
  <c r="AY305" i="6"/>
  <c r="AZ304" i="6"/>
  <c r="AY304" i="6"/>
  <c r="AZ303" i="6"/>
  <c r="AY303" i="6"/>
  <c r="AZ302" i="6"/>
  <c r="AY302" i="6"/>
  <c r="AZ301" i="6"/>
  <c r="AY301" i="6"/>
  <c r="AZ300" i="6"/>
  <c r="AY300" i="6"/>
  <c r="AZ299" i="6"/>
  <c r="AY299" i="6"/>
  <c r="AZ298" i="6"/>
  <c r="AY298" i="6"/>
  <c r="AZ297" i="6"/>
  <c r="AY297" i="6"/>
  <c r="AZ296" i="6"/>
  <c r="AY296" i="6"/>
  <c r="AZ295" i="6"/>
  <c r="AY295" i="6"/>
  <c r="AZ294" i="6"/>
  <c r="AY294" i="6"/>
  <c r="AZ293" i="6"/>
  <c r="AY293" i="6"/>
  <c r="AZ292" i="6"/>
  <c r="AY292" i="6"/>
  <c r="AZ291" i="6"/>
  <c r="AY291" i="6"/>
  <c r="AZ290" i="6"/>
  <c r="AY290" i="6"/>
  <c r="AZ289" i="6"/>
  <c r="AY289" i="6"/>
  <c r="AZ288" i="6"/>
  <c r="AY288" i="6"/>
  <c r="AZ287" i="6"/>
  <c r="AY287" i="6"/>
  <c r="AZ286" i="6"/>
  <c r="AY286" i="6"/>
  <c r="AZ285" i="6"/>
  <c r="AY285" i="6"/>
  <c r="AZ284" i="6"/>
  <c r="AY284" i="6"/>
  <c r="AZ283" i="6"/>
  <c r="AY283" i="6"/>
  <c r="AZ282" i="6"/>
  <c r="AY282" i="6"/>
  <c r="AZ281" i="6"/>
  <c r="AY281" i="6"/>
  <c r="AZ280" i="6"/>
  <c r="AY280" i="6"/>
  <c r="AZ279" i="6"/>
  <c r="AY279" i="6"/>
  <c r="AZ278" i="6"/>
  <c r="AY278" i="6"/>
  <c r="AZ277" i="6"/>
  <c r="AY277" i="6"/>
  <c r="AZ276" i="6"/>
  <c r="AY276" i="6"/>
  <c r="AZ275" i="6"/>
  <c r="AY275" i="6"/>
  <c r="AZ274" i="6"/>
  <c r="AY274" i="6"/>
  <c r="AZ273" i="6"/>
  <c r="AY273" i="6"/>
  <c r="AZ272" i="6"/>
  <c r="AY272" i="6"/>
  <c r="AZ271" i="6"/>
  <c r="AY271" i="6"/>
  <c r="AZ270" i="6"/>
  <c r="AY270" i="6"/>
  <c r="AZ269" i="6"/>
  <c r="AY269" i="6"/>
  <c r="AZ268" i="6"/>
  <c r="AY268" i="6"/>
  <c r="AZ267" i="6"/>
  <c r="AY267" i="6"/>
  <c r="AZ266" i="6"/>
  <c r="AY266" i="6"/>
  <c r="AZ265" i="6"/>
  <c r="AY265" i="6"/>
  <c r="AZ264" i="6"/>
  <c r="AY264" i="6"/>
  <c r="AZ263" i="6"/>
  <c r="AY263" i="6"/>
  <c r="AZ262" i="6"/>
  <c r="AY262" i="6"/>
  <c r="AZ261" i="6"/>
  <c r="AY261" i="6"/>
  <c r="AZ260" i="6"/>
  <c r="AY260" i="6"/>
  <c r="AZ259" i="6"/>
  <c r="AY259" i="6"/>
  <c r="AZ258" i="6"/>
  <c r="AY258" i="6"/>
  <c r="AZ257" i="6"/>
  <c r="AY257" i="6"/>
  <c r="AZ256" i="6"/>
  <c r="AY256" i="6"/>
  <c r="AZ255" i="6"/>
  <c r="AY255" i="6"/>
  <c r="AZ254" i="6"/>
  <c r="AY254" i="6"/>
  <c r="AZ253" i="6"/>
  <c r="AY253" i="6"/>
  <c r="AZ252" i="6"/>
  <c r="AY252" i="6"/>
  <c r="AZ251" i="6"/>
  <c r="AY251" i="6"/>
  <c r="AZ250" i="6"/>
  <c r="AY250" i="6"/>
  <c r="AZ249" i="6"/>
  <c r="AY249" i="6"/>
  <c r="AZ248" i="6"/>
  <c r="AY248" i="6"/>
  <c r="AZ247" i="6"/>
  <c r="AY247" i="6"/>
  <c r="AZ246" i="6"/>
  <c r="AY246" i="6"/>
  <c r="AZ245" i="6"/>
  <c r="AY245" i="6"/>
  <c r="AZ244" i="6"/>
  <c r="AY244" i="6"/>
  <c r="AZ243" i="6"/>
  <c r="AY243" i="6"/>
  <c r="AZ242" i="6"/>
  <c r="AY242" i="6"/>
  <c r="AZ241" i="6"/>
  <c r="AY241" i="6"/>
  <c r="AZ240" i="6"/>
  <c r="AY240" i="6"/>
  <c r="AZ239" i="6"/>
  <c r="AY239" i="6"/>
  <c r="AZ238" i="6"/>
  <c r="AY238" i="6"/>
  <c r="AZ237" i="6"/>
  <c r="AY237" i="6"/>
  <c r="AZ236" i="6"/>
  <c r="AY236" i="6"/>
  <c r="AZ235" i="6"/>
  <c r="AY235" i="6"/>
  <c r="AZ234" i="6"/>
  <c r="AY234" i="6"/>
  <c r="AZ233" i="6"/>
  <c r="AY233" i="6"/>
  <c r="AZ232" i="6"/>
  <c r="AY232" i="6"/>
  <c r="AZ231" i="6"/>
  <c r="AY231" i="6"/>
  <c r="AZ230" i="6"/>
  <c r="AY230" i="6"/>
  <c r="AZ229" i="6"/>
  <c r="AY229" i="6"/>
  <c r="AZ228" i="6"/>
  <c r="AY228" i="6"/>
  <c r="AZ227" i="6"/>
  <c r="AY227" i="6"/>
  <c r="AZ226" i="6"/>
  <c r="AY226" i="6"/>
  <c r="AZ225" i="6"/>
  <c r="AY225" i="6"/>
  <c r="AZ224" i="6"/>
  <c r="AY224" i="6"/>
  <c r="AZ223" i="6"/>
  <c r="AY223" i="6"/>
  <c r="AZ222" i="6"/>
  <c r="AY222" i="6"/>
  <c r="AZ221" i="6"/>
  <c r="AY221" i="6"/>
  <c r="AZ220" i="6"/>
  <c r="AY220" i="6"/>
  <c r="AZ219" i="6"/>
  <c r="AY219" i="6"/>
  <c r="AZ218" i="6"/>
  <c r="AY218" i="6"/>
  <c r="AZ217" i="6"/>
  <c r="AY217" i="6"/>
  <c r="AZ216" i="6"/>
  <c r="AY216" i="6"/>
  <c r="AZ215" i="6"/>
  <c r="AY215" i="6"/>
  <c r="AZ214" i="6"/>
  <c r="AY214" i="6"/>
  <c r="AZ213" i="6"/>
  <c r="AY213" i="6"/>
  <c r="AZ212" i="6"/>
  <c r="AY212" i="6"/>
  <c r="AZ211" i="6"/>
  <c r="AY211" i="6"/>
  <c r="AZ210" i="6"/>
  <c r="AY210" i="6"/>
  <c r="AZ209" i="6"/>
  <c r="AY209" i="6"/>
  <c r="AZ208" i="6"/>
  <c r="AY208" i="6"/>
  <c r="AZ207" i="6"/>
  <c r="AY207" i="6"/>
  <c r="AZ206" i="6"/>
  <c r="AY206" i="6"/>
  <c r="AZ205" i="6"/>
  <c r="AY205" i="6"/>
  <c r="AZ204" i="6"/>
  <c r="AY204" i="6"/>
  <c r="AZ203" i="6"/>
  <c r="AY203" i="6"/>
  <c r="AZ202" i="6"/>
  <c r="AY202" i="6"/>
  <c r="AZ201" i="6"/>
  <c r="AY201" i="6"/>
  <c r="AZ200" i="6"/>
  <c r="AY200" i="6"/>
  <c r="AZ199" i="6"/>
  <c r="AY199" i="6"/>
  <c r="AZ198" i="6"/>
  <c r="AY198" i="6"/>
  <c r="AZ197" i="6"/>
  <c r="AY197" i="6"/>
  <c r="AZ196" i="6"/>
  <c r="AY196" i="6"/>
  <c r="AZ195" i="6"/>
  <c r="AY195" i="6"/>
  <c r="AZ194" i="6"/>
  <c r="AY194" i="6"/>
  <c r="AZ193" i="6"/>
  <c r="AY193" i="6"/>
  <c r="AZ192" i="6"/>
  <c r="AY192" i="6"/>
  <c r="AZ191" i="6"/>
  <c r="AY191" i="6"/>
  <c r="AZ190" i="6"/>
  <c r="AY190" i="6"/>
  <c r="AZ189" i="6"/>
  <c r="AY189" i="6"/>
  <c r="AZ188" i="6"/>
  <c r="AY188" i="6"/>
  <c r="AZ187" i="6"/>
  <c r="AY187" i="6"/>
  <c r="AZ186" i="6"/>
  <c r="AY186" i="6"/>
  <c r="AZ185" i="6"/>
  <c r="AY185" i="6"/>
  <c r="AZ184" i="6"/>
  <c r="AY184" i="6"/>
  <c r="AZ183" i="6"/>
  <c r="AY183" i="6"/>
  <c r="AZ182" i="6"/>
  <c r="AY182" i="6"/>
  <c r="AZ181" i="6"/>
  <c r="AY181" i="6"/>
  <c r="AZ180" i="6"/>
  <c r="AY180" i="6"/>
  <c r="AZ179" i="6"/>
  <c r="AY179" i="6"/>
  <c r="AZ178" i="6"/>
  <c r="AY178" i="6"/>
  <c r="AZ177" i="6"/>
  <c r="AY177" i="6"/>
  <c r="AZ176" i="6"/>
  <c r="AY176" i="6"/>
  <c r="AZ175" i="6"/>
  <c r="AY175" i="6"/>
  <c r="AZ174" i="6"/>
  <c r="AY174" i="6"/>
  <c r="AZ173" i="6"/>
  <c r="AY173" i="6"/>
  <c r="AZ172" i="6"/>
  <c r="AY172" i="6"/>
  <c r="AZ171" i="6"/>
  <c r="AY171" i="6"/>
  <c r="AZ170" i="6"/>
  <c r="AY170" i="6"/>
  <c r="AZ169" i="6"/>
  <c r="AY169" i="6"/>
  <c r="AZ168" i="6"/>
  <c r="AY168" i="6"/>
  <c r="AZ167" i="6"/>
  <c r="AY167" i="6"/>
  <c r="AZ166" i="6"/>
  <c r="AY166" i="6"/>
  <c r="AZ165" i="6"/>
  <c r="AY165" i="6"/>
  <c r="AZ164" i="6"/>
  <c r="AY164" i="6"/>
  <c r="AZ163" i="6"/>
  <c r="AY163" i="6"/>
  <c r="AZ162" i="6"/>
  <c r="AY162" i="6"/>
  <c r="AZ161" i="6"/>
  <c r="AY161" i="6"/>
  <c r="AZ160" i="6"/>
  <c r="AY160" i="6"/>
  <c r="AZ159" i="6"/>
  <c r="AY159" i="6"/>
  <c r="AZ158" i="6"/>
  <c r="AY158" i="6"/>
  <c r="AZ157" i="6"/>
  <c r="AY157" i="6"/>
  <c r="AZ156" i="6"/>
  <c r="AY156" i="6"/>
  <c r="AZ155" i="6"/>
  <c r="AY155" i="6"/>
  <c r="AZ154" i="6"/>
  <c r="AY154" i="6"/>
  <c r="AZ153" i="6"/>
  <c r="AY153" i="6"/>
  <c r="AZ152" i="6"/>
  <c r="AY152" i="6"/>
  <c r="AZ151" i="6"/>
  <c r="AY151" i="6"/>
  <c r="AZ150" i="6"/>
  <c r="AY150" i="6"/>
  <c r="AZ149" i="6"/>
  <c r="AY149" i="6"/>
  <c r="AZ148" i="6"/>
  <c r="AY148" i="6"/>
  <c r="AZ147" i="6"/>
  <c r="AY147" i="6"/>
  <c r="AZ146" i="6"/>
  <c r="AY146" i="6"/>
  <c r="AZ145" i="6"/>
  <c r="AY145" i="6"/>
  <c r="AZ144" i="6"/>
  <c r="AY144" i="6"/>
  <c r="AZ143" i="6"/>
  <c r="AY143" i="6"/>
  <c r="AZ142" i="6"/>
  <c r="AY142" i="6"/>
  <c r="AZ141" i="6"/>
  <c r="AY141" i="6"/>
  <c r="AZ140" i="6"/>
  <c r="AY140" i="6"/>
  <c r="AZ139" i="6"/>
  <c r="AY139" i="6"/>
  <c r="AZ138" i="6"/>
  <c r="AY138" i="6"/>
  <c r="AZ137" i="6"/>
  <c r="AY137" i="6"/>
  <c r="AZ136" i="6"/>
  <c r="AY136" i="6"/>
  <c r="AZ135" i="6"/>
  <c r="AY135" i="6"/>
  <c r="AZ134" i="6"/>
  <c r="AY134" i="6"/>
  <c r="AZ133" i="6"/>
  <c r="AY133" i="6"/>
  <c r="AZ132" i="6"/>
  <c r="AY132" i="6"/>
  <c r="AZ131" i="6"/>
  <c r="AY131" i="6"/>
  <c r="AZ130" i="6"/>
  <c r="AY130" i="6"/>
  <c r="AZ129" i="6"/>
  <c r="AY129" i="6"/>
  <c r="AZ128" i="6"/>
  <c r="AY128" i="6"/>
  <c r="AZ127" i="6"/>
  <c r="AY127" i="6"/>
  <c r="AZ126" i="6"/>
  <c r="AY126" i="6"/>
  <c r="AZ125" i="6"/>
  <c r="AY125" i="6"/>
  <c r="AZ124" i="6"/>
  <c r="AY124" i="6"/>
  <c r="AZ123" i="6"/>
  <c r="AY123" i="6"/>
  <c r="AZ122" i="6"/>
  <c r="AY122" i="6"/>
  <c r="AZ121" i="6"/>
  <c r="AY121" i="6"/>
  <c r="AZ120" i="6"/>
  <c r="AY120" i="6"/>
  <c r="AZ119" i="6"/>
  <c r="AY119" i="6"/>
  <c r="AZ118" i="6"/>
  <c r="AY118" i="6"/>
  <c r="AZ117" i="6"/>
  <c r="AY117" i="6"/>
  <c r="AZ116" i="6"/>
  <c r="AY116" i="6"/>
  <c r="AZ115" i="6"/>
  <c r="AY115" i="6"/>
  <c r="AZ114" i="6"/>
  <c r="AY114" i="6"/>
  <c r="AZ113" i="6"/>
  <c r="AY113" i="6"/>
  <c r="AZ112" i="6"/>
  <c r="AY112" i="6"/>
  <c r="AZ111" i="6"/>
  <c r="AY111" i="6"/>
  <c r="AZ110" i="6"/>
  <c r="AY110" i="6"/>
  <c r="AZ109" i="6"/>
  <c r="AY109" i="6"/>
  <c r="AZ108" i="6"/>
  <c r="AY108" i="6"/>
  <c r="AZ107" i="6"/>
  <c r="AY107" i="6"/>
  <c r="AZ106" i="6"/>
  <c r="AY106" i="6"/>
  <c r="AZ105" i="6"/>
  <c r="AY105" i="6"/>
  <c r="AZ104" i="6"/>
  <c r="AY104" i="6"/>
  <c r="AZ103" i="6"/>
  <c r="AY103" i="6"/>
  <c r="AZ102" i="6"/>
  <c r="AY102" i="6"/>
  <c r="AZ101" i="6"/>
  <c r="AY101" i="6"/>
  <c r="AZ100" i="6"/>
  <c r="AY100" i="6"/>
  <c r="AZ99" i="6"/>
  <c r="AY99" i="6"/>
  <c r="AZ98" i="6"/>
  <c r="AY98" i="6"/>
  <c r="AZ97" i="6"/>
  <c r="AY97" i="6"/>
  <c r="AZ96" i="6"/>
  <c r="AY96" i="6"/>
  <c r="AZ95" i="6"/>
  <c r="AY95" i="6"/>
  <c r="AZ94" i="6"/>
  <c r="AY94" i="6"/>
  <c r="AZ93" i="6"/>
  <c r="AY93" i="6"/>
  <c r="AZ92" i="6"/>
  <c r="AY92" i="6"/>
  <c r="AZ91" i="6"/>
  <c r="AY91" i="6"/>
  <c r="AZ90" i="6"/>
  <c r="AY90" i="6"/>
  <c r="AZ89" i="6"/>
  <c r="AY89" i="6"/>
  <c r="AZ88" i="6"/>
  <c r="AY88" i="6"/>
  <c r="AZ87" i="6"/>
  <c r="AY87" i="6"/>
  <c r="AZ86" i="6"/>
  <c r="AY86" i="6"/>
  <c r="AZ85" i="6"/>
  <c r="AY85" i="6"/>
  <c r="AZ84" i="6"/>
  <c r="AY84" i="6"/>
  <c r="AZ83" i="6"/>
  <c r="AY83" i="6"/>
  <c r="AZ82" i="6"/>
  <c r="AY82" i="6"/>
  <c r="AZ81" i="6"/>
  <c r="AY81" i="6"/>
  <c r="AZ80" i="6"/>
  <c r="AY80" i="6"/>
  <c r="AZ79" i="6"/>
  <c r="AY79" i="6"/>
  <c r="AZ78" i="6"/>
  <c r="AY78" i="6"/>
  <c r="AZ77" i="6"/>
  <c r="AY77" i="6"/>
  <c r="AZ76" i="6"/>
  <c r="AY76" i="6"/>
  <c r="AZ75" i="6"/>
  <c r="AY75" i="6"/>
  <c r="AZ74" i="6"/>
  <c r="AY74" i="6"/>
  <c r="AZ73" i="6"/>
  <c r="AY73" i="6"/>
  <c r="AZ72" i="6"/>
  <c r="AY72" i="6"/>
  <c r="AZ71" i="6"/>
  <c r="AY71" i="6"/>
  <c r="AZ70" i="6"/>
  <c r="AY70" i="6"/>
  <c r="AZ69" i="6"/>
  <c r="AY69" i="6"/>
  <c r="AZ68" i="6"/>
  <c r="AY68" i="6"/>
  <c r="AZ67" i="6"/>
  <c r="AY67" i="6"/>
  <c r="AZ66" i="6"/>
  <c r="AY66" i="6"/>
  <c r="AZ65" i="6"/>
  <c r="AY65" i="6"/>
  <c r="AZ64" i="6"/>
  <c r="AY64" i="6"/>
  <c r="AZ63" i="6"/>
  <c r="AY63" i="6"/>
  <c r="AZ62" i="6"/>
  <c r="AY62" i="6"/>
  <c r="AZ61" i="6"/>
  <c r="AY61" i="6"/>
  <c r="AZ60" i="6"/>
  <c r="AY60" i="6"/>
  <c r="AZ59" i="6"/>
  <c r="AY59" i="6"/>
  <c r="AZ58" i="6"/>
  <c r="AY58" i="6"/>
  <c r="AZ57" i="6"/>
  <c r="AY57" i="6"/>
  <c r="AZ56" i="6"/>
  <c r="AY56" i="6"/>
  <c r="AZ55" i="6"/>
  <c r="AY55" i="6"/>
  <c r="AZ54" i="6"/>
  <c r="AY54" i="6"/>
  <c r="AZ53" i="6"/>
  <c r="AY53" i="6"/>
  <c r="AZ52" i="6"/>
  <c r="AY52" i="6"/>
  <c r="AZ51" i="6"/>
  <c r="AY51" i="6"/>
  <c r="AZ50" i="6"/>
  <c r="AY50" i="6"/>
  <c r="AZ49" i="6"/>
  <c r="AY49" i="6"/>
  <c r="AZ48" i="6"/>
  <c r="AY48" i="6"/>
  <c r="AZ47" i="6"/>
  <c r="AY47" i="6"/>
  <c r="AZ46" i="6"/>
  <c r="AY46" i="6"/>
  <c r="AZ45" i="6"/>
  <c r="AY45" i="6"/>
  <c r="AZ44" i="6"/>
  <c r="AY44" i="6"/>
  <c r="AZ43" i="6"/>
  <c r="AY43" i="6"/>
  <c r="AZ42" i="6"/>
  <c r="AY42" i="6"/>
  <c r="AZ41" i="6"/>
  <c r="AY41" i="6"/>
  <c r="AZ40" i="6"/>
  <c r="AY40" i="6"/>
  <c r="AZ39" i="6"/>
  <c r="AY39" i="6"/>
  <c r="AZ38" i="6"/>
  <c r="AY38" i="6"/>
  <c r="AZ37" i="6"/>
  <c r="AY37" i="6"/>
  <c r="AZ36" i="6"/>
  <c r="AY36" i="6"/>
  <c r="AZ35" i="6"/>
  <c r="AY35" i="6"/>
  <c r="AZ34" i="6"/>
  <c r="AY34" i="6"/>
  <c r="AZ33" i="6"/>
  <c r="AY33" i="6"/>
  <c r="AZ32" i="6"/>
  <c r="AY32" i="6"/>
  <c r="AZ31" i="6"/>
  <c r="AY31" i="6"/>
  <c r="AZ30" i="6"/>
  <c r="AY30" i="6"/>
  <c r="AZ29" i="6"/>
  <c r="AY29" i="6"/>
  <c r="AZ28" i="6"/>
  <c r="AY28" i="6"/>
  <c r="AZ27" i="6"/>
  <c r="AY27" i="6"/>
  <c r="AZ26" i="6"/>
  <c r="AY26" i="6"/>
  <c r="AZ25" i="6"/>
  <c r="AY25" i="6"/>
  <c r="AZ24" i="6"/>
  <c r="AY24" i="6"/>
  <c r="AZ23" i="6"/>
  <c r="AY23" i="6"/>
  <c r="AZ22" i="6"/>
  <c r="AY22" i="6"/>
  <c r="AZ21" i="6"/>
  <c r="AY21" i="6"/>
  <c r="AZ20" i="6"/>
  <c r="AY20" i="6"/>
  <c r="AZ19" i="6"/>
  <c r="AY19" i="6"/>
  <c r="AZ18" i="6"/>
  <c r="AY18" i="6"/>
  <c r="AY17" i="6"/>
  <c r="AZ16" i="6"/>
  <c r="AY16" i="6"/>
  <c r="AZ15" i="6"/>
  <c r="AY15" i="6"/>
  <c r="AZ14" i="6"/>
  <c r="AY14" i="6"/>
  <c r="AZ13" i="6"/>
  <c r="AY13" i="6"/>
  <c r="AZ12" i="6"/>
  <c r="AY12" i="6"/>
  <c r="AZ11" i="6"/>
  <c r="AY11" i="6"/>
  <c r="AZ10" i="6"/>
  <c r="AY10" i="6"/>
  <c r="AZ9" i="6"/>
  <c r="AY9" i="6"/>
  <c r="AZ8" i="6"/>
  <c r="AY8" i="6"/>
  <c r="BG500" i="6"/>
  <c r="BF500" i="6"/>
  <c r="BG499" i="6"/>
  <c r="BF499" i="6"/>
  <c r="BG498" i="6"/>
  <c r="BF498" i="6"/>
  <c r="BG497" i="6"/>
  <c r="BF497" i="6"/>
  <c r="BG496" i="6"/>
  <c r="BF496" i="6"/>
  <c r="BG495" i="6"/>
  <c r="BF495" i="6"/>
  <c r="BG494" i="6"/>
  <c r="BF494" i="6"/>
  <c r="BG493" i="6"/>
  <c r="BF493" i="6"/>
  <c r="BG492" i="6"/>
  <c r="BF492" i="6"/>
  <c r="BG491" i="6"/>
  <c r="BF491" i="6"/>
  <c r="BG490" i="6"/>
  <c r="BF490" i="6"/>
  <c r="BG489" i="6"/>
  <c r="BF489" i="6"/>
  <c r="BG488" i="6"/>
  <c r="BF488" i="6"/>
  <c r="BG487" i="6"/>
  <c r="BF487" i="6"/>
  <c r="BG486" i="6"/>
  <c r="BF486" i="6"/>
  <c r="BG485" i="6"/>
  <c r="BF485" i="6"/>
  <c r="BG484" i="6"/>
  <c r="BF484" i="6"/>
  <c r="BG483" i="6"/>
  <c r="BF483" i="6"/>
  <c r="BG482" i="6"/>
  <c r="BF482" i="6"/>
  <c r="BG481" i="6"/>
  <c r="BF481" i="6"/>
  <c r="BG480" i="6"/>
  <c r="BF480" i="6"/>
  <c r="BG479" i="6"/>
  <c r="BF479" i="6"/>
  <c r="BG478" i="6"/>
  <c r="BF478" i="6"/>
  <c r="BG477" i="6"/>
  <c r="BF477" i="6"/>
  <c r="BG476" i="6"/>
  <c r="BF476" i="6"/>
  <c r="BG475" i="6"/>
  <c r="BF475" i="6"/>
  <c r="BG474" i="6"/>
  <c r="BF474" i="6"/>
  <c r="BG473" i="6"/>
  <c r="BF473" i="6"/>
  <c r="BG472" i="6"/>
  <c r="BF472" i="6"/>
  <c r="BG471" i="6"/>
  <c r="BF471" i="6"/>
  <c r="BG470" i="6"/>
  <c r="BF470" i="6"/>
  <c r="BG469" i="6"/>
  <c r="BF469" i="6"/>
  <c r="BG468" i="6"/>
  <c r="BF468" i="6"/>
  <c r="BG467" i="6"/>
  <c r="BF467" i="6"/>
  <c r="BG466" i="6"/>
  <c r="BF466" i="6"/>
  <c r="BG465" i="6"/>
  <c r="BF465" i="6"/>
  <c r="BG464" i="6"/>
  <c r="BF464" i="6"/>
  <c r="BG463" i="6"/>
  <c r="BF463" i="6"/>
  <c r="BG462" i="6"/>
  <c r="BF462" i="6"/>
  <c r="BG461" i="6"/>
  <c r="BF461" i="6"/>
  <c r="BG460" i="6"/>
  <c r="BF460" i="6"/>
  <c r="BG459" i="6"/>
  <c r="BF459" i="6"/>
  <c r="BG458" i="6"/>
  <c r="BF458" i="6"/>
  <c r="BG457" i="6"/>
  <c r="BF457" i="6"/>
  <c r="BG456" i="6"/>
  <c r="BF456" i="6"/>
  <c r="BG455" i="6"/>
  <c r="BF455" i="6"/>
  <c r="BG454" i="6"/>
  <c r="BF454" i="6"/>
  <c r="BG453" i="6"/>
  <c r="BF453" i="6"/>
  <c r="BG452" i="6"/>
  <c r="BF452" i="6"/>
  <c r="BG451" i="6"/>
  <c r="BF451" i="6"/>
  <c r="BG450" i="6"/>
  <c r="BF450" i="6"/>
  <c r="BG449" i="6"/>
  <c r="BF449" i="6"/>
  <c r="BG448" i="6"/>
  <c r="BF448" i="6"/>
  <c r="BG447" i="6"/>
  <c r="BF447" i="6"/>
  <c r="BG446" i="6"/>
  <c r="BF446" i="6"/>
  <c r="BG445" i="6"/>
  <c r="BF445" i="6"/>
  <c r="BG444" i="6"/>
  <c r="BF444" i="6"/>
  <c r="BG443" i="6"/>
  <c r="BF443" i="6"/>
  <c r="BG442" i="6"/>
  <c r="BF442" i="6"/>
  <c r="BG441" i="6"/>
  <c r="BF441" i="6"/>
  <c r="BG440" i="6"/>
  <c r="BF440" i="6"/>
  <c r="BG439" i="6"/>
  <c r="BF439" i="6"/>
  <c r="BG438" i="6"/>
  <c r="BF438" i="6"/>
  <c r="BG437" i="6"/>
  <c r="BF437" i="6"/>
  <c r="BG436" i="6"/>
  <c r="BF436" i="6"/>
  <c r="BG435" i="6"/>
  <c r="BF435" i="6"/>
  <c r="BG434" i="6"/>
  <c r="BF434" i="6"/>
  <c r="BG433" i="6"/>
  <c r="BF433" i="6"/>
  <c r="BG432" i="6"/>
  <c r="BF432" i="6"/>
  <c r="BG431" i="6"/>
  <c r="BF431" i="6"/>
  <c r="BG430" i="6"/>
  <c r="BF430" i="6"/>
  <c r="BG429" i="6"/>
  <c r="BF429" i="6"/>
  <c r="BG428" i="6"/>
  <c r="BF428" i="6"/>
  <c r="BG427" i="6"/>
  <c r="BF427" i="6"/>
  <c r="BG426" i="6"/>
  <c r="BF426" i="6"/>
  <c r="BG425" i="6"/>
  <c r="BF425" i="6"/>
  <c r="BG424" i="6"/>
  <c r="BF424" i="6"/>
  <c r="BG423" i="6"/>
  <c r="BF423" i="6"/>
  <c r="BG422" i="6"/>
  <c r="BF422" i="6"/>
  <c r="BG421" i="6"/>
  <c r="BF421" i="6"/>
  <c r="BG420" i="6"/>
  <c r="BF420" i="6"/>
  <c r="BG419" i="6"/>
  <c r="BF419" i="6"/>
  <c r="BG418" i="6"/>
  <c r="BF418" i="6"/>
  <c r="BG417" i="6"/>
  <c r="BF417" i="6"/>
  <c r="BG416" i="6"/>
  <c r="BF416" i="6"/>
  <c r="BG415" i="6"/>
  <c r="BF415" i="6"/>
  <c r="BG414" i="6"/>
  <c r="BF414" i="6"/>
  <c r="BG413" i="6"/>
  <c r="BF413" i="6"/>
  <c r="BG412" i="6"/>
  <c r="BF412" i="6"/>
  <c r="BG411" i="6"/>
  <c r="BF411" i="6"/>
  <c r="BG410" i="6"/>
  <c r="BF410" i="6"/>
  <c r="BG409" i="6"/>
  <c r="BF409" i="6"/>
  <c r="BG408" i="6"/>
  <c r="BF408" i="6"/>
  <c r="BG407" i="6"/>
  <c r="BF407" i="6"/>
  <c r="BG406" i="6"/>
  <c r="BF406" i="6"/>
  <c r="BG405" i="6"/>
  <c r="BF405" i="6"/>
  <c r="BG404" i="6"/>
  <c r="BF404" i="6"/>
  <c r="BG403" i="6"/>
  <c r="BF403" i="6"/>
  <c r="BG402" i="6"/>
  <c r="BF402" i="6"/>
  <c r="BG401" i="6"/>
  <c r="BF401" i="6"/>
  <c r="BG400" i="6"/>
  <c r="BF400" i="6"/>
  <c r="BG399" i="6"/>
  <c r="BF399" i="6"/>
  <c r="BG398" i="6"/>
  <c r="BF398" i="6"/>
  <c r="BG397" i="6"/>
  <c r="BF397" i="6"/>
  <c r="BG396" i="6"/>
  <c r="BF396" i="6"/>
  <c r="BG395" i="6"/>
  <c r="BF395" i="6"/>
  <c r="BG394" i="6"/>
  <c r="BF394" i="6"/>
  <c r="BG393" i="6"/>
  <c r="BF393" i="6"/>
  <c r="BG392" i="6"/>
  <c r="BF392" i="6"/>
  <c r="BG391" i="6"/>
  <c r="BF391" i="6"/>
  <c r="BG390" i="6"/>
  <c r="BF390" i="6"/>
  <c r="BG389" i="6"/>
  <c r="BF389" i="6"/>
  <c r="BG388" i="6"/>
  <c r="BF388" i="6"/>
  <c r="BG387" i="6"/>
  <c r="BF387" i="6"/>
  <c r="BG386" i="6"/>
  <c r="BF386" i="6"/>
  <c r="BG385" i="6"/>
  <c r="BF385" i="6"/>
  <c r="BG384" i="6"/>
  <c r="BF384" i="6"/>
  <c r="BG383" i="6"/>
  <c r="BF383" i="6"/>
  <c r="BG382" i="6"/>
  <c r="BF382" i="6"/>
  <c r="BG381" i="6"/>
  <c r="BF381" i="6"/>
  <c r="BG380" i="6"/>
  <c r="BF380" i="6"/>
  <c r="BG379" i="6"/>
  <c r="BF379" i="6"/>
  <c r="BG378" i="6"/>
  <c r="BF378" i="6"/>
  <c r="BG377" i="6"/>
  <c r="BF377" i="6"/>
  <c r="BG376" i="6"/>
  <c r="BF376" i="6"/>
  <c r="BG375" i="6"/>
  <c r="BF375" i="6"/>
  <c r="BG374" i="6"/>
  <c r="BF374" i="6"/>
  <c r="BG373" i="6"/>
  <c r="BF373" i="6"/>
  <c r="BG372" i="6"/>
  <c r="BF372" i="6"/>
  <c r="BG371" i="6"/>
  <c r="BF371" i="6"/>
  <c r="BG370" i="6"/>
  <c r="BF370" i="6"/>
  <c r="BG369" i="6"/>
  <c r="BF369" i="6"/>
  <c r="BG368" i="6"/>
  <c r="BF368" i="6"/>
  <c r="BG367" i="6"/>
  <c r="BF367" i="6"/>
  <c r="BG366" i="6"/>
  <c r="BF366" i="6"/>
  <c r="BG365" i="6"/>
  <c r="BF365" i="6"/>
  <c r="BG364" i="6"/>
  <c r="BF364" i="6"/>
  <c r="BG363" i="6"/>
  <c r="BF363" i="6"/>
  <c r="BG362" i="6"/>
  <c r="BF362" i="6"/>
  <c r="BG361" i="6"/>
  <c r="BF361" i="6"/>
  <c r="BG360" i="6"/>
  <c r="BF360" i="6"/>
  <c r="BG359" i="6"/>
  <c r="BF359" i="6"/>
  <c r="BG358" i="6"/>
  <c r="BF358" i="6"/>
  <c r="BG357" i="6"/>
  <c r="BF357" i="6"/>
  <c r="BG356" i="6"/>
  <c r="BF356" i="6"/>
  <c r="BG355" i="6"/>
  <c r="BF355" i="6"/>
  <c r="BG354" i="6"/>
  <c r="BF354" i="6"/>
  <c r="BG353" i="6"/>
  <c r="BF353" i="6"/>
  <c r="BG352" i="6"/>
  <c r="BF352" i="6"/>
  <c r="BG351" i="6"/>
  <c r="BF351" i="6"/>
  <c r="BG350" i="6"/>
  <c r="BF350" i="6"/>
  <c r="BG349" i="6"/>
  <c r="BF349" i="6"/>
  <c r="BG348" i="6"/>
  <c r="BF348" i="6"/>
  <c r="BG347" i="6"/>
  <c r="BF347" i="6"/>
  <c r="BG346" i="6"/>
  <c r="BF346" i="6"/>
  <c r="BG345" i="6"/>
  <c r="BF345" i="6"/>
  <c r="BG344" i="6"/>
  <c r="BF344" i="6"/>
  <c r="BG343" i="6"/>
  <c r="BF343" i="6"/>
  <c r="BG342" i="6"/>
  <c r="BF342" i="6"/>
  <c r="BG341" i="6"/>
  <c r="BF341" i="6"/>
  <c r="BG340" i="6"/>
  <c r="BF340" i="6"/>
  <c r="BG339" i="6"/>
  <c r="BF339" i="6"/>
  <c r="BG338" i="6"/>
  <c r="BF338" i="6"/>
  <c r="BG337" i="6"/>
  <c r="BF337" i="6"/>
  <c r="BG336" i="6"/>
  <c r="BF336" i="6"/>
  <c r="BG335" i="6"/>
  <c r="BF335" i="6"/>
  <c r="BG334" i="6"/>
  <c r="BF334" i="6"/>
  <c r="BG333" i="6"/>
  <c r="BF333" i="6"/>
  <c r="BG332" i="6"/>
  <c r="BF332" i="6"/>
  <c r="BG331" i="6"/>
  <c r="BF331" i="6"/>
  <c r="BG330" i="6"/>
  <c r="BF330" i="6"/>
  <c r="BG329" i="6"/>
  <c r="BF329" i="6"/>
  <c r="BG328" i="6"/>
  <c r="BF328" i="6"/>
  <c r="BG327" i="6"/>
  <c r="BF327" i="6"/>
  <c r="BG326" i="6"/>
  <c r="BF326" i="6"/>
  <c r="BG325" i="6"/>
  <c r="BF325" i="6"/>
  <c r="BG324" i="6"/>
  <c r="BF324" i="6"/>
  <c r="BG323" i="6"/>
  <c r="BF323" i="6"/>
  <c r="BG322" i="6"/>
  <c r="BF322" i="6"/>
  <c r="BG321" i="6"/>
  <c r="BF321" i="6"/>
  <c r="BG320" i="6"/>
  <c r="BF320" i="6"/>
  <c r="BG319" i="6"/>
  <c r="BF319" i="6"/>
  <c r="BG318" i="6"/>
  <c r="BF318" i="6"/>
  <c r="BG317" i="6"/>
  <c r="BF317" i="6"/>
  <c r="BG316" i="6"/>
  <c r="BF316" i="6"/>
  <c r="BG315" i="6"/>
  <c r="BF315" i="6"/>
  <c r="BG314" i="6"/>
  <c r="BF314" i="6"/>
  <c r="BG313" i="6"/>
  <c r="BF313" i="6"/>
  <c r="BG312" i="6"/>
  <c r="BF312" i="6"/>
  <c r="BG311" i="6"/>
  <c r="BF311" i="6"/>
  <c r="BG310" i="6"/>
  <c r="BF310" i="6"/>
  <c r="BG309" i="6"/>
  <c r="BF309" i="6"/>
  <c r="BG308" i="6"/>
  <c r="BF308" i="6"/>
  <c r="BG307" i="6"/>
  <c r="BF307" i="6"/>
  <c r="BG306" i="6"/>
  <c r="BF306" i="6"/>
  <c r="BG305" i="6"/>
  <c r="BF305" i="6"/>
  <c r="BG304" i="6"/>
  <c r="BF304" i="6"/>
  <c r="BG303" i="6"/>
  <c r="BF303" i="6"/>
  <c r="BG302" i="6"/>
  <c r="BF302" i="6"/>
  <c r="BG301" i="6"/>
  <c r="BF301" i="6"/>
  <c r="BG300" i="6"/>
  <c r="BF300" i="6"/>
  <c r="BG299" i="6"/>
  <c r="BF299" i="6"/>
  <c r="BG298" i="6"/>
  <c r="BF298" i="6"/>
  <c r="BG297" i="6"/>
  <c r="BF297" i="6"/>
  <c r="BG296" i="6"/>
  <c r="BF296" i="6"/>
  <c r="BG295" i="6"/>
  <c r="BF295" i="6"/>
  <c r="BG294" i="6"/>
  <c r="BF294" i="6"/>
  <c r="BG293" i="6"/>
  <c r="BF293" i="6"/>
  <c r="BG292" i="6"/>
  <c r="BF292" i="6"/>
  <c r="BG291" i="6"/>
  <c r="BF291" i="6"/>
  <c r="BG290" i="6"/>
  <c r="BF290" i="6"/>
  <c r="BG289" i="6"/>
  <c r="BF289" i="6"/>
  <c r="BG288" i="6"/>
  <c r="BF288" i="6"/>
  <c r="BG287" i="6"/>
  <c r="BF287" i="6"/>
  <c r="BG286" i="6"/>
  <c r="BF286" i="6"/>
  <c r="BG285" i="6"/>
  <c r="BF285" i="6"/>
  <c r="BG284" i="6"/>
  <c r="BF284" i="6"/>
  <c r="BG283" i="6"/>
  <c r="BF283" i="6"/>
  <c r="BG282" i="6"/>
  <c r="BF282" i="6"/>
  <c r="BG281" i="6"/>
  <c r="BF281" i="6"/>
  <c r="BG280" i="6"/>
  <c r="BF280" i="6"/>
  <c r="BG279" i="6"/>
  <c r="BF279" i="6"/>
  <c r="BG278" i="6"/>
  <c r="BF278" i="6"/>
  <c r="BG277" i="6"/>
  <c r="BF277" i="6"/>
  <c r="BG276" i="6"/>
  <c r="BF276" i="6"/>
  <c r="BG275" i="6"/>
  <c r="BF275" i="6"/>
  <c r="BG274" i="6"/>
  <c r="BF274" i="6"/>
  <c r="BG273" i="6"/>
  <c r="BF273" i="6"/>
  <c r="BG272" i="6"/>
  <c r="BF272" i="6"/>
  <c r="BG271" i="6"/>
  <c r="BF271" i="6"/>
  <c r="BG270" i="6"/>
  <c r="BF270" i="6"/>
  <c r="BG269" i="6"/>
  <c r="BF269" i="6"/>
  <c r="BG268" i="6"/>
  <c r="BF268" i="6"/>
  <c r="BG267" i="6"/>
  <c r="BF267" i="6"/>
  <c r="BG266" i="6"/>
  <c r="BF266" i="6"/>
  <c r="BG265" i="6"/>
  <c r="BF265" i="6"/>
  <c r="BG264" i="6"/>
  <c r="BF264" i="6"/>
  <c r="BG263" i="6"/>
  <c r="BF263" i="6"/>
  <c r="BG262" i="6"/>
  <c r="BF262" i="6"/>
  <c r="BG261" i="6"/>
  <c r="BF261" i="6"/>
  <c r="BG260" i="6"/>
  <c r="BF260" i="6"/>
  <c r="BG259" i="6"/>
  <c r="BF259" i="6"/>
  <c r="BG258" i="6"/>
  <c r="BF258" i="6"/>
  <c r="BG257" i="6"/>
  <c r="BF257" i="6"/>
  <c r="BG256" i="6"/>
  <c r="BF256" i="6"/>
  <c r="BG255" i="6"/>
  <c r="BF255" i="6"/>
  <c r="BG254" i="6"/>
  <c r="BF254" i="6"/>
  <c r="BG253" i="6"/>
  <c r="BF253" i="6"/>
  <c r="BG252" i="6"/>
  <c r="BF252" i="6"/>
  <c r="BG251" i="6"/>
  <c r="BF251" i="6"/>
  <c r="BG250" i="6"/>
  <c r="BF250" i="6"/>
  <c r="BG249" i="6"/>
  <c r="BF249" i="6"/>
  <c r="BG248" i="6"/>
  <c r="BF248" i="6"/>
  <c r="BG247" i="6"/>
  <c r="BF247" i="6"/>
  <c r="BG246" i="6"/>
  <c r="BF246" i="6"/>
  <c r="BG245" i="6"/>
  <c r="BF245" i="6"/>
  <c r="BG244" i="6"/>
  <c r="BF244" i="6"/>
  <c r="BG243" i="6"/>
  <c r="BF243" i="6"/>
  <c r="BG242" i="6"/>
  <c r="BF242" i="6"/>
  <c r="BG241" i="6"/>
  <c r="BF241" i="6"/>
  <c r="BG240" i="6"/>
  <c r="BF240" i="6"/>
  <c r="BG239" i="6"/>
  <c r="BF239" i="6"/>
  <c r="BG238" i="6"/>
  <c r="BF238" i="6"/>
  <c r="BG237" i="6"/>
  <c r="BF237" i="6"/>
  <c r="BG236" i="6"/>
  <c r="BF236" i="6"/>
  <c r="BG235" i="6"/>
  <c r="BF235" i="6"/>
  <c r="BG234" i="6"/>
  <c r="BF234" i="6"/>
  <c r="BG233" i="6"/>
  <c r="BF233" i="6"/>
  <c r="BG232" i="6"/>
  <c r="BF232" i="6"/>
  <c r="BG231" i="6"/>
  <c r="BF231" i="6"/>
  <c r="BG230" i="6"/>
  <c r="BF230" i="6"/>
  <c r="BG229" i="6"/>
  <c r="BF229" i="6"/>
  <c r="BG228" i="6"/>
  <c r="BF228" i="6"/>
  <c r="BG227" i="6"/>
  <c r="BF227" i="6"/>
  <c r="BG226" i="6"/>
  <c r="BF226" i="6"/>
  <c r="BG225" i="6"/>
  <c r="BF225" i="6"/>
  <c r="BG224" i="6"/>
  <c r="BF224" i="6"/>
  <c r="BG223" i="6"/>
  <c r="BF223" i="6"/>
  <c r="BG222" i="6"/>
  <c r="BF222" i="6"/>
  <c r="BG221" i="6"/>
  <c r="BF221" i="6"/>
  <c r="BG220" i="6"/>
  <c r="BF220" i="6"/>
  <c r="BG219" i="6"/>
  <c r="BF219" i="6"/>
  <c r="BG218" i="6"/>
  <c r="BF218" i="6"/>
  <c r="BG217" i="6"/>
  <c r="BF217" i="6"/>
  <c r="BG216" i="6"/>
  <c r="BF216" i="6"/>
  <c r="BG215" i="6"/>
  <c r="BF215" i="6"/>
  <c r="BG214" i="6"/>
  <c r="BF214" i="6"/>
  <c r="BG213" i="6"/>
  <c r="BF213" i="6"/>
  <c r="BG212" i="6"/>
  <c r="BF212" i="6"/>
  <c r="BG211" i="6"/>
  <c r="BF211" i="6"/>
  <c r="BG210" i="6"/>
  <c r="BF210" i="6"/>
  <c r="BG209" i="6"/>
  <c r="BF209" i="6"/>
  <c r="BG208" i="6"/>
  <c r="BF208" i="6"/>
  <c r="BG207" i="6"/>
  <c r="BF207" i="6"/>
  <c r="BG206" i="6"/>
  <c r="BF206" i="6"/>
  <c r="BG205" i="6"/>
  <c r="BF205" i="6"/>
  <c r="BG204" i="6"/>
  <c r="BF204" i="6"/>
  <c r="BG203" i="6"/>
  <c r="BF203" i="6"/>
  <c r="BG202" i="6"/>
  <c r="BF202" i="6"/>
  <c r="BG201" i="6"/>
  <c r="BF201" i="6"/>
  <c r="BG200" i="6"/>
  <c r="BF200" i="6"/>
  <c r="BG199" i="6"/>
  <c r="BF199" i="6"/>
  <c r="BG198" i="6"/>
  <c r="BF198" i="6"/>
  <c r="BG197" i="6"/>
  <c r="BF197" i="6"/>
  <c r="BG196" i="6"/>
  <c r="BF196" i="6"/>
  <c r="BG195" i="6"/>
  <c r="BF195" i="6"/>
  <c r="BG194" i="6"/>
  <c r="BF194" i="6"/>
  <c r="BG193" i="6"/>
  <c r="BF193" i="6"/>
  <c r="BG192" i="6"/>
  <c r="BF192" i="6"/>
  <c r="BG191" i="6"/>
  <c r="BF191" i="6"/>
  <c r="BG190" i="6"/>
  <c r="BF190" i="6"/>
  <c r="BG189" i="6"/>
  <c r="BF189" i="6"/>
  <c r="BG188" i="6"/>
  <c r="BF188" i="6"/>
  <c r="BG187" i="6"/>
  <c r="BF187" i="6"/>
  <c r="BG186" i="6"/>
  <c r="BF186" i="6"/>
  <c r="BG185" i="6"/>
  <c r="BF185" i="6"/>
  <c r="BG184" i="6"/>
  <c r="BF184" i="6"/>
  <c r="BG183" i="6"/>
  <c r="BF183" i="6"/>
  <c r="BG182" i="6"/>
  <c r="BF182" i="6"/>
  <c r="BG181" i="6"/>
  <c r="BF181" i="6"/>
  <c r="BG180" i="6"/>
  <c r="BF180" i="6"/>
  <c r="BG179" i="6"/>
  <c r="BF179" i="6"/>
  <c r="BG178" i="6"/>
  <c r="BF178" i="6"/>
  <c r="BG177" i="6"/>
  <c r="BF177" i="6"/>
  <c r="BG176" i="6"/>
  <c r="BF176" i="6"/>
  <c r="BG175" i="6"/>
  <c r="BF175" i="6"/>
  <c r="BG174" i="6"/>
  <c r="BF174" i="6"/>
  <c r="BG173" i="6"/>
  <c r="BF173" i="6"/>
  <c r="BG172" i="6"/>
  <c r="BF172" i="6"/>
  <c r="BG171" i="6"/>
  <c r="BF171" i="6"/>
  <c r="BG170" i="6"/>
  <c r="BF170" i="6"/>
  <c r="BG169" i="6"/>
  <c r="BF169" i="6"/>
  <c r="BG168" i="6"/>
  <c r="BF168" i="6"/>
  <c r="BG167" i="6"/>
  <c r="BF167" i="6"/>
  <c r="BG166" i="6"/>
  <c r="BF166" i="6"/>
  <c r="BG165" i="6"/>
  <c r="BF165" i="6"/>
  <c r="BG164" i="6"/>
  <c r="BF164" i="6"/>
  <c r="BG163" i="6"/>
  <c r="BF163" i="6"/>
  <c r="BG162" i="6"/>
  <c r="BF162" i="6"/>
  <c r="BG161" i="6"/>
  <c r="BF161" i="6"/>
  <c r="BG160" i="6"/>
  <c r="BF160" i="6"/>
  <c r="BG159" i="6"/>
  <c r="BF159" i="6"/>
  <c r="BG158" i="6"/>
  <c r="BF158" i="6"/>
  <c r="BG157" i="6"/>
  <c r="BF157" i="6"/>
  <c r="BG156" i="6"/>
  <c r="BF156" i="6"/>
  <c r="BG155" i="6"/>
  <c r="BF155" i="6"/>
  <c r="BG154" i="6"/>
  <c r="BF154" i="6"/>
  <c r="BG153" i="6"/>
  <c r="BF153" i="6"/>
  <c r="BG152" i="6"/>
  <c r="BF152" i="6"/>
  <c r="BG151" i="6"/>
  <c r="BF151" i="6"/>
  <c r="BG150" i="6"/>
  <c r="BF150" i="6"/>
  <c r="BG149" i="6"/>
  <c r="BF149" i="6"/>
  <c r="BG148" i="6"/>
  <c r="BF148" i="6"/>
  <c r="BG147" i="6"/>
  <c r="BF147" i="6"/>
  <c r="BG146" i="6"/>
  <c r="BF146" i="6"/>
  <c r="BG145" i="6"/>
  <c r="BF145" i="6"/>
  <c r="BG144" i="6"/>
  <c r="BF144" i="6"/>
  <c r="BG143" i="6"/>
  <c r="BF143" i="6"/>
  <c r="BG142" i="6"/>
  <c r="BF142" i="6"/>
  <c r="BG141" i="6"/>
  <c r="BF141" i="6"/>
  <c r="BG140" i="6"/>
  <c r="BF140" i="6"/>
  <c r="BG139" i="6"/>
  <c r="BF139" i="6"/>
  <c r="BG138" i="6"/>
  <c r="BF138" i="6"/>
  <c r="BG137" i="6"/>
  <c r="BF137" i="6"/>
  <c r="BG136" i="6"/>
  <c r="BF136" i="6"/>
  <c r="BG135" i="6"/>
  <c r="BF135" i="6"/>
  <c r="BG134" i="6"/>
  <c r="BF134" i="6"/>
  <c r="BG133" i="6"/>
  <c r="BF133" i="6"/>
  <c r="BG132" i="6"/>
  <c r="BF132" i="6"/>
  <c r="BG131" i="6"/>
  <c r="BF131" i="6"/>
  <c r="BG130" i="6"/>
  <c r="BF130" i="6"/>
  <c r="BG129" i="6"/>
  <c r="BF129" i="6"/>
  <c r="BG128" i="6"/>
  <c r="BF128" i="6"/>
  <c r="BG127" i="6"/>
  <c r="BF127" i="6"/>
  <c r="BG126" i="6"/>
  <c r="BF126" i="6"/>
  <c r="BG125" i="6"/>
  <c r="BF125" i="6"/>
  <c r="BG124" i="6"/>
  <c r="BF124" i="6"/>
  <c r="BG123" i="6"/>
  <c r="BF123" i="6"/>
  <c r="BG122" i="6"/>
  <c r="BF122" i="6"/>
  <c r="BG121" i="6"/>
  <c r="BF121" i="6"/>
  <c r="BG120" i="6"/>
  <c r="BF120" i="6"/>
  <c r="BG119" i="6"/>
  <c r="BF119" i="6"/>
  <c r="BG118" i="6"/>
  <c r="BF118" i="6"/>
  <c r="BG117" i="6"/>
  <c r="BF117" i="6"/>
  <c r="BG116" i="6"/>
  <c r="BF116" i="6"/>
  <c r="BG115" i="6"/>
  <c r="BF115" i="6"/>
  <c r="BG114" i="6"/>
  <c r="BF114" i="6"/>
  <c r="BG113" i="6"/>
  <c r="BF113" i="6"/>
  <c r="BG112" i="6"/>
  <c r="BF112" i="6"/>
  <c r="BG111" i="6"/>
  <c r="BF111" i="6"/>
  <c r="BG110" i="6"/>
  <c r="BF110" i="6"/>
  <c r="BG109" i="6"/>
  <c r="BF109" i="6"/>
  <c r="BG108" i="6"/>
  <c r="BF108" i="6"/>
  <c r="BG107" i="6"/>
  <c r="BF107" i="6"/>
  <c r="BG106" i="6"/>
  <c r="BF106" i="6"/>
  <c r="BG105" i="6"/>
  <c r="BF105" i="6"/>
  <c r="BG104" i="6"/>
  <c r="BF104" i="6"/>
  <c r="BG103" i="6"/>
  <c r="BF103" i="6"/>
  <c r="BG102" i="6"/>
  <c r="BF102" i="6"/>
  <c r="BG101" i="6"/>
  <c r="BF101" i="6"/>
  <c r="BG100" i="6"/>
  <c r="BF100" i="6"/>
  <c r="BG99" i="6"/>
  <c r="BF99" i="6"/>
  <c r="BG98" i="6"/>
  <c r="BF98" i="6"/>
  <c r="BG97" i="6"/>
  <c r="BF97" i="6"/>
  <c r="BG96" i="6"/>
  <c r="BF96" i="6"/>
  <c r="BG95" i="6"/>
  <c r="BF95" i="6"/>
  <c r="BG94" i="6"/>
  <c r="BF94" i="6"/>
  <c r="BG93" i="6"/>
  <c r="BF93" i="6"/>
  <c r="BG92" i="6"/>
  <c r="BF92" i="6"/>
  <c r="BG91" i="6"/>
  <c r="BF91" i="6"/>
  <c r="BG90" i="6"/>
  <c r="BF90" i="6"/>
  <c r="BG89" i="6"/>
  <c r="BF89" i="6"/>
  <c r="BG88" i="6"/>
  <c r="BF88" i="6"/>
  <c r="BG87" i="6"/>
  <c r="BF87" i="6"/>
  <c r="BG86" i="6"/>
  <c r="BF86" i="6"/>
  <c r="BG85" i="6"/>
  <c r="BF85" i="6"/>
  <c r="BG84" i="6"/>
  <c r="BF84" i="6"/>
  <c r="BG83" i="6"/>
  <c r="BF83" i="6"/>
  <c r="BG82" i="6"/>
  <c r="BF82" i="6"/>
  <c r="BG81" i="6"/>
  <c r="BF81" i="6"/>
  <c r="BG80" i="6"/>
  <c r="BF80" i="6"/>
  <c r="BG79" i="6"/>
  <c r="BF79" i="6"/>
  <c r="BG78" i="6"/>
  <c r="BF78" i="6"/>
  <c r="BG77" i="6"/>
  <c r="BF77" i="6"/>
  <c r="BG76" i="6"/>
  <c r="BF76" i="6"/>
  <c r="BG75" i="6"/>
  <c r="BF75" i="6"/>
  <c r="BG74" i="6"/>
  <c r="BF74" i="6"/>
  <c r="BG73" i="6"/>
  <c r="BF73" i="6"/>
  <c r="BG72" i="6"/>
  <c r="BF72" i="6"/>
  <c r="BG71" i="6"/>
  <c r="BF71" i="6"/>
  <c r="BG70" i="6"/>
  <c r="BF70" i="6"/>
  <c r="BG69" i="6"/>
  <c r="BF69" i="6"/>
  <c r="BG68" i="6"/>
  <c r="BF68" i="6"/>
  <c r="BG67" i="6"/>
  <c r="BF67" i="6"/>
  <c r="BG66" i="6"/>
  <c r="BF66" i="6"/>
  <c r="BG65" i="6"/>
  <c r="BF65" i="6"/>
  <c r="BG64" i="6"/>
  <c r="BF64" i="6"/>
  <c r="BG63" i="6"/>
  <c r="BF63" i="6"/>
  <c r="BG62" i="6"/>
  <c r="BF62" i="6"/>
  <c r="BG61" i="6"/>
  <c r="BF61" i="6"/>
  <c r="BG60" i="6"/>
  <c r="BF60" i="6"/>
  <c r="BG59" i="6"/>
  <c r="BF59" i="6"/>
  <c r="BG58" i="6"/>
  <c r="BF58" i="6"/>
  <c r="BG57" i="6"/>
  <c r="BF57" i="6"/>
  <c r="BG56" i="6"/>
  <c r="BF56" i="6"/>
  <c r="BG55" i="6"/>
  <c r="BF55" i="6"/>
  <c r="BG54" i="6"/>
  <c r="BF54" i="6"/>
  <c r="BG53" i="6"/>
  <c r="BF53" i="6"/>
  <c r="BG52" i="6"/>
  <c r="BF52" i="6"/>
  <c r="BG51" i="6"/>
  <c r="BF51" i="6"/>
  <c r="BG50" i="6"/>
  <c r="BF50" i="6"/>
  <c r="BG49" i="6"/>
  <c r="BF49" i="6"/>
  <c r="BG48" i="6"/>
  <c r="BF48" i="6"/>
  <c r="BG47" i="6"/>
  <c r="BF47" i="6"/>
  <c r="BG46" i="6"/>
  <c r="BF46" i="6"/>
  <c r="BG45" i="6"/>
  <c r="BF45" i="6"/>
  <c r="BG44" i="6"/>
  <c r="BF44" i="6"/>
  <c r="BG43" i="6"/>
  <c r="BF43" i="6"/>
  <c r="BG42" i="6"/>
  <c r="BF42" i="6"/>
  <c r="BG41" i="6"/>
  <c r="BF41" i="6"/>
  <c r="BG40" i="6"/>
  <c r="BF40" i="6"/>
  <c r="BG39" i="6"/>
  <c r="BF39" i="6"/>
  <c r="BG38" i="6"/>
  <c r="BF38" i="6"/>
  <c r="BG37" i="6"/>
  <c r="BF37" i="6"/>
  <c r="BG36" i="6"/>
  <c r="BF36" i="6"/>
  <c r="BG35" i="6"/>
  <c r="BF35" i="6"/>
  <c r="BG34" i="6"/>
  <c r="BF34" i="6"/>
  <c r="BG33" i="6"/>
  <c r="BF33" i="6"/>
  <c r="BG32" i="6"/>
  <c r="BF32" i="6"/>
  <c r="BG31" i="6"/>
  <c r="BF31" i="6"/>
  <c r="BG30" i="6"/>
  <c r="BF30" i="6"/>
  <c r="BG29" i="6"/>
  <c r="BF29" i="6"/>
  <c r="BG28" i="6"/>
  <c r="BF28" i="6"/>
  <c r="BG27" i="6"/>
  <c r="BF27" i="6"/>
  <c r="BG26" i="6"/>
  <c r="BF26" i="6"/>
  <c r="BG25" i="6"/>
  <c r="BF25" i="6"/>
  <c r="BG24" i="6"/>
  <c r="BF24" i="6"/>
  <c r="BG23" i="6"/>
  <c r="BF23" i="6"/>
  <c r="BG22" i="6"/>
  <c r="BF22" i="6"/>
  <c r="BG21" i="6"/>
  <c r="BF21" i="6"/>
  <c r="BG20" i="6"/>
  <c r="BF20" i="6"/>
  <c r="BG19" i="6"/>
  <c r="BF19" i="6"/>
  <c r="BG18" i="6"/>
  <c r="BF18" i="6"/>
  <c r="BG17" i="6"/>
  <c r="BF17" i="6"/>
  <c r="BG16" i="6"/>
  <c r="BF16" i="6"/>
  <c r="BG15" i="6"/>
  <c r="BF15" i="6"/>
  <c r="BG14" i="6"/>
  <c r="BF14" i="6"/>
  <c r="BG13" i="6"/>
  <c r="BF13" i="6"/>
  <c r="BG12" i="6"/>
  <c r="BF12" i="6"/>
  <c r="BG11" i="6"/>
  <c r="BF11" i="6"/>
  <c r="BG10" i="6"/>
  <c r="BF10" i="6"/>
  <c r="BG9" i="6"/>
  <c r="BF9" i="6"/>
  <c r="BG8" i="6"/>
  <c r="BF8" i="6"/>
  <c r="BN500" i="6"/>
  <c r="BM500" i="6"/>
  <c r="BN499" i="6"/>
  <c r="BM499" i="6"/>
  <c r="BN498" i="6"/>
  <c r="BM498" i="6"/>
  <c r="BN497" i="6"/>
  <c r="BM497" i="6"/>
  <c r="BN496" i="6"/>
  <c r="BM496" i="6"/>
  <c r="BN495" i="6"/>
  <c r="BM495" i="6"/>
  <c r="BN494" i="6"/>
  <c r="BM494" i="6"/>
  <c r="BN493" i="6"/>
  <c r="BM493" i="6"/>
  <c r="BN492" i="6"/>
  <c r="BM492" i="6"/>
  <c r="BN491" i="6"/>
  <c r="BM491" i="6"/>
  <c r="BN490" i="6"/>
  <c r="BM490" i="6"/>
  <c r="BN489" i="6"/>
  <c r="BM489" i="6"/>
  <c r="BN488" i="6"/>
  <c r="BM488" i="6"/>
  <c r="BN487" i="6"/>
  <c r="BM487" i="6"/>
  <c r="BN486" i="6"/>
  <c r="BM486" i="6"/>
  <c r="BN485" i="6"/>
  <c r="BM485" i="6"/>
  <c r="BN484" i="6"/>
  <c r="BM484" i="6"/>
  <c r="BN483" i="6"/>
  <c r="BM483" i="6"/>
  <c r="BN482" i="6"/>
  <c r="BM482" i="6"/>
  <c r="BN481" i="6"/>
  <c r="BM481" i="6"/>
  <c r="BN480" i="6"/>
  <c r="BM480" i="6"/>
  <c r="BN479" i="6"/>
  <c r="BM479" i="6"/>
  <c r="BN478" i="6"/>
  <c r="BM478" i="6"/>
  <c r="BN477" i="6"/>
  <c r="BM477" i="6"/>
  <c r="BN476" i="6"/>
  <c r="BM476" i="6"/>
  <c r="BN475" i="6"/>
  <c r="BM475" i="6"/>
  <c r="BN474" i="6"/>
  <c r="BM474" i="6"/>
  <c r="BN473" i="6"/>
  <c r="BM473" i="6"/>
  <c r="BN472" i="6"/>
  <c r="BM472" i="6"/>
  <c r="BN471" i="6"/>
  <c r="BM471" i="6"/>
  <c r="BN470" i="6"/>
  <c r="BM470" i="6"/>
  <c r="BN469" i="6"/>
  <c r="BM469" i="6"/>
  <c r="BN468" i="6"/>
  <c r="BM468" i="6"/>
  <c r="BN467" i="6"/>
  <c r="BM467" i="6"/>
  <c r="BN466" i="6"/>
  <c r="BM466" i="6"/>
  <c r="BN465" i="6"/>
  <c r="BM465" i="6"/>
  <c r="BN464" i="6"/>
  <c r="BM464" i="6"/>
  <c r="BN463" i="6"/>
  <c r="BM463" i="6"/>
  <c r="BN462" i="6"/>
  <c r="BM462" i="6"/>
  <c r="BN461" i="6"/>
  <c r="BM461" i="6"/>
  <c r="BN460" i="6"/>
  <c r="BM460" i="6"/>
  <c r="BN459" i="6"/>
  <c r="BM459" i="6"/>
  <c r="BN458" i="6"/>
  <c r="BM458" i="6"/>
  <c r="BN457" i="6"/>
  <c r="BM457" i="6"/>
  <c r="BN456" i="6"/>
  <c r="BM456" i="6"/>
  <c r="BN455" i="6"/>
  <c r="BM455" i="6"/>
  <c r="BN454" i="6"/>
  <c r="BM454" i="6"/>
  <c r="BN453" i="6"/>
  <c r="BM453" i="6"/>
  <c r="BN452" i="6"/>
  <c r="BM452" i="6"/>
  <c r="BN451" i="6"/>
  <c r="BM451" i="6"/>
  <c r="BN450" i="6"/>
  <c r="BM450" i="6"/>
  <c r="BN449" i="6"/>
  <c r="BM449" i="6"/>
  <c r="BN448" i="6"/>
  <c r="BM448" i="6"/>
  <c r="BN447" i="6"/>
  <c r="BM447" i="6"/>
  <c r="BN446" i="6"/>
  <c r="BM446" i="6"/>
  <c r="BN445" i="6"/>
  <c r="BM445" i="6"/>
  <c r="BN444" i="6"/>
  <c r="BM444" i="6"/>
  <c r="BN443" i="6"/>
  <c r="BM443" i="6"/>
  <c r="BN442" i="6"/>
  <c r="BM442" i="6"/>
  <c r="BN441" i="6"/>
  <c r="BM441" i="6"/>
  <c r="BN440" i="6"/>
  <c r="BM440" i="6"/>
  <c r="BN439" i="6"/>
  <c r="BM439" i="6"/>
  <c r="BN438" i="6"/>
  <c r="BM438" i="6"/>
  <c r="BN437" i="6"/>
  <c r="BM437" i="6"/>
  <c r="BN436" i="6"/>
  <c r="BM436" i="6"/>
  <c r="BN435" i="6"/>
  <c r="BM435" i="6"/>
  <c r="BN434" i="6"/>
  <c r="BM434" i="6"/>
  <c r="BN433" i="6"/>
  <c r="BM433" i="6"/>
  <c r="BN432" i="6"/>
  <c r="BM432" i="6"/>
  <c r="BN431" i="6"/>
  <c r="BM431" i="6"/>
  <c r="BN430" i="6"/>
  <c r="BM430" i="6"/>
  <c r="BN429" i="6"/>
  <c r="BM429" i="6"/>
  <c r="BN428" i="6"/>
  <c r="BM428" i="6"/>
  <c r="BN427" i="6"/>
  <c r="BM427" i="6"/>
  <c r="BN426" i="6"/>
  <c r="BM426" i="6"/>
  <c r="BN425" i="6"/>
  <c r="BM425" i="6"/>
  <c r="BN424" i="6"/>
  <c r="BM424" i="6"/>
  <c r="BN423" i="6"/>
  <c r="BM423" i="6"/>
  <c r="BN422" i="6"/>
  <c r="BM422" i="6"/>
  <c r="BN421" i="6"/>
  <c r="BM421" i="6"/>
  <c r="BN420" i="6"/>
  <c r="BM420" i="6"/>
  <c r="BN419" i="6"/>
  <c r="BM419" i="6"/>
  <c r="BN418" i="6"/>
  <c r="BM418" i="6"/>
  <c r="BN417" i="6"/>
  <c r="BM417" i="6"/>
  <c r="BN416" i="6"/>
  <c r="BM416" i="6"/>
  <c r="BN415" i="6"/>
  <c r="BM415" i="6"/>
  <c r="BN414" i="6"/>
  <c r="BM414" i="6"/>
  <c r="BN413" i="6"/>
  <c r="BM413" i="6"/>
  <c r="BN412" i="6"/>
  <c r="BM412" i="6"/>
  <c r="BN411" i="6"/>
  <c r="BM411" i="6"/>
  <c r="BN410" i="6"/>
  <c r="BM410" i="6"/>
  <c r="BN409" i="6"/>
  <c r="BM409" i="6"/>
  <c r="BN408" i="6"/>
  <c r="BM408" i="6"/>
  <c r="BN407" i="6"/>
  <c r="BM407" i="6"/>
  <c r="BN406" i="6"/>
  <c r="BM406" i="6"/>
  <c r="BN405" i="6"/>
  <c r="BM405" i="6"/>
  <c r="BN404" i="6"/>
  <c r="BM404" i="6"/>
  <c r="BN403" i="6"/>
  <c r="BM403" i="6"/>
  <c r="BN402" i="6"/>
  <c r="BM402" i="6"/>
  <c r="BN401" i="6"/>
  <c r="BM401" i="6"/>
  <c r="BN400" i="6"/>
  <c r="BM400" i="6"/>
  <c r="BN399" i="6"/>
  <c r="BM399" i="6"/>
  <c r="BN398" i="6"/>
  <c r="BM398" i="6"/>
  <c r="BN397" i="6"/>
  <c r="BM397" i="6"/>
  <c r="BN396" i="6"/>
  <c r="BM396" i="6"/>
  <c r="BN395" i="6"/>
  <c r="BM395" i="6"/>
  <c r="BN394" i="6"/>
  <c r="BM394" i="6"/>
  <c r="BN393" i="6"/>
  <c r="BM393" i="6"/>
  <c r="BN392" i="6"/>
  <c r="BM392" i="6"/>
  <c r="BN391" i="6"/>
  <c r="BM391" i="6"/>
  <c r="BN390" i="6"/>
  <c r="BM390" i="6"/>
  <c r="BN389" i="6"/>
  <c r="BM389" i="6"/>
  <c r="BN388" i="6"/>
  <c r="BM388" i="6"/>
  <c r="BN387" i="6"/>
  <c r="BM387" i="6"/>
  <c r="BN386" i="6"/>
  <c r="BM386" i="6"/>
  <c r="BN385" i="6"/>
  <c r="BM385" i="6"/>
  <c r="BN384" i="6"/>
  <c r="BM384" i="6"/>
  <c r="BN383" i="6"/>
  <c r="BM383" i="6"/>
  <c r="BN382" i="6"/>
  <c r="BM382" i="6"/>
  <c r="BN381" i="6"/>
  <c r="BM381" i="6"/>
  <c r="BN380" i="6"/>
  <c r="BM380" i="6"/>
  <c r="BN379" i="6"/>
  <c r="BM379" i="6"/>
  <c r="BN378" i="6"/>
  <c r="BM378" i="6"/>
  <c r="BN377" i="6"/>
  <c r="BM377" i="6"/>
  <c r="BN376" i="6"/>
  <c r="BM376" i="6"/>
  <c r="BN375" i="6"/>
  <c r="BM375" i="6"/>
  <c r="BN374" i="6"/>
  <c r="BM374" i="6"/>
  <c r="BN373" i="6"/>
  <c r="BM373" i="6"/>
  <c r="BN372" i="6"/>
  <c r="BM372" i="6"/>
  <c r="BN371" i="6"/>
  <c r="BM371" i="6"/>
  <c r="BN370" i="6"/>
  <c r="BM370" i="6"/>
  <c r="BN369" i="6"/>
  <c r="BM369" i="6"/>
  <c r="BN368" i="6"/>
  <c r="BM368" i="6"/>
  <c r="BN367" i="6"/>
  <c r="BM367" i="6"/>
  <c r="BN366" i="6"/>
  <c r="BM366" i="6"/>
  <c r="BN365" i="6"/>
  <c r="BM365" i="6"/>
  <c r="BN364" i="6"/>
  <c r="BM364" i="6"/>
  <c r="BN363" i="6"/>
  <c r="BM363" i="6"/>
  <c r="BN362" i="6"/>
  <c r="BM362" i="6"/>
  <c r="BN361" i="6"/>
  <c r="BM361" i="6"/>
  <c r="BN360" i="6"/>
  <c r="BM360" i="6"/>
  <c r="BN359" i="6"/>
  <c r="BM359" i="6"/>
  <c r="BN358" i="6"/>
  <c r="BM358" i="6"/>
  <c r="BN357" i="6"/>
  <c r="BM357" i="6"/>
  <c r="BN356" i="6"/>
  <c r="BM356" i="6"/>
  <c r="BN355" i="6"/>
  <c r="BM355" i="6"/>
  <c r="BN354" i="6"/>
  <c r="BM354" i="6"/>
  <c r="BN353" i="6"/>
  <c r="BM353" i="6"/>
  <c r="BN352" i="6"/>
  <c r="BM352" i="6"/>
  <c r="BN351" i="6"/>
  <c r="BM351" i="6"/>
  <c r="BN350" i="6"/>
  <c r="BM350" i="6"/>
  <c r="BN349" i="6"/>
  <c r="BM349" i="6"/>
  <c r="BN348" i="6"/>
  <c r="BM348" i="6"/>
  <c r="BN347" i="6"/>
  <c r="BM347" i="6"/>
  <c r="BN346" i="6"/>
  <c r="BM346" i="6"/>
  <c r="BN345" i="6"/>
  <c r="BM345" i="6"/>
  <c r="BN344" i="6"/>
  <c r="BM344" i="6"/>
  <c r="BN343" i="6"/>
  <c r="BM343" i="6"/>
  <c r="BN342" i="6"/>
  <c r="BM342" i="6"/>
  <c r="BN341" i="6"/>
  <c r="BM341" i="6"/>
  <c r="BN340" i="6"/>
  <c r="BM340" i="6"/>
  <c r="BN339" i="6"/>
  <c r="BM339" i="6"/>
  <c r="BN338" i="6"/>
  <c r="BM338" i="6"/>
  <c r="BN337" i="6"/>
  <c r="BM337" i="6"/>
  <c r="BN336" i="6"/>
  <c r="BM336" i="6"/>
  <c r="BN335" i="6"/>
  <c r="BM335" i="6"/>
  <c r="BN334" i="6"/>
  <c r="BM334" i="6"/>
  <c r="BN333" i="6"/>
  <c r="BM333" i="6"/>
  <c r="BN332" i="6"/>
  <c r="BM332" i="6"/>
  <c r="BN331" i="6"/>
  <c r="BM331" i="6"/>
  <c r="BN330" i="6"/>
  <c r="BM330" i="6"/>
  <c r="BN329" i="6"/>
  <c r="BM329" i="6"/>
  <c r="BN328" i="6"/>
  <c r="BM328" i="6"/>
  <c r="BN327" i="6"/>
  <c r="BM327" i="6"/>
  <c r="BN326" i="6"/>
  <c r="BM326" i="6"/>
  <c r="BN325" i="6"/>
  <c r="BM325" i="6"/>
  <c r="BN324" i="6"/>
  <c r="BM324" i="6"/>
  <c r="BN323" i="6"/>
  <c r="BM323" i="6"/>
  <c r="BN322" i="6"/>
  <c r="BM322" i="6"/>
  <c r="BN321" i="6"/>
  <c r="BM321" i="6"/>
  <c r="BN320" i="6"/>
  <c r="BM320" i="6"/>
  <c r="BN319" i="6"/>
  <c r="BM319" i="6"/>
  <c r="BN318" i="6"/>
  <c r="BM318" i="6"/>
  <c r="BN317" i="6"/>
  <c r="BM317" i="6"/>
  <c r="BN316" i="6"/>
  <c r="BM316" i="6"/>
  <c r="BN315" i="6"/>
  <c r="BM315" i="6"/>
  <c r="BN314" i="6"/>
  <c r="BM314" i="6"/>
  <c r="BN313" i="6"/>
  <c r="BM313" i="6"/>
  <c r="BN312" i="6"/>
  <c r="BM312" i="6"/>
  <c r="BN311" i="6"/>
  <c r="BM311" i="6"/>
  <c r="BN310" i="6"/>
  <c r="BM310" i="6"/>
  <c r="BN309" i="6"/>
  <c r="BM309" i="6"/>
  <c r="BN308" i="6"/>
  <c r="BM308" i="6"/>
  <c r="BN307" i="6"/>
  <c r="BM307" i="6"/>
  <c r="BN306" i="6"/>
  <c r="BM306" i="6"/>
  <c r="BN305" i="6"/>
  <c r="BM305" i="6"/>
  <c r="BN304" i="6"/>
  <c r="BM304" i="6"/>
  <c r="BN303" i="6"/>
  <c r="BM303" i="6"/>
  <c r="BN302" i="6"/>
  <c r="BM302" i="6"/>
  <c r="BN301" i="6"/>
  <c r="BM301" i="6"/>
  <c r="BN300" i="6"/>
  <c r="BM300" i="6"/>
  <c r="BN299" i="6"/>
  <c r="BM299" i="6"/>
  <c r="BN298" i="6"/>
  <c r="BM298" i="6"/>
  <c r="BN297" i="6"/>
  <c r="BM297" i="6"/>
  <c r="BN296" i="6"/>
  <c r="BM296" i="6"/>
  <c r="BN295" i="6"/>
  <c r="BM295" i="6"/>
  <c r="BN294" i="6"/>
  <c r="BM294" i="6"/>
  <c r="BN293" i="6"/>
  <c r="BM293" i="6"/>
  <c r="BN292" i="6"/>
  <c r="BM292" i="6"/>
  <c r="BN291" i="6"/>
  <c r="BM291" i="6"/>
  <c r="BN290" i="6"/>
  <c r="BM290" i="6"/>
  <c r="BN289" i="6"/>
  <c r="BM289" i="6"/>
  <c r="BN288" i="6"/>
  <c r="BM288" i="6"/>
  <c r="BN287" i="6"/>
  <c r="BM287" i="6"/>
  <c r="BN286" i="6"/>
  <c r="BM286" i="6"/>
  <c r="BN285" i="6"/>
  <c r="BM285" i="6"/>
  <c r="BN284" i="6"/>
  <c r="BM284" i="6"/>
  <c r="BN283" i="6"/>
  <c r="BM283" i="6"/>
  <c r="BN282" i="6"/>
  <c r="BM282" i="6"/>
  <c r="BN281" i="6"/>
  <c r="BM281" i="6"/>
  <c r="BN280" i="6"/>
  <c r="BM280" i="6"/>
  <c r="BN279" i="6"/>
  <c r="BM279" i="6"/>
  <c r="BN278" i="6"/>
  <c r="BM278" i="6"/>
  <c r="BN277" i="6"/>
  <c r="BM277" i="6"/>
  <c r="BN276" i="6"/>
  <c r="BM276" i="6"/>
  <c r="BN275" i="6"/>
  <c r="BM275" i="6"/>
  <c r="BN274" i="6"/>
  <c r="BM274" i="6"/>
  <c r="BN273" i="6"/>
  <c r="BM273" i="6"/>
  <c r="BN272" i="6"/>
  <c r="BM272" i="6"/>
  <c r="BN271" i="6"/>
  <c r="BM271" i="6"/>
  <c r="BN270" i="6"/>
  <c r="BM270" i="6"/>
  <c r="BN269" i="6"/>
  <c r="BM269" i="6"/>
  <c r="BN268" i="6"/>
  <c r="BM268" i="6"/>
  <c r="BN267" i="6"/>
  <c r="BM267" i="6"/>
  <c r="BN266" i="6"/>
  <c r="BM266" i="6"/>
  <c r="BN265" i="6"/>
  <c r="BM265" i="6"/>
  <c r="BN264" i="6"/>
  <c r="BM264" i="6"/>
  <c r="BN263" i="6"/>
  <c r="BM263" i="6"/>
  <c r="BN262" i="6"/>
  <c r="BM262" i="6"/>
  <c r="BN261" i="6"/>
  <c r="BM261" i="6"/>
  <c r="BN260" i="6"/>
  <c r="BM260" i="6"/>
  <c r="BN259" i="6"/>
  <c r="BM259" i="6"/>
  <c r="BN258" i="6"/>
  <c r="BM258" i="6"/>
  <c r="BN257" i="6"/>
  <c r="BM257" i="6"/>
  <c r="BN256" i="6"/>
  <c r="BM256" i="6"/>
  <c r="BN255" i="6"/>
  <c r="BM255" i="6"/>
  <c r="BN254" i="6"/>
  <c r="BM254" i="6"/>
  <c r="BN253" i="6"/>
  <c r="BM253" i="6"/>
  <c r="BN252" i="6"/>
  <c r="BM252" i="6"/>
  <c r="BN251" i="6"/>
  <c r="BM251" i="6"/>
  <c r="BN250" i="6"/>
  <c r="BM250" i="6"/>
  <c r="BN249" i="6"/>
  <c r="BM249" i="6"/>
  <c r="BN248" i="6"/>
  <c r="BM248" i="6"/>
  <c r="BN247" i="6"/>
  <c r="BM247" i="6"/>
  <c r="BN246" i="6"/>
  <c r="BM246" i="6"/>
  <c r="BN245" i="6"/>
  <c r="BM245" i="6"/>
  <c r="BN244" i="6"/>
  <c r="BM244" i="6"/>
  <c r="BN243" i="6"/>
  <c r="BM243" i="6"/>
  <c r="BN242" i="6"/>
  <c r="BM242" i="6"/>
  <c r="BN241" i="6"/>
  <c r="BM241" i="6"/>
  <c r="BN240" i="6"/>
  <c r="BM240" i="6"/>
  <c r="BN239" i="6"/>
  <c r="BM239" i="6"/>
  <c r="BN238" i="6"/>
  <c r="BM238" i="6"/>
  <c r="BN237" i="6"/>
  <c r="BM237" i="6"/>
  <c r="BN236" i="6"/>
  <c r="BM236" i="6"/>
  <c r="BN235" i="6"/>
  <c r="BM235" i="6"/>
  <c r="BN234" i="6"/>
  <c r="BM234" i="6"/>
  <c r="BN233" i="6"/>
  <c r="BM233" i="6"/>
  <c r="BN232" i="6"/>
  <c r="BM232" i="6"/>
  <c r="BN231" i="6"/>
  <c r="BM231" i="6"/>
  <c r="BN230" i="6"/>
  <c r="BM230" i="6"/>
  <c r="BN229" i="6"/>
  <c r="BM229" i="6"/>
  <c r="BN228" i="6"/>
  <c r="BM228" i="6"/>
  <c r="BN227" i="6"/>
  <c r="BM227" i="6"/>
  <c r="BN226" i="6"/>
  <c r="BM226" i="6"/>
  <c r="BN225" i="6"/>
  <c r="BM225" i="6"/>
  <c r="BN224" i="6"/>
  <c r="BM224" i="6"/>
  <c r="BN223" i="6"/>
  <c r="BM223" i="6"/>
  <c r="BN222" i="6"/>
  <c r="BM222" i="6"/>
  <c r="BN221" i="6"/>
  <c r="BM221" i="6"/>
  <c r="BN220" i="6"/>
  <c r="BM220" i="6"/>
  <c r="BN219" i="6"/>
  <c r="BM219" i="6"/>
  <c r="BN218" i="6"/>
  <c r="BM218" i="6"/>
  <c r="BN217" i="6"/>
  <c r="BM217" i="6"/>
  <c r="BN216" i="6"/>
  <c r="BM216" i="6"/>
  <c r="BN215" i="6"/>
  <c r="BM215" i="6"/>
  <c r="BN214" i="6"/>
  <c r="BM214" i="6"/>
  <c r="BN213" i="6"/>
  <c r="BM213" i="6"/>
  <c r="BN212" i="6"/>
  <c r="BM212" i="6"/>
  <c r="BN211" i="6"/>
  <c r="BM211" i="6"/>
  <c r="BN210" i="6"/>
  <c r="BM210" i="6"/>
  <c r="BN209" i="6"/>
  <c r="BM209" i="6"/>
  <c r="BN208" i="6"/>
  <c r="BM208" i="6"/>
  <c r="BN207" i="6"/>
  <c r="BM207" i="6"/>
  <c r="BN206" i="6"/>
  <c r="BM206" i="6"/>
  <c r="BN205" i="6"/>
  <c r="BM205" i="6"/>
  <c r="BN204" i="6"/>
  <c r="BM204" i="6"/>
  <c r="BN203" i="6"/>
  <c r="BM203" i="6"/>
  <c r="BN202" i="6"/>
  <c r="BM202" i="6"/>
  <c r="BN201" i="6"/>
  <c r="BM201" i="6"/>
  <c r="BN200" i="6"/>
  <c r="BM200" i="6"/>
  <c r="BN199" i="6"/>
  <c r="BM199" i="6"/>
  <c r="BN198" i="6"/>
  <c r="BM198" i="6"/>
  <c r="BN197" i="6"/>
  <c r="BM197" i="6"/>
  <c r="BN196" i="6"/>
  <c r="BM196" i="6"/>
  <c r="BN195" i="6"/>
  <c r="BM195" i="6"/>
  <c r="BN194" i="6"/>
  <c r="BM194" i="6"/>
  <c r="BN193" i="6"/>
  <c r="BM193" i="6"/>
  <c r="BN192" i="6"/>
  <c r="BM192" i="6"/>
  <c r="BN191" i="6"/>
  <c r="BM191" i="6"/>
  <c r="BN190" i="6"/>
  <c r="BM190" i="6"/>
  <c r="BN189" i="6"/>
  <c r="BM189" i="6"/>
  <c r="BN188" i="6"/>
  <c r="BM188" i="6"/>
  <c r="BN187" i="6"/>
  <c r="BM187" i="6"/>
  <c r="BN186" i="6"/>
  <c r="BM186" i="6"/>
  <c r="BN185" i="6"/>
  <c r="BM185" i="6"/>
  <c r="BN184" i="6"/>
  <c r="BM184" i="6"/>
  <c r="BN183" i="6"/>
  <c r="BM183" i="6"/>
  <c r="BN182" i="6"/>
  <c r="BM182" i="6"/>
  <c r="BN181" i="6"/>
  <c r="BM181" i="6"/>
  <c r="BN180" i="6"/>
  <c r="BM180" i="6"/>
  <c r="BN179" i="6"/>
  <c r="BM179" i="6"/>
  <c r="BN178" i="6"/>
  <c r="BM178" i="6"/>
  <c r="BN177" i="6"/>
  <c r="BM177" i="6"/>
  <c r="BN176" i="6"/>
  <c r="BM176" i="6"/>
  <c r="BN175" i="6"/>
  <c r="BM175" i="6"/>
  <c r="BN174" i="6"/>
  <c r="BM174" i="6"/>
  <c r="BN173" i="6"/>
  <c r="BM173" i="6"/>
  <c r="BN172" i="6"/>
  <c r="BM172" i="6"/>
  <c r="BN171" i="6"/>
  <c r="BM171" i="6"/>
  <c r="BN170" i="6"/>
  <c r="BM170" i="6"/>
  <c r="BN169" i="6"/>
  <c r="BM169" i="6"/>
  <c r="BN168" i="6"/>
  <c r="BM168" i="6"/>
  <c r="BN167" i="6"/>
  <c r="BM167" i="6"/>
  <c r="BN166" i="6"/>
  <c r="BM166" i="6"/>
  <c r="BN165" i="6"/>
  <c r="BM165" i="6"/>
  <c r="BN164" i="6"/>
  <c r="BM164" i="6"/>
  <c r="BN163" i="6"/>
  <c r="BM163" i="6"/>
  <c r="BN162" i="6"/>
  <c r="BM162" i="6"/>
  <c r="BN161" i="6"/>
  <c r="BM161" i="6"/>
  <c r="BN160" i="6"/>
  <c r="BM160" i="6"/>
  <c r="BN159" i="6"/>
  <c r="BM159" i="6"/>
  <c r="BN158" i="6"/>
  <c r="BM158" i="6"/>
  <c r="BN157" i="6"/>
  <c r="BM157" i="6"/>
  <c r="BN156" i="6"/>
  <c r="BM156" i="6"/>
  <c r="BN155" i="6"/>
  <c r="BM155" i="6"/>
  <c r="BN154" i="6"/>
  <c r="BM154" i="6"/>
  <c r="BN153" i="6"/>
  <c r="BM153" i="6"/>
  <c r="BN152" i="6"/>
  <c r="BM152" i="6"/>
  <c r="BN151" i="6"/>
  <c r="BM151" i="6"/>
  <c r="BN150" i="6"/>
  <c r="BM150" i="6"/>
  <c r="BN149" i="6"/>
  <c r="BM149" i="6"/>
  <c r="BN148" i="6"/>
  <c r="BM148" i="6"/>
  <c r="BN147" i="6"/>
  <c r="BM147" i="6"/>
  <c r="BN146" i="6"/>
  <c r="BM146" i="6"/>
  <c r="BN145" i="6"/>
  <c r="BM145" i="6"/>
  <c r="BN144" i="6"/>
  <c r="BM144" i="6"/>
  <c r="BN143" i="6"/>
  <c r="BM143" i="6"/>
  <c r="BN142" i="6"/>
  <c r="BM142" i="6"/>
  <c r="BN141" i="6"/>
  <c r="BM141" i="6"/>
  <c r="BN140" i="6"/>
  <c r="BM140" i="6"/>
  <c r="BN139" i="6"/>
  <c r="BM139" i="6"/>
  <c r="BN138" i="6"/>
  <c r="BM138" i="6"/>
  <c r="BN137" i="6"/>
  <c r="BM137" i="6"/>
  <c r="BN136" i="6"/>
  <c r="BM136" i="6"/>
  <c r="BN135" i="6"/>
  <c r="BM135" i="6"/>
  <c r="BN134" i="6"/>
  <c r="BM134" i="6"/>
  <c r="BN133" i="6"/>
  <c r="BM133" i="6"/>
  <c r="BN132" i="6"/>
  <c r="BM132" i="6"/>
  <c r="BN131" i="6"/>
  <c r="BM131" i="6"/>
  <c r="BN130" i="6"/>
  <c r="BM130" i="6"/>
  <c r="BN129" i="6"/>
  <c r="BM129" i="6"/>
  <c r="BN128" i="6"/>
  <c r="BM128" i="6"/>
  <c r="BN127" i="6"/>
  <c r="BM127" i="6"/>
  <c r="BN126" i="6"/>
  <c r="BM126" i="6"/>
  <c r="BN125" i="6"/>
  <c r="BM125" i="6"/>
  <c r="BN124" i="6"/>
  <c r="BM124" i="6"/>
  <c r="BN123" i="6"/>
  <c r="BM123" i="6"/>
  <c r="BN122" i="6"/>
  <c r="BM122" i="6"/>
  <c r="BN121" i="6"/>
  <c r="BM121" i="6"/>
  <c r="BN120" i="6"/>
  <c r="BM120" i="6"/>
  <c r="BN119" i="6"/>
  <c r="BM119" i="6"/>
  <c r="BN118" i="6"/>
  <c r="BM118" i="6"/>
  <c r="BN117" i="6"/>
  <c r="BM117" i="6"/>
  <c r="BN116" i="6"/>
  <c r="BM116" i="6"/>
  <c r="BN115" i="6"/>
  <c r="BM115" i="6"/>
  <c r="BN114" i="6"/>
  <c r="BM114" i="6"/>
  <c r="BN113" i="6"/>
  <c r="BM113" i="6"/>
  <c r="BN112" i="6"/>
  <c r="BM112" i="6"/>
  <c r="BN111" i="6"/>
  <c r="BM111" i="6"/>
  <c r="BN110" i="6"/>
  <c r="BM110" i="6"/>
  <c r="BN109" i="6"/>
  <c r="BM109" i="6"/>
  <c r="BN108" i="6"/>
  <c r="BM108" i="6"/>
  <c r="BN107" i="6"/>
  <c r="BM107" i="6"/>
  <c r="BN106" i="6"/>
  <c r="BM106" i="6"/>
  <c r="BN105" i="6"/>
  <c r="BM105" i="6"/>
  <c r="BN104" i="6"/>
  <c r="BM104" i="6"/>
  <c r="BN103" i="6"/>
  <c r="BM103" i="6"/>
  <c r="BN102" i="6"/>
  <c r="BM102" i="6"/>
  <c r="BN101" i="6"/>
  <c r="BM101" i="6"/>
  <c r="BN100" i="6"/>
  <c r="BM100" i="6"/>
  <c r="BN99" i="6"/>
  <c r="BM99" i="6"/>
  <c r="BN98" i="6"/>
  <c r="BM98" i="6"/>
  <c r="BN97" i="6"/>
  <c r="BM97" i="6"/>
  <c r="BN96" i="6"/>
  <c r="BM96" i="6"/>
  <c r="BN95" i="6"/>
  <c r="BM95" i="6"/>
  <c r="BN94" i="6"/>
  <c r="BM94" i="6"/>
  <c r="BN93" i="6"/>
  <c r="BM93" i="6"/>
  <c r="BN92" i="6"/>
  <c r="BM92" i="6"/>
  <c r="BN91" i="6"/>
  <c r="BM91" i="6"/>
  <c r="BN90" i="6"/>
  <c r="BM90" i="6"/>
  <c r="BN89" i="6"/>
  <c r="BM89" i="6"/>
  <c r="BN88" i="6"/>
  <c r="BM88" i="6"/>
  <c r="BN87" i="6"/>
  <c r="BM87" i="6"/>
  <c r="BN86" i="6"/>
  <c r="BM86" i="6"/>
  <c r="BN85" i="6"/>
  <c r="BM85" i="6"/>
  <c r="BN84" i="6"/>
  <c r="BM84" i="6"/>
  <c r="BN83" i="6"/>
  <c r="BM83" i="6"/>
  <c r="BN82" i="6"/>
  <c r="BM82" i="6"/>
  <c r="BN81" i="6"/>
  <c r="BM81" i="6"/>
  <c r="BN80" i="6"/>
  <c r="BM80" i="6"/>
  <c r="BN79" i="6"/>
  <c r="BM79" i="6"/>
  <c r="BN78" i="6"/>
  <c r="BM78" i="6"/>
  <c r="BN77" i="6"/>
  <c r="BM77" i="6"/>
  <c r="BN76" i="6"/>
  <c r="BM76" i="6"/>
  <c r="BN75" i="6"/>
  <c r="BM75" i="6"/>
  <c r="BN74" i="6"/>
  <c r="BM74" i="6"/>
  <c r="BN73" i="6"/>
  <c r="BM73" i="6"/>
  <c r="BN72" i="6"/>
  <c r="BM72" i="6"/>
  <c r="BN71" i="6"/>
  <c r="BM71" i="6"/>
  <c r="BN70" i="6"/>
  <c r="BM70" i="6"/>
  <c r="BN69" i="6"/>
  <c r="BM69" i="6"/>
  <c r="BN68" i="6"/>
  <c r="BM68" i="6"/>
  <c r="BN67" i="6"/>
  <c r="BM67" i="6"/>
  <c r="BN66" i="6"/>
  <c r="BM66" i="6"/>
  <c r="BN65" i="6"/>
  <c r="BM65" i="6"/>
  <c r="BN64" i="6"/>
  <c r="BM64" i="6"/>
  <c r="BN63" i="6"/>
  <c r="BM63" i="6"/>
  <c r="BN62" i="6"/>
  <c r="BM62" i="6"/>
  <c r="BN61" i="6"/>
  <c r="BM61" i="6"/>
  <c r="BN60" i="6"/>
  <c r="BM60" i="6"/>
  <c r="BN59" i="6"/>
  <c r="BM59" i="6"/>
  <c r="BN58" i="6"/>
  <c r="BM58" i="6"/>
  <c r="BN57" i="6"/>
  <c r="BM57" i="6"/>
  <c r="BN56" i="6"/>
  <c r="BM56" i="6"/>
  <c r="BN55" i="6"/>
  <c r="BM55" i="6"/>
  <c r="BN54" i="6"/>
  <c r="BM54" i="6"/>
  <c r="BN53" i="6"/>
  <c r="BM53" i="6"/>
  <c r="BN52" i="6"/>
  <c r="BM52" i="6"/>
  <c r="BN51" i="6"/>
  <c r="BM51" i="6"/>
  <c r="BN50" i="6"/>
  <c r="BM50" i="6"/>
  <c r="BN49" i="6"/>
  <c r="BM49" i="6"/>
  <c r="BN48" i="6"/>
  <c r="BM48" i="6"/>
  <c r="BN47" i="6"/>
  <c r="BM47" i="6"/>
  <c r="BN46" i="6"/>
  <c r="BM46" i="6"/>
  <c r="BN45" i="6"/>
  <c r="BM45" i="6"/>
  <c r="BN44" i="6"/>
  <c r="BM44" i="6"/>
  <c r="BN43" i="6"/>
  <c r="BM43" i="6"/>
  <c r="BN42" i="6"/>
  <c r="BM42" i="6"/>
  <c r="BN41" i="6"/>
  <c r="BM41" i="6"/>
  <c r="BN40" i="6"/>
  <c r="BM40" i="6"/>
  <c r="BN39" i="6"/>
  <c r="BM39" i="6"/>
  <c r="BN38" i="6"/>
  <c r="BM38" i="6"/>
  <c r="BN37" i="6"/>
  <c r="BM37" i="6"/>
  <c r="BN36" i="6"/>
  <c r="BM36" i="6"/>
  <c r="BN35" i="6"/>
  <c r="BM35" i="6"/>
  <c r="BN34" i="6"/>
  <c r="BM34" i="6"/>
  <c r="BN33" i="6"/>
  <c r="BM33" i="6"/>
  <c r="BN32" i="6"/>
  <c r="BM32" i="6"/>
  <c r="BN31" i="6"/>
  <c r="BM31" i="6"/>
  <c r="BN30" i="6"/>
  <c r="BM30" i="6"/>
  <c r="BN29" i="6"/>
  <c r="BM29" i="6"/>
  <c r="BN28" i="6"/>
  <c r="BM28" i="6"/>
  <c r="BN27" i="6"/>
  <c r="BM27" i="6"/>
  <c r="BN26" i="6"/>
  <c r="BM26" i="6"/>
  <c r="BN25" i="6"/>
  <c r="BM25" i="6"/>
  <c r="BN24" i="6"/>
  <c r="BM24" i="6"/>
  <c r="BN23" i="6"/>
  <c r="BM23" i="6"/>
  <c r="BN22" i="6"/>
  <c r="BM22" i="6"/>
  <c r="BN21" i="6"/>
  <c r="BM21" i="6"/>
  <c r="BN20" i="6"/>
  <c r="BM20" i="6"/>
  <c r="BN19" i="6"/>
  <c r="BM19" i="6"/>
  <c r="BN18" i="6"/>
  <c r="BM18" i="6"/>
  <c r="BN17" i="6"/>
  <c r="BM17" i="6"/>
  <c r="BN16" i="6"/>
  <c r="BM16" i="6"/>
  <c r="BN15" i="6"/>
  <c r="BM15" i="6"/>
  <c r="BN14" i="6"/>
  <c r="BM14" i="6"/>
  <c r="BN13" i="6"/>
  <c r="BM13" i="6"/>
  <c r="BN12" i="6"/>
  <c r="BM12" i="6"/>
  <c r="BN11" i="6"/>
  <c r="BM11" i="6"/>
  <c r="BN10" i="6"/>
  <c r="BM10" i="6"/>
  <c r="BN9" i="6"/>
  <c r="BM9" i="6"/>
  <c r="BN8" i="6"/>
  <c r="BM8" i="6"/>
  <c r="BU500" i="6"/>
  <c r="BT500" i="6"/>
  <c r="BU499" i="6"/>
  <c r="BT499" i="6"/>
  <c r="BU498" i="6"/>
  <c r="BT498" i="6"/>
  <c r="BU497" i="6"/>
  <c r="BT497" i="6"/>
  <c r="BU496" i="6"/>
  <c r="BT496" i="6"/>
  <c r="BU495" i="6"/>
  <c r="BT495" i="6"/>
  <c r="BU494" i="6"/>
  <c r="BT494" i="6"/>
  <c r="BU493" i="6"/>
  <c r="BT493" i="6"/>
  <c r="BU492" i="6"/>
  <c r="BT492" i="6"/>
  <c r="BU491" i="6"/>
  <c r="BT491" i="6"/>
  <c r="BU490" i="6"/>
  <c r="BT490" i="6"/>
  <c r="BU489" i="6"/>
  <c r="BT489" i="6"/>
  <c r="BU488" i="6"/>
  <c r="BT488" i="6"/>
  <c r="BU487" i="6"/>
  <c r="BT487" i="6"/>
  <c r="BU486" i="6"/>
  <c r="BT486" i="6"/>
  <c r="BU485" i="6"/>
  <c r="BT485" i="6"/>
  <c r="BU484" i="6"/>
  <c r="BT484" i="6"/>
  <c r="BU483" i="6"/>
  <c r="BT483" i="6"/>
  <c r="BU482" i="6"/>
  <c r="BT482" i="6"/>
  <c r="BU481" i="6"/>
  <c r="BT481" i="6"/>
  <c r="BU480" i="6"/>
  <c r="BT480" i="6"/>
  <c r="BU479" i="6"/>
  <c r="BT479" i="6"/>
  <c r="BU478" i="6"/>
  <c r="BT478" i="6"/>
  <c r="BU477" i="6"/>
  <c r="BT477" i="6"/>
  <c r="BU476" i="6"/>
  <c r="BT476" i="6"/>
  <c r="BU475" i="6"/>
  <c r="BT475" i="6"/>
  <c r="BU474" i="6"/>
  <c r="BT474" i="6"/>
  <c r="BU473" i="6"/>
  <c r="BT473" i="6"/>
  <c r="BU472" i="6"/>
  <c r="BT472" i="6"/>
  <c r="BU471" i="6"/>
  <c r="BT471" i="6"/>
  <c r="BU470" i="6"/>
  <c r="BT470" i="6"/>
  <c r="BU469" i="6"/>
  <c r="BT469" i="6"/>
  <c r="BU468" i="6"/>
  <c r="BT468" i="6"/>
  <c r="BU467" i="6"/>
  <c r="BT467" i="6"/>
  <c r="BU466" i="6"/>
  <c r="BT466" i="6"/>
  <c r="BU465" i="6"/>
  <c r="BT465" i="6"/>
  <c r="BU464" i="6"/>
  <c r="BT464" i="6"/>
  <c r="BU463" i="6"/>
  <c r="BT463" i="6"/>
  <c r="BU462" i="6"/>
  <c r="BT462" i="6"/>
  <c r="BU461" i="6"/>
  <c r="BT461" i="6"/>
  <c r="BU460" i="6"/>
  <c r="BT460" i="6"/>
  <c r="BU459" i="6"/>
  <c r="BT459" i="6"/>
  <c r="BU458" i="6"/>
  <c r="BT458" i="6"/>
  <c r="BU457" i="6"/>
  <c r="BT457" i="6"/>
  <c r="BU456" i="6"/>
  <c r="BT456" i="6"/>
  <c r="BU455" i="6"/>
  <c r="BT455" i="6"/>
  <c r="BU454" i="6"/>
  <c r="BT454" i="6"/>
  <c r="BU453" i="6"/>
  <c r="BT453" i="6"/>
  <c r="BU452" i="6"/>
  <c r="BT452" i="6"/>
  <c r="BU451" i="6"/>
  <c r="BT451" i="6"/>
  <c r="BU450" i="6"/>
  <c r="BT450" i="6"/>
  <c r="BU449" i="6"/>
  <c r="BT449" i="6"/>
  <c r="BU448" i="6"/>
  <c r="BT448" i="6"/>
  <c r="BU447" i="6"/>
  <c r="BT447" i="6"/>
  <c r="BU446" i="6"/>
  <c r="BT446" i="6"/>
  <c r="BU445" i="6"/>
  <c r="BT445" i="6"/>
  <c r="BU444" i="6"/>
  <c r="BT444" i="6"/>
  <c r="BU443" i="6"/>
  <c r="BT443" i="6"/>
  <c r="BU442" i="6"/>
  <c r="BT442" i="6"/>
  <c r="BU441" i="6"/>
  <c r="BT441" i="6"/>
  <c r="BU440" i="6"/>
  <c r="BT440" i="6"/>
  <c r="BU439" i="6"/>
  <c r="BT439" i="6"/>
  <c r="BU438" i="6"/>
  <c r="BT438" i="6"/>
  <c r="BU437" i="6"/>
  <c r="BT437" i="6"/>
  <c r="BU436" i="6"/>
  <c r="BT436" i="6"/>
  <c r="BU435" i="6"/>
  <c r="BT435" i="6"/>
  <c r="BU434" i="6"/>
  <c r="BT434" i="6"/>
  <c r="BU433" i="6"/>
  <c r="BT433" i="6"/>
  <c r="BU432" i="6"/>
  <c r="BT432" i="6"/>
  <c r="BU431" i="6"/>
  <c r="BT431" i="6"/>
  <c r="BU430" i="6"/>
  <c r="BT430" i="6"/>
  <c r="BU429" i="6"/>
  <c r="BT429" i="6"/>
  <c r="BU428" i="6"/>
  <c r="BT428" i="6"/>
  <c r="BU427" i="6"/>
  <c r="BT427" i="6"/>
  <c r="BU426" i="6"/>
  <c r="BT426" i="6"/>
  <c r="BU425" i="6"/>
  <c r="BT425" i="6"/>
  <c r="BU424" i="6"/>
  <c r="BT424" i="6"/>
  <c r="BU423" i="6"/>
  <c r="BT423" i="6"/>
  <c r="BU422" i="6"/>
  <c r="BT422" i="6"/>
  <c r="BU421" i="6"/>
  <c r="BT421" i="6"/>
  <c r="BU420" i="6"/>
  <c r="BT420" i="6"/>
  <c r="BU419" i="6"/>
  <c r="BT419" i="6"/>
  <c r="BU418" i="6"/>
  <c r="BT418" i="6"/>
  <c r="BU417" i="6"/>
  <c r="BT417" i="6"/>
  <c r="BU416" i="6"/>
  <c r="BT416" i="6"/>
  <c r="BU415" i="6"/>
  <c r="BT415" i="6"/>
  <c r="BU414" i="6"/>
  <c r="BT414" i="6"/>
  <c r="BU413" i="6"/>
  <c r="BT413" i="6"/>
  <c r="BU412" i="6"/>
  <c r="BT412" i="6"/>
  <c r="BU411" i="6"/>
  <c r="BT411" i="6"/>
  <c r="BU410" i="6"/>
  <c r="BT410" i="6"/>
  <c r="BU409" i="6"/>
  <c r="BT409" i="6"/>
  <c r="BU408" i="6"/>
  <c r="BT408" i="6"/>
  <c r="BU407" i="6"/>
  <c r="BT407" i="6"/>
  <c r="BU406" i="6"/>
  <c r="BT406" i="6"/>
  <c r="BU405" i="6"/>
  <c r="BT405" i="6"/>
  <c r="BU404" i="6"/>
  <c r="BT404" i="6"/>
  <c r="BU403" i="6"/>
  <c r="BT403" i="6"/>
  <c r="BU402" i="6"/>
  <c r="BT402" i="6"/>
  <c r="BU401" i="6"/>
  <c r="BT401" i="6"/>
  <c r="BU400" i="6"/>
  <c r="BT400" i="6"/>
  <c r="BU399" i="6"/>
  <c r="BT399" i="6"/>
  <c r="BU398" i="6"/>
  <c r="BT398" i="6"/>
  <c r="BU397" i="6"/>
  <c r="BT397" i="6"/>
  <c r="BU396" i="6"/>
  <c r="BT396" i="6"/>
  <c r="BU395" i="6"/>
  <c r="BT395" i="6"/>
  <c r="BU394" i="6"/>
  <c r="BT394" i="6"/>
  <c r="BU393" i="6"/>
  <c r="BT393" i="6"/>
  <c r="BU392" i="6"/>
  <c r="BT392" i="6"/>
  <c r="BU391" i="6"/>
  <c r="BT391" i="6"/>
  <c r="BU390" i="6"/>
  <c r="BT390" i="6"/>
  <c r="BU389" i="6"/>
  <c r="BT389" i="6"/>
  <c r="BU388" i="6"/>
  <c r="BT388" i="6"/>
  <c r="BU387" i="6"/>
  <c r="BT387" i="6"/>
  <c r="BU386" i="6"/>
  <c r="BT386" i="6"/>
  <c r="BU385" i="6"/>
  <c r="BT385" i="6"/>
  <c r="BU384" i="6"/>
  <c r="BT384" i="6"/>
  <c r="BU383" i="6"/>
  <c r="BT383" i="6"/>
  <c r="BU382" i="6"/>
  <c r="BT382" i="6"/>
  <c r="BU381" i="6"/>
  <c r="BT381" i="6"/>
  <c r="BU380" i="6"/>
  <c r="BT380" i="6"/>
  <c r="BU379" i="6"/>
  <c r="BT379" i="6"/>
  <c r="BU378" i="6"/>
  <c r="BT378" i="6"/>
  <c r="BU377" i="6"/>
  <c r="BT377" i="6"/>
  <c r="BU376" i="6"/>
  <c r="BT376" i="6"/>
  <c r="BU375" i="6"/>
  <c r="BT375" i="6"/>
  <c r="BU374" i="6"/>
  <c r="BT374" i="6"/>
  <c r="BU373" i="6"/>
  <c r="BT373" i="6"/>
  <c r="BU372" i="6"/>
  <c r="BT372" i="6"/>
  <c r="BU371" i="6"/>
  <c r="BT371" i="6"/>
  <c r="BU370" i="6"/>
  <c r="BT370" i="6"/>
  <c r="BU369" i="6"/>
  <c r="BT369" i="6"/>
  <c r="BU368" i="6"/>
  <c r="BT368" i="6"/>
  <c r="BU367" i="6"/>
  <c r="BT367" i="6"/>
  <c r="BU366" i="6"/>
  <c r="BT366" i="6"/>
  <c r="BU365" i="6"/>
  <c r="BT365" i="6"/>
  <c r="BU364" i="6"/>
  <c r="BT364" i="6"/>
  <c r="BU363" i="6"/>
  <c r="BT363" i="6"/>
  <c r="BU362" i="6"/>
  <c r="BT362" i="6"/>
  <c r="BU361" i="6"/>
  <c r="BT361" i="6"/>
  <c r="BU360" i="6"/>
  <c r="BT360" i="6"/>
  <c r="BU359" i="6"/>
  <c r="BT359" i="6"/>
  <c r="BU358" i="6"/>
  <c r="BT358" i="6"/>
  <c r="BU357" i="6"/>
  <c r="BT357" i="6"/>
  <c r="BU356" i="6"/>
  <c r="BT356" i="6"/>
  <c r="BU355" i="6"/>
  <c r="BT355" i="6"/>
  <c r="BU354" i="6"/>
  <c r="BT354" i="6"/>
  <c r="BU353" i="6"/>
  <c r="BT353" i="6"/>
  <c r="BU352" i="6"/>
  <c r="BT352" i="6"/>
  <c r="BU351" i="6"/>
  <c r="BT351" i="6"/>
  <c r="BU350" i="6"/>
  <c r="BT350" i="6"/>
  <c r="BU349" i="6"/>
  <c r="BT349" i="6"/>
  <c r="BU348" i="6"/>
  <c r="BT348" i="6"/>
  <c r="BU347" i="6"/>
  <c r="BT347" i="6"/>
  <c r="BU346" i="6"/>
  <c r="BT346" i="6"/>
  <c r="BU345" i="6"/>
  <c r="BT345" i="6"/>
  <c r="BU344" i="6"/>
  <c r="BT344" i="6"/>
  <c r="BU343" i="6"/>
  <c r="BT343" i="6"/>
  <c r="BU342" i="6"/>
  <c r="BT342" i="6"/>
  <c r="BU341" i="6"/>
  <c r="BT341" i="6"/>
  <c r="BU340" i="6"/>
  <c r="BT340" i="6"/>
  <c r="BU339" i="6"/>
  <c r="BT339" i="6"/>
  <c r="BU338" i="6"/>
  <c r="BT338" i="6"/>
  <c r="BU337" i="6"/>
  <c r="BT337" i="6"/>
  <c r="BU336" i="6"/>
  <c r="BT336" i="6"/>
  <c r="BU335" i="6"/>
  <c r="BT335" i="6"/>
  <c r="BU334" i="6"/>
  <c r="BT334" i="6"/>
  <c r="BU333" i="6"/>
  <c r="BT333" i="6"/>
  <c r="BU332" i="6"/>
  <c r="BT332" i="6"/>
  <c r="BU331" i="6"/>
  <c r="BT331" i="6"/>
  <c r="BU330" i="6"/>
  <c r="BT330" i="6"/>
  <c r="BU329" i="6"/>
  <c r="BT329" i="6"/>
  <c r="BU328" i="6"/>
  <c r="BT328" i="6"/>
  <c r="BU327" i="6"/>
  <c r="BT327" i="6"/>
  <c r="BU326" i="6"/>
  <c r="BT326" i="6"/>
  <c r="BU325" i="6"/>
  <c r="BT325" i="6"/>
  <c r="BU324" i="6"/>
  <c r="BT324" i="6"/>
  <c r="BU323" i="6"/>
  <c r="BT323" i="6"/>
  <c r="BU322" i="6"/>
  <c r="BT322" i="6"/>
  <c r="BU321" i="6"/>
  <c r="BT321" i="6"/>
  <c r="BU320" i="6"/>
  <c r="BT320" i="6"/>
  <c r="BU319" i="6"/>
  <c r="BT319" i="6"/>
  <c r="BU318" i="6"/>
  <c r="BT318" i="6"/>
  <c r="BU317" i="6"/>
  <c r="BT317" i="6"/>
  <c r="BU316" i="6"/>
  <c r="BT316" i="6"/>
  <c r="BU315" i="6"/>
  <c r="BT315" i="6"/>
  <c r="BU314" i="6"/>
  <c r="BT314" i="6"/>
  <c r="BU313" i="6"/>
  <c r="BT313" i="6"/>
  <c r="BU312" i="6"/>
  <c r="BT312" i="6"/>
  <c r="BU311" i="6"/>
  <c r="BT311" i="6"/>
  <c r="BU310" i="6"/>
  <c r="BT310" i="6"/>
  <c r="BU309" i="6"/>
  <c r="BT309" i="6"/>
  <c r="BU308" i="6"/>
  <c r="BT308" i="6"/>
  <c r="BU307" i="6"/>
  <c r="BT307" i="6"/>
  <c r="BU306" i="6"/>
  <c r="BT306" i="6"/>
  <c r="BU305" i="6"/>
  <c r="BT305" i="6"/>
  <c r="BU304" i="6"/>
  <c r="BT304" i="6"/>
  <c r="BU303" i="6"/>
  <c r="BT303" i="6"/>
  <c r="BU302" i="6"/>
  <c r="BT302" i="6"/>
  <c r="BU301" i="6"/>
  <c r="BT301" i="6"/>
  <c r="BU300" i="6"/>
  <c r="BT300" i="6"/>
  <c r="BU299" i="6"/>
  <c r="BT299" i="6"/>
  <c r="BU298" i="6"/>
  <c r="BT298" i="6"/>
  <c r="BU297" i="6"/>
  <c r="BT297" i="6"/>
  <c r="BU296" i="6"/>
  <c r="BT296" i="6"/>
  <c r="BU295" i="6"/>
  <c r="BT295" i="6"/>
  <c r="BU294" i="6"/>
  <c r="BT294" i="6"/>
  <c r="BU293" i="6"/>
  <c r="BT293" i="6"/>
  <c r="BU292" i="6"/>
  <c r="BT292" i="6"/>
  <c r="BU291" i="6"/>
  <c r="BT291" i="6"/>
  <c r="BU290" i="6"/>
  <c r="BT290" i="6"/>
  <c r="BU289" i="6"/>
  <c r="BT289" i="6"/>
  <c r="BU288" i="6"/>
  <c r="BT288" i="6"/>
  <c r="BU287" i="6"/>
  <c r="BT287" i="6"/>
  <c r="BU286" i="6"/>
  <c r="BT286" i="6"/>
  <c r="BU285" i="6"/>
  <c r="BT285" i="6"/>
  <c r="BU284" i="6"/>
  <c r="BT284" i="6"/>
  <c r="BU283" i="6"/>
  <c r="BT283" i="6"/>
  <c r="BU282" i="6"/>
  <c r="BT282" i="6"/>
  <c r="BU281" i="6"/>
  <c r="BT281" i="6"/>
  <c r="BU280" i="6"/>
  <c r="BT280" i="6"/>
  <c r="BU279" i="6"/>
  <c r="BT279" i="6"/>
  <c r="BU278" i="6"/>
  <c r="BT278" i="6"/>
  <c r="BU277" i="6"/>
  <c r="BT277" i="6"/>
  <c r="BU276" i="6"/>
  <c r="BT276" i="6"/>
  <c r="BU275" i="6"/>
  <c r="BT275" i="6"/>
  <c r="BU274" i="6"/>
  <c r="BT274" i="6"/>
  <c r="BU273" i="6"/>
  <c r="BT273" i="6"/>
  <c r="BU272" i="6"/>
  <c r="BT272" i="6"/>
  <c r="BU271" i="6"/>
  <c r="BT271" i="6"/>
  <c r="BU270" i="6"/>
  <c r="BT270" i="6"/>
  <c r="BU269" i="6"/>
  <c r="BT269" i="6"/>
  <c r="BU268" i="6"/>
  <c r="BT268" i="6"/>
  <c r="BU267" i="6"/>
  <c r="BT267" i="6"/>
  <c r="BU266" i="6"/>
  <c r="BT266" i="6"/>
  <c r="BU265" i="6"/>
  <c r="BT265" i="6"/>
  <c r="BU264" i="6"/>
  <c r="BT264" i="6"/>
  <c r="BU263" i="6"/>
  <c r="BT263" i="6"/>
  <c r="BU262" i="6"/>
  <c r="BT262" i="6"/>
  <c r="BU261" i="6"/>
  <c r="BT261" i="6"/>
  <c r="BU260" i="6"/>
  <c r="BT260" i="6"/>
  <c r="BU259" i="6"/>
  <c r="BT259" i="6"/>
  <c r="BU258" i="6"/>
  <c r="BT258" i="6"/>
  <c r="BU257" i="6"/>
  <c r="BT257" i="6"/>
  <c r="BU256" i="6"/>
  <c r="BT256" i="6"/>
  <c r="BU255" i="6"/>
  <c r="BT255" i="6"/>
  <c r="BU254" i="6"/>
  <c r="BT254" i="6"/>
  <c r="BU253" i="6"/>
  <c r="BT253" i="6"/>
  <c r="BU252" i="6"/>
  <c r="BT252" i="6"/>
  <c r="BU251" i="6"/>
  <c r="BT251" i="6"/>
  <c r="BU250" i="6"/>
  <c r="BT250" i="6"/>
  <c r="BU249" i="6"/>
  <c r="BT249" i="6"/>
  <c r="BU248" i="6"/>
  <c r="BT248" i="6"/>
  <c r="BU247" i="6"/>
  <c r="BT247" i="6"/>
  <c r="BU246" i="6"/>
  <c r="BT246" i="6"/>
  <c r="BU245" i="6"/>
  <c r="BT245" i="6"/>
  <c r="BU244" i="6"/>
  <c r="BT244" i="6"/>
  <c r="BU243" i="6"/>
  <c r="BT243" i="6"/>
  <c r="BU242" i="6"/>
  <c r="BT242" i="6"/>
  <c r="BU241" i="6"/>
  <c r="BT241" i="6"/>
  <c r="BU240" i="6"/>
  <c r="BT240" i="6"/>
  <c r="BU239" i="6"/>
  <c r="BT239" i="6"/>
  <c r="BU238" i="6"/>
  <c r="BT238" i="6"/>
  <c r="BU237" i="6"/>
  <c r="BT237" i="6"/>
  <c r="BU236" i="6"/>
  <c r="BT236" i="6"/>
  <c r="BU235" i="6"/>
  <c r="BT235" i="6"/>
  <c r="BU234" i="6"/>
  <c r="BT234" i="6"/>
  <c r="BU233" i="6"/>
  <c r="BT233" i="6"/>
  <c r="BU232" i="6"/>
  <c r="BT232" i="6"/>
  <c r="BU231" i="6"/>
  <c r="BT231" i="6"/>
  <c r="BU230" i="6"/>
  <c r="BT230" i="6"/>
  <c r="BU229" i="6"/>
  <c r="BT229" i="6"/>
  <c r="BU228" i="6"/>
  <c r="BT228" i="6"/>
  <c r="BU227" i="6"/>
  <c r="BT227" i="6"/>
  <c r="BU226" i="6"/>
  <c r="BT226" i="6"/>
  <c r="BU225" i="6"/>
  <c r="BT225" i="6"/>
  <c r="BU224" i="6"/>
  <c r="BT224" i="6"/>
  <c r="BU223" i="6"/>
  <c r="BT223" i="6"/>
  <c r="BU222" i="6"/>
  <c r="BT222" i="6"/>
  <c r="BU221" i="6"/>
  <c r="BT221" i="6"/>
  <c r="BU220" i="6"/>
  <c r="BT220" i="6"/>
  <c r="BU219" i="6"/>
  <c r="BT219" i="6"/>
  <c r="BU218" i="6"/>
  <c r="BT218" i="6"/>
  <c r="BU217" i="6"/>
  <c r="BT217" i="6"/>
  <c r="BU216" i="6"/>
  <c r="BT216" i="6"/>
  <c r="BU215" i="6"/>
  <c r="BT215" i="6"/>
  <c r="BU214" i="6"/>
  <c r="BT214" i="6"/>
  <c r="BU213" i="6"/>
  <c r="BT213" i="6"/>
  <c r="BU212" i="6"/>
  <c r="BT212" i="6"/>
  <c r="BU211" i="6"/>
  <c r="BT211" i="6"/>
  <c r="BU210" i="6"/>
  <c r="BT210" i="6"/>
  <c r="BU209" i="6"/>
  <c r="BT209" i="6"/>
  <c r="BU208" i="6"/>
  <c r="BT208" i="6"/>
  <c r="BU207" i="6"/>
  <c r="BT207" i="6"/>
  <c r="BU206" i="6"/>
  <c r="BT206" i="6"/>
  <c r="BU205" i="6"/>
  <c r="BT205" i="6"/>
  <c r="BU204" i="6"/>
  <c r="BT204" i="6"/>
  <c r="BU203" i="6"/>
  <c r="BT203" i="6"/>
  <c r="BU202" i="6"/>
  <c r="BT202" i="6"/>
  <c r="BU201" i="6"/>
  <c r="BT201" i="6"/>
  <c r="BU200" i="6"/>
  <c r="BT200" i="6"/>
  <c r="BU199" i="6"/>
  <c r="BT199" i="6"/>
  <c r="BU198" i="6"/>
  <c r="BT198" i="6"/>
  <c r="BU197" i="6"/>
  <c r="BT197" i="6"/>
  <c r="BU196" i="6"/>
  <c r="BT196" i="6"/>
  <c r="BU195" i="6"/>
  <c r="BT195" i="6"/>
  <c r="BU194" i="6"/>
  <c r="BT194" i="6"/>
  <c r="BU193" i="6"/>
  <c r="BT193" i="6"/>
  <c r="BU192" i="6"/>
  <c r="BT192" i="6"/>
  <c r="BU191" i="6"/>
  <c r="BT191" i="6"/>
  <c r="BU190" i="6"/>
  <c r="BT190" i="6"/>
  <c r="BU189" i="6"/>
  <c r="BT189" i="6"/>
  <c r="BU188" i="6"/>
  <c r="BT188" i="6"/>
  <c r="BU187" i="6"/>
  <c r="BT187" i="6"/>
  <c r="BU186" i="6"/>
  <c r="BT186" i="6"/>
  <c r="BU185" i="6"/>
  <c r="BT185" i="6"/>
  <c r="BU184" i="6"/>
  <c r="BT184" i="6"/>
  <c r="BU183" i="6"/>
  <c r="BT183" i="6"/>
  <c r="BU182" i="6"/>
  <c r="BT182" i="6"/>
  <c r="BU181" i="6"/>
  <c r="BT181" i="6"/>
  <c r="BU180" i="6"/>
  <c r="BT180" i="6"/>
  <c r="BU179" i="6"/>
  <c r="BT179" i="6"/>
  <c r="BU178" i="6"/>
  <c r="BT178" i="6"/>
  <c r="BU177" i="6"/>
  <c r="BT177" i="6"/>
  <c r="BU176" i="6"/>
  <c r="BT176" i="6"/>
  <c r="BU175" i="6"/>
  <c r="BT175" i="6"/>
  <c r="BU174" i="6"/>
  <c r="BT174" i="6"/>
  <c r="BU173" i="6"/>
  <c r="BT173" i="6"/>
  <c r="BU172" i="6"/>
  <c r="BT172" i="6"/>
  <c r="BU171" i="6"/>
  <c r="BT171" i="6"/>
  <c r="BU170" i="6"/>
  <c r="BT170" i="6"/>
  <c r="BU169" i="6"/>
  <c r="BT169" i="6"/>
  <c r="BU168" i="6"/>
  <c r="BT168" i="6"/>
  <c r="BU167" i="6"/>
  <c r="BT167" i="6"/>
  <c r="BU166" i="6"/>
  <c r="BT166" i="6"/>
  <c r="BU165" i="6"/>
  <c r="BT165" i="6"/>
  <c r="BU164" i="6"/>
  <c r="BT164" i="6"/>
  <c r="BU163" i="6"/>
  <c r="BT163" i="6"/>
  <c r="BU162" i="6"/>
  <c r="BT162" i="6"/>
  <c r="BU161" i="6"/>
  <c r="BT161" i="6"/>
  <c r="BU160" i="6"/>
  <c r="BT160" i="6"/>
  <c r="BU159" i="6"/>
  <c r="BT159" i="6"/>
  <c r="BU158" i="6"/>
  <c r="BT158" i="6"/>
  <c r="BU157" i="6"/>
  <c r="BT157" i="6"/>
  <c r="BU156" i="6"/>
  <c r="BT156" i="6"/>
  <c r="BU155" i="6"/>
  <c r="BT155" i="6"/>
  <c r="BU154" i="6"/>
  <c r="BT154" i="6"/>
  <c r="BU153" i="6"/>
  <c r="BT153" i="6"/>
  <c r="BU152" i="6"/>
  <c r="BT152" i="6"/>
  <c r="BU151" i="6"/>
  <c r="BT151" i="6"/>
  <c r="BU150" i="6"/>
  <c r="BT150" i="6"/>
  <c r="BU149" i="6"/>
  <c r="BT149" i="6"/>
  <c r="BU148" i="6"/>
  <c r="BT148" i="6"/>
  <c r="BU147" i="6"/>
  <c r="BT147" i="6"/>
  <c r="BU146" i="6"/>
  <c r="BT146" i="6"/>
  <c r="BU145" i="6"/>
  <c r="BT145" i="6"/>
  <c r="BU144" i="6"/>
  <c r="BT144" i="6"/>
  <c r="BU143" i="6"/>
  <c r="BT143" i="6"/>
  <c r="BU142" i="6"/>
  <c r="BT142" i="6"/>
  <c r="BU141" i="6"/>
  <c r="BT141" i="6"/>
  <c r="BU140" i="6"/>
  <c r="BT140" i="6"/>
  <c r="BU139" i="6"/>
  <c r="BT139" i="6"/>
  <c r="BU138" i="6"/>
  <c r="BT138" i="6"/>
  <c r="BU137" i="6"/>
  <c r="BT137" i="6"/>
  <c r="BU136" i="6"/>
  <c r="BT136" i="6"/>
  <c r="BU135" i="6"/>
  <c r="BT135" i="6"/>
  <c r="BU134" i="6"/>
  <c r="BT134" i="6"/>
  <c r="BU133" i="6"/>
  <c r="BT133" i="6"/>
  <c r="BU132" i="6"/>
  <c r="BT132" i="6"/>
  <c r="BU131" i="6"/>
  <c r="BT131" i="6"/>
  <c r="BU130" i="6"/>
  <c r="BT130" i="6"/>
  <c r="BU129" i="6"/>
  <c r="BT129" i="6"/>
  <c r="BU128" i="6"/>
  <c r="BT128" i="6"/>
  <c r="BU127" i="6"/>
  <c r="BT127" i="6"/>
  <c r="BU126" i="6"/>
  <c r="BT126" i="6"/>
  <c r="BU125" i="6"/>
  <c r="BT125" i="6"/>
  <c r="BU124" i="6"/>
  <c r="BT124" i="6"/>
  <c r="BU123" i="6"/>
  <c r="BT123" i="6"/>
  <c r="BU122" i="6"/>
  <c r="BT122" i="6"/>
  <c r="BU121" i="6"/>
  <c r="BT121" i="6"/>
  <c r="BU120" i="6"/>
  <c r="BT120" i="6"/>
  <c r="BU119" i="6"/>
  <c r="BT119" i="6"/>
  <c r="BU118" i="6"/>
  <c r="BT118" i="6"/>
  <c r="BU117" i="6"/>
  <c r="BT117" i="6"/>
  <c r="BU116" i="6"/>
  <c r="BT116" i="6"/>
  <c r="BU115" i="6"/>
  <c r="BT115" i="6"/>
  <c r="BU114" i="6"/>
  <c r="BT114" i="6"/>
  <c r="BU113" i="6"/>
  <c r="BT113" i="6"/>
  <c r="BU112" i="6"/>
  <c r="BT112" i="6"/>
  <c r="BU111" i="6"/>
  <c r="BT111" i="6"/>
  <c r="BU110" i="6"/>
  <c r="BT110" i="6"/>
  <c r="BU109" i="6"/>
  <c r="BT109" i="6"/>
  <c r="BU108" i="6"/>
  <c r="BT108" i="6"/>
  <c r="BU107" i="6"/>
  <c r="BT107" i="6"/>
  <c r="BU106" i="6"/>
  <c r="BT106" i="6"/>
  <c r="BU105" i="6"/>
  <c r="BT105" i="6"/>
  <c r="BU104" i="6"/>
  <c r="BT104" i="6"/>
  <c r="BU103" i="6"/>
  <c r="BT103" i="6"/>
  <c r="BU102" i="6"/>
  <c r="BT102" i="6"/>
  <c r="BU101" i="6"/>
  <c r="BT101" i="6"/>
  <c r="BU100" i="6"/>
  <c r="BT100" i="6"/>
  <c r="BU99" i="6"/>
  <c r="BT99" i="6"/>
  <c r="BU98" i="6"/>
  <c r="BT98" i="6"/>
  <c r="BU97" i="6"/>
  <c r="BT97" i="6"/>
  <c r="BU96" i="6"/>
  <c r="BT96" i="6"/>
  <c r="BU95" i="6"/>
  <c r="BT95" i="6"/>
  <c r="BU94" i="6"/>
  <c r="BT94" i="6"/>
  <c r="BU93" i="6"/>
  <c r="BT93" i="6"/>
  <c r="BU92" i="6"/>
  <c r="BT92" i="6"/>
  <c r="BU91" i="6"/>
  <c r="BT91" i="6"/>
  <c r="BU90" i="6"/>
  <c r="BT90" i="6"/>
  <c r="BU89" i="6"/>
  <c r="BT89" i="6"/>
  <c r="BU88" i="6"/>
  <c r="BT88" i="6"/>
  <c r="BU87" i="6"/>
  <c r="BT87" i="6"/>
  <c r="BU86" i="6"/>
  <c r="BT86" i="6"/>
  <c r="BU85" i="6"/>
  <c r="BT85" i="6"/>
  <c r="BU84" i="6"/>
  <c r="BT84" i="6"/>
  <c r="BU83" i="6"/>
  <c r="BT83" i="6"/>
  <c r="BU82" i="6"/>
  <c r="BT82" i="6"/>
  <c r="BU81" i="6"/>
  <c r="BT81" i="6"/>
  <c r="BU80" i="6"/>
  <c r="BT80" i="6"/>
  <c r="BU79" i="6"/>
  <c r="BT79" i="6"/>
  <c r="BU78" i="6"/>
  <c r="BT78" i="6"/>
  <c r="BU77" i="6"/>
  <c r="BT77" i="6"/>
  <c r="BU76" i="6"/>
  <c r="BT76" i="6"/>
  <c r="BU75" i="6"/>
  <c r="BT75" i="6"/>
  <c r="BU74" i="6"/>
  <c r="BT74" i="6"/>
  <c r="BU73" i="6"/>
  <c r="BT73" i="6"/>
  <c r="BU72" i="6"/>
  <c r="BT72" i="6"/>
  <c r="BU71" i="6"/>
  <c r="BT71" i="6"/>
  <c r="BU70" i="6"/>
  <c r="BT70" i="6"/>
  <c r="BU69" i="6"/>
  <c r="BT69" i="6"/>
  <c r="BU68" i="6"/>
  <c r="BT68" i="6"/>
  <c r="BU67" i="6"/>
  <c r="BT67" i="6"/>
  <c r="BU66" i="6"/>
  <c r="BT66" i="6"/>
  <c r="BU65" i="6"/>
  <c r="BT65" i="6"/>
  <c r="BU64" i="6"/>
  <c r="BT64" i="6"/>
  <c r="BU63" i="6"/>
  <c r="BT63" i="6"/>
  <c r="BU62" i="6"/>
  <c r="BT62" i="6"/>
  <c r="BU61" i="6"/>
  <c r="BT61" i="6"/>
  <c r="BU60" i="6"/>
  <c r="BT60" i="6"/>
  <c r="BU59" i="6"/>
  <c r="BT59" i="6"/>
  <c r="BU58" i="6"/>
  <c r="BT58" i="6"/>
  <c r="BU57" i="6"/>
  <c r="BT57" i="6"/>
  <c r="BU56" i="6"/>
  <c r="BT56" i="6"/>
  <c r="BU55" i="6"/>
  <c r="BT55" i="6"/>
  <c r="BU54" i="6"/>
  <c r="BT54" i="6"/>
  <c r="BU53" i="6"/>
  <c r="BT53" i="6"/>
  <c r="BU52" i="6"/>
  <c r="BT52" i="6"/>
  <c r="BU51" i="6"/>
  <c r="BT51" i="6"/>
  <c r="BU50" i="6"/>
  <c r="BT50" i="6"/>
  <c r="BU49" i="6"/>
  <c r="BT49" i="6"/>
  <c r="BU48" i="6"/>
  <c r="BT48" i="6"/>
  <c r="BU47" i="6"/>
  <c r="BT47" i="6"/>
  <c r="BU46" i="6"/>
  <c r="BT46" i="6"/>
  <c r="BU45" i="6"/>
  <c r="BT45" i="6"/>
  <c r="BU44" i="6"/>
  <c r="BT44" i="6"/>
  <c r="BU43" i="6"/>
  <c r="BT43" i="6"/>
  <c r="BU42" i="6"/>
  <c r="BT42" i="6"/>
  <c r="BU41" i="6"/>
  <c r="BT41" i="6"/>
  <c r="BU40" i="6"/>
  <c r="BT40" i="6"/>
  <c r="BU39" i="6"/>
  <c r="BT39" i="6"/>
  <c r="BU38" i="6"/>
  <c r="BT38" i="6"/>
  <c r="BU37" i="6"/>
  <c r="BT37" i="6"/>
  <c r="BU36" i="6"/>
  <c r="BT36" i="6"/>
  <c r="BU35" i="6"/>
  <c r="BT35" i="6"/>
  <c r="BU34" i="6"/>
  <c r="BT34" i="6"/>
  <c r="BU33" i="6"/>
  <c r="BT33" i="6"/>
  <c r="BU32" i="6"/>
  <c r="BT32" i="6"/>
  <c r="BU31" i="6"/>
  <c r="BT31" i="6"/>
  <c r="BU30" i="6"/>
  <c r="BT30" i="6"/>
  <c r="BU29" i="6"/>
  <c r="BT29" i="6"/>
  <c r="BU28" i="6"/>
  <c r="BT28" i="6"/>
  <c r="BU27" i="6"/>
  <c r="BT27" i="6"/>
  <c r="BU26" i="6"/>
  <c r="BT26" i="6"/>
  <c r="BU25" i="6"/>
  <c r="BT25" i="6"/>
  <c r="BU24" i="6"/>
  <c r="BT24" i="6"/>
  <c r="BU23" i="6"/>
  <c r="BT23" i="6"/>
  <c r="BU22" i="6"/>
  <c r="BT22" i="6"/>
  <c r="BU21" i="6"/>
  <c r="BT21" i="6"/>
  <c r="BU20" i="6"/>
  <c r="BT20" i="6"/>
  <c r="BU19" i="6"/>
  <c r="BT19" i="6"/>
  <c r="BU18" i="6"/>
  <c r="BT18" i="6"/>
  <c r="BU17" i="6"/>
  <c r="BT17" i="6"/>
  <c r="BU16" i="6"/>
  <c r="BT16" i="6"/>
  <c r="BU15" i="6"/>
  <c r="BT15" i="6"/>
  <c r="BU14" i="6"/>
  <c r="BT14" i="6"/>
  <c r="BU13" i="6"/>
  <c r="BT13" i="6"/>
  <c r="BU12" i="6"/>
  <c r="BT12" i="6"/>
  <c r="BU11" i="6"/>
  <c r="BT11" i="6"/>
  <c r="BU10" i="6"/>
  <c r="BT10" i="6"/>
  <c r="BU9" i="6"/>
  <c r="BT9" i="6"/>
  <c r="BU8" i="6"/>
  <c r="BT8" i="6"/>
  <c r="CB500" i="6"/>
  <c r="CA500" i="6"/>
  <c r="CB499" i="6"/>
  <c r="CA499" i="6"/>
  <c r="CB498" i="6"/>
  <c r="CA498" i="6"/>
  <c r="CB497" i="6"/>
  <c r="CA497" i="6"/>
  <c r="CB496" i="6"/>
  <c r="CA496" i="6"/>
  <c r="CB495" i="6"/>
  <c r="CA495" i="6"/>
  <c r="CB494" i="6"/>
  <c r="CA494" i="6"/>
  <c r="CB493" i="6"/>
  <c r="CA493" i="6"/>
  <c r="CB492" i="6"/>
  <c r="CA492" i="6"/>
  <c r="CB491" i="6"/>
  <c r="CA491" i="6"/>
  <c r="CB490" i="6"/>
  <c r="CA490" i="6"/>
  <c r="CB489" i="6"/>
  <c r="CA489" i="6"/>
  <c r="CB488" i="6"/>
  <c r="CA488" i="6"/>
  <c r="CB487" i="6"/>
  <c r="CA487" i="6"/>
  <c r="CB486" i="6"/>
  <c r="CA486" i="6"/>
  <c r="CB485" i="6"/>
  <c r="CA485" i="6"/>
  <c r="CB484" i="6"/>
  <c r="CA484" i="6"/>
  <c r="CB483" i="6"/>
  <c r="CA483" i="6"/>
  <c r="CB482" i="6"/>
  <c r="CA482" i="6"/>
  <c r="CB481" i="6"/>
  <c r="CA481" i="6"/>
  <c r="CB480" i="6"/>
  <c r="CA480" i="6"/>
  <c r="CB479" i="6"/>
  <c r="CA479" i="6"/>
  <c r="CB478" i="6"/>
  <c r="CA478" i="6"/>
  <c r="CB477" i="6"/>
  <c r="CA477" i="6"/>
  <c r="CB476" i="6"/>
  <c r="CA476" i="6"/>
  <c r="CB475" i="6"/>
  <c r="CA475" i="6"/>
  <c r="CB474" i="6"/>
  <c r="CA474" i="6"/>
  <c r="CB473" i="6"/>
  <c r="CA473" i="6"/>
  <c r="CB472" i="6"/>
  <c r="CA472" i="6"/>
  <c r="CB471" i="6"/>
  <c r="CA471" i="6"/>
  <c r="CB470" i="6"/>
  <c r="CA470" i="6"/>
  <c r="CB469" i="6"/>
  <c r="CA469" i="6"/>
  <c r="CB468" i="6"/>
  <c r="CA468" i="6"/>
  <c r="CB467" i="6"/>
  <c r="CA467" i="6"/>
  <c r="CB466" i="6"/>
  <c r="CA466" i="6"/>
  <c r="CB465" i="6"/>
  <c r="CA465" i="6"/>
  <c r="CB464" i="6"/>
  <c r="CA464" i="6"/>
  <c r="CB463" i="6"/>
  <c r="CA463" i="6"/>
  <c r="CB462" i="6"/>
  <c r="CA462" i="6"/>
  <c r="CB461" i="6"/>
  <c r="CA461" i="6"/>
  <c r="CB460" i="6"/>
  <c r="CA460" i="6"/>
  <c r="CB459" i="6"/>
  <c r="CA459" i="6"/>
  <c r="CB458" i="6"/>
  <c r="CA458" i="6"/>
  <c r="CB457" i="6"/>
  <c r="CA457" i="6"/>
  <c r="CB456" i="6"/>
  <c r="CA456" i="6"/>
  <c r="CB455" i="6"/>
  <c r="CA455" i="6"/>
  <c r="CB454" i="6"/>
  <c r="CA454" i="6"/>
  <c r="CB453" i="6"/>
  <c r="CA453" i="6"/>
  <c r="CB452" i="6"/>
  <c r="CA452" i="6"/>
  <c r="CB451" i="6"/>
  <c r="CA451" i="6"/>
  <c r="CB450" i="6"/>
  <c r="CA450" i="6"/>
  <c r="CB449" i="6"/>
  <c r="CA449" i="6"/>
  <c r="CB448" i="6"/>
  <c r="CA448" i="6"/>
  <c r="CB447" i="6"/>
  <c r="CA447" i="6"/>
  <c r="CB446" i="6"/>
  <c r="CA446" i="6"/>
  <c r="CB445" i="6"/>
  <c r="CA445" i="6"/>
  <c r="CB444" i="6"/>
  <c r="CA444" i="6"/>
  <c r="CB443" i="6"/>
  <c r="CA443" i="6"/>
  <c r="CB442" i="6"/>
  <c r="CA442" i="6"/>
  <c r="CB441" i="6"/>
  <c r="CA441" i="6"/>
  <c r="CB440" i="6"/>
  <c r="CA440" i="6"/>
  <c r="CB439" i="6"/>
  <c r="CA439" i="6"/>
  <c r="CB438" i="6"/>
  <c r="CA438" i="6"/>
  <c r="CB437" i="6"/>
  <c r="CA437" i="6"/>
  <c r="CB436" i="6"/>
  <c r="CA436" i="6"/>
  <c r="CB435" i="6"/>
  <c r="CA435" i="6"/>
  <c r="CB434" i="6"/>
  <c r="CA434" i="6"/>
  <c r="CB433" i="6"/>
  <c r="CA433" i="6"/>
  <c r="CB432" i="6"/>
  <c r="CA432" i="6"/>
  <c r="CB431" i="6"/>
  <c r="CA431" i="6"/>
  <c r="CB430" i="6"/>
  <c r="CA430" i="6"/>
  <c r="CB429" i="6"/>
  <c r="CA429" i="6"/>
  <c r="CB428" i="6"/>
  <c r="CA428" i="6"/>
  <c r="CB427" i="6"/>
  <c r="CA427" i="6"/>
  <c r="CB426" i="6"/>
  <c r="CA426" i="6"/>
  <c r="CB425" i="6"/>
  <c r="CA425" i="6"/>
  <c r="CB424" i="6"/>
  <c r="CA424" i="6"/>
  <c r="CB423" i="6"/>
  <c r="CA423" i="6"/>
  <c r="CB422" i="6"/>
  <c r="CA422" i="6"/>
  <c r="CB421" i="6"/>
  <c r="CA421" i="6"/>
  <c r="CB420" i="6"/>
  <c r="CA420" i="6"/>
  <c r="CB419" i="6"/>
  <c r="CA419" i="6"/>
  <c r="CB418" i="6"/>
  <c r="CA418" i="6"/>
  <c r="CB417" i="6"/>
  <c r="CA417" i="6"/>
  <c r="CB416" i="6"/>
  <c r="CA416" i="6"/>
  <c r="CB415" i="6"/>
  <c r="CA415" i="6"/>
  <c r="CB414" i="6"/>
  <c r="CA414" i="6"/>
  <c r="CB413" i="6"/>
  <c r="CA413" i="6"/>
  <c r="CB412" i="6"/>
  <c r="CA412" i="6"/>
  <c r="CB411" i="6"/>
  <c r="CA411" i="6"/>
  <c r="CB410" i="6"/>
  <c r="CA410" i="6"/>
  <c r="CB409" i="6"/>
  <c r="CA409" i="6"/>
  <c r="CB408" i="6"/>
  <c r="CA408" i="6"/>
  <c r="CB407" i="6"/>
  <c r="CA407" i="6"/>
  <c r="CB406" i="6"/>
  <c r="CA406" i="6"/>
  <c r="CB405" i="6"/>
  <c r="CA405" i="6"/>
  <c r="CB404" i="6"/>
  <c r="CA404" i="6"/>
  <c r="CB403" i="6"/>
  <c r="CA403" i="6"/>
  <c r="CB402" i="6"/>
  <c r="CA402" i="6"/>
  <c r="CB401" i="6"/>
  <c r="CA401" i="6"/>
  <c r="CB400" i="6"/>
  <c r="CA400" i="6"/>
  <c r="CB399" i="6"/>
  <c r="CA399" i="6"/>
  <c r="CB398" i="6"/>
  <c r="CA398" i="6"/>
  <c r="CB397" i="6"/>
  <c r="CA397" i="6"/>
  <c r="CB396" i="6"/>
  <c r="CA396" i="6"/>
  <c r="CB395" i="6"/>
  <c r="CA395" i="6"/>
  <c r="CB394" i="6"/>
  <c r="CA394" i="6"/>
  <c r="CB393" i="6"/>
  <c r="CA393" i="6"/>
  <c r="CB392" i="6"/>
  <c r="CA392" i="6"/>
  <c r="CB391" i="6"/>
  <c r="CA391" i="6"/>
  <c r="CB390" i="6"/>
  <c r="CA390" i="6"/>
  <c r="CB389" i="6"/>
  <c r="CA389" i="6"/>
  <c r="CB388" i="6"/>
  <c r="CA388" i="6"/>
  <c r="CB387" i="6"/>
  <c r="CA387" i="6"/>
  <c r="CB386" i="6"/>
  <c r="CA386" i="6"/>
  <c r="CB385" i="6"/>
  <c r="CA385" i="6"/>
  <c r="CB384" i="6"/>
  <c r="CA384" i="6"/>
  <c r="CB383" i="6"/>
  <c r="CA383" i="6"/>
  <c r="CB382" i="6"/>
  <c r="CA382" i="6"/>
  <c r="CB381" i="6"/>
  <c r="CA381" i="6"/>
  <c r="CB380" i="6"/>
  <c r="CA380" i="6"/>
  <c r="CB379" i="6"/>
  <c r="CA379" i="6"/>
  <c r="CB378" i="6"/>
  <c r="CA378" i="6"/>
  <c r="CB377" i="6"/>
  <c r="CA377" i="6"/>
  <c r="CB376" i="6"/>
  <c r="CA376" i="6"/>
  <c r="CB375" i="6"/>
  <c r="CA375" i="6"/>
  <c r="CB374" i="6"/>
  <c r="CA374" i="6"/>
  <c r="CB373" i="6"/>
  <c r="CA373" i="6"/>
  <c r="CB372" i="6"/>
  <c r="CA372" i="6"/>
  <c r="CB371" i="6"/>
  <c r="CA371" i="6"/>
  <c r="CB370" i="6"/>
  <c r="CA370" i="6"/>
  <c r="CB369" i="6"/>
  <c r="CA369" i="6"/>
  <c r="CB368" i="6"/>
  <c r="CA368" i="6"/>
  <c r="CB367" i="6"/>
  <c r="CA367" i="6"/>
  <c r="CB366" i="6"/>
  <c r="CA366" i="6"/>
  <c r="CB365" i="6"/>
  <c r="CA365" i="6"/>
  <c r="CB364" i="6"/>
  <c r="CA364" i="6"/>
  <c r="CB363" i="6"/>
  <c r="CA363" i="6"/>
  <c r="CB362" i="6"/>
  <c r="CA362" i="6"/>
  <c r="CB361" i="6"/>
  <c r="CA361" i="6"/>
  <c r="CB360" i="6"/>
  <c r="CA360" i="6"/>
  <c r="CB359" i="6"/>
  <c r="CA359" i="6"/>
  <c r="CB358" i="6"/>
  <c r="CA358" i="6"/>
  <c r="CB357" i="6"/>
  <c r="CA357" i="6"/>
  <c r="CB356" i="6"/>
  <c r="CA356" i="6"/>
  <c r="CB355" i="6"/>
  <c r="CA355" i="6"/>
  <c r="CB354" i="6"/>
  <c r="CA354" i="6"/>
  <c r="CB353" i="6"/>
  <c r="CA353" i="6"/>
  <c r="CB352" i="6"/>
  <c r="CA352" i="6"/>
  <c r="CB351" i="6"/>
  <c r="CA351" i="6"/>
  <c r="CB350" i="6"/>
  <c r="CA350" i="6"/>
  <c r="CB349" i="6"/>
  <c r="CA349" i="6"/>
  <c r="CB348" i="6"/>
  <c r="CA348" i="6"/>
  <c r="CB347" i="6"/>
  <c r="CA347" i="6"/>
  <c r="CB346" i="6"/>
  <c r="CA346" i="6"/>
  <c r="CB345" i="6"/>
  <c r="CA345" i="6"/>
  <c r="CB344" i="6"/>
  <c r="CA344" i="6"/>
  <c r="CB343" i="6"/>
  <c r="CA343" i="6"/>
  <c r="CB342" i="6"/>
  <c r="CA342" i="6"/>
  <c r="CB341" i="6"/>
  <c r="CA341" i="6"/>
  <c r="CB340" i="6"/>
  <c r="CA340" i="6"/>
  <c r="CB339" i="6"/>
  <c r="CA339" i="6"/>
  <c r="CB338" i="6"/>
  <c r="CA338" i="6"/>
  <c r="CB337" i="6"/>
  <c r="CA337" i="6"/>
  <c r="CB336" i="6"/>
  <c r="CA336" i="6"/>
  <c r="CB335" i="6"/>
  <c r="CA335" i="6"/>
  <c r="CB334" i="6"/>
  <c r="CA334" i="6"/>
  <c r="CB333" i="6"/>
  <c r="CA333" i="6"/>
  <c r="CB332" i="6"/>
  <c r="CA332" i="6"/>
  <c r="CB331" i="6"/>
  <c r="CA331" i="6"/>
  <c r="CB330" i="6"/>
  <c r="CA330" i="6"/>
  <c r="CB329" i="6"/>
  <c r="CA329" i="6"/>
  <c r="CB328" i="6"/>
  <c r="CA328" i="6"/>
  <c r="CB327" i="6"/>
  <c r="CA327" i="6"/>
  <c r="CB326" i="6"/>
  <c r="CA326" i="6"/>
  <c r="CB325" i="6"/>
  <c r="CA325" i="6"/>
  <c r="CB324" i="6"/>
  <c r="CA324" i="6"/>
  <c r="CB323" i="6"/>
  <c r="CA323" i="6"/>
  <c r="CB322" i="6"/>
  <c r="CA322" i="6"/>
  <c r="CB321" i="6"/>
  <c r="CA321" i="6"/>
  <c r="CB320" i="6"/>
  <c r="CA320" i="6"/>
  <c r="CB319" i="6"/>
  <c r="CA319" i="6"/>
  <c r="CB318" i="6"/>
  <c r="CA318" i="6"/>
  <c r="CB317" i="6"/>
  <c r="CA317" i="6"/>
  <c r="CB316" i="6"/>
  <c r="CA316" i="6"/>
  <c r="CB315" i="6"/>
  <c r="CA315" i="6"/>
  <c r="CB314" i="6"/>
  <c r="CA314" i="6"/>
  <c r="CB313" i="6"/>
  <c r="CA313" i="6"/>
  <c r="CB312" i="6"/>
  <c r="CA312" i="6"/>
  <c r="CB311" i="6"/>
  <c r="CA311" i="6"/>
  <c r="CB310" i="6"/>
  <c r="CA310" i="6"/>
  <c r="CB309" i="6"/>
  <c r="CA309" i="6"/>
  <c r="CB308" i="6"/>
  <c r="CA308" i="6"/>
  <c r="CB307" i="6"/>
  <c r="CA307" i="6"/>
  <c r="CB306" i="6"/>
  <c r="CA306" i="6"/>
  <c r="CB305" i="6"/>
  <c r="CA305" i="6"/>
  <c r="CB304" i="6"/>
  <c r="CA304" i="6"/>
  <c r="CB303" i="6"/>
  <c r="CA303" i="6"/>
  <c r="CB302" i="6"/>
  <c r="CA302" i="6"/>
  <c r="CB301" i="6"/>
  <c r="CA301" i="6"/>
  <c r="CB300" i="6"/>
  <c r="CA300" i="6"/>
  <c r="CB299" i="6"/>
  <c r="CA299" i="6"/>
  <c r="CB298" i="6"/>
  <c r="CA298" i="6"/>
  <c r="CB297" i="6"/>
  <c r="CA297" i="6"/>
  <c r="CB296" i="6"/>
  <c r="CA296" i="6"/>
  <c r="CB295" i="6"/>
  <c r="CA295" i="6"/>
  <c r="CB294" i="6"/>
  <c r="CA294" i="6"/>
  <c r="CB293" i="6"/>
  <c r="CA293" i="6"/>
  <c r="CB292" i="6"/>
  <c r="CA292" i="6"/>
  <c r="CB291" i="6"/>
  <c r="CA291" i="6"/>
  <c r="CB290" i="6"/>
  <c r="CA290" i="6"/>
  <c r="CB289" i="6"/>
  <c r="CA289" i="6"/>
  <c r="CB288" i="6"/>
  <c r="CA288" i="6"/>
  <c r="CB287" i="6"/>
  <c r="CA287" i="6"/>
  <c r="CB286" i="6"/>
  <c r="CA286" i="6"/>
  <c r="CB285" i="6"/>
  <c r="CA285" i="6"/>
  <c r="CB284" i="6"/>
  <c r="CA284" i="6"/>
  <c r="CB283" i="6"/>
  <c r="CA283" i="6"/>
  <c r="CB282" i="6"/>
  <c r="CA282" i="6"/>
  <c r="CB281" i="6"/>
  <c r="CA281" i="6"/>
  <c r="CB280" i="6"/>
  <c r="CA280" i="6"/>
  <c r="CB279" i="6"/>
  <c r="CA279" i="6"/>
  <c r="CB278" i="6"/>
  <c r="CA278" i="6"/>
  <c r="CB277" i="6"/>
  <c r="CA277" i="6"/>
  <c r="CB276" i="6"/>
  <c r="CA276" i="6"/>
  <c r="CB275" i="6"/>
  <c r="CA275" i="6"/>
  <c r="CB274" i="6"/>
  <c r="CA274" i="6"/>
  <c r="CB273" i="6"/>
  <c r="CA273" i="6"/>
  <c r="CB272" i="6"/>
  <c r="CA272" i="6"/>
  <c r="CB271" i="6"/>
  <c r="CA271" i="6"/>
  <c r="CB270" i="6"/>
  <c r="CA270" i="6"/>
  <c r="CB269" i="6"/>
  <c r="CA269" i="6"/>
  <c r="CB268" i="6"/>
  <c r="CA268" i="6"/>
  <c r="CB267" i="6"/>
  <c r="CA267" i="6"/>
  <c r="CB266" i="6"/>
  <c r="CA266" i="6"/>
  <c r="CB265" i="6"/>
  <c r="CA265" i="6"/>
  <c r="CB264" i="6"/>
  <c r="CA264" i="6"/>
  <c r="CB263" i="6"/>
  <c r="CA263" i="6"/>
  <c r="CB262" i="6"/>
  <c r="CA262" i="6"/>
  <c r="CB261" i="6"/>
  <c r="CA261" i="6"/>
  <c r="CB260" i="6"/>
  <c r="CA260" i="6"/>
  <c r="CB259" i="6"/>
  <c r="CA259" i="6"/>
  <c r="CB258" i="6"/>
  <c r="CA258" i="6"/>
  <c r="CB257" i="6"/>
  <c r="CA257" i="6"/>
  <c r="CB256" i="6"/>
  <c r="CA256" i="6"/>
  <c r="CB255" i="6"/>
  <c r="CA255" i="6"/>
  <c r="CB254" i="6"/>
  <c r="CA254" i="6"/>
  <c r="CB253" i="6"/>
  <c r="CA253" i="6"/>
  <c r="CB252" i="6"/>
  <c r="CA252" i="6"/>
  <c r="CB251" i="6"/>
  <c r="CA251" i="6"/>
  <c r="CB250" i="6"/>
  <c r="CA250" i="6"/>
  <c r="CB249" i="6"/>
  <c r="CA249" i="6"/>
  <c r="CB248" i="6"/>
  <c r="CA248" i="6"/>
  <c r="CB247" i="6"/>
  <c r="CA247" i="6"/>
  <c r="CB246" i="6"/>
  <c r="CA246" i="6"/>
  <c r="CB245" i="6"/>
  <c r="CA245" i="6"/>
  <c r="CB244" i="6"/>
  <c r="CA244" i="6"/>
  <c r="CB243" i="6"/>
  <c r="CA243" i="6"/>
  <c r="CB242" i="6"/>
  <c r="CA242" i="6"/>
  <c r="CB241" i="6"/>
  <c r="CA241" i="6"/>
  <c r="CB240" i="6"/>
  <c r="CA240" i="6"/>
  <c r="CB239" i="6"/>
  <c r="CA239" i="6"/>
  <c r="CB238" i="6"/>
  <c r="CA238" i="6"/>
  <c r="CB237" i="6"/>
  <c r="CA237" i="6"/>
  <c r="CB236" i="6"/>
  <c r="CA236" i="6"/>
  <c r="CB235" i="6"/>
  <c r="CA235" i="6"/>
  <c r="CB234" i="6"/>
  <c r="CA234" i="6"/>
  <c r="CB233" i="6"/>
  <c r="CA233" i="6"/>
  <c r="CB232" i="6"/>
  <c r="CA232" i="6"/>
  <c r="CB231" i="6"/>
  <c r="CA231" i="6"/>
  <c r="CB230" i="6"/>
  <c r="CA230" i="6"/>
  <c r="CB229" i="6"/>
  <c r="CA229" i="6"/>
  <c r="CB228" i="6"/>
  <c r="CA228" i="6"/>
  <c r="CB227" i="6"/>
  <c r="CA227" i="6"/>
  <c r="CB226" i="6"/>
  <c r="CA226" i="6"/>
  <c r="CB225" i="6"/>
  <c r="CA225" i="6"/>
  <c r="CB224" i="6"/>
  <c r="CA224" i="6"/>
  <c r="CB223" i="6"/>
  <c r="CA223" i="6"/>
  <c r="CB222" i="6"/>
  <c r="CA222" i="6"/>
  <c r="CB221" i="6"/>
  <c r="CA221" i="6"/>
  <c r="CB220" i="6"/>
  <c r="CA220" i="6"/>
  <c r="CB219" i="6"/>
  <c r="CA219" i="6"/>
  <c r="CB218" i="6"/>
  <c r="CA218" i="6"/>
  <c r="CB217" i="6"/>
  <c r="CA217" i="6"/>
  <c r="CB216" i="6"/>
  <c r="CA216" i="6"/>
  <c r="CB215" i="6"/>
  <c r="CA215" i="6"/>
  <c r="CB214" i="6"/>
  <c r="CA214" i="6"/>
  <c r="CB213" i="6"/>
  <c r="CA213" i="6"/>
  <c r="CB212" i="6"/>
  <c r="CA212" i="6"/>
  <c r="CB211" i="6"/>
  <c r="CA211" i="6"/>
  <c r="CB210" i="6"/>
  <c r="CA210" i="6"/>
  <c r="CB209" i="6"/>
  <c r="CA209" i="6"/>
  <c r="CB208" i="6"/>
  <c r="CA208" i="6"/>
  <c r="CB207" i="6"/>
  <c r="CA207" i="6"/>
  <c r="CB206" i="6"/>
  <c r="CA206" i="6"/>
  <c r="CB205" i="6"/>
  <c r="CA205" i="6"/>
  <c r="CB204" i="6"/>
  <c r="CA204" i="6"/>
  <c r="CB203" i="6"/>
  <c r="CA203" i="6"/>
  <c r="CB202" i="6"/>
  <c r="CA202" i="6"/>
  <c r="CB201" i="6"/>
  <c r="CA201" i="6"/>
  <c r="CB200" i="6"/>
  <c r="CA200" i="6"/>
  <c r="CB199" i="6"/>
  <c r="CA199" i="6"/>
  <c r="CB198" i="6"/>
  <c r="CA198" i="6"/>
  <c r="CB197" i="6"/>
  <c r="CA197" i="6"/>
  <c r="CB196" i="6"/>
  <c r="CA196" i="6"/>
  <c r="CB195" i="6"/>
  <c r="CA195" i="6"/>
  <c r="CB194" i="6"/>
  <c r="CA194" i="6"/>
  <c r="CB193" i="6"/>
  <c r="CA193" i="6"/>
  <c r="CB192" i="6"/>
  <c r="CA192" i="6"/>
  <c r="CB191" i="6"/>
  <c r="CA191" i="6"/>
  <c r="CB190" i="6"/>
  <c r="CA190" i="6"/>
  <c r="CB189" i="6"/>
  <c r="CA189" i="6"/>
  <c r="CB188" i="6"/>
  <c r="CA188" i="6"/>
  <c r="CB187" i="6"/>
  <c r="CA187" i="6"/>
  <c r="CB186" i="6"/>
  <c r="CA186" i="6"/>
  <c r="CB185" i="6"/>
  <c r="CA185" i="6"/>
  <c r="CB184" i="6"/>
  <c r="CA184" i="6"/>
  <c r="CB183" i="6"/>
  <c r="CA183" i="6"/>
  <c r="CB182" i="6"/>
  <c r="CA182" i="6"/>
  <c r="CB181" i="6"/>
  <c r="CA181" i="6"/>
  <c r="CB180" i="6"/>
  <c r="CA180" i="6"/>
  <c r="CB179" i="6"/>
  <c r="CA179" i="6"/>
  <c r="CB178" i="6"/>
  <c r="CA178" i="6"/>
  <c r="CB177" i="6"/>
  <c r="CA177" i="6"/>
  <c r="CB176" i="6"/>
  <c r="CA176" i="6"/>
  <c r="CB175" i="6"/>
  <c r="CA175" i="6"/>
  <c r="CB174" i="6"/>
  <c r="CA174" i="6"/>
  <c r="CB173" i="6"/>
  <c r="CA173" i="6"/>
  <c r="CB172" i="6"/>
  <c r="CA172" i="6"/>
  <c r="CB171" i="6"/>
  <c r="CA171" i="6"/>
  <c r="CB170" i="6"/>
  <c r="CA170" i="6"/>
  <c r="CB169" i="6"/>
  <c r="CA169" i="6"/>
  <c r="CB168" i="6"/>
  <c r="CA168" i="6"/>
  <c r="CB167" i="6"/>
  <c r="CA167" i="6"/>
  <c r="CB166" i="6"/>
  <c r="CA166" i="6"/>
  <c r="CB165" i="6"/>
  <c r="CA165" i="6"/>
  <c r="CB164" i="6"/>
  <c r="CA164" i="6"/>
  <c r="CB163" i="6"/>
  <c r="CA163" i="6"/>
  <c r="CB162" i="6"/>
  <c r="CA162" i="6"/>
  <c r="CB161" i="6"/>
  <c r="CA161" i="6"/>
  <c r="CB160" i="6"/>
  <c r="CA160" i="6"/>
  <c r="CB159" i="6"/>
  <c r="CA159" i="6"/>
  <c r="CB158" i="6"/>
  <c r="CA158" i="6"/>
  <c r="CB157" i="6"/>
  <c r="CA157" i="6"/>
  <c r="CB156" i="6"/>
  <c r="CA156" i="6"/>
  <c r="CB155" i="6"/>
  <c r="CA155" i="6"/>
  <c r="CB154" i="6"/>
  <c r="CA154" i="6"/>
  <c r="CB153" i="6"/>
  <c r="CA153" i="6"/>
  <c r="CB152" i="6"/>
  <c r="CA152" i="6"/>
  <c r="CB151" i="6"/>
  <c r="CA151" i="6"/>
  <c r="CB150" i="6"/>
  <c r="CA150" i="6"/>
  <c r="CB149" i="6"/>
  <c r="CA149" i="6"/>
  <c r="CB148" i="6"/>
  <c r="CA148" i="6"/>
  <c r="CB147" i="6"/>
  <c r="CA147" i="6"/>
  <c r="CB146" i="6"/>
  <c r="CA146" i="6"/>
  <c r="CB145" i="6"/>
  <c r="CA145" i="6"/>
  <c r="CB144" i="6"/>
  <c r="CA144" i="6"/>
  <c r="CB143" i="6"/>
  <c r="CA143" i="6"/>
  <c r="CB142" i="6"/>
  <c r="CA142" i="6"/>
  <c r="CB141" i="6"/>
  <c r="CA141" i="6"/>
  <c r="CB140" i="6"/>
  <c r="CA140" i="6"/>
  <c r="CB139" i="6"/>
  <c r="CA139" i="6"/>
  <c r="CB138" i="6"/>
  <c r="CA138" i="6"/>
  <c r="CB137" i="6"/>
  <c r="CA137" i="6"/>
  <c r="CB136" i="6"/>
  <c r="CA136" i="6"/>
  <c r="CB135" i="6"/>
  <c r="CA135" i="6"/>
  <c r="CB134" i="6"/>
  <c r="CA134" i="6"/>
  <c r="CB133" i="6"/>
  <c r="CA133" i="6"/>
  <c r="CB132" i="6"/>
  <c r="CA132" i="6"/>
  <c r="CB131" i="6"/>
  <c r="CA131" i="6"/>
  <c r="CB130" i="6"/>
  <c r="CA130" i="6"/>
  <c r="CB129" i="6"/>
  <c r="CA129" i="6"/>
  <c r="CB128" i="6"/>
  <c r="CA128" i="6"/>
  <c r="CB127" i="6"/>
  <c r="CA127" i="6"/>
  <c r="CB126" i="6"/>
  <c r="CA126" i="6"/>
  <c r="CB125" i="6"/>
  <c r="CA125" i="6"/>
  <c r="CB124" i="6"/>
  <c r="CA124" i="6"/>
  <c r="CB123" i="6"/>
  <c r="CA123" i="6"/>
  <c r="CB122" i="6"/>
  <c r="CA122" i="6"/>
  <c r="CB121" i="6"/>
  <c r="CA121" i="6"/>
  <c r="CB120" i="6"/>
  <c r="CA120" i="6"/>
  <c r="CB119" i="6"/>
  <c r="CA119" i="6"/>
  <c r="CB118" i="6"/>
  <c r="CA118" i="6"/>
  <c r="CB117" i="6"/>
  <c r="CA117" i="6"/>
  <c r="CB116" i="6"/>
  <c r="CA116" i="6"/>
  <c r="CB115" i="6"/>
  <c r="CA115" i="6"/>
  <c r="CB114" i="6"/>
  <c r="CA114" i="6"/>
  <c r="CB113" i="6"/>
  <c r="CA113" i="6"/>
  <c r="CB112" i="6"/>
  <c r="CA112" i="6"/>
  <c r="CB111" i="6"/>
  <c r="CA111" i="6"/>
  <c r="CB110" i="6"/>
  <c r="CA110" i="6"/>
  <c r="CB109" i="6"/>
  <c r="CA109" i="6"/>
  <c r="CB108" i="6"/>
  <c r="CA108" i="6"/>
  <c r="CB107" i="6"/>
  <c r="CA107" i="6"/>
  <c r="CB106" i="6"/>
  <c r="CA106" i="6"/>
  <c r="CB105" i="6"/>
  <c r="CA105" i="6"/>
  <c r="CB104" i="6"/>
  <c r="CA104" i="6"/>
  <c r="CB103" i="6"/>
  <c r="CA103" i="6"/>
  <c r="CB102" i="6"/>
  <c r="CA102" i="6"/>
  <c r="CB101" i="6"/>
  <c r="CA101" i="6"/>
  <c r="CB100" i="6"/>
  <c r="CA100" i="6"/>
  <c r="CB99" i="6"/>
  <c r="CA99" i="6"/>
  <c r="CB98" i="6"/>
  <c r="CA98" i="6"/>
  <c r="CB97" i="6"/>
  <c r="CA97" i="6"/>
  <c r="CB96" i="6"/>
  <c r="CA96" i="6"/>
  <c r="CB95" i="6"/>
  <c r="CA95" i="6"/>
  <c r="CB94" i="6"/>
  <c r="CA94" i="6"/>
  <c r="CB93" i="6"/>
  <c r="CA93" i="6"/>
  <c r="CB92" i="6"/>
  <c r="CA92" i="6"/>
  <c r="CB91" i="6"/>
  <c r="CA91" i="6"/>
  <c r="CB90" i="6"/>
  <c r="CA90" i="6"/>
  <c r="CB89" i="6"/>
  <c r="CA89" i="6"/>
  <c r="CB88" i="6"/>
  <c r="CA88" i="6"/>
  <c r="CB87" i="6"/>
  <c r="CA87" i="6"/>
  <c r="CB86" i="6"/>
  <c r="CA86" i="6"/>
  <c r="CB85" i="6"/>
  <c r="CA85" i="6"/>
  <c r="CB84" i="6"/>
  <c r="CA84" i="6"/>
  <c r="CB83" i="6"/>
  <c r="CA83" i="6"/>
  <c r="CB82" i="6"/>
  <c r="CA82" i="6"/>
  <c r="CB81" i="6"/>
  <c r="CA81" i="6"/>
  <c r="CB80" i="6"/>
  <c r="CA80" i="6"/>
  <c r="CB79" i="6"/>
  <c r="CA79" i="6"/>
  <c r="CB78" i="6"/>
  <c r="CA78" i="6"/>
  <c r="CB77" i="6"/>
  <c r="CA77" i="6"/>
  <c r="CB76" i="6"/>
  <c r="CA76" i="6"/>
  <c r="CB75" i="6"/>
  <c r="CA75" i="6"/>
  <c r="CB74" i="6"/>
  <c r="CA74" i="6"/>
  <c r="CB73" i="6"/>
  <c r="CA73" i="6"/>
  <c r="CB72" i="6"/>
  <c r="CA72" i="6"/>
  <c r="CB71" i="6"/>
  <c r="CA71" i="6"/>
  <c r="CB70" i="6"/>
  <c r="CA70" i="6"/>
  <c r="CB69" i="6"/>
  <c r="CA69" i="6"/>
  <c r="CB68" i="6"/>
  <c r="CA68" i="6"/>
  <c r="CB67" i="6"/>
  <c r="CA67" i="6"/>
  <c r="CB66" i="6"/>
  <c r="CA66" i="6"/>
  <c r="CB65" i="6"/>
  <c r="CA65" i="6"/>
  <c r="CB64" i="6"/>
  <c r="CA64" i="6"/>
  <c r="CB63" i="6"/>
  <c r="CA63" i="6"/>
  <c r="CB62" i="6"/>
  <c r="CA62" i="6"/>
  <c r="CB61" i="6"/>
  <c r="CA61" i="6"/>
  <c r="CB60" i="6"/>
  <c r="CA60" i="6"/>
  <c r="CB59" i="6"/>
  <c r="CA59" i="6"/>
  <c r="CB58" i="6"/>
  <c r="CA58" i="6"/>
  <c r="CB57" i="6"/>
  <c r="CA57" i="6"/>
  <c r="CB56" i="6"/>
  <c r="CA56" i="6"/>
  <c r="CB55" i="6"/>
  <c r="CA55" i="6"/>
  <c r="CB54" i="6"/>
  <c r="CA54" i="6"/>
  <c r="CB53" i="6"/>
  <c r="CA53" i="6"/>
  <c r="CB52" i="6"/>
  <c r="CA52" i="6"/>
  <c r="CB51" i="6"/>
  <c r="CA51" i="6"/>
  <c r="CB50" i="6"/>
  <c r="CA50" i="6"/>
  <c r="CB49" i="6"/>
  <c r="CA49" i="6"/>
  <c r="CB48" i="6"/>
  <c r="CA48" i="6"/>
  <c r="CB47" i="6"/>
  <c r="CA47" i="6"/>
  <c r="CB46" i="6"/>
  <c r="CA46" i="6"/>
  <c r="CB45" i="6"/>
  <c r="CA45" i="6"/>
  <c r="CB44" i="6"/>
  <c r="CA44" i="6"/>
  <c r="CB43" i="6"/>
  <c r="CA43" i="6"/>
  <c r="CB42" i="6"/>
  <c r="CA42" i="6"/>
  <c r="CB41" i="6"/>
  <c r="CA41" i="6"/>
  <c r="CB40" i="6"/>
  <c r="CA40" i="6"/>
  <c r="CB39" i="6"/>
  <c r="CA39" i="6"/>
  <c r="CB38" i="6"/>
  <c r="CA38" i="6"/>
  <c r="CB37" i="6"/>
  <c r="CA37" i="6"/>
  <c r="CB36" i="6"/>
  <c r="CA36" i="6"/>
  <c r="CB35" i="6"/>
  <c r="CA35" i="6"/>
  <c r="CB34" i="6"/>
  <c r="CA34" i="6"/>
  <c r="CB33" i="6"/>
  <c r="CA33" i="6"/>
  <c r="CB32" i="6"/>
  <c r="CA32" i="6"/>
  <c r="CB31" i="6"/>
  <c r="CA31" i="6"/>
  <c r="CB30" i="6"/>
  <c r="CA30" i="6"/>
  <c r="CB29" i="6"/>
  <c r="CA29" i="6"/>
  <c r="CB28" i="6"/>
  <c r="CA28" i="6"/>
  <c r="CB27" i="6"/>
  <c r="CA27" i="6"/>
  <c r="CB26" i="6"/>
  <c r="CA26" i="6"/>
  <c r="CB25" i="6"/>
  <c r="CA25" i="6"/>
  <c r="CB24" i="6"/>
  <c r="CA24" i="6"/>
  <c r="CB23" i="6"/>
  <c r="CA23" i="6"/>
  <c r="CB22" i="6"/>
  <c r="CA22" i="6"/>
  <c r="CB21" i="6"/>
  <c r="CA21" i="6"/>
  <c r="CB20" i="6"/>
  <c r="CA20" i="6"/>
  <c r="CB19" i="6"/>
  <c r="CA19" i="6"/>
  <c r="CB18" i="6"/>
  <c r="CA18" i="6"/>
  <c r="CB17" i="6"/>
  <c r="CA17" i="6"/>
  <c r="CB16" i="6"/>
  <c r="CA16" i="6"/>
  <c r="CB15" i="6"/>
  <c r="CA15" i="6"/>
  <c r="CB14" i="6"/>
  <c r="CA14" i="6"/>
  <c r="CB13" i="6"/>
  <c r="CA13" i="6"/>
  <c r="CB12" i="6"/>
  <c r="CA12" i="6"/>
  <c r="CB11" i="6"/>
  <c r="CA11" i="6"/>
  <c r="CB10" i="6"/>
  <c r="CA10" i="6"/>
  <c r="CB9" i="6"/>
  <c r="CA9" i="6"/>
  <c r="CB8" i="6"/>
  <c r="CA8" i="6"/>
  <c r="CI500" i="6"/>
  <c r="CH500" i="6"/>
  <c r="CI499" i="6"/>
  <c r="CH499" i="6"/>
  <c r="CI498" i="6"/>
  <c r="CH498" i="6"/>
  <c r="CI497" i="6"/>
  <c r="CH497" i="6"/>
  <c r="CI496" i="6"/>
  <c r="CH496" i="6"/>
  <c r="CI495" i="6"/>
  <c r="CH495" i="6"/>
  <c r="CI494" i="6"/>
  <c r="CH494" i="6"/>
  <c r="CI493" i="6"/>
  <c r="CH493" i="6"/>
  <c r="CI492" i="6"/>
  <c r="CH492" i="6"/>
  <c r="CI491" i="6"/>
  <c r="CH491" i="6"/>
  <c r="CI490" i="6"/>
  <c r="CH490" i="6"/>
  <c r="CI489" i="6"/>
  <c r="CH489" i="6"/>
  <c r="CI488" i="6"/>
  <c r="CH488" i="6"/>
  <c r="CI487" i="6"/>
  <c r="CH487" i="6"/>
  <c r="CI486" i="6"/>
  <c r="CH486" i="6"/>
  <c r="CI485" i="6"/>
  <c r="CH485" i="6"/>
  <c r="CI484" i="6"/>
  <c r="CH484" i="6"/>
  <c r="CI483" i="6"/>
  <c r="CH483" i="6"/>
  <c r="CI482" i="6"/>
  <c r="CH482" i="6"/>
  <c r="CI481" i="6"/>
  <c r="CH481" i="6"/>
  <c r="CI480" i="6"/>
  <c r="CH480" i="6"/>
  <c r="CI479" i="6"/>
  <c r="CH479" i="6"/>
  <c r="CI478" i="6"/>
  <c r="CH478" i="6"/>
  <c r="CI477" i="6"/>
  <c r="CH477" i="6"/>
  <c r="CI476" i="6"/>
  <c r="CH476" i="6"/>
  <c r="CI475" i="6"/>
  <c r="CH475" i="6"/>
  <c r="CI474" i="6"/>
  <c r="CH474" i="6"/>
  <c r="CI473" i="6"/>
  <c r="CH473" i="6"/>
  <c r="CI472" i="6"/>
  <c r="CH472" i="6"/>
  <c r="CI471" i="6"/>
  <c r="CH471" i="6"/>
  <c r="CI470" i="6"/>
  <c r="CH470" i="6"/>
  <c r="CI469" i="6"/>
  <c r="CH469" i="6"/>
  <c r="CI468" i="6"/>
  <c r="CH468" i="6"/>
  <c r="CI467" i="6"/>
  <c r="CH467" i="6"/>
  <c r="CI466" i="6"/>
  <c r="CH466" i="6"/>
  <c r="CI465" i="6"/>
  <c r="CH465" i="6"/>
  <c r="CI464" i="6"/>
  <c r="CH464" i="6"/>
  <c r="CI463" i="6"/>
  <c r="CH463" i="6"/>
  <c r="CI462" i="6"/>
  <c r="CH462" i="6"/>
  <c r="CI461" i="6"/>
  <c r="CH461" i="6"/>
  <c r="CI460" i="6"/>
  <c r="CH460" i="6"/>
  <c r="CI459" i="6"/>
  <c r="CH459" i="6"/>
  <c r="CI458" i="6"/>
  <c r="CH458" i="6"/>
  <c r="CI457" i="6"/>
  <c r="CH457" i="6"/>
  <c r="CI456" i="6"/>
  <c r="CH456" i="6"/>
  <c r="CI455" i="6"/>
  <c r="CH455" i="6"/>
  <c r="CI454" i="6"/>
  <c r="CH454" i="6"/>
  <c r="CI453" i="6"/>
  <c r="CH453" i="6"/>
  <c r="CI452" i="6"/>
  <c r="CH452" i="6"/>
  <c r="CI451" i="6"/>
  <c r="CH451" i="6"/>
  <c r="CI450" i="6"/>
  <c r="CH450" i="6"/>
  <c r="CI449" i="6"/>
  <c r="CH449" i="6"/>
  <c r="CI448" i="6"/>
  <c r="CH448" i="6"/>
  <c r="CI447" i="6"/>
  <c r="CH447" i="6"/>
  <c r="CI446" i="6"/>
  <c r="CH446" i="6"/>
  <c r="CI445" i="6"/>
  <c r="CH445" i="6"/>
  <c r="CI444" i="6"/>
  <c r="CH444" i="6"/>
  <c r="CI443" i="6"/>
  <c r="CH443" i="6"/>
  <c r="CI442" i="6"/>
  <c r="CH442" i="6"/>
  <c r="CI441" i="6"/>
  <c r="CH441" i="6"/>
  <c r="CI440" i="6"/>
  <c r="CH440" i="6"/>
  <c r="CI439" i="6"/>
  <c r="CH439" i="6"/>
  <c r="CI438" i="6"/>
  <c r="CH438" i="6"/>
  <c r="CI437" i="6"/>
  <c r="CH437" i="6"/>
  <c r="CI436" i="6"/>
  <c r="CH436" i="6"/>
  <c r="CI435" i="6"/>
  <c r="CH435" i="6"/>
  <c r="CI434" i="6"/>
  <c r="CH434" i="6"/>
  <c r="CI433" i="6"/>
  <c r="CH433" i="6"/>
  <c r="CI432" i="6"/>
  <c r="CH432" i="6"/>
  <c r="CI431" i="6"/>
  <c r="CH431" i="6"/>
  <c r="CI430" i="6"/>
  <c r="CH430" i="6"/>
  <c r="CI429" i="6"/>
  <c r="CH429" i="6"/>
  <c r="CI428" i="6"/>
  <c r="CH428" i="6"/>
  <c r="CI427" i="6"/>
  <c r="CH427" i="6"/>
  <c r="CI426" i="6"/>
  <c r="CH426" i="6"/>
  <c r="CI425" i="6"/>
  <c r="CH425" i="6"/>
  <c r="CI424" i="6"/>
  <c r="CH424" i="6"/>
  <c r="CI423" i="6"/>
  <c r="CH423" i="6"/>
  <c r="CI422" i="6"/>
  <c r="CH422" i="6"/>
  <c r="CI421" i="6"/>
  <c r="CH421" i="6"/>
  <c r="CI420" i="6"/>
  <c r="CH420" i="6"/>
  <c r="CI419" i="6"/>
  <c r="CH419" i="6"/>
  <c r="CI418" i="6"/>
  <c r="CH418" i="6"/>
  <c r="CI417" i="6"/>
  <c r="CH417" i="6"/>
  <c r="CI416" i="6"/>
  <c r="CH416" i="6"/>
  <c r="CI415" i="6"/>
  <c r="CH415" i="6"/>
  <c r="CI414" i="6"/>
  <c r="CH414" i="6"/>
  <c r="CI413" i="6"/>
  <c r="CH413" i="6"/>
  <c r="CI412" i="6"/>
  <c r="CH412" i="6"/>
  <c r="CI411" i="6"/>
  <c r="CH411" i="6"/>
  <c r="CI410" i="6"/>
  <c r="CH410" i="6"/>
  <c r="CI409" i="6"/>
  <c r="CH409" i="6"/>
  <c r="CI408" i="6"/>
  <c r="CH408" i="6"/>
  <c r="CI407" i="6"/>
  <c r="CH407" i="6"/>
  <c r="CI406" i="6"/>
  <c r="CH406" i="6"/>
  <c r="CI405" i="6"/>
  <c r="CH405" i="6"/>
  <c r="CI404" i="6"/>
  <c r="CH404" i="6"/>
  <c r="CI403" i="6"/>
  <c r="CH403" i="6"/>
  <c r="CI402" i="6"/>
  <c r="CH402" i="6"/>
  <c r="CI401" i="6"/>
  <c r="CH401" i="6"/>
  <c r="CI400" i="6"/>
  <c r="CH400" i="6"/>
  <c r="CI399" i="6"/>
  <c r="CH399" i="6"/>
  <c r="CI398" i="6"/>
  <c r="CH398" i="6"/>
  <c r="CI397" i="6"/>
  <c r="CH397" i="6"/>
  <c r="CI396" i="6"/>
  <c r="CH396" i="6"/>
  <c r="CI395" i="6"/>
  <c r="CH395" i="6"/>
  <c r="CI394" i="6"/>
  <c r="CH394" i="6"/>
  <c r="CI393" i="6"/>
  <c r="CH393" i="6"/>
  <c r="CI392" i="6"/>
  <c r="CH392" i="6"/>
  <c r="CI391" i="6"/>
  <c r="CH391" i="6"/>
  <c r="CI390" i="6"/>
  <c r="CH390" i="6"/>
  <c r="CI389" i="6"/>
  <c r="CH389" i="6"/>
  <c r="CI388" i="6"/>
  <c r="CH388" i="6"/>
  <c r="CI387" i="6"/>
  <c r="CH387" i="6"/>
  <c r="CI386" i="6"/>
  <c r="CH386" i="6"/>
  <c r="CI385" i="6"/>
  <c r="CH385" i="6"/>
  <c r="CI384" i="6"/>
  <c r="CH384" i="6"/>
  <c r="CI383" i="6"/>
  <c r="CH383" i="6"/>
  <c r="CI382" i="6"/>
  <c r="CH382" i="6"/>
  <c r="CI381" i="6"/>
  <c r="CH381" i="6"/>
  <c r="CI380" i="6"/>
  <c r="CH380" i="6"/>
  <c r="CI379" i="6"/>
  <c r="CH379" i="6"/>
  <c r="CI378" i="6"/>
  <c r="CH378" i="6"/>
  <c r="CI377" i="6"/>
  <c r="CH377" i="6"/>
  <c r="CI376" i="6"/>
  <c r="CH376" i="6"/>
  <c r="CI375" i="6"/>
  <c r="CH375" i="6"/>
  <c r="CI374" i="6"/>
  <c r="CH374" i="6"/>
  <c r="CI373" i="6"/>
  <c r="CH373" i="6"/>
  <c r="CI372" i="6"/>
  <c r="CH372" i="6"/>
  <c r="CI371" i="6"/>
  <c r="CH371" i="6"/>
  <c r="CI370" i="6"/>
  <c r="CH370" i="6"/>
  <c r="CI369" i="6"/>
  <c r="CH369" i="6"/>
  <c r="CI368" i="6"/>
  <c r="CH368" i="6"/>
  <c r="CI367" i="6"/>
  <c r="CH367" i="6"/>
  <c r="CI366" i="6"/>
  <c r="CH366" i="6"/>
  <c r="CI365" i="6"/>
  <c r="CH365" i="6"/>
  <c r="CI364" i="6"/>
  <c r="CH364" i="6"/>
  <c r="CI363" i="6"/>
  <c r="CH363" i="6"/>
  <c r="CI362" i="6"/>
  <c r="CH362" i="6"/>
  <c r="CI361" i="6"/>
  <c r="CH361" i="6"/>
  <c r="CI360" i="6"/>
  <c r="CH360" i="6"/>
  <c r="CI359" i="6"/>
  <c r="CH359" i="6"/>
  <c r="CI358" i="6"/>
  <c r="CH358" i="6"/>
  <c r="CI357" i="6"/>
  <c r="CH357" i="6"/>
  <c r="CI356" i="6"/>
  <c r="CH356" i="6"/>
  <c r="CI355" i="6"/>
  <c r="CH355" i="6"/>
  <c r="CI354" i="6"/>
  <c r="CH354" i="6"/>
  <c r="CI353" i="6"/>
  <c r="CH353" i="6"/>
  <c r="CI352" i="6"/>
  <c r="CH352" i="6"/>
  <c r="CI351" i="6"/>
  <c r="CH351" i="6"/>
  <c r="CI350" i="6"/>
  <c r="CH350" i="6"/>
  <c r="CI349" i="6"/>
  <c r="CH349" i="6"/>
  <c r="CI348" i="6"/>
  <c r="CH348" i="6"/>
  <c r="CI347" i="6"/>
  <c r="CH347" i="6"/>
  <c r="CI346" i="6"/>
  <c r="CH346" i="6"/>
  <c r="CI345" i="6"/>
  <c r="CH345" i="6"/>
  <c r="CI344" i="6"/>
  <c r="CH344" i="6"/>
  <c r="CI343" i="6"/>
  <c r="CH343" i="6"/>
  <c r="CI342" i="6"/>
  <c r="CH342" i="6"/>
  <c r="CI341" i="6"/>
  <c r="CH341" i="6"/>
  <c r="CI340" i="6"/>
  <c r="CH340" i="6"/>
  <c r="CI339" i="6"/>
  <c r="CH339" i="6"/>
  <c r="CI338" i="6"/>
  <c r="CH338" i="6"/>
  <c r="CI337" i="6"/>
  <c r="CH337" i="6"/>
  <c r="CI336" i="6"/>
  <c r="CH336" i="6"/>
  <c r="CI335" i="6"/>
  <c r="CH335" i="6"/>
  <c r="CI334" i="6"/>
  <c r="CH334" i="6"/>
  <c r="CI333" i="6"/>
  <c r="CH333" i="6"/>
  <c r="CI332" i="6"/>
  <c r="CH332" i="6"/>
  <c r="CI331" i="6"/>
  <c r="CH331" i="6"/>
  <c r="CI330" i="6"/>
  <c r="CH330" i="6"/>
  <c r="CI329" i="6"/>
  <c r="CH329" i="6"/>
  <c r="CI328" i="6"/>
  <c r="CH328" i="6"/>
  <c r="CI327" i="6"/>
  <c r="CH327" i="6"/>
  <c r="CI326" i="6"/>
  <c r="CH326" i="6"/>
  <c r="CI325" i="6"/>
  <c r="CH325" i="6"/>
  <c r="CI324" i="6"/>
  <c r="CH324" i="6"/>
  <c r="CI323" i="6"/>
  <c r="CH323" i="6"/>
  <c r="CI322" i="6"/>
  <c r="CH322" i="6"/>
  <c r="CI321" i="6"/>
  <c r="CH321" i="6"/>
  <c r="CI320" i="6"/>
  <c r="CH320" i="6"/>
  <c r="CI319" i="6"/>
  <c r="CH319" i="6"/>
  <c r="CI318" i="6"/>
  <c r="CH318" i="6"/>
  <c r="CI317" i="6"/>
  <c r="CH317" i="6"/>
  <c r="CI316" i="6"/>
  <c r="CH316" i="6"/>
  <c r="CI315" i="6"/>
  <c r="CH315" i="6"/>
  <c r="CI314" i="6"/>
  <c r="CH314" i="6"/>
  <c r="CI313" i="6"/>
  <c r="CH313" i="6"/>
  <c r="CI312" i="6"/>
  <c r="CH312" i="6"/>
  <c r="CI311" i="6"/>
  <c r="CH311" i="6"/>
  <c r="CI310" i="6"/>
  <c r="CH310" i="6"/>
  <c r="CI309" i="6"/>
  <c r="CH309" i="6"/>
  <c r="CI308" i="6"/>
  <c r="CH308" i="6"/>
  <c r="CI307" i="6"/>
  <c r="CH307" i="6"/>
  <c r="CI306" i="6"/>
  <c r="CH306" i="6"/>
  <c r="CI305" i="6"/>
  <c r="CH305" i="6"/>
  <c r="CI304" i="6"/>
  <c r="CH304" i="6"/>
  <c r="CI303" i="6"/>
  <c r="CH303" i="6"/>
  <c r="CI302" i="6"/>
  <c r="CH302" i="6"/>
  <c r="CI301" i="6"/>
  <c r="CH301" i="6"/>
  <c r="CI300" i="6"/>
  <c r="CH300" i="6"/>
  <c r="CI299" i="6"/>
  <c r="CH299" i="6"/>
  <c r="CI298" i="6"/>
  <c r="CH298" i="6"/>
  <c r="CI297" i="6"/>
  <c r="CH297" i="6"/>
  <c r="CI296" i="6"/>
  <c r="CH296" i="6"/>
  <c r="CI295" i="6"/>
  <c r="CH295" i="6"/>
  <c r="CI294" i="6"/>
  <c r="CH294" i="6"/>
  <c r="CI293" i="6"/>
  <c r="CH293" i="6"/>
  <c r="CI292" i="6"/>
  <c r="CH292" i="6"/>
  <c r="CI291" i="6"/>
  <c r="CH291" i="6"/>
  <c r="CI290" i="6"/>
  <c r="CH290" i="6"/>
  <c r="CI289" i="6"/>
  <c r="CH289" i="6"/>
  <c r="CI288" i="6"/>
  <c r="CH288" i="6"/>
  <c r="CI287" i="6"/>
  <c r="CH287" i="6"/>
  <c r="CI286" i="6"/>
  <c r="CH286" i="6"/>
  <c r="CI285" i="6"/>
  <c r="CH285" i="6"/>
  <c r="CI284" i="6"/>
  <c r="CH284" i="6"/>
  <c r="CI283" i="6"/>
  <c r="CH283" i="6"/>
  <c r="CI282" i="6"/>
  <c r="CH282" i="6"/>
  <c r="CI281" i="6"/>
  <c r="CH281" i="6"/>
  <c r="CI280" i="6"/>
  <c r="CH280" i="6"/>
  <c r="CI279" i="6"/>
  <c r="CH279" i="6"/>
  <c r="CI278" i="6"/>
  <c r="CH278" i="6"/>
  <c r="CI277" i="6"/>
  <c r="CH277" i="6"/>
  <c r="CI276" i="6"/>
  <c r="CH276" i="6"/>
  <c r="CI275" i="6"/>
  <c r="CH275" i="6"/>
  <c r="CI274" i="6"/>
  <c r="CH274" i="6"/>
  <c r="CI273" i="6"/>
  <c r="CH273" i="6"/>
  <c r="CI272" i="6"/>
  <c r="CH272" i="6"/>
  <c r="CI271" i="6"/>
  <c r="CH271" i="6"/>
  <c r="CI270" i="6"/>
  <c r="CH270" i="6"/>
  <c r="CI269" i="6"/>
  <c r="CH269" i="6"/>
  <c r="CI268" i="6"/>
  <c r="CH268" i="6"/>
  <c r="CI267" i="6"/>
  <c r="CH267" i="6"/>
  <c r="CI266" i="6"/>
  <c r="CH266" i="6"/>
  <c r="CI265" i="6"/>
  <c r="CH265" i="6"/>
  <c r="CI264" i="6"/>
  <c r="CH264" i="6"/>
  <c r="CI263" i="6"/>
  <c r="CH263" i="6"/>
  <c r="CI262" i="6"/>
  <c r="CH262" i="6"/>
  <c r="CI261" i="6"/>
  <c r="CH261" i="6"/>
  <c r="CI260" i="6"/>
  <c r="CH260" i="6"/>
  <c r="CI259" i="6"/>
  <c r="CH259" i="6"/>
  <c r="CI258" i="6"/>
  <c r="CH258" i="6"/>
  <c r="CI257" i="6"/>
  <c r="CH257" i="6"/>
  <c r="CI256" i="6"/>
  <c r="CH256" i="6"/>
  <c r="CI255" i="6"/>
  <c r="CH255" i="6"/>
  <c r="CI254" i="6"/>
  <c r="CH254" i="6"/>
  <c r="CI253" i="6"/>
  <c r="CH253" i="6"/>
  <c r="CI252" i="6"/>
  <c r="CH252" i="6"/>
  <c r="CI251" i="6"/>
  <c r="CH251" i="6"/>
  <c r="CI250" i="6"/>
  <c r="CH250" i="6"/>
  <c r="CI249" i="6"/>
  <c r="CH249" i="6"/>
  <c r="CI248" i="6"/>
  <c r="CH248" i="6"/>
  <c r="CI247" i="6"/>
  <c r="CH247" i="6"/>
  <c r="CI246" i="6"/>
  <c r="CH246" i="6"/>
  <c r="CI245" i="6"/>
  <c r="CH245" i="6"/>
  <c r="CI244" i="6"/>
  <c r="CH244" i="6"/>
  <c r="CI243" i="6"/>
  <c r="CH243" i="6"/>
  <c r="CI242" i="6"/>
  <c r="CH242" i="6"/>
  <c r="CI241" i="6"/>
  <c r="CH241" i="6"/>
  <c r="CI240" i="6"/>
  <c r="CH240" i="6"/>
  <c r="CI239" i="6"/>
  <c r="CH239" i="6"/>
  <c r="CI238" i="6"/>
  <c r="CH238" i="6"/>
  <c r="CI237" i="6"/>
  <c r="CH237" i="6"/>
  <c r="CI236" i="6"/>
  <c r="CH236" i="6"/>
  <c r="CI235" i="6"/>
  <c r="CH235" i="6"/>
  <c r="CI234" i="6"/>
  <c r="CH234" i="6"/>
  <c r="CI233" i="6"/>
  <c r="CH233" i="6"/>
  <c r="CI232" i="6"/>
  <c r="CH232" i="6"/>
  <c r="CI231" i="6"/>
  <c r="CH231" i="6"/>
  <c r="CI230" i="6"/>
  <c r="CH230" i="6"/>
  <c r="CI229" i="6"/>
  <c r="CH229" i="6"/>
  <c r="CI228" i="6"/>
  <c r="CH228" i="6"/>
  <c r="CI227" i="6"/>
  <c r="CH227" i="6"/>
  <c r="CI226" i="6"/>
  <c r="CH226" i="6"/>
  <c r="CI225" i="6"/>
  <c r="CH225" i="6"/>
  <c r="CI224" i="6"/>
  <c r="CH224" i="6"/>
  <c r="CI223" i="6"/>
  <c r="CH223" i="6"/>
  <c r="CI222" i="6"/>
  <c r="CH222" i="6"/>
  <c r="CI221" i="6"/>
  <c r="CH221" i="6"/>
  <c r="CI220" i="6"/>
  <c r="CH220" i="6"/>
  <c r="CI219" i="6"/>
  <c r="CH219" i="6"/>
  <c r="CI218" i="6"/>
  <c r="CH218" i="6"/>
  <c r="CI217" i="6"/>
  <c r="CH217" i="6"/>
  <c r="CI216" i="6"/>
  <c r="CH216" i="6"/>
  <c r="CI215" i="6"/>
  <c r="CH215" i="6"/>
  <c r="CI214" i="6"/>
  <c r="CH214" i="6"/>
  <c r="CI213" i="6"/>
  <c r="CH213" i="6"/>
  <c r="CI212" i="6"/>
  <c r="CH212" i="6"/>
  <c r="CI211" i="6"/>
  <c r="CH211" i="6"/>
  <c r="CI210" i="6"/>
  <c r="CH210" i="6"/>
  <c r="CI209" i="6"/>
  <c r="CH209" i="6"/>
  <c r="CI208" i="6"/>
  <c r="CH208" i="6"/>
  <c r="CI207" i="6"/>
  <c r="CH207" i="6"/>
  <c r="CI206" i="6"/>
  <c r="CH206" i="6"/>
  <c r="CI205" i="6"/>
  <c r="CH205" i="6"/>
  <c r="CI204" i="6"/>
  <c r="CH204" i="6"/>
  <c r="CI203" i="6"/>
  <c r="CH203" i="6"/>
  <c r="CI202" i="6"/>
  <c r="CH202" i="6"/>
  <c r="CI201" i="6"/>
  <c r="CH201" i="6"/>
  <c r="CI200" i="6"/>
  <c r="CH200" i="6"/>
  <c r="CI199" i="6"/>
  <c r="CH199" i="6"/>
  <c r="CI198" i="6"/>
  <c r="CH198" i="6"/>
  <c r="CI197" i="6"/>
  <c r="CH197" i="6"/>
  <c r="CI196" i="6"/>
  <c r="CH196" i="6"/>
  <c r="CI195" i="6"/>
  <c r="CH195" i="6"/>
  <c r="CI194" i="6"/>
  <c r="CH194" i="6"/>
  <c r="CI193" i="6"/>
  <c r="CH193" i="6"/>
  <c r="CI192" i="6"/>
  <c r="CH192" i="6"/>
  <c r="CI191" i="6"/>
  <c r="CH191" i="6"/>
  <c r="CI190" i="6"/>
  <c r="CH190" i="6"/>
  <c r="CI189" i="6"/>
  <c r="CH189" i="6"/>
  <c r="CI188" i="6"/>
  <c r="CH188" i="6"/>
  <c r="CI187" i="6"/>
  <c r="CH187" i="6"/>
  <c r="CI186" i="6"/>
  <c r="CH186" i="6"/>
  <c r="CI185" i="6"/>
  <c r="CH185" i="6"/>
  <c r="CI184" i="6"/>
  <c r="CH184" i="6"/>
  <c r="CI183" i="6"/>
  <c r="CH183" i="6"/>
  <c r="CI182" i="6"/>
  <c r="CH182" i="6"/>
  <c r="CI181" i="6"/>
  <c r="CH181" i="6"/>
  <c r="CI180" i="6"/>
  <c r="CH180" i="6"/>
  <c r="CI179" i="6"/>
  <c r="CH179" i="6"/>
  <c r="CI178" i="6"/>
  <c r="CH178" i="6"/>
  <c r="CI177" i="6"/>
  <c r="CH177" i="6"/>
  <c r="CI176" i="6"/>
  <c r="CH176" i="6"/>
  <c r="CI175" i="6"/>
  <c r="CH175" i="6"/>
  <c r="CI174" i="6"/>
  <c r="CH174" i="6"/>
  <c r="CI173" i="6"/>
  <c r="CH173" i="6"/>
  <c r="CI172" i="6"/>
  <c r="CH172" i="6"/>
  <c r="CI171" i="6"/>
  <c r="CH171" i="6"/>
  <c r="CI170" i="6"/>
  <c r="CH170" i="6"/>
  <c r="CI169" i="6"/>
  <c r="CH169" i="6"/>
  <c r="CI168" i="6"/>
  <c r="CH168" i="6"/>
  <c r="CI167" i="6"/>
  <c r="CH167" i="6"/>
  <c r="CI166" i="6"/>
  <c r="CH166" i="6"/>
  <c r="CI165" i="6"/>
  <c r="CH165" i="6"/>
  <c r="CI164" i="6"/>
  <c r="CH164" i="6"/>
  <c r="CI163" i="6"/>
  <c r="CH163" i="6"/>
  <c r="CI162" i="6"/>
  <c r="CH162" i="6"/>
  <c r="CI161" i="6"/>
  <c r="CH161" i="6"/>
  <c r="CI160" i="6"/>
  <c r="CH160" i="6"/>
  <c r="CI159" i="6"/>
  <c r="CH159" i="6"/>
  <c r="CI158" i="6"/>
  <c r="CH158" i="6"/>
  <c r="CI157" i="6"/>
  <c r="CH157" i="6"/>
  <c r="CI156" i="6"/>
  <c r="CH156" i="6"/>
  <c r="CI155" i="6"/>
  <c r="CH155" i="6"/>
  <c r="CI154" i="6"/>
  <c r="CH154" i="6"/>
  <c r="CI153" i="6"/>
  <c r="CH153" i="6"/>
  <c r="CI152" i="6"/>
  <c r="CH152" i="6"/>
  <c r="CI151" i="6"/>
  <c r="CH151" i="6"/>
  <c r="CI150" i="6"/>
  <c r="CH150" i="6"/>
  <c r="CI149" i="6"/>
  <c r="CH149" i="6"/>
  <c r="CI148" i="6"/>
  <c r="CH148" i="6"/>
  <c r="CI147" i="6"/>
  <c r="CH147" i="6"/>
  <c r="CI146" i="6"/>
  <c r="CH146" i="6"/>
  <c r="CI145" i="6"/>
  <c r="CH145" i="6"/>
  <c r="CI144" i="6"/>
  <c r="CH144" i="6"/>
  <c r="CI143" i="6"/>
  <c r="CH143" i="6"/>
  <c r="CI142" i="6"/>
  <c r="CH142" i="6"/>
  <c r="CI141" i="6"/>
  <c r="CH141" i="6"/>
  <c r="CI140" i="6"/>
  <c r="CH140" i="6"/>
  <c r="CI139" i="6"/>
  <c r="CH139" i="6"/>
  <c r="CI138" i="6"/>
  <c r="CH138" i="6"/>
  <c r="CI137" i="6"/>
  <c r="CH137" i="6"/>
  <c r="CI136" i="6"/>
  <c r="CH136" i="6"/>
  <c r="CI135" i="6"/>
  <c r="CH135" i="6"/>
  <c r="CI134" i="6"/>
  <c r="CH134" i="6"/>
  <c r="CI133" i="6"/>
  <c r="CH133" i="6"/>
  <c r="CI132" i="6"/>
  <c r="CH132" i="6"/>
  <c r="CI131" i="6"/>
  <c r="CH131" i="6"/>
  <c r="CI130" i="6"/>
  <c r="CH130" i="6"/>
  <c r="CI129" i="6"/>
  <c r="CH129" i="6"/>
  <c r="CI128" i="6"/>
  <c r="CH128" i="6"/>
  <c r="CI127" i="6"/>
  <c r="CH127" i="6"/>
  <c r="CI126" i="6"/>
  <c r="CH126" i="6"/>
  <c r="CI125" i="6"/>
  <c r="CH125" i="6"/>
  <c r="CI124" i="6"/>
  <c r="CH124" i="6"/>
  <c r="CI123" i="6"/>
  <c r="CH123" i="6"/>
  <c r="CI122" i="6"/>
  <c r="CH122" i="6"/>
  <c r="CI121" i="6"/>
  <c r="CH121" i="6"/>
  <c r="CI120" i="6"/>
  <c r="CH120" i="6"/>
  <c r="CI119" i="6"/>
  <c r="CH119" i="6"/>
  <c r="CI118" i="6"/>
  <c r="CH118" i="6"/>
  <c r="CI117" i="6"/>
  <c r="CH117" i="6"/>
  <c r="CI116" i="6"/>
  <c r="CH116" i="6"/>
  <c r="CI115" i="6"/>
  <c r="CH115" i="6"/>
  <c r="CI114" i="6"/>
  <c r="CH114" i="6"/>
  <c r="CI113" i="6"/>
  <c r="CH113" i="6"/>
  <c r="CI112" i="6"/>
  <c r="CH112" i="6"/>
  <c r="CI111" i="6"/>
  <c r="CH111" i="6"/>
  <c r="CI110" i="6"/>
  <c r="CH110" i="6"/>
  <c r="CI109" i="6"/>
  <c r="CH109" i="6"/>
  <c r="CI108" i="6"/>
  <c r="CH108" i="6"/>
  <c r="CI107" i="6"/>
  <c r="CH107" i="6"/>
  <c r="CI106" i="6"/>
  <c r="CH106" i="6"/>
  <c r="CI105" i="6"/>
  <c r="CH105" i="6"/>
  <c r="CI104" i="6"/>
  <c r="CH104" i="6"/>
  <c r="CI103" i="6"/>
  <c r="CH103" i="6"/>
  <c r="CI102" i="6"/>
  <c r="CH102" i="6"/>
  <c r="CI101" i="6"/>
  <c r="CH101" i="6"/>
  <c r="CI100" i="6"/>
  <c r="CH100" i="6"/>
  <c r="CI99" i="6"/>
  <c r="CH99" i="6"/>
  <c r="CI98" i="6"/>
  <c r="CH98" i="6"/>
  <c r="CI97" i="6"/>
  <c r="CH97" i="6"/>
  <c r="CI96" i="6"/>
  <c r="CH96" i="6"/>
  <c r="CI95" i="6"/>
  <c r="CH95" i="6"/>
  <c r="CI94" i="6"/>
  <c r="CH94" i="6"/>
  <c r="CI93" i="6"/>
  <c r="CH93" i="6"/>
  <c r="CI92" i="6"/>
  <c r="CH92" i="6"/>
  <c r="CI91" i="6"/>
  <c r="CH91" i="6"/>
  <c r="CI90" i="6"/>
  <c r="CH90" i="6"/>
  <c r="CI89" i="6"/>
  <c r="CH89" i="6"/>
  <c r="CI88" i="6"/>
  <c r="CH88" i="6"/>
  <c r="CI87" i="6"/>
  <c r="CH87" i="6"/>
  <c r="CI86" i="6"/>
  <c r="CH86" i="6"/>
  <c r="CI85" i="6"/>
  <c r="CH85" i="6"/>
  <c r="CI84" i="6"/>
  <c r="CH84" i="6"/>
  <c r="CI83" i="6"/>
  <c r="CH83" i="6"/>
  <c r="CI82" i="6"/>
  <c r="CH82" i="6"/>
  <c r="CI81" i="6"/>
  <c r="CH81" i="6"/>
  <c r="CI80" i="6"/>
  <c r="CH80" i="6"/>
  <c r="CI79" i="6"/>
  <c r="CH79" i="6"/>
  <c r="CI78" i="6"/>
  <c r="CH78" i="6"/>
  <c r="CI77" i="6"/>
  <c r="CH77" i="6"/>
  <c r="CI76" i="6"/>
  <c r="CH76" i="6"/>
  <c r="CI75" i="6"/>
  <c r="CH75" i="6"/>
  <c r="CI74" i="6"/>
  <c r="CH74" i="6"/>
  <c r="CI73" i="6"/>
  <c r="CH73" i="6"/>
  <c r="CI72" i="6"/>
  <c r="CH72" i="6"/>
  <c r="CI71" i="6"/>
  <c r="CH71" i="6"/>
  <c r="CI70" i="6"/>
  <c r="CH70" i="6"/>
  <c r="CI69" i="6"/>
  <c r="CH69" i="6"/>
  <c r="CI68" i="6"/>
  <c r="CH68" i="6"/>
  <c r="CI67" i="6"/>
  <c r="CH67" i="6"/>
  <c r="CI66" i="6"/>
  <c r="CH66" i="6"/>
  <c r="CI65" i="6"/>
  <c r="CH65" i="6"/>
  <c r="CI64" i="6"/>
  <c r="CH64" i="6"/>
  <c r="CI63" i="6"/>
  <c r="CH63" i="6"/>
  <c r="CI62" i="6"/>
  <c r="CH62" i="6"/>
  <c r="CI61" i="6"/>
  <c r="CH61" i="6"/>
  <c r="CI60" i="6"/>
  <c r="CH60" i="6"/>
  <c r="CI59" i="6"/>
  <c r="CH59" i="6"/>
  <c r="CI58" i="6"/>
  <c r="CH58" i="6"/>
  <c r="CI57" i="6"/>
  <c r="CH57" i="6"/>
  <c r="CI56" i="6"/>
  <c r="CH56" i="6"/>
  <c r="CI55" i="6"/>
  <c r="CH55" i="6"/>
  <c r="CI54" i="6"/>
  <c r="CH54" i="6"/>
  <c r="CI53" i="6"/>
  <c r="CH53" i="6"/>
  <c r="CI52" i="6"/>
  <c r="CH52" i="6"/>
  <c r="CI51" i="6"/>
  <c r="CH51" i="6"/>
  <c r="CI50" i="6"/>
  <c r="CH50" i="6"/>
  <c r="CI49" i="6"/>
  <c r="CH49" i="6"/>
  <c r="CI48" i="6"/>
  <c r="CH48" i="6"/>
  <c r="CI47" i="6"/>
  <c r="CH47" i="6"/>
  <c r="CI46" i="6"/>
  <c r="CH46" i="6"/>
  <c r="CI45" i="6"/>
  <c r="CH45" i="6"/>
  <c r="CI44" i="6"/>
  <c r="CH44" i="6"/>
  <c r="CI43" i="6"/>
  <c r="CH43" i="6"/>
  <c r="CI42" i="6"/>
  <c r="CH42" i="6"/>
  <c r="CI41" i="6"/>
  <c r="CH41" i="6"/>
  <c r="CI40" i="6"/>
  <c r="CH40" i="6"/>
  <c r="CI39" i="6"/>
  <c r="CH39" i="6"/>
  <c r="CI38" i="6"/>
  <c r="CH38" i="6"/>
  <c r="CI37" i="6"/>
  <c r="CH37" i="6"/>
  <c r="CI36" i="6"/>
  <c r="CH36" i="6"/>
  <c r="CI35" i="6"/>
  <c r="CH35" i="6"/>
  <c r="CI34" i="6"/>
  <c r="CH34" i="6"/>
  <c r="CI33" i="6"/>
  <c r="CH33" i="6"/>
  <c r="CI32" i="6"/>
  <c r="CH32" i="6"/>
  <c r="CI31" i="6"/>
  <c r="CH31" i="6"/>
  <c r="CI30" i="6"/>
  <c r="CH30" i="6"/>
  <c r="CI29" i="6"/>
  <c r="CH29" i="6"/>
  <c r="CI28" i="6"/>
  <c r="CH28" i="6"/>
  <c r="CI27" i="6"/>
  <c r="CH27" i="6"/>
  <c r="CI26" i="6"/>
  <c r="CH26" i="6"/>
  <c r="CI25" i="6"/>
  <c r="CH25" i="6"/>
  <c r="CI24" i="6"/>
  <c r="CH24" i="6"/>
  <c r="CI23" i="6"/>
  <c r="CH23" i="6"/>
  <c r="CI22" i="6"/>
  <c r="CH22" i="6"/>
  <c r="CI21" i="6"/>
  <c r="CH21" i="6"/>
  <c r="CI20" i="6"/>
  <c r="CH20" i="6"/>
  <c r="CI19" i="6"/>
  <c r="CH19" i="6"/>
  <c r="CI18" i="6"/>
  <c r="CH18" i="6"/>
  <c r="CI17" i="6"/>
  <c r="CH17" i="6"/>
  <c r="CI16" i="6"/>
  <c r="CH16" i="6"/>
  <c r="CI15" i="6"/>
  <c r="CH15" i="6"/>
  <c r="CI14" i="6"/>
  <c r="CH14" i="6"/>
  <c r="CI13" i="6"/>
  <c r="CH13" i="6"/>
  <c r="CI12" i="6"/>
  <c r="CH12" i="6"/>
  <c r="CI11" i="6"/>
  <c r="CH11" i="6"/>
  <c r="CI10" i="6"/>
  <c r="CH10" i="6"/>
  <c r="CI9" i="6"/>
  <c r="CH9" i="6"/>
  <c r="CI8" i="6"/>
  <c r="CH8" i="6"/>
  <c r="CP500" i="6"/>
  <c r="CO500" i="6"/>
  <c r="CP499" i="6"/>
  <c r="CO499" i="6"/>
  <c r="CP498" i="6"/>
  <c r="CO498" i="6"/>
  <c r="CP497" i="6"/>
  <c r="CO497" i="6"/>
  <c r="CP496" i="6"/>
  <c r="CO496" i="6"/>
  <c r="CP495" i="6"/>
  <c r="CO495" i="6"/>
  <c r="CP494" i="6"/>
  <c r="CO494" i="6"/>
  <c r="CP493" i="6"/>
  <c r="CO493" i="6"/>
  <c r="CP492" i="6"/>
  <c r="CO492" i="6"/>
  <c r="CP491" i="6"/>
  <c r="CO491" i="6"/>
  <c r="CP490" i="6"/>
  <c r="CO490" i="6"/>
  <c r="CP489" i="6"/>
  <c r="CO489" i="6"/>
  <c r="CP488" i="6"/>
  <c r="CO488" i="6"/>
  <c r="CP487" i="6"/>
  <c r="CO487" i="6"/>
  <c r="CP486" i="6"/>
  <c r="CO486" i="6"/>
  <c r="CP485" i="6"/>
  <c r="CO485" i="6"/>
  <c r="CP484" i="6"/>
  <c r="CO484" i="6"/>
  <c r="CP483" i="6"/>
  <c r="CO483" i="6"/>
  <c r="CP482" i="6"/>
  <c r="CO482" i="6"/>
  <c r="CP481" i="6"/>
  <c r="CO481" i="6"/>
  <c r="CP480" i="6"/>
  <c r="CO480" i="6"/>
  <c r="CP479" i="6"/>
  <c r="CO479" i="6"/>
  <c r="CP478" i="6"/>
  <c r="CO478" i="6"/>
  <c r="CP477" i="6"/>
  <c r="CO477" i="6"/>
  <c r="CP476" i="6"/>
  <c r="CO476" i="6"/>
  <c r="CP475" i="6"/>
  <c r="CO475" i="6"/>
  <c r="CP474" i="6"/>
  <c r="CO474" i="6"/>
  <c r="CP473" i="6"/>
  <c r="CO473" i="6"/>
  <c r="CP472" i="6"/>
  <c r="CO472" i="6"/>
  <c r="CP471" i="6"/>
  <c r="CO471" i="6"/>
  <c r="CP470" i="6"/>
  <c r="CO470" i="6"/>
  <c r="CP469" i="6"/>
  <c r="CO469" i="6"/>
  <c r="CP468" i="6"/>
  <c r="CO468" i="6"/>
  <c r="CP467" i="6"/>
  <c r="CO467" i="6"/>
  <c r="CP466" i="6"/>
  <c r="CO466" i="6"/>
  <c r="CP465" i="6"/>
  <c r="CO465" i="6"/>
  <c r="CP464" i="6"/>
  <c r="CO464" i="6"/>
  <c r="CP463" i="6"/>
  <c r="CO463" i="6"/>
  <c r="CP462" i="6"/>
  <c r="CO462" i="6"/>
  <c r="CP461" i="6"/>
  <c r="CO461" i="6"/>
  <c r="CP460" i="6"/>
  <c r="CO460" i="6"/>
  <c r="CP459" i="6"/>
  <c r="CO459" i="6"/>
  <c r="CP458" i="6"/>
  <c r="CO458" i="6"/>
  <c r="CP457" i="6"/>
  <c r="CO457" i="6"/>
  <c r="CP456" i="6"/>
  <c r="CO456" i="6"/>
  <c r="CP455" i="6"/>
  <c r="CO455" i="6"/>
  <c r="CP454" i="6"/>
  <c r="CO454" i="6"/>
  <c r="CP453" i="6"/>
  <c r="CO453" i="6"/>
  <c r="CP452" i="6"/>
  <c r="CO452" i="6"/>
  <c r="CP451" i="6"/>
  <c r="CO451" i="6"/>
  <c r="CP450" i="6"/>
  <c r="CO450" i="6"/>
  <c r="CP449" i="6"/>
  <c r="CO449" i="6"/>
  <c r="CP448" i="6"/>
  <c r="CO448" i="6"/>
  <c r="CP447" i="6"/>
  <c r="CO447" i="6"/>
  <c r="CP446" i="6"/>
  <c r="CO446" i="6"/>
  <c r="CP445" i="6"/>
  <c r="CO445" i="6"/>
  <c r="CP444" i="6"/>
  <c r="CO444" i="6"/>
  <c r="CP443" i="6"/>
  <c r="CO443" i="6"/>
  <c r="CP442" i="6"/>
  <c r="CO442" i="6"/>
  <c r="CP441" i="6"/>
  <c r="CO441" i="6"/>
  <c r="CP440" i="6"/>
  <c r="CO440" i="6"/>
  <c r="CP439" i="6"/>
  <c r="CO439" i="6"/>
  <c r="CP438" i="6"/>
  <c r="CO438" i="6"/>
  <c r="CP437" i="6"/>
  <c r="CO437" i="6"/>
  <c r="CP436" i="6"/>
  <c r="CO436" i="6"/>
  <c r="CP435" i="6"/>
  <c r="CO435" i="6"/>
  <c r="CP434" i="6"/>
  <c r="CO434" i="6"/>
  <c r="CP433" i="6"/>
  <c r="CO433" i="6"/>
  <c r="CP432" i="6"/>
  <c r="CO432" i="6"/>
  <c r="CP431" i="6"/>
  <c r="CO431" i="6"/>
  <c r="CP430" i="6"/>
  <c r="CO430" i="6"/>
  <c r="CP429" i="6"/>
  <c r="CO429" i="6"/>
  <c r="CP428" i="6"/>
  <c r="CO428" i="6"/>
  <c r="CP427" i="6"/>
  <c r="CO427" i="6"/>
  <c r="CP426" i="6"/>
  <c r="CO426" i="6"/>
  <c r="CP425" i="6"/>
  <c r="CO425" i="6"/>
  <c r="CP424" i="6"/>
  <c r="CO424" i="6"/>
  <c r="CP423" i="6"/>
  <c r="CO423" i="6"/>
  <c r="CP422" i="6"/>
  <c r="CO422" i="6"/>
  <c r="CP421" i="6"/>
  <c r="CO421" i="6"/>
  <c r="CP420" i="6"/>
  <c r="CO420" i="6"/>
  <c r="CP419" i="6"/>
  <c r="CO419" i="6"/>
  <c r="CP418" i="6"/>
  <c r="CO418" i="6"/>
  <c r="CP417" i="6"/>
  <c r="CO417" i="6"/>
  <c r="CP416" i="6"/>
  <c r="CO416" i="6"/>
  <c r="CP415" i="6"/>
  <c r="CO415" i="6"/>
  <c r="CP414" i="6"/>
  <c r="CO414" i="6"/>
  <c r="CP413" i="6"/>
  <c r="CO413" i="6"/>
  <c r="CP412" i="6"/>
  <c r="CO412" i="6"/>
  <c r="CP411" i="6"/>
  <c r="CO411" i="6"/>
  <c r="CP410" i="6"/>
  <c r="CO410" i="6"/>
  <c r="CP409" i="6"/>
  <c r="CO409" i="6"/>
  <c r="CP408" i="6"/>
  <c r="CO408" i="6"/>
  <c r="CP407" i="6"/>
  <c r="CO407" i="6"/>
  <c r="CP406" i="6"/>
  <c r="CO406" i="6"/>
  <c r="CP405" i="6"/>
  <c r="CO405" i="6"/>
  <c r="CP404" i="6"/>
  <c r="CO404" i="6"/>
  <c r="CP403" i="6"/>
  <c r="CO403" i="6"/>
  <c r="CP402" i="6"/>
  <c r="CO402" i="6"/>
  <c r="CP401" i="6"/>
  <c r="CO401" i="6"/>
  <c r="CP400" i="6"/>
  <c r="CO400" i="6"/>
  <c r="CP399" i="6"/>
  <c r="CO399" i="6"/>
  <c r="CP398" i="6"/>
  <c r="CO398" i="6"/>
  <c r="CP397" i="6"/>
  <c r="CO397" i="6"/>
  <c r="CP396" i="6"/>
  <c r="CO396" i="6"/>
  <c r="CP395" i="6"/>
  <c r="CO395" i="6"/>
  <c r="CP394" i="6"/>
  <c r="CO394" i="6"/>
  <c r="CP393" i="6"/>
  <c r="CO393" i="6"/>
  <c r="CP392" i="6"/>
  <c r="CO392" i="6"/>
  <c r="CP391" i="6"/>
  <c r="CO391" i="6"/>
  <c r="CP390" i="6"/>
  <c r="CO390" i="6"/>
  <c r="CP389" i="6"/>
  <c r="CO389" i="6"/>
  <c r="CP388" i="6"/>
  <c r="CO388" i="6"/>
  <c r="CP387" i="6"/>
  <c r="CO387" i="6"/>
  <c r="CP386" i="6"/>
  <c r="CO386" i="6"/>
  <c r="CP385" i="6"/>
  <c r="CO385" i="6"/>
  <c r="CP384" i="6"/>
  <c r="CO384" i="6"/>
  <c r="CP383" i="6"/>
  <c r="CO383" i="6"/>
  <c r="CP382" i="6"/>
  <c r="CO382" i="6"/>
  <c r="CP381" i="6"/>
  <c r="CO381" i="6"/>
  <c r="CP380" i="6"/>
  <c r="CO380" i="6"/>
  <c r="CP379" i="6"/>
  <c r="CO379" i="6"/>
  <c r="CP378" i="6"/>
  <c r="CO378" i="6"/>
  <c r="CP377" i="6"/>
  <c r="CO377" i="6"/>
  <c r="CP376" i="6"/>
  <c r="CO376" i="6"/>
  <c r="CP375" i="6"/>
  <c r="CO375" i="6"/>
  <c r="CP374" i="6"/>
  <c r="CO374" i="6"/>
  <c r="CP373" i="6"/>
  <c r="CO373" i="6"/>
  <c r="CP372" i="6"/>
  <c r="CO372" i="6"/>
  <c r="CP371" i="6"/>
  <c r="CO371" i="6"/>
  <c r="CP370" i="6"/>
  <c r="CO370" i="6"/>
  <c r="CP369" i="6"/>
  <c r="CO369" i="6"/>
  <c r="CP368" i="6"/>
  <c r="CO368" i="6"/>
  <c r="CP367" i="6"/>
  <c r="CO367" i="6"/>
  <c r="CP366" i="6"/>
  <c r="CO366" i="6"/>
  <c r="CP365" i="6"/>
  <c r="CO365" i="6"/>
  <c r="CP364" i="6"/>
  <c r="CO364" i="6"/>
  <c r="CP363" i="6"/>
  <c r="CO363" i="6"/>
  <c r="CP362" i="6"/>
  <c r="CO362" i="6"/>
  <c r="CP361" i="6"/>
  <c r="CO361" i="6"/>
  <c r="CP360" i="6"/>
  <c r="CO360" i="6"/>
  <c r="CP359" i="6"/>
  <c r="CO359" i="6"/>
  <c r="CP358" i="6"/>
  <c r="CO358" i="6"/>
  <c r="CP357" i="6"/>
  <c r="CO357" i="6"/>
  <c r="CP356" i="6"/>
  <c r="CO356" i="6"/>
  <c r="CP355" i="6"/>
  <c r="CO355" i="6"/>
  <c r="CP354" i="6"/>
  <c r="CO354" i="6"/>
  <c r="CP353" i="6"/>
  <c r="CO353" i="6"/>
  <c r="CP352" i="6"/>
  <c r="CO352" i="6"/>
  <c r="CP351" i="6"/>
  <c r="CO351" i="6"/>
  <c r="CP350" i="6"/>
  <c r="CO350" i="6"/>
  <c r="CP349" i="6"/>
  <c r="CO349" i="6"/>
  <c r="CP348" i="6"/>
  <c r="CO348" i="6"/>
  <c r="CP347" i="6"/>
  <c r="CO347" i="6"/>
  <c r="CP346" i="6"/>
  <c r="CO346" i="6"/>
  <c r="CP345" i="6"/>
  <c r="CO345" i="6"/>
  <c r="CP344" i="6"/>
  <c r="CO344" i="6"/>
  <c r="CP343" i="6"/>
  <c r="CO343" i="6"/>
  <c r="CP342" i="6"/>
  <c r="CO342" i="6"/>
  <c r="CP341" i="6"/>
  <c r="CO341" i="6"/>
  <c r="CP340" i="6"/>
  <c r="CO340" i="6"/>
  <c r="CP339" i="6"/>
  <c r="CO339" i="6"/>
  <c r="CP338" i="6"/>
  <c r="CO338" i="6"/>
  <c r="CP337" i="6"/>
  <c r="CO337" i="6"/>
  <c r="CP336" i="6"/>
  <c r="CO336" i="6"/>
  <c r="CP335" i="6"/>
  <c r="CO335" i="6"/>
  <c r="CP334" i="6"/>
  <c r="CO334" i="6"/>
  <c r="CP333" i="6"/>
  <c r="CO333" i="6"/>
  <c r="CP332" i="6"/>
  <c r="CO332" i="6"/>
  <c r="CP331" i="6"/>
  <c r="CO331" i="6"/>
  <c r="CP330" i="6"/>
  <c r="CO330" i="6"/>
  <c r="CP329" i="6"/>
  <c r="CO329" i="6"/>
  <c r="CP328" i="6"/>
  <c r="CO328" i="6"/>
  <c r="CP327" i="6"/>
  <c r="CO327" i="6"/>
  <c r="CP326" i="6"/>
  <c r="CO326" i="6"/>
  <c r="CP325" i="6"/>
  <c r="CO325" i="6"/>
  <c r="CP324" i="6"/>
  <c r="CO324" i="6"/>
  <c r="CP323" i="6"/>
  <c r="CO323" i="6"/>
  <c r="CP322" i="6"/>
  <c r="CO322" i="6"/>
  <c r="CP321" i="6"/>
  <c r="CO321" i="6"/>
  <c r="CP320" i="6"/>
  <c r="CO320" i="6"/>
  <c r="CP319" i="6"/>
  <c r="CO319" i="6"/>
  <c r="CP318" i="6"/>
  <c r="CO318" i="6"/>
  <c r="CP317" i="6"/>
  <c r="CO317" i="6"/>
  <c r="CP316" i="6"/>
  <c r="CO316" i="6"/>
  <c r="CP315" i="6"/>
  <c r="CO315" i="6"/>
  <c r="CP314" i="6"/>
  <c r="CO314" i="6"/>
  <c r="CP313" i="6"/>
  <c r="CO313" i="6"/>
  <c r="CP312" i="6"/>
  <c r="CO312" i="6"/>
  <c r="CP311" i="6"/>
  <c r="CO311" i="6"/>
  <c r="CP310" i="6"/>
  <c r="CO310" i="6"/>
  <c r="CP309" i="6"/>
  <c r="CO309" i="6"/>
  <c r="CP308" i="6"/>
  <c r="CO308" i="6"/>
  <c r="CP307" i="6"/>
  <c r="CO307" i="6"/>
  <c r="CP306" i="6"/>
  <c r="CO306" i="6"/>
  <c r="CP305" i="6"/>
  <c r="CO305" i="6"/>
  <c r="CP304" i="6"/>
  <c r="CO304" i="6"/>
  <c r="CP303" i="6"/>
  <c r="CO303" i="6"/>
  <c r="CP302" i="6"/>
  <c r="CO302" i="6"/>
  <c r="CP301" i="6"/>
  <c r="CO301" i="6"/>
  <c r="CP300" i="6"/>
  <c r="CO300" i="6"/>
  <c r="CP299" i="6"/>
  <c r="CO299" i="6"/>
  <c r="CP298" i="6"/>
  <c r="CO298" i="6"/>
  <c r="CP297" i="6"/>
  <c r="CO297" i="6"/>
  <c r="CP296" i="6"/>
  <c r="CO296" i="6"/>
  <c r="CP295" i="6"/>
  <c r="CO295" i="6"/>
  <c r="CP294" i="6"/>
  <c r="CO294" i="6"/>
  <c r="CP293" i="6"/>
  <c r="CO293" i="6"/>
  <c r="CP292" i="6"/>
  <c r="CO292" i="6"/>
  <c r="CP291" i="6"/>
  <c r="CO291" i="6"/>
  <c r="CP290" i="6"/>
  <c r="CO290" i="6"/>
  <c r="CP289" i="6"/>
  <c r="CO289" i="6"/>
  <c r="CP288" i="6"/>
  <c r="CO288" i="6"/>
  <c r="CP287" i="6"/>
  <c r="CO287" i="6"/>
  <c r="CP286" i="6"/>
  <c r="CO286" i="6"/>
  <c r="CP285" i="6"/>
  <c r="CO285" i="6"/>
  <c r="CP284" i="6"/>
  <c r="CO284" i="6"/>
  <c r="CP283" i="6"/>
  <c r="CO283" i="6"/>
  <c r="CP282" i="6"/>
  <c r="CO282" i="6"/>
  <c r="CP281" i="6"/>
  <c r="CO281" i="6"/>
  <c r="CP280" i="6"/>
  <c r="CO280" i="6"/>
  <c r="CP279" i="6"/>
  <c r="CO279" i="6"/>
  <c r="CP278" i="6"/>
  <c r="CO278" i="6"/>
  <c r="CP277" i="6"/>
  <c r="CO277" i="6"/>
  <c r="CP276" i="6"/>
  <c r="CO276" i="6"/>
  <c r="CP275" i="6"/>
  <c r="CO275" i="6"/>
  <c r="CP274" i="6"/>
  <c r="CO274" i="6"/>
  <c r="CP273" i="6"/>
  <c r="CO273" i="6"/>
  <c r="CP272" i="6"/>
  <c r="CO272" i="6"/>
  <c r="CP271" i="6"/>
  <c r="CO271" i="6"/>
  <c r="CP270" i="6"/>
  <c r="CO270" i="6"/>
  <c r="CP269" i="6"/>
  <c r="CO269" i="6"/>
  <c r="CP268" i="6"/>
  <c r="CO268" i="6"/>
  <c r="CP267" i="6"/>
  <c r="CO267" i="6"/>
  <c r="CP266" i="6"/>
  <c r="CO266" i="6"/>
  <c r="CP265" i="6"/>
  <c r="CO265" i="6"/>
  <c r="CP264" i="6"/>
  <c r="CO264" i="6"/>
  <c r="CP263" i="6"/>
  <c r="CO263" i="6"/>
  <c r="CP262" i="6"/>
  <c r="CO262" i="6"/>
  <c r="CP261" i="6"/>
  <c r="CO261" i="6"/>
  <c r="CP260" i="6"/>
  <c r="CO260" i="6"/>
  <c r="CP259" i="6"/>
  <c r="CO259" i="6"/>
  <c r="CP258" i="6"/>
  <c r="CO258" i="6"/>
  <c r="CP257" i="6"/>
  <c r="CO257" i="6"/>
  <c r="CP256" i="6"/>
  <c r="CO256" i="6"/>
  <c r="CP255" i="6"/>
  <c r="CO255" i="6"/>
  <c r="CP254" i="6"/>
  <c r="CO254" i="6"/>
  <c r="CP253" i="6"/>
  <c r="CO253" i="6"/>
  <c r="CP252" i="6"/>
  <c r="CO252" i="6"/>
  <c r="CP251" i="6"/>
  <c r="CO251" i="6"/>
  <c r="CP250" i="6"/>
  <c r="CO250" i="6"/>
  <c r="CP249" i="6"/>
  <c r="CO249" i="6"/>
  <c r="CP248" i="6"/>
  <c r="CO248" i="6"/>
  <c r="CP247" i="6"/>
  <c r="CO247" i="6"/>
  <c r="CP246" i="6"/>
  <c r="CO246" i="6"/>
  <c r="CP245" i="6"/>
  <c r="CO245" i="6"/>
  <c r="CP244" i="6"/>
  <c r="CO244" i="6"/>
  <c r="CP243" i="6"/>
  <c r="CO243" i="6"/>
  <c r="CP242" i="6"/>
  <c r="CO242" i="6"/>
  <c r="CP241" i="6"/>
  <c r="CO241" i="6"/>
  <c r="CP240" i="6"/>
  <c r="CO240" i="6"/>
  <c r="CP239" i="6"/>
  <c r="CO239" i="6"/>
  <c r="CP238" i="6"/>
  <c r="CO238" i="6"/>
  <c r="CP237" i="6"/>
  <c r="CO237" i="6"/>
  <c r="CP236" i="6"/>
  <c r="CO236" i="6"/>
  <c r="CP235" i="6"/>
  <c r="CO235" i="6"/>
  <c r="CP234" i="6"/>
  <c r="CO234" i="6"/>
  <c r="CP233" i="6"/>
  <c r="CO233" i="6"/>
  <c r="CP232" i="6"/>
  <c r="CO232" i="6"/>
  <c r="CP231" i="6"/>
  <c r="CO231" i="6"/>
  <c r="CP230" i="6"/>
  <c r="CO230" i="6"/>
  <c r="CP229" i="6"/>
  <c r="CO229" i="6"/>
  <c r="CP228" i="6"/>
  <c r="CO228" i="6"/>
  <c r="CP227" i="6"/>
  <c r="CO227" i="6"/>
  <c r="CP226" i="6"/>
  <c r="CO226" i="6"/>
  <c r="CP225" i="6"/>
  <c r="CO225" i="6"/>
  <c r="CP224" i="6"/>
  <c r="CO224" i="6"/>
  <c r="CP223" i="6"/>
  <c r="CO223" i="6"/>
  <c r="CP222" i="6"/>
  <c r="CO222" i="6"/>
  <c r="CP221" i="6"/>
  <c r="CO221" i="6"/>
  <c r="CP220" i="6"/>
  <c r="CO220" i="6"/>
  <c r="CP219" i="6"/>
  <c r="CO219" i="6"/>
  <c r="CP218" i="6"/>
  <c r="CO218" i="6"/>
  <c r="CP217" i="6"/>
  <c r="CO217" i="6"/>
  <c r="CP216" i="6"/>
  <c r="CO216" i="6"/>
  <c r="CP215" i="6"/>
  <c r="CO215" i="6"/>
  <c r="CP214" i="6"/>
  <c r="CO214" i="6"/>
  <c r="CP213" i="6"/>
  <c r="CO213" i="6"/>
  <c r="CP212" i="6"/>
  <c r="CO212" i="6"/>
  <c r="CP211" i="6"/>
  <c r="CO211" i="6"/>
  <c r="CP210" i="6"/>
  <c r="CO210" i="6"/>
  <c r="CP209" i="6"/>
  <c r="CO209" i="6"/>
  <c r="CP208" i="6"/>
  <c r="CO208" i="6"/>
  <c r="CP207" i="6"/>
  <c r="CO207" i="6"/>
  <c r="CP206" i="6"/>
  <c r="CO206" i="6"/>
  <c r="CP205" i="6"/>
  <c r="CO205" i="6"/>
  <c r="CP204" i="6"/>
  <c r="CO204" i="6"/>
  <c r="CP203" i="6"/>
  <c r="CO203" i="6"/>
  <c r="CP202" i="6"/>
  <c r="CO202" i="6"/>
  <c r="CP201" i="6"/>
  <c r="CO201" i="6"/>
  <c r="CP200" i="6"/>
  <c r="CO200" i="6"/>
  <c r="CP199" i="6"/>
  <c r="CO199" i="6"/>
  <c r="CP198" i="6"/>
  <c r="CO198" i="6"/>
  <c r="CP197" i="6"/>
  <c r="CO197" i="6"/>
  <c r="CP196" i="6"/>
  <c r="CO196" i="6"/>
  <c r="CP195" i="6"/>
  <c r="CO195" i="6"/>
  <c r="CP194" i="6"/>
  <c r="CO194" i="6"/>
  <c r="CP193" i="6"/>
  <c r="CO193" i="6"/>
  <c r="CP192" i="6"/>
  <c r="CO192" i="6"/>
  <c r="CP191" i="6"/>
  <c r="CO191" i="6"/>
  <c r="CP190" i="6"/>
  <c r="CO190" i="6"/>
  <c r="CP189" i="6"/>
  <c r="CO189" i="6"/>
  <c r="CP188" i="6"/>
  <c r="CO188" i="6"/>
  <c r="CP187" i="6"/>
  <c r="CO187" i="6"/>
  <c r="CP186" i="6"/>
  <c r="CO186" i="6"/>
  <c r="CP185" i="6"/>
  <c r="CO185" i="6"/>
  <c r="CP184" i="6"/>
  <c r="CO184" i="6"/>
  <c r="CP183" i="6"/>
  <c r="CO183" i="6"/>
  <c r="CP182" i="6"/>
  <c r="CO182" i="6"/>
  <c r="CP181" i="6"/>
  <c r="CO181" i="6"/>
  <c r="CP180" i="6"/>
  <c r="CO180" i="6"/>
  <c r="CP179" i="6"/>
  <c r="CO179" i="6"/>
  <c r="CP178" i="6"/>
  <c r="CO178" i="6"/>
  <c r="CP177" i="6"/>
  <c r="CO177" i="6"/>
  <c r="CP176" i="6"/>
  <c r="CO176" i="6"/>
  <c r="CP175" i="6"/>
  <c r="CO175" i="6"/>
  <c r="CP174" i="6"/>
  <c r="CO174" i="6"/>
  <c r="CP173" i="6"/>
  <c r="CO173" i="6"/>
  <c r="CP172" i="6"/>
  <c r="CO172" i="6"/>
  <c r="CP171" i="6"/>
  <c r="CO171" i="6"/>
  <c r="CP170" i="6"/>
  <c r="CO170" i="6"/>
  <c r="CP169" i="6"/>
  <c r="CO169" i="6"/>
  <c r="CP168" i="6"/>
  <c r="CO168" i="6"/>
  <c r="CP167" i="6"/>
  <c r="CO167" i="6"/>
  <c r="CP166" i="6"/>
  <c r="CO166" i="6"/>
  <c r="CP165" i="6"/>
  <c r="CO165" i="6"/>
  <c r="CP164" i="6"/>
  <c r="CO164" i="6"/>
  <c r="CP163" i="6"/>
  <c r="CO163" i="6"/>
  <c r="CP162" i="6"/>
  <c r="CO162" i="6"/>
  <c r="CP161" i="6"/>
  <c r="CO161" i="6"/>
  <c r="CP160" i="6"/>
  <c r="CO160" i="6"/>
  <c r="CP159" i="6"/>
  <c r="CO159" i="6"/>
  <c r="CP158" i="6"/>
  <c r="CO158" i="6"/>
  <c r="CP157" i="6"/>
  <c r="CO157" i="6"/>
  <c r="CP156" i="6"/>
  <c r="CO156" i="6"/>
  <c r="CP155" i="6"/>
  <c r="CO155" i="6"/>
  <c r="CP154" i="6"/>
  <c r="CO154" i="6"/>
  <c r="CP153" i="6"/>
  <c r="CO153" i="6"/>
  <c r="CP152" i="6"/>
  <c r="CO152" i="6"/>
  <c r="CP151" i="6"/>
  <c r="CO151" i="6"/>
  <c r="CP150" i="6"/>
  <c r="CO150" i="6"/>
  <c r="CP149" i="6"/>
  <c r="CO149" i="6"/>
  <c r="CP148" i="6"/>
  <c r="CO148" i="6"/>
  <c r="CP147" i="6"/>
  <c r="CO147" i="6"/>
  <c r="CP146" i="6"/>
  <c r="CO146" i="6"/>
  <c r="CP145" i="6"/>
  <c r="CO145" i="6"/>
  <c r="CP144" i="6"/>
  <c r="CO144" i="6"/>
  <c r="CP143" i="6"/>
  <c r="CO143" i="6"/>
  <c r="CP142" i="6"/>
  <c r="CO142" i="6"/>
  <c r="CP141" i="6"/>
  <c r="CO141" i="6"/>
  <c r="CP140" i="6"/>
  <c r="CO140" i="6"/>
  <c r="CP139" i="6"/>
  <c r="CO139" i="6"/>
  <c r="CP138" i="6"/>
  <c r="CO138" i="6"/>
  <c r="CP137" i="6"/>
  <c r="CO137" i="6"/>
  <c r="CP136" i="6"/>
  <c r="CO136" i="6"/>
  <c r="CP135" i="6"/>
  <c r="CO135" i="6"/>
  <c r="CP134" i="6"/>
  <c r="CO134" i="6"/>
  <c r="CP133" i="6"/>
  <c r="CO133" i="6"/>
  <c r="CP132" i="6"/>
  <c r="CO132" i="6"/>
  <c r="CP131" i="6"/>
  <c r="CO131" i="6"/>
  <c r="CP130" i="6"/>
  <c r="CO130" i="6"/>
  <c r="CP129" i="6"/>
  <c r="CO129" i="6"/>
  <c r="CP128" i="6"/>
  <c r="CO128" i="6"/>
  <c r="CP127" i="6"/>
  <c r="CO127" i="6"/>
  <c r="CP126" i="6"/>
  <c r="CO126" i="6"/>
  <c r="CP125" i="6"/>
  <c r="CO125" i="6"/>
  <c r="CP124" i="6"/>
  <c r="CO124" i="6"/>
  <c r="CP123" i="6"/>
  <c r="CO123" i="6"/>
  <c r="CP122" i="6"/>
  <c r="CO122" i="6"/>
  <c r="CP121" i="6"/>
  <c r="CO121" i="6"/>
  <c r="CP120" i="6"/>
  <c r="CO120" i="6"/>
  <c r="CP119" i="6"/>
  <c r="CO119" i="6"/>
  <c r="CP118" i="6"/>
  <c r="CO118" i="6"/>
  <c r="CP117" i="6"/>
  <c r="CO117" i="6"/>
  <c r="CP116" i="6"/>
  <c r="CO116" i="6"/>
  <c r="CP115" i="6"/>
  <c r="CO115" i="6"/>
  <c r="CP114" i="6"/>
  <c r="CO114" i="6"/>
  <c r="CP113" i="6"/>
  <c r="CO113" i="6"/>
  <c r="CP112" i="6"/>
  <c r="CO112" i="6"/>
  <c r="CP111" i="6"/>
  <c r="CO111" i="6"/>
  <c r="CP110" i="6"/>
  <c r="CO110" i="6"/>
  <c r="CP109" i="6"/>
  <c r="CO109" i="6"/>
  <c r="CP108" i="6"/>
  <c r="CO108" i="6"/>
  <c r="CP107" i="6"/>
  <c r="CO107" i="6"/>
  <c r="CP106" i="6"/>
  <c r="CO106" i="6"/>
  <c r="CP105" i="6"/>
  <c r="CO105" i="6"/>
  <c r="CP104" i="6"/>
  <c r="CO104" i="6"/>
  <c r="CP103" i="6"/>
  <c r="CO103" i="6"/>
  <c r="CP102" i="6"/>
  <c r="CO102" i="6"/>
  <c r="CP101" i="6"/>
  <c r="CO101" i="6"/>
  <c r="CP100" i="6"/>
  <c r="CO100" i="6"/>
  <c r="CP99" i="6"/>
  <c r="CO99" i="6"/>
  <c r="CP98" i="6"/>
  <c r="CO98" i="6"/>
  <c r="CP97" i="6"/>
  <c r="CO97" i="6"/>
  <c r="CP96" i="6"/>
  <c r="CO96" i="6"/>
  <c r="CP95" i="6"/>
  <c r="CO95" i="6"/>
  <c r="CP94" i="6"/>
  <c r="CO94" i="6"/>
  <c r="CP93" i="6"/>
  <c r="CO93" i="6"/>
  <c r="CP92" i="6"/>
  <c r="CO92" i="6"/>
  <c r="CP91" i="6"/>
  <c r="CO91" i="6"/>
  <c r="CP90" i="6"/>
  <c r="CO90" i="6"/>
  <c r="CP89" i="6"/>
  <c r="CO89" i="6"/>
  <c r="CP88" i="6"/>
  <c r="CO88" i="6"/>
  <c r="CP87" i="6"/>
  <c r="CO87" i="6"/>
  <c r="CP86" i="6"/>
  <c r="CO86" i="6"/>
  <c r="CP85" i="6"/>
  <c r="CO85" i="6"/>
  <c r="CP84" i="6"/>
  <c r="CO84" i="6"/>
  <c r="CP83" i="6"/>
  <c r="CO83" i="6"/>
  <c r="CP82" i="6"/>
  <c r="CO82" i="6"/>
  <c r="CP81" i="6"/>
  <c r="CO81" i="6"/>
  <c r="CP80" i="6"/>
  <c r="CO80" i="6"/>
  <c r="CP79" i="6"/>
  <c r="CO79" i="6"/>
  <c r="CP78" i="6"/>
  <c r="CO78" i="6"/>
  <c r="CP77" i="6"/>
  <c r="CO77" i="6"/>
  <c r="CP76" i="6"/>
  <c r="CO76" i="6"/>
  <c r="CP75" i="6"/>
  <c r="CO75" i="6"/>
  <c r="CP74" i="6"/>
  <c r="CO74" i="6"/>
  <c r="CP73" i="6"/>
  <c r="CO73" i="6"/>
  <c r="CP72" i="6"/>
  <c r="CO72" i="6"/>
  <c r="CP71" i="6"/>
  <c r="CO71" i="6"/>
  <c r="CP70" i="6"/>
  <c r="CO70" i="6"/>
  <c r="CP69" i="6"/>
  <c r="CO69" i="6"/>
  <c r="CP68" i="6"/>
  <c r="CO68" i="6"/>
  <c r="CP67" i="6"/>
  <c r="CO67" i="6"/>
  <c r="CP66" i="6"/>
  <c r="CO66" i="6"/>
  <c r="CP65" i="6"/>
  <c r="CO65" i="6"/>
  <c r="CP64" i="6"/>
  <c r="CO64" i="6"/>
  <c r="CP63" i="6"/>
  <c r="CO63" i="6"/>
  <c r="CP62" i="6"/>
  <c r="CO62" i="6"/>
  <c r="CP61" i="6"/>
  <c r="CO61" i="6"/>
  <c r="CP60" i="6"/>
  <c r="CO60" i="6"/>
  <c r="CP59" i="6"/>
  <c r="CO59" i="6"/>
  <c r="CP58" i="6"/>
  <c r="CO58" i="6"/>
  <c r="CP57" i="6"/>
  <c r="CO57" i="6"/>
  <c r="CP56" i="6"/>
  <c r="CO56" i="6"/>
  <c r="CP55" i="6"/>
  <c r="CO55" i="6"/>
  <c r="CP54" i="6"/>
  <c r="CO54" i="6"/>
  <c r="CP53" i="6"/>
  <c r="CO53" i="6"/>
  <c r="CP52" i="6"/>
  <c r="CO52" i="6"/>
  <c r="CP51" i="6"/>
  <c r="CO51" i="6"/>
  <c r="CP50" i="6"/>
  <c r="CO50" i="6"/>
  <c r="CP49" i="6"/>
  <c r="CO49" i="6"/>
  <c r="CP48" i="6"/>
  <c r="CO48" i="6"/>
  <c r="CP47" i="6"/>
  <c r="CO47" i="6"/>
  <c r="CP46" i="6"/>
  <c r="CO46" i="6"/>
  <c r="CP45" i="6"/>
  <c r="CO45" i="6"/>
  <c r="CP44" i="6"/>
  <c r="CO44" i="6"/>
  <c r="CP43" i="6"/>
  <c r="CO43" i="6"/>
  <c r="CP42" i="6"/>
  <c r="CO42" i="6"/>
  <c r="CP41" i="6"/>
  <c r="CO41" i="6"/>
  <c r="CP40" i="6"/>
  <c r="CO40" i="6"/>
  <c r="CP39" i="6"/>
  <c r="CO39" i="6"/>
  <c r="CP38" i="6"/>
  <c r="CO38" i="6"/>
  <c r="CP37" i="6"/>
  <c r="CO37" i="6"/>
  <c r="CP36" i="6"/>
  <c r="CO36" i="6"/>
  <c r="CP35" i="6"/>
  <c r="CO35" i="6"/>
  <c r="CP34" i="6"/>
  <c r="CO34" i="6"/>
  <c r="CP33" i="6"/>
  <c r="CO33" i="6"/>
  <c r="CP32" i="6"/>
  <c r="CO32" i="6"/>
  <c r="CP31" i="6"/>
  <c r="CO31" i="6"/>
  <c r="CP30" i="6"/>
  <c r="CO30" i="6"/>
  <c r="CP29" i="6"/>
  <c r="CO29" i="6"/>
  <c r="CP28" i="6"/>
  <c r="CO28" i="6"/>
  <c r="CP27" i="6"/>
  <c r="CO27" i="6"/>
  <c r="CP26" i="6"/>
  <c r="CO26" i="6"/>
  <c r="CP25" i="6"/>
  <c r="CO25" i="6"/>
  <c r="CP24" i="6"/>
  <c r="CO24" i="6"/>
  <c r="CP23" i="6"/>
  <c r="CO23" i="6"/>
  <c r="CP22" i="6"/>
  <c r="CO22" i="6"/>
  <c r="CP21" i="6"/>
  <c r="CO21" i="6"/>
  <c r="CP20" i="6"/>
  <c r="CO20" i="6"/>
  <c r="CP19" i="6"/>
  <c r="CO19" i="6"/>
  <c r="CP18" i="6"/>
  <c r="CO18" i="6"/>
  <c r="CP17" i="6"/>
  <c r="CO17" i="6"/>
  <c r="CP16" i="6"/>
  <c r="CO16" i="6"/>
  <c r="CP15" i="6"/>
  <c r="CO15" i="6"/>
  <c r="CP14" i="6"/>
  <c r="CO14" i="6"/>
  <c r="CP13" i="6"/>
  <c r="CO13" i="6"/>
  <c r="CP12" i="6"/>
  <c r="CO12" i="6"/>
  <c r="CP11" i="6"/>
  <c r="CO11" i="6"/>
  <c r="CP10" i="6"/>
  <c r="CO10" i="6"/>
  <c r="CP9" i="6"/>
  <c r="CO9" i="6"/>
  <c r="CP8" i="6"/>
  <c r="CO8" i="6"/>
  <c r="CW500" i="6"/>
  <c r="CV500" i="6"/>
  <c r="CW499" i="6"/>
  <c r="CV499" i="6"/>
  <c r="CW498" i="6"/>
  <c r="CV498" i="6"/>
  <c r="CW497" i="6"/>
  <c r="CV497" i="6"/>
  <c r="CW496" i="6"/>
  <c r="CV496" i="6"/>
  <c r="CW495" i="6"/>
  <c r="CV495" i="6"/>
  <c r="CW494" i="6"/>
  <c r="CV494" i="6"/>
  <c r="CW493" i="6"/>
  <c r="CV493" i="6"/>
  <c r="CW492" i="6"/>
  <c r="CV492" i="6"/>
  <c r="CW491" i="6"/>
  <c r="CV491" i="6"/>
  <c r="CW490" i="6"/>
  <c r="CV490" i="6"/>
  <c r="CW489" i="6"/>
  <c r="CV489" i="6"/>
  <c r="CW488" i="6"/>
  <c r="CV488" i="6"/>
  <c r="CW487" i="6"/>
  <c r="CV487" i="6"/>
  <c r="CW486" i="6"/>
  <c r="CV486" i="6"/>
  <c r="CW485" i="6"/>
  <c r="CV485" i="6"/>
  <c r="CW484" i="6"/>
  <c r="CV484" i="6"/>
  <c r="CW483" i="6"/>
  <c r="CV483" i="6"/>
  <c r="CW482" i="6"/>
  <c r="CV482" i="6"/>
  <c r="CW481" i="6"/>
  <c r="CV481" i="6"/>
  <c r="CW480" i="6"/>
  <c r="CV480" i="6"/>
  <c r="CW479" i="6"/>
  <c r="CV479" i="6"/>
  <c r="CW478" i="6"/>
  <c r="CV478" i="6"/>
  <c r="CW477" i="6"/>
  <c r="CV477" i="6"/>
  <c r="CW476" i="6"/>
  <c r="CV476" i="6"/>
  <c r="CW475" i="6"/>
  <c r="CV475" i="6"/>
  <c r="CW474" i="6"/>
  <c r="CV474" i="6"/>
  <c r="CW473" i="6"/>
  <c r="CV473" i="6"/>
  <c r="CW472" i="6"/>
  <c r="CV472" i="6"/>
  <c r="CW471" i="6"/>
  <c r="CV471" i="6"/>
  <c r="CW470" i="6"/>
  <c r="CV470" i="6"/>
  <c r="CW469" i="6"/>
  <c r="CV469" i="6"/>
  <c r="CW468" i="6"/>
  <c r="CV468" i="6"/>
  <c r="CW467" i="6"/>
  <c r="CV467" i="6"/>
  <c r="CW466" i="6"/>
  <c r="CV466" i="6"/>
  <c r="CW465" i="6"/>
  <c r="CV465" i="6"/>
  <c r="CW464" i="6"/>
  <c r="CV464" i="6"/>
  <c r="CW463" i="6"/>
  <c r="CV463" i="6"/>
  <c r="CW462" i="6"/>
  <c r="CV462" i="6"/>
  <c r="CW461" i="6"/>
  <c r="CV461" i="6"/>
  <c r="CW460" i="6"/>
  <c r="CV460" i="6"/>
  <c r="CW459" i="6"/>
  <c r="CV459" i="6"/>
  <c r="CW458" i="6"/>
  <c r="CV458" i="6"/>
  <c r="CW457" i="6"/>
  <c r="CV457" i="6"/>
  <c r="CW456" i="6"/>
  <c r="CV456" i="6"/>
  <c r="CW455" i="6"/>
  <c r="CV455" i="6"/>
  <c r="CW454" i="6"/>
  <c r="CV454" i="6"/>
  <c r="CW453" i="6"/>
  <c r="CV453" i="6"/>
  <c r="CW452" i="6"/>
  <c r="CV452" i="6"/>
  <c r="CW451" i="6"/>
  <c r="CV451" i="6"/>
  <c r="CW450" i="6"/>
  <c r="CV450" i="6"/>
  <c r="CW449" i="6"/>
  <c r="CV449" i="6"/>
  <c r="CW448" i="6"/>
  <c r="CV448" i="6"/>
  <c r="CW447" i="6"/>
  <c r="CV447" i="6"/>
  <c r="CW446" i="6"/>
  <c r="CV446" i="6"/>
  <c r="CW445" i="6"/>
  <c r="CV445" i="6"/>
  <c r="CW444" i="6"/>
  <c r="CV444" i="6"/>
  <c r="CW443" i="6"/>
  <c r="CV443" i="6"/>
  <c r="CW442" i="6"/>
  <c r="CV442" i="6"/>
  <c r="CW441" i="6"/>
  <c r="CV441" i="6"/>
  <c r="CW440" i="6"/>
  <c r="CV440" i="6"/>
  <c r="CW439" i="6"/>
  <c r="CV439" i="6"/>
  <c r="CW438" i="6"/>
  <c r="CV438" i="6"/>
  <c r="CW437" i="6"/>
  <c r="CV437" i="6"/>
  <c r="CW436" i="6"/>
  <c r="CV436" i="6"/>
  <c r="CW435" i="6"/>
  <c r="CV435" i="6"/>
  <c r="CW434" i="6"/>
  <c r="CV434" i="6"/>
  <c r="CW433" i="6"/>
  <c r="CV433" i="6"/>
  <c r="CW432" i="6"/>
  <c r="CV432" i="6"/>
  <c r="CW431" i="6"/>
  <c r="CV431" i="6"/>
  <c r="CW430" i="6"/>
  <c r="CV430" i="6"/>
  <c r="CW429" i="6"/>
  <c r="CV429" i="6"/>
  <c r="CW428" i="6"/>
  <c r="CV428" i="6"/>
  <c r="CW427" i="6"/>
  <c r="CV427" i="6"/>
  <c r="CW426" i="6"/>
  <c r="CV426" i="6"/>
  <c r="CW425" i="6"/>
  <c r="CV425" i="6"/>
  <c r="CW424" i="6"/>
  <c r="CV424" i="6"/>
  <c r="CW423" i="6"/>
  <c r="CV423" i="6"/>
  <c r="CW422" i="6"/>
  <c r="CV422" i="6"/>
  <c r="CW421" i="6"/>
  <c r="CV421" i="6"/>
  <c r="CW420" i="6"/>
  <c r="CV420" i="6"/>
  <c r="CW419" i="6"/>
  <c r="CV419" i="6"/>
  <c r="CW418" i="6"/>
  <c r="CV418" i="6"/>
  <c r="CW417" i="6"/>
  <c r="CV417" i="6"/>
  <c r="CW416" i="6"/>
  <c r="CV416" i="6"/>
  <c r="CW415" i="6"/>
  <c r="CV415" i="6"/>
  <c r="CW414" i="6"/>
  <c r="CV414" i="6"/>
  <c r="CW413" i="6"/>
  <c r="CV413" i="6"/>
  <c r="CW412" i="6"/>
  <c r="CV412" i="6"/>
  <c r="CW411" i="6"/>
  <c r="CV411" i="6"/>
  <c r="CW410" i="6"/>
  <c r="CV410" i="6"/>
  <c r="CW409" i="6"/>
  <c r="CV409" i="6"/>
  <c r="CW408" i="6"/>
  <c r="CV408" i="6"/>
  <c r="CW407" i="6"/>
  <c r="CV407" i="6"/>
  <c r="CW406" i="6"/>
  <c r="CV406" i="6"/>
  <c r="CW405" i="6"/>
  <c r="CV405" i="6"/>
  <c r="CW404" i="6"/>
  <c r="CV404" i="6"/>
  <c r="CW403" i="6"/>
  <c r="CV403" i="6"/>
  <c r="CW402" i="6"/>
  <c r="CV402" i="6"/>
  <c r="CW401" i="6"/>
  <c r="CV401" i="6"/>
  <c r="CW400" i="6"/>
  <c r="CV400" i="6"/>
  <c r="CW399" i="6"/>
  <c r="CV399" i="6"/>
  <c r="CW398" i="6"/>
  <c r="CV398" i="6"/>
  <c r="CW397" i="6"/>
  <c r="CV397" i="6"/>
  <c r="CW396" i="6"/>
  <c r="CV396" i="6"/>
  <c r="CW395" i="6"/>
  <c r="CV395" i="6"/>
  <c r="CW394" i="6"/>
  <c r="CV394" i="6"/>
  <c r="CW393" i="6"/>
  <c r="CV393" i="6"/>
  <c r="CW392" i="6"/>
  <c r="CV392" i="6"/>
  <c r="CW391" i="6"/>
  <c r="CV391" i="6"/>
  <c r="CW390" i="6"/>
  <c r="CV390" i="6"/>
  <c r="CW389" i="6"/>
  <c r="CV389" i="6"/>
  <c r="CW388" i="6"/>
  <c r="CV388" i="6"/>
  <c r="CW387" i="6"/>
  <c r="CV387" i="6"/>
  <c r="CW386" i="6"/>
  <c r="CV386" i="6"/>
  <c r="CW385" i="6"/>
  <c r="CV385" i="6"/>
  <c r="CW384" i="6"/>
  <c r="CV384" i="6"/>
  <c r="CW383" i="6"/>
  <c r="CV383" i="6"/>
  <c r="CW382" i="6"/>
  <c r="CV382" i="6"/>
  <c r="CW381" i="6"/>
  <c r="CV381" i="6"/>
  <c r="CW380" i="6"/>
  <c r="CV380" i="6"/>
  <c r="CW379" i="6"/>
  <c r="CV379" i="6"/>
  <c r="CW378" i="6"/>
  <c r="CV378" i="6"/>
  <c r="CW377" i="6"/>
  <c r="CV377" i="6"/>
  <c r="CW376" i="6"/>
  <c r="CV376" i="6"/>
  <c r="CW375" i="6"/>
  <c r="CV375" i="6"/>
  <c r="CW374" i="6"/>
  <c r="CV374" i="6"/>
  <c r="CW373" i="6"/>
  <c r="CV373" i="6"/>
  <c r="CW372" i="6"/>
  <c r="CV372" i="6"/>
  <c r="CW371" i="6"/>
  <c r="CV371" i="6"/>
  <c r="CW370" i="6"/>
  <c r="CV370" i="6"/>
  <c r="CW369" i="6"/>
  <c r="CV369" i="6"/>
  <c r="CW368" i="6"/>
  <c r="CV368" i="6"/>
  <c r="CW367" i="6"/>
  <c r="CV367" i="6"/>
  <c r="CW366" i="6"/>
  <c r="CV366" i="6"/>
  <c r="CW365" i="6"/>
  <c r="CV365" i="6"/>
  <c r="CW364" i="6"/>
  <c r="CV364" i="6"/>
  <c r="CW363" i="6"/>
  <c r="CV363" i="6"/>
  <c r="CW362" i="6"/>
  <c r="CV362" i="6"/>
  <c r="CW361" i="6"/>
  <c r="CV361" i="6"/>
  <c r="CW360" i="6"/>
  <c r="CV360" i="6"/>
  <c r="CW359" i="6"/>
  <c r="CV359" i="6"/>
  <c r="CW358" i="6"/>
  <c r="CV358" i="6"/>
  <c r="CW357" i="6"/>
  <c r="CV357" i="6"/>
  <c r="CW356" i="6"/>
  <c r="CV356" i="6"/>
  <c r="CW355" i="6"/>
  <c r="CV355" i="6"/>
  <c r="CW354" i="6"/>
  <c r="CV354" i="6"/>
  <c r="CW353" i="6"/>
  <c r="CV353" i="6"/>
  <c r="CW352" i="6"/>
  <c r="CV352" i="6"/>
  <c r="CW351" i="6"/>
  <c r="CV351" i="6"/>
  <c r="CW350" i="6"/>
  <c r="CV350" i="6"/>
  <c r="CW349" i="6"/>
  <c r="CV349" i="6"/>
  <c r="CW348" i="6"/>
  <c r="CV348" i="6"/>
  <c r="CW347" i="6"/>
  <c r="CV347" i="6"/>
  <c r="CW346" i="6"/>
  <c r="CV346" i="6"/>
  <c r="CW345" i="6"/>
  <c r="CV345" i="6"/>
  <c r="CW344" i="6"/>
  <c r="CV344" i="6"/>
  <c r="CW343" i="6"/>
  <c r="CV343" i="6"/>
  <c r="CW342" i="6"/>
  <c r="CV342" i="6"/>
  <c r="CW341" i="6"/>
  <c r="CV341" i="6"/>
  <c r="CW340" i="6"/>
  <c r="CV340" i="6"/>
  <c r="CW339" i="6"/>
  <c r="CV339" i="6"/>
  <c r="CW338" i="6"/>
  <c r="CV338" i="6"/>
  <c r="CW337" i="6"/>
  <c r="CV337" i="6"/>
  <c r="CW336" i="6"/>
  <c r="CV336" i="6"/>
  <c r="CW335" i="6"/>
  <c r="CV335" i="6"/>
  <c r="CW334" i="6"/>
  <c r="CV334" i="6"/>
  <c r="CW333" i="6"/>
  <c r="CV333" i="6"/>
  <c r="CW332" i="6"/>
  <c r="CV332" i="6"/>
  <c r="CW331" i="6"/>
  <c r="CV331" i="6"/>
  <c r="CW330" i="6"/>
  <c r="CV330" i="6"/>
  <c r="CW329" i="6"/>
  <c r="CV329" i="6"/>
  <c r="CW328" i="6"/>
  <c r="CV328" i="6"/>
  <c r="CW327" i="6"/>
  <c r="CV327" i="6"/>
  <c r="CW326" i="6"/>
  <c r="CV326" i="6"/>
  <c r="CW325" i="6"/>
  <c r="CV325" i="6"/>
  <c r="CW324" i="6"/>
  <c r="CV324" i="6"/>
  <c r="CW323" i="6"/>
  <c r="CV323" i="6"/>
  <c r="CW322" i="6"/>
  <c r="CV322" i="6"/>
  <c r="CW321" i="6"/>
  <c r="CV321" i="6"/>
  <c r="CW320" i="6"/>
  <c r="CV320" i="6"/>
  <c r="CW319" i="6"/>
  <c r="CV319" i="6"/>
  <c r="CW318" i="6"/>
  <c r="CV318" i="6"/>
  <c r="CW317" i="6"/>
  <c r="CV317" i="6"/>
  <c r="CW316" i="6"/>
  <c r="CV316" i="6"/>
  <c r="CW315" i="6"/>
  <c r="CV315" i="6"/>
  <c r="CW314" i="6"/>
  <c r="CV314" i="6"/>
  <c r="CW313" i="6"/>
  <c r="CV313" i="6"/>
  <c r="CW312" i="6"/>
  <c r="CV312" i="6"/>
  <c r="CW311" i="6"/>
  <c r="CV311" i="6"/>
  <c r="CW310" i="6"/>
  <c r="CV310" i="6"/>
  <c r="CW309" i="6"/>
  <c r="CV309" i="6"/>
  <c r="CW308" i="6"/>
  <c r="CV308" i="6"/>
  <c r="CW307" i="6"/>
  <c r="CV307" i="6"/>
  <c r="CW306" i="6"/>
  <c r="CV306" i="6"/>
  <c r="CW305" i="6"/>
  <c r="CV305" i="6"/>
  <c r="CW304" i="6"/>
  <c r="CV304" i="6"/>
  <c r="CW303" i="6"/>
  <c r="CV303" i="6"/>
  <c r="CW302" i="6"/>
  <c r="CV302" i="6"/>
  <c r="CW301" i="6"/>
  <c r="CV301" i="6"/>
  <c r="CW300" i="6"/>
  <c r="CV300" i="6"/>
  <c r="CW299" i="6"/>
  <c r="CV299" i="6"/>
  <c r="CW298" i="6"/>
  <c r="CV298" i="6"/>
  <c r="CW297" i="6"/>
  <c r="CV297" i="6"/>
  <c r="CW296" i="6"/>
  <c r="CV296" i="6"/>
  <c r="CW295" i="6"/>
  <c r="CV295" i="6"/>
  <c r="CW294" i="6"/>
  <c r="CV294" i="6"/>
  <c r="CW293" i="6"/>
  <c r="CV293" i="6"/>
  <c r="CW292" i="6"/>
  <c r="CV292" i="6"/>
  <c r="CW291" i="6"/>
  <c r="CV291" i="6"/>
  <c r="CW290" i="6"/>
  <c r="CV290" i="6"/>
  <c r="CW289" i="6"/>
  <c r="CV289" i="6"/>
  <c r="CW288" i="6"/>
  <c r="CV288" i="6"/>
  <c r="CW287" i="6"/>
  <c r="CV287" i="6"/>
  <c r="CW286" i="6"/>
  <c r="CV286" i="6"/>
  <c r="CW285" i="6"/>
  <c r="CV285" i="6"/>
  <c r="CW284" i="6"/>
  <c r="CV284" i="6"/>
  <c r="CW283" i="6"/>
  <c r="CV283" i="6"/>
  <c r="CW282" i="6"/>
  <c r="CV282" i="6"/>
  <c r="CW281" i="6"/>
  <c r="CV281" i="6"/>
  <c r="CW280" i="6"/>
  <c r="CV280" i="6"/>
  <c r="CW279" i="6"/>
  <c r="CV279" i="6"/>
  <c r="CW278" i="6"/>
  <c r="CV278" i="6"/>
  <c r="CW277" i="6"/>
  <c r="CV277" i="6"/>
  <c r="CW276" i="6"/>
  <c r="CV276" i="6"/>
  <c r="CW275" i="6"/>
  <c r="CV275" i="6"/>
  <c r="CW274" i="6"/>
  <c r="CV274" i="6"/>
  <c r="CW273" i="6"/>
  <c r="CV273" i="6"/>
  <c r="CW272" i="6"/>
  <c r="CV272" i="6"/>
  <c r="CW271" i="6"/>
  <c r="CV271" i="6"/>
  <c r="CW270" i="6"/>
  <c r="CV270" i="6"/>
  <c r="CW269" i="6"/>
  <c r="CV269" i="6"/>
  <c r="CW268" i="6"/>
  <c r="CV268" i="6"/>
  <c r="CW267" i="6"/>
  <c r="CV267" i="6"/>
  <c r="CW266" i="6"/>
  <c r="CV266" i="6"/>
  <c r="CW265" i="6"/>
  <c r="CV265" i="6"/>
  <c r="CW264" i="6"/>
  <c r="CV264" i="6"/>
  <c r="CW263" i="6"/>
  <c r="CV263" i="6"/>
  <c r="CW262" i="6"/>
  <c r="CV262" i="6"/>
  <c r="CW261" i="6"/>
  <c r="CV261" i="6"/>
  <c r="CW260" i="6"/>
  <c r="CV260" i="6"/>
  <c r="CW259" i="6"/>
  <c r="CV259" i="6"/>
  <c r="CW258" i="6"/>
  <c r="CV258" i="6"/>
  <c r="CW257" i="6"/>
  <c r="CV257" i="6"/>
  <c r="CW256" i="6"/>
  <c r="CV256" i="6"/>
  <c r="CW255" i="6"/>
  <c r="CV255" i="6"/>
  <c r="CW254" i="6"/>
  <c r="CV254" i="6"/>
  <c r="CW253" i="6"/>
  <c r="CV253" i="6"/>
  <c r="CW252" i="6"/>
  <c r="CV252" i="6"/>
  <c r="CW251" i="6"/>
  <c r="CV251" i="6"/>
  <c r="CW250" i="6"/>
  <c r="CV250" i="6"/>
  <c r="CW249" i="6"/>
  <c r="CV249" i="6"/>
  <c r="CW248" i="6"/>
  <c r="CV248" i="6"/>
  <c r="CW247" i="6"/>
  <c r="CV247" i="6"/>
  <c r="CW246" i="6"/>
  <c r="CV246" i="6"/>
  <c r="CW245" i="6"/>
  <c r="CV245" i="6"/>
  <c r="CW244" i="6"/>
  <c r="CV244" i="6"/>
  <c r="CW243" i="6"/>
  <c r="CV243" i="6"/>
  <c r="CW242" i="6"/>
  <c r="CV242" i="6"/>
  <c r="CW241" i="6"/>
  <c r="CV241" i="6"/>
  <c r="CW240" i="6"/>
  <c r="CV240" i="6"/>
  <c r="CW239" i="6"/>
  <c r="CV239" i="6"/>
  <c r="CW238" i="6"/>
  <c r="CV238" i="6"/>
  <c r="CW237" i="6"/>
  <c r="CV237" i="6"/>
  <c r="CW236" i="6"/>
  <c r="CV236" i="6"/>
  <c r="CW235" i="6"/>
  <c r="CV235" i="6"/>
  <c r="CW234" i="6"/>
  <c r="CV234" i="6"/>
  <c r="CW233" i="6"/>
  <c r="CV233" i="6"/>
  <c r="CW232" i="6"/>
  <c r="CV232" i="6"/>
  <c r="CW231" i="6"/>
  <c r="CV231" i="6"/>
  <c r="CW230" i="6"/>
  <c r="CV230" i="6"/>
  <c r="CW229" i="6"/>
  <c r="CV229" i="6"/>
  <c r="CW228" i="6"/>
  <c r="CV228" i="6"/>
  <c r="CW227" i="6"/>
  <c r="CV227" i="6"/>
  <c r="CW226" i="6"/>
  <c r="CV226" i="6"/>
  <c r="CW225" i="6"/>
  <c r="CV225" i="6"/>
  <c r="CW224" i="6"/>
  <c r="CV224" i="6"/>
  <c r="CW223" i="6"/>
  <c r="CV223" i="6"/>
  <c r="CW222" i="6"/>
  <c r="CV222" i="6"/>
  <c r="CW221" i="6"/>
  <c r="CV221" i="6"/>
  <c r="CW220" i="6"/>
  <c r="CV220" i="6"/>
  <c r="CW219" i="6"/>
  <c r="CV219" i="6"/>
  <c r="CW218" i="6"/>
  <c r="CV218" i="6"/>
  <c r="CW217" i="6"/>
  <c r="CV217" i="6"/>
  <c r="CW216" i="6"/>
  <c r="CV216" i="6"/>
  <c r="CW215" i="6"/>
  <c r="CV215" i="6"/>
  <c r="CW214" i="6"/>
  <c r="CV214" i="6"/>
  <c r="CW213" i="6"/>
  <c r="CV213" i="6"/>
  <c r="CW212" i="6"/>
  <c r="CV212" i="6"/>
  <c r="CW211" i="6"/>
  <c r="CV211" i="6"/>
  <c r="CW210" i="6"/>
  <c r="CV210" i="6"/>
  <c r="CW209" i="6"/>
  <c r="CV209" i="6"/>
  <c r="CW208" i="6"/>
  <c r="CV208" i="6"/>
  <c r="CW207" i="6"/>
  <c r="CV207" i="6"/>
  <c r="CW206" i="6"/>
  <c r="CV206" i="6"/>
  <c r="CW205" i="6"/>
  <c r="CV205" i="6"/>
  <c r="CW204" i="6"/>
  <c r="CV204" i="6"/>
  <c r="CW203" i="6"/>
  <c r="CV203" i="6"/>
  <c r="CW202" i="6"/>
  <c r="CV202" i="6"/>
  <c r="CW201" i="6"/>
  <c r="CV201" i="6"/>
  <c r="CW200" i="6"/>
  <c r="CV200" i="6"/>
  <c r="CW199" i="6"/>
  <c r="CV199" i="6"/>
  <c r="CW198" i="6"/>
  <c r="CV198" i="6"/>
  <c r="CW197" i="6"/>
  <c r="CV197" i="6"/>
  <c r="CW196" i="6"/>
  <c r="CV196" i="6"/>
  <c r="CW195" i="6"/>
  <c r="CV195" i="6"/>
  <c r="CW194" i="6"/>
  <c r="CV194" i="6"/>
  <c r="CW193" i="6"/>
  <c r="CV193" i="6"/>
  <c r="CW192" i="6"/>
  <c r="CV192" i="6"/>
  <c r="CW191" i="6"/>
  <c r="CV191" i="6"/>
  <c r="CW190" i="6"/>
  <c r="CV190" i="6"/>
  <c r="CW189" i="6"/>
  <c r="CV189" i="6"/>
  <c r="CW188" i="6"/>
  <c r="CV188" i="6"/>
  <c r="CW187" i="6"/>
  <c r="CV187" i="6"/>
  <c r="CW186" i="6"/>
  <c r="CV186" i="6"/>
  <c r="CW185" i="6"/>
  <c r="CV185" i="6"/>
  <c r="CW184" i="6"/>
  <c r="CV184" i="6"/>
  <c r="CW183" i="6"/>
  <c r="CV183" i="6"/>
  <c r="CW182" i="6"/>
  <c r="CV182" i="6"/>
  <c r="CW181" i="6"/>
  <c r="CV181" i="6"/>
  <c r="CW180" i="6"/>
  <c r="CV180" i="6"/>
  <c r="CW179" i="6"/>
  <c r="CV179" i="6"/>
  <c r="CW178" i="6"/>
  <c r="CV178" i="6"/>
  <c r="CW177" i="6"/>
  <c r="CV177" i="6"/>
  <c r="CW176" i="6"/>
  <c r="CV176" i="6"/>
  <c r="CW175" i="6"/>
  <c r="CV175" i="6"/>
  <c r="CW174" i="6"/>
  <c r="CV174" i="6"/>
  <c r="CW173" i="6"/>
  <c r="CV173" i="6"/>
  <c r="CW172" i="6"/>
  <c r="CV172" i="6"/>
  <c r="CW171" i="6"/>
  <c r="CV171" i="6"/>
  <c r="CW170" i="6"/>
  <c r="CV170" i="6"/>
  <c r="CW169" i="6"/>
  <c r="CV169" i="6"/>
  <c r="CW168" i="6"/>
  <c r="CV168" i="6"/>
  <c r="CW167" i="6"/>
  <c r="CV167" i="6"/>
  <c r="CW166" i="6"/>
  <c r="CV166" i="6"/>
  <c r="CW165" i="6"/>
  <c r="CV165" i="6"/>
  <c r="CW164" i="6"/>
  <c r="CV164" i="6"/>
  <c r="CW163" i="6"/>
  <c r="CV163" i="6"/>
  <c r="CW162" i="6"/>
  <c r="CV162" i="6"/>
  <c r="CW161" i="6"/>
  <c r="CV161" i="6"/>
  <c r="CW160" i="6"/>
  <c r="CV160" i="6"/>
  <c r="CW159" i="6"/>
  <c r="CV159" i="6"/>
  <c r="CW158" i="6"/>
  <c r="CV158" i="6"/>
  <c r="CW157" i="6"/>
  <c r="CV157" i="6"/>
  <c r="CW156" i="6"/>
  <c r="CV156" i="6"/>
  <c r="CW155" i="6"/>
  <c r="CV155" i="6"/>
  <c r="CW154" i="6"/>
  <c r="CV154" i="6"/>
  <c r="CW153" i="6"/>
  <c r="CV153" i="6"/>
  <c r="CW152" i="6"/>
  <c r="CV152" i="6"/>
  <c r="CW151" i="6"/>
  <c r="CV151" i="6"/>
  <c r="CW150" i="6"/>
  <c r="CV150" i="6"/>
  <c r="CW149" i="6"/>
  <c r="CV149" i="6"/>
  <c r="CW148" i="6"/>
  <c r="CV148" i="6"/>
  <c r="CW147" i="6"/>
  <c r="CV147" i="6"/>
  <c r="CW146" i="6"/>
  <c r="CV146" i="6"/>
  <c r="CW145" i="6"/>
  <c r="CV145" i="6"/>
  <c r="CW144" i="6"/>
  <c r="CV144" i="6"/>
  <c r="CW143" i="6"/>
  <c r="CV143" i="6"/>
  <c r="CW142" i="6"/>
  <c r="CV142" i="6"/>
  <c r="CW141" i="6"/>
  <c r="CV141" i="6"/>
  <c r="CW140" i="6"/>
  <c r="CV140" i="6"/>
  <c r="CW139" i="6"/>
  <c r="CV139" i="6"/>
  <c r="CW138" i="6"/>
  <c r="CV138" i="6"/>
  <c r="CW137" i="6"/>
  <c r="CV137" i="6"/>
  <c r="CW136" i="6"/>
  <c r="CV136" i="6"/>
  <c r="CW135" i="6"/>
  <c r="CV135" i="6"/>
  <c r="CW134" i="6"/>
  <c r="CV134" i="6"/>
  <c r="CW133" i="6"/>
  <c r="CV133" i="6"/>
  <c r="CW132" i="6"/>
  <c r="CV132" i="6"/>
  <c r="CW131" i="6"/>
  <c r="CV131" i="6"/>
  <c r="CW130" i="6"/>
  <c r="CV130" i="6"/>
  <c r="CW129" i="6"/>
  <c r="CV129" i="6"/>
  <c r="CW128" i="6"/>
  <c r="CV128" i="6"/>
  <c r="CW127" i="6"/>
  <c r="CV127" i="6"/>
  <c r="CW126" i="6"/>
  <c r="CV126" i="6"/>
  <c r="CW125" i="6"/>
  <c r="CV125" i="6"/>
  <c r="CW124" i="6"/>
  <c r="CV124" i="6"/>
  <c r="CW123" i="6"/>
  <c r="CV123" i="6"/>
  <c r="CW122" i="6"/>
  <c r="CV122" i="6"/>
  <c r="CW121" i="6"/>
  <c r="CV121" i="6"/>
  <c r="CW120" i="6"/>
  <c r="CV120" i="6"/>
  <c r="CW119" i="6"/>
  <c r="CV119" i="6"/>
  <c r="CW118" i="6"/>
  <c r="CV118" i="6"/>
  <c r="CW117" i="6"/>
  <c r="CV117" i="6"/>
  <c r="CW116" i="6"/>
  <c r="CV116" i="6"/>
  <c r="CW115" i="6"/>
  <c r="CV115" i="6"/>
  <c r="CW114" i="6"/>
  <c r="CV114" i="6"/>
  <c r="CW113" i="6"/>
  <c r="CV113" i="6"/>
  <c r="CW112" i="6"/>
  <c r="CV112" i="6"/>
  <c r="CW111" i="6"/>
  <c r="CV111" i="6"/>
  <c r="CW110" i="6"/>
  <c r="CV110" i="6"/>
  <c r="CW109" i="6"/>
  <c r="CV109" i="6"/>
  <c r="CW108" i="6"/>
  <c r="CV108" i="6"/>
  <c r="CW107" i="6"/>
  <c r="CV107" i="6"/>
  <c r="CW106" i="6"/>
  <c r="CV106" i="6"/>
  <c r="CW105" i="6"/>
  <c r="CV105" i="6"/>
  <c r="CW104" i="6"/>
  <c r="CV104" i="6"/>
  <c r="CW103" i="6"/>
  <c r="CV103" i="6"/>
  <c r="CW102" i="6"/>
  <c r="CV102" i="6"/>
  <c r="CW101" i="6"/>
  <c r="CV101" i="6"/>
  <c r="CW100" i="6"/>
  <c r="CV100" i="6"/>
  <c r="CW99" i="6"/>
  <c r="CV99" i="6"/>
  <c r="CW98" i="6"/>
  <c r="CV98" i="6"/>
  <c r="CW97" i="6"/>
  <c r="CV97" i="6"/>
  <c r="CW96" i="6"/>
  <c r="CV96" i="6"/>
  <c r="CW95" i="6"/>
  <c r="CV95" i="6"/>
  <c r="CW94" i="6"/>
  <c r="CV94" i="6"/>
  <c r="CW93" i="6"/>
  <c r="CV93" i="6"/>
  <c r="CW92" i="6"/>
  <c r="CV92" i="6"/>
  <c r="CW91" i="6"/>
  <c r="CV91" i="6"/>
  <c r="CW90" i="6"/>
  <c r="CV90" i="6"/>
  <c r="CW89" i="6"/>
  <c r="CV89" i="6"/>
  <c r="CW88" i="6"/>
  <c r="CV88" i="6"/>
  <c r="CW87" i="6"/>
  <c r="CV87" i="6"/>
  <c r="CW86" i="6"/>
  <c r="CV86" i="6"/>
  <c r="CW85" i="6"/>
  <c r="CV85" i="6"/>
  <c r="CW84" i="6"/>
  <c r="CV84" i="6"/>
  <c r="CW83" i="6"/>
  <c r="CV83" i="6"/>
  <c r="CW82" i="6"/>
  <c r="CV82" i="6"/>
  <c r="CW81" i="6"/>
  <c r="CV81" i="6"/>
  <c r="CW80" i="6"/>
  <c r="CV80" i="6"/>
  <c r="CW79" i="6"/>
  <c r="CV79" i="6"/>
  <c r="CW78" i="6"/>
  <c r="CV78" i="6"/>
  <c r="CW77" i="6"/>
  <c r="CV77" i="6"/>
  <c r="CW76" i="6"/>
  <c r="CV76" i="6"/>
  <c r="CW75" i="6"/>
  <c r="CV75" i="6"/>
  <c r="CW74" i="6"/>
  <c r="CV74" i="6"/>
  <c r="CW73" i="6"/>
  <c r="CV73" i="6"/>
  <c r="CW72" i="6"/>
  <c r="CV72" i="6"/>
  <c r="CW71" i="6"/>
  <c r="CV71" i="6"/>
  <c r="CW70" i="6"/>
  <c r="CV70" i="6"/>
  <c r="CW69" i="6"/>
  <c r="CV69" i="6"/>
  <c r="CW68" i="6"/>
  <c r="CV68" i="6"/>
  <c r="CW67" i="6"/>
  <c r="CV67" i="6"/>
  <c r="CW66" i="6"/>
  <c r="CV66" i="6"/>
  <c r="CW65" i="6"/>
  <c r="CV65" i="6"/>
  <c r="CW64" i="6"/>
  <c r="CV64" i="6"/>
  <c r="CW63" i="6"/>
  <c r="CV63" i="6"/>
  <c r="CW62" i="6"/>
  <c r="CV62" i="6"/>
  <c r="CW61" i="6"/>
  <c r="CV61" i="6"/>
  <c r="CW60" i="6"/>
  <c r="CV60" i="6"/>
  <c r="CW59" i="6"/>
  <c r="CV59" i="6"/>
  <c r="CW58" i="6"/>
  <c r="CV58" i="6"/>
  <c r="CW57" i="6"/>
  <c r="CV57" i="6"/>
  <c r="CW56" i="6"/>
  <c r="CV56" i="6"/>
  <c r="CW55" i="6"/>
  <c r="CV55" i="6"/>
  <c r="CW54" i="6"/>
  <c r="CV54" i="6"/>
  <c r="CW53" i="6"/>
  <c r="CV53" i="6"/>
  <c r="CW52" i="6"/>
  <c r="CV52" i="6"/>
  <c r="CW51" i="6"/>
  <c r="CV51" i="6"/>
  <c r="CW50" i="6"/>
  <c r="CV50" i="6"/>
  <c r="CW49" i="6"/>
  <c r="CV49" i="6"/>
  <c r="CW48" i="6"/>
  <c r="CV48" i="6"/>
  <c r="CW47" i="6"/>
  <c r="CV47" i="6"/>
  <c r="CW46" i="6"/>
  <c r="CV46" i="6"/>
  <c r="CW45" i="6"/>
  <c r="CV45" i="6"/>
  <c r="CW44" i="6"/>
  <c r="CV44" i="6"/>
  <c r="CW43" i="6"/>
  <c r="CV43" i="6"/>
  <c r="CW42" i="6"/>
  <c r="CV42" i="6"/>
  <c r="CW41" i="6"/>
  <c r="CV41" i="6"/>
  <c r="CW40" i="6"/>
  <c r="CV40" i="6"/>
  <c r="CW39" i="6"/>
  <c r="CV39" i="6"/>
  <c r="CW38" i="6"/>
  <c r="CV38" i="6"/>
  <c r="CW37" i="6"/>
  <c r="CV37" i="6"/>
  <c r="CW36" i="6"/>
  <c r="CV36" i="6"/>
  <c r="CW35" i="6"/>
  <c r="CV35" i="6"/>
  <c r="CW34" i="6"/>
  <c r="CV34" i="6"/>
  <c r="CW33" i="6"/>
  <c r="CV33" i="6"/>
  <c r="CW32" i="6"/>
  <c r="CV32" i="6"/>
  <c r="CW31" i="6"/>
  <c r="CV31" i="6"/>
  <c r="CW30" i="6"/>
  <c r="CV30" i="6"/>
  <c r="CW29" i="6"/>
  <c r="CV29" i="6"/>
  <c r="CW28" i="6"/>
  <c r="CV28" i="6"/>
  <c r="CW27" i="6"/>
  <c r="CV27" i="6"/>
  <c r="CW26" i="6"/>
  <c r="CV26" i="6"/>
  <c r="CW25" i="6"/>
  <c r="CV25" i="6"/>
  <c r="CW24" i="6"/>
  <c r="CV24" i="6"/>
  <c r="CW23" i="6"/>
  <c r="CV23" i="6"/>
  <c r="CW22" i="6"/>
  <c r="CV22" i="6"/>
  <c r="CW21" i="6"/>
  <c r="CV21" i="6"/>
  <c r="CW20" i="6"/>
  <c r="CV20" i="6"/>
  <c r="CW19" i="6"/>
  <c r="CV19" i="6"/>
  <c r="CW18" i="6"/>
  <c r="CV18" i="6"/>
  <c r="CW17" i="6"/>
  <c r="CV17" i="6"/>
  <c r="CW16" i="6"/>
  <c r="CV16" i="6"/>
  <c r="CW15" i="6"/>
  <c r="CV15" i="6"/>
  <c r="CW14" i="6"/>
  <c r="CV14" i="6"/>
  <c r="CW13" i="6"/>
  <c r="CV13" i="6"/>
  <c r="CW12" i="6"/>
  <c r="CV12" i="6"/>
  <c r="CW11" i="6"/>
  <c r="CV11" i="6"/>
  <c r="CW10" i="6"/>
  <c r="CV10" i="6"/>
  <c r="CW9" i="6"/>
  <c r="CV9" i="6"/>
  <c r="CW8" i="6"/>
  <c r="CV8" i="6"/>
  <c r="DD500" i="6"/>
  <c r="DC500" i="6"/>
  <c r="DD499" i="6"/>
  <c r="DC499" i="6"/>
  <c r="DD498" i="6"/>
  <c r="DC498" i="6"/>
  <c r="DD497" i="6"/>
  <c r="DC497" i="6"/>
  <c r="DD496" i="6"/>
  <c r="DC496" i="6"/>
  <c r="DD495" i="6"/>
  <c r="DC495" i="6"/>
  <c r="DD494" i="6"/>
  <c r="DC494" i="6"/>
  <c r="DD493" i="6"/>
  <c r="DC493" i="6"/>
  <c r="DD492" i="6"/>
  <c r="DC492" i="6"/>
  <c r="DD491" i="6"/>
  <c r="DC491" i="6"/>
  <c r="DD490" i="6"/>
  <c r="DC490" i="6"/>
  <c r="DD489" i="6"/>
  <c r="DC489" i="6"/>
  <c r="DD488" i="6"/>
  <c r="DC488" i="6"/>
  <c r="DD487" i="6"/>
  <c r="DC487" i="6"/>
  <c r="DD486" i="6"/>
  <c r="DC486" i="6"/>
  <c r="DD485" i="6"/>
  <c r="DC485" i="6"/>
  <c r="DD484" i="6"/>
  <c r="DC484" i="6"/>
  <c r="DD483" i="6"/>
  <c r="DC483" i="6"/>
  <c r="DD482" i="6"/>
  <c r="DC482" i="6"/>
  <c r="DD481" i="6"/>
  <c r="DC481" i="6"/>
  <c r="DD480" i="6"/>
  <c r="DC480" i="6"/>
  <c r="DD479" i="6"/>
  <c r="DC479" i="6"/>
  <c r="DD478" i="6"/>
  <c r="DC478" i="6"/>
  <c r="DD477" i="6"/>
  <c r="DC477" i="6"/>
  <c r="DD476" i="6"/>
  <c r="DC476" i="6"/>
  <c r="DD475" i="6"/>
  <c r="DC475" i="6"/>
  <c r="DD474" i="6"/>
  <c r="DC474" i="6"/>
  <c r="DD473" i="6"/>
  <c r="DC473" i="6"/>
  <c r="DD472" i="6"/>
  <c r="DC472" i="6"/>
  <c r="DD471" i="6"/>
  <c r="DC471" i="6"/>
  <c r="DD470" i="6"/>
  <c r="DC470" i="6"/>
  <c r="DD469" i="6"/>
  <c r="DC469" i="6"/>
  <c r="DD468" i="6"/>
  <c r="DC468" i="6"/>
  <c r="DD467" i="6"/>
  <c r="DC467" i="6"/>
  <c r="DD466" i="6"/>
  <c r="DC466" i="6"/>
  <c r="DD465" i="6"/>
  <c r="DC465" i="6"/>
  <c r="DD464" i="6"/>
  <c r="DC464" i="6"/>
  <c r="DD463" i="6"/>
  <c r="DC463" i="6"/>
  <c r="DD462" i="6"/>
  <c r="DC462" i="6"/>
  <c r="DD461" i="6"/>
  <c r="DC461" i="6"/>
  <c r="DD460" i="6"/>
  <c r="DC460" i="6"/>
  <c r="DD459" i="6"/>
  <c r="DC459" i="6"/>
  <c r="DD458" i="6"/>
  <c r="DC458" i="6"/>
  <c r="DD457" i="6"/>
  <c r="DC457" i="6"/>
  <c r="DD456" i="6"/>
  <c r="DC456" i="6"/>
  <c r="DD455" i="6"/>
  <c r="DC455" i="6"/>
  <c r="DD454" i="6"/>
  <c r="DC454" i="6"/>
  <c r="DD453" i="6"/>
  <c r="DC453" i="6"/>
  <c r="DD452" i="6"/>
  <c r="DC452" i="6"/>
  <c r="DD451" i="6"/>
  <c r="DC451" i="6"/>
  <c r="DD450" i="6"/>
  <c r="DC450" i="6"/>
  <c r="DD449" i="6"/>
  <c r="DC449" i="6"/>
  <c r="DD448" i="6"/>
  <c r="DC448" i="6"/>
  <c r="DD447" i="6"/>
  <c r="DC447" i="6"/>
  <c r="DD446" i="6"/>
  <c r="DC446" i="6"/>
  <c r="DD445" i="6"/>
  <c r="DC445" i="6"/>
  <c r="DD444" i="6"/>
  <c r="DC444" i="6"/>
  <c r="DD443" i="6"/>
  <c r="DC443" i="6"/>
  <c r="DD442" i="6"/>
  <c r="DC442" i="6"/>
  <c r="DD441" i="6"/>
  <c r="DC441" i="6"/>
  <c r="DD440" i="6"/>
  <c r="DC440" i="6"/>
  <c r="DD439" i="6"/>
  <c r="DC439" i="6"/>
  <c r="DD438" i="6"/>
  <c r="DC438" i="6"/>
  <c r="DD437" i="6"/>
  <c r="DC437" i="6"/>
  <c r="DD436" i="6"/>
  <c r="DC436" i="6"/>
  <c r="DD435" i="6"/>
  <c r="DC435" i="6"/>
  <c r="DD434" i="6"/>
  <c r="DC434" i="6"/>
  <c r="DD433" i="6"/>
  <c r="DC433" i="6"/>
  <c r="DD432" i="6"/>
  <c r="DC432" i="6"/>
  <c r="DD431" i="6"/>
  <c r="DC431" i="6"/>
  <c r="DD430" i="6"/>
  <c r="DC430" i="6"/>
  <c r="DD429" i="6"/>
  <c r="DC429" i="6"/>
  <c r="DD428" i="6"/>
  <c r="DC428" i="6"/>
  <c r="DD427" i="6"/>
  <c r="DC427" i="6"/>
  <c r="DD426" i="6"/>
  <c r="DC426" i="6"/>
  <c r="DD425" i="6"/>
  <c r="DC425" i="6"/>
  <c r="DD424" i="6"/>
  <c r="DC424" i="6"/>
  <c r="DD423" i="6"/>
  <c r="DC423" i="6"/>
  <c r="DD422" i="6"/>
  <c r="DC422" i="6"/>
  <c r="DD421" i="6"/>
  <c r="DC421" i="6"/>
  <c r="DD420" i="6"/>
  <c r="DC420" i="6"/>
  <c r="DD419" i="6"/>
  <c r="DC419" i="6"/>
  <c r="DD418" i="6"/>
  <c r="DC418" i="6"/>
  <c r="DD417" i="6"/>
  <c r="DC417" i="6"/>
  <c r="DD416" i="6"/>
  <c r="DC416" i="6"/>
  <c r="DD415" i="6"/>
  <c r="DC415" i="6"/>
  <c r="DD414" i="6"/>
  <c r="DC414" i="6"/>
  <c r="DD413" i="6"/>
  <c r="DC413" i="6"/>
  <c r="DD412" i="6"/>
  <c r="DC412" i="6"/>
  <c r="DD411" i="6"/>
  <c r="DC411" i="6"/>
  <c r="DD410" i="6"/>
  <c r="DC410" i="6"/>
  <c r="DD409" i="6"/>
  <c r="DC409" i="6"/>
  <c r="DD408" i="6"/>
  <c r="DC408" i="6"/>
  <c r="DD407" i="6"/>
  <c r="DC407" i="6"/>
  <c r="DD406" i="6"/>
  <c r="DC406" i="6"/>
  <c r="DD405" i="6"/>
  <c r="DC405" i="6"/>
  <c r="DD404" i="6"/>
  <c r="DC404" i="6"/>
  <c r="DD403" i="6"/>
  <c r="DC403" i="6"/>
  <c r="DD402" i="6"/>
  <c r="DC402" i="6"/>
  <c r="DD401" i="6"/>
  <c r="DC401" i="6"/>
  <c r="DD400" i="6"/>
  <c r="DC400" i="6"/>
  <c r="DD399" i="6"/>
  <c r="DC399" i="6"/>
  <c r="DD398" i="6"/>
  <c r="DC398" i="6"/>
  <c r="DD397" i="6"/>
  <c r="DC397" i="6"/>
  <c r="DD396" i="6"/>
  <c r="DC396" i="6"/>
  <c r="DD395" i="6"/>
  <c r="DC395" i="6"/>
  <c r="DD394" i="6"/>
  <c r="DC394" i="6"/>
  <c r="DD393" i="6"/>
  <c r="DC393" i="6"/>
  <c r="DD392" i="6"/>
  <c r="DC392" i="6"/>
  <c r="DD391" i="6"/>
  <c r="DC391" i="6"/>
  <c r="DD390" i="6"/>
  <c r="DC390" i="6"/>
  <c r="DD389" i="6"/>
  <c r="DC389" i="6"/>
  <c r="DD388" i="6"/>
  <c r="DC388" i="6"/>
  <c r="DD387" i="6"/>
  <c r="DC387" i="6"/>
  <c r="DD386" i="6"/>
  <c r="DC386" i="6"/>
  <c r="DD385" i="6"/>
  <c r="DC385" i="6"/>
  <c r="DD384" i="6"/>
  <c r="DC384" i="6"/>
  <c r="DD383" i="6"/>
  <c r="DC383" i="6"/>
  <c r="DD382" i="6"/>
  <c r="DC382" i="6"/>
  <c r="DD381" i="6"/>
  <c r="DC381" i="6"/>
  <c r="DD380" i="6"/>
  <c r="DC380" i="6"/>
  <c r="DD379" i="6"/>
  <c r="DC379" i="6"/>
  <c r="DD378" i="6"/>
  <c r="DC378" i="6"/>
  <c r="DD377" i="6"/>
  <c r="DC377" i="6"/>
  <c r="DD376" i="6"/>
  <c r="DC376" i="6"/>
  <c r="DD375" i="6"/>
  <c r="DC375" i="6"/>
  <c r="DD374" i="6"/>
  <c r="DC374" i="6"/>
  <c r="DD373" i="6"/>
  <c r="DC373" i="6"/>
  <c r="DD372" i="6"/>
  <c r="DC372" i="6"/>
  <c r="DD371" i="6"/>
  <c r="DC371" i="6"/>
  <c r="DD370" i="6"/>
  <c r="DC370" i="6"/>
  <c r="DD369" i="6"/>
  <c r="DC369" i="6"/>
  <c r="DD368" i="6"/>
  <c r="DC368" i="6"/>
  <c r="DD367" i="6"/>
  <c r="DC367" i="6"/>
  <c r="DD366" i="6"/>
  <c r="DC366" i="6"/>
  <c r="DD365" i="6"/>
  <c r="DC365" i="6"/>
  <c r="DD364" i="6"/>
  <c r="DC364" i="6"/>
  <c r="DD363" i="6"/>
  <c r="DC363" i="6"/>
  <c r="DD362" i="6"/>
  <c r="DC362" i="6"/>
  <c r="DD361" i="6"/>
  <c r="DC361" i="6"/>
  <c r="DD360" i="6"/>
  <c r="DC360" i="6"/>
  <c r="DD359" i="6"/>
  <c r="DC359" i="6"/>
  <c r="DD358" i="6"/>
  <c r="DC358" i="6"/>
  <c r="DD357" i="6"/>
  <c r="DC357" i="6"/>
  <c r="DD356" i="6"/>
  <c r="DC356" i="6"/>
  <c r="DD355" i="6"/>
  <c r="DC355" i="6"/>
  <c r="DD354" i="6"/>
  <c r="DC354" i="6"/>
  <c r="DD353" i="6"/>
  <c r="DC353" i="6"/>
  <c r="DD352" i="6"/>
  <c r="DC352" i="6"/>
  <c r="DD351" i="6"/>
  <c r="DC351" i="6"/>
  <c r="DD350" i="6"/>
  <c r="DC350" i="6"/>
  <c r="DD349" i="6"/>
  <c r="DC349" i="6"/>
  <c r="DD348" i="6"/>
  <c r="DC348" i="6"/>
  <c r="DD347" i="6"/>
  <c r="DC347" i="6"/>
  <c r="DD346" i="6"/>
  <c r="DC346" i="6"/>
  <c r="DD345" i="6"/>
  <c r="DC345" i="6"/>
  <c r="DD344" i="6"/>
  <c r="DC344" i="6"/>
  <c r="DD343" i="6"/>
  <c r="DC343" i="6"/>
  <c r="DD342" i="6"/>
  <c r="DC342" i="6"/>
  <c r="DD341" i="6"/>
  <c r="DC341" i="6"/>
  <c r="DD340" i="6"/>
  <c r="DC340" i="6"/>
  <c r="DD339" i="6"/>
  <c r="DC339" i="6"/>
  <c r="DD338" i="6"/>
  <c r="DC338" i="6"/>
  <c r="DD337" i="6"/>
  <c r="DC337" i="6"/>
  <c r="DD336" i="6"/>
  <c r="DC336" i="6"/>
  <c r="DD335" i="6"/>
  <c r="DC335" i="6"/>
  <c r="DD334" i="6"/>
  <c r="DC334" i="6"/>
  <c r="DD333" i="6"/>
  <c r="DC333" i="6"/>
  <c r="DD332" i="6"/>
  <c r="DC332" i="6"/>
  <c r="DD331" i="6"/>
  <c r="DC331" i="6"/>
  <c r="DD330" i="6"/>
  <c r="DC330" i="6"/>
  <c r="DD329" i="6"/>
  <c r="DC329" i="6"/>
  <c r="DD328" i="6"/>
  <c r="DC328" i="6"/>
  <c r="DD327" i="6"/>
  <c r="DC327" i="6"/>
  <c r="DD326" i="6"/>
  <c r="DC326" i="6"/>
  <c r="DD325" i="6"/>
  <c r="DC325" i="6"/>
  <c r="DD324" i="6"/>
  <c r="DC324" i="6"/>
  <c r="DD323" i="6"/>
  <c r="DC323" i="6"/>
  <c r="DD322" i="6"/>
  <c r="DC322" i="6"/>
  <c r="DD321" i="6"/>
  <c r="DC321" i="6"/>
  <c r="DD320" i="6"/>
  <c r="DC320" i="6"/>
  <c r="DD319" i="6"/>
  <c r="DC319" i="6"/>
  <c r="DD318" i="6"/>
  <c r="DC318" i="6"/>
  <c r="DD317" i="6"/>
  <c r="DC317" i="6"/>
  <c r="DD316" i="6"/>
  <c r="DC316" i="6"/>
  <c r="DD315" i="6"/>
  <c r="DC315" i="6"/>
  <c r="DD314" i="6"/>
  <c r="DC314" i="6"/>
  <c r="DD313" i="6"/>
  <c r="DC313" i="6"/>
  <c r="DD312" i="6"/>
  <c r="DC312" i="6"/>
  <c r="DD311" i="6"/>
  <c r="DC311" i="6"/>
  <c r="DD310" i="6"/>
  <c r="DC310" i="6"/>
  <c r="DD309" i="6"/>
  <c r="DC309" i="6"/>
  <c r="DD308" i="6"/>
  <c r="DC308" i="6"/>
  <c r="DD307" i="6"/>
  <c r="DC307" i="6"/>
  <c r="DD306" i="6"/>
  <c r="DC306" i="6"/>
  <c r="DD305" i="6"/>
  <c r="DC305" i="6"/>
  <c r="DD304" i="6"/>
  <c r="DC304" i="6"/>
  <c r="DD303" i="6"/>
  <c r="DC303" i="6"/>
  <c r="DD302" i="6"/>
  <c r="DC302" i="6"/>
  <c r="DD301" i="6"/>
  <c r="DC301" i="6"/>
  <c r="DD300" i="6"/>
  <c r="DC300" i="6"/>
  <c r="DD299" i="6"/>
  <c r="DC299" i="6"/>
  <c r="DD298" i="6"/>
  <c r="DC298" i="6"/>
  <c r="DD297" i="6"/>
  <c r="DC297" i="6"/>
  <c r="DD296" i="6"/>
  <c r="DC296" i="6"/>
  <c r="DD295" i="6"/>
  <c r="DC295" i="6"/>
  <c r="DD294" i="6"/>
  <c r="DC294" i="6"/>
  <c r="DD293" i="6"/>
  <c r="DC293" i="6"/>
  <c r="DD292" i="6"/>
  <c r="DC292" i="6"/>
  <c r="DD291" i="6"/>
  <c r="DC291" i="6"/>
  <c r="DD290" i="6"/>
  <c r="DC290" i="6"/>
  <c r="DD289" i="6"/>
  <c r="DC289" i="6"/>
  <c r="DD288" i="6"/>
  <c r="DC288" i="6"/>
  <c r="DD287" i="6"/>
  <c r="DC287" i="6"/>
  <c r="DD286" i="6"/>
  <c r="DC286" i="6"/>
  <c r="DD285" i="6"/>
  <c r="DC285" i="6"/>
  <c r="DD284" i="6"/>
  <c r="DC284" i="6"/>
  <c r="DD283" i="6"/>
  <c r="DC283" i="6"/>
  <c r="DD282" i="6"/>
  <c r="DC282" i="6"/>
  <c r="DD281" i="6"/>
  <c r="DC281" i="6"/>
  <c r="DD280" i="6"/>
  <c r="DC280" i="6"/>
  <c r="DD279" i="6"/>
  <c r="DC279" i="6"/>
  <c r="DD278" i="6"/>
  <c r="DC278" i="6"/>
  <c r="DD277" i="6"/>
  <c r="DC277" i="6"/>
  <c r="DD276" i="6"/>
  <c r="DC276" i="6"/>
  <c r="DD275" i="6"/>
  <c r="DC275" i="6"/>
  <c r="DD274" i="6"/>
  <c r="DC274" i="6"/>
  <c r="DD273" i="6"/>
  <c r="DC273" i="6"/>
  <c r="DD272" i="6"/>
  <c r="DC272" i="6"/>
  <c r="DD271" i="6"/>
  <c r="DC271" i="6"/>
  <c r="DD270" i="6"/>
  <c r="DC270" i="6"/>
  <c r="DD269" i="6"/>
  <c r="DC269" i="6"/>
  <c r="DD268" i="6"/>
  <c r="DC268" i="6"/>
  <c r="DD267" i="6"/>
  <c r="DC267" i="6"/>
  <c r="DD266" i="6"/>
  <c r="DC266" i="6"/>
  <c r="DD265" i="6"/>
  <c r="DC265" i="6"/>
  <c r="DD264" i="6"/>
  <c r="DC264" i="6"/>
  <c r="DD263" i="6"/>
  <c r="DC263" i="6"/>
  <c r="DD262" i="6"/>
  <c r="DC262" i="6"/>
  <c r="DD261" i="6"/>
  <c r="DC261" i="6"/>
  <c r="DD260" i="6"/>
  <c r="DC260" i="6"/>
  <c r="DD259" i="6"/>
  <c r="DC259" i="6"/>
  <c r="DD258" i="6"/>
  <c r="DC258" i="6"/>
  <c r="DD257" i="6"/>
  <c r="DC257" i="6"/>
  <c r="DD256" i="6"/>
  <c r="DC256" i="6"/>
  <c r="DD255" i="6"/>
  <c r="DC255" i="6"/>
  <c r="DD254" i="6"/>
  <c r="DC254" i="6"/>
  <c r="DD253" i="6"/>
  <c r="DC253" i="6"/>
  <c r="DD252" i="6"/>
  <c r="DC252" i="6"/>
  <c r="DD251" i="6"/>
  <c r="DC251" i="6"/>
  <c r="DD250" i="6"/>
  <c r="DC250" i="6"/>
  <c r="DD249" i="6"/>
  <c r="DC249" i="6"/>
  <c r="DD248" i="6"/>
  <c r="DC248" i="6"/>
  <c r="DD247" i="6"/>
  <c r="DC247" i="6"/>
  <c r="DD246" i="6"/>
  <c r="DC246" i="6"/>
  <c r="DD245" i="6"/>
  <c r="DC245" i="6"/>
  <c r="DD244" i="6"/>
  <c r="DC244" i="6"/>
  <c r="DD243" i="6"/>
  <c r="DC243" i="6"/>
  <c r="DD242" i="6"/>
  <c r="DC242" i="6"/>
  <c r="DD241" i="6"/>
  <c r="DC241" i="6"/>
  <c r="DD240" i="6"/>
  <c r="DC240" i="6"/>
  <c r="DD239" i="6"/>
  <c r="DC239" i="6"/>
  <c r="DD238" i="6"/>
  <c r="DC238" i="6"/>
  <c r="DD237" i="6"/>
  <c r="DC237" i="6"/>
  <c r="DD236" i="6"/>
  <c r="DC236" i="6"/>
  <c r="DD235" i="6"/>
  <c r="DC235" i="6"/>
  <c r="DD234" i="6"/>
  <c r="DC234" i="6"/>
  <c r="DD233" i="6"/>
  <c r="DC233" i="6"/>
  <c r="DD232" i="6"/>
  <c r="DC232" i="6"/>
  <c r="DD231" i="6"/>
  <c r="DC231" i="6"/>
  <c r="DD230" i="6"/>
  <c r="DC230" i="6"/>
  <c r="DD229" i="6"/>
  <c r="DC229" i="6"/>
  <c r="DD228" i="6"/>
  <c r="DC228" i="6"/>
  <c r="DD227" i="6"/>
  <c r="DC227" i="6"/>
  <c r="DD226" i="6"/>
  <c r="DC226" i="6"/>
  <c r="DD225" i="6"/>
  <c r="DC225" i="6"/>
  <c r="DD224" i="6"/>
  <c r="DC224" i="6"/>
  <c r="DD223" i="6"/>
  <c r="DC223" i="6"/>
  <c r="DD222" i="6"/>
  <c r="DC222" i="6"/>
  <c r="DD221" i="6"/>
  <c r="DC221" i="6"/>
  <c r="DD220" i="6"/>
  <c r="DC220" i="6"/>
  <c r="DD219" i="6"/>
  <c r="DC219" i="6"/>
  <c r="DD218" i="6"/>
  <c r="DC218" i="6"/>
  <c r="DD217" i="6"/>
  <c r="DC217" i="6"/>
  <c r="DD216" i="6"/>
  <c r="DC216" i="6"/>
  <c r="DD215" i="6"/>
  <c r="DC215" i="6"/>
  <c r="DD214" i="6"/>
  <c r="DC214" i="6"/>
  <c r="DD213" i="6"/>
  <c r="DC213" i="6"/>
  <c r="DD212" i="6"/>
  <c r="DC212" i="6"/>
  <c r="DD211" i="6"/>
  <c r="DC211" i="6"/>
  <c r="DD210" i="6"/>
  <c r="DC210" i="6"/>
  <c r="DD209" i="6"/>
  <c r="DC209" i="6"/>
  <c r="DD208" i="6"/>
  <c r="DC208" i="6"/>
  <c r="DD207" i="6"/>
  <c r="DC207" i="6"/>
  <c r="DD206" i="6"/>
  <c r="DC206" i="6"/>
  <c r="DD205" i="6"/>
  <c r="DC205" i="6"/>
  <c r="DD204" i="6"/>
  <c r="DC204" i="6"/>
  <c r="DD203" i="6"/>
  <c r="DC203" i="6"/>
  <c r="DD202" i="6"/>
  <c r="DC202" i="6"/>
  <c r="DD201" i="6"/>
  <c r="DC201" i="6"/>
  <c r="DD200" i="6"/>
  <c r="DC200" i="6"/>
  <c r="DD199" i="6"/>
  <c r="DC199" i="6"/>
  <c r="DD198" i="6"/>
  <c r="DC198" i="6"/>
  <c r="DD197" i="6"/>
  <c r="DC197" i="6"/>
  <c r="DD196" i="6"/>
  <c r="DC196" i="6"/>
  <c r="DD195" i="6"/>
  <c r="DC195" i="6"/>
  <c r="DD194" i="6"/>
  <c r="DC194" i="6"/>
  <c r="DD193" i="6"/>
  <c r="DC193" i="6"/>
  <c r="DD192" i="6"/>
  <c r="DC192" i="6"/>
  <c r="DD191" i="6"/>
  <c r="DC191" i="6"/>
  <c r="DD190" i="6"/>
  <c r="DC190" i="6"/>
  <c r="DD189" i="6"/>
  <c r="DC189" i="6"/>
  <c r="DD188" i="6"/>
  <c r="DC188" i="6"/>
  <c r="DD187" i="6"/>
  <c r="DC187" i="6"/>
  <c r="DD186" i="6"/>
  <c r="DC186" i="6"/>
  <c r="DD185" i="6"/>
  <c r="DC185" i="6"/>
  <c r="DD184" i="6"/>
  <c r="DC184" i="6"/>
  <c r="DD183" i="6"/>
  <c r="DC183" i="6"/>
  <c r="DD182" i="6"/>
  <c r="DC182" i="6"/>
  <c r="DD181" i="6"/>
  <c r="DC181" i="6"/>
  <c r="DD180" i="6"/>
  <c r="DC180" i="6"/>
  <c r="DD179" i="6"/>
  <c r="DC179" i="6"/>
  <c r="DD178" i="6"/>
  <c r="DC178" i="6"/>
  <c r="DD177" i="6"/>
  <c r="DC177" i="6"/>
  <c r="DD176" i="6"/>
  <c r="DC176" i="6"/>
  <c r="DD175" i="6"/>
  <c r="DC175" i="6"/>
  <c r="DD174" i="6"/>
  <c r="DC174" i="6"/>
  <c r="DD173" i="6"/>
  <c r="DC173" i="6"/>
  <c r="DD172" i="6"/>
  <c r="DC172" i="6"/>
  <c r="DD171" i="6"/>
  <c r="DC171" i="6"/>
  <c r="DD170" i="6"/>
  <c r="DC170" i="6"/>
  <c r="DD169" i="6"/>
  <c r="DC169" i="6"/>
  <c r="DD168" i="6"/>
  <c r="DC168" i="6"/>
  <c r="DD167" i="6"/>
  <c r="DC167" i="6"/>
  <c r="DD166" i="6"/>
  <c r="DC166" i="6"/>
  <c r="DD165" i="6"/>
  <c r="DC165" i="6"/>
  <c r="DD164" i="6"/>
  <c r="DC164" i="6"/>
  <c r="DD163" i="6"/>
  <c r="DC163" i="6"/>
  <c r="DD162" i="6"/>
  <c r="DC162" i="6"/>
  <c r="DD161" i="6"/>
  <c r="DC161" i="6"/>
  <c r="DD160" i="6"/>
  <c r="DC160" i="6"/>
  <c r="DD159" i="6"/>
  <c r="DC159" i="6"/>
  <c r="DD158" i="6"/>
  <c r="DC158" i="6"/>
  <c r="DD157" i="6"/>
  <c r="DC157" i="6"/>
  <c r="DD156" i="6"/>
  <c r="DC156" i="6"/>
  <c r="DD155" i="6"/>
  <c r="DC155" i="6"/>
  <c r="DD154" i="6"/>
  <c r="DC154" i="6"/>
  <c r="DD153" i="6"/>
  <c r="DC153" i="6"/>
  <c r="DD152" i="6"/>
  <c r="DC152" i="6"/>
  <c r="DD151" i="6"/>
  <c r="DC151" i="6"/>
  <c r="DD150" i="6"/>
  <c r="DC150" i="6"/>
  <c r="DD149" i="6"/>
  <c r="DC149" i="6"/>
  <c r="DD148" i="6"/>
  <c r="DC148" i="6"/>
  <c r="DD147" i="6"/>
  <c r="DC147" i="6"/>
  <c r="DD146" i="6"/>
  <c r="DC146" i="6"/>
  <c r="DD145" i="6"/>
  <c r="DC145" i="6"/>
  <c r="DD144" i="6"/>
  <c r="DC144" i="6"/>
  <c r="DD143" i="6"/>
  <c r="DC143" i="6"/>
  <c r="DD142" i="6"/>
  <c r="DC142" i="6"/>
  <c r="DD141" i="6"/>
  <c r="DC141" i="6"/>
  <c r="DD140" i="6"/>
  <c r="DC140" i="6"/>
  <c r="DD139" i="6"/>
  <c r="DC139" i="6"/>
  <c r="DD138" i="6"/>
  <c r="DC138" i="6"/>
  <c r="DD137" i="6"/>
  <c r="DC137" i="6"/>
  <c r="DD136" i="6"/>
  <c r="DC136" i="6"/>
  <c r="DD135" i="6"/>
  <c r="DC135" i="6"/>
  <c r="DD134" i="6"/>
  <c r="DC134" i="6"/>
  <c r="DD133" i="6"/>
  <c r="DC133" i="6"/>
  <c r="DD132" i="6"/>
  <c r="DC132" i="6"/>
  <c r="DD131" i="6"/>
  <c r="DC131" i="6"/>
  <c r="DD130" i="6"/>
  <c r="DC130" i="6"/>
  <c r="DD129" i="6"/>
  <c r="DC129" i="6"/>
  <c r="DD128" i="6"/>
  <c r="DC128" i="6"/>
  <c r="DD127" i="6"/>
  <c r="DC127" i="6"/>
  <c r="DD126" i="6"/>
  <c r="DC126" i="6"/>
  <c r="DD125" i="6"/>
  <c r="DC125" i="6"/>
  <c r="DD124" i="6"/>
  <c r="DC124" i="6"/>
  <c r="DD123" i="6"/>
  <c r="DC123" i="6"/>
  <c r="DD122" i="6"/>
  <c r="DC122" i="6"/>
  <c r="DD121" i="6"/>
  <c r="DC121" i="6"/>
  <c r="DD120" i="6"/>
  <c r="DC120" i="6"/>
  <c r="DD119" i="6"/>
  <c r="DC119" i="6"/>
  <c r="DD118" i="6"/>
  <c r="DC118" i="6"/>
  <c r="DD117" i="6"/>
  <c r="DC117" i="6"/>
  <c r="DD116" i="6"/>
  <c r="DC116" i="6"/>
  <c r="DD115" i="6"/>
  <c r="DC115" i="6"/>
  <c r="DD114" i="6"/>
  <c r="DC114" i="6"/>
  <c r="DD113" i="6"/>
  <c r="DC113" i="6"/>
  <c r="DD112" i="6"/>
  <c r="DC112" i="6"/>
  <c r="DD111" i="6"/>
  <c r="DC111" i="6"/>
  <c r="DD110" i="6"/>
  <c r="DC110" i="6"/>
  <c r="DD109" i="6"/>
  <c r="DC109" i="6"/>
  <c r="DD108" i="6"/>
  <c r="DC108" i="6"/>
  <c r="DD107" i="6"/>
  <c r="DC107" i="6"/>
  <c r="DD106" i="6"/>
  <c r="DC106" i="6"/>
  <c r="DD105" i="6"/>
  <c r="DC105" i="6"/>
  <c r="DD104" i="6"/>
  <c r="DC104" i="6"/>
  <c r="DD103" i="6"/>
  <c r="DC103" i="6"/>
  <c r="DD102" i="6"/>
  <c r="DC102" i="6"/>
  <c r="DD101" i="6"/>
  <c r="DC101" i="6"/>
  <c r="DD100" i="6"/>
  <c r="DC100" i="6"/>
  <c r="DD99" i="6"/>
  <c r="DC99" i="6"/>
  <c r="DD98" i="6"/>
  <c r="DC98" i="6"/>
  <c r="DD97" i="6"/>
  <c r="DC97" i="6"/>
  <c r="DD96" i="6"/>
  <c r="DC96" i="6"/>
  <c r="DD95" i="6"/>
  <c r="DC95" i="6"/>
  <c r="DD94" i="6"/>
  <c r="DC94" i="6"/>
  <c r="DD93" i="6"/>
  <c r="DC93" i="6"/>
  <c r="DD92" i="6"/>
  <c r="DC92" i="6"/>
  <c r="DD91" i="6"/>
  <c r="DC91" i="6"/>
  <c r="DD90" i="6"/>
  <c r="DC90" i="6"/>
  <c r="DD89" i="6"/>
  <c r="DC89" i="6"/>
  <c r="DD88" i="6"/>
  <c r="DC88" i="6"/>
  <c r="DD87" i="6"/>
  <c r="DC87" i="6"/>
  <c r="DD86" i="6"/>
  <c r="DC86" i="6"/>
  <c r="DD85" i="6"/>
  <c r="DC85" i="6"/>
  <c r="DD84" i="6"/>
  <c r="DC84" i="6"/>
  <c r="DD83" i="6"/>
  <c r="DC83" i="6"/>
  <c r="DD82" i="6"/>
  <c r="DC82" i="6"/>
  <c r="DD81" i="6"/>
  <c r="DC81" i="6"/>
  <c r="DD80" i="6"/>
  <c r="DC80" i="6"/>
  <c r="DD79" i="6"/>
  <c r="DC79" i="6"/>
  <c r="DD78" i="6"/>
  <c r="DC78" i="6"/>
  <c r="DD77" i="6"/>
  <c r="DC77" i="6"/>
  <c r="DD76" i="6"/>
  <c r="DC76" i="6"/>
  <c r="DD75" i="6"/>
  <c r="DC75" i="6"/>
  <c r="DD74" i="6"/>
  <c r="DC74" i="6"/>
  <c r="DD73" i="6"/>
  <c r="DC73" i="6"/>
  <c r="DD72" i="6"/>
  <c r="DC72" i="6"/>
  <c r="DD71" i="6"/>
  <c r="DC71" i="6"/>
  <c r="DD70" i="6"/>
  <c r="DC70" i="6"/>
  <c r="DD69" i="6"/>
  <c r="DC69" i="6"/>
  <c r="DD68" i="6"/>
  <c r="DC68" i="6"/>
  <c r="DD67" i="6"/>
  <c r="DC67" i="6"/>
  <c r="DD66" i="6"/>
  <c r="DC66" i="6"/>
  <c r="DD65" i="6"/>
  <c r="DC65" i="6"/>
  <c r="DD64" i="6"/>
  <c r="DC64" i="6"/>
  <c r="DD63" i="6"/>
  <c r="DC63" i="6"/>
  <c r="DD62" i="6"/>
  <c r="DC62" i="6"/>
  <c r="DD61" i="6"/>
  <c r="DC61" i="6"/>
  <c r="DD60" i="6"/>
  <c r="DC60" i="6"/>
  <c r="DD59" i="6"/>
  <c r="DC59" i="6"/>
  <c r="DD58" i="6"/>
  <c r="DC58" i="6"/>
  <c r="DD57" i="6"/>
  <c r="DC57" i="6"/>
  <c r="DD56" i="6"/>
  <c r="DC56" i="6"/>
  <c r="DD55" i="6"/>
  <c r="DC55" i="6"/>
  <c r="DD54" i="6"/>
  <c r="DC54" i="6"/>
  <c r="DD53" i="6"/>
  <c r="DC53" i="6"/>
  <c r="DD52" i="6"/>
  <c r="DC52" i="6"/>
  <c r="DD51" i="6"/>
  <c r="DC51" i="6"/>
  <c r="DD50" i="6"/>
  <c r="DC50" i="6"/>
  <c r="DD49" i="6"/>
  <c r="DC49" i="6"/>
  <c r="DD48" i="6"/>
  <c r="DC48" i="6"/>
  <c r="DD47" i="6"/>
  <c r="DC47" i="6"/>
  <c r="DD46" i="6"/>
  <c r="DC46" i="6"/>
  <c r="DD45" i="6"/>
  <c r="DC45" i="6"/>
  <c r="DD44" i="6"/>
  <c r="DC44" i="6"/>
  <c r="DD43" i="6"/>
  <c r="DC43" i="6"/>
  <c r="DD42" i="6"/>
  <c r="DC42" i="6"/>
  <c r="DD41" i="6"/>
  <c r="DC41" i="6"/>
  <c r="DD40" i="6"/>
  <c r="DC40" i="6"/>
  <c r="DD39" i="6"/>
  <c r="DC39" i="6"/>
  <c r="DD38" i="6"/>
  <c r="DC38" i="6"/>
  <c r="DD37" i="6"/>
  <c r="DC37" i="6"/>
  <c r="DD36" i="6"/>
  <c r="DC36" i="6"/>
  <c r="DD35" i="6"/>
  <c r="DC35" i="6"/>
  <c r="DD34" i="6"/>
  <c r="DC34" i="6"/>
  <c r="DD33" i="6"/>
  <c r="DC33" i="6"/>
  <c r="DD32" i="6"/>
  <c r="DC32" i="6"/>
  <c r="DD31" i="6"/>
  <c r="DC31" i="6"/>
  <c r="DD30" i="6"/>
  <c r="DC30" i="6"/>
  <c r="DD29" i="6"/>
  <c r="DC29" i="6"/>
  <c r="DD28" i="6"/>
  <c r="DC28" i="6"/>
  <c r="DD27" i="6"/>
  <c r="DC27" i="6"/>
  <c r="DD26" i="6"/>
  <c r="DC26" i="6"/>
  <c r="DD25" i="6"/>
  <c r="DC25" i="6"/>
  <c r="DD24" i="6"/>
  <c r="DC24" i="6"/>
  <c r="DD23" i="6"/>
  <c r="DC23" i="6"/>
  <c r="DD22" i="6"/>
  <c r="DC22" i="6"/>
  <c r="DD21" i="6"/>
  <c r="DC21" i="6"/>
  <c r="DD20" i="6"/>
  <c r="DC20" i="6"/>
  <c r="DD19" i="6"/>
  <c r="DC19" i="6"/>
  <c r="DD18" i="6"/>
  <c r="DC18" i="6"/>
  <c r="DD17" i="6"/>
  <c r="DC17" i="6"/>
  <c r="DD16" i="6"/>
  <c r="DC16" i="6"/>
  <c r="DD15" i="6"/>
  <c r="DC15" i="6"/>
  <c r="DD14" i="6"/>
  <c r="DC14" i="6"/>
  <c r="DD13" i="6"/>
  <c r="DC13" i="6"/>
  <c r="DD12" i="6"/>
  <c r="DC12" i="6"/>
  <c r="DD11" i="6"/>
  <c r="DC11" i="6"/>
  <c r="DD10" i="6"/>
  <c r="DC10" i="6"/>
  <c r="DD9" i="6"/>
  <c r="DC9" i="6"/>
  <c r="DD8" i="6"/>
  <c r="DC8" i="6"/>
  <c r="DK500" i="6"/>
  <c r="DJ500" i="6"/>
  <c r="DK499" i="6"/>
  <c r="DJ499" i="6"/>
  <c r="DK498" i="6"/>
  <c r="DJ498" i="6"/>
  <c r="DK497" i="6"/>
  <c r="DJ497" i="6"/>
  <c r="DK496" i="6"/>
  <c r="DJ496" i="6"/>
  <c r="DK495" i="6"/>
  <c r="DJ495" i="6"/>
  <c r="DK494" i="6"/>
  <c r="DJ494" i="6"/>
  <c r="DK493" i="6"/>
  <c r="DJ493" i="6"/>
  <c r="DK492" i="6"/>
  <c r="DJ492" i="6"/>
  <c r="DK491" i="6"/>
  <c r="DJ491" i="6"/>
  <c r="DK490" i="6"/>
  <c r="DJ490" i="6"/>
  <c r="DK489" i="6"/>
  <c r="DJ489" i="6"/>
  <c r="DK488" i="6"/>
  <c r="DJ488" i="6"/>
  <c r="DK487" i="6"/>
  <c r="DJ487" i="6"/>
  <c r="DK486" i="6"/>
  <c r="DJ486" i="6"/>
  <c r="DK485" i="6"/>
  <c r="DJ485" i="6"/>
  <c r="DK484" i="6"/>
  <c r="DJ484" i="6"/>
  <c r="DK483" i="6"/>
  <c r="DJ483" i="6"/>
  <c r="DK482" i="6"/>
  <c r="DJ482" i="6"/>
  <c r="DK481" i="6"/>
  <c r="DJ481" i="6"/>
  <c r="DK480" i="6"/>
  <c r="DJ480" i="6"/>
  <c r="DK479" i="6"/>
  <c r="DJ479" i="6"/>
  <c r="DK478" i="6"/>
  <c r="DJ478" i="6"/>
  <c r="DK477" i="6"/>
  <c r="DJ477" i="6"/>
  <c r="DK476" i="6"/>
  <c r="DJ476" i="6"/>
  <c r="DK475" i="6"/>
  <c r="DJ475" i="6"/>
  <c r="DK474" i="6"/>
  <c r="DJ474" i="6"/>
  <c r="DK473" i="6"/>
  <c r="DJ473" i="6"/>
  <c r="DK472" i="6"/>
  <c r="DJ472" i="6"/>
  <c r="DK471" i="6"/>
  <c r="DJ471" i="6"/>
  <c r="DK470" i="6"/>
  <c r="DJ470" i="6"/>
  <c r="DK469" i="6"/>
  <c r="DJ469" i="6"/>
  <c r="DK468" i="6"/>
  <c r="DJ468" i="6"/>
  <c r="DK467" i="6"/>
  <c r="DJ467" i="6"/>
  <c r="DK466" i="6"/>
  <c r="DJ466" i="6"/>
  <c r="DK465" i="6"/>
  <c r="DJ465" i="6"/>
  <c r="DK464" i="6"/>
  <c r="DJ464" i="6"/>
  <c r="DK463" i="6"/>
  <c r="DJ463" i="6"/>
  <c r="DK462" i="6"/>
  <c r="DJ462" i="6"/>
  <c r="DK461" i="6"/>
  <c r="DJ461" i="6"/>
  <c r="DK460" i="6"/>
  <c r="DJ460" i="6"/>
  <c r="DK459" i="6"/>
  <c r="DJ459" i="6"/>
  <c r="DK458" i="6"/>
  <c r="DJ458" i="6"/>
  <c r="DK457" i="6"/>
  <c r="DJ457" i="6"/>
  <c r="DK456" i="6"/>
  <c r="DJ456" i="6"/>
  <c r="DK455" i="6"/>
  <c r="DJ455" i="6"/>
  <c r="DK454" i="6"/>
  <c r="DJ454" i="6"/>
  <c r="DK453" i="6"/>
  <c r="DJ453" i="6"/>
  <c r="DK452" i="6"/>
  <c r="DJ452" i="6"/>
  <c r="DK451" i="6"/>
  <c r="DJ451" i="6"/>
  <c r="DK450" i="6"/>
  <c r="DJ450" i="6"/>
  <c r="DK449" i="6"/>
  <c r="DJ449" i="6"/>
  <c r="DK448" i="6"/>
  <c r="DJ448" i="6"/>
  <c r="DK447" i="6"/>
  <c r="DJ447" i="6"/>
  <c r="DK446" i="6"/>
  <c r="DJ446" i="6"/>
  <c r="DK445" i="6"/>
  <c r="DJ445" i="6"/>
  <c r="DK444" i="6"/>
  <c r="DJ444" i="6"/>
  <c r="DK443" i="6"/>
  <c r="DJ443" i="6"/>
  <c r="DK442" i="6"/>
  <c r="DJ442" i="6"/>
  <c r="DK441" i="6"/>
  <c r="DJ441" i="6"/>
  <c r="DK440" i="6"/>
  <c r="DJ440" i="6"/>
  <c r="DK439" i="6"/>
  <c r="DJ439" i="6"/>
  <c r="DK438" i="6"/>
  <c r="DJ438" i="6"/>
  <c r="DK437" i="6"/>
  <c r="DJ437" i="6"/>
  <c r="DK436" i="6"/>
  <c r="DJ436" i="6"/>
  <c r="DK435" i="6"/>
  <c r="DJ435" i="6"/>
  <c r="DK434" i="6"/>
  <c r="DJ434" i="6"/>
  <c r="DK433" i="6"/>
  <c r="DJ433" i="6"/>
  <c r="DK432" i="6"/>
  <c r="DJ432" i="6"/>
  <c r="DK431" i="6"/>
  <c r="DJ431" i="6"/>
  <c r="DK430" i="6"/>
  <c r="DJ430" i="6"/>
  <c r="DK429" i="6"/>
  <c r="DJ429" i="6"/>
  <c r="DK428" i="6"/>
  <c r="DJ428" i="6"/>
  <c r="DK427" i="6"/>
  <c r="DJ427" i="6"/>
  <c r="DK426" i="6"/>
  <c r="DJ426" i="6"/>
  <c r="DK425" i="6"/>
  <c r="DJ425" i="6"/>
  <c r="DK424" i="6"/>
  <c r="DJ424" i="6"/>
  <c r="DK423" i="6"/>
  <c r="DJ423" i="6"/>
  <c r="DK422" i="6"/>
  <c r="DJ422" i="6"/>
  <c r="DK421" i="6"/>
  <c r="DJ421" i="6"/>
  <c r="DK420" i="6"/>
  <c r="DJ420" i="6"/>
  <c r="DK419" i="6"/>
  <c r="DJ419" i="6"/>
  <c r="DK418" i="6"/>
  <c r="DJ418" i="6"/>
  <c r="DK417" i="6"/>
  <c r="DJ417" i="6"/>
  <c r="DK416" i="6"/>
  <c r="DJ416" i="6"/>
  <c r="DK415" i="6"/>
  <c r="DJ415" i="6"/>
  <c r="DK414" i="6"/>
  <c r="DJ414" i="6"/>
  <c r="DK413" i="6"/>
  <c r="DJ413" i="6"/>
  <c r="DK412" i="6"/>
  <c r="DJ412" i="6"/>
  <c r="DK411" i="6"/>
  <c r="DJ411" i="6"/>
  <c r="DK410" i="6"/>
  <c r="DJ410" i="6"/>
  <c r="DK409" i="6"/>
  <c r="DJ409" i="6"/>
  <c r="DK408" i="6"/>
  <c r="DJ408" i="6"/>
  <c r="DK407" i="6"/>
  <c r="DJ407" i="6"/>
  <c r="DK406" i="6"/>
  <c r="DJ406" i="6"/>
  <c r="DK405" i="6"/>
  <c r="DJ405" i="6"/>
  <c r="DK404" i="6"/>
  <c r="DJ404" i="6"/>
  <c r="DK403" i="6"/>
  <c r="DJ403" i="6"/>
  <c r="DK402" i="6"/>
  <c r="DJ402" i="6"/>
  <c r="DK401" i="6"/>
  <c r="DJ401" i="6"/>
  <c r="DK400" i="6"/>
  <c r="DJ400" i="6"/>
  <c r="DK399" i="6"/>
  <c r="DJ399" i="6"/>
  <c r="DK398" i="6"/>
  <c r="DJ398" i="6"/>
  <c r="DK397" i="6"/>
  <c r="DJ397" i="6"/>
  <c r="DK396" i="6"/>
  <c r="DJ396" i="6"/>
  <c r="DK395" i="6"/>
  <c r="DJ395" i="6"/>
  <c r="DK394" i="6"/>
  <c r="DJ394" i="6"/>
  <c r="DK393" i="6"/>
  <c r="DJ393" i="6"/>
  <c r="DK392" i="6"/>
  <c r="DJ392" i="6"/>
  <c r="DK391" i="6"/>
  <c r="DJ391" i="6"/>
  <c r="DK390" i="6"/>
  <c r="DJ390" i="6"/>
  <c r="DK389" i="6"/>
  <c r="DJ389" i="6"/>
  <c r="DK388" i="6"/>
  <c r="DJ388" i="6"/>
  <c r="DK387" i="6"/>
  <c r="DJ387" i="6"/>
  <c r="DK386" i="6"/>
  <c r="DJ386" i="6"/>
  <c r="DK385" i="6"/>
  <c r="DJ385" i="6"/>
  <c r="DK384" i="6"/>
  <c r="DJ384" i="6"/>
  <c r="DK383" i="6"/>
  <c r="DJ383" i="6"/>
  <c r="DK382" i="6"/>
  <c r="DJ382" i="6"/>
  <c r="DK381" i="6"/>
  <c r="DJ381" i="6"/>
  <c r="DK380" i="6"/>
  <c r="DJ380" i="6"/>
  <c r="DK379" i="6"/>
  <c r="DJ379" i="6"/>
  <c r="DK378" i="6"/>
  <c r="DJ378" i="6"/>
  <c r="DK377" i="6"/>
  <c r="DJ377" i="6"/>
  <c r="DK376" i="6"/>
  <c r="DJ376" i="6"/>
  <c r="DK375" i="6"/>
  <c r="DJ375" i="6"/>
  <c r="DK374" i="6"/>
  <c r="DJ374" i="6"/>
  <c r="DK373" i="6"/>
  <c r="DJ373" i="6"/>
  <c r="DK372" i="6"/>
  <c r="DJ372" i="6"/>
  <c r="DK371" i="6"/>
  <c r="DJ371" i="6"/>
  <c r="DK370" i="6"/>
  <c r="DJ370" i="6"/>
  <c r="DK369" i="6"/>
  <c r="DJ369" i="6"/>
  <c r="DK368" i="6"/>
  <c r="DJ368" i="6"/>
  <c r="DK367" i="6"/>
  <c r="DJ367" i="6"/>
  <c r="DK366" i="6"/>
  <c r="DJ366" i="6"/>
  <c r="DK365" i="6"/>
  <c r="DJ365" i="6"/>
  <c r="DK364" i="6"/>
  <c r="DJ364" i="6"/>
  <c r="DK363" i="6"/>
  <c r="DJ363" i="6"/>
  <c r="DK362" i="6"/>
  <c r="DJ362" i="6"/>
  <c r="DK361" i="6"/>
  <c r="DJ361" i="6"/>
  <c r="DK360" i="6"/>
  <c r="DJ360" i="6"/>
  <c r="DK359" i="6"/>
  <c r="DJ359" i="6"/>
  <c r="DK358" i="6"/>
  <c r="DJ358" i="6"/>
  <c r="DK357" i="6"/>
  <c r="DJ357" i="6"/>
  <c r="DK356" i="6"/>
  <c r="DJ356" i="6"/>
  <c r="DK355" i="6"/>
  <c r="DJ355" i="6"/>
  <c r="DK354" i="6"/>
  <c r="DJ354" i="6"/>
  <c r="DK353" i="6"/>
  <c r="DJ353" i="6"/>
  <c r="DK352" i="6"/>
  <c r="DJ352" i="6"/>
  <c r="DK351" i="6"/>
  <c r="DJ351" i="6"/>
  <c r="DK350" i="6"/>
  <c r="DJ350" i="6"/>
  <c r="DK349" i="6"/>
  <c r="DJ349" i="6"/>
  <c r="DK348" i="6"/>
  <c r="DJ348" i="6"/>
  <c r="DK347" i="6"/>
  <c r="DJ347" i="6"/>
  <c r="DK346" i="6"/>
  <c r="DJ346" i="6"/>
  <c r="DK345" i="6"/>
  <c r="DJ345" i="6"/>
  <c r="DK344" i="6"/>
  <c r="DJ344" i="6"/>
  <c r="DK343" i="6"/>
  <c r="DJ343" i="6"/>
  <c r="DK342" i="6"/>
  <c r="DJ342" i="6"/>
  <c r="DK341" i="6"/>
  <c r="DJ341" i="6"/>
  <c r="DK340" i="6"/>
  <c r="DJ340" i="6"/>
  <c r="DK339" i="6"/>
  <c r="DJ339" i="6"/>
  <c r="DK338" i="6"/>
  <c r="DJ338" i="6"/>
  <c r="DK337" i="6"/>
  <c r="DJ337" i="6"/>
  <c r="DK336" i="6"/>
  <c r="DJ336" i="6"/>
  <c r="DK335" i="6"/>
  <c r="DJ335" i="6"/>
  <c r="DK334" i="6"/>
  <c r="DJ334" i="6"/>
  <c r="DK333" i="6"/>
  <c r="DJ333" i="6"/>
  <c r="DK332" i="6"/>
  <c r="DJ332" i="6"/>
  <c r="DK331" i="6"/>
  <c r="DJ331" i="6"/>
  <c r="DK330" i="6"/>
  <c r="DJ330" i="6"/>
  <c r="DK329" i="6"/>
  <c r="DJ329" i="6"/>
  <c r="DK328" i="6"/>
  <c r="DJ328" i="6"/>
  <c r="DK327" i="6"/>
  <c r="DJ327" i="6"/>
  <c r="DK326" i="6"/>
  <c r="DJ326" i="6"/>
  <c r="DK325" i="6"/>
  <c r="DJ325" i="6"/>
  <c r="DK324" i="6"/>
  <c r="DJ324" i="6"/>
  <c r="DK323" i="6"/>
  <c r="DJ323" i="6"/>
  <c r="DK322" i="6"/>
  <c r="DJ322" i="6"/>
  <c r="DK321" i="6"/>
  <c r="DJ321" i="6"/>
  <c r="DK320" i="6"/>
  <c r="DJ320" i="6"/>
  <c r="DK319" i="6"/>
  <c r="DJ319" i="6"/>
  <c r="DK318" i="6"/>
  <c r="DJ318" i="6"/>
  <c r="DK317" i="6"/>
  <c r="DJ317" i="6"/>
  <c r="DK316" i="6"/>
  <c r="DJ316" i="6"/>
  <c r="DK315" i="6"/>
  <c r="DJ315" i="6"/>
  <c r="DK314" i="6"/>
  <c r="DJ314" i="6"/>
  <c r="DK313" i="6"/>
  <c r="DJ313" i="6"/>
  <c r="DK312" i="6"/>
  <c r="DJ312" i="6"/>
  <c r="DK311" i="6"/>
  <c r="DJ311" i="6"/>
  <c r="DK310" i="6"/>
  <c r="DJ310" i="6"/>
  <c r="DK309" i="6"/>
  <c r="DJ309" i="6"/>
  <c r="DK308" i="6"/>
  <c r="DJ308" i="6"/>
  <c r="DK307" i="6"/>
  <c r="DJ307" i="6"/>
  <c r="DK306" i="6"/>
  <c r="DJ306" i="6"/>
  <c r="DK305" i="6"/>
  <c r="DJ305" i="6"/>
  <c r="DK304" i="6"/>
  <c r="DJ304" i="6"/>
  <c r="DK303" i="6"/>
  <c r="DJ303" i="6"/>
  <c r="DK302" i="6"/>
  <c r="DJ302" i="6"/>
  <c r="DK301" i="6"/>
  <c r="DJ301" i="6"/>
  <c r="DK300" i="6"/>
  <c r="DJ300" i="6"/>
  <c r="DK299" i="6"/>
  <c r="DJ299" i="6"/>
  <c r="DK298" i="6"/>
  <c r="DJ298" i="6"/>
  <c r="DK297" i="6"/>
  <c r="DJ297" i="6"/>
  <c r="DK296" i="6"/>
  <c r="DJ296" i="6"/>
  <c r="DK295" i="6"/>
  <c r="DJ295" i="6"/>
  <c r="DK294" i="6"/>
  <c r="DJ294" i="6"/>
  <c r="DK293" i="6"/>
  <c r="DJ293" i="6"/>
  <c r="DK292" i="6"/>
  <c r="DJ292" i="6"/>
  <c r="DK291" i="6"/>
  <c r="DJ291" i="6"/>
  <c r="DK290" i="6"/>
  <c r="DJ290" i="6"/>
  <c r="DK289" i="6"/>
  <c r="DJ289" i="6"/>
  <c r="DK288" i="6"/>
  <c r="DJ288" i="6"/>
  <c r="DK287" i="6"/>
  <c r="DJ287" i="6"/>
  <c r="DK286" i="6"/>
  <c r="DJ286" i="6"/>
  <c r="DK285" i="6"/>
  <c r="DJ285" i="6"/>
  <c r="DK284" i="6"/>
  <c r="DJ284" i="6"/>
  <c r="DK283" i="6"/>
  <c r="DJ283" i="6"/>
  <c r="DK282" i="6"/>
  <c r="DJ282" i="6"/>
  <c r="DK281" i="6"/>
  <c r="DJ281" i="6"/>
  <c r="DK280" i="6"/>
  <c r="DJ280" i="6"/>
  <c r="DK279" i="6"/>
  <c r="DJ279" i="6"/>
  <c r="DK278" i="6"/>
  <c r="DJ278" i="6"/>
  <c r="DK277" i="6"/>
  <c r="DJ277" i="6"/>
  <c r="DK276" i="6"/>
  <c r="DJ276" i="6"/>
  <c r="DK275" i="6"/>
  <c r="DJ275" i="6"/>
  <c r="DK274" i="6"/>
  <c r="DJ274" i="6"/>
  <c r="DK273" i="6"/>
  <c r="DJ273" i="6"/>
  <c r="DK272" i="6"/>
  <c r="DJ272" i="6"/>
  <c r="DK271" i="6"/>
  <c r="DJ271" i="6"/>
  <c r="DK270" i="6"/>
  <c r="DJ270" i="6"/>
  <c r="DK269" i="6"/>
  <c r="DJ269" i="6"/>
  <c r="DK268" i="6"/>
  <c r="DJ268" i="6"/>
  <c r="DK267" i="6"/>
  <c r="DJ267" i="6"/>
  <c r="DK266" i="6"/>
  <c r="DJ266" i="6"/>
  <c r="DK265" i="6"/>
  <c r="DJ265" i="6"/>
  <c r="DK264" i="6"/>
  <c r="DJ264" i="6"/>
  <c r="DK263" i="6"/>
  <c r="DJ263" i="6"/>
  <c r="DK262" i="6"/>
  <c r="DJ262" i="6"/>
  <c r="DK261" i="6"/>
  <c r="DJ261" i="6"/>
  <c r="DK260" i="6"/>
  <c r="DJ260" i="6"/>
  <c r="DK259" i="6"/>
  <c r="DJ259" i="6"/>
  <c r="DK258" i="6"/>
  <c r="DJ258" i="6"/>
  <c r="DK257" i="6"/>
  <c r="DJ257" i="6"/>
  <c r="DK256" i="6"/>
  <c r="DJ256" i="6"/>
  <c r="DK255" i="6"/>
  <c r="DJ255" i="6"/>
  <c r="DK254" i="6"/>
  <c r="DJ254" i="6"/>
  <c r="DK253" i="6"/>
  <c r="DJ253" i="6"/>
  <c r="DK252" i="6"/>
  <c r="DJ252" i="6"/>
  <c r="DK251" i="6"/>
  <c r="DJ251" i="6"/>
  <c r="DK250" i="6"/>
  <c r="DJ250" i="6"/>
  <c r="DK249" i="6"/>
  <c r="DJ249" i="6"/>
  <c r="DK248" i="6"/>
  <c r="DJ248" i="6"/>
  <c r="DK247" i="6"/>
  <c r="DJ247" i="6"/>
  <c r="DK246" i="6"/>
  <c r="DJ246" i="6"/>
  <c r="DK245" i="6"/>
  <c r="DJ245" i="6"/>
  <c r="DK244" i="6"/>
  <c r="DJ244" i="6"/>
  <c r="DK243" i="6"/>
  <c r="DJ243" i="6"/>
  <c r="DK242" i="6"/>
  <c r="DJ242" i="6"/>
  <c r="DK241" i="6"/>
  <c r="DJ241" i="6"/>
  <c r="DK240" i="6"/>
  <c r="DJ240" i="6"/>
  <c r="DK239" i="6"/>
  <c r="DJ239" i="6"/>
  <c r="DK238" i="6"/>
  <c r="DJ238" i="6"/>
  <c r="DK237" i="6"/>
  <c r="DJ237" i="6"/>
  <c r="DK236" i="6"/>
  <c r="DJ236" i="6"/>
  <c r="DK235" i="6"/>
  <c r="DJ235" i="6"/>
  <c r="DK234" i="6"/>
  <c r="DJ234" i="6"/>
  <c r="DK233" i="6"/>
  <c r="DJ233" i="6"/>
  <c r="DK232" i="6"/>
  <c r="DJ232" i="6"/>
  <c r="DK231" i="6"/>
  <c r="DJ231" i="6"/>
  <c r="DK230" i="6"/>
  <c r="DJ230" i="6"/>
  <c r="DK229" i="6"/>
  <c r="DJ229" i="6"/>
  <c r="DK228" i="6"/>
  <c r="DJ228" i="6"/>
  <c r="DK227" i="6"/>
  <c r="DJ227" i="6"/>
  <c r="DK226" i="6"/>
  <c r="DJ226" i="6"/>
  <c r="DK225" i="6"/>
  <c r="DJ225" i="6"/>
  <c r="DK224" i="6"/>
  <c r="DJ224" i="6"/>
  <c r="DK223" i="6"/>
  <c r="DJ223" i="6"/>
  <c r="DK222" i="6"/>
  <c r="DJ222" i="6"/>
  <c r="DK221" i="6"/>
  <c r="DJ221" i="6"/>
  <c r="DK220" i="6"/>
  <c r="DJ220" i="6"/>
  <c r="DK219" i="6"/>
  <c r="DJ219" i="6"/>
  <c r="DK218" i="6"/>
  <c r="DJ218" i="6"/>
  <c r="DK217" i="6"/>
  <c r="DJ217" i="6"/>
  <c r="DK216" i="6"/>
  <c r="DJ216" i="6"/>
  <c r="DK215" i="6"/>
  <c r="DJ215" i="6"/>
  <c r="DK214" i="6"/>
  <c r="DJ214" i="6"/>
  <c r="DK213" i="6"/>
  <c r="DJ213" i="6"/>
  <c r="DK212" i="6"/>
  <c r="DJ212" i="6"/>
  <c r="DK211" i="6"/>
  <c r="DJ211" i="6"/>
  <c r="DK210" i="6"/>
  <c r="DJ210" i="6"/>
  <c r="DK209" i="6"/>
  <c r="DJ209" i="6"/>
  <c r="DK208" i="6"/>
  <c r="DJ208" i="6"/>
  <c r="DK207" i="6"/>
  <c r="DJ207" i="6"/>
  <c r="DK206" i="6"/>
  <c r="DJ206" i="6"/>
  <c r="DK205" i="6"/>
  <c r="DJ205" i="6"/>
  <c r="DK204" i="6"/>
  <c r="DJ204" i="6"/>
  <c r="DK203" i="6"/>
  <c r="DJ203" i="6"/>
  <c r="DK202" i="6"/>
  <c r="DJ202" i="6"/>
  <c r="DK201" i="6"/>
  <c r="DJ201" i="6"/>
  <c r="DK200" i="6"/>
  <c r="DJ200" i="6"/>
  <c r="DK199" i="6"/>
  <c r="DJ199" i="6"/>
  <c r="DK198" i="6"/>
  <c r="DJ198" i="6"/>
  <c r="DK197" i="6"/>
  <c r="DJ197" i="6"/>
  <c r="DK196" i="6"/>
  <c r="DJ196" i="6"/>
  <c r="DK195" i="6"/>
  <c r="DJ195" i="6"/>
  <c r="DK194" i="6"/>
  <c r="DJ194" i="6"/>
  <c r="DK193" i="6"/>
  <c r="DJ193" i="6"/>
  <c r="DK192" i="6"/>
  <c r="DJ192" i="6"/>
  <c r="DK191" i="6"/>
  <c r="DJ191" i="6"/>
  <c r="DK190" i="6"/>
  <c r="DJ190" i="6"/>
  <c r="DK189" i="6"/>
  <c r="DJ189" i="6"/>
  <c r="DK188" i="6"/>
  <c r="DJ188" i="6"/>
  <c r="DK187" i="6"/>
  <c r="DJ187" i="6"/>
  <c r="DK186" i="6"/>
  <c r="DJ186" i="6"/>
  <c r="DK185" i="6"/>
  <c r="DJ185" i="6"/>
  <c r="DK184" i="6"/>
  <c r="DJ184" i="6"/>
  <c r="DK183" i="6"/>
  <c r="DJ183" i="6"/>
  <c r="DK182" i="6"/>
  <c r="DJ182" i="6"/>
  <c r="DK181" i="6"/>
  <c r="DJ181" i="6"/>
  <c r="DK180" i="6"/>
  <c r="DJ180" i="6"/>
  <c r="DK179" i="6"/>
  <c r="DJ179" i="6"/>
  <c r="DK178" i="6"/>
  <c r="DJ178" i="6"/>
  <c r="DK177" i="6"/>
  <c r="DJ177" i="6"/>
  <c r="DK176" i="6"/>
  <c r="DJ176" i="6"/>
  <c r="DK175" i="6"/>
  <c r="DJ175" i="6"/>
  <c r="DK174" i="6"/>
  <c r="DJ174" i="6"/>
  <c r="DK173" i="6"/>
  <c r="DJ173" i="6"/>
  <c r="DK172" i="6"/>
  <c r="DJ172" i="6"/>
  <c r="DK171" i="6"/>
  <c r="DJ171" i="6"/>
  <c r="DK170" i="6"/>
  <c r="DJ170" i="6"/>
  <c r="DK169" i="6"/>
  <c r="DJ169" i="6"/>
  <c r="DK168" i="6"/>
  <c r="DJ168" i="6"/>
  <c r="DK167" i="6"/>
  <c r="DJ167" i="6"/>
  <c r="DK166" i="6"/>
  <c r="DJ166" i="6"/>
  <c r="DK165" i="6"/>
  <c r="DJ165" i="6"/>
  <c r="DK164" i="6"/>
  <c r="DJ164" i="6"/>
  <c r="DK163" i="6"/>
  <c r="DJ163" i="6"/>
  <c r="DK162" i="6"/>
  <c r="DJ162" i="6"/>
  <c r="DK161" i="6"/>
  <c r="DJ161" i="6"/>
  <c r="DK160" i="6"/>
  <c r="DJ160" i="6"/>
  <c r="DK159" i="6"/>
  <c r="DJ159" i="6"/>
  <c r="DK158" i="6"/>
  <c r="DJ158" i="6"/>
  <c r="DK157" i="6"/>
  <c r="DJ157" i="6"/>
  <c r="DK156" i="6"/>
  <c r="DJ156" i="6"/>
  <c r="DK155" i="6"/>
  <c r="DJ155" i="6"/>
  <c r="DK154" i="6"/>
  <c r="DJ154" i="6"/>
  <c r="DK153" i="6"/>
  <c r="DJ153" i="6"/>
  <c r="DK152" i="6"/>
  <c r="DJ152" i="6"/>
  <c r="DK151" i="6"/>
  <c r="DJ151" i="6"/>
  <c r="DK150" i="6"/>
  <c r="DJ150" i="6"/>
  <c r="DK149" i="6"/>
  <c r="DJ149" i="6"/>
  <c r="DK148" i="6"/>
  <c r="DJ148" i="6"/>
  <c r="DK147" i="6"/>
  <c r="DJ147" i="6"/>
  <c r="DK146" i="6"/>
  <c r="DJ146" i="6"/>
  <c r="DK145" i="6"/>
  <c r="DJ145" i="6"/>
  <c r="DK144" i="6"/>
  <c r="DJ144" i="6"/>
  <c r="DK143" i="6"/>
  <c r="DJ143" i="6"/>
  <c r="DK142" i="6"/>
  <c r="DJ142" i="6"/>
  <c r="DK141" i="6"/>
  <c r="DJ141" i="6"/>
  <c r="DK140" i="6"/>
  <c r="DJ140" i="6"/>
  <c r="DK139" i="6"/>
  <c r="DJ139" i="6"/>
  <c r="DK138" i="6"/>
  <c r="DJ138" i="6"/>
  <c r="DK137" i="6"/>
  <c r="DJ137" i="6"/>
  <c r="DK136" i="6"/>
  <c r="DJ136" i="6"/>
  <c r="DK135" i="6"/>
  <c r="DJ135" i="6"/>
  <c r="DK134" i="6"/>
  <c r="DJ134" i="6"/>
  <c r="DK133" i="6"/>
  <c r="DJ133" i="6"/>
  <c r="DK132" i="6"/>
  <c r="DJ132" i="6"/>
  <c r="DK131" i="6"/>
  <c r="DJ131" i="6"/>
  <c r="DK130" i="6"/>
  <c r="DJ130" i="6"/>
  <c r="DK129" i="6"/>
  <c r="DJ129" i="6"/>
  <c r="DK128" i="6"/>
  <c r="DJ128" i="6"/>
  <c r="DK127" i="6"/>
  <c r="DJ127" i="6"/>
  <c r="DK126" i="6"/>
  <c r="DJ126" i="6"/>
  <c r="DK125" i="6"/>
  <c r="DJ125" i="6"/>
  <c r="DK124" i="6"/>
  <c r="DJ124" i="6"/>
  <c r="DK123" i="6"/>
  <c r="DJ123" i="6"/>
  <c r="DK122" i="6"/>
  <c r="DJ122" i="6"/>
  <c r="DK121" i="6"/>
  <c r="DJ121" i="6"/>
  <c r="DK120" i="6"/>
  <c r="DJ120" i="6"/>
  <c r="DK119" i="6"/>
  <c r="DJ119" i="6"/>
  <c r="DK118" i="6"/>
  <c r="DJ118" i="6"/>
  <c r="DK117" i="6"/>
  <c r="DJ117" i="6"/>
  <c r="DK116" i="6"/>
  <c r="DJ116" i="6"/>
  <c r="DK115" i="6"/>
  <c r="DJ115" i="6"/>
  <c r="DK114" i="6"/>
  <c r="DJ114" i="6"/>
  <c r="DK113" i="6"/>
  <c r="DJ113" i="6"/>
  <c r="DK112" i="6"/>
  <c r="DJ112" i="6"/>
  <c r="DK111" i="6"/>
  <c r="DJ111" i="6"/>
  <c r="DK110" i="6"/>
  <c r="DJ110" i="6"/>
  <c r="DK109" i="6"/>
  <c r="DJ109" i="6"/>
  <c r="DK108" i="6"/>
  <c r="DJ108" i="6"/>
  <c r="DK107" i="6"/>
  <c r="DJ107" i="6"/>
  <c r="DK106" i="6"/>
  <c r="DJ106" i="6"/>
  <c r="DK105" i="6"/>
  <c r="DJ105" i="6"/>
  <c r="DK104" i="6"/>
  <c r="DJ104" i="6"/>
  <c r="DK103" i="6"/>
  <c r="DJ103" i="6"/>
  <c r="DK102" i="6"/>
  <c r="DJ102" i="6"/>
  <c r="DK101" i="6"/>
  <c r="DJ101" i="6"/>
  <c r="DK100" i="6"/>
  <c r="DJ100" i="6"/>
  <c r="DK99" i="6"/>
  <c r="DJ99" i="6"/>
  <c r="DK98" i="6"/>
  <c r="DJ98" i="6"/>
  <c r="DK97" i="6"/>
  <c r="DJ97" i="6"/>
  <c r="DK96" i="6"/>
  <c r="DJ96" i="6"/>
  <c r="DK95" i="6"/>
  <c r="DJ95" i="6"/>
  <c r="DK94" i="6"/>
  <c r="DJ94" i="6"/>
  <c r="DK93" i="6"/>
  <c r="DJ93" i="6"/>
  <c r="DK92" i="6"/>
  <c r="DJ92" i="6"/>
  <c r="DK91" i="6"/>
  <c r="DJ91" i="6"/>
  <c r="DK90" i="6"/>
  <c r="DJ90" i="6"/>
  <c r="DK89" i="6"/>
  <c r="DJ89" i="6"/>
  <c r="DK88" i="6"/>
  <c r="DJ88" i="6"/>
  <c r="DK87" i="6"/>
  <c r="DJ87" i="6"/>
  <c r="DK86" i="6"/>
  <c r="DJ86" i="6"/>
  <c r="DK85" i="6"/>
  <c r="DJ85" i="6"/>
  <c r="DK84" i="6"/>
  <c r="DJ84" i="6"/>
  <c r="DK83" i="6"/>
  <c r="DJ83" i="6"/>
  <c r="DK82" i="6"/>
  <c r="DJ82" i="6"/>
  <c r="DK81" i="6"/>
  <c r="DJ81" i="6"/>
  <c r="DK80" i="6"/>
  <c r="DJ80" i="6"/>
  <c r="DK79" i="6"/>
  <c r="DJ79" i="6"/>
  <c r="DK78" i="6"/>
  <c r="DJ78" i="6"/>
  <c r="DK77" i="6"/>
  <c r="DJ77" i="6"/>
  <c r="DK76" i="6"/>
  <c r="DJ76" i="6"/>
  <c r="DK75" i="6"/>
  <c r="DJ75" i="6"/>
  <c r="DK74" i="6"/>
  <c r="DJ74" i="6"/>
  <c r="DK73" i="6"/>
  <c r="DJ73" i="6"/>
  <c r="DK72" i="6"/>
  <c r="DJ72" i="6"/>
  <c r="DK71" i="6"/>
  <c r="DJ71" i="6"/>
  <c r="DK70" i="6"/>
  <c r="DJ70" i="6"/>
  <c r="DK69" i="6"/>
  <c r="DJ69" i="6"/>
  <c r="DK68" i="6"/>
  <c r="DJ68" i="6"/>
  <c r="DK67" i="6"/>
  <c r="DJ67" i="6"/>
  <c r="DK66" i="6"/>
  <c r="DJ66" i="6"/>
  <c r="DK65" i="6"/>
  <c r="DJ65" i="6"/>
  <c r="DK64" i="6"/>
  <c r="DJ64" i="6"/>
  <c r="DK63" i="6"/>
  <c r="DJ63" i="6"/>
  <c r="DK62" i="6"/>
  <c r="DJ62" i="6"/>
  <c r="DK61" i="6"/>
  <c r="DJ61" i="6"/>
  <c r="DK60" i="6"/>
  <c r="DJ60" i="6"/>
  <c r="DK59" i="6"/>
  <c r="DJ59" i="6"/>
  <c r="DK58" i="6"/>
  <c r="DJ58" i="6"/>
  <c r="DK57" i="6"/>
  <c r="DJ57" i="6"/>
  <c r="DK56" i="6"/>
  <c r="DJ56" i="6"/>
  <c r="DK55" i="6"/>
  <c r="DJ55" i="6"/>
  <c r="DK54" i="6"/>
  <c r="DJ54" i="6"/>
  <c r="DK53" i="6"/>
  <c r="DJ53" i="6"/>
  <c r="DK52" i="6"/>
  <c r="DJ52" i="6"/>
  <c r="DK51" i="6"/>
  <c r="DJ51" i="6"/>
  <c r="DK50" i="6"/>
  <c r="DJ50" i="6"/>
  <c r="DK49" i="6"/>
  <c r="DJ49" i="6"/>
  <c r="DK48" i="6"/>
  <c r="DJ48" i="6"/>
  <c r="DK47" i="6"/>
  <c r="DJ47" i="6"/>
  <c r="DK46" i="6"/>
  <c r="DJ46" i="6"/>
  <c r="DK45" i="6"/>
  <c r="DJ45" i="6"/>
  <c r="DK44" i="6"/>
  <c r="DJ44" i="6"/>
  <c r="DK43" i="6"/>
  <c r="DJ43" i="6"/>
  <c r="DK42" i="6"/>
  <c r="DJ42" i="6"/>
  <c r="DK41" i="6"/>
  <c r="DJ41" i="6"/>
  <c r="DK40" i="6"/>
  <c r="DJ40" i="6"/>
  <c r="DK39" i="6"/>
  <c r="DJ39" i="6"/>
  <c r="DK38" i="6"/>
  <c r="DJ38" i="6"/>
  <c r="DK37" i="6"/>
  <c r="DJ37" i="6"/>
  <c r="DK36" i="6"/>
  <c r="DJ36" i="6"/>
  <c r="DK35" i="6"/>
  <c r="DJ35" i="6"/>
  <c r="DK34" i="6"/>
  <c r="DJ34" i="6"/>
  <c r="DK33" i="6"/>
  <c r="DJ33" i="6"/>
  <c r="DK32" i="6"/>
  <c r="DJ32" i="6"/>
  <c r="DK31" i="6"/>
  <c r="DJ31" i="6"/>
  <c r="DK30" i="6"/>
  <c r="DJ30" i="6"/>
  <c r="DK29" i="6"/>
  <c r="DJ29" i="6"/>
  <c r="DK28" i="6"/>
  <c r="DJ28" i="6"/>
  <c r="DK27" i="6"/>
  <c r="DJ27" i="6"/>
  <c r="DK26" i="6"/>
  <c r="DJ26" i="6"/>
  <c r="DK25" i="6"/>
  <c r="DJ25" i="6"/>
  <c r="DK24" i="6"/>
  <c r="DJ24" i="6"/>
  <c r="DK23" i="6"/>
  <c r="DJ23" i="6"/>
  <c r="DK22" i="6"/>
  <c r="DJ22" i="6"/>
  <c r="DK21" i="6"/>
  <c r="DJ21" i="6"/>
  <c r="DK20" i="6"/>
  <c r="DJ20" i="6"/>
  <c r="DK19" i="6"/>
  <c r="DJ19" i="6"/>
  <c r="DK18" i="6"/>
  <c r="DJ18" i="6"/>
  <c r="DK17" i="6"/>
  <c r="DJ17" i="6"/>
  <c r="DK16" i="6"/>
  <c r="DJ16" i="6"/>
  <c r="DK15" i="6"/>
  <c r="DJ15" i="6"/>
  <c r="DK14" i="6"/>
  <c r="DJ14" i="6"/>
  <c r="DK13" i="6"/>
  <c r="DJ13" i="6"/>
  <c r="DK12" i="6"/>
  <c r="DJ12" i="6"/>
  <c r="DK11" i="6"/>
  <c r="DJ11" i="6"/>
  <c r="DK10" i="6"/>
  <c r="DJ10" i="6"/>
  <c r="DK9" i="6"/>
  <c r="DJ9" i="6"/>
  <c r="DK8" i="6"/>
  <c r="DJ8" i="6"/>
  <c r="DR500" i="6"/>
  <c r="DQ500" i="6"/>
  <c r="DR499" i="6"/>
  <c r="DQ499" i="6"/>
  <c r="DR498" i="6"/>
  <c r="DQ498" i="6"/>
  <c r="DR497" i="6"/>
  <c r="DQ497" i="6"/>
  <c r="DR496" i="6"/>
  <c r="DQ496" i="6"/>
  <c r="DR495" i="6"/>
  <c r="DQ495" i="6"/>
  <c r="DR494" i="6"/>
  <c r="DQ494" i="6"/>
  <c r="DR493" i="6"/>
  <c r="DQ493" i="6"/>
  <c r="DR492" i="6"/>
  <c r="DQ492" i="6"/>
  <c r="DR491" i="6"/>
  <c r="DQ491" i="6"/>
  <c r="DR490" i="6"/>
  <c r="DQ490" i="6"/>
  <c r="DR489" i="6"/>
  <c r="DQ489" i="6"/>
  <c r="DR488" i="6"/>
  <c r="DQ488" i="6"/>
  <c r="DR487" i="6"/>
  <c r="DQ487" i="6"/>
  <c r="DR486" i="6"/>
  <c r="DQ486" i="6"/>
  <c r="DR485" i="6"/>
  <c r="DQ485" i="6"/>
  <c r="DR484" i="6"/>
  <c r="DQ484" i="6"/>
  <c r="DR483" i="6"/>
  <c r="DQ483" i="6"/>
  <c r="DR482" i="6"/>
  <c r="DQ482" i="6"/>
  <c r="DR481" i="6"/>
  <c r="DQ481" i="6"/>
  <c r="DR480" i="6"/>
  <c r="DQ480" i="6"/>
  <c r="DR479" i="6"/>
  <c r="DQ479" i="6"/>
  <c r="DR478" i="6"/>
  <c r="DQ478" i="6"/>
  <c r="DR477" i="6"/>
  <c r="DQ477" i="6"/>
  <c r="DR476" i="6"/>
  <c r="DQ476" i="6"/>
  <c r="DR475" i="6"/>
  <c r="DQ475" i="6"/>
  <c r="DR474" i="6"/>
  <c r="DQ474" i="6"/>
  <c r="DR473" i="6"/>
  <c r="DQ473" i="6"/>
  <c r="DR472" i="6"/>
  <c r="DQ472" i="6"/>
  <c r="DR471" i="6"/>
  <c r="DQ471" i="6"/>
  <c r="DR470" i="6"/>
  <c r="DQ470" i="6"/>
  <c r="DR469" i="6"/>
  <c r="DQ469" i="6"/>
  <c r="DR468" i="6"/>
  <c r="DQ468" i="6"/>
  <c r="DR467" i="6"/>
  <c r="DQ467" i="6"/>
  <c r="DR466" i="6"/>
  <c r="DQ466" i="6"/>
  <c r="DR465" i="6"/>
  <c r="DQ465" i="6"/>
  <c r="DR464" i="6"/>
  <c r="DQ464" i="6"/>
  <c r="DR463" i="6"/>
  <c r="DQ463" i="6"/>
  <c r="DR462" i="6"/>
  <c r="DQ462" i="6"/>
  <c r="DR461" i="6"/>
  <c r="DQ461" i="6"/>
  <c r="DR460" i="6"/>
  <c r="DQ460" i="6"/>
  <c r="DR459" i="6"/>
  <c r="DQ459" i="6"/>
  <c r="DR458" i="6"/>
  <c r="DQ458" i="6"/>
  <c r="DR457" i="6"/>
  <c r="DQ457" i="6"/>
  <c r="DR456" i="6"/>
  <c r="DQ456" i="6"/>
  <c r="DR455" i="6"/>
  <c r="DQ455" i="6"/>
  <c r="DR454" i="6"/>
  <c r="DQ454" i="6"/>
  <c r="DR453" i="6"/>
  <c r="DQ453" i="6"/>
  <c r="DR452" i="6"/>
  <c r="DQ452" i="6"/>
  <c r="DR451" i="6"/>
  <c r="DQ451" i="6"/>
  <c r="DR450" i="6"/>
  <c r="DQ450" i="6"/>
  <c r="DR449" i="6"/>
  <c r="DQ449" i="6"/>
  <c r="DR448" i="6"/>
  <c r="DQ448" i="6"/>
  <c r="DR447" i="6"/>
  <c r="DQ447" i="6"/>
  <c r="DR446" i="6"/>
  <c r="DQ446" i="6"/>
  <c r="DR445" i="6"/>
  <c r="DQ445" i="6"/>
  <c r="DR444" i="6"/>
  <c r="DQ444" i="6"/>
  <c r="DR443" i="6"/>
  <c r="DQ443" i="6"/>
  <c r="DR442" i="6"/>
  <c r="DQ442" i="6"/>
  <c r="DR441" i="6"/>
  <c r="DQ441" i="6"/>
  <c r="DR440" i="6"/>
  <c r="DQ440" i="6"/>
  <c r="DR439" i="6"/>
  <c r="DQ439" i="6"/>
  <c r="DR438" i="6"/>
  <c r="DQ438" i="6"/>
  <c r="DR437" i="6"/>
  <c r="DQ437" i="6"/>
  <c r="DR436" i="6"/>
  <c r="DQ436" i="6"/>
  <c r="DR435" i="6"/>
  <c r="DQ435" i="6"/>
  <c r="DR434" i="6"/>
  <c r="DQ434" i="6"/>
  <c r="DR433" i="6"/>
  <c r="DQ433" i="6"/>
  <c r="DR432" i="6"/>
  <c r="DQ432" i="6"/>
  <c r="DR431" i="6"/>
  <c r="DQ431" i="6"/>
  <c r="DR430" i="6"/>
  <c r="DQ430" i="6"/>
  <c r="DR429" i="6"/>
  <c r="DQ429" i="6"/>
  <c r="DR428" i="6"/>
  <c r="DQ428" i="6"/>
  <c r="DR427" i="6"/>
  <c r="DQ427" i="6"/>
  <c r="DR426" i="6"/>
  <c r="DQ426" i="6"/>
  <c r="DR425" i="6"/>
  <c r="DQ425" i="6"/>
  <c r="DR424" i="6"/>
  <c r="DQ424" i="6"/>
  <c r="DR423" i="6"/>
  <c r="DQ423" i="6"/>
  <c r="DR422" i="6"/>
  <c r="DQ422" i="6"/>
  <c r="DR421" i="6"/>
  <c r="DQ421" i="6"/>
  <c r="DR420" i="6"/>
  <c r="DQ420" i="6"/>
  <c r="DR419" i="6"/>
  <c r="DQ419" i="6"/>
  <c r="DR418" i="6"/>
  <c r="DQ418" i="6"/>
  <c r="DR417" i="6"/>
  <c r="DQ417" i="6"/>
  <c r="DR416" i="6"/>
  <c r="DQ416" i="6"/>
  <c r="DR415" i="6"/>
  <c r="DQ415" i="6"/>
  <c r="DR414" i="6"/>
  <c r="DQ414" i="6"/>
  <c r="DR413" i="6"/>
  <c r="DQ413" i="6"/>
  <c r="DR412" i="6"/>
  <c r="DQ412" i="6"/>
  <c r="DR411" i="6"/>
  <c r="DQ411" i="6"/>
  <c r="DR410" i="6"/>
  <c r="DQ410" i="6"/>
  <c r="DR409" i="6"/>
  <c r="DQ409" i="6"/>
  <c r="DR408" i="6"/>
  <c r="DQ408" i="6"/>
  <c r="DR407" i="6"/>
  <c r="DQ407" i="6"/>
  <c r="DR406" i="6"/>
  <c r="DQ406" i="6"/>
  <c r="DR405" i="6"/>
  <c r="DQ405" i="6"/>
  <c r="DR404" i="6"/>
  <c r="DQ404" i="6"/>
  <c r="DR403" i="6"/>
  <c r="DQ403" i="6"/>
  <c r="DR402" i="6"/>
  <c r="DQ402" i="6"/>
  <c r="DR401" i="6"/>
  <c r="DQ401" i="6"/>
  <c r="DR400" i="6"/>
  <c r="DQ400" i="6"/>
  <c r="DR399" i="6"/>
  <c r="DQ399" i="6"/>
  <c r="DR398" i="6"/>
  <c r="DQ398" i="6"/>
  <c r="DR397" i="6"/>
  <c r="DQ397" i="6"/>
  <c r="DR396" i="6"/>
  <c r="DQ396" i="6"/>
  <c r="DR395" i="6"/>
  <c r="DQ395" i="6"/>
  <c r="DR394" i="6"/>
  <c r="DQ394" i="6"/>
  <c r="DR393" i="6"/>
  <c r="DQ393" i="6"/>
  <c r="DR392" i="6"/>
  <c r="DQ392" i="6"/>
  <c r="DR391" i="6"/>
  <c r="DQ391" i="6"/>
  <c r="DR390" i="6"/>
  <c r="DQ390" i="6"/>
  <c r="DR389" i="6"/>
  <c r="DQ389" i="6"/>
  <c r="DR388" i="6"/>
  <c r="DQ388" i="6"/>
  <c r="DR387" i="6"/>
  <c r="DQ387" i="6"/>
  <c r="DR386" i="6"/>
  <c r="DQ386" i="6"/>
  <c r="DR385" i="6"/>
  <c r="DQ385" i="6"/>
  <c r="DR384" i="6"/>
  <c r="DQ384" i="6"/>
  <c r="DR383" i="6"/>
  <c r="DQ383" i="6"/>
  <c r="DR382" i="6"/>
  <c r="DQ382" i="6"/>
  <c r="DR381" i="6"/>
  <c r="DQ381" i="6"/>
  <c r="DR380" i="6"/>
  <c r="DQ380" i="6"/>
  <c r="DR379" i="6"/>
  <c r="DQ379" i="6"/>
  <c r="DR378" i="6"/>
  <c r="DQ378" i="6"/>
  <c r="DR377" i="6"/>
  <c r="DQ377" i="6"/>
  <c r="DR376" i="6"/>
  <c r="DQ376" i="6"/>
  <c r="DR375" i="6"/>
  <c r="DQ375" i="6"/>
  <c r="DR374" i="6"/>
  <c r="DQ374" i="6"/>
  <c r="DR373" i="6"/>
  <c r="DQ373" i="6"/>
  <c r="DR372" i="6"/>
  <c r="DQ372" i="6"/>
  <c r="DR371" i="6"/>
  <c r="DQ371" i="6"/>
  <c r="DR370" i="6"/>
  <c r="DQ370" i="6"/>
  <c r="DR369" i="6"/>
  <c r="DQ369" i="6"/>
  <c r="DR368" i="6"/>
  <c r="DQ368" i="6"/>
  <c r="DR367" i="6"/>
  <c r="DQ367" i="6"/>
  <c r="DR366" i="6"/>
  <c r="DQ366" i="6"/>
  <c r="DR365" i="6"/>
  <c r="DQ365" i="6"/>
  <c r="DR364" i="6"/>
  <c r="DQ364" i="6"/>
  <c r="DR363" i="6"/>
  <c r="DQ363" i="6"/>
  <c r="DR362" i="6"/>
  <c r="DQ362" i="6"/>
  <c r="DR361" i="6"/>
  <c r="DQ361" i="6"/>
  <c r="DR360" i="6"/>
  <c r="DQ360" i="6"/>
  <c r="DR359" i="6"/>
  <c r="DQ359" i="6"/>
  <c r="DR358" i="6"/>
  <c r="DQ358" i="6"/>
  <c r="DR357" i="6"/>
  <c r="DQ357" i="6"/>
  <c r="DR356" i="6"/>
  <c r="DQ356" i="6"/>
  <c r="DR355" i="6"/>
  <c r="DQ355" i="6"/>
  <c r="DR354" i="6"/>
  <c r="DQ354" i="6"/>
  <c r="DR353" i="6"/>
  <c r="DQ353" i="6"/>
  <c r="DR352" i="6"/>
  <c r="DQ352" i="6"/>
  <c r="DR351" i="6"/>
  <c r="DQ351" i="6"/>
  <c r="DR350" i="6"/>
  <c r="DQ350" i="6"/>
  <c r="DR349" i="6"/>
  <c r="DQ349" i="6"/>
  <c r="DR348" i="6"/>
  <c r="DQ348" i="6"/>
  <c r="DR347" i="6"/>
  <c r="DQ347" i="6"/>
  <c r="DR346" i="6"/>
  <c r="DQ346" i="6"/>
  <c r="DR345" i="6"/>
  <c r="DQ345" i="6"/>
  <c r="DR344" i="6"/>
  <c r="DQ344" i="6"/>
  <c r="DR343" i="6"/>
  <c r="DQ343" i="6"/>
  <c r="DR342" i="6"/>
  <c r="DQ342" i="6"/>
  <c r="DR341" i="6"/>
  <c r="DQ341" i="6"/>
  <c r="DR340" i="6"/>
  <c r="DQ340" i="6"/>
  <c r="DR339" i="6"/>
  <c r="DQ339" i="6"/>
  <c r="DR338" i="6"/>
  <c r="DQ338" i="6"/>
  <c r="DR337" i="6"/>
  <c r="DQ337" i="6"/>
  <c r="DR336" i="6"/>
  <c r="DQ336" i="6"/>
  <c r="DR335" i="6"/>
  <c r="DQ335" i="6"/>
  <c r="DR334" i="6"/>
  <c r="DQ334" i="6"/>
  <c r="DR333" i="6"/>
  <c r="DQ333" i="6"/>
  <c r="DR332" i="6"/>
  <c r="DQ332" i="6"/>
  <c r="DR331" i="6"/>
  <c r="DQ331" i="6"/>
  <c r="DR330" i="6"/>
  <c r="DQ330" i="6"/>
  <c r="DR329" i="6"/>
  <c r="DQ329" i="6"/>
  <c r="DR328" i="6"/>
  <c r="DQ328" i="6"/>
  <c r="DR327" i="6"/>
  <c r="DQ327" i="6"/>
  <c r="DR326" i="6"/>
  <c r="DQ326" i="6"/>
  <c r="DR325" i="6"/>
  <c r="DQ325" i="6"/>
  <c r="DR324" i="6"/>
  <c r="DQ324" i="6"/>
  <c r="DR323" i="6"/>
  <c r="DQ323" i="6"/>
  <c r="DR322" i="6"/>
  <c r="DQ322" i="6"/>
  <c r="DR321" i="6"/>
  <c r="DQ321" i="6"/>
  <c r="DR320" i="6"/>
  <c r="DQ320" i="6"/>
  <c r="DR319" i="6"/>
  <c r="DQ319" i="6"/>
  <c r="DR318" i="6"/>
  <c r="DQ318" i="6"/>
  <c r="DR317" i="6"/>
  <c r="DQ317" i="6"/>
  <c r="DR316" i="6"/>
  <c r="DQ316" i="6"/>
  <c r="DR315" i="6"/>
  <c r="DQ315" i="6"/>
  <c r="DR314" i="6"/>
  <c r="DQ314" i="6"/>
  <c r="DR313" i="6"/>
  <c r="DQ313" i="6"/>
  <c r="DR312" i="6"/>
  <c r="DQ312" i="6"/>
  <c r="DR311" i="6"/>
  <c r="DQ311" i="6"/>
  <c r="DR310" i="6"/>
  <c r="DQ310" i="6"/>
  <c r="DR309" i="6"/>
  <c r="DQ309" i="6"/>
  <c r="DR308" i="6"/>
  <c r="DQ308" i="6"/>
  <c r="DR307" i="6"/>
  <c r="DQ307" i="6"/>
  <c r="DR306" i="6"/>
  <c r="DQ306" i="6"/>
  <c r="DR305" i="6"/>
  <c r="DQ305" i="6"/>
  <c r="DR304" i="6"/>
  <c r="DQ304" i="6"/>
  <c r="DR303" i="6"/>
  <c r="DQ303" i="6"/>
  <c r="DR302" i="6"/>
  <c r="DQ302" i="6"/>
  <c r="DR301" i="6"/>
  <c r="DQ301" i="6"/>
  <c r="DR300" i="6"/>
  <c r="DQ300" i="6"/>
  <c r="DR299" i="6"/>
  <c r="DQ299" i="6"/>
  <c r="DR298" i="6"/>
  <c r="DQ298" i="6"/>
  <c r="DR297" i="6"/>
  <c r="DQ297" i="6"/>
  <c r="DR296" i="6"/>
  <c r="DQ296" i="6"/>
  <c r="DR295" i="6"/>
  <c r="DQ295" i="6"/>
  <c r="DR294" i="6"/>
  <c r="DQ294" i="6"/>
  <c r="DR293" i="6"/>
  <c r="DQ293" i="6"/>
  <c r="DR292" i="6"/>
  <c r="DQ292" i="6"/>
  <c r="DR291" i="6"/>
  <c r="DQ291" i="6"/>
  <c r="DR290" i="6"/>
  <c r="DQ290" i="6"/>
  <c r="DR289" i="6"/>
  <c r="DQ289" i="6"/>
  <c r="DR288" i="6"/>
  <c r="DQ288" i="6"/>
  <c r="DR287" i="6"/>
  <c r="DQ287" i="6"/>
  <c r="DR286" i="6"/>
  <c r="DQ286" i="6"/>
  <c r="DR285" i="6"/>
  <c r="DQ285" i="6"/>
  <c r="DR284" i="6"/>
  <c r="DQ284" i="6"/>
  <c r="DR283" i="6"/>
  <c r="DQ283" i="6"/>
  <c r="DR282" i="6"/>
  <c r="DQ282" i="6"/>
  <c r="DR281" i="6"/>
  <c r="DQ281" i="6"/>
  <c r="DR280" i="6"/>
  <c r="DQ280" i="6"/>
  <c r="DR279" i="6"/>
  <c r="DQ279" i="6"/>
  <c r="DR278" i="6"/>
  <c r="DQ278" i="6"/>
  <c r="DR277" i="6"/>
  <c r="DQ277" i="6"/>
  <c r="DR276" i="6"/>
  <c r="DQ276" i="6"/>
  <c r="DR275" i="6"/>
  <c r="DQ275" i="6"/>
  <c r="DR274" i="6"/>
  <c r="DQ274" i="6"/>
  <c r="DR273" i="6"/>
  <c r="DQ273" i="6"/>
  <c r="DR272" i="6"/>
  <c r="DQ272" i="6"/>
  <c r="DR271" i="6"/>
  <c r="DQ271" i="6"/>
  <c r="DR270" i="6"/>
  <c r="DQ270" i="6"/>
  <c r="DR269" i="6"/>
  <c r="DQ269" i="6"/>
  <c r="DR268" i="6"/>
  <c r="DQ268" i="6"/>
  <c r="DR267" i="6"/>
  <c r="DQ267" i="6"/>
  <c r="DR266" i="6"/>
  <c r="DQ266" i="6"/>
  <c r="DR265" i="6"/>
  <c r="DQ265" i="6"/>
  <c r="DR264" i="6"/>
  <c r="DQ264" i="6"/>
  <c r="DR263" i="6"/>
  <c r="DQ263" i="6"/>
  <c r="DR262" i="6"/>
  <c r="DQ262" i="6"/>
  <c r="DR261" i="6"/>
  <c r="DQ261" i="6"/>
  <c r="DR260" i="6"/>
  <c r="DQ260" i="6"/>
  <c r="DR259" i="6"/>
  <c r="DQ259" i="6"/>
  <c r="DR258" i="6"/>
  <c r="DQ258" i="6"/>
  <c r="DR257" i="6"/>
  <c r="DQ257" i="6"/>
  <c r="DR256" i="6"/>
  <c r="DQ256" i="6"/>
  <c r="DR255" i="6"/>
  <c r="DQ255" i="6"/>
  <c r="DR254" i="6"/>
  <c r="DQ254" i="6"/>
  <c r="DR253" i="6"/>
  <c r="DQ253" i="6"/>
  <c r="DR252" i="6"/>
  <c r="DQ252" i="6"/>
  <c r="DR251" i="6"/>
  <c r="DQ251" i="6"/>
  <c r="DR250" i="6"/>
  <c r="DQ250" i="6"/>
  <c r="DR249" i="6"/>
  <c r="DQ249" i="6"/>
  <c r="DR248" i="6"/>
  <c r="DQ248" i="6"/>
  <c r="DR247" i="6"/>
  <c r="DQ247" i="6"/>
  <c r="DR246" i="6"/>
  <c r="DQ246" i="6"/>
  <c r="DR245" i="6"/>
  <c r="DQ245" i="6"/>
  <c r="DR244" i="6"/>
  <c r="DQ244" i="6"/>
  <c r="DR243" i="6"/>
  <c r="DQ243" i="6"/>
  <c r="DR242" i="6"/>
  <c r="DQ242" i="6"/>
  <c r="DR241" i="6"/>
  <c r="DQ241" i="6"/>
  <c r="DR240" i="6"/>
  <c r="DQ240" i="6"/>
  <c r="DR239" i="6"/>
  <c r="DQ239" i="6"/>
  <c r="DR238" i="6"/>
  <c r="DQ238" i="6"/>
  <c r="DR237" i="6"/>
  <c r="DQ237" i="6"/>
  <c r="DR236" i="6"/>
  <c r="DQ236" i="6"/>
  <c r="DR235" i="6"/>
  <c r="DQ235" i="6"/>
  <c r="DR234" i="6"/>
  <c r="DQ234" i="6"/>
  <c r="DR233" i="6"/>
  <c r="DQ233" i="6"/>
  <c r="DR232" i="6"/>
  <c r="DQ232" i="6"/>
  <c r="DR231" i="6"/>
  <c r="DQ231" i="6"/>
  <c r="DR230" i="6"/>
  <c r="DQ230" i="6"/>
  <c r="DR229" i="6"/>
  <c r="DQ229" i="6"/>
  <c r="DR228" i="6"/>
  <c r="DQ228" i="6"/>
  <c r="DR227" i="6"/>
  <c r="DQ227" i="6"/>
  <c r="DR226" i="6"/>
  <c r="DQ226" i="6"/>
  <c r="DR225" i="6"/>
  <c r="DQ225" i="6"/>
  <c r="DR224" i="6"/>
  <c r="DQ224" i="6"/>
  <c r="DR223" i="6"/>
  <c r="DQ223" i="6"/>
  <c r="DR222" i="6"/>
  <c r="DQ222" i="6"/>
  <c r="DR221" i="6"/>
  <c r="DQ221" i="6"/>
  <c r="DR220" i="6"/>
  <c r="DQ220" i="6"/>
  <c r="DR219" i="6"/>
  <c r="DQ219" i="6"/>
  <c r="DR218" i="6"/>
  <c r="DQ218" i="6"/>
  <c r="DR217" i="6"/>
  <c r="DQ217" i="6"/>
  <c r="DR216" i="6"/>
  <c r="DQ216" i="6"/>
  <c r="DR215" i="6"/>
  <c r="DQ215" i="6"/>
  <c r="DR214" i="6"/>
  <c r="DQ214" i="6"/>
  <c r="DR213" i="6"/>
  <c r="DQ213" i="6"/>
  <c r="DR212" i="6"/>
  <c r="DQ212" i="6"/>
  <c r="DR211" i="6"/>
  <c r="DQ211" i="6"/>
  <c r="DR210" i="6"/>
  <c r="DQ210" i="6"/>
  <c r="DR209" i="6"/>
  <c r="DQ209" i="6"/>
  <c r="DR208" i="6"/>
  <c r="DQ208" i="6"/>
  <c r="DR207" i="6"/>
  <c r="DQ207" i="6"/>
  <c r="DR206" i="6"/>
  <c r="DQ206" i="6"/>
  <c r="DR205" i="6"/>
  <c r="DQ205" i="6"/>
  <c r="DR204" i="6"/>
  <c r="DQ204" i="6"/>
  <c r="DR203" i="6"/>
  <c r="DQ203" i="6"/>
  <c r="DR202" i="6"/>
  <c r="DQ202" i="6"/>
  <c r="DR201" i="6"/>
  <c r="DQ201" i="6"/>
  <c r="DR200" i="6"/>
  <c r="DQ200" i="6"/>
  <c r="DR199" i="6"/>
  <c r="DQ199" i="6"/>
  <c r="DR198" i="6"/>
  <c r="DQ198" i="6"/>
  <c r="DR197" i="6"/>
  <c r="DQ197" i="6"/>
  <c r="DR196" i="6"/>
  <c r="DQ196" i="6"/>
  <c r="DR195" i="6"/>
  <c r="DQ195" i="6"/>
  <c r="DR194" i="6"/>
  <c r="DQ194" i="6"/>
  <c r="DR193" i="6"/>
  <c r="DQ193" i="6"/>
  <c r="DR192" i="6"/>
  <c r="DQ192" i="6"/>
  <c r="DR191" i="6"/>
  <c r="DQ191" i="6"/>
  <c r="DR190" i="6"/>
  <c r="DQ190" i="6"/>
  <c r="DR189" i="6"/>
  <c r="DQ189" i="6"/>
  <c r="DR188" i="6"/>
  <c r="DQ188" i="6"/>
  <c r="DR187" i="6"/>
  <c r="DQ187" i="6"/>
  <c r="DR186" i="6"/>
  <c r="DQ186" i="6"/>
  <c r="DR185" i="6"/>
  <c r="DQ185" i="6"/>
  <c r="DR184" i="6"/>
  <c r="DQ184" i="6"/>
  <c r="DR183" i="6"/>
  <c r="DQ183" i="6"/>
  <c r="DR182" i="6"/>
  <c r="DQ182" i="6"/>
  <c r="DR181" i="6"/>
  <c r="DQ181" i="6"/>
  <c r="DR180" i="6"/>
  <c r="DQ180" i="6"/>
  <c r="DR179" i="6"/>
  <c r="DQ179" i="6"/>
  <c r="DR178" i="6"/>
  <c r="DQ178" i="6"/>
  <c r="DR177" i="6"/>
  <c r="DQ177" i="6"/>
  <c r="DR176" i="6"/>
  <c r="DQ176" i="6"/>
  <c r="DR175" i="6"/>
  <c r="DQ175" i="6"/>
  <c r="DR174" i="6"/>
  <c r="DQ174" i="6"/>
  <c r="DR173" i="6"/>
  <c r="DQ173" i="6"/>
  <c r="DR172" i="6"/>
  <c r="DQ172" i="6"/>
  <c r="DR171" i="6"/>
  <c r="DQ171" i="6"/>
  <c r="DR170" i="6"/>
  <c r="DQ170" i="6"/>
  <c r="DR169" i="6"/>
  <c r="DQ169" i="6"/>
  <c r="DR168" i="6"/>
  <c r="DQ168" i="6"/>
  <c r="DR167" i="6"/>
  <c r="DQ167" i="6"/>
  <c r="DR166" i="6"/>
  <c r="DQ166" i="6"/>
  <c r="DR165" i="6"/>
  <c r="DQ165" i="6"/>
  <c r="DR164" i="6"/>
  <c r="DQ164" i="6"/>
  <c r="DR163" i="6"/>
  <c r="DQ163" i="6"/>
  <c r="DR162" i="6"/>
  <c r="DQ162" i="6"/>
  <c r="DR161" i="6"/>
  <c r="DQ161" i="6"/>
  <c r="DR160" i="6"/>
  <c r="DQ160" i="6"/>
  <c r="DR159" i="6"/>
  <c r="DQ159" i="6"/>
  <c r="DR158" i="6"/>
  <c r="DQ158" i="6"/>
  <c r="DR157" i="6"/>
  <c r="DQ157" i="6"/>
  <c r="DR156" i="6"/>
  <c r="DQ156" i="6"/>
  <c r="DR155" i="6"/>
  <c r="DQ155" i="6"/>
  <c r="DR154" i="6"/>
  <c r="DQ154" i="6"/>
  <c r="DR153" i="6"/>
  <c r="DQ153" i="6"/>
  <c r="DR152" i="6"/>
  <c r="DQ152" i="6"/>
  <c r="DR151" i="6"/>
  <c r="DQ151" i="6"/>
  <c r="DR150" i="6"/>
  <c r="DQ150" i="6"/>
  <c r="DR149" i="6"/>
  <c r="DQ149" i="6"/>
  <c r="DR148" i="6"/>
  <c r="DQ148" i="6"/>
  <c r="DR147" i="6"/>
  <c r="DQ147" i="6"/>
  <c r="DR146" i="6"/>
  <c r="DQ146" i="6"/>
  <c r="DR145" i="6"/>
  <c r="DQ145" i="6"/>
  <c r="DR144" i="6"/>
  <c r="DQ144" i="6"/>
  <c r="DR143" i="6"/>
  <c r="DQ143" i="6"/>
  <c r="DR142" i="6"/>
  <c r="DQ142" i="6"/>
  <c r="DR141" i="6"/>
  <c r="DQ141" i="6"/>
  <c r="DR140" i="6"/>
  <c r="DQ140" i="6"/>
  <c r="DR139" i="6"/>
  <c r="DQ139" i="6"/>
  <c r="DR138" i="6"/>
  <c r="DQ138" i="6"/>
  <c r="DR137" i="6"/>
  <c r="DQ137" i="6"/>
  <c r="DR136" i="6"/>
  <c r="DQ136" i="6"/>
  <c r="DR135" i="6"/>
  <c r="DQ135" i="6"/>
  <c r="DR134" i="6"/>
  <c r="DQ134" i="6"/>
  <c r="DR133" i="6"/>
  <c r="DQ133" i="6"/>
  <c r="DR132" i="6"/>
  <c r="DQ132" i="6"/>
  <c r="DR131" i="6"/>
  <c r="DQ131" i="6"/>
  <c r="DR130" i="6"/>
  <c r="DQ130" i="6"/>
  <c r="DR129" i="6"/>
  <c r="DQ129" i="6"/>
  <c r="DR128" i="6"/>
  <c r="DQ128" i="6"/>
  <c r="DR127" i="6"/>
  <c r="DQ127" i="6"/>
  <c r="DR126" i="6"/>
  <c r="DQ126" i="6"/>
  <c r="DR125" i="6"/>
  <c r="DQ125" i="6"/>
  <c r="DR124" i="6"/>
  <c r="DQ124" i="6"/>
  <c r="DR123" i="6"/>
  <c r="DQ123" i="6"/>
  <c r="DR122" i="6"/>
  <c r="DQ122" i="6"/>
  <c r="DR121" i="6"/>
  <c r="DQ121" i="6"/>
  <c r="DR120" i="6"/>
  <c r="DQ120" i="6"/>
  <c r="DR119" i="6"/>
  <c r="DQ119" i="6"/>
  <c r="DR118" i="6"/>
  <c r="DQ118" i="6"/>
  <c r="DR117" i="6"/>
  <c r="DQ117" i="6"/>
  <c r="DR116" i="6"/>
  <c r="DQ116" i="6"/>
  <c r="DR115" i="6"/>
  <c r="DQ115" i="6"/>
  <c r="DR114" i="6"/>
  <c r="DQ114" i="6"/>
  <c r="DR113" i="6"/>
  <c r="DQ113" i="6"/>
  <c r="DR112" i="6"/>
  <c r="DQ112" i="6"/>
  <c r="DR111" i="6"/>
  <c r="DQ111" i="6"/>
  <c r="DR110" i="6"/>
  <c r="DQ110" i="6"/>
  <c r="DR109" i="6"/>
  <c r="DQ109" i="6"/>
  <c r="DR108" i="6"/>
  <c r="DQ108" i="6"/>
  <c r="DR107" i="6"/>
  <c r="DQ107" i="6"/>
  <c r="DR106" i="6"/>
  <c r="DQ106" i="6"/>
  <c r="DR105" i="6"/>
  <c r="DQ105" i="6"/>
  <c r="DR104" i="6"/>
  <c r="DQ104" i="6"/>
  <c r="DR103" i="6"/>
  <c r="DQ103" i="6"/>
  <c r="DR102" i="6"/>
  <c r="DQ102" i="6"/>
  <c r="DR101" i="6"/>
  <c r="DQ101" i="6"/>
  <c r="DR100" i="6"/>
  <c r="DQ100" i="6"/>
  <c r="DR99" i="6"/>
  <c r="DQ99" i="6"/>
  <c r="DR98" i="6"/>
  <c r="DQ98" i="6"/>
  <c r="DR97" i="6"/>
  <c r="DQ97" i="6"/>
  <c r="DR96" i="6"/>
  <c r="DQ96" i="6"/>
  <c r="DR95" i="6"/>
  <c r="DQ95" i="6"/>
  <c r="DR94" i="6"/>
  <c r="DQ94" i="6"/>
  <c r="DR93" i="6"/>
  <c r="DQ93" i="6"/>
  <c r="DR92" i="6"/>
  <c r="DQ92" i="6"/>
  <c r="DR91" i="6"/>
  <c r="DQ91" i="6"/>
  <c r="DR90" i="6"/>
  <c r="DQ90" i="6"/>
  <c r="DR89" i="6"/>
  <c r="DQ89" i="6"/>
  <c r="DR88" i="6"/>
  <c r="DQ88" i="6"/>
  <c r="DR87" i="6"/>
  <c r="DQ87" i="6"/>
  <c r="DR86" i="6"/>
  <c r="DQ86" i="6"/>
  <c r="DR85" i="6"/>
  <c r="DQ85" i="6"/>
  <c r="DR84" i="6"/>
  <c r="DQ84" i="6"/>
  <c r="DR83" i="6"/>
  <c r="DQ83" i="6"/>
  <c r="DR82" i="6"/>
  <c r="DQ82" i="6"/>
  <c r="DR81" i="6"/>
  <c r="DQ81" i="6"/>
  <c r="DR80" i="6"/>
  <c r="DQ80" i="6"/>
  <c r="DR79" i="6"/>
  <c r="DQ79" i="6"/>
  <c r="DR78" i="6"/>
  <c r="DQ78" i="6"/>
  <c r="DR77" i="6"/>
  <c r="DQ77" i="6"/>
  <c r="DR76" i="6"/>
  <c r="DQ76" i="6"/>
  <c r="DR75" i="6"/>
  <c r="DQ75" i="6"/>
  <c r="DR74" i="6"/>
  <c r="DQ74" i="6"/>
  <c r="DR73" i="6"/>
  <c r="DQ73" i="6"/>
  <c r="DR72" i="6"/>
  <c r="DQ72" i="6"/>
  <c r="DR71" i="6"/>
  <c r="DQ71" i="6"/>
  <c r="DR70" i="6"/>
  <c r="DQ70" i="6"/>
  <c r="DR69" i="6"/>
  <c r="DQ69" i="6"/>
  <c r="DR68" i="6"/>
  <c r="DQ68" i="6"/>
  <c r="DR67" i="6"/>
  <c r="DQ67" i="6"/>
  <c r="DR66" i="6"/>
  <c r="DQ66" i="6"/>
  <c r="DR65" i="6"/>
  <c r="DQ65" i="6"/>
  <c r="DR64" i="6"/>
  <c r="DQ64" i="6"/>
  <c r="DR63" i="6"/>
  <c r="DQ63" i="6"/>
  <c r="DR62" i="6"/>
  <c r="DQ62" i="6"/>
  <c r="DR61" i="6"/>
  <c r="DQ61" i="6"/>
  <c r="DR60" i="6"/>
  <c r="DQ60" i="6"/>
  <c r="DR59" i="6"/>
  <c r="DQ59" i="6"/>
  <c r="DR58" i="6"/>
  <c r="DQ58" i="6"/>
  <c r="DR57" i="6"/>
  <c r="DQ57" i="6"/>
  <c r="DR56" i="6"/>
  <c r="DQ56" i="6"/>
  <c r="DR55" i="6"/>
  <c r="DQ55" i="6"/>
  <c r="DR54" i="6"/>
  <c r="DQ54" i="6"/>
  <c r="DR53" i="6"/>
  <c r="DQ53" i="6"/>
  <c r="DR52" i="6"/>
  <c r="DQ52" i="6"/>
  <c r="DR51" i="6"/>
  <c r="DQ51" i="6"/>
  <c r="DR50" i="6"/>
  <c r="DQ50" i="6"/>
  <c r="DR49" i="6"/>
  <c r="DQ49" i="6"/>
  <c r="DR48" i="6"/>
  <c r="DQ48" i="6"/>
  <c r="DR47" i="6"/>
  <c r="DQ47" i="6"/>
  <c r="DR46" i="6"/>
  <c r="DQ46" i="6"/>
  <c r="DR45" i="6"/>
  <c r="DQ45" i="6"/>
  <c r="DR44" i="6"/>
  <c r="DQ44" i="6"/>
  <c r="DR43" i="6"/>
  <c r="DQ43" i="6"/>
  <c r="DR42" i="6"/>
  <c r="DQ42" i="6"/>
  <c r="DR41" i="6"/>
  <c r="DQ41" i="6"/>
  <c r="DR40" i="6"/>
  <c r="DQ40" i="6"/>
  <c r="DR39" i="6"/>
  <c r="DQ39" i="6"/>
  <c r="DR38" i="6"/>
  <c r="DQ38" i="6"/>
  <c r="DR37" i="6"/>
  <c r="DQ37" i="6"/>
  <c r="DR36" i="6"/>
  <c r="DQ36" i="6"/>
  <c r="DR35" i="6"/>
  <c r="DQ35" i="6"/>
  <c r="DR34" i="6"/>
  <c r="DQ34" i="6"/>
  <c r="DR33" i="6"/>
  <c r="DQ33" i="6"/>
  <c r="DR32" i="6"/>
  <c r="DQ32" i="6"/>
  <c r="DR31" i="6"/>
  <c r="DQ31" i="6"/>
  <c r="DR30" i="6"/>
  <c r="DQ30" i="6"/>
  <c r="DR29" i="6"/>
  <c r="DQ29" i="6"/>
  <c r="DR28" i="6"/>
  <c r="DQ28" i="6"/>
  <c r="DR27" i="6"/>
  <c r="DQ27" i="6"/>
  <c r="DR26" i="6"/>
  <c r="DQ26" i="6"/>
  <c r="DR25" i="6"/>
  <c r="DQ25" i="6"/>
  <c r="DR24" i="6"/>
  <c r="DQ24" i="6"/>
  <c r="DR23" i="6"/>
  <c r="DQ23" i="6"/>
  <c r="DR22" i="6"/>
  <c r="DQ22" i="6"/>
  <c r="DR21" i="6"/>
  <c r="DQ21" i="6"/>
  <c r="DR20" i="6"/>
  <c r="DQ20" i="6"/>
  <c r="DR19" i="6"/>
  <c r="DQ19" i="6"/>
  <c r="DR18" i="6"/>
  <c r="DQ18" i="6"/>
  <c r="DR17" i="6"/>
  <c r="DQ17" i="6"/>
  <c r="DR16" i="6"/>
  <c r="DQ16" i="6"/>
  <c r="DR15" i="6"/>
  <c r="DQ15" i="6"/>
  <c r="DR14" i="6"/>
  <c r="DQ14" i="6"/>
  <c r="DR13" i="6"/>
  <c r="DQ13" i="6"/>
  <c r="DR12" i="6"/>
  <c r="DQ12" i="6"/>
  <c r="DR11" i="6"/>
  <c r="DQ11" i="6"/>
  <c r="DR10" i="6"/>
  <c r="DQ10" i="6"/>
  <c r="DR9" i="6"/>
  <c r="DQ9" i="6"/>
  <c r="DR8" i="6"/>
  <c r="DQ8" i="6"/>
  <c r="DV9" i="6"/>
  <c r="DV10" i="6"/>
  <c r="DV11" i="6"/>
  <c r="DV12" i="6"/>
  <c r="DV13" i="6"/>
  <c r="DV14" i="6"/>
  <c r="DV15" i="6"/>
  <c r="DV16" i="6"/>
  <c r="DV17" i="6"/>
  <c r="DV18" i="6"/>
  <c r="DV19" i="6"/>
  <c r="DV20" i="6"/>
  <c r="DV21" i="6"/>
  <c r="DV22" i="6"/>
  <c r="DV23" i="6"/>
  <c r="DV24" i="6"/>
  <c r="DV25" i="6"/>
  <c r="DV26" i="6"/>
  <c r="DV27" i="6"/>
  <c r="DV28" i="6"/>
  <c r="DV29" i="6"/>
  <c r="DV30" i="6"/>
  <c r="DV31" i="6"/>
  <c r="DV32" i="6"/>
  <c r="DV33" i="6"/>
  <c r="DV34" i="6"/>
  <c r="DV35" i="6"/>
  <c r="DV36" i="6"/>
  <c r="DV37" i="6"/>
  <c r="DV38" i="6"/>
  <c r="DV39" i="6"/>
  <c r="DV40" i="6"/>
  <c r="DV41" i="6"/>
  <c r="DV42" i="6"/>
  <c r="DV43" i="6"/>
  <c r="DV44" i="6"/>
  <c r="DV45" i="6"/>
  <c r="DV46" i="6"/>
  <c r="DV47" i="6"/>
  <c r="DV48" i="6"/>
  <c r="DV49" i="6"/>
  <c r="DV50" i="6"/>
  <c r="DV51" i="6"/>
  <c r="DV52" i="6"/>
  <c r="DV53" i="6"/>
  <c r="DV54" i="6"/>
  <c r="DV55" i="6"/>
  <c r="DV56" i="6"/>
  <c r="DV57" i="6"/>
  <c r="DV58" i="6"/>
  <c r="DV59" i="6"/>
  <c r="DV60" i="6"/>
  <c r="DV61" i="6"/>
  <c r="DV62" i="6"/>
  <c r="DV63" i="6"/>
  <c r="DV64" i="6"/>
  <c r="DV65" i="6"/>
  <c r="DV66" i="6"/>
  <c r="DV67" i="6"/>
  <c r="DV68" i="6"/>
  <c r="DV69" i="6"/>
  <c r="DV70" i="6"/>
  <c r="DV71" i="6"/>
  <c r="DV72" i="6"/>
  <c r="DV73" i="6"/>
  <c r="DV74" i="6"/>
  <c r="DV75" i="6"/>
  <c r="DV76" i="6"/>
  <c r="DV77" i="6"/>
  <c r="DV78" i="6"/>
  <c r="DV79" i="6"/>
  <c r="DV80" i="6"/>
  <c r="DV81" i="6"/>
  <c r="DV82" i="6"/>
  <c r="DV83" i="6"/>
  <c r="DV84" i="6"/>
  <c r="DV85" i="6"/>
  <c r="DV86" i="6"/>
  <c r="DV87" i="6"/>
  <c r="DV88" i="6"/>
  <c r="DV89" i="6"/>
  <c r="DV90" i="6"/>
  <c r="DV91" i="6"/>
  <c r="DV92" i="6"/>
  <c r="DV93" i="6"/>
  <c r="DV94" i="6"/>
  <c r="DV95" i="6"/>
  <c r="DV96" i="6"/>
  <c r="DV97" i="6"/>
  <c r="DV98" i="6"/>
  <c r="DV99" i="6"/>
  <c r="DV100" i="6"/>
  <c r="DV101" i="6"/>
  <c r="DV102" i="6"/>
  <c r="DV103" i="6"/>
  <c r="DV104" i="6"/>
  <c r="DV105" i="6"/>
  <c r="DV106" i="6"/>
  <c r="DV107" i="6"/>
  <c r="DV108" i="6"/>
  <c r="DV109" i="6"/>
  <c r="DV110" i="6"/>
  <c r="DV111" i="6"/>
  <c r="DV112" i="6"/>
  <c r="DV113" i="6"/>
  <c r="DV114" i="6"/>
  <c r="DV115" i="6"/>
  <c r="DV116" i="6"/>
  <c r="DV117" i="6"/>
  <c r="DV118" i="6"/>
  <c r="DV119" i="6"/>
  <c r="DV120" i="6"/>
  <c r="DV121" i="6"/>
  <c r="DV122" i="6"/>
  <c r="DV123" i="6"/>
  <c r="DV124" i="6"/>
  <c r="DV125" i="6"/>
  <c r="DV126" i="6"/>
  <c r="DV127" i="6"/>
  <c r="DV128" i="6"/>
  <c r="DV129" i="6"/>
  <c r="DV130" i="6"/>
  <c r="DV131" i="6"/>
  <c r="DV132" i="6"/>
  <c r="DV133" i="6"/>
  <c r="DV134" i="6"/>
  <c r="DV135" i="6"/>
  <c r="DV136" i="6"/>
  <c r="DV137" i="6"/>
  <c r="DV138" i="6"/>
  <c r="DV139" i="6"/>
  <c r="DV140" i="6"/>
  <c r="DV141" i="6"/>
  <c r="DV142" i="6"/>
  <c r="DV143" i="6"/>
  <c r="DV144" i="6"/>
  <c r="DV145" i="6"/>
  <c r="DV146" i="6"/>
  <c r="DV147" i="6"/>
  <c r="DV148" i="6"/>
  <c r="DV149" i="6"/>
  <c r="DV150" i="6"/>
  <c r="DV151" i="6"/>
  <c r="DV152" i="6"/>
  <c r="DV153" i="6"/>
  <c r="DV154" i="6"/>
  <c r="DV155" i="6"/>
  <c r="DV156" i="6"/>
  <c r="DV157" i="6"/>
  <c r="DV158" i="6"/>
  <c r="DV159" i="6"/>
  <c r="DV160" i="6"/>
  <c r="DV161" i="6"/>
  <c r="DV162" i="6"/>
  <c r="DV163" i="6"/>
  <c r="DV164" i="6"/>
  <c r="DV165" i="6"/>
  <c r="DV166" i="6"/>
  <c r="DV167" i="6"/>
  <c r="DV168" i="6"/>
  <c r="DV169" i="6"/>
  <c r="DV170" i="6"/>
  <c r="DV171" i="6"/>
  <c r="DV172" i="6"/>
  <c r="DV173" i="6"/>
  <c r="DV174" i="6"/>
  <c r="DV175" i="6"/>
  <c r="DV176" i="6"/>
  <c r="DV177" i="6"/>
  <c r="DV178" i="6"/>
  <c r="DV179" i="6"/>
  <c r="DV180" i="6"/>
  <c r="DV181" i="6"/>
  <c r="DV182" i="6"/>
  <c r="DV183" i="6"/>
  <c r="DV184" i="6"/>
  <c r="DV185" i="6"/>
  <c r="DV186" i="6"/>
  <c r="DV187" i="6"/>
  <c r="DV188" i="6"/>
  <c r="DV189" i="6"/>
  <c r="DV190" i="6"/>
  <c r="DV191" i="6"/>
  <c r="DV192" i="6"/>
  <c r="DV193" i="6"/>
  <c r="DV194" i="6"/>
  <c r="DV195" i="6"/>
  <c r="DV196" i="6"/>
  <c r="DV197" i="6"/>
  <c r="DV198" i="6"/>
  <c r="DV199" i="6"/>
  <c r="DV200" i="6"/>
  <c r="DV201" i="6"/>
  <c r="DV202" i="6"/>
  <c r="DV203" i="6"/>
  <c r="DV204" i="6"/>
  <c r="DV205" i="6"/>
  <c r="DV206" i="6"/>
  <c r="DV207" i="6"/>
  <c r="DV208" i="6"/>
  <c r="DV209" i="6"/>
  <c r="DV210" i="6"/>
  <c r="DV211" i="6"/>
  <c r="DV212" i="6"/>
  <c r="DV213" i="6"/>
  <c r="DV214" i="6"/>
  <c r="DV215" i="6"/>
  <c r="DV216" i="6"/>
  <c r="DV217" i="6"/>
  <c r="DV218" i="6"/>
  <c r="DV219" i="6"/>
  <c r="DV220" i="6"/>
  <c r="DV221" i="6"/>
  <c r="DV222" i="6"/>
  <c r="DV223" i="6"/>
  <c r="DV224" i="6"/>
  <c r="DV225" i="6"/>
  <c r="DV226" i="6"/>
  <c r="DV227" i="6"/>
  <c r="DV228" i="6"/>
  <c r="DV229" i="6"/>
  <c r="DV230" i="6"/>
  <c r="DV231" i="6"/>
  <c r="DV232" i="6"/>
  <c r="DV233" i="6"/>
  <c r="DV234" i="6"/>
  <c r="DV235" i="6"/>
  <c r="DV236" i="6"/>
  <c r="DV237" i="6"/>
  <c r="DV238" i="6"/>
  <c r="DV239" i="6"/>
  <c r="DV240" i="6"/>
  <c r="DV241" i="6"/>
  <c r="DV242" i="6"/>
  <c r="DV243" i="6"/>
  <c r="DV244" i="6"/>
  <c r="DV245" i="6"/>
  <c r="DV246" i="6"/>
  <c r="DV247" i="6"/>
  <c r="DV248" i="6"/>
  <c r="DV249" i="6"/>
  <c r="DV250" i="6"/>
  <c r="DV251" i="6"/>
  <c r="DV252" i="6"/>
  <c r="DV253" i="6"/>
  <c r="DV254" i="6"/>
  <c r="DV255" i="6"/>
  <c r="DV256" i="6"/>
  <c r="DV257" i="6"/>
  <c r="DV258" i="6"/>
  <c r="DV259" i="6"/>
  <c r="DV260" i="6"/>
  <c r="DV261" i="6"/>
  <c r="DV262" i="6"/>
  <c r="DV263" i="6"/>
  <c r="DV264" i="6"/>
  <c r="DV265" i="6"/>
  <c r="DV266" i="6"/>
  <c r="DV267" i="6"/>
  <c r="DV268" i="6"/>
  <c r="DV269" i="6"/>
  <c r="DV270" i="6"/>
  <c r="DV271" i="6"/>
  <c r="DV272" i="6"/>
  <c r="DV273" i="6"/>
  <c r="DV274" i="6"/>
  <c r="DV275" i="6"/>
  <c r="DV276" i="6"/>
  <c r="DV277" i="6"/>
  <c r="DV278" i="6"/>
  <c r="DV279" i="6"/>
  <c r="DV280" i="6"/>
  <c r="DV281" i="6"/>
  <c r="DV282" i="6"/>
  <c r="DV283" i="6"/>
  <c r="DV284" i="6"/>
  <c r="DV285" i="6"/>
  <c r="DV286" i="6"/>
  <c r="DV287" i="6"/>
  <c r="DV288" i="6"/>
  <c r="DV289" i="6"/>
  <c r="DV290" i="6"/>
  <c r="DV291" i="6"/>
  <c r="DV292" i="6"/>
  <c r="DV293" i="6"/>
  <c r="DV294" i="6"/>
  <c r="DV295" i="6"/>
  <c r="DV296" i="6"/>
  <c r="DV297" i="6"/>
  <c r="DV298" i="6"/>
  <c r="DV299" i="6"/>
  <c r="DV300" i="6"/>
  <c r="DV301" i="6"/>
  <c r="DV302" i="6"/>
  <c r="DV303" i="6"/>
  <c r="DV304" i="6"/>
  <c r="DV305" i="6"/>
  <c r="DV306" i="6"/>
  <c r="DV307" i="6"/>
  <c r="DV308" i="6"/>
  <c r="DV309" i="6"/>
  <c r="DV310" i="6"/>
  <c r="DV311" i="6"/>
  <c r="DV312" i="6"/>
  <c r="DV313" i="6"/>
  <c r="DV314" i="6"/>
  <c r="DV315" i="6"/>
  <c r="DV316" i="6"/>
  <c r="DV317" i="6"/>
  <c r="DV318" i="6"/>
  <c r="DV319" i="6"/>
  <c r="DV320" i="6"/>
  <c r="DV321" i="6"/>
  <c r="DV322" i="6"/>
  <c r="DV323" i="6"/>
  <c r="DV324" i="6"/>
  <c r="DV325" i="6"/>
  <c r="DV326" i="6"/>
  <c r="DV327" i="6"/>
  <c r="DV328" i="6"/>
  <c r="DV329" i="6"/>
  <c r="DV330" i="6"/>
  <c r="DV331" i="6"/>
  <c r="DV332" i="6"/>
  <c r="DV333" i="6"/>
  <c r="DV334" i="6"/>
  <c r="DV335" i="6"/>
  <c r="DV336" i="6"/>
  <c r="DV337" i="6"/>
  <c r="DV338" i="6"/>
  <c r="DV339" i="6"/>
  <c r="DV340" i="6"/>
  <c r="DV341" i="6"/>
  <c r="DV342" i="6"/>
  <c r="DV343" i="6"/>
  <c r="DV344" i="6"/>
  <c r="DV345" i="6"/>
  <c r="DV346" i="6"/>
  <c r="DV347" i="6"/>
  <c r="DV348" i="6"/>
  <c r="DV349" i="6"/>
  <c r="DV350" i="6"/>
  <c r="DV351" i="6"/>
  <c r="DV352" i="6"/>
  <c r="DV353" i="6"/>
  <c r="DV354" i="6"/>
  <c r="DV355" i="6"/>
  <c r="DV356" i="6"/>
  <c r="DV357" i="6"/>
  <c r="DV358" i="6"/>
  <c r="DV359" i="6"/>
  <c r="DV360" i="6"/>
  <c r="DV361" i="6"/>
  <c r="DV362" i="6"/>
  <c r="DV363" i="6"/>
  <c r="DV364" i="6"/>
  <c r="DV365" i="6"/>
  <c r="DV366" i="6"/>
  <c r="DV367" i="6"/>
  <c r="DV368" i="6"/>
  <c r="DV369" i="6"/>
  <c r="DV370" i="6"/>
  <c r="DV371" i="6"/>
  <c r="DV372" i="6"/>
  <c r="DV373" i="6"/>
  <c r="DV374" i="6"/>
  <c r="DV375" i="6"/>
  <c r="DV376" i="6"/>
  <c r="DV377" i="6"/>
  <c r="DV378" i="6"/>
  <c r="DV379" i="6"/>
  <c r="DV380" i="6"/>
  <c r="DV381" i="6"/>
  <c r="DV382" i="6"/>
  <c r="DV383" i="6"/>
  <c r="DV384" i="6"/>
  <c r="DV385" i="6"/>
  <c r="DV386" i="6"/>
  <c r="DV387" i="6"/>
  <c r="DV388" i="6"/>
  <c r="DV389" i="6"/>
  <c r="DV390" i="6"/>
  <c r="DV391" i="6"/>
  <c r="DV392" i="6"/>
  <c r="DV393" i="6"/>
  <c r="DV394" i="6"/>
  <c r="DV395" i="6"/>
  <c r="DV396" i="6"/>
  <c r="DV397" i="6"/>
  <c r="DV398" i="6"/>
  <c r="DV399" i="6"/>
  <c r="DV400" i="6"/>
  <c r="DV401" i="6"/>
  <c r="DV402" i="6"/>
  <c r="DV403" i="6"/>
  <c r="DV404" i="6"/>
  <c r="DV405" i="6"/>
  <c r="DV406" i="6"/>
  <c r="DV407" i="6"/>
  <c r="DV408" i="6"/>
  <c r="DV409" i="6"/>
  <c r="DV410" i="6"/>
  <c r="DV411" i="6"/>
  <c r="DV412" i="6"/>
  <c r="DV413" i="6"/>
  <c r="DV414" i="6"/>
  <c r="DV415" i="6"/>
  <c r="DV416" i="6"/>
  <c r="DV417" i="6"/>
  <c r="DV418" i="6"/>
  <c r="DV419" i="6"/>
  <c r="DV420" i="6"/>
  <c r="DV421" i="6"/>
  <c r="DV422" i="6"/>
  <c r="DV423" i="6"/>
  <c r="DV424" i="6"/>
  <c r="DV425" i="6"/>
  <c r="DV426" i="6"/>
  <c r="DV427" i="6"/>
  <c r="DV428" i="6"/>
  <c r="DV429" i="6"/>
  <c r="DV430" i="6"/>
  <c r="DV431" i="6"/>
  <c r="DV432" i="6"/>
  <c r="DV433" i="6"/>
  <c r="DV434" i="6"/>
  <c r="DV435" i="6"/>
  <c r="DV436" i="6"/>
  <c r="DV437" i="6"/>
  <c r="DV438" i="6"/>
  <c r="DV439" i="6"/>
  <c r="DV440" i="6"/>
  <c r="DV441" i="6"/>
  <c r="DV442" i="6"/>
  <c r="DV443" i="6"/>
  <c r="DV444" i="6"/>
  <c r="DV445" i="6"/>
  <c r="DV446" i="6"/>
  <c r="DV447" i="6"/>
  <c r="DV448" i="6"/>
  <c r="DV449" i="6"/>
  <c r="DV450" i="6"/>
  <c r="DV451" i="6"/>
  <c r="DV452" i="6"/>
  <c r="DV453" i="6"/>
  <c r="DV454" i="6"/>
  <c r="DV455" i="6"/>
  <c r="DV456" i="6"/>
  <c r="DV457" i="6"/>
  <c r="DV458" i="6"/>
  <c r="DV459" i="6"/>
  <c r="DV460" i="6"/>
  <c r="DV461" i="6"/>
  <c r="DV462" i="6"/>
  <c r="DV463" i="6"/>
  <c r="DV464" i="6"/>
  <c r="DV465" i="6"/>
  <c r="DV466" i="6"/>
  <c r="DV467" i="6"/>
  <c r="DV468" i="6"/>
  <c r="DV469" i="6"/>
  <c r="DV470" i="6"/>
  <c r="DV471" i="6"/>
  <c r="DV472" i="6"/>
  <c r="DV473" i="6"/>
  <c r="DV474" i="6"/>
  <c r="DV475" i="6"/>
  <c r="DV476" i="6"/>
  <c r="DV477" i="6"/>
  <c r="DV478" i="6"/>
  <c r="DV479" i="6"/>
  <c r="DV480" i="6"/>
  <c r="DV481" i="6"/>
  <c r="DV482" i="6"/>
  <c r="DV483" i="6"/>
  <c r="DV484" i="6"/>
  <c r="DV485" i="6"/>
  <c r="DV486" i="6"/>
  <c r="DV487" i="6"/>
  <c r="DV488" i="6"/>
  <c r="DV489" i="6"/>
  <c r="DV490" i="6"/>
  <c r="DV491" i="6"/>
  <c r="DV492" i="6"/>
  <c r="DV493" i="6"/>
  <c r="DV494" i="6"/>
  <c r="DV495" i="6"/>
  <c r="DV496" i="6"/>
  <c r="DV497" i="6"/>
  <c r="DV498" i="6"/>
  <c r="DV499" i="6"/>
  <c r="DV500" i="6"/>
  <c r="DV8" i="6"/>
  <c r="DW9" i="6"/>
  <c r="DW10" i="6"/>
  <c r="DW11" i="6"/>
  <c r="DW12" i="6"/>
  <c r="DW13" i="6"/>
  <c r="DW14" i="6"/>
  <c r="DW15" i="6"/>
  <c r="DW16" i="6"/>
  <c r="DW17" i="6"/>
  <c r="DW18" i="6"/>
  <c r="DW19" i="6"/>
  <c r="DW20" i="6"/>
  <c r="DW21" i="6"/>
  <c r="DW22" i="6"/>
  <c r="DW23" i="6"/>
  <c r="DW24" i="6"/>
  <c r="DW25" i="6"/>
  <c r="DW26" i="6"/>
  <c r="DW27" i="6"/>
  <c r="DW28" i="6"/>
  <c r="DW29" i="6"/>
  <c r="DW30" i="6"/>
  <c r="DW31" i="6"/>
  <c r="DW32" i="6"/>
  <c r="DW33" i="6"/>
  <c r="DW34" i="6"/>
  <c r="DW35" i="6"/>
  <c r="DW36" i="6"/>
  <c r="DW37" i="6"/>
  <c r="DW38" i="6"/>
  <c r="DW39" i="6"/>
  <c r="DW40" i="6"/>
  <c r="DW41" i="6"/>
  <c r="DW42" i="6"/>
  <c r="DW43" i="6"/>
  <c r="DW44" i="6"/>
  <c r="DW45" i="6"/>
  <c r="DW46" i="6"/>
  <c r="DW47" i="6"/>
  <c r="DW48" i="6"/>
  <c r="DW49" i="6"/>
  <c r="DW50" i="6"/>
  <c r="DW51" i="6"/>
  <c r="DW52" i="6"/>
  <c r="DW53" i="6"/>
  <c r="DW54" i="6"/>
  <c r="DW55" i="6"/>
  <c r="DW56" i="6"/>
  <c r="DW57" i="6"/>
  <c r="DW58" i="6"/>
  <c r="DW59" i="6"/>
  <c r="DW60" i="6"/>
  <c r="DW61" i="6"/>
  <c r="DW62" i="6"/>
  <c r="DW63" i="6"/>
  <c r="DW64" i="6"/>
  <c r="DW65" i="6"/>
  <c r="DW66" i="6"/>
  <c r="DW67" i="6"/>
  <c r="DW68" i="6"/>
  <c r="DW69" i="6"/>
  <c r="DW70" i="6"/>
  <c r="DW71" i="6"/>
  <c r="DW72" i="6"/>
  <c r="DW73" i="6"/>
  <c r="DW74" i="6"/>
  <c r="DW75" i="6"/>
  <c r="DW76" i="6"/>
  <c r="DW77" i="6"/>
  <c r="DW78" i="6"/>
  <c r="DW79" i="6"/>
  <c r="DW80" i="6"/>
  <c r="DW81" i="6"/>
  <c r="DW82" i="6"/>
  <c r="DW83" i="6"/>
  <c r="DW84" i="6"/>
  <c r="DW85" i="6"/>
  <c r="DW86" i="6"/>
  <c r="DW87" i="6"/>
  <c r="DW88" i="6"/>
  <c r="DW89" i="6"/>
  <c r="DW90" i="6"/>
  <c r="DW91" i="6"/>
  <c r="DW92" i="6"/>
  <c r="DW93" i="6"/>
  <c r="DW94" i="6"/>
  <c r="DW95" i="6"/>
  <c r="DW96" i="6"/>
  <c r="DW97" i="6"/>
  <c r="DW98" i="6"/>
  <c r="DW99" i="6"/>
  <c r="DW100" i="6"/>
  <c r="DW101" i="6"/>
  <c r="DW102" i="6"/>
  <c r="DW103" i="6"/>
  <c r="DW104" i="6"/>
  <c r="DW105" i="6"/>
  <c r="DW106" i="6"/>
  <c r="DW107" i="6"/>
  <c r="DW108" i="6"/>
  <c r="DW109" i="6"/>
  <c r="DW110" i="6"/>
  <c r="DW111" i="6"/>
  <c r="DW112" i="6"/>
  <c r="DW113" i="6"/>
  <c r="DW114" i="6"/>
  <c r="DW115" i="6"/>
  <c r="DW116" i="6"/>
  <c r="DW117" i="6"/>
  <c r="DW118" i="6"/>
  <c r="DW119" i="6"/>
  <c r="DW120" i="6"/>
  <c r="DW121" i="6"/>
  <c r="DW122" i="6"/>
  <c r="DW123" i="6"/>
  <c r="DW124" i="6"/>
  <c r="DW125" i="6"/>
  <c r="DW126" i="6"/>
  <c r="DW127" i="6"/>
  <c r="DW128" i="6"/>
  <c r="DW129" i="6"/>
  <c r="DW130" i="6"/>
  <c r="DW131" i="6"/>
  <c r="DW132" i="6"/>
  <c r="DW133" i="6"/>
  <c r="DW134" i="6"/>
  <c r="DW135" i="6"/>
  <c r="DW136" i="6"/>
  <c r="DW137" i="6"/>
  <c r="DW138" i="6"/>
  <c r="DW139" i="6"/>
  <c r="DW140" i="6"/>
  <c r="DW141" i="6"/>
  <c r="DW142" i="6"/>
  <c r="DW143" i="6"/>
  <c r="DW144" i="6"/>
  <c r="DW145" i="6"/>
  <c r="DW146" i="6"/>
  <c r="DW147" i="6"/>
  <c r="DW148" i="6"/>
  <c r="DW149" i="6"/>
  <c r="DW150" i="6"/>
  <c r="DW151" i="6"/>
  <c r="DW152" i="6"/>
  <c r="DW153" i="6"/>
  <c r="DW154" i="6"/>
  <c r="DW155" i="6"/>
  <c r="DW156" i="6"/>
  <c r="DW157" i="6"/>
  <c r="DW158" i="6"/>
  <c r="DW159" i="6"/>
  <c r="DW160" i="6"/>
  <c r="DW161" i="6"/>
  <c r="DW162" i="6"/>
  <c r="DW163" i="6"/>
  <c r="DW164" i="6"/>
  <c r="DW165" i="6"/>
  <c r="DW166" i="6"/>
  <c r="DW167" i="6"/>
  <c r="DW168" i="6"/>
  <c r="DW169" i="6"/>
  <c r="DW170" i="6"/>
  <c r="DW171" i="6"/>
  <c r="DW172" i="6"/>
  <c r="DW173" i="6"/>
  <c r="DW174" i="6"/>
  <c r="DW175" i="6"/>
  <c r="DW176" i="6"/>
  <c r="DW177" i="6"/>
  <c r="DW178" i="6"/>
  <c r="DW179" i="6"/>
  <c r="DW180" i="6"/>
  <c r="DW181" i="6"/>
  <c r="DW182" i="6"/>
  <c r="DW183" i="6"/>
  <c r="DW184" i="6"/>
  <c r="DW185" i="6"/>
  <c r="DW186" i="6"/>
  <c r="DW187" i="6"/>
  <c r="DW188" i="6"/>
  <c r="DW189" i="6"/>
  <c r="DW190" i="6"/>
  <c r="DW191" i="6"/>
  <c r="DW192" i="6"/>
  <c r="DW193" i="6"/>
  <c r="DW194" i="6"/>
  <c r="DW195" i="6"/>
  <c r="DW196" i="6"/>
  <c r="DW197" i="6"/>
  <c r="DW198" i="6"/>
  <c r="DW199" i="6"/>
  <c r="DW200" i="6"/>
  <c r="DW201" i="6"/>
  <c r="DW202" i="6"/>
  <c r="DW203" i="6"/>
  <c r="DW204" i="6"/>
  <c r="DW205" i="6"/>
  <c r="DW206" i="6"/>
  <c r="DW207" i="6"/>
  <c r="DW208" i="6"/>
  <c r="DW209" i="6"/>
  <c r="DW210" i="6"/>
  <c r="DW211" i="6"/>
  <c r="DW212" i="6"/>
  <c r="DW213" i="6"/>
  <c r="DW214" i="6"/>
  <c r="DW215" i="6"/>
  <c r="DW216" i="6"/>
  <c r="DW217" i="6"/>
  <c r="DW218" i="6"/>
  <c r="DW219" i="6"/>
  <c r="DW220" i="6"/>
  <c r="DW221" i="6"/>
  <c r="DW222" i="6"/>
  <c r="DW223" i="6"/>
  <c r="DW224" i="6"/>
  <c r="DW225" i="6"/>
  <c r="DW226" i="6"/>
  <c r="DW227" i="6"/>
  <c r="DW228" i="6"/>
  <c r="DW229" i="6"/>
  <c r="DW230" i="6"/>
  <c r="DW231" i="6"/>
  <c r="DW232" i="6"/>
  <c r="DW233" i="6"/>
  <c r="DW234" i="6"/>
  <c r="DW235" i="6"/>
  <c r="DW236" i="6"/>
  <c r="DW237" i="6"/>
  <c r="DW238" i="6"/>
  <c r="DW239" i="6"/>
  <c r="DW240" i="6"/>
  <c r="DW241" i="6"/>
  <c r="DW242" i="6"/>
  <c r="DW243" i="6"/>
  <c r="DW244" i="6"/>
  <c r="DW245" i="6"/>
  <c r="DW246" i="6"/>
  <c r="DW247" i="6"/>
  <c r="DW248" i="6"/>
  <c r="DW249" i="6"/>
  <c r="DW250" i="6"/>
  <c r="DW251" i="6"/>
  <c r="DW252" i="6"/>
  <c r="DW253" i="6"/>
  <c r="DW254" i="6"/>
  <c r="DW255" i="6"/>
  <c r="DW256" i="6"/>
  <c r="DW257" i="6"/>
  <c r="DW258" i="6"/>
  <c r="DW259" i="6"/>
  <c r="DW260" i="6"/>
  <c r="DW261" i="6"/>
  <c r="DW262" i="6"/>
  <c r="DW263" i="6"/>
  <c r="DW264" i="6"/>
  <c r="DW265" i="6"/>
  <c r="DW266" i="6"/>
  <c r="DW267" i="6"/>
  <c r="DW268" i="6"/>
  <c r="DW269" i="6"/>
  <c r="DW270" i="6"/>
  <c r="DW271" i="6"/>
  <c r="DW272" i="6"/>
  <c r="DW273" i="6"/>
  <c r="DW274" i="6"/>
  <c r="DW275" i="6"/>
  <c r="DW276" i="6"/>
  <c r="DW277" i="6"/>
  <c r="DW278" i="6"/>
  <c r="DW279" i="6"/>
  <c r="DW280" i="6"/>
  <c r="DW281" i="6"/>
  <c r="DW282" i="6"/>
  <c r="DW283" i="6"/>
  <c r="DW284" i="6"/>
  <c r="DW285" i="6"/>
  <c r="DW286" i="6"/>
  <c r="DW287" i="6"/>
  <c r="DW288" i="6"/>
  <c r="DW289" i="6"/>
  <c r="DW290" i="6"/>
  <c r="DW291" i="6"/>
  <c r="DW292" i="6"/>
  <c r="DW293" i="6"/>
  <c r="DW294" i="6"/>
  <c r="DW295" i="6"/>
  <c r="DW296" i="6"/>
  <c r="DW297" i="6"/>
  <c r="DW298" i="6"/>
  <c r="DW299" i="6"/>
  <c r="DW300" i="6"/>
  <c r="DW301" i="6"/>
  <c r="DW302" i="6"/>
  <c r="DW303" i="6"/>
  <c r="DW304" i="6"/>
  <c r="DW305" i="6"/>
  <c r="DW306" i="6"/>
  <c r="DW307" i="6"/>
  <c r="DW308" i="6"/>
  <c r="DW309" i="6"/>
  <c r="DW310" i="6"/>
  <c r="DW311" i="6"/>
  <c r="DW312" i="6"/>
  <c r="DW313" i="6"/>
  <c r="DW314" i="6"/>
  <c r="DW315" i="6"/>
  <c r="DW316" i="6"/>
  <c r="DW317" i="6"/>
  <c r="DW318" i="6"/>
  <c r="DW319" i="6"/>
  <c r="DW320" i="6"/>
  <c r="DW321" i="6"/>
  <c r="DW322" i="6"/>
  <c r="DW323" i="6"/>
  <c r="DW324" i="6"/>
  <c r="DW325" i="6"/>
  <c r="DW326" i="6"/>
  <c r="DW327" i="6"/>
  <c r="DW328" i="6"/>
  <c r="DW329" i="6"/>
  <c r="DW330" i="6"/>
  <c r="DW331" i="6"/>
  <c r="DW332" i="6"/>
  <c r="DW333" i="6"/>
  <c r="DW334" i="6"/>
  <c r="DW335" i="6"/>
  <c r="DW336" i="6"/>
  <c r="DW337" i="6"/>
  <c r="DW338" i="6"/>
  <c r="DW339" i="6"/>
  <c r="DW340" i="6"/>
  <c r="DW341" i="6"/>
  <c r="DW342" i="6"/>
  <c r="DW343" i="6"/>
  <c r="DW344" i="6"/>
  <c r="DW345" i="6"/>
  <c r="DW346" i="6"/>
  <c r="DW347" i="6"/>
  <c r="DW348" i="6"/>
  <c r="DW349" i="6"/>
  <c r="DW350" i="6"/>
  <c r="DW351" i="6"/>
  <c r="DW352" i="6"/>
  <c r="DW353" i="6"/>
  <c r="DW354" i="6"/>
  <c r="DW355" i="6"/>
  <c r="DW356" i="6"/>
  <c r="DW357" i="6"/>
  <c r="DW358" i="6"/>
  <c r="DW359" i="6"/>
  <c r="DW360" i="6"/>
  <c r="DW361" i="6"/>
  <c r="DW362" i="6"/>
  <c r="DW363" i="6"/>
  <c r="DW364" i="6"/>
  <c r="DW365" i="6"/>
  <c r="DW366" i="6"/>
  <c r="DW367" i="6"/>
  <c r="DW368" i="6"/>
  <c r="DW369" i="6"/>
  <c r="DW370" i="6"/>
  <c r="DW371" i="6"/>
  <c r="DW372" i="6"/>
  <c r="DW373" i="6"/>
  <c r="DW374" i="6"/>
  <c r="DW375" i="6"/>
  <c r="DW376" i="6"/>
  <c r="DW377" i="6"/>
  <c r="DW378" i="6"/>
  <c r="DW379" i="6"/>
  <c r="DW380" i="6"/>
  <c r="DW381" i="6"/>
  <c r="DW382" i="6"/>
  <c r="DW383" i="6"/>
  <c r="DW384" i="6"/>
  <c r="DW385" i="6"/>
  <c r="DW386" i="6"/>
  <c r="DW387" i="6"/>
  <c r="DW388" i="6"/>
  <c r="DW389" i="6"/>
  <c r="DW390" i="6"/>
  <c r="DW391" i="6"/>
  <c r="DW392" i="6"/>
  <c r="DW393" i="6"/>
  <c r="DW394" i="6"/>
  <c r="DW395" i="6"/>
  <c r="DW396" i="6"/>
  <c r="DW397" i="6"/>
  <c r="DW398" i="6"/>
  <c r="DW399" i="6"/>
  <c r="DW400" i="6"/>
  <c r="DW401" i="6"/>
  <c r="DW402" i="6"/>
  <c r="DW403" i="6"/>
  <c r="DW404" i="6"/>
  <c r="DW405" i="6"/>
  <c r="DW406" i="6"/>
  <c r="DW407" i="6"/>
  <c r="DW408" i="6"/>
  <c r="DW409" i="6"/>
  <c r="DW410" i="6"/>
  <c r="DW411" i="6"/>
  <c r="DW412" i="6"/>
  <c r="DW413" i="6"/>
  <c r="DW414" i="6"/>
  <c r="DW415" i="6"/>
  <c r="DW416" i="6"/>
  <c r="DW417" i="6"/>
  <c r="DW418" i="6"/>
  <c r="DW419" i="6"/>
  <c r="DW420" i="6"/>
  <c r="DW421" i="6"/>
  <c r="DW422" i="6"/>
  <c r="DW423" i="6"/>
  <c r="DW424" i="6"/>
  <c r="DW425" i="6"/>
  <c r="DW426" i="6"/>
  <c r="DW427" i="6"/>
  <c r="DW428" i="6"/>
  <c r="DW429" i="6"/>
  <c r="DW430" i="6"/>
  <c r="DW431" i="6"/>
  <c r="DW432" i="6"/>
  <c r="DW433" i="6"/>
  <c r="DW434" i="6"/>
  <c r="DW435" i="6"/>
  <c r="DW436" i="6"/>
  <c r="DW437" i="6"/>
  <c r="DW438" i="6"/>
  <c r="DW439" i="6"/>
  <c r="DW440" i="6"/>
  <c r="DW441" i="6"/>
  <c r="DW442" i="6"/>
  <c r="DW443" i="6"/>
  <c r="DW444" i="6"/>
  <c r="DW445" i="6"/>
  <c r="DW446" i="6"/>
  <c r="DW447" i="6"/>
  <c r="DW448" i="6"/>
  <c r="DW449" i="6"/>
  <c r="DW450" i="6"/>
  <c r="DW451" i="6"/>
  <c r="DW452" i="6"/>
  <c r="DW453" i="6"/>
  <c r="DW454" i="6"/>
  <c r="DW455" i="6"/>
  <c r="DW456" i="6"/>
  <c r="DW457" i="6"/>
  <c r="DW458" i="6"/>
  <c r="DW459" i="6"/>
  <c r="DW460" i="6"/>
  <c r="DW461" i="6"/>
  <c r="DW462" i="6"/>
  <c r="DW463" i="6"/>
  <c r="DW464" i="6"/>
  <c r="DW465" i="6"/>
  <c r="DW466" i="6"/>
  <c r="DW467" i="6"/>
  <c r="DW468" i="6"/>
  <c r="DW469" i="6"/>
  <c r="DW470" i="6"/>
  <c r="DW471" i="6"/>
  <c r="DW472" i="6"/>
  <c r="DW473" i="6"/>
  <c r="DW474" i="6"/>
  <c r="DW475" i="6"/>
  <c r="DW476" i="6"/>
  <c r="DW477" i="6"/>
  <c r="DW478" i="6"/>
  <c r="DW479" i="6"/>
  <c r="DW480" i="6"/>
  <c r="DW481" i="6"/>
  <c r="DW482" i="6"/>
  <c r="DW483" i="6"/>
  <c r="DW484" i="6"/>
  <c r="DW485" i="6"/>
  <c r="DW486" i="6"/>
  <c r="DW487" i="6"/>
  <c r="DW488" i="6"/>
  <c r="DW489" i="6"/>
  <c r="DW490" i="6"/>
  <c r="DW491" i="6"/>
  <c r="DW492" i="6"/>
  <c r="DW493" i="6"/>
  <c r="DW494" i="6"/>
  <c r="DW495" i="6"/>
  <c r="DW496" i="6"/>
  <c r="DW497" i="6"/>
  <c r="DW498" i="6"/>
  <c r="DW499" i="6"/>
  <c r="DW500" i="6"/>
  <c r="DW8" i="6"/>
  <c r="U16" i="5"/>
  <c r="U17" i="5"/>
  <c r="U18" i="5"/>
  <c r="U19" i="5"/>
  <c r="U20" i="5"/>
  <c r="U21" i="5"/>
  <c r="U22" i="5"/>
  <c r="U23" i="5"/>
  <c r="U24" i="5"/>
  <c r="U25" i="5"/>
  <c r="U26" i="5"/>
  <c r="U27" i="5"/>
  <c r="U28" i="5"/>
  <c r="U29" i="5"/>
  <c r="U30" i="5"/>
  <c r="U31" i="5"/>
  <c r="U32" i="5"/>
  <c r="U33" i="5"/>
  <c r="U34" i="5"/>
  <c r="U35" i="5"/>
  <c r="U36" i="5"/>
  <c r="U37" i="5"/>
  <c r="U38" i="5"/>
  <c r="U39" i="5"/>
  <c r="U40" i="5"/>
  <c r="U41" i="5"/>
  <c r="U42" i="5"/>
  <c r="U43" i="5"/>
  <c r="U44" i="5"/>
  <c r="U45" i="5"/>
  <c r="U46" i="5"/>
  <c r="U47" i="5"/>
  <c r="U48" i="5"/>
  <c r="U49" i="5"/>
  <c r="U50" i="5"/>
  <c r="U51" i="5"/>
  <c r="U52" i="5"/>
  <c r="U53" i="5"/>
  <c r="U54" i="5"/>
  <c r="U55" i="5"/>
  <c r="U56" i="5"/>
  <c r="U57" i="5"/>
  <c r="U58" i="5"/>
  <c r="U59" i="5"/>
  <c r="U60" i="5"/>
  <c r="U61" i="5"/>
  <c r="U62" i="5"/>
  <c r="U63" i="5"/>
  <c r="U64" i="5"/>
  <c r="U65" i="5"/>
  <c r="U66" i="5"/>
  <c r="U67" i="5"/>
  <c r="U68" i="5"/>
  <c r="U69" i="5"/>
  <c r="U70" i="5"/>
  <c r="U71" i="5"/>
  <c r="U72" i="5"/>
  <c r="U73" i="5"/>
  <c r="U74" i="5"/>
  <c r="U75" i="5"/>
  <c r="U76" i="5"/>
  <c r="U77" i="5"/>
  <c r="U78" i="5"/>
  <c r="U79" i="5"/>
  <c r="U80" i="5"/>
  <c r="U81" i="5"/>
  <c r="U82" i="5"/>
  <c r="U83" i="5"/>
  <c r="U84" i="5"/>
  <c r="U85" i="5"/>
  <c r="U86" i="5"/>
  <c r="U87" i="5"/>
  <c r="U88" i="5"/>
  <c r="U89" i="5"/>
  <c r="U90" i="5"/>
  <c r="U91" i="5"/>
  <c r="U92" i="5"/>
  <c r="U93" i="5"/>
  <c r="U94" i="5"/>
  <c r="U95" i="5"/>
  <c r="U96" i="5"/>
  <c r="U97" i="5"/>
  <c r="U98" i="5"/>
  <c r="U99" i="5"/>
  <c r="U100" i="5"/>
  <c r="U101" i="5"/>
  <c r="U102" i="5"/>
  <c r="U103" i="5"/>
  <c r="U104" i="5"/>
  <c r="U105" i="5"/>
  <c r="U106" i="5"/>
  <c r="U107" i="5"/>
  <c r="U108" i="5"/>
  <c r="U109" i="5"/>
  <c r="U110" i="5"/>
  <c r="U111" i="5"/>
  <c r="U112" i="5"/>
  <c r="U113" i="5"/>
  <c r="U114" i="5"/>
  <c r="U115" i="5"/>
  <c r="U116" i="5"/>
  <c r="U117" i="5"/>
  <c r="U118" i="5"/>
  <c r="U119" i="5"/>
  <c r="U120" i="5"/>
  <c r="U121" i="5"/>
  <c r="U122" i="5"/>
  <c r="U123" i="5"/>
  <c r="U124" i="5"/>
  <c r="U125" i="5"/>
  <c r="U126" i="5"/>
  <c r="U127" i="5"/>
  <c r="U128" i="5"/>
  <c r="U129" i="5"/>
  <c r="U130" i="5"/>
  <c r="U131" i="5"/>
  <c r="U132" i="5"/>
  <c r="U133" i="5"/>
  <c r="U134" i="5"/>
  <c r="U135" i="5"/>
  <c r="U136" i="5"/>
  <c r="U137" i="5"/>
  <c r="U138" i="5"/>
  <c r="U139" i="5"/>
  <c r="U140" i="5"/>
  <c r="U141" i="5"/>
  <c r="U142" i="5"/>
  <c r="U143" i="5"/>
  <c r="U144" i="5"/>
  <c r="U145" i="5"/>
  <c r="U146" i="5"/>
  <c r="U147" i="5"/>
  <c r="U148" i="5"/>
  <c r="U149" i="5"/>
  <c r="U150" i="5"/>
  <c r="U151" i="5"/>
  <c r="U152" i="5"/>
  <c r="U153" i="5"/>
  <c r="U154" i="5"/>
  <c r="U155" i="5"/>
  <c r="U156" i="5"/>
  <c r="U157" i="5"/>
  <c r="U158" i="5"/>
  <c r="U159" i="5"/>
  <c r="U160" i="5"/>
  <c r="U161" i="5"/>
  <c r="U162" i="5"/>
  <c r="U163" i="5"/>
  <c r="U164" i="5"/>
  <c r="U165" i="5"/>
  <c r="U166" i="5"/>
  <c r="U167" i="5"/>
  <c r="U168" i="5"/>
  <c r="U169" i="5"/>
  <c r="U170" i="5"/>
  <c r="U171" i="5"/>
  <c r="U172" i="5"/>
  <c r="U173" i="5"/>
  <c r="U174" i="5"/>
  <c r="U175" i="5"/>
  <c r="U176" i="5"/>
  <c r="U177" i="5"/>
  <c r="U178" i="5"/>
  <c r="U179" i="5"/>
  <c r="U180" i="5"/>
  <c r="U181" i="5"/>
  <c r="U182" i="5"/>
  <c r="U183" i="5"/>
  <c r="U184" i="5"/>
  <c r="U185" i="5"/>
  <c r="U186" i="5"/>
  <c r="U187" i="5"/>
  <c r="U188" i="5"/>
  <c r="U189" i="5"/>
  <c r="U190" i="5"/>
  <c r="U191" i="5"/>
  <c r="U192" i="5"/>
  <c r="U193" i="5"/>
  <c r="U194" i="5"/>
  <c r="U195" i="5"/>
  <c r="U196" i="5"/>
  <c r="U197" i="5"/>
  <c r="U198" i="5"/>
  <c r="U199" i="5"/>
  <c r="U200" i="5"/>
  <c r="EC14" i="6"/>
  <c r="EC15" i="6"/>
  <c r="EC16" i="6"/>
  <c r="EC17" i="6"/>
  <c r="EC18" i="6"/>
  <c r="EC19" i="6"/>
  <c r="EC20" i="6"/>
  <c r="EC21" i="6"/>
  <c r="EC22" i="6"/>
  <c r="EC23" i="6"/>
  <c r="EC24" i="6"/>
  <c r="EC25" i="6"/>
  <c r="EC26" i="6"/>
  <c r="EC27" i="6"/>
  <c r="EC28" i="6"/>
  <c r="EC29" i="6"/>
  <c r="EC30" i="6"/>
  <c r="EC31" i="6"/>
  <c r="EC32" i="6"/>
  <c r="EC33" i="6"/>
  <c r="EC34" i="6"/>
  <c r="EC35" i="6"/>
  <c r="EC36" i="6"/>
  <c r="EC37" i="6"/>
  <c r="EC38" i="6"/>
  <c r="EC39" i="6"/>
  <c r="EC40" i="6"/>
  <c r="EC41" i="6"/>
  <c r="EC42" i="6"/>
  <c r="EC43" i="6"/>
  <c r="EC44" i="6"/>
  <c r="EC45" i="6"/>
  <c r="EC46" i="6"/>
  <c r="EC47" i="6"/>
  <c r="EC48" i="6"/>
  <c r="EC49" i="6"/>
  <c r="EC50" i="6"/>
  <c r="EC51" i="6"/>
  <c r="EC52" i="6"/>
  <c r="EC53" i="6"/>
  <c r="EC54" i="6"/>
  <c r="EC55" i="6"/>
  <c r="EC56" i="6"/>
  <c r="EC57" i="6"/>
  <c r="EC58" i="6"/>
  <c r="EC59" i="6"/>
  <c r="EC60" i="6"/>
  <c r="EC61" i="6"/>
  <c r="EC62" i="6"/>
  <c r="EC63" i="6"/>
  <c r="EC64" i="6"/>
  <c r="EC65" i="6"/>
  <c r="EC66" i="6"/>
  <c r="EC67" i="6"/>
  <c r="EC68" i="6"/>
  <c r="EC69" i="6"/>
  <c r="EC70" i="6"/>
  <c r="EC71" i="6"/>
  <c r="EC72" i="6"/>
  <c r="EC73" i="6"/>
  <c r="EC74" i="6"/>
  <c r="EC75" i="6"/>
  <c r="EC76" i="6"/>
  <c r="EC77" i="6"/>
  <c r="EC78" i="6"/>
  <c r="EC79" i="6"/>
  <c r="EC80" i="6"/>
  <c r="EC81" i="6"/>
  <c r="EC82" i="6"/>
  <c r="EC83" i="6"/>
  <c r="EC84" i="6"/>
  <c r="EC85" i="6"/>
  <c r="EC86" i="6"/>
  <c r="EC87" i="6"/>
  <c r="EC88" i="6"/>
  <c r="EC89" i="6"/>
  <c r="EC90" i="6"/>
  <c r="EC91" i="6"/>
  <c r="EC92" i="6"/>
  <c r="EC93" i="6"/>
  <c r="EC94" i="6"/>
  <c r="EC95" i="6"/>
  <c r="EC96" i="6"/>
  <c r="EC97" i="6"/>
  <c r="EC98" i="6"/>
  <c r="EC99" i="6"/>
  <c r="EC100" i="6"/>
  <c r="EC101" i="6"/>
  <c r="EC102" i="6"/>
  <c r="EC103" i="6"/>
  <c r="EC104" i="6"/>
  <c r="EC105" i="6"/>
  <c r="EC106" i="6"/>
  <c r="EC107" i="6"/>
  <c r="EC108" i="6"/>
  <c r="EC109" i="6"/>
  <c r="EC110" i="6"/>
  <c r="EC111" i="6"/>
  <c r="EC112" i="6"/>
  <c r="EC113" i="6"/>
  <c r="EC114" i="6"/>
  <c r="EC115" i="6"/>
  <c r="EC116" i="6"/>
  <c r="EC117" i="6"/>
  <c r="EC118" i="6"/>
  <c r="EC119" i="6"/>
  <c r="EC120" i="6"/>
  <c r="EC121" i="6"/>
  <c r="EC122" i="6"/>
  <c r="EC123" i="6"/>
  <c r="EC124" i="6"/>
  <c r="EC125" i="6"/>
  <c r="EC126" i="6"/>
  <c r="EC127" i="6"/>
  <c r="EC128" i="6"/>
  <c r="EC129" i="6"/>
  <c r="EC130" i="6"/>
  <c r="EC131" i="6"/>
  <c r="EC132" i="6"/>
  <c r="EC133" i="6"/>
  <c r="EC134" i="6"/>
  <c r="EC135" i="6"/>
  <c r="EC136" i="6"/>
  <c r="EC137" i="6"/>
  <c r="EC138" i="6"/>
  <c r="EC139" i="6"/>
  <c r="EC140" i="6"/>
  <c r="EC141" i="6"/>
  <c r="EC142" i="6"/>
  <c r="EC143" i="6"/>
  <c r="EC144" i="6"/>
  <c r="EC145" i="6"/>
  <c r="EC146" i="6"/>
  <c r="EC147" i="6"/>
  <c r="EC148" i="6"/>
  <c r="EC149" i="6"/>
  <c r="EC150" i="6"/>
  <c r="EC151" i="6"/>
  <c r="EC152" i="6"/>
  <c r="EC153" i="6"/>
  <c r="EC154" i="6"/>
  <c r="EC155" i="6"/>
  <c r="EC156" i="6"/>
  <c r="EC157" i="6"/>
  <c r="EC158" i="6"/>
  <c r="EC159" i="6"/>
  <c r="EC160" i="6"/>
  <c r="EC161" i="6"/>
  <c r="EC162" i="6"/>
  <c r="EC163" i="6"/>
  <c r="EC164" i="6"/>
  <c r="EC165" i="6"/>
  <c r="EC166" i="6"/>
  <c r="EC167" i="6"/>
  <c r="EC168" i="6"/>
  <c r="EC169" i="6"/>
  <c r="EC170" i="6"/>
  <c r="EC171" i="6"/>
  <c r="EC172" i="6"/>
  <c r="EC173" i="6"/>
  <c r="EC174" i="6"/>
  <c r="EC175" i="6"/>
  <c r="EC176" i="6"/>
  <c r="EC177" i="6"/>
  <c r="EC178" i="6"/>
  <c r="EC179" i="6"/>
  <c r="EC180" i="6"/>
  <c r="EC181" i="6"/>
  <c r="EC182" i="6"/>
  <c r="EC183" i="6"/>
  <c r="EC184" i="6"/>
  <c r="EC185" i="6"/>
  <c r="EC186" i="6"/>
  <c r="EC187" i="6"/>
  <c r="EC188" i="6"/>
  <c r="EC189" i="6"/>
  <c r="EC190" i="6"/>
  <c r="EC191" i="6"/>
  <c r="EC192" i="6"/>
  <c r="EC193" i="6"/>
  <c r="EC194" i="6"/>
  <c r="EC195" i="6"/>
  <c r="EC196" i="6"/>
  <c r="EC197" i="6"/>
  <c r="EC198" i="6"/>
  <c r="EC199" i="6"/>
  <c r="EC200" i="6"/>
  <c r="EC201" i="6"/>
  <c r="EC202" i="6"/>
  <c r="EC203" i="6"/>
  <c r="EC204" i="6"/>
  <c r="EC205" i="6"/>
  <c r="EC206" i="6"/>
  <c r="EC207" i="6"/>
  <c r="EC208" i="6"/>
  <c r="EC209" i="6"/>
  <c r="EC210" i="6"/>
  <c r="EC211" i="6"/>
  <c r="EC212" i="6"/>
  <c r="EC213" i="6"/>
  <c r="EC214" i="6"/>
  <c r="EC215" i="6"/>
  <c r="EC216" i="6"/>
  <c r="EC217" i="6"/>
  <c r="EC218" i="6"/>
  <c r="EC219" i="6"/>
  <c r="EC220" i="6"/>
  <c r="EC221" i="6"/>
  <c r="EC222" i="6"/>
  <c r="EC223" i="6"/>
  <c r="EC224" i="6"/>
  <c r="EC225" i="6"/>
  <c r="EC226" i="6"/>
  <c r="EC227" i="6"/>
  <c r="EC228" i="6"/>
  <c r="EC229" i="6"/>
  <c r="EC230" i="6"/>
  <c r="EC231" i="6"/>
  <c r="EC232" i="6"/>
  <c r="EC233" i="6"/>
  <c r="EC234" i="6"/>
  <c r="EC235" i="6"/>
  <c r="EC236" i="6"/>
  <c r="EC237" i="6"/>
  <c r="EC238" i="6"/>
  <c r="EC239" i="6"/>
  <c r="EC240" i="6"/>
  <c r="EC241" i="6"/>
  <c r="EC242" i="6"/>
  <c r="EC243" i="6"/>
  <c r="EC244" i="6"/>
  <c r="EC245" i="6"/>
  <c r="EC246" i="6"/>
  <c r="EC247" i="6"/>
  <c r="EC248" i="6"/>
  <c r="EC249" i="6"/>
  <c r="EC250" i="6"/>
  <c r="EC251" i="6"/>
  <c r="EC252" i="6"/>
  <c r="EC253" i="6"/>
  <c r="EC254" i="6"/>
  <c r="EC255" i="6"/>
  <c r="EC256" i="6"/>
  <c r="EC257" i="6"/>
  <c r="EC258" i="6"/>
  <c r="EC259" i="6"/>
  <c r="EC260" i="6"/>
  <c r="EC261" i="6"/>
  <c r="EC262" i="6"/>
  <c r="EC263" i="6"/>
  <c r="EC264" i="6"/>
  <c r="EC265" i="6"/>
  <c r="EC266" i="6"/>
  <c r="EC267" i="6"/>
  <c r="EC268" i="6"/>
  <c r="EC269" i="6"/>
  <c r="EC270" i="6"/>
  <c r="EC271" i="6"/>
  <c r="EC272" i="6"/>
  <c r="EC273" i="6"/>
  <c r="EC274" i="6"/>
  <c r="EC275" i="6"/>
  <c r="EC276" i="6"/>
  <c r="EC277" i="6"/>
  <c r="EC278" i="6"/>
  <c r="EC279" i="6"/>
  <c r="EC280" i="6"/>
  <c r="EC281" i="6"/>
  <c r="EC282" i="6"/>
  <c r="EC283" i="6"/>
  <c r="EC284" i="6"/>
  <c r="EC285" i="6"/>
  <c r="EC286" i="6"/>
  <c r="EC287" i="6"/>
  <c r="EC288" i="6"/>
  <c r="EC289" i="6"/>
  <c r="EC290" i="6"/>
  <c r="EC291" i="6"/>
  <c r="EC292" i="6"/>
  <c r="EC293" i="6"/>
  <c r="EC294" i="6"/>
  <c r="EC295" i="6"/>
  <c r="EC296" i="6"/>
  <c r="EC297" i="6"/>
  <c r="EC298" i="6"/>
  <c r="EC299" i="6"/>
  <c r="EC300" i="6"/>
  <c r="EC301" i="6"/>
  <c r="EC302" i="6"/>
  <c r="EC303" i="6"/>
  <c r="EC304" i="6"/>
  <c r="EC305" i="6"/>
  <c r="EC306" i="6"/>
  <c r="EC307" i="6"/>
  <c r="EC308" i="6"/>
  <c r="EC309" i="6"/>
  <c r="EC310" i="6"/>
  <c r="EC311" i="6"/>
  <c r="EC312" i="6"/>
  <c r="EC313" i="6"/>
  <c r="EC314" i="6"/>
  <c r="EC315" i="6"/>
  <c r="EC316" i="6"/>
  <c r="EC317" i="6"/>
  <c r="EC318" i="6"/>
  <c r="EC319" i="6"/>
  <c r="EC320" i="6"/>
  <c r="EC321" i="6"/>
  <c r="EC322" i="6"/>
  <c r="EC323" i="6"/>
  <c r="EC324" i="6"/>
  <c r="EC325" i="6"/>
  <c r="EC326" i="6"/>
  <c r="EC327" i="6"/>
  <c r="EC328" i="6"/>
  <c r="EC329" i="6"/>
  <c r="EC330" i="6"/>
  <c r="EC331" i="6"/>
  <c r="EC332" i="6"/>
  <c r="EC333" i="6"/>
  <c r="EC334" i="6"/>
  <c r="EC335" i="6"/>
  <c r="EC336" i="6"/>
  <c r="EC337" i="6"/>
  <c r="EC338" i="6"/>
  <c r="EC339" i="6"/>
  <c r="EC340" i="6"/>
  <c r="EC341" i="6"/>
  <c r="EC342" i="6"/>
  <c r="EC343" i="6"/>
  <c r="EC344" i="6"/>
  <c r="EC345" i="6"/>
  <c r="EC346" i="6"/>
  <c r="EC347" i="6"/>
  <c r="EC348" i="6"/>
  <c r="EC349" i="6"/>
  <c r="EC350" i="6"/>
  <c r="EC351" i="6"/>
  <c r="EC352" i="6"/>
  <c r="EC353" i="6"/>
  <c r="EC354" i="6"/>
  <c r="EC355" i="6"/>
  <c r="EC356" i="6"/>
  <c r="EC357" i="6"/>
  <c r="EC358" i="6"/>
  <c r="EC359" i="6"/>
  <c r="EC360" i="6"/>
  <c r="EC361" i="6"/>
  <c r="EC362" i="6"/>
  <c r="EC363" i="6"/>
  <c r="EC364" i="6"/>
  <c r="EC365" i="6"/>
  <c r="EC366" i="6"/>
  <c r="EC367" i="6"/>
  <c r="EC368" i="6"/>
  <c r="EC369" i="6"/>
  <c r="EC370" i="6"/>
  <c r="EC371" i="6"/>
  <c r="EC372" i="6"/>
  <c r="EC373" i="6"/>
  <c r="EC374" i="6"/>
  <c r="EC375" i="6"/>
  <c r="EC376" i="6"/>
  <c r="EC377" i="6"/>
  <c r="EC378" i="6"/>
  <c r="EC379" i="6"/>
  <c r="EC380" i="6"/>
  <c r="EC381" i="6"/>
  <c r="EC382" i="6"/>
  <c r="EC383" i="6"/>
  <c r="EC384" i="6"/>
  <c r="EC385" i="6"/>
  <c r="EC386" i="6"/>
  <c r="EC387" i="6"/>
  <c r="EC388" i="6"/>
  <c r="EC389" i="6"/>
  <c r="EC390" i="6"/>
  <c r="EC391" i="6"/>
  <c r="EC392" i="6"/>
  <c r="EC393" i="6"/>
  <c r="EC394" i="6"/>
  <c r="EC395" i="6"/>
  <c r="EC396" i="6"/>
  <c r="EC397" i="6"/>
  <c r="EC398" i="6"/>
  <c r="EC399" i="6"/>
  <c r="EC400" i="6"/>
  <c r="EC401" i="6"/>
  <c r="EC402" i="6"/>
  <c r="EC403" i="6"/>
  <c r="EC404" i="6"/>
  <c r="EC405" i="6"/>
  <c r="EC406" i="6"/>
  <c r="EC407" i="6"/>
  <c r="EC408" i="6"/>
  <c r="EC409" i="6"/>
  <c r="EC410" i="6"/>
  <c r="EC411" i="6"/>
  <c r="EC412" i="6"/>
  <c r="EC413" i="6"/>
  <c r="EC414" i="6"/>
  <c r="EC415" i="6"/>
  <c r="EC416" i="6"/>
  <c r="EC417" i="6"/>
  <c r="EC418" i="6"/>
  <c r="EC419" i="6"/>
  <c r="EC420" i="6"/>
  <c r="EC421" i="6"/>
  <c r="EC422" i="6"/>
  <c r="EC423" i="6"/>
  <c r="EC424" i="6"/>
  <c r="EC425" i="6"/>
  <c r="EC426" i="6"/>
  <c r="EC427" i="6"/>
  <c r="EC428" i="6"/>
  <c r="EC429" i="6"/>
  <c r="EC430" i="6"/>
  <c r="EC431" i="6"/>
  <c r="EC432" i="6"/>
  <c r="EC433" i="6"/>
  <c r="EC434" i="6"/>
  <c r="EC435" i="6"/>
  <c r="EC436" i="6"/>
  <c r="EC437" i="6"/>
  <c r="EC438" i="6"/>
  <c r="EC439" i="6"/>
  <c r="EC440" i="6"/>
  <c r="EC441" i="6"/>
  <c r="EC442" i="6"/>
  <c r="EC443" i="6"/>
  <c r="EC444" i="6"/>
  <c r="EC445" i="6"/>
  <c r="EC446" i="6"/>
  <c r="EC447" i="6"/>
  <c r="EC448" i="6"/>
  <c r="EC449" i="6"/>
  <c r="EC450" i="6"/>
  <c r="EC451" i="6"/>
  <c r="EC452" i="6"/>
  <c r="EC453" i="6"/>
  <c r="EC454" i="6"/>
  <c r="EC455" i="6"/>
  <c r="EC456" i="6"/>
  <c r="EC457" i="6"/>
  <c r="EC458" i="6"/>
  <c r="EC459" i="6"/>
  <c r="EC460" i="6"/>
  <c r="EC461" i="6"/>
  <c r="EC462" i="6"/>
  <c r="EC463" i="6"/>
  <c r="EC464" i="6"/>
  <c r="EC465" i="6"/>
  <c r="EC466" i="6"/>
  <c r="EC467" i="6"/>
  <c r="EC468" i="6"/>
  <c r="EC469" i="6"/>
  <c r="EC470" i="6"/>
  <c r="EC471" i="6"/>
  <c r="EC472" i="6"/>
  <c r="EC473" i="6"/>
  <c r="EC474" i="6"/>
  <c r="EC475" i="6"/>
  <c r="EC476" i="6"/>
  <c r="EC477" i="6"/>
  <c r="EC478" i="6"/>
  <c r="EC479" i="6"/>
  <c r="EC480" i="6"/>
  <c r="EC481" i="6"/>
  <c r="EC482" i="6"/>
  <c r="EC483" i="6"/>
  <c r="EC484" i="6"/>
  <c r="EC485" i="6"/>
  <c r="EC486" i="6"/>
  <c r="EC487" i="6"/>
  <c r="EC488" i="6"/>
  <c r="EC489" i="6"/>
  <c r="EC490" i="6"/>
  <c r="EC491" i="6"/>
  <c r="EC492" i="6"/>
  <c r="EC493" i="6"/>
  <c r="EC494" i="6"/>
  <c r="EC495" i="6"/>
  <c r="EC496" i="6"/>
  <c r="EC497" i="6"/>
  <c r="EC498" i="6"/>
  <c r="EC499" i="6"/>
  <c r="EC500" i="6"/>
  <c r="X10" i="6"/>
  <c r="X8" i="6"/>
  <c r="V10" i="6"/>
  <c r="V8" i="6"/>
  <c r="R8" i="6"/>
  <c r="P10" i="6"/>
  <c r="P8" i="6"/>
  <c r="L10" i="6"/>
  <c r="L8" i="6"/>
  <c r="J10" i="6"/>
  <c r="J8" i="6"/>
  <c r="H10" i="6"/>
  <c r="H8" i="6"/>
  <c r="D10" i="6"/>
  <c r="D8" i="6"/>
  <c r="F10" i="6"/>
  <c r="F8" i="6"/>
  <c r="B8" i="6" s="1"/>
  <c r="Y8" i="6"/>
  <c r="Z8" i="6" s="1"/>
  <c r="Y9" i="6"/>
  <c r="Y10" i="6"/>
  <c r="Z10" i="6" s="1"/>
  <c r="Y11" i="6"/>
  <c r="Y12" i="6"/>
  <c r="Y13" i="6"/>
  <c r="Y14" i="6"/>
  <c r="EB14" i="6" s="1"/>
  <c r="Y15" i="6"/>
  <c r="EB15" i="6" s="1"/>
  <c r="Y16" i="6"/>
  <c r="EB16" i="6" s="1"/>
  <c r="Y17" i="6"/>
  <c r="EB17" i="6" s="1"/>
  <c r="Y18" i="6"/>
  <c r="EB18" i="6" s="1"/>
  <c r="Y19" i="6"/>
  <c r="EB19" i="6" s="1"/>
  <c r="Y20" i="6"/>
  <c r="EB20" i="6" s="1"/>
  <c r="Y21" i="6"/>
  <c r="EB21" i="6" s="1"/>
  <c r="Y22" i="6"/>
  <c r="EB22" i="6" s="1"/>
  <c r="Y23" i="6"/>
  <c r="EB23" i="6" s="1"/>
  <c r="Y24" i="6"/>
  <c r="EB24" i="6" s="1"/>
  <c r="Y25" i="6"/>
  <c r="EB25" i="6" s="1"/>
  <c r="Y26" i="6"/>
  <c r="EB26" i="6" s="1"/>
  <c r="Y27" i="6"/>
  <c r="EB27" i="6" s="1"/>
  <c r="Y28" i="6"/>
  <c r="EB28" i="6" s="1"/>
  <c r="Y29" i="6"/>
  <c r="EB29" i="6" s="1"/>
  <c r="Y30" i="6"/>
  <c r="EB30" i="6" s="1"/>
  <c r="Y31" i="6"/>
  <c r="EB31" i="6" s="1"/>
  <c r="Y32" i="6"/>
  <c r="EB32" i="6" s="1"/>
  <c r="Y33" i="6"/>
  <c r="EB33" i="6" s="1"/>
  <c r="Y34" i="6"/>
  <c r="EB34" i="6" s="1"/>
  <c r="Y35" i="6"/>
  <c r="EB35" i="6" s="1"/>
  <c r="Y36" i="6"/>
  <c r="EB36" i="6" s="1"/>
  <c r="Y37" i="6"/>
  <c r="EB37" i="6" s="1"/>
  <c r="Y38" i="6"/>
  <c r="EB38" i="6" s="1"/>
  <c r="Y39" i="6"/>
  <c r="EB39" i="6" s="1"/>
  <c r="Y40" i="6"/>
  <c r="EB40" i="6" s="1"/>
  <c r="Y41" i="6"/>
  <c r="EB41" i="6" s="1"/>
  <c r="Y42" i="6"/>
  <c r="EB42" i="6" s="1"/>
  <c r="Y43" i="6"/>
  <c r="EB43" i="6" s="1"/>
  <c r="Y44" i="6"/>
  <c r="EB44" i="6" s="1"/>
  <c r="Y45" i="6"/>
  <c r="EB45" i="6" s="1"/>
  <c r="Y46" i="6"/>
  <c r="EB46" i="6" s="1"/>
  <c r="Y47" i="6"/>
  <c r="EB47" i="6" s="1"/>
  <c r="Y48" i="6"/>
  <c r="EB48" i="6" s="1"/>
  <c r="Y49" i="6"/>
  <c r="EB49" i="6" s="1"/>
  <c r="Y50" i="6"/>
  <c r="EB50" i="6" s="1"/>
  <c r="Y51" i="6"/>
  <c r="EB51" i="6" s="1"/>
  <c r="Y52" i="6"/>
  <c r="EB52" i="6" s="1"/>
  <c r="Y53" i="6"/>
  <c r="EB53" i="6" s="1"/>
  <c r="Y54" i="6"/>
  <c r="EB54" i="6" s="1"/>
  <c r="Y55" i="6"/>
  <c r="EB55" i="6" s="1"/>
  <c r="Y56" i="6"/>
  <c r="EB56" i="6" s="1"/>
  <c r="Y57" i="6"/>
  <c r="EB57" i="6" s="1"/>
  <c r="Y58" i="6"/>
  <c r="EB58" i="6" s="1"/>
  <c r="Y59" i="6"/>
  <c r="EB59" i="6" s="1"/>
  <c r="Y60" i="6"/>
  <c r="EB60" i="6" s="1"/>
  <c r="Y61" i="6"/>
  <c r="EB61" i="6" s="1"/>
  <c r="Y62" i="6"/>
  <c r="EB62" i="6" s="1"/>
  <c r="Y63" i="6"/>
  <c r="EB63" i="6" s="1"/>
  <c r="Y64" i="6"/>
  <c r="EB64" i="6" s="1"/>
  <c r="Y65" i="6"/>
  <c r="EB65" i="6" s="1"/>
  <c r="Y66" i="6"/>
  <c r="EB66" i="6" s="1"/>
  <c r="Y67" i="6"/>
  <c r="EB67" i="6" s="1"/>
  <c r="Y68" i="6"/>
  <c r="EB68" i="6" s="1"/>
  <c r="Y69" i="6"/>
  <c r="EB69" i="6" s="1"/>
  <c r="Y70" i="6"/>
  <c r="EB70" i="6" s="1"/>
  <c r="Y71" i="6"/>
  <c r="EB71" i="6" s="1"/>
  <c r="Y72" i="6"/>
  <c r="EB72" i="6" s="1"/>
  <c r="Y73" i="6"/>
  <c r="EB73" i="6" s="1"/>
  <c r="Y74" i="6"/>
  <c r="EB74" i="6" s="1"/>
  <c r="Y75" i="6"/>
  <c r="EB75" i="6" s="1"/>
  <c r="Y76" i="6"/>
  <c r="EB76" i="6" s="1"/>
  <c r="Y77" i="6"/>
  <c r="EB77" i="6" s="1"/>
  <c r="Y78" i="6"/>
  <c r="EB78" i="6" s="1"/>
  <c r="Y79" i="6"/>
  <c r="EB79" i="6" s="1"/>
  <c r="Y80" i="6"/>
  <c r="EB80" i="6" s="1"/>
  <c r="Y81" i="6"/>
  <c r="EB81" i="6" s="1"/>
  <c r="Y82" i="6"/>
  <c r="EB82" i="6" s="1"/>
  <c r="Y83" i="6"/>
  <c r="EB83" i="6" s="1"/>
  <c r="Y84" i="6"/>
  <c r="EB84" i="6" s="1"/>
  <c r="Y85" i="6"/>
  <c r="EB85" i="6" s="1"/>
  <c r="Y86" i="6"/>
  <c r="EB86" i="6" s="1"/>
  <c r="Y87" i="6"/>
  <c r="EB87" i="6" s="1"/>
  <c r="Y88" i="6"/>
  <c r="EB88" i="6" s="1"/>
  <c r="Y89" i="6"/>
  <c r="EB89" i="6" s="1"/>
  <c r="Y90" i="6"/>
  <c r="EB90" i="6" s="1"/>
  <c r="Y91" i="6"/>
  <c r="EB91" i="6" s="1"/>
  <c r="Y92" i="6"/>
  <c r="EB92" i="6" s="1"/>
  <c r="Y93" i="6"/>
  <c r="EB93" i="6" s="1"/>
  <c r="Y94" i="6"/>
  <c r="EB94" i="6" s="1"/>
  <c r="Y95" i="6"/>
  <c r="EB95" i="6" s="1"/>
  <c r="Y96" i="6"/>
  <c r="EB96" i="6" s="1"/>
  <c r="Y97" i="6"/>
  <c r="EB97" i="6" s="1"/>
  <c r="Y98" i="6"/>
  <c r="EB98" i="6" s="1"/>
  <c r="Y99" i="6"/>
  <c r="EB99" i="6" s="1"/>
  <c r="Y100" i="6"/>
  <c r="EB100" i="6" s="1"/>
  <c r="Y101" i="6"/>
  <c r="EB101" i="6" s="1"/>
  <c r="Y102" i="6"/>
  <c r="EB102" i="6" s="1"/>
  <c r="Y103" i="6"/>
  <c r="EB103" i="6" s="1"/>
  <c r="Y104" i="6"/>
  <c r="EB104" i="6" s="1"/>
  <c r="Y105" i="6"/>
  <c r="EB105" i="6" s="1"/>
  <c r="Y106" i="6"/>
  <c r="EB106" i="6" s="1"/>
  <c r="Y107" i="6"/>
  <c r="EB107" i="6" s="1"/>
  <c r="Y108" i="6"/>
  <c r="EB108" i="6" s="1"/>
  <c r="Y109" i="6"/>
  <c r="EB109" i="6" s="1"/>
  <c r="Y110" i="6"/>
  <c r="EB110" i="6" s="1"/>
  <c r="Y111" i="6"/>
  <c r="EB111" i="6" s="1"/>
  <c r="Y112" i="6"/>
  <c r="EB112" i="6" s="1"/>
  <c r="Y113" i="6"/>
  <c r="EB113" i="6" s="1"/>
  <c r="Y114" i="6"/>
  <c r="EB114" i="6" s="1"/>
  <c r="Y115" i="6"/>
  <c r="EB115" i="6" s="1"/>
  <c r="Y116" i="6"/>
  <c r="EB116" i="6" s="1"/>
  <c r="Y117" i="6"/>
  <c r="EB117" i="6" s="1"/>
  <c r="Y118" i="6"/>
  <c r="EB118" i="6" s="1"/>
  <c r="Y119" i="6"/>
  <c r="EB119" i="6" s="1"/>
  <c r="Y120" i="6"/>
  <c r="EB120" i="6" s="1"/>
  <c r="Y121" i="6"/>
  <c r="EB121" i="6" s="1"/>
  <c r="Y122" i="6"/>
  <c r="EB122" i="6" s="1"/>
  <c r="Y123" i="6"/>
  <c r="EB123" i="6" s="1"/>
  <c r="Y124" i="6"/>
  <c r="EB124" i="6" s="1"/>
  <c r="Y125" i="6"/>
  <c r="EB125" i="6" s="1"/>
  <c r="Y126" i="6"/>
  <c r="EB126" i="6" s="1"/>
  <c r="Y127" i="6"/>
  <c r="EB127" i="6" s="1"/>
  <c r="Y128" i="6"/>
  <c r="EB128" i="6" s="1"/>
  <c r="Y129" i="6"/>
  <c r="EB129" i="6" s="1"/>
  <c r="Y130" i="6"/>
  <c r="EB130" i="6" s="1"/>
  <c r="Y131" i="6"/>
  <c r="EB131" i="6" s="1"/>
  <c r="Y132" i="6"/>
  <c r="EB132" i="6" s="1"/>
  <c r="Y133" i="6"/>
  <c r="EB133" i="6" s="1"/>
  <c r="Y134" i="6"/>
  <c r="EB134" i="6" s="1"/>
  <c r="Y135" i="6"/>
  <c r="EB135" i="6" s="1"/>
  <c r="Y136" i="6"/>
  <c r="EB136" i="6" s="1"/>
  <c r="Y137" i="6"/>
  <c r="EB137" i="6" s="1"/>
  <c r="Y138" i="6"/>
  <c r="EB138" i="6" s="1"/>
  <c r="Y139" i="6"/>
  <c r="EB139" i="6" s="1"/>
  <c r="Y140" i="6"/>
  <c r="EB140" i="6" s="1"/>
  <c r="Y141" i="6"/>
  <c r="EB141" i="6" s="1"/>
  <c r="Y142" i="6"/>
  <c r="EB142" i="6" s="1"/>
  <c r="Y143" i="6"/>
  <c r="EB143" i="6" s="1"/>
  <c r="Y144" i="6"/>
  <c r="EB144" i="6" s="1"/>
  <c r="Y145" i="6"/>
  <c r="EB145" i="6" s="1"/>
  <c r="Y146" i="6"/>
  <c r="EB146" i="6" s="1"/>
  <c r="Y147" i="6"/>
  <c r="EB147" i="6" s="1"/>
  <c r="Y148" i="6"/>
  <c r="EB148" i="6" s="1"/>
  <c r="Y149" i="6"/>
  <c r="EB149" i="6" s="1"/>
  <c r="Y150" i="6"/>
  <c r="EB150" i="6" s="1"/>
  <c r="Y151" i="6"/>
  <c r="EB151" i="6" s="1"/>
  <c r="Y152" i="6"/>
  <c r="EB152" i="6" s="1"/>
  <c r="Y153" i="6"/>
  <c r="EB153" i="6" s="1"/>
  <c r="Y154" i="6"/>
  <c r="EB154" i="6" s="1"/>
  <c r="Y155" i="6"/>
  <c r="EB155" i="6" s="1"/>
  <c r="Y156" i="6"/>
  <c r="EB156" i="6" s="1"/>
  <c r="Y157" i="6"/>
  <c r="EB157" i="6" s="1"/>
  <c r="Y158" i="6"/>
  <c r="EB158" i="6" s="1"/>
  <c r="Y159" i="6"/>
  <c r="EB159" i="6" s="1"/>
  <c r="Y160" i="6"/>
  <c r="EB160" i="6" s="1"/>
  <c r="Y161" i="6"/>
  <c r="EB161" i="6" s="1"/>
  <c r="Y162" i="6"/>
  <c r="EB162" i="6" s="1"/>
  <c r="Y163" i="6"/>
  <c r="EB163" i="6" s="1"/>
  <c r="Y164" i="6"/>
  <c r="EB164" i="6" s="1"/>
  <c r="Y165" i="6"/>
  <c r="EB165" i="6" s="1"/>
  <c r="Y166" i="6"/>
  <c r="EB166" i="6" s="1"/>
  <c r="Y167" i="6"/>
  <c r="EB167" i="6" s="1"/>
  <c r="Y168" i="6"/>
  <c r="EB168" i="6" s="1"/>
  <c r="Y169" i="6"/>
  <c r="EB169" i="6" s="1"/>
  <c r="Y170" i="6"/>
  <c r="EB170" i="6" s="1"/>
  <c r="Y171" i="6"/>
  <c r="EB171" i="6" s="1"/>
  <c r="Y172" i="6"/>
  <c r="EB172" i="6" s="1"/>
  <c r="Y173" i="6"/>
  <c r="EB173" i="6" s="1"/>
  <c r="Y174" i="6"/>
  <c r="EB174" i="6" s="1"/>
  <c r="Y175" i="6"/>
  <c r="EB175" i="6" s="1"/>
  <c r="Y176" i="6"/>
  <c r="EB176" i="6" s="1"/>
  <c r="Y177" i="6"/>
  <c r="EB177" i="6" s="1"/>
  <c r="Y178" i="6"/>
  <c r="EB178" i="6" s="1"/>
  <c r="Y179" i="6"/>
  <c r="EB179" i="6" s="1"/>
  <c r="Y180" i="6"/>
  <c r="EB180" i="6" s="1"/>
  <c r="Y181" i="6"/>
  <c r="EB181" i="6" s="1"/>
  <c r="Y182" i="6"/>
  <c r="EB182" i="6" s="1"/>
  <c r="Y183" i="6"/>
  <c r="EB183" i="6" s="1"/>
  <c r="Y184" i="6"/>
  <c r="EB184" i="6" s="1"/>
  <c r="Y185" i="6"/>
  <c r="EB185" i="6" s="1"/>
  <c r="Y186" i="6"/>
  <c r="EB186" i="6" s="1"/>
  <c r="Y187" i="6"/>
  <c r="EB187" i="6" s="1"/>
  <c r="Y188" i="6"/>
  <c r="EB188" i="6" s="1"/>
  <c r="Y189" i="6"/>
  <c r="EB189" i="6" s="1"/>
  <c r="Y190" i="6"/>
  <c r="EB190" i="6" s="1"/>
  <c r="Y191" i="6"/>
  <c r="EB191" i="6" s="1"/>
  <c r="Y192" i="6"/>
  <c r="EB192" i="6" s="1"/>
  <c r="Y193" i="6"/>
  <c r="EB193" i="6" s="1"/>
  <c r="Y194" i="6"/>
  <c r="EB194" i="6" s="1"/>
  <c r="Y195" i="6"/>
  <c r="EB195" i="6" s="1"/>
  <c r="Y196" i="6"/>
  <c r="EB196" i="6" s="1"/>
  <c r="Y197" i="6"/>
  <c r="EB197" i="6" s="1"/>
  <c r="Y198" i="6"/>
  <c r="EB198" i="6" s="1"/>
  <c r="Y199" i="6"/>
  <c r="EB199" i="6" s="1"/>
  <c r="Y200" i="6"/>
  <c r="EB200" i="6" s="1"/>
  <c r="Y201" i="6"/>
  <c r="EB201" i="6" s="1"/>
  <c r="Y202" i="6"/>
  <c r="EB202" i="6" s="1"/>
  <c r="Y203" i="6"/>
  <c r="EB203" i="6" s="1"/>
  <c r="Y204" i="6"/>
  <c r="EB204" i="6" s="1"/>
  <c r="Y205" i="6"/>
  <c r="EB205" i="6" s="1"/>
  <c r="Y206" i="6"/>
  <c r="EB206" i="6" s="1"/>
  <c r="Y207" i="6"/>
  <c r="EB207" i="6" s="1"/>
  <c r="Y208" i="6"/>
  <c r="EB208" i="6" s="1"/>
  <c r="Y209" i="6"/>
  <c r="EB209" i="6" s="1"/>
  <c r="Y210" i="6"/>
  <c r="EB210" i="6" s="1"/>
  <c r="Y211" i="6"/>
  <c r="EB211" i="6" s="1"/>
  <c r="Y212" i="6"/>
  <c r="EB212" i="6" s="1"/>
  <c r="Y213" i="6"/>
  <c r="EB213" i="6" s="1"/>
  <c r="Y214" i="6"/>
  <c r="EB214" i="6" s="1"/>
  <c r="Y215" i="6"/>
  <c r="EB215" i="6" s="1"/>
  <c r="Y216" i="6"/>
  <c r="EB216" i="6" s="1"/>
  <c r="Y217" i="6"/>
  <c r="EB217" i="6" s="1"/>
  <c r="Y218" i="6"/>
  <c r="EB218" i="6" s="1"/>
  <c r="Y219" i="6"/>
  <c r="EB219" i="6" s="1"/>
  <c r="Y220" i="6"/>
  <c r="EB220" i="6" s="1"/>
  <c r="Y221" i="6"/>
  <c r="EB221" i="6" s="1"/>
  <c r="Y222" i="6"/>
  <c r="EB222" i="6" s="1"/>
  <c r="Y223" i="6"/>
  <c r="EB223" i="6" s="1"/>
  <c r="Y224" i="6"/>
  <c r="EB224" i="6" s="1"/>
  <c r="Y225" i="6"/>
  <c r="EB225" i="6" s="1"/>
  <c r="Y226" i="6"/>
  <c r="EB226" i="6" s="1"/>
  <c r="Y227" i="6"/>
  <c r="EB227" i="6" s="1"/>
  <c r="Y228" i="6"/>
  <c r="EB228" i="6" s="1"/>
  <c r="Y229" i="6"/>
  <c r="EB229" i="6" s="1"/>
  <c r="Y230" i="6"/>
  <c r="EB230" i="6" s="1"/>
  <c r="Y231" i="6"/>
  <c r="EB231" i="6" s="1"/>
  <c r="Y232" i="6"/>
  <c r="EB232" i="6" s="1"/>
  <c r="Y233" i="6"/>
  <c r="EB233" i="6" s="1"/>
  <c r="Y234" i="6"/>
  <c r="EB234" i="6" s="1"/>
  <c r="Y235" i="6"/>
  <c r="EB235" i="6" s="1"/>
  <c r="Y236" i="6"/>
  <c r="EB236" i="6" s="1"/>
  <c r="Y237" i="6"/>
  <c r="EB237" i="6" s="1"/>
  <c r="Y238" i="6"/>
  <c r="EB238" i="6" s="1"/>
  <c r="Y239" i="6"/>
  <c r="EB239" i="6" s="1"/>
  <c r="Y240" i="6"/>
  <c r="EB240" i="6" s="1"/>
  <c r="Y241" i="6"/>
  <c r="EB241" i="6" s="1"/>
  <c r="Y242" i="6"/>
  <c r="EB242" i="6" s="1"/>
  <c r="Y243" i="6"/>
  <c r="EB243" i="6" s="1"/>
  <c r="Y244" i="6"/>
  <c r="EB244" i="6" s="1"/>
  <c r="Y245" i="6"/>
  <c r="EB245" i="6" s="1"/>
  <c r="Y246" i="6"/>
  <c r="EB246" i="6" s="1"/>
  <c r="Y247" i="6"/>
  <c r="EB247" i="6" s="1"/>
  <c r="Y248" i="6"/>
  <c r="EB248" i="6" s="1"/>
  <c r="Y249" i="6"/>
  <c r="EB249" i="6" s="1"/>
  <c r="Y250" i="6"/>
  <c r="EB250" i="6" s="1"/>
  <c r="Y251" i="6"/>
  <c r="EB251" i="6" s="1"/>
  <c r="Y252" i="6"/>
  <c r="EB252" i="6" s="1"/>
  <c r="Y253" i="6"/>
  <c r="EB253" i="6" s="1"/>
  <c r="Y254" i="6"/>
  <c r="EB254" i="6" s="1"/>
  <c r="Y255" i="6"/>
  <c r="EB255" i="6" s="1"/>
  <c r="Y256" i="6"/>
  <c r="EB256" i="6" s="1"/>
  <c r="Y257" i="6"/>
  <c r="EB257" i="6" s="1"/>
  <c r="Y258" i="6"/>
  <c r="EB258" i="6" s="1"/>
  <c r="Y259" i="6"/>
  <c r="EB259" i="6" s="1"/>
  <c r="Y260" i="6"/>
  <c r="EB260" i="6" s="1"/>
  <c r="Y261" i="6"/>
  <c r="EB261" i="6" s="1"/>
  <c r="Y262" i="6"/>
  <c r="EB262" i="6" s="1"/>
  <c r="Y263" i="6"/>
  <c r="EB263" i="6" s="1"/>
  <c r="Y264" i="6"/>
  <c r="EB264" i="6" s="1"/>
  <c r="Y265" i="6"/>
  <c r="EB265" i="6" s="1"/>
  <c r="Y266" i="6"/>
  <c r="EB266" i="6" s="1"/>
  <c r="Y267" i="6"/>
  <c r="EB267" i="6" s="1"/>
  <c r="Y268" i="6"/>
  <c r="EB268" i="6" s="1"/>
  <c r="Y269" i="6"/>
  <c r="EB269" i="6" s="1"/>
  <c r="Y270" i="6"/>
  <c r="EB270" i="6" s="1"/>
  <c r="Y271" i="6"/>
  <c r="EB271" i="6" s="1"/>
  <c r="Y272" i="6"/>
  <c r="EB272" i="6" s="1"/>
  <c r="Y273" i="6"/>
  <c r="EB273" i="6" s="1"/>
  <c r="Y274" i="6"/>
  <c r="EB274" i="6" s="1"/>
  <c r="Y275" i="6"/>
  <c r="EB275" i="6" s="1"/>
  <c r="Y276" i="6"/>
  <c r="EB276" i="6" s="1"/>
  <c r="Y277" i="6"/>
  <c r="EB277" i="6" s="1"/>
  <c r="Y278" i="6"/>
  <c r="EB278" i="6" s="1"/>
  <c r="Y279" i="6"/>
  <c r="EB279" i="6" s="1"/>
  <c r="Y280" i="6"/>
  <c r="EB280" i="6" s="1"/>
  <c r="Y281" i="6"/>
  <c r="EB281" i="6" s="1"/>
  <c r="Y282" i="6"/>
  <c r="EB282" i="6" s="1"/>
  <c r="Y283" i="6"/>
  <c r="EB283" i="6" s="1"/>
  <c r="Y284" i="6"/>
  <c r="EB284" i="6" s="1"/>
  <c r="Y285" i="6"/>
  <c r="EB285" i="6" s="1"/>
  <c r="Y286" i="6"/>
  <c r="EB286" i="6" s="1"/>
  <c r="Y287" i="6"/>
  <c r="EB287" i="6" s="1"/>
  <c r="Y288" i="6"/>
  <c r="EB288" i="6" s="1"/>
  <c r="Y289" i="6"/>
  <c r="EB289" i="6" s="1"/>
  <c r="Y290" i="6"/>
  <c r="EB290" i="6" s="1"/>
  <c r="Y291" i="6"/>
  <c r="EB291" i="6" s="1"/>
  <c r="Y292" i="6"/>
  <c r="EB292" i="6" s="1"/>
  <c r="Y293" i="6"/>
  <c r="EB293" i="6" s="1"/>
  <c r="Y294" i="6"/>
  <c r="EB294" i="6" s="1"/>
  <c r="Y295" i="6"/>
  <c r="EB295" i="6" s="1"/>
  <c r="Y296" i="6"/>
  <c r="EB296" i="6" s="1"/>
  <c r="Y297" i="6"/>
  <c r="EB297" i="6" s="1"/>
  <c r="Y298" i="6"/>
  <c r="EB298" i="6" s="1"/>
  <c r="Y299" i="6"/>
  <c r="EB299" i="6" s="1"/>
  <c r="Y300" i="6"/>
  <c r="EB300" i="6" s="1"/>
  <c r="Y301" i="6"/>
  <c r="EB301" i="6" s="1"/>
  <c r="Y302" i="6"/>
  <c r="EB302" i="6" s="1"/>
  <c r="Y303" i="6"/>
  <c r="EB303" i="6" s="1"/>
  <c r="Y304" i="6"/>
  <c r="EB304" i="6" s="1"/>
  <c r="Y305" i="6"/>
  <c r="EB305" i="6" s="1"/>
  <c r="Y306" i="6"/>
  <c r="EB306" i="6" s="1"/>
  <c r="Y307" i="6"/>
  <c r="EB307" i="6" s="1"/>
  <c r="Y308" i="6"/>
  <c r="EB308" i="6" s="1"/>
  <c r="Y309" i="6"/>
  <c r="EB309" i="6" s="1"/>
  <c r="Y310" i="6"/>
  <c r="EB310" i="6" s="1"/>
  <c r="Y311" i="6"/>
  <c r="EB311" i="6" s="1"/>
  <c r="Y312" i="6"/>
  <c r="EB312" i="6" s="1"/>
  <c r="Y313" i="6"/>
  <c r="EB313" i="6" s="1"/>
  <c r="Y314" i="6"/>
  <c r="EB314" i="6" s="1"/>
  <c r="Y315" i="6"/>
  <c r="EB315" i="6" s="1"/>
  <c r="Y316" i="6"/>
  <c r="EB316" i="6" s="1"/>
  <c r="Y317" i="6"/>
  <c r="EB317" i="6" s="1"/>
  <c r="Y318" i="6"/>
  <c r="EB318" i="6" s="1"/>
  <c r="Y319" i="6"/>
  <c r="EB319" i="6" s="1"/>
  <c r="Y320" i="6"/>
  <c r="EB320" i="6" s="1"/>
  <c r="Y321" i="6"/>
  <c r="EB321" i="6" s="1"/>
  <c r="Y322" i="6"/>
  <c r="EB322" i="6" s="1"/>
  <c r="Y323" i="6"/>
  <c r="EB323" i="6" s="1"/>
  <c r="Y324" i="6"/>
  <c r="EB324" i="6" s="1"/>
  <c r="Y325" i="6"/>
  <c r="EB325" i="6" s="1"/>
  <c r="Y326" i="6"/>
  <c r="EB326" i="6" s="1"/>
  <c r="Y327" i="6"/>
  <c r="EB327" i="6" s="1"/>
  <c r="Y328" i="6"/>
  <c r="EB328" i="6" s="1"/>
  <c r="Y329" i="6"/>
  <c r="EB329" i="6" s="1"/>
  <c r="Y330" i="6"/>
  <c r="EB330" i="6" s="1"/>
  <c r="Y331" i="6"/>
  <c r="EB331" i="6" s="1"/>
  <c r="Y332" i="6"/>
  <c r="EB332" i="6" s="1"/>
  <c r="Y333" i="6"/>
  <c r="EB333" i="6" s="1"/>
  <c r="Y334" i="6"/>
  <c r="EB334" i="6" s="1"/>
  <c r="Y335" i="6"/>
  <c r="EB335" i="6" s="1"/>
  <c r="Y336" i="6"/>
  <c r="EB336" i="6" s="1"/>
  <c r="Y337" i="6"/>
  <c r="EB337" i="6" s="1"/>
  <c r="Y338" i="6"/>
  <c r="EB338" i="6" s="1"/>
  <c r="Y339" i="6"/>
  <c r="EB339" i="6" s="1"/>
  <c r="Y340" i="6"/>
  <c r="EB340" i="6" s="1"/>
  <c r="Y341" i="6"/>
  <c r="EB341" i="6" s="1"/>
  <c r="Y342" i="6"/>
  <c r="EB342" i="6" s="1"/>
  <c r="Y343" i="6"/>
  <c r="EB343" i="6" s="1"/>
  <c r="Y344" i="6"/>
  <c r="EB344" i="6" s="1"/>
  <c r="Y345" i="6"/>
  <c r="EB345" i="6" s="1"/>
  <c r="Y346" i="6"/>
  <c r="EB346" i="6" s="1"/>
  <c r="Y347" i="6"/>
  <c r="EB347" i="6" s="1"/>
  <c r="Y348" i="6"/>
  <c r="EB348" i="6" s="1"/>
  <c r="Y349" i="6"/>
  <c r="EB349" i="6" s="1"/>
  <c r="Y350" i="6"/>
  <c r="EB350" i="6" s="1"/>
  <c r="Y351" i="6"/>
  <c r="EB351" i="6" s="1"/>
  <c r="Y352" i="6"/>
  <c r="EB352" i="6" s="1"/>
  <c r="Y353" i="6"/>
  <c r="EB353" i="6" s="1"/>
  <c r="Y354" i="6"/>
  <c r="EB354" i="6" s="1"/>
  <c r="Y355" i="6"/>
  <c r="EB355" i="6" s="1"/>
  <c r="Y356" i="6"/>
  <c r="EB356" i="6" s="1"/>
  <c r="Y357" i="6"/>
  <c r="EB357" i="6" s="1"/>
  <c r="Y358" i="6"/>
  <c r="EB358" i="6" s="1"/>
  <c r="Y359" i="6"/>
  <c r="EB359" i="6" s="1"/>
  <c r="Y360" i="6"/>
  <c r="EB360" i="6" s="1"/>
  <c r="Y361" i="6"/>
  <c r="EB361" i="6" s="1"/>
  <c r="Y362" i="6"/>
  <c r="EB362" i="6" s="1"/>
  <c r="Y363" i="6"/>
  <c r="EB363" i="6" s="1"/>
  <c r="Y364" i="6"/>
  <c r="EB364" i="6" s="1"/>
  <c r="Y365" i="6"/>
  <c r="EB365" i="6" s="1"/>
  <c r="Y366" i="6"/>
  <c r="EB366" i="6" s="1"/>
  <c r="Y367" i="6"/>
  <c r="EB367" i="6" s="1"/>
  <c r="Y368" i="6"/>
  <c r="EB368" i="6" s="1"/>
  <c r="Y369" i="6"/>
  <c r="EB369" i="6" s="1"/>
  <c r="Y370" i="6"/>
  <c r="EB370" i="6" s="1"/>
  <c r="Y371" i="6"/>
  <c r="EB371" i="6" s="1"/>
  <c r="Y372" i="6"/>
  <c r="EB372" i="6" s="1"/>
  <c r="Y373" i="6"/>
  <c r="EB373" i="6" s="1"/>
  <c r="Y374" i="6"/>
  <c r="EB374" i="6" s="1"/>
  <c r="Y375" i="6"/>
  <c r="EB375" i="6" s="1"/>
  <c r="Y376" i="6"/>
  <c r="EB376" i="6" s="1"/>
  <c r="Y377" i="6"/>
  <c r="EB377" i="6" s="1"/>
  <c r="Y378" i="6"/>
  <c r="EB378" i="6" s="1"/>
  <c r="Y379" i="6"/>
  <c r="EB379" i="6" s="1"/>
  <c r="Y380" i="6"/>
  <c r="EB380" i="6" s="1"/>
  <c r="Y381" i="6"/>
  <c r="EB381" i="6" s="1"/>
  <c r="Y382" i="6"/>
  <c r="EB382" i="6" s="1"/>
  <c r="Y383" i="6"/>
  <c r="EB383" i="6" s="1"/>
  <c r="Y384" i="6"/>
  <c r="EB384" i="6" s="1"/>
  <c r="Y385" i="6"/>
  <c r="EB385" i="6" s="1"/>
  <c r="Y386" i="6"/>
  <c r="EB386" i="6" s="1"/>
  <c r="Y387" i="6"/>
  <c r="EB387" i="6" s="1"/>
  <c r="Y388" i="6"/>
  <c r="EB388" i="6" s="1"/>
  <c r="Y389" i="6"/>
  <c r="EB389" i="6" s="1"/>
  <c r="Y390" i="6"/>
  <c r="EB390" i="6" s="1"/>
  <c r="Y391" i="6"/>
  <c r="EB391" i="6" s="1"/>
  <c r="Y392" i="6"/>
  <c r="EB392" i="6" s="1"/>
  <c r="Y393" i="6"/>
  <c r="EB393" i="6" s="1"/>
  <c r="Y394" i="6"/>
  <c r="EB394" i="6" s="1"/>
  <c r="Y395" i="6"/>
  <c r="EB395" i="6" s="1"/>
  <c r="Y396" i="6"/>
  <c r="EB396" i="6" s="1"/>
  <c r="Y397" i="6"/>
  <c r="EB397" i="6" s="1"/>
  <c r="Y398" i="6"/>
  <c r="EB398" i="6" s="1"/>
  <c r="Y399" i="6"/>
  <c r="EB399" i="6" s="1"/>
  <c r="Y400" i="6"/>
  <c r="EB400" i="6" s="1"/>
  <c r="Y401" i="6"/>
  <c r="EB401" i="6" s="1"/>
  <c r="Y402" i="6"/>
  <c r="EB402" i="6" s="1"/>
  <c r="Y403" i="6"/>
  <c r="EB403" i="6" s="1"/>
  <c r="Y404" i="6"/>
  <c r="EB404" i="6" s="1"/>
  <c r="Y405" i="6"/>
  <c r="EB405" i="6" s="1"/>
  <c r="Y406" i="6"/>
  <c r="EB406" i="6" s="1"/>
  <c r="Y407" i="6"/>
  <c r="EB407" i="6" s="1"/>
  <c r="Y408" i="6"/>
  <c r="EB408" i="6" s="1"/>
  <c r="Y409" i="6"/>
  <c r="EB409" i="6" s="1"/>
  <c r="Y410" i="6"/>
  <c r="EB410" i="6" s="1"/>
  <c r="Y411" i="6"/>
  <c r="EB411" i="6" s="1"/>
  <c r="Y412" i="6"/>
  <c r="EB412" i="6" s="1"/>
  <c r="Y413" i="6"/>
  <c r="EB413" i="6" s="1"/>
  <c r="Y414" i="6"/>
  <c r="EB414" i="6" s="1"/>
  <c r="Y415" i="6"/>
  <c r="EB415" i="6" s="1"/>
  <c r="Y416" i="6"/>
  <c r="EB416" i="6" s="1"/>
  <c r="Y417" i="6"/>
  <c r="EB417" i="6" s="1"/>
  <c r="Y418" i="6"/>
  <c r="EB418" i="6" s="1"/>
  <c r="Y419" i="6"/>
  <c r="EB419" i="6" s="1"/>
  <c r="Y420" i="6"/>
  <c r="EB420" i="6" s="1"/>
  <c r="Y421" i="6"/>
  <c r="EB421" i="6" s="1"/>
  <c r="Y422" i="6"/>
  <c r="EB422" i="6" s="1"/>
  <c r="Y423" i="6"/>
  <c r="EB423" i="6" s="1"/>
  <c r="Y424" i="6"/>
  <c r="EB424" i="6" s="1"/>
  <c r="Y425" i="6"/>
  <c r="EB425" i="6" s="1"/>
  <c r="Y426" i="6"/>
  <c r="EB426" i="6" s="1"/>
  <c r="Y427" i="6"/>
  <c r="EB427" i="6" s="1"/>
  <c r="Y428" i="6"/>
  <c r="EB428" i="6" s="1"/>
  <c r="Y429" i="6"/>
  <c r="EB429" i="6" s="1"/>
  <c r="Y430" i="6"/>
  <c r="EB430" i="6" s="1"/>
  <c r="Y431" i="6"/>
  <c r="EB431" i="6" s="1"/>
  <c r="Y432" i="6"/>
  <c r="EB432" i="6" s="1"/>
  <c r="Y433" i="6"/>
  <c r="EB433" i="6" s="1"/>
  <c r="Y434" i="6"/>
  <c r="EB434" i="6" s="1"/>
  <c r="Y435" i="6"/>
  <c r="EB435" i="6" s="1"/>
  <c r="Y436" i="6"/>
  <c r="EB436" i="6" s="1"/>
  <c r="Y437" i="6"/>
  <c r="EB437" i="6" s="1"/>
  <c r="Y438" i="6"/>
  <c r="EB438" i="6" s="1"/>
  <c r="Y439" i="6"/>
  <c r="EB439" i="6" s="1"/>
  <c r="Y440" i="6"/>
  <c r="EB440" i="6" s="1"/>
  <c r="Y441" i="6"/>
  <c r="EB441" i="6" s="1"/>
  <c r="Y442" i="6"/>
  <c r="EB442" i="6" s="1"/>
  <c r="Y443" i="6"/>
  <c r="EB443" i="6" s="1"/>
  <c r="Y444" i="6"/>
  <c r="EB444" i="6" s="1"/>
  <c r="Y445" i="6"/>
  <c r="EB445" i="6" s="1"/>
  <c r="Y446" i="6"/>
  <c r="EB446" i="6" s="1"/>
  <c r="Y447" i="6"/>
  <c r="EB447" i="6" s="1"/>
  <c r="Y448" i="6"/>
  <c r="EB448" i="6" s="1"/>
  <c r="Y449" i="6"/>
  <c r="EB449" i="6" s="1"/>
  <c r="Y450" i="6"/>
  <c r="EB450" i="6" s="1"/>
  <c r="Y451" i="6"/>
  <c r="EB451" i="6" s="1"/>
  <c r="Y452" i="6"/>
  <c r="EB452" i="6" s="1"/>
  <c r="Y453" i="6"/>
  <c r="EB453" i="6" s="1"/>
  <c r="Y454" i="6"/>
  <c r="EB454" i="6" s="1"/>
  <c r="Y455" i="6"/>
  <c r="EB455" i="6" s="1"/>
  <c r="Y456" i="6"/>
  <c r="EB456" i="6" s="1"/>
  <c r="Y457" i="6"/>
  <c r="EB457" i="6" s="1"/>
  <c r="Y458" i="6"/>
  <c r="EB458" i="6" s="1"/>
  <c r="Y459" i="6"/>
  <c r="EB459" i="6" s="1"/>
  <c r="Y460" i="6"/>
  <c r="EB460" i="6" s="1"/>
  <c r="Y461" i="6"/>
  <c r="EB461" i="6" s="1"/>
  <c r="Y462" i="6"/>
  <c r="EB462" i="6" s="1"/>
  <c r="Y463" i="6"/>
  <c r="EB463" i="6" s="1"/>
  <c r="Y464" i="6"/>
  <c r="EB464" i="6" s="1"/>
  <c r="Y465" i="6"/>
  <c r="EB465" i="6" s="1"/>
  <c r="Y466" i="6"/>
  <c r="EB466" i="6" s="1"/>
  <c r="Y467" i="6"/>
  <c r="EB467" i="6" s="1"/>
  <c r="Y468" i="6"/>
  <c r="EB468" i="6" s="1"/>
  <c r="Y469" i="6"/>
  <c r="EB469" i="6" s="1"/>
  <c r="Y470" i="6"/>
  <c r="EB470" i="6" s="1"/>
  <c r="Y471" i="6"/>
  <c r="EB471" i="6" s="1"/>
  <c r="Y472" i="6"/>
  <c r="EB472" i="6" s="1"/>
  <c r="Y473" i="6"/>
  <c r="EB473" i="6" s="1"/>
  <c r="Y474" i="6"/>
  <c r="EB474" i="6" s="1"/>
  <c r="Y475" i="6"/>
  <c r="EB475" i="6" s="1"/>
  <c r="Y476" i="6"/>
  <c r="EB476" i="6" s="1"/>
  <c r="Y477" i="6"/>
  <c r="EB477" i="6" s="1"/>
  <c r="Y478" i="6"/>
  <c r="EB478" i="6" s="1"/>
  <c r="Y479" i="6"/>
  <c r="EB479" i="6" s="1"/>
  <c r="Y480" i="6"/>
  <c r="EB480" i="6" s="1"/>
  <c r="Y481" i="6"/>
  <c r="EB481" i="6" s="1"/>
  <c r="Y482" i="6"/>
  <c r="EB482" i="6" s="1"/>
  <c r="Y483" i="6"/>
  <c r="EB483" i="6" s="1"/>
  <c r="Y484" i="6"/>
  <c r="EB484" i="6" s="1"/>
  <c r="Y485" i="6"/>
  <c r="EB485" i="6" s="1"/>
  <c r="Y486" i="6"/>
  <c r="EB486" i="6" s="1"/>
  <c r="Y487" i="6"/>
  <c r="EB487" i="6" s="1"/>
  <c r="Y488" i="6"/>
  <c r="EB488" i="6" s="1"/>
  <c r="Y489" i="6"/>
  <c r="EB489" i="6" s="1"/>
  <c r="Y490" i="6"/>
  <c r="EB490" i="6" s="1"/>
  <c r="Y491" i="6"/>
  <c r="EB491" i="6" s="1"/>
  <c r="Y492" i="6"/>
  <c r="EB492" i="6" s="1"/>
  <c r="Y493" i="6"/>
  <c r="EB493" i="6" s="1"/>
  <c r="Y494" i="6"/>
  <c r="EB494" i="6" s="1"/>
  <c r="Y495" i="6"/>
  <c r="EB495" i="6" s="1"/>
  <c r="Y496" i="6"/>
  <c r="EB496" i="6" s="1"/>
  <c r="Y497" i="6"/>
  <c r="EB497" i="6" s="1"/>
  <c r="Y498" i="6"/>
  <c r="EB498" i="6" s="1"/>
  <c r="Y499" i="6"/>
  <c r="EB499" i="6" s="1"/>
  <c r="Y500" i="6"/>
  <c r="EB500" i="6" s="1"/>
  <c r="C16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S16" i="5"/>
  <c r="T16" i="5"/>
  <c r="C17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C18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S18" i="5"/>
  <c r="T18" i="5"/>
  <c r="C19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S19" i="5"/>
  <c r="T19" i="5"/>
  <c r="C20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S20" i="5"/>
  <c r="T20" i="5"/>
  <c r="C21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S21" i="5"/>
  <c r="T21" i="5"/>
  <c r="C22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S22" i="5"/>
  <c r="T22" i="5"/>
  <c r="C23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S23" i="5"/>
  <c r="T23" i="5"/>
  <c r="C24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S24" i="5"/>
  <c r="T24" i="5"/>
  <c r="C25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S25" i="5"/>
  <c r="T25" i="5"/>
  <c r="C26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S26" i="5"/>
  <c r="T26" i="5"/>
  <c r="C27" i="5"/>
  <c r="D27" i="5"/>
  <c r="E27" i="5"/>
  <c r="F27" i="5"/>
  <c r="G27" i="5"/>
  <c r="H27" i="5"/>
  <c r="I27" i="5"/>
  <c r="J27" i="5"/>
  <c r="K27" i="5"/>
  <c r="L27" i="5"/>
  <c r="M27" i="5"/>
  <c r="N27" i="5"/>
  <c r="O27" i="5"/>
  <c r="P27" i="5"/>
  <c r="Q27" i="5"/>
  <c r="R27" i="5"/>
  <c r="S27" i="5"/>
  <c r="T27" i="5"/>
  <c r="C28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S28" i="5"/>
  <c r="T28" i="5"/>
  <c r="C29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S29" i="5"/>
  <c r="T29" i="5"/>
  <c r="C30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S30" i="5"/>
  <c r="T30" i="5"/>
  <c r="C31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S31" i="5"/>
  <c r="T31" i="5"/>
  <c r="C32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S32" i="5"/>
  <c r="T32" i="5"/>
  <c r="C33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S33" i="5"/>
  <c r="T33" i="5"/>
  <c r="C34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S34" i="5"/>
  <c r="T34" i="5"/>
  <c r="C35" i="5"/>
  <c r="D35" i="5"/>
  <c r="E35" i="5"/>
  <c r="F35" i="5"/>
  <c r="G35" i="5"/>
  <c r="H35" i="5"/>
  <c r="I35" i="5"/>
  <c r="J35" i="5"/>
  <c r="K35" i="5"/>
  <c r="L35" i="5"/>
  <c r="M35" i="5"/>
  <c r="N35" i="5"/>
  <c r="O35" i="5"/>
  <c r="P35" i="5"/>
  <c r="Q35" i="5"/>
  <c r="R35" i="5"/>
  <c r="S35" i="5"/>
  <c r="T35" i="5"/>
  <c r="C36" i="5"/>
  <c r="D36" i="5"/>
  <c r="E36" i="5"/>
  <c r="F36" i="5"/>
  <c r="G36" i="5"/>
  <c r="H36" i="5"/>
  <c r="I36" i="5"/>
  <c r="J36" i="5"/>
  <c r="K36" i="5"/>
  <c r="L36" i="5"/>
  <c r="M36" i="5"/>
  <c r="N36" i="5"/>
  <c r="O36" i="5"/>
  <c r="P36" i="5"/>
  <c r="Q36" i="5"/>
  <c r="R36" i="5"/>
  <c r="S36" i="5"/>
  <c r="T36" i="5"/>
  <c r="C37" i="5"/>
  <c r="D37" i="5"/>
  <c r="E37" i="5"/>
  <c r="F37" i="5"/>
  <c r="G37" i="5"/>
  <c r="H37" i="5"/>
  <c r="I37" i="5"/>
  <c r="J37" i="5"/>
  <c r="K37" i="5"/>
  <c r="L37" i="5"/>
  <c r="M37" i="5"/>
  <c r="N37" i="5"/>
  <c r="O37" i="5"/>
  <c r="P37" i="5"/>
  <c r="Q37" i="5"/>
  <c r="R37" i="5"/>
  <c r="S37" i="5"/>
  <c r="T37" i="5"/>
  <c r="C38" i="5"/>
  <c r="D38" i="5"/>
  <c r="E38" i="5"/>
  <c r="F38" i="5"/>
  <c r="G38" i="5"/>
  <c r="H38" i="5"/>
  <c r="I38" i="5"/>
  <c r="J38" i="5"/>
  <c r="K38" i="5"/>
  <c r="L38" i="5"/>
  <c r="M38" i="5"/>
  <c r="N38" i="5"/>
  <c r="O38" i="5"/>
  <c r="P38" i="5"/>
  <c r="Q38" i="5"/>
  <c r="R38" i="5"/>
  <c r="S38" i="5"/>
  <c r="T38" i="5"/>
  <c r="C39" i="5"/>
  <c r="D39" i="5"/>
  <c r="E39" i="5"/>
  <c r="F39" i="5"/>
  <c r="G39" i="5"/>
  <c r="H39" i="5"/>
  <c r="I39" i="5"/>
  <c r="J39" i="5"/>
  <c r="K39" i="5"/>
  <c r="L39" i="5"/>
  <c r="M39" i="5"/>
  <c r="N39" i="5"/>
  <c r="O39" i="5"/>
  <c r="P39" i="5"/>
  <c r="Q39" i="5"/>
  <c r="R39" i="5"/>
  <c r="S39" i="5"/>
  <c r="T39" i="5"/>
  <c r="C40" i="5"/>
  <c r="D40" i="5"/>
  <c r="E40" i="5"/>
  <c r="F40" i="5"/>
  <c r="G40" i="5"/>
  <c r="H40" i="5"/>
  <c r="I40" i="5"/>
  <c r="J40" i="5"/>
  <c r="K40" i="5"/>
  <c r="L40" i="5"/>
  <c r="M40" i="5"/>
  <c r="N40" i="5"/>
  <c r="O40" i="5"/>
  <c r="P40" i="5"/>
  <c r="Q40" i="5"/>
  <c r="R40" i="5"/>
  <c r="S40" i="5"/>
  <c r="T40" i="5"/>
  <c r="C41" i="5"/>
  <c r="D41" i="5"/>
  <c r="E41" i="5"/>
  <c r="F41" i="5"/>
  <c r="G41" i="5"/>
  <c r="H41" i="5"/>
  <c r="I41" i="5"/>
  <c r="J41" i="5"/>
  <c r="K41" i="5"/>
  <c r="L41" i="5"/>
  <c r="M41" i="5"/>
  <c r="N41" i="5"/>
  <c r="O41" i="5"/>
  <c r="P41" i="5"/>
  <c r="Q41" i="5"/>
  <c r="R41" i="5"/>
  <c r="S41" i="5"/>
  <c r="T41" i="5"/>
  <c r="C42" i="5"/>
  <c r="D42" i="5"/>
  <c r="E42" i="5"/>
  <c r="F42" i="5"/>
  <c r="G42" i="5"/>
  <c r="H42" i="5"/>
  <c r="I42" i="5"/>
  <c r="J42" i="5"/>
  <c r="K42" i="5"/>
  <c r="L42" i="5"/>
  <c r="M42" i="5"/>
  <c r="N42" i="5"/>
  <c r="O42" i="5"/>
  <c r="P42" i="5"/>
  <c r="Q42" i="5"/>
  <c r="R42" i="5"/>
  <c r="S42" i="5"/>
  <c r="T42" i="5"/>
  <c r="C43" i="5"/>
  <c r="D43" i="5"/>
  <c r="E43" i="5"/>
  <c r="F43" i="5"/>
  <c r="G43" i="5"/>
  <c r="H43" i="5"/>
  <c r="I43" i="5"/>
  <c r="J43" i="5"/>
  <c r="K43" i="5"/>
  <c r="L43" i="5"/>
  <c r="M43" i="5"/>
  <c r="N43" i="5"/>
  <c r="O43" i="5"/>
  <c r="P43" i="5"/>
  <c r="Q43" i="5"/>
  <c r="R43" i="5"/>
  <c r="S43" i="5"/>
  <c r="T43" i="5"/>
  <c r="C44" i="5"/>
  <c r="D44" i="5"/>
  <c r="E44" i="5"/>
  <c r="F44" i="5"/>
  <c r="G44" i="5"/>
  <c r="H44" i="5"/>
  <c r="I44" i="5"/>
  <c r="J44" i="5"/>
  <c r="K44" i="5"/>
  <c r="L44" i="5"/>
  <c r="M44" i="5"/>
  <c r="N44" i="5"/>
  <c r="O44" i="5"/>
  <c r="P44" i="5"/>
  <c r="Q44" i="5"/>
  <c r="R44" i="5"/>
  <c r="S44" i="5"/>
  <c r="T44" i="5"/>
  <c r="C45" i="5"/>
  <c r="D45" i="5"/>
  <c r="E45" i="5"/>
  <c r="F45" i="5"/>
  <c r="G45" i="5"/>
  <c r="H45" i="5"/>
  <c r="I45" i="5"/>
  <c r="J45" i="5"/>
  <c r="K45" i="5"/>
  <c r="L45" i="5"/>
  <c r="M45" i="5"/>
  <c r="N45" i="5"/>
  <c r="O45" i="5"/>
  <c r="P45" i="5"/>
  <c r="Q45" i="5"/>
  <c r="R45" i="5"/>
  <c r="S45" i="5"/>
  <c r="T45" i="5"/>
  <c r="C46" i="5"/>
  <c r="D46" i="5"/>
  <c r="E46" i="5"/>
  <c r="F46" i="5"/>
  <c r="G46" i="5"/>
  <c r="H46" i="5"/>
  <c r="I46" i="5"/>
  <c r="J46" i="5"/>
  <c r="K46" i="5"/>
  <c r="L46" i="5"/>
  <c r="M46" i="5"/>
  <c r="N46" i="5"/>
  <c r="O46" i="5"/>
  <c r="P46" i="5"/>
  <c r="Q46" i="5"/>
  <c r="R46" i="5"/>
  <c r="S46" i="5"/>
  <c r="T46" i="5"/>
  <c r="C47" i="5"/>
  <c r="D47" i="5"/>
  <c r="E47" i="5"/>
  <c r="F47" i="5"/>
  <c r="G47" i="5"/>
  <c r="H47" i="5"/>
  <c r="I47" i="5"/>
  <c r="J47" i="5"/>
  <c r="K47" i="5"/>
  <c r="L47" i="5"/>
  <c r="M47" i="5"/>
  <c r="N47" i="5"/>
  <c r="O47" i="5"/>
  <c r="P47" i="5"/>
  <c r="Q47" i="5"/>
  <c r="R47" i="5"/>
  <c r="S47" i="5"/>
  <c r="T47" i="5"/>
  <c r="C48" i="5"/>
  <c r="D48" i="5"/>
  <c r="E48" i="5"/>
  <c r="F48" i="5"/>
  <c r="G48" i="5"/>
  <c r="H48" i="5"/>
  <c r="I48" i="5"/>
  <c r="J48" i="5"/>
  <c r="K48" i="5"/>
  <c r="L48" i="5"/>
  <c r="M48" i="5"/>
  <c r="N48" i="5"/>
  <c r="O48" i="5"/>
  <c r="P48" i="5"/>
  <c r="Q48" i="5"/>
  <c r="R48" i="5"/>
  <c r="S48" i="5"/>
  <c r="T48" i="5"/>
  <c r="C49" i="5"/>
  <c r="D49" i="5"/>
  <c r="E49" i="5"/>
  <c r="F49" i="5"/>
  <c r="G49" i="5"/>
  <c r="H49" i="5"/>
  <c r="I49" i="5"/>
  <c r="J49" i="5"/>
  <c r="K49" i="5"/>
  <c r="L49" i="5"/>
  <c r="M49" i="5"/>
  <c r="N49" i="5"/>
  <c r="O49" i="5"/>
  <c r="P49" i="5"/>
  <c r="Q49" i="5"/>
  <c r="R49" i="5"/>
  <c r="S49" i="5"/>
  <c r="T49" i="5"/>
  <c r="C50" i="5"/>
  <c r="D50" i="5"/>
  <c r="E50" i="5"/>
  <c r="F50" i="5"/>
  <c r="G50" i="5"/>
  <c r="H50" i="5"/>
  <c r="I50" i="5"/>
  <c r="J50" i="5"/>
  <c r="K50" i="5"/>
  <c r="L50" i="5"/>
  <c r="M50" i="5"/>
  <c r="N50" i="5"/>
  <c r="O50" i="5"/>
  <c r="P50" i="5"/>
  <c r="Q50" i="5"/>
  <c r="R50" i="5"/>
  <c r="S50" i="5"/>
  <c r="T50" i="5"/>
  <c r="C51" i="5"/>
  <c r="D51" i="5"/>
  <c r="E51" i="5"/>
  <c r="F51" i="5"/>
  <c r="G51" i="5"/>
  <c r="H51" i="5"/>
  <c r="I51" i="5"/>
  <c r="J51" i="5"/>
  <c r="K51" i="5"/>
  <c r="L51" i="5"/>
  <c r="M51" i="5"/>
  <c r="N51" i="5"/>
  <c r="O51" i="5"/>
  <c r="P51" i="5"/>
  <c r="Q51" i="5"/>
  <c r="R51" i="5"/>
  <c r="S51" i="5"/>
  <c r="T51" i="5"/>
  <c r="C52" i="5"/>
  <c r="D52" i="5"/>
  <c r="E52" i="5"/>
  <c r="F52" i="5"/>
  <c r="G52" i="5"/>
  <c r="H52" i="5"/>
  <c r="I52" i="5"/>
  <c r="J52" i="5"/>
  <c r="K52" i="5"/>
  <c r="L52" i="5"/>
  <c r="M52" i="5"/>
  <c r="N52" i="5"/>
  <c r="O52" i="5"/>
  <c r="P52" i="5"/>
  <c r="Q52" i="5"/>
  <c r="R52" i="5"/>
  <c r="S52" i="5"/>
  <c r="T52" i="5"/>
  <c r="C53" i="5"/>
  <c r="D53" i="5"/>
  <c r="E53" i="5"/>
  <c r="F53" i="5"/>
  <c r="G53" i="5"/>
  <c r="H53" i="5"/>
  <c r="I53" i="5"/>
  <c r="J53" i="5"/>
  <c r="K53" i="5"/>
  <c r="L53" i="5"/>
  <c r="M53" i="5"/>
  <c r="N53" i="5"/>
  <c r="O53" i="5"/>
  <c r="P53" i="5"/>
  <c r="Q53" i="5"/>
  <c r="R53" i="5"/>
  <c r="S53" i="5"/>
  <c r="T53" i="5"/>
  <c r="C54" i="5"/>
  <c r="D54" i="5"/>
  <c r="E54" i="5"/>
  <c r="F54" i="5"/>
  <c r="G54" i="5"/>
  <c r="H54" i="5"/>
  <c r="I54" i="5"/>
  <c r="J54" i="5"/>
  <c r="K54" i="5"/>
  <c r="L54" i="5"/>
  <c r="M54" i="5"/>
  <c r="N54" i="5"/>
  <c r="O54" i="5"/>
  <c r="P54" i="5"/>
  <c r="Q54" i="5"/>
  <c r="R54" i="5"/>
  <c r="S54" i="5"/>
  <c r="T54" i="5"/>
  <c r="C55" i="5"/>
  <c r="D55" i="5"/>
  <c r="E55" i="5"/>
  <c r="F55" i="5"/>
  <c r="G55" i="5"/>
  <c r="H55" i="5"/>
  <c r="I55" i="5"/>
  <c r="J55" i="5"/>
  <c r="K55" i="5"/>
  <c r="L55" i="5"/>
  <c r="M55" i="5"/>
  <c r="N55" i="5"/>
  <c r="O55" i="5"/>
  <c r="P55" i="5"/>
  <c r="Q55" i="5"/>
  <c r="R55" i="5"/>
  <c r="S55" i="5"/>
  <c r="T55" i="5"/>
  <c r="C56" i="5"/>
  <c r="D56" i="5"/>
  <c r="E56" i="5"/>
  <c r="F56" i="5"/>
  <c r="G56" i="5"/>
  <c r="H56" i="5"/>
  <c r="I56" i="5"/>
  <c r="J56" i="5"/>
  <c r="K56" i="5"/>
  <c r="L56" i="5"/>
  <c r="M56" i="5"/>
  <c r="N56" i="5"/>
  <c r="O56" i="5"/>
  <c r="P56" i="5"/>
  <c r="Q56" i="5"/>
  <c r="R56" i="5"/>
  <c r="S56" i="5"/>
  <c r="T56" i="5"/>
  <c r="C57" i="5"/>
  <c r="D57" i="5"/>
  <c r="E57" i="5"/>
  <c r="F57" i="5"/>
  <c r="G57" i="5"/>
  <c r="H57" i="5"/>
  <c r="I57" i="5"/>
  <c r="J57" i="5"/>
  <c r="K57" i="5"/>
  <c r="L57" i="5"/>
  <c r="M57" i="5"/>
  <c r="N57" i="5"/>
  <c r="O57" i="5"/>
  <c r="P57" i="5"/>
  <c r="Q57" i="5"/>
  <c r="R57" i="5"/>
  <c r="S57" i="5"/>
  <c r="T57" i="5"/>
  <c r="C58" i="5"/>
  <c r="D58" i="5"/>
  <c r="E58" i="5"/>
  <c r="F58" i="5"/>
  <c r="G58" i="5"/>
  <c r="H58" i="5"/>
  <c r="I58" i="5"/>
  <c r="J58" i="5"/>
  <c r="K58" i="5"/>
  <c r="L58" i="5"/>
  <c r="M58" i="5"/>
  <c r="N58" i="5"/>
  <c r="O58" i="5"/>
  <c r="P58" i="5"/>
  <c r="Q58" i="5"/>
  <c r="R58" i="5"/>
  <c r="S58" i="5"/>
  <c r="T58" i="5"/>
  <c r="C59" i="5"/>
  <c r="D59" i="5"/>
  <c r="E59" i="5"/>
  <c r="F59" i="5"/>
  <c r="G59" i="5"/>
  <c r="H59" i="5"/>
  <c r="I59" i="5"/>
  <c r="J59" i="5"/>
  <c r="K59" i="5"/>
  <c r="L59" i="5"/>
  <c r="M59" i="5"/>
  <c r="N59" i="5"/>
  <c r="O59" i="5"/>
  <c r="P59" i="5"/>
  <c r="Q59" i="5"/>
  <c r="R59" i="5"/>
  <c r="S59" i="5"/>
  <c r="T59" i="5"/>
  <c r="C60" i="5"/>
  <c r="D60" i="5"/>
  <c r="E60" i="5"/>
  <c r="F60" i="5"/>
  <c r="G60" i="5"/>
  <c r="H60" i="5"/>
  <c r="I60" i="5"/>
  <c r="J60" i="5"/>
  <c r="K60" i="5"/>
  <c r="L60" i="5"/>
  <c r="M60" i="5"/>
  <c r="N60" i="5"/>
  <c r="O60" i="5"/>
  <c r="P60" i="5"/>
  <c r="Q60" i="5"/>
  <c r="R60" i="5"/>
  <c r="S60" i="5"/>
  <c r="T60" i="5"/>
  <c r="C61" i="5"/>
  <c r="D61" i="5"/>
  <c r="E61" i="5"/>
  <c r="F61" i="5"/>
  <c r="G61" i="5"/>
  <c r="H61" i="5"/>
  <c r="I61" i="5"/>
  <c r="J61" i="5"/>
  <c r="K61" i="5"/>
  <c r="L61" i="5"/>
  <c r="M61" i="5"/>
  <c r="N61" i="5"/>
  <c r="O61" i="5"/>
  <c r="P61" i="5"/>
  <c r="Q61" i="5"/>
  <c r="R61" i="5"/>
  <c r="S61" i="5"/>
  <c r="T61" i="5"/>
  <c r="C62" i="5"/>
  <c r="D62" i="5"/>
  <c r="E62" i="5"/>
  <c r="F62" i="5"/>
  <c r="G62" i="5"/>
  <c r="H62" i="5"/>
  <c r="I62" i="5"/>
  <c r="J62" i="5"/>
  <c r="K62" i="5"/>
  <c r="L62" i="5"/>
  <c r="M62" i="5"/>
  <c r="N62" i="5"/>
  <c r="O62" i="5"/>
  <c r="P62" i="5"/>
  <c r="Q62" i="5"/>
  <c r="R62" i="5"/>
  <c r="S62" i="5"/>
  <c r="T62" i="5"/>
  <c r="C63" i="5"/>
  <c r="D63" i="5"/>
  <c r="E63" i="5"/>
  <c r="F63" i="5"/>
  <c r="G63" i="5"/>
  <c r="H63" i="5"/>
  <c r="I63" i="5"/>
  <c r="J63" i="5"/>
  <c r="K63" i="5"/>
  <c r="L63" i="5"/>
  <c r="M63" i="5"/>
  <c r="N63" i="5"/>
  <c r="O63" i="5"/>
  <c r="P63" i="5"/>
  <c r="Q63" i="5"/>
  <c r="R63" i="5"/>
  <c r="S63" i="5"/>
  <c r="T63" i="5"/>
  <c r="C64" i="5"/>
  <c r="D64" i="5"/>
  <c r="E64" i="5"/>
  <c r="F64" i="5"/>
  <c r="G64" i="5"/>
  <c r="H64" i="5"/>
  <c r="I64" i="5"/>
  <c r="J64" i="5"/>
  <c r="K64" i="5"/>
  <c r="L64" i="5"/>
  <c r="M64" i="5"/>
  <c r="N64" i="5"/>
  <c r="O64" i="5"/>
  <c r="P64" i="5"/>
  <c r="Q64" i="5"/>
  <c r="R64" i="5"/>
  <c r="S64" i="5"/>
  <c r="T64" i="5"/>
  <c r="C65" i="5"/>
  <c r="D65" i="5"/>
  <c r="E65" i="5"/>
  <c r="F65" i="5"/>
  <c r="G65" i="5"/>
  <c r="H65" i="5"/>
  <c r="I65" i="5"/>
  <c r="J65" i="5"/>
  <c r="K65" i="5"/>
  <c r="L65" i="5"/>
  <c r="M65" i="5"/>
  <c r="N65" i="5"/>
  <c r="O65" i="5"/>
  <c r="P65" i="5"/>
  <c r="Q65" i="5"/>
  <c r="R65" i="5"/>
  <c r="S65" i="5"/>
  <c r="T65" i="5"/>
  <c r="C66" i="5"/>
  <c r="D66" i="5"/>
  <c r="E66" i="5"/>
  <c r="F66" i="5"/>
  <c r="G66" i="5"/>
  <c r="H66" i="5"/>
  <c r="I66" i="5"/>
  <c r="J66" i="5"/>
  <c r="K66" i="5"/>
  <c r="L66" i="5"/>
  <c r="M66" i="5"/>
  <c r="N66" i="5"/>
  <c r="O66" i="5"/>
  <c r="P66" i="5"/>
  <c r="Q66" i="5"/>
  <c r="R66" i="5"/>
  <c r="S66" i="5"/>
  <c r="T66" i="5"/>
  <c r="C67" i="5"/>
  <c r="D67" i="5"/>
  <c r="E67" i="5"/>
  <c r="F67" i="5"/>
  <c r="G67" i="5"/>
  <c r="H67" i="5"/>
  <c r="I67" i="5"/>
  <c r="J67" i="5"/>
  <c r="K67" i="5"/>
  <c r="L67" i="5"/>
  <c r="M67" i="5"/>
  <c r="N67" i="5"/>
  <c r="O67" i="5"/>
  <c r="P67" i="5"/>
  <c r="Q67" i="5"/>
  <c r="R67" i="5"/>
  <c r="S67" i="5"/>
  <c r="T67" i="5"/>
  <c r="C68" i="5"/>
  <c r="D68" i="5"/>
  <c r="E68" i="5"/>
  <c r="F68" i="5"/>
  <c r="G68" i="5"/>
  <c r="H68" i="5"/>
  <c r="I68" i="5"/>
  <c r="J68" i="5"/>
  <c r="K68" i="5"/>
  <c r="L68" i="5"/>
  <c r="M68" i="5"/>
  <c r="N68" i="5"/>
  <c r="O68" i="5"/>
  <c r="P68" i="5"/>
  <c r="Q68" i="5"/>
  <c r="R68" i="5"/>
  <c r="S68" i="5"/>
  <c r="T68" i="5"/>
  <c r="C69" i="5"/>
  <c r="D69" i="5"/>
  <c r="E69" i="5"/>
  <c r="F69" i="5"/>
  <c r="G69" i="5"/>
  <c r="H69" i="5"/>
  <c r="I69" i="5"/>
  <c r="J69" i="5"/>
  <c r="K69" i="5"/>
  <c r="L69" i="5"/>
  <c r="M69" i="5"/>
  <c r="N69" i="5"/>
  <c r="O69" i="5"/>
  <c r="P69" i="5"/>
  <c r="Q69" i="5"/>
  <c r="R69" i="5"/>
  <c r="S69" i="5"/>
  <c r="T69" i="5"/>
  <c r="C70" i="5"/>
  <c r="D70" i="5"/>
  <c r="E70" i="5"/>
  <c r="F70" i="5"/>
  <c r="G70" i="5"/>
  <c r="H70" i="5"/>
  <c r="I70" i="5"/>
  <c r="J70" i="5"/>
  <c r="K70" i="5"/>
  <c r="L70" i="5"/>
  <c r="M70" i="5"/>
  <c r="N70" i="5"/>
  <c r="O70" i="5"/>
  <c r="P70" i="5"/>
  <c r="Q70" i="5"/>
  <c r="R70" i="5"/>
  <c r="S70" i="5"/>
  <c r="T70" i="5"/>
  <c r="C71" i="5"/>
  <c r="D71" i="5"/>
  <c r="E71" i="5"/>
  <c r="F71" i="5"/>
  <c r="G71" i="5"/>
  <c r="H71" i="5"/>
  <c r="I71" i="5"/>
  <c r="J71" i="5"/>
  <c r="K71" i="5"/>
  <c r="L71" i="5"/>
  <c r="M71" i="5"/>
  <c r="N71" i="5"/>
  <c r="O71" i="5"/>
  <c r="P71" i="5"/>
  <c r="Q71" i="5"/>
  <c r="R71" i="5"/>
  <c r="S71" i="5"/>
  <c r="T71" i="5"/>
  <c r="C72" i="5"/>
  <c r="D72" i="5"/>
  <c r="E72" i="5"/>
  <c r="F72" i="5"/>
  <c r="G72" i="5"/>
  <c r="H72" i="5"/>
  <c r="I72" i="5"/>
  <c r="J72" i="5"/>
  <c r="K72" i="5"/>
  <c r="L72" i="5"/>
  <c r="M72" i="5"/>
  <c r="N72" i="5"/>
  <c r="O72" i="5"/>
  <c r="P72" i="5"/>
  <c r="Q72" i="5"/>
  <c r="R72" i="5"/>
  <c r="S72" i="5"/>
  <c r="T72" i="5"/>
  <c r="C73" i="5"/>
  <c r="D73" i="5"/>
  <c r="E73" i="5"/>
  <c r="F73" i="5"/>
  <c r="G73" i="5"/>
  <c r="H73" i="5"/>
  <c r="I73" i="5"/>
  <c r="J73" i="5"/>
  <c r="K73" i="5"/>
  <c r="L73" i="5"/>
  <c r="M73" i="5"/>
  <c r="N73" i="5"/>
  <c r="O73" i="5"/>
  <c r="P73" i="5"/>
  <c r="Q73" i="5"/>
  <c r="R73" i="5"/>
  <c r="S73" i="5"/>
  <c r="T73" i="5"/>
  <c r="C74" i="5"/>
  <c r="D74" i="5"/>
  <c r="E74" i="5"/>
  <c r="F74" i="5"/>
  <c r="G74" i="5"/>
  <c r="H74" i="5"/>
  <c r="I74" i="5"/>
  <c r="J74" i="5"/>
  <c r="K74" i="5"/>
  <c r="L74" i="5"/>
  <c r="M74" i="5"/>
  <c r="N74" i="5"/>
  <c r="O74" i="5"/>
  <c r="P74" i="5"/>
  <c r="Q74" i="5"/>
  <c r="R74" i="5"/>
  <c r="S74" i="5"/>
  <c r="T74" i="5"/>
  <c r="C75" i="5"/>
  <c r="D75" i="5"/>
  <c r="E75" i="5"/>
  <c r="F75" i="5"/>
  <c r="G75" i="5"/>
  <c r="H75" i="5"/>
  <c r="I75" i="5"/>
  <c r="J75" i="5"/>
  <c r="K75" i="5"/>
  <c r="L75" i="5"/>
  <c r="M75" i="5"/>
  <c r="N75" i="5"/>
  <c r="O75" i="5"/>
  <c r="P75" i="5"/>
  <c r="Q75" i="5"/>
  <c r="R75" i="5"/>
  <c r="S75" i="5"/>
  <c r="T75" i="5"/>
  <c r="C76" i="5"/>
  <c r="D76" i="5"/>
  <c r="E76" i="5"/>
  <c r="F76" i="5"/>
  <c r="G76" i="5"/>
  <c r="H76" i="5"/>
  <c r="I76" i="5"/>
  <c r="J76" i="5"/>
  <c r="K76" i="5"/>
  <c r="L76" i="5"/>
  <c r="M76" i="5"/>
  <c r="N76" i="5"/>
  <c r="O76" i="5"/>
  <c r="P76" i="5"/>
  <c r="Q76" i="5"/>
  <c r="R76" i="5"/>
  <c r="S76" i="5"/>
  <c r="T76" i="5"/>
  <c r="C77" i="5"/>
  <c r="D77" i="5"/>
  <c r="E77" i="5"/>
  <c r="F77" i="5"/>
  <c r="G77" i="5"/>
  <c r="H77" i="5"/>
  <c r="I77" i="5"/>
  <c r="J77" i="5"/>
  <c r="K77" i="5"/>
  <c r="L77" i="5"/>
  <c r="M77" i="5"/>
  <c r="N77" i="5"/>
  <c r="O77" i="5"/>
  <c r="P77" i="5"/>
  <c r="Q77" i="5"/>
  <c r="R77" i="5"/>
  <c r="S77" i="5"/>
  <c r="T77" i="5"/>
  <c r="C78" i="5"/>
  <c r="D78" i="5"/>
  <c r="E78" i="5"/>
  <c r="F78" i="5"/>
  <c r="G78" i="5"/>
  <c r="H78" i="5"/>
  <c r="I78" i="5"/>
  <c r="J78" i="5"/>
  <c r="K78" i="5"/>
  <c r="L78" i="5"/>
  <c r="M78" i="5"/>
  <c r="N78" i="5"/>
  <c r="O78" i="5"/>
  <c r="P78" i="5"/>
  <c r="Q78" i="5"/>
  <c r="R78" i="5"/>
  <c r="S78" i="5"/>
  <c r="T78" i="5"/>
  <c r="C79" i="5"/>
  <c r="D79" i="5"/>
  <c r="E79" i="5"/>
  <c r="F79" i="5"/>
  <c r="G79" i="5"/>
  <c r="H79" i="5"/>
  <c r="I79" i="5"/>
  <c r="J79" i="5"/>
  <c r="K79" i="5"/>
  <c r="L79" i="5"/>
  <c r="M79" i="5"/>
  <c r="N79" i="5"/>
  <c r="O79" i="5"/>
  <c r="P79" i="5"/>
  <c r="Q79" i="5"/>
  <c r="R79" i="5"/>
  <c r="S79" i="5"/>
  <c r="T79" i="5"/>
  <c r="C80" i="5"/>
  <c r="D80" i="5"/>
  <c r="E80" i="5"/>
  <c r="F80" i="5"/>
  <c r="G80" i="5"/>
  <c r="H80" i="5"/>
  <c r="I80" i="5"/>
  <c r="J80" i="5"/>
  <c r="K80" i="5"/>
  <c r="L80" i="5"/>
  <c r="M80" i="5"/>
  <c r="N80" i="5"/>
  <c r="O80" i="5"/>
  <c r="P80" i="5"/>
  <c r="Q80" i="5"/>
  <c r="R80" i="5"/>
  <c r="S80" i="5"/>
  <c r="T80" i="5"/>
  <c r="C81" i="5"/>
  <c r="D81" i="5"/>
  <c r="E81" i="5"/>
  <c r="F81" i="5"/>
  <c r="G81" i="5"/>
  <c r="H81" i="5"/>
  <c r="I81" i="5"/>
  <c r="J81" i="5"/>
  <c r="K81" i="5"/>
  <c r="L81" i="5"/>
  <c r="M81" i="5"/>
  <c r="N81" i="5"/>
  <c r="O81" i="5"/>
  <c r="P81" i="5"/>
  <c r="Q81" i="5"/>
  <c r="R81" i="5"/>
  <c r="S81" i="5"/>
  <c r="T81" i="5"/>
  <c r="C82" i="5"/>
  <c r="D82" i="5"/>
  <c r="E82" i="5"/>
  <c r="F82" i="5"/>
  <c r="G82" i="5"/>
  <c r="H82" i="5"/>
  <c r="I82" i="5"/>
  <c r="J82" i="5"/>
  <c r="K82" i="5"/>
  <c r="L82" i="5"/>
  <c r="M82" i="5"/>
  <c r="N82" i="5"/>
  <c r="O82" i="5"/>
  <c r="P82" i="5"/>
  <c r="Q82" i="5"/>
  <c r="R82" i="5"/>
  <c r="S82" i="5"/>
  <c r="T82" i="5"/>
  <c r="C83" i="5"/>
  <c r="D83" i="5"/>
  <c r="E83" i="5"/>
  <c r="F83" i="5"/>
  <c r="G83" i="5"/>
  <c r="H83" i="5"/>
  <c r="I83" i="5"/>
  <c r="J83" i="5"/>
  <c r="K83" i="5"/>
  <c r="L83" i="5"/>
  <c r="M83" i="5"/>
  <c r="N83" i="5"/>
  <c r="O83" i="5"/>
  <c r="P83" i="5"/>
  <c r="Q83" i="5"/>
  <c r="R83" i="5"/>
  <c r="S83" i="5"/>
  <c r="T83" i="5"/>
  <c r="C84" i="5"/>
  <c r="D84" i="5"/>
  <c r="E84" i="5"/>
  <c r="F84" i="5"/>
  <c r="G84" i="5"/>
  <c r="H84" i="5"/>
  <c r="I84" i="5"/>
  <c r="J84" i="5"/>
  <c r="K84" i="5"/>
  <c r="L84" i="5"/>
  <c r="M84" i="5"/>
  <c r="N84" i="5"/>
  <c r="O84" i="5"/>
  <c r="P84" i="5"/>
  <c r="Q84" i="5"/>
  <c r="R84" i="5"/>
  <c r="S84" i="5"/>
  <c r="T84" i="5"/>
  <c r="C85" i="5"/>
  <c r="D85" i="5"/>
  <c r="E85" i="5"/>
  <c r="F85" i="5"/>
  <c r="G85" i="5"/>
  <c r="H85" i="5"/>
  <c r="I85" i="5"/>
  <c r="J85" i="5"/>
  <c r="K85" i="5"/>
  <c r="L85" i="5"/>
  <c r="M85" i="5"/>
  <c r="N85" i="5"/>
  <c r="O85" i="5"/>
  <c r="P85" i="5"/>
  <c r="Q85" i="5"/>
  <c r="R85" i="5"/>
  <c r="S85" i="5"/>
  <c r="T85" i="5"/>
  <c r="C86" i="5"/>
  <c r="D86" i="5"/>
  <c r="E86" i="5"/>
  <c r="F86" i="5"/>
  <c r="G86" i="5"/>
  <c r="H86" i="5"/>
  <c r="I86" i="5"/>
  <c r="J86" i="5"/>
  <c r="K86" i="5"/>
  <c r="L86" i="5"/>
  <c r="M86" i="5"/>
  <c r="N86" i="5"/>
  <c r="O86" i="5"/>
  <c r="P86" i="5"/>
  <c r="Q86" i="5"/>
  <c r="R86" i="5"/>
  <c r="S86" i="5"/>
  <c r="T86" i="5"/>
  <c r="C87" i="5"/>
  <c r="D87" i="5"/>
  <c r="E87" i="5"/>
  <c r="F87" i="5"/>
  <c r="G87" i="5"/>
  <c r="H87" i="5"/>
  <c r="I87" i="5"/>
  <c r="J87" i="5"/>
  <c r="K87" i="5"/>
  <c r="L87" i="5"/>
  <c r="M87" i="5"/>
  <c r="N87" i="5"/>
  <c r="O87" i="5"/>
  <c r="P87" i="5"/>
  <c r="Q87" i="5"/>
  <c r="R87" i="5"/>
  <c r="S87" i="5"/>
  <c r="T87" i="5"/>
  <c r="C88" i="5"/>
  <c r="D88" i="5"/>
  <c r="E88" i="5"/>
  <c r="F88" i="5"/>
  <c r="G88" i="5"/>
  <c r="H88" i="5"/>
  <c r="I88" i="5"/>
  <c r="J88" i="5"/>
  <c r="K88" i="5"/>
  <c r="L88" i="5"/>
  <c r="M88" i="5"/>
  <c r="N88" i="5"/>
  <c r="O88" i="5"/>
  <c r="P88" i="5"/>
  <c r="Q88" i="5"/>
  <c r="R88" i="5"/>
  <c r="S88" i="5"/>
  <c r="T88" i="5"/>
  <c r="C89" i="5"/>
  <c r="D89" i="5"/>
  <c r="E89" i="5"/>
  <c r="F89" i="5"/>
  <c r="G89" i="5"/>
  <c r="H89" i="5"/>
  <c r="I89" i="5"/>
  <c r="J89" i="5"/>
  <c r="K89" i="5"/>
  <c r="L89" i="5"/>
  <c r="M89" i="5"/>
  <c r="N89" i="5"/>
  <c r="O89" i="5"/>
  <c r="P89" i="5"/>
  <c r="Q89" i="5"/>
  <c r="R89" i="5"/>
  <c r="S89" i="5"/>
  <c r="T89" i="5"/>
  <c r="C90" i="5"/>
  <c r="D90" i="5"/>
  <c r="E90" i="5"/>
  <c r="F90" i="5"/>
  <c r="G90" i="5"/>
  <c r="H90" i="5"/>
  <c r="I90" i="5"/>
  <c r="J90" i="5"/>
  <c r="K90" i="5"/>
  <c r="L90" i="5"/>
  <c r="M90" i="5"/>
  <c r="N90" i="5"/>
  <c r="O90" i="5"/>
  <c r="P90" i="5"/>
  <c r="Q90" i="5"/>
  <c r="R90" i="5"/>
  <c r="S90" i="5"/>
  <c r="T90" i="5"/>
  <c r="C91" i="5"/>
  <c r="D91" i="5"/>
  <c r="E91" i="5"/>
  <c r="F91" i="5"/>
  <c r="G91" i="5"/>
  <c r="H91" i="5"/>
  <c r="I91" i="5"/>
  <c r="J91" i="5"/>
  <c r="K91" i="5"/>
  <c r="L91" i="5"/>
  <c r="M91" i="5"/>
  <c r="N91" i="5"/>
  <c r="O91" i="5"/>
  <c r="P91" i="5"/>
  <c r="Q91" i="5"/>
  <c r="R91" i="5"/>
  <c r="S91" i="5"/>
  <c r="T91" i="5"/>
  <c r="C92" i="5"/>
  <c r="D92" i="5"/>
  <c r="E92" i="5"/>
  <c r="F92" i="5"/>
  <c r="G92" i="5"/>
  <c r="H92" i="5"/>
  <c r="I92" i="5"/>
  <c r="J92" i="5"/>
  <c r="K92" i="5"/>
  <c r="L92" i="5"/>
  <c r="M92" i="5"/>
  <c r="N92" i="5"/>
  <c r="O92" i="5"/>
  <c r="P92" i="5"/>
  <c r="Q92" i="5"/>
  <c r="R92" i="5"/>
  <c r="S92" i="5"/>
  <c r="T92" i="5"/>
  <c r="C93" i="5"/>
  <c r="D93" i="5"/>
  <c r="E93" i="5"/>
  <c r="F93" i="5"/>
  <c r="G93" i="5"/>
  <c r="H93" i="5"/>
  <c r="I93" i="5"/>
  <c r="J93" i="5"/>
  <c r="K93" i="5"/>
  <c r="L93" i="5"/>
  <c r="M93" i="5"/>
  <c r="N93" i="5"/>
  <c r="O93" i="5"/>
  <c r="P93" i="5"/>
  <c r="Q93" i="5"/>
  <c r="R93" i="5"/>
  <c r="S93" i="5"/>
  <c r="T93" i="5"/>
  <c r="C94" i="5"/>
  <c r="D94" i="5"/>
  <c r="E94" i="5"/>
  <c r="F94" i="5"/>
  <c r="G94" i="5"/>
  <c r="H94" i="5"/>
  <c r="I94" i="5"/>
  <c r="J94" i="5"/>
  <c r="K94" i="5"/>
  <c r="L94" i="5"/>
  <c r="M94" i="5"/>
  <c r="N94" i="5"/>
  <c r="O94" i="5"/>
  <c r="P94" i="5"/>
  <c r="Q94" i="5"/>
  <c r="R94" i="5"/>
  <c r="S94" i="5"/>
  <c r="T94" i="5"/>
  <c r="C95" i="5"/>
  <c r="D95" i="5"/>
  <c r="E95" i="5"/>
  <c r="F95" i="5"/>
  <c r="G95" i="5"/>
  <c r="H95" i="5"/>
  <c r="I95" i="5"/>
  <c r="J95" i="5"/>
  <c r="K95" i="5"/>
  <c r="L95" i="5"/>
  <c r="M95" i="5"/>
  <c r="N95" i="5"/>
  <c r="O95" i="5"/>
  <c r="P95" i="5"/>
  <c r="Q95" i="5"/>
  <c r="R95" i="5"/>
  <c r="S95" i="5"/>
  <c r="T95" i="5"/>
  <c r="C96" i="5"/>
  <c r="D96" i="5"/>
  <c r="E96" i="5"/>
  <c r="F96" i="5"/>
  <c r="G96" i="5"/>
  <c r="H96" i="5"/>
  <c r="I96" i="5"/>
  <c r="J96" i="5"/>
  <c r="K96" i="5"/>
  <c r="L96" i="5"/>
  <c r="M96" i="5"/>
  <c r="N96" i="5"/>
  <c r="O96" i="5"/>
  <c r="P96" i="5"/>
  <c r="Q96" i="5"/>
  <c r="R96" i="5"/>
  <c r="S96" i="5"/>
  <c r="T96" i="5"/>
  <c r="C97" i="5"/>
  <c r="D97" i="5"/>
  <c r="E97" i="5"/>
  <c r="F97" i="5"/>
  <c r="G97" i="5"/>
  <c r="H97" i="5"/>
  <c r="I97" i="5"/>
  <c r="J97" i="5"/>
  <c r="K97" i="5"/>
  <c r="L97" i="5"/>
  <c r="M97" i="5"/>
  <c r="N97" i="5"/>
  <c r="O97" i="5"/>
  <c r="P97" i="5"/>
  <c r="Q97" i="5"/>
  <c r="R97" i="5"/>
  <c r="S97" i="5"/>
  <c r="T97" i="5"/>
  <c r="C98" i="5"/>
  <c r="D98" i="5"/>
  <c r="E98" i="5"/>
  <c r="F98" i="5"/>
  <c r="G98" i="5"/>
  <c r="H98" i="5"/>
  <c r="I98" i="5"/>
  <c r="J98" i="5"/>
  <c r="K98" i="5"/>
  <c r="L98" i="5"/>
  <c r="M98" i="5"/>
  <c r="N98" i="5"/>
  <c r="O98" i="5"/>
  <c r="P98" i="5"/>
  <c r="Q98" i="5"/>
  <c r="R98" i="5"/>
  <c r="S98" i="5"/>
  <c r="T98" i="5"/>
  <c r="C99" i="5"/>
  <c r="D99" i="5"/>
  <c r="E99" i="5"/>
  <c r="F99" i="5"/>
  <c r="G99" i="5"/>
  <c r="H99" i="5"/>
  <c r="I99" i="5"/>
  <c r="J99" i="5"/>
  <c r="K99" i="5"/>
  <c r="L99" i="5"/>
  <c r="M99" i="5"/>
  <c r="N99" i="5"/>
  <c r="O99" i="5"/>
  <c r="P99" i="5"/>
  <c r="Q99" i="5"/>
  <c r="R99" i="5"/>
  <c r="S99" i="5"/>
  <c r="T99" i="5"/>
  <c r="C100" i="5"/>
  <c r="D100" i="5"/>
  <c r="E100" i="5"/>
  <c r="F100" i="5"/>
  <c r="G100" i="5"/>
  <c r="H100" i="5"/>
  <c r="I100" i="5"/>
  <c r="J100" i="5"/>
  <c r="K100" i="5"/>
  <c r="L100" i="5"/>
  <c r="M100" i="5"/>
  <c r="N100" i="5"/>
  <c r="O100" i="5"/>
  <c r="P100" i="5"/>
  <c r="Q100" i="5"/>
  <c r="R100" i="5"/>
  <c r="S100" i="5"/>
  <c r="T100" i="5"/>
  <c r="C101" i="5"/>
  <c r="D101" i="5"/>
  <c r="E101" i="5"/>
  <c r="F101" i="5"/>
  <c r="G101" i="5"/>
  <c r="H101" i="5"/>
  <c r="I101" i="5"/>
  <c r="J101" i="5"/>
  <c r="K101" i="5"/>
  <c r="L101" i="5"/>
  <c r="M101" i="5"/>
  <c r="N101" i="5"/>
  <c r="O101" i="5"/>
  <c r="P101" i="5"/>
  <c r="Q101" i="5"/>
  <c r="R101" i="5"/>
  <c r="S101" i="5"/>
  <c r="T101" i="5"/>
  <c r="C102" i="5"/>
  <c r="D102" i="5"/>
  <c r="E102" i="5"/>
  <c r="F102" i="5"/>
  <c r="G102" i="5"/>
  <c r="H102" i="5"/>
  <c r="I102" i="5"/>
  <c r="J102" i="5"/>
  <c r="K102" i="5"/>
  <c r="L102" i="5"/>
  <c r="M102" i="5"/>
  <c r="N102" i="5"/>
  <c r="O102" i="5"/>
  <c r="P102" i="5"/>
  <c r="Q102" i="5"/>
  <c r="R102" i="5"/>
  <c r="S102" i="5"/>
  <c r="T102" i="5"/>
  <c r="C103" i="5"/>
  <c r="D103" i="5"/>
  <c r="E103" i="5"/>
  <c r="F103" i="5"/>
  <c r="G103" i="5"/>
  <c r="H103" i="5"/>
  <c r="I103" i="5"/>
  <c r="J103" i="5"/>
  <c r="K103" i="5"/>
  <c r="L103" i="5"/>
  <c r="M103" i="5"/>
  <c r="N103" i="5"/>
  <c r="O103" i="5"/>
  <c r="P103" i="5"/>
  <c r="Q103" i="5"/>
  <c r="R103" i="5"/>
  <c r="S103" i="5"/>
  <c r="T103" i="5"/>
  <c r="C104" i="5"/>
  <c r="D104" i="5"/>
  <c r="E104" i="5"/>
  <c r="F104" i="5"/>
  <c r="G104" i="5"/>
  <c r="H104" i="5"/>
  <c r="I104" i="5"/>
  <c r="J104" i="5"/>
  <c r="K104" i="5"/>
  <c r="L104" i="5"/>
  <c r="M104" i="5"/>
  <c r="N104" i="5"/>
  <c r="O104" i="5"/>
  <c r="P104" i="5"/>
  <c r="Q104" i="5"/>
  <c r="R104" i="5"/>
  <c r="S104" i="5"/>
  <c r="T104" i="5"/>
  <c r="C105" i="5"/>
  <c r="D105" i="5"/>
  <c r="E105" i="5"/>
  <c r="F105" i="5"/>
  <c r="G105" i="5"/>
  <c r="H105" i="5"/>
  <c r="I105" i="5"/>
  <c r="J105" i="5"/>
  <c r="K105" i="5"/>
  <c r="L105" i="5"/>
  <c r="M105" i="5"/>
  <c r="N105" i="5"/>
  <c r="O105" i="5"/>
  <c r="P105" i="5"/>
  <c r="Q105" i="5"/>
  <c r="R105" i="5"/>
  <c r="S105" i="5"/>
  <c r="T105" i="5"/>
  <c r="C106" i="5"/>
  <c r="D106" i="5"/>
  <c r="E106" i="5"/>
  <c r="F106" i="5"/>
  <c r="G106" i="5"/>
  <c r="H106" i="5"/>
  <c r="I106" i="5"/>
  <c r="J106" i="5"/>
  <c r="K106" i="5"/>
  <c r="L106" i="5"/>
  <c r="M106" i="5"/>
  <c r="N106" i="5"/>
  <c r="O106" i="5"/>
  <c r="P106" i="5"/>
  <c r="Q106" i="5"/>
  <c r="R106" i="5"/>
  <c r="S106" i="5"/>
  <c r="T106" i="5"/>
  <c r="C107" i="5"/>
  <c r="D107" i="5"/>
  <c r="E107" i="5"/>
  <c r="F107" i="5"/>
  <c r="G107" i="5"/>
  <c r="H107" i="5"/>
  <c r="I107" i="5"/>
  <c r="J107" i="5"/>
  <c r="K107" i="5"/>
  <c r="L107" i="5"/>
  <c r="M107" i="5"/>
  <c r="N107" i="5"/>
  <c r="O107" i="5"/>
  <c r="P107" i="5"/>
  <c r="Q107" i="5"/>
  <c r="R107" i="5"/>
  <c r="S107" i="5"/>
  <c r="T107" i="5"/>
  <c r="C108" i="5"/>
  <c r="D108" i="5"/>
  <c r="E108" i="5"/>
  <c r="F108" i="5"/>
  <c r="G108" i="5"/>
  <c r="H108" i="5"/>
  <c r="I108" i="5"/>
  <c r="J108" i="5"/>
  <c r="K108" i="5"/>
  <c r="L108" i="5"/>
  <c r="M108" i="5"/>
  <c r="N108" i="5"/>
  <c r="O108" i="5"/>
  <c r="P108" i="5"/>
  <c r="Q108" i="5"/>
  <c r="R108" i="5"/>
  <c r="S108" i="5"/>
  <c r="T108" i="5"/>
  <c r="C109" i="5"/>
  <c r="D109" i="5"/>
  <c r="E109" i="5"/>
  <c r="F109" i="5"/>
  <c r="G109" i="5"/>
  <c r="H109" i="5"/>
  <c r="I109" i="5"/>
  <c r="J109" i="5"/>
  <c r="K109" i="5"/>
  <c r="L109" i="5"/>
  <c r="M109" i="5"/>
  <c r="N109" i="5"/>
  <c r="O109" i="5"/>
  <c r="P109" i="5"/>
  <c r="Q109" i="5"/>
  <c r="R109" i="5"/>
  <c r="S109" i="5"/>
  <c r="T109" i="5"/>
  <c r="C110" i="5"/>
  <c r="D110" i="5"/>
  <c r="E110" i="5"/>
  <c r="F110" i="5"/>
  <c r="G110" i="5"/>
  <c r="H110" i="5"/>
  <c r="I110" i="5"/>
  <c r="J110" i="5"/>
  <c r="K110" i="5"/>
  <c r="L110" i="5"/>
  <c r="M110" i="5"/>
  <c r="N110" i="5"/>
  <c r="O110" i="5"/>
  <c r="P110" i="5"/>
  <c r="Q110" i="5"/>
  <c r="R110" i="5"/>
  <c r="S110" i="5"/>
  <c r="T110" i="5"/>
  <c r="C111" i="5"/>
  <c r="D111" i="5"/>
  <c r="E111" i="5"/>
  <c r="F111" i="5"/>
  <c r="G111" i="5"/>
  <c r="H111" i="5"/>
  <c r="I111" i="5"/>
  <c r="J111" i="5"/>
  <c r="K111" i="5"/>
  <c r="L111" i="5"/>
  <c r="M111" i="5"/>
  <c r="N111" i="5"/>
  <c r="O111" i="5"/>
  <c r="P111" i="5"/>
  <c r="Q111" i="5"/>
  <c r="R111" i="5"/>
  <c r="S111" i="5"/>
  <c r="T111" i="5"/>
  <c r="C112" i="5"/>
  <c r="D112" i="5"/>
  <c r="E112" i="5"/>
  <c r="F112" i="5"/>
  <c r="G112" i="5"/>
  <c r="H112" i="5"/>
  <c r="I112" i="5"/>
  <c r="J112" i="5"/>
  <c r="K112" i="5"/>
  <c r="L112" i="5"/>
  <c r="M112" i="5"/>
  <c r="N112" i="5"/>
  <c r="O112" i="5"/>
  <c r="P112" i="5"/>
  <c r="Q112" i="5"/>
  <c r="R112" i="5"/>
  <c r="S112" i="5"/>
  <c r="T112" i="5"/>
  <c r="C113" i="5"/>
  <c r="D113" i="5"/>
  <c r="E113" i="5"/>
  <c r="F113" i="5"/>
  <c r="G113" i="5"/>
  <c r="H113" i="5"/>
  <c r="I113" i="5"/>
  <c r="J113" i="5"/>
  <c r="K113" i="5"/>
  <c r="L113" i="5"/>
  <c r="M113" i="5"/>
  <c r="N113" i="5"/>
  <c r="O113" i="5"/>
  <c r="P113" i="5"/>
  <c r="Q113" i="5"/>
  <c r="R113" i="5"/>
  <c r="S113" i="5"/>
  <c r="T113" i="5"/>
  <c r="C114" i="5"/>
  <c r="D114" i="5"/>
  <c r="E114" i="5"/>
  <c r="F114" i="5"/>
  <c r="G114" i="5"/>
  <c r="H114" i="5"/>
  <c r="I114" i="5"/>
  <c r="J114" i="5"/>
  <c r="K114" i="5"/>
  <c r="L114" i="5"/>
  <c r="M114" i="5"/>
  <c r="N114" i="5"/>
  <c r="O114" i="5"/>
  <c r="P114" i="5"/>
  <c r="Q114" i="5"/>
  <c r="R114" i="5"/>
  <c r="S114" i="5"/>
  <c r="T114" i="5"/>
  <c r="C115" i="5"/>
  <c r="D115" i="5"/>
  <c r="E115" i="5"/>
  <c r="F115" i="5"/>
  <c r="G115" i="5"/>
  <c r="H115" i="5"/>
  <c r="I115" i="5"/>
  <c r="J115" i="5"/>
  <c r="K115" i="5"/>
  <c r="L115" i="5"/>
  <c r="M115" i="5"/>
  <c r="N115" i="5"/>
  <c r="O115" i="5"/>
  <c r="P115" i="5"/>
  <c r="Q115" i="5"/>
  <c r="R115" i="5"/>
  <c r="S115" i="5"/>
  <c r="T115" i="5"/>
  <c r="C116" i="5"/>
  <c r="D116" i="5"/>
  <c r="E116" i="5"/>
  <c r="F116" i="5"/>
  <c r="G116" i="5"/>
  <c r="H116" i="5"/>
  <c r="I116" i="5"/>
  <c r="J116" i="5"/>
  <c r="K116" i="5"/>
  <c r="L116" i="5"/>
  <c r="M116" i="5"/>
  <c r="N116" i="5"/>
  <c r="O116" i="5"/>
  <c r="P116" i="5"/>
  <c r="Q116" i="5"/>
  <c r="R116" i="5"/>
  <c r="S116" i="5"/>
  <c r="T116" i="5"/>
  <c r="C117" i="5"/>
  <c r="D117" i="5"/>
  <c r="E117" i="5"/>
  <c r="F117" i="5"/>
  <c r="G117" i="5"/>
  <c r="H117" i="5"/>
  <c r="I117" i="5"/>
  <c r="J117" i="5"/>
  <c r="K117" i="5"/>
  <c r="L117" i="5"/>
  <c r="M117" i="5"/>
  <c r="N117" i="5"/>
  <c r="O117" i="5"/>
  <c r="P117" i="5"/>
  <c r="Q117" i="5"/>
  <c r="R117" i="5"/>
  <c r="S117" i="5"/>
  <c r="T117" i="5"/>
  <c r="C118" i="5"/>
  <c r="D118" i="5"/>
  <c r="E118" i="5"/>
  <c r="F118" i="5"/>
  <c r="G118" i="5"/>
  <c r="H118" i="5"/>
  <c r="I118" i="5"/>
  <c r="J118" i="5"/>
  <c r="K118" i="5"/>
  <c r="L118" i="5"/>
  <c r="M118" i="5"/>
  <c r="N118" i="5"/>
  <c r="O118" i="5"/>
  <c r="P118" i="5"/>
  <c r="Q118" i="5"/>
  <c r="R118" i="5"/>
  <c r="S118" i="5"/>
  <c r="T118" i="5"/>
  <c r="C119" i="5"/>
  <c r="D119" i="5"/>
  <c r="E119" i="5"/>
  <c r="F119" i="5"/>
  <c r="G119" i="5"/>
  <c r="H119" i="5"/>
  <c r="I119" i="5"/>
  <c r="J119" i="5"/>
  <c r="K119" i="5"/>
  <c r="L119" i="5"/>
  <c r="M119" i="5"/>
  <c r="N119" i="5"/>
  <c r="O119" i="5"/>
  <c r="P119" i="5"/>
  <c r="Q119" i="5"/>
  <c r="R119" i="5"/>
  <c r="S119" i="5"/>
  <c r="T119" i="5"/>
  <c r="C120" i="5"/>
  <c r="D120" i="5"/>
  <c r="E120" i="5"/>
  <c r="F120" i="5"/>
  <c r="G120" i="5"/>
  <c r="H120" i="5"/>
  <c r="I120" i="5"/>
  <c r="J120" i="5"/>
  <c r="K120" i="5"/>
  <c r="L120" i="5"/>
  <c r="M120" i="5"/>
  <c r="N120" i="5"/>
  <c r="O120" i="5"/>
  <c r="P120" i="5"/>
  <c r="Q120" i="5"/>
  <c r="R120" i="5"/>
  <c r="S120" i="5"/>
  <c r="T120" i="5"/>
  <c r="C121" i="5"/>
  <c r="D121" i="5"/>
  <c r="E121" i="5"/>
  <c r="F121" i="5"/>
  <c r="G121" i="5"/>
  <c r="H121" i="5"/>
  <c r="I121" i="5"/>
  <c r="J121" i="5"/>
  <c r="K121" i="5"/>
  <c r="L121" i="5"/>
  <c r="M121" i="5"/>
  <c r="N121" i="5"/>
  <c r="O121" i="5"/>
  <c r="P121" i="5"/>
  <c r="Q121" i="5"/>
  <c r="R121" i="5"/>
  <c r="S121" i="5"/>
  <c r="T121" i="5"/>
  <c r="C122" i="5"/>
  <c r="D122" i="5"/>
  <c r="E122" i="5"/>
  <c r="F122" i="5"/>
  <c r="G122" i="5"/>
  <c r="H122" i="5"/>
  <c r="I122" i="5"/>
  <c r="J122" i="5"/>
  <c r="K122" i="5"/>
  <c r="L122" i="5"/>
  <c r="M122" i="5"/>
  <c r="N122" i="5"/>
  <c r="O122" i="5"/>
  <c r="P122" i="5"/>
  <c r="Q122" i="5"/>
  <c r="R122" i="5"/>
  <c r="S122" i="5"/>
  <c r="T122" i="5"/>
  <c r="C123" i="5"/>
  <c r="D123" i="5"/>
  <c r="E123" i="5"/>
  <c r="F123" i="5"/>
  <c r="G123" i="5"/>
  <c r="H123" i="5"/>
  <c r="I123" i="5"/>
  <c r="J123" i="5"/>
  <c r="K123" i="5"/>
  <c r="L123" i="5"/>
  <c r="M123" i="5"/>
  <c r="N123" i="5"/>
  <c r="O123" i="5"/>
  <c r="P123" i="5"/>
  <c r="Q123" i="5"/>
  <c r="R123" i="5"/>
  <c r="S123" i="5"/>
  <c r="T123" i="5"/>
  <c r="C124" i="5"/>
  <c r="D124" i="5"/>
  <c r="E124" i="5"/>
  <c r="F124" i="5"/>
  <c r="G124" i="5"/>
  <c r="H124" i="5"/>
  <c r="I124" i="5"/>
  <c r="J124" i="5"/>
  <c r="K124" i="5"/>
  <c r="L124" i="5"/>
  <c r="M124" i="5"/>
  <c r="N124" i="5"/>
  <c r="O124" i="5"/>
  <c r="P124" i="5"/>
  <c r="Q124" i="5"/>
  <c r="R124" i="5"/>
  <c r="S124" i="5"/>
  <c r="T124" i="5"/>
  <c r="C125" i="5"/>
  <c r="D125" i="5"/>
  <c r="E125" i="5"/>
  <c r="F125" i="5"/>
  <c r="G125" i="5"/>
  <c r="H125" i="5"/>
  <c r="I125" i="5"/>
  <c r="J125" i="5"/>
  <c r="K125" i="5"/>
  <c r="L125" i="5"/>
  <c r="M125" i="5"/>
  <c r="N125" i="5"/>
  <c r="O125" i="5"/>
  <c r="P125" i="5"/>
  <c r="Q125" i="5"/>
  <c r="R125" i="5"/>
  <c r="S125" i="5"/>
  <c r="T125" i="5"/>
  <c r="C126" i="5"/>
  <c r="D126" i="5"/>
  <c r="E126" i="5"/>
  <c r="F126" i="5"/>
  <c r="G126" i="5"/>
  <c r="H126" i="5"/>
  <c r="I126" i="5"/>
  <c r="J126" i="5"/>
  <c r="K126" i="5"/>
  <c r="L126" i="5"/>
  <c r="M126" i="5"/>
  <c r="N126" i="5"/>
  <c r="O126" i="5"/>
  <c r="P126" i="5"/>
  <c r="Q126" i="5"/>
  <c r="R126" i="5"/>
  <c r="S126" i="5"/>
  <c r="T126" i="5"/>
  <c r="C127" i="5"/>
  <c r="D127" i="5"/>
  <c r="E127" i="5"/>
  <c r="F127" i="5"/>
  <c r="G127" i="5"/>
  <c r="H127" i="5"/>
  <c r="I127" i="5"/>
  <c r="J127" i="5"/>
  <c r="K127" i="5"/>
  <c r="L127" i="5"/>
  <c r="M127" i="5"/>
  <c r="N127" i="5"/>
  <c r="O127" i="5"/>
  <c r="P127" i="5"/>
  <c r="Q127" i="5"/>
  <c r="R127" i="5"/>
  <c r="S127" i="5"/>
  <c r="T127" i="5"/>
  <c r="C128" i="5"/>
  <c r="D128" i="5"/>
  <c r="E128" i="5"/>
  <c r="F128" i="5"/>
  <c r="G128" i="5"/>
  <c r="H128" i="5"/>
  <c r="I128" i="5"/>
  <c r="J128" i="5"/>
  <c r="K128" i="5"/>
  <c r="L128" i="5"/>
  <c r="M128" i="5"/>
  <c r="N128" i="5"/>
  <c r="O128" i="5"/>
  <c r="P128" i="5"/>
  <c r="Q128" i="5"/>
  <c r="R128" i="5"/>
  <c r="S128" i="5"/>
  <c r="T128" i="5"/>
  <c r="C129" i="5"/>
  <c r="D129" i="5"/>
  <c r="E129" i="5"/>
  <c r="F129" i="5"/>
  <c r="G129" i="5"/>
  <c r="H129" i="5"/>
  <c r="I129" i="5"/>
  <c r="J129" i="5"/>
  <c r="K129" i="5"/>
  <c r="L129" i="5"/>
  <c r="M129" i="5"/>
  <c r="N129" i="5"/>
  <c r="O129" i="5"/>
  <c r="P129" i="5"/>
  <c r="Q129" i="5"/>
  <c r="R129" i="5"/>
  <c r="S129" i="5"/>
  <c r="T129" i="5"/>
  <c r="C130" i="5"/>
  <c r="D130" i="5"/>
  <c r="E130" i="5"/>
  <c r="F130" i="5"/>
  <c r="G130" i="5"/>
  <c r="H130" i="5"/>
  <c r="I130" i="5"/>
  <c r="J130" i="5"/>
  <c r="K130" i="5"/>
  <c r="L130" i="5"/>
  <c r="M130" i="5"/>
  <c r="N130" i="5"/>
  <c r="O130" i="5"/>
  <c r="P130" i="5"/>
  <c r="Q130" i="5"/>
  <c r="R130" i="5"/>
  <c r="S130" i="5"/>
  <c r="T130" i="5"/>
  <c r="C131" i="5"/>
  <c r="D131" i="5"/>
  <c r="E131" i="5"/>
  <c r="F131" i="5"/>
  <c r="G131" i="5"/>
  <c r="H131" i="5"/>
  <c r="I131" i="5"/>
  <c r="J131" i="5"/>
  <c r="K131" i="5"/>
  <c r="L131" i="5"/>
  <c r="M131" i="5"/>
  <c r="N131" i="5"/>
  <c r="O131" i="5"/>
  <c r="P131" i="5"/>
  <c r="Q131" i="5"/>
  <c r="R131" i="5"/>
  <c r="S131" i="5"/>
  <c r="T131" i="5"/>
  <c r="C132" i="5"/>
  <c r="D132" i="5"/>
  <c r="E132" i="5"/>
  <c r="F132" i="5"/>
  <c r="G132" i="5"/>
  <c r="H132" i="5"/>
  <c r="I132" i="5"/>
  <c r="J132" i="5"/>
  <c r="K132" i="5"/>
  <c r="L132" i="5"/>
  <c r="M132" i="5"/>
  <c r="N132" i="5"/>
  <c r="O132" i="5"/>
  <c r="P132" i="5"/>
  <c r="Q132" i="5"/>
  <c r="R132" i="5"/>
  <c r="S132" i="5"/>
  <c r="T132" i="5"/>
  <c r="C133" i="5"/>
  <c r="D133" i="5"/>
  <c r="E133" i="5"/>
  <c r="F133" i="5"/>
  <c r="G133" i="5"/>
  <c r="H133" i="5"/>
  <c r="I133" i="5"/>
  <c r="J133" i="5"/>
  <c r="K133" i="5"/>
  <c r="L133" i="5"/>
  <c r="M133" i="5"/>
  <c r="N133" i="5"/>
  <c r="O133" i="5"/>
  <c r="P133" i="5"/>
  <c r="Q133" i="5"/>
  <c r="R133" i="5"/>
  <c r="S133" i="5"/>
  <c r="T133" i="5"/>
  <c r="C134" i="5"/>
  <c r="D134" i="5"/>
  <c r="E134" i="5"/>
  <c r="F134" i="5"/>
  <c r="G134" i="5"/>
  <c r="H134" i="5"/>
  <c r="I134" i="5"/>
  <c r="J134" i="5"/>
  <c r="K134" i="5"/>
  <c r="L134" i="5"/>
  <c r="M134" i="5"/>
  <c r="N134" i="5"/>
  <c r="O134" i="5"/>
  <c r="P134" i="5"/>
  <c r="Q134" i="5"/>
  <c r="R134" i="5"/>
  <c r="S134" i="5"/>
  <c r="T134" i="5"/>
  <c r="C135" i="5"/>
  <c r="D135" i="5"/>
  <c r="E135" i="5"/>
  <c r="F135" i="5"/>
  <c r="G135" i="5"/>
  <c r="H135" i="5"/>
  <c r="I135" i="5"/>
  <c r="J135" i="5"/>
  <c r="K135" i="5"/>
  <c r="L135" i="5"/>
  <c r="M135" i="5"/>
  <c r="N135" i="5"/>
  <c r="O135" i="5"/>
  <c r="P135" i="5"/>
  <c r="Q135" i="5"/>
  <c r="R135" i="5"/>
  <c r="S135" i="5"/>
  <c r="T135" i="5"/>
  <c r="C136" i="5"/>
  <c r="D136" i="5"/>
  <c r="E136" i="5"/>
  <c r="F136" i="5"/>
  <c r="G136" i="5"/>
  <c r="H136" i="5"/>
  <c r="I136" i="5"/>
  <c r="J136" i="5"/>
  <c r="K136" i="5"/>
  <c r="L136" i="5"/>
  <c r="M136" i="5"/>
  <c r="N136" i="5"/>
  <c r="O136" i="5"/>
  <c r="P136" i="5"/>
  <c r="Q136" i="5"/>
  <c r="R136" i="5"/>
  <c r="S136" i="5"/>
  <c r="T136" i="5"/>
  <c r="C137" i="5"/>
  <c r="D137" i="5"/>
  <c r="E137" i="5"/>
  <c r="F137" i="5"/>
  <c r="G137" i="5"/>
  <c r="H137" i="5"/>
  <c r="I137" i="5"/>
  <c r="J137" i="5"/>
  <c r="K137" i="5"/>
  <c r="L137" i="5"/>
  <c r="M137" i="5"/>
  <c r="N137" i="5"/>
  <c r="O137" i="5"/>
  <c r="P137" i="5"/>
  <c r="Q137" i="5"/>
  <c r="R137" i="5"/>
  <c r="S137" i="5"/>
  <c r="T137" i="5"/>
  <c r="C138" i="5"/>
  <c r="D138" i="5"/>
  <c r="E138" i="5"/>
  <c r="F138" i="5"/>
  <c r="G138" i="5"/>
  <c r="H138" i="5"/>
  <c r="I138" i="5"/>
  <c r="J138" i="5"/>
  <c r="K138" i="5"/>
  <c r="L138" i="5"/>
  <c r="M138" i="5"/>
  <c r="N138" i="5"/>
  <c r="O138" i="5"/>
  <c r="P138" i="5"/>
  <c r="Q138" i="5"/>
  <c r="R138" i="5"/>
  <c r="S138" i="5"/>
  <c r="T138" i="5"/>
  <c r="C139" i="5"/>
  <c r="D139" i="5"/>
  <c r="E139" i="5"/>
  <c r="F139" i="5"/>
  <c r="G139" i="5"/>
  <c r="H139" i="5"/>
  <c r="I139" i="5"/>
  <c r="J139" i="5"/>
  <c r="K139" i="5"/>
  <c r="L139" i="5"/>
  <c r="M139" i="5"/>
  <c r="N139" i="5"/>
  <c r="O139" i="5"/>
  <c r="P139" i="5"/>
  <c r="Q139" i="5"/>
  <c r="R139" i="5"/>
  <c r="S139" i="5"/>
  <c r="T139" i="5"/>
  <c r="C140" i="5"/>
  <c r="D140" i="5"/>
  <c r="E140" i="5"/>
  <c r="F140" i="5"/>
  <c r="G140" i="5"/>
  <c r="H140" i="5"/>
  <c r="I140" i="5"/>
  <c r="J140" i="5"/>
  <c r="K140" i="5"/>
  <c r="L140" i="5"/>
  <c r="M140" i="5"/>
  <c r="N140" i="5"/>
  <c r="O140" i="5"/>
  <c r="P140" i="5"/>
  <c r="Q140" i="5"/>
  <c r="R140" i="5"/>
  <c r="S140" i="5"/>
  <c r="T140" i="5"/>
  <c r="C141" i="5"/>
  <c r="D141" i="5"/>
  <c r="E141" i="5"/>
  <c r="F141" i="5"/>
  <c r="G141" i="5"/>
  <c r="H141" i="5"/>
  <c r="I141" i="5"/>
  <c r="J141" i="5"/>
  <c r="K141" i="5"/>
  <c r="L141" i="5"/>
  <c r="M141" i="5"/>
  <c r="N141" i="5"/>
  <c r="O141" i="5"/>
  <c r="P141" i="5"/>
  <c r="Q141" i="5"/>
  <c r="R141" i="5"/>
  <c r="S141" i="5"/>
  <c r="T141" i="5"/>
  <c r="C142" i="5"/>
  <c r="D142" i="5"/>
  <c r="E142" i="5"/>
  <c r="F142" i="5"/>
  <c r="G142" i="5"/>
  <c r="H142" i="5"/>
  <c r="I142" i="5"/>
  <c r="J142" i="5"/>
  <c r="K142" i="5"/>
  <c r="L142" i="5"/>
  <c r="M142" i="5"/>
  <c r="N142" i="5"/>
  <c r="O142" i="5"/>
  <c r="P142" i="5"/>
  <c r="Q142" i="5"/>
  <c r="R142" i="5"/>
  <c r="S142" i="5"/>
  <c r="T142" i="5"/>
  <c r="C143" i="5"/>
  <c r="D143" i="5"/>
  <c r="E143" i="5"/>
  <c r="F143" i="5"/>
  <c r="G143" i="5"/>
  <c r="H143" i="5"/>
  <c r="I143" i="5"/>
  <c r="J143" i="5"/>
  <c r="K143" i="5"/>
  <c r="L143" i="5"/>
  <c r="M143" i="5"/>
  <c r="N143" i="5"/>
  <c r="O143" i="5"/>
  <c r="P143" i="5"/>
  <c r="Q143" i="5"/>
  <c r="R143" i="5"/>
  <c r="S143" i="5"/>
  <c r="T143" i="5"/>
  <c r="C144" i="5"/>
  <c r="D144" i="5"/>
  <c r="E144" i="5"/>
  <c r="F144" i="5"/>
  <c r="G144" i="5"/>
  <c r="H144" i="5"/>
  <c r="I144" i="5"/>
  <c r="J144" i="5"/>
  <c r="K144" i="5"/>
  <c r="L144" i="5"/>
  <c r="M144" i="5"/>
  <c r="N144" i="5"/>
  <c r="O144" i="5"/>
  <c r="P144" i="5"/>
  <c r="Q144" i="5"/>
  <c r="R144" i="5"/>
  <c r="S144" i="5"/>
  <c r="T144" i="5"/>
  <c r="C145" i="5"/>
  <c r="D145" i="5"/>
  <c r="E145" i="5"/>
  <c r="F145" i="5"/>
  <c r="G145" i="5"/>
  <c r="H145" i="5"/>
  <c r="I145" i="5"/>
  <c r="J145" i="5"/>
  <c r="K145" i="5"/>
  <c r="L145" i="5"/>
  <c r="M145" i="5"/>
  <c r="N145" i="5"/>
  <c r="O145" i="5"/>
  <c r="P145" i="5"/>
  <c r="Q145" i="5"/>
  <c r="R145" i="5"/>
  <c r="S145" i="5"/>
  <c r="T145" i="5"/>
  <c r="C146" i="5"/>
  <c r="D146" i="5"/>
  <c r="E146" i="5"/>
  <c r="F146" i="5"/>
  <c r="G146" i="5"/>
  <c r="H146" i="5"/>
  <c r="I146" i="5"/>
  <c r="J146" i="5"/>
  <c r="K146" i="5"/>
  <c r="L146" i="5"/>
  <c r="M146" i="5"/>
  <c r="N146" i="5"/>
  <c r="O146" i="5"/>
  <c r="P146" i="5"/>
  <c r="Q146" i="5"/>
  <c r="R146" i="5"/>
  <c r="S146" i="5"/>
  <c r="T146" i="5"/>
  <c r="C147" i="5"/>
  <c r="D147" i="5"/>
  <c r="E147" i="5"/>
  <c r="F147" i="5"/>
  <c r="G147" i="5"/>
  <c r="H147" i="5"/>
  <c r="I147" i="5"/>
  <c r="J147" i="5"/>
  <c r="K147" i="5"/>
  <c r="L147" i="5"/>
  <c r="M147" i="5"/>
  <c r="N147" i="5"/>
  <c r="O147" i="5"/>
  <c r="P147" i="5"/>
  <c r="Q147" i="5"/>
  <c r="R147" i="5"/>
  <c r="S147" i="5"/>
  <c r="T147" i="5"/>
  <c r="C148" i="5"/>
  <c r="D148" i="5"/>
  <c r="E148" i="5"/>
  <c r="F148" i="5"/>
  <c r="G148" i="5"/>
  <c r="H148" i="5"/>
  <c r="I148" i="5"/>
  <c r="J148" i="5"/>
  <c r="K148" i="5"/>
  <c r="L148" i="5"/>
  <c r="M148" i="5"/>
  <c r="N148" i="5"/>
  <c r="O148" i="5"/>
  <c r="P148" i="5"/>
  <c r="Q148" i="5"/>
  <c r="R148" i="5"/>
  <c r="S148" i="5"/>
  <c r="T148" i="5"/>
  <c r="C149" i="5"/>
  <c r="D149" i="5"/>
  <c r="E149" i="5"/>
  <c r="F149" i="5"/>
  <c r="G149" i="5"/>
  <c r="H149" i="5"/>
  <c r="I149" i="5"/>
  <c r="J149" i="5"/>
  <c r="K149" i="5"/>
  <c r="L149" i="5"/>
  <c r="M149" i="5"/>
  <c r="N149" i="5"/>
  <c r="O149" i="5"/>
  <c r="P149" i="5"/>
  <c r="Q149" i="5"/>
  <c r="R149" i="5"/>
  <c r="S149" i="5"/>
  <c r="T149" i="5"/>
  <c r="C150" i="5"/>
  <c r="D150" i="5"/>
  <c r="E150" i="5"/>
  <c r="F150" i="5"/>
  <c r="G150" i="5"/>
  <c r="H150" i="5"/>
  <c r="I150" i="5"/>
  <c r="J150" i="5"/>
  <c r="K150" i="5"/>
  <c r="L150" i="5"/>
  <c r="M150" i="5"/>
  <c r="N150" i="5"/>
  <c r="O150" i="5"/>
  <c r="P150" i="5"/>
  <c r="Q150" i="5"/>
  <c r="R150" i="5"/>
  <c r="S150" i="5"/>
  <c r="T150" i="5"/>
  <c r="C151" i="5"/>
  <c r="D151" i="5"/>
  <c r="E151" i="5"/>
  <c r="F151" i="5"/>
  <c r="G151" i="5"/>
  <c r="H151" i="5"/>
  <c r="I151" i="5"/>
  <c r="J151" i="5"/>
  <c r="K151" i="5"/>
  <c r="L151" i="5"/>
  <c r="M151" i="5"/>
  <c r="N151" i="5"/>
  <c r="O151" i="5"/>
  <c r="P151" i="5"/>
  <c r="Q151" i="5"/>
  <c r="R151" i="5"/>
  <c r="S151" i="5"/>
  <c r="T151" i="5"/>
  <c r="C152" i="5"/>
  <c r="D152" i="5"/>
  <c r="E152" i="5"/>
  <c r="F152" i="5"/>
  <c r="G152" i="5"/>
  <c r="H152" i="5"/>
  <c r="I152" i="5"/>
  <c r="J152" i="5"/>
  <c r="K152" i="5"/>
  <c r="L152" i="5"/>
  <c r="M152" i="5"/>
  <c r="N152" i="5"/>
  <c r="O152" i="5"/>
  <c r="P152" i="5"/>
  <c r="Q152" i="5"/>
  <c r="R152" i="5"/>
  <c r="S152" i="5"/>
  <c r="T152" i="5"/>
  <c r="C153" i="5"/>
  <c r="D153" i="5"/>
  <c r="E153" i="5"/>
  <c r="F153" i="5"/>
  <c r="G153" i="5"/>
  <c r="H153" i="5"/>
  <c r="I153" i="5"/>
  <c r="J153" i="5"/>
  <c r="K153" i="5"/>
  <c r="L153" i="5"/>
  <c r="M153" i="5"/>
  <c r="N153" i="5"/>
  <c r="O153" i="5"/>
  <c r="P153" i="5"/>
  <c r="Q153" i="5"/>
  <c r="R153" i="5"/>
  <c r="S153" i="5"/>
  <c r="T153" i="5"/>
  <c r="C154" i="5"/>
  <c r="D154" i="5"/>
  <c r="E154" i="5"/>
  <c r="F154" i="5"/>
  <c r="G154" i="5"/>
  <c r="H154" i="5"/>
  <c r="I154" i="5"/>
  <c r="J154" i="5"/>
  <c r="K154" i="5"/>
  <c r="L154" i="5"/>
  <c r="M154" i="5"/>
  <c r="N154" i="5"/>
  <c r="O154" i="5"/>
  <c r="P154" i="5"/>
  <c r="Q154" i="5"/>
  <c r="R154" i="5"/>
  <c r="S154" i="5"/>
  <c r="T154" i="5"/>
  <c r="C155" i="5"/>
  <c r="D155" i="5"/>
  <c r="E155" i="5"/>
  <c r="F155" i="5"/>
  <c r="G155" i="5"/>
  <c r="H155" i="5"/>
  <c r="I155" i="5"/>
  <c r="J155" i="5"/>
  <c r="K155" i="5"/>
  <c r="L155" i="5"/>
  <c r="M155" i="5"/>
  <c r="N155" i="5"/>
  <c r="O155" i="5"/>
  <c r="P155" i="5"/>
  <c r="Q155" i="5"/>
  <c r="R155" i="5"/>
  <c r="S155" i="5"/>
  <c r="T155" i="5"/>
  <c r="C156" i="5"/>
  <c r="D156" i="5"/>
  <c r="E156" i="5"/>
  <c r="F156" i="5"/>
  <c r="G156" i="5"/>
  <c r="H156" i="5"/>
  <c r="I156" i="5"/>
  <c r="J156" i="5"/>
  <c r="K156" i="5"/>
  <c r="L156" i="5"/>
  <c r="M156" i="5"/>
  <c r="N156" i="5"/>
  <c r="O156" i="5"/>
  <c r="P156" i="5"/>
  <c r="Q156" i="5"/>
  <c r="R156" i="5"/>
  <c r="S156" i="5"/>
  <c r="T156" i="5"/>
  <c r="C157" i="5"/>
  <c r="D157" i="5"/>
  <c r="E157" i="5"/>
  <c r="F157" i="5"/>
  <c r="G157" i="5"/>
  <c r="H157" i="5"/>
  <c r="I157" i="5"/>
  <c r="J157" i="5"/>
  <c r="K157" i="5"/>
  <c r="L157" i="5"/>
  <c r="M157" i="5"/>
  <c r="N157" i="5"/>
  <c r="O157" i="5"/>
  <c r="P157" i="5"/>
  <c r="Q157" i="5"/>
  <c r="R157" i="5"/>
  <c r="S157" i="5"/>
  <c r="T157" i="5"/>
  <c r="C158" i="5"/>
  <c r="D158" i="5"/>
  <c r="E158" i="5"/>
  <c r="F158" i="5"/>
  <c r="G158" i="5"/>
  <c r="H158" i="5"/>
  <c r="I158" i="5"/>
  <c r="J158" i="5"/>
  <c r="K158" i="5"/>
  <c r="L158" i="5"/>
  <c r="M158" i="5"/>
  <c r="N158" i="5"/>
  <c r="O158" i="5"/>
  <c r="P158" i="5"/>
  <c r="Q158" i="5"/>
  <c r="R158" i="5"/>
  <c r="S158" i="5"/>
  <c r="T158" i="5"/>
  <c r="C159" i="5"/>
  <c r="D159" i="5"/>
  <c r="E159" i="5"/>
  <c r="F159" i="5"/>
  <c r="G159" i="5"/>
  <c r="H159" i="5"/>
  <c r="I159" i="5"/>
  <c r="J159" i="5"/>
  <c r="K159" i="5"/>
  <c r="L159" i="5"/>
  <c r="M159" i="5"/>
  <c r="N159" i="5"/>
  <c r="O159" i="5"/>
  <c r="P159" i="5"/>
  <c r="Q159" i="5"/>
  <c r="R159" i="5"/>
  <c r="S159" i="5"/>
  <c r="T159" i="5"/>
  <c r="C160" i="5"/>
  <c r="D160" i="5"/>
  <c r="E160" i="5"/>
  <c r="F160" i="5"/>
  <c r="G160" i="5"/>
  <c r="H160" i="5"/>
  <c r="I160" i="5"/>
  <c r="J160" i="5"/>
  <c r="K160" i="5"/>
  <c r="L160" i="5"/>
  <c r="M160" i="5"/>
  <c r="N160" i="5"/>
  <c r="O160" i="5"/>
  <c r="P160" i="5"/>
  <c r="Q160" i="5"/>
  <c r="R160" i="5"/>
  <c r="S160" i="5"/>
  <c r="T160" i="5"/>
  <c r="C161" i="5"/>
  <c r="D161" i="5"/>
  <c r="E161" i="5"/>
  <c r="F161" i="5"/>
  <c r="G161" i="5"/>
  <c r="H161" i="5"/>
  <c r="I161" i="5"/>
  <c r="J161" i="5"/>
  <c r="K161" i="5"/>
  <c r="L161" i="5"/>
  <c r="M161" i="5"/>
  <c r="N161" i="5"/>
  <c r="O161" i="5"/>
  <c r="P161" i="5"/>
  <c r="Q161" i="5"/>
  <c r="R161" i="5"/>
  <c r="S161" i="5"/>
  <c r="T161" i="5"/>
  <c r="C162" i="5"/>
  <c r="D162" i="5"/>
  <c r="E162" i="5"/>
  <c r="F162" i="5"/>
  <c r="G162" i="5"/>
  <c r="H162" i="5"/>
  <c r="I162" i="5"/>
  <c r="J162" i="5"/>
  <c r="K162" i="5"/>
  <c r="L162" i="5"/>
  <c r="M162" i="5"/>
  <c r="N162" i="5"/>
  <c r="O162" i="5"/>
  <c r="P162" i="5"/>
  <c r="Q162" i="5"/>
  <c r="R162" i="5"/>
  <c r="S162" i="5"/>
  <c r="T162" i="5"/>
  <c r="C163" i="5"/>
  <c r="D163" i="5"/>
  <c r="E163" i="5"/>
  <c r="F163" i="5"/>
  <c r="G163" i="5"/>
  <c r="H163" i="5"/>
  <c r="I163" i="5"/>
  <c r="J163" i="5"/>
  <c r="K163" i="5"/>
  <c r="L163" i="5"/>
  <c r="M163" i="5"/>
  <c r="N163" i="5"/>
  <c r="O163" i="5"/>
  <c r="P163" i="5"/>
  <c r="Q163" i="5"/>
  <c r="R163" i="5"/>
  <c r="S163" i="5"/>
  <c r="T163" i="5"/>
  <c r="C164" i="5"/>
  <c r="D164" i="5"/>
  <c r="E164" i="5"/>
  <c r="F164" i="5"/>
  <c r="G164" i="5"/>
  <c r="H164" i="5"/>
  <c r="I164" i="5"/>
  <c r="J164" i="5"/>
  <c r="K164" i="5"/>
  <c r="L164" i="5"/>
  <c r="M164" i="5"/>
  <c r="N164" i="5"/>
  <c r="O164" i="5"/>
  <c r="P164" i="5"/>
  <c r="Q164" i="5"/>
  <c r="R164" i="5"/>
  <c r="S164" i="5"/>
  <c r="T164" i="5"/>
  <c r="C165" i="5"/>
  <c r="D165" i="5"/>
  <c r="E165" i="5"/>
  <c r="F165" i="5"/>
  <c r="G165" i="5"/>
  <c r="H165" i="5"/>
  <c r="I165" i="5"/>
  <c r="J165" i="5"/>
  <c r="K165" i="5"/>
  <c r="L165" i="5"/>
  <c r="M165" i="5"/>
  <c r="N165" i="5"/>
  <c r="O165" i="5"/>
  <c r="P165" i="5"/>
  <c r="Q165" i="5"/>
  <c r="R165" i="5"/>
  <c r="S165" i="5"/>
  <c r="T165" i="5"/>
  <c r="C166" i="5"/>
  <c r="D166" i="5"/>
  <c r="E166" i="5"/>
  <c r="F166" i="5"/>
  <c r="G166" i="5"/>
  <c r="H166" i="5"/>
  <c r="I166" i="5"/>
  <c r="J166" i="5"/>
  <c r="K166" i="5"/>
  <c r="L166" i="5"/>
  <c r="M166" i="5"/>
  <c r="N166" i="5"/>
  <c r="O166" i="5"/>
  <c r="P166" i="5"/>
  <c r="Q166" i="5"/>
  <c r="R166" i="5"/>
  <c r="S166" i="5"/>
  <c r="T166" i="5"/>
  <c r="C167" i="5"/>
  <c r="D167" i="5"/>
  <c r="E167" i="5"/>
  <c r="F167" i="5"/>
  <c r="G167" i="5"/>
  <c r="H167" i="5"/>
  <c r="I167" i="5"/>
  <c r="J167" i="5"/>
  <c r="K167" i="5"/>
  <c r="L167" i="5"/>
  <c r="M167" i="5"/>
  <c r="N167" i="5"/>
  <c r="O167" i="5"/>
  <c r="P167" i="5"/>
  <c r="Q167" i="5"/>
  <c r="R167" i="5"/>
  <c r="S167" i="5"/>
  <c r="T167" i="5"/>
  <c r="C168" i="5"/>
  <c r="D168" i="5"/>
  <c r="E168" i="5"/>
  <c r="F168" i="5"/>
  <c r="G168" i="5"/>
  <c r="H168" i="5"/>
  <c r="I168" i="5"/>
  <c r="J168" i="5"/>
  <c r="K168" i="5"/>
  <c r="L168" i="5"/>
  <c r="M168" i="5"/>
  <c r="N168" i="5"/>
  <c r="O168" i="5"/>
  <c r="P168" i="5"/>
  <c r="Q168" i="5"/>
  <c r="R168" i="5"/>
  <c r="S168" i="5"/>
  <c r="T168" i="5"/>
  <c r="C169" i="5"/>
  <c r="D169" i="5"/>
  <c r="E169" i="5"/>
  <c r="F169" i="5"/>
  <c r="G169" i="5"/>
  <c r="H169" i="5"/>
  <c r="I169" i="5"/>
  <c r="J169" i="5"/>
  <c r="K169" i="5"/>
  <c r="L169" i="5"/>
  <c r="M169" i="5"/>
  <c r="N169" i="5"/>
  <c r="O169" i="5"/>
  <c r="P169" i="5"/>
  <c r="Q169" i="5"/>
  <c r="R169" i="5"/>
  <c r="S169" i="5"/>
  <c r="T169" i="5"/>
  <c r="C170" i="5"/>
  <c r="D170" i="5"/>
  <c r="E170" i="5"/>
  <c r="F170" i="5"/>
  <c r="G170" i="5"/>
  <c r="H170" i="5"/>
  <c r="I170" i="5"/>
  <c r="J170" i="5"/>
  <c r="K170" i="5"/>
  <c r="L170" i="5"/>
  <c r="M170" i="5"/>
  <c r="N170" i="5"/>
  <c r="O170" i="5"/>
  <c r="P170" i="5"/>
  <c r="Q170" i="5"/>
  <c r="R170" i="5"/>
  <c r="S170" i="5"/>
  <c r="T170" i="5"/>
  <c r="C171" i="5"/>
  <c r="D171" i="5"/>
  <c r="E171" i="5"/>
  <c r="F171" i="5"/>
  <c r="G171" i="5"/>
  <c r="H171" i="5"/>
  <c r="I171" i="5"/>
  <c r="J171" i="5"/>
  <c r="K171" i="5"/>
  <c r="L171" i="5"/>
  <c r="M171" i="5"/>
  <c r="N171" i="5"/>
  <c r="O171" i="5"/>
  <c r="P171" i="5"/>
  <c r="Q171" i="5"/>
  <c r="R171" i="5"/>
  <c r="S171" i="5"/>
  <c r="T171" i="5"/>
  <c r="C172" i="5"/>
  <c r="D172" i="5"/>
  <c r="E172" i="5"/>
  <c r="F172" i="5"/>
  <c r="G172" i="5"/>
  <c r="H172" i="5"/>
  <c r="I172" i="5"/>
  <c r="J172" i="5"/>
  <c r="K172" i="5"/>
  <c r="L172" i="5"/>
  <c r="M172" i="5"/>
  <c r="N172" i="5"/>
  <c r="O172" i="5"/>
  <c r="P172" i="5"/>
  <c r="Q172" i="5"/>
  <c r="R172" i="5"/>
  <c r="S172" i="5"/>
  <c r="T172" i="5"/>
  <c r="C173" i="5"/>
  <c r="D173" i="5"/>
  <c r="E173" i="5"/>
  <c r="F173" i="5"/>
  <c r="G173" i="5"/>
  <c r="H173" i="5"/>
  <c r="I173" i="5"/>
  <c r="J173" i="5"/>
  <c r="K173" i="5"/>
  <c r="L173" i="5"/>
  <c r="M173" i="5"/>
  <c r="N173" i="5"/>
  <c r="O173" i="5"/>
  <c r="P173" i="5"/>
  <c r="Q173" i="5"/>
  <c r="R173" i="5"/>
  <c r="S173" i="5"/>
  <c r="T173" i="5"/>
  <c r="C174" i="5"/>
  <c r="D174" i="5"/>
  <c r="E174" i="5"/>
  <c r="F174" i="5"/>
  <c r="G174" i="5"/>
  <c r="H174" i="5"/>
  <c r="I174" i="5"/>
  <c r="J174" i="5"/>
  <c r="K174" i="5"/>
  <c r="L174" i="5"/>
  <c r="M174" i="5"/>
  <c r="N174" i="5"/>
  <c r="O174" i="5"/>
  <c r="P174" i="5"/>
  <c r="Q174" i="5"/>
  <c r="R174" i="5"/>
  <c r="S174" i="5"/>
  <c r="T174" i="5"/>
  <c r="C175" i="5"/>
  <c r="D175" i="5"/>
  <c r="E175" i="5"/>
  <c r="F175" i="5"/>
  <c r="G175" i="5"/>
  <c r="H175" i="5"/>
  <c r="I175" i="5"/>
  <c r="J175" i="5"/>
  <c r="K175" i="5"/>
  <c r="L175" i="5"/>
  <c r="M175" i="5"/>
  <c r="N175" i="5"/>
  <c r="O175" i="5"/>
  <c r="P175" i="5"/>
  <c r="Q175" i="5"/>
  <c r="R175" i="5"/>
  <c r="S175" i="5"/>
  <c r="T175" i="5"/>
  <c r="C176" i="5"/>
  <c r="D176" i="5"/>
  <c r="E176" i="5"/>
  <c r="F176" i="5"/>
  <c r="G176" i="5"/>
  <c r="H176" i="5"/>
  <c r="I176" i="5"/>
  <c r="J176" i="5"/>
  <c r="K176" i="5"/>
  <c r="L176" i="5"/>
  <c r="M176" i="5"/>
  <c r="N176" i="5"/>
  <c r="O176" i="5"/>
  <c r="P176" i="5"/>
  <c r="Q176" i="5"/>
  <c r="R176" i="5"/>
  <c r="S176" i="5"/>
  <c r="T176" i="5"/>
  <c r="C177" i="5"/>
  <c r="D177" i="5"/>
  <c r="E177" i="5"/>
  <c r="F177" i="5"/>
  <c r="G177" i="5"/>
  <c r="H177" i="5"/>
  <c r="I177" i="5"/>
  <c r="J177" i="5"/>
  <c r="K177" i="5"/>
  <c r="L177" i="5"/>
  <c r="M177" i="5"/>
  <c r="N177" i="5"/>
  <c r="O177" i="5"/>
  <c r="P177" i="5"/>
  <c r="Q177" i="5"/>
  <c r="R177" i="5"/>
  <c r="S177" i="5"/>
  <c r="T177" i="5"/>
  <c r="C178" i="5"/>
  <c r="D178" i="5"/>
  <c r="E178" i="5"/>
  <c r="F178" i="5"/>
  <c r="G178" i="5"/>
  <c r="H178" i="5"/>
  <c r="I178" i="5"/>
  <c r="J178" i="5"/>
  <c r="K178" i="5"/>
  <c r="L178" i="5"/>
  <c r="M178" i="5"/>
  <c r="N178" i="5"/>
  <c r="O178" i="5"/>
  <c r="P178" i="5"/>
  <c r="Q178" i="5"/>
  <c r="R178" i="5"/>
  <c r="S178" i="5"/>
  <c r="T178" i="5"/>
  <c r="C179" i="5"/>
  <c r="D179" i="5"/>
  <c r="E179" i="5"/>
  <c r="F179" i="5"/>
  <c r="G179" i="5"/>
  <c r="H179" i="5"/>
  <c r="I179" i="5"/>
  <c r="J179" i="5"/>
  <c r="K179" i="5"/>
  <c r="L179" i="5"/>
  <c r="M179" i="5"/>
  <c r="N179" i="5"/>
  <c r="O179" i="5"/>
  <c r="P179" i="5"/>
  <c r="Q179" i="5"/>
  <c r="R179" i="5"/>
  <c r="S179" i="5"/>
  <c r="T179" i="5"/>
  <c r="C180" i="5"/>
  <c r="D180" i="5"/>
  <c r="E180" i="5"/>
  <c r="F180" i="5"/>
  <c r="G180" i="5"/>
  <c r="H180" i="5"/>
  <c r="I180" i="5"/>
  <c r="J180" i="5"/>
  <c r="K180" i="5"/>
  <c r="L180" i="5"/>
  <c r="M180" i="5"/>
  <c r="N180" i="5"/>
  <c r="O180" i="5"/>
  <c r="P180" i="5"/>
  <c r="Q180" i="5"/>
  <c r="R180" i="5"/>
  <c r="S180" i="5"/>
  <c r="T180" i="5"/>
  <c r="C181" i="5"/>
  <c r="D181" i="5"/>
  <c r="E181" i="5"/>
  <c r="F181" i="5"/>
  <c r="G181" i="5"/>
  <c r="H181" i="5"/>
  <c r="I181" i="5"/>
  <c r="J181" i="5"/>
  <c r="K181" i="5"/>
  <c r="L181" i="5"/>
  <c r="M181" i="5"/>
  <c r="N181" i="5"/>
  <c r="O181" i="5"/>
  <c r="P181" i="5"/>
  <c r="Q181" i="5"/>
  <c r="R181" i="5"/>
  <c r="S181" i="5"/>
  <c r="T181" i="5"/>
  <c r="C182" i="5"/>
  <c r="D182" i="5"/>
  <c r="E182" i="5"/>
  <c r="F182" i="5"/>
  <c r="G182" i="5"/>
  <c r="H182" i="5"/>
  <c r="I182" i="5"/>
  <c r="J182" i="5"/>
  <c r="K182" i="5"/>
  <c r="L182" i="5"/>
  <c r="M182" i="5"/>
  <c r="N182" i="5"/>
  <c r="O182" i="5"/>
  <c r="P182" i="5"/>
  <c r="Q182" i="5"/>
  <c r="R182" i="5"/>
  <c r="S182" i="5"/>
  <c r="T182" i="5"/>
  <c r="C183" i="5"/>
  <c r="D183" i="5"/>
  <c r="E183" i="5"/>
  <c r="F183" i="5"/>
  <c r="G183" i="5"/>
  <c r="H183" i="5"/>
  <c r="I183" i="5"/>
  <c r="J183" i="5"/>
  <c r="K183" i="5"/>
  <c r="L183" i="5"/>
  <c r="M183" i="5"/>
  <c r="N183" i="5"/>
  <c r="O183" i="5"/>
  <c r="P183" i="5"/>
  <c r="Q183" i="5"/>
  <c r="R183" i="5"/>
  <c r="S183" i="5"/>
  <c r="T183" i="5"/>
  <c r="C184" i="5"/>
  <c r="D184" i="5"/>
  <c r="E184" i="5"/>
  <c r="F184" i="5"/>
  <c r="G184" i="5"/>
  <c r="H184" i="5"/>
  <c r="I184" i="5"/>
  <c r="J184" i="5"/>
  <c r="K184" i="5"/>
  <c r="L184" i="5"/>
  <c r="M184" i="5"/>
  <c r="N184" i="5"/>
  <c r="O184" i="5"/>
  <c r="P184" i="5"/>
  <c r="Q184" i="5"/>
  <c r="R184" i="5"/>
  <c r="S184" i="5"/>
  <c r="T184" i="5"/>
  <c r="C185" i="5"/>
  <c r="D185" i="5"/>
  <c r="E185" i="5"/>
  <c r="F185" i="5"/>
  <c r="G185" i="5"/>
  <c r="H185" i="5"/>
  <c r="I185" i="5"/>
  <c r="J185" i="5"/>
  <c r="K185" i="5"/>
  <c r="L185" i="5"/>
  <c r="M185" i="5"/>
  <c r="N185" i="5"/>
  <c r="O185" i="5"/>
  <c r="P185" i="5"/>
  <c r="Q185" i="5"/>
  <c r="R185" i="5"/>
  <c r="S185" i="5"/>
  <c r="T185" i="5"/>
  <c r="C186" i="5"/>
  <c r="D186" i="5"/>
  <c r="E186" i="5"/>
  <c r="F186" i="5"/>
  <c r="G186" i="5"/>
  <c r="H186" i="5"/>
  <c r="I186" i="5"/>
  <c r="J186" i="5"/>
  <c r="K186" i="5"/>
  <c r="L186" i="5"/>
  <c r="M186" i="5"/>
  <c r="N186" i="5"/>
  <c r="O186" i="5"/>
  <c r="P186" i="5"/>
  <c r="Q186" i="5"/>
  <c r="R186" i="5"/>
  <c r="S186" i="5"/>
  <c r="T186" i="5"/>
  <c r="C187" i="5"/>
  <c r="D187" i="5"/>
  <c r="E187" i="5"/>
  <c r="F187" i="5"/>
  <c r="G187" i="5"/>
  <c r="H187" i="5"/>
  <c r="I187" i="5"/>
  <c r="J187" i="5"/>
  <c r="K187" i="5"/>
  <c r="L187" i="5"/>
  <c r="M187" i="5"/>
  <c r="N187" i="5"/>
  <c r="O187" i="5"/>
  <c r="P187" i="5"/>
  <c r="Q187" i="5"/>
  <c r="R187" i="5"/>
  <c r="S187" i="5"/>
  <c r="T187" i="5"/>
  <c r="C188" i="5"/>
  <c r="D188" i="5"/>
  <c r="E188" i="5"/>
  <c r="F188" i="5"/>
  <c r="G188" i="5"/>
  <c r="H188" i="5"/>
  <c r="I188" i="5"/>
  <c r="J188" i="5"/>
  <c r="K188" i="5"/>
  <c r="L188" i="5"/>
  <c r="M188" i="5"/>
  <c r="N188" i="5"/>
  <c r="O188" i="5"/>
  <c r="P188" i="5"/>
  <c r="Q188" i="5"/>
  <c r="R188" i="5"/>
  <c r="S188" i="5"/>
  <c r="T188" i="5"/>
  <c r="C189" i="5"/>
  <c r="D189" i="5"/>
  <c r="E189" i="5"/>
  <c r="F189" i="5"/>
  <c r="G189" i="5"/>
  <c r="H189" i="5"/>
  <c r="I189" i="5"/>
  <c r="J189" i="5"/>
  <c r="K189" i="5"/>
  <c r="L189" i="5"/>
  <c r="M189" i="5"/>
  <c r="N189" i="5"/>
  <c r="O189" i="5"/>
  <c r="P189" i="5"/>
  <c r="Q189" i="5"/>
  <c r="R189" i="5"/>
  <c r="S189" i="5"/>
  <c r="T189" i="5"/>
  <c r="C190" i="5"/>
  <c r="D190" i="5"/>
  <c r="E190" i="5"/>
  <c r="F190" i="5"/>
  <c r="G190" i="5"/>
  <c r="H190" i="5"/>
  <c r="I190" i="5"/>
  <c r="J190" i="5"/>
  <c r="K190" i="5"/>
  <c r="L190" i="5"/>
  <c r="M190" i="5"/>
  <c r="N190" i="5"/>
  <c r="O190" i="5"/>
  <c r="P190" i="5"/>
  <c r="Q190" i="5"/>
  <c r="R190" i="5"/>
  <c r="S190" i="5"/>
  <c r="T190" i="5"/>
  <c r="C191" i="5"/>
  <c r="D191" i="5"/>
  <c r="E191" i="5"/>
  <c r="F191" i="5"/>
  <c r="G191" i="5"/>
  <c r="H191" i="5"/>
  <c r="I191" i="5"/>
  <c r="J191" i="5"/>
  <c r="K191" i="5"/>
  <c r="L191" i="5"/>
  <c r="M191" i="5"/>
  <c r="N191" i="5"/>
  <c r="O191" i="5"/>
  <c r="P191" i="5"/>
  <c r="Q191" i="5"/>
  <c r="R191" i="5"/>
  <c r="S191" i="5"/>
  <c r="T191" i="5"/>
  <c r="C192" i="5"/>
  <c r="D192" i="5"/>
  <c r="E192" i="5"/>
  <c r="F192" i="5"/>
  <c r="G192" i="5"/>
  <c r="H192" i="5"/>
  <c r="I192" i="5"/>
  <c r="J192" i="5"/>
  <c r="K192" i="5"/>
  <c r="L192" i="5"/>
  <c r="M192" i="5"/>
  <c r="N192" i="5"/>
  <c r="O192" i="5"/>
  <c r="P192" i="5"/>
  <c r="Q192" i="5"/>
  <c r="R192" i="5"/>
  <c r="S192" i="5"/>
  <c r="T192" i="5"/>
  <c r="C193" i="5"/>
  <c r="D193" i="5"/>
  <c r="E193" i="5"/>
  <c r="F193" i="5"/>
  <c r="G193" i="5"/>
  <c r="H193" i="5"/>
  <c r="I193" i="5"/>
  <c r="J193" i="5"/>
  <c r="K193" i="5"/>
  <c r="L193" i="5"/>
  <c r="M193" i="5"/>
  <c r="N193" i="5"/>
  <c r="O193" i="5"/>
  <c r="P193" i="5"/>
  <c r="Q193" i="5"/>
  <c r="R193" i="5"/>
  <c r="S193" i="5"/>
  <c r="T193" i="5"/>
  <c r="C194" i="5"/>
  <c r="D194" i="5"/>
  <c r="E194" i="5"/>
  <c r="F194" i="5"/>
  <c r="G194" i="5"/>
  <c r="H194" i="5"/>
  <c r="I194" i="5"/>
  <c r="J194" i="5"/>
  <c r="K194" i="5"/>
  <c r="L194" i="5"/>
  <c r="M194" i="5"/>
  <c r="N194" i="5"/>
  <c r="O194" i="5"/>
  <c r="P194" i="5"/>
  <c r="Q194" i="5"/>
  <c r="R194" i="5"/>
  <c r="S194" i="5"/>
  <c r="T194" i="5"/>
  <c r="C195" i="5"/>
  <c r="D195" i="5"/>
  <c r="E195" i="5"/>
  <c r="F195" i="5"/>
  <c r="G195" i="5"/>
  <c r="H195" i="5"/>
  <c r="I195" i="5"/>
  <c r="J195" i="5"/>
  <c r="K195" i="5"/>
  <c r="L195" i="5"/>
  <c r="M195" i="5"/>
  <c r="N195" i="5"/>
  <c r="O195" i="5"/>
  <c r="P195" i="5"/>
  <c r="Q195" i="5"/>
  <c r="R195" i="5"/>
  <c r="S195" i="5"/>
  <c r="T195" i="5"/>
  <c r="C196" i="5"/>
  <c r="D196" i="5"/>
  <c r="E196" i="5"/>
  <c r="F196" i="5"/>
  <c r="G196" i="5"/>
  <c r="H196" i="5"/>
  <c r="I196" i="5"/>
  <c r="J196" i="5"/>
  <c r="K196" i="5"/>
  <c r="L196" i="5"/>
  <c r="M196" i="5"/>
  <c r="N196" i="5"/>
  <c r="O196" i="5"/>
  <c r="P196" i="5"/>
  <c r="Q196" i="5"/>
  <c r="R196" i="5"/>
  <c r="S196" i="5"/>
  <c r="T196" i="5"/>
  <c r="C197" i="5"/>
  <c r="D197" i="5"/>
  <c r="E197" i="5"/>
  <c r="F197" i="5"/>
  <c r="G197" i="5"/>
  <c r="H197" i="5"/>
  <c r="I197" i="5"/>
  <c r="J197" i="5"/>
  <c r="K197" i="5"/>
  <c r="L197" i="5"/>
  <c r="M197" i="5"/>
  <c r="N197" i="5"/>
  <c r="O197" i="5"/>
  <c r="P197" i="5"/>
  <c r="Q197" i="5"/>
  <c r="R197" i="5"/>
  <c r="S197" i="5"/>
  <c r="T197" i="5"/>
  <c r="C198" i="5"/>
  <c r="D198" i="5"/>
  <c r="E198" i="5"/>
  <c r="F198" i="5"/>
  <c r="G198" i="5"/>
  <c r="H198" i="5"/>
  <c r="I198" i="5"/>
  <c r="J198" i="5"/>
  <c r="K198" i="5"/>
  <c r="L198" i="5"/>
  <c r="M198" i="5"/>
  <c r="N198" i="5"/>
  <c r="O198" i="5"/>
  <c r="P198" i="5"/>
  <c r="Q198" i="5"/>
  <c r="R198" i="5"/>
  <c r="S198" i="5"/>
  <c r="T198" i="5"/>
  <c r="C199" i="5"/>
  <c r="D199" i="5"/>
  <c r="E199" i="5"/>
  <c r="F199" i="5"/>
  <c r="G199" i="5"/>
  <c r="H199" i="5"/>
  <c r="I199" i="5"/>
  <c r="J199" i="5"/>
  <c r="K199" i="5"/>
  <c r="L199" i="5"/>
  <c r="M199" i="5"/>
  <c r="N199" i="5"/>
  <c r="O199" i="5"/>
  <c r="P199" i="5"/>
  <c r="Q199" i="5"/>
  <c r="R199" i="5"/>
  <c r="S199" i="5"/>
  <c r="T199" i="5"/>
  <c r="C200" i="5"/>
  <c r="D200" i="5"/>
  <c r="E200" i="5"/>
  <c r="F200" i="5"/>
  <c r="G200" i="5"/>
  <c r="H200" i="5"/>
  <c r="I200" i="5"/>
  <c r="J200" i="5"/>
  <c r="K200" i="5"/>
  <c r="L200" i="5"/>
  <c r="M200" i="5"/>
  <c r="N200" i="5"/>
  <c r="O200" i="5"/>
  <c r="P200" i="5"/>
  <c r="Q200" i="5"/>
  <c r="R200" i="5"/>
  <c r="S200" i="5"/>
  <c r="T200" i="5"/>
  <c r="EC9" i="6"/>
  <c r="EC11" i="6"/>
  <c r="EC12" i="6"/>
  <c r="EC13" i="6"/>
  <c r="AM8" i="6"/>
  <c r="AK8" i="6"/>
  <c r="AI8" i="6"/>
  <c r="G10" i="7" l="1"/>
  <c r="G13" i="7"/>
  <c r="G12" i="7"/>
  <c r="G11" i="7"/>
  <c r="AG5" i="7"/>
  <c r="AG8" i="7"/>
  <c r="AG7" i="7"/>
  <c r="AG6" i="7"/>
  <c r="AI6" i="7" s="1"/>
  <c r="AH7" i="7"/>
  <c r="AH5" i="7"/>
  <c r="AH8" i="7"/>
  <c r="EB10" i="6"/>
  <c r="EC10" i="6"/>
  <c r="EE10" i="6" s="1"/>
  <c r="EE11" i="6" s="1"/>
  <c r="EE12" i="6" s="1"/>
  <c r="EE13" i="6" s="1"/>
  <c r="EE14" i="6" s="1"/>
  <c r="EC8" i="6"/>
  <c r="EE8" i="6" s="1"/>
  <c r="EE9" i="6" s="1"/>
  <c r="AI5" i="7" l="1"/>
  <c r="AI7" i="7"/>
  <c r="AI8" i="7"/>
  <c r="EE15" i="6"/>
  <c r="EE16" i="6" s="1"/>
  <c r="EE17" i="6" s="1"/>
  <c r="EE18" i="6" s="1"/>
  <c r="EE19" i="6" s="1"/>
  <c r="EE20" i="6" s="1"/>
  <c r="EE21" i="6" s="1"/>
  <c r="EE22" i="6" s="1"/>
  <c r="EE23" i="6" s="1"/>
  <c r="EE24" i="6" s="1"/>
  <c r="EE25" i="6" s="1"/>
  <c r="EE26" i="6" s="1"/>
  <c r="EE27" i="6" s="1"/>
  <c r="EE28" i="6" s="1"/>
  <c r="EE29" i="6" s="1"/>
  <c r="EE30" i="6" s="1"/>
  <c r="EE31" i="6" s="1"/>
  <c r="EE32" i="6" s="1"/>
  <c r="EE33" i="6" s="1"/>
  <c r="EE34" i="6" s="1"/>
  <c r="EE35" i="6" s="1"/>
  <c r="EE36" i="6" s="1"/>
  <c r="EE37" i="6" s="1"/>
  <c r="EE38" i="6" s="1"/>
  <c r="EE39" i="6" s="1"/>
  <c r="EE40" i="6" s="1"/>
  <c r="EE41" i="6" s="1"/>
  <c r="EE42" i="6" s="1"/>
  <c r="EE43" i="6" s="1"/>
  <c r="EE44" i="6" s="1"/>
  <c r="EE45" i="6" s="1"/>
  <c r="EE46" i="6" s="1"/>
  <c r="EE47" i="6" s="1"/>
  <c r="EE48" i="6" s="1"/>
  <c r="EE49" i="6" s="1"/>
  <c r="EE50" i="6" s="1"/>
  <c r="EE51" i="6" s="1"/>
  <c r="EE52" i="6" s="1"/>
  <c r="EE53" i="6" s="1"/>
  <c r="EE54" i="6" s="1"/>
  <c r="EE55" i="6" s="1"/>
  <c r="EE56" i="6" s="1"/>
  <c r="EE57" i="6" s="1"/>
  <c r="EE58" i="6" s="1"/>
  <c r="EE59" i="6" s="1"/>
  <c r="EE60" i="6" s="1"/>
  <c r="EE61" i="6" s="1"/>
  <c r="EE62" i="6" s="1"/>
  <c r="EE63" i="6" s="1"/>
  <c r="EE64" i="6" s="1"/>
  <c r="EE65" i="6" s="1"/>
  <c r="EE66" i="6" s="1"/>
  <c r="EE67" i="6" s="1"/>
  <c r="EE68" i="6" s="1"/>
  <c r="EE69" i="6" s="1"/>
  <c r="EE70" i="6" s="1"/>
  <c r="EE71" i="6" s="1"/>
  <c r="EE72" i="6" s="1"/>
  <c r="EE73" i="6" s="1"/>
  <c r="EE74" i="6" s="1"/>
  <c r="EE75" i="6" s="1"/>
  <c r="EE76" i="6" s="1"/>
  <c r="EE77" i="6" s="1"/>
  <c r="EE78" i="6" s="1"/>
  <c r="EE79" i="6" s="1"/>
  <c r="EE80" i="6" s="1"/>
  <c r="EE81" i="6" s="1"/>
  <c r="EE82" i="6" s="1"/>
  <c r="EE83" i="6" s="1"/>
  <c r="EE84" i="6" s="1"/>
  <c r="EE85" i="6" s="1"/>
  <c r="EE86" i="6" s="1"/>
  <c r="EE87" i="6" s="1"/>
  <c r="EE88" i="6" s="1"/>
  <c r="EE89" i="6" s="1"/>
  <c r="EE90" i="6" s="1"/>
  <c r="EE91" i="6" s="1"/>
  <c r="EE92" i="6" s="1"/>
  <c r="EE93" i="6" s="1"/>
  <c r="EE94" i="6" s="1"/>
  <c r="EE95" i="6" s="1"/>
  <c r="EE96" i="6" s="1"/>
  <c r="EE97" i="6" s="1"/>
  <c r="EE98" i="6" s="1"/>
  <c r="EE99" i="6" s="1"/>
  <c r="EE100" i="6" s="1"/>
  <c r="EE101" i="6" s="1"/>
  <c r="EE102" i="6" s="1"/>
  <c r="EE103" i="6" s="1"/>
  <c r="EE104" i="6" s="1"/>
  <c r="EE105" i="6" s="1"/>
  <c r="EE106" i="6" s="1"/>
  <c r="EE107" i="6" s="1"/>
  <c r="EE108" i="6" s="1"/>
  <c r="EE109" i="6" s="1"/>
  <c r="EE110" i="6" s="1"/>
  <c r="EE111" i="6" s="1"/>
  <c r="EE112" i="6" s="1"/>
  <c r="EE113" i="6" s="1"/>
  <c r="EE114" i="6" s="1"/>
  <c r="EE115" i="6" s="1"/>
  <c r="EE116" i="6" s="1"/>
  <c r="EE117" i="6" s="1"/>
  <c r="EE118" i="6" s="1"/>
  <c r="EE119" i="6" s="1"/>
  <c r="EE120" i="6" s="1"/>
  <c r="EE121" i="6" s="1"/>
  <c r="EE122" i="6" s="1"/>
  <c r="EE123" i="6" s="1"/>
  <c r="EE124" i="6" s="1"/>
  <c r="EE125" i="6" s="1"/>
  <c r="EE126" i="6" s="1"/>
  <c r="EE127" i="6" s="1"/>
  <c r="EE128" i="6" s="1"/>
  <c r="EE129" i="6" s="1"/>
  <c r="EE130" i="6" s="1"/>
  <c r="EE131" i="6" s="1"/>
  <c r="EE132" i="6" s="1"/>
  <c r="EE133" i="6" s="1"/>
  <c r="EE134" i="6" s="1"/>
  <c r="EE135" i="6" s="1"/>
  <c r="EE136" i="6" s="1"/>
  <c r="EE137" i="6" s="1"/>
  <c r="EE138" i="6" s="1"/>
  <c r="EE139" i="6" s="1"/>
  <c r="EE140" i="6" s="1"/>
  <c r="EE141" i="6" s="1"/>
  <c r="EE142" i="6" s="1"/>
  <c r="EE143" i="6" s="1"/>
  <c r="EE144" i="6" s="1"/>
  <c r="EE145" i="6" s="1"/>
  <c r="EE146" i="6" s="1"/>
  <c r="EE147" i="6" s="1"/>
  <c r="EE148" i="6" s="1"/>
  <c r="EE149" i="6" s="1"/>
  <c r="EE150" i="6" s="1"/>
  <c r="EE151" i="6" s="1"/>
  <c r="EE152" i="6" s="1"/>
  <c r="EE153" i="6" s="1"/>
  <c r="EE154" i="6" s="1"/>
  <c r="EE155" i="6" s="1"/>
  <c r="EE156" i="6" s="1"/>
  <c r="EE157" i="6" s="1"/>
  <c r="EE158" i="6" s="1"/>
  <c r="EE159" i="6" s="1"/>
  <c r="EE160" i="6" s="1"/>
  <c r="EE161" i="6" s="1"/>
  <c r="EE162" i="6" s="1"/>
  <c r="EE163" i="6" s="1"/>
  <c r="EE164" i="6" s="1"/>
  <c r="EE165" i="6" s="1"/>
  <c r="EE166" i="6" s="1"/>
  <c r="EE167" i="6" s="1"/>
  <c r="EE168" i="6" s="1"/>
  <c r="EE169" i="6" s="1"/>
  <c r="EE170" i="6" s="1"/>
  <c r="EE171" i="6" s="1"/>
  <c r="EE172" i="6" s="1"/>
  <c r="EE173" i="6" s="1"/>
  <c r="EE174" i="6" s="1"/>
  <c r="EE175" i="6" s="1"/>
  <c r="EE176" i="6" s="1"/>
  <c r="EE177" i="6" s="1"/>
  <c r="EE178" i="6" s="1"/>
  <c r="EE179" i="6" s="1"/>
  <c r="EE180" i="6" s="1"/>
  <c r="EE181" i="6" s="1"/>
  <c r="EE182" i="6" s="1"/>
  <c r="EE183" i="6" s="1"/>
  <c r="EE184" i="6" s="1"/>
  <c r="EE185" i="6" s="1"/>
  <c r="EE186" i="6" s="1"/>
  <c r="EE187" i="6" s="1"/>
  <c r="EE188" i="6" s="1"/>
  <c r="EE189" i="6" s="1"/>
  <c r="EE190" i="6" s="1"/>
  <c r="EE191" i="6" s="1"/>
  <c r="EE192" i="6" s="1"/>
  <c r="EE193" i="6" s="1"/>
  <c r="EE194" i="6" s="1"/>
  <c r="EE195" i="6" s="1"/>
  <c r="EE196" i="6" s="1"/>
  <c r="EE197" i="6" s="1"/>
  <c r="EE198" i="6" s="1"/>
  <c r="EE199" i="6" s="1"/>
  <c r="EE200" i="6" s="1"/>
  <c r="EE201" i="6" s="1"/>
  <c r="EE202" i="6" s="1"/>
  <c r="EE203" i="6" s="1"/>
  <c r="EE204" i="6" s="1"/>
  <c r="EE205" i="6" s="1"/>
  <c r="EE206" i="6" s="1"/>
  <c r="EE207" i="6" s="1"/>
  <c r="EE208" i="6" s="1"/>
  <c r="EE209" i="6" s="1"/>
  <c r="EE210" i="6" s="1"/>
  <c r="EE211" i="6" s="1"/>
  <c r="EE212" i="6" s="1"/>
  <c r="EE213" i="6" s="1"/>
  <c r="EE214" i="6" s="1"/>
  <c r="EE215" i="6" s="1"/>
  <c r="EE216" i="6" s="1"/>
  <c r="EE217" i="6" s="1"/>
  <c r="EE218" i="6" s="1"/>
  <c r="EE219" i="6" s="1"/>
  <c r="EE220" i="6" s="1"/>
  <c r="EE221" i="6" s="1"/>
  <c r="EE222" i="6" s="1"/>
  <c r="EE223" i="6" s="1"/>
  <c r="EE224" i="6" s="1"/>
  <c r="EE225" i="6" s="1"/>
  <c r="EE226" i="6" s="1"/>
  <c r="EE227" i="6" s="1"/>
  <c r="EE228" i="6" s="1"/>
  <c r="EE229" i="6" s="1"/>
  <c r="EE230" i="6" s="1"/>
  <c r="EE231" i="6" s="1"/>
  <c r="EE232" i="6" s="1"/>
  <c r="EE233" i="6" s="1"/>
  <c r="EE234" i="6" s="1"/>
  <c r="EE235" i="6" s="1"/>
  <c r="EE236" i="6" s="1"/>
  <c r="EE237" i="6" s="1"/>
  <c r="EE238" i="6" s="1"/>
  <c r="EE239" i="6" s="1"/>
  <c r="EE240" i="6" s="1"/>
  <c r="EE241" i="6" s="1"/>
  <c r="EE242" i="6" s="1"/>
  <c r="EE243" i="6" s="1"/>
  <c r="EE244" i="6" s="1"/>
  <c r="EE245" i="6" s="1"/>
  <c r="EE246" i="6" s="1"/>
  <c r="EE247" i="6" s="1"/>
  <c r="EE248" i="6" s="1"/>
  <c r="EE249" i="6" s="1"/>
  <c r="EE250" i="6" s="1"/>
  <c r="EE251" i="6" s="1"/>
  <c r="EE252" i="6" s="1"/>
  <c r="EE253" i="6" s="1"/>
  <c r="EE254" i="6" s="1"/>
  <c r="EE255" i="6" s="1"/>
  <c r="EE256" i="6" s="1"/>
  <c r="EE257" i="6" s="1"/>
  <c r="EE258" i="6" s="1"/>
  <c r="EE259" i="6" s="1"/>
  <c r="EE260" i="6" s="1"/>
  <c r="EE261" i="6" s="1"/>
  <c r="EE262" i="6" s="1"/>
  <c r="EE263" i="6" s="1"/>
  <c r="EE264" i="6" s="1"/>
  <c r="EE265" i="6" s="1"/>
  <c r="EE266" i="6" s="1"/>
  <c r="EE267" i="6" s="1"/>
  <c r="EE268" i="6" s="1"/>
  <c r="EE269" i="6" s="1"/>
  <c r="EE270" i="6" s="1"/>
  <c r="EE271" i="6" s="1"/>
  <c r="EE272" i="6" s="1"/>
  <c r="EE273" i="6" s="1"/>
  <c r="EE274" i="6" s="1"/>
  <c r="EE275" i="6" s="1"/>
  <c r="EE276" i="6" s="1"/>
  <c r="EE277" i="6" s="1"/>
  <c r="EE278" i="6" s="1"/>
  <c r="EE279" i="6" s="1"/>
  <c r="EE280" i="6" s="1"/>
  <c r="EE281" i="6" s="1"/>
  <c r="EE282" i="6" s="1"/>
  <c r="EE283" i="6" s="1"/>
  <c r="EE284" i="6" s="1"/>
  <c r="EE285" i="6" s="1"/>
  <c r="EE286" i="6" s="1"/>
  <c r="EE287" i="6" s="1"/>
  <c r="EE288" i="6" s="1"/>
  <c r="EE289" i="6" s="1"/>
  <c r="EE290" i="6" s="1"/>
  <c r="EE291" i="6" s="1"/>
  <c r="EE292" i="6" s="1"/>
  <c r="EE293" i="6" s="1"/>
  <c r="EE294" i="6" s="1"/>
  <c r="EE295" i="6" s="1"/>
  <c r="EE296" i="6" s="1"/>
  <c r="EE297" i="6" s="1"/>
  <c r="EE298" i="6" s="1"/>
  <c r="EE299" i="6" s="1"/>
  <c r="EE300" i="6" s="1"/>
  <c r="EE301" i="6" s="1"/>
  <c r="EE302" i="6" s="1"/>
  <c r="EE303" i="6" s="1"/>
  <c r="EE304" i="6" s="1"/>
  <c r="EE305" i="6" s="1"/>
  <c r="EE306" i="6" s="1"/>
  <c r="EE307" i="6" s="1"/>
  <c r="EE308" i="6" s="1"/>
  <c r="EE309" i="6" s="1"/>
  <c r="EE310" i="6" s="1"/>
  <c r="EE311" i="6" s="1"/>
  <c r="EE312" i="6" s="1"/>
  <c r="EE313" i="6" s="1"/>
  <c r="EE314" i="6" s="1"/>
  <c r="EE315" i="6" s="1"/>
  <c r="EE316" i="6" s="1"/>
  <c r="EE317" i="6" s="1"/>
  <c r="EE318" i="6" s="1"/>
  <c r="EE319" i="6" s="1"/>
  <c r="EE320" i="6" s="1"/>
  <c r="EE321" i="6" s="1"/>
  <c r="EE322" i="6" s="1"/>
  <c r="EE323" i="6" s="1"/>
  <c r="EE324" i="6" s="1"/>
  <c r="EE325" i="6" s="1"/>
  <c r="EE326" i="6" s="1"/>
  <c r="EE327" i="6" s="1"/>
  <c r="EE328" i="6" s="1"/>
  <c r="EE329" i="6" s="1"/>
  <c r="EE330" i="6" s="1"/>
  <c r="EE331" i="6" s="1"/>
  <c r="EE332" i="6" s="1"/>
  <c r="EE333" i="6" s="1"/>
  <c r="EE334" i="6" s="1"/>
  <c r="EE335" i="6" s="1"/>
  <c r="EE336" i="6" s="1"/>
  <c r="EE337" i="6" s="1"/>
  <c r="EE338" i="6" s="1"/>
  <c r="EE339" i="6" s="1"/>
  <c r="EE340" i="6" s="1"/>
  <c r="EE341" i="6" s="1"/>
  <c r="EE342" i="6" s="1"/>
  <c r="EE343" i="6" s="1"/>
  <c r="EE344" i="6" s="1"/>
  <c r="EE345" i="6" s="1"/>
  <c r="EE346" i="6" s="1"/>
  <c r="EE347" i="6" s="1"/>
  <c r="EE348" i="6" s="1"/>
  <c r="EE349" i="6" s="1"/>
  <c r="EE350" i="6" s="1"/>
  <c r="EE351" i="6" s="1"/>
  <c r="EE352" i="6" s="1"/>
  <c r="EE353" i="6" s="1"/>
  <c r="EE354" i="6" s="1"/>
  <c r="EE355" i="6" s="1"/>
  <c r="EE356" i="6" s="1"/>
  <c r="EE357" i="6" s="1"/>
  <c r="EE358" i="6" s="1"/>
  <c r="EE359" i="6" s="1"/>
  <c r="EE360" i="6" s="1"/>
  <c r="EE361" i="6" s="1"/>
  <c r="EE362" i="6" s="1"/>
  <c r="EE363" i="6" s="1"/>
  <c r="EE364" i="6" s="1"/>
  <c r="EE365" i="6" s="1"/>
  <c r="EE366" i="6" s="1"/>
  <c r="EE367" i="6" s="1"/>
  <c r="EE368" i="6" s="1"/>
  <c r="EE369" i="6" s="1"/>
  <c r="EE370" i="6" s="1"/>
  <c r="EE371" i="6" s="1"/>
  <c r="EE372" i="6" s="1"/>
  <c r="EE373" i="6" s="1"/>
  <c r="EE374" i="6" s="1"/>
  <c r="EE375" i="6" s="1"/>
  <c r="EE376" i="6" s="1"/>
  <c r="EE377" i="6" s="1"/>
  <c r="EE378" i="6" s="1"/>
  <c r="EE379" i="6" s="1"/>
  <c r="EE380" i="6" s="1"/>
  <c r="EE381" i="6" s="1"/>
  <c r="EE382" i="6" s="1"/>
  <c r="EE383" i="6" s="1"/>
  <c r="EE384" i="6" s="1"/>
  <c r="EE385" i="6" s="1"/>
  <c r="EE386" i="6" s="1"/>
  <c r="EE387" i="6" s="1"/>
  <c r="EE388" i="6" s="1"/>
  <c r="EE389" i="6" s="1"/>
  <c r="EE390" i="6" s="1"/>
  <c r="EE391" i="6" s="1"/>
  <c r="EE392" i="6" s="1"/>
  <c r="EE393" i="6" s="1"/>
  <c r="EE394" i="6" s="1"/>
  <c r="EE395" i="6" s="1"/>
  <c r="EE396" i="6" s="1"/>
  <c r="EE397" i="6" s="1"/>
  <c r="EE398" i="6" s="1"/>
  <c r="EE399" i="6" s="1"/>
  <c r="EE400" i="6" s="1"/>
  <c r="EE401" i="6" s="1"/>
  <c r="EE402" i="6" s="1"/>
  <c r="EE403" i="6" s="1"/>
  <c r="EE404" i="6" s="1"/>
  <c r="EE405" i="6" s="1"/>
  <c r="EE406" i="6" s="1"/>
  <c r="EE407" i="6" s="1"/>
  <c r="EE408" i="6" s="1"/>
  <c r="EE409" i="6" s="1"/>
  <c r="EE410" i="6" s="1"/>
  <c r="EE411" i="6" s="1"/>
  <c r="EE412" i="6" s="1"/>
  <c r="EE413" i="6" s="1"/>
  <c r="EE414" i="6" s="1"/>
  <c r="EE415" i="6" s="1"/>
  <c r="EE416" i="6" s="1"/>
  <c r="EE417" i="6" s="1"/>
  <c r="EE418" i="6" s="1"/>
  <c r="EE419" i="6" s="1"/>
  <c r="EE420" i="6" s="1"/>
  <c r="EE421" i="6" s="1"/>
  <c r="EE422" i="6" s="1"/>
  <c r="EE423" i="6" s="1"/>
  <c r="EE424" i="6" s="1"/>
  <c r="EE425" i="6" s="1"/>
  <c r="EE426" i="6" s="1"/>
  <c r="EE427" i="6" s="1"/>
  <c r="EE428" i="6" s="1"/>
  <c r="EE429" i="6" s="1"/>
  <c r="EE430" i="6" s="1"/>
  <c r="EE431" i="6" s="1"/>
  <c r="EE432" i="6" s="1"/>
  <c r="EE433" i="6" s="1"/>
  <c r="EE434" i="6" s="1"/>
  <c r="EE435" i="6" s="1"/>
  <c r="EE436" i="6" s="1"/>
  <c r="EE437" i="6" s="1"/>
  <c r="EE438" i="6" s="1"/>
  <c r="EE439" i="6" s="1"/>
  <c r="EE440" i="6" s="1"/>
  <c r="EE441" i="6" s="1"/>
  <c r="EE442" i="6" s="1"/>
  <c r="EE443" i="6" s="1"/>
  <c r="EE444" i="6" s="1"/>
  <c r="EE445" i="6" s="1"/>
  <c r="EE446" i="6" s="1"/>
  <c r="EE447" i="6" s="1"/>
  <c r="EE448" i="6" s="1"/>
  <c r="EE449" i="6" s="1"/>
  <c r="EE450" i="6" s="1"/>
  <c r="EE451" i="6" s="1"/>
  <c r="EE452" i="6" s="1"/>
  <c r="EE453" i="6" s="1"/>
  <c r="EE454" i="6" s="1"/>
  <c r="EE455" i="6" s="1"/>
  <c r="EE456" i="6" s="1"/>
  <c r="EE457" i="6" s="1"/>
  <c r="EE458" i="6" s="1"/>
  <c r="EE459" i="6" s="1"/>
  <c r="EE460" i="6" s="1"/>
  <c r="EE461" i="6" s="1"/>
  <c r="EE462" i="6" s="1"/>
  <c r="EE463" i="6" s="1"/>
  <c r="EE464" i="6" s="1"/>
  <c r="EE465" i="6" s="1"/>
  <c r="EE466" i="6" s="1"/>
  <c r="EE467" i="6" s="1"/>
  <c r="EE468" i="6" s="1"/>
  <c r="EE469" i="6" s="1"/>
  <c r="EE470" i="6" s="1"/>
  <c r="EE471" i="6" s="1"/>
  <c r="EE472" i="6" s="1"/>
  <c r="EE473" i="6" s="1"/>
  <c r="EE474" i="6" s="1"/>
  <c r="EE475" i="6" s="1"/>
  <c r="EE476" i="6" s="1"/>
  <c r="EE477" i="6" s="1"/>
  <c r="EE478" i="6" s="1"/>
  <c r="EE479" i="6" s="1"/>
  <c r="EE480" i="6" s="1"/>
  <c r="EE481" i="6" s="1"/>
  <c r="EE482" i="6" s="1"/>
  <c r="EE483" i="6" s="1"/>
  <c r="EE484" i="6" s="1"/>
  <c r="EE485" i="6" s="1"/>
  <c r="EE486" i="6" s="1"/>
  <c r="EE487" i="6" s="1"/>
  <c r="EE488" i="6" s="1"/>
  <c r="EE489" i="6" s="1"/>
  <c r="EE490" i="6" s="1"/>
  <c r="EE491" i="6" s="1"/>
  <c r="EE492" i="6" s="1"/>
  <c r="EE493" i="6" s="1"/>
  <c r="EE494" i="6" s="1"/>
  <c r="EE495" i="6" s="1"/>
  <c r="EE496" i="6" s="1"/>
  <c r="EE497" i="6" s="1"/>
  <c r="EE498" i="6" s="1"/>
  <c r="EE499" i="6" s="1"/>
  <c r="EE500" i="6" s="1"/>
  <c r="EB8" i="6"/>
  <c r="EF8" i="6" s="1"/>
  <c r="EG8" i="6" s="1"/>
  <c r="EF10" i="6"/>
  <c r="ED10" i="6" s="1"/>
  <c r="ED11" i="6" s="1"/>
  <c r="ED12" i="6" s="1"/>
  <c r="ED13" i="6" s="1"/>
  <c r="ED14" i="6" s="1"/>
  <c r="ED15" i="6" s="1"/>
  <c r="ED16" i="6" s="1"/>
  <c r="ED17" i="6" s="1"/>
  <c r="ED18" i="6" s="1"/>
  <c r="ED19" i="6" s="1"/>
  <c r="ED20" i="6" s="1"/>
  <c r="ED21" i="6" s="1"/>
  <c r="ED22" i="6" s="1"/>
  <c r="ED23" i="6" s="1"/>
  <c r="ED24" i="6" s="1"/>
  <c r="ED25" i="6" s="1"/>
  <c r="ED26" i="6" s="1"/>
  <c r="ED27" i="6" s="1"/>
  <c r="ED28" i="6" s="1"/>
  <c r="ED29" i="6" s="1"/>
  <c r="ED30" i="6" s="1"/>
  <c r="ED31" i="6" s="1"/>
  <c r="ED32" i="6" s="1"/>
  <c r="ED33" i="6" s="1"/>
  <c r="ED34" i="6" s="1"/>
  <c r="ED35" i="6" s="1"/>
  <c r="ED36" i="6" s="1"/>
  <c r="ED37" i="6" s="1"/>
  <c r="ED38" i="6" s="1"/>
  <c r="ED39" i="6" s="1"/>
  <c r="ED40" i="6" s="1"/>
  <c r="ED41" i="6" s="1"/>
  <c r="ED42" i="6" s="1"/>
  <c r="ED43" i="6" s="1"/>
  <c r="ED44" i="6" s="1"/>
  <c r="ED45" i="6" s="1"/>
  <c r="ED46" i="6" s="1"/>
  <c r="ED47" i="6" s="1"/>
  <c r="ED48" i="6" s="1"/>
  <c r="ED49" i="6" s="1"/>
  <c r="ED50" i="6" s="1"/>
  <c r="ED51" i="6" s="1"/>
  <c r="ED52" i="6" s="1"/>
  <c r="ED53" i="6" s="1"/>
  <c r="ED54" i="6" s="1"/>
  <c r="ED55" i="6" s="1"/>
  <c r="ED56" i="6" s="1"/>
  <c r="ED57" i="6" s="1"/>
  <c r="ED58" i="6" s="1"/>
  <c r="ED59" i="6" s="1"/>
  <c r="ED60" i="6" s="1"/>
  <c r="ED61" i="6" s="1"/>
  <c r="ED62" i="6" s="1"/>
  <c r="ED63" i="6" s="1"/>
  <c r="ED64" i="6" s="1"/>
  <c r="ED65" i="6" s="1"/>
  <c r="ED66" i="6" s="1"/>
  <c r="ED67" i="6" s="1"/>
  <c r="ED68" i="6" s="1"/>
  <c r="ED69" i="6" s="1"/>
  <c r="ED70" i="6" s="1"/>
  <c r="ED71" i="6" s="1"/>
  <c r="ED72" i="6" s="1"/>
  <c r="ED73" i="6" s="1"/>
  <c r="ED74" i="6" s="1"/>
  <c r="ED75" i="6" s="1"/>
  <c r="ED76" i="6" s="1"/>
  <c r="ED77" i="6" s="1"/>
  <c r="ED78" i="6" s="1"/>
  <c r="ED79" i="6" s="1"/>
  <c r="ED80" i="6" s="1"/>
  <c r="ED81" i="6" s="1"/>
  <c r="ED82" i="6" s="1"/>
  <c r="ED83" i="6" s="1"/>
  <c r="ED84" i="6" s="1"/>
  <c r="ED85" i="6" s="1"/>
  <c r="ED86" i="6" s="1"/>
  <c r="ED87" i="6" s="1"/>
  <c r="ED88" i="6" s="1"/>
  <c r="ED89" i="6" s="1"/>
  <c r="ED90" i="6" s="1"/>
  <c r="ED91" i="6" s="1"/>
  <c r="ED92" i="6" s="1"/>
  <c r="ED93" i="6" s="1"/>
  <c r="ED94" i="6" s="1"/>
  <c r="ED95" i="6" s="1"/>
  <c r="ED96" i="6" s="1"/>
  <c r="ED97" i="6" s="1"/>
  <c r="ED98" i="6" s="1"/>
  <c r="ED99" i="6" s="1"/>
  <c r="ED100" i="6" s="1"/>
  <c r="ED101" i="6" s="1"/>
  <c r="ED102" i="6" s="1"/>
  <c r="ED103" i="6" s="1"/>
  <c r="ED104" i="6" s="1"/>
  <c r="ED105" i="6" s="1"/>
  <c r="ED106" i="6" s="1"/>
  <c r="ED107" i="6" s="1"/>
  <c r="ED108" i="6" s="1"/>
  <c r="ED109" i="6" s="1"/>
  <c r="ED110" i="6" s="1"/>
  <c r="ED111" i="6" s="1"/>
  <c r="ED112" i="6" s="1"/>
  <c r="ED113" i="6" s="1"/>
  <c r="ED114" i="6" s="1"/>
  <c r="ED115" i="6" s="1"/>
  <c r="ED116" i="6" s="1"/>
  <c r="ED117" i="6" s="1"/>
  <c r="ED118" i="6" s="1"/>
  <c r="ED119" i="6" s="1"/>
  <c r="ED120" i="6" s="1"/>
  <c r="ED121" i="6" s="1"/>
  <c r="ED122" i="6" s="1"/>
  <c r="ED123" i="6" s="1"/>
  <c r="ED124" i="6" s="1"/>
  <c r="ED125" i="6" s="1"/>
  <c r="ED126" i="6" s="1"/>
  <c r="ED127" i="6" s="1"/>
  <c r="ED128" i="6" s="1"/>
  <c r="ED129" i="6" s="1"/>
  <c r="ED130" i="6" s="1"/>
  <c r="ED131" i="6" s="1"/>
  <c r="ED132" i="6" s="1"/>
  <c r="ED133" i="6" s="1"/>
  <c r="ED134" i="6" s="1"/>
  <c r="ED135" i="6" s="1"/>
  <c r="ED136" i="6" s="1"/>
  <c r="ED137" i="6" s="1"/>
  <c r="ED138" i="6" s="1"/>
  <c r="ED139" i="6" s="1"/>
  <c r="ED140" i="6" s="1"/>
  <c r="ED141" i="6" s="1"/>
  <c r="ED142" i="6" s="1"/>
  <c r="ED143" i="6" s="1"/>
  <c r="ED144" i="6" s="1"/>
  <c r="ED145" i="6" s="1"/>
  <c r="ED146" i="6" s="1"/>
  <c r="ED147" i="6" s="1"/>
  <c r="ED148" i="6" s="1"/>
  <c r="ED149" i="6" s="1"/>
  <c r="ED150" i="6" s="1"/>
  <c r="ED151" i="6" s="1"/>
  <c r="ED152" i="6" s="1"/>
  <c r="ED153" i="6" s="1"/>
  <c r="ED154" i="6" s="1"/>
  <c r="ED155" i="6" s="1"/>
  <c r="ED156" i="6" s="1"/>
  <c r="ED157" i="6" s="1"/>
  <c r="ED158" i="6" s="1"/>
  <c r="ED159" i="6" s="1"/>
  <c r="ED160" i="6" s="1"/>
  <c r="ED161" i="6" s="1"/>
  <c r="ED162" i="6" s="1"/>
  <c r="ED163" i="6" s="1"/>
  <c r="ED164" i="6" s="1"/>
  <c r="ED165" i="6" s="1"/>
  <c r="ED166" i="6" s="1"/>
  <c r="ED167" i="6" s="1"/>
  <c r="ED168" i="6" s="1"/>
  <c r="ED169" i="6" s="1"/>
  <c r="ED170" i="6" s="1"/>
  <c r="ED171" i="6" s="1"/>
  <c r="ED172" i="6" s="1"/>
  <c r="ED173" i="6" s="1"/>
  <c r="ED174" i="6" s="1"/>
  <c r="ED175" i="6" s="1"/>
  <c r="ED176" i="6" s="1"/>
  <c r="ED177" i="6" s="1"/>
  <c r="ED178" i="6" s="1"/>
  <c r="ED179" i="6" s="1"/>
  <c r="ED180" i="6" s="1"/>
  <c r="ED181" i="6" s="1"/>
  <c r="ED182" i="6" s="1"/>
  <c r="ED183" i="6" s="1"/>
  <c r="ED184" i="6" s="1"/>
  <c r="ED185" i="6" s="1"/>
  <c r="ED186" i="6" s="1"/>
  <c r="ED187" i="6" s="1"/>
  <c r="ED188" i="6" s="1"/>
  <c r="ED189" i="6" s="1"/>
  <c r="ED190" i="6" s="1"/>
  <c r="ED191" i="6" s="1"/>
  <c r="ED192" i="6" s="1"/>
  <c r="ED193" i="6" s="1"/>
  <c r="ED194" i="6" s="1"/>
  <c r="ED195" i="6" s="1"/>
  <c r="ED196" i="6" s="1"/>
  <c r="ED197" i="6" s="1"/>
  <c r="ED198" i="6" s="1"/>
  <c r="ED199" i="6" s="1"/>
  <c r="ED200" i="6" s="1"/>
  <c r="ED201" i="6" s="1"/>
  <c r="ED202" i="6" s="1"/>
  <c r="ED203" i="6" s="1"/>
  <c r="ED204" i="6" s="1"/>
  <c r="ED205" i="6" s="1"/>
  <c r="ED206" i="6" s="1"/>
  <c r="ED207" i="6" s="1"/>
  <c r="ED208" i="6" s="1"/>
  <c r="ED209" i="6" s="1"/>
  <c r="ED210" i="6" s="1"/>
  <c r="ED211" i="6" s="1"/>
  <c r="ED212" i="6" s="1"/>
  <c r="ED213" i="6" s="1"/>
  <c r="ED214" i="6" s="1"/>
  <c r="ED215" i="6" s="1"/>
  <c r="ED216" i="6" s="1"/>
  <c r="ED217" i="6" s="1"/>
  <c r="ED218" i="6" s="1"/>
  <c r="ED219" i="6" s="1"/>
  <c r="ED220" i="6" s="1"/>
  <c r="ED221" i="6" s="1"/>
  <c r="ED222" i="6" s="1"/>
  <c r="ED223" i="6" s="1"/>
  <c r="ED224" i="6" s="1"/>
  <c r="ED225" i="6" s="1"/>
  <c r="ED226" i="6" s="1"/>
  <c r="ED227" i="6" s="1"/>
  <c r="ED228" i="6" s="1"/>
  <c r="ED229" i="6" s="1"/>
  <c r="ED230" i="6" s="1"/>
  <c r="ED231" i="6" s="1"/>
  <c r="ED232" i="6" s="1"/>
  <c r="ED233" i="6" s="1"/>
  <c r="ED234" i="6" s="1"/>
  <c r="ED235" i="6" s="1"/>
  <c r="ED236" i="6" s="1"/>
  <c r="ED237" i="6" s="1"/>
  <c r="ED238" i="6" s="1"/>
  <c r="ED239" i="6" s="1"/>
  <c r="ED240" i="6" s="1"/>
  <c r="ED241" i="6" s="1"/>
  <c r="ED242" i="6" s="1"/>
  <c r="ED243" i="6" s="1"/>
  <c r="ED244" i="6" s="1"/>
  <c r="ED245" i="6" s="1"/>
  <c r="ED246" i="6" s="1"/>
  <c r="ED247" i="6" s="1"/>
  <c r="ED248" i="6" s="1"/>
  <c r="ED249" i="6" s="1"/>
  <c r="ED250" i="6" s="1"/>
  <c r="ED251" i="6" s="1"/>
  <c r="ED252" i="6" s="1"/>
  <c r="ED253" i="6" s="1"/>
  <c r="ED254" i="6" s="1"/>
  <c r="ED255" i="6" s="1"/>
  <c r="ED256" i="6" s="1"/>
  <c r="ED257" i="6" s="1"/>
  <c r="ED258" i="6" s="1"/>
  <c r="ED259" i="6" s="1"/>
  <c r="ED260" i="6" s="1"/>
  <c r="ED261" i="6" s="1"/>
  <c r="ED262" i="6" s="1"/>
  <c r="ED263" i="6" s="1"/>
  <c r="ED264" i="6" s="1"/>
  <c r="ED265" i="6" s="1"/>
  <c r="ED266" i="6" s="1"/>
  <c r="ED267" i="6" s="1"/>
  <c r="ED268" i="6" s="1"/>
  <c r="ED269" i="6" s="1"/>
  <c r="ED270" i="6" s="1"/>
  <c r="ED271" i="6" s="1"/>
  <c r="ED272" i="6" s="1"/>
  <c r="ED273" i="6" s="1"/>
  <c r="ED274" i="6" s="1"/>
  <c r="ED275" i="6" s="1"/>
  <c r="ED276" i="6" s="1"/>
  <c r="ED277" i="6" s="1"/>
  <c r="ED278" i="6" s="1"/>
  <c r="ED279" i="6" s="1"/>
  <c r="ED280" i="6" s="1"/>
  <c r="ED281" i="6" s="1"/>
  <c r="ED282" i="6" s="1"/>
  <c r="ED283" i="6" s="1"/>
  <c r="ED284" i="6" s="1"/>
  <c r="ED285" i="6" s="1"/>
  <c r="ED286" i="6" s="1"/>
  <c r="ED287" i="6" s="1"/>
  <c r="ED288" i="6" s="1"/>
  <c r="ED289" i="6" s="1"/>
  <c r="ED290" i="6" s="1"/>
  <c r="ED291" i="6" s="1"/>
  <c r="ED292" i="6" s="1"/>
  <c r="ED293" i="6" s="1"/>
  <c r="ED294" i="6" s="1"/>
  <c r="ED295" i="6" s="1"/>
  <c r="ED296" i="6" s="1"/>
  <c r="ED297" i="6" s="1"/>
  <c r="ED298" i="6" s="1"/>
  <c r="ED299" i="6" s="1"/>
  <c r="ED300" i="6" s="1"/>
  <c r="ED301" i="6" s="1"/>
  <c r="ED302" i="6" s="1"/>
  <c r="ED303" i="6" s="1"/>
  <c r="ED304" i="6" s="1"/>
  <c r="ED305" i="6" s="1"/>
  <c r="ED306" i="6" s="1"/>
  <c r="ED307" i="6" s="1"/>
  <c r="ED308" i="6" s="1"/>
  <c r="ED309" i="6" s="1"/>
  <c r="ED310" i="6" s="1"/>
  <c r="ED311" i="6" s="1"/>
  <c r="ED312" i="6" s="1"/>
  <c r="ED313" i="6" s="1"/>
  <c r="ED314" i="6" s="1"/>
  <c r="ED315" i="6" s="1"/>
  <c r="ED316" i="6" s="1"/>
  <c r="ED317" i="6" s="1"/>
  <c r="ED318" i="6" s="1"/>
  <c r="ED319" i="6" s="1"/>
  <c r="ED320" i="6" s="1"/>
  <c r="ED321" i="6" s="1"/>
  <c r="ED322" i="6" s="1"/>
  <c r="ED323" i="6" s="1"/>
  <c r="ED324" i="6" s="1"/>
  <c r="ED325" i="6" s="1"/>
  <c r="ED326" i="6" s="1"/>
  <c r="ED327" i="6" s="1"/>
  <c r="ED328" i="6" s="1"/>
  <c r="ED329" i="6" s="1"/>
  <c r="ED330" i="6" s="1"/>
  <c r="ED331" i="6" s="1"/>
  <c r="ED332" i="6" s="1"/>
  <c r="ED333" i="6" s="1"/>
  <c r="ED334" i="6" s="1"/>
  <c r="ED335" i="6" s="1"/>
  <c r="ED336" i="6" s="1"/>
  <c r="ED337" i="6" s="1"/>
  <c r="ED338" i="6" s="1"/>
  <c r="ED339" i="6" s="1"/>
  <c r="ED340" i="6" s="1"/>
  <c r="ED341" i="6" s="1"/>
  <c r="ED342" i="6" s="1"/>
  <c r="ED343" i="6" s="1"/>
  <c r="ED344" i="6" s="1"/>
  <c r="ED345" i="6" s="1"/>
  <c r="ED346" i="6" s="1"/>
  <c r="ED347" i="6" s="1"/>
  <c r="ED348" i="6" s="1"/>
  <c r="ED349" i="6" s="1"/>
  <c r="ED350" i="6" s="1"/>
  <c r="ED351" i="6" s="1"/>
  <c r="ED352" i="6" s="1"/>
  <c r="ED353" i="6" s="1"/>
  <c r="ED354" i="6" s="1"/>
  <c r="ED355" i="6" s="1"/>
  <c r="ED356" i="6" s="1"/>
  <c r="ED357" i="6" s="1"/>
  <c r="ED358" i="6" s="1"/>
  <c r="ED359" i="6" s="1"/>
  <c r="ED360" i="6" s="1"/>
  <c r="ED361" i="6" s="1"/>
  <c r="ED362" i="6" s="1"/>
  <c r="ED363" i="6" s="1"/>
  <c r="ED364" i="6" s="1"/>
  <c r="ED365" i="6" s="1"/>
  <c r="ED366" i="6" s="1"/>
  <c r="ED367" i="6" s="1"/>
  <c r="ED368" i="6" s="1"/>
  <c r="ED369" i="6" s="1"/>
  <c r="ED370" i="6" s="1"/>
  <c r="ED371" i="6" s="1"/>
  <c r="ED372" i="6" s="1"/>
  <c r="ED373" i="6" s="1"/>
  <c r="ED374" i="6" s="1"/>
  <c r="ED375" i="6" s="1"/>
  <c r="ED376" i="6" s="1"/>
  <c r="ED377" i="6" s="1"/>
  <c r="ED378" i="6" s="1"/>
  <c r="ED379" i="6" s="1"/>
  <c r="ED380" i="6" s="1"/>
  <c r="ED381" i="6" s="1"/>
  <c r="ED382" i="6" s="1"/>
  <c r="ED383" i="6" s="1"/>
  <c r="ED384" i="6" s="1"/>
  <c r="ED385" i="6" s="1"/>
  <c r="ED386" i="6" s="1"/>
  <c r="ED387" i="6" s="1"/>
  <c r="ED388" i="6" s="1"/>
  <c r="ED389" i="6" s="1"/>
  <c r="ED390" i="6" s="1"/>
  <c r="ED391" i="6" s="1"/>
  <c r="ED392" i="6" s="1"/>
  <c r="ED393" i="6" s="1"/>
  <c r="ED394" i="6" s="1"/>
  <c r="ED395" i="6" s="1"/>
  <c r="ED396" i="6" s="1"/>
  <c r="ED397" i="6" s="1"/>
  <c r="ED398" i="6" s="1"/>
  <c r="ED399" i="6" s="1"/>
  <c r="ED400" i="6" s="1"/>
  <c r="ED401" i="6" s="1"/>
  <c r="ED402" i="6" s="1"/>
  <c r="ED403" i="6" s="1"/>
  <c r="ED404" i="6" s="1"/>
  <c r="ED405" i="6" s="1"/>
  <c r="ED406" i="6" s="1"/>
  <c r="ED407" i="6" s="1"/>
  <c r="ED408" i="6" s="1"/>
  <c r="ED409" i="6" s="1"/>
  <c r="ED410" i="6" s="1"/>
  <c r="ED411" i="6" s="1"/>
  <c r="ED412" i="6" s="1"/>
  <c r="ED413" i="6" s="1"/>
  <c r="ED414" i="6" s="1"/>
  <c r="ED415" i="6" s="1"/>
  <c r="ED416" i="6" s="1"/>
  <c r="ED417" i="6" s="1"/>
  <c r="ED418" i="6" s="1"/>
  <c r="ED419" i="6" s="1"/>
  <c r="ED420" i="6" s="1"/>
  <c r="ED421" i="6" s="1"/>
  <c r="ED422" i="6" s="1"/>
  <c r="ED423" i="6" s="1"/>
  <c r="ED424" i="6" s="1"/>
  <c r="ED425" i="6" s="1"/>
  <c r="ED426" i="6" s="1"/>
  <c r="ED427" i="6" s="1"/>
  <c r="ED428" i="6" s="1"/>
  <c r="ED429" i="6" s="1"/>
  <c r="ED430" i="6" s="1"/>
  <c r="ED431" i="6" s="1"/>
  <c r="ED432" i="6" s="1"/>
  <c r="ED433" i="6" s="1"/>
  <c r="ED434" i="6" s="1"/>
  <c r="ED435" i="6" s="1"/>
  <c r="ED436" i="6" s="1"/>
  <c r="ED437" i="6" s="1"/>
  <c r="ED438" i="6" s="1"/>
  <c r="ED439" i="6" s="1"/>
  <c r="ED440" i="6" s="1"/>
  <c r="ED441" i="6" s="1"/>
  <c r="ED442" i="6" s="1"/>
  <c r="ED443" i="6" s="1"/>
  <c r="ED444" i="6" s="1"/>
  <c r="ED445" i="6" s="1"/>
  <c r="ED446" i="6" s="1"/>
  <c r="ED447" i="6" s="1"/>
  <c r="ED448" i="6" s="1"/>
  <c r="ED449" i="6" s="1"/>
  <c r="ED450" i="6" s="1"/>
  <c r="ED451" i="6" s="1"/>
  <c r="ED452" i="6" s="1"/>
  <c r="ED453" i="6" s="1"/>
  <c r="ED454" i="6" s="1"/>
  <c r="ED455" i="6" s="1"/>
  <c r="ED456" i="6" s="1"/>
  <c r="ED457" i="6" s="1"/>
  <c r="ED458" i="6" s="1"/>
  <c r="ED459" i="6" s="1"/>
  <c r="ED460" i="6" s="1"/>
  <c r="ED461" i="6" s="1"/>
  <c r="ED462" i="6" s="1"/>
  <c r="ED463" i="6" s="1"/>
  <c r="ED464" i="6" s="1"/>
  <c r="ED465" i="6" s="1"/>
  <c r="ED466" i="6" s="1"/>
  <c r="ED467" i="6" s="1"/>
  <c r="ED468" i="6" s="1"/>
  <c r="ED469" i="6" s="1"/>
  <c r="ED470" i="6" s="1"/>
  <c r="ED471" i="6" s="1"/>
  <c r="ED472" i="6" s="1"/>
  <c r="ED473" i="6" s="1"/>
  <c r="ED474" i="6" s="1"/>
  <c r="ED475" i="6" s="1"/>
  <c r="ED476" i="6" s="1"/>
  <c r="ED477" i="6" s="1"/>
  <c r="ED478" i="6" s="1"/>
  <c r="ED479" i="6" s="1"/>
  <c r="ED480" i="6" s="1"/>
  <c r="ED481" i="6" s="1"/>
  <c r="ED482" i="6" s="1"/>
  <c r="ED483" i="6" s="1"/>
  <c r="ED484" i="6" s="1"/>
  <c r="ED485" i="6" s="1"/>
  <c r="ED486" i="6" s="1"/>
  <c r="ED487" i="6" s="1"/>
  <c r="ED488" i="6" s="1"/>
  <c r="ED489" i="6" s="1"/>
  <c r="ED490" i="6" s="1"/>
  <c r="ED491" i="6" s="1"/>
  <c r="ED492" i="6" s="1"/>
  <c r="ED493" i="6" s="1"/>
  <c r="ED494" i="6" s="1"/>
  <c r="ED495" i="6" s="1"/>
  <c r="ED496" i="6" s="1"/>
  <c r="ED497" i="6" s="1"/>
  <c r="ED498" i="6" s="1"/>
  <c r="ED499" i="6" s="1"/>
  <c r="ED500" i="6" s="1"/>
  <c r="EF11" i="6" l="1"/>
  <c r="EG11" i="6" s="1"/>
  <c r="EH11" i="6" s="1"/>
  <c r="AA11" i="6" s="1"/>
  <c r="ED8" i="6"/>
  <c r="ED9" i="6" s="1"/>
  <c r="EF9" i="6"/>
  <c r="X11" i="6" l="1"/>
  <c r="Z11" i="6"/>
  <c r="P11" i="6"/>
  <c r="V11" i="6"/>
  <c r="L11" i="6"/>
  <c r="D11" i="6"/>
  <c r="J11" i="6"/>
  <c r="H11" i="6"/>
  <c r="F11" i="6"/>
  <c r="EH8" i="6"/>
  <c r="AA8" i="6" s="1"/>
  <c r="T8" i="6" s="1"/>
  <c r="EF12" i="6"/>
  <c r="EG10" i="6"/>
  <c r="EH10" i="6" s="1"/>
  <c r="AA10" i="6" s="1"/>
  <c r="EG9" i="6"/>
  <c r="EH9" i="6" s="1"/>
  <c r="AA9" i="6" s="1"/>
  <c r="T9" i="6" l="1"/>
  <c r="T10" i="6" s="1"/>
  <c r="T11" i="6" s="1"/>
  <c r="V9" i="6"/>
  <c r="R9" i="6"/>
  <c r="R10" i="6" s="1"/>
  <c r="R11" i="6" s="1"/>
  <c r="X9" i="6"/>
  <c r="Z9" i="6"/>
  <c r="P9" i="6"/>
  <c r="J9" i="6"/>
  <c r="D9" i="6"/>
  <c r="L9" i="6"/>
  <c r="H9" i="6"/>
  <c r="F9" i="6"/>
  <c r="AB8" i="6"/>
  <c r="N8" i="6"/>
  <c r="N9" i="6" s="1"/>
  <c r="N10" i="6" s="1"/>
  <c r="N11" i="6" s="1"/>
  <c r="EB11" i="6"/>
  <c r="AK9" i="6"/>
  <c r="AK10" i="6" s="1"/>
  <c r="AK11" i="6" s="1"/>
  <c r="AI9" i="6"/>
  <c r="AI10" i="6" s="1"/>
  <c r="AI11" i="6" s="1"/>
  <c r="AM9" i="6"/>
  <c r="AM10" i="6" s="1"/>
  <c r="AM11" i="6" s="1"/>
  <c r="EG12" i="6"/>
  <c r="EH12" i="6" s="1"/>
  <c r="AA12" i="6" s="1"/>
  <c r="D12" i="6" s="1"/>
  <c r="EF13" i="6"/>
  <c r="AB9" i="6" l="1"/>
  <c r="DT8" i="6"/>
  <c r="EG13" i="6"/>
  <c r="EH13" i="6" s="1"/>
  <c r="AA13" i="6" s="1"/>
  <c r="D13" i="6" s="1"/>
  <c r="EF14" i="6"/>
  <c r="F12" i="6"/>
  <c r="X12" i="6"/>
  <c r="R12" i="6"/>
  <c r="N12" i="6"/>
  <c r="Z12" i="6"/>
  <c r="T12" i="6"/>
  <c r="P12" i="6"/>
  <c r="V12" i="6"/>
  <c r="J12" i="6"/>
  <c r="H12" i="6"/>
  <c r="L12" i="6"/>
  <c r="AM12" i="6"/>
  <c r="AI12" i="6"/>
  <c r="AK12" i="6"/>
  <c r="B11" i="6"/>
  <c r="B9" i="6"/>
  <c r="B10" i="6"/>
  <c r="AI13" i="6" l="1"/>
  <c r="J13" i="6"/>
  <c r="X13" i="6"/>
  <c r="DO8" i="6"/>
  <c r="DY8" i="6"/>
  <c r="L13" i="6"/>
  <c r="AM13" i="6"/>
  <c r="V13" i="6"/>
  <c r="Z13" i="6"/>
  <c r="F13" i="6"/>
  <c r="B13" i="6" s="1"/>
  <c r="N13" i="6"/>
  <c r="EF15" i="6"/>
  <c r="AK13" i="6"/>
  <c r="H13" i="6"/>
  <c r="T13" i="6"/>
  <c r="R13" i="6"/>
  <c r="EG14" i="6"/>
  <c r="EH14" i="6" s="1"/>
  <c r="AA14" i="6" s="1"/>
  <c r="AB10" i="6"/>
  <c r="DT9" i="6"/>
  <c r="P13" i="6"/>
  <c r="EB9" i="6"/>
  <c r="B12" i="6"/>
  <c r="DS8" i="6" l="1"/>
  <c r="DH8" i="6"/>
  <c r="DO9" i="6"/>
  <c r="DY9" i="6"/>
  <c r="AB11" i="6"/>
  <c r="DT10" i="6"/>
  <c r="EF16" i="6"/>
  <c r="EF17" i="6" s="1"/>
  <c r="EG16" i="6"/>
  <c r="EH16" i="6" s="1"/>
  <c r="AA16" i="6" s="1"/>
  <c r="EG15" i="6"/>
  <c r="EH15" i="6" s="1"/>
  <c r="AA15" i="6" s="1"/>
  <c r="H14" i="6"/>
  <c r="V14" i="6"/>
  <c r="P14" i="6"/>
  <c r="F14" i="6"/>
  <c r="AI14" i="6"/>
  <c r="Z14" i="6"/>
  <c r="R14" i="6"/>
  <c r="L14" i="6"/>
  <c r="X14" i="6"/>
  <c r="N14" i="6"/>
  <c r="D14" i="6"/>
  <c r="AK14" i="6"/>
  <c r="AB14" i="6"/>
  <c r="DT14" i="6" s="1"/>
  <c r="T14" i="6"/>
  <c r="J14" i="6"/>
  <c r="AM14" i="6"/>
  <c r="EB12" i="6"/>
  <c r="EB13" i="6"/>
  <c r="DM9" i="6" l="1"/>
  <c r="DH9" i="6"/>
  <c r="DS9" i="6"/>
  <c r="DN9" i="6"/>
  <c r="DO14" i="6"/>
  <c r="DY14" i="6"/>
  <c r="DY10" i="6"/>
  <c r="DO10" i="6"/>
  <c r="DA8" i="6"/>
  <c r="DL8" i="6"/>
  <c r="DG8" i="6"/>
  <c r="DF8" i="6"/>
  <c r="J16" i="6"/>
  <c r="P16" i="6"/>
  <c r="F16" i="6"/>
  <c r="Z16" i="6"/>
  <c r="L16" i="6"/>
  <c r="T16" i="6"/>
  <c r="X16" i="6"/>
  <c r="AM16" i="6"/>
  <c r="R16" i="6"/>
  <c r="D16" i="6"/>
  <c r="AK16" i="6"/>
  <c r="AI16" i="6"/>
  <c r="H16" i="6"/>
  <c r="AB16" i="6"/>
  <c r="DT16" i="6" s="1"/>
  <c r="V16" i="6"/>
  <c r="N16" i="6"/>
  <c r="EG17" i="6"/>
  <c r="EH17" i="6" s="1"/>
  <c r="AA17" i="6" s="1"/>
  <c r="EF18" i="6"/>
  <c r="R15" i="6"/>
  <c r="P15" i="6"/>
  <c r="N15" i="6"/>
  <c r="AB15" i="6"/>
  <c r="DT15" i="6" s="1"/>
  <c r="Z15" i="6"/>
  <c r="AM15" i="6"/>
  <c r="D15" i="6"/>
  <c r="V15" i="6"/>
  <c r="J15" i="6"/>
  <c r="H15" i="6"/>
  <c r="T15" i="6"/>
  <c r="AK15" i="6"/>
  <c r="F15" i="6"/>
  <c r="L15" i="6"/>
  <c r="X15" i="6"/>
  <c r="AI15" i="6"/>
  <c r="DT11" i="6"/>
  <c r="AB12" i="6"/>
  <c r="DS10" i="6" l="1"/>
  <c r="DH10" i="6"/>
  <c r="DN10" i="6"/>
  <c r="DM10" i="6"/>
  <c r="AA5438" i="5"/>
  <c r="Y5438" i="5"/>
  <c r="Z5438" i="5"/>
  <c r="DY11" i="6"/>
  <c r="DO11" i="6"/>
  <c r="AA4943" i="5"/>
  <c r="Y4943" i="5"/>
  <c r="Z4943" i="5"/>
  <c r="DG9" i="6"/>
  <c r="DL9" i="6"/>
  <c r="DA9" i="6"/>
  <c r="DF9" i="6"/>
  <c r="DY15" i="6"/>
  <c r="DO15" i="6"/>
  <c r="DO16" i="6"/>
  <c r="DY16" i="6"/>
  <c r="DE8" i="6"/>
  <c r="CT8" i="6"/>
  <c r="CY8" i="6"/>
  <c r="CZ8" i="6"/>
  <c r="DH14" i="6"/>
  <c r="DS14" i="6"/>
  <c r="DM14" i="6"/>
  <c r="DN14" i="6"/>
  <c r="R17" i="6"/>
  <c r="P17" i="6"/>
  <c r="T17" i="6"/>
  <c r="F17" i="6"/>
  <c r="V17" i="6"/>
  <c r="J17" i="6"/>
  <c r="N17" i="6"/>
  <c r="X17" i="6"/>
  <c r="AB17" i="6"/>
  <c r="DT17" i="6" s="1"/>
  <c r="L17" i="6"/>
  <c r="H17" i="6"/>
  <c r="AI17" i="6"/>
  <c r="AK17" i="6"/>
  <c r="D17" i="6"/>
  <c r="AM17" i="6"/>
  <c r="Z17" i="6"/>
  <c r="DT12" i="6"/>
  <c r="AB13" i="6"/>
  <c r="DT13" i="6" s="1"/>
  <c r="EF19" i="6"/>
  <c r="EG19" i="6" s="1"/>
  <c r="EH19" i="6" s="1"/>
  <c r="AA19" i="6" s="1"/>
  <c r="EG18" i="6"/>
  <c r="EH18" i="6" s="1"/>
  <c r="AA18" i="6" s="1"/>
  <c r="E102" i="4"/>
  <c r="F102" i="4" s="1"/>
  <c r="E90" i="4"/>
  <c r="F90" i="4" s="1"/>
  <c r="E89" i="4"/>
  <c r="F89" i="4" s="1"/>
  <c r="E77" i="4"/>
  <c r="E78" i="4" s="1"/>
  <c r="E79" i="4" s="1"/>
  <c r="E76" i="4"/>
  <c r="F76" i="4" s="1"/>
  <c r="E64" i="4"/>
  <c r="F64" i="4" s="1"/>
  <c r="E63" i="4"/>
  <c r="F63" i="4" s="1"/>
  <c r="E51" i="4"/>
  <c r="F51" i="4" s="1"/>
  <c r="E50" i="4"/>
  <c r="F50" i="4" s="1"/>
  <c r="E38" i="4"/>
  <c r="F38" i="4" s="1"/>
  <c r="E37" i="4"/>
  <c r="F37" i="4" s="1"/>
  <c r="E25" i="4"/>
  <c r="F25" i="4" s="1"/>
  <c r="E24" i="4"/>
  <c r="F24" i="4" s="1"/>
  <c r="E12" i="4"/>
  <c r="F12" i="4" s="1"/>
  <c r="DH16" i="6" l="1"/>
  <c r="DS16" i="6"/>
  <c r="DM16" i="6"/>
  <c r="DN16" i="6"/>
  <c r="DE9" i="6"/>
  <c r="CT9" i="6"/>
  <c r="CY9" i="6"/>
  <c r="CZ9" i="6"/>
  <c r="CS8" i="6"/>
  <c r="CX8" i="6"/>
  <c r="CM8" i="6"/>
  <c r="CR8" i="6"/>
  <c r="DS15" i="6"/>
  <c r="DH15" i="6"/>
  <c r="DM15" i="6"/>
  <c r="DN15" i="6"/>
  <c r="AA4944" i="5"/>
  <c r="Y4944" i="5"/>
  <c r="Z4944" i="5"/>
  <c r="DA10" i="6"/>
  <c r="DL10" i="6"/>
  <c r="DG10" i="6"/>
  <c r="DF10" i="6"/>
  <c r="DO13" i="6"/>
  <c r="DY13" i="6"/>
  <c r="AA5443" i="5"/>
  <c r="Z5443" i="5"/>
  <c r="Y5443" i="5"/>
  <c r="DY12" i="6"/>
  <c r="DO12" i="6"/>
  <c r="DO17" i="6"/>
  <c r="DY17" i="6"/>
  <c r="DA14" i="6"/>
  <c r="DF14" i="6"/>
  <c r="DG14" i="6"/>
  <c r="DL14" i="6"/>
  <c r="Y4449" i="5"/>
  <c r="Z4449" i="5"/>
  <c r="AA4449" i="5"/>
  <c r="DS11" i="6"/>
  <c r="DH11" i="6"/>
  <c r="DM11" i="6"/>
  <c r="DN11" i="6"/>
  <c r="AA5439" i="5"/>
  <c r="Y5439" i="5"/>
  <c r="Z5439" i="5"/>
  <c r="T19" i="6"/>
  <c r="N19" i="6"/>
  <c r="F19" i="6"/>
  <c r="AI19" i="6"/>
  <c r="X19" i="6"/>
  <c r="Z19" i="6"/>
  <c r="L19" i="6"/>
  <c r="J19" i="6"/>
  <c r="AM19" i="6"/>
  <c r="H19" i="6"/>
  <c r="AK19" i="6"/>
  <c r="R19" i="6"/>
  <c r="V19" i="6"/>
  <c r="AB19" i="6"/>
  <c r="DT19" i="6" s="1"/>
  <c r="P19" i="6"/>
  <c r="D19" i="6"/>
  <c r="EF20" i="6"/>
  <c r="X18" i="6"/>
  <c r="V18" i="6"/>
  <c r="J18" i="6"/>
  <c r="AI18" i="6"/>
  <c r="H18" i="6"/>
  <c r="N18" i="6"/>
  <c r="L18" i="6"/>
  <c r="AM18" i="6"/>
  <c r="T18" i="6"/>
  <c r="F18" i="6"/>
  <c r="P18" i="6"/>
  <c r="AK18" i="6"/>
  <c r="D18" i="6"/>
  <c r="R18" i="6"/>
  <c r="AB18" i="6"/>
  <c r="DT18" i="6" s="1"/>
  <c r="Z18" i="6"/>
  <c r="E13" i="4"/>
  <c r="E26" i="4"/>
  <c r="E52" i="4"/>
  <c r="F52" i="4" s="1"/>
  <c r="E39" i="4"/>
  <c r="F39" i="4" s="1"/>
  <c r="F77" i="4"/>
  <c r="E65" i="4"/>
  <c r="E66" i="4" s="1"/>
  <c r="F66" i="4" s="1"/>
  <c r="E91" i="4"/>
  <c r="E92" i="4" s="1"/>
  <c r="F92" i="4" s="1"/>
  <c r="E80" i="4"/>
  <c r="F79" i="4"/>
  <c r="F78" i="4"/>
  <c r="E53" i="4"/>
  <c r="AA5440" i="5" l="1"/>
  <c r="Y5440" i="5"/>
  <c r="Z5440" i="5"/>
  <c r="AA4949" i="5"/>
  <c r="Z4949" i="5"/>
  <c r="Y4949" i="5"/>
  <c r="DE10" i="6"/>
  <c r="CT10" i="6"/>
  <c r="CZ10" i="6"/>
  <c r="CY10" i="6"/>
  <c r="DS17" i="6"/>
  <c r="DH17" i="6"/>
  <c r="DM17" i="6"/>
  <c r="DN17" i="6"/>
  <c r="CL8" i="6"/>
  <c r="CF8" i="6"/>
  <c r="CK8" i="6"/>
  <c r="CQ8" i="6"/>
  <c r="DY19" i="6"/>
  <c r="DO19" i="6"/>
  <c r="DS13" i="6"/>
  <c r="DH13" i="6"/>
  <c r="DN13" i="6"/>
  <c r="DM13" i="6"/>
  <c r="DO18" i="6"/>
  <c r="DY18" i="6"/>
  <c r="DH12" i="6"/>
  <c r="DS12" i="6"/>
  <c r="DM12" i="6"/>
  <c r="DN12" i="6"/>
  <c r="DA15" i="6"/>
  <c r="DL15" i="6"/>
  <c r="DF15" i="6"/>
  <c r="DG15" i="6"/>
  <c r="Y3955" i="5"/>
  <c r="AA3955" i="5"/>
  <c r="Z3955" i="5"/>
  <c r="CS9" i="6"/>
  <c r="CX9" i="6"/>
  <c r="CM9" i="6"/>
  <c r="CR9" i="6"/>
  <c r="Y5445" i="5"/>
  <c r="AA5445" i="5"/>
  <c r="Z5445" i="5"/>
  <c r="DF11" i="6"/>
  <c r="DA11" i="6"/>
  <c r="DG11" i="6"/>
  <c r="DL11" i="6"/>
  <c r="DE14" i="6"/>
  <c r="CT14" i="6"/>
  <c r="CZ14" i="6"/>
  <c r="CY14" i="6"/>
  <c r="AA4945" i="5"/>
  <c r="Z4945" i="5"/>
  <c r="Y4945" i="5"/>
  <c r="AA5444" i="5"/>
  <c r="Y5444" i="5"/>
  <c r="Z5444" i="5"/>
  <c r="AA4450" i="5"/>
  <c r="Y4450" i="5"/>
  <c r="Z4450" i="5"/>
  <c r="DA16" i="6"/>
  <c r="DL16" i="6"/>
  <c r="DF16" i="6"/>
  <c r="DG16" i="6"/>
  <c r="EF21" i="6"/>
  <c r="EG20" i="6"/>
  <c r="EH20" i="6" s="1"/>
  <c r="AA20" i="6" s="1"/>
  <c r="E27" i="4"/>
  <c r="F26" i="4"/>
  <c r="E67" i="4"/>
  <c r="F67" i="4" s="1"/>
  <c r="E40" i="4"/>
  <c r="E41" i="4" s="1"/>
  <c r="E14" i="4"/>
  <c r="F13" i="4"/>
  <c r="F91" i="4"/>
  <c r="E93" i="4"/>
  <c r="E94" i="4" s="1"/>
  <c r="F65" i="4"/>
  <c r="E81" i="4"/>
  <c r="F80" i="4"/>
  <c r="E68" i="4"/>
  <c r="F53" i="4"/>
  <c r="E54" i="4"/>
  <c r="Y5441" i="5" l="1"/>
  <c r="AA5441" i="5"/>
  <c r="Z5441" i="5"/>
  <c r="CS10" i="6"/>
  <c r="CM10" i="6"/>
  <c r="CX10" i="6"/>
  <c r="CR10" i="6"/>
  <c r="AA4951" i="5"/>
  <c r="Y4951" i="5"/>
  <c r="Z4951" i="5"/>
  <c r="AA3956" i="5"/>
  <c r="Z3956" i="5"/>
  <c r="Y3956" i="5"/>
  <c r="DE15" i="6"/>
  <c r="CT15" i="6"/>
  <c r="CY15" i="6"/>
  <c r="CZ15" i="6"/>
  <c r="DA12" i="6"/>
  <c r="DL12" i="6"/>
  <c r="DG12" i="6"/>
  <c r="DF12" i="6"/>
  <c r="AA5446" i="5"/>
  <c r="Y5446" i="5"/>
  <c r="Z5446" i="5"/>
  <c r="AA4451" i="5"/>
  <c r="Z4451" i="5"/>
  <c r="Y4451" i="5"/>
  <c r="AA4946" i="5"/>
  <c r="Y4946" i="5"/>
  <c r="Z4946" i="5"/>
  <c r="DG17" i="6"/>
  <c r="DL17" i="6"/>
  <c r="DA17" i="6"/>
  <c r="DF17" i="6"/>
  <c r="DE11" i="6"/>
  <c r="CT11" i="6"/>
  <c r="CY11" i="6"/>
  <c r="CZ11" i="6"/>
  <c r="DL13" i="6"/>
  <c r="DF13" i="6"/>
  <c r="DG13" i="6"/>
  <c r="DA13" i="6"/>
  <c r="AA3461" i="5"/>
  <c r="Y3461" i="5"/>
  <c r="Z3461" i="5"/>
  <c r="CL9" i="6"/>
  <c r="CF9" i="6"/>
  <c r="CQ9" i="6"/>
  <c r="CK9" i="6"/>
  <c r="AA4950" i="5"/>
  <c r="Z4950" i="5"/>
  <c r="Y4950" i="5"/>
  <c r="DS19" i="6"/>
  <c r="DH19" i="6"/>
  <c r="DM19" i="6"/>
  <c r="DN19" i="6"/>
  <c r="CD8" i="6"/>
  <c r="BY8" i="6"/>
  <c r="CE8" i="6"/>
  <c r="CJ8" i="6"/>
  <c r="DE16" i="6"/>
  <c r="CT16" i="6"/>
  <c r="CY16" i="6"/>
  <c r="CZ16" i="6"/>
  <c r="CS14" i="6"/>
  <c r="CM14" i="6"/>
  <c r="CX14" i="6"/>
  <c r="CR14" i="6"/>
  <c r="AA4455" i="5"/>
  <c r="Y4455" i="5"/>
  <c r="Z4455" i="5"/>
  <c r="DS18" i="6"/>
  <c r="DH18" i="6"/>
  <c r="DN18" i="6"/>
  <c r="DM18" i="6"/>
  <c r="AA5442" i="5"/>
  <c r="Y5442" i="5"/>
  <c r="Z5442" i="5"/>
  <c r="T20" i="6"/>
  <c r="H20" i="6"/>
  <c r="AK20" i="6"/>
  <c r="AI20" i="6"/>
  <c r="N20" i="6"/>
  <c r="F20" i="6"/>
  <c r="R20" i="6"/>
  <c r="D20" i="6"/>
  <c r="P20" i="6"/>
  <c r="J20" i="6"/>
  <c r="L20" i="6"/>
  <c r="X20" i="6"/>
  <c r="AB20" i="6"/>
  <c r="DT20" i="6" s="1"/>
  <c r="Z20" i="6"/>
  <c r="V20" i="6"/>
  <c r="AM20" i="6"/>
  <c r="EF22" i="6"/>
  <c r="EF23" i="6" s="1"/>
  <c r="EG21" i="6"/>
  <c r="EH21" i="6" s="1"/>
  <c r="AA21" i="6" s="1"/>
  <c r="F40" i="4"/>
  <c r="F27" i="4"/>
  <c r="E28" i="4"/>
  <c r="F93" i="4"/>
  <c r="E15" i="4"/>
  <c r="F14" i="4"/>
  <c r="F94" i="4"/>
  <c r="E95" i="4"/>
  <c r="E82" i="4"/>
  <c r="F81" i="4"/>
  <c r="F68" i="4"/>
  <c r="E69" i="4"/>
  <c r="E55" i="4"/>
  <c r="F54" i="4"/>
  <c r="E42" i="4"/>
  <c r="F41" i="4"/>
  <c r="AA5447" i="5" l="1"/>
  <c r="Y5447" i="5"/>
  <c r="Z5447" i="5"/>
  <c r="CS11" i="6"/>
  <c r="CM11" i="6"/>
  <c r="CX11" i="6"/>
  <c r="CR11" i="6"/>
  <c r="AA4952" i="5"/>
  <c r="Y4952" i="5"/>
  <c r="Z4952" i="5"/>
  <c r="DY20" i="6"/>
  <c r="DO20" i="6"/>
  <c r="Y3961" i="5"/>
  <c r="AA3961" i="5"/>
  <c r="Z3961" i="5"/>
  <c r="CD9" i="6"/>
  <c r="BY9" i="6"/>
  <c r="CJ9" i="6"/>
  <c r="CE9" i="6"/>
  <c r="AA4948" i="5"/>
  <c r="Y4948" i="5"/>
  <c r="Z4948" i="5"/>
  <c r="AA4452" i="5"/>
  <c r="Z4452" i="5"/>
  <c r="Y4452" i="5"/>
  <c r="AA4947" i="5"/>
  <c r="Z4947" i="5"/>
  <c r="Y4947" i="5"/>
  <c r="CS15" i="6"/>
  <c r="CM15" i="6"/>
  <c r="CX15" i="6"/>
  <c r="CR15" i="6"/>
  <c r="AA3462" i="5"/>
  <c r="Y3462" i="5"/>
  <c r="Z3462" i="5"/>
  <c r="CS16" i="6"/>
  <c r="CX16" i="6"/>
  <c r="CM16" i="6"/>
  <c r="CR16" i="6"/>
  <c r="DF19" i="6"/>
  <c r="DA19" i="6"/>
  <c r="DG19" i="6"/>
  <c r="DL19" i="6"/>
  <c r="DE13" i="6"/>
  <c r="CT13" i="6"/>
  <c r="CY13" i="6"/>
  <c r="CZ13" i="6"/>
  <c r="DE12" i="6"/>
  <c r="CT12" i="6"/>
  <c r="CY12" i="6"/>
  <c r="CZ12" i="6"/>
  <c r="AA4456" i="5"/>
  <c r="Y4456" i="5"/>
  <c r="Z4456" i="5"/>
  <c r="AA3957" i="5"/>
  <c r="Y3957" i="5"/>
  <c r="Z3957" i="5"/>
  <c r="AA2967" i="5"/>
  <c r="Y2967" i="5"/>
  <c r="Z2967" i="5"/>
  <c r="CL14" i="6"/>
  <c r="CF14" i="6"/>
  <c r="CQ14" i="6"/>
  <c r="CK14" i="6"/>
  <c r="BX8" i="6"/>
  <c r="BR8" i="6"/>
  <c r="CC8" i="6"/>
  <c r="BW8" i="6"/>
  <c r="DA18" i="6"/>
  <c r="DL18" i="6"/>
  <c r="DF18" i="6"/>
  <c r="DG18" i="6"/>
  <c r="Y4457" i="5"/>
  <c r="AA4457" i="5"/>
  <c r="Z4457" i="5"/>
  <c r="AA5448" i="5"/>
  <c r="Y5448" i="5"/>
  <c r="Z5448" i="5"/>
  <c r="DE17" i="6"/>
  <c r="CT17" i="6"/>
  <c r="CY17" i="6"/>
  <c r="CZ17" i="6"/>
  <c r="CL10" i="6"/>
  <c r="CF10" i="6"/>
  <c r="CQ10" i="6"/>
  <c r="CK10" i="6"/>
  <c r="F21" i="6"/>
  <c r="R21" i="6"/>
  <c r="X21" i="6"/>
  <c r="AM21" i="6"/>
  <c r="V21" i="6"/>
  <c r="L21" i="6"/>
  <c r="P21" i="6"/>
  <c r="AI21" i="6"/>
  <c r="T21" i="6"/>
  <c r="J21" i="6"/>
  <c r="H21" i="6"/>
  <c r="D21" i="6"/>
  <c r="N21" i="6"/>
  <c r="AK21" i="6"/>
  <c r="Z21" i="6"/>
  <c r="AB21" i="6"/>
  <c r="DT21" i="6" s="1"/>
  <c r="EG23" i="6"/>
  <c r="EH23" i="6" s="1"/>
  <c r="AA23" i="6" s="1"/>
  <c r="EF24" i="6"/>
  <c r="EG22" i="6"/>
  <c r="EH22" i="6" s="1"/>
  <c r="AA22" i="6" s="1"/>
  <c r="E29" i="4"/>
  <c r="F28" i="4"/>
  <c r="E16" i="4"/>
  <c r="F15" i="4"/>
  <c r="E96" i="4"/>
  <c r="F95" i="4"/>
  <c r="E83" i="4"/>
  <c r="F82" i="4"/>
  <c r="E70" i="4"/>
  <c r="F69" i="4"/>
  <c r="F55" i="4"/>
  <c r="E56" i="4"/>
  <c r="F42" i="4"/>
  <c r="E43" i="4"/>
  <c r="CD10" i="6" l="1"/>
  <c r="BY10" i="6"/>
  <c r="CE10" i="6"/>
  <c r="CJ10" i="6"/>
  <c r="Y4453" i="5"/>
  <c r="AA4453" i="5"/>
  <c r="Z4453" i="5"/>
  <c r="AA4454" i="5"/>
  <c r="Y4454" i="5"/>
  <c r="Z4454" i="5"/>
  <c r="DS20" i="6"/>
  <c r="DH20" i="6"/>
  <c r="DM20" i="6"/>
  <c r="DN20" i="6"/>
  <c r="AA4458" i="5"/>
  <c r="Y4458" i="5"/>
  <c r="Z4458" i="5"/>
  <c r="AA2473" i="5"/>
  <c r="Y2473" i="5"/>
  <c r="Z2473" i="5"/>
  <c r="AA3467" i="5"/>
  <c r="Z3467" i="5"/>
  <c r="Y3467" i="5"/>
  <c r="AA4954" i="5"/>
  <c r="Y4954" i="5"/>
  <c r="Z4954" i="5"/>
  <c r="AA3962" i="5"/>
  <c r="Y3962" i="5"/>
  <c r="Z3962" i="5"/>
  <c r="CS17" i="6"/>
  <c r="CX17" i="6"/>
  <c r="CM17" i="6"/>
  <c r="CR17" i="6"/>
  <c r="DO21" i="6"/>
  <c r="DY21" i="6"/>
  <c r="AA4953" i="5"/>
  <c r="Y4953" i="5"/>
  <c r="Z4953" i="5"/>
  <c r="BP8" i="6"/>
  <c r="BQ8" i="6"/>
  <c r="BK8" i="6"/>
  <c r="BV8" i="6"/>
  <c r="CD14" i="6"/>
  <c r="BY14" i="6"/>
  <c r="CE14" i="6"/>
  <c r="CJ14" i="6"/>
  <c r="CL16" i="6"/>
  <c r="CF16" i="6"/>
  <c r="CK16" i="6"/>
  <c r="CQ16" i="6"/>
  <c r="CL15" i="6"/>
  <c r="CF15" i="6"/>
  <c r="CQ15" i="6"/>
  <c r="CK15" i="6"/>
  <c r="AA2968" i="5"/>
  <c r="Y2968" i="5"/>
  <c r="Z2968" i="5"/>
  <c r="AA3958" i="5"/>
  <c r="Y3958" i="5"/>
  <c r="Z3958" i="5"/>
  <c r="AA3463" i="5"/>
  <c r="Y3463" i="5"/>
  <c r="Z3463" i="5"/>
  <c r="DE18" i="6"/>
  <c r="CT18" i="6"/>
  <c r="CZ18" i="6"/>
  <c r="CY18" i="6"/>
  <c r="CS12" i="6"/>
  <c r="CX12" i="6"/>
  <c r="CM12" i="6"/>
  <c r="CR12" i="6"/>
  <c r="CS13" i="6"/>
  <c r="CX13" i="6"/>
  <c r="CM13" i="6"/>
  <c r="CR13" i="6"/>
  <c r="DE19" i="6"/>
  <c r="CT19" i="6"/>
  <c r="CY19" i="6"/>
  <c r="CZ19" i="6"/>
  <c r="AA3963" i="5"/>
  <c r="Y3963" i="5"/>
  <c r="Z3963" i="5"/>
  <c r="BX9" i="6"/>
  <c r="BR9" i="6"/>
  <c r="CC9" i="6"/>
  <c r="BW9" i="6"/>
  <c r="CL11" i="6"/>
  <c r="CF11" i="6"/>
  <c r="CQ11" i="6"/>
  <c r="CK11" i="6"/>
  <c r="EG24" i="6"/>
  <c r="EH24" i="6" s="1"/>
  <c r="AA24" i="6" s="1"/>
  <c r="EF25" i="6"/>
  <c r="X22" i="6"/>
  <c r="L22" i="6"/>
  <c r="P22" i="6"/>
  <c r="H22" i="6"/>
  <c r="D22" i="6"/>
  <c r="T22" i="6"/>
  <c r="AI22" i="6"/>
  <c r="V22" i="6"/>
  <c r="R22" i="6"/>
  <c r="J22" i="6"/>
  <c r="AK22" i="6"/>
  <c r="N22" i="6"/>
  <c r="F22" i="6"/>
  <c r="AB22" i="6"/>
  <c r="DT22" i="6" s="1"/>
  <c r="AM22" i="6"/>
  <c r="Z22" i="6"/>
  <c r="L23" i="6"/>
  <c r="T23" i="6"/>
  <c r="P23" i="6"/>
  <c r="AK23" i="6"/>
  <c r="J23" i="6"/>
  <c r="AI23" i="6"/>
  <c r="V23" i="6"/>
  <c r="D23" i="6"/>
  <c r="X23" i="6"/>
  <c r="AB23" i="6"/>
  <c r="DT23" i="6" s="1"/>
  <c r="R23" i="6"/>
  <c r="N23" i="6"/>
  <c r="H23" i="6"/>
  <c r="AM23" i="6"/>
  <c r="Z23" i="6"/>
  <c r="F23" i="6"/>
  <c r="F29" i="4"/>
  <c r="E30" i="4"/>
  <c r="E17" i="4"/>
  <c r="F16" i="4"/>
  <c r="F96" i="4"/>
  <c r="E97" i="4"/>
  <c r="E84" i="4"/>
  <c r="F83" i="4"/>
  <c r="F70" i="4"/>
  <c r="E71" i="4"/>
  <c r="F56" i="4"/>
  <c r="E57" i="4"/>
  <c r="F43" i="4"/>
  <c r="E44" i="4"/>
  <c r="CD11" i="6" l="1"/>
  <c r="BY11" i="6"/>
  <c r="CE11" i="6"/>
  <c r="CJ11" i="6"/>
  <c r="AA4459" i="5"/>
  <c r="Z4459" i="5"/>
  <c r="Y4459" i="5"/>
  <c r="BX14" i="6"/>
  <c r="BR14" i="6"/>
  <c r="BW14" i="6"/>
  <c r="CC14" i="6"/>
  <c r="CL17" i="6"/>
  <c r="CF17" i="6"/>
  <c r="CQ17" i="6"/>
  <c r="CK17" i="6"/>
  <c r="DA20" i="6"/>
  <c r="DF20" i="6"/>
  <c r="DG20" i="6"/>
  <c r="DL20" i="6"/>
  <c r="AA2969" i="5"/>
  <c r="Z2969" i="5"/>
  <c r="Y2969" i="5"/>
  <c r="AA3964" i="5"/>
  <c r="Z3964" i="5"/>
  <c r="Y3964" i="5"/>
  <c r="Y5449" i="5"/>
  <c r="AA5449" i="5"/>
  <c r="Z5449" i="5"/>
  <c r="BP9" i="6"/>
  <c r="BK9" i="6"/>
  <c r="BQ9" i="6"/>
  <c r="BV9" i="6"/>
  <c r="AA4460" i="5"/>
  <c r="Z4460" i="5"/>
  <c r="Y4460" i="5"/>
  <c r="CD15" i="6"/>
  <c r="BY15" i="6"/>
  <c r="CE15" i="6"/>
  <c r="CJ15" i="6"/>
  <c r="DO22" i="6"/>
  <c r="DY22" i="6"/>
  <c r="CL13" i="6"/>
  <c r="CF13" i="6"/>
  <c r="CQ13" i="6"/>
  <c r="CK13" i="6"/>
  <c r="CL12" i="6"/>
  <c r="CF12" i="6"/>
  <c r="CK12" i="6"/>
  <c r="CQ12" i="6"/>
  <c r="AA3469" i="5"/>
  <c r="Y3469" i="5"/>
  <c r="Z3469" i="5"/>
  <c r="AA2973" i="5"/>
  <c r="Y2973" i="5"/>
  <c r="Z2973" i="5"/>
  <c r="AA1979" i="5"/>
  <c r="Y1979" i="5"/>
  <c r="Z1979" i="5"/>
  <c r="DH21" i="6"/>
  <c r="DM21" i="6"/>
  <c r="DN21" i="6"/>
  <c r="DS21" i="6"/>
  <c r="BX10" i="6"/>
  <c r="BR10" i="6"/>
  <c r="CC10" i="6"/>
  <c r="BW10" i="6"/>
  <c r="CD16" i="6"/>
  <c r="BY16" i="6"/>
  <c r="CJ16" i="6"/>
  <c r="CE16" i="6"/>
  <c r="DY23" i="6"/>
  <c r="DO23" i="6"/>
  <c r="AA3464" i="5"/>
  <c r="Z3464" i="5"/>
  <c r="Y3464" i="5"/>
  <c r="AA2474" i="5"/>
  <c r="Z2474" i="5"/>
  <c r="Y2474" i="5"/>
  <c r="CS19" i="6"/>
  <c r="CM19" i="6"/>
  <c r="CX19" i="6"/>
  <c r="CR19" i="6"/>
  <c r="AA3960" i="5"/>
  <c r="Z3960" i="5"/>
  <c r="Y3960" i="5"/>
  <c r="AA3959" i="5"/>
  <c r="Y3959" i="5"/>
  <c r="Z3959" i="5"/>
  <c r="CS18" i="6"/>
  <c r="CM18" i="6"/>
  <c r="CX18" i="6"/>
  <c r="CR18" i="6"/>
  <c r="AA3468" i="5"/>
  <c r="Y3468" i="5"/>
  <c r="Z3468" i="5"/>
  <c r="BI8" i="6"/>
  <c r="BD8" i="6"/>
  <c r="BJ8" i="6"/>
  <c r="BO8" i="6"/>
  <c r="EG25" i="6"/>
  <c r="EH25" i="6" s="1"/>
  <c r="AA25" i="6" s="1"/>
  <c r="EF26" i="6"/>
  <c r="EG26" i="6" s="1"/>
  <c r="EH26" i="6" s="1"/>
  <c r="AA26" i="6" s="1"/>
  <c r="V24" i="6"/>
  <c r="J24" i="6"/>
  <c r="X24" i="6"/>
  <c r="Z24" i="6"/>
  <c r="N24" i="6"/>
  <c r="F24" i="6"/>
  <c r="P24" i="6"/>
  <c r="AM24" i="6"/>
  <c r="D24" i="6"/>
  <c r="R24" i="6"/>
  <c r="H24" i="6"/>
  <c r="AI24" i="6"/>
  <c r="T24" i="6"/>
  <c r="AB24" i="6"/>
  <c r="DT24" i="6" s="1"/>
  <c r="L24" i="6"/>
  <c r="AK24" i="6"/>
  <c r="E31" i="4"/>
  <c r="F30" i="4"/>
  <c r="E18" i="4"/>
  <c r="F17" i="4"/>
  <c r="E98" i="4"/>
  <c r="F97" i="4"/>
  <c r="E85" i="4"/>
  <c r="F84" i="4"/>
  <c r="E72" i="4"/>
  <c r="F71" i="4"/>
  <c r="F57" i="4"/>
  <c r="E58" i="4"/>
  <c r="F44" i="4"/>
  <c r="E45" i="4"/>
  <c r="BP10" i="6" l="1"/>
  <c r="BK10" i="6"/>
  <c r="BQ10" i="6"/>
  <c r="BV10" i="6"/>
  <c r="AA3466" i="5"/>
  <c r="Z3466" i="5"/>
  <c r="Y3466" i="5"/>
  <c r="AA2970" i="5"/>
  <c r="Y2970" i="5"/>
  <c r="Z2970" i="5"/>
  <c r="DY24" i="6"/>
  <c r="DO24" i="6"/>
  <c r="AA1485" i="5"/>
  <c r="Z1485" i="5"/>
  <c r="Y1485" i="5"/>
  <c r="AA3965" i="5"/>
  <c r="Y3965" i="5"/>
  <c r="Z3965" i="5"/>
  <c r="DL21" i="6"/>
  <c r="DF21" i="6"/>
  <c r="DG21" i="6"/>
  <c r="DA21" i="6"/>
  <c r="CD12" i="6"/>
  <c r="BY12" i="6"/>
  <c r="CJ12" i="6"/>
  <c r="CE12" i="6"/>
  <c r="CD13" i="6"/>
  <c r="BY13" i="6"/>
  <c r="CJ13" i="6"/>
  <c r="CE13" i="6"/>
  <c r="AA2974" i="5"/>
  <c r="Z2974" i="5"/>
  <c r="Y2974" i="5"/>
  <c r="AA4955" i="5"/>
  <c r="Y4955" i="5"/>
  <c r="Z4955" i="5"/>
  <c r="AA2479" i="5"/>
  <c r="Z2479" i="5"/>
  <c r="Y2479" i="5"/>
  <c r="CL19" i="6"/>
  <c r="CF19" i="6"/>
  <c r="CQ19" i="6"/>
  <c r="CK19" i="6"/>
  <c r="DH23" i="6"/>
  <c r="DS23" i="6"/>
  <c r="DN23" i="6"/>
  <c r="DM23" i="6"/>
  <c r="DE20" i="6"/>
  <c r="CT20" i="6"/>
  <c r="CY20" i="6"/>
  <c r="CZ20" i="6"/>
  <c r="CL18" i="6"/>
  <c r="CF18" i="6"/>
  <c r="CQ18" i="6"/>
  <c r="CK18" i="6"/>
  <c r="AA5450" i="5"/>
  <c r="Y5450" i="5"/>
  <c r="Z5450" i="5"/>
  <c r="BI9" i="6"/>
  <c r="BD9" i="6"/>
  <c r="BO9" i="6"/>
  <c r="BJ9" i="6"/>
  <c r="AA3470" i="5"/>
  <c r="Y3470" i="5"/>
  <c r="Z3470" i="5"/>
  <c r="BX11" i="6"/>
  <c r="BR11" i="6"/>
  <c r="CC11" i="6"/>
  <c r="BW11" i="6"/>
  <c r="BX16" i="6"/>
  <c r="BR16" i="6"/>
  <c r="CC16" i="6"/>
  <c r="BW16" i="6"/>
  <c r="DS22" i="6"/>
  <c r="DH22" i="6"/>
  <c r="DM22" i="6"/>
  <c r="DN22" i="6"/>
  <c r="AA1980" i="5"/>
  <c r="Y1980" i="5"/>
  <c r="Z1980" i="5"/>
  <c r="BH8" i="6"/>
  <c r="AW8" i="6"/>
  <c r="BB8" i="6"/>
  <c r="BC8" i="6"/>
  <c r="Y3966" i="5"/>
  <c r="AA3966" i="5"/>
  <c r="Z3966" i="5"/>
  <c r="AA2975" i="5"/>
  <c r="Z2975" i="5"/>
  <c r="Y2975" i="5"/>
  <c r="AA2475" i="5"/>
  <c r="Y2475" i="5"/>
  <c r="Z2475" i="5"/>
  <c r="AA3465" i="5"/>
  <c r="Y3465" i="5"/>
  <c r="Z3465" i="5"/>
  <c r="BX15" i="6"/>
  <c r="BR15" i="6"/>
  <c r="BW15" i="6"/>
  <c r="CC15" i="6"/>
  <c r="CD17" i="6"/>
  <c r="BY17" i="6"/>
  <c r="CJ17" i="6"/>
  <c r="CE17" i="6"/>
  <c r="BP14" i="6"/>
  <c r="BK14" i="6"/>
  <c r="BQ14" i="6"/>
  <c r="BV14" i="6"/>
  <c r="X26" i="6"/>
  <c r="P26" i="6"/>
  <c r="L26" i="6"/>
  <c r="AB26" i="6"/>
  <c r="DT26" i="6" s="1"/>
  <c r="J26" i="6"/>
  <c r="AK26" i="6"/>
  <c r="Z26" i="6"/>
  <c r="N26" i="6"/>
  <c r="F26" i="6"/>
  <c r="AM26" i="6"/>
  <c r="T26" i="6"/>
  <c r="D26" i="6"/>
  <c r="H26" i="6"/>
  <c r="AI26" i="6"/>
  <c r="V26" i="6"/>
  <c r="R26" i="6"/>
  <c r="J25" i="6"/>
  <c r="D25" i="6"/>
  <c r="L25" i="6"/>
  <c r="F25" i="6"/>
  <c r="R25" i="6"/>
  <c r="AM25" i="6"/>
  <c r="Z25" i="6"/>
  <c r="V25" i="6"/>
  <c r="P25" i="6"/>
  <c r="AI25" i="6"/>
  <c r="X25" i="6"/>
  <c r="T25" i="6"/>
  <c r="H25" i="6"/>
  <c r="AK25" i="6"/>
  <c r="N25" i="6"/>
  <c r="AB25" i="6"/>
  <c r="DT25" i="6" s="1"/>
  <c r="EF27" i="6"/>
  <c r="EG27" i="6" s="1"/>
  <c r="EH27" i="6" s="1"/>
  <c r="AA27" i="6" s="1"/>
  <c r="E32" i="4"/>
  <c r="F31" i="4"/>
  <c r="E19" i="4"/>
  <c r="F18" i="4"/>
  <c r="F98" i="4"/>
  <c r="E99" i="4"/>
  <c r="E86" i="4"/>
  <c r="F85" i="4"/>
  <c r="F72" i="4"/>
  <c r="E73" i="4"/>
  <c r="E59" i="4"/>
  <c r="F58" i="4"/>
  <c r="E46" i="4"/>
  <c r="F45" i="4"/>
  <c r="DO25" i="6" l="1"/>
  <c r="DY25" i="6"/>
  <c r="DO26" i="6"/>
  <c r="DY26" i="6"/>
  <c r="BH9" i="6"/>
  <c r="AW9" i="6"/>
  <c r="BB9" i="6"/>
  <c r="BC9" i="6"/>
  <c r="BX13" i="6"/>
  <c r="BR13" i="6"/>
  <c r="BW13" i="6"/>
  <c r="CC13" i="6"/>
  <c r="DH24" i="6"/>
  <c r="DS24" i="6"/>
  <c r="DN24" i="6"/>
  <c r="DM24" i="6"/>
  <c r="AA1981" i="5"/>
  <c r="Y1981" i="5"/>
  <c r="Z1981" i="5"/>
  <c r="AA2976" i="5"/>
  <c r="Y2976" i="5"/>
  <c r="Z2976" i="5"/>
  <c r="DA22" i="6"/>
  <c r="DG22" i="6"/>
  <c r="DF22" i="6"/>
  <c r="DL22" i="6"/>
  <c r="BP16" i="6"/>
  <c r="BQ16" i="6"/>
  <c r="BK16" i="6"/>
  <c r="BV16" i="6"/>
  <c r="BP11" i="6"/>
  <c r="BK11" i="6"/>
  <c r="BQ11" i="6"/>
  <c r="BV11" i="6"/>
  <c r="AA4956" i="5"/>
  <c r="Y4956" i="5"/>
  <c r="Z4956" i="5"/>
  <c r="AA1985" i="5"/>
  <c r="Y1985" i="5"/>
  <c r="Z1985" i="5"/>
  <c r="AA2480" i="5"/>
  <c r="Y2480" i="5"/>
  <c r="Z2480" i="5"/>
  <c r="AA2481" i="5"/>
  <c r="Z2481" i="5"/>
  <c r="Y2481" i="5"/>
  <c r="DA23" i="6"/>
  <c r="DL23" i="6"/>
  <c r="DF23" i="6"/>
  <c r="DG23" i="6"/>
  <c r="BX17" i="6"/>
  <c r="BR17" i="6"/>
  <c r="CC17" i="6"/>
  <c r="BW17" i="6"/>
  <c r="BP15" i="6"/>
  <c r="BK15" i="6"/>
  <c r="BQ15" i="6"/>
  <c r="BV15" i="6"/>
  <c r="AV8" i="6"/>
  <c r="AP8" i="6"/>
  <c r="AU8" i="6"/>
  <c r="BA8" i="6"/>
  <c r="AA5451" i="5"/>
  <c r="Y5451" i="5"/>
  <c r="Z5451" i="5"/>
  <c r="AA3471" i="5"/>
  <c r="Y3471" i="5"/>
  <c r="Z3471" i="5"/>
  <c r="AA3472" i="5"/>
  <c r="Y3472" i="5"/>
  <c r="Z3472" i="5"/>
  <c r="DE21" i="6"/>
  <c r="CT21" i="6"/>
  <c r="CY21" i="6"/>
  <c r="CZ21" i="6"/>
  <c r="BI10" i="6"/>
  <c r="BD10" i="6"/>
  <c r="BJ10" i="6"/>
  <c r="BO10" i="6"/>
  <c r="AA2476" i="5"/>
  <c r="Y2476" i="5"/>
  <c r="Z2476" i="5"/>
  <c r="Y4461" i="5"/>
  <c r="Z4461" i="5"/>
  <c r="AA4461" i="5"/>
  <c r="BX12" i="6"/>
  <c r="BR12" i="6"/>
  <c r="BW12" i="6"/>
  <c r="CC12" i="6"/>
  <c r="BI14" i="6"/>
  <c r="BD14" i="6"/>
  <c r="BJ14" i="6"/>
  <c r="BO14" i="6"/>
  <c r="Y991" i="5"/>
  <c r="AA991" i="5"/>
  <c r="Z991" i="5"/>
  <c r="AA1486" i="5"/>
  <c r="Y1486" i="5"/>
  <c r="Z1486" i="5"/>
  <c r="CD18" i="6"/>
  <c r="BY18" i="6"/>
  <c r="CE18" i="6"/>
  <c r="CJ18" i="6"/>
  <c r="CS20" i="6"/>
  <c r="CX20" i="6"/>
  <c r="CM20" i="6"/>
  <c r="CR20" i="6"/>
  <c r="AA5452" i="5"/>
  <c r="Y5452" i="5"/>
  <c r="Z5452" i="5"/>
  <c r="CD19" i="6"/>
  <c r="BY19" i="6"/>
  <c r="CE19" i="6"/>
  <c r="CJ19" i="6"/>
  <c r="AA2972" i="5"/>
  <c r="Z2972" i="5"/>
  <c r="Y2972" i="5"/>
  <c r="AA2971" i="5"/>
  <c r="Z2971" i="5"/>
  <c r="Y2971" i="5"/>
  <c r="X27" i="6"/>
  <c r="V27" i="6"/>
  <c r="N27" i="6"/>
  <c r="AI27" i="6"/>
  <c r="P27" i="6"/>
  <c r="L27" i="6"/>
  <c r="Z27" i="6"/>
  <c r="AK27" i="6"/>
  <c r="R27" i="6"/>
  <c r="J27" i="6"/>
  <c r="H27" i="6"/>
  <c r="F27" i="6"/>
  <c r="T27" i="6"/>
  <c r="AB27" i="6"/>
  <c r="DT27" i="6" s="1"/>
  <c r="D27" i="6"/>
  <c r="AM27" i="6"/>
  <c r="EF28" i="6"/>
  <c r="E33" i="4"/>
  <c r="F32" i="4"/>
  <c r="E20" i="4"/>
  <c r="F19" i="4"/>
  <c r="E100" i="4"/>
  <c r="F99" i="4"/>
  <c r="E87" i="4"/>
  <c r="F86" i="4"/>
  <c r="E74" i="4"/>
  <c r="F73" i="4"/>
  <c r="F59" i="4"/>
  <c r="E60" i="4"/>
  <c r="F46" i="4"/>
  <c r="E47" i="4"/>
  <c r="AA4462" i="5" l="1"/>
  <c r="Y4462" i="5"/>
  <c r="Z4462" i="5"/>
  <c r="AO8" i="6"/>
  <c r="AN8" i="6"/>
  <c r="AT8" i="6"/>
  <c r="BP17" i="6"/>
  <c r="BK17" i="6"/>
  <c r="BQ17" i="6"/>
  <c r="BV17" i="6"/>
  <c r="AA2478" i="5"/>
  <c r="Y2478" i="5"/>
  <c r="Z2478" i="5"/>
  <c r="AA2977" i="5"/>
  <c r="Z2977" i="5"/>
  <c r="Y2977" i="5"/>
  <c r="BH14" i="6"/>
  <c r="AW14" i="6"/>
  <c r="BB14" i="6"/>
  <c r="BC14" i="6"/>
  <c r="BP12" i="6"/>
  <c r="BK12" i="6"/>
  <c r="BQ12" i="6"/>
  <c r="BV12" i="6"/>
  <c r="AA1487" i="5"/>
  <c r="Y1487" i="5"/>
  <c r="Z1487" i="5"/>
  <c r="DE23" i="6"/>
  <c r="CT23" i="6"/>
  <c r="CY23" i="6"/>
  <c r="CZ23" i="6"/>
  <c r="DE22" i="6"/>
  <c r="CT22" i="6"/>
  <c r="CZ22" i="6"/>
  <c r="CY22" i="6"/>
  <c r="DS26" i="6"/>
  <c r="DH26" i="6"/>
  <c r="DM26" i="6"/>
  <c r="DN26" i="6"/>
  <c r="BX19" i="6"/>
  <c r="BR19" i="6"/>
  <c r="CC19" i="6"/>
  <c r="BW19" i="6"/>
  <c r="BI15" i="6"/>
  <c r="BD15" i="6"/>
  <c r="BO15" i="6"/>
  <c r="BJ15" i="6"/>
  <c r="AA4958" i="5"/>
  <c r="Y4958" i="5"/>
  <c r="Z4958" i="5"/>
  <c r="DY27" i="6"/>
  <c r="DO27" i="6"/>
  <c r="AA2978" i="5"/>
  <c r="Y2978" i="5"/>
  <c r="Z2978" i="5"/>
  <c r="CL20" i="6"/>
  <c r="CF20" i="6"/>
  <c r="CK20" i="6"/>
  <c r="CQ20" i="6"/>
  <c r="Z497" i="5"/>
  <c r="Y497" i="5"/>
  <c r="AA497" i="5"/>
  <c r="AA1986" i="5"/>
  <c r="Y1986" i="5"/>
  <c r="Z1986" i="5"/>
  <c r="AA1982" i="5"/>
  <c r="Y1982" i="5"/>
  <c r="Z1982" i="5"/>
  <c r="AA1987" i="5"/>
  <c r="Y1987" i="5"/>
  <c r="Z1987" i="5"/>
  <c r="AA4957" i="5"/>
  <c r="Y4957" i="5"/>
  <c r="Z4957" i="5"/>
  <c r="AA5453" i="5"/>
  <c r="Y5453" i="5"/>
  <c r="Z5453" i="5"/>
  <c r="BP13" i="6"/>
  <c r="BK13" i="6"/>
  <c r="BQ13" i="6"/>
  <c r="BV13" i="6"/>
  <c r="AV9" i="6"/>
  <c r="AP9" i="6"/>
  <c r="BA9" i="6"/>
  <c r="AU9" i="6"/>
  <c r="BI11" i="6"/>
  <c r="BD11" i="6"/>
  <c r="BO11" i="6"/>
  <c r="BJ11" i="6"/>
  <c r="AA3967" i="5"/>
  <c r="Y3967" i="5"/>
  <c r="Z3967" i="5"/>
  <c r="BX18" i="6"/>
  <c r="BR18" i="6"/>
  <c r="CC18" i="6"/>
  <c r="BW18" i="6"/>
  <c r="AA1491" i="5"/>
  <c r="Y1491" i="5"/>
  <c r="Z1491" i="5"/>
  <c r="AA2477" i="5"/>
  <c r="Y2477" i="5"/>
  <c r="Z2477" i="5"/>
  <c r="BH10" i="6"/>
  <c r="AW10" i="6"/>
  <c r="BB10" i="6"/>
  <c r="BC10" i="6"/>
  <c r="CS21" i="6"/>
  <c r="CX21" i="6"/>
  <c r="CM21" i="6"/>
  <c r="CR21" i="6"/>
  <c r="AA2482" i="5"/>
  <c r="Y2482" i="5"/>
  <c r="Z2482" i="5"/>
  <c r="BI16" i="6"/>
  <c r="BD16" i="6"/>
  <c r="BJ16" i="6"/>
  <c r="BO16" i="6"/>
  <c r="DA24" i="6"/>
  <c r="DG24" i="6"/>
  <c r="DF24" i="6"/>
  <c r="DL24" i="6"/>
  <c r="AA992" i="5"/>
  <c r="Z992" i="5"/>
  <c r="Y992" i="5"/>
  <c r="DH25" i="6"/>
  <c r="DN25" i="6"/>
  <c r="DS25" i="6"/>
  <c r="DM25" i="6"/>
  <c r="EF29" i="6"/>
  <c r="EG28" i="6"/>
  <c r="EH28" i="6" s="1"/>
  <c r="AA28" i="6" s="1"/>
  <c r="E34" i="4"/>
  <c r="F33" i="4"/>
  <c r="E21" i="4"/>
  <c r="F20" i="4"/>
  <c r="F100" i="4"/>
  <c r="E101" i="4"/>
  <c r="F101" i="4" s="1"/>
  <c r="F87" i="4"/>
  <c r="E88" i="4"/>
  <c r="F88" i="4" s="1"/>
  <c r="F74" i="4"/>
  <c r="E75" i="4"/>
  <c r="F75" i="4" s="1"/>
  <c r="F60" i="4"/>
  <c r="E61" i="4"/>
  <c r="F47" i="4"/>
  <c r="E48" i="4"/>
  <c r="AV10" i="6" l="1"/>
  <c r="AP10" i="6"/>
  <c r="BA10" i="6"/>
  <c r="AU10" i="6"/>
  <c r="AA1983" i="5"/>
  <c r="Z1983" i="5"/>
  <c r="Y1983" i="5"/>
  <c r="BI17" i="6"/>
  <c r="BD17" i="6"/>
  <c r="BO17" i="6"/>
  <c r="BJ17" i="6"/>
  <c r="AA5454" i="5"/>
  <c r="Y5454" i="5"/>
  <c r="Z5454" i="5"/>
  <c r="BH16" i="6"/>
  <c r="BB16" i="6"/>
  <c r="AW16" i="6"/>
  <c r="BC16" i="6"/>
  <c r="AA993" i="5"/>
  <c r="Y993" i="5"/>
  <c r="Z993" i="5"/>
  <c r="AA2483" i="5"/>
  <c r="Y2483" i="5"/>
  <c r="Z2483" i="5"/>
  <c r="BH11" i="6"/>
  <c r="AW11" i="6"/>
  <c r="BB11" i="6"/>
  <c r="BC11" i="6"/>
  <c r="AO9" i="6"/>
  <c r="AN9" i="6"/>
  <c r="AT9" i="6"/>
  <c r="BI13" i="6"/>
  <c r="BD13" i="6"/>
  <c r="BO13" i="6"/>
  <c r="BJ13" i="6"/>
  <c r="AA3473" i="5"/>
  <c r="Y3473" i="5"/>
  <c r="Z3473" i="5"/>
  <c r="AA1488" i="5"/>
  <c r="Y1488" i="5"/>
  <c r="Z1488" i="5"/>
  <c r="AA498" i="5"/>
  <c r="Y498" i="5"/>
  <c r="Z498" i="5"/>
  <c r="DH27" i="6"/>
  <c r="DN27" i="6"/>
  <c r="DS27" i="6"/>
  <c r="DM27" i="6"/>
  <c r="AA5455" i="5"/>
  <c r="Y5455" i="5"/>
  <c r="Z5455" i="5"/>
  <c r="AA4463" i="5"/>
  <c r="Y4463" i="5"/>
  <c r="Z4463" i="5"/>
  <c r="AA4464" i="5"/>
  <c r="Y4464" i="5"/>
  <c r="Z4464" i="5"/>
  <c r="DE24" i="6"/>
  <c r="CT24" i="6"/>
  <c r="CY24" i="6"/>
  <c r="CZ24" i="6"/>
  <c r="BP18" i="6"/>
  <c r="BK18" i="6"/>
  <c r="BQ18" i="6"/>
  <c r="BV18" i="6"/>
  <c r="AA1492" i="5"/>
  <c r="Z1492" i="5"/>
  <c r="Y1492" i="5"/>
  <c r="AA2484" i="5"/>
  <c r="Y2484" i="5"/>
  <c r="Z2484" i="5"/>
  <c r="BI12" i="6"/>
  <c r="BD12" i="6"/>
  <c r="BJ12" i="6"/>
  <c r="BO12" i="6"/>
  <c r="AV14" i="6"/>
  <c r="AP14" i="6"/>
  <c r="BA14" i="6"/>
  <c r="AU14" i="6"/>
  <c r="AA1988" i="5"/>
  <c r="Z1988" i="5"/>
  <c r="Y1988" i="5"/>
  <c r="Y3" i="5"/>
  <c r="AA3" i="5"/>
  <c r="Z3" i="5"/>
  <c r="AA3968" i="5"/>
  <c r="Y3968" i="5"/>
  <c r="Z3968" i="5"/>
  <c r="DG25" i="6"/>
  <c r="DL25" i="6"/>
  <c r="DF25" i="6"/>
  <c r="DA25" i="6"/>
  <c r="AA4959" i="5"/>
  <c r="Y4959" i="5"/>
  <c r="Z4959" i="5"/>
  <c r="AA1493" i="5"/>
  <c r="Z1493" i="5"/>
  <c r="Y1493" i="5"/>
  <c r="CL21" i="6"/>
  <c r="CF21" i="6"/>
  <c r="CQ21" i="6"/>
  <c r="CK21" i="6"/>
  <c r="AA1984" i="5"/>
  <c r="Y1984" i="5"/>
  <c r="Z1984" i="5"/>
  <c r="CD20" i="6"/>
  <c r="BY20" i="6"/>
  <c r="CE20" i="6"/>
  <c r="CJ20" i="6"/>
  <c r="BH15" i="6"/>
  <c r="AW15" i="6"/>
  <c r="BB15" i="6"/>
  <c r="BC15" i="6"/>
  <c r="BP19" i="6"/>
  <c r="BK19" i="6"/>
  <c r="BQ19" i="6"/>
  <c r="BV19" i="6"/>
  <c r="DA26" i="6"/>
  <c r="DF26" i="6"/>
  <c r="DL26" i="6"/>
  <c r="DG26" i="6"/>
  <c r="CS22" i="6"/>
  <c r="CM22" i="6"/>
  <c r="CX22" i="6"/>
  <c r="CR22" i="6"/>
  <c r="CS23" i="6"/>
  <c r="CM23" i="6"/>
  <c r="CX23" i="6"/>
  <c r="CR23" i="6"/>
  <c r="AA997" i="5"/>
  <c r="Y997" i="5"/>
  <c r="Z997" i="5"/>
  <c r="J28" i="6"/>
  <c r="R28" i="6"/>
  <c r="H28" i="6"/>
  <c r="AB28" i="6"/>
  <c r="DT28" i="6" s="1"/>
  <c r="X28" i="6"/>
  <c r="Z28" i="6"/>
  <c r="L28" i="6"/>
  <c r="AI28" i="6"/>
  <c r="D28" i="6"/>
  <c r="AM28" i="6"/>
  <c r="T28" i="6"/>
  <c r="N28" i="6"/>
  <c r="F28" i="6"/>
  <c r="AK28" i="6"/>
  <c r="V28" i="6"/>
  <c r="P28" i="6"/>
  <c r="EF30" i="6"/>
  <c r="EF31" i="6" s="1"/>
  <c r="EG29" i="6"/>
  <c r="EH29" i="6" s="1"/>
  <c r="AA29" i="6" s="1"/>
  <c r="E35" i="4"/>
  <c r="F34" i="4"/>
  <c r="E22" i="4"/>
  <c r="F21" i="4"/>
  <c r="F61" i="4"/>
  <c r="E62" i="4"/>
  <c r="F62" i="4" s="1"/>
  <c r="F48" i="4"/>
  <c r="E49" i="4"/>
  <c r="F49" i="4" s="1"/>
  <c r="AA3970" i="5" l="1"/>
  <c r="Z3970" i="5"/>
  <c r="Y3970" i="5"/>
  <c r="AA4961" i="5"/>
  <c r="Y4961" i="5"/>
  <c r="Z4961" i="5"/>
  <c r="DE25" i="6"/>
  <c r="CT25" i="6"/>
  <c r="CY25" i="6"/>
  <c r="CZ25" i="6"/>
  <c r="CL22" i="6"/>
  <c r="CF22" i="6"/>
  <c r="CQ22" i="6"/>
  <c r="CK22" i="6"/>
  <c r="BI19" i="6"/>
  <c r="BD19" i="6"/>
  <c r="BO19" i="6"/>
  <c r="BJ19" i="6"/>
  <c r="AV15" i="6"/>
  <c r="AP15" i="6"/>
  <c r="AU15" i="6"/>
  <c r="BA15" i="6"/>
  <c r="BX20" i="6"/>
  <c r="BR20" i="6"/>
  <c r="BW20" i="6"/>
  <c r="CC20" i="6"/>
  <c r="AA1489" i="5"/>
  <c r="Y1489" i="5"/>
  <c r="Z1489" i="5"/>
  <c r="BI18" i="6"/>
  <c r="BD18" i="6"/>
  <c r="BJ18" i="6"/>
  <c r="BO18" i="6"/>
  <c r="CS24" i="6"/>
  <c r="CX24" i="6"/>
  <c r="CM24" i="6"/>
  <c r="CR24" i="6"/>
  <c r="AA5456" i="5"/>
  <c r="Y5456" i="5"/>
  <c r="Z5456" i="5"/>
  <c r="AA4" i="5"/>
  <c r="Y4" i="5"/>
  <c r="Z4" i="5"/>
  <c r="AA999" i="5"/>
  <c r="Y999" i="5"/>
  <c r="Z999" i="5"/>
  <c r="AA499" i="5"/>
  <c r="Y499" i="5"/>
  <c r="Z499" i="5"/>
  <c r="AA3969" i="5"/>
  <c r="Y3969" i="5"/>
  <c r="Z3969" i="5"/>
  <c r="CL23" i="6"/>
  <c r="CF23" i="6"/>
  <c r="CQ23" i="6"/>
  <c r="CK23" i="6"/>
  <c r="DE26" i="6"/>
  <c r="CT26" i="6"/>
  <c r="CZ26" i="6"/>
  <c r="CY26" i="6"/>
  <c r="AA998" i="5"/>
  <c r="Y998" i="5"/>
  <c r="Z998" i="5"/>
  <c r="AA4960" i="5"/>
  <c r="Y4960" i="5"/>
  <c r="Z4960" i="5"/>
  <c r="AA503" i="5"/>
  <c r="Y503" i="5"/>
  <c r="Z503" i="5"/>
  <c r="Z4465" i="5"/>
  <c r="Y4465" i="5"/>
  <c r="AA4465" i="5"/>
  <c r="AA1490" i="5"/>
  <c r="Y1490" i="5"/>
  <c r="Z1490" i="5"/>
  <c r="AV11" i="6"/>
  <c r="AP11" i="6"/>
  <c r="AU11" i="6"/>
  <c r="BA11" i="6"/>
  <c r="AA1494" i="5"/>
  <c r="Y1494" i="5"/>
  <c r="Z1494" i="5"/>
  <c r="AO10" i="6"/>
  <c r="AT10" i="6"/>
  <c r="AN10" i="6"/>
  <c r="DY28" i="6"/>
  <c r="DO28" i="6"/>
  <c r="CD21" i="6"/>
  <c r="BY21" i="6"/>
  <c r="CJ21" i="6"/>
  <c r="CE21" i="6"/>
  <c r="AA1990" i="5"/>
  <c r="Y1990" i="5"/>
  <c r="Z1990" i="5"/>
  <c r="AA2979" i="5"/>
  <c r="Y2979" i="5"/>
  <c r="Z2979" i="5"/>
  <c r="AA3474" i="5"/>
  <c r="Z3474" i="5"/>
  <c r="Y3474" i="5"/>
  <c r="AO14" i="6"/>
  <c r="AT14" i="6"/>
  <c r="AN14" i="6"/>
  <c r="BH12" i="6"/>
  <c r="AW12" i="6"/>
  <c r="BB12" i="6"/>
  <c r="BC12" i="6"/>
  <c r="AA1989" i="5"/>
  <c r="Z1989" i="5"/>
  <c r="Y1989" i="5"/>
  <c r="DF27" i="6"/>
  <c r="DA27" i="6"/>
  <c r="DG27" i="6"/>
  <c r="DL27" i="6"/>
  <c r="BH13" i="6"/>
  <c r="AW13" i="6"/>
  <c r="BB13" i="6"/>
  <c r="BC13" i="6"/>
  <c r="AA994" i="5"/>
  <c r="Y994" i="5"/>
  <c r="Z994" i="5"/>
  <c r="AV16" i="6"/>
  <c r="AP16" i="6"/>
  <c r="AU16" i="6"/>
  <c r="BA16" i="6"/>
  <c r="BH17" i="6"/>
  <c r="AW17" i="6"/>
  <c r="BB17" i="6"/>
  <c r="BC17" i="6"/>
  <c r="EG31" i="6"/>
  <c r="EH31" i="6" s="1"/>
  <c r="AA31" i="6" s="1"/>
  <c r="EF32" i="6"/>
  <c r="EF33" i="6" s="1"/>
  <c r="EG33" i="6" s="1"/>
  <c r="EH33" i="6" s="1"/>
  <c r="AA33" i="6" s="1"/>
  <c r="X33" i="6" s="1"/>
  <c r="J29" i="6"/>
  <c r="L29" i="6"/>
  <c r="D29" i="6"/>
  <c r="AB29" i="6"/>
  <c r="DT29" i="6" s="1"/>
  <c r="AK29" i="6"/>
  <c r="F29" i="6"/>
  <c r="V29" i="6"/>
  <c r="Z29" i="6"/>
  <c r="AI29" i="6"/>
  <c r="X29" i="6"/>
  <c r="T29" i="6"/>
  <c r="P29" i="6"/>
  <c r="AM29" i="6"/>
  <c r="N29" i="6"/>
  <c r="R29" i="6"/>
  <c r="H29" i="6"/>
  <c r="EG30" i="6"/>
  <c r="EH30" i="6" s="1"/>
  <c r="AA30" i="6" s="1"/>
  <c r="F35" i="4"/>
  <c r="E36" i="4"/>
  <c r="F36" i="4" s="1"/>
  <c r="E23" i="4"/>
  <c r="F23" i="4" s="1"/>
  <c r="F22" i="4"/>
  <c r="EG32" i="6" l="1"/>
  <c r="EH32" i="6" s="1"/>
  <c r="AA32" i="6" s="1"/>
  <c r="N32" i="6" s="1"/>
  <c r="AM33" i="6"/>
  <c r="D33" i="6"/>
  <c r="EF34" i="6"/>
  <c r="EG34" i="6" s="1"/>
  <c r="EH34" i="6" s="1"/>
  <c r="AA34" i="6" s="1"/>
  <c r="J34" i="6" s="1"/>
  <c r="J32" i="6"/>
  <c r="R33" i="6"/>
  <c r="P33" i="6"/>
  <c r="L33" i="6"/>
  <c r="H33" i="6"/>
  <c r="AI33" i="6"/>
  <c r="Z33" i="6"/>
  <c r="Y995" i="5"/>
  <c r="AA995" i="5"/>
  <c r="Z995" i="5"/>
  <c r="AA5" i="5"/>
  <c r="Z5" i="5"/>
  <c r="Y5" i="5"/>
  <c r="BP20" i="6"/>
  <c r="BK20" i="6"/>
  <c r="BQ20" i="6"/>
  <c r="BV20" i="6"/>
  <c r="BH19" i="6"/>
  <c r="AW19" i="6"/>
  <c r="BB19" i="6"/>
  <c r="BC19" i="6"/>
  <c r="R32" i="6"/>
  <c r="AV17" i="6"/>
  <c r="AP17" i="6"/>
  <c r="BA17" i="6"/>
  <c r="AU17" i="6"/>
  <c r="AO16" i="6"/>
  <c r="AN16" i="6"/>
  <c r="AT16" i="6"/>
  <c r="AA996" i="5"/>
  <c r="Z996" i="5"/>
  <c r="Y996" i="5"/>
  <c r="DS28" i="6"/>
  <c r="DH28" i="6"/>
  <c r="DN28" i="6"/>
  <c r="DM28" i="6"/>
  <c r="AA500" i="5"/>
  <c r="Y500" i="5"/>
  <c r="Z500" i="5"/>
  <c r="AA3476" i="5"/>
  <c r="Y3476" i="5"/>
  <c r="Z3476" i="5"/>
  <c r="Y3971" i="5"/>
  <c r="Z3971" i="5"/>
  <c r="AA3971" i="5"/>
  <c r="BH18" i="6"/>
  <c r="AW18" i="6"/>
  <c r="BB18" i="6"/>
  <c r="BC18" i="6"/>
  <c r="AA4466" i="5"/>
  <c r="Y4466" i="5"/>
  <c r="Z4466" i="5"/>
  <c r="AV13" i="6"/>
  <c r="AP13" i="6"/>
  <c r="BA13" i="6"/>
  <c r="AU13" i="6"/>
  <c r="CL24" i="6"/>
  <c r="CF24" i="6"/>
  <c r="CK24" i="6"/>
  <c r="CQ24" i="6"/>
  <c r="CD22" i="6"/>
  <c r="BY22" i="6"/>
  <c r="CE22" i="6"/>
  <c r="CJ22" i="6"/>
  <c r="X32" i="6"/>
  <c r="V32" i="6"/>
  <c r="DO29" i="6"/>
  <c r="DY29" i="6"/>
  <c r="AM32" i="6"/>
  <c r="H32" i="6"/>
  <c r="T33" i="6"/>
  <c r="AA1000" i="5"/>
  <c r="Z1000" i="5"/>
  <c r="Y1000" i="5"/>
  <c r="AA4962" i="5"/>
  <c r="Y4962" i="5"/>
  <c r="Z4962" i="5"/>
  <c r="AA9" i="5"/>
  <c r="Z9" i="5"/>
  <c r="Y9" i="5"/>
  <c r="AA2980" i="5"/>
  <c r="Y2980" i="5"/>
  <c r="Z2980" i="5"/>
  <c r="CS26" i="6"/>
  <c r="CM26" i="6"/>
  <c r="CX26" i="6"/>
  <c r="CR26" i="6"/>
  <c r="CD23" i="6"/>
  <c r="BY23" i="6"/>
  <c r="CE23" i="6"/>
  <c r="CJ23" i="6"/>
  <c r="AA2485" i="5"/>
  <c r="Y2485" i="5"/>
  <c r="Z2485" i="5"/>
  <c r="AA504" i="5"/>
  <c r="Y504" i="5"/>
  <c r="Z504" i="5"/>
  <c r="DE27" i="6"/>
  <c r="CT27" i="6"/>
  <c r="CY27" i="6"/>
  <c r="CZ27" i="6"/>
  <c r="AO15" i="6"/>
  <c r="AN15" i="6"/>
  <c r="AT15" i="6"/>
  <c r="CS25" i="6"/>
  <c r="CX25" i="6"/>
  <c r="CM25" i="6"/>
  <c r="CR25" i="6"/>
  <c r="Z32" i="6"/>
  <c r="T32" i="6"/>
  <c r="L32" i="6"/>
  <c r="F33" i="6"/>
  <c r="N33" i="6"/>
  <c r="J33" i="6"/>
  <c r="AB32" i="6"/>
  <c r="DT32" i="6" s="1"/>
  <c r="AK32" i="6"/>
  <c r="D32" i="6"/>
  <c r="AK33" i="6"/>
  <c r="AB33" i="6"/>
  <c r="DT33" i="6" s="1"/>
  <c r="V33" i="6"/>
  <c r="AA505" i="5"/>
  <c r="Y505" i="5"/>
  <c r="Z505" i="5"/>
  <c r="AV12" i="6"/>
  <c r="AP12" i="6"/>
  <c r="AU12" i="6"/>
  <c r="BA12" i="6"/>
  <c r="BX21" i="6"/>
  <c r="BR21" i="6"/>
  <c r="BW21" i="6"/>
  <c r="CC21" i="6"/>
  <c r="AO11" i="6"/>
  <c r="AN11" i="6"/>
  <c r="AT11" i="6"/>
  <c r="AA4467" i="5"/>
  <c r="Z4467" i="5"/>
  <c r="Y4467" i="5"/>
  <c r="AA1495" i="5"/>
  <c r="Y1495" i="5"/>
  <c r="Z1495" i="5"/>
  <c r="AA1496" i="5"/>
  <c r="Y1496" i="5"/>
  <c r="Z1496" i="5"/>
  <c r="AA3475" i="5"/>
  <c r="Y3475" i="5"/>
  <c r="Z3475" i="5"/>
  <c r="N30" i="6"/>
  <c r="F30" i="6"/>
  <c r="AB30" i="6"/>
  <c r="DT30" i="6" s="1"/>
  <c r="AK30" i="6"/>
  <c r="D30" i="6"/>
  <c r="T30" i="6"/>
  <c r="AI30" i="6"/>
  <c r="V30" i="6"/>
  <c r="J30" i="6"/>
  <c r="R30" i="6"/>
  <c r="L30" i="6"/>
  <c r="Z30" i="6"/>
  <c r="H30" i="6"/>
  <c r="X30" i="6"/>
  <c r="P30" i="6"/>
  <c r="AM30" i="6"/>
  <c r="T31" i="6"/>
  <c r="P31" i="6"/>
  <c r="N31" i="6"/>
  <c r="AB31" i="6"/>
  <c r="DT31" i="6" s="1"/>
  <c r="X31" i="6"/>
  <c r="J31" i="6"/>
  <c r="H31" i="6"/>
  <c r="R31" i="6"/>
  <c r="AK31" i="6"/>
  <c r="F31" i="6"/>
  <c r="Z31" i="6"/>
  <c r="L31" i="6"/>
  <c r="AM31" i="6"/>
  <c r="D31" i="6"/>
  <c r="V31" i="6"/>
  <c r="AI31" i="6"/>
  <c r="EF35" i="6" l="1"/>
  <c r="T34" i="6"/>
  <c r="AI32" i="6"/>
  <c r="AM34" i="6"/>
  <c r="Z34" i="6"/>
  <c r="P34" i="6"/>
  <c r="F34" i="6"/>
  <c r="R34" i="6"/>
  <c r="L34" i="6"/>
  <c r="H34" i="6"/>
  <c r="AI34" i="6"/>
  <c r="D34" i="6"/>
  <c r="AK34" i="6"/>
  <c r="N34" i="6"/>
  <c r="AB34" i="6"/>
  <c r="DT34" i="6" s="1"/>
  <c r="DY34" i="6" s="1"/>
  <c r="V34" i="6"/>
  <c r="X34" i="6"/>
  <c r="P32" i="6"/>
  <c r="DO32" i="6" s="1"/>
  <c r="F32" i="6"/>
  <c r="CL25" i="6"/>
  <c r="CF25" i="6"/>
  <c r="CQ25" i="6"/>
  <c r="CK25" i="6"/>
  <c r="AV18" i="6"/>
  <c r="AP18" i="6"/>
  <c r="BA18" i="6"/>
  <c r="AU18" i="6"/>
  <c r="BI20" i="6"/>
  <c r="BD20" i="6"/>
  <c r="BJ20" i="6"/>
  <c r="BO20" i="6"/>
  <c r="DY31" i="6"/>
  <c r="DO31" i="6"/>
  <c r="AA6" i="5"/>
  <c r="Y6" i="5"/>
  <c r="Z6" i="5"/>
  <c r="AA3972" i="5"/>
  <c r="Y3972" i="5"/>
  <c r="Z3972" i="5"/>
  <c r="AA4468" i="5"/>
  <c r="Z4468" i="5"/>
  <c r="Y4468" i="5"/>
  <c r="AA3973" i="5"/>
  <c r="Y3973" i="5"/>
  <c r="Z3973" i="5"/>
  <c r="BX22" i="6"/>
  <c r="BR22" i="6"/>
  <c r="BW22" i="6"/>
  <c r="CC22" i="6"/>
  <c r="CD24" i="6"/>
  <c r="BY24" i="6"/>
  <c r="CE24" i="6"/>
  <c r="CJ24" i="6"/>
  <c r="AO13" i="6"/>
  <c r="AN13" i="6"/>
  <c r="AT13" i="6"/>
  <c r="AA1001" i="5"/>
  <c r="Y1001" i="5"/>
  <c r="Z1001" i="5"/>
  <c r="DA28" i="6"/>
  <c r="DF28" i="6"/>
  <c r="DG28" i="6"/>
  <c r="DL28" i="6"/>
  <c r="AA1002" i="5"/>
  <c r="Y1002" i="5"/>
  <c r="Z1002" i="5"/>
  <c r="AA501" i="5"/>
  <c r="Y501" i="5"/>
  <c r="Z501" i="5"/>
  <c r="DO33" i="6"/>
  <c r="DY33" i="6"/>
  <c r="DY32" i="6"/>
  <c r="AA502" i="5"/>
  <c r="Y502" i="5"/>
  <c r="Z502" i="5"/>
  <c r="BP21" i="6"/>
  <c r="BQ21" i="6"/>
  <c r="BK21" i="6"/>
  <c r="BV21" i="6"/>
  <c r="AO12" i="6"/>
  <c r="AN12" i="6"/>
  <c r="AT12" i="6"/>
  <c r="BX23" i="6"/>
  <c r="BR23" i="6"/>
  <c r="CC23" i="6"/>
  <c r="BW23" i="6"/>
  <c r="CL26" i="6"/>
  <c r="CF26" i="6"/>
  <c r="CQ26" i="6"/>
  <c r="CK26" i="6"/>
  <c r="Y5457" i="5"/>
  <c r="Z5457" i="5"/>
  <c r="AA5457" i="5"/>
  <c r="AA11" i="5"/>
  <c r="Z11" i="5"/>
  <c r="Y11" i="5"/>
  <c r="AA506" i="5"/>
  <c r="Z506" i="5"/>
  <c r="Y506" i="5"/>
  <c r="AA1991" i="5"/>
  <c r="Y1991" i="5"/>
  <c r="Z1991" i="5"/>
  <c r="AA2486" i="5"/>
  <c r="Z2486" i="5"/>
  <c r="Y2486" i="5"/>
  <c r="CS27" i="6"/>
  <c r="CM27" i="6"/>
  <c r="CX27" i="6"/>
  <c r="CR27" i="6"/>
  <c r="AA2982" i="5"/>
  <c r="Y2982" i="5"/>
  <c r="Z2982" i="5"/>
  <c r="DH29" i="6"/>
  <c r="DN29" i="6"/>
  <c r="DS29" i="6"/>
  <c r="DM29" i="6"/>
  <c r="AV19" i="6"/>
  <c r="AP19" i="6"/>
  <c r="AU19" i="6"/>
  <c r="BA19" i="6"/>
  <c r="DO30" i="6"/>
  <c r="DY30" i="6"/>
  <c r="AA10" i="5"/>
  <c r="Z10" i="5"/>
  <c r="Y10" i="5"/>
  <c r="AA2981" i="5"/>
  <c r="Y2981" i="5"/>
  <c r="Z2981" i="5"/>
  <c r="AA3477" i="5"/>
  <c r="Y3477" i="5"/>
  <c r="Z3477" i="5"/>
  <c r="AO17" i="6"/>
  <c r="AN17" i="6"/>
  <c r="AT17" i="6"/>
  <c r="EF36" i="6"/>
  <c r="EG36" i="6" s="1"/>
  <c r="EH36" i="6" s="1"/>
  <c r="AA36" i="6" s="1"/>
  <c r="EG35" i="6"/>
  <c r="EH35" i="6" s="1"/>
  <c r="AA35" i="6" s="1"/>
  <c r="DO34" i="6" l="1"/>
  <c r="DN34" i="6" s="1"/>
  <c r="BI21" i="6"/>
  <c r="BD21" i="6"/>
  <c r="BO21" i="6"/>
  <c r="BJ21" i="6"/>
  <c r="BX24" i="6"/>
  <c r="BR24" i="6"/>
  <c r="CC24" i="6"/>
  <c r="BW24" i="6"/>
  <c r="BP22" i="6"/>
  <c r="BK22" i="6"/>
  <c r="BQ22" i="6"/>
  <c r="BV22" i="6"/>
  <c r="AA1497" i="5"/>
  <c r="Y1497" i="5"/>
  <c r="Z1497" i="5"/>
  <c r="DS30" i="6"/>
  <c r="DH30" i="6"/>
  <c r="DN30" i="6"/>
  <c r="DM30" i="6"/>
  <c r="DL29" i="6"/>
  <c r="DF29" i="6"/>
  <c r="DG29" i="6"/>
  <c r="DA29" i="6"/>
  <c r="AA3479" i="5"/>
  <c r="Y3479" i="5"/>
  <c r="Z3479" i="5"/>
  <c r="AA2488" i="5"/>
  <c r="Z2488" i="5"/>
  <c r="Y2488" i="5"/>
  <c r="DH33" i="6"/>
  <c r="DM33" i="6"/>
  <c r="DN33" i="6"/>
  <c r="DS33" i="6"/>
  <c r="AA507" i="5"/>
  <c r="Z507" i="5"/>
  <c r="Y507" i="5"/>
  <c r="AA3478" i="5"/>
  <c r="Y3478" i="5"/>
  <c r="Z3478" i="5"/>
  <c r="AA7" i="5"/>
  <c r="Y7" i="5"/>
  <c r="Z7" i="5"/>
  <c r="AA12" i="5"/>
  <c r="Y12" i="5"/>
  <c r="Z12" i="5"/>
  <c r="CD26" i="6"/>
  <c r="BY26" i="6"/>
  <c r="CE26" i="6"/>
  <c r="CJ26" i="6"/>
  <c r="DH32" i="6"/>
  <c r="DN32" i="6"/>
  <c r="DM32" i="6"/>
  <c r="DS32" i="6"/>
  <c r="AA2983" i="5"/>
  <c r="Y2983" i="5"/>
  <c r="Z2983" i="5"/>
  <c r="AA2487" i="5"/>
  <c r="Y2487" i="5"/>
  <c r="Z2487" i="5"/>
  <c r="DH31" i="6"/>
  <c r="DN31" i="6"/>
  <c r="DM31" i="6"/>
  <c r="DS31" i="6"/>
  <c r="BH20" i="6"/>
  <c r="AW20" i="6"/>
  <c r="BB20" i="6"/>
  <c r="BC20" i="6"/>
  <c r="AO18" i="6"/>
  <c r="AT18" i="6"/>
  <c r="AN18" i="6"/>
  <c r="CD25" i="6"/>
  <c r="BY25" i="6"/>
  <c r="CJ25" i="6"/>
  <c r="CE25" i="6"/>
  <c r="AO19" i="6"/>
  <c r="AN19" i="6"/>
  <c r="AT19" i="6"/>
  <c r="AA4963" i="5"/>
  <c r="Y4963" i="5"/>
  <c r="Z4963" i="5"/>
  <c r="AA508" i="5"/>
  <c r="Z508" i="5"/>
  <c r="Y508" i="5"/>
  <c r="AA3974" i="5"/>
  <c r="Z3974" i="5"/>
  <c r="Y3974" i="5"/>
  <c r="BP23" i="6"/>
  <c r="BK23" i="6"/>
  <c r="BQ23" i="6"/>
  <c r="BV23" i="6"/>
  <c r="DH34" i="6"/>
  <c r="DS34" i="6"/>
  <c r="DM34" i="6"/>
  <c r="AA5458" i="5"/>
  <c r="Y5458" i="5"/>
  <c r="Z5458" i="5"/>
  <c r="CL27" i="6"/>
  <c r="CF27" i="6"/>
  <c r="CQ27" i="6"/>
  <c r="CK27" i="6"/>
  <c r="AA1992" i="5"/>
  <c r="Y1992" i="5"/>
  <c r="Z1992" i="5"/>
  <c r="DE28" i="6"/>
  <c r="CT28" i="6"/>
  <c r="CZ28" i="6"/>
  <c r="CY28" i="6"/>
  <c r="AA8" i="5"/>
  <c r="Z8" i="5"/>
  <c r="Y8" i="5"/>
  <c r="R35" i="6"/>
  <c r="J35" i="6"/>
  <c r="F35" i="6"/>
  <c r="Z35" i="6"/>
  <c r="T35" i="6"/>
  <c r="N35" i="6"/>
  <c r="D35" i="6"/>
  <c r="X35" i="6"/>
  <c r="P35" i="6"/>
  <c r="H35" i="6"/>
  <c r="V35" i="6"/>
  <c r="L35" i="6"/>
  <c r="AI35" i="6"/>
  <c r="AB35" i="6"/>
  <c r="DT35" i="6" s="1"/>
  <c r="AM35" i="6"/>
  <c r="AK35" i="6"/>
  <c r="EF37" i="6"/>
  <c r="EG37" i="6" s="1"/>
  <c r="EH37" i="6" s="1"/>
  <c r="AA37" i="6" s="1"/>
  <c r="V36" i="6"/>
  <c r="N36" i="6"/>
  <c r="D36" i="6"/>
  <c r="T36" i="6"/>
  <c r="H36" i="6"/>
  <c r="F36" i="6"/>
  <c r="P36" i="6"/>
  <c r="L36" i="6"/>
  <c r="X36" i="6"/>
  <c r="R36" i="6"/>
  <c r="J36" i="6"/>
  <c r="AK36" i="6"/>
  <c r="AB36" i="6"/>
  <c r="DT36" i="6" s="1"/>
  <c r="Z36" i="6"/>
  <c r="AM36" i="6"/>
  <c r="AI36" i="6"/>
  <c r="AA3480" i="5" l="1"/>
  <c r="Z3480" i="5"/>
  <c r="Y3480" i="5"/>
  <c r="AA5463" i="5"/>
  <c r="Z5463" i="5"/>
  <c r="Y5463" i="5"/>
  <c r="DA31" i="6"/>
  <c r="DL31" i="6"/>
  <c r="DF31" i="6"/>
  <c r="DG31" i="6"/>
  <c r="CD27" i="6"/>
  <c r="BY27" i="6"/>
  <c r="CE27" i="6"/>
  <c r="CJ27" i="6"/>
  <c r="DA34" i="6"/>
  <c r="DG34" i="6"/>
  <c r="DF34" i="6"/>
  <c r="DL34" i="6"/>
  <c r="AA5460" i="5"/>
  <c r="Y5460" i="5"/>
  <c r="Z5460" i="5"/>
  <c r="BX26" i="6"/>
  <c r="BR26" i="6"/>
  <c r="CC26" i="6"/>
  <c r="BW26" i="6"/>
  <c r="DE29" i="6"/>
  <c r="CT29" i="6"/>
  <c r="CY29" i="6"/>
  <c r="CZ29" i="6"/>
  <c r="AA2489" i="5"/>
  <c r="Y2489" i="5"/>
  <c r="Z2489" i="5"/>
  <c r="AA1498" i="5"/>
  <c r="Y1498" i="5"/>
  <c r="Z1498" i="5"/>
  <c r="BX25" i="6"/>
  <c r="BR25" i="6"/>
  <c r="CC25" i="6"/>
  <c r="BW25" i="6"/>
  <c r="AA4964" i="5"/>
  <c r="Z4964" i="5"/>
  <c r="Y4964" i="5"/>
  <c r="DA32" i="6"/>
  <c r="DG32" i="6"/>
  <c r="DL32" i="6"/>
  <c r="DF32" i="6"/>
  <c r="DG33" i="6"/>
  <c r="DL33" i="6"/>
  <c r="DF33" i="6"/>
  <c r="DA33" i="6"/>
  <c r="BI22" i="6"/>
  <c r="BD22" i="6"/>
  <c r="BJ22" i="6"/>
  <c r="BO22" i="6"/>
  <c r="BP24" i="6"/>
  <c r="BQ24" i="6"/>
  <c r="BK24" i="6"/>
  <c r="BV24" i="6"/>
  <c r="BH21" i="6"/>
  <c r="AW21" i="6"/>
  <c r="BB21" i="6"/>
  <c r="BC21" i="6"/>
  <c r="BI23" i="6"/>
  <c r="BD23" i="6"/>
  <c r="BO23" i="6"/>
  <c r="BJ23" i="6"/>
  <c r="AA1003" i="5"/>
  <c r="Z1003" i="5"/>
  <c r="Y1003" i="5"/>
  <c r="AA5459" i="5"/>
  <c r="Y5459" i="5"/>
  <c r="Z5459" i="5"/>
  <c r="AA1993" i="5"/>
  <c r="Y1993" i="5"/>
  <c r="Z1993" i="5"/>
  <c r="CS28" i="6"/>
  <c r="CX28" i="6"/>
  <c r="CM28" i="6"/>
  <c r="CR28" i="6"/>
  <c r="AA1994" i="5"/>
  <c r="Z1994" i="5"/>
  <c r="Y1994" i="5"/>
  <c r="DO36" i="6"/>
  <c r="DY36" i="6"/>
  <c r="DY35" i="6"/>
  <c r="DO35" i="6"/>
  <c r="Y4469" i="5"/>
  <c r="AA4469" i="5"/>
  <c r="Z4469" i="5"/>
  <c r="AA14" i="5"/>
  <c r="Y14" i="5"/>
  <c r="Z14" i="5"/>
  <c r="AA2984" i="5"/>
  <c r="Z2984" i="5"/>
  <c r="Y2984" i="5"/>
  <c r="AA13" i="5"/>
  <c r="Y13" i="5"/>
  <c r="Z13" i="5"/>
  <c r="AV20" i="6"/>
  <c r="AP20" i="6"/>
  <c r="AU20" i="6"/>
  <c r="BA20" i="6"/>
  <c r="AA5461" i="5"/>
  <c r="Y5461" i="5"/>
  <c r="Z5461" i="5"/>
  <c r="AA2985" i="5"/>
  <c r="Z2985" i="5"/>
  <c r="Y2985" i="5"/>
  <c r="AA5462" i="5"/>
  <c r="Y5462" i="5"/>
  <c r="Z5462" i="5"/>
  <c r="DA30" i="6"/>
  <c r="DG30" i="6"/>
  <c r="DL30" i="6"/>
  <c r="DF30" i="6"/>
  <c r="F37" i="6"/>
  <c r="R37" i="6"/>
  <c r="H37" i="6"/>
  <c r="Z37" i="6"/>
  <c r="X37" i="6"/>
  <c r="P37" i="6"/>
  <c r="J37" i="6"/>
  <c r="V37" i="6"/>
  <c r="N37" i="6"/>
  <c r="T37" i="6"/>
  <c r="L37" i="6"/>
  <c r="D37" i="6"/>
  <c r="AI37" i="6"/>
  <c r="AM37" i="6"/>
  <c r="AK37" i="6"/>
  <c r="AB37" i="6"/>
  <c r="DT37" i="6" s="1"/>
  <c r="EF38" i="6"/>
  <c r="EG38" i="6" s="1"/>
  <c r="EH38" i="6" s="1"/>
  <c r="AA38" i="6" s="1"/>
  <c r="DE30" i="6" l="1"/>
  <c r="CT30" i="6"/>
  <c r="CZ30" i="6"/>
  <c r="CY30" i="6"/>
  <c r="BH23" i="6"/>
  <c r="AW23" i="6"/>
  <c r="BB23" i="6"/>
  <c r="BC23" i="6"/>
  <c r="BX27" i="6"/>
  <c r="BR27" i="6"/>
  <c r="CC27" i="6"/>
  <c r="BW27" i="6"/>
  <c r="DO37" i="6"/>
  <c r="DY37" i="6"/>
  <c r="DE32" i="6"/>
  <c r="CT32" i="6"/>
  <c r="CY32" i="6"/>
  <c r="CZ32" i="6"/>
  <c r="CS29" i="6"/>
  <c r="CX29" i="6"/>
  <c r="CM29" i="6"/>
  <c r="CR29" i="6"/>
  <c r="BP26" i="6"/>
  <c r="BK26" i="6"/>
  <c r="BQ26" i="6"/>
  <c r="BV26" i="6"/>
  <c r="DE34" i="6"/>
  <c r="CY34" i="6"/>
  <c r="CT34" i="6"/>
  <c r="CZ34" i="6"/>
  <c r="DE31" i="6"/>
  <c r="CT31" i="6"/>
  <c r="CY31" i="6"/>
  <c r="CZ31" i="6"/>
  <c r="AV21" i="6"/>
  <c r="AP21" i="6"/>
  <c r="BA21" i="6"/>
  <c r="AU21" i="6"/>
  <c r="AA4968" i="5"/>
  <c r="Y4968" i="5"/>
  <c r="Z4968" i="5"/>
  <c r="AA1004" i="5"/>
  <c r="Z1004" i="5"/>
  <c r="Y1004" i="5"/>
  <c r="AA4965" i="5"/>
  <c r="Y4965" i="5"/>
  <c r="Z4965" i="5"/>
  <c r="AA509" i="5"/>
  <c r="Y509" i="5"/>
  <c r="Z509" i="5"/>
  <c r="DH35" i="6"/>
  <c r="DM35" i="6"/>
  <c r="DN35" i="6"/>
  <c r="DS35" i="6"/>
  <c r="CL28" i="6"/>
  <c r="CF28" i="6"/>
  <c r="CK28" i="6"/>
  <c r="CQ28" i="6"/>
  <c r="AA1995" i="5"/>
  <c r="Y1995" i="5"/>
  <c r="Z1995" i="5"/>
  <c r="AA1499" i="5"/>
  <c r="Z1499" i="5"/>
  <c r="Y1499" i="5"/>
  <c r="DE33" i="6"/>
  <c r="CT33" i="6"/>
  <c r="CY33" i="6"/>
  <c r="CZ33" i="6"/>
  <c r="AA2490" i="5"/>
  <c r="Z2490" i="5"/>
  <c r="Y2490" i="5"/>
  <c r="AA4470" i="5"/>
  <c r="Y4470" i="5"/>
  <c r="Z4470" i="5"/>
  <c r="AA4969" i="5"/>
  <c r="Y4969" i="5"/>
  <c r="Z4969" i="5"/>
  <c r="AA2986" i="5"/>
  <c r="Z2986" i="5"/>
  <c r="Y2986" i="5"/>
  <c r="AO20" i="6"/>
  <c r="AN20" i="6"/>
  <c r="AT20" i="6"/>
  <c r="BH22" i="6"/>
  <c r="AW22" i="6"/>
  <c r="BB22" i="6"/>
  <c r="BC22" i="6"/>
  <c r="AA2491" i="5"/>
  <c r="Z2491" i="5"/>
  <c r="Y2491" i="5"/>
  <c r="AA4966" i="5"/>
  <c r="Z4966" i="5"/>
  <c r="Y4966" i="5"/>
  <c r="DS36" i="6"/>
  <c r="DH36" i="6"/>
  <c r="DM36" i="6"/>
  <c r="DN36" i="6"/>
  <c r="AA3975" i="5"/>
  <c r="Y3975" i="5"/>
  <c r="Z3975" i="5"/>
  <c r="AA1500" i="5"/>
  <c r="Y1500" i="5"/>
  <c r="Z1500" i="5"/>
  <c r="BI24" i="6"/>
  <c r="BD24" i="6"/>
  <c r="BJ24" i="6"/>
  <c r="BO24" i="6"/>
  <c r="AA4967" i="5"/>
  <c r="Z4967" i="5"/>
  <c r="Y4967" i="5"/>
  <c r="BP25" i="6"/>
  <c r="BK25" i="6"/>
  <c r="BQ25" i="6"/>
  <c r="BV25" i="6"/>
  <c r="EF39" i="6"/>
  <c r="EG39" i="6" s="1"/>
  <c r="EH39" i="6" s="1"/>
  <c r="AA39" i="6" s="1"/>
  <c r="T38" i="6"/>
  <c r="P38" i="6"/>
  <c r="Z38" i="6"/>
  <c r="R38" i="6"/>
  <c r="J38" i="6"/>
  <c r="X38" i="6"/>
  <c r="N38" i="6"/>
  <c r="D38" i="6"/>
  <c r="V38" i="6"/>
  <c r="L38" i="6"/>
  <c r="F38" i="6"/>
  <c r="AM38" i="6"/>
  <c r="AI38" i="6"/>
  <c r="H38" i="6"/>
  <c r="AB38" i="6"/>
  <c r="DT38" i="6" s="1"/>
  <c r="AK38" i="6"/>
  <c r="AA1005" i="5" l="1"/>
  <c r="Y1005" i="5"/>
  <c r="Z1005" i="5"/>
  <c r="CS31" i="6"/>
  <c r="CM31" i="6"/>
  <c r="CX31" i="6"/>
  <c r="CR31" i="6"/>
  <c r="CS32" i="6"/>
  <c r="CX32" i="6"/>
  <c r="CM32" i="6"/>
  <c r="CR32" i="6"/>
  <c r="AA1501" i="5"/>
  <c r="Z1501" i="5"/>
  <c r="Y1501" i="5"/>
  <c r="DA36" i="6"/>
  <c r="DF36" i="6"/>
  <c r="DL36" i="6"/>
  <c r="DG36" i="6"/>
  <c r="AA15" i="5"/>
  <c r="Y15" i="5"/>
  <c r="Z15" i="5"/>
  <c r="DF35" i="6"/>
  <c r="DG35" i="6"/>
  <c r="DL35" i="6"/>
  <c r="DA35" i="6"/>
  <c r="AA4472" i="5"/>
  <c r="Y4472" i="5"/>
  <c r="Z4472" i="5"/>
  <c r="AA4475" i="5"/>
  <c r="Z4475" i="5"/>
  <c r="Y4475" i="5"/>
  <c r="Y4473" i="5"/>
  <c r="AA4473" i="5"/>
  <c r="Z4473" i="5"/>
  <c r="AA2492" i="5"/>
  <c r="Y2492" i="5"/>
  <c r="Z2492" i="5"/>
  <c r="CD28" i="6"/>
  <c r="BY28" i="6"/>
  <c r="CJ28" i="6"/>
  <c r="CE28" i="6"/>
  <c r="BI26" i="6"/>
  <c r="BD26" i="6"/>
  <c r="BJ26" i="6"/>
  <c r="BO26" i="6"/>
  <c r="AA3976" i="5"/>
  <c r="Y3976" i="5"/>
  <c r="Z3976" i="5"/>
  <c r="DO38" i="6"/>
  <c r="DY38" i="6"/>
  <c r="AA1996" i="5"/>
  <c r="Z1996" i="5"/>
  <c r="Y1996" i="5"/>
  <c r="Y5465" i="5"/>
  <c r="Z5465" i="5"/>
  <c r="AA5465" i="5"/>
  <c r="CS33" i="6"/>
  <c r="CX33" i="6"/>
  <c r="CM33" i="6"/>
  <c r="CR33" i="6"/>
  <c r="AA3481" i="5"/>
  <c r="Z3481" i="5"/>
  <c r="Y3481" i="5"/>
  <c r="AA5464" i="5"/>
  <c r="Y5464" i="5"/>
  <c r="Z5464" i="5"/>
  <c r="AA1997" i="5"/>
  <c r="Z1997" i="5"/>
  <c r="Y1997" i="5"/>
  <c r="BP27" i="6"/>
  <c r="BK27" i="6"/>
  <c r="BQ27" i="6"/>
  <c r="BV27" i="6"/>
  <c r="AV23" i="6"/>
  <c r="AP23" i="6"/>
  <c r="AU23" i="6"/>
  <c r="BA23" i="6"/>
  <c r="CS30" i="6"/>
  <c r="CM30" i="6"/>
  <c r="CX30" i="6"/>
  <c r="CR30" i="6"/>
  <c r="BI25" i="6"/>
  <c r="BD25" i="6"/>
  <c r="BO25" i="6"/>
  <c r="BJ25" i="6"/>
  <c r="AO21" i="6"/>
  <c r="AN21" i="6"/>
  <c r="AT21" i="6"/>
  <c r="BH24" i="6"/>
  <c r="AW24" i="6"/>
  <c r="BB24" i="6"/>
  <c r="BC24" i="6"/>
  <c r="AV22" i="6"/>
  <c r="AP22" i="6"/>
  <c r="BA22" i="6"/>
  <c r="AU22" i="6"/>
  <c r="AA4474" i="5"/>
  <c r="Y4474" i="5"/>
  <c r="Z4474" i="5"/>
  <c r="AA510" i="5"/>
  <c r="Y510" i="5"/>
  <c r="Z510" i="5"/>
  <c r="CS34" i="6"/>
  <c r="CM34" i="6"/>
  <c r="CX34" i="6"/>
  <c r="CR34" i="6"/>
  <c r="CL29" i="6"/>
  <c r="CF29" i="6"/>
  <c r="CQ29" i="6"/>
  <c r="CK29" i="6"/>
  <c r="DH37" i="6"/>
  <c r="DN37" i="6"/>
  <c r="DS37" i="6"/>
  <c r="DM37" i="6"/>
  <c r="AA1006" i="5"/>
  <c r="Y1006" i="5"/>
  <c r="Z1006" i="5"/>
  <c r="AA4471" i="5"/>
  <c r="Y4471" i="5"/>
  <c r="Z4471" i="5"/>
  <c r="Z39" i="6"/>
  <c r="V39" i="6"/>
  <c r="L39" i="6"/>
  <c r="R39" i="6"/>
  <c r="J39" i="6"/>
  <c r="F39" i="6"/>
  <c r="T39" i="6"/>
  <c r="N39" i="6"/>
  <c r="D39" i="6"/>
  <c r="X39" i="6"/>
  <c r="P39" i="6"/>
  <c r="H39" i="6"/>
  <c r="AI39" i="6"/>
  <c r="AK39" i="6"/>
  <c r="AB39" i="6"/>
  <c r="DT39" i="6" s="1"/>
  <c r="AM39" i="6"/>
  <c r="EF40" i="6"/>
  <c r="CD29" i="6" l="1"/>
  <c r="BY29" i="6"/>
  <c r="CJ29" i="6"/>
  <c r="CE29" i="6"/>
  <c r="Y3977" i="5"/>
  <c r="AA3977" i="5"/>
  <c r="Z3977" i="5"/>
  <c r="DY39" i="6"/>
  <c r="DO39" i="6"/>
  <c r="CL30" i="6"/>
  <c r="CF30" i="6"/>
  <c r="CQ30" i="6"/>
  <c r="CK30" i="6"/>
  <c r="AO23" i="6"/>
  <c r="AN23" i="6"/>
  <c r="AT23" i="6"/>
  <c r="BI27" i="6"/>
  <c r="BD27" i="6"/>
  <c r="BO27" i="6"/>
  <c r="BJ27" i="6"/>
  <c r="CL33" i="6"/>
  <c r="CF33" i="6"/>
  <c r="CQ33" i="6"/>
  <c r="CK33" i="6"/>
  <c r="BH26" i="6"/>
  <c r="AW26" i="6"/>
  <c r="BB26" i="6"/>
  <c r="BC26" i="6"/>
  <c r="BX28" i="6"/>
  <c r="BR28" i="6"/>
  <c r="BW28" i="6"/>
  <c r="CC28" i="6"/>
  <c r="DE36" i="6"/>
  <c r="CT36" i="6"/>
  <c r="CY36" i="6"/>
  <c r="CZ36" i="6"/>
  <c r="CL34" i="6"/>
  <c r="CF34" i="6"/>
  <c r="CQ34" i="6"/>
  <c r="CK34" i="6"/>
  <c r="AA1502" i="5"/>
  <c r="Z1502" i="5"/>
  <c r="Y1502" i="5"/>
  <c r="AA2987" i="5"/>
  <c r="Y2987" i="5"/>
  <c r="Z2987" i="5"/>
  <c r="BH25" i="6"/>
  <c r="AW25" i="6"/>
  <c r="BB25" i="6"/>
  <c r="BC25" i="6"/>
  <c r="AO22" i="6"/>
  <c r="AT22" i="6"/>
  <c r="AN22" i="6"/>
  <c r="AV24" i="6"/>
  <c r="AP24" i="6"/>
  <c r="AU24" i="6"/>
  <c r="BA24" i="6"/>
  <c r="AA3980" i="5"/>
  <c r="Y3980" i="5"/>
  <c r="Z3980" i="5"/>
  <c r="CL32" i="6"/>
  <c r="CF32" i="6"/>
  <c r="CK32" i="6"/>
  <c r="CQ32" i="6"/>
  <c r="AA3978" i="5"/>
  <c r="Z3978" i="5"/>
  <c r="Y3978" i="5"/>
  <c r="AA16" i="5"/>
  <c r="Z16" i="5"/>
  <c r="Y16" i="5"/>
  <c r="AA4970" i="5"/>
  <c r="Y4970" i="5"/>
  <c r="Z4970" i="5"/>
  <c r="DL37" i="6"/>
  <c r="DF37" i="6"/>
  <c r="DG37" i="6"/>
  <c r="DA37" i="6"/>
  <c r="AA511" i="5"/>
  <c r="Y511" i="5"/>
  <c r="Z511" i="5"/>
  <c r="AA5466" i="5"/>
  <c r="Y5466" i="5"/>
  <c r="Z5466" i="5"/>
  <c r="AA3482" i="5"/>
  <c r="Y3482" i="5"/>
  <c r="Z3482" i="5"/>
  <c r="AA3981" i="5"/>
  <c r="Y3981" i="5"/>
  <c r="Z3981" i="5"/>
  <c r="Y1007" i="5"/>
  <c r="AA1007" i="5"/>
  <c r="Z1007" i="5"/>
  <c r="AA512" i="5"/>
  <c r="Y512" i="5"/>
  <c r="Z512" i="5"/>
  <c r="AA1998" i="5"/>
  <c r="Y1998" i="5"/>
  <c r="Z1998" i="5"/>
  <c r="DS38" i="6"/>
  <c r="DH38" i="6"/>
  <c r="DM38" i="6"/>
  <c r="DN38" i="6"/>
  <c r="AA1503" i="5"/>
  <c r="Y1503" i="5"/>
  <c r="Z1503" i="5"/>
  <c r="DE35" i="6"/>
  <c r="CY35" i="6"/>
  <c r="CT35" i="6"/>
  <c r="CZ35" i="6"/>
  <c r="AA4971" i="5"/>
  <c r="Z4971" i="5"/>
  <c r="Y4971" i="5"/>
  <c r="AA3979" i="5"/>
  <c r="Z3979" i="5"/>
  <c r="Y3979" i="5"/>
  <c r="CL31" i="6"/>
  <c r="CF31" i="6"/>
  <c r="CQ31" i="6"/>
  <c r="CK31" i="6"/>
  <c r="EF41" i="6"/>
  <c r="EG41" i="6" s="1"/>
  <c r="EH41" i="6" s="1"/>
  <c r="AA41" i="6" s="1"/>
  <c r="EG40" i="6"/>
  <c r="EH40" i="6" s="1"/>
  <c r="AA40" i="6" s="1"/>
  <c r="DA38" i="6" l="1"/>
  <c r="DG38" i="6"/>
  <c r="DF38" i="6"/>
  <c r="DL38" i="6"/>
  <c r="AA3485" i="5"/>
  <c r="Y3485" i="5"/>
  <c r="Z3485" i="5"/>
  <c r="AA17" i="5"/>
  <c r="Z17" i="5"/>
  <c r="Y17" i="5"/>
  <c r="AV25" i="6"/>
  <c r="AP25" i="6"/>
  <c r="BA25" i="6"/>
  <c r="AU25" i="6"/>
  <c r="AA2493" i="5"/>
  <c r="Y2493" i="5"/>
  <c r="Z2493" i="5"/>
  <c r="AA18" i="5"/>
  <c r="Z18" i="5"/>
  <c r="Y18" i="5"/>
  <c r="AA3483" i="5"/>
  <c r="Z3483" i="5"/>
  <c r="Y3483" i="5"/>
  <c r="AA5467" i="5"/>
  <c r="Y5467" i="5"/>
  <c r="Z5467" i="5"/>
  <c r="AO24" i="6"/>
  <c r="AN24" i="6"/>
  <c r="AT24" i="6"/>
  <c r="AA1008" i="5"/>
  <c r="Z1008" i="5"/>
  <c r="Y1008" i="5"/>
  <c r="AA3487" i="5"/>
  <c r="Y3487" i="5"/>
  <c r="Z3487" i="5"/>
  <c r="AA3486" i="5"/>
  <c r="Y3486" i="5"/>
  <c r="Z3486" i="5"/>
  <c r="AA1504" i="5"/>
  <c r="Y1504" i="5"/>
  <c r="Z1504" i="5"/>
  <c r="CD30" i="6"/>
  <c r="BY30" i="6"/>
  <c r="CE30" i="6"/>
  <c r="CJ30" i="6"/>
  <c r="AA2988" i="5"/>
  <c r="Y2988" i="5"/>
  <c r="Z2988" i="5"/>
  <c r="AA4476" i="5"/>
  <c r="Y4476" i="5"/>
  <c r="Z4476" i="5"/>
  <c r="CD32" i="6"/>
  <c r="BY32" i="6"/>
  <c r="CJ32" i="6"/>
  <c r="CE32" i="6"/>
  <c r="CS36" i="6"/>
  <c r="CX36" i="6"/>
  <c r="CM36" i="6"/>
  <c r="CR36" i="6"/>
  <c r="BP28" i="6"/>
  <c r="BK28" i="6"/>
  <c r="BQ28" i="6"/>
  <c r="BV28" i="6"/>
  <c r="AV26" i="6"/>
  <c r="AP26" i="6"/>
  <c r="BA26" i="6"/>
  <c r="AU26" i="6"/>
  <c r="CD33" i="6"/>
  <c r="BY33" i="6"/>
  <c r="CJ33" i="6"/>
  <c r="CE33" i="6"/>
  <c r="BH27" i="6"/>
  <c r="AW27" i="6"/>
  <c r="BB27" i="6"/>
  <c r="BC27" i="6"/>
  <c r="BX29" i="6"/>
  <c r="BR29" i="6"/>
  <c r="BW29" i="6"/>
  <c r="CC29" i="6"/>
  <c r="CS35" i="6"/>
  <c r="CM35" i="6"/>
  <c r="CX35" i="6"/>
  <c r="CR35" i="6"/>
  <c r="AA3484" i="5"/>
  <c r="Y3484" i="5"/>
  <c r="Z3484" i="5"/>
  <c r="AA4972" i="5"/>
  <c r="Y4972" i="5"/>
  <c r="Z4972" i="5"/>
  <c r="CD34" i="6"/>
  <c r="BY34" i="6"/>
  <c r="CE34" i="6"/>
  <c r="CJ34" i="6"/>
  <c r="CD31" i="6"/>
  <c r="BY31" i="6"/>
  <c r="CE31" i="6"/>
  <c r="CJ31" i="6"/>
  <c r="DE37" i="6"/>
  <c r="CT37" i="6"/>
  <c r="CY37" i="6"/>
  <c r="CZ37" i="6"/>
  <c r="AA513" i="5"/>
  <c r="Z513" i="5"/>
  <c r="Y513" i="5"/>
  <c r="Z4477" i="5"/>
  <c r="Y4477" i="5"/>
  <c r="AA4477" i="5"/>
  <c r="AA1009" i="5"/>
  <c r="Y1009" i="5"/>
  <c r="Z1009" i="5"/>
  <c r="DH39" i="6"/>
  <c r="DM39" i="6"/>
  <c r="DN39" i="6"/>
  <c r="DS39" i="6"/>
  <c r="EF42" i="6"/>
  <c r="EG42" i="6" s="1"/>
  <c r="EH42" i="6" s="1"/>
  <c r="AA42" i="6" s="1"/>
  <c r="X40" i="6"/>
  <c r="P40" i="6"/>
  <c r="H40" i="6"/>
  <c r="V40" i="6"/>
  <c r="N40" i="6"/>
  <c r="D40" i="6"/>
  <c r="T40" i="6"/>
  <c r="J40" i="6"/>
  <c r="F40" i="6"/>
  <c r="R40" i="6"/>
  <c r="L40" i="6"/>
  <c r="AK40" i="6"/>
  <c r="Z40" i="6"/>
  <c r="AM40" i="6"/>
  <c r="AB40" i="6"/>
  <c r="DT40" i="6" s="1"/>
  <c r="AI40" i="6"/>
  <c r="D41" i="6"/>
  <c r="Z41" i="6"/>
  <c r="T41" i="6"/>
  <c r="L41" i="6"/>
  <c r="R41" i="6"/>
  <c r="H41" i="6"/>
  <c r="X41" i="6"/>
  <c r="P41" i="6"/>
  <c r="V41" i="6"/>
  <c r="N41" i="6"/>
  <c r="F41" i="6"/>
  <c r="AB41" i="6"/>
  <c r="DT41" i="6" s="1"/>
  <c r="AM41" i="6"/>
  <c r="AI41" i="6"/>
  <c r="J41" i="6"/>
  <c r="AK41" i="6"/>
  <c r="DO41" i="6" l="1"/>
  <c r="DY41" i="6"/>
  <c r="AO25" i="6"/>
  <c r="AN25" i="6"/>
  <c r="AT25" i="6"/>
  <c r="AA4973" i="5"/>
  <c r="Y4973" i="5"/>
  <c r="Z4973" i="5"/>
  <c r="DO40" i="6"/>
  <c r="DY40" i="6"/>
  <c r="DL39" i="6"/>
  <c r="DF39" i="6"/>
  <c r="DA39" i="6"/>
  <c r="DG39" i="6"/>
  <c r="BX31" i="6"/>
  <c r="BR31" i="6"/>
  <c r="CC31" i="6"/>
  <c r="BW31" i="6"/>
  <c r="AA2494" i="5"/>
  <c r="Y2494" i="5"/>
  <c r="Z2494" i="5"/>
  <c r="AA1999" i="5"/>
  <c r="Z1999" i="5"/>
  <c r="Y1999" i="5"/>
  <c r="AA1010" i="5"/>
  <c r="Y1010" i="5"/>
  <c r="Z1010" i="5"/>
  <c r="CS37" i="6"/>
  <c r="CX37" i="6"/>
  <c r="CM37" i="6"/>
  <c r="CR37" i="6"/>
  <c r="BX34" i="6"/>
  <c r="BR34" i="6"/>
  <c r="CC34" i="6"/>
  <c r="BW34" i="6"/>
  <c r="BX30" i="6"/>
  <c r="BR30" i="6"/>
  <c r="BW30" i="6"/>
  <c r="CC30" i="6"/>
  <c r="AA5468" i="5"/>
  <c r="Z5468" i="5"/>
  <c r="Y5468" i="5"/>
  <c r="AA4478" i="5"/>
  <c r="Y4478" i="5"/>
  <c r="Z4478" i="5"/>
  <c r="Z3982" i="5"/>
  <c r="Y3982" i="5"/>
  <c r="AA3982" i="5"/>
  <c r="AA2992" i="5"/>
  <c r="Y2992" i="5"/>
  <c r="Z2992" i="5"/>
  <c r="AA515" i="5"/>
  <c r="Z515" i="5"/>
  <c r="Y515" i="5"/>
  <c r="CL36" i="6"/>
  <c r="CF36" i="6"/>
  <c r="CK36" i="6"/>
  <c r="CQ36" i="6"/>
  <c r="AA2991" i="5"/>
  <c r="Z2991" i="5"/>
  <c r="Y2991" i="5"/>
  <c r="AA2990" i="5"/>
  <c r="Y2990" i="5"/>
  <c r="Z2990" i="5"/>
  <c r="AA2993" i="5"/>
  <c r="Z2993" i="5"/>
  <c r="Y2993" i="5"/>
  <c r="CL35" i="6"/>
  <c r="CF35" i="6"/>
  <c r="CQ35" i="6"/>
  <c r="CK35" i="6"/>
  <c r="BP29" i="6"/>
  <c r="BQ29" i="6"/>
  <c r="BK29" i="6"/>
  <c r="BV29" i="6"/>
  <c r="AV27" i="6"/>
  <c r="AP27" i="6"/>
  <c r="AU27" i="6"/>
  <c r="BA27" i="6"/>
  <c r="BX33" i="6"/>
  <c r="BR33" i="6"/>
  <c r="CC33" i="6"/>
  <c r="BW33" i="6"/>
  <c r="AO26" i="6"/>
  <c r="AT26" i="6"/>
  <c r="AN26" i="6"/>
  <c r="BI28" i="6"/>
  <c r="BD28" i="6"/>
  <c r="BJ28" i="6"/>
  <c r="BO28" i="6"/>
  <c r="AA3983" i="5"/>
  <c r="Y3983" i="5"/>
  <c r="Z3983" i="5"/>
  <c r="BX32" i="6"/>
  <c r="BR32" i="6"/>
  <c r="CC32" i="6"/>
  <c r="BW32" i="6"/>
  <c r="AA2989" i="5"/>
  <c r="Y2989" i="5"/>
  <c r="Z2989" i="5"/>
  <c r="AA19" i="5"/>
  <c r="Z19" i="5"/>
  <c r="Y19" i="5"/>
  <c r="AA514" i="5"/>
  <c r="Z514" i="5"/>
  <c r="Y514" i="5"/>
  <c r="DE38" i="6"/>
  <c r="CZ38" i="6"/>
  <c r="CY38" i="6"/>
  <c r="CT38" i="6"/>
  <c r="H42" i="6"/>
  <c r="Z42" i="6"/>
  <c r="V42" i="6"/>
  <c r="P42" i="6"/>
  <c r="F42" i="6"/>
  <c r="T42" i="6"/>
  <c r="L42" i="6"/>
  <c r="R42" i="6"/>
  <c r="J42" i="6"/>
  <c r="X42" i="6"/>
  <c r="N42" i="6"/>
  <c r="D42" i="6"/>
  <c r="AM42" i="6"/>
  <c r="AI42" i="6"/>
  <c r="AK42" i="6"/>
  <c r="AB42" i="6"/>
  <c r="DT42" i="6" s="1"/>
  <c r="EF43" i="6"/>
  <c r="EG43" i="6" s="1"/>
  <c r="EH43" i="6" s="1"/>
  <c r="AA43" i="6" s="1"/>
  <c r="AA21" i="5" l="1"/>
  <c r="Y21" i="5"/>
  <c r="Z21" i="5"/>
  <c r="CD35" i="6"/>
  <c r="BY35" i="6"/>
  <c r="CE35" i="6"/>
  <c r="CJ35" i="6"/>
  <c r="BP34" i="6"/>
  <c r="BK34" i="6"/>
  <c r="BQ34" i="6"/>
  <c r="BV34" i="6"/>
  <c r="AA2496" i="5"/>
  <c r="Y2496" i="5"/>
  <c r="Z2496" i="5"/>
  <c r="DH40" i="6"/>
  <c r="DM40" i="6"/>
  <c r="DS40" i="6"/>
  <c r="DN40" i="6"/>
  <c r="BH28" i="6"/>
  <c r="AW28" i="6"/>
  <c r="BB28" i="6"/>
  <c r="BC28" i="6"/>
  <c r="CD36" i="6"/>
  <c r="BY36" i="6"/>
  <c r="CE36" i="6"/>
  <c r="CJ36" i="6"/>
  <c r="BP31" i="6"/>
  <c r="BK31" i="6"/>
  <c r="BQ31" i="6"/>
  <c r="BV31" i="6"/>
  <c r="BP33" i="6"/>
  <c r="BK33" i="6"/>
  <c r="BQ33" i="6"/>
  <c r="BV33" i="6"/>
  <c r="BP30" i="6"/>
  <c r="BK30" i="6"/>
  <c r="BQ30" i="6"/>
  <c r="BV30" i="6"/>
  <c r="AA3984" i="5"/>
  <c r="Z3984" i="5"/>
  <c r="Y3984" i="5"/>
  <c r="DE39" i="6"/>
  <c r="CT39" i="6"/>
  <c r="CY39" i="6"/>
  <c r="CZ39" i="6"/>
  <c r="AA20" i="5"/>
  <c r="Y20" i="5"/>
  <c r="Z20" i="5"/>
  <c r="AA2497" i="5"/>
  <c r="Y2497" i="5"/>
  <c r="Z2497" i="5"/>
  <c r="AA4479" i="5"/>
  <c r="Y4479" i="5"/>
  <c r="Z4479" i="5"/>
  <c r="BP32" i="6"/>
  <c r="BQ32" i="6"/>
  <c r="BK32" i="6"/>
  <c r="BV32" i="6"/>
  <c r="AA516" i="5"/>
  <c r="Z516" i="5"/>
  <c r="Y516" i="5"/>
  <c r="AA2000" i="5"/>
  <c r="Y2000" i="5"/>
  <c r="Z2000" i="5"/>
  <c r="AA2495" i="5"/>
  <c r="Z2495" i="5"/>
  <c r="Y2495" i="5"/>
  <c r="AA4974" i="5"/>
  <c r="Y4974" i="5"/>
  <c r="Z4974" i="5"/>
  <c r="AO27" i="6"/>
  <c r="AN27" i="6"/>
  <c r="AT27" i="6"/>
  <c r="DO42" i="6"/>
  <c r="DY42" i="6"/>
  <c r="CS38" i="6"/>
  <c r="CM38" i="6"/>
  <c r="CX38" i="6"/>
  <c r="CR38" i="6"/>
  <c r="AA1505" i="5"/>
  <c r="Y1505" i="5"/>
  <c r="Z1505" i="5"/>
  <c r="AA2498" i="5"/>
  <c r="Y2498" i="5"/>
  <c r="Z2498" i="5"/>
  <c r="BI29" i="6"/>
  <c r="BD29" i="6"/>
  <c r="BO29" i="6"/>
  <c r="BJ29" i="6"/>
  <c r="AA3488" i="5"/>
  <c r="Y3488" i="5"/>
  <c r="Z3488" i="5"/>
  <c r="AA3489" i="5"/>
  <c r="Y3489" i="5"/>
  <c r="Z3489" i="5"/>
  <c r="AA2499" i="5"/>
  <c r="Y2499" i="5"/>
  <c r="Z2499" i="5"/>
  <c r="CL37" i="6"/>
  <c r="CF37" i="6"/>
  <c r="CQ37" i="6"/>
  <c r="CK37" i="6"/>
  <c r="DH41" i="6"/>
  <c r="DN41" i="6"/>
  <c r="DM41" i="6"/>
  <c r="DS41" i="6"/>
  <c r="EF44" i="6"/>
  <c r="X43" i="6"/>
  <c r="P43" i="6"/>
  <c r="H43" i="6"/>
  <c r="V43" i="6"/>
  <c r="L43" i="6"/>
  <c r="T43" i="6"/>
  <c r="N43" i="6"/>
  <c r="D43" i="6"/>
  <c r="Z43" i="6"/>
  <c r="R43" i="6"/>
  <c r="J43" i="6"/>
  <c r="F43" i="6"/>
  <c r="AI43" i="6"/>
  <c r="AB43" i="6"/>
  <c r="DT43" i="6" s="1"/>
  <c r="AK43" i="6"/>
  <c r="AM43" i="6"/>
  <c r="CD37" i="6" l="1"/>
  <c r="BY37" i="6"/>
  <c r="CJ37" i="6"/>
  <c r="CE37" i="6"/>
  <c r="BI30" i="6"/>
  <c r="BD30" i="6"/>
  <c r="BJ30" i="6"/>
  <c r="BO30" i="6"/>
  <c r="AV28" i="6"/>
  <c r="AP28" i="6"/>
  <c r="AU28" i="6"/>
  <c r="BA28" i="6"/>
  <c r="BH29" i="6"/>
  <c r="AW29" i="6"/>
  <c r="BB29" i="6"/>
  <c r="BC29" i="6"/>
  <c r="CS39" i="6"/>
  <c r="CM39" i="6"/>
  <c r="CX39" i="6"/>
  <c r="CR39" i="6"/>
  <c r="Y1011" i="5"/>
  <c r="AA1011" i="5"/>
  <c r="Z1011" i="5"/>
  <c r="DA40" i="6"/>
  <c r="DG40" i="6"/>
  <c r="DF40" i="6"/>
  <c r="DL40" i="6"/>
  <c r="AA2005" i="5"/>
  <c r="Y2005" i="5"/>
  <c r="Z2005" i="5"/>
  <c r="AA2994" i="5"/>
  <c r="Y2994" i="5"/>
  <c r="Z2994" i="5"/>
  <c r="AA1506" i="5"/>
  <c r="Y1506" i="5"/>
  <c r="Z1506" i="5"/>
  <c r="BO33" i="6"/>
  <c r="BD33" i="6"/>
  <c r="BI33" i="6"/>
  <c r="BJ33" i="6"/>
  <c r="BX36" i="6"/>
  <c r="BR36" i="6"/>
  <c r="BW36" i="6"/>
  <c r="CC36" i="6"/>
  <c r="DG41" i="6"/>
  <c r="DL41" i="6"/>
  <c r="DF41" i="6"/>
  <c r="DA41" i="6"/>
  <c r="AA5470" i="5"/>
  <c r="Z5470" i="5"/>
  <c r="Y5470" i="5"/>
  <c r="AA3985" i="5"/>
  <c r="Y3985" i="5"/>
  <c r="Z3985" i="5"/>
  <c r="DH42" i="6"/>
  <c r="DS42" i="6"/>
  <c r="DM42" i="6"/>
  <c r="DN42" i="6"/>
  <c r="AA2003" i="5"/>
  <c r="Y2003" i="5"/>
  <c r="Z2003" i="5"/>
  <c r="AA4480" i="5"/>
  <c r="Y4480" i="5"/>
  <c r="Z4480" i="5"/>
  <c r="AA2001" i="5"/>
  <c r="Y2001" i="5"/>
  <c r="Z2001" i="5"/>
  <c r="AA2004" i="5"/>
  <c r="Y2004" i="5"/>
  <c r="Z2004" i="5"/>
  <c r="AA2002" i="5"/>
  <c r="Z2002" i="5"/>
  <c r="Y2002" i="5"/>
  <c r="AA2995" i="5"/>
  <c r="Y2995" i="5"/>
  <c r="Z2995" i="5"/>
  <c r="BI31" i="6"/>
  <c r="BD31" i="6"/>
  <c r="BO31" i="6"/>
  <c r="BJ31" i="6"/>
  <c r="DO43" i="6"/>
  <c r="DY43" i="6"/>
  <c r="AA3490" i="5"/>
  <c r="Z3490" i="5"/>
  <c r="Y3490" i="5"/>
  <c r="CL38" i="6"/>
  <c r="CF38" i="6"/>
  <c r="CQ38" i="6"/>
  <c r="CK38" i="6"/>
  <c r="AA22" i="5"/>
  <c r="Y22" i="5"/>
  <c r="Z22" i="5"/>
  <c r="BI32" i="6"/>
  <c r="BD32" i="6"/>
  <c r="BJ32" i="6"/>
  <c r="BO32" i="6"/>
  <c r="AA5469" i="5"/>
  <c r="Y5469" i="5"/>
  <c r="Z5469" i="5"/>
  <c r="BO34" i="6"/>
  <c r="BI34" i="6"/>
  <c r="BD34" i="6"/>
  <c r="BJ34" i="6"/>
  <c r="BX35" i="6"/>
  <c r="BR35" i="6"/>
  <c r="CC35" i="6"/>
  <c r="BW35" i="6"/>
  <c r="EF45" i="6"/>
  <c r="EG45" i="6" s="1"/>
  <c r="EH45" i="6" s="1"/>
  <c r="AA45" i="6" s="1"/>
  <c r="EG44" i="6"/>
  <c r="EH44" i="6" s="1"/>
  <c r="AA44" i="6" s="1"/>
  <c r="AA1509" i="5" l="1"/>
  <c r="Y1509" i="5"/>
  <c r="Z1509" i="5"/>
  <c r="AA5471" i="5"/>
  <c r="Y5471" i="5"/>
  <c r="Z5471" i="5"/>
  <c r="DE41" i="6"/>
  <c r="CT41" i="6"/>
  <c r="CY41" i="6"/>
  <c r="CZ41" i="6"/>
  <c r="AA2501" i="5"/>
  <c r="Y2501" i="5"/>
  <c r="Z2501" i="5"/>
  <c r="DE40" i="6"/>
  <c r="CT40" i="6"/>
  <c r="CZ40" i="6"/>
  <c r="CY40" i="6"/>
  <c r="AA517" i="5"/>
  <c r="Y517" i="5"/>
  <c r="Z517" i="5"/>
  <c r="AA1507" i="5"/>
  <c r="Y1507" i="5"/>
  <c r="Z1507" i="5"/>
  <c r="CD38" i="6"/>
  <c r="BY38" i="6"/>
  <c r="CE38" i="6"/>
  <c r="CJ38" i="6"/>
  <c r="AA1508" i="5"/>
  <c r="Z1508" i="5"/>
  <c r="Y1508" i="5"/>
  <c r="DA42" i="6"/>
  <c r="DL42" i="6"/>
  <c r="DF42" i="6"/>
  <c r="DG42" i="6"/>
  <c r="AA4975" i="5"/>
  <c r="Y4975" i="5"/>
  <c r="Z4975" i="5"/>
  <c r="AA3986" i="5"/>
  <c r="Y3986" i="5"/>
  <c r="Z3986" i="5"/>
  <c r="AA2996" i="5"/>
  <c r="Z2996" i="5"/>
  <c r="Y2996" i="5"/>
  <c r="AA1511" i="5"/>
  <c r="Y1511" i="5"/>
  <c r="Z1511" i="5"/>
  <c r="AA2500" i="5"/>
  <c r="Z2500" i="5"/>
  <c r="Y2500" i="5"/>
  <c r="BH32" i="6"/>
  <c r="AW32" i="6"/>
  <c r="BB32" i="6"/>
  <c r="BC32" i="6"/>
  <c r="BP36" i="6"/>
  <c r="BQ36" i="6"/>
  <c r="BK36" i="6"/>
  <c r="BV36" i="6"/>
  <c r="CL39" i="6"/>
  <c r="CF39" i="6"/>
  <c r="CQ39" i="6"/>
  <c r="CK39" i="6"/>
  <c r="AV29" i="6"/>
  <c r="AP29" i="6"/>
  <c r="BA29" i="6"/>
  <c r="AU29" i="6"/>
  <c r="AO28" i="6"/>
  <c r="AN28" i="6"/>
  <c r="AT28" i="6"/>
  <c r="BH30" i="6"/>
  <c r="AW30" i="6"/>
  <c r="BB30" i="6"/>
  <c r="BC30" i="6"/>
  <c r="BX37" i="6"/>
  <c r="BR37" i="6"/>
  <c r="BW37" i="6"/>
  <c r="CC37" i="6"/>
  <c r="AA3491" i="5"/>
  <c r="Y3491" i="5"/>
  <c r="Z3491" i="5"/>
  <c r="BH34" i="6"/>
  <c r="AW34" i="6"/>
  <c r="BB34" i="6"/>
  <c r="BC34" i="6"/>
  <c r="BH31" i="6"/>
  <c r="AW31" i="6"/>
  <c r="BB31" i="6"/>
  <c r="BC31" i="6"/>
  <c r="AA4976" i="5"/>
  <c r="Y4976" i="5"/>
  <c r="Z4976" i="5"/>
  <c r="BH33" i="6"/>
  <c r="AW33" i="6"/>
  <c r="BB33" i="6"/>
  <c r="BC33" i="6"/>
  <c r="BP35" i="6"/>
  <c r="BK35" i="6"/>
  <c r="BQ35" i="6"/>
  <c r="BV35" i="6"/>
  <c r="DH43" i="6"/>
  <c r="DN43" i="6"/>
  <c r="DM43" i="6"/>
  <c r="DS43" i="6"/>
  <c r="AA1510" i="5"/>
  <c r="Y1510" i="5"/>
  <c r="Z1510" i="5"/>
  <c r="AA1012" i="5"/>
  <c r="Z1012" i="5"/>
  <c r="Y1012" i="5"/>
  <c r="F45" i="6"/>
  <c r="R45" i="6"/>
  <c r="H45" i="6"/>
  <c r="P45" i="6"/>
  <c r="J45" i="6"/>
  <c r="X45" i="6"/>
  <c r="N45" i="6"/>
  <c r="T45" i="6"/>
  <c r="Z45" i="6"/>
  <c r="V45" i="6"/>
  <c r="L45" i="6"/>
  <c r="AI45" i="6"/>
  <c r="AB45" i="6"/>
  <c r="DT45" i="6" s="1"/>
  <c r="D45" i="6"/>
  <c r="AK45" i="6"/>
  <c r="AM45" i="6"/>
  <c r="EF46" i="6"/>
  <c r="EG46" i="6" s="1"/>
  <c r="EH46" i="6" s="1"/>
  <c r="AA46" i="6" s="1"/>
  <c r="T44" i="6"/>
  <c r="L44" i="6"/>
  <c r="F44" i="6"/>
  <c r="R44" i="6"/>
  <c r="H44" i="6"/>
  <c r="V44" i="6"/>
  <c r="P44" i="6"/>
  <c r="J44" i="6"/>
  <c r="X44" i="6"/>
  <c r="N44" i="6"/>
  <c r="D44" i="6"/>
  <c r="Z44" i="6"/>
  <c r="AK44" i="6"/>
  <c r="AB44" i="6"/>
  <c r="DT44" i="6" s="1"/>
  <c r="AM44" i="6"/>
  <c r="AI44" i="6"/>
  <c r="DX18" i="6"/>
  <c r="AA5941" i="5" s="1"/>
  <c r="DX30" i="6"/>
  <c r="AA5953" i="5" s="1"/>
  <c r="DX22" i="6"/>
  <c r="AA5945" i="5" s="1"/>
  <c r="DX26" i="6"/>
  <c r="AA5949" i="5" s="1"/>
  <c r="DX33" i="6"/>
  <c r="AA5956" i="5" s="1"/>
  <c r="DX21" i="6"/>
  <c r="AA5944" i="5" s="1"/>
  <c r="DX29" i="6"/>
  <c r="AA5952" i="5" s="1"/>
  <c r="DX16" i="6"/>
  <c r="AA5939" i="5" s="1"/>
  <c r="DX40" i="6"/>
  <c r="AA5963" i="5" s="1"/>
  <c r="DX38" i="6"/>
  <c r="AA5961" i="5" s="1"/>
  <c r="DX32" i="6"/>
  <c r="AA5955" i="5" s="1"/>
  <c r="BO36" i="6" l="1"/>
  <c r="BI36" i="6"/>
  <c r="BD36" i="6"/>
  <c r="BJ36" i="6"/>
  <c r="AA4977" i="5"/>
  <c r="Y4977" i="5"/>
  <c r="Z4977" i="5"/>
  <c r="DF43" i="6"/>
  <c r="DG43" i="6"/>
  <c r="DL43" i="6"/>
  <c r="DA43" i="6"/>
  <c r="AA1016" i="5"/>
  <c r="Z1016" i="5"/>
  <c r="Y1016" i="5"/>
  <c r="AO29" i="6"/>
  <c r="AN29" i="6"/>
  <c r="AT29" i="6"/>
  <c r="CD39" i="6"/>
  <c r="BY39" i="6"/>
  <c r="CE39" i="6"/>
  <c r="CJ39" i="6"/>
  <c r="BA32" i="6"/>
  <c r="AP32" i="6"/>
  <c r="AV32" i="6"/>
  <c r="AU32" i="6"/>
  <c r="DE42" i="6"/>
  <c r="CZ42" i="6"/>
  <c r="CY42" i="6"/>
  <c r="CT42" i="6"/>
  <c r="AA2997" i="5"/>
  <c r="Y2997" i="5"/>
  <c r="Z2997" i="5"/>
  <c r="CS40" i="6"/>
  <c r="CX40" i="6"/>
  <c r="CM40" i="6"/>
  <c r="CR40" i="6"/>
  <c r="AA4482" i="5"/>
  <c r="Y4482" i="5"/>
  <c r="Z4482" i="5"/>
  <c r="DO44" i="6"/>
  <c r="DY44" i="6"/>
  <c r="BO35" i="6"/>
  <c r="BD35" i="6"/>
  <c r="BI35" i="6"/>
  <c r="BJ35" i="6"/>
  <c r="AA1017" i="5"/>
  <c r="Y1017" i="5"/>
  <c r="Z1017" i="5"/>
  <c r="AA3492" i="5"/>
  <c r="Y3492" i="5"/>
  <c r="Z3492" i="5"/>
  <c r="CS41" i="6"/>
  <c r="CX41" i="6"/>
  <c r="CM41" i="6"/>
  <c r="CR41" i="6"/>
  <c r="AA5472" i="5"/>
  <c r="Y5472" i="5"/>
  <c r="Z5472" i="5"/>
  <c r="AA2006" i="5"/>
  <c r="Y2006" i="5"/>
  <c r="Z2006" i="5"/>
  <c r="BP37" i="6"/>
  <c r="BK37" i="6"/>
  <c r="BQ37" i="6"/>
  <c r="BV37" i="6"/>
  <c r="AV30" i="6"/>
  <c r="AP30" i="6"/>
  <c r="BA30" i="6"/>
  <c r="AU30" i="6"/>
  <c r="AA1015" i="5"/>
  <c r="Z1015" i="5"/>
  <c r="Y1015" i="5"/>
  <c r="Y4481" i="5"/>
  <c r="AA4481" i="5"/>
  <c r="Z4481" i="5"/>
  <c r="BA33" i="6"/>
  <c r="AP33" i="6"/>
  <c r="AU33" i="6"/>
  <c r="AV33" i="6"/>
  <c r="AA1014" i="5"/>
  <c r="Y1014" i="5"/>
  <c r="Z1014" i="5"/>
  <c r="AA2502" i="5"/>
  <c r="Z2502" i="5"/>
  <c r="Y2502" i="5"/>
  <c r="AA23" i="5"/>
  <c r="Y23" i="5"/>
  <c r="Z23" i="5"/>
  <c r="AA518" i="5"/>
  <c r="Y518" i="5"/>
  <c r="Z518" i="5"/>
  <c r="DO45" i="6"/>
  <c r="DY45" i="6"/>
  <c r="BA31" i="6"/>
  <c r="AP31" i="6"/>
  <c r="AU31" i="6"/>
  <c r="AV31" i="6"/>
  <c r="BA34" i="6"/>
  <c r="AP34" i="6"/>
  <c r="AV34" i="6"/>
  <c r="AU34" i="6"/>
  <c r="AA1013" i="5"/>
  <c r="Y1013" i="5"/>
  <c r="Z1013" i="5"/>
  <c r="AA2007" i="5"/>
  <c r="Z2007" i="5"/>
  <c r="Y2007" i="5"/>
  <c r="BX38" i="6"/>
  <c r="BR38" i="6"/>
  <c r="BW38" i="6"/>
  <c r="CC38" i="6"/>
  <c r="Y5953" i="5"/>
  <c r="Z5953" i="5"/>
  <c r="Y5963" i="5"/>
  <c r="Z5963" i="5"/>
  <c r="Y5956" i="5"/>
  <c r="Z5956" i="5"/>
  <c r="Y5941" i="5"/>
  <c r="Z5941" i="5"/>
  <c r="Y5944" i="5"/>
  <c r="Z5944" i="5"/>
  <c r="Y5939" i="5"/>
  <c r="Z5939" i="5"/>
  <c r="Y5949" i="5"/>
  <c r="Z5949" i="5"/>
  <c r="Y5961" i="5"/>
  <c r="Z5961" i="5"/>
  <c r="Y5955" i="5"/>
  <c r="Z5955" i="5"/>
  <c r="Y5952" i="5"/>
  <c r="Z5952" i="5"/>
  <c r="Y5945" i="5"/>
  <c r="Z5945" i="5"/>
  <c r="EF47" i="6"/>
  <c r="X46" i="6"/>
  <c r="N46" i="6"/>
  <c r="D46" i="6"/>
  <c r="V46" i="6"/>
  <c r="P46" i="6"/>
  <c r="F46" i="6"/>
  <c r="H46" i="6"/>
  <c r="T46" i="6"/>
  <c r="L46" i="6"/>
  <c r="R46" i="6"/>
  <c r="J46" i="6"/>
  <c r="Z46" i="6"/>
  <c r="AM46" i="6"/>
  <c r="AB46" i="6"/>
  <c r="DT46" i="6" s="1"/>
  <c r="AK46" i="6"/>
  <c r="AI46" i="6"/>
  <c r="DX45" i="6"/>
  <c r="AA5968" i="5" s="1"/>
  <c r="DX24" i="6"/>
  <c r="AA5947" i="5" s="1"/>
  <c r="DX44" i="6"/>
  <c r="AA5967" i="5" s="1"/>
  <c r="DX28" i="6"/>
  <c r="AA5951" i="5" s="1"/>
  <c r="DX31" i="6"/>
  <c r="AA5954" i="5" s="1"/>
  <c r="DX39" i="6"/>
  <c r="AA5962" i="5" s="1"/>
  <c r="DX15" i="6"/>
  <c r="AA5938" i="5" s="1"/>
  <c r="DX19" i="6"/>
  <c r="AA5942" i="5" s="1"/>
  <c r="DX35" i="6"/>
  <c r="AA5958" i="5" s="1"/>
  <c r="DX42" i="6"/>
  <c r="AA5965" i="5" s="1"/>
  <c r="DX34" i="6"/>
  <c r="AA5957" i="5" s="1"/>
  <c r="DX36" i="6"/>
  <c r="AA5959" i="5" s="1"/>
  <c r="DX41" i="6"/>
  <c r="AA5964" i="5" s="1"/>
  <c r="DX25" i="6"/>
  <c r="AA5948" i="5" s="1"/>
  <c r="DX37" i="6"/>
  <c r="AA5960" i="5" s="1"/>
  <c r="DX43" i="6"/>
  <c r="AA5966" i="5" s="1"/>
  <c r="DX23" i="6"/>
  <c r="AA5946" i="5" s="1"/>
  <c r="DX14" i="6"/>
  <c r="AA5937" i="5" s="1"/>
  <c r="DX27" i="6"/>
  <c r="AA5950" i="5" s="1"/>
  <c r="DX17" i="6"/>
  <c r="AA5940" i="5" s="1"/>
  <c r="DX20" i="6"/>
  <c r="AA5943" i="5" s="1"/>
  <c r="DS44" i="6" l="1"/>
  <c r="DH44" i="6"/>
  <c r="DM44" i="6"/>
  <c r="DN44" i="6"/>
  <c r="AA2503" i="5"/>
  <c r="Y2503" i="5"/>
  <c r="Z2503" i="5"/>
  <c r="AO31" i="6"/>
  <c r="AN31" i="6"/>
  <c r="AT31" i="6"/>
  <c r="BO37" i="6"/>
  <c r="BD37" i="6"/>
  <c r="BI37" i="6"/>
  <c r="BJ37" i="6"/>
  <c r="BH35" i="6"/>
  <c r="AW35" i="6"/>
  <c r="BB35" i="6"/>
  <c r="BC35" i="6"/>
  <c r="CL40" i="6"/>
  <c r="CF40" i="6"/>
  <c r="CK40" i="6"/>
  <c r="CQ40" i="6"/>
  <c r="AO32" i="6"/>
  <c r="AN32" i="6"/>
  <c r="AT32" i="6"/>
  <c r="BX39" i="6"/>
  <c r="BR39" i="6"/>
  <c r="BW39" i="6"/>
  <c r="CC39" i="6"/>
  <c r="DE43" i="6"/>
  <c r="CT43" i="6"/>
  <c r="CY43" i="6"/>
  <c r="CZ43" i="6"/>
  <c r="BH36" i="6"/>
  <c r="AW36" i="6"/>
  <c r="BB36" i="6"/>
  <c r="BC36" i="6"/>
  <c r="DH45" i="6"/>
  <c r="DN45" i="6"/>
  <c r="DS45" i="6"/>
  <c r="DM45" i="6"/>
  <c r="AA519" i="5"/>
  <c r="Y519" i="5"/>
  <c r="Z519" i="5"/>
  <c r="AO30" i="6"/>
  <c r="AT30" i="6"/>
  <c r="AN30" i="6"/>
  <c r="AA523" i="5"/>
  <c r="Y523" i="5"/>
  <c r="Z523" i="5"/>
  <c r="AA520" i="5"/>
  <c r="Y520" i="5"/>
  <c r="Z520" i="5"/>
  <c r="CL41" i="6"/>
  <c r="CF41" i="6"/>
  <c r="CQ41" i="6"/>
  <c r="CK41" i="6"/>
  <c r="AA1512" i="5"/>
  <c r="Y1512" i="5"/>
  <c r="Z1512" i="5"/>
  <c r="Y3987" i="5"/>
  <c r="Z3987" i="5"/>
  <c r="AA3987" i="5"/>
  <c r="AA4483" i="5"/>
  <c r="Z4483" i="5"/>
  <c r="Y4483" i="5"/>
  <c r="AA521" i="5"/>
  <c r="Y521" i="5"/>
  <c r="Z521" i="5"/>
  <c r="AA4978" i="5"/>
  <c r="Y4978" i="5"/>
  <c r="Z4978" i="5"/>
  <c r="DY46" i="6"/>
  <c r="DO46" i="6"/>
  <c r="AA522" i="5"/>
  <c r="Y522" i="5"/>
  <c r="Z522" i="5"/>
  <c r="AO34" i="6"/>
  <c r="AT34" i="6"/>
  <c r="AN34" i="6"/>
  <c r="BP38" i="6"/>
  <c r="BK38" i="6"/>
  <c r="BQ38" i="6"/>
  <c r="BV38" i="6"/>
  <c r="AO33" i="6"/>
  <c r="AN33" i="6"/>
  <c r="AT33" i="6"/>
  <c r="AA2008" i="5"/>
  <c r="Y2008" i="5"/>
  <c r="Z2008" i="5"/>
  <c r="AA3988" i="5"/>
  <c r="Z3988" i="5"/>
  <c r="Y3988" i="5"/>
  <c r="CS42" i="6"/>
  <c r="CM42" i="6"/>
  <c r="CX42" i="6"/>
  <c r="CR42" i="6"/>
  <c r="AA2998" i="5"/>
  <c r="Y2998" i="5"/>
  <c r="Z2998" i="5"/>
  <c r="AA24" i="5"/>
  <c r="Z24" i="5"/>
  <c r="Y24" i="5"/>
  <c r="AA1513" i="5"/>
  <c r="Y1513" i="5"/>
  <c r="Z1513" i="5"/>
  <c r="Y5943" i="5"/>
  <c r="Z5943" i="5"/>
  <c r="Y5964" i="5"/>
  <c r="Z5964" i="5"/>
  <c r="Y5954" i="5"/>
  <c r="Z5954" i="5"/>
  <c r="Y5940" i="5"/>
  <c r="Z5940" i="5"/>
  <c r="Y5959" i="5"/>
  <c r="Z5959" i="5"/>
  <c r="Y5951" i="5"/>
  <c r="Z5951" i="5"/>
  <c r="Y5950" i="5"/>
  <c r="Z5950" i="5"/>
  <c r="Y5960" i="5"/>
  <c r="Z5960" i="5"/>
  <c r="Y5957" i="5"/>
  <c r="Z5957" i="5"/>
  <c r="Y5938" i="5"/>
  <c r="Z5938" i="5"/>
  <c r="Y5967" i="5"/>
  <c r="Z5967" i="5"/>
  <c r="Y5946" i="5"/>
  <c r="Z5946" i="5"/>
  <c r="Y5958" i="5"/>
  <c r="Z5958" i="5"/>
  <c r="Y5968" i="5"/>
  <c r="Z5968" i="5"/>
  <c r="Y5966" i="5"/>
  <c r="Z5966" i="5"/>
  <c r="Y5942" i="5"/>
  <c r="Z5942" i="5"/>
  <c r="Y5937" i="5"/>
  <c r="Z5937" i="5"/>
  <c r="Y5948" i="5"/>
  <c r="Z5948" i="5"/>
  <c r="Y5965" i="5"/>
  <c r="Z5965" i="5"/>
  <c r="Y5962" i="5"/>
  <c r="Z5962" i="5"/>
  <c r="Y5947" i="5"/>
  <c r="Z5947" i="5"/>
  <c r="DX46" i="6"/>
  <c r="AA5969" i="5" s="1"/>
  <c r="EF48" i="6"/>
  <c r="EG47" i="6"/>
  <c r="EH47" i="6" s="1"/>
  <c r="AA47" i="6" s="1"/>
  <c r="BA35" i="6" l="1"/>
  <c r="AP35" i="6"/>
  <c r="AV35" i="6"/>
  <c r="AU35" i="6"/>
  <c r="CL42" i="6"/>
  <c r="CF42" i="6"/>
  <c r="CQ42" i="6"/>
  <c r="CK42" i="6"/>
  <c r="AA28" i="5"/>
  <c r="Y28" i="5"/>
  <c r="Z28" i="5"/>
  <c r="AA29" i="5"/>
  <c r="Z29" i="5"/>
  <c r="Y29" i="5"/>
  <c r="CD41" i="6"/>
  <c r="BY41" i="6"/>
  <c r="CJ41" i="6"/>
  <c r="CE41" i="6"/>
  <c r="BA36" i="6"/>
  <c r="AP36" i="6"/>
  <c r="AV36" i="6"/>
  <c r="AU36" i="6"/>
  <c r="CS43" i="6"/>
  <c r="CM43" i="6"/>
  <c r="CX43" i="6"/>
  <c r="CR43" i="6"/>
  <c r="BP39" i="6"/>
  <c r="BK39" i="6"/>
  <c r="BQ39" i="6"/>
  <c r="BV39" i="6"/>
  <c r="AA1018" i="5"/>
  <c r="Y1018" i="5"/>
  <c r="Z1018" i="5"/>
  <c r="AA1514" i="5"/>
  <c r="Z1514" i="5"/>
  <c r="Y1514" i="5"/>
  <c r="AA3989" i="5"/>
  <c r="Y3989" i="5"/>
  <c r="Z3989" i="5"/>
  <c r="AA2009" i="5"/>
  <c r="Y2009" i="5"/>
  <c r="Z2009" i="5"/>
  <c r="AA5474" i="5"/>
  <c r="Y5474" i="5"/>
  <c r="Z5474" i="5"/>
  <c r="CD40" i="6"/>
  <c r="BY40" i="6"/>
  <c r="CJ40" i="6"/>
  <c r="CE40" i="6"/>
  <c r="DS46" i="6"/>
  <c r="DH46" i="6"/>
  <c r="DM46" i="6"/>
  <c r="DN46" i="6"/>
  <c r="AA25" i="5"/>
  <c r="Z25" i="5"/>
  <c r="Y25" i="5"/>
  <c r="DL45" i="6"/>
  <c r="DF45" i="6"/>
  <c r="DG45" i="6"/>
  <c r="DA45" i="6"/>
  <c r="AA1019" i="5"/>
  <c r="Y1019" i="5"/>
  <c r="Z1019" i="5"/>
  <c r="AA4484" i="5"/>
  <c r="Y4484" i="5"/>
  <c r="Z4484" i="5"/>
  <c r="AA3493" i="5"/>
  <c r="Y3493" i="5"/>
  <c r="Z3493" i="5"/>
  <c r="AA26" i="5"/>
  <c r="Z26" i="5"/>
  <c r="Y26" i="5"/>
  <c r="DA44" i="6"/>
  <c r="DF44" i="6"/>
  <c r="DG44" i="6"/>
  <c r="DL44" i="6"/>
  <c r="AA3494" i="5"/>
  <c r="Y3494" i="5"/>
  <c r="Z3494" i="5"/>
  <c r="BH37" i="6"/>
  <c r="AW37" i="6"/>
  <c r="BB37" i="6"/>
  <c r="BC37" i="6"/>
  <c r="BO38" i="6"/>
  <c r="BI38" i="6"/>
  <c r="BD38" i="6"/>
  <c r="BJ38" i="6"/>
  <c r="AA2504" i="5"/>
  <c r="Y2504" i="5"/>
  <c r="Z2504" i="5"/>
  <c r="AA27" i="5"/>
  <c r="Z27" i="5"/>
  <c r="Y27" i="5"/>
  <c r="Y5473" i="5"/>
  <c r="Z5473" i="5"/>
  <c r="AA5473" i="5"/>
  <c r="Y5969" i="5"/>
  <c r="Z5969" i="5"/>
  <c r="D47" i="6"/>
  <c r="R47" i="6"/>
  <c r="J47" i="6"/>
  <c r="F47" i="6"/>
  <c r="X47" i="6"/>
  <c r="P47" i="6"/>
  <c r="H47" i="6"/>
  <c r="Z47" i="6"/>
  <c r="V47" i="6"/>
  <c r="N47" i="6"/>
  <c r="T47" i="6"/>
  <c r="L47" i="6"/>
  <c r="AI47" i="6"/>
  <c r="AB47" i="6"/>
  <c r="DT47" i="6" s="1"/>
  <c r="AK47" i="6"/>
  <c r="AM47" i="6"/>
  <c r="EF49" i="6"/>
  <c r="EG49" i="6" s="1"/>
  <c r="EH49" i="6" s="1"/>
  <c r="AA49" i="6" s="1"/>
  <c r="EG48" i="6"/>
  <c r="EH48" i="6" s="1"/>
  <c r="AA48" i="6" s="1"/>
  <c r="AA1020" i="5" l="1"/>
  <c r="Z1020" i="5"/>
  <c r="Y1020" i="5"/>
  <c r="BO39" i="6"/>
  <c r="BD39" i="6"/>
  <c r="BI39" i="6"/>
  <c r="BJ39" i="6"/>
  <c r="BX41" i="6"/>
  <c r="BR41" i="6"/>
  <c r="CC41" i="6"/>
  <c r="BW41" i="6"/>
  <c r="DA46" i="6"/>
  <c r="DG46" i="6"/>
  <c r="DL46" i="6"/>
  <c r="DF46" i="6"/>
  <c r="BX40" i="6"/>
  <c r="BR40" i="6"/>
  <c r="CC40" i="6"/>
  <c r="BW40" i="6"/>
  <c r="Y525" i="5"/>
  <c r="AA525" i="5"/>
  <c r="Z525" i="5"/>
  <c r="AA3495" i="5"/>
  <c r="Y3495" i="5"/>
  <c r="Z3495" i="5"/>
  <c r="AA1515" i="5"/>
  <c r="Y1515" i="5"/>
  <c r="Z1515" i="5"/>
  <c r="AA4979" i="5"/>
  <c r="Y4979" i="5"/>
  <c r="Z4979" i="5"/>
  <c r="CL43" i="6"/>
  <c r="CF43" i="6"/>
  <c r="CQ43" i="6"/>
  <c r="CK43" i="6"/>
  <c r="BH38" i="6"/>
  <c r="AW38" i="6"/>
  <c r="BB38" i="6"/>
  <c r="BC38" i="6"/>
  <c r="AA5475" i="5"/>
  <c r="Y5475" i="5"/>
  <c r="Z5475" i="5"/>
  <c r="AA2010" i="5"/>
  <c r="Y2010" i="5"/>
  <c r="Z2010" i="5"/>
  <c r="CD42" i="6"/>
  <c r="BY42" i="6"/>
  <c r="CE42" i="6"/>
  <c r="CJ42" i="6"/>
  <c r="AO35" i="6"/>
  <c r="AN35" i="6"/>
  <c r="AT35" i="6"/>
  <c r="DO47" i="6"/>
  <c r="DY47" i="6"/>
  <c r="DE45" i="6"/>
  <c r="CT45" i="6"/>
  <c r="CY45" i="6"/>
  <c r="CZ45" i="6"/>
  <c r="AA2999" i="5"/>
  <c r="Y2999" i="5"/>
  <c r="Z2999" i="5"/>
  <c r="AO36" i="6"/>
  <c r="AN36" i="6"/>
  <c r="AT36" i="6"/>
  <c r="BA37" i="6"/>
  <c r="AP37" i="6"/>
  <c r="AU37" i="6"/>
  <c r="AV37" i="6"/>
  <c r="DE44" i="6"/>
  <c r="CT44" i="6"/>
  <c r="CZ44" i="6"/>
  <c r="CY44" i="6"/>
  <c r="AA4980" i="5"/>
  <c r="Y4980" i="5"/>
  <c r="Z4980" i="5"/>
  <c r="AA3990" i="5"/>
  <c r="Y3990" i="5"/>
  <c r="Z3990" i="5"/>
  <c r="AA3000" i="5"/>
  <c r="Y3000" i="5"/>
  <c r="Z3000" i="5"/>
  <c r="AA524" i="5"/>
  <c r="Y524" i="5"/>
  <c r="Z524" i="5"/>
  <c r="J49" i="6"/>
  <c r="T49" i="6"/>
  <c r="N49" i="6"/>
  <c r="R49" i="6"/>
  <c r="L49" i="6"/>
  <c r="Z49" i="6"/>
  <c r="P49" i="6"/>
  <c r="H49" i="6"/>
  <c r="D49" i="6"/>
  <c r="X49" i="6"/>
  <c r="V49" i="6"/>
  <c r="AM49" i="6"/>
  <c r="AI49" i="6"/>
  <c r="AB49" i="6"/>
  <c r="DT49" i="6" s="1"/>
  <c r="F49" i="6"/>
  <c r="AK49" i="6"/>
  <c r="X48" i="6"/>
  <c r="R48" i="6"/>
  <c r="F48" i="6"/>
  <c r="T48" i="6"/>
  <c r="J48" i="6"/>
  <c r="P48" i="6"/>
  <c r="H48" i="6"/>
  <c r="V48" i="6"/>
  <c r="N48" i="6"/>
  <c r="D48" i="6"/>
  <c r="AK48" i="6"/>
  <c r="AM48" i="6"/>
  <c r="AB48" i="6"/>
  <c r="DT48" i="6" s="1"/>
  <c r="Z48" i="6"/>
  <c r="L48" i="6"/>
  <c r="AI48" i="6"/>
  <c r="EF50" i="6"/>
  <c r="DX47" i="6"/>
  <c r="AA5970" i="5" s="1"/>
  <c r="DO48" i="6" l="1"/>
  <c r="DY48" i="6"/>
  <c r="AA31" i="5"/>
  <c r="Y31" i="5"/>
  <c r="Z31" i="5"/>
  <c r="AA30" i="5"/>
  <c r="Y30" i="5"/>
  <c r="Z30" i="5"/>
  <c r="DE46" i="6"/>
  <c r="CZ46" i="6"/>
  <c r="CY46" i="6"/>
  <c r="CT46" i="6"/>
  <c r="AA1516" i="5"/>
  <c r="Y1516" i="5"/>
  <c r="Z1516" i="5"/>
  <c r="AA4486" i="5"/>
  <c r="Y4486" i="5"/>
  <c r="Z4486" i="5"/>
  <c r="BX42" i="6"/>
  <c r="BR42" i="6"/>
  <c r="CC42" i="6"/>
  <c r="BW42" i="6"/>
  <c r="CS45" i="6"/>
  <c r="CX45" i="6"/>
  <c r="CM45" i="6"/>
  <c r="CR45" i="6"/>
  <c r="AA1021" i="5"/>
  <c r="Y1021" i="5"/>
  <c r="Z1021" i="5"/>
  <c r="DO49" i="6"/>
  <c r="DY49" i="6"/>
  <c r="CS44" i="6"/>
  <c r="CX44" i="6"/>
  <c r="CM44" i="6"/>
  <c r="CR44" i="6"/>
  <c r="AO37" i="6"/>
  <c r="AN37" i="6"/>
  <c r="AT37" i="6"/>
  <c r="AA3496" i="5"/>
  <c r="Z3496" i="5"/>
  <c r="Y3496" i="5"/>
  <c r="AA2505" i="5"/>
  <c r="Y2505" i="5"/>
  <c r="Z2505" i="5"/>
  <c r="AA4981" i="5"/>
  <c r="Y4981" i="5"/>
  <c r="Z4981" i="5"/>
  <c r="AA2506" i="5"/>
  <c r="Y2506" i="5"/>
  <c r="Z2506" i="5"/>
  <c r="Y4485" i="5"/>
  <c r="Z4485" i="5"/>
  <c r="AA4485" i="5"/>
  <c r="AA526" i="5"/>
  <c r="Y526" i="5"/>
  <c r="Z526" i="5"/>
  <c r="DH47" i="6"/>
  <c r="DN47" i="6"/>
  <c r="DM47" i="6"/>
  <c r="DS47" i="6"/>
  <c r="AA3001" i="5"/>
  <c r="Z3001" i="5"/>
  <c r="Y3001" i="5"/>
  <c r="BA38" i="6"/>
  <c r="AP38" i="6"/>
  <c r="AV38" i="6"/>
  <c r="AU38" i="6"/>
  <c r="CD43" i="6"/>
  <c r="BY43" i="6"/>
  <c r="CE43" i="6"/>
  <c r="CJ43" i="6"/>
  <c r="BP40" i="6"/>
  <c r="BQ40" i="6"/>
  <c r="BK40" i="6"/>
  <c r="BV40" i="6"/>
  <c r="BP41" i="6"/>
  <c r="BK41" i="6"/>
  <c r="BQ41" i="6"/>
  <c r="BV41" i="6"/>
  <c r="BH39" i="6"/>
  <c r="AW39" i="6"/>
  <c r="BB39" i="6"/>
  <c r="BC39" i="6"/>
  <c r="Y5970" i="5"/>
  <c r="Z5970" i="5"/>
  <c r="EF51" i="6"/>
  <c r="DX48" i="6"/>
  <c r="AA5971" i="5" s="1"/>
  <c r="DX49" i="6"/>
  <c r="AA5972" i="5" s="1"/>
  <c r="EG50" i="6"/>
  <c r="EH50" i="6" s="1"/>
  <c r="AA50" i="6" s="1"/>
  <c r="DX9" i="6"/>
  <c r="AA5932" i="5" s="1"/>
  <c r="DX10" i="6"/>
  <c r="AA5933" i="5" s="1"/>
  <c r="AA527" i="5" l="1"/>
  <c r="Z527" i="5"/>
  <c r="Y527" i="5"/>
  <c r="AA5476" i="5"/>
  <c r="Y5476" i="5"/>
  <c r="Z5476" i="5"/>
  <c r="AA3992" i="5"/>
  <c r="Z3992" i="5"/>
  <c r="Y3992" i="5"/>
  <c r="BP42" i="6"/>
  <c r="BK42" i="6"/>
  <c r="BQ42" i="6"/>
  <c r="BV42" i="6"/>
  <c r="CS46" i="6"/>
  <c r="CM46" i="6"/>
  <c r="CX46" i="6"/>
  <c r="CR46" i="6"/>
  <c r="AA2012" i="5"/>
  <c r="Z2012" i="5"/>
  <c r="Y2012" i="5"/>
  <c r="AA2011" i="5"/>
  <c r="Y2011" i="5"/>
  <c r="Z2011" i="5"/>
  <c r="AA3002" i="5"/>
  <c r="Y3002" i="5"/>
  <c r="Z3002" i="5"/>
  <c r="AA1022" i="5"/>
  <c r="Y1022" i="5"/>
  <c r="Z1022" i="5"/>
  <c r="BO40" i="6"/>
  <c r="BI40" i="6"/>
  <c r="BD40" i="6"/>
  <c r="BJ40" i="6"/>
  <c r="AA32" i="5"/>
  <c r="Z32" i="5"/>
  <c r="Y32" i="5"/>
  <c r="CL44" i="6"/>
  <c r="CF44" i="6"/>
  <c r="CK44" i="6"/>
  <c r="CQ44" i="6"/>
  <c r="DH49" i="6"/>
  <c r="DS49" i="6"/>
  <c r="DM49" i="6"/>
  <c r="DN49" i="6"/>
  <c r="BA39" i="6"/>
  <c r="AP39" i="6"/>
  <c r="AV39" i="6"/>
  <c r="AU39" i="6"/>
  <c r="BO41" i="6"/>
  <c r="BD41" i="6"/>
  <c r="BI41" i="6"/>
  <c r="BJ41" i="6"/>
  <c r="BX43" i="6"/>
  <c r="BR43" i="6"/>
  <c r="CC43" i="6"/>
  <c r="BW43" i="6"/>
  <c r="AO38" i="6"/>
  <c r="AT38" i="6"/>
  <c r="AN38" i="6"/>
  <c r="DL47" i="6"/>
  <c r="DF47" i="6"/>
  <c r="DA47" i="6"/>
  <c r="DG47" i="6"/>
  <c r="AA3991" i="5"/>
  <c r="Z3991" i="5"/>
  <c r="Y3991" i="5"/>
  <c r="CL45" i="6"/>
  <c r="CF45" i="6"/>
  <c r="CQ45" i="6"/>
  <c r="CK45" i="6"/>
  <c r="AA2507" i="5"/>
  <c r="Y2507" i="5"/>
  <c r="Z2507" i="5"/>
  <c r="AA4487" i="5"/>
  <c r="Y4487" i="5"/>
  <c r="Z4487" i="5"/>
  <c r="DH48" i="6"/>
  <c r="DM48" i="6"/>
  <c r="DS48" i="6"/>
  <c r="DN48" i="6"/>
  <c r="Y5932" i="5"/>
  <c r="Z5932" i="5"/>
  <c r="Y5933" i="5"/>
  <c r="Z5933" i="5"/>
  <c r="Y5971" i="5"/>
  <c r="Z5971" i="5"/>
  <c r="Y5972" i="5"/>
  <c r="Z5972" i="5"/>
  <c r="H50" i="6"/>
  <c r="X50" i="6"/>
  <c r="N50" i="6"/>
  <c r="F50" i="6"/>
  <c r="P50" i="6"/>
  <c r="V50" i="6"/>
  <c r="L50" i="6"/>
  <c r="Z50" i="6"/>
  <c r="T50" i="6"/>
  <c r="J50" i="6"/>
  <c r="R50" i="6"/>
  <c r="D50" i="6"/>
  <c r="AM50" i="6"/>
  <c r="AK50" i="6"/>
  <c r="AB50" i="6"/>
  <c r="DT50" i="6" s="1"/>
  <c r="AI50" i="6"/>
  <c r="EF52" i="6"/>
  <c r="EG52" i="6" s="1"/>
  <c r="EH52" i="6" s="1"/>
  <c r="AA52" i="6" s="1"/>
  <c r="EG51" i="6"/>
  <c r="EH51" i="6" s="1"/>
  <c r="AA51" i="6" s="1"/>
  <c r="AA3497" i="5" l="1"/>
  <c r="Z3497" i="5"/>
  <c r="Y3497" i="5"/>
  <c r="BH40" i="6"/>
  <c r="AW40" i="6"/>
  <c r="BB40" i="6"/>
  <c r="BC40" i="6"/>
  <c r="Y3993" i="5"/>
  <c r="Z3993" i="5"/>
  <c r="AA3993" i="5"/>
  <c r="DY50" i="6"/>
  <c r="DO50" i="6"/>
  <c r="AA5477" i="5"/>
  <c r="Z5477" i="5"/>
  <c r="Y5477" i="5"/>
  <c r="AA2508" i="5"/>
  <c r="Y2508" i="5"/>
  <c r="Z2508" i="5"/>
  <c r="CL46" i="6"/>
  <c r="CF46" i="6"/>
  <c r="CQ46" i="6"/>
  <c r="CK46" i="6"/>
  <c r="BO42" i="6"/>
  <c r="BI42" i="6"/>
  <c r="BD42" i="6"/>
  <c r="BJ42" i="6"/>
  <c r="CD45" i="6"/>
  <c r="BY45" i="6"/>
  <c r="CJ45" i="6"/>
  <c r="CE45" i="6"/>
  <c r="BP43" i="6"/>
  <c r="BK43" i="6"/>
  <c r="BQ43" i="6"/>
  <c r="BV43" i="6"/>
  <c r="BH41" i="6"/>
  <c r="AW41" i="6"/>
  <c r="BB41" i="6"/>
  <c r="BC41" i="6"/>
  <c r="AO39" i="6"/>
  <c r="AN39" i="6"/>
  <c r="AT39" i="6"/>
  <c r="AA5478" i="5"/>
  <c r="Y5478" i="5"/>
  <c r="Z5478" i="5"/>
  <c r="CD44" i="6"/>
  <c r="BY44" i="6"/>
  <c r="CE44" i="6"/>
  <c r="CJ44" i="6"/>
  <c r="Y1517" i="5"/>
  <c r="AA1517" i="5"/>
  <c r="Z1517" i="5"/>
  <c r="AA4982" i="5"/>
  <c r="Z4982" i="5"/>
  <c r="Y4982" i="5"/>
  <c r="DE47" i="6"/>
  <c r="CT47" i="6"/>
  <c r="CZ47" i="6"/>
  <c r="CY47" i="6"/>
  <c r="AA33" i="5"/>
  <c r="Z33" i="5"/>
  <c r="Y33" i="5"/>
  <c r="DA48" i="6"/>
  <c r="DG48" i="6"/>
  <c r="DL48" i="6"/>
  <c r="DF48" i="6"/>
  <c r="AA3498" i="5"/>
  <c r="Y3498" i="5"/>
  <c r="Z3498" i="5"/>
  <c r="AA1518" i="5"/>
  <c r="Y1518" i="5"/>
  <c r="Z1518" i="5"/>
  <c r="AA528" i="5"/>
  <c r="Y528" i="5"/>
  <c r="Z528" i="5"/>
  <c r="DG49" i="6"/>
  <c r="DL49" i="6"/>
  <c r="DA49" i="6"/>
  <c r="DF49" i="6"/>
  <c r="AA2013" i="5"/>
  <c r="Z2013" i="5"/>
  <c r="Y2013" i="5"/>
  <c r="P52" i="6"/>
  <c r="L52" i="6"/>
  <c r="X52" i="6"/>
  <c r="R52" i="6"/>
  <c r="J52" i="6"/>
  <c r="V52" i="6"/>
  <c r="N52" i="6"/>
  <c r="D52" i="6"/>
  <c r="T52" i="6"/>
  <c r="H52" i="6"/>
  <c r="F52" i="6"/>
  <c r="AK52" i="6"/>
  <c r="Z52" i="6"/>
  <c r="AM52" i="6"/>
  <c r="AI52" i="6"/>
  <c r="AB52" i="6"/>
  <c r="DT52" i="6" s="1"/>
  <c r="T51" i="6"/>
  <c r="J51" i="6"/>
  <c r="Z51" i="6"/>
  <c r="R51" i="6"/>
  <c r="N51" i="6"/>
  <c r="X51" i="6"/>
  <c r="P51" i="6"/>
  <c r="H51" i="6"/>
  <c r="F51" i="6"/>
  <c r="V51" i="6"/>
  <c r="L51" i="6"/>
  <c r="D51" i="6"/>
  <c r="AI51" i="6"/>
  <c r="AB51" i="6"/>
  <c r="DT51" i="6" s="1"/>
  <c r="AM51" i="6"/>
  <c r="AK51" i="6"/>
  <c r="DX50" i="6"/>
  <c r="AA5973" i="5" s="1"/>
  <c r="EF53" i="6"/>
  <c r="EG53" i="6" s="1"/>
  <c r="EH53" i="6" s="1"/>
  <c r="AA53" i="6" s="1"/>
  <c r="DX11" i="6"/>
  <c r="AA5934" i="5" s="1"/>
  <c r="AA4984" i="5" l="1"/>
  <c r="Y4984" i="5"/>
  <c r="Z4984" i="5"/>
  <c r="AA4983" i="5"/>
  <c r="Y4983" i="5"/>
  <c r="Z4983" i="5"/>
  <c r="BX45" i="6"/>
  <c r="BR45" i="6"/>
  <c r="BW45" i="6"/>
  <c r="CC45" i="6"/>
  <c r="CD46" i="6"/>
  <c r="BY46" i="6"/>
  <c r="CE46" i="6"/>
  <c r="CJ46" i="6"/>
  <c r="DS50" i="6"/>
  <c r="DH50" i="6"/>
  <c r="DM50" i="6"/>
  <c r="DN50" i="6"/>
  <c r="Y1023" i="5"/>
  <c r="AA1023" i="5"/>
  <c r="Z1023" i="5"/>
  <c r="DY51" i="6"/>
  <c r="DO51" i="6"/>
  <c r="AA4488" i="5"/>
  <c r="Y4488" i="5"/>
  <c r="Z4488" i="5"/>
  <c r="AA1024" i="5"/>
  <c r="Z1024" i="5"/>
  <c r="Y1024" i="5"/>
  <c r="AA1519" i="5"/>
  <c r="Y1519" i="5"/>
  <c r="Z1519" i="5"/>
  <c r="BA41" i="6"/>
  <c r="AP41" i="6"/>
  <c r="AU41" i="6"/>
  <c r="AV41" i="6"/>
  <c r="DE48" i="6"/>
  <c r="CT48" i="6"/>
  <c r="CZ48" i="6"/>
  <c r="CY48" i="6"/>
  <c r="BX44" i="6"/>
  <c r="BR44" i="6"/>
  <c r="BW44" i="6"/>
  <c r="CC44" i="6"/>
  <c r="AA2014" i="5"/>
  <c r="Y2014" i="5"/>
  <c r="Z2014" i="5"/>
  <c r="CS47" i="6"/>
  <c r="CM47" i="6"/>
  <c r="CX47" i="6"/>
  <c r="CR47" i="6"/>
  <c r="AA3003" i="5"/>
  <c r="Y3003" i="5"/>
  <c r="Z3003" i="5"/>
  <c r="BO43" i="6"/>
  <c r="BD43" i="6"/>
  <c r="BI43" i="6"/>
  <c r="BJ43" i="6"/>
  <c r="DY52" i="6"/>
  <c r="DO52" i="6"/>
  <c r="DE49" i="6"/>
  <c r="CT49" i="6"/>
  <c r="CY49" i="6"/>
  <c r="CZ49" i="6"/>
  <c r="AA34" i="5"/>
  <c r="Z34" i="5"/>
  <c r="Y34" i="5"/>
  <c r="AA3004" i="5"/>
  <c r="Y3004" i="5"/>
  <c r="Z3004" i="5"/>
  <c r="BH42" i="6"/>
  <c r="AW42" i="6"/>
  <c r="BB42" i="6"/>
  <c r="BC42" i="6"/>
  <c r="AA3499" i="5"/>
  <c r="Y3499" i="5"/>
  <c r="Z3499" i="5"/>
  <c r="BA40" i="6"/>
  <c r="AP40" i="6"/>
  <c r="AV40" i="6"/>
  <c r="AU40" i="6"/>
  <c r="Y5934" i="5"/>
  <c r="Z5934" i="5"/>
  <c r="Y5973" i="5"/>
  <c r="Z5973" i="5"/>
  <c r="F53" i="6"/>
  <c r="V53" i="6"/>
  <c r="T53" i="6"/>
  <c r="Z53" i="6"/>
  <c r="R53" i="6"/>
  <c r="L53" i="6"/>
  <c r="P53" i="6"/>
  <c r="H53" i="6"/>
  <c r="X53" i="6"/>
  <c r="N53" i="6"/>
  <c r="J53" i="6"/>
  <c r="D53" i="6"/>
  <c r="AI53" i="6"/>
  <c r="AM53" i="6"/>
  <c r="AK53" i="6"/>
  <c r="AB53" i="6"/>
  <c r="DT53" i="6" s="1"/>
  <c r="DX52" i="6"/>
  <c r="AA5975" i="5" s="1"/>
  <c r="DX51" i="6"/>
  <c r="AA5974" i="5" s="1"/>
  <c r="EF54" i="6"/>
  <c r="EG54" i="6" s="1"/>
  <c r="EH54" i="6" s="1"/>
  <c r="AA54" i="6" s="1"/>
  <c r="DX13" i="6"/>
  <c r="AA5936" i="5" s="1"/>
  <c r="DX12" i="6"/>
  <c r="AA5935" i="5" s="1"/>
  <c r="BA42" i="6" l="1"/>
  <c r="AP42" i="6"/>
  <c r="AV42" i="6"/>
  <c r="AU42" i="6"/>
  <c r="BX46" i="6"/>
  <c r="BR46" i="6"/>
  <c r="BW46" i="6"/>
  <c r="CC46" i="6"/>
  <c r="BP45" i="6"/>
  <c r="BK45" i="6"/>
  <c r="BQ45" i="6"/>
  <c r="BV45" i="6"/>
  <c r="AO40" i="6"/>
  <c r="AN40" i="6"/>
  <c r="AT40" i="6"/>
  <c r="AA1025" i="5"/>
  <c r="Y1025" i="5"/>
  <c r="Z1025" i="5"/>
  <c r="AA1520" i="5"/>
  <c r="Y1520" i="5"/>
  <c r="Z1520" i="5"/>
  <c r="DH51" i="6"/>
  <c r="DS51" i="6"/>
  <c r="DM51" i="6"/>
  <c r="DN51" i="6"/>
  <c r="AA5479" i="5"/>
  <c r="Y5479" i="5"/>
  <c r="Z5479" i="5"/>
  <c r="BH43" i="6"/>
  <c r="AW43" i="6"/>
  <c r="BB43" i="6"/>
  <c r="BC43" i="6"/>
  <c r="DA50" i="6"/>
  <c r="DG50" i="6"/>
  <c r="DL50" i="6"/>
  <c r="DF50" i="6"/>
  <c r="AA529" i="5"/>
  <c r="Y529" i="5"/>
  <c r="Z529" i="5"/>
  <c r="AA3994" i="5"/>
  <c r="Y3994" i="5"/>
  <c r="Z3994" i="5"/>
  <c r="BP44" i="6"/>
  <c r="BQ44" i="6"/>
  <c r="BK44" i="6"/>
  <c r="BV44" i="6"/>
  <c r="CS48" i="6"/>
  <c r="CX48" i="6"/>
  <c r="CM48" i="6"/>
  <c r="CR48" i="6"/>
  <c r="AO41" i="6"/>
  <c r="AN41" i="6"/>
  <c r="AT41" i="6"/>
  <c r="AA3005" i="5"/>
  <c r="Y3005" i="5"/>
  <c r="Z3005" i="5"/>
  <c r="AA2510" i="5"/>
  <c r="Z2510" i="5"/>
  <c r="Y2510" i="5"/>
  <c r="DS52" i="6"/>
  <c r="DH52" i="6"/>
  <c r="DM52" i="6"/>
  <c r="DN52" i="6"/>
  <c r="AA2509" i="5"/>
  <c r="Z2509" i="5"/>
  <c r="Y2509" i="5"/>
  <c r="CS49" i="6"/>
  <c r="CX49" i="6"/>
  <c r="CM49" i="6"/>
  <c r="CR49" i="6"/>
  <c r="DO53" i="6"/>
  <c r="DY53" i="6"/>
  <c r="AA4490" i="5"/>
  <c r="Y4490" i="5"/>
  <c r="Z4490" i="5"/>
  <c r="CL47" i="6"/>
  <c r="CF47" i="6"/>
  <c r="CQ47" i="6"/>
  <c r="CK47" i="6"/>
  <c r="Y4489" i="5"/>
  <c r="Z4489" i="5"/>
  <c r="AA4489" i="5"/>
  <c r="AA530" i="5"/>
  <c r="Y530" i="5"/>
  <c r="Z530" i="5"/>
  <c r="Y5936" i="5"/>
  <c r="Z5936" i="5"/>
  <c r="Y5974" i="5"/>
  <c r="Z5974" i="5"/>
  <c r="Y5935" i="5"/>
  <c r="Z5935" i="5"/>
  <c r="Y5975" i="5"/>
  <c r="Z5975" i="5"/>
  <c r="T54" i="6"/>
  <c r="P54" i="6"/>
  <c r="R54" i="6"/>
  <c r="J54" i="6"/>
  <c r="Z54" i="6"/>
  <c r="X54" i="6"/>
  <c r="N54" i="6"/>
  <c r="D54" i="6"/>
  <c r="V54" i="6"/>
  <c r="L54" i="6"/>
  <c r="F54" i="6"/>
  <c r="AM54" i="6"/>
  <c r="AI54" i="6"/>
  <c r="H54" i="6"/>
  <c r="AK54" i="6"/>
  <c r="AB54" i="6"/>
  <c r="DT54" i="6" s="1"/>
  <c r="DX53" i="6"/>
  <c r="AA5976" i="5" s="1"/>
  <c r="EF55" i="6"/>
  <c r="EG55" i="6" s="1"/>
  <c r="EH55" i="6" s="1"/>
  <c r="AA55" i="6" s="1"/>
  <c r="AA3996" i="5" l="1"/>
  <c r="Z3996" i="5"/>
  <c r="Y3996" i="5"/>
  <c r="Y5481" i="5"/>
  <c r="AA5481" i="5"/>
  <c r="Z5481" i="5"/>
  <c r="AA3995" i="5"/>
  <c r="Y3995" i="5"/>
  <c r="Z3995" i="5"/>
  <c r="AA2016" i="5"/>
  <c r="Z2016" i="5"/>
  <c r="Y2016" i="5"/>
  <c r="AA2511" i="5"/>
  <c r="Y2511" i="5"/>
  <c r="Z2511" i="5"/>
  <c r="DH53" i="6"/>
  <c r="DS53" i="6"/>
  <c r="DN53" i="6"/>
  <c r="DM53" i="6"/>
  <c r="AA4985" i="5"/>
  <c r="Y4985" i="5"/>
  <c r="Z4985" i="5"/>
  <c r="AA5480" i="5"/>
  <c r="Y5480" i="5"/>
  <c r="Z5480" i="5"/>
  <c r="AA35" i="5"/>
  <c r="Z35" i="5"/>
  <c r="Y35" i="5"/>
  <c r="AA3500" i="5"/>
  <c r="Y3500" i="5"/>
  <c r="Z3500" i="5"/>
  <c r="AA2015" i="5"/>
  <c r="Z2015" i="5"/>
  <c r="Y2015" i="5"/>
  <c r="BA43" i="6"/>
  <c r="AP43" i="6"/>
  <c r="AV43" i="6"/>
  <c r="AU43" i="6"/>
  <c r="DF51" i="6"/>
  <c r="DG51" i="6"/>
  <c r="DA51" i="6"/>
  <c r="DL51" i="6"/>
  <c r="BO45" i="6"/>
  <c r="BD45" i="6"/>
  <c r="BI45" i="6"/>
  <c r="BJ45" i="6"/>
  <c r="BP46" i="6"/>
  <c r="BK46" i="6"/>
  <c r="BQ46" i="6"/>
  <c r="BV46" i="6"/>
  <c r="AO42" i="6"/>
  <c r="AT42" i="6"/>
  <c r="AN42" i="6"/>
  <c r="DO54" i="6"/>
  <c r="DY54" i="6"/>
  <c r="CD47" i="6"/>
  <c r="BY47" i="6"/>
  <c r="CE47" i="6"/>
  <c r="CJ47" i="6"/>
  <c r="CL49" i="6"/>
  <c r="CF49" i="6"/>
  <c r="CQ49" i="6"/>
  <c r="CK49" i="6"/>
  <c r="DA52" i="6"/>
  <c r="DF52" i="6"/>
  <c r="DL52" i="6"/>
  <c r="DG52" i="6"/>
  <c r="AA36" i="5"/>
  <c r="Y36" i="5"/>
  <c r="Z36" i="5"/>
  <c r="CL48" i="6"/>
  <c r="CF48" i="6"/>
  <c r="CK48" i="6"/>
  <c r="CQ48" i="6"/>
  <c r="BO44" i="6"/>
  <c r="BI44" i="6"/>
  <c r="BD44" i="6"/>
  <c r="BJ44" i="6"/>
  <c r="DE50" i="6"/>
  <c r="CZ50" i="6"/>
  <c r="CY50" i="6"/>
  <c r="CT50" i="6"/>
  <c r="AA1026" i="5"/>
  <c r="Y1026" i="5"/>
  <c r="Z1026" i="5"/>
  <c r="AA531" i="5"/>
  <c r="Y531" i="5"/>
  <c r="Z531" i="5"/>
  <c r="Y5976" i="5"/>
  <c r="Z5976" i="5"/>
  <c r="DX54" i="6"/>
  <c r="AA5977" i="5" s="1"/>
  <c r="EF56" i="6"/>
  <c r="Z55" i="6"/>
  <c r="V55" i="6"/>
  <c r="L55" i="6"/>
  <c r="T55" i="6"/>
  <c r="J55" i="6"/>
  <c r="D55" i="6"/>
  <c r="R55" i="6"/>
  <c r="N55" i="6"/>
  <c r="F55" i="6"/>
  <c r="X55" i="6"/>
  <c r="P55" i="6"/>
  <c r="H55" i="6"/>
  <c r="AI55" i="6"/>
  <c r="AK55" i="6"/>
  <c r="AM55" i="6"/>
  <c r="AB55" i="6"/>
  <c r="DT55" i="6" s="1"/>
  <c r="DY55" i="6" l="1"/>
  <c r="DO55" i="6"/>
  <c r="BO46" i="6"/>
  <c r="BI46" i="6"/>
  <c r="BD46" i="6"/>
  <c r="BJ46" i="6"/>
  <c r="AO43" i="6"/>
  <c r="AN43" i="6"/>
  <c r="AT43" i="6"/>
  <c r="DA53" i="6"/>
  <c r="DL53" i="6"/>
  <c r="DF53" i="6"/>
  <c r="DG53" i="6"/>
  <c r="AA4491" i="5"/>
  <c r="Z4491" i="5"/>
  <c r="Y4491" i="5"/>
  <c r="AA1521" i="5"/>
  <c r="Z1521" i="5"/>
  <c r="Y1521" i="5"/>
  <c r="AA3006" i="5"/>
  <c r="Z3006" i="5"/>
  <c r="Y3006" i="5"/>
  <c r="AA1522" i="5"/>
  <c r="Z1522" i="5"/>
  <c r="Y1522" i="5"/>
  <c r="AA532" i="5"/>
  <c r="Y532" i="5"/>
  <c r="Z532" i="5"/>
  <c r="CD48" i="6"/>
  <c r="BY48" i="6"/>
  <c r="CJ48" i="6"/>
  <c r="CE48" i="6"/>
  <c r="BH45" i="6"/>
  <c r="AW45" i="6"/>
  <c r="BB45" i="6"/>
  <c r="BC45" i="6"/>
  <c r="CS50" i="6"/>
  <c r="CM50" i="6"/>
  <c r="CX50" i="6"/>
  <c r="CR50" i="6"/>
  <c r="AA3501" i="5"/>
  <c r="Y3501" i="5"/>
  <c r="Z3501" i="5"/>
  <c r="AA4987" i="5"/>
  <c r="Y4987" i="5"/>
  <c r="Z4987" i="5"/>
  <c r="AA3502" i="5"/>
  <c r="Y3502" i="5"/>
  <c r="Z3502" i="5"/>
  <c r="DS54" i="6"/>
  <c r="DH54" i="6"/>
  <c r="DM54" i="6"/>
  <c r="DN54" i="6"/>
  <c r="AA2017" i="5"/>
  <c r="Y2017" i="5"/>
  <c r="Z2017" i="5"/>
  <c r="AA4986" i="5"/>
  <c r="Y4986" i="5"/>
  <c r="Z4986" i="5"/>
  <c r="DE52" i="6"/>
  <c r="CT52" i="6"/>
  <c r="CZ52" i="6"/>
  <c r="CY52" i="6"/>
  <c r="AA37" i="5"/>
  <c r="Y37" i="5"/>
  <c r="Z37" i="5"/>
  <c r="BH44" i="6"/>
  <c r="AW44" i="6"/>
  <c r="BB44" i="6"/>
  <c r="BC44" i="6"/>
  <c r="CD49" i="6"/>
  <c r="BY49" i="6"/>
  <c r="CJ49" i="6"/>
  <c r="CE49" i="6"/>
  <c r="BX47" i="6"/>
  <c r="BR47" i="6"/>
  <c r="CC47" i="6"/>
  <c r="BW47" i="6"/>
  <c r="DE51" i="6"/>
  <c r="CT51" i="6"/>
  <c r="CY51" i="6"/>
  <c r="CZ51" i="6"/>
  <c r="AA5482" i="5"/>
  <c r="Y5482" i="5"/>
  <c r="Z5482" i="5"/>
  <c r="Y5977" i="5"/>
  <c r="Z5977" i="5"/>
  <c r="DX55" i="6"/>
  <c r="AA5978" i="5" s="1"/>
  <c r="EF57" i="6"/>
  <c r="EG57" i="6" s="1"/>
  <c r="EH57" i="6" s="1"/>
  <c r="AA57" i="6" s="1"/>
  <c r="EG56" i="6"/>
  <c r="EH56" i="6" s="1"/>
  <c r="AA56" i="6" s="1"/>
  <c r="BP47" i="6" l="1"/>
  <c r="BK47" i="6"/>
  <c r="BQ47" i="6"/>
  <c r="BV47" i="6"/>
  <c r="BA44" i="6"/>
  <c r="AP44" i="6"/>
  <c r="AV44" i="6"/>
  <c r="AU44" i="6"/>
  <c r="Z4493" i="5"/>
  <c r="Y4493" i="5"/>
  <c r="AA4493" i="5"/>
  <c r="AA4492" i="5"/>
  <c r="Y4492" i="5"/>
  <c r="Z4492" i="5"/>
  <c r="Y1027" i="5"/>
  <c r="AA1027" i="5"/>
  <c r="Z1027" i="5"/>
  <c r="DA54" i="6"/>
  <c r="DG54" i="6"/>
  <c r="DF54" i="6"/>
  <c r="DL54" i="6"/>
  <c r="AA3997" i="5"/>
  <c r="Y3997" i="5"/>
  <c r="Z3997" i="5"/>
  <c r="AA3007" i="5"/>
  <c r="Y3007" i="5"/>
  <c r="Z3007" i="5"/>
  <c r="AA4988" i="5"/>
  <c r="Y4988" i="5"/>
  <c r="Z4988" i="5"/>
  <c r="AA1523" i="5"/>
  <c r="Y1523" i="5"/>
  <c r="Z1523" i="5"/>
  <c r="BX49" i="6"/>
  <c r="BR49" i="6"/>
  <c r="CC49" i="6"/>
  <c r="BW49" i="6"/>
  <c r="BA45" i="6"/>
  <c r="AU45" i="6"/>
  <c r="AP45" i="6"/>
  <c r="AV45" i="6"/>
  <c r="BX48" i="6"/>
  <c r="BR48" i="6"/>
  <c r="CC48" i="6"/>
  <c r="BW48" i="6"/>
  <c r="DE53" i="6"/>
  <c r="CT53" i="6"/>
  <c r="CY53" i="6"/>
  <c r="CZ53" i="6"/>
  <c r="DH55" i="6"/>
  <c r="DS55" i="6"/>
  <c r="DM55" i="6"/>
  <c r="DN55" i="6"/>
  <c r="CS51" i="6"/>
  <c r="CM51" i="6"/>
  <c r="CX51" i="6"/>
  <c r="CR51" i="6"/>
  <c r="AA5483" i="5"/>
  <c r="Y5483" i="5"/>
  <c r="Z5483" i="5"/>
  <c r="CL50" i="6"/>
  <c r="CF50" i="6"/>
  <c r="CQ50" i="6"/>
  <c r="CK50" i="6"/>
  <c r="AA2512" i="5"/>
  <c r="Y2512" i="5"/>
  <c r="Z2512" i="5"/>
  <c r="AA3008" i="5"/>
  <c r="Y3008" i="5"/>
  <c r="Z3008" i="5"/>
  <c r="CS52" i="6"/>
  <c r="CX52" i="6"/>
  <c r="CM52" i="6"/>
  <c r="CR52" i="6"/>
  <c r="AA1028" i="5"/>
  <c r="Z1028" i="5"/>
  <c r="Y1028" i="5"/>
  <c r="AA38" i="5"/>
  <c r="Y38" i="5"/>
  <c r="Z38" i="5"/>
  <c r="BH46" i="6"/>
  <c r="AW46" i="6"/>
  <c r="BB46" i="6"/>
  <c r="BC46" i="6"/>
  <c r="Y5978" i="5"/>
  <c r="Z5978" i="5"/>
  <c r="J57" i="6"/>
  <c r="Z57" i="6"/>
  <c r="X57" i="6"/>
  <c r="P57" i="6"/>
  <c r="T57" i="6"/>
  <c r="N57" i="6"/>
  <c r="V57" i="6"/>
  <c r="L57" i="6"/>
  <c r="D57" i="6"/>
  <c r="R57" i="6"/>
  <c r="H57" i="6"/>
  <c r="AM57" i="6"/>
  <c r="F57" i="6"/>
  <c r="AI57" i="6"/>
  <c r="AB57" i="6"/>
  <c r="DT57" i="6" s="1"/>
  <c r="AK57" i="6"/>
  <c r="X56" i="6"/>
  <c r="P56" i="6"/>
  <c r="H56" i="6"/>
  <c r="V56" i="6"/>
  <c r="N56" i="6"/>
  <c r="D56" i="6"/>
  <c r="T56" i="6"/>
  <c r="J56" i="6"/>
  <c r="F56" i="6"/>
  <c r="R56" i="6"/>
  <c r="L56" i="6"/>
  <c r="AK56" i="6"/>
  <c r="Z56" i="6"/>
  <c r="AM56" i="6"/>
  <c r="AB56" i="6"/>
  <c r="DT56" i="6" s="1"/>
  <c r="AI56" i="6"/>
  <c r="EF58" i="6"/>
  <c r="DX8" i="6"/>
  <c r="AA5931" i="5" s="1"/>
  <c r="Y2513" i="5" l="1"/>
  <c r="AA2513" i="5"/>
  <c r="Z2513" i="5"/>
  <c r="AA2514" i="5"/>
  <c r="Z2514" i="5"/>
  <c r="Y2514" i="5"/>
  <c r="AA2018" i="5"/>
  <c r="Z2018" i="5"/>
  <c r="Y2018" i="5"/>
  <c r="AA3503" i="5"/>
  <c r="Y3503" i="5"/>
  <c r="Z3503" i="5"/>
  <c r="CL51" i="6"/>
  <c r="CF51" i="6"/>
  <c r="CQ51" i="6"/>
  <c r="CK51" i="6"/>
  <c r="AA5484" i="5"/>
  <c r="Y5484" i="5"/>
  <c r="Z5484" i="5"/>
  <c r="CS53" i="6"/>
  <c r="CX53" i="6"/>
  <c r="CM53" i="6"/>
  <c r="CR53" i="6"/>
  <c r="BP48" i="6"/>
  <c r="BQ48" i="6"/>
  <c r="BK48" i="6"/>
  <c r="BV48" i="6"/>
  <c r="BP49" i="6"/>
  <c r="BK49" i="6"/>
  <c r="BQ49" i="6"/>
  <c r="BV49" i="6"/>
  <c r="AA3999" i="5"/>
  <c r="Y3999" i="5"/>
  <c r="Z3999" i="5"/>
  <c r="Y3998" i="5"/>
  <c r="AA3998" i="5"/>
  <c r="Z3998" i="5"/>
  <c r="BA46" i="6"/>
  <c r="AP46" i="6"/>
  <c r="AV46" i="6"/>
  <c r="AU46" i="6"/>
  <c r="DA55" i="6"/>
  <c r="DG55" i="6"/>
  <c r="DF55" i="6"/>
  <c r="DL55" i="6"/>
  <c r="DE54" i="6"/>
  <c r="CZ54" i="6"/>
  <c r="CY54" i="6"/>
  <c r="CT54" i="6"/>
  <c r="AO44" i="6"/>
  <c r="AN44" i="6"/>
  <c r="AT44" i="6"/>
  <c r="BO47" i="6"/>
  <c r="BD47" i="6"/>
  <c r="BI47" i="6"/>
  <c r="BJ47" i="6"/>
  <c r="AO45" i="6"/>
  <c r="AN45" i="6"/>
  <c r="AT45" i="6"/>
  <c r="CD50" i="6"/>
  <c r="BY50" i="6"/>
  <c r="CE50" i="6"/>
  <c r="CJ50" i="6"/>
  <c r="AA4494" i="5"/>
  <c r="Y4494" i="5"/>
  <c r="Z4494" i="5"/>
  <c r="AA534" i="5"/>
  <c r="Y534" i="5"/>
  <c r="Z534" i="5"/>
  <c r="DY56" i="6"/>
  <c r="DO56" i="6"/>
  <c r="DO57" i="6"/>
  <c r="DY57" i="6"/>
  <c r="AA1029" i="5"/>
  <c r="Y1029" i="5"/>
  <c r="Z1029" i="5"/>
  <c r="CL52" i="6"/>
  <c r="CF52" i="6"/>
  <c r="CK52" i="6"/>
  <c r="CQ52" i="6"/>
  <c r="AA4989" i="5"/>
  <c r="Y4989" i="5"/>
  <c r="Z4989" i="5"/>
  <c r="Y533" i="5"/>
  <c r="AA533" i="5"/>
  <c r="Z533" i="5"/>
  <c r="Y5931" i="5"/>
  <c r="Z5931" i="5"/>
  <c r="EF59" i="6"/>
  <c r="DX56" i="6"/>
  <c r="AA5979" i="5" s="1"/>
  <c r="DX57" i="6"/>
  <c r="AA5980" i="5" s="1"/>
  <c r="EG58" i="6"/>
  <c r="EH58" i="6" s="1"/>
  <c r="AA58" i="6" s="1"/>
  <c r="AA3505" i="5" l="1"/>
  <c r="Y3505" i="5"/>
  <c r="Z3505" i="5"/>
  <c r="DH57" i="6"/>
  <c r="DM57" i="6"/>
  <c r="DS57" i="6"/>
  <c r="DN57" i="6"/>
  <c r="AA39" i="5"/>
  <c r="Z39" i="5"/>
  <c r="Y39" i="5"/>
  <c r="DH56" i="6"/>
  <c r="DM56" i="6"/>
  <c r="DS56" i="6"/>
  <c r="DN56" i="6"/>
  <c r="AA3009" i="5"/>
  <c r="Z3009" i="5"/>
  <c r="Y3009" i="5"/>
  <c r="AA40" i="5"/>
  <c r="Z40" i="5"/>
  <c r="Y40" i="5"/>
  <c r="AO46" i="6"/>
  <c r="AT46" i="6"/>
  <c r="AN46" i="6"/>
  <c r="AA2020" i="5"/>
  <c r="Y2020" i="5"/>
  <c r="Z2020" i="5"/>
  <c r="AA2019" i="5"/>
  <c r="Y2019" i="5"/>
  <c r="Z2019" i="5"/>
  <c r="AA3504" i="5"/>
  <c r="Y3504" i="5"/>
  <c r="Z3504" i="5"/>
  <c r="CD52" i="6"/>
  <c r="BY52" i="6"/>
  <c r="CE52" i="6"/>
  <c r="CJ52" i="6"/>
  <c r="DE55" i="6"/>
  <c r="CT55" i="6"/>
  <c r="CY55" i="6"/>
  <c r="CZ55" i="6"/>
  <c r="AA535" i="5"/>
  <c r="Z535" i="5"/>
  <c r="Y535" i="5"/>
  <c r="BO48" i="6"/>
  <c r="BI48" i="6"/>
  <c r="BD48" i="6"/>
  <c r="BJ48" i="6"/>
  <c r="CL53" i="6"/>
  <c r="CF53" i="6"/>
  <c r="CQ53" i="6"/>
  <c r="CK53" i="6"/>
  <c r="CD51" i="6"/>
  <c r="BY51" i="6"/>
  <c r="CE51" i="6"/>
  <c r="CJ51" i="6"/>
  <c r="BH47" i="6"/>
  <c r="AW47" i="6"/>
  <c r="BB47" i="6"/>
  <c r="BC47" i="6"/>
  <c r="AA4495" i="5"/>
  <c r="Y4495" i="5"/>
  <c r="Z4495" i="5"/>
  <c r="BX50" i="6"/>
  <c r="CC50" i="6"/>
  <c r="BR50" i="6"/>
  <c r="BW50" i="6"/>
  <c r="AA1524" i="5"/>
  <c r="Y1524" i="5"/>
  <c r="Z1524" i="5"/>
  <c r="CS54" i="6"/>
  <c r="CM54" i="6"/>
  <c r="CX54" i="6"/>
  <c r="CR54" i="6"/>
  <c r="AA4990" i="5"/>
  <c r="Y4990" i="5"/>
  <c r="Z4990" i="5"/>
  <c r="BO49" i="6"/>
  <c r="BD49" i="6"/>
  <c r="BI49" i="6"/>
  <c r="BJ49" i="6"/>
  <c r="AA4000" i="5"/>
  <c r="Y4000" i="5"/>
  <c r="Z4000" i="5"/>
  <c r="Y5979" i="5"/>
  <c r="Z5979" i="5"/>
  <c r="Y5980" i="5"/>
  <c r="Z5980" i="5"/>
  <c r="Z58" i="6"/>
  <c r="R58" i="6"/>
  <c r="J58" i="6"/>
  <c r="X58" i="6"/>
  <c r="N58" i="6"/>
  <c r="D58" i="6"/>
  <c r="V58" i="6"/>
  <c r="P58" i="6"/>
  <c r="F58" i="6"/>
  <c r="T58" i="6"/>
  <c r="L58" i="6"/>
  <c r="H58" i="6"/>
  <c r="AM58" i="6"/>
  <c r="AI58" i="6"/>
  <c r="AB58" i="6"/>
  <c r="DT58" i="6" s="1"/>
  <c r="AK58" i="6"/>
  <c r="EF60" i="6"/>
  <c r="EG59" i="6"/>
  <c r="EH59" i="6" s="1"/>
  <c r="AA59" i="6" s="1"/>
  <c r="AA4001" i="5" l="1"/>
  <c r="Z4001" i="5"/>
  <c r="Y4001" i="5"/>
  <c r="AA2515" i="5"/>
  <c r="Z2515" i="5"/>
  <c r="Y2515" i="5"/>
  <c r="AA1030" i="5"/>
  <c r="Y1030" i="5"/>
  <c r="Z1030" i="5"/>
  <c r="Y1525" i="5"/>
  <c r="AA1525" i="5"/>
  <c r="Z1525" i="5"/>
  <c r="AA3011" i="5"/>
  <c r="Y3011" i="5"/>
  <c r="Z3011" i="5"/>
  <c r="DA57" i="6"/>
  <c r="DG57" i="6"/>
  <c r="DL57" i="6"/>
  <c r="DF57" i="6"/>
  <c r="CL54" i="6"/>
  <c r="CF54" i="6"/>
  <c r="CQ54" i="6"/>
  <c r="CK54" i="6"/>
  <c r="AA3010" i="5"/>
  <c r="Y3010" i="5"/>
  <c r="Z3010" i="5"/>
  <c r="DA56" i="6"/>
  <c r="DL56" i="6"/>
  <c r="DF56" i="6"/>
  <c r="DG56" i="6"/>
  <c r="DO58" i="6"/>
  <c r="DY58" i="6"/>
  <c r="BH49" i="6"/>
  <c r="AW49" i="6"/>
  <c r="BB49" i="6"/>
  <c r="BC49" i="6"/>
  <c r="AA3506" i="5"/>
  <c r="Z3506" i="5"/>
  <c r="Y3506" i="5"/>
  <c r="BH48" i="6"/>
  <c r="AW48" i="6"/>
  <c r="BB48" i="6"/>
  <c r="BC48" i="6"/>
  <c r="CS55" i="6"/>
  <c r="CM55" i="6"/>
  <c r="CX55" i="6"/>
  <c r="CR55" i="6"/>
  <c r="BX52" i="6"/>
  <c r="BR52" i="6"/>
  <c r="CC52" i="6"/>
  <c r="BW52" i="6"/>
  <c r="AA41" i="5"/>
  <c r="Z41" i="5"/>
  <c r="Y41" i="5"/>
  <c r="AA5486" i="5"/>
  <c r="Y5486" i="5"/>
  <c r="Z5486" i="5"/>
  <c r="AA1526" i="5"/>
  <c r="Y1526" i="5"/>
  <c r="Z1526" i="5"/>
  <c r="BP50" i="6"/>
  <c r="BK50" i="6"/>
  <c r="BQ50" i="6"/>
  <c r="BV50" i="6"/>
  <c r="BA47" i="6"/>
  <c r="AP47" i="6"/>
  <c r="AU47" i="6"/>
  <c r="AV47" i="6"/>
  <c r="BX51" i="6"/>
  <c r="BR51" i="6"/>
  <c r="CC51" i="6"/>
  <c r="BW51" i="6"/>
  <c r="CD53" i="6"/>
  <c r="BY53" i="6"/>
  <c r="CJ53" i="6"/>
  <c r="CE53" i="6"/>
  <c r="AA4496" i="5"/>
  <c r="Y4496" i="5"/>
  <c r="Z4496" i="5"/>
  <c r="AA5485" i="5"/>
  <c r="Z5485" i="5"/>
  <c r="Y5485" i="5"/>
  <c r="EF61" i="6"/>
  <c r="EG61" i="6" s="1"/>
  <c r="EH61" i="6" s="1"/>
  <c r="AA61" i="6" s="1"/>
  <c r="X59" i="6"/>
  <c r="P59" i="6"/>
  <c r="H59" i="6"/>
  <c r="D59" i="6"/>
  <c r="V59" i="6"/>
  <c r="L59" i="6"/>
  <c r="F59" i="6"/>
  <c r="T59" i="6"/>
  <c r="N59" i="6"/>
  <c r="Z59" i="6"/>
  <c r="R59" i="6"/>
  <c r="J59" i="6"/>
  <c r="AI59" i="6"/>
  <c r="AB59" i="6"/>
  <c r="DT59" i="6" s="1"/>
  <c r="AK59" i="6"/>
  <c r="AM59" i="6"/>
  <c r="EG60" i="6"/>
  <c r="EH60" i="6" s="1"/>
  <c r="AA60" i="6" s="1"/>
  <c r="DX58" i="6"/>
  <c r="AA5981" i="5" s="1"/>
  <c r="AA2021" i="5" l="1"/>
  <c r="Z2021" i="5"/>
  <c r="Y2021" i="5"/>
  <c r="AA1031" i="5"/>
  <c r="Y1031" i="5"/>
  <c r="Z1031" i="5"/>
  <c r="AA4991" i="5"/>
  <c r="Y4991" i="5"/>
  <c r="Z4991" i="5"/>
  <c r="DE57" i="6"/>
  <c r="CT57" i="6"/>
  <c r="CY57" i="6"/>
  <c r="CZ57" i="6"/>
  <c r="AA3012" i="5"/>
  <c r="Y3012" i="5"/>
  <c r="Z3012" i="5"/>
  <c r="AA2516" i="5"/>
  <c r="Y2516" i="5"/>
  <c r="Z2516" i="5"/>
  <c r="DS58" i="6"/>
  <c r="DH58" i="6"/>
  <c r="DM58" i="6"/>
  <c r="DN58" i="6"/>
  <c r="DE56" i="6"/>
  <c r="CT56" i="6"/>
  <c r="CZ56" i="6"/>
  <c r="CY56" i="6"/>
  <c r="BX53" i="6"/>
  <c r="BR53" i="6"/>
  <c r="CC53" i="6"/>
  <c r="BW53" i="6"/>
  <c r="BP51" i="6"/>
  <c r="BK51" i="6"/>
  <c r="BQ51" i="6"/>
  <c r="BV51" i="6"/>
  <c r="AO47" i="6"/>
  <c r="AN47" i="6"/>
  <c r="AT47" i="6"/>
  <c r="BO50" i="6"/>
  <c r="BI50" i="6"/>
  <c r="BD50" i="6"/>
  <c r="BJ50" i="6"/>
  <c r="Y2517" i="5"/>
  <c r="Z2517" i="5"/>
  <c r="AA2517" i="5"/>
  <c r="AA4002" i="5"/>
  <c r="Z4002" i="5"/>
  <c r="Y4002" i="5"/>
  <c r="BA49" i="6"/>
  <c r="AP49" i="6"/>
  <c r="AU49" i="6"/>
  <c r="AV49" i="6"/>
  <c r="AA3507" i="5"/>
  <c r="Z3507" i="5"/>
  <c r="Y3507" i="5"/>
  <c r="AA4992" i="5"/>
  <c r="Z4992" i="5"/>
  <c r="Y4992" i="5"/>
  <c r="DY59" i="6"/>
  <c r="DO59" i="6"/>
  <c r="AA536" i="5"/>
  <c r="Y536" i="5"/>
  <c r="Z536" i="5"/>
  <c r="BP52" i="6"/>
  <c r="BQ52" i="6"/>
  <c r="BK52" i="6"/>
  <c r="BV52" i="6"/>
  <c r="CL55" i="6"/>
  <c r="CF55" i="6"/>
  <c r="CQ55" i="6"/>
  <c r="CK55" i="6"/>
  <c r="BA48" i="6"/>
  <c r="AP48" i="6"/>
  <c r="AV48" i="6"/>
  <c r="AU48" i="6"/>
  <c r="AA1032" i="5"/>
  <c r="Z1032" i="5"/>
  <c r="Y1032" i="5"/>
  <c r="CD54" i="6"/>
  <c r="BY54" i="6"/>
  <c r="CE54" i="6"/>
  <c r="CJ54" i="6"/>
  <c r="Y5981" i="5"/>
  <c r="Z5981" i="5"/>
  <c r="F61" i="6"/>
  <c r="X61" i="6"/>
  <c r="T61" i="6"/>
  <c r="J61" i="6"/>
  <c r="V61" i="6"/>
  <c r="N61" i="6"/>
  <c r="R61" i="6"/>
  <c r="L61" i="6"/>
  <c r="Z61" i="6"/>
  <c r="P61" i="6"/>
  <c r="H61" i="6"/>
  <c r="AB61" i="6"/>
  <c r="DT61" i="6" s="1"/>
  <c r="D61" i="6"/>
  <c r="AI61" i="6"/>
  <c r="AK61" i="6"/>
  <c r="AM61" i="6"/>
  <c r="P60" i="6"/>
  <c r="H60" i="6"/>
  <c r="V60" i="6"/>
  <c r="N60" i="6"/>
  <c r="J60" i="6"/>
  <c r="T60" i="6"/>
  <c r="X60" i="6"/>
  <c r="D60" i="6"/>
  <c r="R60" i="6"/>
  <c r="L60" i="6"/>
  <c r="F60" i="6"/>
  <c r="Z60" i="6"/>
  <c r="AK60" i="6"/>
  <c r="AM60" i="6"/>
  <c r="AB60" i="6"/>
  <c r="DT60" i="6" s="1"/>
  <c r="AI60" i="6"/>
  <c r="DX59" i="6"/>
  <c r="AA5982" i="5" s="1"/>
  <c r="EF62" i="6"/>
  <c r="EG62" i="6" s="1"/>
  <c r="EH62" i="6" s="1"/>
  <c r="AA62" i="6" s="1"/>
  <c r="DO61" i="6" l="1"/>
  <c r="DY61" i="6"/>
  <c r="DH59" i="6"/>
  <c r="DM59" i="6"/>
  <c r="DS59" i="6"/>
  <c r="DN59" i="6"/>
  <c r="Y4497" i="5"/>
  <c r="AA4497" i="5"/>
  <c r="Z4497" i="5"/>
  <c r="AA5487" i="5"/>
  <c r="Y5487" i="5"/>
  <c r="Z5487" i="5"/>
  <c r="DY60" i="6"/>
  <c r="DO60" i="6"/>
  <c r="AA2023" i="5"/>
  <c r="Y2023" i="5"/>
  <c r="Z2023" i="5"/>
  <c r="AA1527" i="5"/>
  <c r="Z1527" i="5"/>
  <c r="Y1527" i="5"/>
  <c r="AA2022" i="5"/>
  <c r="Y2022" i="5"/>
  <c r="Z2022" i="5"/>
  <c r="CS57" i="6"/>
  <c r="CX57" i="6"/>
  <c r="CM57" i="6"/>
  <c r="CR57" i="6"/>
  <c r="BX54" i="6"/>
  <c r="CC54" i="6"/>
  <c r="BR54" i="6"/>
  <c r="BW54" i="6"/>
  <c r="AA537" i="5"/>
  <c r="Y537" i="5"/>
  <c r="Z537" i="5"/>
  <c r="AA3013" i="5"/>
  <c r="Y3013" i="5"/>
  <c r="Z3013" i="5"/>
  <c r="AA3508" i="5"/>
  <c r="Y3508" i="5"/>
  <c r="Z3508" i="5"/>
  <c r="BO52" i="6"/>
  <c r="BI52" i="6"/>
  <c r="BD52" i="6"/>
  <c r="BJ52" i="6"/>
  <c r="AO49" i="6"/>
  <c r="AN49" i="6"/>
  <c r="AT49" i="6"/>
  <c r="AA42" i="5"/>
  <c r="Z42" i="5"/>
  <c r="Y42" i="5"/>
  <c r="AA2518" i="5"/>
  <c r="Z2518" i="5"/>
  <c r="Y2518" i="5"/>
  <c r="AA4498" i="5"/>
  <c r="Y4498" i="5"/>
  <c r="Z4498" i="5"/>
  <c r="AO48" i="6"/>
  <c r="AN48" i="6"/>
  <c r="AT48" i="6"/>
  <c r="CD55" i="6"/>
  <c r="BY55" i="6"/>
  <c r="CE55" i="6"/>
  <c r="CJ55" i="6"/>
  <c r="AA538" i="5"/>
  <c r="Y538" i="5"/>
  <c r="Z538" i="5"/>
  <c r="BH50" i="6"/>
  <c r="AW50" i="6"/>
  <c r="BB50" i="6"/>
  <c r="BC50" i="6"/>
  <c r="BO51" i="6"/>
  <c r="BD51" i="6"/>
  <c r="BI51" i="6"/>
  <c r="BJ51" i="6"/>
  <c r="BP53" i="6"/>
  <c r="BK53" i="6"/>
  <c r="BQ53" i="6"/>
  <c r="BV53" i="6"/>
  <c r="CS56" i="6"/>
  <c r="CX56" i="6"/>
  <c r="CM56" i="6"/>
  <c r="CR56" i="6"/>
  <c r="DA58" i="6"/>
  <c r="DL58" i="6"/>
  <c r="DG58" i="6"/>
  <c r="DF58" i="6"/>
  <c r="Y5982" i="5"/>
  <c r="Z5982" i="5"/>
  <c r="DX61" i="6"/>
  <c r="AA5984" i="5" s="1"/>
  <c r="H62" i="6"/>
  <c r="R62" i="6"/>
  <c r="J62" i="6"/>
  <c r="X62" i="6"/>
  <c r="N62" i="6"/>
  <c r="D62" i="6"/>
  <c r="V62" i="6"/>
  <c r="P62" i="6"/>
  <c r="F62" i="6"/>
  <c r="Z62" i="6"/>
  <c r="T62" i="6"/>
  <c r="L62" i="6"/>
  <c r="AM62" i="6"/>
  <c r="AK62" i="6"/>
  <c r="AI62" i="6"/>
  <c r="AB62" i="6"/>
  <c r="DT62" i="6" s="1"/>
  <c r="EF63" i="6"/>
  <c r="EG63" i="6" s="1"/>
  <c r="EH63" i="6" s="1"/>
  <c r="AA63" i="6" s="1"/>
  <c r="DX60" i="6"/>
  <c r="AA5983" i="5" s="1"/>
  <c r="Y4003" i="5" l="1"/>
  <c r="AA4003" i="5"/>
  <c r="Z4003" i="5"/>
  <c r="BH51" i="6"/>
  <c r="AW51" i="6"/>
  <c r="BB51" i="6"/>
  <c r="BC51" i="6"/>
  <c r="DE58" i="6"/>
  <c r="CZ58" i="6"/>
  <c r="CY58" i="6"/>
  <c r="CT58" i="6"/>
  <c r="AA1528" i="5"/>
  <c r="Y1528" i="5"/>
  <c r="Z1528" i="5"/>
  <c r="AA1033" i="5"/>
  <c r="Y1033" i="5"/>
  <c r="Z1033" i="5"/>
  <c r="AA3014" i="5"/>
  <c r="Y3014" i="5"/>
  <c r="Z3014" i="5"/>
  <c r="AA43" i="5"/>
  <c r="Z43" i="5"/>
  <c r="Y43" i="5"/>
  <c r="AA44" i="5"/>
  <c r="Y44" i="5"/>
  <c r="Z44" i="5"/>
  <c r="BH52" i="6"/>
  <c r="AW52" i="6"/>
  <c r="BB52" i="6"/>
  <c r="BC52" i="6"/>
  <c r="DA59" i="6"/>
  <c r="DF59" i="6"/>
  <c r="DG59" i="6"/>
  <c r="DL59" i="6"/>
  <c r="BO53" i="6"/>
  <c r="BD53" i="6"/>
  <c r="BI53" i="6"/>
  <c r="BJ53" i="6"/>
  <c r="BP54" i="6"/>
  <c r="BK54" i="6"/>
  <c r="BQ54" i="6"/>
  <c r="BV54" i="6"/>
  <c r="CL57" i="6"/>
  <c r="CF57" i="6"/>
  <c r="CQ57" i="6"/>
  <c r="CK57" i="6"/>
  <c r="DS60" i="6"/>
  <c r="DH60" i="6"/>
  <c r="DN60" i="6"/>
  <c r="DM60" i="6"/>
  <c r="AA4993" i="5"/>
  <c r="Y4993" i="5"/>
  <c r="Z4993" i="5"/>
  <c r="BA50" i="6"/>
  <c r="AP50" i="6"/>
  <c r="AV50" i="6"/>
  <c r="AU50" i="6"/>
  <c r="AA2024" i="5"/>
  <c r="Y2024" i="5"/>
  <c r="Z2024" i="5"/>
  <c r="DO62" i="6"/>
  <c r="DY62" i="6"/>
  <c r="CL56" i="6"/>
  <c r="CF56" i="6"/>
  <c r="CK56" i="6"/>
  <c r="CQ56" i="6"/>
  <c r="BX55" i="6"/>
  <c r="BR55" i="6"/>
  <c r="CC55" i="6"/>
  <c r="BW55" i="6"/>
  <c r="AA1529" i="5"/>
  <c r="Y1529" i="5"/>
  <c r="Z1529" i="5"/>
  <c r="AA2519" i="5"/>
  <c r="Y2519" i="5"/>
  <c r="Z2519" i="5"/>
  <c r="AA4004" i="5"/>
  <c r="Y4004" i="5"/>
  <c r="Z4004" i="5"/>
  <c r="AA5488" i="5"/>
  <c r="Y5488" i="5"/>
  <c r="Z5488" i="5"/>
  <c r="DH61" i="6"/>
  <c r="DM61" i="6"/>
  <c r="DN61" i="6"/>
  <c r="DS61" i="6"/>
  <c r="Y5984" i="5"/>
  <c r="Z5984" i="5"/>
  <c r="Y5983" i="5"/>
  <c r="Z5983" i="5"/>
  <c r="EF64" i="6"/>
  <c r="EG64" i="6" s="1"/>
  <c r="EH64" i="6" s="1"/>
  <c r="AA64" i="6" s="1"/>
  <c r="D63" i="6"/>
  <c r="R63" i="6"/>
  <c r="J63" i="6"/>
  <c r="F63" i="6"/>
  <c r="X63" i="6"/>
  <c r="P63" i="6"/>
  <c r="H63" i="6"/>
  <c r="Z63" i="6"/>
  <c r="V63" i="6"/>
  <c r="N63" i="6"/>
  <c r="T63" i="6"/>
  <c r="L63" i="6"/>
  <c r="AI63" i="6"/>
  <c r="AK63" i="6"/>
  <c r="AB63" i="6"/>
  <c r="DT63" i="6" s="1"/>
  <c r="AM63" i="6"/>
  <c r="DX62" i="6"/>
  <c r="AA5985" i="5" s="1"/>
  <c r="DA60" i="6" l="1"/>
  <c r="DF60" i="6"/>
  <c r="DL60" i="6"/>
  <c r="DG60" i="6"/>
  <c r="BO54" i="6"/>
  <c r="BI54" i="6"/>
  <c r="BD54" i="6"/>
  <c r="BJ54" i="6"/>
  <c r="AA1034" i="5"/>
  <c r="Y1034" i="5"/>
  <c r="Z1034" i="5"/>
  <c r="AO50" i="6"/>
  <c r="AT50" i="6"/>
  <c r="AN50" i="6"/>
  <c r="Y5489" i="5"/>
  <c r="AA5489" i="5"/>
  <c r="Z5489" i="5"/>
  <c r="AA1530" i="5"/>
  <c r="Z1530" i="5"/>
  <c r="Y1530" i="5"/>
  <c r="DE59" i="6"/>
  <c r="CT59" i="6"/>
  <c r="CZ59" i="6"/>
  <c r="CY59" i="6"/>
  <c r="AA1035" i="5"/>
  <c r="Y1035" i="5"/>
  <c r="Z1035" i="5"/>
  <c r="CS58" i="6"/>
  <c r="CM58" i="6"/>
  <c r="CX58" i="6"/>
  <c r="CR58" i="6"/>
  <c r="CD56" i="6"/>
  <c r="BY56" i="6"/>
  <c r="CJ56" i="6"/>
  <c r="CE56" i="6"/>
  <c r="BH53" i="6"/>
  <c r="AW53" i="6"/>
  <c r="BB53" i="6"/>
  <c r="BC53" i="6"/>
  <c r="DA61" i="6"/>
  <c r="DF61" i="6"/>
  <c r="DL61" i="6"/>
  <c r="DG61" i="6"/>
  <c r="DY63" i="6"/>
  <c r="DO63" i="6"/>
  <c r="AA5490" i="5"/>
  <c r="Z5490" i="5"/>
  <c r="Y5490" i="5"/>
  <c r="AA3509" i="5"/>
  <c r="Y3509" i="5"/>
  <c r="Z3509" i="5"/>
  <c r="AA539" i="5"/>
  <c r="Y539" i="5"/>
  <c r="Z539" i="5"/>
  <c r="AA2025" i="5"/>
  <c r="Y2025" i="5"/>
  <c r="Z2025" i="5"/>
  <c r="AA4994" i="5"/>
  <c r="Y4994" i="5"/>
  <c r="Z4994" i="5"/>
  <c r="BP55" i="6"/>
  <c r="BK55" i="6"/>
  <c r="BQ55" i="6"/>
  <c r="BV55" i="6"/>
  <c r="CD57" i="6"/>
  <c r="BY57" i="6"/>
  <c r="CJ57" i="6"/>
  <c r="CE57" i="6"/>
  <c r="BA52" i="6"/>
  <c r="AP52" i="6"/>
  <c r="AV52" i="6"/>
  <c r="AU52" i="6"/>
  <c r="AA4499" i="5"/>
  <c r="Z4499" i="5"/>
  <c r="Y4499" i="5"/>
  <c r="AA2520" i="5"/>
  <c r="Y2520" i="5"/>
  <c r="Z2520" i="5"/>
  <c r="DS62" i="6"/>
  <c r="DH62" i="6"/>
  <c r="DN62" i="6"/>
  <c r="DM62" i="6"/>
  <c r="AA3510" i="5"/>
  <c r="Y3510" i="5"/>
  <c r="Z3510" i="5"/>
  <c r="BA51" i="6"/>
  <c r="AP51" i="6"/>
  <c r="AV51" i="6"/>
  <c r="AU51" i="6"/>
  <c r="Y5985" i="5"/>
  <c r="Z5985" i="5"/>
  <c r="EF65" i="6"/>
  <c r="EG65" i="6" s="1"/>
  <c r="EH65" i="6" s="1"/>
  <c r="AA65" i="6" s="1"/>
  <c r="DX63" i="6"/>
  <c r="AA5986" i="5" s="1"/>
  <c r="L64" i="6"/>
  <c r="X64" i="6"/>
  <c r="R64" i="6"/>
  <c r="F64" i="6"/>
  <c r="T64" i="6"/>
  <c r="J64" i="6"/>
  <c r="P64" i="6"/>
  <c r="H64" i="6"/>
  <c r="V64" i="6"/>
  <c r="N64" i="6"/>
  <c r="D64" i="6"/>
  <c r="AK64" i="6"/>
  <c r="AM64" i="6"/>
  <c r="Z64" i="6"/>
  <c r="AI64" i="6"/>
  <c r="AB64" i="6"/>
  <c r="DT64" i="6" s="1"/>
  <c r="DA62" i="6" l="1"/>
  <c r="DG62" i="6"/>
  <c r="DL62" i="6"/>
  <c r="DF62" i="6"/>
  <c r="AA2026" i="5"/>
  <c r="Z2026" i="5"/>
  <c r="Y2026" i="5"/>
  <c r="DE61" i="6"/>
  <c r="CT61" i="6"/>
  <c r="CY61" i="6"/>
  <c r="CZ61" i="6"/>
  <c r="AA1036" i="5"/>
  <c r="Z1036" i="5"/>
  <c r="Y1036" i="5"/>
  <c r="AO51" i="6"/>
  <c r="AN51" i="6"/>
  <c r="AT51" i="6"/>
  <c r="AA5491" i="5"/>
  <c r="Y5491" i="5"/>
  <c r="Z5491" i="5"/>
  <c r="AA3016" i="5"/>
  <c r="Z3016" i="5"/>
  <c r="Y3016" i="5"/>
  <c r="BH54" i="6"/>
  <c r="AW54" i="6"/>
  <c r="BB54" i="6"/>
  <c r="BC54" i="6"/>
  <c r="AA4995" i="5"/>
  <c r="Y4995" i="5"/>
  <c r="Z4995" i="5"/>
  <c r="AA540" i="5"/>
  <c r="Y540" i="5"/>
  <c r="Z540" i="5"/>
  <c r="AO52" i="6"/>
  <c r="AN52" i="6"/>
  <c r="AT52" i="6"/>
  <c r="BX57" i="6"/>
  <c r="BR57" i="6"/>
  <c r="CC57" i="6"/>
  <c r="BW57" i="6"/>
  <c r="BO55" i="6"/>
  <c r="BD55" i="6"/>
  <c r="BI55" i="6"/>
  <c r="BJ55" i="6"/>
  <c r="AA4996" i="5"/>
  <c r="Y4996" i="5"/>
  <c r="Z4996" i="5"/>
  <c r="AA3015" i="5"/>
  <c r="Y3015" i="5"/>
  <c r="Z3015" i="5"/>
  <c r="AA4005" i="5"/>
  <c r="Y4005" i="5"/>
  <c r="Z4005" i="5"/>
  <c r="CS59" i="6"/>
  <c r="CM59" i="6"/>
  <c r="CX59" i="6"/>
  <c r="CR59" i="6"/>
  <c r="DY64" i="6"/>
  <c r="DO64" i="6"/>
  <c r="Y541" i="5"/>
  <c r="AA541" i="5"/>
  <c r="Z541" i="5"/>
  <c r="DH63" i="6"/>
  <c r="DS63" i="6"/>
  <c r="DM63" i="6"/>
  <c r="DN63" i="6"/>
  <c r="BA53" i="6"/>
  <c r="AP53" i="6"/>
  <c r="AU53" i="6"/>
  <c r="AV53" i="6"/>
  <c r="BX56" i="6"/>
  <c r="BR56" i="6"/>
  <c r="CC56" i="6"/>
  <c r="BW56" i="6"/>
  <c r="CL58" i="6"/>
  <c r="CF58" i="6"/>
  <c r="CQ58" i="6"/>
  <c r="CK58" i="6"/>
  <c r="AA4500" i="5"/>
  <c r="Y4500" i="5"/>
  <c r="Z4500" i="5"/>
  <c r="AA45" i="5"/>
  <c r="Z45" i="5"/>
  <c r="Y45" i="5"/>
  <c r="AA1531" i="5"/>
  <c r="Y1531" i="5"/>
  <c r="Z1531" i="5"/>
  <c r="DE60" i="6"/>
  <c r="CT60" i="6"/>
  <c r="CZ60" i="6"/>
  <c r="CY60" i="6"/>
  <c r="Y5986" i="5"/>
  <c r="Z5986" i="5"/>
  <c r="J65" i="6"/>
  <c r="D65" i="6"/>
  <c r="R65" i="6"/>
  <c r="H65" i="6"/>
  <c r="X65" i="6"/>
  <c r="P65" i="6"/>
  <c r="Z65" i="6"/>
  <c r="V65" i="6"/>
  <c r="N65" i="6"/>
  <c r="T65" i="6"/>
  <c r="L65" i="6"/>
  <c r="AB65" i="6"/>
  <c r="DT65" i="6" s="1"/>
  <c r="F65" i="6"/>
  <c r="AM65" i="6"/>
  <c r="AI65" i="6"/>
  <c r="AK65" i="6"/>
  <c r="EF66" i="6"/>
  <c r="EG66" i="6" s="1"/>
  <c r="EH66" i="6" s="1"/>
  <c r="AA66" i="6" s="1"/>
  <c r="DX64" i="6"/>
  <c r="AA5987" i="5" s="1"/>
  <c r="AO53" i="6" l="1"/>
  <c r="AN53" i="6"/>
  <c r="AT53" i="6"/>
  <c r="AA4006" i="5"/>
  <c r="Z4006" i="5"/>
  <c r="Y4006" i="5"/>
  <c r="AA47" i="5"/>
  <c r="Y47" i="5"/>
  <c r="Z47" i="5"/>
  <c r="AA4502" i="5"/>
  <c r="Y4502" i="5"/>
  <c r="Z4502" i="5"/>
  <c r="AA542" i="5"/>
  <c r="Y542" i="5"/>
  <c r="Z542" i="5"/>
  <c r="DA63" i="6"/>
  <c r="DL63" i="6"/>
  <c r="DG63" i="6"/>
  <c r="DF63" i="6"/>
  <c r="DH64" i="6"/>
  <c r="DN64" i="6"/>
  <c r="DS64" i="6"/>
  <c r="DM64" i="6"/>
  <c r="CL59" i="6"/>
  <c r="CF59" i="6"/>
  <c r="CQ59" i="6"/>
  <c r="CK59" i="6"/>
  <c r="AA2522" i="5"/>
  <c r="Z2522" i="5"/>
  <c r="Y2522" i="5"/>
  <c r="AA4997" i="5"/>
  <c r="Z4997" i="5"/>
  <c r="Y4997" i="5"/>
  <c r="CD58" i="6"/>
  <c r="BY58" i="6"/>
  <c r="CE58" i="6"/>
  <c r="CJ58" i="6"/>
  <c r="AA1037" i="5"/>
  <c r="Y1037" i="5"/>
  <c r="Z1037" i="5"/>
  <c r="BH55" i="6"/>
  <c r="AW55" i="6"/>
  <c r="BB55" i="6"/>
  <c r="BC55" i="6"/>
  <c r="BP57" i="6"/>
  <c r="BK57" i="6"/>
  <c r="BQ57" i="6"/>
  <c r="BV57" i="6"/>
  <c r="Y4501" i="5"/>
  <c r="AA4501" i="5"/>
  <c r="Z4501" i="5"/>
  <c r="BP56" i="6"/>
  <c r="BQ56" i="6"/>
  <c r="BK56" i="6"/>
  <c r="BV56" i="6"/>
  <c r="AA5492" i="5"/>
  <c r="Y5492" i="5"/>
  <c r="Z5492" i="5"/>
  <c r="DO65" i="6"/>
  <c r="DY65" i="6"/>
  <c r="CS60" i="6"/>
  <c r="CX60" i="6"/>
  <c r="CM60" i="6"/>
  <c r="CR60" i="6"/>
  <c r="AA3511" i="5"/>
  <c r="Y3511" i="5"/>
  <c r="Z3511" i="5"/>
  <c r="Y2521" i="5"/>
  <c r="AA2521" i="5"/>
  <c r="Z2521" i="5"/>
  <c r="AA1532" i="5"/>
  <c r="Y1532" i="5"/>
  <c r="Z1532" i="5"/>
  <c r="BA54" i="6"/>
  <c r="AP54" i="6"/>
  <c r="AV54" i="6"/>
  <c r="AU54" i="6"/>
  <c r="AA46" i="5"/>
  <c r="Z46" i="5"/>
  <c r="Y46" i="5"/>
  <c r="CS61" i="6"/>
  <c r="CX61" i="6"/>
  <c r="CM61" i="6"/>
  <c r="CR61" i="6"/>
  <c r="DE62" i="6"/>
  <c r="CZ62" i="6"/>
  <c r="CY62" i="6"/>
  <c r="CT62" i="6"/>
  <c r="Y5987" i="5"/>
  <c r="Z5987" i="5"/>
  <c r="H66" i="6"/>
  <c r="V66" i="6"/>
  <c r="L66" i="6"/>
  <c r="P66" i="6"/>
  <c r="T66" i="6"/>
  <c r="J66" i="6"/>
  <c r="Z66" i="6"/>
  <c r="R66" i="6"/>
  <c r="D66" i="6"/>
  <c r="X66" i="6"/>
  <c r="N66" i="6"/>
  <c r="F66" i="6"/>
  <c r="AM66" i="6"/>
  <c r="AK66" i="6"/>
  <c r="AB66" i="6"/>
  <c r="DT66" i="6" s="1"/>
  <c r="AI66" i="6"/>
  <c r="DX65" i="6"/>
  <c r="AA5988" i="5" s="1"/>
  <c r="EF67" i="6"/>
  <c r="DE63" i="6" l="1"/>
  <c r="CT63" i="6"/>
  <c r="CY63" i="6"/>
  <c r="CZ63" i="6"/>
  <c r="AO54" i="6"/>
  <c r="AT54" i="6"/>
  <c r="AN54" i="6"/>
  <c r="CL60" i="6"/>
  <c r="CF60" i="6"/>
  <c r="CK60" i="6"/>
  <c r="CQ60" i="6"/>
  <c r="DH65" i="6"/>
  <c r="DM65" i="6"/>
  <c r="DS65" i="6"/>
  <c r="DN65" i="6"/>
  <c r="AA2027" i="5"/>
  <c r="Y2027" i="5"/>
  <c r="Z2027" i="5"/>
  <c r="BX58" i="6"/>
  <c r="CC58" i="6"/>
  <c r="BR58" i="6"/>
  <c r="BW58" i="6"/>
  <c r="AA48" i="5"/>
  <c r="Z48" i="5"/>
  <c r="Y48" i="5"/>
  <c r="CS62" i="6"/>
  <c r="CM62" i="6"/>
  <c r="CX62" i="6"/>
  <c r="CR62" i="6"/>
  <c r="AA2028" i="5"/>
  <c r="Y2028" i="5"/>
  <c r="Z2028" i="5"/>
  <c r="BO56" i="6"/>
  <c r="BI56" i="6"/>
  <c r="BD56" i="6"/>
  <c r="BJ56" i="6"/>
  <c r="BO57" i="6"/>
  <c r="BD57" i="6"/>
  <c r="BI57" i="6"/>
  <c r="BJ57" i="6"/>
  <c r="BA55" i="6"/>
  <c r="AP55" i="6"/>
  <c r="AV55" i="6"/>
  <c r="AU55" i="6"/>
  <c r="AA3512" i="5"/>
  <c r="Z3512" i="5"/>
  <c r="Y3512" i="5"/>
  <c r="AA5493" i="5"/>
  <c r="Y5493" i="5"/>
  <c r="Z5493" i="5"/>
  <c r="DA64" i="6"/>
  <c r="DG64" i="6"/>
  <c r="DF64" i="6"/>
  <c r="DL64" i="6"/>
  <c r="CL61" i="6"/>
  <c r="CF61" i="6"/>
  <c r="CQ61" i="6"/>
  <c r="CK61" i="6"/>
  <c r="AA4008" i="5"/>
  <c r="Y4008" i="5"/>
  <c r="Z4008" i="5"/>
  <c r="AA543" i="5"/>
  <c r="Z543" i="5"/>
  <c r="Y543" i="5"/>
  <c r="AA4007" i="5"/>
  <c r="Y4007" i="5"/>
  <c r="Z4007" i="5"/>
  <c r="DO66" i="6"/>
  <c r="DY66" i="6"/>
  <c r="AA4503" i="5"/>
  <c r="Y4503" i="5"/>
  <c r="Z4503" i="5"/>
  <c r="AA1038" i="5"/>
  <c r="Y1038" i="5"/>
  <c r="Z1038" i="5"/>
  <c r="AA3017" i="5"/>
  <c r="Z3017" i="5"/>
  <c r="Y3017" i="5"/>
  <c r="BY59" i="6"/>
  <c r="CE59" i="6"/>
  <c r="CD59" i="6"/>
  <c r="CJ59" i="6"/>
  <c r="AA4998" i="5"/>
  <c r="Y4998" i="5"/>
  <c r="Z4998" i="5"/>
  <c r="Y5988" i="5"/>
  <c r="Z5988" i="5"/>
  <c r="EF68" i="6"/>
  <c r="EG68" i="6" s="1"/>
  <c r="EH68" i="6" s="1"/>
  <c r="AA68" i="6" s="1"/>
  <c r="DX66" i="6"/>
  <c r="AA5989" i="5" s="1"/>
  <c r="EG67" i="6"/>
  <c r="EH67" i="6" s="1"/>
  <c r="AA67" i="6" s="1"/>
  <c r="BY61" i="6" l="1"/>
  <c r="CE61" i="6"/>
  <c r="CD61" i="6"/>
  <c r="CJ61" i="6"/>
  <c r="AA2523" i="5"/>
  <c r="Z2523" i="5"/>
  <c r="Y2523" i="5"/>
  <c r="BX59" i="6"/>
  <c r="BR59" i="6"/>
  <c r="CC59" i="6"/>
  <c r="BW59" i="6"/>
  <c r="DE64" i="6"/>
  <c r="CT64" i="6"/>
  <c r="CZ64" i="6"/>
  <c r="CY64" i="6"/>
  <c r="BH56" i="6"/>
  <c r="AW56" i="6"/>
  <c r="BB56" i="6"/>
  <c r="BC56" i="6"/>
  <c r="CL62" i="6"/>
  <c r="CF62" i="6"/>
  <c r="CQ62" i="6"/>
  <c r="CK62" i="6"/>
  <c r="AA3513" i="5"/>
  <c r="Z3513" i="5"/>
  <c r="Y3513" i="5"/>
  <c r="DA65" i="6"/>
  <c r="DL65" i="6"/>
  <c r="DF65" i="6"/>
  <c r="DG65" i="6"/>
  <c r="AA3018" i="5"/>
  <c r="Y3018" i="5"/>
  <c r="Z3018" i="5"/>
  <c r="AA4999" i="5"/>
  <c r="Y4999" i="5"/>
  <c r="Z4999" i="5"/>
  <c r="AO55" i="6"/>
  <c r="AN55" i="6"/>
  <c r="AT55" i="6"/>
  <c r="BH57" i="6"/>
  <c r="AW57" i="6"/>
  <c r="BB57" i="6"/>
  <c r="BC57" i="6"/>
  <c r="AA5494" i="5"/>
  <c r="Y5494" i="5"/>
  <c r="Z5494" i="5"/>
  <c r="AA49" i="5"/>
  <c r="Z49" i="5"/>
  <c r="Y49" i="5"/>
  <c r="CS63" i="6"/>
  <c r="CM63" i="6"/>
  <c r="CX63" i="6"/>
  <c r="CR63" i="6"/>
  <c r="DH66" i="6"/>
  <c r="DS66" i="6"/>
  <c r="DN66" i="6"/>
  <c r="DM66" i="6"/>
  <c r="Y4009" i="5"/>
  <c r="AA4009" i="5"/>
  <c r="Z4009" i="5"/>
  <c r="AA3514" i="5"/>
  <c r="Y3514" i="5"/>
  <c r="Z3514" i="5"/>
  <c r="AA544" i="5"/>
  <c r="Y544" i="5"/>
  <c r="Z544" i="5"/>
  <c r="AA1534" i="5"/>
  <c r="Y1534" i="5"/>
  <c r="Z1534" i="5"/>
  <c r="Y1533" i="5"/>
  <c r="AA1533" i="5"/>
  <c r="Z1533" i="5"/>
  <c r="BP58" i="6"/>
  <c r="BQ58" i="6"/>
  <c r="BK58" i="6"/>
  <c r="BV58" i="6"/>
  <c r="CE60" i="6"/>
  <c r="BY60" i="6"/>
  <c r="CD60" i="6"/>
  <c r="CJ60" i="6"/>
  <c r="AA4504" i="5"/>
  <c r="Y4504" i="5"/>
  <c r="Z4504" i="5"/>
  <c r="Y5989" i="5"/>
  <c r="Z5989" i="5"/>
  <c r="N67" i="6"/>
  <c r="T67" i="6"/>
  <c r="J67" i="6"/>
  <c r="F67" i="6"/>
  <c r="Z67" i="6"/>
  <c r="R67" i="6"/>
  <c r="H67" i="6"/>
  <c r="D67" i="6"/>
  <c r="X67" i="6"/>
  <c r="P67" i="6"/>
  <c r="V67" i="6"/>
  <c r="L67" i="6"/>
  <c r="AI67" i="6"/>
  <c r="AB67" i="6"/>
  <c r="DT67" i="6" s="1"/>
  <c r="AM67" i="6"/>
  <c r="AK67" i="6"/>
  <c r="X68" i="6"/>
  <c r="R68" i="6"/>
  <c r="J68" i="6"/>
  <c r="V68" i="6"/>
  <c r="N68" i="6"/>
  <c r="D68" i="6"/>
  <c r="T68" i="6"/>
  <c r="H68" i="6"/>
  <c r="F68" i="6"/>
  <c r="P68" i="6"/>
  <c r="L68" i="6"/>
  <c r="AK68" i="6"/>
  <c r="AB68" i="6"/>
  <c r="DT68" i="6" s="1"/>
  <c r="Z68" i="6"/>
  <c r="AM68" i="6"/>
  <c r="AI68" i="6"/>
  <c r="EF69" i="6"/>
  <c r="EG69" i="6" s="1"/>
  <c r="EH69" i="6" s="1"/>
  <c r="AA69" i="6" s="1"/>
  <c r="DY67" i="6" l="1"/>
  <c r="DO67" i="6"/>
  <c r="BO58" i="6"/>
  <c r="BI58" i="6"/>
  <c r="BD58" i="6"/>
  <c r="BJ58" i="6"/>
  <c r="AA5495" i="5"/>
  <c r="Z5495" i="5"/>
  <c r="Y5495" i="5"/>
  <c r="CL63" i="6"/>
  <c r="CF63" i="6"/>
  <c r="CQ63" i="6"/>
  <c r="CK63" i="6"/>
  <c r="AA50" i="5"/>
  <c r="Z50" i="5"/>
  <c r="Y50" i="5"/>
  <c r="DE65" i="6"/>
  <c r="CY65" i="6"/>
  <c r="CT65" i="6"/>
  <c r="CZ65" i="6"/>
  <c r="AA2029" i="5"/>
  <c r="Y2029" i="5"/>
  <c r="Z2029" i="5"/>
  <c r="AA4010" i="5"/>
  <c r="Z4010" i="5"/>
  <c r="Y4010" i="5"/>
  <c r="AA1040" i="5"/>
  <c r="Z1040" i="5"/>
  <c r="Y1040" i="5"/>
  <c r="AA5000" i="5"/>
  <c r="Y5000" i="5"/>
  <c r="Z5000" i="5"/>
  <c r="Y1039" i="5"/>
  <c r="AA1039" i="5"/>
  <c r="Z1039" i="5"/>
  <c r="Y4505" i="5"/>
  <c r="AA4505" i="5"/>
  <c r="Z4505" i="5"/>
  <c r="AA3020" i="5"/>
  <c r="Y3020" i="5"/>
  <c r="Z3020" i="5"/>
  <c r="DO68" i="6"/>
  <c r="DY68" i="6"/>
  <c r="BX60" i="6"/>
  <c r="BR60" i="6"/>
  <c r="CC60" i="6"/>
  <c r="BW60" i="6"/>
  <c r="DA66" i="6"/>
  <c r="DG66" i="6"/>
  <c r="DL66" i="6"/>
  <c r="DF66" i="6"/>
  <c r="AA3515" i="5"/>
  <c r="Y3515" i="5"/>
  <c r="Z3515" i="5"/>
  <c r="AA2524" i="5"/>
  <c r="Y2524" i="5"/>
  <c r="Z2524" i="5"/>
  <c r="AA3019" i="5"/>
  <c r="Y3019" i="5"/>
  <c r="Z3019" i="5"/>
  <c r="BA57" i="6"/>
  <c r="AP57" i="6"/>
  <c r="AU57" i="6"/>
  <c r="AV57" i="6"/>
  <c r="CE62" i="6"/>
  <c r="BY62" i="6"/>
  <c r="CD62" i="6"/>
  <c r="CJ62" i="6"/>
  <c r="BA56" i="6"/>
  <c r="AP56" i="6"/>
  <c r="AV56" i="6"/>
  <c r="AU56" i="6"/>
  <c r="CS64" i="6"/>
  <c r="CX64" i="6"/>
  <c r="CM64" i="6"/>
  <c r="CR64" i="6"/>
  <c r="BP59" i="6"/>
  <c r="BK59" i="6"/>
  <c r="BQ59" i="6"/>
  <c r="BV59" i="6"/>
  <c r="BX61" i="6"/>
  <c r="BR61" i="6"/>
  <c r="CC61" i="6"/>
  <c r="BW61" i="6"/>
  <c r="F69" i="6"/>
  <c r="T69" i="6"/>
  <c r="H69" i="6"/>
  <c r="Z69" i="6"/>
  <c r="X69" i="6"/>
  <c r="P69" i="6"/>
  <c r="J69" i="6"/>
  <c r="V69" i="6"/>
  <c r="N69" i="6"/>
  <c r="R69" i="6"/>
  <c r="L69" i="6"/>
  <c r="AB69" i="6"/>
  <c r="DT69" i="6" s="1"/>
  <c r="D69" i="6"/>
  <c r="AI69" i="6"/>
  <c r="AM69" i="6"/>
  <c r="AK69" i="6"/>
  <c r="DX67" i="6"/>
  <c r="AA5990" i="5" s="1"/>
  <c r="EF70" i="6"/>
  <c r="EG70" i="6" s="1"/>
  <c r="EH70" i="6" s="1"/>
  <c r="AA70" i="6" s="1"/>
  <c r="DX68" i="6"/>
  <c r="AA5991" i="5" s="1"/>
  <c r="DE66" i="6" l="1"/>
  <c r="CT66" i="6"/>
  <c r="CZ66" i="6"/>
  <c r="CY66" i="6"/>
  <c r="AA2526" i="5"/>
  <c r="Z2526" i="5"/>
  <c r="Y2526" i="5"/>
  <c r="CL64" i="6"/>
  <c r="CF64" i="6"/>
  <c r="CK64" i="6"/>
  <c r="CQ64" i="6"/>
  <c r="CS65" i="6"/>
  <c r="CR65" i="6"/>
  <c r="CM65" i="6"/>
  <c r="CX65" i="6"/>
  <c r="BY63" i="6"/>
  <c r="CE63" i="6"/>
  <c r="CD63" i="6"/>
  <c r="CJ63" i="6"/>
  <c r="AA1535" i="5"/>
  <c r="Y1535" i="5"/>
  <c r="Z1535" i="5"/>
  <c r="AA3021" i="5"/>
  <c r="Y3021" i="5"/>
  <c r="Z3021" i="5"/>
  <c r="BO59" i="6"/>
  <c r="BJ59" i="6"/>
  <c r="BD59" i="6"/>
  <c r="BI59" i="6"/>
  <c r="AA4011" i="5"/>
  <c r="Y4011" i="5"/>
  <c r="Z4011" i="5"/>
  <c r="BX62" i="6"/>
  <c r="CC62" i="6"/>
  <c r="BR62" i="6"/>
  <c r="BW62" i="6"/>
  <c r="AO57" i="6"/>
  <c r="AN57" i="6"/>
  <c r="AT57" i="6"/>
  <c r="AA5001" i="5"/>
  <c r="Z5001" i="5"/>
  <c r="Y5001" i="5"/>
  <c r="Y2525" i="5"/>
  <c r="AA2525" i="5"/>
  <c r="Z2525" i="5"/>
  <c r="DS68" i="6"/>
  <c r="DH68" i="6"/>
  <c r="DN68" i="6"/>
  <c r="DM68" i="6"/>
  <c r="DH67" i="6"/>
  <c r="DM67" i="6"/>
  <c r="DS67" i="6"/>
  <c r="DN67" i="6"/>
  <c r="DO69" i="6"/>
  <c r="DY69" i="6"/>
  <c r="AA2030" i="5"/>
  <c r="Y2030" i="5"/>
  <c r="Z2030" i="5"/>
  <c r="AA3516" i="5"/>
  <c r="Y3516" i="5"/>
  <c r="Z3516" i="5"/>
  <c r="BP61" i="6"/>
  <c r="BK61" i="6"/>
  <c r="BQ61" i="6"/>
  <c r="BV61" i="6"/>
  <c r="AO56" i="6"/>
  <c r="AN56" i="6"/>
  <c r="AT56" i="6"/>
  <c r="AA545" i="5"/>
  <c r="Z545" i="5"/>
  <c r="Y545" i="5"/>
  <c r="AA546" i="5"/>
  <c r="Y546" i="5"/>
  <c r="Z546" i="5"/>
  <c r="BP60" i="6"/>
  <c r="BK60" i="6"/>
  <c r="BQ60" i="6"/>
  <c r="BV60" i="6"/>
  <c r="AA4506" i="5"/>
  <c r="Y4506" i="5"/>
  <c r="Z4506" i="5"/>
  <c r="BH58" i="6"/>
  <c r="AW58" i="6"/>
  <c r="BB58" i="6"/>
  <c r="BC58" i="6"/>
  <c r="Y5991" i="5"/>
  <c r="Z5991" i="5"/>
  <c r="Y5990" i="5"/>
  <c r="Z5990" i="5"/>
  <c r="DX69" i="6"/>
  <c r="AA5992" i="5" s="1"/>
  <c r="X70" i="6"/>
  <c r="N70" i="6"/>
  <c r="D70" i="6"/>
  <c r="V70" i="6"/>
  <c r="L70" i="6"/>
  <c r="F70" i="6"/>
  <c r="Z70" i="6"/>
  <c r="T70" i="6"/>
  <c r="P70" i="6"/>
  <c r="R70" i="6"/>
  <c r="J70" i="6"/>
  <c r="AM70" i="6"/>
  <c r="AB70" i="6"/>
  <c r="DT70" i="6" s="1"/>
  <c r="AI70" i="6"/>
  <c r="AK70" i="6"/>
  <c r="H70" i="6"/>
  <c r="EF71" i="6"/>
  <c r="EG71" i="6" s="1"/>
  <c r="EH71" i="6" s="1"/>
  <c r="AA71" i="6" s="1"/>
  <c r="BH59" i="6" l="1"/>
  <c r="AW59" i="6"/>
  <c r="BB59" i="6"/>
  <c r="BC59" i="6"/>
  <c r="DO70" i="6"/>
  <c r="DY70" i="6"/>
  <c r="BA58" i="6"/>
  <c r="AP58" i="6"/>
  <c r="AV58" i="6"/>
  <c r="AU58" i="6"/>
  <c r="BJ61" i="6"/>
  <c r="BD61" i="6"/>
  <c r="BO61" i="6"/>
  <c r="BI61" i="6"/>
  <c r="DA68" i="6"/>
  <c r="DF68" i="6"/>
  <c r="DG68" i="6"/>
  <c r="DL68" i="6"/>
  <c r="AA52" i="5"/>
  <c r="Z52" i="5"/>
  <c r="Y52" i="5"/>
  <c r="BP62" i="6"/>
  <c r="BK62" i="6"/>
  <c r="BQ62" i="6"/>
  <c r="BV62" i="6"/>
  <c r="AA3022" i="5"/>
  <c r="Y3022" i="5"/>
  <c r="Z3022" i="5"/>
  <c r="AA4012" i="5"/>
  <c r="Y4012" i="5"/>
  <c r="Z4012" i="5"/>
  <c r="AA3517" i="5"/>
  <c r="Y3517" i="5"/>
  <c r="Z3517" i="5"/>
  <c r="BJ60" i="6"/>
  <c r="BD60" i="6"/>
  <c r="BI60" i="6"/>
  <c r="BO60" i="6"/>
  <c r="AA5496" i="5"/>
  <c r="Y5496" i="5"/>
  <c r="Z5496" i="5"/>
  <c r="AA1041" i="5"/>
  <c r="Y1041" i="5"/>
  <c r="Z1041" i="5"/>
  <c r="DA67" i="6"/>
  <c r="DG67" i="6"/>
  <c r="DL67" i="6"/>
  <c r="DF67" i="6"/>
  <c r="Y5497" i="5"/>
  <c r="AA5497" i="5"/>
  <c r="Z5497" i="5"/>
  <c r="AA2527" i="5"/>
  <c r="Y2527" i="5"/>
  <c r="Z2527" i="5"/>
  <c r="AA1536" i="5"/>
  <c r="Y1536" i="5"/>
  <c r="Z1536" i="5"/>
  <c r="CL65" i="6"/>
  <c r="CF65" i="6"/>
  <c r="CQ65" i="6"/>
  <c r="CK65" i="6"/>
  <c r="CS66" i="6"/>
  <c r="CM66" i="6"/>
  <c r="CX66" i="6"/>
  <c r="CR66" i="6"/>
  <c r="AA51" i="5"/>
  <c r="Z51" i="5"/>
  <c r="Y51" i="5"/>
  <c r="BX63" i="6"/>
  <c r="BR63" i="6"/>
  <c r="CC63" i="6"/>
  <c r="BW63" i="6"/>
  <c r="AA2031" i="5"/>
  <c r="Z2031" i="5"/>
  <c r="Y2031" i="5"/>
  <c r="DH69" i="6"/>
  <c r="DM69" i="6"/>
  <c r="DS69" i="6"/>
  <c r="DN69" i="6"/>
  <c r="AA2032" i="5"/>
  <c r="Z2032" i="5"/>
  <c r="Y2032" i="5"/>
  <c r="CE64" i="6"/>
  <c r="BY64" i="6"/>
  <c r="CD64" i="6"/>
  <c r="CJ64" i="6"/>
  <c r="AA4507" i="5"/>
  <c r="Z4507" i="5"/>
  <c r="Y4507" i="5"/>
  <c r="Y5992" i="5"/>
  <c r="Z5992" i="5"/>
  <c r="EF72" i="6"/>
  <c r="Z71" i="6"/>
  <c r="T71" i="6"/>
  <c r="J71" i="6"/>
  <c r="R71" i="6"/>
  <c r="N71" i="6"/>
  <c r="F71" i="6"/>
  <c r="X71" i="6"/>
  <c r="P71" i="6"/>
  <c r="H71" i="6"/>
  <c r="D71" i="6"/>
  <c r="V71" i="6"/>
  <c r="L71" i="6"/>
  <c r="AI71" i="6"/>
  <c r="AK71" i="6"/>
  <c r="AB71" i="6"/>
  <c r="DT71" i="6" s="1"/>
  <c r="AM71" i="6"/>
  <c r="DX70" i="6"/>
  <c r="AA5993" i="5" s="1"/>
  <c r="DA69" i="6" l="1"/>
  <c r="DF69" i="6"/>
  <c r="DG69" i="6"/>
  <c r="DL69" i="6"/>
  <c r="AA4013" i="5"/>
  <c r="Y4013" i="5"/>
  <c r="Z4013" i="5"/>
  <c r="AA3518" i="5"/>
  <c r="Y3518" i="5"/>
  <c r="Z3518" i="5"/>
  <c r="AO58" i="6"/>
  <c r="AT58" i="6"/>
  <c r="AN58" i="6"/>
  <c r="DY71" i="6"/>
  <c r="DO71" i="6"/>
  <c r="BJ62" i="6"/>
  <c r="BD62" i="6"/>
  <c r="BO62" i="6"/>
  <c r="BI62" i="6"/>
  <c r="DE68" i="6"/>
  <c r="CT68" i="6"/>
  <c r="CZ68" i="6"/>
  <c r="CY68" i="6"/>
  <c r="AA547" i="5"/>
  <c r="Y547" i="5"/>
  <c r="Z547" i="5"/>
  <c r="BX64" i="6"/>
  <c r="BR64" i="6"/>
  <c r="CC64" i="6"/>
  <c r="BW64" i="6"/>
  <c r="BH60" i="6"/>
  <c r="AW60" i="6"/>
  <c r="BB60" i="6"/>
  <c r="BC60" i="6"/>
  <c r="BH61" i="6"/>
  <c r="AW61" i="6"/>
  <c r="BB61" i="6"/>
  <c r="BC61" i="6"/>
  <c r="AA2528" i="5"/>
  <c r="Y2528" i="5"/>
  <c r="Z2528" i="5"/>
  <c r="CL66" i="6"/>
  <c r="CF66" i="6"/>
  <c r="CQ66" i="6"/>
  <c r="CK66" i="6"/>
  <c r="BY65" i="6"/>
  <c r="CE65" i="6"/>
  <c r="CD65" i="6"/>
  <c r="CJ65" i="6"/>
  <c r="AA5002" i="5"/>
  <c r="Z5002" i="5"/>
  <c r="Y5002" i="5"/>
  <c r="AA3023" i="5"/>
  <c r="Y3023" i="5"/>
  <c r="Z3023" i="5"/>
  <c r="AA5498" i="5"/>
  <c r="Z5498" i="5"/>
  <c r="Y5498" i="5"/>
  <c r="BP63" i="6"/>
  <c r="BK63" i="6"/>
  <c r="BQ63" i="6"/>
  <c r="BV63" i="6"/>
  <c r="AA1537" i="5"/>
  <c r="Z1537" i="5"/>
  <c r="Y1537" i="5"/>
  <c r="AA5003" i="5"/>
  <c r="Y5003" i="5"/>
  <c r="Z5003" i="5"/>
  <c r="BA59" i="6"/>
  <c r="AP59" i="6"/>
  <c r="AV59" i="6"/>
  <c r="AU59" i="6"/>
  <c r="DE67" i="6"/>
  <c r="CT67" i="6"/>
  <c r="CZ67" i="6"/>
  <c r="CY67" i="6"/>
  <c r="AA2033" i="5"/>
  <c r="Y2033" i="5"/>
  <c r="Z2033" i="5"/>
  <c r="AA1538" i="5"/>
  <c r="Y1538" i="5"/>
  <c r="Z1538" i="5"/>
  <c r="DS70" i="6"/>
  <c r="DH70" i="6"/>
  <c r="DN70" i="6"/>
  <c r="DM70" i="6"/>
  <c r="AA1042" i="5"/>
  <c r="Y1042" i="5"/>
  <c r="Z1042" i="5"/>
  <c r="Y5993" i="5"/>
  <c r="Z5993" i="5"/>
  <c r="EF73" i="6"/>
  <c r="EG73" i="6" s="1"/>
  <c r="EH73" i="6" s="1"/>
  <c r="AA73" i="6" s="1"/>
  <c r="DX71" i="6"/>
  <c r="AA5994" i="5" s="1"/>
  <c r="EG72" i="6"/>
  <c r="EH72" i="6" s="1"/>
  <c r="AA72" i="6" s="1"/>
  <c r="BJ63" i="6" l="1"/>
  <c r="BD63" i="6"/>
  <c r="BI63" i="6"/>
  <c r="BO63" i="6"/>
  <c r="AA3519" i="5"/>
  <c r="Y3519" i="5"/>
  <c r="Z3519" i="5"/>
  <c r="AA5499" i="5"/>
  <c r="Y5499" i="5"/>
  <c r="Z5499" i="5"/>
  <c r="CE66" i="6"/>
  <c r="BY66" i="6"/>
  <c r="CD66" i="6"/>
  <c r="CJ66" i="6"/>
  <c r="AA1044" i="5"/>
  <c r="Z1044" i="5"/>
  <c r="Y1044" i="5"/>
  <c r="DH71" i="6"/>
  <c r="DM71" i="6"/>
  <c r="DS71" i="6"/>
  <c r="DN71" i="6"/>
  <c r="CS67" i="6"/>
  <c r="CM67" i="6"/>
  <c r="CX67" i="6"/>
  <c r="CR67" i="6"/>
  <c r="AO59" i="6"/>
  <c r="AN59" i="6"/>
  <c r="AT59" i="6"/>
  <c r="AA2034" i="5"/>
  <c r="Y2034" i="5"/>
  <c r="Z2034" i="5"/>
  <c r="BX65" i="6"/>
  <c r="BR65" i="6"/>
  <c r="CC65" i="6"/>
  <c r="BW65" i="6"/>
  <c r="AA1539" i="5"/>
  <c r="Z1539" i="5"/>
  <c r="Y1539" i="5"/>
  <c r="DA70" i="6"/>
  <c r="DF70" i="6"/>
  <c r="DL70" i="6"/>
  <c r="DG70" i="6"/>
  <c r="BA61" i="6"/>
  <c r="AU61" i="6"/>
  <c r="AP61" i="6"/>
  <c r="AV61" i="6"/>
  <c r="BA60" i="6"/>
  <c r="AP60" i="6"/>
  <c r="AV60" i="6"/>
  <c r="AU60" i="6"/>
  <c r="BP64" i="6"/>
  <c r="BQ64" i="6"/>
  <c r="BK64" i="6"/>
  <c r="BV64" i="6"/>
  <c r="Y4509" i="5"/>
  <c r="AA4509" i="5"/>
  <c r="Z4509" i="5"/>
  <c r="AA53" i="5"/>
  <c r="Y53" i="5"/>
  <c r="Z53" i="5"/>
  <c r="AA5004" i="5"/>
  <c r="Y5004" i="5"/>
  <c r="Z5004" i="5"/>
  <c r="Y1043" i="5"/>
  <c r="AA1043" i="5"/>
  <c r="Z1043" i="5"/>
  <c r="AA4508" i="5"/>
  <c r="Y4508" i="5"/>
  <c r="Z4508" i="5"/>
  <c r="AA548" i="5"/>
  <c r="Y548" i="5"/>
  <c r="Z548" i="5"/>
  <c r="AA3024" i="5"/>
  <c r="Z3024" i="5"/>
  <c r="Y3024" i="5"/>
  <c r="Y2529" i="5"/>
  <c r="AA2529" i="5"/>
  <c r="Z2529" i="5"/>
  <c r="CS68" i="6"/>
  <c r="CM68" i="6"/>
  <c r="CX68" i="6"/>
  <c r="CR68" i="6"/>
  <c r="BH62" i="6"/>
  <c r="AW62" i="6"/>
  <c r="BB62" i="6"/>
  <c r="BC62" i="6"/>
  <c r="DE69" i="6"/>
  <c r="CT69" i="6"/>
  <c r="CY69" i="6"/>
  <c r="CZ69" i="6"/>
  <c r="Y5994" i="5"/>
  <c r="Z5994" i="5"/>
  <c r="D73" i="6"/>
  <c r="Z73" i="6"/>
  <c r="T73" i="6"/>
  <c r="L73" i="6"/>
  <c r="R73" i="6"/>
  <c r="H73" i="6"/>
  <c r="X73" i="6"/>
  <c r="P73" i="6"/>
  <c r="V73" i="6"/>
  <c r="N73" i="6"/>
  <c r="F73" i="6"/>
  <c r="J73" i="6"/>
  <c r="AM73" i="6"/>
  <c r="AI73" i="6"/>
  <c r="AB73" i="6"/>
  <c r="DT73" i="6" s="1"/>
  <c r="AK73" i="6"/>
  <c r="R72" i="6"/>
  <c r="L72" i="6"/>
  <c r="X72" i="6"/>
  <c r="P72" i="6"/>
  <c r="H72" i="6"/>
  <c r="V72" i="6"/>
  <c r="N72" i="6"/>
  <c r="D72" i="6"/>
  <c r="T72" i="6"/>
  <c r="J72" i="6"/>
  <c r="F72" i="6"/>
  <c r="AK72" i="6"/>
  <c r="Z72" i="6"/>
  <c r="AM72" i="6"/>
  <c r="AI72" i="6"/>
  <c r="AB72" i="6"/>
  <c r="DT72" i="6" s="1"/>
  <c r="EF74" i="6"/>
  <c r="EG74" i="6" s="1"/>
  <c r="EH74" i="6" s="1"/>
  <c r="AA74" i="6" s="1"/>
  <c r="CL68" i="6" l="1"/>
  <c r="CF68" i="6"/>
  <c r="CK68" i="6"/>
  <c r="CQ68" i="6"/>
  <c r="AA54" i="5"/>
  <c r="Y54" i="5"/>
  <c r="Z54" i="5"/>
  <c r="AA5500" i="5"/>
  <c r="Y5500" i="5"/>
  <c r="Z5500" i="5"/>
  <c r="AA1540" i="5"/>
  <c r="Y1540" i="5"/>
  <c r="Z1540" i="5"/>
  <c r="DE70" i="6"/>
  <c r="CT70" i="6"/>
  <c r="CZ70" i="6"/>
  <c r="CY70" i="6"/>
  <c r="CL67" i="6"/>
  <c r="CF67" i="6"/>
  <c r="CQ67" i="6"/>
  <c r="CK67" i="6"/>
  <c r="BA62" i="6"/>
  <c r="AP62" i="6"/>
  <c r="AV62" i="6"/>
  <c r="AU62" i="6"/>
  <c r="BX66" i="6"/>
  <c r="CC66" i="6"/>
  <c r="BR66" i="6"/>
  <c r="BW66" i="6"/>
  <c r="DO73" i="6"/>
  <c r="DY73" i="6"/>
  <c r="AA4510" i="5"/>
  <c r="Y4510" i="5"/>
  <c r="Z4510" i="5"/>
  <c r="Y549" i="5"/>
  <c r="AA549" i="5"/>
  <c r="Z549" i="5"/>
  <c r="AA550" i="5"/>
  <c r="Y550" i="5"/>
  <c r="Z550" i="5"/>
  <c r="AA2035" i="5"/>
  <c r="Y2035" i="5"/>
  <c r="Z2035" i="5"/>
  <c r="AA2530" i="5"/>
  <c r="Z2530" i="5"/>
  <c r="Y2530" i="5"/>
  <c r="DA71" i="6"/>
  <c r="DG71" i="6"/>
  <c r="DL71" i="6"/>
  <c r="DF71" i="6"/>
  <c r="AA3025" i="5"/>
  <c r="Y3025" i="5"/>
  <c r="Z3025" i="5"/>
  <c r="BH63" i="6"/>
  <c r="AW63" i="6"/>
  <c r="BB63" i="6"/>
  <c r="BC63" i="6"/>
  <c r="DO72" i="6"/>
  <c r="DY72" i="6"/>
  <c r="CS69" i="6"/>
  <c r="CR69" i="6"/>
  <c r="CM69" i="6"/>
  <c r="CX69" i="6"/>
  <c r="AO60" i="6"/>
  <c r="AN60" i="6"/>
  <c r="AT60" i="6"/>
  <c r="Y4014" i="5"/>
  <c r="Z4014" i="5"/>
  <c r="AA4014" i="5"/>
  <c r="AA1045" i="5"/>
  <c r="Y1045" i="5"/>
  <c r="Z1045" i="5"/>
  <c r="AA4015" i="5"/>
  <c r="Y4015" i="5"/>
  <c r="Z4015" i="5"/>
  <c r="BJ64" i="6"/>
  <c r="BD64" i="6"/>
  <c r="BI64" i="6"/>
  <c r="BO64" i="6"/>
  <c r="AO61" i="6"/>
  <c r="AN61" i="6"/>
  <c r="AT61" i="6"/>
  <c r="AA5005" i="5"/>
  <c r="Z5005" i="5"/>
  <c r="Y5005" i="5"/>
  <c r="BP65" i="6"/>
  <c r="BK65" i="6"/>
  <c r="BQ65" i="6"/>
  <c r="BV65" i="6"/>
  <c r="DX73" i="6"/>
  <c r="AA5996" i="5" s="1"/>
  <c r="H74" i="6"/>
  <c r="Z74" i="6"/>
  <c r="V74" i="6"/>
  <c r="P74" i="6"/>
  <c r="F74" i="6"/>
  <c r="T74" i="6"/>
  <c r="L74" i="6"/>
  <c r="R74" i="6"/>
  <c r="J74" i="6"/>
  <c r="X74" i="6"/>
  <c r="N74" i="6"/>
  <c r="D74" i="6"/>
  <c r="AM74" i="6"/>
  <c r="AB74" i="6"/>
  <c r="DT74" i="6" s="1"/>
  <c r="AI74" i="6"/>
  <c r="AK74" i="6"/>
  <c r="EF75" i="6"/>
  <c r="EG75" i="6" s="1"/>
  <c r="EH75" i="6" s="1"/>
  <c r="AA75" i="6" s="1"/>
  <c r="DX72" i="6"/>
  <c r="AA5995" i="5" s="1"/>
  <c r="BP66" i="6" l="1"/>
  <c r="BK66" i="6"/>
  <c r="BQ66" i="6"/>
  <c r="BV66" i="6"/>
  <c r="AA3520" i="5"/>
  <c r="Y3520" i="5"/>
  <c r="Z3520" i="5"/>
  <c r="AA3521" i="5"/>
  <c r="Y3521" i="5"/>
  <c r="Z3521" i="5"/>
  <c r="BA63" i="6"/>
  <c r="AP63" i="6"/>
  <c r="AU63" i="6"/>
  <c r="AV63" i="6"/>
  <c r="DE71" i="6"/>
  <c r="CT71" i="6"/>
  <c r="CY71" i="6"/>
  <c r="CZ71" i="6"/>
  <c r="AA2531" i="5"/>
  <c r="Z2531" i="5"/>
  <c r="Y2531" i="5"/>
  <c r="AO62" i="6"/>
  <c r="AT62" i="6"/>
  <c r="AN62" i="6"/>
  <c r="BY67" i="6"/>
  <c r="CE67" i="6"/>
  <c r="CD67" i="6"/>
  <c r="CJ67" i="6"/>
  <c r="CS70" i="6"/>
  <c r="CM70" i="6"/>
  <c r="CR70" i="6"/>
  <c r="CX70" i="6"/>
  <c r="DO74" i="6"/>
  <c r="DY74" i="6"/>
  <c r="AA4016" i="5"/>
  <c r="Z4016" i="5"/>
  <c r="Y4016" i="5"/>
  <c r="AA56" i="5"/>
  <c r="Z56" i="5"/>
  <c r="Y56" i="5"/>
  <c r="AA55" i="5"/>
  <c r="Y55" i="5"/>
  <c r="Z55" i="5"/>
  <c r="DH72" i="6"/>
  <c r="DS72" i="6"/>
  <c r="DM72" i="6"/>
  <c r="DN72" i="6"/>
  <c r="AA1046" i="5"/>
  <c r="Y1046" i="5"/>
  <c r="Z1046" i="5"/>
  <c r="DH73" i="6"/>
  <c r="DN73" i="6"/>
  <c r="DS73" i="6"/>
  <c r="DM73" i="6"/>
  <c r="AA551" i="5"/>
  <c r="Z551" i="5"/>
  <c r="Y551" i="5"/>
  <c r="AA4511" i="5"/>
  <c r="Y4511" i="5"/>
  <c r="Z4511" i="5"/>
  <c r="CE68" i="6"/>
  <c r="BY68" i="6"/>
  <c r="CD68" i="6"/>
  <c r="CJ68" i="6"/>
  <c r="BJ65" i="6"/>
  <c r="BD65" i="6"/>
  <c r="BI65" i="6"/>
  <c r="BO65" i="6"/>
  <c r="AA1541" i="5"/>
  <c r="Y1541" i="5"/>
  <c r="Z1541" i="5"/>
  <c r="CL69" i="6"/>
  <c r="CF69" i="6"/>
  <c r="CQ69" i="6"/>
  <c r="CK69" i="6"/>
  <c r="AA2036" i="5"/>
  <c r="Y2036" i="5"/>
  <c r="Z2036" i="5"/>
  <c r="BH64" i="6"/>
  <c r="AW64" i="6"/>
  <c r="BB64" i="6"/>
  <c r="BC64" i="6"/>
  <c r="AA5006" i="5"/>
  <c r="Y5006" i="5"/>
  <c r="Z5006" i="5"/>
  <c r="Y5995" i="5"/>
  <c r="Z5995" i="5"/>
  <c r="Y5996" i="5"/>
  <c r="Z5996" i="5"/>
  <c r="V75" i="6"/>
  <c r="L75" i="6"/>
  <c r="T75" i="6"/>
  <c r="N75" i="6"/>
  <c r="R75" i="6"/>
  <c r="J75" i="6"/>
  <c r="D75" i="6"/>
  <c r="Z75" i="6"/>
  <c r="X75" i="6"/>
  <c r="P75" i="6"/>
  <c r="H75" i="6"/>
  <c r="F75" i="6"/>
  <c r="AI75" i="6"/>
  <c r="AK75" i="6"/>
  <c r="AB75" i="6"/>
  <c r="DT75" i="6" s="1"/>
  <c r="AM75" i="6"/>
  <c r="DX74" i="6"/>
  <c r="AA5997" i="5" s="1"/>
  <c r="EF76" i="6"/>
  <c r="DO75" i="6" l="1"/>
  <c r="DY75" i="6"/>
  <c r="DA72" i="6"/>
  <c r="DL72" i="6"/>
  <c r="DG72" i="6"/>
  <c r="DF72" i="6"/>
  <c r="AA4017" i="5"/>
  <c r="Y4017" i="5"/>
  <c r="Z4017" i="5"/>
  <c r="AA3026" i="5"/>
  <c r="Y3026" i="5"/>
  <c r="Z3026" i="5"/>
  <c r="CS71" i="6"/>
  <c r="CM71" i="6"/>
  <c r="CX71" i="6"/>
  <c r="CR71" i="6"/>
  <c r="AO63" i="6"/>
  <c r="AN63" i="6"/>
  <c r="AT63" i="6"/>
  <c r="AA2037" i="5"/>
  <c r="Z2037" i="5"/>
  <c r="Y2037" i="5"/>
  <c r="AA1047" i="5"/>
  <c r="Z1047" i="5"/>
  <c r="Y1047" i="5"/>
  <c r="DA73" i="6"/>
  <c r="DG73" i="6"/>
  <c r="DF73" i="6"/>
  <c r="DL73" i="6"/>
  <c r="AA57" i="5"/>
  <c r="Z57" i="5"/>
  <c r="Y57" i="5"/>
  <c r="AA4512" i="5"/>
  <c r="Y4512" i="5"/>
  <c r="Z4512" i="5"/>
  <c r="AA552" i="5"/>
  <c r="Y552" i="5"/>
  <c r="Z552" i="5"/>
  <c r="AA1542" i="5"/>
  <c r="Y1542" i="5"/>
  <c r="Z1542" i="5"/>
  <c r="BH65" i="6"/>
  <c r="AW65" i="6"/>
  <c r="BB65" i="6"/>
  <c r="BC65" i="6"/>
  <c r="BX68" i="6"/>
  <c r="BR68" i="6"/>
  <c r="CC68" i="6"/>
  <c r="BW68" i="6"/>
  <c r="CL70" i="6"/>
  <c r="CF70" i="6"/>
  <c r="CQ70" i="6"/>
  <c r="CK70" i="6"/>
  <c r="BJ66" i="6"/>
  <c r="BD66" i="6"/>
  <c r="BO66" i="6"/>
  <c r="BI66" i="6"/>
  <c r="BA64" i="6"/>
  <c r="AP64" i="6"/>
  <c r="AV64" i="6"/>
  <c r="AU64" i="6"/>
  <c r="AA3027" i="5"/>
  <c r="Y3027" i="5"/>
  <c r="Z3027" i="5"/>
  <c r="AA3522" i="5"/>
  <c r="Y3522" i="5"/>
  <c r="Z3522" i="5"/>
  <c r="BY69" i="6"/>
  <c r="CE69" i="6"/>
  <c r="CD69" i="6"/>
  <c r="CJ69" i="6"/>
  <c r="AA5502" i="5"/>
  <c r="Y5502" i="5"/>
  <c r="Z5502" i="5"/>
  <c r="AA5501" i="5"/>
  <c r="Y5501" i="5"/>
  <c r="Z5501" i="5"/>
  <c r="DH74" i="6"/>
  <c r="DS74" i="6"/>
  <c r="DN74" i="6"/>
  <c r="DM74" i="6"/>
  <c r="BX67" i="6"/>
  <c r="BR67" i="6"/>
  <c r="CC67" i="6"/>
  <c r="BW67" i="6"/>
  <c r="Y5997" i="5"/>
  <c r="Z5997" i="5"/>
  <c r="EF77" i="6"/>
  <c r="DX75" i="6"/>
  <c r="AA5998" i="5" s="1"/>
  <c r="EG76" i="6"/>
  <c r="EH76" i="6" s="1"/>
  <c r="AA76" i="6" s="1"/>
  <c r="BX69" i="6" l="1"/>
  <c r="BR69" i="6"/>
  <c r="CC69" i="6"/>
  <c r="BW69" i="6"/>
  <c r="AA1543" i="5"/>
  <c r="Y1543" i="5"/>
  <c r="Z1543" i="5"/>
  <c r="BP67" i="6"/>
  <c r="BK67" i="6"/>
  <c r="BQ67" i="6"/>
  <c r="BV67" i="6"/>
  <c r="BH66" i="6"/>
  <c r="AW66" i="6"/>
  <c r="BB66" i="6"/>
  <c r="BC66" i="6"/>
  <c r="CE70" i="6"/>
  <c r="BY70" i="6"/>
  <c r="CD70" i="6"/>
  <c r="CJ70" i="6"/>
  <c r="BP68" i="6"/>
  <c r="BQ68" i="6"/>
  <c r="BK68" i="6"/>
  <c r="BV68" i="6"/>
  <c r="BA65" i="6"/>
  <c r="AP65" i="6"/>
  <c r="AU65" i="6"/>
  <c r="AV65" i="6"/>
  <c r="AA58" i="5"/>
  <c r="Z58" i="5"/>
  <c r="Y58" i="5"/>
  <c r="AA4018" i="5"/>
  <c r="Y4018" i="5"/>
  <c r="Z4018" i="5"/>
  <c r="DE72" i="6"/>
  <c r="CT72" i="6"/>
  <c r="CZ72" i="6"/>
  <c r="CY72" i="6"/>
  <c r="Y2533" i="5"/>
  <c r="AA2533" i="5"/>
  <c r="Z2533" i="5"/>
  <c r="AO64" i="6"/>
  <c r="AN64" i="6"/>
  <c r="AT64" i="6"/>
  <c r="AA1048" i="5"/>
  <c r="Z1048" i="5"/>
  <c r="Y1048" i="5"/>
  <c r="DE73" i="6"/>
  <c r="CY73" i="6"/>
  <c r="CT73" i="6"/>
  <c r="CZ73" i="6"/>
  <c r="CL71" i="6"/>
  <c r="CF71" i="6"/>
  <c r="CQ71" i="6"/>
  <c r="CK71" i="6"/>
  <c r="AA2532" i="5"/>
  <c r="Y2532" i="5"/>
  <c r="Z2532" i="5"/>
  <c r="AA3523" i="5"/>
  <c r="Z3523" i="5"/>
  <c r="Y3523" i="5"/>
  <c r="AA5007" i="5"/>
  <c r="Z5007" i="5"/>
  <c r="Y5007" i="5"/>
  <c r="AA5503" i="5"/>
  <c r="Y5503" i="5"/>
  <c r="Z5503" i="5"/>
  <c r="AA3028" i="5"/>
  <c r="Y3028" i="5"/>
  <c r="Z3028" i="5"/>
  <c r="DA74" i="6"/>
  <c r="DL74" i="6"/>
  <c r="DF74" i="6"/>
  <c r="DG74" i="6"/>
  <c r="AA553" i="5"/>
  <c r="Y553" i="5"/>
  <c r="Z553" i="5"/>
  <c r="AA5008" i="5"/>
  <c r="Y5008" i="5"/>
  <c r="Z5008" i="5"/>
  <c r="DH75" i="6"/>
  <c r="DN75" i="6"/>
  <c r="DS75" i="6"/>
  <c r="DM75" i="6"/>
  <c r="Y5998" i="5"/>
  <c r="Z5998" i="5"/>
  <c r="T76" i="6"/>
  <c r="N76" i="6"/>
  <c r="D76" i="6"/>
  <c r="X76" i="6"/>
  <c r="L76" i="6"/>
  <c r="F76" i="6"/>
  <c r="R76" i="6"/>
  <c r="H76" i="6"/>
  <c r="V76" i="6"/>
  <c r="P76" i="6"/>
  <c r="J76" i="6"/>
  <c r="Z76" i="6"/>
  <c r="AK76" i="6"/>
  <c r="AB76" i="6"/>
  <c r="DT76" i="6" s="1"/>
  <c r="AM76" i="6"/>
  <c r="AI76" i="6"/>
  <c r="EF78" i="6"/>
  <c r="EG78" i="6" s="1"/>
  <c r="EH78" i="6" s="1"/>
  <c r="AA78" i="6" s="1"/>
  <c r="EG77" i="6"/>
  <c r="EH77" i="6" s="1"/>
  <c r="AA77" i="6" s="1"/>
  <c r="BY71" i="6" l="1"/>
  <c r="CE71" i="6"/>
  <c r="CD71" i="6"/>
  <c r="CJ71" i="6"/>
  <c r="AA554" i="5"/>
  <c r="Y554" i="5"/>
  <c r="Z554" i="5"/>
  <c r="AA1049" i="5"/>
  <c r="Y1049" i="5"/>
  <c r="Z1049" i="5"/>
  <c r="DO76" i="6"/>
  <c r="DY76" i="6"/>
  <c r="AA5009" i="5"/>
  <c r="Y5009" i="5"/>
  <c r="Z5009" i="5"/>
  <c r="AA4514" i="5"/>
  <c r="Y4514" i="5"/>
  <c r="Z4514" i="5"/>
  <c r="AA59" i="5"/>
  <c r="Z59" i="5"/>
  <c r="Y59" i="5"/>
  <c r="CS72" i="6"/>
  <c r="CX72" i="6"/>
  <c r="CR72" i="6"/>
  <c r="CM72" i="6"/>
  <c r="AA2039" i="5"/>
  <c r="Y2039" i="5"/>
  <c r="Z2039" i="5"/>
  <c r="AA3029" i="5"/>
  <c r="Z3029" i="5"/>
  <c r="Y3029" i="5"/>
  <c r="AA2038" i="5"/>
  <c r="Y2038" i="5"/>
  <c r="Z2038" i="5"/>
  <c r="AA2534" i="5"/>
  <c r="Z2534" i="5"/>
  <c r="Y2534" i="5"/>
  <c r="DA75" i="6"/>
  <c r="DF75" i="6"/>
  <c r="DL75" i="6"/>
  <c r="DG75" i="6"/>
  <c r="AA5504" i="5"/>
  <c r="Z5504" i="5"/>
  <c r="Y5504" i="5"/>
  <c r="DE74" i="6"/>
  <c r="CT74" i="6"/>
  <c r="CZ74" i="6"/>
  <c r="CY74" i="6"/>
  <c r="Y4513" i="5"/>
  <c r="Z4513" i="5"/>
  <c r="AA4513" i="5"/>
  <c r="BJ68" i="6"/>
  <c r="BD68" i="6"/>
  <c r="BI68" i="6"/>
  <c r="BO68" i="6"/>
  <c r="BP69" i="6"/>
  <c r="BK69" i="6"/>
  <c r="BQ69" i="6"/>
  <c r="BV69" i="6"/>
  <c r="AA3524" i="5"/>
  <c r="Y3524" i="5"/>
  <c r="Z3524" i="5"/>
  <c r="CS73" i="6"/>
  <c r="CR73" i="6"/>
  <c r="CM73" i="6"/>
  <c r="CX73" i="6"/>
  <c r="AO65" i="6"/>
  <c r="AN65" i="6"/>
  <c r="AT65" i="6"/>
  <c r="BX70" i="6"/>
  <c r="CC70" i="6"/>
  <c r="BR70" i="6"/>
  <c r="BW70" i="6"/>
  <c r="BA66" i="6"/>
  <c r="AP66" i="6"/>
  <c r="AV66" i="6"/>
  <c r="AU66" i="6"/>
  <c r="BJ67" i="6"/>
  <c r="BO67" i="6"/>
  <c r="BD67" i="6"/>
  <c r="BI67" i="6"/>
  <c r="H78" i="6"/>
  <c r="R78" i="6"/>
  <c r="J78" i="6"/>
  <c r="X78" i="6"/>
  <c r="N78" i="6"/>
  <c r="D78" i="6"/>
  <c r="V78" i="6"/>
  <c r="P78" i="6"/>
  <c r="F78" i="6"/>
  <c r="Z78" i="6"/>
  <c r="T78" i="6"/>
  <c r="L78" i="6"/>
  <c r="AM78" i="6"/>
  <c r="AK78" i="6"/>
  <c r="AI78" i="6"/>
  <c r="AB78" i="6"/>
  <c r="DT78" i="6" s="1"/>
  <c r="F77" i="6"/>
  <c r="R77" i="6"/>
  <c r="L77" i="6"/>
  <c r="P77" i="6"/>
  <c r="H77" i="6"/>
  <c r="X77" i="6"/>
  <c r="N77" i="6"/>
  <c r="J77" i="6"/>
  <c r="Z77" i="6"/>
  <c r="V77" i="6"/>
  <c r="T77" i="6"/>
  <c r="AI77" i="6"/>
  <c r="AB77" i="6"/>
  <c r="DT77" i="6" s="1"/>
  <c r="D77" i="6"/>
  <c r="AK77" i="6"/>
  <c r="AM77" i="6"/>
  <c r="DX76" i="6"/>
  <c r="AA5999" i="5" s="1"/>
  <c r="EF79" i="6"/>
  <c r="DE75" i="6" l="1"/>
  <c r="CT75" i="6"/>
  <c r="CY75" i="6"/>
  <c r="CZ75" i="6"/>
  <c r="DY78" i="6"/>
  <c r="DO78" i="6"/>
  <c r="AA60" i="5"/>
  <c r="Y60" i="5"/>
  <c r="Z60" i="5"/>
  <c r="BH67" i="6"/>
  <c r="AW67" i="6"/>
  <c r="BB67" i="6"/>
  <c r="BC67" i="6"/>
  <c r="BP70" i="6"/>
  <c r="BK70" i="6"/>
  <c r="BQ70" i="6"/>
  <c r="BV70" i="6"/>
  <c r="AA5010" i="5"/>
  <c r="Z5010" i="5"/>
  <c r="Y5010" i="5"/>
  <c r="AA3030" i="5"/>
  <c r="Y3030" i="5"/>
  <c r="Z3030" i="5"/>
  <c r="CS74" i="6"/>
  <c r="CM74" i="6"/>
  <c r="CX74" i="6"/>
  <c r="CR74" i="6"/>
  <c r="AA1544" i="5"/>
  <c r="Z1544" i="5"/>
  <c r="Y1544" i="5"/>
  <c r="AO66" i="6"/>
  <c r="AT66" i="6"/>
  <c r="AN66" i="6"/>
  <c r="AA2535" i="5"/>
  <c r="Y2535" i="5"/>
  <c r="Z2535" i="5"/>
  <c r="AA2040" i="5"/>
  <c r="Y2040" i="5"/>
  <c r="Z2040" i="5"/>
  <c r="AA1545" i="5"/>
  <c r="Z1545" i="5"/>
  <c r="Y1545" i="5"/>
  <c r="Y4019" i="5"/>
  <c r="AA4019" i="5"/>
  <c r="Z4019" i="5"/>
  <c r="DS76" i="6"/>
  <c r="DH76" i="6"/>
  <c r="DN76" i="6"/>
  <c r="DM76" i="6"/>
  <c r="DO77" i="6"/>
  <c r="DY77" i="6"/>
  <c r="AA555" i="5"/>
  <c r="Y555" i="5"/>
  <c r="Z555" i="5"/>
  <c r="AA4020" i="5"/>
  <c r="Z4020" i="5"/>
  <c r="Y4020" i="5"/>
  <c r="CL73" i="6"/>
  <c r="CF73" i="6"/>
  <c r="CQ73" i="6"/>
  <c r="CK73" i="6"/>
  <c r="BJ69" i="6"/>
  <c r="BD69" i="6"/>
  <c r="BO69" i="6"/>
  <c r="BI69" i="6"/>
  <c r="BH68" i="6"/>
  <c r="AW68" i="6"/>
  <c r="BB68" i="6"/>
  <c r="BC68" i="6"/>
  <c r="AA4515" i="5"/>
  <c r="Z4515" i="5"/>
  <c r="Y4515" i="5"/>
  <c r="CL72" i="6"/>
  <c r="CF72" i="6"/>
  <c r="CK72" i="6"/>
  <c r="CQ72" i="6"/>
  <c r="BX71" i="6"/>
  <c r="BR71" i="6"/>
  <c r="CC71" i="6"/>
  <c r="BW71" i="6"/>
  <c r="Y5999" i="5"/>
  <c r="Z5999" i="5"/>
  <c r="DX78" i="6"/>
  <c r="AA6001" i="5" s="1"/>
  <c r="EF80" i="6"/>
  <c r="EG80" i="6" s="1"/>
  <c r="EH80" i="6" s="1"/>
  <c r="AA80" i="6" s="1"/>
  <c r="EG79" i="6"/>
  <c r="EH79" i="6" s="1"/>
  <c r="AA79" i="6" s="1"/>
  <c r="DX77" i="6"/>
  <c r="AA6000" i="5" s="1"/>
  <c r="AA1546" i="5" l="1"/>
  <c r="Z1546" i="5"/>
  <c r="Y1546" i="5"/>
  <c r="AA61" i="5"/>
  <c r="Y61" i="5"/>
  <c r="Z61" i="5"/>
  <c r="BH69" i="6"/>
  <c r="AW69" i="6"/>
  <c r="BB69" i="6"/>
  <c r="BC69" i="6"/>
  <c r="BY73" i="6"/>
  <c r="CE73" i="6"/>
  <c r="CD73" i="6"/>
  <c r="CJ73" i="6"/>
  <c r="DA76" i="6"/>
  <c r="DG76" i="6"/>
  <c r="DL76" i="6"/>
  <c r="DF76" i="6"/>
  <c r="BJ70" i="6"/>
  <c r="BD70" i="6"/>
  <c r="BO70" i="6"/>
  <c r="BI70" i="6"/>
  <c r="BA67" i="6"/>
  <c r="AP67" i="6"/>
  <c r="AV67" i="6"/>
  <c r="AU67" i="6"/>
  <c r="AA2536" i="5"/>
  <c r="Y2536" i="5"/>
  <c r="Z2536" i="5"/>
  <c r="BP71" i="6"/>
  <c r="BK71" i="6"/>
  <c r="BQ71" i="6"/>
  <c r="BV71" i="6"/>
  <c r="DH77" i="6"/>
  <c r="DS77" i="6"/>
  <c r="DM77" i="6"/>
  <c r="DN77" i="6"/>
  <c r="AA4021" i="5"/>
  <c r="Y4021" i="5"/>
  <c r="Z4021" i="5"/>
  <c r="AA1050" i="5"/>
  <c r="Y1050" i="5"/>
  <c r="Z1050" i="5"/>
  <c r="DS78" i="6"/>
  <c r="DH78" i="6"/>
  <c r="DN78" i="6"/>
  <c r="DM78" i="6"/>
  <c r="CS75" i="6"/>
  <c r="CM75" i="6"/>
  <c r="CX75" i="6"/>
  <c r="CR75" i="6"/>
  <c r="AA3525" i="5"/>
  <c r="Y3525" i="5"/>
  <c r="Z3525" i="5"/>
  <c r="AA3526" i="5"/>
  <c r="Y3526" i="5"/>
  <c r="Z3526" i="5"/>
  <c r="BA68" i="6"/>
  <c r="AP68" i="6"/>
  <c r="AV68" i="6"/>
  <c r="AU68" i="6"/>
  <c r="CE72" i="6"/>
  <c r="BY72" i="6"/>
  <c r="CD72" i="6"/>
  <c r="CJ72" i="6"/>
  <c r="AA1051" i="5"/>
  <c r="Y1051" i="5"/>
  <c r="Z1051" i="5"/>
  <c r="Y5505" i="5"/>
  <c r="AA5505" i="5"/>
  <c r="Z5505" i="5"/>
  <c r="CL74" i="6"/>
  <c r="CF74" i="6"/>
  <c r="CQ74" i="6"/>
  <c r="CK74" i="6"/>
  <c r="AA2041" i="5"/>
  <c r="Y2041" i="5"/>
  <c r="Z2041" i="5"/>
  <c r="AA4516" i="5"/>
  <c r="Y4516" i="5"/>
  <c r="Z4516" i="5"/>
  <c r="Y6000" i="5"/>
  <c r="Z6000" i="5"/>
  <c r="Y6001" i="5"/>
  <c r="Z6001" i="5"/>
  <c r="D79" i="6"/>
  <c r="X79" i="6"/>
  <c r="P79" i="6"/>
  <c r="H79" i="6"/>
  <c r="F79" i="6"/>
  <c r="V79" i="6"/>
  <c r="N79" i="6"/>
  <c r="Z79" i="6"/>
  <c r="T79" i="6"/>
  <c r="L79" i="6"/>
  <c r="R79" i="6"/>
  <c r="J79" i="6"/>
  <c r="AI79" i="6"/>
  <c r="AK79" i="6"/>
  <c r="AM79" i="6"/>
  <c r="AB79" i="6"/>
  <c r="DT79" i="6" s="1"/>
  <c r="L80" i="6"/>
  <c r="T80" i="6"/>
  <c r="R80" i="6"/>
  <c r="P80" i="6"/>
  <c r="H80" i="6"/>
  <c r="V80" i="6"/>
  <c r="N80" i="6"/>
  <c r="D80" i="6"/>
  <c r="X80" i="6"/>
  <c r="J80" i="6"/>
  <c r="F80" i="6"/>
  <c r="AK80" i="6"/>
  <c r="AB80" i="6"/>
  <c r="DT80" i="6" s="1"/>
  <c r="AM80" i="6"/>
  <c r="Z80" i="6"/>
  <c r="AI80" i="6"/>
  <c r="EF81" i="6"/>
  <c r="EG81" i="6" s="1"/>
  <c r="EH81" i="6" s="1"/>
  <c r="AA81" i="6" s="1"/>
  <c r="AO67" i="6" l="1"/>
  <c r="AN67" i="6"/>
  <c r="AT67" i="6"/>
  <c r="BX72" i="6"/>
  <c r="BR72" i="6"/>
  <c r="CC72" i="6"/>
  <c r="BW72" i="6"/>
  <c r="AO68" i="6"/>
  <c r="AN68" i="6"/>
  <c r="AT68" i="6"/>
  <c r="AA5506" i="5"/>
  <c r="Y5506" i="5"/>
  <c r="Z5506" i="5"/>
  <c r="BJ71" i="6"/>
  <c r="BD71" i="6"/>
  <c r="BI71" i="6"/>
  <c r="BO71" i="6"/>
  <c r="AA556" i="5"/>
  <c r="Y556" i="5"/>
  <c r="Z556" i="5"/>
  <c r="DE76" i="6"/>
  <c r="CT76" i="6"/>
  <c r="CZ76" i="6"/>
  <c r="CY76" i="6"/>
  <c r="BX73" i="6"/>
  <c r="BR73" i="6"/>
  <c r="CC73" i="6"/>
  <c r="BW73" i="6"/>
  <c r="AA1052" i="5"/>
  <c r="Z1052" i="5"/>
  <c r="Y1052" i="5"/>
  <c r="AA5507" i="5"/>
  <c r="Y5507" i="5"/>
  <c r="Z5507" i="5"/>
  <c r="BA69" i="6"/>
  <c r="AP69" i="6"/>
  <c r="AU69" i="6"/>
  <c r="AV69" i="6"/>
  <c r="DO80" i="6"/>
  <c r="DY80" i="6"/>
  <c r="AA3527" i="5"/>
  <c r="Y3527" i="5"/>
  <c r="Z3527" i="5"/>
  <c r="Y557" i="5"/>
  <c r="AA557" i="5"/>
  <c r="Z557" i="5"/>
  <c r="AA4022" i="5"/>
  <c r="Z4022" i="5"/>
  <c r="Y4022" i="5"/>
  <c r="DA77" i="6"/>
  <c r="DF77" i="6"/>
  <c r="DG77" i="6"/>
  <c r="DL77" i="6"/>
  <c r="AA3032" i="5"/>
  <c r="Y3032" i="5"/>
  <c r="Z3032" i="5"/>
  <c r="BH70" i="6"/>
  <c r="AW70" i="6"/>
  <c r="BB70" i="6"/>
  <c r="BC70" i="6"/>
  <c r="DO79" i="6"/>
  <c r="DY79" i="6"/>
  <c r="CE74" i="6"/>
  <c r="BY74" i="6"/>
  <c r="CD74" i="6"/>
  <c r="CJ74" i="6"/>
  <c r="AA3031" i="5"/>
  <c r="Z3031" i="5"/>
  <c r="Y3031" i="5"/>
  <c r="CL75" i="6"/>
  <c r="CF75" i="6"/>
  <c r="CQ75" i="6"/>
  <c r="CK75" i="6"/>
  <c r="DA78" i="6"/>
  <c r="DF78" i="6"/>
  <c r="DG78" i="6"/>
  <c r="DL78" i="6"/>
  <c r="AA2042" i="5"/>
  <c r="Z2042" i="5"/>
  <c r="Y2042" i="5"/>
  <c r="AA1547" i="5"/>
  <c r="Z1547" i="5"/>
  <c r="Y1547" i="5"/>
  <c r="AA5011" i="5"/>
  <c r="Y5011" i="5"/>
  <c r="Z5011" i="5"/>
  <c r="EF82" i="6"/>
  <c r="EG82" i="6" s="1"/>
  <c r="EH82" i="6" s="1"/>
  <c r="AA82" i="6" s="1"/>
  <c r="T81" i="6"/>
  <c r="N81" i="6"/>
  <c r="D81" i="6"/>
  <c r="R81" i="6"/>
  <c r="L81" i="6"/>
  <c r="J81" i="6"/>
  <c r="Z81" i="6"/>
  <c r="V81" i="6"/>
  <c r="H81" i="6"/>
  <c r="X81" i="6"/>
  <c r="P81" i="6"/>
  <c r="AM81" i="6"/>
  <c r="AI81" i="6"/>
  <c r="AB81" i="6"/>
  <c r="DT81" i="6" s="1"/>
  <c r="F81" i="6"/>
  <c r="AK81" i="6"/>
  <c r="DX79" i="6"/>
  <c r="AA6002" i="5" s="1"/>
  <c r="DX80" i="6"/>
  <c r="AA6003" i="5" s="1"/>
  <c r="AA3528" i="5" l="1"/>
  <c r="Z3528" i="5"/>
  <c r="Y3528" i="5"/>
  <c r="AO69" i="6"/>
  <c r="AN69" i="6"/>
  <c r="AT69" i="6"/>
  <c r="BY75" i="6"/>
  <c r="CE75" i="6"/>
  <c r="CD75" i="6"/>
  <c r="CJ75" i="6"/>
  <c r="DH80" i="6"/>
  <c r="DS80" i="6"/>
  <c r="DM80" i="6"/>
  <c r="DN80" i="6"/>
  <c r="AA558" i="5"/>
  <c r="Y558" i="5"/>
  <c r="Z558" i="5"/>
  <c r="AA2538" i="5"/>
  <c r="Z2538" i="5"/>
  <c r="Y2538" i="5"/>
  <c r="BH71" i="6"/>
  <c r="AW71" i="6"/>
  <c r="BB71" i="6"/>
  <c r="BC71" i="6"/>
  <c r="AA62" i="5"/>
  <c r="Z62" i="5"/>
  <c r="Y62" i="5"/>
  <c r="BX74" i="6"/>
  <c r="CC74" i="6"/>
  <c r="BR74" i="6"/>
  <c r="BW74" i="6"/>
  <c r="BA70" i="6"/>
  <c r="AV70" i="6"/>
  <c r="AP70" i="6"/>
  <c r="AU70" i="6"/>
  <c r="DE77" i="6"/>
  <c r="CT77" i="6"/>
  <c r="CY77" i="6"/>
  <c r="CZ77" i="6"/>
  <c r="BP73" i="6"/>
  <c r="BK73" i="6"/>
  <c r="BQ73" i="6"/>
  <c r="BV73" i="6"/>
  <c r="CS76" i="6"/>
  <c r="CM76" i="6"/>
  <c r="CX76" i="6"/>
  <c r="CR76" i="6"/>
  <c r="AA63" i="5"/>
  <c r="Z63" i="5"/>
  <c r="Y63" i="5"/>
  <c r="Y2537" i="5"/>
  <c r="Z2537" i="5"/>
  <c r="AA2537" i="5"/>
  <c r="CT78" i="6"/>
  <c r="CZ78" i="6"/>
  <c r="DE78" i="6"/>
  <c r="CY78" i="6"/>
  <c r="AA3033" i="5"/>
  <c r="Y3033" i="5"/>
  <c r="Z3033" i="5"/>
  <c r="DO81" i="6"/>
  <c r="DY81" i="6"/>
  <c r="AA5013" i="5"/>
  <c r="Y5013" i="5"/>
  <c r="Z5013" i="5"/>
  <c r="DH79" i="6"/>
  <c r="DN79" i="6"/>
  <c r="DS79" i="6"/>
  <c r="DM79" i="6"/>
  <c r="AA1053" i="5"/>
  <c r="Y1053" i="5"/>
  <c r="Z1053" i="5"/>
  <c r="AA5012" i="5"/>
  <c r="Y5012" i="5"/>
  <c r="Z5012" i="5"/>
  <c r="Y4517" i="5"/>
  <c r="AA4517" i="5"/>
  <c r="Z4517" i="5"/>
  <c r="AA1548" i="5"/>
  <c r="Y1548" i="5"/>
  <c r="Z1548" i="5"/>
  <c r="BP72" i="6"/>
  <c r="BQ72" i="6"/>
  <c r="BK72" i="6"/>
  <c r="BV72" i="6"/>
  <c r="Y6003" i="5"/>
  <c r="Z6003" i="5"/>
  <c r="Y6002" i="5"/>
  <c r="Z6002" i="5"/>
  <c r="DX81" i="6"/>
  <c r="AA6004" i="5" s="1"/>
  <c r="T82" i="6"/>
  <c r="J82" i="6"/>
  <c r="R82" i="6"/>
  <c r="D82" i="6"/>
  <c r="H82" i="6"/>
  <c r="X82" i="6"/>
  <c r="N82" i="6"/>
  <c r="F82" i="6"/>
  <c r="Z82" i="6"/>
  <c r="V82" i="6"/>
  <c r="L82" i="6"/>
  <c r="P82" i="6"/>
  <c r="AM82" i="6"/>
  <c r="AK82" i="6"/>
  <c r="AB82" i="6"/>
  <c r="DT82" i="6" s="1"/>
  <c r="AI82" i="6"/>
  <c r="EF83" i="6"/>
  <c r="AA5508" i="5" l="1"/>
  <c r="Y5508" i="5"/>
  <c r="Z5508" i="5"/>
  <c r="AA4519" i="5"/>
  <c r="Z4519" i="5"/>
  <c r="Y4519" i="5"/>
  <c r="AA4518" i="5"/>
  <c r="Y4518" i="5"/>
  <c r="Z4518" i="5"/>
  <c r="AA559" i="5"/>
  <c r="Z559" i="5"/>
  <c r="Y559" i="5"/>
  <c r="AA5509" i="5"/>
  <c r="Y5509" i="5"/>
  <c r="Z5509" i="5"/>
  <c r="AA2044" i="5"/>
  <c r="Z2044" i="5"/>
  <c r="Y2044" i="5"/>
  <c r="DA80" i="6"/>
  <c r="DG80" i="6"/>
  <c r="DL80" i="6"/>
  <c r="DF80" i="6"/>
  <c r="BX75" i="6"/>
  <c r="BR75" i="6"/>
  <c r="CC75" i="6"/>
  <c r="BW75" i="6"/>
  <c r="DA79" i="6"/>
  <c r="DL79" i="6"/>
  <c r="DF79" i="6"/>
  <c r="DG79" i="6"/>
  <c r="CS78" i="6"/>
  <c r="CM78" i="6"/>
  <c r="CR78" i="6"/>
  <c r="CX78" i="6"/>
  <c r="AA4023" i="5"/>
  <c r="Y4023" i="5"/>
  <c r="Z4023" i="5"/>
  <c r="AO70" i="6"/>
  <c r="AT70" i="6"/>
  <c r="AN70" i="6"/>
  <c r="BP74" i="6"/>
  <c r="BK74" i="6"/>
  <c r="BQ74" i="6"/>
  <c r="BV74" i="6"/>
  <c r="BA71" i="6"/>
  <c r="AP71" i="6"/>
  <c r="AV71" i="6"/>
  <c r="AU71" i="6"/>
  <c r="AA3034" i="5"/>
  <c r="Z3034" i="5"/>
  <c r="Y3034" i="5"/>
  <c r="AA64" i="5"/>
  <c r="Z64" i="5"/>
  <c r="Y64" i="5"/>
  <c r="BJ72" i="6"/>
  <c r="BI72" i="6"/>
  <c r="BD72" i="6"/>
  <c r="BO72" i="6"/>
  <c r="DO82" i="6"/>
  <c r="DY82" i="6"/>
  <c r="AA2043" i="5"/>
  <c r="Y2043" i="5"/>
  <c r="Z2043" i="5"/>
  <c r="DH81" i="6"/>
  <c r="DS81" i="6"/>
  <c r="DN81" i="6"/>
  <c r="DM81" i="6"/>
  <c r="CL76" i="6"/>
  <c r="CF76" i="6"/>
  <c r="CK76" i="6"/>
  <c r="CQ76" i="6"/>
  <c r="BJ73" i="6"/>
  <c r="BD73" i="6"/>
  <c r="BI73" i="6"/>
  <c r="BO73" i="6"/>
  <c r="CS77" i="6"/>
  <c r="CR77" i="6"/>
  <c r="CM77" i="6"/>
  <c r="CX77" i="6"/>
  <c r="AA2539" i="5"/>
  <c r="Z2539" i="5"/>
  <c r="Y2539" i="5"/>
  <c r="AA1054" i="5"/>
  <c r="Y1054" i="5"/>
  <c r="Z1054" i="5"/>
  <c r="Y6004" i="5"/>
  <c r="Z6004" i="5"/>
  <c r="EF84" i="6"/>
  <c r="EG84" i="6" s="1"/>
  <c r="EH84" i="6" s="1"/>
  <c r="AA84" i="6" s="1"/>
  <c r="DX82" i="6"/>
  <c r="AA6005" i="5" s="1"/>
  <c r="EG83" i="6"/>
  <c r="EH83" i="6" s="1"/>
  <c r="AA83" i="6" s="1"/>
  <c r="DA81" i="6" l="1"/>
  <c r="DL81" i="6"/>
  <c r="DG81" i="6"/>
  <c r="DF81" i="6"/>
  <c r="CL78" i="6"/>
  <c r="CF78" i="6"/>
  <c r="CQ78" i="6"/>
  <c r="CK78" i="6"/>
  <c r="AA5014" i="5"/>
  <c r="Y5014" i="5"/>
  <c r="Z5014" i="5"/>
  <c r="AA4024" i="5"/>
  <c r="Y4024" i="5"/>
  <c r="Z4024" i="5"/>
  <c r="AA1550" i="5"/>
  <c r="Z1550" i="5"/>
  <c r="Y1550" i="5"/>
  <c r="AA3529" i="5"/>
  <c r="Y3529" i="5"/>
  <c r="Z3529" i="5"/>
  <c r="DS82" i="6"/>
  <c r="DH82" i="6"/>
  <c r="DN82" i="6"/>
  <c r="DM82" i="6"/>
  <c r="AA65" i="5"/>
  <c r="Z65" i="5"/>
  <c r="Y65" i="5"/>
  <c r="CY79" i="6"/>
  <c r="CT79" i="6"/>
  <c r="CZ79" i="6"/>
  <c r="DE79" i="6"/>
  <c r="CT80" i="6"/>
  <c r="CZ80" i="6"/>
  <c r="DE80" i="6"/>
  <c r="CY80" i="6"/>
  <c r="AA2045" i="5"/>
  <c r="Y2045" i="5"/>
  <c r="Z2045" i="5"/>
  <c r="CL77" i="6"/>
  <c r="CF77" i="6"/>
  <c r="CQ77" i="6"/>
  <c r="CK77" i="6"/>
  <c r="AA1549" i="5"/>
  <c r="Z1549" i="5"/>
  <c r="Y1549" i="5"/>
  <c r="AO71" i="6"/>
  <c r="AN71" i="6"/>
  <c r="AT71" i="6"/>
  <c r="BJ74" i="6"/>
  <c r="BO74" i="6"/>
  <c r="BD74" i="6"/>
  <c r="BI74" i="6"/>
  <c r="Y4025" i="5"/>
  <c r="Z4025" i="5"/>
  <c r="AA4025" i="5"/>
  <c r="BP75" i="6"/>
  <c r="BQ75" i="6"/>
  <c r="BK75" i="6"/>
  <c r="BV75" i="6"/>
  <c r="BH73" i="6"/>
  <c r="AW73" i="6"/>
  <c r="BB73" i="6"/>
  <c r="BC73" i="6"/>
  <c r="CE76" i="6"/>
  <c r="BY76" i="6"/>
  <c r="CD76" i="6"/>
  <c r="CJ76" i="6"/>
  <c r="AA5510" i="5"/>
  <c r="Y5510" i="5"/>
  <c r="Z5510" i="5"/>
  <c r="BH72" i="6"/>
  <c r="AW72" i="6"/>
  <c r="BB72" i="6"/>
  <c r="BC72" i="6"/>
  <c r="AA560" i="5"/>
  <c r="Y560" i="5"/>
  <c r="Z560" i="5"/>
  <c r="AA2540" i="5"/>
  <c r="Y2540" i="5"/>
  <c r="Z2540" i="5"/>
  <c r="AA5015" i="5"/>
  <c r="Z5015" i="5"/>
  <c r="Y5015" i="5"/>
  <c r="Y6005" i="5"/>
  <c r="Z6005" i="5"/>
  <c r="EF85" i="6"/>
  <c r="T83" i="6"/>
  <c r="J83" i="6"/>
  <c r="Z83" i="6"/>
  <c r="AB83" i="6"/>
  <c r="DT83" i="6" s="1"/>
  <c r="R83" i="6"/>
  <c r="N83" i="6"/>
  <c r="X83" i="6"/>
  <c r="P83" i="6"/>
  <c r="H83" i="6"/>
  <c r="F83" i="6"/>
  <c r="V83" i="6"/>
  <c r="L83" i="6"/>
  <c r="D83" i="6"/>
  <c r="AI83" i="6"/>
  <c r="AK83" i="6"/>
  <c r="AM83" i="6"/>
  <c r="T84" i="6"/>
  <c r="R84" i="6"/>
  <c r="J84" i="6"/>
  <c r="X84" i="6"/>
  <c r="N84" i="6"/>
  <c r="D84" i="6"/>
  <c r="V84" i="6"/>
  <c r="H84" i="6"/>
  <c r="F84" i="6"/>
  <c r="P84" i="6"/>
  <c r="L84" i="6"/>
  <c r="AK84" i="6"/>
  <c r="Z84" i="6"/>
  <c r="AM84" i="6"/>
  <c r="AB84" i="6"/>
  <c r="DT84" i="6" s="1"/>
  <c r="AI84" i="6"/>
  <c r="BA72" i="6" l="1"/>
  <c r="AP72" i="6"/>
  <c r="AV72" i="6"/>
  <c r="AU72" i="6"/>
  <c r="BY77" i="6"/>
  <c r="CE77" i="6"/>
  <c r="CD77" i="6"/>
  <c r="CJ77" i="6"/>
  <c r="CS80" i="6"/>
  <c r="CX80" i="6"/>
  <c r="CM80" i="6"/>
  <c r="CR80" i="6"/>
  <c r="Y1055" i="5"/>
  <c r="AA1055" i="5"/>
  <c r="Z1055" i="5"/>
  <c r="AA3035" i="5"/>
  <c r="Y3035" i="5"/>
  <c r="Z3035" i="5"/>
  <c r="AA2046" i="5"/>
  <c r="Y2046" i="5"/>
  <c r="Z2046" i="5"/>
  <c r="BH74" i="6"/>
  <c r="AW74" i="6"/>
  <c r="BB74" i="6"/>
  <c r="BC74" i="6"/>
  <c r="AA4520" i="5"/>
  <c r="Z4520" i="5"/>
  <c r="Y4520" i="5"/>
  <c r="AA3531" i="5"/>
  <c r="Y3531" i="5"/>
  <c r="Z3531" i="5"/>
  <c r="DY83" i="6"/>
  <c r="DO83" i="6"/>
  <c r="BJ75" i="6"/>
  <c r="BD75" i="6"/>
  <c r="BI75" i="6"/>
  <c r="BO75" i="6"/>
  <c r="AA1551" i="5"/>
  <c r="Y1551" i="5"/>
  <c r="Z1551" i="5"/>
  <c r="AA4521" i="5"/>
  <c r="Y4521" i="5"/>
  <c r="Z4521" i="5"/>
  <c r="DA82" i="6"/>
  <c r="DG82" i="6"/>
  <c r="DF82" i="6"/>
  <c r="DL82" i="6"/>
  <c r="CE78" i="6"/>
  <c r="BY78" i="6"/>
  <c r="CD78" i="6"/>
  <c r="CJ78" i="6"/>
  <c r="AA5016" i="5"/>
  <c r="Z5016" i="5"/>
  <c r="Y5016" i="5"/>
  <c r="AA1056" i="5"/>
  <c r="Z1056" i="5"/>
  <c r="Y1056" i="5"/>
  <c r="AA66" i="5"/>
  <c r="Z66" i="5"/>
  <c r="Y66" i="5"/>
  <c r="DY84" i="6"/>
  <c r="DO84" i="6"/>
  <c r="BX76" i="6"/>
  <c r="BR76" i="6"/>
  <c r="CC76" i="6"/>
  <c r="BW76" i="6"/>
  <c r="BA73" i="6"/>
  <c r="AP73" i="6"/>
  <c r="AU73" i="6"/>
  <c r="AV73" i="6"/>
  <c r="AA3530" i="5"/>
  <c r="Y3530" i="5"/>
  <c r="Z3530" i="5"/>
  <c r="CS79" i="6"/>
  <c r="CM79" i="6"/>
  <c r="CX79" i="6"/>
  <c r="CR79" i="6"/>
  <c r="AA5511" i="5"/>
  <c r="Y5511" i="5"/>
  <c r="Z5511" i="5"/>
  <c r="CY81" i="6"/>
  <c r="CT81" i="6"/>
  <c r="DE81" i="6"/>
  <c r="CZ81" i="6"/>
  <c r="DX84" i="6"/>
  <c r="AA6007" i="5" s="1"/>
  <c r="EF86" i="6"/>
  <c r="EG86" i="6" s="1"/>
  <c r="EH86" i="6" s="1"/>
  <c r="AA86" i="6" s="1"/>
  <c r="EG85" i="6"/>
  <c r="EH85" i="6" s="1"/>
  <c r="AA85" i="6" s="1"/>
  <c r="DX83" i="6"/>
  <c r="AA6006" i="5" s="1"/>
  <c r="AA4026" i="5" l="1"/>
  <c r="Y4026" i="5"/>
  <c r="Z4026" i="5"/>
  <c r="CT82" i="6"/>
  <c r="CZ82" i="6"/>
  <c r="CY82" i="6"/>
  <c r="DE82" i="6"/>
  <c r="CL79" i="6"/>
  <c r="CF79" i="6"/>
  <c r="CQ79" i="6"/>
  <c r="CK79" i="6"/>
  <c r="AA562" i="5"/>
  <c r="Y562" i="5"/>
  <c r="Z562" i="5"/>
  <c r="AA3037" i="5"/>
  <c r="Y3037" i="5"/>
  <c r="Z3037" i="5"/>
  <c r="AA5017" i="5"/>
  <c r="Y5017" i="5"/>
  <c r="Z5017" i="5"/>
  <c r="BH75" i="6"/>
  <c r="AW75" i="6"/>
  <c r="BB75" i="6"/>
  <c r="BC75" i="6"/>
  <c r="BA74" i="6"/>
  <c r="AP74" i="6"/>
  <c r="AV74" i="6"/>
  <c r="AU74" i="6"/>
  <c r="CL80" i="6"/>
  <c r="CF80" i="6"/>
  <c r="CK80" i="6"/>
  <c r="CQ80" i="6"/>
  <c r="BP76" i="6"/>
  <c r="BK76" i="6"/>
  <c r="BQ76" i="6"/>
  <c r="BV76" i="6"/>
  <c r="CS81" i="6"/>
  <c r="CR81" i="6"/>
  <c r="CM81" i="6"/>
  <c r="CX81" i="6"/>
  <c r="DS84" i="6"/>
  <c r="DH84" i="6"/>
  <c r="DM84" i="6"/>
  <c r="DN84" i="6"/>
  <c r="AA1057" i="5"/>
  <c r="Y1057" i="5"/>
  <c r="Z1057" i="5"/>
  <c r="AA4027" i="5"/>
  <c r="Y4027" i="5"/>
  <c r="Z4027" i="5"/>
  <c r="AO72" i="6"/>
  <c r="AN72" i="6"/>
  <c r="AT72" i="6"/>
  <c r="AO73" i="6"/>
  <c r="AN73" i="6"/>
  <c r="AT73" i="6"/>
  <c r="AA3036" i="5"/>
  <c r="Z3036" i="5"/>
  <c r="Y3036" i="5"/>
  <c r="AA4522" i="5"/>
  <c r="Y4522" i="5"/>
  <c r="Z4522" i="5"/>
  <c r="Y2541" i="5"/>
  <c r="AA2541" i="5"/>
  <c r="Z2541" i="5"/>
  <c r="BX78" i="6"/>
  <c r="CC78" i="6"/>
  <c r="BR78" i="6"/>
  <c r="BW78" i="6"/>
  <c r="AA1552" i="5"/>
  <c r="Y1552" i="5"/>
  <c r="Z1552" i="5"/>
  <c r="DH83" i="6"/>
  <c r="DS83" i="6"/>
  <c r="DN83" i="6"/>
  <c r="DM83" i="6"/>
  <c r="BX77" i="6"/>
  <c r="BR77" i="6"/>
  <c r="CC77" i="6"/>
  <c r="BW77" i="6"/>
  <c r="AA561" i="5"/>
  <c r="Y561" i="5"/>
  <c r="Z561" i="5"/>
  <c r="Y6006" i="5"/>
  <c r="Z6006" i="5"/>
  <c r="Y6007" i="5"/>
  <c r="Z6007" i="5"/>
  <c r="R86" i="6"/>
  <c r="J86" i="6"/>
  <c r="Z86" i="6"/>
  <c r="X86" i="6"/>
  <c r="N86" i="6"/>
  <c r="D86" i="6"/>
  <c r="V86" i="6"/>
  <c r="L86" i="6"/>
  <c r="F86" i="6"/>
  <c r="T86" i="6"/>
  <c r="P86" i="6"/>
  <c r="H86" i="6"/>
  <c r="AM86" i="6"/>
  <c r="AB86" i="6"/>
  <c r="DT86" i="6" s="1"/>
  <c r="AI86" i="6"/>
  <c r="AK86" i="6"/>
  <c r="F85" i="6"/>
  <c r="V85" i="6"/>
  <c r="N85" i="6"/>
  <c r="Z85" i="6"/>
  <c r="T85" i="6"/>
  <c r="L85" i="6"/>
  <c r="R85" i="6"/>
  <c r="H85" i="6"/>
  <c r="X85" i="6"/>
  <c r="P85" i="6"/>
  <c r="J85" i="6"/>
  <c r="D85" i="6"/>
  <c r="AB85" i="6"/>
  <c r="DT85" i="6" s="1"/>
  <c r="AI85" i="6"/>
  <c r="AM85" i="6"/>
  <c r="AK85" i="6"/>
  <c r="EF87" i="6"/>
  <c r="BP78" i="6" l="1"/>
  <c r="BQ78" i="6"/>
  <c r="BK78" i="6"/>
  <c r="BV78" i="6"/>
  <c r="AA68" i="5"/>
  <c r="Y68" i="5"/>
  <c r="Z68" i="5"/>
  <c r="AA4028" i="5"/>
  <c r="Y4028" i="5"/>
  <c r="Z4028" i="5"/>
  <c r="AA2047" i="5"/>
  <c r="Z2047" i="5"/>
  <c r="Y2047" i="5"/>
  <c r="AA3533" i="5"/>
  <c r="Y3533" i="5"/>
  <c r="Z3533" i="5"/>
  <c r="CS82" i="6"/>
  <c r="CM82" i="6"/>
  <c r="CX82" i="6"/>
  <c r="CR82" i="6"/>
  <c r="AA2542" i="5"/>
  <c r="Z2542" i="5"/>
  <c r="Y2542" i="5"/>
  <c r="AA2543" i="5"/>
  <c r="Y2543" i="5"/>
  <c r="Z2543" i="5"/>
  <c r="CL81" i="6"/>
  <c r="CF81" i="6"/>
  <c r="CQ81" i="6"/>
  <c r="CK81" i="6"/>
  <c r="AA4523" i="5"/>
  <c r="Y4523" i="5"/>
  <c r="Z4523" i="5"/>
  <c r="DO85" i="6"/>
  <c r="DY85" i="6"/>
  <c r="BP77" i="6"/>
  <c r="BK77" i="6"/>
  <c r="BQ77" i="6"/>
  <c r="BV77" i="6"/>
  <c r="AA5512" i="5"/>
  <c r="Y5512" i="5"/>
  <c r="Z5512" i="5"/>
  <c r="BJ76" i="6"/>
  <c r="BI76" i="6"/>
  <c r="BD76" i="6"/>
  <c r="BO76" i="6"/>
  <c r="CE80" i="6"/>
  <c r="BY80" i="6"/>
  <c r="CD80" i="6"/>
  <c r="CJ80" i="6"/>
  <c r="AO74" i="6"/>
  <c r="AT74" i="6"/>
  <c r="AN74" i="6"/>
  <c r="BA75" i="6"/>
  <c r="AP75" i="6"/>
  <c r="AV75" i="6"/>
  <c r="AU75" i="6"/>
  <c r="AA3532" i="5"/>
  <c r="Y3532" i="5"/>
  <c r="Z3532" i="5"/>
  <c r="DA84" i="6"/>
  <c r="DF84" i="6"/>
  <c r="DL84" i="6"/>
  <c r="DG84" i="6"/>
  <c r="DO86" i="6"/>
  <c r="DY86" i="6"/>
  <c r="DA83" i="6"/>
  <c r="DF83" i="6"/>
  <c r="DG83" i="6"/>
  <c r="DL83" i="6"/>
  <c r="AA67" i="5"/>
  <c r="Z67" i="5"/>
  <c r="Y67" i="5"/>
  <c r="Y5513" i="5"/>
  <c r="AA5513" i="5"/>
  <c r="Z5513" i="5"/>
  <c r="AA563" i="5"/>
  <c r="Y563" i="5"/>
  <c r="Z563" i="5"/>
  <c r="AA1058" i="5"/>
  <c r="Y1058" i="5"/>
  <c r="Z1058" i="5"/>
  <c r="BY79" i="6"/>
  <c r="CE79" i="6"/>
  <c r="CD79" i="6"/>
  <c r="CJ79" i="6"/>
  <c r="DX86" i="6"/>
  <c r="AA6009" i="5" s="1"/>
  <c r="EF88" i="6"/>
  <c r="EG88" i="6" s="1"/>
  <c r="EH88" i="6" s="1"/>
  <c r="AA88" i="6" s="1"/>
  <c r="DX85" i="6"/>
  <c r="AA6008" i="5" s="1"/>
  <c r="EG87" i="6"/>
  <c r="EH87" i="6" s="1"/>
  <c r="AA87" i="6" s="1"/>
  <c r="AA69" i="5" l="1"/>
  <c r="Y69" i="5"/>
  <c r="Z69" i="5"/>
  <c r="BY81" i="6"/>
  <c r="CE81" i="6"/>
  <c r="CD81" i="6"/>
  <c r="CJ81" i="6"/>
  <c r="BX79" i="6"/>
  <c r="BR79" i="6"/>
  <c r="CC79" i="6"/>
  <c r="BW79" i="6"/>
  <c r="CY83" i="6"/>
  <c r="CT83" i="6"/>
  <c r="DE83" i="6"/>
  <c r="CZ83" i="6"/>
  <c r="AA5019" i="5"/>
  <c r="Z5019" i="5"/>
  <c r="Y5019" i="5"/>
  <c r="AA2048" i="5"/>
  <c r="Y2048" i="5"/>
  <c r="Z2048" i="5"/>
  <c r="AA4029" i="5"/>
  <c r="Y4029" i="5"/>
  <c r="Z4029" i="5"/>
  <c r="BO78" i="6"/>
  <c r="BD78" i="6"/>
  <c r="BI78" i="6"/>
  <c r="BJ78" i="6"/>
  <c r="AA3038" i="5"/>
  <c r="Z3038" i="5"/>
  <c r="Y3038" i="5"/>
  <c r="AA5018" i="5"/>
  <c r="Y5018" i="5"/>
  <c r="Z5018" i="5"/>
  <c r="AA564" i="5"/>
  <c r="Y564" i="5"/>
  <c r="Z564" i="5"/>
  <c r="AA3039" i="5"/>
  <c r="Y3039" i="5"/>
  <c r="Z3039" i="5"/>
  <c r="AA1553" i="5"/>
  <c r="Y1553" i="5"/>
  <c r="Z1553" i="5"/>
  <c r="DH85" i="6"/>
  <c r="DM85" i="6"/>
  <c r="DS85" i="6"/>
  <c r="DN85" i="6"/>
  <c r="CL82" i="6"/>
  <c r="CF82" i="6"/>
  <c r="CQ82" i="6"/>
  <c r="CK82" i="6"/>
  <c r="BX80" i="6"/>
  <c r="BR80" i="6"/>
  <c r="CC80" i="6"/>
  <c r="BW80" i="6"/>
  <c r="AA2049" i="5"/>
  <c r="Y2049" i="5"/>
  <c r="Z2049" i="5"/>
  <c r="AO75" i="6"/>
  <c r="AN75" i="6"/>
  <c r="AT75" i="6"/>
  <c r="DS86" i="6"/>
  <c r="DH86" i="6"/>
  <c r="DM86" i="6"/>
  <c r="DN86" i="6"/>
  <c r="CT84" i="6"/>
  <c r="DE84" i="6"/>
  <c r="CY84" i="6"/>
  <c r="CZ84" i="6"/>
  <c r="BH76" i="6"/>
  <c r="AW76" i="6"/>
  <c r="BB76" i="6"/>
  <c r="BC76" i="6"/>
  <c r="BJ77" i="6"/>
  <c r="BD77" i="6"/>
  <c r="BO77" i="6"/>
  <c r="BI77" i="6"/>
  <c r="AA3534" i="5"/>
  <c r="Z3534" i="5"/>
  <c r="Y3534" i="5"/>
  <c r="Y6008" i="5"/>
  <c r="Z6008" i="5"/>
  <c r="Y6009" i="5"/>
  <c r="Z6009" i="5"/>
  <c r="Z87" i="6"/>
  <c r="V87" i="6"/>
  <c r="L87" i="6"/>
  <c r="T87" i="6"/>
  <c r="J87" i="6"/>
  <c r="D87" i="6"/>
  <c r="R87" i="6"/>
  <c r="N87" i="6"/>
  <c r="F87" i="6"/>
  <c r="X87" i="6"/>
  <c r="P87" i="6"/>
  <c r="H87" i="6"/>
  <c r="AI87" i="6"/>
  <c r="AB87" i="6"/>
  <c r="DT87" i="6" s="1"/>
  <c r="AM87" i="6"/>
  <c r="AK87" i="6"/>
  <c r="EF89" i="6"/>
  <c r="X88" i="6"/>
  <c r="P88" i="6"/>
  <c r="H88" i="6"/>
  <c r="V88" i="6"/>
  <c r="N88" i="6"/>
  <c r="D88" i="6"/>
  <c r="T88" i="6"/>
  <c r="J88" i="6"/>
  <c r="F88" i="6"/>
  <c r="R88" i="6"/>
  <c r="L88" i="6"/>
  <c r="AK88" i="6"/>
  <c r="Z88" i="6"/>
  <c r="AM88" i="6"/>
  <c r="AI88" i="6"/>
  <c r="AB88" i="6"/>
  <c r="DT88" i="6" s="1"/>
  <c r="DA85" i="6" l="1"/>
  <c r="DL85" i="6"/>
  <c r="DG85" i="6"/>
  <c r="DF85" i="6"/>
  <c r="BX81" i="6"/>
  <c r="BR81" i="6"/>
  <c r="CC81" i="6"/>
  <c r="BW81" i="6"/>
  <c r="BH77" i="6"/>
  <c r="AW77" i="6"/>
  <c r="BB77" i="6"/>
  <c r="BC77" i="6"/>
  <c r="DA86" i="6"/>
  <c r="DF86" i="6"/>
  <c r="DG86" i="6"/>
  <c r="DL86" i="6"/>
  <c r="AA3040" i="5"/>
  <c r="Y3040" i="5"/>
  <c r="Z3040" i="5"/>
  <c r="DY87" i="6"/>
  <c r="DO87" i="6"/>
  <c r="Y1059" i="5"/>
  <c r="AA1059" i="5"/>
  <c r="Z1059" i="5"/>
  <c r="CS84" i="6"/>
  <c r="CM84" i="6"/>
  <c r="CX84" i="6"/>
  <c r="CR84" i="6"/>
  <c r="AA5515" i="5"/>
  <c r="Y5515" i="5"/>
  <c r="Z5515" i="5"/>
  <c r="Y2545" i="5"/>
  <c r="AA2545" i="5"/>
  <c r="Z2545" i="5"/>
  <c r="AA3535" i="5"/>
  <c r="Y3535" i="5"/>
  <c r="Z3535" i="5"/>
  <c r="AA5514" i="5"/>
  <c r="Y5514" i="5"/>
  <c r="Z5514" i="5"/>
  <c r="BH78" i="6"/>
  <c r="AW78" i="6"/>
  <c r="BB78" i="6"/>
  <c r="BC78" i="6"/>
  <c r="AA4524" i="5"/>
  <c r="Y4524" i="5"/>
  <c r="Z4524" i="5"/>
  <c r="AA2544" i="5"/>
  <c r="Y2544" i="5"/>
  <c r="Z2544" i="5"/>
  <c r="AA1554" i="5"/>
  <c r="Y1554" i="5"/>
  <c r="Z1554" i="5"/>
  <c r="BA76" i="6"/>
  <c r="AP76" i="6"/>
  <c r="AV76" i="6"/>
  <c r="AU76" i="6"/>
  <c r="AA4525" i="5"/>
  <c r="Y4525" i="5"/>
  <c r="Z4525" i="5"/>
  <c r="DY88" i="6"/>
  <c r="DO88" i="6"/>
  <c r="AA70" i="5"/>
  <c r="Y70" i="5"/>
  <c r="Z70" i="5"/>
  <c r="BP80" i="6"/>
  <c r="BK80" i="6"/>
  <c r="BQ80" i="6"/>
  <c r="BV80" i="6"/>
  <c r="CE82" i="6"/>
  <c r="BY82" i="6"/>
  <c r="CD82" i="6"/>
  <c r="CJ82" i="6"/>
  <c r="AA1555" i="5"/>
  <c r="Z1555" i="5"/>
  <c r="Y1555" i="5"/>
  <c r="CS83" i="6"/>
  <c r="CM83" i="6"/>
  <c r="CX83" i="6"/>
  <c r="CR83" i="6"/>
  <c r="BP79" i="6"/>
  <c r="BK79" i="6"/>
  <c r="BQ79" i="6"/>
  <c r="BV79" i="6"/>
  <c r="DX88" i="6"/>
  <c r="AA6011" i="5" s="1"/>
  <c r="EF90" i="6"/>
  <c r="EG90" i="6" s="1"/>
  <c r="EH90" i="6" s="1"/>
  <c r="AA90" i="6" s="1"/>
  <c r="DX87" i="6"/>
  <c r="AA6010" i="5" s="1"/>
  <c r="EG89" i="6"/>
  <c r="EH89" i="6" s="1"/>
  <c r="AA89" i="6" s="1"/>
  <c r="AA5021" i="5" l="1"/>
  <c r="Y5021" i="5"/>
  <c r="Z5021" i="5"/>
  <c r="BX82" i="6"/>
  <c r="CC82" i="6"/>
  <c r="BR82" i="6"/>
  <c r="BW82" i="6"/>
  <c r="AO76" i="6"/>
  <c r="AN76" i="6"/>
  <c r="AT76" i="6"/>
  <c r="AA4031" i="5"/>
  <c r="Y4031" i="5"/>
  <c r="Z4031" i="5"/>
  <c r="CL83" i="6"/>
  <c r="CF83" i="6"/>
  <c r="CQ83" i="6"/>
  <c r="CK83" i="6"/>
  <c r="DH88" i="6"/>
  <c r="DS88" i="6"/>
  <c r="DM88" i="6"/>
  <c r="DN88" i="6"/>
  <c r="Y565" i="5"/>
  <c r="AA565" i="5"/>
  <c r="Z565" i="5"/>
  <c r="BA78" i="6"/>
  <c r="AP78" i="6"/>
  <c r="AV78" i="6"/>
  <c r="AU78" i="6"/>
  <c r="CL84" i="6"/>
  <c r="CF84" i="6"/>
  <c r="CK84" i="6"/>
  <c r="CQ84" i="6"/>
  <c r="BA77" i="6"/>
  <c r="AU77" i="6"/>
  <c r="AP77" i="6"/>
  <c r="AV77" i="6"/>
  <c r="BP81" i="6"/>
  <c r="BK81" i="6"/>
  <c r="BQ81" i="6"/>
  <c r="BV81" i="6"/>
  <c r="AA5020" i="5"/>
  <c r="Z5020" i="5"/>
  <c r="Y5020" i="5"/>
  <c r="AA2050" i="5"/>
  <c r="Y2050" i="5"/>
  <c r="Z2050" i="5"/>
  <c r="Y4030" i="5"/>
  <c r="AA4030" i="5"/>
  <c r="Z4030" i="5"/>
  <c r="BI80" i="6"/>
  <c r="BD80" i="6"/>
  <c r="BJ80" i="6"/>
  <c r="BO80" i="6"/>
  <c r="AA2546" i="5"/>
  <c r="Z2546" i="5"/>
  <c r="Y2546" i="5"/>
  <c r="BJ79" i="6"/>
  <c r="BI79" i="6"/>
  <c r="BD79" i="6"/>
  <c r="BO79" i="6"/>
  <c r="AA3041" i="5"/>
  <c r="Y3041" i="5"/>
  <c r="Z3041" i="5"/>
  <c r="AA2051" i="5"/>
  <c r="Y2051" i="5"/>
  <c r="Z2051" i="5"/>
  <c r="AA1061" i="5"/>
  <c r="Y1061" i="5"/>
  <c r="Z1061" i="5"/>
  <c r="DH87" i="6"/>
  <c r="DS87" i="6"/>
  <c r="DN87" i="6"/>
  <c r="DM87" i="6"/>
  <c r="CT86" i="6"/>
  <c r="CZ86" i="6"/>
  <c r="DE86" i="6"/>
  <c r="CY86" i="6"/>
  <c r="AA1060" i="5"/>
  <c r="Z1060" i="5"/>
  <c r="Y1060" i="5"/>
  <c r="CY85" i="6"/>
  <c r="CT85" i="6"/>
  <c r="DE85" i="6"/>
  <c r="CZ85" i="6"/>
  <c r="Y6010" i="5"/>
  <c r="Z6010" i="5"/>
  <c r="Y6011" i="5"/>
  <c r="Z6011" i="5"/>
  <c r="Z90" i="6"/>
  <c r="V90" i="6"/>
  <c r="P90" i="6"/>
  <c r="F90" i="6"/>
  <c r="H90" i="6"/>
  <c r="T90" i="6"/>
  <c r="L90" i="6"/>
  <c r="R90" i="6"/>
  <c r="J90" i="6"/>
  <c r="X90" i="6"/>
  <c r="N90" i="6"/>
  <c r="D90" i="6"/>
  <c r="AM90" i="6"/>
  <c r="AB90" i="6"/>
  <c r="DT90" i="6" s="1"/>
  <c r="AI90" i="6"/>
  <c r="AK90" i="6"/>
  <c r="D89" i="6"/>
  <c r="Z89" i="6"/>
  <c r="X89" i="6"/>
  <c r="N89" i="6"/>
  <c r="H89" i="6"/>
  <c r="V89" i="6"/>
  <c r="T89" i="6"/>
  <c r="R89" i="6"/>
  <c r="L89" i="6"/>
  <c r="P89" i="6"/>
  <c r="J89" i="6"/>
  <c r="AM89" i="6"/>
  <c r="F89" i="6"/>
  <c r="AI89" i="6"/>
  <c r="AB89" i="6"/>
  <c r="DT89" i="6" s="1"/>
  <c r="AK89" i="6"/>
  <c r="EF91" i="6"/>
  <c r="EG91" i="6" s="1"/>
  <c r="EH91" i="6" s="1"/>
  <c r="AA91" i="6" s="1"/>
  <c r="AA4527" i="5" l="1"/>
  <c r="Z4527" i="5"/>
  <c r="Y4527" i="5"/>
  <c r="AA2052" i="5"/>
  <c r="Y2052" i="5"/>
  <c r="Z2052" i="5"/>
  <c r="AA3537" i="5"/>
  <c r="Z3537" i="5"/>
  <c r="Y3537" i="5"/>
  <c r="AA4526" i="5"/>
  <c r="Z4526" i="5"/>
  <c r="Y4526" i="5"/>
  <c r="BH80" i="6"/>
  <c r="AW80" i="6"/>
  <c r="BB80" i="6"/>
  <c r="BC80" i="6"/>
  <c r="BY83" i="6"/>
  <c r="CE83" i="6"/>
  <c r="CD83" i="6"/>
  <c r="CJ83" i="6"/>
  <c r="CS85" i="6"/>
  <c r="CR85" i="6"/>
  <c r="CM85" i="6"/>
  <c r="CX85" i="6"/>
  <c r="DA87" i="6"/>
  <c r="DG87" i="6"/>
  <c r="DF87" i="6"/>
  <c r="DL87" i="6"/>
  <c r="CE84" i="6"/>
  <c r="BY84" i="6"/>
  <c r="CD84" i="6"/>
  <c r="CJ84" i="6"/>
  <c r="AO78" i="6"/>
  <c r="AT78" i="6"/>
  <c r="AN78" i="6"/>
  <c r="DA88" i="6"/>
  <c r="DL88" i="6"/>
  <c r="DF88" i="6"/>
  <c r="DG88" i="6"/>
  <c r="AA71" i="5"/>
  <c r="Y71" i="5"/>
  <c r="Z71" i="5"/>
  <c r="BP82" i="6"/>
  <c r="BK82" i="6"/>
  <c r="BQ82" i="6"/>
  <c r="BV82" i="6"/>
  <c r="AA1556" i="5"/>
  <c r="Y1556" i="5"/>
  <c r="Z1556" i="5"/>
  <c r="AA3536" i="5"/>
  <c r="Y3536" i="5"/>
  <c r="Z3536" i="5"/>
  <c r="DY89" i="6"/>
  <c r="DO89" i="6"/>
  <c r="AA5516" i="5"/>
  <c r="Y5516" i="5"/>
  <c r="Z5516" i="5"/>
  <c r="BH79" i="6"/>
  <c r="AW79" i="6"/>
  <c r="BB79" i="6"/>
  <c r="BC79" i="6"/>
  <c r="AO77" i="6"/>
  <c r="AN77" i="6"/>
  <c r="AT77" i="6"/>
  <c r="AA5517" i="5"/>
  <c r="Y5517" i="5"/>
  <c r="Z5517" i="5"/>
  <c r="DO90" i="6"/>
  <c r="DY90" i="6"/>
  <c r="CS86" i="6"/>
  <c r="CM86" i="6"/>
  <c r="CR86" i="6"/>
  <c r="CX86" i="6"/>
  <c r="BJ81" i="6"/>
  <c r="BI81" i="6"/>
  <c r="BD81" i="6"/>
  <c r="BO81" i="6"/>
  <c r="AA1557" i="5"/>
  <c r="Z1557" i="5"/>
  <c r="Y1557" i="5"/>
  <c r="AA566" i="5"/>
  <c r="Y566" i="5"/>
  <c r="Z566" i="5"/>
  <c r="AA567" i="5"/>
  <c r="Z567" i="5"/>
  <c r="Y567" i="5"/>
  <c r="AA2547" i="5"/>
  <c r="Z2547" i="5"/>
  <c r="Y2547" i="5"/>
  <c r="DX89" i="6"/>
  <c r="AA6012" i="5" s="1"/>
  <c r="EF92" i="6"/>
  <c r="EG92" i="6" s="1"/>
  <c r="EH92" i="6" s="1"/>
  <c r="AA92" i="6" s="1"/>
  <c r="X91" i="6"/>
  <c r="P91" i="6"/>
  <c r="H91" i="6"/>
  <c r="D91" i="6"/>
  <c r="V91" i="6"/>
  <c r="L91" i="6"/>
  <c r="F91" i="6"/>
  <c r="T91" i="6"/>
  <c r="N91" i="6"/>
  <c r="Z91" i="6"/>
  <c r="R91" i="6"/>
  <c r="J91" i="6"/>
  <c r="AI91" i="6"/>
  <c r="AK91" i="6"/>
  <c r="AB91" i="6"/>
  <c r="DT91" i="6" s="1"/>
  <c r="AM91" i="6"/>
  <c r="DX90" i="6"/>
  <c r="AA6013" i="5" s="1"/>
  <c r="DS90" i="6" l="1"/>
  <c r="DH90" i="6"/>
  <c r="DM90" i="6"/>
  <c r="DN90" i="6"/>
  <c r="CT88" i="6"/>
  <c r="CZ88" i="6"/>
  <c r="CY88" i="6"/>
  <c r="DE88" i="6"/>
  <c r="AA5022" i="5"/>
  <c r="Y5022" i="5"/>
  <c r="Z5022" i="5"/>
  <c r="AA4032" i="5"/>
  <c r="Z4032" i="5"/>
  <c r="Y4032" i="5"/>
  <c r="BA79" i="6"/>
  <c r="AP79" i="6"/>
  <c r="AU79" i="6"/>
  <c r="AV79" i="6"/>
  <c r="AA1062" i="5"/>
  <c r="Y1062" i="5"/>
  <c r="Z1062" i="5"/>
  <c r="DH89" i="6"/>
  <c r="DN89" i="6"/>
  <c r="DM89" i="6"/>
  <c r="DS89" i="6"/>
  <c r="AA2053" i="5"/>
  <c r="Z2053" i="5"/>
  <c r="Y2053" i="5"/>
  <c r="AA73" i="5"/>
  <c r="Z73" i="5"/>
  <c r="Y73" i="5"/>
  <c r="BX84" i="6"/>
  <c r="BR84" i="6"/>
  <c r="CC84" i="6"/>
  <c r="BW84" i="6"/>
  <c r="BA80" i="6"/>
  <c r="AP80" i="6"/>
  <c r="AV80" i="6"/>
  <c r="AU80" i="6"/>
  <c r="BH81" i="6"/>
  <c r="AW81" i="6"/>
  <c r="BB81" i="6"/>
  <c r="BC81" i="6"/>
  <c r="AA72" i="5"/>
  <c r="Z72" i="5"/>
  <c r="Y72" i="5"/>
  <c r="BD82" i="6"/>
  <c r="BI82" i="6"/>
  <c r="BJ82" i="6"/>
  <c r="BO82" i="6"/>
  <c r="AA3043" i="5"/>
  <c r="Y3043" i="5"/>
  <c r="Z3043" i="5"/>
  <c r="AA3042" i="5"/>
  <c r="Y3042" i="5"/>
  <c r="Z3042" i="5"/>
  <c r="CL86" i="6"/>
  <c r="CF86" i="6"/>
  <c r="CQ86" i="6"/>
  <c r="CK86" i="6"/>
  <c r="CL85" i="6"/>
  <c r="CF85" i="6"/>
  <c r="CQ85" i="6"/>
  <c r="CK85" i="6"/>
  <c r="DY91" i="6"/>
  <c r="DO91" i="6"/>
  <c r="AA1558" i="5"/>
  <c r="Y1558" i="5"/>
  <c r="Z1558" i="5"/>
  <c r="AA4033" i="5"/>
  <c r="Y4033" i="5"/>
  <c r="Z4033" i="5"/>
  <c r="AA5023" i="5"/>
  <c r="Y5023" i="5"/>
  <c r="Z5023" i="5"/>
  <c r="CY87" i="6"/>
  <c r="CT87" i="6"/>
  <c r="CZ87" i="6"/>
  <c r="DE87" i="6"/>
  <c r="BX83" i="6"/>
  <c r="BR83" i="6"/>
  <c r="CC83" i="6"/>
  <c r="BW83" i="6"/>
  <c r="AA1063" i="5"/>
  <c r="Y1063" i="5"/>
  <c r="Z1063" i="5"/>
  <c r="Y6013" i="5"/>
  <c r="Z6013" i="5"/>
  <c r="Y6012" i="5"/>
  <c r="Z6012" i="5"/>
  <c r="EF93" i="6"/>
  <c r="V92" i="6"/>
  <c r="N92" i="6"/>
  <c r="D92" i="6"/>
  <c r="X92" i="6"/>
  <c r="J92" i="6"/>
  <c r="F92" i="6"/>
  <c r="R92" i="6"/>
  <c r="L92" i="6"/>
  <c r="T92" i="6"/>
  <c r="P92" i="6"/>
  <c r="H92" i="6"/>
  <c r="Z92" i="6"/>
  <c r="AK92" i="6"/>
  <c r="AM92" i="6"/>
  <c r="AB92" i="6"/>
  <c r="DT92" i="6" s="1"/>
  <c r="AI92" i="6"/>
  <c r="DX91" i="6"/>
  <c r="AA6014" i="5" s="1"/>
  <c r="AO79" i="6" l="1"/>
  <c r="AN79" i="6"/>
  <c r="AT79" i="6"/>
  <c r="AA3538" i="5"/>
  <c r="Z3538" i="5"/>
  <c r="Y3538" i="5"/>
  <c r="AA3539" i="5"/>
  <c r="Z3539" i="5"/>
  <c r="Y3539" i="5"/>
  <c r="AA2548" i="5"/>
  <c r="Y2548" i="5"/>
  <c r="Z2548" i="5"/>
  <c r="DH91" i="6"/>
  <c r="DN91" i="6"/>
  <c r="DM91" i="6"/>
  <c r="DS91" i="6"/>
  <c r="BY85" i="6"/>
  <c r="CE85" i="6"/>
  <c r="CD85" i="6"/>
  <c r="CJ85" i="6"/>
  <c r="CE86" i="6"/>
  <c r="BY86" i="6"/>
  <c r="CD86" i="6"/>
  <c r="CJ86" i="6"/>
  <c r="AA1559" i="5"/>
  <c r="Y1559" i="5"/>
  <c r="Z1559" i="5"/>
  <c r="Y2549" i="5"/>
  <c r="AA2549" i="5"/>
  <c r="Z2549" i="5"/>
  <c r="DA89" i="6"/>
  <c r="DG89" i="6"/>
  <c r="DL89" i="6"/>
  <c r="DF89" i="6"/>
  <c r="DA90" i="6"/>
  <c r="DL90" i="6"/>
  <c r="DG90" i="6"/>
  <c r="DF90" i="6"/>
  <c r="AA1064" i="5"/>
  <c r="Z1064" i="5"/>
  <c r="Y1064" i="5"/>
  <c r="AA569" i="5"/>
  <c r="Z569" i="5"/>
  <c r="Y569" i="5"/>
  <c r="AA4529" i="5"/>
  <c r="Y4529" i="5"/>
  <c r="Z4529" i="5"/>
  <c r="AA4528" i="5"/>
  <c r="Y4528" i="5"/>
  <c r="Z4528" i="5"/>
  <c r="BH82" i="6"/>
  <c r="AW82" i="6"/>
  <c r="BB82" i="6"/>
  <c r="BC82" i="6"/>
  <c r="AA568" i="5"/>
  <c r="Y568" i="5"/>
  <c r="Z568" i="5"/>
  <c r="DY92" i="6"/>
  <c r="DO92" i="6"/>
  <c r="BP83" i="6"/>
  <c r="BK83" i="6"/>
  <c r="BQ83" i="6"/>
  <c r="BV83" i="6"/>
  <c r="CS87" i="6"/>
  <c r="CM87" i="6"/>
  <c r="CX87" i="6"/>
  <c r="CR87" i="6"/>
  <c r="BA81" i="6"/>
  <c r="AP81" i="6"/>
  <c r="AU81" i="6"/>
  <c r="AV81" i="6"/>
  <c r="AO80" i="6"/>
  <c r="AN80" i="6"/>
  <c r="AT80" i="6"/>
  <c r="BP84" i="6"/>
  <c r="BK84" i="6"/>
  <c r="BQ84" i="6"/>
  <c r="BV84" i="6"/>
  <c r="AA5518" i="5"/>
  <c r="Y5518" i="5"/>
  <c r="Z5518" i="5"/>
  <c r="CS88" i="6"/>
  <c r="CX88" i="6"/>
  <c r="CR88" i="6"/>
  <c r="CM88" i="6"/>
  <c r="AA5519" i="5"/>
  <c r="Y5519" i="5"/>
  <c r="Z5519" i="5"/>
  <c r="Y6014" i="5"/>
  <c r="Z6014" i="5"/>
  <c r="EF94" i="6"/>
  <c r="EG94" i="6" s="1"/>
  <c r="EH94" i="6" s="1"/>
  <c r="AA94" i="6" s="1"/>
  <c r="DX92" i="6"/>
  <c r="AA6015" i="5" s="1"/>
  <c r="EG93" i="6"/>
  <c r="EH93" i="6" s="1"/>
  <c r="AA93" i="6" s="1"/>
  <c r="BD84" i="6" l="1"/>
  <c r="BI84" i="6"/>
  <c r="BJ84" i="6"/>
  <c r="BO84" i="6"/>
  <c r="AA570" i="5"/>
  <c r="Y570" i="5"/>
  <c r="Z570" i="5"/>
  <c r="AA3044" i="5"/>
  <c r="Y3044" i="5"/>
  <c r="Z3044" i="5"/>
  <c r="AA5520" i="5"/>
  <c r="Y5520" i="5"/>
  <c r="Z5520" i="5"/>
  <c r="Y4035" i="5"/>
  <c r="AA4035" i="5"/>
  <c r="Z4035" i="5"/>
  <c r="AA2054" i="5"/>
  <c r="Y2054" i="5"/>
  <c r="Z2054" i="5"/>
  <c r="DS92" i="6"/>
  <c r="DH92" i="6"/>
  <c r="DN92" i="6"/>
  <c r="DM92" i="6"/>
  <c r="AA1065" i="5"/>
  <c r="Y1065" i="5"/>
  <c r="Z1065" i="5"/>
  <c r="CT90" i="6"/>
  <c r="CZ90" i="6"/>
  <c r="DE90" i="6"/>
  <c r="CY90" i="6"/>
  <c r="CY89" i="6"/>
  <c r="DE89" i="6"/>
  <c r="CZ89" i="6"/>
  <c r="CT89" i="6"/>
  <c r="AA74" i="5"/>
  <c r="Z74" i="5"/>
  <c r="Y74" i="5"/>
  <c r="AA2055" i="5"/>
  <c r="Y2055" i="5"/>
  <c r="Z2055" i="5"/>
  <c r="AA75" i="5"/>
  <c r="Z75" i="5"/>
  <c r="Y75" i="5"/>
  <c r="AA4034" i="5"/>
  <c r="Z4034" i="5"/>
  <c r="Y4034" i="5"/>
  <c r="BX86" i="6"/>
  <c r="CC86" i="6"/>
  <c r="BR86" i="6"/>
  <c r="BW86" i="6"/>
  <c r="BA82" i="6"/>
  <c r="AP82" i="6"/>
  <c r="AV82" i="6"/>
  <c r="AU82" i="6"/>
  <c r="AA5025" i="5"/>
  <c r="Z5025" i="5"/>
  <c r="Y5025" i="5"/>
  <c r="AA3045" i="5"/>
  <c r="Z3045" i="5"/>
  <c r="Y3045" i="5"/>
  <c r="CL88" i="6"/>
  <c r="CF88" i="6"/>
  <c r="CK88" i="6"/>
  <c r="CQ88" i="6"/>
  <c r="AO81" i="6"/>
  <c r="AN81" i="6"/>
  <c r="AT81" i="6"/>
  <c r="CL87" i="6"/>
  <c r="CF87" i="6"/>
  <c r="CQ87" i="6"/>
  <c r="CK87" i="6"/>
  <c r="BJ83" i="6"/>
  <c r="BI83" i="6"/>
  <c r="BD83" i="6"/>
  <c r="BO83" i="6"/>
  <c r="AA5024" i="5"/>
  <c r="Y5024" i="5"/>
  <c r="Z5024" i="5"/>
  <c r="BX85" i="6"/>
  <c r="BR85" i="6"/>
  <c r="CC85" i="6"/>
  <c r="BW85" i="6"/>
  <c r="DA91" i="6"/>
  <c r="DF91" i="6"/>
  <c r="DG91" i="6"/>
  <c r="DL91" i="6"/>
  <c r="Y6015" i="5"/>
  <c r="Z6015" i="5"/>
  <c r="J93" i="6"/>
  <c r="F93" i="6"/>
  <c r="R93" i="6"/>
  <c r="H93" i="6"/>
  <c r="X93" i="6"/>
  <c r="P93" i="6"/>
  <c r="V93" i="6"/>
  <c r="N93" i="6"/>
  <c r="Z93" i="6"/>
  <c r="T93" i="6"/>
  <c r="L93" i="6"/>
  <c r="D93" i="6"/>
  <c r="AI93" i="6"/>
  <c r="AK93" i="6"/>
  <c r="AB93" i="6"/>
  <c r="DT93" i="6" s="1"/>
  <c r="AM93" i="6"/>
  <c r="X94" i="6"/>
  <c r="N94" i="6"/>
  <c r="D94" i="6"/>
  <c r="V94" i="6"/>
  <c r="P94" i="6"/>
  <c r="F94" i="6"/>
  <c r="T94" i="6"/>
  <c r="L94" i="6"/>
  <c r="H94" i="6"/>
  <c r="R94" i="6"/>
  <c r="J94" i="6"/>
  <c r="Z94" i="6"/>
  <c r="AM94" i="6"/>
  <c r="AK94" i="6"/>
  <c r="AI94" i="6"/>
  <c r="AB94" i="6"/>
  <c r="DT94" i="6" s="1"/>
  <c r="EF95" i="6"/>
  <c r="BP85" i="6" l="1"/>
  <c r="BK85" i="6"/>
  <c r="BQ85" i="6"/>
  <c r="BV85" i="6"/>
  <c r="AA3541" i="5"/>
  <c r="Y3541" i="5"/>
  <c r="Z3541" i="5"/>
  <c r="AO82" i="6"/>
  <c r="AT82" i="6"/>
  <c r="AN82" i="6"/>
  <c r="AA2551" i="5"/>
  <c r="Y2551" i="5"/>
  <c r="Z2551" i="5"/>
  <c r="AA4530" i="5"/>
  <c r="Y4530" i="5"/>
  <c r="Z4530" i="5"/>
  <c r="Y5521" i="5"/>
  <c r="Z5521" i="5"/>
  <c r="AA5521" i="5"/>
  <c r="AA1561" i="5"/>
  <c r="Z1561" i="5"/>
  <c r="Y1561" i="5"/>
  <c r="DO93" i="6"/>
  <c r="DY93" i="6"/>
  <c r="CY91" i="6"/>
  <c r="DE91" i="6"/>
  <c r="CZ91" i="6"/>
  <c r="CT91" i="6"/>
  <c r="AA1560" i="5"/>
  <c r="Y1560" i="5"/>
  <c r="Z1560" i="5"/>
  <c r="AA76" i="5"/>
  <c r="Z76" i="5"/>
  <c r="Y76" i="5"/>
  <c r="AA571" i="5"/>
  <c r="Y571" i="5"/>
  <c r="Z571" i="5"/>
  <c r="CS90" i="6"/>
  <c r="CM90" i="6"/>
  <c r="CX90" i="6"/>
  <c r="CR90" i="6"/>
  <c r="AA5026" i="5"/>
  <c r="Y5026" i="5"/>
  <c r="Z5026" i="5"/>
  <c r="BH83" i="6"/>
  <c r="AW83" i="6"/>
  <c r="BB83" i="6"/>
  <c r="BC83" i="6"/>
  <c r="AA3540" i="5"/>
  <c r="Y3540" i="5"/>
  <c r="Z3540" i="5"/>
  <c r="CE88" i="6"/>
  <c r="BY88" i="6"/>
  <c r="CD88" i="6"/>
  <c r="CJ88" i="6"/>
  <c r="CS89" i="6"/>
  <c r="CR89" i="6"/>
  <c r="CM89" i="6"/>
  <c r="CX89" i="6"/>
  <c r="DO94" i="6"/>
  <c r="DY94" i="6"/>
  <c r="AA2550" i="5"/>
  <c r="Z2550" i="5"/>
  <c r="Y2550" i="5"/>
  <c r="BY87" i="6"/>
  <c r="CE87" i="6"/>
  <c r="CD87" i="6"/>
  <c r="CJ87" i="6"/>
  <c r="BP86" i="6"/>
  <c r="BK86" i="6"/>
  <c r="BQ86" i="6"/>
  <c r="BV86" i="6"/>
  <c r="AA4531" i="5"/>
  <c r="Z4531" i="5"/>
  <c r="Y4531" i="5"/>
  <c r="DA92" i="6"/>
  <c r="DF92" i="6"/>
  <c r="DG92" i="6"/>
  <c r="DL92" i="6"/>
  <c r="BH84" i="6"/>
  <c r="AW84" i="6"/>
  <c r="BB84" i="6"/>
  <c r="BC84" i="6"/>
  <c r="DX93" i="6"/>
  <c r="AA6016" i="5" s="1"/>
  <c r="EF96" i="6"/>
  <c r="EG95" i="6"/>
  <c r="EH95" i="6" s="1"/>
  <c r="AA95" i="6" s="1"/>
  <c r="DX94" i="6"/>
  <c r="AA6017" i="5" s="1"/>
  <c r="CT92" i="6" l="1"/>
  <c r="CZ92" i="6"/>
  <c r="DE92" i="6"/>
  <c r="CY92" i="6"/>
  <c r="AA2057" i="5"/>
  <c r="Y2057" i="5"/>
  <c r="Z2057" i="5"/>
  <c r="AA3046" i="5"/>
  <c r="Y3046" i="5"/>
  <c r="Z3046" i="5"/>
  <c r="CS91" i="6"/>
  <c r="CM91" i="6"/>
  <c r="CX91" i="6"/>
  <c r="CR91" i="6"/>
  <c r="AA2056" i="5"/>
  <c r="Y2056" i="5"/>
  <c r="Z2056" i="5"/>
  <c r="AA5027" i="5"/>
  <c r="Y5027" i="5"/>
  <c r="Z5027" i="5"/>
  <c r="CL90" i="6"/>
  <c r="CF90" i="6"/>
  <c r="CQ90" i="6"/>
  <c r="CK90" i="6"/>
  <c r="BD86" i="6"/>
  <c r="BJ86" i="6"/>
  <c r="BI86" i="6"/>
  <c r="BO86" i="6"/>
  <c r="CL89" i="6"/>
  <c r="CF89" i="6"/>
  <c r="CQ89" i="6"/>
  <c r="CK89" i="6"/>
  <c r="BA83" i="6"/>
  <c r="AP83" i="6"/>
  <c r="AV83" i="6"/>
  <c r="AU83" i="6"/>
  <c r="AA4532" i="5"/>
  <c r="Z4532" i="5"/>
  <c r="Y4532" i="5"/>
  <c r="BJ85" i="6"/>
  <c r="BI85" i="6"/>
  <c r="BD85" i="6"/>
  <c r="BO85" i="6"/>
  <c r="Y1067" i="5"/>
  <c r="AA1067" i="5"/>
  <c r="Z1067" i="5"/>
  <c r="DS94" i="6"/>
  <c r="DH94" i="6"/>
  <c r="DM94" i="6"/>
  <c r="DN94" i="6"/>
  <c r="AA4037" i="5"/>
  <c r="Y4037" i="5"/>
  <c r="Z4037" i="5"/>
  <c r="AA4036" i="5"/>
  <c r="Y4036" i="5"/>
  <c r="Z4036" i="5"/>
  <c r="AA3047" i="5"/>
  <c r="Z3047" i="5"/>
  <c r="Y3047" i="5"/>
  <c r="DH93" i="6"/>
  <c r="DM93" i="6"/>
  <c r="DS93" i="6"/>
  <c r="DN93" i="6"/>
  <c r="BA84" i="6"/>
  <c r="AP84" i="6"/>
  <c r="AV84" i="6"/>
  <c r="AU84" i="6"/>
  <c r="BX87" i="6"/>
  <c r="BR87" i="6"/>
  <c r="CC87" i="6"/>
  <c r="BW87" i="6"/>
  <c r="BX88" i="6"/>
  <c r="BR88" i="6"/>
  <c r="CC88" i="6"/>
  <c r="BW88" i="6"/>
  <c r="AA1066" i="5"/>
  <c r="Y1066" i="5"/>
  <c r="Z1066" i="5"/>
  <c r="AA77" i="5"/>
  <c r="Y77" i="5"/>
  <c r="Z77" i="5"/>
  <c r="Y6017" i="5"/>
  <c r="Z6017" i="5"/>
  <c r="Y6016" i="5"/>
  <c r="Z6016" i="5"/>
  <c r="D95" i="6"/>
  <c r="R95" i="6"/>
  <c r="J95" i="6"/>
  <c r="F95" i="6"/>
  <c r="X95" i="6"/>
  <c r="P95" i="6"/>
  <c r="H95" i="6"/>
  <c r="Z95" i="6"/>
  <c r="V95" i="6"/>
  <c r="N95" i="6"/>
  <c r="T95" i="6"/>
  <c r="L95" i="6"/>
  <c r="AI95" i="6"/>
  <c r="AK95" i="6"/>
  <c r="AM95" i="6"/>
  <c r="AB95" i="6"/>
  <c r="DT95" i="6" s="1"/>
  <c r="EF97" i="6"/>
  <c r="EG97" i="6" s="1"/>
  <c r="EH97" i="6" s="1"/>
  <c r="AA97" i="6" s="1"/>
  <c r="EG96" i="6"/>
  <c r="EH96" i="6" s="1"/>
  <c r="AA96" i="6" s="1"/>
  <c r="Y573" i="5" l="1"/>
  <c r="AA573" i="5"/>
  <c r="Z573" i="5"/>
  <c r="DA94" i="6"/>
  <c r="DL94" i="6"/>
  <c r="DG94" i="6"/>
  <c r="DF94" i="6"/>
  <c r="CL91" i="6"/>
  <c r="CF91" i="6"/>
  <c r="CQ91" i="6"/>
  <c r="CK91" i="6"/>
  <c r="AA5523" i="5"/>
  <c r="Y5523" i="5"/>
  <c r="Z5523" i="5"/>
  <c r="AA1562" i="5"/>
  <c r="Z1562" i="5"/>
  <c r="Y1562" i="5"/>
  <c r="AA3542" i="5"/>
  <c r="Y3542" i="5"/>
  <c r="Z3542" i="5"/>
  <c r="AA3543" i="5"/>
  <c r="Y3543" i="5"/>
  <c r="Z3543" i="5"/>
  <c r="AA4533" i="5"/>
  <c r="Y4533" i="5"/>
  <c r="Z4533" i="5"/>
  <c r="Y2553" i="5"/>
  <c r="AA2553" i="5"/>
  <c r="Z2553" i="5"/>
  <c r="AA2552" i="5"/>
  <c r="Y2552" i="5"/>
  <c r="Z2552" i="5"/>
  <c r="AA5522" i="5"/>
  <c r="Z5522" i="5"/>
  <c r="Y5522" i="5"/>
  <c r="BH85" i="6"/>
  <c r="AW85" i="6"/>
  <c r="BB85" i="6"/>
  <c r="BC85" i="6"/>
  <c r="AO83" i="6"/>
  <c r="AN83" i="6"/>
  <c r="AT83" i="6"/>
  <c r="BY89" i="6"/>
  <c r="CE89" i="6"/>
  <c r="CD89" i="6"/>
  <c r="CJ89" i="6"/>
  <c r="CE90" i="6"/>
  <c r="BY90" i="6"/>
  <c r="CD90" i="6"/>
  <c r="CJ90" i="6"/>
  <c r="DA93" i="6"/>
  <c r="DF93" i="6"/>
  <c r="DL93" i="6"/>
  <c r="DG93" i="6"/>
  <c r="AA1563" i="5"/>
  <c r="Y1563" i="5"/>
  <c r="Z1563" i="5"/>
  <c r="DY95" i="6"/>
  <c r="DO95" i="6"/>
  <c r="BP88" i="6"/>
  <c r="BK88" i="6"/>
  <c r="BQ88" i="6"/>
  <c r="BV88" i="6"/>
  <c r="BP87" i="6"/>
  <c r="BK87" i="6"/>
  <c r="BQ87" i="6"/>
  <c r="BV87" i="6"/>
  <c r="AO84" i="6"/>
  <c r="AN84" i="6"/>
  <c r="AT84" i="6"/>
  <c r="AA572" i="5"/>
  <c r="Y572" i="5"/>
  <c r="Z572" i="5"/>
  <c r="BH86" i="6"/>
  <c r="AW86" i="6"/>
  <c r="BB86" i="6"/>
  <c r="BC86" i="6"/>
  <c r="AA4038" i="5"/>
  <c r="Y4038" i="5"/>
  <c r="Z4038" i="5"/>
  <c r="CS92" i="6"/>
  <c r="CM92" i="6"/>
  <c r="CX92" i="6"/>
  <c r="CR92" i="6"/>
  <c r="L96" i="6"/>
  <c r="T96" i="6"/>
  <c r="J96" i="6"/>
  <c r="F96" i="6"/>
  <c r="X96" i="6"/>
  <c r="R96" i="6"/>
  <c r="P96" i="6"/>
  <c r="H96" i="6"/>
  <c r="V96" i="6"/>
  <c r="N96" i="6"/>
  <c r="D96" i="6"/>
  <c r="AK96" i="6"/>
  <c r="AM96" i="6"/>
  <c r="AB96" i="6"/>
  <c r="DT96" i="6" s="1"/>
  <c r="Z96" i="6"/>
  <c r="AI96" i="6"/>
  <c r="D97" i="6"/>
  <c r="R97" i="6"/>
  <c r="H97" i="6"/>
  <c r="X97" i="6"/>
  <c r="P97" i="6"/>
  <c r="J97" i="6"/>
  <c r="Z97" i="6"/>
  <c r="V97" i="6"/>
  <c r="N97" i="6"/>
  <c r="T97" i="6"/>
  <c r="L97" i="6"/>
  <c r="F97" i="6"/>
  <c r="AM97" i="6"/>
  <c r="AI97" i="6"/>
  <c r="AK97" i="6"/>
  <c r="AB97" i="6"/>
  <c r="DT97" i="6" s="1"/>
  <c r="EF98" i="6"/>
  <c r="EG98" i="6" s="1"/>
  <c r="EH98" i="6" s="1"/>
  <c r="AA98" i="6" s="1"/>
  <c r="DX95" i="6"/>
  <c r="AA6018" i="5" s="1"/>
  <c r="AA1068" i="5" l="1"/>
  <c r="Z1068" i="5"/>
  <c r="Y1068" i="5"/>
  <c r="CT94" i="6"/>
  <c r="CZ94" i="6"/>
  <c r="CY94" i="6"/>
  <c r="DE94" i="6"/>
  <c r="BA86" i="6"/>
  <c r="AU86" i="6"/>
  <c r="AV86" i="6"/>
  <c r="AP86" i="6"/>
  <c r="AA2058" i="5"/>
  <c r="Z2058" i="5"/>
  <c r="Y2058" i="5"/>
  <c r="AA2059" i="5"/>
  <c r="Y2059" i="5"/>
  <c r="Z2059" i="5"/>
  <c r="CY93" i="6"/>
  <c r="DE93" i="6"/>
  <c r="CZ93" i="6"/>
  <c r="CT93" i="6"/>
  <c r="BX89" i="6"/>
  <c r="BR89" i="6"/>
  <c r="CC89" i="6"/>
  <c r="BW89" i="6"/>
  <c r="DY96" i="6"/>
  <c r="DO96" i="6"/>
  <c r="CL92" i="6"/>
  <c r="CF92" i="6"/>
  <c r="CK92" i="6"/>
  <c r="CQ92" i="6"/>
  <c r="AA1069" i="5"/>
  <c r="Y1069" i="5"/>
  <c r="Z1069" i="5"/>
  <c r="AA79" i="5"/>
  <c r="Z79" i="5"/>
  <c r="Y79" i="5"/>
  <c r="AA3049" i="5"/>
  <c r="Y3049" i="5"/>
  <c r="Z3049" i="5"/>
  <c r="AA3048" i="5"/>
  <c r="Y3048" i="5"/>
  <c r="Z3048" i="5"/>
  <c r="AA78" i="5"/>
  <c r="Z78" i="5"/>
  <c r="Y78" i="5"/>
  <c r="AA3544" i="5"/>
  <c r="Z3544" i="5"/>
  <c r="Y3544" i="5"/>
  <c r="DO97" i="6"/>
  <c r="DY97" i="6"/>
  <c r="BX90" i="6"/>
  <c r="CC90" i="6"/>
  <c r="BR90" i="6"/>
  <c r="BW90" i="6"/>
  <c r="AA4039" i="5"/>
  <c r="Y4039" i="5"/>
  <c r="Z4039" i="5"/>
  <c r="DS95" i="6"/>
  <c r="DM95" i="6"/>
  <c r="DH95" i="6"/>
  <c r="DN95" i="6"/>
  <c r="BJ87" i="6"/>
  <c r="BI87" i="6"/>
  <c r="BD87" i="6"/>
  <c r="BO87" i="6"/>
  <c r="BD88" i="6"/>
  <c r="BI88" i="6"/>
  <c r="BJ88" i="6"/>
  <c r="BO88" i="6"/>
  <c r="AA5028" i="5"/>
  <c r="Z5028" i="5"/>
  <c r="Y5028" i="5"/>
  <c r="BA85" i="6"/>
  <c r="AP85" i="6"/>
  <c r="AV85" i="6"/>
  <c r="AU85" i="6"/>
  <c r="BY91" i="6"/>
  <c r="CE91" i="6"/>
  <c r="CD91" i="6"/>
  <c r="CJ91" i="6"/>
  <c r="AA5029" i="5"/>
  <c r="Y5029" i="5"/>
  <c r="Z5029" i="5"/>
  <c r="Y6018" i="5"/>
  <c r="Z6018" i="5"/>
  <c r="V98" i="6"/>
  <c r="L98" i="6"/>
  <c r="F98" i="6"/>
  <c r="T98" i="6"/>
  <c r="J98" i="6"/>
  <c r="Z98" i="6"/>
  <c r="R98" i="6"/>
  <c r="P98" i="6"/>
  <c r="H98" i="6"/>
  <c r="X98" i="6"/>
  <c r="N98" i="6"/>
  <c r="D98" i="6"/>
  <c r="AM98" i="6"/>
  <c r="AK98" i="6"/>
  <c r="AB98" i="6"/>
  <c r="DT98" i="6" s="1"/>
  <c r="AI98" i="6"/>
  <c r="DX96" i="6"/>
  <c r="AA6019" i="5" s="1"/>
  <c r="DX97" i="6"/>
  <c r="AA6020" i="5" s="1"/>
  <c r="EF99" i="6"/>
  <c r="EG99" i="6" s="1"/>
  <c r="EH99" i="6" s="1"/>
  <c r="AA99" i="6" s="1"/>
  <c r="AA2554" i="5" l="1"/>
  <c r="Z2554" i="5"/>
  <c r="Y2554" i="5"/>
  <c r="AA575" i="5"/>
  <c r="Y575" i="5"/>
  <c r="Z575" i="5"/>
  <c r="AO85" i="6"/>
  <c r="AN85" i="6"/>
  <c r="AT85" i="6"/>
  <c r="AA3545" i="5"/>
  <c r="Z3545" i="5"/>
  <c r="Y3545" i="5"/>
  <c r="BP89" i="6"/>
  <c r="BK89" i="6"/>
  <c r="BQ89" i="6"/>
  <c r="BV89" i="6"/>
  <c r="AA4534" i="5"/>
  <c r="Y4534" i="5"/>
  <c r="Z4534" i="5"/>
  <c r="AO86" i="6"/>
  <c r="AT86" i="6"/>
  <c r="AN86" i="6"/>
  <c r="AA4535" i="5"/>
  <c r="Z4535" i="5"/>
  <c r="Y4535" i="5"/>
  <c r="BX91" i="6"/>
  <c r="BR91" i="6"/>
  <c r="CC91" i="6"/>
  <c r="BW91" i="6"/>
  <c r="AA574" i="5"/>
  <c r="Z574" i="5"/>
  <c r="Y574" i="5"/>
  <c r="AA1565" i="5"/>
  <c r="Z1565" i="5"/>
  <c r="Y1565" i="5"/>
  <c r="AA1564" i="5"/>
  <c r="Y1564" i="5"/>
  <c r="Z1564" i="5"/>
  <c r="BP90" i="6"/>
  <c r="BK90" i="6"/>
  <c r="BQ90" i="6"/>
  <c r="BV90" i="6"/>
  <c r="DH97" i="6"/>
  <c r="DS97" i="6"/>
  <c r="DN97" i="6"/>
  <c r="DM97" i="6"/>
  <c r="CS94" i="6"/>
  <c r="CM94" i="6"/>
  <c r="CR94" i="6"/>
  <c r="CX94" i="6"/>
  <c r="BH88" i="6"/>
  <c r="AW88" i="6"/>
  <c r="BB88" i="6"/>
  <c r="BC88" i="6"/>
  <c r="AA5524" i="5"/>
  <c r="Y5524" i="5"/>
  <c r="Z5524" i="5"/>
  <c r="DS96" i="6"/>
  <c r="DH96" i="6"/>
  <c r="DM96" i="6"/>
  <c r="DN96" i="6"/>
  <c r="DO98" i="6"/>
  <c r="DY98" i="6"/>
  <c r="AA3050" i="5"/>
  <c r="Z3050" i="5"/>
  <c r="Y3050" i="5"/>
  <c r="BH87" i="6"/>
  <c r="AW87" i="6"/>
  <c r="BB87" i="6"/>
  <c r="BC87" i="6"/>
  <c r="DA95" i="6"/>
  <c r="DL95" i="6"/>
  <c r="DG95" i="6"/>
  <c r="DF95" i="6"/>
  <c r="AA2555" i="5"/>
  <c r="Z2555" i="5"/>
  <c r="Y2555" i="5"/>
  <c r="CE92" i="6"/>
  <c r="BY92" i="6"/>
  <c r="CD92" i="6"/>
  <c r="CJ92" i="6"/>
  <c r="CS93" i="6"/>
  <c r="CR93" i="6"/>
  <c r="CM93" i="6"/>
  <c r="CX93" i="6"/>
  <c r="Y6020" i="5"/>
  <c r="Z6020" i="5"/>
  <c r="Y6019" i="5"/>
  <c r="Z6019" i="5"/>
  <c r="DX98" i="6"/>
  <c r="AA6021" i="5" s="1"/>
  <c r="EF100" i="6"/>
  <c r="EG100" i="6" s="1"/>
  <c r="EH100" i="6" s="1"/>
  <c r="AA100" i="6" s="1"/>
  <c r="T99" i="6"/>
  <c r="J99" i="6"/>
  <c r="F99" i="6"/>
  <c r="Z99" i="6"/>
  <c r="R99" i="6"/>
  <c r="N99" i="6"/>
  <c r="D99" i="6"/>
  <c r="X99" i="6"/>
  <c r="P99" i="6"/>
  <c r="H99" i="6"/>
  <c r="V99" i="6"/>
  <c r="L99" i="6"/>
  <c r="AI99" i="6"/>
  <c r="AK99" i="6"/>
  <c r="AB99" i="6"/>
  <c r="DT99" i="6" s="1"/>
  <c r="AM99" i="6"/>
  <c r="BA87" i="6" l="1"/>
  <c r="AP87" i="6"/>
  <c r="AV87" i="6"/>
  <c r="AU87" i="6"/>
  <c r="CL94" i="6"/>
  <c r="CF94" i="6"/>
  <c r="CQ94" i="6"/>
  <c r="CK94" i="6"/>
  <c r="AA5526" i="5"/>
  <c r="Z5526" i="5"/>
  <c r="Y5526" i="5"/>
  <c r="CY95" i="6"/>
  <c r="DE95" i="6"/>
  <c r="CZ95" i="6"/>
  <c r="CT95" i="6"/>
  <c r="DA96" i="6"/>
  <c r="DG96" i="6"/>
  <c r="DF96" i="6"/>
  <c r="DL96" i="6"/>
  <c r="AA1071" i="5"/>
  <c r="Y1071" i="5"/>
  <c r="Z1071" i="5"/>
  <c r="BP91" i="6"/>
  <c r="BK91" i="6"/>
  <c r="BQ91" i="6"/>
  <c r="BV91" i="6"/>
  <c r="DS98" i="6"/>
  <c r="DH98" i="6"/>
  <c r="DN98" i="6"/>
  <c r="DM98" i="6"/>
  <c r="Y5525" i="5"/>
  <c r="AA5525" i="5"/>
  <c r="Z5525" i="5"/>
  <c r="Y4041" i="5"/>
  <c r="Z4041" i="5"/>
  <c r="AA4041" i="5"/>
  <c r="AA2061" i="5"/>
  <c r="Z2061" i="5"/>
  <c r="Y2061" i="5"/>
  <c r="BJ89" i="6"/>
  <c r="BI89" i="6"/>
  <c r="BD89" i="6"/>
  <c r="BO89" i="6"/>
  <c r="CL93" i="6"/>
  <c r="CF93" i="6"/>
  <c r="CQ93" i="6"/>
  <c r="CK93" i="6"/>
  <c r="AA5030" i="5"/>
  <c r="Z5030" i="5"/>
  <c r="Y5030" i="5"/>
  <c r="BA88" i="6"/>
  <c r="AP88" i="6"/>
  <c r="AV88" i="6"/>
  <c r="AU88" i="6"/>
  <c r="BD90" i="6"/>
  <c r="BI90" i="6"/>
  <c r="BJ90" i="6"/>
  <c r="BO90" i="6"/>
  <c r="AA2556" i="5"/>
  <c r="Y2556" i="5"/>
  <c r="Z2556" i="5"/>
  <c r="AA2060" i="5"/>
  <c r="Y2060" i="5"/>
  <c r="Z2060" i="5"/>
  <c r="DY99" i="6"/>
  <c r="DO99" i="6"/>
  <c r="BX92" i="6"/>
  <c r="BR92" i="6"/>
  <c r="CC92" i="6"/>
  <c r="BW92" i="6"/>
  <c r="AA1070" i="5"/>
  <c r="Y1070" i="5"/>
  <c r="Z1070" i="5"/>
  <c r="DA97" i="6"/>
  <c r="DL97" i="6"/>
  <c r="DF97" i="6"/>
  <c r="DG97" i="6"/>
  <c r="AA4040" i="5"/>
  <c r="Y4040" i="5"/>
  <c r="Z4040" i="5"/>
  <c r="AA3051" i="5"/>
  <c r="Y3051" i="5"/>
  <c r="Z3051" i="5"/>
  <c r="AA81" i="5"/>
  <c r="Z81" i="5"/>
  <c r="Y81" i="5"/>
  <c r="AA80" i="5"/>
  <c r="Z80" i="5"/>
  <c r="Y80" i="5"/>
  <c r="Y6021" i="5"/>
  <c r="Z6021" i="5"/>
  <c r="P100" i="6"/>
  <c r="H100" i="6"/>
  <c r="T100" i="6"/>
  <c r="R100" i="6"/>
  <c r="L100" i="6"/>
  <c r="X100" i="6"/>
  <c r="N100" i="6"/>
  <c r="D100" i="6"/>
  <c r="V100" i="6"/>
  <c r="J100" i="6"/>
  <c r="F100" i="6"/>
  <c r="AK100" i="6"/>
  <c r="AB100" i="6"/>
  <c r="DT100" i="6" s="1"/>
  <c r="Z100" i="6"/>
  <c r="AM100" i="6"/>
  <c r="AI100" i="6"/>
  <c r="DX99" i="6"/>
  <c r="AA6022" i="5" s="1"/>
  <c r="EF101" i="6"/>
  <c r="EG101" i="6" s="1"/>
  <c r="EH101" i="6" s="1"/>
  <c r="AA101" i="6" s="1"/>
  <c r="DO100" i="6" l="1"/>
  <c r="DY100" i="6"/>
  <c r="BP92" i="6"/>
  <c r="BK92" i="6"/>
  <c r="BQ92" i="6"/>
  <c r="BV92" i="6"/>
  <c r="DA98" i="6"/>
  <c r="DG98" i="6"/>
  <c r="DL98" i="6"/>
  <c r="DF98" i="6"/>
  <c r="CT96" i="6"/>
  <c r="CY96" i="6"/>
  <c r="DE96" i="6"/>
  <c r="CZ96" i="6"/>
  <c r="AA5032" i="5"/>
  <c r="Y5032" i="5"/>
  <c r="Z5032" i="5"/>
  <c r="Y577" i="5"/>
  <c r="AA577" i="5"/>
  <c r="Z577" i="5"/>
  <c r="CS95" i="6"/>
  <c r="CM95" i="6"/>
  <c r="CX95" i="6"/>
  <c r="CR95" i="6"/>
  <c r="AA3547" i="5"/>
  <c r="Y3547" i="5"/>
  <c r="Z3547" i="5"/>
  <c r="DS99" i="6"/>
  <c r="DM99" i="6"/>
  <c r="DH99" i="6"/>
  <c r="DN99" i="6"/>
  <c r="AA1567" i="5"/>
  <c r="Y1567" i="5"/>
  <c r="Z1567" i="5"/>
  <c r="AA3546" i="5"/>
  <c r="Y3546" i="5"/>
  <c r="Z3546" i="5"/>
  <c r="BH89" i="6"/>
  <c r="AW89" i="6"/>
  <c r="BB89" i="6"/>
  <c r="BC89" i="6"/>
  <c r="AA2062" i="5"/>
  <c r="Y2062" i="5"/>
  <c r="Z2062" i="5"/>
  <c r="CE94" i="6"/>
  <c r="BY94" i="6"/>
  <c r="CD94" i="6"/>
  <c r="CJ94" i="6"/>
  <c r="AO87" i="6"/>
  <c r="AN87" i="6"/>
  <c r="AT87" i="6"/>
  <c r="AO88" i="6"/>
  <c r="AN88" i="6"/>
  <c r="AT88" i="6"/>
  <c r="BJ91" i="6"/>
  <c r="BI91" i="6"/>
  <c r="BD91" i="6"/>
  <c r="BO91" i="6"/>
  <c r="BH90" i="6"/>
  <c r="AW90" i="6"/>
  <c r="BB90" i="6"/>
  <c r="BC90" i="6"/>
  <c r="AA1566" i="5"/>
  <c r="Y1566" i="5"/>
  <c r="Z1566" i="5"/>
  <c r="AA5527" i="5"/>
  <c r="Y5527" i="5"/>
  <c r="Z5527" i="5"/>
  <c r="AA5031" i="5"/>
  <c r="Y5031" i="5"/>
  <c r="Z5031" i="5"/>
  <c r="CY97" i="6"/>
  <c r="DE97" i="6"/>
  <c r="CZ97" i="6"/>
  <c r="CT97" i="6"/>
  <c r="Y2557" i="5"/>
  <c r="AA2557" i="5"/>
  <c r="Z2557" i="5"/>
  <c r="BY93" i="6"/>
  <c r="CE93" i="6"/>
  <c r="CD93" i="6"/>
  <c r="CJ93" i="6"/>
  <c r="AA4536" i="5"/>
  <c r="Z4536" i="5"/>
  <c r="Y4536" i="5"/>
  <c r="AA576" i="5"/>
  <c r="Y576" i="5"/>
  <c r="Z576" i="5"/>
  <c r="Y6022" i="5"/>
  <c r="Z6022" i="5"/>
  <c r="EF102" i="6"/>
  <c r="EG102" i="6" s="1"/>
  <c r="EH102" i="6" s="1"/>
  <c r="AA102" i="6" s="1"/>
  <c r="F101" i="6"/>
  <c r="T101" i="6"/>
  <c r="L101" i="6"/>
  <c r="Z101" i="6"/>
  <c r="R101" i="6"/>
  <c r="H101" i="6"/>
  <c r="X101" i="6"/>
  <c r="P101" i="6"/>
  <c r="J101" i="6"/>
  <c r="V101" i="6"/>
  <c r="N101" i="6"/>
  <c r="D101" i="6"/>
  <c r="AI101" i="6"/>
  <c r="AB101" i="6"/>
  <c r="DT101" i="6" s="1"/>
  <c r="AM101" i="6"/>
  <c r="AK101" i="6"/>
  <c r="DX100" i="6"/>
  <c r="AA6023" i="5" s="1"/>
  <c r="BA90" i="6" l="1"/>
  <c r="AP90" i="6"/>
  <c r="AV90" i="6"/>
  <c r="AU90" i="6"/>
  <c r="AA5528" i="5"/>
  <c r="Z5528" i="5"/>
  <c r="Y5528" i="5"/>
  <c r="CS97" i="6"/>
  <c r="CR97" i="6"/>
  <c r="CM97" i="6"/>
  <c r="CX97" i="6"/>
  <c r="BA89" i="6"/>
  <c r="AP89" i="6"/>
  <c r="AU89" i="6"/>
  <c r="AV89" i="6"/>
  <c r="CT98" i="6"/>
  <c r="CZ98" i="6"/>
  <c r="CY98" i="6"/>
  <c r="DE98" i="6"/>
  <c r="AA3052" i="5"/>
  <c r="Y3052" i="5"/>
  <c r="Z3052" i="5"/>
  <c r="AA1568" i="5"/>
  <c r="Y1568" i="5"/>
  <c r="Z1568" i="5"/>
  <c r="AA83" i="5"/>
  <c r="Z83" i="5"/>
  <c r="Y83" i="5"/>
  <c r="BX94" i="6"/>
  <c r="CC94" i="6"/>
  <c r="BR94" i="6"/>
  <c r="BW94" i="6"/>
  <c r="AA1072" i="5"/>
  <c r="Z1072" i="5"/>
  <c r="Y1072" i="5"/>
  <c r="DA99" i="6"/>
  <c r="DL99" i="6"/>
  <c r="DG99" i="6"/>
  <c r="DF99" i="6"/>
  <c r="CL95" i="6"/>
  <c r="CF95" i="6"/>
  <c r="CQ95" i="6"/>
  <c r="CK95" i="6"/>
  <c r="AA2063" i="5"/>
  <c r="Z2063" i="5"/>
  <c r="Y2063" i="5"/>
  <c r="AA3053" i="5"/>
  <c r="Y3053" i="5"/>
  <c r="Z3053" i="5"/>
  <c r="BD92" i="6"/>
  <c r="BI92" i="6"/>
  <c r="BO92" i="6"/>
  <c r="BJ92" i="6"/>
  <c r="BX93" i="6"/>
  <c r="BR93" i="6"/>
  <c r="CC93" i="6"/>
  <c r="BW93" i="6"/>
  <c r="AA1073" i="5"/>
  <c r="Y1073" i="5"/>
  <c r="Z1073" i="5"/>
  <c r="AA82" i="5"/>
  <c r="Z82" i="5"/>
  <c r="Y82" i="5"/>
  <c r="AA4042" i="5"/>
  <c r="Z4042" i="5"/>
  <c r="Y4042" i="5"/>
  <c r="CS96" i="6"/>
  <c r="CX96" i="6"/>
  <c r="CM96" i="6"/>
  <c r="CR96" i="6"/>
  <c r="DO101" i="6"/>
  <c r="DY101" i="6"/>
  <c r="AA4538" i="5"/>
  <c r="Y4538" i="5"/>
  <c r="Z4538" i="5"/>
  <c r="BH91" i="6"/>
  <c r="AW91" i="6"/>
  <c r="BB91" i="6"/>
  <c r="BC91" i="6"/>
  <c r="AA4537" i="5"/>
  <c r="Y4537" i="5"/>
  <c r="Z4537" i="5"/>
  <c r="AA5033" i="5"/>
  <c r="Y5033" i="5"/>
  <c r="Z5033" i="5"/>
  <c r="DS100" i="6"/>
  <c r="DH100" i="6"/>
  <c r="DN100" i="6"/>
  <c r="DM100" i="6"/>
  <c r="Y6023" i="5"/>
  <c r="Z6023" i="5"/>
  <c r="R102" i="6"/>
  <c r="J102" i="6"/>
  <c r="Z102" i="6"/>
  <c r="X102" i="6"/>
  <c r="N102" i="6"/>
  <c r="D102" i="6"/>
  <c r="V102" i="6"/>
  <c r="L102" i="6"/>
  <c r="F102" i="6"/>
  <c r="T102" i="6"/>
  <c r="P102" i="6"/>
  <c r="AM102" i="6"/>
  <c r="AI102" i="6"/>
  <c r="H102" i="6"/>
  <c r="AK102" i="6"/>
  <c r="AB102" i="6"/>
  <c r="DT102" i="6" s="1"/>
  <c r="DX101" i="6"/>
  <c r="AA6024" i="5" s="1"/>
  <c r="EF103" i="6"/>
  <c r="EG103" i="6" s="1"/>
  <c r="EH103" i="6" s="1"/>
  <c r="AA103" i="6" s="1"/>
  <c r="AA1074" i="5" l="1"/>
  <c r="Y1074" i="5"/>
  <c r="Z1074" i="5"/>
  <c r="AA2558" i="5"/>
  <c r="Z2558" i="5"/>
  <c r="Y2558" i="5"/>
  <c r="CY99" i="6"/>
  <c r="DE99" i="6"/>
  <c r="CZ99" i="6"/>
  <c r="CT99" i="6"/>
  <c r="AA578" i="5"/>
  <c r="Y578" i="5"/>
  <c r="Z578" i="5"/>
  <c r="DO102" i="6"/>
  <c r="DY102" i="6"/>
  <c r="DH101" i="6"/>
  <c r="DM101" i="6"/>
  <c r="DS101" i="6"/>
  <c r="DN101" i="6"/>
  <c r="BP94" i="6"/>
  <c r="BK94" i="6"/>
  <c r="BQ94" i="6"/>
  <c r="BV94" i="6"/>
  <c r="AA4539" i="5"/>
  <c r="Y4539" i="5"/>
  <c r="Z4539" i="5"/>
  <c r="AA4044" i="5"/>
  <c r="Y4044" i="5"/>
  <c r="Z4044" i="5"/>
  <c r="Y5529" i="5"/>
  <c r="Z5529" i="5"/>
  <c r="AA5529" i="5"/>
  <c r="BH92" i="6"/>
  <c r="AW92" i="6"/>
  <c r="BB92" i="6"/>
  <c r="BC92" i="6"/>
  <c r="AA3548" i="5"/>
  <c r="Y3548" i="5"/>
  <c r="Z3548" i="5"/>
  <c r="AA2559" i="5"/>
  <c r="Y2559" i="5"/>
  <c r="Z2559" i="5"/>
  <c r="CL97" i="6"/>
  <c r="CF97" i="6"/>
  <c r="CQ97" i="6"/>
  <c r="CK97" i="6"/>
  <c r="AO90" i="6"/>
  <c r="AT90" i="6"/>
  <c r="AN90" i="6"/>
  <c r="AA4043" i="5"/>
  <c r="Y4043" i="5"/>
  <c r="Z4043" i="5"/>
  <c r="AA1569" i="5"/>
  <c r="Z1569" i="5"/>
  <c r="Y1569" i="5"/>
  <c r="CS98" i="6"/>
  <c r="CM98" i="6"/>
  <c r="CX98" i="6"/>
  <c r="CR98" i="6"/>
  <c r="DA100" i="6"/>
  <c r="DF100" i="6"/>
  <c r="DG100" i="6"/>
  <c r="DL100" i="6"/>
  <c r="BP93" i="6"/>
  <c r="BK93" i="6"/>
  <c r="BQ93" i="6"/>
  <c r="BV93" i="6"/>
  <c r="BA91" i="6"/>
  <c r="AP91" i="6"/>
  <c r="AV91" i="6"/>
  <c r="AU91" i="6"/>
  <c r="CL96" i="6"/>
  <c r="CF96" i="6"/>
  <c r="CK96" i="6"/>
  <c r="CQ96" i="6"/>
  <c r="BY95" i="6"/>
  <c r="CE95" i="6"/>
  <c r="CD95" i="6"/>
  <c r="CJ95" i="6"/>
  <c r="AA5034" i="5"/>
  <c r="Y5034" i="5"/>
  <c r="Z5034" i="5"/>
  <c r="AO89" i="6"/>
  <c r="AN89" i="6"/>
  <c r="AT89" i="6"/>
  <c r="AA579" i="5"/>
  <c r="Y579" i="5"/>
  <c r="Z579" i="5"/>
  <c r="Y6024" i="5"/>
  <c r="Z6024" i="5"/>
  <c r="EF104" i="6"/>
  <c r="EG104" i="6" s="1"/>
  <c r="EH104" i="6" s="1"/>
  <c r="AA104" i="6" s="1"/>
  <c r="DX102" i="6"/>
  <c r="AA6025" i="5" s="1"/>
  <c r="Z103" i="6"/>
  <c r="V103" i="6"/>
  <c r="L103" i="6"/>
  <c r="T103" i="6"/>
  <c r="J103" i="6"/>
  <c r="F103" i="6"/>
  <c r="R103" i="6"/>
  <c r="N103" i="6"/>
  <c r="D103" i="6"/>
  <c r="X103" i="6"/>
  <c r="P103" i="6"/>
  <c r="H103" i="6"/>
  <c r="AI103" i="6"/>
  <c r="AB103" i="6"/>
  <c r="DT103" i="6" s="1"/>
  <c r="AM103" i="6"/>
  <c r="AK103" i="6"/>
  <c r="BX95" i="6" l="1"/>
  <c r="BR95" i="6"/>
  <c r="CC95" i="6"/>
  <c r="BW95" i="6"/>
  <c r="AA580" i="5"/>
  <c r="Y580" i="5"/>
  <c r="Z580" i="5"/>
  <c r="BY97" i="6"/>
  <c r="CE97" i="6"/>
  <c r="CD97" i="6"/>
  <c r="CJ97" i="6"/>
  <c r="AA3549" i="5"/>
  <c r="Z3549" i="5"/>
  <c r="Y3549" i="5"/>
  <c r="AA2064" i="5"/>
  <c r="Z2064" i="5"/>
  <c r="Y2064" i="5"/>
  <c r="AA2065" i="5"/>
  <c r="Y2065" i="5"/>
  <c r="Z2065" i="5"/>
  <c r="DY103" i="6"/>
  <c r="DO103" i="6"/>
  <c r="AA4045" i="5"/>
  <c r="Z4045" i="5"/>
  <c r="Y4045" i="5"/>
  <c r="AU92" i="6"/>
  <c r="AP92" i="6"/>
  <c r="AV92" i="6"/>
  <c r="BA92" i="6"/>
  <c r="AA5530" i="5"/>
  <c r="Y5530" i="5"/>
  <c r="Z5530" i="5"/>
  <c r="DS102" i="6"/>
  <c r="DH102" i="6"/>
  <c r="DN102" i="6"/>
  <c r="DM102" i="6"/>
  <c r="CS99" i="6"/>
  <c r="CM99" i="6"/>
  <c r="CX99" i="6"/>
  <c r="CR99" i="6"/>
  <c r="CY100" i="6"/>
  <c r="CT100" i="6"/>
  <c r="CZ100" i="6"/>
  <c r="DE100" i="6"/>
  <c r="AA85" i="5"/>
  <c r="Y85" i="5"/>
  <c r="Z85" i="5"/>
  <c r="DA101" i="6"/>
  <c r="DF101" i="6"/>
  <c r="DL101" i="6"/>
  <c r="DG101" i="6"/>
  <c r="AA4540" i="5"/>
  <c r="Z4540" i="5"/>
  <c r="Y4540" i="5"/>
  <c r="AA3054" i="5"/>
  <c r="Z3054" i="5"/>
  <c r="Y3054" i="5"/>
  <c r="AA5035" i="5"/>
  <c r="Y5035" i="5"/>
  <c r="Z5035" i="5"/>
  <c r="AA84" i="5"/>
  <c r="Y84" i="5"/>
  <c r="Z84" i="5"/>
  <c r="CE96" i="6"/>
  <c r="BY96" i="6"/>
  <c r="CD96" i="6"/>
  <c r="CJ96" i="6"/>
  <c r="AO91" i="6"/>
  <c r="AN91" i="6"/>
  <c r="AT91" i="6"/>
  <c r="BJ93" i="6"/>
  <c r="BI93" i="6"/>
  <c r="BD93" i="6"/>
  <c r="BO93" i="6"/>
  <c r="CL98" i="6"/>
  <c r="CF98" i="6"/>
  <c r="CQ98" i="6"/>
  <c r="CK98" i="6"/>
  <c r="AA3550" i="5"/>
  <c r="Y3550" i="5"/>
  <c r="Z3550" i="5"/>
  <c r="Y1075" i="5"/>
  <c r="AA1075" i="5"/>
  <c r="Z1075" i="5"/>
  <c r="BD94" i="6"/>
  <c r="BJ94" i="6"/>
  <c r="BI94" i="6"/>
  <c r="BO94" i="6"/>
  <c r="Y6025" i="5"/>
  <c r="Z6025" i="5"/>
  <c r="T104" i="6"/>
  <c r="J104" i="6"/>
  <c r="F104" i="6"/>
  <c r="R104" i="6"/>
  <c r="L104" i="6"/>
  <c r="X104" i="6"/>
  <c r="P104" i="6"/>
  <c r="H104" i="6"/>
  <c r="V104" i="6"/>
  <c r="N104" i="6"/>
  <c r="D104" i="6"/>
  <c r="AK104" i="6"/>
  <c r="Z104" i="6"/>
  <c r="AM104" i="6"/>
  <c r="AI104" i="6"/>
  <c r="AB104" i="6"/>
  <c r="DT104" i="6" s="1"/>
  <c r="DX103" i="6"/>
  <c r="AA6026" i="5" s="1"/>
  <c r="EF105" i="6"/>
  <c r="CE98" i="6" l="1"/>
  <c r="BY98" i="6"/>
  <c r="CD98" i="6"/>
  <c r="CJ98" i="6"/>
  <c r="AA4541" i="5"/>
  <c r="Z4541" i="5"/>
  <c r="Y4541" i="5"/>
  <c r="AO92" i="6"/>
  <c r="AN92" i="6"/>
  <c r="AT92" i="6"/>
  <c r="AA3056" i="5"/>
  <c r="Z3056" i="5"/>
  <c r="Y3056" i="5"/>
  <c r="AA2560" i="5"/>
  <c r="Y2560" i="5"/>
  <c r="Z2560" i="5"/>
  <c r="AA1570" i="5"/>
  <c r="Z1570" i="5"/>
  <c r="Y1570" i="5"/>
  <c r="AA86" i="5"/>
  <c r="Y86" i="5"/>
  <c r="Z86" i="5"/>
  <c r="AA5036" i="5"/>
  <c r="Z5036" i="5"/>
  <c r="Y5036" i="5"/>
  <c r="CS100" i="6"/>
  <c r="CM100" i="6"/>
  <c r="CX100" i="6"/>
  <c r="CR100" i="6"/>
  <c r="CL99" i="6"/>
  <c r="CF99" i="6"/>
  <c r="CQ99" i="6"/>
  <c r="CK99" i="6"/>
  <c r="DA102" i="6"/>
  <c r="DF102" i="6"/>
  <c r="DL102" i="6"/>
  <c r="DG102" i="6"/>
  <c r="DS103" i="6"/>
  <c r="DM103" i="6"/>
  <c r="DH103" i="6"/>
  <c r="DN103" i="6"/>
  <c r="BP95" i="6"/>
  <c r="BK95" i="6"/>
  <c r="BQ95" i="6"/>
  <c r="BV95" i="6"/>
  <c r="AA1571" i="5"/>
  <c r="Y1571" i="5"/>
  <c r="Z1571" i="5"/>
  <c r="CY101" i="6"/>
  <c r="DE101" i="6"/>
  <c r="CZ101" i="6"/>
  <c r="CT101" i="6"/>
  <c r="BX97" i="6"/>
  <c r="BR97" i="6"/>
  <c r="CC97" i="6"/>
  <c r="BW97" i="6"/>
  <c r="AA3055" i="5"/>
  <c r="Y3055" i="5"/>
  <c r="Z3055" i="5"/>
  <c r="Y4046" i="5"/>
  <c r="Z4046" i="5"/>
  <c r="AA4046" i="5"/>
  <c r="DO104" i="6"/>
  <c r="DY104" i="6"/>
  <c r="BC94" i="6"/>
  <c r="AW94" i="6"/>
  <c r="BH94" i="6"/>
  <c r="BB94" i="6"/>
  <c r="AA3551" i="5"/>
  <c r="Y3551" i="5"/>
  <c r="Z3551" i="5"/>
  <c r="BC93" i="6"/>
  <c r="AW93" i="6"/>
  <c r="BH93" i="6"/>
  <c r="BB93" i="6"/>
  <c r="BX96" i="6"/>
  <c r="BR96" i="6"/>
  <c r="CC96" i="6"/>
  <c r="BW96" i="6"/>
  <c r="AA5531" i="5"/>
  <c r="Y5531" i="5"/>
  <c r="Z5531" i="5"/>
  <c r="AA581" i="5"/>
  <c r="Y581" i="5"/>
  <c r="Z581" i="5"/>
  <c r="Y6026" i="5"/>
  <c r="Z6026" i="5"/>
  <c r="DX104" i="6"/>
  <c r="AA6027" i="5" s="1"/>
  <c r="EF106" i="6"/>
  <c r="EG105" i="6"/>
  <c r="EH105" i="6" s="1"/>
  <c r="AA105" i="6" s="1"/>
  <c r="DA103" i="6" l="1"/>
  <c r="DG103" i="6"/>
  <c r="DL103" i="6"/>
  <c r="DF103" i="6"/>
  <c r="AA3552" i="5"/>
  <c r="Y3552" i="5"/>
  <c r="Z3552" i="5"/>
  <c r="AA1077" i="5"/>
  <c r="Z1077" i="5"/>
  <c r="Y1077" i="5"/>
  <c r="BJ95" i="6"/>
  <c r="BI95" i="6"/>
  <c r="BD95" i="6"/>
  <c r="BO95" i="6"/>
  <c r="CL100" i="6"/>
  <c r="CF100" i="6"/>
  <c r="CK100" i="6"/>
  <c r="CQ100" i="6"/>
  <c r="AU94" i="6"/>
  <c r="AP94" i="6"/>
  <c r="AV94" i="6"/>
  <c r="BA94" i="6"/>
  <c r="BP97" i="6"/>
  <c r="BK97" i="6"/>
  <c r="BQ97" i="6"/>
  <c r="BV97" i="6"/>
  <c r="AA4542" i="5"/>
  <c r="Y4542" i="5"/>
  <c r="Z4542" i="5"/>
  <c r="AA5532" i="5"/>
  <c r="Y5532" i="5"/>
  <c r="Z5532" i="5"/>
  <c r="CY102" i="6"/>
  <c r="CT102" i="6"/>
  <c r="DE102" i="6"/>
  <c r="CZ102" i="6"/>
  <c r="AA87" i="5"/>
  <c r="Y87" i="5"/>
  <c r="Z87" i="5"/>
  <c r="BX98" i="6"/>
  <c r="CC98" i="6"/>
  <c r="BR98" i="6"/>
  <c r="BW98" i="6"/>
  <c r="CS101" i="6"/>
  <c r="CR101" i="6"/>
  <c r="CM101" i="6"/>
  <c r="CX101" i="6"/>
  <c r="AA5037" i="5"/>
  <c r="Y5037" i="5"/>
  <c r="Z5037" i="5"/>
  <c r="AA4047" i="5"/>
  <c r="Y4047" i="5"/>
  <c r="Z4047" i="5"/>
  <c r="AA3057" i="5"/>
  <c r="Y3057" i="5"/>
  <c r="Z3057" i="5"/>
  <c r="DS104" i="6"/>
  <c r="DH104" i="6"/>
  <c r="DN104" i="6"/>
  <c r="DM104" i="6"/>
  <c r="AA2562" i="5"/>
  <c r="Z2562" i="5"/>
  <c r="Y2562" i="5"/>
  <c r="BY99" i="6"/>
  <c r="CE99" i="6"/>
  <c r="CD99" i="6"/>
  <c r="CJ99" i="6"/>
  <c r="Y2561" i="5"/>
  <c r="Z2561" i="5"/>
  <c r="AA2561" i="5"/>
  <c r="AA1076" i="5"/>
  <c r="Y1076" i="5"/>
  <c r="Z1076" i="5"/>
  <c r="BP96" i="6"/>
  <c r="BK96" i="6"/>
  <c r="BQ96" i="6"/>
  <c r="BV96" i="6"/>
  <c r="AU93" i="6"/>
  <c r="AP93" i="6"/>
  <c r="AV93" i="6"/>
  <c r="BA93" i="6"/>
  <c r="AA2066" i="5"/>
  <c r="Z2066" i="5"/>
  <c r="Y2066" i="5"/>
  <c r="Y6027" i="5"/>
  <c r="Z6027" i="5"/>
  <c r="EF107" i="6"/>
  <c r="EG106" i="6"/>
  <c r="EH106" i="6" s="1"/>
  <c r="AA106" i="6" s="1"/>
  <c r="D105" i="6"/>
  <c r="Z105" i="6"/>
  <c r="V105" i="6"/>
  <c r="N105" i="6"/>
  <c r="R105" i="6"/>
  <c r="L105" i="6"/>
  <c r="P105" i="6"/>
  <c r="J105" i="6"/>
  <c r="X105" i="6"/>
  <c r="T105" i="6"/>
  <c r="H105" i="6"/>
  <c r="F105" i="6"/>
  <c r="AI105" i="6"/>
  <c r="AB105" i="6"/>
  <c r="DT105" i="6" s="1"/>
  <c r="AK105" i="6"/>
  <c r="AM105" i="6"/>
  <c r="BX99" i="6" l="1"/>
  <c r="BR99" i="6"/>
  <c r="CC99" i="6"/>
  <c r="BW99" i="6"/>
  <c r="BJ97" i="6"/>
  <c r="BI97" i="6"/>
  <c r="BD97" i="6"/>
  <c r="BO97" i="6"/>
  <c r="AO94" i="6"/>
  <c r="AT94" i="6"/>
  <c r="AN94" i="6"/>
  <c r="AO93" i="6"/>
  <c r="AN93" i="6"/>
  <c r="AT93" i="6"/>
  <c r="AA3058" i="5"/>
  <c r="Y3058" i="5"/>
  <c r="Z3058" i="5"/>
  <c r="DO105" i="6"/>
  <c r="DY105" i="6"/>
  <c r="DA104" i="6"/>
  <c r="DL104" i="6"/>
  <c r="DG104" i="6"/>
  <c r="DF104" i="6"/>
  <c r="CL101" i="6"/>
  <c r="CF101" i="6"/>
  <c r="CQ101" i="6"/>
  <c r="CK101" i="6"/>
  <c r="BP98" i="6"/>
  <c r="BK98" i="6"/>
  <c r="BQ98" i="6"/>
  <c r="BV98" i="6"/>
  <c r="CS102" i="6"/>
  <c r="CM102" i="6"/>
  <c r="CR102" i="6"/>
  <c r="CX102" i="6"/>
  <c r="AA2068" i="5"/>
  <c r="Z2068" i="5"/>
  <c r="Y2068" i="5"/>
  <c r="AA583" i="5"/>
  <c r="Y583" i="5"/>
  <c r="Z583" i="5"/>
  <c r="AA3553" i="5"/>
  <c r="Y3553" i="5"/>
  <c r="Z3553" i="5"/>
  <c r="AA1572" i="5"/>
  <c r="Y1572" i="5"/>
  <c r="Z1572" i="5"/>
  <c r="CE100" i="6"/>
  <c r="BY100" i="6"/>
  <c r="CD100" i="6"/>
  <c r="CJ100" i="6"/>
  <c r="BD96" i="6"/>
  <c r="BI96" i="6"/>
  <c r="BJ96" i="6"/>
  <c r="BO96" i="6"/>
  <c r="AA4048" i="5"/>
  <c r="Y4048" i="5"/>
  <c r="Z4048" i="5"/>
  <c r="AA4543" i="5"/>
  <c r="Y4543" i="5"/>
  <c r="Z4543" i="5"/>
  <c r="AA5038" i="5"/>
  <c r="Y5038" i="5"/>
  <c r="Z5038" i="5"/>
  <c r="AA582" i="5"/>
  <c r="Z582" i="5"/>
  <c r="Y582" i="5"/>
  <c r="AA2067" i="5"/>
  <c r="Y2067" i="5"/>
  <c r="Z2067" i="5"/>
  <c r="Y5533" i="5"/>
  <c r="AA5533" i="5"/>
  <c r="Z5533" i="5"/>
  <c r="AA2563" i="5"/>
  <c r="Z2563" i="5"/>
  <c r="Y2563" i="5"/>
  <c r="BC95" i="6"/>
  <c r="AW95" i="6"/>
  <c r="BB95" i="6"/>
  <c r="BH95" i="6"/>
  <c r="CY103" i="6"/>
  <c r="DE103" i="6"/>
  <c r="CZ103" i="6"/>
  <c r="CT103" i="6"/>
  <c r="DX105" i="6"/>
  <c r="AA6028" i="5" s="1"/>
  <c r="T106" i="6"/>
  <c r="L106" i="6"/>
  <c r="Z106" i="6"/>
  <c r="R106" i="6"/>
  <c r="J106" i="6"/>
  <c r="X106" i="6"/>
  <c r="N106" i="6"/>
  <c r="D106" i="6"/>
  <c r="V106" i="6"/>
  <c r="P106" i="6"/>
  <c r="F106" i="6"/>
  <c r="H106" i="6"/>
  <c r="AM106" i="6"/>
  <c r="AB106" i="6"/>
  <c r="DT106" i="6" s="1"/>
  <c r="AI106" i="6"/>
  <c r="AK106" i="6"/>
  <c r="EF108" i="6"/>
  <c r="EG108" i="6" s="1"/>
  <c r="EH108" i="6" s="1"/>
  <c r="AA108" i="6" s="1"/>
  <c r="EG107" i="6"/>
  <c r="EH107" i="6" s="1"/>
  <c r="AA107" i="6" s="1"/>
  <c r="CS103" i="6" l="1"/>
  <c r="CM103" i="6"/>
  <c r="CX103" i="6"/>
  <c r="CR103" i="6"/>
  <c r="BC96" i="6"/>
  <c r="AW96" i="6"/>
  <c r="BB96" i="6"/>
  <c r="BH96" i="6"/>
  <c r="CY104" i="6"/>
  <c r="CT104" i="6"/>
  <c r="DE104" i="6"/>
  <c r="CZ104" i="6"/>
  <c r="DO106" i="6"/>
  <c r="DY106" i="6"/>
  <c r="AA3059" i="5"/>
  <c r="Y3059" i="5"/>
  <c r="Z3059" i="5"/>
  <c r="AA4049" i="5"/>
  <c r="Z4049" i="5"/>
  <c r="Y4049" i="5"/>
  <c r="AA2069" i="5"/>
  <c r="Y2069" i="5"/>
  <c r="Z2069" i="5"/>
  <c r="AA2564" i="5"/>
  <c r="Y2564" i="5"/>
  <c r="Z2564" i="5"/>
  <c r="AA4544" i="5"/>
  <c r="Z4544" i="5"/>
  <c r="Y4544" i="5"/>
  <c r="AU95" i="6"/>
  <c r="AP95" i="6"/>
  <c r="AV95" i="6"/>
  <c r="BA95" i="6"/>
  <c r="AA3554" i="5"/>
  <c r="Y3554" i="5"/>
  <c r="Z3554" i="5"/>
  <c r="DH105" i="6"/>
  <c r="DM105" i="6"/>
  <c r="DS105" i="6"/>
  <c r="DN105" i="6"/>
  <c r="AA88" i="5"/>
  <c r="Z88" i="5"/>
  <c r="Y88" i="5"/>
  <c r="AA89" i="5"/>
  <c r="Z89" i="5"/>
  <c r="Y89" i="5"/>
  <c r="BP99" i="6"/>
  <c r="BK99" i="6"/>
  <c r="BQ99" i="6"/>
  <c r="BV99" i="6"/>
  <c r="AA1078" i="5"/>
  <c r="Z1078" i="5"/>
  <c r="Y1078" i="5"/>
  <c r="AA1574" i="5"/>
  <c r="Y1574" i="5"/>
  <c r="Z1574" i="5"/>
  <c r="AA1573" i="5"/>
  <c r="Y1573" i="5"/>
  <c r="Z1573" i="5"/>
  <c r="BC97" i="6"/>
  <c r="AW97" i="6"/>
  <c r="BB97" i="6"/>
  <c r="BH97" i="6"/>
  <c r="BX100" i="6"/>
  <c r="BR100" i="6"/>
  <c r="CC100" i="6"/>
  <c r="BW100" i="6"/>
  <c r="CL102" i="6"/>
  <c r="CF102" i="6"/>
  <c r="CQ102" i="6"/>
  <c r="CK102" i="6"/>
  <c r="BD98" i="6"/>
  <c r="BI98" i="6"/>
  <c r="BJ98" i="6"/>
  <c r="BO98" i="6"/>
  <c r="BY101" i="6"/>
  <c r="CE101" i="6"/>
  <c r="CD101" i="6"/>
  <c r="CJ101" i="6"/>
  <c r="AA5039" i="5"/>
  <c r="Y5039" i="5"/>
  <c r="Z5039" i="5"/>
  <c r="Y6028" i="5"/>
  <c r="Z6028" i="5"/>
  <c r="EF109" i="6"/>
  <c r="EG109" i="6" s="1"/>
  <c r="EH109" i="6" s="1"/>
  <c r="AA109" i="6" s="1"/>
  <c r="DX106" i="6"/>
  <c r="AA6029" i="5" s="1"/>
  <c r="X107" i="6"/>
  <c r="P107" i="6"/>
  <c r="H107" i="6"/>
  <c r="V107" i="6"/>
  <c r="L107" i="6"/>
  <c r="T107" i="6"/>
  <c r="N107" i="6"/>
  <c r="D107" i="6"/>
  <c r="Z107" i="6"/>
  <c r="R107" i="6"/>
  <c r="J107" i="6"/>
  <c r="F107" i="6"/>
  <c r="AI107" i="6"/>
  <c r="AB107" i="6"/>
  <c r="DT107" i="6" s="1"/>
  <c r="AK107" i="6"/>
  <c r="AM107" i="6"/>
  <c r="V108" i="6"/>
  <c r="P108" i="6"/>
  <c r="H108" i="6"/>
  <c r="T108" i="6"/>
  <c r="N108" i="6"/>
  <c r="D108" i="6"/>
  <c r="X108" i="6"/>
  <c r="J108" i="6"/>
  <c r="F108" i="6"/>
  <c r="R108" i="6"/>
  <c r="L108" i="6"/>
  <c r="Z108" i="6"/>
  <c r="AK108" i="6"/>
  <c r="AM108" i="6"/>
  <c r="AI108" i="6"/>
  <c r="AB108" i="6"/>
  <c r="DT108" i="6" s="1"/>
  <c r="BX101" i="6" l="1"/>
  <c r="BR101" i="6"/>
  <c r="CC101" i="6"/>
  <c r="BW101" i="6"/>
  <c r="BJ99" i="6"/>
  <c r="BI99" i="6"/>
  <c r="BD99" i="6"/>
  <c r="BO99" i="6"/>
  <c r="AA1079" i="5"/>
  <c r="Z1079" i="5"/>
  <c r="Y1079" i="5"/>
  <c r="DO108" i="6"/>
  <c r="DY108" i="6"/>
  <c r="AA1080" i="5"/>
  <c r="Z1080" i="5"/>
  <c r="Y1080" i="5"/>
  <c r="AO95" i="6"/>
  <c r="AN95" i="6"/>
  <c r="AT95" i="6"/>
  <c r="AA4545" i="5"/>
  <c r="Y4545" i="5"/>
  <c r="Z4545" i="5"/>
  <c r="AA4050" i="5"/>
  <c r="Y4050" i="5"/>
  <c r="Z4050" i="5"/>
  <c r="AA3555" i="5"/>
  <c r="Z3555" i="5"/>
  <c r="Y3555" i="5"/>
  <c r="Y2565" i="5"/>
  <c r="AA2565" i="5"/>
  <c r="Z2565" i="5"/>
  <c r="AA2070" i="5"/>
  <c r="Y2070" i="5"/>
  <c r="Z2070" i="5"/>
  <c r="CS104" i="6"/>
  <c r="CX104" i="6"/>
  <c r="CR104" i="6"/>
  <c r="CM104" i="6"/>
  <c r="AU96" i="6"/>
  <c r="AP96" i="6"/>
  <c r="AV96" i="6"/>
  <c r="BA96" i="6"/>
  <c r="CL103" i="6"/>
  <c r="CF103" i="6"/>
  <c r="CQ103" i="6"/>
  <c r="CK103" i="6"/>
  <c r="BC98" i="6"/>
  <c r="AW98" i="6"/>
  <c r="BB98" i="6"/>
  <c r="BH98" i="6"/>
  <c r="AA3060" i="5"/>
  <c r="Y3060" i="5"/>
  <c r="Z3060" i="5"/>
  <c r="AA1575" i="5"/>
  <c r="Y1575" i="5"/>
  <c r="Z1575" i="5"/>
  <c r="AA5534" i="5"/>
  <c r="Y5534" i="5"/>
  <c r="Z5534" i="5"/>
  <c r="DY107" i="6"/>
  <c r="DO107" i="6"/>
  <c r="CE102" i="6"/>
  <c r="BY102" i="6"/>
  <c r="CD102" i="6"/>
  <c r="CJ102" i="6"/>
  <c r="BP100" i="6"/>
  <c r="BK100" i="6"/>
  <c r="BQ100" i="6"/>
  <c r="BV100" i="6"/>
  <c r="AP97" i="6"/>
  <c r="AU97" i="6"/>
  <c r="AV97" i="6"/>
  <c r="BA97" i="6"/>
  <c r="DA105" i="6"/>
  <c r="DG105" i="6"/>
  <c r="DF105" i="6"/>
  <c r="DL105" i="6"/>
  <c r="AA584" i="5"/>
  <c r="Y584" i="5"/>
  <c r="Z584" i="5"/>
  <c r="DS106" i="6"/>
  <c r="DH106" i="6"/>
  <c r="DM106" i="6"/>
  <c r="DN106" i="6"/>
  <c r="Y6029" i="5"/>
  <c r="Z6029" i="5"/>
  <c r="DX107" i="6"/>
  <c r="AA6030" i="5" s="1"/>
  <c r="DX108" i="6"/>
  <c r="AA6031" i="5" s="1"/>
  <c r="EF110" i="6"/>
  <c r="EG110" i="6" s="1"/>
  <c r="EH110" i="6" s="1"/>
  <c r="AA110" i="6" s="1"/>
  <c r="J109" i="6"/>
  <c r="X109" i="6"/>
  <c r="P109" i="6"/>
  <c r="V109" i="6"/>
  <c r="N109" i="6"/>
  <c r="T109" i="6"/>
  <c r="L109" i="6"/>
  <c r="F109" i="6"/>
  <c r="Z109" i="6"/>
  <c r="R109" i="6"/>
  <c r="H109" i="6"/>
  <c r="AM109" i="6"/>
  <c r="AI109" i="6"/>
  <c r="AB109" i="6"/>
  <c r="DT109" i="6" s="1"/>
  <c r="D109" i="6"/>
  <c r="AK109" i="6"/>
  <c r="AU98" i="6" l="1"/>
  <c r="AP98" i="6"/>
  <c r="AV98" i="6"/>
  <c r="BA98" i="6"/>
  <c r="AO96" i="6"/>
  <c r="AN96" i="6"/>
  <c r="AT96" i="6"/>
  <c r="Y4051" i="5"/>
  <c r="AA4051" i="5"/>
  <c r="Z4051" i="5"/>
  <c r="BD100" i="6"/>
  <c r="BI100" i="6"/>
  <c r="BJ100" i="6"/>
  <c r="BO100" i="6"/>
  <c r="AA90" i="5"/>
  <c r="Z90" i="5"/>
  <c r="Y90" i="5"/>
  <c r="AA2566" i="5"/>
  <c r="Z2566" i="5"/>
  <c r="Y2566" i="5"/>
  <c r="DA106" i="6"/>
  <c r="DL106" i="6"/>
  <c r="DF106" i="6"/>
  <c r="DG106" i="6"/>
  <c r="AO97" i="6"/>
  <c r="AN97" i="6"/>
  <c r="AT97" i="6"/>
  <c r="AA1081" i="5"/>
  <c r="Y1081" i="5"/>
  <c r="Z1081" i="5"/>
  <c r="AA585" i="5"/>
  <c r="Z585" i="5"/>
  <c r="Y585" i="5"/>
  <c r="CL104" i="6"/>
  <c r="CF104" i="6"/>
  <c r="CK104" i="6"/>
  <c r="CQ104" i="6"/>
  <c r="BP101" i="6"/>
  <c r="BK101" i="6"/>
  <c r="BQ101" i="6"/>
  <c r="BV101" i="6"/>
  <c r="DO109" i="6"/>
  <c r="DY109" i="6"/>
  <c r="BY103" i="6"/>
  <c r="CE103" i="6"/>
  <c r="CD103" i="6"/>
  <c r="CJ103" i="6"/>
  <c r="DS108" i="6"/>
  <c r="DH108" i="6"/>
  <c r="DN108" i="6"/>
  <c r="DM108" i="6"/>
  <c r="AA1576" i="5"/>
  <c r="Y1576" i="5"/>
  <c r="Z1576" i="5"/>
  <c r="BX102" i="6"/>
  <c r="CC102" i="6"/>
  <c r="BR102" i="6"/>
  <c r="BW102" i="6"/>
  <c r="BC99" i="6"/>
  <c r="AW99" i="6"/>
  <c r="BH99" i="6"/>
  <c r="BB99" i="6"/>
  <c r="CY105" i="6"/>
  <c r="DE105" i="6"/>
  <c r="CZ105" i="6"/>
  <c r="CT105" i="6"/>
  <c r="AA5535" i="5"/>
  <c r="Y5535" i="5"/>
  <c r="Z5535" i="5"/>
  <c r="AA5040" i="5"/>
  <c r="Y5040" i="5"/>
  <c r="Z5040" i="5"/>
  <c r="AA586" i="5"/>
  <c r="Y586" i="5"/>
  <c r="Z586" i="5"/>
  <c r="AA2071" i="5"/>
  <c r="Z2071" i="5"/>
  <c r="Y2071" i="5"/>
  <c r="AA3061" i="5"/>
  <c r="Z3061" i="5"/>
  <c r="Y3061" i="5"/>
  <c r="DS107" i="6"/>
  <c r="DM107" i="6"/>
  <c r="DH107" i="6"/>
  <c r="DN107" i="6"/>
  <c r="AA3556" i="5"/>
  <c r="Y3556" i="5"/>
  <c r="Z3556" i="5"/>
  <c r="Y6031" i="5"/>
  <c r="Z6031" i="5"/>
  <c r="Y6030" i="5"/>
  <c r="Z6030" i="5"/>
  <c r="H110" i="6"/>
  <c r="V110" i="6"/>
  <c r="P110" i="6"/>
  <c r="F110" i="6"/>
  <c r="T110" i="6"/>
  <c r="L110" i="6"/>
  <c r="R110" i="6"/>
  <c r="J110" i="6"/>
  <c r="Z110" i="6"/>
  <c r="X110" i="6"/>
  <c r="N110" i="6"/>
  <c r="D110" i="6"/>
  <c r="AM110" i="6"/>
  <c r="AB110" i="6"/>
  <c r="DT110" i="6" s="1"/>
  <c r="AK110" i="6"/>
  <c r="AI110" i="6"/>
  <c r="DX109" i="6"/>
  <c r="AA6032" i="5" s="1"/>
  <c r="EF111" i="6"/>
  <c r="DA107" i="6" l="1"/>
  <c r="DF107" i="6"/>
  <c r="DL107" i="6"/>
  <c r="DG107" i="6"/>
  <c r="AP99" i="6"/>
  <c r="AU99" i="6"/>
  <c r="AV99" i="6"/>
  <c r="BA99" i="6"/>
  <c r="AA2567" i="5"/>
  <c r="Y2567" i="5"/>
  <c r="Z2567" i="5"/>
  <c r="Y5537" i="5"/>
  <c r="Z5537" i="5"/>
  <c r="AA5537" i="5"/>
  <c r="BJ101" i="6"/>
  <c r="BD101" i="6"/>
  <c r="BI101" i="6"/>
  <c r="BO101" i="6"/>
  <c r="BC100" i="6"/>
  <c r="AW100" i="6"/>
  <c r="BB100" i="6"/>
  <c r="BH100" i="6"/>
  <c r="AA91" i="5"/>
  <c r="Z91" i="5"/>
  <c r="Y91" i="5"/>
  <c r="DO110" i="6"/>
  <c r="DY110" i="6"/>
  <c r="AA5536" i="5"/>
  <c r="Z5536" i="5"/>
  <c r="Y5536" i="5"/>
  <c r="CS105" i="6"/>
  <c r="CR105" i="6"/>
  <c r="CM105" i="6"/>
  <c r="CX105" i="6"/>
  <c r="DH109" i="6"/>
  <c r="DS109" i="6"/>
  <c r="DM109" i="6"/>
  <c r="DN109" i="6"/>
  <c r="AA5041" i="5"/>
  <c r="Y5041" i="5"/>
  <c r="Z5041" i="5"/>
  <c r="AA1577" i="5"/>
  <c r="Y1577" i="5"/>
  <c r="Z1577" i="5"/>
  <c r="AO98" i="6"/>
  <c r="AT98" i="6"/>
  <c r="AN98" i="6"/>
  <c r="AA4546" i="5"/>
  <c r="Y4546" i="5"/>
  <c r="Z4546" i="5"/>
  <c r="BX103" i="6"/>
  <c r="BR103" i="6"/>
  <c r="CC103" i="6"/>
  <c r="BW103" i="6"/>
  <c r="AA587" i="5"/>
  <c r="Y587" i="5"/>
  <c r="Z587" i="5"/>
  <c r="AA3062" i="5"/>
  <c r="Y3062" i="5"/>
  <c r="Z3062" i="5"/>
  <c r="CE104" i="6"/>
  <c r="BY104" i="6"/>
  <c r="CD104" i="6"/>
  <c r="CJ104" i="6"/>
  <c r="AA92" i="5"/>
  <c r="Z92" i="5"/>
  <c r="Y92" i="5"/>
  <c r="AA1082" i="5"/>
  <c r="Y1082" i="5"/>
  <c r="Z1082" i="5"/>
  <c r="BP102" i="6"/>
  <c r="BK102" i="6"/>
  <c r="BQ102" i="6"/>
  <c r="BV102" i="6"/>
  <c r="DA108" i="6"/>
  <c r="DL108" i="6"/>
  <c r="DG108" i="6"/>
  <c r="DF108" i="6"/>
  <c r="AA2072" i="5"/>
  <c r="Y2072" i="5"/>
  <c r="Z2072" i="5"/>
  <c r="AA3557" i="5"/>
  <c r="Y3557" i="5"/>
  <c r="Z3557" i="5"/>
  <c r="CY106" i="6"/>
  <c r="CT106" i="6"/>
  <c r="CZ106" i="6"/>
  <c r="DE106" i="6"/>
  <c r="Y6032" i="5"/>
  <c r="Z6032" i="5"/>
  <c r="EF112" i="6"/>
  <c r="DX110" i="6"/>
  <c r="AA6033" i="5" s="1"/>
  <c r="EG111" i="6"/>
  <c r="EH111" i="6" s="1"/>
  <c r="AA111" i="6" s="1"/>
  <c r="BD102" i="6" l="1"/>
  <c r="BJ102" i="6"/>
  <c r="BI102" i="6"/>
  <c r="BO102" i="6"/>
  <c r="AA3063" i="5"/>
  <c r="Z3063" i="5"/>
  <c r="Y3063" i="5"/>
  <c r="AU100" i="6"/>
  <c r="AP100" i="6"/>
  <c r="AV100" i="6"/>
  <c r="BA100" i="6"/>
  <c r="AA588" i="5"/>
  <c r="Y588" i="5"/>
  <c r="Z588" i="5"/>
  <c r="DA109" i="6"/>
  <c r="DG109" i="6"/>
  <c r="DL109" i="6"/>
  <c r="DF109" i="6"/>
  <c r="AA5042" i="5"/>
  <c r="Y5042" i="5"/>
  <c r="Z5042" i="5"/>
  <c r="CS106" i="6"/>
  <c r="CM106" i="6"/>
  <c r="CX106" i="6"/>
  <c r="CR106" i="6"/>
  <c r="AA2073" i="5"/>
  <c r="Y2073" i="5"/>
  <c r="Z2073" i="5"/>
  <c r="BX104" i="6"/>
  <c r="BR104" i="6"/>
  <c r="CC104" i="6"/>
  <c r="BW104" i="6"/>
  <c r="AA93" i="5"/>
  <c r="Y93" i="5"/>
  <c r="Z93" i="5"/>
  <c r="AA4052" i="5"/>
  <c r="Z4052" i="5"/>
  <c r="Y4052" i="5"/>
  <c r="DS110" i="6"/>
  <c r="DH110" i="6"/>
  <c r="DM110" i="6"/>
  <c r="DN110" i="6"/>
  <c r="AA1083" i="5"/>
  <c r="Y1083" i="5"/>
  <c r="Z1083" i="5"/>
  <c r="AA1578" i="5"/>
  <c r="Z1578" i="5"/>
  <c r="Y1578" i="5"/>
  <c r="AA4547" i="5"/>
  <c r="Y4547" i="5"/>
  <c r="Z4547" i="5"/>
  <c r="AA5043" i="5"/>
  <c r="Y5043" i="5"/>
  <c r="Z5043" i="5"/>
  <c r="BP103" i="6"/>
  <c r="BK103" i="6"/>
  <c r="BQ103" i="6"/>
  <c r="BV103" i="6"/>
  <c r="AA5538" i="5"/>
  <c r="Z5538" i="5"/>
  <c r="Y5538" i="5"/>
  <c r="BC101" i="6"/>
  <c r="AW101" i="6"/>
  <c r="BB101" i="6"/>
  <c r="BH101" i="6"/>
  <c r="CY108" i="6"/>
  <c r="CT108" i="6"/>
  <c r="CZ108" i="6"/>
  <c r="DE108" i="6"/>
  <c r="AA2568" i="5"/>
  <c r="Y2568" i="5"/>
  <c r="Z2568" i="5"/>
  <c r="CK105" i="6"/>
  <c r="CQ105" i="6"/>
  <c r="CL105" i="6"/>
  <c r="CF105" i="6"/>
  <c r="AO99" i="6"/>
  <c r="AN99" i="6"/>
  <c r="AT99" i="6"/>
  <c r="CY107" i="6"/>
  <c r="DE107" i="6"/>
  <c r="CZ107" i="6"/>
  <c r="CT107" i="6"/>
  <c r="Y6033" i="5"/>
  <c r="Z6033" i="5"/>
  <c r="D111" i="6"/>
  <c r="R111" i="6"/>
  <c r="J111" i="6"/>
  <c r="F111" i="6"/>
  <c r="X111" i="6"/>
  <c r="P111" i="6"/>
  <c r="H111" i="6"/>
  <c r="Z111" i="6"/>
  <c r="V111" i="6"/>
  <c r="N111" i="6"/>
  <c r="T111" i="6"/>
  <c r="L111" i="6"/>
  <c r="AI111" i="6"/>
  <c r="AK111" i="6"/>
  <c r="AB111" i="6"/>
  <c r="DT111" i="6" s="1"/>
  <c r="AM111" i="6"/>
  <c r="EF113" i="6"/>
  <c r="EG113" i="6" s="1"/>
  <c r="EH113" i="6" s="1"/>
  <c r="AA113" i="6" s="1"/>
  <c r="EG112" i="6"/>
  <c r="EH112" i="6" s="1"/>
  <c r="AA112" i="6" s="1"/>
  <c r="DY111" i="6" l="1"/>
  <c r="DO111" i="6"/>
  <c r="BJ103" i="6"/>
  <c r="BI103" i="6"/>
  <c r="BD103" i="6"/>
  <c r="BO103" i="6"/>
  <c r="AA1579" i="5"/>
  <c r="Y1579" i="5"/>
  <c r="Z1579" i="5"/>
  <c r="AA94" i="5"/>
  <c r="Z94" i="5"/>
  <c r="Y94" i="5"/>
  <c r="AP101" i="6"/>
  <c r="AU101" i="6"/>
  <c r="BA101" i="6"/>
  <c r="AV101" i="6"/>
  <c r="CK106" i="6"/>
  <c r="CF106" i="6"/>
  <c r="CL106" i="6"/>
  <c r="CQ106" i="6"/>
  <c r="AA589" i="5"/>
  <c r="Y589" i="5"/>
  <c r="Z589" i="5"/>
  <c r="AA3558" i="5"/>
  <c r="Y3558" i="5"/>
  <c r="Z3558" i="5"/>
  <c r="AA2074" i="5"/>
  <c r="Y2074" i="5"/>
  <c r="Z2074" i="5"/>
  <c r="BP104" i="6"/>
  <c r="BK104" i="6"/>
  <c r="BQ104" i="6"/>
  <c r="BV104" i="6"/>
  <c r="BY105" i="6"/>
  <c r="CE105" i="6"/>
  <c r="CD105" i="6"/>
  <c r="CJ105" i="6"/>
  <c r="DA110" i="6"/>
  <c r="DF110" i="6"/>
  <c r="DL110" i="6"/>
  <c r="DG110" i="6"/>
  <c r="AA4053" i="5"/>
  <c r="Y4053" i="5"/>
  <c r="Z4053" i="5"/>
  <c r="CS107" i="6"/>
  <c r="CX107" i="6"/>
  <c r="CM107" i="6"/>
  <c r="CR107" i="6"/>
  <c r="CS108" i="6"/>
  <c r="CX108" i="6"/>
  <c r="CM108" i="6"/>
  <c r="CR108" i="6"/>
  <c r="AA5539" i="5"/>
  <c r="Y5539" i="5"/>
  <c r="Z5539" i="5"/>
  <c r="Y2569" i="5"/>
  <c r="AA2569" i="5"/>
  <c r="Z2569" i="5"/>
  <c r="CY109" i="6"/>
  <c r="DE109" i="6"/>
  <c r="CZ109" i="6"/>
  <c r="CT109" i="6"/>
  <c r="AA4548" i="5"/>
  <c r="Z4548" i="5"/>
  <c r="Y4548" i="5"/>
  <c r="AA4549" i="5"/>
  <c r="Y4549" i="5"/>
  <c r="Z4549" i="5"/>
  <c r="AA1084" i="5"/>
  <c r="Y1084" i="5"/>
  <c r="Z1084" i="5"/>
  <c r="AA5044" i="5"/>
  <c r="Y5044" i="5"/>
  <c r="Z5044" i="5"/>
  <c r="AO100" i="6"/>
  <c r="AN100" i="6"/>
  <c r="AT100" i="6"/>
  <c r="BC102" i="6"/>
  <c r="AW102" i="6"/>
  <c r="BH102" i="6"/>
  <c r="BB102" i="6"/>
  <c r="D113" i="6"/>
  <c r="X113" i="6"/>
  <c r="P113" i="6"/>
  <c r="J113" i="6"/>
  <c r="V113" i="6"/>
  <c r="N113" i="6"/>
  <c r="Z113" i="6"/>
  <c r="T113" i="6"/>
  <c r="L113" i="6"/>
  <c r="R113" i="6"/>
  <c r="H113" i="6"/>
  <c r="AI113" i="6"/>
  <c r="AM113" i="6"/>
  <c r="F113" i="6"/>
  <c r="AK113" i="6"/>
  <c r="AB113" i="6"/>
  <c r="DT113" i="6" s="1"/>
  <c r="P112" i="6"/>
  <c r="H112" i="6"/>
  <c r="V112" i="6"/>
  <c r="N112" i="6"/>
  <c r="D112" i="6"/>
  <c r="T112" i="6"/>
  <c r="J112" i="6"/>
  <c r="F112" i="6"/>
  <c r="X112" i="6"/>
  <c r="R112" i="6"/>
  <c r="L112" i="6"/>
  <c r="AK112" i="6"/>
  <c r="AB112" i="6"/>
  <c r="DT112" i="6" s="1"/>
  <c r="AM112" i="6"/>
  <c r="Z112" i="6"/>
  <c r="AI112" i="6"/>
  <c r="EF114" i="6"/>
  <c r="DX111" i="6"/>
  <c r="AA6034" i="5" s="1"/>
  <c r="AA1085" i="5" l="1"/>
  <c r="Z1085" i="5"/>
  <c r="Y1085" i="5"/>
  <c r="AA4550" i="5"/>
  <c r="Y4550" i="5"/>
  <c r="Z4550" i="5"/>
  <c r="AA3559" i="5"/>
  <c r="Y3559" i="5"/>
  <c r="Z3559" i="5"/>
  <c r="CK107" i="6"/>
  <c r="CQ107" i="6"/>
  <c r="CF107" i="6"/>
  <c r="CL107" i="6"/>
  <c r="DO112" i="6"/>
  <c r="DY112" i="6"/>
  <c r="AA4055" i="5"/>
  <c r="Y4055" i="5"/>
  <c r="Z4055" i="5"/>
  <c r="AA4054" i="5"/>
  <c r="Z4054" i="5"/>
  <c r="Y4054" i="5"/>
  <c r="CY110" i="6"/>
  <c r="CT110" i="6"/>
  <c r="DE110" i="6"/>
  <c r="CZ110" i="6"/>
  <c r="BX105" i="6"/>
  <c r="BR105" i="6"/>
  <c r="CC105" i="6"/>
  <c r="BW105" i="6"/>
  <c r="CE106" i="6"/>
  <c r="BY106" i="6"/>
  <c r="CD106" i="6"/>
  <c r="CJ106" i="6"/>
  <c r="AA1580" i="5"/>
  <c r="Y1580" i="5"/>
  <c r="Z1580" i="5"/>
  <c r="DS111" i="6"/>
  <c r="DM111" i="6"/>
  <c r="DH111" i="6"/>
  <c r="DN111" i="6"/>
  <c r="AA5045" i="5"/>
  <c r="Y5045" i="5"/>
  <c r="Z5045" i="5"/>
  <c r="AP102" i="6"/>
  <c r="AV102" i="6"/>
  <c r="AU102" i="6"/>
  <c r="BA102" i="6"/>
  <c r="CK108" i="6"/>
  <c r="CF108" i="6"/>
  <c r="CQ108" i="6"/>
  <c r="CL108" i="6"/>
  <c r="BD104" i="6"/>
  <c r="BI104" i="6"/>
  <c r="BJ104" i="6"/>
  <c r="BO104" i="6"/>
  <c r="AA590" i="5"/>
  <c r="Z590" i="5"/>
  <c r="Y590" i="5"/>
  <c r="CS109" i="6"/>
  <c r="CR109" i="6"/>
  <c r="CM109" i="6"/>
  <c r="CX109" i="6"/>
  <c r="DO113" i="6"/>
  <c r="DY113" i="6"/>
  <c r="AA95" i="5"/>
  <c r="Z95" i="5"/>
  <c r="Y95" i="5"/>
  <c r="AA3064" i="5"/>
  <c r="Y3064" i="5"/>
  <c r="Z3064" i="5"/>
  <c r="AA2075" i="5"/>
  <c r="Y2075" i="5"/>
  <c r="Z2075" i="5"/>
  <c r="AO101" i="6"/>
  <c r="AN101" i="6"/>
  <c r="AT101" i="6"/>
  <c r="BC103" i="6"/>
  <c r="AW103" i="6"/>
  <c r="BH103" i="6"/>
  <c r="BB103" i="6"/>
  <c r="Y6034" i="5"/>
  <c r="Z6034" i="5"/>
  <c r="EF115" i="6"/>
  <c r="EG114" i="6"/>
  <c r="EH114" i="6" s="1"/>
  <c r="AA114" i="6" s="1"/>
  <c r="DX113" i="6"/>
  <c r="AA6036" i="5" s="1"/>
  <c r="DX112" i="6"/>
  <c r="AA6035" i="5" s="1"/>
  <c r="AO102" i="6" l="1"/>
  <c r="AT102" i="6"/>
  <c r="AN102" i="6"/>
  <c r="AA2570" i="5"/>
  <c r="Y2570" i="5"/>
  <c r="Z2570" i="5"/>
  <c r="AA4551" i="5"/>
  <c r="Z4551" i="5"/>
  <c r="Y4551" i="5"/>
  <c r="DH113" i="6"/>
  <c r="DM113" i="6"/>
  <c r="DN113" i="6"/>
  <c r="DS113" i="6"/>
  <c r="AA1581" i="5"/>
  <c r="Z1581" i="5"/>
  <c r="Y1581" i="5"/>
  <c r="AA591" i="5"/>
  <c r="Z591" i="5"/>
  <c r="Y591" i="5"/>
  <c r="BX106" i="6"/>
  <c r="CC106" i="6"/>
  <c r="BR106" i="6"/>
  <c r="BW106" i="6"/>
  <c r="BP105" i="6"/>
  <c r="BK105" i="6"/>
  <c r="BQ105" i="6"/>
  <c r="BV105" i="6"/>
  <c r="AA3560" i="5"/>
  <c r="Z3560" i="5"/>
  <c r="Y3560" i="5"/>
  <c r="AP103" i="6"/>
  <c r="AV103" i="6"/>
  <c r="AU103" i="6"/>
  <c r="BA103" i="6"/>
  <c r="AA4056" i="5"/>
  <c r="Z4056" i="5"/>
  <c r="Y4056" i="5"/>
  <c r="AA3561" i="5"/>
  <c r="Y3561" i="5"/>
  <c r="Z3561" i="5"/>
  <c r="DS112" i="6"/>
  <c r="DH112" i="6"/>
  <c r="DN112" i="6"/>
  <c r="DM112" i="6"/>
  <c r="AA96" i="5"/>
  <c r="Z96" i="5"/>
  <c r="Y96" i="5"/>
  <c r="BC104" i="6"/>
  <c r="AW104" i="6"/>
  <c r="BB104" i="6"/>
  <c r="BH104" i="6"/>
  <c r="BY107" i="6"/>
  <c r="CE107" i="6"/>
  <c r="CD107" i="6"/>
  <c r="CJ107" i="6"/>
  <c r="AA1086" i="5"/>
  <c r="Z1086" i="5"/>
  <c r="Y1086" i="5"/>
  <c r="DA111" i="6"/>
  <c r="DL111" i="6"/>
  <c r="DG111" i="6"/>
  <c r="DF111" i="6"/>
  <c r="CS110" i="6"/>
  <c r="CM110" i="6"/>
  <c r="CR110" i="6"/>
  <c r="CX110" i="6"/>
  <c r="CK109" i="6"/>
  <c r="CF109" i="6"/>
  <c r="CQ109" i="6"/>
  <c r="CL109" i="6"/>
  <c r="CE108" i="6"/>
  <c r="BY108" i="6"/>
  <c r="CD108" i="6"/>
  <c r="CJ108" i="6"/>
  <c r="AA5540" i="5"/>
  <c r="Y5540" i="5"/>
  <c r="Z5540" i="5"/>
  <c r="AA3065" i="5"/>
  <c r="Y3065" i="5"/>
  <c r="Z3065" i="5"/>
  <c r="Y6035" i="5"/>
  <c r="Z6035" i="5"/>
  <c r="Y6036" i="5"/>
  <c r="Z6036" i="5"/>
  <c r="EF116" i="6"/>
  <c r="EG116" i="6" s="1"/>
  <c r="EH116" i="6" s="1"/>
  <c r="AA116" i="6" s="1"/>
  <c r="R114" i="6"/>
  <c r="D114" i="6"/>
  <c r="X114" i="6"/>
  <c r="N114" i="6"/>
  <c r="F114" i="6"/>
  <c r="Z114" i="6"/>
  <c r="V114" i="6"/>
  <c r="L114" i="6"/>
  <c r="P114" i="6"/>
  <c r="T114" i="6"/>
  <c r="J114" i="6"/>
  <c r="H114" i="6"/>
  <c r="AM114" i="6"/>
  <c r="AK114" i="6"/>
  <c r="AB114" i="6"/>
  <c r="DT114" i="6" s="1"/>
  <c r="AI114" i="6"/>
  <c r="EG115" i="6"/>
  <c r="EH115" i="6" s="1"/>
  <c r="AA115" i="6" s="1"/>
  <c r="BY109" i="6" l="1"/>
  <c r="CE109" i="6"/>
  <c r="CD109" i="6"/>
  <c r="CJ109" i="6"/>
  <c r="BX107" i="6"/>
  <c r="BR107" i="6"/>
  <c r="CC107" i="6"/>
  <c r="BW107" i="6"/>
  <c r="AO103" i="6"/>
  <c r="AN103" i="6"/>
  <c r="AT103" i="6"/>
  <c r="AA3067" i="5"/>
  <c r="Y3067" i="5"/>
  <c r="Z3067" i="5"/>
  <c r="AA4057" i="5"/>
  <c r="Y4057" i="5"/>
  <c r="Z4057" i="5"/>
  <c r="DA112" i="6"/>
  <c r="DG112" i="6"/>
  <c r="DL112" i="6"/>
  <c r="DF112" i="6"/>
  <c r="AA592" i="5"/>
  <c r="Y592" i="5"/>
  <c r="Z592" i="5"/>
  <c r="BP106" i="6"/>
  <c r="BK106" i="6"/>
  <c r="BQ106" i="6"/>
  <c r="BV106" i="6"/>
  <c r="DA113" i="6"/>
  <c r="DG113" i="6"/>
  <c r="DF113" i="6"/>
  <c r="DL113" i="6"/>
  <c r="AA97" i="5"/>
  <c r="Z97" i="5"/>
  <c r="Y97" i="5"/>
  <c r="BX108" i="6"/>
  <c r="BR108" i="6"/>
  <c r="CC108" i="6"/>
  <c r="BW108" i="6"/>
  <c r="CK110" i="6"/>
  <c r="CF110" i="6"/>
  <c r="CL110" i="6"/>
  <c r="CQ110" i="6"/>
  <c r="AA5046" i="5"/>
  <c r="Z5046" i="5"/>
  <c r="Y5046" i="5"/>
  <c r="CY111" i="6"/>
  <c r="DE111" i="6"/>
  <c r="CZ111" i="6"/>
  <c r="CT111" i="6"/>
  <c r="AA3066" i="5"/>
  <c r="Y3066" i="5"/>
  <c r="Z3066" i="5"/>
  <c r="Y1087" i="5"/>
  <c r="AA1087" i="5"/>
  <c r="Z1087" i="5"/>
  <c r="AA2076" i="5"/>
  <c r="Y2076" i="5"/>
  <c r="Z2076" i="5"/>
  <c r="DO114" i="6"/>
  <c r="DY114" i="6"/>
  <c r="AA3562" i="5"/>
  <c r="Y3562" i="5"/>
  <c r="Z3562" i="5"/>
  <c r="AP104" i="6"/>
  <c r="BA104" i="6"/>
  <c r="AV104" i="6"/>
  <c r="AU104" i="6"/>
  <c r="Y5541" i="5"/>
  <c r="AA5541" i="5"/>
  <c r="Z5541" i="5"/>
  <c r="BJ105" i="6"/>
  <c r="BD105" i="6"/>
  <c r="BI105" i="6"/>
  <c r="BO105" i="6"/>
  <c r="AA2571" i="5"/>
  <c r="Z2571" i="5"/>
  <c r="Y2571" i="5"/>
  <c r="AA5542" i="5"/>
  <c r="Z5542" i="5"/>
  <c r="Y5542" i="5"/>
  <c r="DX114" i="6"/>
  <c r="AA6037" i="5" s="1"/>
  <c r="EF117" i="6"/>
  <c r="EG117" i="6" s="1"/>
  <c r="EH117" i="6" s="1"/>
  <c r="AA117" i="6" s="1"/>
  <c r="T116" i="6"/>
  <c r="N116" i="6"/>
  <c r="D116" i="6"/>
  <c r="X116" i="6"/>
  <c r="J116" i="6"/>
  <c r="F116" i="6"/>
  <c r="P116" i="6"/>
  <c r="H116" i="6"/>
  <c r="V116" i="6"/>
  <c r="R116" i="6"/>
  <c r="L116" i="6"/>
  <c r="AK116" i="6"/>
  <c r="AB116" i="6"/>
  <c r="DT116" i="6" s="1"/>
  <c r="Z116" i="6"/>
  <c r="AM116" i="6"/>
  <c r="AI116" i="6"/>
  <c r="T115" i="6"/>
  <c r="J115" i="6"/>
  <c r="Z115" i="6"/>
  <c r="R115" i="6"/>
  <c r="N115" i="6"/>
  <c r="X115" i="6"/>
  <c r="P115" i="6"/>
  <c r="H115" i="6"/>
  <c r="F115" i="6"/>
  <c r="V115" i="6"/>
  <c r="L115" i="6"/>
  <c r="D115" i="6"/>
  <c r="AI115" i="6"/>
  <c r="AK115" i="6"/>
  <c r="AM115" i="6"/>
  <c r="AB115" i="6"/>
  <c r="DT115" i="6" s="1"/>
  <c r="DS114" i="6" l="1"/>
  <c r="DH114" i="6"/>
  <c r="DM114" i="6"/>
  <c r="DN114" i="6"/>
  <c r="AA5048" i="5"/>
  <c r="Y5048" i="5"/>
  <c r="Z5048" i="5"/>
  <c r="AA2572" i="5"/>
  <c r="Z2572" i="5"/>
  <c r="Y2572" i="5"/>
  <c r="AA593" i="5"/>
  <c r="Y593" i="5"/>
  <c r="Z593" i="5"/>
  <c r="Y2573" i="5"/>
  <c r="AA2573" i="5"/>
  <c r="Z2573" i="5"/>
  <c r="BD106" i="6"/>
  <c r="BI106" i="6"/>
  <c r="BJ106" i="6"/>
  <c r="BO106" i="6"/>
  <c r="CY112" i="6"/>
  <c r="CT112" i="6"/>
  <c r="DE112" i="6"/>
  <c r="CZ112" i="6"/>
  <c r="BP107" i="6"/>
  <c r="BK107" i="6"/>
  <c r="BQ107" i="6"/>
  <c r="BV107" i="6"/>
  <c r="DY115" i="6"/>
  <c r="DO115" i="6"/>
  <c r="AA4552" i="5"/>
  <c r="Z4552" i="5"/>
  <c r="Y4552" i="5"/>
  <c r="AA2077" i="5"/>
  <c r="Z2077" i="5"/>
  <c r="Y2077" i="5"/>
  <c r="AA5047" i="5"/>
  <c r="Y5047" i="5"/>
  <c r="Z5047" i="5"/>
  <c r="AA3068" i="5"/>
  <c r="Y3068" i="5"/>
  <c r="Z3068" i="5"/>
  <c r="AA1582" i="5"/>
  <c r="Y1582" i="5"/>
  <c r="Z1582" i="5"/>
  <c r="AA3563" i="5"/>
  <c r="Y3563" i="5"/>
  <c r="Z3563" i="5"/>
  <c r="AA98" i="5"/>
  <c r="Z98" i="5"/>
  <c r="Y98" i="5"/>
  <c r="CS111" i="6"/>
  <c r="CX111" i="6"/>
  <c r="CM111" i="6"/>
  <c r="CR111" i="6"/>
  <c r="DO116" i="6"/>
  <c r="DY116" i="6"/>
  <c r="BC105" i="6"/>
  <c r="AW105" i="6"/>
  <c r="BB105" i="6"/>
  <c r="BH105" i="6"/>
  <c r="AO104" i="6"/>
  <c r="AN104" i="6"/>
  <c r="AT104" i="6"/>
  <c r="CE110" i="6"/>
  <c r="BY110" i="6"/>
  <c r="CD110" i="6"/>
  <c r="CJ110" i="6"/>
  <c r="BP108" i="6"/>
  <c r="BK108" i="6"/>
  <c r="BQ108" i="6"/>
  <c r="BV108" i="6"/>
  <c r="CY113" i="6"/>
  <c r="DE113" i="6"/>
  <c r="CZ113" i="6"/>
  <c r="CT113" i="6"/>
  <c r="BX109" i="6"/>
  <c r="BR109" i="6"/>
  <c r="CC109" i="6"/>
  <c r="BW109" i="6"/>
  <c r="Y6037" i="5"/>
  <c r="Z6037" i="5"/>
  <c r="DX115" i="6"/>
  <c r="AA6038" i="5" s="1"/>
  <c r="EF118" i="6"/>
  <c r="EG118" i="6" s="1"/>
  <c r="EH118" i="6" s="1"/>
  <c r="AA118" i="6" s="1"/>
  <c r="F117" i="6"/>
  <c r="R117" i="6"/>
  <c r="H117" i="6"/>
  <c r="Z117" i="6"/>
  <c r="X117" i="6"/>
  <c r="P117" i="6"/>
  <c r="J117" i="6"/>
  <c r="V117" i="6"/>
  <c r="N117" i="6"/>
  <c r="T117" i="6"/>
  <c r="L117" i="6"/>
  <c r="D117" i="6"/>
  <c r="AB117" i="6"/>
  <c r="DT117" i="6" s="1"/>
  <c r="AM117" i="6"/>
  <c r="AI117" i="6"/>
  <c r="AK117" i="6"/>
  <c r="DX116" i="6"/>
  <c r="AA6039" i="5" s="1"/>
  <c r="DS116" i="6" l="1"/>
  <c r="DH116" i="6"/>
  <c r="DN116" i="6"/>
  <c r="DM116" i="6"/>
  <c r="AA2078" i="5"/>
  <c r="Y2078" i="5"/>
  <c r="Z2078" i="5"/>
  <c r="AA2574" i="5"/>
  <c r="Y2574" i="5"/>
  <c r="Z2574" i="5"/>
  <c r="AA4553" i="5"/>
  <c r="Y4553" i="5"/>
  <c r="Z4553" i="5"/>
  <c r="BD108" i="6"/>
  <c r="BI108" i="6"/>
  <c r="BO108" i="6"/>
  <c r="BJ108" i="6"/>
  <c r="CK111" i="6"/>
  <c r="CF111" i="6"/>
  <c r="CQ111" i="6"/>
  <c r="CL111" i="6"/>
  <c r="DS115" i="6"/>
  <c r="DM115" i="6"/>
  <c r="DH115" i="6"/>
  <c r="DN115" i="6"/>
  <c r="BJ107" i="6"/>
  <c r="BI107" i="6"/>
  <c r="BD107" i="6"/>
  <c r="BO107" i="6"/>
  <c r="CS112" i="6"/>
  <c r="CX112" i="6"/>
  <c r="CR112" i="6"/>
  <c r="CM112" i="6"/>
  <c r="DA114" i="6"/>
  <c r="DG114" i="6"/>
  <c r="DL114" i="6"/>
  <c r="DF114" i="6"/>
  <c r="CS113" i="6"/>
  <c r="CR113" i="6"/>
  <c r="CM113" i="6"/>
  <c r="CX113" i="6"/>
  <c r="AA2079" i="5"/>
  <c r="Y2079" i="5"/>
  <c r="Z2079" i="5"/>
  <c r="AA3069" i="5"/>
  <c r="Y3069" i="5"/>
  <c r="Z3069" i="5"/>
  <c r="AA99" i="5"/>
  <c r="Z99" i="5"/>
  <c r="Y99" i="5"/>
  <c r="AA1583" i="5"/>
  <c r="Y1583" i="5"/>
  <c r="Z1583" i="5"/>
  <c r="AP105" i="6"/>
  <c r="BA105" i="6"/>
  <c r="AV105" i="6"/>
  <c r="AU105" i="6"/>
  <c r="BP109" i="6"/>
  <c r="BK109" i="6"/>
  <c r="BQ109" i="6"/>
  <c r="BV109" i="6"/>
  <c r="AA4554" i="5"/>
  <c r="Y4554" i="5"/>
  <c r="Z4554" i="5"/>
  <c r="BX110" i="6"/>
  <c r="CC110" i="6"/>
  <c r="BR110" i="6"/>
  <c r="BW110" i="6"/>
  <c r="DO117" i="6"/>
  <c r="DY117" i="6"/>
  <c r="AA1088" i="5"/>
  <c r="Z1088" i="5"/>
  <c r="Y1088" i="5"/>
  <c r="AA4058" i="5"/>
  <c r="Y4058" i="5"/>
  <c r="Z4058" i="5"/>
  <c r="BC106" i="6"/>
  <c r="AW106" i="6"/>
  <c r="BH106" i="6"/>
  <c r="BB106" i="6"/>
  <c r="AA5543" i="5"/>
  <c r="Y5543" i="5"/>
  <c r="Z5543" i="5"/>
  <c r="Y6039" i="5"/>
  <c r="Z6039" i="5"/>
  <c r="Y6038" i="5"/>
  <c r="Z6038" i="5"/>
  <c r="X118" i="6"/>
  <c r="N118" i="6"/>
  <c r="D118" i="6"/>
  <c r="V118" i="6"/>
  <c r="L118" i="6"/>
  <c r="F118" i="6"/>
  <c r="Z118" i="6"/>
  <c r="T118" i="6"/>
  <c r="P118" i="6"/>
  <c r="R118" i="6"/>
  <c r="J118" i="6"/>
  <c r="AM118" i="6"/>
  <c r="AI118" i="6"/>
  <c r="H118" i="6"/>
  <c r="AK118" i="6"/>
  <c r="AB118" i="6"/>
  <c r="DT118" i="6" s="1"/>
  <c r="EF119" i="6"/>
  <c r="EG119" i="6" s="1"/>
  <c r="EH119" i="6" s="1"/>
  <c r="AA119" i="6" s="1"/>
  <c r="DX117" i="6"/>
  <c r="AA6040" i="5" s="1"/>
  <c r="AA5049" i="5" l="1"/>
  <c r="Y5049" i="5"/>
  <c r="Z5049" i="5"/>
  <c r="BC107" i="6"/>
  <c r="AW107" i="6"/>
  <c r="BH107" i="6"/>
  <c r="BB107" i="6"/>
  <c r="AA3564" i="5"/>
  <c r="Z3564" i="5"/>
  <c r="Y3564" i="5"/>
  <c r="AA1585" i="5"/>
  <c r="Z1585" i="5"/>
  <c r="Y1585" i="5"/>
  <c r="DO118" i="6"/>
  <c r="DY118" i="6"/>
  <c r="BP110" i="6"/>
  <c r="BK110" i="6"/>
  <c r="BQ110" i="6"/>
  <c r="BV110" i="6"/>
  <c r="AA594" i="5"/>
  <c r="Z594" i="5"/>
  <c r="Y594" i="5"/>
  <c r="BY111" i="6"/>
  <c r="CE111" i="6"/>
  <c r="CD111" i="6"/>
  <c r="CJ111" i="6"/>
  <c r="AA2575" i="5"/>
  <c r="Y2575" i="5"/>
  <c r="Z2575" i="5"/>
  <c r="AO105" i="6"/>
  <c r="AN105" i="6"/>
  <c r="AT105" i="6"/>
  <c r="CY114" i="6"/>
  <c r="CT114" i="6"/>
  <c r="DE114" i="6"/>
  <c r="CZ114" i="6"/>
  <c r="AA5544" i="5"/>
  <c r="Z5544" i="5"/>
  <c r="Y5544" i="5"/>
  <c r="BC108" i="6"/>
  <c r="AW108" i="6"/>
  <c r="BB108" i="6"/>
  <c r="BH108" i="6"/>
  <c r="DA116" i="6"/>
  <c r="DG116" i="6"/>
  <c r="DF116" i="6"/>
  <c r="DL116" i="6"/>
  <c r="CK113" i="6"/>
  <c r="CQ113" i="6"/>
  <c r="CF113" i="6"/>
  <c r="CL113" i="6"/>
  <c r="DA115" i="6"/>
  <c r="DL115" i="6"/>
  <c r="DF115" i="6"/>
  <c r="DG115" i="6"/>
  <c r="AA1089" i="5"/>
  <c r="Y1089" i="5"/>
  <c r="Z1089" i="5"/>
  <c r="BJ109" i="6"/>
  <c r="BD109" i="6"/>
  <c r="BI109" i="6"/>
  <c r="BO109" i="6"/>
  <c r="AA4059" i="5"/>
  <c r="Y4059" i="5"/>
  <c r="Z4059" i="5"/>
  <c r="AP106" i="6"/>
  <c r="AU106" i="6"/>
  <c r="BA106" i="6"/>
  <c r="AV106" i="6"/>
  <c r="DH117" i="6"/>
  <c r="DN117" i="6"/>
  <c r="DM117" i="6"/>
  <c r="DS117" i="6"/>
  <c r="AA2080" i="5"/>
  <c r="Y2080" i="5"/>
  <c r="Z2080" i="5"/>
  <c r="AA4060" i="5"/>
  <c r="Y4060" i="5"/>
  <c r="Z4060" i="5"/>
  <c r="CK112" i="6"/>
  <c r="CF112" i="6"/>
  <c r="CL112" i="6"/>
  <c r="CQ112" i="6"/>
  <c r="AA1584" i="5"/>
  <c r="Z1584" i="5"/>
  <c r="Y1584" i="5"/>
  <c r="Y5545" i="5"/>
  <c r="AA5545" i="5"/>
  <c r="Z5545" i="5"/>
  <c r="Y6040" i="5"/>
  <c r="Z6040" i="5"/>
  <c r="EF120" i="6"/>
  <c r="EG120" i="6" s="1"/>
  <c r="EH120" i="6" s="1"/>
  <c r="AA120" i="6" s="1"/>
  <c r="DX118" i="6"/>
  <c r="AA6041" i="5" s="1"/>
  <c r="Z119" i="6"/>
  <c r="V119" i="6"/>
  <c r="L119" i="6"/>
  <c r="T119" i="6"/>
  <c r="J119" i="6"/>
  <c r="D119" i="6"/>
  <c r="R119" i="6"/>
  <c r="N119" i="6"/>
  <c r="F119" i="6"/>
  <c r="X119" i="6"/>
  <c r="P119" i="6"/>
  <c r="H119" i="6"/>
  <c r="AI119" i="6"/>
  <c r="AB119" i="6"/>
  <c r="DT119" i="6" s="1"/>
  <c r="AM119" i="6"/>
  <c r="AK119" i="6"/>
  <c r="AA595" i="5" l="1"/>
  <c r="Y595" i="5"/>
  <c r="Z595" i="5"/>
  <c r="CY115" i="6"/>
  <c r="DE115" i="6"/>
  <c r="CZ115" i="6"/>
  <c r="CT115" i="6"/>
  <c r="AA5051" i="5"/>
  <c r="Z5051" i="5"/>
  <c r="Y5051" i="5"/>
  <c r="AA1091" i="5"/>
  <c r="Y1091" i="5"/>
  <c r="Z1091" i="5"/>
  <c r="AA4555" i="5"/>
  <c r="Z4555" i="5"/>
  <c r="Y4555" i="5"/>
  <c r="BX111" i="6"/>
  <c r="BR111" i="6"/>
  <c r="CC111" i="6"/>
  <c r="BW111" i="6"/>
  <c r="AA2081" i="5"/>
  <c r="Y2081" i="5"/>
  <c r="Z2081" i="5"/>
  <c r="DA117" i="6"/>
  <c r="DG117" i="6"/>
  <c r="DL117" i="6"/>
  <c r="DF117" i="6"/>
  <c r="AO106" i="6"/>
  <c r="AT106" i="6"/>
  <c r="AN106" i="6"/>
  <c r="AA1586" i="5"/>
  <c r="Z1586" i="5"/>
  <c r="Y1586" i="5"/>
  <c r="BY113" i="6"/>
  <c r="CE113" i="6"/>
  <c r="CD113" i="6"/>
  <c r="CJ113" i="6"/>
  <c r="CS114" i="6"/>
  <c r="CM114" i="6"/>
  <c r="CX114" i="6"/>
  <c r="CR114" i="6"/>
  <c r="AA3070" i="5"/>
  <c r="Y3070" i="5"/>
  <c r="Z3070" i="5"/>
  <c r="DS118" i="6"/>
  <c r="DH118" i="6"/>
  <c r="DM118" i="6"/>
  <c r="DN118" i="6"/>
  <c r="AA1090" i="5"/>
  <c r="Y1090" i="5"/>
  <c r="Z1090" i="5"/>
  <c r="BC109" i="6"/>
  <c r="AW109" i="6"/>
  <c r="BB109" i="6"/>
  <c r="BH109" i="6"/>
  <c r="CY116" i="6"/>
  <c r="CT116" i="6"/>
  <c r="CZ116" i="6"/>
  <c r="DE116" i="6"/>
  <c r="AA100" i="5"/>
  <c r="Y100" i="5"/>
  <c r="Z100" i="5"/>
  <c r="DO119" i="6"/>
  <c r="DY119" i="6"/>
  <c r="AA3565" i="5"/>
  <c r="Y3565" i="5"/>
  <c r="Z3565" i="5"/>
  <c r="CE112" i="6"/>
  <c r="BY112" i="6"/>
  <c r="CD112" i="6"/>
  <c r="CJ112" i="6"/>
  <c r="AA5546" i="5"/>
  <c r="Y5546" i="5"/>
  <c r="Z5546" i="5"/>
  <c r="AA5050" i="5"/>
  <c r="Y5050" i="5"/>
  <c r="Z5050" i="5"/>
  <c r="AA3566" i="5"/>
  <c r="Y3566" i="5"/>
  <c r="Z3566" i="5"/>
  <c r="AP108" i="6"/>
  <c r="AV108" i="6"/>
  <c r="AU108" i="6"/>
  <c r="BA108" i="6"/>
  <c r="BD110" i="6"/>
  <c r="BJ110" i="6"/>
  <c r="BI110" i="6"/>
  <c r="BO110" i="6"/>
  <c r="AP107" i="6"/>
  <c r="AU107" i="6"/>
  <c r="BA107" i="6"/>
  <c r="AV107" i="6"/>
  <c r="Y6041" i="5"/>
  <c r="Z6041" i="5"/>
  <c r="T120" i="6"/>
  <c r="J120" i="6"/>
  <c r="F120" i="6"/>
  <c r="R120" i="6"/>
  <c r="L120" i="6"/>
  <c r="V120" i="6"/>
  <c r="P120" i="6"/>
  <c r="H120" i="6"/>
  <c r="X120" i="6"/>
  <c r="N120" i="6"/>
  <c r="D120" i="6"/>
  <c r="AK120" i="6"/>
  <c r="Z120" i="6"/>
  <c r="AM120" i="6"/>
  <c r="AB120" i="6"/>
  <c r="DT120" i="6" s="1"/>
  <c r="AI120" i="6"/>
  <c r="DX119" i="6"/>
  <c r="AA6042" i="5" s="1"/>
  <c r="EF121" i="6"/>
  <c r="EG121" i="6" s="1"/>
  <c r="EH121" i="6" s="1"/>
  <c r="AA121" i="6" s="1"/>
  <c r="AA1587" i="5" l="1"/>
  <c r="Y1587" i="5"/>
  <c r="Z1587" i="5"/>
  <c r="AA597" i="5"/>
  <c r="Z597" i="5"/>
  <c r="Y597" i="5"/>
  <c r="CY117" i="6"/>
  <c r="DE117" i="6"/>
  <c r="CZ117" i="6"/>
  <c r="CT117" i="6"/>
  <c r="AA596" i="5"/>
  <c r="Y596" i="5"/>
  <c r="Z596" i="5"/>
  <c r="AA3071" i="5"/>
  <c r="Y3071" i="5"/>
  <c r="Z3071" i="5"/>
  <c r="CK114" i="6"/>
  <c r="CF114" i="6"/>
  <c r="CL114" i="6"/>
  <c r="CQ114" i="6"/>
  <c r="AA2576" i="5"/>
  <c r="Z2576" i="5"/>
  <c r="Y2576" i="5"/>
  <c r="CS115" i="6"/>
  <c r="CX115" i="6"/>
  <c r="CM115" i="6"/>
  <c r="CR115" i="6"/>
  <c r="DA118" i="6"/>
  <c r="DL118" i="6"/>
  <c r="DF118" i="6"/>
  <c r="DG118" i="6"/>
  <c r="BX113" i="6"/>
  <c r="BR113" i="6"/>
  <c r="CC113" i="6"/>
  <c r="BW113" i="6"/>
  <c r="AA5052" i="5"/>
  <c r="Y5052" i="5"/>
  <c r="Z5052" i="5"/>
  <c r="BP111" i="6"/>
  <c r="BK111" i="6"/>
  <c r="BQ111" i="6"/>
  <c r="BV111" i="6"/>
  <c r="AA4061" i="5"/>
  <c r="Y4061" i="5"/>
  <c r="Z4061" i="5"/>
  <c r="DS119" i="6"/>
  <c r="DM119" i="6"/>
  <c r="DH119" i="6"/>
  <c r="DN119" i="6"/>
  <c r="AA4557" i="5"/>
  <c r="Y4557" i="5"/>
  <c r="Z4557" i="5"/>
  <c r="AA1092" i="5"/>
  <c r="Y1092" i="5"/>
  <c r="Z1092" i="5"/>
  <c r="DO120" i="6"/>
  <c r="DY120" i="6"/>
  <c r="AO107" i="6"/>
  <c r="AN107" i="6"/>
  <c r="AT107" i="6"/>
  <c r="BC110" i="6"/>
  <c r="AW110" i="6"/>
  <c r="BH110" i="6"/>
  <c r="BB110" i="6"/>
  <c r="AO108" i="6"/>
  <c r="AN108" i="6"/>
  <c r="AT108" i="6"/>
  <c r="BX112" i="6"/>
  <c r="BR112" i="6"/>
  <c r="CC112" i="6"/>
  <c r="BW112" i="6"/>
  <c r="CS116" i="6"/>
  <c r="CX116" i="6"/>
  <c r="CM116" i="6"/>
  <c r="CR116" i="6"/>
  <c r="AP109" i="6"/>
  <c r="AV109" i="6"/>
  <c r="AU109" i="6"/>
  <c r="BA109" i="6"/>
  <c r="AA5547" i="5"/>
  <c r="Y5547" i="5"/>
  <c r="Z5547" i="5"/>
  <c r="AA3072" i="5"/>
  <c r="Z3072" i="5"/>
  <c r="Y3072" i="5"/>
  <c r="AA101" i="5"/>
  <c r="Y101" i="5"/>
  <c r="Z101" i="5"/>
  <c r="AA4556" i="5"/>
  <c r="Z4556" i="5"/>
  <c r="Y4556" i="5"/>
  <c r="Y6042" i="5"/>
  <c r="Z6042" i="5"/>
  <c r="D121" i="6"/>
  <c r="Z121" i="6"/>
  <c r="T121" i="6"/>
  <c r="L121" i="6"/>
  <c r="P121" i="6"/>
  <c r="J121" i="6"/>
  <c r="X121" i="6"/>
  <c r="N121" i="6"/>
  <c r="H121" i="6"/>
  <c r="R121" i="6"/>
  <c r="V121" i="6"/>
  <c r="AM121" i="6"/>
  <c r="AB121" i="6"/>
  <c r="DT121" i="6" s="1"/>
  <c r="F121" i="6"/>
  <c r="AI121" i="6"/>
  <c r="AK121" i="6"/>
  <c r="DX120" i="6"/>
  <c r="AA6043" i="5" s="1"/>
  <c r="EF122" i="6"/>
  <c r="EG122" i="6" s="1"/>
  <c r="EH122" i="6" s="1"/>
  <c r="AA122" i="6" s="1"/>
  <c r="DS120" i="6" l="1"/>
  <c r="DH120" i="6"/>
  <c r="DN120" i="6"/>
  <c r="DM120" i="6"/>
  <c r="BJ111" i="6"/>
  <c r="BI111" i="6"/>
  <c r="BD111" i="6"/>
  <c r="BO111" i="6"/>
  <c r="CY118" i="6"/>
  <c r="CT118" i="6"/>
  <c r="CZ118" i="6"/>
  <c r="DE118" i="6"/>
  <c r="AA3567" i="5"/>
  <c r="Y3567" i="5"/>
  <c r="Z3567" i="5"/>
  <c r="AA4558" i="5"/>
  <c r="Y4558" i="5"/>
  <c r="Z4558" i="5"/>
  <c r="AA598" i="5"/>
  <c r="Y598" i="5"/>
  <c r="Z598" i="5"/>
  <c r="AA103" i="5"/>
  <c r="Y103" i="5"/>
  <c r="Z103" i="5"/>
  <c r="AA1093" i="5"/>
  <c r="Z1093" i="5"/>
  <c r="Y1093" i="5"/>
  <c r="DA119" i="6"/>
  <c r="DL119" i="6"/>
  <c r="DG119" i="6"/>
  <c r="DF119" i="6"/>
  <c r="CK116" i="6"/>
  <c r="CF116" i="6"/>
  <c r="CQ116" i="6"/>
  <c r="CL116" i="6"/>
  <c r="Y2577" i="5"/>
  <c r="AA2577" i="5"/>
  <c r="Z2577" i="5"/>
  <c r="AP110" i="6"/>
  <c r="BA110" i="6"/>
  <c r="AV110" i="6"/>
  <c r="AU110" i="6"/>
  <c r="AA5548" i="5"/>
  <c r="Y5548" i="5"/>
  <c r="Z5548" i="5"/>
  <c r="AA2082" i="5"/>
  <c r="Y2082" i="5"/>
  <c r="Z2082" i="5"/>
  <c r="AA2578" i="5"/>
  <c r="Y2578" i="5"/>
  <c r="Z2578" i="5"/>
  <c r="CK115" i="6"/>
  <c r="CF115" i="6"/>
  <c r="CQ115" i="6"/>
  <c r="CL115" i="6"/>
  <c r="CE114" i="6"/>
  <c r="BY114" i="6"/>
  <c r="CD114" i="6"/>
  <c r="CJ114" i="6"/>
  <c r="CS117" i="6"/>
  <c r="CR117" i="6"/>
  <c r="CM117" i="6"/>
  <c r="CX117" i="6"/>
  <c r="AO109" i="6"/>
  <c r="AN109" i="6"/>
  <c r="AT109" i="6"/>
  <c r="AA102" i="5"/>
  <c r="Y102" i="5"/>
  <c r="Z102" i="5"/>
  <c r="DO121" i="6"/>
  <c r="DY121" i="6"/>
  <c r="AA4063" i="5"/>
  <c r="Y4063" i="5"/>
  <c r="Z4063" i="5"/>
  <c r="BP112" i="6"/>
  <c r="BK112" i="6"/>
  <c r="BQ112" i="6"/>
  <c r="BV112" i="6"/>
  <c r="BP113" i="6"/>
  <c r="BK113" i="6"/>
  <c r="BQ113" i="6"/>
  <c r="BV113" i="6"/>
  <c r="AA5053" i="5"/>
  <c r="Z5053" i="5"/>
  <c r="Y5053" i="5"/>
  <c r="Y4062" i="5"/>
  <c r="AA4062" i="5"/>
  <c r="Z4062" i="5"/>
  <c r="Y6043" i="5"/>
  <c r="Z6043" i="5"/>
  <c r="Z122" i="6"/>
  <c r="R122" i="6"/>
  <c r="J122" i="6"/>
  <c r="X122" i="6"/>
  <c r="N122" i="6"/>
  <c r="D122" i="6"/>
  <c r="H122" i="6"/>
  <c r="V122" i="6"/>
  <c r="P122" i="6"/>
  <c r="F122" i="6"/>
  <c r="T122" i="6"/>
  <c r="L122" i="6"/>
  <c r="AM122" i="6"/>
  <c r="AB122" i="6"/>
  <c r="DT122" i="6" s="1"/>
  <c r="AI122" i="6"/>
  <c r="AK122" i="6"/>
  <c r="DX121" i="6"/>
  <c r="AA6044" i="5" s="1"/>
  <c r="EF123" i="6"/>
  <c r="BD112" i="6" l="1"/>
  <c r="BI112" i="6"/>
  <c r="BO112" i="6"/>
  <c r="BJ112" i="6"/>
  <c r="AA4559" i="5"/>
  <c r="Y4559" i="5"/>
  <c r="Z4559" i="5"/>
  <c r="AA1588" i="5"/>
  <c r="Y1588" i="5"/>
  <c r="Z1588" i="5"/>
  <c r="AA4064" i="5"/>
  <c r="Y4064" i="5"/>
  <c r="Z4064" i="5"/>
  <c r="AA3073" i="5"/>
  <c r="Y3073" i="5"/>
  <c r="Z3073" i="5"/>
  <c r="AO110" i="6"/>
  <c r="AT110" i="6"/>
  <c r="AN110" i="6"/>
  <c r="BC111" i="6"/>
  <c r="AW111" i="6"/>
  <c r="BH111" i="6"/>
  <c r="BB111" i="6"/>
  <c r="DO122" i="6"/>
  <c r="DY122" i="6"/>
  <c r="CY119" i="6"/>
  <c r="DE119" i="6"/>
  <c r="CZ119" i="6"/>
  <c r="CT119" i="6"/>
  <c r="AA2084" i="5"/>
  <c r="Z2084" i="5"/>
  <c r="Y2084" i="5"/>
  <c r="AA2083" i="5"/>
  <c r="Y2083" i="5"/>
  <c r="Z2083" i="5"/>
  <c r="DH121" i="6"/>
  <c r="DM121" i="6"/>
  <c r="DN121" i="6"/>
  <c r="DS121" i="6"/>
  <c r="AA104" i="5"/>
  <c r="Z104" i="5"/>
  <c r="Y104" i="5"/>
  <c r="CK117" i="6"/>
  <c r="CF117" i="6"/>
  <c r="CQ117" i="6"/>
  <c r="CL117" i="6"/>
  <c r="AA3568" i="5"/>
  <c r="Z3568" i="5"/>
  <c r="Y3568" i="5"/>
  <c r="AA3569" i="5"/>
  <c r="Y3569" i="5"/>
  <c r="Z3569" i="5"/>
  <c r="CS118" i="6"/>
  <c r="CM118" i="6"/>
  <c r="CR118" i="6"/>
  <c r="CX118" i="6"/>
  <c r="DA120" i="6"/>
  <c r="DG120" i="6"/>
  <c r="DF120" i="6"/>
  <c r="DL120" i="6"/>
  <c r="BJ113" i="6"/>
  <c r="BD113" i="6"/>
  <c r="BI113" i="6"/>
  <c r="BO113" i="6"/>
  <c r="AA599" i="5"/>
  <c r="Y599" i="5"/>
  <c r="Z599" i="5"/>
  <c r="BX114" i="6"/>
  <c r="CC114" i="6"/>
  <c r="BR114" i="6"/>
  <c r="BW114" i="6"/>
  <c r="BY115" i="6"/>
  <c r="CE115" i="6"/>
  <c r="CD115" i="6"/>
  <c r="CJ115" i="6"/>
  <c r="CE116" i="6"/>
  <c r="BY116" i="6"/>
  <c r="CD116" i="6"/>
  <c r="CJ116" i="6"/>
  <c r="AA5054" i="5"/>
  <c r="Y5054" i="5"/>
  <c r="Z5054" i="5"/>
  <c r="Y5549" i="5"/>
  <c r="Z5549" i="5"/>
  <c r="AA5549" i="5"/>
  <c r="Y6044" i="5"/>
  <c r="Z6044" i="5"/>
  <c r="DX122" i="6"/>
  <c r="AA6045" i="5" s="1"/>
  <c r="EF124" i="6"/>
  <c r="EG123" i="6"/>
  <c r="EH123" i="6" s="1"/>
  <c r="AA123" i="6" s="1"/>
  <c r="BY117" i="6" l="1"/>
  <c r="CE117" i="6"/>
  <c r="CD117" i="6"/>
  <c r="CJ117" i="6"/>
  <c r="DA121" i="6"/>
  <c r="DG121" i="6"/>
  <c r="DF121" i="6"/>
  <c r="DL121" i="6"/>
  <c r="DS122" i="6"/>
  <c r="DH122" i="6"/>
  <c r="DM122" i="6"/>
  <c r="DN122" i="6"/>
  <c r="AA3075" i="5"/>
  <c r="Y3075" i="5"/>
  <c r="Z3075" i="5"/>
  <c r="AA3074" i="5"/>
  <c r="Y3074" i="5"/>
  <c r="Z3074" i="5"/>
  <c r="AA5550" i="5"/>
  <c r="Y5550" i="5"/>
  <c r="Z5550" i="5"/>
  <c r="AA4560" i="5"/>
  <c r="Z4560" i="5"/>
  <c r="Y4560" i="5"/>
  <c r="AA1589" i="5"/>
  <c r="Z1589" i="5"/>
  <c r="Y1589" i="5"/>
  <c r="BX115" i="6"/>
  <c r="BR115" i="6"/>
  <c r="CC115" i="6"/>
  <c r="BW115" i="6"/>
  <c r="AA1590" i="5"/>
  <c r="Y1590" i="5"/>
  <c r="Z1590" i="5"/>
  <c r="AA5055" i="5"/>
  <c r="Z5055" i="5"/>
  <c r="Y5055" i="5"/>
  <c r="AA4065" i="5"/>
  <c r="Y4065" i="5"/>
  <c r="Z4065" i="5"/>
  <c r="BP114" i="6"/>
  <c r="BK114" i="6"/>
  <c r="BQ114" i="6"/>
  <c r="BV114" i="6"/>
  <c r="BC113" i="6"/>
  <c r="AW113" i="6"/>
  <c r="BB113" i="6"/>
  <c r="BH113" i="6"/>
  <c r="CK118" i="6"/>
  <c r="CF118" i="6"/>
  <c r="CL118" i="6"/>
  <c r="CQ118" i="6"/>
  <c r="AA1094" i="5"/>
  <c r="Z1094" i="5"/>
  <c r="Y1094" i="5"/>
  <c r="AA105" i="5"/>
  <c r="Z105" i="5"/>
  <c r="Y105" i="5"/>
  <c r="BX116" i="6"/>
  <c r="BR116" i="6"/>
  <c r="CC116" i="6"/>
  <c r="BW116" i="6"/>
  <c r="AA2579" i="5"/>
  <c r="Z2579" i="5"/>
  <c r="Y2579" i="5"/>
  <c r="CY120" i="6"/>
  <c r="CT120" i="6"/>
  <c r="DE120" i="6"/>
  <c r="CZ120" i="6"/>
  <c r="AA3570" i="5"/>
  <c r="Y3570" i="5"/>
  <c r="Z3570" i="5"/>
  <c r="CS119" i="6"/>
  <c r="CX119" i="6"/>
  <c r="CM119" i="6"/>
  <c r="CR119" i="6"/>
  <c r="AP111" i="6"/>
  <c r="BA111" i="6"/>
  <c r="AV111" i="6"/>
  <c r="AU111" i="6"/>
  <c r="BC112" i="6"/>
  <c r="AW112" i="6"/>
  <c r="BB112" i="6"/>
  <c r="BH112" i="6"/>
  <c r="Y6045" i="5"/>
  <c r="Z6045" i="5"/>
  <c r="X123" i="6"/>
  <c r="P123" i="6"/>
  <c r="H123" i="6"/>
  <c r="D123" i="6"/>
  <c r="V123" i="6"/>
  <c r="L123" i="6"/>
  <c r="F123" i="6"/>
  <c r="T123" i="6"/>
  <c r="N123" i="6"/>
  <c r="Z123" i="6"/>
  <c r="R123" i="6"/>
  <c r="J123" i="6"/>
  <c r="AI123" i="6"/>
  <c r="AK123" i="6"/>
  <c r="AB123" i="6"/>
  <c r="DT123" i="6" s="1"/>
  <c r="AM123" i="6"/>
  <c r="EF125" i="6"/>
  <c r="EG125" i="6" s="1"/>
  <c r="EH125" i="6" s="1"/>
  <c r="AA125" i="6" s="1"/>
  <c r="EG124" i="6"/>
  <c r="EH124" i="6" s="1"/>
  <c r="AA124" i="6" s="1"/>
  <c r="Y1095" i="5" l="1"/>
  <c r="AA1095" i="5"/>
  <c r="Z1095" i="5"/>
  <c r="AA4561" i="5"/>
  <c r="Z4561" i="5"/>
  <c r="Y4561" i="5"/>
  <c r="AA1096" i="5"/>
  <c r="Z1096" i="5"/>
  <c r="Y1096" i="5"/>
  <c r="AA2085" i="5"/>
  <c r="Z2085" i="5"/>
  <c r="Y2085" i="5"/>
  <c r="AA5056" i="5"/>
  <c r="Z5056" i="5"/>
  <c r="Y5056" i="5"/>
  <c r="AA3076" i="5"/>
  <c r="Y3076" i="5"/>
  <c r="Z3076" i="5"/>
  <c r="CK119" i="6"/>
  <c r="CF119" i="6"/>
  <c r="CQ119" i="6"/>
  <c r="CL119" i="6"/>
  <c r="CS120" i="6"/>
  <c r="CX120" i="6"/>
  <c r="CR120" i="6"/>
  <c r="CM120" i="6"/>
  <c r="BP116" i="6"/>
  <c r="BK116" i="6"/>
  <c r="BQ116" i="6"/>
  <c r="BV116" i="6"/>
  <c r="AP112" i="6"/>
  <c r="AV112" i="6"/>
  <c r="AU112" i="6"/>
  <c r="BA112" i="6"/>
  <c r="AA600" i="5"/>
  <c r="Y600" i="5"/>
  <c r="Z600" i="5"/>
  <c r="AA4066" i="5"/>
  <c r="Z4066" i="5"/>
  <c r="Y4066" i="5"/>
  <c r="CE118" i="6"/>
  <c r="BY118" i="6"/>
  <c r="CD118" i="6"/>
  <c r="CJ118" i="6"/>
  <c r="AP113" i="6"/>
  <c r="AV113" i="6"/>
  <c r="AU113" i="6"/>
  <c r="BA113" i="6"/>
  <c r="BD114" i="6"/>
  <c r="BI114" i="6"/>
  <c r="BJ114" i="6"/>
  <c r="BO114" i="6"/>
  <c r="AA2580" i="5"/>
  <c r="Z2580" i="5"/>
  <c r="Y2580" i="5"/>
  <c r="DA122" i="6"/>
  <c r="DG122" i="6"/>
  <c r="DL122" i="6"/>
  <c r="DF122" i="6"/>
  <c r="AA3571" i="5"/>
  <c r="Z3571" i="5"/>
  <c r="Y3571" i="5"/>
  <c r="DO123" i="6"/>
  <c r="DY123" i="6"/>
  <c r="AO111" i="6"/>
  <c r="AN111" i="6"/>
  <c r="AT111" i="6"/>
  <c r="Y2581" i="5"/>
  <c r="Z2581" i="5"/>
  <c r="AA2581" i="5"/>
  <c r="BP115" i="6"/>
  <c r="BK115" i="6"/>
  <c r="BQ115" i="6"/>
  <c r="BV115" i="6"/>
  <c r="AA5551" i="5"/>
  <c r="Y5551" i="5"/>
  <c r="Z5551" i="5"/>
  <c r="CY121" i="6"/>
  <c r="DE121" i="6"/>
  <c r="CZ121" i="6"/>
  <c r="CT121" i="6"/>
  <c r="BX117" i="6"/>
  <c r="BR117" i="6"/>
  <c r="CC117" i="6"/>
  <c r="BW117" i="6"/>
  <c r="F125" i="6"/>
  <c r="V125" i="6"/>
  <c r="N125" i="6"/>
  <c r="T125" i="6"/>
  <c r="L125" i="6"/>
  <c r="R125" i="6"/>
  <c r="H125" i="6"/>
  <c r="Z125" i="6"/>
  <c r="X125" i="6"/>
  <c r="P125" i="6"/>
  <c r="D125" i="6"/>
  <c r="J125" i="6"/>
  <c r="AI125" i="6"/>
  <c r="AB125" i="6"/>
  <c r="DT125" i="6" s="1"/>
  <c r="AK125" i="6"/>
  <c r="AM125" i="6"/>
  <c r="T124" i="6"/>
  <c r="N124" i="6"/>
  <c r="D124" i="6"/>
  <c r="R124" i="6"/>
  <c r="J124" i="6"/>
  <c r="F124" i="6"/>
  <c r="P124" i="6"/>
  <c r="L124" i="6"/>
  <c r="V124" i="6"/>
  <c r="X124" i="6"/>
  <c r="H124" i="6"/>
  <c r="Z124" i="6"/>
  <c r="AK124" i="6"/>
  <c r="AM124" i="6"/>
  <c r="AI124" i="6"/>
  <c r="AB124" i="6"/>
  <c r="DT124" i="6" s="1"/>
  <c r="DX123" i="6"/>
  <c r="AA6046" i="5" s="1"/>
  <c r="EF126" i="6"/>
  <c r="AA2582" i="5" l="1"/>
  <c r="Y2582" i="5"/>
  <c r="Z2582" i="5"/>
  <c r="AA1591" i="5"/>
  <c r="Y1591" i="5"/>
  <c r="Z1591" i="5"/>
  <c r="BD116" i="6"/>
  <c r="BI116" i="6"/>
  <c r="BJ116" i="6"/>
  <c r="BO116" i="6"/>
  <c r="Y4067" i="5"/>
  <c r="Z4067" i="5"/>
  <c r="AA4067" i="5"/>
  <c r="DO125" i="6"/>
  <c r="DY125" i="6"/>
  <c r="BP117" i="6"/>
  <c r="BK117" i="6"/>
  <c r="BQ117" i="6"/>
  <c r="BV117" i="6"/>
  <c r="AA4562" i="5"/>
  <c r="Y4562" i="5"/>
  <c r="Z4562" i="5"/>
  <c r="AA106" i="5"/>
  <c r="Z106" i="5"/>
  <c r="Y106" i="5"/>
  <c r="DS123" i="6"/>
  <c r="DM123" i="6"/>
  <c r="DH123" i="6"/>
  <c r="DN123" i="6"/>
  <c r="AO112" i="6"/>
  <c r="AN112" i="6"/>
  <c r="AT112" i="6"/>
  <c r="CY122" i="6"/>
  <c r="CT122" i="6"/>
  <c r="CZ122" i="6"/>
  <c r="DE122" i="6"/>
  <c r="AA3077" i="5"/>
  <c r="Z3077" i="5"/>
  <c r="Y3077" i="5"/>
  <c r="BY119" i="6"/>
  <c r="CE119" i="6"/>
  <c r="CD119" i="6"/>
  <c r="CJ119" i="6"/>
  <c r="AA2086" i="5"/>
  <c r="Y2086" i="5"/>
  <c r="Z2086" i="5"/>
  <c r="AA5057" i="5"/>
  <c r="Y5057" i="5"/>
  <c r="Z5057" i="5"/>
  <c r="BX118" i="6"/>
  <c r="CC118" i="6"/>
  <c r="BR118" i="6"/>
  <c r="BW118" i="6"/>
  <c r="AA601" i="5"/>
  <c r="Z601" i="5"/>
  <c r="Y601" i="5"/>
  <c r="AA2087" i="5"/>
  <c r="Z2087" i="5"/>
  <c r="Y2087" i="5"/>
  <c r="CK120" i="6"/>
  <c r="CF120" i="6"/>
  <c r="CL120" i="6"/>
  <c r="CQ120" i="6"/>
  <c r="BJ115" i="6"/>
  <c r="BI115" i="6"/>
  <c r="BD115" i="6"/>
  <c r="BO115" i="6"/>
  <c r="AA602" i="5"/>
  <c r="Y602" i="5"/>
  <c r="Z602" i="5"/>
  <c r="DO124" i="6"/>
  <c r="DY124" i="6"/>
  <c r="CS121" i="6"/>
  <c r="CR121" i="6"/>
  <c r="CM121" i="6"/>
  <c r="CX121" i="6"/>
  <c r="BC114" i="6"/>
  <c r="AW114" i="6"/>
  <c r="BH114" i="6"/>
  <c r="BB114" i="6"/>
  <c r="AO113" i="6"/>
  <c r="AN113" i="6"/>
  <c r="AT113" i="6"/>
  <c r="AA3572" i="5"/>
  <c r="Z3572" i="5"/>
  <c r="Y3572" i="5"/>
  <c r="Y6046" i="5"/>
  <c r="Z6046" i="5"/>
  <c r="DX124" i="6"/>
  <c r="AA6047" i="5" s="1"/>
  <c r="EF127" i="6"/>
  <c r="EG126" i="6"/>
  <c r="EH126" i="6" s="1"/>
  <c r="AA126" i="6" s="1"/>
  <c r="DX125" i="6"/>
  <c r="AA6048" i="5" s="1"/>
  <c r="BX119" i="6" l="1"/>
  <c r="BR119" i="6"/>
  <c r="CC119" i="6"/>
  <c r="BW119" i="6"/>
  <c r="AA107" i="5"/>
  <c r="Z107" i="5"/>
  <c r="Y107" i="5"/>
  <c r="AA108" i="5"/>
  <c r="Z108" i="5"/>
  <c r="Y108" i="5"/>
  <c r="AA1097" i="5"/>
  <c r="Y1097" i="5"/>
  <c r="Z1097" i="5"/>
  <c r="CK121" i="6"/>
  <c r="CQ121" i="6"/>
  <c r="CL121" i="6"/>
  <c r="CF121" i="6"/>
  <c r="DS124" i="6"/>
  <c r="DH124" i="6"/>
  <c r="DN124" i="6"/>
  <c r="DM124" i="6"/>
  <c r="AA1592" i="5"/>
  <c r="Y1592" i="5"/>
  <c r="Z1592" i="5"/>
  <c r="AA3573" i="5"/>
  <c r="Y3573" i="5"/>
  <c r="Z3573" i="5"/>
  <c r="AA2583" i="5"/>
  <c r="Y2583" i="5"/>
  <c r="Z2583" i="5"/>
  <c r="AA3078" i="5"/>
  <c r="Y3078" i="5"/>
  <c r="Z3078" i="5"/>
  <c r="AA2088" i="5"/>
  <c r="Y2088" i="5"/>
  <c r="Z2088" i="5"/>
  <c r="BC116" i="6"/>
  <c r="AW116" i="6"/>
  <c r="BB116" i="6"/>
  <c r="BH116" i="6"/>
  <c r="AA4068" i="5"/>
  <c r="Y4068" i="5"/>
  <c r="Z4068" i="5"/>
  <c r="DA123" i="6"/>
  <c r="DF123" i="6"/>
  <c r="DG123" i="6"/>
  <c r="DL123" i="6"/>
  <c r="BC115" i="6"/>
  <c r="AW115" i="6"/>
  <c r="BH115" i="6"/>
  <c r="BB115" i="6"/>
  <c r="CS122" i="6"/>
  <c r="CM122" i="6"/>
  <c r="CR122" i="6"/>
  <c r="CX122" i="6"/>
  <c r="AA5552" i="5"/>
  <c r="Z5552" i="5"/>
  <c r="Y5552" i="5"/>
  <c r="DH125" i="6"/>
  <c r="DS125" i="6"/>
  <c r="DN125" i="6"/>
  <c r="DM125" i="6"/>
  <c r="AA1593" i="5"/>
  <c r="Z1593" i="5"/>
  <c r="Y1593" i="5"/>
  <c r="BP118" i="6"/>
  <c r="BK118" i="6"/>
  <c r="BQ118" i="6"/>
  <c r="BV118" i="6"/>
  <c r="AA4563" i="5"/>
  <c r="Y4563" i="5"/>
  <c r="Z4563" i="5"/>
  <c r="AP114" i="6"/>
  <c r="AV114" i="6"/>
  <c r="AU114" i="6"/>
  <c r="BA114" i="6"/>
  <c r="CE120" i="6"/>
  <c r="BY120" i="6"/>
  <c r="CD120" i="6"/>
  <c r="CJ120" i="6"/>
  <c r="BJ117" i="6"/>
  <c r="BD117" i="6"/>
  <c r="BI117" i="6"/>
  <c r="BO117" i="6"/>
  <c r="Y6048" i="5"/>
  <c r="Z6048" i="5"/>
  <c r="Y6047" i="5"/>
  <c r="Z6047" i="5"/>
  <c r="EF128" i="6"/>
  <c r="EG127" i="6"/>
  <c r="EH127" i="6" s="1"/>
  <c r="AA127" i="6" s="1"/>
  <c r="T126" i="6"/>
  <c r="L126" i="6"/>
  <c r="R126" i="6"/>
  <c r="J126" i="6"/>
  <c r="X126" i="6"/>
  <c r="N126" i="6"/>
  <c r="D126" i="6"/>
  <c r="V126" i="6"/>
  <c r="P126" i="6"/>
  <c r="F126" i="6"/>
  <c r="Z126" i="6"/>
  <c r="H126" i="6"/>
  <c r="AM126" i="6"/>
  <c r="AK126" i="6"/>
  <c r="AI126" i="6"/>
  <c r="AB126" i="6"/>
  <c r="DT126" i="6" s="1"/>
  <c r="AA1594" i="5" l="1"/>
  <c r="Z1594" i="5"/>
  <c r="Y1594" i="5"/>
  <c r="BD118" i="6"/>
  <c r="BJ118" i="6"/>
  <c r="BI118" i="6"/>
  <c r="BO118" i="6"/>
  <c r="DA125" i="6"/>
  <c r="DG125" i="6"/>
  <c r="DL125" i="6"/>
  <c r="DF125" i="6"/>
  <c r="AA4069" i="5"/>
  <c r="Y4069" i="5"/>
  <c r="Z4069" i="5"/>
  <c r="AA5058" i="5"/>
  <c r="Y5058" i="5"/>
  <c r="Z5058" i="5"/>
  <c r="DA124" i="6"/>
  <c r="DG124" i="6"/>
  <c r="DF124" i="6"/>
  <c r="DL124" i="6"/>
  <c r="AA3574" i="5"/>
  <c r="Y3574" i="5"/>
  <c r="Z3574" i="5"/>
  <c r="AA2584" i="5"/>
  <c r="Z2584" i="5"/>
  <c r="Y2584" i="5"/>
  <c r="AA3079" i="5"/>
  <c r="Z3079" i="5"/>
  <c r="Y3079" i="5"/>
  <c r="AA603" i="5"/>
  <c r="Y603" i="5"/>
  <c r="Z603" i="5"/>
  <c r="AA5554" i="5"/>
  <c r="Y5554" i="5"/>
  <c r="Z5554" i="5"/>
  <c r="Y1099" i="5"/>
  <c r="AA1099" i="5"/>
  <c r="Z1099" i="5"/>
  <c r="DO126" i="6"/>
  <c r="DY126" i="6"/>
  <c r="BC117" i="6"/>
  <c r="AW117" i="6"/>
  <c r="BB117" i="6"/>
  <c r="BH117" i="6"/>
  <c r="BX120" i="6"/>
  <c r="BR120" i="6"/>
  <c r="CC120" i="6"/>
  <c r="BW120" i="6"/>
  <c r="AA1098" i="5"/>
  <c r="Y1098" i="5"/>
  <c r="Z1098" i="5"/>
  <c r="AP116" i="6"/>
  <c r="AU116" i="6"/>
  <c r="BA116" i="6"/>
  <c r="AV116" i="6"/>
  <c r="Y5553" i="5"/>
  <c r="AA5553" i="5"/>
  <c r="Z5553" i="5"/>
  <c r="BP119" i="6"/>
  <c r="BK119" i="6"/>
  <c r="BQ119" i="6"/>
  <c r="BV119" i="6"/>
  <c r="CY123" i="6"/>
  <c r="DE123" i="6"/>
  <c r="CZ123" i="6"/>
  <c r="CT123" i="6"/>
  <c r="AO114" i="6"/>
  <c r="AT114" i="6"/>
  <c r="AN114" i="6"/>
  <c r="AA2089" i="5"/>
  <c r="Y2089" i="5"/>
  <c r="Z2089" i="5"/>
  <c r="CK122" i="6"/>
  <c r="CF122" i="6"/>
  <c r="CL122" i="6"/>
  <c r="CQ122" i="6"/>
  <c r="AP115" i="6"/>
  <c r="AV115" i="6"/>
  <c r="AU115" i="6"/>
  <c r="BA115" i="6"/>
  <c r="BY121" i="6"/>
  <c r="CE121" i="6"/>
  <c r="CD121" i="6"/>
  <c r="CJ121" i="6"/>
  <c r="D127" i="6"/>
  <c r="R127" i="6"/>
  <c r="J127" i="6"/>
  <c r="F127" i="6"/>
  <c r="X127" i="6"/>
  <c r="P127" i="6"/>
  <c r="H127" i="6"/>
  <c r="Z127" i="6"/>
  <c r="V127" i="6"/>
  <c r="N127" i="6"/>
  <c r="T127" i="6"/>
  <c r="L127" i="6"/>
  <c r="AI127" i="6"/>
  <c r="AK127" i="6"/>
  <c r="AB127" i="6"/>
  <c r="DT127" i="6" s="1"/>
  <c r="AM127" i="6"/>
  <c r="DX126" i="6"/>
  <c r="AA6049" i="5" s="1"/>
  <c r="EF129" i="6"/>
  <c r="EG128" i="6"/>
  <c r="EH128" i="6" s="1"/>
  <c r="AA128" i="6" s="1"/>
  <c r="Y2585" i="5" l="1"/>
  <c r="AA2585" i="5"/>
  <c r="Z2585" i="5"/>
  <c r="CY125" i="6"/>
  <c r="DE125" i="6"/>
  <c r="CZ125" i="6"/>
  <c r="CT125" i="6"/>
  <c r="CE122" i="6"/>
  <c r="BY122" i="6"/>
  <c r="CD122" i="6"/>
  <c r="CJ122" i="6"/>
  <c r="CS123" i="6"/>
  <c r="CX123" i="6"/>
  <c r="CM123" i="6"/>
  <c r="CR123" i="6"/>
  <c r="AA2090" i="5"/>
  <c r="Z2090" i="5"/>
  <c r="Y2090" i="5"/>
  <c r="AA605" i="5"/>
  <c r="Z605" i="5"/>
  <c r="Y605" i="5"/>
  <c r="BP120" i="6"/>
  <c r="BK120" i="6"/>
  <c r="BQ120" i="6"/>
  <c r="BV120" i="6"/>
  <c r="AP117" i="6"/>
  <c r="AU117" i="6"/>
  <c r="BA117" i="6"/>
  <c r="AV117" i="6"/>
  <c r="AA1595" i="5"/>
  <c r="Y1595" i="5"/>
  <c r="Z1595" i="5"/>
  <c r="DO127" i="6"/>
  <c r="DY127" i="6"/>
  <c r="BC118" i="6"/>
  <c r="AW118" i="6"/>
  <c r="BH118" i="6"/>
  <c r="BB118" i="6"/>
  <c r="BX121" i="6"/>
  <c r="BR121" i="6"/>
  <c r="CC121" i="6"/>
  <c r="BW121" i="6"/>
  <c r="AO115" i="6"/>
  <c r="AN115" i="6"/>
  <c r="AT115" i="6"/>
  <c r="CY124" i="6"/>
  <c r="CT124" i="6"/>
  <c r="CZ124" i="6"/>
  <c r="DE124" i="6"/>
  <c r="AA5060" i="5"/>
  <c r="Y5060" i="5"/>
  <c r="Z5060" i="5"/>
  <c r="DS126" i="6"/>
  <c r="DH126" i="6"/>
  <c r="DM126" i="6"/>
  <c r="DN126" i="6"/>
  <c r="AA3080" i="5"/>
  <c r="Y3080" i="5"/>
  <c r="Z3080" i="5"/>
  <c r="AA604" i="5"/>
  <c r="Y604" i="5"/>
  <c r="Z604" i="5"/>
  <c r="AA3575" i="5"/>
  <c r="Y3575" i="5"/>
  <c r="Z3575" i="5"/>
  <c r="AA109" i="5"/>
  <c r="Y109" i="5"/>
  <c r="Z109" i="5"/>
  <c r="AA4564" i="5"/>
  <c r="Z4564" i="5"/>
  <c r="Y4564" i="5"/>
  <c r="BJ119" i="6"/>
  <c r="BI119" i="6"/>
  <c r="BD119" i="6"/>
  <c r="BO119" i="6"/>
  <c r="AO116" i="6"/>
  <c r="AN116" i="6"/>
  <c r="AT116" i="6"/>
  <c r="AA1100" i="5"/>
  <c r="Y1100" i="5"/>
  <c r="Z1100" i="5"/>
  <c r="AA5059" i="5"/>
  <c r="Y5059" i="5"/>
  <c r="Z5059" i="5"/>
  <c r="Y6049" i="5"/>
  <c r="Z6049" i="5"/>
  <c r="L128" i="6"/>
  <c r="P128" i="6"/>
  <c r="H128" i="6"/>
  <c r="V128" i="6"/>
  <c r="N128" i="6"/>
  <c r="D128" i="6"/>
  <c r="T128" i="6"/>
  <c r="R128" i="6"/>
  <c r="F128" i="6"/>
  <c r="X128" i="6"/>
  <c r="J128" i="6"/>
  <c r="AK128" i="6"/>
  <c r="AB128" i="6"/>
  <c r="DT128" i="6" s="1"/>
  <c r="AM128" i="6"/>
  <c r="Z128" i="6"/>
  <c r="AI128" i="6"/>
  <c r="EF130" i="6"/>
  <c r="DX127" i="6"/>
  <c r="AA6050" i="5" s="1"/>
  <c r="EG129" i="6"/>
  <c r="EH129" i="6" s="1"/>
  <c r="AA129" i="6" s="1"/>
  <c r="DO128" i="6" l="1"/>
  <c r="DY128" i="6"/>
  <c r="AA1596" i="5"/>
  <c r="Z1596" i="5"/>
  <c r="Y1596" i="5"/>
  <c r="CS124" i="6"/>
  <c r="CX124" i="6"/>
  <c r="CM124" i="6"/>
  <c r="CR124" i="6"/>
  <c r="BD120" i="6"/>
  <c r="BI120" i="6"/>
  <c r="BJ120" i="6"/>
  <c r="BO120" i="6"/>
  <c r="AA3081" i="5"/>
  <c r="Y3081" i="5"/>
  <c r="Z3081" i="5"/>
  <c r="CS125" i="6"/>
  <c r="CR125" i="6"/>
  <c r="CM125" i="6"/>
  <c r="CX125" i="6"/>
  <c r="BP121" i="6"/>
  <c r="BK121" i="6"/>
  <c r="BQ121" i="6"/>
  <c r="BV121" i="6"/>
  <c r="AA606" i="5"/>
  <c r="Y606" i="5"/>
  <c r="Z606" i="5"/>
  <c r="BC119" i="6"/>
  <c r="AW119" i="6"/>
  <c r="BH119" i="6"/>
  <c r="BB119" i="6"/>
  <c r="DA126" i="6"/>
  <c r="DL126" i="6"/>
  <c r="DF126" i="6"/>
  <c r="DG126" i="6"/>
  <c r="AO117" i="6"/>
  <c r="AN117" i="6"/>
  <c r="AT117" i="6"/>
  <c r="CK123" i="6"/>
  <c r="CQ123" i="6"/>
  <c r="CF123" i="6"/>
  <c r="CL123" i="6"/>
  <c r="AP118" i="6"/>
  <c r="AV118" i="6"/>
  <c r="AU118" i="6"/>
  <c r="BA118" i="6"/>
  <c r="AA111" i="5"/>
  <c r="Z111" i="5"/>
  <c r="Y111" i="5"/>
  <c r="AA5555" i="5"/>
  <c r="Y5555" i="5"/>
  <c r="Z5555" i="5"/>
  <c r="AA4565" i="5"/>
  <c r="Y4565" i="5"/>
  <c r="Z4565" i="5"/>
  <c r="AA110" i="5"/>
  <c r="Z110" i="5"/>
  <c r="Y110" i="5"/>
  <c r="AA2586" i="5"/>
  <c r="Y2586" i="5"/>
  <c r="Z2586" i="5"/>
  <c r="AA1101" i="5"/>
  <c r="Z1101" i="5"/>
  <c r="Y1101" i="5"/>
  <c r="DS127" i="6"/>
  <c r="DM127" i="6"/>
  <c r="DH127" i="6"/>
  <c r="DN127" i="6"/>
  <c r="AA2091" i="5"/>
  <c r="Y2091" i="5"/>
  <c r="Z2091" i="5"/>
  <c r="AA4070" i="5"/>
  <c r="Y4070" i="5"/>
  <c r="Z4070" i="5"/>
  <c r="BX122" i="6"/>
  <c r="CC122" i="6"/>
  <c r="BR122" i="6"/>
  <c r="BW122" i="6"/>
  <c r="AA4566" i="5"/>
  <c r="Y4566" i="5"/>
  <c r="Z4566" i="5"/>
  <c r="Y6050" i="5"/>
  <c r="Z6050" i="5"/>
  <c r="DX128" i="6"/>
  <c r="AA6051" i="5" s="1"/>
  <c r="EF131" i="6"/>
  <c r="EG130" i="6"/>
  <c r="EH130" i="6" s="1"/>
  <c r="AA130" i="6" s="1"/>
  <c r="D129" i="6"/>
  <c r="V129" i="6"/>
  <c r="N129" i="6"/>
  <c r="T129" i="6"/>
  <c r="L129" i="6"/>
  <c r="Z129" i="6"/>
  <c r="R129" i="6"/>
  <c r="H129" i="6"/>
  <c r="X129" i="6"/>
  <c r="P129" i="6"/>
  <c r="J129" i="6"/>
  <c r="F129" i="6"/>
  <c r="AI129" i="6"/>
  <c r="AM129" i="6"/>
  <c r="AK129" i="6"/>
  <c r="AB129" i="6"/>
  <c r="DT129" i="6" s="1"/>
  <c r="AA2587" i="5" l="1"/>
  <c r="Z2587" i="5"/>
  <c r="Y2587" i="5"/>
  <c r="CY126" i="6"/>
  <c r="CT126" i="6"/>
  <c r="CZ126" i="6"/>
  <c r="DE126" i="6"/>
  <c r="AA2092" i="5"/>
  <c r="Y2092" i="5"/>
  <c r="Z2092" i="5"/>
  <c r="AA4072" i="5"/>
  <c r="Y4072" i="5"/>
  <c r="Z4072" i="5"/>
  <c r="DA127" i="6"/>
  <c r="DL127" i="6"/>
  <c r="DG127" i="6"/>
  <c r="DF127" i="6"/>
  <c r="AO118" i="6"/>
  <c r="AT118" i="6"/>
  <c r="AN118" i="6"/>
  <c r="CK125" i="6"/>
  <c r="CF125" i="6"/>
  <c r="CQ125" i="6"/>
  <c r="CL125" i="6"/>
  <c r="AA4071" i="5"/>
  <c r="Y4071" i="5"/>
  <c r="Z4071" i="5"/>
  <c r="AA3576" i="5"/>
  <c r="Z3576" i="5"/>
  <c r="Y3576" i="5"/>
  <c r="CK124" i="6"/>
  <c r="CF124" i="6"/>
  <c r="CQ124" i="6"/>
  <c r="CL124" i="6"/>
  <c r="DO129" i="6"/>
  <c r="DY129" i="6"/>
  <c r="AA607" i="5"/>
  <c r="Y607" i="5"/>
  <c r="Z607" i="5"/>
  <c r="AA112" i="5"/>
  <c r="Z112" i="5"/>
  <c r="Y112" i="5"/>
  <c r="AA1102" i="5"/>
  <c r="Z1102" i="5"/>
  <c r="Y1102" i="5"/>
  <c r="BJ121" i="6"/>
  <c r="BD121" i="6"/>
  <c r="BI121" i="6"/>
  <c r="BO121" i="6"/>
  <c r="BC120" i="6"/>
  <c r="AW120" i="6"/>
  <c r="BB120" i="6"/>
  <c r="BH120" i="6"/>
  <c r="BP122" i="6"/>
  <c r="BK122" i="6"/>
  <c r="BQ122" i="6"/>
  <c r="BV122" i="6"/>
  <c r="AA5556" i="5"/>
  <c r="Y5556" i="5"/>
  <c r="Z5556" i="5"/>
  <c r="BY123" i="6"/>
  <c r="CE123" i="6"/>
  <c r="CD123" i="6"/>
  <c r="CJ123" i="6"/>
  <c r="AA5061" i="5"/>
  <c r="Y5061" i="5"/>
  <c r="Z5061" i="5"/>
  <c r="AP119" i="6"/>
  <c r="AV119" i="6"/>
  <c r="AU119" i="6"/>
  <c r="BA119" i="6"/>
  <c r="AA1597" i="5"/>
  <c r="Y1597" i="5"/>
  <c r="Z1597" i="5"/>
  <c r="DS128" i="6"/>
  <c r="DH128" i="6"/>
  <c r="DN128" i="6"/>
  <c r="DM128" i="6"/>
  <c r="Y6051" i="5"/>
  <c r="Z6051" i="5"/>
  <c r="T130" i="6"/>
  <c r="J130" i="6"/>
  <c r="H130" i="6"/>
  <c r="R130" i="6"/>
  <c r="D130" i="6"/>
  <c r="Z130" i="6"/>
  <c r="X130" i="6"/>
  <c r="N130" i="6"/>
  <c r="F130" i="6"/>
  <c r="V130" i="6"/>
  <c r="L130" i="6"/>
  <c r="P130" i="6"/>
  <c r="AM130" i="6"/>
  <c r="AK130" i="6"/>
  <c r="AB130" i="6"/>
  <c r="DT130" i="6" s="1"/>
  <c r="AI130" i="6"/>
  <c r="EF132" i="6"/>
  <c r="EG131" i="6"/>
  <c r="EH131" i="6" s="1"/>
  <c r="AA131" i="6" s="1"/>
  <c r="DX129" i="6"/>
  <c r="AA6052" i="5" s="1"/>
  <c r="AO119" i="6" l="1"/>
  <c r="AN119" i="6"/>
  <c r="AT119" i="6"/>
  <c r="AA3082" i="5"/>
  <c r="Y3082" i="5"/>
  <c r="Z3082" i="5"/>
  <c r="BD122" i="6"/>
  <c r="BI122" i="6"/>
  <c r="BJ122" i="6"/>
  <c r="BO122" i="6"/>
  <c r="AP120" i="6"/>
  <c r="BA120" i="6"/>
  <c r="AV120" i="6"/>
  <c r="AU120" i="6"/>
  <c r="BC121" i="6"/>
  <c r="AW121" i="6"/>
  <c r="BB121" i="6"/>
  <c r="BH121" i="6"/>
  <c r="DH129" i="6"/>
  <c r="DN129" i="6"/>
  <c r="DS129" i="6"/>
  <c r="DM129" i="6"/>
  <c r="AA3578" i="5"/>
  <c r="Y3578" i="5"/>
  <c r="Z3578" i="5"/>
  <c r="AA113" i="5"/>
  <c r="Z113" i="5"/>
  <c r="Y113" i="5"/>
  <c r="AA5062" i="5"/>
  <c r="Y5062" i="5"/>
  <c r="Z5062" i="5"/>
  <c r="AA4567" i="5"/>
  <c r="Y4567" i="5"/>
  <c r="Z4567" i="5"/>
  <c r="DA128" i="6"/>
  <c r="DG128" i="6"/>
  <c r="DL128" i="6"/>
  <c r="DF128" i="6"/>
  <c r="DO130" i="6"/>
  <c r="DY130" i="6"/>
  <c r="Y5557" i="5"/>
  <c r="AA5557" i="5"/>
  <c r="Z5557" i="5"/>
  <c r="AA608" i="5"/>
  <c r="Y608" i="5"/>
  <c r="Z608" i="5"/>
  <c r="BY125" i="6"/>
  <c r="CE125" i="6"/>
  <c r="CD125" i="6"/>
  <c r="CJ125" i="6"/>
  <c r="CY127" i="6"/>
  <c r="DE127" i="6"/>
  <c r="CZ127" i="6"/>
  <c r="CT127" i="6"/>
  <c r="CE124" i="6"/>
  <c r="BY124" i="6"/>
  <c r="CD124" i="6"/>
  <c r="CJ124" i="6"/>
  <c r="BX123" i="6"/>
  <c r="BR123" i="6"/>
  <c r="CC123" i="6"/>
  <c r="BW123" i="6"/>
  <c r="AA2093" i="5"/>
  <c r="Y2093" i="5"/>
  <c r="Z2093" i="5"/>
  <c r="AA1103" i="5"/>
  <c r="Y1103" i="5"/>
  <c r="Z1103" i="5"/>
  <c r="AA1598" i="5"/>
  <c r="Y1598" i="5"/>
  <c r="Z1598" i="5"/>
  <c r="AA3577" i="5"/>
  <c r="Y3577" i="5"/>
  <c r="Z3577" i="5"/>
  <c r="CS126" i="6"/>
  <c r="CM126" i="6"/>
  <c r="CX126" i="6"/>
  <c r="CR126" i="6"/>
  <c r="Y6052" i="5"/>
  <c r="Z6052" i="5"/>
  <c r="T131" i="6"/>
  <c r="J131" i="6"/>
  <c r="F131" i="6"/>
  <c r="Z131" i="6"/>
  <c r="R131" i="6"/>
  <c r="H131" i="6"/>
  <c r="D131" i="6"/>
  <c r="X131" i="6"/>
  <c r="P131" i="6"/>
  <c r="V131" i="6"/>
  <c r="L131" i="6"/>
  <c r="N131" i="6"/>
  <c r="AI131" i="6"/>
  <c r="AK131" i="6"/>
  <c r="AM131" i="6"/>
  <c r="AB131" i="6"/>
  <c r="DT131" i="6" s="1"/>
  <c r="EF133" i="6"/>
  <c r="EG133" i="6" s="1"/>
  <c r="EH133" i="6" s="1"/>
  <c r="AA133" i="6" s="1"/>
  <c r="DX130" i="6"/>
  <c r="AA6053" i="5" s="1"/>
  <c r="EG132" i="6"/>
  <c r="EH132" i="6" s="1"/>
  <c r="AA132" i="6" s="1"/>
  <c r="CK126" i="6" l="1"/>
  <c r="CF126" i="6"/>
  <c r="CL126" i="6"/>
  <c r="CQ126" i="6"/>
  <c r="BP123" i="6"/>
  <c r="BK123" i="6"/>
  <c r="BQ123" i="6"/>
  <c r="BV123" i="6"/>
  <c r="AA4568" i="5"/>
  <c r="Z4568" i="5"/>
  <c r="Y4568" i="5"/>
  <c r="CY128" i="6"/>
  <c r="CT128" i="6"/>
  <c r="DE128" i="6"/>
  <c r="CZ128" i="6"/>
  <c r="DA129" i="6"/>
  <c r="DG129" i="6"/>
  <c r="DF129" i="6"/>
  <c r="DL129" i="6"/>
  <c r="AO120" i="6"/>
  <c r="AN120" i="6"/>
  <c r="AT120" i="6"/>
  <c r="BC122" i="6"/>
  <c r="AW122" i="6"/>
  <c r="BH122" i="6"/>
  <c r="BB122" i="6"/>
  <c r="AA114" i="5"/>
  <c r="Z114" i="5"/>
  <c r="Y114" i="5"/>
  <c r="BX124" i="6"/>
  <c r="BR124" i="6"/>
  <c r="CC124" i="6"/>
  <c r="BW124" i="6"/>
  <c r="AA609" i="5"/>
  <c r="Z609" i="5"/>
  <c r="Y609" i="5"/>
  <c r="DS130" i="6"/>
  <c r="DH130" i="6"/>
  <c r="DM130" i="6"/>
  <c r="DN130" i="6"/>
  <c r="AA3083" i="5"/>
  <c r="Y3083" i="5"/>
  <c r="Z3083" i="5"/>
  <c r="CS127" i="6"/>
  <c r="CX127" i="6"/>
  <c r="CM127" i="6"/>
  <c r="CR127" i="6"/>
  <c r="AA3084" i="5"/>
  <c r="Z3084" i="5"/>
  <c r="Y3084" i="5"/>
  <c r="AA1104" i="5"/>
  <c r="Z1104" i="5"/>
  <c r="Y1104" i="5"/>
  <c r="AA1599" i="5"/>
  <c r="Y1599" i="5"/>
  <c r="Z1599" i="5"/>
  <c r="DO131" i="6"/>
  <c r="DY131" i="6"/>
  <c r="AP121" i="6"/>
  <c r="BA121" i="6"/>
  <c r="AV121" i="6"/>
  <c r="AU121" i="6"/>
  <c r="BX125" i="6"/>
  <c r="BR125" i="6"/>
  <c r="CC125" i="6"/>
  <c r="BW125" i="6"/>
  <c r="AA4073" i="5"/>
  <c r="Y4073" i="5"/>
  <c r="Z4073" i="5"/>
  <c r="AA2588" i="5"/>
  <c r="Z2588" i="5"/>
  <c r="Y2588" i="5"/>
  <c r="AA5063" i="5"/>
  <c r="Y5063" i="5"/>
  <c r="Z5063" i="5"/>
  <c r="AA5558" i="5"/>
  <c r="Y5558" i="5"/>
  <c r="Z5558" i="5"/>
  <c r="Y6053" i="5"/>
  <c r="Z6053" i="5"/>
  <c r="F133" i="6"/>
  <c r="X133" i="6"/>
  <c r="P133" i="6"/>
  <c r="J133" i="6"/>
  <c r="Z133" i="6"/>
  <c r="V133" i="6"/>
  <c r="N133" i="6"/>
  <c r="T133" i="6"/>
  <c r="L133" i="6"/>
  <c r="R133" i="6"/>
  <c r="H133" i="6"/>
  <c r="AM133" i="6"/>
  <c r="AB133" i="6"/>
  <c r="DT133" i="6" s="1"/>
  <c r="D133" i="6"/>
  <c r="AI133" i="6"/>
  <c r="AK133" i="6"/>
  <c r="X132" i="6"/>
  <c r="J132" i="6"/>
  <c r="F132" i="6"/>
  <c r="P132" i="6"/>
  <c r="H132" i="6"/>
  <c r="V132" i="6"/>
  <c r="R132" i="6"/>
  <c r="L132" i="6"/>
  <c r="T132" i="6"/>
  <c r="N132" i="6"/>
  <c r="D132" i="6"/>
  <c r="AK132" i="6"/>
  <c r="Z132" i="6"/>
  <c r="AM132" i="6"/>
  <c r="AB132" i="6"/>
  <c r="DT132" i="6" s="1"/>
  <c r="AI132" i="6"/>
  <c r="EF134" i="6"/>
  <c r="DX131" i="6"/>
  <c r="AA6054" i="5" s="1"/>
  <c r="AA610" i="5" l="1"/>
  <c r="Y610" i="5"/>
  <c r="Z610" i="5"/>
  <c r="CY129" i="6"/>
  <c r="DE129" i="6"/>
  <c r="CZ129" i="6"/>
  <c r="CT129" i="6"/>
  <c r="AA2094" i="5"/>
  <c r="Y2094" i="5"/>
  <c r="Z2094" i="5"/>
  <c r="AA3579" i="5"/>
  <c r="Y3579" i="5"/>
  <c r="Z3579" i="5"/>
  <c r="DO132" i="6"/>
  <c r="DY132" i="6"/>
  <c r="AO121" i="6"/>
  <c r="AN121" i="6"/>
  <c r="AT121" i="6"/>
  <c r="BP124" i="6"/>
  <c r="BK124" i="6"/>
  <c r="BQ124" i="6"/>
  <c r="BV124" i="6"/>
  <c r="AA5064" i="5"/>
  <c r="Y5064" i="5"/>
  <c r="Z5064" i="5"/>
  <c r="BP125" i="6"/>
  <c r="BK125" i="6"/>
  <c r="BQ125" i="6"/>
  <c r="BV125" i="6"/>
  <c r="AP122" i="6"/>
  <c r="AU122" i="6"/>
  <c r="BA122" i="6"/>
  <c r="AV122" i="6"/>
  <c r="CK127" i="6"/>
  <c r="CF127" i="6"/>
  <c r="CQ127" i="6"/>
  <c r="CL127" i="6"/>
  <c r="DA130" i="6"/>
  <c r="DG130" i="6"/>
  <c r="DF130" i="6"/>
  <c r="DL130" i="6"/>
  <c r="AA115" i="5"/>
  <c r="Z115" i="5"/>
  <c r="Y115" i="5"/>
  <c r="AA4569" i="5"/>
  <c r="Y4569" i="5"/>
  <c r="Z4569" i="5"/>
  <c r="BJ123" i="6"/>
  <c r="BI123" i="6"/>
  <c r="BD123" i="6"/>
  <c r="BO123" i="6"/>
  <c r="CE126" i="6"/>
  <c r="BY126" i="6"/>
  <c r="CD126" i="6"/>
  <c r="CJ126" i="6"/>
  <c r="Y2589" i="5"/>
  <c r="AA2589" i="5"/>
  <c r="Z2589" i="5"/>
  <c r="DO133" i="6"/>
  <c r="DY133" i="6"/>
  <c r="AA2590" i="5"/>
  <c r="Y2590" i="5"/>
  <c r="Z2590" i="5"/>
  <c r="DS131" i="6"/>
  <c r="DM131" i="6"/>
  <c r="DH131" i="6"/>
  <c r="DN131" i="6"/>
  <c r="AA4074" i="5"/>
  <c r="Z4074" i="5"/>
  <c r="Y4074" i="5"/>
  <c r="AA5559" i="5"/>
  <c r="Y5559" i="5"/>
  <c r="Z5559" i="5"/>
  <c r="AA1105" i="5"/>
  <c r="Y1105" i="5"/>
  <c r="Z1105" i="5"/>
  <c r="CS128" i="6"/>
  <c r="CX128" i="6"/>
  <c r="CR128" i="6"/>
  <c r="CM128" i="6"/>
  <c r="Y6054" i="5"/>
  <c r="Z6054" i="5"/>
  <c r="EF135" i="6"/>
  <c r="DX132" i="6"/>
  <c r="AA6055" i="5" s="1"/>
  <c r="EG134" i="6"/>
  <c r="EH134" i="6" s="1"/>
  <c r="AA134" i="6" s="1"/>
  <c r="DX133" i="6"/>
  <c r="AA6056" i="5" s="1"/>
  <c r="CK128" i="6" l="1"/>
  <c r="CF128" i="6"/>
  <c r="CL128" i="6"/>
  <c r="CQ128" i="6"/>
  <c r="BD124" i="6"/>
  <c r="BI124" i="6"/>
  <c r="BO124" i="6"/>
  <c r="BJ124" i="6"/>
  <c r="DH133" i="6"/>
  <c r="DN133" i="6"/>
  <c r="DS133" i="6"/>
  <c r="DM133" i="6"/>
  <c r="AA3085" i="5"/>
  <c r="Y3085" i="5"/>
  <c r="Z3085" i="5"/>
  <c r="AA1600" i="5"/>
  <c r="Y1600" i="5"/>
  <c r="Z1600" i="5"/>
  <c r="BY127" i="6"/>
  <c r="CE127" i="6"/>
  <c r="CD127" i="6"/>
  <c r="CJ127" i="6"/>
  <c r="BJ125" i="6"/>
  <c r="BD125" i="6"/>
  <c r="BI125" i="6"/>
  <c r="BO125" i="6"/>
  <c r="CS129" i="6"/>
  <c r="CR129" i="6"/>
  <c r="CM129" i="6"/>
  <c r="CX129" i="6"/>
  <c r="AA5560" i="5"/>
  <c r="Z5560" i="5"/>
  <c r="Y5560" i="5"/>
  <c r="AA611" i="5"/>
  <c r="Y611" i="5"/>
  <c r="Z611" i="5"/>
  <c r="AA4075" i="5"/>
  <c r="Y4075" i="5"/>
  <c r="Z4075" i="5"/>
  <c r="BC123" i="6"/>
  <c r="AW123" i="6"/>
  <c r="BH123" i="6"/>
  <c r="BB123" i="6"/>
  <c r="CY130" i="6"/>
  <c r="CT130" i="6"/>
  <c r="DE130" i="6"/>
  <c r="CZ130" i="6"/>
  <c r="AO122" i="6"/>
  <c r="AT122" i="6"/>
  <c r="AN122" i="6"/>
  <c r="AA2095" i="5"/>
  <c r="Y2095" i="5"/>
  <c r="Z2095" i="5"/>
  <c r="AA116" i="5"/>
  <c r="Y116" i="5"/>
  <c r="Z116" i="5"/>
  <c r="DS132" i="6"/>
  <c r="DH132" i="6"/>
  <c r="DN132" i="6"/>
  <c r="DM132" i="6"/>
  <c r="AA3580" i="5"/>
  <c r="Z3580" i="5"/>
  <c r="Y3580" i="5"/>
  <c r="DA131" i="6"/>
  <c r="DF131" i="6"/>
  <c r="DL131" i="6"/>
  <c r="DG131" i="6"/>
  <c r="BX126" i="6"/>
  <c r="CC126" i="6"/>
  <c r="BR126" i="6"/>
  <c r="BW126" i="6"/>
  <c r="AA5065" i="5"/>
  <c r="Y5065" i="5"/>
  <c r="Z5065" i="5"/>
  <c r="AA2096" i="5"/>
  <c r="Y2096" i="5"/>
  <c r="Z2096" i="5"/>
  <c r="AA4570" i="5"/>
  <c r="Y4570" i="5"/>
  <c r="Z4570" i="5"/>
  <c r="Y6055" i="5"/>
  <c r="Z6055" i="5"/>
  <c r="Y6056" i="5"/>
  <c r="Z6056" i="5"/>
  <c r="EF136" i="6"/>
  <c r="EG136" i="6" s="1"/>
  <c r="EH136" i="6" s="1"/>
  <c r="AA136" i="6" s="1"/>
  <c r="EG135" i="6"/>
  <c r="EH135" i="6" s="1"/>
  <c r="AA135" i="6" s="1"/>
  <c r="V134" i="6"/>
  <c r="L134" i="6"/>
  <c r="F134" i="6"/>
  <c r="Z134" i="6"/>
  <c r="T134" i="6"/>
  <c r="P134" i="6"/>
  <c r="R134" i="6"/>
  <c r="J134" i="6"/>
  <c r="X134" i="6"/>
  <c r="N134" i="6"/>
  <c r="D134" i="6"/>
  <c r="AM134" i="6"/>
  <c r="AI134" i="6"/>
  <c r="AK134" i="6"/>
  <c r="H134" i="6"/>
  <c r="AB134" i="6"/>
  <c r="DT134" i="6" s="1"/>
  <c r="CY131" i="6" l="1"/>
  <c r="DE131" i="6"/>
  <c r="CZ131" i="6"/>
  <c r="CT131" i="6"/>
  <c r="BC125" i="6"/>
  <c r="AW125" i="6"/>
  <c r="BB125" i="6"/>
  <c r="BH125" i="6"/>
  <c r="AA3581" i="5"/>
  <c r="Z3581" i="5"/>
  <c r="Y3581" i="5"/>
  <c r="DO134" i="6"/>
  <c r="DY134" i="6"/>
  <c r="BX127" i="6"/>
  <c r="BR127" i="6"/>
  <c r="CC127" i="6"/>
  <c r="BW127" i="6"/>
  <c r="AA5562" i="5"/>
  <c r="Y5562" i="5"/>
  <c r="Z5562" i="5"/>
  <c r="AA1601" i="5"/>
  <c r="Y1601" i="5"/>
  <c r="Z1601" i="5"/>
  <c r="BP126" i="6"/>
  <c r="BK126" i="6"/>
  <c r="BQ126" i="6"/>
  <c r="BV126" i="6"/>
  <c r="AA5066" i="5"/>
  <c r="Z5066" i="5"/>
  <c r="Y5066" i="5"/>
  <c r="DA132" i="6"/>
  <c r="DG132" i="6"/>
  <c r="DF132" i="6"/>
  <c r="DL132" i="6"/>
  <c r="AA4571" i="5"/>
  <c r="Z4571" i="5"/>
  <c r="Y4571" i="5"/>
  <c r="AA1106" i="5"/>
  <c r="Y1106" i="5"/>
  <c r="Z1106" i="5"/>
  <c r="AA4076" i="5"/>
  <c r="Y4076" i="5"/>
  <c r="Z4076" i="5"/>
  <c r="AA1602" i="5"/>
  <c r="Z1602" i="5"/>
  <c r="Y1602" i="5"/>
  <c r="AA3086" i="5"/>
  <c r="Z3086" i="5"/>
  <c r="Y3086" i="5"/>
  <c r="CE128" i="6"/>
  <c r="BY128" i="6"/>
  <c r="CD128" i="6"/>
  <c r="CJ128" i="6"/>
  <c r="AA2591" i="5"/>
  <c r="Y2591" i="5"/>
  <c r="Z2591" i="5"/>
  <c r="Y5561" i="5"/>
  <c r="AA5561" i="5"/>
  <c r="Z5561" i="5"/>
  <c r="AA117" i="5"/>
  <c r="Y117" i="5"/>
  <c r="Z117" i="5"/>
  <c r="CS130" i="6"/>
  <c r="CM130" i="6"/>
  <c r="CX130" i="6"/>
  <c r="CR130" i="6"/>
  <c r="AP123" i="6"/>
  <c r="AU123" i="6"/>
  <c r="BA123" i="6"/>
  <c r="AV123" i="6"/>
  <c r="CK129" i="6"/>
  <c r="CQ129" i="6"/>
  <c r="CF129" i="6"/>
  <c r="CL129" i="6"/>
  <c r="DA133" i="6"/>
  <c r="DG133" i="6"/>
  <c r="DF133" i="6"/>
  <c r="DL133" i="6"/>
  <c r="BC124" i="6"/>
  <c r="AW124" i="6"/>
  <c r="BB124" i="6"/>
  <c r="BH124" i="6"/>
  <c r="X136" i="6"/>
  <c r="N136" i="6"/>
  <c r="D136" i="6"/>
  <c r="T136" i="6"/>
  <c r="J136" i="6"/>
  <c r="F136" i="6"/>
  <c r="R136" i="6"/>
  <c r="L136" i="6"/>
  <c r="V136" i="6"/>
  <c r="P136" i="6"/>
  <c r="H136" i="6"/>
  <c r="AK136" i="6"/>
  <c r="AB136" i="6"/>
  <c r="DT136" i="6" s="1"/>
  <c r="Z136" i="6"/>
  <c r="AM136" i="6"/>
  <c r="AI136" i="6"/>
  <c r="DX134" i="6"/>
  <c r="AA6057" i="5" s="1"/>
  <c r="Z135" i="6"/>
  <c r="T135" i="6"/>
  <c r="J135" i="6"/>
  <c r="R135" i="6"/>
  <c r="N135" i="6"/>
  <c r="F135" i="6"/>
  <c r="X135" i="6"/>
  <c r="P135" i="6"/>
  <c r="H135" i="6"/>
  <c r="D135" i="6"/>
  <c r="V135" i="6"/>
  <c r="L135" i="6"/>
  <c r="AI135" i="6"/>
  <c r="AB135" i="6"/>
  <c r="DT135" i="6" s="1"/>
  <c r="AK135" i="6"/>
  <c r="AM135" i="6"/>
  <c r="EF137" i="6"/>
  <c r="CK130" i="6" l="1"/>
  <c r="CF130" i="6"/>
  <c r="CL130" i="6"/>
  <c r="CQ130" i="6"/>
  <c r="AA2592" i="5"/>
  <c r="Z2592" i="5"/>
  <c r="Y2592" i="5"/>
  <c r="AA1108" i="5"/>
  <c r="Y1108" i="5"/>
  <c r="Z1108" i="5"/>
  <c r="CY133" i="6"/>
  <c r="DE133" i="6"/>
  <c r="CZ133" i="6"/>
  <c r="CT133" i="6"/>
  <c r="BX128" i="6"/>
  <c r="BR128" i="6"/>
  <c r="CC128" i="6"/>
  <c r="BW128" i="6"/>
  <c r="CY132" i="6"/>
  <c r="CT132" i="6"/>
  <c r="CZ132" i="6"/>
  <c r="DE132" i="6"/>
  <c r="AA2097" i="5"/>
  <c r="Y2097" i="5"/>
  <c r="Z2097" i="5"/>
  <c r="BP127" i="6"/>
  <c r="BK127" i="6"/>
  <c r="BQ127" i="6"/>
  <c r="BV127" i="6"/>
  <c r="AP124" i="6"/>
  <c r="AV124" i="6"/>
  <c r="AU124" i="6"/>
  <c r="BA124" i="6"/>
  <c r="AA3582" i="5"/>
  <c r="Y3582" i="5"/>
  <c r="Z3582" i="5"/>
  <c r="CS131" i="6"/>
  <c r="CX131" i="6"/>
  <c r="CM131" i="6"/>
  <c r="CR131" i="6"/>
  <c r="AO123" i="6"/>
  <c r="AN123" i="6"/>
  <c r="AT123" i="6"/>
  <c r="AA1107" i="5"/>
  <c r="Y1107" i="5"/>
  <c r="Z1107" i="5"/>
  <c r="AA5068" i="5"/>
  <c r="Y5068" i="5"/>
  <c r="Z5068" i="5"/>
  <c r="AA5067" i="5"/>
  <c r="Y5067" i="5"/>
  <c r="Z5067" i="5"/>
  <c r="AP125" i="6"/>
  <c r="AV125" i="6"/>
  <c r="AU125" i="6"/>
  <c r="BA125" i="6"/>
  <c r="AA4572" i="5"/>
  <c r="Z4572" i="5"/>
  <c r="Y4572" i="5"/>
  <c r="DS134" i="6"/>
  <c r="DH134" i="6"/>
  <c r="DM134" i="6"/>
  <c r="DN134" i="6"/>
  <c r="DO136" i="6"/>
  <c r="DY136" i="6"/>
  <c r="DO135" i="6"/>
  <c r="DY135" i="6"/>
  <c r="BY129" i="6"/>
  <c r="CE129" i="6"/>
  <c r="CD129" i="6"/>
  <c r="CJ129" i="6"/>
  <c r="AA612" i="5"/>
  <c r="Y612" i="5"/>
  <c r="Z612" i="5"/>
  <c r="AA4077" i="5"/>
  <c r="Y4077" i="5"/>
  <c r="Z4077" i="5"/>
  <c r="AA3087" i="5"/>
  <c r="Y3087" i="5"/>
  <c r="Z3087" i="5"/>
  <c r="BD126" i="6"/>
  <c r="BJ126" i="6"/>
  <c r="BI126" i="6"/>
  <c r="BO126" i="6"/>
  <c r="Y6057" i="5"/>
  <c r="Z6057" i="5"/>
  <c r="EF138" i="6"/>
  <c r="DX135" i="6"/>
  <c r="AA6058" i="5" s="1"/>
  <c r="EG137" i="6"/>
  <c r="EH137" i="6" s="1"/>
  <c r="AA137" i="6" s="1"/>
  <c r="DX136" i="6"/>
  <c r="AA6059" i="5" s="1"/>
  <c r="AA1603" i="5" l="1"/>
  <c r="Y1603" i="5"/>
  <c r="Z1603" i="5"/>
  <c r="BP128" i="6"/>
  <c r="BK128" i="6"/>
  <c r="BQ128" i="6"/>
  <c r="BV128" i="6"/>
  <c r="AA4574" i="5"/>
  <c r="Y4574" i="5"/>
  <c r="Z4574" i="5"/>
  <c r="AA3583" i="5"/>
  <c r="Z3583" i="5"/>
  <c r="Y3583" i="5"/>
  <c r="AA3088" i="5"/>
  <c r="Y3088" i="5"/>
  <c r="Z3088" i="5"/>
  <c r="AA118" i="5"/>
  <c r="Y118" i="5"/>
  <c r="Z118" i="5"/>
  <c r="CK131" i="6"/>
  <c r="CF131" i="6"/>
  <c r="CQ131" i="6"/>
  <c r="CL131" i="6"/>
  <c r="BJ127" i="6"/>
  <c r="BI127" i="6"/>
  <c r="BD127" i="6"/>
  <c r="BO127" i="6"/>
  <c r="DS136" i="6"/>
  <c r="DH136" i="6"/>
  <c r="DN136" i="6"/>
  <c r="DM136" i="6"/>
  <c r="DS135" i="6"/>
  <c r="DM135" i="6"/>
  <c r="DH135" i="6"/>
  <c r="DN135" i="6"/>
  <c r="Z4078" i="5"/>
  <c r="Y4078" i="5"/>
  <c r="AA4078" i="5"/>
  <c r="AO124" i="6"/>
  <c r="AN124" i="6"/>
  <c r="AT124" i="6"/>
  <c r="AA4573" i="5"/>
  <c r="Z4573" i="5"/>
  <c r="Y4573" i="5"/>
  <c r="CS133" i="6"/>
  <c r="CR133" i="6"/>
  <c r="CM133" i="6"/>
  <c r="CX133" i="6"/>
  <c r="CE130" i="6"/>
  <c r="BY130" i="6"/>
  <c r="CD130" i="6"/>
  <c r="CJ130" i="6"/>
  <c r="BX129" i="6"/>
  <c r="BR129" i="6"/>
  <c r="CC129" i="6"/>
  <c r="BW129" i="6"/>
  <c r="AA5563" i="5"/>
  <c r="Y5563" i="5"/>
  <c r="Z5563" i="5"/>
  <c r="AA614" i="5"/>
  <c r="Z614" i="5"/>
  <c r="Y614" i="5"/>
  <c r="CS132" i="6"/>
  <c r="CX132" i="6"/>
  <c r="CM132" i="6"/>
  <c r="CR132" i="6"/>
  <c r="BC126" i="6"/>
  <c r="AW126" i="6"/>
  <c r="BH126" i="6"/>
  <c r="BB126" i="6"/>
  <c r="DA134" i="6"/>
  <c r="DL134" i="6"/>
  <c r="DF134" i="6"/>
  <c r="DG134" i="6"/>
  <c r="AO125" i="6"/>
  <c r="AN125" i="6"/>
  <c r="AT125" i="6"/>
  <c r="AA613" i="5"/>
  <c r="Y613" i="5"/>
  <c r="Z613" i="5"/>
  <c r="AA2098" i="5"/>
  <c r="Z2098" i="5"/>
  <c r="Y2098" i="5"/>
  <c r="Y2593" i="5"/>
  <c r="AA2593" i="5"/>
  <c r="Z2593" i="5"/>
  <c r="Y6058" i="5"/>
  <c r="Z6058" i="5"/>
  <c r="Y6059" i="5"/>
  <c r="Z6059" i="5"/>
  <c r="D137" i="6"/>
  <c r="Z137" i="6"/>
  <c r="P137" i="6"/>
  <c r="J137" i="6"/>
  <c r="X137" i="6"/>
  <c r="N137" i="6"/>
  <c r="H137" i="6"/>
  <c r="V137" i="6"/>
  <c r="T137" i="6"/>
  <c r="R137" i="6"/>
  <c r="L137" i="6"/>
  <c r="F137" i="6"/>
  <c r="AI137" i="6"/>
  <c r="AK137" i="6"/>
  <c r="AB137" i="6"/>
  <c r="DT137" i="6" s="1"/>
  <c r="AM137" i="6"/>
  <c r="EF139" i="6"/>
  <c r="EG139" i="6" s="1"/>
  <c r="EH139" i="6" s="1"/>
  <c r="AA139" i="6" s="1"/>
  <c r="EG138" i="6"/>
  <c r="EH138" i="6" s="1"/>
  <c r="AA138" i="6" s="1"/>
  <c r="AP126" i="6" l="1"/>
  <c r="BA126" i="6"/>
  <c r="AV126" i="6"/>
  <c r="AU126" i="6"/>
  <c r="AA4079" i="5"/>
  <c r="Y4079" i="5"/>
  <c r="Z4079" i="5"/>
  <c r="AA3089" i="5"/>
  <c r="Y3089" i="5"/>
  <c r="Z3089" i="5"/>
  <c r="AA4080" i="5"/>
  <c r="Y4080" i="5"/>
  <c r="Z4080" i="5"/>
  <c r="AA5564" i="5"/>
  <c r="Y5564" i="5"/>
  <c r="Z5564" i="5"/>
  <c r="Y5565" i="5"/>
  <c r="AA5565" i="5"/>
  <c r="Z5565" i="5"/>
  <c r="CY134" i="6"/>
  <c r="CT134" i="6"/>
  <c r="DE134" i="6"/>
  <c r="CZ134" i="6"/>
  <c r="AA2594" i="5"/>
  <c r="Y2594" i="5"/>
  <c r="Z2594" i="5"/>
  <c r="CK133" i="6"/>
  <c r="CF133" i="6"/>
  <c r="CQ133" i="6"/>
  <c r="CL133" i="6"/>
  <c r="AA1604" i="5"/>
  <c r="Y1604" i="5"/>
  <c r="Z1604" i="5"/>
  <c r="AA2099" i="5"/>
  <c r="Y2099" i="5"/>
  <c r="Z2099" i="5"/>
  <c r="AA5069" i="5"/>
  <c r="Y5069" i="5"/>
  <c r="Z5069" i="5"/>
  <c r="BP129" i="6"/>
  <c r="BK129" i="6"/>
  <c r="BQ129" i="6"/>
  <c r="BV129" i="6"/>
  <c r="BX130" i="6"/>
  <c r="CC130" i="6"/>
  <c r="BR130" i="6"/>
  <c r="BW130" i="6"/>
  <c r="DA135" i="6"/>
  <c r="DL135" i="6"/>
  <c r="DG135" i="6"/>
  <c r="DF135" i="6"/>
  <c r="BC127" i="6"/>
  <c r="AW127" i="6"/>
  <c r="BH127" i="6"/>
  <c r="BB127" i="6"/>
  <c r="AA3584" i="5"/>
  <c r="Z3584" i="5"/>
  <c r="Y3584" i="5"/>
  <c r="DO137" i="6"/>
  <c r="DY137" i="6"/>
  <c r="AA120" i="5"/>
  <c r="Z120" i="5"/>
  <c r="Y120" i="5"/>
  <c r="AA1109" i="5"/>
  <c r="Z1109" i="5"/>
  <c r="Y1109" i="5"/>
  <c r="CK132" i="6"/>
  <c r="CF132" i="6"/>
  <c r="CQ132" i="6"/>
  <c r="CL132" i="6"/>
  <c r="AA119" i="5"/>
  <c r="Y119" i="5"/>
  <c r="Z119" i="5"/>
  <c r="DA136" i="6"/>
  <c r="DG136" i="6"/>
  <c r="DL136" i="6"/>
  <c r="DF136" i="6"/>
  <c r="BY131" i="6"/>
  <c r="CE131" i="6"/>
  <c r="CD131" i="6"/>
  <c r="CJ131" i="6"/>
  <c r="BD128" i="6"/>
  <c r="BI128" i="6"/>
  <c r="BJ128" i="6"/>
  <c r="BO128" i="6"/>
  <c r="DX137" i="6"/>
  <c r="AA6060" i="5" s="1"/>
  <c r="EF140" i="6"/>
  <c r="X138" i="6"/>
  <c r="N138" i="6"/>
  <c r="D138" i="6"/>
  <c r="H138" i="6"/>
  <c r="Z138" i="6"/>
  <c r="V138" i="6"/>
  <c r="P138" i="6"/>
  <c r="F138" i="6"/>
  <c r="T138" i="6"/>
  <c r="L138" i="6"/>
  <c r="R138" i="6"/>
  <c r="J138" i="6"/>
  <c r="AM138" i="6"/>
  <c r="AB138" i="6"/>
  <c r="DT138" i="6" s="1"/>
  <c r="AI138" i="6"/>
  <c r="AK138" i="6"/>
  <c r="V139" i="6"/>
  <c r="L139" i="6"/>
  <c r="T139" i="6"/>
  <c r="N139" i="6"/>
  <c r="R139" i="6"/>
  <c r="J139" i="6"/>
  <c r="D139" i="6"/>
  <c r="Z139" i="6"/>
  <c r="X139" i="6"/>
  <c r="P139" i="6"/>
  <c r="H139" i="6"/>
  <c r="F139" i="6"/>
  <c r="AI139" i="6"/>
  <c r="AB139" i="6"/>
  <c r="DT139" i="6" s="1"/>
  <c r="AM139" i="6"/>
  <c r="AK139" i="6"/>
  <c r="CY135" i="6" l="1"/>
  <c r="DE135" i="6"/>
  <c r="CZ135" i="6"/>
  <c r="CT135" i="6"/>
  <c r="BY133" i="6"/>
  <c r="CE133" i="6"/>
  <c r="CD133" i="6"/>
  <c r="CJ133" i="6"/>
  <c r="DH137" i="6"/>
  <c r="DM137" i="6"/>
  <c r="DS137" i="6"/>
  <c r="DN137" i="6"/>
  <c r="AA2100" i="5"/>
  <c r="Y2100" i="5"/>
  <c r="Z2100" i="5"/>
  <c r="CE132" i="6"/>
  <c r="BY132" i="6"/>
  <c r="CD132" i="6"/>
  <c r="CJ132" i="6"/>
  <c r="BC128" i="6"/>
  <c r="AW128" i="6"/>
  <c r="BB128" i="6"/>
  <c r="BH128" i="6"/>
  <c r="BX131" i="6"/>
  <c r="BR131" i="6"/>
  <c r="CC131" i="6"/>
  <c r="BW131" i="6"/>
  <c r="CY136" i="6"/>
  <c r="CT136" i="6"/>
  <c r="DE136" i="6"/>
  <c r="CZ136" i="6"/>
  <c r="AA1110" i="5"/>
  <c r="Z1110" i="5"/>
  <c r="Y1110" i="5"/>
  <c r="BP130" i="6"/>
  <c r="BK130" i="6"/>
  <c r="BQ130" i="6"/>
  <c r="BV130" i="6"/>
  <c r="AA4575" i="5"/>
  <c r="Y4575" i="5"/>
  <c r="Z4575" i="5"/>
  <c r="AA615" i="5"/>
  <c r="Z615" i="5"/>
  <c r="Y615" i="5"/>
  <c r="AA5071" i="5"/>
  <c r="Y5071" i="5"/>
  <c r="Z5071" i="5"/>
  <c r="DO139" i="6"/>
  <c r="DY139" i="6"/>
  <c r="DO138" i="6"/>
  <c r="DY138" i="6"/>
  <c r="AA1605" i="5"/>
  <c r="Z1605" i="5"/>
  <c r="Y1605" i="5"/>
  <c r="AA3090" i="5"/>
  <c r="Y3090" i="5"/>
  <c r="Z3090" i="5"/>
  <c r="AA3585" i="5"/>
  <c r="Z3585" i="5"/>
  <c r="Y3585" i="5"/>
  <c r="AP127" i="6"/>
  <c r="BA127" i="6"/>
  <c r="AV127" i="6"/>
  <c r="AU127" i="6"/>
  <c r="AA5070" i="5"/>
  <c r="Y5070" i="5"/>
  <c r="Z5070" i="5"/>
  <c r="AA2595" i="5"/>
  <c r="Z2595" i="5"/>
  <c r="Y2595" i="5"/>
  <c r="BJ129" i="6"/>
  <c r="BD129" i="6"/>
  <c r="BI129" i="6"/>
  <c r="BO129" i="6"/>
  <c r="AA3586" i="5"/>
  <c r="Y3586" i="5"/>
  <c r="Z3586" i="5"/>
  <c r="CS134" i="6"/>
  <c r="CM134" i="6"/>
  <c r="CR134" i="6"/>
  <c r="CX134" i="6"/>
  <c r="AO126" i="6"/>
  <c r="AT126" i="6"/>
  <c r="AN126" i="6"/>
  <c r="Y6060" i="5"/>
  <c r="Z6060" i="5"/>
  <c r="DX139" i="6"/>
  <c r="AA6062" i="5" s="1"/>
  <c r="DX138" i="6"/>
  <c r="AA6061" i="5" s="1"/>
  <c r="EF141" i="6"/>
  <c r="EG141" i="6" s="1"/>
  <c r="EH141" i="6" s="1"/>
  <c r="AA141" i="6" s="1"/>
  <c r="EG140" i="6"/>
  <c r="EH140" i="6" s="1"/>
  <c r="AA140" i="6" s="1"/>
  <c r="AA4081" i="5" l="1"/>
  <c r="Y4081" i="5"/>
  <c r="Z4081" i="5"/>
  <c r="DS139" i="6"/>
  <c r="DM139" i="6"/>
  <c r="DH139" i="6"/>
  <c r="DN139" i="6"/>
  <c r="CS135" i="6"/>
  <c r="CX135" i="6"/>
  <c r="CM135" i="6"/>
  <c r="CR135" i="6"/>
  <c r="AA121" i="5"/>
  <c r="Z121" i="5"/>
  <c r="Y121" i="5"/>
  <c r="CK134" i="6"/>
  <c r="CF134" i="6"/>
  <c r="CL134" i="6"/>
  <c r="CQ134" i="6"/>
  <c r="Y1111" i="5"/>
  <c r="AA1111" i="5"/>
  <c r="Z1111" i="5"/>
  <c r="AA3091" i="5"/>
  <c r="Y3091" i="5"/>
  <c r="Z3091" i="5"/>
  <c r="AA5566" i="5"/>
  <c r="Y5566" i="5"/>
  <c r="Z5566" i="5"/>
  <c r="BB129" i="6"/>
  <c r="AW129" i="6"/>
  <c r="BC129" i="6"/>
  <c r="BH129" i="6"/>
  <c r="BD130" i="6"/>
  <c r="BI130" i="6"/>
  <c r="BO130" i="6"/>
  <c r="BJ130" i="6"/>
  <c r="AA3092" i="5"/>
  <c r="Y3092" i="5"/>
  <c r="Z3092" i="5"/>
  <c r="AA1606" i="5"/>
  <c r="Y1606" i="5"/>
  <c r="Z1606" i="5"/>
  <c r="AA616" i="5"/>
  <c r="Y616" i="5"/>
  <c r="Z616" i="5"/>
  <c r="DS138" i="6"/>
  <c r="DH138" i="6"/>
  <c r="DM138" i="6"/>
  <c r="DN138" i="6"/>
  <c r="AA2101" i="5"/>
  <c r="Z2101" i="5"/>
  <c r="Y2101" i="5"/>
  <c r="AA4577" i="5"/>
  <c r="Y4577" i="5"/>
  <c r="Z4577" i="5"/>
  <c r="AA2596" i="5"/>
  <c r="Z2596" i="5"/>
  <c r="Y2596" i="5"/>
  <c r="AA4576" i="5"/>
  <c r="Z4576" i="5"/>
  <c r="Y4576" i="5"/>
  <c r="AO127" i="6"/>
  <c r="AN127" i="6"/>
  <c r="AT127" i="6"/>
  <c r="CS136" i="6"/>
  <c r="CX136" i="6"/>
  <c r="CR136" i="6"/>
  <c r="CM136" i="6"/>
  <c r="BP131" i="6"/>
  <c r="BK131" i="6"/>
  <c r="BQ131" i="6"/>
  <c r="BV131" i="6"/>
  <c r="AP128" i="6"/>
  <c r="AV128" i="6"/>
  <c r="AU128" i="6"/>
  <c r="BA128" i="6"/>
  <c r="BW132" i="6"/>
  <c r="CC132" i="6"/>
  <c r="BR132" i="6"/>
  <c r="BX132" i="6"/>
  <c r="DA137" i="6"/>
  <c r="DG137" i="6"/>
  <c r="DL137" i="6"/>
  <c r="DF137" i="6"/>
  <c r="BW133" i="6"/>
  <c r="BR133" i="6"/>
  <c r="CC133" i="6"/>
  <c r="BX133" i="6"/>
  <c r="Y6062" i="5"/>
  <c r="Z6062" i="5"/>
  <c r="Y6061" i="5"/>
  <c r="Z6061" i="5"/>
  <c r="X140" i="6"/>
  <c r="J140" i="6"/>
  <c r="F140" i="6"/>
  <c r="R140" i="6"/>
  <c r="L140" i="6"/>
  <c r="V140" i="6"/>
  <c r="P140" i="6"/>
  <c r="H140" i="6"/>
  <c r="T140" i="6"/>
  <c r="N140" i="6"/>
  <c r="D140" i="6"/>
  <c r="Z140" i="6"/>
  <c r="AK140" i="6"/>
  <c r="AM140" i="6"/>
  <c r="AB140" i="6"/>
  <c r="DT140" i="6" s="1"/>
  <c r="AI140" i="6"/>
  <c r="EF142" i="6"/>
  <c r="EG142" i="6" s="1"/>
  <c r="EH142" i="6" s="1"/>
  <c r="AA142" i="6" s="1"/>
  <c r="F141" i="6"/>
  <c r="T141" i="6"/>
  <c r="L141" i="6"/>
  <c r="J141" i="6"/>
  <c r="R141" i="6"/>
  <c r="H141" i="6"/>
  <c r="X141" i="6"/>
  <c r="P141" i="6"/>
  <c r="Z141" i="6"/>
  <c r="V141" i="6"/>
  <c r="N141" i="6"/>
  <c r="AM141" i="6"/>
  <c r="AI141" i="6"/>
  <c r="AB141" i="6"/>
  <c r="DT141" i="6" s="1"/>
  <c r="D141" i="6"/>
  <c r="AK141" i="6"/>
  <c r="DE137" i="6" l="1"/>
  <c r="CT137" i="6"/>
  <c r="CY137" i="6"/>
  <c r="CZ137" i="6"/>
  <c r="BB130" i="6"/>
  <c r="AW130" i="6"/>
  <c r="BC130" i="6"/>
  <c r="BH130" i="6"/>
  <c r="CE134" i="6"/>
  <c r="BY134" i="6"/>
  <c r="CD134" i="6"/>
  <c r="CJ134" i="6"/>
  <c r="AA5568" i="5"/>
  <c r="Z5568" i="5"/>
  <c r="Y5568" i="5"/>
  <c r="AA617" i="5"/>
  <c r="Y617" i="5"/>
  <c r="Z617" i="5"/>
  <c r="AA2102" i="5"/>
  <c r="Y2102" i="5"/>
  <c r="Z2102" i="5"/>
  <c r="CK136" i="6"/>
  <c r="CF136" i="6"/>
  <c r="CL136" i="6"/>
  <c r="CQ136" i="6"/>
  <c r="AA122" i="5"/>
  <c r="Z122" i="5"/>
  <c r="Y122" i="5"/>
  <c r="AA1112" i="5"/>
  <c r="Z1112" i="5"/>
  <c r="Y1112" i="5"/>
  <c r="AO128" i="6"/>
  <c r="AN128" i="6"/>
  <c r="AT128" i="6"/>
  <c r="BP132" i="6"/>
  <c r="BK132" i="6"/>
  <c r="BQ132" i="6"/>
  <c r="BV132" i="6"/>
  <c r="DA138" i="6"/>
  <c r="DG138" i="6"/>
  <c r="DL138" i="6"/>
  <c r="DF138" i="6"/>
  <c r="AA1607" i="5"/>
  <c r="Z1607" i="5"/>
  <c r="Y1607" i="5"/>
  <c r="AA3587" i="5"/>
  <c r="Y3587" i="5"/>
  <c r="Z3587" i="5"/>
  <c r="CK135" i="6"/>
  <c r="CF135" i="6"/>
  <c r="CQ135" i="6"/>
  <c r="CL135" i="6"/>
  <c r="DA139" i="6"/>
  <c r="DF139" i="6"/>
  <c r="DL139" i="6"/>
  <c r="DG139" i="6"/>
  <c r="DO141" i="6"/>
  <c r="DY141" i="6"/>
  <c r="DO140" i="6"/>
  <c r="DY140" i="6"/>
  <c r="AA2598" i="5"/>
  <c r="Y2598" i="5"/>
  <c r="Z2598" i="5"/>
  <c r="AA5072" i="5"/>
  <c r="Y5072" i="5"/>
  <c r="Z5072" i="5"/>
  <c r="BP133" i="6"/>
  <c r="BK133" i="6"/>
  <c r="BQ133" i="6"/>
  <c r="BV133" i="6"/>
  <c r="Y2597" i="5"/>
  <c r="AA2597" i="5"/>
  <c r="Z2597" i="5"/>
  <c r="BD131" i="6"/>
  <c r="BJ131" i="6"/>
  <c r="BI131" i="6"/>
  <c r="BO131" i="6"/>
  <c r="Y4083" i="5"/>
  <c r="AA4083" i="5"/>
  <c r="Z4083" i="5"/>
  <c r="AA5567" i="5"/>
  <c r="Y5567" i="5"/>
  <c r="Z5567" i="5"/>
  <c r="AP129" i="6"/>
  <c r="AV129" i="6"/>
  <c r="AU129" i="6"/>
  <c r="BA129" i="6"/>
  <c r="AA4082" i="5"/>
  <c r="Y4082" i="5"/>
  <c r="Z4082" i="5"/>
  <c r="H142" i="6"/>
  <c r="X142" i="6"/>
  <c r="N142" i="6"/>
  <c r="D142" i="6"/>
  <c r="V142" i="6"/>
  <c r="P142" i="6"/>
  <c r="F142" i="6"/>
  <c r="T142" i="6"/>
  <c r="L142" i="6"/>
  <c r="Z142" i="6"/>
  <c r="R142" i="6"/>
  <c r="J142" i="6"/>
  <c r="AM142" i="6"/>
  <c r="AK142" i="6"/>
  <c r="AI142" i="6"/>
  <c r="AB142" i="6"/>
  <c r="DT142" i="6" s="1"/>
  <c r="DX141" i="6"/>
  <c r="AA6064" i="5" s="1"/>
  <c r="DX140" i="6"/>
  <c r="AA6063" i="5" s="1"/>
  <c r="EF143" i="6"/>
  <c r="BD132" i="6" l="1"/>
  <c r="BJ132" i="6"/>
  <c r="BO132" i="6"/>
  <c r="BI132" i="6"/>
  <c r="AA3093" i="5"/>
  <c r="Z3093" i="5"/>
  <c r="Y3093" i="5"/>
  <c r="AA1113" i="5"/>
  <c r="Y1113" i="5"/>
  <c r="Z1113" i="5"/>
  <c r="AA618" i="5"/>
  <c r="Z618" i="5"/>
  <c r="Y618" i="5"/>
  <c r="DS140" i="6"/>
  <c r="DH140" i="6"/>
  <c r="DN140" i="6"/>
  <c r="DM140" i="6"/>
  <c r="AA5074" i="5"/>
  <c r="Z5074" i="5"/>
  <c r="Y5074" i="5"/>
  <c r="AA3588" i="5"/>
  <c r="Z3588" i="5"/>
  <c r="Y3588" i="5"/>
  <c r="CT138" i="6"/>
  <c r="CY138" i="6"/>
  <c r="DE138" i="6"/>
  <c r="CZ138" i="6"/>
  <c r="CE136" i="6"/>
  <c r="BY136" i="6"/>
  <c r="CD136" i="6"/>
  <c r="CJ136" i="6"/>
  <c r="AO129" i="6"/>
  <c r="AN129" i="6"/>
  <c r="AT129" i="6"/>
  <c r="BB131" i="6"/>
  <c r="AW131" i="6"/>
  <c r="BH131" i="6"/>
  <c r="BC131" i="6"/>
  <c r="AA2104" i="5"/>
  <c r="Y2104" i="5"/>
  <c r="Z2104" i="5"/>
  <c r="BY135" i="6"/>
  <c r="CE135" i="6"/>
  <c r="CD135" i="6"/>
  <c r="CJ135" i="6"/>
  <c r="AA2103" i="5"/>
  <c r="Z2103" i="5"/>
  <c r="Y2103" i="5"/>
  <c r="AA123" i="5"/>
  <c r="Z123" i="5"/>
  <c r="Y123" i="5"/>
  <c r="BW134" i="6"/>
  <c r="BX134" i="6"/>
  <c r="CC134" i="6"/>
  <c r="BR134" i="6"/>
  <c r="AP130" i="6"/>
  <c r="AV130" i="6"/>
  <c r="AU130" i="6"/>
  <c r="BA130" i="6"/>
  <c r="CS137" i="6"/>
  <c r="CR137" i="6"/>
  <c r="CM137" i="6"/>
  <c r="CX137" i="6"/>
  <c r="BD133" i="6"/>
  <c r="BO133" i="6"/>
  <c r="BI133" i="6"/>
  <c r="BJ133" i="6"/>
  <c r="DO142" i="6"/>
  <c r="DY142" i="6"/>
  <c r="AA1608" i="5"/>
  <c r="Z1608" i="5"/>
  <c r="Y1608" i="5"/>
  <c r="DH141" i="6"/>
  <c r="DS141" i="6"/>
  <c r="DM141" i="6"/>
  <c r="DN141" i="6"/>
  <c r="DE139" i="6"/>
  <c r="CT139" i="6"/>
  <c r="CZ139" i="6"/>
  <c r="CY139" i="6"/>
  <c r="AA5073" i="5"/>
  <c r="Y5073" i="5"/>
  <c r="Z5073" i="5"/>
  <c r="AA3589" i="5"/>
  <c r="Y3589" i="5"/>
  <c r="Z3589" i="5"/>
  <c r="AA4578" i="5"/>
  <c r="Y4578" i="5"/>
  <c r="Z4578" i="5"/>
  <c r="Y6063" i="5"/>
  <c r="Z6063" i="5"/>
  <c r="Y6064" i="5"/>
  <c r="Z6064" i="5"/>
  <c r="DX142" i="6"/>
  <c r="AA6065" i="5" s="1"/>
  <c r="EF144" i="6"/>
  <c r="EG144" i="6" s="1"/>
  <c r="EH144" i="6" s="1"/>
  <c r="AA144" i="6" s="1"/>
  <c r="EG143" i="6"/>
  <c r="EH143" i="6" s="1"/>
  <c r="AA143" i="6" s="1"/>
  <c r="DS142" i="6" l="1"/>
  <c r="DH142" i="6"/>
  <c r="DM142" i="6"/>
  <c r="DN142" i="6"/>
  <c r="AP131" i="6"/>
  <c r="AV131" i="6"/>
  <c r="AU131" i="6"/>
  <c r="BA131" i="6"/>
  <c r="AA4084" i="5"/>
  <c r="Z4084" i="5"/>
  <c r="Y4084" i="5"/>
  <c r="AA619" i="5"/>
  <c r="Y619" i="5"/>
  <c r="Z619" i="5"/>
  <c r="BP134" i="6"/>
  <c r="BK134" i="6"/>
  <c r="BQ134" i="6"/>
  <c r="BV134" i="6"/>
  <c r="AA3095" i="5"/>
  <c r="Z3095" i="5"/>
  <c r="Y3095" i="5"/>
  <c r="DA140" i="6"/>
  <c r="DG140" i="6"/>
  <c r="DF140" i="6"/>
  <c r="DL140" i="6"/>
  <c r="AA1609" i="5"/>
  <c r="Y1609" i="5"/>
  <c r="Z1609" i="5"/>
  <c r="AO130" i="6"/>
  <c r="AT130" i="6"/>
  <c r="AN130" i="6"/>
  <c r="CS138" i="6"/>
  <c r="CM138" i="6"/>
  <c r="CX138" i="6"/>
  <c r="CR138" i="6"/>
  <c r="CS139" i="6"/>
  <c r="CX139" i="6"/>
  <c r="CM139" i="6"/>
  <c r="CR139" i="6"/>
  <c r="AA5570" i="5"/>
  <c r="Y5570" i="5"/>
  <c r="Z5570" i="5"/>
  <c r="CK137" i="6"/>
  <c r="CQ137" i="6"/>
  <c r="CL137" i="6"/>
  <c r="CF137" i="6"/>
  <c r="AA2599" i="5"/>
  <c r="Y2599" i="5"/>
  <c r="Z2599" i="5"/>
  <c r="BW135" i="6"/>
  <c r="BR135" i="6"/>
  <c r="BX135" i="6"/>
  <c r="CC135" i="6"/>
  <c r="AA124" i="5"/>
  <c r="Y124" i="5"/>
  <c r="Z124" i="5"/>
  <c r="AA4579" i="5"/>
  <c r="Z4579" i="5"/>
  <c r="Y4579" i="5"/>
  <c r="Y5569" i="5"/>
  <c r="AA5569" i="5"/>
  <c r="Z5569" i="5"/>
  <c r="BB133" i="6"/>
  <c r="AW133" i="6"/>
  <c r="BC133" i="6"/>
  <c r="BH133" i="6"/>
  <c r="AA4580" i="5"/>
  <c r="Y4580" i="5"/>
  <c r="Z4580" i="5"/>
  <c r="DA141" i="6"/>
  <c r="DG141" i="6"/>
  <c r="DL141" i="6"/>
  <c r="DF141" i="6"/>
  <c r="AA1610" i="5"/>
  <c r="Y1610" i="5"/>
  <c r="Z1610" i="5"/>
  <c r="AA3094" i="5"/>
  <c r="Y3094" i="5"/>
  <c r="Z3094" i="5"/>
  <c r="AA1114" i="5"/>
  <c r="Y1114" i="5"/>
  <c r="Z1114" i="5"/>
  <c r="BW136" i="6"/>
  <c r="CC136" i="6"/>
  <c r="BR136" i="6"/>
  <c r="BX136" i="6"/>
  <c r="BB132" i="6"/>
  <c r="AW132" i="6"/>
  <c r="BH132" i="6"/>
  <c r="BC132" i="6"/>
  <c r="Y6065" i="5"/>
  <c r="Z6065" i="5"/>
  <c r="L144" i="6"/>
  <c r="P144" i="6"/>
  <c r="H144" i="6"/>
  <c r="X144" i="6"/>
  <c r="N144" i="6"/>
  <c r="D144" i="6"/>
  <c r="V144" i="6"/>
  <c r="J144" i="6"/>
  <c r="F144" i="6"/>
  <c r="T144" i="6"/>
  <c r="R144" i="6"/>
  <c r="AK144" i="6"/>
  <c r="AB144" i="6"/>
  <c r="DT144" i="6" s="1"/>
  <c r="AM144" i="6"/>
  <c r="Z144" i="6"/>
  <c r="AI144" i="6"/>
  <c r="D143" i="6"/>
  <c r="X143" i="6"/>
  <c r="P143" i="6"/>
  <c r="H143" i="6"/>
  <c r="F143" i="6"/>
  <c r="V143" i="6"/>
  <c r="N143" i="6"/>
  <c r="Z143" i="6"/>
  <c r="T143" i="6"/>
  <c r="L143" i="6"/>
  <c r="R143" i="6"/>
  <c r="J143" i="6"/>
  <c r="AI143" i="6"/>
  <c r="AK143" i="6"/>
  <c r="AB143" i="6"/>
  <c r="DT143" i="6" s="1"/>
  <c r="AM143" i="6"/>
  <c r="EF145" i="6"/>
  <c r="EG145" i="6" s="1"/>
  <c r="EH145" i="6" s="1"/>
  <c r="AA145" i="6" s="1"/>
  <c r="AP132" i="6" l="1"/>
  <c r="AU132" i="6"/>
  <c r="BA132" i="6"/>
  <c r="AV132" i="6"/>
  <c r="Y2601" i="5"/>
  <c r="Z2601" i="5"/>
  <c r="AA2601" i="5"/>
  <c r="AA5076" i="5"/>
  <c r="Z5076" i="5"/>
  <c r="Y5076" i="5"/>
  <c r="AP133" i="6"/>
  <c r="AU133" i="6"/>
  <c r="BA133" i="6"/>
  <c r="AV133" i="6"/>
  <c r="AA3590" i="5"/>
  <c r="Y3590" i="5"/>
  <c r="Z3590" i="5"/>
  <c r="BD134" i="6"/>
  <c r="BJ134" i="6"/>
  <c r="BO134" i="6"/>
  <c r="BI134" i="6"/>
  <c r="AA620" i="5"/>
  <c r="Y620" i="5"/>
  <c r="Z620" i="5"/>
  <c r="DO143" i="6"/>
  <c r="DY143" i="6"/>
  <c r="BP135" i="6"/>
  <c r="BK135" i="6"/>
  <c r="BQ135" i="6"/>
  <c r="BV135" i="6"/>
  <c r="DE141" i="6"/>
  <c r="CT141" i="6"/>
  <c r="CY141" i="6"/>
  <c r="CZ141" i="6"/>
  <c r="CK139" i="6"/>
  <c r="CF139" i="6"/>
  <c r="CL139" i="6"/>
  <c r="CQ139" i="6"/>
  <c r="AA4085" i="5"/>
  <c r="Z4085" i="5"/>
  <c r="Y4085" i="5"/>
  <c r="DA142" i="6"/>
  <c r="DL142" i="6"/>
  <c r="DF142" i="6"/>
  <c r="DG142" i="6"/>
  <c r="AA1116" i="5"/>
  <c r="Y1116" i="5"/>
  <c r="Z1116" i="5"/>
  <c r="BY137" i="6"/>
  <c r="CE137" i="6"/>
  <c r="CD137" i="6"/>
  <c r="CJ137" i="6"/>
  <c r="AA125" i="5"/>
  <c r="Y125" i="5"/>
  <c r="Z125" i="5"/>
  <c r="CT140" i="6"/>
  <c r="CY140" i="6"/>
  <c r="CZ140" i="6"/>
  <c r="DE140" i="6"/>
  <c r="AA2105" i="5"/>
  <c r="Y2105" i="5"/>
  <c r="Z2105" i="5"/>
  <c r="DO144" i="6"/>
  <c r="DY144" i="6"/>
  <c r="Y1115" i="5"/>
  <c r="AA1115" i="5"/>
  <c r="Z1115" i="5"/>
  <c r="BP136" i="6"/>
  <c r="BQ136" i="6"/>
  <c r="BK136" i="6"/>
  <c r="BV136" i="6"/>
  <c r="AA2600" i="5"/>
  <c r="Y2600" i="5"/>
  <c r="Z2600" i="5"/>
  <c r="AA4086" i="5"/>
  <c r="Z4086" i="5"/>
  <c r="Y4086" i="5"/>
  <c r="CK138" i="6"/>
  <c r="CF138" i="6"/>
  <c r="CL138" i="6"/>
  <c r="CQ138" i="6"/>
  <c r="AA5075" i="5"/>
  <c r="Y5075" i="5"/>
  <c r="Z5075" i="5"/>
  <c r="AO131" i="6"/>
  <c r="AN131" i="6"/>
  <c r="AT131" i="6"/>
  <c r="AA5571" i="5"/>
  <c r="Y5571" i="5"/>
  <c r="Z5571" i="5"/>
  <c r="D145" i="6"/>
  <c r="T145" i="6"/>
  <c r="L145" i="6"/>
  <c r="R145" i="6"/>
  <c r="H145" i="6"/>
  <c r="Z145" i="6"/>
  <c r="X145" i="6"/>
  <c r="P145" i="6"/>
  <c r="J145" i="6"/>
  <c r="V145" i="6"/>
  <c r="N145" i="6"/>
  <c r="AI145" i="6"/>
  <c r="AM145" i="6"/>
  <c r="F145" i="6"/>
  <c r="AK145" i="6"/>
  <c r="AB145" i="6"/>
  <c r="DT145" i="6" s="1"/>
  <c r="EF146" i="6"/>
  <c r="EG146" i="6" s="1"/>
  <c r="EH146" i="6" s="1"/>
  <c r="AA146" i="6" s="1"/>
  <c r="DX143" i="6"/>
  <c r="AA6066" i="5" s="1"/>
  <c r="DX144" i="6"/>
  <c r="AA6067" i="5" s="1"/>
  <c r="CS141" i="6" l="1"/>
  <c r="CR141" i="6"/>
  <c r="CM141" i="6"/>
  <c r="CX141" i="6"/>
  <c r="AA126" i="5"/>
  <c r="Z126" i="5"/>
  <c r="Y126" i="5"/>
  <c r="CE138" i="6"/>
  <c r="BY138" i="6"/>
  <c r="CD138" i="6"/>
  <c r="CJ138" i="6"/>
  <c r="AA2107" i="5"/>
  <c r="Y2107" i="5"/>
  <c r="Z2107" i="5"/>
  <c r="DS144" i="6"/>
  <c r="DH144" i="6"/>
  <c r="DN144" i="6"/>
  <c r="DM144" i="6"/>
  <c r="AA4581" i="5"/>
  <c r="Y4581" i="5"/>
  <c r="Z4581" i="5"/>
  <c r="AA5077" i="5"/>
  <c r="Y5077" i="5"/>
  <c r="Z5077" i="5"/>
  <c r="AA4582" i="5"/>
  <c r="Y4582" i="5"/>
  <c r="Z4582" i="5"/>
  <c r="AO133" i="6"/>
  <c r="AN133" i="6"/>
  <c r="AT133" i="6"/>
  <c r="AA621" i="5"/>
  <c r="Y621" i="5"/>
  <c r="Z621" i="5"/>
  <c r="CS140" i="6"/>
  <c r="CM140" i="6"/>
  <c r="CX140" i="6"/>
  <c r="CR140" i="6"/>
  <c r="BY139" i="6"/>
  <c r="CE139" i="6"/>
  <c r="CD139" i="6"/>
  <c r="CJ139" i="6"/>
  <c r="AA1611" i="5"/>
  <c r="Y1611" i="5"/>
  <c r="Z1611" i="5"/>
  <c r="BD136" i="6"/>
  <c r="BI136" i="6"/>
  <c r="BO136" i="6"/>
  <c r="BJ136" i="6"/>
  <c r="CT142" i="6"/>
  <c r="CZ142" i="6"/>
  <c r="DE142" i="6"/>
  <c r="CY142" i="6"/>
  <c r="AA3592" i="5"/>
  <c r="Z3592" i="5"/>
  <c r="Y3592" i="5"/>
  <c r="AA2106" i="5"/>
  <c r="Y2106" i="5"/>
  <c r="Z2106" i="5"/>
  <c r="BB134" i="6"/>
  <c r="AW134" i="6"/>
  <c r="BH134" i="6"/>
  <c r="BC134" i="6"/>
  <c r="AA3096" i="5"/>
  <c r="Z3096" i="5"/>
  <c r="Y3096" i="5"/>
  <c r="BD135" i="6"/>
  <c r="BO135" i="6"/>
  <c r="BI135" i="6"/>
  <c r="BJ135" i="6"/>
  <c r="DO145" i="6"/>
  <c r="DY145" i="6"/>
  <c r="AA3591" i="5"/>
  <c r="Y3591" i="5"/>
  <c r="Z3591" i="5"/>
  <c r="BW137" i="6"/>
  <c r="BR137" i="6"/>
  <c r="CC137" i="6"/>
  <c r="BX137" i="6"/>
  <c r="DS143" i="6"/>
  <c r="DM143" i="6"/>
  <c r="DH143" i="6"/>
  <c r="DN143" i="6"/>
  <c r="AA622" i="5"/>
  <c r="Y622" i="5"/>
  <c r="Z622" i="5"/>
  <c r="AO132" i="6"/>
  <c r="AN132" i="6"/>
  <c r="AT132" i="6"/>
  <c r="Y6067" i="5"/>
  <c r="Z6067" i="5"/>
  <c r="Y6066" i="5"/>
  <c r="Z6066" i="5"/>
  <c r="H146" i="6"/>
  <c r="R146" i="6"/>
  <c r="D146" i="6"/>
  <c r="V146" i="6"/>
  <c r="N146" i="6"/>
  <c r="F146" i="6"/>
  <c r="Z146" i="6"/>
  <c r="X146" i="6"/>
  <c r="L146" i="6"/>
  <c r="P146" i="6"/>
  <c r="T146" i="6"/>
  <c r="J146" i="6"/>
  <c r="AM146" i="6"/>
  <c r="AI146" i="6"/>
  <c r="AK146" i="6"/>
  <c r="AB146" i="6"/>
  <c r="DT146" i="6" s="1"/>
  <c r="DX145" i="6"/>
  <c r="AA6068" i="5" s="1"/>
  <c r="EF147" i="6"/>
  <c r="EG147" i="6" s="1"/>
  <c r="EH147" i="6" s="1"/>
  <c r="AA147" i="6" s="1"/>
  <c r="BP137" i="6" l="1"/>
  <c r="BK137" i="6"/>
  <c r="BQ137" i="6"/>
  <c r="BV137" i="6"/>
  <c r="DA144" i="6"/>
  <c r="DG144" i="6"/>
  <c r="DL144" i="6"/>
  <c r="DF144" i="6"/>
  <c r="AA4088" i="5"/>
  <c r="Z4088" i="5"/>
  <c r="Y4088" i="5"/>
  <c r="AA5572" i="5"/>
  <c r="Y5572" i="5"/>
  <c r="Z5572" i="5"/>
  <c r="AA1612" i="5"/>
  <c r="Y1612" i="5"/>
  <c r="Z1612" i="5"/>
  <c r="AA4583" i="5"/>
  <c r="Y4583" i="5"/>
  <c r="Z4583" i="5"/>
  <c r="AA1613" i="5"/>
  <c r="Y1613" i="5"/>
  <c r="Z1613" i="5"/>
  <c r="CK140" i="6"/>
  <c r="CF140" i="6"/>
  <c r="CQ140" i="6"/>
  <c r="CL140" i="6"/>
  <c r="Y5573" i="5"/>
  <c r="AA5573" i="5"/>
  <c r="Z5573" i="5"/>
  <c r="AA3097" i="5"/>
  <c r="Y3097" i="5"/>
  <c r="Z3097" i="5"/>
  <c r="CK141" i="6"/>
  <c r="CF141" i="6"/>
  <c r="CQ141" i="6"/>
  <c r="CL141" i="6"/>
  <c r="DO146" i="6"/>
  <c r="DY146" i="6"/>
  <c r="AP134" i="6"/>
  <c r="AV134" i="6"/>
  <c r="AU134" i="6"/>
  <c r="BA134" i="6"/>
  <c r="DH145" i="6"/>
  <c r="DM145" i="6"/>
  <c r="DS145" i="6"/>
  <c r="DN145" i="6"/>
  <c r="BB135" i="6"/>
  <c r="AW135" i="6"/>
  <c r="BH135" i="6"/>
  <c r="BC135" i="6"/>
  <c r="BW139" i="6"/>
  <c r="BR139" i="6"/>
  <c r="BX139" i="6"/>
  <c r="CC139" i="6"/>
  <c r="AA128" i="5"/>
  <c r="Z128" i="5"/>
  <c r="Y128" i="5"/>
  <c r="AA127" i="5"/>
  <c r="Z127" i="5"/>
  <c r="Y127" i="5"/>
  <c r="AA4087" i="5"/>
  <c r="Y4087" i="5"/>
  <c r="Z4087" i="5"/>
  <c r="DA143" i="6"/>
  <c r="DL143" i="6"/>
  <c r="DG143" i="6"/>
  <c r="DF143" i="6"/>
  <c r="AA2602" i="5"/>
  <c r="Z2602" i="5"/>
  <c r="Y2602" i="5"/>
  <c r="AA1117" i="5"/>
  <c r="Y1117" i="5"/>
  <c r="Z1117" i="5"/>
  <c r="CS142" i="6"/>
  <c r="CM142" i="6"/>
  <c r="CR142" i="6"/>
  <c r="CX142" i="6"/>
  <c r="BB136" i="6"/>
  <c r="AW136" i="6"/>
  <c r="BH136" i="6"/>
  <c r="BC136" i="6"/>
  <c r="AA3098" i="5"/>
  <c r="Y3098" i="5"/>
  <c r="Z3098" i="5"/>
  <c r="BW138" i="6"/>
  <c r="BX138" i="6"/>
  <c r="CC138" i="6"/>
  <c r="BR138" i="6"/>
  <c r="Y6068" i="5"/>
  <c r="Z6068" i="5"/>
  <c r="R147" i="6"/>
  <c r="N147" i="6"/>
  <c r="Z147" i="6"/>
  <c r="V147" i="6"/>
  <c r="P147" i="6"/>
  <c r="H147" i="6"/>
  <c r="X147" i="6"/>
  <c r="L147" i="6"/>
  <c r="F147" i="6"/>
  <c r="T147" i="6"/>
  <c r="J147" i="6"/>
  <c r="D147" i="6"/>
  <c r="AI147" i="6"/>
  <c r="AB147" i="6"/>
  <c r="DT147" i="6" s="1"/>
  <c r="AK147" i="6"/>
  <c r="AM147" i="6"/>
  <c r="DX146" i="6"/>
  <c r="AA6069" i="5" s="1"/>
  <c r="EF148" i="6"/>
  <c r="EG148" i="6" s="1"/>
  <c r="EH148" i="6" s="1"/>
  <c r="AA148" i="6" s="1"/>
  <c r="AA2603" i="5" l="1"/>
  <c r="Y2603" i="5"/>
  <c r="Z2603" i="5"/>
  <c r="CK142" i="6"/>
  <c r="CF142" i="6"/>
  <c r="CL142" i="6"/>
  <c r="CQ142" i="6"/>
  <c r="AO134" i="6"/>
  <c r="AT134" i="6"/>
  <c r="AN134" i="6"/>
  <c r="AA3594" i="5"/>
  <c r="Y3594" i="5"/>
  <c r="Z3594" i="5"/>
  <c r="AA2108" i="5"/>
  <c r="Y2108" i="5"/>
  <c r="Z2108" i="5"/>
  <c r="AA2604" i="5"/>
  <c r="Z2604" i="5"/>
  <c r="Y2604" i="5"/>
  <c r="AA623" i="5"/>
  <c r="Z623" i="5"/>
  <c r="Y623" i="5"/>
  <c r="BY141" i="6"/>
  <c r="CE141" i="6"/>
  <c r="CD141" i="6"/>
  <c r="CJ141" i="6"/>
  <c r="AA5079" i="5"/>
  <c r="Y5079" i="5"/>
  <c r="Z5079" i="5"/>
  <c r="AP136" i="6"/>
  <c r="BA136" i="6"/>
  <c r="AV136" i="6"/>
  <c r="AU136" i="6"/>
  <c r="DA145" i="6"/>
  <c r="DG145" i="6"/>
  <c r="DF145" i="6"/>
  <c r="DL145" i="6"/>
  <c r="AA4089" i="5"/>
  <c r="Z4089" i="5"/>
  <c r="Y4089" i="5"/>
  <c r="AA5078" i="5"/>
  <c r="Z5078" i="5"/>
  <c r="Y5078" i="5"/>
  <c r="AA1118" i="5"/>
  <c r="Z1118" i="5"/>
  <c r="Y1118" i="5"/>
  <c r="AA5574" i="5"/>
  <c r="Z5574" i="5"/>
  <c r="Y5574" i="5"/>
  <c r="DS146" i="6"/>
  <c r="DH146" i="6"/>
  <c r="DM146" i="6"/>
  <c r="DN146" i="6"/>
  <c r="AA3593" i="5"/>
  <c r="Y3593" i="5"/>
  <c r="Z3593" i="5"/>
  <c r="BD137" i="6"/>
  <c r="BJ137" i="6"/>
  <c r="BO137" i="6"/>
  <c r="BI137" i="6"/>
  <c r="DO147" i="6"/>
  <c r="DY147" i="6"/>
  <c r="BP138" i="6"/>
  <c r="BK138" i="6"/>
  <c r="BQ138" i="6"/>
  <c r="BV138" i="6"/>
  <c r="AA1119" i="5"/>
  <c r="Y1119" i="5"/>
  <c r="Z1119" i="5"/>
  <c r="CT143" i="6"/>
  <c r="CZ143" i="6"/>
  <c r="DE143" i="6"/>
  <c r="CY143" i="6"/>
  <c r="BP139" i="6"/>
  <c r="BK139" i="6"/>
  <c r="BQ139" i="6"/>
  <c r="BV139" i="6"/>
  <c r="AP135" i="6"/>
  <c r="AV135" i="6"/>
  <c r="AU135" i="6"/>
  <c r="BA135" i="6"/>
  <c r="CE140" i="6"/>
  <c r="BY140" i="6"/>
  <c r="CD140" i="6"/>
  <c r="CJ140" i="6"/>
  <c r="CT144" i="6"/>
  <c r="CZ144" i="6"/>
  <c r="CY144" i="6"/>
  <c r="DE144" i="6"/>
  <c r="Y6069" i="5"/>
  <c r="Z6069" i="5"/>
  <c r="EF149" i="6"/>
  <c r="DX147" i="6"/>
  <c r="AA6070" i="5" s="1"/>
  <c r="P148" i="6"/>
  <c r="H148" i="6"/>
  <c r="X148" i="6"/>
  <c r="R148" i="6"/>
  <c r="L148" i="6"/>
  <c r="V148" i="6"/>
  <c r="N148" i="6"/>
  <c r="D148" i="6"/>
  <c r="T148" i="6"/>
  <c r="J148" i="6"/>
  <c r="F148" i="6"/>
  <c r="AK148" i="6"/>
  <c r="Z148" i="6"/>
  <c r="AM148" i="6"/>
  <c r="AB148" i="6"/>
  <c r="DT148" i="6" s="1"/>
  <c r="AI148" i="6"/>
  <c r="BD138" i="6" l="1"/>
  <c r="BO138" i="6"/>
  <c r="BI138" i="6"/>
  <c r="BJ138" i="6"/>
  <c r="BW140" i="6"/>
  <c r="CC140" i="6"/>
  <c r="BR140" i="6"/>
  <c r="BX140" i="6"/>
  <c r="BD139" i="6"/>
  <c r="BJ139" i="6"/>
  <c r="BO139" i="6"/>
  <c r="BI139" i="6"/>
  <c r="AA1614" i="5"/>
  <c r="Y1614" i="5"/>
  <c r="Z1614" i="5"/>
  <c r="DA146" i="6"/>
  <c r="DG146" i="6"/>
  <c r="DL146" i="6"/>
  <c r="DF146" i="6"/>
  <c r="AA625" i="5"/>
  <c r="Y625" i="5"/>
  <c r="Z625" i="5"/>
  <c r="BW141" i="6"/>
  <c r="BR141" i="6"/>
  <c r="CC141" i="6"/>
  <c r="BX141" i="6"/>
  <c r="AA3595" i="5"/>
  <c r="Z3595" i="5"/>
  <c r="Y3595" i="5"/>
  <c r="AA4584" i="5"/>
  <c r="Y4584" i="5"/>
  <c r="Z4584" i="5"/>
  <c r="CS144" i="6"/>
  <c r="CM144" i="6"/>
  <c r="CX144" i="6"/>
  <c r="CR144" i="6"/>
  <c r="AO135" i="6"/>
  <c r="AN135" i="6"/>
  <c r="AT135" i="6"/>
  <c r="CS143" i="6"/>
  <c r="CX143" i="6"/>
  <c r="CM143" i="6"/>
  <c r="CR143" i="6"/>
  <c r="AA2109" i="5"/>
  <c r="Y2109" i="5"/>
  <c r="Z2109" i="5"/>
  <c r="AA5575" i="5"/>
  <c r="Y5575" i="5"/>
  <c r="Z5575" i="5"/>
  <c r="CT145" i="6"/>
  <c r="CZ145" i="6"/>
  <c r="DE145" i="6"/>
  <c r="CY145" i="6"/>
  <c r="AO136" i="6"/>
  <c r="AN136" i="6"/>
  <c r="AT136" i="6"/>
  <c r="AA3100" i="5"/>
  <c r="Y3100" i="5"/>
  <c r="Z3100" i="5"/>
  <c r="DO148" i="6"/>
  <c r="DY148" i="6"/>
  <c r="AA4585" i="5"/>
  <c r="Y4585" i="5"/>
  <c r="Z4585" i="5"/>
  <c r="AA3099" i="5"/>
  <c r="Y3099" i="5"/>
  <c r="Z3099" i="5"/>
  <c r="AA624" i="5"/>
  <c r="Y624" i="5"/>
  <c r="Z624" i="5"/>
  <c r="AA2110" i="5"/>
  <c r="Y2110" i="5"/>
  <c r="Z2110" i="5"/>
  <c r="DS147" i="6"/>
  <c r="DM147" i="6"/>
  <c r="DH147" i="6"/>
  <c r="DN147" i="6"/>
  <c r="BB137" i="6"/>
  <c r="AW137" i="6"/>
  <c r="BC137" i="6"/>
  <c r="BH137" i="6"/>
  <c r="AA5080" i="5"/>
  <c r="Y5080" i="5"/>
  <c r="Z5080" i="5"/>
  <c r="AA129" i="5"/>
  <c r="Z129" i="5"/>
  <c r="Y129" i="5"/>
  <c r="CE142" i="6"/>
  <c r="BY142" i="6"/>
  <c r="CD142" i="6"/>
  <c r="CJ142" i="6"/>
  <c r="Y6070" i="5"/>
  <c r="Z6070" i="5"/>
  <c r="DX148" i="6"/>
  <c r="AA6071" i="5" s="1"/>
  <c r="EF150" i="6"/>
  <c r="EG149" i="6"/>
  <c r="EH149" i="6" s="1"/>
  <c r="AA149" i="6" s="1"/>
  <c r="AP137" i="6" l="1"/>
  <c r="BA137" i="6"/>
  <c r="AV137" i="6"/>
  <c r="AU137" i="6"/>
  <c r="DA147" i="6"/>
  <c r="DL147" i="6"/>
  <c r="DF147" i="6"/>
  <c r="DG147" i="6"/>
  <c r="DS148" i="6"/>
  <c r="DH148" i="6"/>
  <c r="DN148" i="6"/>
  <c r="DM148" i="6"/>
  <c r="AA131" i="5"/>
  <c r="Z131" i="5"/>
  <c r="Y131" i="5"/>
  <c r="AA4586" i="5"/>
  <c r="Z4586" i="5"/>
  <c r="Y4586" i="5"/>
  <c r="BP141" i="6"/>
  <c r="BK141" i="6"/>
  <c r="BQ141" i="6"/>
  <c r="BV141" i="6"/>
  <c r="CT146" i="6"/>
  <c r="DE146" i="6"/>
  <c r="CY146" i="6"/>
  <c r="CZ146" i="6"/>
  <c r="BP140" i="6"/>
  <c r="BK140" i="6"/>
  <c r="BQ140" i="6"/>
  <c r="BV140" i="6"/>
  <c r="AA5576" i="5"/>
  <c r="Z5576" i="5"/>
  <c r="Y5576" i="5"/>
  <c r="CS145" i="6"/>
  <c r="CM145" i="6"/>
  <c r="CR145" i="6"/>
  <c r="CX145" i="6"/>
  <c r="CK143" i="6"/>
  <c r="CF143" i="6"/>
  <c r="CL143" i="6"/>
  <c r="CQ143" i="6"/>
  <c r="CK144" i="6"/>
  <c r="CF144" i="6"/>
  <c r="CL144" i="6"/>
  <c r="CQ144" i="6"/>
  <c r="AA5081" i="5"/>
  <c r="Y5081" i="5"/>
  <c r="Z5081" i="5"/>
  <c r="Y2605" i="5"/>
  <c r="AA2605" i="5"/>
  <c r="Z2605" i="5"/>
  <c r="AA1615" i="5"/>
  <c r="Y1615" i="5"/>
  <c r="Z1615" i="5"/>
  <c r="AA3101" i="5"/>
  <c r="Y3101" i="5"/>
  <c r="Z3101" i="5"/>
  <c r="AA130" i="5"/>
  <c r="Z130" i="5"/>
  <c r="Y130" i="5"/>
  <c r="AA4091" i="5"/>
  <c r="Y4091" i="5"/>
  <c r="Z4091" i="5"/>
  <c r="AA1616" i="5"/>
  <c r="Y1616" i="5"/>
  <c r="Z1616" i="5"/>
  <c r="BW142" i="6"/>
  <c r="BX142" i="6"/>
  <c r="CC142" i="6"/>
  <c r="BR142" i="6"/>
  <c r="AA1120" i="5"/>
  <c r="Z1120" i="5"/>
  <c r="Y1120" i="5"/>
  <c r="AA4090" i="5"/>
  <c r="Y4090" i="5"/>
  <c r="Z4090" i="5"/>
  <c r="AA2606" i="5"/>
  <c r="Y2606" i="5"/>
  <c r="Z2606" i="5"/>
  <c r="BB139" i="6"/>
  <c r="AW139" i="6"/>
  <c r="BH139" i="6"/>
  <c r="BC139" i="6"/>
  <c r="BB138" i="6"/>
  <c r="AW138" i="6"/>
  <c r="BH138" i="6"/>
  <c r="BC138" i="6"/>
  <c r="Y6071" i="5"/>
  <c r="Z6071" i="5"/>
  <c r="EF151" i="6"/>
  <c r="EG151" i="6" s="1"/>
  <c r="EH151" i="6" s="1"/>
  <c r="AA151" i="6" s="1"/>
  <c r="EG150" i="6"/>
  <c r="EH150" i="6" s="1"/>
  <c r="AA150" i="6" s="1"/>
  <c r="F149" i="6"/>
  <c r="V149" i="6"/>
  <c r="N149" i="6"/>
  <c r="Z149" i="6"/>
  <c r="T149" i="6"/>
  <c r="L149" i="6"/>
  <c r="R149" i="6"/>
  <c r="H149" i="6"/>
  <c r="X149" i="6"/>
  <c r="P149" i="6"/>
  <c r="J149" i="6"/>
  <c r="D149" i="6"/>
  <c r="AM149" i="6"/>
  <c r="AB149" i="6"/>
  <c r="DT149" i="6" s="1"/>
  <c r="AI149" i="6"/>
  <c r="AK149" i="6"/>
  <c r="CE144" i="6" l="1"/>
  <c r="BY144" i="6"/>
  <c r="CD144" i="6"/>
  <c r="CJ144" i="6"/>
  <c r="BY143" i="6"/>
  <c r="CE143" i="6"/>
  <c r="CD143" i="6"/>
  <c r="CJ143" i="6"/>
  <c r="CK145" i="6"/>
  <c r="CF145" i="6"/>
  <c r="CQ145" i="6"/>
  <c r="CL145" i="6"/>
  <c r="CS146" i="6"/>
  <c r="CM146" i="6"/>
  <c r="CX146" i="6"/>
  <c r="CR146" i="6"/>
  <c r="BD141" i="6"/>
  <c r="BI141" i="6"/>
  <c r="BO141" i="6"/>
  <c r="BJ141" i="6"/>
  <c r="AA1121" i="5"/>
  <c r="Z1121" i="5"/>
  <c r="Y1121" i="5"/>
  <c r="AA1122" i="5"/>
  <c r="Y1122" i="5"/>
  <c r="Z1122" i="5"/>
  <c r="BP142" i="6"/>
  <c r="BK142" i="6"/>
  <c r="BQ142" i="6"/>
  <c r="BV142" i="6"/>
  <c r="AA2111" i="5"/>
  <c r="Z2111" i="5"/>
  <c r="Y2111" i="5"/>
  <c r="AA2112" i="5"/>
  <c r="Z2112" i="5"/>
  <c r="Y2112" i="5"/>
  <c r="DA148" i="6"/>
  <c r="DG148" i="6"/>
  <c r="DF148" i="6"/>
  <c r="DL148" i="6"/>
  <c r="AA5082" i="5"/>
  <c r="Y5082" i="5"/>
  <c r="Z5082" i="5"/>
  <c r="AA626" i="5"/>
  <c r="Y626" i="5"/>
  <c r="Z626" i="5"/>
  <c r="BD140" i="6"/>
  <c r="BJ140" i="6"/>
  <c r="BO140" i="6"/>
  <c r="BI140" i="6"/>
  <c r="AA4587" i="5"/>
  <c r="Z4587" i="5"/>
  <c r="Y4587" i="5"/>
  <c r="DO149" i="6"/>
  <c r="DY149" i="6"/>
  <c r="AP138" i="6"/>
  <c r="AU138" i="6"/>
  <c r="BA138" i="6"/>
  <c r="AV138" i="6"/>
  <c r="AP139" i="6"/>
  <c r="AU139" i="6"/>
  <c r="BA139" i="6"/>
  <c r="AV139" i="6"/>
  <c r="AA2607" i="5"/>
  <c r="Y2607" i="5"/>
  <c r="Z2607" i="5"/>
  <c r="AA3597" i="5"/>
  <c r="Y3597" i="5"/>
  <c r="Z3597" i="5"/>
  <c r="AA3596" i="5"/>
  <c r="Y3596" i="5"/>
  <c r="Z3596" i="5"/>
  <c r="AA4092" i="5"/>
  <c r="Y4092" i="5"/>
  <c r="Z4092" i="5"/>
  <c r="Y5577" i="5"/>
  <c r="AA5577" i="5"/>
  <c r="Z5577" i="5"/>
  <c r="CT147" i="6"/>
  <c r="DE147" i="6"/>
  <c r="CZ147" i="6"/>
  <c r="CY147" i="6"/>
  <c r="AO137" i="6"/>
  <c r="AN137" i="6"/>
  <c r="AT137" i="6"/>
  <c r="EF152" i="6"/>
  <c r="EG152" i="6" s="1"/>
  <c r="EH152" i="6" s="1"/>
  <c r="AA152" i="6" s="1"/>
  <c r="Z151" i="6"/>
  <c r="T151" i="6"/>
  <c r="J151" i="6"/>
  <c r="R151" i="6"/>
  <c r="N151" i="6"/>
  <c r="D151" i="6"/>
  <c r="X151" i="6"/>
  <c r="P151" i="6"/>
  <c r="H151" i="6"/>
  <c r="F151" i="6"/>
  <c r="V151" i="6"/>
  <c r="L151" i="6"/>
  <c r="AI151" i="6"/>
  <c r="AK151" i="6"/>
  <c r="AB151" i="6"/>
  <c r="DT151" i="6" s="1"/>
  <c r="AM151" i="6"/>
  <c r="DX149" i="6"/>
  <c r="AA6072" i="5" s="1"/>
  <c r="T150" i="6"/>
  <c r="P150" i="6"/>
  <c r="R150" i="6"/>
  <c r="J150" i="6"/>
  <c r="Z150" i="6"/>
  <c r="X150" i="6"/>
  <c r="N150" i="6"/>
  <c r="D150" i="6"/>
  <c r="V150" i="6"/>
  <c r="L150" i="6"/>
  <c r="F150" i="6"/>
  <c r="H150" i="6"/>
  <c r="AM150" i="6"/>
  <c r="AK150" i="6"/>
  <c r="AB150" i="6"/>
  <c r="DT150" i="6" s="1"/>
  <c r="AI150" i="6"/>
  <c r="AA4588" i="5" l="1"/>
  <c r="Z4588" i="5"/>
  <c r="Y4588" i="5"/>
  <c r="BD142" i="6"/>
  <c r="BJ142" i="6"/>
  <c r="BO142" i="6"/>
  <c r="BI142" i="6"/>
  <c r="AA3102" i="5"/>
  <c r="Y3102" i="5"/>
  <c r="Z3102" i="5"/>
  <c r="AA3103" i="5"/>
  <c r="Y3103" i="5"/>
  <c r="Z3103" i="5"/>
  <c r="DO150" i="6"/>
  <c r="DY150" i="6"/>
  <c r="CS147" i="6"/>
  <c r="CX147" i="6"/>
  <c r="CM147" i="6"/>
  <c r="CR147" i="6"/>
  <c r="BB140" i="6"/>
  <c r="AW140" i="6"/>
  <c r="BH140" i="6"/>
  <c r="BC140" i="6"/>
  <c r="AA1618" i="5"/>
  <c r="Z1618" i="5"/>
  <c r="Y1618" i="5"/>
  <c r="AA4093" i="5"/>
  <c r="Y4093" i="5"/>
  <c r="Z4093" i="5"/>
  <c r="AA3598" i="5"/>
  <c r="Z3598" i="5"/>
  <c r="Y3598" i="5"/>
  <c r="AO139" i="6"/>
  <c r="AN139" i="6"/>
  <c r="AT139" i="6"/>
  <c r="AA5083" i="5"/>
  <c r="Y5083" i="5"/>
  <c r="Z5083" i="5"/>
  <c r="AA628" i="5"/>
  <c r="Z628" i="5"/>
  <c r="Y628" i="5"/>
  <c r="AA627" i="5"/>
  <c r="Z627" i="5"/>
  <c r="Y627" i="5"/>
  <c r="DH149" i="6"/>
  <c r="DN149" i="6"/>
  <c r="DM149" i="6"/>
  <c r="DS149" i="6"/>
  <c r="AA2113" i="5"/>
  <c r="Y2113" i="5"/>
  <c r="Z2113" i="5"/>
  <c r="CK146" i="6"/>
  <c r="CF146" i="6"/>
  <c r="CL146" i="6"/>
  <c r="CQ146" i="6"/>
  <c r="BY145" i="6"/>
  <c r="CE145" i="6"/>
  <c r="CD145" i="6"/>
  <c r="CJ145" i="6"/>
  <c r="BW144" i="6"/>
  <c r="CC144" i="6"/>
  <c r="BR144" i="6"/>
  <c r="BX144" i="6"/>
  <c r="AO138" i="6"/>
  <c r="AT138" i="6"/>
  <c r="AN138" i="6"/>
  <c r="DO151" i="6"/>
  <c r="DY151" i="6"/>
  <c r="AA132" i="5"/>
  <c r="Y132" i="5"/>
  <c r="Z132" i="5"/>
  <c r="AA1617" i="5"/>
  <c r="Y1617" i="5"/>
  <c r="Z1617" i="5"/>
  <c r="CT148" i="6"/>
  <c r="CY148" i="6"/>
  <c r="CZ148" i="6"/>
  <c r="DE148" i="6"/>
  <c r="BB141" i="6"/>
  <c r="AW141" i="6"/>
  <c r="BC141" i="6"/>
  <c r="BH141" i="6"/>
  <c r="BW143" i="6"/>
  <c r="BR143" i="6"/>
  <c r="BX143" i="6"/>
  <c r="CC143" i="6"/>
  <c r="Y6072" i="5"/>
  <c r="Z6072" i="5"/>
  <c r="V152" i="6"/>
  <c r="N152" i="6"/>
  <c r="D152" i="6"/>
  <c r="T152" i="6"/>
  <c r="J152" i="6"/>
  <c r="F152" i="6"/>
  <c r="R152" i="6"/>
  <c r="L152" i="6"/>
  <c r="X152" i="6"/>
  <c r="P152" i="6"/>
  <c r="H152" i="6"/>
  <c r="AK152" i="6"/>
  <c r="AB152" i="6"/>
  <c r="DT152" i="6" s="1"/>
  <c r="Z152" i="6"/>
  <c r="AM152" i="6"/>
  <c r="AI152" i="6"/>
  <c r="DX150" i="6"/>
  <c r="AA6073" i="5" s="1"/>
  <c r="DX151" i="6"/>
  <c r="AA6074" i="5" s="1"/>
  <c r="EF153" i="6"/>
  <c r="BW145" i="6" l="1"/>
  <c r="BR145" i="6"/>
  <c r="CC145" i="6"/>
  <c r="BX145" i="6"/>
  <c r="AA5578" i="5"/>
  <c r="Y5578" i="5"/>
  <c r="Z5578" i="5"/>
  <c r="BB142" i="6"/>
  <c r="AW142" i="6"/>
  <c r="BH142" i="6"/>
  <c r="BC142" i="6"/>
  <c r="CS148" i="6"/>
  <c r="CM148" i="6"/>
  <c r="CX148" i="6"/>
  <c r="CR148" i="6"/>
  <c r="DS151" i="6"/>
  <c r="DM151" i="6"/>
  <c r="DH151" i="6"/>
  <c r="DN151" i="6"/>
  <c r="AA3104" i="5"/>
  <c r="Y3104" i="5"/>
  <c r="Z3104" i="5"/>
  <c r="AA3599" i="5"/>
  <c r="Y3599" i="5"/>
  <c r="Z3599" i="5"/>
  <c r="AA134" i="5"/>
  <c r="Y134" i="5"/>
  <c r="Z134" i="5"/>
  <c r="BP143" i="6"/>
  <c r="BK143" i="6"/>
  <c r="BQ143" i="6"/>
  <c r="BV143" i="6"/>
  <c r="AA2608" i="5"/>
  <c r="Y2608" i="5"/>
  <c r="Z2608" i="5"/>
  <c r="AA1124" i="5"/>
  <c r="Y1124" i="5"/>
  <c r="Z1124" i="5"/>
  <c r="AA4589" i="5"/>
  <c r="Y4589" i="5"/>
  <c r="Z4589" i="5"/>
  <c r="BV144" i="6"/>
  <c r="BQ144" i="6"/>
  <c r="BK144" i="6"/>
  <c r="BP144" i="6"/>
  <c r="AA1123" i="5"/>
  <c r="Y1123" i="5"/>
  <c r="Z1123" i="5"/>
  <c r="CK147" i="6"/>
  <c r="CF147" i="6"/>
  <c r="CL147" i="6"/>
  <c r="CQ147" i="6"/>
  <c r="DS150" i="6"/>
  <c r="DH150" i="6"/>
  <c r="DM150" i="6"/>
  <c r="DN150" i="6"/>
  <c r="AA1619" i="5"/>
  <c r="Y1619" i="5"/>
  <c r="Z1619" i="5"/>
  <c r="AP141" i="6"/>
  <c r="AV141" i="6"/>
  <c r="AU141" i="6"/>
  <c r="BA141" i="6"/>
  <c r="DO152" i="6"/>
  <c r="DY152" i="6"/>
  <c r="AA133" i="5"/>
  <c r="Y133" i="5"/>
  <c r="Z133" i="5"/>
  <c r="Y2609" i="5"/>
  <c r="AA2609" i="5"/>
  <c r="Z2609" i="5"/>
  <c r="CE146" i="6"/>
  <c r="BY146" i="6"/>
  <c r="CD146" i="6"/>
  <c r="CJ146" i="6"/>
  <c r="DA149" i="6"/>
  <c r="DG149" i="6"/>
  <c r="DL149" i="6"/>
  <c r="DF149" i="6"/>
  <c r="AP140" i="6"/>
  <c r="AV140" i="6"/>
  <c r="AU140" i="6"/>
  <c r="BA140" i="6"/>
  <c r="Y4094" i="5"/>
  <c r="Z4094" i="5"/>
  <c r="AA4094" i="5"/>
  <c r="Y6074" i="5"/>
  <c r="Z6074" i="5"/>
  <c r="Y6073" i="5"/>
  <c r="Z6073" i="5"/>
  <c r="EF154" i="6"/>
  <c r="EG153" i="6"/>
  <c r="EH153" i="6" s="1"/>
  <c r="AA153" i="6" s="1"/>
  <c r="DX152" i="6"/>
  <c r="AA6075" i="5" s="1"/>
  <c r="AO140" i="6" l="1"/>
  <c r="AN140" i="6"/>
  <c r="AT140" i="6"/>
  <c r="AO141" i="6"/>
  <c r="AN141" i="6"/>
  <c r="AT141" i="6"/>
  <c r="AA3600" i="5"/>
  <c r="Y3600" i="5"/>
  <c r="Z3600" i="5"/>
  <c r="BD144" i="6"/>
  <c r="BO144" i="6"/>
  <c r="BI144" i="6"/>
  <c r="BJ144" i="6"/>
  <c r="AA2114" i="5"/>
  <c r="Z2114" i="5"/>
  <c r="Y2114" i="5"/>
  <c r="AA5580" i="5"/>
  <c r="Y5580" i="5"/>
  <c r="Z5580" i="5"/>
  <c r="AA629" i="5"/>
  <c r="Y629" i="5"/>
  <c r="Z629" i="5"/>
  <c r="AA3105" i="5"/>
  <c r="Y3105" i="5"/>
  <c r="Z3105" i="5"/>
  <c r="AA630" i="5"/>
  <c r="Y630" i="5"/>
  <c r="Z630" i="5"/>
  <c r="AA2610" i="5"/>
  <c r="Z2610" i="5"/>
  <c r="Y2610" i="5"/>
  <c r="DS152" i="6"/>
  <c r="DH152" i="6"/>
  <c r="DN152" i="6"/>
  <c r="DM152" i="6"/>
  <c r="DA150" i="6"/>
  <c r="DL150" i="6"/>
  <c r="DF150" i="6"/>
  <c r="DG150" i="6"/>
  <c r="BY147" i="6"/>
  <c r="CE147" i="6"/>
  <c r="CD147" i="6"/>
  <c r="CJ147" i="6"/>
  <c r="AA2115" i="5"/>
  <c r="Y2115" i="5"/>
  <c r="Z2115" i="5"/>
  <c r="BD143" i="6"/>
  <c r="BI143" i="6"/>
  <c r="BO143" i="6"/>
  <c r="BJ143" i="6"/>
  <c r="DA151" i="6"/>
  <c r="DL151" i="6"/>
  <c r="DG151" i="6"/>
  <c r="DF151" i="6"/>
  <c r="AA4095" i="5"/>
  <c r="Y4095" i="5"/>
  <c r="Z4095" i="5"/>
  <c r="AA1125" i="5"/>
  <c r="Y1125" i="5"/>
  <c r="Z1125" i="5"/>
  <c r="BV145" i="6"/>
  <c r="BK145" i="6"/>
  <c r="BP145" i="6"/>
  <c r="BQ145" i="6"/>
  <c r="CT149" i="6"/>
  <c r="CY149" i="6"/>
  <c r="DE149" i="6"/>
  <c r="CZ149" i="6"/>
  <c r="AA5084" i="5"/>
  <c r="Z5084" i="5"/>
  <c r="Y5084" i="5"/>
  <c r="BW146" i="6"/>
  <c r="BR146" i="6"/>
  <c r="BX146" i="6"/>
  <c r="CC146" i="6"/>
  <c r="AA5579" i="5"/>
  <c r="Y5579" i="5"/>
  <c r="Z5579" i="5"/>
  <c r="CK148" i="6"/>
  <c r="CF148" i="6"/>
  <c r="CQ148" i="6"/>
  <c r="CL148" i="6"/>
  <c r="AP142" i="6"/>
  <c r="BA142" i="6"/>
  <c r="AV142" i="6"/>
  <c r="AU142" i="6"/>
  <c r="Y6075" i="5"/>
  <c r="Z6075" i="5"/>
  <c r="D153" i="6"/>
  <c r="Z153" i="6"/>
  <c r="X153" i="6"/>
  <c r="N153" i="6"/>
  <c r="H153" i="6"/>
  <c r="V153" i="6"/>
  <c r="T153" i="6"/>
  <c r="R153" i="6"/>
  <c r="L153" i="6"/>
  <c r="P153" i="6"/>
  <c r="J153" i="6"/>
  <c r="F153" i="6"/>
  <c r="AI153" i="6"/>
  <c r="AK153" i="6"/>
  <c r="AB153" i="6"/>
  <c r="DT153" i="6" s="1"/>
  <c r="AM153" i="6"/>
  <c r="EF155" i="6"/>
  <c r="EG155" i="6" s="1"/>
  <c r="EH155" i="6" s="1"/>
  <c r="AA155" i="6" s="1"/>
  <c r="EG154" i="6"/>
  <c r="EH154" i="6" s="1"/>
  <c r="AA154" i="6" s="1"/>
  <c r="CT150" i="6" l="1"/>
  <c r="CZ150" i="6"/>
  <c r="CY150" i="6"/>
  <c r="DE150" i="6"/>
  <c r="DO153" i="6"/>
  <c r="DY153" i="6"/>
  <c r="AO142" i="6"/>
  <c r="AT142" i="6"/>
  <c r="AN142" i="6"/>
  <c r="AA2611" i="5"/>
  <c r="Y2611" i="5"/>
  <c r="Z2611" i="5"/>
  <c r="AA4590" i="5"/>
  <c r="Z4590" i="5"/>
  <c r="Y4590" i="5"/>
  <c r="CT151" i="6"/>
  <c r="CZ151" i="6"/>
  <c r="DE151" i="6"/>
  <c r="CY151" i="6"/>
  <c r="BB143" i="6"/>
  <c r="AW143" i="6"/>
  <c r="BH143" i="6"/>
  <c r="BC143" i="6"/>
  <c r="AA3106" i="5"/>
  <c r="Z3106" i="5"/>
  <c r="Y3106" i="5"/>
  <c r="AA1621" i="5"/>
  <c r="Y1621" i="5"/>
  <c r="Z1621" i="5"/>
  <c r="AA135" i="5"/>
  <c r="Y135" i="5"/>
  <c r="Z135" i="5"/>
  <c r="CE148" i="6"/>
  <c r="BY148" i="6"/>
  <c r="CD148" i="6"/>
  <c r="CJ148" i="6"/>
  <c r="AA5086" i="5"/>
  <c r="Y5086" i="5"/>
  <c r="Z5086" i="5"/>
  <c r="Y5581" i="5"/>
  <c r="AA5581" i="5"/>
  <c r="Z5581" i="5"/>
  <c r="BD145" i="6"/>
  <c r="BJ145" i="6"/>
  <c r="BI145" i="6"/>
  <c r="BO145" i="6"/>
  <c r="BB144" i="6"/>
  <c r="AW144" i="6"/>
  <c r="BH144" i="6"/>
  <c r="BC144" i="6"/>
  <c r="AA136" i="5"/>
  <c r="Z136" i="5"/>
  <c r="Y136" i="5"/>
  <c r="AA631" i="5"/>
  <c r="Y631" i="5"/>
  <c r="Z631" i="5"/>
  <c r="BW147" i="6"/>
  <c r="BR147" i="6"/>
  <c r="BX147" i="6"/>
  <c r="CC147" i="6"/>
  <c r="AA3601" i="5"/>
  <c r="Y3601" i="5"/>
  <c r="Z3601" i="5"/>
  <c r="BV146" i="6"/>
  <c r="BK146" i="6"/>
  <c r="BP146" i="6"/>
  <c r="BQ146" i="6"/>
  <c r="CS149" i="6"/>
  <c r="CR149" i="6"/>
  <c r="CM149" i="6"/>
  <c r="CX149" i="6"/>
  <c r="AA2116" i="5"/>
  <c r="Z2116" i="5"/>
  <c r="Y2116" i="5"/>
  <c r="AA1620" i="5"/>
  <c r="Y1620" i="5"/>
  <c r="Z1620" i="5"/>
  <c r="AA5085" i="5"/>
  <c r="Z5085" i="5"/>
  <c r="Y5085" i="5"/>
  <c r="DA152" i="6"/>
  <c r="DG152" i="6"/>
  <c r="DF152" i="6"/>
  <c r="DL152" i="6"/>
  <c r="EF156" i="6"/>
  <c r="Z154" i="6"/>
  <c r="X154" i="6"/>
  <c r="P154" i="6"/>
  <c r="F154" i="6"/>
  <c r="T154" i="6"/>
  <c r="L154" i="6"/>
  <c r="R154" i="6"/>
  <c r="J154" i="6"/>
  <c r="H154" i="6"/>
  <c r="V154" i="6"/>
  <c r="N154" i="6"/>
  <c r="D154" i="6"/>
  <c r="AM154" i="6"/>
  <c r="AB154" i="6"/>
  <c r="DT154" i="6" s="1"/>
  <c r="AK154" i="6"/>
  <c r="AI154" i="6"/>
  <c r="X155" i="6"/>
  <c r="L155" i="6"/>
  <c r="D155" i="6"/>
  <c r="T155" i="6"/>
  <c r="N155" i="6"/>
  <c r="F155" i="6"/>
  <c r="R155" i="6"/>
  <c r="J155" i="6"/>
  <c r="Z155" i="6"/>
  <c r="V155" i="6"/>
  <c r="P155" i="6"/>
  <c r="H155" i="6"/>
  <c r="AI155" i="6"/>
  <c r="AB155" i="6"/>
  <c r="DT155" i="6" s="1"/>
  <c r="AM155" i="6"/>
  <c r="AK155" i="6"/>
  <c r="DX153" i="6"/>
  <c r="AA6076" i="5" s="1"/>
  <c r="AP144" i="6" l="1"/>
  <c r="AV144" i="6"/>
  <c r="AU144" i="6"/>
  <c r="BA144" i="6"/>
  <c r="AA3107" i="5"/>
  <c r="Y3107" i="5"/>
  <c r="Z3107" i="5"/>
  <c r="CS151" i="6"/>
  <c r="CM151" i="6"/>
  <c r="CX151" i="6"/>
  <c r="CR151" i="6"/>
  <c r="AA137" i="5"/>
  <c r="Z137" i="5"/>
  <c r="Y137" i="5"/>
  <c r="AA4591" i="5"/>
  <c r="Z4591" i="5"/>
  <c r="Y4591" i="5"/>
  <c r="DO155" i="6"/>
  <c r="DY155" i="6"/>
  <c r="DO154" i="6"/>
  <c r="DY154" i="6"/>
  <c r="AA4096" i="5"/>
  <c r="Y4096" i="5"/>
  <c r="Z4096" i="5"/>
  <c r="BB145" i="6"/>
  <c r="AW145" i="6"/>
  <c r="BH145" i="6"/>
  <c r="BC145" i="6"/>
  <c r="AA2117" i="5"/>
  <c r="Y2117" i="5"/>
  <c r="Z2117" i="5"/>
  <c r="AA2612" i="5"/>
  <c r="Z2612" i="5"/>
  <c r="Y2612" i="5"/>
  <c r="CK149" i="6"/>
  <c r="CF149" i="6"/>
  <c r="CQ149" i="6"/>
  <c r="CL149" i="6"/>
  <c r="BV147" i="6"/>
  <c r="BK147" i="6"/>
  <c r="BQ147" i="6"/>
  <c r="BP147" i="6"/>
  <c r="AA1622" i="5"/>
  <c r="Z1622" i="5"/>
  <c r="Y1622" i="5"/>
  <c r="BW148" i="6"/>
  <c r="CC148" i="6"/>
  <c r="BR148" i="6"/>
  <c r="BX148" i="6"/>
  <c r="AA1126" i="5"/>
  <c r="Z1126" i="5"/>
  <c r="Y1126" i="5"/>
  <c r="AA4592" i="5"/>
  <c r="Z4592" i="5"/>
  <c r="Y4592" i="5"/>
  <c r="AA5087" i="5"/>
  <c r="Z5087" i="5"/>
  <c r="Y5087" i="5"/>
  <c r="CT152" i="6"/>
  <c r="CZ152" i="6"/>
  <c r="CY152" i="6"/>
  <c r="DE152" i="6"/>
  <c r="BD146" i="6"/>
  <c r="BI146" i="6"/>
  <c r="BO146" i="6"/>
  <c r="BJ146" i="6"/>
  <c r="Y1127" i="5"/>
  <c r="AA1127" i="5"/>
  <c r="Z1127" i="5"/>
  <c r="AP143" i="6"/>
  <c r="BA143" i="6"/>
  <c r="AV143" i="6"/>
  <c r="AU143" i="6"/>
  <c r="DH153" i="6"/>
  <c r="DM153" i="6"/>
  <c r="DN153" i="6"/>
  <c r="DS153" i="6"/>
  <c r="CS150" i="6"/>
  <c r="CM150" i="6"/>
  <c r="CR150" i="6"/>
  <c r="CX150" i="6"/>
  <c r="Y6076" i="5"/>
  <c r="Z6076" i="5"/>
  <c r="DX155" i="6"/>
  <c r="AA6078" i="5" s="1"/>
  <c r="DX154" i="6"/>
  <c r="AA6077" i="5" s="1"/>
  <c r="EF157" i="6"/>
  <c r="EG157" i="6" s="1"/>
  <c r="EH157" i="6" s="1"/>
  <c r="AA157" i="6" s="1"/>
  <c r="EG156" i="6"/>
  <c r="EH156" i="6" s="1"/>
  <c r="AA156" i="6" s="1"/>
  <c r="BV148" i="6" l="1"/>
  <c r="BK148" i="6"/>
  <c r="BQ148" i="6"/>
  <c r="BP148" i="6"/>
  <c r="DS154" i="6"/>
  <c r="DH154" i="6"/>
  <c r="DM154" i="6"/>
  <c r="DN154" i="6"/>
  <c r="AA633" i="5"/>
  <c r="Z633" i="5"/>
  <c r="Y633" i="5"/>
  <c r="CK150" i="6"/>
  <c r="CF150" i="6"/>
  <c r="CL150" i="6"/>
  <c r="CQ150" i="6"/>
  <c r="AA632" i="5"/>
  <c r="Z632" i="5"/>
  <c r="Y632" i="5"/>
  <c r="BB146" i="6"/>
  <c r="AW146" i="6"/>
  <c r="BC146" i="6"/>
  <c r="BH146" i="6"/>
  <c r="CS152" i="6"/>
  <c r="CM152" i="6"/>
  <c r="CX152" i="6"/>
  <c r="CR152" i="6"/>
  <c r="Y2613" i="5"/>
  <c r="AA2613" i="5"/>
  <c r="Z2613" i="5"/>
  <c r="AA2118" i="5"/>
  <c r="Z2118" i="5"/>
  <c r="Y2118" i="5"/>
  <c r="AA1128" i="5"/>
  <c r="Z1128" i="5"/>
  <c r="Y1128" i="5"/>
  <c r="BY149" i="6"/>
  <c r="CE149" i="6"/>
  <c r="CD149" i="6"/>
  <c r="CJ149" i="6"/>
  <c r="DA153" i="6"/>
  <c r="DG153" i="6"/>
  <c r="DF153" i="6"/>
  <c r="DL153" i="6"/>
  <c r="AO143" i="6"/>
  <c r="AN143" i="6"/>
  <c r="AT143" i="6"/>
  <c r="AA4593" i="5"/>
  <c r="Z4593" i="5"/>
  <c r="Y4593" i="5"/>
  <c r="AP145" i="6"/>
  <c r="AV145" i="6"/>
  <c r="AU145" i="6"/>
  <c r="BA145" i="6"/>
  <c r="DS155" i="6"/>
  <c r="DM155" i="6"/>
  <c r="DH155" i="6"/>
  <c r="DN155" i="6"/>
  <c r="AA4098" i="5"/>
  <c r="Z4098" i="5"/>
  <c r="Y4098" i="5"/>
  <c r="BD147" i="6"/>
  <c r="BJ147" i="6"/>
  <c r="BO147" i="6"/>
  <c r="BI147" i="6"/>
  <c r="AA4097" i="5"/>
  <c r="Y4097" i="5"/>
  <c r="Z4097" i="5"/>
  <c r="AA5582" i="5"/>
  <c r="Z5582" i="5"/>
  <c r="Y5582" i="5"/>
  <c r="AA1623" i="5"/>
  <c r="Y1623" i="5"/>
  <c r="Z1623" i="5"/>
  <c r="AA3602" i="5"/>
  <c r="Z3602" i="5"/>
  <c r="Y3602" i="5"/>
  <c r="CK151" i="6"/>
  <c r="CF151" i="6"/>
  <c r="CL151" i="6"/>
  <c r="CQ151" i="6"/>
  <c r="AN144" i="6"/>
  <c r="AO144" i="6"/>
  <c r="AT144" i="6"/>
  <c r="Y6078" i="5"/>
  <c r="Z6078" i="5"/>
  <c r="Y6077" i="5"/>
  <c r="Z6077" i="5"/>
  <c r="J157" i="6"/>
  <c r="R157" i="6"/>
  <c r="H157" i="6"/>
  <c r="X157" i="6"/>
  <c r="P157" i="6"/>
  <c r="F157" i="6"/>
  <c r="V157" i="6"/>
  <c r="N157" i="6"/>
  <c r="Z157" i="6"/>
  <c r="T157" i="6"/>
  <c r="L157" i="6"/>
  <c r="AB157" i="6"/>
  <c r="DT157" i="6" s="1"/>
  <c r="D157" i="6"/>
  <c r="AM157" i="6"/>
  <c r="AI157" i="6"/>
  <c r="AK157" i="6"/>
  <c r="X156" i="6"/>
  <c r="P156" i="6"/>
  <c r="H156" i="6"/>
  <c r="V156" i="6"/>
  <c r="N156" i="6"/>
  <c r="D156" i="6"/>
  <c r="T156" i="6"/>
  <c r="J156" i="6"/>
  <c r="F156" i="6"/>
  <c r="R156" i="6"/>
  <c r="L156" i="6"/>
  <c r="Z156" i="6"/>
  <c r="AK156" i="6"/>
  <c r="AM156" i="6"/>
  <c r="AB156" i="6"/>
  <c r="DT156" i="6" s="1"/>
  <c r="AI156" i="6"/>
  <c r="EF158" i="6"/>
  <c r="DA155" i="6" l="1"/>
  <c r="DF155" i="6"/>
  <c r="DG155" i="6"/>
  <c r="DL155" i="6"/>
  <c r="BW149" i="6"/>
  <c r="BR149" i="6"/>
  <c r="CC149" i="6"/>
  <c r="BX149" i="6"/>
  <c r="CK152" i="6"/>
  <c r="CF152" i="6"/>
  <c r="CL152" i="6"/>
  <c r="CQ152" i="6"/>
  <c r="AP146" i="6"/>
  <c r="AV146" i="6"/>
  <c r="AU146" i="6"/>
  <c r="BA146" i="6"/>
  <c r="DO157" i="6"/>
  <c r="DY157" i="6"/>
  <c r="Y139" i="5"/>
  <c r="Z139" i="5"/>
  <c r="AA139" i="5"/>
  <c r="AA1624" i="5"/>
  <c r="Y1624" i="5"/>
  <c r="Z1624" i="5"/>
  <c r="AA5088" i="5"/>
  <c r="Z5088" i="5"/>
  <c r="Y5088" i="5"/>
  <c r="AA3108" i="5"/>
  <c r="Y3108" i="5"/>
  <c r="Z3108" i="5"/>
  <c r="AA3603" i="5"/>
  <c r="Y3603" i="5"/>
  <c r="Z3603" i="5"/>
  <c r="AA3604" i="5"/>
  <c r="Y3604" i="5"/>
  <c r="Z3604" i="5"/>
  <c r="CT153" i="6"/>
  <c r="DE153" i="6"/>
  <c r="CY153" i="6"/>
  <c r="CZ153" i="6"/>
  <c r="DO156" i="6"/>
  <c r="DY156" i="6"/>
  <c r="BY151" i="6"/>
  <c r="CE151" i="6"/>
  <c r="CD151" i="6"/>
  <c r="CJ151" i="6"/>
  <c r="AA5584" i="5"/>
  <c r="Z5584" i="5"/>
  <c r="Y5584" i="5"/>
  <c r="AN145" i="6"/>
  <c r="AO145" i="6"/>
  <c r="AT145" i="6"/>
  <c r="AA138" i="5"/>
  <c r="Z138" i="5"/>
  <c r="Y138" i="5"/>
  <c r="AA1129" i="5"/>
  <c r="Y1129" i="5"/>
  <c r="Z1129" i="5"/>
  <c r="DA154" i="6"/>
  <c r="DG154" i="6"/>
  <c r="DL154" i="6"/>
  <c r="DF154" i="6"/>
  <c r="BD148" i="6"/>
  <c r="BJ148" i="6"/>
  <c r="BO148" i="6"/>
  <c r="BI148" i="6"/>
  <c r="BB147" i="6"/>
  <c r="AW147" i="6"/>
  <c r="BH147" i="6"/>
  <c r="BC147" i="6"/>
  <c r="AA634" i="5"/>
  <c r="Y634" i="5"/>
  <c r="Z634" i="5"/>
  <c r="Y4099" i="5"/>
  <c r="AA4099" i="5"/>
  <c r="Z4099" i="5"/>
  <c r="CE150" i="6"/>
  <c r="BY150" i="6"/>
  <c r="CD150" i="6"/>
  <c r="CJ150" i="6"/>
  <c r="AA5583" i="5"/>
  <c r="Y5583" i="5"/>
  <c r="Z5583" i="5"/>
  <c r="AA2119" i="5"/>
  <c r="Y2119" i="5"/>
  <c r="Z2119" i="5"/>
  <c r="DX156" i="6"/>
  <c r="AA6079" i="5" s="1"/>
  <c r="DX157" i="6"/>
  <c r="AA6080" i="5" s="1"/>
  <c r="EF159" i="6"/>
  <c r="EG159" i="6" s="1"/>
  <c r="EH159" i="6" s="1"/>
  <c r="AA159" i="6" s="1"/>
  <c r="EG158" i="6"/>
  <c r="EH158" i="6" s="1"/>
  <c r="AA158" i="6" s="1"/>
  <c r="AA3109" i="5" l="1"/>
  <c r="Z3109" i="5"/>
  <c r="Y3109" i="5"/>
  <c r="AA140" i="5"/>
  <c r="Z140" i="5"/>
  <c r="Y140" i="5"/>
  <c r="AA635" i="5"/>
  <c r="Z635" i="5"/>
  <c r="Y635" i="5"/>
  <c r="AA5090" i="5"/>
  <c r="Y5090" i="5"/>
  <c r="Z5090" i="5"/>
  <c r="BB148" i="6"/>
  <c r="AW148" i="6"/>
  <c r="BH148" i="6"/>
  <c r="BC148" i="6"/>
  <c r="CT154" i="6"/>
  <c r="CY154" i="6"/>
  <c r="CZ154" i="6"/>
  <c r="DE154" i="6"/>
  <c r="BW151" i="6"/>
  <c r="BR151" i="6"/>
  <c r="BX151" i="6"/>
  <c r="CC151" i="6"/>
  <c r="AA2614" i="5"/>
  <c r="Y2614" i="5"/>
  <c r="Z2614" i="5"/>
  <c r="AP147" i="6"/>
  <c r="AV147" i="6"/>
  <c r="AU147" i="6"/>
  <c r="BA147" i="6"/>
  <c r="AA3605" i="5"/>
  <c r="Y3605" i="5"/>
  <c r="Z3605" i="5"/>
  <c r="BW150" i="6"/>
  <c r="BR150" i="6"/>
  <c r="BX150" i="6"/>
  <c r="CC150" i="6"/>
  <c r="AA3110" i="5"/>
  <c r="Y3110" i="5"/>
  <c r="Z3110" i="5"/>
  <c r="AA4594" i="5"/>
  <c r="Z4594" i="5"/>
  <c r="Y4594" i="5"/>
  <c r="CE152" i="6"/>
  <c r="BY152" i="6"/>
  <c r="CD152" i="6"/>
  <c r="CJ152" i="6"/>
  <c r="BV149" i="6"/>
  <c r="BK149" i="6"/>
  <c r="BQ149" i="6"/>
  <c r="BP149" i="6"/>
  <c r="AA1130" i="5"/>
  <c r="Y1130" i="5"/>
  <c r="Z1130" i="5"/>
  <c r="AA1625" i="5"/>
  <c r="Z1625" i="5"/>
  <c r="Y1625" i="5"/>
  <c r="AA5089" i="5"/>
  <c r="Y5089" i="5"/>
  <c r="Z5089" i="5"/>
  <c r="DS156" i="6"/>
  <c r="DH156" i="6"/>
  <c r="DN156" i="6"/>
  <c r="DM156" i="6"/>
  <c r="CS153" i="6"/>
  <c r="CR153" i="6"/>
  <c r="CM153" i="6"/>
  <c r="CX153" i="6"/>
  <c r="DH157" i="6"/>
  <c r="DS157" i="6"/>
  <c r="DN157" i="6"/>
  <c r="DM157" i="6"/>
  <c r="AN146" i="6"/>
  <c r="AO146" i="6"/>
  <c r="AT146" i="6"/>
  <c r="CT155" i="6"/>
  <c r="CY155" i="6"/>
  <c r="DE155" i="6"/>
  <c r="CZ155" i="6"/>
  <c r="Y6080" i="5"/>
  <c r="Z6080" i="5"/>
  <c r="Y6079" i="5"/>
  <c r="Z6079" i="5"/>
  <c r="D159" i="6"/>
  <c r="X159" i="6"/>
  <c r="P159" i="6"/>
  <c r="H159" i="6"/>
  <c r="F159" i="6"/>
  <c r="V159" i="6"/>
  <c r="N159" i="6"/>
  <c r="Z159" i="6"/>
  <c r="T159" i="6"/>
  <c r="L159" i="6"/>
  <c r="R159" i="6"/>
  <c r="J159" i="6"/>
  <c r="AI159" i="6"/>
  <c r="AK159" i="6"/>
  <c r="AB159" i="6"/>
  <c r="DT159" i="6" s="1"/>
  <c r="AM159" i="6"/>
  <c r="EF160" i="6"/>
  <c r="EG160" i="6" s="1"/>
  <c r="EH160" i="6" s="1"/>
  <c r="AA160" i="6" s="1"/>
  <c r="H158" i="6"/>
  <c r="T158" i="6"/>
  <c r="L158" i="6"/>
  <c r="R158" i="6"/>
  <c r="J158" i="6"/>
  <c r="X158" i="6"/>
  <c r="N158" i="6"/>
  <c r="D158" i="6"/>
  <c r="Z158" i="6"/>
  <c r="V158" i="6"/>
  <c r="P158" i="6"/>
  <c r="F158" i="6"/>
  <c r="AM158" i="6"/>
  <c r="AI158" i="6"/>
  <c r="AK158" i="6"/>
  <c r="AB158" i="6"/>
  <c r="DT158" i="6" s="1"/>
  <c r="AA141" i="5" l="1"/>
  <c r="Z141" i="5"/>
  <c r="Y141" i="5"/>
  <c r="BV150" i="6"/>
  <c r="BK150" i="6"/>
  <c r="BP150" i="6"/>
  <c r="BQ150" i="6"/>
  <c r="AN147" i="6"/>
  <c r="AO147" i="6"/>
  <c r="AT147" i="6"/>
  <c r="AA2616" i="5"/>
  <c r="Y2616" i="5"/>
  <c r="Z2616" i="5"/>
  <c r="AA4595" i="5"/>
  <c r="Z4595" i="5"/>
  <c r="Y4595" i="5"/>
  <c r="DO159" i="6"/>
  <c r="DY159" i="6"/>
  <c r="AA4596" i="5"/>
  <c r="Z4596" i="5"/>
  <c r="Y4596" i="5"/>
  <c r="AA5586" i="5"/>
  <c r="Y5586" i="5"/>
  <c r="Z5586" i="5"/>
  <c r="DA156" i="6"/>
  <c r="DG156" i="6"/>
  <c r="DF156" i="6"/>
  <c r="DL156" i="6"/>
  <c r="AA636" i="5"/>
  <c r="Z636" i="5"/>
  <c r="Y636" i="5"/>
  <c r="Y1131" i="5"/>
  <c r="AA1131" i="5"/>
  <c r="Z1131" i="5"/>
  <c r="AA3111" i="5"/>
  <c r="Y3111" i="5"/>
  <c r="Z3111" i="5"/>
  <c r="BD149" i="6"/>
  <c r="BO149" i="6"/>
  <c r="BI149" i="6"/>
  <c r="BJ149" i="6"/>
  <c r="BW152" i="6"/>
  <c r="CC152" i="6"/>
  <c r="BR152" i="6"/>
  <c r="BX152" i="6"/>
  <c r="AA2615" i="5"/>
  <c r="Y2615" i="5"/>
  <c r="Z2615" i="5"/>
  <c r="BV151" i="6"/>
  <c r="BK151" i="6"/>
  <c r="BQ151" i="6"/>
  <c r="BP151" i="6"/>
  <c r="AP148" i="6"/>
  <c r="AU148" i="6"/>
  <c r="BA148" i="6"/>
  <c r="AV148" i="6"/>
  <c r="CK153" i="6"/>
  <c r="CQ153" i="6"/>
  <c r="CF153" i="6"/>
  <c r="CL153" i="6"/>
  <c r="DO158" i="6"/>
  <c r="DY158" i="6"/>
  <c r="DA157" i="6"/>
  <c r="DG157" i="6"/>
  <c r="DL157" i="6"/>
  <c r="DF157" i="6"/>
  <c r="Y5585" i="5"/>
  <c r="Z5585" i="5"/>
  <c r="AA5585" i="5"/>
  <c r="CS155" i="6"/>
  <c r="CX155" i="6"/>
  <c r="CM155" i="6"/>
  <c r="CR155" i="6"/>
  <c r="AA4100" i="5"/>
  <c r="Y4100" i="5"/>
  <c r="Z4100" i="5"/>
  <c r="AA2120" i="5"/>
  <c r="Y2120" i="5"/>
  <c r="Z2120" i="5"/>
  <c r="CS154" i="6"/>
  <c r="CM154" i="6"/>
  <c r="CR154" i="6"/>
  <c r="CX154" i="6"/>
  <c r="L160" i="6"/>
  <c r="V160" i="6"/>
  <c r="J160" i="6"/>
  <c r="F160" i="6"/>
  <c r="T160" i="6"/>
  <c r="R160" i="6"/>
  <c r="P160" i="6"/>
  <c r="H160" i="6"/>
  <c r="X160" i="6"/>
  <c r="N160" i="6"/>
  <c r="D160" i="6"/>
  <c r="AK160" i="6"/>
  <c r="AB160" i="6"/>
  <c r="DT160" i="6" s="1"/>
  <c r="AM160" i="6"/>
  <c r="Z160" i="6"/>
  <c r="AI160" i="6"/>
  <c r="DX159" i="6"/>
  <c r="AA6082" i="5" s="1"/>
  <c r="DX158" i="6"/>
  <c r="AA6081" i="5" s="1"/>
  <c r="EF161" i="6"/>
  <c r="EG161" i="6" s="1"/>
  <c r="EH161" i="6" s="1"/>
  <c r="AA161" i="6" s="1"/>
  <c r="DO160" i="6" l="1"/>
  <c r="DY160" i="6"/>
  <c r="BV152" i="6"/>
  <c r="BQ152" i="6"/>
  <c r="BK152" i="6"/>
  <c r="BP152" i="6"/>
  <c r="AA5091" i="5"/>
  <c r="Y5091" i="5"/>
  <c r="Z5091" i="5"/>
  <c r="AA4101" i="5"/>
  <c r="Y4101" i="5"/>
  <c r="Z4101" i="5"/>
  <c r="CT157" i="6"/>
  <c r="DE157" i="6"/>
  <c r="CY157" i="6"/>
  <c r="CZ157" i="6"/>
  <c r="AA637" i="5"/>
  <c r="Y637" i="5"/>
  <c r="Z637" i="5"/>
  <c r="AA1626" i="5"/>
  <c r="Z1626" i="5"/>
  <c r="Y1626" i="5"/>
  <c r="CK155" i="6"/>
  <c r="CF155" i="6"/>
  <c r="CL155" i="6"/>
  <c r="CQ155" i="6"/>
  <c r="AA2121" i="5"/>
  <c r="Z2121" i="5"/>
  <c r="Y2121" i="5"/>
  <c r="AA4102" i="5"/>
  <c r="Y4102" i="5"/>
  <c r="Z4102" i="5"/>
  <c r="BY153" i="6"/>
  <c r="CE153" i="6"/>
  <c r="CD153" i="6"/>
  <c r="CJ153" i="6"/>
  <c r="Y2617" i="5"/>
  <c r="AA2617" i="5"/>
  <c r="Z2617" i="5"/>
  <c r="AA3606" i="5"/>
  <c r="Y3606" i="5"/>
  <c r="Z3606" i="5"/>
  <c r="BD151" i="6"/>
  <c r="BO151" i="6"/>
  <c r="BI151" i="6"/>
  <c r="BJ151" i="6"/>
  <c r="BB149" i="6"/>
  <c r="AW149" i="6"/>
  <c r="BH149" i="6"/>
  <c r="BC149" i="6"/>
  <c r="AA142" i="5"/>
  <c r="Z142" i="5"/>
  <c r="Y142" i="5"/>
  <c r="CK154" i="6"/>
  <c r="CF154" i="6"/>
  <c r="CL154" i="6"/>
  <c r="CQ154" i="6"/>
  <c r="AA5092" i="5"/>
  <c r="Y5092" i="5"/>
  <c r="Z5092" i="5"/>
  <c r="DS158" i="6"/>
  <c r="DH158" i="6"/>
  <c r="DM158" i="6"/>
  <c r="DN158" i="6"/>
  <c r="AN148" i="6"/>
  <c r="AO148" i="6"/>
  <c r="AT148" i="6"/>
  <c r="AA2122" i="5"/>
  <c r="Y2122" i="5"/>
  <c r="Z2122" i="5"/>
  <c r="CT156" i="6"/>
  <c r="DE156" i="6"/>
  <c r="CZ156" i="6"/>
  <c r="CY156" i="6"/>
  <c r="DS159" i="6"/>
  <c r="DM159" i="6"/>
  <c r="DH159" i="6"/>
  <c r="DN159" i="6"/>
  <c r="BD150" i="6"/>
  <c r="BJ150" i="6"/>
  <c r="BI150" i="6"/>
  <c r="BO150" i="6"/>
  <c r="Y6081" i="5"/>
  <c r="Z6081" i="5"/>
  <c r="Y6082" i="5"/>
  <c r="Z6082" i="5"/>
  <c r="D161" i="6"/>
  <c r="R161" i="6"/>
  <c r="H161" i="6"/>
  <c r="X161" i="6"/>
  <c r="P161" i="6"/>
  <c r="J161" i="6"/>
  <c r="Z161" i="6"/>
  <c r="V161" i="6"/>
  <c r="N161" i="6"/>
  <c r="T161" i="6"/>
  <c r="L161" i="6"/>
  <c r="F161" i="6"/>
  <c r="AI161" i="6"/>
  <c r="AM161" i="6"/>
  <c r="AK161" i="6"/>
  <c r="AB161" i="6"/>
  <c r="DT161" i="6" s="1"/>
  <c r="EF162" i="6"/>
  <c r="EG162" i="6" s="1"/>
  <c r="EH162" i="6" s="1"/>
  <c r="AA162" i="6" s="1"/>
  <c r="DX160" i="6"/>
  <c r="AA6083" i="5" s="1"/>
  <c r="AP149" i="6" l="1"/>
  <c r="AU149" i="6"/>
  <c r="BA149" i="6"/>
  <c r="AV149" i="6"/>
  <c r="AA1628" i="5"/>
  <c r="Y1628" i="5"/>
  <c r="Z1628" i="5"/>
  <c r="AA3112" i="5"/>
  <c r="Y3112" i="5"/>
  <c r="Z3112" i="5"/>
  <c r="BB150" i="6"/>
  <c r="AW150" i="6"/>
  <c r="BH150" i="6"/>
  <c r="BC150" i="6"/>
  <c r="AA5588" i="5"/>
  <c r="Y5588" i="5"/>
  <c r="Z5588" i="5"/>
  <c r="CS156" i="6"/>
  <c r="CM156" i="6"/>
  <c r="CX156" i="6"/>
  <c r="CR156" i="6"/>
  <c r="Y143" i="5"/>
  <c r="AA143" i="5"/>
  <c r="Z143" i="5"/>
  <c r="CE154" i="6"/>
  <c r="BY154" i="6"/>
  <c r="CD154" i="6"/>
  <c r="CJ154" i="6"/>
  <c r="BB151" i="6"/>
  <c r="AW151" i="6"/>
  <c r="BH151" i="6"/>
  <c r="BC151" i="6"/>
  <c r="Y2123" i="5"/>
  <c r="AA2123" i="5"/>
  <c r="Z2123" i="5"/>
  <c r="DO161" i="6"/>
  <c r="DY161" i="6"/>
  <c r="AA1627" i="5"/>
  <c r="Y1627" i="5"/>
  <c r="Z1627" i="5"/>
  <c r="DA158" i="6"/>
  <c r="DL158" i="6"/>
  <c r="DF158" i="6"/>
  <c r="DG158" i="6"/>
  <c r="AA3608" i="5"/>
  <c r="Y3608" i="5"/>
  <c r="Z3608" i="5"/>
  <c r="AA4598" i="5"/>
  <c r="Y4598" i="5"/>
  <c r="Z4598" i="5"/>
  <c r="AA4597" i="5"/>
  <c r="Y4597" i="5"/>
  <c r="Z4597" i="5"/>
  <c r="BY155" i="6"/>
  <c r="CE155" i="6"/>
  <c r="CD155" i="6"/>
  <c r="CJ155" i="6"/>
  <c r="DA159" i="6"/>
  <c r="DL159" i="6"/>
  <c r="DG159" i="6"/>
  <c r="DF159" i="6"/>
  <c r="AA5587" i="5"/>
  <c r="Y5587" i="5"/>
  <c r="Z5587" i="5"/>
  <c r="AA3607" i="5"/>
  <c r="Y3607" i="5"/>
  <c r="Z3607" i="5"/>
  <c r="AA1132" i="5"/>
  <c r="Y1132" i="5"/>
  <c r="Z1132" i="5"/>
  <c r="BW153" i="6"/>
  <c r="BR153" i="6"/>
  <c r="CC153" i="6"/>
  <c r="BX153" i="6"/>
  <c r="CS157" i="6"/>
  <c r="CR157" i="6"/>
  <c r="CM157" i="6"/>
  <c r="CX157" i="6"/>
  <c r="BD152" i="6"/>
  <c r="BI152" i="6"/>
  <c r="BO152" i="6"/>
  <c r="BJ152" i="6"/>
  <c r="DS160" i="6"/>
  <c r="DH160" i="6"/>
  <c r="DN160" i="6"/>
  <c r="DM160" i="6"/>
  <c r="Y6083" i="5"/>
  <c r="Z6083" i="5"/>
  <c r="X162" i="6"/>
  <c r="N162" i="6"/>
  <c r="D162" i="6"/>
  <c r="V162" i="6"/>
  <c r="L162" i="6"/>
  <c r="F162" i="6"/>
  <c r="H162" i="6"/>
  <c r="T162" i="6"/>
  <c r="J162" i="6"/>
  <c r="Z162" i="6"/>
  <c r="R162" i="6"/>
  <c r="P162" i="6"/>
  <c r="AM162" i="6"/>
  <c r="AI162" i="6"/>
  <c r="AK162" i="6"/>
  <c r="AB162" i="6"/>
  <c r="DT162" i="6" s="1"/>
  <c r="DX161" i="6"/>
  <c r="AA6084" i="5" s="1"/>
  <c r="EF163" i="6"/>
  <c r="EG163" i="6" s="1"/>
  <c r="EH163" i="6" s="1"/>
  <c r="AA163" i="6" s="1"/>
  <c r="AA1629" i="5" l="1"/>
  <c r="Y1629" i="5"/>
  <c r="Z1629" i="5"/>
  <c r="DO162" i="6"/>
  <c r="DY162" i="6"/>
  <c r="DA160" i="6"/>
  <c r="DG160" i="6"/>
  <c r="DL160" i="6"/>
  <c r="DF160" i="6"/>
  <c r="DH161" i="6"/>
  <c r="DS161" i="6"/>
  <c r="DN161" i="6"/>
  <c r="DM161" i="6"/>
  <c r="AA3113" i="5"/>
  <c r="Y3113" i="5"/>
  <c r="Z3113" i="5"/>
  <c r="AA4103" i="5"/>
  <c r="Y4103" i="5"/>
  <c r="Z4103" i="5"/>
  <c r="AP150" i="6"/>
  <c r="AV150" i="6"/>
  <c r="AU150" i="6"/>
  <c r="BA150" i="6"/>
  <c r="Y5589" i="5"/>
  <c r="AA5589" i="5"/>
  <c r="Z5589" i="5"/>
  <c r="BB152" i="6"/>
  <c r="AW152" i="6"/>
  <c r="BH152" i="6"/>
  <c r="BC152" i="6"/>
  <c r="AA5094" i="5"/>
  <c r="Y5094" i="5"/>
  <c r="Z5094" i="5"/>
  <c r="AA1134" i="5"/>
  <c r="Z1134" i="5"/>
  <c r="Y1134" i="5"/>
  <c r="CK156" i="6"/>
  <c r="CF156" i="6"/>
  <c r="CL156" i="6"/>
  <c r="CQ156" i="6"/>
  <c r="AA638" i="5"/>
  <c r="Y638" i="5"/>
  <c r="Z638" i="5"/>
  <c r="CK157" i="6"/>
  <c r="CF157" i="6"/>
  <c r="CQ157" i="6"/>
  <c r="CL157" i="6"/>
  <c r="AA2618" i="5"/>
  <c r="Z2618" i="5"/>
  <c r="Y2618" i="5"/>
  <c r="BV153" i="6"/>
  <c r="BK153" i="6"/>
  <c r="BP153" i="6"/>
  <c r="BQ153" i="6"/>
  <c r="AA4104" i="5"/>
  <c r="Y4104" i="5"/>
  <c r="Z4104" i="5"/>
  <c r="CT159" i="6"/>
  <c r="CY159" i="6"/>
  <c r="DE159" i="6"/>
  <c r="CZ159" i="6"/>
  <c r="BW155" i="6"/>
  <c r="BR155" i="6"/>
  <c r="BX155" i="6"/>
  <c r="CC155" i="6"/>
  <c r="AA5093" i="5"/>
  <c r="Y5093" i="5"/>
  <c r="Z5093" i="5"/>
  <c r="AP151" i="6"/>
  <c r="AV151" i="6"/>
  <c r="AU151" i="6"/>
  <c r="BA151" i="6"/>
  <c r="BW154" i="6"/>
  <c r="BR154" i="6"/>
  <c r="BX154" i="6"/>
  <c r="CC154" i="6"/>
  <c r="AA3114" i="5"/>
  <c r="Z3114" i="5"/>
  <c r="Y3114" i="5"/>
  <c r="CT158" i="6"/>
  <c r="CZ158" i="6"/>
  <c r="DE158" i="6"/>
  <c r="CY158" i="6"/>
  <c r="AA1133" i="5"/>
  <c r="Z1133" i="5"/>
  <c r="Y1133" i="5"/>
  <c r="AN149" i="6"/>
  <c r="AO149" i="6"/>
  <c r="AT149" i="6"/>
  <c r="Y6084" i="5"/>
  <c r="Z6084" i="5"/>
  <c r="DX162" i="6"/>
  <c r="AA6085" i="5" s="1"/>
  <c r="EF164" i="6"/>
  <c r="R163" i="6"/>
  <c r="N163" i="6"/>
  <c r="F163" i="6"/>
  <c r="Z163" i="6"/>
  <c r="X163" i="6"/>
  <c r="P163" i="6"/>
  <c r="H163" i="6"/>
  <c r="D163" i="6"/>
  <c r="V163" i="6"/>
  <c r="L163" i="6"/>
  <c r="T163" i="6"/>
  <c r="J163" i="6"/>
  <c r="AI163" i="6"/>
  <c r="AB163" i="6"/>
  <c r="DT163" i="6" s="1"/>
  <c r="AK163" i="6"/>
  <c r="AM163" i="6"/>
  <c r="BD153" i="6" l="1"/>
  <c r="BJ153" i="6"/>
  <c r="BO153" i="6"/>
  <c r="BI153" i="6"/>
  <c r="AA3609" i="5"/>
  <c r="Z3609" i="5"/>
  <c r="Y3609" i="5"/>
  <c r="AP152" i="6"/>
  <c r="BA152" i="6"/>
  <c r="AV152" i="6"/>
  <c r="AU152" i="6"/>
  <c r="AN150" i="6"/>
  <c r="AO150" i="6"/>
  <c r="AT150" i="6"/>
  <c r="AA5095" i="5"/>
  <c r="Y5095" i="5"/>
  <c r="Z5095" i="5"/>
  <c r="DS162" i="6"/>
  <c r="DH162" i="6"/>
  <c r="DM162" i="6"/>
  <c r="DN162" i="6"/>
  <c r="DO163" i="6"/>
  <c r="DY163" i="6"/>
  <c r="BV155" i="6"/>
  <c r="BK155" i="6"/>
  <c r="BQ155" i="6"/>
  <c r="BP155" i="6"/>
  <c r="AA2124" i="5"/>
  <c r="Z2124" i="5"/>
  <c r="Y2124" i="5"/>
  <c r="AA639" i="5"/>
  <c r="Y639" i="5"/>
  <c r="Z639" i="5"/>
  <c r="AA5590" i="5"/>
  <c r="Y5590" i="5"/>
  <c r="Z5590" i="5"/>
  <c r="CS158" i="6"/>
  <c r="CM158" i="6"/>
  <c r="CX158" i="6"/>
  <c r="CR158" i="6"/>
  <c r="AA2619" i="5"/>
  <c r="Y2619" i="5"/>
  <c r="Z2619" i="5"/>
  <c r="AA640" i="5"/>
  <c r="Z640" i="5"/>
  <c r="Y640" i="5"/>
  <c r="AA4600" i="5"/>
  <c r="Y4600" i="5"/>
  <c r="Z4600" i="5"/>
  <c r="AA4599" i="5"/>
  <c r="Y4599" i="5"/>
  <c r="Z4599" i="5"/>
  <c r="BV154" i="6"/>
  <c r="BK154" i="6"/>
  <c r="BP154" i="6"/>
  <c r="BQ154" i="6"/>
  <c r="CS159" i="6"/>
  <c r="CX159" i="6"/>
  <c r="CM159" i="6"/>
  <c r="CR159" i="6"/>
  <c r="AA3610" i="5"/>
  <c r="Y3610" i="5"/>
  <c r="Z3610" i="5"/>
  <c r="CE156" i="6"/>
  <c r="BY156" i="6"/>
  <c r="CD156" i="6"/>
  <c r="CJ156" i="6"/>
  <c r="DA161" i="6"/>
  <c r="DG161" i="6"/>
  <c r="DF161" i="6"/>
  <c r="DL161" i="6"/>
  <c r="CT160" i="6"/>
  <c r="CZ160" i="6"/>
  <c r="DE160" i="6"/>
  <c r="CY160" i="6"/>
  <c r="AA144" i="5"/>
  <c r="Z144" i="5"/>
  <c r="Y144" i="5"/>
  <c r="AN151" i="6"/>
  <c r="AT151" i="6"/>
  <c r="AO151" i="6"/>
  <c r="AA2620" i="5"/>
  <c r="Z2620" i="5"/>
  <c r="Y2620" i="5"/>
  <c r="BY157" i="6"/>
  <c r="CE157" i="6"/>
  <c r="CD157" i="6"/>
  <c r="CJ157" i="6"/>
  <c r="AA1135" i="5"/>
  <c r="Y1135" i="5"/>
  <c r="Z1135" i="5"/>
  <c r="Y6085" i="5"/>
  <c r="Z6085" i="5"/>
  <c r="EF165" i="6"/>
  <c r="DX163" i="6"/>
  <c r="AA6086" i="5" s="1"/>
  <c r="EG164" i="6"/>
  <c r="EH164" i="6" s="1"/>
  <c r="AA164" i="6" s="1"/>
  <c r="CT161" i="6" l="1"/>
  <c r="CZ161" i="6"/>
  <c r="CY161" i="6"/>
  <c r="DE161" i="6"/>
  <c r="DA162" i="6"/>
  <c r="DG162" i="6"/>
  <c r="DF162" i="6"/>
  <c r="DL162" i="6"/>
  <c r="AA1630" i="5"/>
  <c r="Z1630" i="5"/>
  <c r="Y1630" i="5"/>
  <c r="AA3116" i="5"/>
  <c r="Y3116" i="5"/>
  <c r="Z3116" i="5"/>
  <c r="AA146" i="5"/>
  <c r="Y146" i="5"/>
  <c r="Z146" i="5"/>
  <c r="AN152" i="6"/>
  <c r="AO152" i="6"/>
  <c r="AT152" i="6"/>
  <c r="CK159" i="6"/>
  <c r="CF159" i="6"/>
  <c r="CL159" i="6"/>
  <c r="CQ159" i="6"/>
  <c r="AA4105" i="5"/>
  <c r="Y4105" i="5"/>
  <c r="Z4105" i="5"/>
  <c r="AA4601" i="5"/>
  <c r="Z4601" i="5"/>
  <c r="Y4601" i="5"/>
  <c r="AA4106" i="5"/>
  <c r="Z4106" i="5"/>
  <c r="Y4106" i="5"/>
  <c r="BD154" i="6"/>
  <c r="BO154" i="6"/>
  <c r="BI154" i="6"/>
  <c r="BJ154" i="6"/>
  <c r="CK158" i="6"/>
  <c r="CF158" i="6"/>
  <c r="CL158" i="6"/>
  <c r="CQ158" i="6"/>
  <c r="DS163" i="6"/>
  <c r="DM163" i="6"/>
  <c r="DH163" i="6"/>
  <c r="DN163" i="6"/>
  <c r="AA5591" i="5"/>
  <c r="Y5591" i="5"/>
  <c r="Z5591" i="5"/>
  <c r="AA145" i="5"/>
  <c r="Z145" i="5"/>
  <c r="Y145" i="5"/>
  <c r="CS160" i="6"/>
  <c r="CM160" i="6"/>
  <c r="CX160" i="6"/>
  <c r="CR160" i="6"/>
  <c r="AA2126" i="5"/>
  <c r="Z2126" i="5"/>
  <c r="Y2126" i="5"/>
  <c r="AA5096" i="5"/>
  <c r="Y5096" i="5"/>
  <c r="Z5096" i="5"/>
  <c r="AA3115" i="5"/>
  <c r="Y3115" i="5"/>
  <c r="Z3115" i="5"/>
  <c r="BW157" i="6"/>
  <c r="BR157" i="6"/>
  <c r="CC157" i="6"/>
  <c r="BX157" i="6"/>
  <c r="BW156" i="6"/>
  <c r="CC156" i="6"/>
  <c r="BR156" i="6"/>
  <c r="BX156" i="6"/>
  <c r="AA2125" i="5"/>
  <c r="Y2125" i="5"/>
  <c r="Z2125" i="5"/>
  <c r="BD155" i="6"/>
  <c r="BJ155" i="6"/>
  <c r="BO155" i="6"/>
  <c r="BI155" i="6"/>
  <c r="AA641" i="5"/>
  <c r="Y641" i="5"/>
  <c r="Z641" i="5"/>
  <c r="BB153" i="6"/>
  <c r="AW153" i="6"/>
  <c r="BH153" i="6"/>
  <c r="BC153" i="6"/>
  <c r="Y6086" i="5"/>
  <c r="Z6086" i="5"/>
  <c r="EF166" i="6"/>
  <c r="T164" i="6"/>
  <c r="J164" i="6"/>
  <c r="F164" i="6"/>
  <c r="P164" i="6"/>
  <c r="H164" i="6"/>
  <c r="X164" i="6"/>
  <c r="R164" i="6"/>
  <c r="L164" i="6"/>
  <c r="V164" i="6"/>
  <c r="N164" i="6"/>
  <c r="D164" i="6"/>
  <c r="AK164" i="6"/>
  <c r="Z164" i="6"/>
  <c r="AM164" i="6"/>
  <c r="AB164" i="6"/>
  <c r="DT164" i="6" s="1"/>
  <c r="AI164" i="6"/>
  <c r="EG165" i="6"/>
  <c r="EH165" i="6" s="1"/>
  <c r="AA165" i="6" s="1"/>
  <c r="DA163" i="6" l="1"/>
  <c r="DL163" i="6"/>
  <c r="DF163" i="6"/>
  <c r="DG163" i="6"/>
  <c r="AA5097" i="5"/>
  <c r="Y5097" i="5"/>
  <c r="Z5097" i="5"/>
  <c r="AA4602" i="5"/>
  <c r="Y4602" i="5"/>
  <c r="Z4602" i="5"/>
  <c r="BV156" i="6"/>
  <c r="BK156" i="6"/>
  <c r="BQ156" i="6"/>
  <c r="BP156" i="6"/>
  <c r="AA2622" i="5"/>
  <c r="Y2622" i="5"/>
  <c r="Z2622" i="5"/>
  <c r="CE158" i="6"/>
  <c r="BY158" i="6"/>
  <c r="CD158" i="6"/>
  <c r="CJ158" i="6"/>
  <c r="AA1631" i="5"/>
  <c r="Y1631" i="5"/>
  <c r="Z1631" i="5"/>
  <c r="DO164" i="6"/>
  <c r="DY164" i="6"/>
  <c r="BB155" i="6"/>
  <c r="AW155" i="6"/>
  <c r="BH155" i="6"/>
  <c r="BC155" i="6"/>
  <c r="AA3612" i="5"/>
  <c r="Z3612" i="5"/>
  <c r="Y3612" i="5"/>
  <c r="Y147" i="5"/>
  <c r="AA147" i="5"/>
  <c r="Z147" i="5"/>
  <c r="AA1632" i="5"/>
  <c r="Z1632" i="5"/>
  <c r="Y1632" i="5"/>
  <c r="Y2621" i="5"/>
  <c r="AA2621" i="5"/>
  <c r="Z2621" i="5"/>
  <c r="BV157" i="6"/>
  <c r="BK157" i="6"/>
  <c r="BQ157" i="6"/>
  <c r="BP157" i="6"/>
  <c r="AA4107" i="5"/>
  <c r="Y4107" i="5"/>
  <c r="Z4107" i="5"/>
  <c r="AA5592" i="5"/>
  <c r="Z5592" i="5"/>
  <c r="Y5592" i="5"/>
  <c r="BB154" i="6"/>
  <c r="AW154" i="6"/>
  <c r="BH154" i="6"/>
  <c r="BC154" i="6"/>
  <c r="BY159" i="6"/>
  <c r="CE159" i="6"/>
  <c r="CD159" i="6"/>
  <c r="CJ159" i="6"/>
  <c r="AP153" i="6"/>
  <c r="BA153" i="6"/>
  <c r="AV153" i="6"/>
  <c r="AU153" i="6"/>
  <c r="AA1136" i="5"/>
  <c r="Z1136" i="5"/>
  <c r="Y1136" i="5"/>
  <c r="CK160" i="6"/>
  <c r="CF160" i="6"/>
  <c r="CL160" i="6"/>
  <c r="CQ160" i="6"/>
  <c r="AA3611" i="5"/>
  <c r="Y3611" i="5"/>
  <c r="Z3611" i="5"/>
  <c r="CT162" i="6"/>
  <c r="DE162" i="6"/>
  <c r="CZ162" i="6"/>
  <c r="CY162" i="6"/>
  <c r="CS161" i="6"/>
  <c r="CM161" i="6"/>
  <c r="CR161" i="6"/>
  <c r="CX161" i="6"/>
  <c r="EF167" i="6"/>
  <c r="F165" i="6"/>
  <c r="T165" i="6"/>
  <c r="L165" i="6"/>
  <c r="Z165" i="6"/>
  <c r="R165" i="6"/>
  <c r="H165" i="6"/>
  <c r="X165" i="6"/>
  <c r="P165" i="6"/>
  <c r="J165" i="6"/>
  <c r="V165" i="6"/>
  <c r="N165" i="6"/>
  <c r="AM165" i="6"/>
  <c r="D165" i="6"/>
  <c r="AI165" i="6"/>
  <c r="AB165" i="6"/>
  <c r="DT165" i="6" s="1"/>
  <c r="AK165" i="6"/>
  <c r="EG166" i="6"/>
  <c r="EH166" i="6" s="1"/>
  <c r="AA166" i="6" s="1"/>
  <c r="DX164" i="6"/>
  <c r="AA6087" i="5" s="1"/>
  <c r="AA4603" i="5" l="1"/>
  <c r="Z4603" i="5"/>
  <c r="Y4603" i="5"/>
  <c r="BD157" i="6"/>
  <c r="BI157" i="6"/>
  <c r="BO157" i="6"/>
  <c r="BJ157" i="6"/>
  <c r="BD156" i="6"/>
  <c r="BJ156" i="6"/>
  <c r="BI156" i="6"/>
  <c r="BO156" i="6"/>
  <c r="CS162" i="6"/>
  <c r="CM162" i="6"/>
  <c r="CX162" i="6"/>
  <c r="CR162" i="6"/>
  <c r="AA3613" i="5"/>
  <c r="Y3613" i="5"/>
  <c r="Z3613" i="5"/>
  <c r="AA1137" i="5"/>
  <c r="Z1137" i="5"/>
  <c r="Y1137" i="5"/>
  <c r="AA2128" i="5"/>
  <c r="Y2128" i="5"/>
  <c r="Z2128" i="5"/>
  <c r="BW158" i="6"/>
  <c r="BR158" i="6"/>
  <c r="BX158" i="6"/>
  <c r="CC158" i="6"/>
  <c r="AA2127" i="5"/>
  <c r="Y2127" i="5"/>
  <c r="Z2127" i="5"/>
  <c r="CK161" i="6"/>
  <c r="CF161" i="6"/>
  <c r="CQ161" i="6"/>
  <c r="CL161" i="6"/>
  <c r="AA3118" i="5"/>
  <c r="Y3118" i="5"/>
  <c r="Z3118" i="5"/>
  <c r="AP155" i="6"/>
  <c r="AU155" i="6"/>
  <c r="BA155" i="6"/>
  <c r="AV155" i="6"/>
  <c r="DO165" i="6"/>
  <c r="DY165" i="6"/>
  <c r="AA4108" i="5"/>
  <c r="Y4108" i="5"/>
  <c r="Z4108" i="5"/>
  <c r="AA642" i="5"/>
  <c r="Y642" i="5"/>
  <c r="Z642" i="5"/>
  <c r="AP154" i="6"/>
  <c r="AU154" i="6"/>
  <c r="BA154" i="6"/>
  <c r="AV154" i="6"/>
  <c r="AA5098" i="5"/>
  <c r="Y5098" i="5"/>
  <c r="Z5098" i="5"/>
  <c r="CE160" i="6"/>
  <c r="BY160" i="6"/>
  <c r="CD160" i="6"/>
  <c r="CJ160" i="6"/>
  <c r="AN153" i="6"/>
  <c r="AO153" i="6"/>
  <c r="AT153" i="6"/>
  <c r="BW159" i="6"/>
  <c r="BR159" i="6"/>
  <c r="BX159" i="6"/>
  <c r="CC159" i="6"/>
  <c r="AA1138" i="5"/>
  <c r="Y1138" i="5"/>
  <c r="Z1138" i="5"/>
  <c r="DS164" i="6"/>
  <c r="DH164" i="6"/>
  <c r="DN164" i="6"/>
  <c r="DM164" i="6"/>
  <c r="AA3117" i="5"/>
  <c r="Y3117" i="5"/>
  <c r="Z3117" i="5"/>
  <c r="CT163" i="6"/>
  <c r="DE163" i="6"/>
  <c r="CY163" i="6"/>
  <c r="CZ163" i="6"/>
  <c r="Y6087" i="5"/>
  <c r="Z6087" i="5"/>
  <c r="EF168" i="6"/>
  <c r="EG168" i="6" s="1"/>
  <c r="EH168" i="6" s="1"/>
  <c r="AA168" i="6" s="1"/>
  <c r="R166" i="6"/>
  <c r="J166" i="6"/>
  <c r="Z166" i="6"/>
  <c r="V166" i="6"/>
  <c r="N166" i="6"/>
  <c r="D166" i="6"/>
  <c r="X166" i="6"/>
  <c r="L166" i="6"/>
  <c r="F166" i="6"/>
  <c r="T166" i="6"/>
  <c r="P166" i="6"/>
  <c r="AM166" i="6"/>
  <c r="H166" i="6"/>
  <c r="AK166" i="6"/>
  <c r="AB166" i="6"/>
  <c r="DT166" i="6" s="1"/>
  <c r="AI166" i="6"/>
  <c r="DX165" i="6"/>
  <c r="AA6088" i="5" s="1"/>
  <c r="EG167" i="6"/>
  <c r="EH167" i="6" s="1"/>
  <c r="AA167" i="6" s="1"/>
  <c r="Y5593" i="5" l="1"/>
  <c r="Z5593" i="5"/>
  <c r="AA5593" i="5"/>
  <c r="AA148" i="5"/>
  <c r="Z148" i="5"/>
  <c r="Y148" i="5"/>
  <c r="AA2623" i="5"/>
  <c r="Y2623" i="5"/>
  <c r="Z2623" i="5"/>
  <c r="BB156" i="6"/>
  <c r="AW156" i="6"/>
  <c r="BH156" i="6"/>
  <c r="BC156" i="6"/>
  <c r="BB157" i="6"/>
  <c r="AW157" i="6"/>
  <c r="BH157" i="6"/>
  <c r="BC157" i="6"/>
  <c r="CS163" i="6"/>
  <c r="CX163" i="6"/>
  <c r="CM163" i="6"/>
  <c r="CR163" i="6"/>
  <c r="BW160" i="6"/>
  <c r="CC160" i="6"/>
  <c r="BR160" i="6"/>
  <c r="BX160" i="6"/>
  <c r="AN154" i="6"/>
  <c r="AT154" i="6"/>
  <c r="AO154" i="6"/>
  <c r="DH165" i="6"/>
  <c r="DN165" i="6"/>
  <c r="DS165" i="6"/>
  <c r="DM165" i="6"/>
  <c r="AN155" i="6"/>
  <c r="AT155" i="6"/>
  <c r="AO155" i="6"/>
  <c r="AA1633" i="5"/>
  <c r="Z1633" i="5"/>
  <c r="Y1633" i="5"/>
  <c r="BV158" i="6"/>
  <c r="BK158" i="6"/>
  <c r="BP158" i="6"/>
  <c r="BQ158" i="6"/>
  <c r="AA4109" i="5"/>
  <c r="Z4109" i="5"/>
  <c r="Y4109" i="5"/>
  <c r="AA1634" i="5"/>
  <c r="Y1634" i="5"/>
  <c r="Z1634" i="5"/>
  <c r="DO166" i="6"/>
  <c r="DY166" i="6"/>
  <c r="AA4604" i="5"/>
  <c r="Y4604" i="5"/>
  <c r="Z4604" i="5"/>
  <c r="AA2624" i="5"/>
  <c r="Y2624" i="5"/>
  <c r="Z2624" i="5"/>
  <c r="BV159" i="6"/>
  <c r="BK159" i="6"/>
  <c r="BQ159" i="6"/>
  <c r="BP159" i="6"/>
  <c r="AA3614" i="5"/>
  <c r="Y3614" i="5"/>
  <c r="Z3614" i="5"/>
  <c r="DA164" i="6"/>
  <c r="DL164" i="6"/>
  <c r="DG164" i="6"/>
  <c r="DF164" i="6"/>
  <c r="AA3119" i="5"/>
  <c r="Z3119" i="5"/>
  <c r="Y3119" i="5"/>
  <c r="AA643" i="5"/>
  <c r="Y643" i="5"/>
  <c r="Z643" i="5"/>
  <c r="AA644" i="5"/>
  <c r="Y644" i="5"/>
  <c r="Z644" i="5"/>
  <c r="BY161" i="6"/>
  <c r="CE161" i="6"/>
  <c r="CD161" i="6"/>
  <c r="CJ161" i="6"/>
  <c r="CK162" i="6"/>
  <c r="CF162" i="6"/>
  <c r="CL162" i="6"/>
  <c r="CQ162" i="6"/>
  <c r="Y6088" i="5"/>
  <c r="Z6088" i="5"/>
  <c r="R168" i="6"/>
  <c r="L168" i="6"/>
  <c r="X168" i="6"/>
  <c r="P168" i="6"/>
  <c r="H168" i="6"/>
  <c r="V168" i="6"/>
  <c r="N168" i="6"/>
  <c r="D168" i="6"/>
  <c r="T168" i="6"/>
  <c r="J168" i="6"/>
  <c r="F168" i="6"/>
  <c r="AK168" i="6"/>
  <c r="AB168" i="6"/>
  <c r="DT168" i="6" s="1"/>
  <c r="Z168" i="6"/>
  <c r="AM168" i="6"/>
  <c r="AI168" i="6"/>
  <c r="DX166" i="6"/>
  <c r="AA6089" i="5" s="1"/>
  <c r="Z167" i="6"/>
  <c r="T167" i="6"/>
  <c r="J167" i="6"/>
  <c r="R167" i="6"/>
  <c r="N167" i="6"/>
  <c r="F167" i="6"/>
  <c r="X167" i="6"/>
  <c r="P167" i="6"/>
  <c r="H167" i="6"/>
  <c r="D167" i="6"/>
  <c r="V167" i="6"/>
  <c r="L167" i="6"/>
  <c r="AI167" i="6"/>
  <c r="AB167" i="6"/>
  <c r="DT167" i="6" s="1"/>
  <c r="AM167" i="6"/>
  <c r="AK167" i="6"/>
  <c r="EF169" i="6"/>
  <c r="AA3615" i="5" l="1"/>
  <c r="Z3615" i="5"/>
  <c r="Y3615" i="5"/>
  <c r="BD158" i="6"/>
  <c r="BJ158" i="6"/>
  <c r="BO158" i="6"/>
  <c r="BI158" i="6"/>
  <c r="AA1140" i="5"/>
  <c r="Y1140" i="5"/>
  <c r="Z1140" i="5"/>
  <c r="DO168" i="6"/>
  <c r="DY168" i="6"/>
  <c r="AA3120" i="5"/>
  <c r="Y3120" i="5"/>
  <c r="Z3120" i="5"/>
  <c r="CK163" i="6"/>
  <c r="CF163" i="6"/>
  <c r="CL163" i="6"/>
  <c r="CQ163" i="6"/>
  <c r="AP156" i="6"/>
  <c r="AV156" i="6"/>
  <c r="AU156" i="6"/>
  <c r="BA156" i="6"/>
  <c r="CE162" i="6"/>
  <c r="BY162" i="6"/>
  <c r="CD162" i="6"/>
  <c r="CJ162" i="6"/>
  <c r="BD159" i="6"/>
  <c r="BI159" i="6"/>
  <c r="BO159" i="6"/>
  <c r="BJ159" i="6"/>
  <c r="AA150" i="5"/>
  <c r="Y150" i="5"/>
  <c r="Z150" i="5"/>
  <c r="CT164" i="6"/>
  <c r="CY164" i="6"/>
  <c r="DE164" i="6"/>
  <c r="CZ164" i="6"/>
  <c r="BV160" i="6"/>
  <c r="BQ160" i="6"/>
  <c r="BK160" i="6"/>
  <c r="BP160" i="6"/>
  <c r="AA1139" i="5"/>
  <c r="Z1139" i="5"/>
  <c r="Y1139" i="5"/>
  <c r="AA2129" i="5"/>
  <c r="Z2129" i="5"/>
  <c r="Y2129" i="5"/>
  <c r="AA5594" i="5"/>
  <c r="Y5594" i="5"/>
  <c r="Z5594" i="5"/>
  <c r="AA149" i="5"/>
  <c r="Z149" i="5"/>
  <c r="Y149" i="5"/>
  <c r="Y2625" i="5"/>
  <c r="Z2625" i="5"/>
  <c r="AA2625" i="5"/>
  <c r="Z4110" i="5"/>
  <c r="Y4110" i="5"/>
  <c r="AA4110" i="5"/>
  <c r="AP157" i="6"/>
  <c r="AV157" i="6"/>
  <c r="AU157" i="6"/>
  <c r="BA157" i="6"/>
  <c r="DO167" i="6"/>
  <c r="DY167" i="6"/>
  <c r="BW161" i="6"/>
  <c r="BR161" i="6"/>
  <c r="CC161" i="6"/>
  <c r="BX161" i="6"/>
  <c r="AA5099" i="5"/>
  <c r="Y5099" i="5"/>
  <c r="Z5099" i="5"/>
  <c r="AA2130" i="5"/>
  <c r="Y2130" i="5"/>
  <c r="Z2130" i="5"/>
  <c r="DS166" i="6"/>
  <c r="DH166" i="6"/>
  <c r="DM166" i="6"/>
  <c r="DN166" i="6"/>
  <c r="DA165" i="6"/>
  <c r="DG165" i="6"/>
  <c r="DF165" i="6"/>
  <c r="DL165" i="6"/>
  <c r="Y6089" i="5"/>
  <c r="Z6089" i="5"/>
  <c r="EF170" i="6"/>
  <c r="EG169" i="6"/>
  <c r="EH169" i="6" s="1"/>
  <c r="AA169" i="6" s="1"/>
  <c r="DX167" i="6"/>
  <c r="AA6090" i="5" s="1"/>
  <c r="DX168" i="6"/>
  <c r="AA6091" i="5" s="1"/>
  <c r="BV161" i="6" l="1"/>
  <c r="BK161" i="6"/>
  <c r="BP161" i="6"/>
  <c r="BQ161" i="6"/>
  <c r="AA646" i="5"/>
  <c r="Z646" i="5"/>
  <c r="Y646" i="5"/>
  <c r="BB159" i="6"/>
  <c r="AW159" i="6"/>
  <c r="BH159" i="6"/>
  <c r="BC159" i="6"/>
  <c r="BB158" i="6"/>
  <c r="AW158" i="6"/>
  <c r="BH158" i="6"/>
  <c r="BC158" i="6"/>
  <c r="AA2131" i="5"/>
  <c r="Y2131" i="5"/>
  <c r="Z2131" i="5"/>
  <c r="CS164" i="6"/>
  <c r="CM164" i="6"/>
  <c r="CX164" i="6"/>
  <c r="CR164" i="6"/>
  <c r="AA3121" i="5"/>
  <c r="Y3121" i="5"/>
  <c r="Z3121" i="5"/>
  <c r="AA645" i="5"/>
  <c r="Y645" i="5"/>
  <c r="Z645" i="5"/>
  <c r="AA3616" i="5"/>
  <c r="Y3616" i="5"/>
  <c r="Z3616" i="5"/>
  <c r="DS168" i="6"/>
  <c r="DH168" i="6"/>
  <c r="DN168" i="6"/>
  <c r="DM168" i="6"/>
  <c r="AA5100" i="5"/>
  <c r="Y5100" i="5"/>
  <c r="Z5100" i="5"/>
  <c r="AN156" i="6"/>
  <c r="AT156" i="6"/>
  <c r="AO156" i="6"/>
  <c r="DA166" i="6"/>
  <c r="DF166" i="6"/>
  <c r="DG166" i="6"/>
  <c r="DL166" i="6"/>
  <c r="AA1636" i="5"/>
  <c r="Y1636" i="5"/>
  <c r="Z1636" i="5"/>
  <c r="AA1635" i="5"/>
  <c r="Z1635" i="5"/>
  <c r="Y1635" i="5"/>
  <c r="CT165" i="6"/>
  <c r="CY165" i="6"/>
  <c r="CZ165" i="6"/>
  <c r="DE165" i="6"/>
  <c r="AA5595" i="5"/>
  <c r="Y5595" i="5"/>
  <c r="Z5595" i="5"/>
  <c r="AA2626" i="5"/>
  <c r="Z2626" i="5"/>
  <c r="Y2626" i="5"/>
  <c r="DS167" i="6"/>
  <c r="DM167" i="6"/>
  <c r="DH167" i="6"/>
  <c r="DN167" i="6"/>
  <c r="AN157" i="6"/>
  <c r="AO157" i="6"/>
  <c r="AT157" i="6"/>
  <c r="BD160" i="6"/>
  <c r="BO160" i="6"/>
  <c r="BI160" i="6"/>
  <c r="BJ160" i="6"/>
  <c r="AA4605" i="5"/>
  <c r="Z4605" i="5"/>
  <c r="Y4605" i="5"/>
  <c r="BW162" i="6"/>
  <c r="BR162" i="6"/>
  <c r="BX162" i="6"/>
  <c r="CC162" i="6"/>
  <c r="BY163" i="6"/>
  <c r="CE163" i="6"/>
  <c r="CD163" i="6"/>
  <c r="CJ163" i="6"/>
  <c r="Y6090" i="5"/>
  <c r="Z6090" i="5"/>
  <c r="Y6091" i="5"/>
  <c r="Z6091" i="5"/>
  <c r="EF171" i="6"/>
  <c r="EG171" i="6" s="1"/>
  <c r="EH171" i="6" s="1"/>
  <c r="AA171" i="6" s="1"/>
  <c r="D169" i="6"/>
  <c r="Z169" i="6"/>
  <c r="V169" i="6"/>
  <c r="N169" i="6"/>
  <c r="R169" i="6"/>
  <c r="L169" i="6"/>
  <c r="P169" i="6"/>
  <c r="J169" i="6"/>
  <c r="X169" i="6"/>
  <c r="T169" i="6"/>
  <c r="H169" i="6"/>
  <c r="F169" i="6"/>
  <c r="AI169" i="6"/>
  <c r="AK169" i="6"/>
  <c r="AB169" i="6"/>
  <c r="DT169" i="6" s="1"/>
  <c r="AM169" i="6"/>
  <c r="EG170" i="6"/>
  <c r="EH170" i="6" s="1"/>
  <c r="AA170" i="6" s="1"/>
  <c r="DA167" i="6" l="1"/>
  <c r="DF167" i="6"/>
  <c r="DL167" i="6"/>
  <c r="DG167" i="6"/>
  <c r="Y151" i="5"/>
  <c r="AA151" i="5"/>
  <c r="Z151" i="5"/>
  <c r="Y5597" i="5"/>
  <c r="AA5597" i="5"/>
  <c r="Z5597" i="5"/>
  <c r="CK164" i="6"/>
  <c r="CF164" i="6"/>
  <c r="CQ164" i="6"/>
  <c r="CL164" i="6"/>
  <c r="DO169" i="6"/>
  <c r="DY169" i="6"/>
  <c r="AA3122" i="5"/>
  <c r="Z3122" i="5"/>
  <c r="Y3122" i="5"/>
  <c r="AA2627" i="5"/>
  <c r="Y2627" i="5"/>
  <c r="Z2627" i="5"/>
  <c r="AA4606" i="5"/>
  <c r="Y4606" i="5"/>
  <c r="Z4606" i="5"/>
  <c r="BW163" i="6"/>
  <c r="BR163" i="6"/>
  <c r="BX163" i="6"/>
  <c r="CC163" i="6"/>
  <c r="AA152" i="5"/>
  <c r="Z152" i="5"/>
  <c r="Y152" i="5"/>
  <c r="CS165" i="6"/>
  <c r="CR165" i="6"/>
  <c r="CM165" i="6"/>
  <c r="CX165" i="6"/>
  <c r="AA1637" i="5"/>
  <c r="Z1637" i="5"/>
  <c r="Y1637" i="5"/>
  <c r="AA5596" i="5"/>
  <c r="Y5596" i="5"/>
  <c r="Z5596" i="5"/>
  <c r="CT166" i="6"/>
  <c r="CZ166" i="6"/>
  <c r="DE166" i="6"/>
  <c r="CY166" i="6"/>
  <c r="AA1141" i="5"/>
  <c r="Y1141" i="5"/>
  <c r="Z1141" i="5"/>
  <c r="AA1142" i="5"/>
  <c r="Z1142" i="5"/>
  <c r="Y1142" i="5"/>
  <c r="BD161" i="6"/>
  <c r="BJ161" i="6"/>
  <c r="BO161" i="6"/>
  <c r="BI161" i="6"/>
  <c r="BV162" i="6"/>
  <c r="BK162" i="6"/>
  <c r="BP162" i="6"/>
  <c r="BQ162" i="6"/>
  <c r="BB160" i="6"/>
  <c r="AW160" i="6"/>
  <c r="BH160" i="6"/>
  <c r="BC160" i="6"/>
  <c r="AA5101" i="5"/>
  <c r="Y5101" i="5"/>
  <c r="Z5101" i="5"/>
  <c r="DA168" i="6"/>
  <c r="DG168" i="6"/>
  <c r="DL168" i="6"/>
  <c r="DF168" i="6"/>
  <c r="AA4111" i="5"/>
  <c r="Y4111" i="5"/>
  <c r="Z4111" i="5"/>
  <c r="AP158" i="6"/>
  <c r="BA158" i="6"/>
  <c r="AV158" i="6"/>
  <c r="AU158" i="6"/>
  <c r="AP159" i="6"/>
  <c r="BA159" i="6"/>
  <c r="AV159" i="6"/>
  <c r="AU159" i="6"/>
  <c r="AA2132" i="5"/>
  <c r="Z2132" i="5"/>
  <c r="Y2132" i="5"/>
  <c r="V171" i="6"/>
  <c r="L171" i="6"/>
  <c r="T171" i="6"/>
  <c r="N171" i="6"/>
  <c r="R171" i="6"/>
  <c r="J171" i="6"/>
  <c r="D171" i="6"/>
  <c r="Z171" i="6"/>
  <c r="X171" i="6"/>
  <c r="P171" i="6"/>
  <c r="H171" i="6"/>
  <c r="F171" i="6"/>
  <c r="AI171" i="6"/>
  <c r="AB171" i="6"/>
  <c r="DT171" i="6" s="1"/>
  <c r="AK171" i="6"/>
  <c r="AM171" i="6"/>
  <c r="EF172" i="6"/>
  <c r="T170" i="6"/>
  <c r="L170" i="6"/>
  <c r="Z170" i="6"/>
  <c r="R170" i="6"/>
  <c r="J170" i="6"/>
  <c r="H170" i="6"/>
  <c r="X170" i="6"/>
  <c r="N170" i="6"/>
  <c r="D170" i="6"/>
  <c r="V170" i="6"/>
  <c r="P170" i="6"/>
  <c r="F170" i="6"/>
  <c r="AM170" i="6"/>
  <c r="AB170" i="6"/>
  <c r="DT170" i="6" s="1"/>
  <c r="AK170" i="6"/>
  <c r="AI170" i="6"/>
  <c r="DX169" i="6"/>
  <c r="AA6092" i="5" s="1"/>
  <c r="CT168" i="6" l="1"/>
  <c r="DE168" i="6"/>
  <c r="CY168" i="6"/>
  <c r="CZ168" i="6"/>
  <c r="CE164" i="6"/>
  <c r="BY164" i="6"/>
  <c r="CD164" i="6"/>
  <c r="CJ164" i="6"/>
  <c r="DO171" i="6"/>
  <c r="DY171" i="6"/>
  <c r="AN158" i="6"/>
  <c r="AO158" i="6"/>
  <c r="AT158" i="6"/>
  <c r="Y1143" i="5"/>
  <c r="AA1143" i="5"/>
  <c r="Z1143" i="5"/>
  <c r="AA1638" i="5"/>
  <c r="Y1638" i="5"/>
  <c r="Z1638" i="5"/>
  <c r="CS166" i="6"/>
  <c r="CM166" i="6"/>
  <c r="CR166" i="6"/>
  <c r="CX166" i="6"/>
  <c r="CK165" i="6"/>
  <c r="CF165" i="6"/>
  <c r="CQ165" i="6"/>
  <c r="CL165" i="6"/>
  <c r="BV163" i="6"/>
  <c r="BK163" i="6"/>
  <c r="BQ163" i="6"/>
  <c r="BP163" i="6"/>
  <c r="DH169" i="6"/>
  <c r="DM169" i="6"/>
  <c r="DS169" i="6"/>
  <c r="DN169" i="6"/>
  <c r="AA5102" i="5"/>
  <c r="Y5102" i="5"/>
  <c r="Z5102" i="5"/>
  <c r="AA648" i="5"/>
  <c r="Y648" i="5"/>
  <c r="Z648" i="5"/>
  <c r="AA647" i="5"/>
  <c r="Y647" i="5"/>
  <c r="Z647" i="5"/>
  <c r="AA5103" i="5"/>
  <c r="Y5103" i="5"/>
  <c r="Z5103" i="5"/>
  <c r="AP160" i="6"/>
  <c r="AV160" i="6"/>
  <c r="AU160" i="6"/>
  <c r="BA160" i="6"/>
  <c r="BD162" i="6"/>
  <c r="BI162" i="6"/>
  <c r="BO162" i="6"/>
  <c r="BJ162" i="6"/>
  <c r="DO170" i="6"/>
  <c r="DY170" i="6"/>
  <c r="AA4112" i="5"/>
  <c r="Y4112" i="5"/>
  <c r="Z4112" i="5"/>
  <c r="AN159" i="6"/>
  <c r="AT159" i="6"/>
  <c r="AO159" i="6"/>
  <c r="AA2133" i="5"/>
  <c r="Y2133" i="5"/>
  <c r="Z2133" i="5"/>
  <c r="BB161" i="6"/>
  <c r="AW161" i="6"/>
  <c r="BH161" i="6"/>
  <c r="BC161" i="6"/>
  <c r="AA4607" i="5"/>
  <c r="Y4607" i="5"/>
  <c r="Z4607" i="5"/>
  <c r="AA2628" i="5"/>
  <c r="Z2628" i="5"/>
  <c r="Y2628" i="5"/>
  <c r="AA3617" i="5"/>
  <c r="Z3617" i="5"/>
  <c r="Y3617" i="5"/>
  <c r="CT167" i="6"/>
  <c r="CZ167" i="6"/>
  <c r="CY167" i="6"/>
  <c r="DE167" i="6"/>
  <c r="Y6092" i="5"/>
  <c r="Z6092" i="5"/>
  <c r="DX170" i="6"/>
  <c r="AA6093" i="5" s="1"/>
  <c r="EF173" i="6"/>
  <c r="EG173" i="6" s="1"/>
  <c r="EH173" i="6" s="1"/>
  <c r="AA173" i="6" s="1"/>
  <c r="DX171" i="6"/>
  <c r="AA6094" i="5" s="1"/>
  <c r="EG172" i="6"/>
  <c r="EH172" i="6" s="1"/>
  <c r="AA172" i="6" s="1"/>
  <c r="CS167" i="6" l="1"/>
  <c r="CM167" i="6"/>
  <c r="CX167" i="6"/>
  <c r="CR167" i="6"/>
  <c r="AP161" i="6"/>
  <c r="AV161" i="6"/>
  <c r="AU161" i="6"/>
  <c r="BA161" i="6"/>
  <c r="BB162" i="6"/>
  <c r="AW162" i="6"/>
  <c r="BC162" i="6"/>
  <c r="BH162" i="6"/>
  <c r="DA169" i="6"/>
  <c r="DF169" i="6"/>
  <c r="DG169" i="6"/>
  <c r="DL169" i="6"/>
  <c r="AA2134" i="5"/>
  <c r="Z2134" i="5"/>
  <c r="Y2134" i="5"/>
  <c r="AA3123" i="5"/>
  <c r="Y3123" i="5"/>
  <c r="Z3123" i="5"/>
  <c r="AA4608" i="5"/>
  <c r="Y4608" i="5"/>
  <c r="Z4608" i="5"/>
  <c r="AA649" i="5"/>
  <c r="Y649" i="5"/>
  <c r="Z649" i="5"/>
  <c r="AA4113" i="5"/>
  <c r="Z4113" i="5"/>
  <c r="Y4113" i="5"/>
  <c r="DS170" i="6"/>
  <c r="DH170" i="6"/>
  <c r="DM170" i="6"/>
  <c r="DN170" i="6"/>
  <c r="AN160" i="6"/>
  <c r="AT160" i="6"/>
  <c r="AO160" i="6"/>
  <c r="AA154" i="5"/>
  <c r="Z154" i="5"/>
  <c r="Y154" i="5"/>
  <c r="AA1639" i="5"/>
  <c r="Z1639" i="5"/>
  <c r="Y1639" i="5"/>
  <c r="AA5598" i="5"/>
  <c r="Y5598" i="5"/>
  <c r="Z5598" i="5"/>
  <c r="AA3618" i="5"/>
  <c r="Y3618" i="5"/>
  <c r="Z3618" i="5"/>
  <c r="BW164" i="6"/>
  <c r="CC164" i="6"/>
  <c r="BR164" i="6"/>
  <c r="BX164" i="6"/>
  <c r="AA4609" i="5"/>
  <c r="Y4609" i="5"/>
  <c r="Z4609" i="5"/>
  <c r="AA1144" i="5"/>
  <c r="Z1144" i="5"/>
  <c r="Y1144" i="5"/>
  <c r="BD163" i="6"/>
  <c r="BJ163" i="6"/>
  <c r="BI163" i="6"/>
  <c r="BO163" i="6"/>
  <c r="BY165" i="6"/>
  <c r="CE165" i="6"/>
  <c r="CD165" i="6"/>
  <c r="CJ165" i="6"/>
  <c r="CK166" i="6"/>
  <c r="CF166" i="6"/>
  <c r="CL166" i="6"/>
  <c r="CQ166" i="6"/>
  <c r="AA153" i="5"/>
  <c r="Y153" i="5"/>
  <c r="Z153" i="5"/>
  <c r="DS171" i="6"/>
  <c r="DM171" i="6"/>
  <c r="DH171" i="6"/>
  <c r="DN171" i="6"/>
  <c r="CS168" i="6"/>
  <c r="CX168" i="6"/>
  <c r="CM168" i="6"/>
  <c r="CR168" i="6"/>
  <c r="Y6093" i="5"/>
  <c r="Z6093" i="5"/>
  <c r="Y6094" i="5"/>
  <c r="Z6094" i="5"/>
  <c r="J173" i="6"/>
  <c r="X173" i="6"/>
  <c r="P173" i="6"/>
  <c r="F173" i="6"/>
  <c r="V173" i="6"/>
  <c r="N173" i="6"/>
  <c r="T173" i="6"/>
  <c r="L173" i="6"/>
  <c r="Z173" i="6"/>
  <c r="R173" i="6"/>
  <c r="H173" i="6"/>
  <c r="AM173" i="6"/>
  <c r="AB173" i="6"/>
  <c r="DT173" i="6" s="1"/>
  <c r="AI173" i="6"/>
  <c r="D173" i="6"/>
  <c r="AK173" i="6"/>
  <c r="R172" i="6"/>
  <c r="L172" i="6"/>
  <c r="X172" i="6"/>
  <c r="P172" i="6"/>
  <c r="H172" i="6"/>
  <c r="V172" i="6"/>
  <c r="N172" i="6"/>
  <c r="D172" i="6"/>
  <c r="T172" i="6"/>
  <c r="J172" i="6"/>
  <c r="F172" i="6"/>
  <c r="Z172" i="6"/>
  <c r="AK172" i="6"/>
  <c r="AM172" i="6"/>
  <c r="AB172" i="6"/>
  <c r="DT172" i="6" s="1"/>
  <c r="AI172" i="6"/>
  <c r="EF174" i="6"/>
  <c r="DO172" i="6" l="1"/>
  <c r="DY172" i="6"/>
  <c r="DO173" i="6"/>
  <c r="DY173" i="6"/>
  <c r="AA5600" i="5"/>
  <c r="Z5600" i="5"/>
  <c r="Y5600" i="5"/>
  <c r="AA3619" i="5"/>
  <c r="Y3619" i="5"/>
  <c r="Z3619" i="5"/>
  <c r="AA3124" i="5"/>
  <c r="Z3124" i="5"/>
  <c r="Y3124" i="5"/>
  <c r="AA1640" i="5"/>
  <c r="Y1640" i="5"/>
  <c r="Z1640" i="5"/>
  <c r="Y2629" i="5"/>
  <c r="AA2629" i="5"/>
  <c r="Z2629" i="5"/>
  <c r="AA5599" i="5"/>
  <c r="Y5599" i="5"/>
  <c r="Z5599" i="5"/>
  <c r="AA5104" i="5"/>
  <c r="Y5104" i="5"/>
  <c r="Z5104" i="5"/>
  <c r="AA1145" i="5"/>
  <c r="Y1145" i="5"/>
  <c r="Z1145" i="5"/>
  <c r="AA650" i="5"/>
  <c r="Y650" i="5"/>
  <c r="Z650" i="5"/>
  <c r="AA4114" i="5"/>
  <c r="Y4114" i="5"/>
  <c r="Z4114" i="5"/>
  <c r="CK168" i="6"/>
  <c r="CF168" i="6"/>
  <c r="CL168" i="6"/>
  <c r="CQ168" i="6"/>
  <c r="DA171" i="6"/>
  <c r="DG171" i="6"/>
  <c r="DF171" i="6"/>
  <c r="DL171" i="6"/>
  <c r="CE166" i="6"/>
  <c r="BY166" i="6"/>
  <c r="CD166" i="6"/>
  <c r="CJ166" i="6"/>
  <c r="AP162" i="6"/>
  <c r="AV162" i="6"/>
  <c r="AU162" i="6"/>
  <c r="BA162" i="6"/>
  <c r="CK167" i="6"/>
  <c r="CF167" i="6"/>
  <c r="CL167" i="6"/>
  <c r="CQ167" i="6"/>
  <c r="Y4115" i="5"/>
  <c r="AA4115" i="5"/>
  <c r="Z4115" i="5"/>
  <c r="BW165" i="6"/>
  <c r="BR165" i="6"/>
  <c r="CC165" i="6"/>
  <c r="BX165" i="6"/>
  <c r="BB163" i="6"/>
  <c r="AW163" i="6"/>
  <c r="BH163" i="6"/>
  <c r="BC163" i="6"/>
  <c r="BV164" i="6"/>
  <c r="BK164" i="6"/>
  <c r="BQ164" i="6"/>
  <c r="BP164" i="6"/>
  <c r="Y155" i="5"/>
  <c r="AA155" i="5"/>
  <c r="Z155" i="5"/>
  <c r="DA170" i="6"/>
  <c r="DL170" i="6"/>
  <c r="DG170" i="6"/>
  <c r="DF170" i="6"/>
  <c r="CT169" i="6"/>
  <c r="CZ169" i="6"/>
  <c r="DE169" i="6"/>
  <c r="CY169" i="6"/>
  <c r="AN161" i="6"/>
  <c r="AO161" i="6"/>
  <c r="AT161" i="6"/>
  <c r="EF175" i="6"/>
  <c r="EG175" i="6" s="1"/>
  <c r="EH175" i="6" s="1"/>
  <c r="AA175" i="6" s="1"/>
  <c r="EG174" i="6"/>
  <c r="EH174" i="6" s="1"/>
  <c r="AA174" i="6" s="1"/>
  <c r="DX172" i="6"/>
  <c r="AA6095" i="5" s="1"/>
  <c r="DX173" i="6"/>
  <c r="AA6096" i="5" s="1"/>
  <c r="AA1146" i="5" l="1"/>
  <c r="Y1146" i="5"/>
  <c r="Z1146" i="5"/>
  <c r="AA2630" i="5"/>
  <c r="Y2630" i="5"/>
  <c r="Z2630" i="5"/>
  <c r="BY167" i="6"/>
  <c r="CE167" i="6"/>
  <c r="CD167" i="6"/>
  <c r="CJ167" i="6"/>
  <c r="BW166" i="6"/>
  <c r="BR166" i="6"/>
  <c r="BX166" i="6"/>
  <c r="CC166" i="6"/>
  <c r="CE168" i="6"/>
  <c r="BY168" i="6"/>
  <c r="CD168" i="6"/>
  <c r="CJ168" i="6"/>
  <c r="AA4610" i="5"/>
  <c r="Y4610" i="5"/>
  <c r="Z4610" i="5"/>
  <c r="BD164" i="6"/>
  <c r="BJ164" i="6"/>
  <c r="BO164" i="6"/>
  <c r="BI164" i="6"/>
  <c r="BV165" i="6"/>
  <c r="BK165" i="6"/>
  <c r="BQ165" i="6"/>
  <c r="BP165" i="6"/>
  <c r="CT171" i="6"/>
  <c r="CY171" i="6"/>
  <c r="CZ171" i="6"/>
  <c r="DE171" i="6"/>
  <c r="DH173" i="6"/>
  <c r="DS173" i="6"/>
  <c r="DM173" i="6"/>
  <c r="DN173" i="6"/>
  <c r="AA156" i="5"/>
  <c r="Y156" i="5"/>
  <c r="Z156" i="5"/>
  <c r="AP163" i="6"/>
  <c r="AV163" i="6"/>
  <c r="AU163" i="6"/>
  <c r="BA163" i="6"/>
  <c r="AN162" i="6"/>
  <c r="AO162" i="6"/>
  <c r="AT162" i="6"/>
  <c r="AA5105" i="5"/>
  <c r="Y5105" i="5"/>
  <c r="Z5105" i="5"/>
  <c r="AA2135" i="5"/>
  <c r="Y2135" i="5"/>
  <c r="Z2135" i="5"/>
  <c r="AA3620" i="5"/>
  <c r="Y3620" i="5"/>
  <c r="Z3620" i="5"/>
  <c r="AA651" i="5"/>
  <c r="Y651" i="5"/>
  <c r="Z651" i="5"/>
  <c r="AA3125" i="5"/>
  <c r="Z3125" i="5"/>
  <c r="Y3125" i="5"/>
  <c r="AA5106" i="5"/>
  <c r="Y5106" i="5"/>
  <c r="Z5106" i="5"/>
  <c r="AA3621" i="5"/>
  <c r="Y3621" i="5"/>
  <c r="Z3621" i="5"/>
  <c r="CS169" i="6"/>
  <c r="CR169" i="6"/>
  <c r="CM169" i="6"/>
  <c r="CX169" i="6"/>
  <c r="CT170" i="6"/>
  <c r="CY170" i="6"/>
  <c r="DE170" i="6"/>
  <c r="CZ170" i="6"/>
  <c r="DS172" i="6"/>
  <c r="DH172" i="6"/>
  <c r="DN172" i="6"/>
  <c r="DM172" i="6"/>
  <c r="Y6095" i="5"/>
  <c r="Z6095" i="5"/>
  <c r="Y6096" i="5"/>
  <c r="Z6096" i="5"/>
  <c r="H174" i="6"/>
  <c r="X174" i="6"/>
  <c r="N174" i="6"/>
  <c r="D174" i="6"/>
  <c r="V174" i="6"/>
  <c r="P174" i="6"/>
  <c r="F174" i="6"/>
  <c r="T174" i="6"/>
  <c r="L174" i="6"/>
  <c r="Z174" i="6"/>
  <c r="R174" i="6"/>
  <c r="J174" i="6"/>
  <c r="AM174" i="6"/>
  <c r="AI174" i="6"/>
  <c r="AK174" i="6"/>
  <c r="AB174" i="6"/>
  <c r="DT174" i="6" s="1"/>
  <c r="D175" i="6"/>
  <c r="X175" i="6"/>
  <c r="P175" i="6"/>
  <c r="H175" i="6"/>
  <c r="F175" i="6"/>
  <c r="V175" i="6"/>
  <c r="N175" i="6"/>
  <c r="Z175" i="6"/>
  <c r="T175" i="6"/>
  <c r="L175" i="6"/>
  <c r="R175" i="6"/>
  <c r="J175" i="6"/>
  <c r="AI175" i="6"/>
  <c r="AK175" i="6"/>
  <c r="AB175" i="6"/>
  <c r="DT175" i="6" s="1"/>
  <c r="AM175" i="6"/>
  <c r="EF176" i="6"/>
  <c r="DO174" i="6" l="1"/>
  <c r="DY174" i="6"/>
  <c r="AA4116" i="5"/>
  <c r="Z4116" i="5"/>
  <c r="Y4116" i="5"/>
  <c r="AA652" i="5"/>
  <c r="Y652" i="5"/>
  <c r="Z652" i="5"/>
  <c r="AA1641" i="5"/>
  <c r="Y1641" i="5"/>
  <c r="Z1641" i="5"/>
  <c r="BW168" i="6"/>
  <c r="CC168" i="6"/>
  <c r="BR168" i="6"/>
  <c r="BX168" i="6"/>
  <c r="BV166" i="6"/>
  <c r="BK166" i="6"/>
  <c r="BP166" i="6"/>
  <c r="BQ166" i="6"/>
  <c r="AA4611" i="5"/>
  <c r="Y4611" i="5"/>
  <c r="Z4611" i="5"/>
  <c r="CK169" i="6"/>
  <c r="CQ169" i="6"/>
  <c r="CF169" i="6"/>
  <c r="CL169" i="6"/>
  <c r="AA157" i="5"/>
  <c r="Y157" i="5"/>
  <c r="Z157" i="5"/>
  <c r="AA5602" i="5"/>
  <c r="Z5602" i="5"/>
  <c r="Y5602" i="5"/>
  <c r="BD165" i="6"/>
  <c r="BO165" i="6"/>
  <c r="BI165" i="6"/>
  <c r="BJ165" i="6"/>
  <c r="BW167" i="6"/>
  <c r="BR167" i="6"/>
  <c r="BX167" i="6"/>
  <c r="CC167" i="6"/>
  <c r="DO175" i="6"/>
  <c r="DY175" i="6"/>
  <c r="DA172" i="6"/>
  <c r="DG172" i="6"/>
  <c r="DL172" i="6"/>
  <c r="DF172" i="6"/>
  <c r="DA173" i="6"/>
  <c r="DL173" i="6"/>
  <c r="DG173" i="6"/>
  <c r="DF173" i="6"/>
  <c r="CS171" i="6"/>
  <c r="CX171" i="6"/>
  <c r="CM171" i="6"/>
  <c r="CR171" i="6"/>
  <c r="AA2136" i="5"/>
  <c r="Y2136" i="5"/>
  <c r="Z2136" i="5"/>
  <c r="BB164" i="6"/>
  <c r="AW164" i="6"/>
  <c r="BH164" i="6"/>
  <c r="BC164" i="6"/>
  <c r="AA3127" i="5"/>
  <c r="Y3127" i="5"/>
  <c r="Z3127" i="5"/>
  <c r="AA2631" i="5"/>
  <c r="Y2631" i="5"/>
  <c r="Z2631" i="5"/>
  <c r="AA3126" i="5"/>
  <c r="Y3126" i="5"/>
  <c r="Z3126" i="5"/>
  <c r="Y5601" i="5"/>
  <c r="Z5601" i="5"/>
  <c r="AA5601" i="5"/>
  <c r="CS170" i="6"/>
  <c r="CM170" i="6"/>
  <c r="CX170" i="6"/>
  <c r="CR170" i="6"/>
  <c r="AN163" i="6"/>
  <c r="AO163" i="6"/>
  <c r="AT163" i="6"/>
  <c r="AA4612" i="5"/>
  <c r="Y4612" i="5"/>
  <c r="Z4612" i="5"/>
  <c r="DX175" i="6"/>
  <c r="AA6098" i="5" s="1"/>
  <c r="EF177" i="6"/>
  <c r="EG177" i="6" s="1"/>
  <c r="EH177" i="6" s="1"/>
  <c r="AA177" i="6" s="1"/>
  <c r="EG176" i="6"/>
  <c r="EH176" i="6" s="1"/>
  <c r="AA176" i="6" s="1"/>
  <c r="DX174" i="6"/>
  <c r="AA6097" i="5" s="1"/>
  <c r="CK171" i="6" l="1"/>
  <c r="CF171" i="6"/>
  <c r="CL171" i="6"/>
  <c r="CQ171" i="6"/>
  <c r="AA5107" i="5"/>
  <c r="Y5107" i="5"/>
  <c r="Z5107" i="5"/>
  <c r="BB165" i="6"/>
  <c r="AW165" i="6"/>
  <c r="BH165" i="6"/>
  <c r="BC165" i="6"/>
  <c r="AA158" i="5"/>
  <c r="Z158" i="5"/>
  <c r="Y158" i="5"/>
  <c r="AA4117" i="5"/>
  <c r="Y4117" i="5"/>
  <c r="Z4117" i="5"/>
  <c r="Y1147" i="5"/>
  <c r="AA1147" i="5"/>
  <c r="Z1147" i="5"/>
  <c r="AA4118" i="5"/>
  <c r="Z4118" i="5"/>
  <c r="Y4118" i="5"/>
  <c r="AA5108" i="5"/>
  <c r="Y5108" i="5"/>
  <c r="Z5108" i="5"/>
  <c r="AA2632" i="5"/>
  <c r="Y2632" i="5"/>
  <c r="Z2632" i="5"/>
  <c r="AA3622" i="5"/>
  <c r="Y3622" i="5"/>
  <c r="Z3622" i="5"/>
  <c r="Y2137" i="5"/>
  <c r="AA2137" i="5"/>
  <c r="Z2137" i="5"/>
  <c r="CK170" i="6"/>
  <c r="CF170" i="6"/>
  <c r="CL170" i="6"/>
  <c r="CQ170" i="6"/>
  <c r="AP164" i="6"/>
  <c r="AU164" i="6"/>
  <c r="BA164" i="6"/>
  <c r="AV164" i="6"/>
  <c r="CT173" i="6"/>
  <c r="DE173" i="6"/>
  <c r="CZ173" i="6"/>
  <c r="CY173" i="6"/>
  <c r="CT172" i="6"/>
  <c r="DE172" i="6"/>
  <c r="CY172" i="6"/>
  <c r="CZ172" i="6"/>
  <c r="BV167" i="6"/>
  <c r="BK167" i="6"/>
  <c r="BQ167" i="6"/>
  <c r="BP167" i="6"/>
  <c r="AA1642" i="5"/>
  <c r="Y1642" i="5"/>
  <c r="Z1642" i="5"/>
  <c r="BV168" i="6"/>
  <c r="BQ168" i="6"/>
  <c r="BK168" i="6"/>
  <c r="BP168" i="6"/>
  <c r="DS175" i="6"/>
  <c r="DM175" i="6"/>
  <c r="DH175" i="6"/>
  <c r="DN175" i="6"/>
  <c r="BY169" i="6"/>
  <c r="CE169" i="6"/>
  <c r="CD169" i="6"/>
  <c r="CJ169" i="6"/>
  <c r="BD166" i="6"/>
  <c r="BJ166" i="6"/>
  <c r="BO166" i="6"/>
  <c r="BI166" i="6"/>
  <c r="Y2633" i="5"/>
  <c r="AA2633" i="5"/>
  <c r="Z2633" i="5"/>
  <c r="DS174" i="6"/>
  <c r="DH174" i="6"/>
  <c r="DM174" i="6"/>
  <c r="DN174" i="6"/>
  <c r="Y6097" i="5"/>
  <c r="Z6097" i="5"/>
  <c r="Y6098" i="5"/>
  <c r="Z6098" i="5"/>
  <c r="X176" i="6"/>
  <c r="N176" i="6"/>
  <c r="D176" i="6"/>
  <c r="V176" i="6"/>
  <c r="J176" i="6"/>
  <c r="F176" i="6"/>
  <c r="T176" i="6"/>
  <c r="R176" i="6"/>
  <c r="P176" i="6"/>
  <c r="H176" i="6"/>
  <c r="AK176" i="6"/>
  <c r="AB176" i="6"/>
  <c r="DT176" i="6" s="1"/>
  <c r="L176" i="6"/>
  <c r="AM176" i="6"/>
  <c r="Z176" i="6"/>
  <c r="AI176" i="6"/>
  <c r="D177" i="6"/>
  <c r="X177" i="6"/>
  <c r="P177" i="6"/>
  <c r="J177" i="6"/>
  <c r="V177" i="6"/>
  <c r="N177" i="6"/>
  <c r="Z177" i="6"/>
  <c r="T177" i="6"/>
  <c r="L177" i="6"/>
  <c r="R177" i="6"/>
  <c r="H177" i="6"/>
  <c r="AI177" i="6"/>
  <c r="AM177" i="6"/>
  <c r="F177" i="6"/>
  <c r="AK177" i="6"/>
  <c r="AB177" i="6"/>
  <c r="DT177" i="6" s="1"/>
  <c r="EF178" i="6"/>
  <c r="EG178" i="6" s="1"/>
  <c r="EH178" i="6" s="1"/>
  <c r="AA178" i="6" s="1"/>
  <c r="DO176" i="6" l="1"/>
  <c r="DY176" i="6"/>
  <c r="AA2138" i="5"/>
  <c r="Y2138" i="5"/>
  <c r="Z2138" i="5"/>
  <c r="CS172" i="6"/>
  <c r="CM172" i="6"/>
  <c r="CX172" i="6"/>
  <c r="CR172" i="6"/>
  <c r="CS173" i="6"/>
  <c r="CR173" i="6"/>
  <c r="CM173" i="6"/>
  <c r="CX173" i="6"/>
  <c r="AN164" i="6"/>
  <c r="AO164" i="6"/>
  <c r="AT164" i="6"/>
  <c r="AA3624" i="5"/>
  <c r="Y3624" i="5"/>
  <c r="Z3624" i="5"/>
  <c r="DA174" i="6"/>
  <c r="DG174" i="6"/>
  <c r="DL174" i="6"/>
  <c r="DF174" i="6"/>
  <c r="BB166" i="6"/>
  <c r="AW166" i="6"/>
  <c r="BH166" i="6"/>
  <c r="BC166" i="6"/>
  <c r="BW169" i="6"/>
  <c r="BR169" i="6"/>
  <c r="CC169" i="6"/>
  <c r="BX169" i="6"/>
  <c r="AA5604" i="5"/>
  <c r="Y5604" i="5"/>
  <c r="Z5604" i="5"/>
  <c r="AA2139" i="5"/>
  <c r="Y2139" i="5"/>
  <c r="Z2139" i="5"/>
  <c r="AA3623" i="5"/>
  <c r="Y3623" i="5"/>
  <c r="Z3623" i="5"/>
  <c r="DO177" i="6"/>
  <c r="DY177" i="6"/>
  <c r="AA1643" i="5"/>
  <c r="Y1643" i="5"/>
  <c r="Z1643" i="5"/>
  <c r="AA5603" i="5"/>
  <c r="Y5603" i="5"/>
  <c r="Z5603" i="5"/>
  <c r="AA3128" i="5"/>
  <c r="Y3128" i="5"/>
  <c r="Z3128" i="5"/>
  <c r="AA653" i="5"/>
  <c r="Y653" i="5"/>
  <c r="Z653" i="5"/>
  <c r="AA1148" i="5"/>
  <c r="Y1148" i="5"/>
  <c r="Z1148" i="5"/>
  <c r="BY171" i="6"/>
  <c r="CE171" i="6"/>
  <c r="CD171" i="6"/>
  <c r="CJ171" i="6"/>
  <c r="DA175" i="6"/>
  <c r="DF175" i="6"/>
  <c r="DG175" i="6"/>
  <c r="DL175" i="6"/>
  <c r="BD168" i="6"/>
  <c r="BI168" i="6"/>
  <c r="BO168" i="6"/>
  <c r="BJ168" i="6"/>
  <c r="BD167" i="6"/>
  <c r="BO167" i="6"/>
  <c r="BI167" i="6"/>
  <c r="BJ167" i="6"/>
  <c r="AA4613" i="5"/>
  <c r="Y4613" i="5"/>
  <c r="Z4613" i="5"/>
  <c r="AA4614" i="5"/>
  <c r="Z4614" i="5"/>
  <c r="Y4614" i="5"/>
  <c r="CE170" i="6"/>
  <c r="BY170" i="6"/>
  <c r="CD170" i="6"/>
  <c r="CJ170" i="6"/>
  <c r="AP165" i="6"/>
  <c r="AU165" i="6"/>
  <c r="BA165" i="6"/>
  <c r="AV165" i="6"/>
  <c r="EF179" i="6"/>
  <c r="DX177" i="6"/>
  <c r="AA6100" i="5" s="1"/>
  <c r="DX176" i="6"/>
  <c r="AA6099" i="5" s="1"/>
  <c r="H178" i="6"/>
  <c r="V178" i="6"/>
  <c r="L178" i="6"/>
  <c r="T178" i="6"/>
  <c r="J178" i="6"/>
  <c r="Z178" i="6"/>
  <c r="R178" i="6"/>
  <c r="D178" i="6"/>
  <c r="X178" i="6"/>
  <c r="N178" i="6"/>
  <c r="F178" i="6"/>
  <c r="AM178" i="6"/>
  <c r="AI178" i="6"/>
  <c r="AB178" i="6"/>
  <c r="DT178" i="6" s="1"/>
  <c r="P178" i="6"/>
  <c r="AK178" i="6"/>
  <c r="AN165" i="6" l="1"/>
  <c r="AO165" i="6"/>
  <c r="AT165" i="6"/>
  <c r="AA1645" i="5"/>
  <c r="Y1645" i="5"/>
  <c r="Z1645" i="5"/>
  <c r="CT174" i="6"/>
  <c r="CY174" i="6"/>
  <c r="DE174" i="6"/>
  <c r="CZ174" i="6"/>
  <c r="Y159" i="5"/>
  <c r="AA159" i="5"/>
  <c r="Z159" i="5"/>
  <c r="CK173" i="6"/>
  <c r="CF173" i="6"/>
  <c r="CQ173" i="6"/>
  <c r="CL173" i="6"/>
  <c r="AA4119" i="5"/>
  <c r="Y4119" i="5"/>
  <c r="Z4119" i="5"/>
  <c r="BW170" i="6"/>
  <c r="BR170" i="6"/>
  <c r="BX170" i="6"/>
  <c r="CC170" i="6"/>
  <c r="DO178" i="6"/>
  <c r="DY178" i="6"/>
  <c r="AA3129" i="5"/>
  <c r="Y3129" i="5"/>
  <c r="Z3129" i="5"/>
  <c r="AA1644" i="5"/>
  <c r="Y1644" i="5"/>
  <c r="Z1644" i="5"/>
  <c r="CK172" i="6"/>
  <c r="CF172" i="6"/>
  <c r="CQ172" i="6"/>
  <c r="CL172" i="6"/>
  <c r="BB167" i="6"/>
  <c r="AW167" i="6"/>
  <c r="BH167" i="6"/>
  <c r="BC167" i="6"/>
  <c r="BB168" i="6"/>
  <c r="AW168" i="6"/>
  <c r="BH168" i="6"/>
  <c r="BC168" i="6"/>
  <c r="CT175" i="6"/>
  <c r="CZ175" i="6"/>
  <c r="CY175" i="6"/>
  <c r="DE175" i="6"/>
  <c r="BW171" i="6"/>
  <c r="BR171" i="6"/>
  <c r="BX171" i="6"/>
  <c r="CC171" i="6"/>
  <c r="AA2634" i="5"/>
  <c r="Z2634" i="5"/>
  <c r="Y2634" i="5"/>
  <c r="AA1149" i="5"/>
  <c r="Z1149" i="5"/>
  <c r="Y1149" i="5"/>
  <c r="AA5109" i="5"/>
  <c r="Z5109" i="5"/>
  <c r="Y5109" i="5"/>
  <c r="AA654" i="5"/>
  <c r="Z654" i="5"/>
  <c r="Y654" i="5"/>
  <c r="AA5110" i="5"/>
  <c r="Y5110" i="5"/>
  <c r="Z5110" i="5"/>
  <c r="AA3130" i="5"/>
  <c r="Y3130" i="5"/>
  <c r="Z3130" i="5"/>
  <c r="DH177" i="6"/>
  <c r="DM177" i="6"/>
  <c r="DN177" i="6"/>
  <c r="DS177" i="6"/>
  <c r="BV169" i="6"/>
  <c r="BK169" i="6"/>
  <c r="BP169" i="6"/>
  <c r="BQ169" i="6"/>
  <c r="AP166" i="6"/>
  <c r="AV166" i="6"/>
  <c r="AU166" i="6"/>
  <c r="BA166" i="6"/>
  <c r="AA4120" i="5"/>
  <c r="Z4120" i="5"/>
  <c r="Y4120" i="5"/>
  <c r="DS176" i="6"/>
  <c r="DH176" i="6"/>
  <c r="DN176" i="6"/>
  <c r="DM176" i="6"/>
  <c r="Y6099" i="5"/>
  <c r="Z6099" i="5"/>
  <c r="Y6100" i="5"/>
  <c r="Z6100" i="5"/>
  <c r="DX178" i="6"/>
  <c r="AA6101" i="5" s="1"/>
  <c r="EF180" i="6"/>
  <c r="EG180" i="6" s="1"/>
  <c r="EH180" i="6" s="1"/>
  <c r="AA180" i="6" s="1"/>
  <c r="EG179" i="6"/>
  <c r="EH179" i="6" s="1"/>
  <c r="AA179" i="6" s="1"/>
  <c r="AA655" i="5" l="1"/>
  <c r="Y655" i="5"/>
  <c r="Z655" i="5"/>
  <c r="BV171" i="6"/>
  <c r="BK171" i="6"/>
  <c r="BQ171" i="6"/>
  <c r="BP171" i="6"/>
  <c r="BD169" i="6"/>
  <c r="BJ169" i="6"/>
  <c r="BO169" i="6"/>
  <c r="BI169" i="6"/>
  <c r="AA2636" i="5"/>
  <c r="Z2636" i="5"/>
  <c r="Y2636" i="5"/>
  <c r="AA4616" i="5"/>
  <c r="Y4616" i="5"/>
  <c r="Z4616" i="5"/>
  <c r="AA2635" i="5"/>
  <c r="Y2635" i="5"/>
  <c r="Z2635" i="5"/>
  <c r="AA3626" i="5"/>
  <c r="Y3626" i="5"/>
  <c r="Z3626" i="5"/>
  <c r="AN166" i="6"/>
  <c r="AO166" i="6"/>
  <c r="AT166" i="6"/>
  <c r="AA2140" i="5"/>
  <c r="Z2140" i="5"/>
  <c r="Y2140" i="5"/>
  <c r="DA177" i="6"/>
  <c r="DL177" i="6"/>
  <c r="DG177" i="6"/>
  <c r="DF177" i="6"/>
  <c r="AA1151" i="5"/>
  <c r="Z1151" i="5"/>
  <c r="Y1151" i="5"/>
  <c r="AA1150" i="5"/>
  <c r="Z1150" i="5"/>
  <c r="Y1150" i="5"/>
  <c r="AA3625" i="5"/>
  <c r="Y3625" i="5"/>
  <c r="Z3625" i="5"/>
  <c r="BY173" i="6"/>
  <c r="CE173" i="6"/>
  <c r="CD173" i="6"/>
  <c r="CJ173" i="6"/>
  <c r="CS174" i="6"/>
  <c r="CM174" i="6"/>
  <c r="CR174" i="6"/>
  <c r="CX174" i="6"/>
  <c r="AA160" i="5"/>
  <c r="Y160" i="5"/>
  <c r="Z160" i="5"/>
  <c r="DA176" i="6"/>
  <c r="DF176" i="6"/>
  <c r="DL176" i="6"/>
  <c r="DG176" i="6"/>
  <c r="Y5605" i="5"/>
  <c r="AA5605" i="5"/>
  <c r="Z5605" i="5"/>
  <c r="AP167" i="6"/>
  <c r="AV167" i="6"/>
  <c r="AU167" i="6"/>
  <c r="BA167" i="6"/>
  <c r="CE172" i="6"/>
  <c r="BY172" i="6"/>
  <c r="CD172" i="6"/>
  <c r="CJ172" i="6"/>
  <c r="BV170" i="6"/>
  <c r="BK170" i="6"/>
  <c r="BP170" i="6"/>
  <c r="BQ170" i="6"/>
  <c r="AA5606" i="5"/>
  <c r="Z5606" i="5"/>
  <c r="Y5606" i="5"/>
  <c r="AP168" i="6"/>
  <c r="BA168" i="6"/>
  <c r="AV168" i="6"/>
  <c r="AU168" i="6"/>
  <c r="CS175" i="6"/>
  <c r="CX175" i="6"/>
  <c r="CM175" i="6"/>
  <c r="CR175" i="6"/>
  <c r="DS178" i="6"/>
  <c r="DH178" i="6"/>
  <c r="DM178" i="6"/>
  <c r="DN178" i="6"/>
  <c r="AA4615" i="5"/>
  <c r="Y4615" i="5"/>
  <c r="Z4615" i="5"/>
  <c r="Y6101" i="5"/>
  <c r="Z6101" i="5"/>
  <c r="R179" i="6"/>
  <c r="N179" i="6"/>
  <c r="Z179" i="6"/>
  <c r="X179" i="6"/>
  <c r="P179" i="6"/>
  <c r="H179" i="6"/>
  <c r="V179" i="6"/>
  <c r="L179" i="6"/>
  <c r="F179" i="6"/>
  <c r="T179" i="6"/>
  <c r="J179" i="6"/>
  <c r="D179" i="6"/>
  <c r="AI179" i="6"/>
  <c r="AB179" i="6"/>
  <c r="DT179" i="6" s="1"/>
  <c r="AK179" i="6"/>
  <c r="AM179" i="6"/>
  <c r="T180" i="6"/>
  <c r="J180" i="6"/>
  <c r="F180" i="6"/>
  <c r="P180" i="6"/>
  <c r="H180" i="6"/>
  <c r="X180" i="6"/>
  <c r="R180" i="6"/>
  <c r="L180" i="6"/>
  <c r="V180" i="6"/>
  <c r="N180" i="6"/>
  <c r="D180" i="6"/>
  <c r="AK180" i="6"/>
  <c r="Z180" i="6"/>
  <c r="AM180" i="6"/>
  <c r="AB180" i="6"/>
  <c r="DT180" i="6" s="1"/>
  <c r="AI180" i="6"/>
  <c r="EF181" i="6"/>
  <c r="DO179" i="6" l="1"/>
  <c r="DY179" i="6"/>
  <c r="AA5607" i="5"/>
  <c r="Y5607" i="5"/>
  <c r="Z5607" i="5"/>
  <c r="AN168" i="6"/>
  <c r="AT168" i="6"/>
  <c r="AO168" i="6"/>
  <c r="AA3131" i="5"/>
  <c r="Y3131" i="5"/>
  <c r="Z3131" i="5"/>
  <c r="AA656" i="5"/>
  <c r="Y656" i="5"/>
  <c r="Z656" i="5"/>
  <c r="AA5111" i="5"/>
  <c r="Y5111" i="5"/>
  <c r="Z5111" i="5"/>
  <c r="CK174" i="6"/>
  <c r="CF174" i="6"/>
  <c r="CL174" i="6"/>
  <c r="CQ174" i="6"/>
  <c r="BB169" i="6"/>
  <c r="AW169" i="6"/>
  <c r="BH169" i="6"/>
  <c r="BC169" i="6"/>
  <c r="AA2142" i="5"/>
  <c r="Z2142" i="5"/>
  <c r="Y2142" i="5"/>
  <c r="DO180" i="6"/>
  <c r="DY180" i="6"/>
  <c r="BW173" i="6"/>
  <c r="BR173" i="6"/>
  <c r="CC173" i="6"/>
  <c r="BX173" i="6"/>
  <c r="AA5112" i="5"/>
  <c r="Z5112" i="5"/>
  <c r="Y5112" i="5"/>
  <c r="CK175" i="6"/>
  <c r="CF175" i="6"/>
  <c r="CL175" i="6"/>
  <c r="CQ175" i="6"/>
  <c r="BD170" i="6"/>
  <c r="BO170" i="6"/>
  <c r="BI170" i="6"/>
  <c r="BJ170" i="6"/>
  <c r="BW172" i="6"/>
  <c r="CC172" i="6"/>
  <c r="BR172" i="6"/>
  <c r="BX172" i="6"/>
  <c r="CT176" i="6"/>
  <c r="CZ176" i="6"/>
  <c r="CY176" i="6"/>
  <c r="DE176" i="6"/>
  <c r="AA4121" i="5"/>
  <c r="Y4121" i="5"/>
  <c r="Z4121" i="5"/>
  <c r="AA3132" i="5"/>
  <c r="Z3132" i="5"/>
  <c r="Y3132" i="5"/>
  <c r="CT177" i="6"/>
  <c r="CZ177" i="6"/>
  <c r="DE177" i="6"/>
  <c r="CY177" i="6"/>
  <c r="AA161" i="5"/>
  <c r="Z161" i="5"/>
  <c r="Y161" i="5"/>
  <c r="AA1646" i="5"/>
  <c r="Y1646" i="5"/>
  <c r="Z1646" i="5"/>
  <c r="DA178" i="6"/>
  <c r="DG178" i="6"/>
  <c r="DL178" i="6"/>
  <c r="DF178" i="6"/>
  <c r="AA4122" i="5"/>
  <c r="Y4122" i="5"/>
  <c r="Z4122" i="5"/>
  <c r="AA657" i="5"/>
  <c r="Y657" i="5"/>
  <c r="Z657" i="5"/>
  <c r="AA2141" i="5"/>
  <c r="Z2141" i="5"/>
  <c r="Y2141" i="5"/>
  <c r="AN167" i="6"/>
  <c r="AO167" i="6"/>
  <c r="AT167" i="6"/>
  <c r="BD171" i="6"/>
  <c r="BJ171" i="6"/>
  <c r="BO171" i="6"/>
  <c r="BI171" i="6"/>
  <c r="DX179" i="6"/>
  <c r="AA6102" i="5" s="1"/>
  <c r="EF182" i="6"/>
  <c r="EG182" i="6" s="1"/>
  <c r="EH182" i="6" s="1"/>
  <c r="AA182" i="6" s="1"/>
  <c r="EG181" i="6"/>
  <c r="EH181" i="6" s="1"/>
  <c r="AA181" i="6" s="1"/>
  <c r="DX180" i="6"/>
  <c r="AA6103" i="5" s="1"/>
  <c r="AA1648" i="5" l="1"/>
  <c r="Y1648" i="5"/>
  <c r="Z1648" i="5"/>
  <c r="AA5113" i="5"/>
  <c r="Y5113" i="5"/>
  <c r="Z5113" i="5"/>
  <c r="CS177" i="6"/>
  <c r="CM177" i="6"/>
  <c r="CR177" i="6"/>
  <c r="CX177" i="6"/>
  <c r="BV172" i="6"/>
  <c r="BK172" i="6"/>
  <c r="BQ172" i="6"/>
  <c r="BP172" i="6"/>
  <c r="BV173" i="6"/>
  <c r="BK173" i="6"/>
  <c r="BQ173" i="6"/>
  <c r="BP173" i="6"/>
  <c r="AA1152" i="5"/>
  <c r="Z1152" i="5"/>
  <c r="Y1152" i="5"/>
  <c r="Y2637" i="5"/>
  <c r="AA2637" i="5"/>
  <c r="Z2637" i="5"/>
  <c r="AA1647" i="5"/>
  <c r="Z1647" i="5"/>
  <c r="Y1647" i="5"/>
  <c r="BY175" i="6"/>
  <c r="CE175" i="6"/>
  <c r="CD175" i="6"/>
  <c r="CJ175" i="6"/>
  <c r="AP169" i="6"/>
  <c r="BA169" i="6"/>
  <c r="AV169" i="6"/>
  <c r="AU169" i="6"/>
  <c r="CE174" i="6"/>
  <c r="BY174" i="6"/>
  <c r="CD174" i="6"/>
  <c r="CJ174" i="6"/>
  <c r="Y163" i="5"/>
  <c r="AA163" i="5"/>
  <c r="Z163" i="5"/>
  <c r="CT178" i="6"/>
  <c r="DE178" i="6"/>
  <c r="CY178" i="6"/>
  <c r="CZ178" i="6"/>
  <c r="AA4618" i="5"/>
  <c r="Z4618" i="5"/>
  <c r="Y4618" i="5"/>
  <c r="CS176" i="6"/>
  <c r="CM176" i="6"/>
  <c r="CX176" i="6"/>
  <c r="CR176" i="6"/>
  <c r="BB170" i="6"/>
  <c r="AW170" i="6"/>
  <c r="BH170" i="6"/>
  <c r="BC170" i="6"/>
  <c r="BB171" i="6"/>
  <c r="AW171" i="6"/>
  <c r="BH171" i="6"/>
  <c r="BC171" i="6"/>
  <c r="AA162" i="5"/>
  <c r="Z162" i="5"/>
  <c r="Y162" i="5"/>
  <c r="AA4617" i="5"/>
  <c r="Y4617" i="5"/>
  <c r="Z4617" i="5"/>
  <c r="AA3628" i="5"/>
  <c r="Y3628" i="5"/>
  <c r="Z3628" i="5"/>
  <c r="AA2638" i="5"/>
  <c r="Y2638" i="5"/>
  <c r="Z2638" i="5"/>
  <c r="DS180" i="6"/>
  <c r="DH180" i="6"/>
  <c r="DN180" i="6"/>
  <c r="DM180" i="6"/>
  <c r="AA3627" i="5"/>
  <c r="Y3627" i="5"/>
  <c r="Z3627" i="5"/>
  <c r="DS179" i="6"/>
  <c r="DM179" i="6"/>
  <c r="DH179" i="6"/>
  <c r="DN179" i="6"/>
  <c r="Y6103" i="5"/>
  <c r="Z6103" i="5"/>
  <c r="Y6102" i="5"/>
  <c r="Z6102" i="5"/>
  <c r="F181" i="6"/>
  <c r="R181" i="6"/>
  <c r="H181" i="6"/>
  <c r="Z181" i="6"/>
  <c r="X181" i="6"/>
  <c r="P181" i="6"/>
  <c r="J181" i="6"/>
  <c r="V181" i="6"/>
  <c r="N181" i="6"/>
  <c r="D181" i="6"/>
  <c r="T181" i="6"/>
  <c r="L181" i="6"/>
  <c r="AM181" i="6"/>
  <c r="AI181" i="6"/>
  <c r="AB181" i="6"/>
  <c r="DT181" i="6" s="1"/>
  <c r="AK181" i="6"/>
  <c r="EF183" i="6"/>
  <c r="EG183" i="6" s="1"/>
  <c r="EH183" i="6" s="1"/>
  <c r="AA183" i="6" s="1"/>
  <c r="V182" i="6"/>
  <c r="N182" i="6"/>
  <c r="D182" i="6"/>
  <c r="T182" i="6"/>
  <c r="L182" i="6"/>
  <c r="F182" i="6"/>
  <c r="Z182" i="6"/>
  <c r="X182" i="6"/>
  <c r="P182" i="6"/>
  <c r="R182" i="6"/>
  <c r="J182" i="6"/>
  <c r="AM182" i="6"/>
  <c r="H182" i="6"/>
  <c r="AK182" i="6"/>
  <c r="AI182" i="6"/>
  <c r="AB182" i="6"/>
  <c r="DT182" i="6" s="1"/>
  <c r="DO181" i="6" l="1"/>
  <c r="DY181" i="6"/>
  <c r="DO182" i="6"/>
  <c r="DY182" i="6"/>
  <c r="AA1154" i="5"/>
  <c r="Y1154" i="5"/>
  <c r="Z1154" i="5"/>
  <c r="AA1153" i="5"/>
  <c r="Y1153" i="5"/>
  <c r="Z1153" i="5"/>
  <c r="AA4123" i="5"/>
  <c r="Y4123" i="5"/>
  <c r="Z4123" i="5"/>
  <c r="AA4619" i="5"/>
  <c r="Y4619" i="5"/>
  <c r="Z4619" i="5"/>
  <c r="AN169" i="6"/>
  <c r="AO169" i="6"/>
  <c r="AT169" i="6"/>
  <c r="BW175" i="6"/>
  <c r="BR175" i="6"/>
  <c r="BX175" i="6"/>
  <c r="CC175" i="6"/>
  <c r="BD173" i="6"/>
  <c r="BI173" i="6"/>
  <c r="BO173" i="6"/>
  <c r="BJ173" i="6"/>
  <c r="BD172" i="6"/>
  <c r="BJ172" i="6"/>
  <c r="BO172" i="6"/>
  <c r="BI172" i="6"/>
  <c r="CK177" i="6"/>
  <c r="CF177" i="6"/>
  <c r="CQ177" i="6"/>
  <c r="CL177" i="6"/>
  <c r="DA180" i="6"/>
  <c r="DL180" i="6"/>
  <c r="DF180" i="6"/>
  <c r="DG180" i="6"/>
  <c r="AP171" i="6"/>
  <c r="AU171" i="6"/>
  <c r="BA171" i="6"/>
  <c r="AV171" i="6"/>
  <c r="AP170" i="6"/>
  <c r="AU170" i="6"/>
  <c r="BA170" i="6"/>
  <c r="AV170" i="6"/>
  <c r="CK176" i="6"/>
  <c r="CF176" i="6"/>
  <c r="CL176" i="6"/>
  <c r="CQ176" i="6"/>
  <c r="CS178" i="6"/>
  <c r="CM178" i="6"/>
  <c r="CX178" i="6"/>
  <c r="CR178" i="6"/>
  <c r="AA3133" i="5"/>
  <c r="Z3133" i="5"/>
  <c r="Y3133" i="5"/>
  <c r="AA3134" i="5"/>
  <c r="Y3134" i="5"/>
  <c r="Z3134" i="5"/>
  <c r="AA2144" i="5"/>
  <c r="Y2144" i="5"/>
  <c r="Z2144" i="5"/>
  <c r="AA2143" i="5"/>
  <c r="Y2143" i="5"/>
  <c r="Z2143" i="5"/>
  <c r="DA179" i="6"/>
  <c r="DL179" i="6"/>
  <c r="DG179" i="6"/>
  <c r="DF179" i="6"/>
  <c r="Y5609" i="5"/>
  <c r="AA5609" i="5"/>
  <c r="Z5609" i="5"/>
  <c r="AA4124" i="5"/>
  <c r="Y4124" i="5"/>
  <c r="Z4124" i="5"/>
  <c r="AA5608" i="5"/>
  <c r="Z5608" i="5"/>
  <c r="Y5608" i="5"/>
  <c r="BW174" i="6"/>
  <c r="BR174" i="6"/>
  <c r="BX174" i="6"/>
  <c r="CC174" i="6"/>
  <c r="AA658" i="5"/>
  <c r="Z658" i="5"/>
  <c r="Y658" i="5"/>
  <c r="DX182" i="6"/>
  <c r="AA6105" i="5" s="1"/>
  <c r="EF184" i="6"/>
  <c r="EG184" i="6" s="1"/>
  <c r="EH184" i="6" s="1"/>
  <c r="AA184" i="6" s="1"/>
  <c r="F183" i="6"/>
  <c r="Z183" i="6"/>
  <c r="T183" i="6"/>
  <c r="J183" i="6"/>
  <c r="R183" i="6"/>
  <c r="N183" i="6"/>
  <c r="X183" i="6"/>
  <c r="P183" i="6"/>
  <c r="H183" i="6"/>
  <c r="V183" i="6"/>
  <c r="L183" i="6"/>
  <c r="D183" i="6"/>
  <c r="AI183" i="6"/>
  <c r="AB183" i="6"/>
  <c r="DT183" i="6" s="1"/>
  <c r="AM183" i="6"/>
  <c r="AK183" i="6"/>
  <c r="DX181" i="6"/>
  <c r="AA6104" i="5" s="1"/>
  <c r="DO183" i="6" l="1"/>
  <c r="DY183" i="6"/>
  <c r="AA2639" i="5"/>
  <c r="Y2639" i="5"/>
  <c r="Z2639" i="5"/>
  <c r="AN170" i="6"/>
  <c r="AO170" i="6"/>
  <c r="AT170" i="6"/>
  <c r="CT180" i="6"/>
  <c r="CY180" i="6"/>
  <c r="CZ180" i="6"/>
  <c r="DE180" i="6"/>
  <c r="BB173" i="6"/>
  <c r="AW173" i="6"/>
  <c r="BH173" i="6"/>
  <c r="BC173" i="6"/>
  <c r="AA3629" i="5"/>
  <c r="Y3629" i="5"/>
  <c r="Z3629" i="5"/>
  <c r="AA2640" i="5"/>
  <c r="Y2640" i="5"/>
  <c r="Z2640" i="5"/>
  <c r="AA164" i="5"/>
  <c r="Z164" i="5"/>
  <c r="Y164" i="5"/>
  <c r="DS182" i="6"/>
  <c r="DH182" i="6"/>
  <c r="DM182" i="6"/>
  <c r="DN182" i="6"/>
  <c r="AN171" i="6"/>
  <c r="AT171" i="6"/>
  <c r="AO171" i="6"/>
  <c r="BB172" i="6"/>
  <c r="AW172" i="6"/>
  <c r="BH172" i="6"/>
  <c r="BC172" i="6"/>
  <c r="BV174" i="6"/>
  <c r="BK174" i="6"/>
  <c r="BP174" i="6"/>
  <c r="BQ174" i="6"/>
  <c r="AA4125" i="5"/>
  <c r="Y4125" i="5"/>
  <c r="Z4125" i="5"/>
  <c r="AA659" i="5"/>
  <c r="Y659" i="5"/>
  <c r="Z659" i="5"/>
  <c r="AA660" i="5"/>
  <c r="Y660" i="5"/>
  <c r="Z660" i="5"/>
  <c r="AA3630" i="5"/>
  <c r="Z3630" i="5"/>
  <c r="Y3630" i="5"/>
  <c r="AA1649" i="5"/>
  <c r="Y1649" i="5"/>
  <c r="Z1649" i="5"/>
  <c r="AA1650" i="5"/>
  <c r="Y1650" i="5"/>
  <c r="Z1650" i="5"/>
  <c r="CT179" i="6"/>
  <c r="DE179" i="6"/>
  <c r="CZ179" i="6"/>
  <c r="CY179" i="6"/>
  <c r="AA5114" i="5"/>
  <c r="Y5114" i="5"/>
  <c r="Z5114" i="5"/>
  <c r="CK178" i="6"/>
  <c r="CF178" i="6"/>
  <c r="CL178" i="6"/>
  <c r="CQ178" i="6"/>
  <c r="CE176" i="6"/>
  <c r="BY176" i="6"/>
  <c r="CD176" i="6"/>
  <c r="CJ176" i="6"/>
  <c r="AA5115" i="5"/>
  <c r="Z5115" i="5"/>
  <c r="Y5115" i="5"/>
  <c r="BY177" i="6"/>
  <c r="CE177" i="6"/>
  <c r="CD177" i="6"/>
  <c r="CJ177" i="6"/>
  <c r="BV175" i="6"/>
  <c r="BK175" i="6"/>
  <c r="BQ175" i="6"/>
  <c r="BP175" i="6"/>
  <c r="DH181" i="6"/>
  <c r="DN181" i="6"/>
  <c r="DS181" i="6"/>
  <c r="DM181" i="6"/>
  <c r="Y6104" i="5"/>
  <c r="Z6104" i="5"/>
  <c r="Y6105" i="5"/>
  <c r="Z6105" i="5"/>
  <c r="X184" i="6"/>
  <c r="P184" i="6"/>
  <c r="H184" i="6"/>
  <c r="V184" i="6"/>
  <c r="N184" i="6"/>
  <c r="D184" i="6"/>
  <c r="T184" i="6"/>
  <c r="J184" i="6"/>
  <c r="F184" i="6"/>
  <c r="R184" i="6"/>
  <c r="L184" i="6"/>
  <c r="AK184" i="6"/>
  <c r="AB184" i="6"/>
  <c r="DT184" i="6" s="1"/>
  <c r="Z184" i="6"/>
  <c r="AM184" i="6"/>
  <c r="AI184" i="6"/>
  <c r="DX183" i="6"/>
  <c r="AA6106" i="5" s="1"/>
  <c r="EF185" i="6"/>
  <c r="CE178" i="6" l="1"/>
  <c r="BY178" i="6"/>
  <c r="CD178" i="6"/>
  <c r="CJ178" i="6"/>
  <c r="CS179" i="6"/>
  <c r="CX179" i="6"/>
  <c r="CM179" i="6"/>
  <c r="CR179" i="6"/>
  <c r="AA1155" i="5"/>
  <c r="Y1155" i="5"/>
  <c r="Z1155" i="5"/>
  <c r="AA166" i="5"/>
  <c r="Z166" i="5"/>
  <c r="Y166" i="5"/>
  <c r="DA182" i="6"/>
  <c r="DF182" i="6"/>
  <c r="DL182" i="6"/>
  <c r="DG182" i="6"/>
  <c r="AA1156" i="5"/>
  <c r="Y1156" i="5"/>
  <c r="Z1156" i="5"/>
  <c r="AA3136" i="5"/>
  <c r="Y3136" i="5"/>
  <c r="Z3136" i="5"/>
  <c r="AA4620" i="5"/>
  <c r="Y4620" i="5"/>
  <c r="Z4620" i="5"/>
  <c r="AA4621" i="5"/>
  <c r="Y4621" i="5"/>
  <c r="Z4621" i="5"/>
  <c r="AA165" i="5"/>
  <c r="Y165" i="5"/>
  <c r="Z165" i="5"/>
  <c r="AA5610" i="5"/>
  <c r="Z5610" i="5"/>
  <c r="Y5610" i="5"/>
  <c r="BD175" i="6"/>
  <c r="BI175" i="6"/>
  <c r="BO175" i="6"/>
  <c r="BJ175" i="6"/>
  <c r="BD174" i="6"/>
  <c r="BJ174" i="6"/>
  <c r="BO174" i="6"/>
  <c r="BI174" i="6"/>
  <c r="AP173" i="6"/>
  <c r="AV173" i="6"/>
  <c r="AU173" i="6"/>
  <c r="BA173" i="6"/>
  <c r="BW176" i="6"/>
  <c r="CC176" i="6"/>
  <c r="BR176" i="6"/>
  <c r="BX176" i="6"/>
  <c r="AP172" i="6"/>
  <c r="AV172" i="6"/>
  <c r="AU172" i="6"/>
  <c r="BA172" i="6"/>
  <c r="AA5611" i="5"/>
  <c r="Y5611" i="5"/>
  <c r="Z5611" i="5"/>
  <c r="DO184" i="6"/>
  <c r="DY184" i="6"/>
  <c r="DA181" i="6"/>
  <c r="DG181" i="6"/>
  <c r="DL181" i="6"/>
  <c r="DF181" i="6"/>
  <c r="AA2146" i="5"/>
  <c r="Z2146" i="5"/>
  <c r="Y2146" i="5"/>
  <c r="CC177" i="6"/>
  <c r="BR177" i="6"/>
  <c r="BX177" i="6"/>
  <c r="BW177" i="6"/>
  <c r="AA3135" i="5"/>
  <c r="Z3135" i="5"/>
  <c r="Y3135" i="5"/>
  <c r="AA3631" i="5"/>
  <c r="Y3631" i="5"/>
  <c r="Z3631" i="5"/>
  <c r="AA2145" i="5"/>
  <c r="Y2145" i="5"/>
  <c r="Z2145" i="5"/>
  <c r="CS180" i="6"/>
  <c r="CM180" i="6"/>
  <c r="CX180" i="6"/>
  <c r="CR180" i="6"/>
  <c r="DS183" i="6"/>
  <c r="DM183" i="6"/>
  <c r="DH183" i="6"/>
  <c r="DN183" i="6"/>
  <c r="Y6106" i="5"/>
  <c r="Z6106" i="5"/>
  <c r="EF186" i="6"/>
  <c r="EG185" i="6"/>
  <c r="EH185" i="6" s="1"/>
  <c r="AA185" i="6" s="1"/>
  <c r="DX184" i="6"/>
  <c r="AA6107" i="5" s="1"/>
  <c r="AN173" i="6" l="1"/>
  <c r="AO173" i="6"/>
  <c r="AT173" i="6"/>
  <c r="DA183" i="6"/>
  <c r="DG183" i="6"/>
  <c r="DL183" i="6"/>
  <c r="DF183" i="6"/>
  <c r="AA5116" i="5"/>
  <c r="Z5116" i="5"/>
  <c r="Y5116" i="5"/>
  <c r="DS184" i="6"/>
  <c r="DH184" i="6"/>
  <c r="DN184" i="6"/>
  <c r="DM184" i="6"/>
  <c r="AA661" i="5"/>
  <c r="Y661" i="5"/>
  <c r="Z661" i="5"/>
  <c r="AA3137" i="5"/>
  <c r="Y3137" i="5"/>
  <c r="Z3137" i="5"/>
  <c r="CK180" i="6"/>
  <c r="CF180" i="6"/>
  <c r="CQ180" i="6"/>
  <c r="CL180" i="6"/>
  <c r="BV176" i="6"/>
  <c r="BQ176" i="6"/>
  <c r="BK176" i="6"/>
  <c r="BP176" i="6"/>
  <c r="AA1651" i="5"/>
  <c r="Y1651" i="5"/>
  <c r="Z1651" i="5"/>
  <c r="AA1652" i="5"/>
  <c r="Y1652" i="5"/>
  <c r="Z1652" i="5"/>
  <c r="CT182" i="6"/>
  <c r="CZ182" i="6"/>
  <c r="CY182" i="6"/>
  <c r="DE182" i="6"/>
  <c r="CK179" i="6"/>
  <c r="CF179" i="6"/>
  <c r="CL179" i="6"/>
  <c r="CQ179" i="6"/>
  <c r="AA2642" i="5"/>
  <c r="Y2642" i="5"/>
  <c r="Z2642" i="5"/>
  <c r="AN172" i="6"/>
  <c r="AO172" i="6"/>
  <c r="AT172" i="6"/>
  <c r="BB174" i="6"/>
  <c r="AW174" i="6"/>
  <c r="BH174" i="6"/>
  <c r="BC174" i="6"/>
  <c r="AA4127" i="5"/>
  <c r="Y4127" i="5"/>
  <c r="Z4127" i="5"/>
  <c r="AA662" i="5"/>
  <c r="Y662" i="5"/>
  <c r="Z662" i="5"/>
  <c r="AA5612" i="5"/>
  <c r="Y5612" i="5"/>
  <c r="Z5612" i="5"/>
  <c r="BV177" i="6"/>
  <c r="BK177" i="6"/>
  <c r="BP177" i="6"/>
  <c r="BQ177" i="6"/>
  <c r="CT181" i="6"/>
  <c r="CY181" i="6"/>
  <c r="DE181" i="6"/>
  <c r="CZ181" i="6"/>
  <c r="Y2641" i="5"/>
  <c r="AA2641" i="5"/>
  <c r="Z2641" i="5"/>
  <c r="Y4126" i="5"/>
  <c r="AA4126" i="5"/>
  <c r="Z4126" i="5"/>
  <c r="CC178" i="6"/>
  <c r="BR178" i="6"/>
  <c r="BW178" i="6"/>
  <c r="BX178" i="6"/>
  <c r="BB175" i="6"/>
  <c r="AW175" i="6"/>
  <c r="BH175" i="6"/>
  <c r="BC175" i="6"/>
  <c r="AA5117" i="5"/>
  <c r="Y5117" i="5"/>
  <c r="Z5117" i="5"/>
  <c r="Y6107" i="5"/>
  <c r="Z6107" i="5"/>
  <c r="EF187" i="6"/>
  <c r="EG187" i="6" s="1"/>
  <c r="EH187" i="6" s="1"/>
  <c r="AA187" i="6" s="1"/>
  <c r="Z185" i="6"/>
  <c r="R185" i="6"/>
  <c r="V185" i="6"/>
  <c r="D185" i="6"/>
  <c r="T185" i="6"/>
  <c r="L185" i="6"/>
  <c r="P185" i="6"/>
  <c r="J185" i="6"/>
  <c r="X185" i="6"/>
  <c r="N185" i="6"/>
  <c r="H185" i="6"/>
  <c r="F185" i="6"/>
  <c r="AI185" i="6"/>
  <c r="AK185" i="6"/>
  <c r="AB185" i="6"/>
  <c r="DT185" i="6" s="1"/>
  <c r="AM185" i="6"/>
  <c r="EG186" i="6"/>
  <c r="EH186" i="6" s="1"/>
  <c r="AA186" i="6" s="1"/>
  <c r="AA2643" i="5" l="1"/>
  <c r="Y2643" i="5"/>
  <c r="Z2643" i="5"/>
  <c r="AA4622" i="5"/>
  <c r="Z4622" i="5"/>
  <c r="Y4622" i="5"/>
  <c r="Y167" i="5"/>
  <c r="AA167" i="5"/>
  <c r="Z167" i="5"/>
  <c r="BY179" i="6"/>
  <c r="CE179" i="6"/>
  <c r="CD179" i="6"/>
  <c r="CJ179" i="6"/>
  <c r="DA184" i="6"/>
  <c r="DF184" i="6"/>
  <c r="DG184" i="6"/>
  <c r="DL184" i="6"/>
  <c r="CT183" i="6"/>
  <c r="CZ183" i="6"/>
  <c r="DE183" i="6"/>
  <c r="CY183" i="6"/>
  <c r="BD177" i="6"/>
  <c r="BJ177" i="6"/>
  <c r="BI177" i="6"/>
  <c r="BO177" i="6"/>
  <c r="AA1157" i="5"/>
  <c r="Y1157" i="5"/>
  <c r="Z1157" i="5"/>
  <c r="CS182" i="6"/>
  <c r="CM182" i="6"/>
  <c r="CR182" i="6"/>
  <c r="CX182" i="6"/>
  <c r="BD176" i="6"/>
  <c r="BO176" i="6"/>
  <c r="BI176" i="6"/>
  <c r="BJ176" i="6"/>
  <c r="AA3633" i="5"/>
  <c r="Y3633" i="5"/>
  <c r="Z3633" i="5"/>
  <c r="Y5613" i="5"/>
  <c r="Z5613" i="5"/>
  <c r="AA5613" i="5"/>
  <c r="AA168" i="5"/>
  <c r="Z168" i="5"/>
  <c r="Y168" i="5"/>
  <c r="CE180" i="6"/>
  <c r="BY180" i="6"/>
  <c r="CD180" i="6"/>
  <c r="CJ180" i="6"/>
  <c r="AA5118" i="5"/>
  <c r="Y5118" i="5"/>
  <c r="Z5118" i="5"/>
  <c r="AA1158" i="5"/>
  <c r="Z1158" i="5"/>
  <c r="Y1158" i="5"/>
  <c r="CS181" i="6"/>
  <c r="CR181" i="6"/>
  <c r="CM181" i="6"/>
  <c r="CX181" i="6"/>
  <c r="AA2148" i="5"/>
  <c r="Z2148" i="5"/>
  <c r="Y2148" i="5"/>
  <c r="AP174" i="6"/>
  <c r="BA174" i="6"/>
  <c r="AV174" i="6"/>
  <c r="AU174" i="6"/>
  <c r="AA3632" i="5"/>
  <c r="Z3632" i="5"/>
  <c r="Y3632" i="5"/>
  <c r="AA4623" i="5"/>
  <c r="Z4623" i="5"/>
  <c r="Y4623" i="5"/>
  <c r="DO185" i="6"/>
  <c r="DY185" i="6"/>
  <c r="AP175" i="6"/>
  <c r="BA175" i="6"/>
  <c r="AV175" i="6"/>
  <c r="AU175" i="6"/>
  <c r="BV178" i="6"/>
  <c r="BK178" i="6"/>
  <c r="BP178" i="6"/>
  <c r="BQ178" i="6"/>
  <c r="Y2147" i="5"/>
  <c r="AA2147" i="5"/>
  <c r="Z2147" i="5"/>
  <c r="DX185" i="6"/>
  <c r="AA6108" i="5" s="1"/>
  <c r="Z186" i="6"/>
  <c r="T186" i="6"/>
  <c r="L186" i="6"/>
  <c r="R186" i="6"/>
  <c r="J186" i="6"/>
  <c r="X186" i="6"/>
  <c r="N186" i="6"/>
  <c r="D186" i="6"/>
  <c r="V186" i="6"/>
  <c r="P186" i="6"/>
  <c r="F186" i="6"/>
  <c r="H186" i="6"/>
  <c r="AM186" i="6"/>
  <c r="AK186" i="6"/>
  <c r="AB186" i="6"/>
  <c r="DT186" i="6" s="1"/>
  <c r="AI186" i="6"/>
  <c r="EF188" i="6"/>
  <c r="D187" i="6"/>
  <c r="V187" i="6"/>
  <c r="L187" i="6"/>
  <c r="T187" i="6"/>
  <c r="N187" i="6"/>
  <c r="F187" i="6"/>
  <c r="R187" i="6"/>
  <c r="J187" i="6"/>
  <c r="Z187" i="6"/>
  <c r="X187" i="6"/>
  <c r="P187" i="6"/>
  <c r="H187" i="6"/>
  <c r="AI187" i="6"/>
  <c r="AB187" i="6"/>
  <c r="DT187" i="6" s="1"/>
  <c r="AK187" i="6"/>
  <c r="AM187" i="6"/>
  <c r="BD178" i="6" l="1"/>
  <c r="BI178" i="6"/>
  <c r="BO178" i="6"/>
  <c r="BJ178" i="6"/>
  <c r="AA664" i="5"/>
  <c r="Z664" i="5"/>
  <c r="Y664" i="5"/>
  <c r="AA663" i="5"/>
  <c r="Y663" i="5"/>
  <c r="Z663" i="5"/>
  <c r="AA4129" i="5"/>
  <c r="Y4129" i="5"/>
  <c r="Z4129" i="5"/>
  <c r="AA4624" i="5"/>
  <c r="Z4624" i="5"/>
  <c r="Y4624" i="5"/>
  <c r="AA2149" i="5"/>
  <c r="Z2149" i="5"/>
  <c r="Y2149" i="5"/>
  <c r="AN175" i="6"/>
  <c r="AT175" i="6"/>
  <c r="AO175" i="6"/>
  <c r="AN174" i="6"/>
  <c r="AO174" i="6"/>
  <c r="AT174" i="6"/>
  <c r="AA4128" i="5"/>
  <c r="Y4128" i="5"/>
  <c r="Z4128" i="5"/>
  <c r="CC180" i="6"/>
  <c r="BR180" i="6"/>
  <c r="BW180" i="6"/>
  <c r="BX180" i="6"/>
  <c r="CC179" i="6"/>
  <c r="BR179" i="6"/>
  <c r="BX179" i="6"/>
  <c r="BW179" i="6"/>
  <c r="CK181" i="6"/>
  <c r="CF181" i="6"/>
  <c r="CQ181" i="6"/>
  <c r="CL181" i="6"/>
  <c r="AA1653" i="5"/>
  <c r="Z1653" i="5"/>
  <c r="Y1653" i="5"/>
  <c r="CK182" i="6"/>
  <c r="CF182" i="6"/>
  <c r="CL182" i="6"/>
  <c r="CQ182" i="6"/>
  <c r="BB177" i="6"/>
  <c r="AW177" i="6"/>
  <c r="BH177" i="6"/>
  <c r="BC177" i="6"/>
  <c r="CS183" i="6"/>
  <c r="CM183" i="6"/>
  <c r="CX183" i="6"/>
  <c r="CR183" i="6"/>
  <c r="CT184" i="6"/>
  <c r="CZ184" i="6"/>
  <c r="DE184" i="6"/>
  <c r="CY184" i="6"/>
  <c r="DO187" i="6"/>
  <c r="DY187" i="6"/>
  <c r="DO186" i="6"/>
  <c r="DY186" i="6"/>
  <c r="DH185" i="6"/>
  <c r="DM185" i="6"/>
  <c r="DS185" i="6"/>
  <c r="DN185" i="6"/>
  <c r="AA3139" i="5"/>
  <c r="Y3139" i="5"/>
  <c r="Z3139" i="5"/>
  <c r="BB176" i="6"/>
  <c r="AW176" i="6"/>
  <c r="BH176" i="6"/>
  <c r="BC176" i="6"/>
  <c r="AA1654" i="5"/>
  <c r="Y1654" i="5"/>
  <c r="Z1654" i="5"/>
  <c r="AA5119" i="5"/>
  <c r="Y5119" i="5"/>
  <c r="Z5119" i="5"/>
  <c r="AA3138" i="5"/>
  <c r="Z3138" i="5"/>
  <c r="Y3138" i="5"/>
  <c r="Y6108" i="5"/>
  <c r="Z6108" i="5"/>
  <c r="DX186" i="6"/>
  <c r="AA6109" i="5" s="1"/>
  <c r="DX187" i="6"/>
  <c r="AA6110" i="5" s="1"/>
  <c r="EF189" i="6"/>
  <c r="EG189" i="6" s="1"/>
  <c r="EH189" i="6" s="1"/>
  <c r="AA189" i="6" s="1"/>
  <c r="EG188" i="6"/>
  <c r="EH188" i="6" s="1"/>
  <c r="AA188" i="6" s="1"/>
  <c r="DS187" i="6" l="1"/>
  <c r="DM187" i="6"/>
  <c r="DH187" i="6"/>
  <c r="DN187" i="6"/>
  <c r="AP176" i="6"/>
  <c r="AV176" i="6"/>
  <c r="AU176" i="6"/>
  <c r="BA176" i="6"/>
  <c r="AA3635" i="5"/>
  <c r="Z3635" i="5"/>
  <c r="Y3635" i="5"/>
  <c r="AA5614" i="5"/>
  <c r="Y5614" i="5"/>
  <c r="Z5614" i="5"/>
  <c r="DS186" i="6"/>
  <c r="DH186" i="6"/>
  <c r="DM186" i="6"/>
  <c r="DN186" i="6"/>
  <c r="AA4625" i="5"/>
  <c r="Y4625" i="5"/>
  <c r="Z4625" i="5"/>
  <c r="AA4130" i="5"/>
  <c r="Z4130" i="5"/>
  <c r="Y4130" i="5"/>
  <c r="AA1160" i="5"/>
  <c r="Z1160" i="5"/>
  <c r="Y1160" i="5"/>
  <c r="BY181" i="6"/>
  <c r="CE181" i="6"/>
  <c r="CD181" i="6"/>
  <c r="CJ181" i="6"/>
  <c r="BV179" i="6"/>
  <c r="BK179" i="6"/>
  <c r="BQ179" i="6"/>
  <c r="BP179" i="6"/>
  <c r="BV180" i="6"/>
  <c r="BK180" i="6"/>
  <c r="BQ180" i="6"/>
  <c r="BP180" i="6"/>
  <c r="DA185" i="6"/>
  <c r="DF185" i="6"/>
  <c r="DL185" i="6"/>
  <c r="DG185" i="6"/>
  <c r="CS184" i="6"/>
  <c r="CX184" i="6"/>
  <c r="CR184" i="6"/>
  <c r="CM184" i="6"/>
  <c r="AA3634" i="5"/>
  <c r="Z3634" i="5"/>
  <c r="Y3634" i="5"/>
  <c r="AA1655" i="5"/>
  <c r="Y1655" i="5"/>
  <c r="Z1655" i="5"/>
  <c r="Y1159" i="5"/>
  <c r="AA1159" i="5"/>
  <c r="Z1159" i="5"/>
  <c r="CK183" i="6"/>
  <c r="CF183" i="6"/>
  <c r="CL183" i="6"/>
  <c r="CQ183" i="6"/>
  <c r="AP177" i="6"/>
  <c r="AV177" i="6"/>
  <c r="AU177" i="6"/>
  <c r="BA177" i="6"/>
  <c r="CE182" i="6"/>
  <c r="BY182" i="6"/>
  <c r="CD182" i="6"/>
  <c r="CJ182" i="6"/>
  <c r="AA2644" i="5"/>
  <c r="Y2644" i="5"/>
  <c r="Z2644" i="5"/>
  <c r="Y2645" i="5"/>
  <c r="Z2645" i="5"/>
  <c r="AA2645" i="5"/>
  <c r="AA169" i="5"/>
  <c r="Z169" i="5"/>
  <c r="Y169" i="5"/>
  <c r="AA170" i="5"/>
  <c r="Z170" i="5"/>
  <c r="Y170" i="5"/>
  <c r="BB178" i="6"/>
  <c r="AW178" i="6"/>
  <c r="BC178" i="6"/>
  <c r="BH178" i="6"/>
  <c r="Y6109" i="5"/>
  <c r="Z6109" i="5"/>
  <c r="Y6110" i="5"/>
  <c r="Z6110" i="5"/>
  <c r="F189" i="6"/>
  <c r="R189" i="6"/>
  <c r="H189" i="6"/>
  <c r="X189" i="6"/>
  <c r="P189" i="6"/>
  <c r="D189" i="6"/>
  <c r="V189" i="6"/>
  <c r="N189" i="6"/>
  <c r="Z189" i="6"/>
  <c r="T189" i="6"/>
  <c r="L189" i="6"/>
  <c r="AB189" i="6"/>
  <c r="DT189" i="6" s="1"/>
  <c r="AM189" i="6"/>
  <c r="J189" i="6"/>
  <c r="AI189" i="6"/>
  <c r="AK189" i="6"/>
  <c r="R188" i="6"/>
  <c r="L188" i="6"/>
  <c r="X188" i="6"/>
  <c r="P188" i="6"/>
  <c r="H188" i="6"/>
  <c r="V188" i="6"/>
  <c r="N188" i="6"/>
  <c r="D188" i="6"/>
  <c r="T188" i="6"/>
  <c r="J188" i="6"/>
  <c r="F188" i="6"/>
  <c r="Z188" i="6"/>
  <c r="AK188" i="6"/>
  <c r="AM188" i="6"/>
  <c r="AB188" i="6"/>
  <c r="DT188" i="6" s="1"/>
  <c r="AI188" i="6"/>
  <c r="EF190" i="6"/>
  <c r="EG190" i="6" s="1"/>
  <c r="EH190" i="6" s="1"/>
  <c r="AA190" i="6" s="1"/>
  <c r="AA666" i="5" l="1"/>
  <c r="Y666" i="5"/>
  <c r="Z666" i="5"/>
  <c r="CT185" i="6"/>
  <c r="CY185" i="6"/>
  <c r="DE185" i="6"/>
  <c r="CZ185" i="6"/>
  <c r="AA2151" i="5"/>
  <c r="Y2151" i="5"/>
  <c r="Z2151" i="5"/>
  <c r="AA2150" i="5"/>
  <c r="Y2150" i="5"/>
  <c r="Z2150" i="5"/>
  <c r="CC181" i="6"/>
  <c r="BR181" i="6"/>
  <c r="BX181" i="6"/>
  <c r="BW181" i="6"/>
  <c r="DA186" i="6"/>
  <c r="DL186" i="6"/>
  <c r="DF186" i="6"/>
  <c r="DG186" i="6"/>
  <c r="AA665" i="5"/>
  <c r="Y665" i="5"/>
  <c r="Z665" i="5"/>
  <c r="DO188" i="6"/>
  <c r="DY188" i="6"/>
  <c r="CK184" i="6"/>
  <c r="CF184" i="6"/>
  <c r="CL184" i="6"/>
  <c r="CQ184" i="6"/>
  <c r="AA3140" i="5"/>
  <c r="Y3140" i="5"/>
  <c r="Z3140" i="5"/>
  <c r="AA5615" i="5"/>
  <c r="Y5615" i="5"/>
  <c r="Z5615" i="5"/>
  <c r="DA187" i="6"/>
  <c r="DG187" i="6"/>
  <c r="DL187" i="6"/>
  <c r="DF187" i="6"/>
  <c r="CE183" i="6"/>
  <c r="BY183" i="6"/>
  <c r="CD183" i="6"/>
  <c r="CJ183" i="6"/>
  <c r="AA5120" i="5"/>
  <c r="Y5120" i="5"/>
  <c r="Z5120" i="5"/>
  <c r="DO189" i="6"/>
  <c r="DY189" i="6"/>
  <c r="AA1161" i="5"/>
  <c r="Y1161" i="5"/>
  <c r="Z1161" i="5"/>
  <c r="AA3141" i="5"/>
  <c r="Y3141" i="5"/>
  <c r="Z3141" i="5"/>
  <c r="AA3636" i="5"/>
  <c r="Y3636" i="5"/>
  <c r="Z3636" i="5"/>
  <c r="AU178" i="6"/>
  <c r="AP178" i="6"/>
  <c r="AV178" i="6"/>
  <c r="BA178" i="6"/>
  <c r="CC182" i="6"/>
  <c r="BR182" i="6"/>
  <c r="BW182" i="6"/>
  <c r="BX182" i="6"/>
  <c r="AN177" i="6"/>
  <c r="AO177" i="6"/>
  <c r="AT177" i="6"/>
  <c r="Y4131" i="5"/>
  <c r="AA4131" i="5"/>
  <c r="Z4131" i="5"/>
  <c r="BD180" i="6"/>
  <c r="BJ180" i="6"/>
  <c r="BO180" i="6"/>
  <c r="BI180" i="6"/>
  <c r="BD179" i="6"/>
  <c r="BJ179" i="6"/>
  <c r="BO179" i="6"/>
  <c r="BI179" i="6"/>
  <c r="AN176" i="6"/>
  <c r="AO176" i="6"/>
  <c r="AT176" i="6"/>
  <c r="AA5616" i="5"/>
  <c r="Z5616" i="5"/>
  <c r="Y5616" i="5"/>
  <c r="EF191" i="6"/>
  <c r="DX189" i="6"/>
  <c r="AA6112" i="5" s="1"/>
  <c r="H190" i="6"/>
  <c r="X190" i="6"/>
  <c r="N190" i="6"/>
  <c r="D190" i="6"/>
  <c r="V190" i="6"/>
  <c r="P190" i="6"/>
  <c r="F190" i="6"/>
  <c r="T190" i="6"/>
  <c r="L190" i="6"/>
  <c r="Z190" i="6"/>
  <c r="R190" i="6"/>
  <c r="J190" i="6"/>
  <c r="AM190" i="6"/>
  <c r="AI190" i="6"/>
  <c r="AK190" i="6"/>
  <c r="AB190" i="6"/>
  <c r="DT190" i="6" s="1"/>
  <c r="DX188" i="6"/>
  <c r="AA6111" i="5" s="1"/>
  <c r="AN178" i="6" l="1"/>
  <c r="AO178" i="6"/>
  <c r="AT178" i="6"/>
  <c r="AA3142" i="5"/>
  <c r="Y3142" i="5"/>
  <c r="Z3142" i="5"/>
  <c r="CE184" i="6"/>
  <c r="BY184" i="6"/>
  <c r="CD184" i="6"/>
  <c r="CJ184" i="6"/>
  <c r="CS185" i="6"/>
  <c r="CR185" i="6"/>
  <c r="CM185" i="6"/>
  <c r="CX185" i="6"/>
  <c r="Y171" i="5"/>
  <c r="AA171" i="5"/>
  <c r="Z171" i="5"/>
  <c r="AA1656" i="5"/>
  <c r="Y1656" i="5"/>
  <c r="Z1656" i="5"/>
  <c r="AA1657" i="5"/>
  <c r="Y1657" i="5"/>
  <c r="Z1657" i="5"/>
  <c r="AA2647" i="5"/>
  <c r="Z2647" i="5"/>
  <c r="Y2647" i="5"/>
  <c r="AA5122" i="5"/>
  <c r="Z5122" i="5"/>
  <c r="Y5122" i="5"/>
  <c r="AA5121" i="5"/>
  <c r="Y5121" i="5"/>
  <c r="Z5121" i="5"/>
  <c r="BV181" i="6"/>
  <c r="BK181" i="6"/>
  <c r="BQ181" i="6"/>
  <c r="BP181" i="6"/>
  <c r="CC183" i="6"/>
  <c r="BR183" i="6"/>
  <c r="BX183" i="6"/>
  <c r="BW183" i="6"/>
  <c r="AA3637" i="5"/>
  <c r="Y3637" i="5"/>
  <c r="Z3637" i="5"/>
  <c r="CT186" i="6"/>
  <c r="CY186" i="6"/>
  <c r="CZ186" i="6"/>
  <c r="DE186" i="6"/>
  <c r="AA2646" i="5"/>
  <c r="Z2646" i="5"/>
  <c r="Y2646" i="5"/>
  <c r="AA4626" i="5"/>
  <c r="Y4626" i="5"/>
  <c r="Z4626" i="5"/>
  <c r="DO190" i="6"/>
  <c r="DY190" i="6"/>
  <c r="BV182" i="6"/>
  <c r="BK182" i="6"/>
  <c r="BP182" i="6"/>
  <c r="BQ182" i="6"/>
  <c r="DH189" i="6"/>
  <c r="DS189" i="6"/>
  <c r="DM189" i="6"/>
  <c r="DN189" i="6"/>
  <c r="AA667" i="5"/>
  <c r="Y667" i="5"/>
  <c r="Z667" i="5"/>
  <c r="BB179" i="6"/>
  <c r="AW179" i="6"/>
  <c r="BH179" i="6"/>
  <c r="BC179" i="6"/>
  <c r="BB180" i="6"/>
  <c r="AW180" i="6"/>
  <c r="BH180" i="6"/>
  <c r="BC180" i="6"/>
  <c r="AA172" i="5"/>
  <c r="Z172" i="5"/>
  <c r="Y172" i="5"/>
  <c r="CT187" i="6"/>
  <c r="CY187" i="6"/>
  <c r="DE187" i="6"/>
  <c r="CZ187" i="6"/>
  <c r="DS188" i="6"/>
  <c r="DH188" i="6"/>
  <c r="DN188" i="6"/>
  <c r="DM188" i="6"/>
  <c r="Y6112" i="5"/>
  <c r="Z6112" i="5"/>
  <c r="Y6111" i="5"/>
  <c r="Z6111" i="5"/>
  <c r="EF192" i="6"/>
  <c r="EG191" i="6"/>
  <c r="EH191" i="6" s="1"/>
  <c r="AA191" i="6" s="1"/>
  <c r="DX190" i="6"/>
  <c r="AA6113" i="5" s="1"/>
  <c r="AA173" i="5" l="1"/>
  <c r="Z173" i="5"/>
  <c r="Y173" i="5"/>
  <c r="AA4628" i="5"/>
  <c r="Z4628" i="5"/>
  <c r="Y4628" i="5"/>
  <c r="AU179" i="6"/>
  <c r="AP179" i="6"/>
  <c r="AV179" i="6"/>
  <c r="BA179" i="6"/>
  <c r="CS186" i="6"/>
  <c r="CM186" i="6"/>
  <c r="CR186" i="6"/>
  <c r="CX186" i="6"/>
  <c r="DA188" i="6"/>
  <c r="DG188" i="6"/>
  <c r="DF188" i="6"/>
  <c r="DL188" i="6"/>
  <c r="CS187" i="6"/>
  <c r="CX187" i="6"/>
  <c r="CM187" i="6"/>
  <c r="CR187" i="6"/>
  <c r="DS190" i="6"/>
  <c r="DH190" i="6"/>
  <c r="DM190" i="6"/>
  <c r="DN190" i="6"/>
  <c r="BV183" i="6"/>
  <c r="BK183" i="6"/>
  <c r="BQ183" i="6"/>
  <c r="BP183" i="6"/>
  <c r="BD181" i="6"/>
  <c r="BO181" i="6"/>
  <c r="BI181" i="6"/>
  <c r="BJ181" i="6"/>
  <c r="AA4132" i="5"/>
  <c r="Y4132" i="5"/>
  <c r="Z4132" i="5"/>
  <c r="AA3143" i="5"/>
  <c r="Z3143" i="5"/>
  <c r="Y3143" i="5"/>
  <c r="AU180" i="6"/>
  <c r="AP180" i="6"/>
  <c r="AV180" i="6"/>
  <c r="BA180" i="6"/>
  <c r="DA189" i="6"/>
  <c r="DL189" i="6"/>
  <c r="DF189" i="6"/>
  <c r="DG189" i="6"/>
  <c r="Y2153" i="5"/>
  <c r="Z2153" i="5"/>
  <c r="AA2153" i="5"/>
  <c r="CC184" i="6"/>
  <c r="BR184" i="6"/>
  <c r="BW184" i="6"/>
  <c r="BX184" i="6"/>
  <c r="AA4627" i="5"/>
  <c r="Z4627" i="5"/>
  <c r="Y4627" i="5"/>
  <c r="Y5617" i="5"/>
  <c r="AA5617" i="5"/>
  <c r="Z5617" i="5"/>
  <c r="Y1163" i="5"/>
  <c r="AA1163" i="5"/>
  <c r="Z1163" i="5"/>
  <c r="AA1162" i="5"/>
  <c r="Y1162" i="5"/>
  <c r="Z1162" i="5"/>
  <c r="AA5618" i="5"/>
  <c r="Z5618" i="5"/>
  <c r="Y5618" i="5"/>
  <c r="BD182" i="6"/>
  <c r="BJ182" i="6"/>
  <c r="BI182" i="6"/>
  <c r="BO182" i="6"/>
  <c r="AA2648" i="5"/>
  <c r="Y2648" i="5"/>
  <c r="Z2648" i="5"/>
  <c r="AA2152" i="5"/>
  <c r="Y2152" i="5"/>
  <c r="Z2152" i="5"/>
  <c r="CK185" i="6"/>
  <c r="CQ185" i="6"/>
  <c r="CF185" i="6"/>
  <c r="CL185" i="6"/>
  <c r="Y6113" i="5"/>
  <c r="Z6113" i="5"/>
  <c r="F191" i="6"/>
  <c r="X191" i="6"/>
  <c r="P191" i="6"/>
  <c r="H191" i="6"/>
  <c r="V191" i="6"/>
  <c r="N191" i="6"/>
  <c r="D191" i="6"/>
  <c r="Z191" i="6"/>
  <c r="T191" i="6"/>
  <c r="L191" i="6"/>
  <c r="R191" i="6"/>
  <c r="J191" i="6"/>
  <c r="AI191" i="6"/>
  <c r="AK191" i="6"/>
  <c r="AB191" i="6"/>
  <c r="DT191" i="6" s="1"/>
  <c r="AM191" i="6"/>
  <c r="EF193" i="6"/>
  <c r="EG193" i="6" s="1"/>
  <c r="EH193" i="6" s="1"/>
  <c r="AA193" i="6" s="1"/>
  <c r="EG192" i="6"/>
  <c r="EH192" i="6" s="1"/>
  <c r="AA192" i="6" s="1"/>
  <c r="Y2649" i="5" l="1"/>
  <c r="AA2649" i="5"/>
  <c r="Z2649" i="5"/>
  <c r="AA669" i="5"/>
  <c r="Z669" i="5"/>
  <c r="Y669" i="5"/>
  <c r="AA1658" i="5"/>
  <c r="Z1658" i="5"/>
  <c r="Y1658" i="5"/>
  <c r="DA190" i="6"/>
  <c r="DF190" i="6"/>
  <c r="DG190" i="6"/>
  <c r="DL190" i="6"/>
  <c r="AA4134" i="5"/>
  <c r="Y4134" i="5"/>
  <c r="Z4134" i="5"/>
  <c r="AN179" i="6"/>
  <c r="AO179" i="6"/>
  <c r="AT179" i="6"/>
  <c r="BY185" i="6"/>
  <c r="CE185" i="6"/>
  <c r="CD185" i="6"/>
  <c r="CJ185" i="6"/>
  <c r="BB182" i="6"/>
  <c r="AW182" i="6"/>
  <c r="BH182" i="6"/>
  <c r="BC182" i="6"/>
  <c r="BB181" i="6"/>
  <c r="AW181" i="6"/>
  <c r="BH181" i="6"/>
  <c r="BC181" i="6"/>
  <c r="AA2154" i="5"/>
  <c r="Z2154" i="5"/>
  <c r="Y2154" i="5"/>
  <c r="AA5619" i="5"/>
  <c r="Y5619" i="5"/>
  <c r="Z5619" i="5"/>
  <c r="CT188" i="6"/>
  <c r="DE188" i="6"/>
  <c r="CZ188" i="6"/>
  <c r="CY188" i="6"/>
  <c r="AN180" i="6"/>
  <c r="AT180" i="6"/>
  <c r="AO180" i="6"/>
  <c r="AA5123" i="5"/>
  <c r="Z5123" i="5"/>
  <c r="Y5123" i="5"/>
  <c r="AA4133" i="5"/>
  <c r="Y4133" i="5"/>
  <c r="Z4133" i="5"/>
  <c r="AA668" i="5"/>
  <c r="Y668" i="5"/>
  <c r="Z668" i="5"/>
  <c r="BD183" i="6"/>
  <c r="BO183" i="6"/>
  <c r="BI183" i="6"/>
  <c r="BJ183" i="6"/>
  <c r="CK186" i="6"/>
  <c r="CF186" i="6"/>
  <c r="CL186" i="6"/>
  <c r="CQ186" i="6"/>
  <c r="AA3638" i="5"/>
  <c r="Y3638" i="5"/>
  <c r="Z3638" i="5"/>
  <c r="AA1659" i="5"/>
  <c r="Z1659" i="5"/>
  <c r="Y1659" i="5"/>
  <c r="AA5124" i="5"/>
  <c r="Z5124" i="5"/>
  <c r="Y5124" i="5"/>
  <c r="DO191" i="6"/>
  <c r="DY191" i="6"/>
  <c r="BV184" i="6"/>
  <c r="BQ184" i="6"/>
  <c r="BK184" i="6"/>
  <c r="BP184" i="6"/>
  <c r="CT189" i="6"/>
  <c r="DE189" i="6"/>
  <c r="CY189" i="6"/>
  <c r="CZ189" i="6"/>
  <c r="CK187" i="6"/>
  <c r="CF187" i="6"/>
  <c r="CL187" i="6"/>
  <c r="CQ187" i="6"/>
  <c r="T193" i="6"/>
  <c r="L193" i="6"/>
  <c r="R193" i="6"/>
  <c r="H193" i="6"/>
  <c r="Z193" i="6"/>
  <c r="X193" i="6"/>
  <c r="P193" i="6"/>
  <c r="D193" i="6"/>
  <c r="V193" i="6"/>
  <c r="N193" i="6"/>
  <c r="J193" i="6"/>
  <c r="F193" i="6"/>
  <c r="AI193" i="6"/>
  <c r="AB193" i="6"/>
  <c r="DT193" i="6" s="1"/>
  <c r="AM193" i="6"/>
  <c r="AK193" i="6"/>
  <c r="DX191" i="6"/>
  <c r="AA6114" i="5" s="1"/>
  <c r="EF194" i="6"/>
  <c r="L192" i="6"/>
  <c r="X192" i="6"/>
  <c r="N192" i="6"/>
  <c r="D192" i="6"/>
  <c r="V192" i="6"/>
  <c r="R192" i="6"/>
  <c r="F192" i="6"/>
  <c r="T192" i="6"/>
  <c r="J192" i="6"/>
  <c r="P192" i="6"/>
  <c r="H192" i="6"/>
  <c r="AK192" i="6"/>
  <c r="AB192" i="6"/>
  <c r="DT192" i="6" s="1"/>
  <c r="AM192" i="6"/>
  <c r="Z192" i="6"/>
  <c r="AI192" i="6"/>
  <c r="CC185" i="6" l="1"/>
  <c r="BR185" i="6"/>
  <c r="BX185" i="6"/>
  <c r="BW185" i="6"/>
  <c r="DO192" i="6"/>
  <c r="DY192" i="6"/>
  <c r="BD184" i="6"/>
  <c r="BI184" i="6"/>
  <c r="BO184" i="6"/>
  <c r="BJ184" i="6"/>
  <c r="DS191" i="6"/>
  <c r="DM191" i="6"/>
  <c r="DH191" i="6"/>
  <c r="DN191" i="6"/>
  <c r="CE186" i="6"/>
  <c r="BY186" i="6"/>
  <c r="CD186" i="6"/>
  <c r="CJ186" i="6"/>
  <c r="AA1660" i="5"/>
  <c r="Y1660" i="5"/>
  <c r="Z1660" i="5"/>
  <c r="Y175" i="5"/>
  <c r="AA175" i="5"/>
  <c r="Z175" i="5"/>
  <c r="AA4629" i="5"/>
  <c r="Z4629" i="5"/>
  <c r="Y4629" i="5"/>
  <c r="AA3144" i="5"/>
  <c r="Y3144" i="5"/>
  <c r="Z3144" i="5"/>
  <c r="AA174" i="5"/>
  <c r="Z174" i="5"/>
  <c r="Y174" i="5"/>
  <c r="DO193" i="6"/>
  <c r="DY193" i="6"/>
  <c r="AA4630" i="5"/>
  <c r="Z4630" i="5"/>
  <c r="Y4630" i="5"/>
  <c r="CT190" i="6"/>
  <c r="CZ190" i="6"/>
  <c r="CY190" i="6"/>
  <c r="DE190" i="6"/>
  <c r="AA3640" i="5"/>
  <c r="Y3640" i="5"/>
  <c r="Z3640" i="5"/>
  <c r="BY187" i="6"/>
  <c r="CE187" i="6"/>
  <c r="CD187" i="6"/>
  <c r="CJ187" i="6"/>
  <c r="BB183" i="6"/>
  <c r="AW183" i="6"/>
  <c r="BH183" i="6"/>
  <c r="BC183" i="6"/>
  <c r="CS188" i="6"/>
  <c r="CM188" i="6"/>
  <c r="CX188" i="6"/>
  <c r="CR188" i="6"/>
  <c r="AA1164" i="5"/>
  <c r="Y1164" i="5"/>
  <c r="Z1164" i="5"/>
  <c r="AA1165" i="5"/>
  <c r="Z1165" i="5"/>
  <c r="Y1165" i="5"/>
  <c r="CS189" i="6"/>
  <c r="CR189" i="6"/>
  <c r="CM189" i="6"/>
  <c r="CX189" i="6"/>
  <c r="AA2155" i="5"/>
  <c r="Y2155" i="5"/>
  <c r="Z2155" i="5"/>
  <c r="AA3639" i="5"/>
  <c r="Y3639" i="5"/>
  <c r="Z3639" i="5"/>
  <c r="AP181" i="6"/>
  <c r="AV181" i="6"/>
  <c r="BA181" i="6"/>
  <c r="AU181" i="6"/>
  <c r="AU182" i="6"/>
  <c r="AP182" i="6"/>
  <c r="AV182" i="6"/>
  <c r="BA182" i="6"/>
  <c r="AA5125" i="5"/>
  <c r="Z5125" i="5"/>
  <c r="Y5125" i="5"/>
  <c r="Y6114" i="5"/>
  <c r="Z6114" i="5"/>
  <c r="EF195" i="6"/>
  <c r="DX192" i="6"/>
  <c r="AA6115" i="5" s="1"/>
  <c r="EG194" i="6"/>
  <c r="EH194" i="6" s="1"/>
  <c r="AA194" i="6" s="1"/>
  <c r="DX193" i="6"/>
  <c r="AA6116" i="5" s="1"/>
  <c r="AA4135" i="5" l="1"/>
  <c r="Y4135" i="5"/>
  <c r="Z4135" i="5"/>
  <c r="AA1166" i="5"/>
  <c r="Z1166" i="5"/>
  <c r="Y1166" i="5"/>
  <c r="CC186" i="6"/>
  <c r="BR186" i="6"/>
  <c r="BW186" i="6"/>
  <c r="BX186" i="6"/>
  <c r="AN182" i="6"/>
  <c r="AO182" i="6"/>
  <c r="AT182" i="6"/>
  <c r="AA4136" i="5"/>
  <c r="Y4136" i="5"/>
  <c r="Z4136" i="5"/>
  <c r="CK188" i="6"/>
  <c r="CF188" i="6"/>
  <c r="CL188" i="6"/>
  <c r="CQ188" i="6"/>
  <c r="AU183" i="6"/>
  <c r="AP183" i="6"/>
  <c r="BA183" i="6"/>
  <c r="AV183" i="6"/>
  <c r="CS190" i="6"/>
  <c r="CM190" i="6"/>
  <c r="CX190" i="6"/>
  <c r="CR190" i="6"/>
  <c r="AA5620" i="5"/>
  <c r="Y5620" i="5"/>
  <c r="Z5620" i="5"/>
  <c r="BB184" i="6"/>
  <c r="AW184" i="6"/>
  <c r="BH184" i="6"/>
  <c r="BC184" i="6"/>
  <c r="BV185" i="6"/>
  <c r="BK185" i="6"/>
  <c r="BP185" i="6"/>
  <c r="BQ185" i="6"/>
  <c r="AA670" i="5"/>
  <c r="Y670" i="5"/>
  <c r="Z670" i="5"/>
  <c r="AN181" i="6"/>
  <c r="AO181" i="6"/>
  <c r="AT181" i="6"/>
  <c r="CK189" i="6"/>
  <c r="CF189" i="6"/>
  <c r="CQ189" i="6"/>
  <c r="CL189" i="6"/>
  <c r="CC187" i="6"/>
  <c r="BR187" i="6"/>
  <c r="BX187" i="6"/>
  <c r="BW187" i="6"/>
  <c r="AA4631" i="5"/>
  <c r="Y4631" i="5"/>
  <c r="Z4631" i="5"/>
  <c r="DH193" i="6"/>
  <c r="DM193" i="6"/>
  <c r="DN193" i="6"/>
  <c r="DS193" i="6"/>
  <c r="AA3145" i="5"/>
  <c r="Y3145" i="5"/>
  <c r="Z3145" i="5"/>
  <c r="AA671" i="5"/>
  <c r="Y671" i="5"/>
  <c r="Z671" i="5"/>
  <c r="AA3146" i="5"/>
  <c r="Y3146" i="5"/>
  <c r="Z3146" i="5"/>
  <c r="DA191" i="6"/>
  <c r="DF191" i="6"/>
  <c r="DL191" i="6"/>
  <c r="DG191" i="6"/>
  <c r="AA1661" i="5"/>
  <c r="Z1661" i="5"/>
  <c r="Y1661" i="5"/>
  <c r="DS192" i="6"/>
  <c r="DH192" i="6"/>
  <c r="DN192" i="6"/>
  <c r="DM192" i="6"/>
  <c r="AA2650" i="5"/>
  <c r="Y2650" i="5"/>
  <c r="Z2650" i="5"/>
  <c r="Y6115" i="5"/>
  <c r="Z6115" i="5"/>
  <c r="Y6116" i="5"/>
  <c r="Z6116" i="5"/>
  <c r="V194" i="6"/>
  <c r="L194" i="6"/>
  <c r="P194" i="6"/>
  <c r="T194" i="6"/>
  <c r="J194" i="6"/>
  <c r="AB194" i="6"/>
  <c r="DT194" i="6" s="1"/>
  <c r="R194" i="6"/>
  <c r="D194" i="6"/>
  <c r="Z194" i="6"/>
  <c r="H194" i="6"/>
  <c r="X194" i="6"/>
  <c r="N194" i="6"/>
  <c r="F194" i="6"/>
  <c r="AM194" i="6"/>
  <c r="AK194" i="6"/>
  <c r="AI194" i="6"/>
  <c r="EF196" i="6"/>
  <c r="EG195" i="6"/>
  <c r="EH195" i="6" s="1"/>
  <c r="AA195" i="6" s="1"/>
  <c r="DA193" i="6" l="1"/>
  <c r="DF193" i="6"/>
  <c r="DL193" i="6"/>
  <c r="DG193" i="6"/>
  <c r="AA176" i="5"/>
  <c r="Z176" i="5"/>
  <c r="Y176" i="5"/>
  <c r="AA3642" i="5"/>
  <c r="Y3642" i="5"/>
  <c r="Z3642" i="5"/>
  <c r="AA3641" i="5"/>
  <c r="Y3641" i="5"/>
  <c r="Z3641" i="5"/>
  <c r="BV187" i="6"/>
  <c r="BK187" i="6"/>
  <c r="BQ187" i="6"/>
  <c r="BP187" i="6"/>
  <c r="BY189" i="6"/>
  <c r="CE189" i="6"/>
  <c r="CD189" i="6"/>
  <c r="CJ189" i="6"/>
  <c r="AA4137" i="5"/>
  <c r="Y4137" i="5"/>
  <c r="Z4137" i="5"/>
  <c r="AA672" i="5"/>
  <c r="Z672" i="5"/>
  <c r="Y672" i="5"/>
  <c r="AA2651" i="5"/>
  <c r="Y2651" i="5"/>
  <c r="Z2651" i="5"/>
  <c r="DO194" i="6"/>
  <c r="DY194" i="6"/>
  <c r="Y5621" i="5"/>
  <c r="AA5621" i="5"/>
  <c r="Z5621" i="5"/>
  <c r="BD185" i="6"/>
  <c r="BJ185" i="6"/>
  <c r="BO185" i="6"/>
  <c r="BI185" i="6"/>
  <c r="AA5126" i="5"/>
  <c r="Y5126" i="5"/>
  <c r="Z5126" i="5"/>
  <c r="AA5622" i="5"/>
  <c r="Y5622" i="5"/>
  <c r="Z5622" i="5"/>
  <c r="AA2156" i="5"/>
  <c r="Z2156" i="5"/>
  <c r="Y2156" i="5"/>
  <c r="BV186" i="6"/>
  <c r="BK186" i="6"/>
  <c r="BP186" i="6"/>
  <c r="BQ186" i="6"/>
  <c r="DA192" i="6"/>
  <c r="DF192" i="6"/>
  <c r="DG192" i="6"/>
  <c r="DL192" i="6"/>
  <c r="CT191" i="6"/>
  <c r="DE191" i="6"/>
  <c r="CY191" i="6"/>
  <c r="CZ191" i="6"/>
  <c r="AA2652" i="5"/>
  <c r="Y2652" i="5"/>
  <c r="Z2652" i="5"/>
  <c r="AA1167" i="5"/>
  <c r="Z1167" i="5"/>
  <c r="Y1167" i="5"/>
  <c r="CK190" i="6"/>
  <c r="CF190" i="6"/>
  <c r="CL190" i="6"/>
  <c r="CQ190" i="6"/>
  <c r="AN183" i="6"/>
  <c r="AT183" i="6"/>
  <c r="AO183" i="6"/>
  <c r="CE188" i="6"/>
  <c r="BY188" i="6"/>
  <c r="CD188" i="6"/>
  <c r="CJ188" i="6"/>
  <c r="AU184" i="6"/>
  <c r="AP184" i="6"/>
  <c r="AV184" i="6"/>
  <c r="BA184" i="6"/>
  <c r="AA177" i="5"/>
  <c r="Y177" i="5"/>
  <c r="Z177" i="5"/>
  <c r="R195" i="6"/>
  <c r="H195" i="6"/>
  <c r="F195" i="6"/>
  <c r="D195" i="6"/>
  <c r="N195" i="6"/>
  <c r="Z195" i="6"/>
  <c r="X195" i="6"/>
  <c r="P195" i="6"/>
  <c r="V195" i="6"/>
  <c r="L195" i="6"/>
  <c r="T195" i="6"/>
  <c r="J195" i="6"/>
  <c r="AI195" i="6"/>
  <c r="AK195" i="6"/>
  <c r="AM195" i="6"/>
  <c r="AB195" i="6"/>
  <c r="DT195" i="6" s="1"/>
  <c r="EF197" i="6"/>
  <c r="EG196" i="6"/>
  <c r="EH196" i="6" s="1"/>
  <c r="AA196" i="6" s="1"/>
  <c r="DX194" i="6"/>
  <c r="AA6117" i="5" s="1"/>
  <c r="AA3147" i="5" l="1"/>
  <c r="Y3147" i="5"/>
  <c r="Z3147" i="5"/>
  <c r="DO195" i="6"/>
  <c r="DY195" i="6"/>
  <c r="AA178" i="5"/>
  <c r="Y178" i="5"/>
  <c r="Z178" i="5"/>
  <c r="CE190" i="6"/>
  <c r="BY190" i="6"/>
  <c r="CD190" i="6"/>
  <c r="CJ190" i="6"/>
  <c r="AA5127" i="5"/>
  <c r="Y5127" i="5"/>
  <c r="Z5127" i="5"/>
  <c r="BB185" i="6"/>
  <c r="AW185" i="6"/>
  <c r="BH185" i="6"/>
  <c r="BC185" i="6"/>
  <c r="CC188" i="6"/>
  <c r="BR188" i="6"/>
  <c r="BX188" i="6"/>
  <c r="BW188" i="6"/>
  <c r="DS194" i="6"/>
  <c r="DH194" i="6"/>
  <c r="DM194" i="6"/>
  <c r="DN194" i="6"/>
  <c r="BD187" i="6"/>
  <c r="BJ187" i="6"/>
  <c r="BO187" i="6"/>
  <c r="BI187" i="6"/>
  <c r="AA5128" i="5"/>
  <c r="Z5128" i="5"/>
  <c r="Y5128" i="5"/>
  <c r="AN184" i="6"/>
  <c r="AT184" i="6"/>
  <c r="AO184" i="6"/>
  <c r="AA3643" i="5"/>
  <c r="Y3643" i="5"/>
  <c r="Z3643" i="5"/>
  <c r="AA4632" i="5"/>
  <c r="Y4632" i="5"/>
  <c r="Z4632" i="5"/>
  <c r="BD186" i="6"/>
  <c r="BO186" i="6"/>
  <c r="BI186" i="6"/>
  <c r="BJ186" i="6"/>
  <c r="AA1662" i="5"/>
  <c r="Y1662" i="5"/>
  <c r="Z1662" i="5"/>
  <c r="CC189" i="6"/>
  <c r="BR189" i="6"/>
  <c r="BX189" i="6"/>
  <c r="BW189" i="6"/>
  <c r="Y2158" i="5"/>
  <c r="AA2158" i="5"/>
  <c r="Z2158" i="5"/>
  <c r="Y673" i="5"/>
  <c r="AA673" i="5"/>
  <c r="Z673" i="5"/>
  <c r="CS191" i="6"/>
  <c r="CX191" i="6"/>
  <c r="CM191" i="6"/>
  <c r="CR191" i="6"/>
  <c r="CT192" i="6"/>
  <c r="CZ192" i="6"/>
  <c r="DE192" i="6"/>
  <c r="CY192" i="6"/>
  <c r="AA2157" i="5"/>
  <c r="Y2157" i="5"/>
  <c r="Z2157" i="5"/>
  <c r="AA3148" i="5"/>
  <c r="Z3148" i="5"/>
  <c r="Y3148" i="5"/>
  <c r="CT193" i="6"/>
  <c r="CZ193" i="6"/>
  <c r="CY193" i="6"/>
  <c r="DE193" i="6"/>
  <c r="Y6117" i="5"/>
  <c r="Z6117" i="5"/>
  <c r="EF198" i="6"/>
  <c r="EG197" i="6"/>
  <c r="EH197" i="6" s="1"/>
  <c r="AA197" i="6" s="1"/>
  <c r="DX195" i="6"/>
  <c r="AA6118" i="5" s="1"/>
  <c r="V196" i="6"/>
  <c r="N196" i="6"/>
  <c r="D196" i="6"/>
  <c r="T196" i="6"/>
  <c r="J196" i="6"/>
  <c r="F196" i="6"/>
  <c r="P196" i="6"/>
  <c r="H196" i="6"/>
  <c r="X196" i="6"/>
  <c r="R196" i="6"/>
  <c r="L196" i="6"/>
  <c r="AK196" i="6"/>
  <c r="AB196" i="6"/>
  <c r="DT196" i="6" s="1"/>
  <c r="Z196" i="6"/>
  <c r="AM196" i="6"/>
  <c r="AI196" i="6"/>
  <c r="AA1663" i="5" l="1"/>
  <c r="Y1663" i="5"/>
  <c r="Z1663" i="5"/>
  <c r="DO196" i="6"/>
  <c r="DY196" i="6"/>
  <c r="BV189" i="6"/>
  <c r="BK189" i="6"/>
  <c r="BQ189" i="6"/>
  <c r="BP189" i="6"/>
  <c r="BB186" i="6"/>
  <c r="AW186" i="6"/>
  <c r="BH186" i="6"/>
  <c r="BC186" i="6"/>
  <c r="Y179" i="5"/>
  <c r="Z179" i="5"/>
  <c r="AA179" i="5"/>
  <c r="BB187" i="6"/>
  <c r="AW187" i="6"/>
  <c r="BH187" i="6"/>
  <c r="BC187" i="6"/>
  <c r="AA5623" i="5"/>
  <c r="Y5623" i="5"/>
  <c r="Z5623" i="5"/>
  <c r="Y2653" i="5"/>
  <c r="Z2653" i="5"/>
  <c r="AA2653" i="5"/>
  <c r="AA3149" i="5"/>
  <c r="Z3149" i="5"/>
  <c r="Y3149" i="5"/>
  <c r="DS195" i="6"/>
  <c r="DM195" i="6"/>
  <c r="DH195" i="6"/>
  <c r="DN195" i="6"/>
  <c r="CK191" i="6"/>
  <c r="CF191" i="6"/>
  <c r="CL191" i="6"/>
  <c r="CQ191" i="6"/>
  <c r="AA2654" i="5"/>
  <c r="Y2654" i="5"/>
  <c r="Z2654" i="5"/>
  <c r="CS193" i="6"/>
  <c r="CM193" i="6"/>
  <c r="CR193" i="6"/>
  <c r="CX193" i="6"/>
  <c r="AA4633" i="5"/>
  <c r="Z4633" i="5"/>
  <c r="Y4633" i="5"/>
  <c r="AA4634" i="5"/>
  <c r="Y4634" i="5"/>
  <c r="Z4634" i="5"/>
  <c r="AA4138" i="5"/>
  <c r="Z4138" i="5"/>
  <c r="Y4138" i="5"/>
  <c r="AA1664" i="5"/>
  <c r="Y1664" i="5"/>
  <c r="Z1664" i="5"/>
  <c r="AA1168" i="5"/>
  <c r="Z1168" i="5"/>
  <c r="Y1168" i="5"/>
  <c r="CC190" i="6"/>
  <c r="BR190" i="6"/>
  <c r="BW190" i="6"/>
  <c r="BX190" i="6"/>
  <c r="CS192" i="6"/>
  <c r="CM192" i="6"/>
  <c r="CX192" i="6"/>
  <c r="CR192" i="6"/>
  <c r="DA194" i="6"/>
  <c r="DG194" i="6"/>
  <c r="DF194" i="6"/>
  <c r="DL194" i="6"/>
  <c r="BV188" i="6"/>
  <c r="BK188" i="6"/>
  <c r="BQ188" i="6"/>
  <c r="BP188" i="6"/>
  <c r="AU185" i="6"/>
  <c r="AP185" i="6"/>
  <c r="AV185" i="6"/>
  <c r="BA185" i="6"/>
  <c r="Y6118" i="5"/>
  <c r="Z6118" i="5"/>
  <c r="EF199" i="6"/>
  <c r="EG198" i="6"/>
  <c r="EH198" i="6" s="1"/>
  <c r="AA198" i="6" s="1"/>
  <c r="DX196" i="6"/>
  <c r="AA6119" i="5" s="1"/>
  <c r="F197" i="6"/>
  <c r="X197" i="6"/>
  <c r="P197" i="6"/>
  <c r="J197" i="6"/>
  <c r="Z197" i="6"/>
  <c r="V197" i="6"/>
  <c r="N197" i="6"/>
  <c r="D197" i="6"/>
  <c r="T197" i="6"/>
  <c r="L197" i="6"/>
  <c r="R197" i="6"/>
  <c r="H197" i="6"/>
  <c r="AB197" i="6"/>
  <c r="DT197" i="6" s="1"/>
  <c r="AM197" i="6"/>
  <c r="AI197" i="6"/>
  <c r="AK197" i="6"/>
  <c r="BD188" i="6" l="1"/>
  <c r="BJ188" i="6"/>
  <c r="BI188" i="6"/>
  <c r="BO188" i="6"/>
  <c r="AA2159" i="5"/>
  <c r="Y2159" i="5"/>
  <c r="Z2159" i="5"/>
  <c r="CT194" i="6"/>
  <c r="DE194" i="6"/>
  <c r="CZ194" i="6"/>
  <c r="CY194" i="6"/>
  <c r="AA2655" i="5"/>
  <c r="Z2655" i="5"/>
  <c r="Y2655" i="5"/>
  <c r="AA4140" i="5"/>
  <c r="Y4140" i="5"/>
  <c r="Z4140" i="5"/>
  <c r="DA195" i="6"/>
  <c r="DL195" i="6"/>
  <c r="DF195" i="6"/>
  <c r="DG195" i="6"/>
  <c r="AA1169" i="5"/>
  <c r="Z1169" i="5"/>
  <c r="Y1169" i="5"/>
  <c r="DS196" i="6"/>
  <c r="DH196" i="6"/>
  <c r="DN196" i="6"/>
  <c r="DM196" i="6"/>
  <c r="AA674" i="5"/>
  <c r="Z674" i="5"/>
  <c r="Y674" i="5"/>
  <c r="AA5129" i="5"/>
  <c r="Z5129" i="5"/>
  <c r="Y5129" i="5"/>
  <c r="AA1170" i="5"/>
  <c r="Y1170" i="5"/>
  <c r="Z1170" i="5"/>
  <c r="AU186" i="6"/>
  <c r="AP186" i="6"/>
  <c r="AV186" i="6"/>
  <c r="BA186" i="6"/>
  <c r="BD189" i="6"/>
  <c r="BI189" i="6"/>
  <c r="BO189" i="6"/>
  <c r="BJ189" i="6"/>
  <c r="DO197" i="6"/>
  <c r="DY197" i="6"/>
  <c r="BY191" i="6"/>
  <c r="CE191" i="6"/>
  <c r="CD191" i="6"/>
  <c r="CJ191" i="6"/>
  <c r="AA4139" i="5"/>
  <c r="Y4139" i="5"/>
  <c r="Z4139" i="5"/>
  <c r="CK193" i="6"/>
  <c r="CF193" i="6"/>
  <c r="CQ193" i="6"/>
  <c r="CL193" i="6"/>
  <c r="AA5624" i="5"/>
  <c r="Z5624" i="5"/>
  <c r="Y5624" i="5"/>
  <c r="AU187" i="6"/>
  <c r="AP187" i="6"/>
  <c r="AV187" i="6"/>
  <c r="BA187" i="6"/>
  <c r="AA2160" i="5"/>
  <c r="Y2160" i="5"/>
  <c r="Z2160" i="5"/>
  <c r="AN185" i="6"/>
  <c r="AO185" i="6"/>
  <c r="AT185" i="6"/>
  <c r="CK192" i="6"/>
  <c r="CF192" i="6"/>
  <c r="CL192" i="6"/>
  <c r="CQ192" i="6"/>
  <c r="BV190" i="6"/>
  <c r="BK190" i="6"/>
  <c r="BP190" i="6"/>
  <c r="BQ190" i="6"/>
  <c r="AA3644" i="5"/>
  <c r="Z3644" i="5"/>
  <c r="Y3644" i="5"/>
  <c r="Y6119" i="5"/>
  <c r="Z6119" i="5"/>
  <c r="V198" i="6"/>
  <c r="N198" i="6"/>
  <c r="D198" i="6"/>
  <c r="Z198" i="6"/>
  <c r="X198" i="6"/>
  <c r="L198" i="6"/>
  <c r="F198" i="6"/>
  <c r="T198" i="6"/>
  <c r="P198" i="6"/>
  <c r="R198" i="6"/>
  <c r="J198" i="6"/>
  <c r="AM198" i="6"/>
  <c r="AI198" i="6"/>
  <c r="AK198" i="6"/>
  <c r="H198" i="6"/>
  <c r="AB198" i="6"/>
  <c r="DT198" i="6" s="1"/>
  <c r="EF200" i="6"/>
  <c r="DX197" i="6"/>
  <c r="AA6120" i="5" s="1"/>
  <c r="EG199" i="6"/>
  <c r="EH199" i="6" s="1"/>
  <c r="AA199" i="6" s="1"/>
  <c r="BD190" i="6" l="1"/>
  <c r="BJ190" i="6"/>
  <c r="BO190" i="6"/>
  <c r="BI190" i="6"/>
  <c r="DO198" i="6"/>
  <c r="DY198" i="6"/>
  <c r="AA2161" i="5"/>
  <c r="Z2161" i="5"/>
  <c r="Y2161" i="5"/>
  <c r="BY193" i="6"/>
  <c r="CE193" i="6"/>
  <c r="CD193" i="6"/>
  <c r="CJ193" i="6"/>
  <c r="CC191" i="6"/>
  <c r="BR191" i="6"/>
  <c r="BX191" i="6"/>
  <c r="BW191" i="6"/>
  <c r="AA1666" i="5"/>
  <c r="Y1666" i="5"/>
  <c r="Z1666" i="5"/>
  <c r="CS194" i="6"/>
  <c r="CM194" i="6"/>
  <c r="CX194" i="6"/>
  <c r="CR194" i="6"/>
  <c r="AA1665" i="5"/>
  <c r="Z1665" i="5"/>
  <c r="Y1665" i="5"/>
  <c r="AA180" i="5"/>
  <c r="Z180" i="5"/>
  <c r="Y180" i="5"/>
  <c r="AN187" i="6"/>
  <c r="AT187" i="6"/>
  <c r="AO187" i="6"/>
  <c r="AA3150" i="5"/>
  <c r="Y3150" i="5"/>
  <c r="Z3150" i="5"/>
  <c r="AN186" i="6"/>
  <c r="AO186" i="6"/>
  <c r="AT186" i="6"/>
  <c r="AA5130" i="5"/>
  <c r="Y5130" i="5"/>
  <c r="Z5130" i="5"/>
  <c r="AA3645" i="5"/>
  <c r="Y3645" i="5"/>
  <c r="Z3645" i="5"/>
  <c r="DH197" i="6"/>
  <c r="DN197" i="6"/>
  <c r="DM197" i="6"/>
  <c r="DS197" i="6"/>
  <c r="BB189" i="6"/>
  <c r="AW189" i="6"/>
  <c r="BH189" i="6"/>
  <c r="BC189" i="6"/>
  <c r="DA196" i="6"/>
  <c r="DL196" i="6"/>
  <c r="DG196" i="6"/>
  <c r="DF196" i="6"/>
  <c r="CT195" i="6"/>
  <c r="DE195" i="6"/>
  <c r="CY195" i="6"/>
  <c r="CZ195" i="6"/>
  <c r="CE192" i="6"/>
  <c r="BY192" i="6"/>
  <c r="CD192" i="6"/>
  <c r="CJ192" i="6"/>
  <c r="AA676" i="5"/>
  <c r="Y676" i="5"/>
  <c r="Z676" i="5"/>
  <c r="AA3646" i="5"/>
  <c r="Y3646" i="5"/>
  <c r="Z3646" i="5"/>
  <c r="AA675" i="5"/>
  <c r="Y675" i="5"/>
  <c r="Z675" i="5"/>
  <c r="Y5625" i="5"/>
  <c r="AA5625" i="5"/>
  <c r="Z5625" i="5"/>
  <c r="AA4635" i="5"/>
  <c r="Y4635" i="5"/>
  <c r="Z4635" i="5"/>
  <c r="BB188" i="6"/>
  <c r="AW188" i="6"/>
  <c r="BH188" i="6"/>
  <c r="BC188" i="6"/>
  <c r="Y6120" i="5"/>
  <c r="Z6120" i="5"/>
  <c r="EF201" i="6"/>
  <c r="F199" i="6"/>
  <c r="Z199" i="6"/>
  <c r="T199" i="6"/>
  <c r="J199" i="6"/>
  <c r="AB199" i="6"/>
  <c r="DT199" i="6" s="1"/>
  <c r="R199" i="6"/>
  <c r="N199" i="6"/>
  <c r="X199" i="6"/>
  <c r="P199" i="6"/>
  <c r="H199" i="6"/>
  <c r="V199" i="6"/>
  <c r="L199" i="6"/>
  <c r="AI199" i="6"/>
  <c r="D199" i="6"/>
  <c r="AM199" i="6"/>
  <c r="AK199" i="6"/>
  <c r="EG200" i="6"/>
  <c r="EH200" i="6" s="1"/>
  <c r="AA200" i="6" s="1"/>
  <c r="DX198" i="6"/>
  <c r="AA6121" i="5" s="1"/>
  <c r="AA1171" i="5" l="1"/>
  <c r="Y1171" i="5"/>
  <c r="Z1171" i="5"/>
  <c r="AA3151" i="5"/>
  <c r="Y3151" i="5"/>
  <c r="Z3151" i="5"/>
  <c r="DO199" i="6"/>
  <c r="DY199" i="6"/>
  <c r="AA1172" i="5"/>
  <c r="Y1172" i="5"/>
  <c r="Z1172" i="5"/>
  <c r="AA182" i="5"/>
  <c r="Y182" i="5"/>
  <c r="Z182" i="5"/>
  <c r="CC192" i="6"/>
  <c r="BR192" i="6"/>
  <c r="BW192" i="6"/>
  <c r="BX192" i="6"/>
  <c r="AA4636" i="5"/>
  <c r="Z4636" i="5"/>
  <c r="Y4636" i="5"/>
  <c r="AA5131" i="5"/>
  <c r="Y5131" i="5"/>
  <c r="Z5131" i="5"/>
  <c r="AU189" i="6"/>
  <c r="AP189" i="6"/>
  <c r="BA189" i="6"/>
  <c r="AV189" i="6"/>
  <c r="AA181" i="5"/>
  <c r="Z181" i="5"/>
  <c r="Y181" i="5"/>
  <c r="AA4141" i="5"/>
  <c r="Y4141" i="5"/>
  <c r="Z4141" i="5"/>
  <c r="BV191" i="6"/>
  <c r="BK191" i="6"/>
  <c r="BQ191" i="6"/>
  <c r="BP191" i="6"/>
  <c r="AA1667" i="5"/>
  <c r="Z1667" i="5"/>
  <c r="Y1667" i="5"/>
  <c r="AU188" i="6"/>
  <c r="AP188" i="6"/>
  <c r="AV188" i="6"/>
  <c r="BA188" i="6"/>
  <c r="CT196" i="6"/>
  <c r="CY196" i="6"/>
  <c r="DE196" i="6"/>
  <c r="CZ196" i="6"/>
  <c r="DA197" i="6"/>
  <c r="DG197" i="6"/>
  <c r="DF197" i="6"/>
  <c r="DL197" i="6"/>
  <c r="CK194" i="6"/>
  <c r="CF194" i="6"/>
  <c r="CL194" i="6"/>
  <c r="CQ194" i="6"/>
  <c r="AA2656" i="5"/>
  <c r="Z2656" i="5"/>
  <c r="Y2656" i="5"/>
  <c r="CC193" i="6"/>
  <c r="BR193" i="6"/>
  <c r="BX193" i="6"/>
  <c r="BW193" i="6"/>
  <c r="CS195" i="6"/>
  <c r="CX195" i="6"/>
  <c r="CM195" i="6"/>
  <c r="CR195" i="6"/>
  <c r="AA5626" i="5"/>
  <c r="Y5626" i="5"/>
  <c r="Z5626" i="5"/>
  <c r="AA3152" i="5"/>
  <c r="Y3152" i="5"/>
  <c r="Z3152" i="5"/>
  <c r="DS198" i="6"/>
  <c r="DH198" i="6"/>
  <c r="DM198" i="6"/>
  <c r="DN198" i="6"/>
  <c r="BB190" i="6"/>
  <c r="AW190" i="6"/>
  <c r="BH190" i="6"/>
  <c r="BC190" i="6"/>
  <c r="Y6121" i="5"/>
  <c r="Z6121" i="5"/>
  <c r="EF202" i="6"/>
  <c r="T200" i="6"/>
  <c r="J200" i="6"/>
  <c r="F200" i="6"/>
  <c r="R200" i="6"/>
  <c r="L200" i="6"/>
  <c r="X200" i="6"/>
  <c r="P200" i="6"/>
  <c r="H200" i="6"/>
  <c r="V200" i="6"/>
  <c r="N200" i="6"/>
  <c r="D200" i="6"/>
  <c r="AK200" i="6"/>
  <c r="Z200" i="6"/>
  <c r="AM200" i="6"/>
  <c r="AB200" i="6"/>
  <c r="DT200" i="6" s="1"/>
  <c r="AI200" i="6"/>
  <c r="DX199" i="6"/>
  <c r="AA6122" i="5" s="1"/>
  <c r="EG201" i="6"/>
  <c r="EH201" i="6" s="1"/>
  <c r="AA201" i="6" s="1"/>
  <c r="AU190" i="6" l="1"/>
  <c r="AP190" i="6"/>
  <c r="AV190" i="6"/>
  <c r="BA190" i="6"/>
  <c r="DA198" i="6"/>
  <c r="DF198" i="6"/>
  <c r="DG198" i="6"/>
  <c r="DL198" i="6"/>
  <c r="AA4637" i="5"/>
  <c r="Z4637" i="5"/>
  <c r="Y4637" i="5"/>
  <c r="BD191" i="6"/>
  <c r="BI191" i="6"/>
  <c r="BO191" i="6"/>
  <c r="BJ191" i="6"/>
  <c r="BV192" i="6"/>
  <c r="BQ192" i="6"/>
  <c r="BK192" i="6"/>
  <c r="BP192" i="6"/>
  <c r="DO200" i="6"/>
  <c r="DY200" i="6"/>
  <c r="CK195" i="6"/>
  <c r="CF195" i="6"/>
  <c r="CL195" i="6"/>
  <c r="CQ195" i="6"/>
  <c r="CE194" i="6"/>
  <c r="BY194" i="6"/>
  <c r="CD194" i="6"/>
  <c r="CJ194" i="6"/>
  <c r="AN188" i="6"/>
  <c r="AO188" i="6"/>
  <c r="AT188" i="6"/>
  <c r="AA2162" i="5"/>
  <c r="Y2162" i="5"/>
  <c r="Z2162" i="5"/>
  <c r="AA678" i="5"/>
  <c r="Y678" i="5"/>
  <c r="Z678" i="5"/>
  <c r="Y2657" i="5"/>
  <c r="AA2657" i="5"/>
  <c r="Z2657" i="5"/>
  <c r="DS199" i="6"/>
  <c r="DM199" i="6"/>
  <c r="DH199" i="6"/>
  <c r="DN199" i="6"/>
  <c r="AA5627" i="5"/>
  <c r="Y5627" i="5"/>
  <c r="Z5627" i="5"/>
  <c r="BV193" i="6"/>
  <c r="BK193" i="6"/>
  <c r="BP193" i="6"/>
  <c r="BQ193" i="6"/>
  <c r="CT197" i="6"/>
  <c r="CY197" i="6"/>
  <c r="CZ197" i="6"/>
  <c r="DE197" i="6"/>
  <c r="CS196" i="6"/>
  <c r="CM196" i="6"/>
  <c r="CX196" i="6"/>
  <c r="CR196" i="6"/>
  <c r="AN189" i="6"/>
  <c r="AO189" i="6"/>
  <c r="AT189" i="6"/>
  <c r="Y4142" i="5"/>
  <c r="Z4142" i="5"/>
  <c r="AA4142" i="5"/>
  <c r="AA1173" i="5"/>
  <c r="Y1173" i="5"/>
  <c r="Z1173" i="5"/>
  <c r="AA2658" i="5"/>
  <c r="Y2658" i="5"/>
  <c r="Z2658" i="5"/>
  <c r="AA3647" i="5"/>
  <c r="Z3647" i="5"/>
  <c r="Y3647" i="5"/>
  <c r="AA5132" i="5"/>
  <c r="Y5132" i="5"/>
  <c r="Z5132" i="5"/>
  <c r="AA677" i="5"/>
  <c r="Z677" i="5"/>
  <c r="Y677" i="5"/>
  <c r="Y6122" i="5"/>
  <c r="Z6122" i="5"/>
  <c r="DX200" i="6"/>
  <c r="AA6123" i="5" s="1"/>
  <c r="EF203" i="6"/>
  <c r="EG203" i="6" s="1"/>
  <c r="EH203" i="6" s="1"/>
  <c r="AA203" i="6" s="1"/>
  <c r="Z201" i="6"/>
  <c r="R201" i="6"/>
  <c r="L201" i="6"/>
  <c r="P201" i="6"/>
  <c r="J201" i="6"/>
  <c r="X201" i="6"/>
  <c r="N201" i="6"/>
  <c r="H201" i="6"/>
  <c r="V201" i="6"/>
  <c r="T201" i="6"/>
  <c r="D201" i="6"/>
  <c r="F201" i="6"/>
  <c r="AI201" i="6"/>
  <c r="AK201" i="6"/>
  <c r="AB201" i="6"/>
  <c r="DT201" i="6" s="1"/>
  <c r="AM201" i="6"/>
  <c r="EG202" i="6"/>
  <c r="EH202" i="6" s="1"/>
  <c r="AA202" i="6" s="1"/>
  <c r="DO201" i="6" l="1"/>
  <c r="DY201" i="6"/>
  <c r="AA4638" i="5"/>
  <c r="Y4638" i="5"/>
  <c r="Z4638" i="5"/>
  <c r="DA199" i="6"/>
  <c r="DF199" i="6"/>
  <c r="DG199" i="6"/>
  <c r="DL199" i="6"/>
  <c r="Y183" i="5"/>
  <c r="Z183" i="5"/>
  <c r="AA183" i="5"/>
  <c r="DS200" i="6"/>
  <c r="DH200" i="6"/>
  <c r="DN200" i="6"/>
  <c r="DM200" i="6"/>
  <c r="Y2163" i="5"/>
  <c r="AA2163" i="5"/>
  <c r="Z2163" i="5"/>
  <c r="BB191" i="6"/>
  <c r="AW191" i="6"/>
  <c r="BH191" i="6"/>
  <c r="BC191" i="6"/>
  <c r="AA5133" i="5"/>
  <c r="Z5133" i="5"/>
  <c r="Y5133" i="5"/>
  <c r="AA679" i="5"/>
  <c r="Y679" i="5"/>
  <c r="Z679" i="5"/>
  <c r="AA184" i="5"/>
  <c r="Z184" i="5"/>
  <c r="Y184" i="5"/>
  <c r="AA4143" i="5"/>
  <c r="Y4143" i="5"/>
  <c r="Z4143" i="5"/>
  <c r="CC194" i="6"/>
  <c r="BR194" i="6"/>
  <c r="BW194" i="6"/>
  <c r="BX194" i="6"/>
  <c r="BY195" i="6"/>
  <c r="CE195" i="6"/>
  <c r="CD195" i="6"/>
  <c r="CJ195" i="6"/>
  <c r="CK196" i="6"/>
  <c r="CF196" i="6"/>
  <c r="CQ196" i="6"/>
  <c r="CL196" i="6"/>
  <c r="BD193" i="6"/>
  <c r="BJ193" i="6"/>
  <c r="BO193" i="6"/>
  <c r="BI193" i="6"/>
  <c r="AA5628" i="5"/>
  <c r="Y5628" i="5"/>
  <c r="Z5628" i="5"/>
  <c r="BD192" i="6"/>
  <c r="BO192" i="6"/>
  <c r="BI192" i="6"/>
  <c r="BJ192" i="6"/>
  <c r="AA1668" i="5"/>
  <c r="Y1668" i="5"/>
  <c r="Z1668" i="5"/>
  <c r="AN190" i="6"/>
  <c r="AO190" i="6"/>
  <c r="AT190" i="6"/>
  <c r="CS197" i="6"/>
  <c r="CR197" i="6"/>
  <c r="CM197" i="6"/>
  <c r="CX197" i="6"/>
  <c r="AA2164" i="5"/>
  <c r="Z2164" i="5"/>
  <c r="Y2164" i="5"/>
  <c r="AA3153" i="5"/>
  <c r="Y3153" i="5"/>
  <c r="Z3153" i="5"/>
  <c r="AA3648" i="5"/>
  <c r="Y3648" i="5"/>
  <c r="Z3648" i="5"/>
  <c r="CT198" i="6"/>
  <c r="CZ198" i="6"/>
  <c r="DE198" i="6"/>
  <c r="CY198" i="6"/>
  <c r="Y6123" i="5"/>
  <c r="Z6123" i="5"/>
  <c r="D203" i="6"/>
  <c r="V203" i="6"/>
  <c r="L203" i="6"/>
  <c r="T203" i="6"/>
  <c r="N203" i="6"/>
  <c r="R203" i="6"/>
  <c r="J203" i="6"/>
  <c r="Z203" i="6"/>
  <c r="X203" i="6"/>
  <c r="P203" i="6"/>
  <c r="H203" i="6"/>
  <c r="F203" i="6"/>
  <c r="AI203" i="6"/>
  <c r="AB203" i="6"/>
  <c r="DT203" i="6" s="1"/>
  <c r="AK203" i="6"/>
  <c r="AM203" i="6"/>
  <c r="DX201" i="6"/>
  <c r="AA6124" i="5" s="1"/>
  <c r="H202" i="6"/>
  <c r="Z202" i="6"/>
  <c r="T202" i="6"/>
  <c r="L202" i="6"/>
  <c r="R202" i="6"/>
  <c r="J202" i="6"/>
  <c r="X202" i="6"/>
  <c r="N202" i="6"/>
  <c r="D202" i="6"/>
  <c r="V202" i="6"/>
  <c r="P202" i="6"/>
  <c r="F202" i="6"/>
  <c r="AM202" i="6"/>
  <c r="AK202" i="6"/>
  <c r="AI202" i="6"/>
  <c r="AB202" i="6"/>
  <c r="DT202" i="6" s="1"/>
  <c r="EF204" i="6"/>
  <c r="EG204" i="6" s="1"/>
  <c r="EH204" i="6" s="1"/>
  <c r="AA204" i="6" s="1"/>
  <c r="CE196" i="6" l="1"/>
  <c r="BY196" i="6"/>
  <c r="CD196" i="6"/>
  <c r="CJ196" i="6"/>
  <c r="DO202" i="6"/>
  <c r="DY202" i="6"/>
  <c r="AA4639" i="5"/>
  <c r="Y4639" i="5"/>
  <c r="Z4639" i="5"/>
  <c r="AA4144" i="5"/>
  <c r="Y4144" i="5"/>
  <c r="Z4144" i="5"/>
  <c r="AA185" i="5"/>
  <c r="Y185" i="5"/>
  <c r="Z185" i="5"/>
  <c r="AA1669" i="5"/>
  <c r="Y1669" i="5"/>
  <c r="Z1669" i="5"/>
  <c r="BB193" i="6"/>
  <c r="AW193" i="6"/>
  <c r="BH193" i="6"/>
  <c r="BC193" i="6"/>
  <c r="CC195" i="6"/>
  <c r="BR195" i="6"/>
  <c r="BX195" i="6"/>
  <c r="BW195" i="6"/>
  <c r="AA2659" i="5"/>
  <c r="Y2659" i="5"/>
  <c r="Z2659" i="5"/>
  <c r="DO203" i="6"/>
  <c r="DY203" i="6"/>
  <c r="CK197" i="6"/>
  <c r="CF197" i="6"/>
  <c r="CQ197" i="6"/>
  <c r="CL197" i="6"/>
  <c r="BB192" i="6"/>
  <c r="AW192" i="6"/>
  <c r="BH192" i="6"/>
  <c r="BC192" i="6"/>
  <c r="AA3154" i="5"/>
  <c r="Z3154" i="5"/>
  <c r="Y3154" i="5"/>
  <c r="CS198" i="6"/>
  <c r="CM198" i="6"/>
  <c r="CR198" i="6"/>
  <c r="CX198" i="6"/>
  <c r="AA1670" i="5"/>
  <c r="Y1670" i="5"/>
  <c r="Z1670" i="5"/>
  <c r="AA3649" i="5"/>
  <c r="Z3649" i="5"/>
  <c r="Y3649" i="5"/>
  <c r="AA1174" i="5"/>
  <c r="Z1174" i="5"/>
  <c r="Y1174" i="5"/>
  <c r="DA200" i="6"/>
  <c r="DL200" i="6"/>
  <c r="DG200" i="6"/>
  <c r="DF200" i="6"/>
  <c r="CT199" i="6"/>
  <c r="CZ199" i="6"/>
  <c r="CY199" i="6"/>
  <c r="DE199" i="6"/>
  <c r="BV194" i="6"/>
  <c r="BK194" i="6"/>
  <c r="BP194" i="6"/>
  <c r="BQ194" i="6"/>
  <c r="AU191" i="6"/>
  <c r="AP191" i="6"/>
  <c r="BA191" i="6"/>
  <c r="AV191" i="6"/>
  <c r="Y5629" i="5"/>
  <c r="AA5629" i="5"/>
  <c r="Z5629" i="5"/>
  <c r="AA5134" i="5"/>
  <c r="Y5134" i="5"/>
  <c r="Z5134" i="5"/>
  <c r="DH201" i="6"/>
  <c r="DM201" i="6"/>
  <c r="DN201" i="6"/>
  <c r="DS201" i="6"/>
  <c r="Y6124" i="5"/>
  <c r="Z6124" i="5"/>
  <c r="T204" i="6"/>
  <c r="J204" i="6"/>
  <c r="F204" i="6"/>
  <c r="R204" i="6"/>
  <c r="L204" i="6"/>
  <c r="X204" i="6"/>
  <c r="P204" i="6"/>
  <c r="H204" i="6"/>
  <c r="V204" i="6"/>
  <c r="N204" i="6"/>
  <c r="D204" i="6"/>
  <c r="Z204" i="6"/>
  <c r="AK204" i="6"/>
  <c r="AM204" i="6"/>
  <c r="AI204" i="6"/>
  <c r="AB204" i="6"/>
  <c r="DT204" i="6" s="1"/>
  <c r="DX203" i="6"/>
  <c r="AA6126" i="5" s="1"/>
  <c r="EF205" i="6"/>
  <c r="DX202" i="6"/>
  <c r="AA6125" i="5" s="1"/>
  <c r="AN191" i="6" l="1"/>
  <c r="AT191" i="6"/>
  <c r="AO191" i="6"/>
  <c r="AA5135" i="5"/>
  <c r="Y5135" i="5"/>
  <c r="Z5135" i="5"/>
  <c r="CS199" i="6"/>
  <c r="CM199" i="6"/>
  <c r="CX199" i="6"/>
  <c r="CR199" i="6"/>
  <c r="CT200" i="6"/>
  <c r="CY200" i="6"/>
  <c r="DE200" i="6"/>
  <c r="CZ200" i="6"/>
  <c r="CK198" i="6"/>
  <c r="CF198" i="6"/>
  <c r="CL198" i="6"/>
  <c r="CQ198" i="6"/>
  <c r="BV195" i="6"/>
  <c r="BK195" i="6"/>
  <c r="BQ195" i="6"/>
  <c r="BP195" i="6"/>
  <c r="AU193" i="6"/>
  <c r="AP193" i="6"/>
  <c r="AV193" i="6"/>
  <c r="BA193" i="6"/>
  <c r="AA3155" i="5"/>
  <c r="Y3155" i="5"/>
  <c r="Z3155" i="5"/>
  <c r="AA2165" i="5"/>
  <c r="Y2165" i="5"/>
  <c r="Z2165" i="5"/>
  <c r="DO204" i="6"/>
  <c r="DY204" i="6"/>
  <c r="AA4640" i="5"/>
  <c r="Y4640" i="5"/>
  <c r="Z4640" i="5"/>
  <c r="AA2660" i="5"/>
  <c r="Y2660" i="5"/>
  <c r="Z2660" i="5"/>
  <c r="BD194" i="6"/>
  <c r="BI194" i="6"/>
  <c r="BO194" i="6"/>
  <c r="BJ194" i="6"/>
  <c r="DA201" i="6"/>
  <c r="DF201" i="6"/>
  <c r="DG201" i="6"/>
  <c r="DL201" i="6"/>
  <c r="AA680" i="5"/>
  <c r="Y680" i="5"/>
  <c r="Z680" i="5"/>
  <c r="AA4145" i="5"/>
  <c r="Y4145" i="5"/>
  <c r="Z4145" i="5"/>
  <c r="Y1175" i="5"/>
  <c r="AA1175" i="5"/>
  <c r="Z1175" i="5"/>
  <c r="AA3650" i="5"/>
  <c r="Y3650" i="5"/>
  <c r="Z3650" i="5"/>
  <c r="DS203" i="6"/>
  <c r="DM203" i="6"/>
  <c r="DH203" i="6"/>
  <c r="DN203" i="6"/>
  <c r="CC196" i="6"/>
  <c r="BR196" i="6"/>
  <c r="BW196" i="6"/>
  <c r="BX196" i="6"/>
  <c r="AA5630" i="5"/>
  <c r="Z5630" i="5"/>
  <c r="Y5630" i="5"/>
  <c r="AU192" i="6"/>
  <c r="AP192" i="6"/>
  <c r="AV192" i="6"/>
  <c r="BA192" i="6"/>
  <c r="BY197" i="6"/>
  <c r="CE197" i="6"/>
  <c r="CD197" i="6"/>
  <c r="CJ197" i="6"/>
  <c r="AA1176" i="5"/>
  <c r="Z1176" i="5"/>
  <c r="Y1176" i="5"/>
  <c r="DS202" i="6"/>
  <c r="DH202" i="6"/>
  <c r="DM202" i="6"/>
  <c r="DN202" i="6"/>
  <c r="Y6126" i="5"/>
  <c r="Z6126" i="5"/>
  <c r="Y6125" i="5"/>
  <c r="Z6125" i="5"/>
  <c r="EF206" i="6"/>
  <c r="EG206" i="6" s="1"/>
  <c r="EH206" i="6" s="1"/>
  <c r="AA206" i="6" s="1"/>
  <c r="EG205" i="6"/>
  <c r="EH205" i="6" s="1"/>
  <c r="AA205" i="6" s="1"/>
  <c r="DX204" i="6"/>
  <c r="AA6127" i="5" s="1"/>
  <c r="CC197" i="6" l="1"/>
  <c r="BR197" i="6"/>
  <c r="BX197" i="6"/>
  <c r="BW197" i="6"/>
  <c r="AN193" i="6"/>
  <c r="AO193" i="6"/>
  <c r="AT193" i="6"/>
  <c r="BD195" i="6"/>
  <c r="BJ195" i="6"/>
  <c r="BI195" i="6"/>
  <c r="BO195" i="6"/>
  <c r="CE198" i="6"/>
  <c r="BY198" i="6"/>
  <c r="CD198" i="6"/>
  <c r="CJ198" i="6"/>
  <c r="CK199" i="6"/>
  <c r="CF199" i="6"/>
  <c r="CL199" i="6"/>
  <c r="CQ199" i="6"/>
  <c r="DA203" i="6"/>
  <c r="DG203" i="6"/>
  <c r="DF203" i="6"/>
  <c r="DL203" i="6"/>
  <c r="AA1671" i="5"/>
  <c r="Y1671" i="5"/>
  <c r="Z1671" i="5"/>
  <c r="AA2166" i="5"/>
  <c r="Z2166" i="5"/>
  <c r="Y2166" i="5"/>
  <c r="CS200" i="6"/>
  <c r="CX200" i="6"/>
  <c r="CR200" i="6"/>
  <c r="CM200" i="6"/>
  <c r="DA202" i="6"/>
  <c r="DL202" i="6"/>
  <c r="DG202" i="6"/>
  <c r="DF202" i="6"/>
  <c r="AA5136" i="5"/>
  <c r="Z5136" i="5"/>
  <c r="Y5136" i="5"/>
  <c r="AA5631" i="5"/>
  <c r="Y5631" i="5"/>
  <c r="Z5631" i="5"/>
  <c r="AA3156" i="5"/>
  <c r="Y3156" i="5"/>
  <c r="Z3156" i="5"/>
  <c r="Y681" i="5"/>
  <c r="AA681" i="5"/>
  <c r="Z681" i="5"/>
  <c r="BV196" i="6"/>
  <c r="BK196" i="6"/>
  <c r="BQ196" i="6"/>
  <c r="BP196" i="6"/>
  <c r="AA682" i="5"/>
  <c r="Y682" i="5"/>
  <c r="Z682" i="5"/>
  <c r="AA3651" i="5"/>
  <c r="Y3651" i="5"/>
  <c r="Z3651" i="5"/>
  <c r="AA186" i="5"/>
  <c r="Y186" i="5"/>
  <c r="Z186" i="5"/>
  <c r="AN192" i="6"/>
  <c r="AO192" i="6"/>
  <c r="AT192" i="6"/>
  <c r="Y2661" i="5"/>
  <c r="AA2661" i="5"/>
  <c r="Z2661" i="5"/>
  <c r="AA5632" i="5"/>
  <c r="Z5632" i="5"/>
  <c r="Y5632" i="5"/>
  <c r="CT201" i="6"/>
  <c r="CZ201" i="6"/>
  <c r="CY201" i="6"/>
  <c r="DE201" i="6"/>
  <c r="BB194" i="6"/>
  <c r="AW194" i="6"/>
  <c r="BC194" i="6"/>
  <c r="BH194" i="6"/>
  <c r="DS204" i="6"/>
  <c r="DH204" i="6"/>
  <c r="DN204" i="6"/>
  <c r="DM204" i="6"/>
  <c r="AA4641" i="5"/>
  <c r="Y4641" i="5"/>
  <c r="Z4641" i="5"/>
  <c r="AA4146" i="5"/>
  <c r="Y4146" i="5"/>
  <c r="Z4146" i="5"/>
  <c r="Y6127" i="5"/>
  <c r="Z6127" i="5"/>
  <c r="R206" i="6"/>
  <c r="J206" i="6"/>
  <c r="H206" i="6"/>
  <c r="X206" i="6"/>
  <c r="N206" i="6"/>
  <c r="D206" i="6"/>
  <c r="V206" i="6"/>
  <c r="P206" i="6"/>
  <c r="F206" i="6"/>
  <c r="T206" i="6"/>
  <c r="L206" i="6"/>
  <c r="Z206" i="6"/>
  <c r="AM206" i="6"/>
  <c r="AB206" i="6"/>
  <c r="DT206" i="6" s="1"/>
  <c r="AI206" i="6"/>
  <c r="AK206" i="6"/>
  <c r="J205" i="6"/>
  <c r="X205" i="6"/>
  <c r="P205" i="6"/>
  <c r="D205" i="6"/>
  <c r="V205" i="6"/>
  <c r="N205" i="6"/>
  <c r="T205" i="6"/>
  <c r="L205" i="6"/>
  <c r="F205" i="6"/>
  <c r="Z205" i="6"/>
  <c r="R205" i="6"/>
  <c r="H205" i="6"/>
  <c r="AB205" i="6"/>
  <c r="DT205" i="6" s="1"/>
  <c r="AM205" i="6"/>
  <c r="AI205" i="6"/>
  <c r="AK205" i="6"/>
  <c r="EF207" i="6"/>
  <c r="DO206" i="6" l="1"/>
  <c r="DY206" i="6"/>
  <c r="DO205" i="6"/>
  <c r="DY205" i="6"/>
  <c r="Y5633" i="5"/>
  <c r="AA5633" i="5"/>
  <c r="Z5633" i="5"/>
  <c r="CS201" i="6"/>
  <c r="CR201" i="6"/>
  <c r="CM201" i="6"/>
  <c r="CX201" i="6"/>
  <c r="CT203" i="6"/>
  <c r="CY203" i="6"/>
  <c r="CZ203" i="6"/>
  <c r="DE203" i="6"/>
  <c r="BB195" i="6"/>
  <c r="AW195" i="6"/>
  <c r="BH195" i="6"/>
  <c r="BC195" i="6"/>
  <c r="AA1177" i="5"/>
  <c r="Y1177" i="5"/>
  <c r="Z1177" i="5"/>
  <c r="AA4642" i="5"/>
  <c r="Y4642" i="5"/>
  <c r="Z4642" i="5"/>
  <c r="BI196" i="6"/>
  <c r="BD196" i="6"/>
  <c r="BO196" i="6"/>
  <c r="BJ196" i="6"/>
  <c r="AA5137" i="5"/>
  <c r="Z5137" i="5"/>
  <c r="Y5137" i="5"/>
  <c r="Y4147" i="5"/>
  <c r="Z4147" i="5"/>
  <c r="AA4147" i="5"/>
  <c r="AA5138" i="5"/>
  <c r="Y5138" i="5"/>
  <c r="Z5138" i="5"/>
  <c r="AA3652" i="5"/>
  <c r="Y3652" i="5"/>
  <c r="Z3652" i="5"/>
  <c r="AA3157" i="5"/>
  <c r="Y3157" i="5"/>
  <c r="Z3157" i="5"/>
  <c r="AA1672" i="5"/>
  <c r="Z1672" i="5"/>
  <c r="Y1672" i="5"/>
  <c r="AA188" i="5"/>
  <c r="Y188" i="5"/>
  <c r="Z188" i="5"/>
  <c r="DA204" i="6"/>
  <c r="DG204" i="6"/>
  <c r="DL204" i="6"/>
  <c r="DF204" i="6"/>
  <c r="AA2167" i="5"/>
  <c r="Y2167" i="5"/>
  <c r="Z2167" i="5"/>
  <c r="CT202" i="6"/>
  <c r="CY202" i="6"/>
  <c r="DE202" i="6"/>
  <c r="CZ202" i="6"/>
  <c r="BV197" i="6"/>
  <c r="BK197" i="6"/>
  <c r="BQ197" i="6"/>
  <c r="BP197" i="6"/>
  <c r="AU194" i="6"/>
  <c r="AP194" i="6"/>
  <c r="AV194" i="6"/>
  <c r="BA194" i="6"/>
  <c r="Y187" i="5"/>
  <c r="AA187" i="5"/>
  <c r="Z187" i="5"/>
  <c r="CK200" i="6"/>
  <c r="CF200" i="6"/>
  <c r="CL200" i="6"/>
  <c r="CQ200" i="6"/>
  <c r="BY199" i="6"/>
  <c r="CE199" i="6"/>
  <c r="CD199" i="6"/>
  <c r="CJ199" i="6"/>
  <c r="CC198" i="6"/>
  <c r="BR198" i="6"/>
  <c r="BW198" i="6"/>
  <c r="BX198" i="6"/>
  <c r="AA2662" i="5"/>
  <c r="Y2662" i="5"/>
  <c r="Z2662" i="5"/>
  <c r="EF208" i="6"/>
  <c r="DX205" i="6"/>
  <c r="AA6128" i="5" s="1"/>
  <c r="DX206" i="6"/>
  <c r="AA6129" i="5" s="1"/>
  <c r="EG207" i="6"/>
  <c r="EH207" i="6" s="1"/>
  <c r="AA207" i="6" s="1"/>
  <c r="CT204" i="6" l="1"/>
  <c r="DE204" i="6"/>
  <c r="CY204" i="6"/>
  <c r="CZ204" i="6"/>
  <c r="AA2663" i="5"/>
  <c r="Y2663" i="5"/>
  <c r="Z2663" i="5"/>
  <c r="AA5139" i="5"/>
  <c r="Y5139" i="5"/>
  <c r="Z5139" i="5"/>
  <c r="AU195" i="6"/>
  <c r="AP195" i="6"/>
  <c r="AV195" i="6"/>
  <c r="BA195" i="6"/>
  <c r="AA3158" i="5"/>
  <c r="Y3158" i="5"/>
  <c r="Z3158" i="5"/>
  <c r="AA3653" i="5"/>
  <c r="Y3653" i="5"/>
  <c r="Z3653" i="5"/>
  <c r="AA4643" i="5"/>
  <c r="Y4643" i="5"/>
  <c r="Z4643" i="5"/>
  <c r="AA1673" i="5"/>
  <c r="Y1673" i="5"/>
  <c r="Z1673" i="5"/>
  <c r="CS203" i="6"/>
  <c r="CX203" i="6"/>
  <c r="CM203" i="6"/>
  <c r="CR203" i="6"/>
  <c r="BI197" i="6"/>
  <c r="BD197" i="6"/>
  <c r="BO197" i="6"/>
  <c r="BJ197" i="6"/>
  <c r="BB196" i="6"/>
  <c r="AW196" i="6"/>
  <c r="BH196" i="6"/>
  <c r="BC196" i="6"/>
  <c r="AA4644" i="5"/>
  <c r="Y4644" i="5"/>
  <c r="Z4644" i="5"/>
  <c r="AA4148" i="5"/>
  <c r="Z4148" i="5"/>
  <c r="Y4148" i="5"/>
  <c r="DH205" i="6"/>
  <c r="DS205" i="6"/>
  <c r="DN205" i="6"/>
  <c r="DM205" i="6"/>
  <c r="AN194" i="6"/>
  <c r="AO194" i="6"/>
  <c r="AT194" i="6"/>
  <c r="BV198" i="6"/>
  <c r="BK198" i="6"/>
  <c r="BP198" i="6"/>
  <c r="BQ198" i="6"/>
  <c r="CE200" i="6"/>
  <c r="BY200" i="6"/>
  <c r="CD200" i="6"/>
  <c r="CJ200" i="6"/>
  <c r="AA2168" i="5"/>
  <c r="Y2168" i="5"/>
  <c r="Z2168" i="5"/>
  <c r="CS202" i="6"/>
  <c r="CM202" i="6"/>
  <c r="CX202" i="6"/>
  <c r="CR202" i="6"/>
  <c r="AA1178" i="5"/>
  <c r="Y1178" i="5"/>
  <c r="Z1178" i="5"/>
  <c r="CK201" i="6"/>
  <c r="CQ201" i="6"/>
  <c r="CF201" i="6"/>
  <c r="CL201" i="6"/>
  <c r="CC199" i="6"/>
  <c r="BR199" i="6"/>
  <c r="BX199" i="6"/>
  <c r="BW199" i="6"/>
  <c r="AA683" i="5"/>
  <c r="Y683" i="5"/>
  <c r="Z683" i="5"/>
  <c r="DS206" i="6"/>
  <c r="DH206" i="6"/>
  <c r="DM206" i="6"/>
  <c r="DN206" i="6"/>
  <c r="Y6129" i="5"/>
  <c r="Z6129" i="5"/>
  <c r="Y6128" i="5"/>
  <c r="Z6128" i="5"/>
  <c r="EF209" i="6"/>
  <c r="F207" i="6"/>
  <c r="AB207" i="6"/>
  <c r="DT207" i="6" s="1"/>
  <c r="R207" i="6"/>
  <c r="J207" i="6"/>
  <c r="X207" i="6"/>
  <c r="P207" i="6"/>
  <c r="H207" i="6"/>
  <c r="Z207" i="6"/>
  <c r="V207" i="6"/>
  <c r="N207" i="6"/>
  <c r="D207" i="6"/>
  <c r="T207" i="6"/>
  <c r="L207" i="6"/>
  <c r="AI207" i="6"/>
  <c r="AK207" i="6"/>
  <c r="AM207" i="6"/>
  <c r="EG208" i="6"/>
  <c r="EH208" i="6" s="1"/>
  <c r="AA208" i="6" s="1"/>
  <c r="BI198" i="6" l="1"/>
  <c r="BD198" i="6"/>
  <c r="BO198" i="6"/>
  <c r="BJ198" i="6"/>
  <c r="CK202" i="6"/>
  <c r="CF202" i="6"/>
  <c r="CL202" i="6"/>
  <c r="CQ202" i="6"/>
  <c r="Y2169" i="5"/>
  <c r="AA2169" i="5"/>
  <c r="Z2169" i="5"/>
  <c r="AU196" i="6"/>
  <c r="AP196" i="6"/>
  <c r="AV196" i="6"/>
  <c r="BA196" i="6"/>
  <c r="BB197" i="6"/>
  <c r="AW197" i="6"/>
  <c r="BH197" i="6"/>
  <c r="BC197" i="6"/>
  <c r="AA4150" i="5"/>
  <c r="Z4150" i="5"/>
  <c r="Y4150" i="5"/>
  <c r="AN195" i="6"/>
  <c r="AO195" i="6"/>
  <c r="AT195" i="6"/>
  <c r="CC200" i="6"/>
  <c r="BR200" i="6"/>
  <c r="BW200" i="6"/>
  <c r="BX200" i="6"/>
  <c r="DO207" i="6"/>
  <c r="DY207" i="6"/>
  <c r="AA3654" i="5"/>
  <c r="Y3654" i="5"/>
  <c r="Z3654" i="5"/>
  <c r="AA3159" i="5"/>
  <c r="Z3159" i="5"/>
  <c r="Y3159" i="5"/>
  <c r="AA189" i="5"/>
  <c r="Y189" i="5"/>
  <c r="Z189" i="5"/>
  <c r="AA5635" i="5"/>
  <c r="Y5635" i="5"/>
  <c r="Z5635" i="5"/>
  <c r="AA4149" i="5"/>
  <c r="Z4149" i="5"/>
  <c r="Y4149" i="5"/>
  <c r="BY201" i="6"/>
  <c r="CE201" i="6"/>
  <c r="CD201" i="6"/>
  <c r="CJ201" i="6"/>
  <c r="BV199" i="6"/>
  <c r="BK199" i="6"/>
  <c r="BQ199" i="6"/>
  <c r="BP199" i="6"/>
  <c r="DA206" i="6"/>
  <c r="DL206" i="6"/>
  <c r="DG206" i="6"/>
  <c r="DF206" i="6"/>
  <c r="AA2664" i="5"/>
  <c r="Z2664" i="5"/>
  <c r="Y2664" i="5"/>
  <c r="AA5634" i="5"/>
  <c r="Y5634" i="5"/>
  <c r="Z5634" i="5"/>
  <c r="AA684" i="5"/>
  <c r="Z684" i="5"/>
  <c r="Y684" i="5"/>
  <c r="AA4645" i="5"/>
  <c r="Y4645" i="5"/>
  <c r="Z4645" i="5"/>
  <c r="DA205" i="6"/>
  <c r="DL205" i="6"/>
  <c r="DG205" i="6"/>
  <c r="DF205" i="6"/>
  <c r="Y1179" i="5"/>
  <c r="AA1179" i="5"/>
  <c r="Z1179" i="5"/>
  <c r="AA1674" i="5"/>
  <c r="Y1674" i="5"/>
  <c r="Z1674" i="5"/>
  <c r="CK203" i="6"/>
  <c r="CF203" i="6"/>
  <c r="CL203" i="6"/>
  <c r="CQ203" i="6"/>
  <c r="CS204" i="6"/>
  <c r="CM204" i="6"/>
  <c r="CX204" i="6"/>
  <c r="CR204" i="6"/>
  <c r="EF210" i="6"/>
  <c r="EG210" i="6"/>
  <c r="EH210" i="6" s="1"/>
  <c r="AA210" i="6" s="1"/>
  <c r="EG209" i="6"/>
  <c r="EH209" i="6" s="1"/>
  <c r="AA209" i="6" s="1"/>
  <c r="R208" i="6"/>
  <c r="P208" i="6"/>
  <c r="D208" i="6"/>
  <c r="L208" i="6"/>
  <c r="X208" i="6"/>
  <c r="N208" i="6"/>
  <c r="F208" i="6"/>
  <c r="V208" i="6"/>
  <c r="J208" i="6"/>
  <c r="T208" i="6"/>
  <c r="H208" i="6"/>
  <c r="AK208" i="6"/>
  <c r="AM208" i="6"/>
  <c r="Z208" i="6"/>
  <c r="AI208" i="6"/>
  <c r="AB208" i="6"/>
  <c r="DT208" i="6" s="1"/>
  <c r="DX207" i="6"/>
  <c r="AA6130" i="5" s="1"/>
  <c r="DO208" i="6" l="1"/>
  <c r="DY208" i="6"/>
  <c r="BY203" i="6"/>
  <c r="CE203" i="6"/>
  <c r="CD203" i="6"/>
  <c r="CJ203" i="6"/>
  <c r="AA3656" i="5"/>
  <c r="Y3656" i="5"/>
  <c r="Z3656" i="5"/>
  <c r="AA5140" i="5"/>
  <c r="Y5140" i="5"/>
  <c r="Z5140" i="5"/>
  <c r="AA5141" i="5"/>
  <c r="Y5141" i="5"/>
  <c r="Z5141" i="5"/>
  <c r="BI199" i="6"/>
  <c r="BD199" i="6"/>
  <c r="BJ199" i="6"/>
  <c r="BO199" i="6"/>
  <c r="AA3655" i="5"/>
  <c r="Y3655" i="5"/>
  <c r="Z3655" i="5"/>
  <c r="CT205" i="6"/>
  <c r="DE205" i="6"/>
  <c r="CZ205" i="6"/>
  <c r="CY205" i="6"/>
  <c r="CT206" i="6"/>
  <c r="DE206" i="6"/>
  <c r="CY206" i="6"/>
  <c r="CZ206" i="6"/>
  <c r="AA2170" i="5"/>
  <c r="Y2170" i="5"/>
  <c r="Z2170" i="5"/>
  <c r="CC201" i="6"/>
  <c r="BR201" i="6"/>
  <c r="BX201" i="6"/>
  <c r="BW201" i="6"/>
  <c r="BV200" i="6"/>
  <c r="BQ200" i="6"/>
  <c r="BK200" i="6"/>
  <c r="BP200" i="6"/>
  <c r="AA685" i="5"/>
  <c r="Y685" i="5"/>
  <c r="Z685" i="5"/>
  <c r="AA1675" i="5"/>
  <c r="Y1675" i="5"/>
  <c r="Z1675" i="5"/>
  <c r="AA3160" i="5"/>
  <c r="Y3160" i="5"/>
  <c r="Z3160" i="5"/>
  <c r="DS207" i="6"/>
  <c r="DM207" i="6"/>
  <c r="DH207" i="6"/>
  <c r="DN207" i="6"/>
  <c r="Y2665" i="5"/>
  <c r="Z2665" i="5"/>
  <c r="AA2665" i="5"/>
  <c r="AA1180" i="5"/>
  <c r="Y1180" i="5"/>
  <c r="Z1180" i="5"/>
  <c r="CE202" i="6"/>
  <c r="BY202" i="6"/>
  <c r="CD202" i="6"/>
  <c r="CJ202" i="6"/>
  <c r="BB198" i="6"/>
  <c r="AW198" i="6"/>
  <c r="BH198" i="6"/>
  <c r="BC198" i="6"/>
  <c r="AA4151" i="5"/>
  <c r="Y4151" i="5"/>
  <c r="Z4151" i="5"/>
  <c r="CK204" i="6"/>
  <c r="CF204" i="6"/>
  <c r="CQ204" i="6"/>
  <c r="CL204" i="6"/>
  <c r="AA190" i="5"/>
  <c r="Y190" i="5"/>
  <c r="Z190" i="5"/>
  <c r="AU197" i="6"/>
  <c r="AP197" i="6"/>
  <c r="BA197" i="6"/>
  <c r="AV197" i="6"/>
  <c r="AN196" i="6"/>
  <c r="AT196" i="6"/>
  <c r="AO196" i="6"/>
  <c r="Y6130" i="5"/>
  <c r="Z6130" i="5"/>
  <c r="H210" i="6"/>
  <c r="AB210" i="6"/>
  <c r="DT210" i="6" s="1"/>
  <c r="R210" i="6"/>
  <c r="D210" i="6"/>
  <c r="X210" i="6"/>
  <c r="N210" i="6"/>
  <c r="F210" i="6"/>
  <c r="Z210" i="6"/>
  <c r="V210" i="6"/>
  <c r="L210" i="6"/>
  <c r="P210" i="6"/>
  <c r="T210" i="6"/>
  <c r="J210" i="6"/>
  <c r="AM210" i="6"/>
  <c r="AK210" i="6"/>
  <c r="AI210" i="6"/>
  <c r="DX208" i="6"/>
  <c r="AA6131" i="5" s="1"/>
  <c r="R209" i="6"/>
  <c r="H209" i="6"/>
  <c r="X209" i="6"/>
  <c r="P209" i="6"/>
  <c r="D209" i="6"/>
  <c r="Z209" i="6"/>
  <c r="V209" i="6"/>
  <c r="N209" i="6"/>
  <c r="J209" i="6"/>
  <c r="T209" i="6"/>
  <c r="L209" i="6"/>
  <c r="AI209" i="6"/>
  <c r="AM209" i="6"/>
  <c r="F209" i="6"/>
  <c r="AK209" i="6"/>
  <c r="AB209" i="6"/>
  <c r="DT209" i="6" s="1"/>
  <c r="EF211" i="6"/>
  <c r="EG211" i="6" s="1"/>
  <c r="EH211" i="6" s="1"/>
  <c r="AA211" i="6" s="1"/>
  <c r="CE204" i="6" l="1"/>
  <c r="BY204" i="6"/>
  <c r="CD204" i="6"/>
  <c r="CJ204" i="6"/>
  <c r="DO209" i="6"/>
  <c r="DY209" i="6"/>
  <c r="Y191" i="5"/>
  <c r="AA191" i="5"/>
  <c r="Z191" i="5"/>
  <c r="AN197" i="6"/>
  <c r="AO197" i="6"/>
  <c r="AT197" i="6"/>
  <c r="AA3161" i="5"/>
  <c r="Y3161" i="5"/>
  <c r="Z3161" i="5"/>
  <c r="BI200" i="6"/>
  <c r="BD200" i="6"/>
  <c r="BO200" i="6"/>
  <c r="BJ200" i="6"/>
  <c r="AA4647" i="5"/>
  <c r="Z4647" i="5"/>
  <c r="Y4647" i="5"/>
  <c r="AA4646" i="5"/>
  <c r="Y4646" i="5"/>
  <c r="Z4646" i="5"/>
  <c r="AA1181" i="5"/>
  <c r="Y1181" i="5"/>
  <c r="Z1181" i="5"/>
  <c r="AA5636" i="5"/>
  <c r="Y5636" i="5"/>
  <c r="Z5636" i="5"/>
  <c r="CS206" i="6"/>
  <c r="CM206" i="6"/>
  <c r="CR206" i="6"/>
  <c r="CX206" i="6"/>
  <c r="CS205" i="6"/>
  <c r="CR205" i="6"/>
  <c r="CM205" i="6"/>
  <c r="CX205" i="6"/>
  <c r="AA1676" i="5"/>
  <c r="Z1676" i="5"/>
  <c r="Y1676" i="5"/>
  <c r="CC203" i="6"/>
  <c r="BR203" i="6"/>
  <c r="BX203" i="6"/>
  <c r="BW203" i="6"/>
  <c r="BV201" i="6"/>
  <c r="BK201" i="6"/>
  <c r="BP201" i="6"/>
  <c r="BQ201" i="6"/>
  <c r="AA3657" i="5"/>
  <c r="Y3657" i="5"/>
  <c r="Z3657" i="5"/>
  <c r="AU198" i="6"/>
  <c r="AP198" i="6"/>
  <c r="AV198" i="6"/>
  <c r="BA198" i="6"/>
  <c r="CC202" i="6"/>
  <c r="BR202" i="6"/>
  <c r="BW202" i="6"/>
  <c r="BX202" i="6"/>
  <c r="AA2171" i="5"/>
  <c r="Y2171" i="5"/>
  <c r="Z2171" i="5"/>
  <c r="AA2666" i="5"/>
  <c r="Y2666" i="5"/>
  <c r="Z2666" i="5"/>
  <c r="AA3162" i="5"/>
  <c r="Y3162" i="5"/>
  <c r="Z3162" i="5"/>
  <c r="DO210" i="6"/>
  <c r="DY210" i="6"/>
  <c r="AA686" i="5"/>
  <c r="Z686" i="5"/>
  <c r="Y686" i="5"/>
  <c r="DA207" i="6"/>
  <c r="DG207" i="6"/>
  <c r="DF207" i="6"/>
  <c r="DL207" i="6"/>
  <c r="BB199" i="6"/>
  <c r="AW199" i="6"/>
  <c r="BH199" i="6"/>
  <c r="BC199" i="6"/>
  <c r="DS208" i="6"/>
  <c r="DH208" i="6"/>
  <c r="DN208" i="6"/>
  <c r="DM208" i="6"/>
  <c r="Y6131" i="5"/>
  <c r="Z6131" i="5"/>
  <c r="T211" i="6"/>
  <c r="J211" i="6"/>
  <c r="Z211" i="6"/>
  <c r="R211" i="6"/>
  <c r="N211" i="6"/>
  <c r="D211" i="6"/>
  <c r="X211" i="6"/>
  <c r="P211" i="6"/>
  <c r="H211" i="6"/>
  <c r="F211" i="6"/>
  <c r="V211" i="6"/>
  <c r="L211" i="6"/>
  <c r="AI211" i="6"/>
  <c r="AB211" i="6"/>
  <c r="DT211" i="6" s="1"/>
  <c r="AK211" i="6"/>
  <c r="AM211" i="6"/>
  <c r="DX210" i="6"/>
  <c r="AA6133" i="5" s="1"/>
  <c r="DX209" i="6"/>
  <c r="AA6132" i="5" s="1"/>
  <c r="EF212" i="6"/>
  <c r="EG212" i="6" s="1"/>
  <c r="EH212" i="6" s="1"/>
  <c r="AA212" i="6" s="1"/>
  <c r="AU199" i="6" l="1"/>
  <c r="AP199" i="6"/>
  <c r="BA199" i="6"/>
  <c r="AV199" i="6"/>
  <c r="AA687" i="5"/>
  <c r="Y687" i="5"/>
  <c r="Z687" i="5"/>
  <c r="Y5637" i="5"/>
  <c r="AA5637" i="5"/>
  <c r="Z5637" i="5"/>
  <c r="CT207" i="6"/>
  <c r="CZ207" i="6"/>
  <c r="DE207" i="6"/>
  <c r="CY207" i="6"/>
  <c r="BI201" i="6"/>
  <c r="BD201" i="6"/>
  <c r="BO201" i="6"/>
  <c r="BJ201" i="6"/>
  <c r="BV203" i="6"/>
  <c r="BK203" i="6"/>
  <c r="BQ203" i="6"/>
  <c r="BP203" i="6"/>
  <c r="AA192" i="5"/>
  <c r="Y192" i="5"/>
  <c r="Z192" i="5"/>
  <c r="AA3163" i="5"/>
  <c r="Y3163" i="5"/>
  <c r="Z3163" i="5"/>
  <c r="DO211" i="6"/>
  <c r="DY211" i="6"/>
  <c r="AA5142" i="5"/>
  <c r="Y5142" i="5"/>
  <c r="Z5142" i="5"/>
  <c r="BV202" i="6"/>
  <c r="BK202" i="6"/>
  <c r="BP202" i="6"/>
  <c r="BQ202" i="6"/>
  <c r="AN198" i="6"/>
  <c r="AO198" i="6"/>
  <c r="AT198" i="6"/>
  <c r="AA2172" i="5"/>
  <c r="Z2172" i="5"/>
  <c r="Y2172" i="5"/>
  <c r="AA2668" i="5"/>
  <c r="Y2668" i="5"/>
  <c r="Z2668" i="5"/>
  <c r="AA4152" i="5"/>
  <c r="Z4152" i="5"/>
  <c r="Y4152" i="5"/>
  <c r="AA4153" i="5"/>
  <c r="Z4153" i="5"/>
  <c r="Y4153" i="5"/>
  <c r="DS210" i="6"/>
  <c r="DH210" i="6"/>
  <c r="DM210" i="6"/>
  <c r="DN210" i="6"/>
  <c r="AA1182" i="5"/>
  <c r="Z1182" i="5"/>
  <c r="Y1182" i="5"/>
  <c r="AA2667" i="5"/>
  <c r="Y2667" i="5"/>
  <c r="Z2667" i="5"/>
  <c r="CK205" i="6"/>
  <c r="CF205" i="6"/>
  <c r="CQ205" i="6"/>
  <c r="CL205" i="6"/>
  <c r="AA1677" i="5"/>
  <c r="Y1677" i="5"/>
  <c r="Z1677" i="5"/>
  <c r="CC204" i="6"/>
  <c r="BR204" i="6"/>
  <c r="BX204" i="6"/>
  <c r="BW204" i="6"/>
  <c r="DG208" i="6"/>
  <c r="DA208" i="6"/>
  <c r="DL208" i="6"/>
  <c r="DF208" i="6"/>
  <c r="CK206" i="6"/>
  <c r="CF206" i="6"/>
  <c r="CL206" i="6"/>
  <c r="CQ206" i="6"/>
  <c r="BB200" i="6"/>
  <c r="AW200" i="6"/>
  <c r="BH200" i="6"/>
  <c r="BC200" i="6"/>
  <c r="DH209" i="6"/>
  <c r="DN209" i="6"/>
  <c r="DS209" i="6"/>
  <c r="DM209" i="6"/>
  <c r="Y6133" i="5"/>
  <c r="Z6133" i="5"/>
  <c r="Y6132" i="5"/>
  <c r="Z6132" i="5"/>
  <c r="EF213" i="6"/>
  <c r="T212" i="6"/>
  <c r="J212" i="6"/>
  <c r="F212" i="6"/>
  <c r="P212" i="6"/>
  <c r="H212" i="6"/>
  <c r="X212" i="6"/>
  <c r="R212" i="6"/>
  <c r="L212" i="6"/>
  <c r="V212" i="6"/>
  <c r="N212" i="6"/>
  <c r="D212" i="6"/>
  <c r="AK212" i="6"/>
  <c r="AB212" i="6"/>
  <c r="DT212" i="6" s="1"/>
  <c r="Z212" i="6"/>
  <c r="AM212" i="6"/>
  <c r="AI212" i="6"/>
  <c r="DX211" i="6"/>
  <c r="AA6134" i="5" s="1"/>
  <c r="DO212" i="6" l="1"/>
  <c r="DY212" i="6"/>
  <c r="AA5638" i="5"/>
  <c r="Y5638" i="5"/>
  <c r="Z5638" i="5"/>
  <c r="AA1183" i="5"/>
  <c r="Y1183" i="5"/>
  <c r="Z1183" i="5"/>
  <c r="AA5143" i="5"/>
  <c r="Y5143" i="5"/>
  <c r="Z5143" i="5"/>
  <c r="BY205" i="6"/>
  <c r="CE205" i="6"/>
  <c r="CD205" i="6"/>
  <c r="CJ205" i="6"/>
  <c r="AA193" i="5"/>
  <c r="Z193" i="5"/>
  <c r="Y193" i="5"/>
  <c r="BI203" i="6"/>
  <c r="BD203" i="6"/>
  <c r="BJ203" i="6"/>
  <c r="BO203" i="6"/>
  <c r="BB201" i="6"/>
  <c r="AW201" i="6"/>
  <c r="BH201" i="6"/>
  <c r="BC201" i="6"/>
  <c r="CT208" i="6"/>
  <c r="CZ208" i="6"/>
  <c r="CY208" i="6"/>
  <c r="DE208" i="6"/>
  <c r="BV204" i="6"/>
  <c r="BK204" i="6"/>
  <c r="BQ204" i="6"/>
  <c r="BP204" i="6"/>
  <c r="BI202" i="6"/>
  <c r="BD202" i="6"/>
  <c r="BO202" i="6"/>
  <c r="BJ202" i="6"/>
  <c r="AA2174" i="5"/>
  <c r="Y2174" i="5"/>
  <c r="Z2174" i="5"/>
  <c r="CS207" i="6"/>
  <c r="CX207" i="6"/>
  <c r="CM207" i="6"/>
  <c r="CR207" i="6"/>
  <c r="AA688" i="5"/>
  <c r="Y688" i="5"/>
  <c r="Z688" i="5"/>
  <c r="CE206" i="6"/>
  <c r="BY206" i="6"/>
  <c r="CD206" i="6"/>
  <c r="CJ206" i="6"/>
  <c r="DA209" i="6"/>
  <c r="DL209" i="6"/>
  <c r="DG209" i="6"/>
  <c r="DF209" i="6"/>
  <c r="Y2669" i="5"/>
  <c r="AA2669" i="5"/>
  <c r="Z2669" i="5"/>
  <c r="DG210" i="6"/>
  <c r="DA210" i="6"/>
  <c r="DL210" i="6"/>
  <c r="DF210" i="6"/>
  <c r="AA2173" i="5"/>
  <c r="Z2173" i="5"/>
  <c r="Y2173" i="5"/>
  <c r="AN199" i="6"/>
  <c r="AT199" i="6"/>
  <c r="AO199" i="6"/>
  <c r="AU200" i="6"/>
  <c r="AP200" i="6"/>
  <c r="AV200" i="6"/>
  <c r="BA200" i="6"/>
  <c r="AA3659" i="5"/>
  <c r="Z3659" i="5"/>
  <c r="Y3659" i="5"/>
  <c r="AA3658" i="5"/>
  <c r="Y3658" i="5"/>
  <c r="Z3658" i="5"/>
  <c r="AA5639" i="5"/>
  <c r="Y5639" i="5"/>
  <c r="Z5639" i="5"/>
  <c r="DS211" i="6"/>
  <c r="DM211" i="6"/>
  <c r="DH211" i="6"/>
  <c r="DN211" i="6"/>
  <c r="AA1678" i="5"/>
  <c r="Z1678" i="5"/>
  <c r="Y1678" i="5"/>
  <c r="AA4648" i="5"/>
  <c r="Y4648" i="5"/>
  <c r="Z4648" i="5"/>
  <c r="Y6134" i="5"/>
  <c r="Z6134" i="5"/>
  <c r="EF214" i="6"/>
  <c r="EG214" i="6" s="1"/>
  <c r="EH214" i="6" s="1"/>
  <c r="AA214" i="6" s="1"/>
  <c r="EG213" i="6"/>
  <c r="EH213" i="6" s="1"/>
  <c r="AA213" i="6" s="1"/>
  <c r="DX212" i="6"/>
  <c r="AA6135" i="5" s="1"/>
  <c r="CK207" i="6" l="1"/>
  <c r="CF207" i="6"/>
  <c r="CL207" i="6"/>
  <c r="CQ207" i="6"/>
  <c r="BB202" i="6"/>
  <c r="AW202" i="6"/>
  <c r="BH202" i="6"/>
  <c r="BC202" i="6"/>
  <c r="BI204" i="6"/>
  <c r="BD204" i="6"/>
  <c r="BO204" i="6"/>
  <c r="BJ204" i="6"/>
  <c r="AU201" i="6"/>
  <c r="AP201" i="6"/>
  <c r="AV201" i="6"/>
  <c r="BA201" i="6"/>
  <c r="BB203" i="6"/>
  <c r="AW203" i="6"/>
  <c r="BH203" i="6"/>
  <c r="BC203" i="6"/>
  <c r="CC205" i="6"/>
  <c r="BR205" i="6"/>
  <c r="BX205" i="6"/>
  <c r="BW205" i="6"/>
  <c r="AA194" i="5"/>
  <c r="Z194" i="5"/>
  <c r="Y194" i="5"/>
  <c r="AN200" i="6"/>
  <c r="AT200" i="6"/>
  <c r="AO200" i="6"/>
  <c r="CS208" i="6"/>
  <c r="CM208" i="6"/>
  <c r="CX208" i="6"/>
  <c r="CR208" i="6"/>
  <c r="AA3164" i="5"/>
  <c r="Y3164" i="5"/>
  <c r="Z3164" i="5"/>
  <c r="DA211" i="6"/>
  <c r="DL211" i="6"/>
  <c r="DF211" i="6"/>
  <c r="DG211" i="6"/>
  <c r="Y689" i="5"/>
  <c r="AA689" i="5"/>
  <c r="Z689" i="5"/>
  <c r="AA3165" i="5"/>
  <c r="Y3165" i="5"/>
  <c r="Z3165" i="5"/>
  <c r="AA5640" i="5"/>
  <c r="Z5640" i="5"/>
  <c r="Y5640" i="5"/>
  <c r="AA4154" i="5"/>
  <c r="Y4154" i="5"/>
  <c r="Z4154" i="5"/>
  <c r="AA2175" i="5"/>
  <c r="Y2175" i="5"/>
  <c r="Z2175" i="5"/>
  <c r="AA5145" i="5"/>
  <c r="Y5145" i="5"/>
  <c r="Z5145" i="5"/>
  <c r="AA5144" i="5"/>
  <c r="Y5144" i="5"/>
  <c r="Z5144" i="5"/>
  <c r="CC206" i="6"/>
  <c r="BR206" i="6"/>
  <c r="BW206" i="6"/>
  <c r="BX206" i="6"/>
  <c r="AA4649" i="5"/>
  <c r="Y4649" i="5"/>
  <c r="Z4649" i="5"/>
  <c r="AA1680" i="5"/>
  <c r="Y1680" i="5"/>
  <c r="Z1680" i="5"/>
  <c r="CT210" i="6"/>
  <c r="DE210" i="6"/>
  <c r="CY210" i="6"/>
  <c r="CZ210" i="6"/>
  <c r="CT209" i="6"/>
  <c r="CZ209" i="6"/>
  <c r="DE209" i="6"/>
  <c r="CY209" i="6"/>
  <c r="AA1679" i="5"/>
  <c r="Z1679" i="5"/>
  <c r="Y1679" i="5"/>
  <c r="AA1184" i="5"/>
  <c r="Z1184" i="5"/>
  <c r="Y1184" i="5"/>
  <c r="DS212" i="6"/>
  <c r="DH212" i="6"/>
  <c r="DN212" i="6"/>
  <c r="DM212" i="6"/>
  <c r="Y6135" i="5"/>
  <c r="Z6135" i="5"/>
  <c r="F213" i="6"/>
  <c r="V213" i="6"/>
  <c r="N213" i="6"/>
  <c r="D213" i="6"/>
  <c r="Z213" i="6"/>
  <c r="T213" i="6"/>
  <c r="L213" i="6"/>
  <c r="R213" i="6"/>
  <c r="H213" i="6"/>
  <c r="X213" i="6"/>
  <c r="P213" i="6"/>
  <c r="J213" i="6"/>
  <c r="AM213" i="6"/>
  <c r="AI213" i="6"/>
  <c r="AB213" i="6"/>
  <c r="DT213" i="6" s="1"/>
  <c r="AK213" i="6"/>
  <c r="T214" i="6"/>
  <c r="P214" i="6"/>
  <c r="Z214" i="6"/>
  <c r="R214" i="6"/>
  <c r="J214" i="6"/>
  <c r="V214" i="6"/>
  <c r="N214" i="6"/>
  <c r="D214" i="6"/>
  <c r="X214" i="6"/>
  <c r="L214" i="6"/>
  <c r="F214" i="6"/>
  <c r="H214" i="6"/>
  <c r="AM214" i="6"/>
  <c r="AI214" i="6"/>
  <c r="AK214" i="6"/>
  <c r="AB214" i="6"/>
  <c r="DT214" i="6" s="1"/>
  <c r="EF215" i="6"/>
  <c r="EG215" i="6" s="1"/>
  <c r="EH215" i="6" s="1"/>
  <c r="AA215" i="6" s="1"/>
  <c r="DO214" i="6" l="1"/>
  <c r="DY214" i="6"/>
  <c r="DL212" i="6"/>
  <c r="DA212" i="6"/>
  <c r="DF212" i="6"/>
  <c r="DG212" i="6"/>
  <c r="BV206" i="6"/>
  <c r="BK206" i="6"/>
  <c r="BP206" i="6"/>
  <c r="BQ206" i="6"/>
  <c r="CK208" i="6"/>
  <c r="CF208" i="6"/>
  <c r="CL208" i="6"/>
  <c r="CQ208" i="6"/>
  <c r="AA690" i="5"/>
  <c r="Z690" i="5"/>
  <c r="Y690" i="5"/>
  <c r="AA3660" i="5"/>
  <c r="Z3660" i="5"/>
  <c r="Y3660" i="5"/>
  <c r="DO213" i="6"/>
  <c r="DY213" i="6"/>
  <c r="Y5641" i="5"/>
  <c r="AA5641" i="5"/>
  <c r="Z5641" i="5"/>
  <c r="AA4650" i="5"/>
  <c r="Z4650" i="5"/>
  <c r="Y4650" i="5"/>
  <c r="AA2671" i="5"/>
  <c r="Y2671" i="5"/>
  <c r="Z2671" i="5"/>
  <c r="AA5146" i="5"/>
  <c r="Y5146" i="5"/>
  <c r="Z5146" i="5"/>
  <c r="AA1186" i="5"/>
  <c r="Y1186" i="5"/>
  <c r="Z1186" i="5"/>
  <c r="AA1681" i="5"/>
  <c r="Y1681" i="5"/>
  <c r="Z1681" i="5"/>
  <c r="AA1185" i="5"/>
  <c r="Y1185" i="5"/>
  <c r="Z1185" i="5"/>
  <c r="AA4651" i="5"/>
  <c r="Y4651" i="5"/>
  <c r="Z4651" i="5"/>
  <c r="CT211" i="6"/>
  <c r="DE211" i="6"/>
  <c r="CZ211" i="6"/>
  <c r="CY211" i="6"/>
  <c r="BV205" i="6"/>
  <c r="BK205" i="6"/>
  <c r="BQ205" i="6"/>
  <c r="BP205" i="6"/>
  <c r="AU203" i="6"/>
  <c r="AP203" i="6"/>
  <c r="AV203" i="6"/>
  <c r="BA203" i="6"/>
  <c r="AN201" i="6"/>
  <c r="AO201" i="6"/>
  <c r="AT201" i="6"/>
  <c r="BB204" i="6"/>
  <c r="AW204" i="6"/>
  <c r="BH204" i="6"/>
  <c r="BC204" i="6"/>
  <c r="AU202" i="6"/>
  <c r="AP202" i="6"/>
  <c r="AV202" i="6"/>
  <c r="BA202" i="6"/>
  <c r="BY207" i="6"/>
  <c r="CE207" i="6"/>
  <c r="CD207" i="6"/>
  <c r="CJ207" i="6"/>
  <c r="CS209" i="6"/>
  <c r="CM209" i="6"/>
  <c r="CR209" i="6"/>
  <c r="CX209" i="6"/>
  <c r="CS210" i="6"/>
  <c r="CM210" i="6"/>
  <c r="CX210" i="6"/>
  <c r="CR210" i="6"/>
  <c r="AA4155" i="5"/>
  <c r="Y4155" i="5"/>
  <c r="Z4155" i="5"/>
  <c r="Y195" i="5"/>
  <c r="AA195" i="5"/>
  <c r="Z195" i="5"/>
  <c r="AA2670" i="5"/>
  <c r="Z2670" i="5"/>
  <c r="Y2670" i="5"/>
  <c r="DX214" i="6"/>
  <c r="AA6137" i="5" s="1"/>
  <c r="F215" i="6"/>
  <c r="Z215" i="6"/>
  <c r="X215" i="6"/>
  <c r="P215" i="6"/>
  <c r="H215" i="6"/>
  <c r="V215" i="6"/>
  <c r="L215" i="6"/>
  <c r="T215" i="6"/>
  <c r="J215" i="6"/>
  <c r="AB215" i="6"/>
  <c r="DT215" i="6" s="1"/>
  <c r="R215" i="6"/>
  <c r="N215" i="6"/>
  <c r="AI215" i="6"/>
  <c r="D215" i="6"/>
  <c r="AM215" i="6"/>
  <c r="AK215" i="6"/>
  <c r="EF216" i="6"/>
  <c r="EG216" i="6" s="1"/>
  <c r="EH216" i="6" s="1"/>
  <c r="AA216" i="6" s="1"/>
  <c r="DX213" i="6"/>
  <c r="AA6136" i="5" s="1"/>
  <c r="AA1187" i="5" l="1"/>
  <c r="Y1187" i="5"/>
  <c r="Z1187" i="5"/>
  <c r="AN203" i="6"/>
  <c r="AO203" i="6"/>
  <c r="AT203" i="6"/>
  <c r="BI205" i="6"/>
  <c r="BD205" i="6"/>
  <c r="BO205" i="6"/>
  <c r="BJ205" i="6"/>
  <c r="AA4652" i="5"/>
  <c r="Z4652" i="5"/>
  <c r="Y4652" i="5"/>
  <c r="CE208" i="6"/>
  <c r="BY208" i="6"/>
  <c r="CD208" i="6"/>
  <c r="CJ208" i="6"/>
  <c r="BI206" i="6"/>
  <c r="BD206" i="6"/>
  <c r="BO206" i="6"/>
  <c r="BJ206" i="6"/>
  <c r="CT212" i="6"/>
  <c r="CY212" i="6"/>
  <c r="CZ212" i="6"/>
  <c r="DE212" i="6"/>
  <c r="CK210" i="6"/>
  <c r="CF210" i="6"/>
  <c r="CL210" i="6"/>
  <c r="CQ210" i="6"/>
  <c r="AN202" i="6"/>
  <c r="AT202" i="6"/>
  <c r="AO202" i="6"/>
  <c r="AU204" i="6"/>
  <c r="AP204" i="6"/>
  <c r="AV204" i="6"/>
  <c r="BA204" i="6"/>
  <c r="AA2176" i="5"/>
  <c r="Y2176" i="5"/>
  <c r="Z2176" i="5"/>
  <c r="CS211" i="6"/>
  <c r="CX211" i="6"/>
  <c r="CM211" i="6"/>
  <c r="CR211" i="6"/>
  <c r="AA2177" i="5"/>
  <c r="Y2177" i="5"/>
  <c r="Z2177" i="5"/>
  <c r="Y5147" i="5"/>
  <c r="AA5147" i="5"/>
  <c r="Z5147" i="5"/>
  <c r="AA4157" i="5"/>
  <c r="Y4157" i="5"/>
  <c r="Z4157" i="5"/>
  <c r="CK209" i="6"/>
  <c r="CF209" i="6"/>
  <c r="CQ209" i="6"/>
  <c r="CL209" i="6"/>
  <c r="CC207" i="6"/>
  <c r="BR207" i="6"/>
  <c r="BX207" i="6"/>
  <c r="BW207" i="6"/>
  <c r="AA692" i="5"/>
  <c r="Y692" i="5"/>
  <c r="Z692" i="5"/>
  <c r="AA3661" i="5"/>
  <c r="Z3661" i="5"/>
  <c r="Y3661" i="5"/>
  <c r="DO215" i="6"/>
  <c r="DY215" i="6"/>
  <c r="AA4156" i="5"/>
  <c r="Y4156" i="5"/>
  <c r="Z4156" i="5"/>
  <c r="AA3166" i="5"/>
  <c r="Y3166" i="5"/>
  <c r="Z3166" i="5"/>
  <c r="AA691" i="5"/>
  <c r="Y691" i="5"/>
  <c r="Z691" i="5"/>
  <c r="AA196" i="5"/>
  <c r="Z196" i="5"/>
  <c r="Y196" i="5"/>
  <c r="DH213" i="6"/>
  <c r="DN213" i="6"/>
  <c r="DS213" i="6"/>
  <c r="DM213" i="6"/>
  <c r="DS214" i="6"/>
  <c r="DH214" i="6"/>
  <c r="DM214" i="6"/>
  <c r="DN214" i="6"/>
  <c r="Y6136" i="5"/>
  <c r="Z6136" i="5"/>
  <c r="Y6137" i="5"/>
  <c r="Z6137" i="5"/>
  <c r="R216" i="6"/>
  <c r="L216" i="6"/>
  <c r="X216" i="6"/>
  <c r="P216" i="6"/>
  <c r="H216" i="6"/>
  <c r="V216" i="6"/>
  <c r="N216" i="6"/>
  <c r="D216" i="6"/>
  <c r="T216" i="6"/>
  <c r="J216" i="6"/>
  <c r="F216" i="6"/>
  <c r="AK216" i="6"/>
  <c r="AB216" i="6"/>
  <c r="DT216" i="6" s="1"/>
  <c r="Z216" i="6"/>
  <c r="AM216" i="6"/>
  <c r="AI216" i="6"/>
  <c r="DX215" i="6"/>
  <c r="AA6138" i="5" s="1"/>
  <c r="EF217" i="6"/>
  <c r="AA5642" i="5" l="1"/>
  <c r="Y5642" i="5"/>
  <c r="Z5642" i="5"/>
  <c r="DO216" i="6"/>
  <c r="DY216" i="6"/>
  <c r="AA5643" i="5"/>
  <c r="Y5643" i="5"/>
  <c r="Z5643" i="5"/>
  <c r="AA693" i="5"/>
  <c r="Z693" i="5"/>
  <c r="Y693" i="5"/>
  <c r="AA1683" i="5"/>
  <c r="Y1683" i="5"/>
  <c r="Z1683" i="5"/>
  <c r="BB205" i="6"/>
  <c r="AW205" i="6"/>
  <c r="BH205" i="6"/>
  <c r="BC205" i="6"/>
  <c r="AA197" i="5"/>
  <c r="Y197" i="5"/>
  <c r="Z197" i="5"/>
  <c r="CE210" i="6"/>
  <c r="BY210" i="6"/>
  <c r="CD210" i="6"/>
  <c r="CJ210" i="6"/>
  <c r="BB206" i="6"/>
  <c r="AW206" i="6"/>
  <c r="BH206" i="6"/>
  <c r="BC206" i="6"/>
  <c r="CC208" i="6"/>
  <c r="BR208" i="6"/>
  <c r="BW208" i="6"/>
  <c r="BX208" i="6"/>
  <c r="DA214" i="6"/>
  <c r="DG214" i="6"/>
  <c r="DL214" i="6"/>
  <c r="DF214" i="6"/>
  <c r="BV207" i="6"/>
  <c r="BK207" i="6"/>
  <c r="BQ207" i="6"/>
  <c r="BP207" i="6"/>
  <c r="BY209" i="6"/>
  <c r="CE209" i="6"/>
  <c r="CD209" i="6"/>
  <c r="CJ209" i="6"/>
  <c r="CK211" i="6"/>
  <c r="CF211" i="6"/>
  <c r="CL211" i="6"/>
  <c r="CQ211" i="6"/>
  <c r="AN204" i="6"/>
  <c r="AT204" i="6"/>
  <c r="AO204" i="6"/>
  <c r="CS212" i="6"/>
  <c r="CM212" i="6"/>
  <c r="CX212" i="6"/>
  <c r="CR212" i="6"/>
  <c r="AA198" i="5"/>
  <c r="Y198" i="5"/>
  <c r="Z198" i="5"/>
  <c r="DS215" i="6"/>
  <c r="DM215" i="6"/>
  <c r="DH215" i="6"/>
  <c r="DN215" i="6"/>
  <c r="AA3662" i="5"/>
  <c r="Z3662" i="5"/>
  <c r="Y3662" i="5"/>
  <c r="DA213" i="6"/>
  <c r="DL213" i="6"/>
  <c r="DF213" i="6"/>
  <c r="DG213" i="6"/>
  <c r="AA2672" i="5"/>
  <c r="Y2672" i="5"/>
  <c r="Z2672" i="5"/>
  <c r="Y4158" i="5"/>
  <c r="AA4158" i="5"/>
  <c r="Z4158" i="5"/>
  <c r="AA3663" i="5"/>
  <c r="Y3663" i="5"/>
  <c r="Z3663" i="5"/>
  <c r="AA4653" i="5"/>
  <c r="Y4653" i="5"/>
  <c r="Z4653" i="5"/>
  <c r="AA3167" i="5"/>
  <c r="Z3167" i="5"/>
  <c r="Y3167" i="5"/>
  <c r="AA1682" i="5"/>
  <c r="Y1682" i="5"/>
  <c r="Z1682" i="5"/>
  <c r="Y6138" i="5"/>
  <c r="Z6138" i="5"/>
  <c r="EF218" i="6"/>
  <c r="EG218" i="6" s="1"/>
  <c r="EH218" i="6" s="1"/>
  <c r="AA218" i="6" s="1"/>
  <c r="EG217" i="6"/>
  <c r="EH217" i="6" s="1"/>
  <c r="AA217" i="6" s="1"/>
  <c r="DX216" i="6"/>
  <c r="AA6139" i="5" s="1"/>
  <c r="DE213" i="6" l="1"/>
  <c r="CT213" i="6"/>
  <c r="CZ213" i="6"/>
  <c r="CY213" i="6"/>
  <c r="AA4159" i="5"/>
  <c r="Y4159" i="5"/>
  <c r="Z4159" i="5"/>
  <c r="Y199" i="5"/>
  <c r="AA199" i="5"/>
  <c r="Z199" i="5"/>
  <c r="AA5148" i="5"/>
  <c r="Z5148" i="5"/>
  <c r="Y5148" i="5"/>
  <c r="AA5644" i="5"/>
  <c r="Y5644" i="5"/>
  <c r="Z5644" i="5"/>
  <c r="AA5149" i="5"/>
  <c r="Y5149" i="5"/>
  <c r="Z5149" i="5"/>
  <c r="AA1189" i="5"/>
  <c r="Y1189" i="5"/>
  <c r="Z1189" i="5"/>
  <c r="AU205" i="6"/>
  <c r="AP205" i="6"/>
  <c r="BA205" i="6"/>
  <c r="AV205" i="6"/>
  <c r="DS216" i="6"/>
  <c r="DH216" i="6"/>
  <c r="DN216" i="6"/>
  <c r="DM216" i="6"/>
  <c r="BV208" i="6"/>
  <c r="BQ208" i="6"/>
  <c r="BK208" i="6"/>
  <c r="BP208" i="6"/>
  <c r="AU206" i="6"/>
  <c r="AP206" i="6"/>
  <c r="AV206" i="6"/>
  <c r="BA206" i="6"/>
  <c r="CC210" i="6"/>
  <c r="BR210" i="6"/>
  <c r="BW210" i="6"/>
  <c r="BX210" i="6"/>
  <c r="BI207" i="6"/>
  <c r="BD207" i="6"/>
  <c r="BJ207" i="6"/>
  <c r="BO207" i="6"/>
  <c r="DA215" i="6"/>
  <c r="DL215" i="6"/>
  <c r="DG215" i="6"/>
  <c r="DF215" i="6"/>
  <c r="CK212" i="6"/>
  <c r="CF212" i="6"/>
  <c r="CQ212" i="6"/>
  <c r="CL212" i="6"/>
  <c r="CC209" i="6"/>
  <c r="BR209" i="6"/>
  <c r="BX209" i="6"/>
  <c r="BW209" i="6"/>
  <c r="AA2178" i="5"/>
  <c r="Z2178" i="5"/>
  <c r="Y2178" i="5"/>
  <c r="DE214" i="6"/>
  <c r="CT214" i="6"/>
  <c r="CY214" i="6"/>
  <c r="CZ214" i="6"/>
  <c r="Y2673" i="5"/>
  <c r="AA2673" i="5"/>
  <c r="Z2673" i="5"/>
  <c r="BY211" i="6"/>
  <c r="CE211" i="6"/>
  <c r="CD211" i="6"/>
  <c r="CJ211" i="6"/>
  <c r="AA3664" i="5"/>
  <c r="Y3664" i="5"/>
  <c r="Z3664" i="5"/>
  <c r="AA3168" i="5"/>
  <c r="Y3168" i="5"/>
  <c r="Z3168" i="5"/>
  <c r="AA3169" i="5"/>
  <c r="Y3169" i="5"/>
  <c r="Z3169" i="5"/>
  <c r="AA1188" i="5"/>
  <c r="Y1188" i="5"/>
  <c r="Z1188" i="5"/>
  <c r="Y6139" i="5"/>
  <c r="Z6139" i="5"/>
  <c r="V218" i="6"/>
  <c r="P218" i="6"/>
  <c r="F218" i="6"/>
  <c r="Z218" i="6"/>
  <c r="H218" i="6"/>
  <c r="T218" i="6"/>
  <c r="L218" i="6"/>
  <c r="R218" i="6"/>
  <c r="J218" i="6"/>
  <c r="X218" i="6"/>
  <c r="N218" i="6"/>
  <c r="D218" i="6"/>
  <c r="AM218" i="6"/>
  <c r="AK218" i="6"/>
  <c r="AI218" i="6"/>
  <c r="AB218" i="6"/>
  <c r="DT218" i="6" s="1"/>
  <c r="EF219" i="6"/>
  <c r="Z217" i="6"/>
  <c r="P217" i="6"/>
  <c r="J217" i="6"/>
  <c r="X217" i="6"/>
  <c r="N217" i="6"/>
  <c r="H217" i="6"/>
  <c r="V217" i="6"/>
  <c r="T217" i="6"/>
  <c r="D217" i="6"/>
  <c r="R217" i="6"/>
  <c r="L217" i="6"/>
  <c r="AB217" i="6"/>
  <c r="DT217" i="6" s="1"/>
  <c r="F217" i="6"/>
  <c r="AI217" i="6"/>
  <c r="AK217" i="6"/>
  <c r="AM217" i="6"/>
  <c r="CE212" i="6" l="1"/>
  <c r="BY212" i="6"/>
  <c r="CD212" i="6"/>
  <c r="CJ212" i="6"/>
  <c r="AA5150" i="5"/>
  <c r="Y5150" i="5"/>
  <c r="Z5150" i="5"/>
  <c r="BB207" i="6"/>
  <c r="AW207" i="6"/>
  <c r="BH207" i="6"/>
  <c r="BC207" i="6"/>
  <c r="BV210" i="6"/>
  <c r="BK210" i="6"/>
  <c r="BP210" i="6"/>
  <c r="BQ210" i="6"/>
  <c r="AT206" i="6"/>
  <c r="AO206" i="6"/>
  <c r="AN206" i="6"/>
  <c r="DL216" i="6"/>
  <c r="DA216" i="6"/>
  <c r="DF216" i="6"/>
  <c r="DG216" i="6"/>
  <c r="AT205" i="6"/>
  <c r="AN205" i="6"/>
  <c r="AO205" i="6"/>
  <c r="AA3170" i="5"/>
  <c r="Z3170" i="5"/>
  <c r="Y3170" i="5"/>
  <c r="DO217" i="6"/>
  <c r="DY217" i="6"/>
  <c r="CS214" i="6"/>
  <c r="CM214" i="6"/>
  <c r="CR214" i="6"/>
  <c r="CX214" i="6"/>
  <c r="AA2674" i="5"/>
  <c r="Y2674" i="5"/>
  <c r="Z2674" i="5"/>
  <c r="DE215" i="6"/>
  <c r="CT215" i="6"/>
  <c r="CZ215" i="6"/>
  <c r="CY215" i="6"/>
  <c r="AA2675" i="5"/>
  <c r="Y2675" i="5"/>
  <c r="Z2675" i="5"/>
  <c r="Y2179" i="5"/>
  <c r="AA2179" i="5"/>
  <c r="Z2179" i="5"/>
  <c r="Y5645" i="5"/>
  <c r="AA5645" i="5"/>
  <c r="Z5645" i="5"/>
  <c r="BV209" i="6"/>
  <c r="BK209" i="6"/>
  <c r="BP209" i="6"/>
  <c r="BQ209" i="6"/>
  <c r="DO218" i="6"/>
  <c r="DY218" i="6"/>
  <c r="AA4655" i="5"/>
  <c r="Z4655" i="5"/>
  <c r="Y4655" i="5"/>
  <c r="AA1684" i="5"/>
  <c r="Y1684" i="5"/>
  <c r="Z1684" i="5"/>
  <c r="AA695" i="5"/>
  <c r="Y695" i="5"/>
  <c r="Z695" i="5"/>
  <c r="CS213" i="6"/>
  <c r="CR213" i="6"/>
  <c r="CM213" i="6"/>
  <c r="CX213" i="6"/>
  <c r="CC211" i="6"/>
  <c r="BR211" i="6"/>
  <c r="BX211" i="6"/>
  <c r="BW211" i="6"/>
  <c r="AA3665" i="5"/>
  <c r="Y3665" i="5"/>
  <c r="Z3665" i="5"/>
  <c r="BI208" i="6"/>
  <c r="BD208" i="6"/>
  <c r="BO208" i="6"/>
  <c r="BJ208" i="6"/>
  <c r="AA694" i="5"/>
  <c r="Y694" i="5"/>
  <c r="Z694" i="5"/>
  <c r="AA4654" i="5"/>
  <c r="Y4654" i="5"/>
  <c r="Z4654" i="5"/>
  <c r="DX218" i="6"/>
  <c r="AA6141" i="5" s="1"/>
  <c r="EF220" i="6"/>
  <c r="EG220" i="6" s="1"/>
  <c r="EH220" i="6" s="1"/>
  <c r="AA220" i="6" s="1"/>
  <c r="EG219" i="6"/>
  <c r="EH219" i="6" s="1"/>
  <c r="AA219" i="6" s="1"/>
  <c r="DX217" i="6"/>
  <c r="AA6140" i="5" s="1"/>
  <c r="AA4160" i="5" l="1"/>
  <c r="Y4160" i="5"/>
  <c r="Z4160" i="5"/>
  <c r="CK213" i="6"/>
  <c r="CF213" i="6"/>
  <c r="CQ213" i="6"/>
  <c r="CL213" i="6"/>
  <c r="BI209" i="6"/>
  <c r="BD209" i="6"/>
  <c r="BO209" i="6"/>
  <c r="BJ209" i="6"/>
  <c r="CK214" i="6"/>
  <c r="CF214" i="6"/>
  <c r="CL214" i="6"/>
  <c r="CQ214" i="6"/>
  <c r="CZ216" i="6"/>
  <c r="CT216" i="6"/>
  <c r="DE216" i="6"/>
  <c r="CY216" i="6"/>
  <c r="AA201" i="5"/>
  <c r="Y201" i="5"/>
  <c r="Z201" i="5"/>
  <c r="AA2181" i="5"/>
  <c r="Z2181" i="5"/>
  <c r="Y2181" i="5"/>
  <c r="AA3171" i="5"/>
  <c r="Y3171" i="5"/>
  <c r="Z3171" i="5"/>
  <c r="BV211" i="6"/>
  <c r="BK211" i="6"/>
  <c r="BQ211" i="6"/>
  <c r="BP211" i="6"/>
  <c r="AA2180" i="5"/>
  <c r="Z2180" i="5"/>
  <c r="Y2180" i="5"/>
  <c r="CS215" i="6"/>
  <c r="CM215" i="6"/>
  <c r="CX215" i="6"/>
  <c r="CR215" i="6"/>
  <c r="AA200" i="5"/>
  <c r="Y200" i="5"/>
  <c r="Z200" i="5"/>
  <c r="Y5151" i="5"/>
  <c r="AA5151" i="5"/>
  <c r="Z5151" i="5"/>
  <c r="AA1685" i="5"/>
  <c r="Y1685" i="5"/>
  <c r="Z1685" i="5"/>
  <c r="DS218" i="6"/>
  <c r="DH218" i="6"/>
  <c r="DM218" i="6"/>
  <c r="DN218" i="6"/>
  <c r="BB208" i="6"/>
  <c r="AW208" i="6"/>
  <c r="BH208" i="6"/>
  <c r="BC208" i="6"/>
  <c r="AA2676" i="5"/>
  <c r="Y2676" i="5"/>
  <c r="Z2676" i="5"/>
  <c r="AA4656" i="5"/>
  <c r="Z4656" i="5"/>
  <c r="Y4656" i="5"/>
  <c r="AA4161" i="5"/>
  <c r="Y4161" i="5"/>
  <c r="Z4161" i="5"/>
  <c r="AA1190" i="5"/>
  <c r="Z1190" i="5"/>
  <c r="Y1190" i="5"/>
  <c r="CC212" i="6"/>
  <c r="BR212" i="6"/>
  <c r="BW212" i="6"/>
  <c r="BX212" i="6"/>
  <c r="DH217" i="6"/>
  <c r="DM217" i="6"/>
  <c r="DS217" i="6"/>
  <c r="DN217" i="6"/>
  <c r="BI210" i="6"/>
  <c r="BD210" i="6"/>
  <c r="BO210" i="6"/>
  <c r="BJ210" i="6"/>
  <c r="AU207" i="6"/>
  <c r="AP207" i="6"/>
  <c r="BA207" i="6"/>
  <c r="AV207" i="6"/>
  <c r="Y6140" i="5"/>
  <c r="Z6140" i="5"/>
  <c r="Y6141" i="5"/>
  <c r="Z6141" i="5"/>
  <c r="D219" i="6"/>
  <c r="T219" i="6"/>
  <c r="N219" i="6"/>
  <c r="AB219" i="6"/>
  <c r="DT219" i="6" s="1"/>
  <c r="R219" i="6"/>
  <c r="J219" i="6"/>
  <c r="F219" i="6"/>
  <c r="X219" i="6"/>
  <c r="P219" i="6"/>
  <c r="H219" i="6"/>
  <c r="Z219" i="6"/>
  <c r="V219" i="6"/>
  <c r="L219" i="6"/>
  <c r="AI219" i="6"/>
  <c r="AK219" i="6"/>
  <c r="AM219" i="6"/>
  <c r="EF221" i="6"/>
  <c r="F220" i="6"/>
  <c r="R220" i="6"/>
  <c r="L220" i="6"/>
  <c r="X220" i="6"/>
  <c r="P220" i="6"/>
  <c r="H220" i="6"/>
  <c r="V220" i="6"/>
  <c r="N220" i="6"/>
  <c r="D220" i="6"/>
  <c r="T220" i="6"/>
  <c r="J220" i="6"/>
  <c r="Z220" i="6"/>
  <c r="AK220" i="6"/>
  <c r="AB220" i="6"/>
  <c r="DT220" i="6" s="1"/>
  <c r="AM220" i="6"/>
  <c r="AI220" i="6"/>
  <c r="AA5647" i="5" l="1"/>
  <c r="Y5647" i="5"/>
  <c r="Z5647" i="5"/>
  <c r="AA2182" i="5"/>
  <c r="Y2182" i="5"/>
  <c r="Z2182" i="5"/>
  <c r="CD214" i="6"/>
  <c r="BY214" i="6"/>
  <c r="CE214" i="6"/>
  <c r="CJ214" i="6"/>
  <c r="DO219" i="6"/>
  <c r="DY219" i="6"/>
  <c r="Y2677" i="5"/>
  <c r="AA2677" i="5"/>
  <c r="Z2677" i="5"/>
  <c r="DO220" i="6"/>
  <c r="DY220" i="6"/>
  <c r="AA696" i="5"/>
  <c r="Y696" i="5"/>
  <c r="Z696" i="5"/>
  <c r="AA1687" i="5"/>
  <c r="Y1687" i="5"/>
  <c r="Z1687" i="5"/>
  <c r="AA5646" i="5"/>
  <c r="Y5646" i="5"/>
  <c r="Z5646" i="5"/>
  <c r="Y1191" i="5"/>
  <c r="AA1191" i="5"/>
  <c r="Z1191" i="5"/>
  <c r="AA3667" i="5"/>
  <c r="Y3667" i="5"/>
  <c r="Z3667" i="5"/>
  <c r="AT207" i="6"/>
  <c r="AN207" i="6"/>
  <c r="AO207" i="6"/>
  <c r="BB210" i="6"/>
  <c r="AW210" i="6"/>
  <c r="BC210" i="6"/>
  <c r="BH210" i="6"/>
  <c r="BV212" i="6"/>
  <c r="BK212" i="6"/>
  <c r="BQ212" i="6"/>
  <c r="BP212" i="6"/>
  <c r="AU208" i="6"/>
  <c r="AP208" i="6"/>
  <c r="AV208" i="6"/>
  <c r="BA208" i="6"/>
  <c r="DA218" i="6"/>
  <c r="DL218" i="6"/>
  <c r="DG218" i="6"/>
  <c r="DF218" i="6"/>
  <c r="AA4162" i="5"/>
  <c r="Z4162" i="5"/>
  <c r="Y4162" i="5"/>
  <c r="BI211" i="6"/>
  <c r="BD211" i="6"/>
  <c r="BJ211" i="6"/>
  <c r="BO211" i="6"/>
  <c r="Y4657" i="5"/>
  <c r="AA4657" i="5"/>
  <c r="Z4657" i="5"/>
  <c r="AA1686" i="5"/>
  <c r="Z1686" i="5"/>
  <c r="Y1686" i="5"/>
  <c r="AA3666" i="5"/>
  <c r="Z3666" i="5"/>
  <c r="Y3666" i="5"/>
  <c r="DA217" i="6"/>
  <c r="DL217" i="6"/>
  <c r="DG217" i="6"/>
  <c r="DF217" i="6"/>
  <c r="CK215" i="6"/>
  <c r="CF215" i="6"/>
  <c r="CL215" i="6"/>
  <c r="CQ215" i="6"/>
  <c r="CS216" i="6"/>
  <c r="CM216" i="6"/>
  <c r="CX216" i="6"/>
  <c r="CR216" i="6"/>
  <c r="BB209" i="6"/>
  <c r="AW209" i="6"/>
  <c r="BH209" i="6"/>
  <c r="BC209" i="6"/>
  <c r="CD213" i="6"/>
  <c r="BY213" i="6"/>
  <c r="CE213" i="6"/>
  <c r="CJ213" i="6"/>
  <c r="DX220" i="6"/>
  <c r="AA6143" i="5" s="1"/>
  <c r="EF222" i="6"/>
  <c r="EG222" i="6" s="1"/>
  <c r="EH222" i="6" s="1"/>
  <c r="AA222" i="6" s="1"/>
  <c r="EG221" i="6"/>
  <c r="EH221" i="6" s="1"/>
  <c r="AA221" i="6" s="1"/>
  <c r="DX219" i="6"/>
  <c r="AA6142" i="5" s="1"/>
  <c r="CC213" i="6" l="1"/>
  <c r="BR213" i="6"/>
  <c r="BX213" i="6"/>
  <c r="BW213" i="6"/>
  <c r="AT208" i="6"/>
  <c r="AO208" i="6"/>
  <c r="AN208" i="6"/>
  <c r="BB211" i="6"/>
  <c r="AW211" i="6"/>
  <c r="BH211" i="6"/>
  <c r="BC211" i="6"/>
  <c r="DE218" i="6"/>
  <c r="CT218" i="6"/>
  <c r="CY218" i="6"/>
  <c r="CZ218" i="6"/>
  <c r="AA2183" i="5"/>
  <c r="Y2183" i="5"/>
  <c r="Z2183" i="5"/>
  <c r="DS220" i="6"/>
  <c r="DH220" i="6"/>
  <c r="DN220" i="6"/>
  <c r="DM220" i="6"/>
  <c r="CC214" i="6"/>
  <c r="BR214" i="6"/>
  <c r="BW214" i="6"/>
  <c r="BX214" i="6"/>
  <c r="CK216" i="6"/>
  <c r="CF216" i="6"/>
  <c r="CL216" i="6"/>
  <c r="CQ216" i="6"/>
  <c r="AA5152" i="5"/>
  <c r="Y5152" i="5"/>
  <c r="Z5152" i="5"/>
  <c r="CY217" i="6"/>
  <c r="DE217" i="6"/>
  <c r="CZ217" i="6"/>
  <c r="CT217" i="6"/>
  <c r="DS219" i="6"/>
  <c r="DM219" i="6"/>
  <c r="DH219" i="6"/>
  <c r="DN219" i="6"/>
  <c r="CD215" i="6"/>
  <c r="BY215" i="6"/>
  <c r="CE215" i="6"/>
  <c r="CJ215" i="6"/>
  <c r="AA5153" i="5"/>
  <c r="Y5153" i="5"/>
  <c r="Z5153" i="5"/>
  <c r="AA3172" i="5"/>
  <c r="Y3172" i="5"/>
  <c r="Z3172" i="5"/>
  <c r="AA3668" i="5"/>
  <c r="Y3668" i="5"/>
  <c r="Z3668" i="5"/>
  <c r="Y697" i="5"/>
  <c r="AA697" i="5"/>
  <c r="Z697" i="5"/>
  <c r="AA1193" i="5"/>
  <c r="Y1193" i="5"/>
  <c r="Z1193" i="5"/>
  <c r="AA1192" i="5"/>
  <c r="Z1192" i="5"/>
  <c r="Y1192" i="5"/>
  <c r="Y4163" i="5"/>
  <c r="Z4163" i="5"/>
  <c r="AA4163" i="5"/>
  <c r="AA1688" i="5"/>
  <c r="Y1688" i="5"/>
  <c r="Z1688" i="5"/>
  <c r="AA3173" i="5"/>
  <c r="Z3173" i="5"/>
  <c r="Y3173" i="5"/>
  <c r="AU209" i="6"/>
  <c r="AP209" i="6"/>
  <c r="AV209" i="6"/>
  <c r="BA209" i="6"/>
  <c r="BI212" i="6"/>
  <c r="BD212" i="6"/>
  <c r="BO212" i="6"/>
  <c r="BJ212" i="6"/>
  <c r="AU210" i="6"/>
  <c r="AP210" i="6"/>
  <c r="AV210" i="6"/>
  <c r="BA210" i="6"/>
  <c r="AA202" i="5"/>
  <c r="Y202" i="5"/>
  <c r="Z202" i="5"/>
  <c r="Y6142" i="5"/>
  <c r="Z6142" i="5"/>
  <c r="Y6143" i="5"/>
  <c r="Z6143" i="5"/>
  <c r="H222" i="6"/>
  <c r="X222" i="6"/>
  <c r="N222" i="6"/>
  <c r="D222" i="6"/>
  <c r="V222" i="6"/>
  <c r="P222" i="6"/>
  <c r="T222" i="6"/>
  <c r="L222" i="6"/>
  <c r="Z222" i="6"/>
  <c r="AB222" i="6"/>
  <c r="DT222" i="6" s="1"/>
  <c r="R222" i="6"/>
  <c r="J222" i="6"/>
  <c r="AM222" i="6"/>
  <c r="F222" i="6"/>
  <c r="AI222" i="6"/>
  <c r="AK222" i="6"/>
  <c r="V221" i="6"/>
  <c r="N221" i="6"/>
  <c r="T221" i="6"/>
  <c r="L221" i="6"/>
  <c r="J221" i="6"/>
  <c r="R221" i="6"/>
  <c r="H221" i="6"/>
  <c r="F221" i="6"/>
  <c r="Z221" i="6"/>
  <c r="X221" i="6"/>
  <c r="P221" i="6"/>
  <c r="D221" i="6"/>
  <c r="AB221" i="6"/>
  <c r="DT221" i="6" s="1"/>
  <c r="AI221" i="6"/>
  <c r="AM221" i="6"/>
  <c r="AK221" i="6"/>
  <c r="EF223" i="6"/>
  <c r="EG223" i="6" s="1"/>
  <c r="EH223" i="6" s="1"/>
  <c r="AA223" i="6" s="1"/>
  <c r="DO221" i="6" l="1"/>
  <c r="DY221" i="6"/>
  <c r="AA699" i="5"/>
  <c r="Y699" i="5"/>
  <c r="Z699" i="5"/>
  <c r="AA698" i="5"/>
  <c r="Y698" i="5"/>
  <c r="Z698" i="5"/>
  <c r="DA219" i="6"/>
  <c r="DL219" i="6"/>
  <c r="DG219" i="6"/>
  <c r="DF219" i="6"/>
  <c r="CD216" i="6"/>
  <c r="BY216" i="6"/>
  <c r="CE216" i="6"/>
  <c r="CJ216" i="6"/>
  <c r="BV214" i="6"/>
  <c r="BK214" i="6"/>
  <c r="BQ214" i="6"/>
  <c r="BP214" i="6"/>
  <c r="DL220" i="6"/>
  <c r="DA220" i="6"/>
  <c r="DF220" i="6"/>
  <c r="DG220" i="6"/>
  <c r="AA4659" i="5"/>
  <c r="Y4659" i="5"/>
  <c r="Z4659" i="5"/>
  <c r="AA1689" i="5"/>
  <c r="Z1689" i="5"/>
  <c r="Y1689" i="5"/>
  <c r="CC215" i="6"/>
  <c r="BR215" i="6"/>
  <c r="BX215" i="6"/>
  <c r="BW215" i="6"/>
  <c r="AA4658" i="5"/>
  <c r="Y4658" i="5"/>
  <c r="Z4658" i="5"/>
  <c r="AA2679" i="5"/>
  <c r="Z2679" i="5"/>
  <c r="Y2679" i="5"/>
  <c r="Y5649" i="5"/>
  <c r="Z5649" i="5"/>
  <c r="AA5649" i="5"/>
  <c r="AT210" i="6"/>
  <c r="AO210" i="6"/>
  <c r="AN210" i="6"/>
  <c r="BB212" i="6"/>
  <c r="AW212" i="6"/>
  <c r="BH212" i="6"/>
  <c r="BC212" i="6"/>
  <c r="AT209" i="6"/>
  <c r="AN209" i="6"/>
  <c r="AO209" i="6"/>
  <c r="AA5648" i="5"/>
  <c r="Z5648" i="5"/>
  <c r="Y5648" i="5"/>
  <c r="AA3669" i="5"/>
  <c r="Z3669" i="5"/>
  <c r="Y3669" i="5"/>
  <c r="AA1194" i="5"/>
  <c r="Y1194" i="5"/>
  <c r="Z1194" i="5"/>
  <c r="BV213" i="6"/>
  <c r="BK213" i="6"/>
  <c r="BQ213" i="6"/>
  <c r="BP213" i="6"/>
  <c r="DY222" i="6"/>
  <c r="DO222" i="6"/>
  <c r="AA3174" i="5"/>
  <c r="Y3174" i="5"/>
  <c r="Z3174" i="5"/>
  <c r="CS217" i="6"/>
  <c r="CR217" i="6"/>
  <c r="CM217" i="6"/>
  <c r="CX217" i="6"/>
  <c r="CS218" i="6"/>
  <c r="CM218" i="6"/>
  <c r="CR218" i="6"/>
  <c r="CX218" i="6"/>
  <c r="AU211" i="6"/>
  <c r="AP211" i="6"/>
  <c r="AV211" i="6"/>
  <c r="BA211" i="6"/>
  <c r="Y203" i="5"/>
  <c r="Z203" i="5"/>
  <c r="AA203" i="5"/>
  <c r="AA2678" i="5"/>
  <c r="Z2678" i="5"/>
  <c r="Y2678" i="5"/>
  <c r="V223" i="6"/>
  <c r="N223" i="6"/>
  <c r="F223" i="6"/>
  <c r="T223" i="6"/>
  <c r="L223" i="6"/>
  <c r="Z223" i="6"/>
  <c r="R223" i="6"/>
  <c r="J223" i="6"/>
  <c r="X223" i="6"/>
  <c r="P223" i="6"/>
  <c r="H223" i="6"/>
  <c r="D223" i="6"/>
  <c r="AI223" i="6"/>
  <c r="AB223" i="6"/>
  <c r="DT223" i="6" s="1"/>
  <c r="AK223" i="6"/>
  <c r="AM223" i="6"/>
  <c r="EF224" i="6"/>
  <c r="EG224" i="6" s="1"/>
  <c r="EH224" i="6" s="1"/>
  <c r="AA224" i="6" s="1"/>
  <c r="DX221" i="6"/>
  <c r="AA6144" i="5" s="1"/>
  <c r="DX222" i="6"/>
  <c r="AA6145" i="5" s="1"/>
  <c r="AT211" i="6" l="1"/>
  <c r="AN211" i="6"/>
  <c r="AO211" i="6"/>
  <c r="DM222" i="6"/>
  <c r="DS222" i="6"/>
  <c r="DH222" i="6"/>
  <c r="DN222" i="6"/>
  <c r="BI213" i="6"/>
  <c r="BD213" i="6"/>
  <c r="BO213" i="6"/>
  <c r="BJ213" i="6"/>
  <c r="AU212" i="6"/>
  <c r="AP212" i="6"/>
  <c r="AV212" i="6"/>
  <c r="BA212" i="6"/>
  <c r="AA205" i="5"/>
  <c r="Y205" i="5"/>
  <c r="Z205" i="5"/>
  <c r="BV215" i="6"/>
  <c r="BK215" i="6"/>
  <c r="BQ215" i="6"/>
  <c r="BP215" i="6"/>
  <c r="AA3175" i="5"/>
  <c r="Y3175" i="5"/>
  <c r="Z3175" i="5"/>
  <c r="DO223" i="6"/>
  <c r="DY223" i="6"/>
  <c r="AA700" i="5"/>
  <c r="Z700" i="5"/>
  <c r="Y700" i="5"/>
  <c r="AA4165" i="5"/>
  <c r="Y4165" i="5"/>
  <c r="Z4165" i="5"/>
  <c r="AA4164" i="5"/>
  <c r="Y4164" i="5"/>
  <c r="Z4164" i="5"/>
  <c r="AA2184" i="5"/>
  <c r="Y2184" i="5"/>
  <c r="Z2184" i="5"/>
  <c r="AA204" i="5"/>
  <c r="Y204" i="5"/>
  <c r="Z204" i="5"/>
  <c r="AA2680" i="5"/>
  <c r="Y2680" i="5"/>
  <c r="Z2680" i="5"/>
  <c r="CK217" i="6"/>
  <c r="CF217" i="6"/>
  <c r="CQ217" i="6"/>
  <c r="CL217" i="6"/>
  <c r="DE220" i="6"/>
  <c r="CT220" i="6"/>
  <c r="CZ220" i="6"/>
  <c r="CY220" i="6"/>
  <c r="BI214" i="6"/>
  <c r="BD214" i="6"/>
  <c r="BO214" i="6"/>
  <c r="BJ214" i="6"/>
  <c r="CC216" i="6"/>
  <c r="BR216" i="6"/>
  <c r="BW216" i="6"/>
  <c r="BX216" i="6"/>
  <c r="AA5154" i="5"/>
  <c r="Y5154" i="5"/>
  <c r="Z5154" i="5"/>
  <c r="CK218" i="6"/>
  <c r="CF218" i="6"/>
  <c r="CL218" i="6"/>
  <c r="CQ218" i="6"/>
  <c r="Y1195" i="5"/>
  <c r="AA1195" i="5"/>
  <c r="Z1195" i="5"/>
  <c r="Y5155" i="5"/>
  <c r="AA5155" i="5"/>
  <c r="Z5155" i="5"/>
  <c r="Y2185" i="5"/>
  <c r="AA2185" i="5"/>
  <c r="Z2185" i="5"/>
  <c r="DE219" i="6"/>
  <c r="CT219" i="6"/>
  <c r="CY219" i="6"/>
  <c r="CZ219" i="6"/>
  <c r="DH221" i="6"/>
  <c r="DS221" i="6"/>
  <c r="DM221" i="6"/>
  <c r="DN221" i="6"/>
  <c r="Y6145" i="5"/>
  <c r="Z6145" i="5"/>
  <c r="Y6144" i="5"/>
  <c r="Z6144" i="5"/>
  <c r="F224" i="6"/>
  <c r="X224" i="6"/>
  <c r="N224" i="6"/>
  <c r="D224" i="6"/>
  <c r="V224" i="6"/>
  <c r="J224" i="6"/>
  <c r="T224" i="6"/>
  <c r="R224" i="6"/>
  <c r="L224" i="6"/>
  <c r="P224" i="6"/>
  <c r="H224" i="6"/>
  <c r="AK224" i="6"/>
  <c r="AM224" i="6"/>
  <c r="Z224" i="6"/>
  <c r="AI224" i="6"/>
  <c r="AB224" i="6"/>
  <c r="DT224" i="6" s="1"/>
  <c r="DX223" i="6"/>
  <c r="AA6146" i="5" s="1"/>
  <c r="EF225" i="6"/>
  <c r="AA5650" i="5" l="1"/>
  <c r="Y5650" i="5"/>
  <c r="Z5650" i="5"/>
  <c r="DO224" i="6"/>
  <c r="DY224" i="6"/>
  <c r="AT212" i="6"/>
  <c r="AO212" i="6"/>
  <c r="AN212" i="6"/>
  <c r="AA3671" i="5"/>
  <c r="Y3671" i="5"/>
  <c r="Z3671" i="5"/>
  <c r="AA1691" i="5"/>
  <c r="Y1691" i="5"/>
  <c r="Z1691" i="5"/>
  <c r="AA3670" i="5"/>
  <c r="Y3670" i="5"/>
  <c r="Z3670" i="5"/>
  <c r="BI215" i="6"/>
  <c r="BD215" i="6"/>
  <c r="BJ215" i="6"/>
  <c r="BO215" i="6"/>
  <c r="BB214" i="6"/>
  <c r="AW214" i="6"/>
  <c r="BH214" i="6"/>
  <c r="BC214" i="6"/>
  <c r="CS220" i="6"/>
  <c r="CM220" i="6"/>
  <c r="CX220" i="6"/>
  <c r="CR220" i="6"/>
  <c r="CD217" i="6"/>
  <c r="BY217" i="6"/>
  <c r="CE217" i="6"/>
  <c r="CJ217" i="6"/>
  <c r="AA2186" i="5"/>
  <c r="Y2186" i="5"/>
  <c r="Z2186" i="5"/>
  <c r="AA701" i="5"/>
  <c r="Y701" i="5"/>
  <c r="Z701" i="5"/>
  <c r="CS219" i="6"/>
  <c r="CX219" i="6"/>
  <c r="CM219" i="6"/>
  <c r="CR219" i="6"/>
  <c r="DA221" i="6"/>
  <c r="DL221" i="6"/>
  <c r="DG221" i="6"/>
  <c r="DF221" i="6"/>
  <c r="AA4660" i="5"/>
  <c r="Y4660" i="5"/>
  <c r="Z4660" i="5"/>
  <c r="CD218" i="6"/>
  <c r="BY218" i="6"/>
  <c r="CJ218" i="6"/>
  <c r="CE218" i="6"/>
  <c r="Y2681" i="5"/>
  <c r="AA2681" i="5"/>
  <c r="Z2681" i="5"/>
  <c r="Z4661" i="5"/>
  <c r="Y4661" i="5"/>
  <c r="AA4661" i="5"/>
  <c r="DM223" i="6"/>
  <c r="DS223" i="6"/>
  <c r="DH223" i="6"/>
  <c r="DN223" i="6"/>
  <c r="AA1690" i="5"/>
  <c r="Y1690" i="5"/>
  <c r="Z1690" i="5"/>
  <c r="DA222" i="6"/>
  <c r="DL222" i="6"/>
  <c r="DG222" i="6"/>
  <c r="DF222" i="6"/>
  <c r="BV216" i="6"/>
  <c r="BK216" i="6"/>
  <c r="BQ216" i="6"/>
  <c r="BP216" i="6"/>
  <c r="BB213" i="6"/>
  <c r="AW213" i="6"/>
  <c r="BH213" i="6"/>
  <c r="BC213" i="6"/>
  <c r="AA5651" i="5"/>
  <c r="Y5651" i="5"/>
  <c r="Z5651" i="5"/>
  <c r="AA206" i="5"/>
  <c r="Y206" i="5"/>
  <c r="Z206" i="5"/>
  <c r="Y6146" i="5"/>
  <c r="Z6146" i="5"/>
  <c r="DX224" i="6"/>
  <c r="AA6147" i="5" s="1"/>
  <c r="EF226" i="6"/>
  <c r="EG226" i="6" s="1"/>
  <c r="EH226" i="6" s="1"/>
  <c r="AA226" i="6" s="1"/>
  <c r="EG225" i="6"/>
  <c r="EH225" i="6" s="1"/>
  <c r="AA225" i="6" s="1"/>
  <c r="Y2187" i="5" l="1"/>
  <c r="AA2187" i="5"/>
  <c r="Z2187" i="5"/>
  <c r="DE222" i="6"/>
  <c r="CT222" i="6"/>
  <c r="CY222" i="6"/>
  <c r="CZ222" i="6"/>
  <c r="CC218" i="6"/>
  <c r="BR218" i="6"/>
  <c r="BW218" i="6"/>
  <c r="BX218" i="6"/>
  <c r="DE221" i="6"/>
  <c r="CT221" i="6"/>
  <c r="CY221" i="6"/>
  <c r="CZ221" i="6"/>
  <c r="AA4167" i="5"/>
  <c r="Y4167" i="5"/>
  <c r="Z4167" i="5"/>
  <c r="AA1197" i="5"/>
  <c r="Z1197" i="5"/>
  <c r="Y1197" i="5"/>
  <c r="DM224" i="6"/>
  <c r="DH224" i="6"/>
  <c r="DS224" i="6"/>
  <c r="DN224" i="6"/>
  <c r="CK220" i="6"/>
  <c r="CF220" i="6"/>
  <c r="CL220" i="6"/>
  <c r="CQ220" i="6"/>
  <c r="BB215" i="6"/>
  <c r="AW215" i="6"/>
  <c r="BH215" i="6"/>
  <c r="BC215" i="6"/>
  <c r="DA223" i="6"/>
  <c r="DL223" i="6"/>
  <c r="DG223" i="6"/>
  <c r="DF223" i="6"/>
  <c r="CC217" i="6"/>
  <c r="BR217" i="6"/>
  <c r="BX217" i="6"/>
  <c r="BW217" i="6"/>
  <c r="AU214" i="6"/>
  <c r="AP214" i="6"/>
  <c r="BA214" i="6"/>
  <c r="AV214" i="6"/>
  <c r="AA1196" i="5"/>
  <c r="Y1196" i="5"/>
  <c r="Z1196" i="5"/>
  <c r="AA5652" i="5"/>
  <c r="Y5652" i="5"/>
  <c r="Z5652" i="5"/>
  <c r="CK219" i="6"/>
  <c r="CL219" i="6"/>
  <c r="CF219" i="6"/>
  <c r="CQ219" i="6"/>
  <c r="Y207" i="5"/>
  <c r="AA207" i="5"/>
  <c r="Z207" i="5"/>
  <c r="AU213" i="6"/>
  <c r="AP213" i="6"/>
  <c r="BA213" i="6"/>
  <c r="AV213" i="6"/>
  <c r="BI216" i="6"/>
  <c r="BD216" i="6"/>
  <c r="BO216" i="6"/>
  <c r="BJ216" i="6"/>
  <c r="AA5157" i="5"/>
  <c r="Y5157" i="5"/>
  <c r="Z5157" i="5"/>
  <c r="AA3177" i="5"/>
  <c r="Y3177" i="5"/>
  <c r="Z3177" i="5"/>
  <c r="AA5156" i="5"/>
  <c r="Z5156" i="5"/>
  <c r="Y5156" i="5"/>
  <c r="AA4166" i="5"/>
  <c r="Y4166" i="5"/>
  <c r="Z4166" i="5"/>
  <c r="AA3176" i="5"/>
  <c r="Y3176" i="5"/>
  <c r="Z3176" i="5"/>
  <c r="AA1692" i="5"/>
  <c r="Y1692" i="5"/>
  <c r="Z1692" i="5"/>
  <c r="Y6147" i="5"/>
  <c r="Z6147" i="5"/>
  <c r="R226" i="6"/>
  <c r="P226" i="6"/>
  <c r="X226" i="6"/>
  <c r="N226" i="6"/>
  <c r="D226" i="6"/>
  <c r="V226" i="6"/>
  <c r="L226" i="6"/>
  <c r="Z226" i="6"/>
  <c r="T226" i="6"/>
  <c r="J226" i="6"/>
  <c r="H226" i="6"/>
  <c r="F226" i="6"/>
  <c r="AM226" i="6"/>
  <c r="AB226" i="6"/>
  <c r="DT226" i="6" s="1"/>
  <c r="AK226" i="6"/>
  <c r="AI226" i="6"/>
  <c r="F225" i="6"/>
  <c r="X225" i="6"/>
  <c r="P225" i="6"/>
  <c r="D225" i="6"/>
  <c r="V225" i="6"/>
  <c r="N225" i="6"/>
  <c r="J225" i="6"/>
  <c r="Z225" i="6"/>
  <c r="T225" i="6"/>
  <c r="L225" i="6"/>
  <c r="R225" i="6"/>
  <c r="H225" i="6"/>
  <c r="AB225" i="6"/>
  <c r="DT225" i="6" s="1"/>
  <c r="AM225" i="6"/>
  <c r="AI225" i="6"/>
  <c r="AK225" i="6"/>
  <c r="EF227" i="6"/>
  <c r="AA1693" i="5" l="1"/>
  <c r="Z1693" i="5"/>
  <c r="Y1693" i="5"/>
  <c r="DO226" i="6"/>
  <c r="DY226" i="6"/>
  <c r="BB216" i="6"/>
  <c r="AW216" i="6"/>
  <c r="BH216" i="6"/>
  <c r="BC216" i="6"/>
  <c r="AN213" i="6"/>
  <c r="AT213" i="6"/>
  <c r="AO213" i="6"/>
  <c r="AA703" i="5"/>
  <c r="Y703" i="5"/>
  <c r="Z703" i="5"/>
  <c r="AA1198" i="5"/>
  <c r="Z1198" i="5"/>
  <c r="Y1198" i="5"/>
  <c r="Y5653" i="5"/>
  <c r="AA5653" i="5"/>
  <c r="Z5653" i="5"/>
  <c r="AA4662" i="5"/>
  <c r="Z4662" i="5"/>
  <c r="Y4662" i="5"/>
  <c r="AA2683" i="5"/>
  <c r="Y2683" i="5"/>
  <c r="Z2683" i="5"/>
  <c r="AA4663" i="5"/>
  <c r="Z4663" i="5"/>
  <c r="Y4663" i="5"/>
  <c r="AA3672" i="5"/>
  <c r="Y3672" i="5"/>
  <c r="Z3672" i="5"/>
  <c r="AN214" i="6"/>
  <c r="AT214" i="6"/>
  <c r="AO214" i="6"/>
  <c r="AU215" i="6"/>
  <c r="AP215" i="6"/>
  <c r="BA215" i="6"/>
  <c r="AV215" i="6"/>
  <c r="CD220" i="6"/>
  <c r="CE220" i="6"/>
  <c r="CJ220" i="6"/>
  <c r="BY220" i="6"/>
  <c r="DL224" i="6"/>
  <c r="DA224" i="6"/>
  <c r="DF224" i="6"/>
  <c r="DG224" i="6"/>
  <c r="DO225" i="6"/>
  <c r="DY225" i="6"/>
  <c r="BV217" i="6"/>
  <c r="BK217" i="6"/>
  <c r="BP217" i="6"/>
  <c r="BQ217" i="6"/>
  <c r="AA5158" i="5"/>
  <c r="Y5158" i="5"/>
  <c r="Z5158" i="5"/>
  <c r="CD219" i="6"/>
  <c r="BY219" i="6"/>
  <c r="CJ219" i="6"/>
  <c r="CE219" i="6"/>
  <c r="AA2682" i="5"/>
  <c r="Y2682" i="5"/>
  <c r="Z2682" i="5"/>
  <c r="DE223" i="6"/>
  <c r="CT223" i="6"/>
  <c r="CY223" i="6"/>
  <c r="CZ223" i="6"/>
  <c r="AA702" i="5"/>
  <c r="Z702" i="5"/>
  <c r="Y702" i="5"/>
  <c r="AA3673" i="5"/>
  <c r="Z3673" i="5"/>
  <c r="Y3673" i="5"/>
  <c r="CS221" i="6"/>
  <c r="CR221" i="6"/>
  <c r="CM221" i="6"/>
  <c r="CX221" i="6"/>
  <c r="BV218" i="6"/>
  <c r="BK218" i="6"/>
  <c r="BP218" i="6"/>
  <c r="BQ218" i="6"/>
  <c r="CS222" i="6"/>
  <c r="CM222" i="6"/>
  <c r="CX222" i="6"/>
  <c r="CR222" i="6"/>
  <c r="EF228" i="6"/>
  <c r="EG227" i="6"/>
  <c r="EH227" i="6" s="1"/>
  <c r="AA227" i="6" s="1"/>
  <c r="DX226" i="6"/>
  <c r="AA6149" i="5" s="1"/>
  <c r="DX225" i="6"/>
  <c r="AA6148" i="5" s="1"/>
  <c r="CK222" i="6" l="1"/>
  <c r="CF222" i="6"/>
  <c r="CL222" i="6"/>
  <c r="CQ222" i="6"/>
  <c r="BI218" i="6"/>
  <c r="BD218" i="6"/>
  <c r="BO218" i="6"/>
  <c r="BJ218" i="6"/>
  <c r="AA3178" i="5"/>
  <c r="Y3178" i="5"/>
  <c r="Z3178" i="5"/>
  <c r="BI217" i="6"/>
  <c r="BD217" i="6"/>
  <c r="BO217" i="6"/>
  <c r="BJ217" i="6"/>
  <c r="CC220" i="6"/>
  <c r="BR220" i="6"/>
  <c r="BX220" i="6"/>
  <c r="BW220" i="6"/>
  <c r="AA1199" i="5"/>
  <c r="Y1199" i="5"/>
  <c r="Z1199" i="5"/>
  <c r="DM226" i="6"/>
  <c r="DS226" i="6"/>
  <c r="DH226" i="6"/>
  <c r="DN226" i="6"/>
  <c r="AA4169" i="5"/>
  <c r="Y4169" i="5"/>
  <c r="Z4169" i="5"/>
  <c r="CC219" i="6"/>
  <c r="BR219" i="6"/>
  <c r="BX219" i="6"/>
  <c r="BW219" i="6"/>
  <c r="AA2188" i="5"/>
  <c r="Z2188" i="5"/>
  <c r="Y2188" i="5"/>
  <c r="Y3179" i="5"/>
  <c r="AA3179" i="5"/>
  <c r="Z3179" i="5"/>
  <c r="AA704" i="5"/>
  <c r="Z704" i="5"/>
  <c r="Y704" i="5"/>
  <c r="AA209" i="5"/>
  <c r="Y209" i="5"/>
  <c r="Z209" i="5"/>
  <c r="AA208" i="5"/>
  <c r="Z208" i="5"/>
  <c r="Y208" i="5"/>
  <c r="AU216" i="6"/>
  <c r="AP216" i="6"/>
  <c r="BA216" i="6"/>
  <c r="AV216" i="6"/>
  <c r="Y2189" i="5"/>
  <c r="AA2189" i="5"/>
  <c r="Z2189" i="5"/>
  <c r="AA4168" i="5"/>
  <c r="Y4168" i="5"/>
  <c r="Z4168" i="5"/>
  <c r="CS223" i="6"/>
  <c r="CX223" i="6"/>
  <c r="CM223" i="6"/>
  <c r="CR223" i="6"/>
  <c r="DE224" i="6"/>
  <c r="CT224" i="6"/>
  <c r="CZ224" i="6"/>
  <c r="CY224" i="6"/>
  <c r="AO215" i="6"/>
  <c r="AT215" i="6"/>
  <c r="AN215" i="6"/>
  <c r="CK221" i="6"/>
  <c r="CF221" i="6"/>
  <c r="CQ221" i="6"/>
  <c r="CL221" i="6"/>
  <c r="AA4664" i="5"/>
  <c r="Y4664" i="5"/>
  <c r="Z4664" i="5"/>
  <c r="DM225" i="6"/>
  <c r="DH225" i="6"/>
  <c r="DS225" i="6"/>
  <c r="DN225" i="6"/>
  <c r="Y5159" i="5"/>
  <c r="AA5159" i="5"/>
  <c r="Z5159" i="5"/>
  <c r="Y6148" i="5"/>
  <c r="Z6148" i="5"/>
  <c r="Y6149" i="5"/>
  <c r="Z6149" i="5"/>
  <c r="AB227" i="6"/>
  <c r="DT227" i="6" s="1"/>
  <c r="R227" i="6"/>
  <c r="N227" i="6"/>
  <c r="Z227" i="6"/>
  <c r="X227" i="6"/>
  <c r="P227" i="6"/>
  <c r="H227" i="6"/>
  <c r="V227" i="6"/>
  <c r="L227" i="6"/>
  <c r="D227" i="6"/>
  <c r="T227" i="6"/>
  <c r="J227" i="6"/>
  <c r="F227" i="6"/>
  <c r="AI227" i="6"/>
  <c r="AK227" i="6"/>
  <c r="AM227" i="6"/>
  <c r="EF229" i="6"/>
  <c r="EG228" i="6"/>
  <c r="EH228" i="6" s="1"/>
  <c r="AA228" i="6" s="1"/>
  <c r="DA226" i="6" l="1"/>
  <c r="DF226" i="6"/>
  <c r="DG226" i="6"/>
  <c r="DL226" i="6"/>
  <c r="DO227" i="6"/>
  <c r="DY227" i="6"/>
  <c r="AA3674" i="5"/>
  <c r="Y3674" i="5"/>
  <c r="Z3674" i="5"/>
  <c r="AA210" i="5"/>
  <c r="Y210" i="5"/>
  <c r="Z210" i="5"/>
  <c r="CS224" i="6"/>
  <c r="CM224" i="6"/>
  <c r="CX224" i="6"/>
  <c r="CR224" i="6"/>
  <c r="AA4170" i="5"/>
  <c r="Z4170" i="5"/>
  <c r="Y4170" i="5"/>
  <c r="AA5655" i="5"/>
  <c r="Y5655" i="5"/>
  <c r="Z5655" i="5"/>
  <c r="Y2685" i="5"/>
  <c r="AA2685" i="5"/>
  <c r="Z2685" i="5"/>
  <c r="AA3675" i="5"/>
  <c r="Y3675" i="5"/>
  <c r="Z3675" i="5"/>
  <c r="AA5654" i="5"/>
  <c r="Z5654" i="5"/>
  <c r="Y5654" i="5"/>
  <c r="CD221" i="6"/>
  <c r="BY221" i="6"/>
  <c r="CE221" i="6"/>
  <c r="CJ221" i="6"/>
  <c r="Y4665" i="5"/>
  <c r="AA4665" i="5"/>
  <c r="Z4665" i="5"/>
  <c r="Y705" i="5"/>
  <c r="AA705" i="5"/>
  <c r="Z705" i="5"/>
  <c r="BV219" i="6"/>
  <c r="BK219" i="6"/>
  <c r="BQ219" i="6"/>
  <c r="BP219" i="6"/>
  <c r="AA1695" i="5"/>
  <c r="Z1695" i="5"/>
  <c r="Y1695" i="5"/>
  <c r="DA225" i="6"/>
  <c r="DL225" i="6"/>
  <c r="DF225" i="6"/>
  <c r="DG225" i="6"/>
  <c r="AN216" i="6"/>
  <c r="AT216" i="6"/>
  <c r="AO216" i="6"/>
  <c r="AA2684" i="5"/>
  <c r="Y2684" i="5"/>
  <c r="Z2684" i="5"/>
  <c r="AA1694" i="5"/>
  <c r="Y1694" i="5"/>
  <c r="Z1694" i="5"/>
  <c r="BB218" i="6"/>
  <c r="AW218" i="6"/>
  <c r="BH218" i="6"/>
  <c r="BC218" i="6"/>
  <c r="CD222" i="6"/>
  <c r="BY222" i="6"/>
  <c r="CJ222" i="6"/>
  <c r="CE222" i="6"/>
  <c r="CK223" i="6"/>
  <c r="CF223" i="6"/>
  <c r="CL223" i="6"/>
  <c r="CQ223" i="6"/>
  <c r="BV220" i="6"/>
  <c r="BK220" i="6"/>
  <c r="BQ220" i="6"/>
  <c r="BP220" i="6"/>
  <c r="BB217" i="6"/>
  <c r="AW217" i="6"/>
  <c r="BH217" i="6"/>
  <c r="BC217" i="6"/>
  <c r="EF230" i="6"/>
  <c r="DX227" i="6"/>
  <c r="AA6150" i="5" s="1"/>
  <c r="EG229" i="6"/>
  <c r="EH229" i="6" s="1"/>
  <c r="AA229" i="6" s="1"/>
  <c r="F228" i="6"/>
  <c r="V228" i="6"/>
  <c r="N228" i="6"/>
  <c r="D228" i="6"/>
  <c r="T228" i="6"/>
  <c r="J228" i="6"/>
  <c r="P228" i="6"/>
  <c r="H228" i="6"/>
  <c r="X228" i="6"/>
  <c r="R228" i="6"/>
  <c r="L228" i="6"/>
  <c r="AK228" i="6"/>
  <c r="Z228" i="6"/>
  <c r="AM228" i="6"/>
  <c r="AB228" i="6"/>
  <c r="DT228" i="6" s="1"/>
  <c r="AI228" i="6"/>
  <c r="DO228" i="6" l="1"/>
  <c r="DY228" i="6"/>
  <c r="AA3676" i="5"/>
  <c r="Y3676" i="5"/>
  <c r="Z3676" i="5"/>
  <c r="DE225" i="6"/>
  <c r="CT225" i="6"/>
  <c r="CZ225" i="6"/>
  <c r="CY225" i="6"/>
  <c r="AA1200" i="5"/>
  <c r="Z1200" i="5"/>
  <c r="Y1200" i="5"/>
  <c r="AA3181" i="5"/>
  <c r="Y3181" i="5"/>
  <c r="Z3181" i="5"/>
  <c r="AA1201" i="5"/>
  <c r="Z1201" i="5"/>
  <c r="Y1201" i="5"/>
  <c r="AA5161" i="5"/>
  <c r="Y5161" i="5"/>
  <c r="Z5161" i="5"/>
  <c r="CD223" i="6"/>
  <c r="BY223" i="6"/>
  <c r="CJ223" i="6"/>
  <c r="CE223" i="6"/>
  <c r="AU218" i="6"/>
  <c r="AP218" i="6"/>
  <c r="BA218" i="6"/>
  <c r="AV218" i="6"/>
  <c r="BI219" i="6"/>
  <c r="BD219" i="6"/>
  <c r="BJ219" i="6"/>
  <c r="BO219" i="6"/>
  <c r="AA3180" i="5"/>
  <c r="Y3180" i="5"/>
  <c r="Z3180" i="5"/>
  <c r="AA4171" i="5"/>
  <c r="Y4171" i="5"/>
  <c r="Z4171" i="5"/>
  <c r="BI220" i="6"/>
  <c r="BD220" i="6"/>
  <c r="BO220" i="6"/>
  <c r="BJ220" i="6"/>
  <c r="CC222" i="6"/>
  <c r="BR222" i="6"/>
  <c r="BW222" i="6"/>
  <c r="BX222" i="6"/>
  <c r="AA2191" i="5"/>
  <c r="Y2191" i="5"/>
  <c r="Z2191" i="5"/>
  <c r="Y211" i="5"/>
  <c r="AA211" i="5"/>
  <c r="Z211" i="5"/>
  <c r="AA5160" i="5"/>
  <c r="Z5160" i="5"/>
  <c r="Y5160" i="5"/>
  <c r="AA2190" i="5"/>
  <c r="Z2190" i="5"/>
  <c r="Y2190" i="5"/>
  <c r="CK224" i="6"/>
  <c r="CF224" i="6"/>
  <c r="CL224" i="6"/>
  <c r="CQ224" i="6"/>
  <c r="AU217" i="6"/>
  <c r="AP217" i="6"/>
  <c r="AV217" i="6"/>
  <c r="BA217" i="6"/>
  <c r="CC221" i="6"/>
  <c r="BR221" i="6"/>
  <c r="BX221" i="6"/>
  <c r="BW221" i="6"/>
  <c r="DH227" i="6"/>
  <c r="DN227" i="6"/>
  <c r="DM227" i="6"/>
  <c r="DS227" i="6"/>
  <c r="DE226" i="6"/>
  <c r="CT226" i="6"/>
  <c r="CY226" i="6"/>
  <c r="CZ226" i="6"/>
  <c r="Y6150" i="5"/>
  <c r="Z6150" i="5"/>
  <c r="DX228" i="6"/>
  <c r="AA6151" i="5" s="1"/>
  <c r="EF231" i="6"/>
  <c r="EG230" i="6"/>
  <c r="EH230" i="6" s="1"/>
  <c r="AA230" i="6" s="1"/>
  <c r="F229" i="6"/>
  <c r="T229" i="6"/>
  <c r="Z229" i="6"/>
  <c r="R229" i="6"/>
  <c r="X229" i="6"/>
  <c r="P229" i="6"/>
  <c r="J229" i="6"/>
  <c r="V229" i="6"/>
  <c r="N229" i="6"/>
  <c r="D229" i="6"/>
  <c r="H229" i="6"/>
  <c r="AM229" i="6"/>
  <c r="AB229" i="6"/>
  <c r="DT229" i="6" s="1"/>
  <c r="AI229" i="6"/>
  <c r="L229" i="6"/>
  <c r="AK229" i="6"/>
  <c r="CS226" i="6" l="1"/>
  <c r="CM226" i="6"/>
  <c r="CX226" i="6"/>
  <c r="CR226" i="6"/>
  <c r="CD224" i="6"/>
  <c r="BY224" i="6"/>
  <c r="CE224" i="6"/>
  <c r="CJ224" i="6"/>
  <c r="BV222" i="6"/>
  <c r="BK222" i="6"/>
  <c r="BQ222" i="6"/>
  <c r="BP222" i="6"/>
  <c r="AA4667" i="5"/>
  <c r="Y4667" i="5"/>
  <c r="Z4667" i="5"/>
  <c r="DA227" i="6"/>
  <c r="DL227" i="6"/>
  <c r="DG227" i="6"/>
  <c r="DF227" i="6"/>
  <c r="AA2686" i="5"/>
  <c r="Y2686" i="5"/>
  <c r="Z2686" i="5"/>
  <c r="AA2687" i="5"/>
  <c r="Z2687" i="5"/>
  <c r="Y2687" i="5"/>
  <c r="AA707" i="5"/>
  <c r="Y707" i="5"/>
  <c r="Z707" i="5"/>
  <c r="AA3182" i="5"/>
  <c r="Z3182" i="5"/>
  <c r="Y3182" i="5"/>
  <c r="DO229" i="6"/>
  <c r="DY229" i="6"/>
  <c r="AA3677" i="5"/>
  <c r="Y3677" i="5"/>
  <c r="Z3677" i="5"/>
  <c r="BB219" i="6"/>
  <c r="AW219" i="6"/>
  <c r="BH219" i="6"/>
  <c r="BC219" i="6"/>
  <c r="AN218" i="6"/>
  <c r="AT218" i="6"/>
  <c r="AO218" i="6"/>
  <c r="CS225" i="6"/>
  <c r="CM225" i="6"/>
  <c r="CR225" i="6"/>
  <c r="CX225" i="6"/>
  <c r="BV221" i="6"/>
  <c r="BK221" i="6"/>
  <c r="BP221" i="6"/>
  <c r="BQ221" i="6"/>
  <c r="AA5656" i="5"/>
  <c r="Y5656" i="5"/>
  <c r="Z5656" i="5"/>
  <c r="AA706" i="5"/>
  <c r="Y706" i="5"/>
  <c r="Z706" i="5"/>
  <c r="CC223" i="6"/>
  <c r="BR223" i="6"/>
  <c r="BX223" i="6"/>
  <c r="BW223" i="6"/>
  <c r="AA1697" i="5"/>
  <c r="Y1697" i="5"/>
  <c r="Z1697" i="5"/>
  <c r="AA4666" i="5"/>
  <c r="Y4666" i="5"/>
  <c r="Z4666" i="5"/>
  <c r="AO217" i="6"/>
  <c r="AN217" i="6"/>
  <c r="AT217" i="6"/>
  <c r="BB220" i="6"/>
  <c r="AW220" i="6"/>
  <c r="BH220" i="6"/>
  <c r="BC220" i="6"/>
  <c r="AA1696" i="5"/>
  <c r="Z1696" i="5"/>
  <c r="Y1696" i="5"/>
  <c r="DH228" i="6"/>
  <c r="DS228" i="6"/>
  <c r="DN228" i="6"/>
  <c r="DM228" i="6"/>
  <c r="Y6151" i="5"/>
  <c r="Z6151" i="5"/>
  <c r="DX229" i="6"/>
  <c r="AA6152" i="5" s="1"/>
  <c r="EF232" i="6"/>
  <c r="EG232" i="6" s="1"/>
  <c r="EH232" i="6" s="1"/>
  <c r="AA232" i="6" s="1"/>
  <c r="V230" i="6"/>
  <c r="N230" i="6"/>
  <c r="D230" i="6"/>
  <c r="Z230" i="6"/>
  <c r="X230" i="6"/>
  <c r="L230" i="6"/>
  <c r="T230" i="6"/>
  <c r="P230" i="6"/>
  <c r="R230" i="6"/>
  <c r="J230" i="6"/>
  <c r="AM230" i="6"/>
  <c r="AI230" i="6"/>
  <c r="H230" i="6"/>
  <c r="AK230" i="6"/>
  <c r="F230" i="6"/>
  <c r="AB230" i="6"/>
  <c r="DT230" i="6" s="1"/>
  <c r="EG231" i="6"/>
  <c r="EH231" i="6" s="1"/>
  <c r="AA231" i="6" s="1"/>
  <c r="AU220" i="6" l="1"/>
  <c r="AP220" i="6"/>
  <c r="AV220" i="6"/>
  <c r="BA220" i="6"/>
  <c r="AA2192" i="5"/>
  <c r="Z2192" i="5"/>
  <c r="Y2192" i="5"/>
  <c r="DH229" i="6"/>
  <c r="DN229" i="6"/>
  <c r="DS229" i="6"/>
  <c r="DM229" i="6"/>
  <c r="DE227" i="6"/>
  <c r="CT227" i="6"/>
  <c r="CY227" i="6"/>
  <c r="CZ227" i="6"/>
  <c r="Y3183" i="5"/>
  <c r="Z3183" i="5"/>
  <c r="AA3183" i="5"/>
  <c r="DO230" i="6"/>
  <c r="DY230" i="6"/>
  <c r="Y5657" i="5"/>
  <c r="Z5657" i="5"/>
  <c r="AA5657" i="5"/>
  <c r="BV223" i="6"/>
  <c r="BK223" i="6"/>
  <c r="BP223" i="6"/>
  <c r="BQ223" i="6"/>
  <c r="AA4172" i="5"/>
  <c r="Y4172" i="5"/>
  <c r="Z4172" i="5"/>
  <c r="AA1202" i="5"/>
  <c r="Y1202" i="5"/>
  <c r="Z1202" i="5"/>
  <c r="AA4173" i="5"/>
  <c r="Z4173" i="5"/>
  <c r="Y4173" i="5"/>
  <c r="DL228" i="6"/>
  <c r="DA228" i="6"/>
  <c r="DF228" i="6"/>
  <c r="DG228" i="6"/>
  <c r="AA212" i="5"/>
  <c r="Y212" i="5"/>
  <c r="Z212" i="5"/>
  <c r="AA2688" i="5"/>
  <c r="Z2688" i="5"/>
  <c r="Y2688" i="5"/>
  <c r="AA213" i="5"/>
  <c r="Y213" i="5"/>
  <c r="Z213" i="5"/>
  <c r="AU219" i="6"/>
  <c r="AP219" i="6"/>
  <c r="AV219" i="6"/>
  <c r="BA219" i="6"/>
  <c r="BI222" i="6"/>
  <c r="BD222" i="6"/>
  <c r="BO222" i="6"/>
  <c r="BJ222" i="6"/>
  <c r="CC224" i="6"/>
  <c r="BR224" i="6"/>
  <c r="BW224" i="6"/>
  <c r="BX224" i="6"/>
  <c r="CK226" i="6"/>
  <c r="CF226" i="6"/>
  <c r="CL226" i="6"/>
  <c r="CQ226" i="6"/>
  <c r="AA1203" i="5"/>
  <c r="Z1203" i="5"/>
  <c r="Y1203" i="5"/>
  <c r="BI221" i="6"/>
  <c r="BD221" i="6"/>
  <c r="BO221" i="6"/>
  <c r="BJ221" i="6"/>
  <c r="CK225" i="6"/>
  <c r="CF225" i="6"/>
  <c r="CQ225" i="6"/>
  <c r="CL225" i="6"/>
  <c r="AA5162" i="5"/>
  <c r="Y5162" i="5"/>
  <c r="Z5162" i="5"/>
  <c r="AA2193" i="5"/>
  <c r="Z2193" i="5"/>
  <c r="Y2193" i="5"/>
  <c r="Y6152" i="5"/>
  <c r="Z6152" i="5"/>
  <c r="F232" i="6"/>
  <c r="R232" i="6"/>
  <c r="L232" i="6"/>
  <c r="X232" i="6"/>
  <c r="P232" i="6"/>
  <c r="H232" i="6"/>
  <c r="V232" i="6"/>
  <c r="N232" i="6"/>
  <c r="D232" i="6"/>
  <c r="T232" i="6"/>
  <c r="J232" i="6"/>
  <c r="AK232" i="6"/>
  <c r="Z232" i="6"/>
  <c r="AM232" i="6"/>
  <c r="AB232" i="6"/>
  <c r="DT232" i="6" s="1"/>
  <c r="AI232" i="6"/>
  <c r="Z231" i="6"/>
  <c r="T231" i="6"/>
  <c r="J231" i="6"/>
  <c r="R231" i="6"/>
  <c r="N231" i="6"/>
  <c r="X231" i="6"/>
  <c r="P231" i="6"/>
  <c r="H231" i="6"/>
  <c r="F231" i="6"/>
  <c r="V231" i="6"/>
  <c r="L231" i="6"/>
  <c r="AI231" i="6"/>
  <c r="D231" i="6"/>
  <c r="AM231" i="6"/>
  <c r="AK231" i="6"/>
  <c r="AB231" i="6"/>
  <c r="DT231" i="6" s="1"/>
  <c r="EF233" i="6"/>
  <c r="EG233" i="6" s="1"/>
  <c r="EH233" i="6" s="1"/>
  <c r="AA233" i="6" s="1"/>
  <c r="DX230" i="6"/>
  <c r="AA6153" i="5" s="1"/>
  <c r="BV224" i="6" l="1"/>
  <c r="BQ224" i="6"/>
  <c r="BK224" i="6"/>
  <c r="BP224" i="6"/>
  <c r="AA708" i="5"/>
  <c r="Y708" i="5"/>
  <c r="Z708" i="5"/>
  <c r="Y5163" i="5"/>
  <c r="AA5163" i="5"/>
  <c r="Z5163" i="5"/>
  <c r="DY231" i="6"/>
  <c r="DO231" i="6"/>
  <c r="AA1699" i="5"/>
  <c r="Y1699" i="5"/>
  <c r="Z1699" i="5"/>
  <c r="Y2194" i="5"/>
  <c r="Z2194" i="5"/>
  <c r="AA2194" i="5"/>
  <c r="AA4668" i="5"/>
  <c r="Y4668" i="5"/>
  <c r="Z4668" i="5"/>
  <c r="DG229" i="6"/>
  <c r="DA229" i="6"/>
  <c r="DL229" i="6"/>
  <c r="DF229" i="6"/>
  <c r="AA709" i="5"/>
  <c r="Z709" i="5"/>
  <c r="Y709" i="5"/>
  <c r="DO232" i="6"/>
  <c r="DY232" i="6"/>
  <c r="AA3678" i="5"/>
  <c r="Y3678" i="5"/>
  <c r="Z3678" i="5"/>
  <c r="BB222" i="6"/>
  <c r="AW222" i="6"/>
  <c r="BH222" i="6"/>
  <c r="BC222" i="6"/>
  <c r="AN219" i="6"/>
  <c r="AO219" i="6"/>
  <c r="AT219" i="6"/>
  <c r="DH230" i="6"/>
  <c r="DS230" i="6"/>
  <c r="DN230" i="6"/>
  <c r="DM230" i="6"/>
  <c r="CD226" i="6"/>
  <c r="BY226" i="6"/>
  <c r="CJ226" i="6"/>
  <c r="CE226" i="6"/>
  <c r="CD225" i="6"/>
  <c r="BY225" i="6"/>
  <c r="CE225" i="6"/>
  <c r="CJ225" i="6"/>
  <c r="BB221" i="6"/>
  <c r="AW221" i="6"/>
  <c r="BH221" i="6"/>
  <c r="BC221" i="6"/>
  <c r="Y2689" i="5"/>
  <c r="Z2689" i="5"/>
  <c r="AA2689" i="5"/>
  <c r="DE228" i="6"/>
  <c r="CT228" i="6"/>
  <c r="CZ228" i="6"/>
  <c r="CY228" i="6"/>
  <c r="AA5658" i="5"/>
  <c r="Y5658" i="5"/>
  <c r="Z5658" i="5"/>
  <c r="AN220" i="6"/>
  <c r="AT220" i="6"/>
  <c r="AO220" i="6"/>
  <c r="AA1698" i="5"/>
  <c r="Y1698" i="5"/>
  <c r="Z1698" i="5"/>
  <c r="AA3679" i="5"/>
  <c r="Z3679" i="5"/>
  <c r="Y3679" i="5"/>
  <c r="BI223" i="6"/>
  <c r="BD223" i="6"/>
  <c r="BJ223" i="6"/>
  <c r="BO223" i="6"/>
  <c r="CS227" i="6"/>
  <c r="CX227" i="6"/>
  <c r="CR227" i="6"/>
  <c r="CM227" i="6"/>
  <c r="Y6153" i="5"/>
  <c r="Z6153" i="5"/>
  <c r="DX232" i="6"/>
  <c r="AA6155" i="5" s="1"/>
  <c r="EF234" i="6"/>
  <c r="EG234" i="6" s="1"/>
  <c r="EH234" i="6" s="1"/>
  <c r="AA234" i="6" s="1"/>
  <c r="DX231" i="6"/>
  <c r="AA6154" i="5" s="1"/>
  <c r="F233" i="6"/>
  <c r="Z233" i="6"/>
  <c r="R233" i="6"/>
  <c r="L233" i="6"/>
  <c r="P233" i="6"/>
  <c r="J233" i="6"/>
  <c r="N233" i="6"/>
  <c r="X233" i="6"/>
  <c r="H233" i="6"/>
  <c r="V233" i="6"/>
  <c r="D233" i="6"/>
  <c r="AI233" i="6"/>
  <c r="AB233" i="6"/>
  <c r="DT233" i="6" s="1"/>
  <c r="T233" i="6"/>
  <c r="AK233" i="6"/>
  <c r="AM233" i="6"/>
  <c r="BB223" i="6" l="1"/>
  <c r="AW223" i="6"/>
  <c r="BH223" i="6"/>
  <c r="BC223" i="6"/>
  <c r="Y215" i="5"/>
  <c r="AA215" i="5"/>
  <c r="Z215" i="5"/>
  <c r="Y4669" i="5"/>
  <c r="Z4669" i="5"/>
  <c r="AA4669" i="5"/>
  <c r="AA3184" i="5"/>
  <c r="Z3184" i="5"/>
  <c r="Y3184" i="5"/>
  <c r="AA214" i="5"/>
  <c r="Z214" i="5"/>
  <c r="Y214" i="5"/>
  <c r="AA1205" i="5"/>
  <c r="Y1205" i="5"/>
  <c r="Z1205" i="5"/>
  <c r="AA5164" i="5"/>
  <c r="Y5164" i="5"/>
  <c r="Z5164" i="5"/>
  <c r="DH231" i="6"/>
  <c r="DS231" i="6"/>
  <c r="DN231" i="6"/>
  <c r="DM231" i="6"/>
  <c r="CK227" i="6"/>
  <c r="CL227" i="6"/>
  <c r="CF227" i="6"/>
  <c r="CQ227" i="6"/>
  <c r="AA1700" i="5"/>
  <c r="Y1700" i="5"/>
  <c r="Z1700" i="5"/>
  <c r="AA1204" i="5"/>
  <c r="Y1204" i="5"/>
  <c r="Z1204" i="5"/>
  <c r="AA3185" i="5"/>
  <c r="Z3185" i="5"/>
  <c r="Y3185" i="5"/>
  <c r="AU222" i="6"/>
  <c r="AP222" i="6"/>
  <c r="BA222" i="6"/>
  <c r="AV222" i="6"/>
  <c r="DE229" i="6"/>
  <c r="CT229" i="6"/>
  <c r="CZ229" i="6"/>
  <c r="CY229" i="6"/>
  <c r="BI224" i="6"/>
  <c r="BD224" i="6"/>
  <c r="BO224" i="6"/>
  <c r="BJ224" i="6"/>
  <c r="DO233" i="6"/>
  <c r="DY233" i="6"/>
  <c r="AU221" i="6"/>
  <c r="AP221" i="6"/>
  <c r="BA221" i="6"/>
  <c r="AV221" i="6"/>
  <c r="CC225" i="6"/>
  <c r="BR225" i="6"/>
  <c r="BX225" i="6"/>
  <c r="BW225" i="6"/>
  <c r="CC226" i="6"/>
  <c r="BR226" i="6"/>
  <c r="BW226" i="6"/>
  <c r="BX226" i="6"/>
  <c r="AA5659" i="5"/>
  <c r="Y5659" i="5"/>
  <c r="Z5659" i="5"/>
  <c r="Y4174" i="5"/>
  <c r="AA4174" i="5"/>
  <c r="Z4174" i="5"/>
  <c r="CS228" i="6"/>
  <c r="CX228" i="6"/>
  <c r="CM228" i="6"/>
  <c r="CR228" i="6"/>
  <c r="DA230" i="6"/>
  <c r="DG230" i="6"/>
  <c r="DL230" i="6"/>
  <c r="DF230" i="6"/>
  <c r="DH232" i="6"/>
  <c r="DS232" i="6"/>
  <c r="DN232" i="6"/>
  <c r="DM232" i="6"/>
  <c r="Y2195" i="5"/>
  <c r="AA2195" i="5"/>
  <c r="Z2195" i="5"/>
  <c r="Y6155" i="5"/>
  <c r="Z6155" i="5"/>
  <c r="Y6154" i="5"/>
  <c r="Z6154" i="5"/>
  <c r="Z234" i="6"/>
  <c r="R234" i="6"/>
  <c r="J234" i="6"/>
  <c r="X234" i="6"/>
  <c r="N234" i="6"/>
  <c r="D234" i="6"/>
  <c r="H234" i="6"/>
  <c r="V234" i="6"/>
  <c r="P234" i="6"/>
  <c r="T234" i="6"/>
  <c r="L234" i="6"/>
  <c r="AM234" i="6"/>
  <c r="F234" i="6"/>
  <c r="AK234" i="6"/>
  <c r="AB234" i="6"/>
  <c r="DT234" i="6" s="1"/>
  <c r="AI234" i="6"/>
  <c r="DX233" i="6"/>
  <c r="AA6156" i="5" s="1"/>
  <c r="EF235" i="6"/>
  <c r="EG235" i="6" s="1"/>
  <c r="EH235" i="6" s="1"/>
  <c r="AA235" i="6" s="1"/>
  <c r="DO234" i="6" l="1"/>
  <c r="DY234" i="6"/>
  <c r="DA232" i="6"/>
  <c r="DF232" i="6"/>
  <c r="DL232" i="6"/>
  <c r="DG232" i="6"/>
  <c r="DE230" i="6"/>
  <c r="CY230" i="6"/>
  <c r="CZ230" i="6"/>
  <c r="CT230" i="6"/>
  <c r="AA710" i="5"/>
  <c r="Y710" i="5"/>
  <c r="Z710" i="5"/>
  <c r="DH233" i="6"/>
  <c r="DM233" i="6"/>
  <c r="DS233" i="6"/>
  <c r="DN233" i="6"/>
  <c r="AA4670" i="5"/>
  <c r="Z4670" i="5"/>
  <c r="Y4670" i="5"/>
  <c r="AA5660" i="5"/>
  <c r="Y5660" i="5"/>
  <c r="Z5660" i="5"/>
  <c r="BV226" i="6"/>
  <c r="BK226" i="6"/>
  <c r="BQ226" i="6"/>
  <c r="BP226" i="6"/>
  <c r="BV225" i="6"/>
  <c r="BK225" i="6"/>
  <c r="BP225" i="6"/>
  <c r="BQ225" i="6"/>
  <c r="AT221" i="6"/>
  <c r="AN221" i="6"/>
  <c r="AO221" i="6"/>
  <c r="DA231" i="6"/>
  <c r="DL231" i="6"/>
  <c r="DG231" i="6"/>
  <c r="DF231" i="6"/>
  <c r="AA1206" i="5"/>
  <c r="Z1206" i="5"/>
  <c r="Y1206" i="5"/>
  <c r="AA5165" i="5"/>
  <c r="Z5165" i="5"/>
  <c r="Y5165" i="5"/>
  <c r="CK228" i="6"/>
  <c r="CF228" i="6"/>
  <c r="CQ228" i="6"/>
  <c r="CL228" i="6"/>
  <c r="AA2691" i="5"/>
  <c r="Y2691" i="5"/>
  <c r="Z2691" i="5"/>
  <c r="AA2690" i="5"/>
  <c r="Y2690" i="5"/>
  <c r="Z2690" i="5"/>
  <c r="AA1701" i="5"/>
  <c r="Y1701" i="5"/>
  <c r="Z1701" i="5"/>
  <c r="AA711" i="5"/>
  <c r="Y711" i="5"/>
  <c r="Z711" i="5"/>
  <c r="AA3680" i="5"/>
  <c r="Y3680" i="5"/>
  <c r="Z3680" i="5"/>
  <c r="AU223" i="6"/>
  <c r="AP223" i="6"/>
  <c r="BA223" i="6"/>
  <c r="AV223" i="6"/>
  <c r="Y5661" i="5"/>
  <c r="AA5661" i="5"/>
  <c r="Z5661" i="5"/>
  <c r="AA4175" i="5"/>
  <c r="Y4175" i="5"/>
  <c r="Z4175" i="5"/>
  <c r="BB224" i="6"/>
  <c r="AW224" i="6"/>
  <c r="BH224" i="6"/>
  <c r="BC224" i="6"/>
  <c r="CS229" i="6"/>
  <c r="CM229" i="6"/>
  <c r="CX229" i="6"/>
  <c r="CR229" i="6"/>
  <c r="AT222" i="6"/>
  <c r="AO222" i="6"/>
  <c r="AN222" i="6"/>
  <c r="CD227" i="6"/>
  <c r="BY227" i="6"/>
  <c r="CJ227" i="6"/>
  <c r="CE227" i="6"/>
  <c r="Y6156" i="5"/>
  <c r="Z6156" i="5"/>
  <c r="EF236" i="6"/>
  <c r="EG236" i="6" s="1"/>
  <c r="EH236" i="6" s="1"/>
  <c r="AA236" i="6" s="1"/>
  <c r="DX234" i="6"/>
  <c r="AA6157" i="5" s="1"/>
  <c r="D235" i="6"/>
  <c r="X235" i="6"/>
  <c r="P235" i="6"/>
  <c r="H235" i="6"/>
  <c r="V235" i="6"/>
  <c r="L235" i="6"/>
  <c r="F235" i="6"/>
  <c r="T235" i="6"/>
  <c r="N235" i="6"/>
  <c r="Z235" i="6"/>
  <c r="AB235" i="6"/>
  <c r="DT235" i="6" s="1"/>
  <c r="R235" i="6"/>
  <c r="J235" i="6"/>
  <c r="AI235" i="6"/>
  <c r="AK235" i="6"/>
  <c r="AM235" i="6"/>
  <c r="AT223" i="6" l="1"/>
  <c r="AO223" i="6"/>
  <c r="AN223" i="6"/>
  <c r="BD225" i="6"/>
  <c r="BJ225" i="6"/>
  <c r="BI225" i="6"/>
  <c r="BO225" i="6"/>
  <c r="DO235" i="6"/>
  <c r="DY235" i="6"/>
  <c r="AA4176" i="5"/>
  <c r="Y4176" i="5"/>
  <c r="Z4176" i="5"/>
  <c r="Y1207" i="5"/>
  <c r="AA1207" i="5"/>
  <c r="Z1207" i="5"/>
  <c r="AA5166" i="5"/>
  <c r="Y5166" i="5"/>
  <c r="Z5166" i="5"/>
  <c r="AA216" i="5"/>
  <c r="Z216" i="5"/>
  <c r="Y216" i="5"/>
  <c r="AA2196" i="5"/>
  <c r="Y2196" i="5"/>
  <c r="Z2196" i="5"/>
  <c r="AA2197" i="5"/>
  <c r="Y2197" i="5"/>
  <c r="Z2197" i="5"/>
  <c r="AA5662" i="5"/>
  <c r="Y5662" i="5"/>
  <c r="Z5662" i="5"/>
  <c r="AU224" i="6"/>
  <c r="AP224" i="6"/>
  <c r="BA224" i="6"/>
  <c r="AV224" i="6"/>
  <c r="AA3681" i="5"/>
  <c r="Y3681" i="5"/>
  <c r="Z3681" i="5"/>
  <c r="DE231" i="6"/>
  <c r="CT231" i="6"/>
  <c r="CY231" i="6"/>
  <c r="CZ231" i="6"/>
  <c r="AA4671" i="5"/>
  <c r="Z4671" i="5"/>
  <c r="Y4671" i="5"/>
  <c r="DE232" i="6"/>
  <c r="CT232" i="6"/>
  <c r="CZ232" i="6"/>
  <c r="CY232" i="6"/>
  <c r="CK229" i="6"/>
  <c r="CF229" i="6"/>
  <c r="CQ229" i="6"/>
  <c r="CL229" i="6"/>
  <c r="CC227" i="6"/>
  <c r="BR227" i="6"/>
  <c r="BX227" i="6"/>
  <c r="BW227" i="6"/>
  <c r="AA217" i="5"/>
  <c r="Z217" i="5"/>
  <c r="Y217" i="5"/>
  <c r="AA712" i="5"/>
  <c r="Y712" i="5"/>
  <c r="Z712" i="5"/>
  <c r="CD228" i="6"/>
  <c r="BY228" i="6"/>
  <c r="CE228" i="6"/>
  <c r="CJ228" i="6"/>
  <c r="DA233" i="6"/>
  <c r="DL233" i="6"/>
  <c r="DG233" i="6"/>
  <c r="DF233" i="6"/>
  <c r="CS230" i="6"/>
  <c r="CR230" i="6"/>
  <c r="CM230" i="6"/>
  <c r="CX230" i="6"/>
  <c r="AA3186" i="5"/>
  <c r="Y3186" i="5"/>
  <c r="Z3186" i="5"/>
  <c r="BD226" i="6"/>
  <c r="BO226" i="6"/>
  <c r="BJ226" i="6"/>
  <c r="BI226" i="6"/>
  <c r="AA5167" i="5"/>
  <c r="Y5167" i="5"/>
  <c r="Z5167" i="5"/>
  <c r="DS234" i="6"/>
  <c r="DH234" i="6"/>
  <c r="DM234" i="6"/>
  <c r="DN234" i="6"/>
  <c r="Y6157" i="5"/>
  <c r="Z6157" i="5"/>
  <c r="EF237" i="6"/>
  <c r="EG237" i="6" s="1"/>
  <c r="EH237" i="6" s="1"/>
  <c r="AA237" i="6" s="1"/>
  <c r="DX235" i="6"/>
  <c r="AA6158" i="5" s="1"/>
  <c r="F236" i="6"/>
  <c r="R236" i="6"/>
  <c r="L236" i="6"/>
  <c r="X236" i="6"/>
  <c r="P236" i="6"/>
  <c r="H236" i="6"/>
  <c r="V236" i="6"/>
  <c r="N236" i="6"/>
  <c r="D236" i="6"/>
  <c r="T236" i="6"/>
  <c r="J236" i="6"/>
  <c r="Z236" i="6"/>
  <c r="AK236" i="6"/>
  <c r="AM236" i="6"/>
  <c r="AI236" i="6"/>
  <c r="AB236" i="6"/>
  <c r="DT236" i="6" s="1"/>
  <c r="DO236" i="6" l="1"/>
  <c r="DY236" i="6"/>
  <c r="AA5168" i="5"/>
  <c r="Z5168" i="5"/>
  <c r="Y5168" i="5"/>
  <c r="CC228" i="6"/>
  <c r="BR228" i="6"/>
  <c r="BW228" i="6"/>
  <c r="BX228" i="6"/>
  <c r="AN224" i="6"/>
  <c r="AT224" i="6"/>
  <c r="AO224" i="6"/>
  <c r="DH235" i="6"/>
  <c r="DS235" i="6"/>
  <c r="DN235" i="6"/>
  <c r="DM235" i="6"/>
  <c r="BB225" i="6"/>
  <c r="AW225" i="6"/>
  <c r="BC225" i="6"/>
  <c r="BH225" i="6"/>
  <c r="AA1703" i="5"/>
  <c r="Z1703" i="5"/>
  <c r="Y1703" i="5"/>
  <c r="DE233" i="6"/>
  <c r="CT233" i="6"/>
  <c r="CZ233" i="6"/>
  <c r="CY233" i="6"/>
  <c r="AA3682" i="5"/>
  <c r="Y3682" i="5"/>
  <c r="Z3682" i="5"/>
  <c r="CS231" i="6"/>
  <c r="CM231" i="6"/>
  <c r="CR231" i="6"/>
  <c r="CX231" i="6"/>
  <c r="AA1702" i="5"/>
  <c r="Z1702" i="5"/>
  <c r="Y1702" i="5"/>
  <c r="DA234" i="6"/>
  <c r="DF234" i="6"/>
  <c r="DG234" i="6"/>
  <c r="DL234" i="6"/>
  <c r="AW226" i="6"/>
  <c r="BC226" i="6"/>
  <c r="BB226" i="6"/>
  <c r="BH226" i="6"/>
  <c r="AA4177" i="5"/>
  <c r="Y4177" i="5"/>
  <c r="Z4177" i="5"/>
  <c r="Y3187" i="5"/>
  <c r="AA3187" i="5"/>
  <c r="Z3187" i="5"/>
  <c r="BV227" i="6"/>
  <c r="BK227" i="6"/>
  <c r="BQ227" i="6"/>
  <c r="BP227" i="6"/>
  <c r="CD229" i="6"/>
  <c r="CE229" i="6"/>
  <c r="CJ229" i="6"/>
  <c r="BY229" i="6"/>
  <c r="CR232" i="6"/>
  <c r="CM232" i="6"/>
  <c r="CX232" i="6"/>
  <c r="CS232" i="6"/>
  <c r="AA4672" i="5"/>
  <c r="Y4672" i="5"/>
  <c r="Z4672" i="5"/>
  <c r="AA5663" i="5"/>
  <c r="Y5663" i="5"/>
  <c r="Z5663" i="5"/>
  <c r="CK230" i="6"/>
  <c r="CF230" i="6"/>
  <c r="CL230" i="6"/>
  <c r="CQ230" i="6"/>
  <c r="AA2692" i="5"/>
  <c r="Y2692" i="5"/>
  <c r="Z2692" i="5"/>
  <c r="Y4673" i="5"/>
  <c r="Z4673" i="5"/>
  <c r="AA4673" i="5"/>
  <c r="Y713" i="5"/>
  <c r="AA713" i="5"/>
  <c r="Z713" i="5"/>
  <c r="AA218" i="5"/>
  <c r="Y218" i="5"/>
  <c r="Z218" i="5"/>
  <c r="Y6158" i="5"/>
  <c r="Z6158" i="5"/>
  <c r="J237" i="6"/>
  <c r="F237" i="6"/>
  <c r="X237" i="6"/>
  <c r="Z237" i="6"/>
  <c r="V237" i="6"/>
  <c r="R237" i="6"/>
  <c r="H237" i="6"/>
  <c r="P237" i="6"/>
  <c r="D237" i="6"/>
  <c r="N237" i="6"/>
  <c r="AI237" i="6"/>
  <c r="AM237" i="6"/>
  <c r="T237" i="6"/>
  <c r="L237" i="6"/>
  <c r="AK237" i="6"/>
  <c r="AB237" i="6"/>
  <c r="DT237" i="6" s="1"/>
  <c r="DX236" i="6"/>
  <c r="AA6159" i="5" s="1"/>
  <c r="EF238" i="6"/>
  <c r="EG238" i="6" s="1"/>
  <c r="EH238" i="6" s="1"/>
  <c r="AA238" i="6" s="1"/>
  <c r="AA3683" i="5" l="1"/>
  <c r="Y3683" i="5"/>
  <c r="Z3683" i="5"/>
  <c r="CK232" i="6"/>
  <c r="CF232" i="6"/>
  <c r="CL232" i="6"/>
  <c r="CQ232" i="6"/>
  <c r="CM233" i="6"/>
  <c r="CR233" i="6"/>
  <c r="CS233" i="6"/>
  <c r="CX233" i="6"/>
  <c r="AA2198" i="5"/>
  <c r="Y2198" i="5"/>
  <c r="Z2198" i="5"/>
  <c r="CK231" i="6"/>
  <c r="CF231" i="6"/>
  <c r="CL231" i="6"/>
  <c r="CQ231" i="6"/>
  <c r="AA4674" i="5"/>
  <c r="Y4674" i="5"/>
  <c r="Z4674" i="5"/>
  <c r="AA1208" i="5"/>
  <c r="Y1208" i="5"/>
  <c r="Z1208" i="5"/>
  <c r="DO237" i="6"/>
  <c r="DY237" i="6"/>
  <c r="CC229" i="6"/>
  <c r="BR229" i="6"/>
  <c r="BX229" i="6"/>
  <c r="BW229" i="6"/>
  <c r="AA219" i="5"/>
  <c r="Z219" i="5"/>
  <c r="Y219" i="5"/>
  <c r="BV228" i="6"/>
  <c r="BK228" i="6"/>
  <c r="BQ228" i="6"/>
  <c r="BP228" i="6"/>
  <c r="CD230" i="6"/>
  <c r="BY230" i="6"/>
  <c r="CJ230" i="6"/>
  <c r="CE230" i="6"/>
  <c r="Z4179" i="5"/>
  <c r="Y4179" i="5"/>
  <c r="AA4179" i="5"/>
  <c r="AA3188" i="5"/>
  <c r="Y3188" i="5"/>
  <c r="Z3188" i="5"/>
  <c r="AU226" i="6"/>
  <c r="AP226" i="6"/>
  <c r="BA226" i="6"/>
  <c r="AV226" i="6"/>
  <c r="DE234" i="6"/>
  <c r="CT234" i="6"/>
  <c r="CY234" i="6"/>
  <c r="CZ234" i="6"/>
  <c r="AA4178" i="5"/>
  <c r="Y4178" i="5"/>
  <c r="Z4178" i="5"/>
  <c r="AU225" i="6"/>
  <c r="AP225" i="6"/>
  <c r="BA225" i="6"/>
  <c r="AV225" i="6"/>
  <c r="AA5664" i="5"/>
  <c r="Y5664" i="5"/>
  <c r="Z5664" i="5"/>
  <c r="Y2693" i="5"/>
  <c r="Z2693" i="5"/>
  <c r="AA2693" i="5"/>
  <c r="BD227" i="6"/>
  <c r="BJ227" i="6"/>
  <c r="BO227" i="6"/>
  <c r="BI227" i="6"/>
  <c r="AA1209" i="5"/>
  <c r="Z1209" i="5"/>
  <c r="Y1209" i="5"/>
  <c r="AA5169" i="5"/>
  <c r="Y5169" i="5"/>
  <c r="Z5169" i="5"/>
  <c r="DA235" i="6"/>
  <c r="DL235" i="6"/>
  <c r="DG235" i="6"/>
  <c r="DF235" i="6"/>
  <c r="DH236" i="6"/>
  <c r="DS236" i="6"/>
  <c r="DN236" i="6"/>
  <c r="DM236" i="6"/>
  <c r="Y6159" i="5"/>
  <c r="Z6159" i="5"/>
  <c r="DX237" i="6"/>
  <c r="AA6160" i="5" s="1"/>
  <c r="EF239" i="6"/>
  <c r="T238" i="6"/>
  <c r="L238" i="6"/>
  <c r="R238" i="6"/>
  <c r="J238" i="6"/>
  <c r="H238" i="6"/>
  <c r="X238" i="6"/>
  <c r="N238" i="6"/>
  <c r="D238" i="6"/>
  <c r="V238" i="6"/>
  <c r="P238" i="6"/>
  <c r="Z238" i="6"/>
  <c r="AM238" i="6"/>
  <c r="F238" i="6"/>
  <c r="AI238" i="6"/>
  <c r="AK238" i="6"/>
  <c r="AB238" i="6"/>
  <c r="DT238" i="6" s="1"/>
  <c r="CR234" i="6" l="1"/>
  <c r="CM234" i="6"/>
  <c r="CX234" i="6"/>
  <c r="CS234" i="6"/>
  <c r="Y5665" i="5"/>
  <c r="Z5665" i="5"/>
  <c r="AA5665" i="5"/>
  <c r="AA5170" i="5"/>
  <c r="Y5170" i="5"/>
  <c r="Z5170" i="5"/>
  <c r="AT225" i="6"/>
  <c r="AN225" i="6"/>
  <c r="AO225" i="6"/>
  <c r="AA4675" i="5"/>
  <c r="Y4675" i="5"/>
  <c r="Z4675" i="5"/>
  <c r="AA3189" i="5"/>
  <c r="Y3189" i="5"/>
  <c r="Z3189" i="5"/>
  <c r="BV229" i="6"/>
  <c r="BK229" i="6"/>
  <c r="BQ229" i="6"/>
  <c r="BP229" i="6"/>
  <c r="CD231" i="6"/>
  <c r="BY231" i="6"/>
  <c r="CJ231" i="6"/>
  <c r="CE231" i="6"/>
  <c r="CK233" i="6"/>
  <c r="CF233" i="6"/>
  <c r="CQ233" i="6"/>
  <c r="CL233" i="6"/>
  <c r="AA714" i="5"/>
  <c r="Y714" i="5"/>
  <c r="Z714" i="5"/>
  <c r="DE235" i="6"/>
  <c r="CT235" i="6"/>
  <c r="CY235" i="6"/>
  <c r="CZ235" i="6"/>
  <c r="AA1704" i="5"/>
  <c r="Y1704" i="5"/>
  <c r="Z1704" i="5"/>
  <c r="CC230" i="6"/>
  <c r="BW230" i="6"/>
  <c r="BR230" i="6"/>
  <c r="BX230" i="6"/>
  <c r="AA2694" i="5"/>
  <c r="Y2694" i="5"/>
  <c r="Z2694" i="5"/>
  <c r="AA4180" i="5"/>
  <c r="Y4180" i="5"/>
  <c r="Z4180" i="5"/>
  <c r="AA3685" i="5"/>
  <c r="Y3685" i="5"/>
  <c r="Z3685" i="5"/>
  <c r="AW227" i="6"/>
  <c r="BB227" i="6"/>
  <c r="BC227" i="6"/>
  <c r="BH227" i="6"/>
  <c r="DF236" i="6"/>
  <c r="DA236" i="6"/>
  <c r="DG236" i="6"/>
  <c r="DL236" i="6"/>
  <c r="BD228" i="6"/>
  <c r="BI228" i="6"/>
  <c r="BO228" i="6"/>
  <c r="BJ228" i="6"/>
  <c r="DO238" i="6"/>
  <c r="DY238" i="6"/>
  <c r="AA715" i="5"/>
  <c r="Z715" i="5"/>
  <c r="Y715" i="5"/>
  <c r="AA2199" i="5"/>
  <c r="Y2199" i="5"/>
  <c r="Z2199" i="5"/>
  <c r="AA3684" i="5"/>
  <c r="Y3684" i="5"/>
  <c r="Z3684" i="5"/>
  <c r="AO226" i="6"/>
  <c r="AN226" i="6"/>
  <c r="AT226" i="6"/>
  <c r="DH237" i="6"/>
  <c r="DS237" i="6"/>
  <c r="DM237" i="6"/>
  <c r="DN237" i="6"/>
  <c r="CD232" i="6"/>
  <c r="BY232" i="6"/>
  <c r="CE232" i="6"/>
  <c r="CJ232" i="6"/>
  <c r="Y6160" i="5"/>
  <c r="Z6160" i="5"/>
  <c r="EF240" i="6"/>
  <c r="EG239" i="6"/>
  <c r="EH239" i="6" s="1"/>
  <c r="AA239" i="6" s="1"/>
  <c r="DX238" i="6"/>
  <c r="AA6161" i="5" s="1"/>
  <c r="AA1705" i="5" l="1"/>
  <c r="Y1705" i="5"/>
  <c r="Z1705" i="5"/>
  <c r="Y3191" i="5"/>
  <c r="Z3191" i="5"/>
  <c r="AA3191" i="5"/>
  <c r="AA221" i="5"/>
  <c r="Y221" i="5"/>
  <c r="Z221" i="5"/>
  <c r="DE236" i="6"/>
  <c r="CT236" i="6"/>
  <c r="CZ236" i="6"/>
  <c r="CY236" i="6"/>
  <c r="BV230" i="6"/>
  <c r="BK230" i="6"/>
  <c r="BQ230" i="6"/>
  <c r="BP230" i="6"/>
  <c r="CM235" i="6"/>
  <c r="CR235" i="6"/>
  <c r="CS235" i="6"/>
  <c r="CX235" i="6"/>
  <c r="AA2200" i="5"/>
  <c r="Z2200" i="5"/>
  <c r="Y2200" i="5"/>
  <c r="DG237" i="6"/>
  <c r="DA237" i="6"/>
  <c r="DL237" i="6"/>
  <c r="DF237" i="6"/>
  <c r="DH238" i="6"/>
  <c r="DS238" i="6"/>
  <c r="DN238" i="6"/>
  <c r="DM238" i="6"/>
  <c r="AP227" i="6"/>
  <c r="AU227" i="6"/>
  <c r="BA227" i="6"/>
  <c r="AV227" i="6"/>
  <c r="AA4676" i="5"/>
  <c r="Y4676" i="5"/>
  <c r="Z4676" i="5"/>
  <c r="AA220" i="5"/>
  <c r="Z220" i="5"/>
  <c r="Y220" i="5"/>
  <c r="AA4181" i="5"/>
  <c r="Y4181" i="5"/>
  <c r="Z4181" i="5"/>
  <c r="BB228" i="6"/>
  <c r="AW228" i="6"/>
  <c r="BC228" i="6"/>
  <c r="BH228" i="6"/>
  <c r="CC232" i="6"/>
  <c r="BR232" i="6"/>
  <c r="BW232" i="6"/>
  <c r="BX232" i="6"/>
  <c r="AA5666" i="5"/>
  <c r="Y5666" i="5"/>
  <c r="Z5666" i="5"/>
  <c r="AA5171" i="5"/>
  <c r="Y5171" i="5"/>
  <c r="Z5171" i="5"/>
  <c r="AA1210" i="5"/>
  <c r="Z1210" i="5"/>
  <c r="Y1210" i="5"/>
  <c r="AA2695" i="5"/>
  <c r="Y2695" i="5"/>
  <c r="Z2695" i="5"/>
  <c r="AA3686" i="5"/>
  <c r="Y3686" i="5"/>
  <c r="Z3686" i="5"/>
  <c r="AA3190" i="5"/>
  <c r="Z3190" i="5"/>
  <c r="Y3190" i="5"/>
  <c r="CK234" i="6"/>
  <c r="CF234" i="6"/>
  <c r="CL234" i="6"/>
  <c r="CQ234" i="6"/>
  <c r="CD233" i="6"/>
  <c r="BY233" i="6"/>
  <c r="CE233" i="6"/>
  <c r="CJ233" i="6"/>
  <c r="CC231" i="6"/>
  <c r="BR231" i="6"/>
  <c r="BX231" i="6"/>
  <c r="BW231" i="6"/>
  <c r="BD229" i="6"/>
  <c r="BI229" i="6"/>
  <c r="BO229" i="6"/>
  <c r="BJ229" i="6"/>
  <c r="Y6161" i="5"/>
  <c r="Z6161" i="5"/>
  <c r="R239" i="6"/>
  <c r="J239" i="6"/>
  <c r="D239" i="6"/>
  <c r="F239" i="6"/>
  <c r="X239" i="6"/>
  <c r="P239" i="6"/>
  <c r="H239" i="6"/>
  <c r="Z239" i="6"/>
  <c r="V239" i="6"/>
  <c r="N239" i="6"/>
  <c r="T239" i="6"/>
  <c r="L239" i="6"/>
  <c r="AI239" i="6"/>
  <c r="AK239" i="6"/>
  <c r="AM239" i="6"/>
  <c r="AB239" i="6"/>
  <c r="DT239" i="6" s="1"/>
  <c r="EF241" i="6"/>
  <c r="EG240" i="6"/>
  <c r="EH240" i="6" s="1"/>
  <c r="AA240" i="6" s="1"/>
  <c r="BV231" i="6" l="1"/>
  <c r="BK231" i="6"/>
  <c r="BQ231" i="6"/>
  <c r="BP231" i="6"/>
  <c r="CD234" i="6"/>
  <c r="BY234" i="6"/>
  <c r="CJ234" i="6"/>
  <c r="CE234" i="6"/>
  <c r="Y1211" i="5"/>
  <c r="AA1211" i="5"/>
  <c r="Z1211" i="5"/>
  <c r="AW229" i="6"/>
  <c r="BC229" i="6"/>
  <c r="BB229" i="6"/>
  <c r="BH229" i="6"/>
  <c r="AA2696" i="5"/>
  <c r="Z2696" i="5"/>
  <c r="Y2696" i="5"/>
  <c r="AA3192" i="5"/>
  <c r="Y3192" i="5"/>
  <c r="Z3192" i="5"/>
  <c r="AP228" i="6"/>
  <c r="AU228" i="6"/>
  <c r="BA228" i="6"/>
  <c r="AV228" i="6"/>
  <c r="AA716" i="5"/>
  <c r="Y716" i="5"/>
  <c r="Z716" i="5"/>
  <c r="AA5172" i="5"/>
  <c r="Y5172" i="5"/>
  <c r="Z5172" i="5"/>
  <c r="BD230" i="6"/>
  <c r="BO230" i="6"/>
  <c r="BJ230" i="6"/>
  <c r="BI230" i="6"/>
  <c r="CM236" i="6"/>
  <c r="CR236" i="6"/>
  <c r="CX236" i="6"/>
  <c r="CS236" i="6"/>
  <c r="AA3687" i="5"/>
  <c r="Y3687" i="5"/>
  <c r="Z3687" i="5"/>
  <c r="BV232" i="6"/>
  <c r="BK232" i="6"/>
  <c r="BQ232" i="6"/>
  <c r="BP232" i="6"/>
  <c r="AA1706" i="5"/>
  <c r="Y1706" i="5"/>
  <c r="Z1706" i="5"/>
  <c r="Y2697" i="5"/>
  <c r="AA2697" i="5"/>
  <c r="Z2697" i="5"/>
  <c r="AA5667" i="5"/>
  <c r="Z5667" i="5"/>
  <c r="Y5667" i="5"/>
  <c r="DE237" i="6"/>
  <c r="CT237" i="6"/>
  <c r="CY237" i="6"/>
  <c r="CZ237" i="6"/>
  <c r="CK235" i="6"/>
  <c r="CL235" i="6"/>
  <c r="CF235" i="6"/>
  <c r="CQ235" i="6"/>
  <c r="Y2201" i="5"/>
  <c r="AA2201" i="5"/>
  <c r="Z2201" i="5"/>
  <c r="Y4677" i="5"/>
  <c r="Z4677" i="5"/>
  <c r="AA4677" i="5"/>
  <c r="DO239" i="6"/>
  <c r="DY239" i="6"/>
  <c r="CC233" i="6"/>
  <c r="BR233" i="6"/>
  <c r="BX233" i="6"/>
  <c r="BW233" i="6"/>
  <c r="AT227" i="6"/>
  <c r="AO227" i="6"/>
  <c r="AN227" i="6"/>
  <c r="DA238" i="6"/>
  <c r="DF238" i="6"/>
  <c r="DL238" i="6"/>
  <c r="DG238" i="6"/>
  <c r="AA4182" i="5"/>
  <c r="Y4182" i="5"/>
  <c r="Z4182" i="5"/>
  <c r="F240" i="6"/>
  <c r="X240" i="6"/>
  <c r="N240" i="6"/>
  <c r="D240" i="6"/>
  <c r="V240" i="6"/>
  <c r="J240" i="6"/>
  <c r="T240" i="6"/>
  <c r="R240" i="6"/>
  <c r="AB240" i="6"/>
  <c r="DT240" i="6" s="1"/>
  <c r="P240" i="6"/>
  <c r="H240" i="6"/>
  <c r="AK240" i="6"/>
  <c r="L240" i="6"/>
  <c r="AM240" i="6"/>
  <c r="Z240" i="6"/>
  <c r="AI240" i="6"/>
  <c r="DX239" i="6"/>
  <c r="AA6162" i="5" s="1"/>
  <c r="EF242" i="6"/>
  <c r="EG242" i="6" s="1"/>
  <c r="EH242" i="6" s="1"/>
  <c r="AA242" i="6" s="1"/>
  <c r="EG241" i="6"/>
  <c r="EH241" i="6" s="1"/>
  <c r="AA241" i="6" s="1"/>
  <c r="AA5173" i="5" l="1"/>
  <c r="Y5173" i="5"/>
  <c r="Z5173" i="5"/>
  <c r="AA222" i="5"/>
  <c r="Y222" i="5"/>
  <c r="Z222" i="5"/>
  <c r="AA2698" i="5"/>
  <c r="Y2698" i="5"/>
  <c r="Z2698" i="5"/>
  <c r="AA4678" i="5"/>
  <c r="Z4678" i="5"/>
  <c r="Y4678" i="5"/>
  <c r="BD232" i="6"/>
  <c r="BJ232" i="6"/>
  <c r="BI232" i="6"/>
  <c r="BO232" i="6"/>
  <c r="CK236" i="6"/>
  <c r="CF236" i="6"/>
  <c r="CQ236" i="6"/>
  <c r="CL236" i="6"/>
  <c r="BB230" i="6"/>
  <c r="AW230" i="6"/>
  <c r="BC230" i="6"/>
  <c r="BH230" i="6"/>
  <c r="Y717" i="5"/>
  <c r="AA717" i="5"/>
  <c r="Z717" i="5"/>
  <c r="AP229" i="6"/>
  <c r="AU229" i="6"/>
  <c r="BA229" i="6"/>
  <c r="AV229" i="6"/>
  <c r="DE238" i="6"/>
  <c r="CT238" i="6"/>
  <c r="CY238" i="6"/>
  <c r="CZ238" i="6"/>
  <c r="AA3688" i="5"/>
  <c r="Z3688" i="5"/>
  <c r="Y3688" i="5"/>
  <c r="Y2203" i="5"/>
  <c r="AA2203" i="5"/>
  <c r="Z2203" i="5"/>
  <c r="AA1212" i="5"/>
  <c r="Y1212" i="5"/>
  <c r="Z1212" i="5"/>
  <c r="AA3193" i="5"/>
  <c r="Y3193" i="5"/>
  <c r="Z3193" i="5"/>
  <c r="DH239" i="6"/>
  <c r="DN239" i="6"/>
  <c r="DS239" i="6"/>
  <c r="DM239" i="6"/>
  <c r="CD235" i="6"/>
  <c r="BY235" i="6"/>
  <c r="CJ235" i="6"/>
  <c r="CE235" i="6"/>
  <c r="AA4183" i="5"/>
  <c r="Y4183" i="5"/>
  <c r="Z4183" i="5"/>
  <c r="AN228" i="6"/>
  <c r="AO228" i="6"/>
  <c r="AT228" i="6"/>
  <c r="CC234" i="6"/>
  <c r="BR234" i="6"/>
  <c r="BW234" i="6"/>
  <c r="BX234" i="6"/>
  <c r="BD231" i="6"/>
  <c r="BO231" i="6"/>
  <c r="BI231" i="6"/>
  <c r="BJ231" i="6"/>
  <c r="DO240" i="6"/>
  <c r="DY240" i="6"/>
  <c r="BV233" i="6"/>
  <c r="BK233" i="6"/>
  <c r="BP233" i="6"/>
  <c r="BQ233" i="6"/>
  <c r="CR237" i="6"/>
  <c r="CS237" i="6"/>
  <c r="CM237" i="6"/>
  <c r="CX237" i="6"/>
  <c r="AA1707" i="5"/>
  <c r="Y1707" i="5"/>
  <c r="Z1707" i="5"/>
  <c r="AA2202" i="5"/>
  <c r="Z2202" i="5"/>
  <c r="Y2202" i="5"/>
  <c r="Y6162" i="5"/>
  <c r="Z6162" i="5"/>
  <c r="P242" i="6"/>
  <c r="R242" i="6"/>
  <c r="D242" i="6"/>
  <c r="H242" i="6"/>
  <c r="X242" i="6"/>
  <c r="N242" i="6"/>
  <c r="Z242" i="6"/>
  <c r="V242" i="6"/>
  <c r="L242" i="6"/>
  <c r="T242" i="6"/>
  <c r="J242" i="6"/>
  <c r="F242" i="6"/>
  <c r="AM242" i="6"/>
  <c r="AK242" i="6"/>
  <c r="AI242" i="6"/>
  <c r="AB242" i="6"/>
  <c r="DT242" i="6" s="1"/>
  <c r="F241" i="6"/>
  <c r="Z241" i="6"/>
  <c r="T241" i="6"/>
  <c r="L241" i="6"/>
  <c r="R241" i="6"/>
  <c r="H241" i="6"/>
  <c r="AM241" i="6"/>
  <c r="X241" i="6"/>
  <c r="P241" i="6"/>
  <c r="D241" i="6"/>
  <c r="AI241" i="6"/>
  <c r="V241" i="6"/>
  <c r="N241" i="6"/>
  <c r="J241" i="6"/>
  <c r="AK241" i="6"/>
  <c r="AB241" i="6"/>
  <c r="DT241" i="6" s="1"/>
  <c r="EF243" i="6"/>
  <c r="DX240" i="6"/>
  <c r="AA6163" i="5" s="1"/>
  <c r="CC235" i="6" l="1"/>
  <c r="BR235" i="6"/>
  <c r="BX235" i="6"/>
  <c r="BW235" i="6"/>
  <c r="AA2204" i="5"/>
  <c r="Z2204" i="5"/>
  <c r="Y2204" i="5"/>
  <c r="DA239" i="6"/>
  <c r="DG239" i="6"/>
  <c r="DF239" i="6"/>
  <c r="DL239" i="6"/>
  <c r="AA4679" i="5"/>
  <c r="Z4679" i="5"/>
  <c r="Y4679" i="5"/>
  <c r="AN229" i="6"/>
  <c r="AO229" i="6"/>
  <c r="AT229" i="6"/>
  <c r="AA1213" i="5"/>
  <c r="Y1213" i="5"/>
  <c r="Z1213" i="5"/>
  <c r="AA1709" i="5"/>
  <c r="Z1709" i="5"/>
  <c r="Y1709" i="5"/>
  <c r="DO241" i="6"/>
  <c r="DY241" i="6"/>
  <c r="DY242" i="6"/>
  <c r="DO242" i="6"/>
  <c r="AA4184" i="5"/>
  <c r="Y4184" i="5"/>
  <c r="Z4184" i="5"/>
  <c r="AA1708" i="5"/>
  <c r="Y1708" i="5"/>
  <c r="Z1708" i="5"/>
  <c r="BV234" i="6"/>
  <c r="BK234" i="6"/>
  <c r="BP234" i="6"/>
  <c r="BQ234" i="6"/>
  <c r="AA3689" i="5"/>
  <c r="Y3689" i="5"/>
  <c r="Z3689" i="5"/>
  <c r="CK237" i="6"/>
  <c r="CF237" i="6"/>
  <c r="CQ237" i="6"/>
  <c r="CL237" i="6"/>
  <c r="DH240" i="6"/>
  <c r="DS240" i="6"/>
  <c r="DN240" i="6"/>
  <c r="DM240" i="6"/>
  <c r="AW231" i="6"/>
  <c r="BC231" i="6"/>
  <c r="BB231" i="6"/>
  <c r="BH231" i="6"/>
  <c r="AA2699" i="5"/>
  <c r="Y2699" i="5"/>
  <c r="Z2699" i="5"/>
  <c r="AA3194" i="5"/>
  <c r="Y3194" i="5"/>
  <c r="Z3194" i="5"/>
  <c r="AA5668" i="5"/>
  <c r="Z5668" i="5"/>
  <c r="Y5668" i="5"/>
  <c r="Y718" i="5"/>
  <c r="AA718" i="5"/>
  <c r="Z718" i="5"/>
  <c r="AP230" i="6"/>
  <c r="AU230" i="6"/>
  <c r="BA230" i="6"/>
  <c r="AV230" i="6"/>
  <c r="CD236" i="6"/>
  <c r="CJ236" i="6"/>
  <c r="CE236" i="6"/>
  <c r="BY236" i="6"/>
  <c r="BD233" i="6"/>
  <c r="BO233" i="6"/>
  <c r="BJ233" i="6"/>
  <c r="BI233" i="6"/>
  <c r="AA223" i="5"/>
  <c r="Z223" i="5"/>
  <c r="Y223" i="5"/>
  <c r="CM238" i="6"/>
  <c r="CR238" i="6"/>
  <c r="CX238" i="6"/>
  <c r="CS238" i="6"/>
  <c r="BB232" i="6"/>
  <c r="AW232" i="6"/>
  <c r="BC232" i="6"/>
  <c r="BH232" i="6"/>
  <c r="Y6163" i="5"/>
  <c r="Z6163" i="5"/>
  <c r="EF244" i="6"/>
  <c r="DX241" i="6"/>
  <c r="AA6164" i="5" s="1"/>
  <c r="DX242" i="6"/>
  <c r="AA6165" i="5" s="1"/>
  <c r="EG243" i="6"/>
  <c r="EH243" i="6" s="1"/>
  <c r="AA243" i="6" s="1"/>
  <c r="AP232" i="6" l="1"/>
  <c r="AU232" i="6"/>
  <c r="BA232" i="6"/>
  <c r="AV232" i="6"/>
  <c r="AO230" i="6"/>
  <c r="AN230" i="6"/>
  <c r="AT230" i="6"/>
  <c r="CK238" i="6"/>
  <c r="CF238" i="6"/>
  <c r="CL238" i="6"/>
  <c r="CQ238" i="6"/>
  <c r="CC236" i="6"/>
  <c r="BR236" i="6"/>
  <c r="BX236" i="6"/>
  <c r="BW236" i="6"/>
  <c r="AA1214" i="5"/>
  <c r="Y1214" i="5"/>
  <c r="Z1214" i="5"/>
  <c r="DH241" i="6"/>
  <c r="DS241" i="6"/>
  <c r="DM241" i="6"/>
  <c r="DN241" i="6"/>
  <c r="DE239" i="6"/>
  <c r="CT239" i="6"/>
  <c r="CY239" i="6"/>
  <c r="CZ239" i="6"/>
  <c r="DS242" i="6"/>
  <c r="DH242" i="6"/>
  <c r="DM242" i="6"/>
  <c r="DN242" i="6"/>
  <c r="AA5174" i="5"/>
  <c r="Y5174" i="5"/>
  <c r="Z5174" i="5"/>
  <c r="AW233" i="6"/>
  <c r="BC233" i="6"/>
  <c r="BB233" i="6"/>
  <c r="BH233" i="6"/>
  <c r="Y1215" i="5"/>
  <c r="AA1215" i="5"/>
  <c r="Z1215" i="5"/>
  <c r="AA719" i="5"/>
  <c r="Z719" i="5"/>
  <c r="Y719" i="5"/>
  <c r="AA3690" i="5"/>
  <c r="Y3690" i="5"/>
  <c r="Z3690" i="5"/>
  <c r="BD234" i="6"/>
  <c r="BJ234" i="6"/>
  <c r="BI234" i="6"/>
  <c r="BO234" i="6"/>
  <c r="Y4185" i="5"/>
  <c r="Z4185" i="5"/>
  <c r="AA4185" i="5"/>
  <c r="AA1710" i="5"/>
  <c r="Y1710" i="5"/>
  <c r="Z1710" i="5"/>
  <c r="Y3195" i="5"/>
  <c r="AA3195" i="5"/>
  <c r="Z3195" i="5"/>
  <c r="Y5669" i="5"/>
  <c r="AA5669" i="5"/>
  <c r="Z5669" i="5"/>
  <c r="CD237" i="6"/>
  <c r="BY237" i="6"/>
  <c r="CJ237" i="6"/>
  <c r="CE237" i="6"/>
  <c r="Y2205" i="5"/>
  <c r="AA2205" i="5"/>
  <c r="Z2205" i="5"/>
  <c r="BV235" i="6"/>
  <c r="BK235" i="6"/>
  <c r="BQ235" i="6"/>
  <c r="BP235" i="6"/>
  <c r="AU231" i="6"/>
  <c r="BA231" i="6"/>
  <c r="AV231" i="6"/>
  <c r="AP231" i="6"/>
  <c r="DF240" i="6"/>
  <c r="DA240" i="6"/>
  <c r="DL240" i="6"/>
  <c r="DG240" i="6"/>
  <c r="AA224" i="5"/>
  <c r="Y224" i="5"/>
  <c r="Z224" i="5"/>
  <c r="AA2700" i="5"/>
  <c r="Y2700" i="5"/>
  <c r="Z2700" i="5"/>
  <c r="Y6164" i="5"/>
  <c r="Z6164" i="5"/>
  <c r="Y6165" i="5"/>
  <c r="Z6165" i="5"/>
  <c r="EF245" i="6"/>
  <c r="EG244" i="6"/>
  <c r="EH244" i="6" s="1"/>
  <c r="AA244" i="6" s="1"/>
  <c r="V243" i="6"/>
  <c r="L243" i="6"/>
  <c r="Z243" i="6"/>
  <c r="T243" i="6"/>
  <c r="J243" i="6"/>
  <c r="AB243" i="6"/>
  <c r="DT243" i="6" s="1"/>
  <c r="R243" i="6"/>
  <c r="N243" i="6"/>
  <c r="X243" i="6"/>
  <c r="P243" i="6"/>
  <c r="H243" i="6"/>
  <c r="F243" i="6"/>
  <c r="D243" i="6"/>
  <c r="AI243" i="6"/>
  <c r="AK243" i="6"/>
  <c r="AM243" i="6"/>
  <c r="AA5175" i="5" l="1"/>
  <c r="Y5175" i="5"/>
  <c r="Z5175" i="5"/>
  <c r="CM239" i="6"/>
  <c r="CR239" i="6"/>
  <c r="CS239" i="6"/>
  <c r="CX239" i="6"/>
  <c r="AA5670" i="5"/>
  <c r="Y5670" i="5"/>
  <c r="Z5670" i="5"/>
  <c r="Y2701" i="5"/>
  <c r="AA2701" i="5"/>
  <c r="Z2701" i="5"/>
  <c r="DE240" i="6"/>
  <c r="CT240" i="6"/>
  <c r="CZ240" i="6"/>
  <c r="CY240" i="6"/>
  <c r="AA720" i="5"/>
  <c r="Y720" i="5"/>
  <c r="Z720" i="5"/>
  <c r="BD235" i="6"/>
  <c r="BJ235" i="6"/>
  <c r="BO235" i="6"/>
  <c r="BI235" i="6"/>
  <c r="BB234" i="6"/>
  <c r="AW234" i="6"/>
  <c r="BC234" i="6"/>
  <c r="BH234" i="6"/>
  <c r="AA5671" i="5"/>
  <c r="Y5671" i="5"/>
  <c r="Z5671" i="5"/>
  <c r="AA4680" i="5"/>
  <c r="Y4680" i="5"/>
  <c r="Z4680" i="5"/>
  <c r="DA241" i="6"/>
  <c r="DL241" i="6"/>
  <c r="DG241" i="6"/>
  <c r="DF241" i="6"/>
  <c r="AA3691" i="5"/>
  <c r="Y3691" i="5"/>
  <c r="Z3691" i="5"/>
  <c r="AA225" i="5"/>
  <c r="Z225" i="5"/>
  <c r="Y225" i="5"/>
  <c r="Y721" i="5"/>
  <c r="AA721" i="5"/>
  <c r="Z721" i="5"/>
  <c r="DA242" i="6"/>
  <c r="DF242" i="6"/>
  <c r="DG242" i="6"/>
  <c r="DL242" i="6"/>
  <c r="DO243" i="6"/>
  <c r="DY243" i="6"/>
  <c r="AA2206" i="5"/>
  <c r="Y2206" i="5"/>
  <c r="Z2206" i="5"/>
  <c r="AA1711" i="5"/>
  <c r="Z1711" i="5"/>
  <c r="Y1711" i="5"/>
  <c r="AU233" i="6"/>
  <c r="BA233" i="6"/>
  <c r="AP233" i="6"/>
  <c r="AV233" i="6"/>
  <c r="CC237" i="6"/>
  <c r="BR237" i="6"/>
  <c r="BX237" i="6"/>
  <c r="BW237" i="6"/>
  <c r="AT231" i="6"/>
  <c r="AN231" i="6"/>
  <c r="AO231" i="6"/>
  <c r="AA3196" i="5"/>
  <c r="Y3196" i="5"/>
  <c r="Z3196" i="5"/>
  <c r="AA1216" i="5"/>
  <c r="Z1216" i="5"/>
  <c r="Y1216" i="5"/>
  <c r="BV236" i="6"/>
  <c r="BK236" i="6"/>
  <c r="BQ236" i="6"/>
  <c r="BP236" i="6"/>
  <c r="CD238" i="6"/>
  <c r="CE238" i="6"/>
  <c r="CJ238" i="6"/>
  <c r="BY238" i="6"/>
  <c r="AT232" i="6"/>
  <c r="AN232" i="6"/>
  <c r="AO232" i="6"/>
  <c r="F244" i="6"/>
  <c r="V244" i="6"/>
  <c r="N244" i="6"/>
  <c r="D244" i="6"/>
  <c r="T244" i="6"/>
  <c r="J244" i="6"/>
  <c r="P244" i="6"/>
  <c r="H244" i="6"/>
  <c r="X244" i="6"/>
  <c r="R244" i="6"/>
  <c r="L244" i="6"/>
  <c r="AK244" i="6"/>
  <c r="Z244" i="6"/>
  <c r="AM244" i="6"/>
  <c r="AB244" i="6"/>
  <c r="DT244" i="6" s="1"/>
  <c r="AI244" i="6"/>
  <c r="EF246" i="6"/>
  <c r="EG245" i="6"/>
  <c r="EH245" i="6" s="1"/>
  <c r="AA245" i="6" s="1"/>
  <c r="DX243" i="6"/>
  <c r="AA6166" i="5" s="1"/>
  <c r="AA2702" i="5" l="1"/>
  <c r="Z2702" i="5"/>
  <c r="Y2702" i="5"/>
  <c r="DH243" i="6"/>
  <c r="DN243" i="6"/>
  <c r="DS243" i="6"/>
  <c r="DM243" i="6"/>
  <c r="DE242" i="6"/>
  <c r="CT242" i="6"/>
  <c r="CY242" i="6"/>
  <c r="CZ242" i="6"/>
  <c r="AA5176" i="5"/>
  <c r="Z5176" i="5"/>
  <c r="Y5176" i="5"/>
  <c r="AA1217" i="5"/>
  <c r="Z1217" i="5"/>
  <c r="Y1217" i="5"/>
  <c r="CK239" i="6"/>
  <c r="CF239" i="6"/>
  <c r="CL239" i="6"/>
  <c r="CQ239" i="6"/>
  <c r="CC238" i="6"/>
  <c r="BR238" i="6"/>
  <c r="BW238" i="6"/>
  <c r="BX238" i="6"/>
  <c r="AA226" i="5"/>
  <c r="Y226" i="5"/>
  <c r="Z226" i="5"/>
  <c r="AA3197" i="5"/>
  <c r="Z3197" i="5"/>
  <c r="Y3197" i="5"/>
  <c r="AA5177" i="5"/>
  <c r="Z5177" i="5"/>
  <c r="Y5177" i="5"/>
  <c r="DE241" i="6"/>
  <c r="CT241" i="6"/>
  <c r="CY241" i="6"/>
  <c r="CZ241" i="6"/>
  <c r="AA1712" i="5"/>
  <c r="Y1712" i="5"/>
  <c r="Z1712" i="5"/>
  <c r="CR240" i="6"/>
  <c r="CM240" i="6"/>
  <c r="CS240" i="6"/>
  <c r="CX240" i="6"/>
  <c r="AA4186" i="5"/>
  <c r="Y4186" i="5"/>
  <c r="Z4186" i="5"/>
  <c r="BD236" i="6"/>
  <c r="BO236" i="6"/>
  <c r="BI236" i="6"/>
  <c r="BJ236" i="6"/>
  <c r="AT233" i="6"/>
  <c r="AN233" i="6"/>
  <c r="AO233" i="6"/>
  <c r="AP234" i="6"/>
  <c r="AU234" i="6"/>
  <c r="BA234" i="6"/>
  <c r="AV234" i="6"/>
  <c r="Z4681" i="5"/>
  <c r="Y4681" i="5"/>
  <c r="AA4681" i="5"/>
  <c r="DO244" i="6"/>
  <c r="DY244" i="6"/>
  <c r="Y227" i="5"/>
  <c r="AA227" i="5"/>
  <c r="Z227" i="5"/>
  <c r="AA2207" i="5"/>
  <c r="Y2207" i="5"/>
  <c r="Z2207" i="5"/>
  <c r="BV237" i="6"/>
  <c r="BK237" i="6"/>
  <c r="BP237" i="6"/>
  <c r="BQ237" i="6"/>
  <c r="Y722" i="5"/>
  <c r="AA722" i="5"/>
  <c r="Z722" i="5"/>
  <c r="AW235" i="6"/>
  <c r="BB235" i="6"/>
  <c r="BC235" i="6"/>
  <c r="BH235" i="6"/>
  <c r="Y6166" i="5"/>
  <c r="Z6166" i="5"/>
  <c r="EG247" i="6"/>
  <c r="EH247" i="6" s="1"/>
  <c r="AA247" i="6" s="1"/>
  <c r="EF247" i="6"/>
  <c r="EG246" i="6"/>
  <c r="EH246" i="6" s="1"/>
  <c r="AA246" i="6" s="1"/>
  <c r="F245" i="6"/>
  <c r="Z245" i="6"/>
  <c r="X245" i="6"/>
  <c r="P245" i="6"/>
  <c r="J245" i="6"/>
  <c r="AM245" i="6"/>
  <c r="V245" i="6"/>
  <c r="N245" i="6"/>
  <c r="D245" i="6"/>
  <c r="T245" i="6"/>
  <c r="L245" i="6"/>
  <c r="AI245" i="6"/>
  <c r="R245" i="6"/>
  <c r="H245" i="6"/>
  <c r="AK245" i="6"/>
  <c r="AB245" i="6"/>
  <c r="DT245" i="6" s="1"/>
  <c r="DX244" i="6"/>
  <c r="AA6167" i="5" s="1"/>
  <c r="CR241" i="6" l="1"/>
  <c r="CM241" i="6"/>
  <c r="CS241" i="6"/>
  <c r="CX241" i="6"/>
  <c r="AA4683" i="5"/>
  <c r="Y4683" i="5"/>
  <c r="Z4683" i="5"/>
  <c r="DA243" i="6"/>
  <c r="DL243" i="6"/>
  <c r="DG243" i="6"/>
  <c r="DF243" i="6"/>
  <c r="DH244" i="6"/>
  <c r="DS244" i="6"/>
  <c r="DN244" i="6"/>
  <c r="DM244" i="6"/>
  <c r="CK240" i="6"/>
  <c r="CF240" i="6"/>
  <c r="CL240" i="6"/>
  <c r="CQ240" i="6"/>
  <c r="AA4682" i="5"/>
  <c r="Y4682" i="5"/>
  <c r="Z4682" i="5"/>
  <c r="BV238" i="6"/>
  <c r="BK238" i="6"/>
  <c r="BQ238" i="6"/>
  <c r="BP238" i="6"/>
  <c r="CD239" i="6"/>
  <c r="BY239" i="6"/>
  <c r="CE239" i="6"/>
  <c r="CJ239" i="6"/>
  <c r="AN234" i="6"/>
  <c r="AT234" i="6"/>
  <c r="AO234" i="6"/>
  <c r="DO245" i="6"/>
  <c r="DY245" i="6"/>
  <c r="AP235" i="6"/>
  <c r="AU235" i="6"/>
  <c r="BA235" i="6"/>
  <c r="AV235" i="6"/>
  <c r="AA723" i="5"/>
  <c r="Z723" i="5"/>
  <c r="Y723" i="5"/>
  <c r="AA1713" i="5"/>
  <c r="Y1713" i="5"/>
  <c r="Z1713" i="5"/>
  <c r="AA2703" i="5"/>
  <c r="Y2703" i="5"/>
  <c r="Z2703" i="5"/>
  <c r="AA5672" i="5"/>
  <c r="Y5672" i="5"/>
  <c r="Z5672" i="5"/>
  <c r="BD237" i="6"/>
  <c r="BO237" i="6"/>
  <c r="BJ237" i="6"/>
  <c r="BI237" i="6"/>
  <c r="AA2208" i="5"/>
  <c r="Y2208" i="5"/>
  <c r="Z2208" i="5"/>
  <c r="AA1218" i="5"/>
  <c r="Y1218" i="5"/>
  <c r="Z1218" i="5"/>
  <c r="AA228" i="5"/>
  <c r="Z228" i="5"/>
  <c r="Y228" i="5"/>
  <c r="BB236" i="6"/>
  <c r="AW236" i="6"/>
  <c r="BC236" i="6"/>
  <c r="BH236" i="6"/>
  <c r="AA4187" i="5"/>
  <c r="Z4187" i="5"/>
  <c r="Y4187" i="5"/>
  <c r="AA3692" i="5"/>
  <c r="Z3692" i="5"/>
  <c r="Y3692" i="5"/>
  <c r="CM242" i="6"/>
  <c r="CS242" i="6"/>
  <c r="CR242" i="6"/>
  <c r="CX242" i="6"/>
  <c r="Y6167" i="5"/>
  <c r="Z6167" i="5"/>
  <c r="X246" i="6"/>
  <c r="P246" i="6"/>
  <c r="Z246" i="6"/>
  <c r="R246" i="6"/>
  <c r="J246" i="6"/>
  <c r="V246" i="6"/>
  <c r="N246" i="6"/>
  <c r="D246" i="6"/>
  <c r="T246" i="6"/>
  <c r="L246" i="6"/>
  <c r="AM246" i="6"/>
  <c r="AB246" i="6"/>
  <c r="DT246" i="6" s="1"/>
  <c r="AI246" i="6"/>
  <c r="H246" i="6"/>
  <c r="AK246" i="6"/>
  <c r="F246" i="6"/>
  <c r="DX245" i="6"/>
  <c r="AA6168" i="5" s="1"/>
  <c r="Z247" i="6"/>
  <c r="AB247" i="6"/>
  <c r="DT247" i="6" s="1"/>
  <c r="R247" i="6"/>
  <c r="N247" i="6"/>
  <c r="X247" i="6"/>
  <c r="P247" i="6"/>
  <c r="H247" i="6"/>
  <c r="V247" i="6"/>
  <c r="L247" i="6"/>
  <c r="F247" i="6"/>
  <c r="T247" i="6"/>
  <c r="J247" i="6"/>
  <c r="D247" i="6"/>
  <c r="AI247" i="6"/>
  <c r="AK247" i="6"/>
  <c r="AM247" i="6"/>
  <c r="EF248" i="6"/>
  <c r="Y1219" i="5" l="1"/>
  <c r="AA1219" i="5"/>
  <c r="Z1219" i="5"/>
  <c r="AT235" i="6"/>
  <c r="AO235" i="6"/>
  <c r="AN235" i="6"/>
  <c r="AA229" i="5"/>
  <c r="Z229" i="5"/>
  <c r="Y229" i="5"/>
  <c r="CC239" i="6"/>
  <c r="BR239" i="6"/>
  <c r="BX239" i="6"/>
  <c r="BW239" i="6"/>
  <c r="BD238" i="6"/>
  <c r="BI238" i="6"/>
  <c r="BO238" i="6"/>
  <c r="BJ238" i="6"/>
  <c r="DA244" i="6"/>
  <c r="DF244" i="6"/>
  <c r="DG244" i="6"/>
  <c r="DL244" i="6"/>
  <c r="DE243" i="6"/>
  <c r="CT243" i="6"/>
  <c r="CY243" i="6"/>
  <c r="CZ243" i="6"/>
  <c r="AA4188" i="5"/>
  <c r="Y4188" i="5"/>
  <c r="Z4188" i="5"/>
  <c r="AW237" i="6"/>
  <c r="BC237" i="6"/>
  <c r="BB237" i="6"/>
  <c r="BH237" i="6"/>
  <c r="DO247" i="6"/>
  <c r="DY247" i="6"/>
  <c r="CK242" i="6"/>
  <c r="CF242" i="6"/>
  <c r="CL242" i="6"/>
  <c r="CQ242" i="6"/>
  <c r="AA2209" i="5"/>
  <c r="Z2209" i="5"/>
  <c r="Y2209" i="5"/>
  <c r="AA3693" i="5"/>
  <c r="Y3693" i="5"/>
  <c r="Z3693" i="5"/>
  <c r="AU236" i="6"/>
  <c r="AP236" i="6"/>
  <c r="BA236" i="6"/>
  <c r="AV236" i="6"/>
  <c r="AA724" i="5"/>
  <c r="Y724" i="5"/>
  <c r="Z724" i="5"/>
  <c r="DH245" i="6"/>
  <c r="DS245" i="6"/>
  <c r="DM245" i="6"/>
  <c r="DN245" i="6"/>
  <c r="AA3198" i="5"/>
  <c r="Z3198" i="5"/>
  <c r="Y3198" i="5"/>
  <c r="CK241" i="6"/>
  <c r="CF241" i="6"/>
  <c r="CQ241" i="6"/>
  <c r="CL241" i="6"/>
  <c r="DO246" i="6"/>
  <c r="DY246" i="6"/>
  <c r="AA4189" i="5"/>
  <c r="Y4189" i="5"/>
  <c r="Z4189" i="5"/>
  <c r="AA1714" i="5"/>
  <c r="Y1714" i="5"/>
  <c r="Z1714" i="5"/>
  <c r="BY240" i="6"/>
  <c r="CD240" i="6"/>
  <c r="CE240" i="6"/>
  <c r="CJ240" i="6"/>
  <c r="Y5673" i="5"/>
  <c r="AA5673" i="5"/>
  <c r="Z5673" i="5"/>
  <c r="AA5178" i="5"/>
  <c r="Y5178" i="5"/>
  <c r="Z5178" i="5"/>
  <c r="Y6168" i="5"/>
  <c r="Z6168" i="5"/>
  <c r="EF249" i="6"/>
  <c r="DX246" i="6"/>
  <c r="AA6169" i="5" s="1"/>
  <c r="DX247" i="6"/>
  <c r="AA6170" i="5" s="1"/>
  <c r="EG248" i="6"/>
  <c r="EH248" i="6" s="1"/>
  <c r="AA248" i="6" s="1"/>
  <c r="CD241" i="6" l="1"/>
  <c r="BY241" i="6"/>
  <c r="CJ241" i="6"/>
  <c r="CE241" i="6"/>
  <c r="DG245" i="6"/>
  <c r="DA245" i="6"/>
  <c r="DL245" i="6"/>
  <c r="DF245" i="6"/>
  <c r="CD242" i="6"/>
  <c r="BY242" i="6"/>
  <c r="CJ242" i="6"/>
  <c r="CE242" i="6"/>
  <c r="AA1220" i="5"/>
  <c r="Y1220" i="5"/>
  <c r="Z1220" i="5"/>
  <c r="AA1715" i="5"/>
  <c r="Y1715" i="5"/>
  <c r="Z1715" i="5"/>
  <c r="AA230" i="5"/>
  <c r="Y230" i="5"/>
  <c r="Z230" i="5"/>
  <c r="CC240" i="6"/>
  <c r="BR240" i="6"/>
  <c r="BW240" i="6"/>
  <c r="BX240" i="6"/>
  <c r="DH246" i="6"/>
  <c r="DS246" i="6"/>
  <c r="DN246" i="6"/>
  <c r="DM246" i="6"/>
  <c r="Y725" i="5"/>
  <c r="Z725" i="5"/>
  <c r="AA725" i="5"/>
  <c r="CR243" i="6"/>
  <c r="CM243" i="6"/>
  <c r="CS243" i="6"/>
  <c r="CX243" i="6"/>
  <c r="BV239" i="6"/>
  <c r="BK239" i="6"/>
  <c r="BP239" i="6"/>
  <c r="BQ239" i="6"/>
  <c r="AA3199" i="5"/>
  <c r="Y3199" i="5"/>
  <c r="Z3199" i="5"/>
  <c r="AN236" i="6"/>
  <c r="AT236" i="6"/>
  <c r="AO236" i="6"/>
  <c r="AA3695" i="5"/>
  <c r="Y3695" i="5"/>
  <c r="Z3695" i="5"/>
  <c r="AA4684" i="5"/>
  <c r="Y4684" i="5"/>
  <c r="Z4684" i="5"/>
  <c r="DE244" i="6"/>
  <c r="CT244" i="6"/>
  <c r="CZ244" i="6"/>
  <c r="CY244" i="6"/>
  <c r="BB238" i="6"/>
  <c r="AW238" i="6"/>
  <c r="BC238" i="6"/>
  <c r="BH238" i="6"/>
  <c r="AA2704" i="5"/>
  <c r="Y2704" i="5"/>
  <c r="Z2704" i="5"/>
  <c r="AA3694" i="5"/>
  <c r="Z3694" i="5"/>
  <c r="Y3694" i="5"/>
  <c r="AA5674" i="5"/>
  <c r="Z5674" i="5"/>
  <c r="Y5674" i="5"/>
  <c r="DH247" i="6"/>
  <c r="DM247" i="6"/>
  <c r="DS247" i="6"/>
  <c r="DN247" i="6"/>
  <c r="AP237" i="6"/>
  <c r="AU237" i="6"/>
  <c r="BA237" i="6"/>
  <c r="AV237" i="6"/>
  <c r="AA5179" i="5"/>
  <c r="Y5179" i="5"/>
  <c r="Z5179" i="5"/>
  <c r="Y6169" i="5"/>
  <c r="Z6169" i="5"/>
  <c r="Y6170" i="5"/>
  <c r="Z6170" i="5"/>
  <c r="F248" i="6"/>
  <c r="R248" i="6"/>
  <c r="L248" i="6"/>
  <c r="X248" i="6"/>
  <c r="P248" i="6"/>
  <c r="H248" i="6"/>
  <c r="V248" i="6"/>
  <c r="N248" i="6"/>
  <c r="D248" i="6"/>
  <c r="T248" i="6"/>
  <c r="J248" i="6"/>
  <c r="AK248" i="6"/>
  <c r="Z248" i="6"/>
  <c r="AM248" i="6"/>
  <c r="AB248" i="6"/>
  <c r="DT248" i="6" s="1"/>
  <c r="AI248" i="6"/>
  <c r="EF250" i="6"/>
  <c r="EG249" i="6"/>
  <c r="EH249" i="6" s="1"/>
  <c r="AA249" i="6" s="1"/>
  <c r="AP238" i="6" l="1"/>
  <c r="AU238" i="6"/>
  <c r="BA238" i="6"/>
  <c r="AV238" i="6"/>
  <c r="BD239" i="6"/>
  <c r="BI239" i="6"/>
  <c r="BO239" i="6"/>
  <c r="BJ239" i="6"/>
  <c r="Y726" i="5"/>
  <c r="AA726" i="5"/>
  <c r="Z726" i="5"/>
  <c r="AA5676" i="5"/>
  <c r="Z5676" i="5"/>
  <c r="Y5676" i="5"/>
  <c r="AA1221" i="5"/>
  <c r="Y1221" i="5"/>
  <c r="Z1221" i="5"/>
  <c r="Y4190" i="5"/>
  <c r="AA4190" i="5"/>
  <c r="Z4190" i="5"/>
  <c r="DO248" i="6"/>
  <c r="DY248" i="6"/>
  <c r="AA5675" i="5"/>
  <c r="Y5675" i="5"/>
  <c r="Z5675" i="5"/>
  <c r="BV240" i="6"/>
  <c r="BQ240" i="6"/>
  <c r="BK240" i="6"/>
  <c r="BP240" i="6"/>
  <c r="AA3201" i="5"/>
  <c r="Z3201" i="5"/>
  <c r="Y3201" i="5"/>
  <c r="AA5180" i="5"/>
  <c r="Y5180" i="5"/>
  <c r="Z5180" i="5"/>
  <c r="AA3200" i="5"/>
  <c r="Y3200" i="5"/>
  <c r="Z3200" i="5"/>
  <c r="AO237" i="6"/>
  <c r="AT237" i="6"/>
  <c r="AN237" i="6"/>
  <c r="CR244" i="6"/>
  <c r="CM244" i="6"/>
  <c r="CS244" i="6"/>
  <c r="CX244" i="6"/>
  <c r="DA246" i="6"/>
  <c r="DG246" i="6"/>
  <c r="DL246" i="6"/>
  <c r="DF246" i="6"/>
  <c r="Y2705" i="5"/>
  <c r="AA2705" i="5"/>
  <c r="Z2705" i="5"/>
  <c r="BR242" i="6"/>
  <c r="BX242" i="6"/>
  <c r="BW242" i="6"/>
  <c r="CC242" i="6"/>
  <c r="DE245" i="6"/>
  <c r="CT245" i="6"/>
  <c r="CZ245" i="6"/>
  <c r="CY245" i="6"/>
  <c r="BW241" i="6"/>
  <c r="BR241" i="6"/>
  <c r="BX241" i="6"/>
  <c r="CC241" i="6"/>
  <c r="DA247" i="6"/>
  <c r="DG247" i="6"/>
  <c r="DF247" i="6"/>
  <c r="DL247" i="6"/>
  <c r="CK243" i="6"/>
  <c r="CF243" i="6"/>
  <c r="CL243" i="6"/>
  <c r="CQ243" i="6"/>
  <c r="Z4685" i="5"/>
  <c r="Y4685" i="5"/>
  <c r="AA4685" i="5"/>
  <c r="AA231" i="5"/>
  <c r="Z231" i="5"/>
  <c r="Y231" i="5"/>
  <c r="Y2210" i="5"/>
  <c r="AA2210" i="5"/>
  <c r="Z2210" i="5"/>
  <c r="DX248" i="6"/>
  <c r="AA6171" i="5" s="1"/>
  <c r="EF251" i="6"/>
  <c r="EG251" i="6" s="1"/>
  <c r="EH251" i="6" s="1"/>
  <c r="AA251" i="6" s="1"/>
  <c r="F249" i="6"/>
  <c r="Z249" i="6"/>
  <c r="T249" i="6"/>
  <c r="L249" i="6"/>
  <c r="P249" i="6"/>
  <c r="J249" i="6"/>
  <c r="AB249" i="6"/>
  <c r="DT249" i="6" s="1"/>
  <c r="X249" i="6"/>
  <c r="V249" i="6"/>
  <c r="H249" i="6"/>
  <c r="AI249" i="6"/>
  <c r="R249" i="6"/>
  <c r="N249" i="6"/>
  <c r="D249" i="6"/>
  <c r="AK249" i="6"/>
  <c r="AM249" i="6"/>
  <c r="EG250" i="6"/>
  <c r="EH250" i="6" s="1"/>
  <c r="AA250" i="6" s="1"/>
  <c r="DE247" i="6" l="1"/>
  <c r="CT247" i="6"/>
  <c r="CY247" i="6"/>
  <c r="CZ247" i="6"/>
  <c r="AA4686" i="5"/>
  <c r="Z4686" i="5"/>
  <c r="Y4686" i="5"/>
  <c r="DH248" i="6"/>
  <c r="DS248" i="6"/>
  <c r="DN248" i="6"/>
  <c r="DM248" i="6"/>
  <c r="AA3696" i="5"/>
  <c r="Y3696" i="5"/>
  <c r="Z3696" i="5"/>
  <c r="AA5182" i="5"/>
  <c r="Y5182" i="5"/>
  <c r="Z5182" i="5"/>
  <c r="AA2706" i="5"/>
  <c r="Z2706" i="5"/>
  <c r="Y2706" i="5"/>
  <c r="AA2707" i="5"/>
  <c r="Y2707" i="5"/>
  <c r="Z2707" i="5"/>
  <c r="AA5181" i="5"/>
  <c r="Y5181" i="5"/>
  <c r="Z5181" i="5"/>
  <c r="AA232" i="5"/>
  <c r="Y232" i="5"/>
  <c r="Z232" i="5"/>
  <c r="BD240" i="6"/>
  <c r="BI240" i="6"/>
  <c r="BO240" i="6"/>
  <c r="BJ240" i="6"/>
  <c r="DO249" i="6"/>
  <c r="DY249" i="6"/>
  <c r="CQ244" i="6"/>
  <c r="CF244" i="6"/>
  <c r="CL244" i="6"/>
  <c r="CK244" i="6"/>
  <c r="AA1716" i="5"/>
  <c r="Y1716" i="5"/>
  <c r="Z1716" i="5"/>
  <c r="AA727" i="5"/>
  <c r="Z727" i="5"/>
  <c r="Y727" i="5"/>
  <c r="CD243" i="6"/>
  <c r="BY243" i="6"/>
  <c r="CE243" i="6"/>
  <c r="CJ243" i="6"/>
  <c r="BV241" i="6"/>
  <c r="BK241" i="6"/>
  <c r="BP241" i="6"/>
  <c r="BQ241" i="6"/>
  <c r="CR245" i="6"/>
  <c r="CS245" i="6"/>
  <c r="CM245" i="6"/>
  <c r="CX245" i="6"/>
  <c r="DE246" i="6"/>
  <c r="CT246" i="6"/>
  <c r="CY246" i="6"/>
  <c r="CZ246" i="6"/>
  <c r="Y2211" i="5"/>
  <c r="AA2211" i="5"/>
  <c r="Z2211" i="5"/>
  <c r="BK242" i="6"/>
  <c r="BQ242" i="6"/>
  <c r="BV242" i="6"/>
  <c r="BP242" i="6"/>
  <c r="AA4191" i="5"/>
  <c r="Y4191" i="5"/>
  <c r="Z4191" i="5"/>
  <c r="AW239" i="6"/>
  <c r="BC239" i="6"/>
  <c r="BB239" i="6"/>
  <c r="BH239" i="6"/>
  <c r="AN238" i="6"/>
  <c r="AT238" i="6"/>
  <c r="AO238" i="6"/>
  <c r="Y6171" i="5"/>
  <c r="Z6171" i="5"/>
  <c r="V250" i="6"/>
  <c r="P250" i="6"/>
  <c r="Z250" i="6"/>
  <c r="T250" i="6"/>
  <c r="L250" i="6"/>
  <c r="R250" i="6"/>
  <c r="J250" i="6"/>
  <c r="H250" i="6"/>
  <c r="X250" i="6"/>
  <c r="N250" i="6"/>
  <c r="D250" i="6"/>
  <c r="AM250" i="6"/>
  <c r="F250" i="6"/>
  <c r="AK250" i="6"/>
  <c r="AB250" i="6"/>
  <c r="DT250" i="6" s="1"/>
  <c r="AI250" i="6"/>
  <c r="D251" i="6"/>
  <c r="V251" i="6"/>
  <c r="L251" i="6"/>
  <c r="T251" i="6"/>
  <c r="N251" i="6"/>
  <c r="F251" i="6"/>
  <c r="AB251" i="6"/>
  <c r="DT251" i="6" s="1"/>
  <c r="R251" i="6"/>
  <c r="J251" i="6"/>
  <c r="Z251" i="6"/>
  <c r="X251" i="6"/>
  <c r="P251" i="6"/>
  <c r="H251" i="6"/>
  <c r="AI251" i="6"/>
  <c r="AM251" i="6"/>
  <c r="AK251" i="6"/>
  <c r="DX249" i="6"/>
  <c r="AA6172" i="5" s="1"/>
  <c r="EF252" i="6"/>
  <c r="AA233" i="5" l="1"/>
  <c r="Z233" i="5"/>
  <c r="Y233" i="5"/>
  <c r="AP239" i="6"/>
  <c r="AU239" i="6"/>
  <c r="BA239" i="6"/>
  <c r="AV239" i="6"/>
  <c r="CK245" i="6"/>
  <c r="CF245" i="6"/>
  <c r="CL245" i="6"/>
  <c r="CQ245" i="6"/>
  <c r="AA3697" i="5"/>
  <c r="Y3697" i="5"/>
  <c r="Z3697" i="5"/>
  <c r="AA1717" i="5"/>
  <c r="Y1717" i="5"/>
  <c r="Z1717" i="5"/>
  <c r="DA248" i="6"/>
  <c r="DF248" i="6"/>
  <c r="DG248" i="6"/>
  <c r="DL248" i="6"/>
  <c r="DY250" i="6"/>
  <c r="DO250" i="6"/>
  <c r="CM246" i="6"/>
  <c r="CR246" i="6"/>
  <c r="CS246" i="6"/>
  <c r="CX246" i="6"/>
  <c r="BD241" i="6"/>
  <c r="BJ241" i="6"/>
  <c r="BI241" i="6"/>
  <c r="BO241" i="6"/>
  <c r="BW243" i="6"/>
  <c r="BR243" i="6"/>
  <c r="CC243" i="6"/>
  <c r="BX243" i="6"/>
  <c r="DO251" i="6"/>
  <c r="DY251" i="6"/>
  <c r="AA1222" i="5"/>
  <c r="Y1222" i="5"/>
  <c r="Z1222" i="5"/>
  <c r="AA2213" i="5"/>
  <c r="Z2213" i="5"/>
  <c r="Y2213" i="5"/>
  <c r="AA4687" i="5"/>
  <c r="Z4687" i="5"/>
  <c r="Y4687" i="5"/>
  <c r="AA2212" i="5"/>
  <c r="Y2212" i="5"/>
  <c r="Z2212" i="5"/>
  <c r="DH249" i="6"/>
  <c r="DN249" i="6"/>
  <c r="DM249" i="6"/>
  <c r="DS249" i="6"/>
  <c r="BB240" i="6"/>
  <c r="AW240" i="6"/>
  <c r="BC240" i="6"/>
  <c r="BH240" i="6"/>
  <c r="CR247" i="6"/>
  <c r="CS247" i="6"/>
  <c r="CM247" i="6"/>
  <c r="CX247" i="6"/>
  <c r="BD242" i="6"/>
  <c r="BO242" i="6"/>
  <c r="BJ242" i="6"/>
  <c r="BI242" i="6"/>
  <c r="AA4192" i="5"/>
  <c r="Y4192" i="5"/>
  <c r="Z4192" i="5"/>
  <c r="AA3202" i="5"/>
  <c r="Z3202" i="5"/>
  <c r="Y3202" i="5"/>
  <c r="BY244" i="6"/>
  <c r="CE244" i="6"/>
  <c r="CJ244" i="6"/>
  <c r="CD244" i="6"/>
  <c r="Y5677" i="5"/>
  <c r="Z5677" i="5"/>
  <c r="AA5677" i="5"/>
  <c r="AA4688" i="5"/>
  <c r="Y4688" i="5"/>
  <c r="Z4688" i="5"/>
  <c r="Y6172" i="5"/>
  <c r="Z6172" i="5"/>
  <c r="DX251" i="6"/>
  <c r="AA6174" i="5" s="1"/>
  <c r="DX250" i="6"/>
  <c r="AA6173" i="5" s="1"/>
  <c r="EF253" i="6"/>
  <c r="EG253" i="6" s="1"/>
  <c r="EH253" i="6" s="1"/>
  <c r="AA253" i="6" s="1"/>
  <c r="EG252" i="6"/>
  <c r="EH252" i="6" s="1"/>
  <c r="AA252" i="6" s="1"/>
  <c r="CL247" i="6" l="1"/>
  <c r="CF247" i="6"/>
  <c r="CK247" i="6"/>
  <c r="CQ247" i="6"/>
  <c r="DH251" i="6"/>
  <c r="DM251" i="6"/>
  <c r="DS251" i="6"/>
  <c r="DN251" i="6"/>
  <c r="AW241" i="6"/>
  <c r="BC241" i="6"/>
  <c r="BH241" i="6"/>
  <c r="BB241" i="6"/>
  <c r="CF246" i="6"/>
  <c r="CK246" i="6"/>
  <c r="CL246" i="6"/>
  <c r="CQ246" i="6"/>
  <c r="AT239" i="6"/>
  <c r="AO239" i="6"/>
  <c r="AN239" i="6"/>
  <c r="BR244" i="6"/>
  <c r="CC244" i="6"/>
  <c r="BW244" i="6"/>
  <c r="BX244" i="6"/>
  <c r="AA1719" i="5"/>
  <c r="Y1719" i="5"/>
  <c r="Z1719" i="5"/>
  <c r="BA240" i="6"/>
  <c r="AP240" i="6"/>
  <c r="AU240" i="6"/>
  <c r="AV240" i="6"/>
  <c r="AA1718" i="5"/>
  <c r="Y1718" i="5"/>
  <c r="Z1718" i="5"/>
  <c r="AA4193" i="5"/>
  <c r="Y4193" i="5"/>
  <c r="Z4193" i="5"/>
  <c r="DS250" i="6"/>
  <c r="DH250" i="6"/>
  <c r="DM250" i="6"/>
  <c r="DN250" i="6"/>
  <c r="AA3698" i="5"/>
  <c r="Y3698" i="5"/>
  <c r="Z3698" i="5"/>
  <c r="BB242" i="6"/>
  <c r="AW242" i="6"/>
  <c r="BC242" i="6"/>
  <c r="BH242" i="6"/>
  <c r="DA249" i="6"/>
  <c r="DF249" i="6"/>
  <c r="DG249" i="6"/>
  <c r="DL249" i="6"/>
  <c r="AA2708" i="5"/>
  <c r="Y2708" i="5"/>
  <c r="Z2708" i="5"/>
  <c r="DE248" i="6"/>
  <c r="CT248" i="6"/>
  <c r="CZ248" i="6"/>
  <c r="CY248" i="6"/>
  <c r="AA728" i="5"/>
  <c r="Y728" i="5"/>
  <c r="Z728" i="5"/>
  <c r="AA3203" i="5"/>
  <c r="Z3203" i="5"/>
  <c r="Y3203" i="5"/>
  <c r="AA4194" i="5"/>
  <c r="Y4194" i="5"/>
  <c r="Z4194" i="5"/>
  <c r="Y1223" i="5"/>
  <c r="AA1223" i="5"/>
  <c r="Z1223" i="5"/>
  <c r="AA5678" i="5"/>
  <c r="Y5678" i="5"/>
  <c r="Z5678" i="5"/>
  <c r="BK243" i="6"/>
  <c r="BP243" i="6"/>
  <c r="BV243" i="6"/>
  <c r="BQ243" i="6"/>
  <c r="AA5183" i="5"/>
  <c r="Y5183" i="5"/>
  <c r="Z5183" i="5"/>
  <c r="CD245" i="6"/>
  <c r="BY245" i="6"/>
  <c r="CJ245" i="6"/>
  <c r="CE245" i="6"/>
  <c r="Y6174" i="5"/>
  <c r="Z6174" i="5"/>
  <c r="Y6173" i="5"/>
  <c r="Z6173" i="5"/>
  <c r="F253" i="6"/>
  <c r="Z253" i="6"/>
  <c r="X253" i="6"/>
  <c r="P253" i="6"/>
  <c r="D253" i="6"/>
  <c r="AB253" i="6"/>
  <c r="DT253" i="6" s="1"/>
  <c r="V253" i="6"/>
  <c r="N253" i="6"/>
  <c r="T253" i="6"/>
  <c r="L253" i="6"/>
  <c r="AI253" i="6"/>
  <c r="AM253" i="6"/>
  <c r="R253" i="6"/>
  <c r="H253" i="6"/>
  <c r="J253" i="6"/>
  <c r="AK253" i="6"/>
  <c r="EF254" i="6"/>
  <c r="EG254" i="6" s="1"/>
  <c r="EH254" i="6" s="1"/>
  <c r="AA254" i="6" s="1"/>
  <c r="F252" i="6"/>
  <c r="V252" i="6"/>
  <c r="N252" i="6"/>
  <c r="D252" i="6"/>
  <c r="T252" i="6"/>
  <c r="J252" i="6"/>
  <c r="R252" i="6"/>
  <c r="L252" i="6"/>
  <c r="X252" i="6"/>
  <c r="P252" i="6"/>
  <c r="H252" i="6"/>
  <c r="Z252" i="6"/>
  <c r="AK252" i="6"/>
  <c r="AM252" i="6"/>
  <c r="AI252" i="6"/>
  <c r="AB252" i="6"/>
  <c r="DT252" i="6" s="1"/>
  <c r="AA2214" i="5" l="1"/>
  <c r="Y2214" i="5"/>
  <c r="Z2214" i="5"/>
  <c r="CR248" i="6"/>
  <c r="CM248" i="6"/>
  <c r="CS248" i="6"/>
  <c r="CX248" i="6"/>
  <c r="DE249" i="6"/>
  <c r="CT249" i="6"/>
  <c r="CY249" i="6"/>
  <c r="CZ249" i="6"/>
  <c r="AT240" i="6"/>
  <c r="AN240" i="6"/>
  <c r="AO240" i="6"/>
  <c r="BV244" i="6"/>
  <c r="BK244" i="6"/>
  <c r="BQ244" i="6"/>
  <c r="BP244" i="6"/>
  <c r="AA3699" i="5"/>
  <c r="Z3699" i="5"/>
  <c r="Y3699" i="5"/>
  <c r="AA3700" i="5"/>
  <c r="Y3700" i="5"/>
  <c r="Z3700" i="5"/>
  <c r="AA3204" i="5"/>
  <c r="Y3204" i="5"/>
  <c r="Z3204" i="5"/>
  <c r="Y4689" i="5"/>
  <c r="AA4689" i="5"/>
  <c r="Z4689" i="5"/>
  <c r="AA5184" i="5"/>
  <c r="Y5184" i="5"/>
  <c r="Z5184" i="5"/>
  <c r="AA1225" i="5"/>
  <c r="Z1225" i="5"/>
  <c r="Y1225" i="5"/>
  <c r="AA729" i="5"/>
  <c r="Z729" i="5"/>
  <c r="Y729" i="5"/>
  <c r="AA1224" i="5"/>
  <c r="Y1224" i="5"/>
  <c r="Z1224" i="5"/>
  <c r="AA5680" i="5"/>
  <c r="Z5680" i="5"/>
  <c r="Y5680" i="5"/>
  <c r="DO252" i="6"/>
  <c r="DY252" i="6"/>
  <c r="DO253" i="6"/>
  <c r="DY253" i="6"/>
  <c r="BW245" i="6"/>
  <c r="BR245" i="6"/>
  <c r="BX245" i="6"/>
  <c r="CC245" i="6"/>
  <c r="BD243" i="6"/>
  <c r="BJ243" i="6"/>
  <c r="BI243" i="6"/>
  <c r="BO243" i="6"/>
  <c r="DA250" i="6"/>
  <c r="DF250" i="6"/>
  <c r="DG250" i="6"/>
  <c r="DL250" i="6"/>
  <c r="CD247" i="6"/>
  <c r="BY247" i="6"/>
  <c r="CE247" i="6"/>
  <c r="CJ247" i="6"/>
  <c r="BA242" i="6"/>
  <c r="AP242" i="6"/>
  <c r="AV242" i="6"/>
  <c r="AU242" i="6"/>
  <c r="AA5679" i="5"/>
  <c r="Y5679" i="5"/>
  <c r="Z5679" i="5"/>
  <c r="AA2709" i="5"/>
  <c r="Y2709" i="5"/>
  <c r="Z2709" i="5"/>
  <c r="AA234" i="5"/>
  <c r="Y234" i="5"/>
  <c r="Z234" i="5"/>
  <c r="CD246" i="6"/>
  <c r="BY246" i="6"/>
  <c r="CE246" i="6"/>
  <c r="CJ246" i="6"/>
  <c r="AP241" i="6"/>
  <c r="BA241" i="6"/>
  <c r="AU241" i="6"/>
  <c r="AV241" i="6"/>
  <c r="DA251" i="6"/>
  <c r="DL251" i="6"/>
  <c r="DF251" i="6"/>
  <c r="DG251" i="6"/>
  <c r="DX252" i="6"/>
  <c r="AA6175" i="5" s="1"/>
  <c r="EF255" i="6"/>
  <c r="DX253" i="6"/>
  <c r="AA6176" i="5" s="1"/>
  <c r="H254" i="6"/>
  <c r="R254" i="6"/>
  <c r="J254" i="6"/>
  <c r="X254" i="6"/>
  <c r="N254" i="6"/>
  <c r="D254" i="6"/>
  <c r="V254" i="6"/>
  <c r="P254" i="6"/>
  <c r="Z254" i="6"/>
  <c r="T254" i="6"/>
  <c r="L254" i="6"/>
  <c r="AM254" i="6"/>
  <c r="F254" i="6"/>
  <c r="AI254" i="6"/>
  <c r="AK254" i="6"/>
  <c r="AB254" i="6"/>
  <c r="DT254" i="6" s="1"/>
  <c r="DO254" i="6" l="1"/>
  <c r="DY254" i="6"/>
  <c r="AA1720" i="5"/>
  <c r="Y1720" i="5"/>
  <c r="Z1720" i="5"/>
  <c r="AA5186" i="5"/>
  <c r="Z5186" i="5"/>
  <c r="Y5186" i="5"/>
  <c r="AA730" i="5"/>
  <c r="Y730" i="5"/>
  <c r="Z730" i="5"/>
  <c r="BR246" i="6"/>
  <c r="BX246" i="6"/>
  <c r="BW246" i="6"/>
  <c r="CC246" i="6"/>
  <c r="DH253" i="6"/>
  <c r="DN253" i="6"/>
  <c r="DM253" i="6"/>
  <c r="DS253" i="6"/>
  <c r="BD244" i="6"/>
  <c r="BO244" i="6"/>
  <c r="BJ244" i="6"/>
  <c r="BI244" i="6"/>
  <c r="Y235" i="5"/>
  <c r="AA235" i="5"/>
  <c r="Z235" i="5"/>
  <c r="AA4690" i="5"/>
  <c r="Y4690" i="5"/>
  <c r="Z4690" i="5"/>
  <c r="DE251" i="6"/>
  <c r="CT251" i="6"/>
  <c r="CY251" i="6"/>
  <c r="CZ251" i="6"/>
  <c r="BW247" i="6"/>
  <c r="BR247" i="6"/>
  <c r="CC247" i="6"/>
  <c r="BX247" i="6"/>
  <c r="BV245" i="6"/>
  <c r="BP245" i="6"/>
  <c r="BK245" i="6"/>
  <c r="BQ245" i="6"/>
  <c r="AA2215" i="5"/>
  <c r="Y2215" i="5"/>
  <c r="Z2215" i="5"/>
  <c r="AA4195" i="5"/>
  <c r="Z4195" i="5"/>
  <c r="Y4195" i="5"/>
  <c r="AT241" i="6"/>
  <c r="AN241" i="6"/>
  <c r="AO241" i="6"/>
  <c r="AN242" i="6"/>
  <c r="AT242" i="6"/>
  <c r="AO242" i="6"/>
  <c r="AA3205" i="5"/>
  <c r="Y3205" i="5"/>
  <c r="Z3205" i="5"/>
  <c r="AA731" i="5"/>
  <c r="Y731" i="5"/>
  <c r="Z731" i="5"/>
  <c r="DE250" i="6"/>
  <c r="CT250" i="6"/>
  <c r="CY250" i="6"/>
  <c r="CZ250" i="6"/>
  <c r="AW243" i="6"/>
  <c r="BB243" i="6"/>
  <c r="BC243" i="6"/>
  <c r="BH243" i="6"/>
  <c r="DH252" i="6"/>
  <c r="DS252" i="6"/>
  <c r="DN252" i="6"/>
  <c r="DM252" i="6"/>
  <c r="AA3206" i="5"/>
  <c r="Z3206" i="5"/>
  <c r="Y3206" i="5"/>
  <c r="AA5185" i="5"/>
  <c r="Y5185" i="5"/>
  <c r="Z5185" i="5"/>
  <c r="AA2710" i="5"/>
  <c r="Y2710" i="5"/>
  <c r="Z2710" i="5"/>
  <c r="CR249" i="6"/>
  <c r="CS249" i="6"/>
  <c r="CM249" i="6"/>
  <c r="CX249" i="6"/>
  <c r="CL248" i="6"/>
  <c r="CF248" i="6"/>
  <c r="CQ248" i="6"/>
  <c r="CK248" i="6"/>
  <c r="Y6176" i="5"/>
  <c r="Z6176" i="5"/>
  <c r="Y6175" i="5"/>
  <c r="Z6175" i="5"/>
  <c r="EF256" i="6"/>
  <c r="DX254" i="6"/>
  <c r="AA6177" i="5" s="1"/>
  <c r="EG255" i="6"/>
  <c r="EH255" i="6" s="1"/>
  <c r="AA255" i="6" s="1"/>
  <c r="BA243" i="6" l="1"/>
  <c r="AP243" i="6"/>
  <c r="AU243" i="6"/>
  <c r="AV243" i="6"/>
  <c r="AA4691" i="5"/>
  <c r="Y4691" i="5"/>
  <c r="Z4691" i="5"/>
  <c r="AA237" i="5"/>
  <c r="Z237" i="5"/>
  <c r="Y237" i="5"/>
  <c r="AA236" i="5"/>
  <c r="Z236" i="5"/>
  <c r="Y236" i="5"/>
  <c r="BD245" i="6"/>
  <c r="BI245" i="6"/>
  <c r="BO245" i="6"/>
  <c r="BJ245" i="6"/>
  <c r="AA2712" i="5"/>
  <c r="Z2712" i="5"/>
  <c r="Y2712" i="5"/>
  <c r="BB244" i="6"/>
  <c r="AW244" i="6"/>
  <c r="BC244" i="6"/>
  <c r="BH244" i="6"/>
  <c r="DA253" i="6"/>
  <c r="DF253" i="6"/>
  <c r="DG253" i="6"/>
  <c r="DL253" i="6"/>
  <c r="BK246" i="6"/>
  <c r="BP246" i="6"/>
  <c r="BQ246" i="6"/>
  <c r="BV246" i="6"/>
  <c r="AA4196" i="5"/>
  <c r="Y4196" i="5"/>
  <c r="Z4196" i="5"/>
  <c r="CL249" i="6"/>
  <c r="CF249" i="6"/>
  <c r="CK249" i="6"/>
  <c r="CQ249" i="6"/>
  <c r="AA1226" i="5"/>
  <c r="Z1226" i="5"/>
  <c r="Y1226" i="5"/>
  <c r="CR251" i="6"/>
  <c r="CM251" i="6"/>
  <c r="CS251" i="6"/>
  <c r="CX251" i="6"/>
  <c r="AA5682" i="5"/>
  <c r="Y5682" i="5"/>
  <c r="Z5682" i="5"/>
  <c r="AA2711" i="5"/>
  <c r="Y2711" i="5"/>
  <c r="Z2711" i="5"/>
  <c r="DA252" i="6"/>
  <c r="DG252" i="6"/>
  <c r="DF252" i="6"/>
  <c r="DL252" i="6"/>
  <c r="AA3701" i="5"/>
  <c r="Y3701" i="5"/>
  <c r="Z3701" i="5"/>
  <c r="BK247" i="6"/>
  <c r="BP247" i="6"/>
  <c r="BV247" i="6"/>
  <c r="BQ247" i="6"/>
  <c r="BY248" i="6"/>
  <c r="CJ248" i="6"/>
  <c r="CD248" i="6"/>
  <c r="CE248" i="6"/>
  <c r="AA2216" i="5"/>
  <c r="Y2216" i="5"/>
  <c r="Z2216" i="5"/>
  <c r="AA4692" i="5"/>
  <c r="Y4692" i="5"/>
  <c r="Z4692" i="5"/>
  <c r="Y5681" i="5"/>
  <c r="AA5681" i="5"/>
  <c r="Z5681" i="5"/>
  <c r="CM250" i="6"/>
  <c r="CS250" i="6"/>
  <c r="CR250" i="6"/>
  <c r="CX250" i="6"/>
  <c r="AA1721" i="5"/>
  <c r="Y1721" i="5"/>
  <c r="Z1721" i="5"/>
  <c r="DH254" i="6"/>
  <c r="DS254" i="6"/>
  <c r="DN254" i="6"/>
  <c r="DM254" i="6"/>
  <c r="Y6177" i="5"/>
  <c r="Z6177" i="5"/>
  <c r="AB255" i="6"/>
  <c r="DT255" i="6" s="1"/>
  <c r="R255" i="6"/>
  <c r="J255" i="6"/>
  <c r="F255" i="6"/>
  <c r="X255" i="6"/>
  <c r="P255" i="6"/>
  <c r="H255" i="6"/>
  <c r="D255" i="6"/>
  <c r="Z255" i="6"/>
  <c r="V255" i="6"/>
  <c r="N255" i="6"/>
  <c r="T255" i="6"/>
  <c r="L255" i="6"/>
  <c r="AI255" i="6"/>
  <c r="AK255" i="6"/>
  <c r="AM255" i="6"/>
  <c r="EF257" i="6"/>
  <c r="EG256" i="6"/>
  <c r="EH256" i="6" s="1"/>
  <c r="AA256" i="6" s="1"/>
  <c r="AA3207" i="5" l="1"/>
  <c r="Y3207" i="5"/>
  <c r="Z3207" i="5"/>
  <c r="AA4197" i="5"/>
  <c r="Y4197" i="5"/>
  <c r="Z4197" i="5"/>
  <c r="BR248" i="6"/>
  <c r="BX248" i="6"/>
  <c r="CC248" i="6"/>
  <c r="BW248" i="6"/>
  <c r="BD247" i="6"/>
  <c r="BO247" i="6"/>
  <c r="BI247" i="6"/>
  <c r="BJ247" i="6"/>
  <c r="AA5187" i="5"/>
  <c r="Y5187" i="5"/>
  <c r="Z5187" i="5"/>
  <c r="CL251" i="6"/>
  <c r="CF251" i="6"/>
  <c r="CK251" i="6"/>
  <c r="CQ251" i="6"/>
  <c r="AA2217" i="5"/>
  <c r="Y2217" i="5"/>
  <c r="Z2217" i="5"/>
  <c r="AA5188" i="5"/>
  <c r="Z5188" i="5"/>
  <c r="Y5188" i="5"/>
  <c r="Y1227" i="5"/>
  <c r="AA1227" i="5"/>
  <c r="Z1227" i="5"/>
  <c r="AA1722" i="5"/>
  <c r="Z1722" i="5"/>
  <c r="Y1722" i="5"/>
  <c r="DA254" i="6"/>
  <c r="DG254" i="6"/>
  <c r="DF254" i="6"/>
  <c r="DL254" i="6"/>
  <c r="AA3702" i="5"/>
  <c r="Y3702" i="5"/>
  <c r="Z3702" i="5"/>
  <c r="CF250" i="6"/>
  <c r="CL250" i="6"/>
  <c r="CQ250" i="6"/>
  <c r="CK250" i="6"/>
  <c r="DO255" i="6"/>
  <c r="DY255" i="6"/>
  <c r="AA2218" i="5"/>
  <c r="Y2218" i="5"/>
  <c r="Z2218" i="5"/>
  <c r="AA4198" i="5"/>
  <c r="Y4198" i="5"/>
  <c r="Z4198" i="5"/>
  <c r="BA244" i="6"/>
  <c r="AP244" i="6"/>
  <c r="AU244" i="6"/>
  <c r="AV244" i="6"/>
  <c r="AW245" i="6"/>
  <c r="BC245" i="6"/>
  <c r="BH245" i="6"/>
  <c r="BB245" i="6"/>
  <c r="AT243" i="6"/>
  <c r="AN243" i="6"/>
  <c r="AO243" i="6"/>
  <c r="AA5683" i="5"/>
  <c r="Z5683" i="5"/>
  <c r="Y5683" i="5"/>
  <c r="DE252" i="6"/>
  <c r="CT252" i="6"/>
  <c r="CZ252" i="6"/>
  <c r="CY252" i="6"/>
  <c r="CD249" i="6"/>
  <c r="BY249" i="6"/>
  <c r="CJ249" i="6"/>
  <c r="CE249" i="6"/>
  <c r="BD246" i="6"/>
  <c r="BO246" i="6"/>
  <c r="BJ246" i="6"/>
  <c r="BI246" i="6"/>
  <c r="DE253" i="6"/>
  <c r="CT253" i="6"/>
  <c r="CY253" i="6"/>
  <c r="CZ253" i="6"/>
  <c r="AA732" i="5"/>
  <c r="Z732" i="5"/>
  <c r="Y732" i="5"/>
  <c r="EF258" i="6"/>
  <c r="EG258" i="6" s="1"/>
  <c r="EH258" i="6" s="1"/>
  <c r="AA258" i="6" s="1"/>
  <c r="P256" i="6"/>
  <c r="H256" i="6"/>
  <c r="X256" i="6"/>
  <c r="N256" i="6"/>
  <c r="D256" i="6"/>
  <c r="F256" i="6"/>
  <c r="V256" i="6"/>
  <c r="R256" i="6"/>
  <c r="L256" i="6"/>
  <c r="T256" i="6"/>
  <c r="J256" i="6"/>
  <c r="AK256" i="6"/>
  <c r="AM256" i="6"/>
  <c r="Z256" i="6"/>
  <c r="AI256" i="6"/>
  <c r="AB256" i="6"/>
  <c r="DT256" i="6" s="1"/>
  <c r="EG257" i="6"/>
  <c r="EH257" i="6" s="1"/>
  <c r="AA257" i="6" s="1"/>
  <c r="DX255" i="6"/>
  <c r="AA6178" i="5" s="1"/>
  <c r="AP245" i="6" l="1"/>
  <c r="BA245" i="6"/>
  <c r="AU245" i="6"/>
  <c r="AV245" i="6"/>
  <c r="Y733" i="5"/>
  <c r="AA733" i="5"/>
  <c r="Z733" i="5"/>
  <c r="CR253" i="6"/>
  <c r="CS253" i="6"/>
  <c r="CM253" i="6"/>
  <c r="CX253" i="6"/>
  <c r="AA1723" i="5"/>
  <c r="Z1723" i="5"/>
  <c r="Y1723" i="5"/>
  <c r="BW249" i="6"/>
  <c r="BR249" i="6"/>
  <c r="BX249" i="6"/>
  <c r="CC249" i="6"/>
  <c r="CR252" i="6"/>
  <c r="CM252" i="6"/>
  <c r="CS252" i="6"/>
  <c r="CX252" i="6"/>
  <c r="AA1724" i="5"/>
  <c r="Y1724" i="5"/>
  <c r="Z1724" i="5"/>
  <c r="AA4694" i="5"/>
  <c r="Z4694" i="5"/>
  <c r="Y4694" i="5"/>
  <c r="CD251" i="6"/>
  <c r="BY251" i="6"/>
  <c r="CE251" i="6"/>
  <c r="CJ251" i="6"/>
  <c r="AW247" i="6"/>
  <c r="BC247" i="6"/>
  <c r="BB247" i="6"/>
  <c r="BH247" i="6"/>
  <c r="BV248" i="6"/>
  <c r="BQ248" i="6"/>
  <c r="BK248" i="6"/>
  <c r="BP248" i="6"/>
  <c r="BB246" i="6"/>
  <c r="AW246" i="6"/>
  <c r="BC246" i="6"/>
  <c r="BH246" i="6"/>
  <c r="Y4693" i="5"/>
  <c r="AA4693" i="5"/>
  <c r="Z4693" i="5"/>
  <c r="AA1228" i="5"/>
  <c r="Y1228" i="5"/>
  <c r="Z1228" i="5"/>
  <c r="AA3703" i="5"/>
  <c r="Y3703" i="5"/>
  <c r="Z3703" i="5"/>
  <c r="DO256" i="6"/>
  <c r="DY256" i="6"/>
  <c r="AT244" i="6"/>
  <c r="AN244" i="6"/>
  <c r="AO244" i="6"/>
  <c r="DE254" i="6"/>
  <c r="CT254" i="6"/>
  <c r="CY254" i="6"/>
  <c r="CZ254" i="6"/>
  <c r="AA3208" i="5"/>
  <c r="Y3208" i="5"/>
  <c r="Z3208" i="5"/>
  <c r="AA238" i="5"/>
  <c r="Y238" i="5"/>
  <c r="Z238" i="5"/>
  <c r="DH255" i="6"/>
  <c r="DS255" i="6"/>
  <c r="DM255" i="6"/>
  <c r="DN255" i="6"/>
  <c r="CD250" i="6"/>
  <c r="BY250" i="6"/>
  <c r="CE250" i="6"/>
  <c r="CJ250" i="6"/>
  <c r="AA5189" i="5"/>
  <c r="Y5189" i="5"/>
  <c r="Z5189" i="5"/>
  <c r="AA3704" i="5"/>
  <c r="Y3704" i="5"/>
  <c r="Z3704" i="5"/>
  <c r="AA2713" i="5"/>
  <c r="Y2713" i="5"/>
  <c r="Z2713" i="5"/>
  <c r="Y6178" i="5"/>
  <c r="Z6178" i="5"/>
  <c r="H258" i="6"/>
  <c r="V258" i="6"/>
  <c r="L258" i="6"/>
  <c r="T258" i="6"/>
  <c r="J258" i="6"/>
  <c r="Z258" i="6"/>
  <c r="R258" i="6"/>
  <c r="D258" i="6"/>
  <c r="X258" i="6"/>
  <c r="N258" i="6"/>
  <c r="P258" i="6"/>
  <c r="F258" i="6"/>
  <c r="AM258" i="6"/>
  <c r="AK258" i="6"/>
  <c r="AI258" i="6"/>
  <c r="AB258" i="6"/>
  <c r="DT258" i="6" s="1"/>
  <c r="F257" i="6"/>
  <c r="Z257" i="6"/>
  <c r="R257" i="6"/>
  <c r="H257" i="6"/>
  <c r="AB257" i="6"/>
  <c r="DT257" i="6" s="1"/>
  <c r="AM257" i="6"/>
  <c r="X257" i="6"/>
  <c r="P257" i="6"/>
  <c r="D257" i="6"/>
  <c r="V257" i="6"/>
  <c r="N257" i="6"/>
  <c r="J257" i="6"/>
  <c r="AI257" i="6"/>
  <c r="T257" i="6"/>
  <c r="L257" i="6"/>
  <c r="AK257" i="6"/>
  <c r="EF259" i="6"/>
  <c r="DX256" i="6"/>
  <c r="AA6179" i="5" s="1"/>
  <c r="DO257" i="6" l="1"/>
  <c r="DY257" i="6"/>
  <c r="AA3209" i="5"/>
  <c r="Y3209" i="5"/>
  <c r="Z3209" i="5"/>
  <c r="CM254" i="6"/>
  <c r="CX254" i="6"/>
  <c r="CR254" i="6"/>
  <c r="CS254" i="6"/>
  <c r="Y239" i="5"/>
  <c r="AA239" i="5"/>
  <c r="Z239" i="5"/>
  <c r="AA1229" i="5"/>
  <c r="Y1229" i="5"/>
  <c r="Z1229" i="5"/>
  <c r="AA1230" i="5"/>
  <c r="Y1230" i="5"/>
  <c r="Z1230" i="5"/>
  <c r="AA3210" i="5"/>
  <c r="Z3210" i="5"/>
  <c r="Y3210" i="5"/>
  <c r="CL252" i="6"/>
  <c r="CF252" i="6"/>
  <c r="CK252" i="6"/>
  <c r="CQ252" i="6"/>
  <c r="BV249" i="6"/>
  <c r="BK249" i="6"/>
  <c r="BQ249" i="6"/>
  <c r="BP249" i="6"/>
  <c r="DO258" i="6"/>
  <c r="DY258" i="6"/>
  <c r="AA4695" i="5"/>
  <c r="Z4695" i="5"/>
  <c r="Y4695" i="5"/>
  <c r="BD248" i="6"/>
  <c r="BO248" i="6"/>
  <c r="BJ248" i="6"/>
  <c r="BI248" i="6"/>
  <c r="AA4200" i="5"/>
  <c r="Y4200" i="5"/>
  <c r="Z4200" i="5"/>
  <c r="BR250" i="6"/>
  <c r="BX250" i="6"/>
  <c r="BW250" i="6"/>
  <c r="CC250" i="6"/>
  <c r="AA5684" i="5"/>
  <c r="Y5684" i="5"/>
  <c r="Z5684" i="5"/>
  <c r="DH256" i="6"/>
  <c r="DS256" i="6"/>
  <c r="DN256" i="6"/>
  <c r="DM256" i="6"/>
  <c r="BA246" i="6"/>
  <c r="AV246" i="6"/>
  <c r="AP246" i="6"/>
  <c r="AU246" i="6"/>
  <c r="BW251" i="6"/>
  <c r="BR251" i="6"/>
  <c r="CC251" i="6"/>
  <c r="BX251" i="6"/>
  <c r="AA4199" i="5"/>
  <c r="Y4199" i="5"/>
  <c r="Z4199" i="5"/>
  <c r="AA2714" i="5"/>
  <c r="Y2714" i="5"/>
  <c r="Z2714" i="5"/>
  <c r="CL253" i="6"/>
  <c r="CF253" i="6"/>
  <c r="CK253" i="6"/>
  <c r="CQ253" i="6"/>
  <c r="AA734" i="5"/>
  <c r="Z734" i="5"/>
  <c r="Y734" i="5"/>
  <c r="DA255" i="6"/>
  <c r="DF255" i="6"/>
  <c r="DL255" i="6"/>
  <c r="DG255" i="6"/>
  <c r="AA2219" i="5"/>
  <c r="Z2219" i="5"/>
  <c r="Y2219" i="5"/>
  <c r="BA247" i="6"/>
  <c r="AP247" i="6"/>
  <c r="AU247" i="6"/>
  <c r="AV247" i="6"/>
  <c r="AO245" i="6"/>
  <c r="AT245" i="6"/>
  <c r="AN245" i="6"/>
  <c r="Y6179" i="5"/>
  <c r="Z6179" i="5"/>
  <c r="DX257" i="6"/>
  <c r="AA6180" i="5" s="1"/>
  <c r="DX258" i="6"/>
  <c r="AA6181" i="5" s="1"/>
  <c r="EF260" i="6"/>
  <c r="EG260" i="6" s="1"/>
  <c r="EH260" i="6" s="1"/>
  <c r="AA260" i="6" s="1"/>
  <c r="EG259" i="6"/>
  <c r="EH259" i="6" s="1"/>
  <c r="AA259" i="6" s="1"/>
  <c r="AT247" i="6" l="1"/>
  <c r="AO247" i="6"/>
  <c r="AN247" i="6"/>
  <c r="AA736" i="5"/>
  <c r="Y736" i="5"/>
  <c r="Z736" i="5"/>
  <c r="AA735" i="5"/>
  <c r="Y735" i="5"/>
  <c r="Z735" i="5"/>
  <c r="AA5190" i="5"/>
  <c r="Z5190" i="5"/>
  <c r="Y5190" i="5"/>
  <c r="CD253" i="6"/>
  <c r="CE253" i="6"/>
  <c r="CJ253" i="6"/>
  <c r="BY253" i="6"/>
  <c r="AA1725" i="5"/>
  <c r="Y1725" i="5"/>
  <c r="Z1725" i="5"/>
  <c r="AA2716" i="5"/>
  <c r="Y2716" i="5"/>
  <c r="Z2716" i="5"/>
  <c r="BB248" i="6"/>
  <c r="AW248" i="6"/>
  <c r="BC248" i="6"/>
  <c r="BH248" i="6"/>
  <c r="BD249" i="6"/>
  <c r="BO249" i="6"/>
  <c r="BJ249" i="6"/>
  <c r="BI249" i="6"/>
  <c r="BY252" i="6"/>
  <c r="CD252" i="6"/>
  <c r="CE252" i="6"/>
  <c r="CJ252" i="6"/>
  <c r="AA4201" i="5"/>
  <c r="Y4201" i="5"/>
  <c r="Z4201" i="5"/>
  <c r="AA240" i="5"/>
  <c r="Z240" i="5"/>
  <c r="Y240" i="5"/>
  <c r="AA3706" i="5"/>
  <c r="Y3706" i="5"/>
  <c r="Z3706" i="5"/>
  <c r="BK251" i="6"/>
  <c r="BP251" i="6"/>
  <c r="BV251" i="6"/>
  <c r="BQ251" i="6"/>
  <c r="Y5685" i="5"/>
  <c r="AA5685" i="5"/>
  <c r="Z5685" i="5"/>
  <c r="BK250" i="6"/>
  <c r="BQ250" i="6"/>
  <c r="BV250" i="6"/>
  <c r="BP250" i="6"/>
  <c r="DS258" i="6"/>
  <c r="DH258" i="6"/>
  <c r="DM258" i="6"/>
  <c r="DN258" i="6"/>
  <c r="AA2220" i="5"/>
  <c r="Z2220" i="5"/>
  <c r="Y2220" i="5"/>
  <c r="CL254" i="6"/>
  <c r="CF254" i="6"/>
  <c r="CQ254" i="6"/>
  <c r="CK254" i="6"/>
  <c r="AO246" i="6"/>
  <c r="AN246" i="6"/>
  <c r="AT246" i="6"/>
  <c r="DE255" i="6"/>
  <c r="CT255" i="6"/>
  <c r="CY255" i="6"/>
  <c r="CZ255" i="6"/>
  <c r="DA256" i="6"/>
  <c r="DG256" i="6"/>
  <c r="DF256" i="6"/>
  <c r="DL256" i="6"/>
  <c r="AA2715" i="5"/>
  <c r="Z2715" i="5"/>
  <c r="Y2715" i="5"/>
  <c r="AA3705" i="5"/>
  <c r="Y3705" i="5"/>
  <c r="Z3705" i="5"/>
  <c r="DH257" i="6"/>
  <c r="DM257" i="6"/>
  <c r="DN257" i="6"/>
  <c r="DS257" i="6"/>
  <c r="Y6180" i="5"/>
  <c r="Z6180" i="5"/>
  <c r="Y6181" i="5"/>
  <c r="Z6181" i="5"/>
  <c r="F260" i="6"/>
  <c r="P260" i="6"/>
  <c r="L260" i="6"/>
  <c r="X260" i="6"/>
  <c r="R260" i="6"/>
  <c r="H260" i="6"/>
  <c r="V260" i="6"/>
  <c r="N260" i="6"/>
  <c r="D260" i="6"/>
  <c r="T260" i="6"/>
  <c r="J260" i="6"/>
  <c r="AK260" i="6"/>
  <c r="AB260" i="6"/>
  <c r="DT260" i="6" s="1"/>
  <c r="Z260" i="6"/>
  <c r="AM260" i="6"/>
  <c r="AI260" i="6"/>
  <c r="T259" i="6"/>
  <c r="J259" i="6"/>
  <c r="D259" i="6"/>
  <c r="Z259" i="6"/>
  <c r="R259" i="6"/>
  <c r="H259" i="6"/>
  <c r="X259" i="6"/>
  <c r="P259" i="6"/>
  <c r="V259" i="6"/>
  <c r="L259" i="6"/>
  <c r="F259" i="6"/>
  <c r="AI259" i="6"/>
  <c r="AB259" i="6"/>
  <c r="DT259" i="6" s="1"/>
  <c r="N259" i="6"/>
  <c r="AK259" i="6"/>
  <c r="AM259" i="6"/>
  <c r="EF261" i="6"/>
  <c r="EG261" i="6" s="1"/>
  <c r="EH261" i="6" s="1"/>
  <c r="AA261" i="6" s="1"/>
  <c r="AA5191" i="5" l="1"/>
  <c r="Y5191" i="5"/>
  <c r="Z5191" i="5"/>
  <c r="AA241" i="5"/>
  <c r="Z241" i="5"/>
  <c r="Y241" i="5"/>
  <c r="AA3707" i="5"/>
  <c r="Y3707" i="5"/>
  <c r="Z3707" i="5"/>
  <c r="DA258" i="6"/>
  <c r="DL258" i="6"/>
  <c r="DF258" i="6"/>
  <c r="DG258" i="6"/>
  <c r="BD251" i="6"/>
  <c r="BJ251" i="6"/>
  <c r="BI251" i="6"/>
  <c r="BO251" i="6"/>
  <c r="AA1726" i="5"/>
  <c r="Z1726" i="5"/>
  <c r="Y1726" i="5"/>
  <c r="BA248" i="6"/>
  <c r="AP248" i="6"/>
  <c r="AU248" i="6"/>
  <c r="AV248" i="6"/>
  <c r="BW253" i="6"/>
  <c r="BR253" i="6"/>
  <c r="BX253" i="6"/>
  <c r="CC253" i="6"/>
  <c r="DA257" i="6"/>
  <c r="DG257" i="6"/>
  <c r="DF257" i="6"/>
  <c r="DL257" i="6"/>
  <c r="CD254" i="6"/>
  <c r="BY254" i="6"/>
  <c r="CE254" i="6"/>
  <c r="CJ254" i="6"/>
  <c r="AA5687" i="5"/>
  <c r="Y5687" i="5"/>
  <c r="Z5687" i="5"/>
  <c r="BR252" i="6"/>
  <c r="CC252" i="6"/>
  <c r="BW252" i="6"/>
  <c r="BX252" i="6"/>
  <c r="AW249" i="6"/>
  <c r="BC249" i="6"/>
  <c r="BB249" i="6"/>
  <c r="BH249" i="6"/>
  <c r="AA3212" i="5"/>
  <c r="Y3212" i="5"/>
  <c r="Z3212" i="5"/>
  <c r="DO259" i="6"/>
  <c r="DY259" i="6"/>
  <c r="BD250" i="6"/>
  <c r="BJ250" i="6"/>
  <c r="BI250" i="6"/>
  <c r="BO250" i="6"/>
  <c r="AA5686" i="5"/>
  <c r="Y5686" i="5"/>
  <c r="Z5686" i="5"/>
  <c r="CR255" i="6"/>
  <c r="CS255" i="6"/>
  <c r="CM255" i="6"/>
  <c r="CX255" i="6"/>
  <c r="AA2222" i="5"/>
  <c r="Z2222" i="5"/>
  <c r="Y2222" i="5"/>
  <c r="AA3211" i="5"/>
  <c r="Y3211" i="5"/>
  <c r="Z3211" i="5"/>
  <c r="Y1231" i="5"/>
  <c r="AA1231" i="5"/>
  <c r="Z1231" i="5"/>
  <c r="DO260" i="6"/>
  <c r="DY260" i="6"/>
  <c r="DE256" i="6"/>
  <c r="CT256" i="6"/>
  <c r="CZ256" i="6"/>
  <c r="CY256" i="6"/>
  <c r="AA4696" i="5"/>
  <c r="Y4696" i="5"/>
  <c r="Z4696" i="5"/>
  <c r="AA2221" i="5"/>
  <c r="Y2221" i="5"/>
  <c r="Z2221" i="5"/>
  <c r="AA242" i="5"/>
  <c r="Y242" i="5"/>
  <c r="Z242" i="5"/>
  <c r="F261" i="6"/>
  <c r="Z261" i="6"/>
  <c r="V261" i="6"/>
  <c r="N261" i="6"/>
  <c r="D261" i="6"/>
  <c r="T261" i="6"/>
  <c r="L261" i="6"/>
  <c r="AM261" i="6"/>
  <c r="R261" i="6"/>
  <c r="J261" i="6"/>
  <c r="AI261" i="6"/>
  <c r="AB261" i="6"/>
  <c r="DT261" i="6" s="1"/>
  <c r="X261" i="6"/>
  <c r="P261" i="6"/>
  <c r="H261" i="6"/>
  <c r="AK261" i="6"/>
  <c r="EF262" i="6"/>
  <c r="EG262" i="6" s="1"/>
  <c r="EH262" i="6" s="1"/>
  <c r="AA262" i="6" s="1"/>
  <c r="DX259" i="6"/>
  <c r="AA6182" i="5" s="1"/>
  <c r="DX260" i="6"/>
  <c r="AA6183" i="5" s="1"/>
  <c r="CR256" i="6" l="1"/>
  <c r="CM256" i="6"/>
  <c r="CS256" i="6"/>
  <c r="CX256" i="6"/>
  <c r="AA1727" i="5"/>
  <c r="Y1727" i="5"/>
  <c r="Z1727" i="5"/>
  <c r="AP249" i="6"/>
  <c r="AU249" i="6"/>
  <c r="AV249" i="6"/>
  <c r="BA249" i="6"/>
  <c r="BV252" i="6"/>
  <c r="BK252" i="6"/>
  <c r="BQ252" i="6"/>
  <c r="BP252" i="6"/>
  <c r="AA3213" i="5"/>
  <c r="Y3213" i="5"/>
  <c r="Z3213" i="5"/>
  <c r="AA5192" i="5"/>
  <c r="Y5192" i="5"/>
  <c r="Z5192" i="5"/>
  <c r="AA2718" i="5"/>
  <c r="Y2718" i="5"/>
  <c r="Z2718" i="5"/>
  <c r="CL255" i="6"/>
  <c r="CF255" i="6"/>
  <c r="CK255" i="6"/>
  <c r="CQ255" i="6"/>
  <c r="DY261" i="6"/>
  <c r="DO261" i="6"/>
  <c r="Z4697" i="5"/>
  <c r="Y4697" i="5"/>
  <c r="AA4697" i="5"/>
  <c r="AA4202" i="5"/>
  <c r="Y4202" i="5"/>
  <c r="Z4202" i="5"/>
  <c r="DH259" i="6"/>
  <c r="DM259" i="6"/>
  <c r="DS259" i="6"/>
  <c r="DN259" i="6"/>
  <c r="AA1232" i="5"/>
  <c r="Z1232" i="5"/>
  <c r="Y1232" i="5"/>
  <c r="AA5193" i="5"/>
  <c r="Y5193" i="5"/>
  <c r="Z5193" i="5"/>
  <c r="BR254" i="6"/>
  <c r="BX254" i="6"/>
  <c r="CC254" i="6"/>
  <c r="BW254" i="6"/>
  <c r="BV253" i="6"/>
  <c r="BQ253" i="6"/>
  <c r="BP253" i="6"/>
  <c r="BK253" i="6"/>
  <c r="AT248" i="6"/>
  <c r="AN248" i="6"/>
  <c r="AO248" i="6"/>
  <c r="AW251" i="6"/>
  <c r="BB251" i="6"/>
  <c r="BC251" i="6"/>
  <c r="BH251" i="6"/>
  <c r="DE258" i="6"/>
  <c r="CT258" i="6"/>
  <c r="CY258" i="6"/>
  <c r="CZ258" i="6"/>
  <c r="DS260" i="6"/>
  <c r="DH260" i="6"/>
  <c r="DM260" i="6"/>
  <c r="DN260" i="6"/>
  <c r="BB250" i="6"/>
  <c r="AW250" i="6"/>
  <c r="BC250" i="6"/>
  <c r="BH250" i="6"/>
  <c r="AA2717" i="5"/>
  <c r="Z2717" i="5"/>
  <c r="Y2717" i="5"/>
  <c r="DE257" i="6"/>
  <c r="CT257" i="6"/>
  <c r="CY257" i="6"/>
  <c r="CZ257" i="6"/>
  <c r="AA737" i="5"/>
  <c r="Y737" i="5"/>
  <c r="Z737" i="5"/>
  <c r="AA1728" i="5"/>
  <c r="Y1728" i="5"/>
  <c r="Z1728" i="5"/>
  <c r="Y6183" i="5"/>
  <c r="Z6183" i="5"/>
  <c r="Y6182" i="5"/>
  <c r="Z6182" i="5"/>
  <c r="DX261" i="6"/>
  <c r="AA6184" i="5" s="1"/>
  <c r="EF263" i="6"/>
  <c r="EG263" i="6" s="1"/>
  <c r="EH263" i="6" s="1"/>
  <c r="AA263" i="6" s="1"/>
  <c r="V262" i="6"/>
  <c r="N262" i="6"/>
  <c r="H262" i="6"/>
  <c r="X262" i="6"/>
  <c r="L262" i="6"/>
  <c r="D262" i="6"/>
  <c r="Z262" i="6"/>
  <c r="T262" i="6"/>
  <c r="P262" i="6"/>
  <c r="R262" i="6"/>
  <c r="J262" i="6"/>
  <c r="AM262" i="6"/>
  <c r="AI262" i="6"/>
  <c r="AK262" i="6"/>
  <c r="AB262" i="6"/>
  <c r="DT262" i="6" s="1"/>
  <c r="F262" i="6"/>
  <c r="BA251" i="6" l="1"/>
  <c r="AP251" i="6"/>
  <c r="AU251" i="6"/>
  <c r="AV251" i="6"/>
  <c r="AA1233" i="5"/>
  <c r="Z1233" i="5"/>
  <c r="Y1233" i="5"/>
  <c r="AA1234" i="5"/>
  <c r="Z1234" i="5"/>
  <c r="Y1234" i="5"/>
  <c r="DO262" i="6"/>
  <c r="DY262" i="6"/>
  <c r="AA3708" i="5"/>
  <c r="Y3708" i="5"/>
  <c r="Z3708" i="5"/>
  <c r="AA2223" i="5"/>
  <c r="Y2223" i="5"/>
  <c r="Z2223" i="5"/>
  <c r="AT249" i="6"/>
  <c r="AO249" i="6"/>
  <c r="AN249" i="6"/>
  <c r="AA4203" i="5"/>
  <c r="Y4203" i="5"/>
  <c r="Z4203" i="5"/>
  <c r="BA250" i="6"/>
  <c r="AP250" i="6"/>
  <c r="AV250" i="6"/>
  <c r="AU250" i="6"/>
  <c r="DA260" i="6"/>
  <c r="DL260" i="6"/>
  <c r="DF260" i="6"/>
  <c r="DG260" i="6"/>
  <c r="CM258" i="6"/>
  <c r="CX258" i="6"/>
  <c r="CR258" i="6"/>
  <c r="CS258" i="6"/>
  <c r="Y243" i="5"/>
  <c r="AA243" i="5"/>
  <c r="Z243" i="5"/>
  <c r="AA2224" i="5"/>
  <c r="Y2224" i="5"/>
  <c r="Z2224" i="5"/>
  <c r="BQ254" i="6"/>
  <c r="BK254" i="6"/>
  <c r="BV254" i="6"/>
  <c r="BP254" i="6"/>
  <c r="AA5688" i="5"/>
  <c r="Y5688" i="5"/>
  <c r="Z5688" i="5"/>
  <c r="AA738" i="5"/>
  <c r="Z738" i="5"/>
  <c r="Y738" i="5"/>
  <c r="CR257" i="6"/>
  <c r="CS257" i="6"/>
  <c r="CM257" i="6"/>
  <c r="CX257" i="6"/>
  <c r="Y5689" i="5"/>
  <c r="AA5689" i="5"/>
  <c r="Z5689" i="5"/>
  <c r="BD253" i="6"/>
  <c r="BO253" i="6"/>
  <c r="BJ253" i="6"/>
  <c r="BI253" i="6"/>
  <c r="DH261" i="6"/>
  <c r="DM261" i="6"/>
  <c r="DS261" i="6"/>
  <c r="DN261" i="6"/>
  <c r="CD255" i="6"/>
  <c r="BY255" i="6"/>
  <c r="CE255" i="6"/>
  <c r="CJ255" i="6"/>
  <c r="CL256" i="6"/>
  <c r="CF256" i="6"/>
  <c r="CQ256" i="6"/>
  <c r="CK256" i="6"/>
  <c r="AA4699" i="5"/>
  <c r="Y4699" i="5"/>
  <c r="Z4699" i="5"/>
  <c r="AA4698" i="5"/>
  <c r="Y4698" i="5"/>
  <c r="Z4698" i="5"/>
  <c r="AA2719" i="5"/>
  <c r="Y2719" i="5"/>
  <c r="Z2719" i="5"/>
  <c r="DA259" i="6"/>
  <c r="DL259" i="6"/>
  <c r="DG259" i="6"/>
  <c r="DF259" i="6"/>
  <c r="BD252" i="6"/>
  <c r="BJ252" i="6"/>
  <c r="BI252" i="6"/>
  <c r="BO252" i="6"/>
  <c r="Y6184" i="5"/>
  <c r="Z6184" i="5"/>
  <c r="EF264" i="6"/>
  <c r="DX262" i="6"/>
  <c r="AA6185" i="5" s="1"/>
  <c r="Z263" i="6"/>
  <c r="V263" i="6"/>
  <c r="L263" i="6"/>
  <c r="T263" i="6"/>
  <c r="J263" i="6"/>
  <c r="AB263" i="6"/>
  <c r="DT263" i="6" s="1"/>
  <c r="R263" i="6"/>
  <c r="N263" i="6"/>
  <c r="F263" i="6"/>
  <c r="X263" i="6"/>
  <c r="P263" i="6"/>
  <c r="H263" i="6"/>
  <c r="AI263" i="6"/>
  <c r="D263" i="6"/>
  <c r="AM263" i="6"/>
  <c r="AK263" i="6"/>
  <c r="DE259" i="6" l="1"/>
  <c r="CT259" i="6"/>
  <c r="CY259" i="6"/>
  <c r="CZ259" i="6"/>
  <c r="AA1729" i="5"/>
  <c r="Y1729" i="5"/>
  <c r="Z1729" i="5"/>
  <c r="DA261" i="6"/>
  <c r="DL261" i="6"/>
  <c r="DF261" i="6"/>
  <c r="DG261" i="6"/>
  <c r="AW253" i="6"/>
  <c r="BC253" i="6"/>
  <c r="BB253" i="6"/>
  <c r="BH253" i="6"/>
  <c r="AA4204" i="5"/>
  <c r="Z4204" i="5"/>
  <c r="Y4204" i="5"/>
  <c r="BD254" i="6"/>
  <c r="BI254" i="6"/>
  <c r="BO254" i="6"/>
  <c r="BJ254" i="6"/>
  <c r="BB252" i="6"/>
  <c r="AW252" i="6"/>
  <c r="BC252" i="6"/>
  <c r="BH252" i="6"/>
  <c r="AA3214" i="5"/>
  <c r="Z3214" i="5"/>
  <c r="Y3214" i="5"/>
  <c r="CL257" i="6"/>
  <c r="CF257" i="6"/>
  <c r="CK257" i="6"/>
  <c r="CQ257" i="6"/>
  <c r="AA244" i="5"/>
  <c r="Y244" i="5"/>
  <c r="Z244" i="5"/>
  <c r="DS262" i="6"/>
  <c r="DH262" i="6"/>
  <c r="DN262" i="6"/>
  <c r="DM262" i="6"/>
  <c r="DO263" i="6"/>
  <c r="DY263" i="6"/>
  <c r="AA5194" i="5"/>
  <c r="Y5194" i="5"/>
  <c r="Z5194" i="5"/>
  <c r="AA3709" i="5"/>
  <c r="Y3709" i="5"/>
  <c r="Z3709" i="5"/>
  <c r="AA5690" i="5"/>
  <c r="Y5690" i="5"/>
  <c r="Z5690" i="5"/>
  <c r="AA4205" i="5"/>
  <c r="Y4205" i="5"/>
  <c r="Z4205" i="5"/>
  <c r="AA5195" i="5"/>
  <c r="Y5195" i="5"/>
  <c r="Z5195" i="5"/>
  <c r="AN250" i="6"/>
  <c r="AT250" i="6"/>
  <c r="AO250" i="6"/>
  <c r="AT251" i="6"/>
  <c r="AO251" i="6"/>
  <c r="AN251" i="6"/>
  <c r="BY256" i="6"/>
  <c r="CD256" i="6"/>
  <c r="CE256" i="6"/>
  <c r="CJ256" i="6"/>
  <c r="BW255" i="6"/>
  <c r="BR255" i="6"/>
  <c r="CC255" i="6"/>
  <c r="BX255" i="6"/>
  <c r="AA1730" i="5"/>
  <c r="Z1730" i="5"/>
  <c r="Y1730" i="5"/>
  <c r="AA2225" i="5"/>
  <c r="Z2225" i="5"/>
  <c r="Y2225" i="5"/>
  <c r="CL258" i="6"/>
  <c r="CF258" i="6"/>
  <c r="CK258" i="6"/>
  <c r="CQ258" i="6"/>
  <c r="DE260" i="6"/>
  <c r="CT260" i="6"/>
  <c r="CZ260" i="6"/>
  <c r="CY260" i="6"/>
  <c r="AA739" i="5"/>
  <c r="Y739" i="5"/>
  <c r="Z739" i="5"/>
  <c r="AA740" i="5"/>
  <c r="Z740" i="5"/>
  <c r="Y740" i="5"/>
  <c r="Y6185" i="5"/>
  <c r="Z6185" i="5"/>
  <c r="EF265" i="6"/>
  <c r="EG265" i="6" s="1"/>
  <c r="EH265" i="6" s="1"/>
  <c r="AA265" i="6" s="1"/>
  <c r="EG264" i="6"/>
  <c r="EH264" i="6" s="1"/>
  <c r="AA264" i="6" s="1"/>
  <c r="DX263" i="6"/>
  <c r="AA6186" i="5" s="1"/>
  <c r="BR256" i="6" l="1"/>
  <c r="BX256" i="6"/>
  <c r="CC256" i="6"/>
  <c r="BW256" i="6"/>
  <c r="BA252" i="6"/>
  <c r="AP252" i="6"/>
  <c r="AU252" i="6"/>
  <c r="AV252" i="6"/>
  <c r="AP253" i="6"/>
  <c r="AV253" i="6"/>
  <c r="BA253" i="6"/>
  <c r="AU253" i="6"/>
  <c r="DE261" i="6"/>
  <c r="CT261" i="6"/>
  <c r="CZ261" i="6"/>
  <c r="CY261" i="6"/>
  <c r="CD258" i="6"/>
  <c r="BY258" i="6"/>
  <c r="CJ258" i="6"/>
  <c r="CE258" i="6"/>
  <c r="AA3215" i="5"/>
  <c r="Y3215" i="5"/>
  <c r="Z3215" i="5"/>
  <c r="AA245" i="5"/>
  <c r="Y245" i="5"/>
  <c r="Z245" i="5"/>
  <c r="CD257" i="6"/>
  <c r="BY257" i="6"/>
  <c r="CE257" i="6"/>
  <c r="CJ257" i="6"/>
  <c r="BB254" i="6"/>
  <c r="AW254" i="6"/>
  <c r="BC254" i="6"/>
  <c r="BH254" i="6"/>
  <c r="AA1236" i="5"/>
  <c r="Y1236" i="5"/>
  <c r="Z1236" i="5"/>
  <c r="CR260" i="6"/>
  <c r="CM260" i="6"/>
  <c r="CS260" i="6"/>
  <c r="CX260" i="6"/>
  <c r="Z4701" i="5"/>
  <c r="Y4701" i="5"/>
  <c r="AA4701" i="5"/>
  <c r="AA2720" i="5"/>
  <c r="Y2720" i="5"/>
  <c r="Z2720" i="5"/>
  <c r="DA262" i="6"/>
  <c r="DF262" i="6"/>
  <c r="DL262" i="6"/>
  <c r="DG262" i="6"/>
  <c r="Y1235" i="5"/>
  <c r="AA1235" i="5"/>
  <c r="Z1235" i="5"/>
  <c r="CR259" i="6"/>
  <c r="CS259" i="6"/>
  <c r="CM259" i="6"/>
  <c r="CX259" i="6"/>
  <c r="AA3711" i="5"/>
  <c r="Y3711" i="5"/>
  <c r="Z3711" i="5"/>
  <c r="BK255" i="6"/>
  <c r="BV255" i="6"/>
  <c r="BQ255" i="6"/>
  <c r="BP255" i="6"/>
  <c r="AA246" i="5"/>
  <c r="Y246" i="5"/>
  <c r="Z246" i="5"/>
  <c r="DH263" i="6"/>
  <c r="DS263" i="6"/>
  <c r="DM263" i="6"/>
  <c r="DN263" i="6"/>
  <c r="AA5691" i="5"/>
  <c r="Y5691" i="5"/>
  <c r="Z5691" i="5"/>
  <c r="AA3710" i="5"/>
  <c r="Y3710" i="5"/>
  <c r="Z3710" i="5"/>
  <c r="AA1731" i="5"/>
  <c r="Y1731" i="5"/>
  <c r="Z1731" i="5"/>
  <c r="AA5196" i="5"/>
  <c r="Y5196" i="5"/>
  <c r="Z5196" i="5"/>
  <c r="AA4700" i="5"/>
  <c r="Y4700" i="5"/>
  <c r="Z4700" i="5"/>
  <c r="Y6186" i="5"/>
  <c r="Z6186" i="5"/>
  <c r="F264" i="6"/>
  <c r="T264" i="6"/>
  <c r="J264" i="6"/>
  <c r="R264" i="6"/>
  <c r="L264" i="6"/>
  <c r="X264" i="6"/>
  <c r="P264" i="6"/>
  <c r="D264" i="6"/>
  <c r="V264" i="6"/>
  <c r="N264" i="6"/>
  <c r="AK264" i="6"/>
  <c r="Z264" i="6"/>
  <c r="AM264" i="6"/>
  <c r="H264" i="6"/>
  <c r="AI264" i="6"/>
  <c r="AB264" i="6"/>
  <c r="DT264" i="6" s="1"/>
  <c r="EF266" i="6"/>
  <c r="EG266" i="6" s="1"/>
  <c r="EH266" i="6" s="1"/>
  <c r="AA266" i="6" s="1"/>
  <c r="F265" i="6"/>
  <c r="Z265" i="6"/>
  <c r="P265" i="6"/>
  <c r="T265" i="6"/>
  <c r="X265" i="6"/>
  <c r="N265" i="6"/>
  <c r="D265" i="6"/>
  <c r="V265" i="6"/>
  <c r="L265" i="6"/>
  <c r="H265" i="6"/>
  <c r="AI265" i="6"/>
  <c r="AB265" i="6"/>
  <c r="DT265" i="6" s="1"/>
  <c r="R265" i="6"/>
  <c r="J265" i="6"/>
  <c r="AK265" i="6"/>
  <c r="AM265" i="6"/>
  <c r="DA263" i="6" l="1"/>
  <c r="DG263" i="6"/>
  <c r="DL263" i="6"/>
  <c r="DF263" i="6"/>
  <c r="DE262" i="6"/>
  <c r="CT262" i="6"/>
  <c r="CY262" i="6"/>
  <c r="CZ262" i="6"/>
  <c r="BA254" i="6"/>
  <c r="AP254" i="6"/>
  <c r="AV254" i="6"/>
  <c r="AU254" i="6"/>
  <c r="BW257" i="6"/>
  <c r="BR257" i="6"/>
  <c r="BX257" i="6"/>
  <c r="CC257" i="6"/>
  <c r="AA2226" i="5"/>
  <c r="Z2226" i="5"/>
  <c r="Y2226" i="5"/>
  <c r="CL260" i="6"/>
  <c r="CF260" i="6"/>
  <c r="CK260" i="6"/>
  <c r="CQ260" i="6"/>
  <c r="AA3217" i="5"/>
  <c r="Y3217" i="5"/>
  <c r="Z3217" i="5"/>
  <c r="AA742" i="5"/>
  <c r="Y742" i="5"/>
  <c r="Z742" i="5"/>
  <c r="AA2721" i="5"/>
  <c r="Z2721" i="5"/>
  <c r="Y2721" i="5"/>
  <c r="DY265" i="6"/>
  <c r="DO265" i="6"/>
  <c r="AA5692" i="5"/>
  <c r="Y5692" i="5"/>
  <c r="Z5692" i="5"/>
  <c r="BD255" i="6"/>
  <c r="BI255" i="6"/>
  <c r="BO255" i="6"/>
  <c r="BJ255" i="6"/>
  <c r="Y4206" i="5"/>
  <c r="AA4206" i="5"/>
  <c r="Z4206" i="5"/>
  <c r="AA5197" i="5"/>
  <c r="Y5197" i="5"/>
  <c r="Z5197" i="5"/>
  <c r="AA1237" i="5"/>
  <c r="Y1237" i="5"/>
  <c r="Z1237" i="5"/>
  <c r="AA3216" i="5"/>
  <c r="Y3216" i="5"/>
  <c r="Z3216" i="5"/>
  <c r="BR258" i="6"/>
  <c r="CC258" i="6"/>
  <c r="BW258" i="6"/>
  <c r="BX258" i="6"/>
  <c r="CR261" i="6"/>
  <c r="CS261" i="6"/>
  <c r="CM261" i="6"/>
  <c r="CX261" i="6"/>
  <c r="AT252" i="6"/>
  <c r="AN252" i="6"/>
  <c r="AO252" i="6"/>
  <c r="DO264" i="6"/>
  <c r="DY264" i="6"/>
  <c r="CL259" i="6"/>
  <c r="CF259" i="6"/>
  <c r="CK259" i="6"/>
  <c r="CQ259" i="6"/>
  <c r="AA4207" i="5"/>
  <c r="Y4207" i="5"/>
  <c r="Z4207" i="5"/>
  <c r="AA4702" i="5"/>
  <c r="Z4702" i="5"/>
  <c r="Y4702" i="5"/>
  <c r="AO253" i="6"/>
  <c r="AT253" i="6"/>
  <c r="AN253" i="6"/>
  <c r="Y741" i="5"/>
  <c r="AA741" i="5"/>
  <c r="Z741" i="5"/>
  <c r="BV256" i="6"/>
  <c r="BQ256" i="6"/>
  <c r="BP256" i="6"/>
  <c r="BK256" i="6"/>
  <c r="Z266" i="6"/>
  <c r="T266" i="6"/>
  <c r="L266" i="6"/>
  <c r="R266" i="6"/>
  <c r="J266" i="6"/>
  <c r="X266" i="6"/>
  <c r="N266" i="6"/>
  <c r="D266" i="6"/>
  <c r="V266" i="6"/>
  <c r="P266" i="6"/>
  <c r="H266" i="6"/>
  <c r="AM266" i="6"/>
  <c r="F266" i="6"/>
  <c r="AK266" i="6"/>
  <c r="AI266" i="6"/>
  <c r="AB266" i="6"/>
  <c r="DT266" i="6" s="1"/>
  <c r="DX264" i="6"/>
  <c r="AA6187" i="5" s="1"/>
  <c r="DX265" i="6"/>
  <c r="AA6188" i="5" s="1"/>
  <c r="EF267" i="6"/>
  <c r="EG267" i="6" s="1"/>
  <c r="EH267" i="6" s="1"/>
  <c r="AA267" i="6" s="1"/>
  <c r="DO266" i="6" l="1"/>
  <c r="DY266" i="6"/>
  <c r="Y247" i="5"/>
  <c r="AA247" i="5"/>
  <c r="Z247" i="5"/>
  <c r="AA4208" i="5"/>
  <c r="Z4208" i="5"/>
  <c r="Y4208" i="5"/>
  <c r="CD259" i="6"/>
  <c r="BY259" i="6"/>
  <c r="CE259" i="6"/>
  <c r="CJ259" i="6"/>
  <c r="CL261" i="6"/>
  <c r="CF261" i="6"/>
  <c r="CK261" i="6"/>
  <c r="CQ261" i="6"/>
  <c r="AA1732" i="5"/>
  <c r="Z1732" i="5"/>
  <c r="Y1732" i="5"/>
  <c r="AA2722" i="5"/>
  <c r="Y2722" i="5"/>
  <c r="Z2722" i="5"/>
  <c r="Y2227" i="5"/>
  <c r="AA2227" i="5"/>
  <c r="Z2227" i="5"/>
  <c r="AA2723" i="5"/>
  <c r="Y2723" i="5"/>
  <c r="Z2723" i="5"/>
  <c r="AA3713" i="5"/>
  <c r="Y3713" i="5"/>
  <c r="Z3713" i="5"/>
  <c r="AA5198" i="5"/>
  <c r="Y5198" i="5"/>
  <c r="Z5198" i="5"/>
  <c r="BK258" i="6"/>
  <c r="BV258" i="6"/>
  <c r="BP258" i="6"/>
  <c r="BQ258" i="6"/>
  <c r="BB255" i="6"/>
  <c r="AW255" i="6"/>
  <c r="BH255" i="6"/>
  <c r="BC255" i="6"/>
  <c r="DH265" i="6"/>
  <c r="DN265" i="6"/>
  <c r="DM265" i="6"/>
  <c r="DS265" i="6"/>
  <c r="BV257" i="6"/>
  <c r="BK257" i="6"/>
  <c r="BQ257" i="6"/>
  <c r="BP257" i="6"/>
  <c r="AT254" i="6"/>
  <c r="AN254" i="6"/>
  <c r="AO254" i="6"/>
  <c r="CM262" i="6"/>
  <c r="CR262" i="6"/>
  <c r="CX262" i="6"/>
  <c r="CS262" i="6"/>
  <c r="BD256" i="6"/>
  <c r="BI256" i="6"/>
  <c r="BO256" i="6"/>
  <c r="BJ256" i="6"/>
  <c r="AA248" i="5"/>
  <c r="Y248" i="5"/>
  <c r="Z248" i="5"/>
  <c r="AA3712" i="5"/>
  <c r="Y3712" i="5"/>
  <c r="Z3712" i="5"/>
  <c r="DH264" i="6"/>
  <c r="DS264" i="6"/>
  <c r="DM264" i="6"/>
  <c r="DN264" i="6"/>
  <c r="BY260" i="6"/>
  <c r="CE260" i="6"/>
  <c r="CJ260" i="6"/>
  <c r="CD260" i="6"/>
  <c r="AA743" i="5"/>
  <c r="Y743" i="5"/>
  <c r="Z743" i="5"/>
  <c r="AA4703" i="5"/>
  <c r="Z4703" i="5"/>
  <c r="Y4703" i="5"/>
  <c r="DE263" i="6"/>
  <c r="CT263" i="6"/>
  <c r="CY263" i="6"/>
  <c r="CZ263" i="6"/>
  <c r="Y6188" i="5"/>
  <c r="Z6188" i="5"/>
  <c r="Y6187" i="5"/>
  <c r="Z6187" i="5"/>
  <c r="DX266" i="6"/>
  <c r="AA6189" i="5" s="1"/>
  <c r="EF268" i="6"/>
  <c r="EG268" i="6" s="1"/>
  <c r="EH268" i="6" s="1"/>
  <c r="AA268" i="6" s="1"/>
  <c r="D267" i="6"/>
  <c r="X267" i="6"/>
  <c r="P267" i="6"/>
  <c r="H267" i="6"/>
  <c r="V267" i="6"/>
  <c r="L267" i="6"/>
  <c r="F267" i="6"/>
  <c r="T267" i="6"/>
  <c r="N267" i="6"/>
  <c r="Z267" i="6"/>
  <c r="R267" i="6"/>
  <c r="J267" i="6"/>
  <c r="AI267" i="6"/>
  <c r="AK267" i="6"/>
  <c r="AB267" i="6"/>
  <c r="DT267" i="6" s="1"/>
  <c r="AM267" i="6"/>
  <c r="BR260" i="6" l="1"/>
  <c r="BX260" i="6"/>
  <c r="BW260" i="6"/>
  <c r="CC260" i="6"/>
  <c r="DA264" i="6"/>
  <c r="DF264" i="6"/>
  <c r="DL264" i="6"/>
  <c r="DG264" i="6"/>
  <c r="AA1733" i="5"/>
  <c r="Z1733" i="5"/>
  <c r="Y1733" i="5"/>
  <c r="AA4209" i="5"/>
  <c r="Y4209" i="5"/>
  <c r="Z4209" i="5"/>
  <c r="BD257" i="6"/>
  <c r="BJ257" i="6"/>
  <c r="BI257" i="6"/>
  <c r="BO257" i="6"/>
  <c r="BA255" i="6"/>
  <c r="AP255" i="6"/>
  <c r="AU255" i="6"/>
  <c r="AV255" i="6"/>
  <c r="AA2229" i="5"/>
  <c r="Y2229" i="5"/>
  <c r="Z2229" i="5"/>
  <c r="AA3714" i="5"/>
  <c r="Y3714" i="5"/>
  <c r="Z3714" i="5"/>
  <c r="AA3218" i="5"/>
  <c r="Z3218" i="5"/>
  <c r="Y3218" i="5"/>
  <c r="CR263" i="6"/>
  <c r="CS263" i="6"/>
  <c r="CM263" i="6"/>
  <c r="CX263" i="6"/>
  <c r="AA249" i="5"/>
  <c r="Z249" i="5"/>
  <c r="Y249" i="5"/>
  <c r="AA2228" i="5"/>
  <c r="Z2228" i="5"/>
  <c r="Y2228" i="5"/>
  <c r="DA265" i="6"/>
  <c r="DF265" i="6"/>
  <c r="DL265" i="6"/>
  <c r="DG265" i="6"/>
  <c r="BD258" i="6"/>
  <c r="BO258" i="6"/>
  <c r="BJ258" i="6"/>
  <c r="BI258" i="6"/>
  <c r="AA4704" i="5"/>
  <c r="Y4704" i="5"/>
  <c r="Z4704" i="5"/>
  <c r="AA3219" i="5"/>
  <c r="Y3219" i="5"/>
  <c r="Z3219" i="5"/>
  <c r="BB256" i="6"/>
  <c r="AW256" i="6"/>
  <c r="BC256" i="6"/>
  <c r="BH256" i="6"/>
  <c r="CL262" i="6"/>
  <c r="CF262" i="6"/>
  <c r="CQ262" i="6"/>
  <c r="CK262" i="6"/>
  <c r="AA5694" i="5"/>
  <c r="Y5694" i="5"/>
  <c r="Z5694" i="5"/>
  <c r="CD261" i="6"/>
  <c r="BY261" i="6"/>
  <c r="CE261" i="6"/>
  <c r="CJ261" i="6"/>
  <c r="BW259" i="6"/>
  <c r="BR259" i="6"/>
  <c r="CC259" i="6"/>
  <c r="BX259" i="6"/>
  <c r="DO267" i="6"/>
  <c r="DY267" i="6"/>
  <c r="AA5693" i="5"/>
  <c r="Y5693" i="5"/>
  <c r="Z5693" i="5"/>
  <c r="AA1238" i="5"/>
  <c r="Y1238" i="5"/>
  <c r="Z1238" i="5"/>
  <c r="DS266" i="6"/>
  <c r="DH266" i="6"/>
  <c r="DM266" i="6"/>
  <c r="DN266" i="6"/>
  <c r="Y6189" i="5"/>
  <c r="Z6189" i="5"/>
  <c r="F268" i="6"/>
  <c r="V268" i="6"/>
  <c r="N268" i="6"/>
  <c r="D268" i="6"/>
  <c r="T268" i="6"/>
  <c r="J268" i="6"/>
  <c r="R268" i="6"/>
  <c r="L268" i="6"/>
  <c r="X268" i="6"/>
  <c r="P268" i="6"/>
  <c r="H268" i="6"/>
  <c r="Z268" i="6"/>
  <c r="AK268" i="6"/>
  <c r="AM268" i="6"/>
  <c r="AI268" i="6"/>
  <c r="AB268" i="6"/>
  <c r="DT268" i="6" s="1"/>
  <c r="EF269" i="6"/>
  <c r="DX267" i="6"/>
  <c r="AA6190" i="5" s="1"/>
  <c r="DO268" i="6" l="1"/>
  <c r="DY268" i="6"/>
  <c r="DA266" i="6"/>
  <c r="DL266" i="6"/>
  <c r="DF266" i="6"/>
  <c r="DG266" i="6"/>
  <c r="BK259" i="6"/>
  <c r="BQ259" i="6"/>
  <c r="BP259" i="6"/>
  <c r="BV259" i="6"/>
  <c r="BW261" i="6"/>
  <c r="BR261" i="6"/>
  <c r="BX261" i="6"/>
  <c r="CC261" i="6"/>
  <c r="AA5200" i="5"/>
  <c r="Z5200" i="5"/>
  <c r="Y5200" i="5"/>
  <c r="AN255" i="6"/>
  <c r="AT255" i="6"/>
  <c r="AO255" i="6"/>
  <c r="AA2725" i="5"/>
  <c r="Y2725" i="5"/>
  <c r="Z2725" i="5"/>
  <c r="AA2724" i="5"/>
  <c r="Y2724" i="5"/>
  <c r="Z2724" i="5"/>
  <c r="DH267" i="6"/>
  <c r="DM267" i="6"/>
  <c r="DS267" i="6"/>
  <c r="DN267" i="6"/>
  <c r="Y1239" i="5"/>
  <c r="AA1239" i="5"/>
  <c r="Z1239" i="5"/>
  <c r="AA1735" i="5"/>
  <c r="Z1735" i="5"/>
  <c r="Y1735" i="5"/>
  <c r="AA4210" i="5"/>
  <c r="Y4210" i="5"/>
  <c r="Z4210" i="5"/>
  <c r="AA744" i="5"/>
  <c r="Y744" i="5"/>
  <c r="Z744" i="5"/>
  <c r="AW257" i="6"/>
  <c r="BH257" i="6"/>
  <c r="BB257" i="6"/>
  <c r="BC257" i="6"/>
  <c r="AA5199" i="5"/>
  <c r="Y5199" i="5"/>
  <c r="Z5199" i="5"/>
  <c r="AA5695" i="5"/>
  <c r="Y5695" i="5"/>
  <c r="Z5695" i="5"/>
  <c r="AA3220" i="5"/>
  <c r="Y3220" i="5"/>
  <c r="Z3220" i="5"/>
  <c r="AA3715" i="5"/>
  <c r="Y3715" i="5"/>
  <c r="Z3715" i="5"/>
  <c r="BB258" i="6"/>
  <c r="AW258" i="6"/>
  <c r="BC258" i="6"/>
  <c r="BH258" i="6"/>
  <c r="DE265" i="6"/>
  <c r="CT265" i="6"/>
  <c r="CZ265" i="6"/>
  <c r="CY265" i="6"/>
  <c r="CL263" i="6"/>
  <c r="CF263" i="6"/>
  <c r="CK263" i="6"/>
  <c r="CQ263" i="6"/>
  <c r="AA1734" i="5"/>
  <c r="Y1734" i="5"/>
  <c r="Z1734" i="5"/>
  <c r="CD262" i="6"/>
  <c r="BY262" i="6"/>
  <c r="CE262" i="6"/>
  <c r="CJ262" i="6"/>
  <c r="BA256" i="6"/>
  <c r="AU256" i="6"/>
  <c r="AP256" i="6"/>
  <c r="AV256" i="6"/>
  <c r="DE264" i="6"/>
  <c r="CT264" i="6"/>
  <c r="CZ264" i="6"/>
  <c r="CY264" i="6"/>
  <c r="BV260" i="6"/>
  <c r="BK260" i="6"/>
  <c r="BQ260" i="6"/>
  <c r="BP260" i="6"/>
  <c r="Y6190" i="5"/>
  <c r="Z6190" i="5"/>
  <c r="DX268" i="6"/>
  <c r="AA6191" i="5" s="1"/>
  <c r="EF270" i="6"/>
  <c r="EG270" i="6" s="1"/>
  <c r="EH270" i="6" s="1"/>
  <c r="AA270" i="6" s="1"/>
  <c r="EG269" i="6"/>
  <c r="EH269" i="6" s="1"/>
  <c r="AA269" i="6" s="1"/>
  <c r="AT256" i="6" l="1"/>
  <c r="AO256" i="6"/>
  <c r="AN256" i="6"/>
  <c r="CD263" i="6"/>
  <c r="BY263" i="6"/>
  <c r="CE263" i="6"/>
  <c r="CJ263" i="6"/>
  <c r="CR265" i="6"/>
  <c r="CS265" i="6"/>
  <c r="CM265" i="6"/>
  <c r="CX265" i="6"/>
  <c r="BA258" i="6"/>
  <c r="AP258" i="6"/>
  <c r="AV258" i="6"/>
  <c r="AU258" i="6"/>
  <c r="AA1240" i="5"/>
  <c r="Y1240" i="5"/>
  <c r="Z1240" i="5"/>
  <c r="BV261" i="6"/>
  <c r="BQ261" i="6"/>
  <c r="BP261" i="6"/>
  <c r="BK261" i="6"/>
  <c r="AA5201" i="5"/>
  <c r="Y5201" i="5"/>
  <c r="Z5201" i="5"/>
  <c r="CR264" i="6"/>
  <c r="CM264" i="6"/>
  <c r="CS264" i="6"/>
  <c r="CX264" i="6"/>
  <c r="BA257" i="6"/>
  <c r="AP257" i="6"/>
  <c r="AV257" i="6"/>
  <c r="AU257" i="6"/>
  <c r="DE266" i="6"/>
  <c r="CT266" i="6"/>
  <c r="CY266" i="6"/>
  <c r="CZ266" i="6"/>
  <c r="BR262" i="6"/>
  <c r="BX262" i="6"/>
  <c r="CC262" i="6"/>
  <c r="BW262" i="6"/>
  <c r="AA4706" i="5"/>
  <c r="Y4706" i="5"/>
  <c r="Z4706" i="5"/>
  <c r="DA267" i="6"/>
  <c r="DL267" i="6"/>
  <c r="DG267" i="6"/>
  <c r="DF267" i="6"/>
  <c r="AA250" i="5"/>
  <c r="Z250" i="5"/>
  <c r="Y250" i="5"/>
  <c r="BD259" i="6"/>
  <c r="BJ259" i="6"/>
  <c r="BO259" i="6"/>
  <c r="BI259" i="6"/>
  <c r="AA2231" i="5"/>
  <c r="Y2231" i="5"/>
  <c r="Z2231" i="5"/>
  <c r="Y4705" i="5"/>
  <c r="AA4705" i="5"/>
  <c r="Z4705" i="5"/>
  <c r="AA745" i="5"/>
  <c r="Y745" i="5"/>
  <c r="Z745" i="5"/>
  <c r="AA3716" i="5"/>
  <c r="Y3716" i="5"/>
  <c r="Z3716" i="5"/>
  <c r="AA1241" i="5"/>
  <c r="Z1241" i="5"/>
  <c r="Y1241" i="5"/>
  <c r="AA2726" i="5"/>
  <c r="Y2726" i="5"/>
  <c r="Z2726" i="5"/>
  <c r="AA2230" i="5"/>
  <c r="Y2230" i="5"/>
  <c r="Z2230" i="5"/>
  <c r="BD260" i="6"/>
  <c r="BO260" i="6"/>
  <c r="BJ260" i="6"/>
  <c r="BI260" i="6"/>
  <c r="AA3221" i="5"/>
  <c r="Z3221" i="5"/>
  <c r="Y3221" i="5"/>
  <c r="AA5696" i="5"/>
  <c r="Y5696" i="5"/>
  <c r="Z5696" i="5"/>
  <c r="DS268" i="6"/>
  <c r="DH268" i="6"/>
  <c r="DM268" i="6"/>
  <c r="DN268" i="6"/>
  <c r="Y6191" i="5"/>
  <c r="Z6191" i="5"/>
  <c r="X270" i="6"/>
  <c r="N270" i="6"/>
  <c r="D270" i="6"/>
  <c r="V270" i="6"/>
  <c r="P270" i="6"/>
  <c r="H270" i="6"/>
  <c r="T270" i="6"/>
  <c r="L270" i="6"/>
  <c r="Z270" i="6"/>
  <c r="R270" i="6"/>
  <c r="J270" i="6"/>
  <c r="AM270" i="6"/>
  <c r="F270" i="6"/>
  <c r="AI270" i="6"/>
  <c r="AK270" i="6"/>
  <c r="AB270" i="6"/>
  <c r="DT270" i="6" s="1"/>
  <c r="H269" i="6"/>
  <c r="F269" i="6"/>
  <c r="J269" i="6"/>
  <c r="Z269" i="6"/>
  <c r="V269" i="6"/>
  <c r="N269" i="6"/>
  <c r="T269" i="6"/>
  <c r="L269" i="6"/>
  <c r="R269" i="6"/>
  <c r="D269" i="6"/>
  <c r="AI269" i="6"/>
  <c r="AB269" i="6"/>
  <c r="DT269" i="6" s="1"/>
  <c r="AM269" i="6"/>
  <c r="X269" i="6"/>
  <c r="P269" i="6"/>
  <c r="AK269" i="6"/>
  <c r="EF271" i="6"/>
  <c r="BB260" i="6" l="1"/>
  <c r="AW260" i="6"/>
  <c r="BC260" i="6"/>
  <c r="BH260" i="6"/>
  <c r="DO269" i="6"/>
  <c r="DY269" i="6"/>
  <c r="DO270" i="6"/>
  <c r="DY270" i="6"/>
  <c r="DA268" i="6"/>
  <c r="DL268" i="6"/>
  <c r="DG268" i="6"/>
  <c r="DF268" i="6"/>
  <c r="BB259" i="6"/>
  <c r="AW259" i="6"/>
  <c r="BC259" i="6"/>
  <c r="BH259" i="6"/>
  <c r="AA2727" i="5"/>
  <c r="Y2727" i="5"/>
  <c r="Z2727" i="5"/>
  <c r="AA747" i="5"/>
  <c r="Y747" i="5"/>
  <c r="Z747" i="5"/>
  <c r="Y5697" i="5"/>
  <c r="AA5697" i="5"/>
  <c r="Z5697" i="5"/>
  <c r="CM266" i="6"/>
  <c r="CS266" i="6"/>
  <c r="CX266" i="6"/>
  <c r="CR266" i="6"/>
  <c r="AN257" i="6"/>
  <c r="AT257" i="6"/>
  <c r="AO257" i="6"/>
  <c r="CL264" i="6"/>
  <c r="CF264" i="6"/>
  <c r="CQ264" i="6"/>
  <c r="CK264" i="6"/>
  <c r="AA2232" i="5"/>
  <c r="Y2232" i="5"/>
  <c r="Z2232" i="5"/>
  <c r="AA4212" i="5"/>
  <c r="Z4212" i="5"/>
  <c r="Y4212" i="5"/>
  <c r="AA3222" i="5"/>
  <c r="Z3222" i="5"/>
  <c r="Y3222" i="5"/>
  <c r="AA1737" i="5"/>
  <c r="Z1737" i="5"/>
  <c r="Y1737" i="5"/>
  <c r="AA1736" i="5"/>
  <c r="Y1736" i="5"/>
  <c r="Z1736" i="5"/>
  <c r="AA5202" i="5"/>
  <c r="Y5202" i="5"/>
  <c r="Z5202" i="5"/>
  <c r="BK262" i="6"/>
  <c r="BQ262" i="6"/>
  <c r="BV262" i="6"/>
  <c r="BP262" i="6"/>
  <c r="AA4707" i="5"/>
  <c r="Y4707" i="5"/>
  <c r="Z4707" i="5"/>
  <c r="Y746" i="5"/>
  <c r="AA746" i="5"/>
  <c r="Z746" i="5"/>
  <c r="BD261" i="6"/>
  <c r="BI261" i="6"/>
  <c r="BO261" i="6"/>
  <c r="BJ261" i="6"/>
  <c r="CL265" i="6"/>
  <c r="CF265" i="6"/>
  <c r="CK265" i="6"/>
  <c r="CQ265" i="6"/>
  <c r="DE267" i="6"/>
  <c r="CT267" i="6"/>
  <c r="CY267" i="6"/>
  <c r="CZ267" i="6"/>
  <c r="AA4211" i="5"/>
  <c r="Y4211" i="5"/>
  <c r="Z4211" i="5"/>
  <c r="AT258" i="6"/>
  <c r="AO258" i="6"/>
  <c r="AN258" i="6"/>
  <c r="BW263" i="6"/>
  <c r="BR263" i="6"/>
  <c r="CC263" i="6"/>
  <c r="BX263" i="6"/>
  <c r="AA251" i="5"/>
  <c r="Z251" i="5"/>
  <c r="Y251" i="5"/>
  <c r="DX269" i="6"/>
  <c r="AA6192" i="5" s="1"/>
  <c r="DX270" i="6"/>
  <c r="AA6193" i="5" s="1"/>
  <c r="EF272" i="6"/>
  <c r="EG272" i="6" s="1"/>
  <c r="EH272" i="6" s="1"/>
  <c r="AA272" i="6" s="1"/>
  <c r="EG271" i="6"/>
  <c r="EH271" i="6" s="1"/>
  <c r="AA271" i="6" s="1"/>
  <c r="CR267" i="6" l="1"/>
  <c r="CS267" i="6"/>
  <c r="CM267" i="6"/>
  <c r="CX267" i="6"/>
  <c r="AA2728" i="5"/>
  <c r="Z2728" i="5"/>
  <c r="Y2728" i="5"/>
  <c r="AA4708" i="5"/>
  <c r="Y4708" i="5"/>
  <c r="Z4708" i="5"/>
  <c r="AA2233" i="5"/>
  <c r="Y2233" i="5"/>
  <c r="Z2233" i="5"/>
  <c r="BK263" i="6"/>
  <c r="BV263" i="6"/>
  <c r="BQ263" i="6"/>
  <c r="BP263" i="6"/>
  <c r="AA253" i="5"/>
  <c r="Z253" i="5"/>
  <c r="Y253" i="5"/>
  <c r="AA3718" i="5"/>
  <c r="Y3718" i="5"/>
  <c r="Z3718" i="5"/>
  <c r="AA4213" i="5"/>
  <c r="Z4213" i="5"/>
  <c r="Y4213" i="5"/>
  <c r="AA1242" i="5"/>
  <c r="Y1242" i="5"/>
  <c r="Z1242" i="5"/>
  <c r="Y1243" i="5"/>
  <c r="AA1243" i="5"/>
  <c r="Z1243" i="5"/>
  <c r="AA1738" i="5"/>
  <c r="Y1738" i="5"/>
  <c r="Z1738" i="5"/>
  <c r="BD262" i="6"/>
  <c r="BO262" i="6"/>
  <c r="BJ262" i="6"/>
  <c r="BI262" i="6"/>
  <c r="AA3717" i="5"/>
  <c r="Z3717" i="5"/>
  <c r="Y3717" i="5"/>
  <c r="AA252" i="5"/>
  <c r="Z252" i="5"/>
  <c r="Y252" i="5"/>
  <c r="DS270" i="6"/>
  <c r="DH270" i="6"/>
  <c r="DN270" i="6"/>
  <c r="DM270" i="6"/>
  <c r="CD265" i="6"/>
  <c r="BY265" i="6"/>
  <c r="CE265" i="6"/>
  <c r="CJ265" i="6"/>
  <c r="BY264" i="6"/>
  <c r="CJ264" i="6"/>
  <c r="CD264" i="6"/>
  <c r="CE264" i="6"/>
  <c r="CL266" i="6"/>
  <c r="CF266" i="6"/>
  <c r="CK266" i="6"/>
  <c r="CQ266" i="6"/>
  <c r="BA259" i="6"/>
  <c r="AP259" i="6"/>
  <c r="AU259" i="6"/>
  <c r="AV259" i="6"/>
  <c r="AA5203" i="5"/>
  <c r="Y5203" i="5"/>
  <c r="Z5203" i="5"/>
  <c r="BA260" i="6"/>
  <c r="AP260" i="6"/>
  <c r="AU260" i="6"/>
  <c r="AV260" i="6"/>
  <c r="AW261" i="6"/>
  <c r="BC261" i="6"/>
  <c r="BH261" i="6"/>
  <c r="BB261" i="6"/>
  <c r="DE268" i="6"/>
  <c r="CT268" i="6"/>
  <c r="CZ268" i="6"/>
  <c r="CY268" i="6"/>
  <c r="DH269" i="6"/>
  <c r="DN269" i="6"/>
  <c r="DM269" i="6"/>
  <c r="DS269" i="6"/>
  <c r="Y6193" i="5"/>
  <c r="Z6193" i="5"/>
  <c r="Y6192" i="5"/>
  <c r="Z6192" i="5"/>
  <c r="T271" i="6"/>
  <c r="L271" i="6"/>
  <c r="F271" i="6"/>
  <c r="AB271" i="6"/>
  <c r="DT271" i="6" s="1"/>
  <c r="R271" i="6"/>
  <c r="J271" i="6"/>
  <c r="Z271" i="6"/>
  <c r="X271" i="6"/>
  <c r="P271" i="6"/>
  <c r="H271" i="6"/>
  <c r="D271" i="6"/>
  <c r="V271" i="6"/>
  <c r="N271" i="6"/>
  <c r="AI271" i="6"/>
  <c r="AK271" i="6"/>
  <c r="AM271" i="6"/>
  <c r="EF273" i="6"/>
  <c r="EG273" i="6" s="1"/>
  <c r="EH273" i="6" s="1"/>
  <c r="AA273" i="6" s="1"/>
  <c r="L272" i="6"/>
  <c r="F272" i="6"/>
  <c r="P272" i="6"/>
  <c r="R272" i="6"/>
  <c r="X272" i="6"/>
  <c r="N272" i="6"/>
  <c r="D272" i="6"/>
  <c r="V272" i="6"/>
  <c r="J272" i="6"/>
  <c r="T272" i="6"/>
  <c r="H272" i="6"/>
  <c r="AK272" i="6"/>
  <c r="AM272" i="6"/>
  <c r="Z272" i="6"/>
  <c r="AI272" i="6"/>
  <c r="AB272" i="6"/>
  <c r="DT272" i="6" s="1"/>
  <c r="DO272" i="6" l="1"/>
  <c r="DY272" i="6"/>
  <c r="DA269" i="6"/>
  <c r="DL269" i="6"/>
  <c r="DF269" i="6"/>
  <c r="DG269" i="6"/>
  <c r="Y4709" i="5"/>
  <c r="AA4709" i="5"/>
  <c r="Z4709" i="5"/>
  <c r="DO271" i="6"/>
  <c r="DY271" i="6"/>
  <c r="AA5698" i="5"/>
  <c r="Y5698" i="5"/>
  <c r="Z5698" i="5"/>
  <c r="BB262" i="6"/>
  <c r="AW262" i="6"/>
  <c r="BC262" i="6"/>
  <c r="BH262" i="6"/>
  <c r="AA4214" i="5"/>
  <c r="Y4214" i="5"/>
  <c r="Z4214" i="5"/>
  <c r="CD266" i="6"/>
  <c r="BY266" i="6"/>
  <c r="CE266" i="6"/>
  <c r="CJ266" i="6"/>
  <c r="AA3223" i="5"/>
  <c r="Y3223" i="5"/>
  <c r="Z3223" i="5"/>
  <c r="BW265" i="6"/>
  <c r="BR265" i="6"/>
  <c r="BX265" i="6"/>
  <c r="CC265" i="6"/>
  <c r="DA270" i="6"/>
  <c r="DG270" i="6"/>
  <c r="DL270" i="6"/>
  <c r="DF270" i="6"/>
  <c r="AA2234" i="5"/>
  <c r="Y2234" i="5"/>
  <c r="Z2234" i="5"/>
  <c r="CL267" i="6"/>
  <c r="CF267" i="6"/>
  <c r="CK267" i="6"/>
  <c r="CQ267" i="6"/>
  <c r="AA1244" i="5"/>
  <c r="Y1244" i="5"/>
  <c r="Z1244" i="5"/>
  <c r="CR268" i="6"/>
  <c r="CM268" i="6"/>
  <c r="CS268" i="6"/>
  <c r="CX268" i="6"/>
  <c r="AN260" i="6"/>
  <c r="AT260" i="6"/>
  <c r="AO260" i="6"/>
  <c r="AA748" i="5"/>
  <c r="Z748" i="5"/>
  <c r="Y748" i="5"/>
  <c r="BR264" i="6"/>
  <c r="BX264" i="6"/>
  <c r="CC264" i="6"/>
  <c r="BW264" i="6"/>
  <c r="AA5699" i="5"/>
  <c r="Y5699" i="5"/>
  <c r="Z5699" i="5"/>
  <c r="BD263" i="6"/>
  <c r="BO263" i="6"/>
  <c r="BI263" i="6"/>
  <c r="BJ263" i="6"/>
  <c r="AN259" i="6"/>
  <c r="AT259" i="6"/>
  <c r="AO259" i="6"/>
  <c r="BA261" i="6"/>
  <c r="AP261" i="6"/>
  <c r="AV261" i="6"/>
  <c r="AU261" i="6"/>
  <c r="Y749" i="5"/>
  <c r="AA749" i="5"/>
  <c r="Z749" i="5"/>
  <c r="AA3719" i="5"/>
  <c r="Y3719" i="5"/>
  <c r="Z3719" i="5"/>
  <c r="AA3224" i="5"/>
  <c r="Y3224" i="5"/>
  <c r="Z3224" i="5"/>
  <c r="AA1739" i="5"/>
  <c r="Y1739" i="5"/>
  <c r="Z1739" i="5"/>
  <c r="F273" i="6"/>
  <c r="Z273" i="6"/>
  <c r="V273" i="6"/>
  <c r="N273" i="6"/>
  <c r="J273" i="6"/>
  <c r="AM273" i="6"/>
  <c r="T273" i="6"/>
  <c r="L273" i="6"/>
  <c r="R273" i="6"/>
  <c r="H273" i="6"/>
  <c r="AI273" i="6"/>
  <c r="X273" i="6"/>
  <c r="P273" i="6"/>
  <c r="D273" i="6"/>
  <c r="AK273" i="6"/>
  <c r="AB273" i="6"/>
  <c r="DT273" i="6" s="1"/>
  <c r="EF274" i="6"/>
  <c r="EG274" i="6" s="1"/>
  <c r="EH274" i="6" s="1"/>
  <c r="AA274" i="6" s="1"/>
  <c r="DX272" i="6"/>
  <c r="AA6195" i="5" s="1"/>
  <c r="DX271" i="6"/>
  <c r="AA6194" i="5" s="1"/>
  <c r="AN261" i="6" l="1"/>
  <c r="AT261" i="6"/>
  <c r="AO261" i="6"/>
  <c r="BB263" i="6"/>
  <c r="AW263" i="6"/>
  <c r="BC263" i="6"/>
  <c r="BH263" i="6"/>
  <c r="AA255" i="5"/>
  <c r="Z255" i="5"/>
  <c r="Y255" i="5"/>
  <c r="CL268" i="6"/>
  <c r="CF268" i="6"/>
  <c r="CK268" i="6"/>
  <c r="CQ268" i="6"/>
  <c r="AA2730" i="5"/>
  <c r="Y2730" i="5"/>
  <c r="Z2730" i="5"/>
  <c r="BA262" i="6"/>
  <c r="AP262" i="6"/>
  <c r="AV262" i="6"/>
  <c r="AU262" i="6"/>
  <c r="AA5204" i="5"/>
  <c r="Z5204" i="5"/>
  <c r="Y5204" i="5"/>
  <c r="Y750" i="5"/>
  <c r="AA750" i="5"/>
  <c r="Z750" i="5"/>
  <c r="AA2729" i="5"/>
  <c r="Z2729" i="5"/>
  <c r="Y2729" i="5"/>
  <c r="AA3720" i="5"/>
  <c r="Y3720" i="5"/>
  <c r="Z3720" i="5"/>
  <c r="AA5205" i="5"/>
  <c r="Y5205" i="5"/>
  <c r="Z5205" i="5"/>
  <c r="BR266" i="6"/>
  <c r="CC266" i="6"/>
  <c r="BW266" i="6"/>
  <c r="BX266" i="6"/>
  <c r="DE269" i="6"/>
  <c r="CT269" i="6"/>
  <c r="CY269" i="6"/>
  <c r="CZ269" i="6"/>
  <c r="DO273" i="6"/>
  <c r="DY273" i="6"/>
  <c r="AA4215" i="5"/>
  <c r="Y4215" i="5"/>
  <c r="Z4215" i="5"/>
  <c r="BV265" i="6"/>
  <c r="BQ265" i="6"/>
  <c r="BK265" i="6"/>
  <c r="BP265" i="6"/>
  <c r="AA1245" i="5"/>
  <c r="Y1245" i="5"/>
  <c r="Z1245" i="5"/>
  <c r="DH271" i="6"/>
  <c r="DM271" i="6"/>
  <c r="DS271" i="6"/>
  <c r="DN271" i="6"/>
  <c r="AA254" i="5"/>
  <c r="Z254" i="5"/>
  <c r="Y254" i="5"/>
  <c r="AA1740" i="5"/>
  <c r="Z1740" i="5"/>
  <c r="Y1740" i="5"/>
  <c r="BV264" i="6"/>
  <c r="BP264" i="6"/>
  <c r="BK264" i="6"/>
  <c r="BQ264" i="6"/>
  <c r="CD267" i="6"/>
  <c r="BY267" i="6"/>
  <c r="CE267" i="6"/>
  <c r="CJ267" i="6"/>
  <c r="DE270" i="6"/>
  <c r="CT270" i="6"/>
  <c r="CY270" i="6"/>
  <c r="CZ270" i="6"/>
  <c r="AA3225" i="5"/>
  <c r="Z3225" i="5"/>
  <c r="Y3225" i="5"/>
  <c r="DH272" i="6"/>
  <c r="DS272" i="6"/>
  <c r="DM272" i="6"/>
  <c r="DN272" i="6"/>
  <c r="Y6194" i="5"/>
  <c r="Z6194" i="5"/>
  <c r="Y6195" i="5"/>
  <c r="Z6195" i="5"/>
  <c r="DX273" i="6"/>
  <c r="AA6196" i="5" s="1"/>
  <c r="T274" i="6"/>
  <c r="J274" i="6"/>
  <c r="R274" i="6"/>
  <c r="D274" i="6"/>
  <c r="X274" i="6"/>
  <c r="N274" i="6"/>
  <c r="P274" i="6"/>
  <c r="Z274" i="6"/>
  <c r="H274" i="6"/>
  <c r="V274" i="6"/>
  <c r="L274" i="6"/>
  <c r="F274" i="6"/>
  <c r="AM274" i="6"/>
  <c r="AB274" i="6"/>
  <c r="DT274" i="6" s="1"/>
  <c r="AK274" i="6"/>
  <c r="AI274" i="6"/>
  <c r="EF275" i="6"/>
  <c r="EG275" i="6" s="1"/>
  <c r="EH275" i="6" s="1"/>
  <c r="AA275" i="6" s="1"/>
  <c r="CM270" i="6" l="1"/>
  <c r="CX270" i="6"/>
  <c r="CS270" i="6"/>
  <c r="CR270" i="6"/>
  <c r="BW267" i="6"/>
  <c r="BR267" i="6"/>
  <c r="CC267" i="6"/>
  <c r="BX267" i="6"/>
  <c r="BD265" i="6"/>
  <c r="BO265" i="6"/>
  <c r="BJ265" i="6"/>
  <c r="BI265" i="6"/>
  <c r="BY268" i="6"/>
  <c r="CD268" i="6"/>
  <c r="CE268" i="6"/>
  <c r="CJ268" i="6"/>
  <c r="AA5701" i="5"/>
  <c r="Y5701" i="5"/>
  <c r="Z5701" i="5"/>
  <c r="AA4711" i="5"/>
  <c r="Z4711" i="5"/>
  <c r="Y4711" i="5"/>
  <c r="Y2235" i="5"/>
  <c r="AA2235" i="5"/>
  <c r="Z2235" i="5"/>
  <c r="AA5700" i="5"/>
  <c r="Y5700" i="5"/>
  <c r="Z5700" i="5"/>
  <c r="AT262" i="6"/>
  <c r="AO262" i="6"/>
  <c r="AN262" i="6"/>
  <c r="AA1246" i="5"/>
  <c r="Z1246" i="5"/>
  <c r="Y1246" i="5"/>
  <c r="DO274" i="6"/>
  <c r="DY274" i="6"/>
  <c r="DA272" i="6"/>
  <c r="DG272" i="6"/>
  <c r="DL272" i="6"/>
  <c r="DF272" i="6"/>
  <c r="AA3226" i="5"/>
  <c r="Z3226" i="5"/>
  <c r="Y3226" i="5"/>
  <c r="AA2236" i="5"/>
  <c r="Y2236" i="5"/>
  <c r="Z2236" i="5"/>
  <c r="CR269" i="6"/>
  <c r="CS269" i="6"/>
  <c r="CM269" i="6"/>
  <c r="CX269" i="6"/>
  <c r="AA2731" i="5"/>
  <c r="Y2731" i="5"/>
  <c r="Z2731" i="5"/>
  <c r="AA751" i="5"/>
  <c r="Y751" i="5"/>
  <c r="Z751" i="5"/>
  <c r="AA3721" i="5"/>
  <c r="Z3721" i="5"/>
  <c r="Y3721" i="5"/>
  <c r="AA256" i="5"/>
  <c r="Y256" i="5"/>
  <c r="Z256" i="5"/>
  <c r="BD264" i="6"/>
  <c r="BO264" i="6"/>
  <c r="BJ264" i="6"/>
  <c r="BI264" i="6"/>
  <c r="DA271" i="6"/>
  <c r="DF271" i="6"/>
  <c r="DG271" i="6"/>
  <c r="DL271" i="6"/>
  <c r="DH273" i="6"/>
  <c r="DS273" i="6"/>
  <c r="DM273" i="6"/>
  <c r="DN273" i="6"/>
  <c r="AA4710" i="5"/>
  <c r="Z4710" i="5"/>
  <c r="Y4710" i="5"/>
  <c r="BK266" i="6"/>
  <c r="BQ266" i="6"/>
  <c r="BP266" i="6"/>
  <c r="BV266" i="6"/>
  <c r="BA263" i="6"/>
  <c r="AP263" i="6"/>
  <c r="AU263" i="6"/>
  <c r="AV263" i="6"/>
  <c r="Y6196" i="5"/>
  <c r="Z6196" i="5"/>
  <c r="V275" i="6"/>
  <c r="L275" i="6"/>
  <c r="Z275" i="6"/>
  <c r="T275" i="6"/>
  <c r="J275" i="6"/>
  <c r="D275" i="6"/>
  <c r="R275" i="6"/>
  <c r="H275" i="6"/>
  <c r="X275" i="6"/>
  <c r="P275" i="6"/>
  <c r="N275" i="6"/>
  <c r="F275" i="6"/>
  <c r="AI275" i="6"/>
  <c r="AK275" i="6"/>
  <c r="AB275" i="6"/>
  <c r="DT275" i="6" s="1"/>
  <c r="AM275" i="6"/>
  <c r="DX274" i="6"/>
  <c r="AA6197" i="5" s="1"/>
  <c r="EF276" i="6"/>
  <c r="EG276" i="6" s="1"/>
  <c r="EH276" i="6" s="1"/>
  <c r="AA276" i="6" s="1"/>
  <c r="DE272" i="6" l="1"/>
  <c r="CT272" i="6"/>
  <c r="CZ272" i="6"/>
  <c r="CY272" i="6"/>
  <c r="AA257" i="5"/>
  <c r="Z257" i="5"/>
  <c r="Y257" i="5"/>
  <c r="AW265" i="6"/>
  <c r="BB265" i="6"/>
  <c r="BH265" i="6"/>
  <c r="BC265" i="6"/>
  <c r="AA5702" i="5"/>
  <c r="Y5702" i="5"/>
  <c r="Z5702" i="5"/>
  <c r="AA1741" i="5"/>
  <c r="Y1741" i="5"/>
  <c r="Z1741" i="5"/>
  <c r="AA3227" i="5"/>
  <c r="Y3227" i="5"/>
  <c r="Z3227" i="5"/>
  <c r="DA273" i="6"/>
  <c r="DG273" i="6"/>
  <c r="DL273" i="6"/>
  <c r="DF273" i="6"/>
  <c r="BB264" i="6"/>
  <c r="AW264" i="6"/>
  <c r="BC264" i="6"/>
  <c r="BH264" i="6"/>
  <c r="AA5207" i="5"/>
  <c r="Y5207" i="5"/>
  <c r="Z5207" i="5"/>
  <c r="DH274" i="6"/>
  <c r="DS274" i="6"/>
  <c r="DN274" i="6"/>
  <c r="DM274" i="6"/>
  <c r="AA2732" i="5"/>
  <c r="Y2732" i="5"/>
  <c r="Z2732" i="5"/>
  <c r="AN263" i="6"/>
  <c r="AO263" i="6"/>
  <c r="AT263" i="6"/>
  <c r="DE271" i="6"/>
  <c r="CT271" i="6"/>
  <c r="CY271" i="6"/>
  <c r="CZ271" i="6"/>
  <c r="DO275" i="6"/>
  <c r="DY275" i="6"/>
  <c r="AA752" i="5"/>
  <c r="Y752" i="5"/>
  <c r="Z752" i="5"/>
  <c r="BD266" i="6"/>
  <c r="BJ266" i="6"/>
  <c r="BI266" i="6"/>
  <c r="BO266" i="6"/>
  <c r="AA5206" i="5"/>
  <c r="Y5206" i="5"/>
  <c r="Z5206" i="5"/>
  <c r="AA4216" i="5"/>
  <c r="Y4216" i="5"/>
  <c r="Z4216" i="5"/>
  <c r="AA1742" i="5"/>
  <c r="Y1742" i="5"/>
  <c r="Z1742" i="5"/>
  <c r="BK267" i="6"/>
  <c r="BV267" i="6"/>
  <c r="BQ267" i="6"/>
  <c r="BP267" i="6"/>
  <c r="AA4217" i="5"/>
  <c r="Y4217" i="5"/>
  <c r="Z4217" i="5"/>
  <c r="AA2237" i="5"/>
  <c r="Y2237" i="5"/>
  <c r="Z2237" i="5"/>
  <c r="CL269" i="6"/>
  <c r="CF269" i="6"/>
  <c r="CK269" i="6"/>
  <c r="CQ269" i="6"/>
  <c r="BR268" i="6"/>
  <c r="BX268" i="6"/>
  <c r="BW268" i="6"/>
  <c r="CC268" i="6"/>
  <c r="CL270" i="6"/>
  <c r="CF270" i="6"/>
  <c r="CQ270" i="6"/>
  <c r="CK270" i="6"/>
  <c r="Y6197" i="5"/>
  <c r="Z6197" i="5"/>
  <c r="DX275" i="6"/>
  <c r="AA6198" i="5" s="1"/>
  <c r="EF277" i="6"/>
  <c r="F276" i="6"/>
  <c r="T276" i="6"/>
  <c r="J276" i="6"/>
  <c r="P276" i="6"/>
  <c r="H276" i="6"/>
  <c r="X276" i="6"/>
  <c r="R276" i="6"/>
  <c r="L276" i="6"/>
  <c r="V276" i="6"/>
  <c r="N276" i="6"/>
  <c r="D276" i="6"/>
  <c r="AK276" i="6"/>
  <c r="Z276" i="6"/>
  <c r="AM276" i="6"/>
  <c r="AI276" i="6"/>
  <c r="AB276" i="6"/>
  <c r="DT276" i="6" s="1"/>
  <c r="CD270" i="6" l="1"/>
  <c r="BY270" i="6"/>
  <c r="CE270" i="6"/>
  <c r="CJ270" i="6"/>
  <c r="DO276" i="6"/>
  <c r="DY276" i="6"/>
  <c r="AA2733" i="5"/>
  <c r="Y2733" i="5"/>
  <c r="Z2733" i="5"/>
  <c r="AA3723" i="5"/>
  <c r="Y3723" i="5"/>
  <c r="Z3723" i="5"/>
  <c r="BD267" i="6"/>
  <c r="BJ267" i="6"/>
  <c r="BO267" i="6"/>
  <c r="BI267" i="6"/>
  <c r="DA274" i="6"/>
  <c r="DL274" i="6"/>
  <c r="DG274" i="6"/>
  <c r="DF274" i="6"/>
  <c r="Y1247" i="5"/>
  <c r="AA1247" i="5"/>
  <c r="Z1247" i="5"/>
  <c r="BA265" i="6"/>
  <c r="AP265" i="6"/>
  <c r="AU265" i="6"/>
  <c r="AV265" i="6"/>
  <c r="CD269" i="6"/>
  <c r="BY269" i="6"/>
  <c r="CE269" i="6"/>
  <c r="CJ269" i="6"/>
  <c r="BB266" i="6"/>
  <c r="AW266" i="6"/>
  <c r="BC266" i="6"/>
  <c r="BH266" i="6"/>
  <c r="CR271" i="6"/>
  <c r="CS271" i="6"/>
  <c r="CM271" i="6"/>
  <c r="CX271" i="6"/>
  <c r="AA5208" i="5"/>
  <c r="Z5208" i="5"/>
  <c r="Y5208" i="5"/>
  <c r="BV268" i="6"/>
  <c r="BK268" i="6"/>
  <c r="BQ268" i="6"/>
  <c r="BP268" i="6"/>
  <c r="AA1743" i="5"/>
  <c r="Y1743" i="5"/>
  <c r="Z1743" i="5"/>
  <c r="DH275" i="6"/>
  <c r="DN275" i="6"/>
  <c r="DS275" i="6"/>
  <c r="DM275" i="6"/>
  <c r="AA4712" i="5"/>
  <c r="Y4712" i="5"/>
  <c r="Z4712" i="5"/>
  <c r="BA264" i="6"/>
  <c r="AP264" i="6"/>
  <c r="AU264" i="6"/>
  <c r="AV264" i="6"/>
  <c r="AA1248" i="5"/>
  <c r="Y1248" i="5"/>
  <c r="Z1248" i="5"/>
  <c r="CR272" i="6"/>
  <c r="CM272" i="6"/>
  <c r="CS272" i="6"/>
  <c r="CX272" i="6"/>
  <c r="AA3722" i="5"/>
  <c r="Y3722" i="5"/>
  <c r="Z3722" i="5"/>
  <c r="AA2238" i="5"/>
  <c r="Y2238" i="5"/>
  <c r="Z2238" i="5"/>
  <c r="AA258" i="5"/>
  <c r="Y258" i="5"/>
  <c r="Z258" i="5"/>
  <c r="AA5703" i="5"/>
  <c r="Y5703" i="5"/>
  <c r="Z5703" i="5"/>
  <c r="DE273" i="6"/>
  <c r="CT273" i="6"/>
  <c r="CY273" i="6"/>
  <c r="CZ273" i="6"/>
  <c r="Y4713" i="5"/>
  <c r="AA4713" i="5"/>
  <c r="Z4713" i="5"/>
  <c r="Y6198" i="5"/>
  <c r="Z6198" i="5"/>
  <c r="EF278" i="6"/>
  <c r="EG277" i="6"/>
  <c r="EH277" i="6" s="1"/>
  <c r="AA277" i="6" s="1"/>
  <c r="DX276" i="6"/>
  <c r="AA6199" i="5" s="1"/>
  <c r="CR273" i="6" l="1"/>
  <c r="CS273" i="6"/>
  <c r="CM273" i="6"/>
  <c r="CX273" i="6"/>
  <c r="BW269" i="6"/>
  <c r="BR269" i="6"/>
  <c r="BX269" i="6"/>
  <c r="CC269" i="6"/>
  <c r="DE274" i="6"/>
  <c r="CT274" i="6"/>
  <c r="CY274" i="6"/>
  <c r="CZ274" i="6"/>
  <c r="AA4714" i="5"/>
  <c r="Y4714" i="5"/>
  <c r="Z4714" i="5"/>
  <c r="AA5704" i="5"/>
  <c r="Z5704" i="5"/>
  <c r="Y5704" i="5"/>
  <c r="BD268" i="6"/>
  <c r="BJ268" i="6"/>
  <c r="BI268" i="6"/>
  <c r="BO268" i="6"/>
  <c r="Y754" i="5"/>
  <c r="AA754" i="5"/>
  <c r="Z754" i="5"/>
  <c r="AA3229" i="5"/>
  <c r="Z3229" i="5"/>
  <c r="Y3229" i="5"/>
  <c r="BA266" i="6"/>
  <c r="AP266" i="6"/>
  <c r="AV266" i="6"/>
  <c r="AU266" i="6"/>
  <c r="AA4219" i="5"/>
  <c r="Y4219" i="5"/>
  <c r="Z4219" i="5"/>
  <c r="AA2239" i="5"/>
  <c r="Y2239" i="5"/>
  <c r="Z2239" i="5"/>
  <c r="AA4218" i="5"/>
  <c r="Y4218" i="5"/>
  <c r="Z4218" i="5"/>
  <c r="Y1249" i="5"/>
  <c r="AA1249" i="5"/>
  <c r="Z1249" i="5"/>
  <c r="AA3228" i="5"/>
  <c r="Y3228" i="5"/>
  <c r="Z3228" i="5"/>
  <c r="AA1744" i="5"/>
  <c r="Y1744" i="5"/>
  <c r="Z1744" i="5"/>
  <c r="AO264" i="6"/>
  <c r="AN264" i="6"/>
  <c r="AT264" i="6"/>
  <c r="DA275" i="6"/>
  <c r="DF275" i="6"/>
  <c r="DG275" i="6"/>
  <c r="DL275" i="6"/>
  <c r="CL271" i="6"/>
  <c r="CF271" i="6"/>
  <c r="CK271" i="6"/>
  <c r="CQ271" i="6"/>
  <c r="AA5209" i="5"/>
  <c r="Z5209" i="5"/>
  <c r="Y5209" i="5"/>
  <c r="BR270" i="6"/>
  <c r="BX270" i="6"/>
  <c r="CC270" i="6"/>
  <c r="BW270" i="6"/>
  <c r="CL272" i="6"/>
  <c r="CF272" i="6"/>
  <c r="CQ272" i="6"/>
  <c r="CK272" i="6"/>
  <c r="AA753" i="5"/>
  <c r="Y753" i="5"/>
  <c r="Z753" i="5"/>
  <c r="AN265" i="6"/>
  <c r="AT265" i="6"/>
  <c r="AO265" i="6"/>
  <c r="BB267" i="6"/>
  <c r="AW267" i="6"/>
  <c r="BH267" i="6"/>
  <c r="BC267" i="6"/>
  <c r="DS276" i="6"/>
  <c r="DH276" i="6"/>
  <c r="DM276" i="6"/>
  <c r="DN276" i="6"/>
  <c r="Y6199" i="5"/>
  <c r="Z6199" i="5"/>
  <c r="EF279" i="6"/>
  <c r="F277" i="6"/>
  <c r="Z277" i="6"/>
  <c r="R277" i="6"/>
  <c r="J277" i="6"/>
  <c r="X277" i="6"/>
  <c r="P277" i="6"/>
  <c r="D277" i="6"/>
  <c r="V277" i="6"/>
  <c r="N277" i="6"/>
  <c r="H277" i="6"/>
  <c r="AI277" i="6"/>
  <c r="AB277" i="6"/>
  <c r="DT277" i="6" s="1"/>
  <c r="T277" i="6"/>
  <c r="L277" i="6"/>
  <c r="AK277" i="6"/>
  <c r="AM277" i="6"/>
  <c r="EG278" i="6"/>
  <c r="EH278" i="6" s="1"/>
  <c r="AA278" i="6" s="1"/>
  <c r="BY272" i="6" l="1"/>
  <c r="CD272" i="6"/>
  <c r="CE272" i="6"/>
  <c r="CJ272" i="6"/>
  <c r="AA1250" i="5"/>
  <c r="Y1250" i="5"/>
  <c r="Z1250" i="5"/>
  <c r="AA260" i="5"/>
  <c r="Z260" i="5"/>
  <c r="Y260" i="5"/>
  <c r="DA276" i="6"/>
  <c r="DL276" i="6"/>
  <c r="DG276" i="6"/>
  <c r="DF276" i="6"/>
  <c r="BA267" i="6"/>
  <c r="AP267" i="6"/>
  <c r="AU267" i="6"/>
  <c r="AV267" i="6"/>
  <c r="AA2734" i="5"/>
  <c r="Z2734" i="5"/>
  <c r="Y2734" i="5"/>
  <c r="AA4220" i="5"/>
  <c r="Y4220" i="5"/>
  <c r="Z4220" i="5"/>
  <c r="CD271" i="6"/>
  <c r="BY271" i="6"/>
  <c r="CE271" i="6"/>
  <c r="CJ271" i="6"/>
  <c r="BB268" i="6"/>
  <c r="AW268" i="6"/>
  <c r="BC268" i="6"/>
  <c r="BH268" i="6"/>
  <c r="CL273" i="6"/>
  <c r="CF273" i="6"/>
  <c r="CK273" i="6"/>
  <c r="CQ273" i="6"/>
  <c r="AA3725" i="5"/>
  <c r="Y3725" i="5"/>
  <c r="Z3725" i="5"/>
  <c r="AA2735" i="5"/>
  <c r="Y2735" i="5"/>
  <c r="Z2735" i="5"/>
  <c r="DE275" i="6"/>
  <c r="CT275" i="6"/>
  <c r="CY275" i="6"/>
  <c r="CZ275" i="6"/>
  <c r="AT266" i="6"/>
  <c r="AO266" i="6"/>
  <c r="AN266" i="6"/>
  <c r="AA1745" i="5"/>
  <c r="Y1745" i="5"/>
  <c r="Z1745" i="5"/>
  <c r="CM274" i="6"/>
  <c r="CS274" i="6"/>
  <c r="CX274" i="6"/>
  <c r="CR274" i="6"/>
  <c r="BV269" i="6"/>
  <c r="BP269" i="6"/>
  <c r="BK269" i="6"/>
  <c r="BQ269" i="6"/>
  <c r="Y5705" i="5"/>
  <c r="AA5705" i="5"/>
  <c r="Z5705" i="5"/>
  <c r="DO277" i="6"/>
  <c r="DY277" i="6"/>
  <c r="BQ270" i="6"/>
  <c r="BK270" i="6"/>
  <c r="BP270" i="6"/>
  <c r="BV270" i="6"/>
  <c r="AA3724" i="5"/>
  <c r="Y3724" i="5"/>
  <c r="Z3724" i="5"/>
  <c r="AA5210" i="5"/>
  <c r="Y5210" i="5"/>
  <c r="Z5210" i="5"/>
  <c r="AA259" i="5"/>
  <c r="Z259" i="5"/>
  <c r="Y259" i="5"/>
  <c r="AA755" i="5"/>
  <c r="Y755" i="5"/>
  <c r="Z755" i="5"/>
  <c r="AA4715" i="5"/>
  <c r="Y4715" i="5"/>
  <c r="Z4715" i="5"/>
  <c r="X278" i="6"/>
  <c r="L278" i="6"/>
  <c r="H278" i="6"/>
  <c r="Z278" i="6"/>
  <c r="T278" i="6"/>
  <c r="P278" i="6"/>
  <c r="AB278" i="6"/>
  <c r="DT278" i="6" s="1"/>
  <c r="R278" i="6"/>
  <c r="J278" i="6"/>
  <c r="V278" i="6"/>
  <c r="N278" i="6"/>
  <c r="D278" i="6"/>
  <c r="AM278" i="6"/>
  <c r="AI278" i="6"/>
  <c r="AK278" i="6"/>
  <c r="F278" i="6"/>
  <c r="DX277" i="6"/>
  <c r="AA6200" i="5" s="1"/>
  <c r="EF280" i="6"/>
  <c r="EG280" i="6" s="1"/>
  <c r="EH280" i="6" s="1"/>
  <c r="AA280" i="6" s="1"/>
  <c r="EG279" i="6"/>
  <c r="EH279" i="6" s="1"/>
  <c r="AA279" i="6" s="1"/>
  <c r="AA2240" i="5" l="1"/>
  <c r="Z2240" i="5"/>
  <c r="Y2240" i="5"/>
  <c r="DH277" i="6"/>
  <c r="DM277" i="6"/>
  <c r="DS277" i="6"/>
  <c r="DN277" i="6"/>
  <c r="CR275" i="6"/>
  <c r="CS275" i="6"/>
  <c r="CM275" i="6"/>
  <c r="CX275" i="6"/>
  <c r="AA3726" i="5"/>
  <c r="Y3726" i="5"/>
  <c r="Z3726" i="5"/>
  <c r="Y1251" i="5"/>
  <c r="AA1251" i="5"/>
  <c r="Z1251" i="5"/>
  <c r="AA3230" i="5"/>
  <c r="Z3230" i="5"/>
  <c r="Y3230" i="5"/>
  <c r="AO267" i="6"/>
  <c r="AN267" i="6"/>
  <c r="AT267" i="6"/>
  <c r="AA5211" i="5"/>
  <c r="Y5211" i="5"/>
  <c r="Z5211" i="5"/>
  <c r="AA3231" i="5"/>
  <c r="Z3231" i="5"/>
  <c r="Y3231" i="5"/>
  <c r="BD270" i="6"/>
  <c r="BI270" i="6"/>
  <c r="BO270" i="6"/>
  <c r="BJ270" i="6"/>
  <c r="BD269" i="6"/>
  <c r="BO269" i="6"/>
  <c r="BJ269" i="6"/>
  <c r="BI269" i="6"/>
  <c r="AA4221" i="5"/>
  <c r="Z4221" i="5"/>
  <c r="Y4221" i="5"/>
  <c r="AA261" i="5"/>
  <c r="Z261" i="5"/>
  <c r="Y261" i="5"/>
  <c r="AA4716" i="5"/>
  <c r="Y4716" i="5"/>
  <c r="Z4716" i="5"/>
  <c r="AA756" i="5"/>
  <c r="Z756" i="5"/>
  <c r="Y756" i="5"/>
  <c r="DE276" i="6"/>
  <c r="CT276" i="6"/>
  <c r="CZ276" i="6"/>
  <c r="CY276" i="6"/>
  <c r="CD273" i="6"/>
  <c r="CE273" i="6"/>
  <c r="CJ273" i="6"/>
  <c r="BY273" i="6"/>
  <c r="BA268" i="6"/>
  <c r="AP268" i="6"/>
  <c r="AU268" i="6"/>
  <c r="AV268" i="6"/>
  <c r="BW271" i="6"/>
  <c r="BR271" i="6"/>
  <c r="CC271" i="6"/>
  <c r="BX271" i="6"/>
  <c r="DO278" i="6"/>
  <c r="DY278" i="6"/>
  <c r="AA2241" i="5"/>
  <c r="Y2241" i="5"/>
  <c r="Z2241" i="5"/>
  <c r="CL274" i="6"/>
  <c r="CF274" i="6"/>
  <c r="CK274" i="6"/>
  <c r="CQ274" i="6"/>
  <c r="BR272" i="6"/>
  <c r="CC272" i="6"/>
  <c r="BX272" i="6"/>
  <c r="BW272" i="6"/>
  <c r="Y6200" i="5"/>
  <c r="Z6200" i="5"/>
  <c r="F280" i="6"/>
  <c r="X280" i="6"/>
  <c r="P280" i="6"/>
  <c r="H280" i="6"/>
  <c r="V280" i="6"/>
  <c r="N280" i="6"/>
  <c r="D280" i="6"/>
  <c r="T280" i="6"/>
  <c r="L280" i="6"/>
  <c r="R280" i="6"/>
  <c r="J280" i="6"/>
  <c r="AK280" i="6"/>
  <c r="Z280" i="6"/>
  <c r="AB280" i="6"/>
  <c r="DT280" i="6" s="1"/>
  <c r="AM280" i="6"/>
  <c r="AI280" i="6"/>
  <c r="Z279" i="6"/>
  <c r="X279" i="6"/>
  <c r="P279" i="6"/>
  <c r="H279" i="6"/>
  <c r="V279" i="6"/>
  <c r="L279" i="6"/>
  <c r="T279" i="6"/>
  <c r="J279" i="6"/>
  <c r="F279" i="6"/>
  <c r="R279" i="6"/>
  <c r="N279" i="6"/>
  <c r="AI279" i="6"/>
  <c r="D279" i="6"/>
  <c r="AM279" i="6"/>
  <c r="AB279" i="6"/>
  <c r="DT279" i="6" s="1"/>
  <c r="AK279" i="6"/>
  <c r="EF281" i="6"/>
  <c r="EG281" i="6" s="1"/>
  <c r="EH281" i="6" s="1"/>
  <c r="AA281" i="6" s="1"/>
  <c r="DX278" i="6"/>
  <c r="AA6201" i="5" s="1"/>
  <c r="DY279" i="6" l="1"/>
  <c r="DO279" i="6"/>
  <c r="DO280" i="6"/>
  <c r="DY280" i="6"/>
  <c r="AA3727" i="5"/>
  <c r="Z3727" i="5"/>
  <c r="Y3727" i="5"/>
  <c r="AA2737" i="5"/>
  <c r="Y2737" i="5"/>
  <c r="Z2737" i="5"/>
  <c r="CD274" i="6"/>
  <c r="BY274" i="6"/>
  <c r="CJ274" i="6"/>
  <c r="CE274" i="6"/>
  <c r="AA2736" i="5"/>
  <c r="Y2736" i="5"/>
  <c r="Z2736" i="5"/>
  <c r="AA3232" i="5"/>
  <c r="Y3232" i="5"/>
  <c r="Z3232" i="5"/>
  <c r="AA1747" i="5"/>
  <c r="Z1747" i="5"/>
  <c r="Y1747" i="5"/>
  <c r="DA277" i="6"/>
  <c r="DL277" i="6"/>
  <c r="DG277" i="6"/>
  <c r="DF277" i="6"/>
  <c r="BV272" i="6"/>
  <c r="BK272" i="6"/>
  <c r="BQ272" i="6"/>
  <c r="BP272" i="6"/>
  <c r="BK271" i="6"/>
  <c r="BP271" i="6"/>
  <c r="BV271" i="6"/>
  <c r="BQ271" i="6"/>
  <c r="AO268" i="6"/>
  <c r="AN268" i="6"/>
  <c r="AT268" i="6"/>
  <c r="CR276" i="6"/>
  <c r="CM276" i="6"/>
  <c r="CS276" i="6"/>
  <c r="CX276" i="6"/>
  <c r="AA1746" i="5"/>
  <c r="Y1746" i="5"/>
  <c r="Z1746" i="5"/>
  <c r="AA262" i="5"/>
  <c r="Y262" i="5"/>
  <c r="Z262" i="5"/>
  <c r="Z4222" i="5"/>
  <c r="Y4222" i="5"/>
  <c r="AA4222" i="5"/>
  <c r="DS278" i="6"/>
  <c r="DH278" i="6"/>
  <c r="DN278" i="6"/>
  <c r="DM278" i="6"/>
  <c r="Y757" i="5"/>
  <c r="AA757" i="5"/>
  <c r="Z757" i="5"/>
  <c r="Y4717" i="5"/>
  <c r="AA4717" i="5"/>
  <c r="Z4717" i="5"/>
  <c r="AW269" i="6"/>
  <c r="BC269" i="6"/>
  <c r="BB269" i="6"/>
  <c r="BH269" i="6"/>
  <c r="BB270" i="6"/>
  <c r="AW270" i="6"/>
  <c r="BC270" i="6"/>
  <c r="BH270" i="6"/>
  <c r="CL275" i="6"/>
  <c r="CF275" i="6"/>
  <c r="CK275" i="6"/>
  <c r="CQ275" i="6"/>
  <c r="AA5706" i="5"/>
  <c r="Y5706" i="5"/>
  <c r="Z5706" i="5"/>
  <c r="BW273" i="6"/>
  <c r="BR273" i="6"/>
  <c r="BX273" i="6"/>
  <c r="CC273" i="6"/>
  <c r="Y6201" i="5"/>
  <c r="Z6201" i="5"/>
  <c r="DX279" i="6"/>
  <c r="AA6202" i="5" s="1"/>
  <c r="DX280" i="6"/>
  <c r="AA6203" i="5" s="1"/>
  <c r="F281" i="6"/>
  <c r="Z281" i="6"/>
  <c r="V281" i="6"/>
  <c r="T281" i="6"/>
  <c r="D281" i="6"/>
  <c r="AB281" i="6"/>
  <c r="DT281" i="6" s="1"/>
  <c r="R281" i="6"/>
  <c r="J281" i="6"/>
  <c r="AM281" i="6"/>
  <c r="P281" i="6"/>
  <c r="H281" i="6"/>
  <c r="AI281" i="6"/>
  <c r="X281" i="6"/>
  <c r="N281" i="6"/>
  <c r="L281" i="6"/>
  <c r="AK281" i="6"/>
  <c r="EF282" i="6"/>
  <c r="EG282" i="6" s="1"/>
  <c r="EH282" i="6" s="1"/>
  <c r="AA282" i="6" s="1"/>
  <c r="AA2738" i="5" l="1"/>
  <c r="Z2738" i="5"/>
  <c r="Y2738" i="5"/>
  <c r="AA5707" i="5"/>
  <c r="Z5707" i="5"/>
  <c r="Y5707" i="5"/>
  <c r="CL276" i="6"/>
  <c r="CF276" i="6"/>
  <c r="CK276" i="6"/>
  <c r="CQ276" i="6"/>
  <c r="BD271" i="6"/>
  <c r="BI271" i="6"/>
  <c r="BO271" i="6"/>
  <c r="BJ271" i="6"/>
  <c r="Y2243" i="5"/>
  <c r="AA2243" i="5"/>
  <c r="Z2243" i="5"/>
  <c r="DE277" i="6"/>
  <c r="CT277" i="6"/>
  <c r="CZ277" i="6"/>
  <c r="CY277" i="6"/>
  <c r="BR274" i="6"/>
  <c r="BW274" i="6"/>
  <c r="BX274" i="6"/>
  <c r="CC274" i="6"/>
  <c r="CD275" i="6"/>
  <c r="BY275" i="6"/>
  <c r="CE275" i="6"/>
  <c r="CJ275" i="6"/>
  <c r="BA270" i="6"/>
  <c r="AP270" i="6"/>
  <c r="AV270" i="6"/>
  <c r="AU270" i="6"/>
  <c r="DH280" i="6"/>
  <c r="DS280" i="6"/>
  <c r="DN280" i="6"/>
  <c r="DM280" i="6"/>
  <c r="DO281" i="6"/>
  <c r="DY281" i="6"/>
  <c r="BV273" i="6"/>
  <c r="BP273" i="6"/>
  <c r="BK273" i="6"/>
  <c r="BQ273" i="6"/>
  <c r="BA269" i="6"/>
  <c r="AP269" i="6"/>
  <c r="AV269" i="6"/>
  <c r="AU269" i="6"/>
  <c r="AA4223" i="5"/>
  <c r="Y4223" i="5"/>
  <c r="Z4223" i="5"/>
  <c r="AA263" i="5"/>
  <c r="Z263" i="5"/>
  <c r="Y263" i="5"/>
  <c r="AA2242" i="5"/>
  <c r="Y2242" i="5"/>
  <c r="Z2242" i="5"/>
  <c r="DH279" i="6"/>
  <c r="DM279" i="6"/>
  <c r="DS279" i="6"/>
  <c r="DN279" i="6"/>
  <c r="AA3728" i="5"/>
  <c r="Y3728" i="5"/>
  <c r="Z3728" i="5"/>
  <c r="AA1253" i="5"/>
  <c r="Z1253" i="5"/>
  <c r="Y1253" i="5"/>
  <c r="AA1252" i="5"/>
  <c r="Y1252" i="5"/>
  <c r="Z1252" i="5"/>
  <c r="DA278" i="6"/>
  <c r="DF278" i="6"/>
  <c r="DG278" i="6"/>
  <c r="DL278" i="6"/>
  <c r="BD272" i="6"/>
  <c r="BI272" i="6"/>
  <c r="BO272" i="6"/>
  <c r="BJ272" i="6"/>
  <c r="AA5212" i="5"/>
  <c r="Y5212" i="5"/>
  <c r="Z5212" i="5"/>
  <c r="AA3233" i="5"/>
  <c r="Y3233" i="5"/>
  <c r="Z3233" i="5"/>
  <c r="Y6202" i="5"/>
  <c r="Z6202" i="5"/>
  <c r="Y6203" i="5"/>
  <c r="Z6203" i="5"/>
  <c r="V282" i="6"/>
  <c r="P282" i="6"/>
  <c r="Z282" i="6"/>
  <c r="T282" i="6"/>
  <c r="L282" i="6"/>
  <c r="H282" i="6"/>
  <c r="R282" i="6"/>
  <c r="J282" i="6"/>
  <c r="X282" i="6"/>
  <c r="N282" i="6"/>
  <c r="D282" i="6"/>
  <c r="AM282" i="6"/>
  <c r="AB282" i="6"/>
  <c r="DT282" i="6" s="1"/>
  <c r="F282" i="6"/>
  <c r="AK282" i="6"/>
  <c r="AI282" i="6"/>
  <c r="DX281" i="6"/>
  <c r="AA6204" i="5" s="1"/>
  <c r="EF283" i="6"/>
  <c r="BB272" i="6" l="1"/>
  <c r="AW272" i="6"/>
  <c r="BC272" i="6"/>
  <c r="BH272" i="6"/>
  <c r="DO282" i="6"/>
  <c r="DY282" i="6"/>
  <c r="AA1749" i="5"/>
  <c r="Y1749" i="5"/>
  <c r="Z1749" i="5"/>
  <c r="Y758" i="5"/>
  <c r="AA758" i="5"/>
  <c r="Z758" i="5"/>
  <c r="AA2244" i="5"/>
  <c r="Y2244" i="5"/>
  <c r="Z2244" i="5"/>
  <c r="BY276" i="6"/>
  <c r="CE276" i="6"/>
  <c r="CJ276" i="6"/>
  <c r="CD276" i="6"/>
  <c r="AA5709" i="5"/>
  <c r="Y5709" i="5"/>
  <c r="Z5709" i="5"/>
  <c r="AT270" i="6"/>
  <c r="AO270" i="6"/>
  <c r="AN270" i="6"/>
  <c r="BW275" i="6"/>
  <c r="BR275" i="6"/>
  <c r="CC275" i="6"/>
  <c r="BX275" i="6"/>
  <c r="CR277" i="6"/>
  <c r="CS277" i="6"/>
  <c r="CM277" i="6"/>
  <c r="CX277" i="6"/>
  <c r="BB271" i="6"/>
  <c r="AW271" i="6"/>
  <c r="BH271" i="6"/>
  <c r="BC271" i="6"/>
  <c r="DE278" i="6"/>
  <c r="CT278" i="6"/>
  <c r="CY278" i="6"/>
  <c r="CZ278" i="6"/>
  <c r="BD273" i="6"/>
  <c r="BJ273" i="6"/>
  <c r="BI273" i="6"/>
  <c r="BO273" i="6"/>
  <c r="DH281" i="6"/>
  <c r="DS281" i="6"/>
  <c r="DM281" i="6"/>
  <c r="DN281" i="6"/>
  <c r="DA280" i="6"/>
  <c r="DF280" i="6"/>
  <c r="DG280" i="6"/>
  <c r="DL280" i="6"/>
  <c r="AA759" i="5"/>
  <c r="Y759" i="5"/>
  <c r="Z759" i="5"/>
  <c r="BK274" i="6"/>
  <c r="BV274" i="6"/>
  <c r="BQ274" i="6"/>
  <c r="BP274" i="6"/>
  <c r="AA4718" i="5"/>
  <c r="Z4718" i="5"/>
  <c r="Y4718" i="5"/>
  <c r="AA3729" i="5"/>
  <c r="Y3729" i="5"/>
  <c r="Z3729" i="5"/>
  <c r="AA5708" i="5"/>
  <c r="Y5708" i="5"/>
  <c r="Z5708" i="5"/>
  <c r="AA5213" i="5"/>
  <c r="Z5213" i="5"/>
  <c r="Y5213" i="5"/>
  <c r="DA279" i="6"/>
  <c r="DG279" i="6"/>
  <c r="DF279" i="6"/>
  <c r="DL279" i="6"/>
  <c r="AN269" i="6"/>
  <c r="AO269" i="6"/>
  <c r="AT269" i="6"/>
  <c r="AA3234" i="5"/>
  <c r="Z3234" i="5"/>
  <c r="Y3234" i="5"/>
  <c r="AA2739" i="5"/>
  <c r="Y2739" i="5"/>
  <c r="Z2739" i="5"/>
  <c r="AA1748" i="5"/>
  <c r="Y1748" i="5"/>
  <c r="Z1748" i="5"/>
  <c r="Y6204" i="5"/>
  <c r="Z6204" i="5"/>
  <c r="EF284" i="6"/>
  <c r="EG283" i="6"/>
  <c r="EH283" i="6" s="1"/>
  <c r="AA283" i="6" s="1"/>
  <c r="DX282" i="6"/>
  <c r="AA6205" i="5" s="1"/>
  <c r="BD274" i="6" l="1"/>
  <c r="BO274" i="6"/>
  <c r="BJ274" i="6"/>
  <c r="BI274" i="6"/>
  <c r="AA5214" i="5"/>
  <c r="Z5214" i="5"/>
  <c r="Y5214" i="5"/>
  <c r="AA1254" i="5"/>
  <c r="Y1254" i="5"/>
  <c r="Z1254" i="5"/>
  <c r="CL277" i="6"/>
  <c r="CF277" i="6"/>
  <c r="CK277" i="6"/>
  <c r="CQ277" i="6"/>
  <c r="AA2740" i="5"/>
  <c r="Y2740" i="5"/>
  <c r="Z2740" i="5"/>
  <c r="BR276" i="6"/>
  <c r="BX276" i="6"/>
  <c r="CC276" i="6"/>
  <c r="BW276" i="6"/>
  <c r="Y1255" i="5"/>
  <c r="AA1255" i="5"/>
  <c r="Z1255" i="5"/>
  <c r="AA5710" i="5"/>
  <c r="Y5710" i="5"/>
  <c r="Z5710" i="5"/>
  <c r="CM278" i="6"/>
  <c r="CR278" i="6"/>
  <c r="CS278" i="6"/>
  <c r="CX278" i="6"/>
  <c r="BA271" i="6"/>
  <c r="AP271" i="6"/>
  <c r="AU271" i="6"/>
  <c r="AV271" i="6"/>
  <c r="BK275" i="6"/>
  <c r="BV275" i="6"/>
  <c r="BQ275" i="6"/>
  <c r="BP275" i="6"/>
  <c r="AA265" i="5"/>
  <c r="Y265" i="5"/>
  <c r="Z265" i="5"/>
  <c r="AA264" i="5"/>
  <c r="Y264" i="5"/>
  <c r="Z264" i="5"/>
  <c r="AA2245" i="5"/>
  <c r="Y2245" i="5"/>
  <c r="Z2245" i="5"/>
  <c r="DE280" i="6"/>
  <c r="CT280" i="6"/>
  <c r="CZ280" i="6"/>
  <c r="CY280" i="6"/>
  <c r="DA281" i="6"/>
  <c r="DF281" i="6"/>
  <c r="DG281" i="6"/>
  <c r="DL281" i="6"/>
  <c r="AW273" i="6"/>
  <c r="BH273" i="6"/>
  <c r="BB273" i="6"/>
  <c r="BC273" i="6"/>
  <c r="AA4719" i="5"/>
  <c r="Z4719" i="5"/>
  <c r="Y4719" i="5"/>
  <c r="AA3235" i="5"/>
  <c r="Y3235" i="5"/>
  <c r="Z3235" i="5"/>
  <c r="BA272" i="6"/>
  <c r="AP272" i="6"/>
  <c r="AU272" i="6"/>
  <c r="AV272" i="6"/>
  <c r="DE279" i="6"/>
  <c r="CT279" i="6"/>
  <c r="CY279" i="6"/>
  <c r="CZ279" i="6"/>
  <c r="AA5215" i="5"/>
  <c r="Y5215" i="5"/>
  <c r="Z5215" i="5"/>
  <c r="AA1750" i="5"/>
  <c r="Y1750" i="5"/>
  <c r="Z1750" i="5"/>
  <c r="AA4224" i="5"/>
  <c r="Y4224" i="5"/>
  <c r="Z4224" i="5"/>
  <c r="DH282" i="6"/>
  <c r="DS282" i="6"/>
  <c r="DN282" i="6"/>
  <c r="DM282" i="6"/>
  <c r="Y6205" i="5"/>
  <c r="Z6205" i="5"/>
  <c r="EF285" i="6"/>
  <c r="EG285" i="6" s="1"/>
  <c r="EH285" i="6" s="1"/>
  <c r="AA285" i="6" s="1"/>
  <c r="D283" i="6"/>
  <c r="R283" i="6"/>
  <c r="J283" i="6"/>
  <c r="X283" i="6"/>
  <c r="P283" i="6"/>
  <c r="H283" i="6"/>
  <c r="F283" i="6"/>
  <c r="V283" i="6"/>
  <c r="L283" i="6"/>
  <c r="Z283" i="6"/>
  <c r="T283" i="6"/>
  <c r="N283" i="6"/>
  <c r="AI283" i="6"/>
  <c r="AK283" i="6"/>
  <c r="AB283" i="6"/>
  <c r="DT283" i="6" s="1"/>
  <c r="AM283" i="6"/>
  <c r="EG284" i="6"/>
  <c r="EH284" i="6" s="1"/>
  <c r="AA284" i="6" s="1"/>
  <c r="AT272" i="6" l="1"/>
  <c r="AO272" i="6"/>
  <c r="AN272" i="6"/>
  <c r="AA5216" i="5"/>
  <c r="Y5216" i="5"/>
  <c r="Z5216" i="5"/>
  <c r="BD275" i="6"/>
  <c r="BJ275" i="6"/>
  <c r="BI275" i="6"/>
  <c r="BO275" i="6"/>
  <c r="AA760" i="5"/>
  <c r="Y760" i="5"/>
  <c r="Z760" i="5"/>
  <c r="CL278" i="6"/>
  <c r="CF278" i="6"/>
  <c r="CQ278" i="6"/>
  <c r="CK278" i="6"/>
  <c r="AA2741" i="5"/>
  <c r="Z2741" i="5"/>
  <c r="Y2741" i="5"/>
  <c r="CD277" i="6"/>
  <c r="BY277" i="6"/>
  <c r="CE277" i="6"/>
  <c r="CJ277" i="6"/>
  <c r="AA5711" i="5"/>
  <c r="Y5711" i="5"/>
  <c r="Z5711" i="5"/>
  <c r="CR279" i="6"/>
  <c r="CS279" i="6"/>
  <c r="CM279" i="6"/>
  <c r="CX279" i="6"/>
  <c r="AA4720" i="5"/>
  <c r="Y4720" i="5"/>
  <c r="Z4720" i="5"/>
  <c r="AA761" i="5"/>
  <c r="Z761" i="5"/>
  <c r="Y761" i="5"/>
  <c r="AA4225" i="5"/>
  <c r="Z4225" i="5"/>
  <c r="Y4225" i="5"/>
  <c r="DA282" i="6"/>
  <c r="DG282" i="6"/>
  <c r="DF282" i="6"/>
  <c r="DL282" i="6"/>
  <c r="DO283" i="6"/>
  <c r="DY283" i="6"/>
  <c r="AA1256" i="5"/>
  <c r="Y1256" i="5"/>
  <c r="Z1256" i="5"/>
  <c r="CR280" i="6"/>
  <c r="CM280" i="6"/>
  <c r="CS280" i="6"/>
  <c r="CX280" i="6"/>
  <c r="BV276" i="6"/>
  <c r="BK276" i="6"/>
  <c r="BP276" i="6"/>
  <c r="BQ276" i="6"/>
  <c r="AA3730" i="5"/>
  <c r="Y3730" i="5"/>
  <c r="Z3730" i="5"/>
  <c r="AA1751" i="5"/>
  <c r="Y1751" i="5"/>
  <c r="Z1751" i="5"/>
  <c r="BA273" i="6"/>
  <c r="AP273" i="6"/>
  <c r="AV273" i="6"/>
  <c r="AU273" i="6"/>
  <c r="DE281" i="6"/>
  <c r="CT281" i="6"/>
  <c r="CY281" i="6"/>
  <c r="CZ281" i="6"/>
  <c r="Y4721" i="5"/>
  <c r="AA4721" i="5"/>
  <c r="Z4721" i="5"/>
  <c r="AA2246" i="5"/>
  <c r="Y2246" i="5"/>
  <c r="Z2246" i="5"/>
  <c r="AN271" i="6"/>
  <c r="AT271" i="6"/>
  <c r="AO271" i="6"/>
  <c r="BB274" i="6"/>
  <c r="AW274" i="6"/>
  <c r="BC274" i="6"/>
  <c r="BH274" i="6"/>
  <c r="DX283" i="6"/>
  <c r="AA6206" i="5" s="1"/>
  <c r="F284" i="6"/>
  <c r="T284" i="6"/>
  <c r="J284" i="6"/>
  <c r="R284" i="6"/>
  <c r="L284" i="6"/>
  <c r="X284" i="6"/>
  <c r="P284" i="6"/>
  <c r="H284" i="6"/>
  <c r="V284" i="6"/>
  <c r="N284" i="6"/>
  <c r="D284" i="6"/>
  <c r="Z284" i="6"/>
  <c r="AK284" i="6"/>
  <c r="AM284" i="6"/>
  <c r="AI284" i="6"/>
  <c r="AB284" i="6"/>
  <c r="DT284" i="6" s="1"/>
  <c r="EF286" i="6"/>
  <c r="J285" i="6"/>
  <c r="F285" i="6"/>
  <c r="Z285" i="6"/>
  <c r="R285" i="6"/>
  <c r="D285" i="6"/>
  <c r="AM285" i="6"/>
  <c r="X285" i="6"/>
  <c r="P285" i="6"/>
  <c r="H285" i="6"/>
  <c r="V285" i="6"/>
  <c r="N285" i="6"/>
  <c r="AI285" i="6"/>
  <c r="AB285" i="6"/>
  <c r="DT285" i="6" s="1"/>
  <c r="T285" i="6"/>
  <c r="L285" i="6"/>
  <c r="AK285" i="6"/>
  <c r="DO284" i="6" l="1"/>
  <c r="DY284" i="6"/>
  <c r="AN273" i="6"/>
  <c r="AT273" i="6"/>
  <c r="AO273" i="6"/>
  <c r="Y1257" i="5"/>
  <c r="AA1257" i="5"/>
  <c r="Z1257" i="5"/>
  <c r="AA4722" i="5"/>
  <c r="Y4722" i="5"/>
  <c r="Z4722" i="5"/>
  <c r="Y762" i="5"/>
  <c r="AA762" i="5"/>
  <c r="Z762" i="5"/>
  <c r="AA5217" i="5"/>
  <c r="Y5217" i="5"/>
  <c r="Z5217" i="5"/>
  <c r="AA3236" i="5"/>
  <c r="Y3236" i="5"/>
  <c r="Z3236" i="5"/>
  <c r="AA3731" i="5"/>
  <c r="Z3731" i="5"/>
  <c r="Y3731" i="5"/>
  <c r="AA266" i="5"/>
  <c r="Y266" i="5"/>
  <c r="Z266" i="5"/>
  <c r="BD276" i="6"/>
  <c r="BO276" i="6"/>
  <c r="BJ276" i="6"/>
  <c r="BI276" i="6"/>
  <c r="CL280" i="6"/>
  <c r="CF280" i="6"/>
  <c r="CQ280" i="6"/>
  <c r="CK280" i="6"/>
  <c r="AA4226" i="5"/>
  <c r="Y4226" i="5"/>
  <c r="Z4226" i="5"/>
  <c r="CD278" i="6"/>
  <c r="BY278" i="6"/>
  <c r="CE278" i="6"/>
  <c r="CJ278" i="6"/>
  <c r="BB275" i="6"/>
  <c r="AW275" i="6"/>
  <c r="BH275" i="6"/>
  <c r="BC275" i="6"/>
  <c r="BA274" i="6"/>
  <c r="AP274" i="6"/>
  <c r="AV274" i="6"/>
  <c r="AU274" i="6"/>
  <c r="Y2247" i="5"/>
  <c r="AA2247" i="5"/>
  <c r="Z2247" i="5"/>
  <c r="CL279" i="6"/>
  <c r="CF279" i="6"/>
  <c r="CK279" i="6"/>
  <c r="CQ279" i="6"/>
  <c r="BW277" i="6"/>
  <c r="BR277" i="6"/>
  <c r="BX277" i="6"/>
  <c r="CC277" i="6"/>
  <c r="AA1752" i="5"/>
  <c r="Z1752" i="5"/>
  <c r="Y1752" i="5"/>
  <c r="DO285" i="6"/>
  <c r="DY285" i="6"/>
  <c r="CR281" i="6"/>
  <c r="CS281" i="6"/>
  <c r="CM281" i="6"/>
  <c r="CX281" i="6"/>
  <c r="AA4227" i="5"/>
  <c r="Y4227" i="5"/>
  <c r="Z4227" i="5"/>
  <c r="DH283" i="6"/>
  <c r="DS283" i="6"/>
  <c r="DN283" i="6"/>
  <c r="DM283" i="6"/>
  <c r="DE282" i="6"/>
  <c r="CT282" i="6"/>
  <c r="CY282" i="6"/>
  <c r="CZ282" i="6"/>
  <c r="AA267" i="5"/>
  <c r="Z267" i="5"/>
  <c r="Y267" i="5"/>
  <c r="Y6206" i="5"/>
  <c r="Z6206" i="5"/>
  <c r="EF287" i="6"/>
  <c r="DX285" i="6"/>
  <c r="AA6208" i="5" s="1"/>
  <c r="EG286" i="6"/>
  <c r="EH286" i="6" s="1"/>
  <c r="AA286" i="6" s="1"/>
  <c r="DX284" i="6"/>
  <c r="AA6207" i="5" s="1"/>
  <c r="CL281" i="6" l="1"/>
  <c r="CF281" i="6"/>
  <c r="CK281" i="6"/>
  <c r="CQ281" i="6"/>
  <c r="DH285" i="6"/>
  <c r="DS285" i="6"/>
  <c r="DM285" i="6"/>
  <c r="DN285" i="6"/>
  <c r="AA2742" i="5"/>
  <c r="Y2742" i="5"/>
  <c r="Z2742" i="5"/>
  <c r="AA3732" i="5"/>
  <c r="Y3732" i="5"/>
  <c r="Z3732" i="5"/>
  <c r="AA1258" i="5"/>
  <c r="Y1258" i="5"/>
  <c r="Z1258" i="5"/>
  <c r="BY280" i="6"/>
  <c r="CJ280" i="6"/>
  <c r="CD280" i="6"/>
  <c r="CE280" i="6"/>
  <c r="AA1753" i="5"/>
  <c r="Y1753" i="5"/>
  <c r="Z1753" i="5"/>
  <c r="AA268" i="5"/>
  <c r="Y268" i="5"/>
  <c r="Z268" i="5"/>
  <c r="AN274" i="6"/>
  <c r="AT274" i="6"/>
  <c r="AO274" i="6"/>
  <c r="BA275" i="6"/>
  <c r="AP275" i="6"/>
  <c r="AU275" i="6"/>
  <c r="AV275" i="6"/>
  <c r="BR278" i="6"/>
  <c r="BX278" i="6"/>
  <c r="CC278" i="6"/>
  <c r="BW278" i="6"/>
  <c r="BB276" i="6"/>
  <c r="AW276" i="6"/>
  <c r="BC276" i="6"/>
  <c r="BH276" i="6"/>
  <c r="CM282" i="6"/>
  <c r="CS282" i="6"/>
  <c r="CR282" i="6"/>
  <c r="CX282" i="6"/>
  <c r="AA5712" i="5"/>
  <c r="Z5712" i="5"/>
  <c r="Y5712" i="5"/>
  <c r="BV277" i="6"/>
  <c r="BQ277" i="6"/>
  <c r="BP277" i="6"/>
  <c r="BK277" i="6"/>
  <c r="CD279" i="6"/>
  <c r="BY279" i="6"/>
  <c r="CE279" i="6"/>
  <c r="CJ279" i="6"/>
  <c r="AA763" i="5"/>
  <c r="Y763" i="5"/>
  <c r="Z763" i="5"/>
  <c r="AA4723" i="5"/>
  <c r="Y4723" i="5"/>
  <c r="Z4723" i="5"/>
  <c r="DA283" i="6"/>
  <c r="DL283" i="6"/>
  <c r="DF283" i="6"/>
  <c r="DG283" i="6"/>
  <c r="AA4228" i="5"/>
  <c r="Y4228" i="5"/>
  <c r="Z4228" i="5"/>
  <c r="AA3237" i="5"/>
  <c r="Y3237" i="5"/>
  <c r="Z3237" i="5"/>
  <c r="AA3733" i="5"/>
  <c r="Y3733" i="5"/>
  <c r="Z3733" i="5"/>
  <c r="DS284" i="6"/>
  <c r="DH284" i="6"/>
  <c r="DN284" i="6"/>
  <c r="DM284" i="6"/>
  <c r="Y6208" i="5"/>
  <c r="Z6208" i="5"/>
  <c r="Y6207" i="5"/>
  <c r="Z6207" i="5"/>
  <c r="EF288" i="6"/>
  <c r="EG288" i="6" s="1"/>
  <c r="EH288" i="6" s="1"/>
  <c r="AA288" i="6" s="1"/>
  <c r="AB286" i="6"/>
  <c r="DT286" i="6" s="1"/>
  <c r="R286" i="6"/>
  <c r="L286" i="6"/>
  <c r="X286" i="6"/>
  <c r="N286" i="6"/>
  <c r="D286" i="6"/>
  <c r="V286" i="6"/>
  <c r="P286" i="6"/>
  <c r="H286" i="6"/>
  <c r="Z286" i="6"/>
  <c r="T286" i="6"/>
  <c r="J286" i="6"/>
  <c r="AM286" i="6"/>
  <c r="F286" i="6"/>
  <c r="AI286" i="6"/>
  <c r="AK286" i="6"/>
  <c r="EG287" i="6"/>
  <c r="EH287" i="6" s="1"/>
  <c r="AA287" i="6" s="1"/>
  <c r="DO286" i="6" l="1"/>
  <c r="DY286" i="6"/>
  <c r="Y5713" i="5"/>
  <c r="Z5713" i="5"/>
  <c r="AA5713" i="5"/>
  <c r="AA3238" i="5"/>
  <c r="Z3238" i="5"/>
  <c r="Y3238" i="5"/>
  <c r="DE283" i="6"/>
  <c r="CT283" i="6"/>
  <c r="CY283" i="6"/>
  <c r="CZ283" i="6"/>
  <c r="BA276" i="6"/>
  <c r="AP276" i="6"/>
  <c r="AU276" i="6"/>
  <c r="AV276" i="6"/>
  <c r="AT275" i="6"/>
  <c r="AN275" i="6"/>
  <c r="AO275" i="6"/>
  <c r="AA3734" i="5"/>
  <c r="Y3734" i="5"/>
  <c r="Z3734" i="5"/>
  <c r="CL282" i="6"/>
  <c r="CF282" i="6"/>
  <c r="CK282" i="6"/>
  <c r="CQ282" i="6"/>
  <c r="BK278" i="6"/>
  <c r="BP278" i="6"/>
  <c r="BQ278" i="6"/>
  <c r="BV278" i="6"/>
  <c r="AA764" i="5"/>
  <c r="Z764" i="5"/>
  <c r="Y764" i="5"/>
  <c r="AA3239" i="5"/>
  <c r="Z3239" i="5"/>
  <c r="Y3239" i="5"/>
  <c r="BW279" i="6"/>
  <c r="BR279" i="6"/>
  <c r="CC279" i="6"/>
  <c r="BX279" i="6"/>
  <c r="DA284" i="6"/>
  <c r="DF284" i="6"/>
  <c r="DG284" i="6"/>
  <c r="DL284" i="6"/>
  <c r="AA2248" i="5"/>
  <c r="Y2248" i="5"/>
  <c r="Z2248" i="5"/>
  <c r="AA4229" i="5"/>
  <c r="Z4229" i="5"/>
  <c r="Y4229" i="5"/>
  <c r="Y1259" i="5"/>
  <c r="AA1259" i="5"/>
  <c r="Z1259" i="5"/>
  <c r="BR280" i="6"/>
  <c r="BX280" i="6"/>
  <c r="CC280" i="6"/>
  <c r="BW280" i="6"/>
  <c r="AA5714" i="5"/>
  <c r="Y5714" i="5"/>
  <c r="Z5714" i="5"/>
  <c r="CD281" i="6"/>
  <c r="BY281" i="6"/>
  <c r="CE281" i="6"/>
  <c r="CJ281" i="6"/>
  <c r="AA5218" i="5"/>
  <c r="Y5218" i="5"/>
  <c r="Z5218" i="5"/>
  <c r="BD277" i="6"/>
  <c r="BI277" i="6"/>
  <c r="BO277" i="6"/>
  <c r="BJ277" i="6"/>
  <c r="AA2743" i="5"/>
  <c r="Y2743" i="5"/>
  <c r="Z2743" i="5"/>
  <c r="AA269" i="5"/>
  <c r="Z269" i="5"/>
  <c r="Y269" i="5"/>
  <c r="DA285" i="6"/>
  <c r="DG285" i="6"/>
  <c r="DF285" i="6"/>
  <c r="DL285" i="6"/>
  <c r="F288" i="6"/>
  <c r="X288" i="6"/>
  <c r="N288" i="6"/>
  <c r="L288" i="6"/>
  <c r="V288" i="6"/>
  <c r="J288" i="6"/>
  <c r="D288" i="6"/>
  <c r="T288" i="6"/>
  <c r="H288" i="6"/>
  <c r="P288" i="6"/>
  <c r="R288" i="6"/>
  <c r="AK288" i="6"/>
  <c r="AB288" i="6"/>
  <c r="DT288" i="6" s="1"/>
  <c r="AM288" i="6"/>
  <c r="Z288" i="6"/>
  <c r="AI288" i="6"/>
  <c r="T287" i="6"/>
  <c r="N287" i="6"/>
  <c r="F287" i="6"/>
  <c r="R287" i="6"/>
  <c r="J287" i="6"/>
  <c r="Z287" i="6"/>
  <c r="X287" i="6"/>
  <c r="P287" i="6"/>
  <c r="H287" i="6"/>
  <c r="V287" i="6"/>
  <c r="L287" i="6"/>
  <c r="D287" i="6"/>
  <c r="AI287" i="6"/>
  <c r="AK287" i="6"/>
  <c r="AB287" i="6"/>
  <c r="DT287" i="6" s="1"/>
  <c r="AM287" i="6"/>
  <c r="DX286" i="6"/>
  <c r="AA6209" i="5" s="1"/>
  <c r="EF289" i="6"/>
  <c r="EG289" i="6" s="1"/>
  <c r="EH289" i="6" s="1"/>
  <c r="AA289" i="6" s="1"/>
  <c r="DO288" i="6" l="1"/>
  <c r="DY288" i="6"/>
  <c r="DO287" i="6"/>
  <c r="DY287" i="6"/>
  <c r="AW277" i="6"/>
  <c r="BC277" i="6"/>
  <c r="BB277" i="6"/>
  <c r="BH277" i="6"/>
  <c r="AA3240" i="5"/>
  <c r="Y3240" i="5"/>
  <c r="Z3240" i="5"/>
  <c r="AA2745" i="5"/>
  <c r="Y2745" i="5"/>
  <c r="Z2745" i="5"/>
  <c r="AA5219" i="5"/>
  <c r="Y5219" i="5"/>
  <c r="Z5219" i="5"/>
  <c r="CD282" i="6"/>
  <c r="BY282" i="6"/>
  <c r="CE282" i="6"/>
  <c r="CJ282" i="6"/>
  <c r="DE285" i="6"/>
  <c r="CT285" i="6"/>
  <c r="CY285" i="6"/>
  <c r="CZ285" i="6"/>
  <c r="AA2744" i="5"/>
  <c r="Z2744" i="5"/>
  <c r="Y2744" i="5"/>
  <c r="BD278" i="6"/>
  <c r="BO278" i="6"/>
  <c r="BJ278" i="6"/>
  <c r="BI278" i="6"/>
  <c r="BW281" i="6"/>
  <c r="BR281" i="6"/>
  <c r="BX281" i="6"/>
  <c r="CC281" i="6"/>
  <c r="BV280" i="6"/>
  <c r="BP280" i="6"/>
  <c r="BK280" i="6"/>
  <c r="BQ280" i="6"/>
  <c r="BK279" i="6"/>
  <c r="BQ279" i="6"/>
  <c r="BP279" i="6"/>
  <c r="BV279" i="6"/>
  <c r="AA2249" i="5"/>
  <c r="Z2249" i="5"/>
  <c r="Y2249" i="5"/>
  <c r="AA3735" i="5"/>
  <c r="Y3735" i="5"/>
  <c r="Z3735" i="5"/>
  <c r="AT276" i="6"/>
  <c r="AO276" i="6"/>
  <c r="AN276" i="6"/>
  <c r="CR283" i="6"/>
  <c r="CS283" i="6"/>
  <c r="CM283" i="6"/>
  <c r="CX283" i="6"/>
  <c r="AA1754" i="5"/>
  <c r="Y1754" i="5"/>
  <c r="Z1754" i="5"/>
  <c r="AA5220" i="5"/>
  <c r="Y5220" i="5"/>
  <c r="Z5220" i="5"/>
  <c r="DE284" i="6"/>
  <c r="CT284" i="6"/>
  <c r="CZ284" i="6"/>
  <c r="CY284" i="6"/>
  <c r="AA270" i="5"/>
  <c r="Y270" i="5"/>
  <c r="Z270" i="5"/>
  <c r="Y765" i="5"/>
  <c r="AA765" i="5"/>
  <c r="Z765" i="5"/>
  <c r="AA4724" i="5"/>
  <c r="Y4724" i="5"/>
  <c r="Z4724" i="5"/>
  <c r="DS286" i="6"/>
  <c r="DH286" i="6"/>
  <c r="DM286" i="6"/>
  <c r="DN286" i="6"/>
  <c r="Y6209" i="5"/>
  <c r="Z6209" i="5"/>
  <c r="EF290" i="6"/>
  <c r="F289" i="6"/>
  <c r="Z289" i="6"/>
  <c r="T289" i="6"/>
  <c r="L289" i="6"/>
  <c r="R289" i="6"/>
  <c r="H289" i="6"/>
  <c r="X289" i="6"/>
  <c r="P289" i="6"/>
  <c r="D289" i="6"/>
  <c r="AI289" i="6"/>
  <c r="AB289" i="6"/>
  <c r="DT289" i="6" s="1"/>
  <c r="AM289" i="6"/>
  <c r="V289" i="6"/>
  <c r="N289" i="6"/>
  <c r="J289" i="6"/>
  <c r="AK289" i="6"/>
  <c r="DX287" i="6"/>
  <c r="AA6210" i="5" s="1"/>
  <c r="DX288" i="6"/>
  <c r="AA6211" i="5" s="1"/>
  <c r="AA5715" i="5" l="1"/>
  <c r="Y5715" i="5"/>
  <c r="Z5715" i="5"/>
  <c r="AA4230" i="5"/>
  <c r="Y4230" i="5"/>
  <c r="Z4230" i="5"/>
  <c r="BB278" i="6"/>
  <c r="AW278" i="6"/>
  <c r="BC278" i="6"/>
  <c r="BH278" i="6"/>
  <c r="Y4725" i="5"/>
  <c r="AA4725" i="5"/>
  <c r="Z4725" i="5"/>
  <c r="CL283" i="6"/>
  <c r="CF283" i="6"/>
  <c r="CK283" i="6"/>
  <c r="CQ283" i="6"/>
  <c r="AA2250" i="5"/>
  <c r="Y2250" i="5"/>
  <c r="Z2250" i="5"/>
  <c r="AA2746" i="5"/>
  <c r="Y2746" i="5"/>
  <c r="Z2746" i="5"/>
  <c r="AA1260" i="5"/>
  <c r="Y1260" i="5"/>
  <c r="Z1260" i="5"/>
  <c r="BD280" i="6"/>
  <c r="BO280" i="6"/>
  <c r="BJ280" i="6"/>
  <c r="BI280" i="6"/>
  <c r="BR282" i="6"/>
  <c r="CC282" i="6"/>
  <c r="BW282" i="6"/>
  <c r="BX282" i="6"/>
  <c r="DH287" i="6"/>
  <c r="DN287" i="6"/>
  <c r="DS287" i="6"/>
  <c r="DM287" i="6"/>
  <c r="AA271" i="5"/>
  <c r="Y271" i="5"/>
  <c r="Z271" i="5"/>
  <c r="CR285" i="6"/>
  <c r="CS285" i="6"/>
  <c r="CM285" i="6"/>
  <c r="CX285" i="6"/>
  <c r="DO289" i="6"/>
  <c r="DY289" i="6"/>
  <c r="DA286" i="6"/>
  <c r="DG286" i="6"/>
  <c r="DF286" i="6"/>
  <c r="DL286" i="6"/>
  <c r="BV281" i="6"/>
  <c r="BK281" i="6"/>
  <c r="BQ281" i="6"/>
  <c r="BP281" i="6"/>
  <c r="AA1755" i="5"/>
  <c r="Z1755" i="5"/>
  <c r="Y1755" i="5"/>
  <c r="AA4726" i="5"/>
  <c r="Z4726" i="5"/>
  <c r="Y4726" i="5"/>
  <c r="CR284" i="6"/>
  <c r="CM284" i="6"/>
  <c r="CS284" i="6"/>
  <c r="CX284" i="6"/>
  <c r="BD279" i="6"/>
  <c r="BO279" i="6"/>
  <c r="BI279" i="6"/>
  <c r="BJ279" i="6"/>
  <c r="AA2251" i="5"/>
  <c r="Y2251" i="5"/>
  <c r="Z2251" i="5"/>
  <c r="AA3241" i="5"/>
  <c r="Y3241" i="5"/>
  <c r="Z3241" i="5"/>
  <c r="BA277" i="6"/>
  <c r="AP277" i="6"/>
  <c r="AV277" i="6"/>
  <c r="AU277" i="6"/>
  <c r="DH288" i="6"/>
  <c r="DM288" i="6"/>
  <c r="DS288" i="6"/>
  <c r="DN288" i="6"/>
  <c r="Y6210" i="5"/>
  <c r="Z6210" i="5"/>
  <c r="Y6211" i="5"/>
  <c r="Z6211" i="5"/>
  <c r="EF291" i="6"/>
  <c r="EG290" i="6"/>
  <c r="EH290" i="6" s="1"/>
  <c r="AA290" i="6" s="1"/>
  <c r="DX289" i="6"/>
  <c r="AA6212" i="5" s="1"/>
  <c r="AA1756" i="5" l="1"/>
  <c r="Z1756" i="5"/>
  <c r="Y1756" i="5"/>
  <c r="BB280" i="6"/>
  <c r="AW280" i="6"/>
  <c r="BC280" i="6"/>
  <c r="BH280" i="6"/>
  <c r="DA288" i="6"/>
  <c r="DG288" i="6"/>
  <c r="DF288" i="6"/>
  <c r="DL288" i="6"/>
  <c r="Y766" i="5"/>
  <c r="AA766" i="5"/>
  <c r="Z766" i="5"/>
  <c r="AA2252" i="5"/>
  <c r="Z2252" i="5"/>
  <c r="Y2252" i="5"/>
  <c r="DE286" i="6"/>
  <c r="CT286" i="6"/>
  <c r="CY286" i="6"/>
  <c r="CZ286" i="6"/>
  <c r="CL285" i="6"/>
  <c r="CF285" i="6"/>
  <c r="CK285" i="6"/>
  <c r="CQ285" i="6"/>
  <c r="AA2747" i="5"/>
  <c r="Z2747" i="5"/>
  <c r="Y2747" i="5"/>
  <c r="AA1757" i="5"/>
  <c r="Y1757" i="5"/>
  <c r="Z1757" i="5"/>
  <c r="BA278" i="6"/>
  <c r="AP278" i="6"/>
  <c r="AV278" i="6"/>
  <c r="AU278" i="6"/>
  <c r="AA5221" i="5"/>
  <c r="Z5221" i="5"/>
  <c r="Y5221" i="5"/>
  <c r="DA287" i="6"/>
  <c r="DF287" i="6"/>
  <c r="DL287" i="6"/>
  <c r="DG287" i="6"/>
  <c r="CD283" i="6"/>
  <c r="BY283" i="6"/>
  <c r="CE283" i="6"/>
  <c r="CJ283" i="6"/>
  <c r="AA5717" i="5"/>
  <c r="Y5717" i="5"/>
  <c r="Z5717" i="5"/>
  <c r="BB279" i="6"/>
  <c r="AW279" i="6"/>
  <c r="BC279" i="6"/>
  <c r="BH279" i="6"/>
  <c r="DH289" i="6"/>
  <c r="DM289" i="6"/>
  <c r="DS289" i="6"/>
  <c r="DN289" i="6"/>
  <c r="AA1261" i="5"/>
  <c r="Y1261" i="5"/>
  <c r="Z1261" i="5"/>
  <c r="CL284" i="6"/>
  <c r="CF284" i="6"/>
  <c r="CK284" i="6"/>
  <c r="CQ284" i="6"/>
  <c r="BK282" i="6"/>
  <c r="BV282" i="6"/>
  <c r="BP282" i="6"/>
  <c r="BQ282" i="6"/>
  <c r="AN277" i="6"/>
  <c r="AT277" i="6"/>
  <c r="AO277" i="6"/>
  <c r="AA4231" i="5"/>
  <c r="Y4231" i="5"/>
  <c r="Z4231" i="5"/>
  <c r="BD281" i="6"/>
  <c r="BO281" i="6"/>
  <c r="BJ281" i="6"/>
  <c r="BI281" i="6"/>
  <c r="AA4232" i="5"/>
  <c r="Y4232" i="5"/>
  <c r="Z4232" i="5"/>
  <c r="AA5716" i="5"/>
  <c r="Y5716" i="5"/>
  <c r="Z5716" i="5"/>
  <c r="AA3736" i="5"/>
  <c r="Y3736" i="5"/>
  <c r="Z3736" i="5"/>
  <c r="Y6212" i="5"/>
  <c r="Z6212" i="5"/>
  <c r="EF292" i="6"/>
  <c r="EG292" i="6"/>
  <c r="EH292" i="6" s="1"/>
  <c r="AA292" i="6" s="1"/>
  <c r="X290" i="6"/>
  <c r="N290" i="6"/>
  <c r="D290" i="6"/>
  <c r="V290" i="6"/>
  <c r="L290" i="6"/>
  <c r="T290" i="6"/>
  <c r="J290" i="6"/>
  <c r="Z290" i="6"/>
  <c r="R290" i="6"/>
  <c r="P290" i="6"/>
  <c r="F290" i="6"/>
  <c r="H290" i="6"/>
  <c r="AM290" i="6"/>
  <c r="AK290" i="6"/>
  <c r="AI290" i="6"/>
  <c r="AB290" i="6"/>
  <c r="DT290" i="6" s="1"/>
  <c r="EG291" i="6"/>
  <c r="EH291" i="6" s="1"/>
  <c r="AA291" i="6" s="1"/>
  <c r="BW283" i="6" l="1"/>
  <c r="BR283" i="6"/>
  <c r="CC283" i="6"/>
  <c r="BX283" i="6"/>
  <c r="AA767" i="5"/>
  <c r="Y767" i="5"/>
  <c r="Z767" i="5"/>
  <c r="AW281" i="6"/>
  <c r="BB281" i="6"/>
  <c r="BH281" i="6"/>
  <c r="BC281" i="6"/>
  <c r="BA279" i="6"/>
  <c r="AP279" i="6"/>
  <c r="AU279" i="6"/>
  <c r="AV279" i="6"/>
  <c r="DE287" i="6"/>
  <c r="CT287" i="6"/>
  <c r="CY287" i="6"/>
  <c r="CZ287" i="6"/>
  <c r="CD285" i="6"/>
  <c r="BY285" i="6"/>
  <c r="CE285" i="6"/>
  <c r="CJ285" i="6"/>
  <c r="CM286" i="6"/>
  <c r="CX286" i="6"/>
  <c r="CR286" i="6"/>
  <c r="CS286" i="6"/>
  <c r="AA5223" i="5"/>
  <c r="Y5223" i="5"/>
  <c r="Z5223" i="5"/>
  <c r="Y1263" i="5"/>
  <c r="AA1263" i="5"/>
  <c r="Z1263" i="5"/>
  <c r="AA1758" i="5"/>
  <c r="Y1758" i="5"/>
  <c r="Z1758" i="5"/>
  <c r="DE288" i="6"/>
  <c r="CT288" i="6"/>
  <c r="CZ288" i="6"/>
  <c r="CY288" i="6"/>
  <c r="AA272" i="5"/>
  <c r="Y272" i="5"/>
  <c r="Z272" i="5"/>
  <c r="AA2253" i="5"/>
  <c r="Y2253" i="5"/>
  <c r="Z2253" i="5"/>
  <c r="BY284" i="6"/>
  <c r="CD284" i="6"/>
  <c r="CE284" i="6"/>
  <c r="CJ284" i="6"/>
  <c r="DA289" i="6"/>
  <c r="DG289" i="6"/>
  <c r="DF289" i="6"/>
  <c r="DL289" i="6"/>
  <c r="AA3242" i="5"/>
  <c r="Z3242" i="5"/>
  <c r="Y3242" i="5"/>
  <c r="AA4727" i="5"/>
  <c r="Z4727" i="5"/>
  <c r="Y4727" i="5"/>
  <c r="AA3737" i="5"/>
  <c r="Y3737" i="5"/>
  <c r="Z3737" i="5"/>
  <c r="AA5718" i="5"/>
  <c r="Y5718" i="5"/>
  <c r="Z5718" i="5"/>
  <c r="DY290" i="6"/>
  <c r="DO290" i="6"/>
  <c r="BD282" i="6"/>
  <c r="BJ282" i="6"/>
  <c r="BI282" i="6"/>
  <c r="BO282" i="6"/>
  <c r="AA1262" i="5"/>
  <c r="Y1262" i="5"/>
  <c r="Z1262" i="5"/>
  <c r="AA5222" i="5"/>
  <c r="Y5222" i="5"/>
  <c r="Z5222" i="5"/>
  <c r="AN278" i="6"/>
  <c r="AT278" i="6"/>
  <c r="AO278" i="6"/>
  <c r="AA3738" i="5"/>
  <c r="Y3738" i="5"/>
  <c r="Z3738" i="5"/>
  <c r="BA280" i="6"/>
  <c r="AP280" i="6"/>
  <c r="AU280" i="6"/>
  <c r="AV280" i="6"/>
  <c r="DX290" i="6"/>
  <c r="AA6213" i="5" s="1"/>
  <c r="F292" i="6"/>
  <c r="T292" i="6"/>
  <c r="J292" i="6"/>
  <c r="P292" i="6"/>
  <c r="H292" i="6"/>
  <c r="X292" i="6"/>
  <c r="R292" i="6"/>
  <c r="D292" i="6"/>
  <c r="V292" i="6"/>
  <c r="N292" i="6"/>
  <c r="L292" i="6"/>
  <c r="AK292" i="6"/>
  <c r="Z292" i="6"/>
  <c r="AM292" i="6"/>
  <c r="AI292" i="6"/>
  <c r="AB292" i="6"/>
  <c r="DT292" i="6" s="1"/>
  <c r="EF293" i="6"/>
  <c r="V291" i="6"/>
  <c r="L291" i="6"/>
  <c r="Z291" i="6"/>
  <c r="T291" i="6"/>
  <c r="J291" i="6"/>
  <c r="R291" i="6"/>
  <c r="H291" i="6"/>
  <c r="D291" i="6"/>
  <c r="X291" i="6"/>
  <c r="P291" i="6"/>
  <c r="N291" i="6"/>
  <c r="F291" i="6"/>
  <c r="AI291" i="6"/>
  <c r="AB291" i="6"/>
  <c r="DT291" i="6" s="1"/>
  <c r="AK291" i="6"/>
  <c r="AM291" i="6"/>
  <c r="DS290" i="6" l="1"/>
  <c r="DH290" i="6"/>
  <c r="DN290" i="6"/>
  <c r="DM290" i="6"/>
  <c r="CL286" i="6"/>
  <c r="CF286" i="6"/>
  <c r="CQ286" i="6"/>
  <c r="CK286" i="6"/>
  <c r="AA4728" i="5"/>
  <c r="Y4728" i="5"/>
  <c r="Z4728" i="5"/>
  <c r="AA768" i="5"/>
  <c r="Y768" i="5"/>
  <c r="Z768" i="5"/>
  <c r="BA281" i="6"/>
  <c r="AP281" i="6"/>
  <c r="AV281" i="6"/>
  <c r="AU281" i="6"/>
  <c r="DE289" i="6"/>
  <c r="CT289" i="6"/>
  <c r="CZ289" i="6"/>
  <c r="CY289" i="6"/>
  <c r="BR284" i="6"/>
  <c r="BX284" i="6"/>
  <c r="CC284" i="6"/>
  <c r="BW284" i="6"/>
  <c r="AA3244" i="5"/>
  <c r="Y3244" i="5"/>
  <c r="Z3244" i="5"/>
  <c r="AA2748" i="5"/>
  <c r="Y2748" i="5"/>
  <c r="Z2748" i="5"/>
  <c r="DO291" i="6"/>
  <c r="DY291" i="6"/>
  <c r="AA273" i="5"/>
  <c r="Y273" i="5"/>
  <c r="Z273" i="5"/>
  <c r="AA1759" i="5"/>
  <c r="Y1759" i="5"/>
  <c r="Z1759" i="5"/>
  <c r="AO280" i="6"/>
  <c r="AN280" i="6"/>
  <c r="AT280" i="6"/>
  <c r="AA5224" i="5"/>
  <c r="Y5224" i="5"/>
  <c r="Z5224" i="5"/>
  <c r="AA3243" i="5"/>
  <c r="Y3243" i="5"/>
  <c r="Z3243" i="5"/>
  <c r="CR288" i="6"/>
  <c r="CS288" i="6"/>
  <c r="CM288" i="6"/>
  <c r="CX288" i="6"/>
  <c r="AA1264" i="5"/>
  <c r="Z1264" i="5"/>
  <c r="Y1264" i="5"/>
  <c r="BK283" i="6"/>
  <c r="BP283" i="6"/>
  <c r="BV283" i="6"/>
  <c r="BQ283" i="6"/>
  <c r="DO292" i="6"/>
  <c r="DY292" i="6"/>
  <c r="AA769" i="5"/>
  <c r="Y769" i="5"/>
  <c r="Z769" i="5"/>
  <c r="BB282" i="6"/>
  <c r="AW282" i="6"/>
  <c r="BC282" i="6"/>
  <c r="BH282" i="6"/>
  <c r="Y4729" i="5"/>
  <c r="Z4729" i="5"/>
  <c r="AA4729" i="5"/>
  <c r="AA4233" i="5"/>
  <c r="Y4233" i="5"/>
  <c r="Z4233" i="5"/>
  <c r="BW285" i="6"/>
  <c r="BR285" i="6"/>
  <c r="BX285" i="6"/>
  <c r="CC285" i="6"/>
  <c r="CR287" i="6"/>
  <c r="CM287" i="6"/>
  <c r="CS287" i="6"/>
  <c r="CX287" i="6"/>
  <c r="AN279" i="6"/>
  <c r="AT279" i="6"/>
  <c r="AO279" i="6"/>
  <c r="Y6213" i="5"/>
  <c r="Z6213" i="5"/>
  <c r="DX292" i="6"/>
  <c r="AA6215" i="5" s="1"/>
  <c r="EF294" i="6"/>
  <c r="EG294" i="6" s="1"/>
  <c r="EH294" i="6" s="1"/>
  <c r="AA294" i="6" s="1"/>
  <c r="DX291" i="6"/>
  <c r="AA6214" i="5" s="1"/>
  <c r="EG293" i="6"/>
  <c r="EH293" i="6" s="1"/>
  <c r="AA293" i="6" s="1"/>
  <c r="CF288" i="6" l="1"/>
  <c r="CK288" i="6"/>
  <c r="CL288" i="6"/>
  <c r="CQ288" i="6"/>
  <c r="AN281" i="6"/>
  <c r="AO281" i="6"/>
  <c r="AT281" i="6"/>
  <c r="AA4234" i="5"/>
  <c r="Y4234" i="5"/>
  <c r="Z4234" i="5"/>
  <c r="AA2750" i="5"/>
  <c r="Z2750" i="5"/>
  <c r="Y2750" i="5"/>
  <c r="BA282" i="6"/>
  <c r="AV282" i="6"/>
  <c r="AP282" i="6"/>
  <c r="AU282" i="6"/>
  <c r="AA2254" i="5"/>
  <c r="Z2254" i="5"/>
  <c r="Y2254" i="5"/>
  <c r="AA275" i="5"/>
  <c r="Z275" i="5"/>
  <c r="Y275" i="5"/>
  <c r="BV284" i="6"/>
  <c r="BK284" i="6"/>
  <c r="BP284" i="6"/>
  <c r="BQ284" i="6"/>
  <c r="AA4730" i="5"/>
  <c r="Y4730" i="5"/>
  <c r="Z4730" i="5"/>
  <c r="Y770" i="5"/>
  <c r="Z770" i="5"/>
  <c r="AA770" i="5"/>
  <c r="AA3739" i="5"/>
  <c r="Y3739" i="5"/>
  <c r="Z3739" i="5"/>
  <c r="CR289" i="6"/>
  <c r="CS289" i="6"/>
  <c r="CM289" i="6"/>
  <c r="CX289" i="6"/>
  <c r="CD286" i="6"/>
  <c r="BY286" i="6"/>
  <c r="CE286" i="6"/>
  <c r="CJ286" i="6"/>
  <c r="DA290" i="6"/>
  <c r="DL290" i="6"/>
  <c r="DF290" i="6"/>
  <c r="DG290" i="6"/>
  <c r="AA274" i="5"/>
  <c r="Y274" i="5"/>
  <c r="Z274" i="5"/>
  <c r="CQ287" i="6"/>
  <c r="CF287" i="6"/>
  <c r="CL287" i="6"/>
  <c r="CK287" i="6"/>
  <c r="BV285" i="6"/>
  <c r="BQ285" i="6"/>
  <c r="BK285" i="6"/>
  <c r="BP285" i="6"/>
  <c r="Y1265" i="5"/>
  <c r="AA1265" i="5"/>
  <c r="Z1265" i="5"/>
  <c r="DS292" i="6"/>
  <c r="DH292" i="6"/>
  <c r="DN292" i="6"/>
  <c r="DM292" i="6"/>
  <c r="BD283" i="6"/>
  <c r="BJ283" i="6"/>
  <c r="BO283" i="6"/>
  <c r="BI283" i="6"/>
  <c r="AA4235" i="5"/>
  <c r="Y4235" i="5"/>
  <c r="Z4235" i="5"/>
  <c r="DH291" i="6"/>
  <c r="DN291" i="6"/>
  <c r="DM291" i="6"/>
  <c r="DS291" i="6"/>
  <c r="AA2749" i="5"/>
  <c r="Y2749" i="5"/>
  <c r="Z2749" i="5"/>
  <c r="AA5719" i="5"/>
  <c r="Y5719" i="5"/>
  <c r="Z5719" i="5"/>
  <c r="Y6215" i="5"/>
  <c r="Z6215" i="5"/>
  <c r="Y6214" i="5"/>
  <c r="Z6214" i="5"/>
  <c r="R294" i="6"/>
  <c r="J294" i="6"/>
  <c r="Z294" i="6"/>
  <c r="V294" i="6"/>
  <c r="N294" i="6"/>
  <c r="D294" i="6"/>
  <c r="X294" i="6"/>
  <c r="L294" i="6"/>
  <c r="H294" i="6"/>
  <c r="T294" i="6"/>
  <c r="P294" i="6"/>
  <c r="AM294" i="6"/>
  <c r="AI294" i="6"/>
  <c r="AK294" i="6"/>
  <c r="AB294" i="6"/>
  <c r="DT294" i="6" s="1"/>
  <c r="F294" i="6"/>
  <c r="F293" i="6"/>
  <c r="Z293" i="6"/>
  <c r="X293" i="6"/>
  <c r="P293" i="6"/>
  <c r="D293" i="6"/>
  <c r="AB293" i="6"/>
  <c r="DT293" i="6" s="1"/>
  <c r="V293" i="6"/>
  <c r="N293" i="6"/>
  <c r="H293" i="6"/>
  <c r="T293" i="6"/>
  <c r="L293" i="6"/>
  <c r="AI293" i="6"/>
  <c r="R293" i="6"/>
  <c r="J293" i="6"/>
  <c r="AK293" i="6"/>
  <c r="AM293" i="6"/>
  <c r="EF295" i="6"/>
  <c r="EG295" i="6" s="1"/>
  <c r="EH295" i="6" s="1"/>
  <c r="AA295" i="6" s="1"/>
  <c r="AA2256" i="5" l="1"/>
  <c r="Z2256" i="5"/>
  <c r="Y2256" i="5"/>
  <c r="Y3740" i="5"/>
  <c r="Z3740" i="5"/>
  <c r="AA3740" i="5"/>
  <c r="AA3245" i="5"/>
  <c r="Y3245" i="5"/>
  <c r="Z3245" i="5"/>
  <c r="AA2255" i="5"/>
  <c r="Y2255" i="5"/>
  <c r="Z2255" i="5"/>
  <c r="AO282" i="6"/>
  <c r="AN282" i="6"/>
  <c r="AT282" i="6"/>
  <c r="AA3741" i="5"/>
  <c r="Y3741" i="5"/>
  <c r="Z3741" i="5"/>
  <c r="BB283" i="6"/>
  <c r="AW283" i="6"/>
  <c r="BC283" i="6"/>
  <c r="BH283" i="6"/>
  <c r="Y5721" i="5"/>
  <c r="Z5721" i="5"/>
  <c r="AA5721" i="5"/>
  <c r="CQ289" i="6"/>
  <c r="CF289" i="6"/>
  <c r="CK289" i="6"/>
  <c r="CL289" i="6"/>
  <c r="AA276" i="5"/>
  <c r="Z276" i="5"/>
  <c r="Y276" i="5"/>
  <c r="DA292" i="6"/>
  <c r="DL292" i="6"/>
  <c r="DF292" i="6"/>
  <c r="DG292" i="6"/>
  <c r="DO294" i="6"/>
  <c r="DY294" i="6"/>
  <c r="DA291" i="6"/>
  <c r="DL291" i="6"/>
  <c r="DF291" i="6"/>
  <c r="DG291" i="6"/>
  <c r="BD285" i="6"/>
  <c r="BO285" i="6"/>
  <c r="BJ285" i="6"/>
  <c r="BI285" i="6"/>
  <c r="AA5225" i="5"/>
  <c r="Y5225" i="5"/>
  <c r="Z5225" i="5"/>
  <c r="BR286" i="6"/>
  <c r="BX286" i="6"/>
  <c r="CC286" i="6"/>
  <c r="BW286" i="6"/>
  <c r="AA771" i="5"/>
  <c r="Y771" i="5"/>
  <c r="Z771" i="5"/>
  <c r="AA4236" i="5"/>
  <c r="Y4236" i="5"/>
  <c r="Z4236" i="5"/>
  <c r="DY293" i="6"/>
  <c r="DO293" i="6"/>
  <c r="AA5720" i="5"/>
  <c r="Z5720" i="5"/>
  <c r="Y5720" i="5"/>
  <c r="AA1760" i="5"/>
  <c r="Z1760" i="5"/>
  <c r="Y1760" i="5"/>
  <c r="CD287" i="6"/>
  <c r="BY287" i="6"/>
  <c r="CE287" i="6"/>
  <c r="CJ287" i="6"/>
  <c r="DE290" i="6"/>
  <c r="CT290" i="6"/>
  <c r="CY290" i="6"/>
  <c r="CZ290" i="6"/>
  <c r="BD284" i="6"/>
  <c r="BJ284" i="6"/>
  <c r="BI284" i="6"/>
  <c r="BO284" i="6"/>
  <c r="BY288" i="6"/>
  <c r="CD288" i="6"/>
  <c r="CE288" i="6"/>
  <c r="CJ288" i="6"/>
  <c r="DX294" i="6"/>
  <c r="AA6217" i="5" s="1"/>
  <c r="Z295" i="6"/>
  <c r="AB295" i="6"/>
  <c r="DT295" i="6" s="1"/>
  <c r="R295" i="6"/>
  <c r="N295" i="6"/>
  <c r="X295" i="6"/>
  <c r="P295" i="6"/>
  <c r="H295" i="6"/>
  <c r="V295" i="6"/>
  <c r="L295" i="6"/>
  <c r="F295" i="6"/>
  <c r="T295" i="6"/>
  <c r="J295" i="6"/>
  <c r="AI295" i="6"/>
  <c r="AK295" i="6"/>
  <c r="D295" i="6"/>
  <c r="AM295" i="6"/>
  <c r="DX293" i="6"/>
  <c r="AA6216" i="5" s="1"/>
  <c r="EF296" i="6"/>
  <c r="EG296" i="6" s="1"/>
  <c r="EH296" i="6" s="1"/>
  <c r="AA296" i="6" s="1"/>
  <c r="BR288" i="6" l="1"/>
  <c r="CC288" i="6"/>
  <c r="BX288" i="6"/>
  <c r="BW288" i="6"/>
  <c r="AA4731" i="5"/>
  <c r="Y4731" i="5"/>
  <c r="Z4731" i="5"/>
  <c r="AA2751" i="5"/>
  <c r="Y2751" i="5"/>
  <c r="Z2751" i="5"/>
  <c r="AA1762" i="5"/>
  <c r="Z1762" i="5"/>
  <c r="Y1762" i="5"/>
  <c r="AA5226" i="5"/>
  <c r="Z5226" i="5"/>
  <c r="Y5226" i="5"/>
  <c r="AA3247" i="5"/>
  <c r="Y3247" i="5"/>
  <c r="Z3247" i="5"/>
  <c r="AA1761" i="5"/>
  <c r="Z1761" i="5"/>
  <c r="Y1761" i="5"/>
  <c r="AA3246" i="5"/>
  <c r="Z3246" i="5"/>
  <c r="Y3246" i="5"/>
  <c r="AW285" i="6"/>
  <c r="BC285" i="6"/>
  <c r="BB285" i="6"/>
  <c r="BH285" i="6"/>
  <c r="DE291" i="6"/>
  <c r="CT291" i="6"/>
  <c r="CY291" i="6"/>
  <c r="CZ291" i="6"/>
  <c r="CD289" i="6"/>
  <c r="CE289" i="6"/>
  <c r="BY289" i="6"/>
  <c r="CJ289" i="6"/>
  <c r="AA277" i="5"/>
  <c r="Z277" i="5"/>
  <c r="Y277" i="5"/>
  <c r="BB284" i="6"/>
  <c r="AW284" i="6"/>
  <c r="BC284" i="6"/>
  <c r="BH284" i="6"/>
  <c r="BA283" i="6"/>
  <c r="AP283" i="6"/>
  <c r="AU283" i="6"/>
  <c r="AV283" i="6"/>
  <c r="DO295" i="6"/>
  <c r="DY295" i="6"/>
  <c r="BK286" i="6"/>
  <c r="BP286" i="6"/>
  <c r="BQ286" i="6"/>
  <c r="BV286" i="6"/>
  <c r="AA5227" i="5"/>
  <c r="Z5227" i="5"/>
  <c r="Y5227" i="5"/>
  <c r="AA3742" i="5"/>
  <c r="Y3742" i="5"/>
  <c r="Z3742" i="5"/>
  <c r="AA1266" i="5"/>
  <c r="Y1266" i="5"/>
  <c r="Z1266" i="5"/>
  <c r="CM290" i="6"/>
  <c r="CR290" i="6"/>
  <c r="CX290" i="6"/>
  <c r="CS290" i="6"/>
  <c r="BW287" i="6"/>
  <c r="BR287" i="6"/>
  <c r="CC287" i="6"/>
  <c r="BX287" i="6"/>
  <c r="DH293" i="6"/>
  <c r="DN293" i="6"/>
  <c r="DM293" i="6"/>
  <c r="DS293" i="6"/>
  <c r="DS294" i="6"/>
  <c r="DH294" i="6"/>
  <c r="DN294" i="6"/>
  <c r="DM294" i="6"/>
  <c r="DE292" i="6"/>
  <c r="CT292" i="6"/>
  <c r="CZ292" i="6"/>
  <c r="CY292" i="6"/>
  <c r="Y6216" i="5"/>
  <c r="Z6216" i="5"/>
  <c r="Y6217" i="5"/>
  <c r="Z6217" i="5"/>
  <c r="F296" i="6"/>
  <c r="V296" i="6"/>
  <c r="N296" i="6"/>
  <c r="D296" i="6"/>
  <c r="T296" i="6"/>
  <c r="L296" i="6"/>
  <c r="R296" i="6"/>
  <c r="J296" i="6"/>
  <c r="X296" i="6"/>
  <c r="P296" i="6"/>
  <c r="H296" i="6"/>
  <c r="AK296" i="6"/>
  <c r="AB296" i="6"/>
  <c r="DT296" i="6" s="1"/>
  <c r="Z296" i="6"/>
  <c r="AM296" i="6"/>
  <c r="AI296" i="6"/>
  <c r="DX295" i="6"/>
  <c r="AA6218" i="5" s="1"/>
  <c r="EF297" i="6"/>
  <c r="EG297" i="6" s="1"/>
  <c r="EH297" i="6" s="1"/>
  <c r="AA297" i="6" s="1"/>
  <c r="CF290" i="6" l="1"/>
  <c r="CK290" i="6"/>
  <c r="CL290" i="6"/>
  <c r="CQ290" i="6"/>
  <c r="Y1267" i="5"/>
  <c r="AA1267" i="5"/>
  <c r="Z1267" i="5"/>
  <c r="BW289" i="6"/>
  <c r="BR289" i="6"/>
  <c r="BX289" i="6"/>
  <c r="CC289" i="6"/>
  <c r="AA5722" i="5"/>
  <c r="Y5722" i="5"/>
  <c r="Z5722" i="5"/>
  <c r="BD286" i="6"/>
  <c r="BI286" i="6"/>
  <c r="BO286" i="6"/>
  <c r="BJ286" i="6"/>
  <c r="CR291" i="6"/>
  <c r="CM291" i="6"/>
  <c r="CS291" i="6"/>
  <c r="CX291" i="6"/>
  <c r="DA293" i="6"/>
  <c r="DL293" i="6"/>
  <c r="DF293" i="6"/>
  <c r="DG293" i="6"/>
  <c r="AA2752" i="5"/>
  <c r="Z2752" i="5"/>
  <c r="Y2752" i="5"/>
  <c r="AA4237" i="5"/>
  <c r="Y4237" i="5"/>
  <c r="Z4237" i="5"/>
  <c r="AA2257" i="5"/>
  <c r="Y2257" i="5"/>
  <c r="Z2257" i="5"/>
  <c r="AT283" i="6"/>
  <c r="AO283" i="6"/>
  <c r="AN283" i="6"/>
  <c r="BA284" i="6"/>
  <c r="AP284" i="6"/>
  <c r="AU284" i="6"/>
  <c r="AV284" i="6"/>
  <c r="AA4732" i="5"/>
  <c r="Y4732" i="5"/>
  <c r="Z4732" i="5"/>
  <c r="BA285" i="6"/>
  <c r="AP285" i="6"/>
  <c r="AV285" i="6"/>
  <c r="AU285" i="6"/>
  <c r="AA2753" i="5"/>
  <c r="Y2753" i="5"/>
  <c r="Z2753" i="5"/>
  <c r="DO296" i="6"/>
  <c r="DY296" i="6"/>
  <c r="Y4733" i="5"/>
  <c r="Z4733" i="5"/>
  <c r="AA4733" i="5"/>
  <c r="AA5723" i="5"/>
  <c r="Y5723" i="5"/>
  <c r="Z5723" i="5"/>
  <c r="CR292" i="6"/>
  <c r="CS292" i="6"/>
  <c r="CM292" i="6"/>
  <c r="CX292" i="6"/>
  <c r="DA294" i="6"/>
  <c r="DF294" i="6"/>
  <c r="DL294" i="6"/>
  <c r="DG294" i="6"/>
  <c r="BK287" i="6"/>
  <c r="BV287" i="6"/>
  <c r="BQ287" i="6"/>
  <c r="BP287" i="6"/>
  <c r="DH295" i="6"/>
  <c r="DS295" i="6"/>
  <c r="DN295" i="6"/>
  <c r="DM295" i="6"/>
  <c r="AA772" i="5"/>
  <c r="Z772" i="5"/>
  <c r="Y772" i="5"/>
  <c r="AA3248" i="5"/>
  <c r="Y3248" i="5"/>
  <c r="Z3248" i="5"/>
  <c r="AA1268" i="5"/>
  <c r="Y1268" i="5"/>
  <c r="Z1268" i="5"/>
  <c r="BV288" i="6"/>
  <c r="BK288" i="6"/>
  <c r="BP288" i="6"/>
  <c r="BQ288" i="6"/>
  <c r="Y6218" i="5"/>
  <c r="Z6218" i="5"/>
  <c r="EF298" i="6"/>
  <c r="EG298" i="6" s="1"/>
  <c r="EH298" i="6" s="1"/>
  <c r="AA298" i="6" s="1"/>
  <c r="F297" i="6"/>
  <c r="Z297" i="6"/>
  <c r="R297" i="6"/>
  <c r="J297" i="6"/>
  <c r="AM297" i="6"/>
  <c r="P297" i="6"/>
  <c r="H297" i="6"/>
  <c r="X297" i="6"/>
  <c r="T297" i="6"/>
  <c r="D297" i="6"/>
  <c r="AI297" i="6"/>
  <c r="AB297" i="6"/>
  <c r="DT297" i="6" s="1"/>
  <c r="V297" i="6"/>
  <c r="N297" i="6"/>
  <c r="L297" i="6"/>
  <c r="AK297" i="6"/>
  <c r="DX296" i="6"/>
  <c r="AA6219" i="5" s="1"/>
  <c r="AN285" i="6" l="1"/>
  <c r="AO285" i="6"/>
  <c r="AT285" i="6"/>
  <c r="DO297" i="6"/>
  <c r="DY297" i="6"/>
  <c r="AT284" i="6"/>
  <c r="AO284" i="6"/>
  <c r="AN284" i="6"/>
  <c r="AA278" i="5"/>
  <c r="Z278" i="5"/>
  <c r="Y278" i="5"/>
  <c r="AA5228" i="5"/>
  <c r="Z5228" i="5"/>
  <c r="Y5228" i="5"/>
  <c r="BD288" i="6"/>
  <c r="BI288" i="6"/>
  <c r="BO288" i="6"/>
  <c r="BJ288" i="6"/>
  <c r="AA5229" i="5"/>
  <c r="Y5229" i="5"/>
  <c r="Z5229" i="5"/>
  <c r="CF292" i="6"/>
  <c r="CK292" i="6"/>
  <c r="CQ292" i="6"/>
  <c r="CL292" i="6"/>
  <c r="Y773" i="5"/>
  <c r="AA773" i="5"/>
  <c r="Z773" i="5"/>
  <c r="DE293" i="6"/>
  <c r="CT293" i="6"/>
  <c r="CZ293" i="6"/>
  <c r="CY293" i="6"/>
  <c r="BB286" i="6"/>
  <c r="AW286" i="6"/>
  <c r="BC286" i="6"/>
  <c r="BH286" i="6"/>
  <c r="AA2754" i="5"/>
  <c r="Z2754" i="5"/>
  <c r="Y2754" i="5"/>
  <c r="Y2259" i="5"/>
  <c r="AA2259" i="5"/>
  <c r="Z2259" i="5"/>
  <c r="AA5724" i="5"/>
  <c r="Z5724" i="5"/>
  <c r="Y5724" i="5"/>
  <c r="AA2258" i="5"/>
  <c r="Y2258" i="5"/>
  <c r="Z2258" i="5"/>
  <c r="Y774" i="5"/>
  <c r="AA774" i="5"/>
  <c r="Z774" i="5"/>
  <c r="Y4238" i="5"/>
  <c r="AA4238" i="5"/>
  <c r="Z4238" i="5"/>
  <c r="AA4239" i="5"/>
  <c r="Z4239" i="5"/>
  <c r="Y4239" i="5"/>
  <c r="CQ291" i="6"/>
  <c r="CF291" i="6"/>
  <c r="CL291" i="6"/>
  <c r="CK291" i="6"/>
  <c r="AA3743" i="5"/>
  <c r="Y3743" i="5"/>
  <c r="Z3743" i="5"/>
  <c r="DA295" i="6"/>
  <c r="DG295" i="6"/>
  <c r="DL295" i="6"/>
  <c r="DF295" i="6"/>
  <c r="BD287" i="6"/>
  <c r="BI287" i="6"/>
  <c r="BO287" i="6"/>
  <c r="BJ287" i="6"/>
  <c r="DE294" i="6"/>
  <c r="CT294" i="6"/>
  <c r="CY294" i="6"/>
  <c r="CZ294" i="6"/>
  <c r="DH296" i="6"/>
  <c r="DN296" i="6"/>
  <c r="DM296" i="6"/>
  <c r="DS296" i="6"/>
  <c r="AA1763" i="5"/>
  <c r="Y1763" i="5"/>
  <c r="Z1763" i="5"/>
  <c r="BV289" i="6"/>
  <c r="BP289" i="6"/>
  <c r="BK289" i="6"/>
  <c r="BQ289" i="6"/>
  <c r="CD290" i="6"/>
  <c r="BY290" i="6"/>
  <c r="CJ290" i="6"/>
  <c r="CE290" i="6"/>
  <c r="Y6219" i="5"/>
  <c r="Z6219" i="5"/>
  <c r="H298" i="6"/>
  <c r="Z298" i="6"/>
  <c r="V298" i="6"/>
  <c r="P298" i="6"/>
  <c r="T298" i="6"/>
  <c r="L298" i="6"/>
  <c r="R298" i="6"/>
  <c r="J298" i="6"/>
  <c r="X298" i="6"/>
  <c r="N298" i="6"/>
  <c r="D298" i="6"/>
  <c r="AM298" i="6"/>
  <c r="AB298" i="6"/>
  <c r="DT298" i="6" s="1"/>
  <c r="F298" i="6"/>
  <c r="AK298" i="6"/>
  <c r="AI298" i="6"/>
  <c r="DX297" i="6"/>
  <c r="AA6220" i="5" s="1"/>
  <c r="EF299" i="6"/>
  <c r="EG299" i="6" s="1"/>
  <c r="EH299" i="6" s="1"/>
  <c r="AA299" i="6" s="1"/>
  <c r="AA5725" i="5" l="1"/>
  <c r="Y5725" i="5"/>
  <c r="Z5725" i="5"/>
  <c r="DH297" i="6"/>
  <c r="DN297" i="6"/>
  <c r="DS297" i="6"/>
  <c r="DM297" i="6"/>
  <c r="AA1764" i="5"/>
  <c r="Z1764" i="5"/>
  <c r="Y1764" i="5"/>
  <c r="AA5230" i="5"/>
  <c r="Y5230" i="5"/>
  <c r="Z5230" i="5"/>
  <c r="CD291" i="6"/>
  <c r="BY291" i="6"/>
  <c r="CE291" i="6"/>
  <c r="CJ291" i="6"/>
  <c r="BB288" i="6"/>
  <c r="AW288" i="6"/>
  <c r="BC288" i="6"/>
  <c r="BH288" i="6"/>
  <c r="AA280" i="5"/>
  <c r="Y280" i="5"/>
  <c r="Z280" i="5"/>
  <c r="BY292" i="6"/>
  <c r="CE292" i="6"/>
  <c r="CJ292" i="6"/>
  <c r="CD292" i="6"/>
  <c r="AA279" i="5"/>
  <c r="Y279" i="5"/>
  <c r="Z279" i="5"/>
  <c r="AA2260" i="5"/>
  <c r="Z2260" i="5"/>
  <c r="Y2260" i="5"/>
  <c r="AA1269" i="5"/>
  <c r="Z1269" i="5"/>
  <c r="Y1269" i="5"/>
  <c r="AA3745" i="5"/>
  <c r="Z3745" i="5"/>
  <c r="Y3745" i="5"/>
  <c r="DO298" i="6"/>
  <c r="DY298" i="6"/>
  <c r="AA3249" i="5"/>
  <c r="Y3249" i="5"/>
  <c r="Z3249" i="5"/>
  <c r="BD289" i="6"/>
  <c r="BJ289" i="6"/>
  <c r="BI289" i="6"/>
  <c r="BO289" i="6"/>
  <c r="CM294" i="6"/>
  <c r="CR294" i="6"/>
  <c r="CX294" i="6"/>
  <c r="CS294" i="6"/>
  <c r="AA3744" i="5"/>
  <c r="Z3744" i="5"/>
  <c r="Y3744" i="5"/>
  <c r="BA286" i="6"/>
  <c r="AP286" i="6"/>
  <c r="AV286" i="6"/>
  <c r="AU286" i="6"/>
  <c r="CR293" i="6"/>
  <c r="CS293" i="6"/>
  <c r="CM293" i="6"/>
  <c r="CX293" i="6"/>
  <c r="BR290" i="6"/>
  <c r="BW290" i="6"/>
  <c r="BX290" i="6"/>
  <c r="CC290" i="6"/>
  <c r="DA296" i="6"/>
  <c r="DF296" i="6"/>
  <c r="DL296" i="6"/>
  <c r="DG296" i="6"/>
  <c r="AA4735" i="5"/>
  <c r="Z4735" i="5"/>
  <c r="Y4735" i="5"/>
  <c r="BB287" i="6"/>
  <c r="AW287" i="6"/>
  <c r="BH287" i="6"/>
  <c r="BC287" i="6"/>
  <c r="DE295" i="6"/>
  <c r="CT295" i="6"/>
  <c r="CY295" i="6"/>
  <c r="CZ295" i="6"/>
  <c r="AA4734" i="5"/>
  <c r="Z4734" i="5"/>
  <c r="Y4734" i="5"/>
  <c r="AA1765" i="5"/>
  <c r="Z1765" i="5"/>
  <c r="Y1765" i="5"/>
  <c r="Y6220" i="5"/>
  <c r="Z6220" i="5"/>
  <c r="EF300" i="6"/>
  <c r="EG300" i="6" s="1"/>
  <c r="EH300" i="6" s="1"/>
  <c r="AA300" i="6" s="1"/>
  <c r="D299" i="6"/>
  <c r="V299" i="6"/>
  <c r="L299" i="6"/>
  <c r="T299" i="6"/>
  <c r="N299" i="6"/>
  <c r="F299" i="6"/>
  <c r="AB299" i="6"/>
  <c r="DT299" i="6" s="1"/>
  <c r="R299" i="6"/>
  <c r="J299" i="6"/>
  <c r="Z299" i="6"/>
  <c r="X299" i="6"/>
  <c r="P299" i="6"/>
  <c r="H299" i="6"/>
  <c r="AI299" i="6"/>
  <c r="AM299" i="6"/>
  <c r="AK299" i="6"/>
  <c r="DX298" i="6"/>
  <c r="AA6221" i="5" s="1"/>
  <c r="DO299" i="6" l="1"/>
  <c r="DY299" i="6"/>
  <c r="AA4736" i="5"/>
  <c r="Y4736" i="5"/>
  <c r="Z4736" i="5"/>
  <c r="AA2755" i="5"/>
  <c r="Y2755" i="5"/>
  <c r="Z2755" i="5"/>
  <c r="AA4240" i="5"/>
  <c r="Y4240" i="5"/>
  <c r="Z4240" i="5"/>
  <c r="AA4241" i="5"/>
  <c r="Y4241" i="5"/>
  <c r="Z4241" i="5"/>
  <c r="DA297" i="6"/>
  <c r="DF297" i="6"/>
  <c r="DL297" i="6"/>
  <c r="DG297" i="6"/>
  <c r="AA5231" i="5"/>
  <c r="Y5231" i="5"/>
  <c r="Z5231" i="5"/>
  <c r="CF293" i="6"/>
  <c r="CK293" i="6"/>
  <c r="CQ293" i="6"/>
  <c r="CL293" i="6"/>
  <c r="AA3251" i="5"/>
  <c r="Y3251" i="5"/>
  <c r="Z3251" i="5"/>
  <c r="BA288" i="6"/>
  <c r="AP288" i="6"/>
  <c r="AU288" i="6"/>
  <c r="AV288" i="6"/>
  <c r="BW291" i="6"/>
  <c r="BR291" i="6"/>
  <c r="CC291" i="6"/>
  <c r="BX291" i="6"/>
  <c r="CF294" i="6"/>
  <c r="CK294" i="6"/>
  <c r="CQ294" i="6"/>
  <c r="CL294" i="6"/>
  <c r="AW289" i="6"/>
  <c r="BH289" i="6"/>
  <c r="BB289" i="6"/>
  <c r="BC289" i="6"/>
  <c r="AA5726" i="5"/>
  <c r="Y5726" i="5"/>
  <c r="Z5726" i="5"/>
  <c r="AA1270" i="5"/>
  <c r="Y1270" i="5"/>
  <c r="Z1270" i="5"/>
  <c r="AO286" i="6"/>
  <c r="AN286" i="6"/>
  <c r="AT286" i="6"/>
  <c r="CR295" i="6"/>
  <c r="CM295" i="6"/>
  <c r="CS295" i="6"/>
  <c r="CX295" i="6"/>
  <c r="BA287" i="6"/>
  <c r="AP287" i="6"/>
  <c r="AU287" i="6"/>
  <c r="AV287" i="6"/>
  <c r="DE296" i="6"/>
  <c r="CT296" i="6"/>
  <c r="CZ296" i="6"/>
  <c r="CY296" i="6"/>
  <c r="BK290" i="6"/>
  <c r="BV290" i="6"/>
  <c r="BQ290" i="6"/>
  <c r="BP290" i="6"/>
  <c r="AA775" i="5"/>
  <c r="Y775" i="5"/>
  <c r="Z775" i="5"/>
  <c r="AA1766" i="5"/>
  <c r="Z1766" i="5"/>
  <c r="Y1766" i="5"/>
  <c r="DS298" i="6"/>
  <c r="DH298" i="6"/>
  <c r="DM298" i="6"/>
  <c r="DN298" i="6"/>
  <c r="BR292" i="6"/>
  <c r="BX292" i="6"/>
  <c r="CC292" i="6"/>
  <c r="BW292" i="6"/>
  <c r="Y1271" i="5"/>
  <c r="AA1271" i="5"/>
  <c r="Z1271" i="5"/>
  <c r="AA3250" i="5"/>
  <c r="Z3250" i="5"/>
  <c r="Y3250" i="5"/>
  <c r="Y6221" i="5"/>
  <c r="Z6221" i="5"/>
  <c r="DX299" i="6"/>
  <c r="AA6222" i="5" s="1"/>
  <c r="F300" i="6"/>
  <c r="T300" i="6"/>
  <c r="J300" i="6"/>
  <c r="AB300" i="6"/>
  <c r="DT300" i="6" s="1"/>
  <c r="R300" i="6"/>
  <c r="L300" i="6"/>
  <c r="X300" i="6"/>
  <c r="P300" i="6"/>
  <c r="H300" i="6"/>
  <c r="V300" i="6"/>
  <c r="N300" i="6"/>
  <c r="D300" i="6"/>
  <c r="Z300" i="6"/>
  <c r="AK300" i="6"/>
  <c r="AM300" i="6"/>
  <c r="AI300" i="6"/>
  <c r="EF301" i="6"/>
  <c r="EG301" i="6" s="1"/>
  <c r="EH301" i="6" s="1"/>
  <c r="AA301" i="6" s="1"/>
  <c r="BV292" i="6" l="1"/>
  <c r="BK292" i="6"/>
  <c r="BP292" i="6"/>
  <c r="BQ292" i="6"/>
  <c r="AA5727" i="5"/>
  <c r="Y5727" i="5"/>
  <c r="Z5727" i="5"/>
  <c r="AA3746" i="5"/>
  <c r="Y3746" i="5"/>
  <c r="Z3746" i="5"/>
  <c r="AA2261" i="5"/>
  <c r="Y2261" i="5"/>
  <c r="Z2261" i="5"/>
  <c r="CR296" i="6"/>
  <c r="CS296" i="6"/>
  <c r="CM296" i="6"/>
  <c r="CX296" i="6"/>
  <c r="AN287" i="6"/>
  <c r="AT287" i="6"/>
  <c r="AO287" i="6"/>
  <c r="CF295" i="6"/>
  <c r="CK295" i="6"/>
  <c r="CQ295" i="6"/>
  <c r="CL295" i="6"/>
  <c r="AA3747" i="5"/>
  <c r="Z3747" i="5"/>
  <c r="Y3747" i="5"/>
  <c r="AA2756" i="5"/>
  <c r="Y2756" i="5"/>
  <c r="Z2756" i="5"/>
  <c r="DE297" i="6"/>
  <c r="CT297" i="6"/>
  <c r="CZ297" i="6"/>
  <c r="CY297" i="6"/>
  <c r="DO300" i="6"/>
  <c r="DY300" i="6"/>
  <c r="AT288" i="6"/>
  <c r="AO288" i="6"/>
  <c r="AN288" i="6"/>
  <c r="CD293" i="6"/>
  <c r="BY293" i="6"/>
  <c r="CE293" i="6"/>
  <c r="CJ293" i="6"/>
  <c r="AA2757" i="5"/>
  <c r="Y2757" i="5"/>
  <c r="Z2757" i="5"/>
  <c r="BD290" i="6"/>
  <c r="BO290" i="6"/>
  <c r="BJ290" i="6"/>
  <c r="BI290" i="6"/>
  <c r="Y4737" i="5"/>
  <c r="Z4737" i="5"/>
  <c r="AA4737" i="5"/>
  <c r="AA776" i="5"/>
  <c r="Y776" i="5"/>
  <c r="Z776" i="5"/>
  <c r="AA1272" i="5"/>
  <c r="Z1272" i="5"/>
  <c r="Y1272" i="5"/>
  <c r="BK291" i="6"/>
  <c r="BV291" i="6"/>
  <c r="BQ291" i="6"/>
  <c r="BP291" i="6"/>
  <c r="DA298" i="6"/>
  <c r="DL298" i="6"/>
  <c r="DG298" i="6"/>
  <c r="DF298" i="6"/>
  <c r="AA4242" i="5"/>
  <c r="Y4242" i="5"/>
  <c r="Z4242" i="5"/>
  <c r="AA281" i="5"/>
  <c r="Z281" i="5"/>
  <c r="Y281" i="5"/>
  <c r="BA289" i="6"/>
  <c r="AP289" i="6"/>
  <c r="AV289" i="6"/>
  <c r="AU289" i="6"/>
  <c r="CD294" i="6"/>
  <c r="BY294" i="6"/>
  <c r="CE294" i="6"/>
  <c r="CJ294" i="6"/>
  <c r="AA777" i="5"/>
  <c r="Y777" i="5"/>
  <c r="Z777" i="5"/>
  <c r="AA5232" i="5"/>
  <c r="Y5232" i="5"/>
  <c r="Z5232" i="5"/>
  <c r="DH299" i="6"/>
  <c r="DM299" i="6"/>
  <c r="DN299" i="6"/>
  <c r="DS299" i="6"/>
  <c r="Y6222" i="5"/>
  <c r="Z6222" i="5"/>
  <c r="DX300" i="6"/>
  <c r="AA6223" i="5" s="1"/>
  <c r="EF302" i="6"/>
  <c r="EG302" i="6" s="1"/>
  <c r="EH302" i="6" s="1"/>
  <c r="AA302" i="6" s="1"/>
  <c r="F301" i="6"/>
  <c r="J301" i="6"/>
  <c r="Z301" i="6"/>
  <c r="X301" i="6"/>
  <c r="P301" i="6"/>
  <c r="H301" i="6"/>
  <c r="AB301" i="6"/>
  <c r="DT301" i="6" s="1"/>
  <c r="V301" i="6"/>
  <c r="N301" i="6"/>
  <c r="AM301" i="6"/>
  <c r="T301" i="6"/>
  <c r="L301" i="6"/>
  <c r="AI301" i="6"/>
  <c r="R301" i="6"/>
  <c r="D301" i="6"/>
  <c r="AK301" i="6"/>
  <c r="BB290" i="6" l="1"/>
  <c r="AW290" i="6"/>
  <c r="BC290" i="6"/>
  <c r="BH290" i="6"/>
  <c r="BD291" i="6"/>
  <c r="BJ291" i="6"/>
  <c r="BO291" i="6"/>
  <c r="BI291" i="6"/>
  <c r="CR297" i="6"/>
  <c r="CS297" i="6"/>
  <c r="CM297" i="6"/>
  <c r="CX297" i="6"/>
  <c r="AA5728" i="5"/>
  <c r="Y5728" i="5"/>
  <c r="Z5728" i="5"/>
  <c r="AN289" i="6"/>
  <c r="AT289" i="6"/>
  <c r="AO289" i="6"/>
  <c r="DS300" i="6"/>
  <c r="DH300" i="6"/>
  <c r="DN300" i="6"/>
  <c r="DM300" i="6"/>
  <c r="AA3748" i="5"/>
  <c r="Z3748" i="5"/>
  <c r="Y3748" i="5"/>
  <c r="AA282" i="5"/>
  <c r="Z282" i="5"/>
  <c r="Y282" i="5"/>
  <c r="DO301" i="6"/>
  <c r="DY301" i="6"/>
  <c r="Y778" i="5"/>
  <c r="AA778" i="5"/>
  <c r="Z778" i="5"/>
  <c r="BD292" i="6"/>
  <c r="BO292" i="6"/>
  <c r="BJ292" i="6"/>
  <c r="BI292" i="6"/>
  <c r="DA299" i="6"/>
  <c r="DL299" i="6"/>
  <c r="DG299" i="6"/>
  <c r="DF299" i="6"/>
  <c r="DE298" i="6"/>
  <c r="CT298" i="6"/>
  <c r="CY298" i="6"/>
  <c r="CZ298" i="6"/>
  <c r="AA1767" i="5"/>
  <c r="Z1767" i="5"/>
  <c r="Y1767" i="5"/>
  <c r="CF296" i="6"/>
  <c r="CQ296" i="6"/>
  <c r="CL296" i="6"/>
  <c r="CK296" i="6"/>
  <c r="BR294" i="6"/>
  <c r="BX294" i="6"/>
  <c r="CC294" i="6"/>
  <c r="BW294" i="6"/>
  <c r="AA3252" i="5"/>
  <c r="Y3252" i="5"/>
  <c r="Z3252" i="5"/>
  <c r="AA4738" i="5"/>
  <c r="Y4738" i="5"/>
  <c r="Z4738" i="5"/>
  <c r="AA3253" i="5"/>
  <c r="Z3253" i="5"/>
  <c r="Y3253" i="5"/>
  <c r="AA5233" i="5"/>
  <c r="Y5233" i="5"/>
  <c r="Z5233" i="5"/>
  <c r="AA2262" i="5"/>
  <c r="Z2262" i="5"/>
  <c r="Y2262" i="5"/>
  <c r="BW293" i="6"/>
  <c r="BR293" i="6"/>
  <c r="BX293" i="6"/>
  <c r="CC293" i="6"/>
  <c r="AA283" i="5"/>
  <c r="Z283" i="5"/>
  <c r="Y283" i="5"/>
  <c r="CD295" i="6"/>
  <c r="BY295" i="6"/>
  <c r="CE295" i="6"/>
  <c r="CJ295" i="6"/>
  <c r="AA4243" i="5"/>
  <c r="Z4243" i="5"/>
  <c r="Y4243" i="5"/>
  <c r="Y2263" i="5"/>
  <c r="AA2263" i="5"/>
  <c r="Z2263" i="5"/>
  <c r="Y6223" i="5"/>
  <c r="Z6223" i="5"/>
  <c r="R302" i="6"/>
  <c r="D302" i="6"/>
  <c r="X302" i="6"/>
  <c r="N302" i="6"/>
  <c r="L302" i="6"/>
  <c r="V302" i="6"/>
  <c r="P302" i="6"/>
  <c r="H302" i="6"/>
  <c r="T302" i="6"/>
  <c r="J302" i="6"/>
  <c r="Z302" i="6"/>
  <c r="AM302" i="6"/>
  <c r="AB302" i="6"/>
  <c r="DT302" i="6" s="1"/>
  <c r="F302" i="6"/>
  <c r="AI302" i="6"/>
  <c r="AK302" i="6"/>
  <c r="DX301" i="6"/>
  <c r="AA6224" i="5" s="1"/>
  <c r="EF303" i="6"/>
  <c r="EG303" i="6" s="1"/>
  <c r="EH303" i="6" s="1"/>
  <c r="AA303" i="6" s="1"/>
  <c r="Y1273" i="5" l="1"/>
  <c r="AA1273" i="5"/>
  <c r="Z1273" i="5"/>
  <c r="DO302" i="6"/>
  <c r="DY302" i="6"/>
  <c r="AA2758" i="5"/>
  <c r="Y2758" i="5"/>
  <c r="Z2758" i="5"/>
  <c r="AA2759" i="5"/>
  <c r="Z2759" i="5"/>
  <c r="Y2759" i="5"/>
  <c r="CM298" i="6"/>
  <c r="CS298" i="6"/>
  <c r="CX298" i="6"/>
  <c r="CR298" i="6"/>
  <c r="AA5234" i="5"/>
  <c r="Y5234" i="5"/>
  <c r="Z5234" i="5"/>
  <c r="AA1769" i="5"/>
  <c r="Z1769" i="5"/>
  <c r="Y1769" i="5"/>
  <c r="Y5729" i="5"/>
  <c r="Z5729" i="5"/>
  <c r="AA5729" i="5"/>
  <c r="CF297" i="6"/>
  <c r="CQ297" i="6"/>
  <c r="CL297" i="6"/>
  <c r="CK297" i="6"/>
  <c r="AA1768" i="5"/>
  <c r="Y1768" i="5"/>
  <c r="Z1768" i="5"/>
  <c r="BW295" i="6"/>
  <c r="BR295" i="6"/>
  <c r="CC295" i="6"/>
  <c r="BX295" i="6"/>
  <c r="DA300" i="6"/>
  <c r="DL300" i="6"/>
  <c r="DF300" i="6"/>
  <c r="DG300" i="6"/>
  <c r="AA3254" i="5"/>
  <c r="Z3254" i="5"/>
  <c r="Y3254" i="5"/>
  <c r="AA3749" i="5"/>
  <c r="Y3749" i="5"/>
  <c r="Z3749" i="5"/>
  <c r="AA4739" i="5"/>
  <c r="Y4739" i="5"/>
  <c r="Z4739" i="5"/>
  <c r="DE299" i="6"/>
  <c r="CT299" i="6"/>
  <c r="CY299" i="6"/>
  <c r="CZ299" i="6"/>
  <c r="BB292" i="6"/>
  <c r="AW292" i="6"/>
  <c r="BC292" i="6"/>
  <c r="BH292" i="6"/>
  <c r="BA290" i="6"/>
  <c r="AP290" i="6"/>
  <c r="AV290" i="6"/>
  <c r="AU290" i="6"/>
  <c r="AA4244" i="5"/>
  <c r="Y4244" i="5"/>
  <c r="Z4244" i="5"/>
  <c r="BV293" i="6"/>
  <c r="BQ293" i="6"/>
  <c r="BP293" i="6"/>
  <c r="BK293" i="6"/>
  <c r="BV294" i="6"/>
  <c r="BK294" i="6"/>
  <c r="BQ294" i="6"/>
  <c r="BP294" i="6"/>
  <c r="BY296" i="6"/>
  <c r="CJ296" i="6"/>
  <c r="CD296" i="6"/>
  <c r="CE296" i="6"/>
  <c r="DH301" i="6"/>
  <c r="DM301" i="6"/>
  <c r="DN301" i="6"/>
  <c r="DS301" i="6"/>
  <c r="AA284" i="5"/>
  <c r="Z284" i="5"/>
  <c r="Y284" i="5"/>
  <c r="BB291" i="6"/>
  <c r="AW291" i="6"/>
  <c r="BC291" i="6"/>
  <c r="BH291" i="6"/>
  <c r="Y6224" i="5"/>
  <c r="Z6224" i="5"/>
  <c r="AB303" i="6"/>
  <c r="DT303" i="6" s="1"/>
  <c r="R303" i="6"/>
  <c r="J303" i="6"/>
  <c r="D303" i="6"/>
  <c r="F303" i="6"/>
  <c r="X303" i="6"/>
  <c r="P303" i="6"/>
  <c r="H303" i="6"/>
  <c r="Z303" i="6"/>
  <c r="V303" i="6"/>
  <c r="L303" i="6"/>
  <c r="T303" i="6"/>
  <c r="N303" i="6"/>
  <c r="AI303" i="6"/>
  <c r="AK303" i="6"/>
  <c r="AM303" i="6"/>
  <c r="EF304" i="6"/>
  <c r="EG304" i="6" s="1"/>
  <c r="EH304" i="6" s="1"/>
  <c r="AA304" i="6" s="1"/>
  <c r="DX302" i="6"/>
  <c r="AA6225" i="5" s="1"/>
  <c r="BA291" i="6" l="1"/>
  <c r="AP291" i="6"/>
  <c r="AU291" i="6"/>
  <c r="AV291" i="6"/>
  <c r="Y2265" i="5"/>
  <c r="AA2265" i="5"/>
  <c r="Z2265" i="5"/>
  <c r="BD293" i="6"/>
  <c r="BI293" i="6"/>
  <c r="BO293" i="6"/>
  <c r="BJ293" i="6"/>
  <c r="BR296" i="6"/>
  <c r="CC296" i="6"/>
  <c r="BX296" i="6"/>
  <c r="BW296" i="6"/>
  <c r="DE300" i="6"/>
  <c r="CT300" i="6"/>
  <c r="CZ300" i="6"/>
  <c r="CY300" i="6"/>
  <c r="DS302" i="6"/>
  <c r="DH302" i="6"/>
  <c r="DM302" i="6"/>
  <c r="DN302" i="6"/>
  <c r="AA5730" i="5"/>
  <c r="Y5730" i="5"/>
  <c r="Z5730" i="5"/>
  <c r="AA1274" i="5"/>
  <c r="Y1274" i="5"/>
  <c r="Z1274" i="5"/>
  <c r="AT290" i="6"/>
  <c r="AO290" i="6"/>
  <c r="AN290" i="6"/>
  <c r="BA292" i="6"/>
  <c r="AP292" i="6"/>
  <c r="AU292" i="6"/>
  <c r="AV292" i="6"/>
  <c r="CR299" i="6"/>
  <c r="CM299" i="6"/>
  <c r="CS299" i="6"/>
  <c r="CX299" i="6"/>
  <c r="AA2760" i="5"/>
  <c r="Y2760" i="5"/>
  <c r="Z2760" i="5"/>
  <c r="AA3750" i="5"/>
  <c r="Z3750" i="5"/>
  <c r="Y3750" i="5"/>
  <c r="AA4245" i="5"/>
  <c r="Y4245" i="5"/>
  <c r="Z4245" i="5"/>
  <c r="DA301" i="6"/>
  <c r="DL301" i="6"/>
  <c r="DG301" i="6"/>
  <c r="DF301" i="6"/>
  <c r="AA2264" i="5"/>
  <c r="Z2264" i="5"/>
  <c r="Y2264" i="5"/>
  <c r="Y1275" i="5"/>
  <c r="AA1275" i="5"/>
  <c r="Z1275" i="5"/>
  <c r="CF298" i="6"/>
  <c r="CK298" i="6"/>
  <c r="CQ298" i="6"/>
  <c r="CL298" i="6"/>
  <c r="DO303" i="6"/>
  <c r="DY303" i="6"/>
  <c r="AA3255" i="5"/>
  <c r="Y3255" i="5"/>
  <c r="Z3255" i="5"/>
  <c r="BD294" i="6"/>
  <c r="BO294" i="6"/>
  <c r="BJ294" i="6"/>
  <c r="BI294" i="6"/>
  <c r="AA779" i="5"/>
  <c r="Y779" i="5"/>
  <c r="Z779" i="5"/>
  <c r="AA4740" i="5"/>
  <c r="Y4740" i="5"/>
  <c r="Z4740" i="5"/>
  <c r="AA5235" i="5"/>
  <c r="Y5235" i="5"/>
  <c r="Z5235" i="5"/>
  <c r="BK295" i="6"/>
  <c r="BQ295" i="6"/>
  <c r="BP295" i="6"/>
  <c r="BV295" i="6"/>
  <c r="CD297" i="6"/>
  <c r="CE297" i="6"/>
  <c r="BY297" i="6"/>
  <c r="CJ297" i="6"/>
  <c r="Y6225" i="5"/>
  <c r="Z6225" i="5"/>
  <c r="F304" i="6"/>
  <c r="X304" i="6"/>
  <c r="L304" i="6"/>
  <c r="H304" i="6"/>
  <c r="V304" i="6"/>
  <c r="N304" i="6"/>
  <c r="D304" i="6"/>
  <c r="T304" i="6"/>
  <c r="J304" i="6"/>
  <c r="P304" i="6"/>
  <c r="R304" i="6"/>
  <c r="AM304" i="6"/>
  <c r="AB304" i="6"/>
  <c r="DT304" i="6" s="1"/>
  <c r="Z304" i="6"/>
  <c r="AI304" i="6"/>
  <c r="AK304" i="6"/>
  <c r="EF305" i="6"/>
  <c r="EG305" i="6" s="1"/>
  <c r="EH305" i="6" s="1"/>
  <c r="AA305" i="6" s="1"/>
  <c r="DX303" i="6"/>
  <c r="AA6226" i="5" s="1"/>
  <c r="BW297" i="6" l="1"/>
  <c r="BR297" i="6"/>
  <c r="BX297" i="6"/>
  <c r="CC297" i="6"/>
  <c r="CD298" i="6"/>
  <c r="BY298" i="6"/>
  <c r="CE298" i="6"/>
  <c r="CJ298" i="6"/>
  <c r="BV296" i="6"/>
  <c r="BK296" i="6"/>
  <c r="BP296" i="6"/>
  <c r="BQ296" i="6"/>
  <c r="AW293" i="6"/>
  <c r="BC293" i="6"/>
  <c r="BH293" i="6"/>
  <c r="BB293" i="6"/>
  <c r="AA5236" i="5"/>
  <c r="Y5236" i="5"/>
  <c r="Z5236" i="5"/>
  <c r="AA3256" i="5"/>
  <c r="Y3256" i="5"/>
  <c r="Z3256" i="5"/>
  <c r="DO304" i="6"/>
  <c r="DY304" i="6"/>
  <c r="DH303" i="6"/>
  <c r="DN303" i="6"/>
  <c r="DM303" i="6"/>
  <c r="DS303" i="6"/>
  <c r="Y4246" i="5"/>
  <c r="AA4246" i="5"/>
  <c r="Z4246" i="5"/>
  <c r="AA5731" i="5"/>
  <c r="Y5731" i="5"/>
  <c r="Z5731" i="5"/>
  <c r="Y4741" i="5"/>
  <c r="Z4741" i="5"/>
  <c r="AA4741" i="5"/>
  <c r="BD295" i="6"/>
  <c r="BO295" i="6"/>
  <c r="BI295" i="6"/>
  <c r="BJ295" i="6"/>
  <c r="AA1771" i="5"/>
  <c r="Y1771" i="5"/>
  <c r="Z1771" i="5"/>
  <c r="AA3751" i="5"/>
  <c r="Y3751" i="5"/>
  <c r="Z3751" i="5"/>
  <c r="DE301" i="6"/>
  <c r="CT301" i="6"/>
  <c r="CY301" i="6"/>
  <c r="CZ301" i="6"/>
  <c r="CF299" i="6"/>
  <c r="CQ299" i="6"/>
  <c r="CL299" i="6"/>
  <c r="CK299" i="6"/>
  <c r="AN292" i="6"/>
  <c r="AT292" i="6"/>
  <c r="AO292" i="6"/>
  <c r="AA285" i="5"/>
  <c r="Z285" i="5"/>
  <c r="Y285" i="5"/>
  <c r="AA1770" i="5"/>
  <c r="Y1770" i="5"/>
  <c r="Z1770" i="5"/>
  <c r="AN291" i="6"/>
  <c r="AT291" i="6"/>
  <c r="AO291" i="6"/>
  <c r="AA2266" i="5"/>
  <c r="Y2266" i="5"/>
  <c r="Z2266" i="5"/>
  <c r="BB294" i="6"/>
  <c r="AW294" i="6"/>
  <c r="BC294" i="6"/>
  <c r="BH294" i="6"/>
  <c r="Y781" i="5"/>
  <c r="AA781" i="5"/>
  <c r="Z781" i="5"/>
  <c r="DA302" i="6"/>
  <c r="DG302" i="6"/>
  <c r="DL302" i="6"/>
  <c r="DF302" i="6"/>
  <c r="CR300" i="6"/>
  <c r="CS300" i="6"/>
  <c r="CM300" i="6"/>
  <c r="CX300" i="6"/>
  <c r="AA2761" i="5"/>
  <c r="Z2761" i="5"/>
  <c r="Y2761" i="5"/>
  <c r="AA780" i="5"/>
  <c r="Z780" i="5"/>
  <c r="Y780" i="5"/>
  <c r="Y6226" i="5"/>
  <c r="Z6226" i="5"/>
  <c r="EF306" i="6"/>
  <c r="EG306" i="6" s="1"/>
  <c r="EH306" i="6" s="1"/>
  <c r="AA306" i="6" s="1"/>
  <c r="F305" i="6"/>
  <c r="Z305" i="6"/>
  <c r="R305" i="6"/>
  <c r="H305" i="6"/>
  <c r="AI305" i="6"/>
  <c r="AM305" i="6"/>
  <c r="AK305" i="6"/>
  <c r="X305" i="6"/>
  <c r="P305" i="6"/>
  <c r="D305" i="6"/>
  <c r="V305" i="6"/>
  <c r="N305" i="6"/>
  <c r="J305" i="6"/>
  <c r="T305" i="6"/>
  <c r="L305" i="6"/>
  <c r="AB305" i="6"/>
  <c r="DT305" i="6" s="1"/>
  <c r="DX304" i="6"/>
  <c r="AA6227" i="5" s="1"/>
  <c r="BA294" i="6" l="1"/>
  <c r="AP294" i="6"/>
  <c r="AV294" i="6"/>
  <c r="AU294" i="6"/>
  <c r="CD299" i="6"/>
  <c r="BY299" i="6"/>
  <c r="CE299" i="6"/>
  <c r="CJ299" i="6"/>
  <c r="AA4742" i="5"/>
  <c r="Z4742" i="5"/>
  <c r="Y4742" i="5"/>
  <c r="AA5732" i="5"/>
  <c r="Y5732" i="5"/>
  <c r="Z5732" i="5"/>
  <c r="AA3257" i="5"/>
  <c r="Y3257" i="5"/>
  <c r="Z3257" i="5"/>
  <c r="AA2762" i="5"/>
  <c r="Y2762" i="5"/>
  <c r="Z2762" i="5"/>
  <c r="DO305" i="6"/>
  <c r="DY305" i="6"/>
  <c r="AA1772" i="5"/>
  <c r="Z1772" i="5"/>
  <c r="Y1772" i="5"/>
  <c r="DH304" i="6"/>
  <c r="DM304" i="6"/>
  <c r="DN304" i="6"/>
  <c r="DS304" i="6"/>
  <c r="AA1276" i="5"/>
  <c r="Y1276" i="5"/>
  <c r="Z1276" i="5"/>
  <c r="AA5237" i="5"/>
  <c r="Y5237" i="5"/>
  <c r="Z5237" i="5"/>
  <c r="AA1277" i="5"/>
  <c r="Z1277" i="5"/>
  <c r="Y1277" i="5"/>
  <c r="AA286" i="5"/>
  <c r="Z286" i="5"/>
  <c r="Y286" i="5"/>
  <c r="BB295" i="6"/>
  <c r="AW295" i="6"/>
  <c r="BC295" i="6"/>
  <c r="BH295" i="6"/>
  <c r="BD296" i="6"/>
  <c r="BO296" i="6"/>
  <c r="BJ296" i="6"/>
  <c r="BI296" i="6"/>
  <c r="BR298" i="6"/>
  <c r="BW298" i="6"/>
  <c r="BX298" i="6"/>
  <c r="CC298" i="6"/>
  <c r="BV297" i="6"/>
  <c r="BQ297" i="6"/>
  <c r="BK297" i="6"/>
  <c r="BP297" i="6"/>
  <c r="CF300" i="6"/>
  <c r="CL300" i="6"/>
  <c r="CK300" i="6"/>
  <c r="CQ300" i="6"/>
  <c r="DE302" i="6"/>
  <c r="CT302" i="6"/>
  <c r="CY302" i="6"/>
  <c r="CZ302" i="6"/>
  <c r="AA4247" i="5"/>
  <c r="Z4247" i="5"/>
  <c r="Y4247" i="5"/>
  <c r="AA287" i="5"/>
  <c r="Z287" i="5"/>
  <c r="Y287" i="5"/>
  <c r="AA3752" i="5"/>
  <c r="Y3752" i="5"/>
  <c r="Z3752" i="5"/>
  <c r="CR301" i="6"/>
  <c r="CS301" i="6"/>
  <c r="CM301" i="6"/>
  <c r="CX301" i="6"/>
  <c r="DA303" i="6"/>
  <c r="DF303" i="6"/>
  <c r="DG303" i="6"/>
  <c r="DL303" i="6"/>
  <c r="BA293" i="6"/>
  <c r="AP293" i="6"/>
  <c r="AV293" i="6"/>
  <c r="AU293" i="6"/>
  <c r="Y2267" i="5"/>
  <c r="AA2267" i="5"/>
  <c r="Z2267" i="5"/>
  <c r="Y6227" i="5"/>
  <c r="Z6227" i="5"/>
  <c r="P306" i="6"/>
  <c r="V306" i="6"/>
  <c r="L306" i="6"/>
  <c r="T306" i="6"/>
  <c r="J306" i="6"/>
  <c r="Z306" i="6"/>
  <c r="R306" i="6"/>
  <c r="D306" i="6"/>
  <c r="H306" i="6"/>
  <c r="X306" i="6"/>
  <c r="N306" i="6"/>
  <c r="F306" i="6"/>
  <c r="AI306" i="6"/>
  <c r="AM306" i="6"/>
  <c r="AK306" i="6"/>
  <c r="AB306" i="6"/>
  <c r="DT306" i="6" s="1"/>
  <c r="DX305" i="6"/>
  <c r="AA6228" i="5" s="1"/>
  <c r="EF307" i="6"/>
  <c r="AA5238" i="5" l="1"/>
  <c r="Y5238" i="5"/>
  <c r="Z5238" i="5"/>
  <c r="AA2268" i="5"/>
  <c r="Y2268" i="5"/>
  <c r="Z2268" i="5"/>
  <c r="AN293" i="6"/>
  <c r="AT293" i="6"/>
  <c r="AO293" i="6"/>
  <c r="BD297" i="6"/>
  <c r="BO297" i="6"/>
  <c r="BJ297" i="6"/>
  <c r="BI297" i="6"/>
  <c r="AA3258" i="5"/>
  <c r="Z3258" i="5"/>
  <c r="Y3258" i="5"/>
  <c r="DO306" i="6"/>
  <c r="DY306" i="6"/>
  <c r="Y782" i="5"/>
  <c r="AA782" i="5"/>
  <c r="Z782" i="5"/>
  <c r="DE303" i="6"/>
  <c r="CT303" i="6"/>
  <c r="CY303" i="6"/>
  <c r="CZ303" i="6"/>
  <c r="CM302" i="6"/>
  <c r="CX302" i="6"/>
  <c r="CS302" i="6"/>
  <c r="CR302" i="6"/>
  <c r="AA1773" i="5"/>
  <c r="Z1773" i="5"/>
  <c r="Y1773" i="5"/>
  <c r="BA295" i="6"/>
  <c r="AP295" i="6"/>
  <c r="AU295" i="6"/>
  <c r="AV295" i="6"/>
  <c r="AA4248" i="5"/>
  <c r="Y4248" i="5"/>
  <c r="Z4248" i="5"/>
  <c r="AA4743" i="5"/>
  <c r="Z4743" i="5"/>
  <c r="Y4743" i="5"/>
  <c r="BV298" i="6"/>
  <c r="BK298" i="6"/>
  <c r="BQ298" i="6"/>
  <c r="BP298" i="6"/>
  <c r="BB296" i="6"/>
  <c r="AW296" i="6"/>
  <c r="BC296" i="6"/>
  <c r="BH296" i="6"/>
  <c r="DA304" i="6"/>
  <c r="DG304" i="6"/>
  <c r="DL304" i="6"/>
  <c r="DF304" i="6"/>
  <c r="BW299" i="6"/>
  <c r="BR299" i="6"/>
  <c r="CC299" i="6"/>
  <c r="BX299" i="6"/>
  <c r="AT294" i="6"/>
  <c r="AO294" i="6"/>
  <c r="AN294" i="6"/>
  <c r="BY300" i="6"/>
  <c r="CD300" i="6"/>
  <c r="CE300" i="6"/>
  <c r="CJ300" i="6"/>
  <c r="CF301" i="6"/>
  <c r="CL301" i="6"/>
  <c r="CK301" i="6"/>
  <c r="CQ301" i="6"/>
  <c r="AA3753" i="5"/>
  <c r="Y3753" i="5"/>
  <c r="Z3753" i="5"/>
  <c r="AA2763" i="5"/>
  <c r="Z2763" i="5"/>
  <c r="Y2763" i="5"/>
  <c r="AA1278" i="5"/>
  <c r="Z1278" i="5"/>
  <c r="Y1278" i="5"/>
  <c r="AA5733" i="5"/>
  <c r="Y5733" i="5"/>
  <c r="Z5733" i="5"/>
  <c r="DH305" i="6"/>
  <c r="DS305" i="6"/>
  <c r="DN305" i="6"/>
  <c r="DM305" i="6"/>
  <c r="AA783" i="5"/>
  <c r="Y783" i="5"/>
  <c r="Z783" i="5"/>
  <c r="Y6228" i="5"/>
  <c r="Z6228" i="5"/>
  <c r="EF308" i="6"/>
  <c r="EG308" i="6" s="1"/>
  <c r="EH308" i="6" s="1"/>
  <c r="AA308" i="6" s="1"/>
  <c r="EG307" i="6"/>
  <c r="EH307" i="6" s="1"/>
  <c r="AA307" i="6" s="1"/>
  <c r="DX306" i="6"/>
  <c r="AA6229" i="5" s="1"/>
  <c r="BK299" i="6" l="1"/>
  <c r="BP299" i="6"/>
  <c r="BV299" i="6"/>
  <c r="BQ299" i="6"/>
  <c r="BA296" i="6"/>
  <c r="AP296" i="6"/>
  <c r="AU296" i="6"/>
  <c r="AV296" i="6"/>
  <c r="BD298" i="6"/>
  <c r="BJ298" i="6"/>
  <c r="BI298" i="6"/>
  <c r="BO298" i="6"/>
  <c r="AA288" i="5"/>
  <c r="Z288" i="5"/>
  <c r="Y288" i="5"/>
  <c r="AA5734" i="5"/>
  <c r="Z5734" i="5"/>
  <c r="Y5734" i="5"/>
  <c r="AA289" i="5"/>
  <c r="Z289" i="5"/>
  <c r="Y289" i="5"/>
  <c r="DE304" i="6"/>
  <c r="CT304" i="6"/>
  <c r="CZ304" i="6"/>
  <c r="CY304" i="6"/>
  <c r="AA2269" i="5"/>
  <c r="Y2269" i="5"/>
  <c r="Z2269" i="5"/>
  <c r="AA4249" i="5"/>
  <c r="Z4249" i="5"/>
  <c r="Y4249" i="5"/>
  <c r="CR303" i="6"/>
  <c r="CM303" i="6"/>
  <c r="CS303" i="6"/>
  <c r="CX303" i="6"/>
  <c r="AA1774" i="5"/>
  <c r="Y1774" i="5"/>
  <c r="Z1774" i="5"/>
  <c r="DA305" i="6"/>
  <c r="DG305" i="6"/>
  <c r="DL305" i="6"/>
  <c r="DF305" i="6"/>
  <c r="BR300" i="6"/>
  <c r="BX300" i="6"/>
  <c r="CC300" i="6"/>
  <c r="BW300" i="6"/>
  <c r="Y1279" i="5"/>
  <c r="AA1279" i="5"/>
  <c r="Z1279" i="5"/>
  <c r="AN295" i="6"/>
  <c r="AO295" i="6"/>
  <c r="AT295" i="6"/>
  <c r="CF302" i="6"/>
  <c r="CQ302" i="6"/>
  <c r="CL302" i="6"/>
  <c r="CK302" i="6"/>
  <c r="AA4744" i="5"/>
  <c r="Y4744" i="5"/>
  <c r="Z4744" i="5"/>
  <c r="AW297" i="6"/>
  <c r="BB297" i="6"/>
  <c r="BH297" i="6"/>
  <c r="BC297" i="6"/>
  <c r="CD301" i="6"/>
  <c r="BY301" i="6"/>
  <c r="CE301" i="6"/>
  <c r="CJ301" i="6"/>
  <c r="AA3754" i="5"/>
  <c r="Y3754" i="5"/>
  <c r="Z3754" i="5"/>
  <c r="AA3259" i="5"/>
  <c r="Z3259" i="5"/>
  <c r="Y3259" i="5"/>
  <c r="AA2764" i="5"/>
  <c r="Y2764" i="5"/>
  <c r="Z2764" i="5"/>
  <c r="AA5239" i="5"/>
  <c r="Z5239" i="5"/>
  <c r="Y5239" i="5"/>
  <c r="AA784" i="5"/>
  <c r="Y784" i="5"/>
  <c r="Z784" i="5"/>
  <c r="DH306" i="6"/>
  <c r="DS306" i="6"/>
  <c r="DN306" i="6"/>
  <c r="DM306" i="6"/>
  <c r="Y6229" i="5"/>
  <c r="Z6229" i="5"/>
  <c r="F308" i="6"/>
  <c r="T308" i="6"/>
  <c r="N308" i="6"/>
  <c r="P308" i="6"/>
  <c r="J308" i="6"/>
  <c r="X308" i="6"/>
  <c r="L308" i="6"/>
  <c r="H308" i="6"/>
  <c r="V308" i="6"/>
  <c r="R308" i="6"/>
  <c r="D308" i="6"/>
  <c r="AK308" i="6"/>
  <c r="AI308" i="6"/>
  <c r="Z308" i="6"/>
  <c r="AB308" i="6"/>
  <c r="DT308" i="6" s="1"/>
  <c r="AM308" i="6"/>
  <c r="T307" i="6"/>
  <c r="J307" i="6"/>
  <c r="Z307" i="6"/>
  <c r="R307" i="6"/>
  <c r="H307" i="6"/>
  <c r="X307" i="6"/>
  <c r="P307" i="6"/>
  <c r="N307" i="6"/>
  <c r="V307" i="6"/>
  <c r="L307" i="6"/>
  <c r="F307" i="6"/>
  <c r="D307" i="6"/>
  <c r="AB307" i="6"/>
  <c r="DT307" i="6" s="1"/>
  <c r="AI307" i="6"/>
  <c r="AM307" i="6"/>
  <c r="AK307" i="6"/>
  <c r="EF309" i="6"/>
  <c r="EG309" i="6" s="1"/>
  <c r="EH309" i="6" s="1"/>
  <c r="AA309" i="6" s="1"/>
  <c r="BW301" i="6" l="1"/>
  <c r="BR301" i="6"/>
  <c r="BX301" i="6"/>
  <c r="CC301" i="6"/>
  <c r="CF303" i="6"/>
  <c r="CL303" i="6"/>
  <c r="CK303" i="6"/>
  <c r="CQ303" i="6"/>
  <c r="AA5735" i="5"/>
  <c r="Y5735" i="5"/>
  <c r="Z5735" i="5"/>
  <c r="BA297" i="6"/>
  <c r="AP297" i="6"/>
  <c r="AU297" i="6"/>
  <c r="AV297" i="6"/>
  <c r="AA290" i="5"/>
  <c r="Z290" i="5"/>
  <c r="Y290" i="5"/>
  <c r="AA1775" i="5"/>
  <c r="Z1775" i="5"/>
  <c r="Y1775" i="5"/>
  <c r="DO308" i="6"/>
  <c r="DY308" i="6"/>
  <c r="DE305" i="6"/>
  <c r="CT305" i="6"/>
  <c r="CY305" i="6"/>
  <c r="CZ305" i="6"/>
  <c r="Y4250" i="5"/>
  <c r="AA4250" i="5"/>
  <c r="Z4250" i="5"/>
  <c r="CR304" i="6"/>
  <c r="CS304" i="6"/>
  <c r="CM304" i="6"/>
  <c r="CX304" i="6"/>
  <c r="AA2270" i="5"/>
  <c r="Y2270" i="5"/>
  <c r="Z2270" i="5"/>
  <c r="DA306" i="6"/>
  <c r="DL306" i="6"/>
  <c r="DG306" i="6"/>
  <c r="DF306" i="6"/>
  <c r="AA3260" i="5"/>
  <c r="Y3260" i="5"/>
  <c r="Z3260" i="5"/>
  <c r="BV300" i="6"/>
  <c r="BK300" i="6"/>
  <c r="BP300" i="6"/>
  <c r="BQ300" i="6"/>
  <c r="AA1280" i="5"/>
  <c r="Y1280" i="5"/>
  <c r="Z1280" i="5"/>
  <c r="AA3755" i="5"/>
  <c r="Y3755" i="5"/>
  <c r="Z3755" i="5"/>
  <c r="Z4745" i="5"/>
  <c r="Y4745" i="5"/>
  <c r="AA4745" i="5"/>
  <c r="AO296" i="6"/>
  <c r="AN296" i="6"/>
  <c r="AT296" i="6"/>
  <c r="DY307" i="6"/>
  <c r="DO307" i="6"/>
  <c r="CD302" i="6"/>
  <c r="BY302" i="6"/>
  <c r="CE302" i="6"/>
  <c r="CJ302" i="6"/>
  <c r="AA2765" i="5"/>
  <c r="Y2765" i="5"/>
  <c r="Z2765" i="5"/>
  <c r="AA5240" i="5"/>
  <c r="Y5240" i="5"/>
  <c r="Z5240" i="5"/>
  <c r="BB298" i="6"/>
  <c r="AW298" i="6"/>
  <c r="BC298" i="6"/>
  <c r="BH298" i="6"/>
  <c r="AA785" i="5"/>
  <c r="Y785" i="5"/>
  <c r="Z785" i="5"/>
  <c r="BD299" i="6"/>
  <c r="BJ299" i="6"/>
  <c r="BO299" i="6"/>
  <c r="BI299" i="6"/>
  <c r="F309" i="6"/>
  <c r="Z309" i="6"/>
  <c r="V309" i="6"/>
  <c r="N309" i="6"/>
  <c r="H309" i="6"/>
  <c r="AI309" i="6"/>
  <c r="AM309" i="6"/>
  <c r="AK309" i="6"/>
  <c r="T309" i="6"/>
  <c r="L309" i="6"/>
  <c r="R309" i="6"/>
  <c r="J309" i="6"/>
  <c r="X309" i="6"/>
  <c r="P309" i="6"/>
  <c r="D309" i="6"/>
  <c r="AB309" i="6"/>
  <c r="DT309" i="6" s="1"/>
  <c r="EF310" i="6"/>
  <c r="EG310" i="6" s="1"/>
  <c r="EH310" i="6" s="1"/>
  <c r="AA310" i="6" s="1"/>
  <c r="DX307" i="6"/>
  <c r="AA6230" i="5" s="1"/>
  <c r="DX308" i="6"/>
  <c r="AA6231" i="5" s="1"/>
  <c r="AA1776" i="5" l="1"/>
  <c r="Y1776" i="5"/>
  <c r="Z1776" i="5"/>
  <c r="Y2271" i="5"/>
  <c r="AA2271" i="5"/>
  <c r="Z2271" i="5"/>
  <c r="BB299" i="6"/>
  <c r="AW299" i="6"/>
  <c r="BH299" i="6"/>
  <c r="BC299" i="6"/>
  <c r="Y1281" i="5"/>
  <c r="AA1281" i="5"/>
  <c r="Z1281" i="5"/>
  <c r="BR302" i="6"/>
  <c r="BX302" i="6"/>
  <c r="CC302" i="6"/>
  <c r="BW302" i="6"/>
  <c r="AA291" i="5"/>
  <c r="Z291" i="5"/>
  <c r="Y291" i="5"/>
  <c r="AA4746" i="5"/>
  <c r="Y4746" i="5"/>
  <c r="Z4746" i="5"/>
  <c r="Y786" i="5"/>
  <c r="AA786" i="5"/>
  <c r="Z786" i="5"/>
  <c r="AA3756" i="5"/>
  <c r="Y3756" i="5"/>
  <c r="Z3756" i="5"/>
  <c r="AA2766" i="5"/>
  <c r="Y2766" i="5"/>
  <c r="Z2766" i="5"/>
  <c r="DO309" i="6"/>
  <c r="DY309" i="6"/>
  <c r="AA5241" i="5"/>
  <c r="Y5241" i="5"/>
  <c r="Z5241" i="5"/>
  <c r="DH307" i="6"/>
  <c r="DN307" i="6"/>
  <c r="DM307" i="6"/>
  <c r="DS307" i="6"/>
  <c r="BD300" i="6"/>
  <c r="BJ300" i="6"/>
  <c r="BI300" i="6"/>
  <c r="BO300" i="6"/>
  <c r="DE306" i="6"/>
  <c r="CT306" i="6"/>
  <c r="CY306" i="6"/>
  <c r="CZ306" i="6"/>
  <c r="AA4251" i="5"/>
  <c r="Z4251" i="5"/>
  <c r="Y4251" i="5"/>
  <c r="DS308" i="6"/>
  <c r="DH308" i="6"/>
  <c r="DM308" i="6"/>
  <c r="DN308" i="6"/>
  <c r="BV301" i="6"/>
  <c r="BQ301" i="6"/>
  <c r="BP301" i="6"/>
  <c r="BK301" i="6"/>
  <c r="BA298" i="6"/>
  <c r="AP298" i="6"/>
  <c r="AV298" i="6"/>
  <c r="AU298" i="6"/>
  <c r="AA3261" i="5"/>
  <c r="Z3261" i="5"/>
  <c r="Y3261" i="5"/>
  <c r="CF304" i="6"/>
  <c r="CK304" i="6"/>
  <c r="CQ304" i="6"/>
  <c r="CL304" i="6"/>
  <c r="CR305" i="6"/>
  <c r="CS305" i="6"/>
  <c r="CM305" i="6"/>
  <c r="CX305" i="6"/>
  <c r="AN297" i="6"/>
  <c r="AT297" i="6"/>
  <c r="AO297" i="6"/>
  <c r="CD303" i="6"/>
  <c r="BY303" i="6"/>
  <c r="CE303" i="6"/>
  <c r="CJ303" i="6"/>
  <c r="Y6231" i="5"/>
  <c r="Z6231" i="5"/>
  <c r="Y6230" i="5"/>
  <c r="Z6230" i="5"/>
  <c r="DX309" i="6"/>
  <c r="AA6232" i="5" s="1"/>
  <c r="V310" i="6"/>
  <c r="X310" i="6"/>
  <c r="D310" i="6"/>
  <c r="Z310" i="6"/>
  <c r="T310" i="6"/>
  <c r="P310" i="6"/>
  <c r="H310" i="6"/>
  <c r="R310" i="6"/>
  <c r="J310" i="6"/>
  <c r="N310" i="6"/>
  <c r="L310" i="6"/>
  <c r="AB310" i="6"/>
  <c r="DT310" i="6" s="1"/>
  <c r="F310" i="6"/>
  <c r="AI310" i="6"/>
  <c r="AM310" i="6"/>
  <c r="AK310" i="6"/>
  <c r="EF311" i="6"/>
  <c r="EG311" i="6" s="1"/>
  <c r="EH311" i="6" s="1"/>
  <c r="AA311" i="6" s="1"/>
  <c r="AA3262" i="5" l="1"/>
  <c r="Z3262" i="5"/>
  <c r="Y3262" i="5"/>
  <c r="BW303" i="6"/>
  <c r="BR303" i="6"/>
  <c r="CC303" i="6"/>
  <c r="BX303" i="6"/>
  <c r="BY304" i="6"/>
  <c r="CD304" i="6"/>
  <c r="CJ304" i="6"/>
  <c r="CE304" i="6"/>
  <c r="BD301" i="6"/>
  <c r="BO301" i="6"/>
  <c r="BJ301" i="6"/>
  <c r="BI301" i="6"/>
  <c r="AA2767" i="5"/>
  <c r="Z2767" i="5"/>
  <c r="Y2767" i="5"/>
  <c r="BA299" i="6"/>
  <c r="AP299" i="6"/>
  <c r="AU299" i="6"/>
  <c r="AV299" i="6"/>
  <c r="DO310" i="6"/>
  <c r="DY310" i="6"/>
  <c r="AA4252" i="5"/>
  <c r="Y4252" i="5"/>
  <c r="Z4252" i="5"/>
  <c r="CM306" i="6"/>
  <c r="CS306" i="6"/>
  <c r="CR306" i="6"/>
  <c r="CX306" i="6"/>
  <c r="AT298" i="6"/>
  <c r="AO298" i="6"/>
  <c r="AN298" i="6"/>
  <c r="DA308" i="6"/>
  <c r="DL308" i="6"/>
  <c r="DG308" i="6"/>
  <c r="DF308" i="6"/>
  <c r="AA4747" i="5"/>
  <c r="Y4747" i="5"/>
  <c r="Z4747" i="5"/>
  <c r="BB300" i="6"/>
  <c r="AW300" i="6"/>
  <c r="BC300" i="6"/>
  <c r="BH300" i="6"/>
  <c r="DA307" i="6"/>
  <c r="DG307" i="6"/>
  <c r="DF307" i="6"/>
  <c r="DL307" i="6"/>
  <c r="BV302" i="6"/>
  <c r="BK302" i="6"/>
  <c r="BQ302" i="6"/>
  <c r="BP302" i="6"/>
  <c r="CF305" i="6"/>
  <c r="CK305" i="6"/>
  <c r="CQ305" i="6"/>
  <c r="CL305" i="6"/>
  <c r="AA3757" i="5"/>
  <c r="Y3757" i="5"/>
  <c r="Z3757" i="5"/>
  <c r="AA292" i="5"/>
  <c r="Z292" i="5"/>
  <c r="Y292" i="5"/>
  <c r="AA787" i="5"/>
  <c r="Y787" i="5"/>
  <c r="Z787" i="5"/>
  <c r="AA2272" i="5"/>
  <c r="Z2272" i="5"/>
  <c r="Y2272" i="5"/>
  <c r="Y5737" i="5"/>
  <c r="AA5737" i="5"/>
  <c r="Z5737" i="5"/>
  <c r="AA1777" i="5"/>
  <c r="Y1777" i="5"/>
  <c r="Z1777" i="5"/>
  <c r="AA5736" i="5"/>
  <c r="Y5736" i="5"/>
  <c r="Z5736" i="5"/>
  <c r="DH309" i="6"/>
  <c r="DS309" i="6"/>
  <c r="DM309" i="6"/>
  <c r="DN309" i="6"/>
  <c r="AA1282" i="5"/>
  <c r="Y1282" i="5"/>
  <c r="Z1282" i="5"/>
  <c r="Y6232" i="5"/>
  <c r="Z6232" i="5"/>
  <c r="Z311" i="6"/>
  <c r="X311" i="6"/>
  <c r="P311" i="6"/>
  <c r="H311" i="6"/>
  <c r="V311" i="6"/>
  <c r="L311" i="6"/>
  <c r="T311" i="6"/>
  <c r="J311" i="6"/>
  <c r="F311" i="6"/>
  <c r="AB311" i="6"/>
  <c r="DT311" i="6" s="1"/>
  <c r="R311" i="6"/>
  <c r="N311" i="6"/>
  <c r="D311" i="6"/>
  <c r="AI311" i="6"/>
  <c r="AM311" i="6"/>
  <c r="AK311" i="6"/>
  <c r="DX310" i="6"/>
  <c r="AA6233" i="5" s="1"/>
  <c r="EF312" i="6"/>
  <c r="AA5738" i="5" l="1"/>
  <c r="Y5738" i="5"/>
  <c r="Z5738" i="5"/>
  <c r="AA3758" i="5"/>
  <c r="Z3758" i="5"/>
  <c r="Y3758" i="5"/>
  <c r="AA5243" i="5"/>
  <c r="Y5243" i="5"/>
  <c r="Z5243" i="5"/>
  <c r="AA293" i="5"/>
  <c r="Z293" i="5"/>
  <c r="Y293" i="5"/>
  <c r="CF306" i="6"/>
  <c r="CL306" i="6"/>
  <c r="CK306" i="6"/>
  <c r="CQ306" i="6"/>
  <c r="AO299" i="6"/>
  <c r="AN299" i="6"/>
  <c r="AT299" i="6"/>
  <c r="AW301" i="6"/>
  <c r="BC301" i="6"/>
  <c r="BB301" i="6"/>
  <c r="BH301" i="6"/>
  <c r="BR304" i="6"/>
  <c r="BX304" i="6"/>
  <c r="CC304" i="6"/>
  <c r="BW304" i="6"/>
  <c r="DA309" i="6"/>
  <c r="DL309" i="6"/>
  <c r="DG309" i="6"/>
  <c r="DF309" i="6"/>
  <c r="BD302" i="6"/>
  <c r="BI302" i="6"/>
  <c r="BO302" i="6"/>
  <c r="BJ302" i="6"/>
  <c r="BA300" i="6"/>
  <c r="AP300" i="6"/>
  <c r="AU300" i="6"/>
  <c r="AV300" i="6"/>
  <c r="DE308" i="6"/>
  <c r="CT308" i="6"/>
  <c r="CZ308" i="6"/>
  <c r="CY308" i="6"/>
  <c r="AA4253" i="5"/>
  <c r="Y4253" i="5"/>
  <c r="Z4253" i="5"/>
  <c r="DS310" i="6"/>
  <c r="DH310" i="6"/>
  <c r="DM310" i="6"/>
  <c r="DN310" i="6"/>
  <c r="AA788" i="5"/>
  <c r="Z788" i="5"/>
  <c r="Y788" i="5"/>
  <c r="CE305" i="6"/>
  <c r="BY305" i="6"/>
  <c r="CJ305" i="6"/>
  <c r="CD305" i="6"/>
  <c r="AA2273" i="5"/>
  <c r="Z2273" i="5"/>
  <c r="Y2273" i="5"/>
  <c r="DE307" i="6"/>
  <c r="CT307" i="6"/>
  <c r="CY307" i="6"/>
  <c r="CZ307" i="6"/>
  <c r="AA3263" i="5"/>
  <c r="Z3263" i="5"/>
  <c r="Y3263" i="5"/>
  <c r="AA2768" i="5"/>
  <c r="Z2768" i="5"/>
  <c r="Y2768" i="5"/>
  <c r="DO311" i="6"/>
  <c r="DY311" i="6"/>
  <c r="AA5242" i="5"/>
  <c r="Y5242" i="5"/>
  <c r="Z5242" i="5"/>
  <c r="Y1283" i="5"/>
  <c r="AA1283" i="5"/>
  <c r="Z1283" i="5"/>
  <c r="AA1778" i="5"/>
  <c r="Y1778" i="5"/>
  <c r="Z1778" i="5"/>
  <c r="BK303" i="6"/>
  <c r="BV303" i="6"/>
  <c r="BQ303" i="6"/>
  <c r="BP303" i="6"/>
  <c r="Y6233" i="5"/>
  <c r="Z6233" i="5"/>
  <c r="DX311" i="6"/>
  <c r="AA6234" i="5" s="1"/>
  <c r="EF313" i="6"/>
  <c r="EG313" i="6" s="1"/>
  <c r="EH313" i="6" s="1"/>
  <c r="AA313" i="6" s="1"/>
  <c r="EG312" i="6"/>
  <c r="EH312" i="6" s="1"/>
  <c r="AA312" i="6" s="1"/>
  <c r="DA310" i="6" l="1"/>
  <c r="DF310" i="6"/>
  <c r="DG310" i="6"/>
  <c r="DL310" i="6"/>
  <c r="Z4749" i="5"/>
  <c r="Y4749" i="5"/>
  <c r="AA4749" i="5"/>
  <c r="Y789" i="5"/>
  <c r="AA789" i="5"/>
  <c r="Z789" i="5"/>
  <c r="BB302" i="6"/>
  <c r="AW302" i="6"/>
  <c r="BC302" i="6"/>
  <c r="BH302" i="6"/>
  <c r="DE309" i="6"/>
  <c r="CT309" i="6"/>
  <c r="CZ309" i="6"/>
  <c r="CY309" i="6"/>
  <c r="BV304" i="6"/>
  <c r="BK304" i="6"/>
  <c r="BP304" i="6"/>
  <c r="BQ304" i="6"/>
  <c r="BA301" i="6"/>
  <c r="AP301" i="6"/>
  <c r="AV301" i="6"/>
  <c r="AU301" i="6"/>
  <c r="AA3759" i="5"/>
  <c r="Y3759" i="5"/>
  <c r="Z3759" i="5"/>
  <c r="AA2274" i="5"/>
  <c r="Y2274" i="5"/>
  <c r="Z2274" i="5"/>
  <c r="DH311" i="6"/>
  <c r="DM311" i="6"/>
  <c r="DN311" i="6"/>
  <c r="DS311" i="6"/>
  <c r="BW305" i="6"/>
  <c r="BR305" i="6"/>
  <c r="BX305" i="6"/>
  <c r="CC305" i="6"/>
  <c r="AA5739" i="5"/>
  <c r="Z5739" i="5"/>
  <c r="Y5739" i="5"/>
  <c r="AA1284" i="5"/>
  <c r="Z1284" i="5"/>
  <c r="Y1284" i="5"/>
  <c r="AA294" i="5"/>
  <c r="Y294" i="5"/>
  <c r="Z294" i="5"/>
  <c r="AA3264" i="5"/>
  <c r="Y3264" i="5"/>
  <c r="Z3264" i="5"/>
  <c r="BD303" i="6"/>
  <c r="BI303" i="6"/>
  <c r="BO303" i="6"/>
  <c r="BJ303" i="6"/>
  <c r="CR307" i="6"/>
  <c r="CM307" i="6"/>
  <c r="CS307" i="6"/>
  <c r="CX307" i="6"/>
  <c r="AA1779" i="5"/>
  <c r="Y1779" i="5"/>
  <c r="Z1779" i="5"/>
  <c r="AA2769" i="5"/>
  <c r="Y2769" i="5"/>
  <c r="Z2769" i="5"/>
  <c r="AA4748" i="5"/>
  <c r="Y4748" i="5"/>
  <c r="Z4748" i="5"/>
  <c r="CR308" i="6"/>
  <c r="CS308" i="6"/>
  <c r="CM308" i="6"/>
  <c r="CX308" i="6"/>
  <c r="AO300" i="6"/>
  <c r="AN300" i="6"/>
  <c r="AT300" i="6"/>
  <c r="AA5244" i="5"/>
  <c r="Y5244" i="5"/>
  <c r="Z5244" i="5"/>
  <c r="BY306" i="6"/>
  <c r="CD306" i="6"/>
  <c r="CJ306" i="6"/>
  <c r="CE306" i="6"/>
  <c r="Y6234" i="5"/>
  <c r="Z6234" i="5"/>
  <c r="F313" i="6"/>
  <c r="Z313" i="6"/>
  <c r="T313" i="6"/>
  <c r="J313" i="6"/>
  <c r="AI313" i="6"/>
  <c r="AM313" i="6"/>
  <c r="AK313" i="6"/>
  <c r="AB313" i="6"/>
  <c r="DT313" i="6" s="1"/>
  <c r="X313" i="6"/>
  <c r="P313" i="6"/>
  <c r="H313" i="6"/>
  <c r="R313" i="6"/>
  <c r="N313" i="6"/>
  <c r="D313" i="6"/>
  <c r="V313" i="6"/>
  <c r="L313" i="6"/>
  <c r="F312" i="6"/>
  <c r="X312" i="6"/>
  <c r="P312" i="6"/>
  <c r="H312" i="6"/>
  <c r="V312" i="6"/>
  <c r="L312" i="6"/>
  <c r="D312" i="6"/>
  <c r="T312" i="6"/>
  <c r="N312" i="6"/>
  <c r="R312" i="6"/>
  <c r="J312" i="6"/>
  <c r="AB312" i="6"/>
  <c r="DT312" i="6" s="1"/>
  <c r="AM312" i="6"/>
  <c r="Z312" i="6"/>
  <c r="AI312" i="6"/>
  <c r="AK312" i="6"/>
  <c r="EF314" i="6"/>
  <c r="EG314" i="6" s="1"/>
  <c r="EH314" i="6" s="1"/>
  <c r="AA314" i="6" s="1"/>
  <c r="CF308" i="6" l="1"/>
  <c r="CK308" i="6"/>
  <c r="CQ308" i="6"/>
  <c r="CL308" i="6"/>
  <c r="AA5740" i="5"/>
  <c r="Z5740" i="5"/>
  <c r="Y5740" i="5"/>
  <c r="AN301" i="6"/>
  <c r="AO301" i="6"/>
  <c r="AT301" i="6"/>
  <c r="BD304" i="6"/>
  <c r="BI304" i="6"/>
  <c r="BO304" i="6"/>
  <c r="BJ304" i="6"/>
  <c r="CR309" i="6"/>
  <c r="CS309" i="6"/>
  <c r="CM309" i="6"/>
  <c r="CX309" i="6"/>
  <c r="BA302" i="6"/>
  <c r="AP302" i="6"/>
  <c r="AV302" i="6"/>
  <c r="AU302" i="6"/>
  <c r="AA5245" i="5"/>
  <c r="Y5245" i="5"/>
  <c r="Z5245" i="5"/>
  <c r="BR306" i="6"/>
  <c r="CC306" i="6"/>
  <c r="BW306" i="6"/>
  <c r="BX306" i="6"/>
  <c r="AA295" i="5"/>
  <c r="Z295" i="5"/>
  <c r="Y295" i="5"/>
  <c r="Y4254" i="5"/>
  <c r="AA4254" i="5"/>
  <c r="Z4254" i="5"/>
  <c r="AA2770" i="5"/>
  <c r="Y2770" i="5"/>
  <c r="Z2770" i="5"/>
  <c r="AA1780" i="5"/>
  <c r="Y1780" i="5"/>
  <c r="Z1780" i="5"/>
  <c r="Y790" i="5"/>
  <c r="AA790" i="5"/>
  <c r="Z790" i="5"/>
  <c r="Y2275" i="5"/>
  <c r="AA2275" i="5"/>
  <c r="Z2275" i="5"/>
  <c r="AA4750" i="5"/>
  <c r="Z4750" i="5"/>
  <c r="Y4750" i="5"/>
  <c r="DO312" i="6"/>
  <c r="DY312" i="6"/>
  <c r="AA3265" i="5"/>
  <c r="Z3265" i="5"/>
  <c r="Y3265" i="5"/>
  <c r="CF307" i="6"/>
  <c r="CK307" i="6"/>
  <c r="CQ307" i="6"/>
  <c r="CL307" i="6"/>
  <c r="BV305" i="6"/>
  <c r="BQ305" i="6"/>
  <c r="BK305" i="6"/>
  <c r="BP305" i="6"/>
  <c r="AA1285" i="5"/>
  <c r="Z1285" i="5"/>
  <c r="Y1285" i="5"/>
  <c r="DO313" i="6"/>
  <c r="DY313" i="6"/>
  <c r="AA4255" i="5"/>
  <c r="Y4255" i="5"/>
  <c r="Z4255" i="5"/>
  <c r="BB303" i="6"/>
  <c r="AW303" i="6"/>
  <c r="BH303" i="6"/>
  <c r="BC303" i="6"/>
  <c r="DA311" i="6"/>
  <c r="DG311" i="6"/>
  <c r="DF311" i="6"/>
  <c r="DL311" i="6"/>
  <c r="DE310" i="6"/>
  <c r="CT310" i="6"/>
  <c r="CY310" i="6"/>
  <c r="CZ310" i="6"/>
  <c r="DX313" i="6"/>
  <c r="AA6236" i="5" s="1"/>
  <c r="EF315" i="6"/>
  <c r="V314" i="6"/>
  <c r="P314" i="6"/>
  <c r="Z314" i="6"/>
  <c r="T314" i="6"/>
  <c r="L314" i="6"/>
  <c r="R314" i="6"/>
  <c r="J314" i="6"/>
  <c r="H314" i="6"/>
  <c r="X314" i="6"/>
  <c r="N314" i="6"/>
  <c r="D314" i="6"/>
  <c r="AB314" i="6"/>
  <c r="DT314" i="6" s="1"/>
  <c r="F314" i="6"/>
  <c r="AI314" i="6"/>
  <c r="AM314" i="6"/>
  <c r="AK314" i="6"/>
  <c r="DX312" i="6"/>
  <c r="AA6235" i="5" s="1"/>
  <c r="CM310" i="6" l="1"/>
  <c r="CR310" i="6"/>
  <c r="CS310" i="6"/>
  <c r="CX310" i="6"/>
  <c r="AA4751" i="5"/>
  <c r="Z4751" i="5"/>
  <c r="Y4751" i="5"/>
  <c r="DE311" i="6"/>
  <c r="CT311" i="6"/>
  <c r="CY311" i="6"/>
  <c r="CZ311" i="6"/>
  <c r="AA2276" i="5"/>
  <c r="Y2276" i="5"/>
  <c r="Z2276" i="5"/>
  <c r="CE307" i="6"/>
  <c r="BY307" i="6"/>
  <c r="CD307" i="6"/>
  <c r="CJ307" i="6"/>
  <c r="AT302" i="6"/>
  <c r="AO302" i="6"/>
  <c r="AN302" i="6"/>
  <c r="AA5246" i="5"/>
  <c r="Z5246" i="5"/>
  <c r="Y5246" i="5"/>
  <c r="DH312" i="6"/>
  <c r="DN312" i="6"/>
  <c r="DS312" i="6"/>
  <c r="DM312" i="6"/>
  <c r="AA2771" i="5"/>
  <c r="Y2771" i="5"/>
  <c r="Z2771" i="5"/>
  <c r="AA791" i="5"/>
  <c r="Y791" i="5"/>
  <c r="Z791" i="5"/>
  <c r="BB304" i="6"/>
  <c r="AW304" i="6"/>
  <c r="BC304" i="6"/>
  <c r="BH304" i="6"/>
  <c r="AA3761" i="5"/>
  <c r="Y3761" i="5"/>
  <c r="Z3761" i="5"/>
  <c r="DO314" i="6"/>
  <c r="DY314" i="6"/>
  <c r="DH313" i="6"/>
  <c r="DN313" i="6"/>
  <c r="DS313" i="6"/>
  <c r="DM313" i="6"/>
  <c r="AA1286" i="5"/>
  <c r="Z1286" i="5"/>
  <c r="Y1286" i="5"/>
  <c r="BD305" i="6"/>
  <c r="BJ305" i="6"/>
  <c r="BI305" i="6"/>
  <c r="BO305" i="6"/>
  <c r="AA3760" i="5"/>
  <c r="Y3760" i="5"/>
  <c r="Z3760" i="5"/>
  <c r="BV306" i="6"/>
  <c r="BK306" i="6"/>
  <c r="BQ306" i="6"/>
  <c r="BP306" i="6"/>
  <c r="AA4256" i="5"/>
  <c r="Y4256" i="5"/>
  <c r="Z4256" i="5"/>
  <c r="AA296" i="5"/>
  <c r="Y296" i="5"/>
  <c r="Z296" i="5"/>
  <c r="BA303" i="6"/>
  <c r="AP303" i="6"/>
  <c r="AU303" i="6"/>
  <c r="AV303" i="6"/>
  <c r="CF309" i="6"/>
  <c r="CK309" i="6"/>
  <c r="CQ309" i="6"/>
  <c r="CL309" i="6"/>
  <c r="AA1781" i="5"/>
  <c r="Y1781" i="5"/>
  <c r="Z1781" i="5"/>
  <c r="BY308" i="6"/>
  <c r="CJ308" i="6"/>
  <c r="CE308" i="6"/>
  <c r="CD308" i="6"/>
  <c r="Y6235" i="5"/>
  <c r="Z6235" i="5"/>
  <c r="Y6236" i="5"/>
  <c r="Z6236" i="5"/>
  <c r="EF316" i="6"/>
  <c r="EG316" i="6" s="1"/>
  <c r="EH316" i="6" s="1"/>
  <c r="AA316" i="6" s="1"/>
  <c r="EG315" i="6"/>
  <c r="EH315" i="6" s="1"/>
  <c r="AA315" i="6" s="1"/>
  <c r="DX314" i="6"/>
  <c r="AA6237" i="5" s="1"/>
  <c r="CE309" i="6" l="1"/>
  <c r="BY309" i="6"/>
  <c r="CJ309" i="6"/>
  <c r="CD309" i="6"/>
  <c r="AA792" i="5"/>
  <c r="Y792" i="5"/>
  <c r="Z792" i="5"/>
  <c r="DA313" i="6"/>
  <c r="DF313" i="6"/>
  <c r="DG313" i="6"/>
  <c r="DL313" i="6"/>
  <c r="BA304" i="6"/>
  <c r="AP304" i="6"/>
  <c r="AU304" i="6"/>
  <c r="AV304" i="6"/>
  <c r="BW307" i="6"/>
  <c r="BR307" i="6"/>
  <c r="CC307" i="6"/>
  <c r="BX307" i="6"/>
  <c r="AA4752" i="5"/>
  <c r="Y4752" i="5"/>
  <c r="Z4752" i="5"/>
  <c r="AA4257" i="5"/>
  <c r="Y4257" i="5"/>
  <c r="Z4257" i="5"/>
  <c r="AA3267" i="5"/>
  <c r="Y3267" i="5"/>
  <c r="Z3267" i="5"/>
  <c r="BD306" i="6"/>
  <c r="BO306" i="6"/>
  <c r="BJ306" i="6"/>
  <c r="BI306" i="6"/>
  <c r="AW305" i="6"/>
  <c r="BH305" i="6"/>
  <c r="BB305" i="6"/>
  <c r="BC305" i="6"/>
  <c r="AA5741" i="5"/>
  <c r="Y5741" i="5"/>
  <c r="Z5741" i="5"/>
  <c r="AA297" i="5"/>
  <c r="Z297" i="5"/>
  <c r="Y297" i="5"/>
  <c r="AN303" i="6"/>
  <c r="AT303" i="6"/>
  <c r="AO303" i="6"/>
  <c r="BR308" i="6"/>
  <c r="BX308" i="6"/>
  <c r="BW308" i="6"/>
  <c r="CC308" i="6"/>
  <c r="AA3762" i="5"/>
  <c r="Y3762" i="5"/>
  <c r="Z3762" i="5"/>
  <c r="AA2277" i="5"/>
  <c r="Y2277" i="5"/>
  <c r="Z2277" i="5"/>
  <c r="AA1782" i="5"/>
  <c r="Z1782" i="5"/>
  <c r="Y1782" i="5"/>
  <c r="AA5742" i="5"/>
  <c r="Z5742" i="5"/>
  <c r="Y5742" i="5"/>
  <c r="DH314" i="6"/>
  <c r="DS314" i="6"/>
  <c r="DM314" i="6"/>
  <c r="DN314" i="6"/>
  <c r="Y1287" i="5"/>
  <c r="AA1287" i="5"/>
  <c r="Z1287" i="5"/>
  <c r="AA3266" i="5"/>
  <c r="Y3266" i="5"/>
  <c r="Z3266" i="5"/>
  <c r="DA312" i="6"/>
  <c r="DF312" i="6"/>
  <c r="DG312" i="6"/>
  <c r="DL312" i="6"/>
  <c r="CR311" i="6"/>
  <c r="CM311" i="6"/>
  <c r="CS311" i="6"/>
  <c r="CX311" i="6"/>
  <c r="CF310" i="6"/>
  <c r="CK310" i="6"/>
  <c r="CQ310" i="6"/>
  <c r="CL310" i="6"/>
  <c r="Y6237" i="5"/>
  <c r="Z6237" i="5"/>
  <c r="F316" i="6"/>
  <c r="T316" i="6"/>
  <c r="N316" i="6"/>
  <c r="R316" i="6"/>
  <c r="J316" i="6"/>
  <c r="X316" i="6"/>
  <c r="P316" i="6"/>
  <c r="H316" i="6"/>
  <c r="V316" i="6"/>
  <c r="L316" i="6"/>
  <c r="D316" i="6"/>
  <c r="Z316" i="6"/>
  <c r="AI316" i="6"/>
  <c r="AB316" i="6"/>
  <c r="DT316" i="6" s="1"/>
  <c r="AM316" i="6"/>
  <c r="AK316" i="6"/>
  <c r="D315" i="6"/>
  <c r="R315" i="6"/>
  <c r="J315" i="6"/>
  <c r="X315" i="6"/>
  <c r="P315" i="6"/>
  <c r="H315" i="6"/>
  <c r="F315" i="6"/>
  <c r="V315" i="6"/>
  <c r="L315" i="6"/>
  <c r="Z315" i="6"/>
  <c r="T315" i="6"/>
  <c r="N315" i="6"/>
  <c r="AI315" i="6"/>
  <c r="AM315" i="6"/>
  <c r="AK315" i="6"/>
  <c r="AB315" i="6"/>
  <c r="DT315" i="6" s="1"/>
  <c r="EF317" i="6"/>
  <c r="BA305" i="6" l="1"/>
  <c r="AP305" i="6"/>
  <c r="AV305" i="6"/>
  <c r="AU305" i="6"/>
  <c r="BY310" i="6"/>
  <c r="CJ310" i="6"/>
  <c r="CE310" i="6"/>
  <c r="CD310" i="6"/>
  <c r="DE312" i="6"/>
  <c r="CT312" i="6"/>
  <c r="CZ312" i="6"/>
  <c r="CY312" i="6"/>
  <c r="AA298" i="5"/>
  <c r="Y298" i="5"/>
  <c r="Z298" i="5"/>
  <c r="AA793" i="5"/>
  <c r="Z793" i="5"/>
  <c r="Y793" i="5"/>
  <c r="DE313" i="6"/>
  <c r="CT313" i="6"/>
  <c r="CY313" i="6"/>
  <c r="CZ313" i="6"/>
  <c r="CF311" i="6"/>
  <c r="CK311" i="6"/>
  <c r="CQ311" i="6"/>
  <c r="CL311" i="6"/>
  <c r="DO316" i="6"/>
  <c r="DY316" i="6"/>
  <c r="AA4258" i="5"/>
  <c r="Y4258" i="5"/>
  <c r="Z4258" i="5"/>
  <c r="AA5247" i="5"/>
  <c r="Y5247" i="5"/>
  <c r="Z5247" i="5"/>
  <c r="AA5743" i="5"/>
  <c r="Y5743" i="5"/>
  <c r="Z5743" i="5"/>
  <c r="AA5248" i="5"/>
  <c r="Y5248" i="5"/>
  <c r="Z5248" i="5"/>
  <c r="AA3268" i="5"/>
  <c r="Y3268" i="5"/>
  <c r="Z3268" i="5"/>
  <c r="DO315" i="6"/>
  <c r="DY315" i="6"/>
  <c r="AA3763" i="5"/>
  <c r="Y3763" i="5"/>
  <c r="Z3763" i="5"/>
  <c r="DA314" i="6"/>
  <c r="DF314" i="6"/>
  <c r="DG314" i="6"/>
  <c r="DL314" i="6"/>
  <c r="BV308" i="6"/>
  <c r="BK308" i="6"/>
  <c r="BP308" i="6"/>
  <c r="BQ308" i="6"/>
  <c r="AA1288" i="5"/>
  <c r="Y1288" i="5"/>
  <c r="Z1288" i="5"/>
  <c r="AA1783" i="5"/>
  <c r="Y1783" i="5"/>
  <c r="Z1783" i="5"/>
  <c r="AA2772" i="5"/>
  <c r="Y2772" i="5"/>
  <c r="Z2772" i="5"/>
  <c r="BW309" i="6"/>
  <c r="BR309" i="6"/>
  <c r="BX309" i="6"/>
  <c r="CC309" i="6"/>
  <c r="AA2773" i="5"/>
  <c r="Y2773" i="5"/>
  <c r="Z2773" i="5"/>
  <c r="BB306" i="6"/>
  <c r="AW306" i="6"/>
  <c r="BC306" i="6"/>
  <c r="BH306" i="6"/>
  <c r="BK307" i="6"/>
  <c r="BV307" i="6"/>
  <c r="BQ307" i="6"/>
  <c r="BP307" i="6"/>
  <c r="AT304" i="6"/>
  <c r="AO304" i="6"/>
  <c r="AN304" i="6"/>
  <c r="EF318" i="6"/>
  <c r="EG318" i="6" s="1"/>
  <c r="EH318" i="6" s="1"/>
  <c r="AA318" i="6" s="1"/>
  <c r="EG317" i="6"/>
  <c r="EH317" i="6" s="1"/>
  <c r="AA317" i="6" s="1"/>
  <c r="DX316" i="6"/>
  <c r="AA6239" i="5" s="1"/>
  <c r="DX315" i="6"/>
  <c r="AA6238" i="5" s="1"/>
  <c r="AA2278" i="5" l="1"/>
  <c r="Y2278" i="5"/>
  <c r="Z2278" i="5"/>
  <c r="AA299" i="5"/>
  <c r="Z299" i="5"/>
  <c r="Y299" i="5"/>
  <c r="Y1289" i="5"/>
  <c r="AA1289" i="5"/>
  <c r="Z1289" i="5"/>
  <c r="AA5249" i="5"/>
  <c r="Z5249" i="5"/>
  <c r="Y5249" i="5"/>
  <c r="DH315" i="6"/>
  <c r="DS315" i="6"/>
  <c r="DM315" i="6"/>
  <c r="DN315" i="6"/>
  <c r="CR313" i="6"/>
  <c r="CS313" i="6"/>
  <c r="CM313" i="6"/>
  <c r="CX313" i="6"/>
  <c r="BV309" i="6"/>
  <c r="BQ309" i="6"/>
  <c r="BP309" i="6"/>
  <c r="BK309" i="6"/>
  <c r="DS316" i="6"/>
  <c r="DH316" i="6"/>
  <c r="DN316" i="6"/>
  <c r="DM316" i="6"/>
  <c r="CE311" i="6"/>
  <c r="BY311" i="6"/>
  <c r="CD311" i="6"/>
  <c r="CJ311" i="6"/>
  <c r="AA4754" i="5"/>
  <c r="Y4754" i="5"/>
  <c r="Z4754" i="5"/>
  <c r="BA306" i="6"/>
  <c r="AP306" i="6"/>
  <c r="AV306" i="6"/>
  <c r="AU306" i="6"/>
  <c r="BD308" i="6"/>
  <c r="BO308" i="6"/>
  <c r="BJ308" i="6"/>
  <c r="BI308" i="6"/>
  <c r="CR312" i="6"/>
  <c r="CS312" i="6"/>
  <c r="CM312" i="6"/>
  <c r="CX312" i="6"/>
  <c r="AA3269" i="5"/>
  <c r="Y3269" i="5"/>
  <c r="Z3269" i="5"/>
  <c r="AN305" i="6"/>
  <c r="AT305" i="6"/>
  <c r="AO305" i="6"/>
  <c r="BD307" i="6"/>
  <c r="BJ307" i="6"/>
  <c r="BI307" i="6"/>
  <c r="BO307" i="6"/>
  <c r="AA2774" i="5"/>
  <c r="Y2774" i="5"/>
  <c r="Z2774" i="5"/>
  <c r="Y2279" i="5"/>
  <c r="Z2279" i="5"/>
  <c r="AA2279" i="5"/>
  <c r="DE314" i="6"/>
  <c r="CT314" i="6"/>
  <c r="CY314" i="6"/>
  <c r="CZ314" i="6"/>
  <c r="AA3764" i="5"/>
  <c r="Y3764" i="5"/>
  <c r="Z3764" i="5"/>
  <c r="Y4753" i="5"/>
  <c r="AA4753" i="5"/>
  <c r="Z4753" i="5"/>
  <c r="BR310" i="6"/>
  <c r="BX310" i="6"/>
  <c r="CC310" i="6"/>
  <c r="BW310" i="6"/>
  <c r="Y794" i="5"/>
  <c r="AA794" i="5"/>
  <c r="Z794" i="5"/>
  <c r="Y6239" i="5"/>
  <c r="Z6239" i="5"/>
  <c r="Y6238" i="5"/>
  <c r="Z6238" i="5"/>
  <c r="V318" i="6"/>
  <c r="P318" i="6"/>
  <c r="T318" i="6"/>
  <c r="J318" i="6"/>
  <c r="R318" i="6"/>
  <c r="D318" i="6"/>
  <c r="Z318" i="6"/>
  <c r="X318" i="6"/>
  <c r="N318" i="6"/>
  <c r="H318" i="6"/>
  <c r="F318" i="6"/>
  <c r="AB318" i="6"/>
  <c r="DT318" i="6" s="1"/>
  <c r="L318" i="6"/>
  <c r="AI318" i="6"/>
  <c r="AM318" i="6"/>
  <c r="AK318" i="6"/>
  <c r="EF319" i="6"/>
  <c r="F317" i="6"/>
  <c r="Z317" i="6"/>
  <c r="V317" i="6"/>
  <c r="N317" i="6"/>
  <c r="J317" i="6"/>
  <c r="AI317" i="6"/>
  <c r="AM317" i="6"/>
  <c r="AK317" i="6"/>
  <c r="AB317" i="6"/>
  <c r="DT317" i="6" s="1"/>
  <c r="T317" i="6"/>
  <c r="L317" i="6"/>
  <c r="R317" i="6"/>
  <c r="D317" i="6"/>
  <c r="X317" i="6"/>
  <c r="P317" i="6"/>
  <c r="H317" i="6"/>
  <c r="DO317" i="6" l="1"/>
  <c r="DY317" i="6"/>
  <c r="DY318" i="6"/>
  <c r="DO318" i="6"/>
  <c r="AA2775" i="5"/>
  <c r="Z2775" i="5"/>
  <c r="Y2775" i="5"/>
  <c r="AA4755" i="5"/>
  <c r="Y4755" i="5"/>
  <c r="Z4755" i="5"/>
  <c r="AA300" i="5"/>
  <c r="Z300" i="5"/>
  <c r="Y300" i="5"/>
  <c r="BB308" i="6"/>
  <c r="AW308" i="6"/>
  <c r="BC308" i="6"/>
  <c r="BH308" i="6"/>
  <c r="AA795" i="5"/>
  <c r="Y795" i="5"/>
  <c r="Z795" i="5"/>
  <c r="AA3270" i="5"/>
  <c r="Z3270" i="5"/>
  <c r="Y3270" i="5"/>
  <c r="BD309" i="6"/>
  <c r="BI309" i="6"/>
  <c r="BO309" i="6"/>
  <c r="BJ309" i="6"/>
  <c r="AA4260" i="5"/>
  <c r="Y4260" i="5"/>
  <c r="Z4260" i="5"/>
  <c r="AA4259" i="5"/>
  <c r="Y4259" i="5"/>
  <c r="Z4259" i="5"/>
  <c r="CF313" i="6"/>
  <c r="CQ313" i="6"/>
  <c r="CL313" i="6"/>
  <c r="CK313" i="6"/>
  <c r="BV310" i="6"/>
  <c r="BK310" i="6"/>
  <c r="BQ310" i="6"/>
  <c r="BP310" i="6"/>
  <c r="BB307" i="6"/>
  <c r="AW307" i="6"/>
  <c r="BH307" i="6"/>
  <c r="BC307" i="6"/>
  <c r="CF312" i="6"/>
  <c r="CQ312" i="6"/>
  <c r="CL312" i="6"/>
  <c r="CK312" i="6"/>
  <c r="BW311" i="6"/>
  <c r="BR311" i="6"/>
  <c r="CC311" i="6"/>
  <c r="BX311" i="6"/>
  <c r="DA316" i="6"/>
  <c r="DG316" i="6"/>
  <c r="DF316" i="6"/>
  <c r="DL316" i="6"/>
  <c r="AA5744" i="5"/>
  <c r="Y5744" i="5"/>
  <c r="Z5744" i="5"/>
  <c r="CM314" i="6"/>
  <c r="CS314" i="6"/>
  <c r="CR314" i="6"/>
  <c r="CX314" i="6"/>
  <c r="AA1784" i="5"/>
  <c r="Z1784" i="5"/>
  <c r="Y1784" i="5"/>
  <c r="AA1785" i="5"/>
  <c r="Y1785" i="5"/>
  <c r="Z1785" i="5"/>
  <c r="AN306" i="6"/>
  <c r="AT306" i="6"/>
  <c r="AO306" i="6"/>
  <c r="Y5745" i="5"/>
  <c r="AA5745" i="5"/>
  <c r="Z5745" i="5"/>
  <c r="AA2280" i="5"/>
  <c r="Z2280" i="5"/>
  <c r="Y2280" i="5"/>
  <c r="DA315" i="6"/>
  <c r="DL315" i="6"/>
  <c r="DF315" i="6"/>
  <c r="DG315" i="6"/>
  <c r="DX317" i="6"/>
  <c r="AA6240" i="5" s="1"/>
  <c r="EF320" i="6"/>
  <c r="EG320" i="6" s="1"/>
  <c r="EH320" i="6" s="1"/>
  <c r="AA320" i="6" s="1"/>
  <c r="EG319" i="6"/>
  <c r="EH319" i="6" s="1"/>
  <c r="AA319" i="6" s="1"/>
  <c r="DX318" i="6"/>
  <c r="AA6241" i="5" s="1"/>
  <c r="DE315" i="6" l="1"/>
  <c r="CT315" i="6"/>
  <c r="CY315" i="6"/>
  <c r="CZ315" i="6"/>
  <c r="AA301" i="5"/>
  <c r="Y301" i="5"/>
  <c r="Z301" i="5"/>
  <c r="AA4261" i="5"/>
  <c r="Y4261" i="5"/>
  <c r="Z4261" i="5"/>
  <c r="AA2776" i="5"/>
  <c r="Y2776" i="5"/>
  <c r="Z2776" i="5"/>
  <c r="AA1290" i="5"/>
  <c r="Z1290" i="5"/>
  <c r="Y1290" i="5"/>
  <c r="AW309" i="6"/>
  <c r="BC309" i="6"/>
  <c r="BB309" i="6"/>
  <c r="BH309" i="6"/>
  <c r="DS318" i="6"/>
  <c r="DH318" i="6"/>
  <c r="DM318" i="6"/>
  <c r="DN318" i="6"/>
  <c r="BK311" i="6"/>
  <c r="BQ311" i="6"/>
  <c r="BP311" i="6"/>
  <c r="BV311" i="6"/>
  <c r="AA3765" i="5"/>
  <c r="Z3765" i="5"/>
  <c r="Y3765" i="5"/>
  <c r="BA307" i="6"/>
  <c r="AP307" i="6"/>
  <c r="AU307" i="6"/>
  <c r="AV307" i="6"/>
  <c r="BD310" i="6"/>
  <c r="BO310" i="6"/>
  <c r="BJ310" i="6"/>
  <c r="BI310" i="6"/>
  <c r="AA3766" i="5"/>
  <c r="Y3766" i="5"/>
  <c r="Z3766" i="5"/>
  <c r="BA308" i="6"/>
  <c r="AU308" i="6"/>
  <c r="AP308" i="6"/>
  <c r="AV308" i="6"/>
  <c r="DE316" i="6"/>
  <c r="CT316" i="6"/>
  <c r="CZ316" i="6"/>
  <c r="CY316" i="6"/>
  <c r="BY312" i="6"/>
  <c r="CE312" i="6"/>
  <c r="CD312" i="6"/>
  <c r="CJ312" i="6"/>
  <c r="AA2281" i="5"/>
  <c r="Z2281" i="5"/>
  <c r="Y2281" i="5"/>
  <c r="CE313" i="6"/>
  <c r="BY313" i="6"/>
  <c r="CJ313" i="6"/>
  <c r="CD313" i="6"/>
  <c r="AA1786" i="5"/>
  <c r="Z1786" i="5"/>
  <c r="Y1786" i="5"/>
  <c r="AA5250" i="5"/>
  <c r="Y5250" i="5"/>
  <c r="Z5250" i="5"/>
  <c r="CF314" i="6"/>
  <c r="CK314" i="6"/>
  <c r="CQ314" i="6"/>
  <c r="CL314" i="6"/>
  <c r="AA5251" i="5"/>
  <c r="Y5251" i="5"/>
  <c r="Z5251" i="5"/>
  <c r="Y1291" i="5"/>
  <c r="AA1291" i="5"/>
  <c r="Z1291" i="5"/>
  <c r="DH317" i="6"/>
  <c r="DM317" i="6"/>
  <c r="DN317" i="6"/>
  <c r="DS317" i="6"/>
  <c r="Y6241" i="5"/>
  <c r="Z6241" i="5"/>
  <c r="Y6240" i="5"/>
  <c r="Z6240" i="5"/>
  <c r="T319" i="6"/>
  <c r="N319" i="6"/>
  <c r="F319" i="6"/>
  <c r="R319" i="6"/>
  <c r="J319" i="6"/>
  <c r="D319" i="6"/>
  <c r="Z319" i="6"/>
  <c r="X319" i="6"/>
  <c r="P319" i="6"/>
  <c r="H319" i="6"/>
  <c r="V319" i="6"/>
  <c r="L319" i="6"/>
  <c r="AB319" i="6"/>
  <c r="DT319" i="6" s="1"/>
  <c r="AI319" i="6"/>
  <c r="AM319" i="6"/>
  <c r="AK319" i="6"/>
  <c r="F320" i="6"/>
  <c r="X320" i="6"/>
  <c r="L320" i="6"/>
  <c r="H320" i="6"/>
  <c r="V320" i="6"/>
  <c r="N320" i="6"/>
  <c r="D320" i="6"/>
  <c r="T320" i="6"/>
  <c r="R320" i="6"/>
  <c r="P320" i="6"/>
  <c r="J320" i="6"/>
  <c r="AM320" i="6"/>
  <c r="AI320" i="6"/>
  <c r="AK320" i="6"/>
  <c r="Z320" i="6"/>
  <c r="AB320" i="6"/>
  <c r="DT320" i="6" s="1"/>
  <c r="EF321" i="6"/>
  <c r="EG321" i="6" s="1"/>
  <c r="EH321" i="6" s="1"/>
  <c r="AA321" i="6" s="1"/>
  <c r="DO320" i="6" l="1"/>
  <c r="DY320" i="6"/>
  <c r="BY314" i="6"/>
  <c r="CE314" i="6"/>
  <c r="CD314" i="6"/>
  <c r="CJ314" i="6"/>
  <c r="AA3272" i="5"/>
  <c r="Y3272" i="5"/>
  <c r="Z3272" i="5"/>
  <c r="CR316" i="6"/>
  <c r="CS316" i="6"/>
  <c r="CM316" i="6"/>
  <c r="CX316" i="6"/>
  <c r="BB310" i="6"/>
  <c r="AW310" i="6"/>
  <c r="BC310" i="6"/>
  <c r="BH310" i="6"/>
  <c r="AA796" i="5"/>
  <c r="Z796" i="5"/>
  <c r="Y796" i="5"/>
  <c r="AA2282" i="5"/>
  <c r="Z2282" i="5"/>
  <c r="Y2282" i="5"/>
  <c r="AA1292" i="5"/>
  <c r="Z1292" i="5"/>
  <c r="Y1292" i="5"/>
  <c r="AA5746" i="5"/>
  <c r="Y5746" i="5"/>
  <c r="Z5746" i="5"/>
  <c r="BW313" i="6"/>
  <c r="BR313" i="6"/>
  <c r="BX313" i="6"/>
  <c r="CC313" i="6"/>
  <c r="BR312" i="6"/>
  <c r="BX312" i="6"/>
  <c r="CC312" i="6"/>
  <c r="BW312" i="6"/>
  <c r="Y4757" i="5"/>
  <c r="AA4757" i="5"/>
  <c r="Z4757" i="5"/>
  <c r="Y797" i="5"/>
  <c r="AA797" i="5"/>
  <c r="Z797" i="5"/>
  <c r="DO319" i="6"/>
  <c r="DY319" i="6"/>
  <c r="DA317" i="6"/>
  <c r="DF317" i="6"/>
  <c r="DG317" i="6"/>
  <c r="DL317" i="6"/>
  <c r="AA3767" i="5"/>
  <c r="Y3767" i="5"/>
  <c r="Z3767" i="5"/>
  <c r="AA3271" i="5"/>
  <c r="Y3271" i="5"/>
  <c r="Z3271" i="5"/>
  <c r="DA318" i="6"/>
  <c r="DG318" i="6"/>
  <c r="DF318" i="6"/>
  <c r="DL318" i="6"/>
  <c r="CR315" i="6"/>
  <c r="CM315" i="6"/>
  <c r="CS315" i="6"/>
  <c r="CX315" i="6"/>
  <c r="AT308" i="6"/>
  <c r="AO308" i="6"/>
  <c r="AN308" i="6"/>
  <c r="AA1787" i="5"/>
  <c r="Y1787" i="5"/>
  <c r="Z1787" i="5"/>
  <c r="AT307" i="6"/>
  <c r="AN307" i="6"/>
  <c r="AO307" i="6"/>
  <c r="BD311" i="6"/>
  <c r="BO311" i="6"/>
  <c r="BI311" i="6"/>
  <c r="BJ311" i="6"/>
  <c r="AA5747" i="5"/>
  <c r="Y5747" i="5"/>
  <c r="Z5747" i="5"/>
  <c r="BA309" i="6"/>
  <c r="AP309" i="6"/>
  <c r="AV309" i="6"/>
  <c r="AU309" i="6"/>
  <c r="AA4756" i="5"/>
  <c r="Y4756" i="5"/>
  <c r="Z4756" i="5"/>
  <c r="F321" i="6"/>
  <c r="Z321" i="6"/>
  <c r="X321" i="6"/>
  <c r="P321" i="6"/>
  <c r="D321" i="6"/>
  <c r="AI321" i="6"/>
  <c r="AM321" i="6"/>
  <c r="AK321" i="6"/>
  <c r="V321" i="6"/>
  <c r="N321" i="6"/>
  <c r="J321" i="6"/>
  <c r="T321" i="6"/>
  <c r="L321" i="6"/>
  <c r="AB321" i="6"/>
  <c r="DT321" i="6" s="1"/>
  <c r="R321" i="6"/>
  <c r="H321" i="6"/>
  <c r="EF322" i="6"/>
  <c r="EG322" i="6" s="1"/>
  <c r="EH322" i="6" s="1"/>
  <c r="AA322" i="6" s="1"/>
  <c r="DX320" i="6"/>
  <c r="AA6243" i="5" s="1"/>
  <c r="DX319" i="6"/>
  <c r="AA6242" i="5" s="1"/>
  <c r="BB311" i="6" l="1"/>
  <c r="AW311" i="6"/>
  <c r="BC311" i="6"/>
  <c r="BH311" i="6"/>
  <c r="DO321" i="6"/>
  <c r="DY321" i="6"/>
  <c r="Y798" i="5"/>
  <c r="AA798" i="5"/>
  <c r="Z798" i="5"/>
  <c r="AA303" i="5"/>
  <c r="Y303" i="5"/>
  <c r="Z303" i="5"/>
  <c r="DE318" i="6"/>
  <c r="CT318" i="6"/>
  <c r="CY318" i="6"/>
  <c r="CZ318" i="6"/>
  <c r="DH319" i="6"/>
  <c r="DN319" i="6"/>
  <c r="DM319" i="6"/>
  <c r="DS319" i="6"/>
  <c r="AA2777" i="5"/>
  <c r="Z2777" i="5"/>
  <c r="Y2777" i="5"/>
  <c r="CF316" i="6"/>
  <c r="CL316" i="6"/>
  <c r="CK316" i="6"/>
  <c r="CQ316" i="6"/>
  <c r="Y4262" i="5"/>
  <c r="Z4262" i="5"/>
  <c r="AA4262" i="5"/>
  <c r="BV313" i="6"/>
  <c r="BK313" i="6"/>
  <c r="BQ313" i="6"/>
  <c r="BP313" i="6"/>
  <c r="BA310" i="6"/>
  <c r="AP310" i="6"/>
  <c r="AV310" i="6"/>
  <c r="AU310" i="6"/>
  <c r="BR314" i="6"/>
  <c r="CC314" i="6"/>
  <c r="BW314" i="6"/>
  <c r="BX314" i="6"/>
  <c r="AA5253" i="5"/>
  <c r="Y5253" i="5"/>
  <c r="Z5253" i="5"/>
  <c r="AA1788" i="5"/>
  <c r="Y1788" i="5"/>
  <c r="Z1788" i="5"/>
  <c r="AA302" i="5"/>
  <c r="Z302" i="5"/>
  <c r="Y302" i="5"/>
  <c r="DE317" i="6"/>
  <c r="CT317" i="6"/>
  <c r="CY317" i="6"/>
  <c r="CZ317" i="6"/>
  <c r="BV312" i="6"/>
  <c r="BK312" i="6"/>
  <c r="BP312" i="6"/>
  <c r="BQ312" i="6"/>
  <c r="AA3273" i="5"/>
  <c r="Z3273" i="5"/>
  <c r="Y3273" i="5"/>
  <c r="AN309" i="6"/>
  <c r="AT309" i="6"/>
  <c r="AO309" i="6"/>
  <c r="CF315" i="6"/>
  <c r="CQ315" i="6"/>
  <c r="CL315" i="6"/>
  <c r="CK315" i="6"/>
  <c r="AA5252" i="5"/>
  <c r="Y5252" i="5"/>
  <c r="Z5252" i="5"/>
  <c r="AA2778" i="5"/>
  <c r="Z2778" i="5"/>
  <c r="Y2778" i="5"/>
  <c r="AA1293" i="5"/>
  <c r="Y1293" i="5"/>
  <c r="Z1293" i="5"/>
  <c r="AA4263" i="5"/>
  <c r="Y4263" i="5"/>
  <c r="Z4263" i="5"/>
  <c r="DH320" i="6"/>
  <c r="DN320" i="6"/>
  <c r="DM320" i="6"/>
  <c r="DS320" i="6"/>
  <c r="Y6242" i="5"/>
  <c r="Z6242" i="5"/>
  <c r="Y6243" i="5"/>
  <c r="Z6243" i="5"/>
  <c r="EF323" i="6"/>
  <c r="EG323" i="6" s="1"/>
  <c r="EH323" i="6" s="1"/>
  <c r="AA323" i="6" s="1"/>
  <c r="T322" i="6"/>
  <c r="J322" i="6"/>
  <c r="R322" i="6"/>
  <c r="D322" i="6"/>
  <c r="Z322" i="6"/>
  <c r="X322" i="6"/>
  <c r="N322" i="6"/>
  <c r="P322" i="6"/>
  <c r="V322" i="6"/>
  <c r="L322" i="6"/>
  <c r="F322" i="6"/>
  <c r="H322" i="6"/>
  <c r="AI322" i="6"/>
  <c r="AM322" i="6"/>
  <c r="AK322" i="6"/>
  <c r="AB322" i="6"/>
  <c r="DT322" i="6" s="1"/>
  <c r="DX321" i="6"/>
  <c r="AA6244" i="5" s="1"/>
  <c r="BD312" i="6" l="1"/>
  <c r="BO312" i="6"/>
  <c r="BJ312" i="6"/>
  <c r="BI312" i="6"/>
  <c r="AA304" i="5"/>
  <c r="Y304" i="5"/>
  <c r="Z304" i="5"/>
  <c r="Y2283" i="5"/>
  <c r="AA2283" i="5"/>
  <c r="Z2283" i="5"/>
  <c r="AA4758" i="5"/>
  <c r="Z4758" i="5"/>
  <c r="Y4758" i="5"/>
  <c r="AA2779" i="5"/>
  <c r="Z2779" i="5"/>
  <c r="Y2779" i="5"/>
  <c r="AN310" i="6"/>
  <c r="AT310" i="6"/>
  <c r="AO310" i="6"/>
  <c r="BD313" i="6"/>
  <c r="BO313" i="6"/>
  <c r="BJ313" i="6"/>
  <c r="BI313" i="6"/>
  <c r="BY316" i="6"/>
  <c r="CD316" i="6"/>
  <c r="CJ316" i="6"/>
  <c r="CE316" i="6"/>
  <c r="AA5748" i="5"/>
  <c r="Y5748" i="5"/>
  <c r="Z5748" i="5"/>
  <c r="AA1294" i="5"/>
  <c r="Y1294" i="5"/>
  <c r="Z1294" i="5"/>
  <c r="DY322" i="6"/>
  <c r="DO322" i="6"/>
  <c r="AA3768" i="5"/>
  <c r="Y3768" i="5"/>
  <c r="Z3768" i="5"/>
  <c r="BV314" i="6"/>
  <c r="BQ314" i="6"/>
  <c r="BK314" i="6"/>
  <c r="BP314" i="6"/>
  <c r="AA799" i="5"/>
  <c r="Y799" i="5"/>
  <c r="Z799" i="5"/>
  <c r="AA2284" i="5"/>
  <c r="Y2284" i="5"/>
  <c r="Z2284" i="5"/>
  <c r="AA3769" i="5"/>
  <c r="Y3769" i="5"/>
  <c r="Z3769" i="5"/>
  <c r="DA320" i="6"/>
  <c r="DG320" i="6"/>
  <c r="DF320" i="6"/>
  <c r="DL320" i="6"/>
  <c r="CE315" i="6"/>
  <c r="BY315" i="6"/>
  <c r="CD315" i="6"/>
  <c r="CJ315" i="6"/>
  <c r="CM318" i="6"/>
  <c r="CX318" i="6"/>
  <c r="CR318" i="6"/>
  <c r="CS318" i="6"/>
  <c r="BA311" i="6"/>
  <c r="AP311" i="6"/>
  <c r="AU311" i="6"/>
  <c r="AV311" i="6"/>
  <c r="AA5749" i="5"/>
  <c r="Y5749" i="5"/>
  <c r="Z5749" i="5"/>
  <c r="CR317" i="6"/>
  <c r="CS317" i="6"/>
  <c r="CM317" i="6"/>
  <c r="CX317" i="6"/>
  <c r="DA319" i="6"/>
  <c r="DF319" i="6"/>
  <c r="DL319" i="6"/>
  <c r="DG319" i="6"/>
  <c r="AA4759" i="5"/>
  <c r="Z4759" i="5"/>
  <c r="Y4759" i="5"/>
  <c r="DH321" i="6"/>
  <c r="DM321" i="6"/>
  <c r="DN321" i="6"/>
  <c r="DS321" i="6"/>
  <c r="Y6244" i="5"/>
  <c r="Z6244" i="5"/>
  <c r="EF324" i="6"/>
  <c r="DX322" i="6"/>
  <c r="AA6245" i="5" s="1"/>
  <c r="N323" i="6"/>
  <c r="V323" i="6"/>
  <c r="L323" i="6"/>
  <c r="D323" i="6"/>
  <c r="Z323" i="6"/>
  <c r="T323" i="6"/>
  <c r="J323" i="6"/>
  <c r="R323" i="6"/>
  <c r="H323" i="6"/>
  <c r="X323" i="6"/>
  <c r="P323" i="6"/>
  <c r="F323" i="6"/>
  <c r="AI323" i="6"/>
  <c r="AM323" i="6"/>
  <c r="AK323" i="6"/>
  <c r="AB323" i="6"/>
  <c r="DT323" i="6" s="1"/>
  <c r="AA5254" i="5" l="1"/>
  <c r="Z5254" i="5"/>
  <c r="Y5254" i="5"/>
  <c r="CF318" i="6"/>
  <c r="CQ318" i="6"/>
  <c r="CL318" i="6"/>
  <c r="CK318" i="6"/>
  <c r="DE320" i="6"/>
  <c r="CT320" i="6"/>
  <c r="CZ320" i="6"/>
  <c r="CY320" i="6"/>
  <c r="BR316" i="6"/>
  <c r="BX316" i="6"/>
  <c r="CC316" i="6"/>
  <c r="BW316" i="6"/>
  <c r="AW313" i="6"/>
  <c r="BB313" i="6"/>
  <c r="BH313" i="6"/>
  <c r="BC313" i="6"/>
  <c r="DO323" i="6"/>
  <c r="DY323" i="6"/>
  <c r="AA5750" i="5"/>
  <c r="Y5750" i="5"/>
  <c r="Z5750" i="5"/>
  <c r="AA800" i="5"/>
  <c r="Y800" i="5"/>
  <c r="Z800" i="5"/>
  <c r="AA5255" i="5"/>
  <c r="Y5255" i="5"/>
  <c r="Z5255" i="5"/>
  <c r="AA2285" i="5"/>
  <c r="Z2285" i="5"/>
  <c r="Y2285" i="5"/>
  <c r="DS322" i="6"/>
  <c r="DH322" i="6"/>
  <c r="DM322" i="6"/>
  <c r="DN322" i="6"/>
  <c r="CF317" i="6"/>
  <c r="CL317" i="6"/>
  <c r="CK317" i="6"/>
  <c r="CQ317" i="6"/>
  <c r="DE319" i="6"/>
  <c r="CT319" i="6"/>
  <c r="CY319" i="6"/>
  <c r="CZ319" i="6"/>
  <c r="AA3274" i="5"/>
  <c r="Y3274" i="5"/>
  <c r="Z3274" i="5"/>
  <c r="DA321" i="6"/>
  <c r="DG321" i="6"/>
  <c r="DF321" i="6"/>
  <c r="DL321" i="6"/>
  <c r="AA4264" i="5"/>
  <c r="Y4264" i="5"/>
  <c r="Z4264" i="5"/>
  <c r="AA3275" i="5"/>
  <c r="Z3275" i="5"/>
  <c r="Y3275" i="5"/>
  <c r="AA305" i="5"/>
  <c r="Y305" i="5"/>
  <c r="Z305" i="5"/>
  <c r="AA1789" i="5"/>
  <c r="Y1789" i="5"/>
  <c r="Z1789" i="5"/>
  <c r="AN311" i="6"/>
  <c r="AT311" i="6"/>
  <c r="AO311" i="6"/>
  <c r="AA4265" i="5"/>
  <c r="Y4265" i="5"/>
  <c r="Z4265" i="5"/>
  <c r="BW315" i="6"/>
  <c r="BR315" i="6"/>
  <c r="CC315" i="6"/>
  <c r="BX315" i="6"/>
  <c r="BD314" i="6"/>
  <c r="BJ314" i="6"/>
  <c r="BI314" i="6"/>
  <c r="BO314" i="6"/>
  <c r="AA1790" i="5"/>
  <c r="Z1790" i="5"/>
  <c r="Y1790" i="5"/>
  <c r="BB312" i="6"/>
  <c r="AW312" i="6"/>
  <c r="BC312" i="6"/>
  <c r="BH312" i="6"/>
  <c r="Y6245" i="5"/>
  <c r="Z6245" i="5"/>
  <c r="EF325" i="6"/>
  <c r="DX323" i="6"/>
  <c r="AA6246" i="5" s="1"/>
  <c r="EG324" i="6"/>
  <c r="EH324" i="6" s="1"/>
  <c r="AA324" i="6" s="1"/>
  <c r="BK315" i="6" l="1"/>
  <c r="BP315" i="6"/>
  <c r="BV315" i="6"/>
  <c r="BQ315" i="6"/>
  <c r="AA5256" i="5"/>
  <c r="Y5256" i="5"/>
  <c r="Z5256" i="5"/>
  <c r="DH323" i="6"/>
  <c r="DS323" i="6"/>
  <c r="DM323" i="6"/>
  <c r="DN323" i="6"/>
  <c r="BA313" i="6"/>
  <c r="AP313" i="6"/>
  <c r="AV313" i="6"/>
  <c r="AU313" i="6"/>
  <c r="BV316" i="6"/>
  <c r="BP316" i="6"/>
  <c r="BK316" i="6"/>
  <c r="BQ316" i="6"/>
  <c r="Z4761" i="5"/>
  <c r="Y4761" i="5"/>
  <c r="AA4761" i="5"/>
  <c r="BY318" i="6"/>
  <c r="CD318" i="6"/>
  <c r="CJ318" i="6"/>
  <c r="CE318" i="6"/>
  <c r="BB314" i="6"/>
  <c r="AW314" i="6"/>
  <c r="BC314" i="6"/>
  <c r="BH314" i="6"/>
  <c r="DA322" i="6"/>
  <c r="DL322" i="6"/>
  <c r="DF322" i="6"/>
  <c r="DG322" i="6"/>
  <c r="Y1295" i="5"/>
  <c r="AA1295" i="5"/>
  <c r="Z1295" i="5"/>
  <c r="BA312" i="6"/>
  <c r="AP312" i="6"/>
  <c r="AU312" i="6"/>
  <c r="AV312" i="6"/>
  <c r="CR319" i="6"/>
  <c r="CM319" i="6"/>
  <c r="CS319" i="6"/>
  <c r="CX319" i="6"/>
  <c r="AA1791" i="5"/>
  <c r="Z1791" i="5"/>
  <c r="Y1791" i="5"/>
  <c r="AA306" i="5"/>
  <c r="Y306" i="5"/>
  <c r="Z306" i="5"/>
  <c r="AA4760" i="5"/>
  <c r="Y4760" i="5"/>
  <c r="Z4760" i="5"/>
  <c r="CE317" i="6"/>
  <c r="BY317" i="6"/>
  <c r="CJ317" i="6"/>
  <c r="CD317" i="6"/>
  <c r="AA5751" i="5"/>
  <c r="Y5751" i="5"/>
  <c r="Z5751" i="5"/>
  <c r="AA1296" i="5"/>
  <c r="Y1296" i="5"/>
  <c r="Z1296" i="5"/>
  <c r="AA2781" i="5"/>
  <c r="Y2781" i="5"/>
  <c r="Z2781" i="5"/>
  <c r="AA2780" i="5"/>
  <c r="Y2780" i="5"/>
  <c r="Z2780" i="5"/>
  <c r="DE321" i="6"/>
  <c r="CT321" i="6"/>
  <c r="CY321" i="6"/>
  <c r="CZ321" i="6"/>
  <c r="AA3770" i="5"/>
  <c r="Y3770" i="5"/>
  <c r="Z3770" i="5"/>
  <c r="CR320" i="6"/>
  <c r="CS320" i="6"/>
  <c r="CM320" i="6"/>
  <c r="CX320" i="6"/>
  <c r="AA3771" i="5"/>
  <c r="Y3771" i="5"/>
  <c r="Z3771" i="5"/>
  <c r="Y6246" i="5"/>
  <c r="Z6246" i="5"/>
  <c r="EF326" i="6"/>
  <c r="EG326" i="6"/>
  <c r="EH326" i="6" s="1"/>
  <c r="AA326" i="6" s="1"/>
  <c r="F324" i="6"/>
  <c r="T324" i="6"/>
  <c r="N324" i="6"/>
  <c r="P324" i="6"/>
  <c r="J324" i="6"/>
  <c r="X324" i="6"/>
  <c r="L324" i="6"/>
  <c r="H324" i="6"/>
  <c r="V324" i="6"/>
  <c r="R324" i="6"/>
  <c r="D324" i="6"/>
  <c r="AI324" i="6"/>
  <c r="AK324" i="6"/>
  <c r="AM324" i="6"/>
  <c r="Z324" i="6"/>
  <c r="AB324" i="6"/>
  <c r="DT324" i="6" s="1"/>
  <c r="EG325" i="6"/>
  <c r="EH325" i="6" s="1"/>
  <c r="AA325" i="6" s="1"/>
  <c r="CF320" i="6" l="1"/>
  <c r="CK320" i="6"/>
  <c r="CQ320" i="6"/>
  <c r="CL320" i="6"/>
  <c r="CR321" i="6"/>
  <c r="CS321" i="6"/>
  <c r="CM321" i="6"/>
  <c r="CX321" i="6"/>
  <c r="BW317" i="6"/>
  <c r="BR317" i="6"/>
  <c r="BX317" i="6"/>
  <c r="CC317" i="6"/>
  <c r="AA5257" i="5"/>
  <c r="Y5257" i="5"/>
  <c r="Z5257" i="5"/>
  <c r="BA314" i="6"/>
  <c r="AP314" i="6"/>
  <c r="AV314" i="6"/>
  <c r="AU314" i="6"/>
  <c r="Y2287" i="5"/>
  <c r="AA2287" i="5"/>
  <c r="Z2287" i="5"/>
  <c r="Y802" i="5"/>
  <c r="Z802" i="5"/>
  <c r="AA802" i="5"/>
  <c r="DA323" i="6"/>
  <c r="DL323" i="6"/>
  <c r="DG323" i="6"/>
  <c r="DF323" i="6"/>
  <c r="DO324" i="6"/>
  <c r="DY324" i="6"/>
  <c r="CF319" i="6"/>
  <c r="CL319" i="6"/>
  <c r="CK319" i="6"/>
  <c r="CQ319" i="6"/>
  <c r="DE322" i="6"/>
  <c r="CT322" i="6"/>
  <c r="CY322" i="6"/>
  <c r="CZ322" i="6"/>
  <c r="BR318" i="6"/>
  <c r="BX318" i="6"/>
  <c r="CC318" i="6"/>
  <c r="BW318" i="6"/>
  <c r="AA2286" i="5"/>
  <c r="Z2286" i="5"/>
  <c r="Y2286" i="5"/>
  <c r="AA4762" i="5"/>
  <c r="Y4762" i="5"/>
  <c r="Z4762" i="5"/>
  <c r="AO312" i="6"/>
  <c r="AN312" i="6"/>
  <c r="AT312" i="6"/>
  <c r="AA801" i="5"/>
  <c r="Y801" i="5"/>
  <c r="Z801" i="5"/>
  <c r="Y1297" i="5"/>
  <c r="AA1297" i="5"/>
  <c r="Z1297" i="5"/>
  <c r="BD316" i="6"/>
  <c r="BJ316" i="6"/>
  <c r="BI316" i="6"/>
  <c r="BO316" i="6"/>
  <c r="AA4267" i="5"/>
  <c r="Y4267" i="5"/>
  <c r="Z4267" i="5"/>
  <c r="AA3276" i="5"/>
  <c r="Y3276" i="5"/>
  <c r="Z3276" i="5"/>
  <c r="Z4266" i="5"/>
  <c r="Y4266" i="5"/>
  <c r="AA4266" i="5"/>
  <c r="AA3277" i="5"/>
  <c r="Y3277" i="5"/>
  <c r="Z3277" i="5"/>
  <c r="AN313" i="6"/>
  <c r="AO313" i="6"/>
  <c r="AT313" i="6"/>
  <c r="AA5752" i="5"/>
  <c r="Y5752" i="5"/>
  <c r="Z5752" i="5"/>
  <c r="BD315" i="6"/>
  <c r="BJ315" i="6"/>
  <c r="BO315" i="6"/>
  <c r="BI315" i="6"/>
  <c r="V326" i="6"/>
  <c r="N326" i="6"/>
  <c r="H326" i="6"/>
  <c r="X326" i="6"/>
  <c r="P326" i="6"/>
  <c r="L326" i="6"/>
  <c r="Z326" i="6"/>
  <c r="T326" i="6"/>
  <c r="J326" i="6"/>
  <c r="R326" i="6"/>
  <c r="D326" i="6"/>
  <c r="AB326" i="6"/>
  <c r="DT326" i="6" s="1"/>
  <c r="F326" i="6"/>
  <c r="AI326" i="6"/>
  <c r="AM326" i="6"/>
  <c r="AK326" i="6"/>
  <c r="EF327" i="6"/>
  <c r="DX324" i="6"/>
  <c r="AA6247" i="5" s="1"/>
  <c r="F325" i="6"/>
  <c r="Z325" i="6"/>
  <c r="T325" i="6"/>
  <c r="L325" i="6"/>
  <c r="AI325" i="6"/>
  <c r="AM325" i="6"/>
  <c r="AK325" i="6"/>
  <c r="R325" i="6"/>
  <c r="J325" i="6"/>
  <c r="X325" i="6"/>
  <c r="P325" i="6"/>
  <c r="D325" i="6"/>
  <c r="V325" i="6"/>
  <c r="N325" i="6"/>
  <c r="H325" i="6"/>
  <c r="AB325" i="6"/>
  <c r="DT325" i="6" s="1"/>
  <c r="BB315" i="6" l="1"/>
  <c r="AW315" i="6"/>
  <c r="BH315" i="6"/>
  <c r="BC315" i="6"/>
  <c r="DO326" i="6"/>
  <c r="DY326" i="6"/>
  <c r="AA307" i="5"/>
  <c r="Z307" i="5"/>
  <c r="Y307" i="5"/>
  <c r="BV318" i="6"/>
  <c r="BQ318" i="6"/>
  <c r="BK318" i="6"/>
  <c r="BP318" i="6"/>
  <c r="AA4763" i="5"/>
  <c r="Y4763" i="5"/>
  <c r="Z4763" i="5"/>
  <c r="CE319" i="6"/>
  <c r="BY319" i="6"/>
  <c r="CD319" i="6"/>
  <c r="CJ319" i="6"/>
  <c r="AA803" i="5"/>
  <c r="Y803" i="5"/>
  <c r="Z803" i="5"/>
  <c r="AA2782" i="5"/>
  <c r="Y2782" i="5"/>
  <c r="Z2782" i="5"/>
  <c r="AA4268" i="5"/>
  <c r="Z4268" i="5"/>
  <c r="Y4268" i="5"/>
  <c r="DO325" i="6"/>
  <c r="DY325" i="6"/>
  <c r="AA1792" i="5"/>
  <c r="Z1792" i="5"/>
  <c r="Y1792" i="5"/>
  <c r="BB316" i="6"/>
  <c r="AW316" i="6"/>
  <c r="BC316" i="6"/>
  <c r="BH316" i="6"/>
  <c r="AA3772" i="5"/>
  <c r="Y3772" i="5"/>
  <c r="Z3772" i="5"/>
  <c r="AA5258" i="5"/>
  <c r="Z5258" i="5"/>
  <c r="Y5258" i="5"/>
  <c r="CF321" i="6"/>
  <c r="CK321" i="6"/>
  <c r="CQ321" i="6"/>
  <c r="CL321" i="6"/>
  <c r="AA3773" i="5"/>
  <c r="Z3773" i="5"/>
  <c r="Y3773" i="5"/>
  <c r="AA1793" i="5"/>
  <c r="Y1793" i="5"/>
  <c r="Z1793" i="5"/>
  <c r="AA2783" i="5"/>
  <c r="Y2783" i="5"/>
  <c r="Z2783" i="5"/>
  <c r="DS324" i="6"/>
  <c r="DH324" i="6"/>
  <c r="DM324" i="6"/>
  <c r="DN324" i="6"/>
  <c r="DE323" i="6"/>
  <c r="CT323" i="6"/>
  <c r="CY323" i="6"/>
  <c r="CZ323" i="6"/>
  <c r="BV317" i="6"/>
  <c r="BQ317" i="6"/>
  <c r="BP317" i="6"/>
  <c r="BK317" i="6"/>
  <c r="AA308" i="5"/>
  <c r="Y308" i="5"/>
  <c r="Z308" i="5"/>
  <c r="CM322" i="6"/>
  <c r="CX322" i="6"/>
  <c r="CR322" i="6"/>
  <c r="CS322" i="6"/>
  <c r="AO314" i="6"/>
  <c r="AN314" i="6"/>
  <c r="AT314" i="6"/>
  <c r="BY320" i="6"/>
  <c r="CD320" i="6"/>
  <c r="CJ320" i="6"/>
  <c r="CE320" i="6"/>
  <c r="Y6247" i="5"/>
  <c r="Z6247" i="5"/>
  <c r="DX325" i="6"/>
  <c r="AA6248" i="5" s="1"/>
  <c r="EF328" i="6"/>
  <c r="EG328" i="6"/>
  <c r="EH328" i="6" s="1"/>
  <c r="AA328" i="6" s="1"/>
  <c r="DX326" i="6"/>
  <c r="AA6249" i="5" s="1"/>
  <c r="EG327" i="6"/>
  <c r="EH327" i="6" s="1"/>
  <c r="AA327" i="6" s="1"/>
  <c r="BR320" i="6" l="1"/>
  <c r="BX320" i="6"/>
  <c r="CC320" i="6"/>
  <c r="BW320" i="6"/>
  <c r="BA316" i="6"/>
  <c r="AP316" i="6"/>
  <c r="AU316" i="6"/>
  <c r="AV316" i="6"/>
  <c r="AA3278" i="5"/>
  <c r="Y3278" i="5"/>
  <c r="Z3278" i="5"/>
  <c r="BD318" i="6"/>
  <c r="BI318" i="6"/>
  <c r="BO318" i="6"/>
  <c r="BJ318" i="6"/>
  <c r="CF322" i="6"/>
  <c r="CL322" i="6"/>
  <c r="CK322" i="6"/>
  <c r="CQ322" i="6"/>
  <c r="AA309" i="5"/>
  <c r="Z309" i="5"/>
  <c r="Y309" i="5"/>
  <c r="CR323" i="6"/>
  <c r="CM323" i="6"/>
  <c r="CS323" i="6"/>
  <c r="CX323" i="6"/>
  <c r="DA324" i="6"/>
  <c r="DL324" i="6"/>
  <c r="DF324" i="6"/>
  <c r="DG324" i="6"/>
  <c r="AA3774" i="5"/>
  <c r="Y3774" i="5"/>
  <c r="Z3774" i="5"/>
  <c r="AA1298" i="5"/>
  <c r="Z1298" i="5"/>
  <c r="Y1298" i="5"/>
  <c r="AA3279" i="5"/>
  <c r="Y3279" i="5"/>
  <c r="Z3279" i="5"/>
  <c r="AA4269" i="5"/>
  <c r="Y4269" i="5"/>
  <c r="Z4269" i="5"/>
  <c r="AA2288" i="5"/>
  <c r="Z2288" i="5"/>
  <c r="Y2288" i="5"/>
  <c r="AA4764" i="5"/>
  <c r="Y4764" i="5"/>
  <c r="Z4764" i="5"/>
  <c r="Y5753" i="5"/>
  <c r="AA5753" i="5"/>
  <c r="Z5753" i="5"/>
  <c r="Y1299" i="5"/>
  <c r="AA1299" i="5"/>
  <c r="Z1299" i="5"/>
  <c r="DH325" i="6"/>
  <c r="DN325" i="6"/>
  <c r="DS325" i="6"/>
  <c r="DM325" i="6"/>
  <c r="BW319" i="6"/>
  <c r="BR319" i="6"/>
  <c r="CC319" i="6"/>
  <c r="BX319" i="6"/>
  <c r="AA2289" i="5"/>
  <c r="Y2289" i="5"/>
  <c r="Z2289" i="5"/>
  <c r="BA315" i="6"/>
  <c r="AP315" i="6"/>
  <c r="AU315" i="6"/>
  <c r="AV315" i="6"/>
  <c r="BD317" i="6"/>
  <c r="BO317" i="6"/>
  <c r="BJ317" i="6"/>
  <c r="BI317" i="6"/>
  <c r="CE321" i="6"/>
  <c r="BY321" i="6"/>
  <c r="CJ321" i="6"/>
  <c r="CD321" i="6"/>
  <c r="DS326" i="6"/>
  <c r="DH326" i="6"/>
  <c r="DN326" i="6"/>
  <c r="DM326" i="6"/>
  <c r="Y6248" i="5"/>
  <c r="Z6248" i="5"/>
  <c r="Y6249" i="5"/>
  <c r="Z6249" i="5"/>
  <c r="Z327" i="6"/>
  <c r="V327" i="6"/>
  <c r="L327" i="6"/>
  <c r="T327" i="6"/>
  <c r="J327" i="6"/>
  <c r="R327" i="6"/>
  <c r="N327" i="6"/>
  <c r="F327" i="6"/>
  <c r="X327" i="6"/>
  <c r="P327" i="6"/>
  <c r="H327" i="6"/>
  <c r="D327" i="6"/>
  <c r="AI327" i="6"/>
  <c r="AM327" i="6"/>
  <c r="AK327" i="6"/>
  <c r="AB327" i="6"/>
  <c r="DT327" i="6" s="1"/>
  <c r="EF329" i="6"/>
  <c r="F328" i="6"/>
  <c r="X328" i="6"/>
  <c r="P328" i="6"/>
  <c r="H328" i="6"/>
  <c r="V328" i="6"/>
  <c r="L328" i="6"/>
  <c r="D328" i="6"/>
  <c r="T328" i="6"/>
  <c r="N328" i="6"/>
  <c r="R328" i="6"/>
  <c r="J328" i="6"/>
  <c r="AB328" i="6"/>
  <c r="DT328" i="6" s="1"/>
  <c r="AM328" i="6"/>
  <c r="Z328" i="6"/>
  <c r="AI328" i="6"/>
  <c r="AK328" i="6"/>
  <c r="AA3280" i="5" l="1"/>
  <c r="Z3280" i="5"/>
  <c r="Y3280" i="5"/>
  <c r="BK319" i="6"/>
  <c r="BV319" i="6"/>
  <c r="BQ319" i="6"/>
  <c r="BP319" i="6"/>
  <c r="AA5259" i="5"/>
  <c r="Y5259" i="5"/>
  <c r="Z5259" i="5"/>
  <c r="CF323" i="6"/>
  <c r="CK323" i="6"/>
  <c r="CQ323" i="6"/>
  <c r="CL323" i="6"/>
  <c r="BY322" i="6"/>
  <c r="CD322" i="6"/>
  <c r="CJ322" i="6"/>
  <c r="CE322" i="6"/>
  <c r="BB318" i="6"/>
  <c r="AW318" i="6"/>
  <c r="BC318" i="6"/>
  <c r="BH318" i="6"/>
  <c r="DA326" i="6"/>
  <c r="DF326" i="6"/>
  <c r="DL326" i="6"/>
  <c r="DG326" i="6"/>
  <c r="AT315" i="6"/>
  <c r="AO315" i="6"/>
  <c r="AN315" i="6"/>
  <c r="DA325" i="6"/>
  <c r="DL325" i="6"/>
  <c r="DF325" i="6"/>
  <c r="DG325" i="6"/>
  <c r="DE324" i="6"/>
  <c r="CT324" i="6"/>
  <c r="CZ324" i="6"/>
  <c r="CY324" i="6"/>
  <c r="AA3775" i="5"/>
  <c r="Y3775" i="5"/>
  <c r="Z3775" i="5"/>
  <c r="AA2785" i="5"/>
  <c r="Y2785" i="5"/>
  <c r="Z2785" i="5"/>
  <c r="CC321" i="6"/>
  <c r="BR321" i="6"/>
  <c r="BX321" i="6"/>
  <c r="BW321" i="6"/>
  <c r="AA1794" i="5"/>
  <c r="Y1794" i="5"/>
  <c r="Z1794" i="5"/>
  <c r="DO328" i="6"/>
  <c r="DY328" i="6"/>
  <c r="AA5755" i="5"/>
  <c r="Y5755" i="5"/>
  <c r="Z5755" i="5"/>
  <c r="AW317" i="6"/>
  <c r="BC317" i="6"/>
  <c r="BB317" i="6"/>
  <c r="BH317" i="6"/>
  <c r="AA804" i="5"/>
  <c r="Z804" i="5"/>
  <c r="Y804" i="5"/>
  <c r="Y4270" i="5"/>
  <c r="AA4270" i="5"/>
  <c r="Z4270" i="5"/>
  <c r="AA1795" i="5"/>
  <c r="Y1795" i="5"/>
  <c r="Z1795" i="5"/>
  <c r="AT316" i="6"/>
  <c r="AO316" i="6"/>
  <c r="AN316" i="6"/>
  <c r="DO327" i="6"/>
  <c r="DY327" i="6"/>
  <c r="AA2784" i="5"/>
  <c r="Z2784" i="5"/>
  <c r="Y2784" i="5"/>
  <c r="AA5754" i="5"/>
  <c r="Z5754" i="5"/>
  <c r="Y5754" i="5"/>
  <c r="Y805" i="5"/>
  <c r="AA805" i="5"/>
  <c r="Z805" i="5"/>
  <c r="BV320" i="6"/>
  <c r="BK320" i="6"/>
  <c r="BP320" i="6"/>
  <c r="BQ320" i="6"/>
  <c r="EF330" i="6"/>
  <c r="EG329" i="6"/>
  <c r="EH329" i="6" s="1"/>
  <c r="AA329" i="6" s="1"/>
  <c r="DX328" i="6"/>
  <c r="AA6251" i="5" s="1"/>
  <c r="DX327" i="6"/>
  <c r="AA6250" i="5" s="1"/>
  <c r="BD320" i="6" l="1"/>
  <c r="BI320" i="6"/>
  <c r="BO320" i="6"/>
  <c r="BJ320" i="6"/>
  <c r="DH327" i="6"/>
  <c r="DS327" i="6"/>
  <c r="DM327" i="6"/>
  <c r="DN327" i="6"/>
  <c r="BA317" i="6"/>
  <c r="AP317" i="6"/>
  <c r="AV317" i="6"/>
  <c r="AU317" i="6"/>
  <c r="AA2786" i="5"/>
  <c r="Y2786" i="5"/>
  <c r="Z2786" i="5"/>
  <c r="BA318" i="6"/>
  <c r="AP318" i="6"/>
  <c r="AV318" i="6"/>
  <c r="AU318" i="6"/>
  <c r="BD319" i="6"/>
  <c r="BI319" i="6"/>
  <c r="BO319" i="6"/>
  <c r="BJ319" i="6"/>
  <c r="DH328" i="6"/>
  <c r="DN328" i="6"/>
  <c r="DM328" i="6"/>
  <c r="DS328" i="6"/>
  <c r="DE326" i="6"/>
  <c r="CT326" i="6"/>
  <c r="CY326" i="6"/>
  <c r="CZ326" i="6"/>
  <c r="CE323" i="6"/>
  <c r="BY323" i="6"/>
  <c r="CD323" i="6"/>
  <c r="CJ323" i="6"/>
  <c r="AA1300" i="5"/>
  <c r="Y1300" i="5"/>
  <c r="Z1300" i="5"/>
  <c r="CR324" i="6"/>
  <c r="CS324" i="6"/>
  <c r="CM324" i="6"/>
  <c r="CX324" i="6"/>
  <c r="AA5260" i="5"/>
  <c r="Y5260" i="5"/>
  <c r="Z5260" i="5"/>
  <c r="AA310" i="5"/>
  <c r="Z310" i="5"/>
  <c r="Y310" i="5"/>
  <c r="BR322" i="6"/>
  <c r="BW322" i="6"/>
  <c r="CC322" i="6"/>
  <c r="BX322" i="6"/>
  <c r="Z4765" i="5"/>
  <c r="Y4765" i="5"/>
  <c r="AA4765" i="5"/>
  <c r="DE325" i="6"/>
  <c r="CT325" i="6"/>
  <c r="CZ325" i="6"/>
  <c r="CY325" i="6"/>
  <c r="AA1301" i="5"/>
  <c r="Z1301" i="5"/>
  <c r="Y1301" i="5"/>
  <c r="Y2291" i="5"/>
  <c r="AA2291" i="5"/>
  <c r="Z2291" i="5"/>
  <c r="AA311" i="5"/>
  <c r="Y311" i="5"/>
  <c r="Z311" i="5"/>
  <c r="BV321" i="6"/>
  <c r="BP321" i="6"/>
  <c r="BK321" i="6"/>
  <c r="BQ321" i="6"/>
  <c r="AA5261" i="5"/>
  <c r="Y5261" i="5"/>
  <c r="Z5261" i="5"/>
  <c r="AA3281" i="5"/>
  <c r="Y3281" i="5"/>
  <c r="Z3281" i="5"/>
  <c r="AA3776" i="5"/>
  <c r="Z3776" i="5"/>
  <c r="Y3776" i="5"/>
  <c r="AA2290" i="5"/>
  <c r="Y2290" i="5"/>
  <c r="Z2290" i="5"/>
  <c r="Y6250" i="5"/>
  <c r="Z6250" i="5"/>
  <c r="Y6251" i="5"/>
  <c r="Z6251" i="5"/>
  <c r="F329" i="6"/>
  <c r="Z329" i="6"/>
  <c r="AB329" i="6"/>
  <c r="DT329" i="6" s="1"/>
  <c r="P329" i="6"/>
  <c r="J329" i="6"/>
  <c r="AI329" i="6"/>
  <c r="AM329" i="6"/>
  <c r="AK329" i="6"/>
  <c r="X329" i="6"/>
  <c r="N329" i="6"/>
  <c r="H329" i="6"/>
  <c r="V329" i="6"/>
  <c r="T329" i="6"/>
  <c r="D329" i="6"/>
  <c r="R329" i="6"/>
  <c r="L329" i="6"/>
  <c r="EG331" i="6"/>
  <c r="EH331" i="6" s="1"/>
  <c r="AA331" i="6" s="1"/>
  <c r="EF331" i="6"/>
  <c r="EG330" i="6"/>
  <c r="EH330" i="6" s="1"/>
  <c r="AA330" i="6" s="1"/>
  <c r="BV322" i="6" l="1"/>
  <c r="BK322" i="6"/>
  <c r="BQ322" i="6"/>
  <c r="BP322" i="6"/>
  <c r="CM326" i="6"/>
  <c r="CR326" i="6"/>
  <c r="CX326" i="6"/>
  <c r="CS326" i="6"/>
  <c r="AA4766" i="5"/>
  <c r="Z4766" i="5"/>
  <c r="Y4766" i="5"/>
  <c r="AA4767" i="5"/>
  <c r="Z4767" i="5"/>
  <c r="Y4767" i="5"/>
  <c r="DA328" i="6"/>
  <c r="DF328" i="6"/>
  <c r="DL328" i="6"/>
  <c r="DG328" i="6"/>
  <c r="BB319" i="6"/>
  <c r="AW319" i="6"/>
  <c r="BH319" i="6"/>
  <c r="BC319" i="6"/>
  <c r="AA807" i="5"/>
  <c r="Y807" i="5"/>
  <c r="Z807" i="5"/>
  <c r="CR325" i="6"/>
  <c r="CS325" i="6"/>
  <c r="CM325" i="6"/>
  <c r="CX325" i="6"/>
  <c r="BD321" i="6"/>
  <c r="BJ321" i="6"/>
  <c r="BI321" i="6"/>
  <c r="BO321" i="6"/>
  <c r="AA2787" i="5"/>
  <c r="Z2787" i="5"/>
  <c r="Y2787" i="5"/>
  <c r="AA3282" i="5"/>
  <c r="Y3282" i="5"/>
  <c r="Z3282" i="5"/>
  <c r="AA5757" i="5"/>
  <c r="Y5757" i="5"/>
  <c r="Z5757" i="5"/>
  <c r="AA1797" i="5"/>
  <c r="Y1797" i="5"/>
  <c r="Z1797" i="5"/>
  <c r="AA2292" i="5"/>
  <c r="Z2292" i="5"/>
  <c r="Y2292" i="5"/>
  <c r="CF324" i="6"/>
  <c r="CK324" i="6"/>
  <c r="CQ324" i="6"/>
  <c r="CL324" i="6"/>
  <c r="DY329" i="6"/>
  <c r="DO329" i="6"/>
  <c r="AA4271" i="5"/>
  <c r="Y4271" i="5"/>
  <c r="Z4271" i="5"/>
  <c r="AA1796" i="5"/>
  <c r="Y1796" i="5"/>
  <c r="Z1796" i="5"/>
  <c r="AN317" i="6"/>
  <c r="AO317" i="6"/>
  <c r="AT317" i="6"/>
  <c r="AA5756" i="5"/>
  <c r="Y5756" i="5"/>
  <c r="Z5756" i="5"/>
  <c r="CC323" i="6"/>
  <c r="BR323" i="6"/>
  <c r="BW323" i="6"/>
  <c r="BX323" i="6"/>
  <c r="AO318" i="6"/>
  <c r="AN318" i="6"/>
  <c r="AT318" i="6"/>
  <c r="Y806" i="5"/>
  <c r="AA806" i="5"/>
  <c r="Z806" i="5"/>
  <c r="DA327" i="6"/>
  <c r="DG327" i="6"/>
  <c r="DL327" i="6"/>
  <c r="DF327" i="6"/>
  <c r="BB320" i="6"/>
  <c r="AW320" i="6"/>
  <c r="BC320" i="6"/>
  <c r="BH320" i="6"/>
  <c r="DX329" i="6"/>
  <c r="AA6252" i="5" s="1"/>
  <c r="Z330" i="6"/>
  <c r="X330" i="6"/>
  <c r="N330" i="6"/>
  <c r="D330" i="6"/>
  <c r="V330" i="6"/>
  <c r="P330" i="6"/>
  <c r="T330" i="6"/>
  <c r="L330" i="6"/>
  <c r="R330" i="6"/>
  <c r="J330" i="6"/>
  <c r="H330" i="6"/>
  <c r="AB330" i="6"/>
  <c r="DT330" i="6" s="1"/>
  <c r="F330" i="6"/>
  <c r="AI330" i="6"/>
  <c r="AM330" i="6"/>
  <c r="AK330" i="6"/>
  <c r="EF332" i="6"/>
  <c r="EG332" i="6" s="1"/>
  <c r="EH332" i="6" s="1"/>
  <c r="AA332" i="6" s="1"/>
  <c r="D331" i="6"/>
  <c r="X331" i="6"/>
  <c r="P331" i="6"/>
  <c r="H331" i="6"/>
  <c r="V331" i="6"/>
  <c r="L331" i="6"/>
  <c r="F331" i="6"/>
  <c r="T331" i="6"/>
  <c r="N331" i="6"/>
  <c r="Z331" i="6"/>
  <c r="R331" i="6"/>
  <c r="J331" i="6"/>
  <c r="AI331" i="6"/>
  <c r="AM331" i="6"/>
  <c r="AK331" i="6"/>
  <c r="AB331" i="6"/>
  <c r="DT331" i="6" s="1"/>
  <c r="DE327" i="6" l="1"/>
  <c r="CT327" i="6"/>
  <c r="CY327" i="6"/>
  <c r="CZ327" i="6"/>
  <c r="Y1303" i="5"/>
  <c r="AA1303" i="5"/>
  <c r="Z1303" i="5"/>
  <c r="BK323" i="6"/>
  <c r="BQ323" i="6"/>
  <c r="BP323" i="6"/>
  <c r="BV323" i="6"/>
  <c r="CF325" i="6"/>
  <c r="CK325" i="6"/>
  <c r="CQ325" i="6"/>
  <c r="CL325" i="6"/>
  <c r="BA319" i="6"/>
  <c r="AP319" i="6"/>
  <c r="AU319" i="6"/>
  <c r="AV319" i="6"/>
  <c r="AA5262" i="5"/>
  <c r="Y5262" i="5"/>
  <c r="Z5262" i="5"/>
  <c r="AA2788" i="5"/>
  <c r="Y2788" i="5"/>
  <c r="Z2788" i="5"/>
  <c r="AA312" i="5"/>
  <c r="Y312" i="5"/>
  <c r="Z312" i="5"/>
  <c r="AA3777" i="5"/>
  <c r="Y3777" i="5"/>
  <c r="Z3777" i="5"/>
  <c r="DE328" i="6"/>
  <c r="CT328" i="6"/>
  <c r="CZ328" i="6"/>
  <c r="CY328" i="6"/>
  <c r="AA4273" i="5"/>
  <c r="Y4273" i="5"/>
  <c r="Z4273" i="5"/>
  <c r="DO331" i="6"/>
  <c r="DY331" i="6"/>
  <c r="BA320" i="6"/>
  <c r="AU320" i="6"/>
  <c r="AP320" i="6"/>
  <c r="AV320" i="6"/>
  <c r="DH329" i="6"/>
  <c r="DN329" i="6"/>
  <c r="DM329" i="6"/>
  <c r="DS329" i="6"/>
  <c r="AW321" i="6"/>
  <c r="BH321" i="6"/>
  <c r="BB321" i="6"/>
  <c r="BC321" i="6"/>
  <c r="BD322" i="6"/>
  <c r="BO322" i="6"/>
  <c r="BJ322" i="6"/>
  <c r="BI322" i="6"/>
  <c r="DO330" i="6"/>
  <c r="DY330" i="6"/>
  <c r="AA313" i="5"/>
  <c r="Z313" i="5"/>
  <c r="Y313" i="5"/>
  <c r="BY324" i="6"/>
  <c r="CJ324" i="6"/>
  <c r="CE324" i="6"/>
  <c r="CD324" i="6"/>
  <c r="AA1798" i="5"/>
  <c r="Y1798" i="5"/>
  <c r="Z1798" i="5"/>
  <c r="AA4272" i="5"/>
  <c r="Z4272" i="5"/>
  <c r="Y4272" i="5"/>
  <c r="AA1302" i="5"/>
  <c r="Y1302" i="5"/>
  <c r="Z1302" i="5"/>
  <c r="AA5263" i="5"/>
  <c r="Y5263" i="5"/>
  <c r="Z5263" i="5"/>
  <c r="CF326" i="6"/>
  <c r="CK326" i="6"/>
  <c r="CQ326" i="6"/>
  <c r="CL326" i="6"/>
  <c r="Y2293" i="5"/>
  <c r="AA2293" i="5"/>
  <c r="Z2293" i="5"/>
  <c r="Y6252" i="5"/>
  <c r="Z6252" i="5"/>
  <c r="F332" i="6"/>
  <c r="T332" i="6"/>
  <c r="N332" i="6"/>
  <c r="R332" i="6"/>
  <c r="J332" i="6"/>
  <c r="X332" i="6"/>
  <c r="P332" i="6"/>
  <c r="H332" i="6"/>
  <c r="V332" i="6"/>
  <c r="L332" i="6"/>
  <c r="D332" i="6"/>
  <c r="Z332" i="6"/>
  <c r="AB332" i="6"/>
  <c r="DT332" i="6" s="1"/>
  <c r="AK332" i="6"/>
  <c r="AI332" i="6"/>
  <c r="AM332" i="6"/>
  <c r="DX330" i="6"/>
  <c r="AA6253" i="5" s="1"/>
  <c r="DX331" i="6"/>
  <c r="AA6254" i="5" s="1"/>
  <c r="EF333" i="6"/>
  <c r="DS330" i="6" l="1"/>
  <c r="DH330" i="6"/>
  <c r="DM330" i="6"/>
  <c r="DN330" i="6"/>
  <c r="BA321" i="6"/>
  <c r="AP321" i="6"/>
  <c r="AV321" i="6"/>
  <c r="AU321" i="6"/>
  <c r="CR328" i="6"/>
  <c r="CS328" i="6"/>
  <c r="CM328" i="6"/>
  <c r="CX328" i="6"/>
  <c r="AA3779" i="5"/>
  <c r="Y3779" i="5"/>
  <c r="Z3779" i="5"/>
  <c r="AA5758" i="5"/>
  <c r="Z5758" i="5"/>
  <c r="Y5758" i="5"/>
  <c r="Y4769" i="5"/>
  <c r="AA4769" i="5"/>
  <c r="Z4769" i="5"/>
  <c r="AA808" i="5"/>
  <c r="Y808" i="5"/>
  <c r="Z808" i="5"/>
  <c r="CE325" i="6"/>
  <c r="BY325" i="6"/>
  <c r="CJ325" i="6"/>
  <c r="CD325" i="6"/>
  <c r="BD323" i="6"/>
  <c r="BJ323" i="6"/>
  <c r="BO323" i="6"/>
  <c r="BI323" i="6"/>
  <c r="AT320" i="6"/>
  <c r="AO320" i="6"/>
  <c r="AN320" i="6"/>
  <c r="DH331" i="6"/>
  <c r="DM331" i="6"/>
  <c r="DS331" i="6"/>
  <c r="DN331" i="6"/>
  <c r="AA2294" i="5"/>
  <c r="Z2294" i="5"/>
  <c r="Y2294" i="5"/>
  <c r="DO332" i="6"/>
  <c r="DY332" i="6"/>
  <c r="AA3283" i="5"/>
  <c r="Z3283" i="5"/>
  <c r="Y3283" i="5"/>
  <c r="BY326" i="6"/>
  <c r="CJ326" i="6"/>
  <c r="CE326" i="6"/>
  <c r="CD326" i="6"/>
  <c r="BW324" i="6"/>
  <c r="BR324" i="6"/>
  <c r="CC324" i="6"/>
  <c r="BX324" i="6"/>
  <c r="AA1799" i="5"/>
  <c r="Y1799" i="5"/>
  <c r="Z1799" i="5"/>
  <c r="AA1304" i="5"/>
  <c r="Z1304" i="5"/>
  <c r="Y1304" i="5"/>
  <c r="AA3778" i="5"/>
  <c r="Y3778" i="5"/>
  <c r="Z3778" i="5"/>
  <c r="CR327" i="6"/>
  <c r="CM327" i="6"/>
  <c r="CS327" i="6"/>
  <c r="CX327" i="6"/>
  <c r="BB322" i="6"/>
  <c r="AW322" i="6"/>
  <c r="BC322" i="6"/>
  <c r="BH322" i="6"/>
  <c r="DA329" i="6"/>
  <c r="DF329" i="6"/>
  <c r="DL329" i="6"/>
  <c r="DG329" i="6"/>
  <c r="AA809" i="5"/>
  <c r="Y809" i="5"/>
  <c r="Z809" i="5"/>
  <c r="AN319" i="6"/>
  <c r="AT319" i="6"/>
  <c r="AO319" i="6"/>
  <c r="AA4768" i="5"/>
  <c r="Y4768" i="5"/>
  <c r="Z4768" i="5"/>
  <c r="Y6253" i="5"/>
  <c r="Z6253" i="5"/>
  <c r="Y6254" i="5"/>
  <c r="Z6254" i="5"/>
  <c r="EF334" i="6"/>
  <c r="EG334" i="6" s="1"/>
  <c r="EH334" i="6" s="1"/>
  <c r="AA334" i="6" s="1"/>
  <c r="EG333" i="6"/>
  <c r="EH333" i="6" s="1"/>
  <c r="AA333" i="6" s="1"/>
  <c r="DX332" i="6"/>
  <c r="AA6255" i="5" s="1"/>
  <c r="DE329" i="6" l="1"/>
  <c r="CT329" i="6"/>
  <c r="CZ329" i="6"/>
  <c r="CY329" i="6"/>
  <c r="AA3285" i="5"/>
  <c r="Y3285" i="5"/>
  <c r="Z3285" i="5"/>
  <c r="Y1305" i="5"/>
  <c r="AA1305" i="5"/>
  <c r="Z1305" i="5"/>
  <c r="AA4274" i="5"/>
  <c r="Y4274" i="5"/>
  <c r="Z4274" i="5"/>
  <c r="BR326" i="6"/>
  <c r="BW326" i="6"/>
  <c r="CC326" i="6"/>
  <c r="BX326" i="6"/>
  <c r="DA331" i="6"/>
  <c r="DL331" i="6"/>
  <c r="DG331" i="6"/>
  <c r="DF331" i="6"/>
  <c r="AA4275" i="5"/>
  <c r="Y4275" i="5"/>
  <c r="Z4275" i="5"/>
  <c r="AA5264" i="5"/>
  <c r="Z5264" i="5"/>
  <c r="Y5264" i="5"/>
  <c r="DS332" i="6"/>
  <c r="DH332" i="6"/>
  <c r="DM332" i="6"/>
  <c r="DN332" i="6"/>
  <c r="AA1800" i="5"/>
  <c r="Y1800" i="5"/>
  <c r="Z1800" i="5"/>
  <c r="AA3284" i="5"/>
  <c r="Z3284" i="5"/>
  <c r="Y3284" i="5"/>
  <c r="CF328" i="6"/>
  <c r="CQ328" i="6"/>
  <c r="CL328" i="6"/>
  <c r="CK328" i="6"/>
  <c r="BA322" i="6"/>
  <c r="AP322" i="6"/>
  <c r="AV322" i="6"/>
  <c r="AU322" i="6"/>
  <c r="CF327" i="6"/>
  <c r="CK327" i="6"/>
  <c r="CQ327" i="6"/>
  <c r="CL327" i="6"/>
  <c r="AA2789" i="5"/>
  <c r="Y2789" i="5"/>
  <c r="Z2789" i="5"/>
  <c r="AA5760" i="5"/>
  <c r="Y5760" i="5"/>
  <c r="Z5760" i="5"/>
  <c r="CC325" i="6"/>
  <c r="BR325" i="6"/>
  <c r="BX325" i="6"/>
  <c r="BW325" i="6"/>
  <c r="AN321" i="6"/>
  <c r="AT321" i="6"/>
  <c r="AO321" i="6"/>
  <c r="DA330" i="6"/>
  <c r="DL330" i="6"/>
  <c r="DF330" i="6"/>
  <c r="DG330" i="6"/>
  <c r="AA314" i="5"/>
  <c r="Z314" i="5"/>
  <c r="Y314" i="5"/>
  <c r="BV324" i="6"/>
  <c r="BK324" i="6"/>
  <c r="BP324" i="6"/>
  <c r="BQ324" i="6"/>
  <c r="AA315" i="5"/>
  <c r="Z315" i="5"/>
  <c r="Y315" i="5"/>
  <c r="BB323" i="6"/>
  <c r="AW323" i="6"/>
  <c r="BC323" i="6"/>
  <c r="BH323" i="6"/>
  <c r="Y810" i="5"/>
  <c r="AA810" i="5"/>
  <c r="Z810" i="5"/>
  <c r="Y5759" i="5"/>
  <c r="Z5759" i="5"/>
  <c r="AA5759" i="5"/>
  <c r="Y6255" i="5"/>
  <c r="Z6255" i="5"/>
  <c r="T334" i="6"/>
  <c r="J334" i="6"/>
  <c r="R334" i="6"/>
  <c r="D334" i="6"/>
  <c r="X334" i="6"/>
  <c r="N334" i="6"/>
  <c r="L334" i="6"/>
  <c r="V334" i="6"/>
  <c r="P334" i="6"/>
  <c r="H334" i="6"/>
  <c r="Z334" i="6"/>
  <c r="F334" i="6"/>
  <c r="AB334" i="6"/>
  <c r="DT334" i="6" s="1"/>
  <c r="AI334" i="6"/>
  <c r="AM334" i="6"/>
  <c r="AK334" i="6"/>
  <c r="F333" i="6"/>
  <c r="J333" i="6"/>
  <c r="Z333" i="6"/>
  <c r="X333" i="6"/>
  <c r="P333" i="6"/>
  <c r="H333" i="6"/>
  <c r="AI333" i="6"/>
  <c r="AM333" i="6"/>
  <c r="AK333" i="6"/>
  <c r="V333" i="6"/>
  <c r="N333" i="6"/>
  <c r="T333" i="6"/>
  <c r="L333" i="6"/>
  <c r="AB333" i="6"/>
  <c r="DT333" i="6" s="1"/>
  <c r="R333" i="6"/>
  <c r="D333" i="6"/>
  <c r="EF335" i="6"/>
  <c r="DO333" i="6" l="1"/>
  <c r="DY333" i="6"/>
  <c r="AA316" i="5"/>
  <c r="Z316" i="5"/>
  <c r="Y316" i="5"/>
  <c r="AA1306" i="5"/>
  <c r="Y1306" i="5"/>
  <c r="Z1306" i="5"/>
  <c r="AA5265" i="5"/>
  <c r="Y5265" i="5"/>
  <c r="Z5265" i="5"/>
  <c r="AA2790" i="5"/>
  <c r="Y2790" i="5"/>
  <c r="Z2790" i="5"/>
  <c r="AA3780" i="5"/>
  <c r="Y3780" i="5"/>
  <c r="Z3780" i="5"/>
  <c r="Y5761" i="5"/>
  <c r="AA5761" i="5"/>
  <c r="Z5761" i="5"/>
  <c r="AA2791" i="5"/>
  <c r="Y2791" i="5"/>
  <c r="Z2791" i="5"/>
  <c r="BD324" i="6"/>
  <c r="BO324" i="6"/>
  <c r="BJ324" i="6"/>
  <c r="BI324" i="6"/>
  <c r="DE330" i="6"/>
  <c r="CT330" i="6"/>
  <c r="CY330" i="6"/>
  <c r="CZ330" i="6"/>
  <c r="AT322" i="6"/>
  <c r="AO322" i="6"/>
  <c r="AN322" i="6"/>
  <c r="AA3781" i="5"/>
  <c r="Y3781" i="5"/>
  <c r="Z3781" i="5"/>
  <c r="AA5266" i="5"/>
  <c r="Y5266" i="5"/>
  <c r="Z5266" i="5"/>
  <c r="CE327" i="6"/>
  <c r="BY327" i="6"/>
  <c r="CD327" i="6"/>
  <c r="CJ327" i="6"/>
  <c r="AA811" i="5"/>
  <c r="Y811" i="5"/>
  <c r="Z811" i="5"/>
  <c r="BY328" i="6"/>
  <c r="CE328" i="6"/>
  <c r="CD328" i="6"/>
  <c r="CJ328" i="6"/>
  <c r="DE331" i="6"/>
  <c r="CT331" i="6"/>
  <c r="CY331" i="6"/>
  <c r="CZ331" i="6"/>
  <c r="BV326" i="6"/>
  <c r="BK326" i="6"/>
  <c r="BQ326" i="6"/>
  <c r="BP326" i="6"/>
  <c r="CR329" i="6"/>
  <c r="CS329" i="6"/>
  <c r="CM329" i="6"/>
  <c r="CX329" i="6"/>
  <c r="BA323" i="6"/>
  <c r="AP323" i="6"/>
  <c r="AU323" i="6"/>
  <c r="AV323" i="6"/>
  <c r="AA2295" i="5"/>
  <c r="Y2295" i="5"/>
  <c r="Z2295" i="5"/>
  <c r="DO334" i="6"/>
  <c r="DY334" i="6"/>
  <c r="BV325" i="6"/>
  <c r="BQ325" i="6"/>
  <c r="BP325" i="6"/>
  <c r="BK325" i="6"/>
  <c r="DA332" i="6"/>
  <c r="DL332" i="6"/>
  <c r="DG332" i="6"/>
  <c r="DF332" i="6"/>
  <c r="AA4770" i="5"/>
  <c r="Y4770" i="5"/>
  <c r="Z4770" i="5"/>
  <c r="EF336" i="6"/>
  <c r="EG336" i="6" s="1"/>
  <c r="EH336" i="6" s="1"/>
  <c r="AA336" i="6" s="1"/>
  <c r="DX333" i="6"/>
  <c r="AA6256" i="5" s="1"/>
  <c r="EG335" i="6"/>
  <c r="EH335" i="6" s="1"/>
  <c r="AA335" i="6" s="1"/>
  <c r="DX334" i="6"/>
  <c r="AA6257" i="5" s="1"/>
  <c r="BD326" i="6" l="1"/>
  <c r="BO326" i="6"/>
  <c r="BJ326" i="6"/>
  <c r="BI326" i="6"/>
  <c r="BD325" i="6"/>
  <c r="BI325" i="6"/>
  <c r="BO325" i="6"/>
  <c r="BJ325" i="6"/>
  <c r="AA812" i="5"/>
  <c r="Z812" i="5"/>
  <c r="Y812" i="5"/>
  <c r="Y2297" i="5"/>
  <c r="AA2297" i="5"/>
  <c r="Z2297" i="5"/>
  <c r="AA4772" i="5"/>
  <c r="Y4772" i="5"/>
  <c r="Z4772" i="5"/>
  <c r="BW328" i="6"/>
  <c r="BR328" i="6"/>
  <c r="CC328" i="6"/>
  <c r="BX328" i="6"/>
  <c r="AA3286" i="5"/>
  <c r="Z3286" i="5"/>
  <c r="Y3286" i="5"/>
  <c r="AA317" i="5"/>
  <c r="Z317" i="5"/>
  <c r="Y317" i="5"/>
  <c r="AA4771" i="5"/>
  <c r="Y4771" i="5"/>
  <c r="Z4771" i="5"/>
  <c r="BB324" i="6"/>
  <c r="AW324" i="6"/>
  <c r="BC324" i="6"/>
  <c r="BH324" i="6"/>
  <c r="DE332" i="6"/>
  <c r="CT332" i="6"/>
  <c r="CZ332" i="6"/>
  <c r="CY332" i="6"/>
  <c r="AA2296" i="5"/>
  <c r="Z2296" i="5"/>
  <c r="Y2296" i="5"/>
  <c r="DM334" i="6"/>
  <c r="DN334" i="6"/>
  <c r="DH334" i="6"/>
  <c r="DS334" i="6"/>
  <c r="AA4276" i="5"/>
  <c r="Z4276" i="5"/>
  <c r="Y4276" i="5"/>
  <c r="AA3287" i="5"/>
  <c r="Y3287" i="5"/>
  <c r="Z3287" i="5"/>
  <c r="CR331" i="6"/>
  <c r="CM331" i="6"/>
  <c r="CS331" i="6"/>
  <c r="CX331" i="6"/>
  <c r="AA5267" i="5"/>
  <c r="Y5267" i="5"/>
  <c r="Z5267" i="5"/>
  <c r="CF329" i="6"/>
  <c r="CQ329" i="6"/>
  <c r="CL329" i="6"/>
  <c r="CK329" i="6"/>
  <c r="CC327" i="6"/>
  <c r="BR327" i="6"/>
  <c r="BX327" i="6"/>
  <c r="BW327" i="6"/>
  <c r="AN323" i="6"/>
  <c r="AT323" i="6"/>
  <c r="AO323" i="6"/>
  <c r="CM330" i="6"/>
  <c r="CS330" i="6"/>
  <c r="CX330" i="6"/>
  <c r="CR330" i="6"/>
  <c r="AA1801" i="5"/>
  <c r="Y1801" i="5"/>
  <c r="Z1801" i="5"/>
  <c r="DH333" i="6"/>
  <c r="DM333" i="6"/>
  <c r="DN333" i="6"/>
  <c r="DS333" i="6"/>
  <c r="Y6256" i="5"/>
  <c r="Z6256" i="5"/>
  <c r="Y6257" i="5"/>
  <c r="Z6257" i="5"/>
  <c r="R335" i="6"/>
  <c r="J335" i="6"/>
  <c r="F335" i="6"/>
  <c r="X335" i="6"/>
  <c r="P335" i="6"/>
  <c r="H335" i="6"/>
  <c r="Z335" i="6"/>
  <c r="V335" i="6"/>
  <c r="L335" i="6"/>
  <c r="D335" i="6"/>
  <c r="T335" i="6"/>
  <c r="N335" i="6"/>
  <c r="AB335" i="6"/>
  <c r="DT335" i="6" s="1"/>
  <c r="AI335" i="6"/>
  <c r="AM335" i="6"/>
  <c r="AK335" i="6"/>
  <c r="F336" i="6"/>
  <c r="X336" i="6"/>
  <c r="L336" i="6"/>
  <c r="R336" i="6"/>
  <c r="V336" i="6"/>
  <c r="N336" i="6"/>
  <c r="D336" i="6"/>
  <c r="T336" i="6"/>
  <c r="J336" i="6"/>
  <c r="P336" i="6"/>
  <c r="H336" i="6"/>
  <c r="AI336" i="6"/>
  <c r="AM336" i="6"/>
  <c r="AK336" i="6"/>
  <c r="Z336" i="6"/>
  <c r="AB336" i="6"/>
  <c r="DT336" i="6" s="1"/>
  <c r="EF337" i="6"/>
  <c r="EG337" i="6" s="1"/>
  <c r="EH337" i="6" s="1"/>
  <c r="AA337" i="6" s="1"/>
  <c r="AA5762" i="5" l="1"/>
  <c r="Y5762" i="5"/>
  <c r="Z5762" i="5"/>
  <c r="AA4277" i="5"/>
  <c r="Y4277" i="5"/>
  <c r="Z4277" i="5"/>
  <c r="AA318" i="5"/>
  <c r="Z318" i="5"/>
  <c r="Y318" i="5"/>
  <c r="BK327" i="6"/>
  <c r="BP327" i="6"/>
  <c r="BV327" i="6"/>
  <c r="BQ327" i="6"/>
  <c r="AA3782" i="5"/>
  <c r="Y3782" i="5"/>
  <c r="Z3782" i="5"/>
  <c r="DA334" i="6"/>
  <c r="DG334" i="6"/>
  <c r="DL334" i="6"/>
  <c r="DF334" i="6"/>
  <c r="CR332" i="6"/>
  <c r="CS332" i="6"/>
  <c r="CM332" i="6"/>
  <c r="CX332" i="6"/>
  <c r="BA324" i="6"/>
  <c r="AP324" i="6"/>
  <c r="AU324" i="6"/>
  <c r="AV324" i="6"/>
  <c r="AA2793" i="5"/>
  <c r="Z2793" i="5"/>
  <c r="Y2793" i="5"/>
  <c r="DY335" i="6"/>
  <c r="DO335" i="6"/>
  <c r="CE329" i="6"/>
  <c r="BY329" i="6"/>
  <c r="CJ329" i="6"/>
  <c r="CD329" i="6"/>
  <c r="Y4773" i="5"/>
  <c r="Z4773" i="5"/>
  <c r="AA4773" i="5"/>
  <c r="BV328" i="6"/>
  <c r="BK328" i="6"/>
  <c r="BQ328" i="6"/>
  <c r="BP328" i="6"/>
  <c r="AA1802" i="5"/>
  <c r="Y1802" i="5"/>
  <c r="Z1802" i="5"/>
  <c r="DA333" i="6"/>
  <c r="DL333" i="6"/>
  <c r="DF333" i="6"/>
  <c r="DG333" i="6"/>
  <c r="DO336" i="6"/>
  <c r="DY336" i="6"/>
  <c r="AA2792" i="5"/>
  <c r="Z2792" i="5"/>
  <c r="Y2792" i="5"/>
  <c r="Z4278" i="5"/>
  <c r="Y4278" i="5"/>
  <c r="AA4278" i="5"/>
  <c r="CF330" i="6"/>
  <c r="CK330" i="6"/>
  <c r="CQ330" i="6"/>
  <c r="CL330" i="6"/>
  <c r="Y1307" i="5"/>
  <c r="AA1307" i="5"/>
  <c r="Z1307" i="5"/>
  <c r="AA1803" i="5"/>
  <c r="Y1803" i="5"/>
  <c r="Z1803" i="5"/>
  <c r="CF331" i="6"/>
  <c r="CQ331" i="6"/>
  <c r="CL331" i="6"/>
  <c r="CK331" i="6"/>
  <c r="AA5763" i="5"/>
  <c r="Z5763" i="5"/>
  <c r="Y5763" i="5"/>
  <c r="AW325" i="6"/>
  <c r="BC325" i="6"/>
  <c r="BH325" i="6"/>
  <c r="BB325" i="6"/>
  <c r="BB326" i="6"/>
  <c r="AW326" i="6"/>
  <c r="BC326" i="6"/>
  <c r="BH326" i="6"/>
  <c r="F337" i="6"/>
  <c r="Z337" i="6"/>
  <c r="T337" i="6"/>
  <c r="L337" i="6"/>
  <c r="AI337" i="6"/>
  <c r="AM337" i="6"/>
  <c r="AK337" i="6"/>
  <c r="AB337" i="6"/>
  <c r="DT337" i="6" s="1"/>
  <c r="R337" i="6"/>
  <c r="H337" i="6"/>
  <c r="X337" i="6"/>
  <c r="P337" i="6"/>
  <c r="D337" i="6"/>
  <c r="V337" i="6"/>
  <c r="N337" i="6"/>
  <c r="J337" i="6"/>
  <c r="DX336" i="6"/>
  <c r="AA6259" i="5" s="1"/>
  <c r="EF338" i="6"/>
  <c r="DX335" i="6"/>
  <c r="AA6258" i="5" s="1"/>
  <c r="DO337" i="6" l="1"/>
  <c r="DY337" i="6"/>
  <c r="AA1309" i="5"/>
  <c r="Z1309" i="5"/>
  <c r="Y1309" i="5"/>
  <c r="BY330" i="6"/>
  <c r="CE330" i="6"/>
  <c r="CD330" i="6"/>
  <c r="CJ330" i="6"/>
  <c r="DM336" i="6"/>
  <c r="DH336" i="6"/>
  <c r="DN336" i="6"/>
  <c r="DS336" i="6"/>
  <c r="DE333" i="6"/>
  <c r="CT333" i="6"/>
  <c r="CY333" i="6"/>
  <c r="CZ333" i="6"/>
  <c r="AA3288" i="5"/>
  <c r="Z3288" i="5"/>
  <c r="Y3288" i="5"/>
  <c r="AA4279" i="5"/>
  <c r="Z4279" i="5"/>
  <c r="Y4279" i="5"/>
  <c r="AA2298" i="5"/>
  <c r="Y2298" i="5"/>
  <c r="Z2298" i="5"/>
  <c r="AA1308" i="5"/>
  <c r="Y1308" i="5"/>
  <c r="Z1308" i="5"/>
  <c r="AA3784" i="5"/>
  <c r="Y3784" i="5"/>
  <c r="Z3784" i="5"/>
  <c r="CC329" i="6"/>
  <c r="BR329" i="6"/>
  <c r="BX329" i="6"/>
  <c r="BW329" i="6"/>
  <c r="CF332" i="6"/>
  <c r="CL332" i="6"/>
  <c r="CK332" i="6"/>
  <c r="CQ332" i="6"/>
  <c r="AA5269" i="5"/>
  <c r="Y5269" i="5"/>
  <c r="Z5269" i="5"/>
  <c r="BA326" i="6"/>
  <c r="AV326" i="6"/>
  <c r="AP326" i="6"/>
  <c r="AU326" i="6"/>
  <c r="CE331" i="6"/>
  <c r="BY331" i="6"/>
  <c r="CD331" i="6"/>
  <c r="CJ331" i="6"/>
  <c r="AA3783" i="5"/>
  <c r="Y3783" i="5"/>
  <c r="Z3783" i="5"/>
  <c r="BD328" i="6"/>
  <c r="BO328" i="6"/>
  <c r="BJ328" i="6"/>
  <c r="BI328" i="6"/>
  <c r="AN324" i="6"/>
  <c r="AT324" i="6"/>
  <c r="AO324" i="6"/>
  <c r="BD327" i="6"/>
  <c r="BO327" i="6"/>
  <c r="BI327" i="6"/>
  <c r="BJ327" i="6"/>
  <c r="BA325" i="6"/>
  <c r="AP325" i="6"/>
  <c r="AV325" i="6"/>
  <c r="AU325" i="6"/>
  <c r="AA5268" i="5"/>
  <c r="Y5268" i="5"/>
  <c r="Z5268" i="5"/>
  <c r="AA2299" i="5"/>
  <c r="Y2299" i="5"/>
  <c r="Z2299" i="5"/>
  <c r="DH335" i="6"/>
  <c r="DS335" i="6"/>
  <c r="DN335" i="6"/>
  <c r="DM335" i="6"/>
  <c r="Y813" i="5"/>
  <c r="AA813" i="5"/>
  <c r="Z813" i="5"/>
  <c r="DE334" i="6"/>
  <c r="CT334" i="6"/>
  <c r="CY334" i="6"/>
  <c r="CZ334" i="6"/>
  <c r="Y6258" i="5"/>
  <c r="Z6258" i="5"/>
  <c r="Y6259" i="5"/>
  <c r="Z6259" i="5"/>
  <c r="EF339" i="6"/>
  <c r="DX337" i="6"/>
  <c r="AA6260" i="5" s="1"/>
  <c r="EG338" i="6"/>
  <c r="EH338" i="6" s="1"/>
  <c r="AA338" i="6" s="1"/>
  <c r="AN325" i="6" l="1"/>
  <c r="AT325" i="6"/>
  <c r="AO325" i="6"/>
  <c r="AA5764" i="5"/>
  <c r="Z5764" i="5"/>
  <c r="Y5764" i="5"/>
  <c r="CC331" i="6"/>
  <c r="BR331" i="6"/>
  <c r="BW331" i="6"/>
  <c r="BX331" i="6"/>
  <c r="CM334" i="6"/>
  <c r="CX334" i="6"/>
  <c r="CS334" i="6"/>
  <c r="CR334" i="6"/>
  <c r="DA335" i="6"/>
  <c r="DF335" i="6"/>
  <c r="DG335" i="6"/>
  <c r="DL335" i="6"/>
  <c r="AA319" i="5"/>
  <c r="Z319" i="5"/>
  <c r="Y319" i="5"/>
  <c r="AA1805" i="5"/>
  <c r="Z1805" i="5"/>
  <c r="Y1805" i="5"/>
  <c r="AA815" i="5"/>
  <c r="Y815" i="5"/>
  <c r="Z815" i="5"/>
  <c r="AA3785" i="5"/>
  <c r="Y3785" i="5"/>
  <c r="Z3785" i="5"/>
  <c r="AA4775" i="5"/>
  <c r="Z4775" i="5"/>
  <c r="Y4775" i="5"/>
  <c r="BB328" i="6"/>
  <c r="AW328" i="6"/>
  <c r="BC328" i="6"/>
  <c r="BH328" i="6"/>
  <c r="AA3290" i="5"/>
  <c r="Y3290" i="5"/>
  <c r="Z3290" i="5"/>
  <c r="CR333" i="6"/>
  <c r="CS333" i="6"/>
  <c r="CM333" i="6"/>
  <c r="CX333" i="6"/>
  <c r="DA336" i="6"/>
  <c r="DG336" i="6"/>
  <c r="DL336" i="6"/>
  <c r="DF336" i="6"/>
  <c r="AA1804" i="5"/>
  <c r="Y1804" i="5"/>
  <c r="Z1804" i="5"/>
  <c r="Y814" i="5"/>
  <c r="AA814" i="5"/>
  <c r="Z814" i="5"/>
  <c r="BB327" i="6"/>
  <c r="AW327" i="6"/>
  <c r="BC327" i="6"/>
  <c r="BH327" i="6"/>
  <c r="AT326" i="6"/>
  <c r="AO326" i="6"/>
  <c r="AN326" i="6"/>
  <c r="BV329" i="6"/>
  <c r="BQ329" i="6"/>
  <c r="BK329" i="6"/>
  <c r="BP329" i="6"/>
  <c r="AA4774" i="5"/>
  <c r="Z4774" i="5"/>
  <c r="Y4774" i="5"/>
  <c r="BW330" i="6"/>
  <c r="BR330" i="6"/>
  <c r="BX330" i="6"/>
  <c r="CC330" i="6"/>
  <c r="BY332" i="6"/>
  <c r="CD332" i="6"/>
  <c r="CJ332" i="6"/>
  <c r="CE332" i="6"/>
  <c r="AA2794" i="5"/>
  <c r="Y2794" i="5"/>
  <c r="Z2794" i="5"/>
  <c r="Y5765" i="5"/>
  <c r="AA5765" i="5"/>
  <c r="Z5765" i="5"/>
  <c r="AA3289" i="5"/>
  <c r="Y3289" i="5"/>
  <c r="Z3289" i="5"/>
  <c r="DH337" i="6"/>
  <c r="DN337" i="6"/>
  <c r="DS337" i="6"/>
  <c r="DM337" i="6"/>
  <c r="Y6260" i="5"/>
  <c r="Z6260" i="5"/>
  <c r="EF340" i="6"/>
  <c r="EG340" i="6" s="1"/>
  <c r="EH340" i="6" s="1"/>
  <c r="AA340" i="6" s="1"/>
  <c r="H338" i="6"/>
  <c r="R338" i="6"/>
  <c r="D338" i="6"/>
  <c r="X338" i="6"/>
  <c r="N338" i="6"/>
  <c r="P338" i="6"/>
  <c r="Z338" i="6"/>
  <c r="V338" i="6"/>
  <c r="L338" i="6"/>
  <c r="T338" i="6"/>
  <c r="J338" i="6"/>
  <c r="F338" i="6"/>
  <c r="AB338" i="6"/>
  <c r="DT338" i="6" s="1"/>
  <c r="AI338" i="6"/>
  <c r="AM338" i="6"/>
  <c r="AK338" i="6"/>
  <c r="EG339" i="6"/>
  <c r="EH339" i="6" s="1"/>
  <c r="AA339" i="6" s="1"/>
  <c r="DO338" i="6" l="1"/>
  <c r="DY338" i="6"/>
  <c r="AA5766" i="5"/>
  <c r="Y5766" i="5"/>
  <c r="Z5766" i="5"/>
  <c r="AA2795" i="5"/>
  <c r="Y2795" i="5"/>
  <c r="Z2795" i="5"/>
  <c r="BD329" i="6"/>
  <c r="BO329" i="6"/>
  <c r="BJ329" i="6"/>
  <c r="BI329" i="6"/>
  <c r="BA327" i="6"/>
  <c r="AP327" i="6"/>
  <c r="AU327" i="6"/>
  <c r="AV327" i="6"/>
  <c r="AA4280" i="5"/>
  <c r="Z4280" i="5"/>
  <c r="Y4280" i="5"/>
  <c r="AA4281" i="5"/>
  <c r="Y4281" i="5"/>
  <c r="Z4281" i="5"/>
  <c r="BK331" i="6"/>
  <c r="BV331" i="6"/>
  <c r="BQ331" i="6"/>
  <c r="BP331" i="6"/>
  <c r="AA3291" i="5"/>
  <c r="Y3291" i="5"/>
  <c r="Z3291" i="5"/>
  <c r="AA5271" i="5"/>
  <c r="Z5271" i="5"/>
  <c r="Y5271" i="5"/>
  <c r="BA328" i="6"/>
  <c r="AP328" i="6"/>
  <c r="AU328" i="6"/>
  <c r="AV328" i="6"/>
  <c r="DE335" i="6"/>
  <c r="CT335" i="6"/>
  <c r="CY335" i="6"/>
  <c r="CZ335" i="6"/>
  <c r="CF334" i="6"/>
  <c r="CQ334" i="6"/>
  <c r="CL334" i="6"/>
  <c r="CK334" i="6"/>
  <c r="AA2796" i="5"/>
  <c r="Y2796" i="5"/>
  <c r="Z2796" i="5"/>
  <c r="AA321" i="5"/>
  <c r="Z321" i="5"/>
  <c r="Y321" i="5"/>
  <c r="CF333" i="6"/>
  <c r="CL333" i="6"/>
  <c r="CK333" i="6"/>
  <c r="CQ333" i="6"/>
  <c r="DA337" i="6"/>
  <c r="DG337" i="6"/>
  <c r="DL337" i="6"/>
  <c r="DF337" i="6"/>
  <c r="BV330" i="6"/>
  <c r="BK330" i="6"/>
  <c r="BQ330" i="6"/>
  <c r="BP330" i="6"/>
  <c r="AA2300" i="5"/>
  <c r="Y2300" i="5"/>
  <c r="Z2300" i="5"/>
  <c r="AA1310" i="5"/>
  <c r="Y1310" i="5"/>
  <c r="Z1310" i="5"/>
  <c r="AA5270" i="5"/>
  <c r="Z5270" i="5"/>
  <c r="Y5270" i="5"/>
  <c r="AA320" i="5"/>
  <c r="Z320" i="5"/>
  <c r="Y320" i="5"/>
  <c r="BR332" i="6"/>
  <c r="BW332" i="6"/>
  <c r="CC332" i="6"/>
  <c r="BX332" i="6"/>
  <c r="DE336" i="6"/>
  <c r="CT336" i="6"/>
  <c r="CZ336" i="6"/>
  <c r="CY336" i="6"/>
  <c r="Y1311" i="5"/>
  <c r="AA1311" i="5"/>
  <c r="Z1311" i="5"/>
  <c r="F340" i="6"/>
  <c r="T340" i="6"/>
  <c r="N340" i="6"/>
  <c r="P340" i="6"/>
  <c r="J340" i="6"/>
  <c r="X340" i="6"/>
  <c r="L340" i="6"/>
  <c r="H340" i="6"/>
  <c r="V340" i="6"/>
  <c r="R340" i="6"/>
  <c r="D340" i="6"/>
  <c r="AB340" i="6"/>
  <c r="DT340" i="6" s="1"/>
  <c r="AI340" i="6"/>
  <c r="AM340" i="6"/>
  <c r="Z340" i="6"/>
  <c r="AK340" i="6"/>
  <c r="V339" i="6"/>
  <c r="L339" i="6"/>
  <c r="Z339" i="6"/>
  <c r="T339" i="6"/>
  <c r="J339" i="6"/>
  <c r="D339" i="6"/>
  <c r="AB339" i="6"/>
  <c r="DT339" i="6" s="1"/>
  <c r="R339" i="6"/>
  <c r="H339" i="6"/>
  <c r="X339" i="6"/>
  <c r="P339" i="6"/>
  <c r="N339" i="6"/>
  <c r="F339" i="6"/>
  <c r="AI339" i="6"/>
  <c r="AM339" i="6"/>
  <c r="AK339" i="6"/>
  <c r="DX338" i="6"/>
  <c r="AA6261" i="5" s="1"/>
  <c r="EF341" i="6"/>
  <c r="EG341" i="6" s="1"/>
  <c r="EH341" i="6" s="1"/>
  <c r="AA341" i="6" s="1"/>
  <c r="DO339" i="6" l="1"/>
  <c r="DY339" i="6"/>
  <c r="CR336" i="6"/>
  <c r="CS336" i="6"/>
  <c r="CM336" i="6"/>
  <c r="CX336" i="6"/>
  <c r="BD330" i="6"/>
  <c r="BJ330" i="6"/>
  <c r="BI330" i="6"/>
  <c r="BO330" i="6"/>
  <c r="AA2302" i="5"/>
  <c r="Y2302" i="5"/>
  <c r="Z2302" i="5"/>
  <c r="Y4777" i="5"/>
  <c r="AA4777" i="5"/>
  <c r="Z4777" i="5"/>
  <c r="BV332" i="6"/>
  <c r="BK332" i="6"/>
  <c r="BP332" i="6"/>
  <c r="BQ332" i="6"/>
  <c r="AA2301" i="5"/>
  <c r="Z2301" i="5"/>
  <c r="Y2301" i="5"/>
  <c r="DE337" i="6"/>
  <c r="CT337" i="6"/>
  <c r="CY337" i="6"/>
  <c r="CZ337" i="6"/>
  <c r="CE333" i="6"/>
  <c r="BY333" i="6"/>
  <c r="CJ333" i="6"/>
  <c r="CD333" i="6"/>
  <c r="BD331" i="6"/>
  <c r="BJ331" i="6"/>
  <c r="BO331" i="6"/>
  <c r="BI331" i="6"/>
  <c r="AA3786" i="5"/>
  <c r="Z3786" i="5"/>
  <c r="Y3786" i="5"/>
  <c r="AA3787" i="5"/>
  <c r="Z3787" i="5"/>
  <c r="Y3787" i="5"/>
  <c r="CR335" i="6"/>
  <c r="CM335" i="6"/>
  <c r="CS335" i="6"/>
  <c r="CX335" i="6"/>
  <c r="AO328" i="6"/>
  <c r="AN328" i="6"/>
  <c r="AT328" i="6"/>
  <c r="AN327" i="6"/>
  <c r="AO327" i="6"/>
  <c r="AT327" i="6"/>
  <c r="AA1806" i="5"/>
  <c r="Y1806" i="5"/>
  <c r="Z1806" i="5"/>
  <c r="DO340" i="6"/>
  <c r="DY340" i="6"/>
  <c r="AA2797" i="5"/>
  <c r="Y2797" i="5"/>
  <c r="Z2797" i="5"/>
  <c r="AA5272" i="5"/>
  <c r="Z5272" i="5"/>
  <c r="Y5272" i="5"/>
  <c r="BY334" i="6"/>
  <c r="CD334" i="6"/>
  <c r="CJ334" i="6"/>
  <c r="CE334" i="6"/>
  <c r="AA4776" i="5"/>
  <c r="Y4776" i="5"/>
  <c r="Z4776" i="5"/>
  <c r="AA817" i="5"/>
  <c r="Y817" i="5"/>
  <c r="Z817" i="5"/>
  <c r="AA816" i="5"/>
  <c r="Y816" i="5"/>
  <c r="Z816" i="5"/>
  <c r="AW329" i="6"/>
  <c r="BB329" i="6"/>
  <c r="BH329" i="6"/>
  <c r="BC329" i="6"/>
  <c r="DH338" i="6"/>
  <c r="DM338" i="6"/>
  <c r="DS338" i="6"/>
  <c r="DN338" i="6"/>
  <c r="Y6261" i="5"/>
  <c r="Z6261" i="5"/>
  <c r="EF342" i="6"/>
  <c r="EG342" i="6"/>
  <c r="EH342" i="6" s="1"/>
  <c r="AA342" i="6" s="1"/>
  <c r="DX340" i="6"/>
  <c r="AA6263" i="5" s="1"/>
  <c r="F341" i="6"/>
  <c r="Z341" i="6"/>
  <c r="X341" i="6"/>
  <c r="P341" i="6"/>
  <c r="D341" i="6"/>
  <c r="AI341" i="6"/>
  <c r="AM341" i="6"/>
  <c r="AK341" i="6"/>
  <c r="AB341" i="6"/>
  <c r="DT341" i="6" s="1"/>
  <c r="V341" i="6"/>
  <c r="N341" i="6"/>
  <c r="H341" i="6"/>
  <c r="T341" i="6"/>
  <c r="L341" i="6"/>
  <c r="R341" i="6"/>
  <c r="J341" i="6"/>
  <c r="DX339" i="6"/>
  <c r="AA6262" i="5" s="1"/>
  <c r="AA3293" i="5" l="1"/>
  <c r="Y3293" i="5"/>
  <c r="Z3293" i="5"/>
  <c r="DA338" i="6"/>
  <c r="DL338" i="6"/>
  <c r="DG338" i="6"/>
  <c r="DF338" i="6"/>
  <c r="BA329" i="6"/>
  <c r="AP329" i="6"/>
  <c r="AU329" i="6"/>
  <c r="AV329" i="6"/>
  <c r="AA323" i="5"/>
  <c r="Z323" i="5"/>
  <c r="Y323" i="5"/>
  <c r="BB331" i="6"/>
  <c r="AW331" i="6"/>
  <c r="BH331" i="6"/>
  <c r="BC331" i="6"/>
  <c r="AA4778" i="5"/>
  <c r="Y4778" i="5"/>
  <c r="Z4778" i="5"/>
  <c r="DM340" i="6"/>
  <c r="DH340" i="6"/>
  <c r="DS340" i="6"/>
  <c r="DN340" i="6"/>
  <c r="AA322" i="5"/>
  <c r="Y322" i="5"/>
  <c r="Z322" i="5"/>
  <c r="CF335" i="6"/>
  <c r="CL335" i="6"/>
  <c r="CK335" i="6"/>
  <c r="CQ335" i="6"/>
  <c r="BB330" i="6"/>
  <c r="AW330" i="6"/>
  <c r="BC330" i="6"/>
  <c r="BH330" i="6"/>
  <c r="BW334" i="6"/>
  <c r="BR334" i="6"/>
  <c r="BX334" i="6"/>
  <c r="CC334" i="6"/>
  <c r="AA5767" i="5"/>
  <c r="Z5767" i="5"/>
  <c r="Y5767" i="5"/>
  <c r="AA1312" i="5"/>
  <c r="Y1312" i="5"/>
  <c r="Z1312" i="5"/>
  <c r="AA1808" i="5"/>
  <c r="Y1808" i="5"/>
  <c r="Z1808" i="5"/>
  <c r="AA3292" i="5"/>
  <c r="Y3292" i="5"/>
  <c r="Z3292" i="5"/>
  <c r="BD332" i="6"/>
  <c r="BJ332" i="6"/>
  <c r="BI332" i="6"/>
  <c r="BO332" i="6"/>
  <c r="AA1807" i="5"/>
  <c r="Y1807" i="5"/>
  <c r="Z1807" i="5"/>
  <c r="AA4283" i="5"/>
  <c r="Y4283" i="5"/>
  <c r="Z4283" i="5"/>
  <c r="DO341" i="6"/>
  <c r="DY341" i="6"/>
  <c r="Z4282" i="5"/>
  <c r="Y4282" i="5"/>
  <c r="AA4282" i="5"/>
  <c r="CC333" i="6"/>
  <c r="BR333" i="6"/>
  <c r="BX333" i="6"/>
  <c r="BW333" i="6"/>
  <c r="CR337" i="6"/>
  <c r="CS337" i="6"/>
  <c r="CM337" i="6"/>
  <c r="CX337" i="6"/>
  <c r="Y2303" i="5"/>
  <c r="AA2303" i="5"/>
  <c r="Z2303" i="5"/>
  <c r="CF336" i="6"/>
  <c r="CK336" i="6"/>
  <c r="CQ336" i="6"/>
  <c r="CL336" i="6"/>
  <c r="DS339" i="6"/>
  <c r="DH339" i="6"/>
  <c r="DN339" i="6"/>
  <c r="DM339" i="6"/>
  <c r="Y6262" i="5"/>
  <c r="Z6262" i="5"/>
  <c r="Y6263" i="5"/>
  <c r="Z6263" i="5"/>
  <c r="EF343" i="6"/>
  <c r="X342" i="6"/>
  <c r="P342" i="6"/>
  <c r="H342" i="6"/>
  <c r="Z342" i="6"/>
  <c r="T342" i="6"/>
  <c r="J342" i="6"/>
  <c r="R342" i="6"/>
  <c r="L342" i="6"/>
  <c r="V342" i="6"/>
  <c r="N342" i="6"/>
  <c r="D342" i="6"/>
  <c r="F342" i="6"/>
  <c r="AI342" i="6"/>
  <c r="AM342" i="6"/>
  <c r="AK342" i="6"/>
  <c r="AB342" i="6"/>
  <c r="DT342" i="6" s="1"/>
  <c r="DX341" i="6"/>
  <c r="AA6264" i="5" s="1"/>
  <c r="BV333" i="6" l="1"/>
  <c r="BK333" i="6"/>
  <c r="BP333" i="6"/>
  <c r="BQ333" i="6"/>
  <c r="DA339" i="6"/>
  <c r="DF339" i="6"/>
  <c r="DG339" i="6"/>
  <c r="DL339" i="6"/>
  <c r="AA2798" i="5"/>
  <c r="Y2798" i="5"/>
  <c r="Z2798" i="5"/>
  <c r="AA1809" i="5"/>
  <c r="Z1809" i="5"/>
  <c r="Y1809" i="5"/>
  <c r="AA2799" i="5"/>
  <c r="Y2799" i="5"/>
  <c r="Z2799" i="5"/>
  <c r="Y1313" i="5"/>
  <c r="AA1313" i="5"/>
  <c r="Z1313" i="5"/>
  <c r="AA3788" i="5"/>
  <c r="Y3788" i="5"/>
  <c r="Z3788" i="5"/>
  <c r="Y5769" i="5"/>
  <c r="AA5769" i="5"/>
  <c r="Z5769" i="5"/>
  <c r="BA331" i="6"/>
  <c r="AP331" i="6"/>
  <c r="AU331" i="6"/>
  <c r="AV331" i="6"/>
  <c r="Y818" i="5"/>
  <c r="AA818" i="5"/>
  <c r="Z818" i="5"/>
  <c r="DE338" i="6"/>
  <c r="CT338" i="6"/>
  <c r="CY338" i="6"/>
  <c r="CZ338" i="6"/>
  <c r="DO342" i="6"/>
  <c r="DY342" i="6"/>
  <c r="AA5768" i="5"/>
  <c r="Y5768" i="5"/>
  <c r="Z5768" i="5"/>
  <c r="DH341" i="6"/>
  <c r="DN341" i="6"/>
  <c r="DS341" i="6"/>
  <c r="DM341" i="6"/>
  <c r="DA340" i="6"/>
  <c r="DL340" i="6"/>
  <c r="DG340" i="6"/>
  <c r="DF340" i="6"/>
  <c r="AA3789" i="5"/>
  <c r="Y3789" i="5"/>
  <c r="Z3789" i="5"/>
  <c r="BY336" i="6"/>
  <c r="CD336" i="6"/>
  <c r="CJ336" i="6"/>
  <c r="CE336" i="6"/>
  <c r="AA4284" i="5"/>
  <c r="Y4284" i="5"/>
  <c r="Z4284" i="5"/>
  <c r="CF337" i="6"/>
  <c r="CK337" i="6"/>
  <c r="CQ337" i="6"/>
  <c r="CL337" i="6"/>
  <c r="BV334" i="6"/>
  <c r="BQ334" i="6"/>
  <c r="BK334" i="6"/>
  <c r="BP334" i="6"/>
  <c r="BA330" i="6"/>
  <c r="AP330" i="6"/>
  <c r="AV330" i="6"/>
  <c r="AU330" i="6"/>
  <c r="BB332" i="6"/>
  <c r="AW332" i="6"/>
  <c r="BC332" i="6"/>
  <c r="BH332" i="6"/>
  <c r="CE335" i="6"/>
  <c r="BY335" i="6"/>
  <c r="CD335" i="6"/>
  <c r="CJ335" i="6"/>
  <c r="AA1314" i="5"/>
  <c r="Y1314" i="5"/>
  <c r="Z1314" i="5"/>
  <c r="AN329" i="6"/>
  <c r="AT329" i="6"/>
  <c r="AO329" i="6"/>
  <c r="AA5273" i="5"/>
  <c r="Z5273" i="5"/>
  <c r="Y5273" i="5"/>
  <c r="Y6264" i="5"/>
  <c r="Z6264" i="5"/>
  <c r="EF344" i="6"/>
  <c r="EG344" i="6" s="1"/>
  <c r="EH344" i="6" s="1"/>
  <c r="AA344" i="6" s="1"/>
  <c r="EG343" i="6"/>
  <c r="EH343" i="6" s="1"/>
  <c r="AA343" i="6" s="1"/>
  <c r="DX342" i="6"/>
  <c r="AA6265" i="5" s="1"/>
  <c r="CC335" i="6" l="1"/>
  <c r="BR335" i="6"/>
  <c r="BX335" i="6"/>
  <c r="BW335" i="6"/>
  <c r="CE337" i="6"/>
  <c r="BY337" i="6"/>
  <c r="CJ337" i="6"/>
  <c r="CD337" i="6"/>
  <c r="AA5770" i="5"/>
  <c r="Y5770" i="5"/>
  <c r="Z5770" i="5"/>
  <c r="AA3294" i="5"/>
  <c r="Z3294" i="5"/>
  <c r="Y3294" i="5"/>
  <c r="Y1315" i="5"/>
  <c r="AA1315" i="5"/>
  <c r="Z1315" i="5"/>
  <c r="AA3295" i="5"/>
  <c r="Y3295" i="5"/>
  <c r="Z3295" i="5"/>
  <c r="AA5275" i="5"/>
  <c r="Y5275" i="5"/>
  <c r="Z5275" i="5"/>
  <c r="AO331" i="6"/>
  <c r="AN331" i="6"/>
  <c r="AT331" i="6"/>
  <c r="AA5274" i="5"/>
  <c r="Z5274" i="5"/>
  <c r="Y5274" i="5"/>
  <c r="BD334" i="6"/>
  <c r="BI334" i="6"/>
  <c r="BO334" i="6"/>
  <c r="BJ334" i="6"/>
  <c r="DE340" i="6"/>
  <c r="CT340" i="6"/>
  <c r="CZ340" i="6"/>
  <c r="CY340" i="6"/>
  <c r="DA341" i="6"/>
  <c r="DL341" i="6"/>
  <c r="DG341" i="6"/>
  <c r="DF341" i="6"/>
  <c r="CM338" i="6"/>
  <c r="CS338" i="6"/>
  <c r="CX338" i="6"/>
  <c r="CR338" i="6"/>
  <c r="AA820" i="5"/>
  <c r="Z820" i="5"/>
  <c r="Y820" i="5"/>
  <c r="AA3790" i="5"/>
  <c r="Y3790" i="5"/>
  <c r="Z3790" i="5"/>
  <c r="BA332" i="6"/>
  <c r="AP332" i="6"/>
  <c r="AU332" i="6"/>
  <c r="AV332" i="6"/>
  <c r="AT330" i="6"/>
  <c r="AO330" i="6"/>
  <c r="AN330" i="6"/>
  <c r="BR336" i="6"/>
  <c r="BX336" i="6"/>
  <c r="BW336" i="6"/>
  <c r="CC336" i="6"/>
  <c r="DS342" i="6"/>
  <c r="DN342" i="6"/>
  <c r="DH342" i="6"/>
  <c r="DM342" i="6"/>
  <c r="AA4779" i="5"/>
  <c r="Y4779" i="5"/>
  <c r="Z4779" i="5"/>
  <c r="BD333" i="6"/>
  <c r="BO333" i="6"/>
  <c r="BJ333" i="6"/>
  <c r="BI333" i="6"/>
  <c r="AA324" i="5"/>
  <c r="Z324" i="5"/>
  <c r="Y324" i="5"/>
  <c r="AA819" i="5"/>
  <c r="Y819" i="5"/>
  <c r="Z819" i="5"/>
  <c r="AA2305" i="5"/>
  <c r="Z2305" i="5"/>
  <c r="Y2305" i="5"/>
  <c r="DE339" i="6"/>
  <c r="CT339" i="6"/>
  <c r="CY339" i="6"/>
  <c r="CZ339" i="6"/>
  <c r="AA2304" i="5"/>
  <c r="Y2304" i="5"/>
  <c r="Z2304" i="5"/>
  <c r="Y6265" i="5"/>
  <c r="Z6265" i="5"/>
  <c r="F344" i="6"/>
  <c r="X344" i="6"/>
  <c r="P344" i="6"/>
  <c r="H344" i="6"/>
  <c r="V344" i="6"/>
  <c r="L344" i="6"/>
  <c r="D344" i="6"/>
  <c r="T344" i="6"/>
  <c r="N344" i="6"/>
  <c r="R344" i="6"/>
  <c r="J344" i="6"/>
  <c r="AM344" i="6"/>
  <c r="AK344" i="6"/>
  <c r="Z344" i="6"/>
  <c r="AI344" i="6"/>
  <c r="AB344" i="6"/>
  <c r="DT344" i="6" s="1"/>
  <c r="EF345" i="6"/>
  <c r="Z343" i="6"/>
  <c r="X343" i="6"/>
  <c r="P343" i="6"/>
  <c r="H343" i="6"/>
  <c r="V343" i="6"/>
  <c r="L343" i="6"/>
  <c r="T343" i="6"/>
  <c r="J343" i="6"/>
  <c r="F343" i="6"/>
  <c r="R343" i="6"/>
  <c r="N343" i="6"/>
  <c r="D343" i="6"/>
  <c r="AI343" i="6"/>
  <c r="AM343" i="6"/>
  <c r="AK343" i="6"/>
  <c r="AB343" i="6"/>
  <c r="DT343" i="6" s="1"/>
  <c r="DA342" i="6" l="1"/>
  <c r="DF342" i="6"/>
  <c r="DG342" i="6"/>
  <c r="DL342" i="6"/>
  <c r="DO343" i="6"/>
  <c r="DY343" i="6"/>
  <c r="CR339" i="6"/>
  <c r="CM339" i="6"/>
  <c r="CS339" i="6"/>
  <c r="CX339" i="6"/>
  <c r="AA325" i="5"/>
  <c r="Z325" i="5"/>
  <c r="Y325" i="5"/>
  <c r="Y821" i="5"/>
  <c r="AA821" i="5"/>
  <c r="Z821" i="5"/>
  <c r="AA4285" i="5"/>
  <c r="Z4285" i="5"/>
  <c r="Y4285" i="5"/>
  <c r="AA1811" i="5"/>
  <c r="Z1811" i="5"/>
  <c r="Y1811" i="5"/>
  <c r="AA4780" i="5"/>
  <c r="Y4780" i="5"/>
  <c r="Z4780" i="5"/>
  <c r="AA1810" i="5"/>
  <c r="Y1810" i="5"/>
  <c r="Z1810" i="5"/>
  <c r="Y5771" i="5"/>
  <c r="AA5771" i="5"/>
  <c r="Z5771" i="5"/>
  <c r="BV336" i="6"/>
  <c r="BK336" i="6"/>
  <c r="BP336" i="6"/>
  <c r="BQ336" i="6"/>
  <c r="AA5276" i="5"/>
  <c r="Y5276" i="5"/>
  <c r="Z5276" i="5"/>
  <c r="CR340" i="6"/>
  <c r="CS340" i="6"/>
  <c r="CM340" i="6"/>
  <c r="CX340" i="6"/>
  <c r="AA3296" i="5"/>
  <c r="Y3296" i="5"/>
  <c r="Z3296" i="5"/>
  <c r="DO344" i="6"/>
  <c r="DY344" i="6"/>
  <c r="AW333" i="6"/>
  <c r="BC333" i="6"/>
  <c r="BB333" i="6"/>
  <c r="BH333" i="6"/>
  <c r="AA2801" i="5"/>
  <c r="Z2801" i="5"/>
  <c r="Y2801" i="5"/>
  <c r="CF338" i="6"/>
  <c r="CL338" i="6"/>
  <c r="CK338" i="6"/>
  <c r="CQ338" i="6"/>
  <c r="DE341" i="6"/>
  <c r="CT341" i="6"/>
  <c r="CZ341" i="6"/>
  <c r="CY341" i="6"/>
  <c r="Y4781" i="5"/>
  <c r="AA4781" i="5"/>
  <c r="Z4781" i="5"/>
  <c r="BB334" i="6"/>
  <c r="AW334" i="6"/>
  <c r="BC334" i="6"/>
  <c r="BH334" i="6"/>
  <c r="AA326" i="5"/>
  <c r="Y326" i="5"/>
  <c r="Z326" i="5"/>
  <c r="BR337" i="6"/>
  <c r="BX337" i="6"/>
  <c r="CC337" i="6"/>
  <c r="BW337" i="6"/>
  <c r="BK335" i="6"/>
  <c r="BV335" i="6"/>
  <c r="BQ335" i="6"/>
  <c r="BP335" i="6"/>
  <c r="AO332" i="6"/>
  <c r="AN332" i="6"/>
  <c r="AT332" i="6"/>
  <c r="AA2800" i="5"/>
  <c r="Y2800" i="5"/>
  <c r="Z2800" i="5"/>
  <c r="DX343" i="6"/>
  <c r="AA6266" i="5" s="1"/>
  <c r="EF346" i="6"/>
  <c r="EG346" i="6" s="1"/>
  <c r="EH346" i="6" s="1"/>
  <c r="AA346" i="6" s="1"/>
  <c r="DX344" i="6"/>
  <c r="AA6267" i="5" s="1"/>
  <c r="EG345" i="6"/>
  <c r="EH345" i="6" s="1"/>
  <c r="AA345" i="6" s="1"/>
  <c r="BD335" i="6" l="1"/>
  <c r="BI335" i="6"/>
  <c r="BO335" i="6"/>
  <c r="BJ335" i="6"/>
  <c r="AA1317" i="5"/>
  <c r="Z1317" i="5"/>
  <c r="Y1317" i="5"/>
  <c r="CR341" i="6"/>
  <c r="CS341" i="6"/>
  <c r="CM341" i="6"/>
  <c r="CX341" i="6"/>
  <c r="BA333" i="6"/>
  <c r="AP333" i="6"/>
  <c r="AV333" i="6"/>
  <c r="AU333" i="6"/>
  <c r="Y2307" i="5"/>
  <c r="Z2307" i="5"/>
  <c r="AA2307" i="5"/>
  <c r="CF339" i="6"/>
  <c r="CK339" i="6"/>
  <c r="CQ339" i="6"/>
  <c r="CL339" i="6"/>
  <c r="AA5277" i="5"/>
  <c r="Y5277" i="5"/>
  <c r="Z5277" i="5"/>
  <c r="BA334" i="6"/>
  <c r="AP334" i="6"/>
  <c r="AV334" i="6"/>
  <c r="AU334" i="6"/>
  <c r="AA4782" i="5"/>
  <c r="Z4782" i="5"/>
  <c r="Y4782" i="5"/>
  <c r="AA1316" i="5"/>
  <c r="Y1316" i="5"/>
  <c r="Z1316" i="5"/>
  <c r="CF340" i="6"/>
  <c r="CK340" i="6"/>
  <c r="CQ340" i="6"/>
  <c r="CL340" i="6"/>
  <c r="AA327" i="5"/>
  <c r="Z327" i="5"/>
  <c r="Y327" i="5"/>
  <c r="AA2802" i="5"/>
  <c r="Y2802" i="5"/>
  <c r="Z2802" i="5"/>
  <c r="BY338" i="6"/>
  <c r="CD338" i="6"/>
  <c r="CJ338" i="6"/>
  <c r="CE338" i="6"/>
  <c r="AA2306" i="5"/>
  <c r="Z2306" i="5"/>
  <c r="Y2306" i="5"/>
  <c r="AA3791" i="5"/>
  <c r="Z3791" i="5"/>
  <c r="Y3791" i="5"/>
  <c r="DS344" i="6"/>
  <c r="DH344" i="6"/>
  <c r="DN344" i="6"/>
  <c r="DM344" i="6"/>
  <c r="AA4287" i="5"/>
  <c r="Y4287" i="5"/>
  <c r="Z4287" i="5"/>
  <c r="Y4286" i="5"/>
  <c r="Z4286" i="5"/>
  <c r="AA4286" i="5"/>
  <c r="BV337" i="6"/>
  <c r="BP337" i="6"/>
  <c r="BK337" i="6"/>
  <c r="BQ337" i="6"/>
  <c r="BD336" i="6"/>
  <c r="BI336" i="6"/>
  <c r="BO336" i="6"/>
  <c r="BJ336" i="6"/>
  <c r="DS343" i="6"/>
  <c r="DM343" i="6"/>
  <c r="DH343" i="6"/>
  <c r="DN343" i="6"/>
  <c r="DE342" i="6"/>
  <c r="CT342" i="6"/>
  <c r="CY342" i="6"/>
  <c r="CZ342" i="6"/>
  <c r="Y6267" i="5"/>
  <c r="Z6267" i="5"/>
  <c r="Y6266" i="5"/>
  <c r="Z6266" i="5"/>
  <c r="F345" i="6"/>
  <c r="Z345" i="6"/>
  <c r="R345" i="6"/>
  <c r="L345" i="6"/>
  <c r="AI345" i="6"/>
  <c r="AM345" i="6"/>
  <c r="AK345" i="6"/>
  <c r="P345" i="6"/>
  <c r="J345" i="6"/>
  <c r="AB345" i="6"/>
  <c r="DT345" i="6" s="1"/>
  <c r="X345" i="6"/>
  <c r="N345" i="6"/>
  <c r="H345" i="6"/>
  <c r="V345" i="6"/>
  <c r="T345" i="6"/>
  <c r="D345" i="6"/>
  <c r="EF347" i="6"/>
  <c r="EG347" i="6" s="1"/>
  <c r="EH347" i="6" s="1"/>
  <c r="AA347" i="6" s="1"/>
  <c r="X346" i="6"/>
  <c r="N346" i="6"/>
  <c r="D346" i="6"/>
  <c r="Z346" i="6"/>
  <c r="V346" i="6"/>
  <c r="P346" i="6"/>
  <c r="T346" i="6"/>
  <c r="L346" i="6"/>
  <c r="R346" i="6"/>
  <c r="J346" i="6"/>
  <c r="H346" i="6"/>
  <c r="F346" i="6"/>
  <c r="AI346" i="6"/>
  <c r="AM346" i="6"/>
  <c r="AK346" i="6"/>
  <c r="AB346" i="6"/>
  <c r="DT346" i="6" s="1"/>
  <c r="DA343" i="6" l="1"/>
  <c r="DG343" i="6"/>
  <c r="DF343" i="6"/>
  <c r="DL343" i="6"/>
  <c r="AA1813" i="5"/>
  <c r="Y1813" i="5"/>
  <c r="Z1813" i="5"/>
  <c r="BD337" i="6"/>
  <c r="BJ337" i="6"/>
  <c r="BI337" i="6"/>
  <c r="BO337" i="6"/>
  <c r="Y5773" i="5"/>
  <c r="AA5773" i="5"/>
  <c r="Z5773" i="5"/>
  <c r="AA3297" i="5"/>
  <c r="Z3297" i="5"/>
  <c r="Y3297" i="5"/>
  <c r="BY340" i="6"/>
  <c r="CJ340" i="6"/>
  <c r="CE340" i="6"/>
  <c r="CD340" i="6"/>
  <c r="Y822" i="5"/>
  <c r="AA822" i="5"/>
  <c r="Z822" i="5"/>
  <c r="CM342" i="6"/>
  <c r="CR342" i="6"/>
  <c r="CS342" i="6"/>
  <c r="CX342" i="6"/>
  <c r="AT334" i="6"/>
  <c r="AO334" i="6"/>
  <c r="AN334" i="6"/>
  <c r="CE339" i="6"/>
  <c r="BY339" i="6"/>
  <c r="CD339" i="6"/>
  <c r="CJ339" i="6"/>
  <c r="AA4288" i="5"/>
  <c r="Y4288" i="5"/>
  <c r="Z4288" i="5"/>
  <c r="AA1812" i="5"/>
  <c r="Y1812" i="5"/>
  <c r="Z1812" i="5"/>
  <c r="DO345" i="6"/>
  <c r="DY345" i="6"/>
  <c r="DO346" i="6"/>
  <c r="DY346" i="6"/>
  <c r="Y4783" i="5"/>
  <c r="AA4783" i="5"/>
  <c r="Z4783" i="5"/>
  <c r="AA5772" i="5"/>
  <c r="Y5772" i="5"/>
  <c r="Z5772" i="5"/>
  <c r="BB336" i="6"/>
  <c r="AW336" i="6"/>
  <c r="BC336" i="6"/>
  <c r="BH336" i="6"/>
  <c r="AA2308" i="5"/>
  <c r="Y2308" i="5"/>
  <c r="Z2308" i="5"/>
  <c r="BR338" i="6"/>
  <c r="BX338" i="6"/>
  <c r="CC338" i="6"/>
  <c r="BW338" i="6"/>
  <c r="AA3793" i="5"/>
  <c r="Y3793" i="5"/>
  <c r="Z3793" i="5"/>
  <c r="AA823" i="5"/>
  <c r="Y823" i="5"/>
  <c r="Z823" i="5"/>
  <c r="CF341" i="6"/>
  <c r="CK341" i="6"/>
  <c r="CQ341" i="6"/>
  <c r="CL341" i="6"/>
  <c r="DA344" i="6"/>
  <c r="DF344" i="6"/>
  <c r="DG344" i="6"/>
  <c r="DL344" i="6"/>
  <c r="AA3792" i="5"/>
  <c r="Y3792" i="5"/>
  <c r="Z3792" i="5"/>
  <c r="AN333" i="6"/>
  <c r="AO333" i="6"/>
  <c r="AT333" i="6"/>
  <c r="BB335" i="6"/>
  <c r="AW335" i="6"/>
  <c r="BH335" i="6"/>
  <c r="BC335" i="6"/>
  <c r="D347" i="6"/>
  <c r="R347" i="6"/>
  <c r="J347" i="6"/>
  <c r="X347" i="6"/>
  <c r="P347" i="6"/>
  <c r="H347" i="6"/>
  <c r="F347" i="6"/>
  <c r="V347" i="6"/>
  <c r="L347" i="6"/>
  <c r="Z347" i="6"/>
  <c r="T347" i="6"/>
  <c r="N347" i="6"/>
  <c r="AB347" i="6"/>
  <c r="DT347" i="6" s="1"/>
  <c r="AI347" i="6"/>
  <c r="AM347" i="6"/>
  <c r="AK347" i="6"/>
  <c r="DX346" i="6"/>
  <c r="AA6269" i="5" s="1"/>
  <c r="DX345" i="6"/>
  <c r="AA6268" i="5" s="1"/>
  <c r="EF348" i="6"/>
  <c r="BA336" i="6" l="1"/>
  <c r="AP336" i="6"/>
  <c r="AU336" i="6"/>
  <c r="AV336" i="6"/>
  <c r="BA335" i="6"/>
  <c r="AP335" i="6"/>
  <c r="AU335" i="6"/>
  <c r="AV335" i="6"/>
  <c r="AA5279" i="5"/>
  <c r="Y5279" i="5"/>
  <c r="Z5279" i="5"/>
  <c r="DS346" i="6"/>
  <c r="DM346" i="6"/>
  <c r="DN346" i="6"/>
  <c r="DH346" i="6"/>
  <c r="AA4289" i="5"/>
  <c r="Z4289" i="5"/>
  <c r="Y4289" i="5"/>
  <c r="AW337" i="6"/>
  <c r="BH337" i="6"/>
  <c r="BB337" i="6"/>
  <c r="BC337" i="6"/>
  <c r="AA5278" i="5"/>
  <c r="Y5278" i="5"/>
  <c r="Z5278" i="5"/>
  <c r="AA1318" i="5"/>
  <c r="Z1318" i="5"/>
  <c r="Y1318" i="5"/>
  <c r="CE341" i="6"/>
  <c r="BY341" i="6"/>
  <c r="CJ341" i="6"/>
  <c r="CD341" i="6"/>
  <c r="BV338" i="6"/>
  <c r="BK338" i="6"/>
  <c r="BQ338" i="6"/>
  <c r="BP338" i="6"/>
  <c r="Y1319" i="5"/>
  <c r="AA1319" i="5"/>
  <c r="Z1319" i="5"/>
  <c r="AA3298" i="5"/>
  <c r="Y3298" i="5"/>
  <c r="Z3298" i="5"/>
  <c r="AA3299" i="5"/>
  <c r="Y3299" i="5"/>
  <c r="Z3299" i="5"/>
  <c r="AA1814" i="5"/>
  <c r="Y1814" i="5"/>
  <c r="Z1814" i="5"/>
  <c r="DO347" i="6"/>
  <c r="DY347" i="6"/>
  <c r="AA3794" i="5"/>
  <c r="Y3794" i="5"/>
  <c r="Z3794" i="5"/>
  <c r="AA328" i="5"/>
  <c r="Z328" i="5"/>
  <c r="Y328" i="5"/>
  <c r="DH345" i="6"/>
  <c r="DM345" i="6"/>
  <c r="DN345" i="6"/>
  <c r="DS345" i="6"/>
  <c r="BR340" i="6"/>
  <c r="BX340" i="6"/>
  <c r="CC340" i="6"/>
  <c r="BW340" i="6"/>
  <c r="DE344" i="6"/>
  <c r="CT344" i="6"/>
  <c r="CZ344" i="6"/>
  <c r="CY344" i="6"/>
  <c r="AA2803" i="5"/>
  <c r="Y2803" i="5"/>
  <c r="Z2803" i="5"/>
  <c r="BR339" i="6"/>
  <c r="BW339" i="6"/>
  <c r="BX339" i="6"/>
  <c r="CC339" i="6"/>
  <c r="AA329" i="5"/>
  <c r="Y329" i="5"/>
  <c r="Z329" i="5"/>
  <c r="CF342" i="6"/>
  <c r="CK342" i="6"/>
  <c r="CQ342" i="6"/>
  <c r="CL342" i="6"/>
  <c r="DE343" i="6"/>
  <c r="CT343" i="6"/>
  <c r="CY343" i="6"/>
  <c r="CZ343" i="6"/>
  <c r="Y6268" i="5"/>
  <c r="Z6268" i="5"/>
  <c r="Y6269" i="5"/>
  <c r="Z6269" i="5"/>
  <c r="EF349" i="6"/>
  <c r="EG348" i="6"/>
  <c r="EH348" i="6" s="1"/>
  <c r="AA348" i="6" s="1"/>
  <c r="DX347" i="6"/>
  <c r="AA6270" i="5" s="1"/>
  <c r="BY342" i="6" l="1"/>
  <c r="CJ342" i="6"/>
  <c r="CE342" i="6"/>
  <c r="CD342" i="6"/>
  <c r="AA3795" i="5"/>
  <c r="Y3795" i="5"/>
  <c r="Z3795" i="5"/>
  <c r="Z4785" i="5"/>
  <c r="Y4785" i="5"/>
  <c r="AA4785" i="5"/>
  <c r="DA345" i="6"/>
  <c r="DF345" i="6"/>
  <c r="DG345" i="6"/>
  <c r="DL345" i="6"/>
  <c r="CR343" i="6"/>
  <c r="CM343" i="6"/>
  <c r="CS343" i="6"/>
  <c r="CX343" i="6"/>
  <c r="BK339" i="6"/>
  <c r="BP339" i="6"/>
  <c r="BV339" i="6"/>
  <c r="BQ339" i="6"/>
  <c r="AA5774" i="5"/>
  <c r="Y5774" i="5"/>
  <c r="Z5774" i="5"/>
  <c r="AA1320" i="5"/>
  <c r="Y1320" i="5"/>
  <c r="Z1320" i="5"/>
  <c r="Y5775" i="5"/>
  <c r="Z5775" i="5"/>
  <c r="AA5775" i="5"/>
  <c r="AA4784" i="5"/>
  <c r="Y4784" i="5"/>
  <c r="Z4784" i="5"/>
  <c r="AA2805" i="5"/>
  <c r="Z2805" i="5"/>
  <c r="Y2805" i="5"/>
  <c r="AA3300" i="5"/>
  <c r="Y3300" i="5"/>
  <c r="Z3300" i="5"/>
  <c r="BA337" i="6"/>
  <c r="AP337" i="6"/>
  <c r="AV337" i="6"/>
  <c r="AU337" i="6"/>
  <c r="DA346" i="6"/>
  <c r="DG346" i="6"/>
  <c r="DF346" i="6"/>
  <c r="DL346" i="6"/>
  <c r="CR344" i="6"/>
  <c r="CS344" i="6"/>
  <c r="CM344" i="6"/>
  <c r="CX344" i="6"/>
  <c r="BD338" i="6"/>
  <c r="BO338" i="6"/>
  <c r="BJ338" i="6"/>
  <c r="BI338" i="6"/>
  <c r="BR341" i="6"/>
  <c r="CC341" i="6"/>
  <c r="BW341" i="6"/>
  <c r="BX341" i="6"/>
  <c r="AN335" i="6"/>
  <c r="AT335" i="6"/>
  <c r="AO335" i="6"/>
  <c r="AT336" i="6"/>
  <c r="AO336" i="6"/>
  <c r="AN336" i="6"/>
  <c r="AA2804" i="5"/>
  <c r="Z2804" i="5"/>
  <c r="Y2804" i="5"/>
  <c r="BV340" i="6"/>
  <c r="BK340" i="6"/>
  <c r="BQ340" i="6"/>
  <c r="BP340" i="6"/>
  <c r="DS347" i="6"/>
  <c r="DN347" i="6"/>
  <c r="DM347" i="6"/>
  <c r="DH347" i="6"/>
  <c r="Y2309" i="5"/>
  <c r="AA2309" i="5"/>
  <c r="Z2309" i="5"/>
  <c r="AA824" i="5"/>
  <c r="Y824" i="5"/>
  <c r="Z824" i="5"/>
  <c r="AA825" i="5"/>
  <c r="Z825" i="5"/>
  <c r="Y825" i="5"/>
  <c r="Y6270" i="5"/>
  <c r="Z6270" i="5"/>
  <c r="EF350" i="6"/>
  <c r="EG350" i="6" s="1"/>
  <c r="EH350" i="6" s="1"/>
  <c r="AA350" i="6" s="1"/>
  <c r="F348" i="6"/>
  <c r="T348" i="6"/>
  <c r="N348" i="6"/>
  <c r="R348" i="6"/>
  <c r="J348" i="6"/>
  <c r="X348" i="6"/>
  <c r="P348" i="6"/>
  <c r="H348" i="6"/>
  <c r="V348" i="6"/>
  <c r="L348" i="6"/>
  <c r="D348" i="6"/>
  <c r="Z348" i="6"/>
  <c r="AB348" i="6"/>
  <c r="DT348" i="6" s="1"/>
  <c r="AI348" i="6"/>
  <c r="AM348" i="6"/>
  <c r="AK348" i="6"/>
  <c r="EG349" i="6"/>
  <c r="EH349" i="6" s="1"/>
  <c r="AA349" i="6" s="1"/>
  <c r="DA347" i="6" l="1"/>
  <c r="DL347" i="6"/>
  <c r="DF347" i="6"/>
  <c r="DG347" i="6"/>
  <c r="BB338" i="6"/>
  <c r="AW338" i="6"/>
  <c r="BC338" i="6"/>
  <c r="BH338" i="6"/>
  <c r="Y826" i="5"/>
  <c r="AA826" i="5"/>
  <c r="Z826" i="5"/>
  <c r="AA331" i="5"/>
  <c r="Z331" i="5"/>
  <c r="Y331" i="5"/>
  <c r="AA4291" i="5"/>
  <c r="Y4291" i="5"/>
  <c r="Z4291" i="5"/>
  <c r="AA5281" i="5"/>
  <c r="Y5281" i="5"/>
  <c r="Z5281" i="5"/>
  <c r="CF343" i="6"/>
  <c r="CK343" i="6"/>
  <c r="CQ343" i="6"/>
  <c r="CL343" i="6"/>
  <c r="DO348" i="6"/>
  <c r="DY348" i="6"/>
  <c r="CF344" i="6"/>
  <c r="CQ344" i="6"/>
  <c r="CL344" i="6"/>
  <c r="CK344" i="6"/>
  <c r="BD339" i="6"/>
  <c r="BJ339" i="6"/>
  <c r="BI339" i="6"/>
  <c r="BO339" i="6"/>
  <c r="DE345" i="6"/>
  <c r="CT345" i="6"/>
  <c r="CY345" i="6"/>
  <c r="CZ345" i="6"/>
  <c r="BD340" i="6"/>
  <c r="BO340" i="6"/>
  <c r="BJ340" i="6"/>
  <c r="BI340" i="6"/>
  <c r="AA5776" i="5"/>
  <c r="Y5776" i="5"/>
  <c r="Z5776" i="5"/>
  <c r="AA2311" i="5"/>
  <c r="Z2311" i="5"/>
  <c r="Y2311" i="5"/>
  <c r="AA330" i="5"/>
  <c r="Y330" i="5"/>
  <c r="Z330" i="5"/>
  <c r="AA2806" i="5"/>
  <c r="Z2806" i="5"/>
  <c r="Y2806" i="5"/>
  <c r="AA1815" i="5"/>
  <c r="Y1815" i="5"/>
  <c r="Z1815" i="5"/>
  <c r="AN337" i="6"/>
  <c r="AT337" i="6"/>
  <c r="AO337" i="6"/>
  <c r="AA4290" i="5"/>
  <c r="Y4290" i="5"/>
  <c r="Z4290" i="5"/>
  <c r="AA5280" i="5"/>
  <c r="Y5280" i="5"/>
  <c r="Z5280" i="5"/>
  <c r="AA3301" i="5"/>
  <c r="Y3301" i="5"/>
  <c r="Z3301" i="5"/>
  <c r="BV341" i="6"/>
  <c r="BQ341" i="6"/>
  <c r="BP341" i="6"/>
  <c r="BK341" i="6"/>
  <c r="DE346" i="6"/>
  <c r="CT346" i="6"/>
  <c r="CY346" i="6"/>
  <c r="CZ346" i="6"/>
  <c r="AA2310" i="5"/>
  <c r="Z2310" i="5"/>
  <c r="Y2310" i="5"/>
  <c r="BR342" i="6"/>
  <c r="BX342" i="6"/>
  <c r="CC342" i="6"/>
  <c r="BW342" i="6"/>
  <c r="L350" i="6"/>
  <c r="T350" i="6"/>
  <c r="J350" i="6"/>
  <c r="R350" i="6"/>
  <c r="D350" i="6"/>
  <c r="X350" i="6"/>
  <c r="N350" i="6"/>
  <c r="H350" i="6"/>
  <c r="Z350" i="6"/>
  <c r="V350" i="6"/>
  <c r="P350" i="6"/>
  <c r="F350" i="6"/>
  <c r="AB350" i="6"/>
  <c r="DT350" i="6" s="1"/>
  <c r="AI350" i="6"/>
  <c r="AM350" i="6"/>
  <c r="AK350" i="6"/>
  <c r="DX348" i="6"/>
  <c r="AA6271" i="5" s="1"/>
  <c r="EF351" i="6"/>
  <c r="EG351" i="6" s="1"/>
  <c r="EH351" i="6" s="1"/>
  <c r="AA351" i="6" s="1"/>
  <c r="F349" i="6"/>
  <c r="J349" i="6"/>
  <c r="Z349" i="6"/>
  <c r="AB349" i="6"/>
  <c r="DT349" i="6" s="1"/>
  <c r="R349" i="6"/>
  <c r="D349" i="6"/>
  <c r="AI349" i="6"/>
  <c r="AM349" i="6"/>
  <c r="AK349" i="6"/>
  <c r="X349" i="6"/>
  <c r="P349" i="6"/>
  <c r="H349" i="6"/>
  <c r="V349" i="6"/>
  <c r="N349" i="6"/>
  <c r="T349" i="6"/>
  <c r="L349" i="6"/>
  <c r="DY350" i="6" l="1"/>
  <c r="DO350" i="6"/>
  <c r="BD341" i="6"/>
  <c r="BI341" i="6"/>
  <c r="BO341" i="6"/>
  <c r="BJ341" i="6"/>
  <c r="DS348" i="6"/>
  <c r="DH348" i="6"/>
  <c r="DN348" i="6"/>
  <c r="DM348" i="6"/>
  <c r="AA1817" i="5"/>
  <c r="Y1817" i="5"/>
  <c r="Z1817" i="5"/>
  <c r="CR345" i="6"/>
  <c r="CS345" i="6"/>
  <c r="CM345" i="6"/>
  <c r="CX345" i="6"/>
  <c r="AA3797" i="5"/>
  <c r="Y3797" i="5"/>
  <c r="Z3797" i="5"/>
  <c r="Y1321" i="5"/>
  <c r="AA1321" i="5"/>
  <c r="Z1321" i="5"/>
  <c r="CM346" i="6"/>
  <c r="CS346" i="6"/>
  <c r="CR346" i="6"/>
  <c r="CX346" i="6"/>
  <c r="AA332" i="5"/>
  <c r="Y332" i="5"/>
  <c r="Z332" i="5"/>
  <c r="BB339" i="6"/>
  <c r="AW339" i="6"/>
  <c r="BH339" i="6"/>
  <c r="BC339" i="6"/>
  <c r="BY344" i="6"/>
  <c r="CE344" i="6"/>
  <c r="CD344" i="6"/>
  <c r="CJ344" i="6"/>
  <c r="AA3796" i="5"/>
  <c r="Y3796" i="5"/>
  <c r="Z3796" i="5"/>
  <c r="AA2807" i="5"/>
  <c r="Y2807" i="5"/>
  <c r="Z2807" i="5"/>
  <c r="BB340" i="6"/>
  <c r="AW340" i="6"/>
  <c r="BC340" i="6"/>
  <c r="BH340" i="6"/>
  <c r="AA4786" i="5"/>
  <c r="Y4786" i="5"/>
  <c r="Z4786" i="5"/>
  <c r="DO349" i="6"/>
  <c r="DY349" i="6"/>
  <c r="Y4787" i="5"/>
  <c r="AA4787" i="5"/>
  <c r="Z4787" i="5"/>
  <c r="AA2312" i="5"/>
  <c r="Y2312" i="5"/>
  <c r="Z2312" i="5"/>
  <c r="AA1816" i="5"/>
  <c r="Y1816" i="5"/>
  <c r="Z1816" i="5"/>
  <c r="BA338" i="6"/>
  <c r="AP338" i="6"/>
  <c r="AV338" i="6"/>
  <c r="AU338" i="6"/>
  <c r="AA5282" i="5"/>
  <c r="Z5282" i="5"/>
  <c r="Y5282" i="5"/>
  <c r="BV342" i="6"/>
  <c r="BK342" i="6"/>
  <c r="BQ342" i="6"/>
  <c r="BP342" i="6"/>
  <c r="CE343" i="6"/>
  <c r="BY343" i="6"/>
  <c r="CD343" i="6"/>
  <c r="CJ343" i="6"/>
  <c r="DE347" i="6"/>
  <c r="CT347" i="6"/>
  <c r="CY347" i="6"/>
  <c r="CZ347" i="6"/>
  <c r="Y6271" i="5"/>
  <c r="Z6271" i="5"/>
  <c r="V351" i="6"/>
  <c r="L351" i="6"/>
  <c r="F351" i="6"/>
  <c r="T351" i="6"/>
  <c r="N351" i="6"/>
  <c r="Z351" i="6"/>
  <c r="AB351" i="6"/>
  <c r="DT351" i="6" s="1"/>
  <c r="R351" i="6"/>
  <c r="J351" i="6"/>
  <c r="X351" i="6"/>
  <c r="P351" i="6"/>
  <c r="H351" i="6"/>
  <c r="D351" i="6"/>
  <c r="AI351" i="6"/>
  <c r="AM351" i="6"/>
  <c r="AK351" i="6"/>
  <c r="EF352" i="6"/>
  <c r="EG352" i="6" s="1"/>
  <c r="EH352" i="6" s="1"/>
  <c r="AA352" i="6" s="1"/>
  <c r="DX349" i="6"/>
  <c r="AA6272" i="5" s="1"/>
  <c r="DX350" i="6"/>
  <c r="AA6273" i="5" s="1"/>
  <c r="AN338" i="6" l="1"/>
  <c r="AT338" i="6"/>
  <c r="AO338" i="6"/>
  <c r="DH349" i="6"/>
  <c r="DM349" i="6"/>
  <c r="DN349" i="6"/>
  <c r="DS349" i="6"/>
  <c r="Y1323" i="5"/>
  <c r="AA1323" i="5"/>
  <c r="Z1323" i="5"/>
  <c r="BA339" i="6"/>
  <c r="AP339" i="6"/>
  <c r="AU339" i="6"/>
  <c r="AV339" i="6"/>
  <c r="CF346" i="6"/>
  <c r="CK346" i="6"/>
  <c r="CQ346" i="6"/>
  <c r="CL346" i="6"/>
  <c r="CF345" i="6"/>
  <c r="CQ345" i="6"/>
  <c r="CL345" i="6"/>
  <c r="CK345" i="6"/>
  <c r="DA348" i="6"/>
  <c r="DF348" i="6"/>
  <c r="DG348" i="6"/>
  <c r="DL348" i="6"/>
  <c r="CR347" i="6"/>
  <c r="CM347" i="6"/>
  <c r="CS347" i="6"/>
  <c r="CX347" i="6"/>
  <c r="BR344" i="6"/>
  <c r="BX344" i="6"/>
  <c r="CC344" i="6"/>
  <c r="BW344" i="6"/>
  <c r="AA4293" i="5"/>
  <c r="Y4293" i="5"/>
  <c r="Z4293" i="5"/>
  <c r="Y5777" i="5"/>
  <c r="Z5777" i="5"/>
  <c r="AA5777" i="5"/>
  <c r="AW341" i="6"/>
  <c r="BC341" i="6"/>
  <c r="BB341" i="6"/>
  <c r="BH341" i="6"/>
  <c r="BD342" i="6"/>
  <c r="BO342" i="6"/>
  <c r="BJ342" i="6"/>
  <c r="BI342" i="6"/>
  <c r="AA827" i="5"/>
  <c r="Y827" i="5"/>
  <c r="Z827" i="5"/>
  <c r="DO351" i="6"/>
  <c r="DY351" i="6"/>
  <c r="AA4788" i="5"/>
  <c r="Y4788" i="5"/>
  <c r="Z4788" i="5"/>
  <c r="AA2313" i="5"/>
  <c r="Y2313" i="5"/>
  <c r="Z2313" i="5"/>
  <c r="BA340" i="6"/>
  <c r="AP340" i="6"/>
  <c r="AU340" i="6"/>
  <c r="AV340" i="6"/>
  <c r="AA3303" i="5"/>
  <c r="Y3303" i="5"/>
  <c r="Z3303" i="5"/>
  <c r="DS350" i="6"/>
  <c r="DM350" i="6"/>
  <c r="DH350" i="6"/>
  <c r="DN350" i="6"/>
  <c r="BR343" i="6"/>
  <c r="BX343" i="6"/>
  <c r="CC343" i="6"/>
  <c r="BW343" i="6"/>
  <c r="AA3302" i="5"/>
  <c r="Y3302" i="5"/>
  <c r="Z3302" i="5"/>
  <c r="AA1322" i="5"/>
  <c r="Z1322" i="5"/>
  <c r="Y1322" i="5"/>
  <c r="AA4292" i="5"/>
  <c r="Y4292" i="5"/>
  <c r="Z4292" i="5"/>
  <c r="AA1818" i="5"/>
  <c r="Z1818" i="5"/>
  <c r="Y1818" i="5"/>
  <c r="Y6273" i="5"/>
  <c r="Z6273" i="5"/>
  <c r="Y6272" i="5"/>
  <c r="Z6272" i="5"/>
  <c r="F352" i="6"/>
  <c r="X352" i="6"/>
  <c r="L352" i="6"/>
  <c r="R352" i="6"/>
  <c r="V352" i="6"/>
  <c r="N352" i="6"/>
  <c r="D352" i="6"/>
  <c r="T352" i="6"/>
  <c r="J352" i="6"/>
  <c r="P352" i="6"/>
  <c r="H352" i="6"/>
  <c r="AI352" i="6"/>
  <c r="AM352" i="6"/>
  <c r="AK352" i="6"/>
  <c r="AB352" i="6"/>
  <c r="DT352" i="6" s="1"/>
  <c r="Z352" i="6"/>
  <c r="DX351" i="6"/>
  <c r="AA6274" i="5" s="1"/>
  <c r="EF353" i="6"/>
  <c r="EG353" i="6" s="1"/>
  <c r="EH353" i="6" s="1"/>
  <c r="AA353" i="6" s="1"/>
  <c r="AA2808" i="5" l="1"/>
  <c r="Z2808" i="5"/>
  <c r="Y2808" i="5"/>
  <c r="Y829" i="5"/>
  <c r="AA829" i="5"/>
  <c r="Z829" i="5"/>
  <c r="DS351" i="6"/>
  <c r="DM351" i="6"/>
  <c r="DN351" i="6"/>
  <c r="DH351" i="6"/>
  <c r="AA1324" i="5"/>
  <c r="Z1324" i="5"/>
  <c r="Y1324" i="5"/>
  <c r="CF347" i="6"/>
  <c r="CQ347" i="6"/>
  <c r="CL347" i="6"/>
  <c r="CK347" i="6"/>
  <c r="AA3798" i="5"/>
  <c r="Y3798" i="5"/>
  <c r="Z3798" i="5"/>
  <c r="AT339" i="6"/>
  <c r="AN339" i="6"/>
  <c r="AO339" i="6"/>
  <c r="DA349" i="6"/>
  <c r="DG349" i="6"/>
  <c r="DF349" i="6"/>
  <c r="DL349" i="6"/>
  <c r="BK343" i="6"/>
  <c r="BV343" i="6"/>
  <c r="BQ343" i="6"/>
  <c r="BP343" i="6"/>
  <c r="BV344" i="6"/>
  <c r="BK344" i="6"/>
  <c r="BQ344" i="6"/>
  <c r="BP344" i="6"/>
  <c r="CE345" i="6"/>
  <c r="BY345" i="6"/>
  <c r="CJ345" i="6"/>
  <c r="CD345" i="6"/>
  <c r="BY346" i="6"/>
  <c r="CE346" i="6"/>
  <c r="CD346" i="6"/>
  <c r="CJ346" i="6"/>
  <c r="AA828" i="5"/>
  <c r="Z828" i="5"/>
  <c r="Y828" i="5"/>
  <c r="AA5778" i="5"/>
  <c r="Y5778" i="5"/>
  <c r="Z5778" i="5"/>
  <c r="DO352" i="6"/>
  <c r="DY352" i="6"/>
  <c r="Y5779" i="5"/>
  <c r="AA5779" i="5"/>
  <c r="Z5779" i="5"/>
  <c r="DE348" i="6"/>
  <c r="CT348" i="6"/>
  <c r="CZ348" i="6"/>
  <c r="CY348" i="6"/>
  <c r="AA1819" i="5"/>
  <c r="Z1819" i="5"/>
  <c r="Y1819" i="5"/>
  <c r="Y4294" i="5"/>
  <c r="AA4294" i="5"/>
  <c r="Z4294" i="5"/>
  <c r="AA5283" i="5"/>
  <c r="Y5283" i="5"/>
  <c r="Z5283" i="5"/>
  <c r="AA333" i="5"/>
  <c r="Y333" i="5"/>
  <c r="Z333" i="5"/>
  <c r="DA350" i="6"/>
  <c r="DG350" i="6"/>
  <c r="DF350" i="6"/>
  <c r="DL350" i="6"/>
  <c r="AT340" i="6"/>
  <c r="AO340" i="6"/>
  <c r="AN340" i="6"/>
  <c r="BB342" i="6"/>
  <c r="AW342" i="6"/>
  <c r="BC342" i="6"/>
  <c r="BH342" i="6"/>
  <c r="BA341" i="6"/>
  <c r="AP341" i="6"/>
  <c r="AV341" i="6"/>
  <c r="AU341" i="6"/>
  <c r="AA2809" i="5"/>
  <c r="Y2809" i="5"/>
  <c r="Z2809" i="5"/>
  <c r="AA3799" i="5"/>
  <c r="Y3799" i="5"/>
  <c r="Z3799" i="5"/>
  <c r="Y6274" i="5"/>
  <c r="Z6274" i="5"/>
  <c r="F353" i="6"/>
  <c r="Z353" i="6"/>
  <c r="T353" i="6"/>
  <c r="L353" i="6"/>
  <c r="AI353" i="6"/>
  <c r="AK353" i="6"/>
  <c r="R353" i="6"/>
  <c r="H353" i="6"/>
  <c r="X353" i="6"/>
  <c r="P353" i="6"/>
  <c r="D353" i="6"/>
  <c r="AM353" i="6"/>
  <c r="AB353" i="6"/>
  <c r="DT353" i="6" s="1"/>
  <c r="V353" i="6"/>
  <c r="N353" i="6"/>
  <c r="J353" i="6"/>
  <c r="EF354" i="6"/>
  <c r="DX352" i="6"/>
  <c r="AA6275" i="5" s="1"/>
  <c r="AA1325" i="5" l="1"/>
  <c r="Y1325" i="5"/>
  <c r="Z1325" i="5"/>
  <c r="CR348" i="6"/>
  <c r="CS348" i="6"/>
  <c r="CM348" i="6"/>
  <c r="CX348" i="6"/>
  <c r="BR346" i="6"/>
  <c r="CC346" i="6"/>
  <c r="BW346" i="6"/>
  <c r="BX346" i="6"/>
  <c r="AA2315" i="5"/>
  <c r="Z2315" i="5"/>
  <c r="Y2315" i="5"/>
  <c r="BD343" i="6"/>
  <c r="BO343" i="6"/>
  <c r="BI343" i="6"/>
  <c r="BJ343" i="6"/>
  <c r="DE349" i="6"/>
  <c r="CT349" i="6"/>
  <c r="CY349" i="6"/>
  <c r="CZ349" i="6"/>
  <c r="BA342" i="6"/>
  <c r="AP342" i="6"/>
  <c r="AV342" i="6"/>
  <c r="AU342" i="6"/>
  <c r="AA335" i="5"/>
  <c r="Z335" i="5"/>
  <c r="Y335" i="5"/>
  <c r="DE350" i="6"/>
  <c r="CT350" i="6"/>
  <c r="CZ350" i="6"/>
  <c r="CY350" i="6"/>
  <c r="Y4789" i="5"/>
  <c r="Z4789" i="5"/>
  <c r="AA4789" i="5"/>
  <c r="AA3305" i="5"/>
  <c r="Z3305" i="5"/>
  <c r="Y3305" i="5"/>
  <c r="AA5284" i="5"/>
  <c r="Y5284" i="5"/>
  <c r="Z5284" i="5"/>
  <c r="AA3800" i="5"/>
  <c r="Z3800" i="5"/>
  <c r="Y3800" i="5"/>
  <c r="Y5780" i="5"/>
  <c r="Z5780" i="5"/>
  <c r="AA5780" i="5"/>
  <c r="AN341" i="6"/>
  <c r="AT341" i="6"/>
  <c r="AO341" i="6"/>
  <c r="DO353" i="6"/>
  <c r="DY353" i="6"/>
  <c r="Y830" i="5"/>
  <c r="AA830" i="5"/>
  <c r="Z830" i="5"/>
  <c r="AA5285" i="5"/>
  <c r="Z5285" i="5"/>
  <c r="Y5285" i="5"/>
  <c r="DS352" i="6"/>
  <c r="DH352" i="6"/>
  <c r="DN352" i="6"/>
  <c r="DM352" i="6"/>
  <c r="AA3304" i="5"/>
  <c r="Y3304" i="5"/>
  <c r="Z3304" i="5"/>
  <c r="CE347" i="6"/>
  <c r="BY347" i="6"/>
  <c r="CD347" i="6"/>
  <c r="CJ347" i="6"/>
  <c r="DA351" i="6"/>
  <c r="DF351" i="6"/>
  <c r="DL351" i="6"/>
  <c r="DG351" i="6"/>
  <c r="BR345" i="6"/>
  <c r="BW345" i="6"/>
  <c r="BX345" i="6"/>
  <c r="CC345" i="6"/>
  <c r="BD344" i="6"/>
  <c r="BO344" i="6"/>
  <c r="BJ344" i="6"/>
  <c r="BI344" i="6"/>
  <c r="AA2314" i="5"/>
  <c r="Y2314" i="5"/>
  <c r="Z2314" i="5"/>
  <c r="AA334" i="5"/>
  <c r="Y334" i="5"/>
  <c r="Z334" i="5"/>
  <c r="Y6275" i="5"/>
  <c r="Z6275" i="5"/>
  <c r="EF355" i="6"/>
  <c r="EG355" i="6" s="1"/>
  <c r="EH355" i="6" s="1"/>
  <c r="AA355" i="6" s="1"/>
  <c r="EG354" i="6"/>
  <c r="EH354" i="6" s="1"/>
  <c r="AA354" i="6" s="1"/>
  <c r="DX353" i="6"/>
  <c r="AA6276" i="5" s="1"/>
  <c r="BR347" i="6" l="1"/>
  <c r="BX347" i="6"/>
  <c r="CC347" i="6"/>
  <c r="BW347" i="6"/>
  <c r="Y5781" i="5"/>
  <c r="Z5781" i="5"/>
  <c r="AA5781" i="5"/>
  <c r="DH353" i="6"/>
  <c r="DM353" i="6"/>
  <c r="DN353" i="6"/>
  <c r="DS353" i="6"/>
  <c r="AN342" i="6"/>
  <c r="AT342" i="6"/>
  <c r="AO342" i="6"/>
  <c r="CR349" i="6"/>
  <c r="CS349" i="6"/>
  <c r="CM349" i="6"/>
  <c r="CX349" i="6"/>
  <c r="AA1820" i="5"/>
  <c r="Y1820" i="5"/>
  <c r="Z1820" i="5"/>
  <c r="BV346" i="6"/>
  <c r="BK346" i="6"/>
  <c r="BQ346" i="6"/>
  <c r="BP346" i="6"/>
  <c r="AA1821" i="5"/>
  <c r="Y1821" i="5"/>
  <c r="Z1821" i="5"/>
  <c r="BV345" i="6"/>
  <c r="BQ345" i="6"/>
  <c r="BK345" i="6"/>
  <c r="BP345" i="6"/>
  <c r="CM350" i="6"/>
  <c r="CX350" i="6"/>
  <c r="CR350" i="6"/>
  <c r="CS350" i="6"/>
  <c r="AA831" i="5"/>
  <c r="Y831" i="5"/>
  <c r="Z831" i="5"/>
  <c r="BB343" i="6"/>
  <c r="AW343" i="6"/>
  <c r="BC343" i="6"/>
  <c r="BH343" i="6"/>
  <c r="AA4295" i="5"/>
  <c r="Y4295" i="5"/>
  <c r="Z4295" i="5"/>
  <c r="BB344" i="6"/>
  <c r="AW344" i="6"/>
  <c r="BC344" i="6"/>
  <c r="BH344" i="6"/>
  <c r="DE351" i="6"/>
  <c r="CT351" i="6"/>
  <c r="CY351" i="6"/>
  <c r="CZ351" i="6"/>
  <c r="Z4790" i="5"/>
  <c r="Y4790" i="5"/>
  <c r="AA4790" i="5"/>
  <c r="AA2810" i="5"/>
  <c r="Y2810" i="5"/>
  <c r="Z2810" i="5"/>
  <c r="AA3306" i="5"/>
  <c r="Y3306" i="5"/>
  <c r="Z3306" i="5"/>
  <c r="AA336" i="5"/>
  <c r="Y336" i="5"/>
  <c r="Z336" i="5"/>
  <c r="Y4791" i="5"/>
  <c r="Z4791" i="5"/>
  <c r="AA4791" i="5"/>
  <c r="CF348" i="6"/>
  <c r="CL348" i="6"/>
  <c r="CK348" i="6"/>
  <c r="CQ348" i="6"/>
  <c r="AA5286" i="5"/>
  <c r="Y5286" i="5"/>
  <c r="Z5286" i="5"/>
  <c r="DA352" i="6"/>
  <c r="DG352" i="6"/>
  <c r="DF352" i="6"/>
  <c r="DL352" i="6"/>
  <c r="AA2811" i="5"/>
  <c r="Y2811" i="5"/>
  <c r="Z2811" i="5"/>
  <c r="Y6276" i="5"/>
  <c r="Z6276" i="5"/>
  <c r="X355" i="6"/>
  <c r="P355" i="6"/>
  <c r="N355" i="6"/>
  <c r="Z355" i="6"/>
  <c r="V355" i="6"/>
  <c r="L355" i="6"/>
  <c r="T355" i="6"/>
  <c r="J355" i="6"/>
  <c r="D355" i="6"/>
  <c r="R355" i="6"/>
  <c r="H355" i="6"/>
  <c r="F355" i="6"/>
  <c r="AM355" i="6"/>
  <c r="AB355" i="6"/>
  <c r="DT355" i="6" s="1"/>
  <c r="AI355" i="6"/>
  <c r="AK355" i="6"/>
  <c r="EF356" i="6"/>
  <c r="EG356" i="6" s="1"/>
  <c r="EH356" i="6" s="1"/>
  <c r="AA356" i="6" s="1"/>
  <c r="R354" i="6"/>
  <c r="P354" i="6"/>
  <c r="X354" i="6"/>
  <c r="N354" i="6"/>
  <c r="D354" i="6"/>
  <c r="Z354" i="6"/>
  <c r="V354" i="6"/>
  <c r="L354" i="6"/>
  <c r="T354" i="6"/>
  <c r="J354" i="6"/>
  <c r="F354" i="6"/>
  <c r="AM354" i="6"/>
  <c r="AB354" i="6"/>
  <c r="DT354" i="6" s="1"/>
  <c r="H354" i="6"/>
  <c r="AI354" i="6"/>
  <c r="AK354" i="6"/>
  <c r="BA343" i="6" l="1"/>
  <c r="AP343" i="6"/>
  <c r="AU343" i="6"/>
  <c r="AV343" i="6"/>
  <c r="AA5287" i="5"/>
  <c r="Y5287" i="5"/>
  <c r="Z5287" i="5"/>
  <c r="CR351" i="6"/>
  <c r="CM351" i="6"/>
  <c r="CS351" i="6"/>
  <c r="CX351" i="6"/>
  <c r="BA344" i="6"/>
  <c r="AP344" i="6"/>
  <c r="AU344" i="6"/>
  <c r="AV344" i="6"/>
  <c r="DA353" i="6"/>
  <c r="DG353" i="6"/>
  <c r="DF353" i="6"/>
  <c r="DL353" i="6"/>
  <c r="AA3801" i="5"/>
  <c r="Z3801" i="5"/>
  <c r="Y3801" i="5"/>
  <c r="Z4792" i="5"/>
  <c r="Y4792" i="5"/>
  <c r="AA4792" i="5"/>
  <c r="BD345" i="6"/>
  <c r="BO345" i="6"/>
  <c r="BJ345" i="6"/>
  <c r="BI345" i="6"/>
  <c r="BD346" i="6"/>
  <c r="BJ346" i="6"/>
  <c r="BI346" i="6"/>
  <c r="BO346" i="6"/>
  <c r="AA5782" i="5"/>
  <c r="Y5782" i="5"/>
  <c r="Z5782" i="5"/>
  <c r="AA2812" i="5"/>
  <c r="Z2812" i="5"/>
  <c r="Y2812" i="5"/>
  <c r="DO354" i="6"/>
  <c r="DY354" i="6"/>
  <c r="DO355" i="6"/>
  <c r="DY355" i="6"/>
  <c r="AA1326" i="5"/>
  <c r="Y1326" i="5"/>
  <c r="Z1326" i="5"/>
  <c r="BY348" i="6"/>
  <c r="CD348" i="6"/>
  <c r="CJ348" i="6"/>
  <c r="CE348" i="6"/>
  <c r="Y1327" i="5"/>
  <c r="AA1327" i="5"/>
  <c r="Z1327" i="5"/>
  <c r="AA4297" i="5"/>
  <c r="Y4297" i="5"/>
  <c r="Z4297" i="5"/>
  <c r="AA2317" i="5"/>
  <c r="Y2317" i="5"/>
  <c r="Z2317" i="5"/>
  <c r="AA4296" i="5"/>
  <c r="Z4296" i="5"/>
  <c r="Y4296" i="5"/>
  <c r="DE352" i="6"/>
  <c r="CT352" i="6"/>
  <c r="CZ352" i="6"/>
  <c r="CY352" i="6"/>
  <c r="CF350" i="6"/>
  <c r="CQ350" i="6"/>
  <c r="CL350" i="6"/>
  <c r="CK350" i="6"/>
  <c r="AA2316" i="5"/>
  <c r="Z2316" i="5"/>
  <c r="Y2316" i="5"/>
  <c r="CF349" i="6"/>
  <c r="CL349" i="6"/>
  <c r="CK349" i="6"/>
  <c r="CQ349" i="6"/>
  <c r="AA337" i="5"/>
  <c r="Z337" i="5"/>
  <c r="Y337" i="5"/>
  <c r="BK347" i="6"/>
  <c r="BV347" i="6"/>
  <c r="BQ347" i="6"/>
  <c r="BP347" i="6"/>
  <c r="F356" i="6"/>
  <c r="T356" i="6"/>
  <c r="N356" i="6"/>
  <c r="P356" i="6"/>
  <c r="J356" i="6"/>
  <c r="X356" i="6"/>
  <c r="L356" i="6"/>
  <c r="H356" i="6"/>
  <c r="V356" i="6"/>
  <c r="R356" i="6"/>
  <c r="D356" i="6"/>
  <c r="AK356" i="6"/>
  <c r="AI356" i="6"/>
  <c r="AB356" i="6"/>
  <c r="DT356" i="6" s="1"/>
  <c r="Z356" i="6"/>
  <c r="AM356" i="6"/>
  <c r="DX354" i="6"/>
  <c r="AA6277" i="5" s="1"/>
  <c r="EF357" i="6"/>
  <c r="EG357" i="6" s="1"/>
  <c r="EH357" i="6" s="1"/>
  <c r="AA357" i="6" s="1"/>
  <c r="DX355" i="6"/>
  <c r="AA6278" i="5" s="1"/>
  <c r="BD347" i="6" l="1"/>
  <c r="BJ347" i="6"/>
  <c r="BO347" i="6"/>
  <c r="BI347" i="6"/>
  <c r="AA3802" i="5"/>
  <c r="Y3802" i="5"/>
  <c r="Z3802" i="5"/>
  <c r="AA3803" i="5"/>
  <c r="Y3803" i="5"/>
  <c r="Z3803" i="5"/>
  <c r="CR352" i="6"/>
  <c r="CS352" i="6"/>
  <c r="CM352" i="6"/>
  <c r="CX352" i="6"/>
  <c r="DS354" i="6"/>
  <c r="DH354" i="6"/>
  <c r="DM354" i="6"/>
  <c r="DN354" i="6"/>
  <c r="DE353" i="6"/>
  <c r="CT353" i="6"/>
  <c r="CZ353" i="6"/>
  <c r="CY353" i="6"/>
  <c r="AA833" i="5"/>
  <c r="Y833" i="5"/>
  <c r="Z833" i="5"/>
  <c r="BY350" i="6"/>
  <c r="CD350" i="6"/>
  <c r="CJ350" i="6"/>
  <c r="CE350" i="6"/>
  <c r="Y4793" i="5"/>
  <c r="AA4793" i="5"/>
  <c r="Z4793" i="5"/>
  <c r="BR348" i="6"/>
  <c r="CC348" i="6"/>
  <c r="BW348" i="6"/>
  <c r="BX348" i="6"/>
  <c r="AA1822" i="5"/>
  <c r="Y1822" i="5"/>
  <c r="Z1822" i="5"/>
  <c r="AA5288" i="5"/>
  <c r="Y5288" i="5"/>
  <c r="Z5288" i="5"/>
  <c r="Z4298" i="5"/>
  <c r="Y4298" i="5"/>
  <c r="AA4298" i="5"/>
  <c r="AA2318" i="5"/>
  <c r="Y2318" i="5"/>
  <c r="Z2318" i="5"/>
  <c r="BY349" i="6"/>
  <c r="CE349" i="6"/>
  <c r="CJ349" i="6"/>
  <c r="CD349" i="6"/>
  <c r="DS355" i="6"/>
  <c r="DM355" i="6"/>
  <c r="DN355" i="6"/>
  <c r="DH355" i="6"/>
  <c r="BB346" i="6"/>
  <c r="AW346" i="6"/>
  <c r="BC346" i="6"/>
  <c r="BH346" i="6"/>
  <c r="AW345" i="6"/>
  <c r="BB345" i="6"/>
  <c r="BH345" i="6"/>
  <c r="BC345" i="6"/>
  <c r="AN343" i="6"/>
  <c r="AT343" i="6"/>
  <c r="AO343" i="6"/>
  <c r="DO356" i="6"/>
  <c r="DY356" i="6"/>
  <c r="AA3307" i="5"/>
  <c r="Y3307" i="5"/>
  <c r="Z3307" i="5"/>
  <c r="AA1823" i="5"/>
  <c r="Y1823" i="5"/>
  <c r="Z1823" i="5"/>
  <c r="AO344" i="6"/>
  <c r="AN344" i="6"/>
  <c r="AT344" i="6"/>
  <c r="CF351" i="6"/>
  <c r="CL351" i="6"/>
  <c r="CK351" i="6"/>
  <c r="CQ351" i="6"/>
  <c r="AA832" i="5"/>
  <c r="Y832" i="5"/>
  <c r="Z832" i="5"/>
  <c r="Y6278" i="5"/>
  <c r="Z6278" i="5"/>
  <c r="Y6277" i="5"/>
  <c r="Z6277" i="5"/>
  <c r="EF358" i="6"/>
  <c r="DX356" i="6"/>
  <c r="AA6279" i="5" s="1"/>
  <c r="F357" i="6"/>
  <c r="Z357" i="6"/>
  <c r="X357" i="6"/>
  <c r="P357" i="6"/>
  <c r="D357" i="6"/>
  <c r="AI357" i="6"/>
  <c r="AK357" i="6"/>
  <c r="V357" i="6"/>
  <c r="N357" i="6"/>
  <c r="H357" i="6"/>
  <c r="T357" i="6"/>
  <c r="L357" i="6"/>
  <c r="AM357" i="6"/>
  <c r="R357" i="6"/>
  <c r="J357" i="6"/>
  <c r="AB357" i="6"/>
  <c r="DT357" i="6" s="1"/>
  <c r="Y5784" i="5" l="1"/>
  <c r="AA5784" i="5"/>
  <c r="Z5784" i="5"/>
  <c r="DS356" i="6"/>
  <c r="DH356" i="6"/>
  <c r="DN356" i="6"/>
  <c r="DM356" i="6"/>
  <c r="Y1329" i="5"/>
  <c r="AA1329" i="5"/>
  <c r="Z1329" i="5"/>
  <c r="DA355" i="6"/>
  <c r="DF355" i="6"/>
  <c r="DL355" i="6"/>
  <c r="DG355" i="6"/>
  <c r="AA3309" i="5"/>
  <c r="Y3309" i="5"/>
  <c r="Z3309" i="5"/>
  <c r="CR353" i="6"/>
  <c r="CS353" i="6"/>
  <c r="CM353" i="6"/>
  <c r="CX353" i="6"/>
  <c r="DA354" i="6"/>
  <c r="DL354" i="6"/>
  <c r="DF354" i="6"/>
  <c r="DG354" i="6"/>
  <c r="BY351" i="6"/>
  <c r="CE351" i="6"/>
  <c r="CD351" i="6"/>
  <c r="CJ351" i="6"/>
  <c r="AA1328" i="5"/>
  <c r="Z1328" i="5"/>
  <c r="Y1328" i="5"/>
  <c r="AA3308" i="5"/>
  <c r="Y3308" i="5"/>
  <c r="Z3308" i="5"/>
  <c r="Y4794" i="5"/>
  <c r="AA4794" i="5"/>
  <c r="Z4794" i="5"/>
  <c r="Y5783" i="5"/>
  <c r="AA5783" i="5"/>
  <c r="Z5783" i="5"/>
  <c r="AA1824" i="5"/>
  <c r="Y1824" i="5"/>
  <c r="Z1824" i="5"/>
  <c r="BA345" i="6"/>
  <c r="AP345" i="6"/>
  <c r="AV345" i="6"/>
  <c r="AU345" i="6"/>
  <c r="DO357" i="6"/>
  <c r="DY357" i="6"/>
  <c r="AA3804" i="5"/>
  <c r="Z3804" i="5"/>
  <c r="Y3804" i="5"/>
  <c r="AA339" i="5"/>
  <c r="Z339" i="5"/>
  <c r="Y339" i="5"/>
  <c r="AA338" i="5"/>
  <c r="Y338" i="5"/>
  <c r="Z338" i="5"/>
  <c r="BA346" i="6"/>
  <c r="AP346" i="6"/>
  <c r="AV346" i="6"/>
  <c r="AU346" i="6"/>
  <c r="AA2813" i="5"/>
  <c r="Y2813" i="5"/>
  <c r="Z2813" i="5"/>
  <c r="BR350" i="6"/>
  <c r="BW350" i="6"/>
  <c r="BX350" i="6"/>
  <c r="CC350" i="6"/>
  <c r="AA4299" i="5"/>
  <c r="Y4299" i="5"/>
  <c r="Z4299" i="5"/>
  <c r="BR349" i="6"/>
  <c r="BX349" i="6"/>
  <c r="CC349" i="6"/>
  <c r="BW349" i="6"/>
  <c r="BV348" i="6"/>
  <c r="BK348" i="6"/>
  <c r="BP348" i="6"/>
  <c r="BQ348" i="6"/>
  <c r="CF352" i="6"/>
  <c r="CK352" i="6"/>
  <c r="CQ352" i="6"/>
  <c r="CL352" i="6"/>
  <c r="BB347" i="6"/>
  <c r="AW347" i="6"/>
  <c r="BC347" i="6"/>
  <c r="BH347" i="6"/>
  <c r="Y6279" i="5"/>
  <c r="Z6279" i="5"/>
  <c r="EF359" i="6"/>
  <c r="DX357" i="6"/>
  <c r="AA6280" i="5" s="1"/>
  <c r="EG358" i="6"/>
  <c r="EH358" i="6" s="1"/>
  <c r="AA358" i="6" s="1"/>
  <c r="BA347" i="6" l="1"/>
  <c r="AP347" i="6"/>
  <c r="AU347" i="6"/>
  <c r="AV347" i="6"/>
  <c r="AA1330" i="5"/>
  <c r="Z1330" i="5"/>
  <c r="Y1330" i="5"/>
  <c r="DH357" i="6"/>
  <c r="DM357" i="6"/>
  <c r="DN357" i="6"/>
  <c r="DS357" i="6"/>
  <c r="AA3310" i="5"/>
  <c r="Z3310" i="5"/>
  <c r="Y3310" i="5"/>
  <c r="AA4300" i="5"/>
  <c r="Z4300" i="5"/>
  <c r="Y4300" i="5"/>
  <c r="AA3805" i="5"/>
  <c r="Y3805" i="5"/>
  <c r="Z3805" i="5"/>
  <c r="AA2814" i="5"/>
  <c r="Z2814" i="5"/>
  <c r="Y2814" i="5"/>
  <c r="AA835" i="5"/>
  <c r="Y835" i="5"/>
  <c r="Z835" i="5"/>
  <c r="CF353" i="6"/>
  <c r="CK353" i="6"/>
  <c r="CQ353" i="6"/>
  <c r="CL353" i="6"/>
  <c r="Y5785" i="5"/>
  <c r="Z5785" i="5"/>
  <c r="AA5785" i="5"/>
  <c r="BV350" i="6"/>
  <c r="BQ350" i="6"/>
  <c r="BK350" i="6"/>
  <c r="BP350" i="6"/>
  <c r="AA5289" i="5"/>
  <c r="Y5289" i="5"/>
  <c r="Z5289" i="5"/>
  <c r="CT355" i="6"/>
  <c r="CY355" i="6"/>
  <c r="CZ355" i="6"/>
  <c r="DE355" i="6"/>
  <c r="BY352" i="6"/>
  <c r="CD352" i="6"/>
  <c r="CJ352" i="6"/>
  <c r="CE352" i="6"/>
  <c r="Y2319" i="5"/>
  <c r="Z2319" i="5"/>
  <c r="AA2319" i="5"/>
  <c r="BV349" i="6"/>
  <c r="BK349" i="6"/>
  <c r="BQ349" i="6"/>
  <c r="BP349" i="6"/>
  <c r="AA2815" i="5"/>
  <c r="Y2815" i="5"/>
  <c r="Z2815" i="5"/>
  <c r="AN345" i="6"/>
  <c r="AT345" i="6"/>
  <c r="AO345" i="6"/>
  <c r="BR351" i="6"/>
  <c r="CC351" i="6"/>
  <c r="BW351" i="6"/>
  <c r="BX351" i="6"/>
  <c r="DE354" i="6"/>
  <c r="CT354" i="6"/>
  <c r="CZ354" i="6"/>
  <c r="CY354" i="6"/>
  <c r="BD348" i="6"/>
  <c r="BJ348" i="6"/>
  <c r="BI348" i="6"/>
  <c r="BO348" i="6"/>
  <c r="AT346" i="6"/>
  <c r="AN346" i="6"/>
  <c r="AO346" i="6"/>
  <c r="Y834" i="5"/>
  <c r="Z834" i="5"/>
  <c r="AA834" i="5"/>
  <c r="AA5290" i="5"/>
  <c r="Y5290" i="5"/>
  <c r="Z5290" i="5"/>
  <c r="DA356" i="6"/>
  <c r="DL356" i="6"/>
  <c r="DF356" i="6"/>
  <c r="DG356" i="6"/>
  <c r="Y6280" i="5"/>
  <c r="Z6280" i="5"/>
  <c r="EF360" i="6"/>
  <c r="EG360" i="6" s="1"/>
  <c r="EH360" i="6" s="1"/>
  <c r="AA360" i="6" s="1"/>
  <c r="T358" i="6"/>
  <c r="J358" i="6"/>
  <c r="AB358" i="6"/>
  <c r="DT358" i="6" s="1"/>
  <c r="R358" i="6"/>
  <c r="D358" i="6"/>
  <c r="Z358" i="6"/>
  <c r="V358" i="6"/>
  <c r="N358" i="6"/>
  <c r="H358" i="6"/>
  <c r="X358" i="6"/>
  <c r="P358" i="6"/>
  <c r="L358" i="6"/>
  <c r="AM358" i="6"/>
  <c r="F358" i="6"/>
  <c r="AI358" i="6"/>
  <c r="AK358" i="6"/>
  <c r="EG359" i="6"/>
  <c r="EH359" i="6" s="1"/>
  <c r="AA359" i="6" s="1"/>
  <c r="BD349" i="6" l="1"/>
  <c r="BO349" i="6"/>
  <c r="BJ349" i="6"/>
  <c r="BI349" i="6"/>
  <c r="AA5291" i="5"/>
  <c r="Z5291" i="5"/>
  <c r="Y5291" i="5"/>
  <c r="AA340" i="5"/>
  <c r="Y340" i="5"/>
  <c r="Z340" i="5"/>
  <c r="Y2320" i="5"/>
  <c r="AA2320" i="5"/>
  <c r="Z2320" i="5"/>
  <c r="AA4796" i="5"/>
  <c r="Y4796" i="5"/>
  <c r="Z4796" i="5"/>
  <c r="BD350" i="6"/>
  <c r="BI350" i="6"/>
  <c r="BO350" i="6"/>
  <c r="BJ350" i="6"/>
  <c r="DF357" i="6"/>
  <c r="DA357" i="6"/>
  <c r="DL357" i="6"/>
  <c r="DG357" i="6"/>
  <c r="CM354" i="6"/>
  <c r="CR354" i="6"/>
  <c r="CX354" i="6"/>
  <c r="CS354" i="6"/>
  <c r="AA2816" i="5"/>
  <c r="Y2816" i="5"/>
  <c r="Z2816" i="5"/>
  <c r="AA3311" i="5"/>
  <c r="Z3311" i="5"/>
  <c r="Y3311" i="5"/>
  <c r="CE353" i="6"/>
  <c r="BY353" i="6"/>
  <c r="CJ353" i="6"/>
  <c r="CD353" i="6"/>
  <c r="AA5786" i="5"/>
  <c r="Z5786" i="5"/>
  <c r="Y5786" i="5"/>
  <c r="CY356" i="6"/>
  <c r="CT356" i="6"/>
  <c r="CZ356" i="6"/>
  <c r="DE356" i="6"/>
  <c r="AA341" i="5"/>
  <c r="Z341" i="5"/>
  <c r="Y341" i="5"/>
  <c r="BB348" i="6"/>
  <c r="AW348" i="6"/>
  <c r="BC348" i="6"/>
  <c r="BH348" i="6"/>
  <c r="Y4795" i="5"/>
  <c r="AA4795" i="5"/>
  <c r="Z4795" i="5"/>
  <c r="BK351" i="6"/>
  <c r="BQ351" i="6"/>
  <c r="BP351" i="6"/>
  <c r="BV351" i="6"/>
  <c r="AA2321" i="5"/>
  <c r="Y2321" i="5"/>
  <c r="Z2321" i="5"/>
  <c r="AN347" i="6"/>
  <c r="AT347" i="6"/>
  <c r="AO347" i="6"/>
  <c r="DO358" i="6"/>
  <c r="DY358" i="6"/>
  <c r="AA1825" i="5"/>
  <c r="Y1825" i="5"/>
  <c r="Z1825" i="5"/>
  <c r="BR352" i="6"/>
  <c r="BW352" i="6"/>
  <c r="BX352" i="6"/>
  <c r="CC352" i="6"/>
  <c r="CR355" i="6"/>
  <c r="CM355" i="6"/>
  <c r="CS355" i="6"/>
  <c r="CX355" i="6"/>
  <c r="AA3806" i="5"/>
  <c r="Y3806" i="5"/>
  <c r="Z3806" i="5"/>
  <c r="AA836" i="5"/>
  <c r="Z836" i="5"/>
  <c r="Y836" i="5"/>
  <c r="DX358" i="6"/>
  <c r="AA6281" i="5" s="1"/>
  <c r="F360" i="6"/>
  <c r="X360" i="6"/>
  <c r="P360" i="6"/>
  <c r="H360" i="6"/>
  <c r="V360" i="6"/>
  <c r="L360" i="6"/>
  <c r="D360" i="6"/>
  <c r="T360" i="6"/>
  <c r="N360" i="6"/>
  <c r="R360" i="6"/>
  <c r="J360" i="6"/>
  <c r="Z360" i="6"/>
  <c r="AI360" i="6"/>
  <c r="AM360" i="6"/>
  <c r="AB360" i="6"/>
  <c r="DT360" i="6" s="1"/>
  <c r="AK360" i="6"/>
  <c r="Z359" i="6"/>
  <c r="T359" i="6"/>
  <c r="J359" i="6"/>
  <c r="AB359" i="6"/>
  <c r="DT359" i="6" s="1"/>
  <c r="R359" i="6"/>
  <c r="N359" i="6"/>
  <c r="X359" i="6"/>
  <c r="P359" i="6"/>
  <c r="H359" i="6"/>
  <c r="F359" i="6"/>
  <c r="V359" i="6"/>
  <c r="L359" i="6"/>
  <c r="AM359" i="6"/>
  <c r="AI359" i="6"/>
  <c r="AK359" i="6"/>
  <c r="D359" i="6"/>
  <c r="EF361" i="6"/>
  <c r="EG361" i="6" s="1"/>
  <c r="EH361" i="6" s="1"/>
  <c r="AA361" i="6" s="1"/>
  <c r="DO360" i="6" l="1"/>
  <c r="DY360" i="6"/>
  <c r="CF355" i="6"/>
  <c r="CK355" i="6"/>
  <c r="CQ355" i="6"/>
  <c r="CL355" i="6"/>
  <c r="AA342" i="5"/>
  <c r="Y342" i="5"/>
  <c r="Z342" i="5"/>
  <c r="BD351" i="6"/>
  <c r="BI351" i="6"/>
  <c r="BO351" i="6"/>
  <c r="BJ351" i="6"/>
  <c r="Y1331" i="5"/>
  <c r="AA1331" i="5"/>
  <c r="Z1331" i="5"/>
  <c r="BW353" i="6"/>
  <c r="BR353" i="6"/>
  <c r="BX353" i="6"/>
  <c r="CC353" i="6"/>
  <c r="BV352" i="6"/>
  <c r="BK352" i="6"/>
  <c r="BP352" i="6"/>
  <c r="BQ352" i="6"/>
  <c r="AA2322" i="5"/>
  <c r="Y2322" i="5"/>
  <c r="Z2322" i="5"/>
  <c r="CR356" i="6"/>
  <c r="CS356" i="6"/>
  <c r="CM356" i="6"/>
  <c r="CX356" i="6"/>
  <c r="AA4301" i="5"/>
  <c r="Y4301" i="5"/>
  <c r="Z4301" i="5"/>
  <c r="AA5292" i="5"/>
  <c r="Y5292" i="5"/>
  <c r="Z5292" i="5"/>
  <c r="AA1827" i="5"/>
  <c r="Y1827" i="5"/>
  <c r="Z1827" i="5"/>
  <c r="Y4302" i="5"/>
  <c r="Z4302" i="5"/>
  <c r="AA4302" i="5"/>
  <c r="AA2817" i="5"/>
  <c r="Y2817" i="5"/>
  <c r="Z2817" i="5"/>
  <c r="DS358" i="6"/>
  <c r="DN358" i="6"/>
  <c r="DH358" i="6"/>
  <c r="DM358" i="6"/>
  <c r="BA348" i="6"/>
  <c r="AP348" i="6"/>
  <c r="AU348" i="6"/>
  <c r="AV348" i="6"/>
  <c r="CT357" i="6"/>
  <c r="DE357" i="6"/>
  <c r="CZ357" i="6"/>
  <c r="CY357" i="6"/>
  <c r="AA1826" i="5"/>
  <c r="Y1826" i="5"/>
  <c r="Z1826" i="5"/>
  <c r="DO359" i="6"/>
  <c r="DY359" i="6"/>
  <c r="AA4797" i="5"/>
  <c r="Y4797" i="5"/>
  <c r="Z4797" i="5"/>
  <c r="AA3312" i="5"/>
  <c r="Y3312" i="5"/>
  <c r="Z3312" i="5"/>
  <c r="CF354" i="6"/>
  <c r="CL354" i="6"/>
  <c r="CK354" i="6"/>
  <c r="CQ354" i="6"/>
  <c r="BB350" i="6"/>
  <c r="AW350" i="6"/>
  <c r="BC350" i="6"/>
  <c r="BH350" i="6"/>
  <c r="AW349" i="6"/>
  <c r="BC349" i="6"/>
  <c r="BB349" i="6"/>
  <c r="BH349" i="6"/>
  <c r="Y6281" i="5"/>
  <c r="Z6281" i="5"/>
  <c r="EF362" i="6"/>
  <c r="DX359" i="6"/>
  <c r="AA6282" i="5" s="1"/>
  <c r="F361" i="6"/>
  <c r="Z361" i="6"/>
  <c r="R361" i="6"/>
  <c r="L361" i="6"/>
  <c r="AI361" i="6"/>
  <c r="AK361" i="6"/>
  <c r="AB361" i="6"/>
  <c r="DT361" i="6" s="1"/>
  <c r="P361" i="6"/>
  <c r="J361" i="6"/>
  <c r="X361" i="6"/>
  <c r="T361" i="6"/>
  <c r="H361" i="6"/>
  <c r="AM361" i="6"/>
  <c r="V361" i="6"/>
  <c r="N361" i="6"/>
  <c r="D361" i="6"/>
  <c r="DX360" i="6"/>
  <c r="AA6283" i="5" s="1"/>
  <c r="BY354" i="6" l="1"/>
  <c r="CJ354" i="6"/>
  <c r="CE354" i="6"/>
  <c r="CD354" i="6"/>
  <c r="AA1332" i="5"/>
  <c r="Y1332" i="5"/>
  <c r="Z1332" i="5"/>
  <c r="Y1333" i="5"/>
  <c r="Z1333" i="5"/>
  <c r="AA1333" i="5"/>
  <c r="AA3807" i="5"/>
  <c r="Y3807" i="5"/>
  <c r="Z3807" i="5"/>
  <c r="DY361" i="6"/>
  <c r="DO361" i="6"/>
  <c r="AA4798" i="5"/>
  <c r="Z4798" i="5"/>
  <c r="Y4798" i="5"/>
  <c r="AO348" i="6"/>
  <c r="AN348" i="6"/>
  <c r="AT348" i="6"/>
  <c r="AA2818" i="5"/>
  <c r="Y2818" i="5"/>
  <c r="Z2818" i="5"/>
  <c r="AA1828" i="5"/>
  <c r="Z1828" i="5"/>
  <c r="Y1828" i="5"/>
  <c r="AV350" i="6"/>
  <c r="AP350" i="6"/>
  <c r="BA350" i="6"/>
  <c r="AU350" i="6"/>
  <c r="CR357" i="6"/>
  <c r="CS357" i="6"/>
  <c r="CM357" i="6"/>
  <c r="CX357" i="6"/>
  <c r="Y837" i="5"/>
  <c r="AA837" i="5"/>
  <c r="Z837" i="5"/>
  <c r="Y5787" i="5"/>
  <c r="AA5787" i="5"/>
  <c r="Z5787" i="5"/>
  <c r="AA4303" i="5"/>
  <c r="Z4303" i="5"/>
  <c r="Y4303" i="5"/>
  <c r="BY355" i="6"/>
  <c r="CE355" i="6"/>
  <c r="CD355" i="6"/>
  <c r="CJ355" i="6"/>
  <c r="DS359" i="6"/>
  <c r="DM359" i="6"/>
  <c r="DN359" i="6"/>
  <c r="DH359" i="6"/>
  <c r="CF356" i="6"/>
  <c r="CK356" i="6"/>
  <c r="CQ356" i="6"/>
  <c r="CL356" i="6"/>
  <c r="BD352" i="6"/>
  <c r="BI352" i="6"/>
  <c r="BO352" i="6"/>
  <c r="BJ352" i="6"/>
  <c r="BV353" i="6"/>
  <c r="BP353" i="6"/>
  <c r="BK353" i="6"/>
  <c r="BQ353" i="6"/>
  <c r="BB351" i="6"/>
  <c r="AW351" i="6"/>
  <c r="BH351" i="6"/>
  <c r="BC351" i="6"/>
  <c r="BA349" i="6"/>
  <c r="AP349" i="6"/>
  <c r="AV349" i="6"/>
  <c r="AU349" i="6"/>
  <c r="DA358" i="6"/>
  <c r="DF358" i="6"/>
  <c r="DL358" i="6"/>
  <c r="DG358" i="6"/>
  <c r="AA2323" i="5"/>
  <c r="Z2323" i="5"/>
  <c r="Y2323" i="5"/>
  <c r="AA3808" i="5"/>
  <c r="Y3808" i="5"/>
  <c r="Z3808" i="5"/>
  <c r="DS360" i="6"/>
  <c r="DH360" i="6"/>
  <c r="DN360" i="6"/>
  <c r="DM360" i="6"/>
  <c r="Y6282" i="5"/>
  <c r="Z6282" i="5"/>
  <c r="Y6283" i="5"/>
  <c r="Z6283" i="5"/>
  <c r="EF363" i="6"/>
  <c r="DX361" i="6"/>
  <c r="AA6284" i="5" s="1"/>
  <c r="EG362" i="6"/>
  <c r="EH362" i="6" s="1"/>
  <c r="AA362" i="6" s="1"/>
  <c r="BB352" i="6" l="1"/>
  <c r="AW352" i="6"/>
  <c r="BC352" i="6"/>
  <c r="BH352" i="6"/>
  <c r="BW355" i="6"/>
  <c r="BR355" i="6"/>
  <c r="BX355" i="6"/>
  <c r="CC355" i="6"/>
  <c r="DA360" i="6"/>
  <c r="DF360" i="6"/>
  <c r="DL360" i="6"/>
  <c r="DG360" i="6"/>
  <c r="DF359" i="6"/>
  <c r="DA359" i="6"/>
  <c r="DG359" i="6"/>
  <c r="DL359" i="6"/>
  <c r="AA3314" i="5"/>
  <c r="Y3314" i="5"/>
  <c r="Z3314" i="5"/>
  <c r="BD353" i="6"/>
  <c r="BJ353" i="6"/>
  <c r="BI353" i="6"/>
  <c r="BO353" i="6"/>
  <c r="AA1829" i="5"/>
  <c r="Z1829" i="5"/>
  <c r="Y1829" i="5"/>
  <c r="AA3809" i="5"/>
  <c r="Z3809" i="5"/>
  <c r="Y3809" i="5"/>
  <c r="AA4304" i="5"/>
  <c r="Y4304" i="5"/>
  <c r="Z4304" i="5"/>
  <c r="DH361" i="6"/>
  <c r="DS361" i="6"/>
  <c r="DN361" i="6"/>
  <c r="DM361" i="6"/>
  <c r="CT358" i="6"/>
  <c r="DE358" i="6"/>
  <c r="CZ358" i="6"/>
  <c r="CY358" i="6"/>
  <c r="Y838" i="5"/>
  <c r="AA838" i="5"/>
  <c r="Z838" i="5"/>
  <c r="AA2324" i="5"/>
  <c r="Z2324" i="5"/>
  <c r="Y2324" i="5"/>
  <c r="Y5789" i="5"/>
  <c r="AA5789" i="5"/>
  <c r="Z5789" i="5"/>
  <c r="AA5293" i="5"/>
  <c r="Y5293" i="5"/>
  <c r="Z5293" i="5"/>
  <c r="AA1334" i="5"/>
  <c r="Y1334" i="5"/>
  <c r="Z1334" i="5"/>
  <c r="AN349" i="6"/>
  <c r="AT349" i="6"/>
  <c r="AO349" i="6"/>
  <c r="AV351" i="6"/>
  <c r="AP351" i="6"/>
  <c r="AU351" i="6"/>
  <c r="BA351" i="6"/>
  <c r="CF357" i="6"/>
  <c r="CK357" i="6"/>
  <c r="CQ357" i="6"/>
  <c r="CL357" i="6"/>
  <c r="AA839" i="5"/>
  <c r="Y839" i="5"/>
  <c r="Z839" i="5"/>
  <c r="AA3313" i="5"/>
  <c r="Z3313" i="5"/>
  <c r="Y3313" i="5"/>
  <c r="BY356" i="6"/>
  <c r="CD356" i="6"/>
  <c r="CJ356" i="6"/>
  <c r="CE356" i="6"/>
  <c r="Y5788" i="5"/>
  <c r="AA5788" i="5"/>
  <c r="Z5788" i="5"/>
  <c r="AT350" i="6"/>
  <c r="AO350" i="6"/>
  <c r="AN350" i="6"/>
  <c r="AA343" i="5"/>
  <c r="Y343" i="5"/>
  <c r="Z343" i="5"/>
  <c r="BR354" i="6"/>
  <c r="BX354" i="6"/>
  <c r="CC354" i="6"/>
  <c r="BW354" i="6"/>
  <c r="Y6284" i="5"/>
  <c r="Z6284" i="5"/>
  <c r="EF364" i="6"/>
  <c r="H362" i="6"/>
  <c r="Z362" i="6"/>
  <c r="V362" i="6"/>
  <c r="P362" i="6"/>
  <c r="T362" i="6"/>
  <c r="L362" i="6"/>
  <c r="R362" i="6"/>
  <c r="J362" i="6"/>
  <c r="X362" i="6"/>
  <c r="N362" i="6"/>
  <c r="D362" i="6"/>
  <c r="AM362" i="6"/>
  <c r="F362" i="6"/>
  <c r="AI362" i="6"/>
  <c r="AK362" i="6"/>
  <c r="AB362" i="6"/>
  <c r="DT362" i="6" s="1"/>
  <c r="EG363" i="6"/>
  <c r="EH363" i="6" s="1"/>
  <c r="AA363" i="6" s="1"/>
  <c r="BR356" i="6" l="1"/>
  <c r="BW356" i="6"/>
  <c r="BX356" i="6"/>
  <c r="CC356" i="6"/>
  <c r="AA2819" i="5"/>
  <c r="Z2819" i="5"/>
  <c r="Y2819" i="5"/>
  <c r="AA345" i="5"/>
  <c r="Z345" i="5"/>
  <c r="Y345" i="5"/>
  <c r="AN351" i="6"/>
  <c r="AT351" i="6"/>
  <c r="AO351" i="6"/>
  <c r="AW353" i="6"/>
  <c r="BH353" i="6"/>
  <c r="BB353" i="6"/>
  <c r="BC353" i="6"/>
  <c r="AA5294" i="5"/>
  <c r="Y5294" i="5"/>
  <c r="Z5294" i="5"/>
  <c r="AA2820" i="5"/>
  <c r="Z2820" i="5"/>
  <c r="Y2820" i="5"/>
  <c r="Y1335" i="5"/>
  <c r="AA1335" i="5"/>
  <c r="Z1335" i="5"/>
  <c r="DO362" i="6"/>
  <c r="DY362" i="6"/>
  <c r="AA3315" i="5"/>
  <c r="Y3315" i="5"/>
  <c r="Z3315" i="5"/>
  <c r="BY357" i="6"/>
  <c r="CE357" i="6"/>
  <c r="CJ357" i="6"/>
  <c r="CD357" i="6"/>
  <c r="AA1830" i="5"/>
  <c r="Y1830" i="5"/>
  <c r="Z1830" i="5"/>
  <c r="AA5295" i="5"/>
  <c r="Z5295" i="5"/>
  <c r="Y5295" i="5"/>
  <c r="BV354" i="6"/>
  <c r="BK354" i="6"/>
  <c r="BQ354" i="6"/>
  <c r="BP354" i="6"/>
  <c r="AA840" i="5"/>
  <c r="Z840" i="5"/>
  <c r="Y840" i="5"/>
  <c r="AA4799" i="5"/>
  <c r="Y4799" i="5"/>
  <c r="Z4799" i="5"/>
  <c r="AA5790" i="5"/>
  <c r="Y5790" i="5"/>
  <c r="Z5790" i="5"/>
  <c r="CT359" i="6"/>
  <c r="CZ359" i="6"/>
  <c r="DE359" i="6"/>
  <c r="CY359" i="6"/>
  <c r="BK355" i="6"/>
  <c r="BV355" i="6"/>
  <c r="BQ355" i="6"/>
  <c r="BP355" i="6"/>
  <c r="AV352" i="6"/>
  <c r="AP352" i="6"/>
  <c r="BA352" i="6"/>
  <c r="AU352" i="6"/>
  <c r="AA3810" i="5"/>
  <c r="Y3810" i="5"/>
  <c r="Z3810" i="5"/>
  <c r="AA344" i="5"/>
  <c r="Z344" i="5"/>
  <c r="Y344" i="5"/>
  <c r="CM358" i="6"/>
  <c r="CR358" i="6"/>
  <c r="CX358" i="6"/>
  <c r="CS358" i="6"/>
  <c r="DA361" i="6"/>
  <c r="DF361" i="6"/>
  <c r="DL361" i="6"/>
  <c r="DG361" i="6"/>
  <c r="CY360" i="6"/>
  <c r="CT360" i="6"/>
  <c r="DE360" i="6"/>
  <c r="CZ360" i="6"/>
  <c r="EF365" i="6"/>
  <c r="EG365" i="6" s="1"/>
  <c r="EH365" i="6" s="1"/>
  <c r="AA365" i="6" s="1"/>
  <c r="DX362" i="6"/>
  <c r="AA6285" i="5" s="1"/>
  <c r="D363" i="6"/>
  <c r="V363" i="6"/>
  <c r="L363" i="6"/>
  <c r="T363" i="6"/>
  <c r="N363" i="6"/>
  <c r="F363" i="6"/>
  <c r="R363" i="6"/>
  <c r="J363" i="6"/>
  <c r="Z363" i="6"/>
  <c r="X363" i="6"/>
  <c r="P363" i="6"/>
  <c r="H363" i="6"/>
  <c r="AM363" i="6"/>
  <c r="AB363" i="6"/>
  <c r="DT363" i="6" s="1"/>
  <c r="AI363" i="6"/>
  <c r="AK363" i="6"/>
  <c r="EG364" i="6"/>
  <c r="EH364" i="6" s="1"/>
  <c r="AA364" i="6" s="1"/>
  <c r="AA5296" i="5" l="1"/>
  <c r="Y5296" i="5"/>
  <c r="Z5296" i="5"/>
  <c r="CT361" i="6"/>
  <c r="DE361" i="6"/>
  <c r="CZ361" i="6"/>
  <c r="CY361" i="6"/>
  <c r="AO352" i="6"/>
  <c r="AN352" i="6"/>
  <c r="AT352" i="6"/>
  <c r="AA2326" i="5"/>
  <c r="Y2326" i="5"/>
  <c r="Z2326" i="5"/>
  <c r="BW357" i="6"/>
  <c r="BR357" i="6"/>
  <c r="BX357" i="6"/>
  <c r="CC357" i="6"/>
  <c r="AA346" i="5"/>
  <c r="Z346" i="5"/>
  <c r="Y346" i="5"/>
  <c r="AA2821" i="5"/>
  <c r="Y2821" i="5"/>
  <c r="Z2821" i="5"/>
  <c r="AA4305" i="5"/>
  <c r="Y4305" i="5"/>
  <c r="Z4305" i="5"/>
  <c r="BD355" i="6"/>
  <c r="BJ355" i="6"/>
  <c r="BO355" i="6"/>
  <c r="BI355" i="6"/>
  <c r="BD354" i="6"/>
  <c r="BO354" i="6"/>
  <c r="BJ354" i="6"/>
  <c r="BI354" i="6"/>
  <c r="DS362" i="6"/>
  <c r="DM362" i="6"/>
  <c r="DN362" i="6"/>
  <c r="DH362" i="6"/>
  <c r="AA1336" i="5"/>
  <c r="Y1336" i="5"/>
  <c r="Z1336" i="5"/>
  <c r="AA4801" i="5"/>
  <c r="Y4801" i="5"/>
  <c r="Z4801" i="5"/>
  <c r="CR359" i="6"/>
  <c r="CS359" i="6"/>
  <c r="CM359" i="6"/>
  <c r="CX359" i="6"/>
  <c r="CR360" i="6"/>
  <c r="CM360" i="6"/>
  <c r="CS360" i="6"/>
  <c r="CX360" i="6"/>
  <c r="Y2325" i="5"/>
  <c r="AA2325" i="5"/>
  <c r="Z2325" i="5"/>
  <c r="AA3316" i="5"/>
  <c r="Z3316" i="5"/>
  <c r="Y3316" i="5"/>
  <c r="AV353" i="6"/>
  <c r="AP353" i="6"/>
  <c r="BA353" i="6"/>
  <c r="AU353" i="6"/>
  <c r="DO363" i="6"/>
  <c r="DY363" i="6"/>
  <c r="CK358" i="6"/>
  <c r="CF358" i="6"/>
  <c r="CQ358" i="6"/>
  <c r="CL358" i="6"/>
  <c r="AA841" i="5"/>
  <c r="Y841" i="5"/>
  <c r="Z841" i="5"/>
  <c r="AA4800" i="5"/>
  <c r="Y4800" i="5"/>
  <c r="Z4800" i="5"/>
  <c r="BV356" i="6"/>
  <c r="BK356" i="6"/>
  <c r="BP356" i="6"/>
  <c r="BQ356" i="6"/>
  <c r="Y6285" i="5"/>
  <c r="Z6285" i="5"/>
  <c r="DX363" i="6"/>
  <c r="AA6286" i="5" s="1"/>
  <c r="J365" i="6"/>
  <c r="F365" i="6"/>
  <c r="Z365" i="6"/>
  <c r="X365" i="6"/>
  <c r="P365" i="6"/>
  <c r="H365" i="6"/>
  <c r="AI365" i="6"/>
  <c r="AK365" i="6"/>
  <c r="V365" i="6"/>
  <c r="N365" i="6"/>
  <c r="AB365" i="6"/>
  <c r="DT365" i="6" s="1"/>
  <c r="T365" i="6"/>
  <c r="L365" i="6"/>
  <c r="AM365" i="6"/>
  <c r="R365" i="6"/>
  <c r="D365" i="6"/>
  <c r="F364" i="6"/>
  <c r="T364" i="6"/>
  <c r="N364" i="6"/>
  <c r="R364" i="6"/>
  <c r="J364" i="6"/>
  <c r="X364" i="6"/>
  <c r="P364" i="6"/>
  <c r="H364" i="6"/>
  <c r="V364" i="6"/>
  <c r="L364" i="6"/>
  <c r="D364" i="6"/>
  <c r="Z364" i="6"/>
  <c r="AK364" i="6"/>
  <c r="AI364" i="6"/>
  <c r="AB364" i="6"/>
  <c r="DT364" i="6" s="1"/>
  <c r="AM364" i="6"/>
  <c r="EF366" i="6"/>
  <c r="EG366" i="6" s="1"/>
  <c r="EH366" i="6" s="1"/>
  <c r="AA366" i="6" s="1"/>
  <c r="AA2327" i="5" l="1"/>
  <c r="Y2327" i="5"/>
  <c r="Z2327" i="5"/>
  <c r="AA3811" i="5"/>
  <c r="Z3811" i="5"/>
  <c r="Y3811" i="5"/>
  <c r="DO364" i="6"/>
  <c r="DY364" i="6"/>
  <c r="DO365" i="6"/>
  <c r="DY365" i="6"/>
  <c r="BD356" i="6"/>
  <c r="BO356" i="6"/>
  <c r="BJ356" i="6"/>
  <c r="BI356" i="6"/>
  <c r="AN353" i="6"/>
  <c r="AT353" i="6"/>
  <c r="AO353" i="6"/>
  <c r="AA4307" i="5"/>
  <c r="Y4307" i="5"/>
  <c r="Z4307" i="5"/>
  <c r="Y4306" i="5"/>
  <c r="Z4306" i="5"/>
  <c r="AA4306" i="5"/>
  <c r="AA1831" i="5"/>
  <c r="Z1831" i="5"/>
  <c r="Y1831" i="5"/>
  <c r="CR361" i="6"/>
  <c r="CS361" i="6"/>
  <c r="CM361" i="6"/>
  <c r="CX361" i="6"/>
  <c r="BB354" i="6"/>
  <c r="AW354" i="6"/>
  <c r="BC354" i="6"/>
  <c r="BH354" i="6"/>
  <c r="BB355" i="6"/>
  <c r="AW355" i="6"/>
  <c r="BC355" i="6"/>
  <c r="BH355" i="6"/>
  <c r="BV357" i="6"/>
  <c r="BQ357" i="6"/>
  <c r="BP357" i="6"/>
  <c r="BK357" i="6"/>
  <c r="CL359" i="6"/>
  <c r="CF359" i="6"/>
  <c r="CK359" i="6"/>
  <c r="CQ359" i="6"/>
  <c r="Y5791" i="5"/>
  <c r="AA5791" i="5"/>
  <c r="Z5791" i="5"/>
  <c r="BY358" i="6"/>
  <c r="CD358" i="6"/>
  <c r="CJ358" i="6"/>
  <c r="CE358" i="6"/>
  <c r="CL360" i="6"/>
  <c r="CF360" i="6"/>
  <c r="CK360" i="6"/>
  <c r="CQ360" i="6"/>
  <c r="DA362" i="6"/>
  <c r="DL362" i="6"/>
  <c r="DG362" i="6"/>
  <c r="DF362" i="6"/>
  <c r="AA347" i="5"/>
  <c r="Z347" i="5"/>
  <c r="Y347" i="5"/>
  <c r="DS363" i="6"/>
  <c r="DN363" i="6"/>
  <c r="DH363" i="6"/>
  <c r="DM363" i="6"/>
  <c r="AA842" i="5"/>
  <c r="Y842" i="5"/>
  <c r="Z842" i="5"/>
  <c r="AA1832" i="5"/>
  <c r="Y1832" i="5"/>
  <c r="Z1832" i="5"/>
  <c r="AA2822" i="5"/>
  <c r="Y2822" i="5"/>
  <c r="Z2822" i="5"/>
  <c r="AA4802" i="5"/>
  <c r="Z4802" i="5"/>
  <c r="Y4802" i="5"/>
  <c r="Y6286" i="5"/>
  <c r="Z6286" i="5"/>
  <c r="T366" i="6"/>
  <c r="J366" i="6"/>
  <c r="R366" i="6"/>
  <c r="D366" i="6"/>
  <c r="X366" i="6"/>
  <c r="N366" i="6"/>
  <c r="L366" i="6"/>
  <c r="Z366" i="6"/>
  <c r="V366" i="6"/>
  <c r="P366" i="6"/>
  <c r="H366" i="6"/>
  <c r="F366" i="6"/>
  <c r="AM366" i="6"/>
  <c r="AB366" i="6"/>
  <c r="DT366" i="6" s="1"/>
  <c r="AI366" i="6"/>
  <c r="AK366" i="6"/>
  <c r="EF367" i="6"/>
  <c r="EG367" i="6" s="1"/>
  <c r="EH367" i="6" s="1"/>
  <c r="AA367" i="6" s="1"/>
  <c r="DX364" i="6"/>
  <c r="AA6287" i="5" s="1"/>
  <c r="DX365" i="6"/>
  <c r="AA6288" i="5" s="1"/>
  <c r="DO366" i="6" l="1"/>
  <c r="DY366" i="6"/>
  <c r="AA3317" i="5"/>
  <c r="Y3317" i="5"/>
  <c r="Z3317" i="5"/>
  <c r="BY359" i="6"/>
  <c r="CE359" i="6"/>
  <c r="CD359" i="6"/>
  <c r="CJ359" i="6"/>
  <c r="AV355" i="6"/>
  <c r="AP355" i="6"/>
  <c r="AU355" i="6"/>
  <c r="BA355" i="6"/>
  <c r="AV354" i="6"/>
  <c r="AP354" i="6"/>
  <c r="BA354" i="6"/>
  <c r="AU354" i="6"/>
  <c r="AA348" i="5"/>
  <c r="Z348" i="5"/>
  <c r="Y348" i="5"/>
  <c r="AA1833" i="5"/>
  <c r="Z1833" i="5"/>
  <c r="Y1833" i="5"/>
  <c r="BY360" i="6"/>
  <c r="CD360" i="6"/>
  <c r="CJ360" i="6"/>
  <c r="CE360" i="6"/>
  <c r="AA2328" i="5"/>
  <c r="Z2328" i="5"/>
  <c r="Y2328" i="5"/>
  <c r="BB356" i="6"/>
  <c r="AW356" i="6"/>
  <c r="BC356" i="6"/>
  <c r="BH356" i="6"/>
  <c r="DS364" i="6"/>
  <c r="DH364" i="6"/>
  <c r="DN364" i="6"/>
  <c r="DM364" i="6"/>
  <c r="DA363" i="6"/>
  <c r="DF363" i="6"/>
  <c r="DL363" i="6"/>
  <c r="DG363" i="6"/>
  <c r="AA5297" i="5"/>
  <c r="Y5297" i="5"/>
  <c r="Z5297" i="5"/>
  <c r="CT362" i="6"/>
  <c r="CY362" i="6"/>
  <c r="CZ362" i="6"/>
  <c r="DE362" i="6"/>
  <c r="BR358" i="6"/>
  <c r="BX358" i="6"/>
  <c r="CC358" i="6"/>
  <c r="BW358" i="6"/>
  <c r="AA3812" i="5"/>
  <c r="Y3812" i="5"/>
  <c r="Z3812" i="5"/>
  <c r="BD357" i="6"/>
  <c r="BI357" i="6"/>
  <c r="BO357" i="6"/>
  <c r="BJ357" i="6"/>
  <c r="AA1338" i="5"/>
  <c r="Y1338" i="5"/>
  <c r="Z1338" i="5"/>
  <c r="Y1337" i="5"/>
  <c r="AA1337" i="5"/>
  <c r="Z1337" i="5"/>
  <c r="AA4308" i="5"/>
  <c r="Y4308" i="5"/>
  <c r="Z4308" i="5"/>
  <c r="Y5792" i="5"/>
  <c r="Z5792" i="5"/>
  <c r="AA5792" i="5"/>
  <c r="AA3813" i="5"/>
  <c r="Z3813" i="5"/>
  <c r="Y3813" i="5"/>
  <c r="CL361" i="6"/>
  <c r="CF361" i="6"/>
  <c r="CK361" i="6"/>
  <c r="CQ361" i="6"/>
  <c r="DH365" i="6"/>
  <c r="DM365" i="6"/>
  <c r="DS365" i="6"/>
  <c r="DN365" i="6"/>
  <c r="Y6288" i="5"/>
  <c r="Z6288" i="5"/>
  <c r="Y6287" i="5"/>
  <c r="Z6287" i="5"/>
  <c r="X367" i="6"/>
  <c r="P367" i="6"/>
  <c r="H367" i="6"/>
  <c r="D367" i="6"/>
  <c r="F367" i="6"/>
  <c r="V367" i="6"/>
  <c r="L367" i="6"/>
  <c r="Z367" i="6"/>
  <c r="T367" i="6"/>
  <c r="N367" i="6"/>
  <c r="R367" i="6"/>
  <c r="J367" i="6"/>
  <c r="AM367" i="6"/>
  <c r="AI367" i="6"/>
  <c r="AK367" i="6"/>
  <c r="AB367" i="6"/>
  <c r="DT367" i="6" s="1"/>
  <c r="DX366" i="6"/>
  <c r="AA6289" i="5" s="1"/>
  <c r="EF368" i="6"/>
  <c r="DA365" i="6" l="1"/>
  <c r="DF365" i="6"/>
  <c r="DL365" i="6"/>
  <c r="DG365" i="6"/>
  <c r="AA2823" i="5"/>
  <c r="Y2823" i="5"/>
  <c r="Z2823" i="5"/>
  <c r="DA364" i="6"/>
  <c r="DL364" i="6"/>
  <c r="DF364" i="6"/>
  <c r="DG364" i="6"/>
  <c r="AV356" i="6"/>
  <c r="AP356" i="6"/>
  <c r="BA356" i="6"/>
  <c r="AU356" i="6"/>
  <c r="BR360" i="6"/>
  <c r="BX360" i="6"/>
  <c r="CC360" i="6"/>
  <c r="BW360" i="6"/>
  <c r="AA843" i="5"/>
  <c r="Y843" i="5"/>
  <c r="Z843" i="5"/>
  <c r="AA3814" i="5"/>
  <c r="Z3814" i="5"/>
  <c r="Y3814" i="5"/>
  <c r="AA1834" i="5"/>
  <c r="Y1834" i="5"/>
  <c r="Z1834" i="5"/>
  <c r="CT363" i="6"/>
  <c r="CZ363" i="6"/>
  <c r="CY363" i="6"/>
  <c r="DE363" i="6"/>
  <c r="Y5793" i="5"/>
  <c r="Z5793" i="5"/>
  <c r="AA5793" i="5"/>
  <c r="AT354" i="6"/>
  <c r="AN354" i="6"/>
  <c r="AO354" i="6"/>
  <c r="AN355" i="6"/>
  <c r="AT355" i="6"/>
  <c r="AO355" i="6"/>
  <c r="DO367" i="6"/>
  <c r="DY367" i="6"/>
  <c r="AA5794" i="5"/>
  <c r="Z5794" i="5"/>
  <c r="Y5794" i="5"/>
  <c r="BV358" i="6"/>
  <c r="BK358" i="6"/>
  <c r="BQ358" i="6"/>
  <c r="BP358" i="6"/>
  <c r="CM362" i="6"/>
  <c r="CS362" i="6"/>
  <c r="CX362" i="6"/>
  <c r="CR362" i="6"/>
  <c r="Y1339" i="5"/>
  <c r="AA1339" i="5"/>
  <c r="Z1339" i="5"/>
  <c r="AA3319" i="5"/>
  <c r="Y3319" i="5"/>
  <c r="Z3319" i="5"/>
  <c r="BW359" i="6"/>
  <c r="BR359" i="6"/>
  <c r="BX359" i="6"/>
  <c r="CC359" i="6"/>
  <c r="BY361" i="6"/>
  <c r="CE361" i="6"/>
  <c r="CJ361" i="6"/>
  <c r="CD361" i="6"/>
  <c r="AW357" i="6"/>
  <c r="BC357" i="6"/>
  <c r="BH357" i="6"/>
  <c r="BB357" i="6"/>
  <c r="AA4803" i="5"/>
  <c r="Y4803" i="5"/>
  <c r="Z4803" i="5"/>
  <c r="AA5298" i="5"/>
  <c r="Y5298" i="5"/>
  <c r="Z5298" i="5"/>
  <c r="AA844" i="5"/>
  <c r="Y844" i="5"/>
  <c r="Z844" i="5"/>
  <c r="AA3318" i="5"/>
  <c r="Y3318" i="5"/>
  <c r="Z3318" i="5"/>
  <c r="DS366" i="6"/>
  <c r="DM366" i="6"/>
  <c r="DH366" i="6"/>
  <c r="DN366" i="6"/>
  <c r="Y6289" i="5"/>
  <c r="Z6289" i="5"/>
  <c r="EF369" i="6"/>
  <c r="DX367" i="6"/>
  <c r="AA6290" i="5" s="1"/>
  <c r="EG368" i="6"/>
  <c r="EH368" i="6" s="1"/>
  <c r="AA368" i="6" s="1"/>
  <c r="AV357" i="6" l="1"/>
  <c r="AP357" i="6"/>
  <c r="BA357" i="6"/>
  <c r="AU357" i="6"/>
  <c r="AA2824" i="5"/>
  <c r="Y2824" i="5"/>
  <c r="Z2824" i="5"/>
  <c r="BD358" i="6"/>
  <c r="BO358" i="6"/>
  <c r="BJ358" i="6"/>
  <c r="BI358" i="6"/>
  <c r="AA350" i="5"/>
  <c r="Y350" i="5"/>
  <c r="Z350" i="5"/>
  <c r="AA349" i="5"/>
  <c r="Z349" i="5"/>
  <c r="Y349" i="5"/>
  <c r="AA4804" i="5"/>
  <c r="Z4804" i="5"/>
  <c r="Y4804" i="5"/>
  <c r="BV360" i="6"/>
  <c r="BK360" i="6"/>
  <c r="BP360" i="6"/>
  <c r="BQ360" i="6"/>
  <c r="CT364" i="6"/>
  <c r="CZ364" i="6"/>
  <c r="DE364" i="6"/>
  <c r="CY364" i="6"/>
  <c r="DA366" i="6"/>
  <c r="DG366" i="6"/>
  <c r="DL366" i="6"/>
  <c r="DF366" i="6"/>
  <c r="CL362" i="6"/>
  <c r="CF362" i="6"/>
  <c r="CQ362" i="6"/>
  <c r="CK362" i="6"/>
  <c r="Y2329" i="5"/>
  <c r="AA2329" i="5"/>
  <c r="Z2329" i="5"/>
  <c r="AA5300" i="5"/>
  <c r="Y5300" i="5"/>
  <c r="Z5300" i="5"/>
  <c r="BW361" i="6"/>
  <c r="BR361" i="6"/>
  <c r="BX361" i="6"/>
  <c r="CC361" i="6"/>
  <c r="AA4309" i="5"/>
  <c r="Y4309" i="5"/>
  <c r="Z4309" i="5"/>
  <c r="AA1340" i="5"/>
  <c r="Y1340" i="5"/>
  <c r="Z1340" i="5"/>
  <c r="AA3320" i="5"/>
  <c r="Z3320" i="5"/>
  <c r="Y3320" i="5"/>
  <c r="BK359" i="6"/>
  <c r="BV359" i="6"/>
  <c r="BQ359" i="6"/>
  <c r="BP359" i="6"/>
  <c r="DS367" i="6"/>
  <c r="DM367" i="6"/>
  <c r="DN367" i="6"/>
  <c r="DH367" i="6"/>
  <c r="AA2825" i="5"/>
  <c r="Y2825" i="5"/>
  <c r="Z2825" i="5"/>
  <c r="AA845" i="5"/>
  <c r="Y845" i="5"/>
  <c r="Z845" i="5"/>
  <c r="Y5795" i="5"/>
  <c r="AA5795" i="5"/>
  <c r="Z5795" i="5"/>
  <c r="CR363" i="6"/>
  <c r="CS363" i="6"/>
  <c r="CX363" i="6"/>
  <c r="CM363" i="6"/>
  <c r="AO356" i="6"/>
  <c r="AN356" i="6"/>
  <c r="AT356" i="6"/>
  <c r="AA5299" i="5"/>
  <c r="Y5299" i="5"/>
  <c r="Z5299" i="5"/>
  <c r="CT365" i="6"/>
  <c r="DE365" i="6"/>
  <c r="CZ365" i="6"/>
  <c r="CY365" i="6"/>
  <c r="Y6290" i="5"/>
  <c r="Z6290" i="5"/>
  <c r="EF370" i="6"/>
  <c r="F368" i="6"/>
  <c r="X368" i="6"/>
  <c r="L368" i="6"/>
  <c r="H368" i="6"/>
  <c r="V368" i="6"/>
  <c r="N368" i="6"/>
  <c r="D368" i="6"/>
  <c r="T368" i="6"/>
  <c r="J368" i="6"/>
  <c r="P368" i="6"/>
  <c r="R368" i="6"/>
  <c r="AI368" i="6"/>
  <c r="AK368" i="6"/>
  <c r="Z368" i="6"/>
  <c r="AM368" i="6"/>
  <c r="AB368" i="6"/>
  <c r="DT368" i="6" s="1"/>
  <c r="EG369" i="6"/>
  <c r="EH369" i="6" s="1"/>
  <c r="AA369" i="6" s="1"/>
  <c r="DO368" i="6" l="1"/>
  <c r="DY368" i="6"/>
  <c r="AA4806" i="5"/>
  <c r="Y4806" i="5"/>
  <c r="Z4806" i="5"/>
  <c r="CL363" i="6"/>
  <c r="CF363" i="6"/>
  <c r="CK363" i="6"/>
  <c r="CQ363" i="6"/>
  <c r="Y5796" i="5"/>
  <c r="Z5796" i="5"/>
  <c r="AA5796" i="5"/>
  <c r="BD359" i="6"/>
  <c r="BO359" i="6"/>
  <c r="BJ359" i="6"/>
  <c r="BI359" i="6"/>
  <c r="BV361" i="6"/>
  <c r="BQ361" i="6"/>
  <c r="BK361" i="6"/>
  <c r="BP361" i="6"/>
  <c r="BB358" i="6"/>
  <c r="AW358" i="6"/>
  <c r="BC358" i="6"/>
  <c r="BH358" i="6"/>
  <c r="CR365" i="6"/>
  <c r="CS365" i="6"/>
  <c r="CM365" i="6"/>
  <c r="CX365" i="6"/>
  <c r="AA351" i="5"/>
  <c r="Y351" i="5"/>
  <c r="Z351" i="5"/>
  <c r="Y4310" i="5"/>
  <c r="Z4310" i="5"/>
  <c r="AA4310" i="5"/>
  <c r="DA367" i="6"/>
  <c r="DF367" i="6"/>
  <c r="DG367" i="6"/>
  <c r="DL367" i="6"/>
  <c r="AA3815" i="5"/>
  <c r="Z3815" i="5"/>
  <c r="Y3815" i="5"/>
  <c r="AA5301" i="5"/>
  <c r="Y5301" i="5"/>
  <c r="Z5301" i="5"/>
  <c r="AA4805" i="5"/>
  <c r="Z4805" i="5"/>
  <c r="Y4805" i="5"/>
  <c r="AA846" i="5"/>
  <c r="Y846" i="5"/>
  <c r="Z846" i="5"/>
  <c r="AA2826" i="5"/>
  <c r="Y2826" i="5"/>
  <c r="Z2826" i="5"/>
  <c r="BY362" i="6"/>
  <c r="CE362" i="6"/>
  <c r="CD362" i="6"/>
  <c r="CJ362" i="6"/>
  <c r="BD360" i="6"/>
  <c r="BO360" i="6"/>
  <c r="BJ360" i="6"/>
  <c r="BI360" i="6"/>
  <c r="AN357" i="6"/>
  <c r="AT357" i="6"/>
  <c r="AO357" i="6"/>
  <c r="AA2330" i="5"/>
  <c r="Z2330" i="5"/>
  <c r="Y2330" i="5"/>
  <c r="CT366" i="6"/>
  <c r="CZ366" i="6"/>
  <c r="DE366" i="6"/>
  <c r="CY366" i="6"/>
  <c r="CR364" i="6"/>
  <c r="CM364" i="6"/>
  <c r="CS364" i="6"/>
  <c r="CX364" i="6"/>
  <c r="AA2331" i="5"/>
  <c r="Y2331" i="5"/>
  <c r="Z2331" i="5"/>
  <c r="AA1835" i="5"/>
  <c r="Y1835" i="5"/>
  <c r="Z1835" i="5"/>
  <c r="F369" i="6"/>
  <c r="Z369" i="6"/>
  <c r="R369" i="6"/>
  <c r="H369" i="6"/>
  <c r="AI369" i="6"/>
  <c r="AK369" i="6"/>
  <c r="AB369" i="6"/>
  <c r="DT369" i="6" s="1"/>
  <c r="X369" i="6"/>
  <c r="P369" i="6"/>
  <c r="D369" i="6"/>
  <c r="V369" i="6"/>
  <c r="N369" i="6"/>
  <c r="J369" i="6"/>
  <c r="AM369" i="6"/>
  <c r="T369" i="6"/>
  <c r="L369" i="6"/>
  <c r="EF371" i="6"/>
  <c r="EG371" i="6" s="1"/>
  <c r="EH371" i="6" s="1"/>
  <c r="AA371" i="6" s="1"/>
  <c r="DX368" i="6"/>
  <c r="AA6291" i="5" s="1"/>
  <c r="EG370" i="6"/>
  <c r="EH370" i="6" s="1"/>
  <c r="AA370" i="6" s="1"/>
  <c r="CL364" i="6" l="1"/>
  <c r="CF364" i="6"/>
  <c r="CK364" i="6"/>
  <c r="CQ364" i="6"/>
  <c r="AA3321" i="5"/>
  <c r="Z3321" i="5"/>
  <c r="Y3321" i="5"/>
  <c r="Y2332" i="5"/>
  <c r="Z2332" i="5"/>
  <c r="AA2332" i="5"/>
  <c r="DO369" i="6"/>
  <c r="DY369" i="6"/>
  <c r="CM366" i="6"/>
  <c r="CX366" i="6"/>
  <c r="CS366" i="6"/>
  <c r="CR366" i="6"/>
  <c r="AA4312" i="5"/>
  <c r="Y4312" i="5"/>
  <c r="Z4312" i="5"/>
  <c r="Y1341" i="5"/>
  <c r="AA1341" i="5"/>
  <c r="Z1341" i="5"/>
  <c r="CT367" i="6"/>
  <c r="DE367" i="6"/>
  <c r="CY367" i="6"/>
  <c r="CZ367" i="6"/>
  <c r="CL365" i="6"/>
  <c r="CF365" i="6"/>
  <c r="CK365" i="6"/>
  <c r="CQ365" i="6"/>
  <c r="BD361" i="6"/>
  <c r="BO361" i="6"/>
  <c r="BI361" i="6"/>
  <c r="BJ361" i="6"/>
  <c r="BY363" i="6"/>
  <c r="CE363" i="6"/>
  <c r="CD363" i="6"/>
  <c r="CJ363" i="6"/>
  <c r="AA1837" i="5"/>
  <c r="Y1837" i="5"/>
  <c r="Z1837" i="5"/>
  <c r="AA4807" i="5"/>
  <c r="Y4807" i="5"/>
  <c r="Z4807" i="5"/>
  <c r="BB360" i="6"/>
  <c r="AW360" i="6"/>
  <c r="BC360" i="6"/>
  <c r="BH360" i="6"/>
  <c r="BR362" i="6"/>
  <c r="CC362" i="6"/>
  <c r="BW362" i="6"/>
  <c r="BX362" i="6"/>
  <c r="AA5302" i="5"/>
  <c r="Z5302" i="5"/>
  <c r="Y5302" i="5"/>
  <c r="AV358" i="6"/>
  <c r="AP358" i="6"/>
  <c r="BA358" i="6"/>
  <c r="AU358" i="6"/>
  <c r="AA1836" i="5"/>
  <c r="Z1836" i="5"/>
  <c r="Y1836" i="5"/>
  <c r="AA4311" i="5"/>
  <c r="Y4311" i="5"/>
  <c r="Z4311" i="5"/>
  <c r="AA352" i="5"/>
  <c r="Z352" i="5"/>
  <c r="Y352" i="5"/>
  <c r="BB359" i="6"/>
  <c r="AW359" i="6"/>
  <c r="BC359" i="6"/>
  <c r="BH359" i="6"/>
  <c r="AA3816" i="5"/>
  <c r="Y3816" i="5"/>
  <c r="Z3816" i="5"/>
  <c r="DS368" i="6"/>
  <c r="DH368" i="6"/>
  <c r="DN368" i="6"/>
  <c r="DM368" i="6"/>
  <c r="Y6291" i="5"/>
  <c r="Z6291" i="5"/>
  <c r="X370" i="6"/>
  <c r="N370" i="6"/>
  <c r="H370" i="6"/>
  <c r="V370" i="6"/>
  <c r="L370" i="6"/>
  <c r="T370" i="6"/>
  <c r="J370" i="6"/>
  <c r="Z370" i="6"/>
  <c r="R370" i="6"/>
  <c r="D370" i="6"/>
  <c r="P370" i="6"/>
  <c r="F370" i="6"/>
  <c r="AM370" i="6"/>
  <c r="AI370" i="6"/>
  <c r="AK370" i="6"/>
  <c r="AB370" i="6"/>
  <c r="DT370" i="6" s="1"/>
  <c r="R371" i="6"/>
  <c r="H371" i="6"/>
  <c r="Z371" i="6"/>
  <c r="X371" i="6"/>
  <c r="P371" i="6"/>
  <c r="N371" i="6"/>
  <c r="V371" i="6"/>
  <c r="L371" i="6"/>
  <c r="T371" i="6"/>
  <c r="J371" i="6"/>
  <c r="F371" i="6"/>
  <c r="D371" i="6"/>
  <c r="AM371" i="6"/>
  <c r="AB371" i="6"/>
  <c r="DT371" i="6" s="1"/>
  <c r="AI371" i="6"/>
  <c r="AK371" i="6"/>
  <c r="DX369" i="6"/>
  <c r="AA6292" i="5" s="1"/>
  <c r="EF372" i="6"/>
  <c r="DO370" i="6" l="1"/>
  <c r="DY370" i="6"/>
  <c r="Y5797" i="5"/>
  <c r="Z5797" i="5"/>
  <c r="AA5797" i="5"/>
  <c r="AA1342" i="5"/>
  <c r="Z1342" i="5"/>
  <c r="Y1342" i="5"/>
  <c r="Y1343" i="5"/>
  <c r="AA1343" i="5"/>
  <c r="Z1343" i="5"/>
  <c r="AA1838" i="5"/>
  <c r="Z1838" i="5"/>
  <c r="Y1838" i="5"/>
  <c r="BY365" i="6"/>
  <c r="CE365" i="6"/>
  <c r="CJ365" i="6"/>
  <c r="CD365" i="6"/>
  <c r="AA4808" i="5"/>
  <c r="Y4808" i="5"/>
  <c r="Z4808" i="5"/>
  <c r="AA3817" i="5"/>
  <c r="Y3817" i="5"/>
  <c r="Z3817" i="5"/>
  <c r="DY371" i="6"/>
  <c r="DO371" i="6"/>
  <c r="BW363" i="6"/>
  <c r="BR363" i="6"/>
  <c r="BX363" i="6"/>
  <c r="CC363" i="6"/>
  <c r="AW361" i="6"/>
  <c r="BB361" i="6"/>
  <c r="BH361" i="6"/>
  <c r="BC361" i="6"/>
  <c r="CR367" i="6"/>
  <c r="CS367" i="6"/>
  <c r="CM367" i="6"/>
  <c r="CX367" i="6"/>
  <c r="DH369" i="6"/>
  <c r="DN369" i="6"/>
  <c r="DM369" i="6"/>
  <c r="DS369" i="6"/>
  <c r="AV359" i="6"/>
  <c r="AP359" i="6"/>
  <c r="AU359" i="6"/>
  <c r="BA359" i="6"/>
  <c r="AA847" i="5"/>
  <c r="Y847" i="5"/>
  <c r="Z847" i="5"/>
  <c r="AA2827" i="5"/>
  <c r="Y2827" i="5"/>
  <c r="Z2827" i="5"/>
  <c r="AV360" i="6"/>
  <c r="AP360" i="6"/>
  <c r="BA360" i="6"/>
  <c r="AU360" i="6"/>
  <c r="AA3322" i="5"/>
  <c r="Y3322" i="5"/>
  <c r="Z3322" i="5"/>
  <c r="AA3818" i="5"/>
  <c r="Y3818" i="5"/>
  <c r="Z3818" i="5"/>
  <c r="AA4313" i="5"/>
  <c r="Z4313" i="5"/>
  <c r="Y4313" i="5"/>
  <c r="BY364" i="6"/>
  <c r="CJ364" i="6"/>
  <c r="CE364" i="6"/>
  <c r="CD364" i="6"/>
  <c r="DA368" i="6"/>
  <c r="DG368" i="6"/>
  <c r="DL368" i="6"/>
  <c r="DF368" i="6"/>
  <c r="AT358" i="6"/>
  <c r="AO358" i="6"/>
  <c r="AN358" i="6"/>
  <c r="BV362" i="6"/>
  <c r="BK362" i="6"/>
  <c r="BQ362" i="6"/>
  <c r="BP362" i="6"/>
  <c r="CL366" i="6"/>
  <c r="CF366" i="6"/>
  <c r="CK366" i="6"/>
  <c r="CQ366" i="6"/>
  <c r="Y6292" i="5"/>
  <c r="Z6292" i="5"/>
  <c r="EF373" i="6"/>
  <c r="EG372" i="6"/>
  <c r="EH372" i="6" s="1"/>
  <c r="AA372" i="6" s="1"/>
  <c r="DX371" i="6"/>
  <c r="AA6294" i="5" s="1"/>
  <c r="DX370" i="6"/>
  <c r="AA6293" i="5" s="1"/>
  <c r="BY366" i="6" l="1"/>
  <c r="CJ366" i="6"/>
  <c r="CE366" i="6"/>
  <c r="CD366" i="6"/>
  <c r="AA353" i="5"/>
  <c r="Y353" i="5"/>
  <c r="Z353" i="5"/>
  <c r="AA2333" i="5"/>
  <c r="Z2333" i="5"/>
  <c r="Y2333" i="5"/>
  <c r="AA3819" i="5"/>
  <c r="Y3819" i="5"/>
  <c r="Z3819" i="5"/>
  <c r="AA5303" i="5"/>
  <c r="Y5303" i="5"/>
  <c r="Z5303" i="5"/>
  <c r="AN359" i="6"/>
  <c r="AT359" i="6"/>
  <c r="AO359" i="6"/>
  <c r="BK363" i="6"/>
  <c r="BQ363" i="6"/>
  <c r="BP363" i="6"/>
  <c r="BV363" i="6"/>
  <c r="AA849" i="5"/>
  <c r="Z849" i="5"/>
  <c r="Y849" i="5"/>
  <c r="DA369" i="6"/>
  <c r="DF369" i="6"/>
  <c r="DL369" i="6"/>
  <c r="DG369" i="6"/>
  <c r="AV361" i="6"/>
  <c r="AP361" i="6"/>
  <c r="BA361" i="6"/>
  <c r="AU361" i="6"/>
  <c r="BW365" i="6"/>
  <c r="BR365" i="6"/>
  <c r="BX365" i="6"/>
  <c r="CC365" i="6"/>
  <c r="BD362" i="6"/>
  <c r="BJ362" i="6"/>
  <c r="BI362" i="6"/>
  <c r="BO362" i="6"/>
  <c r="CT368" i="6"/>
  <c r="DE368" i="6"/>
  <c r="CZ368" i="6"/>
  <c r="CY368" i="6"/>
  <c r="BR364" i="6"/>
  <c r="BX364" i="6"/>
  <c r="CC364" i="6"/>
  <c r="BW364" i="6"/>
  <c r="AO360" i="6"/>
  <c r="AN360" i="6"/>
  <c r="AT360" i="6"/>
  <c r="AA848" i="5"/>
  <c r="Z848" i="5"/>
  <c r="Y848" i="5"/>
  <c r="AA5798" i="5"/>
  <c r="Y5798" i="5"/>
  <c r="Z5798" i="5"/>
  <c r="Z4314" i="5"/>
  <c r="Y4314" i="5"/>
  <c r="AA4314" i="5"/>
  <c r="AA2828" i="5"/>
  <c r="Y2828" i="5"/>
  <c r="Z2828" i="5"/>
  <c r="DS371" i="6"/>
  <c r="DM371" i="6"/>
  <c r="DN371" i="6"/>
  <c r="DH371" i="6"/>
  <c r="AA3323" i="5"/>
  <c r="Z3323" i="5"/>
  <c r="Y3323" i="5"/>
  <c r="CL367" i="6"/>
  <c r="CF367" i="6"/>
  <c r="CK367" i="6"/>
  <c r="CQ367" i="6"/>
  <c r="AA1344" i="5"/>
  <c r="Y1344" i="5"/>
  <c r="Z1344" i="5"/>
  <c r="AA3324" i="5"/>
  <c r="Y3324" i="5"/>
  <c r="Z3324" i="5"/>
  <c r="DS370" i="6"/>
  <c r="DH370" i="6"/>
  <c r="DM370" i="6"/>
  <c r="DN370" i="6"/>
  <c r="Y6293" i="5"/>
  <c r="Z6293" i="5"/>
  <c r="Y6294" i="5"/>
  <c r="Z6294" i="5"/>
  <c r="F372" i="6"/>
  <c r="T372" i="6"/>
  <c r="N372" i="6"/>
  <c r="P372" i="6"/>
  <c r="J372" i="6"/>
  <c r="X372" i="6"/>
  <c r="L372" i="6"/>
  <c r="H372" i="6"/>
  <c r="V372" i="6"/>
  <c r="R372" i="6"/>
  <c r="D372" i="6"/>
  <c r="AB372" i="6"/>
  <c r="DT372" i="6" s="1"/>
  <c r="AI372" i="6"/>
  <c r="Z372" i="6"/>
  <c r="AM372" i="6"/>
  <c r="AK372" i="6"/>
  <c r="EF374" i="6"/>
  <c r="EG374" i="6" s="1"/>
  <c r="EH374" i="6" s="1"/>
  <c r="AA374" i="6" s="1"/>
  <c r="EG373" i="6"/>
  <c r="EH373" i="6" s="1"/>
  <c r="AA373" i="6" s="1"/>
  <c r="DA370" i="6" l="1"/>
  <c r="DL370" i="6"/>
  <c r="DG370" i="6"/>
  <c r="DF370" i="6"/>
  <c r="AA3820" i="5"/>
  <c r="Y3820" i="5"/>
  <c r="Z3820" i="5"/>
  <c r="AA4809" i="5"/>
  <c r="Y4809" i="5"/>
  <c r="Z4809" i="5"/>
  <c r="BV365" i="6"/>
  <c r="BK365" i="6"/>
  <c r="BP365" i="6"/>
  <c r="BQ365" i="6"/>
  <c r="AN361" i="6"/>
  <c r="AT361" i="6"/>
  <c r="AO361" i="6"/>
  <c r="BD363" i="6"/>
  <c r="BI363" i="6"/>
  <c r="BO363" i="6"/>
  <c r="BJ363" i="6"/>
  <c r="Y5799" i="5"/>
  <c r="AA5799" i="5"/>
  <c r="Z5799" i="5"/>
  <c r="BV364" i="6"/>
  <c r="BK364" i="6"/>
  <c r="BP364" i="6"/>
  <c r="BQ364" i="6"/>
  <c r="BB362" i="6"/>
  <c r="AW362" i="6"/>
  <c r="BC362" i="6"/>
  <c r="BH362" i="6"/>
  <c r="CT369" i="6"/>
  <c r="CY369" i="6"/>
  <c r="CZ369" i="6"/>
  <c r="DE369" i="6"/>
  <c r="AA2334" i="5"/>
  <c r="Z2334" i="5"/>
  <c r="Y2334" i="5"/>
  <c r="CR368" i="6"/>
  <c r="CM368" i="6"/>
  <c r="CX368" i="6"/>
  <c r="CS368" i="6"/>
  <c r="DO372" i="6"/>
  <c r="DY372" i="6"/>
  <c r="CD367" i="6"/>
  <c r="BY367" i="6"/>
  <c r="CE367" i="6"/>
  <c r="CJ367" i="6"/>
  <c r="Y5800" i="5"/>
  <c r="AA5800" i="5"/>
  <c r="Z5800" i="5"/>
  <c r="AA1839" i="5"/>
  <c r="Y1839" i="5"/>
  <c r="Z1839" i="5"/>
  <c r="AA2830" i="5"/>
  <c r="Y2830" i="5"/>
  <c r="Z2830" i="5"/>
  <c r="AA354" i="5"/>
  <c r="Z354" i="5"/>
  <c r="Y354" i="5"/>
  <c r="AA3325" i="5"/>
  <c r="Z3325" i="5"/>
  <c r="Y3325" i="5"/>
  <c r="DA371" i="6"/>
  <c r="DF371" i="6"/>
  <c r="DL371" i="6"/>
  <c r="DG371" i="6"/>
  <c r="AA355" i="5"/>
  <c r="Z355" i="5"/>
  <c r="Y355" i="5"/>
  <c r="AA2829" i="5"/>
  <c r="Y2829" i="5"/>
  <c r="Z2829" i="5"/>
  <c r="AA850" i="5"/>
  <c r="Y850" i="5"/>
  <c r="Z850" i="5"/>
  <c r="AA5304" i="5"/>
  <c r="Z5304" i="5"/>
  <c r="Y5304" i="5"/>
  <c r="BR366" i="6"/>
  <c r="BW366" i="6"/>
  <c r="BX366" i="6"/>
  <c r="CC366" i="6"/>
  <c r="V374" i="6"/>
  <c r="N374" i="6"/>
  <c r="D374" i="6"/>
  <c r="Z374" i="6"/>
  <c r="T374" i="6"/>
  <c r="P374" i="6"/>
  <c r="H374" i="6"/>
  <c r="R374" i="6"/>
  <c r="J374" i="6"/>
  <c r="X374" i="6"/>
  <c r="L374" i="6"/>
  <c r="AB374" i="6"/>
  <c r="DT374" i="6" s="1"/>
  <c r="AM374" i="6"/>
  <c r="F374" i="6"/>
  <c r="AI374" i="6"/>
  <c r="AK374" i="6"/>
  <c r="F373" i="6"/>
  <c r="Z373" i="6"/>
  <c r="V373" i="6"/>
  <c r="N373" i="6"/>
  <c r="H373" i="6"/>
  <c r="AI373" i="6"/>
  <c r="AK373" i="6"/>
  <c r="AB373" i="6"/>
  <c r="DT373" i="6" s="1"/>
  <c r="T373" i="6"/>
  <c r="L373" i="6"/>
  <c r="R373" i="6"/>
  <c r="J373" i="6"/>
  <c r="AM373" i="6"/>
  <c r="X373" i="6"/>
  <c r="P373" i="6"/>
  <c r="D373" i="6"/>
  <c r="DX372" i="6"/>
  <c r="AA6295" i="5" s="1"/>
  <c r="EF375" i="6"/>
  <c r="EG375" i="6" s="1"/>
  <c r="EH375" i="6" s="1"/>
  <c r="AA375" i="6" s="1"/>
  <c r="CT371" i="6" l="1"/>
  <c r="CY371" i="6"/>
  <c r="DE371" i="6"/>
  <c r="CZ371" i="6"/>
  <c r="AA3326" i="5"/>
  <c r="Z3326" i="5"/>
  <c r="Y3326" i="5"/>
  <c r="DO373" i="6"/>
  <c r="DY373" i="6"/>
  <c r="DO374" i="6"/>
  <c r="DY374" i="6"/>
  <c r="AA2831" i="5"/>
  <c r="Z2831" i="5"/>
  <c r="Y2831" i="5"/>
  <c r="DS372" i="6"/>
  <c r="DH372" i="6"/>
  <c r="DN372" i="6"/>
  <c r="DM372" i="6"/>
  <c r="AA4810" i="5"/>
  <c r="Z4810" i="5"/>
  <c r="Y4810" i="5"/>
  <c r="Y1345" i="5"/>
  <c r="AA1345" i="5"/>
  <c r="Z1345" i="5"/>
  <c r="AA1840" i="5"/>
  <c r="Y1840" i="5"/>
  <c r="Z1840" i="5"/>
  <c r="AA356" i="5"/>
  <c r="Y356" i="5"/>
  <c r="Z356" i="5"/>
  <c r="BD365" i="6"/>
  <c r="BO365" i="6"/>
  <c r="BJ365" i="6"/>
  <c r="BI365" i="6"/>
  <c r="AA5306" i="5"/>
  <c r="Y5306" i="5"/>
  <c r="Z5306" i="5"/>
  <c r="BW367" i="6"/>
  <c r="BR367" i="6"/>
  <c r="BX367" i="6"/>
  <c r="CC367" i="6"/>
  <c r="AA2336" i="5"/>
  <c r="Y2336" i="5"/>
  <c r="Z2336" i="5"/>
  <c r="AA4315" i="5"/>
  <c r="Z4315" i="5"/>
  <c r="Y4315" i="5"/>
  <c r="AV362" i="6"/>
  <c r="AP362" i="6"/>
  <c r="BA362" i="6"/>
  <c r="AU362" i="6"/>
  <c r="BI364" i="6"/>
  <c r="BD364" i="6"/>
  <c r="BO364" i="6"/>
  <c r="BJ364" i="6"/>
  <c r="BB363" i="6"/>
  <c r="AW363" i="6"/>
  <c r="BH363" i="6"/>
  <c r="BC363" i="6"/>
  <c r="AA5305" i="5"/>
  <c r="Y5305" i="5"/>
  <c r="Z5305" i="5"/>
  <c r="BV366" i="6"/>
  <c r="BQ366" i="6"/>
  <c r="BK366" i="6"/>
  <c r="BP366" i="6"/>
  <c r="CL368" i="6"/>
  <c r="CF368" i="6"/>
  <c r="CK368" i="6"/>
  <c r="CQ368" i="6"/>
  <c r="CR369" i="6"/>
  <c r="CX369" i="6"/>
  <c r="CM369" i="6"/>
  <c r="CS369" i="6"/>
  <c r="Y2335" i="5"/>
  <c r="AA2335" i="5"/>
  <c r="Z2335" i="5"/>
  <c r="CT370" i="6"/>
  <c r="DE370" i="6"/>
  <c r="CZ370" i="6"/>
  <c r="CY370" i="6"/>
  <c r="Y6295" i="5"/>
  <c r="Z6295" i="5"/>
  <c r="DX373" i="6"/>
  <c r="AA6296" i="5" s="1"/>
  <c r="DX374" i="6"/>
  <c r="AA6297" i="5" s="1"/>
  <c r="EF376" i="6"/>
  <c r="EG376" i="6" s="1"/>
  <c r="EH376" i="6" s="1"/>
  <c r="AA376" i="6" s="1"/>
  <c r="Z375" i="6"/>
  <c r="T375" i="6"/>
  <c r="J375" i="6"/>
  <c r="R375" i="6"/>
  <c r="N375" i="6"/>
  <c r="X375" i="6"/>
  <c r="P375" i="6"/>
  <c r="H375" i="6"/>
  <c r="F375" i="6"/>
  <c r="V375" i="6"/>
  <c r="L375" i="6"/>
  <c r="D375" i="6"/>
  <c r="AM375" i="6"/>
  <c r="AI375" i="6"/>
  <c r="AK375" i="6"/>
  <c r="AB375" i="6"/>
  <c r="DT375" i="6" s="1"/>
  <c r="BI366" i="6" l="1"/>
  <c r="BD366" i="6"/>
  <c r="BO366" i="6"/>
  <c r="BJ366" i="6"/>
  <c r="Y4316" i="5"/>
  <c r="Z4316" i="5"/>
  <c r="AA4316" i="5"/>
  <c r="CD368" i="6"/>
  <c r="BY368" i="6"/>
  <c r="CE368" i="6"/>
  <c r="CJ368" i="6"/>
  <c r="AA1842" i="5"/>
  <c r="Y1842" i="5"/>
  <c r="Z1842" i="5"/>
  <c r="DF372" i="6"/>
  <c r="DA372" i="6"/>
  <c r="DG372" i="6"/>
  <c r="DL372" i="6"/>
  <c r="DH373" i="6"/>
  <c r="DS373" i="6"/>
  <c r="DN373" i="6"/>
  <c r="DM373" i="6"/>
  <c r="CL369" i="6"/>
  <c r="CF369" i="6"/>
  <c r="CK369" i="6"/>
  <c r="CQ369" i="6"/>
  <c r="AA4811" i="5"/>
  <c r="Y4811" i="5"/>
  <c r="Z4811" i="5"/>
  <c r="AA2337" i="5"/>
  <c r="Z2337" i="5"/>
  <c r="Y2337" i="5"/>
  <c r="BK367" i="6"/>
  <c r="BP367" i="6"/>
  <c r="BV367" i="6"/>
  <c r="BQ367" i="6"/>
  <c r="AW365" i="6"/>
  <c r="BC365" i="6"/>
  <c r="BH365" i="6"/>
  <c r="BB365" i="6"/>
  <c r="Y5801" i="5"/>
  <c r="Z5801" i="5"/>
  <c r="AA5801" i="5"/>
  <c r="AA4812" i="5"/>
  <c r="Z4812" i="5"/>
  <c r="Y4812" i="5"/>
  <c r="DO375" i="6"/>
  <c r="DY375" i="6"/>
  <c r="CR370" i="6"/>
  <c r="CS370" i="6"/>
  <c r="CM370" i="6"/>
  <c r="CX370" i="6"/>
  <c r="AA3821" i="5"/>
  <c r="Y3821" i="5"/>
  <c r="Z3821" i="5"/>
  <c r="AA1346" i="5"/>
  <c r="Y1346" i="5"/>
  <c r="Z1346" i="5"/>
  <c r="AA1841" i="5"/>
  <c r="Y1841" i="5"/>
  <c r="Z1841" i="5"/>
  <c r="AA851" i="5"/>
  <c r="Z851" i="5"/>
  <c r="Y851" i="5"/>
  <c r="DS374" i="6"/>
  <c r="DN374" i="6"/>
  <c r="DH374" i="6"/>
  <c r="DM374" i="6"/>
  <c r="AV363" i="6"/>
  <c r="AP363" i="6"/>
  <c r="AU363" i="6"/>
  <c r="BA363" i="6"/>
  <c r="BB364" i="6"/>
  <c r="AW364" i="6"/>
  <c r="BC364" i="6"/>
  <c r="BH364" i="6"/>
  <c r="AT362" i="6"/>
  <c r="AN362" i="6"/>
  <c r="AO362" i="6"/>
  <c r="AA2832" i="5"/>
  <c r="Y2832" i="5"/>
  <c r="Z2832" i="5"/>
  <c r="CR371" i="6"/>
  <c r="CS371" i="6"/>
  <c r="CM371" i="6"/>
  <c r="CX371" i="6"/>
  <c r="Y6296" i="5"/>
  <c r="Z6296" i="5"/>
  <c r="Y6297" i="5"/>
  <c r="Z6297" i="5"/>
  <c r="F376" i="6"/>
  <c r="X376" i="6"/>
  <c r="P376" i="6"/>
  <c r="H376" i="6"/>
  <c r="V376" i="6"/>
  <c r="L376" i="6"/>
  <c r="D376" i="6"/>
  <c r="T376" i="6"/>
  <c r="N376" i="6"/>
  <c r="R376" i="6"/>
  <c r="J376" i="6"/>
  <c r="Z376" i="6"/>
  <c r="AI376" i="6"/>
  <c r="AK376" i="6"/>
  <c r="AB376" i="6"/>
  <c r="DT376" i="6" s="1"/>
  <c r="AM376" i="6"/>
  <c r="DX375" i="6"/>
  <c r="AA6298" i="5" s="1"/>
  <c r="EF377" i="6"/>
  <c r="EG377" i="6" s="1"/>
  <c r="EH377" i="6" s="1"/>
  <c r="AA377" i="6" s="1"/>
  <c r="DO376" i="6" l="1"/>
  <c r="DY376" i="6"/>
  <c r="Y1347" i="5"/>
  <c r="Z1347" i="5"/>
  <c r="AA1347" i="5"/>
  <c r="AA852" i="5"/>
  <c r="Y852" i="5"/>
  <c r="Z852" i="5"/>
  <c r="Y4317" i="5"/>
  <c r="AA4317" i="5"/>
  <c r="Z4317" i="5"/>
  <c r="CD369" i="6"/>
  <c r="CE369" i="6"/>
  <c r="BY369" i="6"/>
  <c r="CJ369" i="6"/>
  <c r="AA5802" i="5"/>
  <c r="Y5802" i="5"/>
  <c r="Z5802" i="5"/>
  <c r="CT372" i="6"/>
  <c r="CY372" i="6"/>
  <c r="CZ372" i="6"/>
  <c r="DE372" i="6"/>
  <c r="DA374" i="6"/>
  <c r="DG374" i="6"/>
  <c r="DL374" i="6"/>
  <c r="DF374" i="6"/>
  <c r="CL370" i="6"/>
  <c r="CF370" i="6"/>
  <c r="CK370" i="6"/>
  <c r="CQ370" i="6"/>
  <c r="DS375" i="6"/>
  <c r="DM375" i="6"/>
  <c r="DH375" i="6"/>
  <c r="DN375" i="6"/>
  <c r="AA1348" i="5"/>
  <c r="Z1348" i="5"/>
  <c r="Y1348" i="5"/>
  <c r="AA2338" i="5"/>
  <c r="Y2338" i="5"/>
  <c r="Z2338" i="5"/>
  <c r="DA373" i="6"/>
  <c r="DG373" i="6"/>
  <c r="DL373" i="6"/>
  <c r="DF373" i="6"/>
  <c r="AA3327" i="5"/>
  <c r="Y3327" i="5"/>
  <c r="Z3327" i="5"/>
  <c r="AA1843" i="5"/>
  <c r="Z1843" i="5"/>
  <c r="Y1843" i="5"/>
  <c r="Y4318" i="5"/>
  <c r="AA4318" i="5"/>
  <c r="Z4318" i="5"/>
  <c r="AV364" i="6"/>
  <c r="AP364" i="6"/>
  <c r="BA364" i="6"/>
  <c r="AU364" i="6"/>
  <c r="AN363" i="6"/>
  <c r="AT363" i="6"/>
  <c r="AO363" i="6"/>
  <c r="AA3822" i="5"/>
  <c r="Y3822" i="5"/>
  <c r="Z3822" i="5"/>
  <c r="AA5307" i="5"/>
  <c r="Y5307" i="5"/>
  <c r="Z5307" i="5"/>
  <c r="BB366" i="6"/>
  <c r="AW366" i="6"/>
  <c r="BC366" i="6"/>
  <c r="BH366" i="6"/>
  <c r="CL371" i="6"/>
  <c r="CF371" i="6"/>
  <c r="CK371" i="6"/>
  <c r="CQ371" i="6"/>
  <c r="AA357" i="5"/>
  <c r="Z357" i="5"/>
  <c r="Y357" i="5"/>
  <c r="Y5803" i="5"/>
  <c r="AA5803" i="5"/>
  <c r="Z5803" i="5"/>
  <c r="AP365" i="6"/>
  <c r="AV365" i="6"/>
  <c r="BA365" i="6"/>
  <c r="AU365" i="6"/>
  <c r="BD367" i="6"/>
  <c r="BO367" i="6"/>
  <c r="BI367" i="6"/>
  <c r="BJ367" i="6"/>
  <c r="BR368" i="6"/>
  <c r="CC368" i="6"/>
  <c r="BW368" i="6"/>
  <c r="BX368" i="6"/>
  <c r="Y6298" i="5"/>
  <c r="Z6298" i="5"/>
  <c r="DX376" i="6"/>
  <c r="AA6299" i="5" s="1"/>
  <c r="EF378" i="6"/>
  <c r="EG378" i="6" s="1"/>
  <c r="EH378" i="6" s="1"/>
  <c r="AA378" i="6" s="1"/>
  <c r="F377" i="6"/>
  <c r="Z377" i="6"/>
  <c r="P377" i="6"/>
  <c r="J377" i="6"/>
  <c r="AI377" i="6"/>
  <c r="AK377" i="6"/>
  <c r="X377" i="6"/>
  <c r="N377" i="6"/>
  <c r="H377" i="6"/>
  <c r="AB377" i="6"/>
  <c r="DT377" i="6" s="1"/>
  <c r="R377" i="6"/>
  <c r="V377" i="6"/>
  <c r="D377" i="6"/>
  <c r="AM377" i="6"/>
  <c r="T377" i="6"/>
  <c r="L377" i="6"/>
  <c r="BV368" i="6" l="1"/>
  <c r="BK368" i="6"/>
  <c r="BP368" i="6"/>
  <c r="BQ368" i="6"/>
  <c r="CD371" i="6"/>
  <c r="BY371" i="6"/>
  <c r="CE371" i="6"/>
  <c r="CJ371" i="6"/>
  <c r="AV366" i="6"/>
  <c r="AP366" i="6"/>
  <c r="BA366" i="6"/>
  <c r="AU366" i="6"/>
  <c r="AA853" i="5"/>
  <c r="Y853" i="5"/>
  <c r="Z853" i="5"/>
  <c r="CD370" i="6"/>
  <c r="CE370" i="6"/>
  <c r="BY370" i="6"/>
  <c r="CJ370" i="6"/>
  <c r="BB367" i="6"/>
  <c r="AW367" i="6"/>
  <c r="BH367" i="6"/>
  <c r="BC367" i="6"/>
  <c r="DY377" i="6"/>
  <c r="DO377" i="6"/>
  <c r="AA854" i="5"/>
  <c r="Y854" i="5"/>
  <c r="Z854" i="5"/>
  <c r="AO364" i="6"/>
  <c r="AN364" i="6"/>
  <c r="AT364" i="6"/>
  <c r="Y5308" i="5"/>
  <c r="AA5308" i="5"/>
  <c r="Z5308" i="5"/>
  <c r="Y5804" i="5"/>
  <c r="AA5804" i="5"/>
  <c r="Z5804" i="5"/>
  <c r="CT374" i="6"/>
  <c r="CY374" i="6"/>
  <c r="CZ374" i="6"/>
  <c r="DE374" i="6"/>
  <c r="CM372" i="6"/>
  <c r="CS372" i="6"/>
  <c r="CR372" i="6"/>
  <c r="CX372" i="6"/>
  <c r="AA3328" i="5"/>
  <c r="Y3328" i="5"/>
  <c r="Z3328" i="5"/>
  <c r="AA358" i="5"/>
  <c r="Z358" i="5"/>
  <c r="Y358" i="5"/>
  <c r="AA2833" i="5"/>
  <c r="Y2833" i="5"/>
  <c r="Z2833" i="5"/>
  <c r="AA1844" i="5"/>
  <c r="Y1844" i="5"/>
  <c r="Z1844" i="5"/>
  <c r="AA3824" i="5"/>
  <c r="Y3824" i="5"/>
  <c r="Z3824" i="5"/>
  <c r="Y1349" i="5"/>
  <c r="Z1349" i="5"/>
  <c r="AA1349" i="5"/>
  <c r="AA3823" i="5"/>
  <c r="Y3823" i="5"/>
  <c r="Z3823" i="5"/>
  <c r="AA4813" i="5"/>
  <c r="Z4813" i="5"/>
  <c r="Y4813" i="5"/>
  <c r="BW369" i="6"/>
  <c r="BR369" i="6"/>
  <c r="BX369" i="6"/>
  <c r="CC369" i="6"/>
  <c r="AN365" i="6"/>
  <c r="AT365" i="6"/>
  <c r="AO365" i="6"/>
  <c r="CT373" i="6"/>
  <c r="CZ373" i="6"/>
  <c r="CY373" i="6"/>
  <c r="DE373" i="6"/>
  <c r="DA375" i="6"/>
  <c r="DF375" i="6"/>
  <c r="DG375" i="6"/>
  <c r="DL375" i="6"/>
  <c r="AA5309" i="5"/>
  <c r="Y5309" i="5"/>
  <c r="Z5309" i="5"/>
  <c r="DS376" i="6"/>
  <c r="DH376" i="6"/>
  <c r="DN376" i="6"/>
  <c r="DM376" i="6"/>
  <c r="Y6299" i="5"/>
  <c r="Z6299" i="5"/>
  <c r="EF379" i="6"/>
  <c r="H378" i="6"/>
  <c r="Z378" i="6"/>
  <c r="T378" i="6"/>
  <c r="L378" i="6"/>
  <c r="R378" i="6"/>
  <c r="J378" i="6"/>
  <c r="X378" i="6"/>
  <c r="N378" i="6"/>
  <c r="D378" i="6"/>
  <c r="V378" i="6"/>
  <c r="P378" i="6"/>
  <c r="AB378" i="6"/>
  <c r="DT378" i="6" s="1"/>
  <c r="AM378" i="6"/>
  <c r="F378" i="6"/>
  <c r="AI378" i="6"/>
  <c r="AK378" i="6"/>
  <c r="DX377" i="6"/>
  <c r="AA6300" i="5" s="1"/>
  <c r="DA376" i="6" l="1"/>
  <c r="DG376" i="6"/>
  <c r="DL376" i="6"/>
  <c r="DF376" i="6"/>
  <c r="CT375" i="6"/>
  <c r="DE375" i="6"/>
  <c r="CY375" i="6"/>
  <c r="CZ375" i="6"/>
  <c r="AA2834" i="5"/>
  <c r="Z2834" i="5"/>
  <c r="Y2834" i="5"/>
  <c r="DH377" i="6"/>
  <c r="DN377" i="6"/>
  <c r="DS377" i="6"/>
  <c r="DM377" i="6"/>
  <c r="Y5805" i="5"/>
  <c r="AA5805" i="5"/>
  <c r="Z5805" i="5"/>
  <c r="Y5310" i="5"/>
  <c r="Z5310" i="5"/>
  <c r="AA5310" i="5"/>
  <c r="AA4814" i="5"/>
  <c r="Y4814" i="5"/>
  <c r="Z4814" i="5"/>
  <c r="Y3330" i="5"/>
  <c r="AA3330" i="5"/>
  <c r="Z3330" i="5"/>
  <c r="AA360" i="5"/>
  <c r="Z360" i="5"/>
  <c r="Y360" i="5"/>
  <c r="BV369" i="6"/>
  <c r="BP369" i="6"/>
  <c r="BK369" i="6"/>
  <c r="BQ369" i="6"/>
  <c r="AA359" i="5"/>
  <c r="Z359" i="5"/>
  <c r="Y359" i="5"/>
  <c r="Y3329" i="5"/>
  <c r="Z3329" i="5"/>
  <c r="AA3329" i="5"/>
  <c r="AA855" i="5"/>
  <c r="Y855" i="5"/>
  <c r="Z855" i="5"/>
  <c r="DO378" i="6"/>
  <c r="DY378" i="6"/>
  <c r="CL372" i="6"/>
  <c r="CF372" i="6"/>
  <c r="CK372" i="6"/>
  <c r="CQ372" i="6"/>
  <c r="CR374" i="6"/>
  <c r="CM374" i="6"/>
  <c r="CS374" i="6"/>
  <c r="CX374" i="6"/>
  <c r="AA1350" i="5"/>
  <c r="Z1350" i="5"/>
  <c r="Y1350" i="5"/>
  <c r="BR370" i="6"/>
  <c r="BX370" i="6"/>
  <c r="CC370" i="6"/>
  <c r="BW370" i="6"/>
  <c r="AT366" i="6"/>
  <c r="AO366" i="6"/>
  <c r="AN366" i="6"/>
  <c r="BW371" i="6"/>
  <c r="BR371" i="6"/>
  <c r="BX371" i="6"/>
  <c r="CC371" i="6"/>
  <c r="BI368" i="6"/>
  <c r="BD368" i="6"/>
  <c r="BO368" i="6"/>
  <c r="BJ368" i="6"/>
  <c r="CM373" i="6"/>
  <c r="CR373" i="6"/>
  <c r="CX373" i="6"/>
  <c r="CS373" i="6"/>
  <c r="AA4319" i="5"/>
  <c r="Y4319" i="5"/>
  <c r="Z4319" i="5"/>
  <c r="AA4815" i="5"/>
  <c r="Z4815" i="5"/>
  <c r="Y4815" i="5"/>
  <c r="AP367" i="6"/>
  <c r="AV367" i="6"/>
  <c r="AU367" i="6"/>
  <c r="BA367" i="6"/>
  <c r="Y2339" i="5"/>
  <c r="AA2339" i="5"/>
  <c r="Z2339" i="5"/>
  <c r="Y6300" i="5"/>
  <c r="Z6300" i="5"/>
  <c r="DX378" i="6"/>
  <c r="AA6301" i="5" s="1"/>
  <c r="EF380" i="6"/>
  <c r="EG380" i="6" s="1"/>
  <c r="EH380" i="6" s="1"/>
  <c r="AA380" i="6" s="1"/>
  <c r="EG379" i="6"/>
  <c r="EH379" i="6" s="1"/>
  <c r="AA379" i="6" s="1"/>
  <c r="BK371" i="6" l="1"/>
  <c r="BV371" i="6"/>
  <c r="BQ371" i="6"/>
  <c r="BP371" i="6"/>
  <c r="CL373" i="6"/>
  <c r="CF373" i="6"/>
  <c r="CK373" i="6"/>
  <c r="CQ373" i="6"/>
  <c r="DS378" i="6"/>
  <c r="DM378" i="6"/>
  <c r="DN378" i="6"/>
  <c r="DH378" i="6"/>
  <c r="DA377" i="6"/>
  <c r="DL377" i="6"/>
  <c r="DF377" i="6"/>
  <c r="DG377" i="6"/>
  <c r="BV370" i="6"/>
  <c r="BK370" i="6"/>
  <c r="BQ370" i="6"/>
  <c r="BP370" i="6"/>
  <c r="AA2836" i="5"/>
  <c r="Z2836" i="5"/>
  <c r="Y2836" i="5"/>
  <c r="AA2835" i="5"/>
  <c r="Y2835" i="5"/>
  <c r="Z2835" i="5"/>
  <c r="CL374" i="6"/>
  <c r="CF374" i="6"/>
  <c r="CQ374" i="6"/>
  <c r="CK374" i="6"/>
  <c r="BY372" i="6"/>
  <c r="CD372" i="6"/>
  <c r="CE372" i="6"/>
  <c r="CJ372" i="6"/>
  <c r="AA2340" i="5"/>
  <c r="Y2340" i="5"/>
  <c r="Z2340" i="5"/>
  <c r="AA5311" i="5"/>
  <c r="Y5311" i="5"/>
  <c r="Z5311" i="5"/>
  <c r="BB368" i="6"/>
  <c r="AW368" i="6"/>
  <c r="BC368" i="6"/>
  <c r="BH368" i="6"/>
  <c r="AN367" i="6"/>
  <c r="AT367" i="6"/>
  <c r="AO367" i="6"/>
  <c r="AA4320" i="5"/>
  <c r="Z4320" i="5"/>
  <c r="Y4320" i="5"/>
  <c r="AA1845" i="5"/>
  <c r="Y1845" i="5"/>
  <c r="Z1845" i="5"/>
  <c r="AA5806" i="5"/>
  <c r="Z5806" i="5"/>
  <c r="Y5806" i="5"/>
  <c r="AA4816" i="5"/>
  <c r="Z4816" i="5"/>
  <c r="Y4816" i="5"/>
  <c r="AA856" i="5"/>
  <c r="Z856" i="5"/>
  <c r="Y856" i="5"/>
  <c r="AA361" i="5"/>
  <c r="Z361" i="5"/>
  <c r="Y361" i="5"/>
  <c r="Z4321" i="5"/>
  <c r="Y4321" i="5"/>
  <c r="AA4321" i="5"/>
  <c r="AA3825" i="5"/>
  <c r="Y3825" i="5"/>
  <c r="Z3825" i="5"/>
  <c r="BD369" i="6"/>
  <c r="BO369" i="6"/>
  <c r="BI369" i="6"/>
  <c r="BJ369" i="6"/>
  <c r="CR375" i="6"/>
  <c r="CM375" i="6"/>
  <c r="CS375" i="6"/>
  <c r="CX375" i="6"/>
  <c r="CT376" i="6"/>
  <c r="CY376" i="6"/>
  <c r="CZ376" i="6"/>
  <c r="DE376" i="6"/>
  <c r="Y6301" i="5"/>
  <c r="Z6301" i="5"/>
  <c r="D379" i="6"/>
  <c r="V379" i="6"/>
  <c r="L379" i="6"/>
  <c r="T379" i="6"/>
  <c r="N379" i="6"/>
  <c r="F379" i="6"/>
  <c r="R379" i="6"/>
  <c r="J379" i="6"/>
  <c r="Z379" i="6"/>
  <c r="X379" i="6"/>
  <c r="P379" i="6"/>
  <c r="H379" i="6"/>
  <c r="AM379" i="6"/>
  <c r="AI379" i="6"/>
  <c r="AK379" i="6"/>
  <c r="AB379" i="6"/>
  <c r="DT379" i="6" s="1"/>
  <c r="EG381" i="6"/>
  <c r="EH381" i="6" s="1"/>
  <c r="AA381" i="6" s="1"/>
  <c r="EF381" i="6"/>
  <c r="F380" i="6"/>
  <c r="T380" i="6"/>
  <c r="N380" i="6"/>
  <c r="R380" i="6"/>
  <c r="J380" i="6"/>
  <c r="X380" i="6"/>
  <c r="P380" i="6"/>
  <c r="H380" i="6"/>
  <c r="V380" i="6"/>
  <c r="L380" i="6"/>
  <c r="D380" i="6"/>
  <c r="Z380" i="6"/>
  <c r="AK380" i="6"/>
  <c r="AI380" i="6"/>
  <c r="AM380" i="6"/>
  <c r="AB380" i="6"/>
  <c r="DT380" i="6" s="1"/>
  <c r="CR376" i="6" l="1"/>
  <c r="CM376" i="6"/>
  <c r="CS376" i="6"/>
  <c r="CX376" i="6"/>
  <c r="BB369" i="6"/>
  <c r="AW369" i="6"/>
  <c r="BC369" i="6"/>
  <c r="BH369" i="6"/>
  <c r="Y1351" i="5"/>
  <c r="AA1351" i="5"/>
  <c r="Z1351" i="5"/>
  <c r="CD374" i="6"/>
  <c r="BY374" i="6"/>
  <c r="CE374" i="6"/>
  <c r="CJ374" i="6"/>
  <c r="DA378" i="6"/>
  <c r="DF378" i="6"/>
  <c r="DL378" i="6"/>
  <c r="DG378" i="6"/>
  <c r="AA3826" i="5"/>
  <c r="Y3826" i="5"/>
  <c r="Z3826" i="5"/>
  <c r="DO380" i="6"/>
  <c r="DY380" i="6"/>
  <c r="AA4817" i="5"/>
  <c r="Y4817" i="5"/>
  <c r="Z4817" i="5"/>
  <c r="AA4322" i="5"/>
  <c r="Y4322" i="5"/>
  <c r="Z4322" i="5"/>
  <c r="BR372" i="6"/>
  <c r="BW372" i="6"/>
  <c r="BX372" i="6"/>
  <c r="CC372" i="6"/>
  <c r="AA362" i="5"/>
  <c r="Z362" i="5"/>
  <c r="Y362" i="5"/>
  <c r="AV368" i="6"/>
  <c r="AP368" i="6"/>
  <c r="BA368" i="6"/>
  <c r="AU368" i="6"/>
  <c r="Y3331" i="5"/>
  <c r="Z3331" i="5"/>
  <c r="AA3331" i="5"/>
  <c r="BI370" i="6"/>
  <c r="BD370" i="6"/>
  <c r="BO370" i="6"/>
  <c r="BJ370" i="6"/>
  <c r="Y5312" i="5"/>
  <c r="AA5312" i="5"/>
  <c r="Z5312" i="5"/>
  <c r="BY373" i="6"/>
  <c r="CE373" i="6"/>
  <c r="CJ373" i="6"/>
  <c r="CD373" i="6"/>
  <c r="AA2342" i="5"/>
  <c r="Y2342" i="5"/>
  <c r="Z2342" i="5"/>
  <c r="DO379" i="6"/>
  <c r="DY379" i="6"/>
  <c r="CL375" i="6"/>
  <c r="CF375" i="6"/>
  <c r="CK375" i="6"/>
  <c r="CQ375" i="6"/>
  <c r="AA1846" i="5"/>
  <c r="Y1846" i="5"/>
  <c r="Z1846" i="5"/>
  <c r="AA3827" i="5"/>
  <c r="Y3827" i="5"/>
  <c r="Z3827" i="5"/>
  <c r="Y2341" i="5"/>
  <c r="AA2341" i="5"/>
  <c r="Z2341" i="5"/>
  <c r="CT377" i="6"/>
  <c r="CZ377" i="6"/>
  <c r="CY377" i="6"/>
  <c r="DE377" i="6"/>
  <c r="Y5807" i="5"/>
  <c r="AA5807" i="5"/>
  <c r="Z5807" i="5"/>
  <c r="BD371" i="6"/>
  <c r="BI371" i="6"/>
  <c r="BO371" i="6"/>
  <c r="BJ371" i="6"/>
  <c r="DX380" i="6"/>
  <c r="AA6303" i="5" s="1"/>
  <c r="F381" i="6"/>
  <c r="Z381" i="6"/>
  <c r="V381" i="6"/>
  <c r="N381" i="6"/>
  <c r="AI381" i="6"/>
  <c r="AK381" i="6"/>
  <c r="T381" i="6"/>
  <c r="L381" i="6"/>
  <c r="J381" i="6"/>
  <c r="R381" i="6"/>
  <c r="D381" i="6"/>
  <c r="AM381" i="6"/>
  <c r="X381" i="6"/>
  <c r="P381" i="6"/>
  <c r="H381" i="6"/>
  <c r="AB381" i="6"/>
  <c r="DT381" i="6" s="1"/>
  <c r="EF382" i="6"/>
  <c r="DX379" i="6"/>
  <c r="AA6302" i="5" s="1"/>
  <c r="BB371" i="6" l="1"/>
  <c r="AW371" i="6"/>
  <c r="BH371" i="6"/>
  <c r="BC371" i="6"/>
  <c r="AA3828" i="5"/>
  <c r="Y3828" i="5"/>
  <c r="Z3828" i="5"/>
  <c r="BX373" i="6"/>
  <c r="BR373" i="6"/>
  <c r="CC373" i="6"/>
  <c r="BW373" i="6"/>
  <c r="AA857" i="5"/>
  <c r="Z857" i="5"/>
  <c r="Y857" i="5"/>
  <c r="CT378" i="6"/>
  <c r="CZ378" i="6"/>
  <c r="CY378" i="6"/>
  <c r="DE378" i="6"/>
  <c r="Y1352" i="5"/>
  <c r="AA1352" i="5"/>
  <c r="Z1352" i="5"/>
  <c r="AA4323" i="5"/>
  <c r="Y4323" i="5"/>
  <c r="Z4323" i="5"/>
  <c r="DS379" i="6"/>
  <c r="DN379" i="6"/>
  <c r="DH379" i="6"/>
  <c r="DM379" i="6"/>
  <c r="AA1847" i="5"/>
  <c r="Y1847" i="5"/>
  <c r="Z1847" i="5"/>
  <c r="AN368" i="6"/>
  <c r="AO368" i="6"/>
  <c r="AT368" i="6"/>
  <c r="BV372" i="6"/>
  <c r="BK372" i="6"/>
  <c r="BQ372" i="6"/>
  <c r="BP372" i="6"/>
  <c r="DS380" i="6"/>
  <c r="DH380" i="6"/>
  <c r="DN380" i="6"/>
  <c r="DM380" i="6"/>
  <c r="Y3333" i="5"/>
  <c r="Z3333" i="5"/>
  <c r="AA3333" i="5"/>
  <c r="CM377" i="6"/>
  <c r="CS377" i="6"/>
  <c r="CX377" i="6"/>
  <c r="CR377" i="6"/>
  <c r="CD375" i="6"/>
  <c r="BY375" i="6"/>
  <c r="CJ375" i="6"/>
  <c r="CE375" i="6"/>
  <c r="AA3332" i="5"/>
  <c r="Y3332" i="5"/>
  <c r="Z3332" i="5"/>
  <c r="BB370" i="6"/>
  <c r="AW370" i="6"/>
  <c r="BH370" i="6"/>
  <c r="BC370" i="6"/>
  <c r="AA2837" i="5"/>
  <c r="Y2837" i="5"/>
  <c r="Z2837" i="5"/>
  <c r="AA5313" i="5"/>
  <c r="Y5313" i="5"/>
  <c r="Z5313" i="5"/>
  <c r="AP369" i="6"/>
  <c r="AV369" i="6"/>
  <c r="BA369" i="6"/>
  <c r="AU369" i="6"/>
  <c r="CL376" i="6"/>
  <c r="CF376" i="6"/>
  <c r="CK376" i="6"/>
  <c r="CQ376" i="6"/>
  <c r="AA1848" i="5"/>
  <c r="Y1848" i="5"/>
  <c r="Z1848" i="5"/>
  <c r="DO381" i="6"/>
  <c r="DY381" i="6"/>
  <c r="AA4818" i="5"/>
  <c r="Y4818" i="5"/>
  <c r="Z4818" i="5"/>
  <c r="BR374" i="6"/>
  <c r="BX374" i="6"/>
  <c r="CC374" i="6"/>
  <c r="BW374" i="6"/>
  <c r="Y6302" i="5"/>
  <c r="Z6302" i="5"/>
  <c r="Y6303" i="5"/>
  <c r="Z6303" i="5"/>
  <c r="DX381" i="6"/>
  <c r="AA6304" i="5" s="1"/>
  <c r="EF383" i="6"/>
  <c r="EG382" i="6"/>
  <c r="EH382" i="6" s="1"/>
  <c r="AA382" i="6" s="1"/>
  <c r="AA2839" i="5" l="1"/>
  <c r="Y2839" i="5"/>
  <c r="Z2839" i="5"/>
  <c r="AA858" i="5"/>
  <c r="Z858" i="5"/>
  <c r="Y858" i="5"/>
  <c r="CD376" i="6"/>
  <c r="BY376" i="6"/>
  <c r="CE376" i="6"/>
  <c r="CJ376" i="6"/>
  <c r="AA3334" i="5"/>
  <c r="Y3334" i="5"/>
  <c r="Z3334" i="5"/>
  <c r="AA4324" i="5"/>
  <c r="Y4324" i="5"/>
  <c r="Z4324" i="5"/>
  <c r="DA380" i="6"/>
  <c r="DG380" i="6"/>
  <c r="DF380" i="6"/>
  <c r="DL380" i="6"/>
  <c r="BI372" i="6"/>
  <c r="BD372" i="6"/>
  <c r="BO372" i="6"/>
  <c r="BJ372" i="6"/>
  <c r="BX375" i="6"/>
  <c r="BR375" i="6"/>
  <c r="CC375" i="6"/>
  <c r="BW375" i="6"/>
  <c r="Y5809" i="5"/>
  <c r="Z5809" i="5"/>
  <c r="AA5809" i="5"/>
  <c r="AA2343" i="5"/>
  <c r="Z2343" i="5"/>
  <c r="Y2343" i="5"/>
  <c r="DA379" i="6"/>
  <c r="DL379" i="6"/>
  <c r="DF379" i="6"/>
  <c r="DG379" i="6"/>
  <c r="CR378" i="6"/>
  <c r="CM378" i="6"/>
  <c r="CS378" i="6"/>
  <c r="CX378" i="6"/>
  <c r="Y1354" i="5"/>
  <c r="AA1354" i="5"/>
  <c r="Z1354" i="5"/>
  <c r="BK374" i="6"/>
  <c r="BV374" i="6"/>
  <c r="BP374" i="6"/>
  <c r="BQ374" i="6"/>
  <c r="DH381" i="6"/>
  <c r="DS381" i="6"/>
  <c r="DN381" i="6"/>
  <c r="DM381" i="6"/>
  <c r="AA3829" i="5"/>
  <c r="Y3829" i="5"/>
  <c r="Z3829" i="5"/>
  <c r="AV370" i="6"/>
  <c r="AP370" i="6"/>
  <c r="BA370" i="6"/>
  <c r="AU370" i="6"/>
  <c r="CL377" i="6"/>
  <c r="CF377" i="6"/>
  <c r="CK377" i="6"/>
  <c r="CQ377" i="6"/>
  <c r="AA363" i="5"/>
  <c r="Z363" i="5"/>
  <c r="Y363" i="5"/>
  <c r="AA4819" i="5"/>
  <c r="Z4819" i="5"/>
  <c r="Y4819" i="5"/>
  <c r="Y2838" i="5"/>
  <c r="AA2838" i="5"/>
  <c r="Z2838" i="5"/>
  <c r="AP371" i="6"/>
  <c r="AV371" i="6"/>
  <c r="AU371" i="6"/>
  <c r="BA371" i="6"/>
  <c r="AN369" i="6"/>
  <c r="AT369" i="6"/>
  <c r="AO369" i="6"/>
  <c r="Y1353" i="5"/>
  <c r="AA1353" i="5"/>
  <c r="Z1353" i="5"/>
  <c r="Y5808" i="5"/>
  <c r="Z5808" i="5"/>
  <c r="AA5808" i="5"/>
  <c r="BP373" i="6"/>
  <c r="BK373" i="6"/>
  <c r="BQ373" i="6"/>
  <c r="BV373" i="6"/>
  <c r="Y6304" i="5"/>
  <c r="Z6304" i="5"/>
  <c r="EF384" i="6"/>
  <c r="EG384" i="6" s="1"/>
  <c r="EH384" i="6" s="1"/>
  <c r="AA384" i="6" s="1"/>
  <c r="X382" i="6"/>
  <c r="N382" i="6"/>
  <c r="H382" i="6"/>
  <c r="V382" i="6"/>
  <c r="P382" i="6"/>
  <c r="T382" i="6"/>
  <c r="J382" i="6"/>
  <c r="L382" i="6"/>
  <c r="R382" i="6"/>
  <c r="D382" i="6"/>
  <c r="Z382" i="6"/>
  <c r="F382" i="6"/>
  <c r="AM382" i="6"/>
  <c r="AB382" i="6"/>
  <c r="DT382" i="6" s="1"/>
  <c r="AI382" i="6"/>
  <c r="AK382" i="6"/>
  <c r="EG383" i="6"/>
  <c r="EH383" i="6" s="1"/>
  <c r="AA383" i="6" s="1"/>
  <c r="AA2344" i="5" l="1"/>
  <c r="Z2344" i="5"/>
  <c r="Y2344" i="5"/>
  <c r="BD373" i="6"/>
  <c r="BI373" i="6"/>
  <c r="BO373" i="6"/>
  <c r="BJ373" i="6"/>
  <c r="AA3830" i="5"/>
  <c r="Y3830" i="5"/>
  <c r="Z3830" i="5"/>
  <c r="CL378" i="6"/>
  <c r="CF378" i="6"/>
  <c r="CQ378" i="6"/>
  <c r="CK378" i="6"/>
  <c r="Y5314" i="5"/>
  <c r="Z5314" i="5"/>
  <c r="AA5314" i="5"/>
  <c r="AA5315" i="5"/>
  <c r="Z5315" i="5"/>
  <c r="Y5315" i="5"/>
  <c r="BR376" i="6"/>
  <c r="BX376" i="6"/>
  <c r="BW376" i="6"/>
  <c r="CC376" i="6"/>
  <c r="DO382" i="6"/>
  <c r="DY382" i="6"/>
  <c r="AA364" i="5"/>
  <c r="Z364" i="5"/>
  <c r="Y364" i="5"/>
  <c r="AA859" i="5"/>
  <c r="Z859" i="5"/>
  <c r="Y859" i="5"/>
  <c r="AA5810" i="5"/>
  <c r="Y5810" i="5"/>
  <c r="Z5810" i="5"/>
  <c r="AA2345" i="5"/>
  <c r="Y2345" i="5"/>
  <c r="Z2345" i="5"/>
  <c r="CT379" i="6"/>
  <c r="CZ379" i="6"/>
  <c r="DE379" i="6"/>
  <c r="CY379" i="6"/>
  <c r="Y2840" i="5"/>
  <c r="AA2840" i="5"/>
  <c r="Z2840" i="5"/>
  <c r="AA1849" i="5"/>
  <c r="Z1849" i="5"/>
  <c r="Y1849" i="5"/>
  <c r="AO371" i="6"/>
  <c r="AT371" i="6"/>
  <c r="AN371" i="6"/>
  <c r="BY377" i="6"/>
  <c r="CJ377" i="6"/>
  <c r="CD377" i="6"/>
  <c r="CE377" i="6"/>
  <c r="AN370" i="6"/>
  <c r="AT370" i="6"/>
  <c r="AO370" i="6"/>
  <c r="DA381" i="6"/>
  <c r="DG381" i="6"/>
  <c r="DL381" i="6"/>
  <c r="DF381" i="6"/>
  <c r="BD374" i="6"/>
  <c r="BI374" i="6"/>
  <c r="BO374" i="6"/>
  <c r="BJ374" i="6"/>
  <c r="Y4325" i="5"/>
  <c r="AA4325" i="5"/>
  <c r="Z4325" i="5"/>
  <c r="BP375" i="6"/>
  <c r="BQ375" i="6"/>
  <c r="BK375" i="6"/>
  <c r="BV375" i="6"/>
  <c r="BB372" i="6"/>
  <c r="AW372" i="6"/>
  <c r="BC372" i="6"/>
  <c r="BH372" i="6"/>
  <c r="Y3335" i="5"/>
  <c r="AA3335" i="5"/>
  <c r="Z3335" i="5"/>
  <c r="AA860" i="5"/>
  <c r="Y860" i="5"/>
  <c r="Z860" i="5"/>
  <c r="CT380" i="6"/>
  <c r="CZ380" i="6"/>
  <c r="CY380" i="6"/>
  <c r="DE380" i="6"/>
  <c r="F384" i="6"/>
  <c r="X384" i="6"/>
  <c r="L384" i="6"/>
  <c r="H384" i="6"/>
  <c r="V384" i="6"/>
  <c r="N384" i="6"/>
  <c r="D384" i="6"/>
  <c r="T384" i="6"/>
  <c r="R384" i="6"/>
  <c r="P384" i="6"/>
  <c r="J384" i="6"/>
  <c r="AB384" i="6"/>
  <c r="DT384" i="6" s="1"/>
  <c r="AI384" i="6"/>
  <c r="Z384" i="6"/>
  <c r="AM384" i="6"/>
  <c r="AK384" i="6"/>
  <c r="DX382" i="6"/>
  <c r="AA6305" i="5" s="1"/>
  <c r="X383" i="6"/>
  <c r="P383" i="6"/>
  <c r="H383" i="6"/>
  <c r="F383" i="6"/>
  <c r="V383" i="6"/>
  <c r="L383" i="6"/>
  <c r="D383" i="6"/>
  <c r="Z383" i="6"/>
  <c r="T383" i="6"/>
  <c r="N383" i="6"/>
  <c r="R383" i="6"/>
  <c r="J383" i="6"/>
  <c r="AM383" i="6"/>
  <c r="AB383" i="6"/>
  <c r="DT383" i="6" s="1"/>
  <c r="AI383" i="6"/>
  <c r="AK383" i="6"/>
  <c r="EF385" i="6"/>
  <c r="EG385" i="6" s="1"/>
  <c r="EH385" i="6" s="1"/>
  <c r="AA385" i="6" s="1"/>
  <c r="CR380" i="6" l="1"/>
  <c r="CM380" i="6"/>
  <c r="CS380" i="6"/>
  <c r="CX380" i="6"/>
  <c r="BD375" i="6"/>
  <c r="BO375" i="6"/>
  <c r="BJ375" i="6"/>
  <c r="BI375" i="6"/>
  <c r="BX377" i="6"/>
  <c r="BR377" i="6"/>
  <c r="CC377" i="6"/>
  <c r="BW377" i="6"/>
  <c r="AA2841" i="5"/>
  <c r="Y2841" i="5"/>
  <c r="Z2841" i="5"/>
  <c r="CD378" i="6"/>
  <c r="BY378" i="6"/>
  <c r="CE378" i="6"/>
  <c r="CJ378" i="6"/>
  <c r="BB373" i="6"/>
  <c r="AW373" i="6"/>
  <c r="BC373" i="6"/>
  <c r="BH373" i="6"/>
  <c r="AP372" i="6"/>
  <c r="BA372" i="6"/>
  <c r="AV372" i="6"/>
  <c r="AU372" i="6"/>
  <c r="AW374" i="6"/>
  <c r="BB374" i="6"/>
  <c r="BH374" i="6"/>
  <c r="BC374" i="6"/>
  <c r="CR379" i="6"/>
  <c r="CM379" i="6"/>
  <c r="CX379" i="6"/>
  <c r="CS379" i="6"/>
  <c r="DO384" i="6"/>
  <c r="DY384" i="6"/>
  <c r="AA4821" i="5"/>
  <c r="Y4821" i="5"/>
  <c r="Z4821" i="5"/>
  <c r="CT381" i="6"/>
  <c r="DE381" i="6"/>
  <c r="CY381" i="6"/>
  <c r="CZ381" i="6"/>
  <c r="DO383" i="6"/>
  <c r="DY383" i="6"/>
  <c r="Y366" i="5"/>
  <c r="AA366" i="5"/>
  <c r="Z366" i="5"/>
  <c r="AA1850" i="5"/>
  <c r="Y1850" i="5"/>
  <c r="Z1850" i="5"/>
  <c r="Y1355" i="5"/>
  <c r="AA1355" i="5"/>
  <c r="Z1355" i="5"/>
  <c r="Y2346" i="5"/>
  <c r="AA2346" i="5"/>
  <c r="Z2346" i="5"/>
  <c r="AA1851" i="5"/>
  <c r="Y1851" i="5"/>
  <c r="Z1851" i="5"/>
  <c r="Y5316" i="5"/>
  <c r="AA5316" i="5"/>
  <c r="Z5316" i="5"/>
  <c r="AA365" i="5"/>
  <c r="Z365" i="5"/>
  <c r="Y365" i="5"/>
  <c r="AA3336" i="5"/>
  <c r="Y3336" i="5"/>
  <c r="Z3336" i="5"/>
  <c r="AA4820" i="5"/>
  <c r="Y4820" i="5"/>
  <c r="Z4820" i="5"/>
  <c r="DS382" i="6"/>
  <c r="DM382" i="6"/>
  <c r="DH382" i="6"/>
  <c r="DN382" i="6"/>
  <c r="BK376" i="6"/>
  <c r="BQ376" i="6"/>
  <c r="BV376" i="6"/>
  <c r="BP376" i="6"/>
  <c r="AA3831" i="5"/>
  <c r="Y3831" i="5"/>
  <c r="Z3831" i="5"/>
  <c r="Y6305" i="5"/>
  <c r="Z6305" i="5"/>
  <c r="F385" i="6"/>
  <c r="Z385" i="6"/>
  <c r="X385" i="6"/>
  <c r="P385" i="6"/>
  <c r="D385" i="6"/>
  <c r="AI385" i="6"/>
  <c r="AK385" i="6"/>
  <c r="V385" i="6"/>
  <c r="N385" i="6"/>
  <c r="J385" i="6"/>
  <c r="T385" i="6"/>
  <c r="L385" i="6"/>
  <c r="AM385" i="6"/>
  <c r="AB385" i="6"/>
  <c r="DT385" i="6" s="1"/>
  <c r="R385" i="6"/>
  <c r="H385" i="6"/>
  <c r="EF386" i="6"/>
  <c r="EG386" i="6" s="1"/>
  <c r="EH386" i="6" s="1"/>
  <c r="AA386" i="6" s="1"/>
  <c r="DX383" i="6"/>
  <c r="AA6306" i="5" s="1"/>
  <c r="DX384" i="6"/>
  <c r="AA6307" i="5" s="1"/>
  <c r="CM381" i="6" l="1"/>
  <c r="CX381" i="6"/>
  <c r="CS381" i="6"/>
  <c r="CR381" i="6"/>
  <c r="DO385" i="6"/>
  <c r="DY385" i="6"/>
  <c r="DA382" i="6"/>
  <c r="DG382" i="6"/>
  <c r="DF382" i="6"/>
  <c r="DL382" i="6"/>
  <c r="DS384" i="6"/>
  <c r="DH384" i="6"/>
  <c r="DN384" i="6"/>
  <c r="DM384" i="6"/>
  <c r="AV374" i="6"/>
  <c r="AP374" i="6"/>
  <c r="BA374" i="6"/>
  <c r="AU374" i="6"/>
  <c r="AO372" i="6"/>
  <c r="AN372" i="6"/>
  <c r="AT372" i="6"/>
  <c r="AA4327" i="5"/>
  <c r="Y4327" i="5"/>
  <c r="Z4327" i="5"/>
  <c r="Y1356" i="5"/>
  <c r="AA1356" i="5"/>
  <c r="Z1356" i="5"/>
  <c r="Y3337" i="5"/>
  <c r="AA3337" i="5"/>
  <c r="Z3337" i="5"/>
  <c r="Y2842" i="5"/>
  <c r="AA2842" i="5"/>
  <c r="Z2842" i="5"/>
  <c r="DS383" i="6"/>
  <c r="DM383" i="6"/>
  <c r="DN383" i="6"/>
  <c r="DH383" i="6"/>
  <c r="AA2347" i="5"/>
  <c r="Y2347" i="5"/>
  <c r="Z2347" i="5"/>
  <c r="BD376" i="6"/>
  <c r="BI376" i="6"/>
  <c r="BO376" i="6"/>
  <c r="BJ376" i="6"/>
  <c r="Y5811" i="5"/>
  <c r="AA5811" i="5"/>
  <c r="Z5811" i="5"/>
  <c r="AA4822" i="5"/>
  <c r="Y4822" i="5"/>
  <c r="Z4822" i="5"/>
  <c r="AA4326" i="5"/>
  <c r="Y4326" i="5"/>
  <c r="Z4326" i="5"/>
  <c r="AA1357" i="5"/>
  <c r="Y1357" i="5"/>
  <c r="Z1357" i="5"/>
  <c r="BP377" i="6"/>
  <c r="BK377" i="6"/>
  <c r="BV377" i="6"/>
  <c r="BQ377" i="6"/>
  <c r="AA1852" i="5"/>
  <c r="Y1852" i="5"/>
  <c r="Z1852" i="5"/>
  <c r="CL380" i="6"/>
  <c r="CF380" i="6"/>
  <c r="CK380" i="6"/>
  <c r="CQ380" i="6"/>
  <c r="CL379" i="6"/>
  <c r="CF379" i="6"/>
  <c r="CK379" i="6"/>
  <c r="CQ379" i="6"/>
  <c r="Y861" i="5"/>
  <c r="AA861" i="5"/>
  <c r="Z861" i="5"/>
  <c r="AV373" i="6"/>
  <c r="AP373" i="6"/>
  <c r="BA373" i="6"/>
  <c r="AU373" i="6"/>
  <c r="BR378" i="6"/>
  <c r="CC378" i="6"/>
  <c r="BW378" i="6"/>
  <c r="BX378" i="6"/>
  <c r="BB375" i="6"/>
  <c r="AW375" i="6"/>
  <c r="BH375" i="6"/>
  <c r="BC375" i="6"/>
  <c r="Y6307" i="5"/>
  <c r="Z6307" i="5"/>
  <c r="Y6306" i="5"/>
  <c r="Z6306" i="5"/>
  <c r="X386" i="6"/>
  <c r="N386" i="6"/>
  <c r="P386" i="6"/>
  <c r="V386" i="6"/>
  <c r="L386" i="6"/>
  <c r="Z386" i="6"/>
  <c r="T386" i="6"/>
  <c r="J386" i="6"/>
  <c r="R386" i="6"/>
  <c r="D386" i="6"/>
  <c r="F386" i="6"/>
  <c r="AB386" i="6"/>
  <c r="DT386" i="6" s="1"/>
  <c r="AM386" i="6"/>
  <c r="H386" i="6"/>
  <c r="AI386" i="6"/>
  <c r="AK386" i="6"/>
  <c r="EF387" i="6"/>
  <c r="EG387" i="6" s="1"/>
  <c r="EH387" i="6" s="1"/>
  <c r="AA387" i="6" s="1"/>
  <c r="DX385" i="6"/>
  <c r="AA6308" i="5" s="1"/>
  <c r="CD379" i="6" l="1"/>
  <c r="BY379" i="6"/>
  <c r="CE379" i="6"/>
  <c r="CJ379" i="6"/>
  <c r="AO373" i="6"/>
  <c r="AN373" i="6"/>
  <c r="AT373" i="6"/>
  <c r="AT374" i="6"/>
  <c r="AO374" i="6"/>
  <c r="AN374" i="6"/>
  <c r="DA384" i="6"/>
  <c r="DF384" i="6"/>
  <c r="DL384" i="6"/>
  <c r="DG384" i="6"/>
  <c r="AA1358" i="5"/>
  <c r="Z1358" i="5"/>
  <c r="Y1358" i="5"/>
  <c r="Y862" i="5"/>
  <c r="AA862" i="5"/>
  <c r="Z862" i="5"/>
  <c r="AP375" i="6"/>
  <c r="AU375" i="6"/>
  <c r="AV375" i="6"/>
  <c r="BA375" i="6"/>
  <c r="AA2843" i="5"/>
  <c r="Y2843" i="5"/>
  <c r="Z2843" i="5"/>
  <c r="BK378" i="6"/>
  <c r="BP378" i="6"/>
  <c r="BV378" i="6"/>
  <c r="BQ378" i="6"/>
  <c r="AA3832" i="5"/>
  <c r="Y3832" i="5"/>
  <c r="Z3832" i="5"/>
  <c r="AA3833" i="5"/>
  <c r="Z3833" i="5"/>
  <c r="Y3833" i="5"/>
  <c r="AA2348" i="5"/>
  <c r="Y2348" i="5"/>
  <c r="Z2348" i="5"/>
  <c r="AA1853" i="5"/>
  <c r="Z1853" i="5"/>
  <c r="Y1853" i="5"/>
  <c r="Y5813" i="5"/>
  <c r="Z5813" i="5"/>
  <c r="AA5813" i="5"/>
  <c r="CT382" i="6"/>
  <c r="CZ382" i="6"/>
  <c r="CY382" i="6"/>
  <c r="DE382" i="6"/>
  <c r="DO386" i="6"/>
  <c r="DY386" i="6"/>
  <c r="BD377" i="6"/>
  <c r="BI377" i="6"/>
  <c r="BO377" i="6"/>
  <c r="BJ377" i="6"/>
  <c r="Y5812" i="5"/>
  <c r="Z5812" i="5"/>
  <c r="AA5812" i="5"/>
  <c r="AA5317" i="5"/>
  <c r="Z5317" i="5"/>
  <c r="Y5317" i="5"/>
  <c r="AA4328" i="5"/>
  <c r="Y4328" i="5"/>
  <c r="Z4328" i="5"/>
  <c r="CD380" i="6"/>
  <c r="BY380" i="6"/>
  <c r="CE380" i="6"/>
  <c r="CJ380" i="6"/>
  <c r="AW376" i="6"/>
  <c r="BH376" i="6"/>
  <c r="BB376" i="6"/>
  <c r="BC376" i="6"/>
  <c r="DA383" i="6"/>
  <c r="DF383" i="6"/>
  <c r="DG383" i="6"/>
  <c r="DL383" i="6"/>
  <c r="AA367" i="5"/>
  <c r="Y367" i="5"/>
  <c r="Z367" i="5"/>
  <c r="Y863" i="5"/>
  <c r="AA863" i="5"/>
  <c r="Z863" i="5"/>
  <c r="DH385" i="6"/>
  <c r="DM385" i="6"/>
  <c r="DN385" i="6"/>
  <c r="DS385" i="6"/>
  <c r="CL381" i="6"/>
  <c r="CF381" i="6"/>
  <c r="CK381" i="6"/>
  <c r="CQ381" i="6"/>
  <c r="Y6308" i="5"/>
  <c r="Z6308" i="5"/>
  <c r="R387" i="6"/>
  <c r="H387" i="6"/>
  <c r="N387" i="6"/>
  <c r="D387" i="6"/>
  <c r="Z387" i="6"/>
  <c r="X387" i="6"/>
  <c r="P387" i="6"/>
  <c r="V387" i="6"/>
  <c r="L387" i="6"/>
  <c r="T387" i="6"/>
  <c r="J387" i="6"/>
  <c r="F387" i="6"/>
  <c r="AM387" i="6"/>
  <c r="AI387" i="6"/>
  <c r="AK387" i="6"/>
  <c r="AB387" i="6"/>
  <c r="DT387" i="6" s="1"/>
  <c r="EF388" i="6"/>
  <c r="DX386" i="6"/>
  <c r="AA6309" i="5" s="1"/>
  <c r="AA3834" i="5" l="1"/>
  <c r="Y3834" i="5"/>
  <c r="Z3834" i="5"/>
  <c r="BY381" i="6"/>
  <c r="CD381" i="6"/>
  <c r="CE381" i="6"/>
  <c r="CJ381" i="6"/>
  <c r="Y3339" i="5"/>
  <c r="AA3339" i="5"/>
  <c r="Z3339" i="5"/>
  <c r="DA385" i="6"/>
  <c r="DL385" i="6"/>
  <c r="DF385" i="6"/>
  <c r="DG385" i="6"/>
  <c r="BD378" i="6"/>
  <c r="BO378" i="6"/>
  <c r="BJ378" i="6"/>
  <c r="BI378" i="6"/>
  <c r="AA864" i="5"/>
  <c r="Y864" i="5"/>
  <c r="Z864" i="5"/>
  <c r="AA369" i="5"/>
  <c r="Y369" i="5"/>
  <c r="Z369" i="5"/>
  <c r="AA3338" i="5"/>
  <c r="Y3338" i="5"/>
  <c r="Z3338" i="5"/>
  <c r="AA5814" i="5"/>
  <c r="Z5814" i="5"/>
  <c r="Y5814" i="5"/>
  <c r="AA1359" i="5"/>
  <c r="Y1359" i="5"/>
  <c r="Z1359" i="5"/>
  <c r="DS386" i="6"/>
  <c r="DH386" i="6"/>
  <c r="DM386" i="6"/>
  <c r="DN386" i="6"/>
  <c r="CR382" i="6"/>
  <c r="CM382" i="6"/>
  <c r="CS382" i="6"/>
  <c r="CX382" i="6"/>
  <c r="CT384" i="6"/>
  <c r="DE384" i="6"/>
  <c r="CY384" i="6"/>
  <c r="CZ384" i="6"/>
  <c r="AA368" i="5"/>
  <c r="Z368" i="5"/>
  <c r="Y368" i="5"/>
  <c r="BR380" i="6"/>
  <c r="CC380" i="6"/>
  <c r="BX380" i="6"/>
  <c r="BW380" i="6"/>
  <c r="AA1854" i="5"/>
  <c r="Y1854" i="5"/>
  <c r="Z1854" i="5"/>
  <c r="CT383" i="6"/>
  <c r="DE383" i="6"/>
  <c r="CZ383" i="6"/>
  <c r="CY383" i="6"/>
  <c r="AV376" i="6"/>
  <c r="AP376" i="6"/>
  <c r="BA376" i="6"/>
  <c r="AU376" i="6"/>
  <c r="AA4823" i="5"/>
  <c r="Y4823" i="5"/>
  <c r="Z4823" i="5"/>
  <c r="AA2349" i="5"/>
  <c r="Y2349" i="5"/>
  <c r="Z2349" i="5"/>
  <c r="BX379" i="6"/>
  <c r="BR379" i="6"/>
  <c r="CC379" i="6"/>
  <c r="BW379" i="6"/>
  <c r="DO387" i="6"/>
  <c r="DY387" i="6"/>
  <c r="Y5318" i="5"/>
  <c r="AA5318" i="5"/>
  <c r="Z5318" i="5"/>
  <c r="BB377" i="6"/>
  <c r="AW377" i="6"/>
  <c r="BH377" i="6"/>
  <c r="BC377" i="6"/>
  <c r="AT375" i="6"/>
  <c r="AO375" i="6"/>
  <c r="AN375" i="6"/>
  <c r="AA5319" i="5"/>
  <c r="Y5319" i="5"/>
  <c r="Z5319" i="5"/>
  <c r="Y6309" i="5"/>
  <c r="Z6309" i="5"/>
  <c r="EF389" i="6"/>
  <c r="EG389" i="6" s="1"/>
  <c r="EH389" i="6" s="1"/>
  <c r="AA389" i="6" s="1"/>
  <c r="EG388" i="6"/>
  <c r="EH388" i="6" s="1"/>
  <c r="AA388" i="6" s="1"/>
  <c r="DX387" i="6"/>
  <c r="AA6310" i="5" s="1"/>
  <c r="AA370" i="5" l="1"/>
  <c r="Y370" i="5"/>
  <c r="Z370" i="5"/>
  <c r="AV377" i="6"/>
  <c r="AP377" i="6"/>
  <c r="AU377" i="6"/>
  <c r="BA377" i="6"/>
  <c r="Y2844" i="5"/>
  <c r="AA2844" i="5"/>
  <c r="Z2844" i="5"/>
  <c r="CR383" i="6"/>
  <c r="CM383" i="6"/>
  <c r="CS383" i="6"/>
  <c r="CX383" i="6"/>
  <c r="AA1855" i="5"/>
  <c r="Y1855" i="5"/>
  <c r="Z1855" i="5"/>
  <c r="Y5320" i="5"/>
  <c r="AA5320" i="5"/>
  <c r="Z5320" i="5"/>
  <c r="BX381" i="6"/>
  <c r="BR381" i="6"/>
  <c r="CC381" i="6"/>
  <c r="BW381" i="6"/>
  <c r="DA386" i="6"/>
  <c r="DF386" i="6"/>
  <c r="DG386" i="6"/>
  <c r="DL386" i="6"/>
  <c r="AW378" i="6"/>
  <c r="BH378" i="6"/>
  <c r="BB378" i="6"/>
  <c r="BC378" i="6"/>
  <c r="CT385" i="6"/>
  <c r="CY385" i="6"/>
  <c r="DE385" i="6"/>
  <c r="CZ385" i="6"/>
  <c r="AA3340" i="5"/>
  <c r="Y3340" i="5"/>
  <c r="Z3340" i="5"/>
  <c r="BP379" i="6"/>
  <c r="BQ379" i="6"/>
  <c r="BK379" i="6"/>
  <c r="BV379" i="6"/>
  <c r="AA4825" i="5"/>
  <c r="Y4825" i="5"/>
  <c r="Z4825" i="5"/>
  <c r="CL382" i="6"/>
  <c r="CF382" i="6"/>
  <c r="CK382" i="6"/>
  <c r="CQ382" i="6"/>
  <c r="DS387" i="6"/>
  <c r="DM387" i="6"/>
  <c r="DN387" i="6"/>
  <c r="DH387" i="6"/>
  <c r="Y865" i="5"/>
  <c r="AA865" i="5"/>
  <c r="Z865" i="5"/>
  <c r="AA2845" i="5"/>
  <c r="Z2845" i="5"/>
  <c r="Y2845" i="5"/>
  <c r="CR384" i="6"/>
  <c r="CM384" i="6"/>
  <c r="CS384" i="6"/>
  <c r="CX384" i="6"/>
  <c r="Y5815" i="5"/>
  <c r="AA5815" i="5"/>
  <c r="Z5815" i="5"/>
  <c r="AA1360" i="5"/>
  <c r="Y1360" i="5"/>
  <c r="Z1360" i="5"/>
  <c r="AN376" i="6"/>
  <c r="AT376" i="6"/>
  <c r="AO376" i="6"/>
  <c r="AA4824" i="5"/>
  <c r="Y4824" i="5"/>
  <c r="Z4824" i="5"/>
  <c r="BQ380" i="6"/>
  <c r="BK380" i="6"/>
  <c r="BP380" i="6"/>
  <c r="BV380" i="6"/>
  <c r="Y4329" i="5"/>
  <c r="Z4329" i="5"/>
  <c r="AA4329" i="5"/>
  <c r="Y6310" i="5"/>
  <c r="Z6310" i="5"/>
  <c r="F389" i="6"/>
  <c r="Z389" i="6"/>
  <c r="T389" i="6"/>
  <c r="L389" i="6"/>
  <c r="AI389" i="6"/>
  <c r="AK389" i="6"/>
  <c r="R389" i="6"/>
  <c r="J389" i="6"/>
  <c r="X389" i="6"/>
  <c r="P389" i="6"/>
  <c r="D389" i="6"/>
  <c r="AM389" i="6"/>
  <c r="V389" i="6"/>
  <c r="N389" i="6"/>
  <c r="H389" i="6"/>
  <c r="AB389" i="6"/>
  <c r="DT389" i="6" s="1"/>
  <c r="EF390" i="6"/>
  <c r="EG390" i="6" s="1"/>
  <c r="EH390" i="6" s="1"/>
  <c r="AA390" i="6" s="1"/>
  <c r="F388" i="6"/>
  <c r="T388" i="6"/>
  <c r="N388" i="6"/>
  <c r="P388" i="6"/>
  <c r="J388" i="6"/>
  <c r="X388" i="6"/>
  <c r="L388" i="6"/>
  <c r="H388" i="6"/>
  <c r="V388" i="6"/>
  <c r="R388" i="6"/>
  <c r="D388" i="6"/>
  <c r="AB388" i="6"/>
  <c r="DT388" i="6" s="1"/>
  <c r="AI388" i="6"/>
  <c r="AK388" i="6"/>
  <c r="Z388" i="6"/>
  <c r="AM388" i="6"/>
  <c r="DO389" i="6" l="1"/>
  <c r="DY389" i="6"/>
  <c r="CM385" i="6"/>
  <c r="CS385" i="6"/>
  <c r="CR385" i="6"/>
  <c r="CX385" i="6"/>
  <c r="AA2351" i="5"/>
  <c r="Z2351" i="5"/>
  <c r="Y2351" i="5"/>
  <c r="AA371" i="5"/>
  <c r="Z371" i="5"/>
  <c r="Y371" i="5"/>
  <c r="AA4331" i="5"/>
  <c r="Y4331" i="5"/>
  <c r="Z4331" i="5"/>
  <c r="CD382" i="6"/>
  <c r="BY382" i="6"/>
  <c r="CE382" i="6"/>
  <c r="CJ382" i="6"/>
  <c r="AA5321" i="5"/>
  <c r="Y5321" i="5"/>
  <c r="Z5321" i="5"/>
  <c r="CL383" i="6"/>
  <c r="CF383" i="6"/>
  <c r="CK383" i="6"/>
  <c r="CQ383" i="6"/>
  <c r="DO388" i="6"/>
  <c r="DY388" i="6"/>
  <c r="Y5816" i="5"/>
  <c r="AA5816" i="5"/>
  <c r="Z5816" i="5"/>
  <c r="Y2350" i="5"/>
  <c r="AA2350" i="5"/>
  <c r="Z2350" i="5"/>
  <c r="AA4826" i="5"/>
  <c r="Y4826" i="5"/>
  <c r="Z4826" i="5"/>
  <c r="Y2846" i="5"/>
  <c r="AA2846" i="5"/>
  <c r="Z2846" i="5"/>
  <c r="AA866" i="5"/>
  <c r="Y866" i="5"/>
  <c r="Z866" i="5"/>
  <c r="BD380" i="6"/>
  <c r="BO380" i="6"/>
  <c r="BJ380" i="6"/>
  <c r="BI380" i="6"/>
  <c r="CL384" i="6"/>
  <c r="CF384" i="6"/>
  <c r="CK384" i="6"/>
  <c r="CQ384" i="6"/>
  <c r="DA387" i="6"/>
  <c r="DL387" i="6"/>
  <c r="DF387" i="6"/>
  <c r="DG387" i="6"/>
  <c r="AA3835" i="5"/>
  <c r="Y3835" i="5"/>
  <c r="Z3835" i="5"/>
  <c r="BD379" i="6"/>
  <c r="BJ379" i="6"/>
  <c r="BI379" i="6"/>
  <c r="BO379" i="6"/>
  <c r="AA1361" i="5"/>
  <c r="Y1361" i="5"/>
  <c r="Z1361" i="5"/>
  <c r="BP381" i="6"/>
  <c r="BK381" i="6"/>
  <c r="BQ381" i="6"/>
  <c r="BV381" i="6"/>
  <c r="AA4330" i="5"/>
  <c r="Z4330" i="5"/>
  <c r="Y4330" i="5"/>
  <c r="AV378" i="6"/>
  <c r="AP378" i="6"/>
  <c r="BA378" i="6"/>
  <c r="AU378" i="6"/>
  <c r="CT386" i="6"/>
  <c r="DE386" i="6"/>
  <c r="CY386" i="6"/>
  <c r="CZ386" i="6"/>
  <c r="AN377" i="6"/>
  <c r="AT377" i="6"/>
  <c r="AO377" i="6"/>
  <c r="DX388" i="6"/>
  <c r="AA6311" i="5" s="1"/>
  <c r="DX389" i="6"/>
  <c r="AA6312" i="5" s="1"/>
  <c r="EF391" i="6"/>
  <c r="EG391" i="6"/>
  <c r="EH391" i="6" s="1"/>
  <c r="AA391" i="6" s="1"/>
  <c r="X390" i="6"/>
  <c r="P390" i="6"/>
  <c r="L390" i="6"/>
  <c r="Z390" i="6"/>
  <c r="T390" i="6"/>
  <c r="J390" i="6"/>
  <c r="R390" i="6"/>
  <c r="D390" i="6"/>
  <c r="V390" i="6"/>
  <c r="N390" i="6"/>
  <c r="H390" i="6"/>
  <c r="AM390" i="6"/>
  <c r="F390" i="6"/>
  <c r="AI390" i="6"/>
  <c r="AK390" i="6"/>
  <c r="AB390" i="6"/>
  <c r="DT390" i="6" s="1"/>
  <c r="CR386" i="6" l="1"/>
  <c r="CM386" i="6"/>
  <c r="CS386" i="6"/>
  <c r="CX386" i="6"/>
  <c r="AA2352" i="5"/>
  <c r="Y2352" i="5"/>
  <c r="Z2352" i="5"/>
  <c r="Y5322" i="5"/>
  <c r="AA5322" i="5"/>
  <c r="Z5322" i="5"/>
  <c r="AA1857" i="5"/>
  <c r="Y1857" i="5"/>
  <c r="Z1857" i="5"/>
  <c r="CT387" i="6"/>
  <c r="CY387" i="6"/>
  <c r="CZ387" i="6"/>
  <c r="DE387" i="6"/>
  <c r="AW380" i="6"/>
  <c r="BB380" i="6"/>
  <c r="BC380" i="6"/>
  <c r="BH380" i="6"/>
  <c r="CD383" i="6"/>
  <c r="BY383" i="6"/>
  <c r="CE383" i="6"/>
  <c r="CJ383" i="6"/>
  <c r="BD381" i="6"/>
  <c r="BO381" i="6"/>
  <c r="BJ381" i="6"/>
  <c r="BI381" i="6"/>
  <c r="AA3837" i="5"/>
  <c r="Y3837" i="5"/>
  <c r="Z3837" i="5"/>
  <c r="Y3341" i="5"/>
  <c r="AA3341" i="5"/>
  <c r="Z3341" i="5"/>
  <c r="CL385" i="6"/>
  <c r="CF385" i="6"/>
  <c r="CK385" i="6"/>
  <c r="CQ385" i="6"/>
  <c r="DO390" i="6"/>
  <c r="DY390" i="6"/>
  <c r="Y867" i="5"/>
  <c r="AA867" i="5"/>
  <c r="Z867" i="5"/>
  <c r="AW379" i="6"/>
  <c r="BB379" i="6"/>
  <c r="BC379" i="6"/>
  <c r="BH379" i="6"/>
  <c r="DS388" i="6"/>
  <c r="DH388" i="6"/>
  <c r="DN388" i="6"/>
  <c r="DM388" i="6"/>
  <c r="AA372" i="5"/>
  <c r="Z372" i="5"/>
  <c r="Y372" i="5"/>
  <c r="AA4827" i="5"/>
  <c r="Y4827" i="5"/>
  <c r="Z4827" i="5"/>
  <c r="AO378" i="6"/>
  <c r="AN378" i="6"/>
  <c r="AT378" i="6"/>
  <c r="AA1856" i="5"/>
  <c r="Z1856" i="5"/>
  <c r="Y1856" i="5"/>
  <c r="AA3836" i="5"/>
  <c r="Y3836" i="5"/>
  <c r="Z3836" i="5"/>
  <c r="AA4332" i="5"/>
  <c r="Z4332" i="5"/>
  <c r="Y4332" i="5"/>
  <c r="CD384" i="6"/>
  <c r="BY384" i="6"/>
  <c r="CE384" i="6"/>
  <c r="CJ384" i="6"/>
  <c r="BR382" i="6"/>
  <c r="BX382" i="6"/>
  <c r="CC382" i="6"/>
  <c r="BW382" i="6"/>
  <c r="DH389" i="6"/>
  <c r="DS389" i="6"/>
  <c r="DN389" i="6"/>
  <c r="DM389" i="6"/>
  <c r="Y6312" i="5"/>
  <c r="Z6312" i="5"/>
  <c r="Y6311" i="5"/>
  <c r="Z6311" i="5"/>
  <c r="Z391" i="6"/>
  <c r="R391" i="6"/>
  <c r="N391" i="6"/>
  <c r="X391" i="6"/>
  <c r="P391" i="6"/>
  <c r="H391" i="6"/>
  <c r="V391" i="6"/>
  <c r="L391" i="6"/>
  <c r="F391" i="6"/>
  <c r="T391" i="6"/>
  <c r="J391" i="6"/>
  <c r="AM391" i="6"/>
  <c r="AB391" i="6"/>
  <c r="DT391" i="6" s="1"/>
  <c r="D391" i="6"/>
  <c r="AI391" i="6"/>
  <c r="AK391" i="6"/>
  <c r="EF392" i="6"/>
  <c r="DX390" i="6"/>
  <c r="AA6313" i="5" s="1"/>
  <c r="AA5818" i="5" l="1"/>
  <c r="Z5818" i="5"/>
  <c r="Y5818" i="5"/>
  <c r="BR384" i="6"/>
  <c r="BX384" i="6"/>
  <c r="BW384" i="6"/>
  <c r="CC384" i="6"/>
  <c r="AA1362" i="5"/>
  <c r="Y1362" i="5"/>
  <c r="Z1362" i="5"/>
  <c r="DS390" i="6"/>
  <c r="DN390" i="6"/>
  <c r="DH390" i="6"/>
  <c r="DM390" i="6"/>
  <c r="Y4333" i="5"/>
  <c r="AA4333" i="5"/>
  <c r="Z4333" i="5"/>
  <c r="DO391" i="6"/>
  <c r="DY391" i="6"/>
  <c r="DA389" i="6"/>
  <c r="DF389" i="6"/>
  <c r="DL389" i="6"/>
  <c r="DG389" i="6"/>
  <c r="BK382" i="6"/>
  <c r="BV382" i="6"/>
  <c r="BP382" i="6"/>
  <c r="BQ382" i="6"/>
  <c r="AA3838" i="5"/>
  <c r="Z3838" i="5"/>
  <c r="Y3838" i="5"/>
  <c r="AA1858" i="5"/>
  <c r="Z1858" i="5"/>
  <c r="Y1858" i="5"/>
  <c r="BX383" i="6"/>
  <c r="BR383" i="6"/>
  <c r="CC383" i="6"/>
  <c r="BW383" i="6"/>
  <c r="DA388" i="6"/>
  <c r="DG388" i="6"/>
  <c r="DL388" i="6"/>
  <c r="DF388" i="6"/>
  <c r="AW381" i="6"/>
  <c r="BB381" i="6"/>
  <c r="BH381" i="6"/>
  <c r="BC381" i="6"/>
  <c r="AV380" i="6"/>
  <c r="AP380" i="6"/>
  <c r="BA380" i="6"/>
  <c r="AU380" i="6"/>
  <c r="CR387" i="6"/>
  <c r="CM387" i="6"/>
  <c r="CX387" i="6"/>
  <c r="CS387" i="6"/>
  <c r="CL386" i="6"/>
  <c r="CF386" i="6"/>
  <c r="CK386" i="6"/>
  <c r="CQ386" i="6"/>
  <c r="Y3343" i="5"/>
  <c r="AA3343" i="5"/>
  <c r="Z3343" i="5"/>
  <c r="AA2847" i="5"/>
  <c r="Y2847" i="5"/>
  <c r="Z2847" i="5"/>
  <c r="AA373" i="5"/>
  <c r="Y373" i="5"/>
  <c r="Z373" i="5"/>
  <c r="Y5817" i="5"/>
  <c r="Z5817" i="5"/>
  <c r="AA5817" i="5"/>
  <c r="AP379" i="6"/>
  <c r="AU379" i="6"/>
  <c r="BA379" i="6"/>
  <c r="AV379" i="6"/>
  <c r="BY385" i="6"/>
  <c r="CD385" i="6"/>
  <c r="CE385" i="6"/>
  <c r="CJ385" i="6"/>
  <c r="AA3342" i="5"/>
  <c r="Y3342" i="5"/>
  <c r="Z3342" i="5"/>
  <c r="AA1363" i="5"/>
  <c r="Z1363" i="5"/>
  <c r="Y1363" i="5"/>
  <c r="AA4828" i="5"/>
  <c r="Y4828" i="5"/>
  <c r="Z4828" i="5"/>
  <c r="Y6313" i="5"/>
  <c r="Z6313" i="5"/>
  <c r="EF393" i="6"/>
  <c r="EG393" i="6" s="1"/>
  <c r="EH393" i="6" s="1"/>
  <c r="AA393" i="6" s="1"/>
  <c r="EG392" i="6"/>
  <c r="EH392" i="6" s="1"/>
  <c r="AA392" i="6" s="1"/>
  <c r="DX391" i="6"/>
  <c r="AA6314" i="5" s="1"/>
  <c r="AA868" i="5" l="1"/>
  <c r="Z868" i="5"/>
  <c r="Y868" i="5"/>
  <c r="AA4334" i="5"/>
  <c r="Y4334" i="5"/>
  <c r="Z4334" i="5"/>
  <c r="Y869" i="5"/>
  <c r="AA869" i="5"/>
  <c r="Z869" i="5"/>
  <c r="AA1364" i="5"/>
  <c r="Y1364" i="5"/>
  <c r="Z1364" i="5"/>
  <c r="AA5323" i="5"/>
  <c r="Y5323" i="5"/>
  <c r="Z5323" i="5"/>
  <c r="Y2848" i="5"/>
  <c r="AA2848" i="5"/>
  <c r="Z2848" i="5"/>
  <c r="BD382" i="6"/>
  <c r="BJ382" i="6"/>
  <c r="BI382" i="6"/>
  <c r="BO382" i="6"/>
  <c r="CT389" i="6"/>
  <c r="DE389" i="6"/>
  <c r="CZ389" i="6"/>
  <c r="CY389" i="6"/>
  <c r="BK384" i="6"/>
  <c r="BQ384" i="6"/>
  <c r="BV384" i="6"/>
  <c r="BP384" i="6"/>
  <c r="CD386" i="6"/>
  <c r="BY386" i="6"/>
  <c r="CE386" i="6"/>
  <c r="CJ386" i="6"/>
  <c r="CL387" i="6"/>
  <c r="CF387" i="6"/>
  <c r="CK387" i="6"/>
  <c r="CQ387" i="6"/>
  <c r="AT380" i="6"/>
  <c r="AO380" i="6"/>
  <c r="AN380" i="6"/>
  <c r="BP383" i="6"/>
  <c r="BQ383" i="6"/>
  <c r="BV383" i="6"/>
  <c r="BK383" i="6"/>
  <c r="Y5819" i="5"/>
  <c r="AA5819" i="5"/>
  <c r="Z5819" i="5"/>
  <c r="AA2849" i="5"/>
  <c r="Z2849" i="5"/>
  <c r="Y2849" i="5"/>
  <c r="AO379" i="6"/>
  <c r="AN379" i="6"/>
  <c r="AT379" i="6"/>
  <c r="AV381" i="6"/>
  <c r="AP381" i="6"/>
  <c r="BA381" i="6"/>
  <c r="AU381" i="6"/>
  <c r="CT388" i="6"/>
  <c r="CY388" i="6"/>
  <c r="DE388" i="6"/>
  <c r="CZ388" i="6"/>
  <c r="AA5324" i="5"/>
  <c r="Z5324" i="5"/>
  <c r="Y5324" i="5"/>
  <c r="DS391" i="6"/>
  <c r="DM391" i="6"/>
  <c r="DH391" i="6"/>
  <c r="DN391" i="6"/>
  <c r="BX385" i="6"/>
  <c r="BR385" i="6"/>
  <c r="CC385" i="6"/>
  <c r="BW385" i="6"/>
  <c r="AA3344" i="5"/>
  <c r="Y3344" i="5"/>
  <c r="Z3344" i="5"/>
  <c r="AA3839" i="5"/>
  <c r="Y3839" i="5"/>
  <c r="Z3839" i="5"/>
  <c r="AA2353" i="5"/>
  <c r="Z2353" i="5"/>
  <c r="Y2353" i="5"/>
  <c r="DA390" i="6"/>
  <c r="DF390" i="6"/>
  <c r="DL390" i="6"/>
  <c r="DG390" i="6"/>
  <c r="Y6314" i="5"/>
  <c r="Z6314" i="5"/>
  <c r="F393" i="6"/>
  <c r="Z393" i="6"/>
  <c r="X393" i="6"/>
  <c r="N393" i="6"/>
  <c r="H393" i="6"/>
  <c r="AI393" i="6"/>
  <c r="AK393" i="6"/>
  <c r="V393" i="6"/>
  <c r="T393" i="6"/>
  <c r="D393" i="6"/>
  <c r="AB393" i="6"/>
  <c r="DT393" i="6" s="1"/>
  <c r="R393" i="6"/>
  <c r="L393" i="6"/>
  <c r="AM393" i="6"/>
  <c r="P393" i="6"/>
  <c r="J393" i="6"/>
  <c r="EF394" i="6"/>
  <c r="F392" i="6"/>
  <c r="X392" i="6"/>
  <c r="P392" i="6"/>
  <c r="H392" i="6"/>
  <c r="V392" i="6"/>
  <c r="L392" i="6"/>
  <c r="D392" i="6"/>
  <c r="T392" i="6"/>
  <c r="N392" i="6"/>
  <c r="R392" i="6"/>
  <c r="J392" i="6"/>
  <c r="AK392" i="6"/>
  <c r="Z392" i="6"/>
  <c r="AI392" i="6"/>
  <c r="AB392" i="6"/>
  <c r="DT392" i="6" s="1"/>
  <c r="AM392" i="6"/>
  <c r="DO392" i="6" l="1"/>
  <c r="DY392" i="6"/>
  <c r="Y2850" i="5"/>
  <c r="AA2850" i="5"/>
  <c r="Z2850" i="5"/>
  <c r="DA391" i="6"/>
  <c r="DL391" i="6"/>
  <c r="DF391" i="6"/>
  <c r="DG391" i="6"/>
  <c r="AT381" i="6"/>
  <c r="AO381" i="6"/>
  <c r="AN381" i="6"/>
  <c r="Y2354" i="5"/>
  <c r="AA2354" i="5"/>
  <c r="Z2354" i="5"/>
  <c r="CD387" i="6"/>
  <c r="BY387" i="6"/>
  <c r="CJ387" i="6"/>
  <c r="CE387" i="6"/>
  <c r="BR386" i="6"/>
  <c r="CC386" i="6"/>
  <c r="BW386" i="6"/>
  <c r="BX386" i="6"/>
  <c r="AA4830" i="5"/>
  <c r="Z4830" i="5"/>
  <c r="Y4830" i="5"/>
  <c r="DY393" i="6"/>
  <c r="DO393" i="6"/>
  <c r="BP385" i="6"/>
  <c r="BK385" i="6"/>
  <c r="BV385" i="6"/>
  <c r="BQ385" i="6"/>
  <c r="BD384" i="6"/>
  <c r="BJ384" i="6"/>
  <c r="BI384" i="6"/>
  <c r="BO384" i="6"/>
  <c r="AW382" i="6"/>
  <c r="BB382" i="6"/>
  <c r="BC382" i="6"/>
  <c r="BH382" i="6"/>
  <c r="CT390" i="6"/>
  <c r="CY390" i="6"/>
  <c r="DE390" i="6"/>
  <c r="CZ390" i="6"/>
  <c r="CR388" i="6"/>
  <c r="CM388" i="6"/>
  <c r="CS388" i="6"/>
  <c r="CX388" i="6"/>
  <c r="AA375" i="5"/>
  <c r="Y375" i="5"/>
  <c r="Z375" i="5"/>
  <c r="CM389" i="6"/>
  <c r="CR389" i="6"/>
  <c r="CS389" i="6"/>
  <c r="CX389" i="6"/>
  <c r="Y5820" i="5"/>
  <c r="AA5820" i="5"/>
  <c r="Z5820" i="5"/>
  <c r="AA374" i="5"/>
  <c r="Z374" i="5"/>
  <c r="Y374" i="5"/>
  <c r="AA3840" i="5"/>
  <c r="Y3840" i="5"/>
  <c r="Z3840" i="5"/>
  <c r="Y3345" i="5"/>
  <c r="AA3345" i="5"/>
  <c r="Z3345" i="5"/>
  <c r="AA1859" i="5"/>
  <c r="Z1859" i="5"/>
  <c r="Y1859" i="5"/>
  <c r="AA5325" i="5"/>
  <c r="Y5325" i="5"/>
  <c r="Z5325" i="5"/>
  <c r="AA4829" i="5"/>
  <c r="Y4829" i="5"/>
  <c r="Z4829" i="5"/>
  <c r="AA870" i="5"/>
  <c r="Z870" i="5"/>
  <c r="Y870" i="5"/>
  <c r="BD383" i="6"/>
  <c r="BI383" i="6"/>
  <c r="BO383" i="6"/>
  <c r="BJ383" i="6"/>
  <c r="AA2355" i="5"/>
  <c r="Y2355" i="5"/>
  <c r="Z2355" i="5"/>
  <c r="EF395" i="6"/>
  <c r="EG394" i="6"/>
  <c r="EH394" i="6" s="1"/>
  <c r="AA394" i="6" s="1"/>
  <c r="DX393" i="6"/>
  <c r="AA6316" i="5" s="1"/>
  <c r="DX392" i="6"/>
  <c r="AA6315" i="5" s="1"/>
  <c r="AW383" i="6" l="1"/>
  <c r="BC383" i="6"/>
  <c r="BH383" i="6"/>
  <c r="BB383" i="6"/>
  <c r="CL389" i="6"/>
  <c r="CF389" i="6"/>
  <c r="CK389" i="6"/>
  <c r="CQ389" i="6"/>
  <c r="AA4335" i="5"/>
  <c r="Y4335" i="5"/>
  <c r="Z4335" i="5"/>
  <c r="AA1365" i="5"/>
  <c r="Z1365" i="5"/>
  <c r="Y1365" i="5"/>
  <c r="AA1861" i="5"/>
  <c r="Y1861" i="5"/>
  <c r="Z1861" i="5"/>
  <c r="DH393" i="6"/>
  <c r="DN393" i="6"/>
  <c r="DS393" i="6"/>
  <c r="DM393" i="6"/>
  <c r="BK386" i="6"/>
  <c r="BV386" i="6"/>
  <c r="BP386" i="6"/>
  <c r="BQ386" i="6"/>
  <c r="CR390" i="6"/>
  <c r="CM390" i="6"/>
  <c r="CS390" i="6"/>
  <c r="CX390" i="6"/>
  <c r="AA4336" i="5"/>
  <c r="Y4336" i="5"/>
  <c r="Z4336" i="5"/>
  <c r="AA4831" i="5"/>
  <c r="Y4831" i="5"/>
  <c r="Z4831" i="5"/>
  <c r="AA2356" i="5"/>
  <c r="Z2356" i="5"/>
  <c r="Y2356" i="5"/>
  <c r="AA5326" i="5"/>
  <c r="Y5326" i="5"/>
  <c r="Z5326" i="5"/>
  <c r="AV382" i="6"/>
  <c r="AP382" i="6"/>
  <c r="BA382" i="6"/>
  <c r="AU382" i="6"/>
  <c r="AA1860" i="5"/>
  <c r="Z1860" i="5"/>
  <c r="Y1860" i="5"/>
  <c r="CL388" i="6"/>
  <c r="CF388" i="6"/>
  <c r="CK388" i="6"/>
  <c r="CQ388" i="6"/>
  <c r="BD385" i="6"/>
  <c r="BJ385" i="6"/>
  <c r="BI385" i="6"/>
  <c r="BO385" i="6"/>
  <c r="AA3346" i="5"/>
  <c r="Y3346" i="5"/>
  <c r="Z3346" i="5"/>
  <c r="AA376" i="5"/>
  <c r="Y376" i="5"/>
  <c r="Z376" i="5"/>
  <c r="CT391" i="6"/>
  <c r="CZ391" i="6"/>
  <c r="CY391" i="6"/>
  <c r="DE391" i="6"/>
  <c r="AW384" i="6"/>
  <c r="BH384" i="6"/>
  <c r="BC384" i="6"/>
  <c r="BB384" i="6"/>
  <c r="AA2851" i="5"/>
  <c r="Y2851" i="5"/>
  <c r="Z2851" i="5"/>
  <c r="BX387" i="6"/>
  <c r="BR387" i="6"/>
  <c r="CC387" i="6"/>
  <c r="BW387" i="6"/>
  <c r="DS392" i="6"/>
  <c r="DH392" i="6"/>
  <c r="DN392" i="6"/>
  <c r="DM392" i="6"/>
  <c r="Y6316" i="5"/>
  <c r="Z6316" i="5"/>
  <c r="Y6315" i="5"/>
  <c r="Z6315" i="5"/>
  <c r="EF396" i="6"/>
  <c r="EG396" i="6" s="1"/>
  <c r="EH396" i="6" s="1"/>
  <c r="AA396" i="6" s="1"/>
  <c r="T394" i="6"/>
  <c r="L394" i="6"/>
  <c r="Z394" i="6"/>
  <c r="AB394" i="6"/>
  <c r="DT394" i="6" s="1"/>
  <c r="R394" i="6"/>
  <c r="J394" i="6"/>
  <c r="X394" i="6"/>
  <c r="N394" i="6"/>
  <c r="D394" i="6"/>
  <c r="H394" i="6"/>
  <c r="V394" i="6"/>
  <c r="P394" i="6"/>
  <c r="AM394" i="6"/>
  <c r="F394" i="6"/>
  <c r="AI394" i="6"/>
  <c r="AK394" i="6"/>
  <c r="EG395" i="6"/>
  <c r="EH395" i="6" s="1"/>
  <c r="AA395" i="6" s="1"/>
  <c r="DA392" i="6" l="1"/>
  <c r="DL392" i="6"/>
  <c r="DF392" i="6"/>
  <c r="DG392" i="6"/>
  <c r="Y2852" i="5"/>
  <c r="AA2852" i="5"/>
  <c r="Z2852" i="5"/>
  <c r="AA1367" i="5"/>
  <c r="Y1367" i="5"/>
  <c r="Z1367" i="5"/>
  <c r="AA1862" i="5"/>
  <c r="Z1862" i="5"/>
  <c r="Y1862" i="5"/>
  <c r="AA3841" i="5"/>
  <c r="Z3841" i="5"/>
  <c r="Y3841" i="5"/>
  <c r="Y871" i="5"/>
  <c r="AA871" i="5"/>
  <c r="Z871" i="5"/>
  <c r="AA5822" i="5"/>
  <c r="Z5822" i="5"/>
  <c r="Y5822" i="5"/>
  <c r="AA3842" i="5"/>
  <c r="Y3842" i="5"/>
  <c r="Z3842" i="5"/>
  <c r="AV384" i="6"/>
  <c r="AP384" i="6"/>
  <c r="BA384" i="6"/>
  <c r="AU384" i="6"/>
  <c r="CR391" i="6"/>
  <c r="CM391" i="6"/>
  <c r="CS391" i="6"/>
  <c r="CX391" i="6"/>
  <c r="AN382" i="6"/>
  <c r="AT382" i="6"/>
  <c r="AO382" i="6"/>
  <c r="CL390" i="6"/>
  <c r="CF390" i="6"/>
  <c r="CQ390" i="6"/>
  <c r="CK390" i="6"/>
  <c r="AA2357" i="5"/>
  <c r="Y2357" i="5"/>
  <c r="Z2357" i="5"/>
  <c r="AA1366" i="5"/>
  <c r="Y1366" i="5"/>
  <c r="Z1366" i="5"/>
  <c r="DO394" i="6"/>
  <c r="DY394" i="6"/>
  <c r="CD388" i="6"/>
  <c r="BY388" i="6"/>
  <c r="CE388" i="6"/>
  <c r="CJ388" i="6"/>
  <c r="BD386" i="6"/>
  <c r="BI386" i="6"/>
  <c r="BO386" i="6"/>
  <c r="BJ386" i="6"/>
  <c r="DA393" i="6"/>
  <c r="DL393" i="6"/>
  <c r="DF393" i="6"/>
  <c r="DG393" i="6"/>
  <c r="BY389" i="6"/>
  <c r="CE389" i="6"/>
  <c r="CJ389" i="6"/>
  <c r="CD389" i="6"/>
  <c r="BP387" i="6"/>
  <c r="BQ387" i="6"/>
  <c r="BK387" i="6"/>
  <c r="BV387" i="6"/>
  <c r="Y5821" i="5"/>
  <c r="AA5821" i="5"/>
  <c r="Z5821" i="5"/>
  <c r="AA4832" i="5"/>
  <c r="Y4832" i="5"/>
  <c r="Z4832" i="5"/>
  <c r="AW385" i="6"/>
  <c r="BH385" i="6"/>
  <c r="BC385" i="6"/>
  <c r="BB385" i="6"/>
  <c r="Y4337" i="5"/>
  <c r="AA4337" i="5"/>
  <c r="Z4337" i="5"/>
  <c r="AP383" i="6"/>
  <c r="BA383" i="6"/>
  <c r="AV383" i="6"/>
  <c r="AU383" i="6"/>
  <c r="F396" i="6"/>
  <c r="T396" i="6"/>
  <c r="N396" i="6"/>
  <c r="R396" i="6"/>
  <c r="J396" i="6"/>
  <c r="X396" i="6"/>
  <c r="P396" i="6"/>
  <c r="H396" i="6"/>
  <c r="V396" i="6"/>
  <c r="L396" i="6"/>
  <c r="D396" i="6"/>
  <c r="Z396" i="6"/>
  <c r="AB396" i="6"/>
  <c r="DT396" i="6" s="1"/>
  <c r="AI396" i="6"/>
  <c r="AM396" i="6"/>
  <c r="AK396" i="6"/>
  <c r="DX394" i="6"/>
  <c r="AA6317" i="5" s="1"/>
  <c r="D395" i="6"/>
  <c r="T395" i="6"/>
  <c r="N395" i="6"/>
  <c r="R395" i="6"/>
  <c r="J395" i="6"/>
  <c r="F395" i="6"/>
  <c r="V395" i="6"/>
  <c r="P395" i="6"/>
  <c r="H395" i="6"/>
  <c r="Z395" i="6"/>
  <c r="X395" i="6"/>
  <c r="L395" i="6"/>
  <c r="AM395" i="6"/>
  <c r="AI395" i="6"/>
  <c r="AK395" i="6"/>
  <c r="AB395" i="6"/>
  <c r="DT395" i="6" s="1"/>
  <c r="EF397" i="6"/>
  <c r="EG397" i="6" s="1"/>
  <c r="EH397" i="6" s="1"/>
  <c r="AA397" i="6" s="1"/>
  <c r="AA872" i="5" l="1"/>
  <c r="Y872" i="5"/>
  <c r="Z872" i="5"/>
  <c r="CT393" i="6"/>
  <c r="CZ393" i="6"/>
  <c r="DE393" i="6"/>
  <c r="CY393" i="6"/>
  <c r="AA4338" i="5"/>
  <c r="Z4338" i="5"/>
  <c r="Y4338" i="5"/>
  <c r="AA1368" i="5"/>
  <c r="Y1368" i="5"/>
  <c r="Z1368" i="5"/>
  <c r="Y2358" i="5"/>
  <c r="AA2358" i="5"/>
  <c r="Z2358" i="5"/>
  <c r="Y3347" i="5"/>
  <c r="Z3347" i="5"/>
  <c r="AA3347" i="5"/>
  <c r="Y873" i="5"/>
  <c r="AA873" i="5"/>
  <c r="Z873" i="5"/>
  <c r="DS394" i="6"/>
  <c r="DM394" i="6"/>
  <c r="DN394" i="6"/>
  <c r="DH394" i="6"/>
  <c r="AA3843" i="5"/>
  <c r="Y3843" i="5"/>
  <c r="Z3843" i="5"/>
  <c r="AA377" i="5"/>
  <c r="Z377" i="5"/>
  <c r="Y377" i="5"/>
  <c r="CL391" i="6"/>
  <c r="CF391" i="6"/>
  <c r="CK391" i="6"/>
  <c r="CQ391" i="6"/>
  <c r="AT384" i="6"/>
  <c r="AO384" i="6"/>
  <c r="AN384" i="6"/>
  <c r="BD387" i="6"/>
  <c r="BI387" i="6"/>
  <c r="BO387" i="6"/>
  <c r="BJ387" i="6"/>
  <c r="AA3348" i="5"/>
  <c r="Y3348" i="5"/>
  <c r="Z3348" i="5"/>
  <c r="AA1863" i="5"/>
  <c r="Z1863" i="5"/>
  <c r="Y1863" i="5"/>
  <c r="DO395" i="6"/>
  <c r="DY395" i="6"/>
  <c r="DO396" i="6"/>
  <c r="DY396" i="6"/>
  <c r="AN383" i="6"/>
  <c r="AT383" i="6"/>
  <c r="AO383" i="6"/>
  <c r="AA5328" i="5"/>
  <c r="Z5328" i="5"/>
  <c r="Y5328" i="5"/>
  <c r="BR388" i="6"/>
  <c r="CC388" i="6"/>
  <c r="BX388" i="6"/>
  <c r="BW388" i="6"/>
  <c r="CD390" i="6"/>
  <c r="BY390" i="6"/>
  <c r="CE390" i="6"/>
  <c r="CJ390" i="6"/>
  <c r="AA5327" i="5"/>
  <c r="Y5327" i="5"/>
  <c r="Z5327" i="5"/>
  <c r="AV385" i="6"/>
  <c r="AP385" i="6"/>
  <c r="AU385" i="6"/>
  <c r="BA385" i="6"/>
  <c r="BX389" i="6"/>
  <c r="BR389" i="6"/>
  <c r="CC389" i="6"/>
  <c r="BW389" i="6"/>
  <c r="AW386" i="6"/>
  <c r="BC386" i="6"/>
  <c r="BH386" i="6"/>
  <c r="BB386" i="6"/>
  <c r="CT392" i="6"/>
  <c r="DE392" i="6"/>
  <c r="CY392" i="6"/>
  <c r="CZ392" i="6"/>
  <c r="Y6317" i="5"/>
  <c r="Z6317" i="5"/>
  <c r="EF398" i="6"/>
  <c r="EG398" i="6" s="1"/>
  <c r="EH398" i="6" s="1"/>
  <c r="AA398" i="6" s="1"/>
  <c r="J397" i="6"/>
  <c r="F397" i="6"/>
  <c r="Z397" i="6"/>
  <c r="T397" i="6"/>
  <c r="L397" i="6"/>
  <c r="AI397" i="6"/>
  <c r="AK397" i="6"/>
  <c r="AB397" i="6"/>
  <c r="DT397" i="6" s="1"/>
  <c r="R397" i="6"/>
  <c r="D397" i="6"/>
  <c r="X397" i="6"/>
  <c r="P397" i="6"/>
  <c r="H397" i="6"/>
  <c r="AM397" i="6"/>
  <c r="V397" i="6"/>
  <c r="N397" i="6"/>
  <c r="DX395" i="6"/>
  <c r="AA6318" i="5" s="1"/>
  <c r="DX396" i="6"/>
  <c r="AA6319" i="5" s="1"/>
  <c r="BP389" i="6" l="1"/>
  <c r="BK389" i="6"/>
  <c r="BQ389" i="6"/>
  <c r="BV389" i="6"/>
  <c r="AT385" i="6"/>
  <c r="AO385" i="6"/>
  <c r="AN385" i="6"/>
  <c r="BQ388" i="6"/>
  <c r="BK388" i="6"/>
  <c r="BP388" i="6"/>
  <c r="BV388" i="6"/>
  <c r="DS396" i="6"/>
  <c r="DH396" i="6"/>
  <c r="DN396" i="6"/>
  <c r="DM396" i="6"/>
  <c r="AW387" i="6"/>
  <c r="BB387" i="6"/>
  <c r="BC387" i="6"/>
  <c r="BH387" i="6"/>
  <c r="AA3844" i="5"/>
  <c r="Y3844" i="5"/>
  <c r="Z3844" i="5"/>
  <c r="CM393" i="6"/>
  <c r="CS393" i="6"/>
  <c r="CR393" i="6"/>
  <c r="CX393" i="6"/>
  <c r="CR392" i="6"/>
  <c r="CM392" i="6"/>
  <c r="CS392" i="6"/>
  <c r="CX392" i="6"/>
  <c r="AV386" i="6"/>
  <c r="AP386" i="6"/>
  <c r="BA386" i="6"/>
  <c r="AU386" i="6"/>
  <c r="Y3349" i="5"/>
  <c r="Z3349" i="5"/>
  <c r="AA3349" i="5"/>
  <c r="AA378" i="5"/>
  <c r="Z378" i="5"/>
  <c r="Y378" i="5"/>
  <c r="Y5823" i="5"/>
  <c r="AA5823" i="5"/>
  <c r="Z5823" i="5"/>
  <c r="AA4833" i="5"/>
  <c r="Z4833" i="5"/>
  <c r="Y4833" i="5"/>
  <c r="AA874" i="5"/>
  <c r="Y874" i="5"/>
  <c r="Z874" i="5"/>
  <c r="DS395" i="6"/>
  <c r="DN395" i="6"/>
  <c r="DM395" i="6"/>
  <c r="DH395" i="6"/>
  <c r="AA1864" i="5"/>
  <c r="Z1864" i="5"/>
  <c r="Y1864" i="5"/>
  <c r="CD391" i="6"/>
  <c r="BY391" i="6"/>
  <c r="CJ391" i="6"/>
  <c r="CE391" i="6"/>
  <c r="DA394" i="6"/>
  <c r="DL394" i="6"/>
  <c r="DF394" i="6"/>
  <c r="DG394" i="6"/>
  <c r="AA4834" i="5"/>
  <c r="Y4834" i="5"/>
  <c r="Z4834" i="5"/>
  <c r="DO397" i="6"/>
  <c r="DY397" i="6"/>
  <c r="AA1369" i="5"/>
  <c r="Y1369" i="5"/>
  <c r="Z1369" i="5"/>
  <c r="Y2854" i="5"/>
  <c r="AA2854" i="5"/>
  <c r="Z2854" i="5"/>
  <c r="BR390" i="6"/>
  <c r="BX390" i="6"/>
  <c r="CC390" i="6"/>
  <c r="BW390" i="6"/>
  <c r="AA2853" i="5"/>
  <c r="Z2853" i="5"/>
  <c r="Y2853" i="5"/>
  <c r="AA379" i="5"/>
  <c r="Z379" i="5"/>
  <c r="Y379" i="5"/>
  <c r="Y6318" i="5"/>
  <c r="Z6318" i="5"/>
  <c r="Y6319" i="5"/>
  <c r="Z6319" i="5"/>
  <c r="R398" i="6"/>
  <c r="D398" i="6"/>
  <c r="X398" i="6"/>
  <c r="N398" i="6"/>
  <c r="L398" i="6"/>
  <c r="V398" i="6"/>
  <c r="P398" i="6"/>
  <c r="H398" i="6"/>
  <c r="Z398" i="6"/>
  <c r="T398" i="6"/>
  <c r="J398" i="6"/>
  <c r="F398" i="6"/>
  <c r="AM398" i="6"/>
  <c r="AB398" i="6"/>
  <c r="DT398" i="6" s="1"/>
  <c r="AI398" i="6"/>
  <c r="AK398" i="6"/>
  <c r="DX397" i="6"/>
  <c r="AA6320" i="5" s="1"/>
  <c r="EF399" i="6"/>
  <c r="EG399" i="6" s="1"/>
  <c r="EH399" i="6" s="1"/>
  <c r="AA399" i="6" s="1"/>
  <c r="DA395" i="6" l="1"/>
  <c r="DF395" i="6"/>
  <c r="DG395" i="6"/>
  <c r="DL395" i="6"/>
  <c r="Y875" i="5"/>
  <c r="AA875" i="5"/>
  <c r="Z875" i="5"/>
  <c r="BK390" i="6"/>
  <c r="BV390" i="6"/>
  <c r="BP390" i="6"/>
  <c r="BQ390" i="6"/>
  <c r="DH397" i="6"/>
  <c r="DN397" i="6"/>
  <c r="DM397" i="6"/>
  <c r="DS397" i="6"/>
  <c r="AT386" i="6"/>
  <c r="AO386" i="6"/>
  <c r="AN386" i="6"/>
  <c r="CL392" i="6"/>
  <c r="CF392" i="6"/>
  <c r="CK392" i="6"/>
  <c r="CQ392" i="6"/>
  <c r="AP387" i="6"/>
  <c r="AV387" i="6"/>
  <c r="AU387" i="6"/>
  <c r="BA387" i="6"/>
  <c r="Y5825" i="5"/>
  <c r="Z5825" i="5"/>
  <c r="AA5825" i="5"/>
  <c r="AA2360" i="5"/>
  <c r="Y2360" i="5"/>
  <c r="Z2360" i="5"/>
  <c r="CL393" i="6"/>
  <c r="CF393" i="6"/>
  <c r="CK393" i="6"/>
  <c r="CQ393" i="6"/>
  <c r="AA1370" i="5"/>
  <c r="Y1370" i="5"/>
  <c r="Z1370" i="5"/>
  <c r="AA2359" i="5"/>
  <c r="Y2359" i="5"/>
  <c r="Z2359" i="5"/>
  <c r="CT394" i="6"/>
  <c r="DE394" i="6"/>
  <c r="CZ394" i="6"/>
  <c r="CY394" i="6"/>
  <c r="DY398" i="6"/>
  <c r="DO398" i="6"/>
  <c r="AA3350" i="5"/>
  <c r="Y3350" i="5"/>
  <c r="Z3350" i="5"/>
  <c r="AA2855" i="5"/>
  <c r="Y2855" i="5"/>
  <c r="Z2855" i="5"/>
  <c r="AA5329" i="5"/>
  <c r="Y5329" i="5"/>
  <c r="Z5329" i="5"/>
  <c r="BX391" i="6"/>
  <c r="BR391" i="6"/>
  <c r="CC391" i="6"/>
  <c r="BW391" i="6"/>
  <c r="Y5824" i="5"/>
  <c r="Z5824" i="5"/>
  <c r="AA5824" i="5"/>
  <c r="AA4339" i="5"/>
  <c r="Y4339" i="5"/>
  <c r="Z4339" i="5"/>
  <c r="AA4340" i="5"/>
  <c r="Z4340" i="5"/>
  <c r="Y4340" i="5"/>
  <c r="BD389" i="6"/>
  <c r="BI389" i="6"/>
  <c r="BO389" i="6"/>
  <c r="BJ389" i="6"/>
  <c r="DA396" i="6"/>
  <c r="DF396" i="6"/>
  <c r="DG396" i="6"/>
  <c r="DL396" i="6"/>
  <c r="BD388" i="6"/>
  <c r="BI388" i="6"/>
  <c r="BO388" i="6"/>
  <c r="BJ388" i="6"/>
  <c r="AA380" i="5"/>
  <c r="Z380" i="5"/>
  <c r="Y380" i="5"/>
  <c r="Y6320" i="5"/>
  <c r="Z6320" i="5"/>
  <c r="V399" i="6"/>
  <c r="L399" i="6"/>
  <c r="F399" i="6"/>
  <c r="T399" i="6"/>
  <c r="N399" i="6"/>
  <c r="Z399" i="6"/>
  <c r="R399" i="6"/>
  <c r="J399" i="6"/>
  <c r="D399" i="6"/>
  <c r="X399" i="6"/>
  <c r="P399" i="6"/>
  <c r="H399" i="6"/>
  <c r="AM399" i="6"/>
  <c r="AI399" i="6"/>
  <c r="AK399" i="6"/>
  <c r="AB399" i="6"/>
  <c r="DT399" i="6" s="1"/>
  <c r="EF400" i="6"/>
  <c r="DX398" i="6"/>
  <c r="AA6321" i="5" s="1"/>
  <c r="Y2856" i="5" l="1"/>
  <c r="AA2856" i="5"/>
  <c r="Z2856" i="5"/>
  <c r="DA397" i="6"/>
  <c r="DF397" i="6"/>
  <c r="DG397" i="6"/>
  <c r="DL397" i="6"/>
  <c r="DO399" i="6"/>
  <c r="DY399" i="6"/>
  <c r="AW389" i="6"/>
  <c r="BB389" i="6"/>
  <c r="BC389" i="6"/>
  <c r="BH389" i="6"/>
  <c r="BP391" i="6"/>
  <c r="BQ391" i="6"/>
  <c r="BK391" i="6"/>
  <c r="BV391" i="6"/>
  <c r="CR394" i="6"/>
  <c r="CM394" i="6"/>
  <c r="CS394" i="6"/>
  <c r="CX394" i="6"/>
  <c r="AT387" i="6"/>
  <c r="AO387" i="6"/>
  <c r="AN387" i="6"/>
  <c r="AA5826" i="5"/>
  <c r="Y5826" i="5"/>
  <c r="Z5826" i="5"/>
  <c r="AA4835" i="5"/>
  <c r="Y4835" i="5"/>
  <c r="Z4835" i="5"/>
  <c r="AA3846" i="5"/>
  <c r="Z3846" i="5"/>
  <c r="Y3846" i="5"/>
  <c r="BD390" i="6"/>
  <c r="BI390" i="6"/>
  <c r="BO390" i="6"/>
  <c r="BJ390" i="6"/>
  <c r="CT396" i="6"/>
  <c r="CZ396" i="6"/>
  <c r="DE396" i="6"/>
  <c r="CY396" i="6"/>
  <c r="AA5331" i="5"/>
  <c r="Y5331" i="5"/>
  <c r="Z5331" i="5"/>
  <c r="BY393" i="6"/>
  <c r="CJ393" i="6"/>
  <c r="CD393" i="6"/>
  <c r="CE393" i="6"/>
  <c r="AA876" i="5"/>
  <c r="Z876" i="5"/>
  <c r="Y876" i="5"/>
  <c r="AA3845" i="5"/>
  <c r="Z3845" i="5"/>
  <c r="Y3845" i="5"/>
  <c r="DS398" i="6"/>
  <c r="DM398" i="6"/>
  <c r="DH398" i="6"/>
  <c r="DN398" i="6"/>
  <c r="CD392" i="6"/>
  <c r="BY392" i="6"/>
  <c r="CE392" i="6"/>
  <c r="CJ392" i="6"/>
  <c r="AA381" i="5"/>
  <c r="Z381" i="5"/>
  <c r="Y381" i="5"/>
  <c r="AA5330" i="5"/>
  <c r="Y5330" i="5"/>
  <c r="Z5330" i="5"/>
  <c r="AW388" i="6"/>
  <c r="BB388" i="6"/>
  <c r="BC388" i="6"/>
  <c r="BH388" i="6"/>
  <c r="AA1865" i="5"/>
  <c r="Y1865" i="5"/>
  <c r="Z1865" i="5"/>
  <c r="AA1866" i="5"/>
  <c r="Z1866" i="5"/>
  <c r="Y1866" i="5"/>
  <c r="AA2361" i="5"/>
  <c r="Y2361" i="5"/>
  <c r="Z2361" i="5"/>
  <c r="CT395" i="6"/>
  <c r="CZ395" i="6"/>
  <c r="CY395" i="6"/>
  <c r="DE395" i="6"/>
  <c r="Y6321" i="5"/>
  <c r="Z6321" i="5"/>
  <c r="EF401" i="6"/>
  <c r="EG401" i="6" s="1"/>
  <c r="EH401" i="6" s="1"/>
  <c r="AA401" i="6" s="1"/>
  <c r="DX399" i="6"/>
  <c r="AA6322" i="5" s="1"/>
  <c r="EG400" i="6"/>
  <c r="EH400" i="6" s="1"/>
  <c r="AA400" i="6" s="1"/>
  <c r="BD391" i="6" l="1"/>
  <c r="BO391" i="6"/>
  <c r="BJ391" i="6"/>
  <c r="BI391" i="6"/>
  <c r="DS399" i="6"/>
  <c r="DM399" i="6"/>
  <c r="DN399" i="6"/>
  <c r="DH399" i="6"/>
  <c r="CT397" i="6"/>
  <c r="DE397" i="6"/>
  <c r="CZ397" i="6"/>
  <c r="CY397" i="6"/>
  <c r="Y5827" i="5"/>
  <c r="AA5827" i="5"/>
  <c r="Z5827" i="5"/>
  <c r="CL394" i="6"/>
  <c r="CF394" i="6"/>
  <c r="CQ394" i="6"/>
  <c r="CK394" i="6"/>
  <c r="AA5332" i="5"/>
  <c r="Y5332" i="5"/>
  <c r="Z5332" i="5"/>
  <c r="BR392" i="6"/>
  <c r="BX392" i="6"/>
  <c r="BW392" i="6"/>
  <c r="CC392" i="6"/>
  <c r="AA1867" i="5"/>
  <c r="Y1867" i="5"/>
  <c r="Z1867" i="5"/>
  <c r="Y3351" i="5"/>
  <c r="AA3351" i="5"/>
  <c r="Z3351" i="5"/>
  <c r="AA3352" i="5"/>
  <c r="Z3352" i="5"/>
  <c r="Y3352" i="5"/>
  <c r="CR396" i="6"/>
  <c r="CM396" i="6"/>
  <c r="CS396" i="6"/>
  <c r="CX396" i="6"/>
  <c r="AW390" i="6"/>
  <c r="BB390" i="6"/>
  <c r="BC390" i="6"/>
  <c r="BH390" i="6"/>
  <c r="AA382" i="5"/>
  <c r="Z382" i="5"/>
  <c r="Y382" i="5"/>
  <c r="AV389" i="6"/>
  <c r="AP389" i="6"/>
  <c r="BA389" i="6"/>
  <c r="AU389" i="6"/>
  <c r="AA1371" i="5"/>
  <c r="Y1371" i="5"/>
  <c r="Z1371" i="5"/>
  <c r="AA4837" i="5"/>
  <c r="Z4837" i="5"/>
  <c r="Y4837" i="5"/>
  <c r="CR395" i="6"/>
  <c r="CM395" i="6"/>
  <c r="CX395" i="6"/>
  <c r="CS395" i="6"/>
  <c r="AA4836" i="5"/>
  <c r="Y4836" i="5"/>
  <c r="Z4836" i="5"/>
  <c r="AV388" i="6"/>
  <c r="AP388" i="6"/>
  <c r="BA388" i="6"/>
  <c r="AU388" i="6"/>
  <c r="DA398" i="6"/>
  <c r="DG398" i="6"/>
  <c r="DF398" i="6"/>
  <c r="DL398" i="6"/>
  <c r="BX393" i="6"/>
  <c r="BR393" i="6"/>
  <c r="CC393" i="6"/>
  <c r="BW393" i="6"/>
  <c r="Y4341" i="5"/>
  <c r="Z4341" i="5"/>
  <c r="AA4341" i="5"/>
  <c r="Y2362" i="5"/>
  <c r="Z2362" i="5"/>
  <c r="AA2362" i="5"/>
  <c r="AA1372" i="5"/>
  <c r="Y1372" i="5"/>
  <c r="Z1372" i="5"/>
  <c r="Y6322" i="5"/>
  <c r="Z6322" i="5"/>
  <c r="F400" i="6"/>
  <c r="X400" i="6"/>
  <c r="L400" i="6"/>
  <c r="R400" i="6"/>
  <c r="V400" i="6"/>
  <c r="N400" i="6"/>
  <c r="D400" i="6"/>
  <c r="T400" i="6"/>
  <c r="J400" i="6"/>
  <c r="P400" i="6"/>
  <c r="H400" i="6"/>
  <c r="AK400" i="6"/>
  <c r="AI400" i="6"/>
  <c r="AB400" i="6"/>
  <c r="DT400" i="6" s="1"/>
  <c r="Z400" i="6"/>
  <c r="AM400" i="6"/>
  <c r="EF402" i="6"/>
  <c r="F401" i="6"/>
  <c r="Z401" i="6"/>
  <c r="V401" i="6"/>
  <c r="N401" i="6"/>
  <c r="J401" i="6"/>
  <c r="AI401" i="6"/>
  <c r="AK401" i="6"/>
  <c r="T401" i="6"/>
  <c r="L401" i="6"/>
  <c r="R401" i="6"/>
  <c r="H401" i="6"/>
  <c r="AM401" i="6"/>
  <c r="AB401" i="6"/>
  <c r="DT401" i="6" s="1"/>
  <c r="X401" i="6"/>
  <c r="P401" i="6"/>
  <c r="D401" i="6"/>
  <c r="DO401" i="6" l="1"/>
  <c r="DY401" i="6"/>
  <c r="DO400" i="6"/>
  <c r="DY400" i="6"/>
  <c r="AV390" i="6"/>
  <c r="AP390" i="6"/>
  <c r="BA390" i="6"/>
  <c r="AU390" i="6"/>
  <c r="DA399" i="6"/>
  <c r="DF399" i="6"/>
  <c r="DL399" i="6"/>
  <c r="DG399" i="6"/>
  <c r="AA5333" i="5"/>
  <c r="Y5333" i="5"/>
  <c r="Z5333" i="5"/>
  <c r="AA4342" i="5"/>
  <c r="Z4342" i="5"/>
  <c r="Y4342" i="5"/>
  <c r="AA1373" i="5"/>
  <c r="Y1373" i="5"/>
  <c r="Z1373" i="5"/>
  <c r="AA4343" i="5"/>
  <c r="Y4343" i="5"/>
  <c r="Z4343" i="5"/>
  <c r="BK392" i="6"/>
  <c r="BQ392" i="6"/>
  <c r="BV392" i="6"/>
  <c r="BP392" i="6"/>
  <c r="CT398" i="6"/>
  <c r="CZ398" i="6"/>
  <c r="DE398" i="6"/>
  <c r="CY398" i="6"/>
  <c r="AO389" i="6"/>
  <c r="AN389" i="6"/>
  <c r="AT389" i="6"/>
  <c r="Y2858" i="5"/>
  <c r="Z2858" i="5"/>
  <c r="AA2858" i="5"/>
  <c r="Y877" i="5"/>
  <c r="AA877" i="5"/>
  <c r="Z877" i="5"/>
  <c r="CL395" i="6"/>
  <c r="CF395" i="6"/>
  <c r="CK395" i="6"/>
  <c r="CQ395" i="6"/>
  <c r="AA2857" i="5"/>
  <c r="Y2857" i="5"/>
  <c r="Z2857" i="5"/>
  <c r="AA3847" i="5"/>
  <c r="Y3847" i="5"/>
  <c r="Z3847" i="5"/>
  <c r="AA4838" i="5"/>
  <c r="Z4838" i="5"/>
  <c r="Y4838" i="5"/>
  <c r="AA1868" i="5"/>
  <c r="Y1868" i="5"/>
  <c r="Z1868" i="5"/>
  <c r="BP393" i="6"/>
  <c r="BK393" i="6"/>
  <c r="BV393" i="6"/>
  <c r="BQ393" i="6"/>
  <c r="AO388" i="6"/>
  <c r="AN388" i="6"/>
  <c r="AT388" i="6"/>
  <c r="AA878" i="5"/>
  <c r="Z878" i="5"/>
  <c r="Y878" i="5"/>
  <c r="CL396" i="6"/>
  <c r="CF396" i="6"/>
  <c r="CK396" i="6"/>
  <c r="CQ396" i="6"/>
  <c r="CD394" i="6"/>
  <c r="BY394" i="6"/>
  <c r="CE394" i="6"/>
  <c r="CJ394" i="6"/>
  <c r="CM397" i="6"/>
  <c r="CX397" i="6"/>
  <c r="CR397" i="6"/>
  <c r="CS397" i="6"/>
  <c r="Y5828" i="5"/>
  <c r="Z5828" i="5"/>
  <c r="AA5828" i="5"/>
  <c r="AW391" i="6"/>
  <c r="BH391" i="6"/>
  <c r="BC391" i="6"/>
  <c r="BB391" i="6"/>
  <c r="EF403" i="6"/>
  <c r="EG402" i="6"/>
  <c r="EH402" i="6" s="1"/>
  <c r="AA402" i="6" s="1"/>
  <c r="DX401" i="6"/>
  <c r="AA6324" i="5" s="1"/>
  <c r="DX400" i="6"/>
  <c r="AA6323" i="5" s="1"/>
  <c r="AA4344" i="5" l="1"/>
  <c r="Z4344" i="5"/>
  <c r="Y4344" i="5"/>
  <c r="AA1374" i="5"/>
  <c r="Y1374" i="5"/>
  <c r="Z1374" i="5"/>
  <c r="AA383" i="5"/>
  <c r="Z383" i="5"/>
  <c r="Y383" i="5"/>
  <c r="AA3849" i="5"/>
  <c r="Y3849" i="5"/>
  <c r="Z3849" i="5"/>
  <c r="BD393" i="6"/>
  <c r="BI393" i="6"/>
  <c r="BO393" i="6"/>
  <c r="BJ393" i="6"/>
  <c r="CD395" i="6"/>
  <c r="BY395" i="6"/>
  <c r="CE395" i="6"/>
  <c r="CJ395" i="6"/>
  <c r="AA384" i="5"/>
  <c r="Z384" i="5"/>
  <c r="Y384" i="5"/>
  <c r="AA4839" i="5"/>
  <c r="Y4839" i="5"/>
  <c r="Z4839" i="5"/>
  <c r="AA2363" i="5"/>
  <c r="Y2363" i="5"/>
  <c r="Z2363" i="5"/>
  <c r="AA5334" i="5"/>
  <c r="Z5334" i="5"/>
  <c r="Y5334" i="5"/>
  <c r="Y879" i="5"/>
  <c r="AA879" i="5"/>
  <c r="Z879" i="5"/>
  <c r="DS400" i="6"/>
  <c r="DH400" i="6"/>
  <c r="DN400" i="6"/>
  <c r="DM400" i="6"/>
  <c r="CL397" i="6"/>
  <c r="CF397" i="6"/>
  <c r="CK397" i="6"/>
  <c r="CQ397" i="6"/>
  <c r="AA2364" i="5"/>
  <c r="Y2364" i="5"/>
  <c r="Z2364" i="5"/>
  <c r="AP391" i="6"/>
  <c r="AV391" i="6"/>
  <c r="AU391" i="6"/>
  <c r="BA391" i="6"/>
  <c r="Y3353" i="5"/>
  <c r="Z3353" i="5"/>
  <c r="AA3353" i="5"/>
  <c r="AT390" i="6"/>
  <c r="AO390" i="6"/>
  <c r="AN390" i="6"/>
  <c r="BX394" i="6"/>
  <c r="BR394" i="6"/>
  <c r="BW394" i="6"/>
  <c r="CC394" i="6"/>
  <c r="CD396" i="6"/>
  <c r="BY396" i="6"/>
  <c r="CE396" i="6"/>
  <c r="CJ396" i="6"/>
  <c r="AA3848" i="5"/>
  <c r="Y3848" i="5"/>
  <c r="Z3848" i="5"/>
  <c r="CR398" i="6"/>
  <c r="CM398" i="6"/>
  <c r="CS398" i="6"/>
  <c r="CX398" i="6"/>
  <c r="BD392" i="6"/>
  <c r="BI392" i="6"/>
  <c r="BO392" i="6"/>
  <c r="BJ392" i="6"/>
  <c r="CT399" i="6"/>
  <c r="DE399" i="6"/>
  <c r="CY399" i="6"/>
  <c r="CZ399" i="6"/>
  <c r="DH401" i="6"/>
  <c r="DS401" i="6"/>
  <c r="DN401" i="6"/>
  <c r="DM401" i="6"/>
  <c r="Y6323" i="5"/>
  <c r="Z6323" i="5"/>
  <c r="Y6324" i="5"/>
  <c r="Z6324" i="5"/>
  <c r="EF404" i="6"/>
  <c r="H402" i="6"/>
  <c r="T402" i="6"/>
  <c r="J402" i="6"/>
  <c r="AB402" i="6"/>
  <c r="DT402" i="6" s="1"/>
  <c r="R402" i="6"/>
  <c r="D402" i="6"/>
  <c r="Z402" i="6"/>
  <c r="X402" i="6"/>
  <c r="N402" i="6"/>
  <c r="P402" i="6"/>
  <c r="V402" i="6"/>
  <c r="L402" i="6"/>
  <c r="F402" i="6"/>
  <c r="AM402" i="6"/>
  <c r="AI402" i="6"/>
  <c r="AK402" i="6"/>
  <c r="EG403" i="6"/>
  <c r="EH403" i="6" s="1"/>
  <c r="AA403" i="6" s="1"/>
  <c r="DO402" i="6" l="1"/>
  <c r="DY402" i="6"/>
  <c r="AW392" i="6"/>
  <c r="BC392" i="6"/>
  <c r="BH392" i="6"/>
  <c r="BB392" i="6"/>
  <c r="Y3355" i="5"/>
  <c r="Z3355" i="5"/>
  <c r="AA3355" i="5"/>
  <c r="AA2859" i="5"/>
  <c r="Z2859" i="5"/>
  <c r="Y2859" i="5"/>
  <c r="Y5829" i="5"/>
  <c r="Z5829" i="5"/>
  <c r="AA5829" i="5"/>
  <c r="AA3354" i="5"/>
  <c r="Z3354" i="5"/>
  <c r="Y3354" i="5"/>
  <c r="Z4345" i="5"/>
  <c r="Y4345" i="5"/>
  <c r="AA4345" i="5"/>
  <c r="AT391" i="6"/>
  <c r="AO391" i="6"/>
  <c r="AN391" i="6"/>
  <c r="AA3850" i="5"/>
  <c r="Y3850" i="5"/>
  <c r="Z3850" i="5"/>
  <c r="AA1870" i="5"/>
  <c r="Z1870" i="5"/>
  <c r="Y1870" i="5"/>
  <c r="DA401" i="6"/>
  <c r="DF401" i="6"/>
  <c r="DL401" i="6"/>
  <c r="DG401" i="6"/>
  <c r="AA1869" i="5"/>
  <c r="Y1869" i="5"/>
  <c r="Z1869" i="5"/>
  <c r="BR396" i="6"/>
  <c r="BW396" i="6"/>
  <c r="CC396" i="6"/>
  <c r="BX396" i="6"/>
  <c r="BK394" i="6"/>
  <c r="BP394" i="6"/>
  <c r="BQ394" i="6"/>
  <c r="BV394" i="6"/>
  <c r="AA385" i="5"/>
  <c r="Z385" i="5"/>
  <c r="Y385" i="5"/>
  <c r="AA880" i="5"/>
  <c r="Y880" i="5"/>
  <c r="Z880" i="5"/>
  <c r="BX395" i="6"/>
  <c r="BR395" i="6"/>
  <c r="CC395" i="6"/>
  <c r="BW395" i="6"/>
  <c r="CR399" i="6"/>
  <c r="CM399" i="6"/>
  <c r="CX399" i="6"/>
  <c r="CS399" i="6"/>
  <c r="AA5830" i="5"/>
  <c r="Y5830" i="5"/>
  <c r="Z5830" i="5"/>
  <c r="AA4840" i="5"/>
  <c r="Z4840" i="5"/>
  <c r="Y4840" i="5"/>
  <c r="CL398" i="6"/>
  <c r="CF398" i="6"/>
  <c r="CK398" i="6"/>
  <c r="CQ398" i="6"/>
  <c r="BY397" i="6"/>
  <c r="CD397" i="6"/>
  <c r="CE397" i="6"/>
  <c r="CJ397" i="6"/>
  <c r="DA400" i="6"/>
  <c r="DF400" i="6"/>
  <c r="DL400" i="6"/>
  <c r="DG400" i="6"/>
  <c r="AW393" i="6"/>
  <c r="BC393" i="6"/>
  <c r="BH393" i="6"/>
  <c r="BB393" i="6"/>
  <c r="X403" i="6"/>
  <c r="P403" i="6"/>
  <c r="N403" i="6"/>
  <c r="Z403" i="6"/>
  <c r="V403" i="6"/>
  <c r="L403" i="6"/>
  <c r="D403" i="6"/>
  <c r="T403" i="6"/>
  <c r="J403" i="6"/>
  <c r="R403" i="6"/>
  <c r="H403" i="6"/>
  <c r="F403" i="6"/>
  <c r="AM403" i="6"/>
  <c r="AI403" i="6"/>
  <c r="AK403" i="6"/>
  <c r="AB403" i="6"/>
  <c r="DT403" i="6" s="1"/>
  <c r="DX402" i="6"/>
  <c r="AA6325" i="5" s="1"/>
  <c r="EF405" i="6"/>
  <c r="EG405" i="6" s="1"/>
  <c r="EH405" i="6" s="1"/>
  <c r="AA405" i="6" s="1"/>
  <c r="EG404" i="6"/>
  <c r="EH404" i="6" s="1"/>
  <c r="AA404" i="6" s="1"/>
  <c r="AA2861" i="5" l="1"/>
  <c r="Y2861" i="5"/>
  <c r="Z2861" i="5"/>
  <c r="CD398" i="6"/>
  <c r="BY398" i="6"/>
  <c r="CE398" i="6"/>
  <c r="CJ398" i="6"/>
  <c r="CT401" i="6"/>
  <c r="CY401" i="6"/>
  <c r="CZ401" i="6"/>
  <c r="DE401" i="6"/>
  <c r="AV392" i="6"/>
  <c r="AP392" i="6"/>
  <c r="BA392" i="6"/>
  <c r="AU392" i="6"/>
  <c r="AA1376" i="5"/>
  <c r="Z1376" i="5"/>
  <c r="Y1376" i="5"/>
  <c r="AV393" i="6"/>
  <c r="AP393" i="6"/>
  <c r="AU393" i="6"/>
  <c r="BA393" i="6"/>
  <c r="BX397" i="6"/>
  <c r="BR397" i="6"/>
  <c r="CC397" i="6"/>
  <c r="BW397" i="6"/>
  <c r="AA4346" i="5"/>
  <c r="Y4346" i="5"/>
  <c r="Z4346" i="5"/>
  <c r="Y2860" i="5"/>
  <c r="AA2860" i="5"/>
  <c r="Z2860" i="5"/>
  <c r="BD394" i="6"/>
  <c r="BO394" i="6"/>
  <c r="BJ394" i="6"/>
  <c r="BI394" i="6"/>
  <c r="BQ396" i="6"/>
  <c r="BK396" i="6"/>
  <c r="BP396" i="6"/>
  <c r="BV396" i="6"/>
  <c r="AA386" i="5"/>
  <c r="Z386" i="5"/>
  <c r="Y386" i="5"/>
  <c r="AA5335" i="5"/>
  <c r="Z5335" i="5"/>
  <c r="Y5335" i="5"/>
  <c r="CT400" i="6"/>
  <c r="DE400" i="6"/>
  <c r="CZ400" i="6"/>
  <c r="CY400" i="6"/>
  <c r="DO403" i="6"/>
  <c r="DY403" i="6"/>
  <c r="AA3356" i="5"/>
  <c r="Z3356" i="5"/>
  <c r="Y3356" i="5"/>
  <c r="AA3851" i="5"/>
  <c r="Z3851" i="5"/>
  <c r="Y3851" i="5"/>
  <c r="CL399" i="6"/>
  <c r="CF399" i="6"/>
  <c r="CK399" i="6"/>
  <c r="CQ399" i="6"/>
  <c r="BP395" i="6"/>
  <c r="BQ395" i="6"/>
  <c r="BK395" i="6"/>
  <c r="BV395" i="6"/>
  <c r="AA2365" i="5"/>
  <c r="Y2365" i="5"/>
  <c r="Z2365" i="5"/>
  <c r="AA5336" i="5"/>
  <c r="Z5336" i="5"/>
  <c r="Y5336" i="5"/>
  <c r="AA1375" i="5"/>
  <c r="Y1375" i="5"/>
  <c r="Z1375" i="5"/>
  <c r="DS402" i="6"/>
  <c r="DH402" i="6"/>
  <c r="DM402" i="6"/>
  <c r="DN402" i="6"/>
  <c r="Y6325" i="5"/>
  <c r="Z6325" i="5"/>
  <c r="F405" i="6"/>
  <c r="Z405" i="6"/>
  <c r="R405" i="6"/>
  <c r="J405" i="6"/>
  <c r="AI405" i="6"/>
  <c r="AK405" i="6"/>
  <c r="AB405" i="6"/>
  <c r="DT405" i="6" s="1"/>
  <c r="X405" i="6"/>
  <c r="P405" i="6"/>
  <c r="D405" i="6"/>
  <c r="V405" i="6"/>
  <c r="L405" i="6"/>
  <c r="H405" i="6"/>
  <c r="AM405" i="6"/>
  <c r="T405" i="6"/>
  <c r="N405" i="6"/>
  <c r="F404" i="6"/>
  <c r="V404" i="6"/>
  <c r="R404" i="6"/>
  <c r="D404" i="6"/>
  <c r="T404" i="6"/>
  <c r="N404" i="6"/>
  <c r="AB404" i="6"/>
  <c r="DT404" i="6" s="1"/>
  <c r="P404" i="6"/>
  <c r="J404" i="6"/>
  <c r="X404" i="6"/>
  <c r="L404" i="6"/>
  <c r="H404" i="6"/>
  <c r="AI404" i="6"/>
  <c r="AK404" i="6"/>
  <c r="Z404" i="6"/>
  <c r="AM404" i="6"/>
  <c r="DX403" i="6"/>
  <c r="AA6326" i="5" s="1"/>
  <c r="EF406" i="6"/>
  <c r="DO404" i="6" l="1"/>
  <c r="DY404" i="6"/>
  <c r="DO405" i="6"/>
  <c r="DY405" i="6"/>
  <c r="CD399" i="6"/>
  <c r="BY399" i="6"/>
  <c r="CE399" i="6"/>
  <c r="CJ399" i="6"/>
  <c r="AA4841" i="5"/>
  <c r="Z4841" i="5"/>
  <c r="Y4841" i="5"/>
  <c r="AA2367" i="5"/>
  <c r="Z2367" i="5"/>
  <c r="Y2367" i="5"/>
  <c r="BP397" i="6"/>
  <c r="BK397" i="6"/>
  <c r="BQ397" i="6"/>
  <c r="BV397" i="6"/>
  <c r="AT393" i="6"/>
  <c r="AO393" i="6"/>
  <c r="AN393" i="6"/>
  <c r="CM401" i="6"/>
  <c r="CX401" i="6"/>
  <c r="CR401" i="6"/>
  <c r="CS401" i="6"/>
  <c r="DS403" i="6"/>
  <c r="DM403" i="6"/>
  <c r="DN403" i="6"/>
  <c r="DH403" i="6"/>
  <c r="CR400" i="6"/>
  <c r="CM400" i="6"/>
  <c r="CS400" i="6"/>
  <c r="CX400" i="6"/>
  <c r="AA4842" i="5"/>
  <c r="Y4842" i="5"/>
  <c r="Z4842" i="5"/>
  <c r="Y3357" i="5"/>
  <c r="AA3357" i="5"/>
  <c r="Z3357" i="5"/>
  <c r="BD396" i="6"/>
  <c r="BO396" i="6"/>
  <c r="BJ396" i="6"/>
  <c r="BI396" i="6"/>
  <c r="AA1871" i="5"/>
  <c r="Z1871" i="5"/>
  <c r="Y1871" i="5"/>
  <c r="AA882" i="5"/>
  <c r="Z882" i="5"/>
  <c r="Y882" i="5"/>
  <c r="Y881" i="5"/>
  <c r="AA881" i="5"/>
  <c r="Z881" i="5"/>
  <c r="Y5831" i="5"/>
  <c r="AA5831" i="5"/>
  <c r="Z5831" i="5"/>
  <c r="Y2366" i="5"/>
  <c r="AA2366" i="5"/>
  <c r="Z2366" i="5"/>
  <c r="AA3852" i="5"/>
  <c r="Y3852" i="5"/>
  <c r="Z3852" i="5"/>
  <c r="DA402" i="6"/>
  <c r="DG402" i="6"/>
  <c r="DL402" i="6"/>
  <c r="DF402" i="6"/>
  <c r="BD395" i="6"/>
  <c r="BJ395" i="6"/>
  <c r="BI395" i="6"/>
  <c r="BO395" i="6"/>
  <c r="AW394" i="6"/>
  <c r="BH394" i="6"/>
  <c r="BC394" i="6"/>
  <c r="BB394" i="6"/>
  <c r="Y2862" i="5"/>
  <c r="AA2862" i="5"/>
  <c r="Z2862" i="5"/>
  <c r="AN392" i="6"/>
  <c r="AT392" i="6"/>
  <c r="AO392" i="6"/>
  <c r="BX398" i="6"/>
  <c r="BR398" i="6"/>
  <c r="BW398" i="6"/>
  <c r="CC398" i="6"/>
  <c r="Y6326" i="5"/>
  <c r="Z6326" i="5"/>
  <c r="EF407" i="6"/>
  <c r="EG407" i="6" s="1"/>
  <c r="EH407" i="6" s="1"/>
  <c r="AA407" i="6" s="1"/>
  <c r="EG406" i="6"/>
  <c r="EH406" i="6" s="1"/>
  <c r="AA406" i="6" s="1"/>
  <c r="DX404" i="6"/>
  <c r="AA6327" i="5" s="1"/>
  <c r="DX405" i="6"/>
  <c r="AA6328" i="5" s="1"/>
  <c r="AV394" i="6" l="1"/>
  <c r="AP394" i="6"/>
  <c r="BA394" i="6"/>
  <c r="AU394" i="6"/>
  <c r="AA5337" i="5"/>
  <c r="Z5337" i="5"/>
  <c r="Y5337" i="5"/>
  <c r="AW396" i="6"/>
  <c r="BB396" i="6"/>
  <c r="BC396" i="6"/>
  <c r="BH396" i="6"/>
  <c r="BD397" i="6"/>
  <c r="BO397" i="6"/>
  <c r="BJ397" i="6"/>
  <c r="BI397" i="6"/>
  <c r="AA3358" i="5"/>
  <c r="Y3358" i="5"/>
  <c r="Z3358" i="5"/>
  <c r="AA2863" i="5"/>
  <c r="Y2863" i="5"/>
  <c r="Z2863" i="5"/>
  <c r="AA1377" i="5"/>
  <c r="Y1377" i="5"/>
  <c r="Z1377" i="5"/>
  <c r="CL400" i="6"/>
  <c r="CF400" i="6"/>
  <c r="CK400" i="6"/>
  <c r="CQ400" i="6"/>
  <c r="AA4348" i="5"/>
  <c r="Y4348" i="5"/>
  <c r="Z4348" i="5"/>
  <c r="AA388" i="5"/>
  <c r="Y388" i="5"/>
  <c r="Z388" i="5"/>
  <c r="DH405" i="6"/>
  <c r="DN405" i="6"/>
  <c r="DS405" i="6"/>
  <c r="DM405" i="6"/>
  <c r="BX399" i="6"/>
  <c r="BR399" i="6"/>
  <c r="CC399" i="6"/>
  <c r="BW399" i="6"/>
  <c r="AA387" i="5"/>
  <c r="Y387" i="5"/>
  <c r="Z387" i="5"/>
  <c r="AW395" i="6"/>
  <c r="BB395" i="6"/>
  <c r="BH395" i="6"/>
  <c r="BC395" i="6"/>
  <c r="CT402" i="6"/>
  <c r="DE402" i="6"/>
  <c r="CZ402" i="6"/>
  <c r="CY402" i="6"/>
  <c r="Y5832" i="5"/>
  <c r="AA5832" i="5"/>
  <c r="Z5832" i="5"/>
  <c r="CL401" i="6"/>
  <c r="CF401" i="6"/>
  <c r="CK401" i="6"/>
  <c r="CQ401" i="6"/>
  <c r="AA2368" i="5"/>
  <c r="Y2368" i="5"/>
  <c r="Z2368" i="5"/>
  <c r="BP398" i="6"/>
  <c r="BK398" i="6"/>
  <c r="BV398" i="6"/>
  <c r="BQ398" i="6"/>
  <c r="AA1872" i="5"/>
  <c r="Y1872" i="5"/>
  <c r="Z1872" i="5"/>
  <c r="AA1873" i="5"/>
  <c r="Y1873" i="5"/>
  <c r="Z1873" i="5"/>
  <c r="AA4347" i="5"/>
  <c r="Y4347" i="5"/>
  <c r="Z4347" i="5"/>
  <c r="DA403" i="6"/>
  <c r="DL403" i="6"/>
  <c r="DG403" i="6"/>
  <c r="DF403" i="6"/>
  <c r="DS404" i="6"/>
  <c r="DH404" i="6"/>
  <c r="DN404" i="6"/>
  <c r="DM404" i="6"/>
  <c r="Y6327" i="5"/>
  <c r="Z6327" i="5"/>
  <c r="Y6328" i="5"/>
  <c r="Z6328" i="5"/>
  <c r="V406" i="6"/>
  <c r="L406" i="6"/>
  <c r="H406" i="6"/>
  <c r="T406" i="6"/>
  <c r="P406" i="6"/>
  <c r="Z406" i="6"/>
  <c r="R406" i="6"/>
  <c r="J406" i="6"/>
  <c r="X406" i="6"/>
  <c r="N406" i="6"/>
  <c r="D406" i="6"/>
  <c r="AM406" i="6"/>
  <c r="AB406" i="6"/>
  <c r="DT406" i="6" s="1"/>
  <c r="F406" i="6"/>
  <c r="AI406" i="6"/>
  <c r="AK406" i="6"/>
  <c r="Z407" i="6"/>
  <c r="R407" i="6"/>
  <c r="N407" i="6"/>
  <c r="X407" i="6"/>
  <c r="P407" i="6"/>
  <c r="H407" i="6"/>
  <c r="V407" i="6"/>
  <c r="L407" i="6"/>
  <c r="F407" i="6"/>
  <c r="T407" i="6"/>
  <c r="J407" i="6"/>
  <c r="AM407" i="6"/>
  <c r="AB407" i="6"/>
  <c r="DT407" i="6" s="1"/>
  <c r="D407" i="6"/>
  <c r="AI407" i="6"/>
  <c r="AK407" i="6"/>
  <c r="EF408" i="6"/>
  <c r="BP399" i="6" l="1"/>
  <c r="BQ399" i="6"/>
  <c r="BV399" i="6"/>
  <c r="BK399" i="6"/>
  <c r="AA3853" i="5"/>
  <c r="Y3853" i="5"/>
  <c r="Z3853" i="5"/>
  <c r="AV396" i="6"/>
  <c r="AP396" i="6"/>
  <c r="BA396" i="6"/>
  <c r="AU396" i="6"/>
  <c r="AA4843" i="5"/>
  <c r="Z4843" i="5"/>
  <c r="Y4843" i="5"/>
  <c r="DA405" i="6"/>
  <c r="DF405" i="6"/>
  <c r="DL405" i="6"/>
  <c r="DG405" i="6"/>
  <c r="AA1379" i="5"/>
  <c r="Y1379" i="5"/>
  <c r="Z1379" i="5"/>
  <c r="Y883" i="5"/>
  <c r="AA883" i="5"/>
  <c r="Z883" i="5"/>
  <c r="AA3854" i="5"/>
  <c r="Y3854" i="5"/>
  <c r="Z3854" i="5"/>
  <c r="AA1378" i="5"/>
  <c r="Y1378" i="5"/>
  <c r="Z1378" i="5"/>
  <c r="AW397" i="6"/>
  <c r="BB397" i="6"/>
  <c r="BC397" i="6"/>
  <c r="BH397" i="6"/>
  <c r="AA5338" i="5"/>
  <c r="Y5338" i="5"/>
  <c r="Z5338" i="5"/>
  <c r="AA2369" i="5"/>
  <c r="Z2369" i="5"/>
  <c r="Y2369" i="5"/>
  <c r="BY401" i="6"/>
  <c r="CD401" i="6"/>
  <c r="CE401" i="6"/>
  <c r="CJ401" i="6"/>
  <c r="AP395" i="6"/>
  <c r="AU395" i="6"/>
  <c r="BA395" i="6"/>
  <c r="AV395" i="6"/>
  <c r="CD400" i="6"/>
  <c r="BY400" i="6"/>
  <c r="CE400" i="6"/>
  <c r="CJ400" i="6"/>
  <c r="AO394" i="6"/>
  <c r="AN394" i="6"/>
  <c r="AT394" i="6"/>
  <c r="DA404" i="6"/>
  <c r="DG404" i="6"/>
  <c r="DF404" i="6"/>
  <c r="DL404" i="6"/>
  <c r="CR402" i="6"/>
  <c r="CM402" i="6"/>
  <c r="CS402" i="6"/>
  <c r="CX402" i="6"/>
  <c r="DO407" i="6"/>
  <c r="DY407" i="6"/>
  <c r="DO406" i="6"/>
  <c r="DY406" i="6"/>
  <c r="Y5833" i="5"/>
  <c r="Z5833" i="5"/>
  <c r="AA5833" i="5"/>
  <c r="CT403" i="6"/>
  <c r="CY403" i="6"/>
  <c r="DE403" i="6"/>
  <c r="CZ403" i="6"/>
  <c r="BD398" i="6"/>
  <c r="BJ398" i="6"/>
  <c r="BI398" i="6"/>
  <c r="BO398" i="6"/>
  <c r="Y2864" i="5"/>
  <c r="AA2864" i="5"/>
  <c r="Z2864" i="5"/>
  <c r="AA5834" i="5"/>
  <c r="Y5834" i="5"/>
  <c r="Z5834" i="5"/>
  <c r="AA1874" i="5"/>
  <c r="Y1874" i="5"/>
  <c r="Z1874" i="5"/>
  <c r="EF409" i="6"/>
  <c r="EG409" i="6" s="1"/>
  <c r="EH409" i="6" s="1"/>
  <c r="AA409" i="6" s="1"/>
  <c r="EG408" i="6"/>
  <c r="EH408" i="6" s="1"/>
  <c r="AA408" i="6" s="1"/>
  <c r="DX407" i="6"/>
  <c r="AA6330" i="5" s="1"/>
  <c r="DX406" i="6"/>
  <c r="AA6329" i="5" s="1"/>
  <c r="BD399" i="6" l="1"/>
  <c r="BI399" i="6"/>
  <c r="BO399" i="6"/>
  <c r="BJ399" i="6"/>
  <c r="AW398" i="6"/>
  <c r="BB398" i="6"/>
  <c r="BH398" i="6"/>
  <c r="BC398" i="6"/>
  <c r="CR403" i="6"/>
  <c r="CM403" i="6"/>
  <c r="CS403" i="6"/>
  <c r="CX403" i="6"/>
  <c r="Y4349" i="5"/>
  <c r="AA4349" i="5"/>
  <c r="Z4349" i="5"/>
  <c r="AA5339" i="5"/>
  <c r="Y5339" i="5"/>
  <c r="Z5339" i="5"/>
  <c r="AA389" i="5"/>
  <c r="Z389" i="5"/>
  <c r="Y389" i="5"/>
  <c r="AA884" i="5"/>
  <c r="Y884" i="5"/>
  <c r="Z884" i="5"/>
  <c r="AV397" i="6"/>
  <c r="AP397" i="6"/>
  <c r="BA397" i="6"/>
  <c r="AU397" i="6"/>
  <c r="CT405" i="6"/>
  <c r="CY405" i="6"/>
  <c r="CZ405" i="6"/>
  <c r="DE405" i="6"/>
  <c r="Y2370" i="5"/>
  <c r="AA2370" i="5"/>
  <c r="Z2370" i="5"/>
  <c r="DS407" i="6"/>
  <c r="DM407" i="6"/>
  <c r="DH407" i="6"/>
  <c r="DN407" i="6"/>
  <c r="Y3359" i="5"/>
  <c r="AA3359" i="5"/>
  <c r="Z3359" i="5"/>
  <c r="AA1875" i="5"/>
  <c r="Y1875" i="5"/>
  <c r="Z1875" i="5"/>
  <c r="BR400" i="6"/>
  <c r="CC400" i="6"/>
  <c r="BX400" i="6"/>
  <c r="BW400" i="6"/>
  <c r="Y885" i="5"/>
  <c r="AA885" i="5"/>
  <c r="Z885" i="5"/>
  <c r="CT404" i="6"/>
  <c r="CY404" i="6"/>
  <c r="CZ404" i="6"/>
  <c r="DE404" i="6"/>
  <c r="AA3360" i="5"/>
  <c r="Z3360" i="5"/>
  <c r="Y3360" i="5"/>
  <c r="DS406" i="6"/>
  <c r="DN406" i="6"/>
  <c r="DH406" i="6"/>
  <c r="DM406" i="6"/>
  <c r="AA1380" i="5"/>
  <c r="Y1380" i="5"/>
  <c r="Z1380" i="5"/>
  <c r="AA4844" i="5"/>
  <c r="Y4844" i="5"/>
  <c r="Z4844" i="5"/>
  <c r="CL402" i="6"/>
  <c r="CF402" i="6"/>
  <c r="CK402" i="6"/>
  <c r="CQ402" i="6"/>
  <c r="AO395" i="6"/>
  <c r="AN395" i="6"/>
  <c r="AT395" i="6"/>
  <c r="BX401" i="6"/>
  <c r="BR401" i="6"/>
  <c r="CC401" i="6"/>
  <c r="BW401" i="6"/>
  <c r="AA5340" i="5"/>
  <c r="Y5340" i="5"/>
  <c r="Z5340" i="5"/>
  <c r="AT396" i="6"/>
  <c r="AO396" i="6"/>
  <c r="AN396" i="6"/>
  <c r="Y6329" i="5"/>
  <c r="Z6329" i="5"/>
  <c r="Y6330" i="5"/>
  <c r="Z6330" i="5"/>
  <c r="F409" i="6"/>
  <c r="Z409" i="6"/>
  <c r="V409" i="6"/>
  <c r="N409" i="6"/>
  <c r="D409" i="6"/>
  <c r="AI409" i="6"/>
  <c r="AK409" i="6"/>
  <c r="R409" i="6"/>
  <c r="T409" i="6"/>
  <c r="P409" i="6"/>
  <c r="J409" i="6"/>
  <c r="AM409" i="6"/>
  <c r="AB409" i="6"/>
  <c r="DT409" i="6" s="1"/>
  <c r="X409" i="6"/>
  <c r="L409" i="6"/>
  <c r="H409" i="6"/>
  <c r="EF410" i="6"/>
  <c r="F408" i="6"/>
  <c r="R408" i="6"/>
  <c r="J408" i="6"/>
  <c r="X408" i="6"/>
  <c r="P408" i="6"/>
  <c r="H408" i="6"/>
  <c r="V408" i="6"/>
  <c r="L408" i="6"/>
  <c r="D408" i="6"/>
  <c r="T408" i="6"/>
  <c r="N408" i="6"/>
  <c r="AB408" i="6"/>
  <c r="DT408" i="6" s="1"/>
  <c r="Z408" i="6"/>
  <c r="AI408" i="6"/>
  <c r="AM408" i="6"/>
  <c r="AK408" i="6"/>
  <c r="DA406" i="6" l="1"/>
  <c r="DG406" i="6"/>
  <c r="DL406" i="6"/>
  <c r="DF406" i="6"/>
  <c r="AA391" i="5"/>
  <c r="Z391" i="5"/>
  <c r="Y391" i="5"/>
  <c r="AA390" i="5"/>
  <c r="Z390" i="5"/>
  <c r="Y390" i="5"/>
  <c r="Y5835" i="5"/>
  <c r="AA5835" i="5"/>
  <c r="Z5835" i="5"/>
  <c r="AA4845" i="5"/>
  <c r="Z4845" i="5"/>
  <c r="Y4845" i="5"/>
  <c r="Y5836" i="5"/>
  <c r="AA5836" i="5"/>
  <c r="Z5836" i="5"/>
  <c r="AA4846" i="5"/>
  <c r="Y4846" i="5"/>
  <c r="Z4846" i="5"/>
  <c r="AA4350" i="5"/>
  <c r="Y4350" i="5"/>
  <c r="Z4350" i="5"/>
  <c r="DO408" i="6"/>
  <c r="DY408" i="6"/>
  <c r="DO409" i="6"/>
  <c r="DY409" i="6"/>
  <c r="Y2866" i="5"/>
  <c r="AA2866" i="5"/>
  <c r="Z2866" i="5"/>
  <c r="CD402" i="6"/>
  <c r="BY402" i="6"/>
  <c r="CE402" i="6"/>
  <c r="CJ402" i="6"/>
  <c r="AA2865" i="5"/>
  <c r="Y2865" i="5"/>
  <c r="Z2865" i="5"/>
  <c r="AA886" i="5"/>
  <c r="Y886" i="5"/>
  <c r="Z886" i="5"/>
  <c r="AA1381" i="5"/>
  <c r="Y1381" i="5"/>
  <c r="Z1381" i="5"/>
  <c r="AA1876" i="5"/>
  <c r="Y1876" i="5"/>
  <c r="Z1876" i="5"/>
  <c r="BK401" i="6"/>
  <c r="BV401" i="6"/>
  <c r="BP401" i="6"/>
  <c r="BQ401" i="6"/>
  <c r="DA407" i="6"/>
  <c r="DF407" i="6"/>
  <c r="DL407" i="6"/>
  <c r="DG407" i="6"/>
  <c r="AO397" i="6"/>
  <c r="AN397" i="6"/>
  <c r="AT397" i="6"/>
  <c r="CL403" i="6"/>
  <c r="CF403" i="6"/>
  <c r="CK403" i="6"/>
  <c r="CQ403" i="6"/>
  <c r="BK400" i="6"/>
  <c r="BQ400" i="6"/>
  <c r="BV400" i="6"/>
  <c r="BP400" i="6"/>
  <c r="AA3855" i="5"/>
  <c r="Y3855" i="5"/>
  <c r="Z3855" i="5"/>
  <c r="CR404" i="6"/>
  <c r="CM404" i="6"/>
  <c r="CS404" i="6"/>
  <c r="CX404" i="6"/>
  <c r="CM405" i="6"/>
  <c r="CR405" i="6"/>
  <c r="CX405" i="6"/>
  <c r="CS405" i="6"/>
  <c r="AV398" i="6"/>
  <c r="AP398" i="6"/>
  <c r="BA398" i="6"/>
  <c r="AU398" i="6"/>
  <c r="AW399" i="6"/>
  <c r="BC399" i="6"/>
  <c r="BH399" i="6"/>
  <c r="BB399" i="6"/>
  <c r="DX408" i="6"/>
  <c r="AA6331" i="5" s="1"/>
  <c r="EF411" i="6"/>
  <c r="EG411" i="6" s="1"/>
  <c r="EH411" i="6" s="1"/>
  <c r="AA411" i="6" s="1"/>
  <c r="EG410" i="6"/>
  <c r="EH410" i="6" s="1"/>
  <c r="AA410" i="6" s="1"/>
  <c r="DX409" i="6"/>
  <c r="AA6332" i="5" s="1"/>
  <c r="CL404" i="6" l="1"/>
  <c r="CF404" i="6"/>
  <c r="CK404" i="6"/>
  <c r="CQ404" i="6"/>
  <c r="BD400" i="6"/>
  <c r="BJ400" i="6"/>
  <c r="BI400" i="6"/>
  <c r="BO400" i="6"/>
  <c r="Y3361" i="5"/>
  <c r="AA3361" i="5"/>
  <c r="Z3361" i="5"/>
  <c r="DH409" i="6"/>
  <c r="DM409" i="6"/>
  <c r="DS409" i="6"/>
  <c r="DN409" i="6"/>
  <c r="AP399" i="6"/>
  <c r="BA399" i="6"/>
  <c r="AV399" i="6"/>
  <c r="AU399" i="6"/>
  <c r="CL405" i="6"/>
  <c r="CF405" i="6"/>
  <c r="CK405" i="6"/>
  <c r="CQ405" i="6"/>
  <c r="AA3856" i="5"/>
  <c r="Y3856" i="5"/>
  <c r="Z3856" i="5"/>
  <c r="AA392" i="5"/>
  <c r="Z392" i="5"/>
  <c r="Y392" i="5"/>
  <c r="AA5342" i="5"/>
  <c r="Y5342" i="5"/>
  <c r="Z5342" i="5"/>
  <c r="AA5341" i="5"/>
  <c r="Y5341" i="5"/>
  <c r="Z5341" i="5"/>
  <c r="AN398" i="6"/>
  <c r="AT398" i="6"/>
  <c r="AO398" i="6"/>
  <c r="BX402" i="6"/>
  <c r="BR402" i="6"/>
  <c r="BW402" i="6"/>
  <c r="CC402" i="6"/>
  <c r="DS408" i="6"/>
  <c r="DH408" i="6"/>
  <c r="DN408" i="6"/>
  <c r="DM408" i="6"/>
  <c r="AA4351" i="5"/>
  <c r="Y4351" i="5"/>
  <c r="Z4351" i="5"/>
  <c r="AA2371" i="5"/>
  <c r="Z2371" i="5"/>
  <c r="Y2371" i="5"/>
  <c r="AA2372" i="5"/>
  <c r="Z2372" i="5"/>
  <c r="Y2372" i="5"/>
  <c r="AA1382" i="5"/>
  <c r="Z1382" i="5"/>
  <c r="Y1382" i="5"/>
  <c r="Y887" i="5"/>
  <c r="AA887" i="5"/>
  <c r="Z887" i="5"/>
  <c r="AA4352" i="5"/>
  <c r="Y4352" i="5"/>
  <c r="Z4352" i="5"/>
  <c r="CD403" i="6"/>
  <c r="BY403" i="6"/>
  <c r="CJ403" i="6"/>
  <c r="CE403" i="6"/>
  <c r="CT407" i="6"/>
  <c r="DE407" i="6"/>
  <c r="CZ407" i="6"/>
  <c r="CY407" i="6"/>
  <c r="BD401" i="6"/>
  <c r="BJ401" i="6"/>
  <c r="BI401" i="6"/>
  <c r="BO401" i="6"/>
  <c r="CT406" i="6"/>
  <c r="CZ406" i="6"/>
  <c r="DE406" i="6"/>
  <c r="CY406" i="6"/>
  <c r="Y6332" i="5"/>
  <c r="Z6332" i="5"/>
  <c r="Y6331" i="5"/>
  <c r="Z6331" i="5"/>
  <c r="D411" i="6"/>
  <c r="T411" i="6"/>
  <c r="N411" i="6"/>
  <c r="R411" i="6"/>
  <c r="J411" i="6"/>
  <c r="F411" i="6"/>
  <c r="X411" i="6"/>
  <c r="P411" i="6"/>
  <c r="H411" i="6"/>
  <c r="Z411" i="6"/>
  <c r="V411" i="6"/>
  <c r="L411" i="6"/>
  <c r="AM411" i="6"/>
  <c r="AI411" i="6"/>
  <c r="AK411" i="6"/>
  <c r="AB411" i="6"/>
  <c r="DT411" i="6" s="1"/>
  <c r="Z410" i="6"/>
  <c r="V410" i="6"/>
  <c r="P410" i="6"/>
  <c r="H410" i="6"/>
  <c r="T410" i="6"/>
  <c r="J410" i="6"/>
  <c r="R410" i="6"/>
  <c r="L410" i="6"/>
  <c r="X410" i="6"/>
  <c r="N410" i="6"/>
  <c r="D410" i="6"/>
  <c r="AM410" i="6"/>
  <c r="AB410" i="6"/>
  <c r="DT410" i="6" s="1"/>
  <c r="F410" i="6"/>
  <c r="AI410" i="6"/>
  <c r="AK410" i="6"/>
  <c r="EF412" i="6"/>
  <c r="EG412" i="6" s="1"/>
  <c r="EH412" i="6" s="1"/>
  <c r="AA412" i="6" s="1"/>
  <c r="DA408" i="6" l="1"/>
  <c r="DF408" i="6"/>
  <c r="DL408" i="6"/>
  <c r="DG408" i="6"/>
  <c r="BP402" i="6"/>
  <c r="BK402" i="6"/>
  <c r="BV402" i="6"/>
  <c r="BQ402" i="6"/>
  <c r="AN399" i="6"/>
  <c r="AT399" i="6"/>
  <c r="AO399" i="6"/>
  <c r="DA409" i="6"/>
  <c r="DF409" i="6"/>
  <c r="DL409" i="6"/>
  <c r="DG409" i="6"/>
  <c r="AA1877" i="5"/>
  <c r="Y1877" i="5"/>
  <c r="Z1877" i="5"/>
  <c r="AA3857" i="5"/>
  <c r="Y3857" i="5"/>
  <c r="Z3857" i="5"/>
  <c r="AA4847" i="5"/>
  <c r="Y4847" i="5"/>
  <c r="Z4847" i="5"/>
  <c r="AA3362" i="5"/>
  <c r="Y3362" i="5"/>
  <c r="Z3362" i="5"/>
  <c r="Y5837" i="5"/>
  <c r="AA5837" i="5"/>
  <c r="Z5837" i="5"/>
  <c r="AA3858" i="5"/>
  <c r="Y3858" i="5"/>
  <c r="Z3858" i="5"/>
  <c r="AA4848" i="5"/>
  <c r="Z4848" i="5"/>
  <c r="Y4848" i="5"/>
  <c r="AA5838" i="5"/>
  <c r="Y5838" i="5"/>
  <c r="Z5838" i="5"/>
  <c r="CD404" i="6"/>
  <c r="BY404" i="6"/>
  <c r="CE404" i="6"/>
  <c r="CJ404" i="6"/>
  <c r="DO411" i="6"/>
  <c r="DY411" i="6"/>
  <c r="AA1878" i="5"/>
  <c r="Z1878" i="5"/>
  <c r="Y1878" i="5"/>
  <c r="BX403" i="6"/>
  <c r="CC403" i="6"/>
  <c r="BR403" i="6"/>
  <c r="BW403" i="6"/>
  <c r="AA2867" i="5"/>
  <c r="Y2867" i="5"/>
  <c r="Z2867" i="5"/>
  <c r="DO410" i="6"/>
  <c r="DY410" i="6"/>
  <c r="CR406" i="6"/>
  <c r="CM406" i="6"/>
  <c r="CS406" i="6"/>
  <c r="CX406" i="6"/>
  <c r="AW401" i="6"/>
  <c r="BH401" i="6"/>
  <c r="BC401" i="6"/>
  <c r="BB401" i="6"/>
  <c r="CR407" i="6"/>
  <c r="CM407" i="6"/>
  <c r="CS407" i="6"/>
  <c r="CX407" i="6"/>
  <c r="AA393" i="5"/>
  <c r="Y393" i="5"/>
  <c r="Z393" i="5"/>
  <c r="BY405" i="6"/>
  <c r="CE405" i="6"/>
  <c r="CJ405" i="6"/>
  <c r="CD405" i="6"/>
  <c r="AA888" i="5"/>
  <c r="Z888" i="5"/>
  <c r="Y888" i="5"/>
  <c r="AW400" i="6"/>
  <c r="BH400" i="6"/>
  <c r="BC400" i="6"/>
  <c r="BB400" i="6"/>
  <c r="F412" i="6"/>
  <c r="X412" i="6"/>
  <c r="P412" i="6"/>
  <c r="H412" i="6"/>
  <c r="V412" i="6"/>
  <c r="L412" i="6"/>
  <c r="D412" i="6"/>
  <c r="T412" i="6"/>
  <c r="N412" i="6"/>
  <c r="AB412" i="6"/>
  <c r="DT412" i="6" s="1"/>
  <c r="R412" i="6"/>
  <c r="J412" i="6"/>
  <c r="Z412" i="6"/>
  <c r="AK412" i="6"/>
  <c r="AI412" i="6"/>
  <c r="AM412" i="6"/>
  <c r="DX411" i="6"/>
  <c r="AA6334" i="5" s="1"/>
  <c r="EF413" i="6"/>
  <c r="EG413" i="6" s="1"/>
  <c r="EH413" i="6" s="1"/>
  <c r="AA413" i="6" s="1"/>
  <c r="DX410" i="6"/>
  <c r="AA6333" i="5" s="1"/>
  <c r="DS411" i="6" l="1"/>
  <c r="DN411" i="6"/>
  <c r="DM411" i="6"/>
  <c r="DH411" i="6"/>
  <c r="AV400" i="6"/>
  <c r="BA400" i="6"/>
  <c r="AP400" i="6"/>
  <c r="AU400" i="6"/>
  <c r="CT409" i="6"/>
  <c r="CZ409" i="6"/>
  <c r="CY409" i="6"/>
  <c r="DE409" i="6"/>
  <c r="AA3364" i="5"/>
  <c r="Z3364" i="5"/>
  <c r="Y3364" i="5"/>
  <c r="CL406" i="6"/>
  <c r="CF406" i="6"/>
  <c r="CQ406" i="6"/>
  <c r="CK406" i="6"/>
  <c r="Y3363" i="5"/>
  <c r="AA3363" i="5"/>
  <c r="Z3363" i="5"/>
  <c r="AA2373" i="5"/>
  <c r="Y2373" i="5"/>
  <c r="Z2373" i="5"/>
  <c r="AA5343" i="5"/>
  <c r="Y5343" i="5"/>
  <c r="Z5343" i="5"/>
  <c r="AV401" i="6"/>
  <c r="AP401" i="6"/>
  <c r="AU401" i="6"/>
  <c r="BA401" i="6"/>
  <c r="Y2868" i="5"/>
  <c r="AA2868" i="5"/>
  <c r="Z2868" i="5"/>
  <c r="AA5344" i="5"/>
  <c r="Y5344" i="5"/>
  <c r="Z5344" i="5"/>
  <c r="AA394" i="5"/>
  <c r="Z394" i="5"/>
  <c r="Y394" i="5"/>
  <c r="BD402" i="6"/>
  <c r="BI402" i="6"/>
  <c r="BO402" i="6"/>
  <c r="BJ402" i="6"/>
  <c r="DS410" i="6"/>
  <c r="DM410" i="6"/>
  <c r="DN410" i="6"/>
  <c r="DH410" i="6"/>
  <c r="CL407" i="6"/>
  <c r="CF407" i="6"/>
  <c r="CK407" i="6"/>
  <c r="CQ407" i="6"/>
  <c r="AA1384" i="5"/>
  <c r="Z1384" i="5"/>
  <c r="Y1384" i="5"/>
  <c r="BP403" i="6"/>
  <c r="BQ403" i="6"/>
  <c r="BV403" i="6"/>
  <c r="BK403" i="6"/>
  <c r="DO412" i="6"/>
  <c r="DY412" i="6"/>
  <c r="AA1383" i="5"/>
  <c r="Y1383" i="5"/>
  <c r="Z1383" i="5"/>
  <c r="BX405" i="6"/>
  <c r="BR405" i="6"/>
  <c r="CC405" i="6"/>
  <c r="BW405" i="6"/>
  <c r="AA4354" i="5"/>
  <c r="Y4354" i="5"/>
  <c r="Z4354" i="5"/>
  <c r="Y4353" i="5"/>
  <c r="AA4353" i="5"/>
  <c r="Z4353" i="5"/>
  <c r="BR404" i="6"/>
  <c r="BX404" i="6"/>
  <c r="BW404" i="6"/>
  <c r="CC404" i="6"/>
  <c r="CT408" i="6"/>
  <c r="DE408" i="6"/>
  <c r="CZ408" i="6"/>
  <c r="CY408" i="6"/>
  <c r="Y6333" i="5"/>
  <c r="Z6333" i="5"/>
  <c r="Y6334" i="5"/>
  <c r="Z6334" i="5"/>
  <c r="EF414" i="6"/>
  <c r="J413" i="6"/>
  <c r="F413" i="6"/>
  <c r="Z413" i="6"/>
  <c r="R413" i="6"/>
  <c r="D413" i="6"/>
  <c r="AI413" i="6"/>
  <c r="AK413" i="6"/>
  <c r="AB413" i="6"/>
  <c r="DT413" i="6" s="1"/>
  <c r="X413" i="6"/>
  <c r="P413" i="6"/>
  <c r="H413" i="6"/>
  <c r="V413" i="6"/>
  <c r="L413" i="6"/>
  <c r="AM413" i="6"/>
  <c r="T413" i="6"/>
  <c r="N413" i="6"/>
  <c r="DX412" i="6"/>
  <c r="AA6335" i="5" s="1"/>
  <c r="CR408" i="6" l="1"/>
  <c r="CM408" i="6"/>
  <c r="CS408" i="6"/>
  <c r="CX408" i="6"/>
  <c r="AA890" i="5"/>
  <c r="Y890" i="5"/>
  <c r="Z890" i="5"/>
  <c r="AA4850" i="5"/>
  <c r="Z4850" i="5"/>
  <c r="Y4850" i="5"/>
  <c r="AA2869" i="5"/>
  <c r="Y2869" i="5"/>
  <c r="Z2869" i="5"/>
  <c r="BK405" i="6"/>
  <c r="BV405" i="6"/>
  <c r="BP405" i="6"/>
  <c r="BQ405" i="6"/>
  <c r="Y2374" i="5"/>
  <c r="AA2374" i="5"/>
  <c r="Z2374" i="5"/>
  <c r="CD407" i="6"/>
  <c r="BY407" i="6"/>
  <c r="CJ407" i="6"/>
  <c r="CE407" i="6"/>
  <c r="AN400" i="6"/>
  <c r="AO400" i="6"/>
  <c r="AT400" i="6"/>
  <c r="BQ404" i="6"/>
  <c r="BK404" i="6"/>
  <c r="BV404" i="6"/>
  <c r="BP404" i="6"/>
  <c r="Y2870" i="5"/>
  <c r="AA2870" i="5"/>
  <c r="Z2870" i="5"/>
  <c r="DA411" i="6"/>
  <c r="DL411" i="6"/>
  <c r="DG411" i="6"/>
  <c r="DF411" i="6"/>
  <c r="Y5839" i="5"/>
  <c r="AA5839" i="5"/>
  <c r="Z5839" i="5"/>
  <c r="AW402" i="6"/>
  <c r="BC402" i="6"/>
  <c r="BH402" i="6"/>
  <c r="BB402" i="6"/>
  <c r="AN401" i="6"/>
  <c r="AT401" i="6"/>
  <c r="AO401" i="6"/>
  <c r="AA3859" i="5"/>
  <c r="Y3859" i="5"/>
  <c r="Z3859" i="5"/>
  <c r="Y889" i="5"/>
  <c r="AA889" i="5"/>
  <c r="Z889" i="5"/>
  <c r="DO413" i="6"/>
  <c r="DY413" i="6"/>
  <c r="BD403" i="6"/>
  <c r="BI403" i="6"/>
  <c r="BO403" i="6"/>
  <c r="BJ403" i="6"/>
  <c r="AA1879" i="5"/>
  <c r="Y1879" i="5"/>
  <c r="Z1879" i="5"/>
  <c r="AA4849" i="5"/>
  <c r="Y4849" i="5"/>
  <c r="Z4849" i="5"/>
  <c r="DS412" i="6"/>
  <c r="DH412" i="6"/>
  <c r="DN412" i="6"/>
  <c r="DM412" i="6"/>
  <c r="AA3860" i="5"/>
  <c r="Y3860" i="5"/>
  <c r="Z3860" i="5"/>
  <c r="DA410" i="6"/>
  <c r="DG410" i="6"/>
  <c r="DL410" i="6"/>
  <c r="DF410" i="6"/>
  <c r="CD406" i="6"/>
  <c r="BY406" i="6"/>
  <c r="CE406" i="6"/>
  <c r="CJ406" i="6"/>
  <c r="CM409" i="6"/>
  <c r="CS409" i="6"/>
  <c r="CX409" i="6"/>
  <c r="CR409" i="6"/>
  <c r="Y5840" i="5"/>
  <c r="Z5840" i="5"/>
  <c r="AA5840" i="5"/>
  <c r="Y6335" i="5"/>
  <c r="Z6335" i="5"/>
  <c r="EF415" i="6"/>
  <c r="EG414" i="6"/>
  <c r="EH414" i="6" s="1"/>
  <c r="AA414" i="6" s="1"/>
  <c r="DX413" i="6"/>
  <c r="AA6336" i="5" s="1"/>
  <c r="Y5841" i="5" l="1"/>
  <c r="Z5841" i="5"/>
  <c r="AA5841" i="5"/>
  <c r="AA1880" i="5"/>
  <c r="Y1880" i="5"/>
  <c r="Z1880" i="5"/>
  <c r="AW403" i="6"/>
  <c r="BB403" i="6"/>
  <c r="BC403" i="6"/>
  <c r="BH403" i="6"/>
  <c r="AA4356" i="5"/>
  <c r="Z4356" i="5"/>
  <c r="Y4356" i="5"/>
  <c r="AA5345" i="5"/>
  <c r="Y5345" i="5"/>
  <c r="Z5345" i="5"/>
  <c r="DA412" i="6"/>
  <c r="DG412" i="6"/>
  <c r="DL412" i="6"/>
  <c r="DF412" i="6"/>
  <c r="AA1385" i="5"/>
  <c r="Y1385" i="5"/>
  <c r="Z1385" i="5"/>
  <c r="AA5346" i="5"/>
  <c r="Y5346" i="5"/>
  <c r="Z5346" i="5"/>
  <c r="AA4355" i="5"/>
  <c r="Y4355" i="5"/>
  <c r="Z4355" i="5"/>
  <c r="DH413" i="6"/>
  <c r="DN413" i="6"/>
  <c r="DM413" i="6"/>
  <c r="DS413" i="6"/>
  <c r="AA396" i="5"/>
  <c r="Z396" i="5"/>
  <c r="Y396" i="5"/>
  <c r="CY411" i="6"/>
  <c r="CT411" i="6"/>
  <c r="CZ411" i="6"/>
  <c r="DE411" i="6"/>
  <c r="AA395" i="5"/>
  <c r="Y395" i="5"/>
  <c r="Z395" i="5"/>
  <c r="AA3366" i="5"/>
  <c r="Y3366" i="5"/>
  <c r="Z3366" i="5"/>
  <c r="AA2376" i="5"/>
  <c r="Y2376" i="5"/>
  <c r="Z2376" i="5"/>
  <c r="BX406" i="6"/>
  <c r="BR406" i="6"/>
  <c r="BW406" i="6"/>
  <c r="CC406" i="6"/>
  <c r="CT410" i="6"/>
  <c r="CY410" i="6"/>
  <c r="CZ410" i="6"/>
  <c r="DE410" i="6"/>
  <c r="AV402" i="6"/>
  <c r="AP402" i="6"/>
  <c r="BA402" i="6"/>
  <c r="AU402" i="6"/>
  <c r="AA2375" i="5"/>
  <c r="Z2375" i="5"/>
  <c r="Y2375" i="5"/>
  <c r="BX407" i="6"/>
  <c r="BR407" i="6"/>
  <c r="CC407" i="6"/>
  <c r="BW407" i="6"/>
  <c r="BD405" i="6"/>
  <c r="BI405" i="6"/>
  <c r="BO405" i="6"/>
  <c r="BJ405" i="6"/>
  <c r="CL408" i="6"/>
  <c r="CF408" i="6"/>
  <c r="CK408" i="6"/>
  <c r="CQ408" i="6"/>
  <c r="CL409" i="6"/>
  <c r="CF409" i="6"/>
  <c r="CK409" i="6"/>
  <c r="CQ409" i="6"/>
  <c r="Y3365" i="5"/>
  <c r="Z3365" i="5"/>
  <c r="AA3365" i="5"/>
  <c r="BD404" i="6"/>
  <c r="BI404" i="6"/>
  <c r="BO404" i="6"/>
  <c r="BJ404" i="6"/>
  <c r="Y6336" i="5"/>
  <c r="Z6336" i="5"/>
  <c r="V414" i="6"/>
  <c r="P414" i="6"/>
  <c r="H414" i="6"/>
  <c r="T414" i="6"/>
  <c r="L414" i="6"/>
  <c r="R414" i="6"/>
  <c r="J414" i="6"/>
  <c r="Z414" i="6"/>
  <c r="X414" i="6"/>
  <c r="N414" i="6"/>
  <c r="D414" i="6"/>
  <c r="AB414" i="6"/>
  <c r="DT414" i="6" s="1"/>
  <c r="F414" i="6"/>
  <c r="AM414" i="6"/>
  <c r="AI414" i="6"/>
  <c r="AK414" i="6"/>
  <c r="EF416" i="6"/>
  <c r="EG416" i="6" s="1"/>
  <c r="EH416" i="6" s="1"/>
  <c r="AA416" i="6" s="1"/>
  <c r="EG415" i="6"/>
  <c r="EH415" i="6" s="1"/>
  <c r="AA415" i="6" s="1"/>
  <c r="BP407" i="6" l="1"/>
  <c r="BV407" i="6"/>
  <c r="BK407" i="6"/>
  <c r="BQ407" i="6"/>
  <c r="DY414" i="6"/>
  <c r="DO414" i="6"/>
  <c r="AW404" i="6"/>
  <c r="BB404" i="6"/>
  <c r="BH404" i="6"/>
  <c r="BC404" i="6"/>
  <c r="AA3862" i="5"/>
  <c r="Y3862" i="5"/>
  <c r="Z3862" i="5"/>
  <c r="AA3861" i="5"/>
  <c r="Y3861" i="5"/>
  <c r="Z3861" i="5"/>
  <c r="Y891" i="5"/>
  <c r="AA891" i="5"/>
  <c r="Z891" i="5"/>
  <c r="AA4852" i="5"/>
  <c r="Y4852" i="5"/>
  <c r="Z4852" i="5"/>
  <c r="AA1882" i="5"/>
  <c r="Y1882" i="5"/>
  <c r="Z1882" i="5"/>
  <c r="Y2872" i="5"/>
  <c r="AA2872" i="5"/>
  <c r="Z2872" i="5"/>
  <c r="AN402" i="6"/>
  <c r="AT402" i="6"/>
  <c r="AO402" i="6"/>
  <c r="BP406" i="6"/>
  <c r="BK406" i="6"/>
  <c r="BV406" i="6"/>
  <c r="BQ406" i="6"/>
  <c r="AA5347" i="5"/>
  <c r="Z5347" i="5"/>
  <c r="Y5347" i="5"/>
  <c r="AP403" i="6"/>
  <c r="AV403" i="6"/>
  <c r="AU403" i="6"/>
  <c r="BA403" i="6"/>
  <c r="AA1881" i="5"/>
  <c r="Y1881" i="5"/>
  <c r="Z1881" i="5"/>
  <c r="CD408" i="6"/>
  <c r="BY408" i="6"/>
  <c r="CE408" i="6"/>
  <c r="CJ408" i="6"/>
  <c r="CR410" i="6"/>
  <c r="CM410" i="6"/>
  <c r="CS410" i="6"/>
  <c r="CX410" i="6"/>
  <c r="CR411" i="6"/>
  <c r="CM411" i="6"/>
  <c r="CX411" i="6"/>
  <c r="CS411" i="6"/>
  <c r="DA413" i="6"/>
  <c r="DF413" i="6"/>
  <c r="DG413" i="6"/>
  <c r="DL413" i="6"/>
  <c r="AA1386" i="5"/>
  <c r="Y1386" i="5"/>
  <c r="Z1386" i="5"/>
  <c r="BY409" i="6"/>
  <c r="CJ409" i="6"/>
  <c r="CD409" i="6"/>
  <c r="CE409" i="6"/>
  <c r="AW405" i="6"/>
  <c r="BB405" i="6"/>
  <c r="BH405" i="6"/>
  <c r="BC405" i="6"/>
  <c r="AA4851" i="5"/>
  <c r="Z4851" i="5"/>
  <c r="Y4851" i="5"/>
  <c r="AA2871" i="5"/>
  <c r="Y2871" i="5"/>
  <c r="Z2871" i="5"/>
  <c r="AA5842" i="5"/>
  <c r="Z5842" i="5"/>
  <c r="Y5842" i="5"/>
  <c r="CT412" i="6"/>
  <c r="CY412" i="6"/>
  <c r="CZ412" i="6"/>
  <c r="DE412" i="6"/>
  <c r="V415" i="6"/>
  <c r="L415" i="6"/>
  <c r="F415" i="6"/>
  <c r="T415" i="6"/>
  <c r="N415" i="6"/>
  <c r="Z415" i="6"/>
  <c r="R415" i="6"/>
  <c r="J415" i="6"/>
  <c r="X415" i="6"/>
  <c r="P415" i="6"/>
  <c r="H415" i="6"/>
  <c r="D415" i="6"/>
  <c r="AM415" i="6"/>
  <c r="AI415" i="6"/>
  <c r="AK415" i="6"/>
  <c r="AB415" i="6"/>
  <c r="DT415" i="6" s="1"/>
  <c r="EF417" i="6"/>
  <c r="EG417" i="6" s="1"/>
  <c r="EH417" i="6" s="1"/>
  <c r="AA417" i="6" s="1"/>
  <c r="DX414" i="6"/>
  <c r="AA6337" i="5" s="1"/>
  <c r="F416" i="6"/>
  <c r="T416" i="6"/>
  <c r="J416" i="6"/>
  <c r="P416" i="6"/>
  <c r="H416" i="6"/>
  <c r="X416" i="6"/>
  <c r="L416" i="6"/>
  <c r="R416" i="6"/>
  <c r="V416" i="6"/>
  <c r="N416" i="6"/>
  <c r="D416" i="6"/>
  <c r="AB416" i="6"/>
  <c r="DT416" i="6" s="1"/>
  <c r="AI416" i="6"/>
  <c r="Z416" i="6"/>
  <c r="AM416" i="6"/>
  <c r="AK416" i="6"/>
  <c r="DO415" i="6" l="1"/>
  <c r="DY415" i="6"/>
  <c r="AA4853" i="5"/>
  <c r="Z4853" i="5"/>
  <c r="Y4853" i="5"/>
  <c r="DO416" i="6"/>
  <c r="DY416" i="6"/>
  <c r="AA4358" i="5"/>
  <c r="Y4358" i="5"/>
  <c r="Z4358" i="5"/>
  <c r="AA1388" i="5"/>
  <c r="Y1388" i="5"/>
  <c r="Z1388" i="5"/>
  <c r="CL410" i="6"/>
  <c r="CF410" i="6"/>
  <c r="CQ410" i="6"/>
  <c r="CK410" i="6"/>
  <c r="BR408" i="6"/>
  <c r="BX408" i="6"/>
  <c r="BW408" i="6"/>
  <c r="CC408" i="6"/>
  <c r="AT403" i="6"/>
  <c r="AO403" i="6"/>
  <c r="AN403" i="6"/>
  <c r="AV404" i="6"/>
  <c r="AP404" i="6"/>
  <c r="BA404" i="6"/>
  <c r="AU404" i="6"/>
  <c r="BD407" i="6"/>
  <c r="BO407" i="6"/>
  <c r="BJ407" i="6"/>
  <c r="BI407" i="6"/>
  <c r="CR412" i="6"/>
  <c r="CM412" i="6"/>
  <c r="CS412" i="6"/>
  <c r="CX412" i="6"/>
  <c r="AA3368" i="5"/>
  <c r="Y3368" i="5"/>
  <c r="Z3368" i="5"/>
  <c r="CY413" i="6"/>
  <c r="CT413" i="6"/>
  <c r="DE413" i="6"/>
  <c r="CZ413" i="6"/>
  <c r="AA892" i="5"/>
  <c r="Y892" i="5"/>
  <c r="Z892" i="5"/>
  <c r="Y2377" i="5"/>
  <c r="AA2377" i="5"/>
  <c r="Z2377" i="5"/>
  <c r="AA397" i="5"/>
  <c r="Y397" i="5"/>
  <c r="Z397" i="5"/>
  <c r="DS414" i="6"/>
  <c r="DM414" i="6"/>
  <c r="DH414" i="6"/>
  <c r="DN414" i="6"/>
  <c r="Y2378" i="5"/>
  <c r="AA2378" i="5"/>
  <c r="Z2378" i="5"/>
  <c r="CL411" i="6"/>
  <c r="CF411" i="6"/>
  <c r="CK411" i="6"/>
  <c r="CQ411" i="6"/>
  <c r="AV405" i="6"/>
  <c r="AP405" i="6"/>
  <c r="BA405" i="6"/>
  <c r="AU405" i="6"/>
  <c r="BX409" i="6"/>
  <c r="BR409" i="6"/>
  <c r="CC409" i="6"/>
  <c r="BW409" i="6"/>
  <c r="AA5348" i="5"/>
  <c r="Y5348" i="5"/>
  <c r="Z5348" i="5"/>
  <c r="Z4357" i="5"/>
  <c r="Y4357" i="5"/>
  <c r="AA4357" i="5"/>
  <c r="Y3367" i="5"/>
  <c r="Z3367" i="5"/>
  <c r="AA3367" i="5"/>
  <c r="BD406" i="6"/>
  <c r="BI406" i="6"/>
  <c r="BO406" i="6"/>
  <c r="BJ406" i="6"/>
  <c r="AA1387" i="5"/>
  <c r="Y1387" i="5"/>
  <c r="Z1387" i="5"/>
  <c r="Y6337" i="5"/>
  <c r="Z6337" i="5"/>
  <c r="F417" i="6"/>
  <c r="Z417" i="6"/>
  <c r="V417" i="6"/>
  <c r="L417" i="6"/>
  <c r="J417" i="6"/>
  <c r="AI417" i="6"/>
  <c r="AK417" i="6"/>
  <c r="T417" i="6"/>
  <c r="N417" i="6"/>
  <c r="AB417" i="6"/>
  <c r="DT417" i="6" s="1"/>
  <c r="R417" i="6"/>
  <c r="H417" i="6"/>
  <c r="AM417" i="6"/>
  <c r="X417" i="6"/>
  <c r="P417" i="6"/>
  <c r="D417" i="6"/>
  <c r="DX416" i="6"/>
  <c r="AA6339" i="5" s="1"/>
  <c r="DX415" i="6"/>
  <c r="AA6338" i="5" s="1"/>
  <c r="EF418" i="6"/>
  <c r="EG418" i="6" s="1"/>
  <c r="EH418" i="6" s="1"/>
  <c r="AA418" i="6" s="1"/>
  <c r="AW406" i="6" l="1"/>
  <c r="BB406" i="6"/>
  <c r="BC406" i="6"/>
  <c r="BH406" i="6"/>
  <c r="AT405" i="6"/>
  <c r="AO405" i="6"/>
  <c r="AN405" i="6"/>
  <c r="CM413" i="6"/>
  <c r="CX413" i="6"/>
  <c r="CS413" i="6"/>
  <c r="CR413" i="6"/>
  <c r="AA4359" i="5"/>
  <c r="Y4359" i="5"/>
  <c r="Z4359" i="5"/>
  <c r="AA3863" i="5"/>
  <c r="Y3863" i="5"/>
  <c r="Z3863" i="5"/>
  <c r="DO417" i="6"/>
  <c r="DY417" i="6"/>
  <c r="AA1883" i="5"/>
  <c r="Y1883" i="5"/>
  <c r="Z1883" i="5"/>
  <c r="AA3864" i="5"/>
  <c r="Y3864" i="5"/>
  <c r="Z3864" i="5"/>
  <c r="DA414" i="6"/>
  <c r="DG414" i="6"/>
  <c r="DF414" i="6"/>
  <c r="DL414" i="6"/>
  <c r="Y893" i="5"/>
  <c r="AA893" i="5"/>
  <c r="Z893" i="5"/>
  <c r="CD410" i="6"/>
  <c r="BY410" i="6"/>
  <c r="CE410" i="6"/>
  <c r="CJ410" i="6"/>
  <c r="Y2874" i="5"/>
  <c r="Z2874" i="5"/>
  <c r="AA2874" i="5"/>
  <c r="AA894" i="5"/>
  <c r="Y894" i="5"/>
  <c r="Z894" i="5"/>
  <c r="AA4854" i="5"/>
  <c r="Y4854" i="5"/>
  <c r="Z4854" i="5"/>
  <c r="CL412" i="6"/>
  <c r="CF412" i="6"/>
  <c r="CK412" i="6"/>
  <c r="CQ412" i="6"/>
  <c r="AA1884" i="5"/>
  <c r="Y1884" i="5"/>
  <c r="Z1884" i="5"/>
  <c r="AN404" i="6"/>
  <c r="AO404" i="6"/>
  <c r="AT404" i="6"/>
  <c r="AA398" i="5"/>
  <c r="Y398" i="5"/>
  <c r="Z398" i="5"/>
  <c r="BQ408" i="6"/>
  <c r="BK408" i="6"/>
  <c r="BP408" i="6"/>
  <c r="BV408" i="6"/>
  <c r="DS416" i="6"/>
  <c r="DH416" i="6"/>
  <c r="DN416" i="6"/>
  <c r="DM416" i="6"/>
  <c r="BK409" i="6"/>
  <c r="BQ409" i="6"/>
  <c r="BV409" i="6"/>
  <c r="BP409" i="6"/>
  <c r="CD411" i="6"/>
  <c r="BY411" i="6"/>
  <c r="CE411" i="6"/>
  <c r="CJ411" i="6"/>
  <c r="Y5843" i="5"/>
  <c r="AA5843" i="5"/>
  <c r="Z5843" i="5"/>
  <c r="AW407" i="6"/>
  <c r="BB407" i="6"/>
  <c r="BH407" i="6"/>
  <c r="BC407" i="6"/>
  <c r="AA2873" i="5"/>
  <c r="Z2873" i="5"/>
  <c r="Y2873" i="5"/>
  <c r="DS415" i="6"/>
  <c r="DM415" i="6"/>
  <c r="DN415" i="6"/>
  <c r="DH415" i="6"/>
  <c r="Y6339" i="5"/>
  <c r="Z6339" i="5"/>
  <c r="Y6338" i="5"/>
  <c r="Z6338" i="5"/>
  <c r="R418" i="6"/>
  <c r="P418" i="6"/>
  <c r="X418" i="6"/>
  <c r="N418" i="6"/>
  <c r="D418" i="6"/>
  <c r="V418" i="6"/>
  <c r="L418" i="6"/>
  <c r="Z418" i="6"/>
  <c r="T418" i="6"/>
  <c r="J418" i="6"/>
  <c r="F418" i="6"/>
  <c r="H418" i="6"/>
  <c r="AM418" i="6"/>
  <c r="AI418" i="6"/>
  <c r="AK418" i="6"/>
  <c r="AB418" i="6"/>
  <c r="DT418" i="6" s="1"/>
  <c r="DX417" i="6"/>
  <c r="AA6340" i="5" s="1"/>
  <c r="EF419" i="6"/>
  <c r="EG419" i="6" s="1"/>
  <c r="EH419" i="6" s="1"/>
  <c r="AA419" i="6" s="1"/>
  <c r="AA1390" i="5" l="1"/>
  <c r="Z1390" i="5"/>
  <c r="Y1390" i="5"/>
  <c r="BX411" i="6"/>
  <c r="CC411" i="6"/>
  <c r="BR411" i="6"/>
  <c r="BW411" i="6"/>
  <c r="DG416" i="6"/>
  <c r="DA416" i="6"/>
  <c r="DL416" i="6"/>
  <c r="DF416" i="6"/>
  <c r="BD408" i="6"/>
  <c r="BI408" i="6"/>
  <c r="BO408" i="6"/>
  <c r="BJ408" i="6"/>
  <c r="Y3369" i="5"/>
  <c r="AA3369" i="5"/>
  <c r="Z3369" i="5"/>
  <c r="CL413" i="6"/>
  <c r="CF413" i="6"/>
  <c r="CK413" i="6"/>
  <c r="CQ413" i="6"/>
  <c r="AA1389" i="5"/>
  <c r="Z1389" i="5"/>
  <c r="Y1389" i="5"/>
  <c r="BD409" i="6"/>
  <c r="BI409" i="6"/>
  <c r="BJ409" i="6"/>
  <c r="BO409" i="6"/>
  <c r="Y5845" i="5"/>
  <c r="Z5845" i="5"/>
  <c r="AA5845" i="5"/>
  <c r="AA399" i="5"/>
  <c r="Z399" i="5"/>
  <c r="Y399" i="5"/>
  <c r="CD412" i="6"/>
  <c r="BY412" i="6"/>
  <c r="CE412" i="6"/>
  <c r="CJ412" i="6"/>
  <c r="DO418" i="6"/>
  <c r="DY418" i="6"/>
  <c r="AP407" i="6"/>
  <c r="AV407" i="6"/>
  <c r="AU407" i="6"/>
  <c r="BA407" i="6"/>
  <c r="AA3370" i="5"/>
  <c r="Y3370" i="5"/>
  <c r="Z3370" i="5"/>
  <c r="AA2379" i="5"/>
  <c r="Y2379" i="5"/>
  <c r="Z2379" i="5"/>
  <c r="BX410" i="6"/>
  <c r="BR410" i="6"/>
  <c r="BW410" i="6"/>
  <c r="CC410" i="6"/>
  <c r="CT414" i="6"/>
  <c r="CY414" i="6"/>
  <c r="CZ414" i="6"/>
  <c r="DE414" i="6"/>
  <c r="DH417" i="6"/>
  <c r="DN417" i="6"/>
  <c r="DS417" i="6"/>
  <c r="DM417" i="6"/>
  <c r="DA415" i="6"/>
  <c r="DG415" i="6"/>
  <c r="DL415" i="6"/>
  <c r="DF415" i="6"/>
  <c r="Y5844" i="5"/>
  <c r="Z5844" i="5"/>
  <c r="AA5844" i="5"/>
  <c r="AA2380" i="5"/>
  <c r="Z2380" i="5"/>
  <c r="Y2380" i="5"/>
  <c r="AA3865" i="5"/>
  <c r="Y3865" i="5"/>
  <c r="Z3865" i="5"/>
  <c r="AA5349" i="5"/>
  <c r="Y5349" i="5"/>
  <c r="Z5349" i="5"/>
  <c r="AA4360" i="5"/>
  <c r="Y4360" i="5"/>
  <c r="Z4360" i="5"/>
  <c r="AA400" i="5"/>
  <c r="Y400" i="5"/>
  <c r="Z400" i="5"/>
  <c r="AV406" i="6"/>
  <c r="AP406" i="6"/>
  <c r="BA406" i="6"/>
  <c r="AU406" i="6"/>
  <c r="Y6340" i="5"/>
  <c r="Z6340" i="5"/>
  <c r="DX418" i="6"/>
  <c r="AA6341" i="5" s="1"/>
  <c r="EF420" i="6"/>
  <c r="EG420" i="6" s="1"/>
  <c r="EH420" i="6" s="1"/>
  <c r="AA420" i="6" s="1"/>
  <c r="X419" i="6"/>
  <c r="P419" i="6"/>
  <c r="N419" i="6"/>
  <c r="Z419" i="6"/>
  <c r="V419" i="6"/>
  <c r="L419" i="6"/>
  <c r="T419" i="6"/>
  <c r="J419" i="6"/>
  <c r="D419" i="6"/>
  <c r="R419" i="6"/>
  <c r="H419" i="6"/>
  <c r="F419" i="6"/>
  <c r="AM419" i="6"/>
  <c r="AI419" i="6"/>
  <c r="AK419" i="6"/>
  <c r="AB419" i="6"/>
  <c r="DT419" i="6" s="1"/>
  <c r="CY415" i="6" l="1"/>
  <c r="CT415" i="6"/>
  <c r="CZ415" i="6"/>
  <c r="DE415" i="6"/>
  <c r="CR414" i="6"/>
  <c r="CM414" i="6"/>
  <c r="CS414" i="6"/>
  <c r="CX414" i="6"/>
  <c r="DS418" i="6"/>
  <c r="DH418" i="6"/>
  <c r="DM418" i="6"/>
  <c r="DN418" i="6"/>
  <c r="BY413" i="6"/>
  <c r="CD413" i="6"/>
  <c r="CE413" i="6"/>
  <c r="CJ413" i="6"/>
  <c r="AW408" i="6"/>
  <c r="BC408" i="6"/>
  <c r="BH408" i="6"/>
  <c r="BB408" i="6"/>
  <c r="Y895" i="5"/>
  <c r="AA895" i="5"/>
  <c r="Z895" i="5"/>
  <c r="DL417" i="6"/>
  <c r="DF417" i="6"/>
  <c r="DA417" i="6"/>
  <c r="DG417" i="6"/>
  <c r="AN406" i="6"/>
  <c r="AT406" i="6"/>
  <c r="AO406" i="6"/>
  <c r="AA4855" i="5"/>
  <c r="Y4855" i="5"/>
  <c r="Z4855" i="5"/>
  <c r="AA2875" i="5"/>
  <c r="Y2875" i="5"/>
  <c r="Z2875" i="5"/>
  <c r="Y3371" i="5"/>
  <c r="AA3371" i="5"/>
  <c r="Z3371" i="5"/>
  <c r="Y5350" i="5"/>
  <c r="Z5350" i="5"/>
  <c r="AA5350" i="5"/>
  <c r="AA5846" i="5"/>
  <c r="Y5846" i="5"/>
  <c r="Z5846" i="5"/>
  <c r="AT407" i="6"/>
  <c r="AO407" i="6"/>
  <c r="AN407" i="6"/>
  <c r="AW409" i="6"/>
  <c r="BB409" i="6"/>
  <c r="BH409" i="6"/>
  <c r="BC409" i="6"/>
  <c r="AA3866" i="5"/>
  <c r="Z3866" i="5"/>
  <c r="Y3866" i="5"/>
  <c r="AA1885" i="5"/>
  <c r="Y1885" i="5"/>
  <c r="Z1885" i="5"/>
  <c r="Y5351" i="5"/>
  <c r="Z5351" i="5"/>
  <c r="AA5351" i="5"/>
  <c r="BP411" i="6"/>
  <c r="BQ411" i="6"/>
  <c r="BK411" i="6"/>
  <c r="BV411" i="6"/>
  <c r="DO419" i="6"/>
  <c r="DY419" i="6"/>
  <c r="BP410" i="6"/>
  <c r="BK410" i="6"/>
  <c r="BV410" i="6"/>
  <c r="BQ410" i="6"/>
  <c r="AA896" i="5"/>
  <c r="Y896" i="5"/>
  <c r="Z896" i="5"/>
  <c r="BR412" i="6"/>
  <c r="BW412" i="6"/>
  <c r="CC412" i="6"/>
  <c r="BX412" i="6"/>
  <c r="AA1886" i="5"/>
  <c r="Y1886" i="5"/>
  <c r="Z1886" i="5"/>
  <c r="CT416" i="6"/>
  <c r="CY416" i="6"/>
  <c r="CZ416" i="6"/>
  <c r="DE416" i="6"/>
  <c r="Y2876" i="5"/>
  <c r="AA2876" i="5"/>
  <c r="Z2876" i="5"/>
  <c r="Y6341" i="5"/>
  <c r="Z6341" i="5"/>
  <c r="DX419" i="6"/>
  <c r="AA6342" i="5" s="1"/>
  <c r="EF421" i="6"/>
  <c r="EG421" i="6" s="1"/>
  <c r="EH421" i="6" s="1"/>
  <c r="AA421" i="6" s="1"/>
  <c r="F420" i="6"/>
  <c r="X420" i="6"/>
  <c r="L420" i="6"/>
  <c r="H420" i="6"/>
  <c r="V420" i="6"/>
  <c r="R420" i="6"/>
  <c r="D420" i="6"/>
  <c r="T420" i="6"/>
  <c r="N420" i="6"/>
  <c r="P420" i="6"/>
  <c r="J420" i="6"/>
  <c r="AI420" i="6"/>
  <c r="AK420" i="6"/>
  <c r="Z420" i="6"/>
  <c r="AB420" i="6"/>
  <c r="DT420" i="6" s="1"/>
  <c r="AM420" i="6"/>
  <c r="CM416" i="6" l="1"/>
  <c r="CR416" i="6"/>
  <c r="CX416" i="6"/>
  <c r="CS416" i="6"/>
  <c r="Y2381" i="5"/>
  <c r="AA2381" i="5"/>
  <c r="Z2381" i="5"/>
  <c r="AA4857" i="5"/>
  <c r="Y4857" i="5"/>
  <c r="Z4857" i="5"/>
  <c r="AA2877" i="5"/>
  <c r="Z2877" i="5"/>
  <c r="Y2877" i="5"/>
  <c r="DO420" i="6"/>
  <c r="DY420" i="6"/>
  <c r="BD411" i="6"/>
  <c r="BJ411" i="6"/>
  <c r="BI411" i="6"/>
  <c r="BO411" i="6"/>
  <c r="Y5352" i="5"/>
  <c r="AA5352" i="5"/>
  <c r="Z5352" i="5"/>
  <c r="AA3372" i="5"/>
  <c r="Y3372" i="5"/>
  <c r="Z3372" i="5"/>
  <c r="Y4361" i="5"/>
  <c r="Z4361" i="5"/>
  <c r="AA4361" i="5"/>
  <c r="AA4856" i="5"/>
  <c r="Y4856" i="5"/>
  <c r="Z4856" i="5"/>
  <c r="BK412" i="6"/>
  <c r="BQ412" i="6"/>
  <c r="BP412" i="6"/>
  <c r="BV412" i="6"/>
  <c r="AA1392" i="5"/>
  <c r="Y1392" i="5"/>
  <c r="Z1392" i="5"/>
  <c r="AA1391" i="5"/>
  <c r="Z1391" i="5"/>
  <c r="Y1391" i="5"/>
  <c r="DS419" i="6"/>
  <c r="DM419" i="6"/>
  <c r="DN419" i="6"/>
  <c r="DH419" i="6"/>
  <c r="AA402" i="5"/>
  <c r="Y402" i="5"/>
  <c r="Z402" i="5"/>
  <c r="CT417" i="6"/>
  <c r="DE417" i="6"/>
  <c r="CY417" i="6"/>
  <c r="CZ417" i="6"/>
  <c r="DA418" i="6"/>
  <c r="DL418" i="6"/>
  <c r="DG418" i="6"/>
  <c r="DF418" i="6"/>
  <c r="CL414" i="6"/>
  <c r="CF414" i="6"/>
  <c r="CK414" i="6"/>
  <c r="CQ414" i="6"/>
  <c r="CR415" i="6"/>
  <c r="CM415" i="6"/>
  <c r="CS415" i="6"/>
  <c r="CX415" i="6"/>
  <c r="BJ410" i="6"/>
  <c r="BD410" i="6"/>
  <c r="BI410" i="6"/>
  <c r="BO410" i="6"/>
  <c r="Y2382" i="5"/>
  <c r="AA2382" i="5"/>
  <c r="Z2382" i="5"/>
  <c r="AV409" i="6"/>
  <c r="AP409" i="6"/>
  <c r="AU409" i="6"/>
  <c r="BA409" i="6"/>
  <c r="AA401" i="5"/>
  <c r="Z401" i="5"/>
  <c r="Y401" i="5"/>
  <c r="AV408" i="6"/>
  <c r="AP408" i="6"/>
  <c r="BA408" i="6"/>
  <c r="AU408" i="6"/>
  <c r="BX413" i="6"/>
  <c r="BR413" i="6"/>
  <c r="CC413" i="6"/>
  <c r="BW413" i="6"/>
  <c r="Y5847" i="5"/>
  <c r="AA5847" i="5"/>
  <c r="Z5847" i="5"/>
  <c r="Y6342" i="5"/>
  <c r="Z6342" i="5"/>
  <c r="EF422" i="6"/>
  <c r="DX420" i="6"/>
  <c r="AA6343" i="5" s="1"/>
  <c r="F421" i="6"/>
  <c r="Z421" i="6"/>
  <c r="R421" i="6"/>
  <c r="J421" i="6"/>
  <c r="AI421" i="6"/>
  <c r="AK421" i="6"/>
  <c r="X421" i="6"/>
  <c r="P421" i="6"/>
  <c r="D421" i="6"/>
  <c r="V421" i="6"/>
  <c r="L421" i="6"/>
  <c r="H421" i="6"/>
  <c r="AM421" i="6"/>
  <c r="AB421" i="6"/>
  <c r="DT421" i="6" s="1"/>
  <c r="T421" i="6"/>
  <c r="N421" i="6"/>
  <c r="AN408" i="6" l="1"/>
  <c r="AO408" i="6"/>
  <c r="AT408" i="6"/>
  <c r="AA4362" i="5"/>
  <c r="Y4362" i="5"/>
  <c r="Z4362" i="5"/>
  <c r="BJ412" i="6"/>
  <c r="BD412" i="6"/>
  <c r="BI412" i="6"/>
  <c r="BO412" i="6"/>
  <c r="AW411" i="6"/>
  <c r="BB411" i="6"/>
  <c r="BC411" i="6"/>
  <c r="BH411" i="6"/>
  <c r="Y2878" i="5"/>
  <c r="AA2878" i="5"/>
  <c r="Z2878" i="5"/>
  <c r="Y897" i="5"/>
  <c r="Z897" i="5"/>
  <c r="AA897" i="5"/>
  <c r="BK413" i="6"/>
  <c r="BP413" i="6"/>
  <c r="BV413" i="6"/>
  <c r="BQ413" i="6"/>
  <c r="AA1887" i="5"/>
  <c r="Y1887" i="5"/>
  <c r="Z1887" i="5"/>
  <c r="AA3867" i="5"/>
  <c r="Y3867" i="5"/>
  <c r="Z3867" i="5"/>
  <c r="DO421" i="6"/>
  <c r="DY421" i="6"/>
  <c r="AA898" i="5"/>
  <c r="Y898" i="5"/>
  <c r="Z898" i="5"/>
  <c r="AA2383" i="5"/>
  <c r="Y2383" i="5"/>
  <c r="Z2383" i="5"/>
  <c r="AA1888" i="5"/>
  <c r="Y1888" i="5"/>
  <c r="Z1888" i="5"/>
  <c r="AA4363" i="5"/>
  <c r="Y4363" i="5"/>
  <c r="Z4363" i="5"/>
  <c r="AW410" i="6"/>
  <c r="BH410" i="6"/>
  <c r="BC410" i="6"/>
  <c r="BB410" i="6"/>
  <c r="CL415" i="6"/>
  <c r="CF415" i="6"/>
  <c r="CK415" i="6"/>
  <c r="CQ415" i="6"/>
  <c r="CD414" i="6"/>
  <c r="BY414" i="6"/>
  <c r="CE414" i="6"/>
  <c r="CJ414" i="6"/>
  <c r="Y5353" i="5"/>
  <c r="AA5353" i="5"/>
  <c r="Z5353" i="5"/>
  <c r="AA4858" i="5"/>
  <c r="Y4858" i="5"/>
  <c r="Z4858" i="5"/>
  <c r="Y5848" i="5"/>
  <c r="AA5848" i="5"/>
  <c r="Z5848" i="5"/>
  <c r="DS420" i="6"/>
  <c r="DH420" i="6"/>
  <c r="DN420" i="6"/>
  <c r="DM420" i="6"/>
  <c r="AT409" i="6"/>
  <c r="AO409" i="6"/>
  <c r="AN409" i="6"/>
  <c r="CT418" i="6"/>
  <c r="CY418" i="6"/>
  <c r="DE418" i="6"/>
  <c r="CZ418" i="6"/>
  <c r="CR417" i="6"/>
  <c r="CM417" i="6"/>
  <c r="CX417" i="6"/>
  <c r="CS417" i="6"/>
  <c r="DL419" i="6"/>
  <c r="DA419" i="6"/>
  <c r="DF419" i="6"/>
  <c r="DG419" i="6"/>
  <c r="CF416" i="6"/>
  <c r="CK416" i="6"/>
  <c r="CQ416" i="6"/>
  <c r="CL416" i="6"/>
  <c r="Y6343" i="5"/>
  <c r="Z6343" i="5"/>
  <c r="DX421" i="6"/>
  <c r="AA6344" i="5" s="1"/>
  <c r="EF423" i="6"/>
  <c r="EG422" i="6"/>
  <c r="EH422" i="6" s="1"/>
  <c r="AA422" i="6" s="1"/>
  <c r="DL420" i="6" l="1"/>
  <c r="DA420" i="6"/>
  <c r="DF420" i="6"/>
  <c r="DG420" i="6"/>
  <c r="CM418" i="6"/>
  <c r="CR418" i="6"/>
  <c r="CX418" i="6"/>
  <c r="CS418" i="6"/>
  <c r="Y3373" i="5"/>
  <c r="AA3373" i="5"/>
  <c r="Z3373" i="5"/>
  <c r="AA3868" i="5"/>
  <c r="Y3868" i="5"/>
  <c r="Z3868" i="5"/>
  <c r="AW412" i="6"/>
  <c r="BB412" i="6"/>
  <c r="BC412" i="6"/>
  <c r="BH412" i="6"/>
  <c r="AA4859" i="5"/>
  <c r="Y4859" i="5"/>
  <c r="Z4859" i="5"/>
  <c r="DH421" i="6"/>
  <c r="DM421" i="6"/>
  <c r="DS421" i="6"/>
  <c r="DN421" i="6"/>
  <c r="AA2384" i="5"/>
  <c r="Y2384" i="5"/>
  <c r="Z2384" i="5"/>
  <c r="AP411" i="6"/>
  <c r="AU411" i="6"/>
  <c r="BA411" i="6"/>
  <c r="AV411" i="6"/>
  <c r="AA403" i="5"/>
  <c r="Y403" i="5"/>
  <c r="Z403" i="5"/>
  <c r="AA3869" i="5"/>
  <c r="Z3869" i="5"/>
  <c r="Y3869" i="5"/>
  <c r="AA4364" i="5"/>
  <c r="Y4364" i="5"/>
  <c r="Z4364" i="5"/>
  <c r="CT419" i="6"/>
  <c r="DE419" i="6"/>
  <c r="CZ419" i="6"/>
  <c r="CY419" i="6"/>
  <c r="CQ417" i="6"/>
  <c r="CF417" i="6"/>
  <c r="CL417" i="6"/>
  <c r="CK417" i="6"/>
  <c r="AA404" i="5"/>
  <c r="Z404" i="5"/>
  <c r="Y404" i="5"/>
  <c r="Y5849" i="5"/>
  <c r="Z5849" i="5"/>
  <c r="AA5849" i="5"/>
  <c r="BX414" i="6"/>
  <c r="BR414" i="6"/>
  <c r="BW414" i="6"/>
  <c r="CC414" i="6"/>
  <c r="CD415" i="6"/>
  <c r="BY415" i="6"/>
  <c r="CE415" i="6"/>
  <c r="CJ415" i="6"/>
  <c r="AA1393" i="5"/>
  <c r="Z1393" i="5"/>
  <c r="Y1393" i="5"/>
  <c r="AA1394" i="5"/>
  <c r="Y1394" i="5"/>
  <c r="Z1394" i="5"/>
  <c r="AA1889" i="5"/>
  <c r="Y1889" i="5"/>
  <c r="Z1889" i="5"/>
  <c r="BY416" i="6"/>
  <c r="CJ416" i="6"/>
  <c r="CE416" i="6"/>
  <c r="CD416" i="6"/>
  <c r="Y5354" i="5"/>
  <c r="Z5354" i="5"/>
  <c r="AA5354" i="5"/>
  <c r="AV410" i="6"/>
  <c r="AP410" i="6"/>
  <c r="BA410" i="6"/>
  <c r="AU410" i="6"/>
  <c r="BD413" i="6"/>
  <c r="BI413" i="6"/>
  <c r="BO413" i="6"/>
  <c r="BJ413" i="6"/>
  <c r="Y6344" i="5"/>
  <c r="Z6344" i="5"/>
  <c r="EF424" i="6"/>
  <c r="EG424" i="6" s="1"/>
  <c r="EH424" i="6" s="1"/>
  <c r="AA424" i="6" s="1"/>
  <c r="X422" i="6"/>
  <c r="N422" i="6"/>
  <c r="D422" i="6"/>
  <c r="Z422" i="6"/>
  <c r="V422" i="6"/>
  <c r="L422" i="6"/>
  <c r="H422" i="6"/>
  <c r="T422" i="6"/>
  <c r="P422" i="6"/>
  <c r="R422" i="6"/>
  <c r="J422" i="6"/>
  <c r="AB422" i="6"/>
  <c r="DT422" i="6" s="1"/>
  <c r="AM422" i="6"/>
  <c r="F422" i="6"/>
  <c r="AI422" i="6"/>
  <c r="AK422" i="6"/>
  <c r="EG423" i="6"/>
  <c r="EH423" i="6" s="1"/>
  <c r="AA423" i="6" s="1"/>
  <c r="BR416" i="6" l="1"/>
  <c r="BW416" i="6"/>
  <c r="CC416" i="6"/>
  <c r="BX416" i="6"/>
  <c r="AW413" i="6"/>
  <c r="BB413" i="6"/>
  <c r="BH413" i="6"/>
  <c r="BC413" i="6"/>
  <c r="AA5850" i="5"/>
  <c r="Y5850" i="5"/>
  <c r="Z5850" i="5"/>
  <c r="AN410" i="6"/>
  <c r="AT410" i="6"/>
  <c r="AO410" i="6"/>
  <c r="AA3374" i="5"/>
  <c r="Z3374" i="5"/>
  <c r="Y3374" i="5"/>
  <c r="AA2879" i="5"/>
  <c r="Z2879" i="5"/>
  <c r="Y2879" i="5"/>
  <c r="CD417" i="6"/>
  <c r="BY417" i="6"/>
  <c r="CE417" i="6"/>
  <c r="CJ417" i="6"/>
  <c r="AA4860" i="5"/>
  <c r="Y4860" i="5"/>
  <c r="Z4860" i="5"/>
  <c r="AA900" i="5"/>
  <c r="Z900" i="5"/>
  <c r="Y900" i="5"/>
  <c r="AV412" i="6"/>
  <c r="AP412" i="6"/>
  <c r="BA412" i="6"/>
  <c r="AU412" i="6"/>
  <c r="AA4365" i="5"/>
  <c r="Z4365" i="5"/>
  <c r="Y4365" i="5"/>
  <c r="DO422" i="6"/>
  <c r="DY422" i="6"/>
  <c r="AA1890" i="5"/>
  <c r="Y1890" i="5"/>
  <c r="Z1890" i="5"/>
  <c r="Y899" i="5"/>
  <c r="AA899" i="5"/>
  <c r="Z899" i="5"/>
  <c r="AA3375" i="5"/>
  <c r="Y3375" i="5"/>
  <c r="Z3375" i="5"/>
  <c r="AA3870" i="5"/>
  <c r="Y3870" i="5"/>
  <c r="Z3870" i="5"/>
  <c r="CM419" i="6"/>
  <c r="CR419" i="6"/>
  <c r="CS419" i="6"/>
  <c r="CX419" i="6"/>
  <c r="DF421" i="6"/>
  <c r="DA421" i="6"/>
  <c r="DL421" i="6"/>
  <c r="DG421" i="6"/>
  <c r="AA1395" i="5"/>
  <c r="Y1395" i="5"/>
  <c r="Z1395" i="5"/>
  <c r="CT420" i="6"/>
  <c r="DE420" i="6"/>
  <c r="CZ420" i="6"/>
  <c r="CY420" i="6"/>
  <c r="BX415" i="6"/>
  <c r="BR415" i="6"/>
  <c r="CC415" i="6"/>
  <c r="BW415" i="6"/>
  <c r="BP414" i="6"/>
  <c r="BK414" i="6"/>
  <c r="BV414" i="6"/>
  <c r="BQ414" i="6"/>
  <c r="AO411" i="6"/>
  <c r="AN411" i="6"/>
  <c r="AT411" i="6"/>
  <c r="CF418" i="6"/>
  <c r="CL418" i="6"/>
  <c r="CK418" i="6"/>
  <c r="CQ418" i="6"/>
  <c r="Y5355" i="5"/>
  <c r="Z5355" i="5"/>
  <c r="AA5355" i="5"/>
  <c r="F424" i="6"/>
  <c r="T424" i="6"/>
  <c r="N424" i="6"/>
  <c r="R424" i="6"/>
  <c r="J424" i="6"/>
  <c r="X424" i="6"/>
  <c r="P424" i="6"/>
  <c r="H424" i="6"/>
  <c r="V424" i="6"/>
  <c r="L424" i="6"/>
  <c r="D424" i="6"/>
  <c r="AB424" i="6"/>
  <c r="DT424" i="6" s="1"/>
  <c r="AK424" i="6"/>
  <c r="Z424" i="6"/>
  <c r="AI424" i="6"/>
  <c r="AM424" i="6"/>
  <c r="DX422" i="6"/>
  <c r="AA6345" i="5" s="1"/>
  <c r="EF425" i="6"/>
  <c r="EG425" i="6" s="1"/>
  <c r="EH425" i="6" s="1"/>
  <c r="AA425" i="6" s="1"/>
  <c r="Z423" i="6"/>
  <c r="T423" i="6"/>
  <c r="J423" i="6"/>
  <c r="AB423" i="6"/>
  <c r="DT423" i="6" s="1"/>
  <c r="R423" i="6"/>
  <c r="N423" i="6"/>
  <c r="X423" i="6"/>
  <c r="P423" i="6"/>
  <c r="H423" i="6"/>
  <c r="F423" i="6"/>
  <c r="V423" i="6"/>
  <c r="L423" i="6"/>
  <c r="AM423" i="6"/>
  <c r="AI423" i="6"/>
  <c r="AK423" i="6"/>
  <c r="D423" i="6"/>
  <c r="BJ414" i="6" l="1"/>
  <c r="BD414" i="6"/>
  <c r="BI414" i="6"/>
  <c r="BO414" i="6"/>
  <c r="BP415" i="6"/>
  <c r="BQ415" i="6"/>
  <c r="BV415" i="6"/>
  <c r="BK415" i="6"/>
  <c r="AA4861" i="5"/>
  <c r="Y4861" i="5"/>
  <c r="Z4861" i="5"/>
  <c r="CF419" i="6"/>
  <c r="CQ419" i="6"/>
  <c r="CL419" i="6"/>
  <c r="CK419" i="6"/>
  <c r="AN412" i="6"/>
  <c r="AO412" i="6"/>
  <c r="AT412" i="6"/>
  <c r="AA3376" i="5"/>
  <c r="Y3376" i="5"/>
  <c r="Z3376" i="5"/>
  <c r="DO424" i="6"/>
  <c r="DY424" i="6"/>
  <c r="DO423" i="6"/>
  <c r="DY423" i="6"/>
  <c r="CM420" i="6"/>
  <c r="CS420" i="6"/>
  <c r="CX420" i="6"/>
  <c r="CR420" i="6"/>
  <c r="AA4366" i="5"/>
  <c r="Y4366" i="5"/>
  <c r="Z4366" i="5"/>
  <c r="AA1396" i="5"/>
  <c r="Z1396" i="5"/>
  <c r="Y1396" i="5"/>
  <c r="AA2881" i="5"/>
  <c r="Z2881" i="5"/>
  <c r="Y2881" i="5"/>
  <c r="BY418" i="6"/>
  <c r="CJ418" i="6"/>
  <c r="CE418" i="6"/>
  <c r="CD418" i="6"/>
  <c r="Y5356" i="5"/>
  <c r="Z5356" i="5"/>
  <c r="AA5356" i="5"/>
  <c r="DS422" i="6"/>
  <c r="DN422" i="6"/>
  <c r="DH422" i="6"/>
  <c r="DM422" i="6"/>
  <c r="CC417" i="6"/>
  <c r="BR417" i="6"/>
  <c r="BX417" i="6"/>
  <c r="BW417" i="6"/>
  <c r="AA3871" i="5"/>
  <c r="Y3871" i="5"/>
  <c r="Z3871" i="5"/>
  <c r="AA406" i="5"/>
  <c r="Y406" i="5"/>
  <c r="Z406" i="5"/>
  <c r="AA2385" i="5"/>
  <c r="Z2385" i="5"/>
  <c r="Y2385" i="5"/>
  <c r="Y2880" i="5"/>
  <c r="Z2880" i="5"/>
  <c r="AA2880" i="5"/>
  <c r="CT421" i="6"/>
  <c r="CY421" i="6"/>
  <c r="CZ421" i="6"/>
  <c r="DE421" i="6"/>
  <c r="Y901" i="5"/>
  <c r="Z901" i="5"/>
  <c r="AA901" i="5"/>
  <c r="AA405" i="5"/>
  <c r="Y405" i="5"/>
  <c r="Z405" i="5"/>
  <c r="AV413" i="6"/>
  <c r="AP413" i="6"/>
  <c r="BA413" i="6"/>
  <c r="AU413" i="6"/>
  <c r="BK416" i="6"/>
  <c r="BV416" i="6"/>
  <c r="BQ416" i="6"/>
  <c r="BP416" i="6"/>
  <c r="Y6345" i="5"/>
  <c r="Z6345" i="5"/>
  <c r="DX424" i="6"/>
  <c r="AA6347" i="5" s="1"/>
  <c r="DX423" i="6"/>
  <c r="AA6346" i="5" s="1"/>
  <c r="EF426" i="6"/>
  <c r="F425" i="6"/>
  <c r="Z425" i="6"/>
  <c r="V425" i="6"/>
  <c r="T425" i="6"/>
  <c r="D425" i="6"/>
  <c r="AI425" i="6"/>
  <c r="AK425" i="6"/>
  <c r="AB425" i="6"/>
  <c r="DT425" i="6" s="1"/>
  <c r="R425" i="6"/>
  <c r="N425" i="6"/>
  <c r="P425" i="6"/>
  <c r="J425" i="6"/>
  <c r="AM425" i="6"/>
  <c r="X425" i="6"/>
  <c r="L425" i="6"/>
  <c r="H425" i="6"/>
  <c r="DO425" i="6" l="1"/>
  <c r="DY425" i="6"/>
  <c r="BJ416" i="6"/>
  <c r="BD416" i="6"/>
  <c r="BO416" i="6"/>
  <c r="BI416" i="6"/>
  <c r="DA422" i="6"/>
  <c r="DL422" i="6"/>
  <c r="DG422" i="6"/>
  <c r="DF422" i="6"/>
  <c r="AA3377" i="5"/>
  <c r="Y3377" i="5"/>
  <c r="Z3377" i="5"/>
  <c r="AA4367" i="5"/>
  <c r="Y4367" i="5"/>
  <c r="Z4367" i="5"/>
  <c r="DS423" i="6"/>
  <c r="DM423" i="6"/>
  <c r="DN423" i="6"/>
  <c r="DH423" i="6"/>
  <c r="BY419" i="6"/>
  <c r="CD419" i="6"/>
  <c r="CJ419" i="6"/>
  <c r="CE419" i="6"/>
  <c r="BD415" i="6"/>
  <c r="BI415" i="6"/>
  <c r="BO415" i="6"/>
  <c r="BJ415" i="6"/>
  <c r="AA1891" i="5"/>
  <c r="Z1891" i="5"/>
  <c r="Y1891" i="5"/>
  <c r="BK417" i="6"/>
  <c r="BP417" i="6"/>
  <c r="BV417" i="6"/>
  <c r="BQ417" i="6"/>
  <c r="CC418" i="6"/>
  <c r="BR418" i="6"/>
  <c r="BW418" i="6"/>
  <c r="BX418" i="6"/>
  <c r="Y2386" i="5"/>
  <c r="AA2386" i="5"/>
  <c r="Z2386" i="5"/>
  <c r="AA902" i="5"/>
  <c r="Y902" i="5"/>
  <c r="Z902" i="5"/>
  <c r="CM421" i="6"/>
  <c r="CS421" i="6"/>
  <c r="CX421" i="6"/>
  <c r="CR421" i="6"/>
  <c r="Y2882" i="5"/>
  <c r="AA2882" i="5"/>
  <c r="Z2882" i="5"/>
  <c r="Y5851" i="5"/>
  <c r="AA5851" i="5"/>
  <c r="Z5851" i="5"/>
  <c r="CF420" i="6"/>
  <c r="CK420" i="6"/>
  <c r="CQ420" i="6"/>
  <c r="CL420" i="6"/>
  <c r="DH424" i="6"/>
  <c r="DN424" i="6"/>
  <c r="DS424" i="6"/>
  <c r="DM424" i="6"/>
  <c r="AA407" i="5"/>
  <c r="Z407" i="5"/>
  <c r="Y407" i="5"/>
  <c r="AW414" i="6"/>
  <c r="BB414" i="6"/>
  <c r="BC414" i="6"/>
  <c r="BH414" i="6"/>
  <c r="AA2387" i="5"/>
  <c r="Z2387" i="5"/>
  <c r="Y2387" i="5"/>
  <c r="AT413" i="6"/>
  <c r="AO413" i="6"/>
  <c r="AN413" i="6"/>
  <c r="AA4862" i="5"/>
  <c r="Y4862" i="5"/>
  <c r="Z4862" i="5"/>
  <c r="AA3872" i="5"/>
  <c r="Y3872" i="5"/>
  <c r="Z3872" i="5"/>
  <c r="Y6347" i="5"/>
  <c r="Z6347" i="5"/>
  <c r="Y6346" i="5"/>
  <c r="Z6346" i="5"/>
  <c r="DX425" i="6"/>
  <c r="AA6348" i="5" s="1"/>
  <c r="EF427" i="6"/>
  <c r="EG426" i="6"/>
  <c r="EH426" i="6" s="1"/>
  <c r="AA426" i="6" s="1"/>
  <c r="BY420" i="6" l="1"/>
  <c r="CJ420" i="6"/>
  <c r="CE420" i="6"/>
  <c r="CD420" i="6"/>
  <c r="AA4368" i="5"/>
  <c r="Y4368" i="5"/>
  <c r="Z4368" i="5"/>
  <c r="Y2883" i="5"/>
  <c r="Z2883" i="5"/>
  <c r="AA2883" i="5"/>
  <c r="BO417" i="6"/>
  <c r="BD417" i="6"/>
  <c r="BI417" i="6"/>
  <c r="BJ417" i="6"/>
  <c r="DA423" i="6"/>
  <c r="DL423" i="6"/>
  <c r="DF423" i="6"/>
  <c r="DG423" i="6"/>
  <c r="Y5357" i="5"/>
  <c r="AA5357" i="5"/>
  <c r="Z5357" i="5"/>
  <c r="BH416" i="6"/>
  <c r="AW416" i="6"/>
  <c r="BC416" i="6"/>
  <c r="BB416" i="6"/>
  <c r="DL424" i="6"/>
  <c r="DA424" i="6"/>
  <c r="DG424" i="6"/>
  <c r="DF424" i="6"/>
  <c r="AV414" i="6"/>
  <c r="AP414" i="6"/>
  <c r="BA414" i="6"/>
  <c r="AU414" i="6"/>
  <c r="AA1892" i="5"/>
  <c r="Y1892" i="5"/>
  <c r="Z1892" i="5"/>
  <c r="AA3378" i="5"/>
  <c r="Z3378" i="5"/>
  <c r="Y3378" i="5"/>
  <c r="CT422" i="6"/>
  <c r="CZ422" i="6"/>
  <c r="CY422" i="6"/>
  <c r="DE422" i="6"/>
  <c r="AA408" i="5"/>
  <c r="Y408" i="5"/>
  <c r="Z408" i="5"/>
  <c r="AA1397" i="5"/>
  <c r="Z1397" i="5"/>
  <c r="Y1397" i="5"/>
  <c r="AA5853" i="5"/>
  <c r="Y5853" i="5"/>
  <c r="Z5853" i="5"/>
  <c r="AA3873" i="5"/>
  <c r="Y3873" i="5"/>
  <c r="Z3873" i="5"/>
  <c r="CF421" i="6"/>
  <c r="CQ421" i="6"/>
  <c r="CL421" i="6"/>
  <c r="CK421" i="6"/>
  <c r="AA2388" i="5"/>
  <c r="Y2388" i="5"/>
  <c r="Z2388" i="5"/>
  <c r="BK418" i="6"/>
  <c r="BP418" i="6"/>
  <c r="BV418" i="6"/>
  <c r="BQ418" i="6"/>
  <c r="AW415" i="6"/>
  <c r="BB415" i="6"/>
  <c r="BH415" i="6"/>
  <c r="BC415" i="6"/>
  <c r="BR419" i="6"/>
  <c r="BX419" i="6"/>
  <c r="CC419" i="6"/>
  <c r="BW419" i="6"/>
  <c r="Y5852" i="5"/>
  <c r="AA5852" i="5"/>
  <c r="Z5852" i="5"/>
  <c r="AA1893" i="5"/>
  <c r="Z1893" i="5"/>
  <c r="Y1893" i="5"/>
  <c r="DH425" i="6"/>
  <c r="DS425" i="6"/>
  <c r="DM425" i="6"/>
  <c r="DN425" i="6"/>
  <c r="Y6348" i="5"/>
  <c r="Z6348" i="5"/>
  <c r="EF428" i="6"/>
  <c r="EG427" i="6"/>
  <c r="EH427" i="6" s="1"/>
  <c r="AA427" i="6" s="1"/>
  <c r="L426" i="6"/>
  <c r="Z426" i="6"/>
  <c r="R426" i="6"/>
  <c r="D426" i="6"/>
  <c r="X426" i="6"/>
  <c r="N426" i="6"/>
  <c r="V426" i="6"/>
  <c r="P426" i="6"/>
  <c r="H426" i="6"/>
  <c r="T426" i="6"/>
  <c r="J426" i="6"/>
  <c r="AM426" i="6"/>
  <c r="AB426" i="6"/>
  <c r="DT426" i="6" s="1"/>
  <c r="F426" i="6"/>
  <c r="AI426" i="6"/>
  <c r="AK426" i="6"/>
  <c r="BY421" i="6" l="1"/>
  <c r="CD421" i="6"/>
  <c r="CJ421" i="6"/>
  <c r="CE421" i="6"/>
  <c r="CM422" i="6"/>
  <c r="CR422" i="6"/>
  <c r="CX422" i="6"/>
  <c r="CS422" i="6"/>
  <c r="Y903" i="5"/>
  <c r="AA903" i="5"/>
  <c r="Z903" i="5"/>
  <c r="Y5358" i="5"/>
  <c r="AA5358" i="5"/>
  <c r="Z5358" i="5"/>
  <c r="BH417" i="6"/>
  <c r="AW417" i="6"/>
  <c r="BB417" i="6"/>
  <c r="BC417" i="6"/>
  <c r="BK419" i="6"/>
  <c r="BP419" i="6"/>
  <c r="BQ419" i="6"/>
  <c r="BV419" i="6"/>
  <c r="AP415" i="6"/>
  <c r="BA415" i="6"/>
  <c r="AV415" i="6"/>
  <c r="AU415" i="6"/>
  <c r="AA4863" i="5"/>
  <c r="Y4863" i="5"/>
  <c r="Z4863" i="5"/>
  <c r="CT424" i="6"/>
  <c r="DE424" i="6"/>
  <c r="CZ424" i="6"/>
  <c r="CY424" i="6"/>
  <c r="AV416" i="6"/>
  <c r="AP416" i="6"/>
  <c r="BA416" i="6"/>
  <c r="AU416" i="6"/>
  <c r="CT423" i="6"/>
  <c r="DE423" i="6"/>
  <c r="CZ423" i="6"/>
  <c r="CY423" i="6"/>
  <c r="AA1894" i="5"/>
  <c r="Y1894" i="5"/>
  <c r="Z1894" i="5"/>
  <c r="BO418" i="6"/>
  <c r="BD418" i="6"/>
  <c r="BI418" i="6"/>
  <c r="BJ418" i="6"/>
  <c r="AN414" i="6"/>
  <c r="AT414" i="6"/>
  <c r="AO414" i="6"/>
  <c r="AA5854" i="5"/>
  <c r="Y5854" i="5"/>
  <c r="Z5854" i="5"/>
  <c r="Y5359" i="5"/>
  <c r="AA5359" i="5"/>
  <c r="Z5359" i="5"/>
  <c r="Y1399" i="5"/>
  <c r="AA1399" i="5"/>
  <c r="Z1399" i="5"/>
  <c r="AA3379" i="5"/>
  <c r="Z3379" i="5"/>
  <c r="Y3379" i="5"/>
  <c r="DO426" i="6"/>
  <c r="DY426" i="6"/>
  <c r="DL425" i="6"/>
  <c r="DA425" i="6"/>
  <c r="DF425" i="6"/>
  <c r="DG425" i="6"/>
  <c r="AA2884" i="5"/>
  <c r="Y2884" i="5"/>
  <c r="Z2884" i="5"/>
  <c r="AA1398" i="5"/>
  <c r="Y1398" i="5"/>
  <c r="Z1398" i="5"/>
  <c r="AA2389" i="5"/>
  <c r="Z2389" i="5"/>
  <c r="Y2389" i="5"/>
  <c r="AA3874" i="5"/>
  <c r="Y3874" i="5"/>
  <c r="Z3874" i="5"/>
  <c r="BW420" i="6"/>
  <c r="BR420" i="6"/>
  <c r="BX420" i="6"/>
  <c r="CC420" i="6"/>
  <c r="EF429" i="6"/>
  <c r="DX426" i="6"/>
  <c r="AA6349" i="5" s="1"/>
  <c r="D427" i="6"/>
  <c r="V427" i="6"/>
  <c r="L427" i="6"/>
  <c r="T427" i="6"/>
  <c r="N427" i="6"/>
  <c r="F427" i="6"/>
  <c r="R427" i="6"/>
  <c r="J427" i="6"/>
  <c r="Z427" i="6"/>
  <c r="X427" i="6"/>
  <c r="P427" i="6"/>
  <c r="H427" i="6"/>
  <c r="AM427" i="6"/>
  <c r="AI427" i="6"/>
  <c r="AK427" i="6"/>
  <c r="AB427" i="6"/>
  <c r="DT427" i="6" s="1"/>
  <c r="EG428" i="6"/>
  <c r="EH428" i="6" s="1"/>
  <c r="AA428" i="6" s="1"/>
  <c r="BK420" i="6" l="1"/>
  <c r="BV420" i="6"/>
  <c r="BQ420" i="6"/>
  <c r="BP420" i="6"/>
  <c r="DS426" i="6"/>
  <c r="DN426" i="6"/>
  <c r="DH426" i="6"/>
  <c r="DM426" i="6"/>
  <c r="Y905" i="5"/>
  <c r="AA905" i="5"/>
  <c r="Z905" i="5"/>
  <c r="AA904" i="5"/>
  <c r="Y904" i="5"/>
  <c r="Z904" i="5"/>
  <c r="AU417" i="6"/>
  <c r="AP417" i="6"/>
  <c r="BA417" i="6"/>
  <c r="AV417" i="6"/>
  <c r="CT425" i="6"/>
  <c r="CZ425" i="6"/>
  <c r="CY425" i="6"/>
  <c r="DE425" i="6"/>
  <c r="AA4864" i="5"/>
  <c r="Y4864" i="5"/>
  <c r="Z4864" i="5"/>
  <c r="AN416" i="6"/>
  <c r="AO416" i="6"/>
  <c r="AT416" i="6"/>
  <c r="AA4865" i="5"/>
  <c r="Y4865" i="5"/>
  <c r="Z4865" i="5"/>
  <c r="AO415" i="6"/>
  <c r="AN415" i="6"/>
  <c r="AT415" i="6"/>
  <c r="BO419" i="6"/>
  <c r="BD419" i="6"/>
  <c r="BJ419" i="6"/>
  <c r="BI419" i="6"/>
  <c r="Y1400" i="5"/>
  <c r="AA1400" i="5"/>
  <c r="Z1400" i="5"/>
  <c r="AA4369" i="5"/>
  <c r="Y4369" i="5"/>
  <c r="Z4369" i="5"/>
  <c r="AA3380" i="5"/>
  <c r="Y3380" i="5"/>
  <c r="Z3380" i="5"/>
  <c r="DO427" i="6"/>
  <c r="DY427" i="6"/>
  <c r="Y5360" i="5"/>
  <c r="AA5360" i="5"/>
  <c r="Z5360" i="5"/>
  <c r="AA409" i="5"/>
  <c r="Z409" i="5"/>
  <c r="Y409" i="5"/>
  <c r="BH418" i="6"/>
  <c r="AW418" i="6"/>
  <c r="BC418" i="6"/>
  <c r="BB418" i="6"/>
  <c r="CR423" i="6"/>
  <c r="CM423" i="6"/>
  <c r="CX423" i="6"/>
  <c r="CS423" i="6"/>
  <c r="CM424" i="6"/>
  <c r="CX424" i="6"/>
  <c r="CS424" i="6"/>
  <c r="CR424" i="6"/>
  <c r="AA2390" i="5"/>
  <c r="Y2390" i="5"/>
  <c r="Z2390" i="5"/>
  <c r="AA2885" i="5"/>
  <c r="Y2885" i="5"/>
  <c r="Z2885" i="5"/>
  <c r="Y1895" i="5"/>
  <c r="AA1895" i="5"/>
  <c r="Z1895" i="5"/>
  <c r="CF422" i="6"/>
  <c r="CK422" i="6"/>
  <c r="CQ422" i="6"/>
  <c r="CL422" i="6"/>
  <c r="CC421" i="6"/>
  <c r="BW421" i="6"/>
  <c r="BR421" i="6"/>
  <c r="BX421" i="6"/>
  <c r="Y6349" i="5"/>
  <c r="Z6349" i="5"/>
  <c r="F428" i="6"/>
  <c r="X428" i="6"/>
  <c r="P428" i="6"/>
  <c r="H428" i="6"/>
  <c r="V428" i="6"/>
  <c r="L428" i="6"/>
  <c r="D428" i="6"/>
  <c r="T428" i="6"/>
  <c r="N428" i="6"/>
  <c r="R428" i="6"/>
  <c r="J428" i="6"/>
  <c r="Z428" i="6"/>
  <c r="AI428" i="6"/>
  <c r="AM428" i="6"/>
  <c r="AB428" i="6"/>
  <c r="DT428" i="6" s="1"/>
  <c r="AK428" i="6"/>
  <c r="EF430" i="6"/>
  <c r="EG430" i="6" s="1"/>
  <c r="EH430" i="6" s="1"/>
  <c r="AA430" i="6" s="1"/>
  <c r="DX427" i="6"/>
  <c r="AA6350" i="5" s="1"/>
  <c r="EG429" i="6"/>
  <c r="EH429" i="6" s="1"/>
  <c r="AA429" i="6" s="1"/>
  <c r="Y2886" i="5" l="1"/>
  <c r="AA2886" i="5"/>
  <c r="Z2886" i="5"/>
  <c r="CF424" i="6"/>
  <c r="CQ424" i="6"/>
  <c r="CL424" i="6"/>
  <c r="CK424" i="6"/>
  <c r="Y1401" i="5"/>
  <c r="AA1401" i="5"/>
  <c r="Z1401" i="5"/>
  <c r="DS427" i="6"/>
  <c r="DM427" i="6"/>
  <c r="DH427" i="6"/>
  <c r="DN427" i="6"/>
  <c r="AW419" i="6"/>
  <c r="BC419" i="6"/>
  <c r="BH419" i="6"/>
  <c r="BB419" i="6"/>
  <c r="Y411" i="5"/>
  <c r="AA411" i="5"/>
  <c r="Z411" i="5"/>
  <c r="AT417" i="6"/>
  <c r="AN417" i="6"/>
  <c r="AO417" i="6"/>
  <c r="BY422" i="6"/>
  <c r="CJ422" i="6"/>
  <c r="CE422" i="6"/>
  <c r="CD422" i="6"/>
  <c r="BK421" i="6"/>
  <c r="BV421" i="6"/>
  <c r="BQ421" i="6"/>
  <c r="BP421" i="6"/>
  <c r="CR425" i="6"/>
  <c r="CM425" i="6"/>
  <c r="CX425" i="6"/>
  <c r="CS425" i="6"/>
  <c r="DA426" i="6"/>
  <c r="DL426" i="6"/>
  <c r="DG426" i="6"/>
  <c r="DF426" i="6"/>
  <c r="DO428" i="6"/>
  <c r="DY428" i="6"/>
  <c r="AA4371" i="5"/>
  <c r="Y4371" i="5"/>
  <c r="Z4371" i="5"/>
  <c r="AA3875" i="5"/>
  <c r="Y3875" i="5"/>
  <c r="Z3875" i="5"/>
  <c r="Y1896" i="5"/>
  <c r="AA1896" i="5"/>
  <c r="Z1896" i="5"/>
  <c r="AA4370" i="5"/>
  <c r="Y4370" i="5"/>
  <c r="Z4370" i="5"/>
  <c r="AA410" i="5"/>
  <c r="Z410" i="5"/>
  <c r="Y410" i="5"/>
  <c r="AA4866" i="5"/>
  <c r="Y4866" i="5"/>
  <c r="Z4866" i="5"/>
  <c r="AA2391" i="5"/>
  <c r="Y2391" i="5"/>
  <c r="Z2391" i="5"/>
  <c r="CF423" i="6"/>
  <c r="CL423" i="6"/>
  <c r="CK423" i="6"/>
  <c r="CQ423" i="6"/>
  <c r="AP418" i="6"/>
  <c r="AV418" i="6"/>
  <c r="BA418" i="6"/>
  <c r="AU418" i="6"/>
  <c r="AA906" i="5"/>
  <c r="Y906" i="5"/>
  <c r="Z906" i="5"/>
  <c r="Y5855" i="5"/>
  <c r="AA5855" i="5"/>
  <c r="Z5855" i="5"/>
  <c r="BO420" i="6"/>
  <c r="BD420" i="6"/>
  <c r="BI420" i="6"/>
  <c r="BJ420" i="6"/>
  <c r="Y6350" i="5"/>
  <c r="Z6350" i="5"/>
  <c r="T430" i="6"/>
  <c r="L430" i="6"/>
  <c r="R430" i="6"/>
  <c r="J430" i="6"/>
  <c r="X430" i="6"/>
  <c r="N430" i="6"/>
  <c r="D430" i="6"/>
  <c r="V430" i="6"/>
  <c r="P430" i="6"/>
  <c r="H430" i="6"/>
  <c r="Z430" i="6"/>
  <c r="AB430" i="6"/>
  <c r="DT430" i="6" s="1"/>
  <c r="F430" i="6"/>
  <c r="AM430" i="6"/>
  <c r="AI430" i="6"/>
  <c r="AK430" i="6"/>
  <c r="DX428" i="6"/>
  <c r="AA6351" i="5" s="1"/>
  <c r="EF431" i="6"/>
  <c r="F429" i="6"/>
  <c r="J429" i="6"/>
  <c r="Z429" i="6"/>
  <c r="R429" i="6"/>
  <c r="D429" i="6"/>
  <c r="AI429" i="6"/>
  <c r="AK429" i="6"/>
  <c r="X429" i="6"/>
  <c r="P429" i="6"/>
  <c r="H429" i="6"/>
  <c r="V429" i="6"/>
  <c r="L429" i="6"/>
  <c r="AM429" i="6"/>
  <c r="T429" i="6"/>
  <c r="N429" i="6"/>
  <c r="AB429" i="6"/>
  <c r="DT429" i="6" s="1"/>
  <c r="CT426" i="6" l="1"/>
  <c r="CY426" i="6"/>
  <c r="CZ426" i="6"/>
  <c r="DE426" i="6"/>
  <c r="AN418" i="6"/>
  <c r="AO418" i="6"/>
  <c r="AT418" i="6"/>
  <c r="CD423" i="6"/>
  <c r="BY423" i="6"/>
  <c r="CE423" i="6"/>
  <c r="CJ423" i="6"/>
  <c r="BY424" i="6"/>
  <c r="CJ424" i="6"/>
  <c r="CE424" i="6"/>
  <c r="CD424" i="6"/>
  <c r="DO430" i="6"/>
  <c r="DY430" i="6"/>
  <c r="AP419" i="6"/>
  <c r="AU419" i="6"/>
  <c r="BA419" i="6"/>
  <c r="AV419" i="6"/>
  <c r="Y5856" i="5"/>
  <c r="Z5856" i="5"/>
  <c r="AA5856" i="5"/>
  <c r="DO429" i="6"/>
  <c r="DY429" i="6"/>
  <c r="BH420" i="6"/>
  <c r="AW420" i="6"/>
  <c r="BB420" i="6"/>
  <c r="BC420" i="6"/>
  <c r="AA3876" i="5"/>
  <c r="Z3876" i="5"/>
  <c r="Y3876" i="5"/>
  <c r="AA4372" i="5"/>
  <c r="Y4372" i="5"/>
  <c r="Z4372" i="5"/>
  <c r="Y1897" i="5"/>
  <c r="AA1897" i="5"/>
  <c r="Z1897" i="5"/>
  <c r="AA907" i="5"/>
  <c r="Y907" i="5"/>
  <c r="Z907" i="5"/>
  <c r="Y5361" i="5"/>
  <c r="Z5361" i="5"/>
  <c r="AA5361" i="5"/>
  <c r="CF425" i="6"/>
  <c r="CL425" i="6"/>
  <c r="CK425" i="6"/>
  <c r="CQ425" i="6"/>
  <c r="AA2392" i="5"/>
  <c r="Y2392" i="5"/>
  <c r="Z2392" i="5"/>
  <c r="AA3381" i="5"/>
  <c r="Z3381" i="5"/>
  <c r="Y3381" i="5"/>
  <c r="AA412" i="5"/>
  <c r="Z412" i="5"/>
  <c r="Y412" i="5"/>
  <c r="DH428" i="6"/>
  <c r="DN428" i="6"/>
  <c r="DS428" i="6"/>
  <c r="DM428" i="6"/>
  <c r="BO421" i="6"/>
  <c r="BD421" i="6"/>
  <c r="BI421" i="6"/>
  <c r="BJ421" i="6"/>
  <c r="BR422" i="6"/>
  <c r="CC422" i="6"/>
  <c r="BX422" i="6"/>
  <c r="BW422" i="6"/>
  <c r="AA1402" i="5"/>
  <c r="Y1402" i="5"/>
  <c r="Z1402" i="5"/>
  <c r="DA427" i="6"/>
  <c r="DL427" i="6"/>
  <c r="DG427" i="6"/>
  <c r="DF427" i="6"/>
  <c r="AA3877" i="5"/>
  <c r="Y3877" i="5"/>
  <c r="Z3877" i="5"/>
  <c r="Y6351" i="5"/>
  <c r="Z6351" i="5"/>
  <c r="DX430" i="6"/>
  <c r="AA6353" i="5" s="1"/>
  <c r="EF432" i="6"/>
  <c r="EG432" i="6" s="1"/>
  <c r="EH432" i="6" s="1"/>
  <c r="AA432" i="6" s="1"/>
  <c r="DX429" i="6"/>
  <c r="AA6352" i="5" s="1"/>
  <c r="EG431" i="6"/>
  <c r="EH431" i="6" s="1"/>
  <c r="AA431" i="6" s="1"/>
  <c r="BH421" i="6" l="1"/>
  <c r="AW421" i="6"/>
  <c r="BB421" i="6"/>
  <c r="BC421" i="6"/>
  <c r="AP420" i="6"/>
  <c r="AU420" i="6"/>
  <c r="BA420" i="6"/>
  <c r="AV420" i="6"/>
  <c r="AA908" i="5"/>
  <c r="Y908" i="5"/>
  <c r="Z908" i="5"/>
  <c r="DS430" i="6"/>
  <c r="DN430" i="6"/>
  <c r="DH430" i="6"/>
  <c r="DM430" i="6"/>
  <c r="BR424" i="6"/>
  <c r="BW424" i="6"/>
  <c r="CC424" i="6"/>
  <c r="BX424" i="6"/>
  <c r="AA4867" i="5"/>
  <c r="Z4867" i="5"/>
  <c r="Y4867" i="5"/>
  <c r="AA2887" i="5"/>
  <c r="Y2887" i="5"/>
  <c r="Z2887" i="5"/>
  <c r="Y5362" i="5"/>
  <c r="AA5362" i="5"/>
  <c r="Z5362" i="5"/>
  <c r="BK422" i="6"/>
  <c r="BV422" i="6"/>
  <c r="BQ422" i="6"/>
  <c r="BP422" i="6"/>
  <c r="AA1898" i="5"/>
  <c r="Y1898" i="5"/>
  <c r="Z1898" i="5"/>
  <c r="DL428" i="6"/>
  <c r="DA428" i="6"/>
  <c r="DG428" i="6"/>
  <c r="DF428" i="6"/>
  <c r="Y1403" i="5"/>
  <c r="Z1403" i="5"/>
  <c r="AA1403" i="5"/>
  <c r="AA3382" i="5"/>
  <c r="Y3382" i="5"/>
  <c r="Z3382" i="5"/>
  <c r="Y413" i="5"/>
  <c r="Z413" i="5"/>
  <c r="AA413" i="5"/>
  <c r="CT427" i="6"/>
  <c r="CZ427" i="6"/>
  <c r="DE427" i="6"/>
  <c r="CY427" i="6"/>
  <c r="CD425" i="6"/>
  <c r="BY425" i="6"/>
  <c r="CJ425" i="6"/>
  <c r="CE425" i="6"/>
  <c r="AN419" i="6"/>
  <c r="AT419" i="6"/>
  <c r="AO419" i="6"/>
  <c r="AA5857" i="5"/>
  <c r="Z5857" i="5"/>
  <c r="Y5857" i="5"/>
  <c r="AA3878" i="5"/>
  <c r="Z3878" i="5"/>
  <c r="Y3878" i="5"/>
  <c r="DH429" i="6"/>
  <c r="DN429" i="6"/>
  <c r="DS429" i="6"/>
  <c r="DM429" i="6"/>
  <c r="AA3383" i="5"/>
  <c r="Y3383" i="5"/>
  <c r="Z3383" i="5"/>
  <c r="BX423" i="6"/>
  <c r="BR423" i="6"/>
  <c r="CC423" i="6"/>
  <c r="BW423" i="6"/>
  <c r="CM426" i="6"/>
  <c r="CS426" i="6"/>
  <c r="CX426" i="6"/>
  <c r="CR426" i="6"/>
  <c r="Y6353" i="5"/>
  <c r="Z6353" i="5"/>
  <c r="Y6352" i="5"/>
  <c r="Z6352" i="5"/>
  <c r="AB431" i="6"/>
  <c r="DT431" i="6" s="1"/>
  <c r="R431" i="6"/>
  <c r="J431" i="6"/>
  <c r="D431" i="6"/>
  <c r="F431" i="6"/>
  <c r="X431" i="6"/>
  <c r="P431" i="6"/>
  <c r="H431" i="6"/>
  <c r="Z431" i="6"/>
  <c r="V431" i="6"/>
  <c r="L431" i="6"/>
  <c r="T431" i="6"/>
  <c r="N431" i="6"/>
  <c r="AM431" i="6"/>
  <c r="AI431" i="6"/>
  <c r="AK431" i="6"/>
  <c r="F432" i="6"/>
  <c r="T432" i="6"/>
  <c r="J432" i="6"/>
  <c r="P432" i="6"/>
  <c r="R432" i="6"/>
  <c r="X432" i="6"/>
  <c r="L432" i="6"/>
  <c r="H432" i="6"/>
  <c r="V432" i="6"/>
  <c r="N432" i="6"/>
  <c r="D432" i="6"/>
  <c r="AK432" i="6"/>
  <c r="AI432" i="6"/>
  <c r="Z432" i="6"/>
  <c r="AM432" i="6"/>
  <c r="AB432" i="6"/>
  <c r="DT432" i="6" s="1"/>
  <c r="EF433" i="6"/>
  <c r="EG433" i="6" s="1"/>
  <c r="EH433" i="6" s="1"/>
  <c r="AA433" i="6" s="1"/>
  <c r="CR427" i="6" l="1"/>
  <c r="CM427" i="6"/>
  <c r="CX427" i="6"/>
  <c r="CS427" i="6"/>
  <c r="DO432" i="6"/>
  <c r="DY432" i="6"/>
  <c r="AA5858" i="5"/>
  <c r="Y5858" i="5"/>
  <c r="Z5858" i="5"/>
  <c r="Y5363" i="5"/>
  <c r="AA5363" i="5"/>
  <c r="Z5363" i="5"/>
  <c r="BK424" i="6"/>
  <c r="BP424" i="6"/>
  <c r="BV424" i="6"/>
  <c r="BQ424" i="6"/>
  <c r="Y5859" i="5"/>
  <c r="AA5859" i="5"/>
  <c r="Z5859" i="5"/>
  <c r="CF426" i="6"/>
  <c r="CQ426" i="6"/>
  <c r="CL426" i="6"/>
  <c r="CK426" i="6"/>
  <c r="AA4373" i="5"/>
  <c r="Y4373" i="5"/>
  <c r="Z4373" i="5"/>
  <c r="AA2888" i="5"/>
  <c r="Z2888" i="5"/>
  <c r="Y2888" i="5"/>
  <c r="AA3384" i="5"/>
  <c r="Y3384" i="5"/>
  <c r="Z3384" i="5"/>
  <c r="AA4868" i="5"/>
  <c r="Y4868" i="5"/>
  <c r="Z4868" i="5"/>
  <c r="AA909" i="5"/>
  <c r="Y909" i="5"/>
  <c r="Z909" i="5"/>
  <c r="BP423" i="6"/>
  <c r="BK423" i="6"/>
  <c r="BV423" i="6"/>
  <c r="BQ423" i="6"/>
  <c r="DL429" i="6"/>
  <c r="DA429" i="6"/>
  <c r="DF429" i="6"/>
  <c r="DG429" i="6"/>
  <c r="AA414" i="5"/>
  <c r="Y414" i="5"/>
  <c r="Z414" i="5"/>
  <c r="CC425" i="6"/>
  <c r="BX425" i="6"/>
  <c r="BR425" i="6"/>
  <c r="BW425" i="6"/>
  <c r="AA2393" i="5"/>
  <c r="Y2393" i="5"/>
  <c r="Z2393" i="5"/>
  <c r="AA2889" i="5"/>
  <c r="Z2889" i="5"/>
  <c r="Y2889" i="5"/>
  <c r="DA430" i="6"/>
  <c r="DL430" i="6"/>
  <c r="DG430" i="6"/>
  <c r="DF430" i="6"/>
  <c r="AP421" i="6"/>
  <c r="AU421" i="6"/>
  <c r="BA421" i="6"/>
  <c r="AV421" i="6"/>
  <c r="DO431" i="6"/>
  <c r="DY431" i="6"/>
  <c r="CT428" i="6"/>
  <c r="CZ428" i="6"/>
  <c r="DE428" i="6"/>
  <c r="CY428" i="6"/>
  <c r="BO422" i="6"/>
  <c r="BD422" i="6"/>
  <c r="BI422" i="6"/>
  <c r="BJ422" i="6"/>
  <c r="AN420" i="6"/>
  <c r="AO420" i="6"/>
  <c r="AT420" i="6"/>
  <c r="Y1404" i="5"/>
  <c r="AA1404" i="5"/>
  <c r="Z1404" i="5"/>
  <c r="F433" i="6"/>
  <c r="Z433" i="6"/>
  <c r="T433" i="6"/>
  <c r="N433" i="6"/>
  <c r="AI433" i="6"/>
  <c r="AK433" i="6"/>
  <c r="R433" i="6"/>
  <c r="H433" i="6"/>
  <c r="X433" i="6"/>
  <c r="P433" i="6"/>
  <c r="D433" i="6"/>
  <c r="AM433" i="6"/>
  <c r="AB433" i="6"/>
  <c r="DT433" i="6" s="1"/>
  <c r="V433" i="6"/>
  <c r="L433" i="6"/>
  <c r="J433" i="6"/>
  <c r="DX432" i="6"/>
  <c r="AA6355" i="5" s="1"/>
  <c r="EF434" i="6"/>
  <c r="EG434" i="6" s="1"/>
  <c r="EH434" i="6" s="1"/>
  <c r="AA434" i="6" s="1"/>
  <c r="DX431" i="6"/>
  <c r="AA6354" i="5" s="1"/>
  <c r="DO433" i="6" l="1"/>
  <c r="DY433" i="6"/>
  <c r="Y415" i="5"/>
  <c r="AA415" i="5"/>
  <c r="Z415" i="5"/>
  <c r="AA4869" i="5"/>
  <c r="Y4869" i="5"/>
  <c r="Z4869" i="5"/>
  <c r="BK425" i="6"/>
  <c r="BP425" i="6"/>
  <c r="BQ425" i="6"/>
  <c r="BV425" i="6"/>
  <c r="CT429" i="6"/>
  <c r="CY429" i="6"/>
  <c r="CZ429" i="6"/>
  <c r="DE429" i="6"/>
  <c r="BO423" i="6"/>
  <c r="BD423" i="6"/>
  <c r="BJ423" i="6"/>
  <c r="BI423" i="6"/>
  <c r="BY426" i="6"/>
  <c r="CJ426" i="6"/>
  <c r="CE426" i="6"/>
  <c r="CD426" i="6"/>
  <c r="CT430" i="6"/>
  <c r="DE430" i="6"/>
  <c r="CZ430" i="6"/>
  <c r="CY430" i="6"/>
  <c r="BH422" i="6"/>
  <c r="AW422" i="6"/>
  <c r="BB422" i="6"/>
  <c r="BC422" i="6"/>
  <c r="Y5364" i="5"/>
  <c r="AA5364" i="5"/>
  <c r="Z5364" i="5"/>
  <c r="AA2395" i="5"/>
  <c r="Z2395" i="5"/>
  <c r="Y2395" i="5"/>
  <c r="AA4374" i="5"/>
  <c r="Y4374" i="5"/>
  <c r="Z4374" i="5"/>
  <c r="DS431" i="6"/>
  <c r="DM431" i="6"/>
  <c r="DN431" i="6"/>
  <c r="DH431" i="6"/>
  <c r="Y1899" i="5"/>
  <c r="Z1899" i="5"/>
  <c r="AA1899" i="5"/>
  <c r="CM428" i="6"/>
  <c r="CX428" i="6"/>
  <c r="CS428" i="6"/>
  <c r="CR428" i="6"/>
  <c r="AA910" i="5"/>
  <c r="Y910" i="5"/>
  <c r="Z910" i="5"/>
  <c r="Y2890" i="5"/>
  <c r="AA2890" i="5"/>
  <c r="Z2890" i="5"/>
  <c r="CF427" i="6"/>
  <c r="CL427" i="6"/>
  <c r="CK427" i="6"/>
  <c r="CQ427" i="6"/>
  <c r="AN421" i="6"/>
  <c r="AO421" i="6"/>
  <c r="AT421" i="6"/>
  <c r="Y5365" i="5"/>
  <c r="Z5365" i="5"/>
  <c r="AA5365" i="5"/>
  <c r="AA2394" i="5"/>
  <c r="Y2394" i="5"/>
  <c r="Z2394" i="5"/>
  <c r="AA3879" i="5"/>
  <c r="Y3879" i="5"/>
  <c r="Z3879" i="5"/>
  <c r="BO424" i="6"/>
  <c r="BD424" i="6"/>
  <c r="BI424" i="6"/>
  <c r="BJ424" i="6"/>
  <c r="DH432" i="6"/>
  <c r="DS432" i="6"/>
  <c r="DN432" i="6"/>
  <c r="DM432" i="6"/>
  <c r="Y6354" i="5"/>
  <c r="Z6354" i="5"/>
  <c r="Y6355" i="5"/>
  <c r="Z6355" i="5"/>
  <c r="EF435" i="6"/>
  <c r="EG435" i="6" s="1"/>
  <c r="EH435" i="6" s="1"/>
  <c r="AA435" i="6" s="1"/>
  <c r="H434" i="6"/>
  <c r="R434" i="6"/>
  <c r="D434" i="6"/>
  <c r="X434" i="6"/>
  <c r="N434" i="6"/>
  <c r="Z434" i="6"/>
  <c r="V434" i="6"/>
  <c r="L434" i="6"/>
  <c r="T434" i="6"/>
  <c r="J434" i="6"/>
  <c r="F434" i="6"/>
  <c r="AB434" i="6"/>
  <c r="DT434" i="6" s="1"/>
  <c r="AM434" i="6"/>
  <c r="P434" i="6"/>
  <c r="AI434" i="6"/>
  <c r="AK434" i="6"/>
  <c r="DX433" i="6"/>
  <c r="AA6356" i="5" s="1"/>
  <c r="DA431" i="6" l="1"/>
  <c r="DL431" i="6"/>
  <c r="DF431" i="6"/>
  <c r="DG431" i="6"/>
  <c r="Y1405" i="5"/>
  <c r="AA1405" i="5"/>
  <c r="Z1405" i="5"/>
  <c r="AA5861" i="5"/>
  <c r="Y5861" i="5"/>
  <c r="Z5861" i="5"/>
  <c r="BH424" i="6"/>
  <c r="AW424" i="6"/>
  <c r="BC424" i="6"/>
  <c r="BB424" i="6"/>
  <c r="AA4870" i="5"/>
  <c r="Y4870" i="5"/>
  <c r="Z4870" i="5"/>
  <c r="AA2396" i="5"/>
  <c r="Y2396" i="5"/>
  <c r="Z2396" i="5"/>
  <c r="AA416" i="5"/>
  <c r="Z416" i="5"/>
  <c r="Y416" i="5"/>
  <c r="DO434" i="6"/>
  <c r="DY434" i="6"/>
  <c r="DG432" i="6"/>
  <c r="DA432" i="6"/>
  <c r="DL432" i="6"/>
  <c r="DF432" i="6"/>
  <c r="Y1901" i="5"/>
  <c r="AA1901" i="5"/>
  <c r="Z1901" i="5"/>
  <c r="BY427" i="6"/>
  <c r="CD427" i="6"/>
  <c r="CE427" i="6"/>
  <c r="CJ427" i="6"/>
  <c r="AA3880" i="5"/>
  <c r="Y3880" i="5"/>
  <c r="Z3880" i="5"/>
  <c r="AA4375" i="5"/>
  <c r="Y4375" i="5"/>
  <c r="Z4375" i="5"/>
  <c r="Y5860" i="5"/>
  <c r="Z5860" i="5"/>
  <c r="AA5860" i="5"/>
  <c r="AP422" i="6"/>
  <c r="BA422" i="6"/>
  <c r="AU422" i="6"/>
  <c r="AV422" i="6"/>
  <c r="AA4871" i="5"/>
  <c r="Z4871" i="5"/>
  <c r="Y4871" i="5"/>
  <c r="AA3385" i="5"/>
  <c r="Y3385" i="5"/>
  <c r="Z3385" i="5"/>
  <c r="AW423" i="6"/>
  <c r="BB423" i="6"/>
  <c r="BH423" i="6"/>
  <c r="BC423" i="6"/>
  <c r="CF428" i="6"/>
  <c r="CL428" i="6"/>
  <c r="CK428" i="6"/>
  <c r="CQ428" i="6"/>
  <c r="CM430" i="6"/>
  <c r="CR430" i="6"/>
  <c r="CX430" i="6"/>
  <c r="CS430" i="6"/>
  <c r="CC426" i="6"/>
  <c r="BR426" i="6"/>
  <c r="BW426" i="6"/>
  <c r="BX426" i="6"/>
  <c r="Y1900" i="5"/>
  <c r="Z1900" i="5"/>
  <c r="AA1900" i="5"/>
  <c r="CM429" i="6"/>
  <c r="CX429" i="6"/>
  <c r="CR429" i="6"/>
  <c r="CS429" i="6"/>
  <c r="BO425" i="6"/>
  <c r="BD425" i="6"/>
  <c r="BJ425" i="6"/>
  <c r="BI425" i="6"/>
  <c r="DH433" i="6"/>
  <c r="DM433" i="6"/>
  <c r="DN433" i="6"/>
  <c r="DS433" i="6"/>
  <c r="Y6356" i="5"/>
  <c r="Z6356" i="5"/>
  <c r="T435" i="6"/>
  <c r="J435" i="6"/>
  <c r="Z435" i="6"/>
  <c r="R435" i="6"/>
  <c r="H435" i="6"/>
  <c r="V435" i="6"/>
  <c r="P435" i="6"/>
  <c r="N435" i="6"/>
  <c r="X435" i="6"/>
  <c r="L435" i="6"/>
  <c r="F435" i="6"/>
  <c r="D435" i="6"/>
  <c r="AM435" i="6"/>
  <c r="AI435" i="6"/>
  <c r="AK435" i="6"/>
  <c r="AB435" i="6"/>
  <c r="DT435" i="6" s="1"/>
  <c r="DX434" i="6"/>
  <c r="AA6357" i="5" s="1"/>
  <c r="EF436" i="6"/>
  <c r="BH425" i="6" l="1"/>
  <c r="AW425" i="6"/>
  <c r="BB425" i="6"/>
  <c r="BC425" i="6"/>
  <c r="AA4376" i="5"/>
  <c r="Y4376" i="5"/>
  <c r="Z4376" i="5"/>
  <c r="BY428" i="6"/>
  <c r="CD428" i="6"/>
  <c r="CJ428" i="6"/>
  <c r="CE428" i="6"/>
  <c r="AU423" i="6"/>
  <c r="AP423" i="6"/>
  <c r="BA423" i="6"/>
  <c r="AV423" i="6"/>
  <c r="AA3386" i="5"/>
  <c r="Z3386" i="5"/>
  <c r="Y3386" i="5"/>
  <c r="Y5367" i="5"/>
  <c r="Z5367" i="5"/>
  <c r="AA5367" i="5"/>
  <c r="DS434" i="6"/>
  <c r="DN434" i="6"/>
  <c r="DH434" i="6"/>
  <c r="DM434" i="6"/>
  <c r="AP424" i="6"/>
  <c r="BA424" i="6"/>
  <c r="AV424" i="6"/>
  <c r="AU424" i="6"/>
  <c r="CF430" i="6"/>
  <c r="CL430" i="6"/>
  <c r="CK430" i="6"/>
  <c r="CQ430" i="6"/>
  <c r="CF429" i="6"/>
  <c r="CL429" i="6"/>
  <c r="CK429" i="6"/>
  <c r="CQ429" i="6"/>
  <c r="AA3881" i="5"/>
  <c r="Y3881" i="5"/>
  <c r="Z3881" i="5"/>
  <c r="AA911" i="5"/>
  <c r="Y911" i="5"/>
  <c r="Z911" i="5"/>
  <c r="CT432" i="6"/>
  <c r="CY432" i="6"/>
  <c r="DE432" i="6"/>
  <c r="CZ432" i="6"/>
  <c r="Y1407" i="5"/>
  <c r="AA1407" i="5"/>
  <c r="Z1407" i="5"/>
  <c r="DO435" i="6"/>
  <c r="DY435" i="6"/>
  <c r="Y2891" i="5"/>
  <c r="AA2891" i="5"/>
  <c r="Z2891" i="5"/>
  <c r="DL433" i="6"/>
  <c r="DA433" i="6"/>
  <c r="DF433" i="6"/>
  <c r="DG433" i="6"/>
  <c r="AA1902" i="5"/>
  <c r="Y1902" i="5"/>
  <c r="Z1902" i="5"/>
  <c r="AA5862" i="5"/>
  <c r="Y5862" i="5"/>
  <c r="Z5862" i="5"/>
  <c r="AA4377" i="5"/>
  <c r="Z4377" i="5"/>
  <c r="Y4377" i="5"/>
  <c r="AA1406" i="5"/>
  <c r="Y1406" i="5"/>
  <c r="Z1406" i="5"/>
  <c r="AN422" i="6"/>
  <c r="AO422" i="6"/>
  <c r="AT422" i="6"/>
  <c r="Y5366" i="5"/>
  <c r="Z5366" i="5"/>
  <c r="AA5366" i="5"/>
  <c r="BK426" i="6"/>
  <c r="BQ426" i="6"/>
  <c r="BP426" i="6"/>
  <c r="BV426" i="6"/>
  <c r="BR427" i="6"/>
  <c r="CC427" i="6"/>
  <c r="BW427" i="6"/>
  <c r="BX427" i="6"/>
  <c r="CT431" i="6"/>
  <c r="CY431" i="6"/>
  <c r="DE431" i="6"/>
  <c r="CZ431" i="6"/>
  <c r="Y6357" i="5"/>
  <c r="Z6357" i="5"/>
  <c r="EF437" i="6"/>
  <c r="DX435" i="6"/>
  <c r="AA6358" i="5" s="1"/>
  <c r="EG436" i="6"/>
  <c r="EH436" i="6" s="1"/>
  <c r="AA436" i="6" s="1"/>
  <c r="CM431" i="6" l="1"/>
  <c r="CR431" i="6"/>
  <c r="CX431" i="6"/>
  <c r="CS431" i="6"/>
  <c r="Y5368" i="5"/>
  <c r="AA5368" i="5"/>
  <c r="Z5368" i="5"/>
  <c r="CM432" i="6"/>
  <c r="CX432" i="6"/>
  <c r="CR432" i="6"/>
  <c r="CS432" i="6"/>
  <c r="DA434" i="6"/>
  <c r="DL434" i="6"/>
  <c r="DG434" i="6"/>
  <c r="DF434" i="6"/>
  <c r="BW428" i="6"/>
  <c r="BR428" i="6"/>
  <c r="BX428" i="6"/>
  <c r="CC428" i="6"/>
  <c r="BO426" i="6"/>
  <c r="BD426" i="6"/>
  <c r="BI426" i="6"/>
  <c r="BJ426" i="6"/>
  <c r="AA4872" i="5"/>
  <c r="Z4872" i="5"/>
  <c r="Y4872" i="5"/>
  <c r="AA2892" i="5"/>
  <c r="Z2892" i="5"/>
  <c r="Y2892" i="5"/>
  <c r="DS435" i="6"/>
  <c r="DM435" i="6"/>
  <c r="DH435" i="6"/>
  <c r="DN435" i="6"/>
  <c r="AA913" i="5"/>
  <c r="Y913" i="5"/>
  <c r="Z913" i="5"/>
  <c r="Y417" i="5"/>
  <c r="AA417" i="5"/>
  <c r="Z417" i="5"/>
  <c r="AA4873" i="5"/>
  <c r="Y4873" i="5"/>
  <c r="Z4873" i="5"/>
  <c r="BY429" i="6"/>
  <c r="CJ429" i="6"/>
  <c r="CE429" i="6"/>
  <c r="CD429" i="6"/>
  <c r="BY430" i="6"/>
  <c r="CJ430" i="6"/>
  <c r="CE430" i="6"/>
  <c r="CD430" i="6"/>
  <c r="AN424" i="6"/>
  <c r="AO424" i="6"/>
  <c r="AT424" i="6"/>
  <c r="Y5863" i="5"/>
  <c r="AA5863" i="5"/>
  <c r="Z5863" i="5"/>
  <c r="AA912" i="5"/>
  <c r="Y912" i="5"/>
  <c r="Z912" i="5"/>
  <c r="AA3387" i="5"/>
  <c r="Z3387" i="5"/>
  <c r="Y3387" i="5"/>
  <c r="AU425" i="6"/>
  <c r="AP425" i="6"/>
  <c r="AV425" i="6"/>
  <c r="BA425" i="6"/>
  <c r="BP427" i="6"/>
  <c r="BK427" i="6"/>
  <c r="BQ427" i="6"/>
  <c r="BV427" i="6"/>
  <c r="AA2397" i="5"/>
  <c r="Z2397" i="5"/>
  <c r="Y2397" i="5"/>
  <c r="CT433" i="6"/>
  <c r="DE433" i="6"/>
  <c r="CZ433" i="6"/>
  <c r="CY433" i="6"/>
  <c r="AA3882" i="5"/>
  <c r="Y3882" i="5"/>
  <c r="Z3882" i="5"/>
  <c r="AA3883" i="5"/>
  <c r="Z3883" i="5"/>
  <c r="Y3883" i="5"/>
  <c r="AT423" i="6"/>
  <c r="AO423" i="6"/>
  <c r="AN423" i="6"/>
  <c r="Y1408" i="5"/>
  <c r="AA1408" i="5"/>
  <c r="Z1408" i="5"/>
  <c r="Y6358" i="5"/>
  <c r="Z6358" i="5"/>
  <c r="EF438" i="6"/>
  <c r="EG438" i="6" s="1"/>
  <c r="EH438" i="6" s="1"/>
  <c r="AA438" i="6" s="1"/>
  <c r="EG437" i="6"/>
  <c r="EH437" i="6" s="1"/>
  <c r="AA437" i="6" s="1"/>
  <c r="F436" i="6"/>
  <c r="X436" i="6"/>
  <c r="L436" i="6"/>
  <c r="H436" i="6"/>
  <c r="V436" i="6"/>
  <c r="R436" i="6"/>
  <c r="D436" i="6"/>
  <c r="T436" i="6"/>
  <c r="N436" i="6"/>
  <c r="P436" i="6"/>
  <c r="J436" i="6"/>
  <c r="AI436" i="6"/>
  <c r="Z436" i="6"/>
  <c r="AB436" i="6"/>
  <c r="DT436" i="6" s="1"/>
  <c r="AM436" i="6"/>
  <c r="AK436" i="6"/>
  <c r="AT425" i="6" l="1"/>
  <c r="AN425" i="6"/>
  <c r="AO425" i="6"/>
  <c r="AA3389" i="5"/>
  <c r="Y3389" i="5"/>
  <c r="Z3389" i="5"/>
  <c r="AA3388" i="5"/>
  <c r="Y3388" i="5"/>
  <c r="Z3388" i="5"/>
  <c r="DA435" i="6"/>
  <c r="DL435" i="6"/>
  <c r="DG435" i="6"/>
  <c r="DF435" i="6"/>
  <c r="Y1903" i="5"/>
  <c r="AA1903" i="5"/>
  <c r="Z1903" i="5"/>
  <c r="CT434" i="6"/>
  <c r="CZ434" i="6"/>
  <c r="DE434" i="6"/>
  <c r="CY434" i="6"/>
  <c r="CF432" i="6"/>
  <c r="CL432" i="6"/>
  <c r="CK432" i="6"/>
  <c r="CQ432" i="6"/>
  <c r="AA418" i="5"/>
  <c r="Z418" i="5"/>
  <c r="Y418" i="5"/>
  <c r="DO436" i="6"/>
  <c r="DY436" i="6"/>
  <c r="AA4874" i="5"/>
  <c r="Y4874" i="5"/>
  <c r="Z4874" i="5"/>
  <c r="BR430" i="6"/>
  <c r="CC430" i="6"/>
  <c r="BX430" i="6"/>
  <c r="BW430" i="6"/>
  <c r="CC429" i="6"/>
  <c r="BR429" i="6"/>
  <c r="BX429" i="6"/>
  <c r="BW429" i="6"/>
  <c r="AA2893" i="5"/>
  <c r="Z2893" i="5"/>
  <c r="Y2893" i="5"/>
  <c r="AA4378" i="5"/>
  <c r="Y4378" i="5"/>
  <c r="Z4378" i="5"/>
  <c r="BO427" i="6"/>
  <c r="BD427" i="6"/>
  <c r="BJ427" i="6"/>
  <c r="BI427" i="6"/>
  <c r="CR433" i="6"/>
  <c r="CM433" i="6"/>
  <c r="CS433" i="6"/>
  <c r="CX433" i="6"/>
  <c r="AA2398" i="5"/>
  <c r="Y2398" i="5"/>
  <c r="Z2398" i="5"/>
  <c r="AA914" i="5"/>
  <c r="Y914" i="5"/>
  <c r="Z914" i="5"/>
  <c r="Y5864" i="5"/>
  <c r="AA5864" i="5"/>
  <c r="Z5864" i="5"/>
  <c r="Y419" i="5"/>
  <c r="AA419" i="5"/>
  <c r="Z419" i="5"/>
  <c r="BH426" i="6"/>
  <c r="AW426" i="6"/>
  <c r="BC426" i="6"/>
  <c r="BB426" i="6"/>
  <c r="BK428" i="6"/>
  <c r="BV428" i="6"/>
  <c r="BQ428" i="6"/>
  <c r="BP428" i="6"/>
  <c r="Y5369" i="5"/>
  <c r="AA5369" i="5"/>
  <c r="Z5369" i="5"/>
  <c r="AA4379" i="5"/>
  <c r="Y4379" i="5"/>
  <c r="Z4379" i="5"/>
  <c r="CF431" i="6"/>
  <c r="CK431" i="6"/>
  <c r="CQ431" i="6"/>
  <c r="CL431" i="6"/>
  <c r="DX436" i="6"/>
  <c r="AA6359" i="5" s="1"/>
  <c r="EF439" i="6"/>
  <c r="EG439" i="6" s="1"/>
  <c r="EH439" i="6" s="1"/>
  <c r="AA439" i="6" s="1"/>
  <c r="F437" i="6"/>
  <c r="Z437" i="6"/>
  <c r="X437" i="6"/>
  <c r="P437" i="6"/>
  <c r="D437" i="6"/>
  <c r="AI437" i="6"/>
  <c r="AK437" i="6"/>
  <c r="V437" i="6"/>
  <c r="L437" i="6"/>
  <c r="H437" i="6"/>
  <c r="T437" i="6"/>
  <c r="N437" i="6"/>
  <c r="AM437" i="6"/>
  <c r="R437" i="6"/>
  <c r="J437" i="6"/>
  <c r="AB437" i="6"/>
  <c r="DT437" i="6" s="1"/>
  <c r="T438" i="6"/>
  <c r="P438" i="6"/>
  <c r="Z438" i="6"/>
  <c r="R438" i="6"/>
  <c r="J438" i="6"/>
  <c r="X438" i="6"/>
  <c r="N438" i="6"/>
  <c r="D438" i="6"/>
  <c r="V438" i="6"/>
  <c r="L438" i="6"/>
  <c r="H438" i="6"/>
  <c r="AM438" i="6"/>
  <c r="AB438" i="6"/>
  <c r="DT438" i="6" s="1"/>
  <c r="F438" i="6"/>
  <c r="AI438" i="6"/>
  <c r="AK438" i="6"/>
  <c r="DO438" i="6" l="1"/>
  <c r="DY438" i="6"/>
  <c r="AA2399" i="5"/>
  <c r="Y2399" i="5"/>
  <c r="Z2399" i="5"/>
  <c r="AP426" i="6"/>
  <c r="AU426" i="6"/>
  <c r="BA426" i="6"/>
  <c r="AV426" i="6"/>
  <c r="CF433" i="6"/>
  <c r="CK433" i="6"/>
  <c r="CQ433" i="6"/>
  <c r="CL433" i="6"/>
  <c r="AW427" i="6"/>
  <c r="BB427" i="6"/>
  <c r="BH427" i="6"/>
  <c r="BC427" i="6"/>
  <c r="DH436" i="6"/>
  <c r="DN436" i="6"/>
  <c r="DM436" i="6"/>
  <c r="DS436" i="6"/>
  <c r="AA3885" i="5"/>
  <c r="Z3885" i="5"/>
  <c r="Y3885" i="5"/>
  <c r="CD431" i="6"/>
  <c r="BY431" i="6"/>
  <c r="CJ431" i="6"/>
  <c r="CE431" i="6"/>
  <c r="DY437" i="6"/>
  <c r="DO437" i="6"/>
  <c r="BO428" i="6"/>
  <c r="BD428" i="6"/>
  <c r="BJ428" i="6"/>
  <c r="BI428" i="6"/>
  <c r="Y1409" i="5"/>
  <c r="AA1409" i="5"/>
  <c r="Z1409" i="5"/>
  <c r="Y1904" i="5"/>
  <c r="AA1904" i="5"/>
  <c r="Z1904" i="5"/>
  <c r="AA4875" i="5"/>
  <c r="Z4875" i="5"/>
  <c r="Y4875" i="5"/>
  <c r="Y5370" i="5"/>
  <c r="Z5370" i="5"/>
  <c r="AA5370" i="5"/>
  <c r="AA3884" i="5"/>
  <c r="Y3884" i="5"/>
  <c r="Z3884" i="5"/>
  <c r="AA4380" i="5"/>
  <c r="Y4380" i="5"/>
  <c r="Z4380" i="5"/>
  <c r="BK429" i="6"/>
  <c r="BV429" i="6"/>
  <c r="BQ429" i="6"/>
  <c r="BP429" i="6"/>
  <c r="AA2895" i="5"/>
  <c r="Y2895" i="5"/>
  <c r="Z2895" i="5"/>
  <c r="CT435" i="6"/>
  <c r="DE435" i="6"/>
  <c r="CY435" i="6"/>
  <c r="CZ435" i="6"/>
  <c r="Y2894" i="5"/>
  <c r="AA2894" i="5"/>
  <c r="Z2894" i="5"/>
  <c r="BK430" i="6"/>
  <c r="BV430" i="6"/>
  <c r="BQ430" i="6"/>
  <c r="BP430" i="6"/>
  <c r="BY432" i="6"/>
  <c r="CJ432" i="6"/>
  <c r="CE432" i="6"/>
  <c r="CD432" i="6"/>
  <c r="CM434" i="6"/>
  <c r="CX434" i="6"/>
  <c r="CS434" i="6"/>
  <c r="CR434" i="6"/>
  <c r="AA420" i="5"/>
  <c r="Y420" i="5"/>
  <c r="Z420" i="5"/>
  <c r="Y6359" i="5"/>
  <c r="Z6359" i="5"/>
  <c r="DX438" i="6"/>
  <c r="AA6361" i="5" s="1"/>
  <c r="Z439" i="6"/>
  <c r="X439" i="6"/>
  <c r="P439" i="6"/>
  <c r="H439" i="6"/>
  <c r="V439" i="6"/>
  <c r="L439" i="6"/>
  <c r="T439" i="6"/>
  <c r="J439" i="6"/>
  <c r="F439" i="6"/>
  <c r="AB439" i="6"/>
  <c r="DT439" i="6" s="1"/>
  <c r="R439" i="6"/>
  <c r="N439" i="6"/>
  <c r="D439" i="6"/>
  <c r="AM439" i="6"/>
  <c r="AI439" i="6"/>
  <c r="AK439" i="6"/>
  <c r="DX437" i="6"/>
  <c r="AA6360" i="5" s="1"/>
  <c r="EF440" i="6"/>
  <c r="EG440" i="6" s="1"/>
  <c r="EH440" i="6" s="1"/>
  <c r="AA440" i="6" s="1"/>
  <c r="AA2400" i="5" l="1"/>
  <c r="Z2400" i="5"/>
  <c r="Y2400" i="5"/>
  <c r="AA4381" i="5"/>
  <c r="Y4381" i="5"/>
  <c r="Z4381" i="5"/>
  <c r="AA3391" i="5"/>
  <c r="Y3391" i="5"/>
  <c r="Z3391" i="5"/>
  <c r="AA2401" i="5"/>
  <c r="Z2401" i="5"/>
  <c r="Y2401" i="5"/>
  <c r="CM435" i="6"/>
  <c r="CR435" i="6"/>
  <c r="CX435" i="6"/>
  <c r="CS435" i="6"/>
  <c r="BH428" i="6"/>
  <c r="AW428" i="6"/>
  <c r="BC428" i="6"/>
  <c r="BB428" i="6"/>
  <c r="AA1410" i="5"/>
  <c r="Y1410" i="5"/>
  <c r="Z1410" i="5"/>
  <c r="AA3886" i="5"/>
  <c r="Y3886" i="5"/>
  <c r="Z3886" i="5"/>
  <c r="AA915" i="5"/>
  <c r="Z915" i="5"/>
  <c r="Y915" i="5"/>
  <c r="CF434" i="6"/>
  <c r="CL434" i="6"/>
  <c r="CK434" i="6"/>
  <c r="CQ434" i="6"/>
  <c r="BR432" i="6"/>
  <c r="CC432" i="6"/>
  <c r="BX432" i="6"/>
  <c r="BW432" i="6"/>
  <c r="BO430" i="6"/>
  <c r="BD430" i="6"/>
  <c r="BI430" i="6"/>
  <c r="BJ430" i="6"/>
  <c r="Y1905" i="5"/>
  <c r="AA1905" i="5"/>
  <c r="Z1905" i="5"/>
  <c r="AA3390" i="5"/>
  <c r="Y3390" i="5"/>
  <c r="Z3390" i="5"/>
  <c r="DH437" i="6"/>
  <c r="DM437" i="6"/>
  <c r="DN437" i="6"/>
  <c r="DS437" i="6"/>
  <c r="BX431" i="6"/>
  <c r="BR431" i="6"/>
  <c r="CC431" i="6"/>
  <c r="BW431" i="6"/>
  <c r="DL436" i="6"/>
  <c r="DA436" i="6"/>
  <c r="DF436" i="6"/>
  <c r="DG436" i="6"/>
  <c r="AU427" i="6"/>
  <c r="AP427" i="6"/>
  <c r="AV427" i="6"/>
  <c r="BA427" i="6"/>
  <c r="CD433" i="6"/>
  <c r="BY433" i="6"/>
  <c r="CJ433" i="6"/>
  <c r="CE433" i="6"/>
  <c r="AN426" i="6"/>
  <c r="AO426" i="6"/>
  <c r="AT426" i="6"/>
  <c r="DO439" i="6"/>
  <c r="DY439" i="6"/>
  <c r="AA4876" i="5"/>
  <c r="Y4876" i="5"/>
  <c r="Z4876" i="5"/>
  <c r="BO429" i="6"/>
  <c r="BD429" i="6"/>
  <c r="BI429" i="6"/>
  <c r="BJ429" i="6"/>
  <c r="AA5865" i="5"/>
  <c r="Y5865" i="5"/>
  <c r="Z5865" i="5"/>
  <c r="DS438" i="6"/>
  <c r="DM438" i="6"/>
  <c r="DN438" i="6"/>
  <c r="DH438" i="6"/>
  <c r="Y6361" i="5"/>
  <c r="Z6361" i="5"/>
  <c r="Y6360" i="5"/>
  <c r="Z6360" i="5"/>
  <c r="F440" i="6"/>
  <c r="T440" i="6"/>
  <c r="N440" i="6"/>
  <c r="R440" i="6"/>
  <c r="J440" i="6"/>
  <c r="X440" i="6"/>
  <c r="P440" i="6"/>
  <c r="H440" i="6"/>
  <c r="V440" i="6"/>
  <c r="L440" i="6"/>
  <c r="D440" i="6"/>
  <c r="Z440" i="6"/>
  <c r="AI440" i="6"/>
  <c r="AK440" i="6"/>
  <c r="AM440" i="6"/>
  <c r="AB440" i="6"/>
  <c r="DT440" i="6" s="1"/>
  <c r="DX439" i="6"/>
  <c r="AA6362" i="5" s="1"/>
  <c r="EF441" i="6"/>
  <c r="EG441" i="6" s="1"/>
  <c r="EH441" i="6" s="1"/>
  <c r="AA441" i="6" s="1"/>
  <c r="BH429" i="6" l="1"/>
  <c r="AW429" i="6"/>
  <c r="BB429" i="6"/>
  <c r="BC429" i="6"/>
  <c r="AN427" i="6"/>
  <c r="AT427" i="6"/>
  <c r="AO427" i="6"/>
  <c r="AA1906" i="5"/>
  <c r="Y1906" i="5"/>
  <c r="Z1906" i="5"/>
  <c r="Y5371" i="5"/>
  <c r="Z5371" i="5"/>
  <c r="AA5371" i="5"/>
  <c r="DA437" i="6"/>
  <c r="DL437" i="6"/>
  <c r="DF437" i="6"/>
  <c r="DG437" i="6"/>
  <c r="DO440" i="6"/>
  <c r="DY440" i="6"/>
  <c r="Y5867" i="5"/>
  <c r="AA5867" i="5"/>
  <c r="Z5867" i="5"/>
  <c r="DS439" i="6"/>
  <c r="DN439" i="6"/>
  <c r="DM439" i="6"/>
  <c r="DH439" i="6"/>
  <c r="AA916" i="5"/>
  <c r="Y916" i="5"/>
  <c r="Z916" i="5"/>
  <c r="AA5866" i="5"/>
  <c r="Y5866" i="5"/>
  <c r="Z5866" i="5"/>
  <c r="BH430" i="6"/>
  <c r="AW430" i="6"/>
  <c r="BC430" i="6"/>
  <c r="BB430" i="6"/>
  <c r="AA2897" i="5"/>
  <c r="Y2897" i="5"/>
  <c r="Z2897" i="5"/>
  <c r="AA4382" i="5"/>
  <c r="Y4382" i="5"/>
  <c r="Z4382" i="5"/>
  <c r="DA438" i="6"/>
  <c r="DG438" i="6"/>
  <c r="DL438" i="6"/>
  <c r="DF438" i="6"/>
  <c r="Y421" i="5"/>
  <c r="AA421" i="5"/>
  <c r="Z421" i="5"/>
  <c r="AA3392" i="5"/>
  <c r="Y3392" i="5"/>
  <c r="Z3392" i="5"/>
  <c r="AA2896" i="5"/>
  <c r="Y2896" i="5"/>
  <c r="Z2896" i="5"/>
  <c r="Y1907" i="5"/>
  <c r="AA1907" i="5"/>
  <c r="Z1907" i="5"/>
  <c r="BK432" i="6"/>
  <c r="BP432" i="6"/>
  <c r="BV432" i="6"/>
  <c r="BQ432" i="6"/>
  <c r="BY434" i="6"/>
  <c r="CD434" i="6"/>
  <c r="CJ434" i="6"/>
  <c r="CE434" i="6"/>
  <c r="AP428" i="6"/>
  <c r="AV428" i="6"/>
  <c r="BA428" i="6"/>
  <c r="AU428" i="6"/>
  <c r="CC433" i="6"/>
  <c r="BR433" i="6"/>
  <c r="BX433" i="6"/>
  <c r="BW433" i="6"/>
  <c r="CT436" i="6"/>
  <c r="DE436" i="6"/>
  <c r="CY436" i="6"/>
  <c r="CZ436" i="6"/>
  <c r="BP431" i="6"/>
  <c r="BK431" i="6"/>
  <c r="BV431" i="6"/>
  <c r="BQ431" i="6"/>
  <c r="AA3887" i="5"/>
  <c r="Z3887" i="5"/>
  <c r="Y3887" i="5"/>
  <c r="AA1411" i="5"/>
  <c r="Y1411" i="5"/>
  <c r="Z1411" i="5"/>
  <c r="CF435" i="6"/>
  <c r="CQ435" i="6"/>
  <c r="CL435" i="6"/>
  <c r="CK435" i="6"/>
  <c r="Y6362" i="5"/>
  <c r="Z6362" i="5"/>
  <c r="DX440" i="6"/>
  <c r="AA6363" i="5" s="1"/>
  <c r="EF442" i="6"/>
  <c r="F441" i="6"/>
  <c r="Z441" i="6"/>
  <c r="T441" i="6"/>
  <c r="V441" i="6"/>
  <c r="AI441" i="6"/>
  <c r="AK441" i="6"/>
  <c r="AB441" i="6"/>
  <c r="DT441" i="6" s="1"/>
  <c r="P441" i="6"/>
  <c r="J441" i="6"/>
  <c r="X441" i="6"/>
  <c r="L441" i="6"/>
  <c r="H441" i="6"/>
  <c r="AM441" i="6"/>
  <c r="R441" i="6"/>
  <c r="N441" i="6"/>
  <c r="D441" i="6"/>
  <c r="AA3888" i="5" l="1"/>
  <c r="Z3888" i="5"/>
  <c r="Y3888" i="5"/>
  <c r="BO431" i="6"/>
  <c r="BD431" i="6"/>
  <c r="BJ431" i="6"/>
  <c r="BI431" i="6"/>
  <c r="AA4877" i="5"/>
  <c r="Y4877" i="5"/>
  <c r="Z4877" i="5"/>
  <c r="BK433" i="6"/>
  <c r="BP433" i="6"/>
  <c r="BV433" i="6"/>
  <c r="BQ433" i="6"/>
  <c r="DY441" i="6"/>
  <c r="DO441" i="6"/>
  <c r="AN428" i="6"/>
  <c r="AO428" i="6"/>
  <c r="AT428" i="6"/>
  <c r="CC434" i="6"/>
  <c r="BR434" i="6"/>
  <c r="BW434" i="6"/>
  <c r="BX434" i="6"/>
  <c r="BO432" i="6"/>
  <c r="BD432" i="6"/>
  <c r="BI432" i="6"/>
  <c r="BJ432" i="6"/>
  <c r="CT438" i="6"/>
  <c r="CZ438" i="6"/>
  <c r="DE438" i="6"/>
  <c r="CY438" i="6"/>
  <c r="Y5868" i="5"/>
  <c r="AA5868" i="5"/>
  <c r="Z5868" i="5"/>
  <c r="Y5372" i="5"/>
  <c r="Z5372" i="5"/>
  <c r="AA5372" i="5"/>
  <c r="Y2898" i="5"/>
  <c r="AA2898" i="5"/>
  <c r="Z2898" i="5"/>
  <c r="AP430" i="6"/>
  <c r="AV430" i="6"/>
  <c r="BA430" i="6"/>
  <c r="AU430" i="6"/>
  <c r="DA439" i="6"/>
  <c r="DL439" i="6"/>
  <c r="DF439" i="6"/>
  <c r="DG439" i="6"/>
  <c r="DH440" i="6"/>
  <c r="DM440" i="6"/>
  <c r="DS440" i="6"/>
  <c r="DN440" i="6"/>
  <c r="CT437" i="6"/>
  <c r="DE437" i="6"/>
  <c r="CZ437" i="6"/>
  <c r="CY437" i="6"/>
  <c r="AA422" i="5"/>
  <c r="Z422" i="5"/>
  <c r="Y422" i="5"/>
  <c r="AP429" i="6"/>
  <c r="AV429" i="6"/>
  <c r="BA429" i="6"/>
  <c r="AU429" i="6"/>
  <c r="CM436" i="6"/>
  <c r="CS436" i="6"/>
  <c r="CR436" i="6"/>
  <c r="CX436" i="6"/>
  <c r="BY435" i="6"/>
  <c r="CD435" i="6"/>
  <c r="CJ435" i="6"/>
  <c r="CE435" i="6"/>
  <c r="AA2402" i="5"/>
  <c r="Y2402" i="5"/>
  <c r="Z2402" i="5"/>
  <c r="AA917" i="5"/>
  <c r="Y917" i="5"/>
  <c r="Z917" i="5"/>
  <c r="AA3393" i="5"/>
  <c r="Y3393" i="5"/>
  <c r="Z3393" i="5"/>
  <c r="AA2403" i="5"/>
  <c r="Y2403" i="5"/>
  <c r="Z2403" i="5"/>
  <c r="Y5373" i="5"/>
  <c r="AA5373" i="5"/>
  <c r="Z5373" i="5"/>
  <c r="Y1413" i="5"/>
  <c r="AA1413" i="5"/>
  <c r="Z1413" i="5"/>
  <c r="Y1412" i="5"/>
  <c r="AA1412" i="5"/>
  <c r="Z1412" i="5"/>
  <c r="Y6363" i="5"/>
  <c r="Z6363" i="5"/>
  <c r="EF443" i="6"/>
  <c r="EG442" i="6"/>
  <c r="EH442" i="6" s="1"/>
  <c r="AA442" i="6" s="1"/>
  <c r="DX441" i="6"/>
  <c r="AA6364" i="5" s="1"/>
  <c r="CT439" i="6" l="1"/>
  <c r="CY439" i="6"/>
  <c r="DE439" i="6"/>
  <c r="CZ439" i="6"/>
  <c r="AN429" i="6"/>
  <c r="AO429" i="6"/>
  <c r="AT429" i="6"/>
  <c r="CM438" i="6"/>
  <c r="CS438" i="6"/>
  <c r="CX438" i="6"/>
  <c r="CR438" i="6"/>
  <c r="Y1909" i="5"/>
  <c r="AA1909" i="5"/>
  <c r="Z1909" i="5"/>
  <c r="Y2899" i="5"/>
  <c r="AA2899" i="5"/>
  <c r="Z2899" i="5"/>
  <c r="DH441" i="6"/>
  <c r="DM441" i="6"/>
  <c r="DS441" i="6"/>
  <c r="DN441" i="6"/>
  <c r="Y1908" i="5"/>
  <c r="AA1908" i="5"/>
  <c r="Z1908" i="5"/>
  <c r="DL440" i="6"/>
  <c r="DA440" i="6"/>
  <c r="DG440" i="6"/>
  <c r="DF440" i="6"/>
  <c r="BR435" i="6"/>
  <c r="CC435" i="6"/>
  <c r="BW435" i="6"/>
  <c r="BX435" i="6"/>
  <c r="AA4383" i="5"/>
  <c r="Y4383" i="5"/>
  <c r="Z4383" i="5"/>
  <c r="AA919" i="5"/>
  <c r="Z919" i="5"/>
  <c r="Y919" i="5"/>
  <c r="Y423" i="5"/>
  <c r="Z423" i="5"/>
  <c r="AA423" i="5"/>
  <c r="BO433" i="6"/>
  <c r="BD433" i="6"/>
  <c r="BI433" i="6"/>
  <c r="BJ433" i="6"/>
  <c r="CF436" i="6"/>
  <c r="CK436" i="6"/>
  <c r="CQ436" i="6"/>
  <c r="CL436" i="6"/>
  <c r="AA5869" i="5"/>
  <c r="Y5869" i="5"/>
  <c r="Z5869" i="5"/>
  <c r="AA3394" i="5"/>
  <c r="Y3394" i="5"/>
  <c r="Z3394" i="5"/>
  <c r="AA918" i="5"/>
  <c r="Z918" i="5"/>
  <c r="Y918" i="5"/>
  <c r="AA4878" i="5"/>
  <c r="Y4878" i="5"/>
  <c r="Z4878" i="5"/>
  <c r="Y5374" i="5"/>
  <c r="AA5374" i="5"/>
  <c r="Z5374" i="5"/>
  <c r="AA4879" i="5"/>
  <c r="Z4879" i="5"/>
  <c r="Y4879" i="5"/>
  <c r="CM437" i="6"/>
  <c r="CS437" i="6"/>
  <c r="CX437" i="6"/>
  <c r="CR437" i="6"/>
  <c r="AN430" i="6"/>
  <c r="AO430" i="6"/>
  <c r="AT430" i="6"/>
  <c r="BH432" i="6"/>
  <c r="AW432" i="6"/>
  <c r="BC432" i="6"/>
  <c r="BB432" i="6"/>
  <c r="BK434" i="6"/>
  <c r="BV434" i="6"/>
  <c r="BQ434" i="6"/>
  <c r="BP434" i="6"/>
  <c r="AA2404" i="5"/>
  <c r="Y2404" i="5"/>
  <c r="Z2404" i="5"/>
  <c r="AW431" i="6"/>
  <c r="BB431" i="6"/>
  <c r="BH431" i="6"/>
  <c r="BC431" i="6"/>
  <c r="Y6364" i="5"/>
  <c r="Z6364" i="5"/>
  <c r="X442" i="6"/>
  <c r="N442" i="6"/>
  <c r="L442" i="6"/>
  <c r="Z442" i="6"/>
  <c r="V442" i="6"/>
  <c r="P442" i="6"/>
  <c r="H442" i="6"/>
  <c r="T442" i="6"/>
  <c r="J442" i="6"/>
  <c r="R442" i="6"/>
  <c r="D442" i="6"/>
  <c r="AB442" i="6"/>
  <c r="DT442" i="6" s="1"/>
  <c r="AM442" i="6"/>
  <c r="F442" i="6"/>
  <c r="AI442" i="6"/>
  <c r="AK442" i="6"/>
  <c r="EF444" i="6"/>
  <c r="EG444" i="6" s="1"/>
  <c r="EH444" i="6" s="1"/>
  <c r="AA444" i="6" s="1"/>
  <c r="EG443" i="6"/>
  <c r="EH443" i="6" s="1"/>
  <c r="AA443" i="6" s="1"/>
  <c r="AA1414" i="5" l="1"/>
  <c r="Y1414" i="5"/>
  <c r="Z1414" i="5"/>
  <c r="AA2405" i="5"/>
  <c r="Y2405" i="5"/>
  <c r="Z2405" i="5"/>
  <c r="AP432" i="6"/>
  <c r="AV432" i="6"/>
  <c r="BA432" i="6"/>
  <c r="AU432" i="6"/>
  <c r="CF437" i="6"/>
  <c r="CQ437" i="6"/>
  <c r="CL437" i="6"/>
  <c r="CK437" i="6"/>
  <c r="AA3889" i="5"/>
  <c r="Y3889" i="5"/>
  <c r="Z3889" i="5"/>
  <c r="AA5870" i="5"/>
  <c r="Y5870" i="5"/>
  <c r="Z5870" i="5"/>
  <c r="CF438" i="6"/>
  <c r="CK438" i="6"/>
  <c r="CQ438" i="6"/>
  <c r="CL438" i="6"/>
  <c r="DO442" i="6"/>
  <c r="DY442" i="6"/>
  <c r="BO434" i="6"/>
  <c r="BD434" i="6"/>
  <c r="BI434" i="6"/>
  <c r="BJ434" i="6"/>
  <c r="Y1415" i="5"/>
  <c r="AA1415" i="5"/>
  <c r="Z1415" i="5"/>
  <c r="BH433" i="6"/>
  <c r="AW433" i="6"/>
  <c r="BB433" i="6"/>
  <c r="BC433" i="6"/>
  <c r="AA424" i="5"/>
  <c r="Z424" i="5"/>
  <c r="Y424" i="5"/>
  <c r="AA4880" i="5"/>
  <c r="Z4880" i="5"/>
  <c r="Y4880" i="5"/>
  <c r="Y425" i="5"/>
  <c r="AA425" i="5"/>
  <c r="Z425" i="5"/>
  <c r="AA4384" i="5"/>
  <c r="Y4384" i="5"/>
  <c r="Z4384" i="5"/>
  <c r="BY436" i="6"/>
  <c r="CE436" i="6"/>
  <c r="CD436" i="6"/>
  <c r="CJ436" i="6"/>
  <c r="AA1910" i="5"/>
  <c r="Y1910" i="5"/>
  <c r="Z1910" i="5"/>
  <c r="AA2900" i="5"/>
  <c r="Y2900" i="5"/>
  <c r="Z2900" i="5"/>
  <c r="CT440" i="6"/>
  <c r="CY440" i="6"/>
  <c r="DE440" i="6"/>
  <c r="CZ440" i="6"/>
  <c r="DL441" i="6"/>
  <c r="DF441" i="6"/>
  <c r="DA441" i="6"/>
  <c r="DG441" i="6"/>
  <c r="AA4385" i="5"/>
  <c r="Y4385" i="5"/>
  <c r="Z4385" i="5"/>
  <c r="AU431" i="6"/>
  <c r="AP431" i="6"/>
  <c r="AV431" i="6"/>
  <c r="BA431" i="6"/>
  <c r="BK435" i="6"/>
  <c r="BP435" i="6"/>
  <c r="BV435" i="6"/>
  <c r="BQ435" i="6"/>
  <c r="Y5375" i="5"/>
  <c r="AA5375" i="5"/>
  <c r="Z5375" i="5"/>
  <c r="CR439" i="6"/>
  <c r="CM439" i="6"/>
  <c r="CS439" i="6"/>
  <c r="CX439" i="6"/>
  <c r="DX442" i="6"/>
  <c r="AA6365" i="5" s="1"/>
  <c r="EF445" i="6"/>
  <c r="D443" i="6"/>
  <c r="T443" i="6"/>
  <c r="N443" i="6"/>
  <c r="AB443" i="6"/>
  <c r="DT443" i="6" s="1"/>
  <c r="R443" i="6"/>
  <c r="J443" i="6"/>
  <c r="F443" i="6"/>
  <c r="X443" i="6"/>
  <c r="P443" i="6"/>
  <c r="H443" i="6"/>
  <c r="Z443" i="6"/>
  <c r="V443" i="6"/>
  <c r="L443" i="6"/>
  <c r="AM443" i="6"/>
  <c r="AI443" i="6"/>
  <c r="AK443" i="6"/>
  <c r="F444" i="6"/>
  <c r="X444" i="6"/>
  <c r="P444" i="6"/>
  <c r="H444" i="6"/>
  <c r="V444" i="6"/>
  <c r="L444" i="6"/>
  <c r="D444" i="6"/>
  <c r="T444" i="6"/>
  <c r="N444" i="6"/>
  <c r="R444" i="6"/>
  <c r="J444" i="6"/>
  <c r="Z444" i="6"/>
  <c r="AK444" i="6"/>
  <c r="AI444" i="6"/>
  <c r="AB444" i="6"/>
  <c r="DT444" i="6" s="1"/>
  <c r="AM444" i="6"/>
  <c r="AT431" i="6" l="1"/>
  <c r="AO431" i="6"/>
  <c r="AN431" i="6"/>
  <c r="Y5376" i="5"/>
  <c r="AA5376" i="5"/>
  <c r="Z5376" i="5"/>
  <c r="CM440" i="6"/>
  <c r="CR440" i="6"/>
  <c r="CX440" i="6"/>
  <c r="CS440" i="6"/>
  <c r="BH434" i="6"/>
  <c r="AW434" i="6"/>
  <c r="BB434" i="6"/>
  <c r="BC434" i="6"/>
  <c r="AA3890" i="5"/>
  <c r="Y3890" i="5"/>
  <c r="Z3890" i="5"/>
  <c r="CF439" i="6"/>
  <c r="CL439" i="6"/>
  <c r="CK439" i="6"/>
  <c r="CQ439" i="6"/>
  <c r="BO435" i="6"/>
  <c r="BD435" i="6"/>
  <c r="BJ435" i="6"/>
  <c r="BI435" i="6"/>
  <c r="AU433" i="6"/>
  <c r="AP433" i="6"/>
  <c r="BA433" i="6"/>
  <c r="AV433" i="6"/>
  <c r="Y1911" i="5"/>
  <c r="AA1911" i="5"/>
  <c r="Z1911" i="5"/>
  <c r="AA3891" i="5"/>
  <c r="Y3891" i="5"/>
  <c r="Z3891" i="5"/>
  <c r="BY437" i="6"/>
  <c r="CJ437" i="6"/>
  <c r="CE437" i="6"/>
  <c r="CD437" i="6"/>
  <c r="AN432" i="6"/>
  <c r="AO432" i="6"/>
  <c r="AT432" i="6"/>
  <c r="DO444" i="6"/>
  <c r="DY444" i="6"/>
  <c r="AA920" i="5"/>
  <c r="Z920" i="5"/>
  <c r="Y920" i="5"/>
  <c r="CT441" i="6"/>
  <c r="CZ441" i="6"/>
  <c r="DE441" i="6"/>
  <c r="CY441" i="6"/>
  <c r="AA4881" i="5"/>
  <c r="Y4881" i="5"/>
  <c r="Z4881" i="5"/>
  <c r="BR436" i="6"/>
  <c r="BW436" i="6"/>
  <c r="BX436" i="6"/>
  <c r="CC436" i="6"/>
  <c r="Y1416" i="5"/>
  <c r="AA1416" i="5"/>
  <c r="Z1416" i="5"/>
  <c r="DO443" i="6"/>
  <c r="DY443" i="6"/>
  <c r="AA4386" i="5"/>
  <c r="Y4386" i="5"/>
  <c r="Z4386" i="5"/>
  <c r="AA2406" i="5"/>
  <c r="Y2406" i="5"/>
  <c r="Z2406" i="5"/>
  <c r="AA3395" i="5"/>
  <c r="Y3395" i="5"/>
  <c r="Z3395" i="5"/>
  <c r="DS442" i="6"/>
  <c r="DM442" i="6"/>
  <c r="DN442" i="6"/>
  <c r="DH442" i="6"/>
  <c r="BY438" i="6"/>
  <c r="CD438" i="6"/>
  <c r="CJ438" i="6"/>
  <c r="CE438" i="6"/>
  <c r="AA921" i="5"/>
  <c r="Z921" i="5"/>
  <c r="Y921" i="5"/>
  <c r="Y6365" i="5"/>
  <c r="Z6365" i="5"/>
  <c r="EF446" i="6"/>
  <c r="EG445" i="6"/>
  <c r="EH445" i="6" s="1"/>
  <c r="AA445" i="6" s="1"/>
  <c r="DX443" i="6"/>
  <c r="AA6366" i="5" s="1"/>
  <c r="DX444" i="6"/>
  <c r="AA6367" i="5" s="1"/>
  <c r="DA442" i="6" l="1"/>
  <c r="DL442" i="6"/>
  <c r="DG442" i="6"/>
  <c r="DF442" i="6"/>
  <c r="CR441" i="6"/>
  <c r="CM441" i="6"/>
  <c r="CX441" i="6"/>
  <c r="CS441" i="6"/>
  <c r="BR437" i="6"/>
  <c r="BX437" i="6"/>
  <c r="BW437" i="6"/>
  <c r="CC437" i="6"/>
  <c r="AA922" i="5"/>
  <c r="Z922" i="5"/>
  <c r="Y922" i="5"/>
  <c r="AP434" i="6"/>
  <c r="AV434" i="6"/>
  <c r="BA434" i="6"/>
  <c r="AU434" i="6"/>
  <c r="AA3397" i="5"/>
  <c r="Y3397" i="5"/>
  <c r="Z3397" i="5"/>
  <c r="DH444" i="6"/>
  <c r="DS444" i="6"/>
  <c r="DN444" i="6"/>
  <c r="DM444" i="6"/>
  <c r="AT433" i="6"/>
  <c r="AN433" i="6"/>
  <c r="AO433" i="6"/>
  <c r="AW435" i="6"/>
  <c r="BB435" i="6"/>
  <c r="BH435" i="6"/>
  <c r="BC435" i="6"/>
  <c r="Y1417" i="5"/>
  <c r="AA1417" i="5"/>
  <c r="Z1417" i="5"/>
  <c r="CF440" i="6"/>
  <c r="CQ440" i="6"/>
  <c r="CL440" i="6"/>
  <c r="CK440" i="6"/>
  <c r="BK436" i="6"/>
  <c r="BP436" i="6"/>
  <c r="BV436" i="6"/>
  <c r="BQ436" i="6"/>
  <c r="DS443" i="6"/>
  <c r="DN443" i="6"/>
  <c r="DH443" i="6"/>
  <c r="DM443" i="6"/>
  <c r="AA2901" i="5"/>
  <c r="Y2901" i="5"/>
  <c r="Z2901" i="5"/>
  <c r="AA4882" i="5"/>
  <c r="Z4882" i="5"/>
  <c r="Y4882" i="5"/>
  <c r="Y427" i="5"/>
  <c r="AA427" i="5"/>
  <c r="Z427" i="5"/>
  <c r="Y1912" i="5"/>
  <c r="AA1912" i="5"/>
  <c r="Z1912" i="5"/>
  <c r="CD439" i="6"/>
  <c r="BY439" i="6"/>
  <c r="CJ439" i="6"/>
  <c r="CE439" i="6"/>
  <c r="BR438" i="6"/>
  <c r="CC438" i="6"/>
  <c r="BX438" i="6"/>
  <c r="BW438" i="6"/>
  <c r="Y5871" i="5"/>
  <c r="AA5871" i="5"/>
  <c r="Z5871" i="5"/>
  <c r="AA3396" i="5"/>
  <c r="Y3396" i="5"/>
  <c r="Z3396" i="5"/>
  <c r="AA3892" i="5"/>
  <c r="Y3892" i="5"/>
  <c r="Z3892" i="5"/>
  <c r="AA4387" i="5"/>
  <c r="Y4387" i="5"/>
  <c r="Z4387" i="5"/>
  <c r="AA426" i="5"/>
  <c r="Z426" i="5"/>
  <c r="Y426" i="5"/>
  <c r="Y6366" i="5"/>
  <c r="Z6366" i="5"/>
  <c r="Y6367" i="5"/>
  <c r="Z6367" i="5"/>
  <c r="EF447" i="6"/>
  <c r="EG447" i="6" s="1"/>
  <c r="EH447" i="6" s="1"/>
  <c r="AA447" i="6" s="1"/>
  <c r="F445" i="6"/>
  <c r="Z445" i="6"/>
  <c r="AB445" i="6"/>
  <c r="DT445" i="6" s="1"/>
  <c r="R445" i="6"/>
  <c r="D445" i="6"/>
  <c r="AI445" i="6"/>
  <c r="AK445" i="6"/>
  <c r="X445" i="6"/>
  <c r="P445" i="6"/>
  <c r="H445" i="6"/>
  <c r="V445" i="6"/>
  <c r="L445" i="6"/>
  <c r="J445" i="6"/>
  <c r="AM445" i="6"/>
  <c r="T445" i="6"/>
  <c r="N445" i="6"/>
  <c r="EG446" i="6"/>
  <c r="EH446" i="6" s="1"/>
  <c r="AA446" i="6" s="1"/>
  <c r="BK438" i="6" l="1"/>
  <c r="BV438" i="6"/>
  <c r="BQ438" i="6"/>
  <c r="BP438" i="6"/>
  <c r="Y5872" i="5"/>
  <c r="Z5872" i="5"/>
  <c r="AA5872" i="5"/>
  <c r="BY440" i="6"/>
  <c r="CE440" i="6"/>
  <c r="CD440" i="6"/>
  <c r="CJ440" i="6"/>
  <c r="AA1418" i="5"/>
  <c r="Y1418" i="5"/>
  <c r="Z1418" i="5"/>
  <c r="AA5873" i="5"/>
  <c r="Y5873" i="5"/>
  <c r="Z5873" i="5"/>
  <c r="AN434" i="6"/>
  <c r="AO434" i="6"/>
  <c r="AT434" i="6"/>
  <c r="AA2902" i="5"/>
  <c r="Z2902" i="5"/>
  <c r="Y2902" i="5"/>
  <c r="DY445" i="6"/>
  <c r="DO445" i="6"/>
  <c r="AA3398" i="5"/>
  <c r="Y3398" i="5"/>
  <c r="Z3398" i="5"/>
  <c r="DL443" i="6"/>
  <c r="DA443" i="6"/>
  <c r="DF443" i="6"/>
  <c r="DG443" i="6"/>
  <c r="AA2407" i="5"/>
  <c r="Z2407" i="5"/>
  <c r="Y2407" i="5"/>
  <c r="AA428" i="5"/>
  <c r="Z428" i="5"/>
  <c r="Y428" i="5"/>
  <c r="DL444" i="6"/>
  <c r="DA444" i="6"/>
  <c r="DG444" i="6"/>
  <c r="DF444" i="6"/>
  <c r="AA4388" i="5"/>
  <c r="Y4388" i="5"/>
  <c r="Z4388" i="5"/>
  <c r="AA2903" i="5"/>
  <c r="Z2903" i="5"/>
  <c r="Y2903" i="5"/>
  <c r="BW439" i="6"/>
  <c r="BR439" i="6"/>
  <c r="CC439" i="6"/>
  <c r="BX439" i="6"/>
  <c r="AA3893" i="5"/>
  <c r="Y3893" i="5"/>
  <c r="Z3893" i="5"/>
  <c r="AP435" i="6"/>
  <c r="AU435" i="6"/>
  <c r="BA435" i="6"/>
  <c r="AV435" i="6"/>
  <c r="AA923" i="5"/>
  <c r="Y923" i="5"/>
  <c r="Z923" i="5"/>
  <c r="CF441" i="6"/>
  <c r="CL441" i="6"/>
  <c r="CK441" i="6"/>
  <c r="CQ441" i="6"/>
  <c r="Y5377" i="5"/>
  <c r="Z5377" i="5"/>
  <c r="AA5377" i="5"/>
  <c r="BO436" i="6"/>
  <c r="BD436" i="6"/>
  <c r="BJ436" i="6"/>
  <c r="BI436" i="6"/>
  <c r="BK437" i="6"/>
  <c r="BV437" i="6"/>
  <c r="BQ437" i="6"/>
  <c r="BP437" i="6"/>
  <c r="CT442" i="6"/>
  <c r="CY442" i="6"/>
  <c r="DE442" i="6"/>
  <c r="CZ442" i="6"/>
  <c r="X447" i="6"/>
  <c r="P447" i="6"/>
  <c r="H447" i="6"/>
  <c r="F447" i="6"/>
  <c r="V447" i="6"/>
  <c r="L447" i="6"/>
  <c r="D447" i="6"/>
  <c r="Z447" i="6"/>
  <c r="T447" i="6"/>
  <c r="N447" i="6"/>
  <c r="AB447" i="6"/>
  <c r="DT447" i="6" s="1"/>
  <c r="R447" i="6"/>
  <c r="J447" i="6"/>
  <c r="AM447" i="6"/>
  <c r="AI447" i="6"/>
  <c r="AK447" i="6"/>
  <c r="R446" i="6"/>
  <c r="J446" i="6"/>
  <c r="X446" i="6"/>
  <c r="N446" i="6"/>
  <c r="D446" i="6"/>
  <c r="V446" i="6"/>
  <c r="P446" i="6"/>
  <c r="H446" i="6"/>
  <c r="Z446" i="6"/>
  <c r="T446" i="6"/>
  <c r="L446" i="6"/>
  <c r="F446" i="6"/>
  <c r="AM446" i="6"/>
  <c r="AB446" i="6"/>
  <c r="DT446" i="6" s="1"/>
  <c r="AI446" i="6"/>
  <c r="AK446" i="6"/>
  <c r="EF448" i="6"/>
  <c r="EG448" i="6" s="1"/>
  <c r="EH448" i="6" s="1"/>
  <c r="AA448" i="6" s="1"/>
  <c r="DX445" i="6"/>
  <c r="AA6368" i="5" s="1"/>
  <c r="DO447" i="6" l="1"/>
  <c r="DY447" i="6"/>
  <c r="AA4883" i="5"/>
  <c r="Y4883" i="5"/>
  <c r="Z4883" i="5"/>
  <c r="AN435" i="6"/>
  <c r="AT435" i="6"/>
  <c r="AO435" i="6"/>
  <c r="CT444" i="6"/>
  <c r="CZ444" i="6"/>
  <c r="CY444" i="6"/>
  <c r="DE444" i="6"/>
  <c r="Y429" i="5"/>
  <c r="AA429" i="5"/>
  <c r="Z429" i="5"/>
  <c r="BR440" i="6"/>
  <c r="CC440" i="6"/>
  <c r="BX440" i="6"/>
  <c r="BW440" i="6"/>
  <c r="DO446" i="6"/>
  <c r="DY446" i="6"/>
  <c r="AA2408" i="5"/>
  <c r="Z2408" i="5"/>
  <c r="Y2408" i="5"/>
  <c r="BH436" i="6"/>
  <c r="AW436" i="6"/>
  <c r="BB436" i="6"/>
  <c r="BC436" i="6"/>
  <c r="CD441" i="6"/>
  <c r="BY441" i="6"/>
  <c r="CJ441" i="6"/>
  <c r="CE441" i="6"/>
  <c r="AA2904" i="5"/>
  <c r="Y2904" i="5"/>
  <c r="Z2904" i="5"/>
  <c r="Y5379" i="5"/>
  <c r="AA5379" i="5"/>
  <c r="Z5379" i="5"/>
  <c r="AA3399" i="5"/>
  <c r="Y3399" i="5"/>
  <c r="Z3399" i="5"/>
  <c r="CM442" i="6"/>
  <c r="CS442" i="6"/>
  <c r="CR442" i="6"/>
  <c r="CX442" i="6"/>
  <c r="BO437" i="6"/>
  <c r="BD437" i="6"/>
  <c r="BI437" i="6"/>
  <c r="BJ437" i="6"/>
  <c r="Y1913" i="5"/>
  <c r="AA1913" i="5"/>
  <c r="Z1913" i="5"/>
  <c r="AA3894" i="5"/>
  <c r="Y3894" i="5"/>
  <c r="Z3894" i="5"/>
  <c r="AA924" i="5"/>
  <c r="Y924" i="5"/>
  <c r="Z924" i="5"/>
  <c r="BP439" i="6"/>
  <c r="BK439" i="6"/>
  <c r="BQ439" i="6"/>
  <c r="BV439" i="6"/>
  <c r="CT443" i="6"/>
  <c r="CZ443" i="6"/>
  <c r="CY443" i="6"/>
  <c r="DE443" i="6"/>
  <c r="AA2409" i="5"/>
  <c r="Y2409" i="5"/>
  <c r="Z2409" i="5"/>
  <c r="Y5378" i="5"/>
  <c r="AA5378" i="5"/>
  <c r="Z5378" i="5"/>
  <c r="DH445" i="6"/>
  <c r="DM445" i="6"/>
  <c r="DS445" i="6"/>
  <c r="DN445" i="6"/>
  <c r="BO438" i="6"/>
  <c r="BI438" i="6"/>
  <c r="BD438" i="6"/>
  <c r="BJ438" i="6"/>
  <c r="Y6368" i="5"/>
  <c r="Z6368" i="5"/>
  <c r="DX446" i="6"/>
  <c r="AA6369" i="5" s="1"/>
  <c r="DX447" i="6"/>
  <c r="AA6370" i="5" s="1"/>
  <c r="F448" i="6"/>
  <c r="T448" i="6"/>
  <c r="R448" i="6"/>
  <c r="P448" i="6"/>
  <c r="J448" i="6"/>
  <c r="X448" i="6"/>
  <c r="L448" i="6"/>
  <c r="H448" i="6"/>
  <c r="V448" i="6"/>
  <c r="N448" i="6"/>
  <c r="D448" i="6"/>
  <c r="AI448" i="6"/>
  <c r="Z448" i="6"/>
  <c r="AM448" i="6"/>
  <c r="AB448" i="6"/>
  <c r="DT448" i="6" s="1"/>
  <c r="AK448" i="6"/>
  <c r="EF449" i="6"/>
  <c r="EG449" i="6" s="1"/>
  <c r="EH449" i="6" s="1"/>
  <c r="AA449" i="6" s="1"/>
  <c r="BO439" i="6" l="1"/>
  <c r="BD439" i="6"/>
  <c r="BJ439" i="6"/>
  <c r="BI439" i="6"/>
  <c r="DS446" i="6"/>
  <c r="DM446" i="6"/>
  <c r="DN446" i="6"/>
  <c r="DH446" i="6"/>
  <c r="BK440" i="6"/>
  <c r="BV440" i="6"/>
  <c r="BQ440" i="6"/>
  <c r="BP440" i="6"/>
  <c r="AA4885" i="5"/>
  <c r="Z4885" i="5"/>
  <c r="Y4885" i="5"/>
  <c r="DO448" i="6"/>
  <c r="DY448" i="6"/>
  <c r="BH438" i="6"/>
  <c r="AW438" i="6"/>
  <c r="BB438" i="6"/>
  <c r="BC438" i="6"/>
  <c r="AA5874" i="5"/>
  <c r="Y5874" i="5"/>
  <c r="Z5874" i="5"/>
  <c r="CR443" i="6"/>
  <c r="CM443" i="6"/>
  <c r="CX443" i="6"/>
  <c r="CS443" i="6"/>
  <c r="BH437" i="6"/>
  <c r="AW437" i="6"/>
  <c r="BB437" i="6"/>
  <c r="BC437" i="6"/>
  <c r="AA3400" i="5"/>
  <c r="Y3400" i="5"/>
  <c r="Z3400" i="5"/>
  <c r="AA430" i="5"/>
  <c r="Y430" i="5"/>
  <c r="Z430" i="5"/>
  <c r="AA4884" i="5"/>
  <c r="Z4884" i="5"/>
  <c r="Y4884" i="5"/>
  <c r="AA2410" i="5"/>
  <c r="Y2410" i="5"/>
  <c r="Z2410" i="5"/>
  <c r="AA1914" i="5"/>
  <c r="Y1914" i="5"/>
  <c r="Z1914" i="5"/>
  <c r="CF442" i="6"/>
  <c r="CQ442" i="6"/>
  <c r="CL442" i="6"/>
  <c r="CK442" i="6"/>
  <c r="BW441" i="6"/>
  <c r="BR441" i="6"/>
  <c r="CC441" i="6"/>
  <c r="BX441" i="6"/>
  <c r="AP436" i="6"/>
  <c r="BA436" i="6"/>
  <c r="AU436" i="6"/>
  <c r="AV436" i="6"/>
  <c r="Y1915" i="5"/>
  <c r="Z1915" i="5"/>
  <c r="AA1915" i="5"/>
  <c r="DA445" i="6"/>
  <c r="DL445" i="6"/>
  <c r="DF445" i="6"/>
  <c r="DG445" i="6"/>
  <c r="AA4389" i="5"/>
  <c r="Z4389" i="5"/>
  <c r="Y4389" i="5"/>
  <c r="Y1419" i="5"/>
  <c r="AA1419" i="5"/>
  <c r="Z1419" i="5"/>
  <c r="AA2905" i="5"/>
  <c r="Y2905" i="5"/>
  <c r="Z2905" i="5"/>
  <c r="CM444" i="6"/>
  <c r="CR444" i="6"/>
  <c r="CS444" i="6"/>
  <c r="CX444" i="6"/>
  <c r="DS447" i="6"/>
  <c r="DN447" i="6"/>
  <c r="DM447" i="6"/>
  <c r="DH447" i="6"/>
  <c r="Y6370" i="5"/>
  <c r="Z6370" i="5"/>
  <c r="Y6369" i="5"/>
  <c r="Z6369" i="5"/>
  <c r="EF450" i="6"/>
  <c r="DX448" i="6"/>
  <c r="AA6371" i="5" s="1"/>
  <c r="F449" i="6"/>
  <c r="Z449" i="6"/>
  <c r="T449" i="6"/>
  <c r="N449" i="6"/>
  <c r="AI449" i="6"/>
  <c r="AK449" i="6"/>
  <c r="R449" i="6"/>
  <c r="H449" i="6"/>
  <c r="X449" i="6"/>
  <c r="P449" i="6"/>
  <c r="D449" i="6"/>
  <c r="AM449" i="6"/>
  <c r="V449" i="6"/>
  <c r="L449" i="6"/>
  <c r="J449" i="6"/>
  <c r="AB449" i="6"/>
  <c r="DT449" i="6" s="1"/>
  <c r="Y5876" i="5" l="1"/>
  <c r="Z5876" i="5"/>
  <c r="AA5876" i="5"/>
  <c r="CF444" i="6"/>
  <c r="CL444" i="6"/>
  <c r="CK444" i="6"/>
  <c r="CQ444" i="6"/>
  <c r="Y5380" i="5"/>
  <c r="AA5380" i="5"/>
  <c r="Z5380" i="5"/>
  <c r="AN436" i="6"/>
  <c r="AO436" i="6"/>
  <c r="AT436" i="6"/>
  <c r="BY442" i="6"/>
  <c r="CE442" i="6"/>
  <c r="CD442" i="6"/>
  <c r="CJ442" i="6"/>
  <c r="DH448" i="6"/>
  <c r="DN448" i="6"/>
  <c r="DS448" i="6"/>
  <c r="DM448" i="6"/>
  <c r="DA446" i="6"/>
  <c r="DL446" i="6"/>
  <c r="DG446" i="6"/>
  <c r="DF446" i="6"/>
  <c r="DA447" i="6"/>
  <c r="DL447" i="6"/>
  <c r="DG447" i="6"/>
  <c r="DF447" i="6"/>
  <c r="AA4391" i="5"/>
  <c r="Y4391" i="5"/>
  <c r="Z4391" i="5"/>
  <c r="CT445" i="6"/>
  <c r="CY445" i="6"/>
  <c r="DE445" i="6"/>
  <c r="CZ445" i="6"/>
  <c r="AA4390" i="5"/>
  <c r="Y4390" i="5"/>
  <c r="Z4390" i="5"/>
  <c r="AP438" i="6"/>
  <c r="AU438" i="6"/>
  <c r="BA438" i="6"/>
  <c r="AV438" i="6"/>
  <c r="AA2906" i="5"/>
  <c r="Z2906" i="5"/>
  <c r="Y2906" i="5"/>
  <c r="AP437" i="6"/>
  <c r="BA437" i="6"/>
  <c r="AV437" i="6"/>
  <c r="AU437" i="6"/>
  <c r="CF443" i="6"/>
  <c r="CL443" i="6"/>
  <c r="CK443" i="6"/>
  <c r="CQ443" i="6"/>
  <c r="Y1421" i="5"/>
  <c r="AA1421" i="5"/>
  <c r="Z1421" i="5"/>
  <c r="AA2411" i="5"/>
  <c r="Y2411" i="5"/>
  <c r="Z2411" i="5"/>
  <c r="AW439" i="6"/>
  <c r="BC439" i="6"/>
  <c r="BH439" i="6"/>
  <c r="BB439" i="6"/>
  <c r="DY449" i="6"/>
  <c r="DO449" i="6"/>
  <c r="AA925" i="5"/>
  <c r="Y925" i="5"/>
  <c r="Z925" i="5"/>
  <c r="BP441" i="6"/>
  <c r="BK441" i="6"/>
  <c r="BV441" i="6"/>
  <c r="BQ441" i="6"/>
  <c r="AA3895" i="5"/>
  <c r="Z3895" i="5"/>
  <c r="Y3895" i="5"/>
  <c r="AA1420" i="5"/>
  <c r="Y1420" i="5"/>
  <c r="Z1420" i="5"/>
  <c r="BO440" i="6"/>
  <c r="BD440" i="6"/>
  <c r="BI440" i="6"/>
  <c r="BJ440" i="6"/>
  <c r="Y5875" i="5"/>
  <c r="AA5875" i="5"/>
  <c r="Z5875" i="5"/>
  <c r="Y1916" i="5"/>
  <c r="AA1916" i="5"/>
  <c r="Z1916" i="5"/>
  <c r="Y6371" i="5"/>
  <c r="Z6371" i="5"/>
  <c r="DX449" i="6"/>
  <c r="AA6372" i="5" s="1"/>
  <c r="EF451" i="6"/>
  <c r="EG451" i="6" s="1"/>
  <c r="EH451" i="6" s="1"/>
  <c r="AA451" i="6" s="1"/>
  <c r="EG450" i="6"/>
  <c r="EH450" i="6" s="1"/>
  <c r="AA450" i="6" s="1"/>
  <c r="Y1917" i="5" l="1"/>
  <c r="AA1917" i="5"/>
  <c r="Z1917" i="5"/>
  <c r="AA2412" i="5"/>
  <c r="Y2412" i="5"/>
  <c r="Z2412" i="5"/>
  <c r="AA926" i="5"/>
  <c r="Y926" i="5"/>
  <c r="Z926" i="5"/>
  <c r="AN438" i="6"/>
  <c r="AO438" i="6"/>
  <c r="AT438" i="6"/>
  <c r="AA5877" i="5"/>
  <c r="Y5877" i="5"/>
  <c r="Z5877" i="5"/>
  <c r="BY444" i="6"/>
  <c r="CJ444" i="6"/>
  <c r="CE444" i="6"/>
  <c r="CD444" i="6"/>
  <c r="BO441" i="6"/>
  <c r="BD441" i="6"/>
  <c r="BJ441" i="6"/>
  <c r="BI441" i="6"/>
  <c r="AA1422" i="5"/>
  <c r="Z1422" i="5"/>
  <c r="Y1422" i="5"/>
  <c r="BY443" i="6"/>
  <c r="CD443" i="6"/>
  <c r="CJ443" i="6"/>
  <c r="CE443" i="6"/>
  <c r="AN437" i="6"/>
  <c r="AO437" i="6"/>
  <c r="AT437" i="6"/>
  <c r="AA4886" i="5"/>
  <c r="Y4886" i="5"/>
  <c r="Z4886" i="5"/>
  <c r="Y5382" i="5"/>
  <c r="Z5382" i="5"/>
  <c r="AA5382" i="5"/>
  <c r="Y5381" i="5"/>
  <c r="Z5381" i="5"/>
  <c r="AA5381" i="5"/>
  <c r="AA3897" i="5"/>
  <c r="Y3897" i="5"/>
  <c r="Z3897" i="5"/>
  <c r="DH449" i="6"/>
  <c r="DM449" i="6"/>
  <c r="DN449" i="6"/>
  <c r="DS449" i="6"/>
  <c r="AA3896" i="5"/>
  <c r="Y3896" i="5"/>
  <c r="Z3896" i="5"/>
  <c r="AA927" i="5"/>
  <c r="Y927" i="5"/>
  <c r="Z927" i="5"/>
  <c r="CT447" i="6"/>
  <c r="CY447" i="6"/>
  <c r="CZ447" i="6"/>
  <c r="DE447" i="6"/>
  <c r="CT446" i="6"/>
  <c r="DE446" i="6"/>
  <c r="CY446" i="6"/>
  <c r="CZ446" i="6"/>
  <c r="DG448" i="6"/>
  <c r="DA448" i="6"/>
  <c r="DL448" i="6"/>
  <c r="DF448" i="6"/>
  <c r="BR442" i="6"/>
  <c r="CC442" i="6"/>
  <c r="BX442" i="6"/>
  <c r="BW442" i="6"/>
  <c r="BH440" i="6"/>
  <c r="AW440" i="6"/>
  <c r="BC440" i="6"/>
  <c r="BB440" i="6"/>
  <c r="AU439" i="6"/>
  <c r="AP439" i="6"/>
  <c r="BA439" i="6"/>
  <c r="AV439" i="6"/>
  <c r="CM445" i="6"/>
  <c r="CS445" i="6"/>
  <c r="CR445" i="6"/>
  <c r="CX445" i="6"/>
  <c r="AA3401" i="5"/>
  <c r="Y3401" i="5"/>
  <c r="Z3401" i="5"/>
  <c r="Y431" i="5"/>
  <c r="AA431" i="5"/>
  <c r="Z431" i="5"/>
  <c r="Y6372" i="5"/>
  <c r="Z6372" i="5"/>
  <c r="R450" i="6"/>
  <c r="D450" i="6"/>
  <c r="X450" i="6"/>
  <c r="N450" i="6"/>
  <c r="P450" i="6"/>
  <c r="V450" i="6"/>
  <c r="L450" i="6"/>
  <c r="Z450" i="6"/>
  <c r="T450" i="6"/>
  <c r="J450" i="6"/>
  <c r="F450" i="6"/>
  <c r="AB450" i="6"/>
  <c r="DT450" i="6" s="1"/>
  <c r="H450" i="6"/>
  <c r="AM450" i="6"/>
  <c r="AI450" i="6"/>
  <c r="AK450" i="6"/>
  <c r="T451" i="6"/>
  <c r="J451" i="6"/>
  <c r="D451" i="6"/>
  <c r="Z451" i="6"/>
  <c r="AB451" i="6"/>
  <c r="DT451" i="6" s="1"/>
  <c r="R451" i="6"/>
  <c r="H451" i="6"/>
  <c r="N451" i="6"/>
  <c r="V451" i="6"/>
  <c r="P451" i="6"/>
  <c r="X451" i="6"/>
  <c r="L451" i="6"/>
  <c r="F451" i="6"/>
  <c r="AM451" i="6"/>
  <c r="AI451" i="6"/>
  <c r="AK451" i="6"/>
  <c r="EF452" i="6"/>
  <c r="BK442" i="6" l="1"/>
  <c r="BV442" i="6"/>
  <c r="BQ442" i="6"/>
  <c r="BP442" i="6"/>
  <c r="CM446" i="6"/>
  <c r="CX446" i="6"/>
  <c r="CS446" i="6"/>
  <c r="CR446" i="6"/>
  <c r="CM447" i="6"/>
  <c r="CR447" i="6"/>
  <c r="CX447" i="6"/>
  <c r="CS447" i="6"/>
  <c r="AA1918" i="5"/>
  <c r="Y1918" i="5"/>
  <c r="Z1918" i="5"/>
  <c r="BR444" i="6"/>
  <c r="BX444" i="6"/>
  <c r="BW444" i="6"/>
  <c r="CC444" i="6"/>
  <c r="Y433" i="5"/>
  <c r="AA433" i="5"/>
  <c r="Z433" i="5"/>
  <c r="DO451" i="6"/>
  <c r="DY451" i="6"/>
  <c r="DO450" i="6"/>
  <c r="DY450" i="6"/>
  <c r="AA4392" i="5"/>
  <c r="Y4392" i="5"/>
  <c r="Z4392" i="5"/>
  <c r="AA4888" i="5"/>
  <c r="Y4888" i="5"/>
  <c r="Z4888" i="5"/>
  <c r="BR443" i="6"/>
  <c r="BW443" i="6"/>
  <c r="CC443" i="6"/>
  <c r="BX443" i="6"/>
  <c r="CF445" i="6"/>
  <c r="CL445" i="6"/>
  <c r="CK445" i="6"/>
  <c r="CQ445" i="6"/>
  <c r="Y1423" i="5"/>
  <c r="Z1423" i="5"/>
  <c r="AA1423" i="5"/>
  <c r="AA928" i="5"/>
  <c r="Y928" i="5"/>
  <c r="Z928" i="5"/>
  <c r="Y5383" i="5"/>
  <c r="Z5383" i="5"/>
  <c r="AA5383" i="5"/>
  <c r="DL449" i="6"/>
  <c r="DF449" i="6"/>
  <c r="DA449" i="6"/>
  <c r="DG449" i="6"/>
  <c r="AT439" i="6"/>
  <c r="AO439" i="6"/>
  <c r="AN439" i="6"/>
  <c r="AP440" i="6"/>
  <c r="AU440" i="6"/>
  <c r="BA440" i="6"/>
  <c r="AV440" i="6"/>
  <c r="AA2907" i="5"/>
  <c r="Y2907" i="5"/>
  <c r="Z2907" i="5"/>
  <c r="CT448" i="6"/>
  <c r="CY448" i="6"/>
  <c r="CZ448" i="6"/>
  <c r="DE448" i="6"/>
  <c r="AA4887" i="5"/>
  <c r="Y4887" i="5"/>
  <c r="Z4887" i="5"/>
  <c r="AA5878" i="5"/>
  <c r="Y5878" i="5"/>
  <c r="Z5878" i="5"/>
  <c r="AA432" i="5"/>
  <c r="Z432" i="5"/>
  <c r="Y432" i="5"/>
  <c r="AA3402" i="5"/>
  <c r="Y3402" i="5"/>
  <c r="Z3402" i="5"/>
  <c r="BH441" i="6"/>
  <c r="AW441" i="6"/>
  <c r="BB441" i="6"/>
  <c r="BC441" i="6"/>
  <c r="AA3403" i="5"/>
  <c r="Y3403" i="5"/>
  <c r="Z3403" i="5"/>
  <c r="EF453" i="6"/>
  <c r="DX451" i="6"/>
  <c r="AA6374" i="5" s="1"/>
  <c r="EG452" i="6"/>
  <c r="EH452" i="6" s="1"/>
  <c r="AA452" i="6" s="1"/>
  <c r="DX450" i="6"/>
  <c r="AA6373" i="5" s="1"/>
  <c r="BY445" i="6" l="1"/>
  <c r="CE445" i="6"/>
  <c r="CD445" i="6"/>
  <c r="CJ445" i="6"/>
  <c r="CF447" i="6"/>
  <c r="CK447" i="6"/>
  <c r="CQ447" i="6"/>
  <c r="CL447" i="6"/>
  <c r="CM448" i="6"/>
  <c r="CR448" i="6"/>
  <c r="CS448" i="6"/>
  <c r="CX448" i="6"/>
  <c r="CT449" i="6"/>
  <c r="DE449" i="6"/>
  <c r="CY449" i="6"/>
  <c r="CZ449" i="6"/>
  <c r="AA3898" i="5"/>
  <c r="Z3898" i="5"/>
  <c r="Y3898" i="5"/>
  <c r="BK444" i="6"/>
  <c r="BQ444" i="6"/>
  <c r="BP444" i="6"/>
  <c r="BV444" i="6"/>
  <c r="AU441" i="6"/>
  <c r="AP441" i="6"/>
  <c r="AV441" i="6"/>
  <c r="BA441" i="6"/>
  <c r="DS450" i="6"/>
  <c r="DM450" i="6"/>
  <c r="DN450" i="6"/>
  <c r="DH450" i="6"/>
  <c r="DS451" i="6"/>
  <c r="DN451" i="6"/>
  <c r="DH451" i="6"/>
  <c r="DM451" i="6"/>
  <c r="AA4394" i="5"/>
  <c r="Y4394" i="5"/>
  <c r="Z4394" i="5"/>
  <c r="AN440" i="6"/>
  <c r="AO440" i="6"/>
  <c r="AT440" i="6"/>
  <c r="CF446" i="6"/>
  <c r="CL446" i="6"/>
  <c r="CK446" i="6"/>
  <c r="CQ446" i="6"/>
  <c r="Y1424" i="5"/>
  <c r="Z1424" i="5"/>
  <c r="AA1424" i="5"/>
  <c r="AA4889" i="5"/>
  <c r="Z4889" i="5"/>
  <c r="Y4889" i="5"/>
  <c r="AA929" i="5"/>
  <c r="Y929" i="5"/>
  <c r="Z929" i="5"/>
  <c r="AA2908" i="5"/>
  <c r="Y2908" i="5"/>
  <c r="Z2908" i="5"/>
  <c r="AA2909" i="5"/>
  <c r="Y2909" i="5"/>
  <c r="Z2909" i="5"/>
  <c r="AA434" i="5"/>
  <c r="Z434" i="5"/>
  <c r="Y434" i="5"/>
  <c r="Y5384" i="5"/>
  <c r="AA5384" i="5"/>
  <c r="Z5384" i="5"/>
  <c r="AA4393" i="5"/>
  <c r="Y4393" i="5"/>
  <c r="Z4393" i="5"/>
  <c r="AA2413" i="5"/>
  <c r="Y2413" i="5"/>
  <c r="Z2413" i="5"/>
  <c r="BP443" i="6"/>
  <c r="BK443" i="6"/>
  <c r="BV443" i="6"/>
  <c r="BQ443" i="6"/>
  <c r="BO442" i="6"/>
  <c r="BD442" i="6"/>
  <c r="BI442" i="6"/>
  <c r="BJ442" i="6"/>
  <c r="Y6373" i="5"/>
  <c r="Z6373" i="5"/>
  <c r="Y6374" i="5"/>
  <c r="Z6374" i="5"/>
  <c r="EF454" i="6"/>
  <c r="EG454" i="6" s="1"/>
  <c r="EH454" i="6" s="1"/>
  <c r="AA454" i="6" s="1"/>
  <c r="F452" i="6"/>
  <c r="X452" i="6"/>
  <c r="L452" i="6"/>
  <c r="H452" i="6"/>
  <c r="V452" i="6"/>
  <c r="R452" i="6"/>
  <c r="D452" i="6"/>
  <c r="T452" i="6"/>
  <c r="N452" i="6"/>
  <c r="P452" i="6"/>
  <c r="J452" i="6"/>
  <c r="AK452" i="6"/>
  <c r="AI452" i="6"/>
  <c r="Z452" i="6"/>
  <c r="AB452" i="6"/>
  <c r="DT452" i="6" s="1"/>
  <c r="AM452" i="6"/>
  <c r="EG453" i="6"/>
  <c r="EH453" i="6" s="1"/>
  <c r="AA453" i="6" s="1"/>
  <c r="AT441" i="6" l="1"/>
  <c r="AN441" i="6"/>
  <c r="AO441" i="6"/>
  <c r="Y5880" i="5"/>
  <c r="AA5880" i="5"/>
  <c r="Z5880" i="5"/>
  <c r="Y5879" i="5"/>
  <c r="AA5879" i="5"/>
  <c r="Z5879" i="5"/>
  <c r="BO444" i="6"/>
  <c r="BD444" i="6"/>
  <c r="BJ444" i="6"/>
  <c r="BI444" i="6"/>
  <c r="AA4395" i="5"/>
  <c r="Y4395" i="5"/>
  <c r="Z4395" i="5"/>
  <c r="AA3404" i="5"/>
  <c r="Y3404" i="5"/>
  <c r="Z3404" i="5"/>
  <c r="DO452" i="6"/>
  <c r="DY452" i="6"/>
  <c r="Y1919" i="5"/>
  <c r="AA1919" i="5"/>
  <c r="Z1919" i="5"/>
  <c r="AA2414" i="5"/>
  <c r="Z2414" i="5"/>
  <c r="Y2414" i="5"/>
  <c r="DA450" i="6"/>
  <c r="DL450" i="6"/>
  <c r="DG450" i="6"/>
  <c r="DF450" i="6"/>
  <c r="AA930" i="5"/>
  <c r="Z930" i="5"/>
  <c r="Y930" i="5"/>
  <c r="AA2415" i="5"/>
  <c r="Y2415" i="5"/>
  <c r="Z2415" i="5"/>
  <c r="AA3900" i="5"/>
  <c r="Y3900" i="5"/>
  <c r="Z3900" i="5"/>
  <c r="BH442" i="6"/>
  <c r="AW442" i="6"/>
  <c r="BC442" i="6"/>
  <c r="BB442" i="6"/>
  <c r="BO443" i="6"/>
  <c r="BJ443" i="6"/>
  <c r="BD443" i="6"/>
  <c r="BI443" i="6"/>
  <c r="BY446" i="6"/>
  <c r="CE446" i="6"/>
  <c r="CD446" i="6"/>
  <c r="CJ446" i="6"/>
  <c r="DL451" i="6"/>
  <c r="DA451" i="6"/>
  <c r="DF451" i="6"/>
  <c r="DG451" i="6"/>
  <c r="AA4890" i="5"/>
  <c r="Z4890" i="5"/>
  <c r="Y4890" i="5"/>
  <c r="AA3899" i="5"/>
  <c r="Y3899" i="5"/>
  <c r="Z3899" i="5"/>
  <c r="Y435" i="5"/>
  <c r="AA435" i="5"/>
  <c r="Z435" i="5"/>
  <c r="CR449" i="6"/>
  <c r="CM449" i="6"/>
  <c r="CS449" i="6"/>
  <c r="CX449" i="6"/>
  <c r="CF448" i="6"/>
  <c r="CL448" i="6"/>
  <c r="CK448" i="6"/>
  <c r="CQ448" i="6"/>
  <c r="CD447" i="6"/>
  <c r="BY447" i="6"/>
  <c r="CJ447" i="6"/>
  <c r="CE447" i="6"/>
  <c r="BR445" i="6"/>
  <c r="CC445" i="6"/>
  <c r="BX445" i="6"/>
  <c r="BW445" i="6"/>
  <c r="F453" i="6"/>
  <c r="Z453" i="6"/>
  <c r="X453" i="6"/>
  <c r="P453" i="6"/>
  <c r="D453" i="6"/>
  <c r="AI453" i="6"/>
  <c r="AK453" i="6"/>
  <c r="V453" i="6"/>
  <c r="L453" i="6"/>
  <c r="H453" i="6"/>
  <c r="T453" i="6"/>
  <c r="N453" i="6"/>
  <c r="AM453" i="6"/>
  <c r="AB453" i="6"/>
  <c r="DT453" i="6" s="1"/>
  <c r="R453" i="6"/>
  <c r="J453" i="6"/>
  <c r="X454" i="6"/>
  <c r="N454" i="6"/>
  <c r="D454" i="6"/>
  <c r="Z454" i="6"/>
  <c r="V454" i="6"/>
  <c r="L454" i="6"/>
  <c r="H454" i="6"/>
  <c r="T454" i="6"/>
  <c r="P454" i="6"/>
  <c r="R454" i="6"/>
  <c r="J454" i="6"/>
  <c r="AB454" i="6"/>
  <c r="DT454" i="6" s="1"/>
  <c r="F454" i="6"/>
  <c r="AI454" i="6"/>
  <c r="AK454" i="6"/>
  <c r="AM454" i="6"/>
  <c r="DX452" i="6"/>
  <c r="AA6375" i="5" s="1"/>
  <c r="EF455" i="6"/>
  <c r="EG455" i="6" s="1"/>
  <c r="EH455" i="6" s="1"/>
  <c r="AA455" i="6" s="1"/>
  <c r="DO453" i="6" l="1"/>
  <c r="DY453" i="6"/>
  <c r="AA2910" i="5"/>
  <c r="Y2910" i="5"/>
  <c r="Z2910" i="5"/>
  <c r="AA3406" i="5"/>
  <c r="Y3406" i="5"/>
  <c r="Z3406" i="5"/>
  <c r="AA3405" i="5"/>
  <c r="Y3405" i="5"/>
  <c r="Z3405" i="5"/>
  <c r="CT450" i="6"/>
  <c r="CY450" i="6"/>
  <c r="CZ450" i="6"/>
  <c r="DE450" i="6"/>
  <c r="DH452" i="6"/>
  <c r="DN452" i="6"/>
  <c r="DM452" i="6"/>
  <c r="DS452" i="6"/>
  <c r="CF449" i="6"/>
  <c r="CK449" i="6"/>
  <c r="CQ449" i="6"/>
  <c r="CL449" i="6"/>
  <c r="AW443" i="6"/>
  <c r="BC443" i="6"/>
  <c r="BH443" i="6"/>
  <c r="BB443" i="6"/>
  <c r="BH444" i="6"/>
  <c r="AW444" i="6"/>
  <c r="BC444" i="6"/>
  <c r="BB444" i="6"/>
  <c r="BW447" i="6"/>
  <c r="BR447" i="6"/>
  <c r="BX447" i="6"/>
  <c r="CC447" i="6"/>
  <c r="BK445" i="6"/>
  <c r="BP445" i="6"/>
  <c r="BV445" i="6"/>
  <c r="BQ445" i="6"/>
  <c r="BY448" i="6"/>
  <c r="CE448" i="6"/>
  <c r="CD448" i="6"/>
  <c r="CJ448" i="6"/>
  <c r="CT451" i="6"/>
  <c r="DE451" i="6"/>
  <c r="CZ451" i="6"/>
  <c r="CY451" i="6"/>
  <c r="AP442" i="6"/>
  <c r="BA442" i="6"/>
  <c r="AU442" i="6"/>
  <c r="AV442" i="6"/>
  <c r="Y1921" i="5"/>
  <c r="AA1921" i="5"/>
  <c r="Z1921" i="5"/>
  <c r="DO454" i="6"/>
  <c r="DY454" i="6"/>
  <c r="AA3901" i="5"/>
  <c r="Y3901" i="5"/>
  <c r="Z3901" i="5"/>
  <c r="AA4396" i="5"/>
  <c r="Z4396" i="5"/>
  <c r="Y4396" i="5"/>
  <c r="Y5386" i="5"/>
  <c r="Z5386" i="5"/>
  <c r="AA5386" i="5"/>
  <c r="BR446" i="6"/>
  <c r="BW446" i="6"/>
  <c r="CC446" i="6"/>
  <c r="BX446" i="6"/>
  <c r="Y1920" i="5"/>
  <c r="AA1920" i="5"/>
  <c r="Z1920" i="5"/>
  <c r="Y1425" i="5"/>
  <c r="AA1425" i="5"/>
  <c r="Z1425" i="5"/>
  <c r="Y5385" i="5"/>
  <c r="AA5385" i="5"/>
  <c r="Z5385" i="5"/>
  <c r="AA436" i="5"/>
  <c r="Y436" i="5"/>
  <c r="Z436" i="5"/>
  <c r="Y6375" i="5"/>
  <c r="Z6375" i="5"/>
  <c r="DX454" i="6"/>
  <c r="AA6377" i="5" s="1"/>
  <c r="DX453" i="6"/>
  <c r="AA6376" i="5" s="1"/>
  <c r="Z455" i="6"/>
  <c r="V455" i="6"/>
  <c r="L455" i="6"/>
  <c r="T455" i="6"/>
  <c r="J455" i="6"/>
  <c r="AB455" i="6"/>
  <c r="DT455" i="6" s="1"/>
  <c r="R455" i="6"/>
  <c r="N455" i="6"/>
  <c r="F455" i="6"/>
  <c r="X455" i="6"/>
  <c r="P455" i="6"/>
  <c r="H455" i="6"/>
  <c r="AM455" i="6"/>
  <c r="D455" i="6"/>
  <c r="AI455" i="6"/>
  <c r="AK455" i="6"/>
  <c r="EF456" i="6"/>
  <c r="EG456" i="6" s="1"/>
  <c r="EH456" i="6" s="1"/>
  <c r="AA456" i="6" s="1"/>
  <c r="AN442" i="6" l="1"/>
  <c r="AO442" i="6"/>
  <c r="AT442" i="6"/>
  <c r="BO445" i="6"/>
  <c r="BD445" i="6"/>
  <c r="BI445" i="6"/>
  <c r="BJ445" i="6"/>
  <c r="Y1427" i="5"/>
  <c r="AA1427" i="5"/>
  <c r="Z1427" i="5"/>
  <c r="AP443" i="6"/>
  <c r="AU443" i="6"/>
  <c r="AV443" i="6"/>
  <c r="BA443" i="6"/>
  <c r="CD449" i="6"/>
  <c r="BY449" i="6"/>
  <c r="CE449" i="6"/>
  <c r="CJ449" i="6"/>
  <c r="DL452" i="6"/>
  <c r="DA452" i="6"/>
  <c r="DG452" i="6"/>
  <c r="DF452" i="6"/>
  <c r="CM450" i="6"/>
  <c r="CR450" i="6"/>
  <c r="CS450" i="6"/>
  <c r="CX450" i="6"/>
  <c r="CM451" i="6"/>
  <c r="CR451" i="6"/>
  <c r="CS451" i="6"/>
  <c r="CX451" i="6"/>
  <c r="DO455" i="6"/>
  <c r="DY455" i="6"/>
  <c r="DS454" i="6"/>
  <c r="DM454" i="6"/>
  <c r="DH454" i="6"/>
  <c r="DN454" i="6"/>
  <c r="AA3407" i="5"/>
  <c r="Z3407" i="5"/>
  <c r="Y3407" i="5"/>
  <c r="AA2912" i="5"/>
  <c r="Z2912" i="5"/>
  <c r="Y2912" i="5"/>
  <c r="AA5881" i="5"/>
  <c r="Y5881" i="5"/>
  <c r="Z5881" i="5"/>
  <c r="AA4891" i="5"/>
  <c r="Y4891" i="5"/>
  <c r="Z4891" i="5"/>
  <c r="AA2911" i="5"/>
  <c r="Y2911" i="5"/>
  <c r="Z2911" i="5"/>
  <c r="BR448" i="6"/>
  <c r="BX448" i="6"/>
  <c r="BW448" i="6"/>
  <c r="CC448" i="6"/>
  <c r="BK446" i="6"/>
  <c r="BQ446" i="6"/>
  <c r="BP446" i="6"/>
  <c r="BV446" i="6"/>
  <c r="AA2416" i="5"/>
  <c r="Y2416" i="5"/>
  <c r="Z2416" i="5"/>
  <c r="AA1426" i="5"/>
  <c r="Y1426" i="5"/>
  <c r="Z1426" i="5"/>
  <c r="AA3902" i="5"/>
  <c r="Y3902" i="5"/>
  <c r="Z3902" i="5"/>
  <c r="AA931" i="5"/>
  <c r="Z931" i="5"/>
  <c r="Y931" i="5"/>
  <c r="AA4892" i="5"/>
  <c r="Z4892" i="5"/>
  <c r="Y4892" i="5"/>
  <c r="BP447" i="6"/>
  <c r="BK447" i="6"/>
  <c r="BV447" i="6"/>
  <c r="BQ447" i="6"/>
  <c r="AP444" i="6"/>
  <c r="AV444" i="6"/>
  <c r="BA444" i="6"/>
  <c r="AU444" i="6"/>
  <c r="DH453" i="6"/>
  <c r="DN453" i="6"/>
  <c r="DM453" i="6"/>
  <c r="DS453" i="6"/>
  <c r="Y6376" i="5"/>
  <c r="Z6376" i="5"/>
  <c r="Y6377" i="5"/>
  <c r="Z6377" i="5"/>
  <c r="F456" i="6"/>
  <c r="T456" i="6"/>
  <c r="N456" i="6"/>
  <c r="R456" i="6"/>
  <c r="J456" i="6"/>
  <c r="X456" i="6"/>
  <c r="P456" i="6"/>
  <c r="H456" i="6"/>
  <c r="V456" i="6"/>
  <c r="L456" i="6"/>
  <c r="D456" i="6"/>
  <c r="Z456" i="6"/>
  <c r="AI456" i="6"/>
  <c r="AM456" i="6"/>
  <c r="AB456" i="6"/>
  <c r="DT456" i="6" s="1"/>
  <c r="AK456" i="6"/>
  <c r="DX455" i="6"/>
  <c r="AA6378" i="5" s="1"/>
  <c r="EG457" i="6"/>
  <c r="EH457" i="6" s="1"/>
  <c r="AA457" i="6" s="1"/>
  <c r="EF457" i="6"/>
  <c r="BO447" i="6" l="1"/>
  <c r="BD447" i="6"/>
  <c r="BJ447" i="6"/>
  <c r="BI447" i="6"/>
  <c r="BO446" i="6"/>
  <c r="BD446" i="6"/>
  <c r="BI446" i="6"/>
  <c r="BJ446" i="6"/>
  <c r="BK448" i="6"/>
  <c r="BQ448" i="6"/>
  <c r="BP448" i="6"/>
  <c r="BV448" i="6"/>
  <c r="CT452" i="6"/>
  <c r="DE452" i="6"/>
  <c r="CZ452" i="6"/>
  <c r="CY452" i="6"/>
  <c r="BR449" i="6"/>
  <c r="BW449" i="6"/>
  <c r="CC449" i="6"/>
  <c r="BX449" i="6"/>
  <c r="AA1922" i="5"/>
  <c r="Y1922" i="5"/>
  <c r="Z1922" i="5"/>
  <c r="AN444" i="6"/>
  <c r="AO444" i="6"/>
  <c r="AT444" i="6"/>
  <c r="AA2913" i="5"/>
  <c r="Z2913" i="5"/>
  <c r="Y2913" i="5"/>
  <c r="DS455" i="6"/>
  <c r="DM455" i="6"/>
  <c r="DN455" i="6"/>
  <c r="DH455" i="6"/>
  <c r="CF450" i="6"/>
  <c r="CL450" i="6"/>
  <c r="CK450" i="6"/>
  <c r="CQ450" i="6"/>
  <c r="Y5387" i="5"/>
  <c r="Z5387" i="5"/>
  <c r="AA5387" i="5"/>
  <c r="AN443" i="6"/>
  <c r="AT443" i="6"/>
  <c r="AO443" i="6"/>
  <c r="Y437" i="5"/>
  <c r="AA437" i="5"/>
  <c r="Z437" i="5"/>
  <c r="DF453" i="6"/>
  <c r="DA453" i="6"/>
  <c r="DL453" i="6"/>
  <c r="DG453" i="6"/>
  <c r="AA2417" i="5"/>
  <c r="Y2417" i="5"/>
  <c r="Z2417" i="5"/>
  <c r="DA454" i="6"/>
  <c r="DL454" i="6"/>
  <c r="DG454" i="6"/>
  <c r="DF454" i="6"/>
  <c r="CF451" i="6"/>
  <c r="CQ451" i="6"/>
  <c r="CL451" i="6"/>
  <c r="CK451" i="6"/>
  <c r="AA5882" i="5"/>
  <c r="Z5882" i="5"/>
  <c r="Y5882" i="5"/>
  <c r="AA4398" i="5"/>
  <c r="Y4398" i="5"/>
  <c r="Z4398" i="5"/>
  <c r="AA4397" i="5"/>
  <c r="Z4397" i="5"/>
  <c r="Y4397" i="5"/>
  <c r="AA3408" i="5"/>
  <c r="Y3408" i="5"/>
  <c r="Z3408" i="5"/>
  <c r="AA932" i="5"/>
  <c r="Y932" i="5"/>
  <c r="Z932" i="5"/>
  <c r="DO456" i="6"/>
  <c r="DY456" i="6"/>
  <c r="AA933" i="5"/>
  <c r="Y933" i="5"/>
  <c r="Z933" i="5"/>
  <c r="AA2418" i="5"/>
  <c r="Y2418" i="5"/>
  <c r="Z2418" i="5"/>
  <c r="Y5883" i="5"/>
  <c r="AA5883" i="5"/>
  <c r="Z5883" i="5"/>
  <c r="BH445" i="6"/>
  <c r="AW445" i="6"/>
  <c r="BB445" i="6"/>
  <c r="BC445" i="6"/>
  <c r="Y6378" i="5"/>
  <c r="Z6378" i="5"/>
  <c r="DX456" i="6"/>
  <c r="AA6379" i="5" s="1"/>
  <c r="F457" i="6"/>
  <c r="Z457" i="6"/>
  <c r="R457" i="6"/>
  <c r="T457" i="6"/>
  <c r="AI457" i="6"/>
  <c r="AK457" i="6"/>
  <c r="AB457" i="6"/>
  <c r="DT457" i="6" s="1"/>
  <c r="P457" i="6"/>
  <c r="J457" i="6"/>
  <c r="X457" i="6"/>
  <c r="L457" i="6"/>
  <c r="H457" i="6"/>
  <c r="AM457" i="6"/>
  <c r="V457" i="6"/>
  <c r="N457" i="6"/>
  <c r="D457" i="6"/>
  <c r="EF458" i="6"/>
  <c r="EG458" i="6" s="1"/>
  <c r="EH458" i="6" s="1"/>
  <c r="AA458" i="6" s="1"/>
  <c r="AP445" i="6" l="1"/>
  <c r="BA445" i="6"/>
  <c r="AV445" i="6"/>
  <c r="AU445" i="6"/>
  <c r="CT453" i="6"/>
  <c r="CZ453" i="6"/>
  <c r="DE453" i="6"/>
  <c r="CY453" i="6"/>
  <c r="AA2419" i="5"/>
  <c r="Z2419" i="5"/>
  <c r="Y2419" i="5"/>
  <c r="DH456" i="6"/>
  <c r="DN456" i="6"/>
  <c r="DM456" i="6"/>
  <c r="DS456" i="6"/>
  <c r="Y5388" i="5"/>
  <c r="Z5388" i="5"/>
  <c r="AA5388" i="5"/>
  <c r="AA3903" i="5"/>
  <c r="Y3903" i="5"/>
  <c r="Z3903" i="5"/>
  <c r="Y1428" i="5"/>
  <c r="AA1428" i="5"/>
  <c r="Z1428" i="5"/>
  <c r="AA3904" i="5"/>
  <c r="Y3904" i="5"/>
  <c r="Z3904" i="5"/>
  <c r="Y5389" i="5"/>
  <c r="AA5389" i="5"/>
  <c r="Z5389" i="5"/>
  <c r="AA2914" i="5"/>
  <c r="Z2914" i="5"/>
  <c r="Y2914" i="5"/>
  <c r="CD451" i="6"/>
  <c r="BY451" i="6"/>
  <c r="CJ451" i="6"/>
  <c r="CE451" i="6"/>
  <c r="CT454" i="6"/>
  <c r="CZ454" i="6"/>
  <c r="DE454" i="6"/>
  <c r="CY454" i="6"/>
  <c r="AA438" i="5"/>
  <c r="Z438" i="5"/>
  <c r="Y438" i="5"/>
  <c r="BY450" i="6"/>
  <c r="CJ450" i="6"/>
  <c r="CE450" i="6"/>
  <c r="CD450" i="6"/>
  <c r="Y5884" i="5"/>
  <c r="AA5884" i="5"/>
  <c r="Z5884" i="5"/>
  <c r="Y439" i="5"/>
  <c r="Z439" i="5"/>
  <c r="AA439" i="5"/>
  <c r="AA4893" i="5"/>
  <c r="Z4893" i="5"/>
  <c r="Y4893" i="5"/>
  <c r="BH446" i="6"/>
  <c r="AW446" i="6"/>
  <c r="BC446" i="6"/>
  <c r="BB446" i="6"/>
  <c r="AW447" i="6"/>
  <c r="BC447" i="6"/>
  <c r="BH447" i="6"/>
  <c r="BB447" i="6"/>
  <c r="DO457" i="6"/>
  <c r="DY457" i="6"/>
  <c r="DA455" i="6"/>
  <c r="DL455" i="6"/>
  <c r="DF455" i="6"/>
  <c r="DG455" i="6"/>
  <c r="BK449" i="6"/>
  <c r="BP449" i="6"/>
  <c r="BV449" i="6"/>
  <c r="BQ449" i="6"/>
  <c r="CM452" i="6"/>
  <c r="CS452" i="6"/>
  <c r="CR452" i="6"/>
  <c r="CX452" i="6"/>
  <c r="BO448" i="6"/>
  <c r="BD448" i="6"/>
  <c r="BI448" i="6"/>
  <c r="BJ448" i="6"/>
  <c r="Y1923" i="5"/>
  <c r="AA1923" i="5"/>
  <c r="Z1923" i="5"/>
  <c r="Y1924" i="5"/>
  <c r="AA1924" i="5"/>
  <c r="Z1924" i="5"/>
  <c r="Y6379" i="5"/>
  <c r="Z6379" i="5"/>
  <c r="EF459" i="6"/>
  <c r="DX457" i="6"/>
  <c r="AA6380" i="5" s="1"/>
  <c r="H458" i="6"/>
  <c r="Z458" i="6"/>
  <c r="V458" i="6"/>
  <c r="P458" i="6"/>
  <c r="T458" i="6"/>
  <c r="J458" i="6"/>
  <c r="R458" i="6"/>
  <c r="D458" i="6"/>
  <c r="X458" i="6"/>
  <c r="N458" i="6"/>
  <c r="L458" i="6"/>
  <c r="AM458" i="6"/>
  <c r="AB458" i="6"/>
  <c r="DT458" i="6" s="1"/>
  <c r="F458" i="6"/>
  <c r="AI458" i="6"/>
  <c r="AK458" i="6"/>
  <c r="Y1925" i="5" l="1"/>
  <c r="AA1925" i="5"/>
  <c r="Z1925" i="5"/>
  <c r="CF452" i="6"/>
  <c r="CK452" i="6"/>
  <c r="CQ452" i="6"/>
  <c r="CL452" i="6"/>
  <c r="BO449" i="6"/>
  <c r="BD449" i="6"/>
  <c r="BI449" i="6"/>
  <c r="BJ449" i="6"/>
  <c r="CT455" i="6"/>
  <c r="CY455" i="6"/>
  <c r="CZ455" i="6"/>
  <c r="DE455" i="6"/>
  <c r="AA1430" i="5"/>
  <c r="Y1430" i="5"/>
  <c r="Z1430" i="5"/>
  <c r="AA4895" i="5"/>
  <c r="Y4895" i="5"/>
  <c r="Z4895" i="5"/>
  <c r="AA3410" i="5"/>
  <c r="Y3410" i="5"/>
  <c r="Z3410" i="5"/>
  <c r="DL456" i="6"/>
  <c r="DA456" i="6"/>
  <c r="DG456" i="6"/>
  <c r="DF456" i="6"/>
  <c r="AA4399" i="5"/>
  <c r="Z4399" i="5"/>
  <c r="Y4399" i="5"/>
  <c r="AP446" i="6"/>
  <c r="AV446" i="6"/>
  <c r="BA446" i="6"/>
  <c r="AU446" i="6"/>
  <c r="BR451" i="6"/>
  <c r="BW451" i="6"/>
  <c r="CC451" i="6"/>
  <c r="BX451" i="6"/>
  <c r="AA5885" i="5"/>
  <c r="Y5885" i="5"/>
  <c r="Z5885" i="5"/>
  <c r="AA4894" i="5"/>
  <c r="Y4894" i="5"/>
  <c r="Z4894" i="5"/>
  <c r="DO458" i="6"/>
  <c r="DY458" i="6"/>
  <c r="AA2420" i="5"/>
  <c r="Y2420" i="5"/>
  <c r="Z2420" i="5"/>
  <c r="DM457" i="6"/>
  <c r="DH457" i="6"/>
  <c r="DN457" i="6"/>
  <c r="DS457" i="6"/>
  <c r="AU447" i="6"/>
  <c r="AP447" i="6"/>
  <c r="AV447" i="6"/>
  <c r="BA447" i="6"/>
  <c r="Y1429" i="5"/>
  <c r="AA1429" i="5"/>
  <c r="Z1429" i="5"/>
  <c r="AA3409" i="5"/>
  <c r="Z3409" i="5"/>
  <c r="Y3409" i="5"/>
  <c r="CM454" i="6"/>
  <c r="CS454" i="6"/>
  <c r="CX454" i="6"/>
  <c r="CR454" i="6"/>
  <c r="AA934" i="5"/>
  <c r="Z934" i="5"/>
  <c r="Y934" i="5"/>
  <c r="BH448" i="6"/>
  <c r="AW448" i="6"/>
  <c r="BC448" i="6"/>
  <c r="BB448" i="6"/>
  <c r="Y5390" i="5"/>
  <c r="AA5390" i="5"/>
  <c r="Z5390" i="5"/>
  <c r="BR450" i="6"/>
  <c r="CC450" i="6"/>
  <c r="BX450" i="6"/>
  <c r="BW450" i="6"/>
  <c r="CM453" i="6"/>
  <c r="CR453" i="6"/>
  <c r="CX453" i="6"/>
  <c r="CS453" i="6"/>
  <c r="AN445" i="6"/>
  <c r="AO445" i="6"/>
  <c r="AT445" i="6"/>
  <c r="Y6380" i="5"/>
  <c r="Z6380" i="5"/>
  <c r="EF460" i="6"/>
  <c r="EG459" i="6"/>
  <c r="EH459" i="6" s="1"/>
  <c r="AA459" i="6" s="1"/>
  <c r="DX458" i="6"/>
  <c r="AA6381" i="5" s="1"/>
  <c r="AP448" i="6" l="1"/>
  <c r="BA448" i="6"/>
  <c r="AV448" i="6"/>
  <c r="AU448" i="6"/>
  <c r="AT447" i="6"/>
  <c r="AO447" i="6"/>
  <c r="AN447" i="6"/>
  <c r="DL457" i="6"/>
  <c r="DA457" i="6"/>
  <c r="DF457" i="6"/>
  <c r="DG457" i="6"/>
  <c r="BP451" i="6"/>
  <c r="BK451" i="6"/>
  <c r="BV451" i="6"/>
  <c r="BQ451" i="6"/>
  <c r="AN446" i="6"/>
  <c r="AO446" i="6"/>
  <c r="AT446" i="6"/>
  <c r="CR455" i="6"/>
  <c r="CM455" i="6"/>
  <c r="CS455" i="6"/>
  <c r="CX455" i="6"/>
  <c r="AA1926" i="5"/>
  <c r="Y1926" i="5"/>
  <c r="Z1926" i="5"/>
  <c r="BY452" i="6"/>
  <c r="CJ452" i="6"/>
  <c r="CE452" i="6"/>
  <c r="CD452" i="6"/>
  <c r="CF453" i="6"/>
  <c r="CQ453" i="6"/>
  <c r="CL453" i="6"/>
  <c r="CK453" i="6"/>
  <c r="AA4401" i="5"/>
  <c r="Z4401" i="5"/>
  <c r="Y4401" i="5"/>
  <c r="AA4896" i="5"/>
  <c r="Y4896" i="5"/>
  <c r="Z4896" i="5"/>
  <c r="AA440" i="5"/>
  <c r="Z440" i="5"/>
  <c r="Y440" i="5"/>
  <c r="AA2915" i="5"/>
  <c r="Y2915" i="5"/>
  <c r="Z2915" i="5"/>
  <c r="Y1431" i="5"/>
  <c r="AA1431" i="5"/>
  <c r="Z1431" i="5"/>
  <c r="BK450" i="6"/>
  <c r="BP450" i="6"/>
  <c r="BV450" i="6"/>
  <c r="BQ450" i="6"/>
  <c r="AA936" i="5"/>
  <c r="Y936" i="5"/>
  <c r="Z936" i="5"/>
  <c r="AA5886" i="5"/>
  <c r="Y5886" i="5"/>
  <c r="Z5886" i="5"/>
  <c r="DS458" i="6"/>
  <c r="DH458" i="6"/>
  <c r="DM458" i="6"/>
  <c r="DN458" i="6"/>
  <c r="AA2916" i="5"/>
  <c r="Y2916" i="5"/>
  <c r="Z2916" i="5"/>
  <c r="AA935" i="5"/>
  <c r="Z935" i="5"/>
  <c r="Y935" i="5"/>
  <c r="CT456" i="6"/>
  <c r="CY456" i="6"/>
  <c r="CZ456" i="6"/>
  <c r="DE456" i="6"/>
  <c r="AA3905" i="5"/>
  <c r="Z3905" i="5"/>
  <c r="Y3905" i="5"/>
  <c r="AA4400" i="5"/>
  <c r="Y4400" i="5"/>
  <c r="Z4400" i="5"/>
  <c r="CF454" i="6"/>
  <c r="CK454" i="6"/>
  <c r="CQ454" i="6"/>
  <c r="CL454" i="6"/>
  <c r="Y5391" i="5"/>
  <c r="AA5391" i="5"/>
  <c r="Z5391" i="5"/>
  <c r="BH449" i="6"/>
  <c r="AW449" i="6"/>
  <c r="BB449" i="6"/>
  <c r="BC449" i="6"/>
  <c r="Y6381" i="5"/>
  <c r="Z6381" i="5"/>
  <c r="EF461" i="6"/>
  <c r="EG461" i="6" s="1"/>
  <c r="EH461" i="6" s="1"/>
  <c r="AA461" i="6" s="1"/>
  <c r="D459" i="6"/>
  <c r="X459" i="6"/>
  <c r="P459" i="6"/>
  <c r="H459" i="6"/>
  <c r="V459" i="6"/>
  <c r="L459" i="6"/>
  <c r="F459" i="6"/>
  <c r="T459" i="6"/>
  <c r="N459" i="6"/>
  <c r="Z459" i="6"/>
  <c r="R459" i="6"/>
  <c r="J459" i="6"/>
  <c r="AM459" i="6"/>
  <c r="AI459" i="6"/>
  <c r="AK459" i="6"/>
  <c r="AB459" i="6"/>
  <c r="DT459" i="6" s="1"/>
  <c r="EG460" i="6"/>
  <c r="EH460" i="6" s="1"/>
  <c r="AA460" i="6" s="1"/>
  <c r="CM456" i="6" l="1"/>
  <c r="CS456" i="6"/>
  <c r="CX456" i="6"/>
  <c r="CR456" i="6"/>
  <c r="AA4897" i="5"/>
  <c r="Y4897" i="5"/>
  <c r="Z4897" i="5"/>
  <c r="DA458" i="6"/>
  <c r="DL458" i="6"/>
  <c r="DG458" i="6"/>
  <c r="DF458" i="6"/>
  <c r="CF455" i="6"/>
  <c r="CL455" i="6"/>
  <c r="CK455" i="6"/>
  <c r="CQ455" i="6"/>
  <c r="Y5392" i="5"/>
  <c r="Z5392" i="5"/>
  <c r="AA5392" i="5"/>
  <c r="AU449" i="6"/>
  <c r="AP449" i="6"/>
  <c r="BA449" i="6"/>
  <c r="AV449" i="6"/>
  <c r="BY454" i="6"/>
  <c r="CJ454" i="6"/>
  <c r="CE454" i="6"/>
  <c r="CD454" i="6"/>
  <c r="Y5887" i="5"/>
  <c r="AA5887" i="5"/>
  <c r="Z5887" i="5"/>
  <c r="AA2421" i="5"/>
  <c r="Y2421" i="5"/>
  <c r="Z2421" i="5"/>
  <c r="AA3906" i="5"/>
  <c r="Y3906" i="5"/>
  <c r="Z3906" i="5"/>
  <c r="AA3411" i="5"/>
  <c r="Z3411" i="5"/>
  <c r="Y3411" i="5"/>
  <c r="AA3907" i="5"/>
  <c r="Y3907" i="5"/>
  <c r="Z3907" i="5"/>
  <c r="DO459" i="6"/>
  <c r="DY459" i="6"/>
  <c r="Y1432" i="5"/>
  <c r="AA1432" i="5"/>
  <c r="Z1432" i="5"/>
  <c r="BY453" i="6"/>
  <c r="CJ453" i="6"/>
  <c r="CE453" i="6"/>
  <c r="CD453" i="6"/>
  <c r="BR452" i="6"/>
  <c r="CC452" i="6"/>
  <c r="BX452" i="6"/>
  <c r="BW452" i="6"/>
  <c r="AA4402" i="5"/>
  <c r="Y4402" i="5"/>
  <c r="Z4402" i="5"/>
  <c r="Y441" i="5"/>
  <c r="AA441" i="5"/>
  <c r="Z441" i="5"/>
  <c r="AA2422" i="5"/>
  <c r="Y2422" i="5"/>
  <c r="Z2422" i="5"/>
  <c r="AA937" i="5"/>
  <c r="Y937" i="5"/>
  <c r="Z937" i="5"/>
  <c r="BO450" i="6"/>
  <c r="BD450" i="6"/>
  <c r="BI450" i="6"/>
  <c r="BJ450" i="6"/>
  <c r="BO451" i="6"/>
  <c r="BD451" i="6"/>
  <c r="BJ451" i="6"/>
  <c r="BI451" i="6"/>
  <c r="CT457" i="6"/>
  <c r="CZ457" i="6"/>
  <c r="CY457" i="6"/>
  <c r="DE457" i="6"/>
  <c r="AA442" i="5"/>
  <c r="Z442" i="5"/>
  <c r="Y442" i="5"/>
  <c r="AN448" i="6"/>
  <c r="AO448" i="6"/>
  <c r="AT448" i="6"/>
  <c r="F460" i="6"/>
  <c r="X460" i="6"/>
  <c r="P460" i="6"/>
  <c r="H460" i="6"/>
  <c r="V460" i="6"/>
  <c r="L460" i="6"/>
  <c r="D460" i="6"/>
  <c r="T460" i="6"/>
  <c r="N460" i="6"/>
  <c r="R460" i="6"/>
  <c r="J460" i="6"/>
  <c r="Z460" i="6"/>
  <c r="AI460" i="6"/>
  <c r="AK460" i="6"/>
  <c r="AB460" i="6"/>
  <c r="DT460" i="6" s="1"/>
  <c r="AM460" i="6"/>
  <c r="DX459" i="6"/>
  <c r="AA6382" i="5" s="1"/>
  <c r="EF462" i="6"/>
  <c r="J461" i="6"/>
  <c r="F461" i="6"/>
  <c r="Z461" i="6"/>
  <c r="X461" i="6"/>
  <c r="P461" i="6"/>
  <c r="H461" i="6"/>
  <c r="AI461" i="6"/>
  <c r="AK461" i="6"/>
  <c r="V461" i="6"/>
  <c r="L461" i="6"/>
  <c r="T461" i="6"/>
  <c r="N461" i="6"/>
  <c r="AM461" i="6"/>
  <c r="AB461" i="6"/>
  <c r="DT461" i="6" s="1"/>
  <c r="R461" i="6"/>
  <c r="D461" i="6"/>
  <c r="AW451" i="6" l="1"/>
  <c r="BC451" i="6"/>
  <c r="BB451" i="6"/>
  <c r="BH451" i="6"/>
  <c r="BH450" i="6"/>
  <c r="AW450" i="6"/>
  <c r="BC450" i="6"/>
  <c r="BB450" i="6"/>
  <c r="AA2917" i="5"/>
  <c r="Z2917" i="5"/>
  <c r="Y2917" i="5"/>
  <c r="AA3412" i="5"/>
  <c r="Y3412" i="5"/>
  <c r="Z3412" i="5"/>
  <c r="AA3413" i="5"/>
  <c r="Y3413" i="5"/>
  <c r="Z3413" i="5"/>
  <c r="AN449" i="6"/>
  <c r="AO449" i="6"/>
  <c r="AT449" i="6"/>
  <c r="CD455" i="6"/>
  <c r="BY455" i="6"/>
  <c r="CE455" i="6"/>
  <c r="CJ455" i="6"/>
  <c r="CT458" i="6"/>
  <c r="DE458" i="6"/>
  <c r="CZ458" i="6"/>
  <c r="CY458" i="6"/>
  <c r="Y1928" i="5"/>
  <c r="AA1928" i="5"/>
  <c r="Z1928" i="5"/>
  <c r="BK452" i="6"/>
  <c r="BV452" i="6"/>
  <c r="BQ452" i="6"/>
  <c r="BP452" i="6"/>
  <c r="BR453" i="6"/>
  <c r="BW453" i="6"/>
  <c r="CC453" i="6"/>
  <c r="BX453" i="6"/>
  <c r="BR454" i="6"/>
  <c r="BX454" i="6"/>
  <c r="BW454" i="6"/>
  <c r="CC454" i="6"/>
  <c r="AA3908" i="5"/>
  <c r="Y3908" i="5"/>
  <c r="Z3908" i="5"/>
  <c r="AA4403" i="5"/>
  <c r="Z4403" i="5"/>
  <c r="Y4403" i="5"/>
  <c r="DO461" i="6"/>
  <c r="DY461" i="6"/>
  <c r="Y443" i="5"/>
  <c r="AA443" i="5"/>
  <c r="Z443" i="5"/>
  <c r="CR457" i="6"/>
  <c r="CM457" i="6"/>
  <c r="CS457" i="6"/>
  <c r="CX457" i="6"/>
  <c r="Y1927" i="5"/>
  <c r="AA1927" i="5"/>
  <c r="Z1927" i="5"/>
  <c r="AA4898" i="5"/>
  <c r="Y4898" i="5"/>
  <c r="Z4898" i="5"/>
  <c r="DS459" i="6"/>
  <c r="DH459" i="6"/>
  <c r="DN459" i="6"/>
  <c r="DM459" i="6"/>
  <c r="DO460" i="6"/>
  <c r="DY460" i="6"/>
  <c r="AA938" i="5"/>
  <c r="Y938" i="5"/>
  <c r="Z938" i="5"/>
  <c r="Y5393" i="5"/>
  <c r="Z5393" i="5"/>
  <c r="AA5393" i="5"/>
  <c r="CF456" i="6"/>
  <c r="CQ456" i="6"/>
  <c r="CL456" i="6"/>
  <c r="CK456" i="6"/>
  <c r="Y6382" i="5"/>
  <c r="Z6382" i="5"/>
  <c r="DX460" i="6"/>
  <c r="AA6383" i="5" s="1"/>
  <c r="DX461" i="6"/>
  <c r="AA6384" i="5" s="1"/>
  <c r="EF463" i="6"/>
  <c r="EG462" i="6"/>
  <c r="EH462" i="6" s="1"/>
  <c r="AA462" i="6" s="1"/>
  <c r="BK454" i="6" l="1"/>
  <c r="BP454" i="6"/>
  <c r="BV454" i="6"/>
  <c r="BQ454" i="6"/>
  <c r="BK453" i="6"/>
  <c r="BP453" i="6"/>
  <c r="BV453" i="6"/>
  <c r="BQ453" i="6"/>
  <c r="BO452" i="6"/>
  <c r="BD452" i="6"/>
  <c r="BI452" i="6"/>
  <c r="BJ452" i="6"/>
  <c r="AA3414" i="5"/>
  <c r="Y3414" i="5"/>
  <c r="Z3414" i="5"/>
  <c r="AA444" i="5"/>
  <c r="Z444" i="5"/>
  <c r="Y444" i="5"/>
  <c r="AA1434" i="5"/>
  <c r="Y1434" i="5"/>
  <c r="Z1434" i="5"/>
  <c r="BY456" i="6"/>
  <c r="CD456" i="6"/>
  <c r="CJ456" i="6"/>
  <c r="CE456" i="6"/>
  <c r="CF457" i="6"/>
  <c r="CL457" i="6"/>
  <c r="CK457" i="6"/>
  <c r="CQ457" i="6"/>
  <c r="AA2919" i="5"/>
  <c r="Y2919" i="5"/>
  <c r="Z2919" i="5"/>
  <c r="DA459" i="6"/>
  <c r="DL459" i="6"/>
  <c r="DF459" i="6"/>
  <c r="DG459" i="6"/>
  <c r="AA4404" i="5"/>
  <c r="Y4404" i="5"/>
  <c r="Z4404" i="5"/>
  <c r="DH461" i="6"/>
  <c r="DN461" i="6"/>
  <c r="DS461" i="6"/>
  <c r="DM461" i="6"/>
  <c r="AA2918" i="5"/>
  <c r="Y2918" i="5"/>
  <c r="Z2918" i="5"/>
  <c r="AA4899" i="5"/>
  <c r="Z4899" i="5"/>
  <c r="Y4899" i="5"/>
  <c r="BW455" i="6"/>
  <c r="BR455" i="6"/>
  <c r="CC455" i="6"/>
  <c r="BX455" i="6"/>
  <c r="AP450" i="6"/>
  <c r="AV450" i="6"/>
  <c r="AU450" i="6"/>
  <c r="BA450" i="6"/>
  <c r="AA3909" i="5"/>
  <c r="Y3909" i="5"/>
  <c r="Z3909" i="5"/>
  <c r="DH460" i="6"/>
  <c r="DN460" i="6"/>
  <c r="DS460" i="6"/>
  <c r="DM460" i="6"/>
  <c r="Y5888" i="5"/>
  <c r="Z5888" i="5"/>
  <c r="AA5888" i="5"/>
  <c r="AA2423" i="5"/>
  <c r="Z2423" i="5"/>
  <c r="Y2423" i="5"/>
  <c r="CM458" i="6"/>
  <c r="CS458" i="6"/>
  <c r="CR458" i="6"/>
  <c r="CX458" i="6"/>
  <c r="AA1433" i="5"/>
  <c r="Y1433" i="5"/>
  <c r="Z1433" i="5"/>
  <c r="AP451" i="6"/>
  <c r="AU451" i="6"/>
  <c r="BA451" i="6"/>
  <c r="AV451" i="6"/>
  <c r="Y6383" i="5"/>
  <c r="Z6383" i="5"/>
  <c r="Y6384" i="5"/>
  <c r="Z6384" i="5"/>
  <c r="T462" i="6"/>
  <c r="L462" i="6"/>
  <c r="R462" i="6"/>
  <c r="J462" i="6"/>
  <c r="X462" i="6"/>
  <c r="P462" i="6"/>
  <c r="D462" i="6"/>
  <c r="V462" i="6"/>
  <c r="N462" i="6"/>
  <c r="H462" i="6"/>
  <c r="Z462" i="6"/>
  <c r="F462" i="6"/>
  <c r="AM462" i="6"/>
  <c r="AI462" i="6"/>
  <c r="AK462" i="6"/>
  <c r="AB462" i="6"/>
  <c r="DT462" i="6" s="1"/>
  <c r="EF464" i="6"/>
  <c r="EG463" i="6"/>
  <c r="EH463" i="6" s="1"/>
  <c r="AA463" i="6" s="1"/>
  <c r="DO462" i="6" l="1"/>
  <c r="DY462" i="6"/>
  <c r="AA939" i="5"/>
  <c r="Y939" i="5"/>
  <c r="Z939" i="5"/>
  <c r="AA940" i="5"/>
  <c r="Z940" i="5"/>
  <c r="Y940" i="5"/>
  <c r="AA2920" i="5"/>
  <c r="Y2920" i="5"/>
  <c r="Z2920" i="5"/>
  <c r="DL461" i="6"/>
  <c r="DA461" i="6"/>
  <c r="DF461" i="6"/>
  <c r="DG461" i="6"/>
  <c r="AA3415" i="5"/>
  <c r="Y3415" i="5"/>
  <c r="Z3415" i="5"/>
  <c r="CF458" i="6"/>
  <c r="CQ458" i="6"/>
  <c r="CL458" i="6"/>
  <c r="CK458" i="6"/>
  <c r="AA5889" i="5"/>
  <c r="Z5889" i="5"/>
  <c r="Y5889" i="5"/>
  <c r="BP455" i="6"/>
  <c r="BK455" i="6"/>
  <c r="BV455" i="6"/>
  <c r="BQ455" i="6"/>
  <c r="AA2424" i="5"/>
  <c r="Y2424" i="5"/>
  <c r="Z2424" i="5"/>
  <c r="AA2425" i="5"/>
  <c r="Y2425" i="5"/>
  <c r="Z2425" i="5"/>
  <c r="AN451" i="6"/>
  <c r="AT451" i="6"/>
  <c r="AO451" i="6"/>
  <c r="AN450" i="6"/>
  <c r="AO450" i="6"/>
  <c r="AT450" i="6"/>
  <c r="AA5890" i="5"/>
  <c r="Y5890" i="5"/>
  <c r="Z5890" i="5"/>
  <c r="Y5394" i="5"/>
  <c r="AA5394" i="5"/>
  <c r="Z5394" i="5"/>
  <c r="CD457" i="6"/>
  <c r="BY457" i="6"/>
  <c r="CJ457" i="6"/>
  <c r="CE457" i="6"/>
  <c r="BR456" i="6"/>
  <c r="BX456" i="6"/>
  <c r="BW456" i="6"/>
  <c r="CC456" i="6"/>
  <c r="BH452" i="6"/>
  <c r="AW452" i="6"/>
  <c r="BB452" i="6"/>
  <c r="BC452" i="6"/>
  <c r="AA4405" i="5"/>
  <c r="Z4405" i="5"/>
  <c r="Y4405" i="5"/>
  <c r="DL460" i="6"/>
  <c r="DA460" i="6"/>
  <c r="DG460" i="6"/>
  <c r="DF460" i="6"/>
  <c r="CT459" i="6"/>
  <c r="CZ459" i="6"/>
  <c r="DE459" i="6"/>
  <c r="CY459" i="6"/>
  <c r="AA3910" i="5"/>
  <c r="Y3910" i="5"/>
  <c r="Z3910" i="5"/>
  <c r="Y1929" i="5"/>
  <c r="AA1929" i="5"/>
  <c r="Z1929" i="5"/>
  <c r="BO453" i="6"/>
  <c r="BD453" i="6"/>
  <c r="BI453" i="6"/>
  <c r="BJ453" i="6"/>
  <c r="BO454" i="6"/>
  <c r="BD454" i="6"/>
  <c r="BI454" i="6"/>
  <c r="BJ454" i="6"/>
  <c r="DX462" i="6"/>
  <c r="AA6385" i="5" s="1"/>
  <c r="EF465" i="6"/>
  <c r="R463" i="6"/>
  <c r="J463" i="6"/>
  <c r="F463" i="6"/>
  <c r="X463" i="6"/>
  <c r="L463" i="6"/>
  <c r="H463" i="6"/>
  <c r="Z463" i="6"/>
  <c r="V463" i="6"/>
  <c r="P463" i="6"/>
  <c r="D463" i="6"/>
  <c r="T463" i="6"/>
  <c r="N463" i="6"/>
  <c r="AM463" i="6"/>
  <c r="AB463" i="6"/>
  <c r="DT463" i="6" s="1"/>
  <c r="AI463" i="6"/>
  <c r="AK463" i="6"/>
  <c r="EG464" i="6"/>
  <c r="EH464" i="6" s="1"/>
  <c r="AA464" i="6" s="1"/>
  <c r="Y1931" i="5" l="1"/>
  <c r="AA1931" i="5"/>
  <c r="Z1931" i="5"/>
  <c r="AA1930" i="5"/>
  <c r="Z1930" i="5"/>
  <c r="Y1930" i="5"/>
  <c r="AA4900" i="5"/>
  <c r="Y4900" i="5"/>
  <c r="Z4900" i="5"/>
  <c r="DO463" i="6"/>
  <c r="DY463" i="6"/>
  <c r="CT460" i="6"/>
  <c r="DE460" i="6"/>
  <c r="CZ460" i="6"/>
  <c r="CY460" i="6"/>
  <c r="Y1435" i="5"/>
  <c r="AA1435" i="5"/>
  <c r="Z1435" i="5"/>
  <c r="BK456" i="6"/>
  <c r="BP456" i="6"/>
  <c r="BV456" i="6"/>
  <c r="BQ456" i="6"/>
  <c r="AA2426" i="5"/>
  <c r="Y2426" i="5"/>
  <c r="Z2426" i="5"/>
  <c r="AA3911" i="5"/>
  <c r="Y3911" i="5"/>
  <c r="Z3911" i="5"/>
  <c r="Y5396" i="5"/>
  <c r="AA5396" i="5"/>
  <c r="Z5396" i="5"/>
  <c r="CR459" i="6"/>
  <c r="CM459" i="6"/>
  <c r="CX459" i="6"/>
  <c r="CS459" i="6"/>
  <c r="Y5395" i="5"/>
  <c r="AA5395" i="5"/>
  <c r="Z5395" i="5"/>
  <c r="AA2921" i="5"/>
  <c r="Y2921" i="5"/>
  <c r="Z2921" i="5"/>
  <c r="BO455" i="6"/>
  <c r="BD455" i="6"/>
  <c r="BJ455" i="6"/>
  <c r="BI455" i="6"/>
  <c r="BY458" i="6"/>
  <c r="CJ458" i="6"/>
  <c r="CE458" i="6"/>
  <c r="CD458" i="6"/>
  <c r="BH454" i="6"/>
  <c r="AW454" i="6"/>
  <c r="BB454" i="6"/>
  <c r="BC454" i="6"/>
  <c r="BH453" i="6"/>
  <c r="AW453" i="6"/>
  <c r="BB453" i="6"/>
  <c r="BC453" i="6"/>
  <c r="AA3416" i="5"/>
  <c r="Z3416" i="5"/>
  <c r="Y3416" i="5"/>
  <c r="AP452" i="6"/>
  <c r="AU452" i="6"/>
  <c r="BA452" i="6"/>
  <c r="AV452" i="6"/>
  <c r="BR457" i="6"/>
  <c r="BW457" i="6"/>
  <c r="BX457" i="6"/>
  <c r="CC457" i="6"/>
  <c r="Y445" i="5"/>
  <c r="AA445" i="5"/>
  <c r="Z445" i="5"/>
  <c r="AA446" i="5"/>
  <c r="Z446" i="5"/>
  <c r="Y446" i="5"/>
  <c r="CT461" i="6"/>
  <c r="DE461" i="6"/>
  <c r="CZ461" i="6"/>
  <c r="CY461" i="6"/>
  <c r="DS462" i="6"/>
  <c r="DM462" i="6"/>
  <c r="DH462" i="6"/>
  <c r="DN462" i="6"/>
  <c r="Y6385" i="5"/>
  <c r="Z6385" i="5"/>
  <c r="F464" i="6"/>
  <c r="T464" i="6"/>
  <c r="J464" i="6"/>
  <c r="R464" i="6"/>
  <c r="L464" i="6"/>
  <c r="H464" i="6"/>
  <c r="X464" i="6"/>
  <c r="P464" i="6"/>
  <c r="D464" i="6"/>
  <c r="V464" i="6"/>
  <c r="N464" i="6"/>
  <c r="AK464" i="6"/>
  <c r="AI464" i="6"/>
  <c r="AB464" i="6"/>
  <c r="DT464" i="6" s="1"/>
  <c r="Z464" i="6"/>
  <c r="AM464" i="6"/>
  <c r="DX463" i="6"/>
  <c r="AA6386" i="5" s="1"/>
  <c r="EF466" i="6"/>
  <c r="EG465" i="6"/>
  <c r="EH465" i="6" s="1"/>
  <c r="AA465" i="6" s="1"/>
  <c r="Y5891" i="5" l="1"/>
  <c r="AA5891" i="5"/>
  <c r="Z5891" i="5"/>
  <c r="DA462" i="6"/>
  <c r="DL462" i="6"/>
  <c r="DG462" i="6"/>
  <c r="DF462" i="6"/>
  <c r="AA4902" i="5"/>
  <c r="Z4902" i="5"/>
  <c r="Y4902" i="5"/>
  <c r="AA2922" i="5"/>
  <c r="Y2922" i="5"/>
  <c r="Z2922" i="5"/>
  <c r="CM460" i="6"/>
  <c r="CX460" i="6"/>
  <c r="CR460" i="6"/>
  <c r="CS460" i="6"/>
  <c r="AA941" i="5"/>
  <c r="Y941" i="5"/>
  <c r="Z941" i="5"/>
  <c r="AP453" i="6"/>
  <c r="BA453" i="6"/>
  <c r="AU453" i="6"/>
  <c r="AV453" i="6"/>
  <c r="AP454" i="6"/>
  <c r="BA454" i="6"/>
  <c r="AU454" i="6"/>
  <c r="AV454" i="6"/>
  <c r="AA3417" i="5"/>
  <c r="Z3417" i="5"/>
  <c r="Y3417" i="5"/>
  <c r="AW455" i="6"/>
  <c r="BH455" i="6"/>
  <c r="BB455" i="6"/>
  <c r="BC455" i="6"/>
  <c r="BO456" i="6"/>
  <c r="BD456" i="6"/>
  <c r="BI456" i="6"/>
  <c r="BJ456" i="6"/>
  <c r="CM461" i="6"/>
  <c r="CS461" i="6"/>
  <c r="CR461" i="6"/>
  <c r="CX461" i="6"/>
  <c r="DO464" i="6"/>
  <c r="DY464" i="6"/>
  <c r="AA1436" i="5"/>
  <c r="Z1436" i="5"/>
  <c r="Y1436" i="5"/>
  <c r="Y1437" i="5"/>
  <c r="Z1437" i="5"/>
  <c r="AA1437" i="5"/>
  <c r="BR458" i="6"/>
  <c r="BW458" i="6"/>
  <c r="CC458" i="6"/>
  <c r="BX458" i="6"/>
  <c r="Y1932" i="5"/>
  <c r="AA1932" i="5"/>
  <c r="Z1932" i="5"/>
  <c r="AA4406" i="5"/>
  <c r="Y4406" i="5"/>
  <c r="Z4406" i="5"/>
  <c r="DS463" i="6"/>
  <c r="DM463" i="6"/>
  <c r="DN463" i="6"/>
  <c r="DH463" i="6"/>
  <c r="BK457" i="6"/>
  <c r="BP457" i="6"/>
  <c r="BQ457" i="6"/>
  <c r="BV457" i="6"/>
  <c r="AN452" i="6"/>
  <c r="AO452" i="6"/>
  <c r="AT452" i="6"/>
  <c r="CF459" i="6"/>
  <c r="CL459" i="6"/>
  <c r="CK459" i="6"/>
  <c r="CQ459" i="6"/>
  <c r="AA2427" i="5"/>
  <c r="Y2427" i="5"/>
  <c r="Z2427" i="5"/>
  <c r="AA4901" i="5"/>
  <c r="Y4901" i="5"/>
  <c r="Z4901" i="5"/>
  <c r="Y6386" i="5"/>
  <c r="Z6386" i="5"/>
  <c r="EF467" i="6"/>
  <c r="EG467" i="6" s="1"/>
  <c r="EH467" i="6" s="1"/>
  <c r="AA467" i="6" s="1"/>
  <c r="DX464" i="6"/>
  <c r="AA6387" i="5" s="1"/>
  <c r="EG466" i="6"/>
  <c r="EH466" i="6" s="1"/>
  <c r="AA466" i="6" s="1"/>
  <c r="F465" i="6"/>
  <c r="Z465" i="6"/>
  <c r="R465" i="6"/>
  <c r="H465" i="6"/>
  <c r="AI465" i="6"/>
  <c r="AK465" i="6"/>
  <c r="X465" i="6"/>
  <c r="L465" i="6"/>
  <c r="D465" i="6"/>
  <c r="V465" i="6"/>
  <c r="P465" i="6"/>
  <c r="J465" i="6"/>
  <c r="AM465" i="6"/>
  <c r="AB465" i="6"/>
  <c r="DT465" i="6" s="1"/>
  <c r="T465" i="6"/>
  <c r="N465" i="6"/>
  <c r="BY459" i="6" l="1"/>
  <c r="CD459" i="6"/>
  <c r="CE459" i="6"/>
  <c r="CJ459" i="6"/>
  <c r="AA3912" i="5"/>
  <c r="Z3912" i="5"/>
  <c r="Y3912" i="5"/>
  <c r="BK458" i="6"/>
  <c r="BQ458" i="6"/>
  <c r="BP458" i="6"/>
  <c r="BV458" i="6"/>
  <c r="DH464" i="6"/>
  <c r="DS464" i="6"/>
  <c r="DM464" i="6"/>
  <c r="DN464" i="6"/>
  <c r="CF461" i="6"/>
  <c r="CL461" i="6"/>
  <c r="CK461" i="6"/>
  <c r="CQ461" i="6"/>
  <c r="Y1933" i="5"/>
  <c r="AA1933" i="5"/>
  <c r="Z1933" i="5"/>
  <c r="AU455" i="6"/>
  <c r="AP455" i="6"/>
  <c r="BA455" i="6"/>
  <c r="AV455" i="6"/>
  <c r="CT462" i="6"/>
  <c r="CZ462" i="6"/>
  <c r="DE462" i="6"/>
  <c r="CY462" i="6"/>
  <c r="DA463" i="6"/>
  <c r="DL463" i="6"/>
  <c r="DF463" i="6"/>
  <c r="DG463" i="6"/>
  <c r="AA4408" i="5"/>
  <c r="Y4408" i="5"/>
  <c r="Z4408" i="5"/>
  <c r="AA4407" i="5"/>
  <c r="Z4407" i="5"/>
  <c r="Y4407" i="5"/>
  <c r="AA2428" i="5"/>
  <c r="Y2428" i="5"/>
  <c r="Z2428" i="5"/>
  <c r="Y447" i="5"/>
  <c r="AA447" i="5"/>
  <c r="Z447" i="5"/>
  <c r="BO457" i="6"/>
  <c r="BD457" i="6"/>
  <c r="BJ457" i="6"/>
  <c r="BI457" i="6"/>
  <c r="Y5892" i="5"/>
  <c r="Z5892" i="5"/>
  <c r="AA5892" i="5"/>
  <c r="AA2923" i="5"/>
  <c r="Y2923" i="5"/>
  <c r="Z2923" i="5"/>
  <c r="AA943" i="5"/>
  <c r="Z943" i="5"/>
  <c r="Y943" i="5"/>
  <c r="AA942" i="5"/>
  <c r="Y942" i="5"/>
  <c r="Z942" i="5"/>
  <c r="CF460" i="6"/>
  <c r="CL460" i="6"/>
  <c r="CK460" i="6"/>
  <c r="CQ460" i="6"/>
  <c r="DO465" i="6"/>
  <c r="DY465" i="6"/>
  <c r="BH456" i="6"/>
  <c r="AW456" i="6"/>
  <c r="BC456" i="6"/>
  <c r="BB456" i="6"/>
  <c r="AA1438" i="5"/>
  <c r="Y1438" i="5"/>
  <c r="Z1438" i="5"/>
  <c r="AN454" i="6"/>
  <c r="AO454" i="6"/>
  <c r="AT454" i="6"/>
  <c r="AO453" i="6"/>
  <c r="AT453" i="6"/>
  <c r="AN453" i="6"/>
  <c r="Y5397" i="5"/>
  <c r="Z5397" i="5"/>
  <c r="AA5397" i="5"/>
  <c r="Y6387" i="5"/>
  <c r="Z6387" i="5"/>
  <c r="H466" i="6"/>
  <c r="T466" i="6"/>
  <c r="L466" i="6"/>
  <c r="R466" i="6"/>
  <c r="J466" i="6"/>
  <c r="Z466" i="6"/>
  <c r="X466" i="6"/>
  <c r="P466" i="6"/>
  <c r="D466" i="6"/>
  <c r="V466" i="6"/>
  <c r="N466" i="6"/>
  <c r="F466" i="6"/>
  <c r="AM466" i="6"/>
  <c r="AB466" i="6"/>
  <c r="DT466" i="6" s="1"/>
  <c r="AI466" i="6"/>
  <c r="AK466" i="6"/>
  <c r="DX465" i="6"/>
  <c r="AA6388" i="5" s="1"/>
  <c r="T467" i="6"/>
  <c r="J467" i="6"/>
  <c r="Z467" i="6"/>
  <c r="R467" i="6"/>
  <c r="H467" i="6"/>
  <c r="D467" i="6"/>
  <c r="X467" i="6"/>
  <c r="P467" i="6"/>
  <c r="N467" i="6"/>
  <c r="V467" i="6"/>
  <c r="L467" i="6"/>
  <c r="F467" i="6"/>
  <c r="AM467" i="6"/>
  <c r="AI467" i="6"/>
  <c r="AK467" i="6"/>
  <c r="AB467" i="6"/>
  <c r="DT467" i="6" s="1"/>
  <c r="EF468" i="6"/>
  <c r="DO466" i="6" l="1"/>
  <c r="DY466" i="6"/>
  <c r="AA448" i="5"/>
  <c r="Y448" i="5"/>
  <c r="Z448" i="5"/>
  <c r="BH457" i="6"/>
  <c r="AW457" i="6"/>
  <c r="BB457" i="6"/>
  <c r="BC457" i="6"/>
  <c r="Y5398" i="5"/>
  <c r="Z5398" i="5"/>
  <c r="AA5398" i="5"/>
  <c r="AO455" i="6"/>
  <c r="AN455" i="6"/>
  <c r="AT455" i="6"/>
  <c r="BY461" i="6"/>
  <c r="CD461" i="6"/>
  <c r="CJ461" i="6"/>
  <c r="CE461" i="6"/>
  <c r="DG464" i="6"/>
  <c r="DA464" i="6"/>
  <c r="DL464" i="6"/>
  <c r="DF464" i="6"/>
  <c r="BO458" i="6"/>
  <c r="BD458" i="6"/>
  <c r="BI458" i="6"/>
  <c r="BJ458" i="6"/>
  <c r="AA3418" i="5"/>
  <c r="Z3418" i="5"/>
  <c r="Y3418" i="5"/>
  <c r="DM465" i="6"/>
  <c r="DH465" i="6"/>
  <c r="DS465" i="6"/>
  <c r="DN465" i="6"/>
  <c r="AA1934" i="5"/>
  <c r="Y1934" i="5"/>
  <c r="Z1934" i="5"/>
  <c r="CT463" i="6"/>
  <c r="DE463" i="6"/>
  <c r="CZ463" i="6"/>
  <c r="CY463" i="6"/>
  <c r="CM462" i="6"/>
  <c r="CR462" i="6"/>
  <c r="CS462" i="6"/>
  <c r="CX462" i="6"/>
  <c r="AA3914" i="5"/>
  <c r="Z3914" i="5"/>
  <c r="Y3914" i="5"/>
  <c r="AA2429" i="5"/>
  <c r="Y2429" i="5"/>
  <c r="Z2429" i="5"/>
  <c r="DO467" i="6"/>
  <c r="DY467" i="6"/>
  <c r="BY460" i="6"/>
  <c r="CD460" i="6"/>
  <c r="CJ460" i="6"/>
  <c r="CE460" i="6"/>
  <c r="Y449" i="5"/>
  <c r="AA449" i="5"/>
  <c r="Z449" i="5"/>
  <c r="AP456" i="6"/>
  <c r="AV456" i="6"/>
  <c r="AU456" i="6"/>
  <c r="BA456" i="6"/>
  <c r="AA3913" i="5"/>
  <c r="Y3913" i="5"/>
  <c r="Z3913" i="5"/>
  <c r="Y1439" i="5"/>
  <c r="AA1439" i="5"/>
  <c r="Z1439" i="5"/>
  <c r="AA4903" i="5"/>
  <c r="Y4903" i="5"/>
  <c r="Z4903" i="5"/>
  <c r="AA944" i="5"/>
  <c r="Y944" i="5"/>
  <c r="Z944" i="5"/>
  <c r="AA5893" i="5"/>
  <c r="Y5893" i="5"/>
  <c r="Z5893" i="5"/>
  <c r="BW459" i="6"/>
  <c r="BR459" i="6"/>
  <c r="CC459" i="6"/>
  <c r="BX459" i="6"/>
  <c r="Y6388" i="5"/>
  <c r="Z6388" i="5"/>
  <c r="EF469" i="6"/>
  <c r="DX466" i="6"/>
  <c r="AA6389" i="5" s="1"/>
  <c r="EG468" i="6"/>
  <c r="EH468" i="6" s="1"/>
  <c r="AA468" i="6" s="1"/>
  <c r="DX467" i="6"/>
  <c r="AA6390" i="5" s="1"/>
  <c r="DS467" i="6" l="1"/>
  <c r="DH467" i="6"/>
  <c r="DN467" i="6"/>
  <c r="DM467" i="6"/>
  <c r="DL465" i="6"/>
  <c r="DF465" i="6"/>
  <c r="DA465" i="6"/>
  <c r="DG465" i="6"/>
  <c r="Y1935" i="5"/>
  <c r="AA1935" i="5"/>
  <c r="Z1935" i="5"/>
  <c r="BR461" i="6"/>
  <c r="CC461" i="6"/>
  <c r="BX461" i="6"/>
  <c r="BW461" i="6"/>
  <c r="BP459" i="6"/>
  <c r="BK459" i="6"/>
  <c r="BV459" i="6"/>
  <c r="BQ459" i="6"/>
  <c r="AA945" i="5"/>
  <c r="Y945" i="5"/>
  <c r="Z945" i="5"/>
  <c r="AA3419" i="5"/>
  <c r="Y3419" i="5"/>
  <c r="Z3419" i="5"/>
  <c r="AA4904" i="5"/>
  <c r="Y4904" i="5"/>
  <c r="Z4904" i="5"/>
  <c r="AA450" i="5"/>
  <c r="Z450" i="5"/>
  <c r="Y450" i="5"/>
  <c r="AU457" i="6"/>
  <c r="AP457" i="6"/>
  <c r="AV457" i="6"/>
  <c r="BA457" i="6"/>
  <c r="AA2924" i="5"/>
  <c r="Y2924" i="5"/>
  <c r="Z2924" i="5"/>
  <c r="BR460" i="6"/>
  <c r="CC460" i="6"/>
  <c r="BX460" i="6"/>
  <c r="BW460" i="6"/>
  <c r="CF462" i="6"/>
  <c r="CL462" i="6"/>
  <c r="CK462" i="6"/>
  <c r="CQ462" i="6"/>
  <c r="CR463" i="6"/>
  <c r="CM463" i="6"/>
  <c r="CS463" i="6"/>
  <c r="CX463" i="6"/>
  <c r="Y5399" i="5"/>
  <c r="Z5399" i="5"/>
  <c r="AA5399" i="5"/>
  <c r="AA3420" i="5"/>
  <c r="Y3420" i="5"/>
  <c r="Z3420" i="5"/>
  <c r="Y1440" i="5"/>
  <c r="AA1440" i="5"/>
  <c r="Z1440" i="5"/>
  <c r="AN456" i="6"/>
  <c r="AO456" i="6"/>
  <c r="AT456" i="6"/>
  <c r="AA4409" i="5"/>
  <c r="Y4409" i="5"/>
  <c r="Z4409" i="5"/>
  <c r="AA5894" i="5"/>
  <c r="Y5894" i="5"/>
  <c r="Z5894" i="5"/>
  <c r="BH458" i="6"/>
  <c r="AW458" i="6"/>
  <c r="BC458" i="6"/>
  <c r="BB458" i="6"/>
  <c r="CT464" i="6"/>
  <c r="CZ464" i="6"/>
  <c r="DE464" i="6"/>
  <c r="CY464" i="6"/>
  <c r="DS466" i="6"/>
  <c r="DH466" i="6"/>
  <c r="DM466" i="6"/>
  <c r="DN466" i="6"/>
  <c r="Y6389" i="5"/>
  <c r="Z6389" i="5"/>
  <c r="Y6390" i="5"/>
  <c r="Z6390" i="5"/>
  <c r="EF470" i="6"/>
  <c r="EG470" i="6" s="1"/>
  <c r="EH470" i="6" s="1"/>
  <c r="AA470" i="6" s="1"/>
  <c r="F468" i="6"/>
  <c r="V468" i="6"/>
  <c r="N468" i="6"/>
  <c r="D468" i="6"/>
  <c r="T468" i="6"/>
  <c r="J468" i="6"/>
  <c r="L468" i="6"/>
  <c r="H468" i="6"/>
  <c r="X468" i="6"/>
  <c r="R468" i="6"/>
  <c r="P468" i="6"/>
  <c r="AI468" i="6"/>
  <c r="Z468" i="6"/>
  <c r="AB468" i="6"/>
  <c r="DT468" i="6" s="1"/>
  <c r="AM468" i="6"/>
  <c r="AK468" i="6"/>
  <c r="EG469" i="6"/>
  <c r="EH469" i="6" s="1"/>
  <c r="AA469" i="6" s="1"/>
  <c r="DO468" i="6" l="1"/>
  <c r="DY468" i="6"/>
  <c r="CF463" i="6"/>
  <c r="CQ463" i="6"/>
  <c r="CL463" i="6"/>
  <c r="CK463" i="6"/>
  <c r="AA2925" i="5"/>
  <c r="Y2925" i="5"/>
  <c r="Z2925" i="5"/>
  <c r="BK461" i="6"/>
  <c r="BQ461" i="6"/>
  <c r="BP461" i="6"/>
  <c r="BV461" i="6"/>
  <c r="AA4905" i="5"/>
  <c r="Y4905" i="5"/>
  <c r="Z4905" i="5"/>
  <c r="BY462" i="6"/>
  <c r="CJ462" i="6"/>
  <c r="CE462" i="6"/>
  <c r="CD462" i="6"/>
  <c r="BK460" i="6"/>
  <c r="BV460" i="6"/>
  <c r="BQ460" i="6"/>
  <c r="BP460" i="6"/>
  <c r="AA946" i="5"/>
  <c r="Z946" i="5"/>
  <c r="Y946" i="5"/>
  <c r="CT465" i="6"/>
  <c r="CZ465" i="6"/>
  <c r="DE465" i="6"/>
  <c r="CY465" i="6"/>
  <c r="DA466" i="6"/>
  <c r="DL466" i="6"/>
  <c r="DG466" i="6"/>
  <c r="DF466" i="6"/>
  <c r="AP458" i="6"/>
  <c r="AU458" i="6"/>
  <c r="BA458" i="6"/>
  <c r="AV458" i="6"/>
  <c r="Y451" i="5"/>
  <c r="AA451" i="5"/>
  <c r="Z451" i="5"/>
  <c r="AA4410" i="5"/>
  <c r="Y4410" i="5"/>
  <c r="Z4410" i="5"/>
  <c r="AA3915" i="5"/>
  <c r="Y3915" i="5"/>
  <c r="Z3915" i="5"/>
  <c r="AA2430" i="5"/>
  <c r="Y2430" i="5"/>
  <c r="Z2430" i="5"/>
  <c r="DA467" i="6"/>
  <c r="DL467" i="6"/>
  <c r="DG467" i="6"/>
  <c r="DF467" i="6"/>
  <c r="Y5895" i="5"/>
  <c r="AA5895" i="5"/>
  <c r="Z5895" i="5"/>
  <c r="CM464" i="6"/>
  <c r="CX464" i="6"/>
  <c r="CR464" i="6"/>
  <c r="CS464" i="6"/>
  <c r="Y1441" i="5"/>
  <c r="AA1441" i="5"/>
  <c r="Z1441" i="5"/>
  <c r="AN457" i="6"/>
  <c r="AO457" i="6"/>
  <c r="AT457" i="6"/>
  <c r="BO459" i="6"/>
  <c r="BD459" i="6"/>
  <c r="BJ459" i="6"/>
  <c r="BI459" i="6"/>
  <c r="AA2926" i="5"/>
  <c r="Z2926" i="5"/>
  <c r="Y2926" i="5"/>
  <c r="Y5400" i="5"/>
  <c r="AA5400" i="5"/>
  <c r="Z5400" i="5"/>
  <c r="Y5896" i="5"/>
  <c r="AA5896" i="5"/>
  <c r="Z5896" i="5"/>
  <c r="F469" i="6"/>
  <c r="Z469" i="6"/>
  <c r="V469" i="6"/>
  <c r="N469" i="6"/>
  <c r="H469" i="6"/>
  <c r="AI469" i="6"/>
  <c r="AK469" i="6"/>
  <c r="T469" i="6"/>
  <c r="P469" i="6"/>
  <c r="AB469" i="6"/>
  <c r="DT469" i="6" s="1"/>
  <c r="R469" i="6"/>
  <c r="J469" i="6"/>
  <c r="AM469" i="6"/>
  <c r="X469" i="6"/>
  <c r="L469" i="6"/>
  <c r="D469" i="6"/>
  <c r="EF471" i="6"/>
  <c r="EG471" i="6" s="1"/>
  <c r="EH471" i="6" s="1"/>
  <c r="AA471" i="6" s="1"/>
  <c r="X470" i="6"/>
  <c r="P470" i="6"/>
  <c r="D470" i="6"/>
  <c r="Z470" i="6"/>
  <c r="V470" i="6"/>
  <c r="N470" i="6"/>
  <c r="H470" i="6"/>
  <c r="T470" i="6"/>
  <c r="L470" i="6"/>
  <c r="R470" i="6"/>
  <c r="J470" i="6"/>
  <c r="AM470" i="6"/>
  <c r="F470" i="6"/>
  <c r="AI470" i="6"/>
  <c r="AK470" i="6"/>
  <c r="AB470" i="6"/>
  <c r="DT470" i="6" s="1"/>
  <c r="DX468" i="6"/>
  <c r="AA6391" i="5" s="1"/>
  <c r="AA452" i="5" l="1"/>
  <c r="Z452" i="5"/>
  <c r="Y452" i="5"/>
  <c r="AA4411" i="5"/>
  <c r="Y4411" i="5"/>
  <c r="Z4411" i="5"/>
  <c r="CT467" i="6"/>
  <c r="CZ467" i="6"/>
  <c r="DE467" i="6"/>
  <c r="CY467" i="6"/>
  <c r="AN458" i="6"/>
  <c r="AO458" i="6"/>
  <c r="AT458" i="6"/>
  <c r="CT466" i="6"/>
  <c r="CY466" i="6"/>
  <c r="DE466" i="6"/>
  <c r="CZ466" i="6"/>
  <c r="CR465" i="6"/>
  <c r="CM465" i="6"/>
  <c r="CS465" i="6"/>
  <c r="CX465" i="6"/>
  <c r="AA3916" i="5"/>
  <c r="Y3916" i="5"/>
  <c r="Z3916" i="5"/>
  <c r="DO469" i="6"/>
  <c r="DY469" i="6"/>
  <c r="CF464" i="6"/>
  <c r="CL464" i="6"/>
  <c r="CK464" i="6"/>
  <c r="CQ464" i="6"/>
  <c r="CD463" i="6"/>
  <c r="BY463" i="6"/>
  <c r="CJ463" i="6"/>
  <c r="CE463" i="6"/>
  <c r="DO470" i="6"/>
  <c r="DY470" i="6"/>
  <c r="AW459" i="6"/>
  <c r="BH459" i="6"/>
  <c r="BB459" i="6"/>
  <c r="BC459" i="6"/>
  <c r="AA947" i="5"/>
  <c r="Y947" i="5"/>
  <c r="Z947" i="5"/>
  <c r="AA4906" i="5"/>
  <c r="Y4906" i="5"/>
  <c r="Z4906" i="5"/>
  <c r="AA2431" i="5"/>
  <c r="Y2431" i="5"/>
  <c r="Z2431" i="5"/>
  <c r="AA3421" i="5"/>
  <c r="Z3421" i="5"/>
  <c r="Y3421" i="5"/>
  <c r="BO461" i="6"/>
  <c r="BD461" i="6"/>
  <c r="BI461" i="6"/>
  <c r="BJ461" i="6"/>
  <c r="Y1936" i="5"/>
  <c r="AA1936" i="5"/>
  <c r="Z1936" i="5"/>
  <c r="Y5402" i="5"/>
  <c r="Z5402" i="5"/>
  <c r="AA5402" i="5"/>
  <c r="Y5401" i="5"/>
  <c r="AA5401" i="5"/>
  <c r="Z5401" i="5"/>
  <c r="BO460" i="6"/>
  <c r="BD460" i="6"/>
  <c r="BJ460" i="6"/>
  <c r="BI460" i="6"/>
  <c r="BR462" i="6"/>
  <c r="CC462" i="6"/>
  <c r="BX462" i="6"/>
  <c r="BW462" i="6"/>
  <c r="AA2432" i="5"/>
  <c r="Y2432" i="5"/>
  <c r="Z2432" i="5"/>
  <c r="DH468" i="6"/>
  <c r="DN468" i="6"/>
  <c r="DM468" i="6"/>
  <c r="DS468" i="6"/>
  <c r="Y6391" i="5"/>
  <c r="Z6391" i="5"/>
  <c r="Z471" i="6"/>
  <c r="V471" i="6"/>
  <c r="L471" i="6"/>
  <c r="T471" i="6"/>
  <c r="J471" i="6"/>
  <c r="R471" i="6"/>
  <c r="N471" i="6"/>
  <c r="F471" i="6"/>
  <c r="X471" i="6"/>
  <c r="P471" i="6"/>
  <c r="H471" i="6"/>
  <c r="AM471" i="6"/>
  <c r="D471" i="6"/>
  <c r="AI471" i="6"/>
  <c r="AK471" i="6"/>
  <c r="AB471" i="6"/>
  <c r="DT471" i="6" s="1"/>
  <c r="DX470" i="6"/>
  <c r="AA6393" i="5" s="1"/>
  <c r="DX469" i="6"/>
  <c r="AA6392" i="5" s="1"/>
  <c r="EF472" i="6"/>
  <c r="EG472" i="6" s="1"/>
  <c r="EH472" i="6" s="1"/>
  <c r="AA472" i="6" s="1"/>
  <c r="AA2927" i="5" l="1"/>
  <c r="Y2927" i="5"/>
  <c r="Z2927" i="5"/>
  <c r="AA5897" i="5"/>
  <c r="Z5897" i="5"/>
  <c r="Y5897" i="5"/>
  <c r="BW463" i="6"/>
  <c r="BR463" i="6"/>
  <c r="CC463" i="6"/>
  <c r="BX463" i="6"/>
  <c r="AA4907" i="5"/>
  <c r="Z4907" i="5"/>
  <c r="Y4907" i="5"/>
  <c r="BH460" i="6"/>
  <c r="AW460" i="6"/>
  <c r="BB460" i="6"/>
  <c r="BC460" i="6"/>
  <c r="DS470" i="6"/>
  <c r="DM470" i="6"/>
  <c r="DH470" i="6"/>
  <c r="DN470" i="6"/>
  <c r="BY464" i="6"/>
  <c r="CE464" i="6"/>
  <c r="CD464" i="6"/>
  <c r="CJ464" i="6"/>
  <c r="CF465" i="6"/>
  <c r="CQ465" i="6"/>
  <c r="CL465" i="6"/>
  <c r="CK465" i="6"/>
  <c r="CR467" i="6"/>
  <c r="CM467" i="6"/>
  <c r="CS467" i="6"/>
  <c r="CX467" i="6"/>
  <c r="DO471" i="6"/>
  <c r="DY471" i="6"/>
  <c r="BK462" i="6"/>
  <c r="BV462" i="6"/>
  <c r="BQ462" i="6"/>
  <c r="BP462" i="6"/>
  <c r="AA1937" i="5"/>
  <c r="Y1937" i="5"/>
  <c r="Z1937" i="5"/>
  <c r="BH461" i="6"/>
  <c r="AW461" i="6"/>
  <c r="BB461" i="6"/>
  <c r="BC461" i="6"/>
  <c r="AA1442" i="5"/>
  <c r="Y1442" i="5"/>
  <c r="Z1442" i="5"/>
  <c r="AA3917" i="5"/>
  <c r="Y3917" i="5"/>
  <c r="Z3917" i="5"/>
  <c r="CM466" i="6"/>
  <c r="CX466" i="6"/>
  <c r="CR466" i="6"/>
  <c r="CS466" i="6"/>
  <c r="DL468" i="6"/>
  <c r="DA468" i="6"/>
  <c r="DG468" i="6"/>
  <c r="DF468" i="6"/>
  <c r="AA1938" i="5"/>
  <c r="Y1938" i="5"/>
  <c r="Z1938" i="5"/>
  <c r="AU459" i="6"/>
  <c r="AP459" i="6"/>
  <c r="AV459" i="6"/>
  <c r="BA459" i="6"/>
  <c r="AA3422" i="5"/>
  <c r="Y3422" i="5"/>
  <c r="Z3422" i="5"/>
  <c r="DH469" i="6"/>
  <c r="DN469" i="6"/>
  <c r="DM469" i="6"/>
  <c r="DS469" i="6"/>
  <c r="AA4412" i="5"/>
  <c r="Y4412" i="5"/>
  <c r="Z4412" i="5"/>
  <c r="Y453" i="5"/>
  <c r="AA453" i="5"/>
  <c r="Z453" i="5"/>
  <c r="AA4908" i="5"/>
  <c r="Y4908" i="5"/>
  <c r="Z4908" i="5"/>
  <c r="Y6392" i="5"/>
  <c r="Z6392" i="5"/>
  <c r="Y6393" i="5"/>
  <c r="Z6393" i="5"/>
  <c r="DX471" i="6"/>
  <c r="AA6394" i="5" s="1"/>
  <c r="EF473" i="6"/>
  <c r="EG473" i="6" s="1"/>
  <c r="EH473" i="6" s="1"/>
  <c r="AA473" i="6" s="1"/>
  <c r="F472" i="6"/>
  <c r="P472" i="6"/>
  <c r="J472" i="6"/>
  <c r="X472" i="6"/>
  <c r="R472" i="6"/>
  <c r="H472" i="6"/>
  <c r="V472" i="6"/>
  <c r="L472" i="6"/>
  <c r="D472" i="6"/>
  <c r="T472" i="6"/>
  <c r="N472" i="6"/>
  <c r="AK472" i="6"/>
  <c r="AB472" i="6"/>
  <c r="DT472" i="6" s="1"/>
  <c r="Z472" i="6"/>
  <c r="AI472" i="6"/>
  <c r="AM472" i="6"/>
  <c r="AP461" i="6" l="1"/>
  <c r="AV461" i="6"/>
  <c r="BA461" i="6"/>
  <c r="AU461" i="6"/>
  <c r="BO462" i="6"/>
  <c r="BD462" i="6"/>
  <c r="BJ462" i="6"/>
  <c r="BI462" i="6"/>
  <c r="DA470" i="6"/>
  <c r="DG470" i="6"/>
  <c r="DL470" i="6"/>
  <c r="DF470" i="6"/>
  <c r="BP463" i="6"/>
  <c r="BK463" i="6"/>
  <c r="BV463" i="6"/>
  <c r="BQ463" i="6"/>
  <c r="DO472" i="6"/>
  <c r="DY472" i="6"/>
  <c r="DA469" i="6"/>
  <c r="DL469" i="6"/>
  <c r="DF469" i="6"/>
  <c r="DG469" i="6"/>
  <c r="AA948" i="5"/>
  <c r="Y948" i="5"/>
  <c r="Z948" i="5"/>
  <c r="Y1444" i="5"/>
  <c r="Z1444" i="5"/>
  <c r="AA1444" i="5"/>
  <c r="CF467" i="6"/>
  <c r="CK467" i="6"/>
  <c r="CQ467" i="6"/>
  <c r="CL467" i="6"/>
  <c r="AA3918" i="5"/>
  <c r="Y3918" i="5"/>
  <c r="Z3918" i="5"/>
  <c r="AP460" i="6"/>
  <c r="AV460" i="6"/>
  <c r="BA460" i="6"/>
  <c r="AU460" i="6"/>
  <c r="CT468" i="6"/>
  <c r="CY468" i="6"/>
  <c r="DE468" i="6"/>
  <c r="CZ468" i="6"/>
  <c r="AA4413" i="5"/>
  <c r="Z4413" i="5"/>
  <c r="Y4413" i="5"/>
  <c r="DS471" i="6"/>
  <c r="DM471" i="6"/>
  <c r="DN471" i="6"/>
  <c r="DH471" i="6"/>
  <c r="CD465" i="6"/>
  <c r="BY465" i="6"/>
  <c r="CJ465" i="6"/>
  <c r="CE465" i="6"/>
  <c r="BR464" i="6"/>
  <c r="BW464" i="6"/>
  <c r="CC464" i="6"/>
  <c r="BX464" i="6"/>
  <c r="Y5899" i="5"/>
  <c r="AA5899" i="5"/>
  <c r="Z5899" i="5"/>
  <c r="Y1443" i="5"/>
  <c r="AA1443" i="5"/>
  <c r="Z1443" i="5"/>
  <c r="AA5898" i="5"/>
  <c r="Y5898" i="5"/>
  <c r="Z5898" i="5"/>
  <c r="AN459" i="6"/>
  <c r="AT459" i="6"/>
  <c r="AO459" i="6"/>
  <c r="Y5403" i="5"/>
  <c r="Z5403" i="5"/>
  <c r="AA5403" i="5"/>
  <c r="CF466" i="6"/>
  <c r="CQ466" i="6"/>
  <c r="CL466" i="6"/>
  <c r="CK466" i="6"/>
  <c r="AA2433" i="5"/>
  <c r="Z2433" i="5"/>
  <c r="Y2433" i="5"/>
  <c r="AA4414" i="5"/>
  <c r="Y4414" i="5"/>
  <c r="Z4414" i="5"/>
  <c r="AA3423" i="5"/>
  <c r="Z3423" i="5"/>
  <c r="Y3423" i="5"/>
  <c r="AA2928" i="5"/>
  <c r="Y2928" i="5"/>
  <c r="Z2928" i="5"/>
  <c r="Y6394" i="5"/>
  <c r="Z6394" i="5"/>
  <c r="EF474" i="6"/>
  <c r="EG474" i="6" s="1"/>
  <c r="EH474" i="6" s="1"/>
  <c r="AA474" i="6" s="1"/>
  <c r="DX472" i="6"/>
  <c r="AA6395" i="5" s="1"/>
  <c r="F473" i="6"/>
  <c r="Z473" i="6"/>
  <c r="L473" i="6"/>
  <c r="J473" i="6"/>
  <c r="AI473" i="6"/>
  <c r="AK473" i="6"/>
  <c r="X473" i="6"/>
  <c r="N473" i="6"/>
  <c r="H473" i="6"/>
  <c r="V473" i="6"/>
  <c r="T473" i="6"/>
  <c r="D473" i="6"/>
  <c r="AM473" i="6"/>
  <c r="R473" i="6"/>
  <c r="P473" i="6"/>
  <c r="AB473" i="6"/>
  <c r="DT473" i="6" s="1"/>
  <c r="BR465" i="6" l="1"/>
  <c r="BW465" i="6"/>
  <c r="CC465" i="6"/>
  <c r="BX465" i="6"/>
  <c r="CM468" i="6"/>
  <c r="CR468" i="6"/>
  <c r="CX468" i="6"/>
  <c r="CS468" i="6"/>
  <c r="AN460" i="6"/>
  <c r="AO460" i="6"/>
  <c r="AT460" i="6"/>
  <c r="Y5404" i="5"/>
  <c r="Z5404" i="5"/>
  <c r="AA5404" i="5"/>
  <c r="AA3919" i="5"/>
  <c r="Y3919" i="5"/>
  <c r="Z3919" i="5"/>
  <c r="BK464" i="6"/>
  <c r="BV464" i="6"/>
  <c r="BQ464" i="6"/>
  <c r="BP464" i="6"/>
  <c r="Y5900" i="5"/>
  <c r="AA5900" i="5"/>
  <c r="Z5900" i="5"/>
  <c r="AA3920" i="5"/>
  <c r="Y3920" i="5"/>
  <c r="Z3920" i="5"/>
  <c r="CT469" i="6"/>
  <c r="CY469" i="6"/>
  <c r="DE469" i="6"/>
  <c r="CZ469" i="6"/>
  <c r="AA2434" i="5"/>
  <c r="Y2434" i="5"/>
  <c r="Z2434" i="5"/>
  <c r="Y5405" i="5"/>
  <c r="AA5405" i="5"/>
  <c r="Z5405" i="5"/>
  <c r="AA950" i="5"/>
  <c r="Y950" i="5"/>
  <c r="Z950" i="5"/>
  <c r="DO473" i="6"/>
  <c r="DY473" i="6"/>
  <c r="BY466" i="6"/>
  <c r="CD466" i="6"/>
  <c r="CJ466" i="6"/>
  <c r="CE466" i="6"/>
  <c r="DA471" i="6"/>
  <c r="DL471" i="6"/>
  <c r="DF471" i="6"/>
  <c r="DG471" i="6"/>
  <c r="AA4909" i="5"/>
  <c r="Z4909" i="5"/>
  <c r="Y4909" i="5"/>
  <c r="AA949" i="5"/>
  <c r="Y949" i="5"/>
  <c r="Z949" i="5"/>
  <c r="BO463" i="6"/>
  <c r="BD463" i="6"/>
  <c r="BI463" i="6"/>
  <c r="BJ463" i="6"/>
  <c r="BH462" i="6"/>
  <c r="AW462" i="6"/>
  <c r="BC462" i="6"/>
  <c r="BB462" i="6"/>
  <c r="AA454" i="5"/>
  <c r="Z454" i="5"/>
  <c r="Y454" i="5"/>
  <c r="AA2929" i="5"/>
  <c r="Y2929" i="5"/>
  <c r="Z2929" i="5"/>
  <c r="AA3424" i="5"/>
  <c r="Y3424" i="5"/>
  <c r="Z3424" i="5"/>
  <c r="CD467" i="6"/>
  <c r="BY467" i="6"/>
  <c r="CJ467" i="6"/>
  <c r="CE467" i="6"/>
  <c r="DH472" i="6"/>
  <c r="DS472" i="6"/>
  <c r="DM472" i="6"/>
  <c r="DN472" i="6"/>
  <c r="CT470" i="6"/>
  <c r="DE470" i="6"/>
  <c r="CY470" i="6"/>
  <c r="CZ470" i="6"/>
  <c r="AA1939" i="5"/>
  <c r="Y1939" i="5"/>
  <c r="Z1939" i="5"/>
  <c r="AO461" i="6"/>
  <c r="AT461" i="6"/>
  <c r="AN461" i="6"/>
  <c r="Y6395" i="5"/>
  <c r="Z6395" i="5"/>
  <c r="DX473" i="6"/>
  <c r="AA6396" i="5" s="1"/>
  <c r="EF475" i="6"/>
  <c r="EG475" i="6" s="1"/>
  <c r="EH475" i="6" s="1"/>
  <c r="AA475" i="6" s="1"/>
  <c r="H474" i="6"/>
  <c r="Z474" i="6"/>
  <c r="T474" i="6"/>
  <c r="J474" i="6"/>
  <c r="R474" i="6"/>
  <c r="L474" i="6"/>
  <c r="X474" i="6"/>
  <c r="P474" i="6"/>
  <c r="D474" i="6"/>
  <c r="V474" i="6"/>
  <c r="N474" i="6"/>
  <c r="AM474" i="6"/>
  <c r="F474" i="6"/>
  <c r="AI474" i="6"/>
  <c r="AK474" i="6"/>
  <c r="AB474" i="6"/>
  <c r="DT474" i="6" s="1"/>
  <c r="CM470" i="6" l="1"/>
  <c r="CS470" i="6"/>
  <c r="CR470" i="6"/>
  <c r="CX470" i="6"/>
  <c r="Y1445" i="5"/>
  <c r="AA1445" i="5"/>
  <c r="Z1445" i="5"/>
  <c r="AA3426" i="5"/>
  <c r="Y3426" i="5"/>
  <c r="Z3426" i="5"/>
  <c r="Y5406" i="5"/>
  <c r="AA5406" i="5"/>
  <c r="Z5406" i="5"/>
  <c r="CM469" i="6"/>
  <c r="CS469" i="6"/>
  <c r="CX469" i="6"/>
  <c r="CR469" i="6"/>
  <c r="AA4911" i="5"/>
  <c r="Z4911" i="5"/>
  <c r="Y4911" i="5"/>
  <c r="AA5901" i="5"/>
  <c r="Z5901" i="5"/>
  <c r="Y5901" i="5"/>
  <c r="BR467" i="6"/>
  <c r="BW467" i="6"/>
  <c r="BX467" i="6"/>
  <c r="CC467" i="6"/>
  <c r="CT471" i="6"/>
  <c r="CY471" i="6"/>
  <c r="DE471" i="6"/>
  <c r="CZ471" i="6"/>
  <c r="BR466" i="6"/>
  <c r="BX466" i="6"/>
  <c r="BW466" i="6"/>
  <c r="CC466" i="6"/>
  <c r="AA2435" i="5"/>
  <c r="Z2435" i="5"/>
  <c r="Y2435" i="5"/>
  <c r="Y455" i="5"/>
  <c r="Z455" i="5"/>
  <c r="AA455" i="5"/>
  <c r="AA4415" i="5"/>
  <c r="Y4415" i="5"/>
  <c r="Z4415" i="5"/>
  <c r="AA2930" i="5"/>
  <c r="Y2930" i="5"/>
  <c r="Z2930" i="5"/>
  <c r="DL472" i="6"/>
  <c r="DA472" i="6"/>
  <c r="DG472" i="6"/>
  <c r="DF472" i="6"/>
  <c r="AP462" i="6"/>
  <c r="AV462" i="6"/>
  <c r="AU462" i="6"/>
  <c r="BA462" i="6"/>
  <c r="AW463" i="6"/>
  <c r="BH463" i="6"/>
  <c r="BB463" i="6"/>
  <c r="BC463" i="6"/>
  <c r="AA4910" i="5"/>
  <c r="Y4910" i="5"/>
  <c r="Z4910" i="5"/>
  <c r="BO464" i="6"/>
  <c r="BD464" i="6"/>
  <c r="BJ464" i="6"/>
  <c r="BI464" i="6"/>
  <c r="DY474" i="6"/>
  <c r="DO474" i="6"/>
  <c r="AA456" i="5"/>
  <c r="Y456" i="5"/>
  <c r="Z456" i="5"/>
  <c r="Y1940" i="5"/>
  <c r="AA1940" i="5"/>
  <c r="Z1940" i="5"/>
  <c r="AA3425" i="5"/>
  <c r="Z3425" i="5"/>
  <c r="Y3425" i="5"/>
  <c r="DS473" i="6"/>
  <c r="DH473" i="6"/>
  <c r="DM473" i="6"/>
  <c r="DN473" i="6"/>
  <c r="CF468" i="6"/>
  <c r="CK468" i="6"/>
  <c r="CQ468" i="6"/>
  <c r="CL468" i="6"/>
  <c r="BP465" i="6"/>
  <c r="BK465" i="6"/>
  <c r="BV465" i="6"/>
  <c r="BQ465" i="6"/>
  <c r="Y6396" i="5"/>
  <c r="Z6396" i="5"/>
  <c r="D475" i="6"/>
  <c r="X475" i="6"/>
  <c r="P475" i="6"/>
  <c r="H475" i="6"/>
  <c r="V475" i="6"/>
  <c r="L475" i="6"/>
  <c r="F475" i="6"/>
  <c r="T475" i="6"/>
  <c r="N475" i="6"/>
  <c r="Z475" i="6"/>
  <c r="R475" i="6"/>
  <c r="J475" i="6"/>
  <c r="AM475" i="6"/>
  <c r="AI475" i="6"/>
  <c r="AK475" i="6"/>
  <c r="AB475" i="6"/>
  <c r="DT475" i="6" s="1"/>
  <c r="DX474" i="6"/>
  <c r="AA6397" i="5" s="1"/>
  <c r="EF476" i="6"/>
  <c r="EG476" i="6" s="1"/>
  <c r="EH476" i="6" s="1"/>
  <c r="AA476" i="6" s="1"/>
  <c r="AA3921" i="5" l="1"/>
  <c r="Y3921" i="5"/>
  <c r="Z3921" i="5"/>
  <c r="AU463" i="6"/>
  <c r="AP463" i="6"/>
  <c r="AV463" i="6"/>
  <c r="BA463" i="6"/>
  <c r="AN462" i="6"/>
  <c r="AO462" i="6"/>
  <c r="AT462" i="6"/>
  <c r="Y5407" i="5"/>
  <c r="AA5407" i="5"/>
  <c r="Z5407" i="5"/>
  <c r="BK466" i="6"/>
  <c r="BV466" i="6"/>
  <c r="BQ466" i="6"/>
  <c r="BP466" i="6"/>
  <c r="CR471" i="6"/>
  <c r="CM471" i="6"/>
  <c r="CS471" i="6"/>
  <c r="CX471" i="6"/>
  <c r="BK467" i="6"/>
  <c r="BP467" i="6"/>
  <c r="BV467" i="6"/>
  <c r="BQ467" i="6"/>
  <c r="AA4416" i="5"/>
  <c r="Y4416" i="5"/>
  <c r="Z4416" i="5"/>
  <c r="AA4417" i="5"/>
  <c r="Z4417" i="5"/>
  <c r="Y4417" i="5"/>
  <c r="BH464" i="6"/>
  <c r="AW464" i="6"/>
  <c r="BC464" i="6"/>
  <c r="BB464" i="6"/>
  <c r="DO475" i="6"/>
  <c r="DY475" i="6"/>
  <c r="BO465" i="6"/>
  <c r="BD465" i="6"/>
  <c r="BI465" i="6"/>
  <c r="BJ465" i="6"/>
  <c r="DL473" i="6"/>
  <c r="DF473" i="6"/>
  <c r="DA473" i="6"/>
  <c r="DG473" i="6"/>
  <c r="AA1941" i="5"/>
  <c r="Y1941" i="5"/>
  <c r="Z1941" i="5"/>
  <c r="AA951" i="5"/>
  <c r="Z951" i="5"/>
  <c r="Y951" i="5"/>
  <c r="AA2931" i="5"/>
  <c r="Y2931" i="5"/>
  <c r="Z2931" i="5"/>
  <c r="AA2932" i="5"/>
  <c r="Y2932" i="5"/>
  <c r="Z2932" i="5"/>
  <c r="DS474" i="6"/>
  <c r="DM474" i="6"/>
  <c r="DH474" i="6"/>
  <c r="DN474" i="6"/>
  <c r="BY468" i="6"/>
  <c r="CE468" i="6"/>
  <c r="CD468" i="6"/>
  <c r="CJ468" i="6"/>
  <c r="Y5902" i="5"/>
  <c r="Z5902" i="5"/>
  <c r="AA5902" i="5"/>
  <c r="AA4912" i="5"/>
  <c r="Y4912" i="5"/>
  <c r="Z4912" i="5"/>
  <c r="CF469" i="6"/>
  <c r="CL469" i="6"/>
  <c r="CK469" i="6"/>
  <c r="CQ469" i="6"/>
  <c r="AA2436" i="5"/>
  <c r="Y2436" i="5"/>
  <c r="Z2436" i="5"/>
  <c r="AA1446" i="5"/>
  <c r="Y1446" i="5"/>
  <c r="Z1446" i="5"/>
  <c r="CT472" i="6"/>
  <c r="CY472" i="6"/>
  <c r="DE472" i="6"/>
  <c r="CZ472" i="6"/>
  <c r="CF470" i="6"/>
  <c r="CQ470" i="6"/>
  <c r="CL470" i="6"/>
  <c r="CK470" i="6"/>
  <c r="Y6397" i="5"/>
  <c r="Z6397" i="5"/>
  <c r="F476" i="6"/>
  <c r="X476" i="6"/>
  <c r="P476" i="6"/>
  <c r="H476" i="6"/>
  <c r="V476" i="6"/>
  <c r="L476" i="6"/>
  <c r="D476" i="6"/>
  <c r="T476" i="6"/>
  <c r="N476" i="6"/>
  <c r="AB476" i="6"/>
  <c r="DT476" i="6" s="1"/>
  <c r="R476" i="6"/>
  <c r="J476" i="6"/>
  <c r="Z476" i="6"/>
  <c r="AI476" i="6"/>
  <c r="AM476" i="6"/>
  <c r="AK476" i="6"/>
  <c r="EF477" i="6"/>
  <c r="EG477" i="6" s="1"/>
  <c r="EH477" i="6" s="1"/>
  <c r="AA477" i="6" s="1"/>
  <c r="DX475" i="6"/>
  <c r="AA6398" i="5" s="1"/>
  <c r="BY469" i="6" l="1"/>
  <c r="CD469" i="6"/>
  <c r="CJ469" i="6"/>
  <c r="CE469" i="6"/>
  <c r="DA474" i="6"/>
  <c r="DL474" i="6"/>
  <c r="DG474" i="6"/>
  <c r="DF474" i="6"/>
  <c r="CT473" i="6"/>
  <c r="DE473" i="6"/>
  <c r="CY473" i="6"/>
  <c r="CZ473" i="6"/>
  <c r="DS475" i="6"/>
  <c r="DM475" i="6"/>
  <c r="DN475" i="6"/>
  <c r="DH475" i="6"/>
  <c r="Y1447" i="5"/>
  <c r="AA1447" i="5"/>
  <c r="Z1447" i="5"/>
  <c r="AA2438" i="5"/>
  <c r="Y2438" i="5"/>
  <c r="Z2438" i="5"/>
  <c r="AA4913" i="5"/>
  <c r="Y4913" i="5"/>
  <c r="Z4913" i="5"/>
  <c r="AA3923" i="5"/>
  <c r="Y3923" i="5"/>
  <c r="Z3923" i="5"/>
  <c r="AA3922" i="5"/>
  <c r="Y3922" i="5"/>
  <c r="Z3922" i="5"/>
  <c r="BH465" i="6"/>
  <c r="AW465" i="6"/>
  <c r="BB465" i="6"/>
  <c r="BC465" i="6"/>
  <c r="CF471" i="6"/>
  <c r="CQ471" i="6"/>
  <c r="CL471" i="6"/>
  <c r="CK471" i="6"/>
  <c r="AA2437" i="5"/>
  <c r="Y2437" i="5"/>
  <c r="Z2437" i="5"/>
  <c r="AA952" i="5"/>
  <c r="Y952" i="5"/>
  <c r="Z952" i="5"/>
  <c r="CM472" i="6"/>
  <c r="CX472" i="6"/>
  <c r="CS472" i="6"/>
  <c r="CR472" i="6"/>
  <c r="BR468" i="6"/>
  <c r="BW468" i="6"/>
  <c r="CC468" i="6"/>
  <c r="BX468" i="6"/>
  <c r="Y5903" i="5"/>
  <c r="AA5903" i="5"/>
  <c r="Z5903" i="5"/>
  <c r="Y5408" i="5"/>
  <c r="Z5408" i="5"/>
  <c r="AA5408" i="5"/>
  <c r="AA1942" i="5"/>
  <c r="Z1942" i="5"/>
  <c r="Y1942" i="5"/>
  <c r="BO467" i="6"/>
  <c r="BD467" i="6"/>
  <c r="BJ467" i="6"/>
  <c r="BI467" i="6"/>
  <c r="BO466" i="6"/>
  <c r="BD466" i="6"/>
  <c r="BJ466" i="6"/>
  <c r="BI466" i="6"/>
  <c r="Y457" i="5"/>
  <c r="AA457" i="5"/>
  <c r="Z457" i="5"/>
  <c r="BY470" i="6"/>
  <c r="CD470" i="6"/>
  <c r="CJ470" i="6"/>
  <c r="CE470" i="6"/>
  <c r="DO476" i="6"/>
  <c r="DY476" i="6"/>
  <c r="AA3427" i="5"/>
  <c r="Z3427" i="5"/>
  <c r="Y3427" i="5"/>
  <c r="AP464" i="6"/>
  <c r="AV464" i="6"/>
  <c r="BA464" i="6"/>
  <c r="AU464" i="6"/>
  <c r="AA4418" i="5"/>
  <c r="Y4418" i="5"/>
  <c r="Z4418" i="5"/>
  <c r="AO463" i="6"/>
  <c r="AT463" i="6"/>
  <c r="AN463" i="6"/>
  <c r="Y6398" i="5"/>
  <c r="Z6398" i="5"/>
  <c r="F477" i="6"/>
  <c r="J477" i="6"/>
  <c r="Z477" i="6"/>
  <c r="V477" i="6"/>
  <c r="L477" i="6"/>
  <c r="AI477" i="6"/>
  <c r="AK477" i="6"/>
  <c r="T477" i="6"/>
  <c r="N477" i="6"/>
  <c r="R477" i="6"/>
  <c r="D477" i="6"/>
  <c r="AM477" i="6"/>
  <c r="AB477" i="6"/>
  <c r="DT477" i="6" s="1"/>
  <c r="X477" i="6"/>
  <c r="P477" i="6"/>
  <c r="H477" i="6"/>
  <c r="DX476" i="6"/>
  <c r="AA6399" i="5" s="1"/>
  <c r="EF478" i="6"/>
  <c r="BH466" i="6" l="1"/>
  <c r="AW466" i="6"/>
  <c r="BC466" i="6"/>
  <c r="BB466" i="6"/>
  <c r="AW467" i="6"/>
  <c r="BH467" i="6"/>
  <c r="BB467" i="6"/>
  <c r="BC467" i="6"/>
  <c r="AA2933" i="5"/>
  <c r="Z2933" i="5"/>
  <c r="Y2933" i="5"/>
  <c r="CD471" i="6"/>
  <c r="BY471" i="6"/>
  <c r="CJ471" i="6"/>
  <c r="CE471" i="6"/>
  <c r="Y1448" i="5"/>
  <c r="AA1448" i="5"/>
  <c r="Z1448" i="5"/>
  <c r="DL475" i="6"/>
  <c r="DA475" i="6"/>
  <c r="DF475" i="6"/>
  <c r="DG475" i="6"/>
  <c r="AA953" i="5"/>
  <c r="Y953" i="5"/>
  <c r="Z953" i="5"/>
  <c r="AA3429" i="5"/>
  <c r="Y3429" i="5"/>
  <c r="Z3429" i="5"/>
  <c r="DO477" i="6"/>
  <c r="DY477" i="6"/>
  <c r="AA458" i="5"/>
  <c r="Y458" i="5"/>
  <c r="Z458" i="5"/>
  <c r="AT464" i="6"/>
  <c r="AN464" i="6"/>
  <c r="AO464" i="6"/>
  <c r="AA1943" i="5"/>
  <c r="Y1943" i="5"/>
  <c r="Z1943" i="5"/>
  <c r="AA1944" i="5"/>
  <c r="Z1944" i="5"/>
  <c r="Y1944" i="5"/>
  <c r="AA4419" i="5"/>
  <c r="Y4419" i="5"/>
  <c r="Z4419" i="5"/>
  <c r="AA3428" i="5"/>
  <c r="Z3428" i="5"/>
  <c r="Y3428" i="5"/>
  <c r="DH476" i="6"/>
  <c r="DM476" i="6"/>
  <c r="DS476" i="6"/>
  <c r="DN476" i="6"/>
  <c r="BR470" i="6"/>
  <c r="CC470" i="6"/>
  <c r="BX470" i="6"/>
  <c r="BW470" i="6"/>
  <c r="BK468" i="6"/>
  <c r="BP468" i="6"/>
  <c r="BV468" i="6"/>
  <c r="BQ468" i="6"/>
  <c r="CF472" i="6"/>
  <c r="CQ472" i="6"/>
  <c r="CL472" i="6"/>
  <c r="CK472" i="6"/>
  <c r="AA4914" i="5"/>
  <c r="Y4914" i="5"/>
  <c r="Z4914" i="5"/>
  <c r="Y5409" i="5"/>
  <c r="Z5409" i="5"/>
  <c r="AA5409" i="5"/>
  <c r="AA3924" i="5"/>
  <c r="Z3924" i="5"/>
  <c r="Y3924" i="5"/>
  <c r="AU465" i="6"/>
  <c r="AP465" i="6"/>
  <c r="BA465" i="6"/>
  <c r="AV465" i="6"/>
  <c r="Y5904" i="5"/>
  <c r="Z5904" i="5"/>
  <c r="AA5904" i="5"/>
  <c r="CR473" i="6"/>
  <c r="CM473" i="6"/>
  <c r="CX473" i="6"/>
  <c r="CS473" i="6"/>
  <c r="CT474" i="6"/>
  <c r="DE474" i="6"/>
  <c r="CY474" i="6"/>
  <c r="CZ474" i="6"/>
  <c r="BR469" i="6"/>
  <c r="CC469" i="6"/>
  <c r="BX469" i="6"/>
  <c r="BW469" i="6"/>
  <c r="Y6399" i="5"/>
  <c r="Z6399" i="5"/>
  <c r="EF479" i="6"/>
  <c r="EG479" i="6" s="1"/>
  <c r="EH479" i="6" s="1"/>
  <c r="AA479" i="6" s="1"/>
  <c r="EG478" i="6"/>
  <c r="EH478" i="6" s="1"/>
  <c r="AA478" i="6" s="1"/>
  <c r="DX477" i="6"/>
  <c r="AA6400" i="5" s="1"/>
  <c r="BK469" i="6" l="1"/>
  <c r="BQ469" i="6"/>
  <c r="BP469" i="6"/>
  <c r="BV469" i="6"/>
  <c r="BO468" i="6"/>
  <c r="BD468" i="6"/>
  <c r="BJ468" i="6"/>
  <c r="BI468" i="6"/>
  <c r="AA954" i="5"/>
  <c r="Y954" i="5"/>
  <c r="Z954" i="5"/>
  <c r="CT475" i="6"/>
  <c r="CY475" i="6"/>
  <c r="DE475" i="6"/>
  <c r="CZ475" i="6"/>
  <c r="CM474" i="6"/>
  <c r="CR474" i="6"/>
  <c r="CX474" i="6"/>
  <c r="CS474" i="6"/>
  <c r="BK470" i="6"/>
  <c r="BV470" i="6"/>
  <c r="BQ470" i="6"/>
  <c r="BP470" i="6"/>
  <c r="AA4420" i="5"/>
  <c r="Y4420" i="5"/>
  <c r="Z4420" i="5"/>
  <c r="AN465" i="6"/>
  <c r="AO465" i="6"/>
  <c r="AT465" i="6"/>
  <c r="AA2439" i="5"/>
  <c r="Z2439" i="5"/>
  <c r="Y2439" i="5"/>
  <c r="AA5905" i="5"/>
  <c r="Y5905" i="5"/>
  <c r="Z5905" i="5"/>
  <c r="Y5410" i="5"/>
  <c r="AA5410" i="5"/>
  <c r="Z5410" i="5"/>
  <c r="BY472" i="6"/>
  <c r="CJ472" i="6"/>
  <c r="CE472" i="6"/>
  <c r="CD472" i="6"/>
  <c r="AA2934" i="5"/>
  <c r="Y2934" i="5"/>
  <c r="Z2934" i="5"/>
  <c r="AA4915" i="5"/>
  <c r="Z4915" i="5"/>
  <c r="Y4915" i="5"/>
  <c r="CF473" i="6"/>
  <c r="CK473" i="6"/>
  <c r="CQ473" i="6"/>
  <c r="CL473" i="6"/>
  <c r="AA3925" i="5"/>
  <c r="Y3925" i="5"/>
  <c r="Z3925" i="5"/>
  <c r="AA2935" i="5"/>
  <c r="Y2935" i="5"/>
  <c r="Z2935" i="5"/>
  <c r="AA459" i="5"/>
  <c r="Z459" i="5"/>
  <c r="Y459" i="5"/>
  <c r="AA3430" i="5"/>
  <c r="Y3430" i="5"/>
  <c r="Z3430" i="5"/>
  <c r="AA1450" i="5"/>
  <c r="Y1450" i="5"/>
  <c r="Z1450" i="5"/>
  <c r="AP466" i="6"/>
  <c r="AV466" i="6"/>
  <c r="BA466" i="6"/>
  <c r="AU466" i="6"/>
  <c r="DL476" i="6"/>
  <c r="DA476" i="6"/>
  <c r="DG476" i="6"/>
  <c r="DF476" i="6"/>
  <c r="DS477" i="6"/>
  <c r="DH477" i="6"/>
  <c r="DM477" i="6"/>
  <c r="DN477" i="6"/>
  <c r="BW471" i="6"/>
  <c r="BR471" i="6"/>
  <c r="CC471" i="6"/>
  <c r="BX471" i="6"/>
  <c r="AP467" i="6"/>
  <c r="AU467" i="6"/>
  <c r="BA467" i="6"/>
  <c r="AV467" i="6"/>
  <c r="Y1449" i="5"/>
  <c r="AA1449" i="5"/>
  <c r="Z1449" i="5"/>
  <c r="Y6400" i="5"/>
  <c r="Z6400" i="5"/>
  <c r="R479" i="6"/>
  <c r="J479" i="6"/>
  <c r="F479" i="6"/>
  <c r="X479" i="6"/>
  <c r="L479" i="6"/>
  <c r="H479" i="6"/>
  <c r="Z479" i="6"/>
  <c r="V479" i="6"/>
  <c r="N479" i="6"/>
  <c r="T479" i="6"/>
  <c r="P479" i="6"/>
  <c r="D479" i="6"/>
  <c r="AM479" i="6"/>
  <c r="AB479" i="6"/>
  <c r="DT479" i="6" s="1"/>
  <c r="AI479" i="6"/>
  <c r="AK479" i="6"/>
  <c r="AB478" i="6"/>
  <c r="DT478" i="6" s="1"/>
  <c r="R478" i="6"/>
  <c r="J478" i="6"/>
  <c r="X478" i="6"/>
  <c r="P478" i="6"/>
  <c r="D478" i="6"/>
  <c r="V478" i="6"/>
  <c r="N478" i="6"/>
  <c r="H478" i="6"/>
  <c r="T478" i="6"/>
  <c r="L478" i="6"/>
  <c r="Z478" i="6"/>
  <c r="F478" i="6"/>
  <c r="AM478" i="6"/>
  <c r="AI478" i="6"/>
  <c r="AK478" i="6"/>
  <c r="EF480" i="6"/>
  <c r="DO478" i="6" l="1"/>
  <c r="DY478" i="6"/>
  <c r="AT467" i="6"/>
  <c r="AN467" i="6"/>
  <c r="AO467" i="6"/>
  <c r="Y5906" i="5"/>
  <c r="AA5906" i="5"/>
  <c r="Z5906" i="5"/>
  <c r="Y5411" i="5"/>
  <c r="AA5411" i="5"/>
  <c r="Z5411" i="5"/>
  <c r="AO466" i="6"/>
  <c r="AT466" i="6"/>
  <c r="AN466" i="6"/>
  <c r="AA3431" i="5"/>
  <c r="Y3431" i="5"/>
  <c r="Z3431" i="5"/>
  <c r="BO470" i="6"/>
  <c r="BD470" i="6"/>
  <c r="BJ470" i="6"/>
  <c r="BI470" i="6"/>
  <c r="CF474" i="6"/>
  <c r="CL474" i="6"/>
  <c r="CK474" i="6"/>
  <c r="CQ474" i="6"/>
  <c r="CM475" i="6"/>
  <c r="CR475" i="6"/>
  <c r="CS475" i="6"/>
  <c r="CX475" i="6"/>
  <c r="AA2440" i="5"/>
  <c r="Y2440" i="5"/>
  <c r="Z2440" i="5"/>
  <c r="DA477" i="6"/>
  <c r="DL477" i="6"/>
  <c r="DF477" i="6"/>
  <c r="DG477" i="6"/>
  <c r="AA3926" i="5"/>
  <c r="Y3926" i="5"/>
  <c r="Z3926" i="5"/>
  <c r="BR472" i="6"/>
  <c r="BW472" i="6"/>
  <c r="CC472" i="6"/>
  <c r="BX472" i="6"/>
  <c r="BP471" i="6"/>
  <c r="BK471" i="6"/>
  <c r="BQ471" i="6"/>
  <c r="BV471" i="6"/>
  <c r="DO479" i="6"/>
  <c r="DY479" i="6"/>
  <c r="AA956" i="5"/>
  <c r="Y956" i="5"/>
  <c r="Z956" i="5"/>
  <c r="AA2936" i="5"/>
  <c r="Y2936" i="5"/>
  <c r="Z2936" i="5"/>
  <c r="AA955" i="5"/>
  <c r="Z955" i="5"/>
  <c r="Y955" i="5"/>
  <c r="AA4421" i="5"/>
  <c r="Y4421" i="5"/>
  <c r="Z4421" i="5"/>
  <c r="AA4916" i="5"/>
  <c r="Y4916" i="5"/>
  <c r="Z4916" i="5"/>
  <c r="BH468" i="6"/>
  <c r="AW468" i="6"/>
  <c r="BB468" i="6"/>
  <c r="BC468" i="6"/>
  <c r="CT476" i="6"/>
  <c r="DE476" i="6"/>
  <c r="CY476" i="6"/>
  <c r="CZ476" i="6"/>
  <c r="CD473" i="6"/>
  <c r="BY473" i="6"/>
  <c r="CJ473" i="6"/>
  <c r="CE473" i="6"/>
  <c r="AA460" i="5"/>
  <c r="Y460" i="5"/>
  <c r="Z460" i="5"/>
  <c r="AA2441" i="5"/>
  <c r="Z2441" i="5"/>
  <c r="Y2441" i="5"/>
  <c r="Y1945" i="5"/>
  <c r="AA1945" i="5"/>
  <c r="Z1945" i="5"/>
  <c r="BO469" i="6"/>
  <c r="BD469" i="6"/>
  <c r="BI469" i="6"/>
  <c r="BJ469" i="6"/>
  <c r="EF481" i="6"/>
  <c r="DX478" i="6"/>
  <c r="AA6401" i="5" s="1"/>
  <c r="EG480" i="6"/>
  <c r="EH480" i="6" s="1"/>
  <c r="AA480" i="6" s="1"/>
  <c r="DX479" i="6"/>
  <c r="AA6402" i="5" s="1"/>
  <c r="DS479" i="6" l="1"/>
  <c r="DM479" i="6"/>
  <c r="DN479" i="6"/>
  <c r="DH479" i="6"/>
  <c r="BK472" i="6"/>
  <c r="BV472" i="6"/>
  <c r="BQ472" i="6"/>
  <c r="BP472" i="6"/>
  <c r="Y1946" i="5"/>
  <c r="AA1946" i="5"/>
  <c r="Z1946" i="5"/>
  <c r="BH469" i="6"/>
  <c r="AW469" i="6"/>
  <c r="BB469" i="6"/>
  <c r="BC469" i="6"/>
  <c r="AA3432" i="5"/>
  <c r="Y3432" i="5"/>
  <c r="Z3432" i="5"/>
  <c r="AA2442" i="5"/>
  <c r="Y2442" i="5"/>
  <c r="Z2442" i="5"/>
  <c r="BH470" i="6"/>
  <c r="AW470" i="6"/>
  <c r="BC470" i="6"/>
  <c r="BB470" i="6"/>
  <c r="AA462" i="5"/>
  <c r="Z462" i="5"/>
  <c r="Y462" i="5"/>
  <c r="BR473" i="6"/>
  <c r="BW473" i="6"/>
  <c r="CC473" i="6"/>
  <c r="BX473" i="6"/>
  <c r="AA4917" i="5"/>
  <c r="Z4917" i="5"/>
  <c r="Y4917" i="5"/>
  <c r="AP468" i="6"/>
  <c r="BA468" i="6"/>
  <c r="AU468" i="6"/>
  <c r="AV468" i="6"/>
  <c r="AA2937" i="5"/>
  <c r="Y2937" i="5"/>
  <c r="Z2937" i="5"/>
  <c r="Y5412" i="5"/>
  <c r="AA5412" i="5"/>
  <c r="Z5412" i="5"/>
  <c r="CF475" i="6"/>
  <c r="CQ475" i="6"/>
  <c r="CL475" i="6"/>
  <c r="CK475" i="6"/>
  <c r="BY474" i="6"/>
  <c r="CE474" i="6"/>
  <c r="CD474" i="6"/>
  <c r="CJ474" i="6"/>
  <c r="AA1947" i="5"/>
  <c r="Y1947" i="5"/>
  <c r="Z1947" i="5"/>
  <c r="CM476" i="6"/>
  <c r="CR476" i="6"/>
  <c r="CX476" i="6"/>
  <c r="CS476" i="6"/>
  <c r="Y1451" i="5"/>
  <c r="AA1451" i="5"/>
  <c r="Z1451" i="5"/>
  <c r="BO471" i="6"/>
  <c r="BD471" i="6"/>
  <c r="BJ471" i="6"/>
  <c r="BI471" i="6"/>
  <c r="CT477" i="6"/>
  <c r="DE477" i="6"/>
  <c r="CY477" i="6"/>
  <c r="CZ477" i="6"/>
  <c r="AA4422" i="5"/>
  <c r="Y4422" i="5"/>
  <c r="Z4422" i="5"/>
  <c r="AA3927" i="5"/>
  <c r="Z3927" i="5"/>
  <c r="Y3927" i="5"/>
  <c r="AA461" i="5"/>
  <c r="Z461" i="5"/>
  <c r="Y461" i="5"/>
  <c r="DS478" i="6"/>
  <c r="DM478" i="6"/>
  <c r="DH478" i="6"/>
  <c r="DN478" i="6"/>
  <c r="Y6402" i="5"/>
  <c r="Z6402" i="5"/>
  <c r="Y6401" i="5"/>
  <c r="Z6401" i="5"/>
  <c r="EF482" i="6"/>
  <c r="EG482" i="6" s="1"/>
  <c r="EH482" i="6" s="1"/>
  <c r="AA482" i="6" s="1"/>
  <c r="F480" i="6"/>
  <c r="T480" i="6"/>
  <c r="J480" i="6"/>
  <c r="L480" i="6"/>
  <c r="H480" i="6"/>
  <c r="X480" i="6"/>
  <c r="P480" i="6"/>
  <c r="R480" i="6"/>
  <c r="V480" i="6"/>
  <c r="N480" i="6"/>
  <c r="D480" i="6"/>
  <c r="AI480" i="6"/>
  <c r="AK480" i="6"/>
  <c r="Z480" i="6"/>
  <c r="AM480" i="6"/>
  <c r="AB480" i="6"/>
  <c r="DT480" i="6" s="1"/>
  <c r="EG481" i="6"/>
  <c r="EH481" i="6" s="1"/>
  <c r="AA481" i="6" s="1"/>
  <c r="DO480" i="6" l="1"/>
  <c r="DY480" i="6"/>
  <c r="CF476" i="6"/>
  <c r="CQ476" i="6"/>
  <c r="CL476" i="6"/>
  <c r="CK476" i="6"/>
  <c r="AA957" i="5"/>
  <c r="Z957" i="5"/>
  <c r="Y957" i="5"/>
  <c r="CM477" i="6"/>
  <c r="CR477" i="6"/>
  <c r="CX477" i="6"/>
  <c r="CS477" i="6"/>
  <c r="AA1948" i="5"/>
  <c r="Y1948" i="5"/>
  <c r="Z1948" i="5"/>
  <c r="AO468" i="6"/>
  <c r="AT468" i="6"/>
  <c r="AN468" i="6"/>
  <c r="AA1452" i="5"/>
  <c r="Y1452" i="5"/>
  <c r="Z1452" i="5"/>
  <c r="DA479" i="6"/>
  <c r="DL479" i="6"/>
  <c r="DF479" i="6"/>
  <c r="DG479" i="6"/>
  <c r="AW471" i="6"/>
  <c r="BC471" i="6"/>
  <c r="BH471" i="6"/>
  <c r="BB471" i="6"/>
  <c r="AA4423" i="5"/>
  <c r="Z4423" i="5"/>
  <c r="Y4423" i="5"/>
  <c r="AA3928" i="5"/>
  <c r="Z3928" i="5"/>
  <c r="Y3928" i="5"/>
  <c r="AA2938" i="5"/>
  <c r="Y2938" i="5"/>
  <c r="Z2938" i="5"/>
  <c r="AP470" i="6"/>
  <c r="AU470" i="6"/>
  <c r="BA470" i="6"/>
  <c r="AV470" i="6"/>
  <c r="Y5907" i="5"/>
  <c r="AA5907" i="5"/>
  <c r="Z5907" i="5"/>
  <c r="DA478" i="6"/>
  <c r="DL478" i="6"/>
  <c r="DG478" i="6"/>
  <c r="DF478" i="6"/>
  <c r="BR474" i="6"/>
  <c r="CC474" i="6"/>
  <c r="BX474" i="6"/>
  <c r="BW474" i="6"/>
  <c r="BY475" i="6"/>
  <c r="CD475" i="6"/>
  <c r="CJ475" i="6"/>
  <c r="CE475" i="6"/>
  <c r="Y1453" i="5"/>
  <c r="AA1453" i="5"/>
  <c r="Z1453" i="5"/>
  <c r="AA2443" i="5"/>
  <c r="Z2443" i="5"/>
  <c r="Y2443" i="5"/>
  <c r="AA4918" i="5"/>
  <c r="Y4918" i="5"/>
  <c r="Z4918" i="5"/>
  <c r="AA3433" i="5"/>
  <c r="Z3433" i="5"/>
  <c r="Y3433" i="5"/>
  <c r="BK473" i="6"/>
  <c r="BP473" i="6"/>
  <c r="BV473" i="6"/>
  <c r="BQ473" i="6"/>
  <c r="AP469" i="6"/>
  <c r="AV469" i="6"/>
  <c r="AU469" i="6"/>
  <c r="BA469" i="6"/>
  <c r="BO472" i="6"/>
  <c r="BD472" i="6"/>
  <c r="BJ472" i="6"/>
  <c r="BI472" i="6"/>
  <c r="Y5908" i="5"/>
  <c r="Z5908" i="5"/>
  <c r="AA5908" i="5"/>
  <c r="DX480" i="6"/>
  <c r="AA6403" i="5" s="1"/>
  <c r="EF483" i="6"/>
  <c r="EG483" i="6" s="1"/>
  <c r="EH483" i="6" s="1"/>
  <c r="AA483" i="6" s="1"/>
  <c r="F481" i="6"/>
  <c r="Z481" i="6"/>
  <c r="AB481" i="6"/>
  <c r="DT481" i="6" s="1"/>
  <c r="R481" i="6"/>
  <c r="H481" i="6"/>
  <c r="AI481" i="6"/>
  <c r="AK481" i="6"/>
  <c r="X481" i="6"/>
  <c r="L481" i="6"/>
  <c r="D481" i="6"/>
  <c r="V481" i="6"/>
  <c r="P481" i="6"/>
  <c r="J481" i="6"/>
  <c r="AM481" i="6"/>
  <c r="T481" i="6"/>
  <c r="N481" i="6"/>
  <c r="V482" i="6"/>
  <c r="N482" i="6"/>
  <c r="T482" i="6"/>
  <c r="L482" i="6"/>
  <c r="Z482" i="6"/>
  <c r="R482" i="6"/>
  <c r="J482" i="6"/>
  <c r="X482" i="6"/>
  <c r="P482" i="6"/>
  <c r="D482" i="6"/>
  <c r="F482" i="6"/>
  <c r="AM482" i="6"/>
  <c r="H482" i="6"/>
  <c r="AI482" i="6"/>
  <c r="AK482" i="6"/>
  <c r="AB482" i="6"/>
  <c r="DT482" i="6" s="1"/>
  <c r="AO469" i="6" l="1"/>
  <c r="AT469" i="6"/>
  <c r="AN469" i="6"/>
  <c r="DY482" i="6"/>
  <c r="DO482" i="6"/>
  <c r="BH472" i="6"/>
  <c r="AW472" i="6"/>
  <c r="BC472" i="6"/>
  <c r="BB472" i="6"/>
  <c r="AA2939" i="5"/>
  <c r="Z2939" i="5"/>
  <c r="Y2939" i="5"/>
  <c r="Y5413" i="5"/>
  <c r="Z5413" i="5"/>
  <c r="AA5413" i="5"/>
  <c r="AO470" i="6"/>
  <c r="AT470" i="6"/>
  <c r="AN470" i="6"/>
  <c r="Y5414" i="5"/>
  <c r="Z5414" i="5"/>
  <c r="AA5414" i="5"/>
  <c r="AA4424" i="5"/>
  <c r="Y4424" i="5"/>
  <c r="Z4424" i="5"/>
  <c r="AA3929" i="5"/>
  <c r="Y3929" i="5"/>
  <c r="Z3929" i="5"/>
  <c r="DO481" i="6"/>
  <c r="DY481" i="6"/>
  <c r="Y1949" i="5"/>
  <c r="AA1949" i="5"/>
  <c r="Z1949" i="5"/>
  <c r="BK474" i="6"/>
  <c r="BV474" i="6"/>
  <c r="BQ474" i="6"/>
  <c r="BP474" i="6"/>
  <c r="CT478" i="6"/>
  <c r="CZ478" i="6"/>
  <c r="CY478" i="6"/>
  <c r="DE478" i="6"/>
  <c r="AU471" i="6"/>
  <c r="AP471" i="6"/>
  <c r="BA471" i="6"/>
  <c r="AV471" i="6"/>
  <c r="CT479" i="6"/>
  <c r="DE479" i="6"/>
  <c r="CY479" i="6"/>
  <c r="CZ479" i="6"/>
  <c r="BY476" i="6"/>
  <c r="CJ476" i="6"/>
  <c r="CE476" i="6"/>
  <c r="CD476" i="6"/>
  <c r="BR475" i="6"/>
  <c r="BW475" i="6"/>
  <c r="CC475" i="6"/>
  <c r="BX475" i="6"/>
  <c r="AA958" i="5"/>
  <c r="Y958" i="5"/>
  <c r="Z958" i="5"/>
  <c r="AA959" i="5"/>
  <c r="Y959" i="5"/>
  <c r="Z959" i="5"/>
  <c r="AA463" i="5"/>
  <c r="Z463" i="5"/>
  <c r="Y463" i="5"/>
  <c r="CF477" i="6"/>
  <c r="CQ477" i="6"/>
  <c r="CL477" i="6"/>
  <c r="CK477" i="6"/>
  <c r="BO473" i="6"/>
  <c r="BD473" i="6"/>
  <c r="BJ473" i="6"/>
  <c r="BI473" i="6"/>
  <c r="AA2444" i="5"/>
  <c r="Y2444" i="5"/>
  <c r="Z2444" i="5"/>
  <c r="AA3434" i="5"/>
  <c r="Y3434" i="5"/>
  <c r="Z3434" i="5"/>
  <c r="AA1454" i="5"/>
  <c r="Z1454" i="5"/>
  <c r="Y1454" i="5"/>
  <c r="DH480" i="6"/>
  <c r="DN480" i="6"/>
  <c r="DM480" i="6"/>
  <c r="DS480" i="6"/>
  <c r="Y6403" i="5"/>
  <c r="Z6403" i="5"/>
  <c r="DX482" i="6"/>
  <c r="AA6405" i="5" s="1"/>
  <c r="T483" i="6"/>
  <c r="J483" i="6"/>
  <c r="Z483" i="6"/>
  <c r="R483" i="6"/>
  <c r="H483" i="6"/>
  <c r="X483" i="6"/>
  <c r="P483" i="6"/>
  <c r="N483" i="6"/>
  <c r="D483" i="6"/>
  <c r="V483" i="6"/>
  <c r="L483" i="6"/>
  <c r="F483" i="6"/>
  <c r="AM483" i="6"/>
  <c r="AB483" i="6"/>
  <c r="DT483" i="6" s="1"/>
  <c r="AI483" i="6"/>
  <c r="AK483" i="6"/>
  <c r="DX481" i="6"/>
  <c r="AA6404" i="5" s="1"/>
  <c r="EF484" i="6"/>
  <c r="EG484" i="6" s="1"/>
  <c r="EH484" i="6" s="1"/>
  <c r="AA484" i="6" s="1"/>
  <c r="BR476" i="6" l="1"/>
  <c r="BX476" i="6"/>
  <c r="BW476" i="6"/>
  <c r="CC476" i="6"/>
  <c r="AA4919" i="5"/>
  <c r="Z4919" i="5"/>
  <c r="Y4919" i="5"/>
  <c r="DS481" i="6"/>
  <c r="DH481" i="6"/>
  <c r="DN481" i="6"/>
  <c r="DM481" i="6"/>
  <c r="DG480" i="6"/>
  <c r="DA480" i="6"/>
  <c r="DL480" i="6"/>
  <c r="DF480" i="6"/>
  <c r="BH473" i="6"/>
  <c r="AW473" i="6"/>
  <c r="BB473" i="6"/>
  <c r="BC473" i="6"/>
  <c r="AA3930" i="5"/>
  <c r="Y3930" i="5"/>
  <c r="Z3930" i="5"/>
  <c r="AA2940" i="5"/>
  <c r="Y2940" i="5"/>
  <c r="Z2940" i="5"/>
  <c r="AA960" i="5"/>
  <c r="Y960" i="5"/>
  <c r="Z960" i="5"/>
  <c r="AP472" i="6"/>
  <c r="BA472" i="6"/>
  <c r="AU472" i="6"/>
  <c r="AV472" i="6"/>
  <c r="DO483" i="6"/>
  <c r="DY483" i="6"/>
  <c r="AA5909" i="5"/>
  <c r="Y5909" i="5"/>
  <c r="Z5909" i="5"/>
  <c r="AA1950" i="5"/>
  <c r="Y1950" i="5"/>
  <c r="Z1950" i="5"/>
  <c r="BY477" i="6"/>
  <c r="CJ477" i="6"/>
  <c r="CE477" i="6"/>
  <c r="CD477" i="6"/>
  <c r="AA3435" i="5"/>
  <c r="Y3435" i="5"/>
  <c r="Z3435" i="5"/>
  <c r="AA4920" i="5"/>
  <c r="Y4920" i="5"/>
  <c r="Z4920" i="5"/>
  <c r="AO471" i="6"/>
  <c r="AT471" i="6"/>
  <c r="AN471" i="6"/>
  <c r="AA2445" i="5"/>
  <c r="Z2445" i="5"/>
  <c r="Y2445" i="5"/>
  <c r="Y1455" i="5"/>
  <c r="AA1455" i="5"/>
  <c r="Z1455" i="5"/>
  <c r="AA464" i="5"/>
  <c r="Z464" i="5"/>
  <c r="Y464" i="5"/>
  <c r="BP475" i="6"/>
  <c r="BK475" i="6"/>
  <c r="BV475" i="6"/>
  <c r="BQ475" i="6"/>
  <c r="CR479" i="6"/>
  <c r="CM479" i="6"/>
  <c r="CX479" i="6"/>
  <c r="CS479" i="6"/>
  <c r="CM478" i="6"/>
  <c r="CX478" i="6"/>
  <c r="CR478" i="6"/>
  <c r="CS478" i="6"/>
  <c r="BO474" i="6"/>
  <c r="BD474" i="6"/>
  <c r="BI474" i="6"/>
  <c r="BJ474" i="6"/>
  <c r="AA465" i="5"/>
  <c r="Y465" i="5"/>
  <c r="Z465" i="5"/>
  <c r="DS482" i="6"/>
  <c r="DM482" i="6"/>
  <c r="DH482" i="6"/>
  <c r="DN482" i="6"/>
  <c r="Y6405" i="5"/>
  <c r="Z6405" i="5"/>
  <c r="Y6404" i="5"/>
  <c r="Z6404" i="5"/>
  <c r="F484" i="6"/>
  <c r="X484" i="6"/>
  <c r="R484" i="6"/>
  <c r="H484" i="6"/>
  <c r="V484" i="6"/>
  <c r="N484" i="6"/>
  <c r="D484" i="6"/>
  <c r="T484" i="6"/>
  <c r="P484" i="6"/>
  <c r="L484" i="6"/>
  <c r="J484" i="6"/>
  <c r="AB484" i="6"/>
  <c r="DT484" i="6" s="1"/>
  <c r="AK484" i="6"/>
  <c r="AI484" i="6"/>
  <c r="Z484" i="6"/>
  <c r="AM484" i="6"/>
  <c r="EF485" i="6"/>
  <c r="EG485" i="6" s="1"/>
  <c r="EH485" i="6" s="1"/>
  <c r="AA485" i="6" s="1"/>
  <c r="DX483" i="6"/>
  <c r="AA6406" i="5" s="1"/>
  <c r="DS483" i="6" l="1"/>
  <c r="DM483" i="6"/>
  <c r="DN483" i="6"/>
  <c r="DH483" i="6"/>
  <c r="AA4425" i="5"/>
  <c r="Z4425" i="5"/>
  <c r="Y4425" i="5"/>
  <c r="CF479" i="6"/>
  <c r="CL479" i="6"/>
  <c r="CK479" i="6"/>
  <c r="CQ479" i="6"/>
  <c r="BO475" i="6"/>
  <c r="BD475" i="6"/>
  <c r="BJ475" i="6"/>
  <c r="BI475" i="6"/>
  <c r="AA466" i="5"/>
  <c r="Y466" i="5"/>
  <c r="Z466" i="5"/>
  <c r="Y1456" i="5"/>
  <c r="AA1456" i="5"/>
  <c r="Z1456" i="5"/>
  <c r="Y5910" i="5"/>
  <c r="AA5910" i="5"/>
  <c r="Z5910" i="5"/>
  <c r="AA2941" i="5"/>
  <c r="Z2941" i="5"/>
  <c r="Y2941" i="5"/>
  <c r="BR477" i="6"/>
  <c r="BX477" i="6"/>
  <c r="BW477" i="6"/>
  <c r="CC477" i="6"/>
  <c r="DA482" i="6"/>
  <c r="DL482" i="6"/>
  <c r="DG482" i="6"/>
  <c r="DF482" i="6"/>
  <c r="CF478" i="6"/>
  <c r="CK478" i="6"/>
  <c r="CQ478" i="6"/>
  <c r="CL478" i="6"/>
  <c r="DO484" i="6"/>
  <c r="DY484" i="6"/>
  <c r="AA2446" i="5"/>
  <c r="Y2446" i="5"/>
  <c r="Z2446" i="5"/>
  <c r="BH474" i="6"/>
  <c r="BC474" i="6"/>
  <c r="AW474" i="6"/>
  <c r="BB474" i="6"/>
  <c r="Y1951" i="5"/>
  <c r="AA1951" i="5"/>
  <c r="Z1951" i="5"/>
  <c r="Y5911" i="5"/>
  <c r="AA5911" i="5"/>
  <c r="Z5911" i="5"/>
  <c r="AA3436" i="5"/>
  <c r="Y3436" i="5"/>
  <c r="Z3436" i="5"/>
  <c r="AA961" i="5"/>
  <c r="Y961" i="5"/>
  <c r="Z961" i="5"/>
  <c r="Y5415" i="5"/>
  <c r="Z5415" i="5"/>
  <c r="AA5415" i="5"/>
  <c r="AA4426" i="5"/>
  <c r="Y4426" i="5"/>
  <c r="Z4426" i="5"/>
  <c r="AO472" i="6"/>
  <c r="AT472" i="6"/>
  <c r="AN472" i="6"/>
  <c r="AU473" i="6"/>
  <c r="AP473" i="6"/>
  <c r="AV473" i="6"/>
  <c r="BA473" i="6"/>
  <c r="CT480" i="6"/>
  <c r="CZ480" i="6"/>
  <c r="CY480" i="6"/>
  <c r="DE480" i="6"/>
  <c r="DL481" i="6"/>
  <c r="DF481" i="6"/>
  <c r="DA481" i="6"/>
  <c r="DG481" i="6"/>
  <c r="BK476" i="6"/>
  <c r="BQ476" i="6"/>
  <c r="BP476" i="6"/>
  <c r="BV476" i="6"/>
  <c r="Y6406" i="5"/>
  <c r="Z6406" i="5"/>
  <c r="F485" i="6"/>
  <c r="Z485" i="6"/>
  <c r="V485" i="6"/>
  <c r="N485" i="6"/>
  <c r="H485" i="6"/>
  <c r="AI485" i="6"/>
  <c r="AK485" i="6"/>
  <c r="AB485" i="6"/>
  <c r="DT485" i="6" s="1"/>
  <c r="T485" i="6"/>
  <c r="P485" i="6"/>
  <c r="R485" i="6"/>
  <c r="J485" i="6"/>
  <c r="AM485" i="6"/>
  <c r="X485" i="6"/>
  <c r="L485" i="6"/>
  <c r="D485" i="6"/>
  <c r="DX484" i="6"/>
  <c r="AA6407" i="5" s="1"/>
  <c r="EF486" i="6"/>
  <c r="EG486" i="6" s="1"/>
  <c r="EH486" i="6" s="1"/>
  <c r="AA486" i="6" s="1"/>
  <c r="CT481" i="6" l="1"/>
  <c r="CZ481" i="6"/>
  <c r="CY481" i="6"/>
  <c r="DE481" i="6"/>
  <c r="AA467" i="5"/>
  <c r="Y467" i="5"/>
  <c r="Z467" i="5"/>
  <c r="BY478" i="6"/>
  <c r="CE478" i="6"/>
  <c r="CD478" i="6"/>
  <c r="CJ478" i="6"/>
  <c r="CT482" i="6"/>
  <c r="CY482" i="6"/>
  <c r="CZ482" i="6"/>
  <c r="DE482" i="6"/>
  <c r="BK477" i="6"/>
  <c r="BV477" i="6"/>
  <c r="BQ477" i="6"/>
  <c r="BP477" i="6"/>
  <c r="Y1952" i="5"/>
  <c r="AA1952" i="5"/>
  <c r="Z1952" i="5"/>
  <c r="CD479" i="6"/>
  <c r="BY479" i="6"/>
  <c r="CJ479" i="6"/>
  <c r="CE479" i="6"/>
  <c r="DL483" i="6"/>
  <c r="DA483" i="6"/>
  <c r="DF483" i="6"/>
  <c r="DG483" i="6"/>
  <c r="DH484" i="6"/>
  <c r="DM484" i="6"/>
  <c r="DN484" i="6"/>
  <c r="DS484" i="6"/>
  <c r="AO473" i="6"/>
  <c r="AT473" i="6"/>
  <c r="AN473" i="6"/>
  <c r="AP474" i="6"/>
  <c r="BA474" i="6"/>
  <c r="AU474" i="6"/>
  <c r="AV474" i="6"/>
  <c r="AA2942" i="5"/>
  <c r="Y2942" i="5"/>
  <c r="Z2942" i="5"/>
  <c r="AA3932" i="5"/>
  <c r="Y3932" i="5"/>
  <c r="Z3932" i="5"/>
  <c r="BO476" i="6"/>
  <c r="BD476" i="6"/>
  <c r="BJ476" i="6"/>
  <c r="BI476" i="6"/>
  <c r="Y5416" i="5"/>
  <c r="AA5416" i="5"/>
  <c r="Z5416" i="5"/>
  <c r="CM480" i="6"/>
  <c r="CX480" i="6"/>
  <c r="CS480" i="6"/>
  <c r="CR480" i="6"/>
  <c r="AA3931" i="5"/>
  <c r="Z3931" i="5"/>
  <c r="Y3931" i="5"/>
  <c r="DO485" i="6"/>
  <c r="DY485" i="6"/>
  <c r="AA2447" i="5"/>
  <c r="Z2447" i="5"/>
  <c r="Y2447" i="5"/>
  <c r="AA4921" i="5"/>
  <c r="Y4921" i="5"/>
  <c r="Z4921" i="5"/>
  <c r="AA962" i="5"/>
  <c r="Y962" i="5"/>
  <c r="Z962" i="5"/>
  <c r="Y1457" i="5"/>
  <c r="AA1457" i="5"/>
  <c r="Z1457" i="5"/>
  <c r="Y5417" i="5"/>
  <c r="AA5417" i="5"/>
  <c r="Z5417" i="5"/>
  <c r="AW475" i="6"/>
  <c r="BC475" i="6"/>
  <c r="BH475" i="6"/>
  <c r="BB475" i="6"/>
  <c r="Y5912" i="5"/>
  <c r="AA5912" i="5"/>
  <c r="Z5912" i="5"/>
  <c r="Y6407" i="5"/>
  <c r="Z6407" i="5"/>
  <c r="V486" i="6"/>
  <c r="N486" i="6"/>
  <c r="H486" i="6"/>
  <c r="Z486" i="6"/>
  <c r="T486" i="6"/>
  <c r="L486" i="6"/>
  <c r="R486" i="6"/>
  <c r="J486" i="6"/>
  <c r="X486" i="6"/>
  <c r="P486" i="6"/>
  <c r="D486" i="6"/>
  <c r="AM486" i="6"/>
  <c r="AB486" i="6"/>
  <c r="DT486" i="6" s="1"/>
  <c r="F486" i="6"/>
  <c r="AI486" i="6"/>
  <c r="AK486" i="6"/>
  <c r="DX485" i="6"/>
  <c r="AA6408" i="5" s="1"/>
  <c r="EF487" i="6"/>
  <c r="EG487" i="6" s="1"/>
  <c r="EH487" i="6" s="1"/>
  <c r="AA487" i="6" s="1"/>
  <c r="DO486" i="6" l="1"/>
  <c r="DY486" i="6"/>
  <c r="AA4427" i="5"/>
  <c r="Z4427" i="5"/>
  <c r="Y4427" i="5"/>
  <c r="AA1953" i="5"/>
  <c r="Y1953" i="5"/>
  <c r="Z1953" i="5"/>
  <c r="AA468" i="5"/>
  <c r="Z468" i="5"/>
  <c r="Y468" i="5"/>
  <c r="CT483" i="6"/>
  <c r="CZ483" i="6"/>
  <c r="CY483" i="6"/>
  <c r="DE483" i="6"/>
  <c r="BW479" i="6"/>
  <c r="BR479" i="6"/>
  <c r="BX479" i="6"/>
  <c r="CC479" i="6"/>
  <c r="BO477" i="6"/>
  <c r="BD477" i="6"/>
  <c r="BJ477" i="6"/>
  <c r="BI477" i="6"/>
  <c r="CM482" i="6"/>
  <c r="CR482" i="6"/>
  <c r="CX482" i="6"/>
  <c r="CS482" i="6"/>
  <c r="BR478" i="6"/>
  <c r="BW478" i="6"/>
  <c r="CC478" i="6"/>
  <c r="BX478" i="6"/>
  <c r="AA4922" i="5"/>
  <c r="Z4922" i="5"/>
  <c r="Y4922" i="5"/>
  <c r="AP475" i="6"/>
  <c r="AU475" i="6"/>
  <c r="AV475" i="6"/>
  <c r="BA475" i="6"/>
  <c r="CF480" i="6"/>
  <c r="CL480" i="6"/>
  <c r="CQ480" i="6"/>
  <c r="CK480" i="6"/>
  <c r="AA963" i="5"/>
  <c r="Z963" i="5"/>
  <c r="Y963" i="5"/>
  <c r="DL484" i="6"/>
  <c r="DA484" i="6"/>
  <c r="DF484" i="6"/>
  <c r="DG484" i="6"/>
  <c r="Y5418" i="5"/>
  <c r="Z5418" i="5"/>
  <c r="AA5418" i="5"/>
  <c r="AA4923" i="5"/>
  <c r="Y4923" i="5"/>
  <c r="Z4923" i="5"/>
  <c r="AA3437" i="5"/>
  <c r="Y3437" i="5"/>
  <c r="Z3437" i="5"/>
  <c r="DS485" i="6"/>
  <c r="DH485" i="6"/>
  <c r="DN485" i="6"/>
  <c r="DM485" i="6"/>
  <c r="AO474" i="6"/>
  <c r="AT474" i="6"/>
  <c r="AN474" i="6"/>
  <c r="AA5913" i="5"/>
  <c r="Z5913" i="5"/>
  <c r="Y5913" i="5"/>
  <c r="AA1458" i="5"/>
  <c r="Z1458" i="5"/>
  <c r="Y1458" i="5"/>
  <c r="BH476" i="6"/>
  <c r="AW476" i="6"/>
  <c r="BC476" i="6"/>
  <c r="BB476" i="6"/>
  <c r="AA3438" i="5"/>
  <c r="Y3438" i="5"/>
  <c r="Z3438" i="5"/>
  <c r="AA2448" i="5"/>
  <c r="Z2448" i="5"/>
  <c r="Y2448" i="5"/>
  <c r="CR481" i="6"/>
  <c r="CM481" i="6"/>
  <c r="CX481" i="6"/>
  <c r="CS481" i="6"/>
  <c r="Y6408" i="5"/>
  <c r="Z6408" i="5"/>
  <c r="Z487" i="6"/>
  <c r="X487" i="6"/>
  <c r="P487" i="6"/>
  <c r="H487" i="6"/>
  <c r="V487" i="6"/>
  <c r="L487" i="6"/>
  <c r="T487" i="6"/>
  <c r="J487" i="6"/>
  <c r="F487" i="6"/>
  <c r="AB487" i="6"/>
  <c r="DT487" i="6" s="1"/>
  <c r="R487" i="6"/>
  <c r="N487" i="6"/>
  <c r="AM487" i="6"/>
  <c r="AI487" i="6"/>
  <c r="AK487" i="6"/>
  <c r="D487" i="6"/>
  <c r="DX486" i="6"/>
  <c r="AA6409" i="5" s="1"/>
  <c r="EG488" i="6"/>
  <c r="EH488" i="6" s="1"/>
  <c r="AA488" i="6" s="1"/>
  <c r="EF488" i="6"/>
  <c r="DF485" i="6" l="1"/>
  <c r="DA485" i="6"/>
  <c r="DL485" i="6"/>
  <c r="DG485" i="6"/>
  <c r="BK478" i="6"/>
  <c r="BQ478" i="6"/>
  <c r="BP478" i="6"/>
  <c r="BV478" i="6"/>
  <c r="CF482" i="6"/>
  <c r="CQ482" i="6"/>
  <c r="CL482" i="6"/>
  <c r="CK482" i="6"/>
  <c r="AA1954" i="5"/>
  <c r="Z1954" i="5"/>
  <c r="Y1954" i="5"/>
  <c r="CM483" i="6"/>
  <c r="CR483" i="6"/>
  <c r="CS483" i="6"/>
  <c r="CX483" i="6"/>
  <c r="AA1459" i="5"/>
  <c r="Y1459" i="5"/>
  <c r="Z1459" i="5"/>
  <c r="AA469" i="5"/>
  <c r="Z469" i="5"/>
  <c r="Y469" i="5"/>
  <c r="CT484" i="6"/>
  <c r="CY484" i="6"/>
  <c r="CZ484" i="6"/>
  <c r="DE484" i="6"/>
  <c r="BY480" i="6"/>
  <c r="CJ480" i="6"/>
  <c r="CE480" i="6"/>
  <c r="CD480" i="6"/>
  <c r="AO475" i="6"/>
  <c r="AT475" i="6"/>
  <c r="AN475" i="6"/>
  <c r="AA2944" i="5"/>
  <c r="Y2944" i="5"/>
  <c r="Z2944" i="5"/>
  <c r="AA4924" i="5"/>
  <c r="Y4924" i="5"/>
  <c r="Z4924" i="5"/>
  <c r="DO487" i="6"/>
  <c r="DY487" i="6"/>
  <c r="AA4428" i="5"/>
  <c r="Y4428" i="5"/>
  <c r="Z4428" i="5"/>
  <c r="CF481" i="6"/>
  <c r="CQ481" i="6"/>
  <c r="CL481" i="6"/>
  <c r="CK481" i="6"/>
  <c r="Y5914" i="5"/>
  <c r="AA5914" i="5"/>
  <c r="Z5914" i="5"/>
  <c r="Y5419" i="5"/>
  <c r="Z5419" i="5"/>
  <c r="AA5419" i="5"/>
  <c r="AA964" i="5"/>
  <c r="Y964" i="5"/>
  <c r="Z964" i="5"/>
  <c r="AA2943" i="5"/>
  <c r="Y2943" i="5"/>
  <c r="Z2943" i="5"/>
  <c r="AA4429" i="5"/>
  <c r="Y4429" i="5"/>
  <c r="Z4429" i="5"/>
  <c r="AP476" i="6"/>
  <c r="AV476" i="6"/>
  <c r="AU476" i="6"/>
  <c r="BA476" i="6"/>
  <c r="AA3933" i="5"/>
  <c r="Y3933" i="5"/>
  <c r="Z3933" i="5"/>
  <c r="BH477" i="6"/>
  <c r="AW477" i="6"/>
  <c r="BB477" i="6"/>
  <c r="BC477" i="6"/>
  <c r="BP479" i="6"/>
  <c r="BK479" i="6"/>
  <c r="BV479" i="6"/>
  <c r="BQ479" i="6"/>
  <c r="DS486" i="6"/>
  <c r="DM486" i="6"/>
  <c r="DH486" i="6"/>
  <c r="DN486" i="6"/>
  <c r="Y6409" i="5"/>
  <c r="Z6409" i="5"/>
  <c r="DX487" i="6"/>
  <c r="AA6410" i="5" s="1"/>
  <c r="F488" i="6"/>
  <c r="T488" i="6"/>
  <c r="N488" i="6"/>
  <c r="P488" i="6"/>
  <c r="J488" i="6"/>
  <c r="X488" i="6"/>
  <c r="R488" i="6"/>
  <c r="H488" i="6"/>
  <c r="V488" i="6"/>
  <c r="L488" i="6"/>
  <c r="D488" i="6"/>
  <c r="Z488" i="6"/>
  <c r="AI488" i="6"/>
  <c r="AB488" i="6"/>
  <c r="DT488" i="6" s="1"/>
  <c r="AM488" i="6"/>
  <c r="AK488" i="6"/>
  <c r="EF489" i="6"/>
  <c r="EG489" i="6" s="1"/>
  <c r="EH489" i="6" s="1"/>
  <c r="AA489" i="6" s="1"/>
  <c r="DA486" i="6" l="1"/>
  <c r="DL486" i="6"/>
  <c r="DG486" i="6"/>
  <c r="DF486" i="6"/>
  <c r="AA2450" i="5"/>
  <c r="Y2450" i="5"/>
  <c r="Z2450" i="5"/>
  <c r="CD481" i="6"/>
  <c r="BY481" i="6"/>
  <c r="CE481" i="6"/>
  <c r="CJ481" i="6"/>
  <c r="CF483" i="6"/>
  <c r="CK483" i="6"/>
  <c r="CQ483" i="6"/>
  <c r="CL483" i="6"/>
  <c r="AA2449" i="5"/>
  <c r="Y2449" i="5"/>
  <c r="Z2449" i="5"/>
  <c r="BO479" i="6"/>
  <c r="BD479" i="6"/>
  <c r="BI479" i="6"/>
  <c r="BJ479" i="6"/>
  <c r="AP477" i="6"/>
  <c r="AU477" i="6"/>
  <c r="BA477" i="6"/>
  <c r="AV477" i="6"/>
  <c r="AO476" i="6"/>
  <c r="AT476" i="6"/>
  <c r="AN476" i="6"/>
  <c r="DS487" i="6"/>
  <c r="DM487" i="6"/>
  <c r="DN487" i="6"/>
  <c r="DH487" i="6"/>
  <c r="AA470" i="5"/>
  <c r="Z470" i="5"/>
  <c r="Y470" i="5"/>
  <c r="AA3439" i="5"/>
  <c r="Z3439" i="5"/>
  <c r="Y3439" i="5"/>
  <c r="AA4430" i="5"/>
  <c r="Y4430" i="5"/>
  <c r="Z4430" i="5"/>
  <c r="Y5420" i="5"/>
  <c r="AA5420" i="5"/>
  <c r="Z5420" i="5"/>
  <c r="DO488" i="6"/>
  <c r="DY488" i="6"/>
  <c r="Y5915" i="5"/>
  <c r="AA5915" i="5"/>
  <c r="Z5915" i="5"/>
  <c r="Y1460" i="5"/>
  <c r="AA1460" i="5"/>
  <c r="Z1460" i="5"/>
  <c r="AA965" i="5"/>
  <c r="Y965" i="5"/>
  <c r="Z965" i="5"/>
  <c r="BR480" i="6"/>
  <c r="CC480" i="6"/>
  <c r="BX480" i="6"/>
  <c r="BW480" i="6"/>
  <c r="CM484" i="6"/>
  <c r="CS484" i="6"/>
  <c r="CX484" i="6"/>
  <c r="CR484" i="6"/>
  <c r="AA3935" i="5"/>
  <c r="Z3935" i="5"/>
  <c r="Y3935" i="5"/>
  <c r="CT485" i="6"/>
  <c r="CY485" i="6"/>
  <c r="CZ485" i="6"/>
  <c r="DE485" i="6"/>
  <c r="AA3934" i="5"/>
  <c r="Z3934" i="5"/>
  <c r="Y3934" i="5"/>
  <c r="AA4925" i="5"/>
  <c r="Y4925" i="5"/>
  <c r="Z4925" i="5"/>
  <c r="BY482" i="6"/>
  <c r="CJ482" i="6"/>
  <c r="CE482" i="6"/>
  <c r="CD482" i="6"/>
  <c r="BO478" i="6"/>
  <c r="BD478" i="6"/>
  <c r="BJ478" i="6"/>
  <c r="BI478" i="6"/>
  <c r="Y6410" i="5"/>
  <c r="Z6410" i="5"/>
  <c r="EF490" i="6"/>
  <c r="EG490" i="6" s="1"/>
  <c r="EH490" i="6" s="1"/>
  <c r="AA490" i="6" s="1"/>
  <c r="F489" i="6"/>
  <c r="Z489" i="6"/>
  <c r="L489" i="6"/>
  <c r="J489" i="6"/>
  <c r="AI489" i="6"/>
  <c r="AK489" i="6"/>
  <c r="X489" i="6"/>
  <c r="T489" i="6"/>
  <c r="H489" i="6"/>
  <c r="AB489" i="6"/>
  <c r="DT489" i="6" s="1"/>
  <c r="V489" i="6"/>
  <c r="N489" i="6"/>
  <c r="D489" i="6"/>
  <c r="AM489" i="6"/>
  <c r="R489" i="6"/>
  <c r="P489" i="6"/>
  <c r="DX488" i="6"/>
  <c r="AA6411" i="5" s="1"/>
  <c r="CM485" i="6" l="1"/>
  <c r="CS485" i="6"/>
  <c r="CR485" i="6"/>
  <c r="CX485" i="6"/>
  <c r="AA471" i="5"/>
  <c r="Z471" i="5"/>
  <c r="Y471" i="5"/>
  <c r="AW479" i="6"/>
  <c r="BC479" i="6"/>
  <c r="BH479" i="6"/>
  <c r="BB479" i="6"/>
  <c r="CD483" i="6"/>
  <c r="BY483" i="6"/>
  <c r="CJ483" i="6"/>
  <c r="CE483" i="6"/>
  <c r="DO489" i="6"/>
  <c r="DY489" i="6"/>
  <c r="BH478" i="6"/>
  <c r="BC478" i="6"/>
  <c r="AW478" i="6"/>
  <c r="BB478" i="6"/>
  <c r="AA3441" i="5"/>
  <c r="Z3441" i="5"/>
  <c r="Y3441" i="5"/>
  <c r="AA4926" i="5"/>
  <c r="Z4926" i="5"/>
  <c r="Y4926" i="5"/>
  <c r="AA4431" i="5"/>
  <c r="Y4431" i="5"/>
  <c r="Z4431" i="5"/>
  <c r="AO477" i="6"/>
  <c r="AT477" i="6"/>
  <c r="AN477" i="6"/>
  <c r="Y1956" i="5"/>
  <c r="AA1956" i="5"/>
  <c r="Z1956" i="5"/>
  <c r="AA3440" i="5"/>
  <c r="Y3440" i="5"/>
  <c r="Z3440" i="5"/>
  <c r="AA1955" i="5"/>
  <c r="Y1955" i="5"/>
  <c r="Z1955" i="5"/>
  <c r="BR482" i="6"/>
  <c r="CC482" i="6"/>
  <c r="BX482" i="6"/>
  <c r="BW482" i="6"/>
  <c r="AA2945" i="5"/>
  <c r="Z2945" i="5"/>
  <c r="Y2945" i="5"/>
  <c r="DH488" i="6"/>
  <c r="DS488" i="6"/>
  <c r="DN488" i="6"/>
  <c r="DM488" i="6"/>
  <c r="Y5916" i="5"/>
  <c r="AA5916" i="5"/>
  <c r="Z5916" i="5"/>
  <c r="AA3936" i="5"/>
  <c r="Y3936" i="5"/>
  <c r="Z3936" i="5"/>
  <c r="Y5421" i="5"/>
  <c r="AA5421" i="5"/>
  <c r="Z5421" i="5"/>
  <c r="CF484" i="6"/>
  <c r="CK484" i="6"/>
  <c r="CQ484" i="6"/>
  <c r="CL484" i="6"/>
  <c r="BK480" i="6"/>
  <c r="BQ480" i="6"/>
  <c r="BP480" i="6"/>
  <c r="BV480" i="6"/>
  <c r="DA487" i="6"/>
  <c r="DL487" i="6"/>
  <c r="DF487" i="6"/>
  <c r="DG487" i="6"/>
  <c r="AA966" i="5"/>
  <c r="Z966" i="5"/>
  <c r="Y966" i="5"/>
  <c r="BR481" i="6"/>
  <c r="BW481" i="6"/>
  <c r="CC481" i="6"/>
  <c r="BX481" i="6"/>
  <c r="CT486" i="6"/>
  <c r="CZ486" i="6"/>
  <c r="DE486" i="6"/>
  <c r="CY486" i="6"/>
  <c r="Y6411" i="5"/>
  <c r="Z6411" i="5"/>
  <c r="V490" i="6"/>
  <c r="N490" i="6"/>
  <c r="H490" i="6"/>
  <c r="Z490" i="6"/>
  <c r="T490" i="6"/>
  <c r="J490" i="6"/>
  <c r="R490" i="6"/>
  <c r="D490" i="6"/>
  <c r="X490" i="6"/>
  <c r="P490" i="6"/>
  <c r="L490" i="6"/>
  <c r="AM490" i="6"/>
  <c r="F490" i="6"/>
  <c r="AB490" i="6"/>
  <c r="DT490" i="6" s="1"/>
  <c r="AI490" i="6"/>
  <c r="AK490" i="6"/>
  <c r="DX489" i="6"/>
  <c r="AA6412" i="5" s="1"/>
  <c r="EF491" i="6"/>
  <c r="AA4927" i="5" l="1"/>
  <c r="Y4927" i="5"/>
  <c r="Z4927" i="5"/>
  <c r="AA2946" i="5"/>
  <c r="Y2946" i="5"/>
  <c r="Z2946" i="5"/>
  <c r="Y5422" i="5"/>
  <c r="AA5422" i="5"/>
  <c r="Z5422" i="5"/>
  <c r="AA2947" i="5"/>
  <c r="Y2947" i="5"/>
  <c r="Z2947" i="5"/>
  <c r="AA472" i="5"/>
  <c r="Z472" i="5"/>
  <c r="Y472" i="5"/>
  <c r="AP478" i="6"/>
  <c r="AV478" i="6"/>
  <c r="BA478" i="6"/>
  <c r="AU478" i="6"/>
  <c r="DS489" i="6"/>
  <c r="DH489" i="6"/>
  <c r="DN489" i="6"/>
  <c r="DM489" i="6"/>
  <c r="AU479" i="6"/>
  <c r="AP479" i="6"/>
  <c r="AV479" i="6"/>
  <c r="BA479" i="6"/>
  <c r="AA4432" i="5"/>
  <c r="Y4432" i="5"/>
  <c r="Z4432" i="5"/>
  <c r="CT487" i="6"/>
  <c r="CY487" i="6"/>
  <c r="CZ487" i="6"/>
  <c r="DE487" i="6"/>
  <c r="BO480" i="6"/>
  <c r="BD480" i="6"/>
  <c r="BJ480" i="6"/>
  <c r="BI480" i="6"/>
  <c r="BY484" i="6"/>
  <c r="CJ484" i="6"/>
  <c r="CE484" i="6"/>
  <c r="CD484" i="6"/>
  <c r="AA5917" i="5"/>
  <c r="Y5917" i="5"/>
  <c r="Z5917" i="5"/>
  <c r="BK482" i="6"/>
  <c r="BP482" i="6"/>
  <c r="BV482" i="6"/>
  <c r="BQ482" i="6"/>
  <c r="CM486" i="6"/>
  <c r="CX486" i="6"/>
  <c r="CR486" i="6"/>
  <c r="CS486" i="6"/>
  <c r="BP481" i="6"/>
  <c r="BK481" i="6"/>
  <c r="BV481" i="6"/>
  <c r="BQ481" i="6"/>
  <c r="AA2451" i="5"/>
  <c r="Y2451" i="5"/>
  <c r="Z2451" i="5"/>
  <c r="DL488" i="6"/>
  <c r="DA488" i="6"/>
  <c r="DG488" i="6"/>
  <c r="DF488" i="6"/>
  <c r="Y1461" i="5"/>
  <c r="AA1461" i="5"/>
  <c r="Z1461" i="5"/>
  <c r="AA3442" i="5"/>
  <c r="Z3442" i="5"/>
  <c r="Y3442" i="5"/>
  <c r="AA1462" i="5"/>
  <c r="Z1462" i="5"/>
  <c r="Y1462" i="5"/>
  <c r="DY490" i="6"/>
  <c r="DO490" i="6"/>
  <c r="AA3937" i="5"/>
  <c r="Y3937" i="5"/>
  <c r="Z3937" i="5"/>
  <c r="BR483" i="6"/>
  <c r="BW483" i="6"/>
  <c r="CC483" i="6"/>
  <c r="BX483" i="6"/>
  <c r="CF485" i="6"/>
  <c r="CL485" i="6"/>
  <c r="CK485" i="6"/>
  <c r="CQ485" i="6"/>
  <c r="Y6412" i="5"/>
  <c r="Z6412" i="5"/>
  <c r="EF492" i="6"/>
  <c r="EG491" i="6"/>
  <c r="EH491" i="6" s="1"/>
  <c r="AA491" i="6" s="1"/>
  <c r="DX490" i="6"/>
  <c r="AA6413" i="5" s="1"/>
  <c r="BK483" i="6" l="1"/>
  <c r="BP483" i="6"/>
  <c r="BQ483" i="6"/>
  <c r="BV483" i="6"/>
  <c r="AA3938" i="5"/>
  <c r="Y3938" i="5"/>
  <c r="Z3938" i="5"/>
  <c r="AA2452" i="5"/>
  <c r="Y2452" i="5"/>
  <c r="Z2452" i="5"/>
  <c r="AA2453" i="5"/>
  <c r="Z2453" i="5"/>
  <c r="Y2453" i="5"/>
  <c r="AA3443" i="5"/>
  <c r="Z3443" i="5"/>
  <c r="Y3443" i="5"/>
  <c r="BH480" i="6"/>
  <c r="AW480" i="6"/>
  <c r="BC480" i="6"/>
  <c r="BB480" i="6"/>
  <c r="Y5918" i="5"/>
  <c r="Z5918" i="5"/>
  <c r="AA5918" i="5"/>
  <c r="AO478" i="6"/>
  <c r="AT478" i="6"/>
  <c r="AN478" i="6"/>
  <c r="DS490" i="6"/>
  <c r="DM490" i="6"/>
  <c r="DH490" i="6"/>
  <c r="DN490" i="6"/>
  <c r="BO481" i="6"/>
  <c r="BD481" i="6"/>
  <c r="BI481" i="6"/>
  <c r="BJ481" i="6"/>
  <c r="AA4433" i="5"/>
  <c r="Y4433" i="5"/>
  <c r="Z4433" i="5"/>
  <c r="BW484" i="6"/>
  <c r="BR484" i="6"/>
  <c r="CC484" i="6"/>
  <c r="BX484" i="6"/>
  <c r="AA1957" i="5"/>
  <c r="Y1957" i="5"/>
  <c r="Z1957" i="5"/>
  <c r="CR487" i="6"/>
  <c r="CM487" i="6"/>
  <c r="CX487" i="6"/>
  <c r="CS487" i="6"/>
  <c r="AA968" i="5"/>
  <c r="Y968" i="5"/>
  <c r="Z968" i="5"/>
  <c r="BY485" i="6"/>
  <c r="CD485" i="6"/>
  <c r="CJ485" i="6"/>
  <c r="CE485" i="6"/>
  <c r="CT488" i="6"/>
  <c r="CZ488" i="6"/>
  <c r="CY488" i="6"/>
  <c r="DE488" i="6"/>
  <c r="CF486" i="6"/>
  <c r="CQ486" i="6"/>
  <c r="CL486" i="6"/>
  <c r="CK486" i="6"/>
  <c r="BO482" i="6"/>
  <c r="BD482" i="6"/>
  <c r="BJ482" i="6"/>
  <c r="BI482" i="6"/>
  <c r="AA4928" i="5"/>
  <c r="Z4928" i="5"/>
  <c r="Y4928" i="5"/>
  <c r="AA967" i="5"/>
  <c r="Y967" i="5"/>
  <c r="Z967" i="5"/>
  <c r="AA2948" i="5"/>
  <c r="Y2948" i="5"/>
  <c r="Z2948" i="5"/>
  <c r="Y5423" i="5"/>
  <c r="AA5423" i="5"/>
  <c r="Z5423" i="5"/>
  <c r="AO479" i="6"/>
  <c r="AT479" i="6"/>
  <c r="AN479" i="6"/>
  <c r="DL489" i="6"/>
  <c r="DA489" i="6"/>
  <c r="DF489" i="6"/>
  <c r="DG489" i="6"/>
  <c r="Y6413" i="5"/>
  <c r="Z6413" i="5"/>
  <c r="EF493" i="6"/>
  <c r="D491" i="6"/>
  <c r="T491" i="6"/>
  <c r="N491" i="6"/>
  <c r="AB491" i="6"/>
  <c r="DT491" i="6" s="1"/>
  <c r="R491" i="6"/>
  <c r="J491" i="6"/>
  <c r="F491" i="6"/>
  <c r="X491" i="6"/>
  <c r="P491" i="6"/>
  <c r="H491" i="6"/>
  <c r="Z491" i="6"/>
  <c r="V491" i="6"/>
  <c r="L491" i="6"/>
  <c r="AM491" i="6"/>
  <c r="AI491" i="6"/>
  <c r="AK491" i="6"/>
  <c r="EG492" i="6"/>
  <c r="EH492" i="6" s="1"/>
  <c r="AA492" i="6" s="1"/>
  <c r="CT489" i="6" l="1"/>
  <c r="CZ489" i="6"/>
  <c r="DE489" i="6"/>
  <c r="CY489" i="6"/>
  <c r="AA1959" i="5"/>
  <c r="Y1959" i="5"/>
  <c r="Z1959" i="5"/>
  <c r="BY486" i="6"/>
  <c r="CJ486" i="6"/>
  <c r="CE486" i="6"/>
  <c r="CD486" i="6"/>
  <c r="CM488" i="6"/>
  <c r="CR488" i="6"/>
  <c r="CX488" i="6"/>
  <c r="CS488" i="6"/>
  <c r="BR485" i="6"/>
  <c r="BW485" i="6"/>
  <c r="CC485" i="6"/>
  <c r="BX485" i="6"/>
  <c r="AA2949" i="5"/>
  <c r="Y2949" i="5"/>
  <c r="Z2949" i="5"/>
  <c r="BH481" i="6"/>
  <c r="AW481" i="6"/>
  <c r="BB481" i="6"/>
  <c r="BC481" i="6"/>
  <c r="AA2454" i="5"/>
  <c r="Y2454" i="5"/>
  <c r="Z2454" i="5"/>
  <c r="Y5424" i="5"/>
  <c r="Z5424" i="5"/>
  <c r="AA5424" i="5"/>
  <c r="AA4929" i="5"/>
  <c r="Y4929" i="5"/>
  <c r="Z4929" i="5"/>
  <c r="AA4434" i="5"/>
  <c r="Y4434" i="5"/>
  <c r="Z4434" i="5"/>
  <c r="BK484" i="6"/>
  <c r="BV484" i="6"/>
  <c r="BQ484" i="6"/>
  <c r="BP484" i="6"/>
  <c r="Y1958" i="5"/>
  <c r="AA1958" i="5"/>
  <c r="Z1958" i="5"/>
  <c r="Y5919" i="5"/>
  <c r="AA5919" i="5"/>
  <c r="Z5919" i="5"/>
  <c r="AA3444" i="5"/>
  <c r="Z3444" i="5"/>
  <c r="Y3444" i="5"/>
  <c r="CF487" i="6"/>
  <c r="CQ487" i="6"/>
  <c r="CL487" i="6"/>
  <c r="CK487" i="6"/>
  <c r="AP480" i="6"/>
  <c r="AU480" i="6"/>
  <c r="BA480" i="6"/>
  <c r="AV480" i="6"/>
  <c r="DO491" i="6"/>
  <c r="DY491" i="6"/>
  <c r="AA474" i="5"/>
  <c r="Y474" i="5"/>
  <c r="Z474" i="5"/>
  <c r="BH482" i="6"/>
  <c r="BB482" i="6"/>
  <c r="AW482" i="6"/>
  <c r="BC482" i="6"/>
  <c r="AA3939" i="5"/>
  <c r="Y3939" i="5"/>
  <c r="Z3939" i="5"/>
  <c r="DA490" i="6"/>
  <c r="DL490" i="6"/>
  <c r="DG490" i="6"/>
  <c r="DF490" i="6"/>
  <c r="AA473" i="5"/>
  <c r="Y473" i="5"/>
  <c r="Z473" i="5"/>
  <c r="Y1463" i="5"/>
  <c r="AA1463" i="5"/>
  <c r="Z1463" i="5"/>
  <c r="BO483" i="6"/>
  <c r="BD483" i="6"/>
  <c r="BJ483" i="6"/>
  <c r="BI483" i="6"/>
  <c r="DX491" i="6"/>
  <c r="AA6414" i="5" s="1"/>
  <c r="EF494" i="6"/>
  <c r="EG494" i="6" s="1"/>
  <c r="EH494" i="6" s="1"/>
  <c r="AA494" i="6" s="1"/>
  <c r="F492" i="6"/>
  <c r="X492" i="6"/>
  <c r="P492" i="6"/>
  <c r="H492" i="6"/>
  <c r="V492" i="6"/>
  <c r="L492" i="6"/>
  <c r="D492" i="6"/>
  <c r="T492" i="6"/>
  <c r="N492" i="6"/>
  <c r="R492" i="6"/>
  <c r="J492" i="6"/>
  <c r="Z492" i="6"/>
  <c r="AB492" i="6"/>
  <c r="DT492" i="6" s="1"/>
  <c r="AI492" i="6"/>
  <c r="AM492" i="6"/>
  <c r="AK492" i="6"/>
  <c r="EG493" i="6"/>
  <c r="EH493" i="6" s="1"/>
  <c r="AA493" i="6" s="1"/>
  <c r="DS491" i="6" l="1"/>
  <c r="DM491" i="6"/>
  <c r="DN491" i="6"/>
  <c r="DH491" i="6"/>
  <c r="AU481" i="6"/>
  <c r="AP481" i="6"/>
  <c r="BA481" i="6"/>
  <c r="AV481" i="6"/>
  <c r="BK485" i="6"/>
  <c r="BV485" i="6"/>
  <c r="BQ485" i="6"/>
  <c r="BP485" i="6"/>
  <c r="CF488" i="6"/>
  <c r="CK488" i="6"/>
  <c r="CQ488" i="6"/>
  <c r="CL488" i="6"/>
  <c r="BW486" i="6"/>
  <c r="BR486" i="6"/>
  <c r="CC486" i="6"/>
  <c r="BX486" i="6"/>
  <c r="AO480" i="6"/>
  <c r="AT480" i="6"/>
  <c r="AN480" i="6"/>
  <c r="AP482" i="6"/>
  <c r="AV482" i="6"/>
  <c r="BA482" i="6"/>
  <c r="AU482" i="6"/>
  <c r="BO484" i="6"/>
  <c r="BD484" i="6"/>
  <c r="BJ484" i="6"/>
  <c r="BI484" i="6"/>
  <c r="Y1464" i="5"/>
  <c r="AA1464" i="5"/>
  <c r="Z1464" i="5"/>
  <c r="AA4930" i="5"/>
  <c r="Y4930" i="5"/>
  <c r="Z4930" i="5"/>
  <c r="CT490" i="6"/>
  <c r="DE490" i="6"/>
  <c r="CZ490" i="6"/>
  <c r="CY490" i="6"/>
  <c r="AW483" i="6"/>
  <c r="BC483" i="6"/>
  <c r="BB483" i="6"/>
  <c r="BH483" i="6"/>
  <c r="AA1960" i="5"/>
  <c r="Y1960" i="5"/>
  <c r="Z1960" i="5"/>
  <c r="AA969" i="5"/>
  <c r="Y969" i="5"/>
  <c r="Z969" i="5"/>
  <c r="AA2950" i="5"/>
  <c r="Y2950" i="5"/>
  <c r="Z2950" i="5"/>
  <c r="AA4435" i="5"/>
  <c r="Z4435" i="5"/>
  <c r="Y4435" i="5"/>
  <c r="DO492" i="6"/>
  <c r="DY492" i="6"/>
  <c r="CD487" i="6"/>
  <c r="BY487" i="6"/>
  <c r="CE487" i="6"/>
  <c r="CJ487" i="6"/>
  <c r="AA2455" i="5"/>
  <c r="Z2455" i="5"/>
  <c r="Y2455" i="5"/>
  <c r="Y5425" i="5"/>
  <c r="Z5425" i="5"/>
  <c r="AA5425" i="5"/>
  <c r="Y1465" i="5"/>
  <c r="AA1465" i="5"/>
  <c r="Z1465" i="5"/>
  <c r="AA3940" i="5"/>
  <c r="Y3940" i="5"/>
  <c r="Z3940" i="5"/>
  <c r="AA3445" i="5"/>
  <c r="Y3445" i="5"/>
  <c r="Z3445" i="5"/>
  <c r="CR489" i="6"/>
  <c r="CM489" i="6"/>
  <c r="CX489" i="6"/>
  <c r="CS489" i="6"/>
  <c r="Y6414" i="5"/>
  <c r="Z6414" i="5"/>
  <c r="X494" i="6"/>
  <c r="P494" i="6"/>
  <c r="D494" i="6"/>
  <c r="V494" i="6"/>
  <c r="N494" i="6"/>
  <c r="H494" i="6"/>
  <c r="T494" i="6"/>
  <c r="L494" i="6"/>
  <c r="Z494" i="6"/>
  <c r="R494" i="6"/>
  <c r="J494" i="6"/>
  <c r="F494" i="6"/>
  <c r="AM494" i="6"/>
  <c r="AI494" i="6"/>
  <c r="AK494" i="6"/>
  <c r="AB494" i="6"/>
  <c r="DT494" i="6" s="1"/>
  <c r="DX492" i="6"/>
  <c r="AA6415" i="5" s="1"/>
  <c r="J493" i="6"/>
  <c r="F493" i="6"/>
  <c r="Z493" i="6"/>
  <c r="V493" i="6"/>
  <c r="L493" i="6"/>
  <c r="AI493" i="6"/>
  <c r="AK493" i="6"/>
  <c r="T493" i="6"/>
  <c r="N493" i="6"/>
  <c r="R493" i="6"/>
  <c r="D493" i="6"/>
  <c r="AM493" i="6"/>
  <c r="AB493" i="6"/>
  <c r="DT493" i="6" s="1"/>
  <c r="X493" i="6"/>
  <c r="P493" i="6"/>
  <c r="H493" i="6"/>
  <c r="EF495" i="6"/>
  <c r="EG495" i="6" s="1"/>
  <c r="EH495" i="6" s="1"/>
  <c r="AA495" i="6" s="1"/>
  <c r="BR487" i="6" l="1"/>
  <c r="BW487" i="6"/>
  <c r="CC487" i="6"/>
  <c r="BX487" i="6"/>
  <c r="DO494" i="6"/>
  <c r="DY494" i="6"/>
  <c r="CF489" i="6"/>
  <c r="CK489" i="6"/>
  <c r="CQ489" i="6"/>
  <c r="CL489" i="6"/>
  <c r="AA1961" i="5"/>
  <c r="Y1961" i="5"/>
  <c r="Z1961" i="5"/>
  <c r="AO482" i="6"/>
  <c r="AT482" i="6"/>
  <c r="AN482" i="6"/>
  <c r="DA491" i="6"/>
  <c r="DL491" i="6"/>
  <c r="DG491" i="6"/>
  <c r="DF491" i="6"/>
  <c r="DO493" i="6"/>
  <c r="DY493" i="6"/>
  <c r="AA1466" i="5"/>
  <c r="Z1466" i="5"/>
  <c r="Y1466" i="5"/>
  <c r="AA3446" i="5"/>
  <c r="Y3446" i="5"/>
  <c r="Z3446" i="5"/>
  <c r="AA4931" i="5"/>
  <c r="Y4931" i="5"/>
  <c r="Z4931" i="5"/>
  <c r="AA2951" i="5"/>
  <c r="Y2951" i="5"/>
  <c r="Z2951" i="5"/>
  <c r="AA3941" i="5"/>
  <c r="Z3941" i="5"/>
  <c r="Y3941" i="5"/>
  <c r="AA970" i="5"/>
  <c r="Y970" i="5"/>
  <c r="Z970" i="5"/>
  <c r="DH492" i="6"/>
  <c r="DS492" i="6"/>
  <c r="DN492" i="6"/>
  <c r="DM492" i="6"/>
  <c r="AP483" i="6"/>
  <c r="AU483" i="6"/>
  <c r="BA483" i="6"/>
  <c r="AV483" i="6"/>
  <c r="CM490" i="6"/>
  <c r="CS490" i="6"/>
  <c r="CX490" i="6"/>
  <c r="CR490" i="6"/>
  <c r="AA971" i="5"/>
  <c r="Y971" i="5"/>
  <c r="Z971" i="5"/>
  <c r="AA475" i="5"/>
  <c r="Z475" i="5"/>
  <c r="Y475" i="5"/>
  <c r="BK486" i="6"/>
  <c r="BP486" i="6"/>
  <c r="BV486" i="6"/>
  <c r="BQ486" i="6"/>
  <c r="AA2456" i="5"/>
  <c r="Y2456" i="5"/>
  <c r="Z2456" i="5"/>
  <c r="AO481" i="6"/>
  <c r="AT481" i="6"/>
  <c r="AN481" i="6"/>
  <c r="AA4436" i="5"/>
  <c r="Y4436" i="5"/>
  <c r="Z4436" i="5"/>
  <c r="BH484" i="6"/>
  <c r="AW484" i="6"/>
  <c r="BB484" i="6"/>
  <c r="BC484" i="6"/>
  <c r="BY488" i="6"/>
  <c r="CJ488" i="6"/>
  <c r="CE488" i="6"/>
  <c r="CD488" i="6"/>
  <c r="BO485" i="6"/>
  <c r="BD485" i="6"/>
  <c r="BI485" i="6"/>
  <c r="BJ485" i="6"/>
  <c r="Y5920" i="5"/>
  <c r="Z5920" i="5"/>
  <c r="AA5920" i="5"/>
  <c r="Y6415" i="5"/>
  <c r="Z6415" i="5"/>
  <c r="DX494" i="6"/>
  <c r="AA6417" i="5" s="1"/>
  <c r="EF496" i="6"/>
  <c r="EG496" i="6" s="1"/>
  <c r="EH496" i="6" s="1"/>
  <c r="AA496" i="6" s="1"/>
  <c r="X495" i="6"/>
  <c r="L495" i="6"/>
  <c r="H495" i="6"/>
  <c r="D495" i="6"/>
  <c r="F495" i="6"/>
  <c r="V495" i="6"/>
  <c r="N495" i="6"/>
  <c r="Z495" i="6"/>
  <c r="T495" i="6"/>
  <c r="J495" i="6"/>
  <c r="AB495" i="6"/>
  <c r="DT495" i="6" s="1"/>
  <c r="R495" i="6"/>
  <c r="P495" i="6"/>
  <c r="AM495" i="6"/>
  <c r="AI495" i="6"/>
  <c r="AK495" i="6"/>
  <c r="DX493" i="6"/>
  <c r="AA6416" i="5" s="1"/>
  <c r="AP484" i="6" l="1"/>
  <c r="AU484" i="6"/>
  <c r="BA484" i="6"/>
  <c r="AV484" i="6"/>
  <c r="DL492" i="6"/>
  <c r="DA492" i="6"/>
  <c r="DG492" i="6"/>
  <c r="DF492" i="6"/>
  <c r="Y1962" i="5"/>
  <c r="AA1962" i="5"/>
  <c r="Z1962" i="5"/>
  <c r="BW488" i="6"/>
  <c r="BR488" i="6"/>
  <c r="CC488" i="6"/>
  <c r="BX488" i="6"/>
  <c r="Y1467" i="5"/>
  <c r="Z1467" i="5"/>
  <c r="AA1467" i="5"/>
  <c r="BH485" i="6"/>
  <c r="AW485" i="6"/>
  <c r="BB485" i="6"/>
  <c r="BC485" i="6"/>
  <c r="AA2457" i="5"/>
  <c r="Y2457" i="5"/>
  <c r="Z2457" i="5"/>
  <c r="BO486" i="6"/>
  <c r="BJ486" i="6"/>
  <c r="BI486" i="6"/>
  <c r="BD486" i="6"/>
  <c r="AA4437" i="5"/>
  <c r="Y4437" i="5"/>
  <c r="Z4437" i="5"/>
  <c r="AA972" i="5"/>
  <c r="Y972" i="5"/>
  <c r="Z972" i="5"/>
  <c r="AA477" i="5"/>
  <c r="Z477" i="5"/>
  <c r="Y477" i="5"/>
  <c r="CD489" i="6"/>
  <c r="BY489" i="6"/>
  <c r="CJ489" i="6"/>
  <c r="CE489" i="6"/>
  <c r="AA2952" i="5"/>
  <c r="Y2952" i="5"/>
  <c r="Z2952" i="5"/>
  <c r="AO483" i="6"/>
  <c r="AT483" i="6"/>
  <c r="AN483" i="6"/>
  <c r="AA476" i="5"/>
  <c r="Y476" i="5"/>
  <c r="Z476" i="5"/>
  <c r="DO495" i="6"/>
  <c r="DY495" i="6"/>
  <c r="AA5921" i="5"/>
  <c r="Z5921" i="5"/>
  <c r="Y5921" i="5"/>
  <c r="Y5426" i="5"/>
  <c r="AA5426" i="5"/>
  <c r="Z5426" i="5"/>
  <c r="AA3447" i="5"/>
  <c r="Y3447" i="5"/>
  <c r="Z3447" i="5"/>
  <c r="CF490" i="6"/>
  <c r="CL490" i="6"/>
  <c r="CK490" i="6"/>
  <c r="CQ490" i="6"/>
  <c r="DS493" i="6"/>
  <c r="DH493" i="6"/>
  <c r="DM493" i="6"/>
  <c r="DN493" i="6"/>
  <c r="CT491" i="6"/>
  <c r="CZ491" i="6"/>
  <c r="CY491" i="6"/>
  <c r="DE491" i="6"/>
  <c r="AA3942" i="5"/>
  <c r="Y3942" i="5"/>
  <c r="Z3942" i="5"/>
  <c r="DS494" i="6"/>
  <c r="DM494" i="6"/>
  <c r="DH494" i="6"/>
  <c r="DN494" i="6"/>
  <c r="BP487" i="6"/>
  <c r="BK487" i="6"/>
  <c r="BV487" i="6"/>
  <c r="BQ487" i="6"/>
  <c r="Y6417" i="5"/>
  <c r="Z6417" i="5"/>
  <c r="Y6416" i="5"/>
  <c r="Z6416" i="5"/>
  <c r="F496" i="6"/>
  <c r="T496" i="6"/>
  <c r="J496" i="6"/>
  <c r="L496" i="6"/>
  <c r="R496" i="6"/>
  <c r="X496" i="6"/>
  <c r="P496" i="6"/>
  <c r="H496" i="6"/>
  <c r="V496" i="6"/>
  <c r="N496" i="6"/>
  <c r="D496" i="6"/>
  <c r="AK496" i="6"/>
  <c r="AI496" i="6"/>
  <c r="Z496" i="6"/>
  <c r="AM496" i="6"/>
  <c r="AB496" i="6"/>
  <c r="DT496" i="6" s="1"/>
  <c r="DX495" i="6"/>
  <c r="AA6418" i="5" s="1"/>
  <c r="EF497" i="6"/>
  <c r="EG497" i="6" s="1"/>
  <c r="EH497" i="6" s="1"/>
  <c r="AA497" i="6" s="1"/>
  <c r="DO496" i="6" l="1"/>
  <c r="DY496" i="6"/>
  <c r="DA494" i="6"/>
  <c r="DG494" i="6"/>
  <c r="DL494" i="6"/>
  <c r="DF494" i="6"/>
  <c r="DA493" i="6"/>
  <c r="DL493" i="6"/>
  <c r="DG493" i="6"/>
  <c r="DF493" i="6"/>
  <c r="DS495" i="6"/>
  <c r="DM495" i="6"/>
  <c r="DN495" i="6"/>
  <c r="DH495" i="6"/>
  <c r="BR489" i="6"/>
  <c r="BW489" i="6"/>
  <c r="CC489" i="6"/>
  <c r="BX489" i="6"/>
  <c r="AP485" i="6"/>
  <c r="AU485" i="6"/>
  <c r="BA485" i="6"/>
  <c r="AV485" i="6"/>
  <c r="BO487" i="6"/>
  <c r="BD487" i="6"/>
  <c r="BJ487" i="6"/>
  <c r="BI487" i="6"/>
  <c r="BY490" i="6"/>
  <c r="CJ490" i="6"/>
  <c r="CE490" i="6"/>
  <c r="CD490" i="6"/>
  <c r="AA478" i="5"/>
  <c r="Z478" i="5"/>
  <c r="Y478" i="5"/>
  <c r="Y1468" i="5"/>
  <c r="AA1468" i="5"/>
  <c r="Z1468" i="5"/>
  <c r="AA973" i="5"/>
  <c r="Y973" i="5"/>
  <c r="Z973" i="5"/>
  <c r="AA2458" i="5"/>
  <c r="Z2458" i="5"/>
  <c r="Y2458" i="5"/>
  <c r="CR491" i="6"/>
  <c r="CM491" i="6"/>
  <c r="CX491" i="6"/>
  <c r="CS491" i="6"/>
  <c r="Y5922" i="5"/>
  <c r="AA5922" i="5"/>
  <c r="Z5922" i="5"/>
  <c r="Y5923" i="5"/>
  <c r="AA5923" i="5"/>
  <c r="Z5923" i="5"/>
  <c r="AA4932" i="5"/>
  <c r="Z4932" i="5"/>
  <c r="Y4932" i="5"/>
  <c r="AA3943" i="5"/>
  <c r="Y3943" i="5"/>
  <c r="Z3943" i="5"/>
  <c r="Y1963" i="5"/>
  <c r="AA1963" i="5"/>
  <c r="Z1963" i="5"/>
  <c r="AA2953" i="5"/>
  <c r="Z2953" i="5"/>
  <c r="Y2953" i="5"/>
  <c r="CT492" i="6"/>
  <c r="DE492" i="6"/>
  <c r="CZ492" i="6"/>
  <c r="CY492" i="6"/>
  <c r="AA3448" i="5"/>
  <c r="Z3448" i="5"/>
  <c r="Y3448" i="5"/>
  <c r="BH486" i="6"/>
  <c r="AW486" i="6"/>
  <c r="BC486" i="6"/>
  <c r="BB486" i="6"/>
  <c r="BK488" i="6"/>
  <c r="BP488" i="6"/>
  <c r="BV488" i="6"/>
  <c r="BQ488" i="6"/>
  <c r="Y5427" i="5"/>
  <c r="AA5427" i="5"/>
  <c r="Z5427" i="5"/>
  <c r="AO484" i="6"/>
  <c r="AT484" i="6"/>
  <c r="AN484" i="6"/>
  <c r="Y6418" i="5"/>
  <c r="Z6418" i="5"/>
  <c r="F497" i="6"/>
  <c r="Z497" i="6"/>
  <c r="X497" i="6"/>
  <c r="L497" i="6"/>
  <c r="D497" i="6"/>
  <c r="AI497" i="6"/>
  <c r="AK497" i="6"/>
  <c r="AB497" i="6"/>
  <c r="DT497" i="6" s="1"/>
  <c r="V497" i="6"/>
  <c r="P497" i="6"/>
  <c r="J497" i="6"/>
  <c r="T497" i="6"/>
  <c r="N497" i="6"/>
  <c r="AM497" i="6"/>
  <c r="R497" i="6"/>
  <c r="H497" i="6"/>
  <c r="DX496" i="6"/>
  <c r="AA6419" i="5" s="1"/>
  <c r="EG498" i="6"/>
  <c r="EH498" i="6" s="1"/>
  <c r="AA498" i="6" s="1"/>
  <c r="EF498" i="6"/>
  <c r="AA479" i="5" l="1"/>
  <c r="Z479" i="5"/>
  <c r="Y479" i="5"/>
  <c r="BO488" i="6"/>
  <c r="BD488" i="6"/>
  <c r="BJ488" i="6"/>
  <c r="BI488" i="6"/>
  <c r="Y1469" i="5"/>
  <c r="AA1469" i="5"/>
  <c r="Z1469" i="5"/>
  <c r="CF491" i="6"/>
  <c r="CQ491" i="6"/>
  <c r="CL491" i="6"/>
  <c r="CK491" i="6"/>
  <c r="AA3449" i="5"/>
  <c r="Z3449" i="5"/>
  <c r="Y3449" i="5"/>
  <c r="AW487" i="6"/>
  <c r="BB487" i="6"/>
  <c r="BH487" i="6"/>
  <c r="BC487" i="6"/>
  <c r="Y5428" i="5"/>
  <c r="Z5428" i="5"/>
  <c r="AA5428" i="5"/>
  <c r="AO485" i="6"/>
  <c r="AT485" i="6"/>
  <c r="AN485" i="6"/>
  <c r="BK489" i="6"/>
  <c r="BP489" i="6"/>
  <c r="BQ489" i="6"/>
  <c r="BV489" i="6"/>
  <c r="Y5924" i="5"/>
  <c r="Z5924" i="5"/>
  <c r="AA5924" i="5"/>
  <c r="CT493" i="6"/>
  <c r="DE493" i="6"/>
  <c r="CZ493" i="6"/>
  <c r="CY493" i="6"/>
  <c r="CT494" i="6"/>
  <c r="CZ494" i="6"/>
  <c r="DE494" i="6"/>
  <c r="CY494" i="6"/>
  <c r="DO497" i="6"/>
  <c r="DY497" i="6"/>
  <c r="BW490" i="6"/>
  <c r="BR490" i="6"/>
  <c r="CC490" i="6"/>
  <c r="BX490" i="6"/>
  <c r="AA1964" i="5"/>
  <c r="Y1964" i="5"/>
  <c r="Z1964" i="5"/>
  <c r="AA2459" i="5"/>
  <c r="Z2459" i="5"/>
  <c r="Y2459" i="5"/>
  <c r="AA4933" i="5"/>
  <c r="Y4933" i="5"/>
  <c r="Z4933" i="5"/>
  <c r="DA495" i="6"/>
  <c r="DL495" i="6"/>
  <c r="DF495" i="6"/>
  <c r="DG495" i="6"/>
  <c r="AP486" i="6"/>
  <c r="BA486" i="6"/>
  <c r="AU486" i="6"/>
  <c r="AV486" i="6"/>
  <c r="CM492" i="6"/>
  <c r="CX492" i="6"/>
  <c r="CS492" i="6"/>
  <c r="CR492" i="6"/>
  <c r="AA4438" i="5"/>
  <c r="Y4438" i="5"/>
  <c r="Z4438" i="5"/>
  <c r="AA974" i="5"/>
  <c r="Z974" i="5"/>
  <c r="Y974" i="5"/>
  <c r="AA2954" i="5"/>
  <c r="Y2954" i="5"/>
  <c r="Z2954" i="5"/>
  <c r="Y5429" i="5"/>
  <c r="Z5429" i="5"/>
  <c r="AA5429" i="5"/>
  <c r="DH496" i="6"/>
  <c r="DN496" i="6"/>
  <c r="DS496" i="6"/>
  <c r="DM496" i="6"/>
  <c r="Y6419" i="5"/>
  <c r="Z6419" i="5"/>
  <c r="H498" i="6"/>
  <c r="R498" i="6"/>
  <c r="J498" i="6"/>
  <c r="X498" i="6"/>
  <c r="P498" i="6"/>
  <c r="D498" i="6"/>
  <c r="Z498" i="6"/>
  <c r="V498" i="6"/>
  <c r="N498" i="6"/>
  <c r="T498" i="6"/>
  <c r="L498" i="6"/>
  <c r="F498" i="6"/>
  <c r="AB498" i="6"/>
  <c r="DT498" i="6" s="1"/>
  <c r="AM498" i="6"/>
  <c r="AI498" i="6"/>
  <c r="AK498" i="6"/>
  <c r="DX497" i="6"/>
  <c r="AA6420" i="5" s="1"/>
  <c r="EF499" i="6"/>
  <c r="DS497" i="6" l="1"/>
  <c r="DH497" i="6"/>
  <c r="DN497" i="6"/>
  <c r="DM497" i="6"/>
  <c r="AA4935" i="5"/>
  <c r="Y4935" i="5"/>
  <c r="Z4935" i="5"/>
  <c r="DY498" i="6"/>
  <c r="DO498" i="6"/>
  <c r="AA5925" i="5"/>
  <c r="Y5925" i="5"/>
  <c r="Z5925" i="5"/>
  <c r="AA4934" i="5"/>
  <c r="Y4934" i="5"/>
  <c r="Z4934" i="5"/>
  <c r="BO489" i="6"/>
  <c r="BD489" i="6"/>
  <c r="BJ489" i="6"/>
  <c r="BI489" i="6"/>
  <c r="AA1470" i="5"/>
  <c r="Y1470" i="5"/>
  <c r="Z1470" i="5"/>
  <c r="AA3944" i="5"/>
  <c r="Z3944" i="5"/>
  <c r="Y3944" i="5"/>
  <c r="Y1965" i="5"/>
  <c r="Z1965" i="5"/>
  <c r="AA1965" i="5"/>
  <c r="Y5430" i="5"/>
  <c r="Z5430" i="5"/>
  <c r="AA5430" i="5"/>
  <c r="AA2955" i="5"/>
  <c r="Z2955" i="5"/>
  <c r="Y2955" i="5"/>
  <c r="CM494" i="6"/>
  <c r="CR494" i="6"/>
  <c r="CX494" i="6"/>
  <c r="CS494" i="6"/>
  <c r="CM493" i="6"/>
  <c r="CS493" i="6"/>
  <c r="CX493" i="6"/>
  <c r="CR493" i="6"/>
  <c r="AA2460" i="5"/>
  <c r="Y2460" i="5"/>
  <c r="Z2460" i="5"/>
  <c r="BY491" i="6"/>
  <c r="CD491" i="6"/>
  <c r="CE491" i="6"/>
  <c r="CJ491" i="6"/>
  <c r="AA975" i="5"/>
  <c r="Z975" i="5"/>
  <c r="Y975" i="5"/>
  <c r="CF492" i="6"/>
  <c r="CQ492" i="6"/>
  <c r="CK492" i="6"/>
  <c r="CL492" i="6"/>
  <c r="AO486" i="6"/>
  <c r="AT486" i="6"/>
  <c r="AN486" i="6"/>
  <c r="CT495" i="6"/>
  <c r="DE495" i="6"/>
  <c r="CZ495" i="6"/>
  <c r="CY495" i="6"/>
  <c r="BK490" i="6"/>
  <c r="BQ490" i="6"/>
  <c r="BP490" i="6"/>
  <c r="BV490" i="6"/>
  <c r="AA480" i="5"/>
  <c r="Z480" i="5"/>
  <c r="Y480" i="5"/>
  <c r="AU487" i="6"/>
  <c r="AP487" i="6"/>
  <c r="BA487" i="6"/>
  <c r="AV487" i="6"/>
  <c r="AA4439" i="5"/>
  <c r="Y4439" i="5"/>
  <c r="Z4439" i="5"/>
  <c r="DL496" i="6"/>
  <c r="DA496" i="6"/>
  <c r="DF496" i="6"/>
  <c r="DG496" i="6"/>
  <c r="BH488" i="6"/>
  <c r="AW488" i="6"/>
  <c r="BC488" i="6"/>
  <c r="BB488" i="6"/>
  <c r="Y6420" i="5"/>
  <c r="Z6420" i="5"/>
  <c r="EF500" i="6"/>
  <c r="EG500" i="6" s="1"/>
  <c r="EH500" i="6" s="1"/>
  <c r="AA500" i="6" s="1"/>
  <c r="EG499" i="6"/>
  <c r="EH499" i="6" s="1"/>
  <c r="AA499" i="6" s="1"/>
  <c r="DX498" i="6"/>
  <c r="AA6421" i="5" s="1"/>
  <c r="AO487" i="6" l="1"/>
  <c r="AT487" i="6"/>
  <c r="AN487" i="6"/>
  <c r="BO490" i="6"/>
  <c r="BD490" i="6"/>
  <c r="BI490" i="6"/>
  <c r="BJ490" i="6"/>
  <c r="CR495" i="6"/>
  <c r="CM495" i="6"/>
  <c r="CX495" i="6"/>
  <c r="CS495" i="6"/>
  <c r="AA1966" i="5"/>
  <c r="Y1966" i="5"/>
  <c r="Z1966" i="5"/>
  <c r="CT496" i="6"/>
  <c r="CZ496" i="6"/>
  <c r="DE496" i="6"/>
  <c r="CY496" i="6"/>
  <c r="AA2461" i="5"/>
  <c r="Z2461" i="5"/>
  <c r="Y2461" i="5"/>
  <c r="CF493" i="6"/>
  <c r="CQ493" i="6"/>
  <c r="CL493" i="6"/>
  <c r="CK493" i="6"/>
  <c r="CF494" i="6"/>
  <c r="CK494" i="6"/>
  <c r="CQ494" i="6"/>
  <c r="CL494" i="6"/>
  <c r="AP488" i="6"/>
  <c r="BA488" i="6"/>
  <c r="AV488" i="6"/>
  <c r="AU488" i="6"/>
  <c r="Y1471" i="5"/>
  <c r="AA1471" i="5"/>
  <c r="Z1471" i="5"/>
  <c r="Y5431" i="5"/>
  <c r="Z5431" i="5"/>
  <c r="AA5431" i="5"/>
  <c r="AA481" i="5"/>
  <c r="Y481" i="5"/>
  <c r="Z481" i="5"/>
  <c r="AA3945" i="5"/>
  <c r="Y3945" i="5"/>
  <c r="Z3945" i="5"/>
  <c r="BR491" i="6"/>
  <c r="BW491" i="6"/>
  <c r="CC491" i="6"/>
  <c r="BX491" i="6"/>
  <c r="DL497" i="6"/>
  <c r="DA497" i="6"/>
  <c r="DF497" i="6"/>
  <c r="DG497" i="6"/>
  <c r="AA976" i="5"/>
  <c r="Y976" i="5"/>
  <c r="Z976" i="5"/>
  <c r="AA4936" i="5"/>
  <c r="Z4936" i="5"/>
  <c r="Y4936" i="5"/>
  <c r="BY492" i="6"/>
  <c r="CD492" i="6"/>
  <c r="CJ492" i="6"/>
  <c r="CE492" i="6"/>
  <c r="AA3450" i="5"/>
  <c r="Y3450" i="5"/>
  <c r="Z3450" i="5"/>
  <c r="AA4440" i="5"/>
  <c r="Y4440" i="5"/>
  <c r="Z4440" i="5"/>
  <c r="AA4441" i="5"/>
  <c r="Z4441" i="5"/>
  <c r="Y4441" i="5"/>
  <c r="BH489" i="6"/>
  <c r="BB489" i="6"/>
  <c r="AW489" i="6"/>
  <c r="BC489" i="6"/>
  <c r="DS498" i="6"/>
  <c r="DM498" i="6"/>
  <c r="DH498" i="6"/>
  <c r="DN498" i="6"/>
  <c r="Y5926" i="5"/>
  <c r="AA5926" i="5"/>
  <c r="Z5926" i="5"/>
  <c r="Y6421" i="5"/>
  <c r="Z6421" i="5"/>
  <c r="F500" i="6"/>
  <c r="X500" i="6"/>
  <c r="R500" i="6"/>
  <c r="H500" i="6"/>
  <c r="V500" i="6"/>
  <c r="N500" i="6"/>
  <c r="D500" i="6"/>
  <c r="T500" i="6"/>
  <c r="J500" i="6"/>
  <c r="L500" i="6"/>
  <c r="P500" i="6"/>
  <c r="AB500" i="6"/>
  <c r="DT500" i="6" s="1"/>
  <c r="AI500" i="6"/>
  <c r="AK500" i="6"/>
  <c r="Z500" i="6"/>
  <c r="AM500" i="6"/>
  <c r="R499" i="6"/>
  <c r="H499" i="6"/>
  <c r="Z499" i="6"/>
  <c r="V499" i="6"/>
  <c r="P499" i="6"/>
  <c r="N499" i="6"/>
  <c r="X499" i="6"/>
  <c r="L499" i="6"/>
  <c r="T499" i="6"/>
  <c r="J499" i="6"/>
  <c r="F499" i="6"/>
  <c r="D499" i="6"/>
  <c r="AM499" i="6"/>
  <c r="AB499" i="6"/>
  <c r="DT499" i="6" s="1"/>
  <c r="AI499" i="6"/>
  <c r="AK499" i="6"/>
  <c r="Y1472" i="5" l="1"/>
  <c r="AA1472" i="5"/>
  <c r="Z1472" i="5"/>
  <c r="BW492" i="6"/>
  <c r="BR492" i="6"/>
  <c r="CC492" i="6"/>
  <c r="BX492" i="6"/>
  <c r="AA2956" i="5"/>
  <c r="Z2956" i="5"/>
  <c r="Y2956" i="5"/>
  <c r="AA3947" i="5"/>
  <c r="Y3947" i="5"/>
  <c r="Z3947" i="5"/>
  <c r="Y1967" i="5"/>
  <c r="AA1967" i="5"/>
  <c r="Z1967" i="5"/>
  <c r="DA498" i="6"/>
  <c r="DG498" i="6"/>
  <c r="DL498" i="6"/>
  <c r="DF498" i="6"/>
  <c r="AU489" i="6"/>
  <c r="AP489" i="6"/>
  <c r="AV489" i="6"/>
  <c r="BA489" i="6"/>
  <c r="CT497" i="6"/>
  <c r="CZ497" i="6"/>
  <c r="DE497" i="6"/>
  <c r="CY497" i="6"/>
  <c r="AA977" i="5"/>
  <c r="Y977" i="5"/>
  <c r="Z977" i="5"/>
  <c r="AA3946" i="5"/>
  <c r="Y3946" i="5"/>
  <c r="Z3946" i="5"/>
  <c r="CR496" i="6"/>
  <c r="CM496" i="6"/>
  <c r="CX496" i="6"/>
  <c r="CS496" i="6"/>
  <c r="AA3451" i="5"/>
  <c r="Z3451" i="5"/>
  <c r="Y3451" i="5"/>
  <c r="Y5432" i="5"/>
  <c r="AA5432" i="5"/>
  <c r="Z5432" i="5"/>
  <c r="BP491" i="6"/>
  <c r="BK491" i="6"/>
  <c r="BQ491" i="6"/>
  <c r="BV491" i="6"/>
  <c r="AO488" i="6"/>
  <c r="AT488" i="6"/>
  <c r="AN488" i="6"/>
  <c r="BY494" i="6"/>
  <c r="CJ494" i="6"/>
  <c r="CE494" i="6"/>
  <c r="CD494" i="6"/>
  <c r="BY493" i="6"/>
  <c r="CJ493" i="6"/>
  <c r="CE493" i="6"/>
  <c r="CD493" i="6"/>
  <c r="AA4442" i="5"/>
  <c r="Y4442" i="5"/>
  <c r="Z4442" i="5"/>
  <c r="AA482" i="5"/>
  <c r="Y482" i="5"/>
  <c r="Z482" i="5"/>
  <c r="DO499" i="6"/>
  <c r="DY499" i="6"/>
  <c r="DO500" i="6"/>
  <c r="DY500" i="6"/>
  <c r="Y5927" i="5"/>
  <c r="AA5927" i="5"/>
  <c r="Z5927" i="5"/>
  <c r="AA4937" i="5"/>
  <c r="Z4937" i="5"/>
  <c r="Y4937" i="5"/>
  <c r="CF495" i="6"/>
  <c r="CL495" i="6"/>
  <c r="CK495" i="6"/>
  <c r="CQ495" i="6"/>
  <c r="BH490" i="6"/>
  <c r="AW490" i="6"/>
  <c r="BC490" i="6"/>
  <c r="BB490" i="6"/>
  <c r="DX500" i="6"/>
  <c r="AA6423" i="5" s="1"/>
  <c r="DX499" i="6"/>
  <c r="AA6422" i="5" s="1"/>
  <c r="CD495" i="6" l="1"/>
  <c r="BY495" i="6"/>
  <c r="CJ495" i="6"/>
  <c r="CE495" i="6"/>
  <c r="BW494" i="6"/>
  <c r="BR494" i="6"/>
  <c r="CC494" i="6"/>
  <c r="BX494" i="6"/>
  <c r="AA2462" i="5"/>
  <c r="Z2462" i="5"/>
  <c r="Y2462" i="5"/>
  <c r="CF496" i="6"/>
  <c r="CL496" i="6"/>
  <c r="CK496" i="6"/>
  <c r="CQ496" i="6"/>
  <c r="AA978" i="5"/>
  <c r="Z978" i="5"/>
  <c r="Y978" i="5"/>
  <c r="Y1473" i="5"/>
  <c r="AA1473" i="5"/>
  <c r="Z1473" i="5"/>
  <c r="DH500" i="6"/>
  <c r="DM500" i="6"/>
  <c r="DS500" i="6"/>
  <c r="DN500" i="6"/>
  <c r="BW493" i="6"/>
  <c r="BR493" i="6"/>
  <c r="CC493" i="6"/>
  <c r="BX493" i="6"/>
  <c r="AA3948" i="5"/>
  <c r="Y3948" i="5"/>
  <c r="Z3948" i="5"/>
  <c r="AA4938" i="5"/>
  <c r="Y4938" i="5"/>
  <c r="Z4938" i="5"/>
  <c r="Y5433" i="5"/>
  <c r="AA5433" i="5"/>
  <c r="Z5433" i="5"/>
  <c r="DS499" i="6"/>
  <c r="DM499" i="6"/>
  <c r="DN499" i="6"/>
  <c r="DH499" i="6"/>
  <c r="AA483" i="5"/>
  <c r="Y483" i="5"/>
  <c r="Z483" i="5"/>
  <c r="BO491" i="6"/>
  <c r="BD491" i="6"/>
  <c r="BJ491" i="6"/>
  <c r="BI491" i="6"/>
  <c r="AO489" i="6"/>
  <c r="AT489" i="6"/>
  <c r="AN489" i="6"/>
  <c r="AA2957" i="5"/>
  <c r="Y2957" i="5"/>
  <c r="Z2957" i="5"/>
  <c r="AP490" i="6"/>
  <c r="AU490" i="6"/>
  <c r="BA490" i="6"/>
  <c r="AV490" i="6"/>
  <c r="AA3452" i="5"/>
  <c r="Y3452" i="5"/>
  <c r="Z3452" i="5"/>
  <c r="AA3453" i="5"/>
  <c r="Y3453" i="5"/>
  <c r="Z3453" i="5"/>
  <c r="AA4443" i="5"/>
  <c r="Y4443" i="5"/>
  <c r="Z4443" i="5"/>
  <c r="CM497" i="6"/>
  <c r="CR497" i="6"/>
  <c r="CX497" i="6"/>
  <c r="CS497" i="6"/>
  <c r="CT498" i="6"/>
  <c r="CY498" i="6"/>
  <c r="DE498" i="6"/>
  <c r="CZ498" i="6"/>
  <c r="BK492" i="6"/>
  <c r="BV492" i="6"/>
  <c r="BQ492" i="6"/>
  <c r="BP492" i="6"/>
  <c r="Y6422" i="5"/>
  <c r="Z6422" i="5"/>
  <c r="Y6423" i="5"/>
  <c r="Z6423" i="5"/>
  <c r="AO490" i="6" l="1"/>
  <c r="AT490" i="6"/>
  <c r="AN490" i="6"/>
  <c r="AA2958" i="5"/>
  <c r="Y2958" i="5"/>
  <c r="Z2958" i="5"/>
  <c r="AA5929" i="5"/>
  <c r="Y5929" i="5"/>
  <c r="Z5929" i="5"/>
  <c r="CD496" i="6"/>
  <c r="BY496" i="6"/>
  <c r="CJ496" i="6"/>
  <c r="CE496" i="6"/>
  <c r="AA4939" i="5"/>
  <c r="Z4939" i="5"/>
  <c r="Y4939" i="5"/>
  <c r="AA4444" i="5"/>
  <c r="Y4444" i="5"/>
  <c r="Z4444" i="5"/>
  <c r="AA484" i="5"/>
  <c r="Z484" i="5"/>
  <c r="Y484" i="5"/>
  <c r="AW491" i="6"/>
  <c r="BB491" i="6"/>
  <c r="BH491" i="6"/>
  <c r="BC491" i="6"/>
  <c r="Y5928" i="5"/>
  <c r="AA5928" i="5"/>
  <c r="Z5928" i="5"/>
  <c r="BK493" i="6"/>
  <c r="BV493" i="6"/>
  <c r="BQ493" i="6"/>
  <c r="BP493" i="6"/>
  <c r="AA3949" i="5"/>
  <c r="Y3949" i="5"/>
  <c r="Z3949" i="5"/>
  <c r="AA2959" i="5"/>
  <c r="Z2959" i="5"/>
  <c r="Y2959" i="5"/>
  <c r="AA3454" i="5"/>
  <c r="Y3454" i="5"/>
  <c r="Z3454" i="5"/>
  <c r="AA2463" i="5"/>
  <c r="Z2463" i="5"/>
  <c r="Y2463" i="5"/>
  <c r="AA979" i="5"/>
  <c r="Z979" i="5"/>
  <c r="Y979" i="5"/>
  <c r="Y1968" i="5"/>
  <c r="Z1968" i="5"/>
  <c r="AA1968" i="5"/>
  <c r="DA499" i="6"/>
  <c r="DL499" i="6"/>
  <c r="DG499" i="6"/>
  <c r="DF499" i="6"/>
  <c r="DL500" i="6"/>
  <c r="DA500" i="6"/>
  <c r="DF500" i="6"/>
  <c r="DG500" i="6"/>
  <c r="BK494" i="6"/>
  <c r="BV494" i="6"/>
  <c r="BQ494" i="6"/>
  <c r="BP494" i="6"/>
  <c r="BR495" i="6"/>
  <c r="BW495" i="6"/>
  <c r="CC495" i="6"/>
  <c r="BX495" i="6"/>
  <c r="BO492" i="6"/>
  <c r="BD492" i="6"/>
  <c r="BJ492" i="6"/>
  <c r="BI492" i="6"/>
  <c r="CR498" i="6"/>
  <c r="CM498" i="6"/>
  <c r="CX498" i="6"/>
  <c r="CS498" i="6"/>
  <c r="CF497" i="6"/>
  <c r="CQ497" i="6"/>
  <c r="CL497" i="6"/>
  <c r="CK497" i="6"/>
  <c r="BH492" i="6" l="1"/>
  <c r="AW492" i="6"/>
  <c r="BC492" i="6"/>
  <c r="BB492" i="6"/>
  <c r="BY497" i="6"/>
  <c r="CD497" i="6"/>
  <c r="CJ497" i="6"/>
  <c r="CE497" i="6"/>
  <c r="AA1969" i="5"/>
  <c r="Y1969" i="5"/>
  <c r="Z1969" i="5"/>
  <c r="BP495" i="6"/>
  <c r="BK495" i="6"/>
  <c r="BV495" i="6"/>
  <c r="BQ495" i="6"/>
  <c r="BO494" i="6"/>
  <c r="BD494" i="6"/>
  <c r="BJ494" i="6"/>
  <c r="BI494" i="6"/>
  <c r="Y5435" i="5"/>
  <c r="Z5435" i="5"/>
  <c r="AA5435" i="5"/>
  <c r="CT499" i="6"/>
  <c r="CZ499" i="6"/>
  <c r="DE499" i="6"/>
  <c r="CY499" i="6"/>
  <c r="AA3455" i="5"/>
  <c r="Y3455" i="5"/>
  <c r="Z3455" i="5"/>
  <c r="AA3950" i="5"/>
  <c r="Y3950" i="5"/>
  <c r="Z3950" i="5"/>
  <c r="AA2464" i="5"/>
  <c r="Y2464" i="5"/>
  <c r="Z2464" i="5"/>
  <c r="BW496" i="6"/>
  <c r="BR496" i="6"/>
  <c r="CC496" i="6"/>
  <c r="BX496" i="6"/>
  <c r="CF498" i="6"/>
  <c r="CQ498" i="6"/>
  <c r="CL498" i="6"/>
  <c r="CK498" i="6"/>
  <c r="AA2465" i="5"/>
  <c r="Y2465" i="5"/>
  <c r="Z2465" i="5"/>
  <c r="AP491" i="6"/>
  <c r="AU491" i="6"/>
  <c r="AV491" i="6"/>
  <c r="BA491" i="6"/>
  <c r="AA4445" i="5"/>
  <c r="Y4445" i="5"/>
  <c r="Z4445" i="5"/>
  <c r="AA2960" i="5"/>
  <c r="Z2960" i="5"/>
  <c r="Y2960" i="5"/>
  <c r="BO493" i="6"/>
  <c r="BD493" i="6"/>
  <c r="BI493" i="6"/>
  <c r="BJ493" i="6"/>
  <c r="AA485" i="5"/>
  <c r="Z485" i="5"/>
  <c r="Y485" i="5"/>
  <c r="DE500" i="6"/>
  <c r="CT500" i="6"/>
  <c r="CY500" i="6"/>
  <c r="CZ500" i="6"/>
  <c r="Y5434" i="5"/>
  <c r="Z5434" i="5"/>
  <c r="AA5434" i="5"/>
  <c r="AA1474" i="5"/>
  <c r="Y1474" i="5"/>
  <c r="Z1474" i="5"/>
  <c r="BK496" i="6" l="1"/>
  <c r="BQ496" i="6"/>
  <c r="BP496" i="6"/>
  <c r="BV496" i="6"/>
  <c r="Z4941" i="5"/>
  <c r="Y4941" i="5"/>
  <c r="AA4941" i="5"/>
  <c r="CD498" i="6"/>
  <c r="BY498" i="6"/>
  <c r="CJ498" i="6"/>
  <c r="CE498" i="6"/>
  <c r="AA1971" i="5"/>
  <c r="Y1971" i="5"/>
  <c r="Z1971" i="5"/>
  <c r="AO491" i="6"/>
  <c r="AT491" i="6"/>
  <c r="AN491" i="6"/>
  <c r="CM499" i="6"/>
  <c r="CR499" i="6"/>
  <c r="CS499" i="6"/>
  <c r="CX499" i="6"/>
  <c r="AA3456" i="5"/>
  <c r="Y3456" i="5"/>
  <c r="Z3456" i="5"/>
  <c r="BH493" i="6"/>
  <c r="AW493" i="6"/>
  <c r="BB493" i="6"/>
  <c r="BC493" i="6"/>
  <c r="AA980" i="5"/>
  <c r="Z980" i="5"/>
  <c r="Y980" i="5"/>
  <c r="AA2961" i="5"/>
  <c r="Y2961" i="5"/>
  <c r="Z2961" i="5"/>
  <c r="AA2466" i="5"/>
  <c r="Y2466" i="5"/>
  <c r="Z2466" i="5"/>
  <c r="AU492" i="6"/>
  <c r="AP492" i="6"/>
  <c r="AV492" i="6"/>
  <c r="BA492" i="6"/>
  <c r="CX500" i="6"/>
  <c r="CM500" i="6"/>
  <c r="CR500" i="6"/>
  <c r="CS500" i="6"/>
  <c r="AA1970" i="5"/>
  <c r="Y1970" i="5"/>
  <c r="Z1970" i="5"/>
  <c r="AA3951" i="5"/>
  <c r="Y3951" i="5"/>
  <c r="Z3951" i="5"/>
  <c r="AA4940" i="5"/>
  <c r="Z4940" i="5"/>
  <c r="Y4940" i="5"/>
  <c r="BH494" i="6"/>
  <c r="AW494" i="6"/>
  <c r="BC494" i="6"/>
  <c r="BB494" i="6"/>
  <c r="BO495" i="6"/>
  <c r="BD495" i="6"/>
  <c r="BI495" i="6"/>
  <c r="BJ495" i="6"/>
  <c r="BR497" i="6"/>
  <c r="BW497" i="6"/>
  <c r="CC497" i="6"/>
  <c r="BX497" i="6"/>
  <c r="AA1475" i="5"/>
  <c r="Y1475" i="5"/>
  <c r="Z1475" i="5"/>
  <c r="DM8" i="6"/>
  <c r="DN8" i="6"/>
  <c r="Y5437" i="5" l="1"/>
  <c r="AA5437" i="5"/>
  <c r="Z5437" i="5"/>
  <c r="AA2962" i="5"/>
  <c r="Z2962" i="5"/>
  <c r="Y2962" i="5"/>
  <c r="AW495" i="6"/>
  <c r="BB495" i="6"/>
  <c r="BH495" i="6"/>
  <c r="BC495" i="6"/>
  <c r="AU494" i="6"/>
  <c r="AP494" i="6"/>
  <c r="AV494" i="6"/>
  <c r="BA494" i="6"/>
  <c r="AA486" i="5"/>
  <c r="Z486" i="5"/>
  <c r="Y486" i="5"/>
  <c r="AA2467" i="5"/>
  <c r="Y2467" i="5"/>
  <c r="Z2467" i="5"/>
  <c r="BK497" i="6"/>
  <c r="BP497" i="6"/>
  <c r="BV497" i="6"/>
  <c r="BQ497" i="6"/>
  <c r="Y1972" i="5"/>
  <c r="AA1972" i="5"/>
  <c r="Z1972" i="5"/>
  <c r="Y1477" i="5"/>
  <c r="AA1477" i="5"/>
  <c r="Z1477" i="5"/>
  <c r="CQ500" i="6"/>
  <c r="CF500" i="6"/>
  <c r="CL500" i="6"/>
  <c r="CK500" i="6"/>
  <c r="AO492" i="6"/>
  <c r="AT492" i="6"/>
  <c r="AN492" i="6"/>
  <c r="Y4447" i="5"/>
  <c r="AA4447" i="5"/>
  <c r="Z4447" i="5"/>
  <c r="AP493" i="6"/>
  <c r="AU493" i="6"/>
  <c r="AV493" i="6"/>
  <c r="BA493" i="6"/>
  <c r="CF499" i="6"/>
  <c r="CK499" i="6"/>
  <c r="CQ499" i="6"/>
  <c r="CL499" i="6"/>
  <c r="AA3457" i="5"/>
  <c r="Y3457" i="5"/>
  <c r="Z3457" i="5"/>
  <c r="AA981" i="5"/>
  <c r="Z981" i="5"/>
  <c r="Y981" i="5"/>
  <c r="Y1476" i="5"/>
  <c r="AA1476" i="5"/>
  <c r="Z1476" i="5"/>
  <c r="AA4446" i="5"/>
  <c r="Z4446" i="5"/>
  <c r="Y4446" i="5"/>
  <c r="BW498" i="6"/>
  <c r="BR498" i="6"/>
  <c r="CC498" i="6"/>
  <c r="BX498" i="6"/>
  <c r="BO496" i="6"/>
  <c r="BD496" i="6"/>
  <c r="BJ496" i="6"/>
  <c r="BI496" i="6"/>
  <c r="CD499" i="6" l="1"/>
  <c r="BY499" i="6"/>
  <c r="CJ499" i="6"/>
  <c r="CE499" i="6"/>
  <c r="AA982" i="5"/>
  <c r="Z982" i="5"/>
  <c r="Y982" i="5"/>
  <c r="AA487" i="5"/>
  <c r="Z487" i="5"/>
  <c r="Y487" i="5"/>
  <c r="CJ500" i="6"/>
  <c r="BY500" i="6"/>
  <c r="CD500" i="6"/>
  <c r="CE500" i="6"/>
  <c r="AO494" i="6"/>
  <c r="AT494" i="6"/>
  <c r="AN494" i="6"/>
  <c r="AA2963" i="5"/>
  <c r="Y2963" i="5"/>
  <c r="Z2963" i="5"/>
  <c r="AP495" i="6"/>
  <c r="AU495" i="6"/>
  <c r="AV495" i="6"/>
  <c r="BA495" i="6"/>
  <c r="AA1973" i="5"/>
  <c r="Y1973" i="5"/>
  <c r="Z1973" i="5"/>
  <c r="AA3952" i="5"/>
  <c r="Z3952" i="5"/>
  <c r="Y3952" i="5"/>
  <c r="AA3953" i="5"/>
  <c r="Y3953" i="5"/>
  <c r="Z3953" i="5"/>
  <c r="AA2468" i="5"/>
  <c r="Y2468" i="5"/>
  <c r="Z2468" i="5"/>
  <c r="BH496" i="6"/>
  <c r="AW496" i="6"/>
  <c r="BC496" i="6"/>
  <c r="BB496" i="6"/>
  <c r="BK498" i="6"/>
  <c r="BV498" i="6"/>
  <c r="BQ498" i="6"/>
  <c r="BP498" i="6"/>
  <c r="AA983" i="5"/>
  <c r="Z983" i="5"/>
  <c r="Y983" i="5"/>
  <c r="AO493" i="6"/>
  <c r="AT493" i="6"/>
  <c r="AN493" i="6"/>
  <c r="BO497" i="6"/>
  <c r="BD497" i="6"/>
  <c r="BI497" i="6"/>
  <c r="BJ497" i="6"/>
  <c r="AA1478" i="5"/>
  <c r="Y1478" i="5"/>
  <c r="Z1478" i="5"/>
  <c r="BH497" i="6" l="1"/>
  <c r="AW497" i="6"/>
  <c r="BB497" i="6"/>
  <c r="BC497" i="6"/>
  <c r="AA984" i="5"/>
  <c r="Y984" i="5"/>
  <c r="Z984" i="5"/>
  <c r="AA489" i="5"/>
  <c r="Y489" i="5"/>
  <c r="Z489" i="5"/>
  <c r="CC500" i="6"/>
  <c r="BR500" i="6"/>
  <c r="BW500" i="6"/>
  <c r="BX500" i="6"/>
  <c r="AU496" i="6"/>
  <c r="AP496" i="6"/>
  <c r="AV496" i="6"/>
  <c r="BA496" i="6"/>
  <c r="AA1974" i="5"/>
  <c r="Z1974" i="5"/>
  <c r="Y1974" i="5"/>
  <c r="Y3459" i="5"/>
  <c r="AA3459" i="5"/>
  <c r="Z3459" i="5"/>
  <c r="AA3458" i="5"/>
  <c r="Y3458" i="5"/>
  <c r="Z3458" i="5"/>
  <c r="BW499" i="6"/>
  <c r="BR499" i="6"/>
  <c r="CC499" i="6"/>
  <c r="BX499" i="6"/>
  <c r="AA2469" i="5"/>
  <c r="Z2469" i="5"/>
  <c r="Y2469" i="5"/>
  <c r="AA488" i="5"/>
  <c r="Z488" i="5"/>
  <c r="Y488" i="5"/>
  <c r="BO498" i="6"/>
  <c r="BD498" i="6"/>
  <c r="BJ498" i="6"/>
  <c r="BI498" i="6"/>
  <c r="Y1479" i="5"/>
  <c r="AA1479" i="5"/>
  <c r="Z1479" i="5"/>
  <c r="AO495" i="6"/>
  <c r="AT495" i="6"/>
  <c r="AN495" i="6"/>
  <c r="BH498" i="6" l="1"/>
  <c r="AW498" i="6"/>
  <c r="BB498" i="6"/>
  <c r="BC498" i="6"/>
  <c r="AO496" i="6"/>
  <c r="AT496" i="6"/>
  <c r="AN496" i="6"/>
  <c r="BV500" i="6"/>
  <c r="BK500" i="6"/>
  <c r="BP500" i="6"/>
  <c r="BQ500" i="6"/>
  <c r="AA490" i="5"/>
  <c r="Y490" i="5"/>
  <c r="Z490" i="5"/>
  <c r="AA1975" i="5"/>
  <c r="Y1975" i="5"/>
  <c r="Z1975" i="5"/>
  <c r="AA2964" i="5"/>
  <c r="Y2964" i="5"/>
  <c r="Z2964" i="5"/>
  <c r="Y2965" i="5"/>
  <c r="AA2965" i="5"/>
  <c r="Z2965" i="5"/>
  <c r="BK499" i="6"/>
  <c r="BP499" i="6"/>
  <c r="BV499" i="6"/>
  <c r="BQ499" i="6"/>
  <c r="AA985" i="5"/>
  <c r="Y985" i="5"/>
  <c r="Z985" i="5"/>
  <c r="AP497" i="6"/>
  <c r="AU497" i="6"/>
  <c r="AV497" i="6"/>
  <c r="BA497" i="6"/>
  <c r="Y1480" i="5"/>
  <c r="AA1480" i="5"/>
  <c r="Z1480" i="5"/>
  <c r="BO499" i="6" l="1"/>
  <c r="BD499" i="6"/>
  <c r="BI499" i="6"/>
  <c r="BJ499" i="6"/>
  <c r="Y2471" i="5"/>
  <c r="AA2471" i="5"/>
  <c r="Z2471" i="5"/>
  <c r="AO497" i="6"/>
  <c r="AT497" i="6"/>
  <c r="AN497" i="6"/>
  <c r="AA986" i="5"/>
  <c r="Y986" i="5"/>
  <c r="Z986" i="5"/>
  <c r="AA2470" i="5"/>
  <c r="Y2470" i="5"/>
  <c r="Z2470" i="5"/>
  <c r="AA491" i="5"/>
  <c r="Y491" i="5"/>
  <c r="Z491" i="5"/>
  <c r="AU498" i="6"/>
  <c r="AP498" i="6"/>
  <c r="AV498" i="6"/>
  <c r="BA498" i="6"/>
  <c r="BO500" i="6"/>
  <c r="BD500" i="6"/>
  <c r="BJ500" i="6"/>
  <c r="BI500" i="6"/>
  <c r="AA1481" i="5"/>
  <c r="Y1481" i="5"/>
  <c r="Z1481" i="5"/>
  <c r="AA987" i="5" l="1"/>
  <c r="Y987" i="5"/>
  <c r="Z987" i="5"/>
  <c r="AW499" i="6"/>
  <c r="BB499" i="6"/>
  <c r="BH499" i="6"/>
  <c r="BC499" i="6"/>
  <c r="BH500" i="6"/>
  <c r="AW500" i="6"/>
  <c r="BB500" i="6"/>
  <c r="BC500" i="6"/>
  <c r="AA1977" i="5"/>
  <c r="Y1977" i="5"/>
  <c r="Z1977" i="5"/>
  <c r="AO498" i="6"/>
  <c r="AT498" i="6"/>
  <c r="AN498" i="6"/>
  <c r="AA492" i="5"/>
  <c r="Y492" i="5"/>
  <c r="Z492" i="5"/>
  <c r="AA1976" i="5"/>
  <c r="Y1976" i="5"/>
  <c r="Z1976" i="5"/>
  <c r="AA493" i="5" l="1"/>
  <c r="Z493" i="5"/>
  <c r="Y493" i="5"/>
  <c r="Y1483" i="5"/>
  <c r="AA1483" i="5"/>
  <c r="Z1483" i="5"/>
  <c r="BA499" i="6"/>
  <c r="AP499" i="6"/>
  <c r="AU499" i="6"/>
  <c r="AV499" i="6"/>
  <c r="AA1482" i="5"/>
  <c r="Z1482" i="5"/>
  <c r="Y1482" i="5"/>
  <c r="BA500" i="6"/>
  <c r="AP500" i="6"/>
  <c r="AU500" i="6"/>
  <c r="AV500" i="6"/>
  <c r="AT500" i="6" l="1"/>
  <c r="AO500" i="6"/>
  <c r="AN500" i="6"/>
  <c r="Y988" i="5"/>
  <c r="AA988" i="5"/>
  <c r="Z988" i="5"/>
  <c r="Y989" i="5"/>
  <c r="AA989" i="5"/>
  <c r="Z989" i="5"/>
  <c r="AO499" i="6"/>
  <c r="AT499" i="6"/>
  <c r="AN499" i="6"/>
  <c r="B8" i="5" l="1" a="1"/>
  <c r="AA494" i="5"/>
  <c r="Z494" i="5"/>
  <c r="Y494" i="5"/>
  <c r="Y495" i="5"/>
  <c r="AA495" i="5"/>
  <c r="Z495" i="5"/>
  <c r="U14" i="5" l="1"/>
  <c r="R15" i="5"/>
  <c r="J15" i="5"/>
  <c r="E15" i="5"/>
  <c r="T11" i="5"/>
  <c r="F10" i="5"/>
  <c r="N14" i="5"/>
  <c r="R13" i="5"/>
  <c r="F14" i="5"/>
  <c r="E12" i="5"/>
  <c r="O14" i="5"/>
  <c r="J11" i="5"/>
  <c r="U10" i="5"/>
  <c r="H15" i="5"/>
  <c r="F15" i="5"/>
  <c r="F12" i="5"/>
  <c r="J13" i="5"/>
  <c r="Q12" i="5"/>
  <c r="I11" i="5"/>
  <c r="F11" i="5"/>
  <c r="C13" i="5"/>
  <c r="N13" i="5"/>
  <c r="O12" i="5"/>
  <c r="L11" i="5"/>
  <c r="J14" i="5"/>
  <c r="O11" i="5"/>
  <c r="I14" i="5"/>
  <c r="U11" i="5"/>
  <c r="U13" i="5"/>
  <c r="T15" i="5"/>
  <c r="I15" i="5"/>
  <c r="K15" i="5"/>
  <c r="C15" i="5"/>
  <c r="E11" i="5"/>
  <c r="O10" i="5"/>
  <c r="K13" i="5"/>
  <c r="D11" i="5"/>
  <c r="P13" i="5"/>
  <c r="S14" i="5"/>
  <c r="F13" i="5"/>
  <c r="P12" i="5"/>
  <c r="R12" i="5"/>
  <c r="D13" i="5"/>
  <c r="R11" i="5"/>
  <c r="M12" i="5"/>
  <c r="G12" i="5"/>
  <c r="H11" i="5"/>
  <c r="B8" i="5"/>
  <c r="C11" i="5"/>
  <c r="T10" i="5"/>
  <c r="G13" i="5"/>
  <c r="I10" i="5"/>
  <c r="G11" i="5"/>
  <c r="K12" i="5"/>
  <c r="H14" i="5"/>
  <c r="P11" i="5"/>
  <c r="U15" i="5"/>
  <c r="O15" i="5"/>
  <c r="L15" i="5"/>
  <c r="S15" i="5"/>
  <c r="M14" i="5"/>
  <c r="D14" i="5"/>
  <c r="G10" i="5"/>
  <c r="S12" i="5"/>
  <c r="E13" i="5"/>
  <c r="M11" i="5"/>
  <c r="P10" i="5"/>
  <c r="P14" i="5"/>
  <c r="K14" i="5"/>
  <c r="J10" i="5"/>
  <c r="Q11" i="5"/>
  <c r="I13" i="5"/>
  <c r="O13" i="5"/>
  <c r="H12" i="5"/>
  <c r="R10" i="5"/>
  <c r="L14" i="5"/>
  <c r="C14" i="5"/>
  <c r="R14" i="5"/>
  <c r="S11" i="5"/>
  <c r="G14" i="5"/>
  <c r="N12" i="5"/>
  <c r="I12" i="5"/>
  <c r="N15" i="5"/>
  <c r="Q15" i="5"/>
  <c r="D12" i="5"/>
  <c r="D10" i="5"/>
  <c r="S10" i="5"/>
  <c r="Q10" i="5"/>
  <c r="L10" i="5"/>
  <c r="T13" i="5"/>
  <c r="K11" i="5"/>
  <c r="C10" i="5"/>
  <c r="S13" i="5"/>
  <c r="Q13" i="5"/>
  <c r="P15" i="5"/>
  <c r="M15" i="5"/>
  <c r="E14" i="5"/>
  <c r="H10" i="5"/>
  <c r="Q14" i="5"/>
  <c r="L12" i="5"/>
  <c r="T14" i="5"/>
  <c r="U12" i="5"/>
  <c r="G15" i="5"/>
  <c r="D15" i="5"/>
  <c r="C12" i="5"/>
  <c r="L13" i="5"/>
  <c r="N11" i="5"/>
  <c r="E10" i="5"/>
  <c r="T12" i="5"/>
  <c r="H13" i="5"/>
  <c r="K10" i="5"/>
  <c r="M13" i="5"/>
  <c r="N10" i="5"/>
  <c r="J12" i="5"/>
  <c r="M10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<sst xmlns="http://schemas.openxmlformats.org/spreadsheetml/2006/main" count="423" uniqueCount="111">
  <si>
    <t>Unique Identifier</t>
  </si>
  <si>
    <t>Sr. No.</t>
  </si>
  <si>
    <t>Customer Name</t>
  </si>
  <si>
    <t>Product Name</t>
  </si>
  <si>
    <t>Configuration</t>
  </si>
  <si>
    <t>a</t>
  </si>
  <si>
    <t>Sr. No. Helper</t>
  </si>
  <si>
    <t>Customer Name Helper</t>
  </si>
  <si>
    <t>KV RATING</t>
  </si>
  <si>
    <t>PRODUCT</t>
  </si>
  <si>
    <t>Order 
Quantity</t>
  </si>
  <si>
    <t>3 way Eq.</t>
  </si>
  <si>
    <t>Total 3 way Eq.</t>
  </si>
  <si>
    <t>AX THM Code
(FG)</t>
  </si>
  <si>
    <t>AX THM Code
(MODULE)</t>
  </si>
  <si>
    <t>Order Number</t>
  </si>
  <si>
    <t xml:space="preserve">D365 Sales Order No. </t>
  </si>
  <si>
    <t>Priority</t>
  </si>
  <si>
    <t>MANUAL / MOTORISED</t>
  </si>
  <si>
    <t>Product / Service Description</t>
  </si>
  <si>
    <t>Order Number Helper</t>
  </si>
  <si>
    <t>D365 Sales Order No. Helper</t>
  </si>
  <si>
    <t>ABC</t>
  </si>
  <si>
    <t>Day wise Quanity</t>
  </si>
  <si>
    <t>Process T</t>
  </si>
  <si>
    <t>Process T-2</t>
  </si>
  <si>
    <t>Process T-3</t>
  </si>
  <si>
    <t>Process T-4</t>
  </si>
  <si>
    <t>Process T-1</t>
  </si>
  <si>
    <t>Process T-5</t>
  </si>
  <si>
    <t>Process T-6</t>
  </si>
  <si>
    <t>Process T-7</t>
  </si>
  <si>
    <t>Process T-8</t>
  </si>
  <si>
    <t>Process T-9</t>
  </si>
  <si>
    <t>Process T-10</t>
  </si>
  <si>
    <t>Process T-11</t>
  </si>
  <si>
    <t>AEGIS 12</t>
  </si>
  <si>
    <t>AEGIS 36</t>
  </si>
  <si>
    <t>MCR</t>
  </si>
  <si>
    <t>OIL</t>
  </si>
  <si>
    <t>SABRE</t>
  </si>
  <si>
    <t>Product Helper</t>
  </si>
  <si>
    <t>Cofiguration Helper</t>
  </si>
  <si>
    <t>RFD</t>
  </si>
  <si>
    <t>Reason</t>
  </si>
  <si>
    <t>Process Name</t>
  </si>
  <si>
    <t>Process No.</t>
  </si>
  <si>
    <t>Days Required for the Process</t>
  </si>
  <si>
    <t>Job Name Helper</t>
  </si>
  <si>
    <t>Job &amp; Process No.</t>
  </si>
  <si>
    <t>A</t>
  </si>
  <si>
    <t>B</t>
  </si>
  <si>
    <t>C</t>
  </si>
  <si>
    <t>D</t>
  </si>
  <si>
    <t>E</t>
  </si>
  <si>
    <t>F</t>
  </si>
  <si>
    <t>G</t>
  </si>
  <si>
    <t>SPARES</t>
  </si>
  <si>
    <t>H</t>
  </si>
  <si>
    <t>I</t>
  </si>
  <si>
    <t>J</t>
  </si>
  <si>
    <t>K</t>
  </si>
  <si>
    <t>L</t>
  </si>
  <si>
    <t>Per Day Quanity</t>
  </si>
  <si>
    <t>Ready for Dispatch Date 1</t>
  </si>
  <si>
    <t>Ready for Dispatch Date 2</t>
  </si>
  <si>
    <t>RFD Helper</t>
  </si>
  <si>
    <t>2 Way</t>
  </si>
  <si>
    <t>AEGIS+</t>
  </si>
  <si>
    <t>Quantity</t>
  </si>
  <si>
    <t>Quantity Done in a day</t>
  </si>
  <si>
    <t>Quantity Helper</t>
  </si>
  <si>
    <t>Day wise Quantity Helper</t>
  </si>
  <si>
    <t>Quantity Remaining</t>
  </si>
  <si>
    <t>Day Wise Quantity to be done</t>
  </si>
  <si>
    <t>BCD</t>
  </si>
  <si>
    <t>Plan for:</t>
  </si>
  <si>
    <t>Next Week</t>
  </si>
  <si>
    <t>Process Shop</t>
  </si>
  <si>
    <t>Cladding</t>
  </si>
  <si>
    <t>Welding</t>
  </si>
  <si>
    <t>Module</t>
  </si>
  <si>
    <t>Mfg. Clearance</t>
  </si>
  <si>
    <t>Others</t>
  </si>
  <si>
    <t>Shop:</t>
  </si>
  <si>
    <t>Order No.</t>
  </si>
  <si>
    <t>RFD Date</t>
  </si>
  <si>
    <t>Priority Helper</t>
  </si>
  <si>
    <t>KV RATING Helper</t>
  </si>
  <si>
    <t>Ready For Dispatch Date</t>
  </si>
  <si>
    <t>Plan</t>
  </si>
  <si>
    <t>Actual</t>
  </si>
  <si>
    <t>Shop</t>
  </si>
  <si>
    <t>Process</t>
  </si>
  <si>
    <t>Week</t>
  </si>
  <si>
    <t>No of Days Delayed</t>
  </si>
  <si>
    <t>Process Date</t>
  </si>
  <si>
    <t>Status</t>
  </si>
  <si>
    <t>Month</t>
  </si>
  <si>
    <t>Month:</t>
  </si>
  <si>
    <t>On Time Deliveries</t>
  </si>
  <si>
    <t>In Advance Deliveries</t>
  </si>
  <si>
    <t>Delayed Deliveries</t>
  </si>
  <si>
    <t>On Time</t>
  </si>
  <si>
    <t>In Advance</t>
  </si>
  <si>
    <t>Delayed</t>
  </si>
  <si>
    <t>UEOB / CF</t>
  </si>
  <si>
    <t>On Time Completion</t>
  </si>
  <si>
    <t>In Advance Completion</t>
  </si>
  <si>
    <t>Delayed Completion</t>
  </si>
  <si>
    <t>Company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</si>
</sst>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mm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B9FFDC"/>
        <bgColor indexed="64"/>
      </patternFill>
    </fill>
  </fills>
  <borders count="51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indexed="64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indexed="64"/>
      </top>
      <bottom style="thin">
        <color theme="1" tint="0.4999847407452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medium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 style="thin">
        <color theme="1" tint="0.499984740745262"/>
      </right>
      <top style="thin">
        <color theme="1" tint="0.499984740745262"/>
      </top>
      <bottom style="medium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medium">
        <color indexed="64"/>
      </bottom>
      <diagonal/>
    </border>
    <border>
      <left style="thin">
        <color theme="1" tint="0.499984740745262"/>
      </left>
      <right style="medium">
        <color indexed="64"/>
      </right>
      <top style="thin">
        <color theme="1" tint="0.499984740745262"/>
      </top>
      <bottom style="medium">
        <color indexed="64"/>
      </bottom>
      <diagonal/>
    </border>
    <border>
      <left style="medium">
        <color indexed="64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medium">
        <color indexed="64"/>
      </right>
      <top/>
      <bottom style="thin">
        <color theme="1" tint="0.499984740745262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medium">
        <color indexed="64"/>
      </top>
      <bottom style="thin">
        <color theme="1" tint="0.499984740745262"/>
      </bottom>
      <diagonal/>
    </border>
    <border>
      <left style="thin">
        <color theme="1" tint="0.499984740745262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theme="1" tint="0.499984740745262"/>
      </bottom>
      <diagonal/>
    </border>
    <border>
      <left style="thin">
        <color theme="1" tint="0.499984740745262"/>
      </left>
      <right/>
      <top style="medium">
        <color indexed="64"/>
      </top>
      <bottom style="thin">
        <color theme="1" tint="0.499984740745262"/>
      </bottom>
      <diagonal/>
    </border>
    <border>
      <left style="thin">
        <color indexed="64"/>
      </left>
      <right style="thin">
        <color theme="1" tint="0.499984740745262"/>
      </right>
      <top style="medium">
        <color indexed="64"/>
      </top>
      <bottom style="thin">
        <color theme="1" tint="0.499984740745262"/>
      </bottom>
      <diagonal/>
    </border>
    <border>
      <left style="thin">
        <color indexed="64"/>
      </left>
      <right style="thin">
        <color theme="1" tint="0.499984740745262"/>
      </right>
      <top style="thin">
        <color theme="1" tint="0.499984740745262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theme="1" tint="0.499984740745262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1" tint="0.499984740745262"/>
      </left>
      <right/>
      <top/>
      <bottom style="thin">
        <color indexed="64"/>
      </bottom>
      <diagonal/>
    </border>
    <border>
      <left style="thin">
        <color theme="1" tint="0.499984740745262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indexed="64"/>
      </right>
      <top style="thin">
        <color theme="1" tint="0.499984740745262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/>
      <top style="thin">
        <color theme="1" tint="0.499984740745262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theme="1" tint="0.499984740745262"/>
      </bottom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499984740745262"/>
      </left>
      <right style="medium">
        <color indexed="64"/>
      </right>
      <top/>
      <bottom/>
      <diagonal/>
    </border>
    <border>
      <left style="thin">
        <color indexed="64"/>
      </left>
      <right style="thin">
        <color theme="1" tint="0.499984740745262"/>
      </right>
      <top/>
      <bottom style="thin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medium">
        <color indexed="64"/>
      </bottom>
      <diagonal/>
    </border>
    <border>
      <left style="medium">
        <color indexed="64"/>
      </left>
      <right style="thin">
        <color theme="1" tint="0.499984740745262"/>
      </right>
      <top style="medium">
        <color indexed="64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indexed="64"/>
      </right>
      <top style="medium">
        <color indexed="64"/>
      </top>
      <bottom style="thin">
        <color theme="1" tint="0.499984740745262"/>
      </bottom>
      <diagonal/>
    </border>
    <border>
      <left style="thin">
        <color indexed="64"/>
      </left>
      <right style="thin">
        <color indexed="64"/>
      </right>
      <top style="thin">
        <color theme="1" tint="0.499984740745262"/>
      </top>
      <bottom style="medium">
        <color indexed="64"/>
      </bottom>
      <diagonal/>
    </border>
    <border>
      <left style="thin">
        <color indexed="64"/>
      </left>
      <right style="thin">
        <color theme="1" tint="0.499984740745262"/>
      </right>
      <top style="medium">
        <color indexed="64"/>
      </top>
      <bottom/>
      <diagonal/>
    </border>
  </borders>
  <cellStyleXfs count="3">
    <xf numFmtId="0" fontId="0" fillId="0" borderId="0"/>
    <xf numFmtId="0" fontId="4" fillId="0" borderId="0" applyNumberFormat="0" applyFill="0" applyBorder="0" applyAlignment="0" applyProtection="0"/>
    <xf numFmtId="9" fontId="6" fillId="0" borderId="0" applyFont="0" applyFill="0" applyBorder="0" applyAlignment="0" applyProtection="0"/>
  </cellStyleXfs>
  <cellXfs count="194">
    <xf numFmtId="0" fontId="0" fillId="0" borderId="0" xfId="0"/>
    <xf numFmtId="0" fontId="0" fillId="2" borderId="0" xfId="0" applyFill="1"/>
    <xf numFmtId="0" fontId="0" fillId="0" borderId="3" xfId="0" applyBorder="1"/>
    <xf numFmtId="0" fontId="0" fillId="0" borderId="0" xfId="0" applyBorder="1"/>
    <xf numFmtId="0" fontId="0" fillId="5" borderId="0" xfId="0" applyFill="1" applyBorder="1"/>
    <xf numFmtId="0" fontId="0" fillId="0" borderId="0" xfId="0" applyFill="1" applyBorder="1"/>
    <xf numFmtId="0" fontId="0" fillId="0" borderId="0" xfId="0" applyAlignment="1">
      <alignment horizontal="center"/>
    </xf>
    <xf numFmtId="0" fontId="0" fillId="5" borderId="4" xfId="0" applyFill="1" applyBorder="1" applyProtection="1">
      <protection locked="0"/>
    </xf>
    <xf numFmtId="0" fontId="0" fillId="2" borderId="0" xfId="0" applyFill="1" applyProtection="1"/>
    <xf numFmtId="0" fontId="0" fillId="6" borderId="0" xfId="0" applyFill="1" applyProtection="1"/>
    <xf numFmtId="0" fontId="0" fillId="3" borderId="2" xfId="0" applyFill="1" applyBorder="1" applyProtection="1"/>
    <xf numFmtId="0" fontId="0" fillId="0" borderId="0" xfId="0" applyProtection="1"/>
    <xf numFmtId="0" fontId="0" fillId="3" borderId="3" xfId="0" applyFill="1" applyBorder="1" applyProtection="1"/>
    <xf numFmtId="0" fontId="1" fillId="2" borderId="0" xfId="0" applyFont="1" applyFill="1" applyProtection="1"/>
    <xf numFmtId="0" fontId="1" fillId="0" borderId="3" xfId="0" applyFont="1" applyBorder="1" applyProtection="1"/>
    <xf numFmtId="0" fontId="1" fillId="2" borderId="0" xfId="0" applyFont="1" applyFill="1" applyAlignment="1" applyProtection="1">
      <alignment vertical="top"/>
    </xf>
    <xf numFmtId="0" fontId="1" fillId="7" borderId="6" xfId="0" applyFont="1" applyFill="1" applyBorder="1" applyAlignment="1" applyProtection="1">
      <alignment horizontal="center" vertical="top" wrapText="1"/>
    </xf>
    <xf numFmtId="0" fontId="0" fillId="0" borderId="3" xfId="0" applyBorder="1" applyProtection="1"/>
    <xf numFmtId="0" fontId="0" fillId="5" borderId="4" xfId="0" applyFill="1" applyBorder="1" applyProtection="1"/>
    <xf numFmtId="15" fontId="0" fillId="5" borderId="4" xfId="0" applyNumberFormat="1" applyFill="1" applyBorder="1" applyProtection="1"/>
    <xf numFmtId="0" fontId="1" fillId="2" borderId="0" xfId="0" applyFont="1" applyFill="1" applyAlignment="1" applyProtection="1">
      <alignment horizontal="center" vertical="top" wrapText="1"/>
    </xf>
    <xf numFmtId="0" fontId="0" fillId="3" borderId="7" xfId="0" applyFill="1" applyBorder="1" applyProtection="1"/>
    <xf numFmtId="0" fontId="0" fillId="3" borderId="8" xfId="0" applyFill="1" applyBorder="1" applyProtection="1"/>
    <xf numFmtId="0" fontId="0" fillId="3" borderId="10" xfId="0" applyFill="1" applyBorder="1" applyProtection="1"/>
    <xf numFmtId="0" fontId="0" fillId="3" borderId="0" xfId="0" applyFill="1" applyBorder="1" applyProtection="1"/>
    <xf numFmtId="0" fontId="0" fillId="0" borderId="4" xfId="0" applyBorder="1" applyProtection="1">
      <protection locked="0"/>
    </xf>
    <xf numFmtId="15" fontId="0" fillId="0" borderId="4" xfId="0" applyNumberFormat="1" applyBorder="1" applyProtection="1">
      <protection locked="0"/>
    </xf>
    <xf numFmtId="0" fontId="0" fillId="0" borderId="12" xfId="0" applyBorder="1" applyProtection="1">
      <protection locked="0"/>
    </xf>
    <xf numFmtId="0" fontId="0" fillId="0" borderId="14" xfId="0" applyBorder="1" applyProtection="1">
      <protection locked="0"/>
    </xf>
    <xf numFmtId="0" fontId="0" fillId="5" borderId="15" xfId="0" applyFill="1" applyBorder="1" applyProtection="1">
      <protection locked="0"/>
    </xf>
    <xf numFmtId="0" fontId="0" fillId="0" borderId="15" xfId="0" applyBorder="1" applyProtection="1">
      <protection locked="0"/>
    </xf>
    <xf numFmtId="0" fontId="0" fillId="5" borderId="15" xfId="0" applyFill="1" applyBorder="1" applyProtection="1"/>
    <xf numFmtId="15" fontId="0" fillId="5" borderId="15" xfId="0" applyNumberFormat="1" applyFill="1" applyBorder="1" applyProtection="1"/>
    <xf numFmtId="15" fontId="0" fillId="0" borderId="15" xfId="0" applyNumberFormat="1" applyBorder="1" applyProtection="1">
      <protection locked="0"/>
    </xf>
    <xf numFmtId="0" fontId="0" fillId="2" borderId="0" xfId="0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7" borderId="7" xfId="0" applyFont="1" applyFill="1" applyBorder="1" applyAlignment="1" applyProtection="1">
      <alignment horizontal="center" vertical="top" wrapText="1"/>
    </xf>
    <xf numFmtId="0" fontId="1" fillId="7" borderId="8" xfId="0" applyFont="1" applyFill="1" applyBorder="1" applyAlignment="1" applyProtection="1">
      <alignment horizontal="center" vertical="top" wrapText="1"/>
    </xf>
    <xf numFmtId="0" fontId="1" fillId="7" borderId="9" xfId="0" applyFont="1" applyFill="1" applyBorder="1" applyAlignment="1" applyProtection="1">
      <alignment horizontal="center" vertical="top" wrapText="1"/>
    </xf>
    <xf numFmtId="0" fontId="0" fillId="0" borderId="10" xfId="0" applyBorder="1" applyAlignment="1">
      <alignment horizontal="center"/>
    </xf>
    <xf numFmtId="0" fontId="0" fillId="0" borderId="11" xfId="0" applyBorder="1"/>
    <xf numFmtId="0" fontId="0" fillId="0" borderId="20" xfId="0" applyBorder="1" applyAlignment="1">
      <alignment horizontal="center"/>
    </xf>
    <xf numFmtId="0" fontId="0" fillId="0" borderId="21" xfId="0" applyBorder="1"/>
    <xf numFmtId="0" fontId="0" fillId="5" borderId="21" xfId="0" applyFill="1" applyBorder="1"/>
    <xf numFmtId="0" fontId="0" fillId="0" borderId="10" xfId="0" applyBorder="1"/>
    <xf numFmtId="0" fontId="0" fillId="0" borderId="20" xfId="0" applyBorder="1"/>
    <xf numFmtId="0" fontId="0" fillId="2" borderId="0" xfId="0" applyFill="1" applyBorder="1"/>
    <xf numFmtId="0" fontId="0" fillId="2" borderId="1" xfId="0" applyFill="1" applyBorder="1" applyProtection="1"/>
    <xf numFmtId="0" fontId="0" fillId="2" borderId="0" xfId="0" applyFill="1" applyBorder="1" applyProtection="1"/>
    <xf numFmtId="0" fontId="1" fillId="2" borderId="0" xfId="0" applyFont="1" applyFill="1" applyBorder="1" applyAlignment="1" applyProtection="1">
      <alignment vertical="top" wrapText="1"/>
    </xf>
    <xf numFmtId="0" fontId="0" fillId="3" borderId="8" xfId="0" applyFill="1" applyBorder="1"/>
    <xf numFmtId="0" fontId="0" fillId="3" borderId="0" xfId="0" applyFill="1" applyBorder="1"/>
    <xf numFmtId="0" fontId="0" fillId="3" borderId="20" xfId="0" applyFill="1" applyBorder="1" applyProtection="1"/>
    <xf numFmtId="0" fontId="0" fillId="3" borderId="21" xfId="0" applyFill="1" applyBorder="1" applyProtection="1"/>
    <xf numFmtId="0" fontId="0" fillId="3" borderId="21" xfId="0" applyFill="1" applyBorder="1"/>
    <xf numFmtId="0" fontId="1" fillId="7" borderId="4" xfId="0" applyFont="1" applyFill="1" applyBorder="1" applyAlignment="1" applyProtection="1">
      <alignment horizontal="center" vertical="top" wrapText="1"/>
    </xf>
    <xf numFmtId="0" fontId="1" fillId="7" borderId="13" xfId="0" applyFont="1" applyFill="1" applyBorder="1" applyAlignment="1" applyProtection="1">
      <alignment horizontal="center" vertical="top" wrapText="1"/>
    </xf>
    <xf numFmtId="0" fontId="0" fillId="0" borderId="0" xfId="0" applyBorder="1" applyProtection="1">
      <protection locked="0"/>
    </xf>
    <xf numFmtId="0" fontId="0" fillId="0" borderId="11" xfId="0" applyBorder="1" applyProtection="1">
      <protection locked="0"/>
    </xf>
    <xf numFmtId="0" fontId="0" fillId="0" borderId="21" xfId="0" applyBorder="1" applyProtection="1">
      <protection locked="0"/>
    </xf>
    <xf numFmtId="0" fontId="0" fillId="0" borderId="22" xfId="0" applyBorder="1" applyProtection="1">
      <protection locked="0"/>
    </xf>
    <xf numFmtId="0" fontId="5" fillId="3" borderId="0" xfId="1" applyFont="1" applyFill="1" applyBorder="1" applyAlignment="1" applyProtection="1">
      <alignment horizontal="center" vertical="center"/>
    </xf>
    <xf numFmtId="0" fontId="5" fillId="3" borderId="8" xfId="1" applyFont="1" applyFill="1" applyBorder="1" applyAlignment="1" applyProtection="1">
      <alignment horizontal="center" vertical="center"/>
    </xf>
    <xf numFmtId="0" fontId="0" fillId="0" borderId="18" xfId="0" applyBorder="1" applyProtection="1">
      <protection locked="0"/>
    </xf>
    <xf numFmtId="0" fontId="0" fillId="5" borderId="18" xfId="0" applyFill="1" applyBorder="1" applyProtection="1">
      <protection locked="0"/>
    </xf>
    <xf numFmtId="0" fontId="0" fillId="5" borderId="18" xfId="0" applyFill="1" applyBorder="1" applyProtection="1"/>
    <xf numFmtId="15" fontId="0" fillId="5" borderId="18" xfId="0" applyNumberFormat="1" applyFill="1" applyBorder="1" applyProtection="1"/>
    <xf numFmtId="15" fontId="0" fillId="0" borderId="18" xfId="0" applyNumberFormat="1" applyBorder="1" applyProtection="1">
      <protection locked="0"/>
    </xf>
    <xf numFmtId="0" fontId="1" fillId="7" borderId="24" xfId="0" applyFont="1" applyFill="1" applyBorder="1" applyAlignment="1" applyProtection="1">
      <alignment horizontal="center" vertical="top" wrapText="1"/>
    </xf>
    <xf numFmtId="0" fontId="0" fillId="0" borderId="17" xfId="0" applyBorder="1" applyProtection="1">
      <protection locked="0"/>
    </xf>
    <xf numFmtId="15" fontId="0" fillId="5" borderId="5" xfId="0" applyNumberFormat="1" applyFill="1" applyBorder="1" applyProtection="1"/>
    <xf numFmtId="15" fontId="0" fillId="5" borderId="28" xfId="0" applyNumberFormat="1" applyFill="1" applyBorder="1" applyProtection="1"/>
    <xf numFmtId="0" fontId="1" fillId="7" borderId="5" xfId="0" applyFont="1" applyFill="1" applyBorder="1" applyAlignment="1" applyProtection="1">
      <alignment horizontal="center" vertical="top" wrapText="1"/>
    </xf>
    <xf numFmtId="15" fontId="0" fillId="0" borderId="4" xfId="0" applyNumberFormat="1" applyFill="1" applyBorder="1" applyProtection="1">
      <protection locked="0"/>
    </xf>
    <xf numFmtId="15" fontId="0" fillId="0" borderId="15" xfId="0" applyNumberFormat="1" applyFill="1" applyBorder="1" applyProtection="1">
      <protection locked="0"/>
    </xf>
    <xf numFmtId="0" fontId="0" fillId="5" borderId="12" xfId="0" applyFill="1" applyBorder="1" applyProtection="1"/>
    <xf numFmtId="0" fontId="0" fillId="5" borderId="13" xfId="0" applyFill="1" applyBorder="1" applyProtection="1"/>
    <xf numFmtId="0" fontId="0" fillId="5" borderId="14" xfId="0" applyFill="1" applyBorder="1" applyProtection="1"/>
    <xf numFmtId="0" fontId="5" fillId="3" borderId="21" xfId="1" applyFont="1" applyFill="1" applyBorder="1" applyAlignment="1" applyProtection="1">
      <alignment horizontal="center" vertical="center"/>
    </xf>
    <xf numFmtId="0" fontId="0" fillId="8" borderId="13" xfId="0" applyFill="1" applyBorder="1" applyProtection="1">
      <protection locked="0"/>
    </xf>
    <xf numFmtId="0" fontId="0" fillId="8" borderId="16" xfId="0" applyFill="1" applyBorder="1" applyProtection="1">
      <protection locked="0"/>
    </xf>
    <xf numFmtId="0" fontId="0" fillId="8" borderId="4" xfId="0" applyFill="1" applyBorder="1" applyProtection="1">
      <protection locked="0"/>
    </xf>
    <xf numFmtId="0" fontId="0" fillId="8" borderId="15" xfId="0" applyFill="1" applyBorder="1" applyProtection="1">
      <protection locked="0"/>
    </xf>
    <xf numFmtId="0" fontId="0" fillId="8" borderId="18" xfId="0" applyFill="1" applyBorder="1" applyProtection="1">
      <protection locked="0"/>
    </xf>
    <xf numFmtId="0" fontId="0" fillId="8" borderId="19" xfId="0" applyFill="1" applyBorder="1" applyProtection="1">
      <protection locked="0"/>
    </xf>
    <xf numFmtId="0" fontId="1" fillId="7" borderId="30" xfId="0" applyFont="1" applyFill="1" applyBorder="1" applyAlignment="1" applyProtection="1">
      <alignment horizontal="center" vertical="top" wrapText="1"/>
    </xf>
    <xf numFmtId="0" fontId="1" fillId="7" borderId="31" xfId="0" applyFont="1" applyFill="1" applyBorder="1" applyAlignment="1" applyProtection="1">
      <alignment horizontal="center" vertical="top" wrapText="1"/>
    </xf>
    <xf numFmtId="0" fontId="1" fillId="7" borderId="32" xfId="0" applyFont="1" applyFill="1" applyBorder="1" applyAlignment="1" applyProtection="1">
      <alignment horizontal="center" vertical="top" wrapText="1"/>
    </xf>
    <xf numFmtId="0" fontId="1" fillId="7" borderId="33" xfId="0" applyFont="1" applyFill="1" applyBorder="1" applyAlignment="1" applyProtection="1">
      <alignment horizontal="center" vertical="top" wrapText="1"/>
    </xf>
    <xf numFmtId="0" fontId="1" fillId="7" borderId="35" xfId="0" applyFont="1" applyFill="1" applyBorder="1" applyAlignment="1" applyProtection="1">
      <alignment horizontal="center" vertical="top" wrapText="1"/>
    </xf>
    <xf numFmtId="15" fontId="0" fillId="0" borderId="35" xfId="0" applyNumberFormat="1" applyFill="1" applyBorder="1" applyProtection="1">
      <protection locked="0"/>
    </xf>
    <xf numFmtId="15" fontId="0" fillId="0" borderId="36" xfId="0" applyNumberFormat="1" applyFill="1" applyBorder="1" applyProtection="1">
      <protection locked="0"/>
    </xf>
    <xf numFmtId="0" fontId="1" fillId="7" borderId="0" xfId="0" applyFont="1" applyFill="1" applyBorder="1" applyAlignment="1" applyProtection="1">
      <alignment horizontal="center" vertical="top" wrapText="1"/>
    </xf>
    <xf numFmtId="0" fontId="0" fillId="7" borderId="19" xfId="0" applyFill="1" applyBorder="1" applyProtection="1"/>
    <xf numFmtId="0" fontId="0" fillId="4" borderId="19" xfId="0" applyFill="1" applyBorder="1" applyProtection="1"/>
    <xf numFmtId="0" fontId="0" fillId="4" borderId="13" xfId="0" applyFill="1" applyBorder="1" applyProtection="1"/>
    <xf numFmtId="0" fontId="0" fillId="4" borderId="16" xfId="0" applyFill="1" applyBorder="1" applyProtection="1"/>
    <xf numFmtId="15" fontId="0" fillId="5" borderId="35" xfId="0" applyNumberFormat="1" applyFill="1" applyBorder="1" applyProtection="1"/>
    <xf numFmtId="0" fontId="0" fillId="5" borderId="5" xfId="0" applyNumberFormat="1" applyFill="1" applyBorder="1" applyProtection="1"/>
    <xf numFmtId="0" fontId="0" fillId="2" borderId="31" xfId="0" applyFill="1" applyBorder="1" applyProtection="1"/>
    <xf numFmtId="15" fontId="0" fillId="5" borderId="13" xfId="0" applyNumberFormat="1" applyFill="1" applyBorder="1" applyProtection="1"/>
    <xf numFmtId="0" fontId="3" fillId="3" borderId="8" xfId="0" applyFont="1" applyFill="1" applyBorder="1" applyAlignment="1" applyProtection="1">
      <alignment wrapText="1"/>
    </xf>
    <xf numFmtId="0" fontId="3" fillId="3" borderId="0" xfId="0" applyFont="1" applyFill="1" applyBorder="1" applyAlignment="1" applyProtection="1">
      <alignment wrapText="1"/>
    </xf>
    <xf numFmtId="0" fontId="1" fillId="5" borderId="18" xfId="0" applyFont="1" applyFill="1" applyBorder="1" applyProtection="1"/>
    <xf numFmtId="0" fontId="1" fillId="4" borderId="18" xfId="0" applyFont="1" applyFill="1" applyBorder="1" applyProtection="1">
      <protection locked="0"/>
    </xf>
    <xf numFmtId="0" fontId="1" fillId="5" borderId="18" xfId="0" applyFont="1" applyFill="1" applyBorder="1" applyAlignment="1" applyProtection="1">
      <alignment horizontal="center"/>
    </xf>
    <xf numFmtId="0" fontId="1" fillId="5" borderId="17" xfId="0" applyFont="1" applyFill="1" applyBorder="1" applyProtection="1"/>
    <xf numFmtId="0" fontId="1" fillId="5" borderId="19" xfId="0" applyFont="1" applyFill="1" applyBorder="1" applyProtection="1"/>
    <xf numFmtId="0" fontId="1" fillId="7" borderId="12" xfId="0" applyFont="1" applyFill="1" applyBorder="1" applyAlignment="1" applyProtection="1">
      <alignment horizontal="center" vertical="top" wrapText="1"/>
    </xf>
    <xf numFmtId="15" fontId="0" fillId="5" borderId="16" xfId="0" applyNumberFormat="1" applyFill="1" applyBorder="1" applyProtection="1"/>
    <xf numFmtId="0" fontId="1" fillId="2" borderId="38" xfId="0" applyFont="1" applyFill="1" applyBorder="1" applyAlignment="1" applyProtection="1">
      <alignment horizontal="center" vertical="top" wrapText="1"/>
    </xf>
    <xf numFmtId="0" fontId="0" fillId="5" borderId="38" xfId="0" applyFill="1" applyBorder="1" applyProtection="1"/>
    <xf numFmtId="0" fontId="0" fillId="0" borderId="38" xfId="0" applyBorder="1" applyProtection="1"/>
    <xf numFmtId="0" fontId="0" fillId="0" borderId="39" xfId="0" applyBorder="1" applyProtection="1"/>
    <xf numFmtId="0" fontId="0" fillId="5" borderId="28" xfId="0" applyNumberFormat="1" applyFill="1" applyBorder="1" applyProtection="1"/>
    <xf numFmtId="15" fontId="0" fillId="5" borderId="36" xfId="0" applyNumberFormat="1" applyFill="1" applyBorder="1" applyProtection="1"/>
    <xf numFmtId="0" fontId="1" fillId="0" borderId="40" xfId="0" applyFont="1" applyBorder="1" applyAlignment="1" applyProtection="1">
      <alignment horizontal="center" vertical="top" wrapText="1"/>
    </xf>
    <xf numFmtId="0" fontId="1" fillId="7" borderId="10" xfId="0" applyFont="1" applyFill="1" applyBorder="1" applyAlignment="1" applyProtection="1">
      <alignment horizontal="center" vertical="top" wrapText="1"/>
    </xf>
    <xf numFmtId="0" fontId="1" fillId="7" borderId="41" xfId="0" applyFont="1" applyFill="1" applyBorder="1" applyAlignment="1" applyProtection="1">
      <alignment horizontal="center" vertical="top" wrapText="1"/>
    </xf>
    <xf numFmtId="0" fontId="1" fillId="6" borderId="0" xfId="0" applyFont="1" applyFill="1" applyBorder="1" applyAlignment="1" applyProtection="1">
      <alignment horizontal="center" vertical="top" wrapText="1"/>
    </xf>
    <xf numFmtId="0" fontId="1" fillId="7" borderId="42" xfId="0" applyFont="1" applyFill="1" applyBorder="1" applyAlignment="1" applyProtection="1">
      <alignment horizontal="center" vertical="top" wrapText="1"/>
    </xf>
    <xf numFmtId="0" fontId="1" fillId="7" borderId="45" xfId="0" applyFont="1" applyFill="1" applyBorder="1" applyAlignment="1" applyProtection="1">
      <alignment horizontal="center" vertical="top" wrapText="1"/>
    </xf>
    <xf numFmtId="0" fontId="0" fillId="2" borderId="0" xfId="0" applyNumberFormat="1" applyFill="1" applyProtection="1"/>
    <xf numFmtId="0" fontId="0" fillId="0" borderId="45" xfId="0" applyNumberFormat="1" applyFill="1" applyBorder="1" applyProtection="1"/>
    <xf numFmtId="0" fontId="1" fillId="6" borderId="44" xfId="0" applyFont="1" applyFill="1" applyBorder="1" applyAlignment="1" applyProtection="1">
      <alignment horizontal="center" vertical="top" wrapText="1"/>
    </xf>
    <xf numFmtId="0" fontId="1" fillId="2" borderId="45" xfId="0" applyFont="1" applyFill="1" applyBorder="1" applyAlignment="1" applyProtection="1">
      <alignment horizontal="center" vertical="top" wrapText="1"/>
    </xf>
    <xf numFmtId="0" fontId="0" fillId="5" borderId="45" xfId="0" applyFill="1" applyBorder="1" applyProtection="1"/>
    <xf numFmtId="0" fontId="0" fillId="5" borderId="46" xfId="0" applyFill="1" applyBorder="1" applyProtection="1"/>
    <xf numFmtId="0" fontId="0" fillId="5" borderId="12" xfId="0" applyNumberFormat="1" applyFill="1" applyBorder="1" applyProtection="1"/>
    <xf numFmtId="0" fontId="0" fillId="5" borderId="14" xfId="0" applyNumberFormat="1" applyFill="1" applyBorder="1" applyProtection="1"/>
    <xf numFmtId="0" fontId="0" fillId="0" borderId="46" xfId="0" applyNumberFormat="1" applyFill="1" applyBorder="1" applyProtection="1"/>
    <xf numFmtId="0" fontId="1" fillId="7" borderId="37" xfId="0" applyFont="1" applyFill="1" applyBorder="1" applyAlignment="1" applyProtection="1">
      <alignment vertical="top" wrapText="1"/>
    </xf>
    <xf numFmtId="15" fontId="0" fillId="5" borderId="37" xfId="0" applyNumberFormat="1" applyFill="1" applyBorder="1" applyProtection="1"/>
    <xf numFmtId="15" fontId="0" fillId="5" borderId="49" xfId="0" applyNumberFormat="1" applyFill="1" applyBorder="1" applyProtection="1"/>
    <xf numFmtId="0" fontId="0" fillId="5" borderId="5" xfId="0" applyFill="1" applyBorder="1" applyProtection="1"/>
    <xf numFmtId="0" fontId="0" fillId="5" borderId="28" xfId="0" applyFill="1" applyBorder="1" applyProtection="1"/>
    <xf numFmtId="0" fontId="3" fillId="3" borderId="21" xfId="0" applyFont="1" applyFill="1" applyBorder="1" applyAlignment="1" applyProtection="1">
      <alignment wrapText="1"/>
    </xf>
    <xf numFmtId="0" fontId="0" fillId="2" borderId="0" xfId="0" applyFill="1" applyAlignment="1" applyProtection="1"/>
    <xf numFmtId="9" fontId="0" fillId="2" borderId="0" xfId="2" applyFont="1" applyFill="1" applyProtection="1"/>
    <xf numFmtId="164" fontId="0" fillId="2" borderId="0" xfId="0" applyNumberFormat="1" applyFill="1" applyProtection="1"/>
    <xf numFmtId="0" fontId="7" fillId="2" borderId="0" xfId="0" applyFont="1" applyFill="1" applyProtection="1"/>
    <xf numFmtId="0" fontId="8" fillId="2" borderId="0" xfId="0" applyFont="1" applyFill="1" applyAlignment="1" applyProtection="1"/>
    <xf numFmtId="0" fontId="8" fillId="2" borderId="0" xfId="0" applyFont="1" applyFill="1" applyAlignment="1" applyProtection="1">
      <alignment horizontal="right"/>
    </xf>
    <xf numFmtId="0" fontId="8" fillId="2" borderId="0" xfId="0" applyFont="1" applyFill="1" applyProtection="1"/>
    <xf numFmtId="0" fontId="0" fillId="2" borderId="0" xfId="0" quotePrefix="1" applyFill="1" applyProtection="1"/>
    <xf numFmtId="0" fontId="1" fillId="7" borderId="50" xfId="0" applyFont="1" applyFill="1" applyBorder="1" applyAlignment="1" applyProtection="1">
      <alignment horizontal="center" vertical="top" wrapText="1"/>
    </xf>
    <xf numFmtId="0" fontId="0" fillId="7" borderId="43" xfId="0" applyFill="1" applyBorder="1" applyProtection="1"/>
    <xf numFmtId="0" fontId="8" fillId="2" borderId="0" xfId="0" applyFont="1" applyFill="1" applyAlignment="1" applyProtection="1">
      <alignment horizontal="left"/>
    </xf>
    <xf numFmtId="0" fontId="9" fillId="4" borderId="0" xfId="0" applyFont="1" applyFill="1" applyBorder="1" applyAlignment="1" applyProtection="1">
      <alignment horizontal="center"/>
      <protection locked="0"/>
    </xf>
    <xf numFmtId="164" fontId="9" fillId="4" borderId="0" xfId="0" applyNumberFormat="1" applyFont="1" applyFill="1" applyBorder="1" applyAlignment="1" applyProtection="1">
      <alignment horizontal="center"/>
      <protection locked="0"/>
    </xf>
    <xf numFmtId="0" fontId="10" fillId="2" borderId="0" xfId="0" applyFont="1" applyFill="1" applyAlignment="1" applyProtection="1">
      <alignment horizontal="left"/>
    </xf>
    <xf numFmtId="0" fontId="5" fillId="3" borderId="8" xfId="1" applyFont="1" applyFill="1" applyBorder="1" applyAlignment="1" applyProtection="1">
      <alignment horizontal="center" vertical="center" wrapText="1"/>
    </xf>
    <xf numFmtId="0" fontId="3" fillId="3" borderId="8" xfId="0" applyFont="1" applyFill="1" applyBorder="1" applyAlignment="1" applyProtection="1">
      <alignment horizontal="center" vertical="center" wrapText="1"/>
    </xf>
    <xf numFmtId="0" fontId="3" fillId="3" borderId="0" xfId="0" applyFont="1" applyFill="1" applyBorder="1" applyAlignment="1" applyProtection="1">
      <alignment horizontal="center" vertical="center" wrapText="1"/>
    </xf>
    <xf numFmtId="0" fontId="3" fillId="3" borderId="21" xfId="0" applyFont="1" applyFill="1" applyBorder="1" applyAlignment="1" applyProtection="1">
      <alignment horizontal="center" vertical="center" wrapText="1"/>
    </xf>
    <xf numFmtId="0" fontId="3" fillId="3" borderId="8" xfId="0" applyFont="1" applyFill="1" applyBorder="1" applyAlignment="1" applyProtection="1">
      <alignment horizontal="right" wrapText="1"/>
    </xf>
    <xf numFmtId="0" fontId="3" fillId="3" borderId="9" xfId="0" applyFont="1" applyFill="1" applyBorder="1" applyAlignment="1" applyProtection="1">
      <alignment horizontal="right" wrapText="1"/>
    </xf>
    <xf numFmtId="0" fontId="3" fillId="3" borderId="0" xfId="0" applyFont="1" applyFill="1" applyBorder="1" applyAlignment="1" applyProtection="1">
      <alignment horizontal="right" wrapText="1"/>
    </xf>
    <xf numFmtId="0" fontId="3" fillId="3" borderId="11" xfId="0" applyFont="1" applyFill="1" applyBorder="1" applyAlignment="1" applyProtection="1">
      <alignment horizontal="right" wrapText="1"/>
    </xf>
    <xf numFmtId="0" fontId="3" fillId="3" borderId="21" xfId="0" applyFont="1" applyFill="1" applyBorder="1" applyAlignment="1" applyProtection="1">
      <alignment horizontal="right" wrapText="1"/>
    </xf>
    <xf numFmtId="0" fontId="3" fillId="3" borderId="22" xfId="0" applyFont="1" applyFill="1" applyBorder="1" applyAlignment="1" applyProtection="1">
      <alignment horizontal="right" wrapText="1"/>
    </xf>
    <xf numFmtId="0" fontId="1" fillId="7" borderId="29" xfId="0" applyFont="1" applyFill="1" applyBorder="1" applyAlignment="1" applyProtection="1">
      <alignment horizontal="center" vertical="top" wrapText="1"/>
    </xf>
    <xf numFmtId="0" fontId="1" fillId="7" borderId="34" xfId="0" applyFont="1" applyFill="1" applyBorder="1" applyAlignment="1" applyProtection="1">
      <alignment horizontal="center" vertical="top" wrapText="1"/>
    </xf>
    <xf numFmtId="0" fontId="1" fillId="7" borderId="25" xfId="0" applyFont="1" applyFill="1" applyBorder="1" applyAlignment="1" applyProtection="1">
      <alignment horizontal="center" vertical="top" wrapText="1"/>
    </xf>
    <xf numFmtId="0" fontId="0" fillId="3" borderId="8" xfId="0" applyFill="1" applyBorder="1" applyAlignment="1" applyProtection="1">
      <alignment horizontal="center"/>
    </xf>
    <xf numFmtId="0" fontId="0" fillId="3" borderId="0" xfId="0" applyFill="1" applyBorder="1" applyAlignment="1" applyProtection="1">
      <alignment horizontal="center"/>
    </xf>
    <xf numFmtId="0" fontId="0" fillId="3" borderId="21" xfId="0" applyFill="1" applyBorder="1" applyAlignment="1" applyProtection="1">
      <alignment horizontal="center"/>
    </xf>
    <xf numFmtId="0" fontId="3" fillId="3" borderId="8" xfId="0" applyFont="1" applyFill="1" applyBorder="1" applyAlignment="1" applyProtection="1">
      <alignment horizontal="right" vertical="center" wrapText="1"/>
    </xf>
    <xf numFmtId="0" fontId="3" fillId="3" borderId="9" xfId="0" applyFont="1" applyFill="1" applyBorder="1" applyAlignment="1" applyProtection="1">
      <alignment horizontal="right" vertical="center" wrapText="1"/>
    </xf>
    <xf numFmtId="0" fontId="3" fillId="3" borderId="0" xfId="0" applyFont="1" applyFill="1" applyBorder="1" applyAlignment="1" applyProtection="1">
      <alignment horizontal="right" vertical="center" wrapText="1"/>
    </xf>
    <xf numFmtId="0" fontId="3" fillId="3" borderId="11" xfId="0" applyFont="1" applyFill="1" applyBorder="1" applyAlignment="1" applyProtection="1">
      <alignment horizontal="right" vertical="center" wrapText="1"/>
    </xf>
    <xf numFmtId="0" fontId="3" fillId="3" borderId="21" xfId="0" applyFont="1" applyFill="1" applyBorder="1" applyAlignment="1" applyProtection="1">
      <alignment horizontal="right" vertical="center" wrapText="1"/>
    </xf>
    <xf numFmtId="0" fontId="3" fillId="3" borderId="22" xfId="0" applyFont="1" applyFill="1" applyBorder="1" applyAlignment="1" applyProtection="1">
      <alignment horizontal="right" vertical="center" wrapText="1"/>
    </xf>
    <xf numFmtId="0" fontId="5" fillId="3" borderId="8" xfId="1" applyFont="1" applyFill="1" applyBorder="1" applyAlignment="1" applyProtection="1">
      <alignment horizontal="center" vertical="center"/>
    </xf>
    <xf numFmtId="0" fontId="5" fillId="3" borderId="0" xfId="1" applyFont="1" applyFill="1" applyBorder="1" applyAlignment="1" applyProtection="1">
      <alignment horizontal="center" vertical="center"/>
    </xf>
    <xf numFmtId="0" fontId="5" fillId="3" borderId="21" xfId="1" applyFont="1" applyFill="1" applyBorder="1" applyAlignment="1" applyProtection="1">
      <alignment horizontal="center" vertical="center"/>
    </xf>
    <xf numFmtId="0" fontId="1" fillId="7" borderId="27" xfId="0" applyFont="1" applyFill="1" applyBorder="1" applyAlignment="1" applyProtection="1">
      <alignment horizontal="center" vertical="top" wrapText="1"/>
    </xf>
    <xf numFmtId="0" fontId="1" fillId="7" borderId="23" xfId="0" applyFont="1" applyFill="1" applyBorder="1" applyAlignment="1" applyProtection="1">
      <alignment horizontal="center" vertical="top" wrapText="1"/>
    </xf>
    <xf numFmtId="0" fontId="1" fillId="7" borderId="26" xfId="0" applyFont="1" applyFill="1" applyBorder="1" applyAlignment="1" applyProtection="1">
      <alignment horizontal="center" vertical="top" wrapText="1"/>
    </xf>
    <xf numFmtId="0" fontId="1" fillId="7" borderId="48" xfId="0" applyFont="1" applyFill="1" applyBorder="1" applyAlignment="1" applyProtection="1">
      <alignment horizontal="center" vertical="top" wrapText="1"/>
    </xf>
    <xf numFmtId="0" fontId="1" fillId="7" borderId="47" xfId="0" applyFont="1" applyFill="1" applyBorder="1" applyAlignment="1" applyProtection="1">
      <alignment horizontal="center" vertical="top" wrapText="1"/>
    </xf>
    <xf numFmtId="0" fontId="3" fillId="3" borderId="8" xfId="0" applyFont="1" applyFill="1" applyBorder="1" applyAlignment="1">
      <alignment horizontal="right" wrapText="1"/>
    </xf>
    <xf numFmtId="0" fontId="3" fillId="3" borderId="8" xfId="0" applyFont="1" applyFill="1" applyBorder="1" applyAlignment="1">
      <alignment horizontal="right"/>
    </xf>
    <xf numFmtId="0" fontId="3" fillId="3" borderId="9" xfId="0" applyFont="1" applyFill="1" applyBorder="1" applyAlignment="1">
      <alignment horizontal="right"/>
    </xf>
    <xf numFmtId="0" fontId="3" fillId="3" borderId="0" xfId="0" applyFont="1" applyFill="1" applyBorder="1" applyAlignment="1">
      <alignment horizontal="right"/>
    </xf>
    <xf numFmtId="0" fontId="3" fillId="3" borderId="11" xfId="0" applyFont="1" applyFill="1" applyBorder="1" applyAlignment="1">
      <alignment horizontal="right"/>
    </xf>
    <xf numFmtId="0" fontId="3" fillId="3" borderId="21" xfId="0" applyFont="1" applyFill="1" applyBorder="1" applyAlignment="1">
      <alignment horizontal="right"/>
    </xf>
    <xf numFmtId="0" fontId="3" fillId="3" borderId="22" xfId="0" applyFont="1" applyFill="1" applyBorder="1" applyAlignment="1">
      <alignment horizontal="right"/>
    </xf>
    <xf numFmtId="0" fontId="3" fillId="3" borderId="8" xfId="0" applyFont="1" applyFill="1" applyBorder="1" applyAlignment="1" applyProtection="1">
      <alignment horizontal="left" vertical="center" wrapText="1"/>
    </xf>
    <xf numFmtId="0" fontId="3" fillId="3" borderId="8" xfId="0" applyFont="1" applyFill="1" applyBorder="1" applyAlignment="1" applyProtection="1">
      <alignment horizontal="left" vertical="center"/>
    </xf>
    <xf numFmtId="0" fontId="3" fillId="3" borderId="0" xfId="0" applyFont="1" applyFill="1" applyBorder="1" applyAlignment="1" applyProtection="1">
      <alignment horizontal="left" vertical="center"/>
    </xf>
    <xf numFmtId="0" fontId="3" fillId="3" borderId="21" xfId="0" applyFont="1" applyFill="1" applyBorder="1" applyAlignment="1" applyProtection="1">
      <alignment horizontal="left" vertical="center"/>
    </xf>
    <xf numFmtId="0" fontId="3" fillId="3" borderId="0" xfId="0" applyFont="1" applyFill="1" applyBorder="1" applyAlignment="1" applyProtection="1">
      <alignment horizontal="left" vertical="center" wrapText="1"/>
    </xf>
    <xf numFmtId="0" fontId="3" fillId="3" borderId="21" xfId="0" applyFont="1" applyFill="1" applyBorder="1" applyAlignment="1" applyProtection="1">
      <alignment horizontal="left" vertical="center" wrapText="1"/>
    </xf>
  </cellXfs>
  <cellStyles count="3">
    <cellStyle name="Hyperlink" xfId="1" builtinId="8"/>
    <cellStyle name="Normal" xfId="0" builtinId="0"/>
    <cellStyle name="Percent" xfId="2" builtinId="5"/>
  </cellStyles>
  <dxfs count="4">
    <dxf>
      <fill>
        <patternFill patternType="none">
          <bgColor auto="1"/>
        </patternFill>
      </fill>
    </dxf>
    <dxf>
      <fill>
        <patternFill>
          <bgColor rgb="FF99FFCC"/>
        </patternFill>
      </fill>
    </dxf>
    <dxf>
      <fill>
        <patternFill>
          <bgColor rgb="FFFF6464"/>
        </patternFill>
      </fill>
    </dxf>
    <dxf>
      <fill>
        <patternFill>
          <bgColor theme="2"/>
        </patternFill>
      </fill>
    </dxf>
  </dxfs>
  <tableStyles count="0" defaultTableStyle="TableStyleMedium2" defaultPivotStyle="PivotStyleLight16"/>
  <colors>
    <mruColors>
      <color rgb="FF99FFCC"/>
      <color rgb="FFFF6464"/>
      <color rgb="FFB9FFDC"/>
      <color rgb="FF81DFAC"/>
      <color rgb="FF96EAAA"/>
      <color rgb="FFA9EDBC"/>
      <color rgb="FFC1FFDD"/>
      <color rgb="FFBDFFD1"/>
      <color rgb="FFFFAFAF"/>
      <color rgb="FFFFC8C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Dashboard!$AE$13</c:f>
          <c:strCache>
            <c:ptCount val="1"/>
            <c:pt idx="0">
              <c:v>Task Completion for Others Shop in January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1A09-4216-AD51-9A780BB2B97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1A09-4216-AD51-9A780BB2B97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1A09-4216-AD51-9A780BB2B97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1A09-4216-AD51-9A780BB2B97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Dashboard!$AE$5:$AE$8</c:f>
              <c:strCache>
                <c:ptCount val="4"/>
                <c:pt idx="0">
                  <c:v>On Time Deliveries</c:v>
                </c:pt>
                <c:pt idx="1">
                  <c:v>In Advance Deliveries</c:v>
                </c:pt>
                <c:pt idx="2">
                  <c:v>Delayed Deliveries</c:v>
                </c:pt>
                <c:pt idx="3">
                  <c:v>UEOB / CF</c:v>
                </c:pt>
              </c:strCache>
            </c:strRef>
          </c:cat>
          <c:val>
            <c:numRef>
              <c:f>Dashboard!$AI$5:$AI$8</c:f>
              <c:numCache>
                <c:formatCode>0%</c:formatCode>
                <c:ptCount val="4"/>
                <c:pt idx="0">
                  <c:v>0</c:v>
                </c:pt>
                <c:pt idx="1">
                  <c:v>0.16666666666666666</c:v>
                </c:pt>
                <c:pt idx="2">
                  <c:v>0.16666666666666666</c:v>
                </c:pt>
                <c:pt idx="3">
                  <c:v>0.66666666666666663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91-4153-8F76-1DA9EE3AFCF3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Job Master'!A1"/><Relationship Id="rId3" Type="http://schemas.openxmlformats.org/officeDocument/2006/relationships/image" Target="../media/image1.png"/><Relationship Id="rId7" Type="http://schemas.openxmlformats.org/officeDocument/2006/relationships/image" Target="../media/image4.svg"/><Relationship Id="rId2" Type="http://schemas.openxmlformats.org/officeDocument/2006/relationships/hyperlink" Target="#'Planning Sheet'!A1"/><Relationship Id="rId1" Type="http://schemas.openxmlformats.org/officeDocument/2006/relationships/chart" Target="../charts/chart1.xml"/><Relationship Id="rId6" Type="http://schemas.openxmlformats.org/officeDocument/2006/relationships/image" Target="../media/image3.png"/><Relationship Id="rId5" Type="http://schemas.openxmlformats.org/officeDocument/2006/relationships/hyperlink" Target="#'Weeks Plan'!A1"/><Relationship Id="rId10" Type="http://schemas.openxmlformats.org/officeDocument/2006/relationships/image" Target="../media/image6.svg"/><Relationship Id="rId4" Type="http://schemas.openxmlformats.org/officeDocument/2006/relationships/image" Target="../media/image2.svg"/><Relationship Id="rId9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3" Type="http://schemas.openxmlformats.org/officeDocument/2006/relationships/image" Target="../media/image8.svg"/><Relationship Id="rId7" Type="http://schemas.openxmlformats.org/officeDocument/2006/relationships/hyperlink" Target="#Dashboard!A1"/><Relationship Id="rId2" Type="http://schemas.openxmlformats.org/officeDocument/2006/relationships/image" Target="../media/image7.png"/><Relationship Id="rId1" Type="http://schemas.openxmlformats.org/officeDocument/2006/relationships/hyperlink" Target="#'Job Master'!A1"/><Relationship Id="rId6" Type="http://schemas.openxmlformats.org/officeDocument/2006/relationships/image" Target="../media/image10.svg"/><Relationship Id="rId5" Type="http://schemas.openxmlformats.org/officeDocument/2006/relationships/image" Target="../media/image9.png"/><Relationship Id="rId4" Type="http://schemas.openxmlformats.org/officeDocument/2006/relationships/hyperlink" Target="#'Weeks Plan'!A1"/><Relationship Id="rId9" Type="http://schemas.openxmlformats.org/officeDocument/2006/relationships/image" Target="../media/image12.sv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3" Type="http://schemas.openxmlformats.org/officeDocument/2006/relationships/image" Target="../media/image14.svg"/><Relationship Id="rId7" Type="http://schemas.openxmlformats.org/officeDocument/2006/relationships/hyperlink" Target="#Dashboard!A1"/><Relationship Id="rId2" Type="http://schemas.openxmlformats.org/officeDocument/2006/relationships/image" Target="../media/image13.png"/><Relationship Id="rId1" Type="http://schemas.openxmlformats.org/officeDocument/2006/relationships/hyperlink" Target="#'Planning Sheet'!A1"/><Relationship Id="rId6" Type="http://schemas.openxmlformats.org/officeDocument/2006/relationships/image" Target="../media/image8.svg"/><Relationship Id="rId5" Type="http://schemas.openxmlformats.org/officeDocument/2006/relationships/image" Target="../media/image7.png"/><Relationship Id="rId4" Type="http://schemas.openxmlformats.org/officeDocument/2006/relationships/hyperlink" Target="#'Job Master'!A1"/><Relationship Id="rId9" Type="http://schemas.openxmlformats.org/officeDocument/2006/relationships/image" Target="../media/image12.sv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3" Type="http://schemas.openxmlformats.org/officeDocument/2006/relationships/image" Target="../media/image2.svg"/><Relationship Id="rId7" Type="http://schemas.openxmlformats.org/officeDocument/2006/relationships/hyperlink" Target="#Dashboard!A1"/><Relationship Id="rId2" Type="http://schemas.openxmlformats.org/officeDocument/2006/relationships/image" Target="../media/image1.png"/><Relationship Id="rId1" Type="http://schemas.openxmlformats.org/officeDocument/2006/relationships/hyperlink" Target="#'Planning Sheet'!A1"/><Relationship Id="rId6" Type="http://schemas.openxmlformats.org/officeDocument/2006/relationships/image" Target="../media/image4.svg"/><Relationship Id="rId5" Type="http://schemas.openxmlformats.org/officeDocument/2006/relationships/image" Target="../media/image3.png"/><Relationship Id="rId4" Type="http://schemas.openxmlformats.org/officeDocument/2006/relationships/hyperlink" Target="#'Weeks Plan'!A1"/><Relationship Id="rId9" Type="http://schemas.openxmlformats.org/officeDocument/2006/relationships/image" Target="../media/image16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7620</xdr:colOff>
      <xdr:row>7</xdr:row>
      <xdr:rowOff>133350</xdr:rowOff>
    </xdr:from>
    <xdr:to>
      <xdr:col>18</xdr:col>
      <xdr:colOff>419100</xdr:colOff>
      <xdr:row>24</xdr:row>
      <xdr:rowOff>15240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9BC8F10-0B98-4ABB-80F3-B9B30BF77C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45721</xdr:colOff>
      <xdr:row>5</xdr:row>
      <xdr:rowOff>111837</xdr:rowOff>
    </xdr:from>
    <xdr:to>
      <xdr:col>1</xdr:col>
      <xdr:colOff>505385</xdr:colOff>
      <xdr:row>8</xdr:row>
      <xdr:rowOff>7621</xdr:rowOff>
    </xdr:to>
    <xdr:pic>
      <xdr:nvPicPr>
        <xdr:cNvPr id="4" name="Graphic 3" descr="Home with solid fill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9EE273C-58ED-4E36-B48E-C0290BC209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7641" y="972897"/>
          <a:ext cx="459664" cy="459664"/>
        </a:xfrm>
        <a:prstGeom prst="rect">
          <a:avLst/>
        </a:prstGeom>
      </xdr:spPr>
    </xdr:pic>
    <xdr:clientData/>
  </xdr:twoCellAnchor>
  <xdr:twoCellAnchor editAs="oneCell">
    <xdr:from>
      <xdr:col>1</xdr:col>
      <xdr:colOff>53340</xdr:colOff>
      <xdr:row>8</xdr:row>
      <xdr:rowOff>99060</xdr:rowOff>
    </xdr:from>
    <xdr:to>
      <xdr:col>1</xdr:col>
      <xdr:colOff>487680</xdr:colOff>
      <xdr:row>10</xdr:row>
      <xdr:rowOff>22860</xdr:rowOff>
    </xdr:to>
    <xdr:pic>
      <xdr:nvPicPr>
        <xdr:cNvPr id="5" name="Graphic 4" descr="Daily calendar with solid fill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F248251-AB94-4BEA-A0C9-0029CCA5E6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75260" y="1524000"/>
          <a:ext cx="434340" cy="434340"/>
        </a:xfrm>
        <a:prstGeom prst="rect">
          <a:avLst/>
        </a:prstGeom>
      </xdr:spPr>
    </xdr:pic>
    <xdr:clientData/>
  </xdr:twoCellAnchor>
  <xdr:twoCellAnchor editAs="oneCell">
    <xdr:from>
      <xdr:col>1</xdr:col>
      <xdr:colOff>53340</xdr:colOff>
      <xdr:row>10</xdr:row>
      <xdr:rowOff>160020</xdr:rowOff>
    </xdr:from>
    <xdr:to>
      <xdr:col>1</xdr:col>
      <xdr:colOff>518160</xdr:colOff>
      <xdr:row>11</xdr:row>
      <xdr:rowOff>297180</xdr:rowOff>
    </xdr:to>
    <xdr:pic>
      <xdr:nvPicPr>
        <xdr:cNvPr id="7" name="Graphic 6" descr="Graduation cap with solid fill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A212086B-8187-4DCC-B42D-3C477DACFB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5260" y="2095500"/>
          <a:ext cx="464820" cy="4648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144780</xdr:colOff>
      <xdr:row>3</xdr:row>
      <xdr:rowOff>45720</xdr:rowOff>
    </xdr:from>
    <xdr:to>
      <xdr:col>6</xdr:col>
      <xdr:colOff>510540</xdr:colOff>
      <xdr:row>5</xdr:row>
      <xdr:rowOff>38100</xdr:rowOff>
    </xdr:to>
    <xdr:pic>
      <xdr:nvPicPr>
        <xdr:cNvPr id="6" name="Graphic 5" descr="Graduation cap with solid fil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24A24F8-31ED-4AA5-A098-D09233E423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417320" y="533400"/>
          <a:ext cx="365760" cy="365760"/>
        </a:xfrm>
        <a:prstGeom prst="rect">
          <a:avLst/>
        </a:prstGeom>
      </xdr:spPr>
    </xdr:pic>
    <xdr:clientData/>
  </xdr:twoCellAnchor>
  <xdr:twoCellAnchor editAs="oneCell">
    <xdr:from>
      <xdr:col>4</xdr:col>
      <xdr:colOff>152400</xdr:colOff>
      <xdr:row>3</xdr:row>
      <xdr:rowOff>53340</xdr:rowOff>
    </xdr:from>
    <xdr:to>
      <xdr:col>4</xdr:col>
      <xdr:colOff>480060</xdr:colOff>
      <xdr:row>5</xdr:row>
      <xdr:rowOff>7620</xdr:rowOff>
    </xdr:to>
    <xdr:pic>
      <xdr:nvPicPr>
        <xdr:cNvPr id="3" name="Graphic 2" descr="Daily calendar with solid fill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1C1083A-08C8-4522-A251-F6C7146DC1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83920" y="541020"/>
          <a:ext cx="327660" cy="327660"/>
        </a:xfrm>
        <a:prstGeom prst="rect">
          <a:avLst/>
        </a:prstGeom>
      </xdr:spPr>
    </xdr:pic>
    <xdr:clientData/>
  </xdr:twoCellAnchor>
  <xdr:twoCellAnchor editAs="oneCell">
    <xdr:from>
      <xdr:col>2</xdr:col>
      <xdr:colOff>213360</xdr:colOff>
      <xdr:row>3</xdr:row>
      <xdr:rowOff>30480</xdr:rowOff>
    </xdr:from>
    <xdr:to>
      <xdr:col>2</xdr:col>
      <xdr:colOff>563880</xdr:colOff>
      <xdr:row>5</xdr:row>
      <xdr:rowOff>7620</xdr:rowOff>
    </xdr:to>
    <xdr:pic>
      <xdr:nvPicPr>
        <xdr:cNvPr id="4" name="Graphic 3" descr="Gauge with solid fill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760DEB2A-15F1-4B5B-82A7-DCCD5F7DD9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35280" y="518160"/>
          <a:ext cx="350520" cy="35052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487680</xdr:colOff>
      <xdr:row>3</xdr:row>
      <xdr:rowOff>76202</xdr:rowOff>
    </xdr:from>
    <xdr:to>
      <xdr:col>3</xdr:col>
      <xdr:colOff>784860</xdr:colOff>
      <xdr:row>5</xdr:row>
      <xdr:rowOff>2</xdr:rowOff>
    </xdr:to>
    <xdr:pic>
      <xdr:nvPicPr>
        <xdr:cNvPr id="3" name="Graphic 2" descr="Home with solid fil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BD0464C-336D-46FF-90C9-39B4423C3D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219200" y="563882"/>
          <a:ext cx="297180" cy="297180"/>
        </a:xfrm>
        <a:prstGeom prst="rect">
          <a:avLst/>
        </a:prstGeom>
      </xdr:spPr>
    </xdr:pic>
    <xdr:clientData/>
  </xdr:twoCellAnchor>
  <xdr:twoCellAnchor editAs="oneCell">
    <xdr:from>
      <xdr:col>4</xdr:col>
      <xdr:colOff>91440</xdr:colOff>
      <xdr:row>3</xdr:row>
      <xdr:rowOff>53340</xdr:rowOff>
    </xdr:from>
    <xdr:to>
      <xdr:col>4</xdr:col>
      <xdr:colOff>457200</xdr:colOff>
      <xdr:row>5</xdr:row>
      <xdr:rowOff>45720</xdr:rowOff>
    </xdr:to>
    <xdr:pic>
      <xdr:nvPicPr>
        <xdr:cNvPr id="5" name="Graphic 4" descr="Graduation cap with solid fill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7A5F7C2-B03E-4F9B-84EE-C4A58B30EE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52600" y="541020"/>
          <a:ext cx="365760" cy="365760"/>
        </a:xfrm>
        <a:prstGeom prst="rect">
          <a:avLst/>
        </a:prstGeom>
      </xdr:spPr>
    </xdr:pic>
    <xdr:clientData/>
  </xdr:twoCellAnchor>
  <xdr:twoCellAnchor editAs="oneCell">
    <xdr:from>
      <xdr:col>2</xdr:col>
      <xdr:colOff>563880</xdr:colOff>
      <xdr:row>3</xdr:row>
      <xdr:rowOff>38100</xdr:rowOff>
    </xdr:from>
    <xdr:to>
      <xdr:col>3</xdr:col>
      <xdr:colOff>304800</xdr:colOff>
      <xdr:row>5</xdr:row>
      <xdr:rowOff>15240</xdr:rowOff>
    </xdr:to>
    <xdr:pic>
      <xdr:nvPicPr>
        <xdr:cNvPr id="7" name="Graphic 6" descr="Gauge with solid fill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5EF7F50-928F-40EE-88F8-7F104E1917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685800" y="525780"/>
          <a:ext cx="350520" cy="3505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106681</xdr:colOff>
      <xdr:row>11</xdr:row>
      <xdr:rowOff>172797</xdr:rowOff>
    </xdr:from>
    <xdr:to>
      <xdr:col>1</xdr:col>
      <xdr:colOff>566345</xdr:colOff>
      <xdr:row>14</xdr:row>
      <xdr:rowOff>83821</xdr:rowOff>
    </xdr:to>
    <xdr:pic>
      <xdr:nvPicPr>
        <xdr:cNvPr id="3" name="Graphic 2" descr="Home with solid fil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87283DA-9CF2-4B64-AA47-8C28E9F9DA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228601" y="1399617"/>
          <a:ext cx="459664" cy="459664"/>
        </a:xfrm>
        <a:prstGeom prst="rect">
          <a:avLst/>
        </a:prstGeom>
      </xdr:spPr>
    </xdr:pic>
    <xdr:clientData/>
  </xdr:twoCellAnchor>
  <xdr:twoCellAnchor editAs="oneCell">
    <xdr:from>
      <xdr:col>1</xdr:col>
      <xdr:colOff>137160</xdr:colOff>
      <xdr:row>15</xdr:row>
      <xdr:rowOff>91440</xdr:rowOff>
    </xdr:from>
    <xdr:to>
      <xdr:col>1</xdr:col>
      <xdr:colOff>525780</xdr:colOff>
      <xdr:row>17</xdr:row>
      <xdr:rowOff>114300</xdr:rowOff>
    </xdr:to>
    <xdr:pic>
      <xdr:nvPicPr>
        <xdr:cNvPr id="4" name="Graphic 3" descr="Daily calendar with solid fill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9BA9893-8223-478A-A191-FC45B5674E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59080" y="2049780"/>
          <a:ext cx="388620" cy="388620"/>
        </a:xfrm>
        <a:prstGeom prst="rect">
          <a:avLst/>
        </a:prstGeom>
      </xdr:spPr>
    </xdr:pic>
    <xdr:clientData/>
  </xdr:twoCellAnchor>
  <xdr:twoCellAnchor editAs="oneCell">
    <xdr:from>
      <xdr:col>1</xdr:col>
      <xdr:colOff>144780</xdr:colOff>
      <xdr:row>9</xdr:row>
      <xdr:rowOff>15240</xdr:rowOff>
    </xdr:from>
    <xdr:to>
      <xdr:col>1</xdr:col>
      <xdr:colOff>518160</xdr:colOff>
      <xdr:row>11</xdr:row>
      <xdr:rowOff>22860</xdr:rowOff>
    </xdr:to>
    <xdr:pic>
      <xdr:nvPicPr>
        <xdr:cNvPr id="6" name="Graphic 5" descr="Gauge with solid fill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A59819F-0229-4CAD-9E9F-0903BEC945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266700" y="876300"/>
          <a:ext cx="373380" cy="37338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AA68B1-31EB-4ACD-9A85-347FDC22B747}">
  <sheetPr codeName="Sheet1"/>
  <dimension ref="A1:AI20"/>
  <sheetViews>
    <sheetView workbookViewId="0">
      <selection activeCell="E7" sqref="E7:F7"/>
    </sheetView>
  </sheetViews>
  <sheetFormatPr defaultRowHeight="14.4" x14ac:dyDescent="0.3"/>
  <cols>
    <col min="1" max="1" width="1.77734375" style="8" customWidth="1"/>
    <col min="2" max="3" width="8.88671875" style="8"/>
    <col min="4" max="4" width="9" style="8" customWidth="1"/>
    <col min="5" max="5" width="25.88671875" style="8" customWidth="1"/>
    <col min="6" max="6" width="3.77734375" style="8" customWidth="1"/>
    <col min="7" max="7" width="10.109375" style="8" customWidth="1"/>
    <col min="8" max="26" width="8.88671875" style="8"/>
    <col min="27" max="27" width="10.33203125" style="8" hidden="1" customWidth="1"/>
    <col min="28" max="35" width="8.88671875" style="8" hidden="1" customWidth="1"/>
    <col min="36" max="16384" width="8.88671875" style="8"/>
  </cols>
  <sheetData>
    <row r="1" spans="1:35" ht="10.050000000000001" customHeight="1" thickBot="1" x14ac:dyDescent="0.35"/>
    <row r="2" spans="1:35" ht="14.4" customHeight="1" x14ac:dyDescent="0.3">
      <c r="B2" s="21"/>
      <c r="C2" s="101"/>
      <c r="D2" s="101"/>
      <c r="E2" s="188" t="s">
        <v>110</v>
      </c>
      <c r="F2" s="188"/>
      <c r="G2" s="188"/>
      <c r="H2" s="188"/>
      <c r="I2" s="151"/>
      <c r="J2" s="152"/>
      <c r="K2" s="152"/>
      <c r="L2" s="152"/>
      <c r="M2" s="152"/>
      <c r="N2" s="152"/>
      <c r="O2" s="152"/>
      <c r="P2" s="152"/>
      <c r="Q2" s="152"/>
      <c r="R2" s="155"/>
      <c r="S2" s="155"/>
      <c r="T2" s="155"/>
      <c r="U2" s="155"/>
      <c r="V2" s="156"/>
    </row>
    <row r="3" spans="1:35" x14ac:dyDescent="0.3">
      <c r="B3" s="23"/>
      <c r="C3" s="102"/>
      <c r="D3" s="102"/>
      <c r="E3" s="192"/>
      <c r="F3" s="192"/>
      <c r="G3" s="192"/>
      <c r="H3" s="192"/>
      <c r="I3" s="153"/>
      <c r="J3" s="153"/>
      <c r="K3" s="153"/>
      <c r="L3" s="153"/>
      <c r="M3" s="153"/>
      <c r="N3" s="153"/>
      <c r="O3" s="153"/>
      <c r="P3" s="153"/>
      <c r="Q3" s="153"/>
      <c r="R3" s="157"/>
      <c r="S3" s="157"/>
      <c r="T3" s="157"/>
      <c r="U3" s="157"/>
      <c r="V3" s="158"/>
    </row>
    <row r="4" spans="1:35" x14ac:dyDescent="0.3">
      <c r="B4" s="23"/>
      <c r="C4" s="102"/>
      <c r="D4" s="102"/>
      <c r="E4" s="192"/>
      <c r="F4" s="192"/>
      <c r="G4" s="192"/>
      <c r="H4" s="192"/>
      <c r="I4" s="153"/>
      <c r="J4" s="153"/>
      <c r="K4" s="153"/>
      <c r="L4" s="153"/>
      <c r="M4" s="153"/>
      <c r="N4" s="153"/>
      <c r="O4" s="153"/>
      <c r="P4" s="153"/>
      <c r="Q4" s="153"/>
      <c r="R4" s="157"/>
      <c r="S4" s="157"/>
      <c r="T4" s="157"/>
      <c r="U4" s="157"/>
      <c r="V4" s="158"/>
      <c r="AG4" s="137"/>
      <c r="AH4" s="137"/>
    </row>
    <row r="5" spans="1:35" ht="15" thickBot="1" x14ac:dyDescent="0.35">
      <c r="B5" s="52"/>
      <c r="C5" s="136"/>
      <c r="D5" s="136"/>
      <c r="E5" s="193"/>
      <c r="F5" s="193"/>
      <c r="G5" s="193"/>
      <c r="H5" s="193"/>
      <c r="I5" s="154"/>
      <c r="J5" s="154"/>
      <c r="K5" s="154"/>
      <c r="L5" s="154"/>
      <c r="M5" s="154"/>
      <c r="N5" s="154"/>
      <c r="O5" s="154"/>
      <c r="P5" s="154"/>
      <c r="Q5" s="154"/>
      <c r="R5" s="159"/>
      <c r="S5" s="159"/>
      <c r="T5" s="159"/>
      <c r="U5" s="159"/>
      <c r="V5" s="160"/>
      <c r="AA5" s="8">
        <f>IF(I7&lt;&gt;"",MONTH(I7),"")</f>
        <v>1</v>
      </c>
      <c r="AC5" s="8" t="s">
        <v>103</v>
      </c>
      <c r="AE5" s="150" t="s">
        <v>100</v>
      </c>
      <c r="AF5" s="150"/>
      <c r="AG5" s="8">
        <f>COUNTIFS('Planning Sheet'!$AN$8:$AN$500,Dashboard!$E$7,'Planning Sheet'!$AR$8:$AR$500,Dashboard!$AA$5,'Planning Sheet'!$AS$8:$AS$500,Dashboard!$AC5) + COUNTIFS('Planning Sheet'!$AU$8:$AU$500,Dashboard!$E$7,'Planning Sheet'!$AY$8:$AY$500,Dashboard!$AA$5,'Planning Sheet'!$AZ$8:$AZ$500,Dashboard!$AC5) + COUNTIFS('Planning Sheet'!$BB$8:$BB$500,Dashboard!$E$7,'Planning Sheet'!$BF$8:$BF$500,Dashboard!$AA$5,'Planning Sheet'!$BG$8:$BG$500,Dashboard!$AC5) + COUNTIFS('Planning Sheet'!$BI$8:$BI$500,Dashboard!$E$7,'Planning Sheet'!$BM$8:$BM$500,Dashboard!$AA$5,'Planning Sheet'!$BN$8:$BN$500,Dashboard!$AC5) + COUNTIFS('Planning Sheet'!$BP$8:$BP$500,Dashboard!$E$7,'Planning Sheet'!$BT$8:$BT$500,Dashboard!$AA$5,'Planning Sheet'!$BU$8:$BU$500,Dashboard!$AC5) + COUNTIFS( 'Planning Sheet'!$BW$8:$BW$500, Dashboard!$E$7,  'Planning Sheet'!$CA$8:$CA$500,Dashboard!$AA$5,'Planning Sheet'!$CB$8:$CB$500,Dashboard!$AC5) + COUNTIFS('Planning Sheet'!$CD$8:$CD$500,Dashboard!$E$7,'Planning Sheet'!$CH$8:$CH$500,Dashboard!$AA$5, 'Planning Sheet'!$CI$8:$CI$500,Dashboard!$AC5) + COUNTIFS('Planning Sheet'!$CK$8:$CK$500,Dashboard!$E$7, 'Planning Sheet'!$CO$8:$CO$500,Dashboard!$AA$5,  'Planning Sheet'!$CP$8:$CP$500,Dashboard!$AC5) + COUNTIFS('Planning Sheet'!$CR$8:$CR$500,Dashboard!$E$7,'Planning Sheet'!$CV$8:$CV$500,Dashboard!$AA$5,   'Planning Sheet'!$CW$8:$CW$500,Dashboard!$AC5) + COUNTIFS(    'Planning Sheet'!$CY$8:$CY$500,Dashboard!$E$7,   'Planning Sheet'!$DC$8:$DC$500,Dashboard!$AA$5, 'Planning Sheet'!$DD$8:$DD$500,Dashboard!$AC5) + COUNTIFS('Planning Sheet'!$DM$8:$DM$500,Dashboard!$E$7,'Planning Sheet'!$DJ$8:$DJ$500,Dashboard!$AA$5,'Planning Sheet'!$DK$8:$DK$500,Dashboard!$AC5) + COUNTIFS('Planning Sheet'!$DF$8:$DF$500,Dashboard!$E$7,'Planning Sheet'!$DQ$8:$DQ$500,Dashboard!$AA$5,'Planning Sheet'!$DR$8:$DR$500,Dashboard!$AC5)</f>
        <v>0</v>
      </c>
      <c r="AH5" s="8">
        <f>COUNTIFS('Planning Sheet'!$AN$8:$AN$500,Dashboard!$E$7,'Planning Sheet'!$AR$8:$AR$500,Dashboard!$AA$5) + COUNTIFS('Planning Sheet'!$AU$8:$AU$500,Dashboard!$E$7,'Planning Sheet'!$AY$8:$AY$500,Dashboard!$AA$5) + COUNTIFS('Planning Sheet'!$BB$8:$BB$500,Dashboard!$E$7,'Planning Sheet'!$BF$8:$BF$500,Dashboard!$AA$5) + COUNTIFS('Planning Sheet'!$BI$8:$BI$500,Dashboard!$E$7,'Planning Sheet'!$BM$8:$BM$500,Dashboard!$AA$5) + COUNTIFS('Planning Sheet'!$BP$8:$BP$500,Dashboard!$E$7,'Planning Sheet'!$BT$8:$BT$500,Dashboard!$AA$5) + COUNTIFS( 'Planning Sheet'!$BW$8:$BW$500, Dashboard!$E$7,  'Planning Sheet'!$CA$8:$CA$500,Dashboard!$AA$5) + COUNTIFS('Planning Sheet'!$CD$8:$CD$500,Dashboard!$E$7,'Planning Sheet'!$CH$8:$CH$500,Dashboard!$AA$5) + COUNTIFS('Planning Sheet'!$CK$8:$CK$500,Dashboard!$E$7, 'Planning Sheet'!$CO$8:$CO$500,Dashboard!$AA$5) + COUNTIFS('Planning Sheet'!$CR$8:$CR$500,Dashboard!$E$7,'Planning Sheet'!$CV$8:$CV$500,Dashboard!$AA$5) + COUNTIFS(    'Planning Sheet'!$CY$8:$CY$500,Dashboard!$E$7,   'Planning Sheet'!$DC$8:$DC$500,Dashboard!$AA$5) + COUNTIFS('Planning Sheet'!$DM$8:$DM$500,Dashboard!$E$7,'Planning Sheet'!$DJ$8:$DJ$500,Dashboard!$AA$5) + COUNTIFS('Planning Sheet'!$DF$8:$DF$500,Dashboard!$E$7,'Planning Sheet'!$DQ$8:$DQ$500,Dashboard!$AA$5)</f>
        <v>6</v>
      </c>
      <c r="AI5" s="138">
        <f>AG5/AH5</f>
        <v>0</v>
      </c>
    </row>
    <row r="6" spans="1:35" x14ac:dyDescent="0.3">
      <c r="A6" s="48"/>
      <c r="B6" s="48"/>
      <c r="AA6" s="139">
        <v>44562</v>
      </c>
      <c r="AC6" s="8" t="s">
        <v>104</v>
      </c>
      <c r="AE6" s="150" t="s">
        <v>101</v>
      </c>
      <c r="AF6" s="150"/>
      <c r="AG6" s="8">
        <f>COUNTIFS('Planning Sheet'!$AN$8:$AN$500,Dashboard!$E$7,'Planning Sheet'!$AR$8:$AR$500,Dashboard!$AA$5,'Planning Sheet'!$AS$8:$AS$500,Dashboard!$AC6) + COUNTIFS('Planning Sheet'!$AU$8:$AU$500,Dashboard!$E$7,'Planning Sheet'!$AY$8:$AY$500,Dashboard!$AA$5,'Planning Sheet'!$AZ$8:$AZ$500,Dashboard!$AC6) + COUNTIFS('Planning Sheet'!$BB$8:$BB$500,Dashboard!$E$7,'Planning Sheet'!$BF$8:$BF$500,Dashboard!$AA$5,'Planning Sheet'!$BG$8:$BG$500,Dashboard!$AC6) + COUNTIFS('Planning Sheet'!$BI$8:$BI$500,Dashboard!$E$7,'Planning Sheet'!$BM$8:$BM$500,Dashboard!$AA$5,'Planning Sheet'!$BN$8:$BN$500,Dashboard!$AC6) + COUNTIFS('Planning Sheet'!$BP$8:$BP$500,Dashboard!$E$7,'Planning Sheet'!$BT$8:$BT$500,Dashboard!$AA$5,'Planning Sheet'!$BU$8:$BU$500,Dashboard!$AC6) + COUNTIFS( 'Planning Sheet'!$BW$8:$BW$500, Dashboard!$E$7,  'Planning Sheet'!$CA$8:$CA$500,Dashboard!$AA$5,'Planning Sheet'!$CB$8:$CB$500,Dashboard!$AC6) + COUNTIFS('Planning Sheet'!$CD$8:$CD$500,Dashboard!$E$7,'Planning Sheet'!$CH$8:$CH$500,Dashboard!$AA$5, 'Planning Sheet'!$CI$8:$CI$500,Dashboard!$AC6) + COUNTIFS('Planning Sheet'!$CK$8:$CK$500,Dashboard!$E$7, 'Planning Sheet'!$CO$8:$CO$500,Dashboard!$AA$5,  'Planning Sheet'!$CP$8:$CP$500,Dashboard!$AC6) + COUNTIFS('Planning Sheet'!$CR$8:$CR$500,Dashboard!$E$7,'Planning Sheet'!$CV$8:$CV$500,Dashboard!$AA$5,   'Planning Sheet'!$CW$8:$CW$500,Dashboard!$AC6) + COUNTIFS(    'Planning Sheet'!$CY$8:$CY$500,Dashboard!$E$7,   'Planning Sheet'!$DC$8:$DC$500,Dashboard!$AA$5, 'Planning Sheet'!$DD$8:$DD$500,Dashboard!$AC6) + COUNTIFS('Planning Sheet'!$DM$8:$DM$500,Dashboard!$E$7,'Planning Sheet'!$DJ$8:$DJ$500,Dashboard!$AA$5,'Planning Sheet'!$DK$8:$DK$500,Dashboard!$AC6) + COUNTIFS('Planning Sheet'!$DF$8:$DF$500,Dashboard!$E$7,'Planning Sheet'!$DQ$8:$DQ$500,Dashboard!$AA$5,'Planning Sheet'!$DR$8:$DR$500,Dashboard!$AC6)</f>
        <v>1</v>
      </c>
      <c r="AH6" s="8">
        <f>COUNTIFS('Planning Sheet'!$AN$8:$AN$500,Dashboard!$E$7,'Planning Sheet'!$AR$8:$AR$500,Dashboard!$AA$5) + COUNTIFS('Planning Sheet'!$AU$8:$AU$500,Dashboard!$E$7,'Planning Sheet'!$AY$8:$AY$500,Dashboard!$AA$5) + COUNTIFS('Planning Sheet'!$BB$8:$BB$500,Dashboard!$E$7,'Planning Sheet'!$BF$8:$BF$500,Dashboard!$AA$5) + COUNTIFS('Planning Sheet'!$BI$8:$BI$500,Dashboard!$E$7,'Planning Sheet'!$BM$8:$BM$500,Dashboard!$AA$5) + COUNTIFS('Planning Sheet'!$BP$8:$BP$500,Dashboard!$E$7,'Planning Sheet'!$BT$8:$BT$500,Dashboard!$AA$5) + COUNTIFS( 'Planning Sheet'!$BW$8:$BW$500, Dashboard!$E$7,  'Planning Sheet'!$CA$8:$CA$500,Dashboard!$AA$5) + COUNTIFS('Planning Sheet'!$CD$8:$CD$500,Dashboard!$E$7,'Planning Sheet'!$CH$8:$CH$500,Dashboard!$AA$5) + COUNTIFS('Planning Sheet'!$CK$8:$CK$500,Dashboard!$E$7, 'Planning Sheet'!$CO$8:$CO$500,Dashboard!$AA$5) + COUNTIFS('Planning Sheet'!$CR$8:$CR$500,Dashboard!$E$7,'Planning Sheet'!$CV$8:$CV$500,Dashboard!$AA$5) + COUNTIFS(    'Planning Sheet'!$CY$8:$CY$500,Dashboard!$E$7,   'Planning Sheet'!$DC$8:$DC$500,Dashboard!$AA$5) + COUNTIFS('Planning Sheet'!$DM$8:$DM$500,Dashboard!$E$7,'Planning Sheet'!$DJ$8:$DJ$500,Dashboard!$AA$5) + COUNTIFS('Planning Sheet'!$DF$8:$DF$500,Dashboard!$E$7,'Planning Sheet'!$DQ$8:$DQ$500,Dashboard!$AA$5)</f>
        <v>6</v>
      </c>
      <c r="AI6" s="138">
        <f t="shared" ref="AI6:AI8" si="0">AG6/AH6</f>
        <v>0.16666666666666666</v>
      </c>
    </row>
    <row r="7" spans="1:35" ht="15.6" x14ac:dyDescent="0.3">
      <c r="A7" s="48"/>
      <c r="B7" s="48"/>
      <c r="D7" s="140" t="s">
        <v>84</v>
      </c>
      <c r="E7" s="148" t="s">
        <v>83</v>
      </c>
      <c r="F7" s="148"/>
      <c r="G7" s="140"/>
      <c r="H7" s="140" t="s">
        <v>99</v>
      </c>
      <c r="I7" s="149">
        <v>44562</v>
      </c>
      <c r="J7" s="149"/>
      <c r="AA7" s="139">
        <v>44593</v>
      </c>
      <c r="AC7" s="8" t="s">
        <v>105</v>
      </c>
      <c r="AE7" s="150" t="s">
        <v>102</v>
      </c>
      <c r="AF7" s="150"/>
      <c r="AG7" s="8">
        <f>COUNTIFS('Planning Sheet'!$AN$8:$AN$500,Dashboard!$E$7,'Planning Sheet'!$AR$8:$AR$500,Dashboard!$AA$5,'Planning Sheet'!$AS$8:$AS$500,Dashboard!$AC7) + COUNTIFS('Planning Sheet'!$AU$8:$AU$500,Dashboard!$E$7,'Planning Sheet'!$AY$8:$AY$500,Dashboard!$AA$5,'Planning Sheet'!$AZ$8:$AZ$500,Dashboard!$AC7) + COUNTIFS('Planning Sheet'!$BB$8:$BB$500,Dashboard!$E$7,'Planning Sheet'!$BF$8:$BF$500,Dashboard!$AA$5,'Planning Sheet'!$BG$8:$BG$500,Dashboard!$AC7) + COUNTIFS('Planning Sheet'!$BI$8:$BI$500,Dashboard!$E$7,'Planning Sheet'!$BM$8:$BM$500,Dashboard!$AA$5,'Planning Sheet'!$BN$8:$BN$500,Dashboard!$AC7) + COUNTIFS('Planning Sheet'!$BP$8:$BP$500,Dashboard!$E$7,'Planning Sheet'!$BT$8:$BT$500,Dashboard!$AA$5,'Planning Sheet'!$BU$8:$BU$500,Dashboard!$AC7) + COUNTIFS( 'Planning Sheet'!$BW$8:$BW$500, Dashboard!$E$7,  'Planning Sheet'!$CA$8:$CA$500,Dashboard!$AA$5,'Planning Sheet'!$CB$8:$CB$500,Dashboard!$AC7) + COUNTIFS('Planning Sheet'!$CD$8:$CD$500,Dashboard!$E$7,'Planning Sheet'!$CH$8:$CH$500,Dashboard!$AA$5, 'Planning Sheet'!$CI$8:$CI$500,Dashboard!$AC7) + COUNTIFS('Planning Sheet'!$CK$8:$CK$500,Dashboard!$E$7, 'Planning Sheet'!$CO$8:$CO$500,Dashboard!$AA$5,  'Planning Sheet'!$CP$8:$CP$500,Dashboard!$AC7) + COUNTIFS('Planning Sheet'!$CR$8:$CR$500,Dashboard!$E$7,'Planning Sheet'!$CV$8:$CV$500,Dashboard!$AA$5,   'Planning Sheet'!$CW$8:$CW$500,Dashboard!$AC7) + COUNTIFS(    'Planning Sheet'!$CY$8:$CY$500,Dashboard!$E$7,   'Planning Sheet'!$DC$8:$DC$500,Dashboard!$AA$5, 'Planning Sheet'!$DD$8:$DD$500,Dashboard!$AC7) + COUNTIFS('Planning Sheet'!$DM$8:$DM$500,Dashboard!$E$7,'Planning Sheet'!$DJ$8:$DJ$500,Dashboard!$AA$5,'Planning Sheet'!$DK$8:$DK$500,Dashboard!$AC7) + COUNTIFS('Planning Sheet'!$DF$8:$DF$500,Dashboard!$E$7,'Planning Sheet'!$DQ$8:$DQ$500,Dashboard!$AA$5,'Planning Sheet'!$DR$8:$DR$500,Dashboard!$AC7)</f>
        <v>1</v>
      </c>
      <c r="AH7" s="8">
        <f>COUNTIFS('Planning Sheet'!$AN$8:$AN$500,Dashboard!$E$7,'Planning Sheet'!$AR$8:$AR$500,Dashboard!$AA$5) + COUNTIFS('Planning Sheet'!$AU$8:$AU$500,Dashboard!$E$7,'Planning Sheet'!$AY$8:$AY$500,Dashboard!$AA$5) + COUNTIFS('Planning Sheet'!$BB$8:$BB$500,Dashboard!$E$7,'Planning Sheet'!$BF$8:$BF$500,Dashboard!$AA$5) + COUNTIFS('Planning Sheet'!$BI$8:$BI$500,Dashboard!$E$7,'Planning Sheet'!$BM$8:$BM$500,Dashboard!$AA$5) + COUNTIFS('Planning Sheet'!$BP$8:$BP$500,Dashboard!$E$7,'Planning Sheet'!$BT$8:$BT$500,Dashboard!$AA$5) + COUNTIFS( 'Planning Sheet'!$BW$8:$BW$500, Dashboard!$E$7,  'Planning Sheet'!$CA$8:$CA$500,Dashboard!$AA$5) + COUNTIFS('Planning Sheet'!$CD$8:$CD$500,Dashboard!$E$7,'Planning Sheet'!$CH$8:$CH$500,Dashboard!$AA$5) + COUNTIFS('Planning Sheet'!$CK$8:$CK$500,Dashboard!$E$7, 'Planning Sheet'!$CO$8:$CO$500,Dashboard!$AA$5) + COUNTIFS('Planning Sheet'!$CR$8:$CR$500,Dashboard!$E$7,'Planning Sheet'!$CV$8:$CV$500,Dashboard!$AA$5) + COUNTIFS(    'Planning Sheet'!$CY$8:$CY$500,Dashboard!$E$7,   'Planning Sheet'!$DC$8:$DC$500,Dashboard!$AA$5) + COUNTIFS('Planning Sheet'!$DM$8:$DM$500,Dashboard!$E$7,'Planning Sheet'!$DJ$8:$DJ$500,Dashboard!$AA$5) + COUNTIFS('Planning Sheet'!$DF$8:$DF$500,Dashboard!$E$7,'Planning Sheet'!$DQ$8:$DQ$500,Dashboard!$AA$5)</f>
        <v>6</v>
      </c>
      <c r="AI7" s="138">
        <f t="shared" si="0"/>
        <v>0.16666666666666666</v>
      </c>
    </row>
    <row r="8" spans="1:35" x14ac:dyDescent="0.3">
      <c r="A8" s="48"/>
      <c r="B8" s="48"/>
      <c r="AA8" s="139">
        <v>44621</v>
      </c>
      <c r="AC8" s="8" t="str" cm="1">
        <f t="array" ref="AC8">IF(AB8&lt;&gt;"",A,"")</f>
        <v/>
      </c>
      <c r="AE8" s="150" t="s">
        <v>106</v>
      </c>
      <c r="AF8" s="150"/>
      <c r="AG8" s="8">
        <f>COUNTIFS('Planning Sheet'!$AN$8:$AN$500,Dashboard!$E$7,'Planning Sheet'!$AR$8:$AR$500,Dashboard!$AA$5,'Planning Sheet'!$AS$8:$AS$500,Dashboard!$AC8) + COUNTIFS('Planning Sheet'!$AU$8:$AU$500,Dashboard!$E$7,'Planning Sheet'!$AY$8:$AY$500,Dashboard!$AA$5,'Planning Sheet'!$AZ$8:$AZ$500,Dashboard!$AC8) + COUNTIFS('Planning Sheet'!$BB$8:$BB$500,Dashboard!$E$7,'Planning Sheet'!$BF$8:$BF$500,Dashboard!$AA$5,'Planning Sheet'!$BG$8:$BG$500,Dashboard!$AC8) + COUNTIFS('Planning Sheet'!$BI$8:$BI$500,Dashboard!$E$7,'Planning Sheet'!$BM$8:$BM$500,Dashboard!$AA$5,'Planning Sheet'!$BN$8:$BN$500,Dashboard!$AC8) + COUNTIFS('Planning Sheet'!$BP$8:$BP$500,Dashboard!$E$7,'Planning Sheet'!$BT$8:$BT$500,Dashboard!$AA$5,'Planning Sheet'!$BU$8:$BU$500,Dashboard!$AC8) + COUNTIFS( 'Planning Sheet'!$BW$8:$BW$500, Dashboard!$E$7,  'Planning Sheet'!$CA$8:$CA$500,Dashboard!$AA$5,'Planning Sheet'!$CB$8:$CB$500,Dashboard!$AC8) + COUNTIFS('Planning Sheet'!$CD$8:$CD$500,Dashboard!$E$7,'Planning Sheet'!$CH$8:$CH$500,Dashboard!$AA$5, 'Planning Sheet'!$CI$8:$CI$500,Dashboard!$AC8) + COUNTIFS('Planning Sheet'!$CK$8:$CK$500,Dashboard!$E$7, 'Planning Sheet'!$CO$8:$CO$500,Dashboard!$AA$5,  'Planning Sheet'!$CP$8:$CP$500,Dashboard!$AC8) + COUNTIFS('Planning Sheet'!$CR$8:$CR$500,Dashboard!$E$7,'Planning Sheet'!$CV$8:$CV$500,Dashboard!$AA$5,   'Planning Sheet'!$CW$8:$CW$500,Dashboard!$AC8) + COUNTIFS(    'Planning Sheet'!$CY$8:$CY$500,Dashboard!$E$7,   'Planning Sheet'!$DC$8:$DC$500,Dashboard!$AA$5, 'Planning Sheet'!$DD$8:$DD$500,Dashboard!$AC8) + COUNTIFS('Planning Sheet'!$DM$8:$DM$500,Dashboard!$E$7,'Planning Sheet'!$DJ$8:$DJ$500,Dashboard!$AA$5,'Planning Sheet'!$DK$8:$DK$500,Dashboard!$AC8) + COUNTIFS('Planning Sheet'!$DF$8:$DF$500,Dashboard!$E$7,'Planning Sheet'!$DQ$8:$DQ$500,Dashboard!$AA$5,'Planning Sheet'!$DR$8:$DR$500,Dashboard!$AC8)</f>
        <v>4</v>
      </c>
      <c r="AH8" s="8">
        <f>COUNTIFS('Planning Sheet'!$AN$8:$AN$500,Dashboard!$E$7,'Planning Sheet'!$AR$8:$AR$500,Dashboard!$AA$5) + COUNTIFS('Planning Sheet'!$AU$8:$AU$500,Dashboard!$E$7,'Planning Sheet'!$AY$8:$AY$500,Dashboard!$AA$5) + COUNTIFS('Planning Sheet'!$BB$8:$BB$500,Dashboard!$E$7,'Planning Sheet'!$BF$8:$BF$500,Dashboard!$AA$5) + COUNTIFS('Planning Sheet'!$BI$8:$BI$500,Dashboard!$E$7,'Planning Sheet'!$BM$8:$BM$500,Dashboard!$AA$5) + COUNTIFS('Planning Sheet'!$BP$8:$BP$500,Dashboard!$E$7,'Planning Sheet'!$BT$8:$BT$500,Dashboard!$AA$5) + COUNTIFS( 'Planning Sheet'!$BW$8:$BW$500, Dashboard!$E$7,  'Planning Sheet'!$CA$8:$CA$500,Dashboard!$AA$5) + COUNTIFS('Planning Sheet'!$CD$8:$CD$500,Dashboard!$E$7,'Planning Sheet'!$CH$8:$CH$500,Dashboard!$AA$5) + COUNTIFS('Planning Sheet'!$CK$8:$CK$500,Dashboard!$E$7, 'Planning Sheet'!$CO$8:$CO$500,Dashboard!$AA$5) + COUNTIFS('Planning Sheet'!$CR$8:$CR$500,Dashboard!$E$7,'Planning Sheet'!$CV$8:$CV$500,Dashboard!$AA$5) + COUNTIFS(    'Planning Sheet'!$CY$8:$CY$500,Dashboard!$E$7,   'Planning Sheet'!$DC$8:$DC$500,Dashboard!$AA$5) + COUNTIFS('Planning Sheet'!$DM$8:$DM$500,Dashboard!$E$7,'Planning Sheet'!$DJ$8:$DJ$500,Dashboard!$AA$5) + COUNTIFS('Planning Sheet'!$DF$8:$DF$500,Dashboard!$E$7,'Planning Sheet'!$DQ$8:$DQ$500,Dashboard!$AA$5)</f>
        <v>6</v>
      </c>
      <c r="AI8" s="138">
        <f t="shared" si="0"/>
        <v>0.66666666666666663</v>
      </c>
    </row>
    <row r="9" spans="1:35" x14ac:dyDescent="0.3">
      <c r="A9" s="48"/>
      <c r="B9" s="48"/>
      <c r="AA9" s="139">
        <v>44652</v>
      </c>
    </row>
    <row r="10" spans="1:35" ht="25.8" x14ac:dyDescent="0.5">
      <c r="A10" s="48"/>
      <c r="B10" s="46"/>
      <c r="D10" s="147" t="s">
        <v>107</v>
      </c>
      <c r="E10" s="147"/>
      <c r="F10" s="141"/>
      <c r="G10" s="142" t="str">
        <f>COUNTIFS('Planning Sheet'!$AN$8:$AN$500,Dashboard!$E$7,'Planning Sheet'!$AR$8:$AR$500,Dashboard!$AA$5,'Planning Sheet'!$AS$8:$AS$500,Dashboard!$AC5) + COUNTIFS('Planning Sheet'!$AU$8:$AU$500,Dashboard!$E$7,'Planning Sheet'!$AY$8:$AY$500,Dashboard!$AA$5,'Planning Sheet'!$AZ$8:$AZ$500,Dashboard!$AC5) + COUNTIFS('Planning Sheet'!$BB$8:$BB$500,Dashboard!$E$7,'Planning Sheet'!$BF$8:$BF$500,Dashboard!$AA$5,'Planning Sheet'!$BG$8:$BG$500,Dashboard!$AC5) + COUNTIFS('Planning Sheet'!$BI$8:$BI$500,Dashboard!$E$7,'Planning Sheet'!$BM$8:$BM$500,Dashboard!$AA$5,'Planning Sheet'!$BN$8:$BN$500,Dashboard!$AC5) + COUNTIFS('Planning Sheet'!$BP$8:$BP$500,Dashboard!$E$7,'Planning Sheet'!$BT$8:$BT$500,Dashboard!$AA$5,'Planning Sheet'!$BU$8:$BU$500,Dashboard!$AC5) + COUNTIFS( 'Planning Sheet'!$BW$8:$BW$500, Dashboard!$E$7,  'Planning Sheet'!$CA$8:$CA$500,Dashboard!$AA$5,'Planning Sheet'!$CB$8:$CB$500,Dashboard!$AC5) + COUNTIFS('Planning Sheet'!$CD$8:$CD$500,Dashboard!$E$7,'Planning Sheet'!$CH$8:$CH$500,Dashboard!$AA$5, 'Planning Sheet'!$CI$8:$CI$500,Dashboard!$AC5) + COUNTIFS('Planning Sheet'!$CK$8:$CK$500,Dashboard!$E$7, 'Planning Sheet'!$CO$8:$CO$500,Dashboard!$AA$5,  'Planning Sheet'!$CP$8:$CP$500,Dashboard!$AC5) + COUNTIFS('Planning Sheet'!$CR$8:$CR$500,Dashboard!$E$7,'Planning Sheet'!$CV$8:$CV$500,Dashboard!$AA$5,   'Planning Sheet'!$CW$8:$CW$500,Dashboard!$AC5) + COUNTIFS(    'Planning Sheet'!$CY$8:$CY$500,Dashboard!$E$7,   'Planning Sheet'!$DC$8:$DC$500,Dashboard!$AA$5, 'Planning Sheet'!$DD$8:$DD$500,Dashboard!$AC5) + COUNTIFS('Planning Sheet'!$DM$8:$DM$500,Dashboard!$E$7,'Planning Sheet'!$DJ$8:$DJ$500,Dashboard!$AA$5,'Planning Sheet'!$DK$8:$DK$500,Dashboard!$AC5) + COUNTIFS('Planning Sheet'!$DF$8:$DF$500,Dashboard!$E$7,'Planning Sheet'!$DQ$8:$DQ$500,Dashboard!$AA$5,'Planning Sheet'!$DR$8:$DR$500,Dashboard!$AC5)&amp;" / "&amp;COUNTIFS('Planning Sheet'!$AN$8:$AN$500,Dashboard!$E$7,'Planning Sheet'!$AR$8:$AR$500,Dashboard!$AA$5) + COUNTIFS('Planning Sheet'!$AU$8:$AU$500,Dashboard!$E$7,'Planning Sheet'!$AY$8:$AY$500,Dashboard!$AA$5) + COUNTIFS('Planning Sheet'!$BB$8:$BB$500,Dashboard!$E$7,'Planning Sheet'!$BF$8:$BF$500,Dashboard!$AA$5) + COUNTIFS('Planning Sheet'!$BI$8:$BI$500,Dashboard!$E$7,'Planning Sheet'!$BM$8:$BM$500,Dashboard!$AA$5) + COUNTIFS('Planning Sheet'!$BP$8:$BP$500,Dashboard!$E$7,'Planning Sheet'!$BT$8:$BT$500,Dashboard!$AA$5) + COUNTIFS( 'Planning Sheet'!$BW$8:$BW$500, Dashboard!$E$7,  'Planning Sheet'!$CA$8:$CA$500,Dashboard!$AA$5) + COUNTIFS('Planning Sheet'!$CD$8:$CD$500,Dashboard!$E$7,'Planning Sheet'!$CH$8:$CH$500,Dashboard!$AA$5) + COUNTIFS('Planning Sheet'!$CK$8:$CK$500,Dashboard!$E$7, 'Planning Sheet'!$CO$8:$CO$500,Dashboard!$AA$5) + COUNTIFS('Planning Sheet'!$CR$8:$CR$500,Dashboard!$E$7,'Planning Sheet'!$CV$8:$CV$500,Dashboard!$AA$5) + COUNTIFS(    'Planning Sheet'!$CY$8:$CY$500,Dashboard!$E$7,   'Planning Sheet'!$DC$8:$DC$500,Dashboard!$AA$5) + COUNTIFS('Planning Sheet'!$DM$8:$DM$500,Dashboard!$E$7,'Planning Sheet'!$DJ$8:$DJ$500,Dashboard!$AA$5) + COUNTIFS('Planning Sheet'!$DF$8:$DF$500,Dashboard!$E$7,'Planning Sheet'!$DQ$8:$DQ$500,Dashboard!$AA$5)</f>
        <v>0 / 6</v>
      </c>
      <c r="AA10" s="139">
        <v>44682</v>
      </c>
    </row>
    <row r="11" spans="1:35" ht="25.8" x14ac:dyDescent="0.5">
      <c r="A11" s="48"/>
      <c r="B11" s="46"/>
      <c r="D11" s="147" t="s">
        <v>108</v>
      </c>
      <c r="E11" s="147"/>
      <c r="F11" s="141"/>
      <c r="G11" s="142" t="str">
        <f>COUNTIFS('Planning Sheet'!$AN$8:$AN$500,Dashboard!$E$7,'Planning Sheet'!$AR$8:$AR$500,Dashboard!$AA$5,'Planning Sheet'!$AS$8:$AS$500,Dashboard!$AC6) + COUNTIFS('Planning Sheet'!$AU$8:$AU$500,Dashboard!$E$7,'Planning Sheet'!$AY$8:$AY$500,Dashboard!$AA$5,'Planning Sheet'!$AZ$8:$AZ$500,Dashboard!$AC6) + COUNTIFS('Planning Sheet'!$BB$8:$BB$500,Dashboard!$E$7,'Planning Sheet'!$BF$8:$BF$500,Dashboard!$AA$5,'Planning Sheet'!$BG$8:$BG$500,Dashboard!$AC6) + COUNTIFS('Planning Sheet'!$BI$8:$BI$500,Dashboard!$E$7,'Planning Sheet'!$BM$8:$BM$500,Dashboard!$AA$5,'Planning Sheet'!$BN$8:$BN$500,Dashboard!$AC6) + COUNTIFS('Planning Sheet'!$BP$8:$BP$500,Dashboard!$E$7,'Planning Sheet'!$BT$8:$BT$500,Dashboard!$AA$5,'Planning Sheet'!$BU$8:$BU$500,Dashboard!$AC6) + COUNTIFS( 'Planning Sheet'!$BW$8:$BW$500, Dashboard!$E$7,  'Planning Sheet'!$CA$8:$CA$500,Dashboard!$AA$5,'Planning Sheet'!$CB$8:$CB$500,Dashboard!$AC6) + COUNTIFS('Planning Sheet'!$CD$8:$CD$500,Dashboard!$E$7,'Planning Sheet'!$CH$8:$CH$500,Dashboard!$AA$5, 'Planning Sheet'!$CI$8:$CI$500,Dashboard!$AC6) + COUNTIFS('Planning Sheet'!$CK$8:$CK$500,Dashboard!$E$7, 'Planning Sheet'!$CO$8:$CO$500,Dashboard!$AA$5,  'Planning Sheet'!$CP$8:$CP$500,Dashboard!$AC6) + COUNTIFS('Planning Sheet'!$CR$8:$CR$500,Dashboard!$E$7,'Planning Sheet'!$CV$8:$CV$500,Dashboard!$AA$5,   'Planning Sheet'!$CW$8:$CW$500,Dashboard!$AC6) + COUNTIFS(    'Planning Sheet'!$CY$8:$CY$500,Dashboard!$E$7,   'Planning Sheet'!$DC$8:$DC$500,Dashboard!$AA$5, 'Planning Sheet'!$DD$8:$DD$500,Dashboard!$AC6) + COUNTIFS('Planning Sheet'!$DM$8:$DM$500,Dashboard!$E$7,'Planning Sheet'!$DJ$8:$DJ$500,Dashboard!$AA$5,'Planning Sheet'!$DK$8:$DK$500,Dashboard!$AC6) + COUNTIFS('Planning Sheet'!$DF$8:$DF$500,Dashboard!$E$7,'Planning Sheet'!$DQ$8:$DQ$500,Dashboard!$AA$5,'Planning Sheet'!$DR$8:$DR$500,Dashboard!$AC6)&amp;" / "&amp;COUNTIFS('Planning Sheet'!$AN$8:$AN$500,Dashboard!$E$7,'Planning Sheet'!$AR$8:$AR$500,Dashboard!$AA$5) + COUNTIFS('Planning Sheet'!$AU$8:$AU$500,Dashboard!$E$7,'Planning Sheet'!$AY$8:$AY$500,Dashboard!$AA$5) + COUNTIFS('Planning Sheet'!$BB$8:$BB$500,Dashboard!$E$7,'Planning Sheet'!$BF$8:$BF$500,Dashboard!$AA$5) + COUNTIFS('Planning Sheet'!$BI$8:$BI$500,Dashboard!$E$7,'Planning Sheet'!$BM$8:$BM$500,Dashboard!$AA$5) + COUNTIFS('Planning Sheet'!$BP$8:$BP$500,Dashboard!$E$7,'Planning Sheet'!$BT$8:$BT$500,Dashboard!$AA$5) + COUNTIFS( 'Planning Sheet'!$BW$8:$BW$500, Dashboard!$E$7,  'Planning Sheet'!$CA$8:$CA$500,Dashboard!$AA$5) + COUNTIFS('Planning Sheet'!$CD$8:$CD$500,Dashboard!$E$7,'Planning Sheet'!$CH$8:$CH$500,Dashboard!$AA$5) + COUNTIFS('Planning Sheet'!$CK$8:$CK$500,Dashboard!$E$7, 'Planning Sheet'!$CO$8:$CO$500,Dashboard!$AA$5) + COUNTIFS('Planning Sheet'!$CR$8:$CR$500,Dashboard!$E$7,'Planning Sheet'!$CV$8:$CV$500,Dashboard!$AA$5) + COUNTIFS(    'Planning Sheet'!$CY$8:$CY$500,Dashboard!$E$7,   'Planning Sheet'!$DC$8:$DC$500,Dashboard!$AA$5) + COUNTIFS('Planning Sheet'!$DM$8:$DM$500,Dashboard!$E$7,'Planning Sheet'!$DJ$8:$DJ$500,Dashboard!$AA$5) + COUNTIFS('Planning Sheet'!$DF$8:$DF$500,Dashboard!$E$7,'Planning Sheet'!$DQ$8:$DQ$500,Dashboard!$AA$5)</f>
        <v>1 / 6</v>
      </c>
      <c r="AA11" s="139">
        <v>44713</v>
      </c>
    </row>
    <row r="12" spans="1:35" ht="25.8" x14ac:dyDescent="0.5">
      <c r="A12" s="48"/>
      <c r="B12" s="46"/>
      <c r="D12" s="147" t="s">
        <v>109</v>
      </c>
      <c r="E12" s="147"/>
      <c r="F12" s="141"/>
      <c r="G12" s="142" t="str">
        <f>COUNTIFS('Planning Sheet'!$AN$8:$AN$500,Dashboard!$E$7,'Planning Sheet'!$AR$8:$AR$500,Dashboard!$AA$5,'Planning Sheet'!$AS$8:$AS$500,Dashboard!$AC7) + COUNTIFS('Planning Sheet'!$AU$8:$AU$500,Dashboard!$E$7,'Planning Sheet'!$AY$8:$AY$500,Dashboard!$AA$5,'Planning Sheet'!$AZ$8:$AZ$500,Dashboard!$AC7) + COUNTIFS('Planning Sheet'!$BB$8:$BB$500,Dashboard!$E$7,'Planning Sheet'!$BF$8:$BF$500,Dashboard!$AA$5,'Planning Sheet'!$BG$8:$BG$500,Dashboard!$AC7) + COUNTIFS('Planning Sheet'!$BI$8:$BI$500,Dashboard!$E$7,'Planning Sheet'!$BM$8:$BM$500,Dashboard!$AA$5,'Planning Sheet'!$BN$8:$BN$500,Dashboard!$AC7) + COUNTIFS('Planning Sheet'!$BP$8:$BP$500,Dashboard!$E$7,'Planning Sheet'!$BT$8:$BT$500,Dashboard!$AA$5,'Planning Sheet'!$BU$8:$BU$500,Dashboard!$AC7) + COUNTIFS( 'Planning Sheet'!$BW$8:$BW$500, Dashboard!$E$7,  'Planning Sheet'!$CA$8:$CA$500,Dashboard!$AA$5,'Planning Sheet'!$CB$8:$CB$500,Dashboard!$AC7) + COUNTIFS('Planning Sheet'!$CD$8:$CD$500,Dashboard!$E$7,'Planning Sheet'!$CH$8:$CH$500,Dashboard!$AA$5, 'Planning Sheet'!$CI$8:$CI$500,Dashboard!$AC7) + COUNTIFS('Planning Sheet'!$CK$8:$CK$500,Dashboard!$E$7, 'Planning Sheet'!$CO$8:$CO$500,Dashboard!$AA$5,  'Planning Sheet'!$CP$8:$CP$500,Dashboard!$AC7) + COUNTIFS('Planning Sheet'!$CR$8:$CR$500,Dashboard!$E$7,'Planning Sheet'!$CV$8:$CV$500,Dashboard!$AA$5,   'Planning Sheet'!$CW$8:$CW$500,Dashboard!$AC7) + COUNTIFS(    'Planning Sheet'!$CY$8:$CY$500,Dashboard!$E$7,   'Planning Sheet'!$DC$8:$DC$500,Dashboard!$AA$5, 'Planning Sheet'!$DD$8:$DD$500,Dashboard!$AC7) + COUNTIFS('Planning Sheet'!$DM$8:$DM$500,Dashboard!$E$7,'Planning Sheet'!$DJ$8:$DJ$500,Dashboard!$AA$5,'Planning Sheet'!$DK$8:$DK$500,Dashboard!$AC7) + COUNTIFS('Planning Sheet'!$DF$8:$DF$500,Dashboard!$E$7,'Planning Sheet'!$DQ$8:$DQ$500,Dashboard!$AA$5,'Planning Sheet'!$DR$8:$DR$500,Dashboard!$AC7)&amp;" / "&amp;COUNTIFS('Planning Sheet'!$AN$8:$AN$500,Dashboard!$E$7,'Planning Sheet'!$AR$8:$AR$500,Dashboard!$AA$5) + COUNTIFS('Planning Sheet'!$AU$8:$AU$500,Dashboard!$E$7,'Planning Sheet'!$AY$8:$AY$500,Dashboard!$AA$5) + COUNTIFS('Planning Sheet'!$BB$8:$BB$500,Dashboard!$E$7,'Planning Sheet'!$BF$8:$BF$500,Dashboard!$AA$5) + COUNTIFS('Planning Sheet'!$BI$8:$BI$500,Dashboard!$E$7,'Planning Sheet'!$BM$8:$BM$500,Dashboard!$AA$5) + COUNTIFS('Planning Sheet'!$BP$8:$BP$500,Dashboard!$E$7,'Planning Sheet'!$BT$8:$BT$500,Dashboard!$AA$5) + COUNTIFS( 'Planning Sheet'!$BW$8:$BW$500, Dashboard!$E$7,  'Planning Sheet'!$CA$8:$CA$500,Dashboard!$AA$5) + COUNTIFS('Planning Sheet'!$CD$8:$CD$500,Dashboard!$E$7,'Planning Sheet'!$CH$8:$CH$500,Dashboard!$AA$5) + COUNTIFS('Planning Sheet'!$CK$8:$CK$500,Dashboard!$E$7, 'Planning Sheet'!$CO$8:$CO$500,Dashboard!$AA$5) + COUNTIFS('Planning Sheet'!$CR$8:$CR$500,Dashboard!$E$7,'Planning Sheet'!$CV$8:$CV$500,Dashboard!$AA$5) + COUNTIFS(    'Planning Sheet'!$CY$8:$CY$500,Dashboard!$E$7,   'Planning Sheet'!$DC$8:$DC$500,Dashboard!$AA$5) + COUNTIFS('Planning Sheet'!$DM$8:$DM$500,Dashboard!$E$7,'Planning Sheet'!$DJ$8:$DJ$500,Dashboard!$AA$5) + COUNTIFS('Planning Sheet'!$DF$8:$DF$500,Dashboard!$E$7,'Planning Sheet'!$DQ$8:$DQ$500,Dashboard!$AA$5)</f>
        <v>1 / 6</v>
      </c>
      <c r="AA12" s="139">
        <v>44743</v>
      </c>
    </row>
    <row r="13" spans="1:35" ht="25.8" x14ac:dyDescent="0.5">
      <c r="A13" s="48"/>
      <c r="B13" s="46"/>
      <c r="D13" s="147" t="s">
        <v>106</v>
      </c>
      <c r="E13" s="147"/>
      <c r="F13" s="143"/>
      <c r="G13" s="142" t="str">
        <f>COUNTIFS('Planning Sheet'!$AN$8:$AN$500,Dashboard!$E$7,'Planning Sheet'!$AR$8:$AR$500,Dashboard!$AA$5,'Planning Sheet'!$AS$8:$AS$500,Dashboard!$AC8) + COUNTIFS('Planning Sheet'!$AU$8:$AU$500,Dashboard!$E$7,'Planning Sheet'!$AY$8:$AY$500,Dashboard!$AA$5,'Planning Sheet'!$AZ$8:$AZ$500,Dashboard!$AC8) + COUNTIFS('Planning Sheet'!$BB$8:$BB$500,Dashboard!$E$7,'Planning Sheet'!$BF$8:$BF$500,Dashboard!$AA$5,'Planning Sheet'!$BG$8:$BG$500,Dashboard!$AC8) + COUNTIFS('Planning Sheet'!$BI$8:$BI$500,Dashboard!$E$7,'Planning Sheet'!$BM$8:$BM$500,Dashboard!$AA$5,'Planning Sheet'!$BN$8:$BN$500,Dashboard!$AC8) + COUNTIFS('Planning Sheet'!$BP$8:$BP$500,Dashboard!$E$7,'Planning Sheet'!$BT$8:$BT$500,Dashboard!$AA$5,'Planning Sheet'!$BU$8:$BU$500,Dashboard!$AC8) + COUNTIFS( 'Planning Sheet'!$BW$8:$BW$500, Dashboard!$E$7,  'Planning Sheet'!$CA$8:$CA$500,Dashboard!$AA$5,'Planning Sheet'!$CB$8:$CB$500,Dashboard!$AC8) + COUNTIFS('Planning Sheet'!$CD$8:$CD$500,Dashboard!$E$7,'Planning Sheet'!$CH$8:$CH$500,Dashboard!$AA$5, 'Planning Sheet'!$CI$8:$CI$500,Dashboard!$AC8) + COUNTIFS('Planning Sheet'!$CK$8:$CK$500,Dashboard!$E$7, 'Planning Sheet'!$CO$8:$CO$500,Dashboard!$AA$5,  'Planning Sheet'!$CP$8:$CP$500,Dashboard!$AC8) + COUNTIFS('Planning Sheet'!$CR$8:$CR$500,Dashboard!$E$7,'Planning Sheet'!$CV$8:$CV$500,Dashboard!$AA$5,   'Planning Sheet'!$CW$8:$CW$500,Dashboard!$AC8) + COUNTIFS(    'Planning Sheet'!$CY$8:$CY$500,Dashboard!$E$7,   'Planning Sheet'!$DC$8:$DC$500,Dashboard!$AA$5, 'Planning Sheet'!$DD$8:$DD$500,Dashboard!$AC8) + COUNTIFS('Planning Sheet'!$DM$8:$DM$500,Dashboard!$E$7,'Planning Sheet'!$DJ$8:$DJ$500,Dashboard!$AA$5,'Planning Sheet'!$DK$8:$DK$500,Dashboard!$AC8) + COUNTIFS('Planning Sheet'!$DF$8:$DF$500,Dashboard!$E$7,'Planning Sheet'!$DQ$8:$DQ$500,Dashboard!$AA$5,'Planning Sheet'!$DR$8:$DR$500,Dashboard!$AC8)&amp;" / "&amp;COUNTIFS('Planning Sheet'!$AN$8:$AN$500,Dashboard!$E$7,'Planning Sheet'!$AR$8:$AR$500,Dashboard!$AA$5) + COUNTIFS('Planning Sheet'!$AU$8:$AU$500,Dashboard!$E$7,'Planning Sheet'!$AY$8:$AY$500,Dashboard!$AA$5) + COUNTIFS('Planning Sheet'!$BB$8:$BB$500,Dashboard!$E$7,'Planning Sheet'!$BF$8:$BF$500,Dashboard!$AA$5) + COUNTIFS('Planning Sheet'!$BI$8:$BI$500,Dashboard!$E$7,'Planning Sheet'!$BM$8:$BM$500,Dashboard!$AA$5) + COUNTIFS('Planning Sheet'!$BP$8:$BP$500,Dashboard!$E$7,'Planning Sheet'!$BT$8:$BT$500,Dashboard!$AA$5) + COUNTIFS( 'Planning Sheet'!$BW$8:$BW$500, Dashboard!$E$7,  'Planning Sheet'!$CA$8:$CA$500,Dashboard!$AA$5) + COUNTIFS('Planning Sheet'!$CD$8:$CD$500,Dashboard!$E$7,'Planning Sheet'!$CH$8:$CH$500,Dashboard!$AA$5) + COUNTIFS('Planning Sheet'!$CK$8:$CK$500,Dashboard!$E$7, 'Planning Sheet'!$CO$8:$CO$500,Dashboard!$AA$5) + COUNTIFS('Planning Sheet'!$CR$8:$CR$500,Dashboard!$E$7,'Planning Sheet'!$CV$8:$CV$500,Dashboard!$AA$5) + COUNTIFS(    'Planning Sheet'!$CY$8:$CY$500,Dashboard!$E$7,   'Planning Sheet'!$DC$8:$DC$500,Dashboard!$AA$5) + COUNTIFS('Planning Sheet'!$DM$8:$DM$500,Dashboard!$E$7,'Planning Sheet'!$DJ$8:$DJ$500,Dashboard!$AA$5) + COUNTIFS('Planning Sheet'!$DF$8:$DF$500,Dashboard!$E$7,'Planning Sheet'!$DQ$8:$DQ$500,Dashboard!$AA$5)</f>
        <v>4 / 6</v>
      </c>
      <c r="K13" s="144"/>
      <c r="L13" s="144"/>
      <c r="M13" s="144"/>
      <c r="N13" s="144"/>
      <c r="O13" s="144"/>
      <c r="P13" s="144"/>
      <c r="AA13" s="139">
        <v>44774</v>
      </c>
      <c r="AD13" s="139"/>
      <c r="AE13" s="8" t="str">
        <f>"Task Completion for "&amp;Dashboard!$E$7&amp;" Shop in "&amp;TEXT(I7,"mmmm")</f>
        <v>Task Completion for Others Shop in January</v>
      </c>
    </row>
    <row r="14" spans="1:35" x14ac:dyDescent="0.3">
      <c r="A14" s="48"/>
      <c r="B14" s="46"/>
      <c r="K14" s="144"/>
      <c r="L14" s="144"/>
      <c r="M14" s="144"/>
      <c r="N14" s="144"/>
      <c r="O14" s="144"/>
      <c r="P14" s="144"/>
      <c r="AA14" s="139">
        <v>44805</v>
      </c>
    </row>
    <row r="15" spans="1:35" x14ac:dyDescent="0.3">
      <c r="A15" s="48"/>
      <c r="B15" s="46"/>
      <c r="K15" s="144"/>
      <c r="L15" s="144"/>
      <c r="M15" s="144"/>
      <c r="N15" s="144"/>
      <c r="O15" s="144"/>
      <c r="P15" s="144"/>
      <c r="AA15" s="139">
        <v>44835</v>
      </c>
    </row>
    <row r="16" spans="1:35" x14ac:dyDescent="0.3">
      <c r="A16" s="48"/>
      <c r="B16" s="46"/>
      <c r="K16" s="144"/>
      <c r="L16" s="144"/>
      <c r="M16" s="144"/>
      <c r="N16" s="144"/>
      <c r="O16" s="144"/>
      <c r="P16" s="144"/>
      <c r="AA16" s="139">
        <v>44866</v>
      </c>
    </row>
    <row r="17" spans="1:27" x14ac:dyDescent="0.3">
      <c r="A17" s="48"/>
      <c r="B17" s="46"/>
      <c r="AA17" s="139">
        <v>44896</v>
      </c>
    </row>
    <row r="18" spans="1:27" x14ac:dyDescent="0.3">
      <c r="A18" s="48"/>
      <c r="B18" s="46"/>
    </row>
    <row r="19" spans="1:27" x14ac:dyDescent="0.3">
      <c r="A19" s="48"/>
      <c r="B19" s="48"/>
    </row>
    <row r="20" spans="1:27" x14ac:dyDescent="0.3">
      <c r="A20" s="48"/>
      <c r="B20" s="48"/>
    </row>
  </sheetData>
  <sheetProtection algorithmName="SHA-512" hashValue="V/dgiz8PC1vIrfSuvjTM3AvbBd/hRVo9qm3x4SwbB3uMuadSRzRG7R9R9DWUqVm4DhE/zk7nfB+Z8XNAw63c0A==" saltValue="/MnRgl0HSWijOAtrESEQAQ==" spinCount="100000" sheet="1" objects="1" scenarios="1" selectLockedCells="1"/>
  <mergeCells count="13">
    <mergeCell ref="AE5:AF5"/>
    <mergeCell ref="AE6:AF6"/>
    <mergeCell ref="AE7:AF7"/>
    <mergeCell ref="AE8:AF8"/>
    <mergeCell ref="I2:Q5"/>
    <mergeCell ref="R2:V5"/>
    <mergeCell ref="D13:E13"/>
    <mergeCell ref="E2:H5"/>
    <mergeCell ref="E7:F7"/>
    <mergeCell ref="I7:J7"/>
    <mergeCell ref="D10:E10"/>
    <mergeCell ref="D11:E11"/>
    <mergeCell ref="D12:E12"/>
  </mergeCells>
  <dataValidations count="2">
    <dataValidation type="list" allowBlank="1" showInputMessage="1" showErrorMessage="1" sqref="I7" xr:uid="{C8E754FB-BE9B-4E67-955E-8FEA0106A7D6}">
      <formula1>$AA$6:$AA$17</formula1>
    </dataValidation>
    <dataValidation type="list" allowBlank="1" showInputMessage="1" showErrorMessage="1" sqref="E7" xr:uid="{1C168DAA-E825-4747-BA30-42567E4C9CCE}">
      <formula1>"Cladding, Module, Welding, Others"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FC074-CDAC-47C9-AE02-DF9AC6D7F043}">
  <sheetPr codeName="Sheet2"/>
  <dimension ref="B1:EH500"/>
  <sheetViews>
    <sheetView zoomScaleNormal="100" workbookViewId="0">
      <selection activeCell="K15" sqref="K15"/>
    </sheetView>
  </sheetViews>
  <sheetFormatPr defaultRowHeight="14.4" x14ac:dyDescent="0.3"/>
  <cols>
    <col min="1" max="1" width="1.77734375" style="8" customWidth="1"/>
    <col min="2" max="2" width="8.88671875" style="8" hidden="1" customWidth="1"/>
    <col min="3" max="3" width="8.88671875" style="8"/>
    <col min="4" max="4" width="8.88671875" style="8" hidden="1" customWidth="1"/>
    <col min="5" max="5" width="7.88671875" style="8" bestFit="1" customWidth="1"/>
    <col min="6" max="6" width="13.21875" style="8" hidden="1" customWidth="1"/>
    <col min="7" max="7" width="10.109375" style="8" customWidth="1"/>
    <col min="8" max="8" width="19.21875" style="8" hidden="1" customWidth="1"/>
    <col min="9" max="9" width="7.109375" style="8" bestFit="1" customWidth="1"/>
    <col min="10" max="10" width="7.109375" style="8" hidden="1" customWidth="1"/>
    <col min="11" max="11" width="31.44140625" style="8" customWidth="1"/>
    <col min="12" max="12" width="14.5546875" style="8" hidden="1" customWidth="1"/>
    <col min="13" max="13" width="10.21875" style="8" bestFit="1" customWidth="1"/>
    <col min="14" max="14" width="10.21875" style="8" hidden="1" customWidth="1"/>
    <col min="15" max="15" width="18.77734375" style="8" customWidth="1"/>
    <col min="16" max="16" width="9.21875" style="8" hidden="1" customWidth="1"/>
    <col min="17" max="17" width="12.5546875" style="8" customWidth="1"/>
    <col min="18" max="18" width="12.5546875" style="8" hidden="1" customWidth="1"/>
    <col min="19" max="19" width="15.5546875" style="8" customWidth="1"/>
    <col min="20" max="20" width="15.5546875" style="8" hidden="1" customWidth="1"/>
    <col min="21" max="21" width="8.33203125" style="8" customWidth="1"/>
    <col min="22" max="22" width="8.33203125" style="8" hidden="1" customWidth="1"/>
    <col min="23" max="23" width="5.88671875" style="8" customWidth="1"/>
    <col min="24" max="24" width="5.88671875" style="8" hidden="1" customWidth="1"/>
    <col min="25" max="25" width="7.5546875" style="8" customWidth="1"/>
    <col min="26" max="26" width="7.5546875" style="8" hidden="1" customWidth="1"/>
    <col min="27" max="27" width="8.33203125" style="8" customWidth="1"/>
    <col min="28" max="28" width="12.77734375" style="8" hidden="1" customWidth="1"/>
    <col min="29" max="29" width="12.77734375" style="8" customWidth="1"/>
    <col min="30" max="30" width="14.109375" style="8" customWidth="1"/>
    <col min="31" max="31" width="12.77734375" style="8" customWidth="1"/>
    <col min="32" max="32" width="14.109375" style="8" customWidth="1"/>
    <col min="33" max="33" width="12.77734375" style="8" customWidth="1"/>
    <col min="34" max="34" width="17.21875" style="8" customWidth="1"/>
    <col min="35" max="35" width="17.21875" style="8" hidden="1" customWidth="1"/>
    <col min="36" max="36" width="22.77734375" style="8" customWidth="1"/>
    <col min="37" max="37" width="22.77734375" style="8" hidden="1" customWidth="1"/>
    <col min="38" max="38" width="11.33203125" style="8" customWidth="1"/>
    <col min="39" max="39" width="11.33203125" style="8" hidden="1" customWidth="1"/>
    <col min="40" max="40" width="11.77734375" style="8" customWidth="1"/>
    <col min="41" max="41" width="13.77734375" style="8" customWidth="1"/>
    <col min="42" max="42" width="10.77734375" style="8" customWidth="1"/>
    <col min="43" max="43" width="13.77734375" style="8" customWidth="1"/>
    <col min="44" max="45" width="13.77734375" style="8" hidden="1" customWidth="1"/>
    <col min="46" max="46" width="10.77734375" style="8" hidden="1" customWidth="1"/>
    <col min="47" max="47" width="11.77734375" style="8" customWidth="1"/>
    <col min="48" max="48" width="13.77734375" style="8" customWidth="1"/>
    <col min="49" max="49" width="10.77734375" style="8" customWidth="1"/>
    <col min="50" max="50" width="13.77734375" style="8" customWidth="1"/>
    <col min="51" max="52" width="13.77734375" style="8" hidden="1" customWidth="1"/>
    <col min="53" max="53" width="10.77734375" style="8" hidden="1" customWidth="1"/>
    <col min="54" max="54" width="11.77734375" style="8" customWidth="1"/>
    <col min="55" max="55" width="13.77734375" style="8" customWidth="1"/>
    <col min="56" max="56" width="10.77734375" style="8" customWidth="1"/>
    <col min="57" max="57" width="13.77734375" style="8" customWidth="1"/>
    <col min="58" max="59" width="13.77734375" style="8" hidden="1" customWidth="1"/>
    <col min="60" max="60" width="10.77734375" style="8" hidden="1" customWidth="1"/>
    <col min="61" max="61" width="11.77734375" style="8" customWidth="1"/>
    <col min="62" max="62" width="13.77734375" style="8" customWidth="1"/>
    <col min="63" max="63" width="10.77734375" style="8" customWidth="1"/>
    <col min="64" max="64" width="13.77734375" style="8" customWidth="1"/>
    <col min="65" max="66" width="13.77734375" style="8" hidden="1" customWidth="1"/>
    <col min="67" max="67" width="10.77734375" style="8" hidden="1" customWidth="1"/>
    <col min="68" max="68" width="11.77734375" style="8" customWidth="1"/>
    <col min="69" max="69" width="13.77734375" style="8" customWidth="1"/>
    <col min="70" max="70" width="10.77734375" style="8" customWidth="1"/>
    <col min="71" max="71" width="13.77734375" style="8" customWidth="1"/>
    <col min="72" max="73" width="13.77734375" style="8" hidden="1" customWidth="1"/>
    <col min="74" max="74" width="10.77734375" style="8" hidden="1" customWidth="1"/>
    <col min="75" max="75" width="11.77734375" style="8" customWidth="1"/>
    <col min="76" max="76" width="13.77734375" style="8" customWidth="1"/>
    <col min="77" max="77" width="10.77734375" style="8" customWidth="1"/>
    <col min="78" max="78" width="13.77734375" style="8" customWidth="1"/>
    <col min="79" max="80" width="13.77734375" style="8" hidden="1" customWidth="1"/>
    <col min="81" max="81" width="10.77734375" style="8" hidden="1" customWidth="1"/>
    <col min="82" max="82" width="11.77734375" style="8" customWidth="1"/>
    <col min="83" max="83" width="13.77734375" style="8" customWidth="1"/>
    <col min="84" max="84" width="10.77734375" style="8" customWidth="1"/>
    <col min="85" max="85" width="13.77734375" style="8" customWidth="1"/>
    <col min="86" max="87" width="13.77734375" style="8" hidden="1" customWidth="1"/>
    <col min="88" max="88" width="10.77734375" style="8" hidden="1" customWidth="1"/>
    <col min="89" max="89" width="11.77734375" style="8" customWidth="1"/>
    <col min="90" max="90" width="13.77734375" style="8" customWidth="1"/>
    <col min="91" max="91" width="10.77734375" style="8" customWidth="1"/>
    <col min="92" max="92" width="13.77734375" style="8" customWidth="1"/>
    <col min="93" max="94" width="13.77734375" style="8" hidden="1" customWidth="1"/>
    <col min="95" max="95" width="10.77734375" style="8" hidden="1" customWidth="1"/>
    <col min="96" max="96" width="11.77734375" style="8" customWidth="1"/>
    <col min="97" max="97" width="13.77734375" style="8" customWidth="1"/>
    <col min="98" max="98" width="10.77734375" style="8" customWidth="1"/>
    <col min="99" max="99" width="13.77734375" style="8" customWidth="1"/>
    <col min="100" max="101" width="13.77734375" style="8" hidden="1" customWidth="1"/>
    <col min="102" max="102" width="10.77734375" style="8" hidden="1" customWidth="1"/>
    <col min="103" max="103" width="11.77734375" style="8" customWidth="1"/>
    <col min="104" max="104" width="13.77734375" style="8" customWidth="1"/>
    <col min="105" max="105" width="10.77734375" style="8" customWidth="1"/>
    <col min="106" max="106" width="13.77734375" style="8" customWidth="1"/>
    <col min="107" max="108" width="13.77734375" style="8" hidden="1" customWidth="1"/>
    <col min="109" max="109" width="10.77734375" style="8" hidden="1" customWidth="1"/>
    <col min="110" max="110" width="11.77734375" style="8" customWidth="1"/>
    <col min="111" max="111" width="13.77734375" style="8" customWidth="1"/>
    <col min="112" max="112" width="10.77734375" style="8" customWidth="1"/>
    <col min="113" max="113" width="13.77734375" style="8" customWidth="1"/>
    <col min="114" max="115" width="13.77734375" style="8" hidden="1" customWidth="1"/>
    <col min="116" max="116" width="10.77734375" style="8" hidden="1" customWidth="1"/>
    <col min="117" max="117" width="11.77734375" style="8" customWidth="1"/>
    <col min="118" max="118" width="13.77734375" style="8" customWidth="1"/>
    <col min="119" max="119" width="10.77734375" style="8" customWidth="1"/>
    <col min="120" max="120" width="13.77734375" style="8" customWidth="1"/>
    <col min="121" max="122" width="13.77734375" style="8" hidden="1" customWidth="1"/>
    <col min="123" max="123" width="10.77734375" style="8" hidden="1" customWidth="1"/>
    <col min="124" max="125" width="11.77734375" style="8" customWidth="1"/>
    <col min="126" max="127" width="11.77734375" style="122" hidden="1" customWidth="1"/>
    <col min="128" max="128" width="10.77734375" style="11" hidden="1" customWidth="1"/>
    <col min="129" max="129" width="16.44140625" style="8" customWidth="1"/>
    <col min="130" max="130" width="69.5546875" style="8" customWidth="1"/>
    <col min="131" max="131" width="8.88671875" style="8"/>
    <col min="132" max="138" width="10.77734375" style="8" hidden="1" customWidth="1"/>
    <col min="139" max="16384" width="8.88671875" style="8"/>
  </cols>
  <sheetData>
    <row r="1" spans="2:138" ht="10.050000000000001" customHeight="1" thickBot="1" x14ac:dyDescent="0.35">
      <c r="DV1" s="8"/>
      <c r="DW1" s="8"/>
      <c r="DX1" s="8"/>
    </row>
    <row r="2" spans="2:138" ht="14.4" customHeight="1" x14ac:dyDescent="0.3">
      <c r="B2" s="21"/>
      <c r="C2" s="21"/>
      <c r="D2" s="22"/>
      <c r="E2" s="164"/>
      <c r="F2" s="164"/>
      <c r="G2" s="164"/>
      <c r="H2" s="164"/>
      <c r="I2" s="164"/>
      <c r="J2" s="22"/>
      <c r="K2" s="188" t="s">
        <v>110</v>
      </c>
      <c r="L2" s="189"/>
      <c r="M2" s="189"/>
      <c r="N2" s="22"/>
      <c r="O2" s="173"/>
      <c r="P2" s="173"/>
      <c r="Q2" s="173"/>
      <c r="R2" s="173"/>
      <c r="S2" s="173"/>
      <c r="T2" s="173"/>
      <c r="U2" s="173"/>
      <c r="V2" s="173"/>
      <c r="W2" s="173"/>
      <c r="X2" s="173"/>
      <c r="Y2" s="173"/>
      <c r="Z2" s="173"/>
      <c r="AA2" s="173"/>
      <c r="AB2" s="173"/>
      <c r="AC2" s="173"/>
      <c r="AD2" s="173"/>
      <c r="AE2" s="173"/>
      <c r="AF2" s="173"/>
      <c r="AG2" s="173"/>
      <c r="AH2" s="173"/>
      <c r="AI2" s="173"/>
      <c r="AJ2" s="173"/>
      <c r="AK2" s="173"/>
      <c r="AL2" s="173"/>
      <c r="AM2" s="173"/>
      <c r="AN2" s="173"/>
      <c r="AO2" s="173"/>
      <c r="AP2" s="173"/>
      <c r="AQ2" s="173"/>
      <c r="AR2" s="173"/>
      <c r="AS2" s="173"/>
      <c r="AT2" s="173"/>
      <c r="AU2" s="173"/>
      <c r="AV2" s="173"/>
      <c r="AW2" s="173"/>
      <c r="AX2" s="173"/>
      <c r="AY2" s="173"/>
      <c r="AZ2" s="173"/>
      <c r="BA2" s="173"/>
      <c r="BB2" s="173"/>
      <c r="BC2" s="173"/>
      <c r="BD2" s="173"/>
      <c r="BE2" s="173"/>
      <c r="BF2" s="173"/>
      <c r="BG2" s="173"/>
      <c r="BH2" s="173"/>
      <c r="BI2" s="173"/>
      <c r="BJ2" s="173"/>
      <c r="BK2" s="173"/>
      <c r="BL2" s="173"/>
      <c r="BM2" s="173"/>
      <c r="BN2" s="173"/>
      <c r="BO2" s="173"/>
      <c r="BP2" s="173"/>
      <c r="BQ2" s="173"/>
      <c r="BR2" s="173"/>
      <c r="BS2" s="173"/>
      <c r="BT2" s="173"/>
      <c r="BU2" s="173"/>
      <c r="BV2" s="173"/>
      <c r="BW2" s="173"/>
      <c r="BX2" s="173"/>
      <c r="BY2" s="173"/>
      <c r="BZ2" s="173"/>
      <c r="CA2" s="173"/>
      <c r="CB2" s="173"/>
      <c r="CC2" s="173"/>
      <c r="CD2" s="173"/>
      <c r="CE2" s="173"/>
      <c r="CF2" s="173"/>
      <c r="CG2" s="173"/>
      <c r="CH2" s="173"/>
      <c r="CI2" s="173"/>
      <c r="CJ2" s="173"/>
      <c r="CK2" s="173"/>
      <c r="CL2" s="173"/>
      <c r="CM2" s="173"/>
      <c r="CN2" s="173"/>
      <c r="CO2" s="62"/>
      <c r="CP2" s="62"/>
      <c r="CQ2" s="22"/>
      <c r="CR2" s="167"/>
      <c r="CS2" s="167"/>
      <c r="CT2" s="167"/>
      <c r="CU2" s="167"/>
      <c r="CV2" s="167"/>
      <c r="CW2" s="167"/>
      <c r="CX2" s="167"/>
      <c r="CY2" s="167"/>
      <c r="CZ2" s="167"/>
      <c r="DA2" s="167"/>
      <c r="DB2" s="167"/>
      <c r="DC2" s="167"/>
      <c r="DD2" s="167"/>
      <c r="DE2" s="167"/>
      <c r="DF2" s="167"/>
      <c r="DG2" s="167"/>
      <c r="DH2" s="167"/>
      <c r="DI2" s="167"/>
      <c r="DJ2" s="167"/>
      <c r="DK2" s="167"/>
      <c r="DL2" s="167"/>
      <c r="DM2" s="167"/>
      <c r="DN2" s="167"/>
      <c r="DO2" s="167"/>
      <c r="DP2" s="167"/>
      <c r="DQ2" s="167"/>
      <c r="DR2" s="167"/>
      <c r="DS2" s="167"/>
      <c r="DT2" s="167"/>
      <c r="DU2" s="167"/>
      <c r="DV2" s="167"/>
      <c r="DW2" s="167"/>
      <c r="DX2" s="167"/>
      <c r="DY2" s="167"/>
      <c r="DZ2" s="168"/>
    </row>
    <row r="3" spans="2:138" x14ac:dyDescent="0.3">
      <c r="B3" s="23"/>
      <c r="C3" s="23"/>
      <c r="D3" s="24"/>
      <c r="E3" s="165"/>
      <c r="F3" s="165"/>
      <c r="G3" s="165"/>
      <c r="H3" s="165"/>
      <c r="I3" s="165"/>
      <c r="J3" s="24"/>
      <c r="K3" s="190"/>
      <c r="L3" s="190"/>
      <c r="M3" s="190"/>
      <c r="N3" s="24"/>
      <c r="O3" s="174"/>
      <c r="P3" s="174"/>
      <c r="Q3" s="174"/>
      <c r="R3" s="174"/>
      <c r="S3" s="174"/>
      <c r="T3" s="174"/>
      <c r="U3" s="174"/>
      <c r="V3" s="174"/>
      <c r="W3" s="174"/>
      <c r="X3" s="174"/>
      <c r="Y3" s="174"/>
      <c r="Z3" s="174"/>
      <c r="AA3" s="174"/>
      <c r="AB3" s="174"/>
      <c r="AC3" s="174"/>
      <c r="AD3" s="174"/>
      <c r="AE3" s="174"/>
      <c r="AF3" s="174"/>
      <c r="AG3" s="174"/>
      <c r="AH3" s="174"/>
      <c r="AI3" s="174"/>
      <c r="AJ3" s="174"/>
      <c r="AK3" s="174"/>
      <c r="AL3" s="174"/>
      <c r="AM3" s="174"/>
      <c r="AN3" s="174"/>
      <c r="AO3" s="174"/>
      <c r="AP3" s="174"/>
      <c r="AQ3" s="174"/>
      <c r="AR3" s="174"/>
      <c r="AS3" s="174"/>
      <c r="AT3" s="174"/>
      <c r="AU3" s="174"/>
      <c r="AV3" s="174"/>
      <c r="AW3" s="174"/>
      <c r="AX3" s="174"/>
      <c r="AY3" s="174"/>
      <c r="AZ3" s="174"/>
      <c r="BA3" s="174"/>
      <c r="BB3" s="174"/>
      <c r="BC3" s="174"/>
      <c r="BD3" s="174"/>
      <c r="BE3" s="174"/>
      <c r="BF3" s="174"/>
      <c r="BG3" s="174"/>
      <c r="BH3" s="174"/>
      <c r="BI3" s="174"/>
      <c r="BJ3" s="174"/>
      <c r="BK3" s="174"/>
      <c r="BL3" s="174"/>
      <c r="BM3" s="174"/>
      <c r="BN3" s="174"/>
      <c r="BO3" s="174"/>
      <c r="BP3" s="174"/>
      <c r="BQ3" s="174"/>
      <c r="BR3" s="174"/>
      <c r="BS3" s="174"/>
      <c r="BT3" s="174"/>
      <c r="BU3" s="174"/>
      <c r="BV3" s="174"/>
      <c r="BW3" s="174"/>
      <c r="BX3" s="174"/>
      <c r="BY3" s="174"/>
      <c r="BZ3" s="174"/>
      <c r="CA3" s="174"/>
      <c r="CB3" s="174"/>
      <c r="CC3" s="174"/>
      <c r="CD3" s="174"/>
      <c r="CE3" s="174"/>
      <c r="CF3" s="174"/>
      <c r="CG3" s="174"/>
      <c r="CH3" s="174"/>
      <c r="CI3" s="174"/>
      <c r="CJ3" s="174"/>
      <c r="CK3" s="174"/>
      <c r="CL3" s="174"/>
      <c r="CM3" s="174"/>
      <c r="CN3" s="174"/>
      <c r="CO3" s="61"/>
      <c r="CP3" s="61"/>
      <c r="CQ3" s="24"/>
      <c r="CR3" s="169"/>
      <c r="CS3" s="169"/>
      <c r="CT3" s="169"/>
      <c r="CU3" s="169"/>
      <c r="CV3" s="169"/>
      <c r="CW3" s="169"/>
      <c r="CX3" s="169"/>
      <c r="CY3" s="169"/>
      <c r="CZ3" s="169"/>
      <c r="DA3" s="169"/>
      <c r="DB3" s="169"/>
      <c r="DC3" s="169"/>
      <c r="DD3" s="169"/>
      <c r="DE3" s="169"/>
      <c r="DF3" s="169"/>
      <c r="DG3" s="169"/>
      <c r="DH3" s="169"/>
      <c r="DI3" s="169"/>
      <c r="DJ3" s="169"/>
      <c r="DK3" s="169"/>
      <c r="DL3" s="169"/>
      <c r="DM3" s="169"/>
      <c r="DN3" s="169"/>
      <c r="DO3" s="169"/>
      <c r="DP3" s="169"/>
      <c r="DQ3" s="169"/>
      <c r="DR3" s="169"/>
      <c r="DS3" s="169"/>
      <c r="DT3" s="169"/>
      <c r="DU3" s="169"/>
      <c r="DV3" s="169"/>
      <c r="DW3" s="169"/>
      <c r="DX3" s="169"/>
      <c r="DY3" s="169"/>
      <c r="DZ3" s="170"/>
    </row>
    <row r="4" spans="2:138" x14ac:dyDescent="0.3">
      <c r="B4" s="23"/>
      <c r="C4" s="23"/>
      <c r="D4" s="24"/>
      <c r="E4" s="165"/>
      <c r="F4" s="165"/>
      <c r="G4" s="165"/>
      <c r="H4" s="165"/>
      <c r="I4" s="165"/>
      <c r="J4" s="24"/>
      <c r="K4" s="190"/>
      <c r="L4" s="190"/>
      <c r="M4" s="190"/>
      <c r="N4" s="24"/>
      <c r="O4" s="174"/>
      <c r="P4" s="174"/>
      <c r="Q4" s="174"/>
      <c r="R4" s="174"/>
      <c r="S4" s="174"/>
      <c r="T4" s="174"/>
      <c r="U4" s="174"/>
      <c r="V4" s="174"/>
      <c r="W4" s="174"/>
      <c r="X4" s="174"/>
      <c r="Y4" s="174"/>
      <c r="Z4" s="174"/>
      <c r="AA4" s="174"/>
      <c r="AB4" s="174"/>
      <c r="AC4" s="174"/>
      <c r="AD4" s="174"/>
      <c r="AE4" s="174"/>
      <c r="AF4" s="174"/>
      <c r="AG4" s="174"/>
      <c r="AH4" s="174"/>
      <c r="AI4" s="174"/>
      <c r="AJ4" s="174"/>
      <c r="AK4" s="174"/>
      <c r="AL4" s="174"/>
      <c r="AM4" s="174"/>
      <c r="AN4" s="174"/>
      <c r="AO4" s="174"/>
      <c r="AP4" s="174"/>
      <c r="AQ4" s="174"/>
      <c r="AR4" s="174"/>
      <c r="AS4" s="174"/>
      <c r="AT4" s="174"/>
      <c r="AU4" s="174"/>
      <c r="AV4" s="174"/>
      <c r="AW4" s="174"/>
      <c r="AX4" s="174"/>
      <c r="AY4" s="174"/>
      <c r="AZ4" s="174"/>
      <c r="BA4" s="174"/>
      <c r="BB4" s="174"/>
      <c r="BC4" s="174"/>
      <c r="BD4" s="174"/>
      <c r="BE4" s="174"/>
      <c r="BF4" s="174"/>
      <c r="BG4" s="174"/>
      <c r="BH4" s="174"/>
      <c r="BI4" s="174"/>
      <c r="BJ4" s="174"/>
      <c r="BK4" s="174"/>
      <c r="BL4" s="174"/>
      <c r="BM4" s="174"/>
      <c r="BN4" s="174"/>
      <c r="BO4" s="174"/>
      <c r="BP4" s="174"/>
      <c r="BQ4" s="174"/>
      <c r="BR4" s="174"/>
      <c r="BS4" s="174"/>
      <c r="BT4" s="174"/>
      <c r="BU4" s="174"/>
      <c r="BV4" s="174"/>
      <c r="BW4" s="174"/>
      <c r="BX4" s="174"/>
      <c r="BY4" s="174"/>
      <c r="BZ4" s="174"/>
      <c r="CA4" s="174"/>
      <c r="CB4" s="174"/>
      <c r="CC4" s="174"/>
      <c r="CD4" s="174"/>
      <c r="CE4" s="174"/>
      <c r="CF4" s="174"/>
      <c r="CG4" s="174"/>
      <c r="CH4" s="174"/>
      <c r="CI4" s="174"/>
      <c r="CJ4" s="174"/>
      <c r="CK4" s="174"/>
      <c r="CL4" s="174"/>
      <c r="CM4" s="174"/>
      <c r="CN4" s="174"/>
      <c r="CO4" s="61"/>
      <c r="CP4" s="61"/>
      <c r="CQ4" s="24"/>
      <c r="CR4" s="169"/>
      <c r="CS4" s="169"/>
      <c r="CT4" s="169"/>
      <c r="CU4" s="169"/>
      <c r="CV4" s="169"/>
      <c r="CW4" s="169"/>
      <c r="CX4" s="169"/>
      <c r="CY4" s="169"/>
      <c r="CZ4" s="169"/>
      <c r="DA4" s="169"/>
      <c r="DB4" s="169"/>
      <c r="DC4" s="169"/>
      <c r="DD4" s="169"/>
      <c r="DE4" s="169"/>
      <c r="DF4" s="169"/>
      <c r="DG4" s="169"/>
      <c r="DH4" s="169"/>
      <c r="DI4" s="169"/>
      <c r="DJ4" s="169"/>
      <c r="DK4" s="169"/>
      <c r="DL4" s="169"/>
      <c r="DM4" s="169"/>
      <c r="DN4" s="169"/>
      <c r="DO4" s="169"/>
      <c r="DP4" s="169"/>
      <c r="DQ4" s="169"/>
      <c r="DR4" s="169"/>
      <c r="DS4" s="169"/>
      <c r="DT4" s="169"/>
      <c r="DU4" s="169"/>
      <c r="DV4" s="169"/>
      <c r="DW4" s="169"/>
      <c r="DX4" s="169"/>
      <c r="DY4" s="169"/>
      <c r="DZ4" s="170"/>
    </row>
    <row r="5" spans="2:138" ht="15" thickBot="1" x14ac:dyDescent="0.35">
      <c r="B5" s="52"/>
      <c r="C5" s="52"/>
      <c r="D5" s="53"/>
      <c r="E5" s="166"/>
      <c r="F5" s="166"/>
      <c r="G5" s="166"/>
      <c r="H5" s="166"/>
      <c r="I5" s="166"/>
      <c r="J5" s="53"/>
      <c r="K5" s="191"/>
      <c r="L5" s="191"/>
      <c r="M5" s="191"/>
      <c r="N5" s="53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75"/>
      <c r="AB5" s="175"/>
      <c r="AC5" s="175"/>
      <c r="AD5" s="175"/>
      <c r="AE5" s="175"/>
      <c r="AF5" s="175"/>
      <c r="AG5" s="175"/>
      <c r="AH5" s="175"/>
      <c r="AI5" s="175"/>
      <c r="AJ5" s="175"/>
      <c r="AK5" s="175"/>
      <c r="AL5" s="175"/>
      <c r="AM5" s="175"/>
      <c r="AN5" s="175"/>
      <c r="AO5" s="175"/>
      <c r="AP5" s="175"/>
      <c r="AQ5" s="175"/>
      <c r="AR5" s="175"/>
      <c r="AS5" s="175"/>
      <c r="AT5" s="175"/>
      <c r="AU5" s="175"/>
      <c r="AV5" s="175"/>
      <c r="AW5" s="175"/>
      <c r="AX5" s="175"/>
      <c r="AY5" s="175"/>
      <c r="AZ5" s="175"/>
      <c r="BA5" s="175"/>
      <c r="BB5" s="175"/>
      <c r="BC5" s="175"/>
      <c r="BD5" s="175"/>
      <c r="BE5" s="175"/>
      <c r="BF5" s="175"/>
      <c r="BG5" s="175"/>
      <c r="BH5" s="175"/>
      <c r="BI5" s="175"/>
      <c r="BJ5" s="175"/>
      <c r="BK5" s="175"/>
      <c r="BL5" s="175"/>
      <c r="BM5" s="175"/>
      <c r="BN5" s="175"/>
      <c r="BO5" s="175"/>
      <c r="BP5" s="175"/>
      <c r="BQ5" s="175"/>
      <c r="BR5" s="175"/>
      <c r="BS5" s="175"/>
      <c r="BT5" s="175"/>
      <c r="BU5" s="175"/>
      <c r="BV5" s="175"/>
      <c r="BW5" s="175"/>
      <c r="BX5" s="175"/>
      <c r="BY5" s="175"/>
      <c r="BZ5" s="175"/>
      <c r="CA5" s="175"/>
      <c r="CB5" s="175"/>
      <c r="CC5" s="175"/>
      <c r="CD5" s="175"/>
      <c r="CE5" s="175"/>
      <c r="CF5" s="175"/>
      <c r="CG5" s="175"/>
      <c r="CH5" s="175"/>
      <c r="CI5" s="175"/>
      <c r="CJ5" s="175"/>
      <c r="CK5" s="175"/>
      <c r="CL5" s="175"/>
      <c r="CM5" s="175"/>
      <c r="CN5" s="175"/>
      <c r="CO5" s="78"/>
      <c r="CP5" s="78"/>
      <c r="CQ5" s="53"/>
      <c r="CR5" s="171"/>
      <c r="CS5" s="171"/>
      <c r="CT5" s="171"/>
      <c r="CU5" s="171"/>
      <c r="CV5" s="171"/>
      <c r="CW5" s="171"/>
      <c r="CX5" s="171"/>
      <c r="CY5" s="171"/>
      <c r="CZ5" s="171"/>
      <c r="DA5" s="171"/>
      <c r="DB5" s="171"/>
      <c r="DC5" s="171"/>
      <c r="DD5" s="171"/>
      <c r="DE5" s="171"/>
      <c r="DF5" s="171"/>
      <c r="DG5" s="171"/>
      <c r="DH5" s="171"/>
      <c r="DI5" s="171"/>
      <c r="DJ5" s="171"/>
      <c r="DK5" s="171"/>
      <c r="DL5" s="171"/>
      <c r="DM5" s="171"/>
      <c r="DN5" s="171"/>
      <c r="DO5" s="171"/>
      <c r="DP5" s="171"/>
      <c r="DQ5" s="171"/>
      <c r="DR5" s="171"/>
      <c r="DS5" s="171"/>
      <c r="DT5" s="171"/>
      <c r="DU5" s="171"/>
      <c r="DV5" s="171"/>
      <c r="DW5" s="171"/>
      <c r="DX5" s="171"/>
      <c r="DY5" s="171"/>
      <c r="DZ5" s="172"/>
    </row>
    <row r="6" spans="2:138" s="20" customFormat="1" ht="28.8" customHeight="1" x14ac:dyDescent="0.3">
      <c r="B6" s="116" t="s">
        <v>0</v>
      </c>
      <c r="C6" s="117" t="s">
        <v>1</v>
      </c>
      <c r="D6" s="92" t="s">
        <v>6</v>
      </c>
      <c r="E6" s="118" t="s">
        <v>15</v>
      </c>
      <c r="F6" s="92" t="s">
        <v>20</v>
      </c>
      <c r="G6" s="92" t="s">
        <v>16</v>
      </c>
      <c r="H6" s="92" t="s">
        <v>21</v>
      </c>
      <c r="I6" s="118" t="s">
        <v>17</v>
      </c>
      <c r="J6" s="92" t="s">
        <v>87</v>
      </c>
      <c r="K6" s="118" t="s">
        <v>2</v>
      </c>
      <c r="L6" s="92" t="s">
        <v>7</v>
      </c>
      <c r="M6" s="118" t="s">
        <v>8</v>
      </c>
      <c r="N6" s="92" t="s">
        <v>88</v>
      </c>
      <c r="O6" s="118" t="s">
        <v>9</v>
      </c>
      <c r="P6" s="92" t="s">
        <v>41</v>
      </c>
      <c r="Q6" s="118" t="s">
        <v>4</v>
      </c>
      <c r="R6" s="92" t="s">
        <v>42</v>
      </c>
      <c r="S6" s="118" t="s">
        <v>19</v>
      </c>
      <c r="T6" s="119"/>
      <c r="U6" s="118" t="s">
        <v>10</v>
      </c>
      <c r="V6" s="119"/>
      <c r="W6" s="118" t="s">
        <v>11</v>
      </c>
      <c r="X6" s="119"/>
      <c r="Y6" s="118" t="s">
        <v>12</v>
      </c>
      <c r="Z6" s="119"/>
      <c r="AA6" s="118" t="s">
        <v>23</v>
      </c>
      <c r="AB6" s="119" t="s">
        <v>66</v>
      </c>
      <c r="AC6" s="118" t="s">
        <v>89</v>
      </c>
      <c r="AD6" s="118" t="s">
        <v>64</v>
      </c>
      <c r="AE6" s="118" t="s">
        <v>44</v>
      </c>
      <c r="AF6" s="118" t="s">
        <v>65</v>
      </c>
      <c r="AG6" s="118" t="s">
        <v>44</v>
      </c>
      <c r="AH6" s="118" t="s">
        <v>13</v>
      </c>
      <c r="AI6" s="119"/>
      <c r="AJ6" s="118" t="s">
        <v>14</v>
      </c>
      <c r="AK6" s="119"/>
      <c r="AL6" s="120" t="s">
        <v>18</v>
      </c>
      <c r="AM6" s="124" t="s">
        <v>18</v>
      </c>
      <c r="AN6" s="180" t="s">
        <v>35</v>
      </c>
      <c r="AO6" s="177"/>
      <c r="AP6" s="177"/>
      <c r="AQ6" s="177"/>
      <c r="AR6" s="178"/>
      <c r="AS6" s="178"/>
      <c r="AT6" s="178"/>
      <c r="AU6" s="176" t="s">
        <v>34</v>
      </c>
      <c r="AV6" s="177"/>
      <c r="AW6" s="177"/>
      <c r="AX6" s="177"/>
      <c r="AY6" s="178"/>
      <c r="AZ6" s="178"/>
      <c r="BA6" s="178"/>
      <c r="BB6" s="176" t="s">
        <v>33</v>
      </c>
      <c r="BC6" s="177"/>
      <c r="BD6" s="177"/>
      <c r="BE6" s="177"/>
      <c r="BF6" s="178"/>
      <c r="BG6" s="178"/>
      <c r="BH6" s="178"/>
      <c r="BI6" s="176" t="s">
        <v>32</v>
      </c>
      <c r="BJ6" s="177"/>
      <c r="BK6" s="177"/>
      <c r="BL6" s="177"/>
      <c r="BM6" s="178"/>
      <c r="BN6" s="178"/>
      <c r="BO6" s="178"/>
      <c r="BP6" s="176" t="s">
        <v>31</v>
      </c>
      <c r="BQ6" s="177"/>
      <c r="BR6" s="177"/>
      <c r="BS6" s="177"/>
      <c r="BT6" s="178"/>
      <c r="BU6" s="178"/>
      <c r="BV6" s="178"/>
      <c r="BW6" s="176" t="s">
        <v>30</v>
      </c>
      <c r="BX6" s="177"/>
      <c r="BY6" s="177"/>
      <c r="BZ6" s="177"/>
      <c r="CA6" s="178"/>
      <c r="CB6" s="178"/>
      <c r="CC6" s="178"/>
      <c r="CD6" s="176" t="s">
        <v>29</v>
      </c>
      <c r="CE6" s="177"/>
      <c r="CF6" s="177"/>
      <c r="CG6" s="177"/>
      <c r="CH6" s="178"/>
      <c r="CI6" s="178"/>
      <c r="CJ6" s="178"/>
      <c r="CK6" s="176" t="s">
        <v>27</v>
      </c>
      <c r="CL6" s="177"/>
      <c r="CM6" s="177"/>
      <c r="CN6" s="177"/>
      <c r="CO6" s="178"/>
      <c r="CP6" s="178"/>
      <c r="CQ6" s="178"/>
      <c r="CR6" s="176" t="s">
        <v>26</v>
      </c>
      <c r="CS6" s="177"/>
      <c r="CT6" s="177"/>
      <c r="CU6" s="177"/>
      <c r="CV6" s="178"/>
      <c r="CW6" s="178"/>
      <c r="CX6" s="178"/>
      <c r="CY6" s="176" t="s">
        <v>25</v>
      </c>
      <c r="CZ6" s="177"/>
      <c r="DA6" s="177"/>
      <c r="DB6" s="177"/>
      <c r="DC6" s="178"/>
      <c r="DD6" s="178"/>
      <c r="DE6" s="178"/>
      <c r="DF6" s="176" t="s">
        <v>28</v>
      </c>
      <c r="DG6" s="177"/>
      <c r="DH6" s="177"/>
      <c r="DI6" s="177"/>
      <c r="DJ6" s="178"/>
      <c r="DK6" s="178"/>
      <c r="DL6" s="178"/>
      <c r="DM6" s="176" t="s">
        <v>24</v>
      </c>
      <c r="DN6" s="177"/>
      <c r="DO6" s="177"/>
      <c r="DP6" s="177"/>
      <c r="DQ6" s="178"/>
      <c r="DR6" s="178"/>
      <c r="DS6" s="179"/>
      <c r="DT6" s="161" t="s">
        <v>43</v>
      </c>
      <c r="DU6" s="162"/>
      <c r="DV6" s="162"/>
      <c r="DW6" s="162"/>
      <c r="DX6" s="163"/>
      <c r="DY6" s="145" t="s">
        <v>95</v>
      </c>
      <c r="DZ6" s="68" t="s">
        <v>44</v>
      </c>
      <c r="EA6" s="49"/>
      <c r="EB6" s="20" t="s">
        <v>69</v>
      </c>
      <c r="EC6" s="20" t="s">
        <v>70</v>
      </c>
      <c r="ED6" s="20" t="s">
        <v>71</v>
      </c>
      <c r="EE6" s="20" t="s">
        <v>72</v>
      </c>
      <c r="EF6" s="20" t="s">
        <v>73</v>
      </c>
      <c r="EG6" s="20" t="s">
        <v>73</v>
      </c>
      <c r="EH6" s="20" t="s">
        <v>74</v>
      </c>
    </row>
    <row r="7" spans="2:138" x14ac:dyDescent="0.3">
      <c r="B7" s="110"/>
      <c r="C7" s="85"/>
      <c r="D7" s="86"/>
      <c r="E7" s="87"/>
      <c r="F7" s="86"/>
      <c r="G7" s="86"/>
      <c r="H7" s="86"/>
      <c r="I7" s="87"/>
      <c r="J7" s="86"/>
      <c r="K7" s="87"/>
      <c r="L7" s="86"/>
      <c r="M7" s="87"/>
      <c r="N7" s="86"/>
      <c r="O7" s="87"/>
      <c r="P7" s="86"/>
      <c r="Q7" s="87"/>
      <c r="R7" s="86"/>
      <c r="S7" s="87"/>
      <c r="T7" s="86"/>
      <c r="U7" s="87"/>
      <c r="V7" s="86"/>
      <c r="W7" s="87"/>
      <c r="X7" s="86"/>
      <c r="Y7" s="87"/>
      <c r="Z7" s="86"/>
      <c r="AA7" s="87"/>
      <c r="AB7" s="86"/>
      <c r="AC7" s="87"/>
      <c r="AD7" s="87"/>
      <c r="AE7" s="87"/>
      <c r="AF7" s="87"/>
      <c r="AG7" s="87"/>
      <c r="AH7" s="87"/>
      <c r="AI7" s="86"/>
      <c r="AJ7" s="87"/>
      <c r="AK7" s="86"/>
      <c r="AL7" s="88"/>
      <c r="AM7" s="125"/>
      <c r="AN7" s="108" t="s">
        <v>92</v>
      </c>
      <c r="AO7" s="55" t="s">
        <v>93</v>
      </c>
      <c r="AP7" s="55" t="s">
        <v>90</v>
      </c>
      <c r="AQ7" s="55" t="s">
        <v>91</v>
      </c>
      <c r="AR7" s="121" t="s">
        <v>98</v>
      </c>
      <c r="AS7" s="121" t="s">
        <v>97</v>
      </c>
      <c r="AT7" s="89" t="s">
        <v>94</v>
      </c>
      <c r="AU7" s="72" t="s">
        <v>92</v>
      </c>
      <c r="AV7" s="55" t="s">
        <v>93</v>
      </c>
      <c r="AW7" s="55" t="s">
        <v>90</v>
      </c>
      <c r="AX7" s="55" t="s">
        <v>91</v>
      </c>
      <c r="AY7" s="121" t="s">
        <v>98</v>
      </c>
      <c r="AZ7" s="121" t="s">
        <v>97</v>
      </c>
      <c r="BA7" s="89" t="s">
        <v>94</v>
      </c>
      <c r="BB7" s="72" t="s">
        <v>92</v>
      </c>
      <c r="BC7" s="55" t="s">
        <v>93</v>
      </c>
      <c r="BD7" s="55" t="s">
        <v>90</v>
      </c>
      <c r="BE7" s="55" t="s">
        <v>91</v>
      </c>
      <c r="BF7" s="121" t="s">
        <v>98</v>
      </c>
      <c r="BG7" s="121" t="s">
        <v>97</v>
      </c>
      <c r="BH7" s="89" t="s">
        <v>94</v>
      </c>
      <c r="BI7" s="72" t="s">
        <v>92</v>
      </c>
      <c r="BJ7" s="55" t="s">
        <v>93</v>
      </c>
      <c r="BK7" s="55" t="s">
        <v>90</v>
      </c>
      <c r="BL7" s="55" t="s">
        <v>91</v>
      </c>
      <c r="BM7" s="121" t="s">
        <v>98</v>
      </c>
      <c r="BN7" s="121" t="s">
        <v>97</v>
      </c>
      <c r="BO7" s="89" t="s">
        <v>94</v>
      </c>
      <c r="BP7" s="72" t="s">
        <v>92</v>
      </c>
      <c r="BQ7" s="55" t="s">
        <v>93</v>
      </c>
      <c r="BR7" s="55" t="s">
        <v>90</v>
      </c>
      <c r="BS7" s="55" t="s">
        <v>91</v>
      </c>
      <c r="BT7" s="121" t="s">
        <v>98</v>
      </c>
      <c r="BU7" s="121" t="s">
        <v>97</v>
      </c>
      <c r="BV7" s="89" t="s">
        <v>94</v>
      </c>
      <c r="BW7" s="72" t="s">
        <v>92</v>
      </c>
      <c r="BX7" s="55" t="s">
        <v>93</v>
      </c>
      <c r="BY7" s="55" t="s">
        <v>90</v>
      </c>
      <c r="BZ7" s="55" t="s">
        <v>91</v>
      </c>
      <c r="CA7" s="121" t="s">
        <v>98</v>
      </c>
      <c r="CB7" s="121" t="s">
        <v>97</v>
      </c>
      <c r="CC7" s="89" t="s">
        <v>94</v>
      </c>
      <c r="CD7" s="72" t="s">
        <v>92</v>
      </c>
      <c r="CE7" s="55" t="s">
        <v>93</v>
      </c>
      <c r="CF7" s="55" t="s">
        <v>90</v>
      </c>
      <c r="CG7" s="55" t="s">
        <v>91</v>
      </c>
      <c r="CH7" s="121" t="s">
        <v>98</v>
      </c>
      <c r="CI7" s="121" t="s">
        <v>97</v>
      </c>
      <c r="CJ7" s="89" t="s">
        <v>94</v>
      </c>
      <c r="CK7" s="72" t="s">
        <v>92</v>
      </c>
      <c r="CL7" s="55" t="s">
        <v>93</v>
      </c>
      <c r="CM7" s="55" t="s">
        <v>90</v>
      </c>
      <c r="CN7" s="55" t="s">
        <v>91</v>
      </c>
      <c r="CO7" s="121" t="s">
        <v>98</v>
      </c>
      <c r="CP7" s="121" t="s">
        <v>97</v>
      </c>
      <c r="CQ7" s="89" t="s">
        <v>94</v>
      </c>
      <c r="CR7" s="72" t="s">
        <v>92</v>
      </c>
      <c r="CS7" s="55" t="s">
        <v>93</v>
      </c>
      <c r="CT7" s="55" t="s">
        <v>90</v>
      </c>
      <c r="CU7" s="55" t="s">
        <v>91</v>
      </c>
      <c r="CV7" s="121" t="s">
        <v>98</v>
      </c>
      <c r="CW7" s="121" t="s">
        <v>97</v>
      </c>
      <c r="CX7" s="89" t="s">
        <v>94</v>
      </c>
      <c r="CY7" s="72" t="s">
        <v>92</v>
      </c>
      <c r="CZ7" s="55" t="s">
        <v>93</v>
      </c>
      <c r="DA7" s="55" t="s">
        <v>90</v>
      </c>
      <c r="DB7" s="55" t="s">
        <v>91</v>
      </c>
      <c r="DC7" s="121" t="s">
        <v>98</v>
      </c>
      <c r="DD7" s="121" t="s">
        <v>97</v>
      </c>
      <c r="DE7" s="89" t="s">
        <v>94</v>
      </c>
      <c r="DF7" s="72" t="s">
        <v>92</v>
      </c>
      <c r="DG7" s="55" t="s">
        <v>93</v>
      </c>
      <c r="DH7" s="55" t="s">
        <v>90</v>
      </c>
      <c r="DI7" s="55" t="s">
        <v>91</v>
      </c>
      <c r="DJ7" s="121" t="s">
        <v>98</v>
      </c>
      <c r="DK7" s="121" t="s">
        <v>97</v>
      </c>
      <c r="DL7" s="89" t="s">
        <v>94</v>
      </c>
      <c r="DM7" s="72" t="s">
        <v>92</v>
      </c>
      <c r="DN7" s="55" t="s">
        <v>93</v>
      </c>
      <c r="DO7" s="55" t="s">
        <v>90</v>
      </c>
      <c r="DP7" s="55" t="s">
        <v>91</v>
      </c>
      <c r="DQ7" s="121" t="s">
        <v>98</v>
      </c>
      <c r="DR7" s="121" t="s">
        <v>97</v>
      </c>
      <c r="DS7" s="89" t="s">
        <v>94</v>
      </c>
      <c r="DT7" s="72" t="s">
        <v>90</v>
      </c>
      <c r="DU7" s="89" t="s">
        <v>91</v>
      </c>
      <c r="DV7" s="121" t="s">
        <v>98</v>
      </c>
      <c r="DW7" s="121" t="s">
        <v>97</v>
      </c>
      <c r="DX7" s="131" t="s">
        <v>94</v>
      </c>
      <c r="DY7" s="146"/>
      <c r="DZ7" s="93"/>
    </row>
    <row r="8" spans="2:138" x14ac:dyDescent="0.3">
      <c r="B8" s="111" t="str">
        <f>IF(F8&lt;&gt;"",F8&amp;" | "&amp;COUNTIF($F$8:F8,F8),"")</f>
        <v>1234 | 1</v>
      </c>
      <c r="C8" s="69">
        <v>1</v>
      </c>
      <c r="D8" s="64">
        <f>IF(IF(C8&lt;&gt;"",C8,IF($AA8&lt;&gt;"",D7,""))&lt;&gt;0,IF(C8&lt;&gt;"",C8,IF($AA8&lt;&gt;"",D7,"")),"")</f>
        <v>1</v>
      </c>
      <c r="E8" s="63">
        <v>1234</v>
      </c>
      <c r="F8" s="64">
        <f>IF(IF(E8&lt;&gt;"",E8,IF($AA8&lt;&gt;"",F7,""))&lt;&gt;0,IF(E8&lt;&gt;"",E8,IF($AA8&lt;&gt;"",F7,"")),"")</f>
        <v>1234</v>
      </c>
      <c r="G8" s="63">
        <v>9738</v>
      </c>
      <c r="H8" s="64">
        <f>IF(IF(G8&lt;&gt;"",G8,IF($AA8&lt;&gt;"",H7,""))&lt;&gt;0,IF(G8&lt;&gt;"",G8,IF($AA8&lt;&gt;"",H7,"")),"")</f>
        <v>9738</v>
      </c>
      <c r="I8" s="63">
        <v>1</v>
      </c>
      <c r="J8" s="64">
        <f>IF(IF(I8&lt;&gt;"",I8,IF($AA8&lt;&gt;"",J7,""))&lt;&gt;0,IF(I8&lt;&gt;"",I8,IF($AA8&lt;&gt;"",J7,"")),"")</f>
        <v>1</v>
      </c>
      <c r="K8" s="63" t="s">
        <v>22</v>
      </c>
      <c r="L8" s="64" t="str">
        <f>IF(IF(K8&lt;&gt;"",K8,IF($AA8&lt;&gt;"",L7,""))&lt;&gt;0,IF(K8&lt;&gt;"",K8,IF($AA8&lt;&gt;"",L7,"")),"")</f>
        <v>ABC</v>
      </c>
      <c r="M8" s="63"/>
      <c r="N8" s="64" t="str">
        <f>IF(IF(M8&lt;&gt;"",M8,IF($AA8&lt;&gt;"",N7,""))&lt;&gt;0,IF(M8&lt;&gt;"",M8,IF($AA8&lt;&gt;"",N7,"")),"")</f>
        <v/>
      </c>
      <c r="O8" s="83" t="s">
        <v>68</v>
      </c>
      <c r="P8" s="83" t="str">
        <f>IF(IF(O8&lt;&gt;"",O8,IF($AA8&lt;&gt;"",P7,""))&lt;&gt;0,IF(O8&lt;&gt;"",O8,IF($AA8&lt;&gt;"",P7,"")),"")</f>
        <v>AEGIS+</v>
      </c>
      <c r="Q8" s="83" t="s">
        <v>67</v>
      </c>
      <c r="R8" s="64" t="str">
        <f>IF(IF(Q8&lt;&gt;"",Q8,IF($AA8&lt;&gt;"",R7,""))&lt;&gt;0,IF(Q8&lt;&gt;"",Q8,IF($AA8&lt;&gt;"",R7,"")),"")</f>
        <v>2 Way</v>
      </c>
      <c r="S8" s="63"/>
      <c r="T8" s="64" t="str">
        <f>IF(IF(S8&lt;&gt;"",S8,IF($AA8&lt;&gt;"",T7,""))&lt;&gt;0,IF(S8&lt;&gt;"",S8,IF($AA8&lt;&gt;"",T7,"")),"")</f>
        <v/>
      </c>
      <c r="U8" s="63">
        <v>10</v>
      </c>
      <c r="V8" s="64">
        <f>IF(IF(U8&lt;&gt;"",U8,IF($AA8&lt;&gt;"",V7,""))&lt;&gt;0,IF(U8&lt;&gt;"",U8,IF($AA8&lt;&gt;"",V7,"")),"")</f>
        <v>10</v>
      </c>
      <c r="W8" s="63">
        <v>1.1000000000000001</v>
      </c>
      <c r="X8" s="64">
        <f>IF(IF(W8&lt;&gt;"",W8,IF($AA8&lt;&gt;"",X7,""))&lt;&gt;0,IF(W8&lt;&gt;"",W8,IF($AA8&lt;&gt;"",X7,"")),"")</f>
        <v>1.1000000000000001</v>
      </c>
      <c r="Y8" s="65">
        <f>IF(AND(W8&lt;&gt;"",U8&lt;&gt;""),U8*W8,"")</f>
        <v>11</v>
      </c>
      <c r="Z8" s="64">
        <f>IF(IF(Y8&lt;&gt;"",Y8,IF($AA8&lt;&gt;"",Z7,""))&lt;&gt;0,IF(Y8&lt;&gt;"",Y8,IF($AA8&lt;&gt;"",Z7,"")),"")</f>
        <v>11</v>
      </c>
      <c r="AA8" s="65">
        <f>IF(EH8&lt;&gt;"",EH8,"")</f>
        <v>10</v>
      </c>
      <c r="AB8" s="66">
        <f>IF(AA8&lt;&gt;"",IF(WEEKDAY(IF(AF8&lt;&gt;"",AF8,IF(AD8&lt;&gt;"",AD8,IF(AC8&lt;&gt;"",AC8,IF(AND(AC8="",AD8="",AF8="",AA8&lt;&gt;""),#REF!-1,"")))))&lt;&gt;7,IF(AF8&lt;&gt;"",AF8,IF(AD8&lt;&gt;"",AD8,IF(AC8&lt;&gt;"",AC8,IF(AND(AC8="",AD8="",AF8="",AA8&lt;&gt;""),#REF!-1,"")))),IF(AF8&lt;&gt;"",AF8,IF(AD8&lt;&gt;"",AD8,IF(AC8&lt;&gt;"",AC8,IF(AND(AC8="",AD8="",AF8="",AA8&lt;&gt;""),#REF!-1,""))))-1),"")</f>
        <v>44593</v>
      </c>
      <c r="AC8" s="67">
        <v>44593</v>
      </c>
      <c r="AD8" s="67"/>
      <c r="AE8" s="63"/>
      <c r="AF8" s="67"/>
      <c r="AG8" s="63"/>
      <c r="AH8" s="63"/>
      <c r="AI8" s="65" t="str">
        <f>IF(AH8&lt;&gt;"",AH8,"")</f>
        <v/>
      </c>
      <c r="AJ8" s="63"/>
      <c r="AK8" s="65" t="str">
        <f>IF(AJ8&lt;&gt;"",AJ8,"")</f>
        <v/>
      </c>
      <c r="AL8" s="84"/>
      <c r="AM8" s="126" t="str">
        <f>IF(AL8&lt;&gt;"",AL8,"")</f>
        <v/>
      </c>
      <c r="AN8" s="128" t="str">
        <f>IF(AP8&lt;&gt;"",VLOOKUP($P8&amp;" | "&amp;AN$6,'Job Master'!$F$12:$J$102,5,0),"")</f>
        <v/>
      </c>
      <c r="AO8" s="19" t="str">
        <f>IF(AP8&lt;&gt;"",VLOOKUP($P8&amp;" | "&amp;AN$6,'Job Master'!$F$12:$J$102,3,0),"")</f>
        <v/>
      </c>
      <c r="AP8" s="19" t="str">
        <f>IFERROR(IF(AND(AW8&lt;&gt;"",VLOOKUP($P8&amp;" | "&amp;AN$6,'Job Master'!$F$12:$I$102,4,0)&lt;&gt;""),IF(WEEKDAY(AW8-VLOOKUP($P8&amp;" | "&amp;AN$6,'Job Master'!$F$12:$I$102,4,0))&lt;&gt;7,AW8-VLOOKUP($P8&amp;" | "&amp;AN$6,'Job Master'!$F$12:$I$102,4,0),AW8-VLOOKUP($P8&amp;" | "&amp;AN$6,'Job Master'!$F$12:$I$102,4,0)-1),""),"")</f>
        <v/>
      </c>
      <c r="AQ8" s="73"/>
      <c r="AR8" s="123" t="str">
        <f>IF(AP8&lt;&gt;"",MONTH(AP8),"")</f>
        <v/>
      </c>
      <c r="AS8" s="123" t="str">
        <f>IF(AND(AQ8&lt;&gt;"",AP8&lt;&gt;""),IF(AQ8&gt;AP8,"Delayed",IF(AQ8=AP8,"On Time",IF(AQ8&lt;AP8,"In Advance"))),"")</f>
        <v/>
      </c>
      <c r="AT8" s="97" t="str">
        <f ca="1">IF(AP8&lt;&gt;"",IF(WEEKNUM(AP8)=WEEKNUM(TODAY()),"This Week",IF(WEEKNUM(AP8)=WEEKNUM(TODAY())+1,"Next Week",IF(WEEKNUM(AP8)=WEEKNUM(TODAY())-1,"Previous Week",""))),"")</f>
        <v/>
      </c>
      <c r="AU8" s="98" t="str">
        <f>IF(AW8&lt;&gt;"",VLOOKUP($P8&amp;" | "&amp;AU$6,'Job Master'!$F$12:$J$102,5,0),"")</f>
        <v/>
      </c>
      <c r="AV8" s="19" t="str">
        <f>IF(AW8&lt;&gt;"",VLOOKUP($P8&amp;" | "&amp;AU$6,'Job Master'!$F$12:$J$102,3,0),"")</f>
        <v/>
      </c>
      <c r="AW8" s="19" t="str">
        <f>IFERROR(IF(AND(BD8&lt;&gt;"",VLOOKUP($P8&amp;" | "&amp;AU$6,'Job Master'!$F$12:$I$102,4,0)&lt;&gt;""),IF(WEEKDAY(BD8-VLOOKUP($P8&amp;" | "&amp;AU$6,'Job Master'!$F$12:$I$102,4,0))&lt;&gt;7,BD8-VLOOKUP($P8&amp;" | "&amp;AU$6,'Job Master'!$F$12:$I$102,4,0),BD8-VLOOKUP($P8&amp;" | "&amp;AU$6,'Job Master'!$F$12:$I$102,4,0)-1),""),"")</f>
        <v/>
      </c>
      <c r="AX8" s="73"/>
      <c r="AY8" s="123" t="str">
        <f>IF(AW8&lt;&gt;"",MONTH(AW8),"")</f>
        <v/>
      </c>
      <c r="AZ8" s="123" t="str">
        <f>IF(AND(AX8&lt;&gt;"",AW8&lt;&gt;""),IF(AX8&gt;AW8,"Delayed",IF(AX8=AW8,"On Time",IF(AX8&lt;AW8,"In Advance"))),"")</f>
        <v/>
      </c>
      <c r="BA8" s="97" t="str">
        <f ca="1">IF(AW8&lt;&gt;"",IF(WEEKNUM(AW8)=WEEKNUM(TODAY()),"This Week",IF(WEEKNUM(AW8)=WEEKNUM(TODAY())+1,"Next Week",IF(WEEKNUM(AW8)=WEEKNUM(TODAY())-1,"Previous Week",""))),"")</f>
        <v/>
      </c>
      <c r="BB8" s="98" t="str">
        <f>IF(BD8&lt;&gt;"",VLOOKUP($P8&amp;" | "&amp;BB$6,'Job Master'!$F$12:$J$102,5,0),"")</f>
        <v/>
      </c>
      <c r="BC8" s="19" t="str">
        <f>IF(BD8&lt;&gt;"",VLOOKUP($P8&amp;" | "&amp;BB$6,'Job Master'!$F$12:$J$102,3,0),"")</f>
        <v/>
      </c>
      <c r="BD8" s="19" t="str">
        <f>IFERROR(IF(AND(BK8&lt;&gt;"",VLOOKUP($P8&amp;" | "&amp;BB$6,'Job Master'!$F$12:$I$102,4,0)&lt;&gt;""),IF(WEEKDAY(BK8-VLOOKUP($P8&amp;" | "&amp;BB$6,'Job Master'!$F$12:$I$102,4,0))&lt;&gt;7,BK8-VLOOKUP($P8&amp;" | "&amp;BB$6,'Job Master'!$F$12:$I$102,4,0),BK8-VLOOKUP($P8&amp;" | "&amp;BB$6,'Job Master'!$F$12:$I$102,4,0)-1),""),"")</f>
        <v/>
      </c>
      <c r="BE8" s="73"/>
      <c r="BF8" s="123" t="str">
        <f>IF(BD8&lt;&gt;"",MONTH(BD8),"")</f>
        <v/>
      </c>
      <c r="BG8" s="123" t="str">
        <f>IF(AND(BE8&lt;&gt;"",BD8&lt;&gt;""),IF(BE8&gt;BD8,"Delayed",IF(BE8=BD8,"On Time",IF(BE8&lt;BD8,"In Advance"))),"")</f>
        <v/>
      </c>
      <c r="BH8" s="97" t="str">
        <f ca="1">IF(BD8&lt;&gt;"",IF(WEEKNUM(BD8)=WEEKNUM(TODAY()),"This Week",IF(WEEKNUM(BD8)=WEEKNUM(TODAY())+1,"Next Week",IF(WEEKNUM(BD8)=WEEKNUM(TODAY())-1,"Previous Week",""))),"")</f>
        <v/>
      </c>
      <c r="BI8" s="98" t="str">
        <f>IF(BK8&lt;&gt;"",VLOOKUP($P8&amp;" | "&amp;BI$6,'Job Master'!$F$12:$J$102,5,0),"")</f>
        <v/>
      </c>
      <c r="BJ8" s="19" t="str">
        <f>IF(BK8&lt;&gt;"",VLOOKUP($P8&amp;" | "&amp;BI$6,'Job Master'!$F$12:$J$102,3,0),"")</f>
        <v/>
      </c>
      <c r="BK8" s="19" t="str">
        <f>IFERROR(IF(AND(BR8&lt;&gt;"",VLOOKUP($P8&amp;" | "&amp;BI$6,'Job Master'!$F$12:$I$102,4,0)&lt;&gt;""),IF(WEEKDAY(BR8-VLOOKUP($P8&amp;" | "&amp;BI$6,'Job Master'!$F$12:$I$102,4,0))&lt;&gt;7,BR8-VLOOKUP($P8&amp;" | "&amp;BI$6,'Job Master'!$F$12:$I$102,4,0),BR8-VLOOKUP($P8&amp;" | "&amp;BI$6,'Job Master'!$F$12:$I$102,4,0)-1),""),"")</f>
        <v/>
      </c>
      <c r="BL8" s="73"/>
      <c r="BM8" s="123" t="str">
        <f>IF(BK8&lt;&gt;"",MONTH(BK8),"")</f>
        <v/>
      </c>
      <c r="BN8" s="123" t="str">
        <f>IF(AND(BL8&lt;&gt;"",BK8&lt;&gt;""),IF(BL8&gt;BK8,"Delayed",IF(BL8=BK8,"On Time",IF(BL8&lt;BK8,"In Advance"))),"")</f>
        <v/>
      </c>
      <c r="BO8" s="97" t="str">
        <f ca="1">IF(BK8&lt;&gt;"",IF(WEEKNUM(BK8)=WEEKNUM(TODAY()),"This Week",IF(WEEKNUM(BK8)=WEEKNUM(TODAY())+1,"Next Week",IF(WEEKNUM(BK8)=WEEKNUM(TODAY())-1,"Previous Week",""))),"")</f>
        <v/>
      </c>
      <c r="BP8" s="98" t="str">
        <f>IF(BR8&lt;&gt;"",VLOOKUP($P8&amp;" | "&amp;BP$6,'Job Master'!$F$12:$J$102,5,0),"")</f>
        <v/>
      </c>
      <c r="BQ8" s="19" t="str">
        <f>IF(BR8&lt;&gt;"",VLOOKUP($P8&amp;" | "&amp;BP$6,'Job Master'!$F$12:$J$102,3,0),"")</f>
        <v/>
      </c>
      <c r="BR8" s="19" t="str">
        <f>IFERROR(IF(AND(BY8&lt;&gt;"",VLOOKUP($P8&amp;" | "&amp;BP$6,'Job Master'!$F$12:$I$102,4,0)&lt;&gt;""),IF(WEEKDAY(BY8-VLOOKUP($P8&amp;" | "&amp;BP$6,'Job Master'!$F$12:$I$102,4,0))&lt;&gt;7,BY8-VLOOKUP($P8&amp;" | "&amp;BP$6,'Job Master'!$F$12:$I$102,4,0),BY8-VLOOKUP($P8&amp;" | "&amp;BP$6,'Job Master'!$F$12:$I$102,4,0)-1),""),"")</f>
        <v/>
      </c>
      <c r="BS8" s="73"/>
      <c r="BT8" s="123" t="str">
        <f>IF(BR8&lt;&gt;"",MONTH(BR8),"")</f>
        <v/>
      </c>
      <c r="BU8" s="123" t="str">
        <f>IF(AND(BS8&lt;&gt;"",BR8&lt;&gt;""),IF(BS8&gt;BR8,"Delayed",IF(BS8=BR8,"On Time",IF(BS8&lt;BR8,"In Advance"))),"")</f>
        <v/>
      </c>
      <c r="BV8" s="97" t="str">
        <f ca="1">IF(BR8&lt;&gt;"",IF(WEEKNUM(BR8)=WEEKNUM(TODAY()),"This Week",IF(WEEKNUM(BR8)=WEEKNUM(TODAY())+1,"Next Week",IF(WEEKNUM(BR8)=WEEKNUM(TODAY())-1,"Previous Week",""))),"")</f>
        <v/>
      </c>
      <c r="BW8" s="98" t="str">
        <f>IF(BY8&lt;&gt;"",VLOOKUP($P8&amp;" | "&amp;BW$6,'Job Master'!$F$12:$J$102,5,0),"")</f>
        <v>Others</v>
      </c>
      <c r="BX8" s="19" t="str">
        <f>IF(BY8&lt;&gt;"",VLOOKUP($P8&amp;" | "&amp;BW$6,'Job Master'!$F$12:$J$102,3,0),"")</f>
        <v>Mfg. Clearance</v>
      </c>
      <c r="BY8" s="19">
        <f>IFERROR(IF(AND(CF8&lt;&gt;"",VLOOKUP($P8&amp;" | "&amp;BW$6,'Job Master'!$F$12:$I$102,4,0)&lt;&gt;""),IF(WEEKDAY(CF8-VLOOKUP($P8&amp;" | "&amp;BW$6,'Job Master'!$F$12:$I$102,4,0))&lt;&gt;7,CF8-VLOOKUP($P8&amp;" | "&amp;BW$6,'Job Master'!$F$12:$I$102,4,0),CF8-VLOOKUP($P8&amp;" | "&amp;BW$6,'Job Master'!$F$12:$I$102,4,0)-1),""),"")</f>
        <v>44582</v>
      </c>
      <c r="BZ8" s="73"/>
      <c r="CA8" s="123">
        <f>IF(BY8&lt;&gt;"",MONTH(BY8),"")</f>
        <v>1</v>
      </c>
      <c r="CB8" s="123" t="str">
        <f>IF(AND(BZ8&lt;&gt;"",BY8&lt;&gt;""),IF(BZ8&gt;BY8,"Delayed",IF(BZ8=BY8,"On Time",IF(BZ8&lt;BY8,"In Advance"))),"")</f>
        <v/>
      </c>
      <c r="CC8" s="97" t="str">
        <f ca="1">IF(BY8&lt;&gt;"",IF(WEEKNUM(BY8)=WEEKNUM(TODAY()),"This Week",IF(WEEKNUM(BY8)=WEEKNUM(TODAY())+1,"Next Week",IF(WEEKNUM(BY8)=WEEKNUM(TODAY())-1,"Previous Week",""))),"")</f>
        <v/>
      </c>
      <c r="CD8" s="98" t="str">
        <f>IF(CF8&lt;&gt;"",VLOOKUP($P8&amp;" | "&amp;CD$6,'Job Master'!$F$12:$J$102,5,0),"")</f>
        <v>Welding</v>
      </c>
      <c r="CE8" s="19" t="str">
        <f>IF(CF8&lt;&gt;"",VLOOKUP($P8&amp;" | "&amp;CD$6,'Job Master'!$F$12:$J$102,3,0),"")</f>
        <v>A</v>
      </c>
      <c r="CF8" s="19">
        <f>IFERROR(IF(AND(CM8&lt;&gt;"",VLOOKUP($P8&amp;" | "&amp;CD$6,'Job Master'!$F$12:$I$102,4,0)&lt;&gt;""),IF(WEEKDAY(CM8-VLOOKUP($P8&amp;" | "&amp;CD$6,'Job Master'!$F$12:$I$102,4,0))&lt;&gt;7,CM8-VLOOKUP($P8&amp;" | "&amp;CD$6,'Job Master'!$F$12:$I$102,4,0),CM8-VLOOKUP($P8&amp;" | "&amp;CD$6,'Job Master'!$F$12:$I$102,4,0)-1),""),"")</f>
        <v>44584</v>
      </c>
      <c r="CG8" s="73"/>
      <c r="CH8" s="123">
        <f>IF(CF8&lt;&gt;"",MONTH(CF8),"")</f>
        <v>1</v>
      </c>
      <c r="CI8" s="123" t="str">
        <f>IF(AND(CG8&lt;&gt;"",CF8&lt;&gt;""),IF(CG8&gt;CF8,"Delayed",IF(CG8=CF8,"On Time",IF(CG8&lt;CF8,"In Advance"))),"")</f>
        <v/>
      </c>
      <c r="CJ8" s="97" t="str">
        <f ca="1">IF(CF8&lt;&gt;"",IF(WEEKNUM(CF8)=WEEKNUM(TODAY()),"This Week",IF(WEEKNUM(CF8)=WEEKNUM(TODAY())+1,"Next Week",IF(WEEKNUM(CF8)=WEEKNUM(TODAY())-1,"Previous Week",""))),"")</f>
        <v/>
      </c>
      <c r="CK8" s="98" t="str">
        <f>IF(CM8&lt;&gt;"",VLOOKUP($P8&amp;" | "&amp;CK$6,'Job Master'!$F$12:$J$102,5,0),"")</f>
        <v>Welding</v>
      </c>
      <c r="CL8" s="19" t="str">
        <f>IF(CM8&lt;&gt;"",VLOOKUP($P8&amp;" | "&amp;CK$6,'Job Master'!$F$12:$J$102,3,0),"")</f>
        <v>B</v>
      </c>
      <c r="CM8" s="19">
        <f>IFERROR(IF(AND(CT8&lt;&gt;"",VLOOKUP($P8&amp;" | "&amp;CK$6,'Job Master'!$F$12:$I$102,4,0)&lt;&gt;""),IF(WEEKDAY(CT8-VLOOKUP($P8&amp;" | "&amp;CK$6,'Job Master'!$F$12:$I$102,4,0))&lt;&gt;7,CT8-VLOOKUP($P8&amp;" | "&amp;CK$6,'Job Master'!$F$12:$I$102,4,0),CT8-VLOOKUP($P8&amp;" | "&amp;CK$6,'Job Master'!$F$12:$I$102,4,0)-1),""),"")</f>
        <v>44585</v>
      </c>
      <c r="CN8" s="73"/>
      <c r="CO8" s="123">
        <f>IF(CM8&lt;&gt;"",MONTH(CM8),"")</f>
        <v>1</v>
      </c>
      <c r="CP8" s="123" t="str">
        <f>IF(AND(CN8&lt;&gt;"",CM8&lt;&gt;""),IF(CN8&gt;CM8,"Delayed",IF(CN8=CM8,"On Time",IF(CN8&lt;CM8,"In Advance"))),"")</f>
        <v/>
      </c>
      <c r="CQ8" s="97" t="str">
        <f ca="1">IF(CM8&lt;&gt;"",IF(WEEKNUM(CM8)=WEEKNUM(TODAY()),"This Week",IF(WEEKNUM(CM8)=WEEKNUM(TODAY())+1,"Next Week",IF(WEEKNUM(CM8)=WEEKNUM(TODAY())-1,"Previous Week",""))),"")</f>
        <v/>
      </c>
      <c r="CR8" s="98" t="str">
        <f>IF(CT8&lt;&gt;"",VLOOKUP($P8&amp;" | "&amp;CR$6,'Job Master'!$F$12:$J$102,5,0),"")</f>
        <v>Welding</v>
      </c>
      <c r="CS8" s="19" t="str">
        <f>IF(CT8&lt;&gt;"",VLOOKUP($P8&amp;" | "&amp;CR$6,'Job Master'!$F$12:$J$102,3,0),"")</f>
        <v>C</v>
      </c>
      <c r="CT8" s="19">
        <f>IFERROR(IF(AND(DA8&lt;&gt;"",VLOOKUP($P8&amp;" | "&amp;CR$6,'Job Master'!$F$12:$I$102,4,0)&lt;&gt;""),IF(WEEKDAY(DA8-VLOOKUP($P8&amp;" | "&amp;CR$6,'Job Master'!$F$12:$I$102,4,0))&lt;&gt;7,DA8-VLOOKUP($P8&amp;" | "&amp;CR$6,'Job Master'!$F$12:$I$102,4,0),DA8-VLOOKUP($P8&amp;" | "&amp;CR$6,'Job Master'!$F$12:$I$102,4,0)-1),""),"")</f>
        <v>44588</v>
      </c>
      <c r="CU8" s="73"/>
      <c r="CV8" s="123">
        <f>IF(CT8&lt;&gt;"",MONTH(CT8),"")</f>
        <v>1</v>
      </c>
      <c r="CW8" s="123" t="str">
        <f>IF(AND(CU8&lt;&gt;"",CT8&lt;&gt;""),IF(CU8&gt;CT8,"Delayed",IF(CU8=CT8,"On Time",IF(CU8&lt;CT8,"In Advance"))),"")</f>
        <v/>
      </c>
      <c r="CX8" s="97" t="str">
        <f ca="1">IF(CT8&lt;&gt;"",IF(WEEKNUM(CT8)=WEEKNUM(TODAY()),"This Week",IF(WEEKNUM(CT8)=WEEKNUM(TODAY())+1,"Next Week",IF(WEEKNUM(CT8)=WEEKNUM(TODAY())-1,"Previous Week",""))),"")</f>
        <v/>
      </c>
      <c r="CY8" s="98" t="str">
        <f>IF(DA8&lt;&gt;"",VLOOKUP($P8&amp;" | "&amp;CY$6,'Job Master'!$F$12:$J$102,5,0),"")</f>
        <v>Module</v>
      </c>
      <c r="CZ8" s="19" t="str">
        <f>IF(DA8&lt;&gt;"",VLOOKUP($P8&amp;" | "&amp;CY$6,'Job Master'!$F$12:$J$102,3,0),"")</f>
        <v>D</v>
      </c>
      <c r="DA8" s="19">
        <f>IFERROR(IF(AND(DH8&lt;&gt;"",VLOOKUP($P8&amp;" | "&amp;CY$6,'Job Master'!$F$12:$I$102,4,0)&lt;&gt;""),IF(WEEKDAY(DH8-VLOOKUP($P8&amp;" | "&amp;CY$6,'Job Master'!$F$12:$I$102,4,0))&lt;&gt;7,DH8-VLOOKUP($P8&amp;" | "&amp;CY$6,'Job Master'!$F$12:$I$102,4,0),DH8-VLOOKUP($P8&amp;" | "&amp;CY$6,'Job Master'!$F$12:$I$102,4,0)-1),""),"")</f>
        <v>44589</v>
      </c>
      <c r="DB8" s="73"/>
      <c r="DC8" s="123">
        <f>IF(DA8&lt;&gt;"",MONTH(DA8),"")</f>
        <v>1</v>
      </c>
      <c r="DD8" s="123" t="str">
        <f>IF(AND(DB8&lt;&gt;"",DA8&lt;&gt;""),IF(DB8&gt;DA8,"Delayed",IF(DB8=DA8,"On Time",IF(DB8&lt;DA8,"In Advance"))),"")</f>
        <v/>
      </c>
      <c r="DE8" s="97" t="str">
        <f ca="1">IF(DA8&lt;&gt;"",IF(WEEKNUM(DA8)=WEEKNUM(TODAY()),"This Week",IF(WEEKNUM(DA8)=WEEKNUM(TODAY())+1,"Next Week",IF(WEEKNUM(DA8)=WEEKNUM(TODAY())-1,"Previous Week",""))),"")</f>
        <v/>
      </c>
      <c r="DF8" s="98" t="str">
        <f>IF(DH8&lt;&gt;"",VLOOKUP($P8&amp;" | "&amp;DF$6,'Job Master'!$F$12:$J$102,5,0),"")</f>
        <v>Cladding</v>
      </c>
      <c r="DG8" s="19" t="str">
        <f>IF(DH8&lt;&gt;"",VLOOKUP($P8&amp;" | "&amp;DF$6,'Job Master'!$F$12:$J$102,3,0),"")</f>
        <v>E</v>
      </c>
      <c r="DH8" s="19">
        <f>IFERROR(IF(AND(DO8&lt;&gt;"",VLOOKUP($P8&amp;" | "&amp;DF$6,'Job Master'!$F$12:$I$102,4,0)&lt;&gt;""),IF(WEEKDAY(DO8-VLOOKUP($P8&amp;" | "&amp;DF$6,'Job Master'!$F$12:$I$102,4,0))&lt;&gt;7,DO8-VLOOKUP($P8&amp;" | "&amp;DF$6,'Job Master'!$F$12:$I$102,4,0),DO8-VLOOKUP($P8&amp;" | "&amp;DF$6,'Job Master'!$F$12:$I$102,4,0)-1),""),"")</f>
        <v>44591</v>
      </c>
      <c r="DI8" s="73"/>
      <c r="DJ8" s="123">
        <f>IF(DH8&lt;&gt;"",MONTH(DH8),"")</f>
        <v>1</v>
      </c>
      <c r="DK8" s="123" t="str">
        <f>IF(AND(DI8&lt;&gt;"",DH8&lt;&gt;""),IF(DI8&gt;DH8,"Delayed",IF(DI8=DH8,"On Time",IF(DI8&lt;DH8,"In Advance"))),"")</f>
        <v/>
      </c>
      <c r="DL8" s="97" t="str">
        <f ca="1">IF(DH8&lt;&gt;"",IF(WEEKNUM(DH8)=WEEKNUM(TODAY()),"This Week",IF(WEEKNUM(DH8)=WEEKNUM(TODAY())+1,"Next Week",IF(WEEKNUM(DH8)=WEEKNUM(TODAY())-1,"Previous Week",""))),"")</f>
        <v/>
      </c>
      <c r="DM8" s="98" t="str">
        <f>IF(DO8&lt;&gt;"",VLOOKUP($P8&amp;" | "&amp;DM$6,'Job Master'!$F$12:$J$102,5,0),"")</f>
        <v>Cladding</v>
      </c>
      <c r="DN8" s="19" t="str">
        <f>IF(DO8&lt;&gt;"",VLOOKUP($P8&amp;" | "&amp;DM$6,'Job Master'!$F$12:$J$102,3,0),"")</f>
        <v>F</v>
      </c>
      <c r="DO8" s="19">
        <f>IFERROR(IF(AND(DT8&lt;&gt;"",VLOOKUP($P8&amp;" | "&amp;DM$6,'Job Master'!$F$12:$I$102,4,0)&lt;&gt;""),IF(WEEKDAY(DT8-VLOOKUP($P8&amp;" | "&amp;DM$6,'Job Master'!$F$12:$I$102,4,0))&lt;&gt;7,DT8-VLOOKUP($P8&amp;" | "&amp;DM$6,'Job Master'!$F$12:$I$102,4,0),DT8-VLOOKUP($P8&amp;" | "&amp;DM$6,'Job Master'!$F$12:$I$102,4,0)-1),""),"")</f>
        <v>44592</v>
      </c>
      <c r="DP8" s="73"/>
      <c r="DQ8" s="123">
        <f>IF(DO8&lt;&gt;"",MONTH(DO8),"")</f>
        <v>1</v>
      </c>
      <c r="DR8" s="123" t="str">
        <f>IF(AND(DP8&lt;&gt;"",DO8&lt;&gt;""),IF(DP8&gt;DO8,"Delayed",IF(DP8=DO8,"On Time",IF(DP8&lt;DO8,"In Advance"))),"")</f>
        <v/>
      </c>
      <c r="DS8" s="97" t="str">
        <f ca="1">IF(DO8&lt;&gt;"",IF(WEEKNUM(DO8)=WEEKNUM(TODAY()),"This Week",IF(WEEKNUM(DO8)=WEEKNUM(TODAY())+1,"Next Week",IF(WEEKNUM(DO8)=WEEKNUM(TODAY())-1,"Previous Week",""))),"")</f>
        <v/>
      </c>
      <c r="DT8" s="70">
        <f>IF(AB8&lt;&gt;"",AB8,"")</f>
        <v>44593</v>
      </c>
      <c r="DU8" s="90"/>
      <c r="DV8" s="123">
        <f>IF(DT8&lt;&gt;"",MONTH(DT8),"")</f>
        <v>2</v>
      </c>
      <c r="DW8" s="123" t="str">
        <f>IF(AND(DU8&lt;&gt;"",DT8&lt;&gt;""),IF(DU8&gt;DT8,"Delayed",IF(DU8=DT8,"On Time",IF(DU8&lt;DT8,"In Advance"))),"")</f>
        <v/>
      </c>
      <c r="DX8" s="132" t="str">
        <f ca="1">IF(DT8&lt;&gt;"",IF(WEEKNUM(DT8)=WEEKNUM(TODAY()),"This Week",IF(WEEKNUM(DT8)=WEEKNUM(TODAY())+1,"Next Week",IF(WEEKNUM(DT8)=WEEKNUM(TODAY())-1,"Previous Week",""))),"")</f>
        <v/>
      </c>
      <c r="DY8" s="134" t="str">
        <f>IF(AND(DT8&lt;&gt;"",DU8&lt;&gt;""),DU8-DT8,"")</f>
        <v/>
      </c>
      <c r="DZ8" s="94"/>
      <c r="EB8" s="8">
        <f t="shared" ref="EB8:EB13" si="0">IF(Y8&lt;&gt;"",Y8,"")</f>
        <v>11</v>
      </c>
      <c r="EC8" s="8">
        <f>IF(O8&lt;&gt;"",VLOOKUP(O8,'Job Master'!$N$12:$O$18,2,0),"")</f>
        <v>10</v>
      </c>
      <c r="ED8" s="8">
        <f>IF(EC8&lt;&gt;"",IF(EF8&gt;EC8,EB8,MOD(EB8,EC8)),ED7)</f>
        <v>11</v>
      </c>
      <c r="EE8" s="8">
        <f>IF(EC8&lt;&gt;"",EC8,IF(EE7&lt;&gt;"",EE7,""))</f>
        <v>10</v>
      </c>
      <c r="EF8" s="8">
        <f>IF(EC8&lt;&gt;"",EB8,IF(EF7&lt;&gt;"",EF7-EE8,""))</f>
        <v>11</v>
      </c>
      <c r="EG8" s="8">
        <f>IF(EF7&lt;&gt;0,IF(EF8&gt;0,EF8,""),IF(EF8&lt;&gt;"",IF(EF8&gt;0,EF8,""),""))</f>
        <v>11</v>
      </c>
      <c r="EH8" s="8">
        <f>IF(EG8&lt;&gt;"",IF(EG8&gt;=EE8,EE8,MOD(ED8,EE8)),"")</f>
        <v>10</v>
      </c>
    </row>
    <row r="9" spans="2:138" x14ac:dyDescent="0.3">
      <c r="B9" s="111" t="str">
        <f>IF(F9&lt;&gt;"",F9&amp;" | "&amp;COUNTIF($F$8:F9,F9),"")</f>
        <v>1234 | 2</v>
      </c>
      <c r="C9" s="27"/>
      <c r="D9" s="7">
        <f t="shared" ref="D9:J72" si="1">IF(IF(C9&lt;&gt;"",C9,IF($AA9&lt;&gt;"",D8,""))&lt;&gt;0,IF(C9&lt;&gt;"",C9,IF($AA9&lt;&gt;"",D8,"")),"")</f>
        <v>1</v>
      </c>
      <c r="E9" s="25"/>
      <c r="F9" s="7">
        <f t="shared" si="1"/>
        <v>1234</v>
      </c>
      <c r="G9" s="25"/>
      <c r="H9" s="7">
        <f t="shared" si="1"/>
        <v>9738</v>
      </c>
      <c r="I9" s="25"/>
      <c r="J9" s="7">
        <f t="shared" si="1"/>
        <v>1</v>
      </c>
      <c r="K9" s="25"/>
      <c r="L9" s="7" t="str">
        <f t="shared" ref="L9:L72" si="2">IF(IF(K9&lt;&gt;"",K9,IF($AA9&lt;&gt;"",L8,""))&lt;&gt;0,IF(K9&lt;&gt;"",K9,IF($AA9&lt;&gt;"",L8,"")),"")</f>
        <v>ABC</v>
      </c>
      <c r="M9" s="25"/>
      <c r="N9" s="7" t="str">
        <f t="shared" ref="N9:N72" si="3">IF(IF(M9&lt;&gt;"",M9,IF($AA9&lt;&gt;"",N8,""))&lt;&gt;0,IF(M9&lt;&gt;"",M9,IF($AA9&lt;&gt;"",N8,"")),"")</f>
        <v/>
      </c>
      <c r="O9" s="81"/>
      <c r="P9" s="81" t="str">
        <f t="shared" ref="P9:P72" si="4">IF(IF(O9&lt;&gt;"",O9,IF($AA9&lt;&gt;"",P8,""))&lt;&gt;0,IF(O9&lt;&gt;"",O9,IF($AA9&lt;&gt;"",P8,"")),"")</f>
        <v>AEGIS+</v>
      </c>
      <c r="Q9" s="81"/>
      <c r="R9" s="7" t="str">
        <f t="shared" ref="R9:R72" si="5">IF(IF(Q9&lt;&gt;"",Q9,IF($AA9&lt;&gt;"",R8,""))&lt;&gt;0,IF(Q9&lt;&gt;"",Q9,IF($AA9&lt;&gt;"",R8,"")),"")</f>
        <v>2 Way</v>
      </c>
      <c r="S9" s="25"/>
      <c r="T9" s="7" t="str">
        <f t="shared" ref="T9:T72" si="6">IF(IF(S9&lt;&gt;"",S9,IF($AA9&lt;&gt;"",T8,""))&lt;&gt;0,IF(S9&lt;&gt;"",S9,IF($AA9&lt;&gt;"",T8,"")),"")</f>
        <v/>
      </c>
      <c r="U9" s="25"/>
      <c r="V9" s="7">
        <f t="shared" ref="V9:V72" si="7">IF(IF(U9&lt;&gt;"",U9,IF($AA9&lt;&gt;"",V8,""))&lt;&gt;0,IF(U9&lt;&gt;"",U9,IF($AA9&lt;&gt;"",V8,"")),"")</f>
        <v>10</v>
      </c>
      <c r="W9" s="25"/>
      <c r="X9" s="7">
        <f t="shared" ref="X9:X72" si="8">IF(IF(W9&lt;&gt;"",W9,IF($AA9&lt;&gt;"",X8,""))&lt;&gt;0,IF(W9&lt;&gt;"",W9,IF($AA9&lt;&gt;"",X8,"")),"")</f>
        <v>1.1000000000000001</v>
      </c>
      <c r="Y9" s="18" t="str">
        <f t="shared" ref="Y9:Y72" si="9">IF(AND(W9&lt;&gt;"",U9&lt;&gt;""),U9*W9,"")</f>
        <v/>
      </c>
      <c r="Z9" s="7">
        <f t="shared" ref="Z9:Z72" si="10">IF(IF(Y9&lt;&gt;"",Y9,IF($AA9&lt;&gt;"",Z8,""))&lt;&gt;0,IF(Y9&lt;&gt;"",Y9,IF($AA9&lt;&gt;"",Z8,"")),"")</f>
        <v>11</v>
      </c>
      <c r="AA9" s="18">
        <f t="shared" ref="AA9:AA72" si="11">IF(EH9&lt;&gt;"",EH9,"")</f>
        <v>1</v>
      </c>
      <c r="AB9" s="19">
        <f t="shared" ref="AB9:AB72" si="12">IF(AA9&lt;&gt;"",IF(WEEKDAY(IF(AF9&lt;&gt;"",AF9,IF(AD9&lt;&gt;"",AD9,IF(AC9&lt;&gt;"",AC9,IF(AND(AC9="",AD9="",AF9="",AA9&lt;&gt;""),AB8-1,"")))))&lt;&gt;7,IF(AF9&lt;&gt;"",AF9,IF(AD9&lt;&gt;"",AD9,IF(AC9&lt;&gt;"",AC9,IF(AND(AC9="",AD9="",AF9="",AA9&lt;&gt;""),AB8-1,"")))),IF(AF9&lt;&gt;"",AF9,IF(AD9&lt;&gt;"",AD9,IF(AC9&lt;&gt;"",AC9,IF(AND(AC9="",AD9="",AF9="",AA9&lt;&gt;""),AB8-1,""))))-1),"")</f>
        <v>44592</v>
      </c>
      <c r="AC9" s="26"/>
      <c r="AD9" s="26"/>
      <c r="AE9" s="25"/>
      <c r="AF9" s="26"/>
      <c r="AG9" s="25"/>
      <c r="AH9" s="25"/>
      <c r="AI9" s="18" t="str">
        <f t="shared" ref="AI9:AI24" si="13">IF(IF(AH9&lt;&gt;"",AH9,IF($AA9&lt;&gt;"",AI8,""))&lt;&gt;0,IF(AH9&lt;&gt;"",AH9,IF($AA9&lt;&gt;"",AI8,"")),"")</f>
        <v/>
      </c>
      <c r="AJ9" s="25"/>
      <c r="AK9" s="18" t="str">
        <f t="shared" ref="AK9:AK24" si="14">IF(IF(AJ9&lt;&gt;"",AJ9,IF($AA9&lt;&gt;"",AK8,""))&lt;&gt;0,IF(AJ9&lt;&gt;"",AJ9,IF($AA9&lt;&gt;"",AK8,"")),"")</f>
        <v/>
      </c>
      <c r="AL9" s="79"/>
      <c r="AM9" s="126" t="str">
        <f t="shared" ref="AM9:AM24" si="15">IF(IF(AL9&lt;&gt;"",AL9,IF($AA9&lt;&gt;"",AM8,""))&lt;&gt;0,IF(AL9&lt;&gt;"",AL9,IF($AA9&lt;&gt;"",AM8,"")),"")</f>
        <v/>
      </c>
      <c r="AN9" s="128" t="str">
        <f>IF(AP9&lt;&gt;"",VLOOKUP($P9&amp;" | "&amp;AN$6,'Job Master'!$F$12:$J$102,5,0),"")</f>
        <v/>
      </c>
      <c r="AO9" s="19" t="str">
        <f>IF(AP9&lt;&gt;"",VLOOKUP($P9&amp;" | "&amp;AN$6,'Job Master'!$F$12:$J$102,3,0),"")</f>
        <v/>
      </c>
      <c r="AP9" s="19" t="str">
        <f>IFERROR(IF(AND(AW9&lt;&gt;"",VLOOKUP($P9&amp;" | "&amp;AN$6,'Job Master'!$F$12:$I$102,4,0)&lt;&gt;""),IF(WEEKDAY(AW9-VLOOKUP($P9&amp;" | "&amp;AN$6,'Job Master'!$F$12:$I$102,4,0))&lt;&gt;7,AW9-VLOOKUP($P9&amp;" | "&amp;AN$6,'Job Master'!$F$12:$I$102,4,0),AW9-VLOOKUP($P9&amp;" | "&amp;AN$6,'Job Master'!$F$12:$I$102,4,0)-1),""),"")</f>
        <v/>
      </c>
      <c r="AQ9" s="73"/>
      <c r="AR9" s="123" t="str">
        <f t="shared" ref="AR9:AR72" si="16">IF(AP9&lt;&gt;"",MONTH(AP9),"")</f>
        <v/>
      </c>
      <c r="AS9" s="123" t="str">
        <f t="shared" ref="AS9:AS72" si="17">IF(AND(AQ9&lt;&gt;"",AP9&lt;&gt;""),IF(AQ9&gt;AP9,"Delayed",IF(AQ9=AP9,"On Time",IF(AQ9&lt;AP9,"In Advance"))),"")</f>
        <v/>
      </c>
      <c r="AT9" s="97" t="str">
        <f t="shared" ref="AT9:AT72" ca="1" si="18">IF(AP9&lt;&gt;"",IF(WEEKNUM(AP9)=WEEKNUM(TODAY()),"This Week",IF(WEEKNUM(AP9)=WEEKNUM(TODAY())+1,"Next Week",IF(WEEKNUM(AP9)=WEEKNUM(TODAY())-1,"Previous Week",""))),"")</f>
        <v/>
      </c>
      <c r="AU9" s="98" t="str">
        <f>IF(AW9&lt;&gt;"",VLOOKUP($P9&amp;" | "&amp;AU$6,'Job Master'!$F$12:$J$102,5,0),"")</f>
        <v/>
      </c>
      <c r="AV9" s="19" t="str">
        <f>IF(AW9&lt;&gt;"",VLOOKUP($P9&amp;" | "&amp;AU$6,'Job Master'!$F$12:$J$102,3,0),"")</f>
        <v/>
      </c>
      <c r="AW9" s="19" t="str">
        <f>IFERROR(IF(AND(BD9&lt;&gt;"",VLOOKUP($P9&amp;" | "&amp;AU$6,'Job Master'!$F$12:$I$102,4,0)&lt;&gt;""),IF(WEEKDAY(BD9-VLOOKUP($P9&amp;" | "&amp;AU$6,'Job Master'!$F$12:$I$102,4,0))&lt;&gt;7,BD9-VLOOKUP($P9&amp;" | "&amp;AU$6,'Job Master'!$F$12:$I$102,4,0),BD9-VLOOKUP($P9&amp;" | "&amp;AU$6,'Job Master'!$F$12:$I$102,4,0)-1),""),"")</f>
        <v/>
      </c>
      <c r="AX9" s="73"/>
      <c r="AY9" s="123" t="str">
        <f t="shared" ref="AY9:AY72" si="19">IF(AW9&lt;&gt;"",MONTH(AW9),"")</f>
        <v/>
      </c>
      <c r="AZ9" s="123" t="str">
        <f t="shared" ref="AZ9:AZ72" si="20">IF(AND(AX9&lt;&gt;"",AW9&lt;&gt;""),IF(AX9&gt;AW9,"Delayed",IF(AX9=AW9,"On Time",IF(AX9&lt;AW9,"In Advance"))),"")</f>
        <v/>
      </c>
      <c r="BA9" s="97" t="str">
        <f t="shared" ref="BA9:BA72" ca="1" si="21">IF(AW9&lt;&gt;"",IF(WEEKNUM(AW9)=WEEKNUM(TODAY()),"This Week",IF(WEEKNUM(AW9)=WEEKNUM(TODAY())+1,"Next Week",IF(WEEKNUM(AW9)=WEEKNUM(TODAY())-1,"Previous Week",""))),"")</f>
        <v/>
      </c>
      <c r="BB9" s="98" t="str">
        <f>IF(BD9&lt;&gt;"",VLOOKUP($P9&amp;" | "&amp;BB$6,'Job Master'!$F$12:$J$102,5,0),"")</f>
        <v/>
      </c>
      <c r="BC9" s="19" t="str">
        <f>IF(BD9&lt;&gt;"",VLOOKUP($P9&amp;" | "&amp;BB$6,'Job Master'!$F$12:$J$102,3,0),"")</f>
        <v/>
      </c>
      <c r="BD9" s="19" t="str">
        <f>IFERROR(IF(AND(BK9&lt;&gt;"",VLOOKUP($P9&amp;" | "&amp;BB$6,'Job Master'!$F$12:$I$102,4,0)&lt;&gt;""),IF(WEEKDAY(BK9-VLOOKUP($P9&amp;" | "&amp;BB$6,'Job Master'!$F$12:$I$102,4,0))&lt;&gt;7,BK9-VLOOKUP($P9&amp;" | "&amp;BB$6,'Job Master'!$F$12:$I$102,4,0),BK9-VLOOKUP($P9&amp;" | "&amp;BB$6,'Job Master'!$F$12:$I$102,4,0)-1),""),"")</f>
        <v/>
      </c>
      <c r="BE9" s="73"/>
      <c r="BF9" s="123" t="str">
        <f t="shared" ref="BF9:BF72" si="22">IF(BD9&lt;&gt;"",MONTH(BD9),"")</f>
        <v/>
      </c>
      <c r="BG9" s="123" t="str">
        <f t="shared" ref="BG9:BG72" si="23">IF(AND(BE9&lt;&gt;"",BD9&lt;&gt;""),IF(BE9&gt;BD9,"Delayed",IF(BE9=BD9,"On Time",IF(BE9&lt;BD9,"In Advance"))),"")</f>
        <v/>
      </c>
      <c r="BH9" s="97" t="str">
        <f t="shared" ref="BH9:BH72" ca="1" si="24">IF(BD9&lt;&gt;"",IF(WEEKNUM(BD9)=WEEKNUM(TODAY()),"This Week",IF(WEEKNUM(BD9)=WEEKNUM(TODAY())+1,"Next Week",IF(WEEKNUM(BD9)=WEEKNUM(TODAY())-1,"Previous Week",""))),"")</f>
        <v/>
      </c>
      <c r="BI9" s="98" t="str">
        <f>IF(BK9&lt;&gt;"",VLOOKUP($P9&amp;" | "&amp;BI$6,'Job Master'!$F$12:$J$102,5,0),"")</f>
        <v/>
      </c>
      <c r="BJ9" s="19" t="str">
        <f>IF(BK9&lt;&gt;"",VLOOKUP($P9&amp;" | "&amp;BI$6,'Job Master'!$F$12:$J$102,3,0),"")</f>
        <v/>
      </c>
      <c r="BK9" s="19" t="str">
        <f>IFERROR(IF(AND(BR9&lt;&gt;"",VLOOKUP($P9&amp;" | "&amp;BI$6,'Job Master'!$F$12:$I$102,4,0)&lt;&gt;""),IF(WEEKDAY(BR9-VLOOKUP($P9&amp;" | "&amp;BI$6,'Job Master'!$F$12:$I$102,4,0))&lt;&gt;7,BR9-VLOOKUP($P9&amp;" | "&amp;BI$6,'Job Master'!$F$12:$I$102,4,0),BR9-VLOOKUP($P9&amp;" | "&amp;BI$6,'Job Master'!$F$12:$I$102,4,0)-1),""),"")</f>
        <v/>
      </c>
      <c r="BL9" s="73"/>
      <c r="BM9" s="123" t="str">
        <f t="shared" ref="BM9:BM72" si="25">IF(BK9&lt;&gt;"",MONTH(BK9),"")</f>
        <v/>
      </c>
      <c r="BN9" s="123" t="str">
        <f t="shared" ref="BN9:BN72" si="26">IF(AND(BL9&lt;&gt;"",BK9&lt;&gt;""),IF(BL9&gt;BK9,"Delayed",IF(BL9=BK9,"On Time",IF(BL9&lt;BK9,"In Advance"))),"")</f>
        <v/>
      </c>
      <c r="BO9" s="97" t="str">
        <f t="shared" ref="BO9:BO72" ca="1" si="27">IF(BK9&lt;&gt;"",IF(WEEKNUM(BK9)=WEEKNUM(TODAY()),"This Week",IF(WEEKNUM(BK9)=WEEKNUM(TODAY())+1,"Next Week",IF(WEEKNUM(BK9)=WEEKNUM(TODAY())-1,"Previous Week",""))),"")</f>
        <v/>
      </c>
      <c r="BP9" s="98" t="str">
        <f>IF(BR9&lt;&gt;"",VLOOKUP($P9&amp;" | "&amp;BP$6,'Job Master'!$F$12:$J$102,5,0),"")</f>
        <v/>
      </c>
      <c r="BQ9" s="19" t="str">
        <f>IF(BR9&lt;&gt;"",VLOOKUP($P9&amp;" | "&amp;BP$6,'Job Master'!$F$12:$J$102,3,0),"")</f>
        <v/>
      </c>
      <c r="BR9" s="19" t="str">
        <f>IFERROR(IF(AND(BY9&lt;&gt;"",VLOOKUP($P9&amp;" | "&amp;BP$6,'Job Master'!$F$12:$I$102,4,0)&lt;&gt;""),IF(WEEKDAY(BY9-VLOOKUP($P9&amp;" | "&amp;BP$6,'Job Master'!$F$12:$I$102,4,0))&lt;&gt;7,BY9-VLOOKUP($P9&amp;" | "&amp;BP$6,'Job Master'!$F$12:$I$102,4,0),BY9-VLOOKUP($P9&amp;" | "&amp;BP$6,'Job Master'!$F$12:$I$102,4,0)-1),""),"")</f>
        <v/>
      </c>
      <c r="BS9" s="73"/>
      <c r="BT9" s="123" t="str">
        <f t="shared" ref="BT9:BT72" si="28">IF(BR9&lt;&gt;"",MONTH(BR9),"")</f>
        <v/>
      </c>
      <c r="BU9" s="123" t="str">
        <f t="shared" ref="BU9:BU72" si="29">IF(AND(BS9&lt;&gt;"",BR9&lt;&gt;""),IF(BS9&gt;BR9,"Delayed",IF(BS9=BR9,"On Time",IF(BS9&lt;BR9,"In Advance"))),"")</f>
        <v/>
      </c>
      <c r="BV9" s="97" t="str">
        <f t="shared" ref="BV9:BV72" ca="1" si="30">IF(BR9&lt;&gt;"",IF(WEEKNUM(BR9)=WEEKNUM(TODAY()),"This Week",IF(WEEKNUM(BR9)=WEEKNUM(TODAY())+1,"Next Week",IF(WEEKNUM(BR9)=WEEKNUM(TODAY())-1,"Previous Week",""))),"")</f>
        <v/>
      </c>
      <c r="BW9" s="98" t="str">
        <f>IF(BY9&lt;&gt;"",VLOOKUP($P9&amp;" | "&amp;BW$6,'Job Master'!$F$12:$J$102,5,0),"")</f>
        <v>Others</v>
      </c>
      <c r="BX9" s="19" t="str">
        <f>IF(BY9&lt;&gt;"",VLOOKUP($P9&amp;" | "&amp;BW$6,'Job Master'!$F$12:$J$102,3,0),"")</f>
        <v>Mfg. Clearance</v>
      </c>
      <c r="BY9" s="19">
        <f>IFERROR(IF(AND(CF9&lt;&gt;"",VLOOKUP($P9&amp;" | "&amp;BW$6,'Job Master'!$F$12:$I$102,4,0)&lt;&gt;""),IF(WEEKDAY(CF9-VLOOKUP($P9&amp;" | "&amp;BW$6,'Job Master'!$F$12:$I$102,4,0))&lt;&gt;7,CF9-VLOOKUP($P9&amp;" | "&amp;BW$6,'Job Master'!$F$12:$I$102,4,0),CF9-VLOOKUP($P9&amp;" | "&amp;BW$6,'Job Master'!$F$12:$I$102,4,0)-1),""),"")</f>
        <v>44581</v>
      </c>
      <c r="BZ9" s="73"/>
      <c r="CA9" s="123">
        <f t="shared" ref="CA9:CA72" si="31">IF(BY9&lt;&gt;"",MONTH(BY9),"")</f>
        <v>1</v>
      </c>
      <c r="CB9" s="123" t="str">
        <f t="shared" ref="CB9:CB72" si="32">IF(AND(BZ9&lt;&gt;"",BY9&lt;&gt;""),IF(BZ9&gt;BY9,"Delayed",IF(BZ9=BY9,"On Time",IF(BZ9&lt;BY9,"In Advance"))),"")</f>
        <v/>
      </c>
      <c r="CC9" s="97" t="str">
        <f t="shared" ref="CC9:CC72" ca="1" si="33">IF(BY9&lt;&gt;"",IF(WEEKNUM(BY9)=WEEKNUM(TODAY()),"This Week",IF(WEEKNUM(BY9)=WEEKNUM(TODAY())+1,"Next Week",IF(WEEKNUM(BY9)=WEEKNUM(TODAY())-1,"Previous Week",""))),"")</f>
        <v/>
      </c>
      <c r="CD9" s="98" t="str">
        <f>IF(CF9&lt;&gt;"",VLOOKUP($P9&amp;" | "&amp;CD$6,'Job Master'!$F$12:$J$102,5,0),"")</f>
        <v>Welding</v>
      </c>
      <c r="CE9" s="19" t="str">
        <f>IF(CF9&lt;&gt;"",VLOOKUP($P9&amp;" | "&amp;CD$6,'Job Master'!$F$12:$J$102,3,0),"")</f>
        <v>A</v>
      </c>
      <c r="CF9" s="19">
        <f>IFERROR(IF(AND(CM9&lt;&gt;"",VLOOKUP($P9&amp;" | "&amp;CD$6,'Job Master'!$F$12:$I$102,4,0)&lt;&gt;""),IF(WEEKDAY(CM9-VLOOKUP($P9&amp;" | "&amp;CD$6,'Job Master'!$F$12:$I$102,4,0))&lt;&gt;7,CM9-VLOOKUP($P9&amp;" | "&amp;CD$6,'Job Master'!$F$12:$I$102,4,0),CM9-VLOOKUP($P9&amp;" | "&amp;CD$6,'Job Master'!$F$12:$I$102,4,0)-1),""),"")</f>
        <v>44582</v>
      </c>
      <c r="CG9" s="73"/>
      <c r="CH9" s="123">
        <f t="shared" ref="CH9:CH72" si="34">IF(CF9&lt;&gt;"",MONTH(CF9),"")</f>
        <v>1</v>
      </c>
      <c r="CI9" s="123" t="str">
        <f t="shared" ref="CI9:CI72" si="35">IF(AND(CG9&lt;&gt;"",CF9&lt;&gt;""),IF(CG9&gt;CF9,"Delayed",IF(CG9=CF9,"On Time",IF(CG9&lt;CF9,"In Advance"))),"")</f>
        <v/>
      </c>
      <c r="CJ9" s="97" t="str">
        <f t="shared" ref="CJ9:CJ72" ca="1" si="36">IF(CF9&lt;&gt;"",IF(WEEKNUM(CF9)=WEEKNUM(TODAY()),"This Week",IF(WEEKNUM(CF9)=WEEKNUM(TODAY())+1,"Next Week",IF(WEEKNUM(CF9)=WEEKNUM(TODAY())-1,"Previous Week",""))),"")</f>
        <v/>
      </c>
      <c r="CK9" s="98" t="str">
        <f>IF(CM9&lt;&gt;"",VLOOKUP($P9&amp;" | "&amp;CK$6,'Job Master'!$F$12:$J$102,5,0),"")</f>
        <v>Welding</v>
      </c>
      <c r="CL9" s="19" t="str">
        <f>IF(CM9&lt;&gt;"",VLOOKUP($P9&amp;" | "&amp;CK$6,'Job Master'!$F$12:$J$102,3,0),"")</f>
        <v>B</v>
      </c>
      <c r="CM9" s="19">
        <f>IFERROR(IF(AND(CT9&lt;&gt;"",VLOOKUP($P9&amp;" | "&amp;CK$6,'Job Master'!$F$12:$I$102,4,0)&lt;&gt;""),IF(WEEKDAY(CT9-VLOOKUP($P9&amp;" | "&amp;CK$6,'Job Master'!$F$12:$I$102,4,0))&lt;&gt;7,CT9-VLOOKUP($P9&amp;" | "&amp;CK$6,'Job Master'!$F$12:$I$102,4,0),CT9-VLOOKUP($P9&amp;" | "&amp;CK$6,'Job Master'!$F$12:$I$102,4,0)-1),""),"")</f>
        <v>44584</v>
      </c>
      <c r="CN9" s="73"/>
      <c r="CO9" s="123">
        <f t="shared" ref="CO9:CO72" si="37">IF(CM9&lt;&gt;"",MONTH(CM9),"")</f>
        <v>1</v>
      </c>
      <c r="CP9" s="123" t="str">
        <f t="shared" ref="CP9:CP72" si="38">IF(AND(CN9&lt;&gt;"",CM9&lt;&gt;""),IF(CN9&gt;CM9,"Delayed",IF(CN9=CM9,"On Time",IF(CN9&lt;CM9,"In Advance"))),"")</f>
        <v/>
      </c>
      <c r="CQ9" s="97" t="str">
        <f t="shared" ref="CQ9:CQ72" ca="1" si="39">IF(CM9&lt;&gt;"",IF(WEEKNUM(CM9)=WEEKNUM(TODAY()),"This Week",IF(WEEKNUM(CM9)=WEEKNUM(TODAY())+1,"Next Week",IF(WEEKNUM(CM9)=WEEKNUM(TODAY())-1,"Previous Week",""))),"")</f>
        <v/>
      </c>
      <c r="CR9" s="98" t="str">
        <f>IF(CT9&lt;&gt;"",VLOOKUP($P9&amp;" | "&amp;CR$6,'Job Master'!$F$12:$J$102,5,0),"")</f>
        <v>Welding</v>
      </c>
      <c r="CS9" s="19" t="str">
        <f>IF(CT9&lt;&gt;"",VLOOKUP($P9&amp;" | "&amp;CR$6,'Job Master'!$F$12:$J$102,3,0),"")</f>
        <v>C</v>
      </c>
      <c r="CT9" s="19">
        <f>IFERROR(IF(AND(DA9&lt;&gt;"",VLOOKUP($P9&amp;" | "&amp;CR$6,'Job Master'!$F$12:$I$102,4,0)&lt;&gt;""),IF(WEEKDAY(DA9-VLOOKUP($P9&amp;" | "&amp;CR$6,'Job Master'!$F$12:$I$102,4,0))&lt;&gt;7,DA9-VLOOKUP($P9&amp;" | "&amp;CR$6,'Job Master'!$F$12:$I$102,4,0),DA9-VLOOKUP($P9&amp;" | "&amp;CR$6,'Job Master'!$F$12:$I$102,4,0)-1),""),"")</f>
        <v>44587</v>
      </c>
      <c r="CU9" s="73"/>
      <c r="CV9" s="123">
        <f t="shared" ref="CV9:CV72" si="40">IF(CT9&lt;&gt;"",MONTH(CT9),"")</f>
        <v>1</v>
      </c>
      <c r="CW9" s="123" t="str">
        <f t="shared" ref="CW9:CW72" si="41">IF(AND(CU9&lt;&gt;"",CT9&lt;&gt;""),IF(CU9&gt;CT9,"Delayed",IF(CU9=CT9,"On Time",IF(CU9&lt;CT9,"In Advance"))),"")</f>
        <v/>
      </c>
      <c r="CX9" s="97" t="str">
        <f t="shared" ref="CX9:CX72" ca="1" si="42">IF(CT9&lt;&gt;"",IF(WEEKNUM(CT9)=WEEKNUM(TODAY()),"This Week",IF(WEEKNUM(CT9)=WEEKNUM(TODAY())+1,"Next Week",IF(WEEKNUM(CT9)=WEEKNUM(TODAY())-1,"Previous Week",""))),"")</f>
        <v/>
      </c>
      <c r="CY9" s="98" t="str">
        <f>IF(DA9&lt;&gt;"",VLOOKUP($P9&amp;" | "&amp;CY$6,'Job Master'!$F$12:$J$102,5,0),"")</f>
        <v>Module</v>
      </c>
      <c r="CZ9" s="19" t="str">
        <f>IF(DA9&lt;&gt;"",VLOOKUP($P9&amp;" | "&amp;CY$6,'Job Master'!$F$12:$J$102,3,0),"")</f>
        <v>D</v>
      </c>
      <c r="DA9" s="19">
        <f>IFERROR(IF(AND(DH9&lt;&gt;"",VLOOKUP($P9&amp;" | "&amp;CY$6,'Job Master'!$F$12:$I$102,4,0)&lt;&gt;""),IF(WEEKDAY(DH9-VLOOKUP($P9&amp;" | "&amp;CY$6,'Job Master'!$F$12:$I$102,4,0))&lt;&gt;7,DH9-VLOOKUP($P9&amp;" | "&amp;CY$6,'Job Master'!$F$12:$I$102,4,0),DH9-VLOOKUP($P9&amp;" | "&amp;CY$6,'Job Master'!$F$12:$I$102,4,0)-1),""),"")</f>
        <v>44588</v>
      </c>
      <c r="DB9" s="73"/>
      <c r="DC9" s="123">
        <f t="shared" ref="DC9:DC72" si="43">IF(DA9&lt;&gt;"",MONTH(DA9),"")</f>
        <v>1</v>
      </c>
      <c r="DD9" s="123" t="str">
        <f t="shared" ref="DD9:DD72" si="44">IF(AND(DB9&lt;&gt;"",DA9&lt;&gt;""),IF(DB9&gt;DA9,"Delayed",IF(DB9=DA9,"On Time",IF(DB9&lt;DA9,"In Advance"))),"")</f>
        <v/>
      </c>
      <c r="DE9" s="97" t="str">
        <f t="shared" ref="DE9:DE72" ca="1" si="45">IF(DA9&lt;&gt;"",IF(WEEKNUM(DA9)=WEEKNUM(TODAY()),"This Week",IF(WEEKNUM(DA9)=WEEKNUM(TODAY())+1,"Next Week",IF(WEEKNUM(DA9)=WEEKNUM(TODAY())-1,"Previous Week",""))),"")</f>
        <v/>
      </c>
      <c r="DF9" s="98" t="str">
        <f>IF(DH9&lt;&gt;"",VLOOKUP($P9&amp;" | "&amp;DF$6,'Job Master'!$F$12:$J$102,5,0),"")</f>
        <v>Cladding</v>
      </c>
      <c r="DG9" s="19" t="str">
        <f>IF(DH9&lt;&gt;"",VLOOKUP($P9&amp;" | "&amp;DF$6,'Job Master'!$F$12:$J$102,3,0),"")</f>
        <v>E</v>
      </c>
      <c r="DH9" s="19">
        <f>IFERROR(IF(AND(DO9&lt;&gt;"",VLOOKUP($P9&amp;" | "&amp;DF$6,'Job Master'!$F$12:$I$102,4,0)&lt;&gt;""),IF(WEEKDAY(DO9-VLOOKUP($P9&amp;" | "&amp;DF$6,'Job Master'!$F$12:$I$102,4,0))&lt;&gt;7,DO9-VLOOKUP($P9&amp;" | "&amp;DF$6,'Job Master'!$F$12:$I$102,4,0),DO9-VLOOKUP($P9&amp;" | "&amp;DF$6,'Job Master'!$F$12:$I$102,4,0)-1),""),"")</f>
        <v>44589</v>
      </c>
      <c r="DI9" s="73"/>
      <c r="DJ9" s="123">
        <f t="shared" ref="DJ9:DJ72" si="46">IF(DH9&lt;&gt;"",MONTH(DH9),"")</f>
        <v>1</v>
      </c>
      <c r="DK9" s="123" t="str">
        <f t="shared" ref="DK9:DK72" si="47">IF(AND(DI9&lt;&gt;"",DH9&lt;&gt;""),IF(DI9&gt;DH9,"Delayed",IF(DI9=DH9,"On Time",IF(DI9&lt;DH9,"In Advance"))),"")</f>
        <v/>
      </c>
      <c r="DL9" s="97" t="str">
        <f t="shared" ref="DL9:DL72" ca="1" si="48">IF(DH9&lt;&gt;"",IF(WEEKNUM(DH9)=WEEKNUM(TODAY()),"This Week",IF(WEEKNUM(DH9)=WEEKNUM(TODAY())+1,"Next Week",IF(WEEKNUM(DH9)=WEEKNUM(TODAY())-1,"Previous Week",""))),"")</f>
        <v/>
      </c>
      <c r="DM9" s="98" t="str">
        <f>IF(DO9&lt;&gt;"",VLOOKUP($P9&amp;" | "&amp;DM$6,'Job Master'!$F$12:$J$102,5,0),"")</f>
        <v>Cladding</v>
      </c>
      <c r="DN9" s="19" t="str">
        <f>IF(DO9&lt;&gt;"",VLOOKUP($P9&amp;" | "&amp;DM$6,'Job Master'!$F$12:$J$102,3,0),"")</f>
        <v>F</v>
      </c>
      <c r="DO9" s="19">
        <f>IFERROR(IF(AND(DT9&lt;&gt;"",VLOOKUP($P9&amp;" | "&amp;DM$6,'Job Master'!$F$12:$I$102,4,0)&lt;&gt;""),IF(WEEKDAY(DT9-VLOOKUP($P9&amp;" | "&amp;DM$6,'Job Master'!$F$12:$I$102,4,0))&lt;&gt;7,DT9-VLOOKUP($P9&amp;" | "&amp;DM$6,'Job Master'!$F$12:$I$102,4,0),DT9-VLOOKUP($P9&amp;" | "&amp;DM$6,'Job Master'!$F$12:$I$102,4,0)-1),""),"")</f>
        <v>44591</v>
      </c>
      <c r="DP9" s="73"/>
      <c r="DQ9" s="123">
        <f t="shared" ref="DQ9:DQ72" si="49">IF(DO9&lt;&gt;"",MONTH(DO9),"")</f>
        <v>1</v>
      </c>
      <c r="DR9" s="123" t="str">
        <f t="shared" ref="DR9:DR72" si="50">IF(AND(DP9&lt;&gt;"",DO9&lt;&gt;""),IF(DP9&gt;DO9,"Delayed",IF(DP9=DO9,"On Time",IF(DP9&lt;DO9,"In Advance"))),"")</f>
        <v/>
      </c>
      <c r="DS9" s="97" t="str">
        <f t="shared" ref="DS9:DS72" ca="1" si="51">IF(DO9&lt;&gt;"",IF(WEEKNUM(DO9)=WEEKNUM(TODAY()),"This Week",IF(WEEKNUM(DO9)=WEEKNUM(TODAY())+1,"Next Week",IF(WEEKNUM(DO9)=WEEKNUM(TODAY())-1,"Previous Week",""))),"")</f>
        <v/>
      </c>
      <c r="DT9" s="70">
        <f t="shared" ref="DT9:DT72" si="52">IF(AB9&lt;&gt;"",AB9,"")</f>
        <v>44592</v>
      </c>
      <c r="DU9" s="90"/>
      <c r="DV9" s="123">
        <f t="shared" ref="DV9:DV72" si="53">IF(DT9&lt;&gt;"",MONTH(DT9),"")</f>
        <v>1</v>
      </c>
      <c r="DW9" s="123" t="str">
        <f t="shared" ref="DW9:DW72" si="54">IF(AND(DU9&lt;&gt;"",DT9&lt;&gt;""),IF(DU9&gt;DT9,"Delayed",IF(DU9=DT9,"On Time",IF(DU9&lt;DT9,"In Advance"))),"")</f>
        <v/>
      </c>
      <c r="DX9" s="132" t="str">
        <f t="shared" ref="DX9" ca="1" si="55">IF(DT9&lt;&gt;"",IF(WEEKNUM(DT9)=WEEKNUM(TODAY()),"This Week",IF(WEEKNUM(DT9)=WEEKNUM(TODAY())+1,"Next Week",IF(WEEKNUM(DT9)=WEEKNUM(TODAY())-1,"Previous Week",""))),"")</f>
        <v/>
      </c>
      <c r="DY9" s="134" t="str">
        <f t="shared" ref="DY9:DY72" si="56">IF(AND(DT9&lt;&gt;"",DU9&lt;&gt;""),DU9-DT9,"")</f>
        <v/>
      </c>
      <c r="DZ9" s="95"/>
      <c r="EB9" s="8" t="str">
        <f t="shared" si="0"/>
        <v/>
      </c>
      <c r="EC9" s="8" t="str">
        <f>IF(O9&lt;&gt;"",VLOOKUP(O9,'Job Master'!$N$12:$O$18,2,0),"")</f>
        <v/>
      </c>
      <c r="ED9" s="8">
        <f t="shared" ref="ED9:ED13" si="57">IF(EC9&lt;&gt;"",IF(EF9&gt;EC9,EB9,MOD(EB9,EC9)),ED8)</f>
        <v>11</v>
      </c>
      <c r="EE9" s="8">
        <f t="shared" ref="EE9:EE13" si="58">IF(EC9&lt;&gt;"",EC9,IF(EE8&lt;&gt;"",EE8,""))</f>
        <v>10</v>
      </c>
      <c r="EF9" s="8">
        <f t="shared" ref="EF9:EF13" si="59">IF(EC9&lt;&gt;"",EB9,IF(EF8&lt;&gt;"",EF8-EE9,""))</f>
        <v>1</v>
      </c>
      <c r="EG9" s="8">
        <f t="shared" ref="EG9:EG13" si="60">IF(EF8&lt;&gt;0,IF(EF9&gt;0,EF9,""),IF(EF9&lt;&gt;"",IF(EF9&gt;0,EF9,""),""))</f>
        <v>1</v>
      </c>
      <c r="EH9" s="8">
        <f t="shared" ref="EH9:EH13" si="61">IF(EG9&lt;&gt;"",IF(EG9&gt;=EE9,EE9,MOD(ED9,EE9)),"")</f>
        <v>1</v>
      </c>
    </row>
    <row r="10" spans="2:138" x14ac:dyDescent="0.3">
      <c r="B10" s="111" t="str">
        <f>IF(F10&lt;&gt;"",F10&amp;" | "&amp;COUNTIF($F$8:F10,F10),"")</f>
        <v>2345 | 1</v>
      </c>
      <c r="C10" s="27">
        <v>2</v>
      </c>
      <c r="D10" s="7">
        <f t="shared" si="1"/>
        <v>2</v>
      </c>
      <c r="E10" s="25">
        <v>2345</v>
      </c>
      <c r="F10" s="7">
        <f t="shared" si="1"/>
        <v>2345</v>
      </c>
      <c r="G10" s="25">
        <v>9898</v>
      </c>
      <c r="H10" s="7">
        <f t="shared" si="1"/>
        <v>9898</v>
      </c>
      <c r="I10" s="25">
        <v>2</v>
      </c>
      <c r="J10" s="7">
        <f t="shared" si="1"/>
        <v>2</v>
      </c>
      <c r="K10" s="25" t="s">
        <v>75</v>
      </c>
      <c r="L10" s="7" t="str">
        <f t="shared" si="2"/>
        <v>BCD</v>
      </c>
      <c r="M10" s="25"/>
      <c r="N10" s="7" t="str">
        <f t="shared" si="3"/>
        <v/>
      </c>
      <c r="O10" s="81" t="s">
        <v>38</v>
      </c>
      <c r="P10" s="81" t="str">
        <f t="shared" si="4"/>
        <v>MCR</v>
      </c>
      <c r="Q10" s="81"/>
      <c r="R10" s="7" t="str">
        <f t="shared" si="5"/>
        <v>2 Way</v>
      </c>
      <c r="S10" s="25"/>
      <c r="T10" s="7" t="str">
        <f t="shared" si="6"/>
        <v/>
      </c>
      <c r="U10" s="25">
        <v>15</v>
      </c>
      <c r="V10" s="7">
        <f t="shared" si="7"/>
        <v>15</v>
      </c>
      <c r="W10" s="25">
        <v>1.3</v>
      </c>
      <c r="X10" s="7">
        <f t="shared" si="8"/>
        <v>1.3</v>
      </c>
      <c r="Y10" s="18">
        <f t="shared" si="9"/>
        <v>19.5</v>
      </c>
      <c r="Z10" s="7">
        <f t="shared" si="10"/>
        <v>19.5</v>
      </c>
      <c r="AA10" s="18">
        <f t="shared" si="11"/>
        <v>6</v>
      </c>
      <c r="AB10" s="19">
        <f t="shared" si="12"/>
        <v>44594</v>
      </c>
      <c r="AC10" s="26">
        <v>44594</v>
      </c>
      <c r="AD10" s="26"/>
      <c r="AE10" s="25"/>
      <c r="AF10" s="26"/>
      <c r="AG10" s="25"/>
      <c r="AH10" s="25"/>
      <c r="AI10" s="18" t="str">
        <f t="shared" si="13"/>
        <v/>
      </c>
      <c r="AJ10" s="25"/>
      <c r="AK10" s="18" t="str">
        <f t="shared" si="14"/>
        <v/>
      </c>
      <c r="AL10" s="79"/>
      <c r="AM10" s="126" t="str">
        <f t="shared" si="15"/>
        <v/>
      </c>
      <c r="AN10" s="128" t="str">
        <f>IF(AP10&lt;&gt;"",VLOOKUP($P10&amp;" | "&amp;AN$6,'Job Master'!$F$12:$J$102,5,0),"")</f>
        <v/>
      </c>
      <c r="AO10" s="19" t="str">
        <f>IF(AP10&lt;&gt;"",VLOOKUP($P10&amp;" | "&amp;AN$6,'Job Master'!$F$12:$J$102,3,0),"")</f>
        <v/>
      </c>
      <c r="AP10" s="19" t="str">
        <f>IFERROR(IF(AND(AW10&lt;&gt;"",VLOOKUP($P10&amp;" | "&amp;AN$6,'Job Master'!$F$12:$I$102,4,0)&lt;&gt;""),IF(WEEKDAY(AW10-VLOOKUP($P10&amp;" | "&amp;AN$6,'Job Master'!$F$12:$I$102,4,0))&lt;&gt;7,AW10-VLOOKUP($P10&amp;" | "&amp;AN$6,'Job Master'!$F$12:$I$102,4,0),AW10-VLOOKUP($P10&amp;" | "&amp;AN$6,'Job Master'!$F$12:$I$102,4,0)-1),""),"")</f>
        <v/>
      </c>
      <c r="AQ10" s="73"/>
      <c r="AR10" s="123" t="str">
        <f t="shared" si="16"/>
        <v/>
      </c>
      <c r="AS10" s="123" t="str">
        <f t="shared" si="17"/>
        <v/>
      </c>
      <c r="AT10" s="97" t="str">
        <f t="shared" ca="1" si="18"/>
        <v/>
      </c>
      <c r="AU10" s="98" t="str">
        <f>IF(AW10&lt;&gt;"",VLOOKUP($P10&amp;" | "&amp;AU$6,'Job Master'!$F$12:$J$102,5,0),"")</f>
        <v>Others</v>
      </c>
      <c r="AV10" s="19" t="str">
        <f>IF(AW10&lt;&gt;"",VLOOKUP($P10&amp;" | "&amp;AU$6,'Job Master'!$F$12:$J$102,3,0),"")</f>
        <v>Mfg. Clearance</v>
      </c>
      <c r="AW10" s="19">
        <f>IFERROR(IF(AND(BD10&lt;&gt;"",VLOOKUP($P10&amp;" | "&amp;AU$6,'Job Master'!$F$12:$I$102,4,0)&lt;&gt;""),IF(WEEKDAY(BD10-VLOOKUP($P10&amp;" | "&amp;AU$6,'Job Master'!$F$12:$I$102,4,0))&lt;&gt;7,BD10-VLOOKUP($P10&amp;" | "&amp;AU$6,'Job Master'!$F$12:$I$102,4,0),BD10-VLOOKUP($P10&amp;" | "&amp;AU$6,'Job Master'!$F$12:$I$102,4,0)-1),""),"")</f>
        <v>44581</v>
      </c>
      <c r="AX10" s="73"/>
      <c r="AY10" s="123">
        <f t="shared" si="19"/>
        <v>1</v>
      </c>
      <c r="AZ10" s="123" t="str">
        <f t="shared" si="20"/>
        <v/>
      </c>
      <c r="BA10" s="97" t="str">
        <f t="shared" ca="1" si="21"/>
        <v/>
      </c>
      <c r="BB10" s="98" t="str">
        <f>IF(BD10&lt;&gt;"",VLOOKUP($P10&amp;" | "&amp;BB$6,'Job Master'!$F$12:$J$102,5,0),"")</f>
        <v>Welding</v>
      </c>
      <c r="BC10" s="19" t="str">
        <f>IF(BD10&lt;&gt;"",VLOOKUP($P10&amp;" | "&amp;BB$6,'Job Master'!$F$12:$J$102,3,0),"")</f>
        <v>A</v>
      </c>
      <c r="BD10" s="19">
        <f>IFERROR(IF(AND(BK10&lt;&gt;"",VLOOKUP($P10&amp;" | "&amp;BB$6,'Job Master'!$F$12:$I$102,4,0)&lt;&gt;""),IF(WEEKDAY(BK10-VLOOKUP($P10&amp;" | "&amp;BB$6,'Job Master'!$F$12:$I$102,4,0))&lt;&gt;7,BK10-VLOOKUP($P10&amp;" | "&amp;BB$6,'Job Master'!$F$12:$I$102,4,0),BK10-VLOOKUP($P10&amp;" | "&amp;BB$6,'Job Master'!$F$12:$I$102,4,0)-1),""),"")</f>
        <v>44582</v>
      </c>
      <c r="BE10" s="73"/>
      <c r="BF10" s="123">
        <f t="shared" si="22"/>
        <v>1</v>
      </c>
      <c r="BG10" s="123" t="str">
        <f t="shared" si="23"/>
        <v/>
      </c>
      <c r="BH10" s="97" t="str">
        <f t="shared" ca="1" si="24"/>
        <v/>
      </c>
      <c r="BI10" s="98" t="str">
        <f>IF(BK10&lt;&gt;"",VLOOKUP($P10&amp;" | "&amp;BI$6,'Job Master'!$F$12:$J$102,5,0),"")</f>
        <v>Welding</v>
      </c>
      <c r="BJ10" s="19" t="str">
        <f>IF(BK10&lt;&gt;"",VLOOKUP($P10&amp;" | "&amp;BI$6,'Job Master'!$F$12:$J$102,3,0),"")</f>
        <v>B</v>
      </c>
      <c r="BK10" s="19">
        <f>IFERROR(IF(AND(BR10&lt;&gt;"",VLOOKUP($P10&amp;" | "&amp;BI$6,'Job Master'!$F$12:$I$102,4,0)&lt;&gt;""),IF(WEEKDAY(BR10-VLOOKUP($P10&amp;" | "&amp;BI$6,'Job Master'!$F$12:$I$102,4,0))&lt;&gt;7,BR10-VLOOKUP($P10&amp;" | "&amp;BI$6,'Job Master'!$F$12:$I$102,4,0),BR10-VLOOKUP($P10&amp;" | "&amp;BI$6,'Job Master'!$F$12:$I$102,4,0)-1),""),"")</f>
        <v>44584</v>
      </c>
      <c r="BL10" s="73"/>
      <c r="BM10" s="123">
        <f t="shared" si="25"/>
        <v>1</v>
      </c>
      <c r="BN10" s="123" t="str">
        <f t="shared" si="26"/>
        <v/>
      </c>
      <c r="BO10" s="97" t="str">
        <f t="shared" ca="1" si="27"/>
        <v/>
      </c>
      <c r="BP10" s="98" t="str">
        <f>IF(BR10&lt;&gt;"",VLOOKUP($P10&amp;" | "&amp;BP$6,'Job Master'!$F$12:$J$102,5,0),"")</f>
        <v>Welding</v>
      </c>
      <c r="BQ10" s="19" t="str">
        <f>IF(BR10&lt;&gt;"",VLOOKUP($P10&amp;" | "&amp;BP$6,'Job Master'!$F$12:$J$102,3,0),"")</f>
        <v>C</v>
      </c>
      <c r="BR10" s="19">
        <f>IFERROR(IF(AND(BY10&lt;&gt;"",VLOOKUP($P10&amp;" | "&amp;BP$6,'Job Master'!$F$12:$I$102,4,0)&lt;&gt;""),IF(WEEKDAY(BY10-VLOOKUP($P10&amp;" | "&amp;BP$6,'Job Master'!$F$12:$I$102,4,0))&lt;&gt;7,BY10-VLOOKUP($P10&amp;" | "&amp;BP$6,'Job Master'!$F$12:$I$102,4,0),BY10-VLOOKUP($P10&amp;" | "&amp;BP$6,'Job Master'!$F$12:$I$102,4,0)-1),""),"")</f>
        <v>44585</v>
      </c>
      <c r="BS10" s="73"/>
      <c r="BT10" s="123">
        <f t="shared" si="28"/>
        <v>1</v>
      </c>
      <c r="BU10" s="123" t="str">
        <f t="shared" si="29"/>
        <v/>
      </c>
      <c r="BV10" s="97" t="str">
        <f t="shared" ca="1" si="30"/>
        <v/>
      </c>
      <c r="BW10" s="98" t="str">
        <f>IF(BY10&lt;&gt;"",VLOOKUP($P10&amp;" | "&amp;BW$6,'Job Master'!$F$12:$J$102,5,0),"")</f>
        <v>Welding</v>
      </c>
      <c r="BX10" s="19" t="str">
        <f>IF(BY10&lt;&gt;"",VLOOKUP($P10&amp;" | "&amp;BW$6,'Job Master'!$F$12:$J$102,3,0),"")</f>
        <v>D</v>
      </c>
      <c r="BY10" s="19">
        <f>IFERROR(IF(AND(CF10&lt;&gt;"",VLOOKUP($P10&amp;" | "&amp;BW$6,'Job Master'!$F$12:$I$102,4,0)&lt;&gt;""),IF(WEEKDAY(CF10-VLOOKUP($P10&amp;" | "&amp;BW$6,'Job Master'!$F$12:$I$102,4,0))&lt;&gt;7,CF10-VLOOKUP($P10&amp;" | "&amp;BW$6,'Job Master'!$F$12:$I$102,4,0),CF10-VLOOKUP($P10&amp;" | "&amp;BW$6,'Job Master'!$F$12:$I$102,4,0)-1),""),"")</f>
        <v>44586</v>
      </c>
      <c r="BZ10" s="73"/>
      <c r="CA10" s="123">
        <f t="shared" si="31"/>
        <v>1</v>
      </c>
      <c r="CB10" s="123" t="str">
        <f t="shared" si="32"/>
        <v/>
      </c>
      <c r="CC10" s="97" t="str">
        <f t="shared" ca="1" si="33"/>
        <v/>
      </c>
      <c r="CD10" s="98" t="str">
        <f>IF(CF10&lt;&gt;"",VLOOKUP($P10&amp;" | "&amp;CD$6,'Job Master'!$F$12:$J$102,5,0),"")</f>
        <v>Welding</v>
      </c>
      <c r="CE10" s="19" t="str">
        <f>IF(CF10&lt;&gt;"",VLOOKUP($P10&amp;" | "&amp;CD$6,'Job Master'!$F$12:$J$102,3,0),"")</f>
        <v>E</v>
      </c>
      <c r="CF10" s="19">
        <f>IFERROR(IF(AND(CM10&lt;&gt;"",VLOOKUP($P10&amp;" | "&amp;CD$6,'Job Master'!$F$12:$I$102,4,0)&lt;&gt;""),IF(WEEKDAY(CM10-VLOOKUP($P10&amp;" | "&amp;CD$6,'Job Master'!$F$12:$I$102,4,0))&lt;&gt;7,CM10-VLOOKUP($P10&amp;" | "&amp;CD$6,'Job Master'!$F$12:$I$102,4,0),CM10-VLOOKUP($P10&amp;" | "&amp;CD$6,'Job Master'!$F$12:$I$102,4,0)-1),""),"")</f>
        <v>44587</v>
      </c>
      <c r="CG10" s="73"/>
      <c r="CH10" s="123">
        <f t="shared" si="34"/>
        <v>1</v>
      </c>
      <c r="CI10" s="123" t="str">
        <f t="shared" si="35"/>
        <v/>
      </c>
      <c r="CJ10" s="97" t="str">
        <f t="shared" ca="1" si="36"/>
        <v/>
      </c>
      <c r="CK10" s="98" t="str">
        <f>IF(CM10&lt;&gt;"",VLOOKUP($P10&amp;" | "&amp;CK$6,'Job Master'!$F$12:$J$102,5,0),"")</f>
        <v>Module</v>
      </c>
      <c r="CL10" s="19" t="str">
        <f>IF(CM10&lt;&gt;"",VLOOKUP($P10&amp;" | "&amp;CK$6,'Job Master'!$F$12:$J$102,3,0),"")</f>
        <v>F</v>
      </c>
      <c r="CM10" s="19">
        <f>IFERROR(IF(AND(CT10&lt;&gt;"",VLOOKUP($P10&amp;" | "&amp;CK$6,'Job Master'!$F$12:$I$102,4,0)&lt;&gt;""),IF(WEEKDAY(CT10-VLOOKUP($P10&amp;" | "&amp;CK$6,'Job Master'!$F$12:$I$102,4,0))&lt;&gt;7,CT10-VLOOKUP($P10&amp;" | "&amp;CK$6,'Job Master'!$F$12:$I$102,4,0),CT10-VLOOKUP($P10&amp;" | "&amp;CK$6,'Job Master'!$F$12:$I$102,4,0)-1),""),"")</f>
        <v>44588</v>
      </c>
      <c r="CN10" s="73"/>
      <c r="CO10" s="123">
        <f t="shared" si="37"/>
        <v>1</v>
      </c>
      <c r="CP10" s="123" t="str">
        <f t="shared" si="38"/>
        <v/>
      </c>
      <c r="CQ10" s="97" t="str">
        <f t="shared" ca="1" si="39"/>
        <v/>
      </c>
      <c r="CR10" s="98" t="str">
        <f>IF(CT10&lt;&gt;"",VLOOKUP($P10&amp;" | "&amp;CR$6,'Job Master'!$F$12:$J$102,5,0),"")</f>
        <v>Cladding</v>
      </c>
      <c r="CS10" s="19" t="str">
        <f>IF(CT10&lt;&gt;"",VLOOKUP($P10&amp;" | "&amp;CR$6,'Job Master'!$F$12:$J$102,3,0),"")</f>
        <v>G</v>
      </c>
      <c r="CT10" s="19">
        <f>IFERROR(IF(AND(DA10&lt;&gt;"",VLOOKUP($P10&amp;" | "&amp;CR$6,'Job Master'!$F$12:$I$102,4,0)&lt;&gt;""),IF(WEEKDAY(DA10-VLOOKUP($P10&amp;" | "&amp;CR$6,'Job Master'!$F$12:$I$102,4,0))&lt;&gt;7,DA10-VLOOKUP($P10&amp;" | "&amp;CR$6,'Job Master'!$F$12:$I$102,4,0),DA10-VLOOKUP($P10&amp;" | "&amp;CR$6,'Job Master'!$F$12:$I$102,4,0)-1),""),"")</f>
        <v>44589</v>
      </c>
      <c r="CU10" s="73"/>
      <c r="CV10" s="123">
        <f t="shared" si="40"/>
        <v>1</v>
      </c>
      <c r="CW10" s="123" t="str">
        <f t="shared" si="41"/>
        <v/>
      </c>
      <c r="CX10" s="97" t="str">
        <f t="shared" ca="1" si="42"/>
        <v/>
      </c>
      <c r="CY10" s="98" t="str">
        <f>IF(DA10&lt;&gt;"",VLOOKUP($P10&amp;" | "&amp;CY$6,'Job Master'!$F$12:$J$102,5,0),"")</f>
        <v>Cladding</v>
      </c>
      <c r="CZ10" s="19" t="str">
        <f>IF(DA10&lt;&gt;"",VLOOKUP($P10&amp;" | "&amp;CY$6,'Job Master'!$F$12:$J$102,3,0),"")</f>
        <v>H</v>
      </c>
      <c r="DA10" s="19">
        <f>IFERROR(IF(AND(DH10&lt;&gt;"",VLOOKUP($P10&amp;" | "&amp;CY$6,'Job Master'!$F$12:$I$102,4,0)&lt;&gt;""),IF(WEEKDAY(DH10-VLOOKUP($P10&amp;" | "&amp;CY$6,'Job Master'!$F$12:$I$102,4,0))&lt;&gt;7,DH10-VLOOKUP($P10&amp;" | "&amp;CY$6,'Job Master'!$F$12:$I$102,4,0),DH10-VLOOKUP($P10&amp;" | "&amp;CY$6,'Job Master'!$F$12:$I$102,4,0)-1),""),"")</f>
        <v>44591</v>
      </c>
      <c r="DB10" s="73"/>
      <c r="DC10" s="123">
        <f t="shared" si="43"/>
        <v>1</v>
      </c>
      <c r="DD10" s="123" t="str">
        <f t="shared" si="44"/>
        <v/>
      </c>
      <c r="DE10" s="97" t="str">
        <f t="shared" ca="1" si="45"/>
        <v/>
      </c>
      <c r="DF10" s="98" t="str">
        <f>IF(DH10&lt;&gt;"",VLOOKUP($P10&amp;" | "&amp;DF$6,'Job Master'!$F$12:$J$102,5,0),"")</f>
        <v>Cladding</v>
      </c>
      <c r="DG10" s="19" t="str">
        <f>IF(DH10&lt;&gt;"",VLOOKUP($P10&amp;" | "&amp;DF$6,'Job Master'!$F$12:$J$102,3,0),"")</f>
        <v>I</v>
      </c>
      <c r="DH10" s="19">
        <f>IFERROR(IF(AND(DO10&lt;&gt;"",VLOOKUP($P10&amp;" | "&amp;DF$6,'Job Master'!$F$12:$I$102,4,0)&lt;&gt;""),IF(WEEKDAY(DO10-VLOOKUP($P10&amp;" | "&amp;DF$6,'Job Master'!$F$12:$I$102,4,0))&lt;&gt;7,DO10-VLOOKUP($P10&amp;" | "&amp;DF$6,'Job Master'!$F$12:$I$102,4,0),DO10-VLOOKUP($P10&amp;" | "&amp;DF$6,'Job Master'!$F$12:$I$102,4,0)-1),""),"")</f>
        <v>44592</v>
      </c>
      <c r="DI10" s="73"/>
      <c r="DJ10" s="123">
        <f t="shared" si="46"/>
        <v>1</v>
      </c>
      <c r="DK10" s="123" t="str">
        <f t="shared" si="47"/>
        <v/>
      </c>
      <c r="DL10" s="97" t="str">
        <f t="shared" ca="1" si="48"/>
        <v/>
      </c>
      <c r="DM10" s="98" t="str">
        <f>IF(DO10&lt;&gt;"",VLOOKUP($P10&amp;" | "&amp;DM$6,'Job Master'!$F$12:$J$102,5,0),"")</f>
        <v>Cladding</v>
      </c>
      <c r="DN10" s="19" t="str">
        <f>IF(DO10&lt;&gt;"",VLOOKUP($P10&amp;" | "&amp;DM$6,'Job Master'!$F$12:$J$102,3,0),"")</f>
        <v>J</v>
      </c>
      <c r="DO10" s="19">
        <f>IFERROR(IF(AND(DT10&lt;&gt;"",VLOOKUP($P10&amp;" | "&amp;DM$6,'Job Master'!$F$12:$I$102,4,0)&lt;&gt;""),IF(WEEKDAY(DT10-VLOOKUP($P10&amp;" | "&amp;DM$6,'Job Master'!$F$12:$I$102,4,0))&lt;&gt;7,DT10-VLOOKUP($P10&amp;" | "&amp;DM$6,'Job Master'!$F$12:$I$102,4,0),DT10-VLOOKUP($P10&amp;" | "&amp;DM$6,'Job Master'!$F$12:$I$102,4,0)-1),""),"")</f>
        <v>44593</v>
      </c>
      <c r="DP10" s="73"/>
      <c r="DQ10" s="123">
        <f t="shared" si="49"/>
        <v>2</v>
      </c>
      <c r="DR10" s="123" t="str">
        <f t="shared" si="50"/>
        <v/>
      </c>
      <c r="DS10" s="97" t="str">
        <f t="shared" ca="1" si="51"/>
        <v/>
      </c>
      <c r="DT10" s="70">
        <f t="shared" si="52"/>
        <v>44594</v>
      </c>
      <c r="DU10" s="90"/>
      <c r="DV10" s="123">
        <f t="shared" si="53"/>
        <v>2</v>
      </c>
      <c r="DW10" s="123" t="str">
        <f t="shared" si="54"/>
        <v/>
      </c>
      <c r="DX10" s="132" t="str">
        <f t="shared" ref="DX10" ca="1" si="62">IF(DT10&lt;&gt;"",IF(WEEKNUM(DT10)=WEEKNUM(TODAY()),"This Week",IF(WEEKNUM(DT10)=WEEKNUM(TODAY())+1,"Next Week",IF(WEEKNUM(DT10)=WEEKNUM(TODAY())-1,"Previous Week",""))),"")</f>
        <v/>
      </c>
      <c r="DY10" s="134" t="str">
        <f t="shared" si="56"/>
        <v/>
      </c>
      <c r="DZ10" s="95"/>
      <c r="EB10" s="8">
        <f t="shared" si="0"/>
        <v>19.5</v>
      </c>
      <c r="EC10" s="8">
        <f>IF(O10&lt;&gt;"",VLOOKUP(O10,'Job Master'!$N$12:$O$18,2,0),"")</f>
        <v>6</v>
      </c>
      <c r="ED10" s="8">
        <f t="shared" si="57"/>
        <v>19.5</v>
      </c>
      <c r="EE10" s="8">
        <f t="shared" si="58"/>
        <v>6</v>
      </c>
      <c r="EF10" s="8">
        <f t="shared" si="59"/>
        <v>19.5</v>
      </c>
      <c r="EG10" s="8">
        <f t="shared" si="60"/>
        <v>19.5</v>
      </c>
      <c r="EH10" s="8">
        <f t="shared" si="61"/>
        <v>6</v>
      </c>
    </row>
    <row r="11" spans="2:138" x14ac:dyDescent="0.3">
      <c r="B11" s="111" t="str">
        <f>IF(F11&lt;&gt;"",F11&amp;" | "&amp;COUNTIF($F$8:F11,F11),"")</f>
        <v>2345 | 2</v>
      </c>
      <c r="C11" s="27"/>
      <c r="D11" s="7">
        <f t="shared" si="1"/>
        <v>2</v>
      </c>
      <c r="E11" s="25"/>
      <c r="F11" s="7">
        <f t="shared" si="1"/>
        <v>2345</v>
      </c>
      <c r="G11" s="25"/>
      <c r="H11" s="7">
        <f t="shared" si="1"/>
        <v>9898</v>
      </c>
      <c r="I11" s="25"/>
      <c r="J11" s="7">
        <f t="shared" si="1"/>
        <v>2</v>
      </c>
      <c r="K11" s="25"/>
      <c r="L11" s="7" t="str">
        <f t="shared" si="2"/>
        <v>BCD</v>
      </c>
      <c r="M11" s="25"/>
      <c r="N11" s="7" t="str">
        <f t="shared" si="3"/>
        <v/>
      </c>
      <c r="O11" s="81"/>
      <c r="P11" s="81" t="str">
        <f t="shared" si="4"/>
        <v>MCR</v>
      </c>
      <c r="Q11" s="81"/>
      <c r="R11" s="7" t="str">
        <f t="shared" si="5"/>
        <v>2 Way</v>
      </c>
      <c r="S11" s="25"/>
      <c r="T11" s="7" t="str">
        <f t="shared" si="6"/>
        <v/>
      </c>
      <c r="U11" s="25"/>
      <c r="V11" s="7">
        <f t="shared" si="7"/>
        <v>15</v>
      </c>
      <c r="W11" s="25"/>
      <c r="X11" s="7">
        <f t="shared" si="8"/>
        <v>1.3</v>
      </c>
      <c r="Y11" s="18" t="str">
        <f t="shared" si="9"/>
        <v/>
      </c>
      <c r="Z11" s="7">
        <f t="shared" si="10"/>
        <v>19.5</v>
      </c>
      <c r="AA11" s="18">
        <f t="shared" si="11"/>
        <v>6</v>
      </c>
      <c r="AB11" s="19">
        <f t="shared" si="12"/>
        <v>44593</v>
      </c>
      <c r="AC11" s="26"/>
      <c r="AD11" s="26"/>
      <c r="AE11" s="25"/>
      <c r="AF11" s="26"/>
      <c r="AG11" s="25"/>
      <c r="AH11" s="25"/>
      <c r="AI11" s="18" t="str">
        <f t="shared" si="13"/>
        <v/>
      </c>
      <c r="AJ11" s="25"/>
      <c r="AK11" s="18" t="str">
        <f t="shared" si="14"/>
        <v/>
      </c>
      <c r="AL11" s="79"/>
      <c r="AM11" s="126" t="str">
        <f t="shared" si="15"/>
        <v/>
      </c>
      <c r="AN11" s="128" t="str">
        <f>IF(AP11&lt;&gt;"",VLOOKUP($P11&amp;" | "&amp;AN$6,'Job Master'!$F$12:$J$102,5,0),"")</f>
        <v/>
      </c>
      <c r="AO11" s="19" t="str">
        <f>IF(AP11&lt;&gt;"",VLOOKUP($P11&amp;" | "&amp;AN$6,'Job Master'!$F$12:$J$102,3,0),"")</f>
        <v/>
      </c>
      <c r="AP11" s="19" t="str">
        <f>IFERROR(IF(AND(AW11&lt;&gt;"",VLOOKUP($P11&amp;" | "&amp;AN$6,'Job Master'!$F$12:$I$102,4,0)&lt;&gt;""),IF(WEEKDAY(AW11-VLOOKUP($P11&amp;" | "&amp;AN$6,'Job Master'!$F$12:$I$102,4,0))&lt;&gt;7,AW11-VLOOKUP($P11&amp;" | "&amp;AN$6,'Job Master'!$F$12:$I$102,4,0),AW11-VLOOKUP($P11&amp;" | "&amp;AN$6,'Job Master'!$F$12:$I$102,4,0)-1),""),"")</f>
        <v/>
      </c>
      <c r="AQ11" s="73"/>
      <c r="AR11" s="123" t="str">
        <f t="shared" si="16"/>
        <v/>
      </c>
      <c r="AS11" s="123" t="str">
        <f t="shared" si="17"/>
        <v/>
      </c>
      <c r="AT11" s="97" t="str">
        <f t="shared" ca="1" si="18"/>
        <v/>
      </c>
      <c r="AU11" s="98" t="str">
        <f>IF(AW11&lt;&gt;"",VLOOKUP($P11&amp;" | "&amp;AU$6,'Job Master'!$F$12:$J$102,5,0),"")</f>
        <v>Others</v>
      </c>
      <c r="AV11" s="19" t="str">
        <f>IF(AW11&lt;&gt;"",VLOOKUP($P11&amp;" | "&amp;AU$6,'Job Master'!$F$12:$J$102,3,0),"")</f>
        <v>Mfg. Clearance</v>
      </c>
      <c r="AW11" s="19">
        <f>IFERROR(IF(AND(BD11&lt;&gt;"",VLOOKUP($P11&amp;" | "&amp;AU$6,'Job Master'!$F$12:$I$102,4,0)&lt;&gt;""),IF(WEEKDAY(BD11-VLOOKUP($P11&amp;" | "&amp;AU$6,'Job Master'!$F$12:$I$102,4,0))&lt;&gt;7,BD11-VLOOKUP($P11&amp;" | "&amp;AU$6,'Job Master'!$F$12:$I$102,4,0),BD11-VLOOKUP($P11&amp;" | "&amp;AU$6,'Job Master'!$F$12:$I$102,4,0)-1),""),"")</f>
        <v>44580</v>
      </c>
      <c r="AX11" s="73"/>
      <c r="AY11" s="123">
        <f t="shared" si="19"/>
        <v>1</v>
      </c>
      <c r="AZ11" s="123" t="str">
        <f t="shared" si="20"/>
        <v/>
      </c>
      <c r="BA11" s="97" t="str">
        <f t="shared" ca="1" si="21"/>
        <v/>
      </c>
      <c r="BB11" s="98" t="str">
        <f>IF(BD11&lt;&gt;"",VLOOKUP($P11&amp;" | "&amp;BB$6,'Job Master'!$F$12:$J$102,5,0),"")</f>
        <v>Welding</v>
      </c>
      <c r="BC11" s="19" t="str">
        <f>IF(BD11&lt;&gt;"",VLOOKUP($P11&amp;" | "&amp;BB$6,'Job Master'!$F$12:$J$102,3,0),"")</f>
        <v>A</v>
      </c>
      <c r="BD11" s="19">
        <f>IFERROR(IF(AND(BK11&lt;&gt;"",VLOOKUP($P11&amp;" | "&amp;BB$6,'Job Master'!$F$12:$I$102,4,0)&lt;&gt;""),IF(WEEKDAY(BK11-VLOOKUP($P11&amp;" | "&amp;BB$6,'Job Master'!$F$12:$I$102,4,0))&lt;&gt;7,BK11-VLOOKUP($P11&amp;" | "&amp;BB$6,'Job Master'!$F$12:$I$102,4,0),BK11-VLOOKUP($P11&amp;" | "&amp;BB$6,'Job Master'!$F$12:$I$102,4,0)-1),""),"")</f>
        <v>44581</v>
      </c>
      <c r="BE11" s="73"/>
      <c r="BF11" s="123">
        <f t="shared" si="22"/>
        <v>1</v>
      </c>
      <c r="BG11" s="123" t="str">
        <f t="shared" si="23"/>
        <v/>
      </c>
      <c r="BH11" s="97" t="str">
        <f t="shared" ca="1" si="24"/>
        <v/>
      </c>
      <c r="BI11" s="98" t="str">
        <f>IF(BK11&lt;&gt;"",VLOOKUP($P11&amp;" | "&amp;BI$6,'Job Master'!$F$12:$J$102,5,0),"")</f>
        <v>Welding</v>
      </c>
      <c r="BJ11" s="19" t="str">
        <f>IF(BK11&lt;&gt;"",VLOOKUP($P11&amp;" | "&amp;BI$6,'Job Master'!$F$12:$J$102,3,0),"")</f>
        <v>B</v>
      </c>
      <c r="BK11" s="19">
        <f>IFERROR(IF(AND(BR11&lt;&gt;"",VLOOKUP($P11&amp;" | "&amp;BI$6,'Job Master'!$F$12:$I$102,4,0)&lt;&gt;""),IF(WEEKDAY(BR11-VLOOKUP($P11&amp;" | "&amp;BI$6,'Job Master'!$F$12:$I$102,4,0))&lt;&gt;7,BR11-VLOOKUP($P11&amp;" | "&amp;BI$6,'Job Master'!$F$12:$I$102,4,0),BR11-VLOOKUP($P11&amp;" | "&amp;BI$6,'Job Master'!$F$12:$I$102,4,0)-1),""),"")</f>
        <v>44582</v>
      </c>
      <c r="BL11" s="73"/>
      <c r="BM11" s="123">
        <f t="shared" si="25"/>
        <v>1</v>
      </c>
      <c r="BN11" s="123" t="str">
        <f t="shared" si="26"/>
        <v/>
      </c>
      <c r="BO11" s="97" t="str">
        <f t="shared" ca="1" si="27"/>
        <v/>
      </c>
      <c r="BP11" s="98" t="str">
        <f>IF(BR11&lt;&gt;"",VLOOKUP($P11&amp;" | "&amp;BP$6,'Job Master'!$F$12:$J$102,5,0),"")</f>
        <v>Welding</v>
      </c>
      <c r="BQ11" s="19" t="str">
        <f>IF(BR11&lt;&gt;"",VLOOKUP($P11&amp;" | "&amp;BP$6,'Job Master'!$F$12:$J$102,3,0),"")</f>
        <v>C</v>
      </c>
      <c r="BR11" s="19">
        <f>IFERROR(IF(AND(BY11&lt;&gt;"",VLOOKUP($P11&amp;" | "&amp;BP$6,'Job Master'!$F$12:$I$102,4,0)&lt;&gt;""),IF(WEEKDAY(BY11-VLOOKUP($P11&amp;" | "&amp;BP$6,'Job Master'!$F$12:$I$102,4,0))&lt;&gt;7,BY11-VLOOKUP($P11&amp;" | "&amp;BP$6,'Job Master'!$F$12:$I$102,4,0),BY11-VLOOKUP($P11&amp;" | "&amp;BP$6,'Job Master'!$F$12:$I$102,4,0)-1),""),"")</f>
        <v>44584</v>
      </c>
      <c r="BS11" s="73"/>
      <c r="BT11" s="123">
        <f t="shared" si="28"/>
        <v>1</v>
      </c>
      <c r="BU11" s="123" t="str">
        <f t="shared" si="29"/>
        <v/>
      </c>
      <c r="BV11" s="97" t="str">
        <f t="shared" ca="1" si="30"/>
        <v/>
      </c>
      <c r="BW11" s="98" t="str">
        <f>IF(BY11&lt;&gt;"",VLOOKUP($P11&amp;" | "&amp;BW$6,'Job Master'!$F$12:$J$102,5,0),"")</f>
        <v>Welding</v>
      </c>
      <c r="BX11" s="19" t="str">
        <f>IF(BY11&lt;&gt;"",VLOOKUP($P11&amp;" | "&amp;BW$6,'Job Master'!$F$12:$J$102,3,0),"")</f>
        <v>D</v>
      </c>
      <c r="BY11" s="19">
        <f>IFERROR(IF(AND(CF11&lt;&gt;"",VLOOKUP($P11&amp;" | "&amp;BW$6,'Job Master'!$F$12:$I$102,4,0)&lt;&gt;""),IF(WEEKDAY(CF11-VLOOKUP($P11&amp;" | "&amp;BW$6,'Job Master'!$F$12:$I$102,4,0))&lt;&gt;7,CF11-VLOOKUP($P11&amp;" | "&amp;BW$6,'Job Master'!$F$12:$I$102,4,0),CF11-VLOOKUP($P11&amp;" | "&amp;BW$6,'Job Master'!$F$12:$I$102,4,0)-1),""),"")</f>
        <v>44585</v>
      </c>
      <c r="BZ11" s="73"/>
      <c r="CA11" s="123">
        <f t="shared" si="31"/>
        <v>1</v>
      </c>
      <c r="CB11" s="123" t="str">
        <f t="shared" si="32"/>
        <v/>
      </c>
      <c r="CC11" s="97" t="str">
        <f t="shared" ca="1" si="33"/>
        <v/>
      </c>
      <c r="CD11" s="98" t="str">
        <f>IF(CF11&lt;&gt;"",VLOOKUP($P11&amp;" | "&amp;CD$6,'Job Master'!$F$12:$J$102,5,0),"")</f>
        <v>Welding</v>
      </c>
      <c r="CE11" s="19" t="str">
        <f>IF(CF11&lt;&gt;"",VLOOKUP($P11&amp;" | "&amp;CD$6,'Job Master'!$F$12:$J$102,3,0),"")</f>
        <v>E</v>
      </c>
      <c r="CF11" s="19">
        <f>IFERROR(IF(AND(CM11&lt;&gt;"",VLOOKUP($P11&amp;" | "&amp;CD$6,'Job Master'!$F$12:$I$102,4,0)&lt;&gt;""),IF(WEEKDAY(CM11-VLOOKUP($P11&amp;" | "&amp;CD$6,'Job Master'!$F$12:$I$102,4,0))&lt;&gt;7,CM11-VLOOKUP($P11&amp;" | "&amp;CD$6,'Job Master'!$F$12:$I$102,4,0),CM11-VLOOKUP($P11&amp;" | "&amp;CD$6,'Job Master'!$F$12:$I$102,4,0)-1),""),"")</f>
        <v>44586</v>
      </c>
      <c r="CG11" s="73"/>
      <c r="CH11" s="123">
        <f t="shared" si="34"/>
        <v>1</v>
      </c>
      <c r="CI11" s="123" t="str">
        <f t="shared" si="35"/>
        <v/>
      </c>
      <c r="CJ11" s="97" t="str">
        <f t="shared" ca="1" si="36"/>
        <v/>
      </c>
      <c r="CK11" s="98" t="str">
        <f>IF(CM11&lt;&gt;"",VLOOKUP($P11&amp;" | "&amp;CK$6,'Job Master'!$F$12:$J$102,5,0),"")</f>
        <v>Module</v>
      </c>
      <c r="CL11" s="19" t="str">
        <f>IF(CM11&lt;&gt;"",VLOOKUP($P11&amp;" | "&amp;CK$6,'Job Master'!$F$12:$J$102,3,0),"")</f>
        <v>F</v>
      </c>
      <c r="CM11" s="19">
        <f>IFERROR(IF(AND(CT11&lt;&gt;"",VLOOKUP($P11&amp;" | "&amp;CK$6,'Job Master'!$F$12:$I$102,4,0)&lt;&gt;""),IF(WEEKDAY(CT11-VLOOKUP($P11&amp;" | "&amp;CK$6,'Job Master'!$F$12:$I$102,4,0))&lt;&gt;7,CT11-VLOOKUP($P11&amp;" | "&amp;CK$6,'Job Master'!$F$12:$I$102,4,0),CT11-VLOOKUP($P11&amp;" | "&amp;CK$6,'Job Master'!$F$12:$I$102,4,0)-1),""),"")</f>
        <v>44587</v>
      </c>
      <c r="CN11" s="73"/>
      <c r="CO11" s="123">
        <f t="shared" si="37"/>
        <v>1</v>
      </c>
      <c r="CP11" s="123" t="str">
        <f t="shared" si="38"/>
        <v/>
      </c>
      <c r="CQ11" s="97" t="str">
        <f t="shared" ca="1" si="39"/>
        <v/>
      </c>
      <c r="CR11" s="98" t="str">
        <f>IF(CT11&lt;&gt;"",VLOOKUP($P11&amp;" | "&amp;CR$6,'Job Master'!$F$12:$J$102,5,0),"")</f>
        <v>Cladding</v>
      </c>
      <c r="CS11" s="19" t="str">
        <f>IF(CT11&lt;&gt;"",VLOOKUP($P11&amp;" | "&amp;CR$6,'Job Master'!$F$12:$J$102,3,0),"")</f>
        <v>G</v>
      </c>
      <c r="CT11" s="19">
        <f>IFERROR(IF(AND(DA11&lt;&gt;"",VLOOKUP($P11&amp;" | "&amp;CR$6,'Job Master'!$F$12:$I$102,4,0)&lt;&gt;""),IF(WEEKDAY(DA11-VLOOKUP($P11&amp;" | "&amp;CR$6,'Job Master'!$F$12:$I$102,4,0))&lt;&gt;7,DA11-VLOOKUP($P11&amp;" | "&amp;CR$6,'Job Master'!$F$12:$I$102,4,0),DA11-VLOOKUP($P11&amp;" | "&amp;CR$6,'Job Master'!$F$12:$I$102,4,0)-1),""),"")</f>
        <v>44588</v>
      </c>
      <c r="CU11" s="73"/>
      <c r="CV11" s="123">
        <f t="shared" si="40"/>
        <v>1</v>
      </c>
      <c r="CW11" s="123" t="str">
        <f t="shared" si="41"/>
        <v/>
      </c>
      <c r="CX11" s="97" t="str">
        <f t="shared" ca="1" si="42"/>
        <v/>
      </c>
      <c r="CY11" s="98" t="str">
        <f>IF(DA11&lt;&gt;"",VLOOKUP($P11&amp;" | "&amp;CY$6,'Job Master'!$F$12:$J$102,5,0),"")</f>
        <v>Cladding</v>
      </c>
      <c r="CZ11" s="19" t="str">
        <f>IF(DA11&lt;&gt;"",VLOOKUP($P11&amp;" | "&amp;CY$6,'Job Master'!$F$12:$J$102,3,0),"")</f>
        <v>H</v>
      </c>
      <c r="DA11" s="19">
        <f>IFERROR(IF(AND(DH11&lt;&gt;"",VLOOKUP($P11&amp;" | "&amp;CY$6,'Job Master'!$F$12:$I$102,4,0)&lt;&gt;""),IF(WEEKDAY(DH11-VLOOKUP($P11&amp;" | "&amp;CY$6,'Job Master'!$F$12:$I$102,4,0))&lt;&gt;7,DH11-VLOOKUP($P11&amp;" | "&amp;CY$6,'Job Master'!$F$12:$I$102,4,0),DH11-VLOOKUP($P11&amp;" | "&amp;CY$6,'Job Master'!$F$12:$I$102,4,0)-1),""),"")</f>
        <v>44589</v>
      </c>
      <c r="DB11" s="73"/>
      <c r="DC11" s="123">
        <f t="shared" si="43"/>
        <v>1</v>
      </c>
      <c r="DD11" s="123" t="str">
        <f t="shared" si="44"/>
        <v/>
      </c>
      <c r="DE11" s="97" t="str">
        <f t="shared" ca="1" si="45"/>
        <v/>
      </c>
      <c r="DF11" s="98" t="str">
        <f>IF(DH11&lt;&gt;"",VLOOKUP($P11&amp;" | "&amp;DF$6,'Job Master'!$F$12:$J$102,5,0),"")</f>
        <v>Cladding</v>
      </c>
      <c r="DG11" s="19" t="str">
        <f>IF(DH11&lt;&gt;"",VLOOKUP($P11&amp;" | "&amp;DF$6,'Job Master'!$F$12:$J$102,3,0),"")</f>
        <v>I</v>
      </c>
      <c r="DH11" s="19">
        <f>IFERROR(IF(AND(DO11&lt;&gt;"",VLOOKUP($P11&amp;" | "&amp;DF$6,'Job Master'!$F$12:$I$102,4,0)&lt;&gt;""),IF(WEEKDAY(DO11-VLOOKUP($P11&amp;" | "&amp;DF$6,'Job Master'!$F$12:$I$102,4,0))&lt;&gt;7,DO11-VLOOKUP($P11&amp;" | "&amp;DF$6,'Job Master'!$F$12:$I$102,4,0),DO11-VLOOKUP($P11&amp;" | "&amp;DF$6,'Job Master'!$F$12:$I$102,4,0)-1),""),"")</f>
        <v>44591</v>
      </c>
      <c r="DI11" s="73"/>
      <c r="DJ11" s="123">
        <f t="shared" si="46"/>
        <v>1</v>
      </c>
      <c r="DK11" s="123" t="str">
        <f t="shared" si="47"/>
        <v/>
      </c>
      <c r="DL11" s="97" t="str">
        <f t="shared" ca="1" si="48"/>
        <v/>
      </c>
      <c r="DM11" s="98" t="str">
        <f>IF(DO11&lt;&gt;"",VLOOKUP($P11&amp;" | "&amp;DM$6,'Job Master'!$F$12:$J$102,5,0),"")</f>
        <v>Cladding</v>
      </c>
      <c r="DN11" s="19" t="str">
        <f>IF(DO11&lt;&gt;"",VLOOKUP($P11&amp;" | "&amp;DM$6,'Job Master'!$F$12:$J$102,3,0),"")</f>
        <v>J</v>
      </c>
      <c r="DO11" s="19">
        <f>IFERROR(IF(AND(DT11&lt;&gt;"",VLOOKUP($P11&amp;" | "&amp;DM$6,'Job Master'!$F$12:$I$102,4,0)&lt;&gt;""),IF(WEEKDAY(DT11-VLOOKUP($P11&amp;" | "&amp;DM$6,'Job Master'!$F$12:$I$102,4,0))&lt;&gt;7,DT11-VLOOKUP($P11&amp;" | "&amp;DM$6,'Job Master'!$F$12:$I$102,4,0),DT11-VLOOKUP($P11&amp;" | "&amp;DM$6,'Job Master'!$F$12:$I$102,4,0)-1),""),"")</f>
        <v>44592</v>
      </c>
      <c r="DP11" s="73"/>
      <c r="DQ11" s="123">
        <f t="shared" si="49"/>
        <v>1</v>
      </c>
      <c r="DR11" s="123" t="str">
        <f t="shared" si="50"/>
        <v/>
      </c>
      <c r="DS11" s="97" t="str">
        <f t="shared" ca="1" si="51"/>
        <v/>
      </c>
      <c r="DT11" s="70">
        <f t="shared" si="52"/>
        <v>44593</v>
      </c>
      <c r="DU11" s="90"/>
      <c r="DV11" s="123">
        <f t="shared" si="53"/>
        <v>2</v>
      </c>
      <c r="DW11" s="123" t="str">
        <f t="shared" si="54"/>
        <v/>
      </c>
      <c r="DX11" s="132" t="str">
        <f t="shared" ref="DX11" ca="1" si="63">IF(DT11&lt;&gt;"",IF(WEEKNUM(DT11)=WEEKNUM(TODAY()),"This Week",IF(WEEKNUM(DT11)=WEEKNUM(TODAY())+1,"Next Week",IF(WEEKNUM(DT11)=WEEKNUM(TODAY())-1,"Previous Week",""))),"")</f>
        <v/>
      </c>
      <c r="DY11" s="134" t="str">
        <f t="shared" si="56"/>
        <v/>
      </c>
      <c r="DZ11" s="95"/>
      <c r="EB11" s="8" t="str">
        <f t="shared" si="0"/>
        <v/>
      </c>
      <c r="EC11" s="8" t="str">
        <f>IF(O11&lt;&gt;"",VLOOKUP(O11,'Job Master'!$N$12:$O$18,2,0),"")</f>
        <v/>
      </c>
      <c r="ED11" s="8">
        <f t="shared" si="57"/>
        <v>19.5</v>
      </c>
      <c r="EE11" s="8">
        <f t="shared" si="58"/>
        <v>6</v>
      </c>
      <c r="EF11" s="8">
        <f t="shared" si="59"/>
        <v>13.5</v>
      </c>
      <c r="EG11" s="8">
        <f t="shared" si="60"/>
        <v>13.5</v>
      </c>
      <c r="EH11" s="8">
        <f t="shared" si="61"/>
        <v>6</v>
      </c>
    </row>
    <row r="12" spans="2:138" x14ac:dyDescent="0.3">
      <c r="B12" s="111" t="str">
        <f>IF(F12&lt;&gt;"",F12&amp;" | "&amp;COUNTIF($F$8:F12,F12),"")</f>
        <v>2345 | 3</v>
      </c>
      <c r="C12" s="27"/>
      <c r="D12" s="7">
        <f t="shared" si="1"/>
        <v>2</v>
      </c>
      <c r="E12" s="25"/>
      <c r="F12" s="7">
        <f t="shared" si="1"/>
        <v>2345</v>
      </c>
      <c r="G12" s="25"/>
      <c r="H12" s="7">
        <f t="shared" si="1"/>
        <v>9898</v>
      </c>
      <c r="I12" s="25"/>
      <c r="J12" s="7">
        <f t="shared" si="1"/>
        <v>2</v>
      </c>
      <c r="K12" s="25"/>
      <c r="L12" s="7" t="str">
        <f t="shared" si="2"/>
        <v>BCD</v>
      </c>
      <c r="M12" s="25"/>
      <c r="N12" s="7" t="str">
        <f t="shared" si="3"/>
        <v/>
      </c>
      <c r="O12" s="81"/>
      <c r="P12" s="81" t="str">
        <f t="shared" si="4"/>
        <v>MCR</v>
      </c>
      <c r="Q12" s="81"/>
      <c r="R12" s="7" t="str">
        <f t="shared" si="5"/>
        <v>2 Way</v>
      </c>
      <c r="S12" s="25"/>
      <c r="T12" s="7" t="str">
        <f t="shared" si="6"/>
        <v/>
      </c>
      <c r="U12" s="25"/>
      <c r="V12" s="7">
        <f t="shared" si="7"/>
        <v>15</v>
      </c>
      <c r="W12" s="25"/>
      <c r="X12" s="7">
        <f t="shared" si="8"/>
        <v>1.3</v>
      </c>
      <c r="Y12" s="18" t="str">
        <f t="shared" si="9"/>
        <v/>
      </c>
      <c r="Z12" s="7">
        <f t="shared" si="10"/>
        <v>19.5</v>
      </c>
      <c r="AA12" s="18">
        <f t="shared" si="11"/>
        <v>6</v>
      </c>
      <c r="AB12" s="19">
        <f t="shared" si="12"/>
        <v>44592</v>
      </c>
      <c r="AC12" s="26"/>
      <c r="AD12" s="26"/>
      <c r="AE12" s="25"/>
      <c r="AF12" s="26"/>
      <c r="AG12" s="25"/>
      <c r="AH12" s="25"/>
      <c r="AI12" s="18" t="str">
        <f t="shared" si="13"/>
        <v/>
      </c>
      <c r="AJ12" s="25"/>
      <c r="AK12" s="18" t="str">
        <f t="shared" si="14"/>
        <v/>
      </c>
      <c r="AL12" s="79"/>
      <c r="AM12" s="126" t="str">
        <f t="shared" si="15"/>
        <v/>
      </c>
      <c r="AN12" s="128" t="str">
        <f>IF(AP12&lt;&gt;"",VLOOKUP($P12&amp;" | "&amp;AN$6,'Job Master'!$F$12:$J$102,5,0),"")</f>
        <v/>
      </c>
      <c r="AO12" s="19" t="str">
        <f>IF(AP12&lt;&gt;"",VLOOKUP($P12&amp;" | "&amp;AN$6,'Job Master'!$F$12:$J$102,3,0),"")</f>
        <v/>
      </c>
      <c r="AP12" s="19" t="str">
        <f>IFERROR(IF(AND(AW12&lt;&gt;"",VLOOKUP($P12&amp;" | "&amp;AN$6,'Job Master'!$F$12:$I$102,4,0)&lt;&gt;""),IF(WEEKDAY(AW12-VLOOKUP($P12&amp;" | "&amp;AN$6,'Job Master'!$F$12:$I$102,4,0))&lt;&gt;7,AW12-VLOOKUP($P12&amp;" | "&amp;AN$6,'Job Master'!$F$12:$I$102,4,0),AW12-VLOOKUP($P12&amp;" | "&amp;AN$6,'Job Master'!$F$12:$I$102,4,0)-1),""),"")</f>
        <v/>
      </c>
      <c r="AQ12" s="73"/>
      <c r="AR12" s="123" t="str">
        <f t="shared" si="16"/>
        <v/>
      </c>
      <c r="AS12" s="123" t="str">
        <f t="shared" si="17"/>
        <v/>
      </c>
      <c r="AT12" s="97" t="str">
        <f t="shared" ca="1" si="18"/>
        <v/>
      </c>
      <c r="AU12" s="98" t="str">
        <f>IF(AW12&lt;&gt;"",VLOOKUP($P12&amp;" | "&amp;AU$6,'Job Master'!$F$12:$J$102,5,0),"")</f>
        <v>Others</v>
      </c>
      <c r="AV12" s="19" t="str">
        <f>IF(AW12&lt;&gt;"",VLOOKUP($P12&amp;" | "&amp;AU$6,'Job Master'!$F$12:$J$102,3,0),"")</f>
        <v>Mfg. Clearance</v>
      </c>
      <c r="AW12" s="19">
        <f>IFERROR(IF(AND(BD12&lt;&gt;"",VLOOKUP($P12&amp;" | "&amp;AU$6,'Job Master'!$F$12:$I$102,4,0)&lt;&gt;""),IF(WEEKDAY(BD12-VLOOKUP($P12&amp;" | "&amp;AU$6,'Job Master'!$F$12:$I$102,4,0))&lt;&gt;7,BD12-VLOOKUP($P12&amp;" | "&amp;AU$6,'Job Master'!$F$12:$I$102,4,0),BD12-VLOOKUP($P12&amp;" | "&amp;AU$6,'Job Master'!$F$12:$I$102,4,0)-1),""),"")</f>
        <v>44579</v>
      </c>
      <c r="AX12" s="73">
        <v>44580</v>
      </c>
      <c r="AY12" s="123">
        <f t="shared" si="19"/>
        <v>1</v>
      </c>
      <c r="AZ12" s="123" t="str">
        <f t="shared" si="20"/>
        <v>Delayed</v>
      </c>
      <c r="BA12" s="97" t="str">
        <f t="shared" ca="1" si="21"/>
        <v/>
      </c>
      <c r="BB12" s="98" t="str">
        <f>IF(BD12&lt;&gt;"",VLOOKUP($P12&amp;" | "&amp;BB$6,'Job Master'!$F$12:$J$102,5,0),"")</f>
        <v>Welding</v>
      </c>
      <c r="BC12" s="19" t="str">
        <f>IF(BD12&lt;&gt;"",VLOOKUP($P12&amp;" | "&amp;BB$6,'Job Master'!$F$12:$J$102,3,0),"")</f>
        <v>A</v>
      </c>
      <c r="BD12" s="19">
        <f>IFERROR(IF(AND(BK12&lt;&gt;"",VLOOKUP($P12&amp;" | "&amp;BB$6,'Job Master'!$F$12:$I$102,4,0)&lt;&gt;""),IF(WEEKDAY(BK12-VLOOKUP($P12&amp;" | "&amp;BB$6,'Job Master'!$F$12:$I$102,4,0))&lt;&gt;7,BK12-VLOOKUP($P12&amp;" | "&amp;BB$6,'Job Master'!$F$12:$I$102,4,0),BK12-VLOOKUP($P12&amp;" | "&amp;BB$6,'Job Master'!$F$12:$I$102,4,0)-1),""),"")</f>
        <v>44580</v>
      </c>
      <c r="BE12" s="73"/>
      <c r="BF12" s="123">
        <f t="shared" si="22"/>
        <v>1</v>
      </c>
      <c r="BG12" s="123" t="str">
        <f t="shared" si="23"/>
        <v/>
      </c>
      <c r="BH12" s="97" t="str">
        <f t="shared" ca="1" si="24"/>
        <v/>
      </c>
      <c r="BI12" s="98" t="str">
        <f>IF(BK12&lt;&gt;"",VLOOKUP($P12&amp;" | "&amp;BI$6,'Job Master'!$F$12:$J$102,5,0),"")</f>
        <v>Welding</v>
      </c>
      <c r="BJ12" s="19" t="str">
        <f>IF(BK12&lt;&gt;"",VLOOKUP($P12&amp;" | "&amp;BI$6,'Job Master'!$F$12:$J$102,3,0),"")</f>
        <v>B</v>
      </c>
      <c r="BK12" s="19">
        <f>IFERROR(IF(AND(BR12&lt;&gt;"",VLOOKUP($P12&amp;" | "&amp;BI$6,'Job Master'!$F$12:$I$102,4,0)&lt;&gt;""),IF(WEEKDAY(BR12-VLOOKUP($P12&amp;" | "&amp;BI$6,'Job Master'!$F$12:$I$102,4,0))&lt;&gt;7,BR12-VLOOKUP($P12&amp;" | "&amp;BI$6,'Job Master'!$F$12:$I$102,4,0),BR12-VLOOKUP($P12&amp;" | "&amp;BI$6,'Job Master'!$F$12:$I$102,4,0)-1),""),"")</f>
        <v>44581</v>
      </c>
      <c r="BL12" s="73"/>
      <c r="BM12" s="123">
        <f t="shared" si="25"/>
        <v>1</v>
      </c>
      <c r="BN12" s="123" t="str">
        <f t="shared" si="26"/>
        <v/>
      </c>
      <c r="BO12" s="97" t="str">
        <f t="shared" ca="1" si="27"/>
        <v/>
      </c>
      <c r="BP12" s="98" t="str">
        <f>IF(BR12&lt;&gt;"",VLOOKUP($P12&amp;" | "&amp;BP$6,'Job Master'!$F$12:$J$102,5,0),"")</f>
        <v>Welding</v>
      </c>
      <c r="BQ12" s="19" t="str">
        <f>IF(BR12&lt;&gt;"",VLOOKUP($P12&amp;" | "&amp;BP$6,'Job Master'!$F$12:$J$102,3,0),"")</f>
        <v>C</v>
      </c>
      <c r="BR12" s="19">
        <f>IFERROR(IF(AND(BY12&lt;&gt;"",VLOOKUP($P12&amp;" | "&amp;BP$6,'Job Master'!$F$12:$I$102,4,0)&lt;&gt;""),IF(WEEKDAY(BY12-VLOOKUP($P12&amp;" | "&amp;BP$6,'Job Master'!$F$12:$I$102,4,0))&lt;&gt;7,BY12-VLOOKUP($P12&amp;" | "&amp;BP$6,'Job Master'!$F$12:$I$102,4,0),BY12-VLOOKUP($P12&amp;" | "&amp;BP$6,'Job Master'!$F$12:$I$102,4,0)-1),""),"")</f>
        <v>44582</v>
      </c>
      <c r="BS12" s="73"/>
      <c r="BT12" s="123">
        <f t="shared" si="28"/>
        <v>1</v>
      </c>
      <c r="BU12" s="123" t="str">
        <f t="shared" si="29"/>
        <v/>
      </c>
      <c r="BV12" s="97" t="str">
        <f t="shared" ca="1" si="30"/>
        <v/>
      </c>
      <c r="BW12" s="98" t="str">
        <f>IF(BY12&lt;&gt;"",VLOOKUP($P12&amp;" | "&amp;BW$6,'Job Master'!$F$12:$J$102,5,0),"")</f>
        <v>Welding</v>
      </c>
      <c r="BX12" s="19" t="str">
        <f>IF(BY12&lt;&gt;"",VLOOKUP($P12&amp;" | "&amp;BW$6,'Job Master'!$F$12:$J$102,3,0),"")</f>
        <v>D</v>
      </c>
      <c r="BY12" s="19">
        <f>IFERROR(IF(AND(CF12&lt;&gt;"",VLOOKUP($P12&amp;" | "&amp;BW$6,'Job Master'!$F$12:$I$102,4,0)&lt;&gt;""),IF(WEEKDAY(CF12-VLOOKUP($P12&amp;" | "&amp;BW$6,'Job Master'!$F$12:$I$102,4,0))&lt;&gt;7,CF12-VLOOKUP($P12&amp;" | "&amp;BW$6,'Job Master'!$F$12:$I$102,4,0),CF12-VLOOKUP($P12&amp;" | "&amp;BW$6,'Job Master'!$F$12:$I$102,4,0)-1),""),"")</f>
        <v>44584</v>
      </c>
      <c r="BZ12" s="73"/>
      <c r="CA12" s="123">
        <f t="shared" si="31"/>
        <v>1</v>
      </c>
      <c r="CB12" s="123" t="str">
        <f t="shared" si="32"/>
        <v/>
      </c>
      <c r="CC12" s="97" t="str">
        <f t="shared" ca="1" si="33"/>
        <v/>
      </c>
      <c r="CD12" s="98" t="str">
        <f>IF(CF12&lt;&gt;"",VLOOKUP($P12&amp;" | "&amp;CD$6,'Job Master'!$F$12:$J$102,5,0),"")</f>
        <v>Welding</v>
      </c>
      <c r="CE12" s="19" t="str">
        <f>IF(CF12&lt;&gt;"",VLOOKUP($P12&amp;" | "&amp;CD$6,'Job Master'!$F$12:$J$102,3,0),"")</f>
        <v>E</v>
      </c>
      <c r="CF12" s="19">
        <f>IFERROR(IF(AND(CM12&lt;&gt;"",VLOOKUP($P12&amp;" | "&amp;CD$6,'Job Master'!$F$12:$I$102,4,0)&lt;&gt;""),IF(WEEKDAY(CM12-VLOOKUP($P12&amp;" | "&amp;CD$6,'Job Master'!$F$12:$I$102,4,0))&lt;&gt;7,CM12-VLOOKUP($P12&amp;" | "&amp;CD$6,'Job Master'!$F$12:$I$102,4,0),CM12-VLOOKUP($P12&amp;" | "&amp;CD$6,'Job Master'!$F$12:$I$102,4,0)-1),""),"")</f>
        <v>44585</v>
      </c>
      <c r="CG12" s="73"/>
      <c r="CH12" s="123">
        <f t="shared" si="34"/>
        <v>1</v>
      </c>
      <c r="CI12" s="123" t="str">
        <f t="shared" si="35"/>
        <v/>
      </c>
      <c r="CJ12" s="97" t="str">
        <f t="shared" ca="1" si="36"/>
        <v/>
      </c>
      <c r="CK12" s="98" t="str">
        <f>IF(CM12&lt;&gt;"",VLOOKUP($P12&amp;" | "&amp;CK$6,'Job Master'!$F$12:$J$102,5,0),"")</f>
        <v>Module</v>
      </c>
      <c r="CL12" s="19" t="str">
        <f>IF(CM12&lt;&gt;"",VLOOKUP($P12&amp;" | "&amp;CK$6,'Job Master'!$F$12:$J$102,3,0),"")</f>
        <v>F</v>
      </c>
      <c r="CM12" s="19">
        <f>IFERROR(IF(AND(CT12&lt;&gt;"",VLOOKUP($P12&amp;" | "&amp;CK$6,'Job Master'!$F$12:$I$102,4,0)&lt;&gt;""),IF(WEEKDAY(CT12-VLOOKUP($P12&amp;" | "&amp;CK$6,'Job Master'!$F$12:$I$102,4,0))&lt;&gt;7,CT12-VLOOKUP($P12&amp;" | "&amp;CK$6,'Job Master'!$F$12:$I$102,4,0),CT12-VLOOKUP($P12&amp;" | "&amp;CK$6,'Job Master'!$F$12:$I$102,4,0)-1),""),"")</f>
        <v>44586</v>
      </c>
      <c r="CN12" s="73"/>
      <c r="CO12" s="123">
        <f t="shared" si="37"/>
        <v>1</v>
      </c>
      <c r="CP12" s="123" t="str">
        <f t="shared" si="38"/>
        <v/>
      </c>
      <c r="CQ12" s="97" t="str">
        <f t="shared" ca="1" si="39"/>
        <v/>
      </c>
      <c r="CR12" s="98" t="str">
        <f>IF(CT12&lt;&gt;"",VLOOKUP($P12&amp;" | "&amp;CR$6,'Job Master'!$F$12:$J$102,5,0),"")</f>
        <v>Cladding</v>
      </c>
      <c r="CS12" s="19" t="str">
        <f>IF(CT12&lt;&gt;"",VLOOKUP($P12&amp;" | "&amp;CR$6,'Job Master'!$F$12:$J$102,3,0),"")</f>
        <v>G</v>
      </c>
      <c r="CT12" s="19">
        <f>IFERROR(IF(AND(DA12&lt;&gt;"",VLOOKUP($P12&amp;" | "&amp;CR$6,'Job Master'!$F$12:$I$102,4,0)&lt;&gt;""),IF(WEEKDAY(DA12-VLOOKUP($P12&amp;" | "&amp;CR$6,'Job Master'!$F$12:$I$102,4,0))&lt;&gt;7,DA12-VLOOKUP($P12&amp;" | "&amp;CR$6,'Job Master'!$F$12:$I$102,4,0),DA12-VLOOKUP($P12&amp;" | "&amp;CR$6,'Job Master'!$F$12:$I$102,4,0)-1),""),"")</f>
        <v>44587</v>
      </c>
      <c r="CU12" s="73"/>
      <c r="CV12" s="123">
        <f t="shared" si="40"/>
        <v>1</v>
      </c>
      <c r="CW12" s="123" t="str">
        <f t="shared" si="41"/>
        <v/>
      </c>
      <c r="CX12" s="97" t="str">
        <f t="shared" ca="1" si="42"/>
        <v/>
      </c>
      <c r="CY12" s="98" t="str">
        <f>IF(DA12&lt;&gt;"",VLOOKUP($P12&amp;" | "&amp;CY$6,'Job Master'!$F$12:$J$102,5,0),"")</f>
        <v>Cladding</v>
      </c>
      <c r="CZ12" s="19" t="str">
        <f>IF(DA12&lt;&gt;"",VLOOKUP($P12&amp;" | "&amp;CY$6,'Job Master'!$F$12:$J$102,3,0),"")</f>
        <v>H</v>
      </c>
      <c r="DA12" s="19">
        <f>IFERROR(IF(AND(DH12&lt;&gt;"",VLOOKUP($P12&amp;" | "&amp;CY$6,'Job Master'!$F$12:$I$102,4,0)&lt;&gt;""),IF(WEEKDAY(DH12-VLOOKUP($P12&amp;" | "&amp;CY$6,'Job Master'!$F$12:$I$102,4,0))&lt;&gt;7,DH12-VLOOKUP($P12&amp;" | "&amp;CY$6,'Job Master'!$F$12:$I$102,4,0),DH12-VLOOKUP($P12&amp;" | "&amp;CY$6,'Job Master'!$F$12:$I$102,4,0)-1),""),"")</f>
        <v>44588</v>
      </c>
      <c r="DB12" s="73"/>
      <c r="DC12" s="123">
        <f t="shared" si="43"/>
        <v>1</v>
      </c>
      <c r="DD12" s="123" t="str">
        <f t="shared" si="44"/>
        <v/>
      </c>
      <c r="DE12" s="97" t="str">
        <f t="shared" ca="1" si="45"/>
        <v/>
      </c>
      <c r="DF12" s="98" t="str">
        <f>IF(DH12&lt;&gt;"",VLOOKUP($P12&amp;" | "&amp;DF$6,'Job Master'!$F$12:$J$102,5,0),"")</f>
        <v>Cladding</v>
      </c>
      <c r="DG12" s="19" t="str">
        <f>IF(DH12&lt;&gt;"",VLOOKUP($P12&amp;" | "&amp;DF$6,'Job Master'!$F$12:$J$102,3,0),"")</f>
        <v>I</v>
      </c>
      <c r="DH12" s="19">
        <f>IFERROR(IF(AND(DO12&lt;&gt;"",VLOOKUP($P12&amp;" | "&amp;DF$6,'Job Master'!$F$12:$I$102,4,0)&lt;&gt;""),IF(WEEKDAY(DO12-VLOOKUP($P12&amp;" | "&amp;DF$6,'Job Master'!$F$12:$I$102,4,0))&lt;&gt;7,DO12-VLOOKUP($P12&amp;" | "&amp;DF$6,'Job Master'!$F$12:$I$102,4,0),DO12-VLOOKUP($P12&amp;" | "&amp;DF$6,'Job Master'!$F$12:$I$102,4,0)-1),""),"")</f>
        <v>44589</v>
      </c>
      <c r="DI12" s="73"/>
      <c r="DJ12" s="123">
        <f t="shared" si="46"/>
        <v>1</v>
      </c>
      <c r="DK12" s="123" t="str">
        <f t="shared" si="47"/>
        <v/>
      </c>
      <c r="DL12" s="97" t="str">
        <f t="shared" ca="1" si="48"/>
        <v/>
      </c>
      <c r="DM12" s="98" t="str">
        <f>IF(DO12&lt;&gt;"",VLOOKUP($P12&amp;" | "&amp;DM$6,'Job Master'!$F$12:$J$102,5,0),"")</f>
        <v>Cladding</v>
      </c>
      <c r="DN12" s="19" t="str">
        <f>IF(DO12&lt;&gt;"",VLOOKUP($P12&amp;" | "&amp;DM$6,'Job Master'!$F$12:$J$102,3,0),"")</f>
        <v>J</v>
      </c>
      <c r="DO12" s="19">
        <f>IFERROR(IF(AND(DT12&lt;&gt;"",VLOOKUP($P12&amp;" | "&amp;DM$6,'Job Master'!$F$12:$I$102,4,0)&lt;&gt;""),IF(WEEKDAY(DT12-VLOOKUP($P12&amp;" | "&amp;DM$6,'Job Master'!$F$12:$I$102,4,0))&lt;&gt;7,DT12-VLOOKUP($P12&amp;" | "&amp;DM$6,'Job Master'!$F$12:$I$102,4,0),DT12-VLOOKUP($P12&amp;" | "&amp;DM$6,'Job Master'!$F$12:$I$102,4,0)-1),""),"")</f>
        <v>44591</v>
      </c>
      <c r="DP12" s="73"/>
      <c r="DQ12" s="123">
        <f t="shared" si="49"/>
        <v>1</v>
      </c>
      <c r="DR12" s="123" t="str">
        <f t="shared" si="50"/>
        <v/>
      </c>
      <c r="DS12" s="97" t="str">
        <f t="shared" ca="1" si="51"/>
        <v/>
      </c>
      <c r="DT12" s="70">
        <f t="shared" si="52"/>
        <v>44592</v>
      </c>
      <c r="DU12" s="90"/>
      <c r="DV12" s="123">
        <f t="shared" si="53"/>
        <v>1</v>
      </c>
      <c r="DW12" s="123" t="str">
        <f t="shared" si="54"/>
        <v/>
      </c>
      <c r="DX12" s="132" t="str">
        <f t="shared" ref="DX12" ca="1" si="64">IF(DT12&lt;&gt;"",IF(WEEKNUM(DT12)=WEEKNUM(TODAY()),"This Week",IF(WEEKNUM(DT12)=WEEKNUM(TODAY())+1,"Next Week",IF(WEEKNUM(DT12)=WEEKNUM(TODAY())-1,"Previous Week",""))),"")</f>
        <v/>
      </c>
      <c r="DY12" s="134" t="str">
        <f t="shared" si="56"/>
        <v/>
      </c>
      <c r="DZ12" s="95"/>
      <c r="EB12" s="8" t="str">
        <f t="shared" si="0"/>
        <v/>
      </c>
      <c r="EC12" s="8" t="str">
        <f>IF(O12&lt;&gt;"",VLOOKUP(O12,'Job Master'!$N$12:$O$18,2,0),"")</f>
        <v/>
      </c>
      <c r="ED12" s="8">
        <f t="shared" si="57"/>
        <v>19.5</v>
      </c>
      <c r="EE12" s="8">
        <f t="shared" si="58"/>
        <v>6</v>
      </c>
      <c r="EF12" s="8">
        <f t="shared" si="59"/>
        <v>7.5</v>
      </c>
      <c r="EG12" s="8">
        <f t="shared" si="60"/>
        <v>7.5</v>
      </c>
      <c r="EH12" s="8">
        <f t="shared" si="61"/>
        <v>6</v>
      </c>
    </row>
    <row r="13" spans="2:138" x14ac:dyDescent="0.3">
      <c r="B13" s="111" t="str">
        <f>IF(F13&lt;&gt;"",F13&amp;" | "&amp;COUNTIF($F$8:F13,F13),"")</f>
        <v>2345 | 4</v>
      </c>
      <c r="C13" s="27"/>
      <c r="D13" s="7">
        <f t="shared" si="1"/>
        <v>2</v>
      </c>
      <c r="E13" s="25"/>
      <c r="F13" s="7">
        <f t="shared" si="1"/>
        <v>2345</v>
      </c>
      <c r="G13" s="25"/>
      <c r="H13" s="7">
        <f t="shared" si="1"/>
        <v>9898</v>
      </c>
      <c r="I13" s="25"/>
      <c r="J13" s="7">
        <f t="shared" si="1"/>
        <v>2</v>
      </c>
      <c r="K13" s="25"/>
      <c r="L13" s="7" t="str">
        <f t="shared" si="2"/>
        <v>BCD</v>
      </c>
      <c r="M13" s="25"/>
      <c r="N13" s="7" t="str">
        <f t="shared" si="3"/>
        <v/>
      </c>
      <c r="O13" s="81"/>
      <c r="P13" s="81" t="str">
        <f t="shared" si="4"/>
        <v>MCR</v>
      </c>
      <c r="Q13" s="81"/>
      <c r="R13" s="7" t="str">
        <f t="shared" si="5"/>
        <v>2 Way</v>
      </c>
      <c r="S13" s="25"/>
      <c r="T13" s="7" t="str">
        <f t="shared" si="6"/>
        <v/>
      </c>
      <c r="U13" s="25"/>
      <c r="V13" s="7">
        <f t="shared" si="7"/>
        <v>15</v>
      </c>
      <c r="W13" s="25"/>
      <c r="X13" s="7">
        <f t="shared" si="8"/>
        <v>1.3</v>
      </c>
      <c r="Y13" s="18" t="str">
        <f t="shared" si="9"/>
        <v/>
      </c>
      <c r="Z13" s="7">
        <f t="shared" si="10"/>
        <v>19.5</v>
      </c>
      <c r="AA13" s="18">
        <f t="shared" si="11"/>
        <v>1.5</v>
      </c>
      <c r="AB13" s="19">
        <f t="shared" si="12"/>
        <v>44591</v>
      </c>
      <c r="AC13" s="26"/>
      <c r="AD13" s="26"/>
      <c r="AE13" s="25"/>
      <c r="AF13" s="26"/>
      <c r="AG13" s="25"/>
      <c r="AH13" s="25"/>
      <c r="AI13" s="18" t="str">
        <f t="shared" si="13"/>
        <v/>
      </c>
      <c r="AJ13" s="25"/>
      <c r="AK13" s="18" t="str">
        <f t="shared" si="14"/>
        <v/>
      </c>
      <c r="AL13" s="79"/>
      <c r="AM13" s="126" t="str">
        <f t="shared" si="15"/>
        <v/>
      </c>
      <c r="AN13" s="128" t="str">
        <f>IF(AP13&lt;&gt;"",VLOOKUP($P13&amp;" | "&amp;AN$6,'Job Master'!$F$12:$J$102,5,0),"")</f>
        <v/>
      </c>
      <c r="AO13" s="19" t="str">
        <f>IF(AP13&lt;&gt;"",VLOOKUP($P13&amp;" | "&amp;AN$6,'Job Master'!$F$12:$J$102,3,0),"")</f>
        <v/>
      </c>
      <c r="AP13" s="19" t="str">
        <f>IFERROR(IF(AND(AW13&lt;&gt;"",VLOOKUP($P13&amp;" | "&amp;AN$6,'Job Master'!$F$12:$I$102,4,0)&lt;&gt;""),IF(WEEKDAY(AW13-VLOOKUP($P13&amp;" | "&amp;AN$6,'Job Master'!$F$12:$I$102,4,0))&lt;&gt;7,AW13-VLOOKUP($P13&amp;" | "&amp;AN$6,'Job Master'!$F$12:$I$102,4,0),AW13-VLOOKUP($P13&amp;" | "&amp;AN$6,'Job Master'!$F$12:$I$102,4,0)-1),""),"")</f>
        <v/>
      </c>
      <c r="AQ13" s="73"/>
      <c r="AR13" s="123" t="str">
        <f t="shared" si="16"/>
        <v/>
      </c>
      <c r="AS13" s="123" t="str">
        <f t="shared" si="17"/>
        <v/>
      </c>
      <c r="AT13" s="97" t="str">
        <f t="shared" ca="1" si="18"/>
        <v/>
      </c>
      <c r="AU13" s="98" t="str">
        <f>IF(AW13&lt;&gt;"",VLOOKUP($P13&amp;" | "&amp;AU$6,'Job Master'!$F$12:$J$102,5,0),"")</f>
        <v>Others</v>
      </c>
      <c r="AV13" s="19" t="str">
        <f>IF(AW13&lt;&gt;"",VLOOKUP($P13&amp;" | "&amp;AU$6,'Job Master'!$F$12:$J$102,3,0),"")</f>
        <v>Mfg. Clearance</v>
      </c>
      <c r="AW13" s="19">
        <f>IFERROR(IF(AND(BD13&lt;&gt;"",VLOOKUP($P13&amp;" | "&amp;AU$6,'Job Master'!$F$12:$I$102,4,0)&lt;&gt;""),IF(WEEKDAY(BD13-VLOOKUP($P13&amp;" | "&amp;AU$6,'Job Master'!$F$12:$I$102,4,0))&lt;&gt;7,BD13-VLOOKUP($P13&amp;" | "&amp;AU$6,'Job Master'!$F$12:$I$102,4,0),BD13-VLOOKUP($P13&amp;" | "&amp;AU$6,'Job Master'!$F$12:$I$102,4,0)-1),""),"")</f>
        <v>44578</v>
      </c>
      <c r="AX13" s="73">
        <v>44576</v>
      </c>
      <c r="AY13" s="123">
        <f t="shared" si="19"/>
        <v>1</v>
      </c>
      <c r="AZ13" s="123" t="str">
        <f t="shared" si="20"/>
        <v>In Advance</v>
      </c>
      <c r="BA13" s="97" t="str">
        <f t="shared" ca="1" si="21"/>
        <v/>
      </c>
      <c r="BB13" s="98" t="str">
        <f>IF(BD13&lt;&gt;"",VLOOKUP($P13&amp;" | "&amp;BB$6,'Job Master'!$F$12:$J$102,5,0),"")</f>
        <v>Welding</v>
      </c>
      <c r="BC13" s="19" t="str">
        <f>IF(BD13&lt;&gt;"",VLOOKUP($P13&amp;" | "&amp;BB$6,'Job Master'!$F$12:$J$102,3,0),"")</f>
        <v>A</v>
      </c>
      <c r="BD13" s="19">
        <f>IFERROR(IF(AND(BK13&lt;&gt;"",VLOOKUP($P13&amp;" | "&amp;BB$6,'Job Master'!$F$12:$I$102,4,0)&lt;&gt;""),IF(WEEKDAY(BK13-VLOOKUP($P13&amp;" | "&amp;BB$6,'Job Master'!$F$12:$I$102,4,0))&lt;&gt;7,BK13-VLOOKUP($P13&amp;" | "&amp;BB$6,'Job Master'!$F$12:$I$102,4,0),BK13-VLOOKUP($P13&amp;" | "&amp;BB$6,'Job Master'!$F$12:$I$102,4,0)-1),""),"")</f>
        <v>44579</v>
      </c>
      <c r="BE13" s="73"/>
      <c r="BF13" s="123">
        <f t="shared" si="22"/>
        <v>1</v>
      </c>
      <c r="BG13" s="123" t="str">
        <f t="shared" si="23"/>
        <v/>
      </c>
      <c r="BH13" s="97" t="str">
        <f t="shared" ca="1" si="24"/>
        <v/>
      </c>
      <c r="BI13" s="98" t="str">
        <f>IF(BK13&lt;&gt;"",VLOOKUP($P13&amp;" | "&amp;BI$6,'Job Master'!$F$12:$J$102,5,0),"")</f>
        <v>Welding</v>
      </c>
      <c r="BJ13" s="19" t="str">
        <f>IF(BK13&lt;&gt;"",VLOOKUP($P13&amp;" | "&amp;BI$6,'Job Master'!$F$12:$J$102,3,0),"")</f>
        <v>B</v>
      </c>
      <c r="BK13" s="19">
        <f>IFERROR(IF(AND(BR13&lt;&gt;"",VLOOKUP($P13&amp;" | "&amp;BI$6,'Job Master'!$F$12:$I$102,4,0)&lt;&gt;""),IF(WEEKDAY(BR13-VLOOKUP($P13&amp;" | "&amp;BI$6,'Job Master'!$F$12:$I$102,4,0))&lt;&gt;7,BR13-VLOOKUP($P13&amp;" | "&amp;BI$6,'Job Master'!$F$12:$I$102,4,0),BR13-VLOOKUP($P13&amp;" | "&amp;BI$6,'Job Master'!$F$12:$I$102,4,0)-1),""),"")</f>
        <v>44580</v>
      </c>
      <c r="BL13" s="73"/>
      <c r="BM13" s="123">
        <f t="shared" si="25"/>
        <v>1</v>
      </c>
      <c r="BN13" s="123" t="str">
        <f t="shared" si="26"/>
        <v/>
      </c>
      <c r="BO13" s="97" t="str">
        <f t="shared" ca="1" si="27"/>
        <v/>
      </c>
      <c r="BP13" s="98" t="str">
        <f>IF(BR13&lt;&gt;"",VLOOKUP($P13&amp;" | "&amp;BP$6,'Job Master'!$F$12:$J$102,5,0),"")</f>
        <v>Welding</v>
      </c>
      <c r="BQ13" s="19" t="str">
        <f>IF(BR13&lt;&gt;"",VLOOKUP($P13&amp;" | "&amp;BP$6,'Job Master'!$F$12:$J$102,3,0),"")</f>
        <v>C</v>
      </c>
      <c r="BR13" s="19">
        <f>IFERROR(IF(AND(BY13&lt;&gt;"",VLOOKUP($P13&amp;" | "&amp;BP$6,'Job Master'!$F$12:$I$102,4,0)&lt;&gt;""),IF(WEEKDAY(BY13-VLOOKUP($P13&amp;" | "&amp;BP$6,'Job Master'!$F$12:$I$102,4,0))&lt;&gt;7,BY13-VLOOKUP($P13&amp;" | "&amp;BP$6,'Job Master'!$F$12:$I$102,4,0),BY13-VLOOKUP($P13&amp;" | "&amp;BP$6,'Job Master'!$F$12:$I$102,4,0)-1),""),"")</f>
        <v>44581</v>
      </c>
      <c r="BS13" s="73"/>
      <c r="BT13" s="123">
        <f t="shared" si="28"/>
        <v>1</v>
      </c>
      <c r="BU13" s="123" t="str">
        <f t="shared" si="29"/>
        <v/>
      </c>
      <c r="BV13" s="97" t="str">
        <f t="shared" ca="1" si="30"/>
        <v/>
      </c>
      <c r="BW13" s="98" t="str">
        <f>IF(BY13&lt;&gt;"",VLOOKUP($P13&amp;" | "&amp;BW$6,'Job Master'!$F$12:$J$102,5,0),"")</f>
        <v>Welding</v>
      </c>
      <c r="BX13" s="19" t="str">
        <f>IF(BY13&lt;&gt;"",VLOOKUP($P13&amp;" | "&amp;BW$6,'Job Master'!$F$12:$J$102,3,0),"")</f>
        <v>D</v>
      </c>
      <c r="BY13" s="19">
        <f>IFERROR(IF(AND(CF13&lt;&gt;"",VLOOKUP($P13&amp;" | "&amp;BW$6,'Job Master'!$F$12:$I$102,4,0)&lt;&gt;""),IF(WEEKDAY(CF13-VLOOKUP($P13&amp;" | "&amp;BW$6,'Job Master'!$F$12:$I$102,4,0))&lt;&gt;7,CF13-VLOOKUP($P13&amp;" | "&amp;BW$6,'Job Master'!$F$12:$I$102,4,0),CF13-VLOOKUP($P13&amp;" | "&amp;BW$6,'Job Master'!$F$12:$I$102,4,0)-1),""),"")</f>
        <v>44582</v>
      </c>
      <c r="BZ13" s="73"/>
      <c r="CA13" s="123">
        <f t="shared" si="31"/>
        <v>1</v>
      </c>
      <c r="CB13" s="123" t="str">
        <f t="shared" si="32"/>
        <v/>
      </c>
      <c r="CC13" s="97" t="str">
        <f t="shared" ca="1" si="33"/>
        <v/>
      </c>
      <c r="CD13" s="98" t="str">
        <f>IF(CF13&lt;&gt;"",VLOOKUP($P13&amp;" | "&amp;CD$6,'Job Master'!$F$12:$J$102,5,0),"")</f>
        <v>Welding</v>
      </c>
      <c r="CE13" s="19" t="str">
        <f>IF(CF13&lt;&gt;"",VLOOKUP($P13&amp;" | "&amp;CD$6,'Job Master'!$F$12:$J$102,3,0),"")</f>
        <v>E</v>
      </c>
      <c r="CF13" s="19">
        <f>IFERROR(IF(AND(CM13&lt;&gt;"",VLOOKUP($P13&amp;" | "&amp;CD$6,'Job Master'!$F$12:$I$102,4,0)&lt;&gt;""),IF(WEEKDAY(CM13-VLOOKUP($P13&amp;" | "&amp;CD$6,'Job Master'!$F$12:$I$102,4,0))&lt;&gt;7,CM13-VLOOKUP($P13&amp;" | "&amp;CD$6,'Job Master'!$F$12:$I$102,4,0),CM13-VLOOKUP($P13&amp;" | "&amp;CD$6,'Job Master'!$F$12:$I$102,4,0)-1),""),"")</f>
        <v>44584</v>
      </c>
      <c r="CG13" s="73"/>
      <c r="CH13" s="123">
        <f t="shared" si="34"/>
        <v>1</v>
      </c>
      <c r="CI13" s="123" t="str">
        <f t="shared" si="35"/>
        <v/>
      </c>
      <c r="CJ13" s="97" t="str">
        <f t="shared" ca="1" si="36"/>
        <v/>
      </c>
      <c r="CK13" s="98" t="str">
        <f>IF(CM13&lt;&gt;"",VLOOKUP($P13&amp;" | "&amp;CK$6,'Job Master'!$F$12:$J$102,5,0),"")</f>
        <v>Module</v>
      </c>
      <c r="CL13" s="19" t="str">
        <f>IF(CM13&lt;&gt;"",VLOOKUP($P13&amp;" | "&amp;CK$6,'Job Master'!$F$12:$J$102,3,0),"")</f>
        <v>F</v>
      </c>
      <c r="CM13" s="19">
        <f>IFERROR(IF(AND(CT13&lt;&gt;"",VLOOKUP($P13&amp;" | "&amp;CK$6,'Job Master'!$F$12:$I$102,4,0)&lt;&gt;""),IF(WEEKDAY(CT13-VLOOKUP($P13&amp;" | "&amp;CK$6,'Job Master'!$F$12:$I$102,4,0))&lt;&gt;7,CT13-VLOOKUP($P13&amp;" | "&amp;CK$6,'Job Master'!$F$12:$I$102,4,0),CT13-VLOOKUP($P13&amp;" | "&amp;CK$6,'Job Master'!$F$12:$I$102,4,0)-1),""),"")</f>
        <v>44585</v>
      </c>
      <c r="CN13" s="73"/>
      <c r="CO13" s="123">
        <f t="shared" si="37"/>
        <v>1</v>
      </c>
      <c r="CP13" s="123" t="str">
        <f t="shared" si="38"/>
        <v/>
      </c>
      <c r="CQ13" s="97" t="str">
        <f t="shared" ca="1" si="39"/>
        <v/>
      </c>
      <c r="CR13" s="98" t="str">
        <f>IF(CT13&lt;&gt;"",VLOOKUP($P13&amp;" | "&amp;CR$6,'Job Master'!$F$12:$J$102,5,0),"")</f>
        <v>Cladding</v>
      </c>
      <c r="CS13" s="19" t="str">
        <f>IF(CT13&lt;&gt;"",VLOOKUP($P13&amp;" | "&amp;CR$6,'Job Master'!$F$12:$J$102,3,0),"")</f>
        <v>G</v>
      </c>
      <c r="CT13" s="19">
        <f>IFERROR(IF(AND(DA13&lt;&gt;"",VLOOKUP($P13&amp;" | "&amp;CR$6,'Job Master'!$F$12:$I$102,4,0)&lt;&gt;""),IF(WEEKDAY(DA13-VLOOKUP($P13&amp;" | "&amp;CR$6,'Job Master'!$F$12:$I$102,4,0))&lt;&gt;7,DA13-VLOOKUP($P13&amp;" | "&amp;CR$6,'Job Master'!$F$12:$I$102,4,0),DA13-VLOOKUP($P13&amp;" | "&amp;CR$6,'Job Master'!$F$12:$I$102,4,0)-1),""),"")</f>
        <v>44586</v>
      </c>
      <c r="CU13" s="73"/>
      <c r="CV13" s="123">
        <f t="shared" si="40"/>
        <v>1</v>
      </c>
      <c r="CW13" s="123" t="str">
        <f t="shared" si="41"/>
        <v/>
      </c>
      <c r="CX13" s="97" t="str">
        <f t="shared" ca="1" si="42"/>
        <v/>
      </c>
      <c r="CY13" s="98" t="str">
        <f>IF(DA13&lt;&gt;"",VLOOKUP($P13&amp;" | "&amp;CY$6,'Job Master'!$F$12:$J$102,5,0),"")</f>
        <v>Cladding</v>
      </c>
      <c r="CZ13" s="19" t="str">
        <f>IF(DA13&lt;&gt;"",VLOOKUP($P13&amp;" | "&amp;CY$6,'Job Master'!$F$12:$J$102,3,0),"")</f>
        <v>H</v>
      </c>
      <c r="DA13" s="19">
        <f>IFERROR(IF(AND(DH13&lt;&gt;"",VLOOKUP($P13&amp;" | "&amp;CY$6,'Job Master'!$F$12:$I$102,4,0)&lt;&gt;""),IF(WEEKDAY(DH13-VLOOKUP($P13&amp;" | "&amp;CY$6,'Job Master'!$F$12:$I$102,4,0))&lt;&gt;7,DH13-VLOOKUP($P13&amp;" | "&amp;CY$6,'Job Master'!$F$12:$I$102,4,0),DH13-VLOOKUP($P13&amp;" | "&amp;CY$6,'Job Master'!$F$12:$I$102,4,0)-1),""),"")</f>
        <v>44587</v>
      </c>
      <c r="DB13" s="73"/>
      <c r="DC13" s="123">
        <f t="shared" si="43"/>
        <v>1</v>
      </c>
      <c r="DD13" s="123" t="str">
        <f t="shared" si="44"/>
        <v/>
      </c>
      <c r="DE13" s="97" t="str">
        <f t="shared" ca="1" si="45"/>
        <v/>
      </c>
      <c r="DF13" s="98" t="str">
        <f>IF(DH13&lt;&gt;"",VLOOKUP($P13&amp;" | "&amp;DF$6,'Job Master'!$F$12:$J$102,5,0),"")</f>
        <v>Cladding</v>
      </c>
      <c r="DG13" s="19" t="str">
        <f>IF(DH13&lt;&gt;"",VLOOKUP($P13&amp;" | "&amp;DF$6,'Job Master'!$F$12:$J$102,3,0),"")</f>
        <v>I</v>
      </c>
      <c r="DH13" s="19">
        <f>IFERROR(IF(AND(DO13&lt;&gt;"",VLOOKUP($P13&amp;" | "&amp;DF$6,'Job Master'!$F$12:$I$102,4,0)&lt;&gt;""),IF(WEEKDAY(DO13-VLOOKUP($P13&amp;" | "&amp;DF$6,'Job Master'!$F$12:$I$102,4,0))&lt;&gt;7,DO13-VLOOKUP($P13&amp;" | "&amp;DF$6,'Job Master'!$F$12:$I$102,4,0),DO13-VLOOKUP($P13&amp;" | "&amp;DF$6,'Job Master'!$F$12:$I$102,4,0)-1),""),"")</f>
        <v>44588</v>
      </c>
      <c r="DI13" s="73"/>
      <c r="DJ13" s="123">
        <f t="shared" si="46"/>
        <v>1</v>
      </c>
      <c r="DK13" s="123" t="str">
        <f t="shared" si="47"/>
        <v/>
      </c>
      <c r="DL13" s="97" t="str">
        <f t="shared" ca="1" si="48"/>
        <v/>
      </c>
      <c r="DM13" s="98" t="str">
        <f>IF(DO13&lt;&gt;"",VLOOKUP($P13&amp;" | "&amp;DM$6,'Job Master'!$F$12:$J$102,5,0),"")</f>
        <v>Cladding</v>
      </c>
      <c r="DN13" s="19" t="str">
        <f>IF(DO13&lt;&gt;"",VLOOKUP($P13&amp;" | "&amp;DM$6,'Job Master'!$F$12:$J$102,3,0),"")</f>
        <v>J</v>
      </c>
      <c r="DO13" s="19">
        <f>IFERROR(IF(AND(DT13&lt;&gt;"",VLOOKUP($P13&amp;" | "&amp;DM$6,'Job Master'!$F$12:$I$102,4,0)&lt;&gt;""),IF(WEEKDAY(DT13-VLOOKUP($P13&amp;" | "&amp;DM$6,'Job Master'!$F$12:$I$102,4,0))&lt;&gt;7,DT13-VLOOKUP($P13&amp;" | "&amp;DM$6,'Job Master'!$F$12:$I$102,4,0),DT13-VLOOKUP($P13&amp;" | "&amp;DM$6,'Job Master'!$F$12:$I$102,4,0)-1),""),"")</f>
        <v>44589</v>
      </c>
      <c r="DP13" s="73"/>
      <c r="DQ13" s="123">
        <f t="shared" si="49"/>
        <v>1</v>
      </c>
      <c r="DR13" s="123" t="str">
        <f t="shared" si="50"/>
        <v/>
      </c>
      <c r="DS13" s="97" t="str">
        <f t="shared" ca="1" si="51"/>
        <v/>
      </c>
      <c r="DT13" s="70">
        <f t="shared" si="52"/>
        <v>44591</v>
      </c>
      <c r="DU13" s="90"/>
      <c r="DV13" s="123">
        <f t="shared" si="53"/>
        <v>1</v>
      </c>
      <c r="DW13" s="123" t="str">
        <f t="shared" si="54"/>
        <v/>
      </c>
      <c r="DX13" s="132" t="str">
        <f t="shared" ref="DX13" ca="1" si="65">IF(DT13&lt;&gt;"",IF(WEEKNUM(DT13)=WEEKNUM(TODAY()),"This Week",IF(WEEKNUM(DT13)=WEEKNUM(TODAY())+1,"Next Week",IF(WEEKNUM(DT13)=WEEKNUM(TODAY())-1,"Previous Week",""))),"")</f>
        <v/>
      </c>
      <c r="DY13" s="134" t="str">
        <f t="shared" si="56"/>
        <v/>
      </c>
      <c r="DZ13" s="95"/>
      <c r="EB13" s="8" t="str">
        <f t="shared" si="0"/>
        <v/>
      </c>
      <c r="EC13" s="8" t="str">
        <f>IF(O13&lt;&gt;"",VLOOKUP(O13,'Job Master'!$N$12:$O$18,2,0),"")</f>
        <v/>
      </c>
      <c r="ED13" s="8">
        <f t="shared" si="57"/>
        <v>19.5</v>
      </c>
      <c r="EE13" s="8">
        <f t="shared" si="58"/>
        <v>6</v>
      </c>
      <c r="EF13" s="8">
        <f t="shared" si="59"/>
        <v>1.5</v>
      </c>
      <c r="EG13" s="8">
        <f t="shared" si="60"/>
        <v>1.5</v>
      </c>
      <c r="EH13" s="8">
        <f t="shared" si="61"/>
        <v>1.5</v>
      </c>
    </row>
    <row r="14" spans="2:138" x14ac:dyDescent="0.3">
      <c r="B14" s="112"/>
      <c r="C14" s="27"/>
      <c r="D14" s="7" t="str">
        <f t="shared" si="1"/>
        <v/>
      </c>
      <c r="E14" s="25"/>
      <c r="F14" s="7" t="str">
        <f t="shared" si="1"/>
        <v/>
      </c>
      <c r="G14" s="25"/>
      <c r="H14" s="7" t="str">
        <f t="shared" si="1"/>
        <v/>
      </c>
      <c r="I14" s="25"/>
      <c r="J14" s="7" t="str">
        <f t="shared" si="1"/>
        <v/>
      </c>
      <c r="K14" s="25"/>
      <c r="L14" s="7" t="str">
        <f t="shared" si="2"/>
        <v/>
      </c>
      <c r="M14" s="25"/>
      <c r="N14" s="7" t="str">
        <f t="shared" si="3"/>
        <v/>
      </c>
      <c r="O14" s="81"/>
      <c r="P14" s="81" t="str">
        <f t="shared" si="4"/>
        <v/>
      </c>
      <c r="Q14" s="81"/>
      <c r="R14" s="7" t="str">
        <f t="shared" si="5"/>
        <v/>
      </c>
      <c r="S14" s="25"/>
      <c r="T14" s="7" t="str">
        <f t="shared" si="6"/>
        <v/>
      </c>
      <c r="U14" s="25"/>
      <c r="V14" s="7" t="str">
        <f t="shared" si="7"/>
        <v/>
      </c>
      <c r="W14" s="25"/>
      <c r="X14" s="7" t="str">
        <f t="shared" si="8"/>
        <v/>
      </c>
      <c r="Y14" s="18" t="str">
        <f t="shared" si="9"/>
        <v/>
      </c>
      <c r="Z14" s="7" t="str">
        <f t="shared" si="10"/>
        <v/>
      </c>
      <c r="AA14" s="18" t="str">
        <f t="shared" si="11"/>
        <v/>
      </c>
      <c r="AB14" s="19" t="str">
        <f t="shared" si="12"/>
        <v/>
      </c>
      <c r="AC14" s="26"/>
      <c r="AD14" s="26"/>
      <c r="AE14" s="25"/>
      <c r="AF14" s="26"/>
      <c r="AG14" s="25"/>
      <c r="AH14" s="25"/>
      <c r="AI14" s="18" t="str">
        <f t="shared" si="13"/>
        <v/>
      </c>
      <c r="AJ14" s="25"/>
      <c r="AK14" s="18" t="str">
        <f t="shared" si="14"/>
        <v/>
      </c>
      <c r="AL14" s="79"/>
      <c r="AM14" s="126" t="str">
        <f t="shared" si="15"/>
        <v/>
      </c>
      <c r="AN14" s="128" t="str">
        <f>IF(AP14&lt;&gt;"",VLOOKUP($P14&amp;" | "&amp;AN$6,'Job Master'!$F$12:$J$102,5,0),"")</f>
        <v/>
      </c>
      <c r="AO14" s="19" t="str">
        <f>IF(AP14&lt;&gt;"",VLOOKUP($P14&amp;" | "&amp;AN$6,'Job Master'!$F$12:$J$102,3,0),"")</f>
        <v/>
      </c>
      <c r="AP14" s="19" t="str">
        <f>IFERROR(IF(AND(AW14&lt;&gt;"",VLOOKUP($P14&amp;" | "&amp;AN$6,'Job Master'!$F$12:$I$102,4,0)&lt;&gt;""),IF(WEEKDAY(AW14-VLOOKUP($P14&amp;" | "&amp;AN$6,'Job Master'!$F$12:$I$102,4,0))&lt;&gt;7,AW14-VLOOKUP($P14&amp;" | "&amp;AN$6,'Job Master'!$F$12:$I$102,4,0),AW14-VLOOKUP($P14&amp;" | "&amp;AN$6,'Job Master'!$F$12:$I$102,4,0)-1),""),"")</f>
        <v/>
      </c>
      <c r="AQ14" s="73"/>
      <c r="AR14" s="123" t="str">
        <f t="shared" si="16"/>
        <v/>
      </c>
      <c r="AS14" s="123" t="str">
        <f t="shared" si="17"/>
        <v/>
      </c>
      <c r="AT14" s="97" t="str">
        <f t="shared" ca="1" si="18"/>
        <v/>
      </c>
      <c r="AU14" s="98" t="str">
        <f>IF(AW14&lt;&gt;"",VLOOKUP($P14&amp;" | "&amp;AU$6,'Job Master'!$F$12:$J$102,5,0),"")</f>
        <v/>
      </c>
      <c r="AV14" s="19" t="str">
        <f>IF(AW14&lt;&gt;"",VLOOKUP($P14&amp;" | "&amp;AU$6,'Job Master'!$F$12:$J$102,3,0),"")</f>
        <v/>
      </c>
      <c r="AW14" s="19" t="str">
        <f>IFERROR(IF(AND(BD14&lt;&gt;"",VLOOKUP($P14&amp;" | "&amp;AU$6,'Job Master'!$F$12:$I$102,4,0)&lt;&gt;""),IF(WEEKDAY(BD14-VLOOKUP($P14&amp;" | "&amp;AU$6,'Job Master'!$F$12:$I$102,4,0))&lt;&gt;7,BD14-VLOOKUP($P14&amp;" | "&amp;AU$6,'Job Master'!$F$12:$I$102,4,0),BD14-VLOOKUP($P14&amp;" | "&amp;AU$6,'Job Master'!$F$12:$I$102,4,0)-1),""),"")</f>
        <v/>
      </c>
      <c r="AX14" s="73"/>
      <c r="AY14" s="123" t="str">
        <f t="shared" si="19"/>
        <v/>
      </c>
      <c r="AZ14" s="123" t="str">
        <f t="shared" si="20"/>
        <v/>
      </c>
      <c r="BA14" s="97" t="str">
        <f t="shared" ca="1" si="21"/>
        <v/>
      </c>
      <c r="BB14" s="98" t="str">
        <f>IF(BD14&lt;&gt;"",VLOOKUP($P14&amp;" | "&amp;BB$6,'Job Master'!$F$12:$J$102,5,0),"")</f>
        <v/>
      </c>
      <c r="BC14" s="19" t="str">
        <f>IF(BD14&lt;&gt;"",VLOOKUP($P14&amp;" | "&amp;BB$6,'Job Master'!$F$12:$J$102,3,0),"")</f>
        <v/>
      </c>
      <c r="BD14" s="19" t="str">
        <f>IFERROR(IF(AND(BK14&lt;&gt;"",VLOOKUP($P14&amp;" | "&amp;BB$6,'Job Master'!$F$12:$I$102,4,0)&lt;&gt;""),IF(WEEKDAY(BK14-VLOOKUP($P14&amp;" | "&amp;BB$6,'Job Master'!$F$12:$I$102,4,0))&lt;&gt;7,BK14-VLOOKUP($P14&amp;" | "&amp;BB$6,'Job Master'!$F$12:$I$102,4,0),BK14-VLOOKUP($P14&amp;" | "&amp;BB$6,'Job Master'!$F$12:$I$102,4,0)-1),""),"")</f>
        <v/>
      </c>
      <c r="BE14" s="73"/>
      <c r="BF14" s="123" t="str">
        <f t="shared" si="22"/>
        <v/>
      </c>
      <c r="BG14" s="123" t="str">
        <f t="shared" si="23"/>
        <v/>
      </c>
      <c r="BH14" s="97" t="str">
        <f t="shared" ca="1" si="24"/>
        <v/>
      </c>
      <c r="BI14" s="98" t="str">
        <f>IF(BK14&lt;&gt;"",VLOOKUP($P14&amp;" | "&amp;BI$6,'Job Master'!$F$12:$J$102,5,0),"")</f>
        <v/>
      </c>
      <c r="BJ14" s="19" t="str">
        <f>IF(BK14&lt;&gt;"",VLOOKUP($P14&amp;" | "&amp;BI$6,'Job Master'!$F$12:$J$102,3,0),"")</f>
        <v/>
      </c>
      <c r="BK14" s="19" t="str">
        <f>IFERROR(IF(AND(BR14&lt;&gt;"",VLOOKUP($P14&amp;" | "&amp;BI$6,'Job Master'!$F$12:$I$102,4,0)&lt;&gt;""),IF(WEEKDAY(BR14-VLOOKUP($P14&amp;" | "&amp;BI$6,'Job Master'!$F$12:$I$102,4,0))&lt;&gt;7,BR14-VLOOKUP($P14&amp;" | "&amp;BI$6,'Job Master'!$F$12:$I$102,4,0),BR14-VLOOKUP($P14&amp;" | "&amp;BI$6,'Job Master'!$F$12:$I$102,4,0)-1),""),"")</f>
        <v/>
      </c>
      <c r="BL14" s="73"/>
      <c r="BM14" s="123" t="str">
        <f t="shared" si="25"/>
        <v/>
      </c>
      <c r="BN14" s="123" t="str">
        <f t="shared" si="26"/>
        <v/>
      </c>
      <c r="BO14" s="97" t="str">
        <f t="shared" ca="1" si="27"/>
        <v/>
      </c>
      <c r="BP14" s="98" t="str">
        <f>IF(BR14&lt;&gt;"",VLOOKUP($P14&amp;" | "&amp;BP$6,'Job Master'!$F$12:$J$102,5,0),"")</f>
        <v/>
      </c>
      <c r="BQ14" s="19" t="str">
        <f>IF(BR14&lt;&gt;"",VLOOKUP($P14&amp;" | "&amp;BP$6,'Job Master'!$F$12:$J$102,3,0),"")</f>
        <v/>
      </c>
      <c r="BR14" s="19" t="str">
        <f>IFERROR(IF(AND(BY14&lt;&gt;"",VLOOKUP($P14&amp;" | "&amp;BP$6,'Job Master'!$F$12:$I$102,4,0)&lt;&gt;""),IF(WEEKDAY(BY14-VLOOKUP($P14&amp;" | "&amp;BP$6,'Job Master'!$F$12:$I$102,4,0))&lt;&gt;7,BY14-VLOOKUP($P14&amp;" | "&amp;BP$6,'Job Master'!$F$12:$I$102,4,0),BY14-VLOOKUP($P14&amp;" | "&amp;BP$6,'Job Master'!$F$12:$I$102,4,0)-1),""),"")</f>
        <v/>
      </c>
      <c r="BS14" s="73"/>
      <c r="BT14" s="123" t="str">
        <f t="shared" si="28"/>
        <v/>
      </c>
      <c r="BU14" s="123" t="str">
        <f t="shared" si="29"/>
        <v/>
      </c>
      <c r="BV14" s="97" t="str">
        <f t="shared" ca="1" si="30"/>
        <v/>
      </c>
      <c r="BW14" s="98" t="str">
        <f>IF(BY14&lt;&gt;"",VLOOKUP($P14&amp;" | "&amp;BW$6,'Job Master'!$F$12:$J$102,5,0),"")</f>
        <v/>
      </c>
      <c r="BX14" s="19" t="str">
        <f>IF(BY14&lt;&gt;"",VLOOKUP($P14&amp;" | "&amp;BW$6,'Job Master'!$F$12:$J$102,3,0),"")</f>
        <v/>
      </c>
      <c r="BY14" s="19" t="str">
        <f>IFERROR(IF(AND(CF14&lt;&gt;"",VLOOKUP($P14&amp;" | "&amp;BW$6,'Job Master'!$F$12:$I$102,4,0)&lt;&gt;""),IF(WEEKDAY(CF14-VLOOKUP($P14&amp;" | "&amp;BW$6,'Job Master'!$F$12:$I$102,4,0))&lt;&gt;7,CF14-VLOOKUP($P14&amp;" | "&amp;BW$6,'Job Master'!$F$12:$I$102,4,0),CF14-VLOOKUP($P14&amp;" | "&amp;BW$6,'Job Master'!$F$12:$I$102,4,0)-1),""),"")</f>
        <v/>
      </c>
      <c r="BZ14" s="73"/>
      <c r="CA14" s="123" t="str">
        <f t="shared" si="31"/>
        <v/>
      </c>
      <c r="CB14" s="123" t="str">
        <f t="shared" si="32"/>
        <v/>
      </c>
      <c r="CC14" s="97" t="str">
        <f t="shared" ca="1" si="33"/>
        <v/>
      </c>
      <c r="CD14" s="98" t="str">
        <f>IF(CF14&lt;&gt;"",VLOOKUP($P14&amp;" | "&amp;CD$6,'Job Master'!$F$12:$J$102,5,0),"")</f>
        <v/>
      </c>
      <c r="CE14" s="19" t="str">
        <f>IF(CF14&lt;&gt;"",VLOOKUP($P14&amp;" | "&amp;CD$6,'Job Master'!$F$12:$J$102,3,0),"")</f>
        <v/>
      </c>
      <c r="CF14" s="19" t="str">
        <f>IFERROR(IF(AND(CM14&lt;&gt;"",VLOOKUP($P14&amp;" | "&amp;CD$6,'Job Master'!$F$12:$I$102,4,0)&lt;&gt;""),IF(WEEKDAY(CM14-VLOOKUP($P14&amp;" | "&amp;CD$6,'Job Master'!$F$12:$I$102,4,0))&lt;&gt;7,CM14-VLOOKUP($P14&amp;" | "&amp;CD$6,'Job Master'!$F$12:$I$102,4,0),CM14-VLOOKUP($P14&amp;" | "&amp;CD$6,'Job Master'!$F$12:$I$102,4,0)-1),""),"")</f>
        <v/>
      </c>
      <c r="CG14" s="73"/>
      <c r="CH14" s="123" t="str">
        <f t="shared" si="34"/>
        <v/>
      </c>
      <c r="CI14" s="123" t="str">
        <f t="shared" si="35"/>
        <v/>
      </c>
      <c r="CJ14" s="97" t="str">
        <f t="shared" ca="1" si="36"/>
        <v/>
      </c>
      <c r="CK14" s="98" t="str">
        <f>IF(CM14&lt;&gt;"",VLOOKUP($P14&amp;" | "&amp;CK$6,'Job Master'!$F$12:$J$102,5,0),"")</f>
        <v/>
      </c>
      <c r="CL14" s="19" t="str">
        <f>IF(CM14&lt;&gt;"",VLOOKUP($P14&amp;" | "&amp;CK$6,'Job Master'!$F$12:$J$102,3,0),"")</f>
        <v/>
      </c>
      <c r="CM14" s="19" t="str">
        <f>IFERROR(IF(AND(CT14&lt;&gt;"",VLOOKUP($P14&amp;" | "&amp;CK$6,'Job Master'!$F$12:$I$102,4,0)&lt;&gt;""),IF(WEEKDAY(CT14-VLOOKUP($P14&amp;" | "&amp;CK$6,'Job Master'!$F$12:$I$102,4,0))&lt;&gt;7,CT14-VLOOKUP($P14&amp;" | "&amp;CK$6,'Job Master'!$F$12:$I$102,4,0),CT14-VLOOKUP($P14&amp;" | "&amp;CK$6,'Job Master'!$F$12:$I$102,4,0)-1),""),"")</f>
        <v/>
      </c>
      <c r="CN14" s="73"/>
      <c r="CO14" s="123" t="str">
        <f t="shared" si="37"/>
        <v/>
      </c>
      <c r="CP14" s="123" t="str">
        <f t="shared" si="38"/>
        <v/>
      </c>
      <c r="CQ14" s="97" t="str">
        <f t="shared" ca="1" si="39"/>
        <v/>
      </c>
      <c r="CR14" s="98" t="str">
        <f>IF(CT14&lt;&gt;"",VLOOKUP($P14&amp;" | "&amp;CR$6,'Job Master'!$F$12:$J$102,5,0),"")</f>
        <v/>
      </c>
      <c r="CS14" s="19" t="str">
        <f>IF(CT14&lt;&gt;"",VLOOKUP($P14&amp;" | "&amp;CR$6,'Job Master'!$F$12:$J$102,3,0),"")</f>
        <v/>
      </c>
      <c r="CT14" s="19" t="str">
        <f>IFERROR(IF(AND(DA14&lt;&gt;"",VLOOKUP($P14&amp;" | "&amp;CR$6,'Job Master'!$F$12:$I$102,4,0)&lt;&gt;""),IF(WEEKDAY(DA14-VLOOKUP($P14&amp;" | "&amp;CR$6,'Job Master'!$F$12:$I$102,4,0))&lt;&gt;7,DA14-VLOOKUP($P14&amp;" | "&amp;CR$6,'Job Master'!$F$12:$I$102,4,0),DA14-VLOOKUP($P14&amp;" | "&amp;CR$6,'Job Master'!$F$12:$I$102,4,0)-1),""),"")</f>
        <v/>
      </c>
      <c r="CU14" s="73"/>
      <c r="CV14" s="123" t="str">
        <f t="shared" si="40"/>
        <v/>
      </c>
      <c r="CW14" s="123" t="str">
        <f t="shared" si="41"/>
        <v/>
      </c>
      <c r="CX14" s="97" t="str">
        <f t="shared" ca="1" si="42"/>
        <v/>
      </c>
      <c r="CY14" s="98" t="str">
        <f>IF(DA14&lt;&gt;"",VLOOKUP($P14&amp;" | "&amp;CY$6,'Job Master'!$F$12:$J$102,5,0),"")</f>
        <v/>
      </c>
      <c r="CZ14" s="19" t="str">
        <f>IF(DA14&lt;&gt;"",VLOOKUP($P14&amp;" | "&amp;CY$6,'Job Master'!$F$12:$J$102,3,0),"")</f>
        <v/>
      </c>
      <c r="DA14" s="19" t="str">
        <f>IFERROR(IF(AND(DH14&lt;&gt;"",VLOOKUP($P14&amp;" | "&amp;CY$6,'Job Master'!$F$12:$I$102,4,0)&lt;&gt;""),IF(WEEKDAY(DH14-VLOOKUP($P14&amp;" | "&amp;CY$6,'Job Master'!$F$12:$I$102,4,0))&lt;&gt;7,DH14-VLOOKUP($P14&amp;" | "&amp;CY$6,'Job Master'!$F$12:$I$102,4,0),DH14-VLOOKUP($P14&amp;" | "&amp;CY$6,'Job Master'!$F$12:$I$102,4,0)-1),""),"")</f>
        <v/>
      </c>
      <c r="DB14" s="73"/>
      <c r="DC14" s="123" t="str">
        <f t="shared" si="43"/>
        <v/>
      </c>
      <c r="DD14" s="123" t="str">
        <f t="shared" si="44"/>
        <v/>
      </c>
      <c r="DE14" s="97" t="str">
        <f t="shared" ca="1" si="45"/>
        <v/>
      </c>
      <c r="DF14" s="98" t="str">
        <f>IF(DH14&lt;&gt;"",VLOOKUP($P14&amp;" | "&amp;DF$6,'Job Master'!$F$12:$J$102,5,0),"")</f>
        <v/>
      </c>
      <c r="DG14" s="19" t="str">
        <f>IF(DH14&lt;&gt;"",VLOOKUP($P14&amp;" | "&amp;DF$6,'Job Master'!$F$12:$J$102,3,0),"")</f>
        <v/>
      </c>
      <c r="DH14" s="19" t="str">
        <f>IFERROR(IF(AND(DO14&lt;&gt;"",VLOOKUP($P14&amp;" | "&amp;DF$6,'Job Master'!$F$12:$I$102,4,0)&lt;&gt;""),IF(WEEKDAY(DO14-VLOOKUP($P14&amp;" | "&amp;DF$6,'Job Master'!$F$12:$I$102,4,0))&lt;&gt;7,DO14-VLOOKUP($P14&amp;" | "&amp;DF$6,'Job Master'!$F$12:$I$102,4,0),DO14-VLOOKUP($P14&amp;" | "&amp;DF$6,'Job Master'!$F$12:$I$102,4,0)-1),""),"")</f>
        <v/>
      </c>
      <c r="DI14" s="73"/>
      <c r="DJ14" s="123" t="str">
        <f t="shared" si="46"/>
        <v/>
      </c>
      <c r="DK14" s="123" t="str">
        <f t="shared" si="47"/>
        <v/>
      </c>
      <c r="DL14" s="97" t="str">
        <f t="shared" ca="1" si="48"/>
        <v/>
      </c>
      <c r="DM14" s="98" t="str">
        <f>IF(DO14&lt;&gt;"",VLOOKUP($P14&amp;" | "&amp;DM$6,'Job Master'!$F$12:$J$102,5,0),"")</f>
        <v/>
      </c>
      <c r="DN14" s="19" t="str">
        <f>IF(DO14&lt;&gt;"",VLOOKUP($P14&amp;" | "&amp;DM$6,'Job Master'!$F$12:$J$102,3,0),"")</f>
        <v/>
      </c>
      <c r="DO14" s="19" t="str">
        <f>IFERROR(IF(AND(DT14&lt;&gt;"",VLOOKUP($P14&amp;" | "&amp;DM$6,'Job Master'!$F$12:$I$102,4,0)&lt;&gt;""),IF(WEEKDAY(DT14-VLOOKUP($P14&amp;" | "&amp;DM$6,'Job Master'!$F$12:$I$102,4,0))&lt;&gt;7,DT14-VLOOKUP($P14&amp;" | "&amp;DM$6,'Job Master'!$F$12:$I$102,4,0),DT14-VLOOKUP($P14&amp;" | "&amp;DM$6,'Job Master'!$F$12:$I$102,4,0)-1),""),"")</f>
        <v/>
      </c>
      <c r="DP14" s="73"/>
      <c r="DQ14" s="123" t="str">
        <f t="shared" si="49"/>
        <v/>
      </c>
      <c r="DR14" s="123" t="str">
        <f t="shared" si="50"/>
        <v/>
      </c>
      <c r="DS14" s="97" t="str">
        <f t="shared" ca="1" si="51"/>
        <v/>
      </c>
      <c r="DT14" s="70" t="str">
        <f t="shared" si="52"/>
        <v/>
      </c>
      <c r="DU14" s="90"/>
      <c r="DV14" s="123" t="str">
        <f t="shared" si="53"/>
        <v/>
      </c>
      <c r="DW14" s="123" t="str">
        <f t="shared" si="54"/>
        <v/>
      </c>
      <c r="DX14" s="132" t="str">
        <f t="shared" ref="DX14" ca="1" si="66">IF(DT14&lt;&gt;"",IF(WEEKNUM(DT14)=WEEKNUM(TODAY()),"This Week",IF(WEEKNUM(DT14)=WEEKNUM(TODAY())+1,"Next Week",IF(WEEKNUM(DT14)=WEEKNUM(TODAY())-1,"Previous Week",""))),"")</f>
        <v/>
      </c>
      <c r="DY14" s="134" t="str">
        <f t="shared" si="56"/>
        <v/>
      </c>
      <c r="DZ14" s="95"/>
      <c r="EB14" s="8" t="str">
        <f t="shared" ref="EB14:EB77" si="67">IF(Y14&lt;&gt;"",Y14,"")</f>
        <v/>
      </c>
      <c r="EC14" s="8" t="str">
        <f>IF(O14&lt;&gt;"",VLOOKUP(O14,'Job Master'!$N$12:$O$18,2,0),"")</f>
        <v/>
      </c>
      <c r="ED14" s="8">
        <f t="shared" ref="ED14:ED77" si="68">IF(EC14&lt;&gt;"",IF(EF14&gt;EC14,EB14,MOD(EB14,EC14)),ED13)</f>
        <v>19.5</v>
      </c>
      <c r="EE14" s="8">
        <f t="shared" ref="EE14:EE77" si="69">IF(EC14&lt;&gt;"",EC14,IF(EE13&lt;&gt;"",EE13,""))</f>
        <v>6</v>
      </c>
      <c r="EF14" s="8">
        <f t="shared" ref="EF14:EF77" si="70">IF(EC14&lt;&gt;"",EB14,IF(EF13&lt;&gt;"",EF13-EE14,""))</f>
        <v>-4.5</v>
      </c>
      <c r="EG14" s="8" t="str">
        <f t="shared" ref="EG14:EG77" si="71">IF(EF13&lt;&gt;0,IF(EF14&gt;0,EF14,""),IF(EF14&lt;&gt;"",IF(EF14&gt;0,EF14,""),""))</f>
        <v/>
      </c>
      <c r="EH14" s="8" t="str">
        <f t="shared" ref="EH14:EH77" si="72">IF(EG14&lt;&gt;"",IF(EG14&gt;=EE14,EE14,MOD(ED14,EE14)),"")</f>
        <v/>
      </c>
    </row>
    <row r="15" spans="2:138" x14ac:dyDescent="0.3">
      <c r="B15" s="112"/>
      <c r="C15" s="27"/>
      <c r="D15" s="7" t="str">
        <f t="shared" si="1"/>
        <v/>
      </c>
      <c r="E15" s="25"/>
      <c r="F15" s="7" t="str">
        <f t="shared" si="1"/>
        <v/>
      </c>
      <c r="G15" s="25"/>
      <c r="H15" s="7" t="str">
        <f t="shared" si="1"/>
        <v/>
      </c>
      <c r="I15" s="25"/>
      <c r="J15" s="7" t="str">
        <f t="shared" si="1"/>
        <v/>
      </c>
      <c r="K15" s="25"/>
      <c r="L15" s="7" t="str">
        <f t="shared" si="2"/>
        <v/>
      </c>
      <c r="M15" s="25"/>
      <c r="N15" s="7" t="str">
        <f t="shared" si="3"/>
        <v/>
      </c>
      <c r="O15" s="81"/>
      <c r="P15" s="81" t="str">
        <f t="shared" si="4"/>
        <v/>
      </c>
      <c r="Q15" s="81"/>
      <c r="R15" s="7" t="str">
        <f t="shared" si="5"/>
        <v/>
      </c>
      <c r="S15" s="25"/>
      <c r="T15" s="7" t="str">
        <f t="shared" si="6"/>
        <v/>
      </c>
      <c r="U15" s="25"/>
      <c r="V15" s="7" t="str">
        <f t="shared" si="7"/>
        <v/>
      </c>
      <c r="W15" s="25"/>
      <c r="X15" s="7" t="str">
        <f t="shared" si="8"/>
        <v/>
      </c>
      <c r="Y15" s="18" t="str">
        <f t="shared" si="9"/>
        <v/>
      </c>
      <c r="Z15" s="7" t="str">
        <f t="shared" si="10"/>
        <v/>
      </c>
      <c r="AA15" s="18" t="str">
        <f t="shared" si="11"/>
        <v/>
      </c>
      <c r="AB15" s="19" t="str">
        <f t="shared" si="12"/>
        <v/>
      </c>
      <c r="AC15" s="26"/>
      <c r="AD15" s="26"/>
      <c r="AE15" s="25"/>
      <c r="AF15" s="26"/>
      <c r="AG15" s="25"/>
      <c r="AH15" s="25"/>
      <c r="AI15" s="18" t="str">
        <f t="shared" si="13"/>
        <v/>
      </c>
      <c r="AJ15" s="25"/>
      <c r="AK15" s="18" t="str">
        <f t="shared" si="14"/>
        <v/>
      </c>
      <c r="AL15" s="79"/>
      <c r="AM15" s="126" t="str">
        <f t="shared" si="15"/>
        <v/>
      </c>
      <c r="AN15" s="128" t="str">
        <f>IF(AP15&lt;&gt;"",VLOOKUP($P15&amp;" | "&amp;AN$6,'Job Master'!$F$12:$J$102,5,0),"")</f>
        <v/>
      </c>
      <c r="AO15" s="19" t="str">
        <f>IF(AP15&lt;&gt;"",VLOOKUP($P15&amp;" | "&amp;AN$6,'Job Master'!$F$12:$J$102,3,0),"")</f>
        <v/>
      </c>
      <c r="AP15" s="19" t="str">
        <f>IFERROR(IF(AND(AW15&lt;&gt;"",VLOOKUP($P15&amp;" | "&amp;AN$6,'Job Master'!$F$12:$I$102,4,0)&lt;&gt;""),IF(WEEKDAY(AW15-VLOOKUP($P15&amp;" | "&amp;AN$6,'Job Master'!$F$12:$I$102,4,0))&lt;&gt;7,AW15-VLOOKUP($P15&amp;" | "&amp;AN$6,'Job Master'!$F$12:$I$102,4,0),AW15-VLOOKUP($P15&amp;" | "&amp;AN$6,'Job Master'!$F$12:$I$102,4,0)-1),""),"")</f>
        <v/>
      </c>
      <c r="AQ15" s="73"/>
      <c r="AR15" s="123" t="str">
        <f t="shared" si="16"/>
        <v/>
      </c>
      <c r="AS15" s="123" t="str">
        <f t="shared" si="17"/>
        <v/>
      </c>
      <c r="AT15" s="97" t="str">
        <f t="shared" ca="1" si="18"/>
        <v/>
      </c>
      <c r="AU15" s="98" t="str">
        <f>IF(AW15&lt;&gt;"",VLOOKUP($P15&amp;" | "&amp;AU$6,'Job Master'!$F$12:$J$102,5,0),"")</f>
        <v/>
      </c>
      <c r="AV15" s="19" t="str">
        <f>IF(AW15&lt;&gt;"",VLOOKUP($P15&amp;" | "&amp;AU$6,'Job Master'!$F$12:$J$102,3,0),"")</f>
        <v/>
      </c>
      <c r="AW15" s="19" t="str">
        <f>IFERROR(IF(AND(BD15&lt;&gt;"",VLOOKUP($P15&amp;" | "&amp;AU$6,'Job Master'!$F$12:$I$102,4,0)&lt;&gt;""),IF(WEEKDAY(BD15-VLOOKUP($P15&amp;" | "&amp;AU$6,'Job Master'!$F$12:$I$102,4,0))&lt;&gt;7,BD15-VLOOKUP($P15&amp;" | "&amp;AU$6,'Job Master'!$F$12:$I$102,4,0),BD15-VLOOKUP($P15&amp;" | "&amp;AU$6,'Job Master'!$F$12:$I$102,4,0)-1),""),"")</f>
        <v/>
      </c>
      <c r="AX15" s="73"/>
      <c r="AY15" s="123" t="str">
        <f t="shared" si="19"/>
        <v/>
      </c>
      <c r="AZ15" s="123" t="str">
        <f t="shared" si="20"/>
        <v/>
      </c>
      <c r="BA15" s="97" t="str">
        <f t="shared" ca="1" si="21"/>
        <v/>
      </c>
      <c r="BB15" s="98" t="str">
        <f>IF(BD15&lt;&gt;"",VLOOKUP($P15&amp;" | "&amp;BB$6,'Job Master'!$F$12:$J$102,5,0),"")</f>
        <v/>
      </c>
      <c r="BC15" s="19" t="str">
        <f>IF(BD15&lt;&gt;"",VLOOKUP($P15&amp;" | "&amp;BB$6,'Job Master'!$F$12:$J$102,3,0),"")</f>
        <v/>
      </c>
      <c r="BD15" s="19" t="str">
        <f>IFERROR(IF(AND(BK15&lt;&gt;"",VLOOKUP($P15&amp;" | "&amp;BB$6,'Job Master'!$F$12:$I$102,4,0)&lt;&gt;""),IF(WEEKDAY(BK15-VLOOKUP($P15&amp;" | "&amp;BB$6,'Job Master'!$F$12:$I$102,4,0))&lt;&gt;7,BK15-VLOOKUP($P15&amp;" | "&amp;BB$6,'Job Master'!$F$12:$I$102,4,0),BK15-VLOOKUP($P15&amp;" | "&amp;BB$6,'Job Master'!$F$12:$I$102,4,0)-1),""),"")</f>
        <v/>
      </c>
      <c r="BE15" s="73"/>
      <c r="BF15" s="123" t="str">
        <f t="shared" si="22"/>
        <v/>
      </c>
      <c r="BG15" s="123" t="str">
        <f t="shared" si="23"/>
        <v/>
      </c>
      <c r="BH15" s="97" t="str">
        <f t="shared" ca="1" si="24"/>
        <v/>
      </c>
      <c r="BI15" s="98" t="str">
        <f>IF(BK15&lt;&gt;"",VLOOKUP($P15&amp;" | "&amp;BI$6,'Job Master'!$F$12:$J$102,5,0),"")</f>
        <v/>
      </c>
      <c r="BJ15" s="19" t="str">
        <f>IF(BK15&lt;&gt;"",VLOOKUP($P15&amp;" | "&amp;BI$6,'Job Master'!$F$12:$J$102,3,0),"")</f>
        <v/>
      </c>
      <c r="BK15" s="19" t="str">
        <f>IFERROR(IF(AND(BR15&lt;&gt;"",VLOOKUP($P15&amp;" | "&amp;BI$6,'Job Master'!$F$12:$I$102,4,0)&lt;&gt;""),IF(WEEKDAY(BR15-VLOOKUP($P15&amp;" | "&amp;BI$6,'Job Master'!$F$12:$I$102,4,0))&lt;&gt;7,BR15-VLOOKUP($P15&amp;" | "&amp;BI$6,'Job Master'!$F$12:$I$102,4,0),BR15-VLOOKUP($P15&amp;" | "&amp;BI$6,'Job Master'!$F$12:$I$102,4,0)-1),""),"")</f>
        <v/>
      </c>
      <c r="BL15" s="73"/>
      <c r="BM15" s="123" t="str">
        <f t="shared" si="25"/>
        <v/>
      </c>
      <c r="BN15" s="123" t="str">
        <f t="shared" si="26"/>
        <v/>
      </c>
      <c r="BO15" s="97" t="str">
        <f t="shared" ca="1" si="27"/>
        <v/>
      </c>
      <c r="BP15" s="98" t="str">
        <f>IF(BR15&lt;&gt;"",VLOOKUP($P15&amp;" | "&amp;BP$6,'Job Master'!$F$12:$J$102,5,0),"")</f>
        <v/>
      </c>
      <c r="BQ15" s="19" t="str">
        <f>IF(BR15&lt;&gt;"",VLOOKUP($P15&amp;" | "&amp;BP$6,'Job Master'!$F$12:$J$102,3,0),"")</f>
        <v/>
      </c>
      <c r="BR15" s="19" t="str">
        <f>IFERROR(IF(AND(BY15&lt;&gt;"",VLOOKUP($P15&amp;" | "&amp;BP$6,'Job Master'!$F$12:$I$102,4,0)&lt;&gt;""),IF(WEEKDAY(BY15-VLOOKUP($P15&amp;" | "&amp;BP$6,'Job Master'!$F$12:$I$102,4,0))&lt;&gt;7,BY15-VLOOKUP($P15&amp;" | "&amp;BP$6,'Job Master'!$F$12:$I$102,4,0),BY15-VLOOKUP($P15&amp;" | "&amp;BP$6,'Job Master'!$F$12:$I$102,4,0)-1),""),"")</f>
        <v/>
      </c>
      <c r="BS15" s="73"/>
      <c r="BT15" s="123" t="str">
        <f t="shared" si="28"/>
        <v/>
      </c>
      <c r="BU15" s="123" t="str">
        <f t="shared" si="29"/>
        <v/>
      </c>
      <c r="BV15" s="97" t="str">
        <f t="shared" ca="1" si="30"/>
        <v/>
      </c>
      <c r="BW15" s="98" t="str">
        <f>IF(BY15&lt;&gt;"",VLOOKUP($P15&amp;" | "&amp;BW$6,'Job Master'!$F$12:$J$102,5,0),"")</f>
        <v/>
      </c>
      <c r="BX15" s="19" t="str">
        <f>IF(BY15&lt;&gt;"",VLOOKUP($P15&amp;" | "&amp;BW$6,'Job Master'!$F$12:$J$102,3,0),"")</f>
        <v/>
      </c>
      <c r="BY15" s="19" t="str">
        <f>IFERROR(IF(AND(CF15&lt;&gt;"",VLOOKUP($P15&amp;" | "&amp;BW$6,'Job Master'!$F$12:$I$102,4,0)&lt;&gt;""),IF(WEEKDAY(CF15-VLOOKUP($P15&amp;" | "&amp;BW$6,'Job Master'!$F$12:$I$102,4,0))&lt;&gt;7,CF15-VLOOKUP($P15&amp;" | "&amp;BW$6,'Job Master'!$F$12:$I$102,4,0),CF15-VLOOKUP($P15&amp;" | "&amp;BW$6,'Job Master'!$F$12:$I$102,4,0)-1),""),"")</f>
        <v/>
      </c>
      <c r="BZ15" s="73"/>
      <c r="CA15" s="123" t="str">
        <f t="shared" si="31"/>
        <v/>
      </c>
      <c r="CB15" s="123" t="str">
        <f t="shared" si="32"/>
        <v/>
      </c>
      <c r="CC15" s="97" t="str">
        <f t="shared" ca="1" si="33"/>
        <v/>
      </c>
      <c r="CD15" s="98" t="str">
        <f>IF(CF15&lt;&gt;"",VLOOKUP($P15&amp;" | "&amp;CD$6,'Job Master'!$F$12:$J$102,5,0),"")</f>
        <v/>
      </c>
      <c r="CE15" s="19" t="str">
        <f>IF(CF15&lt;&gt;"",VLOOKUP($P15&amp;" | "&amp;CD$6,'Job Master'!$F$12:$J$102,3,0),"")</f>
        <v/>
      </c>
      <c r="CF15" s="19" t="str">
        <f>IFERROR(IF(AND(CM15&lt;&gt;"",VLOOKUP($P15&amp;" | "&amp;CD$6,'Job Master'!$F$12:$I$102,4,0)&lt;&gt;""),IF(WEEKDAY(CM15-VLOOKUP($P15&amp;" | "&amp;CD$6,'Job Master'!$F$12:$I$102,4,0))&lt;&gt;7,CM15-VLOOKUP($P15&amp;" | "&amp;CD$6,'Job Master'!$F$12:$I$102,4,0),CM15-VLOOKUP($P15&amp;" | "&amp;CD$6,'Job Master'!$F$12:$I$102,4,0)-1),""),"")</f>
        <v/>
      </c>
      <c r="CG15" s="73"/>
      <c r="CH15" s="123" t="str">
        <f t="shared" si="34"/>
        <v/>
      </c>
      <c r="CI15" s="123" t="str">
        <f t="shared" si="35"/>
        <v/>
      </c>
      <c r="CJ15" s="97" t="str">
        <f t="shared" ca="1" si="36"/>
        <v/>
      </c>
      <c r="CK15" s="98" t="str">
        <f>IF(CM15&lt;&gt;"",VLOOKUP($P15&amp;" | "&amp;CK$6,'Job Master'!$F$12:$J$102,5,0),"")</f>
        <v/>
      </c>
      <c r="CL15" s="19" t="str">
        <f>IF(CM15&lt;&gt;"",VLOOKUP($P15&amp;" | "&amp;CK$6,'Job Master'!$F$12:$J$102,3,0),"")</f>
        <v/>
      </c>
      <c r="CM15" s="19" t="str">
        <f>IFERROR(IF(AND(CT15&lt;&gt;"",VLOOKUP($P15&amp;" | "&amp;CK$6,'Job Master'!$F$12:$I$102,4,0)&lt;&gt;""),IF(WEEKDAY(CT15-VLOOKUP($P15&amp;" | "&amp;CK$6,'Job Master'!$F$12:$I$102,4,0))&lt;&gt;7,CT15-VLOOKUP($P15&amp;" | "&amp;CK$6,'Job Master'!$F$12:$I$102,4,0),CT15-VLOOKUP($P15&amp;" | "&amp;CK$6,'Job Master'!$F$12:$I$102,4,0)-1),""),"")</f>
        <v/>
      </c>
      <c r="CN15" s="73"/>
      <c r="CO15" s="123" t="str">
        <f t="shared" si="37"/>
        <v/>
      </c>
      <c r="CP15" s="123" t="str">
        <f t="shared" si="38"/>
        <v/>
      </c>
      <c r="CQ15" s="97" t="str">
        <f t="shared" ca="1" si="39"/>
        <v/>
      </c>
      <c r="CR15" s="98" t="str">
        <f>IF(CT15&lt;&gt;"",VLOOKUP($P15&amp;" | "&amp;CR$6,'Job Master'!$F$12:$J$102,5,0),"")</f>
        <v/>
      </c>
      <c r="CS15" s="19" t="str">
        <f>IF(CT15&lt;&gt;"",VLOOKUP($P15&amp;" | "&amp;CR$6,'Job Master'!$F$12:$J$102,3,0),"")</f>
        <v/>
      </c>
      <c r="CT15" s="19" t="str">
        <f>IFERROR(IF(AND(DA15&lt;&gt;"",VLOOKUP($P15&amp;" | "&amp;CR$6,'Job Master'!$F$12:$I$102,4,0)&lt;&gt;""),IF(WEEKDAY(DA15-VLOOKUP($P15&amp;" | "&amp;CR$6,'Job Master'!$F$12:$I$102,4,0))&lt;&gt;7,DA15-VLOOKUP($P15&amp;" | "&amp;CR$6,'Job Master'!$F$12:$I$102,4,0),DA15-VLOOKUP($P15&amp;" | "&amp;CR$6,'Job Master'!$F$12:$I$102,4,0)-1),""),"")</f>
        <v/>
      </c>
      <c r="CU15" s="73"/>
      <c r="CV15" s="123" t="str">
        <f t="shared" si="40"/>
        <v/>
      </c>
      <c r="CW15" s="123" t="str">
        <f t="shared" si="41"/>
        <v/>
      </c>
      <c r="CX15" s="97" t="str">
        <f t="shared" ca="1" si="42"/>
        <v/>
      </c>
      <c r="CY15" s="98" t="str">
        <f>IF(DA15&lt;&gt;"",VLOOKUP($P15&amp;" | "&amp;CY$6,'Job Master'!$F$12:$J$102,5,0),"")</f>
        <v/>
      </c>
      <c r="CZ15" s="19" t="str">
        <f>IF(DA15&lt;&gt;"",VLOOKUP($P15&amp;" | "&amp;CY$6,'Job Master'!$F$12:$J$102,3,0),"")</f>
        <v/>
      </c>
      <c r="DA15" s="19" t="str">
        <f>IFERROR(IF(AND(DH15&lt;&gt;"",VLOOKUP($P15&amp;" | "&amp;CY$6,'Job Master'!$F$12:$I$102,4,0)&lt;&gt;""),IF(WEEKDAY(DH15-VLOOKUP($P15&amp;" | "&amp;CY$6,'Job Master'!$F$12:$I$102,4,0))&lt;&gt;7,DH15-VLOOKUP($P15&amp;" | "&amp;CY$6,'Job Master'!$F$12:$I$102,4,0),DH15-VLOOKUP($P15&amp;" | "&amp;CY$6,'Job Master'!$F$12:$I$102,4,0)-1),""),"")</f>
        <v/>
      </c>
      <c r="DB15" s="73"/>
      <c r="DC15" s="123" t="str">
        <f t="shared" si="43"/>
        <v/>
      </c>
      <c r="DD15" s="123" t="str">
        <f t="shared" si="44"/>
        <v/>
      </c>
      <c r="DE15" s="97" t="str">
        <f t="shared" ca="1" si="45"/>
        <v/>
      </c>
      <c r="DF15" s="98" t="str">
        <f>IF(DH15&lt;&gt;"",VLOOKUP($P15&amp;" | "&amp;DF$6,'Job Master'!$F$12:$J$102,5,0),"")</f>
        <v/>
      </c>
      <c r="DG15" s="19" t="str">
        <f>IF(DH15&lt;&gt;"",VLOOKUP($P15&amp;" | "&amp;DF$6,'Job Master'!$F$12:$J$102,3,0),"")</f>
        <v/>
      </c>
      <c r="DH15" s="19" t="str">
        <f>IFERROR(IF(AND(DO15&lt;&gt;"",VLOOKUP($P15&amp;" | "&amp;DF$6,'Job Master'!$F$12:$I$102,4,0)&lt;&gt;""),IF(WEEKDAY(DO15-VLOOKUP($P15&amp;" | "&amp;DF$6,'Job Master'!$F$12:$I$102,4,0))&lt;&gt;7,DO15-VLOOKUP($P15&amp;" | "&amp;DF$6,'Job Master'!$F$12:$I$102,4,0),DO15-VLOOKUP($P15&amp;" | "&amp;DF$6,'Job Master'!$F$12:$I$102,4,0)-1),""),"")</f>
        <v/>
      </c>
      <c r="DI15" s="73"/>
      <c r="DJ15" s="123" t="str">
        <f t="shared" si="46"/>
        <v/>
      </c>
      <c r="DK15" s="123" t="str">
        <f t="shared" si="47"/>
        <v/>
      </c>
      <c r="DL15" s="97" t="str">
        <f t="shared" ca="1" si="48"/>
        <v/>
      </c>
      <c r="DM15" s="98" t="str">
        <f>IF(DO15&lt;&gt;"",VLOOKUP($P15&amp;" | "&amp;DM$6,'Job Master'!$F$12:$J$102,5,0),"")</f>
        <v/>
      </c>
      <c r="DN15" s="19" t="str">
        <f>IF(DO15&lt;&gt;"",VLOOKUP($P15&amp;" | "&amp;DM$6,'Job Master'!$F$12:$J$102,3,0),"")</f>
        <v/>
      </c>
      <c r="DO15" s="19" t="str">
        <f>IFERROR(IF(AND(DT15&lt;&gt;"",VLOOKUP($P15&amp;" | "&amp;DM$6,'Job Master'!$F$12:$I$102,4,0)&lt;&gt;""),IF(WEEKDAY(DT15-VLOOKUP($P15&amp;" | "&amp;DM$6,'Job Master'!$F$12:$I$102,4,0))&lt;&gt;7,DT15-VLOOKUP($P15&amp;" | "&amp;DM$6,'Job Master'!$F$12:$I$102,4,0),DT15-VLOOKUP($P15&amp;" | "&amp;DM$6,'Job Master'!$F$12:$I$102,4,0)-1),""),"")</f>
        <v/>
      </c>
      <c r="DP15" s="73"/>
      <c r="DQ15" s="123" t="str">
        <f t="shared" si="49"/>
        <v/>
      </c>
      <c r="DR15" s="123" t="str">
        <f t="shared" si="50"/>
        <v/>
      </c>
      <c r="DS15" s="97" t="str">
        <f t="shared" ca="1" si="51"/>
        <v/>
      </c>
      <c r="DT15" s="70" t="str">
        <f t="shared" si="52"/>
        <v/>
      </c>
      <c r="DU15" s="90"/>
      <c r="DV15" s="123" t="str">
        <f t="shared" si="53"/>
        <v/>
      </c>
      <c r="DW15" s="123" t="str">
        <f t="shared" si="54"/>
        <v/>
      </c>
      <c r="DX15" s="132" t="str">
        <f t="shared" ref="DX15" ca="1" si="73">IF(DT15&lt;&gt;"",IF(WEEKNUM(DT15)=WEEKNUM(TODAY()),"This Week",IF(WEEKNUM(DT15)=WEEKNUM(TODAY())+1,"Next Week",IF(WEEKNUM(DT15)=WEEKNUM(TODAY())-1,"Previous Week",""))),"")</f>
        <v/>
      </c>
      <c r="DY15" s="134" t="str">
        <f t="shared" si="56"/>
        <v/>
      </c>
      <c r="DZ15" s="95"/>
      <c r="EB15" s="8" t="str">
        <f t="shared" si="67"/>
        <v/>
      </c>
      <c r="EC15" s="8" t="str">
        <f>IF(O15&lt;&gt;"",VLOOKUP(O15,'Job Master'!$N$12:$O$18,2,0),"")</f>
        <v/>
      </c>
      <c r="ED15" s="8">
        <f t="shared" si="68"/>
        <v>19.5</v>
      </c>
      <c r="EE15" s="8">
        <f t="shared" si="69"/>
        <v>6</v>
      </c>
      <c r="EF15" s="8">
        <f t="shared" si="70"/>
        <v>-10.5</v>
      </c>
      <c r="EG15" s="8" t="str">
        <f t="shared" si="71"/>
        <v/>
      </c>
      <c r="EH15" s="8" t="str">
        <f t="shared" si="72"/>
        <v/>
      </c>
    </row>
    <row r="16" spans="2:138" x14ac:dyDescent="0.3">
      <c r="B16" s="112"/>
      <c r="C16" s="27"/>
      <c r="D16" s="7" t="str">
        <f t="shared" si="1"/>
        <v/>
      </c>
      <c r="E16" s="25"/>
      <c r="F16" s="7" t="str">
        <f t="shared" si="1"/>
        <v/>
      </c>
      <c r="G16" s="25"/>
      <c r="H16" s="7" t="str">
        <f t="shared" si="1"/>
        <v/>
      </c>
      <c r="I16" s="25"/>
      <c r="J16" s="7" t="str">
        <f t="shared" si="1"/>
        <v/>
      </c>
      <c r="K16" s="25"/>
      <c r="L16" s="7" t="str">
        <f t="shared" si="2"/>
        <v/>
      </c>
      <c r="M16" s="25"/>
      <c r="N16" s="7" t="str">
        <f t="shared" si="3"/>
        <v/>
      </c>
      <c r="O16" s="81"/>
      <c r="P16" s="81" t="str">
        <f t="shared" si="4"/>
        <v/>
      </c>
      <c r="Q16" s="81"/>
      <c r="R16" s="7" t="str">
        <f t="shared" si="5"/>
        <v/>
      </c>
      <c r="S16" s="25"/>
      <c r="T16" s="7" t="str">
        <f t="shared" si="6"/>
        <v/>
      </c>
      <c r="U16" s="25"/>
      <c r="V16" s="7" t="str">
        <f t="shared" si="7"/>
        <v/>
      </c>
      <c r="W16" s="25"/>
      <c r="X16" s="7" t="str">
        <f t="shared" si="8"/>
        <v/>
      </c>
      <c r="Y16" s="18" t="str">
        <f t="shared" si="9"/>
        <v/>
      </c>
      <c r="Z16" s="7" t="str">
        <f t="shared" si="10"/>
        <v/>
      </c>
      <c r="AA16" s="18" t="str">
        <f t="shared" si="11"/>
        <v/>
      </c>
      <c r="AB16" s="19" t="str">
        <f t="shared" si="12"/>
        <v/>
      </c>
      <c r="AC16" s="26"/>
      <c r="AD16" s="26"/>
      <c r="AE16" s="25"/>
      <c r="AF16" s="26"/>
      <c r="AG16" s="25"/>
      <c r="AH16" s="25"/>
      <c r="AI16" s="18" t="str">
        <f t="shared" si="13"/>
        <v/>
      </c>
      <c r="AJ16" s="25"/>
      <c r="AK16" s="18" t="str">
        <f t="shared" si="14"/>
        <v/>
      </c>
      <c r="AL16" s="79"/>
      <c r="AM16" s="126" t="str">
        <f t="shared" si="15"/>
        <v/>
      </c>
      <c r="AN16" s="128" t="str">
        <f>IF(AP16&lt;&gt;"",VLOOKUP($P16&amp;" | "&amp;AN$6,'Job Master'!$F$12:$J$102,5,0),"")</f>
        <v/>
      </c>
      <c r="AO16" s="19" t="str">
        <f>IF(AP16&lt;&gt;"",VLOOKUP($P16&amp;" | "&amp;AN$6,'Job Master'!$F$12:$J$102,3,0),"")</f>
        <v/>
      </c>
      <c r="AP16" s="19" t="str">
        <f>IFERROR(IF(AND(AW16&lt;&gt;"",VLOOKUP($P16&amp;" | "&amp;AN$6,'Job Master'!$F$12:$I$102,4,0)&lt;&gt;""),IF(WEEKDAY(AW16-VLOOKUP($P16&amp;" | "&amp;AN$6,'Job Master'!$F$12:$I$102,4,0))&lt;&gt;7,AW16-VLOOKUP($P16&amp;" | "&amp;AN$6,'Job Master'!$F$12:$I$102,4,0),AW16-VLOOKUP($P16&amp;" | "&amp;AN$6,'Job Master'!$F$12:$I$102,4,0)-1),""),"")</f>
        <v/>
      </c>
      <c r="AQ16" s="73"/>
      <c r="AR16" s="123" t="str">
        <f t="shared" si="16"/>
        <v/>
      </c>
      <c r="AS16" s="123" t="str">
        <f t="shared" si="17"/>
        <v/>
      </c>
      <c r="AT16" s="97" t="str">
        <f t="shared" ca="1" si="18"/>
        <v/>
      </c>
      <c r="AU16" s="98" t="str">
        <f>IF(AW16&lt;&gt;"",VLOOKUP($P16&amp;" | "&amp;AU$6,'Job Master'!$F$12:$J$102,5,0),"")</f>
        <v/>
      </c>
      <c r="AV16" s="19" t="str">
        <f>IF(AW16&lt;&gt;"",VLOOKUP($P16&amp;" | "&amp;AU$6,'Job Master'!$F$12:$J$102,3,0),"")</f>
        <v/>
      </c>
      <c r="AW16" s="19" t="str">
        <f>IFERROR(IF(AND(BD16&lt;&gt;"",VLOOKUP($P16&amp;" | "&amp;AU$6,'Job Master'!$F$12:$I$102,4,0)&lt;&gt;""),IF(WEEKDAY(BD16-VLOOKUP($P16&amp;" | "&amp;AU$6,'Job Master'!$F$12:$I$102,4,0))&lt;&gt;7,BD16-VLOOKUP($P16&amp;" | "&amp;AU$6,'Job Master'!$F$12:$I$102,4,0),BD16-VLOOKUP($P16&amp;" | "&amp;AU$6,'Job Master'!$F$12:$I$102,4,0)-1),""),"")</f>
        <v/>
      </c>
      <c r="AX16" s="73"/>
      <c r="AY16" s="123" t="str">
        <f t="shared" si="19"/>
        <v/>
      </c>
      <c r="AZ16" s="123" t="str">
        <f t="shared" si="20"/>
        <v/>
      </c>
      <c r="BA16" s="97" t="str">
        <f t="shared" ca="1" si="21"/>
        <v/>
      </c>
      <c r="BB16" s="98" t="str">
        <f>IF(BD16&lt;&gt;"",VLOOKUP($P16&amp;" | "&amp;BB$6,'Job Master'!$F$12:$J$102,5,0),"")</f>
        <v/>
      </c>
      <c r="BC16" s="19" t="str">
        <f>IF(BD16&lt;&gt;"",VLOOKUP($P16&amp;" | "&amp;BB$6,'Job Master'!$F$12:$J$102,3,0),"")</f>
        <v/>
      </c>
      <c r="BD16" s="19" t="str">
        <f>IFERROR(IF(AND(BK16&lt;&gt;"",VLOOKUP($P16&amp;" | "&amp;BB$6,'Job Master'!$F$12:$I$102,4,0)&lt;&gt;""),IF(WEEKDAY(BK16-VLOOKUP($P16&amp;" | "&amp;BB$6,'Job Master'!$F$12:$I$102,4,0))&lt;&gt;7,BK16-VLOOKUP($P16&amp;" | "&amp;BB$6,'Job Master'!$F$12:$I$102,4,0),BK16-VLOOKUP($P16&amp;" | "&amp;BB$6,'Job Master'!$F$12:$I$102,4,0)-1),""),"")</f>
        <v/>
      </c>
      <c r="BE16" s="73"/>
      <c r="BF16" s="123" t="str">
        <f t="shared" si="22"/>
        <v/>
      </c>
      <c r="BG16" s="123" t="str">
        <f t="shared" si="23"/>
        <v/>
      </c>
      <c r="BH16" s="97" t="str">
        <f t="shared" ca="1" si="24"/>
        <v/>
      </c>
      <c r="BI16" s="98" t="str">
        <f>IF(BK16&lt;&gt;"",VLOOKUP($P16&amp;" | "&amp;BI$6,'Job Master'!$F$12:$J$102,5,0),"")</f>
        <v/>
      </c>
      <c r="BJ16" s="19" t="str">
        <f>IF(BK16&lt;&gt;"",VLOOKUP($P16&amp;" | "&amp;BI$6,'Job Master'!$F$12:$J$102,3,0),"")</f>
        <v/>
      </c>
      <c r="BK16" s="19" t="str">
        <f>IFERROR(IF(AND(BR16&lt;&gt;"",VLOOKUP($P16&amp;" | "&amp;BI$6,'Job Master'!$F$12:$I$102,4,0)&lt;&gt;""),IF(WEEKDAY(BR16-VLOOKUP($P16&amp;" | "&amp;BI$6,'Job Master'!$F$12:$I$102,4,0))&lt;&gt;7,BR16-VLOOKUP($P16&amp;" | "&amp;BI$6,'Job Master'!$F$12:$I$102,4,0),BR16-VLOOKUP($P16&amp;" | "&amp;BI$6,'Job Master'!$F$12:$I$102,4,0)-1),""),"")</f>
        <v/>
      </c>
      <c r="BL16" s="73"/>
      <c r="BM16" s="123" t="str">
        <f t="shared" si="25"/>
        <v/>
      </c>
      <c r="BN16" s="123" t="str">
        <f t="shared" si="26"/>
        <v/>
      </c>
      <c r="BO16" s="97" t="str">
        <f t="shared" ca="1" si="27"/>
        <v/>
      </c>
      <c r="BP16" s="98" t="str">
        <f>IF(BR16&lt;&gt;"",VLOOKUP($P16&amp;" | "&amp;BP$6,'Job Master'!$F$12:$J$102,5,0),"")</f>
        <v/>
      </c>
      <c r="BQ16" s="19" t="str">
        <f>IF(BR16&lt;&gt;"",VLOOKUP($P16&amp;" | "&amp;BP$6,'Job Master'!$F$12:$J$102,3,0),"")</f>
        <v/>
      </c>
      <c r="BR16" s="19" t="str">
        <f>IFERROR(IF(AND(BY16&lt;&gt;"",VLOOKUP($P16&amp;" | "&amp;BP$6,'Job Master'!$F$12:$I$102,4,0)&lt;&gt;""),IF(WEEKDAY(BY16-VLOOKUP($P16&amp;" | "&amp;BP$6,'Job Master'!$F$12:$I$102,4,0))&lt;&gt;7,BY16-VLOOKUP($P16&amp;" | "&amp;BP$6,'Job Master'!$F$12:$I$102,4,0),BY16-VLOOKUP($P16&amp;" | "&amp;BP$6,'Job Master'!$F$12:$I$102,4,0)-1),""),"")</f>
        <v/>
      </c>
      <c r="BS16" s="73"/>
      <c r="BT16" s="123" t="str">
        <f t="shared" si="28"/>
        <v/>
      </c>
      <c r="BU16" s="123" t="str">
        <f t="shared" si="29"/>
        <v/>
      </c>
      <c r="BV16" s="97" t="str">
        <f t="shared" ca="1" si="30"/>
        <v/>
      </c>
      <c r="BW16" s="98" t="str">
        <f>IF(BY16&lt;&gt;"",VLOOKUP($P16&amp;" | "&amp;BW$6,'Job Master'!$F$12:$J$102,5,0),"")</f>
        <v/>
      </c>
      <c r="BX16" s="19" t="str">
        <f>IF(BY16&lt;&gt;"",VLOOKUP($P16&amp;" | "&amp;BW$6,'Job Master'!$F$12:$J$102,3,0),"")</f>
        <v/>
      </c>
      <c r="BY16" s="19" t="str">
        <f>IFERROR(IF(AND(CF16&lt;&gt;"",VLOOKUP($P16&amp;" | "&amp;BW$6,'Job Master'!$F$12:$I$102,4,0)&lt;&gt;""),IF(WEEKDAY(CF16-VLOOKUP($P16&amp;" | "&amp;BW$6,'Job Master'!$F$12:$I$102,4,0))&lt;&gt;7,CF16-VLOOKUP($P16&amp;" | "&amp;BW$6,'Job Master'!$F$12:$I$102,4,0),CF16-VLOOKUP($P16&amp;" | "&amp;BW$6,'Job Master'!$F$12:$I$102,4,0)-1),""),"")</f>
        <v/>
      </c>
      <c r="BZ16" s="73"/>
      <c r="CA16" s="123" t="str">
        <f t="shared" si="31"/>
        <v/>
      </c>
      <c r="CB16" s="123" t="str">
        <f t="shared" si="32"/>
        <v/>
      </c>
      <c r="CC16" s="97" t="str">
        <f t="shared" ca="1" si="33"/>
        <v/>
      </c>
      <c r="CD16" s="98" t="str">
        <f>IF(CF16&lt;&gt;"",VLOOKUP($P16&amp;" | "&amp;CD$6,'Job Master'!$F$12:$J$102,5,0),"")</f>
        <v/>
      </c>
      <c r="CE16" s="19" t="str">
        <f>IF(CF16&lt;&gt;"",VLOOKUP($P16&amp;" | "&amp;CD$6,'Job Master'!$F$12:$J$102,3,0),"")</f>
        <v/>
      </c>
      <c r="CF16" s="19" t="str">
        <f>IFERROR(IF(AND(CM16&lt;&gt;"",VLOOKUP($P16&amp;" | "&amp;CD$6,'Job Master'!$F$12:$I$102,4,0)&lt;&gt;""),IF(WEEKDAY(CM16-VLOOKUP($P16&amp;" | "&amp;CD$6,'Job Master'!$F$12:$I$102,4,0))&lt;&gt;7,CM16-VLOOKUP($P16&amp;" | "&amp;CD$6,'Job Master'!$F$12:$I$102,4,0),CM16-VLOOKUP($P16&amp;" | "&amp;CD$6,'Job Master'!$F$12:$I$102,4,0)-1),""),"")</f>
        <v/>
      </c>
      <c r="CG16" s="73"/>
      <c r="CH16" s="123" t="str">
        <f t="shared" si="34"/>
        <v/>
      </c>
      <c r="CI16" s="123" t="str">
        <f t="shared" si="35"/>
        <v/>
      </c>
      <c r="CJ16" s="97" t="str">
        <f t="shared" ca="1" si="36"/>
        <v/>
      </c>
      <c r="CK16" s="98" t="str">
        <f>IF(CM16&lt;&gt;"",VLOOKUP($P16&amp;" | "&amp;CK$6,'Job Master'!$F$12:$J$102,5,0),"")</f>
        <v/>
      </c>
      <c r="CL16" s="19" t="str">
        <f>IF(CM16&lt;&gt;"",VLOOKUP($P16&amp;" | "&amp;CK$6,'Job Master'!$F$12:$J$102,3,0),"")</f>
        <v/>
      </c>
      <c r="CM16" s="19" t="str">
        <f>IFERROR(IF(AND(CT16&lt;&gt;"",VLOOKUP($P16&amp;" | "&amp;CK$6,'Job Master'!$F$12:$I$102,4,0)&lt;&gt;""),IF(WEEKDAY(CT16-VLOOKUP($P16&amp;" | "&amp;CK$6,'Job Master'!$F$12:$I$102,4,0))&lt;&gt;7,CT16-VLOOKUP($P16&amp;" | "&amp;CK$6,'Job Master'!$F$12:$I$102,4,0),CT16-VLOOKUP($P16&amp;" | "&amp;CK$6,'Job Master'!$F$12:$I$102,4,0)-1),""),"")</f>
        <v/>
      </c>
      <c r="CN16" s="73"/>
      <c r="CO16" s="123" t="str">
        <f t="shared" si="37"/>
        <v/>
      </c>
      <c r="CP16" s="123" t="str">
        <f t="shared" si="38"/>
        <v/>
      </c>
      <c r="CQ16" s="97" t="str">
        <f t="shared" ca="1" si="39"/>
        <v/>
      </c>
      <c r="CR16" s="98" t="str">
        <f>IF(CT16&lt;&gt;"",VLOOKUP($P16&amp;" | "&amp;CR$6,'Job Master'!$F$12:$J$102,5,0),"")</f>
        <v/>
      </c>
      <c r="CS16" s="19" t="str">
        <f>IF(CT16&lt;&gt;"",VLOOKUP($P16&amp;" | "&amp;CR$6,'Job Master'!$F$12:$J$102,3,0),"")</f>
        <v/>
      </c>
      <c r="CT16" s="19" t="str">
        <f>IFERROR(IF(AND(DA16&lt;&gt;"",VLOOKUP($P16&amp;" | "&amp;CR$6,'Job Master'!$F$12:$I$102,4,0)&lt;&gt;""),IF(WEEKDAY(DA16-VLOOKUP($P16&amp;" | "&amp;CR$6,'Job Master'!$F$12:$I$102,4,0))&lt;&gt;7,DA16-VLOOKUP($P16&amp;" | "&amp;CR$6,'Job Master'!$F$12:$I$102,4,0),DA16-VLOOKUP($P16&amp;" | "&amp;CR$6,'Job Master'!$F$12:$I$102,4,0)-1),""),"")</f>
        <v/>
      </c>
      <c r="CU16" s="73"/>
      <c r="CV16" s="123" t="str">
        <f t="shared" si="40"/>
        <v/>
      </c>
      <c r="CW16" s="123" t="str">
        <f t="shared" si="41"/>
        <v/>
      </c>
      <c r="CX16" s="97" t="str">
        <f t="shared" ca="1" si="42"/>
        <v/>
      </c>
      <c r="CY16" s="98" t="str">
        <f>IF(DA16&lt;&gt;"",VLOOKUP($P16&amp;" | "&amp;CY$6,'Job Master'!$F$12:$J$102,5,0),"")</f>
        <v/>
      </c>
      <c r="CZ16" s="19" t="str">
        <f>IF(DA16&lt;&gt;"",VLOOKUP($P16&amp;" | "&amp;CY$6,'Job Master'!$F$12:$J$102,3,0),"")</f>
        <v/>
      </c>
      <c r="DA16" s="19" t="str">
        <f>IFERROR(IF(AND(DH16&lt;&gt;"",VLOOKUP($P16&amp;" | "&amp;CY$6,'Job Master'!$F$12:$I$102,4,0)&lt;&gt;""),IF(WEEKDAY(DH16-VLOOKUP($P16&amp;" | "&amp;CY$6,'Job Master'!$F$12:$I$102,4,0))&lt;&gt;7,DH16-VLOOKUP($P16&amp;" | "&amp;CY$6,'Job Master'!$F$12:$I$102,4,0),DH16-VLOOKUP($P16&amp;" | "&amp;CY$6,'Job Master'!$F$12:$I$102,4,0)-1),""),"")</f>
        <v/>
      </c>
      <c r="DB16" s="73"/>
      <c r="DC16" s="123" t="str">
        <f t="shared" si="43"/>
        <v/>
      </c>
      <c r="DD16" s="123" t="str">
        <f t="shared" si="44"/>
        <v/>
      </c>
      <c r="DE16" s="97" t="str">
        <f t="shared" ca="1" si="45"/>
        <v/>
      </c>
      <c r="DF16" s="98" t="str">
        <f>IF(DH16&lt;&gt;"",VLOOKUP($P16&amp;" | "&amp;DF$6,'Job Master'!$F$12:$J$102,5,0),"")</f>
        <v/>
      </c>
      <c r="DG16" s="19" t="str">
        <f>IF(DH16&lt;&gt;"",VLOOKUP($P16&amp;" | "&amp;DF$6,'Job Master'!$F$12:$J$102,3,0),"")</f>
        <v/>
      </c>
      <c r="DH16" s="19" t="str">
        <f>IFERROR(IF(AND(DO16&lt;&gt;"",VLOOKUP($P16&amp;" | "&amp;DF$6,'Job Master'!$F$12:$I$102,4,0)&lt;&gt;""),IF(WEEKDAY(DO16-VLOOKUP($P16&amp;" | "&amp;DF$6,'Job Master'!$F$12:$I$102,4,0))&lt;&gt;7,DO16-VLOOKUP($P16&amp;" | "&amp;DF$6,'Job Master'!$F$12:$I$102,4,0),DO16-VLOOKUP($P16&amp;" | "&amp;DF$6,'Job Master'!$F$12:$I$102,4,0)-1),""),"")</f>
        <v/>
      </c>
      <c r="DI16" s="73"/>
      <c r="DJ16" s="123" t="str">
        <f t="shared" si="46"/>
        <v/>
      </c>
      <c r="DK16" s="123" t="str">
        <f t="shared" si="47"/>
        <v/>
      </c>
      <c r="DL16" s="97" t="str">
        <f t="shared" ca="1" si="48"/>
        <v/>
      </c>
      <c r="DM16" s="98" t="str">
        <f>IF(DO16&lt;&gt;"",VLOOKUP($P16&amp;" | "&amp;DM$6,'Job Master'!$F$12:$J$102,5,0),"")</f>
        <v/>
      </c>
      <c r="DN16" s="19" t="str">
        <f>IF(DO16&lt;&gt;"",VLOOKUP($P16&amp;" | "&amp;DM$6,'Job Master'!$F$12:$J$102,3,0),"")</f>
        <v/>
      </c>
      <c r="DO16" s="19" t="str">
        <f>IFERROR(IF(AND(DT16&lt;&gt;"",VLOOKUP($P16&amp;" | "&amp;DM$6,'Job Master'!$F$12:$I$102,4,0)&lt;&gt;""),IF(WEEKDAY(DT16-VLOOKUP($P16&amp;" | "&amp;DM$6,'Job Master'!$F$12:$I$102,4,0))&lt;&gt;7,DT16-VLOOKUP($P16&amp;" | "&amp;DM$6,'Job Master'!$F$12:$I$102,4,0),DT16-VLOOKUP($P16&amp;" | "&amp;DM$6,'Job Master'!$F$12:$I$102,4,0)-1),""),"")</f>
        <v/>
      </c>
      <c r="DP16" s="73"/>
      <c r="DQ16" s="123" t="str">
        <f t="shared" si="49"/>
        <v/>
      </c>
      <c r="DR16" s="123" t="str">
        <f t="shared" si="50"/>
        <v/>
      </c>
      <c r="DS16" s="97" t="str">
        <f t="shared" ca="1" si="51"/>
        <v/>
      </c>
      <c r="DT16" s="70" t="str">
        <f t="shared" si="52"/>
        <v/>
      </c>
      <c r="DU16" s="90"/>
      <c r="DV16" s="123" t="str">
        <f t="shared" si="53"/>
        <v/>
      </c>
      <c r="DW16" s="123" t="str">
        <f t="shared" si="54"/>
        <v/>
      </c>
      <c r="DX16" s="132" t="str">
        <f t="shared" ref="DX16" ca="1" si="74">IF(DT16&lt;&gt;"",IF(WEEKNUM(DT16)=WEEKNUM(TODAY()),"This Week",IF(WEEKNUM(DT16)=WEEKNUM(TODAY())+1,"Next Week",IF(WEEKNUM(DT16)=WEEKNUM(TODAY())-1,"Previous Week",""))),"")</f>
        <v/>
      </c>
      <c r="DY16" s="134" t="str">
        <f t="shared" si="56"/>
        <v/>
      </c>
      <c r="DZ16" s="95"/>
      <c r="EB16" s="8" t="str">
        <f t="shared" si="67"/>
        <v/>
      </c>
      <c r="EC16" s="8" t="str">
        <f>IF(O16&lt;&gt;"",VLOOKUP(O16,'Job Master'!$N$12:$O$18,2,0),"")</f>
        <v/>
      </c>
      <c r="ED16" s="8">
        <f t="shared" si="68"/>
        <v>19.5</v>
      </c>
      <c r="EE16" s="8">
        <f t="shared" si="69"/>
        <v>6</v>
      </c>
      <c r="EF16" s="8">
        <f t="shared" si="70"/>
        <v>-16.5</v>
      </c>
      <c r="EG16" s="8" t="str">
        <f t="shared" si="71"/>
        <v/>
      </c>
      <c r="EH16" s="8" t="str">
        <f t="shared" si="72"/>
        <v/>
      </c>
    </row>
    <row r="17" spans="2:138" x14ac:dyDescent="0.3">
      <c r="B17" s="112"/>
      <c r="C17" s="27"/>
      <c r="D17" s="7" t="str">
        <f t="shared" si="1"/>
        <v/>
      </c>
      <c r="E17" s="25"/>
      <c r="F17" s="7" t="str">
        <f t="shared" si="1"/>
        <v/>
      </c>
      <c r="G17" s="25"/>
      <c r="H17" s="7" t="str">
        <f t="shared" si="1"/>
        <v/>
      </c>
      <c r="I17" s="25"/>
      <c r="J17" s="7" t="str">
        <f t="shared" si="1"/>
        <v/>
      </c>
      <c r="K17" s="25"/>
      <c r="L17" s="7" t="str">
        <f t="shared" si="2"/>
        <v/>
      </c>
      <c r="M17" s="25"/>
      <c r="N17" s="7" t="str">
        <f t="shared" si="3"/>
        <v/>
      </c>
      <c r="O17" s="81"/>
      <c r="P17" s="81" t="str">
        <f t="shared" si="4"/>
        <v/>
      </c>
      <c r="Q17" s="81"/>
      <c r="R17" s="7" t="str">
        <f t="shared" si="5"/>
        <v/>
      </c>
      <c r="S17" s="25"/>
      <c r="T17" s="7" t="str">
        <f t="shared" si="6"/>
        <v/>
      </c>
      <c r="U17" s="25"/>
      <c r="V17" s="7" t="str">
        <f t="shared" si="7"/>
        <v/>
      </c>
      <c r="W17" s="25"/>
      <c r="X17" s="7" t="str">
        <f t="shared" si="8"/>
        <v/>
      </c>
      <c r="Y17" s="18" t="str">
        <f t="shared" si="9"/>
        <v/>
      </c>
      <c r="Z17" s="7" t="str">
        <f t="shared" si="10"/>
        <v/>
      </c>
      <c r="AA17" s="18" t="str">
        <f t="shared" si="11"/>
        <v/>
      </c>
      <c r="AB17" s="19" t="str">
        <f t="shared" si="12"/>
        <v/>
      </c>
      <c r="AC17" s="26"/>
      <c r="AD17" s="26"/>
      <c r="AE17" s="25"/>
      <c r="AF17" s="26"/>
      <c r="AG17" s="25"/>
      <c r="AH17" s="25"/>
      <c r="AI17" s="18" t="str">
        <f t="shared" si="13"/>
        <v/>
      </c>
      <c r="AJ17" s="25"/>
      <c r="AK17" s="18" t="str">
        <f t="shared" si="14"/>
        <v/>
      </c>
      <c r="AL17" s="79"/>
      <c r="AM17" s="126" t="str">
        <f t="shared" si="15"/>
        <v/>
      </c>
      <c r="AN17" s="128" t="str">
        <f>IF(AP17&lt;&gt;"",VLOOKUP($P17&amp;" | "&amp;AN$6,'Job Master'!$F$12:$J$102,5,0),"")</f>
        <v/>
      </c>
      <c r="AO17" s="19" t="str">
        <f>IF(AP17&lt;&gt;"",VLOOKUP($P17&amp;" | "&amp;AN$6,'Job Master'!$F$12:$J$102,3,0),"")</f>
        <v/>
      </c>
      <c r="AP17" s="19" t="str">
        <f>IFERROR(IF(AND(AW17&lt;&gt;"",VLOOKUP($P17&amp;" | "&amp;AN$6,'Job Master'!$F$12:$I$102,4,0)&lt;&gt;""),IF(WEEKDAY(AW17-VLOOKUP($P17&amp;" | "&amp;AN$6,'Job Master'!$F$12:$I$102,4,0))&lt;&gt;7,AW17-VLOOKUP($P17&amp;" | "&amp;AN$6,'Job Master'!$F$12:$I$102,4,0),AW17-VLOOKUP($P17&amp;" | "&amp;AN$6,'Job Master'!$F$12:$I$102,4,0)-1),""),"")</f>
        <v/>
      </c>
      <c r="AQ17" s="73"/>
      <c r="AR17" s="123" t="str">
        <f t="shared" si="16"/>
        <v/>
      </c>
      <c r="AS17" s="123" t="str">
        <f t="shared" si="17"/>
        <v/>
      </c>
      <c r="AT17" s="97" t="str">
        <f t="shared" ca="1" si="18"/>
        <v/>
      </c>
      <c r="AU17" s="98" t="str">
        <f>IF(AW17&lt;&gt;"",VLOOKUP($P17&amp;" | "&amp;AU$6,'Job Master'!$F$12:$J$102,5,0),"")</f>
        <v/>
      </c>
      <c r="AV17" s="19" t="str">
        <f>IF(AW17&lt;&gt;"",VLOOKUP($P17&amp;" | "&amp;AU$6,'Job Master'!$F$12:$J$102,3,0),"")</f>
        <v/>
      </c>
      <c r="AW17" s="19" t="str">
        <f>IFERROR(IF(AND(BD17&lt;&gt;"",VLOOKUP($P17&amp;" | "&amp;AU$6,'Job Master'!$F$12:$I$102,4,0)&lt;&gt;""),IF(WEEKDAY(BD17-VLOOKUP($P17&amp;" | "&amp;AU$6,'Job Master'!$F$12:$I$102,4,0))&lt;&gt;7,BD17-VLOOKUP($P17&amp;" | "&amp;AU$6,'Job Master'!$F$12:$I$102,4,0),BD17-VLOOKUP($P17&amp;" | "&amp;AU$6,'Job Master'!$F$12:$I$102,4,0)-1),""),"")</f>
        <v/>
      </c>
      <c r="AX17" s="73"/>
      <c r="AY17" s="123" t="str">
        <f t="shared" si="19"/>
        <v/>
      </c>
      <c r="AZ17" s="123" t="str">
        <f t="shared" si="20"/>
        <v/>
      </c>
      <c r="BA17" s="97" t="str">
        <f t="shared" ca="1" si="21"/>
        <v/>
      </c>
      <c r="BB17" s="98" t="str">
        <f>IF(BD17&lt;&gt;"",VLOOKUP($P17&amp;" | "&amp;BB$6,'Job Master'!$F$12:$J$102,5,0),"")</f>
        <v/>
      </c>
      <c r="BC17" s="19" t="str">
        <f>IF(BD17&lt;&gt;"",VLOOKUP($P17&amp;" | "&amp;BB$6,'Job Master'!$F$12:$J$102,3,0),"")</f>
        <v/>
      </c>
      <c r="BD17" s="19" t="str">
        <f>IFERROR(IF(AND(BK17&lt;&gt;"",VLOOKUP($P17&amp;" | "&amp;BB$6,'Job Master'!$F$12:$I$102,4,0)&lt;&gt;""),IF(WEEKDAY(BK17-VLOOKUP($P17&amp;" | "&amp;BB$6,'Job Master'!$F$12:$I$102,4,0))&lt;&gt;7,BK17-VLOOKUP($P17&amp;" | "&amp;BB$6,'Job Master'!$F$12:$I$102,4,0),BK17-VLOOKUP($P17&amp;" | "&amp;BB$6,'Job Master'!$F$12:$I$102,4,0)-1),""),"")</f>
        <v/>
      </c>
      <c r="BE17" s="73"/>
      <c r="BF17" s="123" t="str">
        <f t="shared" si="22"/>
        <v/>
      </c>
      <c r="BG17" s="123" t="str">
        <f t="shared" si="23"/>
        <v/>
      </c>
      <c r="BH17" s="97" t="str">
        <f t="shared" ca="1" si="24"/>
        <v/>
      </c>
      <c r="BI17" s="98" t="str">
        <f>IF(BK17&lt;&gt;"",VLOOKUP($P17&amp;" | "&amp;BI$6,'Job Master'!$F$12:$J$102,5,0),"")</f>
        <v/>
      </c>
      <c r="BJ17" s="19" t="str">
        <f>IF(BK17&lt;&gt;"",VLOOKUP($P17&amp;" | "&amp;BI$6,'Job Master'!$F$12:$J$102,3,0),"")</f>
        <v/>
      </c>
      <c r="BK17" s="19" t="str">
        <f>IFERROR(IF(AND(BR17&lt;&gt;"",VLOOKUP($P17&amp;" | "&amp;BI$6,'Job Master'!$F$12:$I$102,4,0)&lt;&gt;""),IF(WEEKDAY(BR17-VLOOKUP($P17&amp;" | "&amp;BI$6,'Job Master'!$F$12:$I$102,4,0))&lt;&gt;7,BR17-VLOOKUP($P17&amp;" | "&amp;BI$6,'Job Master'!$F$12:$I$102,4,0),BR17-VLOOKUP($P17&amp;" | "&amp;BI$6,'Job Master'!$F$12:$I$102,4,0)-1),""),"")</f>
        <v/>
      </c>
      <c r="BL17" s="73"/>
      <c r="BM17" s="123" t="str">
        <f t="shared" si="25"/>
        <v/>
      </c>
      <c r="BN17" s="123" t="str">
        <f t="shared" si="26"/>
        <v/>
      </c>
      <c r="BO17" s="97" t="str">
        <f t="shared" ca="1" si="27"/>
        <v/>
      </c>
      <c r="BP17" s="98" t="str">
        <f>IF(BR17&lt;&gt;"",VLOOKUP($P17&amp;" | "&amp;BP$6,'Job Master'!$F$12:$J$102,5,0),"")</f>
        <v/>
      </c>
      <c r="BQ17" s="19" t="str">
        <f>IF(BR17&lt;&gt;"",VLOOKUP($P17&amp;" | "&amp;BP$6,'Job Master'!$F$12:$J$102,3,0),"")</f>
        <v/>
      </c>
      <c r="BR17" s="19" t="str">
        <f>IFERROR(IF(AND(BY17&lt;&gt;"",VLOOKUP($P17&amp;" | "&amp;BP$6,'Job Master'!$F$12:$I$102,4,0)&lt;&gt;""),IF(WEEKDAY(BY17-VLOOKUP($P17&amp;" | "&amp;BP$6,'Job Master'!$F$12:$I$102,4,0))&lt;&gt;7,BY17-VLOOKUP($P17&amp;" | "&amp;BP$6,'Job Master'!$F$12:$I$102,4,0),BY17-VLOOKUP($P17&amp;" | "&amp;BP$6,'Job Master'!$F$12:$I$102,4,0)-1),""),"")</f>
        <v/>
      </c>
      <c r="BS17" s="73"/>
      <c r="BT17" s="123" t="str">
        <f t="shared" si="28"/>
        <v/>
      </c>
      <c r="BU17" s="123" t="str">
        <f t="shared" si="29"/>
        <v/>
      </c>
      <c r="BV17" s="97" t="str">
        <f t="shared" ca="1" si="30"/>
        <v/>
      </c>
      <c r="BW17" s="98" t="str">
        <f>IF(BY17&lt;&gt;"",VLOOKUP($P17&amp;" | "&amp;BW$6,'Job Master'!$F$12:$J$102,5,0),"")</f>
        <v/>
      </c>
      <c r="BX17" s="19" t="str">
        <f>IF(BY17&lt;&gt;"",VLOOKUP($P17&amp;" | "&amp;BW$6,'Job Master'!$F$12:$J$102,3,0),"")</f>
        <v/>
      </c>
      <c r="BY17" s="19" t="str">
        <f>IFERROR(IF(AND(CF17&lt;&gt;"",VLOOKUP($P17&amp;" | "&amp;BW$6,'Job Master'!$F$12:$I$102,4,0)&lt;&gt;""),IF(WEEKDAY(CF17-VLOOKUP($P17&amp;" | "&amp;BW$6,'Job Master'!$F$12:$I$102,4,0))&lt;&gt;7,CF17-VLOOKUP($P17&amp;" | "&amp;BW$6,'Job Master'!$F$12:$I$102,4,0),CF17-VLOOKUP($P17&amp;" | "&amp;BW$6,'Job Master'!$F$12:$I$102,4,0)-1),""),"")</f>
        <v/>
      </c>
      <c r="BZ17" s="73"/>
      <c r="CA17" s="123" t="str">
        <f t="shared" si="31"/>
        <v/>
      </c>
      <c r="CB17" s="123" t="str">
        <f t="shared" si="32"/>
        <v/>
      </c>
      <c r="CC17" s="97" t="str">
        <f t="shared" ca="1" si="33"/>
        <v/>
      </c>
      <c r="CD17" s="98" t="str">
        <f>IF(CF17&lt;&gt;"",VLOOKUP($P17&amp;" | "&amp;CD$6,'Job Master'!$F$12:$J$102,5,0),"")</f>
        <v/>
      </c>
      <c r="CE17" s="19" t="str">
        <f>IF(CF17&lt;&gt;"",VLOOKUP($P17&amp;" | "&amp;CD$6,'Job Master'!$F$12:$J$102,3,0),"")</f>
        <v/>
      </c>
      <c r="CF17" s="19" t="str">
        <f>IFERROR(IF(AND(CM17&lt;&gt;"",VLOOKUP($P17&amp;" | "&amp;CD$6,'Job Master'!$F$12:$I$102,4,0)&lt;&gt;""),IF(WEEKDAY(CM17-VLOOKUP($P17&amp;" | "&amp;CD$6,'Job Master'!$F$12:$I$102,4,0))&lt;&gt;7,CM17-VLOOKUP($P17&amp;" | "&amp;CD$6,'Job Master'!$F$12:$I$102,4,0),CM17-VLOOKUP($P17&amp;" | "&amp;CD$6,'Job Master'!$F$12:$I$102,4,0)-1),""),"")</f>
        <v/>
      </c>
      <c r="CG17" s="73"/>
      <c r="CH17" s="123" t="str">
        <f t="shared" si="34"/>
        <v/>
      </c>
      <c r="CI17" s="123" t="str">
        <f t="shared" si="35"/>
        <v/>
      </c>
      <c r="CJ17" s="97" t="str">
        <f t="shared" ca="1" si="36"/>
        <v/>
      </c>
      <c r="CK17" s="98" t="str">
        <f>IF(CM17&lt;&gt;"",VLOOKUP($P17&amp;" | "&amp;CK$6,'Job Master'!$F$12:$J$102,5,0),"")</f>
        <v/>
      </c>
      <c r="CL17" s="19" t="str">
        <f>IF(CM17&lt;&gt;"",VLOOKUP($P17&amp;" | "&amp;CK$6,'Job Master'!$F$12:$J$102,3,0),"")</f>
        <v/>
      </c>
      <c r="CM17" s="19" t="str">
        <f>IFERROR(IF(AND(CT17&lt;&gt;"",VLOOKUP($P17&amp;" | "&amp;CK$6,'Job Master'!$F$12:$I$102,4,0)&lt;&gt;""),IF(WEEKDAY(CT17-VLOOKUP($P17&amp;" | "&amp;CK$6,'Job Master'!$F$12:$I$102,4,0))&lt;&gt;7,CT17-VLOOKUP($P17&amp;" | "&amp;CK$6,'Job Master'!$F$12:$I$102,4,0),CT17-VLOOKUP($P17&amp;" | "&amp;CK$6,'Job Master'!$F$12:$I$102,4,0)-1),""),"")</f>
        <v/>
      </c>
      <c r="CN17" s="73"/>
      <c r="CO17" s="123" t="str">
        <f t="shared" si="37"/>
        <v/>
      </c>
      <c r="CP17" s="123" t="str">
        <f t="shared" si="38"/>
        <v/>
      </c>
      <c r="CQ17" s="97" t="str">
        <f t="shared" ca="1" si="39"/>
        <v/>
      </c>
      <c r="CR17" s="98" t="str">
        <f>IF(CT17&lt;&gt;"",VLOOKUP($P17&amp;" | "&amp;CR$6,'Job Master'!$F$12:$J$102,5,0),"")</f>
        <v/>
      </c>
      <c r="CS17" s="19" t="str">
        <f>IF(CT17&lt;&gt;"",VLOOKUP($P17&amp;" | "&amp;CR$6,'Job Master'!$F$12:$J$102,3,0),"")</f>
        <v/>
      </c>
      <c r="CT17" s="19" t="str">
        <f>IFERROR(IF(AND(DA17&lt;&gt;"",VLOOKUP($P17&amp;" | "&amp;CR$6,'Job Master'!$F$12:$I$102,4,0)&lt;&gt;""),IF(WEEKDAY(DA17-VLOOKUP($P17&amp;" | "&amp;CR$6,'Job Master'!$F$12:$I$102,4,0))&lt;&gt;7,DA17-VLOOKUP($P17&amp;" | "&amp;CR$6,'Job Master'!$F$12:$I$102,4,0),DA17-VLOOKUP($P17&amp;" | "&amp;CR$6,'Job Master'!$F$12:$I$102,4,0)-1),""),"")</f>
        <v/>
      </c>
      <c r="CU17" s="73"/>
      <c r="CV17" s="123" t="str">
        <f t="shared" si="40"/>
        <v/>
      </c>
      <c r="CW17" s="123" t="str">
        <f t="shared" si="41"/>
        <v/>
      </c>
      <c r="CX17" s="97" t="str">
        <f t="shared" ca="1" si="42"/>
        <v/>
      </c>
      <c r="CY17" s="98" t="str">
        <f>IF(DA17&lt;&gt;"",VLOOKUP($P17&amp;" | "&amp;CY$6,'Job Master'!$F$12:$J$102,5,0),"")</f>
        <v/>
      </c>
      <c r="CZ17" s="19" t="str">
        <f>IF(DA17&lt;&gt;"",VLOOKUP($P17&amp;" | "&amp;CY$6,'Job Master'!$F$12:$J$102,3,0),"")</f>
        <v/>
      </c>
      <c r="DA17" s="19" t="str">
        <f>IFERROR(IF(AND(DH17&lt;&gt;"",VLOOKUP($P17&amp;" | "&amp;CY$6,'Job Master'!$F$12:$I$102,4,0)&lt;&gt;""),IF(WEEKDAY(DH17-VLOOKUP($P17&amp;" | "&amp;CY$6,'Job Master'!$F$12:$I$102,4,0))&lt;&gt;7,DH17-VLOOKUP($P17&amp;" | "&amp;CY$6,'Job Master'!$F$12:$I$102,4,0),DH17-VLOOKUP($P17&amp;" | "&amp;CY$6,'Job Master'!$F$12:$I$102,4,0)-1),""),"")</f>
        <v/>
      </c>
      <c r="DB17" s="73"/>
      <c r="DC17" s="123" t="str">
        <f t="shared" si="43"/>
        <v/>
      </c>
      <c r="DD17" s="123" t="str">
        <f t="shared" si="44"/>
        <v/>
      </c>
      <c r="DE17" s="97" t="str">
        <f t="shared" ca="1" si="45"/>
        <v/>
      </c>
      <c r="DF17" s="98" t="str">
        <f>IF(DH17&lt;&gt;"",VLOOKUP($P17&amp;" | "&amp;DF$6,'Job Master'!$F$12:$J$102,5,0),"")</f>
        <v/>
      </c>
      <c r="DG17" s="19" t="str">
        <f>IF(DH17&lt;&gt;"",VLOOKUP($P17&amp;" | "&amp;DF$6,'Job Master'!$F$12:$J$102,3,0),"")</f>
        <v/>
      </c>
      <c r="DH17" s="19" t="str">
        <f>IFERROR(IF(AND(DO17&lt;&gt;"",VLOOKUP($P17&amp;" | "&amp;DF$6,'Job Master'!$F$12:$I$102,4,0)&lt;&gt;""),IF(WEEKDAY(DO17-VLOOKUP($P17&amp;" | "&amp;DF$6,'Job Master'!$F$12:$I$102,4,0))&lt;&gt;7,DO17-VLOOKUP($P17&amp;" | "&amp;DF$6,'Job Master'!$F$12:$I$102,4,0),DO17-VLOOKUP($P17&amp;" | "&amp;DF$6,'Job Master'!$F$12:$I$102,4,0)-1),""),"")</f>
        <v/>
      </c>
      <c r="DI17" s="73"/>
      <c r="DJ17" s="123" t="str">
        <f t="shared" si="46"/>
        <v/>
      </c>
      <c r="DK17" s="123" t="str">
        <f t="shared" si="47"/>
        <v/>
      </c>
      <c r="DL17" s="97" t="str">
        <f t="shared" ca="1" si="48"/>
        <v/>
      </c>
      <c r="DM17" s="98" t="str">
        <f>IF(DO17&lt;&gt;"",VLOOKUP($P17&amp;" | "&amp;DM$6,'Job Master'!$F$12:$J$102,5,0),"")</f>
        <v/>
      </c>
      <c r="DN17" s="19" t="str">
        <f>IF(DO17&lt;&gt;"",VLOOKUP($P17&amp;" | "&amp;DM$6,'Job Master'!$F$12:$J$102,3,0),"")</f>
        <v/>
      </c>
      <c r="DO17" s="19" t="str">
        <f>IFERROR(IF(AND(DT17&lt;&gt;"",VLOOKUP($P17&amp;" | "&amp;DM$6,'Job Master'!$F$12:$I$102,4,0)&lt;&gt;""),IF(WEEKDAY(DT17-VLOOKUP($P17&amp;" | "&amp;DM$6,'Job Master'!$F$12:$I$102,4,0))&lt;&gt;7,DT17-VLOOKUP($P17&amp;" | "&amp;DM$6,'Job Master'!$F$12:$I$102,4,0),DT17-VLOOKUP($P17&amp;" | "&amp;DM$6,'Job Master'!$F$12:$I$102,4,0)-1),""),"")</f>
        <v/>
      </c>
      <c r="DP17" s="73"/>
      <c r="DQ17" s="123" t="str">
        <f t="shared" si="49"/>
        <v/>
      </c>
      <c r="DR17" s="123" t="str">
        <f t="shared" si="50"/>
        <v/>
      </c>
      <c r="DS17" s="97" t="str">
        <f t="shared" ca="1" si="51"/>
        <v/>
      </c>
      <c r="DT17" s="70" t="str">
        <f t="shared" si="52"/>
        <v/>
      </c>
      <c r="DU17" s="90"/>
      <c r="DV17" s="123" t="str">
        <f t="shared" si="53"/>
        <v/>
      </c>
      <c r="DW17" s="123" t="str">
        <f t="shared" si="54"/>
        <v/>
      </c>
      <c r="DX17" s="132" t="str">
        <f t="shared" ref="DX17" ca="1" si="75">IF(DT17&lt;&gt;"",IF(WEEKNUM(DT17)=WEEKNUM(TODAY()),"This Week",IF(WEEKNUM(DT17)=WEEKNUM(TODAY())+1,"Next Week",IF(WEEKNUM(DT17)=WEEKNUM(TODAY())-1,"Previous Week",""))),"")</f>
        <v/>
      </c>
      <c r="DY17" s="134" t="str">
        <f t="shared" si="56"/>
        <v/>
      </c>
      <c r="DZ17" s="95"/>
      <c r="EB17" s="8" t="str">
        <f t="shared" si="67"/>
        <v/>
      </c>
      <c r="EC17" s="8" t="str">
        <f>IF(O17&lt;&gt;"",VLOOKUP(O17,'Job Master'!$N$12:$O$18,2,0),"")</f>
        <v/>
      </c>
      <c r="ED17" s="8">
        <f t="shared" si="68"/>
        <v>19.5</v>
      </c>
      <c r="EE17" s="8">
        <f t="shared" si="69"/>
        <v>6</v>
      </c>
      <c r="EF17" s="8">
        <f t="shared" si="70"/>
        <v>-22.5</v>
      </c>
      <c r="EG17" s="8" t="str">
        <f t="shared" si="71"/>
        <v/>
      </c>
      <c r="EH17" s="8" t="str">
        <f t="shared" si="72"/>
        <v/>
      </c>
    </row>
    <row r="18" spans="2:138" x14ac:dyDescent="0.3">
      <c r="B18" s="112"/>
      <c r="C18" s="27"/>
      <c r="D18" s="7" t="str">
        <f t="shared" si="1"/>
        <v/>
      </c>
      <c r="E18" s="25"/>
      <c r="F18" s="7" t="str">
        <f t="shared" si="1"/>
        <v/>
      </c>
      <c r="G18" s="25"/>
      <c r="H18" s="7" t="str">
        <f t="shared" si="1"/>
        <v/>
      </c>
      <c r="I18" s="25"/>
      <c r="J18" s="7" t="str">
        <f t="shared" si="1"/>
        <v/>
      </c>
      <c r="K18" s="25"/>
      <c r="L18" s="7" t="str">
        <f t="shared" si="2"/>
        <v/>
      </c>
      <c r="M18" s="25"/>
      <c r="N18" s="7" t="str">
        <f t="shared" si="3"/>
        <v/>
      </c>
      <c r="O18" s="81"/>
      <c r="P18" s="81" t="str">
        <f t="shared" si="4"/>
        <v/>
      </c>
      <c r="Q18" s="81"/>
      <c r="R18" s="7" t="str">
        <f t="shared" si="5"/>
        <v/>
      </c>
      <c r="S18" s="25"/>
      <c r="T18" s="7" t="str">
        <f t="shared" si="6"/>
        <v/>
      </c>
      <c r="U18" s="25"/>
      <c r="V18" s="7" t="str">
        <f t="shared" si="7"/>
        <v/>
      </c>
      <c r="W18" s="25"/>
      <c r="X18" s="7" t="str">
        <f t="shared" si="8"/>
        <v/>
      </c>
      <c r="Y18" s="18" t="str">
        <f t="shared" si="9"/>
        <v/>
      </c>
      <c r="Z18" s="7" t="str">
        <f t="shared" si="10"/>
        <v/>
      </c>
      <c r="AA18" s="18" t="str">
        <f t="shared" si="11"/>
        <v/>
      </c>
      <c r="AB18" s="19" t="str">
        <f t="shared" si="12"/>
        <v/>
      </c>
      <c r="AC18" s="26"/>
      <c r="AD18" s="26"/>
      <c r="AE18" s="25"/>
      <c r="AF18" s="26"/>
      <c r="AG18" s="25"/>
      <c r="AH18" s="25"/>
      <c r="AI18" s="18" t="str">
        <f t="shared" si="13"/>
        <v/>
      </c>
      <c r="AJ18" s="25"/>
      <c r="AK18" s="18" t="str">
        <f t="shared" si="14"/>
        <v/>
      </c>
      <c r="AL18" s="79"/>
      <c r="AM18" s="126" t="str">
        <f t="shared" si="15"/>
        <v/>
      </c>
      <c r="AN18" s="128" t="str">
        <f>IF(AP18&lt;&gt;"",VLOOKUP($P18&amp;" | "&amp;AN$6,'Job Master'!$F$12:$J$102,5,0),"")</f>
        <v/>
      </c>
      <c r="AO18" s="19" t="str">
        <f>IF(AP18&lt;&gt;"",VLOOKUP($P18&amp;" | "&amp;AN$6,'Job Master'!$F$12:$J$102,3,0),"")</f>
        <v/>
      </c>
      <c r="AP18" s="19" t="str">
        <f>IFERROR(IF(AND(AW18&lt;&gt;"",VLOOKUP($P18&amp;" | "&amp;AN$6,'Job Master'!$F$12:$I$102,4,0)&lt;&gt;""),IF(WEEKDAY(AW18-VLOOKUP($P18&amp;" | "&amp;AN$6,'Job Master'!$F$12:$I$102,4,0))&lt;&gt;7,AW18-VLOOKUP($P18&amp;" | "&amp;AN$6,'Job Master'!$F$12:$I$102,4,0),AW18-VLOOKUP($P18&amp;" | "&amp;AN$6,'Job Master'!$F$12:$I$102,4,0)-1),""),"")</f>
        <v/>
      </c>
      <c r="AQ18" s="73"/>
      <c r="AR18" s="123" t="str">
        <f t="shared" si="16"/>
        <v/>
      </c>
      <c r="AS18" s="123" t="str">
        <f t="shared" si="17"/>
        <v/>
      </c>
      <c r="AT18" s="97" t="str">
        <f t="shared" ca="1" si="18"/>
        <v/>
      </c>
      <c r="AU18" s="98" t="str">
        <f>IF(AW18&lt;&gt;"",VLOOKUP($P18&amp;" | "&amp;AU$6,'Job Master'!$F$12:$J$102,5,0),"")</f>
        <v/>
      </c>
      <c r="AV18" s="19" t="str">
        <f>IF(AW18&lt;&gt;"",VLOOKUP($P18&amp;" | "&amp;AU$6,'Job Master'!$F$12:$J$102,3,0),"")</f>
        <v/>
      </c>
      <c r="AW18" s="19" t="str">
        <f>IFERROR(IF(AND(BD18&lt;&gt;"",VLOOKUP($P18&amp;" | "&amp;AU$6,'Job Master'!$F$12:$I$102,4,0)&lt;&gt;""),IF(WEEKDAY(BD18-VLOOKUP($P18&amp;" | "&amp;AU$6,'Job Master'!$F$12:$I$102,4,0))&lt;&gt;7,BD18-VLOOKUP($P18&amp;" | "&amp;AU$6,'Job Master'!$F$12:$I$102,4,0),BD18-VLOOKUP($P18&amp;" | "&amp;AU$6,'Job Master'!$F$12:$I$102,4,0)-1),""),"")</f>
        <v/>
      </c>
      <c r="AX18" s="73"/>
      <c r="AY18" s="123" t="str">
        <f t="shared" si="19"/>
        <v/>
      </c>
      <c r="AZ18" s="123" t="str">
        <f t="shared" si="20"/>
        <v/>
      </c>
      <c r="BA18" s="97" t="str">
        <f t="shared" ca="1" si="21"/>
        <v/>
      </c>
      <c r="BB18" s="98" t="str">
        <f>IF(BD18&lt;&gt;"",VLOOKUP($P18&amp;" | "&amp;BB$6,'Job Master'!$F$12:$J$102,5,0),"")</f>
        <v/>
      </c>
      <c r="BC18" s="19" t="str">
        <f>IF(BD18&lt;&gt;"",VLOOKUP($P18&amp;" | "&amp;BB$6,'Job Master'!$F$12:$J$102,3,0),"")</f>
        <v/>
      </c>
      <c r="BD18" s="19" t="str">
        <f>IFERROR(IF(AND(BK18&lt;&gt;"",VLOOKUP($P18&amp;" | "&amp;BB$6,'Job Master'!$F$12:$I$102,4,0)&lt;&gt;""),IF(WEEKDAY(BK18-VLOOKUP($P18&amp;" | "&amp;BB$6,'Job Master'!$F$12:$I$102,4,0))&lt;&gt;7,BK18-VLOOKUP($P18&amp;" | "&amp;BB$6,'Job Master'!$F$12:$I$102,4,0),BK18-VLOOKUP($P18&amp;" | "&amp;BB$6,'Job Master'!$F$12:$I$102,4,0)-1),""),"")</f>
        <v/>
      </c>
      <c r="BE18" s="73"/>
      <c r="BF18" s="123" t="str">
        <f t="shared" si="22"/>
        <v/>
      </c>
      <c r="BG18" s="123" t="str">
        <f t="shared" si="23"/>
        <v/>
      </c>
      <c r="BH18" s="97" t="str">
        <f t="shared" ca="1" si="24"/>
        <v/>
      </c>
      <c r="BI18" s="98" t="str">
        <f>IF(BK18&lt;&gt;"",VLOOKUP($P18&amp;" | "&amp;BI$6,'Job Master'!$F$12:$J$102,5,0),"")</f>
        <v/>
      </c>
      <c r="BJ18" s="19" t="str">
        <f>IF(BK18&lt;&gt;"",VLOOKUP($P18&amp;" | "&amp;BI$6,'Job Master'!$F$12:$J$102,3,0),"")</f>
        <v/>
      </c>
      <c r="BK18" s="19" t="str">
        <f>IFERROR(IF(AND(BR18&lt;&gt;"",VLOOKUP($P18&amp;" | "&amp;BI$6,'Job Master'!$F$12:$I$102,4,0)&lt;&gt;""),IF(WEEKDAY(BR18-VLOOKUP($P18&amp;" | "&amp;BI$6,'Job Master'!$F$12:$I$102,4,0))&lt;&gt;7,BR18-VLOOKUP($P18&amp;" | "&amp;BI$6,'Job Master'!$F$12:$I$102,4,0),BR18-VLOOKUP($P18&amp;" | "&amp;BI$6,'Job Master'!$F$12:$I$102,4,0)-1),""),"")</f>
        <v/>
      </c>
      <c r="BL18" s="73"/>
      <c r="BM18" s="123" t="str">
        <f t="shared" si="25"/>
        <v/>
      </c>
      <c r="BN18" s="123" t="str">
        <f t="shared" si="26"/>
        <v/>
      </c>
      <c r="BO18" s="97" t="str">
        <f t="shared" ca="1" si="27"/>
        <v/>
      </c>
      <c r="BP18" s="98" t="str">
        <f>IF(BR18&lt;&gt;"",VLOOKUP($P18&amp;" | "&amp;BP$6,'Job Master'!$F$12:$J$102,5,0),"")</f>
        <v/>
      </c>
      <c r="BQ18" s="19" t="str">
        <f>IF(BR18&lt;&gt;"",VLOOKUP($P18&amp;" | "&amp;BP$6,'Job Master'!$F$12:$J$102,3,0),"")</f>
        <v/>
      </c>
      <c r="BR18" s="19" t="str">
        <f>IFERROR(IF(AND(BY18&lt;&gt;"",VLOOKUP($P18&amp;" | "&amp;BP$6,'Job Master'!$F$12:$I$102,4,0)&lt;&gt;""),IF(WEEKDAY(BY18-VLOOKUP($P18&amp;" | "&amp;BP$6,'Job Master'!$F$12:$I$102,4,0))&lt;&gt;7,BY18-VLOOKUP($P18&amp;" | "&amp;BP$6,'Job Master'!$F$12:$I$102,4,0),BY18-VLOOKUP($P18&amp;" | "&amp;BP$6,'Job Master'!$F$12:$I$102,4,0)-1),""),"")</f>
        <v/>
      </c>
      <c r="BS18" s="73"/>
      <c r="BT18" s="123" t="str">
        <f t="shared" si="28"/>
        <v/>
      </c>
      <c r="BU18" s="123" t="str">
        <f t="shared" si="29"/>
        <v/>
      </c>
      <c r="BV18" s="97" t="str">
        <f t="shared" ca="1" si="30"/>
        <v/>
      </c>
      <c r="BW18" s="98" t="str">
        <f>IF(BY18&lt;&gt;"",VLOOKUP($P18&amp;" | "&amp;BW$6,'Job Master'!$F$12:$J$102,5,0),"")</f>
        <v/>
      </c>
      <c r="BX18" s="19" t="str">
        <f>IF(BY18&lt;&gt;"",VLOOKUP($P18&amp;" | "&amp;BW$6,'Job Master'!$F$12:$J$102,3,0),"")</f>
        <v/>
      </c>
      <c r="BY18" s="19" t="str">
        <f>IFERROR(IF(AND(CF18&lt;&gt;"",VLOOKUP($P18&amp;" | "&amp;BW$6,'Job Master'!$F$12:$I$102,4,0)&lt;&gt;""),IF(WEEKDAY(CF18-VLOOKUP($P18&amp;" | "&amp;BW$6,'Job Master'!$F$12:$I$102,4,0))&lt;&gt;7,CF18-VLOOKUP($P18&amp;" | "&amp;BW$6,'Job Master'!$F$12:$I$102,4,0),CF18-VLOOKUP($P18&amp;" | "&amp;BW$6,'Job Master'!$F$12:$I$102,4,0)-1),""),"")</f>
        <v/>
      </c>
      <c r="BZ18" s="73"/>
      <c r="CA18" s="123" t="str">
        <f t="shared" si="31"/>
        <v/>
      </c>
      <c r="CB18" s="123" t="str">
        <f t="shared" si="32"/>
        <v/>
      </c>
      <c r="CC18" s="97" t="str">
        <f t="shared" ca="1" si="33"/>
        <v/>
      </c>
      <c r="CD18" s="98" t="str">
        <f>IF(CF18&lt;&gt;"",VLOOKUP($P18&amp;" | "&amp;CD$6,'Job Master'!$F$12:$J$102,5,0),"")</f>
        <v/>
      </c>
      <c r="CE18" s="19" t="str">
        <f>IF(CF18&lt;&gt;"",VLOOKUP($P18&amp;" | "&amp;CD$6,'Job Master'!$F$12:$J$102,3,0),"")</f>
        <v/>
      </c>
      <c r="CF18" s="19" t="str">
        <f>IFERROR(IF(AND(CM18&lt;&gt;"",VLOOKUP($P18&amp;" | "&amp;CD$6,'Job Master'!$F$12:$I$102,4,0)&lt;&gt;""),IF(WEEKDAY(CM18-VLOOKUP($P18&amp;" | "&amp;CD$6,'Job Master'!$F$12:$I$102,4,0))&lt;&gt;7,CM18-VLOOKUP($P18&amp;" | "&amp;CD$6,'Job Master'!$F$12:$I$102,4,0),CM18-VLOOKUP($P18&amp;" | "&amp;CD$6,'Job Master'!$F$12:$I$102,4,0)-1),""),"")</f>
        <v/>
      </c>
      <c r="CG18" s="73"/>
      <c r="CH18" s="123" t="str">
        <f t="shared" si="34"/>
        <v/>
      </c>
      <c r="CI18" s="123" t="str">
        <f t="shared" si="35"/>
        <v/>
      </c>
      <c r="CJ18" s="97" t="str">
        <f t="shared" ca="1" si="36"/>
        <v/>
      </c>
      <c r="CK18" s="98" t="str">
        <f>IF(CM18&lt;&gt;"",VLOOKUP($P18&amp;" | "&amp;CK$6,'Job Master'!$F$12:$J$102,5,0),"")</f>
        <v/>
      </c>
      <c r="CL18" s="19" t="str">
        <f>IF(CM18&lt;&gt;"",VLOOKUP($P18&amp;" | "&amp;CK$6,'Job Master'!$F$12:$J$102,3,0),"")</f>
        <v/>
      </c>
      <c r="CM18" s="19" t="str">
        <f>IFERROR(IF(AND(CT18&lt;&gt;"",VLOOKUP($P18&amp;" | "&amp;CK$6,'Job Master'!$F$12:$I$102,4,0)&lt;&gt;""),IF(WEEKDAY(CT18-VLOOKUP($P18&amp;" | "&amp;CK$6,'Job Master'!$F$12:$I$102,4,0))&lt;&gt;7,CT18-VLOOKUP($P18&amp;" | "&amp;CK$6,'Job Master'!$F$12:$I$102,4,0),CT18-VLOOKUP($P18&amp;" | "&amp;CK$6,'Job Master'!$F$12:$I$102,4,0)-1),""),"")</f>
        <v/>
      </c>
      <c r="CN18" s="73"/>
      <c r="CO18" s="123" t="str">
        <f t="shared" si="37"/>
        <v/>
      </c>
      <c r="CP18" s="123" t="str">
        <f t="shared" si="38"/>
        <v/>
      </c>
      <c r="CQ18" s="97" t="str">
        <f t="shared" ca="1" si="39"/>
        <v/>
      </c>
      <c r="CR18" s="98" t="str">
        <f>IF(CT18&lt;&gt;"",VLOOKUP($P18&amp;" | "&amp;CR$6,'Job Master'!$F$12:$J$102,5,0),"")</f>
        <v/>
      </c>
      <c r="CS18" s="19" t="str">
        <f>IF(CT18&lt;&gt;"",VLOOKUP($P18&amp;" | "&amp;CR$6,'Job Master'!$F$12:$J$102,3,0),"")</f>
        <v/>
      </c>
      <c r="CT18" s="19" t="str">
        <f>IFERROR(IF(AND(DA18&lt;&gt;"",VLOOKUP($P18&amp;" | "&amp;CR$6,'Job Master'!$F$12:$I$102,4,0)&lt;&gt;""),IF(WEEKDAY(DA18-VLOOKUP($P18&amp;" | "&amp;CR$6,'Job Master'!$F$12:$I$102,4,0))&lt;&gt;7,DA18-VLOOKUP($P18&amp;" | "&amp;CR$6,'Job Master'!$F$12:$I$102,4,0),DA18-VLOOKUP($P18&amp;" | "&amp;CR$6,'Job Master'!$F$12:$I$102,4,0)-1),""),"")</f>
        <v/>
      </c>
      <c r="CU18" s="73"/>
      <c r="CV18" s="123" t="str">
        <f t="shared" si="40"/>
        <v/>
      </c>
      <c r="CW18" s="123" t="str">
        <f t="shared" si="41"/>
        <v/>
      </c>
      <c r="CX18" s="97" t="str">
        <f t="shared" ca="1" si="42"/>
        <v/>
      </c>
      <c r="CY18" s="98" t="str">
        <f>IF(DA18&lt;&gt;"",VLOOKUP($P18&amp;" | "&amp;CY$6,'Job Master'!$F$12:$J$102,5,0),"")</f>
        <v/>
      </c>
      <c r="CZ18" s="19" t="str">
        <f>IF(DA18&lt;&gt;"",VLOOKUP($P18&amp;" | "&amp;CY$6,'Job Master'!$F$12:$J$102,3,0),"")</f>
        <v/>
      </c>
      <c r="DA18" s="19" t="str">
        <f>IFERROR(IF(AND(DH18&lt;&gt;"",VLOOKUP($P18&amp;" | "&amp;CY$6,'Job Master'!$F$12:$I$102,4,0)&lt;&gt;""),IF(WEEKDAY(DH18-VLOOKUP($P18&amp;" | "&amp;CY$6,'Job Master'!$F$12:$I$102,4,0))&lt;&gt;7,DH18-VLOOKUP($P18&amp;" | "&amp;CY$6,'Job Master'!$F$12:$I$102,4,0),DH18-VLOOKUP($P18&amp;" | "&amp;CY$6,'Job Master'!$F$12:$I$102,4,0)-1),""),"")</f>
        <v/>
      </c>
      <c r="DB18" s="73"/>
      <c r="DC18" s="123" t="str">
        <f t="shared" si="43"/>
        <v/>
      </c>
      <c r="DD18" s="123" t="str">
        <f t="shared" si="44"/>
        <v/>
      </c>
      <c r="DE18" s="97" t="str">
        <f t="shared" ca="1" si="45"/>
        <v/>
      </c>
      <c r="DF18" s="98" t="str">
        <f>IF(DH18&lt;&gt;"",VLOOKUP($P18&amp;" | "&amp;DF$6,'Job Master'!$F$12:$J$102,5,0),"")</f>
        <v/>
      </c>
      <c r="DG18" s="19" t="str">
        <f>IF(DH18&lt;&gt;"",VLOOKUP($P18&amp;" | "&amp;DF$6,'Job Master'!$F$12:$J$102,3,0),"")</f>
        <v/>
      </c>
      <c r="DH18" s="19" t="str">
        <f>IFERROR(IF(AND(DO18&lt;&gt;"",VLOOKUP($P18&amp;" | "&amp;DF$6,'Job Master'!$F$12:$I$102,4,0)&lt;&gt;""),IF(WEEKDAY(DO18-VLOOKUP($P18&amp;" | "&amp;DF$6,'Job Master'!$F$12:$I$102,4,0))&lt;&gt;7,DO18-VLOOKUP($P18&amp;" | "&amp;DF$6,'Job Master'!$F$12:$I$102,4,0),DO18-VLOOKUP($P18&amp;" | "&amp;DF$6,'Job Master'!$F$12:$I$102,4,0)-1),""),"")</f>
        <v/>
      </c>
      <c r="DI18" s="73"/>
      <c r="DJ18" s="123" t="str">
        <f t="shared" si="46"/>
        <v/>
      </c>
      <c r="DK18" s="123" t="str">
        <f t="shared" si="47"/>
        <v/>
      </c>
      <c r="DL18" s="97" t="str">
        <f t="shared" ca="1" si="48"/>
        <v/>
      </c>
      <c r="DM18" s="98" t="str">
        <f>IF(DO18&lt;&gt;"",VLOOKUP($P18&amp;" | "&amp;DM$6,'Job Master'!$F$12:$J$102,5,0),"")</f>
        <v/>
      </c>
      <c r="DN18" s="19" t="str">
        <f>IF(DO18&lt;&gt;"",VLOOKUP($P18&amp;" | "&amp;DM$6,'Job Master'!$F$12:$J$102,3,0),"")</f>
        <v/>
      </c>
      <c r="DO18" s="19" t="str">
        <f>IFERROR(IF(AND(DT18&lt;&gt;"",VLOOKUP($P18&amp;" | "&amp;DM$6,'Job Master'!$F$12:$I$102,4,0)&lt;&gt;""),IF(WEEKDAY(DT18-VLOOKUP($P18&amp;" | "&amp;DM$6,'Job Master'!$F$12:$I$102,4,0))&lt;&gt;7,DT18-VLOOKUP($P18&amp;" | "&amp;DM$6,'Job Master'!$F$12:$I$102,4,0),DT18-VLOOKUP($P18&amp;" | "&amp;DM$6,'Job Master'!$F$12:$I$102,4,0)-1),""),"")</f>
        <v/>
      </c>
      <c r="DP18" s="73"/>
      <c r="DQ18" s="123" t="str">
        <f t="shared" si="49"/>
        <v/>
      </c>
      <c r="DR18" s="123" t="str">
        <f t="shared" si="50"/>
        <v/>
      </c>
      <c r="DS18" s="97" t="str">
        <f t="shared" ca="1" si="51"/>
        <v/>
      </c>
      <c r="DT18" s="70" t="str">
        <f t="shared" si="52"/>
        <v/>
      </c>
      <c r="DU18" s="90"/>
      <c r="DV18" s="123" t="str">
        <f t="shared" si="53"/>
        <v/>
      </c>
      <c r="DW18" s="123" t="str">
        <f t="shared" si="54"/>
        <v/>
      </c>
      <c r="DX18" s="132" t="str">
        <f t="shared" ref="DX18" ca="1" si="76">IF(DT18&lt;&gt;"",IF(WEEKNUM(DT18)=WEEKNUM(TODAY()),"This Week",IF(WEEKNUM(DT18)=WEEKNUM(TODAY())+1,"Next Week",IF(WEEKNUM(DT18)=WEEKNUM(TODAY())-1,"Previous Week",""))),"")</f>
        <v/>
      </c>
      <c r="DY18" s="134" t="str">
        <f t="shared" si="56"/>
        <v/>
      </c>
      <c r="DZ18" s="95"/>
      <c r="EB18" s="8" t="str">
        <f t="shared" si="67"/>
        <v/>
      </c>
      <c r="EC18" s="8" t="str">
        <f>IF(O18&lt;&gt;"",VLOOKUP(O18,'Job Master'!$N$12:$O$18,2,0),"")</f>
        <v/>
      </c>
      <c r="ED18" s="8">
        <f t="shared" si="68"/>
        <v>19.5</v>
      </c>
      <c r="EE18" s="8">
        <f t="shared" si="69"/>
        <v>6</v>
      </c>
      <c r="EF18" s="8">
        <f t="shared" si="70"/>
        <v>-28.5</v>
      </c>
      <c r="EG18" s="8" t="str">
        <f t="shared" si="71"/>
        <v/>
      </c>
      <c r="EH18" s="8" t="str">
        <f t="shared" si="72"/>
        <v/>
      </c>
    </row>
    <row r="19" spans="2:138" x14ac:dyDescent="0.3">
      <c r="B19" s="112"/>
      <c r="C19" s="27"/>
      <c r="D19" s="7" t="str">
        <f t="shared" si="1"/>
        <v/>
      </c>
      <c r="E19" s="25"/>
      <c r="F19" s="7" t="str">
        <f t="shared" si="1"/>
        <v/>
      </c>
      <c r="G19" s="25"/>
      <c r="H19" s="7" t="str">
        <f t="shared" si="1"/>
        <v/>
      </c>
      <c r="I19" s="25"/>
      <c r="J19" s="7" t="str">
        <f t="shared" si="1"/>
        <v/>
      </c>
      <c r="K19" s="25"/>
      <c r="L19" s="7" t="str">
        <f t="shared" si="2"/>
        <v/>
      </c>
      <c r="M19" s="25"/>
      <c r="N19" s="7" t="str">
        <f t="shared" si="3"/>
        <v/>
      </c>
      <c r="O19" s="81"/>
      <c r="P19" s="81" t="str">
        <f t="shared" si="4"/>
        <v/>
      </c>
      <c r="Q19" s="81"/>
      <c r="R19" s="7" t="str">
        <f t="shared" si="5"/>
        <v/>
      </c>
      <c r="S19" s="25"/>
      <c r="T19" s="7" t="str">
        <f t="shared" si="6"/>
        <v/>
      </c>
      <c r="U19" s="25"/>
      <c r="V19" s="7" t="str">
        <f t="shared" si="7"/>
        <v/>
      </c>
      <c r="W19" s="25"/>
      <c r="X19" s="7" t="str">
        <f t="shared" si="8"/>
        <v/>
      </c>
      <c r="Y19" s="18" t="str">
        <f t="shared" si="9"/>
        <v/>
      </c>
      <c r="Z19" s="7" t="str">
        <f t="shared" si="10"/>
        <v/>
      </c>
      <c r="AA19" s="18" t="str">
        <f t="shared" si="11"/>
        <v/>
      </c>
      <c r="AB19" s="19" t="str">
        <f t="shared" si="12"/>
        <v/>
      </c>
      <c r="AC19" s="26"/>
      <c r="AD19" s="26"/>
      <c r="AE19" s="25"/>
      <c r="AF19" s="26"/>
      <c r="AG19" s="25"/>
      <c r="AH19" s="25"/>
      <c r="AI19" s="18" t="str">
        <f t="shared" si="13"/>
        <v/>
      </c>
      <c r="AJ19" s="25"/>
      <c r="AK19" s="18" t="str">
        <f t="shared" si="14"/>
        <v/>
      </c>
      <c r="AL19" s="79"/>
      <c r="AM19" s="126" t="str">
        <f t="shared" si="15"/>
        <v/>
      </c>
      <c r="AN19" s="128" t="str">
        <f>IF(AP19&lt;&gt;"",VLOOKUP($P19&amp;" | "&amp;AN$6,'Job Master'!$F$12:$J$102,5,0),"")</f>
        <v/>
      </c>
      <c r="AO19" s="19" t="str">
        <f>IF(AP19&lt;&gt;"",VLOOKUP($P19&amp;" | "&amp;AN$6,'Job Master'!$F$12:$J$102,3,0),"")</f>
        <v/>
      </c>
      <c r="AP19" s="19" t="str">
        <f>IFERROR(IF(AND(AW19&lt;&gt;"",VLOOKUP($P19&amp;" | "&amp;AN$6,'Job Master'!$F$12:$I$102,4,0)&lt;&gt;""),IF(WEEKDAY(AW19-VLOOKUP($P19&amp;" | "&amp;AN$6,'Job Master'!$F$12:$I$102,4,0))&lt;&gt;7,AW19-VLOOKUP($P19&amp;" | "&amp;AN$6,'Job Master'!$F$12:$I$102,4,0),AW19-VLOOKUP($P19&amp;" | "&amp;AN$6,'Job Master'!$F$12:$I$102,4,0)-1),""),"")</f>
        <v/>
      </c>
      <c r="AQ19" s="73"/>
      <c r="AR19" s="123" t="str">
        <f t="shared" si="16"/>
        <v/>
      </c>
      <c r="AS19" s="123" t="str">
        <f t="shared" si="17"/>
        <v/>
      </c>
      <c r="AT19" s="97" t="str">
        <f t="shared" ca="1" si="18"/>
        <v/>
      </c>
      <c r="AU19" s="98" t="str">
        <f>IF(AW19&lt;&gt;"",VLOOKUP($P19&amp;" | "&amp;AU$6,'Job Master'!$F$12:$J$102,5,0),"")</f>
        <v/>
      </c>
      <c r="AV19" s="19" t="str">
        <f>IF(AW19&lt;&gt;"",VLOOKUP($P19&amp;" | "&amp;AU$6,'Job Master'!$F$12:$J$102,3,0),"")</f>
        <v/>
      </c>
      <c r="AW19" s="19" t="str">
        <f>IFERROR(IF(AND(BD19&lt;&gt;"",VLOOKUP($P19&amp;" | "&amp;AU$6,'Job Master'!$F$12:$I$102,4,0)&lt;&gt;""),IF(WEEKDAY(BD19-VLOOKUP($P19&amp;" | "&amp;AU$6,'Job Master'!$F$12:$I$102,4,0))&lt;&gt;7,BD19-VLOOKUP($P19&amp;" | "&amp;AU$6,'Job Master'!$F$12:$I$102,4,0),BD19-VLOOKUP($P19&amp;" | "&amp;AU$6,'Job Master'!$F$12:$I$102,4,0)-1),""),"")</f>
        <v/>
      </c>
      <c r="AX19" s="73"/>
      <c r="AY19" s="123" t="str">
        <f t="shared" si="19"/>
        <v/>
      </c>
      <c r="AZ19" s="123" t="str">
        <f t="shared" si="20"/>
        <v/>
      </c>
      <c r="BA19" s="97" t="str">
        <f t="shared" ca="1" si="21"/>
        <v/>
      </c>
      <c r="BB19" s="98" t="str">
        <f>IF(BD19&lt;&gt;"",VLOOKUP($P19&amp;" | "&amp;BB$6,'Job Master'!$F$12:$J$102,5,0),"")</f>
        <v/>
      </c>
      <c r="BC19" s="19" t="str">
        <f>IF(BD19&lt;&gt;"",VLOOKUP($P19&amp;" | "&amp;BB$6,'Job Master'!$F$12:$J$102,3,0),"")</f>
        <v/>
      </c>
      <c r="BD19" s="19" t="str">
        <f>IFERROR(IF(AND(BK19&lt;&gt;"",VLOOKUP($P19&amp;" | "&amp;BB$6,'Job Master'!$F$12:$I$102,4,0)&lt;&gt;""),IF(WEEKDAY(BK19-VLOOKUP($P19&amp;" | "&amp;BB$6,'Job Master'!$F$12:$I$102,4,0))&lt;&gt;7,BK19-VLOOKUP($P19&amp;" | "&amp;BB$6,'Job Master'!$F$12:$I$102,4,0),BK19-VLOOKUP($P19&amp;" | "&amp;BB$6,'Job Master'!$F$12:$I$102,4,0)-1),""),"")</f>
        <v/>
      </c>
      <c r="BE19" s="73"/>
      <c r="BF19" s="123" t="str">
        <f t="shared" si="22"/>
        <v/>
      </c>
      <c r="BG19" s="123" t="str">
        <f t="shared" si="23"/>
        <v/>
      </c>
      <c r="BH19" s="97" t="str">
        <f t="shared" ca="1" si="24"/>
        <v/>
      </c>
      <c r="BI19" s="98" t="str">
        <f>IF(BK19&lt;&gt;"",VLOOKUP($P19&amp;" | "&amp;BI$6,'Job Master'!$F$12:$J$102,5,0),"")</f>
        <v/>
      </c>
      <c r="BJ19" s="19" t="str">
        <f>IF(BK19&lt;&gt;"",VLOOKUP($P19&amp;" | "&amp;BI$6,'Job Master'!$F$12:$J$102,3,0),"")</f>
        <v/>
      </c>
      <c r="BK19" s="19" t="str">
        <f>IFERROR(IF(AND(BR19&lt;&gt;"",VLOOKUP($P19&amp;" | "&amp;BI$6,'Job Master'!$F$12:$I$102,4,0)&lt;&gt;""),IF(WEEKDAY(BR19-VLOOKUP($P19&amp;" | "&amp;BI$6,'Job Master'!$F$12:$I$102,4,0))&lt;&gt;7,BR19-VLOOKUP($P19&amp;" | "&amp;BI$6,'Job Master'!$F$12:$I$102,4,0),BR19-VLOOKUP($P19&amp;" | "&amp;BI$6,'Job Master'!$F$12:$I$102,4,0)-1),""),"")</f>
        <v/>
      </c>
      <c r="BL19" s="73"/>
      <c r="BM19" s="123" t="str">
        <f t="shared" si="25"/>
        <v/>
      </c>
      <c r="BN19" s="123" t="str">
        <f t="shared" si="26"/>
        <v/>
      </c>
      <c r="BO19" s="97" t="str">
        <f t="shared" ca="1" si="27"/>
        <v/>
      </c>
      <c r="BP19" s="98" t="str">
        <f>IF(BR19&lt;&gt;"",VLOOKUP($P19&amp;" | "&amp;BP$6,'Job Master'!$F$12:$J$102,5,0),"")</f>
        <v/>
      </c>
      <c r="BQ19" s="19" t="str">
        <f>IF(BR19&lt;&gt;"",VLOOKUP($P19&amp;" | "&amp;BP$6,'Job Master'!$F$12:$J$102,3,0),"")</f>
        <v/>
      </c>
      <c r="BR19" s="19" t="str">
        <f>IFERROR(IF(AND(BY19&lt;&gt;"",VLOOKUP($P19&amp;" | "&amp;BP$6,'Job Master'!$F$12:$I$102,4,0)&lt;&gt;""),IF(WEEKDAY(BY19-VLOOKUP($P19&amp;" | "&amp;BP$6,'Job Master'!$F$12:$I$102,4,0))&lt;&gt;7,BY19-VLOOKUP($P19&amp;" | "&amp;BP$6,'Job Master'!$F$12:$I$102,4,0),BY19-VLOOKUP($P19&amp;" | "&amp;BP$6,'Job Master'!$F$12:$I$102,4,0)-1),""),"")</f>
        <v/>
      </c>
      <c r="BS19" s="73"/>
      <c r="BT19" s="123" t="str">
        <f t="shared" si="28"/>
        <v/>
      </c>
      <c r="BU19" s="123" t="str">
        <f t="shared" si="29"/>
        <v/>
      </c>
      <c r="BV19" s="97" t="str">
        <f t="shared" ca="1" si="30"/>
        <v/>
      </c>
      <c r="BW19" s="98" t="str">
        <f>IF(BY19&lt;&gt;"",VLOOKUP($P19&amp;" | "&amp;BW$6,'Job Master'!$F$12:$J$102,5,0),"")</f>
        <v/>
      </c>
      <c r="BX19" s="19" t="str">
        <f>IF(BY19&lt;&gt;"",VLOOKUP($P19&amp;" | "&amp;BW$6,'Job Master'!$F$12:$J$102,3,0),"")</f>
        <v/>
      </c>
      <c r="BY19" s="19" t="str">
        <f>IFERROR(IF(AND(CF19&lt;&gt;"",VLOOKUP($P19&amp;" | "&amp;BW$6,'Job Master'!$F$12:$I$102,4,0)&lt;&gt;""),IF(WEEKDAY(CF19-VLOOKUP($P19&amp;" | "&amp;BW$6,'Job Master'!$F$12:$I$102,4,0))&lt;&gt;7,CF19-VLOOKUP($P19&amp;" | "&amp;BW$6,'Job Master'!$F$12:$I$102,4,0),CF19-VLOOKUP($P19&amp;" | "&amp;BW$6,'Job Master'!$F$12:$I$102,4,0)-1),""),"")</f>
        <v/>
      </c>
      <c r="BZ19" s="73"/>
      <c r="CA19" s="123" t="str">
        <f t="shared" si="31"/>
        <v/>
      </c>
      <c r="CB19" s="123" t="str">
        <f t="shared" si="32"/>
        <v/>
      </c>
      <c r="CC19" s="97" t="str">
        <f t="shared" ca="1" si="33"/>
        <v/>
      </c>
      <c r="CD19" s="98" t="str">
        <f>IF(CF19&lt;&gt;"",VLOOKUP($P19&amp;" | "&amp;CD$6,'Job Master'!$F$12:$J$102,5,0),"")</f>
        <v/>
      </c>
      <c r="CE19" s="19" t="str">
        <f>IF(CF19&lt;&gt;"",VLOOKUP($P19&amp;" | "&amp;CD$6,'Job Master'!$F$12:$J$102,3,0),"")</f>
        <v/>
      </c>
      <c r="CF19" s="19" t="str">
        <f>IFERROR(IF(AND(CM19&lt;&gt;"",VLOOKUP($P19&amp;" | "&amp;CD$6,'Job Master'!$F$12:$I$102,4,0)&lt;&gt;""),IF(WEEKDAY(CM19-VLOOKUP($P19&amp;" | "&amp;CD$6,'Job Master'!$F$12:$I$102,4,0))&lt;&gt;7,CM19-VLOOKUP($P19&amp;" | "&amp;CD$6,'Job Master'!$F$12:$I$102,4,0),CM19-VLOOKUP($P19&amp;" | "&amp;CD$6,'Job Master'!$F$12:$I$102,4,0)-1),""),"")</f>
        <v/>
      </c>
      <c r="CG19" s="73"/>
      <c r="CH19" s="123" t="str">
        <f t="shared" si="34"/>
        <v/>
      </c>
      <c r="CI19" s="123" t="str">
        <f t="shared" si="35"/>
        <v/>
      </c>
      <c r="CJ19" s="97" t="str">
        <f t="shared" ca="1" si="36"/>
        <v/>
      </c>
      <c r="CK19" s="98" t="str">
        <f>IF(CM19&lt;&gt;"",VLOOKUP($P19&amp;" | "&amp;CK$6,'Job Master'!$F$12:$J$102,5,0),"")</f>
        <v/>
      </c>
      <c r="CL19" s="19" t="str">
        <f>IF(CM19&lt;&gt;"",VLOOKUP($P19&amp;" | "&amp;CK$6,'Job Master'!$F$12:$J$102,3,0),"")</f>
        <v/>
      </c>
      <c r="CM19" s="19" t="str">
        <f>IFERROR(IF(AND(CT19&lt;&gt;"",VLOOKUP($P19&amp;" | "&amp;CK$6,'Job Master'!$F$12:$I$102,4,0)&lt;&gt;""),IF(WEEKDAY(CT19-VLOOKUP($P19&amp;" | "&amp;CK$6,'Job Master'!$F$12:$I$102,4,0))&lt;&gt;7,CT19-VLOOKUP($P19&amp;" | "&amp;CK$6,'Job Master'!$F$12:$I$102,4,0),CT19-VLOOKUP($P19&amp;" | "&amp;CK$6,'Job Master'!$F$12:$I$102,4,0)-1),""),"")</f>
        <v/>
      </c>
      <c r="CN19" s="73"/>
      <c r="CO19" s="123" t="str">
        <f t="shared" si="37"/>
        <v/>
      </c>
      <c r="CP19" s="123" t="str">
        <f t="shared" si="38"/>
        <v/>
      </c>
      <c r="CQ19" s="97" t="str">
        <f t="shared" ca="1" si="39"/>
        <v/>
      </c>
      <c r="CR19" s="98" t="str">
        <f>IF(CT19&lt;&gt;"",VLOOKUP($P19&amp;" | "&amp;CR$6,'Job Master'!$F$12:$J$102,5,0),"")</f>
        <v/>
      </c>
      <c r="CS19" s="19" t="str">
        <f>IF(CT19&lt;&gt;"",VLOOKUP($P19&amp;" | "&amp;CR$6,'Job Master'!$F$12:$J$102,3,0),"")</f>
        <v/>
      </c>
      <c r="CT19" s="19" t="str">
        <f>IFERROR(IF(AND(DA19&lt;&gt;"",VLOOKUP($P19&amp;" | "&amp;CR$6,'Job Master'!$F$12:$I$102,4,0)&lt;&gt;""),IF(WEEKDAY(DA19-VLOOKUP($P19&amp;" | "&amp;CR$6,'Job Master'!$F$12:$I$102,4,0))&lt;&gt;7,DA19-VLOOKUP($P19&amp;" | "&amp;CR$6,'Job Master'!$F$12:$I$102,4,0),DA19-VLOOKUP($P19&amp;" | "&amp;CR$6,'Job Master'!$F$12:$I$102,4,0)-1),""),"")</f>
        <v/>
      </c>
      <c r="CU19" s="73"/>
      <c r="CV19" s="123" t="str">
        <f t="shared" si="40"/>
        <v/>
      </c>
      <c r="CW19" s="123" t="str">
        <f t="shared" si="41"/>
        <v/>
      </c>
      <c r="CX19" s="97" t="str">
        <f t="shared" ca="1" si="42"/>
        <v/>
      </c>
      <c r="CY19" s="98" t="str">
        <f>IF(DA19&lt;&gt;"",VLOOKUP($P19&amp;" | "&amp;CY$6,'Job Master'!$F$12:$J$102,5,0),"")</f>
        <v/>
      </c>
      <c r="CZ19" s="19" t="str">
        <f>IF(DA19&lt;&gt;"",VLOOKUP($P19&amp;" | "&amp;CY$6,'Job Master'!$F$12:$J$102,3,0),"")</f>
        <v/>
      </c>
      <c r="DA19" s="19" t="str">
        <f>IFERROR(IF(AND(DH19&lt;&gt;"",VLOOKUP($P19&amp;" | "&amp;CY$6,'Job Master'!$F$12:$I$102,4,0)&lt;&gt;""),IF(WEEKDAY(DH19-VLOOKUP($P19&amp;" | "&amp;CY$6,'Job Master'!$F$12:$I$102,4,0))&lt;&gt;7,DH19-VLOOKUP($P19&amp;" | "&amp;CY$6,'Job Master'!$F$12:$I$102,4,0),DH19-VLOOKUP($P19&amp;" | "&amp;CY$6,'Job Master'!$F$12:$I$102,4,0)-1),""),"")</f>
        <v/>
      </c>
      <c r="DB19" s="73"/>
      <c r="DC19" s="123" t="str">
        <f t="shared" si="43"/>
        <v/>
      </c>
      <c r="DD19" s="123" t="str">
        <f t="shared" si="44"/>
        <v/>
      </c>
      <c r="DE19" s="97" t="str">
        <f t="shared" ca="1" si="45"/>
        <v/>
      </c>
      <c r="DF19" s="98" t="str">
        <f>IF(DH19&lt;&gt;"",VLOOKUP($P19&amp;" | "&amp;DF$6,'Job Master'!$F$12:$J$102,5,0),"")</f>
        <v/>
      </c>
      <c r="DG19" s="19" t="str">
        <f>IF(DH19&lt;&gt;"",VLOOKUP($P19&amp;" | "&amp;DF$6,'Job Master'!$F$12:$J$102,3,0),"")</f>
        <v/>
      </c>
      <c r="DH19" s="19" t="str">
        <f>IFERROR(IF(AND(DO19&lt;&gt;"",VLOOKUP($P19&amp;" | "&amp;DF$6,'Job Master'!$F$12:$I$102,4,0)&lt;&gt;""),IF(WEEKDAY(DO19-VLOOKUP($P19&amp;" | "&amp;DF$6,'Job Master'!$F$12:$I$102,4,0))&lt;&gt;7,DO19-VLOOKUP($P19&amp;" | "&amp;DF$6,'Job Master'!$F$12:$I$102,4,0),DO19-VLOOKUP($P19&amp;" | "&amp;DF$6,'Job Master'!$F$12:$I$102,4,0)-1),""),"")</f>
        <v/>
      </c>
      <c r="DI19" s="73"/>
      <c r="DJ19" s="123" t="str">
        <f t="shared" si="46"/>
        <v/>
      </c>
      <c r="DK19" s="123" t="str">
        <f t="shared" si="47"/>
        <v/>
      </c>
      <c r="DL19" s="97" t="str">
        <f t="shared" ca="1" si="48"/>
        <v/>
      </c>
      <c r="DM19" s="98" t="str">
        <f>IF(DO19&lt;&gt;"",VLOOKUP($P19&amp;" | "&amp;DM$6,'Job Master'!$F$12:$J$102,5,0),"")</f>
        <v/>
      </c>
      <c r="DN19" s="19" t="str">
        <f>IF(DO19&lt;&gt;"",VLOOKUP($P19&amp;" | "&amp;DM$6,'Job Master'!$F$12:$J$102,3,0),"")</f>
        <v/>
      </c>
      <c r="DO19" s="19" t="str">
        <f>IFERROR(IF(AND(DT19&lt;&gt;"",VLOOKUP($P19&amp;" | "&amp;DM$6,'Job Master'!$F$12:$I$102,4,0)&lt;&gt;""),IF(WEEKDAY(DT19-VLOOKUP($P19&amp;" | "&amp;DM$6,'Job Master'!$F$12:$I$102,4,0))&lt;&gt;7,DT19-VLOOKUP($P19&amp;" | "&amp;DM$6,'Job Master'!$F$12:$I$102,4,0),DT19-VLOOKUP($P19&amp;" | "&amp;DM$6,'Job Master'!$F$12:$I$102,4,0)-1),""),"")</f>
        <v/>
      </c>
      <c r="DP19" s="73"/>
      <c r="DQ19" s="123" t="str">
        <f t="shared" si="49"/>
        <v/>
      </c>
      <c r="DR19" s="123" t="str">
        <f t="shared" si="50"/>
        <v/>
      </c>
      <c r="DS19" s="97" t="str">
        <f t="shared" ca="1" si="51"/>
        <v/>
      </c>
      <c r="DT19" s="70" t="str">
        <f t="shared" si="52"/>
        <v/>
      </c>
      <c r="DU19" s="90"/>
      <c r="DV19" s="123" t="str">
        <f t="shared" si="53"/>
        <v/>
      </c>
      <c r="DW19" s="123" t="str">
        <f t="shared" si="54"/>
        <v/>
      </c>
      <c r="DX19" s="132" t="str">
        <f t="shared" ref="DX19" ca="1" si="77">IF(DT19&lt;&gt;"",IF(WEEKNUM(DT19)=WEEKNUM(TODAY()),"This Week",IF(WEEKNUM(DT19)=WEEKNUM(TODAY())+1,"Next Week",IF(WEEKNUM(DT19)=WEEKNUM(TODAY())-1,"Previous Week",""))),"")</f>
        <v/>
      </c>
      <c r="DY19" s="134" t="str">
        <f t="shared" si="56"/>
        <v/>
      </c>
      <c r="DZ19" s="95"/>
      <c r="EB19" s="8" t="str">
        <f t="shared" si="67"/>
        <v/>
      </c>
      <c r="EC19" s="8" t="str">
        <f>IF(O19&lt;&gt;"",VLOOKUP(O19,'Job Master'!$N$12:$O$18,2,0),"")</f>
        <v/>
      </c>
      <c r="ED19" s="8">
        <f t="shared" si="68"/>
        <v>19.5</v>
      </c>
      <c r="EE19" s="8">
        <f t="shared" si="69"/>
        <v>6</v>
      </c>
      <c r="EF19" s="8">
        <f t="shared" si="70"/>
        <v>-34.5</v>
      </c>
      <c r="EG19" s="8" t="str">
        <f t="shared" si="71"/>
        <v/>
      </c>
      <c r="EH19" s="8" t="str">
        <f t="shared" si="72"/>
        <v/>
      </c>
    </row>
    <row r="20" spans="2:138" x14ac:dyDescent="0.3">
      <c r="B20" s="112"/>
      <c r="C20" s="27"/>
      <c r="D20" s="7" t="str">
        <f t="shared" si="1"/>
        <v/>
      </c>
      <c r="E20" s="25"/>
      <c r="F20" s="7" t="str">
        <f t="shared" si="1"/>
        <v/>
      </c>
      <c r="G20" s="25"/>
      <c r="H20" s="7" t="str">
        <f t="shared" si="1"/>
        <v/>
      </c>
      <c r="I20" s="25"/>
      <c r="J20" s="7" t="str">
        <f t="shared" si="1"/>
        <v/>
      </c>
      <c r="K20" s="25"/>
      <c r="L20" s="7" t="str">
        <f t="shared" si="2"/>
        <v/>
      </c>
      <c r="M20" s="25"/>
      <c r="N20" s="7" t="str">
        <f t="shared" si="3"/>
        <v/>
      </c>
      <c r="O20" s="81"/>
      <c r="P20" s="81" t="str">
        <f t="shared" si="4"/>
        <v/>
      </c>
      <c r="Q20" s="81"/>
      <c r="R20" s="7" t="str">
        <f t="shared" si="5"/>
        <v/>
      </c>
      <c r="S20" s="25"/>
      <c r="T20" s="7" t="str">
        <f t="shared" si="6"/>
        <v/>
      </c>
      <c r="U20" s="25"/>
      <c r="V20" s="7" t="str">
        <f t="shared" si="7"/>
        <v/>
      </c>
      <c r="W20" s="25"/>
      <c r="X20" s="7" t="str">
        <f t="shared" si="8"/>
        <v/>
      </c>
      <c r="Y20" s="18" t="str">
        <f t="shared" si="9"/>
        <v/>
      </c>
      <c r="Z20" s="7" t="str">
        <f t="shared" si="10"/>
        <v/>
      </c>
      <c r="AA20" s="18" t="str">
        <f t="shared" si="11"/>
        <v/>
      </c>
      <c r="AB20" s="19" t="str">
        <f t="shared" si="12"/>
        <v/>
      </c>
      <c r="AC20" s="26"/>
      <c r="AD20" s="26"/>
      <c r="AE20" s="25"/>
      <c r="AF20" s="26"/>
      <c r="AG20" s="25"/>
      <c r="AH20" s="25"/>
      <c r="AI20" s="18" t="str">
        <f t="shared" si="13"/>
        <v/>
      </c>
      <c r="AJ20" s="25"/>
      <c r="AK20" s="18" t="str">
        <f t="shared" si="14"/>
        <v/>
      </c>
      <c r="AL20" s="79"/>
      <c r="AM20" s="126" t="str">
        <f t="shared" si="15"/>
        <v/>
      </c>
      <c r="AN20" s="128" t="str">
        <f>IF(AP20&lt;&gt;"",VLOOKUP($P20&amp;" | "&amp;AN$6,'Job Master'!$F$12:$J$102,5,0),"")</f>
        <v/>
      </c>
      <c r="AO20" s="19" t="str">
        <f>IF(AP20&lt;&gt;"",VLOOKUP($P20&amp;" | "&amp;AN$6,'Job Master'!$F$12:$J$102,3,0),"")</f>
        <v/>
      </c>
      <c r="AP20" s="19" t="str">
        <f>IFERROR(IF(AND(AW20&lt;&gt;"",VLOOKUP($P20&amp;" | "&amp;AN$6,'Job Master'!$F$12:$I$102,4,0)&lt;&gt;""),IF(WEEKDAY(AW20-VLOOKUP($P20&amp;" | "&amp;AN$6,'Job Master'!$F$12:$I$102,4,0))&lt;&gt;7,AW20-VLOOKUP($P20&amp;" | "&amp;AN$6,'Job Master'!$F$12:$I$102,4,0),AW20-VLOOKUP($P20&amp;" | "&amp;AN$6,'Job Master'!$F$12:$I$102,4,0)-1),""),"")</f>
        <v/>
      </c>
      <c r="AQ20" s="73"/>
      <c r="AR20" s="123" t="str">
        <f t="shared" si="16"/>
        <v/>
      </c>
      <c r="AS20" s="123" t="str">
        <f t="shared" si="17"/>
        <v/>
      </c>
      <c r="AT20" s="97" t="str">
        <f t="shared" ca="1" si="18"/>
        <v/>
      </c>
      <c r="AU20" s="98" t="str">
        <f>IF(AW20&lt;&gt;"",VLOOKUP($P20&amp;" | "&amp;AU$6,'Job Master'!$F$12:$J$102,5,0),"")</f>
        <v/>
      </c>
      <c r="AV20" s="19" t="str">
        <f>IF(AW20&lt;&gt;"",VLOOKUP($P20&amp;" | "&amp;AU$6,'Job Master'!$F$12:$J$102,3,0),"")</f>
        <v/>
      </c>
      <c r="AW20" s="19" t="str">
        <f>IFERROR(IF(AND(BD20&lt;&gt;"",VLOOKUP($P20&amp;" | "&amp;AU$6,'Job Master'!$F$12:$I$102,4,0)&lt;&gt;""),IF(WEEKDAY(BD20-VLOOKUP($P20&amp;" | "&amp;AU$6,'Job Master'!$F$12:$I$102,4,0))&lt;&gt;7,BD20-VLOOKUP($P20&amp;" | "&amp;AU$6,'Job Master'!$F$12:$I$102,4,0),BD20-VLOOKUP($P20&amp;" | "&amp;AU$6,'Job Master'!$F$12:$I$102,4,0)-1),""),"")</f>
        <v/>
      </c>
      <c r="AX20" s="73"/>
      <c r="AY20" s="123" t="str">
        <f t="shared" si="19"/>
        <v/>
      </c>
      <c r="AZ20" s="123" t="str">
        <f t="shared" si="20"/>
        <v/>
      </c>
      <c r="BA20" s="97" t="str">
        <f t="shared" ca="1" si="21"/>
        <v/>
      </c>
      <c r="BB20" s="98" t="str">
        <f>IF(BD20&lt;&gt;"",VLOOKUP($P20&amp;" | "&amp;BB$6,'Job Master'!$F$12:$J$102,5,0),"")</f>
        <v/>
      </c>
      <c r="BC20" s="19" t="str">
        <f>IF(BD20&lt;&gt;"",VLOOKUP($P20&amp;" | "&amp;BB$6,'Job Master'!$F$12:$J$102,3,0),"")</f>
        <v/>
      </c>
      <c r="BD20" s="19" t="str">
        <f>IFERROR(IF(AND(BK20&lt;&gt;"",VLOOKUP($P20&amp;" | "&amp;BB$6,'Job Master'!$F$12:$I$102,4,0)&lt;&gt;""),IF(WEEKDAY(BK20-VLOOKUP($P20&amp;" | "&amp;BB$6,'Job Master'!$F$12:$I$102,4,0))&lt;&gt;7,BK20-VLOOKUP($P20&amp;" | "&amp;BB$6,'Job Master'!$F$12:$I$102,4,0),BK20-VLOOKUP($P20&amp;" | "&amp;BB$6,'Job Master'!$F$12:$I$102,4,0)-1),""),"")</f>
        <v/>
      </c>
      <c r="BE20" s="73"/>
      <c r="BF20" s="123" t="str">
        <f t="shared" si="22"/>
        <v/>
      </c>
      <c r="BG20" s="123" t="str">
        <f t="shared" si="23"/>
        <v/>
      </c>
      <c r="BH20" s="97" t="str">
        <f t="shared" ca="1" si="24"/>
        <v/>
      </c>
      <c r="BI20" s="98" t="str">
        <f>IF(BK20&lt;&gt;"",VLOOKUP($P20&amp;" | "&amp;BI$6,'Job Master'!$F$12:$J$102,5,0),"")</f>
        <v/>
      </c>
      <c r="BJ20" s="19" t="str">
        <f>IF(BK20&lt;&gt;"",VLOOKUP($P20&amp;" | "&amp;BI$6,'Job Master'!$F$12:$J$102,3,0),"")</f>
        <v/>
      </c>
      <c r="BK20" s="19" t="str">
        <f>IFERROR(IF(AND(BR20&lt;&gt;"",VLOOKUP($P20&amp;" | "&amp;BI$6,'Job Master'!$F$12:$I$102,4,0)&lt;&gt;""),IF(WEEKDAY(BR20-VLOOKUP($P20&amp;" | "&amp;BI$6,'Job Master'!$F$12:$I$102,4,0))&lt;&gt;7,BR20-VLOOKUP($P20&amp;" | "&amp;BI$6,'Job Master'!$F$12:$I$102,4,0),BR20-VLOOKUP($P20&amp;" | "&amp;BI$6,'Job Master'!$F$12:$I$102,4,0)-1),""),"")</f>
        <v/>
      </c>
      <c r="BL20" s="73"/>
      <c r="BM20" s="123" t="str">
        <f t="shared" si="25"/>
        <v/>
      </c>
      <c r="BN20" s="123" t="str">
        <f t="shared" si="26"/>
        <v/>
      </c>
      <c r="BO20" s="97" t="str">
        <f t="shared" ca="1" si="27"/>
        <v/>
      </c>
      <c r="BP20" s="98" t="str">
        <f>IF(BR20&lt;&gt;"",VLOOKUP($P20&amp;" | "&amp;BP$6,'Job Master'!$F$12:$J$102,5,0),"")</f>
        <v/>
      </c>
      <c r="BQ20" s="19" t="str">
        <f>IF(BR20&lt;&gt;"",VLOOKUP($P20&amp;" | "&amp;BP$6,'Job Master'!$F$12:$J$102,3,0),"")</f>
        <v/>
      </c>
      <c r="BR20" s="19" t="str">
        <f>IFERROR(IF(AND(BY20&lt;&gt;"",VLOOKUP($P20&amp;" | "&amp;BP$6,'Job Master'!$F$12:$I$102,4,0)&lt;&gt;""),IF(WEEKDAY(BY20-VLOOKUP($P20&amp;" | "&amp;BP$6,'Job Master'!$F$12:$I$102,4,0))&lt;&gt;7,BY20-VLOOKUP($P20&amp;" | "&amp;BP$6,'Job Master'!$F$12:$I$102,4,0),BY20-VLOOKUP($P20&amp;" | "&amp;BP$6,'Job Master'!$F$12:$I$102,4,0)-1),""),"")</f>
        <v/>
      </c>
      <c r="BS20" s="73"/>
      <c r="BT20" s="123" t="str">
        <f t="shared" si="28"/>
        <v/>
      </c>
      <c r="BU20" s="123" t="str">
        <f t="shared" si="29"/>
        <v/>
      </c>
      <c r="BV20" s="97" t="str">
        <f t="shared" ca="1" si="30"/>
        <v/>
      </c>
      <c r="BW20" s="98" t="str">
        <f>IF(BY20&lt;&gt;"",VLOOKUP($P20&amp;" | "&amp;BW$6,'Job Master'!$F$12:$J$102,5,0),"")</f>
        <v/>
      </c>
      <c r="BX20" s="19" t="str">
        <f>IF(BY20&lt;&gt;"",VLOOKUP($P20&amp;" | "&amp;BW$6,'Job Master'!$F$12:$J$102,3,0),"")</f>
        <v/>
      </c>
      <c r="BY20" s="19" t="str">
        <f>IFERROR(IF(AND(CF20&lt;&gt;"",VLOOKUP($P20&amp;" | "&amp;BW$6,'Job Master'!$F$12:$I$102,4,0)&lt;&gt;""),IF(WEEKDAY(CF20-VLOOKUP($P20&amp;" | "&amp;BW$6,'Job Master'!$F$12:$I$102,4,0))&lt;&gt;7,CF20-VLOOKUP($P20&amp;" | "&amp;BW$6,'Job Master'!$F$12:$I$102,4,0),CF20-VLOOKUP($P20&amp;" | "&amp;BW$6,'Job Master'!$F$12:$I$102,4,0)-1),""),"")</f>
        <v/>
      </c>
      <c r="BZ20" s="73"/>
      <c r="CA20" s="123" t="str">
        <f t="shared" si="31"/>
        <v/>
      </c>
      <c r="CB20" s="123" t="str">
        <f t="shared" si="32"/>
        <v/>
      </c>
      <c r="CC20" s="97" t="str">
        <f t="shared" ca="1" si="33"/>
        <v/>
      </c>
      <c r="CD20" s="98" t="str">
        <f>IF(CF20&lt;&gt;"",VLOOKUP($P20&amp;" | "&amp;CD$6,'Job Master'!$F$12:$J$102,5,0),"")</f>
        <v/>
      </c>
      <c r="CE20" s="19" t="str">
        <f>IF(CF20&lt;&gt;"",VLOOKUP($P20&amp;" | "&amp;CD$6,'Job Master'!$F$12:$J$102,3,0),"")</f>
        <v/>
      </c>
      <c r="CF20" s="19" t="str">
        <f>IFERROR(IF(AND(CM20&lt;&gt;"",VLOOKUP($P20&amp;" | "&amp;CD$6,'Job Master'!$F$12:$I$102,4,0)&lt;&gt;""),IF(WEEKDAY(CM20-VLOOKUP($P20&amp;" | "&amp;CD$6,'Job Master'!$F$12:$I$102,4,0))&lt;&gt;7,CM20-VLOOKUP($P20&amp;" | "&amp;CD$6,'Job Master'!$F$12:$I$102,4,0),CM20-VLOOKUP($P20&amp;" | "&amp;CD$6,'Job Master'!$F$12:$I$102,4,0)-1),""),"")</f>
        <v/>
      </c>
      <c r="CG20" s="73"/>
      <c r="CH20" s="123" t="str">
        <f t="shared" si="34"/>
        <v/>
      </c>
      <c r="CI20" s="123" t="str">
        <f t="shared" si="35"/>
        <v/>
      </c>
      <c r="CJ20" s="97" t="str">
        <f t="shared" ca="1" si="36"/>
        <v/>
      </c>
      <c r="CK20" s="98" t="str">
        <f>IF(CM20&lt;&gt;"",VLOOKUP($P20&amp;" | "&amp;CK$6,'Job Master'!$F$12:$J$102,5,0),"")</f>
        <v/>
      </c>
      <c r="CL20" s="19" t="str">
        <f>IF(CM20&lt;&gt;"",VLOOKUP($P20&amp;" | "&amp;CK$6,'Job Master'!$F$12:$J$102,3,0),"")</f>
        <v/>
      </c>
      <c r="CM20" s="19" t="str">
        <f>IFERROR(IF(AND(CT20&lt;&gt;"",VLOOKUP($P20&amp;" | "&amp;CK$6,'Job Master'!$F$12:$I$102,4,0)&lt;&gt;""),IF(WEEKDAY(CT20-VLOOKUP($P20&amp;" | "&amp;CK$6,'Job Master'!$F$12:$I$102,4,0))&lt;&gt;7,CT20-VLOOKUP($P20&amp;" | "&amp;CK$6,'Job Master'!$F$12:$I$102,4,0),CT20-VLOOKUP($P20&amp;" | "&amp;CK$6,'Job Master'!$F$12:$I$102,4,0)-1),""),"")</f>
        <v/>
      </c>
      <c r="CN20" s="73"/>
      <c r="CO20" s="123" t="str">
        <f t="shared" si="37"/>
        <v/>
      </c>
      <c r="CP20" s="123" t="str">
        <f t="shared" si="38"/>
        <v/>
      </c>
      <c r="CQ20" s="97" t="str">
        <f t="shared" ca="1" si="39"/>
        <v/>
      </c>
      <c r="CR20" s="98" t="str">
        <f>IF(CT20&lt;&gt;"",VLOOKUP($P20&amp;" | "&amp;CR$6,'Job Master'!$F$12:$J$102,5,0),"")</f>
        <v/>
      </c>
      <c r="CS20" s="19" t="str">
        <f>IF(CT20&lt;&gt;"",VLOOKUP($P20&amp;" | "&amp;CR$6,'Job Master'!$F$12:$J$102,3,0),"")</f>
        <v/>
      </c>
      <c r="CT20" s="19" t="str">
        <f>IFERROR(IF(AND(DA20&lt;&gt;"",VLOOKUP($P20&amp;" | "&amp;CR$6,'Job Master'!$F$12:$I$102,4,0)&lt;&gt;""),IF(WEEKDAY(DA20-VLOOKUP($P20&amp;" | "&amp;CR$6,'Job Master'!$F$12:$I$102,4,0))&lt;&gt;7,DA20-VLOOKUP($P20&amp;" | "&amp;CR$6,'Job Master'!$F$12:$I$102,4,0),DA20-VLOOKUP($P20&amp;" | "&amp;CR$6,'Job Master'!$F$12:$I$102,4,0)-1),""),"")</f>
        <v/>
      </c>
      <c r="CU20" s="73"/>
      <c r="CV20" s="123" t="str">
        <f t="shared" si="40"/>
        <v/>
      </c>
      <c r="CW20" s="123" t="str">
        <f t="shared" si="41"/>
        <v/>
      </c>
      <c r="CX20" s="97" t="str">
        <f t="shared" ca="1" si="42"/>
        <v/>
      </c>
      <c r="CY20" s="98" t="str">
        <f>IF(DA20&lt;&gt;"",VLOOKUP($P20&amp;" | "&amp;CY$6,'Job Master'!$F$12:$J$102,5,0),"")</f>
        <v/>
      </c>
      <c r="CZ20" s="19" t="str">
        <f>IF(DA20&lt;&gt;"",VLOOKUP($P20&amp;" | "&amp;CY$6,'Job Master'!$F$12:$J$102,3,0),"")</f>
        <v/>
      </c>
      <c r="DA20" s="19" t="str">
        <f>IFERROR(IF(AND(DH20&lt;&gt;"",VLOOKUP($P20&amp;" | "&amp;CY$6,'Job Master'!$F$12:$I$102,4,0)&lt;&gt;""),IF(WEEKDAY(DH20-VLOOKUP($P20&amp;" | "&amp;CY$6,'Job Master'!$F$12:$I$102,4,0))&lt;&gt;7,DH20-VLOOKUP($P20&amp;" | "&amp;CY$6,'Job Master'!$F$12:$I$102,4,0),DH20-VLOOKUP($P20&amp;" | "&amp;CY$6,'Job Master'!$F$12:$I$102,4,0)-1),""),"")</f>
        <v/>
      </c>
      <c r="DB20" s="73"/>
      <c r="DC20" s="123" t="str">
        <f t="shared" si="43"/>
        <v/>
      </c>
      <c r="DD20" s="123" t="str">
        <f t="shared" si="44"/>
        <v/>
      </c>
      <c r="DE20" s="97" t="str">
        <f t="shared" ca="1" si="45"/>
        <v/>
      </c>
      <c r="DF20" s="98" t="str">
        <f>IF(DH20&lt;&gt;"",VLOOKUP($P20&amp;" | "&amp;DF$6,'Job Master'!$F$12:$J$102,5,0),"")</f>
        <v/>
      </c>
      <c r="DG20" s="19" t="str">
        <f>IF(DH20&lt;&gt;"",VLOOKUP($P20&amp;" | "&amp;DF$6,'Job Master'!$F$12:$J$102,3,0),"")</f>
        <v/>
      </c>
      <c r="DH20" s="19" t="str">
        <f>IFERROR(IF(AND(DO20&lt;&gt;"",VLOOKUP($P20&amp;" | "&amp;DF$6,'Job Master'!$F$12:$I$102,4,0)&lt;&gt;""),IF(WEEKDAY(DO20-VLOOKUP($P20&amp;" | "&amp;DF$6,'Job Master'!$F$12:$I$102,4,0))&lt;&gt;7,DO20-VLOOKUP($P20&amp;" | "&amp;DF$6,'Job Master'!$F$12:$I$102,4,0),DO20-VLOOKUP($P20&amp;" | "&amp;DF$6,'Job Master'!$F$12:$I$102,4,0)-1),""),"")</f>
        <v/>
      </c>
      <c r="DI20" s="73"/>
      <c r="DJ20" s="123" t="str">
        <f t="shared" si="46"/>
        <v/>
      </c>
      <c r="DK20" s="123" t="str">
        <f t="shared" si="47"/>
        <v/>
      </c>
      <c r="DL20" s="97" t="str">
        <f t="shared" ca="1" si="48"/>
        <v/>
      </c>
      <c r="DM20" s="98" t="str">
        <f>IF(DO20&lt;&gt;"",VLOOKUP($P20&amp;" | "&amp;DM$6,'Job Master'!$F$12:$J$102,5,0),"")</f>
        <v/>
      </c>
      <c r="DN20" s="19" t="str">
        <f>IF(DO20&lt;&gt;"",VLOOKUP($P20&amp;" | "&amp;DM$6,'Job Master'!$F$12:$J$102,3,0),"")</f>
        <v/>
      </c>
      <c r="DO20" s="19" t="str">
        <f>IFERROR(IF(AND(DT20&lt;&gt;"",VLOOKUP($P20&amp;" | "&amp;DM$6,'Job Master'!$F$12:$I$102,4,0)&lt;&gt;""),IF(WEEKDAY(DT20-VLOOKUP($P20&amp;" | "&amp;DM$6,'Job Master'!$F$12:$I$102,4,0))&lt;&gt;7,DT20-VLOOKUP($P20&amp;" | "&amp;DM$6,'Job Master'!$F$12:$I$102,4,0),DT20-VLOOKUP($P20&amp;" | "&amp;DM$6,'Job Master'!$F$12:$I$102,4,0)-1),""),"")</f>
        <v/>
      </c>
      <c r="DP20" s="73"/>
      <c r="DQ20" s="123" t="str">
        <f t="shared" si="49"/>
        <v/>
      </c>
      <c r="DR20" s="123" t="str">
        <f t="shared" si="50"/>
        <v/>
      </c>
      <c r="DS20" s="97" t="str">
        <f t="shared" ca="1" si="51"/>
        <v/>
      </c>
      <c r="DT20" s="70" t="str">
        <f t="shared" si="52"/>
        <v/>
      </c>
      <c r="DU20" s="90"/>
      <c r="DV20" s="123" t="str">
        <f t="shared" si="53"/>
        <v/>
      </c>
      <c r="DW20" s="123" t="str">
        <f t="shared" si="54"/>
        <v/>
      </c>
      <c r="DX20" s="132" t="str">
        <f t="shared" ref="DX20" ca="1" si="78">IF(DT20&lt;&gt;"",IF(WEEKNUM(DT20)=WEEKNUM(TODAY()),"This Week",IF(WEEKNUM(DT20)=WEEKNUM(TODAY())+1,"Next Week",IF(WEEKNUM(DT20)=WEEKNUM(TODAY())-1,"Previous Week",""))),"")</f>
        <v/>
      </c>
      <c r="DY20" s="134" t="str">
        <f t="shared" si="56"/>
        <v/>
      </c>
      <c r="DZ20" s="95"/>
      <c r="EB20" s="8" t="str">
        <f t="shared" si="67"/>
        <v/>
      </c>
      <c r="EC20" s="8" t="str">
        <f>IF(O20&lt;&gt;"",VLOOKUP(O20,'Job Master'!$N$12:$O$18,2,0),"")</f>
        <v/>
      </c>
      <c r="ED20" s="8">
        <f t="shared" si="68"/>
        <v>19.5</v>
      </c>
      <c r="EE20" s="8">
        <f t="shared" si="69"/>
        <v>6</v>
      </c>
      <c r="EF20" s="8">
        <f t="shared" si="70"/>
        <v>-40.5</v>
      </c>
      <c r="EG20" s="8" t="str">
        <f t="shared" si="71"/>
        <v/>
      </c>
      <c r="EH20" s="8" t="str">
        <f t="shared" si="72"/>
        <v/>
      </c>
    </row>
    <row r="21" spans="2:138" x14ac:dyDescent="0.3">
      <c r="B21" s="112"/>
      <c r="C21" s="27"/>
      <c r="D21" s="7" t="str">
        <f t="shared" si="1"/>
        <v/>
      </c>
      <c r="E21" s="25"/>
      <c r="F21" s="7" t="str">
        <f t="shared" si="1"/>
        <v/>
      </c>
      <c r="G21" s="25"/>
      <c r="H21" s="7" t="str">
        <f t="shared" si="1"/>
        <v/>
      </c>
      <c r="I21" s="25"/>
      <c r="J21" s="7" t="str">
        <f t="shared" si="1"/>
        <v/>
      </c>
      <c r="K21" s="25"/>
      <c r="L21" s="7" t="str">
        <f t="shared" si="2"/>
        <v/>
      </c>
      <c r="M21" s="25"/>
      <c r="N21" s="7" t="str">
        <f t="shared" si="3"/>
        <v/>
      </c>
      <c r="O21" s="81"/>
      <c r="P21" s="81" t="str">
        <f t="shared" si="4"/>
        <v/>
      </c>
      <c r="Q21" s="81"/>
      <c r="R21" s="7" t="str">
        <f t="shared" si="5"/>
        <v/>
      </c>
      <c r="S21" s="25"/>
      <c r="T21" s="7" t="str">
        <f t="shared" si="6"/>
        <v/>
      </c>
      <c r="U21" s="25"/>
      <c r="V21" s="7" t="str">
        <f t="shared" si="7"/>
        <v/>
      </c>
      <c r="W21" s="25"/>
      <c r="X21" s="7" t="str">
        <f t="shared" si="8"/>
        <v/>
      </c>
      <c r="Y21" s="18" t="str">
        <f t="shared" si="9"/>
        <v/>
      </c>
      <c r="Z21" s="7" t="str">
        <f t="shared" si="10"/>
        <v/>
      </c>
      <c r="AA21" s="18" t="str">
        <f t="shared" si="11"/>
        <v/>
      </c>
      <c r="AB21" s="19" t="str">
        <f t="shared" si="12"/>
        <v/>
      </c>
      <c r="AC21" s="26"/>
      <c r="AD21" s="26"/>
      <c r="AE21" s="25"/>
      <c r="AF21" s="26"/>
      <c r="AG21" s="25"/>
      <c r="AH21" s="25"/>
      <c r="AI21" s="18" t="str">
        <f t="shared" si="13"/>
        <v/>
      </c>
      <c r="AJ21" s="25"/>
      <c r="AK21" s="18" t="str">
        <f t="shared" si="14"/>
        <v/>
      </c>
      <c r="AL21" s="79"/>
      <c r="AM21" s="126" t="str">
        <f t="shared" si="15"/>
        <v/>
      </c>
      <c r="AN21" s="128" t="str">
        <f>IF(AP21&lt;&gt;"",VLOOKUP($P21&amp;" | "&amp;AN$6,'Job Master'!$F$12:$J$102,5,0),"")</f>
        <v/>
      </c>
      <c r="AO21" s="19" t="str">
        <f>IF(AP21&lt;&gt;"",VLOOKUP($P21&amp;" | "&amp;AN$6,'Job Master'!$F$12:$J$102,3,0),"")</f>
        <v/>
      </c>
      <c r="AP21" s="19" t="str">
        <f>IFERROR(IF(AND(AW21&lt;&gt;"",VLOOKUP($P21&amp;" | "&amp;AN$6,'Job Master'!$F$12:$I$102,4,0)&lt;&gt;""),IF(WEEKDAY(AW21-VLOOKUP($P21&amp;" | "&amp;AN$6,'Job Master'!$F$12:$I$102,4,0))&lt;&gt;7,AW21-VLOOKUP($P21&amp;" | "&amp;AN$6,'Job Master'!$F$12:$I$102,4,0),AW21-VLOOKUP($P21&amp;" | "&amp;AN$6,'Job Master'!$F$12:$I$102,4,0)-1),""),"")</f>
        <v/>
      </c>
      <c r="AQ21" s="73"/>
      <c r="AR21" s="123" t="str">
        <f t="shared" si="16"/>
        <v/>
      </c>
      <c r="AS21" s="123" t="str">
        <f t="shared" si="17"/>
        <v/>
      </c>
      <c r="AT21" s="97" t="str">
        <f t="shared" ca="1" si="18"/>
        <v/>
      </c>
      <c r="AU21" s="98" t="str">
        <f>IF(AW21&lt;&gt;"",VLOOKUP($P21&amp;" | "&amp;AU$6,'Job Master'!$F$12:$J$102,5,0),"")</f>
        <v/>
      </c>
      <c r="AV21" s="19" t="str">
        <f>IF(AW21&lt;&gt;"",VLOOKUP($P21&amp;" | "&amp;AU$6,'Job Master'!$F$12:$J$102,3,0),"")</f>
        <v/>
      </c>
      <c r="AW21" s="19" t="str">
        <f>IFERROR(IF(AND(BD21&lt;&gt;"",VLOOKUP($P21&amp;" | "&amp;AU$6,'Job Master'!$F$12:$I$102,4,0)&lt;&gt;""),IF(WEEKDAY(BD21-VLOOKUP($P21&amp;" | "&amp;AU$6,'Job Master'!$F$12:$I$102,4,0))&lt;&gt;7,BD21-VLOOKUP($P21&amp;" | "&amp;AU$6,'Job Master'!$F$12:$I$102,4,0),BD21-VLOOKUP($P21&amp;" | "&amp;AU$6,'Job Master'!$F$12:$I$102,4,0)-1),""),"")</f>
        <v/>
      </c>
      <c r="AX21" s="73"/>
      <c r="AY21" s="123" t="str">
        <f t="shared" si="19"/>
        <v/>
      </c>
      <c r="AZ21" s="123" t="str">
        <f t="shared" si="20"/>
        <v/>
      </c>
      <c r="BA21" s="97" t="str">
        <f t="shared" ca="1" si="21"/>
        <v/>
      </c>
      <c r="BB21" s="98" t="str">
        <f>IF(BD21&lt;&gt;"",VLOOKUP($P21&amp;" | "&amp;BB$6,'Job Master'!$F$12:$J$102,5,0),"")</f>
        <v/>
      </c>
      <c r="BC21" s="19" t="str">
        <f>IF(BD21&lt;&gt;"",VLOOKUP($P21&amp;" | "&amp;BB$6,'Job Master'!$F$12:$J$102,3,0),"")</f>
        <v/>
      </c>
      <c r="BD21" s="19" t="str">
        <f>IFERROR(IF(AND(BK21&lt;&gt;"",VLOOKUP($P21&amp;" | "&amp;BB$6,'Job Master'!$F$12:$I$102,4,0)&lt;&gt;""),IF(WEEKDAY(BK21-VLOOKUP($P21&amp;" | "&amp;BB$6,'Job Master'!$F$12:$I$102,4,0))&lt;&gt;7,BK21-VLOOKUP($P21&amp;" | "&amp;BB$6,'Job Master'!$F$12:$I$102,4,0),BK21-VLOOKUP($P21&amp;" | "&amp;BB$6,'Job Master'!$F$12:$I$102,4,0)-1),""),"")</f>
        <v/>
      </c>
      <c r="BE21" s="73"/>
      <c r="BF21" s="123" t="str">
        <f t="shared" si="22"/>
        <v/>
      </c>
      <c r="BG21" s="123" t="str">
        <f t="shared" si="23"/>
        <v/>
      </c>
      <c r="BH21" s="97" t="str">
        <f t="shared" ca="1" si="24"/>
        <v/>
      </c>
      <c r="BI21" s="98" t="str">
        <f>IF(BK21&lt;&gt;"",VLOOKUP($P21&amp;" | "&amp;BI$6,'Job Master'!$F$12:$J$102,5,0),"")</f>
        <v/>
      </c>
      <c r="BJ21" s="19" t="str">
        <f>IF(BK21&lt;&gt;"",VLOOKUP($P21&amp;" | "&amp;BI$6,'Job Master'!$F$12:$J$102,3,0),"")</f>
        <v/>
      </c>
      <c r="BK21" s="19" t="str">
        <f>IFERROR(IF(AND(BR21&lt;&gt;"",VLOOKUP($P21&amp;" | "&amp;BI$6,'Job Master'!$F$12:$I$102,4,0)&lt;&gt;""),IF(WEEKDAY(BR21-VLOOKUP($P21&amp;" | "&amp;BI$6,'Job Master'!$F$12:$I$102,4,0))&lt;&gt;7,BR21-VLOOKUP($P21&amp;" | "&amp;BI$6,'Job Master'!$F$12:$I$102,4,0),BR21-VLOOKUP($P21&amp;" | "&amp;BI$6,'Job Master'!$F$12:$I$102,4,0)-1),""),"")</f>
        <v/>
      </c>
      <c r="BL21" s="73"/>
      <c r="BM21" s="123" t="str">
        <f t="shared" si="25"/>
        <v/>
      </c>
      <c r="BN21" s="123" t="str">
        <f t="shared" si="26"/>
        <v/>
      </c>
      <c r="BO21" s="97" t="str">
        <f t="shared" ca="1" si="27"/>
        <v/>
      </c>
      <c r="BP21" s="98" t="str">
        <f>IF(BR21&lt;&gt;"",VLOOKUP($P21&amp;" | "&amp;BP$6,'Job Master'!$F$12:$J$102,5,0),"")</f>
        <v/>
      </c>
      <c r="BQ21" s="19" t="str">
        <f>IF(BR21&lt;&gt;"",VLOOKUP($P21&amp;" | "&amp;BP$6,'Job Master'!$F$12:$J$102,3,0),"")</f>
        <v/>
      </c>
      <c r="BR21" s="19" t="str">
        <f>IFERROR(IF(AND(BY21&lt;&gt;"",VLOOKUP($P21&amp;" | "&amp;BP$6,'Job Master'!$F$12:$I$102,4,0)&lt;&gt;""),IF(WEEKDAY(BY21-VLOOKUP($P21&amp;" | "&amp;BP$6,'Job Master'!$F$12:$I$102,4,0))&lt;&gt;7,BY21-VLOOKUP($P21&amp;" | "&amp;BP$6,'Job Master'!$F$12:$I$102,4,0),BY21-VLOOKUP($P21&amp;" | "&amp;BP$6,'Job Master'!$F$12:$I$102,4,0)-1),""),"")</f>
        <v/>
      </c>
      <c r="BS21" s="73"/>
      <c r="BT21" s="123" t="str">
        <f t="shared" si="28"/>
        <v/>
      </c>
      <c r="BU21" s="123" t="str">
        <f t="shared" si="29"/>
        <v/>
      </c>
      <c r="BV21" s="97" t="str">
        <f t="shared" ca="1" si="30"/>
        <v/>
      </c>
      <c r="BW21" s="98" t="str">
        <f>IF(BY21&lt;&gt;"",VLOOKUP($P21&amp;" | "&amp;BW$6,'Job Master'!$F$12:$J$102,5,0),"")</f>
        <v/>
      </c>
      <c r="BX21" s="19" t="str">
        <f>IF(BY21&lt;&gt;"",VLOOKUP($P21&amp;" | "&amp;BW$6,'Job Master'!$F$12:$J$102,3,0),"")</f>
        <v/>
      </c>
      <c r="BY21" s="19" t="str">
        <f>IFERROR(IF(AND(CF21&lt;&gt;"",VLOOKUP($P21&amp;" | "&amp;BW$6,'Job Master'!$F$12:$I$102,4,0)&lt;&gt;""),IF(WEEKDAY(CF21-VLOOKUP($P21&amp;" | "&amp;BW$6,'Job Master'!$F$12:$I$102,4,0))&lt;&gt;7,CF21-VLOOKUP($P21&amp;" | "&amp;BW$6,'Job Master'!$F$12:$I$102,4,0),CF21-VLOOKUP($P21&amp;" | "&amp;BW$6,'Job Master'!$F$12:$I$102,4,0)-1),""),"")</f>
        <v/>
      </c>
      <c r="BZ21" s="73"/>
      <c r="CA21" s="123" t="str">
        <f t="shared" si="31"/>
        <v/>
      </c>
      <c r="CB21" s="123" t="str">
        <f t="shared" si="32"/>
        <v/>
      </c>
      <c r="CC21" s="97" t="str">
        <f t="shared" ca="1" si="33"/>
        <v/>
      </c>
      <c r="CD21" s="98" t="str">
        <f>IF(CF21&lt;&gt;"",VLOOKUP($P21&amp;" | "&amp;CD$6,'Job Master'!$F$12:$J$102,5,0),"")</f>
        <v/>
      </c>
      <c r="CE21" s="19" t="str">
        <f>IF(CF21&lt;&gt;"",VLOOKUP($P21&amp;" | "&amp;CD$6,'Job Master'!$F$12:$J$102,3,0),"")</f>
        <v/>
      </c>
      <c r="CF21" s="19" t="str">
        <f>IFERROR(IF(AND(CM21&lt;&gt;"",VLOOKUP($P21&amp;" | "&amp;CD$6,'Job Master'!$F$12:$I$102,4,0)&lt;&gt;""),IF(WEEKDAY(CM21-VLOOKUP($P21&amp;" | "&amp;CD$6,'Job Master'!$F$12:$I$102,4,0))&lt;&gt;7,CM21-VLOOKUP($P21&amp;" | "&amp;CD$6,'Job Master'!$F$12:$I$102,4,0),CM21-VLOOKUP($P21&amp;" | "&amp;CD$6,'Job Master'!$F$12:$I$102,4,0)-1),""),"")</f>
        <v/>
      </c>
      <c r="CG21" s="73"/>
      <c r="CH21" s="123" t="str">
        <f t="shared" si="34"/>
        <v/>
      </c>
      <c r="CI21" s="123" t="str">
        <f t="shared" si="35"/>
        <v/>
      </c>
      <c r="CJ21" s="97" t="str">
        <f t="shared" ca="1" si="36"/>
        <v/>
      </c>
      <c r="CK21" s="98" t="str">
        <f>IF(CM21&lt;&gt;"",VLOOKUP($P21&amp;" | "&amp;CK$6,'Job Master'!$F$12:$J$102,5,0),"")</f>
        <v/>
      </c>
      <c r="CL21" s="19" t="str">
        <f>IF(CM21&lt;&gt;"",VLOOKUP($P21&amp;" | "&amp;CK$6,'Job Master'!$F$12:$J$102,3,0),"")</f>
        <v/>
      </c>
      <c r="CM21" s="19" t="str">
        <f>IFERROR(IF(AND(CT21&lt;&gt;"",VLOOKUP($P21&amp;" | "&amp;CK$6,'Job Master'!$F$12:$I$102,4,0)&lt;&gt;""),IF(WEEKDAY(CT21-VLOOKUP($P21&amp;" | "&amp;CK$6,'Job Master'!$F$12:$I$102,4,0))&lt;&gt;7,CT21-VLOOKUP($P21&amp;" | "&amp;CK$6,'Job Master'!$F$12:$I$102,4,0),CT21-VLOOKUP($P21&amp;" | "&amp;CK$6,'Job Master'!$F$12:$I$102,4,0)-1),""),"")</f>
        <v/>
      </c>
      <c r="CN21" s="73"/>
      <c r="CO21" s="123" t="str">
        <f t="shared" si="37"/>
        <v/>
      </c>
      <c r="CP21" s="123" t="str">
        <f t="shared" si="38"/>
        <v/>
      </c>
      <c r="CQ21" s="97" t="str">
        <f t="shared" ca="1" si="39"/>
        <v/>
      </c>
      <c r="CR21" s="98" t="str">
        <f>IF(CT21&lt;&gt;"",VLOOKUP($P21&amp;" | "&amp;CR$6,'Job Master'!$F$12:$J$102,5,0),"")</f>
        <v/>
      </c>
      <c r="CS21" s="19" t="str">
        <f>IF(CT21&lt;&gt;"",VLOOKUP($P21&amp;" | "&amp;CR$6,'Job Master'!$F$12:$J$102,3,0),"")</f>
        <v/>
      </c>
      <c r="CT21" s="19" t="str">
        <f>IFERROR(IF(AND(DA21&lt;&gt;"",VLOOKUP($P21&amp;" | "&amp;CR$6,'Job Master'!$F$12:$I$102,4,0)&lt;&gt;""),IF(WEEKDAY(DA21-VLOOKUP($P21&amp;" | "&amp;CR$6,'Job Master'!$F$12:$I$102,4,0))&lt;&gt;7,DA21-VLOOKUP($P21&amp;" | "&amp;CR$6,'Job Master'!$F$12:$I$102,4,0),DA21-VLOOKUP($P21&amp;" | "&amp;CR$6,'Job Master'!$F$12:$I$102,4,0)-1),""),"")</f>
        <v/>
      </c>
      <c r="CU21" s="73"/>
      <c r="CV21" s="123" t="str">
        <f t="shared" si="40"/>
        <v/>
      </c>
      <c r="CW21" s="123" t="str">
        <f t="shared" si="41"/>
        <v/>
      </c>
      <c r="CX21" s="97" t="str">
        <f t="shared" ca="1" si="42"/>
        <v/>
      </c>
      <c r="CY21" s="98" t="str">
        <f>IF(DA21&lt;&gt;"",VLOOKUP($P21&amp;" | "&amp;CY$6,'Job Master'!$F$12:$J$102,5,0),"")</f>
        <v/>
      </c>
      <c r="CZ21" s="19" t="str">
        <f>IF(DA21&lt;&gt;"",VLOOKUP($P21&amp;" | "&amp;CY$6,'Job Master'!$F$12:$J$102,3,0),"")</f>
        <v/>
      </c>
      <c r="DA21" s="19" t="str">
        <f>IFERROR(IF(AND(DH21&lt;&gt;"",VLOOKUP($P21&amp;" | "&amp;CY$6,'Job Master'!$F$12:$I$102,4,0)&lt;&gt;""),IF(WEEKDAY(DH21-VLOOKUP($P21&amp;" | "&amp;CY$6,'Job Master'!$F$12:$I$102,4,0))&lt;&gt;7,DH21-VLOOKUP($P21&amp;" | "&amp;CY$6,'Job Master'!$F$12:$I$102,4,0),DH21-VLOOKUP($P21&amp;" | "&amp;CY$6,'Job Master'!$F$12:$I$102,4,0)-1),""),"")</f>
        <v/>
      </c>
      <c r="DB21" s="73"/>
      <c r="DC21" s="123" t="str">
        <f t="shared" si="43"/>
        <v/>
      </c>
      <c r="DD21" s="123" t="str">
        <f t="shared" si="44"/>
        <v/>
      </c>
      <c r="DE21" s="97" t="str">
        <f t="shared" ca="1" si="45"/>
        <v/>
      </c>
      <c r="DF21" s="98" t="str">
        <f>IF(DH21&lt;&gt;"",VLOOKUP($P21&amp;" | "&amp;DF$6,'Job Master'!$F$12:$J$102,5,0),"")</f>
        <v/>
      </c>
      <c r="DG21" s="19" t="str">
        <f>IF(DH21&lt;&gt;"",VLOOKUP($P21&amp;" | "&amp;DF$6,'Job Master'!$F$12:$J$102,3,0),"")</f>
        <v/>
      </c>
      <c r="DH21" s="19" t="str">
        <f>IFERROR(IF(AND(DO21&lt;&gt;"",VLOOKUP($P21&amp;" | "&amp;DF$6,'Job Master'!$F$12:$I$102,4,0)&lt;&gt;""),IF(WEEKDAY(DO21-VLOOKUP($P21&amp;" | "&amp;DF$6,'Job Master'!$F$12:$I$102,4,0))&lt;&gt;7,DO21-VLOOKUP($P21&amp;" | "&amp;DF$6,'Job Master'!$F$12:$I$102,4,0),DO21-VLOOKUP($P21&amp;" | "&amp;DF$6,'Job Master'!$F$12:$I$102,4,0)-1),""),"")</f>
        <v/>
      </c>
      <c r="DI21" s="73"/>
      <c r="DJ21" s="123" t="str">
        <f t="shared" si="46"/>
        <v/>
      </c>
      <c r="DK21" s="123" t="str">
        <f t="shared" si="47"/>
        <v/>
      </c>
      <c r="DL21" s="97" t="str">
        <f t="shared" ca="1" si="48"/>
        <v/>
      </c>
      <c r="DM21" s="98" t="str">
        <f>IF(DO21&lt;&gt;"",VLOOKUP($P21&amp;" | "&amp;DM$6,'Job Master'!$F$12:$J$102,5,0),"")</f>
        <v/>
      </c>
      <c r="DN21" s="19" t="str">
        <f>IF(DO21&lt;&gt;"",VLOOKUP($P21&amp;" | "&amp;DM$6,'Job Master'!$F$12:$J$102,3,0),"")</f>
        <v/>
      </c>
      <c r="DO21" s="19" t="str">
        <f>IFERROR(IF(AND(DT21&lt;&gt;"",VLOOKUP($P21&amp;" | "&amp;DM$6,'Job Master'!$F$12:$I$102,4,0)&lt;&gt;""),IF(WEEKDAY(DT21-VLOOKUP($P21&amp;" | "&amp;DM$6,'Job Master'!$F$12:$I$102,4,0))&lt;&gt;7,DT21-VLOOKUP($P21&amp;" | "&amp;DM$6,'Job Master'!$F$12:$I$102,4,0),DT21-VLOOKUP($P21&amp;" | "&amp;DM$6,'Job Master'!$F$12:$I$102,4,0)-1),""),"")</f>
        <v/>
      </c>
      <c r="DP21" s="73"/>
      <c r="DQ21" s="123" t="str">
        <f t="shared" si="49"/>
        <v/>
      </c>
      <c r="DR21" s="123" t="str">
        <f t="shared" si="50"/>
        <v/>
      </c>
      <c r="DS21" s="97" t="str">
        <f t="shared" ca="1" si="51"/>
        <v/>
      </c>
      <c r="DT21" s="70" t="str">
        <f t="shared" si="52"/>
        <v/>
      </c>
      <c r="DU21" s="90"/>
      <c r="DV21" s="123" t="str">
        <f t="shared" si="53"/>
        <v/>
      </c>
      <c r="DW21" s="123" t="str">
        <f t="shared" si="54"/>
        <v/>
      </c>
      <c r="DX21" s="132" t="str">
        <f t="shared" ref="DX21" ca="1" si="79">IF(DT21&lt;&gt;"",IF(WEEKNUM(DT21)=WEEKNUM(TODAY()),"This Week",IF(WEEKNUM(DT21)=WEEKNUM(TODAY())+1,"Next Week",IF(WEEKNUM(DT21)=WEEKNUM(TODAY())-1,"Previous Week",""))),"")</f>
        <v/>
      </c>
      <c r="DY21" s="134" t="str">
        <f t="shared" si="56"/>
        <v/>
      </c>
      <c r="DZ21" s="95"/>
      <c r="EB21" s="8" t="str">
        <f t="shared" si="67"/>
        <v/>
      </c>
      <c r="EC21" s="8" t="str">
        <f>IF(O21&lt;&gt;"",VLOOKUP(O21,'Job Master'!$N$12:$O$18,2,0),"")</f>
        <v/>
      </c>
      <c r="ED21" s="8">
        <f t="shared" si="68"/>
        <v>19.5</v>
      </c>
      <c r="EE21" s="8">
        <f t="shared" si="69"/>
        <v>6</v>
      </c>
      <c r="EF21" s="8">
        <f t="shared" si="70"/>
        <v>-46.5</v>
      </c>
      <c r="EG21" s="8" t="str">
        <f t="shared" si="71"/>
        <v/>
      </c>
      <c r="EH21" s="8" t="str">
        <f t="shared" si="72"/>
        <v/>
      </c>
    </row>
    <row r="22" spans="2:138" x14ac:dyDescent="0.3">
      <c r="B22" s="112"/>
      <c r="C22" s="27"/>
      <c r="D22" s="7" t="str">
        <f t="shared" si="1"/>
        <v/>
      </c>
      <c r="E22" s="25"/>
      <c r="F22" s="7" t="str">
        <f t="shared" si="1"/>
        <v/>
      </c>
      <c r="G22" s="25"/>
      <c r="H22" s="7" t="str">
        <f t="shared" si="1"/>
        <v/>
      </c>
      <c r="I22" s="25"/>
      <c r="J22" s="7" t="str">
        <f t="shared" si="1"/>
        <v/>
      </c>
      <c r="K22" s="25"/>
      <c r="L22" s="7" t="str">
        <f t="shared" si="2"/>
        <v/>
      </c>
      <c r="M22" s="25"/>
      <c r="N22" s="7" t="str">
        <f t="shared" si="3"/>
        <v/>
      </c>
      <c r="O22" s="81"/>
      <c r="P22" s="81" t="str">
        <f t="shared" si="4"/>
        <v/>
      </c>
      <c r="Q22" s="81"/>
      <c r="R22" s="7" t="str">
        <f t="shared" si="5"/>
        <v/>
      </c>
      <c r="S22" s="25"/>
      <c r="T22" s="7" t="str">
        <f t="shared" si="6"/>
        <v/>
      </c>
      <c r="U22" s="25"/>
      <c r="V22" s="7" t="str">
        <f t="shared" si="7"/>
        <v/>
      </c>
      <c r="W22" s="25"/>
      <c r="X22" s="7" t="str">
        <f t="shared" si="8"/>
        <v/>
      </c>
      <c r="Y22" s="18" t="str">
        <f t="shared" si="9"/>
        <v/>
      </c>
      <c r="Z22" s="7" t="str">
        <f t="shared" si="10"/>
        <v/>
      </c>
      <c r="AA22" s="18" t="str">
        <f t="shared" si="11"/>
        <v/>
      </c>
      <c r="AB22" s="19" t="str">
        <f t="shared" si="12"/>
        <v/>
      </c>
      <c r="AC22" s="26"/>
      <c r="AD22" s="26"/>
      <c r="AE22" s="25"/>
      <c r="AF22" s="26"/>
      <c r="AG22" s="25"/>
      <c r="AH22" s="25"/>
      <c r="AI22" s="18" t="str">
        <f t="shared" si="13"/>
        <v/>
      </c>
      <c r="AJ22" s="25"/>
      <c r="AK22" s="18" t="str">
        <f t="shared" si="14"/>
        <v/>
      </c>
      <c r="AL22" s="79"/>
      <c r="AM22" s="126" t="str">
        <f t="shared" si="15"/>
        <v/>
      </c>
      <c r="AN22" s="128" t="str">
        <f>IF(AP22&lt;&gt;"",VLOOKUP($P22&amp;" | "&amp;AN$6,'Job Master'!$F$12:$J$102,5,0),"")</f>
        <v/>
      </c>
      <c r="AO22" s="19" t="str">
        <f>IF(AP22&lt;&gt;"",VLOOKUP($P22&amp;" | "&amp;AN$6,'Job Master'!$F$12:$J$102,3,0),"")</f>
        <v/>
      </c>
      <c r="AP22" s="19" t="str">
        <f>IFERROR(IF(AND(AW22&lt;&gt;"",VLOOKUP($P22&amp;" | "&amp;AN$6,'Job Master'!$F$12:$I$102,4,0)&lt;&gt;""),IF(WEEKDAY(AW22-VLOOKUP($P22&amp;" | "&amp;AN$6,'Job Master'!$F$12:$I$102,4,0))&lt;&gt;7,AW22-VLOOKUP($P22&amp;" | "&amp;AN$6,'Job Master'!$F$12:$I$102,4,0),AW22-VLOOKUP($P22&amp;" | "&amp;AN$6,'Job Master'!$F$12:$I$102,4,0)-1),""),"")</f>
        <v/>
      </c>
      <c r="AQ22" s="73"/>
      <c r="AR22" s="123" t="str">
        <f t="shared" si="16"/>
        <v/>
      </c>
      <c r="AS22" s="123" t="str">
        <f t="shared" si="17"/>
        <v/>
      </c>
      <c r="AT22" s="97" t="str">
        <f t="shared" ca="1" si="18"/>
        <v/>
      </c>
      <c r="AU22" s="98" t="str">
        <f>IF(AW22&lt;&gt;"",VLOOKUP($P22&amp;" | "&amp;AU$6,'Job Master'!$F$12:$J$102,5,0),"")</f>
        <v/>
      </c>
      <c r="AV22" s="19" t="str">
        <f>IF(AW22&lt;&gt;"",VLOOKUP($P22&amp;" | "&amp;AU$6,'Job Master'!$F$12:$J$102,3,0),"")</f>
        <v/>
      </c>
      <c r="AW22" s="19" t="str">
        <f>IFERROR(IF(AND(BD22&lt;&gt;"",VLOOKUP($P22&amp;" | "&amp;AU$6,'Job Master'!$F$12:$I$102,4,0)&lt;&gt;""),IF(WEEKDAY(BD22-VLOOKUP($P22&amp;" | "&amp;AU$6,'Job Master'!$F$12:$I$102,4,0))&lt;&gt;7,BD22-VLOOKUP($P22&amp;" | "&amp;AU$6,'Job Master'!$F$12:$I$102,4,0),BD22-VLOOKUP($P22&amp;" | "&amp;AU$6,'Job Master'!$F$12:$I$102,4,0)-1),""),"")</f>
        <v/>
      </c>
      <c r="AX22" s="73"/>
      <c r="AY22" s="123" t="str">
        <f t="shared" si="19"/>
        <v/>
      </c>
      <c r="AZ22" s="123" t="str">
        <f t="shared" si="20"/>
        <v/>
      </c>
      <c r="BA22" s="97" t="str">
        <f t="shared" ca="1" si="21"/>
        <v/>
      </c>
      <c r="BB22" s="98" t="str">
        <f>IF(BD22&lt;&gt;"",VLOOKUP($P22&amp;" | "&amp;BB$6,'Job Master'!$F$12:$J$102,5,0),"")</f>
        <v/>
      </c>
      <c r="BC22" s="19" t="str">
        <f>IF(BD22&lt;&gt;"",VLOOKUP($P22&amp;" | "&amp;BB$6,'Job Master'!$F$12:$J$102,3,0),"")</f>
        <v/>
      </c>
      <c r="BD22" s="19" t="str">
        <f>IFERROR(IF(AND(BK22&lt;&gt;"",VLOOKUP($P22&amp;" | "&amp;BB$6,'Job Master'!$F$12:$I$102,4,0)&lt;&gt;""),IF(WEEKDAY(BK22-VLOOKUP($P22&amp;" | "&amp;BB$6,'Job Master'!$F$12:$I$102,4,0))&lt;&gt;7,BK22-VLOOKUP($P22&amp;" | "&amp;BB$6,'Job Master'!$F$12:$I$102,4,0),BK22-VLOOKUP($P22&amp;" | "&amp;BB$6,'Job Master'!$F$12:$I$102,4,0)-1),""),"")</f>
        <v/>
      </c>
      <c r="BE22" s="73"/>
      <c r="BF22" s="123" t="str">
        <f t="shared" si="22"/>
        <v/>
      </c>
      <c r="BG22" s="123" t="str">
        <f t="shared" si="23"/>
        <v/>
      </c>
      <c r="BH22" s="97" t="str">
        <f t="shared" ca="1" si="24"/>
        <v/>
      </c>
      <c r="BI22" s="98" t="str">
        <f>IF(BK22&lt;&gt;"",VLOOKUP($P22&amp;" | "&amp;BI$6,'Job Master'!$F$12:$J$102,5,0),"")</f>
        <v/>
      </c>
      <c r="BJ22" s="19" t="str">
        <f>IF(BK22&lt;&gt;"",VLOOKUP($P22&amp;" | "&amp;BI$6,'Job Master'!$F$12:$J$102,3,0),"")</f>
        <v/>
      </c>
      <c r="BK22" s="19" t="str">
        <f>IFERROR(IF(AND(BR22&lt;&gt;"",VLOOKUP($P22&amp;" | "&amp;BI$6,'Job Master'!$F$12:$I$102,4,0)&lt;&gt;""),IF(WEEKDAY(BR22-VLOOKUP($P22&amp;" | "&amp;BI$6,'Job Master'!$F$12:$I$102,4,0))&lt;&gt;7,BR22-VLOOKUP($P22&amp;" | "&amp;BI$6,'Job Master'!$F$12:$I$102,4,0),BR22-VLOOKUP($P22&amp;" | "&amp;BI$6,'Job Master'!$F$12:$I$102,4,0)-1),""),"")</f>
        <v/>
      </c>
      <c r="BL22" s="73"/>
      <c r="BM22" s="123" t="str">
        <f t="shared" si="25"/>
        <v/>
      </c>
      <c r="BN22" s="123" t="str">
        <f t="shared" si="26"/>
        <v/>
      </c>
      <c r="BO22" s="97" t="str">
        <f t="shared" ca="1" si="27"/>
        <v/>
      </c>
      <c r="BP22" s="98" t="str">
        <f>IF(BR22&lt;&gt;"",VLOOKUP($P22&amp;" | "&amp;BP$6,'Job Master'!$F$12:$J$102,5,0),"")</f>
        <v/>
      </c>
      <c r="BQ22" s="19" t="str">
        <f>IF(BR22&lt;&gt;"",VLOOKUP($P22&amp;" | "&amp;BP$6,'Job Master'!$F$12:$J$102,3,0),"")</f>
        <v/>
      </c>
      <c r="BR22" s="19" t="str">
        <f>IFERROR(IF(AND(BY22&lt;&gt;"",VLOOKUP($P22&amp;" | "&amp;BP$6,'Job Master'!$F$12:$I$102,4,0)&lt;&gt;""),IF(WEEKDAY(BY22-VLOOKUP($P22&amp;" | "&amp;BP$6,'Job Master'!$F$12:$I$102,4,0))&lt;&gt;7,BY22-VLOOKUP($P22&amp;" | "&amp;BP$6,'Job Master'!$F$12:$I$102,4,0),BY22-VLOOKUP($P22&amp;" | "&amp;BP$6,'Job Master'!$F$12:$I$102,4,0)-1),""),"")</f>
        <v/>
      </c>
      <c r="BS22" s="73"/>
      <c r="BT22" s="123" t="str">
        <f t="shared" si="28"/>
        <v/>
      </c>
      <c r="BU22" s="123" t="str">
        <f t="shared" si="29"/>
        <v/>
      </c>
      <c r="BV22" s="97" t="str">
        <f t="shared" ca="1" si="30"/>
        <v/>
      </c>
      <c r="BW22" s="98" t="str">
        <f>IF(BY22&lt;&gt;"",VLOOKUP($P22&amp;" | "&amp;BW$6,'Job Master'!$F$12:$J$102,5,0),"")</f>
        <v/>
      </c>
      <c r="BX22" s="19" t="str">
        <f>IF(BY22&lt;&gt;"",VLOOKUP($P22&amp;" | "&amp;BW$6,'Job Master'!$F$12:$J$102,3,0),"")</f>
        <v/>
      </c>
      <c r="BY22" s="19" t="str">
        <f>IFERROR(IF(AND(CF22&lt;&gt;"",VLOOKUP($P22&amp;" | "&amp;BW$6,'Job Master'!$F$12:$I$102,4,0)&lt;&gt;""),IF(WEEKDAY(CF22-VLOOKUP($P22&amp;" | "&amp;BW$6,'Job Master'!$F$12:$I$102,4,0))&lt;&gt;7,CF22-VLOOKUP($P22&amp;" | "&amp;BW$6,'Job Master'!$F$12:$I$102,4,0),CF22-VLOOKUP($P22&amp;" | "&amp;BW$6,'Job Master'!$F$12:$I$102,4,0)-1),""),"")</f>
        <v/>
      </c>
      <c r="BZ22" s="73"/>
      <c r="CA22" s="123" t="str">
        <f t="shared" si="31"/>
        <v/>
      </c>
      <c r="CB22" s="123" t="str">
        <f t="shared" si="32"/>
        <v/>
      </c>
      <c r="CC22" s="97" t="str">
        <f t="shared" ca="1" si="33"/>
        <v/>
      </c>
      <c r="CD22" s="98" t="str">
        <f>IF(CF22&lt;&gt;"",VLOOKUP($P22&amp;" | "&amp;CD$6,'Job Master'!$F$12:$J$102,5,0),"")</f>
        <v/>
      </c>
      <c r="CE22" s="19" t="str">
        <f>IF(CF22&lt;&gt;"",VLOOKUP($P22&amp;" | "&amp;CD$6,'Job Master'!$F$12:$J$102,3,0),"")</f>
        <v/>
      </c>
      <c r="CF22" s="19" t="str">
        <f>IFERROR(IF(AND(CM22&lt;&gt;"",VLOOKUP($P22&amp;" | "&amp;CD$6,'Job Master'!$F$12:$I$102,4,0)&lt;&gt;""),IF(WEEKDAY(CM22-VLOOKUP($P22&amp;" | "&amp;CD$6,'Job Master'!$F$12:$I$102,4,0))&lt;&gt;7,CM22-VLOOKUP($P22&amp;" | "&amp;CD$6,'Job Master'!$F$12:$I$102,4,0),CM22-VLOOKUP($P22&amp;" | "&amp;CD$6,'Job Master'!$F$12:$I$102,4,0)-1),""),"")</f>
        <v/>
      </c>
      <c r="CG22" s="73"/>
      <c r="CH22" s="123" t="str">
        <f t="shared" si="34"/>
        <v/>
      </c>
      <c r="CI22" s="123" t="str">
        <f t="shared" si="35"/>
        <v/>
      </c>
      <c r="CJ22" s="97" t="str">
        <f t="shared" ca="1" si="36"/>
        <v/>
      </c>
      <c r="CK22" s="98" t="str">
        <f>IF(CM22&lt;&gt;"",VLOOKUP($P22&amp;" | "&amp;CK$6,'Job Master'!$F$12:$J$102,5,0),"")</f>
        <v/>
      </c>
      <c r="CL22" s="19" t="str">
        <f>IF(CM22&lt;&gt;"",VLOOKUP($P22&amp;" | "&amp;CK$6,'Job Master'!$F$12:$J$102,3,0),"")</f>
        <v/>
      </c>
      <c r="CM22" s="19" t="str">
        <f>IFERROR(IF(AND(CT22&lt;&gt;"",VLOOKUP($P22&amp;" | "&amp;CK$6,'Job Master'!$F$12:$I$102,4,0)&lt;&gt;""),IF(WEEKDAY(CT22-VLOOKUP($P22&amp;" | "&amp;CK$6,'Job Master'!$F$12:$I$102,4,0))&lt;&gt;7,CT22-VLOOKUP($P22&amp;" | "&amp;CK$6,'Job Master'!$F$12:$I$102,4,0),CT22-VLOOKUP($P22&amp;" | "&amp;CK$6,'Job Master'!$F$12:$I$102,4,0)-1),""),"")</f>
        <v/>
      </c>
      <c r="CN22" s="73"/>
      <c r="CO22" s="123" t="str">
        <f t="shared" si="37"/>
        <v/>
      </c>
      <c r="CP22" s="123" t="str">
        <f t="shared" si="38"/>
        <v/>
      </c>
      <c r="CQ22" s="97" t="str">
        <f t="shared" ca="1" si="39"/>
        <v/>
      </c>
      <c r="CR22" s="98" t="str">
        <f>IF(CT22&lt;&gt;"",VLOOKUP($P22&amp;" | "&amp;CR$6,'Job Master'!$F$12:$J$102,5,0),"")</f>
        <v/>
      </c>
      <c r="CS22" s="19" t="str">
        <f>IF(CT22&lt;&gt;"",VLOOKUP($P22&amp;" | "&amp;CR$6,'Job Master'!$F$12:$J$102,3,0),"")</f>
        <v/>
      </c>
      <c r="CT22" s="19" t="str">
        <f>IFERROR(IF(AND(DA22&lt;&gt;"",VLOOKUP($P22&amp;" | "&amp;CR$6,'Job Master'!$F$12:$I$102,4,0)&lt;&gt;""),IF(WEEKDAY(DA22-VLOOKUP($P22&amp;" | "&amp;CR$6,'Job Master'!$F$12:$I$102,4,0))&lt;&gt;7,DA22-VLOOKUP($P22&amp;" | "&amp;CR$6,'Job Master'!$F$12:$I$102,4,0),DA22-VLOOKUP($P22&amp;" | "&amp;CR$6,'Job Master'!$F$12:$I$102,4,0)-1),""),"")</f>
        <v/>
      </c>
      <c r="CU22" s="73"/>
      <c r="CV22" s="123" t="str">
        <f t="shared" si="40"/>
        <v/>
      </c>
      <c r="CW22" s="123" t="str">
        <f t="shared" si="41"/>
        <v/>
      </c>
      <c r="CX22" s="97" t="str">
        <f t="shared" ca="1" si="42"/>
        <v/>
      </c>
      <c r="CY22" s="98" t="str">
        <f>IF(DA22&lt;&gt;"",VLOOKUP($P22&amp;" | "&amp;CY$6,'Job Master'!$F$12:$J$102,5,0),"")</f>
        <v/>
      </c>
      <c r="CZ22" s="19" t="str">
        <f>IF(DA22&lt;&gt;"",VLOOKUP($P22&amp;" | "&amp;CY$6,'Job Master'!$F$12:$J$102,3,0),"")</f>
        <v/>
      </c>
      <c r="DA22" s="19" t="str">
        <f>IFERROR(IF(AND(DH22&lt;&gt;"",VLOOKUP($P22&amp;" | "&amp;CY$6,'Job Master'!$F$12:$I$102,4,0)&lt;&gt;""),IF(WEEKDAY(DH22-VLOOKUP($P22&amp;" | "&amp;CY$6,'Job Master'!$F$12:$I$102,4,0))&lt;&gt;7,DH22-VLOOKUP($P22&amp;" | "&amp;CY$6,'Job Master'!$F$12:$I$102,4,0),DH22-VLOOKUP($P22&amp;" | "&amp;CY$6,'Job Master'!$F$12:$I$102,4,0)-1),""),"")</f>
        <v/>
      </c>
      <c r="DB22" s="73"/>
      <c r="DC22" s="123" t="str">
        <f t="shared" si="43"/>
        <v/>
      </c>
      <c r="DD22" s="123" t="str">
        <f t="shared" si="44"/>
        <v/>
      </c>
      <c r="DE22" s="97" t="str">
        <f t="shared" ca="1" si="45"/>
        <v/>
      </c>
      <c r="DF22" s="98" t="str">
        <f>IF(DH22&lt;&gt;"",VLOOKUP($P22&amp;" | "&amp;DF$6,'Job Master'!$F$12:$J$102,5,0),"")</f>
        <v/>
      </c>
      <c r="DG22" s="19" t="str">
        <f>IF(DH22&lt;&gt;"",VLOOKUP($P22&amp;" | "&amp;DF$6,'Job Master'!$F$12:$J$102,3,0),"")</f>
        <v/>
      </c>
      <c r="DH22" s="19" t="str">
        <f>IFERROR(IF(AND(DO22&lt;&gt;"",VLOOKUP($P22&amp;" | "&amp;DF$6,'Job Master'!$F$12:$I$102,4,0)&lt;&gt;""),IF(WEEKDAY(DO22-VLOOKUP($P22&amp;" | "&amp;DF$6,'Job Master'!$F$12:$I$102,4,0))&lt;&gt;7,DO22-VLOOKUP($P22&amp;" | "&amp;DF$6,'Job Master'!$F$12:$I$102,4,0),DO22-VLOOKUP($P22&amp;" | "&amp;DF$6,'Job Master'!$F$12:$I$102,4,0)-1),""),"")</f>
        <v/>
      </c>
      <c r="DI22" s="73"/>
      <c r="DJ22" s="123" t="str">
        <f t="shared" si="46"/>
        <v/>
      </c>
      <c r="DK22" s="123" t="str">
        <f t="shared" si="47"/>
        <v/>
      </c>
      <c r="DL22" s="97" t="str">
        <f t="shared" ca="1" si="48"/>
        <v/>
      </c>
      <c r="DM22" s="98" t="str">
        <f>IF(DO22&lt;&gt;"",VLOOKUP($P22&amp;" | "&amp;DM$6,'Job Master'!$F$12:$J$102,5,0),"")</f>
        <v/>
      </c>
      <c r="DN22" s="19" t="str">
        <f>IF(DO22&lt;&gt;"",VLOOKUP($P22&amp;" | "&amp;DM$6,'Job Master'!$F$12:$J$102,3,0),"")</f>
        <v/>
      </c>
      <c r="DO22" s="19" t="str">
        <f>IFERROR(IF(AND(DT22&lt;&gt;"",VLOOKUP($P22&amp;" | "&amp;DM$6,'Job Master'!$F$12:$I$102,4,0)&lt;&gt;""),IF(WEEKDAY(DT22-VLOOKUP($P22&amp;" | "&amp;DM$6,'Job Master'!$F$12:$I$102,4,0))&lt;&gt;7,DT22-VLOOKUP($P22&amp;" | "&amp;DM$6,'Job Master'!$F$12:$I$102,4,0),DT22-VLOOKUP($P22&amp;" | "&amp;DM$6,'Job Master'!$F$12:$I$102,4,0)-1),""),"")</f>
        <v/>
      </c>
      <c r="DP22" s="73"/>
      <c r="DQ22" s="123" t="str">
        <f t="shared" si="49"/>
        <v/>
      </c>
      <c r="DR22" s="123" t="str">
        <f t="shared" si="50"/>
        <v/>
      </c>
      <c r="DS22" s="97" t="str">
        <f t="shared" ca="1" si="51"/>
        <v/>
      </c>
      <c r="DT22" s="70" t="str">
        <f t="shared" si="52"/>
        <v/>
      </c>
      <c r="DU22" s="90"/>
      <c r="DV22" s="123" t="str">
        <f t="shared" si="53"/>
        <v/>
      </c>
      <c r="DW22" s="123" t="str">
        <f t="shared" si="54"/>
        <v/>
      </c>
      <c r="DX22" s="132" t="str">
        <f t="shared" ref="DX22" ca="1" si="80">IF(DT22&lt;&gt;"",IF(WEEKNUM(DT22)=WEEKNUM(TODAY()),"This Week",IF(WEEKNUM(DT22)=WEEKNUM(TODAY())+1,"Next Week",IF(WEEKNUM(DT22)=WEEKNUM(TODAY())-1,"Previous Week",""))),"")</f>
        <v/>
      </c>
      <c r="DY22" s="134" t="str">
        <f t="shared" si="56"/>
        <v/>
      </c>
      <c r="DZ22" s="95"/>
      <c r="EB22" s="8" t="str">
        <f t="shared" si="67"/>
        <v/>
      </c>
      <c r="EC22" s="8" t="str">
        <f>IF(O22&lt;&gt;"",VLOOKUP(O22,'Job Master'!$N$12:$O$18,2,0),"")</f>
        <v/>
      </c>
      <c r="ED22" s="8">
        <f t="shared" si="68"/>
        <v>19.5</v>
      </c>
      <c r="EE22" s="8">
        <f t="shared" si="69"/>
        <v>6</v>
      </c>
      <c r="EF22" s="8">
        <f t="shared" si="70"/>
        <v>-52.5</v>
      </c>
      <c r="EG22" s="8" t="str">
        <f t="shared" si="71"/>
        <v/>
      </c>
      <c r="EH22" s="8" t="str">
        <f t="shared" si="72"/>
        <v/>
      </c>
    </row>
    <row r="23" spans="2:138" x14ac:dyDescent="0.3">
      <c r="B23" s="112"/>
      <c r="C23" s="27"/>
      <c r="D23" s="7" t="str">
        <f t="shared" si="1"/>
        <v/>
      </c>
      <c r="E23" s="25"/>
      <c r="F23" s="7" t="str">
        <f t="shared" si="1"/>
        <v/>
      </c>
      <c r="G23" s="25"/>
      <c r="H23" s="7" t="str">
        <f t="shared" si="1"/>
        <v/>
      </c>
      <c r="I23" s="25"/>
      <c r="J23" s="7" t="str">
        <f t="shared" si="1"/>
        <v/>
      </c>
      <c r="K23" s="25"/>
      <c r="L23" s="7" t="str">
        <f t="shared" si="2"/>
        <v/>
      </c>
      <c r="M23" s="25"/>
      <c r="N23" s="7" t="str">
        <f t="shared" si="3"/>
        <v/>
      </c>
      <c r="O23" s="81"/>
      <c r="P23" s="81" t="str">
        <f t="shared" si="4"/>
        <v/>
      </c>
      <c r="Q23" s="81"/>
      <c r="R23" s="7" t="str">
        <f t="shared" si="5"/>
        <v/>
      </c>
      <c r="S23" s="25"/>
      <c r="T23" s="7" t="str">
        <f t="shared" si="6"/>
        <v/>
      </c>
      <c r="U23" s="25"/>
      <c r="V23" s="7" t="str">
        <f t="shared" si="7"/>
        <v/>
      </c>
      <c r="W23" s="25"/>
      <c r="X23" s="7" t="str">
        <f t="shared" si="8"/>
        <v/>
      </c>
      <c r="Y23" s="18" t="str">
        <f t="shared" si="9"/>
        <v/>
      </c>
      <c r="Z23" s="7" t="str">
        <f t="shared" si="10"/>
        <v/>
      </c>
      <c r="AA23" s="18" t="str">
        <f t="shared" si="11"/>
        <v/>
      </c>
      <c r="AB23" s="19" t="str">
        <f t="shared" si="12"/>
        <v/>
      </c>
      <c r="AC23" s="26"/>
      <c r="AD23" s="26"/>
      <c r="AE23" s="25"/>
      <c r="AF23" s="26"/>
      <c r="AG23" s="25"/>
      <c r="AH23" s="25"/>
      <c r="AI23" s="18" t="str">
        <f t="shared" si="13"/>
        <v/>
      </c>
      <c r="AJ23" s="25"/>
      <c r="AK23" s="18" t="str">
        <f t="shared" si="14"/>
        <v/>
      </c>
      <c r="AL23" s="79"/>
      <c r="AM23" s="126" t="str">
        <f t="shared" si="15"/>
        <v/>
      </c>
      <c r="AN23" s="128" t="str">
        <f>IF(AP23&lt;&gt;"",VLOOKUP($P23&amp;" | "&amp;AN$6,'Job Master'!$F$12:$J$102,5,0),"")</f>
        <v/>
      </c>
      <c r="AO23" s="19" t="str">
        <f>IF(AP23&lt;&gt;"",VLOOKUP($P23&amp;" | "&amp;AN$6,'Job Master'!$F$12:$J$102,3,0),"")</f>
        <v/>
      </c>
      <c r="AP23" s="19" t="str">
        <f>IFERROR(IF(AND(AW23&lt;&gt;"",VLOOKUP($P23&amp;" | "&amp;AN$6,'Job Master'!$F$12:$I$102,4,0)&lt;&gt;""),IF(WEEKDAY(AW23-VLOOKUP($P23&amp;" | "&amp;AN$6,'Job Master'!$F$12:$I$102,4,0))&lt;&gt;7,AW23-VLOOKUP($P23&amp;" | "&amp;AN$6,'Job Master'!$F$12:$I$102,4,0),AW23-VLOOKUP($P23&amp;" | "&amp;AN$6,'Job Master'!$F$12:$I$102,4,0)-1),""),"")</f>
        <v/>
      </c>
      <c r="AQ23" s="73"/>
      <c r="AR23" s="123" t="str">
        <f t="shared" si="16"/>
        <v/>
      </c>
      <c r="AS23" s="123" t="str">
        <f t="shared" si="17"/>
        <v/>
      </c>
      <c r="AT23" s="97" t="str">
        <f t="shared" ca="1" si="18"/>
        <v/>
      </c>
      <c r="AU23" s="98" t="str">
        <f>IF(AW23&lt;&gt;"",VLOOKUP($P23&amp;" | "&amp;AU$6,'Job Master'!$F$12:$J$102,5,0),"")</f>
        <v/>
      </c>
      <c r="AV23" s="19" t="str">
        <f>IF(AW23&lt;&gt;"",VLOOKUP($P23&amp;" | "&amp;AU$6,'Job Master'!$F$12:$J$102,3,0),"")</f>
        <v/>
      </c>
      <c r="AW23" s="19" t="str">
        <f>IFERROR(IF(AND(BD23&lt;&gt;"",VLOOKUP($P23&amp;" | "&amp;AU$6,'Job Master'!$F$12:$I$102,4,0)&lt;&gt;""),IF(WEEKDAY(BD23-VLOOKUP($P23&amp;" | "&amp;AU$6,'Job Master'!$F$12:$I$102,4,0))&lt;&gt;7,BD23-VLOOKUP($P23&amp;" | "&amp;AU$6,'Job Master'!$F$12:$I$102,4,0),BD23-VLOOKUP($P23&amp;" | "&amp;AU$6,'Job Master'!$F$12:$I$102,4,0)-1),""),"")</f>
        <v/>
      </c>
      <c r="AX23" s="73"/>
      <c r="AY23" s="123" t="str">
        <f t="shared" si="19"/>
        <v/>
      </c>
      <c r="AZ23" s="123" t="str">
        <f t="shared" si="20"/>
        <v/>
      </c>
      <c r="BA23" s="97" t="str">
        <f t="shared" ca="1" si="21"/>
        <v/>
      </c>
      <c r="BB23" s="98" t="str">
        <f>IF(BD23&lt;&gt;"",VLOOKUP($P23&amp;" | "&amp;BB$6,'Job Master'!$F$12:$J$102,5,0),"")</f>
        <v/>
      </c>
      <c r="BC23" s="19" t="str">
        <f>IF(BD23&lt;&gt;"",VLOOKUP($P23&amp;" | "&amp;BB$6,'Job Master'!$F$12:$J$102,3,0),"")</f>
        <v/>
      </c>
      <c r="BD23" s="19" t="str">
        <f>IFERROR(IF(AND(BK23&lt;&gt;"",VLOOKUP($P23&amp;" | "&amp;BB$6,'Job Master'!$F$12:$I$102,4,0)&lt;&gt;""),IF(WEEKDAY(BK23-VLOOKUP($P23&amp;" | "&amp;BB$6,'Job Master'!$F$12:$I$102,4,0))&lt;&gt;7,BK23-VLOOKUP($P23&amp;" | "&amp;BB$6,'Job Master'!$F$12:$I$102,4,0),BK23-VLOOKUP($P23&amp;" | "&amp;BB$6,'Job Master'!$F$12:$I$102,4,0)-1),""),"")</f>
        <v/>
      </c>
      <c r="BE23" s="73"/>
      <c r="BF23" s="123" t="str">
        <f t="shared" si="22"/>
        <v/>
      </c>
      <c r="BG23" s="123" t="str">
        <f t="shared" si="23"/>
        <v/>
      </c>
      <c r="BH23" s="97" t="str">
        <f t="shared" ca="1" si="24"/>
        <v/>
      </c>
      <c r="BI23" s="98" t="str">
        <f>IF(BK23&lt;&gt;"",VLOOKUP($P23&amp;" | "&amp;BI$6,'Job Master'!$F$12:$J$102,5,0),"")</f>
        <v/>
      </c>
      <c r="BJ23" s="19" t="str">
        <f>IF(BK23&lt;&gt;"",VLOOKUP($P23&amp;" | "&amp;BI$6,'Job Master'!$F$12:$J$102,3,0),"")</f>
        <v/>
      </c>
      <c r="BK23" s="19" t="str">
        <f>IFERROR(IF(AND(BR23&lt;&gt;"",VLOOKUP($P23&amp;" | "&amp;BI$6,'Job Master'!$F$12:$I$102,4,0)&lt;&gt;""),IF(WEEKDAY(BR23-VLOOKUP($P23&amp;" | "&amp;BI$6,'Job Master'!$F$12:$I$102,4,0))&lt;&gt;7,BR23-VLOOKUP($P23&amp;" | "&amp;BI$6,'Job Master'!$F$12:$I$102,4,0),BR23-VLOOKUP($P23&amp;" | "&amp;BI$6,'Job Master'!$F$12:$I$102,4,0)-1),""),"")</f>
        <v/>
      </c>
      <c r="BL23" s="73"/>
      <c r="BM23" s="123" t="str">
        <f t="shared" si="25"/>
        <v/>
      </c>
      <c r="BN23" s="123" t="str">
        <f t="shared" si="26"/>
        <v/>
      </c>
      <c r="BO23" s="97" t="str">
        <f t="shared" ca="1" si="27"/>
        <v/>
      </c>
      <c r="BP23" s="98" t="str">
        <f>IF(BR23&lt;&gt;"",VLOOKUP($P23&amp;" | "&amp;BP$6,'Job Master'!$F$12:$J$102,5,0),"")</f>
        <v/>
      </c>
      <c r="BQ23" s="19" t="str">
        <f>IF(BR23&lt;&gt;"",VLOOKUP($P23&amp;" | "&amp;BP$6,'Job Master'!$F$12:$J$102,3,0),"")</f>
        <v/>
      </c>
      <c r="BR23" s="19" t="str">
        <f>IFERROR(IF(AND(BY23&lt;&gt;"",VLOOKUP($P23&amp;" | "&amp;BP$6,'Job Master'!$F$12:$I$102,4,0)&lt;&gt;""),IF(WEEKDAY(BY23-VLOOKUP($P23&amp;" | "&amp;BP$6,'Job Master'!$F$12:$I$102,4,0))&lt;&gt;7,BY23-VLOOKUP($P23&amp;" | "&amp;BP$6,'Job Master'!$F$12:$I$102,4,0),BY23-VLOOKUP($P23&amp;" | "&amp;BP$6,'Job Master'!$F$12:$I$102,4,0)-1),""),"")</f>
        <v/>
      </c>
      <c r="BS23" s="73"/>
      <c r="BT23" s="123" t="str">
        <f t="shared" si="28"/>
        <v/>
      </c>
      <c r="BU23" s="123" t="str">
        <f t="shared" si="29"/>
        <v/>
      </c>
      <c r="BV23" s="97" t="str">
        <f t="shared" ca="1" si="30"/>
        <v/>
      </c>
      <c r="BW23" s="98" t="str">
        <f>IF(BY23&lt;&gt;"",VLOOKUP($P23&amp;" | "&amp;BW$6,'Job Master'!$F$12:$J$102,5,0),"")</f>
        <v/>
      </c>
      <c r="BX23" s="19" t="str">
        <f>IF(BY23&lt;&gt;"",VLOOKUP($P23&amp;" | "&amp;BW$6,'Job Master'!$F$12:$J$102,3,0),"")</f>
        <v/>
      </c>
      <c r="BY23" s="19" t="str">
        <f>IFERROR(IF(AND(CF23&lt;&gt;"",VLOOKUP($P23&amp;" | "&amp;BW$6,'Job Master'!$F$12:$I$102,4,0)&lt;&gt;""),IF(WEEKDAY(CF23-VLOOKUP($P23&amp;" | "&amp;BW$6,'Job Master'!$F$12:$I$102,4,0))&lt;&gt;7,CF23-VLOOKUP($P23&amp;" | "&amp;BW$6,'Job Master'!$F$12:$I$102,4,0),CF23-VLOOKUP($P23&amp;" | "&amp;BW$6,'Job Master'!$F$12:$I$102,4,0)-1),""),"")</f>
        <v/>
      </c>
      <c r="BZ23" s="73"/>
      <c r="CA23" s="123" t="str">
        <f t="shared" si="31"/>
        <v/>
      </c>
      <c r="CB23" s="123" t="str">
        <f t="shared" si="32"/>
        <v/>
      </c>
      <c r="CC23" s="97" t="str">
        <f t="shared" ca="1" si="33"/>
        <v/>
      </c>
      <c r="CD23" s="98" t="str">
        <f>IF(CF23&lt;&gt;"",VLOOKUP($P23&amp;" | "&amp;CD$6,'Job Master'!$F$12:$J$102,5,0),"")</f>
        <v/>
      </c>
      <c r="CE23" s="19" t="str">
        <f>IF(CF23&lt;&gt;"",VLOOKUP($P23&amp;" | "&amp;CD$6,'Job Master'!$F$12:$J$102,3,0),"")</f>
        <v/>
      </c>
      <c r="CF23" s="19" t="str">
        <f>IFERROR(IF(AND(CM23&lt;&gt;"",VLOOKUP($P23&amp;" | "&amp;CD$6,'Job Master'!$F$12:$I$102,4,0)&lt;&gt;""),IF(WEEKDAY(CM23-VLOOKUP($P23&amp;" | "&amp;CD$6,'Job Master'!$F$12:$I$102,4,0))&lt;&gt;7,CM23-VLOOKUP($P23&amp;" | "&amp;CD$6,'Job Master'!$F$12:$I$102,4,0),CM23-VLOOKUP($P23&amp;" | "&amp;CD$6,'Job Master'!$F$12:$I$102,4,0)-1),""),"")</f>
        <v/>
      </c>
      <c r="CG23" s="73"/>
      <c r="CH23" s="123" t="str">
        <f t="shared" si="34"/>
        <v/>
      </c>
      <c r="CI23" s="123" t="str">
        <f t="shared" si="35"/>
        <v/>
      </c>
      <c r="CJ23" s="97" t="str">
        <f t="shared" ca="1" si="36"/>
        <v/>
      </c>
      <c r="CK23" s="98" t="str">
        <f>IF(CM23&lt;&gt;"",VLOOKUP($P23&amp;" | "&amp;CK$6,'Job Master'!$F$12:$J$102,5,0),"")</f>
        <v/>
      </c>
      <c r="CL23" s="19" t="str">
        <f>IF(CM23&lt;&gt;"",VLOOKUP($P23&amp;" | "&amp;CK$6,'Job Master'!$F$12:$J$102,3,0),"")</f>
        <v/>
      </c>
      <c r="CM23" s="19" t="str">
        <f>IFERROR(IF(AND(CT23&lt;&gt;"",VLOOKUP($P23&amp;" | "&amp;CK$6,'Job Master'!$F$12:$I$102,4,0)&lt;&gt;""),IF(WEEKDAY(CT23-VLOOKUP($P23&amp;" | "&amp;CK$6,'Job Master'!$F$12:$I$102,4,0))&lt;&gt;7,CT23-VLOOKUP($P23&amp;" | "&amp;CK$6,'Job Master'!$F$12:$I$102,4,0),CT23-VLOOKUP($P23&amp;" | "&amp;CK$6,'Job Master'!$F$12:$I$102,4,0)-1),""),"")</f>
        <v/>
      </c>
      <c r="CN23" s="73"/>
      <c r="CO23" s="123" t="str">
        <f t="shared" si="37"/>
        <v/>
      </c>
      <c r="CP23" s="123" t="str">
        <f t="shared" si="38"/>
        <v/>
      </c>
      <c r="CQ23" s="97" t="str">
        <f t="shared" ca="1" si="39"/>
        <v/>
      </c>
      <c r="CR23" s="98" t="str">
        <f>IF(CT23&lt;&gt;"",VLOOKUP($P23&amp;" | "&amp;CR$6,'Job Master'!$F$12:$J$102,5,0),"")</f>
        <v/>
      </c>
      <c r="CS23" s="19" t="str">
        <f>IF(CT23&lt;&gt;"",VLOOKUP($P23&amp;" | "&amp;CR$6,'Job Master'!$F$12:$J$102,3,0),"")</f>
        <v/>
      </c>
      <c r="CT23" s="19" t="str">
        <f>IFERROR(IF(AND(DA23&lt;&gt;"",VLOOKUP($P23&amp;" | "&amp;CR$6,'Job Master'!$F$12:$I$102,4,0)&lt;&gt;""),IF(WEEKDAY(DA23-VLOOKUP($P23&amp;" | "&amp;CR$6,'Job Master'!$F$12:$I$102,4,0))&lt;&gt;7,DA23-VLOOKUP($P23&amp;" | "&amp;CR$6,'Job Master'!$F$12:$I$102,4,0),DA23-VLOOKUP($P23&amp;" | "&amp;CR$6,'Job Master'!$F$12:$I$102,4,0)-1),""),"")</f>
        <v/>
      </c>
      <c r="CU23" s="73"/>
      <c r="CV23" s="123" t="str">
        <f t="shared" si="40"/>
        <v/>
      </c>
      <c r="CW23" s="123" t="str">
        <f t="shared" si="41"/>
        <v/>
      </c>
      <c r="CX23" s="97" t="str">
        <f t="shared" ca="1" si="42"/>
        <v/>
      </c>
      <c r="CY23" s="98" t="str">
        <f>IF(DA23&lt;&gt;"",VLOOKUP($P23&amp;" | "&amp;CY$6,'Job Master'!$F$12:$J$102,5,0),"")</f>
        <v/>
      </c>
      <c r="CZ23" s="19" t="str">
        <f>IF(DA23&lt;&gt;"",VLOOKUP($P23&amp;" | "&amp;CY$6,'Job Master'!$F$12:$J$102,3,0),"")</f>
        <v/>
      </c>
      <c r="DA23" s="19" t="str">
        <f>IFERROR(IF(AND(DH23&lt;&gt;"",VLOOKUP($P23&amp;" | "&amp;CY$6,'Job Master'!$F$12:$I$102,4,0)&lt;&gt;""),IF(WEEKDAY(DH23-VLOOKUP($P23&amp;" | "&amp;CY$6,'Job Master'!$F$12:$I$102,4,0))&lt;&gt;7,DH23-VLOOKUP($P23&amp;" | "&amp;CY$6,'Job Master'!$F$12:$I$102,4,0),DH23-VLOOKUP($P23&amp;" | "&amp;CY$6,'Job Master'!$F$12:$I$102,4,0)-1),""),"")</f>
        <v/>
      </c>
      <c r="DB23" s="73"/>
      <c r="DC23" s="123" t="str">
        <f t="shared" si="43"/>
        <v/>
      </c>
      <c r="DD23" s="123" t="str">
        <f t="shared" si="44"/>
        <v/>
      </c>
      <c r="DE23" s="97" t="str">
        <f t="shared" ca="1" si="45"/>
        <v/>
      </c>
      <c r="DF23" s="98" t="str">
        <f>IF(DH23&lt;&gt;"",VLOOKUP($P23&amp;" | "&amp;DF$6,'Job Master'!$F$12:$J$102,5,0),"")</f>
        <v/>
      </c>
      <c r="DG23" s="19" t="str">
        <f>IF(DH23&lt;&gt;"",VLOOKUP($P23&amp;" | "&amp;DF$6,'Job Master'!$F$12:$J$102,3,0),"")</f>
        <v/>
      </c>
      <c r="DH23" s="19" t="str">
        <f>IFERROR(IF(AND(DO23&lt;&gt;"",VLOOKUP($P23&amp;" | "&amp;DF$6,'Job Master'!$F$12:$I$102,4,0)&lt;&gt;""),IF(WEEKDAY(DO23-VLOOKUP($P23&amp;" | "&amp;DF$6,'Job Master'!$F$12:$I$102,4,0))&lt;&gt;7,DO23-VLOOKUP($P23&amp;" | "&amp;DF$6,'Job Master'!$F$12:$I$102,4,0),DO23-VLOOKUP($P23&amp;" | "&amp;DF$6,'Job Master'!$F$12:$I$102,4,0)-1),""),"")</f>
        <v/>
      </c>
      <c r="DI23" s="73"/>
      <c r="DJ23" s="123" t="str">
        <f t="shared" si="46"/>
        <v/>
      </c>
      <c r="DK23" s="123" t="str">
        <f t="shared" si="47"/>
        <v/>
      </c>
      <c r="DL23" s="97" t="str">
        <f t="shared" ca="1" si="48"/>
        <v/>
      </c>
      <c r="DM23" s="98" t="str">
        <f>IF(DO23&lt;&gt;"",VLOOKUP($P23&amp;" | "&amp;DM$6,'Job Master'!$F$12:$J$102,5,0),"")</f>
        <v/>
      </c>
      <c r="DN23" s="19" t="str">
        <f>IF(DO23&lt;&gt;"",VLOOKUP($P23&amp;" | "&amp;DM$6,'Job Master'!$F$12:$J$102,3,0),"")</f>
        <v/>
      </c>
      <c r="DO23" s="19" t="str">
        <f>IFERROR(IF(AND(DT23&lt;&gt;"",VLOOKUP($P23&amp;" | "&amp;DM$6,'Job Master'!$F$12:$I$102,4,0)&lt;&gt;""),IF(WEEKDAY(DT23-VLOOKUP($P23&amp;" | "&amp;DM$6,'Job Master'!$F$12:$I$102,4,0))&lt;&gt;7,DT23-VLOOKUP($P23&amp;" | "&amp;DM$6,'Job Master'!$F$12:$I$102,4,0),DT23-VLOOKUP($P23&amp;" | "&amp;DM$6,'Job Master'!$F$12:$I$102,4,0)-1),""),"")</f>
        <v/>
      </c>
      <c r="DP23" s="73"/>
      <c r="DQ23" s="123" t="str">
        <f t="shared" si="49"/>
        <v/>
      </c>
      <c r="DR23" s="123" t="str">
        <f t="shared" si="50"/>
        <v/>
      </c>
      <c r="DS23" s="97" t="str">
        <f t="shared" ca="1" si="51"/>
        <v/>
      </c>
      <c r="DT23" s="70" t="str">
        <f t="shared" si="52"/>
        <v/>
      </c>
      <c r="DU23" s="90"/>
      <c r="DV23" s="123" t="str">
        <f t="shared" si="53"/>
        <v/>
      </c>
      <c r="DW23" s="123" t="str">
        <f t="shared" si="54"/>
        <v/>
      </c>
      <c r="DX23" s="132" t="str">
        <f t="shared" ref="DX23" ca="1" si="81">IF(DT23&lt;&gt;"",IF(WEEKNUM(DT23)=WEEKNUM(TODAY()),"This Week",IF(WEEKNUM(DT23)=WEEKNUM(TODAY())+1,"Next Week",IF(WEEKNUM(DT23)=WEEKNUM(TODAY())-1,"Previous Week",""))),"")</f>
        <v/>
      </c>
      <c r="DY23" s="134" t="str">
        <f t="shared" si="56"/>
        <v/>
      </c>
      <c r="DZ23" s="95"/>
      <c r="EB23" s="8" t="str">
        <f t="shared" si="67"/>
        <v/>
      </c>
      <c r="EC23" s="8" t="str">
        <f>IF(O23&lt;&gt;"",VLOOKUP(O23,'Job Master'!$N$12:$O$18,2,0),"")</f>
        <v/>
      </c>
      <c r="ED23" s="8">
        <f t="shared" si="68"/>
        <v>19.5</v>
      </c>
      <c r="EE23" s="8">
        <f t="shared" si="69"/>
        <v>6</v>
      </c>
      <c r="EF23" s="8">
        <f t="shared" si="70"/>
        <v>-58.5</v>
      </c>
      <c r="EG23" s="8" t="str">
        <f t="shared" si="71"/>
        <v/>
      </c>
      <c r="EH23" s="8" t="str">
        <f t="shared" si="72"/>
        <v/>
      </c>
    </row>
    <row r="24" spans="2:138" x14ac:dyDescent="0.3">
      <c r="B24" s="112"/>
      <c r="C24" s="27"/>
      <c r="D24" s="7" t="str">
        <f t="shared" si="1"/>
        <v/>
      </c>
      <c r="E24" s="25"/>
      <c r="F24" s="7" t="str">
        <f t="shared" si="1"/>
        <v/>
      </c>
      <c r="G24" s="25"/>
      <c r="H24" s="7" t="str">
        <f t="shared" si="1"/>
        <v/>
      </c>
      <c r="I24" s="25"/>
      <c r="J24" s="7" t="str">
        <f t="shared" si="1"/>
        <v/>
      </c>
      <c r="K24" s="25"/>
      <c r="L24" s="7" t="str">
        <f t="shared" si="2"/>
        <v/>
      </c>
      <c r="M24" s="25"/>
      <c r="N24" s="7" t="str">
        <f t="shared" si="3"/>
        <v/>
      </c>
      <c r="O24" s="81"/>
      <c r="P24" s="81" t="str">
        <f t="shared" si="4"/>
        <v/>
      </c>
      <c r="Q24" s="81"/>
      <c r="R24" s="7" t="str">
        <f t="shared" si="5"/>
        <v/>
      </c>
      <c r="S24" s="25"/>
      <c r="T24" s="7" t="str">
        <f t="shared" si="6"/>
        <v/>
      </c>
      <c r="U24" s="25"/>
      <c r="V24" s="7" t="str">
        <f t="shared" si="7"/>
        <v/>
      </c>
      <c r="W24" s="25"/>
      <c r="X24" s="7" t="str">
        <f t="shared" si="8"/>
        <v/>
      </c>
      <c r="Y24" s="18" t="str">
        <f t="shared" si="9"/>
        <v/>
      </c>
      <c r="Z24" s="7" t="str">
        <f t="shared" si="10"/>
        <v/>
      </c>
      <c r="AA24" s="18" t="str">
        <f t="shared" si="11"/>
        <v/>
      </c>
      <c r="AB24" s="19" t="str">
        <f t="shared" si="12"/>
        <v/>
      </c>
      <c r="AC24" s="26"/>
      <c r="AD24" s="26"/>
      <c r="AE24" s="25"/>
      <c r="AF24" s="26"/>
      <c r="AG24" s="25"/>
      <c r="AH24" s="25"/>
      <c r="AI24" s="18" t="str">
        <f t="shared" si="13"/>
        <v/>
      </c>
      <c r="AJ24" s="25"/>
      <c r="AK24" s="18" t="str">
        <f t="shared" si="14"/>
        <v/>
      </c>
      <c r="AL24" s="79"/>
      <c r="AM24" s="126" t="str">
        <f t="shared" si="15"/>
        <v/>
      </c>
      <c r="AN24" s="128" t="str">
        <f>IF(AP24&lt;&gt;"",VLOOKUP($P24&amp;" | "&amp;AN$6,'Job Master'!$F$12:$J$102,5,0),"")</f>
        <v/>
      </c>
      <c r="AO24" s="19" t="str">
        <f>IF(AP24&lt;&gt;"",VLOOKUP($P24&amp;" | "&amp;AN$6,'Job Master'!$F$12:$J$102,3,0),"")</f>
        <v/>
      </c>
      <c r="AP24" s="19" t="str">
        <f>IFERROR(IF(AND(AW24&lt;&gt;"",VLOOKUP($P24&amp;" | "&amp;AN$6,'Job Master'!$F$12:$I$102,4,0)&lt;&gt;""),IF(WEEKDAY(AW24-VLOOKUP($P24&amp;" | "&amp;AN$6,'Job Master'!$F$12:$I$102,4,0))&lt;&gt;7,AW24-VLOOKUP($P24&amp;" | "&amp;AN$6,'Job Master'!$F$12:$I$102,4,0),AW24-VLOOKUP($P24&amp;" | "&amp;AN$6,'Job Master'!$F$12:$I$102,4,0)-1),""),"")</f>
        <v/>
      </c>
      <c r="AQ24" s="73"/>
      <c r="AR24" s="123" t="str">
        <f t="shared" si="16"/>
        <v/>
      </c>
      <c r="AS24" s="123" t="str">
        <f t="shared" si="17"/>
        <v/>
      </c>
      <c r="AT24" s="97" t="str">
        <f t="shared" ca="1" si="18"/>
        <v/>
      </c>
      <c r="AU24" s="98" t="str">
        <f>IF(AW24&lt;&gt;"",VLOOKUP($P24&amp;" | "&amp;AU$6,'Job Master'!$F$12:$J$102,5,0),"")</f>
        <v/>
      </c>
      <c r="AV24" s="19" t="str">
        <f>IF(AW24&lt;&gt;"",VLOOKUP($P24&amp;" | "&amp;AU$6,'Job Master'!$F$12:$J$102,3,0),"")</f>
        <v/>
      </c>
      <c r="AW24" s="19" t="str">
        <f>IFERROR(IF(AND(BD24&lt;&gt;"",VLOOKUP($P24&amp;" | "&amp;AU$6,'Job Master'!$F$12:$I$102,4,0)&lt;&gt;""),IF(WEEKDAY(BD24-VLOOKUP($P24&amp;" | "&amp;AU$6,'Job Master'!$F$12:$I$102,4,0))&lt;&gt;7,BD24-VLOOKUP($P24&amp;" | "&amp;AU$6,'Job Master'!$F$12:$I$102,4,0),BD24-VLOOKUP($P24&amp;" | "&amp;AU$6,'Job Master'!$F$12:$I$102,4,0)-1),""),"")</f>
        <v/>
      </c>
      <c r="AX24" s="73"/>
      <c r="AY24" s="123" t="str">
        <f t="shared" si="19"/>
        <v/>
      </c>
      <c r="AZ24" s="123" t="str">
        <f t="shared" si="20"/>
        <v/>
      </c>
      <c r="BA24" s="97" t="str">
        <f t="shared" ca="1" si="21"/>
        <v/>
      </c>
      <c r="BB24" s="98" t="str">
        <f>IF(BD24&lt;&gt;"",VLOOKUP($P24&amp;" | "&amp;BB$6,'Job Master'!$F$12:$J$102,5,0),"")</f>
        <v/>
      </c>
      <c r="BC24" s="19" t="str">
        <f>IF(BD24&lt;&gt;"",VLOOKUP($P24&amp;" | "&amp;BB$6,'Job Master'!$F$12:$J$102,3,0),"")</f>
        <v/>
      </c>
      <c r="BD24" s="19" t="str">
        <f>IFERROR(IF(AND(BK24&lt;&gt;"",VLOOKUP($P24&amp;" | "&amp;BB$6,'Job Master'!$F$12:$I$102,4,0)&lt;&gt;""),IF(WEEKDAY(BK24-VLOOKUP($P24&amp;" | "&amp;BB$6,'Job Master'!$F$12:$I$102,4,0))&lt;&gt;7,BK24-VLOOKUP($P24&amp;" | "&amp;BB$6,'Job Master'!$F$12:$I$102,4,0),BK24-VLOOKUP($P24&amp;" | "&amp;BB$6,'Job Master'!$F$12:$I$102,4,0)-1),""),"")</f>
        <v/>
      </c>
      <c r="BE24" s="73"/>
      <c r="BF24" s="123" t="str">
        <f t="shared" si="22"/>
        <v/>
      </c>
      <c r="BG24" s="123" t="str">
        <f t="shared" si="23"/>
        <v/>
      </c>
      <c r="BH24" s="97" t="str">
        <f t="shared" ca="1" si="24"/>
        <v/>
      </c>
      <c r="BI24" s="98" t="str">
        <f>IF(BK24&lt;&gt;"",VLOOKUP($P24&amp;" | "&amp;BI$6,'Job Master'!$F$12:$J$102,5,0),"")</f>
        <v/>
      </c>
      <c r="BJ24" s="19" t="str">
        <f>IF(BK24&lt;&gt;"",VLOOKUP($P24&amp;" | "&amp;BI$6,'Job Master'!$F$12:$J$102,3,0),"")</f>
        <v/>
      </c>
      <c r="BK24" s="19" t="str">
        <f>IFERROR(IF(AND(BR24&lt;&gt;"",VLOOKUP($P24&amp;" | "&amp;BI$6,'Job Master'!$F$12:$I$102,4,0)&lt;&gt;""),IF(WEEKDAY(BR24-VLOOKUP($P24&amp;" | "&amp;BI$6,'Job Master'!$F$12:$I$102,4,0))&lt;&gt;7,BR24-VLOOKUP($P24&amp;" | "&amp;BI$6,'Job Master'!$F$12:$I$102,4,0),BR24-VLOOKUP($P24&amp;" | "&amp;BI$6,'Job Master'!$F$12:$I$102,4,0)-1),""),"")</f>
        <v/>
      </c>
      <c r="BL24" s="73"/>
      <c r="BM24" s="123" t="str">
        <f t="shared" si="25"/>
        <v/>
      </c>
      <c r="BN24" s="123" t="str">
        <f t="shared" si="26"/>
        <v/>
      </c>
      <c r="BO24" s="97" t="str">
        <f t="shared" ca="1" si="27"/>
        <v/>
      </c>
      <c r="BP24" s="98" t="str">
        <f>IF(BR24&lt;&gt;"",VLOOKUP($P24&amp;" | "&amp;BP$6,'Job Master'!$F$12:$J$102,5,0),"")</f>
        <v/>
      </c>
      <c r="BQ24" s="19" t="str">
        <f>IF(BR24&lt;&gt;"",VLOOKUP($P24&amp;" | "&amp;BP$6,'Job Master'!$F$12:$J$102,3,0),"")</f>
        <v/>
      </c>
      <c r="BR24" s="19" t="str">
        <f>IFERROR(IF(AND(BY24&lt;&gt;"",VLOOKUP($P24&amp;" | "&amp;BP$6,'Job Master'!$F$12:$I$102,4,0)&lt;&gt;""),IF(WEEKDAY(BY24-VLOOKUP($P24&amp;" | "&amp;BP$6,'Job Master'!$F$12:$I$102,4,0))&lt;&gt;7,BY24-VLOOKUP($P24&amp;" | "&amp;BP$6,'Job Master'!$F$12:$I$102,4,0),BY24-VLOOKUP($P24&amp;" | "&amp;BP$6,'Job Master'!$F$12:$I$102,4,0)-1),""),"")</f>
        <v/>
      </c>
      <c r="BS24" s="73"/>
      <c r="BT24" s="123" t="str">
        <f t="shared" si="28"/>
        <v/>
      </c>
      <c r="BU24" s="123" t="str">
        <f t="shared" si="29"/>
        <v/>
      </c>
      <c r="BV24" s="97" t="str">
        <f t="shared" ca="1" si="30"/>
        <v/>
      </c>
      <c r="BW24" s="98" t="str">
        <f>IF(BY24&lt;&gt;"",VLOOKUP($P24&amp;" | "&amp;BW$6,'Job Master'!$F$12:$J$102,5,0),"")</f>
        <v/>
      </c>
      <c r="BX24" s="19" t="str">
        <f>IF(BY24&lt;&gt;"",VLOOKUP($P24&amp;" | "&amp;BW$6,'Job Master'!$F$12:$J$102,3,0),"")</f>
        <v/>
      </c>
      <c r="BY24" s="19" t="str">
        <f>IFERROR(IF(AND(CF24&lt;&gt;"",VLOOKUP($P24&amp;" | "&amp;BW$6,'Job Master'!$F$12:$I$102,4,0)&lt;&gt;""),IF(WEEKDAY(CF24-VLOOKUP($P24&amp;" | "&amp;BW$6,'Job Master'!$F$12:$I$102,4,0))&lt;&gt;7,CF24-VLOOKUP($P24&amp;" | "&amp;BW$6,'Job Master'!$F$12:$I$102,4,0),CF24-VLOOKUP($P24&amp;" | "&amp;BW$6,'Job Master'!$F$12:$I$102,4,0)-1),""),"")</f>
        <v/>
      </c>
      <c r="BZ24" s="73"/>
      <c r="CA24" s="123" t="str">
        <f t="shared" si="31"/>
        <v/>
      </c>
      <c r="CB24" s="123" t="str">
        <f t="shared" si="32"/>
        <v/>
      </c>
      <c r="CC24" s="97" t="str">
        <f t="shared" ca="1" si="33"/>
        <v/>
      </c>
      <c r="CD24" s="98" t="str">
        <f>IF(CF24&lt;&gt;"",VLOOKUP($P24&amp;" | "&amp;CD$6,'Job Master'!$F$12:$J$102,5,0),"")</f>
        <v/>
      </c>
      <c r="CE24" s="19" t="str">
        <f>IF(CF24&lt;&gt;"",VLOOKUP($P24&amp;" | "&amp;CD$6,'Job Master'!$F$12:$J$102,3,0),"")</f>
        <v/>
      </c>
      <c r="CF24" s="19" t="str">
        <f>IFERROR(IF(AND(CM24&lt;&gt;"",VLOOKUP($P24&amp;" | "&amp;CD$6,'Job Master'!$F$12:$I$102,4,0)&lt;&gt;""),IF(WEEKDAY(CM24-VLOOKUP($P24&amp;" | "&amp;CD$6,'Job Master'!$F$12:$I$102,4,0))&lt;&gt;7,CM24-VLOOKUP($P24&amp;" | "&amp;CD$6,'Job Master'!$F$12:$I$102,4,0),CM24-VLOOKUP($P24&amp;" | "&amp;CD$6,'Job Master'!$F$12:$I$102,4,0)-1),""),"")</f>
        <v/>
      </c>
      <c r="CG24" s="73"/>
      <c r="CH24" s="123" t="str">
        <f t="shared" si="34"/>
        <v/>
      </c>
      <c r="CI24" s="123" t="str">
        <f t="shared" si="35"/>
        <v/>
      </c>
      <c r="CJ24" s="97" t="str">
        <f t="shared" ca="1" si="36"/>
        <v/>
      </c>
      <c r="CK24" s="98" t="str">
        <f>IF(CM24&lt;&gt;"",VLOOKUP($P24&amp;" | "&amp;CK$6,'Job Master'!$F$12:$J$102,5,0),"")</f>
        <v/>
      </c>
      <c r="CL24" s="19" t="str">
        <f>IF(CM24&lt;&gt;"",VLOOKUP($P24&amp;" | "&amp;CK$6,'Job Master'!$F$12:$J$102,3,0),"")</f>
        <v/>
      </c>
      <c r="CM24" s="19" t="str">
        <f>IFERROR(IF(AND(CT24&lt;&gt;"",VLOOKUP($P24&amp;" | "&amp;CK$6,'Job Master'!$F$12:$I$102,4,0)&lt;&gt;""),IF(WEEKDAY(CT24-VLOOKUP($P24&amp;" | "&amp;CK$6,'Job Master'!$F$12:$I$102,4,0))&lt;&gt;7,CT24-VLOOKUP($P24&amp;" | "&amp;CK$6,'Job Master'!$F$12:$I$102,4,0),CT24-VLOOKUP($P24&amp;" | "&amp;CK$6,'Job Master'!$F$12:$I$102,4,0)-1),""),"")</f>
        <v/>
      </c>
      <c r="CN24" s="73"/>
      <c r="CO24" s="123" t="str">
        <f t="shared" si="37"/>
        <v/>
      </c>
      <c r="CP24" s="123" t="str">
        <f t="shared" si="38"/>
        <v/>
      </c>
      <c r="CQ24" s="97" t="str">
        <f t="shared" ca="1" si="39"/>
        <v/>
      </c>
      <c r="CR24" s="98" t="str">
        <f>IF(CT24&lt;&gt;"",VLOOKUP($P24&amp;" | "&amp;CR$6,'Job Master'!$F$12:$J$102,5,0),"")</f>
        <v/>
      </c>
      <c r="CS24" s="19" t="str">
        <f>IF(CT24&lt;&gt;"",VLOOKUP($P24&amp;" | "&amp;CR$6,'Job Master'!$F$12:$J$102,3,0),"")</f>
        <v/>
      </c>
      <c r="CT24" s="19" t="str">
        <f>IFERROR(IF(AND(DA24&lt;&gt;"",VLOOKUP($P24&amp;" | "&amp;CR$6,'Job Master'!$F$12:$I$102,4,0)&lt;&gt;""),IF(WEEKDAY(DA24-VLOOKUP($P24&amp;" | "&amp;CR$6,'Job Master'!$F$12:$I$102,4,0))&lt;&gt;7,DA24-VLOOKUP($P24&amp;" | "&amp;CR$6,'Job Master'!$F$12:$I$102,4,0),DA24-VLOOKUP($P24&amp;" | "&amp;CR$6,'Job Master'!$F$12:$I$102,4,0)-1),""),"")</f>
        <v/>
      </c>
      <c r="CU24" s="73"/>
      <c r="CV24" s="123" t="str">
        <f t="shared" si="40"/>
        <v/>
      </c>
      <c r="CW24" s="123" t="str">
        <f t="shared" si="41"/>
        <v/>
      </c>
      <c r="CX24" s="97" t="str">
        <f t="shared" ca="1" si="42"/>
        <v/>
      </c>
      <c r="CY24" s="98" t="str">
        <f>IF(DA24&lt;&gt;"",VLOOKUP($P24&amp;" | "&amp;CY$6,'Job Master'!$F$12:$J$102,5,0),"")</f>
        <v/>
      </c>
      <c r="CZ24" s="19" t="str">
        <f>IF(DA24&lt;&gt;"",VLOOKUP($P24&amp;" | "&amp;CY$6,'Job Master'!$F$12:$J$102,3,0),"")</f>
        <v/>
      </c>
      <c r="DA24" s="19" t="str">
        <f>IFERROR(IF(AND(DH24&lt;&gt;"",VLOOKUP($P24&amp;" | "&amp;CY$6,'Job Master'!$F$12:$I$102,4,0)&lt;&gt;""),IF(WEEKDAY(DH24-VLOOKUP($P24&amp;" | "&amp;CY$6,'Job Master'!$F$12:$I$102,4,0))&lt;&gt;7,DH24-VLOOKUP($P24&amp;" | "&amp;CY$6,'Job Master'!$F$12:$I$102,4,0),DH24-VLOOKUP($P24&amp;" | "&amp;CY$6,'Job Master'!$F$12:$I$102,4,0)-1),""),"")</f>
        <v/>
      </c>
      <c r="DB24" s="73"/>
      <c r="DC24" s="123" t="str">
        <f t="shared" si="43"/>
        <v/>
      </c>
      <c r="DD24" s="123" t="str">
        <f t="shared" si="44"/>
        <v/>
      </c>
      <c r="DE24" s="97" t="str">
        <f t="shared" ca="1" si="45"/>
        <v/>
      </c>
      <c r="DF24" s="98" t="str">
        <f>IF(DH24&lt;&gt;"",VLOOKUP($P24&amp;" | "&amp;DF$6,'Job Master'!$F$12:$J$102,5,0),"")</f>
        <v/>
      </c>
      <c r="DG24" s="19" t="str">
        <f>IF(DH24&lt;&gt;"",VLOOKUP($P24&amp;" | "&amp;DF$6,'Job Master'!$F$12:$J$102,3,0),"")</f>
        <v/>
      </c>
      <c r="DH24" s="19" t="str">
        <f>IFERROR(IF(AND(DO24&lt;&gt;"",VLOOKUP($P24&amp;" | "&amp;DF$6,'Job Master'!$F$12:$I$102,4,0)&lt;&gt;""),IF(WEEKDAY(DO24-VLOOKUP($P24&amp;" | "&amp;DF$6,'Job Master'!$F$12:$I$102,4,0))&lt;&gt;7,DO24-VLOOKUP($P24&amp;" | "&amp;DF$6,'Job Master'!$F$12:$I$102,4,0),DO24-VLOOKUP($P24&amp;" | "&amp;DF$6,'Job Master'!$F$12:$I$102,4,0)-1),""),"")</f>
        <v/>
      </c>
      <c r="DI24" s="73"/>
      <c r="DJ24" s="123" t="str">
        <f t="shared" si="46"/>
        <v/>
      </c>
      <c r="DK24" s="123" t="str">
        <f t="shared" si="47"/>
        <v/>
      </c>
      <c r="DL24" s="97" t="str">
        <f t="shared" ca="1" si="48"/>
        <v/>
      </c>
      <c r="DM24" s="98" t="str">
        <f>IF(DO24&lt;&gt;"",VLOOKUP($P24&amp;" | "&amp;DM$6,'Job Master'!$F$12:$J$102,5,0),"")</f>
        <v/>
      </c>
      <c r="DN24" s="19" t="str">
        <f>IF(DO24&lt;&gt;"",VLOOKUP($P24&amp;" | "&amp;DM$6,'Job Master'!$F$12:$J$102,3,0),"")</f>
        <v/>
      </c>
      <c r="DO24" s="19" t="str">
        <f>IFERROR(IF(AND(DT24&lt;&gt;"",VLOOKUP($P24&amp;" | "&amp;DM$6,'Job Master'!$F$12:$I$102,4,0)&lt;&gt;""),IF(WEEKDAY(DT24-VLOOKUP($P24&amp;" | "&amp;DM$6,'Job Master'!$F$12:$I$102,4,0))&lt;&gt;7,DT24-VLOOKUP($P24&amp;" | "&amp;DM$6,'Job Master'!$F$12:$I$102,4,0),DT24-VLOOKUP($P24&amp;" | "&amp;DM$6,'Job Master'!$F$12:$I$102,4,0)-1),""),"")</f>
        <v/>
      </c>
      <c r="DP24" s="73"/>
      <c r="DQ24" s="123" t="str">
        <f t="shared" si="49"/>
        <v/>
      </c>
      <c r="DR24" s="123" t="str">
        <f t="shared" si="50"/>
        <v/>
      </c>
      <c r="DS24" s="97" t="str">
        <f t="shared" ca="1" si="51"/>
        <v/>
      </c>
      <c r="DT24" s="70" t="str">
        <f t="shared" si="52"/>
        <v/>
      </c>
      <c r="DU24" s="90"/>
      <c r="DV24" s="123" t="str">
        <f t="shared" si="53"/>
        <v/>
      </c>
      <c r="DW24" s="123" t="str">
        <f t="shared" si="54"/>
        <v/>
      </c>
      <c r="DX24" s="132" t="str">
        <f t="shared" ref="DX24" ca="1" si="82">IF(DT24&lt;&gt;"",IF(WEEKNUM(DT24)=WEEKNUM(TODAY()),"This Week",IF(WEEKNUM(DT24)=WEEKNUM(TODAY())+1,"Next Week",IF(WEEKNUM(DT24)=WEEKNUM(TODAY())-1,"Previous Week",""))),"")</f>
        <v/>
      </c>
      <c r="DY24" s="134" t="str">
        <f t="shared" si="56"/>
        <v/>
      </c>
      <c r="DZ24" s="95"/>
      <c r="EB24" s="8" t="str">
        <f t="shared" si="67"/>
        <v/>
      </c>
      <c r="EC24" s="8" t="str">
        <f>IF(O24&lt;&gt;"",VLOOKUP(O24,'Job Master'!$N$12:$O$18,2,0),"")</f>
        <v/>
      </c>
      <c r="ED24" s="8">
        <f t="shared" si="68"/>
        <v>19.5</v>
      </c>
      <c r="EE24" s="8">
        <f t="shared" si="69"/>
        <v>6</v>
      </c>
      <c r="EF24" s="8">
        <f t="shared" si="70"/>
        <v>-64.5</v>
      </c>
      <c r="EG24" s="8" t="str">
        <f t="shared" si="71"/>
        <v/>
      </c>
      <c r="EH24" s="8" t="str">
        <f t="shared" si="72"/>
        <v/>
      </c>
    </row>
    <row r="25" spans="2:138" x14ac:dyDescent="0.3">
      <c r="B25" s="112"/>
      <c r="C25" s="27"/>
      <c r="D25" s="7" t="str">
        <f t="shared" si="1"/>
        <v/>
      </c>
      <c r="E25" s="25"/>
      <c r="F25" s="7" t="str">
        <f t="shared" si="1"/>
        <v/>
      </c>
      <c r="G25" s="25"/>
      <c r="H25" s="7" t="str">
        <f t="shared" si="1"/>
        <v/>
      </c>
      <c r="I25" s="25"/>
      <c r="J25" s="7" t="str">
        <f t="shared" si="1"/>
        <v/>
      </c>
      <c r="K25" s="25"/>
      <c r="L25" s="7" t="str">
        <f t="shared" si="2"/>
        <v/>
      </c>
      <c r="M25" s="25"/>
      <c r="N25" s="7" t="str">
        <f t="shared" si="3"/>
        <v/>
      </c>
      <c r="O25" s="81"/>
      <c r="P25" s="81" t="str">
        <f t="shared" si="4"/>
        <v/>
      </c>
      <c r="Q25" s="81"/>
      <c r="R25" s="7" t="str">
        <f t="shared" si="5"/>
        <v/>
      </c>
      <c r="S25" s="25"/>
      <c r="T25" s="7" t="str">
        <f t="shared" si="6"/>
        <v/>
      </c>
      <c r="U25" s="25"/>
      <c r="V25" s="7" t="str">
        <f t="shared" si="7"/>
        <v/>
      </c>
      <c r="W25" s="25"/>
      <c r="X25" s="7" t="str">
        <f t="shared" si="8"/>
        <v/>
      </c>
      <c r="Y25" s="18" t="str">
        <f t="shared" si="9"/>
        <v/>
      </c>
      <c r="Z25" s="7" t="str">
        <f t="shared" si="10"/>
        <v/>
      </c>
      <c r="AA25" s="18" t="str">
        <f t="shared" si="11"/>
        <v/>
      </c>
      <c r="AB25" s="19" t="str">
        <f t="shared" si="12"/>
        <v/>
      </c>
      <c r="AC25" s="26"/>
      <c r="AD25" s="26"/>
      <c r="AE25" s="25"/>
      <c r="AF25" s="26"/>
      <c r="AG25" s="25"/>
      <c r="AH25" s="25"/>
      <c r="AI25" s="18" t="str">
        <f t="shared" ref="AI25:AI88" si="83">IF(IF(AH25&lt;&gt;"",AH25,IF($AA25&lt;&gt;"",AI24,""))&lt;&gt;0,IF(AH25&lt;&gt;"",AH25,IF($AA25&lt;&gt;"",AI24,"")),"")</f>
        <v/>
      </c>
      <c r="AJ25" s="25"/>
      <c r="AK25" s="18" t="str">
        <f t="shared" ref="AK25:AK88" si="84">IF(IF(AJ25&lt;&gt;"",AJ25,IF($AA25&lt;&gt;"",AK24,""))&lt;&gt;0,IF(AJ25&lt;&gt;"",AJ25,IF($AA25&lt;&gt;"",AK24,"")),"")</f>
        <v/>
      </c>
      <c r="AL25" s="79"/>
      <c r="AM25" s="126" t="str">
        <f t="shared" ref="AM25:AM88" si="85">IF(IF(AL25&lt;&gt;"",AL25,IF($AA25&lt;&gt;"",AM24,""))&lt;&gt;0,IF(AL25&lt;&gt;"",AL25,IF($AA25&lt;&gt;"",AM24,"")),"")</f>
        <v/>
      </c>
      <c r="AN25" s="128" t="str">
        <f>IF(AP25&lt;&gt;"",VLOOKUP($P25&amp;" | "&amp;AN$6,'Job Master'!$F$12:$J$102,5,0),"")</f>
        <v/>
      </c>
      <c r="AO25" s="19" t="str">
        <f>IF(AP25&lt;&gt;"",VLOOKUP($P25&amp;" | "&amp;AN$6,'Job Master'!$F$12:$J$102,3,0),"")</f>
        <v/>
      </c>
      <c r="AP25" s="19" t="str">
        <f>IFERROR(IF(AND(AW25&lt;&gt;"",VLOOKUP($P25&amp;" | "&amp;AN$6,'Job Master'!$F$12:$I$102,4,0)&lt;&gt;""),IF(WEEKDAY(AW25-VLOOKUP($P25&amp;" | "&amp;AN$6,'Job Master'!$F$12:$I$102,4,0))&lt;&gt;7,AW25-VLOOKUP($P25&amp;" | "&amp;AN$6,'Job Master'!$F$12:$I$102,4,0),AW25-VLOOKUP($P25&amp;" | "&amp;AN$6,'Job Master'!$F$12:$I$102,4,0)-1),""),"")</f>
        <v/>
      </c>
      <c r="AQ25" s="73"/>
      <c r="AR25" s="123" t="str">
        <f t="shared" si="16"/>
        <v/>
      </c>
      <c r="AS25" s="123" t="str">
        <f t="shared" si="17"/>
        <v/>
      </c>
      <c r="AT25" s="97" t="str">
        <f t="shared" ca="1" si="18"/>
        <v/>
      </c>
      <c r="AU25" s="98" t="str">
        <f>IF(AW25&lt;&gt;"",VLOOKUP($P25&amp;" | "&amp;AU$6,'Job Master'!$F$12:$J$102,5,0),"")</f>
        <v/>
      </c>
      <c r="AV25" s="19" t="str">
        <f>IF(AW25&lt;&gt;"",VLOOKUP($P25&amp;" | "&amp;AU$6,'Job Master'!$F$12:$J$102,3,0),"")</f>
        <v/>
      </c>
      <c r="AW25" s="19" t="str">
        <f>IFERROR(IF(AND(BD25&lt;&gt;"",VLOOKUP($P25&amp;" | "&amp;AU$6,'Job Master'!$F$12:$I$102,4,0)&lt;&gt;""),IF(WEEKDAY(BD25-VLOOKUP($P25&amp;" | "&amp;AU$6,'Job Master'!$F$12:$I$102,4,0))&lt;&gt;7,BD25-VLOOKUP($P25&amp;" | "&amp;AU$6,'Job Master'!$F$12:$I$102,4,0),BD25-VLOOKUP($P25&amp;" | "&amp;AU$6,'Job Master'!$F$12:$I$102,4,0)-1),""),"")</f>
        <v/>
      </c>
      <c r="AX25" s="73"/>
      <c r="AY25" s="123" t="str">
        <f t="shared" si="19"/>
        <v/>
      </c>
      <c r="AZ25" s="123" t="str">
        <f t="shared" si="20"/>
        <v/>
      </c>
      <c r="BA25" s="97" t="str">
        <f t="shared" ca="1" si="21"/>
        <v/>
      </c>
      <c r="BB25" s="98" t="str">
        <f>IF(BD25&lt;&gt;"",VLOOKUP($P25&amp;" | "&amp;BB$6,'Job Master'!$F$12:$J$102,5,0),"")</f>
        <v/>
      </c>
      <c r="BC25" s="19" t="str">
        <f>IF(BD25&lt;&gt;"",VLOOKUP($P25&amp;" | "&amp;BB$6,'Job Master'!$F$12:$J$102,3,0),"")</f>
        <v/>
      </c>
      <c r="BD25" s="19" t="str">
        <f>IFERROR(IF(AND(BK25&lt;&gt;"",VLOOKUP($P25&amp;" | "&amp;BB$6,'Job Master'!$F$12:$I$102,4,0)&lt;&gt;""),IF(WEEKDAY(BK25-VLOOKUP($P25&amp;" | "&amp;BB$6,'Job Master'!$F$12:$I$102,4,0))&lt;&gt;7,BK25-VLOOKUP($P25&amp;" | "&amp;BB$6,'Job Master'!$F$12:$I$102,4,0),BK25-VLOOKUP($P25&amp;" | "&amp;BB$6,'Job Master'!$F$12:$I$102,4,0)-1),""),"")</f>
        <v/>
      </c>
      <c r="BE25" s="73"/>
      <c r="BF25" s="123" t="str">
        <f t="shared" si="22"/>
        <v/>
      </c>
      <c r="BG25" s="123" t="str">
        <f t="shared" si="23"/>
        <v/>
      </c>
      <c r="BH25" s="97" t="str">
        <f t="shared" ca="1" si="24"/>
        <v/>
      </c>
      <c r="BI25" s="98" t="str">
        <f>IF(BK25&lt;&gt;"",VLOOKUP($P25&amp;" | "&amp;BI$6,'Job Master'!$F$12:$J$102,5,0),"")</f>
        <v/>
      </c>
      <c r="BJ25" s="19" t="str">
        <f>IF(BK25&lt;&gt;"",VLOOKUP($P25&amp;" | "&amp;BI$6,'Job Master'!$F$12:$J$102,3,0),"")</f>
        <v/>
      </c>
      <c r="BK25" s="19" t="str">
        <f>IFERROR(IF(AND(BR25&lt;&gt;"",VLOOKUP($P25&amp;" | "&amp;BI$6,'Job Master'!$F$12:$I$102,4,0)&lt;&gt;""),IF(WEEKDAY(BR25-VLOOKUP($P25&amp;" | "&amp;BI$6,'Job Master'!$F$12:$I$102,4,0))&lt;&gt;7,BR25-VLOOKUP($P25&amp;" | "&amp;BI$6,'Job Master'!$F$12:$I$102,4,0),BR25-VLOOKUP($P25&amp;" | "&amp;BI$6,'Job Master'!$F$12:$I$102,4,0)-1),""),"")</f>
        <v/>
      </c>
      <c r="BL25" s="73"/>
      <c r="BM25" s="123" t="str">
        <f t="shared" si="25"/>
        <v/>
      </c>
      <c r="BN25" s="123" t="str">
        <f t="shared" si="26"/>
        <v/>
      </c>
      <c r="BO25" s="97" t="str">
        <f t="shared" ca="1" si="27"/>
        <v/>
      </c>
      <c r="BP25" s="98" t="str">
        <f>IF(BR25&lt;&gt;"",VLOOKUP($P25&amp;" | "&amp;BP$6,'Job Master'!$F$12:$J$102,5,0),"")</f>
        <v/>
      </c>
      <c r="BQ25" s="19" t="str">
        <f>IF(BR25&lt;&gt;"",VLOOKUP($P25&amp;" | "&amp;BP$6,'Job Master'!$F$12:$J$102,3,0),"")</f>
        <v/>
      </c>
      <c r="BR25" s="19" t="str">
        <f>IFERROR(IF(AND(BY25&lt;&gt;"",VLOOKUP($P25&amp;" | "&amp;BP$6,'Job Master'!$F$12:$I$102,4,0)&lt;&gt;""),IF(WEEKDAY(BY25-VLOOKUP($P25&amp;" | "&amp;BP$6,'Job Master'!$F$12:$I$102,4,0))&lt;&gt;7,BY25-VLOOKUP($P25&amp;" | "&amp;BP$6,'Job Master'!$F$12:$I$102,4,0),BY25-VLOOKUP($P25&amp;" | "&amp;BP$6,'Job Master'!$F$12:$I$102,4,0)-1),""),"")</f>
        <v/>
      </c>
      <c r="BS25" s="73"/>
      <c r="BT25" s="123" t="str">
        <f t="shared" si="28"/>
        <v/>
      </c>
      <c r="BU25" s="123" t="str">
        <f t="shared" si="29"/>
        <v/>
      </c>
      <c r="BV25" s="97" t="str">
        <f t="shared" ca="1" si="30"/>
        <v/>
      </c>
      <c r="BW25" s="98" t="str">
        <f>IF(BY25&lt;&gt;"",VLOOKUP($P25&amp;" | "&amp;BW$6,'Job Master'!$F$12:$J$102,5,0),"")</f>
        <v/>
      </c>
      <c r="BX25" s="19" t="str">
        <f>IF(BY25&lt;&gt;"",VLOOKUP($P25&amp;" | "&amp;BW$6,'Job Master'!$F$12:$J$102,3,0),"")</f>
        <v/>
      </c>
      <c r="BY25" s="19" t="str">
        <f>IFERROR(IF(AND(CF25&lt;&gt;"",VLOOKUP($P25&amp;" | "&amp;BW$6,'Job Master'!$F$12:$I$102,4,0)&lt;&gt;""),IF(WEEKDAY(CF25-VLOOKUP($P25&amp;" | "&amp;BW$6,'Job Master'!$F$12:$I$102,4,0))&lt;&gt;7,CF25-VLOOKUP($P25&amp;" | "&amp;BW$6,'Job Master'!$F$12:$I$102,4,0),CF25-VLOOKUP($P25&amp;" | "&amp;BW$6,'Job Master'!$F$12:$I$102,4,0)-1),""),"")</f>
        <v/>
      </c>
      <c r="BZ25" s="73"/>
      <c r="CA25" s="123" t="str">
        <f t="shared" si="31"/>
        <v/>
      </c>
      <c r="CB25" s="123" t="str">
        <f t="shared" si="32"/>
        <v/>
      </c>
      <c r="CC25" s="97" t="str">
        <f t="shared" ca="1" si="33"/>
        <v/>
      </c>
      <c r="CD25" s="98" t="str">
        <f>IF(CF25&lt;&gt;"",VLOOKUP($P25&amp;" | "&amp;CD$6,'Job Master'!$F$12:$J$102,5,0),"")</f>
        <v/>
      </c>
      <c r="CE25" s="19" t="str">
        <f>IF(CF25&lt;&gt;"",VLOOKUP($P25&amp;" | "&amp;CD$6,'Job Master'!$F$12:$J$102,3,0),"")</f>
        <v/>
      </c>
      <c r="CF25" s="19" t="str">
        <f>IFERROR(IF(AND(CM25&lt;&gt;"",VLOOKUP($P25&amp;" | "&amp;CD$6,'Job Master'!$F$12:$I$102,4,0)&lt;&gt;""),IF(WEEKDAY(CM25-VLOOKUP($P25&amp;" | "&amp;CD$6,'Job Master'!$F$12:$I$102,4,0))&lt;&gt;7,CM25-VLOOKUP($P25&amp;" | "&amp;CD$6,'Job Master'!$F$12:$I$102,4,0),CM25-VLOOKUP($P25&amp;" | "&amp;CD$6,'Job Master'!$F$12:$I$102,4,0)-1),""),"")</f>
        <v/>
      </c>
      <c r="CG25" s="73"/>
      <c r="CH25" s="123" t="str">
        <f t="shared" si="34"/>
        <v/>
      </c>
      <c r="CI25" s="123" t="str">
        <f t="shared" si="35"/>
        <v/>
      </c>
      <c r="CJ25" s="97" t="str">
        <f t="shared" ca="1" si="36"/>
        <v/>
      </c>
      <c r="CK25" s="98" t="str">
        <f>IF(CM25&lt;&gt;"",VLOOKUP($P25&amp;" | "&amp;CK$6,'Job Master'!$F$12:$J$102,5,0),"")</f>
        <v/>
      </c>
      <c r="CL25" s="19" t="str">
        <f>IF(CM25&lt;&gt;"",VLOOKUP($P25&amp;" | "&amp;CK$6,'Job Master'!$F$12:$J$102,3,0),"")</f>
        <v/>
      </c>
      <c r="CM25" s="19" t="str">
        <f>IFERROR(IF(AND(CT25&lt;&gt;"",VLOOKUP($P25&amp;" | "&amp;CK$6,'Job Master'!$F$12:$I$102,4,0)&lt;&gt;""),IF(WEEKDAY(CT25-VLOOKUP($P25&amp;" | "&amp;CK$6,'Job Master'!$F$12:$I$102,4,0))&lt;&gt;7,CT25-VLOOKUP($P25&amp;" | "&amp;CK$6,'Job Master'!$F$12:$I$102,4,0),CT25-VLOOKUP($P25&amp;" | "&amp;CK$6,'Job Master'!$F$12:$I$102,4,0)-1),""),"")</f>
        <v/>
      </c>
      <c r="CN25" s="73"/>
      <c r="CO25" s="123" t="str">
        <f t="shared" si="37"/>
        <v/>
      </c>
      <c r="CP25" s="123" t="str">
        <f t="shared" si="38"/>
        <v/>
      </c>
      <c r="CQ25" s="97" t="str">
        <f t="shared" ca="1" si="39"/>
        <v/>
      </c>
      <c r="CR25" s="98" t="str">
        <f>IF(CT25&lt;&gt;"",VLOOKUP($P25&amp;" | "&amp;CR$6,'Job Master'!$F$12:$J$102,5,0),"")</f>
        <v/>
      </c>
      <c r="CS25" s="19" t="str">
        <f>IF(CT25&lt;&gt;"",VLOOKUP($P25&amp;" | "&amp;CR$6,'Job Master'!$F$12:$J$102,3,0),"")</f>
        <v/>
      </c>
      <c r="CT25" s="19" t="str">
        <f>IFERROR(IF(AND(DA25&lt;&gt;"",VLOOKUP($P25&amp;" | "&amp;CR$6,'Job Master'!$F$12:$I$102,4,0)&lt;&gt;""),IF(WEEKDAY(DA25-VLOOKUP($P25&amp;" | "&amp;CR$6,'Job Master'!$F$12:$I$102,4,0))&lt;&gt;7,DA25-VLOOKUP($P25&amp;" | "&amp;CR$6,'Job Master'!$F$12:$I$102,4,0),DA25-VLOOKUP($P25&amp;" | "&amp;CR$6,'Job Master'!$F$12:$I$102,4,0)-1),""),"")</f>
        <v/>
      </c>
      <c r="CU25" s="73"/>
      <c r="CV25" s="123" t="str">
        <f t="shared" si="40"/>
        <v/>
      </c>
      <c r="CW25" s="123" t="str">
        <f t="shared" si="41"/>
        <v/>
      </c>
      <c r="CX25" s="97" t="str">
        <f t="shared" ca="1" si="42"/>
        <v/>
      </c>
      <c r="CY25" s="98" t="str">
        <f>IF(DA25&lt;&gt;"",VLOOKUP($P25&amp;" | "&amp;CY$6,'Job Master'!$F$12:$J$102,5,0),"")</f>
        <v/>
      </c>
      <c r="CZ25" s="19" t="str">
        <f>IF(DA25&lt;&gt;"",VLOOKUP($P25&amp;" | "&amp;CY$6,'Job Master'!$F$12:$J$102,3,0),"")</f>
        <v/>
      </c>
      <c r="DA25" s="19" t="str">
        <f>IFERROR(IF(AND(DH25&lt;&gt;"",VLOOKUP($P25&amp;" | "&amp;CY$6,'Job Master'!$F$12:$I$102,4,0)&lt;&gt;""),IF(WEEKDAY(DH25-VLOOKUP($P25&amp;" | "&amp;CY$6,'Job Master'!$F$12:$I$102,4,0))&lt;&gt;7,DH25-VLOOKUP($P25&amp;" | "&amp;CY$6,'Job Master'!$F$12:$I$102,4,0),DH25-VLOOKUP($P25&amp;" | "&amp;CY$6,'Job Master'!$F$12:$I$102,4,0)-1),""),"")</f>
        <v/>
      </c>
      <c r="DB25" s="73"/>
      <c r="DC25" s="123" t="str">
        <f t="shared" si="43"/>
        <v/>
      </c>
      <c r="DD25" s="123" t="str">
        <f t="shared" si="44"/>
        <v/>
      </c>
      <c r="DE25" s="97" t="str">
        <f t="shared" ca="1" si="45"/>
        <v/>
      </c>
      <c r="DF25" s="98" t="str">
        <f>IF(DH25&lt;&gt;"",VLOOKUP($P25&amp;" | "&amp;DF$6,'Job Master'!$F$12:$J$102,5,0),"")</f>
        <v/>
      </c>
      <c r="DG25" s="19" t="str">
        <f>IF(DH25&lt;&gt;"",VLOOKUP($P25&amp;" | "&amp;DF$6,'Job Master'!$F$12:$J$102,3,0),"")</f>
        <v/>
      </c>
      <c r="DH25" s="19" t="str">
        <f>IFERROR(IF(AND(DO25&lt;&gt;"",VLOOKUP($P25&amp;" | "&amp;DF$6,'Job Master'!$F$12:$I$102,4,0)&lt;&gt;""),IF(WEEKDAY(DO25-VLOOKUP($P25&amp;" | "&amp;DF$6,'Job Master'!$F$12:$I$102,4,0))&lt;&gt;7,DO25-VLOOKUP($P25&amp;" | "&amp;DF$6,'Job Master'!$F$12:$I$102,4,0),DO25-VLOOKUP($P25&amp;" | "&amp;DF$6,'Job Master'!$F$12:$I$102,4,0)-1),""),"")</f>
        <v/>
      </c>
      <c r="DI25" s="73"/>
      <c r="DJ25" s="123" t="str">
        <f t="shared" si="46"/>
        <v/>
      </c>
      <c r="DK25" s="123" t="str">
        <f t="shared" si="47"/>
        <v/>
      </c>
      <c r="DL25" s="97" t="str">
        <f t="shared" ca="1" si="48"/>
        <v/>
      </c>
      <c r="DM25" s="98" t="str">
        <f>IF(DO25&lt;&gt;"",VLOOKUP($P25&amp;" | "&amp;DM$6,'Job Master'!$F$12:$J$102,5,0),"")</f>
        <v/>
      </c>
      <c r="DN25" s="19" t="str">
        <f>IF(DO25&lt;&gt;"",VLOOKUP($P25&amp;" | "&amp;DM$6,'Job Master'!$F$12:$J$102,3,0),"")</f>
        <v/>
      </c>
      <c r="DO25" s="19" t="str">
        <f>IFERROR(IF(AND(DT25&lt;&gt;"",VLOOKUP($P25&amp;" | "&amp;DM$6,'Job Master'!$F$12:$I$102,4,0)&lt;&gt;""),IF(WEEKDAY(DT25-VLOOKUP($P25&amp;" | "&amp;DM$6,'Job Master'!$F$12:$I$102,4,0))&lt;&gt;7,DT25-VLOOKUP($P25&amp;" | "&amp;DM$6,'Job Master'!$F$12:$I$102,4,0),DT25-VLOOKUP($P25&amp;" | "&amp;DM$6,'Job Master'!$F$12:$I$102,4,0)-1),""),"")</f>
        <v/>
      </c>
      <c r="DP25" s="73"/>
      <c r="DQ25" s="123" t="str">
        <f t="shared" si="49"/>
        <v/>
      </c>
      <c r="DR25" s="123" t="str">
        <f t="shared" si="50"/>
        <v/>
      </c>
      <c r="DS25" s="97" t="str">
        <f t="shared" ca="1" si="51"/>
        <v/>
      </c>
      <c r="DT25" s="70" t="str">
        <f t="shared" si="52"/>
        <v/>
      </c>
      <c r="DU25" s="90"/>
      <c r="DV25" s="123" t="str">
        <f t="shared" si="53"/>
        <v/>
      </c>
      <c r="DW25" s="123" t="str">
        <f t="shared" si="54"/>
        <v/>
      </c>
      <c r="DX25" s="132" t="str">
        <f t="shared" ref="DX25" ca="1" si="86">IF(DT25&lt;&gt;"",IF(WEEKNUM(DT25)=WEEKNUM(TODAY()),"This Week",IF(WEEKNUM(DT25)=WEEKNUM(TODAY())+1,"Next Week",IF(WEEKNUM(DT25)=WEEKNUM(TODAY())-1,"Previous Week",""))),"")</f>
        <v/>
      </c>
      <c r="DY25" s="134" t="str">
        <f t="shared" si="56"/>
        <v/>
      </c>
      <c r="DZ25" s="95"/>
      <c r="EB25" s="8" t="str">
        <f t="shared" si="67"/>
        <v/>
      </c>
      <c r="EC25" s="8" t="str">
        <f>IF(O25&lt;&gt;"",VLOOKUP(O25,'Job Master'!$N$12:$O$18,2,0),"")</f>
        <v/>
      </c>
      <c r="ED25" s="8">
        <f t="shared" si="68"/>
        <v>19.5</v>
      </c>
      <c r="EE25" s="8">
        <f t="shared" si="69"/>
        <v>6</v>
      </c>
      <c r="EF25" s="8">
        <f t="shared" si="70"/>
        <v>-70.5</v>
      </c>
      <c r="EG25" s="8" t="str">
        <f t="shared" si="71"/>
        <v/>
      </c>
      <c r="EH25" s="8" t="str">
        <f t="shared" si="72"/>
        <v/>
      </c>
    </row>
    <row r="26" spans="2:138" x14ac:dyDescent="0.3">
      <c r="B26" s="112"/>
      <c r="C26" s="27"/>
      <c r="D26" s="7" t="str">
        <f t="shared" si="1"/>
        <v/>
      </c>
      <c r="E26" s="25"/>
      <c r="F26" s="7" t="str">
        <f t="shared" si="1"/>
        <v/>
      </c>
      <c r="G26" s="25"/>
      <c r="H26" s="7" t="str">
        <f t="shared" si="1"/>
        <v/>
      </c>
      <c r="I26" s="25"/>
      <c r="J26" s="7" t="str">
        <f t="shared" si="1"/>
        <v/>
      </c>
      <c r="K26" s="25"/>
      <c r="L26" s="7" t="str">
        <f t="shared" si="2"/>
        <v/>
      </c>
      <c r="M26" s="25"/>
      <c r="N26" s="7" t="str">
        <f t="shared" si="3"/>
        <v/>
      </c>
      <c r="O26" s="81"/>
      <c r="P26" s="81" t="str">
        <f t="shared" si="4"/>
        <v/>
      </c>
      <c r="Q26" s="81"/>
      <c r="R26" s="7" t="str">
        <f t="shared" si="5"/>
        <v/>
      </c>
      <c r="S26" s="25"/>
      <c r="T26" s="7" t="str">
        <f t="shared" si="6"/>
        <v/>
      </c>
      <c r="U26" s="25"/>
      <c r="V26" s="7" t="str">
        <f t="shared" si="7"/>
        <v/>
      </c>
      <c r="W26" s="25"/>
      <c r="X26" s="7" t="str">
        <f t="shared" si="8"/>
        <v/>
      </c>
      <c r="Y26" s="18" t="str">
        <f t="shared" si="9"/>
        <v/>
      </c>
      <c r="Z26" s="7" t="str">
        <f t="shared" si="10"/>
        <v/>
      </c>
      <c r="AA26" s="18" t="str">
        <f t="shared" si="11"/>
        <v/>
      </c>
      <c r="AB26" s="19" t="str">
        <f t="shared" si="12"/>
        <v/>
      </c>
      <c r="AC26" s="26"/>
      <c r="AD26" s="26"/>
      <c r="AE26" s="25"/>
      <c r="AF26" s="26"/>
      <c r="AG26" s="25"/>
      <c r="AH26" s="25"/>
      <c r="AI26" s="18" t="str">
        <f t="shared" si="83"/>
        <v/>
      </c>
      <c r="AJ26" s="25"/>
      <c r="AK26" s="18" t="str">
        <f t="shared" si="84"/>
        <v/>
      </c>
      <c r="AL26" s="79"/>
      <c r="AM26" s="126" t="str">
        <f t="shared" si="85"/>
        <v/>
      </c>
      <c r="AN26" s="128" t="str">
        <f>IF(AP26&lt;&gt;"",VLOOKUP($P26&amp;" | "&amp;AN$6,'Job Master'!$F$12:$J$102,5,0),"")</f>
        <v/>
      </c>
      <c r="AO26" s="19" t="str">
        <f>IF(AP26&lt;&gt;"",VLOOKUP($P26&amp;" | "&amp;AN$6,'Job Master'!$F$12:$J$102,3,0),"")</f>
        <v/>
      </c>
      <c r="AP26" s="19" t="str">
        <f>IFERROR(IF(AND(AW26&lt;&gt;"",VLOOKUP($P26&amp;" | "&amp;AN$6,'Job Master'!$F$12:$I$102,4,0)&lt;&gt;""),IF(WEEKDAY(AW26-VLOOKUP($P26&amp;" | "&amp;AN$6,'Job Master'!$F$12:$I$102,4,0))&lt;&gt;7,AW26-VLOOKUP($P26&amp;" | "&amp;AN$6,'Job Master'!$F$12:$I$102,4,0),AW26-VLOOKUP($P26&amp;" | "&amp;AN$6,'Job Master'!$F$12:$I$102,4,0)-1),""),"")</f>
        <v/>
      </c>
      <c r="AQ26" s="73"/>
      <c r="AR26" s="123" t="str">
        <f t="shared" si="16"/>
        <v/>
      </c>
      <c r="AS26" s="123" t="str">
        <f t="shared" si="17"/>
        <v/>
      </c>
      <c r="AT26" s="97" t="str">
        <f t="shared" ca="1" si="18"/>
        <v/>
      </c>
      <c r="AU26" s="98" t="str">
        <f>IF(AW26&lt;&gt;"",VLOOKUP($P26&amp;" | "&amp;AU$6,'Job Master'!$F$12:$J$102,5,0),"")</f>
        <v/>
      </c>
      <c r="AV26" s="19" t="str">
        <f>IF(AW26&lt;&gt;"",VLOOKUP($P26&amp;" | "&amp;AU$6,'Job Master'!$F$12:$J$102,3,0),"")</f>
        <v/>
      </c>
      <c r="AW26" s="19" t="str">
        <f>IFERROR(IF(AND(BD26&lt;&gt;"",VLOOKUP($P26&amp;" | "&amp;AU$6,'Job Master'!$F$12:$I$102,4,0)&lt;&gt;""),IF(WEEKDAY(BD26-VLOOKUP($P26&amp;" | "&amp;AU$6,'Job Master'!$F$12:$I$102,4,0))&lt;&gt;7,BD26-VLOOKUP($P26&amp;" | "&amp;AU$6,'Job Master'!$F$12:$I$102,4,0),BD26-VLOOKUP($P26&amp;" | "&amp;AU$6,'Job Master'!$F$12:$I$102,4,0)-1),""),"")</f>
        <v/>
      </c>
      <c r="AX26" s="73"/>
      <c r="AY26" s="123" t="str">
        <f t="shared" si="19"/>
        <v/>
      </c>
      <c r="AZ26" s="123" t="str">
        <f t="shared" si="20"/>
        <v/>
      </c>
      <c r="BA26" s="97" t="str">
        <f t="shared" ca="1" si="21"/>
        <v/>
      </c>
      <c r="BB26" s="98" t="str">
        <f>IF(BD26&lt;&gt;"",VLOOKUP($P26&amp;" | "&amp;BB$6,'Job Master'!$F$12:$J$102,5,0),"")</f>
        <v/>
      </c>
      <c r="BC26" s="19" t="str">
        <f>IF(BD26&lt;&gt;"",VLOOKUP($P26&amp;" | "&amp;BB$6,'Job Master'!$F$12:$J$102,3,0),"")</f>
        <v/>
      </c>
      <c r="BD26" s="19" t="str">
        <f>IFERROR(IF(AND(BK26&lt;&gt;"",VLOOKUP($P26&amp;" | "&amp;BB$6,'Job Master'!$F$12:$I$102,4,0)&lt;&gt;""),IF(WEEKDAY(BK26-VLOOKUP($P26&amp;" | "&amp;BB$6,'Job Master'!$F$12:$I$102,4,0))&lt;&gt;7,BK26-VLOOKUP($P26&amp;" | "&amp;BB$6,'Job Master'!$F$12:$I$102,4,0),BK26-VLOOKUP($P26&amp;" | "&amp;BB$6,'Job Master'!$F$12:$I$102,4,0)-1),""),"")</f>
        <v/>
      </c>
      <c r="BE26" s="73"/>
      <c r="BF26" s="123" t="str">
        <f t="shared" si="22"/>
        <v/>
      </c>
      <c r="BG26" s="123" t="str">
        <f t="shared" si="23"/>
        <v/>
      </c>
      <c r="BH26" s="97" t="str">
        <f t="shared" ca="1" si="24"/>
        <v/>
      </c>
      <c r="BI26" s="98" t="str">
        <f>IF(BK26&lt;&gt;"",VLOOKUP($P26&amp;" | "&amp;BI$6,'Job Master'!$F$12:$J$102,5,0),"")</f>
        <v/>
      </c>
      <c r="BJ26" s="19" t="str">
        <f>IF(BK26&lt;&gt;"",VLOOKUP($P26&amp;" | "&amp;BI$6,'Job Master'!$F$12:$J$102,3,0),"")</f>
        <v/>
      </c>
      <c r="BK26" s="19" t="str">
        <f>IFERROR(IF(AND(BR26&lt;&gt;"",VLOOKUP($P26&amp;" | "&amp;BI$6,'Job Master'!$F$12:$I$102,4,0)&lt;&gt;""),IF(WEEKDAY(BR26-VLOOKUP($P26&amp;" | "&amp;BI$6,'Job Master'!$F$12:$I$102,4,0))&lt;&gt;7,BR26-VLOOKUP($P26&amp;" | "&amp;BI$6,'Job Master'!$F$12:$I$102,4,0),BR26-VLOOKUP($P26&amp;" | "&amp;BI$6,'Job Master'!$F$12:$I$102,4,0)-1),""),"")</f>
        <v/>
      </c>
      <c r="BL26" s="73"/>
      <c r="BM26" s="123" t="str">
        <f t="shared" si="25"/>
        <v/>
      </c>
      <c r="BN26" s="123" t="str">
        <f t="shared" si="26"/>
        <v/>
      </c>
      <c r="BO26" s="97" t="str">
        <f t="shared" ca="1" si="27"/>
        <v/>
      </c>
      <c r="BP26" s="98" t="str">
        <f>IF(BR26&lt;&gt;"",VLOOKUP($P26&amp;" | "&amp;BP$6,'Job Master'!$F$12:$J$102,5,0),"")</f>
        <v/>
      </c>
      <c r="BQ26" s="19" t="str">
        <f>IF(BR26&lt;&gt;"",VLOOKUP($P26&amp;" | "&amp;BP$6,'Job Master'!$F$12:$J$102,3,0),"")</f>
        <v/>
      </c>
      <c r="BR26" s="19" t="str">
        <f>IFERROR(IF(AND(BY26&lt;&gt;"",VLOOKUP($P26&amp;" | "&amp;BP$6,'Job Master'!$F$12:$I$102,4,0)&lt;&gt;""),IF(WEEKDAY(BY26-VLOOKUP($P26&amp;" | "&amp;BP$6,'Job Master'!$F$12:$I$102,4,0))&lt;&gt;7,BY26-VLOOKUP($P26&amp;" | "&amp;BP$6,'Job Master'!$F$12:$I$102,4,0),BY26-VLOOKUP($P26&amp;" | "&amp;BP$6,'Job Master'!$F$12:$I$102,4,0)-1),""),"")</f>
        <v/>
      </c>
      <c r="BS26" s="73"/>
      <c r="BT26" s="123" t="str">
        <f t="shared" si="28"/>
        <v/>
      </c>
      <c r="BU26" s="123" t="str">
        <f t="shared" si="29"/>
        <v/>
      </c>
      <c r="BV26" s="97" t="str">
        <f t="shared" ca="1" si="30"/>
        <v/>
      </c>
      <c r="BW26" s="98" t="str">
        <f>IF(BY26&lt;&gt;"",VLOOKUP($P26&amp;" | "&amp;BW$6,'Job Master'!$F$12:$J$102,5,0),"")</f>
        <v/>
      </c>
      <c r="BX26" s="19" t="str">
        <f>IF(BY26&lt;&gt;"",VLOOKUP($P26&amp;" | "&amp;BW$6,'Job Master'!$F$12:$J$102,3,0),"")</f>
        <v/>
      </c>
      <c r="BY26" s="19" t="str">
        <f>IFERROR(IF(AND(CF26&lt;&gt;"",VLOOKUP($P26&amp;" | "&amp;BW$6,'Job Master'!$F$12:$I$102,4,0)&lt;&gt;""),IF(WEEKDAY(CF26-VLOOKUP($P26&amp;" | "&amp;BW$6,'Job Master'!$F$12:$I$102,4,0))&lt;&gt;7,CF26-VLOOKUP($P26&amp;" | "&amp;BW$6,'Job Master'!$F$12:$I$102,4,0),CF26-VLOOKUP($P26&amp;" | "&amp;BW$6,'Job Master'!$F$12:$I$102,4,0)-1),""),"")</f>
        <v/>
      </c>
      <c r="BZ26" s="73"/>
      <c r="CA26" s="123" t="str">
        <f t="shared" si="31"/>
        <v/>
      </c>
      <c r="CB26" s="123" t="str">
        <f t="shared" si="32"/>
        <v/>
      </c>
      <c r="CC26" s="97" t="str">
        <f t="shared" ca="1" si="33"/>
        <v/>
      </c>
      <c r="CD26" s="98" t="str">
        <f>IF(CF26&lt;&gt;"",VLOOKUP($P26&amp;" | "&amp;CD$6,'Job Master'!$F$12:$J$102,5,0),"")</f>
        <v/>
      </c>
      <c r="CE26" s="19" t="str">
        <f>IF(CF26&lt;&gt;"",VLOOKUP($P26&amp;" | "&amp;CD$6,'Job Master'!$F$12:$J$102,3,0),"")</f>
        <v/>
      </c>
      <c r="CF26" s="19" t="str">
        <f>IFERROR(IF(AND(CM26&lt;&gt;"",VLOOKUP($P26&amp;" | "&amp;CD$6,'Job Master'!$F$12:$I$102,4,0)&lt;&gt;""),IF(WEEKDAY(CM26-VLOOKUP($P26&amp;" | "&amp;CD$6,'Job Master'!$F$12:$I$102,4,0))&lt;&gt;7,CM26-VLOOKUP($P26&amp;" | "&amp;CD$6,'Job Master'!$F$12:$I$102,4,0),CM26-VLOOKUP($P26&amp;" | "&amp;CD$6,'Job Master'!$F$12:$I$102,4,0)-1),""),"")</f>
        <v/>
      </c>
      <c r="CG26" s="73"/>
      <c r="CH26" s="123" t="str">
        <f t="shared" si="34"/>
        <v/>
      </c>
      <c r="CI26" s="123" t="str">
        <f t="shared" si="35"/>
        <v/>
      </c>
      <c r="CJ26" s="97" t="str">
        <f t="shared" ca="1" si="36"/>
        <v/>
      </c>
      <c r="CK26" s="98" t="str">
        <f>IF(CM26&lt;&gt;"",VLOOKUP($P26&amp;" | "&amp;CK$6,'Job Master'!$F$12:$J$102,5,0),"")</f>
        <v/>
      </c>
      <c r="CL26" s="19" t="str">
        <f>IF(CM26&lt;&gt;"",VLOOKUP($P26&amp;" | "&amp;CK$6,'Job Master'!$F$12:$J$102,3,0),"")</f>
        <v/>
      </c>
      <c r="CM26" s="19" t="str">
        <f>IFERROR(IF(AND(CT26&lt;&gt;"",VLOOKUP($P26&amp;" | "&amp;CK$6,'Job Master'!$F$12:$I$102,4,0)&lt;&gt;""),IF(WEEKDAY(CT26-VLOOKUP($P26&amp;" | "&amp;CK$6,'Job Master'!$F$12:$I$102,4,0))&lt;&gt;7,CT26-VLOOKUP($P26&amp;" | "&amp;CK$6,'Job Master'!$F$12:$I$102,4,0),CT26-VLOOKUP($P26&amp;" | "&amp;CK$6,'Job Master'!$F$12:$I$102,4,0)-1),""),"")</f>
        <v/>
      </c>
      <c r="CN26" s="73"/>
      <c r="CO26" s="123" t="str">
        <f t="shared" si="37"/>
        <v/>
      </c>
      <c r="CP26" s="123" t="str">
        <f t="shared" si="38"/>
        <v/>
      </c>
      <c r="CQ26" s="97" t="str">
        <f t="shared" ca="1" si="39"/>
        <v/>
      </c>
      <c r="CR26" s="98" t="str">
        <f>IF(CT26&lt;&gt;"",VLOOKUP($P26&amp;" | "&amp;CR$6,'Job Master'!$F$12:$J$102,5,0),"")</f>
        <v/>
      </c>
      <c r="CS26" s="19" t="str">
        <f>IF(CT26&lt;&gt;"",VLOOKUP($P26&amp;" | "&amp;CR$6,'Job Master'!$F$12:$J$102,3,0),"")</f>
        <v/>
      </c>
      <c r="CT26" s="19" t="str">
        <f>IFERROR(IF(AND(DA26&lt;&gt;"",VLOOKUP($P26&amp;" | "&amp;CR$6,'Job Master'!$F$12:$I$102,4,0)&lt;&gt;""),IF(WEEKDAY(DA26-VLOOKUP($P26&amp;" | "&amp;CR$6,'Job Master'!$F$12:$I$102,4,0))&lt;&gt;7,DA26-VLOOKUP($P26&amp;" | "&amp;CR$6,'Job Master'!$F$12:$I$102,4,0),DA26-VLOOKUP($P26&amp;" | "&amp;CR$6,'Job Master'!$F$12:$I$102,4,0)-1),""),"")</f>
        <v/>
      </c>
      <c r="CU26" s="73"/>
      <c r="CV26" s="123" t="str">
        <f t="shared" si="40"/>
        <v/>
      </c>
      <c r="CW26" s="123" t="str">
        <f t="shared" si="41"/>
        <v/>
      </c>
      <c r="CX26" s="97" t="str">
        <f t="shared" ca="1" si="42"/>
        <v/>
      </c>
      <c r="CY26" s="98" t="str">
        <f>IF(DA26&lt;&gt;"",VLOOKUP($P26&amp;" | "&amp;CY$6,'Job Master'!$F$12:$J$102,5,0),"")</f>
        <v/>
      </c>
      <c r="CZ26" s="19" t="str">
        <f>IF(DA26&lt;&gt;"",VLOOKUP($P26&amp;" | "&amp;CY$6,'Job Master'!$F$12:$J$102,3,0),"")</f>
        <v/>
      </c>
      <c r="DA26" s="19" t="str">
        <f>IFERROR(IF(AND(DH26&lt;&gt;"",VLOOKUP($P26&amp;" | "&amp;CY$6,'Job Master'!$F$12:$I$102,4,0)&lt;&gt;""),IF(WEEKDAY(DH26-VLOOKUP($P26&amp;" | "&amp;CY$6,'Job Master'!$F$12:$I$102,4,0))&lt;&gt;7,DH26-VLOOKUP($P26&amp;" | "&amp;CY$6,'Job Master'!$F$12:$I$102,4,0),DH26-VLOOKUP($P26&amp;" | "&amp;CY$6,'Job Master'!$F$12:$I$102,4,0)-1),""),"")</f>
        <v/>
      </c>
      <c r="DB26" s="73"/>
      <c r="DC26" s="123" t="str">
        <f t="shared" si="43"/>
        <v/>
      </c>
      <c r="DD26" s="123" t="str">
        <f t="shared" si="44"/>
        <v/>
      </c>
      <c r="DE26" s="97" t="str">
        <f t="shared" ca="1" si="45"/>
        <v/>
      </c>
      <c r="DF26" s="98" t="str">
        <f>IF(DH26&lt;&gt;"",VLOOKUP($P26&amp;" | "&amp;DF$6,'Job Master'!$F$12:$J$102,5,0),"")</f>
        <v/>
      </c>
      <c r="DG26" s="19" t="str">
        <f>IF(DH26&lt;&gt;"",VLOOKUP($P26&amp;" | "&amp;DF$6,'Job Master'!$F$12:$J$102,3,0),"")</f>
        <v/>
      </c>
      <c r="DH26" s="19" t="str">
        <f>IFERROR(IF(AND(DO26&lt;&gt;"",VLOOKUP($P26&amp;" | "&amp;DF$6,'Job Master'!$F$12:$I$102,4,0)&lt;&gt;""),IF(WEEKDAY(DO26-VLOOKUP($P26&amp;" | "&amp;DF$6,'Job Master'!$F$12:$I$102,4,0))&lt;&gt;7,DO26-VLOOKUP($P26&amp;" | "&amp;DF$6,'Job Master'!$F$12:$I$102,4,0),DO26-VLOOKUP($P26&amp;" | "&amp;DF$6,'Job Master'!$F$12:$I$102,4,0)-1),""),"")</f>
        <v/>
      </c>
      <c r="DI26" s="73"/>
      <c r="DJ26" s="123" t="str">
        <f t="shared" si="46"/>
        <v/>
      </c>
      <c r="DK26" s="123" t="str">
        <f t="shared" si="47"/>
        <v/>
      </c>
      <c r="DL26" s="97" t="str">
        <f t="shared" ca="1" si="48"/>
        <v/>
      </c>
      <c r="DM26" s="98" t="str">
        <f>IF(DO26&lt;&gt;"",VLOOKUP($P26&amp;" | "&amp;DM$6,'Job Master'!$F$12:$J$102,5,0),"")</f>
        <v/>
      </c>
      <c r="DN26" s="19" t="str">
        <f>IF(DO26&lt;&gt;"",VLOOKUP($P26&amp;" | "&amp;DM$6,'Job Master'!$F$12:$J$102,3,0),"")</f>
        <v/>
      </c>
      <c r="DO26" s="19" t="str">
        <f>IFERROR(IF(AND(DT26&lt;&gt;"",VLOOKUP($P26&amp;" | "&amp;DM$6,'Job Master'!$F$12:$I$102,4,0)&lt;&gt;""),IF(WEEKDAY(DT26-VLOOKUP($P26&amp;" | "&amp;DM$6,'Job Master'!$F$12:$I$102,4,0))&lt;&gt;7,DT26-VLOOKUP($P26&amp;" | "&amp;DM$6,'Job Master'!$F$12:$I$102,4,0),DT26-VLOOKUP($P26&amp;" | "&amp;DM$6,'Job Master'!$F$12:$I$102,4,0)-1),""),"")</f>
        <v/>
      </c>
      <c r="DP26" s="73"/>
      <c r="DQ26" s="123" t="str">
        <f t="shared" si="49"/>
        <v/>
      </c>
      <c r="DR26" s="123" t="str">
        <f t="shared" si="50"/>
        <v/>
      </c>
      <c r="DS26" s="97" t="str">
        <f t="shared" ca="1" si="51"/>
        <v/>
      </c>
      <c r="DT26" s="70" t="str">
        <f t="shared" si="52"/>
        <v/>
      </c>
      <c r="DU26" s="90"/>
      <c r="DV26" s="123" t="str">
        <f t="shared" si="53"/>
        <v/>
      </c>
      <c r="DW26" s="123" t="str">
        <f t="shared" si="54"/>
        <v/>
      </c>
      <c r="DX26" s="132" t="str">
        <f t="shared" ref="DX26" ca="1" si="87">IF(DT26&lt;&gt;"",IF(WEEKNUM(DT26)=WEEKNUM(TODAY()),"This Week",IF(WEEKNUM(DT26)=WEEKNUM(TODAY())+1,"Next Week",IF(WEEKNUM(DT26)=WEEKNUM(TODAY())-1,"Previous Week",""))),"")</f>
        <v/>
      </c>
      <c r="DY26" s="134" t="str">
        <f t="shared" si="56"/>
        <v/>
      </c>
      <c r="DZ26" s="95"/>
      <c r="EB26" s="8" t="str">
        <f t="shared" si="67"/>
        <v/>
      </c>
      <c r="EC26" s="8" t="str">
        <f>IF(O26&lt;&gt;"",VLOOKUP(O26,'Job Master'!$N$12:$O$18,2,0),"")</f>
        <v/>
      </c>
      <c r="ED26" s="8">
        <f t="shared" si="68"/>
        <v>19.5</v>
      </c>
      <c r="EE26" s="8">
        <f t="shared" si="69"/>
        <v>6</v>
      </c>
      <c r="EF26" s="8">
        <f t="shared" si="70"/>
        <v>-76.5</v>
      </c>
      <c r="EG26" s="8" t="str">
        <f t="shared" si="71"/>
        <v/>
      </c>
      <c r="EH26" s="8" t="str">
        <f t="shared" si="72"/>
        <v/>
      </c>
    </row>
    <row r="27" spans="2:138" x14ac:dyDescent="0.3">
      <c r="B27" s="112"/>
      <c r="C27" s="27"/>
      <c r="D27" s="7" t="str">
        <f t="shared" si="1"/>
        <v/>
      </c>
      <c r="E27" s="25"/>
      <c r="F27" s="7" t="str">
        <f t="shared" si="1"/>
        <v/>
      </c>
      <c r="G27" s="25"/>
      <c r="H27" s="7" t="str">
        <f t="shared" si="1"/>
        <v/>
      </c>
      <c r="I27" s="25"/>
      <c r="J27" s="7" t="str">
        <f t="shared" si="1"/>
        <v/>
      </c>
      <c r="K27" s="25"/>
      <c r="L27" s="7" t="str">
        <f t="shared" si="2"/>
        <v/>
      </c>
      <c r="M27" s="25"/>
      <c r="N27" s="7" t="str">
        <f t="shared" si="3"/>
        <v/>
      </c>
      <c r="O27" s="81"/>
      <c r="P27" s="81" t="str">
        <f t="shared" si="4"/>
        <v/>
      </c>
      <c r="Q27" s="81"/>
      <c r="R27" s="7" t="str">
        <f t="shared" si="5"/>
        <v/>
      </c>
      <c r="S27" s="25"/>
      <c r="T27" s="7" t="str">
        <f t="shared" si="6"/>
        <v/>
      </c>
      <c r="U27" s="25"/>
      <c r="V27" s="7" t="str">
        <f t="shared" si="7"/>
        <v/>
      </c>
      <c r="W27" s="25"/>
      <c r="X27" s="7" t="str">
        <f t="shared" si="8"/>
        <v/>
      </c>
      <c r="Y27" s="18" t="str">
        <f t="shared" si="9"/>
        <v/>
      </c>
      <c r="Z27" s="7" t="str">
        <f t="shared" si="10"/>
        <v/>
      </c>
      <c r="AA27" s="18" t="str">
        <f t="shared" si="11"/>
        <v/>
      </c>
      <c r="AB27" s="19" t="str">
        <f t="shared" si="12"/>
        <v/>
      </c>
      <c r="AC27" s="26"/>
      <c r="AD27" s="26"/>
      <c r="AE27" s="25"/>
      <c r="AF27" s="26"/>
      <c r="AG27" s="25"/>
      <c r="AH27" s="25"/>
      <c r="AI27" s="18" t="str">
        <f t="shared" si="83"/>
        <v/>
      </c>
      <c r="AJ27" s="25"/>
      <c r="AK27" s="18" t="str">
        <f t="shared" si="84"/>
        <v/>
      </c>
      <c r="AL27" s="79"/>
      <c r="AM27" s="126" t="str">
        <f t="shared" si="85"/>
        <v/>
      </c>
      <c r="AN27" s="128" t="str">
        <f>IF(AP27&lt;&gt;"",VLOOKUP($P27&amp;" | "&amp;AN$6,'Job Master'!$F$12:$J$102,5,0),"")</f>
        <v/>
      </c>
      <c r="AO27" s="19" t="str">
        <f>IF(AP27&lt;&gt;"",VLOOKUP($P27&amp;" | "&amp;AN$6,'Job Master'!$F$12:$J$102,3,0),"")</f>
        <v/>
      </c>
      <c r="AP27" s="19" t="str">
        <f>IFERROR(IF(AND(AW27&lt;&gt;"",VLOOKUP($P27&amp;" | "&amp;AN$6,'Job Master'!$F$12:$I$102,4,0)&lt;&gt;""),IF(WEEKDAY(AW27-VLOOKUP($P27&amp;" | "&amp;AN$6,'Job Master'!$F$12:$I$102,4,0))&lt;&gt;7,AW27-VLOOKUP($P27&amp;" | "&amp;AN$6,'Job Master'!$F$12:$I$102,4,0),AW27-VLOOKUP($P27&amp;" | "&amp;AN$6,'Job Master'!$F$12:$I$102,4,0)-1),""),"")</f>
        <v/>
      </c>
      <c r="AQ27" s="73"/>
      <c r="AR27" s="123" t="str">
        <f t="shared" si="16"/>
        <v/>
      </c>
      <c r="AS27" s="123" t="str">
        <f t="shared" si="17"/>
        <v/>
      </c>
      <c r="AT27" s="97" t="str">
        <f t="shared" ca="1" si="18"/>
        <v/>
      </c>
      <c r="AU27" s="98" t="str">
        <f>IF(AW27&lt;&gt;"",VLOOKUP($P27&amp;" | "&amp;AU$6,'Job Master'!$F$12:$J$102,5,0),"")</f>
        <v/>
      </c>
      <c r="AV27" s="19" t="str">
        <f>IF(AW27&lt;&gt;"",VLOOKUP($P27&amp;" | "&amp;AU$6,'Job Master'!$F$12:$J$102,3,0),"")</f>
        <v/>
      </c>
      <c r="AW27" s="19" t="str">
        <f>IFERROR(IF(AND(BD27&lt;&gt;"",VLOOKUP($P27&amp;" | "&amp;AU$6,'Job Master'!$F$12:$I$102,4,0)&lt;&gt;""),IF(WEEKDAY(BD27-VLOOKUP($P27&amp;" | "&amp;AU$6,'Job Master'!$F$12:$I$102,4,0))&lt;&gt;7,BD27-VLOOKUP($P27&amp;" | "&amp;AU$6,'Job Master'!$F$12:$I$102,4,0),BD27-VLOOKUP($P27&amp;" | "&amp;AU$6,'Job Master'!$F$12:$I$102,4,0)-1),""),"")</f>
        <v/>
      </c>
      <c r="AX27" s="73"/>
      <c r="AY27" s="123" t="str">
        <f t="shared" si="19"/>
        <v/>
      </c>
      <c r="AZ27" s="123" t="str">
        <f t="shared" si="20"/>
        <v/>
      </c>
      <c r="BA27" s="97" t="str">
        <f t="shared" ca="1" si="21"/>
        <v/>
      </c>
      <c r="BB27" s="98" t="str">
        <f>IF(BD27&lt;&gt;"",VLOOKUP($P27&amp;" | "&amp;BB$6,'Job Master'!$F$12:$J$102,5,0),"")</f>
        <v/>
      </c>
      <c r="BC27" s="19" t="str">
        <f>IF(BD27&lt;&gt;"",VLOOKUP($P27&amp;" | "&amp;BB$6,'Job Master'!$F$12:$J$102,3,0),"")</f>
        <v/>
      </c>
      <c r="BD27" s="19" t="str">
        <f>IFERROR(IF(AND(BK27&lt;&gt;"",VLOOKUP($P27&amp;" | "&amp;BB$6,'Job Master'!$F$12:$I$102,4,0)&lt;&gt;""),IF(WEEKDAY(BK27-VLOOKUP($P27&amp;" | "&amp;BB$6,'Job Master'!$F$12:$I$102,4,0))&lt;&gt;7,BK27-VLOOKUP($P27&amp;" | "&amp;BB$6,'Job Master'!$F$12:$I$102,4,0),BK27-VLOOKUP($P27&amp;" | "&amp;BB$6,'Job Master'!$F$12:$I$102,4,0)-1),""),"")</f>
        <v/>
      </c>
      <c r="BE27" s="73"/>
      <c r="BF27" s="123" t="str">
        <f t="shared" si="22"/>
        <v/>
      </c>
      <c r="BG27" s="123" t="str">
        <f t="shared" si="23"/>
        <v/>
      </c>
      <c r="BH27" s="97" t="str">
        <f t="shared" ca="1" si="24"/>
        <v/>
      </c>
      <c r="BI27" s="98" t="str">
        <f>IF(BK27&lt;&gt;"",VLOOKUP($P27&amp;" | "&amp;BI$6,'Job Master'!$F$12:$J$102,5,0),"")</f>
        <v/>
      </c>
      <c r="BJ27" s="19" t="str">
        <f>IF(BK27&lt;&gt;"",VLOOKUP($P27&amp;" | "&amp;BI$6,'Job Master'!$F$12:$J$102,3,0),"")</f>
        <v/>
      </c>
      <c r="BK27" s="19" t="str">
        <f>IFERROR(IF(AND(BR27&lt;&gt;"",VLOOKUP($P27&amp;" | "&amp;BI$6,'Job Master'!$F$12:$I$102,4,0)&lt;&gt;""),IF(WEEKDAY(BR27-VLOOKUP($P27&amp;" | "&amp;BI$6,'Job Master'!$F$12:$I$102,4,0))&lt;&gt;7,BR27-VLOOKUP($P27&amp;" | "&amp;BI$6,'Job Master'!$F$12:$I$102,4,0),BR27-VLOOKUP($P27&amp;" | "&amp;BI$6,'Job Master'!$F$12:$I$102,4,0)-1),""),"")</f>
        <v/>
      </c>
      <c r="BL27" s="73"/>
      <c r="BM27" s="123" t="str">
        <f t="shared" si="25"/>
        <v/>
      </c>
      <c r="BN27" s="123" t="str">
        <f t="shared" si="26"/>
        <v/>
      </c>
      <c r="BO27" s="97" t="str">
        <f t="shared" ca="1" si="27"/>
        <v/>
      </c>
      <c r="BP27" s="98" t="str">
        <f>IF(BR27&lt;&gt;"",VLOOKUP($P27&amp;" | "&amp;BP$6,'Job Master'!$F$12:$J$102,5,0),"")</f>
        <v/>
      </c>
      <c r="BQ27" s="19" t="str">
        <f>IF(BR27&lt;&gt;"",VLOOKUP($P27&amp;" | "&amp;BP$6,'Job Master'!$F$12:$J$102,3,0),"")</f>
        <v/>
      </c>
      <c r="BR27" s="19" t="str">
        <f>IFERROR(IF(AND(BY27&lt;&gt;"",VLOOKUP($P27&amp;" | "&amp;BP$6,'Job Master'!$F$12:$I$102,4,0)&lt;&gt;""),IF(WEEKDAY(BY27-VLOOKUP($P27&amp;" | "&amp;BP$6,'Job Master'!$F$12:$I$102,4,0))&lt;&gt;7,BY27-VLOOKUP($P27&amp;" | "&amp;BP$6,'Job Master'!$F$12:$I$102,4,0),BY27-VLOOKUP($P27&amp;" | "&amp;BP$6,'Job Master'!$F$12:$I$102,4,0)-1),""),"")</f>
        <v/>
      </c>
      <c r="BS27" s="73"/>
      <c r="BT27" s="123" t="str">
        <f t="shared" si="28"/>
        <v/>
      </c>
      <c r="BU27" s="123" t="str">
        <f t="shared" si="29"/>
        <v/>
      </c>
      <c r="BV27" s="97" t="str">
        <f t="shared" ca="1" si="30"/>
        <v/>
      </c>
      <c r="BW27" s="98" t="str">
        <f>IF(BY27&lt;&gt;"",VLOOKUP($P27&amp;" | "&amp;BW$6,'Job Master'!$F$12:$J$102,5,0),"")</f>
        <v/>
      </c>
      <c r="BX27" s="19" t="str">
        <f>IF(BY27&lt;&gt;"",VLOOKUP($P27&amp;" | "&amp;BW$6,'Job Master'!$F$12:$J$102,3,0),"")</f>
        <v/>
      </c>
      <c r="BY27" s="19" t="str">
        <f>IFERROR(IF(AND(CF27&lt;&gt;"",VLOOKUP($P27&amp;" | "&amp;BW$6,'Job Master'!$F$12:$I$102,4,0)&lt;&gt;""),IF(WEEKDAY(CF27-VLOOKUP($P27&amp;" | "&amp;BW$6,'Job Master'!$F$12:$I$102,4,0))&lt;&gt;7,CF27-VLOOKUP($P27&amp;" | "&amp;BW$6,'Job Master'!$F$12:$I$102,4,0),CF27-VLOOKUP($P27&amp;" | "&amp;BW$6,'Job Master'!$F$12:$I$102,4,0)-1),""),"")</f>
        <v/>
      </c>
      <c r="BZ27" s="73"/>
      <c r="CA27" s="123" t="str">
        <f t="shared" si="31"/>
        <v/>
      </c>
      <c r="CB27" s="123" t="str">
        <f t="shared" si="32"/>
        <v/>
      </c>
      <c r="CC27" s="97" t="str">
        <f t="shared" ca="1" si="33"/>
        <v/>
      </c>
      <c r="CD27" s="98" t="str">
        <f>IF(CF27&lt;&gt;"",VLOOKUP($P27&amp;" | "&amp;CD$6,'Job Master'!$F$12:$J$102,5,0),"")</f>
        <v/>
      </c>
      <c r="CE27" s="19" t="str">
        <f>IF(CF27&lt;&gt;"",VLOOKUP($P27&amp;" | "&amp;CD$6,'Job Master'!$F$12:$J$102,3,0),"")</f>
        <v/>
      </c>
      <c r="CF27" s="19" t="str">
        <f>IFERROR(IF(AND(CM27&lt;&gt;"",VLOOKUP($P27&amp;" | "&amp;CD$6,'Job Master'!$F$12:$I$102,4,0)&lt;&gt;""),IF(WEEKDAY(CM27-VLOOKUP($P27&amp;" | "&amp;CD$6,'Job Master'!$F$12:$I$102,4,0))&lt;&gt;7,CM27-VLOOKUP($P27&amp;" | "&amp;CD$6,'Job Master'!$F$12:$I$102,4,0),CM27-VLOOKUP($P27&amp;" | "&amp;CD$6,'Job Master'!$F$12:$I$102,4,0)-1),""),"")</f>
        <v/>
      </c>
      <c r="CG27" s="73"/>
      <c r="CH27" s="123" t="str">
        <f t="shared" si="34"/>
        <v/>
      </c>
      <c r="CI27" s="123" t="str">
        <f t="shared" si="35"/>
        <v/>
      </c>
      <c r="CJ27" s="97" t="str">
        <f t="shared" ca="1" si="36"/>
        <v/>
      </c>
      <c r="CK27" s="98" t="str">
        <f>IF(CM27&lt;&gt;"",VLOOKUP($P27&amp;" | "&amp;CK$6,'Job Master'!$F$12:$J$102,5,0),"")</f>
        <v/>
      </c>
      <c r="CL27" s="19" t="str">
        <f>IF(CM27&lt;&gt;"",VLOOKUP($P27&amp;" | "&amp;CK$6,'Job Master'!$F$12:$J$102,3,0),"")</f>
        <v/>
      </c>
      <c r="CM27" s="19" t="str">
        <f>IFERROR(IF(AND(CT27&lt;&gt;"",VLOOKUP($P27&amp;" | "&amp;CK$6,'Job Master'!$F$12:$I$102,4,0)&lt;&gt;""),IF(WEEKDAY(CT27-VLOOKUP($P27&amp;" | "&amp;CK$6,'Job Master'!$F$12:$I$102,4,0))&lt;&gt;7,CT27-VLOOKUP($P27&amp;" | "&amp;CK$6,'Job Master'!$F$12:$I$102,4,0),CT27-VLOOKUP($P27&amp;" | "&amp;CK$6,'Job Master'!$F$12:$I$102,4,0)-1),""),"")</f>
        <v/>
      </c>
      <c r="CN27" s="73"/>
      <c r="CO27" s="123" t="str">
        <f t="shared" si="37"/>
        <v/>
      </c>
      <c r="CP27" s="123" t="str">
        <f t="shared" si="38"/>
        <v/>
      </c>
      <c r="CQ27" s="97" t="str">
        <f t="shared" ca="1" si="39"/>
        <v/>
      </c>
      <c r="CR27" s="98" t="str">
        <f>IF(CT27&lt;&gt;"",VLOOKUP($P27&amp;" | "&amp;CR$6,'Job Master'!$F$12:$J$102,5,0),"")</f>
        <v/>
      </c>
      <c r="CS27" s="19" t="str">
        <f>IF(CT27&lt;&gt;"",VLOOKUP($P27&amp;" | "&amp;CR$6,'Job Master'!$F$12:$J$102,3,0),"")</f>
        <v/>
      </c>
      <c r="CT27" s="19" t="str">
        <f>IFERROR(IF(AND(DA27&lt;&gt;"",VLOOKUP($P27&amp;" | "&amp;CR$6,'Job Master'!$F$12:$I$102,4,0)&lt;&gt;""),IF(WEEKDAY(DA27-VLOOKUP($P27&amp;" | "&amp;CR$6,'Job Master'!$F$12:$I$102,4,0))&lt;&gt;7,DA27-VLOOKUP($P27&amp;" | "&amp;CR$6,'Job Master'!$F$12:$I$102,4,0),DA27-VLOOKUP($P27&amp;" | "&amp;CR$6,'Job Master'!$F$12:$I$102,4,0)-1),""),"")</f>
        <v/>
      </c>
      <c r="CU27" s="73"/>
      <c r="CV27" s="123" t="str">
        <f t="shared" si="40"/>
        <v/>
      </c>
      <c r="CW27" s="123" t="str">
        <f t="shared" si="41"/>
        <v/>
      </c>
      <c r="CX27" s="97" t="str">
        <f t="shared" ca="1" si="42"/>
        <v/>
      </c>
      <c r="CY27" s="98" t="str">
        <f>IF(DA27&lt;&gt;"",VLOOKUP($P27&amp;" | "&amp;CY$6,'Job Master'!$F$12:$J$102,5,0),"")</f>
        <v/>
      </c>
      <c r="CZ27" s="19" t="str">
        <f>IF(DA27&lt;&gt;"",VLOOKUP($P27&amp;" | "&amp;CY$6,'Job Master'!$F$12:$J$102,3,0),"")</f>
        <v/>
      </c>
      <c r="DA27" s="19" t="str">
        <f>IFERROR(IF(AND(DH27&lt;&gt;"",VLOOKUP($P27&amp;" | "&amp;CY$6,'Job Master'!$F$12:$I$102,4,0)&lt;&gt;""),IF(WEEKDAY(DH27-VLOOKUP($P27&amp;" | "&amp;CY$6,'Job Master'!$F$12:$I$102,4,0))&lt;&gt;7,DH27-VLOOKUP($P27&amp;" | "&amp;CY$6,'Job Master'!$F$12:$I$102,4,0),DH27-VLOOKUP($P27&amp;" | "&amp;CY$6,'Job Master'!$F$12:$I$102,4,0)-1),""),"")</f>
        <v/>
      </c>
      <c r="DB27" s="73"/>
      <c r="DC27" s="123" t="str">
        <f t="shared" si="43"/>
        <v/>
      </c>
      <c r="DD27" s="123" t="str">
        <f t="shared" si="44"/>
        <v/>
      </c>
      <c r="DE27" s="97" t="str">
        <f t="shared" ca="1" si="45"/>
        <v/>
      </c>
      <c r="DF27" s="98" t="str">
        <f>IF(DH27&lt;&gt;"",VLOOKUP($P27&amp;" | "&amp;DF$6,'Job Master'!$F$12:$J$102,5,0),"")</f>
        <v/>
      </c>
      <c r="DG27" s="19" t="str">
        <f>IF(DH27&lt;&gt;"",VLOOKUP($P27&amp;" | "&amp;DF$6,'Job Master'!$F$12:$J$102,3,0),"")</f>
        <v/>
      </c>
      <c r="DH27" s="19" t="str">
        <f>IFERROR(IF(AND(DO27&lt;&gt;"",VLOOKUP($P27&amp;" | "&amp;DF$6,'Job Master'!$F$12:$I$102,4,0)&lt;&gt;""),IF(WEEKDAY(DO27-VLOOKUP($P27&amp;" | "&amp;DF$6,'Job Master'!$F$12:$I$102,4,0))&lt;&gt;7,DO27-VLOOKUP($P27&amp;" | "&amp;DF$6,'Job Master'!$F$12:$I$102,4,0),DO27-VLOOKUP($P27&amp;" | "&amp;DF$6,'Job Master'!$F$12:$I$102,4,0)-1),""),"")</f>
        <v/>
      </c>
      <c r="DI27" s="73"/>
      <c r="DJ27" s="123" t="str">
        <f t="shared" si="46"/>
        <v/>
      </c>
      <c r="DK27" s="123" t="str">
        <f t="shared" si="47"/>
        <v/>
      </c>
      <c r="DL27" s="97" t="str">
        <f t="shared" ca="1" si="48"/>
        <v/>
      </c>
      <c r="DM27" s="98" t="str">
        <f>IF(DO27&lt;&gt;"",VLOOKUP($P27&amp;" | "&amp;DM$6,'Job Master'!$F$12:$J$102,5,0),"")</f>
        <v/>
      </c>
      <c r="DN27" s="19" t="str">
        <f>IF(DO27&lt;&gt;"",VLOOKUP($P27&amp;" | "&amp;DM$6,'Job Master'!$F$12:$J$102,3,0),"")</f>
        <v/>
      </c>
      <c r="DO27" s="19" t="str">
        <f>IFERROR(IF(AND(DT27&lt;&gt;"",VLOOKUP($P27&amp;" | "&amp;DM$6,'Job Master'!$F$12:$I$102,4,0)&lt;&gt;""),IF(WEEKDAY(DT27-VLOOKUP($P27&amp;" | "&amp;DM$6,'Job Master'!$F$12:$I$102,4,0))&lt;&gt;7,DT27-VLOOKUP($P27&amp;" | "&amp;DM$6,'Job Master'!$F$12:$I$102,4,0),DT27-VLOOKUP($P27&amp;" | "&amp;DM$6,'Job Master'!$F$12:$I$102,4,0)-1),""),"")</f>
        <v/>
      </c>
      <c r="DP27" s="73"/>
      <c r="DQ27" s="123" t="str">
        <f t="shared" si="49"/>
        <v/>
      </c>
      <c r="DR27" s="123" t="str">
        <f t="shared" si="50"/>
        <v/>
      </c>
      <c r="DS27" s="97" t="str">
        <f t="shared" ca="1" si="51"/>
        <v/>
      </c>
      <c r="DT27" s="70" t="str">
        <f t="shared" si="52"/>
        <v/>
      </c>
      <c r="DU27" s="90"/>
      <c r="DV27" s="123" t="str">
        <f t="shared" si="53"/>
        <v/>
      </c>
      <c r="DW27" s="123" t="str">
        <f t="shared" si="54"/>
        <v/>
      </c>
      <c r="DX27" s="132" t="str">
        <f t="shared" ref="DX27" ca="1" si="88">IF(DT27&lt;&gt;"",IF(WEEKNUM(DT27)=WEEKNUM(TODAY()),"This Week",IF(WEEKNUM(DT27)=WEEKNUM(TODAY())+1,"Next Week",IF(WEEKNUM(DT27)=WEEKNUM(TODAY())-1,"Previous Week",""))),"")</f>
        <v/>
      </c>
      <c r="DY27" s="134" t="str">
        <f t="shared" si="56"/>
        <v/>
      </c>
      <c r="DZ27" s="95"/>
      <c r="EB27" s="8" t="str">
        <f t="shared" si="67"/>
        <v/>
      </c>
      <c r="EC27" s="8" t="str">
        <f>IF(O27&lt;&gt;"",VLOOKUP(O27,'Job Master'!$N$12:$O$18,2,0),"")</f>
        <v/>
      </c>
      <c r="ED27" s="8">
        <f t="shared" si="68"/>
        <v>19.5</v>
      </c>
      <c r="EE27" s="8">
        <f t="shared" si="69"/>
        <v>6</v>
      </c>
      <c r="EF27" s="8">
        <f t="shared" si="70"/>
        <v>-82.5</v>
      </c>
      <c r="EG27" s="8" t="str">
        <f t="shared" si="71"/>
        <v/>
      </c>
      <c r="EH27" s="8" t="str">
        <f t="shared" si="72"/>
        <v/>
      </c>
    </row>
    <row r="28" spans="2:138" x14ac:dyDescent="0.3">
      <c r="B28" s="112"/>
      <c r="C28" s="27"/>
      <c r="D28" s="7" t="str">
        <f t="shared" si="1"/>
        <v/>
      </c>
      <c r="E28" s="25"/>
      <c r="F28" s="7" t="str">
        <f t="shared" si="1"/>
        <v/>
      </c>
      <c r="G28" s="25"/>
      <c r="H28" s="7" t="str">
        <f t="shared" si="1"/>
        <v/>
      </c>
      <c r="I28" s="25"/>
      <c r="J28" s="7" t="str">
        <f t="shared" si="1"/>
        <v/>
      </c>
      <c r="K28" s="25"/>
      <c r="L28" s="7" t="str">
        <f t="shared" si="2"/>
        <v/>
      </c>
      <c r="M28" s="25"/>
      <c r="N28" s="7" t="str">
        <f t="shared" si="3"/>
        <v/>
      </c>
      <c r="O28" s="81"/>
      <c r="P28" s="81" t="str">
        <f t="shared" si="4"/>
        <v/>
      </c>
      <c r="Q28" s="81"/>
      <c r="R28" s="7" t="str">
        <f t="shared" si="5"/>
        <v/>
      </c>
      <c r="S28" s="25"/>
      <c r="T28" s="7" t="str">
        <f t="shared" si="6"/>
        <v/>
      </c>
      <c r="U28" s="25"/>
      <c r="V28" s="7" t="str">
        <f t="shared" si="7"/>
        <v/>
      </c>
      <c r="W28" s="25"/>
      <c r="X28" s="7" t="str">
        <f t="shared" si="8"/>
        <v/>
      </c>
      <c r="Y28" s="18" t="str">
        <f t="shared" si="9"/>
        <v/>
      </c>
      <c r="Z28" s="7" t="str">
        <f t="shared" si="10"/>
        <v/>
      </c>
      <c r="AA28" s="18" t="str">
        <f t="shared" si="11"/>
        <v/>
      </c>
      <c r="AB28" s="19" t="str">
        <f t="shared" si="12"/>
        <v/>
      </c>
      <c r="AC28" s="26"/>
      <c r="AD28" s="26"/>
      <c r="AE28" s="25"/>
      <c r="AF28" s="26"/>
      <c r="AG28" s="25"/>
      <c r="AH28" s="25"/>
      <c r="AI28" s="18" t="str">
        <f t="shared" si="83"/>
        <v/>
      </c>
      <c r="AJ28" s="25"/>
      <c r="AK28" s="18" t="str">
        <f t="shared" si="84"/>
        <v/>
      </c>
      <c r="AL28" s="79"/>
      <c r="AM28" s="126" t="str">
        <f t="shared" si="85"/>
        <v/>
      </c>
      <c r="AN28" s="128" t="str">
        <f>IF(AP28&lt;&gt;"",VLOOKUP($P28&amp;" | "&amp;AN$6,'Job Master'!$F$12:$J$102,5,0),"")</f>
        <v/>
      </c>
      <c r="AO28" s="19" t="str">
        <f>IF(AP28&lt;&gt;"",VLOOKUP($P28&amp;" | "&amp;AN$6,'Job Master'!$F$12:$J$102,3,0),"")</f>
        <v/>
      </c>
      <c r="AP28" s="19" t="str">
        <f>IFERROR(IF(AND(AW28&lt;&gt;"",VLOOKUP($P28&amp;" | "&amp;AN$6,'Job Master'!$F$12:$I$102,4,0)&lt;&gt;""),IF(WEEKDAY(AW28-VLOOKUP($P28&amp;" | "&amp;AN$6,'Job Master'!$F$12:$I$102,4,0))&lt;&gt;7,AW28-VLOOKUP($P28&amp;" | "&amp;AN$6,'Job Master'!$F$12:$I$102,4,0),AW28-VLOOKUP($P28&amp;" | "&amp;AN$6,'Job Master'!$F$12:$I$102,4,0)-1),""),"")</f>
        <v/>
      </c>
      <c r="AQ28" s="73"/>
      <c r="AR28" s="123" t="str">
        <f t="shared" si="16"/>
        <v/>
      </c>
      <c r="AS28" s="123" t="str">
        <f t="shared" si="17"/>
        <v/>
      </c>
      <c r="AT28" s="97" t="str">
        <f t="shared" ca="1" si="18"/>
        <v/>
      </c>
      <c r="AU28" s="98" t="str">
        <f>IF(AW28&lt;&gt;"",VLOOKUP($P28&amp;" | "&amp;AU$6,'Job Master'!$F$12:$J$102,5,0),"")</f>
        <v/>
      </c>
      <c r="AV28" s="19" t="str">
        <f>IF(AW28&lt;&gt;"",VLOOKUP($P28&amp;" | "&amp;AU$6,'Job Master'!$F$12:$J$102,3,0),"")</f>
        <v/>
      </c>
      <c r="AW28" s="19" t="str">
        <f>IFERROR(IF(AND(BD28&lt;&gt;"",VLOOKUP($P28&amp;" | "&amp;AU$6,'Job Master'!$F$12:$I$102,4,0)&lt;&gt;""),IF(WEEKDAY(BD28-VLOOKUP($P28&amp;" | "&amp;AU$6,'Job Master'!$F$12:$I$102,4,0))&lt;&gt;7,BD28-VLOOKUP($P28&amp;" | "&amp;AU$6,'Job Master'!$F$12:$I$102,4,0),BD28-VLOOKUP($P28&amp;" | "&amp;AU$6,'Job Master'!$F$12:$I$102,4,0)-1),""),"")</f>
        <v/>
      </c>
      <c r="AX28" s="73"/>
      <c r="AY28" s="123" t="str">
        <f t="shared" si="19"/>
        <v/>
      </c>
      <c r="AZ28" s="123" t="str">
        <f t="shared" si="20"/>
        <v/>
      </c>
      <c r="BA28" s="97" t="str">
        <f t="shared" ca="1" si="21"/>
        <v/>
      </c>
      <c r="BB28" s="98" t="str">
        <f>IF(BD28&lt;&gt;"",VLOOKUP($P28&amp;" | "&amp;BB$6,'Job Master'!$F$12:$J$102,5,0),"")</f>
        <v/>
      </c>
      <c r="BC28" s="19" t="str">
        <f>IF(BD28&lt;&gt;"",VLOOKUP($P28&amp;" | "&amp;BB$6,'Job Master'!$F$12:$J$102,3,0),"")</f>
        <v/>
      </c>
      <c r="BD28" s="19" t="str">
        <f>IFERROR(IF(AND(BK28&lt;&gt;"",VLOOKUP($P28&amp;" | "&amp;BB$6,'Job Master'!$F$12:$I$102,4,0)&lt;&gt;""),IF(WEEKDAY(BK28-VLOOKUP($P28&amp;" | "&amp;BB$6,'Job Master'!$F$12:$I$102,4,0))&lt;&gt;7,BK28-VLOOKUP($P28&amp;" | "&amp;BB$6,'Job Master'!$F$12:$I$102,4,0),BK28-VLOOKUP($P28&amp;" | "&amp;BB$6,'Job Master'!$F$12:$I$102,4,0)-1),""),"")</f>
        <v/>
      </c>
      <c r="BE28" s="73"/>
      <c r="BF28" s="123" t="str">
        <f t="shared" si="22"/>
        <v/>
      </c>
      <c r="BG28" s="123" t="str">
        <f t="shared" si="23"/>
        <v/>
      </c>
      <c r="BH28" s="97" t="str">
        <f t="shared" ca="1" si="24"/>
        <v/>
      </c>
      <c r="BI28" s="98" t="str">
        <f>IF(BK28&lt;&gt;"",VLOOKUP($P28&amp;" | "&amp;BI$6,'Job Master'!$F$12:$J$102,5,0),"")</f>
        <v/>
      </c>
      <c r="BJ28" s="19" t="str">
        <f>IF(BK28&lt;&gt;"",VLOOKUP($P28&amp;" | "&amp;BI$6,'Job Master'!$F$12:$J$102,3,0),"")</f>
        <v/>
      </c>
      <c r="BK28" s="19" t="str">
        <f>IFERROR(IF(AND(BR28&lt;&gt;"",VLOOKUP($P28&amp;" | "&amp;BI$6,'Job Master'!$F$12:$I$102,4,0)&lt;&gt;""),IF(WEEKDAY(BR28-VLOOKUP($P28&amp;" | "&amp;BI$6,'Job Master'!$F$12:$I$102,4,0))&lt;&gt;7,BR28-VLOOKUP($P28&amp;" | "&amp;BI$6,'Job Master'!$F$12:$I$102,4,0),BR28-VLOOKUP($P28&amp;" | "&amp;BI$6,'Job Master'!$F$12:$I$102,4,0)-1),""),"")</f>
        <v/>
      </c>
      <c r="BL28" s="73"/>
      <c r="BM28" s="123" t="str">
        <f t="shared" si="25"/>
        <v/>
      </c>
      <c r="BN28" s="123" t="str">
        <f t="shared" si="26"/>
        <v/>
      </c>
      <c r="BO28" s="97" t="str">
        <f t="shared" ca="1" si="27"/>
        <v/>
      </c>
      <c r="BP28" s="98" t="str">
        <f>IF(BR28&lt;&gt;"",VLOOKUP($P28&amp;" | "&amp;BP$6,'Job Master'!$F$12:$J$102,5,0),"")</f>
        <v/>
      </c>
      <c r="BQ28" s="19" t="str">
        <f>IF(BR28&lt;&gt;"",VLOOKUP($P28&amp;" | "&amp;BP$6,'Job Master'!$F$12:$J$102,3,0),"")</f>
        <v/>
      </c>
      <c r="BR28" s="19" t="str">
        <f>IFERROR(IF(AND(BY28&lt;&gt;"",VLOOKUP($P28&amp;" | "&amp;BP$6,'Job Master'!$F$12:$I$102,4,0)&lt;&gt;""),IF(WEEKDAY(BY28-VLOOKUP($P28&amp;" | "&amp;BP$6,'Job Master'!$F$12:$I$102,4,0))&lt;&gt;7,BY28-VLOOKUP($P28&amp;" | "&amp;BP$6,'Job Master'!$F$12:$I$102,4,0),BY28-VLOOKUP($P28&amp;" | "&amp;BP$6,'Job Master'!$F$12:$I$102,4,0)-1),""),"")</f>
        <v/>
      </c>
      <c r="BS28" s="73"/>
      <c r="BT28" s="123" t="str">
        <f t="shared" si="28"/>
        <v/>
      </c>
      <c r="BU28" s="123" t="str">
        <f t="shared" si="29"/>
        <v/>
      </c>
      <c r="BV28" s="97" t="str">
        <f t="shared" ca="1" si="30"/>
        <v/>
      </c>
      <c r="BW28" s="98" t="str">
        <f>IF(BY28&lt;&gt;"",VLOOKUP($P28&amp;" | "&amp;BW$6,'Job Master'!$F$12:$J$102,5,0),"")</f>
        <v/>
      </c>
      <c r="BX28" s="19" t="str">
        <f>IF(BY28&lt;&gt;"",VLOOKUP($P28&amp;" | "&amp;BW$6,'Job Master'!$F$12:$J$102,3,0),"")</f>
        <v/>
      </c>
      <c r="BY28" s="19" t="str">
        <f>IFERROR(IF(AND(CF28&lt;&gt;"",VLOOKUP($P28&amp;" | "&amp;BW$6,'Job Master'!$F$12:$I$102,4,0)&lt;&gt;""),IF(WEEKDAY(CF28-VLOOKUP($P28&amp;" | "&amp;BW$6,'Job Master'!$F$12:$I$102,4,0))&lt;&gt;7,CF28-VLOOKUP($P28&amp;" | "&amp;BW$6,'Job Master'!$F$12:$I$102,4,0),CF28-VLOOKUP($P28&amp;" | "&amp;BW$6,'Job Master'!$F$12:$I$102,4,0)-1),""),"")</f>
        <v/>
      </c>
      <c r="BZ28" s="73"/>
      <c r="CA28" s="123" t="str">
        <f t="shared" si="31"/>
        <v/>
      </c>
      <c r="CB28" s="123" t="str">
        <f t="shared" si="32"/>
        <v/>
      </c>
      <c r="CC28" s="97" t="str">
        <f t="shared" ca="1" si="33"/>
        <v/>
      </c>
      <c r="CD28" s="98" t="str">
        <f>IF(CF28&lt;&gt;"",VLOOKUP($P28&amp;" | "&amp;CD$6,'Job Master'!$F$12:$J$102,5,0),"")</f>
        <v/>
      </c>
      <c r="CE28" s="19" t="str">
        <f>IF(CF28&lt;&gt;"",VLOOKUP($P28&amp;" | "&amp;CD$6,'Job Master'!$F$12:$J$102,3,0),"")</f>
        <v/>
      </c>
      <c r="CF28" s="19" t="str">
        <f>IFERROR(IF(AND(CM28&lt;&gt;"",VLOOKUP($P28&amp;" | "&amp;CD$6,'Job Master'!$F$12:$I$102,4,0)&lt;&gt;""),IF(WEEKDAY(CM28-VLOOKUP($P28&amp;" | "&amp;CD$6,'Job Master'!$F$12:$I$102,4,0))&lt;&gt;7,CM28-VLOOKUP($P28&amp;" | "&amp;CD$6,'Job Master'!$F$12:$I$102,4,0),CM28-VLOOKUP($P28&amp;" | "&amp;CD$6,'Job Master'!$F$12:$I$102,4,0)-1),""),"")</f>
        <v/>
      </c>
      <c r="CG28" s="73"/>
      <c r="CH28" s="123" t="str">
        <f t="shared" si="34"/>
        <v/>
      </c>
      <c r="CI28" s="123" t="str">
        <f t="shared" si="35"/>
        <v/>
      </c>
      <c r="CJ28" s="97" t="str">
        <f t="shared" ca="1" si="36"/>
        <v/>
      </c>
      <c r="CK28" s="98" t="str">
        <f>IF(CM28&lt;&gt;"",VLOOKUP($P28&amp;" | "&amp;CK$6,'Job Master'!$F$12:$J$102,5,0),"")</f>
        <v/>
      </c>
      <c r="CL28" s="19" t="str">
        <f>IF(CM28&lt;&gt;"",VLOOKUP($P28&amp;" | "&amp;CK$6,'Job Master'!$F$12:$J$102,3,0),"")</f>
        <v/>
      </c>
      <c r="CM28" s="19" t="str">
        <f>IFERROR(IF(AND(CT28&lt;&gt;"",VLOOKUP($P28&amp;" | "&amp;CK$6,'Job Master'!$F$12:$I$102,4,0)&lt;&gt;""),IF(WEEKDAY(CT28-VLOOKUP($P28&amp;" | "&amp;CK$6,'Job Master'!$F$12:$I$102,4,0))&lt;&gt;7,CT28-VLOOKUP($P28&amp;" | "&amp;CK$6,'Job Master'!$F$12:$I$102,4,0),CT28-VLOOKUP($P28&amp;" | "&amp;CK$6,'Job Master'!$F$12:$I$102,4,0)-1),""),"")</f>
        <v/>
      </c>
      <c r="CN28" s="73"/>
      <c r="CO28" s="123" t="str">
        <f t="shared" si="37"/>
        <v/>
      </c>
      <c r="CP28" s="123" t="str">
        <f t="shared" si="38"/>
        <v/>
      </c>
      <c r="CQ28" s="97" t="str">
        <f t="shared" ca="1" si="39"/>
        <v/>
      </c>
      <c r="CR28" s="98" t="str">
        <f>IF(CT28&lt;&gt;"",VLOOKUP($P28&amp;" | "&amp;CR$6,'Job Master'!$F$12:$J$102,5,0),"")</f>
        <v/>
      </c>
      <c r="CS28" s="19" t="str">
        <f>IF(CT28&lt;&gt;"",VLOOKUP($P28&amp;" | "&amp;CR$6,'Job Master'!$F$12:$J$102,3,0),"")</f>
        <v/>
      </c>
      <c r="CT28" s="19" t="str">
        <f>IFERROR(IF(AND(DA28&lt;&gt;"",VLOOKUP($P28&amp;" | "&amp;CR$6,'Job Master'!$F$12:$I$102,4,0)&lt;&gt;""),IF(WEEKDAY(DA28-VLOOKUP($P28&amp;" | "&amp;CR$6,'Job Master'!$F$12:$I$102,4,0))&lt;&gt;7,DA28-VLOOKUP($P28&amp;" | "&amp;CR$6,'Job Master'!$F$12:$I$102,4,0),DA28-VLOOKUP($P28&amp;" | "&amp;CR$6,'Job Master'!$F$12:$I$102,4,0)-1),""),"")</f>
        <v/>
      </c>
      <c r="CU28" s="73"/>
      <c r="CV28" s="123" t="str">
        <f t="shared" si="40"/>
        <v/>
      </c>
      <c r="CW28" s="123" t="str">
        <f t="shared" si="41"/>
        <v/>
      </c>
      <c r="CX28" s="97" t="str">
        <f t="shared" ca="1" si="42"/>
        <v/>
      </c>
      <c r="CY28" s="98" t="str">
        <f>IF(DA28&lt;&gt;"",VLOOKUP($P28&amp;" | "&amp;CY$6,'Job Master'!$F$12:$J$102,5,0),"")</f>
        <v/>
      </c>
      <c r="CZ28" s="19" t="str">
        <f>IF(DA28&lt;&gt;"",VLOOKUP($P28&amp;" | "&amp;CY$6,'Job Master'!$F$12:$J$102,3,0),"")</f>
        <v/>
      </c>
      <c r="DA28" s="19" t="str">
        <f>IFERROR(IF(AND(DH28&lt;&gt;"",VLOOKUP($P28&amp;" | "&amp;CY$6,'Job Master'!$F$12:$I$102,4,0)&lt;&gt;""),IF(WEEKDAY(DH28-VLOOKUP($P28&amp;" | "&amp;CY$6,'Job Master'!$F$12:$I$102,4,0))&lt;&gt;7,DH28-VLOOKUP($P28&amp;" | "&amp;CY$6,'Job Master'!$F$12:$I$102,4,0),DH28-VLOOKUP($P28&amp;" | "&amp;CY$6,'Job Master'!$F$12:$I$102,4,0)-1),""),"")</f>
        <v/>
      </c>
      <c r="DB28" s="73"/>
      <c r="DC28" s="123" t="str">
        <f t="shared" si="43"/>
        <v/>
      </c>
      <c r="DD28" s="123" t="str">
        <f t="shared" si="44"/>
        <v/>
      </c>
      <c r="DE28" s="97" t="str">
        <f t="shared" ca="1" si="45"/>
        <v/>
      </c>
      <c r="DF28" s="98" t="str">
        <f>IF(DH28&lt;&gt;"",VLOOKUP($P28&amp;" | "&amp;DF$6,'Job Master'!$F$12:$J$102,5,0),"")</f>
        <v/>
      </c>
      <c r="DG28" s="19" t="str">
        <f>IF(DH28&lt;&gt;"",VLOOKUP($P28&amp;" | "&amp;DF$6,'Job Master'!$F$12:$J$102,3,0),"")</f>
        <v/>
      </c>
      <c r="DH28" s="19" t="str">
        <f>IFERROR(IF(AND(DO28&lt;&gt;"",VLOOKUP($P28&amp;" | "&amp;DF$6,'Job Master'!$F$12:$I$102,4,0)&lt;&gt;""),IF(WEEKDAY(DO28-VLOOKUP($P28&amp;" | "&amp;DF$6,'Job Master'!$F$12:$I$102,4,0))&lt;&gt;7,DO28-VLOOKUP($P28&amp;" | "&amp;DF$6,'Job Master'!$F$12:$I$102,4,0),DO28-VLOOKUP($P28&amp;" | "&amp;DF$6,'Job Master'!$F$12:$I$102,4,0)-1),""),"")</f>
        <v/>
      </c>
      <c r="DI28" s="73"/>
      <c r="DJ28" s="123" t="str">
        <f t="shared" si="46"/>
        <v/>
      </c>
      <c r="DK28" s="123" t="str">
        <f t="shared" si="47"/>
        <v/>
      </c>
      <c r="DL28" s="97" t="str">
        <f t="shared" ca="1" si="48"/>
        <v/>
      </c>
      <c r="DM28" s="98" t="str">
        <f>IF(DO28&lt;&gt;"",VLOOKUP($P28&amp;" | "&amp;DM$6,'Job Master'!$F$12:$J$102,5,0),"")</f>
        <v/>
      </c>
      <c r="DN28" s="19" t="str">
        <f>IF(DO28&lt;&gt;"",VLOOKUP($P28&amp;" | "&amp;DM$6,'Job Master'!$F$12:$J$102,3,0),"")</f>
        <v/>
      </c>
      <c r="DO28" s="19" t="str">
        <f>IFERROR(IF(AND(DT28&lt;&gt;"",VLOOKUP($P28&amp;" | "&amp;DM$6,'Job Master'!$F$12:$I$102,4,0)&lt;&gt;""),IF(WEEKDAY(DT28-VLOOKUP($P28&amp;" | "&amp;DM$6,'Job Master'!$F$12:$I$102,4,0))&lt;&gt;7,DT28-VLOOKUP($P28&amp;" | "&amp;DM$6,'Job Master'!$F$12:$I$102,4,0),DT28-VLOOKUP($P28&amp;" | "&amp;DM$6,'Job Master'!$F$12:$I$102,4,0)-1),""),"")</f>
        <v/>
      </c>
      <c r="DP28" s="73"/>
      <c r="DQ28" s="123" t="str">
        <f t="shared" si="49"/>
        <v/>
      </c>
      <c r="DR28" s="123" t="str">
        <f t="shared" si="50"/>
        <v/>
      </c>
      <c r="DS28" s="97" t="str">
        <f t="shared" ca="1" si="51"/>
        <v/>
      </c>
      <c r="DT28" s="70" t="str">
        <f t="shared" si="52"/>
        <v/>
      </c>
      <c r="DU28" s="90"/>
      <c r="DV28" s="123" t="str">
        <f t="shared" si="53"/>
        <v/>
      </c>
      <c r="DW28" s="123" t="str">
        <f t="shared" si="54"/>
        <v/>
      </c>
      <c r="DX28" s="132" t="str">
        <f t="shared" ref="DX28" ca="1" si="89">IF(DT28&lt;&gt;"",IF(WEEKNUM(DT28)=WEEKNUM(TODAY()),"This Week",IF(WEEKNUM(DT28)=WEEKNUM(TODAY())+1,"Next Week",IF(WEEKNUM(DT28)=WEEKNUM(TODAY())-1,"Previous Week",""))),"")</f>
        <v/>
      </c>
      <c r="DY28" s="134" t="str">
        <f t="shared" si="56"/>
        <v/>
      </c>
      <c r="DZ28" s="95"/>
      <c r="EB28" s="8" t="str">
        <f t="shared" si="67"/>
        <v/>
      </c>
      <c r="EC28" s="8" t="str">
        <f>IF(O28&lt;&gt;"",VLOOKUP(O28,'Job Master'!$N$12:$O$18,2,0),"")</f>
        <v/>
      </c>
      <c r="ED28" s="8">
        <f t="shared" si="68"/>
        <v>19.5</v>
      </c>
      <c r="EE28" s="8">
        <f t="shared" si="69"/>
        <v>6</v>
      </c>
      <c r="EF28" s="8">
        <f t="shared" si="70"/>
        <v>-88.5</v>
      </c>
      <c r="EG28" s="8" t="str">
        <f t="shared" si="71"/>
        <v/>
      </c>
      <c r="EH28" s="8" t="str">
        <f t="shared" si="72"/>
        <v/>
      </c>
    </row>
    <row r="29" spans="2:138" x14ac:dyDescent="0.3">
      <c r="B29" s="112"/>
      <c r="C29" s="27"/>
      <c r="D29" s="7" t="str">
        <f t="shared" si="1"/>
        <v/>
      </c>
      <c r="E29" s="25"/>
      <c r="F29" s="7" t="str">
        <f t="shared" si="1"/>
        <v/>
      </c>
      <c r="G29" s="25"/>
      <c r="H29" s="7" t="str">
        <f t="shared" si="1"/>
        <v/>
      </c>
      <c r="I29" s="25"/>
      <c r="J29" s="7" t="str">
        <f t="shared" si="1"/>
        <v/>
      </c>
      <c r="K29" s="25"/>
      <c r="L29" s="7" t="str">
        <f t="shared" si="2"/>
        <v/>
      </c>
      <c r="M29" s="25"/>
      <c r="N29" s="7" t="str">
        <f t="shared" si="3"/>
        <v/>
      </c>
      <c r="O29" s="81"/>
      <c r="P29" s="81" t="str">
        <f t="shared" si="4"/>
        <v/>
      </c>
      <c r="Q29" s="81"/>
      <c r="R29" s="7" t="str">
        <f t="shared" si="5"/>
        <v/>
      </c>
      <c r="S29" s="25"/>
      <c r="T29" s="7" t="str">
        <f t="shared" si="6"/>
        <v/>
      </c>
      <c r="U29" s="25"/>
      <c r="V29" s="7" t="str">
        <f t="shared" si="7"/>
        <v/>
      </c>
      <c r="W29" s="25"/>
      <c r="X29" s="7" t="str">
        <f t="shared" si="8"/>
        <v/>
      </c>
      <c r="Y29" s="18" t="str">
        <f t="shared" si="9"/>
        <v/>
      </c>
      <c r="Z29" s="7" t="str">
        <f t="shared" si="10"/>
        <v/>
      </c>
      <c r="AA29" s="18" t="str">
        <f t="shared" si="11"/>
        <v/>
      </c>
      <c r="AB29" s="19" t="str">
        <f t="shared" si="12"/>
        <v/>
      </c>
      <c r="AC29" s="26"/>
      <c r="AD29" s="26"/>
      <c r="AE29" s="25"/>
      <c r="AF29" s="26"/>
      <c r="AG29" s="25"/>
      <c r="AH29" s="25"/>
      <c r="AI29" s="18" t="str">
        <f t="shared" si="83"/>
        <v/>
      </c>
      <c r="AJ29" s="25"/>
      <c r="AK29" s="18" t="str">
        <f t="shared" si="84"/>
        <v/>
      </c>
      <c r="AL29" s="79"/>
      <c r="AM29" s="126" t="str">
        <f t="shared" si="85"/>
        <v/>
      </c>
      <c r="AN29" s="128" t="str">
        <f>IF(AP29&lt;&gt;"",VLOOKUP($P29&amp;" | "&amp;AN$6,'Job Master'!$F$12:$J$102,5,0),"")</f>
        <v/>
      </c>
      <c r="AO29" s="19" t="str">
        <f>IF(AP29&lt;&gt;"",VLOOKUP($P29&amp;" | "&amp;AN$6,'Job Master'!$F$12:$J$102,3,0),"")</f>
        <v/>
      </c>
      <c r="AP29" s="19" t="str">
        <f>IFERROR(IF(AND(AW29&lt;&gt;"",VLOOKUP($P29&amp;" | "&amp;AN$6,'Job Master'!$F$12:$I$102,4,0)&lt;&gt;""),IF(WEEKDAY(AW29-VLOOKUP($P29&amp;" | "&amp;AN$6,'Job Master'!$F$12:$I$102,4,0))&lt;&gt;7,AW29-VLOOKUP($P29&amp;" | "&amp;AN$6,'Job Master'!$F$12:$I$102,4,0),AW29-VLOOKUP($P29&amp;" | "&amp;AN$6,'Job Master'!$F$12:$I$102,4,0)-1),""),"")</f>
        <v/>
      </c>
      <c r="AQ29" s="73"/>
      <c r="AR29" s="123" t="str">
        <f t="shared" si="16"/>
        <v/>
      </c>
      <c r="AS29" s="123" t="str">
        <f t="shared" si="17"/>
        <v/>
      </c>
      <c r="AT29" s="97" t="str">
        <f t="shared" ca="1" si="18"/>
        <v/>
      </c>
      <c r="AU29" s="98" t="str">
        <f>IF(AW29&lt;&gt;"",VLOOKUP($P29&amp;" | "&amp;AU$6,'Job Master'!$F$12:$J$102,5,0),"")</f>
        <v/>
      </c>
      <c r="AV29" s="19" t="str">
        <f>IF(AW29&lt;&gt;"",VLOOKUP($P29&amp;" | "&amp;AU$6,'Job Master'!$F$12:$J$102,3,0),"")</f>
        <v/>
      </c>
      <c r="AW29" s="19" t="str">
        <f>IFERROR(IF(AND(BD29&lt;&gt;"",VLOOKUP($P29&amp;" | "&amp;AU$6,'Job Master'!$F$12:$I$102,4,0)&lt;&gt;""),IF(WEEKDAY(BD29-VLOOKUP($P29&amp;" | "&amp;AU$6,'Job Master'!$F$12:$I$102,4,0))&lt;&gt;7,BD29-VLOOKUP($P29&amp;" | "&amp;AU$6,'Job Master'!$F$12:$I$102,4,0),BD29-VLOOKUP($P29&amp;" | "&amp;AU$6,'Job Master'!$F$12:$I$102,4,0)-1),""),"")</f>
        <v/>
      </c>
      <c r="AX29" s="73"/>
      <c r="AY29" s="123" t="str">
        <f t="shared" si="19"/>
        <v/>
      </c>
      <c r="AZ29" s="123" t="str">
        <f t="shared" si="20"/>
        <v/>
      </c>
      <c r="BA29" s="97" t="str">
        <f t="shared" ca="1" si="21"/>
        <v/>
      </c>
      <c r="BB29" s="98" t="str">
        <f>IF(BD29&lt;&gt;"",VLOOKUP($P29&amp;" | "&amp;BB$6,'Job Master'!$F$12:$J$102,5,0),"")</f>
        <v/>
      </c>
      <c r="BC29" s="19" t="str">
        <f>IF(BD29&lt;&gt;"",VLOOKUP($P29&amp;" | "&amp;BB$6,'Job Master'!$F$12:$J$102,3,0),"")</f>
        <v/>
      </c>
      <c r="BD29" s="19" t="str">
        <f>IFERROR(IF(AND(BK29&lt;&gt;"",VLOOKUP($P29&amp;" | "&amp;BB$6,'Job Master'!$F$12:$I$102,4,0)&lt;&gt;""),IF(WEEKDAY(BK29-VLOOKUP($P29&amp;" | "&amp;BB$6,'Job Master'!$F$12:$I$102,4,0))&lt;&gt;7,BK29-VLOOKUP($P29&amp;" | "&amp;BB$6,'Job Master'!$F$12:$I$102,4,0),BK29-VLOOKUP($P29&amp;" | "&amp;BB$6,'Job Master'!$F$12:$I$102,4,0)-1),""),"")</f>
        <v/>
      </c>
      <c r="BE29" s="73"/>
      <c r="BF29" s="123" t="str">
        <f t="shared" si="22"/>
        <v/>
      </c>
      <c r="BG29" s="123" t="str">
        <f t="shared" si="23"/>
        <v/>
      </c>
      <c r="BH29" s="97" t="str">
        <f t="shared" ca="1" si="24"/>
        <v/>
      </c>
      <c r="BI29" s="98" t="str">
        <f>IF(BK29&lt;&gt;"",VLOOKUP($P29&amp;" | "&amp;BI$6,'Job Master'!$F$12:$J$102,5,0),"")</f>
        <v/>
      </c>
      <c r="BJ29" s="19" t="str">
        <f>IF(BK29&lt;&gt;"",VLOOKUP($P29&amp;" | "&amp;BI$6,'Job Master'!$F$12:$J$102,3,0),"")</f>
        <v/>
      </c>
      <c r="BK29" s="19" t="str">
        <f>IFERROR(IF(AND(BR29&lt;&gt;"",VLOOKUP($P29&amp;" | "&amp;BI$6,'Job Master'!$F$12:$I$102,4,0)&lt;&gt;""),IF(WEEKDAY(BR29-VLOOKUP($P29&amp;" | "&amp;BI$6,'Job Master'!$F$12:$I$102,4,0))&lt;&gt;7,BR29-VLOOKUP($P29&amp;" | "&amp;BI$6,'Job Master'!$F$12:$I$102,4,0),BR29-VLOOKUP($P29&amp;" | "&amp;BI$6,'Job Master'!$F$12:$I$102,4,0)-1),""),"")</f>
        <v/>
      </c>
      <c r="BL29" s="73"/>
      <c r="BM29" s="123" t="str">
        <f t="shared" si="25"/>
        <v/>
      </c>
      <c r="BN29" s="123" t="str">
        <f t="shared" si="26"/>
        <v/>
      </c>
      <c r="BO29" s="97" t="str">
        <f t="shared" ca="1" si="27"/>
        <v/>
      </c>
      <c r="BP29" s="98" t="str">
        <f>IF(BR29&lt;&gt;"",VLOOKUP($P29&amp;" | "&amp;BP$6,'Job Master'!$F$12:$J$102,5,0),"")</f>
        <v/>
      </c>
      <c r="BQ29" s="19" t="str">
        <f>IF(BR29&lt;&gt;"",VLOOKUP($P29&amp;" | "&amp;BP$6,'Job Master'!$F$12:$J$102,3,0),"")</f>
        <v/>
      </c>
      <c r="BR29" s="19" t="str">
        <f>IFERROR(IF(AND(BY29&lt;&gt;"",VLOOKUP($P29&amp;" | "&amp;BP$6,'Job Master'!$F$12:$I$102,4,0)&lt;&gt;""),IF(WEEKDAY(BY29-VLOOKUP($P29&amp;" | "&amp;BP$6,'Job Master'!$F$12:$I$102,4,0))&lt;&gt;7,BY29-VLOOKUP($P29&amp;" | "&amp;BP$6,'Job Master'!$F$12:$I$102,4,0),BY29-VLOOKUP($P29&amp;" | "&amp;BP$6,'Job Master'!$F$12:$I$102,4,0)-1),""),"")</f>
        <v/>
      </c>
      <c r="BS29" s="73"/>
      <c r="BT29" s="123" t="str">
        <f t="shared" si="28"/>
        <v/>
      </c>
      <c r="BU29" s="123" t="str">
        <f t="shared" si="29"/>
        <v/>
      </c>
      <c r="BV29" s="97" t="str">
        <f t="shared" ca="1" si="30"/>
        <v/>
      </c>
      <c r="BW29" s="98" t="str">
        <f>IF(BY29&lt;&gt;"",VLOOKUP($P29&amp;" | "&amp;BW$6,'Job Master'!$F$12:$J$102,5,0),"")</f>
        <v/>
      </c>
      <c r="BX29" s="19" t="str">
        <f>IF(BY29&lt;&gt;"",VLOOKUP($P29&amp;" | "&amp;BW$6,'Job Master'!$F$12:$J$102,3,0),"")</f>
        <v/>
      </c>
      <c r="BY29" s="19" t="str">
        <f>IFERROR(IF(AND(CF29&lt;&gt;"",VLOOKUP($P29&amp;" | "&amp;BW$6,'Job Master'!$F$12:$I$102,4,0)&lt;&gt;""),IF(WEEKDAY(CF29-VLOOKUP($P29&amp;" | "&amp;BW$6,'Job Master'!$F$12:$I$102,4,0))&lt;&gt;7,CF29-VLOOKUP($P29&amp;" | "&amp;BW$6,'Job Master'!$F$12:$I$102,4,0),CF29-VLOOKUP($P29&amp;" | "&amp;BW$6,'Job Master'!$F$12:$I$102,4,0)-1),""),"")</f>
        <v/>
      </c>
      <c r="BZ29" s="73"/>
      <c r="CA29" s="123" t="str">
        <f t="shared" si="31"/>
        <v/>
      </c>
      <c r="CB29" s="123" t="str">
        <f t="shared" si="32"/>
        <v/>
      </c>
      <c r="CC29" s="97" t="str">
        <f t="shared" ca="1" si="33"/>
        <v/>
      </c>
      <c r="CD29" s="98" t="str">
        <f>IF(CF29&lt;&gt;"",VLOOKUP($P29&amp;" | "&amp;CD$6,'Job Master'!$F$12:$J$102,5,0),"")</f>
        <v/>
      </c>
      <c r="CE29" s="19" t="str">
        <f>IF(CF29&lt;&gt;"",VLOOKUP($P29&amp;" | "&amp;CD$6,'Job Master'!$F$12:$J$102,3,0),"")</f>
        <v/>
      </c>
      <c r="CF29" s="19" t="str">
        <f>IFERROR(IF(AND(CM29&lt;&gt;"",VLOOKUP($P29&amp;" | "&amp;CD$6,'Job Master'!$F$12:$I$102,4,0)&lt;&gt;""),IF(WEEKDAY(CM29-VLOOKUP($P29&amp;" | "&amp;CD$6,'Job Master'!$F$12:$I$102,4,0))&lt;&gt;7,CM29-VLOOKUP($P29&amp;" | "&amp;CD$6,'Job Master'!$F$12:$I$102,4,0),CM29-VLOOKUP($P29&amp;" | "&amp;CD$6,'Job Master'!$F$12:$I$102,4,0)-1),""),"")</f>
        <v/>
      </c>
      <c r="CG29" s="73"/>
      <c r="CH29" s="123" t="str">
        <f t="shared" si="34"/>
        <v/>
      </c>
      <c r="CI29" s="123" t="str">
        <f t="shared" si="35"/>
        <v/>
      </c>
      <c r="CJ29" s="97" t="str">
        <f t="shared" ca="1" si="36"/>
        <v/>
      </c>
      <c r="CK29" s="98" t="str">
        <f>IF(CM29&lt;&gt;"",VLOOKUP($P29&amp;" | "&amp;CK$6,'Job Master'!$F$12:$J$102,5,0),"")</f>
        <v/>
      </c>
      <c r="CL29" s="19" t="str">
        <f>IF(CM29&lt;&gt;"",VLOOKUP($P29&amp;" | "&amp;CK$6,'Job Master'!$F$12:$J$102,3,0),"")</f>
        <v/>
      </c>
      <c r="CM29" s="19" t="str">
        <f>IFERROR(IF(AND(CT29&lt;&gt;"",VLOOKUP($P29&amp;" | "&amp;CK$6,'Job Master'!$F$12:$I$102,4,0)&lt;&gt;""),IF(WEEKDAY(CT29-VLOOKUP($P29&amp;" | "&amp;CK$6,'Job Master'!$F$12:$I$102,4,0))&lt;&gt;7,CT29-VLOOKUP($P29&amp;" | "&amp;CK$6,'Job Master'!$F$12:$I$102,4,0),CT29-VLOOKUP($P29&amp;" | "&amp;CK$6,'Job Master'!$F$12:$I$102,4,0)-1),""),"")</f>
        <v/>
      </c>
      <c r="CN29" s="73"/>
      <c r="CO29" s="123" t="str">
        <f t="shared" si="37"/>
        <v/>
      </c>
      <c r="CP29" s="123" t="str">
        <f t="shared" si="38"/>
        <v/>
      </c>
      <c r="CQ29" s="97" t="str">
        <f t="shared" ca="1" si="39"/>
        <v/>
      </c>
      <c r="CR29" s="98" t="str">
        <f>IF(CT29&lt;&gt;"",VLOOKUP($P29&amp;" | "&amp;CR$6,'Job Master'!$F$12:$J$102,5,0),"")</f>
        <v/>
      </c>
      <c r="CS29" s="19" t="str">
        <f>IF(CT29&lt;&gt;"",VLOOKUP($P29&amp;" | "&amp;CR$6,'Job Master'!$F$12:$J$102,3,0),"")</f>
        <v/>
      </c>
      <c r="CT29" s="19" t="str">
        <f>IFERROR(IF(AND(DA29&lt;&gt;"",VLOOKUP($P29&amp;" | "&amp;CR$6,'Job Master'!$F$12:$I$102,4,0)&lt;&gt;""),IF(WEEKDAY(DA29-VLOOKUP($P29&amp;" | "&amp;CR$6,'Job Master'!$F$12:$I$102,4,0))&lt;&gt;7,DA29-VLOOKUP($P29&amp;" | "&amp;CR$6,'Job Master'!$F$12:$I$102,4,0),DA29-VLOOKUP($P29&amp;" | "&amp;CR$6,'Job Master'!$F$12:$I$102,4,0)-1),""),"")</f>
        <v/>
      </c>
      <c r="CU29" s="73"/>
      <c r="CV29" s="123" t="str">
        <f t="shared" si="40"/>
        <v/>
      </c>
      <c r="CW29" s="123" t="str">
        <f t="shared" si="41"/>
        <v/>
      </c>
      <c r="CX29" s="97" t="str">
        <f t="shared" ca="1" si="42"/>
        <v/>
      </c>
      <c r="CY29" s="98" t="str">
        <f>IF(DA29&lt;&gt;"",VLOOKUP($P29&amp;" | "&amp;CY$6,'Job Master'!$F$12:$J$102,5,0),"")</f>
        <v/>
      </c>
      <c r="CZ29" s="19" t="str">
        <f>IF(DA29&lt;&gt;"",VLOOKUP($P29&amp;" | "&amp;CY$6,'Job Master'!$F$12:$J$102,3,0),"")</f>
        <v/>
      </c>
      <c r="DA29" s="19" t="str">
        <f>IFERROR(IF(AND(DH29&lt;&gt;"",VLOOKUP($P29&amp;" | "&amp;CY$6,'Job Master'!$F$12:$I$102,4,0)&lt;&gt;""),IF(WEEKDAY(DH29-VLOOKUP($P29&amp;" | "&amp;CY$6,'Job Master'!$F$12:$I$102,4,0))&lt;&gt;7,DH29-VLOOKUP($P29&amp;" | "&amp;CY$6,'Job Master'!$F$12:$I$102,4,0),DH29-VLOOKUP($P29&amp;" | "&amp;CY$6,'Job Master'!$F$12:$I$102,4,0)-1),""),"")</f>
        <v/>
      </c>
      <c r="DB29" s="73"/>
      <c r="DC29" s="123" t="str">
        <f t="shared" si="43"/>
        <v/>
      </c>
      <c r="DD29" s="123" t="str">
        <f t="shared" si="44"/>
        <v/>
      </c>
      <c r="DE29" s="97" t="str">
        <f t="shared" ca="1" si="45"/>
        <v/>
      </c>
      <c r="DF29" s="98" t="str">
        <f>IF(DH29&lt;&gt;"",VLOOKUP($P29&amp;" | "&amp;DF$6,'Job Master'!$F$12:$J$102,5,0),"")</f>
        <v/>
      </c>
      <c r="DG29" s="19" t="str">
        <f>IF(DH29&lt;&gt;"",VLOOKUP($P29&amp;" | "&amp;DF$6,'Job Master'!$F$12:$J$102,3,0),"")</f>
        <v/>
      </c>
      <c r="DH29" s="19" t="str">
        <f>IFERROR(IF(AND(DO29&lt;&gt;"",VLOOKUP($P29&amp;" | "&amp;DF$6,'Job Master'!$F$12:$I$102,4,0)&lt;&gt;""),IF(WEEKDAY(DO29-VLOOKUP($P29&amp;" | "&amp;DF$6,'Job Master'!$F$12:$I$102,4,0))&lt;&gt;7,DO29-VLOOKUP($P29&amp;" | "&amp;DF$6,'Job Master'!$F$12:$I$102,4,0),DO29-VLOOKUP($P29&amp;" | "&amp;DF$6,'Job Master'!$F$12:$I$102,4,0)-1),""),"")</f>
        <v/>
      </c>
      <c r="DI29" s="73"/>
      <c r="DJ29" s="123" t="str">
        <f t="shared" si="46"/>
        <v/>
      </c>
      <c r="DK29" s="123" t="str">
        <f t="shared" si="47"/>
        <v/>
      </c>
      <c r="DL29" s="97" t="str">
        <f t="shared" ca="1" si="48"/>
        <v/>
      </c>
      <c r="DM29" s="98" t="str">
        <f>IF(DO29&lt;&gt;"",VLOOKUP($P29&amp;" | "&amp;DM$6,'Job Master'!$F$12:$J$102,5,0),"")</f>
        <v/>
      </c>
      <c r="DN29" s="19" t="str">
        <f>IF(DO29&lt;&gt;"",VLOOKUP($P29&amp;" | "&amp;DM$6,'Job Master'!$F$12:$J$102,3,0),"")</f>
        <v/>
      </c>
      <c r="DO29" s="19" t="str">
        <f>IFERROR(IF(AND(DT29&lt;&gt;"",VLOOKUP($P29&amp;" | "&amp;DM$6,'Job Master'!$F$12:$I$102,4,0)&lt;&gt;""),IF(WEEKDAY(DT29-VLOOKUP($P29&amp;" | "&amp;DM$6,'Job Master'!$F$12:$I$102,4,0))&lt;&gt;7,DT29-VLOOKUP($P29&amp;" | "&amp;DM$6,'Job Master'!$F$12:$I$102,4,0),DT29-VLOOKUP($P29&amp;" | "&amp;DM$6,'Job Master'!$F$12:$I$102,4,0)-1),""),"")</f>
        <v/>
      </c>
      <c r="DP29" s="73"/>
      <c r="DQ29" s="123" t="str">
        <f t="shared" si="49"/>
        <v/>
      </c>
      <c r="DR29" s="123" t="str">
        <f t="shared" si="50"/>
        <v/>
      </c>
      <c r="DS29" s="97" t="str">
        <f t="shared" ca="1" si="51"/>
        <v/>
      </c>
      <c r="DT29" s="70" t="str">
        <f t="shared" si="52"/>
        <v/>
      </c>
      <c r="DU29" s="90"/>
      <c r="DV29" s="123" t="str">
        <f t="shared" si="53"/>
        <v/>
      </c>
      <c r="DW29" s="123" t="str">
        <f t="shared" si="54"/>
        <v/>
      </c>
      <c r="DX29" s="132" t="str">
        <f t="shared" ref="DX29" ca="1" si="90">IF(DT29&lt;&gt;"",IF(WEEKNUM(DT29)=WEEKNUM(TODAY()),"This Week",IF(WEEKNUM(DT29)=WEEKNUM(TODAY())+1,"Next Week",IF(WEEKNUM(DT29)=WEEKNUM(TODAY())-1,"Previous Week",""))),"")</f>
        <v/>
      </c>
      <c r="DY29" s="134" t="str">
        <f t="shared" si="56"/>
        <v/>
      </c>
      <c r="DZ29" s="95"/>
      <c r="EB29" s="8" t="str">
        <f t="shared" si="67"/>
        <v/>
      </c>
      <c r="EC29" s="8" t="str">
        <f>IF(O29&lt;&gt;"",VLOOKUP(O29,'Job Master'!$N$12:$O$18,2,0),"")</f>
        <v/>
      </c>
      <c r="ED29" s="8">
        <f t="shared" si="68"/>
        <v>19.5</v>
      </c>
      <c r="EE29" s="8">
        <f t="shared" si="69"/>
        <v>6</v>
      </c>
      <c r="EF29" s="8">
        <f t="shared" si="70"/>
        <v>-94.5</v>
      </c>
      <c r="EG29" s="8" t="str">
        <f t="shared" si="71"/>
        <v/>
      </c>
      <c r="EH29" s="8" t="str">
        <f t="shared" si="72"/>
        <v/>
      </c>
    </row>
    <row r="30" spans="2:138" x14ac:dyDescent="0.3">
      <c r="B30" s="112"/>
      <c r="C30" s="27"/>
      <c r="D30" s="7" t="str">
        <f t="shared" si="1"/>
        <v/>
      </c>
      <c r="E30" s="25"/>
      <c r="F30" s="7" t="str">
        <f t="shared" si="1"/>
        <v/>
      </c>
      <c r="G30" s="25"/>
      <c r="H30" s="7" t="str">
        <f t="shared" si="1"/>
        <v/>
      </c>
      <c r="I30" s="25"/>
      <c r="J30" s="7" t="str">
        <f t="shared" si="1"/>
        <v/>
      </c>
      <c r="K30" s="25"/>
      <c r="L30" s="7" t="str">
        <f t="shared" si="2"/>
        <v/>
      </c>
      <c r="M30" s="25"/>
      <c r="N30" s="7" t="str">
        <f t="shared" si="3"/>
        <v/>
      </c>
      <c r="O30" s="81"/>
      <c r="P30" s="81" t="str">
        <f t="shared" si="4"/>
        <v/>
      </c>
      <c r="Q30" s="81"/>
      <c r="R30" s="7" t="str">
        <f t="shared" si="5"/>
        <v/>
      </c>
      <c r="S30" s="25"/>
      <c r="T30" s="7" t="str">
        <f t="shared" si="6"/>
        <v/>
      </c>
      <c r="U30" s="25"/>
      <c r="V30" s="7" t="str">
        <f t="shared" si="7"/>
        <v/>
      </c>
      <c r="W30" s="25"/>
      <c r="X30" s="7" t="str">
        <f t="shared" si="8"/>
        <v/>
      </c>
      <c r="Y30" s="18" t="str">
        <f t="shared" si="9"/>
        <v/>
      </c>
      <c r="Z30" s="7" t="str">
        <f t="shared" si="10"/>
        <v/>
      </c>
      <c r="AA30" s="18" t="str">
        <f t="shared" si="11"/>
        <v/>
      </c>
      <c r="AB30" s="19" t="str">
        <f t="shared" si="12"/>
        <v/>
      </c>
      <c r="AC30" s="26"/>
      <c r="AD30" s="26"/>
      <c r="AE30" s="25"/>
      <c r="AF30" s="26"/>
      <c r="AG30" s="25"/>
      <c r="AH30" s="25"/>
      <c r="AI30" s="18" t="str">
        <f t="shared" si="83"/>
        <v/>
      </c>
      <c r="AJ30" s="25"/>
      <c r="AK30" s="18" t="str">
        <f t="shared" si="84"/>
        <v/>
      </c>
      <c r="AL30" s="79"/>
      <c r="AM30" s="126" t="str">
        <f t="shared" si="85"/>
        <v/>
      </c>
      <c r="AN30" s="128" t="str">
        <f>IF(AP30&lt;&gt;"",VLOOKUP($P30&amp;" | "&amp;AN$6,'Job Master'!$F$12:$J$102,5,0),"")</f>
        <v/>
      </c>
      <c r="AO30" s="19" t="str">
        <f>IF(AP30&lt;&gt;"",VLOOKUP($P30&amp;" | "&amp;AN$6,'Job Master'!$F$12:$J$102,3,0),"")</f>
        <v/>
      </c>
      <c r="AP30" s="19" t="str">
        <f>IFERROR(IF(AND(AW30&lt;&gt;"",VLOOKUP($P30&amp;" | "&amp;AN$6,'Job Master'!$F$12:$I$102,4,0)&lt;&gt;""),IF(WEEKDAY(AW30-VLOOKUP($P30&amp;" | "&amp;AN$6,'Job Master'!$F$12:$I$102,4,0))&lt;&gt;7,AW30-VLOOKUP($P30&amp;" | "&amp;AN$6,'Job Master'!$F$12:$I$102,4,0),AW30-VLOOKUP($P30&amp;" | "&amp;AN$6,'Job Master'!$F$12:$I$102,4,0)-1),""),"")</f>
        <v/>
      </c>
      <c r="AQ30" s="73"/>
      <c r="AR30" s="123" t="str">
        <f t="shared" si="16"/>
        <v/>
      </c>
      <c r="AS30" s="123" t="str">
        <f t="shared" si="17"/>
        <v/>
      </c>
      <c r="AT30" s="97" t="str">
        <f t="shared" ca="1" si="18"/>
        <v/>
      </c>
      <c r="AU30" s="98" t="str">
        <f>IF(AW30&lt;&gt;"",VLOOKUP($P30&amp;" | "&amp;AU$6,'Job Master'!$F$12:$J$102,5,0),"")</f>
        <v/>
      </c>
      <c r="AV30" s="19" t="str">
        <f>IF(AW30&lt;&gt;"",VLOOKUP($P30&amp;" | "&amp;AU$6,'Job Master'!$F$12:$J$102,3,0),"")</f>
        <v/>
      </c>
      <c r="AW30" s="19" t="str">
        <f>IFERROR(IF(AND(BD30&lt;&gt;"",VLOOKUP($P30&amp;" | "&amp;AU$6,'Job Master'!$F$12:$I$102,4,0)&lt;&gt;""),IF(WEEKDAY(BD30-VLOOKUP($P30&amp;" | "&amp;AU$6,'Job Master'!$F$12:$I$102,4,0))&lt;&gt;7,BD30-VLOOKUP($P30&amp;" | "&amp;AU$6,'Job Master'!$F$12:$I$102,4,0),BD30-VLOOKUP($P30&amp;" | "&amp;AU$6,'Job Master'!$F$12:$I$102,4,0)-1),""),"")</f>
        <v/>
      </c>
      <c r="AX30" s="73"/>
      <c r="AY30" s="123" t="str">
        <f t="shared" si="19"/>
        <v/>
      </c>
      <c r="AZ30" s="123" t="str">
        <f t="shared" si="20"/>
        <v/>
      </c>
      <c r="BA30" s="97" t="str">
        <f t="shared" ca="1" si="21"/>
        <v/>
      </c>
      <c r="BB30" s="98" t="str">
        <f>IF(BD30&lt;&gt;"",VLOOKUP($P30&amp;" | "&amp;BB$6,'Job Master'!$F$12:$J$102,5,0),"")</f>
        <v/>
      </c>
      <c r="BC30" s="19" t="str">
        <f>IF(BD30&lt;&gt;"",VLOOKUP($P30&amp;" | "&amp;BB$6,'Job Master'!$F$12:$J$102,3,0),"")</f>
        <v/>
      </c>
      <c r="BD30" s="19" t="str">
        <f>IFERROR(IF(AND(BK30&lt;&gt;"",VLOOKUP($P30&amp;" | "&amp;BB$6,'Job Master'!$F$12:$I$102,4,0)&lt;&gt;""),IF(WEEKDAY(BK30-VLOOKUP($P30&amp;" | "&amp;BB$6,'Job Master'!$F$12:$I$102,4,0))&lt;&gt;7,BK30-VLOOKUP($P30&amp;" | "&amp;BB$6,'Job Master'!$F$12:$I$102,4,0),BK30-VLOOKUP($P30&amp;" | "&amp;BB$6,'Job Master'!$F$12:$I$102,4,0)-1),""),"")</f>
        <v/>
      </c>
      <c r="BE30" s="73"/>
      <c r="BF30" s="123" t="str">
        <f t="shared" si="22"/>
        <v/>
      </c>
      <c r="BG30" s="123" t="str">
        <f t="shared" si="23"/>
        <v/>
      </c>
      <c r="BH30" s="97" t="str">
        <f t="shared" ca="1" si="24"/>
        <v/>
      </c>
      <c r="BI30" s="98" t="str">
        <f>IF(BK30&lt;&gt;"",VLOOKUP($P30&amp;" | "&amp;BI$6,'Job Master'!$F$12:$J$102,5,0),"")</f>
        <v/>
      </c>
      <c r="BJ30" s="19" t="str">
        <f>IF(BK30&lt;&gt;"",VLOOKUP($P30&amp;" | "&amp;BI$6,'Job Master'!$F$12:$J$102,3,0),"")</f>
        <v/>
      </c>
      <c r="BK30" s="19" t="str">
        <f>IFERROR(IF(AND(BR30&lt;&gt;"",VLOOKUP($P30&amp;" | "&amp;BI$6,'Job Master'!$F$12:$I$102,4,0)&lt;&gt;""),IF(WEEKDAY(BR30-VLOOKUP($P30&amp;" | "&amp;BI$6,'Job Master'!$F$12:$I$102,4,0))&lt;&gt;7,BR30-VLOOKUP($P30&amp;" | "&amp;BI$6,'Job Master'!$F$12:$I$102,4,0),BR30-VLOOKUP($P30&amp;" | "&amp;BI$6,'Job Master'!$F$12:$I$102,4,0)-1),""),"")</f>
        <v/>
      </c>
      <c r="BL30" s="73"/>
      <c r="BM30" s="123" t="str">
        <f t="shared" si="25"/>
        <v/>
      </c>
      <c r="BN30" s="123" t="str">
        <f t="shared" si="26"/>
        <v/>
      </c>
      <c r="BO30" s="97" t="str">
        <f t="shared" ca="1" si="27"/>
        <v/>
      </c>
      <c r="BP30" s="98" t="str">
        <f>IF(BR30&lt;&gt;"",VLOOKUP($P30&amp;" | "&amp;BP$6,'Job Master'!$F$12:$J$102,5,0),"")</f>
        <v/>
      </c>
      <c r="BQ30" s="19" t="str">
        <f>IF(BR30&lt;&gt;"",VLOOKUP($P30&amp;" | "&amp;BP$6,'Job Master'!$F$12:$J$102,3,0),"")</f>
        <v/>
      </c>
      <c r="BR30" s="19" t="str">
        <f>IFERROR(IF(AND(BY30&lt;&gt;"",VLOOKUP($P30&amp;" | "&amp;BP$6,'Job Master'!$F$12:$I$102,4,0)&lt;&gt;""),IF(WEEKDAY(BY30-VLOOKUP($P30&amp;" | "&amp;BP$6,'Job Master'!$F$12:$I$102,4,0))&lt;&gt;7,BY30-VLOOKUP($P30&amp;" | "&amp;BP$6,'Job Master'!$F$12:$I$102,4,0),BY30-VLOOKUP($P30&amp;" | "&amp;BP$6,'Job Master'!$F$12:$I$102,4,0)-1),""),"")</f>
        <v/>
      </c>
      <c r="BS30" s="73"/>
      <c r="BT30" s="123" t="str">
        <f t="shared" si="28"/>
        <v/>
      </c>
      <c r="BU30" s="123" t="str">
        <f t="shared" si="29"/>
        <v/>
      </c>
      <c r="BV30" s="97" t="str">
        <f t="shared" ca="1" si="30"/>
        <v/>
      </c>
      <c r="BW30" s="98" t="str">
        <f>IF(BY30&lt;&gt;"",VLOOKUP($P30&amp;" | "&amp;BW$6,'Job Master'!$F$12:$J$102,5,0),"")</f>
        <v/>
      </c>
      <c r="BX30" s="19" t="str">
        <f>IF(BY30&lt;&gt;"",VLOOKUP($P30&amp;" | "&amp;BW$6,'Job Master'!$F$12:$J$102,3,0),"")</f>
        <v/>
      </c>
      <c r="BY30" s="19" t="str">
        <f>IFERROR(IF(AND(CF30&lt;&gt;"",VLOOKUP($P30&amp;" | "&amp;BW$6,'Job Master'!$F$12:$I$102,4,0)&lt;&gt;""),IF(WEEKDAY(CF30-VLOOKUP($P30&amp;" | "&amp;BW$6,'Job Master'!$F$12:$I$102,4,0))&lt;&gt;7,CF30-VLOOKUP($P30&amp;" | "&amp;BW$6,'Job Master'!$F$12:$I$102,4,0),CF30-VLOOKUP($P30&amp;" | "&amp;BW$6,'Job Master'!$F$12:$I$102,4,0)-1),""),"")</f>
        <v/>
      </c>
      <c r="BZ30" s="73"/>
      <c r="CA30" s="123" t="str">
        <f t="shared" si="31"/>
        <v/>
      </c>
      <c r="CB30" s="123" t="str">
        <f t="shared" si="32"/>
        <v/>
      </c>
      <c r="CC30" s="97" t="str">
        <f t="shared" ca="1" si="33"/>
        <v/>
      </c>
      <c r="CD30" s="98" t="str">
        <f>IF(CF30&lt;&gt;"",VLOOKUP($P30&amp;" | "&amp;CD$6,'Job Master'!$F$12:$J$102,5,0),"")</f>
        <v/>
      </c>
      <c r="CE30" s="19" t="str">
        <f>IF(CF30&lt;&gt;"",VLOOKUP($P30&amp;" | "&amp;CD$6,'Job Master'!$F$12:$J$102,3,0),"")</f>
        <v/>
      </c>
      <c r="CF30" s="19" t="str">
        <f>IFERROR(IF(AND(CM30&lt;&gt;"",VLOOKUP($P30&amp;" | "&amp;CD$6,'Job Master'!$F$12:$I$102,4,0)&lt;&gt;""),IF(WEEKDAY(CM30-VLOOKUP($P30&amp;" | "&amp;CD$6,'Job Master'!$F$12:$I$102,4,0))&lt;&gt;7,CM30-VLOOKUP($P30&amp;" | "&amp;CD$6,'Job Master'!$F$12:$I$102,4,0),CM30-VLOOKUP($P30&amp;" | "&amp;CD$6,'Job Master'!$F$12:$I$102,4,0)-1),""),"")</f>
        <v/>
      </c>
      <c r="CG30" s="73"/>
      <c r="CH30" s="123" t="str">
        <f t="shared" si="34"/>
        <v/>
      </c>
      <c r="CI30" s="123" t="str">
        <f t="shared" si="35"/>
        <v/>
      </c>
      <c r="CJ30" s="97" t="str">
        <f t="shared" ca="1" si="36"/>
        <v/>
      </c>
      <c r="CK30" s="98" t="str">
        <f>IF(CM30&lt;&gt;"",VLOOKUP($P30&amp;" | "&amp;CK$6,'Job Master'!$F$12:$J$102,5,0),"")</f>
        <v/>
      </c>
      <c r="CL30" s="19" t="str">
        <f>IF(CM30&lt;&gt;"",VLOOKUP($P30&amp;" | "&amp;CK$6,'Job Master'!$F$12:$J$102,3,0),"")</f>
        <v/>
      </c>
      <c r="CM30" s="19" t="str">
        <f>IFERROR(IF(AND(CT30&lt;&gt;"",VLOOKUP($P30&amp;" | "&amp;CK$6,'Job Master'!$F$12:$I$102,4,0)&lt;&gt;""),IF(WEEKDAY(CT30-VLOOKUP($P30&amp;" | "&amp;CK$6,'Job Master'!$F$12:$I$102,4,0))&lt;&gt;7,CT30-VLOOKUP($P30&amp;" | "&amp;CK$6,'Job Master'!$F$12:$I$102,4,0),CT30-VLOOKUP($P30&amp;" | "&amp;CK$6,'Job Master'!$F$12:$I$102,4,0)-1),""),"")</f>
        <v/>
      </c>
      <c r="CN30" s="73"/>
      <c r="CO30" s="123" t="str">
        <f t="shared" si="37"/>
        <v/>
      </c>
      <c r="CP30" s="123" t="str">
        <f t="shared" si="38"/>
        <v/>
      </c>
      <c r="CQ30" s="97" t="str">
        <f t="shared" ca="1" si="39"/>
        <v/>
      </c>
      <c r="CR30" s="98" t="str">
        <f>IF(CT30&lt;&gt;"",VLOOKUP($P30&amp;" | "&amp;CR$6,'Job Master'!$F$12:$J$102,5,0),"")</f>
        <v/>
      </c>
      <c r="CS30" s="19" t="str">
        <f>IF(CT30&lt;&gt;"",VLOOKUP($P30&amp;" | "&amp;CR$6,'Job Master'!$F$12:$J$102,3,0),"")</f>
        <v/>
      </c>
      <c r="CT30" s="19" t="str">
        <f>IFERROR(IF(AND(DA30&lt;&gt;"",VLOOKUP($P30&amp;" | "&amp;CR$6,'Job Master'!$F$12:$I$102,4,0)&lt;&gt;""),IF(WEEKDAY(DA30-VLOOKUP($P30&amp;" | "&amp;CR$6,'Job Master'!$F$12:$I$102,4,0))&lt;&gt;7,DA30-VLOOKUP($P30&amp;" | "&amp;CR$6,'Job Master'!$F$12:$I$102,4,0),DA30-VLOOKUP($P30&amp;" | "&amp;CR$6,'Job Master'!$F$12:$I$102,4,0)-1),""),"")</f>
        <v/>
      </c>
      <c r="CU30" s="73"/>
      <c r="CV30" s="123" t="str">
        <f t="shared" si="40"/>
        <v/>
      </c>
      <c r="CW30" s="123" t="str">
        <f t="shared" si="41"/>
        <v/>
      </c>
      <c r="CX30" s="97" t="str">
        <f t="shared" ca="1" si="42"/>
        <v/>
      </c>
      <c r="CY30" s="98" t="str">
        <f>IF(DA30&lt;&gt;"",VLOOKUP($P30&amp;" | "&amp;CY$6,'Job Master'!$F$12:$J$102,5,0),"")</f>
        <v/>
      </c>
      <c r="CZ30" s="19" t="str">
        <f>IF(DA30&lt;&gt;"",VLOOKUP($P30&amp;" | "&amp;CY$6,'Job Master'!$F$12:$J$102,3,0),"")</f>
        <v/>
      </c>
      <c r="DA30" s="19" t="str">
        <f>IFERROR(IF(AND(DH30&lt;&gt;"",VLOOKUP($P30&amp;" | "&amp;CY$6,'Job Master'!$F$12:$I$102,4,0)&lt;&gt;""),IF(WEEKDAY(DH30-VLOOKUP($P30&amp;" | "&amp;CY$6,'Job Master'!$F$12:$I$102,4,0))&lt;&gt;7,DH30-VLOOKUP($P30&amp;" | "&amp;CY$6,'Job Master'!$F$12:$I$102,4,0),DH30-VLOOKUP($P30&amp;" | "&amp;CY$6,'Job Master'!$F$12:$I$102,4,0)-1),""),"")</f>
        <v/>
      </c>
      <c r="DB30" s="73"/>
      <c r="DC30" s="123" t="str">
        <f t="shared" si="43"/>
        <v/>
      </c>
      <c r="DD30" s="123" t="str">
        <f t="shared" si="44"/>
        <v/>
      </c>
      <c r="DE30" s="97" t="str">
        <f t="shared" ca="1" si="45"/>
        <v/>
      </c>
      <c r="DF30" s="98" t="str">
        <f>IF(DH30&lt;&gt;"",VLOOKUP($P30&amp;" | "&amp;DF$6,'Job Master'!$F$12:$J$102,5,0),"")</f>
        <v/>
      </c>
      <c r="DG30" s="19" t="str">
        <f>IF(DH30&lt;&gt;"",VLOOKUP($P30&amp;" | "&amp;DF$6,'Job Master'!$F$12:$J$102,3,0),"")</f>
        <v/>
      </c>
      <c r="DH30" s="19" t="str">
        <f>IFERROR(IF(AND(DO30&lt;&gt;"",VLOOKUP($P30&amp;" | "&amp;DF$6,'Job Master'!$F$12:$I$102,4,0)&lt;&gt;""),IF(WEEKDAY(DO30-VLOOKUP($P30&amp;" | "&amp;DF$6,'Job Master'!$F$12:$I$102,4,0))&lt;&gt;7,DO30-VLOOKUP($P30&amp;" | "&amp;DF$6,'Job Master'!$F$12:$I$102,4,0),DO30-VLOOKUP($P30&amp;" | "&amp;DF$6,'Job Master'!$F$12:$I$102,4,0)-1),""),"")</f>
        <v/>
      </c>
      <c r="DI30" s="73"/>
      <c r="DJ30" s="123" t="str">
        <f t="shared" si="46"/>
        <v/>
      </c>
      <c r="DK30" s="123" t="str">
        <f t="shared" si="47"/>
        <v/>
      </c>
      <c r="DL30" s="97" t="str">
        <f t="shared" ca="1" si="48"/>
        <v/>
      </c>
      <c r="DM30" s="98" t="str">
        <f>IF(DO30&lt;&gt;"",VLOOKUP($P30&amp;" | "&amp;DM$6,'Job Master'!$F$12:$J$102,5,0),"")</f>
        <v/>
      </c>
      <c r="DN30" s="19" t="str">
        <f>IF(DO30&lt;&gt;"",VLOOKUP($P30&amp;" | "&amp;DM$6,'Job Master'!$F$12:$J$102,3,0),"")</f>
        <v/>
      </c>
      <c r="DO30" s="19" t="str">
        <f>IFERROR(IF(AND(DT30&lt;&gt;"",VLOOKUP($P30&amp;" | "&amp;DM$6,'Job Master'!$F$12:$I$102,4,0)&lt;&gt;""),IF(WEEKDAY(DT30-VLOOKUP($P30&amp;" | "&amp;DM$6,'Job Master'!$F$12:$I$102,4,0))&lt;&gt;7,DT30-VLOOKUP($P30&amp;" | "&amp;DM$6,'Job Master'!$F$12:$I$102,4,0),DT30-VLOOKUP($P30&amp;" | "&amp;DM$6,'Job Master'!$F$12:$I$102,4,0)-1),""),"")</f>
        <v/>
      </c>
      <c r="DP30" s="73"/>
      <c r="DQ30" s="123" t="str">
        <f t="shared" si="49"/>
        <v/>
      </c>
      <c r="DR30" s="123" t="str">
        <f t="shared" si="50"/>
        <v/>
      </c>
      <c r="DS30" s="97" t="str">
        <f t="shared" ca="1" si="51"/>
        <v/>
      </c>
      <c r="DT30" s="70" t="str">
        <f t="shared" si="52"/>
        <v/>
      </c>
      <c r="DU30" s="90"/>
      <c r="DV30" s="123" t="str">
        <f t="shared" si="53"/>
        <v/>
      </c>
      <c r="DW30" s="123" t="str">
        <f t="shared" si="54"/>
        <v/>
      </c>
      <c r="DX30" s="132" t="str">
        <f t="shared" ref="DX30" ca="1" si="91">IF(DT30&lt;&gt;"",IF(WEEKNUM(DT30)=WEEKNUM(TODAY()),"This Week",IF(WEEKNUM(DT30)=WEEKNUM(TODAY())+1,"Next Week",IF(WEEKNUM(DT30)=WEEKNUM(TODAY())-1,"Previous Week",""))),"")</f>
        <v/>
      </c>
      <c r="DY30" s="134" t="str">
        <f t="shared" si="56"/>
        <v/>
      </c>
      <c r="DZ30" s="95"/>
      <c r="EB30" s="8" t="str">
        <f t="shared" si="67"/>
        <v/>
      </c>
      <c r="EC30" s="8" t="str">
        <f>IF(O30&lt;&gt;"",VLOOKUP(O30,'Job Master'!$N$12:$O$18,2,0),"")</f>
        <v/>
      </c>
      <c r="ED30" s="8">
        <f t="shared" si="68"/>
        <v>19.5</v>
      </c>
      <c r="EE30" s="8">
        <f t="shared" si="69"/>
        <v>6</v>
      </c>
      <c r="EF30" s="8">
        <f t="shared" si="70"/>
        <v>-100.5</v>
      </c>
      <c r="EG30" s="8" t="str">
        <f t="shared" si="71"/>
        <v/>
      </c>
      <c r="EH30" s="8" t="str">
        <f t="shared" si="72"/>
        <v/>
      </c>
    </row>
    <row r="31" spans="2:138" x14ac:dyDescent="0.3">
      <c r="B31" s="112"/>
      <c r="C31" s="27"/>
      <c r="D31" s="7" t="str">
        <f t="shared" si="1"/>
        <v/>
      </c>
      <c r="E31" s="25"/>
      <c r="F31" s="7" t="str">
        <f t="shared" si="1"/>
        <v/>
      </c>
      <c r="G31" s="25"/>
      <c r="H31" s="7" t="str">
        <f t="shared" si="1"/>
        <v/>
      </c>
      <c r="I31" s="25"/>
      <c r="J31" s="7" t="str">
        <f t="shared" si="1"/>
        <v/>
      </c>
      <c r="K31" s="25"/>
      <c r="L31" s="7" t="str">
        <f t="shared" si="2"/>
        <v/>
      </c>
      <c r="M31" s="25"/>
      <c r="N31" s="7" t="str">
        <f t="shared" si="3"/>
        <v/>
      </c>
      <c r="O31" s="81"/>
      <c r="P31" s="81" t="str">
        <f t="shared" si="4"/>
        <v/>
      </c>
      <c r="Q31" s="81"/>
      <c r="R31" s="7" t="str">
        <f t="shared" si="5"/>
        <v/>
      </c>
      <c r="S31" s="25"/>
      <c r="T31" s="7" t="str">
        <f t="shared" si="6"/>
        <v/>
      </c>
      <c r="U31" s="25"/>
      <c r="V31" s="7" t="str">
        <f t="shared" si="7"/>
        <v/>
      </c>
      <c r="W31" s="25"/>
      <c r="X31" s="7" t="str">
        <f t="shared" si="8"/>
        <v/>
      </c>
      <c r="Y31" s="18" t="str">
        <f t="shared" si="9"/>
        <v/>
      </c>
      <c r="Z31" s="7" t="str">
        <f t="shared" si="10"/>
        <v/>
      </c>
      <c r="AA31" s="18" t="str">
        <f t="shared" si="11"/>
        <v/>
      </c>
      <c r="AB31" s="19" t="str">
        <f t="shared" si="12"/>
        <v/>
      </c>
      <c r="AC31" s="26"/>
      <c r="AD31" s="26"/>
      <c r="AE31" s="25"/>
      <c r="AF31" s="26"/>
      <c r="AG31" s="25"/>
      <c r="AH31" s="25"/>
      <c r="AI31" s="18" t="str">
        <f t="shared" si="83"/>
        <v/>
      </c>
      <c r="AJ31" s="25"/>
      <c r="AK31" s="18" t="str">
        <f t="shared" si="84"/>
        <v/>
      </c>
      <c r="AL31" s="79"/>
      <c r="AM31" s="126" t="str">
        <f t="shared" si="85"/>
        <v/>
      </c>
      <c r="AN31" s="128" t="str">
        <f>IF(AP31&lt;&gt;"",VLOOKUP($P31&amp;" | "&amp;AN$6,'Job Master'!$F$12:$J$102,5,0),"")</f>
        <v/>
      </c>
      <c r="AO31" s="19" t="str">
        <f>IF(AP31&lt;&gt;"",VLOOKUP($P31&amp;" | "&amp;AN$6,'Job Master'!$F$12:$J$102,3,0),"")</f>
        <v/>
      </c>
      <c r="AP31" s="19" t="str">
        <f>IFERROR(IF(AND(AW31&lt;&gt;"",VLOOKUP($P31&amp;" | "&amp;AN$6,'Job Master'!$F$12:$I$102,4,0)&lt;&gt;""),IF(WEEKDAY(AW31-VLOOKUP($P31&amp;" | "&amp;AN$6,'Job Master'!$F$12:$I$102,4,0))&lt;&gt;7,AW31-VLOOKUP($P31&amp;" | "&amp;AN$6,'Job Master'!$F$12:$I$102,4,0),AW31-VLOOKUP($P31&amp;" | "&amp;AN$6,'Job Master'!$F$12:$I$102,4,0)-1),""),"")</f>
        <v/>
      </c>
      <c r="AQ31" s="73"/>
      <c r="AR31" s="123" t="str">
        <f t="shared" si="16"/>
        <v/>
      </c>
      <c r="AS31" s="123" t="str">
        <f t="shared" si="17"/>
        <v/>
      </c>
      <c r="AT31" s="97" t="str">
        <f t="shared" ca="1" si="18"/>
        <v/>
      </c>
      <c r="AU31" s="98" t="str">
        <f>IF(AW31&lt;&gt;"",VLOOKUP($P31&amp;" | "&amp;AU$6,'Job Master'!$F$12:$J$102,5,0),"")</f>
        <v/>
      </c>
      <c r="AV31" s="19" t="str">
        <f>IF(AW31&lt;&gt;"",VLOOKUP($P31&amp;" | "&amp;AU$6,'Job Master'!$F$12:$J$102,3,0),"")</f>
        <v/>
      </c>
      <c r="AW31" s="19" t="str">
        <f>IFERROR(IF(AND(BD31&lt;&gt;"",VLOOKUP($P31&amp;" | "&amp;AU$6,'Job Master'!$F$12:$I$102,4,0)&lt;&gt;""),IF(WEEKDAY(BD31-VLOOKUP($P31&amp;" | "&amp;AU$6,'Job Master'!$F$12:$I$102,4,0))&lt;&gt;7,BD31-VLOOKUP($P31&amp;" | "&amp;AU$6,'Job Master'!$F$12:$I$102,4,0),BD31-VLOOKUP($P31&amp;" | "&amp;AU$6,'Job Master'!$F$12:$I$102,4,0)-1),""),"")</f>
        <v/>
      </c>
      <c r="AX31" s="73"/>
      <c r="AY31" s="123" t="str">
        <f t="shared" si="19"/>
        <v/>
      </c>
      <c r="AZ31" s="123" t="str">
        <f t="shared" si="20"/>
        <v/>
      </c>
      <c r="BA31" s="97" t="str">
        <f t="shared" ca="1" si="21"/>
        <v/>
      </c>
      <c r="BB31" s="98" t="str">
        <f>IF(BD31&lt;&gt;"",VLOOKUP($P31&amp;" | "&amp;BB$6,'Job Master'!$F$12:$J$102,5,0),"")</f>
        <v/>
      </c>
      <c r="BC31" s="19" t="str">
        <f>IF(BD31&lt;&gt;"",VLOOKUP($P31&amp;" | "&amp;BB$6,'Job Master'!$F$12:$J$102,3,0),"")</f>
        <v/>
      </c>
      <c r="BD31" s="19" t="str">
        <f>IFERROR(IF(AND(BK31&lt;&gt;"",VLOOKUP($P31&amp;" | "&amp;BB$6,'Job Master'!$F$12:$I$102,4,0)&lt;&gt;""),IF(WEEKDAY(BK31-VLOOKUP($P31&amp;" | "&amp;BB$6,'Job Master'!$F$12:$I$102,4,0))&lt;&gt;7,BK31-VLOOKUP($P31&amp;" | "&amp;BB$6,'Job Master'!$F$12:$I$102,4,0),BK31-VLOOKUP($P31&amp;" | "&amp;BB$6,'Job Master'!$F$12:$I$102,4,0)-1),""),"")</f>
        <v/>
      </c>
      <c r="BE31" s="73"/>
      <c r="BF31" s="123" t="str">
        <f t="shared" si="22"/>
        <v/>
      </c>
      <c r="BG31" s="123" t="str">
        <f t="shared" si="23"/>
        <v/>
      </c>
      <c r="BH31" s="97" t="str">
        <f t="shared" ca="1" si="24"/>
        <v/>
      </c>
      <c r="BI31" s="98" t="str">
        <f>IF(BK31&lt;&gt;"",VLOOKUP($P31&amp;" | "&amp;BI$6,'Job Master'!$F$12:$J$102,5,0),"")</f>
        <v/>
      </c>
      <c r="BJ31" s="19" t="str">
        <f>IF(BK31&lt;&gt;"",VLOOKUP($P31&amp;" | "&amp;BI$6,'Job Master'!$F$12:$J$102,3,0),"")</f>
        <v/>
      </c>
      <c r="BK31" s="19" t="str">
        <f>IFERROR(IF(AND(BR31&lt;&gt;"",VLOOKUP($P31&amp;" | "&amp;BI$6,'Job Master'!$F$12:$I$102,4,0)&lt;&gt;""),IF(WEEKDAY(BR31-VLOOKUP($P31&amp;" | "&amp;BI$6,'Job Master'!$F$12:$I$102,4,0))&lt;&gt;7,BR31-VLOOKUP($P31&amp;" | "&amp;BI$6,'Job Master'!$F$12:$I$102,4,0),BR31-VLOOKUP($P31&amp;" | "&amp;BI$6,'Job Master'!$F$12:$I$102,4,0)-1),""),"")</f>
        <v/>
      </c>
      <c r="BL31" s="73"/>
      <c r="BM31" s="123" t="str">
        <f t="shared" si="25"/>
        <v/>
      </c>
      <c r="BN31" s="123" t="str">
        <f t="shared" si="26"/>
        <v/>
      </c>
      <c r="BO31" s="97" t="str">
        <f t="shared" ca="1" si="27"/>
        <v/>
      </c>
      <c r="BP31" s="98" t="str">
        <f>IF(BR31&lt;&gt;"",VLOOKUP($P31&amp;" | "&amp;BP$6,'Job Master'!$F$12:$J$102,5,0),"")</f>
        <v/>
      </c>
      <c r="BQ31" s="19" t="str">
        <f>IF(BR31&lt;&gt;"",VLOOKUP($P31&amp;" | "&amp;BP$6,'Job Master'!$F$12:$J$102,3,0),"")</f>
        <v/>
      </c>
      <c r="BR31" s="19" t="str">
        <f>IFERROR(IF(AND(BY31&lt;&gt;"",VLOOKUP($P31&amp;" | "&amp;BP$6,'Job Master'!$F$12:$I$102,4,0)&lt;&gt;""),IF(WEEKDAY(BY31-VLOOKUP($P31&amp;" | "&amp;BP$6,'Job Master'!$F$12:$I$102,4,0))&lt;&gt;7,BY31-VLOOKUP($P31&amp;" | "&amp;BP$6,'Job Master'!$F$12:$I$102,4,0),BY31-VLOOKUP($P31&amp;" | "&amp;BP$6,'Job Master'!$F$12:$I$102,4,0)-1),""),"")</f>
        <v/>
      </c>
      <c r="BS31" s="73"/>
      <c r="BT31" s="123" t="str">
        <f t="shared" si="28"/>
        <v/>
      </c>
      <c r="BU31" s="123" t="str">
        <f t="shared" si="29"/>
        <v/>
      </c>
      <c r="BV31" s="97" t="str">
        <f t="shared" ca="1" si="30"/>
        <v/>
      </c>
      <c r="BW31" s="98" t="str">
        <f>IF(BY31&lt;&gt;"",VLOOKUP($P31&amp;" | "&amp;BW$6,'Job Master'!$F$12:$J$102,5,0),"")</f>
        <v/>
      </c>
      <c r="BX31" s="19" t="str">
        <f>IF(BY31&lt;&gt;"",VLOOKUP($P31&amp;" | "&amp;BW$6,'Job Master'!$F$12:$J$102,3,0),"")</f>
        <v/>
      </c>
      <c r="BY31" s="19" t="str">
        <f>IFERROR(IF(AND(CF31&lt;&gt;"",VLOOKUP($P31&amp;" | "&amp;BW$6,'Job Master'!$F$12:$I$102,4,0)&lt;&gt;""),IF(WEEKDAY(CF31-VLOOKUP($P31&amp;" | "&amp;BW$6,'Job Master'!$F$12:$I$102,4,0))&lt;&gt;7,CF31-VLOOKUP($P31&amp;" | "&amp;BW$6,'Job Master'!$F$12:$I$102,4,0),CF31-VLOOKUP($P31&amp;" | "&amp;BW$6,'Job Master'!$F$12:$I$102,4,0)-1),""),"")</f>
        <v/>
      </c>
      <c r="BZ31" s="73"/>
      <c r="CA31" s="123" t="str">
        <f t="shared" si="31"/>
        <v/>
      </c>
      <c r="CB31" s="123" t="str">
        <f t="shared" si="32"/>
        <v/>
      </c>
      <c r="CC31" s="97" t="str">
        <f t="shared" ca="1" si="33"/>
        <v/>
      </c>
      <c r="CD31" s="98" t="str">
        <f>IF(CF31&lt;&gt;"",VLOOKUP($P31&amp;" | "&amp;CD$6,'Job Master'!$F$12:$J$102,5,0),"")</f>
        <v/>
      </c>
      <c r="CE31" s="19" t="str">
        <f>IF(CF31&lt;&gt;"",VLOOKUP($P31&amp;" | "&amp;CD$6,'Job Master'!$F$12:$J$102,3,0),"")</f>
        <v/>
      </c>
      <c r="CF31" s="19" t="str">
        <f>IFERROR(IF(AND(CM31&lt;&gt;"",VLOOKUP($P31&amp;" | "&amp;CD$6,'Job Master'!$F$12:$I$102,4,0)&lt;&gt;""),IF(WEEKDAY(CM31-VLOOKUP($P31&amp;" | "&amp;CD$6,'Job Master'!$F$12:$I$102,4,0))&lt;&gt;7,CM31-VLOOKUP($P31&amp;" | "&amp;CD$6,'Job Master'!$F$12:$I$102,4,0),CM31-VLOOKUP($P31&amp;" | "&amp;CD$6,'Job Master'!$F$12:$I$102,4,0)-1),""),"")</f>
        <v/>
      </c>
      <c r="CG31" s="73"/>
      <c r="CH31" s="123" t="str">
        <f t="shared" si="34"/>
        <v/>
      </c>
      <c r="CI31" s="123" t="str">
        <f t="shared" si="35"/>
        <v/>
      </c>
      <c r="CJ31" s="97" t="str">
        <f t="shared" ca="1" si="36"/>
        <v/>
      </c>
      <c r="CK31" s="98" t="str">
        <f>IF(CM31&lt;&gt;"",VLOOKUP($P31&amp;" | "&amp;CK$6,'Job Master'!$F$12:$J$102,5,0),"")</f>
        <v/>
      </c>
      <c r="CL31" s="19" t="str">
        <f>IF(CM31&lt;&gt;"",VLOOKUP($P31&amp;" | "&amp;CK$6,'Job Master'!$F$12:$J$102,3,0),"")</f>
        <v/>
      </c>
      <c r="CM31" s="19" t="str">
        <f>IFERROR(IF(AND(CT31&lt;&gt;"",VLOOKUP($P31&amp;" | "&amp;CK$6,'Job Master'!$F$12:$I$102,4,0)&lt;&gt;""),IF(WEEKDAY(CT31-VLOOKUP($P31&amp;" | "&amp;CK$6,'Job Master'!$F$12:$I$102,4,0))&lt;&gt;7,CT31-VLOOKUP($P31&amp;" | "&amp;CK$6,'Job Master'!$F$12:$I$102,4,0),CT31-VLOOKUP($P31&amp;" | "&amp;CK$6,'Job Master'!$F$12:$I$102,4,0)-1),""),"")</f>
        <v/>
      </c>
      <c r="CN31" s="73"/>
      <c r="CO31" s="123" t="str">
        <f t="shared" si="37"/>
        <v/>
      </c>
      <c r="CP31" s="123" t="str">
        <f t="shared" si="38"/>
        <v/>
      </c>
      <c r="CQ31" s="97" t="str">
        <f t="shared" ca="1" si="39"/>
        <v/>
      </c>
      <c r="CR31" s="98" t="str">
        <f>IF(CT31&lt;&gt;"",VLOOKUP($P31&amp;" | "&amp;CR$6,'Job Master'!$F$12:$J$102,5,0),"")</f>
        <v/>
      </c>
      <c r="CS31" s="19" t="str">
        <f>IF(CT31&lt;&gt;"",VLOOKUP($P31&amp;" | "&amp;CR$6,'Job Master'!$F$12:$J$102,3,0),"")</f>
        <v/>
      </c>
      <c r="CT31" s="19" t="str">
        <f>IFERROR(IF(AND(DA31&lt;&gt;"",VLOOKUP($P31&amp;" | "&amp;CR$6,'Job Master'!$F$12:$I$102,4,0)&lt;&gt;""),IF(WEEKDAY(DA31-VLOOKUP($P31&amp;" | "&amp;CR$6,'Job Master'!$F$12:$I$102,4,0))&lt;&gt;7,DA31-VLOOKUP($P31&amp;" | "&amp;CR$6,'Job Master'!$F$12:$I$102,4,0),DA31-VLOOKUP($P31&amp;" | "&amp;CR$6,'Job Master'!$F$12:$I$102,4,0)-1),""),"")</f>
        <v/>
      </c>
      <c r="CU31" s="73"/>
      <c r="CV31" s="123" t="str">
        <f t="shared" si="40"/>
        <v/>
      </c>
      <c r="CW31" s="123" t="str">
        <f t="shared" si="41"/>
        <v/>
      </c>
      <c r="CX31" s="97" t="str">
        <f t="shared" ca="1" si="42"/>
        <v/>
      </c>
      <c r="CY31" s="98" t="str">
        <f>IF(DA31&lt;&gt;"",VLOOKUP($P31&amp;" | "&amp;CY$6,'Job Master'!$F$12:$J$102,5,0),"")</f>
        <v/>
      </c>
      <c r="CZ31" s="19" t="str">
        <f>IF(DA31&lt;&gt;"",VLOOKUP($P31&amp;" | "&amp;CY$6,'Job Master'!$F$12:$J$102,3,0),"")</f>
        <v/>
      </c>
      <c r="DA31" s="19" t="str">
        <f>IFERROR(IF(AND(DH31&lt;&gt;"",VLOOKUP($P31&amp;" | "&amp;CY$6,'Job Master'!$F$12:$I$102,4,0)&lt;&gt;""),IF(WEEKDAY(DH31-VLOOKUP($P31&amp;" | "&amp;CY$6,'Job Master'!$F$12:$I$102,4,0))&lt;&gt;7,DH31-VLOOKUP($P31&amp;" | "&amp;CY$6,'Job Master'!$F$12:$I$102,4,0),DH31-VLOOKUP($P31&amp;" | "&amp;CY$6,'Job Master'!$F$12:$I$102,4,0)-1),""),"")</f>
        <v/>
      </c>
      <c r="DB31" s="73"/>
      <c r="DC31" s="123" t="str">
        <f t="shared" si="43"/>
        <v/>
      </c>
      <c r="DD31" s="123" t="str">
        <f t="shared" si="44"/>
        <v/>
      </c>
      <c r="DE31" s="97" t="str">
        <f t="shared" ca="1" si="45"/>
        <v/>
      </c>
      <c r="DF31" s="98" t="str">
        <f>IF(DH31&lt;&gt;"",VLOOKUP($P31&amp;" | "&amp;DF$6,'Job Master'!$F$12:$J$102,5,0),"")</f>
        <v/>
      </c>
      <c r="DG31" s="19" t="str">
        <f>IF(DH31&lt;&gt;"",VLOOKUP($P31&amp;" | "&amp;DF$6,'Job Master'!$F$12:$J$102,3,0),"")</f>
        <v/>
      </c>
      <c r="DH31" s="19" t="str">
        <f>IFERROR(IF(AND(DO31&lt;&gt;"",VLOOKUP($P31&amp;" | "&amp;DF$6,'Job Master'!$F$12:$I$102,4,0)&lt;&gt;""),IF(WEEKDAY(DO31-VLOOKUP($P31&amp;" | "&amp;DF$6,'Job Master'!$F$12:$I$102,4,0))&lt;&gt;7,DO31-VLOOKUP($P31&amp;" | "&amp;DF$6,'Job Master'!$F$12:$I$102,4,0),DO31-VLOOKUP($P31&amp;" | "&amp;DF$6,'Job Master'!$F$12:$I$102,4,0)-1),""),"")</f>
        <v/>
      </c>
      <c r="DI31" s="73"/>
      <c r="DJ31" s="123" t="str">
        <f t="shared" si="46"/>
        <v/>
      </c>
      <c r="DK31" s="123" t="str">
        <f t="shared" si="47"/>
        <v/>
      </c>
      <c r="DL31" s="97" t="str">
        <f t="shared" ca="1" si="48"/>
        <v/>
      </c>
      <c r="DM31" s="98" t="str">
        <f>IF(DO31&lt;&gt;"",VLOOKUP($P31&amp;" | "&amp;DM$6,'Job Master'!$F$12:$J$102,5,0),"")</f>
        <v/>
      </c>
      <c r="DN31" s="19" t="str">
        <f>IF(DO31&lt;&gt;"",VLOOKUP($P31&amp;" | "&amp;DM$6,'Job Master'!$F$12:$J$102,3,0),"")</f>
        <v/>
      </c>
      <c r="DO31" s="19" t="str">
        <f>IFERROR(IF(AND(DT31&lt;&gt;"",VLOOKUP($P31&amp;" | "&amp;DM$6,'Job Master'!$F$12:$I$102,4,0)&lt;&gt;""),IF(WEEKDAY(DT31-VLOOKUP($P31&amp;" | "&amp;DM$6,'Job Master'!$F$12:$I$102,4,0))&lt;&gt;7,DT31-VLOOKUP($P31&amp;" | "&amp;DM$6,'Job Master'!$F$12:$I$102,4,0),DT31-VLOOKUP($P31&amp;" | "&amp;DM$6,'Job Master'!$F$12:$I$102,4,0)-1),""),"")</f>
        <v/>
      </c>
      <c r="DP31" s="73"/>
      <c r="DQ31" s="123" t="str">
        <f t="shared" si="49"/>
        <v/>
      </c>
      <c r="DR31" s="123" t="str">
        <f t="shared" si="50"/>
        <v/>
      </c>
      <c r="DS31" s="97" t="str">
        <f t="shared" ca="1" si="51"/>
        <v/>
      </c>
      <c r="DT31" s="70" t="str">
        <f t="shared" si="52"/>
        <v/>
      </c>
      <c r="DU31" s="90"/>
      <c r="DV31" s="123" t="str">
        <f t="shared" si="53"/>
        <v/>
      </c>
      <c r="DW31" s="123" t="str">
        <f t="shared" si="54"/>
        <v/>
      </c>
      <c r="DX31" s="132" t="str">
        <f t="shared" ref="DX31" ca="1" si="92">IF(DT31&lt;&gt;"",IF(WEEKNUM(DT31)=WEEKNUM(TODAY()),"This Week",IF(WEEKNUM(DT31)=WEEKNUM(TODAY())+1,"Next Week",IF(WEEKNUM(DT31)=WEEKNUM(TODAY())-1,"Previous Week",""))),"")</f>
        <v/>
      </c>
      <c r="DY31" s="134" t="str">
        <f t="shared" si="56"/>
        <v/>
      </c>
      <c r="DZ31" s="95"/>
      <c r="EB31" s="8" t="str">
        <f t="shared" si="67"/>
        <v/>
      </c>
      <c r="EC31" s="8" t="str">
        <f>IF(O31&lt;&gt;"",VLOOKUP(O31,'Job Master'!$N$12:$O$18,2,0),"")</f>
        <v/>
      </c>
      <c r="ED31" s="8">
        <f t="shared" si="68"/>
        <v>19.5</v>
      </c>
      <c r="EE31" s="8">
        <f t="shared" si="69"/>
        <v>6</v>
      </c>
      <c r="EF31" s="8">
        <f t="shared" si="70"/>
        <v>-106.5</v>
      </c>
      <c r="EG31" s="8" t="str">
        <f t="shared" si="71"/>
        <v/>
      </c>
      <c r="EH31" s="8" t="str">
        <f t="shared" si="72"/>
        <v/>
      </c>
    </row>
    <row r="32" spans="2:138" x14ac:dyDescent="0.3">
      <c r="B32" s="112"/>
      <c r="C32" s="27"/>
      <c r="D32" s="7" t="str">
        <f t="shared" si="1"/>
        <v/>
      </c>
      <c r="E32" s="25"/>
      <c r="F32" s="7" t="str">
        <f t="shared" si="1"/>
        <v/>
      </c>
      <c r="G32" s="25"/>
      <c r="H32" s="7" t="str">
        <f t="shared" si="1"/>
        <v/>
      </c>
      <c r="I32" s="25"/>
      <c r="J32" s="7" t="str">
        <f t="shared" si="1"/>
        <v/>
      </c>
      <c r="K32" s="25"/>
      <c r="L32" s="7" t="str">
        <f t="shared" si="2"/>
        <v/>
      </c>
      <c r="M32" s="25"/>
      <c r="N32" s="7" t="str">
        <f t="shared" si="3"/>
        <v/>
      </c>
      <c r="O32" s="81"/>
      <c r="P32" s="81" t="str">
        <f t="shared" si="4"/>
        <v/>
      </c>
      <c r="Q32" s="81"/>
      <c r="R32" s="7" t="str">
        <f t="shared" si="5"/>
        <v/>
      </c>
      <c r="S32" s="25"/>
      <c r="T32" s="7" t="str">
        <f t="shared" si="6"/>
        <v/>
      </c>
      <c r="U32" s="25"/>
      <c r="V32" s="7" t="str">
        <f t="shared" si="7"/>
        <v/>
      </c>
      <c r="W32" s="25"/>
      <c r="X32" s="7" t="str">
        <f t="shared" si="8"/>
        <v/>
      </c>
      <c r="Y32" s="18" t="str">
        <f t="shared" si="9"/>
        <v/>
      </c>
      <c r="Z32" s="7" t="str">
        <f t="shared" si="10"/>
        <v/>
      </c>
      <c r="AA32" s="18" t="str">
        <f t="shared" si="11"/>
        <v/>
      </c>
      <c r="AB32" s="19" t="str">
        <f t="shared" si="12"/>
        <v/>
      </c>
      <c r="AC32" s="26"/>
      <c r="AD32" s="26"/>
      <c r="AE32" s="25"/>
      <c r="AF32" s="26"/>
      <c r="AG32" s="25"/>
      <c r="AH32" s="25"/>
      <c r="AI32" s="18" t="str">
        <f t="shared" si="83"/>
        <v/>
      </c>
      <c r="AJ32" s="25"/>
      <c r="AK32" s="18" t="str">
        <f t="shared" si="84"/>
        <v/>
      </c>
      <c r="AL32" s="79"/>
      <c r="AM32" s="126" t="str">
        <f t="shared" si="85"/>
        <v/>
      </c>
      <c r="AN32" s="128" t="str">
        <f>IF(AP32&lt;&gt;"",VLOOKUP($P32&amp;" | "&amp;AN$6,'Job Master'!$F$12:$J$102,5,0),"")</f>
        <v/>
      </c>
      <c r="AO32" s="19" t="str">
        <f>IF(AP32&lt;&gt;"",VLOOKUP($P32&amp;" | "&amp;AN$6,'Job Master'!$F$12:$J$102,3,0),"")</f>
        <v/>
      </c>
      <c r="AP32" s="19" t="str">
        <f>IFERROR(IF(AND(AW32&lt;&gt;"",VLOOKUP($P32&amp;" | "&amp;AN$6,'Job Master'!$F$12:$I$102,4,0)&lt;&gt;""),IF(WEEKDAY(AW32-VLOOKUP($P32&amp;" | "&amp;AN$6,'Job Master'!$F$12:$I$102,4,0))&lt;&gt;7,AW32-VLOOKUP($P32&amp;" | "&amp;AN$6,'Job Master'!$F$12:$I$102,4,0),AW32-VLOOKUP($P32&amp;" | "&amp;AN$6,'Job Master'!$F$12:$I$102,4,0)-1),""),"")</f>
        <v/>
      </c>
      <c r="AQ32" s="73"/>
      <c r="AR32" s="123" t="str">
        <f t="shared" si="16"/>
        <v/>
      </c>
      <c r="AS32" s="123" t="str">
        <f t="shared" si="17"/>
        <v/>
      </c>
      <c r="AT32" s="97" t="str">
        <f t="shared" ca="1" si="18"/>
        <v/>
      </c>
      <c r="AU32" s="98" t="str">
        <f>IF(AW32&lt;&gt;"",VLOOKUP($P32&amp;" | "&amp;AU$6,'Job Master'!$F$12:$J$102,5,0),"")</f>
        <v/>
      </c>
      <c r="AV32" s="19" t="str">
        <f>IF(AW32&lt;&gt;"",VLOOKUP($P32&amp;" | "&amp;AU$6,'Job Master'!$F$12:$J$102,3,0),"")</f>
        <v/>
      </c>
      <c r="AW32" s="19" t="str">
        <f>IFERROR(IF(AND(BD32&lt;&gt;"",VLOOKUP($P32&amp;" | "&amp;AU$6,'Job Master'!$F$12:$I$102,4,0)&lt;&gt;""),IF(WEEKDAY(BD32-VLOOKUP($P32&amp;" | "&amp;AU$6,'Job Master'!$F$12:$I$102,4,0))&lt;&gt;7,BD32-VLOOKUP($P32&amp;" | "&amp;AU$6,'Job Master'!$F$12:$I$102,4,0),BD32-VLOOKUP($P32&amp;" | "&amp;AU$6,'Job Master'!$F$12:$I$102,4,0)-1),""),"")</f>
        <v/>
      </c>
      <c r="AX32" s="73"/>
      <c r="AY32" s="123" t="str">
        <f t="shared" si="19"/>
        <v/>
      </c>
      <c r="AZ32" s="123" t="str">
        <f t="shared" si="20"/>
        <v/>
      </c>
      <c r="BA32" s="97" t="str">
        <f t="shared" ca="1" si="21"/>
        <v/>
      </c>
      <c r="BB32" s="98" t="str">
        <f>IF(BD32&lt;&gt;"",VLOOKUP($P32&amp;" | "&amp;BB$6,'Job Master'!$F$12:$J$102,5,0),"")</f>
        <v/>
      </c>
      <c r="BC32" s="19" t="str">
        <f>IF(BD32&lt;&gt;"",VLOOKUP($P32&amp;" | "&amp;BB$6,'Job Master'!$F$12:$J$102,3,0),"")</f>
        <v/>
      </c>
      <c r="BD32" s="19" t="str">
        <f>IFERROR(IF(AND(BK32&lt;&gt;"",VLOOKUP($P32&amp;" | "&amp;BB$6,'Job Master'!$F$12:$I$102,4,0)&lt;&gt;""),IF(WEEKDAY(BK32-VLOOKUP($P32&amp;" | "&amp;BB$6,'Job Master'!$F$12:$I$102,4,0))&lt;&gt;7,BK32-VLOOKUP($P32&amp;" | "&amp;BB$6,'Job Master'!$F$12:$I$102,4,0),BK32-VLOOKUP($P32&amp;" | "&amp;BB$6,'Job Master'!$F$12:$I$102,4,0)-1),""),"")</f>
        <v/>
      </c>
      <c r="BE32" s="73"/>
      <c r="BF32" s="123" t="str">
        <f t="shared" si="22"/>
        <v/>
      </c>
      <c r="BG32" s="123" t="str">
        <f t="shared" si="23"/>
        <v/>
      </c>
      <c r="BH32" s="97" t="str">
        <f t="shared" ca="1" si="24"/>
        <v/>
      </c>
      <c r="BI32" s="98" t="str">
        <f>IF(BK32&lt;&gt;"",VLOOKUP($P32&amp;" | "&amp;BI$6,'Job Master'!$F$12:$J$102,5,0),"")</f>
        <v/>
      </c>
      <c r="BJ32" s="19" t="str">
        <f>IF(BK32&lt;&gt;"",VLOOKUP($P32&amp;" | "&amp;BI$6,'Job Master'!$F$12:$J$102,3,0),"")</f>
        <v/>
      </c>
      <c r="BK32" s="19" t="str">
        <f>IFERROR(IF(AND(BR32&lt;&gt;"",VLOOKUP($P32&amp;" | "&amp;BI$6,'Job Master'!$F$12:$I$102,4,0)&lt;&gt;""),IF(WEEKDAY(BR32-VLOOKUP($P32&amp;" | "&amp;BI$6,'Job Master'!$F$12:$I$102,4,0))&lt;&gt;7,BR32-VLOOKUP($P32&amp;" | "&amp;BI$6,'Job Master'!$F$12:$I$102,4,0),BR32-VLOOKUP($P32&amp;" | "&amp;BI$6,'Job Master'!$F$12:$I$102,4,0)-1),""),"")</f>
        <v/>
      </c>
      <c r="BL32" s="73"/>
      <c r="BM32" s="123" t="str">
        <f t="shared" si="25"/>
        <v/>
      </c>
      <c r="BN32" s="123" t="str">
        <f t="shared" si="26"/>
        <v/>
      </c>
      <c r="BO32" s="97" t="str">
        <f t="shared" ca="1" si="27"/>
        <v/>
      </c>
      <c r="BP32" s="98" t="str">
        <f>IF(BR32&lt;&gt;"",VLOOKUP($P32&amp;" | "&amp;BP$6,'Job Master'!$F$12:$J$102,5,0),"")</f>
        <v/>
      </c>
      <c r="BQ32" s="19" t="str">
        <f>IF(BR32&lt;&gt;"",VLOOKUP($P32&amp;" | "&amp;BP$6,'Job Master'!$F$12:$J$102,3,0),"")</f>
        <v/>
      </c>
      <c r="BR32" s="19" t="str">
        <f>IFERROR(IF(AND(BY32&lt;&gt;"",VLOOKUP($P32&amp;" | "&amp;BP$6,'Job Master'!$F$12:$I$102,4,0)&lt;&gt;""),IF(WEEKDAY(BY32-VLOOKUP($P32&amp;" | "&amp;BP$6,'Job Master'!$F$12:$I$102,4,0))&lt;&gt;7,BY32-VLOOKUP($P32&amp;" | "&amp;BP$6,'Job Master'!$F$12:$I$102,4,0),BY32-VLOOKUP($P32&amp;" | "&amp;BP$6,'Job Master'!$F$12:$I$102,4,0)-1),""),"")</f>
        <v/>
      </c>
      <c r="BS32" s="73"/>
      <c r="BT32" s="123" t="str">
        <f t="shared" si="28"/>
        <v/>
      </c>
      <c r="BU32" s="123" t="str">
        <f t="shared" si="29"/>
        <v/>
      </c>
      <c r="BV32" s="97" t="str">
        <f t="shared" ca="1" si="30"/>
        <v/>
      </c>
      <c r="BW32" s="98" t="str">
        <f>IF(BY32&lt;&gt;"",VLOOKUP($P32&amp;" | "&amp;BW$6,'Job Master'!$F$12:$J$102,5,0),"")</f>
        <v/>
      </c>
      <c r="BX32" s="19" t="str">
        <f>IF(BY32&lt;&gt;"",VLOOKUP($P32&amp;" | "&amp;BW$6,'Job Master'!$F$12:$J$102,3,0),"")</f>
        <v/>
      </c>
      <c r="BY32" s="19" t="str">
        <f>IFERROR(IF(AND(CF32&lt;&gt;"",VLOOKUP($P32&amp;" | "&amp;BW$6,'Job Master'!$F$12:$I$102,4,0)&lt;&gt;""),IF(WEEKDAY(CF32-VLOOKUP($P32&amp;" | "&amp;BW$6,'Job Master'!$F$12:$I$102,4,0))&lt;&gt;7,CF32-VLOOKUP($P32&amp;" | "&amp;BW$6,'Job Master'!$F$12:$I$102,4,0),CF32-VLOOKUP($P32&amp;" | "&amp;BW$6,'Job Master'!$F$12:$I$102,4,0)-1),""),"")</f>
        <v/>
      </c>
      <c r="BZ32" s="73"/>
      <c r="CA32" s="123" t="str">
        <f t="shared" si="31"/>
        <v/>
      </c>
      <c r="CB32" s="123" t="str">
        <f t="shared" si="32"/>
        <v/>
      </c>
      <c r="CC32" s="97" t="str">
        <f t="shared" ca="1" si="33"/>
        <v/>
      </c>
      <c r="CD32" s="98" t="str">
        <f>IF(CF32&lt;&gt;"",VLOOKUP($P32&amp;" | "&amp;CD$6,'Job Master'!$F$12:$J$102,5,0),"")</f>
        <v/>
      </c>
      <c r="CE32" s="19" t="str">
        <f>IF(CF32&lt;&gt;"",VLOOKUP($P32&amp;" | "&amp;CD$6,'Job Master'!$F$12:$J$102,3,0),"")</f>
        <v/>
      </c>
      <c r="CF32" s="19" t="str">
        <f>IFERROR(IF(AND(CM32&lt;&gt;"",VLOOKUP($P32&amp;" | "&amp;CD$6,'Job Master'!$F$12:$I$102,4,0)&lt;&gt;""),IF(WEEKDAY(CM32-VLOOKUP($P32&amp;" | "&amp;CD$6,'Job Master'!$F$12:$I$102,4,0))&lt;&gt;7,CM32-VLOOKUP($P32&amp;" | "&amp;CD$6,'Job Master'!$F$12:$I$102,4,0),CM32-VLOOKUP($P32&amp;" | "&amp;CD$6,'Job Master'!$F$12:$I$102,4,0)-1),""),"")</f>
        <v/>
      </c>
      <c r="CG32" s="73"/>
      <c r="CH32" s="123" t="str">
        <f t="shared" si="34"/>
        <v/>
      </c>
      <c r="CI32" s="123" t="str">
        <f t="shared" si="35"/>
        <v/>
      </c>
      <c r="CJ32" s="97" t="str">
        <f t="shared" ca="1" si="36"/>
        <v/>
      </c>
      <c r="CK32" s="98" t="str">
        <f>IF(CM32&lt;&gt;"",VLOOKUP($P32&amp;" | "&amp;CK$6,'Job Master'!$F$12:$J$102,5,0),"")</f>
        <v/>
      </c>
      <c r="CL32" s="19" t="str">
        <f>IF(CM32&lt;&gt;"",VLOOKUP($P32&amp;" | "&amp;CK$6,'Job Master'!$F$12:$J$102,3,0),"")</f>
        <v/>
      </c>
      <c r="CM32" s="19" t="str">
        <f>IFERROR(IF(AND(CT32&lt;&gt;"",VLOOKUP($P32&amp;" | "&amp;CK$6,'Job Master'!$F$12:$I$102,4,0)&lt;&gt;""),IF(WEEKDAY(CT32-VLOOKUP($P32&amp;" | "&amp;CK$6,'Job Master'!$F$12:$I$102,4,0))&lt;&gt;7,CT32-VLOOKUP($P32&amp;" | "&amp;CK$6,'Job Master'!$F$12:$I$102,4,0),CT32-VLOOKUP($P32&amp;" | "&amp;CK$6,'Job Master'!$F$12:$I$102,4,0)-1),""),"")</f>
        <v/>
      </c>
      <c r="CN32" s="73"/>
      <c r="CO32" s="123" t="str">
        <f t="shared" si="37"/>
        <v/>
      </c>
      <c r="CP32" s="123" t="str">
        <f t="shared" si="38"/>
        <v/>
      </c>
      <c r="CQ32" s="97" t="str">
        <f t="shared" ca="1" si="39"/>
        <v/>
      </c>
      <c r="CR32" s="98" t="str">
        <f>IF(CT32&lt;&gt;"",VLOOKUP($P32&amp;" | "&amp;CR$6,'Job Master'!$F$12:$J$102,5,0),"")</f>
        <v/>
      </c>
      <c r="CS32" s="19" t="str">
        <f>IF(CT32&lt;&gt;"",VLOOKUP($P32&amp;" | "&amp;CR$6,'Job Master'!$F$12:$J$102,3,0),"")</f>
        <v/>
      </c>
      <c r="CT32" s="19" t="str">
        <f>IFERROR(IF(AND(DA32&lt;&gt;"",VLOOKUP($P32&amp;" | "&amp;CR$6,'Job Master'!$F$12:$I$102,4,0)&lt;&gt;""),IF(WEEKDAY(DA32-VLOOKUP($P32&amp;" | "&amp;CR$6,'Job Master'!$F$12:$I$102,4,0))&lt;&gt;7,DA32-VLOOKUP($P32&amp;" | "&amp;CR$6,'Job Master'!$F$12:$I$102,4,0),DA32-VLOOKUP($P32&amp;" | "&amp;CR$6,'Job Master'!$F$12:$I$102,4,0)-1),""),"")</f>
        <v/>
      </c>
      <c r="CU32" s="73"/>
      <c r="CV32" s="123" t="str">
        <f t="shared" si="40"/>
        <v/>
      </c>
      <c r="CW32" s="123" t="str">
        <f t="shared" si="41"/>
        <v/>
      </c>
      <c r="CX32" s="97" t="str">
        <f t="shared" ca="1" si="42"/>
        <v/>
      </c>
      <c r="CY32" s="98" t="str">
        <f>IF(DA32&lt;&gt;"",VLOOKUP($P32&amp;" | "&amp;CY$6,'Job Master'!$F$12:$J$102,5,0),"")</f>
        <v/>
      </c>
      <c r="CZ32" s="19" t="str">
        <f>IF(DA32&lt;&gt;"",VLOOKUP($P32&amp;" | "&amp;CY$6,'Job Master'!$F$12:$J$102,3,0),"")</f>
        <v/>
      </c>
      <c r="DA32" s="19" t="str">
        <f>IFERROR(IF(AND(DH32&lt;&gt;"",VLOOKUP($P32&amp;" | "&amp;CY$6,'Job Master'!$F$12:$I$102,4,0)&lt;&gt;""),IF(WEEKDAY(DH32-VLOOKUP($P32&amp;" | "&amp;CY$6,'Job Master'!$F$12:$I$102,4,0))&lt;&gt;7,DH32-VLOOKUP($P32&amp;" | "&amp;CY$6,'Job Master'!$F$12:$I$102,4,0),DH32-VLOOKUP($P32&amp;" | "&amp;CY$6,'Job Master'!$F$12:$I$102,4,0)-1),""),"")</f>
        <v/>
      </c>
      <c r="DB32" s="73"/>
      <c r="DC32" s="123" t="str">
        <f t="shared" si="43"/>
        <v/>
      </c>
      <c r="DD32" s="123" t="str">
        <f t="shared" si="44"/>
        <v/>
      </c>
      <c r="DE32" s="97" t="str">
        <f t="shared" ca="1" si="45"/>
        <v/>
      </c>
      <c r="DF32" s="98" t="str">
        <f>IF(DH32&lt;&gt;"",VLOOKUP($P32&amp;" | "&amp;DF$6,'Job Master'!$F$12:$J$102,5,0),"")</f>
        <v/>
      </c>
      <c r="DG32" s="19" t="str">
        <f>IF(DH32&lt;&gt;"",VLOOKUP($P32&amp;" | "&amp;DF$6,'Job Master'!$F$12:$J$102,3,0),"")</f>
        <v/>
      </c>
      <c r="DH32" s="19" t="str">
        <f>IFERROR(IF(AND(DO32&lt;&gt;"",VLOOKUP($P32&amp;" | "&amp;DF$6,'Job Master'!$F$12:$I$102,4,0)&lt;&gt;""),IF(WEEKDAY(DO32-VLOOKUP($P32&amp;" | "&amp;DF$6,'Job Master'!$F$12:$I$102,4,0))&lt;&gt;7,DO32-VLOOKUP($P32&amp;" | "&amp;DF$6,'Job Master'!$F$12:$I$102,4,0),DO32-VLOOKUP($P32&amp;" | "&amp;DF$6,'Job Master'!$F$12:$I$102,4,0)-1),""),"")</f>
        <v/>
      </c>
      <c r="DI32" s="73"/>
      <c r="DJ32" s="123" t="str">
        <f t="shared" si="46"/>
        <v/>
      </c>
      <c r="DK32" s="123" t="str">
        <f t="shared" si="47"/>
        <v/>
      </c>
      <c r="DL32" s="97" t="str">
        <f t="shared" ca="1" si="48"/>
        <v/>
      </c>
      <c r="DM32" s="98" t="str">
        <f>IF(DO32&lt;&gt;"",VLOOKUP($P32&amp;" | "&amp;DM$6,'Job Master'!$F$12:$J$102,5,0),"")</f>
        <v/>
      </c>
      <c r="DN32" s="19" t="str">
        <f>IF(DO32&lt;&gt;"",VLOOKUP($P32&amp;" | "&amp;DM$6,'Job Master'!$F$12:$J$102,3,0),"")</f>
        <v/>
      </c>
      <c r="DO32" s="19" t="str">
        <f>IFERROR(IF(AND(DT32&lt;&gt;"",VLOOKUP($P32&amp;" | "&amp;DM$6,'Job Master'!$F$12:$I$102,4,0)&lt;&gt;""),IF(WEEKDAY(DT32-VLOOKUP($P32&amp;" | "&amp;DM$6,'Job Master'!$F$12:$I$102,4,0))&lt;&gt;7,DT32-VLOOKUP($P32&amp;" | "&amp;DM$6,'Job Master'!$F$12:$I$102,4,0),DT32-VLOOKUP($P32&amp;" | "&amp;DM$6,'Job Master'!$F$12:$I$102,4,0)-1),""),"")</f>
        <v/>
      </c>
      <c r="DP32" s="73"/>
      <c r="DQ32" s="123" t="str">
        <f t="shared" si="49"/>
        <v/>
      </c>
      <c r="DR32" s="123" t="str">
        <f t="shared" si="50"/>
        <v/>
      </c>
      <c r="DS32" s="97" t="str">
        <f t="shared" ca="1" si="51"/>
        <v/>
      </c>
      <c r="DT32" s="70" t="str">
        <f t="shared" si="52"/>
        <v/>
      </c>
      <c r="DU32" s="90"/>
      <c r="DV32" s="123" t="str">
        <f t="shared" si="53"/>
        <v/>
      </c>
      <c r="DW32" s="123" t="str">
        <f t="shared" si="54"/>
        <v/>
      </c>
      <c r="DX32" s="132" t="str">
        <f t="shared" ref="DX32" ca="1" si="93">IF(DT32&lt;&gt;"",IF(WEEKNUM(DT32)=WEEKNUM(TODAY()),"This Week",IF(WEEKNUM(DT32)=WEEKNUM(TODAY())+1,"Next Week",IF(WEEKNUM(DT32)=WEEKNUM(TODAY())-1,"Previous Week",""))),"")</f>
        <v/>
      </c>
      <c r="DY32" s="134" t="str">
        <f t="shared" si="56"/>
        <v/>
      </c>
      <c r="DZ32" s="95"/>
      <c r="EB32" s="8" t="str">
        <f t="shared" si="67"/>
        <v/>
      </c>
      <c r="EC32" s="8" t="str">
        <f>IF(O32&lt;&gt;"",VLOOKUP(O32,'Job Master'!$N$12:$O$18,2,0),"")</f>
        <v/>
      </c>
      <c r="ED32" s="8">
        <f t="shared" si="68"/>
        <v>19.5</v>
      </c>
      <c r="EE32" s="8">
        <f t="shared" si="69"/>
        <v>6</v>
      </c>
      <c r="EF32" s="8">
        <f t="shared" si="70"/>
        <v>-112.5</v>
      </c>
      <c r="EG32" s="8" t="str">
        <f t="shared" si="71"/>
        <v/>
      </c>
      <c r="EH32" s="8" t="str">
        <f t="shared" si="72"/>
        <v/>
      </c>
    </row>
    <row r="33" spans="2:138" x14ac:dyDescent="0.3">
      <c r="B33" s="112"/>
      <c r="C33" s="27"/>
      <c r="D33" s="7" t="str">
        <f t="shared" si="1"/>
        <v/>
      </c>
      <c r="E33" s="25"/>
      <c r="F33" s="7" t="str">
        <f t="shared" si="1"/>
        <v/>
      </c>
      <c r="G33" s="25"/>
      <c r="H33" s="7" t="str">
        <f t="shared" si="1"/>
        <v/>
      </c>
      <c r="I33" s="25"/>
      <c r="J33" s="7" t="str">
        <f t="shared" si="1"/>
        <v/>
      </c>
      <c r="K33" s="25"/>
      <c r="L33" s="7" t="str">
        <f t="shared" si="2"/>
        <v/>
      </c>
      <c r="M33" s="25"/>
      <c r="N33" s="7" t="str">
        <f t="shared" si="3"/>
        <v/>
      </c>
      <c r="O33" s="81"/>
      <c r="P33" s="81" t="str">
        <f t="shared" si="4"/>
        <v/>
      </c>
      <c r="Q33" s="81"/>
      <c r="R33" s="7" t="str">
        <f t="shared" si="5"/>
        <v/>
      </c>
      <c r="S33" s="25"/>
      <c r="T33" s="7" t="str">
        <f t="shared" si="6"/>
        <v/>
      </c>
      <c r="U33" s="25"/>
      <c r="V33" s="7" t="str">
        <f t="shared" si="7"/>
        <v/>
      </c>
      <c r="W33" s="25"/>
      <c r="X33" s="7" t="str">
        <f t="shared" si="8"/>
        <v/>
      </c>
      <c r="Y33" s="18" t="str">
        <f t="shared" si="9"/>
        <v/>
      </c>
      <c r="Z33" s="7" t="str">
        <f t="shared" si="10"/>
        <v/>
      </c>
      <c r="AA33" s="18" t="str">
        <f t="shared" si="11"/>
        <v/>
      </c>
      <c r="AB33" s="19" t="str">
        <f t="shared" si="12"/>
        <v/>
      </c>
      <c r="AC33" s="26"/>
      <c r="AD33" s="26"/>
      <c r="AE33" s="25"/>
      <c r="AF33" s="26"/>
      <c r="AG33" s="25"/>
      <c r="AH33" s="25"/>
      <c r="AI33" s="18" t="str">
        <f t="shared" si="83"/>
        <v/>
      </c>
      <c r="AJ33" s="25"/>
      <c r="AK33" s="18" t="str">
        <f t="shared" si="84"/>
        <v/>
      </c>
      <c r="AL33" s="79"/>
      <c r="AM33" s="126" t="str">
        <f t="shared" si="85"/>
        <v/>
      </c>
      <c r="AN33" s="128" t="str">
        <f>IF(AP33&lt;&gt;"",VLOOKUP($P33&amp;" | "&amp;AN$6,'Job Master'!$F$12:$J$102,5,0),"")</f>
        <v/>
      </c>
      <c r="AO33" s="19" t="str">
        <f>IF(AP33&lt;&gt;"",VLOOKUP($P33&amp;" | "&amp;AN$6,'Job Master'!$F$12:$J$102,3,0),"")</f>
        <v/>
      </c>
      <c r="AP33" s="19" t="str">
        <f>IFERROR(IF(AND(AW33&lt;&gt;"",VLOOKUP($P33&amp;" | "&amp;AN$6,'Job Master'!$F$12:$I$102,4,0)&lt;&gt;""),IF(WEEKDAY(AW33-VLOOKUP($P33&amp;" | "&amp;AN$6,'Job Master'!$F$12:$I$102,4,0))&lt;&gt;7,AW33-VLOOKUP($P33&amp;" | "&amp;AN$6,'Job Master'!$F$12:$I$102,4,0),AW33-VLOOKUP($P33&amp;" | "&amp;AN$6,'Job Master'!$F$12:$I$102,4,0)-1),""),"")</f>
        <v/>
      </c>
      <c r="AQ33" s="73"/>
      <c r="AR33" s="123" t="str">
        <f t="shared" si="16"/>
        <v/>
      </c>
      <c r="AS33" s="123" t="str">
        <f t="shared" si="17"/>
        <v/>
      </c>
      <c r="AT33" s="97" t="str">
        <f t="shared" ca="1" si="18"/>
        <v/>
      </c>
      <c r="AU33" s="98" t="str">
        <f>IF(AW33&lt;&gt;"",VLOOKUP($P33&amp;" | "&amp;AU$6,'Job Master'!$F$12:$J$102,5,0),"")</f>
        <v/>
      </c>
      <c r="AV33" s="19" t="str">
        <f>IF(AW33&lt;&gt;"",VLOOKUP($P33&amp;" | "&amp;AU$6,'Job Master'!$F$12:$J$102,3,0),"")</f>
        <v/>
      </c>
      <c r="AW33" s="19" t="str">
        <f>IFERROR(IF(AND(BD33&lt;&gt;"",VLOOKUP($P33&amp;" | "&amp;AU$6,'Job Master'!$F$12:$I$102,4,0)&lt;&gt;""),IF(WEEKDAY(BD33-VLOOKUP($P33&amp;" | "&amp;AU$6,'Job Master'!$F$12:$I$102,4,0))&lt;&gt;7,BD33-VLOOKUP($P33&amp;" | "&amp;AU$6,'Job Master'!$F$12:$I$102,4,0),BD33-VLOOKUP($P33&amp;" | "&amp;AU$6,'Job Master'!$F$12:$I$102,4,0)-1),""),"")</f>
        <v/>
      </c>
      <c r="AX33" s="73"/>
      <c r="AY33" s="123" t="str">
        <f t="shared" si="19"/>
        <v/>
      </c>
      <c r="AZ33" s="123" t="str">
        <f t="shared" si="20"/>
        <v/>
      </c>
      <c r="BA33" s="97" t="str">
        <f t="shared" ca="1" si="21"/>
        <v/>
      </c>
      <c r="BB33" s="98" t="str">
        <f>IF(BD33&lt;&gt;"",VLOOKUP($P33&amp;" | "&amp;BB$6,'Job Master'!$F$12:$J$102,5,0),"")</f>
        <v/>
      </c>
      <c r="BC33" s="19" t="str">
        <f>IF(BD33&lt;&gt;"",VLOOKUP($P33&amp;" | "&amp;BB$6,'Job Master'!$F$12:$J$102,3,0),"")</f>
        <v/>
      </c>
      <c r="BD33" s="19" t="str">
        <f>IFERROR(IF(AND(BK33&lt;&gt;"",VLOOKUP($P33&amp;" | "&amp;BB$6,'Job Master'!$F$12:$I$102,4,0)&lt;&gt;""),IF(WEEKDAY(BK33-VLOOKUP($P33&amp;" | "&amp;BB$6,'Job Master'!$F$12:$I$102,4,0))&lt;&gt;7,BK33-VLOOKUP($P33&amp;" | "&amp;BB$6,'Job Master'!$F$12:$I$102,4,0),BK33-VLOOKUP($P33&amp;" | "&amp;BB$6,'Job Master'!$F$12:$I$102,4,0)-1),""),"")</f>
        <v/>
      </c>
      <c r="BE33" s="73"/>
      <c r="BF33" s="123" t="str">
        <f t="shared" si="22"/>
        <v/>
      </c>
      <c r="BG33" s="123" t="str">
        <f t="shared" si="23"/>
        <v/>
      </c>
      <c r="BH33" s="97" t="str">
        <f t="shared" ca="1" si="24"/>
        <v/>
      </c>
      <c r="BI33" s="98" t="str">
        <f>IF(BK33&lt;&gt;"",VLOOKUP($P33&amp;" | "&amp;BI$6,'Job Master'!$F$12:$J$102,5,0),"")</f>
        <v/>
      </c>
      <c r="BJ33" s="19" t="str">
        <f>IF(BK33&lt;&gt;"",VLOOKUP($P33&amp;" | "&amp;BI$6,'Job Master'!$F$12:$J$102,3,0),"")</f>
        <v/>
      </c>
      <c r="BK33" s="19" t="str">
        <f>IFERROR(IF(AND(BR33&lt;&gt;"",VLOOKUP($P33&amp;" | "&amp;BI$6,'Job Master'!$F$12:$I$102,4,0)&lt;&gt;""),IF(WEEKDAY(BR33-VLOOKUP($P33&amp;" | "&amp;BI$6,'Job Master'!$F$12:$I$102,4,0))&lt;&gt;7,BR33-VLOOKUP($P33&amp;" | "&amp;BI$6,'Job Master'!$F$12:$I$102,4,0),BR33-VLOOKUP($P33&amp;" | "&amp;BI$6,'Job Master'!$F$12:$I$102,4,0)-1),""),"")</f>
        <v/>
      </c>
      <c r="BL33" s="73"/>
      <c r="BM33" s="123" t="str">
        <f t="shared" si="25"/>
        <v/>
      </c>
      <c r="BN33" s="123" t="str">
        <f t="shared" si="26"/>
        <v/>
      </c>
      <c r="BO33" s="97" t="str">
        <f t="shared" ca="1" si="27"/>
        <v/>
      </c>
      <c r="BP33" s="98" t="str">
        <f>IF(BR33&lt;&gt;"",VLOOKUP($P33&amp;" | "&amp;BP$6,'Job Master'!$F$12:$J$102,5,0),"")</f>
        <v/>
      </c>
      <c r="BQ33" s="19" t="str">
        <f>IF(BR33&lt;&gt;"",VLOOKUP($P33&amp;" | "&amp;BP$6,'Job Master'!$F$12:$J$102,3,0),"")</f>
        <v/>
      </c>
      <c r="BR33" s="19" t="str">
        <f>IFERROR(IF(AND(BY33&lt;&gt;"",VLOOKUP($P33&amp;" | "&amp;BP$6,'Job Master'!$F$12:$I$102,4,0)&lt;&gt;""),IF(WEEKDAY(BY33-VLOOKUP($P33&amp;" | "&amp;BP$6,'Job Master'!$F$12:$I$102,4,0))&lt;&gt;7,BY33-VLOOKUP($P33&amp;" | "&amp;BP$6,'Job Master'!$F$12:$I$102,4,0),BY33-VLOOKUP($P33&amp;" | "&amp;BP$6,'Job Master'!$F$12:$I$102,4,0)-1),""),"")</f>
        <v/>
      </c>
      <c r="BS33" s="73"/>
      <c r="BT33" s="123" t="str">
        <f t="shared" si="28"/>
        <v/>
      </c>
      <c r="BU33" s="123" t="str">
        <f t="shared" si="29"/>
        <v/>
      </c>
      <c r="BV33" s="97" t="str">
        <f t="shared" ca="1" si="30"/>
        <v/>
      </c>
      <c r="BW33" s="98" t="str">
        <f>IF(BY33&lt;&gt;"",VLOOKUP($P33&amp;" | "&amp;BW$6,'Job Master'!$F$12:$J$102,5,0),"")</f>
        <v/>
      </c>
      <c r="BX33" s="19" t="str">
        <f>IF(BY33&lt;&gt;"",VLOOKUP($P33&amp;" | "&amp;BW$6,'Job Master'!$F$12:$J$102,3,0),"")</f>
        <v/>
      </c>
      <c r="BY33" s="19" t="str">
        <f>IFERROR(IF(AND(CF33&lt;&gt;"",VLOOKUP($P33&amp;" | "&amp;BW$6,'Job Master'!$F$12:$I$102,4,0)&lt;&gt;""),IF(WEEKDAY(CF33-VLOOKUP($P33&amp;" | "&amp;BW$6,'Job Master'!$F$12:$I$102,4,0))&lt;&gt;7,CF33-VLOOKUP($P33&amp;" | "&amp;BW$6,'Job Master'!$F$12:$I$102,4,0),CF33-VLOOKUP($P33&amp;" | "&amp;BW$6,'Job Master'!$F$12:$I$102,4,0)-1),""),"")</f>
        <v/>
      </c>
      <c r="BZ33" s="73"/>
      <c r="CA33" s="123" t="str">
        <f t="shared" si="31"/>
        <v/>
      </c>
      <c r="CB33" s="123" t="str">
        <f t="shared" si="32"/>
        <v/>
      </c>
      <c r="CC33" s="97" t="str">
        <f t="shared" ca="1" si="33"/>
        <v/>
      </c>
      <c r="CD33" s="98" t="str">
        <f>IF(CF33&lt;&gt;"",VLOOKUP($P33&amp;" | "&amp;CD$6,'Job Master'!$F$12:$J$102,5,0),"")</f>
        <v/>
      </c>
      <c r="CE33" s="19" t="str">
        <f>IF(CF33&lt;&gt;"",VLOOKUP($P33&amp;" | "&amp;CD$6,'Job Master'!$F$12:$J$102,3,0),"")</f>
        <v/>
      </c>
      <c r="CF33" s="19" t="str">
        <f>IFERROR(IF(AND(CM33&lt;&gt;"",VLOOKUP($P33&amp;" | "&amp;CD$6,'Job Master'!$F$12:$I$102,4,0)&lt;&gt;""),IF(WEEKDAY(CM33-VLOOKUP($P33&amp;" | "&amp;CD$6,'Job Master'!$F$12:$I$102,4,0))&lt;&gt;7,CM33-VLOOKUP($P33&amp;" | "&amp;CD$6,'Job Master'!$F$12:$I$102,4,0),CM33-VLOOKUP($P33&amp;" | "&amp;CD$6,'Job Master'!$F$12:$I$102,4,0)-1),""),"")</f>
        <v/>
      </c>
      <c r="CG33" s="73"/>
      <c r="CH33" s="123" t="str">
        <f t="shared" si="34"/>
        <v/>
      </c>
      <c r="CI33" s="123" t="str">
        <f t="shared" si="35"/>
        <v/>
      </c>
      <c r="CJ33" s="97" t="str">
        <f t="shared" ca="1" si="36"/>
        <v/>
      </c>
      <c r="CK33" s="98" t="str">
        <f>IF(CM33&lt;&gt;"",VLOOKUP($P33&amp;" | "&amp;CK$6,'Job Master'!$F$12:$J$102,5,0),"")</f>
        <v/>
      </c>
      <c r="CL33" s="19" t="str">
        <f>IF(CM33&lt;&gt;"",VLOOKUP($P33&amp;" | "&amp;CK$6,'Job Master'!$F$12:$J$102,3,0),"")</f>
        <v/>
      </c>
      <c r="CM33" s="19" t="str">
        <f>IFERROR(IF(AND(CT33&lt;&gt;"",VLOOKUP($P33&amp;" | "&amp;CK$6,'Job Master'!$F$12:$I$102,4,0)&lt;&gt;""),IF(WEEKDAY(CT33-VLOOKUP($P33&amp;" | "&amp;CK$6,'Job Master'!$F$12:$I$102,4,0))&lt;&gt;7,CT33-VLOOKUP($P33&amp;" | "&amp;CK$6,'Job Master'!$F$12:$I$102,4,0),CT33-VLOOKUP($P33&amp;" | "&amp;CK$6,'Job Master'!$F$12:$I$102,4,0)-1),""),"")</f>
        <v/>
      </c>
      <c r="CN33" s="73"/>
      <c r="CO33" s="123" t="str">
        <f t="shared" si="37"/>
        <v/>
      </c>
      <c r="CP33" s="123" t="str">
        <f t="shared" si="38"/>
        <v/>
      </c>
      <c r="CQ33" s="97" t="str">
        <f t="shared" ca="1" si="39"/>
        <v/>
      </c>
      <c r="CR33" s="98" t="str">
        <f>IF(CT33&lt;&gt;"",VLOOKUP($P33&amp;" | "&amp;CR$6,'Job Master'!$F$12:$J$102,5,0),"")</f>
        <v/>
      </c>
      <c r="CS33" s="19" t="str">
        <f>IF(CT33&lt;&gt;"",VLOOKUP($P33&amp;" | "&amp;CR$6,'Job Master'!$F$12:$J$102,3,0),"")</f>
        <v/>
      </c>
      <c r="CT33" s="19" t="str">
        <f>IFERROR(IF(AND(DA33&lt;&gt;"",VLOOKUP($P33&amp;" | "&amp;CR$6,'Job Master'!$F$12:$I$102,4,0)&lt;&gt;""),IF(WEEKDAY(DA33-VLOOKUP($P33&amp;" | "&amp;CR$6,'Job Master'!$F$12:$I$102,4,0))&lt;&gt;7,DA33-VLOOKUP($P33&amp;" | "&amp;CR$6,'Job Master'!$F$12:$I$102,4,0),DA33-VLOOKUP($P33&amp;" | "&amp;CR$6,'Job Master'!$F$12:$I$102,4,0)-1),""),"")</f>
        <v/>
      </c>
      <c r="CU33" s="73"/>
      <c r="CV33" s="123" t="str">
        <f t="shared" si="40"/>
        <v/>
      </c>
      <c r="CW33" s="123" t="str">
        <f t="shared" si="41"/>
        <v/>
      </c>
      <c r="CX33" s="97" t="str">
        <f t="shared" ca="1" si="42"/>
        <v/>
      </c>
      <c r="CY33" s="98" t="str">
        <f>IF(DA33&lt;&gt;"",VLOOKUP($P33&amp;" | "&amp;CY$6,'Job Master'!$F$12:$J$102,5,0),"")</f>
        <v/>
      </c>
      <c r="CZ33" s="19" t="str">
        <f>IF(DA33&lt;&gt;"",VLOOKUP($P33&amp;" | "&amp;CY$6,'Job Master'!$F$12:$J$102,3,0),"")</f>
        <v/>
      </c>
      <c r="DA33" s="19" t="str">
        <f>IFERROR(IF(AND(DH33&lt;&gt;"",VLOOKUP($P33&amp;" | "&amp;CY$6,'Job Master'!$F$12:$I$102,4,0)&lt;&gt;""),IF(WEEKDAY(DH33-VLOOKUP($P33&amp;" | "&amp;CY$6,'Job Master'!$F$12:$I$102,4,0))&lt;&gt;7,DH33-VLOOKUP($P33&amp;" | "&amp;CY$6,'Job Master'!$F$12:$I$102,4,0),DH33-VLOOKUP($P33&amp;" | "&amp;CY$6,'Job Master'!$F$12:$I$102,4,0)-1),""),"")</f>
        <v/>
      </c>
      <c r="DB33" s="73"/>
      <c r="DC33" s="123" t="str">
        <f t="shared" si="43"/>
        <v/>
      </c>
      <c r="DD33" s="123" t="str">
        <f t="shared" si="44"/>
        <v/>
      </c>
      <c r="DE33" s="97" t="str">
        <f t="shared" ca="1" si="45"/>
        <v/>
      </c>
      <c r="DF33" s="98" t="str">
        <f>IF(DH33&lt;&gt;"",VLOOKUP($P33&amp;" | "&amp;DF$6,'Job Master'!$F$12:$J$102,5,0),"")</f>
        <v/>
      </c>
      <c r="DG33" s="19" t="str">
        <f>IF(DH33&lt;&gt;"",VLOOKUP($P33&amp;" | "&amp;DF$6,'Job Master'!$F$12:$J$102,3,0),"")</f>
        <v/>
      </c>
      <c r="DH33" s="19" t="str">
        <f>IFERROR(IF(AND(DO33&lt;&gt;"",VLOOKUP($P33&amp;" | "&amp;DF$6,'Job Master'!$F$12:$I$102,4,0)&lt;&gt;""),IF(WEEKDAY(DO33-VLOOKUP($P33&amp;" | "&amp;DF$6,'Job Master'!$F$12:$I$102,4,0))&lt;&gt;7,DO33-VLOOKUP($P33&amp;" | "&amp;DF$6,'Job Master'!$F$12:$I$102,4,0),DO33-VLOOKUP($P33&amp;" | "&amp;DF$6,'Job Master'!$F$12:$I$102,4,0)-1),""),"")</f>
        <v/>
      </c>
      <c r="DI33" s="73"/>
      <c r="DJ33" s="123" t="str">
        <f t="shared" si="46"/>
        <v/>
      </c>
      <c r="DK33" s="123" t="str">
        <f t="shared" si="47"/>
        <v/>
      </c>
      <c r="DL33" s="97" t="str">
        <f t="shared" ca="1" si="48"/>
        <v/>
      </c>
      <c r="DM33" s="98" t="str">
        <f>IF(DO33&lt;&gt;"",VLOOKUP($P33&amp;" | "&amp;DM$6,'Job Master'!$F$12:$J$102,5,0),"")</f>
        <v/>
      </c>
      <c r="DN33" s="19" t="str">
        <f>IF(DO33&lt;&gt;"",VLOOKUP($P33&amp;" | "&amp;DM$6,'Job Master'!$F$12:$J$102,3,0),"")</f>
        <v/>
      </c>
      <c r="DO33" s="19" t="str">
        <f>IFERROR(IF(AND(DT33&lt;&gt;"",VLOOKUP($P33&amp;" | "&amp;DM$6,'Job Master'!$F$12:$I$102,4,0)&lt;&gt;""),IF(WEEKDAY(DT33-VLOOKUP($P33&amp;" | "&amp;DM$6,'Job Master'!$F$12:$I$102,4,0))&lt;&gt;7,DT33-VLOOKUP($P33&amp;" | "&amp;DM$6,'Job Master'!$F$12:$I$102,4,0),DT33-VLOOKUP($P33&amp;" | "&amp;DM$6,'Job Master'!$F$12:$I$102,4,0)-1),""),"")</f>
        <v/>
      </c>
      <c r="DP33" s="73"/>
      <c r="DQ33" s="123" t="str">
        <f t="shared" si="49"/>
        <v/>
      </c>
      <c r="DR33" s="123" t="str">
        <f t="shared" si="50"/>
        <v/>
      </c>
      <c r="DS33" s="97" t="str">
        <f t="shared" ca="1" si="51"/>
        <v/>
      </c>
      <c r="DT33" s="70" t="str">
        <f t="shared" si="52"/>
        <v/>
      </c>
      <c r="DU33" s="90"/>
      <c r="DV33" s="123" t="str">
        <f t="shared" si="53"/>
        <v/>
      </c>
      <c r="DW33" s="123" t="str">
        <f t="shared" si="54"/>
        <v/>
      </c>
      <c r="DX33" s="132" t="str">
        <f t="shared" ref="DX33" ca="1" si="94">IF(DT33&lt;&gt;"",IF(WEEKNUM(DT33)=WEEKNUM(TODAY()),"This Week",IF(WEEKNUM(DT33)=WEEKNUM(TODAY())+1,"Next Week",IF(WEEKNUM(DT33)=WEEKNUM(TODAY())-1,"Previous Week",""))),"")</f>
        <v/>
      </c>
      <c r="DY33" s="134" t="str">
        <f t="shared" si="56"/>
        <v/>
      </c>
      <c r="DZ33" s="95"/>
      <c r="EB33" s="8" t="str">
        <f t="shared" si="67"/>
        <v/>
      </c>
      <c r="EC33" s="8" t="str">
        <f>IF(O33&lt;&gt;"",VLOOKUP(O33,'Job Master'!$N$12:$O$18,2,0),"")</f>
        <v/>
      </c>
      <c r="ED33" s="8">
        <f t="shared" si="68"/>
        <v>19.5</v>
      </c>
      <c r="EE33" s="8">
        <f t="shared" si="69"/>
        <v>6</v>
      </c>
      <c r="EF33" s="8">
        <f t="shared" si="70"/>
        <v>-118.5</v>
      </c>
      <c r="EG33" s="8" t="str">
        <f t="shared" si="71"/>
        <v/>
      </c>
      <c r="EH33" s="8" t="str">
        <f t="shared" si="72"/>
        <v/>
      </c>
    </row>
    <row r="34" spans="2:138" x14ac:dyDescent="0.3">
      <c r="B34" s="112"/>
      <c r="C34" s="27"/>
      <c r="D34" s="7" t="str">
        <f t="shared" si="1"/>
        <v/>
      </c>
      <c r="E34" s="25"/>
      <c r="F34" s="7" t="str">
        <f t="shared" si="1"/>
        <v/>
      </c>
      <c r="G34" s="25"/>
      <c r="H34" s="7" t="str">
        <f t="shared" si="1"/>
        <v/>
      </c>
      <c r="I34" s="25"/>
      <c r="J34" s="7" t="str">
        <f t="shared" si="1"/>
        <v/>
      </c>
      <c r="K34" s="25"/>
      <c r="L34" s="7" t="str">
        <f t="shared" si="2"/>
        <v/>
      </c>
      <c r="M34" s="25"/>
      <c r="N34" s="7" t="str">
        <f t="shared" si="3"/>
        <v/>
      </c>
      <c r="O34" s="81"/>
      <c r="P34" s="81" t="str">
        <f t="shared" si="4"/>
        <v/>
      </c>
      <c r="Q34" s="81"/>
      <c r="R34" s="7" t="str">
        <f t="shared" si="5"/>
        <v/>
      </c>
      <c r="S34" s="25"/>
      <c r="T34" s="7" t="str">
        <f t="shared" si="6"/>
        <v/>
      </c>
      <c r="U34" s="25"/>
      <c r="V34" s="7" t="str">
        <f t="shared" si="7"/>
        <v/>
      </c>
      <c r="W34" s="25"/>
      <c r="X34" s="7" t="str">
        <f t="shared" si="8"/>
        <v/>
      </c>
      <c r="Y34" s="18" t="str">
        <f t="shared" si="9"/>
        <v/>
      </c>
      <c r="Z34" s="7" t="str">
        <f t="shared" si="10"/>
        <v/>
      </c>
      <c r="AA34" s="18" t="str">
        <f t="shared" si="11"/>
        <v/>
      </c>
      <c r="AB34" s="19" t="str">
        <f t="shared" si="12"/>
        <v/>
      </c>
      <c r="AC34" s="26"/>
      <c r="AD34" s="26"/>
      <c r="AE34" s="25"/>
      <c r="AF34" s="26"/>
      <c r="AG34" s="25"/>
      <c r="AH34" s="25"/>
      <c r="AI34" s="18" t="str">
        <f t="shared" si="83"/>
        <v/>
      </c>
      <c r="AJ34" s="25"/>
      <c r="AK34" s="18" t="str">
        <f t="shared" si="84"/>
        <v/>
      </c>
      <c r="AL34" s="79"/>
      <c r="AM34" s="126" t="str">
        <f t="shared" si="85"/>
        <v/>
      </c>
      <c r="AN34" s="128" t="str">
        <f>IF(AP34&lt;&gt;"",VLOOKUP($P34&amp;" | "&amp;AN$6,'Job Master'!$F$12:$J$102,5,0),"")</f>
        <v/>
      </c>
      <c r="AO34" s="19" t="str">
        <f>IF(AP34&lt;&gt;"",VLOOKUP($P34&amp;" | "&amp;AN$6,'Job Master'!$F$12:$J$102,3,0),"")</f>
        <v/>
      </c>
      <c r="AP34" s="19" t="str">
        <f>IFERROR(IF(AND(AW34&lt;&gt;"",VLOOKUP($P34&amp;" | "&amp;AN$6,'Job Master'!$F$12:$I$102,4,0)&lt;&gt;""),IF(WEEKDAY(AW34-VLOOKUP($P34&amp;" | "&amp;AN$6,'Job Master'!$F$12:$I$102,4,0))&lt;&gt;7,AW34-VLOOKUP($P34&amp;" | "&amp;AN$6,'Job Master'!$F$12:$I$102,4,0),AW34-VLOOKUP($P34&amp;" | "&amp;AN$6,'Job Master'!$F$12:$I$102,4,0)-1),""),"")</f>
        <v/>
      </c>
      <c r="AQ34" s="73"/>
      <c r="AR34" s="123" t="str">
        <f t="shared" si="16"/>
        <v/>
      </c>
      <c r="AS34" s="123" t="str">
        <f t="shared" si="17"/>
        <v/>
      </c>
      <c r="AT34" s="97" t="str">
        <f t="shared" ca="1" si="18"/>
        <v/>
      </c>
      <c r="AU34" s="98" t="str">
        <f>IF(AW34&lt;&gt;"",VLOOKUP($P34&amp;" | "&amp;AU$6,'Job Master'!$F$12:$J$102,5,0),"")</f>
        <v/>
      </c>
      <c r="AV34" s="19" t="str">
        <f>IF(AW34&lt;&gt;"",VLOOKUP($P34&amp;" | "&amp;AU$6,'Job Master'!$F$12:$J$102,3,0),"")</f>
        <v/>
      </c>
      <c r="AW34" s="19" t="str">
        <f>IFERROR(IF(AND(BD34&lt;&gt;"",VLOOKUP($P34&amp;" | "&amp;AU$6,'Job Master'!$F$12:$I$102,4,0)&lt;&gt;""),IF(WEEKDAY(BD34-VLOOKUP($P34&amp;" | "&amp;AU$6,'Job Master'!$F$12:$I$102,4,0))&lt;&gt;7,BD34-VLOOKUP($P34&amp;" | "&amp;AU$6,'Job Master'!$F$12:$I$102,4,0),BD34-VLOOKUP($P34&amp;" | "&amp;AU$6,'Job Master'!$F$12:$I$102,4,0)-1),""),"")</f>
        <v/>
      </c>
      <c r="AX34" s="73"/>
      <c r="AY34" s="123" t="str">
        <f t="shared" si="19"/>
        <v/>
      </c>
      <c r="AZ34" s="123" t="str">
        <f t="shared" si="20"/>
        <v/>
      </c>
      <c r="BA34" s="97" t="str">
        <f t="shared" ca="1" si="21"/>
        <v/>
      </c>
      <c r="BB34" s="98" t="str">
        <f>IF(BD34&lt;&gt;"",VLOOKUP($P34&amp;" | "&amp;BB$6,'Job Master'!$F$12:$J$102,5,0),"")</f>
        <v/>
      </c>
      <c r="BC34" s="19" t="str">
        <f>IF(BD34&lt;&gt;"",VLOOKUP($P34&amp;" | "&amp;BB$6,'Job Master'!$F$12:$J$102,3,0),"")</f>
        <v/>
      </c>
      <c r="BD34" s="19" t="str">
        <f>IFERROR(IF(AND(BK34&lt;&gt;"",VLOOKUP($P34&amp;" | "&amp;BB$6,'Job Master'!$F$12:$I$102,4,0)&lt;&gt;""),IF(WEEKDAY(BK34-VLOOKUP($P34&amp;" | "&amp;BB$6,'Job Master'!$F$12:$I$102,4,0))&lt;&gt;7,BK34-VLOOKUP($P34&amp;" | "&amp;BB$6,'Job Master'!$F$12:$I$102,4,0),BK34-VLOOKUP($P34&amp;" | "&amp;BB$6,'Job Master'!$F$12:$I$102,4,0)-1),""),"")</f>
        <v/>
      </c>
      <c r="BE34" s="73"/>
      <c r="BF34" s="123" t="str">
        <f t="shared" si="22"/>
        <v/>
      </c>
      <c r="BG34" s="123" t="str">
        <f t="shared" si="23"/>
        <v/>
      </c>
      <c r="BH34" s="97" t="str">
        <f t="shared" ca="1" si="24"/>
        <v/>
      </c>
      <c r="BI34" s="98" t="str">
        <f>IF(BK34&lt;&gt;"",VLOOKUP($P34&amp;" | "&amp;BI$6,'Job Master'!$F$12:$J$102,5,0),"")</f>
        <v/>
      </c>
      <c r="BJ34" s="19" t="str">
        <f>IF(BK34&lt;&gt;"",VLOOKUP($P34&amp;" | "&amp;BI$6,'Job Master'!$F$12:$J$102,3,0),"")</f>
        <v/>
      </c>
      <c r="BK34" s="19" t="str">
        <f>IFERROR(IF(AND(BR34&lt;&gt;"",VLOOKUP($P34&amp;" | "&amp;BI$6,'Job Master'!$F$12:$I$102,4,0)&lt;&gt;""),IF(WEEKDAY(BR34-VLOOKUP($P34&amp;" | "&amp;BI$6,'Job Master'!$F$12:$I$102,4,0))&lt;&gt;7,BR34-VLOOKUP($P34&amp;" | "&amp;BI$6,'Job Master'!$F$12:$I$102,4,0),BR34-VLOOKUP($P34&amp;" | "&amp;BI$6,'Job Master'!$F$12:$I$102,4,0)-1),""),"")</f>
        <v/>
      </c>
      <c r="BL34" s="73"/>
      <c r="BM34" s="123" t="str">
        <f t="shared" si="25"/>
        <v/>
      </c>
      <c r="BN34" s="123" t="str">
        <f t="shared" si="26"/>
        <v/>
      </c>
      <c r="BO34" s="97" t="str">
        <f t="shared" ca="1" si="27"/>
        <v/>
      </c>
      <c r="BP34" s="98" t="str">
        <f>IF(BR34&lt;&gt;"",VLOOKUP($P34&amp;" | "&amp;BP$6,'Job Master'!$F$12:$J$102,5,0),"")</f>
        <v/>
      </c>
      <c r="BQ34" s="19" t="str">
        <f>IF(BR34&lt;&gt;"",VLOOKUP($P34&amp;" | "&amp;BP$6,'Job Master'!$F$12:$J$102,3,0),"")</f>
        <v/>
      </c>
      <c r="BR34" s="19" t="str">
        <f>IFERROR(IF(AND(BY34&lt;&gt;"",VLOOKUP($P34&amp;" | "&amp;BP$6,'Job Master'!$F$12:$I$102,4,0)&lt;&gt;""),IF(WEEKDAY(BY34-VLOOKUP($P34&amp;" | "&amp;BP$6,'Job Master'!$F$12:$I$102,4,0))&lt;&gt;7,BY34-VLOOKUP($P34&amp;" | "&amp;BP$6,'Job Master'!$F$12:$I$102,4,0),BY34-VLOOKUP($P34&amp;" | "&amp;BP$6,'Job Master'!$F$12:$I$102,4,0)-1),""),"")</f>
        <v/>
      </c>
      <c r="BS34" s="73"/>
      <c r="BT34" s="123" t="str">
        <f t="shared" si="28"/>
        <v/>
      </c>
      <c r="BU34" s="123" t="str">
        <f t="shared" si="29"/>
        <v/>
      </c>
      <c r="BV34" s="97" t="str">
        <f t="shared" ca="1" si="30"/>
        <v/>
      </c>
      <c r="BW34" s="98" t="str">
        <f>IF(BY34&lt;&gt;"",VLOOKUP($P34&amp;" | "&amp;BW$6,'Job Master'!$F$12:$J$102,5,0),"")</f>
        <v/>
      </c>
      <c r="BX34" s="19" t="str">
        <f>IF(BY34&lt;&gt;"",VLOOKUP($P34&amp;" | "&amp;BW$6,'Job Master'!$F$12:$J$102,3,0),"")</f>
        <v/>
      </c>
      <c r="BY34" s="19" t="str">
        <f>IFERROR(IF(AND(CF34&lt;&gt;"",VLOOKUP($P34&amp;" | "&amp;BW$6,'Job Master'!$F$12:$I$102,4,0)&lt;&gt;""),IF(WEEKDAY(CF34-VLOOKUP($P34&amp;" | "&amp;BW$6,'Job Master'!$F$12:$I$102,4,0))&lt;&gt;7,CF34-VLOOKUP($P34&amp;" | "&amp;BW$6,'Job Master'!$F$12:$I$102,4,0),CF34-VLOOKUP($P34&amp;" | "&amp;BW$6,'Job Master'!$F$12:$I$102,4,0)-1),""),"")</f>
        <v/>
      </c>
      <c r="BZ34" s="73"/>
      <c r="CA34" s="123" t="str">
        <f t="shared" si="31"/>
        <v/>
      </c>
      <c r="CB34" s="123" t="str">
        <f t="shared" si="32"/>
        <v/>
      </c>
      <c r="CC34" s="97" t="str">
        <f t="shared" ca="1" si="33"/>
        <v/>
      </c>
      <c r="CD34" s="98" t="str">
        <f>IF(CF34&lt;&gt;"",VLOOKUP($P34&amp;" | "&amp;CD$6,'Job Master'!$F$12:$J$102,5,0),"")</f>
        <v/>
      </c>
      <c r="CE34" s="19" t="str">
        <f>IF(CF34&lt;&gt;"",VLOOKUP($P34&amp;" | "&amp;CD$6,'Job Master'!$F$12:$J$102,3,0),"")</f>
        <v/>
      </c>
      <c r="CF34" s="19" t="str">
        <f>IFERROR(IF(AND(CM34&lt;&gt;"",VLOOKUP($P34&amp;" | "&amp;CD$6,'Job Master'!$F$12:$I$102,4,0)&lt;&gt;""),IF(WEEKDAY(CM34-VLOOKUP($P34&amp;" | "&amp;CD$6,'Job Master'!$F$12:$I$102,4,0))&lt;&gt;7,CM34-VLOOKUP($P34&amp;" | "&amp;CD$6,'Job Master'!$F$12:$I$102,4,0),CM34-VLOOKUP($P34&amp;" | "&amp;CD$6,'Job Master'!$F$12:$I$102,4,0)-1),""),"")</f>
        <v/>
      </c>
      <c r="CG34" s="73"/>
      <c r="CH34" s="123" t="str">
        <f t="shared" si="34"/>
        <v/>
      </c>
      <c r="CI34" s="123" t="str">
        <f t="shared" si="35"/>
        <v/>
      </c>
      <c r="CJ34" s="97" t="str">
        <f t="shared" ca="1" si="36"/>
        <v/>
      </c>
      <c r="CK34" s="98" t="str">
        <f>IF(CM34&lt;&gt;"",VLOOKUP($P34&amp;" | "&amp;CK$6,'Job Master'!$F$12:$J$102,5,0),"")</f>
        <v/>
      </c>
      <c r="CL34" s="19" t="str">
        <f>IF(CM34&lt;&gt;"",VLOOKUP($P34&amp;" | "&amp;CK$6,'Job Master'!$F$12:$J$102,3,0),"")</f>
        <v/>
      </c>
      <c r="CM34" s="19" t="str">
        <f>IFERROR(IF(AND(CT34&lt;&gt;"",VLOOKUP($P34&amp;" | "&amp;CK$6,'Job Master'!$F$12:$I$102,4,0)&lt;&gt;""),IF(WEEKDAY(CT34-VLOOKUP($P34&amp;" | "&amp;CK$6,'Job Master'!$F$12:$I$102,4,0))&lt;&gt;7,CT34-VLOOKUP($P34&amp;" | "&amp;CK$6,'Job Master'!$F$12:$I$102,4,0),CT34-VLOOKUP($P34&amp;" | "&amp;CK$6,'Job Master'!$F$12:$I$102,4,0)-1),""),"")</f>
        <v/>
      </c>
      <c r="CN34" s="73"/>
      <c r="CO34" s="123" t="str">
        <f t="shared" si="37"/>
        <v/>
      </c>
      <c r="CP34" s="123" t="str">
        <f t="shared" si="38"/>
        <v/>
      </c>
      <c r="CQ34" s="97" t="str">
        <f t="shared" ca="1" si="39"/>
        <v/>
      </c>
      <c r="CR34" s="98" t="str">
        <f>IF(CT34&lt;&gt;"",VLOOKUP($P34&amp;" | "&amp;CR$6,'Job Master'!$F$12:$J$102,5,0),"")</f>
        <v/>
      </c>
      <c r="CS34" s="19" t="str">
        <f>IF(CT34&lt;&gt;"",VLOOKUP($P34&amp;" | "&amp;CR$6,'Job Master'!$F$12:$J$102,3,0),"")</f>
        <v/>
      </c>
      <c r="CT34" s="19" t="str">
        <f>IFERROR(IF(AND(DA34&lt;&gt;"",VLOOKUP($P34&amp;" | "&amp;CR$6,'Job Master'!$F$12:$I$102,4,0)&lt;&gt;""),IF(WEEKDAY(DA34-VLOOKUP($P34&amp;" | "&amp;CR$6,'Job Master'!$F$12:$I$102,4,0))&lt;&gt;7,DA34-VLOOKUP($P34&amp;" | "&amp;CR$6,'Job Master'!$F$12:$I$102,4,0),DA34-VLOOKUP($P34&amp;" | "&amp;CR$6,'Job Master'!$F$12:$I$102,4,0)-1),""),"")</f>
        <v/>
      </c>
      <c r="CU34" s="73"/>
      <c r="CV34" s="123" t="str">
        <f t="shared" si="40"/>
        <v/>
      </c>
      <c r="CW34" s="123" t="str">
        <f t="shared" si="41"/>
        <v/>
      </c>
      <c r="CX34" s="97" t="str">
        <f t="shared" ca="1" si="42"/>
        <v/>
      </c>
      <c r="CY34" s="98" t="str">
        <f>IF(DA34&lt;&gt;"",VLOOKUP($P34&amp;" | "&amp;CY$6,'Job Master'!$F$12:$J$102,5,0),"")</f>
        <v/>
      </c>
      <c r="CZ34" s="19" t="str">
        <f>IF(DA34&lt;&gt;"",VLOOKUP($P34&amp;" | "&amp;CY$6,'Job Master'!$F$12:$J$102,3,0),"")</f>
        <v/>
      </c>
      <c r="DA34" s="19" t="str">
        <f>IFERROR(IF(AND(DH34&lt;&gt;"",VLOOKUP($P34&amp;" | "&amp;CY$6,'Job Master'!$F$12:$I$102,4,0)&lt;&gt;""),IF(WEEKDAY(DH34-VLOOKUP($P34&amp;" | "&amp;CY$6,'Job Master'!$F$12:$I$102,4,0))&lt;&gt;7,DH34-VLOOKUP($P34&amp;" | "&amp;CY$6,'Job Master'!$F$12:$I$102,4,0),DH34-VLOOKUP($P34&amp;" | "&amp;CY$6,'Job Master'!$F$12:$I$102,4,0)-1),""),"")</f>
        <v/>
      </c>
      <c r="DB34" s="73"/>
      <c r="DC34" s="123" t="str">
        <f t="shared" si="43"/>
        <v/>
      </c>
      <c r="DD34" s="123" t="str">
        <f t="shared" si="44"/>
        <v/>
      </c>
      <c r="DE34" s="97" t="str">
        <f t="shared" ca="1" si="45"/>
        <v/>
      </c>
      <c r="DF34" s="98" t="str">
        <f>IF(DH34&lt;&gt;"",VLOOKUP($P34&amp;" | "&amp;DF$6,'Job Master'!$F$12:$J$102,5,0),"")</f>
        <v/>
      </c>
      <c r="DG34" s="19" t="str">
        <f>IF(DH34&lt;&gt;"",VLOOKUP($P34&amp;" | "&amp;DF$6,'Job Master'!$F$12:$J$102,3,0),"")</f>
        <v/>
      </c>
      <c r="DH34" s="19" t="str">
        <f>IFERROR(IF(AND(DO34&lt;&gt;"",VLOOKUP($P34&amp;" | "&amp;DF$6,'Job Master'!$F$12:$I$102,4,0)&lt;&gt;""),IF(WEEKDAY(DO34-VLOOKUP($P34&amp;" | "&amp;DF$6,'Job Master'!$F$12:$I$102,4,0))&lt;&gt;7,DO34-VLOOKUP($P34&amp;" | "&amp;DF$6,'Job Master'!$F$12:$I$102,4,0),DO34-VLOOKUP($P34&amp;" | "&amp;DF$6,'Job Master'!$F$12:$I$102,4,0)-1),""),"")</f>
        <v/>
      </c>
      <c r="DI34" s="73"/>
      <c r="DJ34" s="123" t="str">
        <f t="shared" si="46"/>
        <v/>
      </c>
      <c r="DK34" s="123" t="str">
        <f t="shared" si="47"/>
        <v/>
      </c>
      <c r="DL34" s="97" t="str">
        <f t="shared" ca="1" si="48"/>
        <v/>
      </c>
      <c r="DM34" s="98" t="str">
        <f>IF(DO34&lt;&gt;"",VLOOKUP($P34&amp;" | "&amp;DM$6,'Job Master'!$F$12:$J$102,5,0),"")</f>
        <v/>
      </c>
      <c r="DN34" s="19" t="str">
        <f>IF(DO34&lt;&gt;"",VLOOKUP($P34&amp;" | "&amp;DM$6,'Job Master'!$F$12:$J$102,3,0),"")</f>
        <v/>
      </c>
      <c r="DO34" s="19" t="str">
        <f>IFERROR(IF(AND(DT34&lt;&gt;"",VLOOKUP($P34&amp;" | "&amp;DM$6,'Job Master'!$F$12:$I$102,4,0)&lt;&gt;""),IF(WEEKDAY(DT34-VLOOKUP($P34&amp;" | "&amp;DM$6,'Job Master'!$F$12:$I$102,4,0))&lt;&gt;7,DT34-VLOOKUP($P34&amp;" | "&amp;DM$6,'Job Master'!$F$12:$I$102,4,0),DT34-VLOOKUP($P34&amp;" | "&amp;DM$6,'Job Master'!$F$12:$I$102,4,0)-1),""),"")</f>
        <v/>
      </c>
      <c r="DP34" s="73"/>
      <c r="DQ34" s="123" t="str">
        <f t="shared" si="49"/>
        <v/>
      </c>
      <c r="DR34" s="123" t="str">
        <f t="shared" si="50"/>
        <v/>
      </c>
      <c r="DS34" s="97" t="str">
        <f t="shared" ca="1" si="51"/>
        <v/>
      </c>
      <c r="DT34" s="70" t="str">
        <f t="shared" si="52"/>
        <v/>
      </c>
      <c r="DU34" s="90"/>
      <c r="DV34" s="123" t="str">
        <f t="shared" si="53"/>
        <v/>
      </c>
      <c r="DW34" s="123" t="str">
        <f t="shared" si="54"/>
        <v/>
      </c>
      <c r="DX34" s="132" t="str">
        <f t="shared" ref="DX34" ca="1" si="95">IF(DT34&lt;&gt;"",IF(WEEKNUM(DT34)=WEEKNUM(TODAY()),"This Week",IF(WEEKNUM(DT34)=WEEKNUM(TODAY())+1,"Next Week",IF(WEEKNUM(DT34)=WEEKNUM(TODAY())-1,"Previous Week",""))),"")</f>
        <v/>
      </c>
      <c r="DY34" s="134" t="str">
        <f t="shared" si="56"/>
        <v/>
      </c>
      <c r="DZ34" s="95"/>
      <c r="EB34" s="8" t="str">
        <f t="shared" si="67"/>
        <v/>
      </c>
      <c r="EC34" s="8" t="str">
        <f>IF(O34&lt;&gt;"",VLOOKUP(O34,'Job Master'!$N$12:$O$18,2,0),"")</f>
        <v/>
      </c>
      <c r="ED34" s="8">
        <f t="shared" si="68"/>
        <v>19.5</v>
      </c>
      <c r="EE34" s="8">
        <f t="shared" si="69"/>
        <v>6</v>
      </c>
      <c r="EF34" s="8">
        <f t="shared" si="70"/>
        <v>-124.5</v>
      </c>
      <c r="EG34" s="8" t="str">
        <f t="shared" si="71"/>
        <v/>
      </c>
      <c r="EH34" s="8" t="str">
        <f t="shared" si="72"/>
        <v/>
      </c>
    </row>
    <row r="35" spans="2:138" x14ac:dyDescent="0.3">
      <c r="B35" s="112"/>
      <c r="C35" s="27"/>
      <c r="D35" s="7" t="str">
        <f t="shared" si="1"/>
        <v/>
      </c>
      <c r="E35" s="25"/>
      <c r="F35" s="7" t="str">
        <f t="shared" si="1"/>
        <v/>
      </c>
      <c r="G35" s="25"/>
      <c r="H35" s="7" t="str">
        <f t="shared" si="1"/>
        <v/>
      </c>
      <c r="I35" s="25"/>
      <c r="J35" s="7" t="str">
        <f t="shared" si="1"/>
        <v/>
      </c>
      <c r="K35" s="25"/>
      <c r="L35" s="7" t="str">
        <f t="shared" si="2"/>
        <v/>
      </c>
      <c r="M35" s="25"/>
      <c r="N35" s="7" t="str">
        <f t="shared" si="3"/>
        <v/>
      </c>
      <c r="O35" s="81"/>
      <c r="P35" s="81" t="str">
        <f t="shared" si="4"/>
        <v/>
      </c>
      <c r="Q35" s="81"/>
      <c r="R35" s="7" t="str">
        <f t="shared" si="5"/>
        <v/>
      </c>
      <c r="S35" s="25"/>
      <c r="T35" s="7" t="str">
        <f t="shared" si="6"/>
        <v/>
      </c>
      <c r="U35" s="25"/>
      <c r="V35" s="7" t="str">
        <f t="shared" si="7"/>
        <v/>
      </c>
      <c r="W35" s="25"/>
      <c r="X35" s="7" t="str">
        <f t="shared" si="8"/>
        <v/>
      </c>
      <c r="Y35" s="18" t="str">
        <f t="shared" si="9"/>
        <v/>
      </c>
      <c r="Z35" s="7" t="str">
        <f t="shared" si="10"/>
        <v/>
      </c>
      <c r="AA35" s="18" t="str">
        <f t="shared" si="11"/>
        <v/>
      </c>
      <c r="AB35" s="19" t="str">
        <f t="shared" si="12"/>
        <v/>
      </c>
      <c r="AC35" s="26"/>
      <c r="AD35" s="26"/>
      <c r="AE35" s="25"/>
      <c r="AF35" s="26"/>
      <c r="AG35" s="25"/>
      <c r="AH35" s="25"/>
      <c r="AI35" s="18" t="str">
        <f t="shared" si="83"/>
        <v/>
      </c>
      <c r="AJ35" s="25"/>
      <c r="AK35" s="18" t="str">
        <f t="shared" si="84"/>
        <v/>
      </c>
      <c r="AL35" s="79"/>
      <c r="AM35" s="126" t="str">
        <f t="shared" si="85"/>
        <v/>
      </c>
      <c r="AN35" s="128" t="str">
        <f>IF(AP35&lt;&gt;"",VLOOKUP($P35&amp;" | "&amp;AN$6,'Job Master'!$F$12:$J$102,5,0),"")</f>
        <v/>
      </c>
      <c r="AO35" s="19" t="str">
        <f>IF(AP35&lt;&gt;"",VLOOKUP($P35&amp;" | "&amp;AN$6,'Job Master'!$F$12:$J$102,3,0),"")</f>
        <v/>
      </c>
      <c r="AP35" s="19" t="str">
        <f>IFERROR(IF(AND(AW35&lt;&gt;"",VLOOKUP($P35&amp;" | "&amp;AN$6,'Job Master'!$F$12:$I$102,4,0)&lt;&gt;""),IF(WEEKDAY(AW35-VLOOKUP($P35&amp;" | "&amp;AN$6,'Job Master'!$F$12:$I$102,4,0))&lt;&gt;7,AW35-VLOOKUP($P35&amp;" | "&amp;AN$6,'Job Master'!$F$12:$I$102,4,0),AW35-VLOOKUP($P35&amp;" | "&amp;AN$6,'Job Master'!$F$12:$I$102,4,0)-1),""),"")</f>
        <v/>
      </c>
      <c r="AQ35" s="73"/>
      <c r="AR35" s="123" t="str">
        <f t="shared" si="16"/>
        <v/>
      </c>
      <c r="AS35" s="123" t="str">
        <f t="shared" si="17"/>
        <v/>
      </c>
      <c r="AT35" s="97" t="str">
        <f t="shared" ca="1" si="18"/>
        <v/>
      </c>
      <c r="AU35" s="98" t="str">
        <f>IF(AW35&lt;&gt;"",VLOOKUP($P35&amp;" | "&amp;AU$6,'Job Master'!$F$12:$J$102,5,0),"")</f>
        <v/>
      </c>
      <c r="AV35" s="19" t="str">
        <f>IF(AW35&lt;&gt;"",VLOOKUP($P35&amp;" | "&amp;AU$6,'Job Master'!$F$12:$J$102,3,0),"")</f>
        <v/>
      </c>
      <c r="AW35" s="19" t="str">
        <f>IFERROR(IF(AND(BD35&lt;&gt;"",VLOOKUP($P35&amp;" | "&amp;AU$6,'Job Master'!$F$12:$I$102,4,0)&lt;&gt;""),IF(WEEKDAY(BD35-VLOOKUP($P35&amp;" | "&amp;AU$6,'Job Master'!$F$12:$I$102,4,0))&lt;&gt;7,BD35-VLOOKUP($P35&amp;" | "&amp;AU$6,'Job Master'!$F$12:$I$102,4,0),BD35-VLOOKUP($P35&amp;" | "&amp;AU$6,'Job Master'!$F$12:$I$102,4,0)-1),""),"")</f>
        <v/>
      </c>
      <c r="AX35" s="73"/>
      <c r="AY35" s="123" t="str">
        <f t="shared" si="19"/>
        <v/>
      </c>
      <c r="AZ35" s="123" t="str">
        <f t="shared" si="20"/>
        <v/>
      </c>
      <c r="BA35" s="97" t="str">
        <f t="shared" ca="1" si="21"/>
        <v/>
      </c>
      <c r="BB35" s="98" t="str">
        <f>IF(BD35&lt;&gt;"",VLOOKUP($P35&amp;" | "&amp;BB$6,'Job Master'!$F$12:$J$102,5,0),"")</f>
        <v/>
      </c>
      <c r="BC35" s="19" t="str">
        <f>IF(BD35&lt;&gt;"",VLOOKUP($P35&amp;" | "&amp;BB$6,'Job Master'!$F$12:$J$102,3,0),"")</f>
        <v/>
      </c>
      <c r="BD35" s="19" t="str">
        <f>IFERROR(IF(AND(BK35&lt;&gt;"",VLOOKUP($P35&amp;" | "&amp;BB$6,'Job Master'!$F$12:$I$102,4,0)&lt;&gt;""),IF(WEEKDAY(BK35-VLOOKUP($P35&amp;" | "&amp;BB$6,'Job Master'!$F$12:$I$102,4,0))&lt;&gt;7,BK35-VLOOKUP($P35&amp;" | "&amp;BB$6,'Job Master'!$F$12:$I$102,4,0),BK35-VLOOKUP($P35&amp;" | "&amp;BB$6,'Job Master'!$F$12:$I$102,4,0)-1),""),"")</f>
        <v/>
      </c>
      <c r="BE35" s="73"/>
      <c r="BF35" s="123" t="str">
        <f t="shared" si="22"/>
        <v/>
      </c>
      <c r="BG35" s="123" t="str">
        <f t="shared" si="23"/>
        <v/>
      </c>
      <c r="BH35" s="97" t="str">
        <f t="shared" ca="1" si="24"/>
        <v/>
      </c>
      <c r="BI35" s="98" t="str">
        <f>IF(BK35&lt;&gt;"",VLOOKUP($P35&amp;" | "&amp;BI$6,'Job Master'!$F$12:$J$102,5,0),"")</f>
        <v/>
      </c>
      <c r="BJ35" s="19" t="str">
        <f>IF(BK35&lt;&gt;"",VLOOKUP($P35&amp;" | "&amp;BI$6,'Job Master'!$F$12:$J$102,3,0),"")</f>
        <v/>
      </c>
      <c r="BK35" s="19" t="str">
        <f>IFERROR(IF(AND(BR35&lt;&gt;"",VLOOKUP($P35&amp;" | "&amp;BI$6,'Job Master'!$F$12:$I$102,4,0)&lt;&gt;""),IF(WEEKDAY(BR35-VLOOKUP($P35&amp;" | "&amp;BI$6,'Job Master'!$F$12:$I$102,4,0))&lt;&gt;7,BR35-VLOOKUP($P35&amp;" | "&amp;BI$6,'Job Master'!$F$12:$I$102,4,0),BR35-VLOOKUP($P35&amp;" | "&amp;BI$6,'Job Master'!$F$12:$I$102,4,0)-1),""),"")</f>
        <v/>
      </c>
      <c r="BL35" s="73"/>
      <c r="BM35" s="123" t="str">
        <f t="shared" si="25"/>
        <v/>
      </c>
      <c r="BN35" s="123" t="str">
        <f t="shared" si="26"/>
        <v/>
      </c>
      <c r="BO35" s="97" t="str">
        <f t="shared" ca="1" si="27"/>
        <v/>
      </c>
      <c r="BP35" s="98" t="str">
        <f>IF(BR35&lt;&gt;"",VLOOKUP($P35&amp;" | "&amp;BP$6,'Job Master'!$F$12:$J$102,5,0),"")</f>
        <v/>
      </c>
      <c r="BQ35" s="19" t="str">
        <f>IF(BR35&lt;&gt;"",VLOOKUP($P35&amp;" | "&amp;BP$6,'Job Master'!$F$12:$J$102,3,0),"")</f>
        <v/>
      </c>
      <c r="BR35" s="19" t="str">
        <f>IFERROR(IF(AND(BY35&lt;&gt;"",VLOOKUP($P35&amp;" | "&amp;BP$6,'Job Master'!$F$12:$I$102,4,0)&lt;&gt;""),IF(WEEKDAY(BY35-VLOOKUP($P35&amp;" | "&amp;BP$6,'Job Master'!$F$12:$I$102,4,0))&lt;&gt;7,BY35-VLOOKUP($P35&amp;" | "&amp;BP$6,'Job Master'!$F$12:$I$102,4,0),BY35-VLOOKUP($P35&amp;" | "&amp;BP$6,'Job Master'!$F$12:$I$102,4,0)-1),""),"")</f>
        <v/>
      </c>
      <c r="BS35" s="73"/>
      <c r="BT35" s="123" t="str">
        <f t="shared" si="28"/>
        <v/>
      </c>
      <c r="BU35" s="123" t="str">
        <f t="shared" si="29"/>
        <v/>
      </c>
      <c r="BV35" s="97" t="str">
        <f t="shared" ca="1" si="30"/>
        <v/>
      </c>
      <c r="BW35" s="98" t="str">
        <f>IF(BY35&lt;&gt;"",VLOOKUP($P35&amp;" | "&amp;BW$6,'Job Master'!$F$12:$J$102,5,0),"")</f>
        <v/>
      </c>
      <c r="BX35" s="19" t="str">
        <f>IF(BY35&lt;&gt;"",VLOOKUP($P35&amp;" | "&amp;BW$6,'Job Master'!$F$12:$J$102,3,0),"")</f>
        <v/>
      </c>
      <c r="BY35" s="19" t="str">
        <f>IFERROR(IF(AND(CF35&lt;&gt;"",VLOOKUP($P35&amp;" | "&amp;BW$6,'Job Master'!$F$12:$I$102,4,0)&lt;&gt;""),IF(WEEKDAY(CF35-VLOOKUP($P35&amp;" | "&amp;BW$6,'Job Master'!$F$12:$I$102,4,0))&lt;&gt;7,CF35-VLOOKUP($P35&amp;" | "&amp;BW$6,'Job Master'!$F$12:$I$102,4,0),CF35-VLOOKUP($P35&amp;" | "&amp;BW$6,'Job Master'!$F$12:$I$102,4,0)-1),""),"")</f>
        <v/>
      </c>
      <c r="BZ35" s="73"/>
      <c r="CA35" s="123" t="str">
        <f t="shared" si="31"/>
        <v/>
      </c>
      <c r="CB35" s="123" t="str">
        <f t="shared" si="32"/>
        <v/>
      </c>
      <c r="CC35" s="97" t="str">
        <f t="shared" ca="1" si="33"/>
        <v/>
      </c>
      <c r="CD35" s="98" t="str">
        <f>IF(CF35&lt;&gt;"",VLOOKUP($P35&amp;" | "&amp;CD$6,'Job Master'!$F$12:$J$102,5,0),"")</f>
        <v/>
      </c>
      <c r="CE35" s="19" t="str">
        <f>IF(CF35&lt;&gt;"",VLOOKUP($P35&amp;" | "&amp;CD$6,'Job Master'!$F$12:$J$102,3,0),"")</f>
        <v/>
      </c>
      <c r="CF35" s="19" t="str">
        <f>IFERROR(IF(AND(CM35&lt;&gt;"",VLOOKUP($P35&amp;" | "&amp;CD$6,'Job Master'!$F$12:$I$102,4,0)&lt;&gt;""),IF(WEEKDAY(CM35-VLOOKUP($P35&amp;" | "&amp;CD$6,'Job Master'!$F$12:$I$102,4,0))&lt;&gt;7,CM35-VLOOKUP($P35&amp;" | "&amp;CD$6,'Job Master'!$F$12:$I$102,4,0),CM35-VLOOKUP($P35&amp;" | "&amp;CD$6,'Job Master'!$F$12:$I$102,4,0)-1),""),"")</f>
        <v/>
      </c>
      <c r="CG35" s="73"/>
      <c r="CH35" s="123" t="str">
        <f t="shared" si="34"/>
        <v/>
      </c>
      <c r="CI35" s="123" t="str">
        <f t="shared" si="35"/>
        <v/>
      </c>
      <c r="CJ35" s="97" t="str">
        <f t="shared" ca="1" si="36"/>
        <v/>
      </c>
      <c r="CK35" s="98" t="str">
        <f>IF(CM35&lt;&gt;"",VLOOKUP($P35&amp;" | "&amp;CK$6,'Job Master'!$F$12:$J$102,5,0),"")</f>
        <v/>
      </c>
      <c r="CL35" s="19" t="str">
        <f>IF(CM35&lt;&gt;"",VLOOKUP($P35&amp;" | "&amp;CK$6,'Job Master'!$F$12:$J$102,3,0),"")</f>
        <v/>
      </c>
      <c r="CM35" s="19" t="str">
        <f>IFERROR(IF(AND(CT35&lt;&gt;"",VLOOKUP($P35&amp;" | "&amp;CK$6,'Job Master'!$F$12:$I$102,4,0)&lt;&gt;""),IF(WEEKDAY(CT35-VLOOKUP($P35&amp;" | "&amp;CK$6,'Job Master'!$F$12:$I$102,4,0))&lt;&gt;7,CT35-VLOOKUP($P35&amp;" | "&amp;CK$6,'Job Master'!$F$12:$I$102,4,0),CT35-VLOOKUP($P35&amp;" | "&amp;CK$6,'Job Master'!$F$12:$I$102,4,0)-1),""),"")</f>
        <v/>
      </c>
      <c r="CN35" s="73"/>
      <c r="CO35" s="123" t="str">
        <f t="shared" si="37"/>
        <v/>
      </c>
      <c r="CP35" s="123" t="str">
        <f t="shared" si="38"/>
        <v/>
      </c>
      <c r="CQ35" s="97" t="str">
        <f t="shared" ca="1" si="39"/>
        <v/>
      </c>
      <c r="CR35" s="98" t="str">
        <f>IF(CT35&lt;&gt;"",VLOOKUP($P35&amp;" | "&amp;CR$6,'Job Master'!$F$12:$J$102,5,0),"")</f>
        <v/>
      </c>
      <c r="CS35" s="19" t="str">
        <f>IF(CT35&lt;&gt;"",VLOOKUP($P35&amp;" | "&amp;CR$6,'Job Master'!$F$12:$J$102,3,0),"")</f>
        <v/>
      </c>
      <c r="CT35" s="19" t="str">
        <f>IFERROR(IF(AND(DA35&lt;&gt;"",VLOOKUP($P35&amp;" | "&amp;CR$6,'Job Master'!$F$12:$I$102,4,0)&lt;&gt;""),IF(WEEKDAY(DA35-VLOOKUP($P35&amp;" | "&amp;CR$6,'Job Master'!$F$12:$I$102,4,0))&lt;&gt;7,DA35-VLOOKUP($P35&amp;" | "&amp;CR$6,'Job Master'!$F$12:$I$102,4,0),DA35-VLOOKUP($P35&amp;" | "&amp;CR$6,'Job Master'!$F$12:$I$102,4,0)-1),""),"")</f>
        <v/>
      </c>
      <c r="CU35" s="73"/>
      <c r="CV35" s="123" t="str">
        <f t="shared" si="40"/>
        <v/>
      </c>
      <c r="CW35" s="123" t="str">
        <f t="shared" si="41"/>
        <v/>
      </c>
      <c r="CX35" s="97" t="str">
        <f t="shared" ca="1" si="42"/>
        <v/>
      </c>
      <c r="CY35" s="98" t="str">
        <f>IF(DA35&lt;&gt;"",VLOOKUP($P35&amp;" | "&amp;CY$6,'Job Master'!$F$12:$J$102,5,0),"")</f>
        <v/>
      </c>
      <c r="CZ35" s="19" t="str">
        <f>IF(DA35&lt;&gt;"",VLOOKUP($P35&amp;" | "&amp;CY$6,'Job Master'!$F$12:$J$102,3,0),"")</f>
        <v/>
      </c>
      <c r="DA35" s="19" t="str">
        <f>IFERROR(IF(AND(DH35&lt;&gt;"",VLOOKUP($P35&amp;" | "&amp;CY$6,'Job Master'!$F$12:$I$102,4,0)&lt;&gt;""),IF(WEEKDAY(DH35-VLOOKUP($P35&amp;" | "&amp;CY$6,'Job Master'!$F$12:$I$102,4,0))&lt;&gt;7,DH35-VLOOKUP($P35&amp;" | "&amp;CY$6,'Job Master'!$F$12:$I$102,4,0),DH35-VLOOKUP($P35&amp;" | "&amp;CY$6,'Job Master'!$F$12:$I$102,4,0)-1),""),"")</f>
        <v/>
      </c>
      <c r="DB35" s="73"/>
      <c r="DC35" s="123" t="str">
        <f t="shared" si="43"/>
        <v/>
      </c>
      <c r="DD35" s="123" t="str">
        <f t="shared" si="44"/>
        <v/>
      </c>
      <c r="DE35" s="97" t="str">
        <f t="shared" ca="1" si="45"/>
        <v/>
      </c>
      <c r="DF35" s="98" t="str">
        <f>IF(DH35&lt;&gt;"",VLOOKUP($P35&amp;" | "&amp;DF$6,'Job Master'!$F$12:$J$102,5,0),"")</f>
        <v/>
      </c>
      <c r="DG35" s="19" t="str">
        <f>IF(DH35&lt;&gt;"",VLOOKUP($P35&amp;" | "&amp;DF$6,'Job Master'!$F$12:$J$102,3,0),"")</f>
        <v/>
      </c>
      <c r="DH35" s="19" t="str">
        <f>IFERROR(IF(AND(DO35&lt;&gt;"",VLOOKUP($P35&amp;" | "&amp;DF$6,'Job Master'!$F$12:$I$102,4,0)&lt;&gt;""),IF(WEEKDAY(DO35-VLOOKUP($P35&amp;" | "&amp;DF$6,'Job Master'!$F$12:$I$102,4,0))&lt;&gt;7,DO35-VLOOKUP($P35&amp;" | "&amp;DF$6,'Job Master'!$F$12:$I$102,4,0),DO35-VLOOKUP($P35&amp;" | "&amp;DF$6,'Job Master'!$F$12:$I$102,4,0)-1),""),"")</f>
        <v/>
      </c>
      <c r="DI35" s="73"/>
      <c r="DJ35" s="123" t="str">
        <f t="shared" si="46"/>
        <v/>
      </c>
      <c r="DK35" s="123" t="str">
        <f t="shared" si="47"/>
        <v/>
      </c>
      <c r="DL35" s="97" t="str">
        <f t="shared" ca="1" si="48"/>
        <v/>
      </c>
      <c r="DM35" s="98" t="str">
        <f>IF(DO35&lt;&gt;"",VLOOKUP($P35&amp;" | "&amp;DM$6,'Job Master'!$F$12:$J$102,5,0),"")</f>
        <v/>
      </c>
      <c r="DN35" s="19" t="str">
        <f>IF(DO35&lt;&gt;"",VLOOKUP($P35&amp;" | "&amp;DM$6,'Job Master'!$F$12:$J$102,3,0),"")</f>
        <v/>
      </c>
      <c r="DO35" s="19" t="str">
        <f>IFERROR(IF(AND(DT35&lt;&gt;"",VLOOKUP($P35&amp;" | "&amp;DM$6,'Job Master'!$F$12:$I$102,4,0)&lt;&gt;""),IF(WEEKDAY(DT35-VLOOKUP($P35&amp;" | "&amp;DM$6,'Job Master'!$F$12:$I$102,4,0))&lt;&gt;7,DT35-VLOOKUP($P35&amp;" | "&amp;DM$6,'Job Master'!$F$12:$I$102,4,0),DT35-VLOOKUP($P35&amp;" | "&amp;DM$6,'Job Master'!$F$12:$I$102,4,0)-1),""),"")</f>
        <v/>
      </c>
      <c r="DP35" s="73"/>
      <c r="DQ35" s="123" t="str">
        <f t="shared" si="49"/>
        <v/>
      </c>
      <c r="DR35" s="123" t="str">
        <f t="shared" si="50"/>
        <v/>
      </c>
      <c r="DS35" s="97" t="str">
        <f t="shared" ca="1" si="51"/>
        <v/>
      </c>
      <c r="DT35" s="70" t="str">
        <f t="shared" si="52"/>
        <v/>
      </c>
      <c r="DU35" s="90"/>
      <c r="DV35" s="123" t="str">
        <f t="shared" si="53"/>
        <v/>
      </c>
      <c r="DW35" s="123" t="str">
        <f t="shared" si="54"/>
        <v/>
      </c>
      <c r="DX35" s="132" t="str">
        <f t="shared" ref="DX35" ca="1" si="96">IF(DT35&lt;&gt;"",IF(WEEKNUM(DT35)=WEEKNUM(TODAY()),"This Week",IF(WEEKNUM(DT35)=WEEKNUM(TODAY())+1,"Next Week",IF(WEEKNUM(DT35)=WEEKNUM(TODAY())-1,"Previous Week",""))),"")</f>
        <v/>
      </c>
      <c r="DY35" s="134" t="str">
        <f t="shared" si="56"/>
        <v/>
      </c>
      <c r="DZ35" s="95"/>
      <c r="EB35" s="8" t="str">
        <f t="shared" si="67"/>
        <v/>
      </c>
      <c r="EC35" s="8" t="str">
        <f>IF(O35&lt;&gt;"",VLOOKUP(O35,'Job Master'!$N$12:$O$18,2,0),"")</f>
        <v/>
      </c>
      <c r="ED35" s="8">
        <f t="shared" si="68"/>
        <v>19.5</v>
      </c>
      <c r="EE35" s="8">
        <f t="shared" si="69"/>
        <v>6</v>
      </c>
      <c r="EF35" s="8">
        <f t="shared" si="70"/>
        <v>-130.5</v>
      </c>
      <c r="EG35" s="8" t="str">
        <f t="shared" si="71"/>
        <v/>
      </c>
      <c r="EH35" s="8" t="str">
        <f t="shared" si="72"/>
        <v/>
      </c>
    </row>
    <row r="36" spans="2:138" x14ac:dyDescent="0.3">
      <c r="B36" s="112"/>
      <c r="C36" s="27"/>
      <c r="D36" s="7" t="str">
        <f t="shared" si="1"/>
        <v/>
      </c>
      <c r="E36" s="25"/>
      <c r="F36" s="7" t="str">
        <f t="shared" si="1"/>
        <v/>
      </c>
      <c r="G36" s="25"/>
      <c r="H36" s="7" t="str">
        <f t="shared" si="1"/>
        <v/>
      </c>
      <c r="I36" s="25"/>
      <c r="J36" s="7" t="str">
        <f t="shared" si="1"/>
        <v/>
      </c>
      <c r="K36" s="25"/>
      <c r="L36" s="7" t="str">
        <f t="shared" si="2"/>
        <v/>
      </c>
      <c r="M36" s="25"/>
      <c r="N36" s="7" t="str">
        <f t="shared" si="3"/>
        <v/>
      </c>
      <c r="O36" s="81"/>
      <c r="P36" s="81" t="str">
        <f t="shared" si="4"/>
        <v/>
      </c>
      <c r="Q36" s="81"/>
      <c r="R36" s="7" t="str">
        <f t="shared" si="5"/>
        <v/>
      </c>
      <c r="S36" s="25"/>
      <c r="T36" s="7" t="str">
        <f t="shared" si="6"/>
        <v/>
      </c>
      <c r="U36" s="25"/>
      <c r="V36" s="7" t="str">
        <f t="shared" si="7"/>
        <v/>
      </c>
      <c r="W36" s="25"/>
      <c r="X36" s="7" t="str">
        <f t="shared" si="8"/>
        <v/>
      </c>
      <c r="Y36" s="18" t="str">
        <f t="shared" si="9"/>
        <v/>
      </c>
      <c r="Z36" s="7" t="str">
        <f t="shared" si="10"/>
        <v/>
      </c>
      <c r="AA36" s="18" t="str">
        <f t="shared" si="11"/>
        <v/>
      </c>
      <c r="AB36" s="19" t="str">
        <f t="shared" si="12"/>
        <v/>
      </c>
      <c r="AC36" s="26"/>
      <c r="AD36" s="26"/>
      <c r="AE36" s="25"/>
      <c r="AF36" s="26"/>
      <c r="AG36" s="25"/>
      <c r="AH36" s="25"/>
      <c r="AI36" s="18" t="str">
        <f t="shared" si="83"/>
        <v/>
      </c>
      <c r="AJ36" s="25"/>
      <c r="AK36" s="18" t="str">
        <f t="shared" si="84"/>
        <v/>
      </c>
      <c r="AL36" s="79"/>
      <c r="AM36" s="126" t="str">
        <f t="shared" si="85"/>
        <v/>
      </c>
      <c r="AN36" s="128" t="str">
        <f>IF(AP36&lt;&gt;"",VLOOKUP($P36&amp;" | "&amp;AN$6,'Job Master'!$F$12:$J$102,5,0),"")</f>
        <v/>
      </c>
      <c r="AO36" s="19" t="str">
        <f>IF(AP36&lt;&gt;"",VLOOKUP($P36&amp;" | "&amp;AN$6,'Job Master'!$F$12:$J$102,3,0),"")</f>
        <v/>
      </c>
      <c r="AP36" s="19" t="str">
        <f>IFERROR(IF(AND(AW36&lt;&gt;"",VLOOKUP($P36&amp;" | "&amp;AN$6,'Job Master'!$F$12:$I$102,4,0)&lt;&gt;""),IF(WEEKDAY(AW36-VLOOKUP($P36&amp;" | "&amp;AN$6,'Job Master'!$F$12:$I$102,4,0))&lt;&gt;7,AW36-VLOOKUP($P36&amp;" | "&amp;AN$6,'Job Master'!$F$12:$I$102,4,0),AW36-VLOOKUP($P36&amp;" | "&amp;AN$6,'Job Master'!$F$12:$I$102,4,0)-1),""),"")</f>
        <v/>
      </c>
      <c r="AQ36" s="73"/>
      <c r="AR36" s="123" t="str">
        <f t="shared" si="16"/>
        <v/>
      </c>
      <c r="AS36" s="123" t="str">
        <f t="shared" si="17"/>
        <v/>
      </c>
      <c r="AT36" s="97" t="str">
        <f t="shared" ca="1" si="18"/>
        <v/>
      </c>
      <c r="AU36" s="98" t="str">
        <f>IF(AW36&lt;&gt;"",VLOOKUP($P36&amp;" | "&amp;AU$6,'Job Master'!$F$12:$J$102,5,0),"")</f>
        <v/>
      </c>
      <c r="AV36" s="19" t="str">
        <f>IF(AW36&lt;&gt;"",VLOOKUP($P36&amp;" | "&amp;AU$6,'Job Master'!$F$12:$J$102,3,0),"")</f>
        <v/>
      </c>
      <c r="AW36" s="19" t="str">
        <f>IFERROR(IF(AND(BD36&lt;&gt;"",VLOOKUP($P36&amp;" | "&amp;AU$6,'Job Master'!$F$12:$I$102,4,0)&lt;&gt;""),IF(WEEKDAY(BD36-VLOOKUP($P36&amp;" | "&amp;AU$6,'Job Master'!$F$12:$I$102,4,0))&lt;&gt;7,BD36-VLOOKUP($P36&amp;" | "&amp;AU$6,'Job Master'!$F$12:$I$102,4,0),BD36-VLOOKUP($P36&amp;" | "&amp;AU$6,'Job Master'!$F$12:$I$102,4,0)-1),""),"")</f>
        <v/>
      </c>
      <c r="AX36" s="73"/>
      <c r="AY36" s="123" t="str">
        <f t="shared" si="19"/>
        <v/>
      </c>
      <c r="AZ36" s="123" t="str">
        <f t="shared" si="20"/>
        <v/>
      </c>
      <c r="BA36" s="97" t="str">
        <f t="shared" ca="1" si="21"/>
        <v/>
      </c>
      <c r="BB36" s="98" t="str">
        <f>IF(BD36&lt;&gt;"",VLOOKUP($P36&amp;" | "&amp;BB$6,'Job Master'!$F$12:$J$102,5,0),"")</f>
        <v/>
      </c>
      <c r="BC36" s="19" t="str">
        <f>IF(BD36&lt;&gt;"",VLOOKUP($P36&amp;" | "&amp;BB$6,'Job Master'!$F$12:$J$102,3,0),"")</f>
        <v/>
      </c>
      <c r="BD36" s="19" t="str">
        <f>IFERROR(IF(AND(BK36&lt;&gt;"",VLOOKUP($P36&amp;" | "&amp;BB$6,'Job Master'!$F$12:$I$102,4,0)&lt;&gt;""),IF(WEEKDAY(BK36-VLOOKUP($P36&amp;" | "&amp;BB$6,'Job Master'!$F$12:$I$102,4,0))&lt;&gt;7,BK36-VLOOKUP($P36&amp;" | "&amp;BB$6,'Job Master'!$F$12:$I$102,4,0),BK36-VLOOKUP($P36&amp;" | "&amp;BB$6,'Job Master'!$F$12:$I$102,4,0)-1),""),"")</f>
        <v/>
      </c>
      <c r="BE36" s="73"/>
      <c r="BF36" s="123" t="str">
        <f t="shared" si="22"/>
        <v/>
      </c>
      <c r="BG36" s="123" t="str">
        <f t="shared" si="23"/>
        <v/>
      </c>
      <c r="BH36" s="97" t="str">
        <f t="shared" ca="1" si="24"/>
        <v/>
      </c>
      <c r="BI36" s="98" t="str">
        <f>IF(BK36&lt;&gt;"",VLOOKUP($P36&amp;" | "&amp;BI$6,'Job Master'!$F$12:$J$102,5,0),"")</f>
        <v/>
      </c>
      <c r="BJ36" s="19" t="str">
        <f>IF(BK36&lt;&gt;"",VLOOKUP($P36&amp;" | "&amp;BI$6,'Job Master'!$F$12:$J$102,3,0),"")</f>
        <v/>
      </c>
      <c r="BK36" s="19" t="str">
        <f>IFERROR(IF(AND(BR36&lt;&gt;"",VLOOKUP($P36&amp;" | "&amp;BI$6,'Job Master'!$F$12:$I$102,4,0)&lt;&gt;""),IF(WEEKDAY(BR36-VLOOKUP($P36&amp;" | "&amp;BI$6,'Job Master'!$F$12:$I$102,4,0))&lt;&gt;7,BR36-VLOOKUP($P36&amp;" | "&amp;BI$6,'Job Master'!$F$12:$I$102,4,0),BR36-VLOOKUP($P36&amp;" | "&amp;BI$6,'Job Master'!$F$12:$I$102,4,0)-1),""),"")</f>
        <v/>
      </c>
      <c r="BL36" s="73"/>
      <c r="BM36" s="123" t="str">
        <f t="shared" si="25"/>
        <v/>
      </c>
      <c r="BN36" s="123" t="str">
        <f t="shared" si="26"/>
        <v/>
      </c>
      <c r="BO36" s="97" t="str">
        <f t="shared" ca="1" si="27"/>
        <v/>
      </c>
      <c r="BP36" s="98" t="str">
        <f>IF(BR36&lt;&gt;"",VLOOKUP($P36&amp;" | "&amp;BP$6,'Job Master'!$F$12:$J$102,5,0),"")</f>
        <v/>
      </c>
      <c r="BQ36" s="19" t="str">
        <f>IF(BR36&lt;&gt;"",VLOOKUP($P36&amp;" | "&amp;BP$6,'Job Master'!$F$12:$J$102,3,0),"")</f>
        <v/>
      </c>
      <c r="BR36" s="19" t="str">
        <f>IFERROR(IF(AND(BY36&lt;&gt;"",VLOOKUP($P36&amp;" | "&amp;BP$6,'Job Master'!$F$12:$I$102,4,0)&lt;&gt;""),IF(WEEKDAY(BY36-VLOOKUP($P36&amp;" | "&amp;BP$6,'Job Master'!$F$12:$I$102,4,0))&lt;&gt;7,BY36-VLOOKUP($P36&amp;" | "&amp;BP$6,'Job Master'!$F$12:$I$102,4,0),BY36-VLOOKUP($P36&amp;" | "&amp;BP$6,'Job Master'!$F$12:$I$102,4,0)-1),""),"")</f>
        <v/>
      </c>
      <c r="BS36" s="73"/>
      <c r="BT36" s="123" t="str">
        <f t="shared" si="28"/>
        <v/>
      </c>
      <c r="BU36" s="123" t="str">
        <f t="shared" si="29"/>
        <v/>
      </c>
      <c r="BV36" s="97" t="str">
        <f t="shared" ca="1" si="30"/>
        <v/>
      </c>
      <c r="BW36" s="98" t="str">
        <f>IF(BY36&lt;&gt;"",VLOOKUP($P36&amp;" | "&amp;BW$6,'Job Master'!$F$12:$J$102,5,0),"")</f>
        <v/>
      </c>
      <c r="BX36" s="19" t="str">
        <f>IF(BY36&lt;&gt;"",VLOOKUP($P36&amp;" | "&amp;BW$6,'Job Master'!$F$12:$J$102,3,0),"")</f>
        <v/>
      </c>
      <c r="BY36" s="19" t="str">
        <f>IFERROR(IF(AND(CF36&lt;&gt;"",VLOOKUP($P36&amp;" | "&amp;BW$6,'Job Master'!$F$12:$I$102,4,0)&lt;&gt;""),IF(WEEKDAY(CF36-VLOOKUP($P36&amp;" | "&amp;BW$6,'Job Master'!$F$12:$I$102,4,0))&lt;&gt;7,CF36-VLOOKUP($P36&amp;" | "&amp;BW$6,'Job Master'!$F$12:$I$102,4,0),CF36-VLOOKUP($P36&amp;" | "&amp;BW$6,'Job Master'!$F$12:$I$102,4,0)-1),""),"")</f>
        <v/>
      </c>
      <c r="BZ36" s="73"/>
      <c r="CA36" s="123" t="str">
        <f t="shared" si="31"/>
        <v/>
      </c>
      <c r="CB36" s="123" t="str">
        <f t="shared" si="32"/>
        <v/>
      </c>
      <c r="CC36" s="97" t="str">
        <f t="shared" ca="1" si="33"/>
        <v/>
      </c>
      <c r="CD36" s="98" t="str">
        <f>IF(CF36&lt;&gt;"",VLOOKUP($P36&amp;" | "&amp;CD$6,'Job Master'!$F$12:$J$102,5,0),"")</f>
        <v/>
      </c>
      <c r="CE36" s="19" t="str">
        <f>IF(CF36&lt;&gt;"",VLOOKUP($P36&amp;" | "&amp;CD$6,'Job Master'!$F$12:$J$102,3,0),"")</f>
        <v/>
      </c>
      <c r="CF36" s="19" t="str">
        <f>IFERROR(IF(AND(CM36&lt;&gt;"",VLOOKUP($P36&amp;" | "&amp;CD$6,'Job Master'!$F$12:$I$102,4,0)&lt;&gt;""),IF(WEEKDAY(CM36-VLOOKUP($P36&amp;" | "&amp;CD$6,'Job Master'!$F$12:$I$102,4,0))&lt;&gt;7,CM36-VLOOKUP($P36&amp;" | "&amp;CD$6,'Job Master'!$F$12:$I$102,4,0),CM36-VLOOKUP($P36&amp;" | "&amp;CD$6,'Job Master'!$F$12:$I$102,4,0)-1),""),"")</f>
        <v/>
      </c>
      <c r="CG36" s="73"/>
      <c r="CH36" s="123" t="str">
        <f t="shared" si="34"/>
        <v/>
      </c>
      <c r="CI36" s="123" t="str">
        <f t="shared" si="35"/>
        <v/>
      </c>
      <c r="CJ36" s="97" t="str">
        <f t="shared" ca="1" si="36"/>
        <v/>
      </c>
      <c r="CK36" s="98" t="str">
        <f>IF(CM36&lt;&gt;"",VLOOKUP($P36&amp;" | "&amp;CK$6,'Job Master'!$F$12:$J$102,5,0),"")</f>
        <v/>
      </c>
      <c r="CL36" s="19" t="str">
        <f>IF(CM36&lt;&gt;"",VLOOKUP($P36&amp;" | "&amp;CK$6,'Job Master'!$F$12:$J$102,3,0),"")</f>
        <v/>
      </c>
      <c r="CM36" s="19" t="str">
        <f>IFERROR(IF(AND(CT36&lt;&gt;"",VLOOKUP($P36&amp;" | "&amp;CK$6,'Job Master'!$F$12:$I$102,4,0)&lt;&gt;""),IF(WEEKDAY(CT36-VLOOKUP($P36&amp;" | "&amp;CK$6,'Job Master'!$F$12:$I$102,4,0))&lt;&gt;7,CT36-VLOOKUP($P36&amp;" | "&amp;CK$6,'Job Master'!$F$12:$I$102,4,0),CT36-VLOOKUP($P36&amp;" | "&amp;CK$6,'Job Master'!$F$12:$I$102,4,0)-1),""),"")</f>
        <v/>
      </c>
      <c r="CN36" s="73"/>
      <c r="CO36" s="123" t="str">
        <f t="shared" si="37"/>
        <v/>
      </c>
      <c r="CP36" s="123" t="str">
        <f t="shared" si="38"/>
        <v/>
      </c>
      <c r="CQ36" s="97" t="str">
        <f t="shared" ca="1" si="39"/>
        <v/>
      </c>
      <c r="CR36" s="98" t="str">
        <f>IF(CT36&lt;&gt;"",VLOOKUP($P36&amp;" | "&amp;CR$6,'Job Master'!$F$12:$J$102,5,0),"")</f>
        <v/>
      </c>
      <c r="CS36" s="19" t="str">
        <f>IF(CT36&lt;&gt;"",VLOOKUP($P36&amp;" | "&amp;CR$6,'Job Master'!$F$12:$J$102,3,0),"")</f>
        <v/>
      </c>
      <c r="CT36" s="19" t="str">
        <f>IFERROR(IF(AND(DA36&lt;&gt;"",VLOOKUP($P36&amp;" | "&amp;CR$6,'Job Master'!$F$12:$I$102,4,0)&lt;&gt;""),IF(WEEKDAY(DA36-VLOOKUP($P36&amp;" | "&amp;CR$6,'Job Master'!$F$12:$I$102,4,0))&lt;&gt;7,DA36-VLOOKUP($P36&amp;" | "&amp;CR$6,'Job Master'!$F$12:$I$102,4,0),DA36-VLOOKUP($P36&amp;" | "&amp;CR$6,'Job Master'!$F$12:$I$102,4,0)-1),""),"")</f>
        <v/>
      </c>
      <c r="CU36" s="73"/>
      <c r="CV36" s="123" t="str">
        <f t="shared" si="40"/>
        <v/>
      </c>
      <c r="CW36" s="123" t="str">
        <f t="shared" si="41"/>
        <v/>
      </c>
      <c r="CX36" s="97" t="str">
        <f t="shared" ca="1" si="42"/>
        <v/>
      </c>
      <c r="CY36" s="98" t="str">
        <f>IF(DA36&lt;&gt;"",VLOOKUP($P36&amp;" | "&amp;CY$6,'Job Master'!$F$12:$J$102,5,0),"")</f>
        <v/>
      </c>
      <c r="CZ36" s="19" t="str">
        <f>IF(DA36&lt;&gt;"",VLOOKUP($P36&amp;" | "&amp;CY$6,'Job Master'!$F$12:$J$102,3,0),"")</f>
        <v/>
      </c>
      <c r="DA36" s="19" t="str">
        <f>IFERROR(IF(AND(DH36&lt;&gt;"",VLOOKUP($P36&amp;" | "&amp;CY$6,'Job Master'!$F$12:$I$102,4,0)&lt;&gt;""),IF(WEEKDAY(DH36-VLOOKUP($P36&amp;" | "&amp;CY$6,'Job Master'!$F$12:$I$102,4,0))&lt;&gt;7,DH36-VLOOKUP($P36&amp;" | "&amp;CY$6,'Job Master'!$F$12:$I$102,4,0),DH36-VLOOKUP($P36&amp;" | "&amp;CY$6,'Job Master'!$F$12:$I$102,4,0)-1),""),"")</f>
        <v/>
      </c>
      <c r="DB36" s="73"/>
      <c r="DC36" s="123" t="str">
        <f t="shared" si="43"/>
        <v/>
      </c>
      <c r="DD36" s="123" t="str">
        <f t="shared" si="44"/>
        <v/>
      </c>
      <c r="DE36" s="97" t="str">
        <f t="shared" ca="1" si="45"/>
        <v/>
      </c>
      <c r="DF36" s="98" t="str">
        <f>IF(DH36&lt;&gt;"",VLOOKUP($P36&amp;" | "&amp;DF$6,'Job Master'!$F$12:$J$102,5,0),"")</f>
        <v/>
      </c>
      <c r="DG36" s="19" t="str">
        <f>IF(DH36&lt;&gt;"",VLOOKUP($P36&amp;" | "&amp;DF$6,'Job Master'!$F$12:$J$102,3,0),"")</f>
        <v/>
      </c>
      <c r="DH36" s="19" t="str">
        <f>IFERROR(IF(AND(DO36&lt;&gt;"",VLOOKUP($P36&amp;" | "&amp;DF$6,'Job Master'!$F$12:$I$102,4,0)&lt;&gt;""),IF(WEEKDAY(DO36-VLOOKUP($P36&amp;" | "&amp;DF$6,'Job Master'!$F$12:$I$102,4,0))&lt;&gt;7,DO36-VLOOKUP($P36&amp;" | "&amp;DF$6,'Job Master'!$F$12:$I$102,4,0),DO36-VLOOKUP($P36&amp;" | "&amp;DF$6,'Job Master'!$F$12:$I$102,4,0)-1),""),"")</f>
        <v/>
      </c>
      <c r="DI36" s="73"/>
      <c r="DJ36" s="123" t="str">
        <f t="shared" si="46"/>
        <v/>
      </c>
      <c r="DK36" s="123" t="str">
        <f t="shared" si="47"/>
        <v/>
      </c>
      <c r="DL36" s="97" t="str">
        <f t="shared" ca="1" si="48"/>
        <v/>
      </c>
      <c r="DM36" s="98" t="str">
        <f>IF(DO36&lt;&gt;"",VLOOKUP($P36&amp;" | "&amp;DM$6,'Job Master'!$F$12:$J$102,5,0),"")</f>
        <v/>
      </c>
      <c r="DN36" s="19" t="str">
        <f>IF(DO36&lt;&gt;"",VLOOKUP($P36&amp;" | "&amp;DM$6,'Job Master'!$F$12:$J$102,3,0),"")</f>
        <v/>
      </c>
      <c r="DO36" s="19" t="str">
        <f>IFERROR(IF(AND(DT36&lt;&gt;"",VLOOKUP($P36&amp;" | "&amp;DM$6,'Job Master'!$F$12:$I$102,4,0)&lt;&gt;""),IF(WEEKDAY(DT36-VLOOKUP($P36&amp;" | "&amp;DM$6,'Job Master'!$F$12:$I$102,4,0))&lt;&gt;7,DT36-VLOOKUP($P36&amp;" | "&amp;DM$6,'Job Master'!$F$12:$I$102,4,0),DT36-VLOOKUP($P36&amp;" | "&amp;DM$6,'Job Master'!$F$12:$I$102,4,0)-1),""),"")</f>
        <v/>
      </c>
      <c r="DP36" s="73"/>
      <c r="DQ36" s="123" t="str">
        <f t="shared" si="49"/>
        <v/>
      </c>
      <c r="DR36" s="123" t="str">
        <f t="shared" si="50"/>
        <v/>
      </c>
      <c r="DS36" s="97" t="str">
        <f t="shared" ca="1" si="51"/>
        <v/>
      </c>
      <c r="DT36" s="70" t="str">
        <f t="shared" si="52"/>
        <v/>
      </c>
      <c r="DU36" s="90"/>
      <c r="DV36" s="123" t="str">
        <f t="shared" si="53"/>
        <v/>
      </c>
      <c r="DW36" s="123" t="str">
        <f t="shared" si="54"/>
        <v/>
      </c>
      <c r="DX36" s="132" t="str">
        <f t="shared" ref="DX36" ca="1" si="97">IF(DT36&lt;&gt;"",IF(WEEKNUM(DT36)=WEEKNUM(TODAY()),"This Week",IF(WEEKNUM(DT36)=WEEKNUM(TODAY())+1,"Next Week",IF(WEEKNUM(DT36)=WEEKNUM(TODAY())-1,"Previous Week",""))),"")</f>
        <v/>
      </c>
      <c r="DY36" s="134" t="str">
        <f t="shared" si="56"/>
        <v/>
      </c>
      <c r="DZ36" s="95"/>
      <c r="EB36" s="8" t="str">
        <f t="shared" si="67"/>
        <v/>
      </c>
      <c r="EC36" s="8" t="str">
        <f>IF(O36&lt;&gt;"",VLOOKUP(O36,'Job Master'!$N$12:$O$18,2,0),"")</f>
        <v/>
      </c>
      <c r="ED36" s="8">
        <f t="shared" si="68"/>
        <v>19.5</v>
      </c>
      <c r="EE36" s="8">
        <f t="shared" si="69"/>
        <v>6</v>
      </c>
      <c r="EF36" s="8">
        <f t="shared" si="70"/>
        <v>-136.5</v>
      </c>
      <c r="EG36" s="8" t="str">
        <f t="shared" si="71"/>
        <v/>
      </c>
      <c r="EH36" s="8" t="str">
        <f t="shared" si="72"/>
        <v/>
      </c>
    </row>
    <row r="37" spans="2:138" x14ac:dyDescent="0.3">
      <c r="B37" s="112"/>
      <c r="C37" s="27"/>
      <c r="D37" s="7" t="str">
        <f t="shared" si="1"/>
        <v/>
      </c>
      <c r="E37" s="25"/>
      <c r="F37" s="7" t="str">
        <f t="shared" si="1"/>
        <v/>
      </c>
      <c r="G37" s="25"/>
      <c r="H37" s="7" t="str">
        <f t="shared" si="1"/>
        <v/>
      </c>
      <c r="I37" s="25"/>
      <c r="J37" s="7" t="str">
        <f t="shared" si="1"/>
        <v/>
      </c>
      <c r="K37" s="25"/>
      <c r="L37" s="7" t="str">
        <f t="shared" si="2"/>
        <v/>
      </c>
      <c r="M37" s="25"/>
      <c r="N37" s="7" t="str">
        <f t="shared" si="3"/>
        <v/>
      </c>
      <c r="O37" s="81"/>
      <c r="P37" s="81" t="str">
        <f t="shared" si="4"/>
        <v/>
      </c>
      <c r="Q37" s="81"/>
      <c r="R37" s="7" t="str">
        <f t="shared" si="5"/>
        <v/>
      </c>
      <c r="S37" s="25"/>
      <c r="T37" s="7" t="str">
        <f t="shared" si="6"/>
        <v/>
      </c>
      <c r="U37" s="25"/>
      <c r="V37" s="7" t="str">
        <f t="shared" si="7"/>
        <v/>
      </c>
      <c r="W37" s="25"/>
      <c r="X37" s="7" t="str">
        <f t="shared" si="8"/>
        <v/>
      </c>
      <c r="Y37" s="18" t="str">
        <f t="shared" si="9"/>
        <v/>
      </c>
      <c r="Z37" s="7" t="str">
        <f t="shared" si="10"/>
        <v/>
      </c>
      <c r="AA37" s="18" t="str">
        <f t="shared" si="11"/>
        <v/>
      </c>
      <c r="AB37" s="19" t="str">
        <f t="shared" si="12"/>
        <v/>
      </c>
      <c r="AC37" s="26"/>
      <c r="AD37" s="26"/>
      <c r="AE37" s="25"/>
      <c r="AF37" s="26"/>
      <c r="AG37" s="25"/>
      <c r="AH37" s="25"/>
      <c r="AI37" s="18" t="str">
        <f t="shared" si="83"/>
        <v/>
      </c>
      <c r="AJ37" s="25"/>
      <c r="AK37" s="18" t="str">
        <f t="shared" si="84"/>
        <v/>
      </c>
      <c r="AL37" s="79"/>
      <c r="AM37" s="126" t="str">
        <f t="shared" si="85"/>
        <v/>
      </c>
      <c r="AN37" s="128" t="str">
        <f>IF(AP37&lt;&gt;"",VLOOKUP($P37&amp;" | "&amp;AN$6,'Job Master'!$F$12:$J$102,5,0),"")</f>
        <v/>
      </c>
      <c r="AO37" s="19" t="str">
        <f>IF(AP37&lt;&gt;"",VLOOKUP($P37&amp;" | "&amp;AN$6,'Job Master'!$F$12:$J$102,3,0),"")</f>
        <v/>
      </c>
      <c r="AP37" s="19" t="str">
        <f>IFERROR(IF(AND(AW37&lt;&gt;"",VLOOKUP($P37&amp;" | "&amp;AN$6,'Job Master'!$F$12:$I$102,4,0)&lt;&gt;""),IF(WEEKDAY(AW37-VLOOKUP($P37&amp;" | "&amp;AN$6,'Job Master'!$F$12:$I$102,4,0))&lt;&gt;7,AW37-VLOOKUP($P37&amp;" | "&amp;AN$6,'Job Master'!$F$12:$I$102,4,0),AW37-VLOOKUP($P37&amp;" | "&amp;AN$6,'Job Master'!$F$12:$I$102,4,0)-1),""),"")</f>
        <v/>
      </c>
      <c r="AQ37" s="73"/>
      <c r="AR37" s="123" t="str">
        <f t="shared" si="16"/>
        <v/>
      </c>
      <c r="AS37" s="123" t="str">
        <f t="shared" si="17"/>
        <v/>
      </c>
      <c r="AT37" s="97" t="str">
        <f t="shared" ca="1" si="18"/>
        <v/>
      </c>
      <c r="AU37" s="98" t="str">
        <f>IF(AW37&lt;&gt;"",VLOOKUP($P37&amp;" | "&amp;AU$6,'Job Master'!$F$12:$J$102,5,0),"")</f>
        <v/>
      </c>
      <c r="AV37" s="19" t="str">
        <f>IF(AW37&lt;&gt;"",VLOOKUP($P37&amp;" | "&amp;AU$6,'Job Master'!$F$12:$J$102,3,0),"")</f>
        <v/>
      </c>
      <c r="AW37" s="19" t="str">
        <f>IFERROR(IF(AND(BD37&lt;&gt;"",VLOOKUP($P37&amp;" | "&amp;AU$6,'Job Master'!$F$12:$I$102,4,0)&lt;&gt;""),IF(WEEKDAY(BD37-VLOOKUP($P37&amp;" | "&amp;AU$6,'Job Master'!$F$12:$I$102,4,0))&lt;&gt;7,BD37-VLOOKUP($P37&amp;" | "&amp;AU$6,'Job Master'!$F$12:$I$102,4,0),BD37-VLOOKUP($P37&amp;" | "&amp;AU$6,'Job Master'!$F$12:$I$102,4,0)-1),""),"")</f>
        <v/>
      </c>
      <c r="AX37" s="73"/>
      <c r="AY37" s="123" t="str">
        <f t="shared" si="19"/>
        <v/>
      </c>
      <c r="AZ37" s="123" t="str">
        <f t="shared" si="20"/>
        <v/>
      </c>
      <c r="BA37" s="97" t="str">
        <f t="shared" ca="1" si="21"/>
        <v/>
      </c>
      <c r="BB37" s="98" t="str">
        <f>IF(BD37&lt;&gt;"",VLOOKUP($P37&amp;" | "&amp;BB$6,'Job Master'!$F$12:$J$102,5,0),"")</f>
        <v/>
      </c>
      <c r="BC37" s="19" t="str">
        <f>IF(BD37&lt;&gt;"",VLOOKUP($P37&amp;" | "&amp;BB$6,'Job Master'!$F$12:$J$102,3,0),"")</f>
        <v/>
      </c>
      <c r="BD37" s="19" t="str">
        <f>IFERROR(IF(AND(BK37&lt;&gt;"",VLOOKUP($P37&amp;" | "&amp;BB$6,'Job Master'!$F$12:$I$102,4,0)&lt;&gt;""),IF(WEEKDAY(BK37-VLOOKUP($P37&amp;" | "&amp;BB$6,'Job Master'!$F$12:$I$102,4,0))&lt;&gt;7,BK37-VLOOKUP($P37&amp;" | "&amp;BB$6,'Job Master'!$F$12:$I$102,4,0),BK37-VLOOKUP($P37&amp;" | "&amp;BB$6,'Job Master'!$F$12:$I$102,4,0)-1),""),"")</f>
        <v/>
      </c>
      <c r="BE37" s="73"/>
      <c r="BF37" s="123" t="str">
        <f t="shared" si="22"/>
        <v/>
      </c>
      <c r="BG37" s="123" t="str">
        <f t="shared" si="23"/>
        <v/>
      </c>
      <c r="BH37" s="97" t="str">
        <f t="shared" ca="1" si="24"/>
        <v/>
      </c>
      <c r="BI37" s="98" t="str">
        <f>IF(BK37&lt;&gt;"",VLOOKUP($P37&amp;" | "&amp;BI$6,'Job Master'!$F$12:$J$102,5,0),"")</f>
        <v/>
      </c>
      <c r="BJ37" s="19" t="str">
        <f>IF(BK37&lt;&gt;"",VLOOKUP($P37&amp;" | "&amp;BI$6,'Job Master'!$F$12:$J$102,3,0),"")</f>
        <v/>
      </c>
      <c r="BK37" s="19" t="str">
        <f>IFERROR(IF(AND(BR37&lt;&gt;"",VLOOKUP($P37&amp;" | "&amp;BI$6,'Job Master'!$F$12:$I$102,4,0)&lt;&gt;""),IF(WEEKDAY(BR37-VLOOKUP($P37&amp;" | "&amp;BI$6,'Job Master'!$F$12:$I$102,4,0))&lt;&gt;7,BR37-VLOOKUP($P37&amp;" | "&amp;BI$6,'Job Master'!$F$12:$I$102,4,0),BR37-VLOOKUP($P37&amp;" | "&amp;BI$6,'Job Master'!$F$12:$I$102,4,0)-1),""),"")</f>
        <v/>
      </c>
      <c r="BL37" s="73"/>
      <c r="BM37" s="123" t="str">
        <f t="shared" si="25"/>
        <v/>
      </c>
      <c r="BN37" s="123" t="str">
        <f t="shared" si="26"/>
        <v/>
      </c>
      <c r="BO37" s="97" t="str">
        <f t="shared" ca="1" si="27"/>
        <v/>
      </c>
      <c r="BP37" s="98" t="str">
        <f>IF(BR37&lt;&gt;"",VLOOKUP($P37&amp;" | "&amp;BP$6,'Job Master'!$F$12:$J$102,5,0),"")</f>
        <v/>
      </c>
      <c r="BQ37" s="19" t="str">
        <f>IF(BR37&lt;&gt;"",VLOOKUP($P37&amp;" | "&amp;BP$6,'Job Master'!$F$12:$J$102,3,0),"")</f>
        <v/>
      </c>
      <c r="BR37" s="19" t="str">
        <f>IFERROR(IF(AND(BY37&lt;&gt;"",VLOOKUP($P37&amp;" | "&amp;BP$6,'Job Master'!$F$12:$I$102,4,0)&lt;&gt;""),IF(WEEKDAY(BY37-VLOOKUP($P37&amp;" | "&amp;BP$6,'Job Master'!$F$12:$I$102,4,0))&lt;&gt;7,BY37-VLOOKUP($P37&amp;" | "&amp;BP$6,'Job Master'!$F$12:$I$102,4,0),BY37-VLOOKUP($P37&amp;" | "&amp;BP$6,'Job Master'!$F$12:$I$102,4,0)-1),""),"")</f>
        <v/>
      </c>
      <c r="BS37" s="73"/>
      <c r="BT37" s="123" t="str">
        <f t="shared" si="28"/>
        <v/>
      </c>
      <c r="BU37" s="123" t="str">
        <f t="shared" si="29"/>
        <v/>
      </c>
      <c r="BV37" s="97" t="str">
        <f t="shared" ca="1" si="30"/>
        <v/>
      </c>
      <c r="BW37" s="98" t="str">
        <f>IF(BY37&lt;&gt;"",VLOOKUP($P37&amp;" | "&amp;BW$6,'Job Master'!$F$12:$J$102,5,0),"")</f>
        <v/>
      </c>
      <c r="BX37" s="19" t="str">
        <f>IF(BY37&lt;&gt;"",VLOOKUP($P37&amp;" | "&amp;BW$6,'Job Master'!$F$12:$J$102,3,0),"")</f>
        <v/>
      </c>
      <c r="BY37" s="19" t="str">
        <f>IFERROR(IF(AND(CF37&lt;&gt;"",VLOOKUP($P37&amp;" | "&amp;BW$6,'Job Master'!$F$12:$I$102,4,0)&lt;&gt;""),IF(WEEKDAY(CF37-VLOOKUP($P37&amp;" | "&amp;BW$6,'Job Master'!$F$12:$I$102,4,0))&lt;&gt;7,CF37-VLOOKUP($P37&amp;" | "&amp;BW$6,'Job Master'!$F$12:$I$102,4,0),CF37-VLOOKUP($P37&amp;" | "&amp;BW$6,'Job Master'!$F$12:$I$102,4,0)-1),""),"")</f>
        <v/>
      </c>
      <c r="BZ37" s="73"/>
      <c r="CA37" s="123" t="str">
        <f t="shared" si="31"/>
        <v/>
      </c>
      <c r="CB37" s="123" t="str">
        <f t="shared" si="32"/>
        <v/>
      </c>
      <c r="CC37" s="97" t="str">
        <f t="shared" ca="1" si="33"/>
        <v/>
      </c>
      <c r="CD37" s="98" t="str">
        <f>IF(CF37&lt;&gt;"",VLOOKUP($P37&amp;" | "&amp;CD$6,'Job Master'!$F$12:$J$102,5,0),"")</f>
        <v/>
      </c>
      <c r="CE37" s="19" t="str">
        <f>IF(CF37&lt;&gt;"",VLOOKUP($P37&amp;" | "&amp;CD$6,'Job Master'!$F$12:$J$102,3,0),"")</f>
        <v/>
      </c>
      <c r="CF37" s="19" t="str">
        <f>IFERROR(IF(AND(CM37&lt;&gt;"",VLOOKUP($P37&amp;" | "&amp;CD$6,'Job Master'!$F$12:$I$102,4,0)&lt;&gt;""),IF(WEEKDAY(CM37-VLOOKUP($P37&amp;" | "&amp;CD$6,'Job Master'!$F$12:$I$102,4,0))&lt;&gt;7,CM37-VLOOKUP($P37&amp;" | "&amp;CD$6,'Job Master'!$F$12:$I$102,4,0),CM37-VLOOKUP($P37&amp;" | "&amp;CD$6,'Job Master'!$F$12:$I$102,4,0)-1),""),"")</f>
        <v/>
      </c>
      <c r="CG37" s="73"/>
      <c r="CH37" s="123" t="str">
        <f t="shared" si="34"/>
        <v/>
      </c>
      <c r="CI37" s="123" t="str">
        <f t="shared" si="35"/>
        <v/>
      </c>
      <c r="CJ37" s="97" t="str">
        <f t="shared" ca="1" si="36"/>
        <v/>
      </c>
      <c r="CK37" s="98" t="str">
        <f>IF(CM37&lt;&gt;"",VLOOKUP($P37&amp;" | "&amp;CK$6,'Job Master'!$F$12:$J$102,5,0),"")</f>
        <v/>
      </c>
      <c r="CL37" s="19" t="str">
        <f>IF(CM37&lt;&gt;"",VLOOKUP($P37&amp;" | "&amp;CK$6,'Job Master'!$F$12:$J$102,3,0),"")</f>
        <v/>
      </c>
      <c r="CM37" s="19" t="str">
        <f>IFERROR(IF(AND(CT37&lt;&gt;"",VLOOKUP($P37&amp;" | "&amp;CK$6,'Job Master'!$F$12:$I$102,4,0)&lt;&gt;""),IF(WEEKDAY(CT37-VLOOKUP($P37&amp;" | "&amp;CK$6,'Job Master'!$F$12:$I$102,4,0))&lt;&gt;7,CT37-VLOOKUP($P37&amp;" | "&amp;CK$6,'Job Master'!$F$12:$I$102,4,0),CT37-VLOOKUP($P37&amp;" | "&amp;CK$6,'Job Master'!$F$12:$I$102,4,0)-1),""),"")</f>
        <v/>
      </c>
      <c r="CN37" s="73"/>
      <c r="CO37" s="123" t="str">
        <f t="shared" si="37"/>
        <v/>
      </c>
      <c r="CP37" s="123" t="str">
        <f t="shared" si="38"/>
        <v/>
      </c>
      <c r="CQ37" s="97" t="str">
        <f t="shared" ca="1" si="39"/>
        <v/>
      </c>
      <c r="CR37" s="98" t="str">
        <f>IF(CT37&lt;&gt;"",VLOOKUP($P37&amp;" | "&amp;CR$6,'Job Master'!$F$12:$J$102,5,0),"")</f>
        <v/>
      </c>
      <c r="CS37" s="19" t="str">
        <f>IF(CT37&lt;&gt;"",VLOOKUP($P37&amp;" | "&amp;CR$6,'Job Master'!$F$12:$J$102,3,0),"")</f>
        <v/>
      </c>
      <c r="CT37" s="19" t="str">
        <f>IFERROR(IF(AND(DA37&lt;&gt;"",VLOOKUP($P37&amp;" | "&amp;CR$6,'Job Master'!$F$12:$I$102,4,0)&lt;&gt;""),IF(WEEKDAY(DA37-VLOOKUP($P37&amp;" | "&amp;CR$6,'Job Master'!$F$12:$I$102,4,0))&lt;&gt;7,DA37-VLOOKUP($P37&amp;" | "&amp;CR$6,'Job Master'!$F$12:$I$102,4,0),DA37-VLOOKUP($P37&amp;" | "&amp;CR$6,'Job Master'!$F$12:$I$102,4,0)-1),""),"")</f>
        <v/>
      </c>
      <c r="CU37" s="73"/>
      <c r="CV37" s="123" t="str">
        <f t="shared" si="40"/>
        <v/>
      </c>
      <c r="CW37" s="123" t="str">
        <f t="shared" si="41"/>
        <v/>
      </c>
      <c r="CX37" s="97" t="str">
        <f t="shared" ca="1" si="42"/>
        <v/>
      </c>
      <c r="CY37" s="98" t="str">
        <f>IF(DA37&lt;&gt;"",VLOOKUP($P37&amp;" | "&amp;CY$6,'Job Master'!$F$12:$J$102,5,0),"")</f>
        <v/>
      </c>
      <c r="CZ37" s="19" t="str">
        <f>IF(DA37&lt;&gt;"",VLOOKUP($P37&amp;" | "&amp;CY$6,'Job Master'!$F$12:$J$102,3,0),"")</f>
        <v/>
      </c>
      <c r="DA37" s="19" t="str">
        <f>IFERROR(IF(AND(DH37&lt;&gt;"",VLOOKUP($P37&amp;" | "&amp;CY$6,'Job Master'!$F$12:$I$102,4,0)&lt;&gt;""),IF(WEEKDAY(DH37-VLOOKUP($P37&amp;" | "&amp;CY$6,'Job Master'!$F$12:$I$102,4,0))&lt;&gt;7,DH37-VLOOKUP($P37&amp;" | "&amp;CY$6,'Job Master'!$F$12:$I$102,4,0),DH37-VLOOKUP($P37&amp;" | "&amp;CY$6,'Job Master'!$F$12:$I$102,4,0)-1),""),"")</f>
        <v/>
      </c>
      <c r="DB37" s="73"/>
      <c r="DC37" s="123" t="str">
        <f t="shared" si="43"/>
        <v/>
      </c>
      <c r="DD37" s="123" t="str">
        <f t="shared" si="44"/>
        <v/>
      </c>
      <c r="DE37" s="97" t="str">
        <f t="shared" ca="1" si="45"/>
        <v/>
      </c>
      <c r="DF37" s="98" t="str">
        <f>IF(DH37&lt;&gt;"",VLOOKUP($P37&amp;" | "&amp;DF$6,'Job Master'!$F$12:$J$102,5,0),"")</f>
        <v/>
      </c>
      <c r="DG37" s="19" t="str">
        <f>IF(DH37&lt;&gt;"",VLOOKUP($P37&amp;" | "&amp;DF$6,'Job Master'!$F$12:$J$102,3,0),"")</f>
        <v/>
      </c>
      <c r="DH37" s="19" t="str">
        <f>IFERROR(IF(AND(DO37&lt;&gt;"",VLOOKUP($P37&amp;" | "&amp;DF$6,'Job Master'!$F$12:$I$102,4,0)&lt;&gt;""),IF(WEEKDAY(DO37-VLOOKUP($P37&amp;" | "&amp;DF$6,'Job Master'!$F$12:$I$102,4,0))&lt;&gt;7,DO37-VLOOKUP($P37&amp;" | "&amp;DF$6,'Job Master'!$F$12:$I$102,4,0),DO37-VLOOKUP($P37&amp;" | "&amp;DF$6,'Job Master'!$F$12:$I$102,4,0)-1),""),"")</f>
        <v/>
      </c>
      <c r="DI37" s="73"/>
      <c r="DJ37" s="123" t="str">
        <f t="shared" si="46"/>
        <v/>
      </c>
      <c r="DK37" s="123" t="str">
        <f t="shared" si="47"/>
        <v/>
      </c>
      <c r="DL37" s="97" t="str">
        <f t="shared" ca="1" si="48"/>
        <v/>
      </c>
      <c r="DM37" s="98" t="str">
        <f>IF(DO37&lt;&gt;"",VLOOKUP($P37&amp;" | "&amp;DM$6,'Job Master'!$F$12:$J$102,5,0),"")</f>
        <v/>
      </c>
      <c r="DN37" s="19" t="str">
        <f>IF(DO37&lt;&gt;"",VLOOKUP($P37&amp;" | "&amp;DM$6,'Job Master'!$F$12:$J$102,3,0),"")</f>
        <v/>
      </c>
      <c r="DO37" s="19" t="str">
        <f>IFERROR(IF(AND(DT37&lt;&gt;"",VLOOKUP($P37&amp;" | "&amp;DM$6,'Job Master'!$F$12:$I$102,4,0)&lt;&gt;""),IF(WEEKDAY(DT37-VLOOKUP($P37&amp;" | "&amp;DM$6,'Job Master'!$F$12:$I$102,4,0))&lt;&gt;7,DT37-VLOOKUP($P37&amp;" | "&amp;DM$6,'Job Master'!$F$12:$I$102,4,0),DT37-VLOOKUP($P37&amp;" | "&amp;DM$6,'Job Master'!$F$12:$I$102,4,0)-1),""),"")</f>
        <v/>
      </c>
      <c r="DP37" s="73"/>
      <c r="DQ37" s="123" t="str">
        <f t="shared" si="49"/>
        <v/>
      </c>
      <c r="DR37" s="123" t="str">
        <f t="shared" si="50"/>
        <v/>
      </c>
      <c r="DS37" s="97" t="str">
        <f t="shared" ca="1" si="51"/>
        <v/>
      </c>
      <c r="DT37" s="70" t="str">
        <f t="shared" si="52"/>
        <v/>
      </c>
      <c r="DU37" s="90"/>
      <c r="DV37" s="123" t="str">
        <f t="shared" si="53"/>
        <v/>
      </c>
      <c r="DW37" s="123" t="str">
        <f t="shared" si="54"/>
        <v/>
      </c>
      <c r="DX37" s="132" t="str">
        <f t="shared" ref="DX37" ca="1" si="98">IF(DT37&lt;&gt;"",IF(WEEKNUM(DT37)=WEEKNUM(TODAY()),"This Week",IF(WEEKNUM(DT37)=WEEKNUM(TODAY())+1,"Next Week",IF(WEEKNUM(DT37)=WEEKNUM(TODAY())-1,"Previous Week",""))),"")</f>
        <v/>
      </c>
      <c r="DY37" s="134" t="str">
        <f t="shared" si="56"/>
        <v/>
      </c>
      <c r="DZ37" s="95"/>
      <c r="EB37" s="8" t="str">
        <f t="shared" si="67"/>
        <v/>
      </c>
      <c r="EC37" s="8" t="str">
        <f>IF(O37&lt;&gt;"",VLOOKUP(O37,'Job Master'!$N$12:$O$18,2,0),"")</f>
        <v/>
      </c>
      <c r="ED37" s="8">
        <f t="shared" si="68"/>
        <v>19.5</v>
      </c>
      <c r="EE37" s="8">
        <f t="shared" si="69"/>
        <v>6</v>
      </c>
      <c r="EF37" s="8">
        <f t="shared" si="70"/>
        <v>-142.5</v>
      </c>
      <c r="EG37" s="8" t="str">
        <f t="shared" si="71"/>
        <v/>
      </c>
      <c r="EH37" s="8" t="str">
        <f t="shared" si="72"/>
        <v/>
      </c>
    </row>
    <row r="38" spans="2:138" x14ac:dyDescent="0.3">
      <c r="B38" s="112"/>
      <c r="C38" s="27"/>
      <c r="D38" s="7" t="str">
        <f t="shared" si="1"/>
        <v/>
      </c>
      <c r="E38" s="25"/>
      <c r="F38" s="7" t="str">
        <f t="shared" si="1"/>
        <v/>
      </c>
      <c r="G38" s="25"/>
      <c r="H38" s="7" t="str">
        <f t="shared" si="1"/>
        <v/>
      </c>
      <c r="I38" s="25"/>
      <c r="J38" s="7" t="str">
        <f t="shared" si="1"/>
        <v/>
      </c>
      <c r="K38" s="25"/>
      <c r="L38" s="7" t="str">
        <f t="shared" si="2"/>
        <v/>
      </c>
      <c r="M38" s="25"/>
      <c r="N38" s="7" t="str">
        <f t="shared" si="3"/>
        <v/>
      </c>
      <c r="O38" s="81"/>
      <c r="P38" s="81" t="str">
        <f t="shared" si="4"/>
        <v/>
      </c>
      <c r="Q38" s="81"/>
      <c r="R38" s="7" t="str">
        <f t="shared" si="5"/>
        <v/>
      </c>
      <c r="S38" s="25"/>
      <c r="T38" s="7" t="str">
        <f t="shared" si="6"/>
        <v/>
      </c>
      <c r="U38" s="25"/>
      <c r="V38" s="7" t="str">
        <f t="shared" si="7"/>
        <v/>
      </c>
      <c r="W38" s="25"/>
      <c r="X38" s="7" t="str">
        <f t="shared" si="8"/>
        <v/>
      </c>
      <c r="Y38" s="18" t="str">
        <f t="shared" si="9"/>
        <v/>
      </c>
      <c r="Z38" s="7" t="str">
        <f t="shared" si="10"/>
        <v/>
      </c>
      <c r="AA38" s="18" t="str">
        <f t="shared" si="11"/>
        <v/>
      </c>
      <c r="AB38" s="19" t="str">
        <f t="shared" si="12"/>
        <v/>
      </c>
      <c r="AC38" s="26"/>
      <c r="AD38" s="26"/>
      <c r="AE38" s="25"/>
      <c r="AF38" s="26"/>
      <c r="AG38" s="25"/>
      <c r="AH38" s="25"/>
      <c r="AI38" s="18" t="str">
        <f t="shared" si="83"/>
        <v/>
      </c>
      <c r="AJ38" s="25"/>
      <c r="AK38" s="18" t="str">
        <f t="shared" si="84"/>
        <v/>
      </c>
      <c r="AL38" s="79"/>
      <c r="AM38" s="126" t="str">
        <f t="shared" si="85"/>
        <v/>
      </c>
      <c r="AN38" s="128" t="str">
        <f>IF(AP38&lt;&gt;"",VLOOKUP($P38&amp;" | "&amp;AN$6,'Job Master'!$F$12:$J$102,5,0),"")</f>
        <v/>
      </c>
      <c r="AO38" s="19" t="str">
        <f>IF(AP38&lt;&gt;"",VLOOKUP($P38&amp;" | "&amp;AN$6,'Job Master'!$F$12:$J$102,3,0),"")</f>
        <v/>
      </c>
      <c r="AP38" s="19" t="str">
        <f>IFERROR(IF(AND(AW38&lt;&gt;"",VLOOKUP($P38&amp;" | "&amp;AN$6,'Job Master'!$F$12:$I$102,4,0)&lt;&gt;""),IF(WEEKDAY(AW38-VLOOKUP($P38&amp;" | "&amp;AN$6,'Job Master'!$F$12:$I$102,4,0))&lt;&gt;7,AW38-VLOOKUP($P38&amp;" | "&amp;AN$6,'Job Master'!$F$12:$I$102,4,0),AW38-VLOOKUP($P38&amp;" | "&amp;AN$6,'Job Master'!$F$12:$I$102,4,0)-1),""),"")</f>
        <v/>
      </c>
      <c r="AQ38" s="73"/>
      <c r="AR38" s="123" t="str">
        <f t="shared" si="16"/>
        <v/>
      </c>
      <c r="AS38" s="123" t="str">
        <f t="shared" si="17"/>
        <v/>
      </c>
      <c r="AT38" s="97" t="str">
        <f t="shared" ca="1" si="18"/>
        <v/>
      </c>
      <c r="AU38" s="98" t="str">
        <f>IF(AW38&lt;&gt;"",VLOOKUP($P38&amp;" | "&amp;AU$6,'Job Master'!$F$12:$J$102,5,0),"")</f>
        <v/>
      </c>
      <c r="AV38" s="19" t="str">
        <f>IF(AW38&lt;&gt;"",VLOOKUP($P38&amp;" | "&amp;AU$6,'Job Master'!$F$12:$J$102,3,0),"")</f>
        <v/>
      </c>
      <c r="AW38" s="19" t="str">
        <f>IFERROR(IF(AND(BD38&lt;&gt;"",VLOOKUP($P38&amp;" | "&amp;AU$6,'Job Master'!$F$12:$I$102,4,0)&lt;&gt;""),IF(WEEKDAY(BD38-VLOOKUP($P38&amp;" | "&amp;AU$6,'Job Master'!$F$12:$I$102,4,0))&lt;&gt;7,BD38-VLOOKUP($P38&amp;" | "&amp;AU$6,'Job Master'!$F$12:$I$102,4,0),BD38-VLOOKUP($P38&amp;" | "&amp;AU$6,'Job Master'!$F$12:$I$102,4,0)-1),""),"")</f>
        <v/>
      </c>
      <c r="AX38" s="73"/>
      <c r="AY38" s="123" t="str">
        <f t="shared" si="19"/>
        <v/>
      </c>
      <c r="AZ38" s="123" t="str">
        <f t="shared" si="20"/>
        <v/>
      </c>
      <c r="BA38" s="97" t="str">
        <f t="shared" ca="1" si="21"/>
        <v/>
      </c>
      <c r="BB38" s="98" t="str">
        <f>IF(BD38&lt;&gt;"",VLOOKUP($P38&amp;" | "&amp;BB$6,'Job Master'!$F$12:$J$102,5,0),"")</f>
        <v/>
      </c>
      <c r="BC38" s="19" t="str">
        <f>IF(BD38&lt;&gt;"",VLOOKUP($P38&amp;" | "&amp;BB$6,'Job Master'!$F$12:$J$102,3,0),"")</f>
        <v/>
      </c>
      <c r="BD38" s="19" t="str">
        <f>IFERROR(IF(AND(BK38&lt;&gt;"",VLOOKUP($P38&amp;" | "&amp;BB$6,'Job Master'!$F$12:$I$102,4,0)&lt;&gt;""),IF(WEEKDAY(BK38-VLOOKUP($P38&amp;" | "&amp;BB$6,'Job Master'!$F$12:$I$102,4,0))&lt;&gt;7,BK38-VLOOKUP($P38&amp;" | "&amp;BB$6,'Job Master'!$F$12:$I$102,4,0),BK38-VLOOKUP($P38&amp;" | "&amp;BB$6,'Job Master'!$F$12:$I$102,4,0)-1),""),"")</f>
        <v/>
      </c>
      <c r="BE38" s="73"/>
      <c r="BF38" s="123" t="str">
        <f t="shared" si="22"/>
        <v/>
      </c>
      <c r="BG38" s="123" t="str">
        <f t="shared" si="23"/>
        <v/>
      </c>
      <c r="BH38" s="97" t="str">
        <f t="shared" ca="1" si="24"/>
        <v/>
      </c>
      <c r="BI38" s="98" t="str">
        <f>IF(BK38&lt;&gt;"",VLOOKUP($P38&amp;" | "&amp;BI$6,'Job Master'!$F$12:$J$102,5,0),"")</f>
        <v/>
      </c>
      <c r="BJ38" s="19" t="str">
        <f>IF(BK38&lt;&gt;"",VLOOKUP($P38&amp;" | "&amp;BI$6,'Job Master'!$F$12:$J$102,3,0),"")</f>
        <v/>
      </c>
      <c r="BK38" s="19" t="str">
        <f>IFERROR(IF(AND(BR38&lt;&gt;"",VLOOKUP($P38&amp;" | "&amp;BI$6,'Job Master'!$F$12:$I$102,4,0)&lt;&gt;""),IF(WEEKDAY(BR38-VLOOKUP($P38&amp;" | "&amp;BI$6,'Job Master'!$F$12:$I$102,4,0))&lt;&gt;7,BR38-VLOOKUP($P38&amp;" | "&amp;BI$6,'Job Master'!$F$12:$I$102,4,0),BR38-VLOOKUP($P38&amp;" | "&amp;BI$6,'Job Master'!$F$12:$I$102,4,0)-1),""),"")</f>
        <v/>
      </c>
      <c r="BL38" s="73"/>
      <c r="BM38" s="123" t="str">
        <f t="shared" si="25"/>
        <v/>
      </c>
      <c r="BN38" s="123" t="str">
        <f t="shared" si="26"/>
        <v/>
      </c>
      <c r="BO38" s="97" t="str">
        <f t="shared" ca="1" si="27"/>
        <v/>
      </c>
      <c r="BP38" s="98" t="str">
        <f>IF(BR38&lt;&gt;"",VLOOKUP($P38&amp;" | "&amp;BP$6,'Job Master'!$F$12:$J$102,5,0),"")</f>
        <v/>
      </c>
      <c r="BQ38" s="19" t="str">
        <f>IF(BR38&lt;&gt;"",VLOOKUP($P38&amp;" | "&amp;BP$6,'Job Master'!$F$12:$J$102,3,0),"")</f>
        <v/>
      </c>
      <c r="BR38" s="19" t="str">
        <f>IFERROR(IF(AND(BY38&lt;&gt;"",VLOOKUP($P38&amp;" | "&amp;BP$6,'Job Master'!$F$12:$I$102,4,0)&lt;&gt;""),IF(WEEKDAY(BY38-VLOOKUP($P38&amp;" | "&amp;BP$6,'Job Master'!$F$12:$I$102,4,0))&lt;&gt;7,BY38-VLOOKUP($P38&amp;" | "&amp;BP$6,'Job Master'!$F$12:$I$102,4,0),BY38-VLOOKUP($P38&amp;" | "&amp;BP$6,'Job Master'!$F$12:$I$102,4,0)-1),""),"")</f>
        <v/>
      </c>
      <c r="BS38" s="73"/>
      <c r="BT38" s="123" t="str">
        <f t="shared" si="28"/>
        <v/>
      </c>
      <c r="BU38" s="123" t="str">
        <f t="shared" si="29"/>
        <v/>
      </c>
      <c r="BV38" s="97" t="str">
        <f t="shared" ca="1" si="30"/>
        <v/>
      </c>
      <c r="BW38" s="98" t="str">
        <f>IF(BY38&lt;&gt;"",VLOOKUP($P38&amp;" | "&amp;BW$6,'Job Master'!$F$12:$J$102,5,0),"")</f>
        <v/>
      </c>
      <c r="BX38" s="19" t="str">
        <f>IF(BY38&lt;&gt;"",VLOOKUP($P38&amp;" | "&amp;BW$6,'Job Master'!$F$12:$J$102,3,0),"")</f>
        <v/>
      </c>
      <c r="BY38" s="19" t="str">
        <f>IFERROR(IF(AND(CF38&lt;&gt;"",VLOOKUP($P38&amp;" | "&amp;BW$6,'Job Master'!$F$12:$I$102,4,0)&lt;&gt;""),IF(WEEKDAY(CF38-VLOOKUP($P38&amp;" | "&amp;BW$6,'Job Master'!$F$12:$I$102,4,0))&lt;&gt;7,CF38-VLOOKUP($P38&amp;" | "&amp;BW$6,'Job Master'!$F$12:$I$102,4,0),CF38-VLOOKUP($P38&amp;" | "&amp;BW$6,'Job Master'!$F$12:$I$102,4,0)-1),""),"")</f>
        <v/>
      </c>
      <c r="BZ38" s="73"/>
      <c r="CA38" s="123" t="str">
        <f t="shared" si="31"/>
        <v/>
      </c>
      <c r="CB38" s="123" t="str">
        <f t="shared" si="32"/>
        <v/>
      </c>
      <c r="CC38" s="97" t="str">
        <f t="shared" ca="1" si="33"/>
        <v/>
      </c>
      <c r="CD38" s="98" t="str">
        <f>IF(CF38&lt;&gt;"",VLOOKUP($P38&amp;" | "&amp;CD$6,'Job Master'!$F$12:$J$102,5,0),"")</f>
        <v/>
      </c>
      <c r="CE38" s="19" t="str">
        <f>IF(CF38&lt;&gt;"",VLOOKUP($P38&amp;" | "&amp;CD$6,'Job Master'!$F$12:$J$102,3,0),"")</f>
        <v/>
      </c>
      <c r="CF38" s="19" t="str">
        <f>IFERROR(IF(AND(CM38&lt;&gt;"",VLOOKUP($P38&amp;" | "&amp;CD$6,'Job Master'!$F$12:$I$102,4,0)&lt;&gt;""),IF(WEEKDAY(CM38-VLOOKUP($P38&amp;" | "&amp;CD$6,'Job Master'!$F$12:$I$102,4,0))&lt;&gt;7,CM38-VLOOKUP($P38&amp;" | "&amp;CD$6,'Job Master'!$F$12:$I$102,4,0),CM38-VLOOKUP($P38&amp;" | "&amp;CD$6,'Job Master'!$F$12:$I$102,4,0)-1),""),"")</f>
        <v/>
      </c>
      <c r="CG38" s="73"/>
      <c r="CH38" s="123" t="str">
        <f t="shared" si="34"/>
        <v/>
      </c>
      <c r="CI38" s="123" t="str">
        <f t="shared" si="35"/>
        <v/>
      </c>
      <c r="CJ38" s="97" t="str">
        <f t="shared" ca="1" si="36"/>
        <v/>
      </c>
      <c r="CK38" s="98" t="str">
        <f>IF(CM38&lt;&gt;"",VLOOKUP($P38&amp;" | "&amp;CK$6,'Job Master'!$F$12:$J$102,5,0),"")</f>
        <v/>
      </c>
      <c r="CL38" s="19" t="str">
        <f>IF(CM38&lt;&gt;"",VLOOKUP($P38&amp;" | "&amp;CK$6,'Job Master'!$F$12:$J$102,3,0),"")</f>
        <v/>
      </c>
      <c r="CM38" s="19" t="str">
        <f>IFERROR(IF(AND(CT38&lt;&gt;"",VLOOKUP($P38&amp;" | "&amp;CK$6,'Job Master'!$F$12:$I$102,4,0)&lt;&gt;""),IF(WEEKDAY(CT38-VLOOKUP($P38&amp;" | "&amp;CK$6,'Job Master'!$F$12:$I$102,4,0))&lt;&gt;7,CT38-VLOOKUP($P38&amp;" | "&amp;CK$6,'Job Master'!$F$12:$I$102,4,0),CT38-VLOOKUP($P38&amp;" | "&amp;CK$6,'Job Master'!$F$12:$I$102,4,0)-1),""),"")</f>
        <v/>
      </c>
      <c r="CN38" s="73"/>
      <c r="CO38" s="123" t="str">
        <f t="shared" si="37"/>
        <v/>
      </c>
      <c r="CP38" s="123" t="str">
        <f t="shared" si="38"/>
        <v/>
      </c>
      <c r="CQ38" s="97" t="str">
        <f t="shared" ca="1" si="39"/>
        <v/>
      </c>
      <c r="CR38" s="98" t="str">
        <f>IF(CT38&lt;&gt;"",VLOOKUP($P38&amp;" | "&amp;CR$6,'Job Master'!$F$12:$J$102,5,0),"")</f>
        <v/>
      </c>
      <c r="CS38" s="19" t="str">
        <f>IF(CT38&lt;&gt;"",VLOOKUP($P38&amp;" | "&amp;CR$6,'Job Master'!$F$12:$J$102,3,0),"")</f>
        <v/>
      </c>
      <c r="CT38" s="19" t="str">
        <f>IFERROR(IF(AND(DA38&lt;&gt;"",VLOOKUP($P38&amp;" | "&amp;CR$6,'Job Master'!$F$12:$I$102,4,0)&lt;&gt;""),IF(WEEKDAY(DA38-VLOOKUP($P38&amp;" | "&amp;CR$6,'Job Master'!$F$12:$I$102,4,0))&lt;&gt;7,DA38-VLOOKUP($P38&amp;" | "&amp;CR$6,'Job Master'!$F$12:$I$102,4,0),DA38-VLOOKUP($P38&amp;" | "&amp;CR$6,'Job Master'!$F$12:$I$102,4,0)-1),""),"")</f>
        <v/>
      </c>
      <c r="CU38" s="73"/>
      <c r="CV38" s="123" t="str">
        <f t="shared" si="40"/>
        <v/>
      </c>
      <c r="CW38" s="123" t="str">
        <f t="shared" si="41"/>
        <v/>
      </c>
      <c r="CX38" s="97" t="str">
        <f t="shared" ca="1" si="42"/>
        <v/>
      </c>
      <c r="CY38" s="98" t="str">
        <f>IF(DA38&lt;&gt;"",VLOOKUP($P38&amp;" | "&amp;CY$6,'Job Master'!$F$12:$J$102,5,0),"")</f>
        <v/>
      </c>
      <c r="CZ38" s="19" t="str">
        <f>IF(DA38&lt;&gt;"",VLOOKUP($P38&amp;" | "&amp;CY$6,'Job Master'!$F$12:$J$102,3,0),"")</f>
        <v/>
      </c>
      <c r="DA38" s="19" t="str">
        <f>IFERROR(IF(AND(DH38&lt;&gt;"",VLOOKUP($P38&amp;" | "&amp;CY$6,'Job Master'!$F$12:$I$102,4,0)&lt;&gt;""),IF(WEEKDAY(DH38-VLOOKUP($P38&amp;" | "&amp;CY$6,'Job Master'!$F$12:$I$102,4,0))&lt;&gt;7,DH38-VLOOKUP($P38&amp;" | "&amp;CY$6,'Job Master'!$F$12:$I$102,4,0),DH38-VLOOKUP($P38&amp;" | "&amp;CY$6,'Job Master'!$F$12:$I$102,4,0)-1),""),"")</f>
        <v/>
      </c>
      <c r="DB38" s="73"/>
      <c r="DC38" s="123" t="str">
        <f t="shared" si="43"/>
        <v/>
      </c>
      <c r="DD38" s="123" t="str">
        <f t="shared" si="44"/>
        <v/>
      </c>
      <c r="DE38" s="97" t="str">
        <f t="shared" ca="1" si="45"/>
        <v/>
      </c>
      <c r="DF38" s="98" t="str">
        <f>IF(DH38&lt;&gt;"",VLOOKUP($P38&amp;" | "&amp;DF$6,'Job Master'!$F$12:$J$102,5,0),"")</f>
        <v/>
      </c>
      <c r="DG38" s="19" t="str">
        <f>IF(DH38&lt;&gt;"",VLOOKUP($P38&amp;" | "&amp;DF$6,'Job Master'!$F$12:$J$102,3,0),"")</f>
        <v/>
      </c>
      <c r="DH38" s="19" t="str">
        <f>IFERROR(IF(AND(DO38&lt;&gt;"",VLOOKUP($P38&amp;" | "&amp;DF$6,'Job Master'!$F$12:$I$102,4,0)&lt;&gt;""),IF(WEEKDAY(DO38-VLOOKUP($P38&amp;" | "&amp;DF$6,'Job Master'!$F$12:$I$102,4,0))&lt;&gt;7,DO38-VLOOKUP($P38&amp;" | "&amp;DF$6,'Job Master'!$F$12:$I$102,4,0),DO38-VLOOKUP($P38&amp;" | "&amp;DF$6,'Job Master'!$F$12:$I$102,4,0)-1),""),"")</f>
        <v/>
      </c>
      <c r="DI38" s="73"/>
      <c r="DJ38" s="123" t="str">
        <f t="shared" si="46"/>
        <v/>
      </c>
      <c r="DK38" s="123" t="str">
        <f t="shared" si="47"/>
        <v/>
      </c>
      <c r="DL38" s="97" t="str">
        <f t="shared" ca="1" si="48"/>
        <v/>
      </c>
      <c r="DM38" s="98" t="str">
        <f>IF(DO38&lt;&gt;"",VLOOKUP($P38&amp;" | "&amp;DM$6,'Job Master'!$F$12:$J$102,5,0),"")</f>
        <v/>
      </c>
      <c r="DN38" s="19" t="str">
        <f>IF(DO38&lt;&gt;"",VLOOKUP($P38&amp;" | "&amp;DM$6,'Job Master'!$F$12:$J$102,3,0),"")</f>
        <v/>
      </c>
      <c r="DO38" s="19" t="str">
        <f>IFERROR(IF(AND(DT38&lt;&gt;"",VLOOKUP($P38&amp;" | "&amp;DM$6,'Job Master'!$F$12:$I$102,4,0)&lt;&gt;""),IF(WEEKDAY(DT38-VLOOKUP($P38&amp;" | "&amp;DM$6,'Job Master'!$F$12:$I$102,4,0))&lt;&gt;7,DT38-VLOOKUP($P38&amp;" | "&amp;DM$6,'Job Master'!$F$12:$I$102,4,0),DT38-VLOOKUP($P38&amp;" | "&amp;DM$6,'Job Master'!$F$12:$I$102,4,0)-1),""),"")</f>
        <v/>
      </c>
      <c r="DP38" s="73"/>
      <c r="DQ38" s="123" t="str">
        <f t="shared" si="49"/>
        <v/>
      </c>
      <c r="DR38" s="123" t="str">
        <f t="shared" si="50"/>
        <v/>
      </c>
      <c r="DS38" s="97" t="str">
        <f t="shared" ca="1" si="51"/>
        <v/>
      </c>
      <c r="DT38" s="70" t="str">
        <f t="shared" si="52"/>
        <v/>
      </c>
      <c r="DU38" s="90"/>
      <c r="DV38" s="123" t="str">
        <f t="shared" si="53"/>
        <v/>
      </c>
      <c r="DW38" s="123" t="str">
        <f t="shared" si="54"/>
        <v/>
      </c>
      <c r="DX38" s="132" t="str">
        <f t="shared" ref="DX38" ca="1" si="99">IF(DT38&lt;&gt;"",IF(WEEKNUM(DT38)=WEEKNUM(TODAY()),"This Week",IF(WEEKNUM(DT38)=WEEKNUM(TODAY())+1,"Next Week",IF(WEEKNUM(DT38)=WEEKNUM(TODAY())-1,"Previous Week",""))),"")</f>
        <v/>
      </c>
      <c r="DY38" s="134" t="str">
        <f t="shared" si="56"/>
        <v/>
      </c>
      <c r="DZ38" s="95"/>
      <c r="EB38" s="8" t="str">
        <f t="shared" si="67"/>
        <v/>
      </c>
      <c r="EC38" s="8" t="str">
        <f>IF(O38&lt;&gt;"",VLOOKUP(O38,'Job Master'!$N$12:$O$18,2,0),"")</f>
        <v/>
      </c>
      <c r="ED38" s="8">
        <f t="shared" si="68"/>
        <v>19.5</v>
      </c>
      <c r="EE38" s="8">
        <f t="shared" si="69"/>
        <v>6</v>
      </c>
      <c r="EF38" s="8">
        <f t="shared" si="70"/>
        <v>-148.5</v>
      </c>
      <c r="EG38" s="8" t="str">
        <f t="shared" si="71"/>
        <v/>
      </c>
      <c r="EH38" s="8" t="str">
        <f t="shared" si="72"/>
        <v/>
      </c>
    </row>
    <row r="39" spans="2:138" x14ac:dyDescent="0.3">
      <c r="B39" s="112"/>
      <c r="C39" s="27"/>
      <c r="D39" s="7" t="str">
        <f t="shared" si="1"/>
        <v/>
      </c>
      <c r="E39" s="25"/>
      <c r="F39" s="7" t="str">
        <f t="shared" si="1"/>
        <v/>
      </c>
      <c r="G39" s="25"/>
      <c r="H39" s="7" t="str">
        <f t="shared" si="1"/>
        <v/>
      </c>
      <c r="I39" s="25"/>
      <c r="J39" s="7" t="str">
        <f t="shared" si="1"/>
        <v/>
      </c>
      <c r="K39" s="25"/>
      <c r="L39" s="7" t="str">
        <f t="shared" si="2"/>
        <v/>
      </c>
      <c r="M39" s="25"/>
      <c r="N39" s="7" t="str">
        <f t="shared" si="3"/>
        <v/>
      </c>
      <c r="O39" s="81"/>
      <c r="P39" s="81" t="str">
        <f t="shared" si="4"/>
        <v/>
      </c>
      <c r="Q39" s="81"/>
      <c r="R39" s="7" t="str">
        <f t="shared" si="5"/>
        <v/>
      </c>
      <c r="S39" s="25"/>
      <c r="T39" s="7" t="str">
        <f t="shared" si="6"/>
        <v/>
      </c>
      <c r="U39" s="25"/>
      <c r="V39" s="7" t="str">
        <f t="shared" si="7"/>
        <v/>
      </c>
      <c r="W39" s="25"/>
      <c r="X39" s="7" t="str">
        <f t="shared" si="8"/>
        <v/>
      </c>
      <c r="Y39" s="18" t="str">
        <f t="shared" si="9"/>
        <v/>
      </c>
      <c r="Z39" s="7" t="str">
        <f t="shared" si="10"/>
        <v/>
      </c>
      <c r="AA39" s="18" t="str">
        <f t="shared" si="11"/>
        <v/>
      </c>
      <c r="AB39" s="19" t="str">
        <f t="shared" si="12"/>
        <v/>
      </c>
      <c r="AC39" s="26"/>
      <c r="AD39" s="26"/>
      <c r="AE39" s="25"/>
      <c r="AF39" s="26"/>
      <c r="AG39" s="25"/>
      <c r="AH39" s="25"/>
      <c r="AI39" s="18" t="str">
        <f t="shared" si="83"/>
        <v/>
      </c>
      <c r="AJ39" s="25"/>
      <c r="AK39" s="18" t="str">
        <f t="shared" si="84"/>
        <v/>
      </c>
      <c r="AL39" s="79"/>
      <c r="AM39" s="126" t="str">
        <f t="shared" si="85"/>
        <v/>
      </c>
      <c r="AN39" s="128" t="str">
        <f>IF(AP39&lt;&gt;"",VLOOKUP($P39&amp;" | "&amp;AN$6,'Job Master'!$F$12:$J$102,5,0),"")</f>
        <v/>
      </c>
      <c r="AO39" s="19" t="str">
        <f>IF(AP39&lt;&gt;"",VLOOKUP($P39&amp;" | "&amp;AN$6,'Job Master'!$F$12:$J$102,3,0),"")</f>
        <v/>
      </c>
      <c r="AP39" s="19" t="str">
        <f>IFERROR(IF(AND(AW39&lt;&gt;"",VLOOKUP($P39&amp;" | "&amp;AN$6,'Job Master'!$F$12:$I$102,4,0)&lt;&gt;""),IF(WEEKDAY(AW39-VLOOKUP($P39&amp;" | "&amp;AN$6,'Job Master'!$F$12:$I$102,4,0))&lt;&gt;7,AW39-VLOOKUP($P39&amp;" | "&amp;AN$6,'Job Master'!$F$12:$I$102,4,0),AW39-VLOOKUP($P39&amp;" | "&amp;AN$6,'Job Master'!$F$12:$I$102,4,0)-1),""),"")</f>
        <v/>
      </c>
      <c r="AQ39" s="73"/>
      <c r="AR39" s="123" t="str">
        <f t="shared" si="16"/>
        <v/>
      </c>
      <c r="AS39" s="123" t="str">
        <f t="shared" si="17"/>
        <v/>
      </c>
      <c r="AT39" s="97" t="str">
        <f t="shared" ca="1" si="18"/>
        <v/>
      </c>
      <c r="AU39" s="98" t="str">
        <f>IF(AW39&lt;&gt;"",VLOOKUP($P39&amp;" | "&amp;AU$6,'Job Master'!$F$12:$J$102,5,0),"")</f>
        <v/>
      </c>
      <c r="AV39" s="19" t="str">
        <f>IF(AW39&lt;&gt;"",VLOOKUP($P39&amp;" | "&amp;AU$6,'Job Master'!$F$12:$J$102,3,0),"")</f>
        <v/>
      </c>
      <c r="AW39" s="19" t="str">
        <f>IFERROR(IF(AND(BD39&lt;&gt;"",VLOOKUP($P39&amp;" | "&amp;AU$6,'Job Master'!$F$12:$I$102,4,0)&lt;&gt;""),IF(WEEKDAY(BD39-VLOOKUP($P39&amp;" | "&amp;AU$6,'Job Master'!$F$12:$I$102,4,0))&lt;&gt;7,BD39-VLOOKUP($P39&amp;" | "&amp;AU$6,'Job Master'!$F$12:$I$102,4,0),BD39-VLOOKUP($P39&amp;" | "&amp;AU$6,'Job Master'!$F$12:$I$102,4,0)-1),""),"")</f>
        <v/>
      </c>
      <c r="AX39" s="73"/>
      <c r="AY39" s="123" t="str">
        <f t="shared" si="19"/>
        <v/>
      </c>
      <c r="AZ39" s="123" t="str">
        <f t="shared" si="20"/>
        <v/>
      </c>
      <c r="BA39" s="97" t="str">
        <f t="shared" ca="1" si="21"/>
        <v/>
      </c>
      <c r="BB39" s="98" t="str">
        <f>IF(BD39&lt;&gt;"",VLOOKUP($P39&amp;" | "&amp;BB$6,'Job Master'!$F$12:$J$102,5,0),"")</f>
        <v/>
      </c>
      <c r="BC39" s="19" t="str">
        <f>IF(BD39&lt;&gt;"",VLOOKUP($P39&amp;" | "&amp;BB$6,'Job Master'!$F$12:$J$102,3,0),"")</f>
        <v/>
      </c>
      <c r="BD39" s="19" t="str">
        <f>IFERROR(IF(AND(BK39&lt;&gt;"",VLOOKUP($P39&amp;" | "&amp;BB$6,'Job Master'!$F$12:$I$102,4,0)&lt;&gt;""),IF(WEEKDAY(BK39-VLOOKUP($P39&amp;" | "&amp;BB$6,'Job Master'!$F$12:$I$102,4,0))&lt;&gt;7,BK39-VLOOKUP($P39&amp;" | "&amp;BB$6,'Job Master'!$F$12:$I$102,4,0),BK39-VLOOKUP($P39&amp;" | "&amp;BB$6,'Job Master'!$F$12:$I$102,4,0)-1),""),"")</f>
        <v/>
      </c>
      <c r="BE39" s="73"/>
      <c r="BF39" s="123" t="str">
        <f t="shared" si="22"/>
        <v/>
      </c>
      <c r="BG39" s="123" t="str">
        <f t="shared" si="23"/>
        <v/>
      </c>
      <c r="BH39" s="97" t="str">
        <f t="shared" ca="1" si="24"/>
        <v/>
      </c>
      <c r="BI39" s="98" t="str">
        <f>IF(BK39&lt;&gt;"",VLOOKUP($P39&amp;" | "&amp;BI$6,'Job Master'!$F$12:$J$102,5,0),"")</f>
        <v/>
      </c>
      <c r="BJ39" s="19" t="str">
        <f>IF(BK39&lt;&gt;"",VLOOKUP($P39&amp;" | "&amp;BI$6,'Job Master'!$F$12:$J$102,3,0),"")</f>
        <v/>
      </c>
      <c r="BK39" s="19" t="str">
        <f>IFERROR(IF(AND(BR39&lt;&gt;"",VLOOKUP($P39&amp;" | "&amp;BI$6,'Job Master'!$F$12:$I$102,4,0)&lt;&gt;""),IF(WEEKDAY(BR39-VLOOKUP($P39&amp;" | "&amp;BI$6,'Job Master'!$F$12:$I$102,4,0))&lt;&gt;7,BR39-VLOOKUP($P39&amp;" | "&amp;BI$6,'Job Master'!$F$12:$I$102,4,0),BR39-VLOOKUP($P39&amp;" | "&amp;BI$6,'Job Master'!$F$12:$I$102,4,0)-1),""),"")</f>
        <v/>
      </c>
      <c r="BL39" s="73"/>
      <c r="BM39" s="123" t="str">
        <f t="shared" si="25"/>
        <v/>
      </c>
      <c r="BN39" s="123" t="str">
        <f t="shared" si="26"/>
        <v/>
      </c>
      <c r="BO39" s="97" t="str">
        <f t="shared" ca="1" si="27"/>
        <v/>
      </c>
      <c r="BP39" s="98" t="str">
        <f>IF(BR39&lt;&gt;"",VLOOKUP($P39&amp;" | "&amp;BP$6,'Job Master'!$F$12:$J$102,5,0),"")</f>
        <v/>
      </c>
      <c r="BQ39" s="19" t="str">
        <f>IF(BR39&lt;&gt;"",VLOOKUP($P39&amp;" | "&amp;BP$6,'Job Master'!$F$12:$J$102,3,0),"")</f>
        <v/>
      </c>
      <c r="BR39" s="19" t="str">
        <f>IFERROR(IF(AND(BY39&lt;&gt;"",VLOOKUP($P39&amp;" | "&amp;BP$6,'Job Master'!$F$12:$I$102,4,0)&lt;&gt;""),IF(WEEKDAY(BY39-VLOOKUP($P39&amp;" | "&amp;BP$6,'Job Master'!$F$12:$I$102,4,0))&lt;&gt;7,BY39-VLOOKUP($P39&amp;" | "&amp;BP$6,'Job Master'!$F$12:$I$102,4,0),BY39-VLOOKUP($P39&amp;" | "&amp;BP$6,'Job Master'!$F$12:$I$102,4,0)-1),""),"")</f>
        <v/>
      </c>
      <c r="BS39" s="73"/>
      <c r="BT39" s="123" t="str">
        <f t="shared" si="28"/>
        <v/>
      </c>
      <c r="BU39" s="123" t="str">
        <f t="shared" si="29"/>
        <v/>
      </c>
      <c r="BV39" s="97" t="str">
        <f t="shared" ca="1" si="30"/>
        <v/>
      </c>
      <c r="BW39" s="98" t="str">
        <f>IF(BY39&lt;&gt;"",VLOOKUP($P39&amp;" | "&amp;BW$6,'Job Master'!$F$12:$J$102,5,0),"")</f>
        <v/>
      </c>
      <c r="BX39" s="19" t="str">
        <f>IF(BY39&lt;&gt;"",VLOOKUP($P39&amp;" | "&amp;BW$6,'Job Master'!$F$12:$J$102,3,0),"")</f>
        <v/>
      </c>
      <c r="BY39" s="19" t="str">
        <f>IFERROR(IF(AND(CF39&lt;&gt;"",VLOOKUP($P39&amp;" | "&amp;BW$6,'Job Master'!$F$12:$I$102,4,0)&lt;&gt;""),IF(WEEKDAY(CF39-VLOOKUP($P39&amp;" | "&amp;BW$6,'Job Master'!$F$12:$I$102,4,0))&lt;&gt;7,CF39-VLOOKUP($P39&amp;" | "&amp;BW$6,'Job Master'!$F$12:$I$102,4,0),CF39-VLOOKUP($P39&amp;" | "&amp;BW$6,'Job Master'!$F$12:$I$102,4,0)-1),""),"")</f>
        <v/>
      </c>
      <c r="BZ39" s="73"/>
      <c r="CA39" s="123" t="str">
        <f t="shared" si="31"/>
        <v/>
      </c>
      <c r="CB39" s="123" t="str">
        <f t="shared" si="32"/>
        <v/>
      </c>
      <c r="CC39" s="97" t="str">
        <f t="shared" ca="1" si="33"/>
        <v/>
      </c>
      <c r="CD39" s="98" t="str">
        <f>IF(CF39&lt;&gt;"",VLOOKUP($P39&amp;" | "&amp;CD$6,'Job Master'!$F$12:$J$102,5,0),"")</f>
        <v/>
      </c>
      <c r="CE39" s="19" t="str">
        <f>IF(CF39&lt;&gt;"",VLOOKUP($P39&amp;" | "&amp;CD$6,'Job Master'!$F$12:$J$102,3,0),"")</f>
        <v/>
      </c>
      <c r="CF39" s="19" t="str">
        <f>IFERROR(IF(AND(CM39&lt;&gt;"",VLOOKUP($P39&amp;" | "&amp;CD$6,'Job Master'!$F$12:$I$102,4,0)&lt;&gt;""),IF(WEEKDAY(CM39-VLOOKUP($P39&amp;" | "&amp;CD$6,'Job Master'!$F$12:$I$102,4,0))&lt;&gt;7,CM39-VLOOKUP($P39&amp;" | "&amp;CD$6,'Job Master'!$F$12:$I$102,4,0),CM39-VLOOKUP($P39&amp;" | "&amp;CD$6,'Job Master'!$F$12:$I$102,4,0)-1),""),"")</f>
        <v/>
      </c>
      <c r="CG39" s="73"/>
      <c r="CH39" s="123" t="str">
        <f t="shared" si="34"/>
        <v/>
      </c>
      <c r="CI39" s="123" t="str">
        <f t="shared" si="35"/>
        <v/>
      </c>
      <c r="CJ39" s="97" t="str">
        <f t="shared" ca="1" si="36"/>
        <v/>
      </c>
      <c r="CK39" s="98" t="str">
        <f>IF(CM39&lt;&gt;"",VLOOKUP($P39&amp;" | "&amp;CK$6,'Job Master'!$F$12:$J$102,5,0),"")</f>
        <v/>
      </c>
      <c r="CL39" s="19" t="str">
        <f>IF(CM39&lt;&gt;"",VLOOKUP($P39&amp;" | "&amp;CK$6,'Job Master'!$F$12:$J$102,3,0),"")</f>
        <v/>
      </c>
      <c r="CM39" s="19" t="str">
        <f>IFERROR(IF(AND(CT39&lt;&gt;"",VLOOKUP($P39&amp;" | "&amp;CK$6,'Job Master'!$F$12:$I$102,4,0)&lt;&gt;""),IF(WEEKDAY(CT39-VLOOKUP($P39&amp;" | "&amp;CK$6,'Job Master'!$F$12:$I$102,4,0))&lt;&gt;7,CT39-VLOOKUP($P39&amp;" | "&amp;CK$6,'Job Master'!$F$12:$I$102,4,0),CT39-VLOOKUP($P39&amp;" | "&amp;CK$6,'Job Master'!$F$12:$I$102,4,0)-1),""),"")</f>
        <v/>
      </c>
      <c r="CN39" s="73"/>
      <c r="CO39" s="123" t="str">
        <f t="shared" si="37"/>
        <v/>
      </c>
      <c r="CP39" s="123" t="str">
        <f t="shared" si="38"/>
        <v/>
      </c>
      <c r="CQ39" s="97" t="str">
        <f t="shared" ca="1" si="39"/>
        <v/>
      </c>
      <c r="CR39" s="98" t="str">
        <f>IF(CT39&lt;&gt;"",VLOOKUP($P39&amp;" | "&amp;CR$6,'Job Master'!$F$12:$J$102,5,0),"")</f>
        <v/>
      </c>
      <c r="CS39" s="19" t="str">
        <f>IF(CT39&lt;&gt;"",VLOOKUP($P39&amp;" | "&amp;CR$6,'Job Master'!$F$12:$J$102,3,0),"")</f>
        <v/>
      </c>
      <c r="CT39" s="19" t="str">
        <f>IFERROR(IF(AND(DA39&lt;&gt;"",VLOOKUP($P39&amp;" | "&amp;CR$6,'Job Master'!$F$12:$I$102,4,0)&lt;&gt;""),IF(WEEKDAY(DA39-VLOOKUP($P39&amp;" | "&amp;CR$6,'Job Master'!$F$12:$I$102,4,0))&lt;&gt;7,DA39-VLOOKUP($P39&amp;" | "&amp;CR$6,'Job Master'!$F$12:$I$102,4,0),DA39-VLOOKUP($P39&amp;" | "&amp;CR$6,'Job Master'!$F$12:$I$102,4,0)-1),""),"")</f>
        <v/>
      </c>
      <c r="CU39" s="73"/>
      <c r="CV39" s="123" t="str">
        <f t="shared" si="40"/>
        <v/>
      </c>
      <c r="CW39" s="123" t="str">
        <f t="shared" si="41"/>
        <v/>
      </c>
      <c r="CX39" s="97" t="str">
        <f t="shared" ca="1" si="42"/>
        <v/>
      </c>
      <c r="CY39" s="98" t="str">
        <f>IF(DA39&lt;&gt;"",VLOOKUP($P39&amp;" | "&amp;CY$6,'Job Master'!$F$12:$J$102,5,0),"")</f>
        <v/>
      </c>
      <c r="CZ39" s="19" t="str">
        <f>IF(DA39&lt;&gt;"",VLOOKUP($P39&amp;" | "&amp;CY$6,'Job Master'!$F$12:$J$102,3,0),"")</f>
        <v/>
      </c>
      <c r="DA39" s="19" t="str">
        <f>IFERROR(IF(AND(DH39&lt;&gt;"",VLOOKUP($P39&amp;" | "&amp;CY$6,'Job Master'!$F$12:$I$102,4,0)&lt;&gt;""),IF(WEEKDAY(DH39-VLOOKUP($P39&amp;" | "&amp;CY$6,'Job Master'!$F$12:$I$102,4,0))&lt;&gt;7,DH39-VLOOKUP($P39&amp;" | "&amp;CY$6,'Job Master'!$F$12:$I$102,4,0),DH39-VLOOKUP($P39&amp;" | "&amp;CY$6,'Job Master'!$F$12:$I$102,4,0)-1),""),"")</f>
        <v/>
      </c>
      <c r="DB39" s="73"/>
      <c r="DC39" s="123" t="str">
        <f t="shared" si="43"/>
        <v/>
      </c>
      <c r="DD39" s="123" t="str">
        <f t="shared" si="44"/>
        <v/>
      </c>
      <c r="DE39" s="97" t="str">
        <f t="shared" ca="1" si="45"/>
        <v/>
      </c>
      <c r="DF39" s="98" t="str">
        <f>IF(DH39&lt;&gt;"",VLOOKUP($P39&amp;" | "&amp;DF$6,'Job Master'!$F$12:$J$102,5,0),"")</f>
        <v/>
      </c>
      <c r="DG39" s="19" t="str">
        <f>IF(DH39&lt;&gt;"",VLOOKUP($P39&amp;" | "&amp;DF$6,'Job Master'!$F$12:$J$102,3,0),"")</f>
        <v/>
      </c>
      <c r="DH39" s="19" t="str">
        <f>IFERROR(IF(AND(DO39&lt;&gt;"",VLOOKUP($P39&amp;" | "&amp;DF$6,'Job Master'!$F$12:$I$102,4,0)&lt;&gt;""),IF(WEEKDAY(DO39-VLOOKUP($P39&amp;" | "&amp;DF$6,'Job Master'!$F$12:$I$102,4,0))&lt;&gt;7,DO39-VLOOKUP($P39&amp;" | "&amp;DF$6,'Job Master'!$F$12:$I$102,4,0),DO39-VLOOKUP($P39&amp;" | "&amp;DF$6,'Job Master'!$F$12:$I$102,4,0)-1),""),"")</f>
        <v/>
      </c>
      <c r="DI39" s="73"/>
      <c r="DJ39" s="123" t="str">
        <f t="shared" si="46"/>
        <v/>
      </c>
      <c r="DK39" s="123" t="str">
        <f t="shared" si="47"/>
        <v/>
      </c>
      <c r="DL39" s="97" t="str">
        <f t="shared" ca="1" si="48"/>
        <v/>
      </c>
      <c r="DM39" s="98" t="str">
        <f>IF(DO39&lt;&gt;"",VLOOKUP($P39&amp;" | "&amp;DM$6,'Job Master'!$F$12:$J$102,5,0),"")</f>
        <v/>
      </c>
      <c r="DN39" s="19" t="str">
        <f>IF(DO39&lt;&gt;"",VLOOKUP($P39&amp;" | "&amp;DM$6,'Job Master'!$F$12:$J$102,3,0),"")</f>
        <v/>
      </c>
      <c r="DO39" s="19" t="str">
        <f>IFERROR(IF(AND(DT39&lt;&gt;"",VLOOKUP($P39&amp;" | "&amp;DM$6,'Job Master'!$F$12:$I$102,4,0)&lt;&gt;""),IF(WEEKDAY(DT39-VLOOKUP($P39&amp;" | "&amp;DM$6,'Job Master'!$F$12:$I$102,4,0))&lt;&gt;7,DT39-VLOOKUP($P39&amp;" | "&amp;DM$6,'Job Master'!$F$12:$I$102,4,0),DT39-VLOOKUP($P39&amp;" | "&amp;DM$6,'Job Master'!$F$12:$I$102,4,0)-1),""),"")</f>
        <v/>
      </c>
      <c r="DP39" s="73"/>
      <c r="DQ39" s="123" t="str">
        <f t="shared" si="49"/>
        <v/>
      </c>
      <c r="DR39" s="123" t="str">
        <f t="shared" si="50"/>
        <v/>
      </c>
      <c r="DS39" s="97" t="str">
        <f t="shared" ca="1" si="51"/>
        <v/>
      </c>
      <c r="DT39" s="70" t="str">
        <f t="shared" si="52"/>
        <v/>
      </c>
      <c r="DU39" s="90"/>
      <c r="DV39" s="123" t="str">
        <f t="shared" si="53"/>
        <v/>
      </c>
      <c r="DW39" s="123" t="str">
        <f t="shared" si="54"/>
        <v/>
      </c>
      <c r="DX39" s="132" t="str">
        <f t="shared" ref="DX39" ca="1" si="100">IF(DT39&lt;&gt;"",IF(WEEKNUM(DT39)=WEEKNUM(TODAY()),"This Week",IF(WEEKNUM(DT39)=WEEKNUM(TODAY())+1,"Next Week",IF(WEEKNUM(DT39)=WEEKNUM(TODAY())-1,"Previous Week",""))),"")</f>
        <v/>
      </c>
      <c r="DY39" s="134" t="str">
        <f t="shared" si="56"/>
        <v/>
      </c>
      <c r="DZ39" s="95"/>
      <c r="EB39" s="8" t="str">
        <f t="shared" si="67"/>
        <v/>
      </c>
      <c r="EC39" s="8" t="str">
        <f>IF(O39&lt;&gt;"",VLOOKUP(O39,'Job Master'!$N$12:$O$18,2,0),"")</f>
        <v/>
      </c>
      <c r="ED39" s="8">
        <f t="shared" si="68"/>
        <v>19.5</v>
      </c>
      <c r="EE39" s="8">
        <f t="shared" si="69"/>
        <v>6</v>
      </c>
      <c r="EF39" s="8">
        <f t="shared" si="70"/>
        <v>-154.5</v>
      </c>
      <c r="EG39" s="8" t="str">
        <f t="shared" si="71"/>
        <v/>
      </c>
      <c r="EH39" s="8" t="str">
        <f t="shared" si="72"/>
        <v/>
      </c>
    </row>
    <row r="40" spans="2:138" x14ac:dyDescent="0.3">
      <c r="B40" s="112"/>
      <c r="C40" s="27"/>
      <c r="D40" s="7" t="str">
        <f t="shared" si="1"/>
        <v/>
      </c>
      <c r="E40" s="25"/>
      <c r="F40" s="7" t="str">
        <f t="shared" si="1"/>
        <v/>
      </c>
      <c r="G40" s="25"/>
      <c r="H40" s="7" t="str">
        <f t="shared" si="1"/>
        <v/>
      </c>
      <c r="I40" s="25"/>
      <c r="J40" s="7" t="str">
        <f t="shared" si="1"/>
        <v/>
      </c>
      <c r="K40" s="25"/>
      <c r="L40" s="7" t="str">
        <f t="shared" si="2"/>
        <v/>
      </c>
      <c r="M40" s="25"/>
      <c r="N40" s="7" t="str">
        <f t="shared" si="3"/>
        <v/>
      </c>
      <c r="O40" s="81"/>
      <c r="P40" s="81" t="str">
        <f t="shared" si="4"/>
        <v/>
      </c>
      <c r="Q40" s="81"/>
      <c r="R40" s="7" t="str">
        <f t="shared" si="5"/>
        <v/>
      </c>
      <c r="S40" s="25"/>
      <c r="T40" s="7" t="str">
        <f t="shared" si="6"/>
        <v/>
      </c>
      <c r="U40" s="25"/>
      <c r="V40" s="7" t="str">
        <f t="shared" si="7"/>
        <v/>
      </c>
      <c r="W40" s="25"/>
      <c r="X40" s="7" t="str">
        <f t="shared" si="8"/>
        <v/>
      </c>
      <c r="Y40" s="18" t="str">
        <f t="shared" si="9"/>
        <v/>
      </c>
      <c r="Z40" s="7" t="str">
        <f t="shared" si="10"/>
        <v/>
      </c>
      <c r="AA40" s="18" t="str">
        <f t="shared" si="11"/>
        <v/>
      </c>
      <c r="AB40" s="19" t="str">
        <f t="shared" si="12"/>
        <v/>
      </c>
      <c r="AC40" s="26"/>
      <c r="AD40" s="26"/>
      <c r="AE40" s="25"/>
      <c r="AF40" s="26"/>
      <c r="AG40" s="25"/>
      <c r="AH40" s="25"/>
      <c r="AI40" s="18" t="str">
        <f t="shared" si="83"/>
        <v/>
      </c>
      <c r="AJ40" s="25"/>
      <c r="AK40" s="18" t="str">
        <f t="shared" si="84"/>
        <v/>
      </c>
      <c r="AL40" s="79"/>
      <c r="AM40" s="126" t="str">
        <f t="shared" si="85"/>
        <v/>
      </c>
      <c r="AN40" s="128" t="str">
        <f>IF(AP40&lt;&gt;"",VLOOKUP($P40&amp;" | "&amp;AN$6,'Job Master'!$F$12:$J$102,5,0),"")</f>
        <v/>
      </c>
      <c r="AO40" s="19" t="str">
        <f>IF(AP40&lt;&gt;"",VLOOKUP($P40&amp;" | "&amp;AN$6,'Job Master'!$F$12:$J$102,3,0),"")</f>
        <v/>
      </c>
      <c r="AP40" s="19" t="str">
        <f>IFERROR(IF(AND(AW40&lt;&gt;"",VLOOKUP($P40&amp;" | "&amp;AN$6,'Job Master'!$F$12:$I$102,4,0)&lt;&gt;""),IF(WEEKDAY(AW40-VLOOKUP($P40&amp;" | "&amp;AN$6,'Job Master'!$F$12:$I$102,4,0))&lt;&gt;7,AW40-VLOOKUP($P40&amp;" | "&amp;AN$6,'Job Master'!$F$12:$I$102,4,0),AW40-VLOOKUP($P40&amp;" | "&amp;AN$6,'Job Master'!$F$12:$I$102,4,0)-1),""),"")</f>
        <v/>
      </c>
      <c r="AQ40" s="73"/>
      <c r="AR40" s="123" t="str">
        <f t="shared" si="16"/>
        <v/>
      </c>
      <c r="AS40" s="123" t="str">
        <f t="shared" si="17"/>
        <v/>
      </c>
      <c r="AT40" s="97" t="str">
        <f t="shared" ca="1" si="18"/>
        <v/>
      </c>
      <c r="AU40" s="98" t="str">
        <f>IF(AW40&lt;&gt;"",VLOOKUP($P40&amp;" | "&amp;AU$6,'Job Master'!$F$12:$J$102,5,0),"")</f>
        <v/>
      </c>
      <c r="AV40" s="19" t="str">
        <f>IF(AW40&lt;&gt;"",VLOOKUP($P40&amp;" | "&amp;AU$6,'Job Master'!$F$12:$J$102,3,0),"")</f>
        <v/>
      </c>
      <c r="AW40" s="19" t="str">
        <f>IFERROR(IF(AND(BD40&lt;&gt;"",VLOOKUP($P40&amp;" | "&amp;AU$6,'Job Master'!$F$12:$I$102,4,0)&lt;&gt;""),IF(WEEKDAY(BD40-VLOOKUP($P40&amp;" | "&amp;AU$6,'Job Master'!$F$12:$I$102,4,0))&lt;&gt;7,BD40-VLOOKUP($P40&amp;" | "&amp;AU$6,'Job Master'!$F$12:$I$102,4,0),BD40-VLOOKUP($P40&amp;" | "&amp;AU$6,'Job Master'!$F$12:$I$102,4,0)-1),""),"")</f>
        <v/>
      </c>
      <c r="AX40" s="73"/>
      <c r="AY40" s="123" t="str">
        <f t="shared" si="19"/>
        <v/>
      </c>
      <c r="AZ40" s="123" t="str">
        <f t="shared" si="20"/>
        <v/>
      </c>
      <c r="BA40" s="97" t="str">
        <f t="shared" ca="1" si="21"/>
        <v/>
      </c>
      <c r="BB40" s="98" t="str">
        <f>IF(BD40&lt;&gt;"",VLOOKUP($P40&amp;" | "&amp;BB$6,'Job Master'!$F$12:$J$102,5,0),"")</f>
        <v/>
      </c>
      <c r="BC40" s="19" t="str">
        <f>IF(BD40&lt;&gt;"",VLOOKUP($P40&amp;" | "&amp;BB$6,'Job Master'!$F$12:$J$102,3,0),"")</f>
        <v/>
      </c>
      <c r="BD40" s="19" t="str">
        <f>IFERROR(IF(AND(BK40&lt;&gt;"",VLOOKUP($P40&amp;" | "&amp;BB$6,'Job Master'!$F$12:$I$102,4,0)&lt;&gt;""),IF(WEEKDAY(BK40-VLOOKUP($P40&amp;" | "&amp;BB$6,'Job Master'!$F$12:$I$102,4,0))&lt;&gt;7,BK40-VLOOKUP($P40&amp;" | "&amp;BB$6,'Job Master'!$F$12:$I$102,4,0),BK40-VLOOKUP($P40&amp;" | "&amp;BB$6,'Job Master'!$F$12:$I$102,4,0)-1),""),"")</f>
        <v/>
      </c>
      <c r="BE40" s="73"/>
      <c r="BF40" s="123" t="str">
        <f t="shared" si="22"/>
        <v/>
      </c>
      <c r="BG40" s="123" t="str">
        <f t="shared" si="23"/>
        <v/>
      </c>
      <c r="BH40" s="97" t="str">
        <f t="shared" ca="1" si="24"/>
        <v/>
      </c>
      <c r="BI40" s="98" t="str">
        <f>IF(BK40&lt;&gt;"",VLOOKUP($P40&amp;" | "&amp;BI$6,'Job Master'!$F$12:$J$102,5,0),"")</f>
        <v/>
      </c>
      <c r="BJ40" s="19" t="str">
        <f>IF(BK40&lt;&gt;"",VLOOKUP($P40&amp;" | "&amp;BI$6,'Job Master'!$F$12:$J$102,3,0),"")</f>
        <v/>
      </c>
      <c r="BK40" s="19" t="str">
        <f>IFERROR(IF(AND(BR40&lt;&gt;"",VLOOKUP($P40&amp;" | "&amp;BI$6,'Job Master'!$F$12:$I$102,4,0)&lt;&gt;""),IF(WEEKDAY(BR40-VLOOKUP($P40&amp;" | "&amp;BI$6,'Job Master'!$F$12:$I$102,4,0))&lt;&gt;7,BR40-VLOOKUP($P40&amp;" | "&amp;BI$6,'Job Master'!$F$12:$I$102,4,0),BR40-VLOOKUP($P40&amp;" | "&amp;BI$6,'Job Master'!$F$12:$I$102,4,0)-1),""),"")</f>
        <v/>
      </c>
      <c r="BL40" s="73"/>
      <c r="BM40" s="123" t="str">
        <f t="shared" si="25"/>
        <v/>
      </c>
      <c r="BN40" s="123" t="str">
        <f t="shared" si="26"/>
        <v/>
      </c>
      <c r="BO40" s="97" t="str">
        <f t="shared" ca="1" si="27"/>
        <v/>
      </c>
      <c r="BP40" s="98" t="str">
        <f>IF(BR40&lt;&gt;"",VLOOKUP($P40&amp;" | "&amp;BP$6,'Job Master'!$F$12:$J$102,5,0),"")</f>
        <v/>
      </c>
      <c r="BQ40" s="19" t="str">
        <f>IF(BR40&lt;&gt;"",VLOOKUP($P40&amp;" | "&amp;BP$6,'Job Master'!$F$12:$J$102,3,0),"")</f>
        <v/>
      </c>
      <c r="BR40" s="19" t="str">
        <f>IFERROR(IF(AND(BY40&lt;&gt;"",VLOOKUP($P40&amp;" | "&amp;BP$6,'Job Master'!$F$12:$I$102,4,0)&lt;&gt;""),IF(WEEKDAY(BY40-VLOOKUP($P40&amp;" | "&amp;BP$6,'Job Master'!$F$12:$I$102,4,0))&lt;&gt;7,BY40-VLOOKUP($P40&amp;" | "&amp;BP$6,'Job Master'!$F$12:$I$102,4,0),BY40-VLOOKUP($P40&amp;" | "&amp;BP$6,'Job Master'!$F$12:$I$102,4,0)-1),""),"")</f>
        <v/>
      </c>
      <c r="BS40" s="73"/>
      <c r="BT40" s="123" t="str">
        <f t="shared" si="28"/>
        <v/>
      </c>
      <c r="BU40" s="123" t="str">
        <f t="shared" si="29"/>
        <v/>
      </c>
      <c r="BV40" s="97" t="str">
        <f t="shared" ca="1" si="30"/>
        <v/>
      </c>
      <c r="BW40" s="98" t="str">
        <f>IF(BY40&lt;&gt;"",VLOOKUP($P40&amp;" | "&amp;BW$6,'Job Master'!$F$12:$J$102,5,0),"")</f>
        <v/>
      </c>
      <c r="BX40" s="19" t="str">
        <f>IF(BY40&lt;&gt;"",VLOOKUP($P40&amp;" | "&amp;BW$6,'Job Master'!$F$12:$J$102,3,0),"")</f>
        <v/>
      </c>
      <c r="BY40" s="19" t="str">
        <f>IFERROR(IF(AND(CF40&lt;&gt;"",VLOOKUP($P40&amp;" | "&amp;BW$6,'Job Master'!$F$12:$I$102,4,0)&lt;&gt;""),IF(WEEKDAY(CF40-VLOOKUP($P40&amp;" | "&amp;BW$6,'Job Master'!$F$12:$I$102,4,0))&lt;&gt;7,CF40-VLOOKUP($P40&amp;" | "&amp;BW$6,'Job Master'!$F$12:$I$102,4,0),CF40-VLOOKUP($P40&amp;" | "&amp;BW$6,'Job Master'!$F$12:$I$102,4,0)-1),""),"")</f>
        <v/>
      </c>
      <c r="BZ40" s="73"/>
      <c r="CA40" s="123" t="str">
        <f t="shared" si="31"/>
        <v/>
      </c>
      <c r="CB40" s="123" t="str">
        <f t="shared" si="32"/>
        <v/>
      </c>
      <c r="CC40" s="97" t="str">
        <f t="shared" ca="1" si="33"/>
        <v/>
      </c>
      <c r="CD40" s="98" t="str">
        <f>IF(CF40&lt;&gt;"",VLOOKUP($P40&amp;" | "&amp;CD$6,'Job Master'!$F$12:$J$102,5,0),"")</f>
        <v/>
      </c>
      <c r="CE40" s="19" t="str">
        <f>IF(CF40&lt;&gt;"",VLOOKUP($P40&amp;" | "&amp;CD$6,'Job Master'!$F$12:$J$102,3,0),"")</f>
        <v/>
      </c>
      <c r="CF40" s="19" t="str">
        <f>IFERROR(IF(AND(CM40&lt;&gt;"",VLOOKUP($P40&amp;" | "&amp;CD$6,'Job Master'!$F$12:$I$102,4,0)&lt;&gt;""),IF(WEEKDAY(CM40-VLOOKUP($P40&amp;" | "&amp;CD$6,'Job Master'!$F$12:$I$102,4,0))&lt;&gt;7,CM40-VLOOKUP($P40&amp;" | "&amp;CD$6,'Job Master'!$F$12:$I$102,4,0),CM40-VLOOKUP($P40&amp;" | "&amp;CD$6,'Job Master'!$F$12:$I$102,4,0)-1),""),"")</f>
        <v/>
      </c>
      <c r="CG40" s="73"/>
      <c r="CH40" s="123" t="str">
        <f t="shared" si="34"/>
        <v/>
      </c>
      <c r="CI40" s="123" t="str">
        <f t="shared" si="35"/>
        <v/>
      </c>
      <c r="CJ40" s="97" t="str">
        <f t="shared" ca="1" si="36"/>
        <v/>
      </c>
      <c r="CK40" s="98" t="str">
        <f>IF(CM40&lt;&gt;"",VLOOKUP($P40&amp;" | "&amp;CK$6,'Job Master'!$F$12:$J$102,5,0),"")</f>
        <v/>
      </c>
      <c r="CL40" s="19" t="str">
        <f>IF(CM40&lt;&gt;"",VLOOKUP($P40&amp;" | "&amp;CK$6,'Job Master'!$F$12:$J$102,3,0),"")</f>
        <v/>
      </c>
      <c r="CM40" s="19" t="str">
        <f>IFERROR(IF(AND(CT40&lt;&gt;"",VLOOKUP($P40&amp;" | "&amp;CK$6,'Job Master'!$F$12:$I$102,4,0)&lt;&gt;""),IF(WEEKDAY(CT40-VLOOKUP($P40&amp;" | "&amp;CK$6,'Job Master'!$F$12:$I$102,4,0))&lt;&gt;7,CT40-VLOOKUP($P40&amp;" | "&amp;CK$6,'Job Master'!$F$12:$I$102,4,0),CT40-VLOOKUP($P40&amp;" | "&amp;CK$6,'Job Master'!$F$12:$I$102,4,0)-1),""),"")</f>
        <v/>
      </c>
      <c r="CN40" s="73"/>
      <c r="CO40" s="123" t="str">
        <f t="shared" si="37"/>
        <v/>
      </c>
      <c r="CP40" s="123" t="str">
        <f t="shared" si="38"/>
        <v/>
      </c>
      <c r="CQ40" s="97" t="str">
        <f t="shared" ca="1" si="39"/>
        <v/>
      </c>
      <c r="CR40" s="98" t="str">
        <f>IF(CT40&lt;&gt;"",VLOOKUP($P40&amp;" | "&amp;CR$6,'Job Master'!$F$12:$J$102,5,0),"")</f>
        <v/>
      </c>
      <c r="CS40" s="19" t="str">
        <f>IF(CT40&lt;&gt;"",VLOOKUP($P40&amp;" | "&amp;CR$6,'Job Master'!$F$12:$J$102,3,0),"")</f>
        <v/>
      </c>
      <c r="CT40" s="19" t="str">
        <f>IFERROR(IF(AND(DA40&lt;&gt;"",VLOOKUP($P40&amp;" | "&amp;CR$6,'Job Master'!$F$12:$I$102,4,0)&lt;&gt;""),IF(WEEKDAY(DA40-VLOOKUP($P40&amp;" | "&amp;CR$6,'Job Master'!$F$12:$I$102,4,0))&lt;&gt;7,DA40-VLOOKUP($P40&amp;" | "&amp;CR$6,'Job Master'!$F$12:$I$102,4,0),DA40-VLOOKUP($P40&amp;" | "&amp;CR$6,'Job Master'!$F$12:$I$102,4,0)-1),""),"")</f>
        <v/>
      </c>
      <c r="CU40" s="73"/>
      <c r="CV40" s="123" t="str">
        <f t="shared" si="40"/>
        <v/>
      </c>
      <c r="CW40" s="123" t="str">
        <f t="shared" si="41"/>
        <v/>
      </c>
      <c r="CX40" s="97" t="str">
        <f t="shared" ca="1" si="42"/>
        <v/>
      </c>
      <c r="CY40" s="98" t="str">
        <f>IF(DA40&lt;&gt;"",VLOOKUP($P40&amp;" | "&amp;CY$6,'Job Master'!$F$12:$J$102,5,0),"")</f>
        <v/>
      </c>
      <c r="CZ40" s="19" t="str">
        <f>IF(DA40&lt;&gt;"",VLOOKUP($P40&amp;" | "&amp;CY$6,'Job Master'!$F$12:$J$102,3,0),"")</f>
        <v/>
      </c>
      <c r="DA40" s="19" t="str">
        <f>IFERROR(IF(AND(DH40&lt;&gt;"",VLOOKUP($P40&amp;" | "&amp;CY$6,'Job Master'!$F$12:$I$102,4,0)&lt;&gt;""),IF(WEEKDAY(DH40-VLOOKUP($P40&amp;" | "&amp;CY$6,'Job Master'!$F$12:$I$102,4,0))&lt;&gt;7,DH40-VLOOKUP($P40&amp;" | "&amp;CY$6,'Job Master'!$F$12:$I$102,4,0),DH40-VLOOKUP($P40&amp;" | "&amp;CY$6,'Job Master'!$F$12:$I$102,4,0)-1),""),"")</f>
        <v/>
      </c>
      <c r="DB40" s="73"/>
      <c r="DC40" s="123" t="str">
        <f t="shared" si="43"/>
        <v/>
      </c>
      <c r="DD40" s="123" t="str">
        <f t="shared" si="44"/>
        <v/>
      </c>
      <c r="DE40" s="97" t="str">
        <f t="shared" ca="1" si="45"/>
        <v/>
      </c>
      <c r="DF40" s="98" t="str">
        <f>IF(DH40&lt;&gt;"",VLOOKUP($P40&amp;" | "&amp;DF$6,'Job Master'!$F$12:$J$102,5,0),"")</f>
        <v/>
      </c>
      <c r="DG40" s="19" t="str">
        <f>IF(DH40&lt;&gt;"",VLOOKUP($P40&amp;" | "&amp;DF$6,'Job Master'!$F$12:$J$102,3,0),"")</f>
        <v/>
      </c>
      <c r="DH40" s="19" t="str">
        <f>IFERROR(IF(AND(DO40&lt;&gt;"",VLOOKUP($P40&amp;" | "&amp;DF$6,'Job Master'!$F$12:$I$102,4,0)&lt;&gt;""),IF(WEEKDAY(DO40-VLOOKUP($P40&amp;" | "&amp;DF$6,'Job Master'!$F$12:$I$102,4,0))&lt;&gt;7,DO40-VLOOKUP($P40&amp;" | "&amp;DF$6,'Job Master'!$F$12:$I$102,4,0),DO40-VLOOKUP($P40&amp;" | "&amp;DF$6,'Job Master'!$F$12:$I$102,4,0)-1),""),"")</f>
        <v/>
      </c>
      <c r="DI40" s="73"/>
      <c r="DJ40" s="123" t="str">
        <f t="shared" si="46"/>
        <v/>
      </c>
      <c r="DK40" s="123" t="str">
        <f t="shared" si="47"/>
        <v/>
      </c>
      <c r="DL40" s="97" t="str">
        <f t="shared" ca="1" si="48"/>
        <v/>
      </c>
      <c r="DM40" s="98" t="str">
        <f>IF(DO40&lt;&gt;"",VLOOKUP($P40&amp;" | "&amp;DM$6,'Job Master'!$F$12:$J$102,5,0),"")</f>
        <v/>
      </c>
      <c r="DN40" s="19" t="str">
        <f>IF(DO40&lt;&gt;"",VLOOKUP($P40&amp;" | "&amp;DM$6,'Job Master'!$F$12:$J$102,3,0),"")</f>
        <v/>
      </c>
      <c r="DO40" s="19" t="str">
        <f>IFERROR(IF(AND(DT40&lt;&gt;"",VLOOKUP($P40&amp;" | "&amp;DM$6,'Job Master'!$F$12:$I$102,4,0)&lt;&gt;""),IF(WEEKDAY(DT40-VLOOKUP($P40&amp;" | "&amp;DM$6,'Job Master'!$F$12:$I$102,4,0))&lt;&gt;7,DT40-VLOOKUP($P40&amp;" | "&amp;DM$6,'Job Master'!$F$12:$I$102,4,0),DT40-VLOOKUP($P40&amp;" | "&amp;DM$6,'Job Master'!$F$12:$I$102,4,0)-1),""),"")</f>
        <v/>
      </c>
      <c r="DP40" s="73"/>
      <c r="DQ40" s="123" t="str">
        <f t="shared" si="49"/>
        <v/>
      </c>
      <c r="DR40" s="123" t="str">
        <f t="shared" si="50"/>
        <v/>
      </c>
      <c r="DS40" s="97" t="str">
        <f t="shared" ca="1" si="51"/>
        <v/>
      </c>
      <c r="DT40" s="70" t="str">
        <f t="shared" si="52"/>
        <v/>
      </c>
      <c r="DU40" s="90"/>
      <c r="DV40" s="123" t="str">
        <f t="shared" si="53"/>
        <v/>
      </c>
      <c r="DW40" s="123" t="str">
        <f t="shared" si="54"/>
        <v/>
      </c>
      <c r="DX40" s="132" t="str">
        <f t="shared" ref="DX40" ca="1" si="101">IF(DT40&lt;&gt;"",IF(WEEKNUM(DT40)=WEEKNUM(TODAY()),"This Week",IF(WEEKNUM(DT40)=WEEKNUM(TODAY())+1,"Next Week",IF(WEEKNUM(DT40)=WEEKNUM(TODAY())-1,"Previous Week",""))),"")</f>
        <v/>
      </c>
      <c r="DY40" s="134" t="str">
        <f t="shared" si="56"/>
        <v/>
      </c>
      <c r="DZ40" s="95"/>
      <c r="EB40" s="8" t="str">
        <f t="shared" si="67"/>
        <v/>
      </c>
      <c r="EC40" s="8" t="str">
        <f>IF(O40&lt;&gt;"",VLOOKUP(O40,'Job Master'!$N$12:$O$18,2,0),"")</f>
        <v/>
      </c>
      <c r="ED40" s="8">
        <f t="shared" si="68"/>
        <v>19.5</v>
      </c>
      <c r="EE40" s="8">
        <f t="shared" si="69"/>
        <v>6</v>
      </c>
      <c r="EF40" s="8">
        <f t="shared" si="70"/>
        <v>-160.5</v>
      </c>
      <c r="EG40" s="8" t="str">
        <f t="shared" si="71"/>
        <v/>
      </c>
      <c r="EH40" s="8" t="str">
        <f t="shared" si="72"/>
        <v/>
      </c>
    </row>
    <row r="41" spans="2:138" x14ac:dyDescent="0.3">
      <c r="B41" s="112"/>
      <c r="C41" s="27"/>
      <c r="D41" s="7" t="str">
        <f t="shared" si="1"/>
        <v/>
      </c>
      <c r="E41" s="25"/>
      <c r="F41" s="7" t="str">
        <f t="shared" si="1"/>
        <v/>
      </c>
      <c r="G41" s="25"/>
      <c r="H41" s="7" t="str">
        <f t="shared" si="1"/>
        <v/>
      </c>
      <c r="I41" s="25"/>
      <c r="J41" s="7" t="str">
        <f t="shared" si="1"/>
        <v/>
      </c>
      <c r="K41" s="25"/>
      <c r="L41" s="7" t="str">
        <f t="shared" si="2"/>
        <v/>
      </c>
      <c r="M41" s="25"/>
      <c r="N41" s="7" t="str">
        <f t="shared" si="3"/>
        <v/>
      </c>
      <c r="O41" s="81"/>
      <c r="P41" s="81" t="str">
        <f t="shared" si="4"/>
        <v/>
      </c>
      <c r="Q41" s="81"/>
      <c r="R41" s="7" t="str">
        <f t="shared" si="5"/>
        <v/>
      </c>
      <c r="S41" s="25"/>
      <c r="T41" s="7" t="str">
        <f t="shared" si="6"/>
        <v/>
      </c>
      <c r="U41" s="25"/>
      <c r="V41" s="7" t="str">
        <f t="shared" si="7"/>
        <v/>
      </c>
      <c r="W41" s="25"/>
      <c r="X41" s="7" t="str">
        <f t="shared" si="8"/>
        <v/>
      </c>
      <c r="Y41" s="18" t="str">
        <f t="shared" si="9"/>
        <v/>
      </c>
      <c r="Z41" s="7" t="str">
        <f t="shared" si="10"/>
        <v/>
      </c>
      <c r="AA41" s="18" t="str">
        <f t="shared" si="11"/>
        <v/>
      </c>
      <c r="AB41" s="19" t="str">
        <f t="shared" si="12"/>
        <v/>
      </c>
      <c r="AC41" s="26"/>
      <c r="AD41" s="26"/>
      <c r="AE41" s="25"/>
      <c r="AF41" s="26"/>
      <c r="AG41" s="25"/>
      <c r="AH41" s="25"/>
      <c r="AI41" s="18" t="str">
        <f t="shared" si="83"/>
        <v/>
      </c>
      <c r="AJ41" s="25"/>
      <c r="AK41" s="18" t="str">
        <f t="shared" si="84"/>
        <v/>
      </c>
      <c r="AL41" s="79"/>
      <c r="AM41" s="126" t="str">
        <f t="shared" si="85"/>
        <v/>
      </c>
      <c r="AN41" s="128" t="str">
        <f>IF(AP41&lt;&gt;"",VLOOKUP($P41&amp;" | "&amp;AN$6,'Job Master'!$F$12:$J$102,5,0),"")</f>
        <v/>
      </c>
      <c r="AO41" s="19" t="str">
        <f>IF(AP41&lt;&gt;"",VLOOKUP($P41&amp;" | "&amp;AN$6,'Job Master'!$F$12:$J$102,3,0),"")</f>
        <v/>
      </c>
      <c r="AP41" s="19" t="str">
        <f>IFERROR(IF(AND(AW41&lt;&gt;"",VLOOKUP($P41&amp;" | "&amp;AN$6,'Job Master'!$F$12:$I$102,4,0)&lt;&gt;""),IF(WEEKDAY(AW41-VLOOKUP($P41&amp;" | "&amp;AN$6,'Job Master'!$F$12:$I$102,4,0))&lt;&gt;7,AW41-VLOOKUP($P41&amp;" | "&amp;AN$6,'Job Master'!$F$12:$I$102,4,0),AW41-VLOOKUP($P41&amp;" | "&amp;AN$6,'Job Master'!$F$12:$I$102,4,0)-1),""),"")</f>
        <v/>
      </c>
      <c r="AQ41" s="73"/>
      <c r="AR41" s="123" t="str">
        <f t="shared" si="16"/>
        <v/>
      </c>
      <c r="AS41" s="123" t="str">
        <f t="shared" si="17"/>
        <v/>
      </c>
      <c r="AT41" s="97" t="str">
        <f t="shared" ca="1" si="18"/>
        <v/>
      </c>
      <c r="AU41" s="98" t="str">
        <f>IF(AW41&lt;&gt;"",VLOOKUP($P41&amp;" | "&amp;AU$6,'Job Master'!$F$12:$J$102,5,0),"")</f>
        <v/>
      </c>
      <c r="AV41" s="19" t="str">
        <f>IF(AW41&lt;&gt;"",VLOOKUP($P41&amp;" | "&amp;AU$6,'Job Master'!$F$12:$J$102,3,0),"")</f>
        <v/>
      </c>
      <c r="AW41" s="19" t="str">
        <f>IFERROR(IF(AND(BD41&lt;&gt;"",VLOOKUP($P41&amp;" | "&amp;AU$6,'Job Master'!$F$12:$I$102,4,0)&lt;&gt;""),IF(WEEKDAY(BD41-VLOOKUP($P41&amp;" | "&amp;AU$6,'Job Master'!$F$12:$I$102,4,0))&lt;&gt;7,BD41-VLOOKUP($P41&amp;" | "&amp;AU$6,'Job Master'!$F$12:$I$102,4,0),BD41-VLOOKUP($P41&amp;" | "&amp;AU$6,'Job Master'!$F$12:$I$102,4,0)-1),""),"")</f>
        <v/>
      </c>
      <c r="AX41" s="73"/>
      <c r="AY41" s="123" t="str">
        <f t="shared" si="19"/>
        <v/>
      </c>
      <c r="AZ41" s="123" t="str">
        <f t="shared" si="20"/>
        <v/>
      </c>
      <c r="BA41" s="97" t="str">
        <f t="shared" ca="1" si="21"/>
        <v/>
      </c>
      <c r="BB41" s="98" t="str">
        <f>IF(BD41&lt;&gt;"",VLOOKUP($P41&amp;" | "&amp;BB$6,'Job Master'!$F$12:$J$102,5,0),"")</f>
        <v/>
      </c>
      <c r="BC41" s="19" t="str">
        <f>IF(BD41&lt;&gt;"",VLOOKUP($P41&amp;" | "&amp;BB$6,'Job Master'!$F$12:$J$102,3,0),"")</f>
        <v/>
      </c>
      <c r="BD41" s="19" t="str">
        <f>IFERROR(IF(AND(BK41&lt;&gt;"",VLOOKUP($P41&amp;" | "&amp;BB$6,'Job Master'!$F$12:$I$102,4,0)&lt;&gt;""),IF(WEEKDAY(BK41-VLOOKUP($P41&amp;" | "&amp;BB$6,'Job Master'!$F$12:$I$102,4,0))&lt;&gt;7,BK41-VLOOKUP($P41&amp;" | "&amp;BB$6,'Job Master'!$F$12:$I$102,4,0),BK41-VLOOKUP($P41&amp;" | "&amp;BB$6,'Job Master'!$F$12:$I$102,4,0)-1),""),"")</f>
        <v/>
      </c>
      <c r="BE41" s="73"/>
      <c r="BF41" s="123" t="str">
        <f t="shared" si="22"/>
        <v/>
      </c>
      <c r="BG41" s="123" t="str">
        <f t="shared" si="23"/>
        <v/>
      </c>
      <c r="BH41" s="97" t="str">
        <f t="shared" ca="1" si="24"/>
        <v/>
      </c>
      <c r="BI41" s="98" t="str">
        <f>IF(BK41&lt;&gt;"",VLOOKUP($P41&amp;" | "&amp;BI$6,'Job Master'!$F$12:$J$102,5,0),"")</f>
        <v/>
      </c>
      <c r="BJ41" s="19" t="str">
        <f>IF(BK41&lt;&gt;"",VLOOKUP($P41&amp;" | "&amp;BI$6,'Job Master'!$F$12:$J$102,3,0),"")</f>
        <v/>
      </c>
      <c r="BK41" s="19" t="str">
        <f>IFERROR(IF(AND(BR41&lt;&gt;"",VLOOKUP($P41&amp;" | "&amp;BI$6,'Job Master'!$F$12:$I$102,4,0)&lt;&gt;""),IF(WEEKDAY(BR41-VLOOKUP($P41&amp;" | "&amp;BI$6,'Job Master'!$F$12:$I$102,4,0))&lt;&gt;7,BR41-VLOOKUP($P41&amp;" | "&amp;BI$6,'Job Master'!$F$12:$I$102,4,0),BR41-VLOOKUP($P41&amp;" | "&amp;BI$6,'Job Master'!$F$12:$I$102,4,0)-1),""),"")</f>
        <v/>
      </c>
      <c r="BL41" s="73"/>
      <c r="BM41" s="123" t="str">
        <f t="shared" si="25"/>
        <v/>
      </c>
      <c r="BN41" s="123" t="str">
        <f t="shared" si="26"/>
        <v/>
      </c>
      <c r="BO41" s="97" t="str">
        <f t="shared" ca="1" si="27"/>
        <v/>
      </c>
      <c r="BP41" s="98" t="str">
        <f>IF(BR41&lt;&gt;"",VLOOKUP($P41&amp;" | "&amp;BP$6,'Job Master'!$F$12:$J$102,5,0),"")</f>
        <v/>
      </c>
      <c r="BQ41" s="19" t="str">
        <f>IF(BR41&lt;&gt;"",VLOOKUP($P41&amp;" | "&amp;BP$6,'Job Master'!$F$12:$J$102,3,0),"")</f>
        <v/>
      </c>
      <c r="BR41" s="19" t="str">
        <f>IFERROR(IF(AND(BY41&lt;&gt;"",VLOOKUP($P41&amp;" | "&amp;BP$6,'Job Master'!$F$12:$I$102,4,0)&lt;&gt;""),IF(WEEKDAY(BY41-VLOOKUP($P41&amp;" | "&amp;BP$6,'Job Master'!$F$12:$I$102,4,0))&lt;&gt;7,BY41-VLOOKUP($P41&amp;" | "&amp;BP$6,'Job Master'!$F$12:$I$102,4,0),BY41-VLOOKUP($P41&amp;" | "&amp;BP$6,'Job Master'!$F$12:$I$102,4,0)-1),""),"")</f>
        <v/>
      </c>
      <c r="BS41" s="73"/>
      <c r="BT41" s="123" t="str">
        <f t="shared" si="28"/>
        <v/>
      </c>
      <c r="BU41" s="123" t="str">
        <f t="shared" si="29"/>
        <v/>
      </c>
      <c r="BV41" s="97" t="str">
        <f t="shared" ca="1" si="30"/>
        <v/>
      </c>
      <c r="BW41" s="98" t="str">
        <f>IF(BY41&lt;&gt;"",VLOOKUP($P41&amp;" | "&amp;BW$6,'Job Master'!$F$12:$J$102,5,0),"")</f>
        <v/>
      </c>
      <c r="BX41" s="19" t="str">
        <f>IF(BY41&lt;&gt;"",VLOOKUP($P41&amp;" | "&amp;BW$6,'Job Master'!$F$12:$J$102,3,0),"")</f>
        <v/>
      </c>
      <c r="BY41" s="19" t="str">
        <f>IFERROR(IF(AND(CF41&lt;&gt;"",VLOOKUP($P41&amp;" | "&amp;BW$6,'Job Master'!$F$12:$I$102,4,0)&lt;&gt;""),IF(WEEKDAY(CF41-VLOOKUP($P41&amp;" | "&amp;BW$6,'Job Master'!$F$12:$I$102,4,0))&lt;&gt;7,CF41-VLOOKUP($P41&amp;" | "&amp;BW$6,'Job Master'!$F$12:$I$102,4,0),CF41-VLOOKUP($P41&amp;" | "&amp;BW$6,'Job Master'!$F$12:$I$102,4,0)-1),""),"")</f>
        <v/>
      </c>
      <c r="BZ41" s="73"/>
      <c r="CA41" s="123" t="str">
        <f t="shared" si="31"/>
        <v/>
      </c>
      <c r="CB41" s="123" t="str">
        <f t="shared" si="32"/>
        <v/>
      </c>
      <c r="CC41" s="97" t="str">
        <f t="shared" ca="1" si="33"/>
        <v/>
      </c>
      <c r="CD41" s="98" t="str">
        <f>IF(CF41&lt;&gt;"",VLOOKUP($P41&amp;" | "&amp;CD$6,'Job Master'!$F$12:$J$102,5,0),"")</f>
        <v/>
      </c>
      <c r="CE41" s="19" t="str">
        <f>IF(CF41&lt;&gt;"",VLOOKUP($P41&amp;" | "&amp;CD$6,'Job Master'!$F$12:$J$102,3,0),"")</f>
        <v/>
      </c>
      <c r="CF41" s="19" t="str">
        <f>IFERROR(IF(AND(CM41&lt;&gt;"",VLOOKUP($P41&amp;" | "&amp;CD$6,'Job Master'!$F$12:$I$102,4,0)&lt;&gt;""),IF(WEEKDAY(CM41-VLOOKUP($P41&amp;" | "&amp;CD$6,'Job Master'!$F$12:$I$102,4,0))&lt;&gt;7,CM41-VLOOKUP($P41&amp;" | "&amp;CD$6,'Job Master'!$F$12:$I$102,4,0),CM41-VLOOKUP($P41&amp;" | "&amp;CD$6,'Job Master'!$F$12:$I$102,4,0)-1),""),"")</f>
        <v/>
      </c>
      <c r="CG41" s="73"/>
      <c r="CH41" s="123" t="str">
        <f t="shared" si="34"/>
        <v/>
      </c>
      <c r="CI41" s="123" t="str">
        <f t="shared" si="35"/>
        <v/>
      </c>
      <c r="CJ41" s="97" t="str">
        <f t="shared" ca="1" si="36"/>
        <v/>
      </c>
      <c r="CK41" s="98" t="str">
        <f>IF(CM41&lt;&gt;"",VLOOKUP($P41&amp;" | "&amp;CK$6,'Job Master'!$F$12:$J$102,5,0),"")</f>
        <v/>
      </c>
      <c r="CL41" s="19" t="str">
        <f>IF(CM41&lt;&gt;"",VLOOKUP($P41&amp;" | "&amp;CK$6,'Job Master'!$F$12:$J$102,3,0),"")</f>
        <v/>
      </c>
      <c r="CM41" s="19" t="str">
        <f>IFERROR(IF(AND(CT41&lt;&gt;"",VLOOKUP($P41&amp;" | "&amp;CK$6,'Job Master'!$F$12:$I$102,4,0)&lt;&gt;""),IF(WEEKDAY(CT41-VLOOKUP($P41&amp;" | "&amp;CK$6,'Job Master'!$F$12:$I$102,4,0))&lt;&gt;7,CT41-VLOOKUP($P41&amp;" | "&amp;CK$6,'Job Master'!$F$12:$I$102,4,0),CT41-VLOOKUP($P41&amp;" | "&amp;CK$6,'Job Master'!$F$12:$I$102,4,0)-1),""),"")</f>
        <v/>
      </c>
      <c r="CN41" s="73"/>
      <c r="CO41" s="123" t="str">
        <f t="shared" si="37"/>
        <v/>
      </c>
      <c r="CP41" s="123" t="str">
        <f t="shared" si="38"/>
        <v/>
      </c>
      <c r="CQ41" s="97" t="str">
        <f t="shared" ca="1" si="39"/>
        <v/>
      </c>
      <c r="CR41" s="98" t="str">
        <f>IF(CT41&lt;&gt;"",VLOOKUP($P41&amp;" | "&amp;CR$6,'Job Master'!$F$12:$J$102,5,0),"")</f>
        <v/>
      </c>
      <c r="CS41" s="19" t="str">
        <f>IF(CT41&lt;&gt;"",VLOOKUP($P41&amp;" | "&amp;CR$6,'Job Master'!$F$12:$J$102,3,0),"")</f>
        <v/>
      </c>
      <c r="CT41" s="19" t="str">
        <f>IFERROR(IF(AND(DA41&lt;&gt;"",VLOOKUP($P41&amp;" | "&amp;CR$6,'Job Master'!$F$12:$I$102,4,0)&lt;&gt;""),IF(WEEKDAY(DA41-VLOOKUP($P41&amp;" | "&amp;CR$6,'Job Master'!$F$12:$I$102,4,0))&lt;&gt;7,DA41-VLOOKUP($P41&amp;" | "&amp;CR$6,'Job Master'!$F$12:$I$102,4,0),DA41-VLOOKUP($P41&amp;" | "&amp;CR$6,'Job Master'!$F$12:$I$102,4,0)-1),""),"")</f>
        <v/>
      </c>
      <c r="CU41" s="73"/>
      <c r="CV41" s="123" t="str">
        <f t="shared" si="40"/>
        <v/>
      </c>
      <c r="CW41" s="123" t="str">
        <f t="shared" si="41"/>
        <v/>
      </c>
      <c r="CX41" s="97" t="str">
        <f t="shared" ca="1" si="42"/>
        <v/>
      </c>
      <c r="CY41" s="98" t="str">
        <f>IF(DA41&lt;&gt;"",VLOOKUP($P41&amp;" | "&amp;CY$6,'Job Master'!$F$12:$J$102,5,0),"")</f>
        <v/>
      </c>
      <c r="CZ41" s="19" t="str">
        <f>IF(DA41&lt;&gt;"",VLOOKUP($P41&amp;" | "&amp;CY$6,'Job Master'!$F$12:$J$102,3,0),"")</f>
        <v/>
      </c>
      <c r="DA41" s="19" t="str">
        <f>IFERROR(IF(AND(DH41&lt;&gt;"",VLOOKUP($P41&amp;" | "&amp;CY$6,'Job Master'!$F$12:$I$102,4,0)&lt;&gt;""),IF(WEEKDAY(DH41-VLOOKUP($P41&amp;" | "&amp;CY$6,'Job Master'!$F$12:$I$102,4,0))&lt;&gt;7,DH41-VLOOKUP($P41&amp;" | "&amp;CY$6,'Job Master'!$F$12:$I$102,4,0),DH41-VLOOKUP($P41&amp;" | "&amp;CY$6,'Job Master'!$F$12:$I$102,4,0)-1),""),"")</f>
        <v/>
      </c>
      <c r="DB41" s="73"/>
      <c r="DC41" s="123" t="str">
        <f t="shared" si="43"/>
        <v/>
      </c>
      <c r="DD41" s="123" t="str">
        <f t="shared" si="44"/>
        <v/>
      </c>
      <c r="DE41" s="97" t="str">
        <f t="shared" ca="1" si="45"/>
        <v/>
      </c>
      <c r="DF41" s="98" t="str">
        <f>IF(DH41&lt;&gt;"",VLOOKUP($P41&amp;" | "&amp;DF$6,'Job Master'!$F$12:$J$102,5,0),"")</f>
        <v/>
      </c>
      <c r="DG41" s="19" t="str">
        <f>IF(DH41&lt;&gt;"",VLOOKUP($P41&amp;" | "&amp;DF$6,'Job Master'!$F$12:$J$102,3,0),"")</f>
        <v/>
      </c>
      <c r="DH41" s="19" t="str">
        <f>IFERROR(IF(AND(DO41&lt;&gt;"",VLOOKUP($P41&amp;" | "&amp;DF$6,'Job Master'!$F$12:$I$102,4,0)&lt;&gt;""),IF(WEEKDAY(DO41-VLOOKUP($P41&amp;" | "&amp;DF$6,'Job Master'!$F$12:$I$102,4,0))&lt;&gt;7,DO41-VLOOKUP($P41&amp;" | "&amp;DF$6,'Job Master'!$F$12:$I$102,4,0),DO41-VLOOKUP($P41&amp;" | "&amp;DF$6,'Job Master'!$F$12:$I$102,4,0)-1),""),"")</f>
        <v/>
      </c>
      <c r="DI41" s="73"/>
      <c r="DJ41" s="123" t="str">
        <f t="shared" si="46"/>
        <v/>
      </c>
      <c r="DK41" s="123" t="str">
        <f t="shared" si="47"/>
        <v/>
      </c>
      <c r="DL41" s="97" t="str">
        <f t="shared" ca="1" si="48"/>
        <v/>
      </c>
      <c r="DM41" s="98" t="str">
        <f>IF(DO41&lt;&gt;"",VLOOKUP($P41&amp;" | "&amp;DM$6,'Job Master'!$F$12:$J$102,5,0),"")</f>
        <v/>
      </c>
      <c r="DN41" s="19" t="str">
        <f>IF(DO41&lt;&gt;"",VLOOKUP($P41&amp;" | "&amp;DM$6,'Job Master'!$F$12:$J$102,3,0),"")</f>
        <v/>
      </c>
      <c r="DO41" s="19" t="str">
        <f>IFERROR(IF(AND(DT41&lt;&gt;"",VLOOKUP($P41&amp;" | "&amp;DM$6,'Job Master'!$F$12:$I$102,4,0)&lt;&gt;""),IF(WEEKDAY(DT41-VLOOKUP($P41&amp;" | "&amp;DM$6,'Job Master'!$F$12:$I$102,4,0))&lt;&gt;7,DT41-VLOOKUP($P41&amp;" | "&amp;DM$6,'Job Master'!$F$12:$I$102,4,0),DT41-VLOOKUP($P41&amp;" | "&amp;DM$6,'Job Master'!$F$12:$I$102,4,0)-1),""),"")</f>
        <v/>
      </c>
      <c r="DP41" s="73"/>
      <c r="DQ41" s="123" t="str">
        <f t="shared" si="49"/>
        <v/>
      </c>
      <c r="DR41" s="123" t="str">
        <f t="shared" si="50"/>
        <v/>
      </c>
      <c r="DS41" s="97" t="str">
        <f t="shared" ca="1" si="51"/>
        <v/>
      </c>
      <c r="DT41" s="70" t="str">
        <f t="shared" si="52"/>
        <v/>
      </c>
      <c r="DU41" s="90"/>
      <c r="DV41" s="123" t="str">
        <f t="shared" si="53"/>
        <v/>
      </c>
      <c r="DW41" s="123" t="str">
        <f t="shared" si="54"/>
        <v/>
      </c>
      <c r="DX41" s="132" t="str">
        <f t="shared" ref="DX41" ca="1" si="102">IF(DT41&lt;&gt;"",IF(WEEKNUM(DT41)=WEEKNUM(TODAY()),"This Week",IF(WEEKNUM(DT41)=WEEKNUM(TODAY())+1,"Next Week",IF(WEEKNUM(DT41)=WEEKNUM(TODAY())-1,"Previous Week",""))),"")</f>
        <v/>
      </c>
      <c r="DY41" s="134" t="str">
        <f t="shared" si="56"/>
        <v/>
      </c>
      <c r="DZ41" s="95"/>
      <c r="EB41" s="8" t="str">
        <f t="shared" si="67"/>
        <v/>
      </c>
      <c r="EC41" s="8" t="str">
        <f>IF(O41&lt;&gt;"",VLOOKUP(O41,'Job Master'!$N$12:$O$18,2,0),"")</f>
        <v/>
      </c>
      <c r="ED41" s="8">
        <f t="shared" si="68"/>
        <v>19.5</v>
      </c>
      <c r="EE41" s="8">
        <f t="shared" si="69"/>
        <v>6</v>
      </c>
      <c r="EF41" s="8">
        <f t="shared" si="70"/>
        <v>-166.5</v>
      </c>
      <c r="EG41" s="8" t="str">
        <f t="shared" si="71"/>
        <v/>
      </c>
      <c r="EH41" s="8" t="str">
        <f t="shared" si="72"/>
        <v/>
      </c>
    </row>
    <row r="42" spans="2:138" x14ac:dyDescent="0.3">
      <c r="B42" s="112"/>
      <c r="C42" s="27"/>
      <c r="D42" s="7" t="str">
        <f t="shared" si="1"/>
        <v/>
      </c>
      <c r="E42" s="25"/>
      <c r="F42" s="7" t="str">
        <f t="shared" si="1"/>
        <v/>
      </c>
      <c r="G42" s="25"/>
      <c r="H42" s="7" t="str">
        <f t="shared" si="1"/>
        <v/>
      </c>
      <c r="I42" s="25"/>
      <c r="J42" s="7" t="str">
        <f t="shared" si="1"/>
        <v/>
      </c>
      <c r="K42" s="25"/>
      <c r="L42" s="7" t="str">
        <f t="shared" si="2"/>
        <v/>
      </c>
      <c r="M42" s="25"/>
      <c r="N42" s="7" t="str">
        <f t="shared" si="3"/>
        <v/>
      </c>
      <c r="O42" s="81"/>
      <c r="P42" s="81" t="str">
        <f t="shared" si="4"/>
        <v/>
      </c>
      <c r="Q42" s="81"/>
      <c r="R42" s="7" t="str">
        <f t="shared" si="5"/>
        <v/>
      </c>
      <c r="S42" s="25"/>
      <c r="T42" s="7" t="str">
        <f t="shared" si="6"/>
        <v/>
      </c>
      <c r="U42" s="25"/>
      <c r="V42" s="7" t="str">
        <f t="shared" si="7"/>
        <v/>
      </c>
      <c r="W42" s="25"/>
      <c r="X42" s="7" t="str">
        <f t="shared" si="8"/>
        <v/>
      </c>
      <c r="Y42" s="18" t="str">
        <f t="shared" si="9"/>
        <v/>
      </c>
      <c r="Z42" s="7" t="str">
        <f t="shared" si="10"/>
        <v/>
      </c>
      <c r="AA42" s="18" t="str">
        <f t="shared" si="11"/>
        <v/>
      </c>
      <c r="AB42" s="19" t="str">
        <f t="shared" si="12"/>
        <v/>
      </c>
      <c r="AC42" s="26"/>
      <c r="AD42" s="26"/>
      <c r="AE42" s="25"/>
      <c r="AF42" s="26"/>
      <c r="AG42" s="25"/>
      <c r="AH42" s="25"/>
      <c r="AI42" s="18" t="str">
        <f t="shared" si="83"/>
        <v/>
      </c>
      <c r="AJ42" s="25"/>
      <c r="AK42" s="18" t="str">
        <f t="shared" si="84"/>
        <v/>
      </c>
      <c r="AL42" s="79"/>
      <c r="AM42" s="126" t="str">
        <f t="shared" si="85"/>
        <v/>
      </c>
      <c r="AN42" s="128" t="str">
        <f>IF(AP42&lt;&gt;"",VLOOKUP($P42&amp;" | "&amp;AN$6,'Job Master'!$F$12:$J$102,5,0),"")</f>
        <v/>
      </c>
      <c r="AO42" s="19" t="str">
        <f>IF(AP42&lt;&gt;"",VLOOKUP($P42&amp;" | "&amp;AN$6,'Job Master'!$F$12:$J$102,3,0),"")</f>
        <v/>
      </c>
      <c r="AP42" s="19" t="str">
        <f>IFERROR(IF(AND(AW42&lt;&gt;"",VLOOKUP($P42&amp;" | "&amp;AN$6,'Job Master'!$F$12:$I$102,4,0)&lt;&gt;""),IF(WEEKDAY(AW42-VLOOKUP($P42&amp;" | "&amp;AN$6,'Job Master'!$F$12:$I$102,4,0))&lt;&gt;7,AW42-VLOOKUP($P42&amp;" | "&amp;AN$6,'Job Master'!$F$12:$I$102,4,0),AW42-VLOOKUP($P42&amp;" | "&amp;AN$6,'Job Master'!$F$12:$I$102,4,0)-1),""),"")</f>
        <v/>
      </c>
      <c r="AQ42" s="73"/>
      <c r="AR42" s="123" t="str">
        <f t="shared" si="16"/>
        <v/>
      </c>
      <c r="AS42" s="123" t="str">
        <f t="shared" si="17"/>
        <v/>
      </c>
      <c r="AT42" s="97" t="str">
        <f t="shared" ca="1" si="18"/>
        <v/>
      </c>
      <c r="AU42" s="98" t="str">
        <f>IF(AW42&lt;&gt;"",VLOOKUP($P42&amp;" | "&amp;AU$6,'Job Master'!$F$12:$J$102,5,0),"")</f>
        <v/>
      </c>
      <c r="AV42" s="19" t="str">
        <f>IF(AW42&lt;&gt;"",VLOOKUP($P42&amp;" | "&amp;AU$6,'Job Master'!$F$12:$J$102,3,0),"")</f>
        <v/>
      </c>
      <c r="AW42" s="19" t="str">
        <f>IFERROR(IF(AND(BD42&lt;&gt;"",VLOOKUP($P42&amp;" | "&amp;AU$6,'Job Master'!$F$12:$I$102,4,0)&lt;&gt;""),IF(WEEKDAY(BD42-VLOOKUP($P42&amp;" | "&amp;AU$6,'Job Master'!$F$12:$I$102,4,0))&lt;&gt;7,BD42-VLOOKUP($P42&amp;" | "&amp;AU$6,'Job Master'!$F$12:$I$102,4,0),BD42-VLOOKUP($P42&amp;" | "&amp;AU$6,'Job Master'!$F$12:$I$102,4,0)-1),""),"")</f>
        <v/>
      </c>
      <c r="AX42" s="73"/>
      <c r="AY42" s="123" t="str">
        <f t="shared" si="19"/>
        <v/>
      </c>
      <c r="AZ42" s="123" t="str">
        <f t="shared" si="20"/>
        <v/>
      </c>
      <c r="BA42" s="97" t="str">
        <f t="shared" ca="1" si="21"/>
        <v/>
      </c>
      <c r="BB42" s="98" t="str">
        <f>IF(BD42&lt;&gt;"",VLOOKUP($P42&amp;" | "&amp;BB$6,'Job Master'!$F$12:$J$102,5,0),"")</f>
        <v/>
      </c>
      <c r="BC42" s="19" t="str">
        <f>IF(BD42&lt;&gt;"",VLOOKUP($P42&amp;" | "&amp;BB$6,'Job Master'!$F$12:$J$102,3,0),"")</f>
        <v/>
      </c>
      <c r="BD42" s="19" t="str">
        <f>IFERROR(IF(AND(BK42&lt;&gt;"",VLOOKUP($P42&amp;" | "&amp;BB$6,'Job Master'!$F$12:$I$102,4,0)&lt;&gt;""),IF(WEEKDAY(BK42-VLOOKUP($P42&amp;" | "&amp;BB$6,'Job Master'!$F$12:$I$102,4,0))&lt;&gt;7,BK42-VLOOKUP($P42&amp;" | "&amp;BB$6,'Job Master'!$F$12:$I$102,4,0),BK42-VLOOKUP($P42&amp;" | "&amp;BB$6,'Job Master'!$F$12:$I$102,4,0)-1),""),"")</f>
        <v/>
      </c>
      <c r="BE42" s="73"/>
      <c r="BF42" s="123" t="str">
        <f t="shared" si="22"/>
        <v/>
      </c>
      <c r="BG42" s="123" t="str">
        <f t="shared" si="23"/>
        <v/>
      </c>
      <c r="BH42" s="97" t="str">
        <f t="shared" ca="1" si="24"/>
        <v/>
      </c>
      <c r="BI42" s="98" t="str">
        <f>IF(BK42&lt;&gt;"",VLOOKUP($P42&amp;" | "&amp;BI$6,'Job Master'!$F$12:$J$102,5,0),"")</f>
        <v/>
      </c>
      <c r="BJ42" s="19" t="str">
        <f>IF(BK42&lt;&gt;"",VLOOKUP($P42&amp;" | "&amp;BI$6,'Job Master'!$F$12:$J$102,3,0),"")</f>
        <v/>
      </c>
      <c r="BK42" s="19" t="str">
        <f>IFERROR(IF(AND(BR42&lt;&gt;"",VLOOKUP($P42&amp;" | "&amp;BI$6,'Job Master'!$F$12:$I$102,4,0)&lt;&gt;""),IF(WEEKDAY(BR42-VLOOKUP($P42&amp;" | "&amp;BI$6,'Job Master'!$F$12:$I$102,4,0))&lt;&gt;7,BR42-VLOOKUP($P42&amp;" | "&amp;BI$6,'Job Master'!$F$12:$I$102,4,0),BR42-VLOOKUP($P42&amp;" | "&amp;BI$6,'Job Master'!$F$12:$I$102,4,0)-1),""),"")</f>
        <v/>
      </c>
      <c r="BL42" s="73"/>
      <c r="BM42" s="123" t="str">
        <f t="shared" si="25"/>
        <v/>
      </c>
      <c r="BN42" s="123" t="str">
        <f t="shared" si="26"/>
        <v/>
      </c>
      <c r="BO42" s="97" t="str">
        <f t="shared" ca="1" si="27"/>
        <v/>
      </c>
      <c r="BP42" s="98" t="str">
        <f>IF(BR42&lt;&gt;"",VLOOKUP($P42&amp;" | "&amp;BP$6,'Job Master'!$F$12:$J$102,5,0),"")</f>
        <v/>
      </c>
      <c r="BQ42" s="19" t="str">
        <f>IF(BR42&lt;&gt;"",VLOOKUP($P42&amp;" | "&amp;BP$6,'Job Master'!$F$12:$J$102,3,0),"")</f>
        <v/>
      </c>
      <c r="BR42" s="19" t="str">
        <f>IFERROR(IF(AND(BY42&lt;&gt;"",VLOOKUP($P42&amp;" | "&amp;BP$6,'Job Master'!$F$12:$I$102,4,0)&lt;&gt;""),IF(WEEKDAY(BY42-VLOOKUP($P42&amp;" | "&amp;BP$6,'Job Master'!$F$12:$I$102,4,0))&lt;&gt;7,BY42-VLOOKUP($P42&amp;" | "&amp;BP$6,'Job Master'!$F$12:$I$102,4,0),BY42-VLOOKUP($P42&amp;" | "&amp;BP$6,'Job Master'!$F$12:$I$102,4,0)-1),""),"")</f>
        <v/>
      </c>
      <c r="BS42" s="73"/>
      <c r="BT42" s="123" t="str">
        <f t="shared" si="28"/>
        <v/>
      </c>
      <c r="BU42" s="123" t="str">
        <f t="shared" si="29"/>
        <v/>
      </c>
      <c r="BV42" s="97" t="str">
        <f t="shared" ca="1" si="30"/>
        <v/>
      </c>
      <c r="BW42" s="98" t="str">
        <f>IF(BY42&lt;&gt;"",VLOOKUP($P42&amp;" | "&amp;BW$6,'Job Master'!$F$12:$J$102,5,0),"")</f>
        <v/>
      </c>
      <c r="BX42" s="19" t="str">
        <f>IF(BY42&lt;&gt;"",VLOOKUP($P42&amp;" | "&amp;BW$6,'Job Master'!$F$12:$J$102,3,0),"")</f>
        <v/>
      </c>
      <c r="BY42" s="19" t="str">
        <f>IFERROR(IF(AND(CF42&lt;&gt;"",VLOOKUP($P42&amp;" | "&amp;BW$6,'Job Master'!$F$12:$I$102,4,0)&lt;&gt;""),IF(WEEKDAY(CF42-VLOOKUP($P42&amp;" | "&amp;BW$6,'Job Master'!$F$12:$I$102,4,0))&lt;&gt;7,CF42-VLOOKUP($P42&amp;" | "&amp;BW$6,'Job Master'!$F$12:$I$102,4,0),CF42-VLOOKUP($P42&amp;" | "&amp;BW$6,'Job Master'!$F$12:$I$102,4,0)-1),""),"")</f>
        <v/>
      </c>
      <c r="BZ42" s="73"/>
      <c r="CA42" s="123" t="str">
        <f t="shared" si="31"/>
        <v/>
      </c>
      <c r="CB42" s="123" t="str">
        <f t="shared" si="32"/>
        <v/>
      </c>
      <c r="CC42" s="97" t="str">
        <f t="shared" ca="1" si="33"/>
        <v/>
      </c>
      <c r="CD42" s="98" t="str">
        <f>IF(CF42&lt;&gt;"",VLOOKUP($P42&amp;" | "&amp;CD$6,'Job Master'!$F$12:$J$102,5,0),"")</f>
        <v/>
      </c>
      <c r="CE42" s="19" t="str">
        <f>IF(CF42&lt;&gt;"",VLOOKUP($P42&amp;" | "&amp;CD$6,'Job Master'!$F$12:$J$102,3,0),"")</f>
        <v/>
      </c>
      <c r="CF42" s="19" t="str">
        <f>IFERROR(IF(AND(CM42&lt;&gt;"",VLOOKUP($P42&amp;" | "&amp;CD$6,'Job Master'!$F$12:$I$102,4,0)&lt;&gt;""),IF(WEEKDAY(CM42-VLOOKUP($P42&amp;" | "&amp;CD$6,'Job Master'!$F$12:$I$102,4,0))&lt;&gt;7,CM42-VLOOKUP($P42&amp;" | "&amp;CD$6,'Job Master'!$F$12:$I$102,4,0),CM42-VLOOKUP($P42&amp;" | "&amp;CD$6,'Job Master'!$F$12:$I$102,4,0)-1),""),"")</f>
        <v/>
      </c>
      <c r="CG42" s="73"/>
      <c r="CH42" s="123" t="str">
        <f t="shared" si="34"/>
        <v/>
      </c>
      <c r="CI42" s="123" t="str">
        <f t="shared" si="35"/>
        <v/>
      </c>
      <c r="CJ42" s="97" t="str">
        <f t="shared" ca="1" si="36"/>
        <v/>
      </c>
      <c r="CK42" s="98" t="str">
        <f>IF(CM42&lt;&gt;"",VLOOKUP($P42&amp;" | "&amp;CK$6,'Job Master'!$F$12:$J$102,5,0),"")</f>
        <v/>
      </c>
      <c r="CL42" s="19" t="str">
        <f>IF(CM42&lt;&gt;"",VLOOKUP($P42&amp;" | "&amp;CK$6,'Job Master'!$F$12:$J$102,3,0),"")</f>
        <v/>
      </c>
      <c r="CM42" s="19" t="str">
        <f>IFERROR(IF(AND(CT42&lt;&gt;"",VLOOKUP($P42&amp;" | "&amp;CK$6,'Job Master'!$F$12:$I$102,4,0)&lt;&gt;""),IF(WEEKDAY(CT42-VLOOKUP($P42&amp;" | "&amp;CK$6,'Job Master'!$F$12:$I$102,4,0))&lt;&gt;7,CT42-VLOOKUP($P42&amp;" | "&amp;CK$6,'Job Master'!$F$12:$I$102,4,0),CT42-VLOOKUP($P42&amp;" | "&amp;CK$6,'Job Master'!$F$12:$I$102,4,0)-1),""),"")</f>
        <v/>
      </c>
      <c r="CN42" s="73"/>
      <c r="CO42" s="123" t="str">
        <f t="shared" si="37"/>
        <v/>
      </c>
      <c r="CP42" s="123" t="str">
        <f t="shared" si="38"/>
        <v/>
      </c>
      <c r="CQ42" s="97" t="str">
        <f t="shared" ca="1" si="39"/>
        <v/>
      </c>
      <c r="CR42" s="98" t="str">
        <f>IF(CT42&lt;&gt;"",VLOOKUP($P42&amp;" | "&amp;CR$6,'Job Master'!$F$12:$J$102,5,0),"")</f>
        <v/>
      </c>
      <c r="CS42" s="19" t="str">
        <f>IF(CT42&lt;&gt;"",VLOOKUP($P42&amp;" | "&amp;CR$6,'Job Master'!$F$12:$J$102,3,0),"")</f>
        <v/>
      </c>
      <c r="CT42" s="19" t="str">
        <f>IFERROR(IF(AND(DA42&lt;&gt;"",VLOOKUP($P42&amp;" | "&amp;CR$6,'Job Master'!$F$12:$I$102,4,0)&lt;&gt;""),IF(WEEKDAY(DA42-VLOOKUP($P42&amp;" | "&amp;CR$6,'Job Master'!$F$12:$I$102,4,0))&lt;&gt;7,DA42-VLOOKUP($P42&amp;" | "&amp;CR$6,'Job Master'!$F$12:$I$102,4,0),DA42-VLOOKUP($P42&amp;" | "&amp;CR$6,'Job Master'!$F$12:$I$102,4,0)-1),""),"")</f>
        <v/>
      </c>
      <c r="CU42" s="73"/>
      <c r="CV42" s="123" t="str">
        <f t="shared" si="40"/>
        <v/>
      </c>
      <c r="CW42" s="123" t="str">
        <f t="shared" si="41"/>
        <v/>
      </c>
      <c r="CX42" s="97" t="str">
        <f t="shared" ca="1" si="42"/>
        <v/>
      </c>
      <c r="CY42" s="98" t="str">
        <f>IF(DA42&lt;&gt;"",VLOOKUP($P42&amp;" | "&amp;CY$6,'Job Master'!$F$12:$J$102,5,0),"")</f>
        <v/>
      </c>
      <c r="CZ42" s="19" t="str">
        <f>IF(DA42&lt;&gt;"",VLOOKUP($P42&amp;" | "&amp;CY$6,'Job Master'!$F$12:$J$102,3,0),"")</f>
        <v/>
      </c>
      <c r="DA42" s="19" t="str">
        <f>IFERROR(IF(AND(DH42&lt;&gt;"",VLOOKUP($P42&amp;" | "&amp;CY$6,'Job Master'!$F$12:$I$102,4,0)&lt;&gt;""),IF(WEEKDAY(DH42-VLOOKUP($P42&amp;" | "&amp;CY$6,'Job Master'!$F$12:$I$102,4,0))&lt;&gt;7,DH42-VLOOKUP($P42&amp;" | "&amp;CY$6,'Job Master'!$F$12:$I$102,4,0),DH42-VLOOKUP($P42&amp;" | "&amp;CY$6,'Job Master'!$F$12:$I$102,4,0)-1),""),"")</f>
        <v/>
      </c>
      <c r="DB42" s="73"/>
      <c r="DC42" s="123" t="str">
        <f t="shared" si="43"/>
        <v/>
      </c>
      <c r="DD42" s="123" t="str">
        <f t="shared" si="44"/>
        <v/>
      </c>
      <c r="DE42" s="97" t="str">
        <f t="shared" ca="1" si="45"/>
        <v/>
      </c>
      <c r="DF42" s="98" t="str">
        <f>IF(DH42&lt;&gt;"",VLOOKUP($P42&amp;" | "&amp;DF$6,'Job Master'!$F$12:$J$102,5,0),"")</f>
        <v/>
      </c>
      <c r="DG42" s="19" t="str">
        <f>IF(DH42&lt;&gt;"",VLOOKUP($P42&amp;" | "&amp;DF$6,'Job Master'!$F$12:$J$102,3,0),"")</f>
        <v/>
      </c>
      <c r="DH42" s="19" t="str">
        <f>IFERROR(IF(AND(DO42&lt;&gt;"",VLOOKUP($P42&amp;" | "&amp;DF$6,'Job Master'!$F$12:$I$102,4,0)&lt;&gt;""),IF(WEEKDAY(DO42-VLOOKUP($P42&amp;" | "&amp;DF$6,'Job Master'!$F$12:$I$102,4,0))&lt;&gt;7,DO42-VLOOKUP($P42&amp;" | "&amp;DF$6,'Job Master'!$F$12:$I$102,4,0),DO42-VLOOKUP($P42&amp;" | "&amp;DF$6,'Job Master'!$F$12:$I$102,4,0)-1),""),"")</f>
        <v/>
      </c>
      <c r="DI42" s="73"/>
      <c r="DJ42" s="123" t="str">
        <f t="shared" si="46"/>
        <v/>
      </c>
      <c r="DK42" s="123" t="str">
        <f t="shared" si="47"/>
        <v/>
      </c>
      <c r="DL42" s="97" t="str">
        <f t="shared" ca="1" si="48"/>
        <v/>
      </c>
      <c r="DM42" s="98" t="str">
        <f>IF(DO42&lt;&gt;"",VLOOKUP($P42&amp;" | "&amp;DM$6,'Job Master'!$F$12:$J$102,5,0),"")</f>
        <v/>
      </c>
      <c r="DN42" s="19" t="str">
        <f>IF(DO42&lt;&gt;"",VLOOKUP($P42&amp;" | "&amp;DM$6,'Job Master'!$F$12:$J$102,3,0),"")</f>
        <v/>
      </c>
      <c r="DO42" s="19" t="str">
        <f>IFERROR(IF(AND(DT42&lt;&gt;"",VLOOKUP($P42&amp;" | "&amp;DM$6,'Job Master'!$F$12:$I$102,4,0)&lt;&gt;""),IF(WEEKDAY(DT42-VLOOKUP($P42&amp;" | "&amp;DM$6,'Job Master'!$F$12:$I$102,4,0))&lt;&gt;7,DT42-VLOOKUP($P42&amp;" | "&amp;DM$6,'Job Master'!$F$12:$I$102,4,0),DT42-VLOOKUP($P42&amp;" | "&amp;DM$6,'Job Master'!$F$12:$I$102,4,0)-1),""),"")</f>
        <v/>
      </c>
      <c r="DP42" s="73"/>
      <c r="DQ42" s="123" t="str">
        <f t="shared" si="49"/>
        <v/>
      </c>
      <c r="DR42" s="123" t="str">
        <f t="shared" si="50"/>
        <v/>
      </c>
      <c r="DS42" s="97" t="str">
        <f t="shared" ca="1" si="51"/>
        <v/>
      </c>
      <c r="DT42" s="70" t="str">
        <f t="shared" si="52"/>
        <v/>
      </c>
      <c r="DU42" s="90"/>
      <c r="DV42" s="123" t="str">
        <f t="shared" si="53"/>
        <v/>
      </c>
      <c r="DW42" s="123" t="str">
        <f t="shared" si="54"/>
        <v/>
      </c>
      <c r="DX42" s="132" t="str">
        <f t="shared" ref="DX42" ca="1" si="103">IF(DT42&lt;&gt;"",IF(WEEKNUM(DT42)=WEEKNUM(TODAY()),"This Week",IF(WEEKNUM(DT42)=WEEKNUM(TODAY())+1,"Next Week",IF(WEEKNUM(DT42)=WEEKNUM(TODAY())-1,"Previous Week",""))),"")</f>
        <v/>
      </c>
      <c r="DY42" s="134" t="str">
        <f t="shared" si="56"/>
        <v/>
      </c>
      <c r="DZ42" s="95"/>
      <c r="EB42" s="8" t="str">
        <f t="shared" si="67"/>
        <v/>
      </c>
      <c r="EC42" s="8" t="str">
        <f>IF(O42&lt;&gt;"",VLOOKUP(O42,'Job Master'!$N$12:$O$18,2,0),"")</f>
        <v/>
      </c>
      <c r="ED42" s="8">
        <f t="shared" si="68"/>
        <v>19.5</v>
      </c>
      <c r="EE42" s="8">
        <f t="shared" si="69"/>
        <v>6</v>
      </c>
      <c r="EF42" s="8">
        <f t="shared" si="70"/>
        <v>-172.5</v>
      </c>
      <c r="EG42" s="8" t="str">
        <f t="shared" si="71"/>
        <v/>
      </c>
      <c r="EH42" s="8" t="str">
        <f t="shared" si="72"/>
        <v/>
      </c>
    </row>
    <row r="43" spans="2:138" x14ac:dyDescent="0.3">
      <c r="B43" s="112"/>
      <c r="C43" s="27"/>
      <c r="D43" s="7" t="str">
        <f t="shared" si="1"/>
        <v/>
      </c>
      <c r="E43" s="25"/>
      <c r="F43" s="7" t="str">
        <f t="shared" si="1"/>
        <v/>
      </c>
      <c r="G43" s="25"/>
      <c r="H43" s="7" t="str">
        <f t="shared" si="1"/>
        <v/>
      </c>
      <c r="I43" s="25"/>
      <c r="J43" s="7" t="str">
        <f t="shared" si="1"/>
        <v/>
      </c>
      <c r="K43" s="25"/>
      <c r="L43" s="7" t="str">
        <f t="shared" si="2"/>
        <v/>
      </c>
      <c r="M43" s="25"/>
      <c r="N43" s="7" t="str">
        <f t="shared" si="3"/>
        <v/>
      </c>
      <c r="O43" s="81"/>
      <c r="P43" s="81" t="str">
        <f t="shared" si="4"/>
        <v/>
      </c>
      <c r="Q43" s="81"/>
      <c r="R43" s="7" t="str">
        <f t="shared" si="5"/>
        <v/>
      </c>
      <c r="S43" s="25"/>
      <c r="T43" s="7" t="str">
        <f t="shared" si="6"/>
        <v/>
      </c>
      <c r="U43" s="25"/>
      <c r="V43" s="7" t="str">
        <f t="shared" si="7"/>
        <v/>
      </c>
      <c r="W43" s="25"/>
      <c r="X43" s="7" t="str">
        <f t="shared" si="8"/>
        <v/>
      </c>
      <c r="Y43" s="18" t="str">
        <f t="shared" si="9"/>
        <v/>
      </c>
      <c r="Z43" s="7" t="str">
        <f t="shared" si="10"/>
        <v/>
      </c>
      <c r="AA43" s="18" t="str">
        <f t="shared" si="11"/>
        <v/>
      </c>
      <c r="AB43" s="19" t="str">
        <f t="shared" si="12"/>
        <v/>
      </c>
      <c r="AC43" s="26"/>
      <c r="AD43" s="26"/>
      <c r="AE43" s="25"/>
      <c r="AF43" s="26"/>
      <c r="AG43" s="25"/>
      <c r="AH43" s="25"/>
      <c r="AI43" s="18" t="str">
        <f t="shared" si="83"/>
        <v/>
      </c>
      <c r="AJ43" s="25"/>
      <c r="AK43" s="18" t="str">
        <f t="shared" si="84"/>
        <v/>
      </c>
      <c r="AL43" s="79"/>
      <c r="AM43" s="126" t="str">
        <f t="shared" si="85"/>
        <v/>
      </c>
      <c r="AN43" s="128" t="str">
        <f>IF(AP43&lt;&gt;"",VLOOKUP($P43&amp;" | "&amp;AN$6,'Job Master'!$F$12:$J$102,5,0),"")</f>
        <v/>
      </c>
      <c r="AO43" s="19" t="str">
        <f>IF(AP43&lt;&gt;"",VLOOKUP($P43&amp;" | "&amp;AN$6,'Job Master'!$F$12:$J$102,3,0),"")</f>
        <v/>
      </c>
      <c r="AP43" s="19" t="str">
        <f>IFERROR(IF(AND(AW43&lt;&gt;"",VLOOKUP($P43&amp;" | "&amp;AN$6,'Job Master'!$F$12:$I$102,4,0)&lt;&gt;""),IF(WEEKDAY(AW43-VLOOKUP($P43&amp;" | "&amp;AN$6,'Job Master'!$F$12:$I$102,4,0))&lt;&gt;7,AW43-VLOOKUP($P43&amp;" | "&amp;AN$6,'Job Master'!$F$12:$I$102,4,0),AW43-VLOOKUP($P43&amp;" | "&amp;AN$6,'Job Master'!$F$12:$I$102,4,0)-1),""),"")</f>
        <v/>
      </c>
      <c r="AQ43" s="73"/>
      <c r="AR43" s="123" t="str">
        <f t="shared" si="16"/>
        <v/>
      </c>
      <c r="AS43" s="123" t="str">
        <f t="shared" si="17"/>
        <v/>
      </c>
      <c r="AT43" s="97" t="str">
        <f t="shared" ca="1" si="18"/>
        <v/>
      </c>
      <c r="AU43" s="98" t="str">
        <f>IF(AW43&lt;&gt;"",VLOOKUP($P43&amp;" | "&amp;AU$6,'Job Master'!$F$12:$J$102,5,0),"")</f>
        <v/>
      </c>
      <c r="AV43" s="19" t="str">
        <f>IF(AW43&lt;&gt;"",VLOOKUP($P43&amp;" | "&amp;AU$6,'Job Master'!$F$12:$J$102,3,0),"")</f>
        <v/>
      </c>
      <c r="AW43" s="19" t="str">
        <f>IFERROR(IF(AND(BD43&lt;&gt;"",VLOOKUP($P43&amp;" | "&amp;AU$6,'Job Master'!$F$12:$I$102,4,0)&lt;&gt;""),IF(WEEKDAY(BD43-VLOOKUP($P43&amp;" | "&amp;AU$6,'Job Master'!$F$12:$I$102,4,0))&lt;&gt;7,BD43-VLOOKUP($P43&amp;" | "&amp;AU$6,'Job Master'!$F$12:$I$102,4,0),BD43-VLOOKUP($P43&amp;" | "&amp;AU$6,'Job Master'!$F$12:$I$102,4,0)-1),""),"")</f>
        <v/>
      </c>
      <c r="AX43" s="73"/>
      <c r="AY43" s="123" t="str">
        <f t="shared" si="19"/>
        <v/>
      </c>
      <c r="AZ43" s="123" t="str">
        <f t="shared" si="20"/>
        <v/>
      </c>
      <c r="BA43" s="97" t="str">
        <f t="shared" ca="1" si="21"/>
        <v/>
      </c>
      <c r="BB43" s="98" t="str">
        <f>IF(BD43&lt;&gt;"",VLOOKUP($P43&amp;" | "&amp;BB$6,'Job Master'!$F$12:$J$102,5,0),"")</f>
        <v/>
      </c>
      <c r="BC43" s="19" t="str">
        <f>IF(BD43&lt;&gt;"",VLOOKUP($P43&amp;" | "&amp;BB$6,'Job Master'!$F$12:$J$102,3,0),"")</f>
        <v/>
      </c>
      <c r="BD43" s="19" t="str">
        <f>IFERROR(IF(AND(BK43&lt;&gt;"",VLOOKUP($P43&amp;" | "&amp;BB$6,'Job Master'!$F$12:$I$102,4,0)&lt;&gt;""),IF(WEEKDAY(BK43-VLOOKUP($P43&amp;" | "&amp;BB$6,'Job Master'!$F$12:$I$102,4,0))&lt;&gt;7,BK43-VLOOKUP($P43&amp;" | "&amp;BB$6,'Job Master'!$F$12:$I$102,4,0),BK43-VLOOKUP($P43&amp;" | "&amp;BB$6,'Job Master'!$F$12:$I$102,4,0)-1),""),"")</f>
        <v/>
      </c>
      <c r="BE43" s="73"/>
      <c r="BF43" s="123" t="str">
        <f t="shared" si="22"/>
        <v/>
      </c>
      <c r="BG43" s="123" t="str">
        <f t="shared" si="23"/>
        <v/>
      </c>
      <c r="BH43" s="97" t="str">
        <f t="shared" ca="1" si="24"/>
        <v/>
      </c>
      <c r="BI43" s="98" t="str">
        <f>IF(BK43&lt;&gt;"",VLOOKUP($P43&amp;" | "&amp;BI$6,'Job Master'!$F$12:$J$102,5,0),"")</f>
        <v/>
      </c>
      <c r="BJ43" s="19" t="str">
        <f>IF(BK43&lt;&gt;"",VLOOKUP($P43&amp;" | "&amp;BI$6,'Job Master'!$F$12:$J$102,3,0),"")</f>
        <v/>
      </c>
      <c r="BK43" s="19" t="str">
        <f>IFERROR(IF(AND(BR43&lt;&gt;"",VLOOKUP($P43&amp;" | "&amp;BI$6,'Job Master'!$F$12:$I$102,4,0)&lt;&gt;""),IF(WEEKDAY(BR43-VLOOKUP($P43&amp;" | "&amp;BI$6,'Job Master'!$F$12:$I$102,4,0))&lt;&gt;7,BR43-VLOOKUP($P43&amp;" | "&amp;BI$6,'Job Master'!$F$12:$I$102,4,0),BR43-VLOOKUP($P43&amp;" | "&amp;BI$6,'Job Master'!$F$12:$I$102,4,0)-1),""),"")</f>
        <v/>
      </c>
      <c r="BL43" s="73"/>
      <c r="BM43" s="123" t="str">
        <f t="shared" si="25"/>
        <v/>
      </c>
      <c r="BN43" s="123" t="str">
        <f t="shared" si="26"/>
        <v/>
      </c>
      <c r="BO43" s="97" t="str">
        <f t="shared" ca="1" si="27"/>
        <v/>
      </c>
      <c r="BP43" s="98" t="str">
        <f>IF(BR43&lt;&gt;"",VLOOKUP($P43&amp;" | "&amp;BP$6,'Job Master'!$F$12:$J$102,5,0),"")</f>
        <v/>
      </c>
      <c r="BQ43" s="19" t="str">
        <f>IF(BR43&lt;&gt;"",VLOOKUP($P43&amp;" | "&amp;BP$6,'Job Master'!$F$12:$J$102,3,0),"")</f>
        <v/>
      </c>
      <c r="BR43" s="19" t="str">
        <f>IFERROR(IF(AND(BY43&lt;&gt;"",VLOOKUP($P43&amp;" | "&amp;BP$6,'Job Master'!$F$12:$I$102,4,0)&lt;&gt;""),IF(WEEKDAY(BY43-VLOOKUP($P43&amp;" | "&amp;BP$6,'Job Master'!$F$12:$I$102,4,0))&lt;&gt;7,BY43-VLOOKUP($P43&amp;" | "&amp;BP$6,'Job Master'!$F$12:$I$102,4,0),BY43-VLOOKUP($P43&amp;" | "&amp;BP$6,'Job Master'!$F$12:$I$102,4,0)-1),""),"")</f>
        <v/>
      </c>
      <c r="BS43" s="73"/>
      <c r="BT43" s="123" t="str">
        <f t="shared" si="28"/>
        <v/>
      </c>
      <c r="BU43" s="123" t="str">
        <f t="shared" si="29"/>
        <v/>
      </c>
      <c r="BV43" s="97" t="str">
        <f t="shared" ca="1" si="30"/>
        <v/>
      </c>
      <c r="BW43" s="98" t="str">
        <f>IF(BY43&lt;&gt;"",VLOOKUP($P43&amp;" | "&amp;BW$6,'Job Master'!$F$12:$J$102,5,0),"")</f>
        <v/>
      </c>
      <c r="BX43" s="19" t="str">
        <f>IF(BY43&lt;&gt;"",VLOOKUP($P43&amp;" | "&amp;BW$6,'Job Master'!$F$12:$J$102,3,0),"")</f>
        <v/>
      </c>
      <c r="BY43" s="19" t="str">
        <f>IFERROR(IF(AND(CF43&lt;&gt;"",VLOOKUP($P43&amp;" | "&amp;BW$6,'Job Master'!$F$12:$I$102,4,0)&lt;&gt;""),IF(WEEKDAY(CF43-VLOOKUP($P43&amp;" | "&amp;BW$6,'Job Master'!$F$12:$I$102,4,0))&lt;&gt;7,CF43-VLOOKUP($P43&amp;" | "&amp;BW$6,'Job Master'!$F$12:$I$102,4,0),CF43-VLOOKUP($P43&amp;" | "&amp;BW$6,'Job Master'!$F$12:$I$102,4,0)-1),""),"")</f>
        <v/>
      </c>
      <c r="BZ43" s="73"/>
      <c r="CA43" s="123" t="str">
        <f t="shared" si="31"/>
        <v/>
      </c>
      <c r="CB43" s="123" t="str">
        <f t="shared" si="32"/>
        <v/>
      </c>
      <c r="CC43" s="97" t="str">
        <f t="shared" ca="1" si="33"/>
        <v/>
      </c>
      <c r="CD43" s="98" t="str">
        <f>IF(CF43&lt;&gt;"",VLOOKUP($P43&amp;" | "&amp;CD$6,'Job Master'!$F$12:$J$102,5,0),"")</f>
        <v/>
      </c>
      <c r="CE43" s="19" t="str">
        <f>IF(CF43&lt;&gt;"",VLOOKUP($P43&amp;" | "&amp;CD$6,'Job Master'!$F$12:$J$102,3,0),"")</f>
        <v/>
      </c>
      <c r="CF43" s="19" t="str">
        <f>IFERROR(IF(AND(CM43&lt;&gt;"",VLOOKUP($P43&amp;" | "&amp;CD$6,'Job Master'!$F$12:$I$102,4,0)&lt;&gt;""),IF(WEEKDAY(CM43-VLOOKUP($P43&amp;" | "&amp;CD$6,'Job Master'!$F$12:$I$102,4,0))&lt;&gt;7,CM43-VLOOKUP($P43&amp;" | "&amp;CD$6,'Job Master'!$F$12:$I$102,4,0),CM43-VLOOKUP($P43&amp;" | "&amp;CD$6,'Job Master'!$F$12:$I$102,4,0)-1),""),"")</f>
        <v/>
      </c>
      <c r="CG43" s="73"/>
      <c r="CH43" s="123" t="str">
        <f t="shared" si="34"/>
        <v/>
      </c>
      <c r="CI43" s="123" t="str">
        <f t="shared" si="35"/>
        <v/>
      </c>
      <c r="CJ43" s="97" t="str">
        <f t="shared" ca="1" si="36"/>
        <v/>
      </c>
      <c r="CK43" s="98" t="str">
        <f>IF(CM43&lt;&gt;"",VLOOKUP($P43&amp;" | "&amp;CK$6,'Job Master'!$F$12:$J$102,5,0),"")</f>
        <v/>
      </c>
      <c r="CL43" s="19" t="str">
        <f>IF(CM43&lt;&gt;"",VLOOKUP($P43&amp;" | "&amp;CK$6,'Job Master'!$F$12:$J$102,3,0),"")</f>
        <v/>
      </c>
      <c r="CM43" s="19" t="str">
        <f>IFERROR(IF(AND(CT43&lt;&gt;"",VLOOKUP($P43&amp;" | "&amp;CK$6,'Job Master'!$F$12:$I$102,4,0)&lt;&gt;""),IF(WEEKDAY(CT43-VLOOKUP($P43&amp;" | "&amp;CK$6,'Job Master'!$F$12:$I$102,4,0))&lt;&gt;7,CT43-VLOOKUP($P43&amp;" | "&amp;CK$6,'Job Master'!$F$12:$I$102,4,0),CT43-VLOOKUP($P43&amp;" | "&amp;CK$6,'Job Master'!$F$12:$I$102,4,0)-1),""),"")</f>
        <v/>
      </c>
      <c r="CN43" s="73"/>
      <c r="CO43" s="123" t="str">
        <f t="shared" si="37"/>
        <v/>
      </c>
      <c r="CP43" s="123" t="str">
        <f t="shared" si="38"/>
        <v/>
      </c>
      <c r="CQ43" s="97" t="str">
        <f t="shared" ca="1" si="39"/>
        <v/>
      </c>
      <c r="CR43" s="98" t="str">
        <f>IF(CT43&lt;&gt;"",VLOOKUP($P43&amp;" | "&amp;CR$6,'Job Master'!$F$12:$J$102,5,0),"")</f>
        <v/>
      </c>
      <c r="CS43" s="19" t="str">
        <f>IF(CT43&lt;&gt;"",VLOOKUP($P43&amp;" | "&amp;CR$6,'Job Master'!$F$12:$J$102,3,0),"")</f>
        <v/>
      </c>
      <c r="CT43" s="19" t="str">
        <f>IFERROR(IF(AND(DA43&lt;&gt;"",VLOOKUP($P43&amp;" | "&amp;CR$6,'Job Master'!$F$12:$I$102,4,0)&lt;&gt;""),IF(WEEKDAY(DA43-VLOOKUP($P43&amp;" | "&amp;CR$6,'Job Master'!$F$12:$I$102,4,0))&lt;&gt;7,DA43-VLOOKUP($P43&amp;" | "&amp;CR$6,'Job Master'!$F$12:$I$102,4,0),DA43-VLOOKUP($P43&amp;" | "&amp;CR$6,'Job Master'!$F$12:$I$102,4,0)-1),""),"")</f>
        <v/>
      </c>
      <c r="CU43" s="73"/>
      <c r="CV43" s="123" t="str">
        <f t="shared" si="40"/>
        <v/>
      </c>
      <c r="CW43" s="123" t="str">
        <f t="shared" si="41"/>
        <v/>
      </c>
      <c r="CX43" s="97" t="str">
        <f t="shared" ca="1" si="42"/>
        <v/>
      </c>
      <c r="CY43" s="98" t="str">
        <f>IF(DA43&lt;&gt;"",VLOOKUP($P43&amp;" | "&amp;CY$6,'Job Master'!$F$12:$J$102,5,0),"")</f>
        <v/>
      </c>
      <c r="CZ43" s="19" t="str">
        <f>IF(DA43&lt;&gt;"",VLOOKUP($P43&amp;" | "&amp;CY$6,'Job Master'!$F$12:$J$102,3,0),"")</f>
        <v/>
      </c>
      <c r="DA43" s="19" t="str">
        <f>IFERROR(IF(AND(DH43&lt;&gt;"",VLOOKUP($P43&amp;" | "&amp;CY$6,'Job Master'!$F$12:$I$102,4,0)&lt;&gt;""),IF(WEEKDAY(DH43-VLOOKUP($P43&amp;" | "&amp;CY$6,'Job Master'!$F$12:$I$102,4,0))&lt;&gt;7,DH43-VLOOKUP($P43&amp;" | "&amp;CY$6,'Job Master'!$F$12:$I$102,4,0),DH43-VLOOKUP($P43&amp;" | "&amp;CY$6,'Job Master'!$F$12:$I$102,4,0)-1),""),"")</f>
        <v/>
      </c>
      <c r="DB43" s="73"/>
      <c r="DC43" s="123" t="str">
        <f t="shared" si="43"/>
        <v/>
      </c>
      <c r="DD43" s="123" t="str">
        <f t="shared" si="44"/>
        <v/>
      </c>
      <c r="DE43" s="97" t="str">
        <f t="shared" ca="1" si="45"/>
        <v/>
      </c>
      <c r="DF43" s="98" t="str">
        <f>IF(DH43&lt;&gt;"",VLOOKUP($P43&amp;" | "&amp;DF$6,'Job Master'!$F$12:$J$102,5,0),"")</f>
        <v/>
      </c>
      <c r="DG43" s="19" t="str">
        <f>IF(DH43&lt;&gt;"",VLOOKUP($P43&amp;" | "&amp;DF$6,'Job Master'!$F$12:$J$102,3,0),"")</f>
        <v/>
      </c>
      <c r="DH43" s="19" t="str">
        <f>IFERROR(IF(AND(DO43&lt;&gt;"",VLOOKUP($P43&amp;" | "&amp;DF$6,'Job Master'!$F$12:$I$102,4,0)&lt;&gt;""),IF(WEEKDAY(DO43-VLOOKUP($P43&amp;" | "&amp;DF$6,'Job Master'!$F$12:$I$102,4,0))&lt;&gt;7,DO43-VLOOKUP($P43&amp;" | "&amp;DF$6,'Job Master'!$F$12:$I$102,4,0),DO43-VLOOKUP($P43&amp;" | "&amp;DF$6,'Job Master'!$F$12:$I$102,4,0)-1),""),"")</f>
        <v/>
      </c>
      <c r="DI43" s="73"/>
      <c r="DJ43" s="123" t="str">
        <f t="shared" si="46"/>
        <v/>
      </c>
      <c r="DK43" s="123" t="str">
        <f t="shared" si="47"/>
        <v/>
      </c>
      <c r="DL43" s="97" t="str">
        <f t="shared" ca="1" si="48"/>
        <v/>
      </c>
      <c r="DM43" s="98" t="str">
        <f>IF(DO43&lt;&gt;"",VLOOKUP($P43&amp;" | "&amp;DM$6,'Job Master'!$F$12:$J$102,5,0),"")</f>
        <v/>
      </c>
      <c r="DN43" s="19" t="str">
        <f>IF(DO43&lt;&gt;"",VLOOKUP($P43&amp;" | "&amp;DM$6,'Job Master'!$F$12:$J$102,3,0),"")</f>
        <v/>
      </c>
      <c r="DO43" s="19" t="str">
        <f>IFERROR(IF(AND(DT43&lt;&gt;"",VLOOKUP($P43&amp;" | "&amp;DM$6,'Job Master'!$F$12:$I$102,4,0)&lt;&gt;""),IF(WEEKDAY(DT43-VLOOKUP($P43&amp;" | "&amp;DM$6,'Job Master'!$F$12:$I$102,4,0))&lt;&gt;7,DT43-VLOOKUP($P43&amp;" | "&amp;DM$6,'Job Master'!$F$12:$I$102,4,0),DT43-VLOOKUP($P43&amp;" | "&amp;DM$6,'Job Master'!$F$12:$I$102,4,0)-1),""),"")</f>
        <v/>
      </c>
      <c r="DP43" s="73"/>
      <c r="DQ43" s="123" t="str">
        <f t="shared" si="49"/>
        <v/>
      </c>
      <c r="DR43" s="123" t="str">
        <f t="shared" si="50"/>
        <v/>
      </c>
      <c r="DS43" s="97" t="str">
        <f t="shared" ca="1" si="51"/>
        <v/>
      </c>
      <c r="DT43" s="70" t="str">
        <f t="shared" si="52"/>
        <v/>
      </c>
      <c r="DU43" s="90"/>
      <c r="DV43" s="123" t="str">
        <f t="shared" si="53"/>
        <v/>
      </c>
      <c r="DW43" s="123" t="str">
        <f t="shared" si="54"/>
        <v/>
      </c>
      <c r="DX43" s="132" t="str">
        <f t="shared" ref="DX43" ca="1" si="104">IF(DT43&lt;&gt;"",IF(WEEKNUM(DT43)=WEEKNUM(TODAY()),"This Week",IF(WEEKNUM(DT43)=WEEKNUM(TODAY())+1,"Next Week",IF(WEEKNUM(DT43)=WEEKNUM(TODAY())-1,"Previous Week",""))),"")</f>
        <v/>
      </c>
      <c r="DY43" s="134" t="str">
        <f t="shared" si="56"/>
        <v/>
      </c>
      <c r="DZ43" s="95"/>
      <c r="EB43" s="8" t="str">
        <f t="shared" si="67"/>
        <v/>
      </c>
      <c r="EC43" s="8" t="str">
        <f>IF(O43&lt;&gt;"",VLOOKUP(O43,'Job Master'!$N$12:$O$18,2,0),"")</f>
        <v/>
      </c>
      <c r="ED43" s="8">
        <f t="shared" si="68"/>
        <v>19.5</v>
      </c>
      <c r="EE43" s="8">
        <f t="shared" si="69"/>
        <v>6</v>
      </c>
      <c r="EF43" s="8">
        <f t="shared" si="70"/>
        <v>-178.5</v>
      </c>
      <c r="EG43" s="8" t="str">
        <f t="shared" si="71"/>
        <v/>
      </c>
      <c r="EH43" s="8" t="str">
        <f t="shared" si="72"/>
        <v/>
      </c>
    </row>
    <row r="44" spans="2:138" x14ac:dyDescent="0.3">
      <c r="B44" s="112"/>
      <c r="C44" s="27"/>
      <c r="D44" s="7" t="str">
        <f t="shared" si="1"/>
        <v/>
      </c>
      <c r="E44" s="25"/>
      <c r="F44" s="7" t="str">
        <f t="shared" si="1"/>
        <v/>
      </c>
      <c r="G44" s="25"/>
      <c r="H44" s="7" t="str">
        <f t="shared" si="1"/>
        <v/>
      </c>
      <c r="I44" s="25"/>
      <c r="J44" s="7" t="str">
        <f t="shared" si="1"/>
        <v/>
      </c>
      <c r="K44" s="25"/>
      <c r="L44" s="7" t="str">
        <f t="shared" si="2"/>
        <v/>
      </c>
      <c r="M44" s="25"/>
      <c r="N44" s="7" t="str">
        <f t="shared" si="3"/>
        <v/>
      </c>
      <c r="O44" s="81"/>
      <c r="P44" s="81" t="str">
        <f t="shared" si="4"/>
        <v/>
      </c>
      <c r="Q44" s="81"/>
      <c r="R44" s="7" t="str">
        <f t="shared" si="5"/>
        <v/>
      </c>
      <c r="S44" s="25"/>
      <c r="T44" s="7" t="str">
        <f t="shared" si="6"/>
        <v/>
      </c>
      <c r="U44" s="25"/>
      <c r="V44" s="7" t="str">
        <f t="shared" si="7"/>
        <v/>
      </c>
      <c r="W44" s="25"/>
      <c r="X44" s="7" t="str">
        <f t="shared" si="8"/>
        <v/>
      </c>
      <c r="Y44" s="18" t="str">
        <f t="shared" si="9"/>
        <v/>
      </c>
      <c r="Z44" s="7" t="str">
        <f t="shared" si="10"/>
        <v/>
      </c>
      <c r="AA44" s="18" t="str">
        <f t="shared" si="11"/>
        <v/>
      </c>
      <c r="AB44" s="19" t="str">
        <f t="shared" si="12"/>
        <v/>
      </c>
      <c r="AC44" s="26"/>
      <c r="AD44" s="26"/>
      <c r="AE44" s="25"/>
      <c r="AF44" s="26"/>
      <c r="AG44" s="25"/>
      <c r="AH44" s="25"/>
      <c r="AI44" s="18" t="str">
        <f t="shared" si="83"/>
        <v/>
      </c>
      <c r="AJ44" s="25"/>
      <c r="AK44" s="18" t="str">
        <f t="shared" si="84"/>
        <v/>
      </c>
      <c r="AL44" s="79"/>
      <c r="AM44" s="126" t="str">
        <f t="shared" si="85"/>
        <v/>
      </c>
      <c r="AN44" s="128" t="str">
        <f>IF(AP44&lt;&gt;"",VLOOKUP($P44&amp;" | "&amp;AN$6,'Job Master'!$F$12:$J$102,5,0),"")</f>
        <v/>
      </c>
      <c r="AO44" s="19" t="str">
        <f>IF(AP44&lt;&gt;"",VLOOKUP($P44&amp;" | "&amp;AN$6,'Job Master'!$F$12:$J$102,3,0),"")</f>
        <v/>
      </c>
      <c r="AP44" s="19" t="str">
        <f>IFERROR(IF(AND(AW44&lt;&gt;"",VLOOKUP($P44&amp;" | "&amp;AN$6,'Job Master'!$F$12:$I$102,4,0)&lt;&gt;""),IF(WEEKDAY(AW44-VLOOKUP($P44&amp;" | "&amp;AN$6,'Job Master'!$F$12:$I$102,4,0))&lt;&gt;7,AW44-VLOOKUP($P44&amp;" | "&amp;AN$6,'Job Master'!$F$12:$I$102,4,0),AW44-VLOOKUP($P44&amp;" | "&amp;AN$6,'Job Master'!$F$12:$I$102,4,0)-1),""),"")</f>
        <v/>
      </c>
      <c r="AQ44" s="73"/>
      <c r="AR44" s="123" t="str">
        <f t="shared" si="16"/>
        <v/>
      </c>
      <c r="AS44" s="123" t="str">
        <f t="shared" si="17"/>
        <v/>
      </c>
      <c r="AT44" s="97" t="str">
        <f t="shared" ca="1" si="18"/>
        <v/>
      </c>
      <c r="AU44" s="98" t="str">
        <f>IF(AW44&lt;&gt;"",VLOOKUP($P44&amp;" | "&amp;AU$6,'Job Master'!$F$12:$J$102,5,0),"")</f>
        <v/>
      </c>
      <c r="AV44" s="19" t="str">
        <f>IF(AW44&lt;&gt;"",VLOOKUP($P44&amp;" | "&amp;AU$6,'Job Master'!$F$12:$J$102,3,0),"")</f>
        <v/>
      </c>
      <c r="AW44" s="19" t="str">
        <f>IFERROR(IF(AND(BD44&lt;&gt;"",VLOOKUP($P44&amp;" | "&amp;AU$6,'Job Master'!$F$12:$I$102,4,0)&lt;&gt;""),IF(WEEKDAY(BD44-VLOOKUP($P44&amp;" | "&amp;AU$6,'Job Master'!$F$12:$I$102,4,0))&lt;&gt;7,BD44-VLOOKUP($P44&amp;" | "&amp;AU$6,'Job Master'!$F$12:$I$102,4,0),BD44-VLOOKUP($P44&amp;" | "&amp;AU$6,'Job Master'!$F$12:$I$102,4,0)-1),""),"")</f>
        <v/>
      </c>
      <c r="AX44" s="73"/>
      <c r="AY44" s="123" t="str">
        <f t="shared" si="19"/>
        <v/>
      </c>
      <c r="AZ44" s="123" t="str">
        <f t="shared" si="20"/>
        <v/>
      </c>
      <c r="BA44" s="97" t="str">
        <f t="shared" ca="1" si="21"/>
        <v/>
      </c>
      <c r="BB44" s="98" t="str">
        <f>IF(BD44&lt;&gt;"",VLOOKUP($P44&amp;" | "&amp;BB$6,'Job Master'!$F$12:$J$102,5,0),"")</f>
        <v/>
      </c>
      <c r="BC44" s="19" t="str">
        <f>IF(BD44&lt;&gt;"",VLOOKUP($P44&amp;" | "&amp;BB$6,'Job Master'!$F$12:$J$102,3,0),"")</f>
        <v/>
      </c>
      <c r="BD44" s="19" t="str">
        <f>IFERROR(IF(AND(BK44&lt;&gt;"",VLOOKUP($P44&amp;" | "&amp;BB$6,'Job Master'!$F$12:$I$102,4,0)&lt;&gt;""),IF(WEEKDAY(BK44-VLOOKUP($P44&amp;" | "&amp;BB$6,'Job Master'!$F$12:$I$102,4,0))&lt;&gt;7,BK44-VLOOKUP($P44&amp;" | "&amp;BB$6,'Job Master'!$F$12:$I$102,4,0),BK44-VLOOKUP($P44&amp;" | "&amp;BB$6,'Job Master'!$F$12:$I$102,4,0)-1),""),"")</f>
        <v/>
      </c>
      <c r="BE44" s="73"/>
      <c r="BF44" s="123" t="str">
        <f t="shared" si="22"/>
        <v/>
      </c>
      <c r="BG44" s="123" t="str">
        <f t="shared" si="23"/>
        <v/>
      </c>
      <c r="BH44" s="97" t="str">
        <f t="shared" ca="1" si="24"/>
        <v/>
      </c>
      <c r="BI44" s="98" t="str">
        <f>IF(BK44&lt;&gt;"",VLOOKUP($P44&amp;" | "&amp;BI$6,'Job Master'!$F$12:$J$102,5,0),"")</f>
        <v/>
      </c>
      <c r="BJ44" s="19" t="str">
        <f>IF(BK44&lt;&gt;"",VLOOKUP($P44&amp;" | "&amp;BI$6,'Job Master'!$F$12:$J$102,3,0),"")</f>
        <v/>
      </c>
      <c r="BK44" s="19" t="str">
        <f>IFERROR(IF(AND(BR44&lt;&gt;"",VLOOKUP($P44&amp;" | "&amp;BI$6,'Job Master'!$F$12:$I$102,4,0)&lt;&gt;""),IF(WEEKDAY(BR44-VLOOKUP($P44&amp;" | "&amp;BI$6,'Job Master'!$F$12:$I$102,4,0))&lt;&gt;7,BR44-VLOOKUP($P44&amp;" | "&amp;BI$6,'Job Master'!$F$12:$I$102,4,0),BR44-VLOOKUP($P44&amp;" | "&amp;BI$6,'Job Master'!$F$12:$I$102,4,0)-1),""),"")</f>
        <v/>
      </c>
      <c r="BL44" s="73"/>
      <c r="BM44" s="123" t="str">
        <f t="shared" si="25"/>
        <v/>
      </c>
      <c r="BN44" s="123" t="str">
        <f t="shared" si="26"/>
        <v/>
      </c>
      <c r="BO44" s="97" t="str">
        <f t="shared" ca="1" si="27"/>
        <v/>
      </c>
      <c r="BP44" s="98" t="str">
        <f>IF(BR44&lt;&gt;"",VLOOKUP($P44&amp;" | "&amp;BP$6,'Job Master'!$F$12:$J$102,5,0),"")</f>
        <v/>
      </c>
      <c r="BQ44" s="19" t="str">
        <f>IF(BR44&lt;&gt;"",VLOOKUP($P44&amp;" | "&amp;BP$6,'Job Master'!$F$12:$J$102,3,0),"")</f>
        <v/>
      </c>
      <c r="BR44" s="19" t="str">
        <f>IFERROR(IF(AND(BY44&lt;&gt;"",VLOOKUP($P44&amp;" | "&amp;BP$6,'Job Master'!$F$12:$I$102,4,0)&lt;&gt;""),IF(WEEKDAY(BY44-VLOOKUP($P44&amp;" | "&amp;BP$6,'Job Master'!$F$12:$I$102,4,0))&lt;&gt;7,BY44-VLOOKUP($P44&amp;" | "&amp;BP$6,'Job Master'!$F$12:$I$102,4,0),BY44-VLOOKUP($P44&amp;" | "&amp;BP$6,'Job Master'!$F$12:$I$102,4,0)-1),""),"")</f>
        <v/>
      </c>
      <c r="BS44" s="73"/>
      <c r="BT44" s="123" t="str">
        <f t="shared" si="28"/>
        <v/>
      </c>
      <c r="BU44" s="123" t="str">
        <f t="shared" si="29"/>
        <v/>
      </c>
      <c r="BV44" s="97" t="str">
        <f t="shared" ca="1" si="30"/>
        <v/>
      </c>
      <c r="BW44" s="98" t="str">
        <f>IF(BY44&lt;&gt;"",VLOOKUP($P44&amp;" | "&amp;BW$6,'Job Master'!$F$12:$J$102,5,0),"")</f>
        <v/>
      </c>
      <c r="BX44" s="19" t="str">
        <f>IF(BY44&lt;&gt;"",VLOOKUP($P44&amp;" | "&amp;BW$6,'Job Master'!$F$12:$J$102,3,0),"")</f>
        <v/>
      </c>
      <c r="BY44" s="19" t="str">
        <f>IFERROR(IF(AND(CF44&lt;&gt;"",VLOOKUP($P44&amp;" | "&amp;BW$6,'Job Master'!$F$12:$I$102,4,0)&lt;&gt;""),IF(WEEKDAY(CF44-VLOOKUP($P44&amp;" | "&amp;BW$6,'Job Master'!$F$12:$I$102,4,0))&lt;&gt;7,CF44-VLOOKUP($P44&amp;" | "&amp;BW$6,'Job Master'!$F$12:$I$102,4,0),CF44-VLOOKUP($P44&amp;" | "&amp;BW$6,'Job Master'!$F$12:$I$102,4,0)-1),""),"")</f>
        <v/>
      </c>
      <c r="BZ44" s="73"/>
      <c r="CA44" s="123" t="str">
        <f t="shared" si="31"/>
        <v/>
      </c>
      <c r="CB44" s="123" t="str">
        <f t="shared" si="32"/>
        <v/>
      </c>
      <c r="CC44" s="97" t="str">
        <f t="shared" ca="1" si="33"/>
        <v/>
      </c>
      <c r="CD44" s="98" t="str">
        <f>IF(CF44&lt;&gt;"",VLOOKUP($P44&amp;" | "&amp;CD$6,'Job Master'!$F$12:$J$102,5,0),"")</f>
        <v/>
      </c>
      <c r="CE44" s="19" t="str">
        <f>IF(CF44&lt;&gt;"",VLOOKUP($P44&amp;" | "&amp;CD$6,'Job Master'!$F$12:$J$102,3,0),"")</f>
        <v/>
      </c>
      <c r="CF44" s="19" t="str">
        <f>IFERROR(IF(AND(CM44&lt;&gt;"",VLOOKUP($P44&amp;" | "&amp;CD$6,'Job Master'!$F$12:$I$102,4,0)&lt;&gt;""),IF(WEEKDAY(CM44-VLOOKUP($P44&amp;" | "&amp;CD$6,'Job Master'!$F$12:$I$102,4,0))&lt;&gt;7,CM44-VLOOKUP($P44&amp;" | "&amp;CD$6,'Job Master'!$F$12:$I$102,4,0),CM44-VLOOKUP($P44&amp;" | "&amp;CD$6,'Job Master'!$F$12:$I$102,4,0)-1),""),"")</f>
        <v/>
      </c>
      <c r="CG44" s="73"/>
      <c r="CH44" s="123" t="str">
        <f t="shared" si="34"/>
        <v/>
      </c>
      <c r="CI44" s="123" t="str">
        <f t="shared" si="35"/>
        <v/>
      </c>
      <c r="CJ44" s="97" t="str">
        <f t="shared" ca="1" si="36"/>
        <v/>
      </c>
      <c r="CK44" s="98" t="str">
        <f>IF(CM44&lt;&gt;"",VLOOKUP($P44&amp;" | "&amp;CK$6,'Job Master'!$F$12:$J$102,5,0),"")</f>
        <v/>
      </c>
      <c r="CL44" s="19" t="str">
        <f>IF(CM44&lt;&gt;"",VLOOKUP($P44&amp;" | "&amp;CK$6,'Job Master'!$F$12:$J$102,3,0),"")</f>
        <v/>
      </c>
      <c r="CM44" s="19" t="str">
        <f>IFERROR(IF(AND(CT44&lt;&gt;"",VLOOKUP($P44&amp;" | "&amp;CK$6,'Job Master'!$F$12:$I$102,4,0)&lt;&gt;""),IF(WEEKDAY(CT44-VLOOKUP($P44&amp;" | "&amp;CK$6,'Job Master'!$F$12:$I$102,4,0))&lt;&gt;7,CT44-VLOOKUP($P44&amp;" | "&amp;CK$6,'Job Master'!$F$12:$I$102,4,0),CT44-VLOOKUP($P44&amp;" | "&amp;CK$6,'Job Master'!$F$12:$I$102,4,0)-1),""),"")</f>
        <v/>
      </c>
      <c r="CN44" s="73"/>
      <c r="CO44" s="123" t="str">
        <f t="shared" si="37"/>
        <v/>
      </c>
      <c r="CP44" s="123" t="str">
        <f t="shared" si="38"/>
        <v/>
      </c>
      <c r="CQ44" s="97" t="str">
        <f t="shared" ca="1" si="39"/>
        <v/>
      </c>
      <c r="CR44" s="98" t="str">
        <f>IF(CT44&lt;&gt;"",VLOOKUP($P44&amp;" | "&amp;CR$6,'Job Master'!$F$12:$J$102,5,0),"")</f>
        <v/>
      </c>
      <c r="CS44" s="19" t="str">
        <f>IF(CT44&lt;&gt;"",VLOOKUP($P44&amp;" | "&amp;CR$6,'Job Master'!$F$12:$J$102,3,0),"")</f>
        <v/>
      </c>
      <c r="CT44" s="19" t="str">
        <f>IFERROR(IF(AND(DA44&lt;&gt;"",VLOOKUP($P44&amp;" | "&amp;CR$6,'Job Master'!$F$12:$I$102,4,0)&lt;&gt;""),IF(WEEKDAY(DA44-VLOOKUP($P44&amp;" | "&amp;CR$6,'Job Master'!$F$12:$I$102,4,0))&lt;&gt;7,DA44-VLOOKUP($P44&amp;" | "&amp;CR$6,'Job Master'!$F$12:$I$102,4,0),DA44-VLOOKUP($P44&amp;" | "&amp;CR$6,'Job Master'!$F$12:$I$102,4,0)-1),""),"")</f>
        <v/>
      </c>
      <c r="CU44" s="73"/>
      <c r="CV44" s="123" t="str">
        <f t="shared" si="40"/>
        <v/>
      </c>
      <c r="CW44" s="123" t="str">
        <f t="shared" si="41"/>
        <v/>
      </c>
      <c r="CX44" s="97" t="str">
        <f t="shared" ca="1" si="42"/>
        <v/>
      </c>
      <c r="CY44" s="98" t="str">
        <f>IF(DA44&lt;&gt;"",VLOOKUP($P44&amp;" | "&amp;CY$6,'Job Master'!$F$12:$J$102,5,0),"")</f>
        <v/>
      </c>
      <c r="CZ44" s="19" t="str">
        <f>IF(DA44&lt;&gt;"",VLOOKUP($P44&amp;" | "&amp;CY$6,'Job Master'!$F$12:$J$102,3,0),"")</f>
        <v/>
      </c>
      <c r="DA44" s="19" t="str">
        <f>IFERROR(IF(AND(DH44&lt;&gt;"",VLOOKUP($P44&amp;" | "&amp;CY$6,'Job Master'!$F$12:$I$102,4,0)&lt;&gt;""),IF(WEEKDAY(DH44-VLOOKUP($P44&amp;" | "&amp;CY$6,'Job Master'!$F$12:$I$102,4,0))&lt;&gt;7,DH44-VLOOKUP($P44&amp;" | "&amp;CY$6,'Job Master'!$F$12:$I$102,4,0),DH44-VLOOKUP($P44&amp;" | "&amp;CY$6,'Job Master'!$F$12:$I$102,4,0)-1),""),"")</f>
        <v/>
      </c>
      <c r="DB44" s="73"/>
      <c r="DC44" s="123" t="str">
        <f t="shared" si="43"/>
        <v/>
      </c>
      <c r="DD44" s="123" t="str">
        <f t="shared" si="44"/>
        <v/>
      </c>
      <c r="DE44" s="97" t="str">
        <f t="shared" ca="1" si="45"/>
        <v/>
      </c>
      <c r="DF44" s="98" t="str">
        <f>IF(DH44&lt;&gt;"",VLOOKUP($P44&amp;" | "&amp;DF$6,'Job Master'!$F$12:$J$102,5,0),"")</f>
        <v/>
      </c>
      <c r="DG44" s="19" t="str">
        <f>IF(DH44&lt;&gt;"",VLOOKUP($P44&amp;" | "&amp;DF$6,'Job Master'!$F$12:$J$102,3,0),"")</f>
        <v/>
      </c>
      <c r="DH44" s="19" t="str">
        <f>IFERROR(IF(AND(DO44&lt;&gt;"",VLOOKUP($P44&amp;" | "&amp;DF$6,'Job Master'!$F$12:$I$102,4,0)&lt;&gt;""),IF(WEEKDAY(DO44-VLOOKUP($P44&amp;" | "&amp;DF$6,'Job Master'!$F$12:$I$102,4,0))&lt;&gt;7,DO44-VLOOKUP($P44&amp;" | "&amp;DF$6,'Job Master'!$F$12:$I$102,4,0),DO44-VLOOKUP($P44&amp;" | "&amp;DF$6,'Job Master'!$F$12:$I$102,4,0)-1),""),"")</f>
        <v/>
      </c>
      <c r="DI44" s="73"/>
      <c r="DJ44" s="123" t="str">
        <f t="shared" si="46"/>
        <v/>
      </c>
      <c r="DK44" s="123" t="str">
        <f t="shared" si="47"/>
        <v/>
      </c>
      <c r="DL44" s="97" t="str">
        <f t="shared" ca="1" si="48"/>
        <v/>
      </c>
      <c r="DM44" s="98" t="str">
        <f>IF(DO44&lt;&gt;"",VLOOKUP($P44&amp;" | "&amp;DM$6,'Job Master'!$F$12:$J$102,5,0),"")</f>
        <v/>
      </c>
      <c r="DN44" s="19" t="str">
        <f>IF(DO44&lt;&gt;"",VLOOKUP($P44&amp;" | "&amp;DM$6,'Job Master'!$F$12:$J$102,3,0),"")</f>
        <v/>
      </c>
      <c r="DO44" s="19" t="str">
        <f>IFERROR(IF(AND(DT44&lt;&gt;"",VLOOKUP($P44&amp;" | "&amp;DM$6,'Job Master'!$F$12:$I$102,4,0)&lt;&gt;""),IF(WEEKDAY(DT44-VLOOKUP($P44&amp;" | "&amp;DM$6,'Job Master'!$F$12:$I$102,4,0))&lt;&gt;7,DT44-VLOOKUP($P44&amp;" | "&amp;DM$6,'Job Master'!$F$12:$I$102,4,0),DT44-VLOOKUP($P44&amp;" | "&amp;DM$6,'Job Master'!$F$12:$I$102,4,0)-1),""),"")</f>
        <v/>
      </c>
      <c r="DP44" s="73"/>
      <c r="DQ44" s="123" t="str">
        <f t="shared" si="49"/>
        <v/>
      </c>
      <c r="DR44" s="123" t="str">
        <f t="shared" si="50"/>
        <v/>
      </c>
      <c r="DS44" s="97" t="str">
        <f t="shared" ca="1" si="51"/>
        <v/>
      </c>
      <c r="DT44" s="70" t="str">
        <f t="shared" si="52"/>
        <v/>
      </c>
      <c r="DU44" s="90"/>
      <c r="DV44" s="123" t="str">
        <f t="shared" si="53"/>
        <v/>
      </c>
      <c r="DW44" s="123" t="str">
        <f t="shared" si="54"/>
        <v/>
      </c>
      <c r="DX44" s="132" t="str">
        <f t="shared" ref="DX44" ca="1" si="105">IF(DT44&lt;&gt;"",IF(WEEKNUM(DT44)=WEEKNUM(TODAY()),"This Week",IF(WEEKNUM(DT44)=WEEKNUM(TODAY())+1,"Next Week",IF(WEEKNUM(DT44)=WEEKNUM(TODAY())-1,"Previous Week",""))),"")</f>
        <v/>
      </c>
      <c r="DY44" s="134" t="str">
        <f t="shared" si="56"/>
        <v/>
      </c>
      <c r="DZ44" s="95"/>
      <c r="EB44" s="8" t="str">
        <f t="shared" si="67"/>
        <v/>
      </c>
      <c r="EC44" s="8" t="str">
        <f>IF(O44&lt;&gt;"",VLOOKUP(O44,'Job Master'!$N$12:$O$18,2,0),"")</f>
        <v/>
      </c>
      <c r="ED44" s="8">
        <f t="shared" si="68"/>
        <v>19.5</v>
      </c>
      <c r="EE44" s="8">
        <f t="shared" si="69"/>
        <v>6</v>
      </c>
      <c r="EF44" s="8">
        <f t="shared" si="70"/>
        <v>-184.5</v>
      </c>
      <c r="EG44" s="8" t="str">
        <f t="shared" si="71"/>
        <v/>
      </c>
      <c r="EH44" s="8" t="str">
        <f t="shared" si="72"/>
        <v/>
      </c>
    </row>
    <row r="45" spans="2:138" x14ac:dyDescent="0.3">
      <c r="B45" s="112"/>
      <c r="C45" s="27"/>
      <c r="D45" s="7" t="str">
        <f t="shared" si="1"/>
        <v/>
      </c>
      <c r="E45" s="25"/>
      <c r="F45" s="7" t="str">
        <f t="shared" si="1"/>
        <v/>
      </c>
      <c r="G45" s="25"/>
      <c r="H45" s="7" t="str">
        <f t="shared" si="1"/>
        <v/>
      </c>
      <c r="I45" s="25"/>
      <c r="J45" s="7" t="str">
        <f t="shared" si="1"/>
        <v/>
      </c>
      <c r="K45" s="25"/>
      <c r="L45" s="7" t="str">
        <f t="shared" si="2"/>
        <v/>
      </c>
      <c r="M45" s="25"/>
      <c r="N45" s="7" t="str">
        <f t="shared" si="3"/>
        <v/>
      </c>
      <c r="O45" s="81"/>
      <c r="P45" s="81" t="str">
        <f t="shared" si="4"/>
        <v/>
      </c>
      <c r="Q45" s="81"/>
      <c r="R45" s="7" t="str">
        <f t="shared" si="5"/>
        <v/>
      </c>
      <c r="S45" s="25"/>
      <c r="T45" s="7" t="str">
        <f t="shared" si="6"/>
        <v/>
      </c>
      <c r="U45" s="25"/>
      <c r="V45" s="7" t="str">
        <f t="shared" si="7"/>
        <v/>
      </c>
      <c r="W45" s="25"/>
      <c r="X45" s="7" t="str">
        <f t="shared" si="8"/>
        <v/>
      </c>
      <c r="Y45" s="18" t="str">
        <f t="shared" si="9"/>
        <v/>
      </c>
      <c r="Z45" s="7" t="str">
        <f t="shared" si="10"/>
        <v/>
      </c>
      <c r="AA45" s="18" t="str">
        <f t="shared" si="11"/>
        <v/>
      </c>
      <c r="AB45" s="19" t="str">
        <f t="shared" si="12"/>
        <v/>
      </c>
      <c r="AC45" s="26"/>
      <c r="AD45" s="26"/>
      <c r="AE45" s="25"/>
      <c r="AF45" s="26"/>
      <c r="AG45" s="25"/>
      <c r="AH45" s="25"/>
      <c r="AI45" s="18" t="str">
        <f t="shared" si="83"/>
        <v/>
      </c>
      <c r="AJ45" s="25"/>
      <c r="AK45" s="18" t="str">
        <f t="shared" si="84"/>
        <v/>
      </c>
      <c r="AL45" s="79"/>
      <c r="AM45" s="126" t="str">
        <f t="shared" si="85"/>
        <v/>
      </c>
      <c r="AN45" s="128" t="str">
        <f>IF(AP45&lt;&gt;"",VLOOKUP($P45&amp;" | "&amp;AN$6,'Job Master'!$F$12:$J$102,5,0),"")</f>
        <v/>
      </c>
      <c r="AO45" s="19" t="str">
        <f>IF(AP45&lt;&gt;"",VLOOKUP($P45&amp;" | "&amp;AN$6,'Job Master'!$F$12:$J$102,3,0),"")</f>
        <v/>
      </c>
      <c r="AP45" s="19" t="str">
        <f>IFERROR(IF(AND(AW45&lt;&gt;"",VLOOKUP($P45&amp;" | "&amp;AN$6,'Job Master'!$F$12:$I$102,4,0)&lt;&gt;""),IF(WEEKDAY(AW45-VLOOKUP($P45&amp;" | "&amp;AN$6,'Job Master'!$F$12:$I$102,4,0))&lt;&gt;7,AW45-VLOOKUP($P45&amp;" | "&amp;AN$6,'Job Master'!$F$12:$I$102,4,0),AW45-VLOOKUP($P45&amp;" | "&amp;AN$6,'Job Master'!$F$12:$I$102,4,0)-1),""),"")</f>
        <v/>
      </c>
      <c r="AQ45" s="73"/>
      <c r="AR45" s="123" t="str">
        <f t="shared" si="16"/>
        <v/>
      </c>
      <c r="AS45" s="123" t="str">
        <f t="shared" si="17"/>
        <v/>
      </c>
      <c r="AT45" s="97" t="str">
        <f t="shared" ca="1" si="18"/>
        <v/>
      </c>
      <c r="AU45" s="98" t="str">
        <f>IF(AW45&lt;&gt;"",VLOOKUP($P45&amp;" | "&amp;AU$6,'Job Master'!$F$12:$J$102,5,0),"")</f>
        <v/>
      </c>
      <c r="AV45" s="19" t="str">
        <f>IF(AW45&lt;&gt;"",VLOOKUP($P45&amp;" | "&amp;AU$6,'Job Master'!$F$12:$J$102,3,0),"")</f>
        <v/>
      </c>
      <c r="AW45" s="19" t="str">
        <f>IFERROR(IF(AND(BD45&lt;&gt;"",VLOOKUP($P45&amp;" | "&amp;AU$6,'Job Master'!$F$12:$I$102,4,0)&lt;&gt;""),IF(WEEKDAY(BD45-VLOOKUP($P45&amp;" | "&amp;AU$6,'Job Master'!$F$12:$I$102,4,0))&lt;&gt;7,BD45-VLOOKUP($P45&amp;" | "&amp;AU$6,'Job Master'!$F$12:$I$102,4,0),BD45-VLOOKUP($P45&amp;" | "&amp;AU$6,'Job Master'!$F$12:$I$102,4,0)-1),""),"")</f>
        <v/>
      </c>
      <c r="AX45" s="73"/>
      <c r="AY45" s="123" t="str">
        <f t="shared" si="19"/>
        <v/>
      </c>
      <c r="AZ45" s="123" t="str">
        <f t="shared" si="20"/>
        <v/>
      </c>
      <c r="BA45" s="97" t="str">
        <f t="shared" ca="1" si="21"/>
        <v/>
      </c>
      <c r="BB45" s="98" t="str">
        <f>IF(BD45&lt;&gt;"",VLOOKUP($P45&amp;" | "&amp;BB$6,'Job Master'!$F$12:$J$102,5,0),"")</f>
        <v/>
      </c>
      <c r="BC45" s="19" t="str">
        <f>IF(BD45&lt;&gt;"",VLOOKUP($P45&amp;" | "&amp;BB$6,'Job Master'!$F$12:$J$102,3,0),"")</f>
        <v/>
      </c>
      <c r="BD45" s="19" t="str">
        <f>IFERROR(IF(AND(BK45&lt;&gt;"",VLOOKUP($P45&amp;" | "&amp;BB$6,'Job Master'!$F$12:$I$102,4,0)&lt;&gt;""),IF(WEEKDAY(BK45-VLOOKUP($P45&amp;" | "&amp;BB$6,'Job Master'!$F$12:$I$102,4,0))&lt;&gt;7,BK45-VLOOKUP($P45&amp;" | "&amp;BB$6,'Job Master'!$F$12:$I$102,4,0),BK45-VLOOKUP($P45&amp;" | "&amp;BB$6,'Job Master'!$F$12:$I$102,4,0)-1),""),"")</f>
        <v/>
      </c>
      <c r="BE45" s="73"/>
      <c r="BF45" s="123" t="str">
        <f t="shared" si="22"/>
        <v/>
      </c>
      <c r="BG45" s="123" t="str">
        <f t="shared" si="23"/>
        <v/>
      </c>
      <c r="BH45" s="97" t="str">
        <f t="shared" ca="1" si="24"/>
        <v/>
      </c>
      <c r="BI45" s="98" t="str">
        <f>IF(BK45&lt;&gt;"",VLOOKUP($P45&amp;" | "&amp;BI$6,'Job Master'!$F$12:$J$102,5,0),"")</f>
        <v/>
      </c>
      <c r="BJ45" s="19" t="str">
        <f>IF(BK45&lt;&gt;"",VLOOKUP($P45&amp;" | "&amp;BI$6,'Job Master'!$F$12:$J$102,3,0),"")</f>
        <v/>
      </c>
      <c r="BK45" s="19" t="str">
        <f>IFERROR(IF(AND(BR45&lt;&gt;"",VLOOKUP($P45&amp;" | "&amp;BI$6,'Job Master'!$F$12:$I$102,4,0)&lt;&gt;""),IF(WEEKDAY(BR45-VLOOKUP($P45&amp;" | "&amp;BI$6,'Job Master'!$F$12:$I$102,4,0))&lt;&gt;7,BR45-VLOOKUP($P45&amp;" | "&amp;BI$6,'Job Master'!$F$12:$I$102,4,0),BR45-VLOOKUP($P45&amp;" | "&amp;BI$6,'Job Master'!$F$12:$I$102,4,0)-1),""),"")</f>
        <v/>
      </c>
      <c r="BL45" s="73"/>
      <c r="BM45" s="123" t="str">
        <f t="shared" si="25"/>
        <v/>
      </c>
      <c r="BN45" s="123" t="str">
        <f t="shared" si="26"/>
        <v/>
      </c>
      <c r="BO45" s="97" t="str">
        <f t="shared" ca="1" si="27"/>
        <v/>
      </c>
      <c r="BP45" s="98" t="str">
        <f>IF(BR45&lt;&gt;"",VLOOKUP($P45&amp;" | "&amp;BP$6,'Job Master'!$F$12:$J$102,5,0),"")</f>
        <v/>
      </c>
      <c r="BQ45" s="19" t="str">
        <f>IF(BR45&lt;&gt;"",VLOOKUP($P45&amp;" | "&amp;BP$6,'Job Master'!$F$12:$J$102,3,0),"")</f>
        <v/>
      </c>
      <c r="BR45" s="19" t="str">
        <f>IFERROR(IF(AND(BY45&lt;&gt;"",VLOOKUP($P45&amp;" | "&amp;BP$6,'Job Master'!$F$12:$I$102,4,0)&lt;&gt;""),IF(WEEKDAY(BY45-VLOOKUP($P45&amp;" | "&amp;BP$6,'Job Master'!$F$12:$I$102,4,0))&lt;&gt;7,BY45-VLOOKUP($P45&amp;" | "&amp;BP$6,'Job Master'!$F$12:$I$102,4,0),BY45-VLOOKUP($P45&amp;" | "&amp;BP$6,'Job Master'!$F$12:$I$102,4,0)-1),""),"")</f>
        <v/>
      </c>
      <c r="BS45" s="73"/>
      <c r="BT45" s="123" t="str">
        <f t="shared" si="28"/>
        <v/>
      </c>
      <c r="BU45" s="123" t="str">
        <f t="shared" si="29"/>
        <v/>
      </c>
      <c r="BV45" s="97" t="str">
        <f t="shared" ca="1" si="30"/>
        <v/>
      </c>
      <c r="BW45" s="98" t="str">
        <f>IF(BY45&lt;&gt;"",VLOOKUP($P45&amp;" | "&amp;BW$6,'Job Master'!$F$12:$J$102,5,0),"")</f>
        <v/>
      </c>
      <c r="BX45" s="19" t="str">
        <f>IF(BY45&lt;&gt;"",VLOOKUP($P45&amp;" | "&amp;BW$6,'Job Master'!$F$12:$J$102,3,0),"")</f>
        <v/>
      </c>
      <c r="BY45" s="19" t="str">
        <f>IFERROR(IF(AND(CF45&lt;&gt;"",VLOOKUP($P45&amp;" | "&amp;BW$6,'Job Master'!$F$12:$I$102,4,0)&lt;&gt;""),IF(WEEKDAY(CF45-VLOOKUP($P45&amp;" | "&amp;BW$6,'Job Master'!$F$12:$I$102,4,0))&lt;&gt;7,CF45-VLOOKUP($P45&amp;" | "&amp;BW$6,'Job Master'!$F$12:$I$102,4,0),CF45-VLOOKUP($P45&amp;" | "&amp;BW$6,'Job Master'!$F$12:$I$102,4,0)-1),""),"")</f>
        <v/>
      </c>
      <c r="BZ45" s="73"/>
      <c r="CA45" s="123" t="str">
        <f t="shared" si="31"/>
        <v/>
      </c>
      <c r="CB45" s="123" t="str">
        <f t="shared" si="32"/>
        <v/>
      </c>
      <c r="CC45" s="97" t="str">
        <f t="shared" ca="1" si="33"/>
        <v/>
      </c>
      <c r="CD45" s="98" t="str">
        <f>IF(CF45&lt;&gt;"",VLOOKUP($P45&amp;" | "&amp;CD$6,'Job Master'!$F$12:$J$102,5,0),"")</f>
        <v/>
      </c>
      <c r="CE45" s="19" t="str">
        <f>IF(CF45&lt;&gt;"",VLOOKUP($P45&amp;" | "&amp;CD$6,'Job Master'!$F$12:$J$102,3,0),"")</f>
        <v/>
      </c>
      <c r="CF45" s="19" t="str">
        <f>IFERROR(IF(AND(CM45&lt;&gt;"",VLOOKUP($P45&amp;" | "&amp;CD$6,'Job Master'!$F$12:$I$102,4,0)&lt;&gt;""),IF(WEEKDAY(CM45-VLOOKUP($P45&amp;" | "&amp;CD$6,'Job Master'!$F$12:$I$102,4,0))&lt;&gt;7,CM45-VLOOKUP($P45&amp;" | "&amp;CD$6,'Job Master'!$F$12:$I$102,4,0),CM45-VLOOKUP($P45&amp;" | "&amp;CD$6,'Job Master'!$F$12:$I$102,4,0)-1),""),"")</f>
        <v/>
      </c>
      <c r="CG45" s="73"/>
      <c r="CH45" s="123" t="str">
        <f t="shared" si="34"/>
        <v/>
      </c>
      <c r="CI45" s="123" t="str">
        <f t="shared" si="35"/>
        <v/>
      </c>
      <c r="CJ45" s="97" t="str">
        <f t="shared" ca="1" si="36"/>
        <v/>
      </c>
      <c r="CK45" s="98" t="str">
        <f>IF(CM45&lt;&gt;"",VLOOKUP($P45&amp;" | "&amp;CK$6,'Job Master'!$F$12:$J$102,5,0),"")</f>
        <v/>
      </c>
      <c r="CL45" s="19" t="str">
        <f>IF(CM45&lt;&gt;"",VLOOKUP($P45&amp;" | "&amp;CK$6,'Job Master'!$F$12:$J$102,3,0),"")</f>
        <v/>
      </c>
      <c r="CM45" s="19" t="str">
        <f>IFERROR(IF(AND(CT45&lt;&gt;"",VLOOKUP($P45&amp;" | "&amp;CK$6,'Job Master'!$F$12:$I$102,4,0)&lt;&gt;""),IF(WEEKDAY(CT45-VLOOKUP($P45&amp;" | "&amp;CK$6,'Job Master'!$F$12:$I$102,4,0))&lt;&gt;7,CT45-VLOOKUP($P45&amp;" | "&amp;CK$6,'Job Master'!$F$12:$I$102,4,0),CT45-VLOOKUP($P45&amp;" | "&amp;CK$6,'Job Master'!$F$12:$I$102,4,0)-1),""),"")</f>
        <v/>
      </c>
      <c r="CN45" s="73"/>
      <c r="CO45" s="123" t="str">
        <f t="shared" si="37"/>
        <v/>
      </c>
      <c r="CP45" s="123" t="str">
        <f t="shared" si="38"/>
        <v/>
      </c>
      <c r="CQ45" s="97" t="str">
        <f t="shared" ca="1" si="39"/>
        <v/>
      </c>
      <c r="CR45" s="98" t="str">
        <f>IF(CT45&lt;&gt;"",VLOOKUP($P45&amp;" | "&amp;CR$6,'Job Master'!$F$12:$J$102,5,0),"")</f>
        <v/>
      </c>
      <c r="CS45" s="19" t="str">
        <f>IF(CT45&lt;&gt;"",VLOOKUP($P45&amp;" | "&amp;CR$6,'Job Master'!$F$12:$J$102,3,0),"")</f>
        <v/>
      </c>
      <c r="CT45" s="19" t="str">
        <f>IFERROR(IF(AND(DA45&lt;&gt;"",VLOOKUP($P45&amp;" | "&amp;CR$6,'Job Master'!$F$12:$I$102,4,0)&lt;&gt;""),IF(WEEKDAY(DA45-VLOOKUP($P45&amp;" | "&amp;CR$6,'Job Master'!$F$12:$I$102,4,0))&lt;&gt;7,DA45-VLOOKUP($P45&amp;" | "&amp;CR$6,'Job Master'!$F$12:$I$102,4,0),DA45-VLOOKUP($P45&amp;" | "&amp;CR$6,'Job Master'!$F$12:$I$102,4,0)-1),""),"")</f>
        <v/>
      </c>
      <c r="CU45" s="73"/>
      <c r="CV45" s="123" t="str">
        <f t="shared" si="40"/>
        <v/>
      </c>
      <c r="CW45" s="123" t="str">
        <f t="shared" si="41"/>
        <v/>
      </c>
      <c r="CX45" s="97" t="str">
        <f t="shared" ca="1" si="42"/>
        <v/>
      </c>
      <c r="CY45" s="98" t="str">
        <f>IF(DA45&lt;&gt;"",VLOOKUP($P45&amp;" | "&amp;CY$6,'Job Master'!$F$12:$J$102,5,0),"")</f>
        <v/>
      </c>
      <c r="CZ45" s="19" t="str">
        <f>IF(DA45&lt;&gt;"",VLOOKUP($P45&amp;" | "&amp;CY$6,'Job Master'!$F$12:$J$102,3,0),"")</f>
        <v/>
      </c>
      <c r="DA45" s="19" t="str">
        <f>IFERROR(IF(AND(DH45&lt;&gt;"",VLOOKUP($P45&amp;" | "&amp;CY$6,'Job Master'!$F$12:$I$102,4,0)&lt;&gt;""),IF(WEEKDAY(DH45-VLOOKUP($P45&amp;" | "&amp;CY$6,'Job Master'!$F$12:$I$102,4,0))&lt;&gt;7,DH45-VLOOKUP($P45&amp;" | "&amp;CY$6,'Job Master'!$F$12:$I$102,4,0),DH45-VLOOKUP($P45&amp;" | "&amp;CY$6,'Job Master'!$F$12:$I$102,4,0)-1),""),"")</f>
        <v/>
      </c>
      <c r="DB45" s="73"/>
      <c r="DC45" s="123" t="str">
        <f t="shared" si="43"/>
        <v/>
      </c>
      <c r="DD45" s="123" t="str">
        <f t="shared" si="44"/>
        <v/>
      </c>
      <c r="DE45" s="97" t="str">
        <f t="shared" ca="1" si="45"/>
        <v/>
      </c>
      <c r="DF45" s="98" t="str">
        <f>IF(DH45&lt;&gt;"",VLOOKUP($P45&amp;" | "&amp;DF$6,'Job Master'!$F$12:$J$102,5,0),"")</f>
        <v/>
      </c>
      <c r="DG45" s="19" t="str">
        <f>IF(DH45&lt;&gt;"",VLOOKUP($P45&amp;" | "&amp;DF$6,'Job Master'!$F$12:$J$102,3,0),"")</f>
        <v/>
      </c>
      <c r="DH45" s="19" t="str">
        <f>IFERROR(IF(AND(DO45&lt;&gt;"",VLOOKUP($P45&amp;" | "&amp;DF$6,'Job Master'!$F$12:$I$102,4,0)&lt;&gt;""),IF(WEEKDAY(DO45-VLOOKUP($P45&amp;" | "&amp;DF$6,'Job Master'!$F$12:$I$102,4,0))&lt;&gt;7,DO45-VLOOKUP($P45&amp;" | "&amp;DF$6,'Job Master'!$F$12:$I$102,4,0),DO45-VLOOKUP($P45&amp;" | "&amp;DF$6,'Job Master'!$F$12:$I$102,4,0)-1),""),"")</f>
        <v/>
      </c>
      <c r="DI45" s="73"/>
      <c r="DJ45" s="123" t="str">
        <f t="shared" si="46"/>
        <v/>
      </c>
      <c r="DK45" s="123" t="str">
        <f t="shared" si="47"/>
        <v/>
      </c>
      <c r="DL45" s="97" t="str">
        <f t="shared" ca="1" si="48"/>
        <v/>
      </c>
      <c r="DM45" s="98" t="str">
        <f>IF(DO45&lt;&gt;"",VLOOKUP($P45&amp;" | "&amp;DM$6,'Job Master'!$F$12:$J$102,5,0),"")</f>
        <v/>
      </c>
      <c r="DN45" s="19" t="str">
        <f>IF(DO45&lt;&gt;"",VLOOKUP($P45&amp;" | "&amp;DM$6,'Job Master'!$F$12:$J$102,3,0),"")</f>
        <v/>
      </c>
      <c r="DO45" s="19" t="str">
        <f>IFERROR(IF(AND(DT45&lt;&gt;"",VLOOKUP($P45&amp;" | "&amp;DM$6,'Job Master'!$F$12:$I$102,4,0)&lt;&gt;""),IF(WEEKDAY(DT45-VLOOKUP($P45&amp;" | "&amp;DM$6,'Job Master'!$F$12:$I$102,4,0))&lt;&gt;7,DT45-VLOOKUP($P45&amp;" | "&amp;DM$6,'Job Master'!$F$12:$I$102,4,0),DT45-VLOOKUP($P45&amp;" | "&amp;DM$6,'Job Master'!$F$12:$I$102,4,0)-1),""),"")</f>
        <v/>
      </c>
      <c r="DP45" s="73"/>
      <c r="DQ45" s="123" t="str">
        <f t="shared" si="49"/>
        <v/>
      </c>
      <c r="DR45" s="123" t="str">
        <f t="shared" si="50"/>
        <v/>
      </c>
      <c r="DS45" s="97" t="str">
        <f t="shared" ca="1" si="51"/>
        <v/>
      </c>
      <c r="DT45" s="70" t="str">
        <f t="shared" si="52"/>
        <v/>
      </c>
      <c r="DU45" s="90"/>
      <c r="DV45" s="123" t="str">
        <f t="shared" si="53"/>
        <v/>
      </c>
      <c r="DW45" s="123" t="str">
        <f t="shared" si="54"/>
        <v/>
      </c>
      <c r="DX45" s="132" t="str">
        <f t="shared" ref="DX45" ca="1" si="106">IF(DT45&lt;&gt;"",IF(WEEKNUM(DT45)=WEEKNUM(TODAY()),"This Week",IF(WEEKNUM(DT45)=WEEKNUM(TODAY())+1,"Next Week",IF(WEEKNUM(DT45)=WEEKNUM(TODAY())-1,"Previous Week",""))),"")</f>
        <v/>
      </c>
      <c r="DY45" s="134" t="str">
        <f t="shared" si="56"/>
        <v/>
      </c>
      <c r="DZ45" s="95"/>
      <c r="EB45" s="8" t="str">
        <f t="shared" si="67"/>
        <v/>
      </c>
      <c r="EC45" s="8" t="str">
        <f>IF(O45&lt;&gt;"",VLOOKUP(O45,'Job Master'!$N$12:$O$18,2,0),"")</f>
        <v/>
      </c>
      <c r="ED45" s="8">
        <f t="shared" si="68"/>
        <v>19.5</v>
      </c>
      <c r="EE45" s="8">
        <f t="shared" si="69"/>
        <v>6</v>
      </c>
      <c r="EF45" s="8">
        <f t="shared" si="70"/>
        <v>-190.5</v>
      </c>
      <c r="EG45" s="8" t="str">
        <f t="shared" si="71"/>
        <v/>
      </c>
      <c r="EH45" s="8" t="str">
        <f t="shared" si="72"/>
        <v/>
      </c>
    </row>
    <row r="46" spans="2:138" x14ac:dyDescent="0.3">
      <c r="B46" s="112"/>
      <c r="C46" s="27"/>
      <c r="D46" s="7" t="str">
        <f t="shared" si="1"/>
        <v/>
      </c>
      <c r="E46" s="25"/>
      <c r="F46" s="7" t="str">
        <f t="shared" si="1"/>
        <v/>
      </c>
      <c r="G46" s="25"/>
      <c r="H46" s="7" t="str">
        <f t="shared" si="1"/>
        <v/>
      </c>
      <c r="I46" s="25"/>
      <c r="J46" s="7" t="str">
        <f t="shared" si="1"/>
        <v/>
      </c>
      <c r="K46" s="25"/>
      <c r="L46" s="7" t="str">
        <f t="shared" si="2"/>
        <v/>
      </c>
      <c r="M46" s="25"/>
      <c r="N46" s="7" t="str">
        <f t="shared" si="3"/>
        <v/>
      </c>
      <c r="O46" s="81"/>
      <c r="P46" s="81" t="str">
        <f t="shared" si="4"/>
        <v/>
      </c>
      <c r="Q46" s="81"/>
      <c r="R46" s="7" t="str">
        <f t="shared" si="5"/>
        <v/>
      </c>
      <c r="S46" s="25"/>
      <c r="T46" s="7" t="str">
        <f t="shared" si="6"/>
        <v/>
      </c>
      <c r="U46" s="25"/>
      <c r="V46" s="7" t="str">
        <f t="shared" si="7"/>
        <v/>
      </c>
      <c r="W46" s="25"/>
      <c r="X46" s="7" t="str">
        <f t="shared" si="8"/>
        <v/>
      </c>
      <c r="Y46" s="18" t="str">
        <f t="shared" si="9"/>
        <v/>
      </c>
      <c r="Z46" s="7" t="str">
        <f t="shared" si="10"/>
        <v/>
      </c>
      <c r="AA46" s="18" t="str">
        <f t="shared" si="11"/>
        <v/>
      </c>
      <c r="AB46" s="19" t="str">
        <f t="shared" si="12"/>
        <v/>
      </c>
      <c r="AC46" s="26"/>
      <c r="AD46" s="26"/>
      <c r="AE46" s="25"/>
      <c r="AF46" s="26"/>
      <c r="AG46" s="25"/>
      <c r="AH46" s="25"/>
      <c r="AI46" s="18" t="str">
        <f t="shared" si="83"/>
        <v/>
      </c>
      <c r="AJ46" s="25"/>
      <c r="AK46" s="18" t="str">
        <f t="shared" si="84"/>
        <v/>
      </c>
      <c r="AL46" s="79"/>
      <c r="AM46" s="126" t="str">
        <f t="shared" si="85"/>
        <v/>
      </c>
      <c r="AN46" s="128" t="str">
        <f>IF(AP46&lt;&gt;"",VLOOKUP($P46&amp;" | "&amp;AN$6,'Job Master'!$F$12:$J$102,5,0),"")</f>
        <v/>
      </c>
      <c r="AO46" s="19" t="str">
        <f>IF(AP46&lt;&gt;"",VLOOKUP($P46&amp;" | "&amp;AN$6,'Job Master'!$F$12:$J$102,3,0),"")</f>
        <v/>
      </c>
      <c r="AP46" s="19" t="str">
        <f>IFERROR(IF(AND(AW46&lt;&gt;"",VLOOKUP($P46&amp;" | "&amp;AN$6,'Job Master'!$F$12:$I$102,4,0)&lt;&gt;""),IF(WEEKDAY(AW46-VLOOKUP($P46&amp;" | "&amp;AN$6,'Job Master'!$F$12:$I$102,4,0))&lt;&gt;7,AW46-VLOOKUP($P46&amp;" | "&amp;AN$6,'Job Master'!$F$12:$I$102,4,0),AW46-VLOOKUP($P46&amp;" | "&amp;AN$6,'Job Master'!$F$12:$I$102,4,0)-1),""),"")</f>
        <v/>
      </c>
      <c r="AQ46" s="73"/>
      <c r="AR46" s="123" t="str">
        <f t="shared" si="16"/>
        <v/>
      </c>
      <c r="AS46" s="123" t="str">
        <f t="shared" si="17"/>
        <v/>
      </c>
      <c r="AT46" s="97" t="str">
        <f t="shared" ca="1" si="18"/>
        <v/>
      </c>
      <c r="AU46" s="98" t="str">
        <f>IF(AW46&lt;&gt;"",VLOOKUP($P46&amp;" | "&amp;AU$6,'Job Master'!$F$12:$J$102,5,0),"")</f>
        <v/>
      </c>
      <c r="AV46" s="19" t="str">
        <f>IF(AW46&lt;&gt;"",VLOOKUP($P46&amp;" | "&amp;AU$6,'Job Master'!$F$12:$J$102,3,0),"")</f>
        <v/>
      </c>
      <c r="AW46" s="19" t="str">
        <f>IFERROR(IF(AND(BD46&lt;&gt;"",VLOOKUP($P46&amp;" | "&amp;AU$6,'Job Master'!$F$12:$I$102,4,0)&lt;&gt;""),IF(WEEKDAY(BD46-VLOOKUP($P46&amp;" | "&amp;AU$6,'Job Master'!$F$12:$I$102,4,0))&lt;&gt;7,BD46-VLOOKUP($P46&amp;" | "&amp;AU$6,'Job Master'!$F$12:$I$102,4,0),BD46-VLOOKUP($P46&amp;" | "&amp;AU$6,'Job Master'!$F$12:$I$102,4,0)-1),""),"")</f>
        <v/>
      </c>
      <c r="AX46" s="73"/>
      <c r="AY46" s="123" t="str">
        <f t="shared" si="19"/>
        <v/>
      </c>
      <c r="AZ46" s="123" t="str">
        <f t="shared" si="20"/>
        <v/>
      </c>
      <c r="BA46" s="97" t="str">
        <f t="shared" ca="1" si="21"/>
        <v/>
      </c>
      <c r="BB46" s="98" t="str">
        <f>IF(BD46&lt;&gt;"",VLOOKUP($P46&amp;" | "&amp;BB$6,'Job Master'!$F$12:$J$102,5,0),"")</f>
        <v/>
      </c>
      <c r="BC46" s="19" t="str">
        <f>IF(BD46&lt;&gt;"",VLOOKUP($P46&amp;" | "&amp;BB$6,'Job Master'!$F$12:$J$102,3,0),"")</f>
        <v/>
      </c>
      <c r="BD46" s="19" t="str">
        <f>IFERROR(IF(AND(BK46&lt;&gt;"",VLOOKUP($P46&amp;" | "&amp;BB$6,'Job Master'!$F$12:$I$102,4,0)&lt;&gt;""),IF(WEEKDAY(BK46-VLOOKUP($P46&amp;" | "&amp;BB$6,'Job Master'!$F$12:$I$102,4,0))&lt;&gt;7,BK46-VLOOKUP($P46&amp;" | "&amp;BB$6,'Job Master'!$F$12:$I$102,4,0),BK46-VLOOKUP($P46&amp;" | "&amp;BB$6,'Job Master'!$F$12:$I$102,4,0)-1),""),"")</f>
        <v/>
      </c>
      <c r="BE46" s="73"/>
      <c r="BF46" s="123" t="str">
        <f t="shared" si="22"/>
        <v/>
      </c>
      <c r="BG46" s="123" t="str">
        <f t="shared" si="23"/>
        <v/>
      </c>
      <c r="BH46" s="97" t="str">
        <f t="shared" ca="1" si="24"/>
        <v/>
      </c>
      <c r="BI46" s="98" t="str">
        <f>IF(BK46&lt;&gt;"",VLOOKUP($P46&amp;" | "&amp;BI$6,'Job Master'!$F$12:$J$102,5,0),"")</f>
        <v/>
      </c>
      <c r="BJ46" s="19" t="str">
        <f>IF(BK46&lt;&gt;"",VLOOKUP($P46&amp;" | "&amp;BI$6,'Job Master'!$F$12:$J$102,3,0),"")</f>
        <v/>
      </c>
      <c r="BK46" s="19" t="str">
        <f>IFERROR(IF(AND(BR46&lt;&gt;"",VLOOKUP($P46&amp;" | "&amp;BI$6,'Job Master'!$F$12:$I$102,4,0)&lt;&gt;""),IF(WEEKDAY(BR46-VLOOKUP($P46&amp;" | "&amp;BI$6,'Job Master'!$F$12:$I$102,4,0))&lt;&gt;7,BR46-VLOOKUP($P46&amp;" | "&amp;BI$6,'Job Master'!$F$12:$I$102,4,0),BR46-VLOOKUP($P46&amp;" | "&amp;BI$6,'Job Master'!$F$12:$I$102,4,0)-1),""),"")</f>
        <v/>
      </c>
      <c r="BL46" s="73"/>
      <c r="BM46" s="123" t="str">
        <f t="shared" si="25"/>
        <v/>
      </c>
      <c r="BN46" s="123" t="str">
        <f t="shared" si="26"/>
        <v/>
      </c>
      <c r="BO46" s="97" t="str">
        <f t="shared" ca="1" si="27"/>
        <v/>
      </c>
      <c r="BP46" s="98" t="str">
        <f>IF(BR46&lt;&gt;"",VLOOKUP($P46&amp;" | "&amp;BP$6,'Job Master'!$F$12:$J$102,5,0),"")</f>
        <v/>
      </c>
      <c r="BQ46" s="19" t="str">
        <f>IF(BR46&lt;&gt;"",VLOOKUP($P46&amp;" | "&amp;BP$6,'Job Master'!$F$12:$J$102,3,0),"")</f>
        <v/>
      </c>
      <c r="BR46" s="19" t="str">
        <f>IFERROR(IF(AND(BY46&lt;&gt;"",VLOOKUP($P46&amp;" | "&amp;BP$6,'Job Master'!$F$12:$I$102,4,0)&lt;&gt;""),IF(WEEKDAY(BY46-VLOOKUP($P46&amp;" | "&amp;BP$6,'Job Master'!$F$12:$I$102,4,0))&lt;&gt;7,BY46-VLOOKUP($P46&amp;" | "&amp;BP$6,'Job Master'!$F$12:$I$102,4,0),BY46-VLOOKUP($P46&amp;" | "&amp;BP$6,'Job Master'!$F$12:$I$102,4,0)-1),""),"")</f>
        <v/>
      </c>
      <c r="BS46" s="73"/>
      <c r="BT46" s="123" t="str">
        <f t="shared" si="28"/>
        <v/>
      </c>
      <c r="BU46" s="123" t="str">
        <f t="shared" si="29"/>
        <v/>
      </c>
      <c r="BV46" s="97" t="str">
        <f t="shared" ca="1" si="30"/>
        <v/>
      </c>
      <c r="BW46" s="98" t="str">
        <f>IF(BY46&lt;&gt;"",VLOOKUP($P46&amp;" | "&amp;BW$6,'Job Master'!$F$12:$J$102,5,0),"")</f>
        <v/>
      </c>
      <c r="BX46" s="19" t="str">
        <f>IF(BY46&lt;&gt;"",VLOOKUP($P46&amp;" | "&amp;BW$6,'Job Master'!$F$12:$J$102,3,0),"")</f>
        <v/>
      </c>
      <c r="BY46" s="19" t="str">
        <f>IFERROR(IF(AND(CF46&lt;&gt;"",VLOOKUP($P46&amp;" | "&amp;BW$6,'Job Master'!$F$12:$I$102,4,0)&lt;&gt;""),IF(WEEKDAY(CF46-VLOOKUP($P46&amp;" | "&amp;BW$6,'Job Master'!$F$12:$I$102,4,0))&lt;&gt;7,CF46-VLOOKUP($P46&amp;" | "&amp;BW$6,'Job Master'!$F$12:$I$102,4,0),CF46-VLOOKUP($P46&amp;" | "&amp;BW$6,'Job Master'!$F$12:$I$102,4,0)-1),""),"")</f>
        <v/>
      </c>
      <c r="BZ46" s="73"/>
      <c r="CA46" s="123" t="str">
        <f t="shared" si="31"/>
        <v/>
      </c>
      <c r="CB46" s="123" t="str">
        <f t="shared" si="32"/>
        <v/>
      </c>
      <c r="CC46" s="97" t="str">
        <f t="shared" ca="1" si="33"/>
        <v/>
      </c>
      <c r="CD46" s="98" t="str">
        <f>IF(CF46&lt;&gt;"",VLOOKUP($P46&amp;" | "&amp;CD$6,'Job Master'!$F$12:$J$102,5,0),"")</f>
        <v/>
      </c>
      <c r="CE46" s="19" t="str">
        <f>IF(CF46&lt;&gt;"",VLOOKUP($P46&amp;" | "&amp;CD$6,'Job Master'!$F$12:$J$102,3,0),"")</f>
        <v/>
      </c>
      <c r="CF46" s="19" t="str">
        <f>IFERROR(IF(AND(CM46&lt;&gt;"",VLOOKUP($P46&amp;" | "&amp;CD$6,'Job Master'!$F$12:$I$102,4,0)&lt;&gt;""),IF(WEEKDAY(CM46-VLOOKUP($P46&amp;" | "&amp;CD$6,'Job Master'!$F$12:$I$102,4,0))&lt;&gt;7,CM46-VLOOKUP($P46&amp;" | "&amp;CD$6,'Job Master'!$F$12:$I$102,4,0),CM46-VLOOKUP($P46&amp;" | "&amp;CD$6,'Job Master'!$F$12:$I$102,4,0)-1),""),"")</f>
        <v/>
      </c>
      <c r="CG46" s="73"/>
      <c r="CH46" s="123" t="str">
        <f t="shared" si="34"/>
        <v/>
      </c>
      <c r="CI46" s="123" t="str">
        <f t="shared" si="35"/>
        <v/>
      </c>
      <c r="CJ46" s="97" t="str">
        <f t="shared" ca="1" si="36"/>
        <v/>
      </c>
      <c r="CK46" s="98" t="str">
        <f>IF(CM46&lt;&gt;"",VLOOKUP($P46&amp;" | "&amp;CK$6,'Job Master'!$F$12:$J$102,5,0),"")</f>
        <v/>
      </c>
      <c r="CL46" s="19" t="str">
        <f>IF(CM46&lt;&gt;"",VLOOKUP($P46&amp;" | "&amp;CK$6,'Job Master'!$F$12:$J$102,3,0),"")</f>
        <v/>
      </c>
      <c r="CM46" s="19" t="str">
        <f>IFERROR(IF(AND(CT46&lt;&gt;"",VLOOKUP($P46&amp;" | "&amp;CK$6,'Job Master'!$F$12:$I$102,4,0)&lt;&gt;""),IF(WEEKDAY(CT46-VLOOKUP($P46&amp;" | "&amp;CK$6,'Job Master'!$F$12:$I$102,4,0))&lt;&gt;7,CT46-VLOOKUP($P46&amp;" | "&amp;CK$6,'Job Master'!$F$12:$I$102,4,0),CT46-VLOOKUP($P46&amp;" | "&amp;CK$6,'Job Master'!$F$12:$I$102,4,0)-1),""),"")</f>
        <v/>
      </c>
      <c r="CN46" s="73"/>
      <c r="CO46" s="123" t="str">
        <f t="shared" si="37"/>
        <v/>
      </c>
      <c r="CP46" s="123" t="str">
        <f t="shared" si="38"/>
        <v/>
      </c>
      <c r="CQ46" s="97" t="str">
        <f t="shared" ca="1" si="39"/>
        <v/>
      </c>
      <c r="CR46" s="98" t="str">
        <f>IF(CT46&lt;&gt;"",VLOOKUP($P46&amp;" | "&amp;CR$6,'Job Master'!$F$12:$J$102,5,0),"")</f>
        <v/>
      </c>
      <c r="CS46" s="19" t="str">
        <f>IF(CT46&lt;&gt;"",VLOOKUP($P46&amp;" | "&amp;CR$6,'Job Master'!$F$12:$J$102,3,0),"")</f>
        <v/>
      </c>
      <c r="CT46" s="19" t="str">
        <f>IFERROR(IF(AND(DA46&lt;&gt;"",VLOOKUP($P46&amp;" | "&amp;CR$6,'Job Master'!$F$12:$I$102,4,0)&lt;&gt;""),IF(WEEKDAY(DA46-VLOOKUP($P46&amp;" | "&amp;CR$6,'Job Master'!$F$12:$I$102,4,0))&lt;&gt;7,DA46-VLOOKUP($P46&amp;" | "&amp;CR$6,'Job Master'!$F$12:$I$102,4,0),DA46-VLOOKUP($P46&amp;" | "&amp;CR$6,'Job Master'!$F$12:$I$102,4,0)-1),""),"")</f>
        <v/>
      </c>
      <c r="CU46" s="73"/>
      <c r="CV46" s="123" t="str">
        <f t="shared" si="40"/>
        <v/>
      </c>
      <c r="CW46" s="123" t="str">
        <f t="shared" si="41"/>
        <v/>
      </c>
      <c r="CX46" s="97" t="str">
        <f t="shared" ca="1" si="42"/>
        <v/>
      </c>
      <c r="CY46" s="98" t="str">
        <f>IF(DA46&lt;&gt;"",VLOOKUP($P46&amp;" | "&amp;CY$6,'Job Master'!$F$12:$J$102,5,0),"")</f>
        <v/>
      </c>
      <c r="CZ46" s="19" t="str">
        <f>IF(DA46&lt;&gt;"",VLOOKUP($P46&amp;" | "&amp;CY$6,'Job Master'!$F$12:$J$102,3,0),"")</f>
        <v/>
      </c>
      <c r="DA46" s="19" t="str">
        <f>IFERROR(IF(AND(DH46&lt;&gt;"",VLOOKUP($P46&amp;" | "&amp;CY$6,'Job Master'!$F$12:$I$102,4,0)&lt;&gt;""),IF(WEEKDAY(DH46-VLOOKUP($P46&amp;" | "&amp;CY$6,'Job Master'!$F$12:$I$102,4,0))&lt;&gt;7,DH46-VLOOKUP($P46&amp;" | "&amp;CY$6,'Job Master'!$F$12:$I$102,4,0),DH46-VLOOKUP($P46&amp;" | "&amp;CY$6,'Job Master'!$F$12:$I$102,4,0)-1),""),"")</f>
        <v/>
      </c>
      <c r="DB46" s="73"/>
      <c r="DC46" s="123" t="str">
        <f t="shared" si="43"/>
        <v/>
      </c>
      <c r="DD46" s="123" t="str">
        <f t="shared" si="44"/>
        <v/>
      </c>
      <c r="DE46" s="97" t="str">
        <f t="shared" ca="1" si="45"/>
        <v/>
      </c>
      <c r="DF46" s="98" t="str">
        <f>IF(DH46&lt;&gt;"",VLOOKUP($P46&amp;" | "&amp;DF$6,'Job Master'!$F$12:$J$102,5,0),"")</f>
        <v/>
      </c>
      <c r="DG46" s="19" t="str">
        <f>IF(DH46&lt;&gt;"",VLOOKUP($P46&amp;" | "&amp;DF$6,'Job Master'!$F$12:$J$102,3,0),"")</f>
        <v/>
      </c>
      <c r="DH46" s="19" t="str">
        <f>IFERROR(IF(AND(DO46&lt;&gt;"",VLOOKUP($P46&amp;" | "&amp;DF$6,'Job Master'!$F$12:$I$102,4,0)&lt;&gt;""),IF(WEEKDAY(DO46-VLOOKUP($P46&amp;" | "&amp;DF$6,'Job Master'!$F$12:$I$102,4,0))&lt;&gt;7,DO46-VLOOKUP($P46&amp;" | "&amp;DF$6,'Job Master'!$F$12:$I$102,4,0),DO46-VLOOKUP($P46&amp;" | "&amp;DF$6,'Job Master'!$F$12:$I$102,4,0)-1),""),"")</f>
        <v/>
      </c>
      <c r="DI46" s="73"/>
      <c r="DJ46" s="123" t="str">
        <f t="shared" si="46"/>
        <v/>
      </c>
      <c r="DK46" s="123" t="str">
        <f t="shared" si="47"/>
        <v/>
      </c>
      <c r="DL46" s="97" t="str">
        <f t="shared" ca="1" si="48"/>
        <v/>
      </c>
      <c r="DM46" s="98" t="str">
        <f>IF(DO46&lt;&gt;"",VLOOKUP($P46&amp;" | "&amp;DM$6,'Job Master'!$F$12:$J$102,5,0),"")</f>
        <v/>
      </c>
      <c r="DN46" s="19" t="str">
        <f>IF(DO46&lt;&gt;"",VLOOKUP($P46&amp;" | "&amp;DM$6,'Job Master'!$F$12:$J$102,3,0),"")</f>
        <v/>
      </c>
      <c r="DO46" s="19" t="str">
        <f>IFERROR(IF(AND(DT46&lt;&gt;"",VLOOKUP($P46&amp;" | "&amp;DM$6,'Job Master'!$F$12:$I$102,4,0)&lt;&gt;""),IF(WEEKDAY(DT46-VLOOKUP($P46&amp;" | "&amp;DM$6,'Job Master'!$F$12:$I$102,4,0))&lt;&gt;7,DT46-VLOOKUP($P46&amp;" | "&amp;DM$6,'Job Master'!$F$12:$I$102,4,0),DT46-VLOOKUP($P46&amp;" | "&amp;DM$6,'Job Master'!$F$12:$I$102,4,0)-1),""),"")</f>
        <v/>
      </c>
      <c r="DP46" s="73"/>
      <c r="DQ46" s="123" t="str">
        <f t="shared" si="49"/>
        <v/>
      </c>
      <c r="DR46" s="123" t="str">
        <f t="shared" si="50"/>
        <v/>
      </c>
      <c r="DS46" s="97" t="str">
        <f t="shared" ca="1" si="51"/>
        <v/>
      </c>
      <c r="DT46" s="70" t="str">
        <f t="shared" si="52"/>
        <v/>
      </c>
      <c r="DU46" s="90"/>
      <c r="DV46" s="123" t="str">
        <f t="shared" si="53"/>
        <v/>
      </c>
      <c r="DW46" s="123" t="str">
        <f t="shared" si="54"/>
        <v/>
      </c>
      <c r="DX46" s="132" t="str">
        <f t="shared" ref="DX46" ca="1" si="107">IF(DT46&lt;&gt;"",IF(WEEKNUM(DT46)=WEEKNUM(TODAY()),"This Week",IF(WEEKNUM(DT46)=WEEKNUM(TODAY())+1,"Next Week",IF(WEEKNUM(DT46)=WEEKNUM(TODAY())-1,"Previous Week",""))),"")</f>
        <v/>
      </c>
      <c r="DY46" s="134" t="str">
        <f t="shared" si="56"/>
        <v/>
      </c>
      <c r="DZ46" s="95"/>
      <c r="EB46" s="8" t="str">
        <f t="shared" si="67"/>
        <v/>
      </c>
      <c r="EC46" s="8" t="str">
        <f>IF(O46&lt;&gt;"",VLOOKUP(O46,'Job Master'!$N$12:$O$18,2,0),"")</f>
        <v/>
      </c>
      <c r="ED46" s="8">
        <f t="shared" si="68"/>
        <v>19.5</v>
      </c>
      <c r="EE46" s="8">
        <f t="shared" si="69"/>
        <v>6</v>
      </c>
      <c r="EF46" s="8">
        <f t="shared" si="70"/>
        <v>-196.5</v>
      </c>
      <c r="EG46" s="8" t="str">
        <f t="shared" si="71"/>
        <v/>
      </c>
      <c r="EH46" s="8" t="str">
        <f t="shared" si="72"/>
        <v/>
      </c>
    </row>
    <row r="47" spans="2:138" x14ac:dyDescent="0.3">
      <c r="B47" s="112"/>
      <c r="C47" s="27"/>
      <c r="D47" s="7" t="str">
        <f t="shared" si="1"/>
        <v/>
      </c>
      <c r="E47" s="25"/>
      <c r="F47" s="7" t="str">
        <f t="shared" si="1"/>
        <v/>
      </c>
      <c r="G47" s="25"/>
      <c r="H47" s="7" t="str">
        <f t="shared" si="1"/>
        <v/>
      </c>
      <c r="I47" s="25"/>
      <c r="J47" s="7" t="str">
        <f t="shared" si="1"/>
        <v/>
      </c>
      <c r="K47" s="25"/>
      <c r="L47" s="7" t="str">
        <f t="shared" si="2"/>
        <v/>
      </c>
      <c r="M47" s="25"/>
      <c r="N47" s="7" t="str">
        <f t="shared" si="3"/>
        <v/>
      </c>
      <c r="O47" s="81"/>
      <c r="P47" s="81" t="str">
        <f t="shared" si="4"/>
        <v/>
      </c>
      <c r="Q47" s="81"/>
      <c r="R47" s="7" t="str">
        <f t="shared" si="5"/>
        <v/>
      </c>
      <c r="S47" s="25"/>
      <c r="T47" s="7" t="str">
        <f t="shared" si="6"/>
        <v/>
      </c>
      <c r="U47" s="25"/>
      <c r="V47" s="7" t="str">
        <f t="shared" si="7"/>
        <v/>
      </c>
      <c r="W47" s="25"/>
      <c r="X47" s="7" t="str">
        <f t="shared" si="8"/>
        <v/>
      </c>
      <c r="Y47" s="18" t="str">
        <f t="shared" si="9"/>
        <v/>
      </c>
      <c r="Z47" s="7" t="str">
        <f t="shared" si="10"/>
        <v/>
      </c>
      <c r="AA47" s="18" t="str">
        <f t="shared" si="11"/>
        <v/>
      </c>
      <c r="AB47" s="19" t="str">
        <f t="shared" si="12"/>
        <v/>
      </c>
      <c r="AC47" s="26"/>
      <c r="AD47" s="26"/>
      <c r="AE47" s="25"/>
      <c r="AF47" s="26"/>
      <c r="AG47" s="25"/>
      <c r="AH47" s="25"/>
      <c r="AI47" s="18" t="str">
        <f t="shared" si="83"/>
        <v/>
      </c>
      <c r="AJ47" s="25"/>
      <c r="AK47" s="18" t="str">
        <f t="shared" si="84"/>
        <v/>
      </c>
      <c r="AL47" s="79"/>
      <c r="AM47" s="126" t="str">
        <f t="shared" si="85"/>
        <v/>
      </c>
      <c r="AN47" s="128" t="str">
        <f>IF(AP47&lt;&gt;"",VLOOKUP($P47&amp;" | "&amp;AN$6,'Job Master'!$F$12:$J$102,5,0),"")</f>
        <v/>
      </c>
      <c r="AO47" s="19" t="str">
        <f>IF(AP47&lt;&gt;"",VLOOKUP($P47&amp;" | "&amp;AN$6,'Job Master'!$F$12:$J$102,3,0),"")</f>
        <v/>
      </c>
      <c r="AP47" s="19" t="str">
        <f>IFERROR(IF(AND(AW47&lt;&gt;"",VLOOKUP($P47&amp;" | "&amp;AN$6,'Job Master'!$F$12:$I$102,4,0)&lt;&gt;""),IF(WEEKDAY(AW47-VLOOKUP($P47&amp;" | "&amp;AN$6,'Job Master'!$F$12:$I$102,4,0))&lt;&gt;7,AW47-VLOOKUP($P47&amp;" | "&amp;AN$6,'Job Master'!$F$12:$I$102,4,0),AW47-VLOOKUP($P47&amp;" | "&amp;AN$6,'Job Master'!$F$12:$I$102,4,0)-1),""),"")</f>
        <v/>
      </c>
      <c r="AQ47" s="73"/>
      <c r="AR47" s="123" t="str">
        <f t="shared" si="16"/>
        <v/>
      </c>
      <c r="AS47" s="123" t="str">
        <f t="shared" si="17"/>
        <v/>
      </c>
      <c r="AT47" s="97" t="str">
        <f t="shared" ca="1" si="18"/>
        <v/>
      </c>
      <c r="AU47" s="98" t="str">
        <f>IF(AW47&lt;&gt;"",VLOOKUP($P47&amp;" | "&amp;AU$6,'Job Master'!$F$12:$J$102,5,0),"")</f>
        <v/>
      </c>
      <c r="AV47" s="19" t="str">
        <f>IF(AW47&lt;&gt;"",VLOOKUP($P47&amp;" | "&amp;AU$6,'Job Master'!$F$12:$J$102,3,0),"")</f>
        <v/>
      </c>
      <c r="AW47" s="19" t="str">
        <f>IFERROR(IF(AND(BD47&lt;&gt;"",VLOOKUP($P47&amp;" | "&amp;AU$6,'Job Master'!$F$12:$I$102,4,0)&lt;&gt;""),IF(WEEKDAY(BD47-VLOOKUP($P47&amp;" | "&amp;AU$6,'Job Master'!$F$12:$I$102,4,0))&lt;&gt;7,BD47-VLOOKUP($P47&amp;" | "&amp;AU$6,'Job Master'!$F$12:$I$102,4,0),BD47-VLOOKUP($P47&amp;" | "&amp;AU$6,'Job Master'!$F$12:$I$102,4,0)-1),""),"")</f>
        <v/>
      </c>
      <c r="AX47" s="73"/>
      <c r="AY47" s="123" t="str">
        <f t="shared" si="19"/>
        <v/>
      </c>
      <c r="AZ47" s="123" t="str">
        <f t="shared" si="20"/>
        <v/>
      </c>
      <c r="BA47" s="97" t="str">
        <f t="shared" ca="1" si="21"/>
        <v/>
      </c>
      <c r="BB47" s="98" t="str">
        <f>IF(BD47&lt;&gt;"",VLOOKUP($P47&amp;" | "&amp;BB$6,'Job Master'!$F$12:$J$102,5,0),"")</f>
        <v/>
      </c>
      <c r="BC47" s="19" t="str">
        <f>IF(BD47&lt;&gt;"",VLOOKUP($P47&amp;" | "&amp;BB$6,'Job Master'!$F$12:$J$102,3,0),"")</f>
        <v/>
      </c>
      <c r="BD47" s="19" t="str">
        <f>IFERROR(IF(AND(BK47&lt;&gt;"",VLOOKUP($P47&amp;" | "&amp;BB$6,'Job Master'!$F$12:$I$102,4,0)&lt;&gt;""),IF(WEEKDAY(BK47-VLOOKUP($P47&amp;" | "&amp;BB$6,'Job Master'!$F$12:$I$102,4,0))&lt;&gt;7,BK47-VLOOKUP($P47&amp;" | "&amp;BB$6,'Job Master'!$F$12:$I$102,4,0),BK47-VLOOKUP($P47&amp;" | "&amp;BB$6,'Job Master'!$F$12:$I$102,4,0)-1),""),"")</f>
        <v/>
      </c>
      <c r="BE47" s="73"/>
      <c r="BF47" s="123" t="str">
        <f t="shared" si="22"/>
        <v/>
      </c>
      <c r="BG47" s="123" t="str">
        <f t="shared" si="23"/>
        <v/>
      </c>
      <c r="BH47" s="97" t="str">
        <f t="shared" ca="1" si="24"/>
        <v/>
      </c>
      <c r="BI47" s="98" t="str">
        <f>IF(BK47&lt;&gt;"",VLOOKUP($P47&amp;" | "&amp;BI$6,'Job Master'!$F$12:$J$102,5,0),"")</f>
        <v/>
      </c>
      <c r="BJ47" s="19" t="str">
        <f>IF(BK47&lt;&gt;"",VLOOKUP($P47&amp;" | "&amp;BI$6,'Job Master'!$F$12:$J$102,3,0),"")</f>
        <v/>
      </c>
      <c r="BK47" s="19" t="str">
        <f>IFERROR(IF(AND(BR47&lt;&gt;"",VLOOKUP($P47&amp;" | "&amp;BI$6,'Job Master'!$F$12:$I$102,4,0)&lt;&gt;""),IF(WEEKDAY(BR47-VLOOKUP($P47&amp;" | "&amp;BI$6,'Job Master'!$F$12:$I$102,4,0))&lt;&gt;7,BR47-VLOOKUP($P47&amp;" | "&amp;BI$6,'Job Master'!$F$12:$I$102,4,0),BR47-VLOOKUP($P47&amp;" | "&amp;BI$6,'Job Master'!$F$12:$I$102,4,0)-1),""),"")</f>
        <v/>
      </c>
      <c r="BL47" s="73"/>
      <c r="BM47" s="123" t="str">
        <f t="shared" si="25"/>
        <v/>
      </c>
      <c r="BN47" s="123" t="str">
        <f t="shared" si="26"/>
        <v/>
      </c>
      <c r="BO47" s="97" t="str">
        <f t="shared" ca="1" si="27"/>
        <v/>
      </c>
      <c r="BP47" s="98" t="str">
        <f>IF(BR47&lt;&gt;"",VLOOKUP($P47&amp;" | "&amp;BP$6,'Job Master'!$F$12:$J$102,5,0),"")</f>
        <v/>
      </c>
      <c r="BQ47" s="19" t="str">
        <f>IF(BR47&lt;&gt;"",VLOOKUP($P47&amp;" | "&amp;BP$6,'Job Master'!$F$12:$J$102,3,0),"")</f>
        <v/>
      </c>
      <c r="BR47" s="19" t="str">
        <f>IFERROR(IF(AND(BY47&lt;&gt;"",VLOOKUP($P47&amp;" | "&amp;BP$6,'Job Master'!$F$12:$I$102,4,0)&lt;&gt;""),IF(WEEKDAY(BY47-VLOOKUP($P47&amp;" | "&amp;BP$6,'Job Master'!$F$12:$I$102,4,0))&lt;&gt;7,BY47-VLOOKUP($P47&amp;" | "&amp;BP$6,'Job Master'!$F$12:$I$102,4,0),BY47-VLOOKUP($P47&amp;" | "&amp;BP$6,'Job Master'!$F$12:$I$102,4,0)-1),""),"")</f>
        <v/>
      </c>
      <c r="BS47" s="73"/>
      <c r="BT47" s="123" t="str">
        <f t="shared" si="28"/>
        <v/>
      </c>
      <c r="BU47" s="123" t="str">
        <f t="shared" si="29"/>
        <v/>
      </c>
      <c r="BV47" s="97" t="str">
        <f t="shared" ca="1" si="30"/>
        <v/>
      </c>
      <c r="BW47" s="98" t="str">
        <f>IF(BY47&lt;&gt;"",VLOOKUP($P47&amp;" | "&amp;BW$6,'Job Master'!$F$12:$J$102,5,0),"")</f>
        <v/>
      </c>
      <c r="BX47" s="19" t="str">
        <f>IF(BY47&lt;&gt;"",VLOOKUP($P47&amp;" | "&amp;BW$6,'Job Master'!$F$12:$J$102,3,0),"")</f>
        <v/>
      </c>
      <c r="BY47" s="19" t="str">
        <f>IFERROR(IF(AND(CF47&lt;&gt;"",VLOOKUP($P47&amp;" | "&amp;BW$6,'Job Master'!$F$12:$I$102,4,0)&lt;&gt;""),IF(WEEKDAY(CF47-VLOOKUP($P47&amp;" | "&amp;BW$6,'Job Master'!$F$12:$I$102,4,0))&lt;&gt;7,CF47-VLOOKUP($P47&amp;" | "&amp;BW$6,'Job Master'!$F$12:$I$102,4,0),CF47-VLOOKUP($P47&amp;" | "&amp;BW$6,'Job Master'!$F$12:$I$102,4,0)-1),""),"")</f>
        <v/>
      </c>
      <c r="BZ47" s="73"/>
      <c r="CA47" s="123" t="str">
        <f t="shared" si="31"/>
        <v/>
      </c>
      <c r="CB47" s="123" t="str">
        <f t="shared" si="32"/>
        <v/>
      </c>
      <c r="CC47" s="97" t="str">
        <f t="shared" ca="1" si="33"/>
        <v/>
      </c>
      <c r="CD47" s="98" t="str">
        <f>IF(CF47&lt;&gt;"",VLOOKUP($P47&amp;" | "&amp;CD$6,'Job Master'!$F$12:$J$102,5,0),"")</f>
        <v/>
      </c>
      <c r="CE47" s="19" t="str">
        <f>IF(CF47&lt;&gt;"",VLOOKUP($P47&amp;" | "&amp;CD$6,'Job Master'!$F$12:$J$102,3,0),"")</f>
        <v/>
      </c>
      <c r="CF47" s="19" t="str">
        <f>IFERROR(IF(AND(CM47&lt;&gt;"",VLOOKUP($P47&amp;" | "&amp;CD$6,'Job Master'!$F$12:$I$102,4,0)&lt;&gt;""),IF(WEEKDAY(CM47-VLOOKUP($P47&amp;" | "&amp;CD$6,'Job Master'!$F$12:$I$102,4,0))&lt;&gt;7,CM47-VLOOKUP($P47&amp;" | "&amp;CD$6,'Job Master'!$F$12:$I$102,4,0),CM47-VLOOKUP($P47&amp;" | "&amp;CD$6,'Job Master'!$F$12:$I$102,4,0)-1),""),"")</f>
        <v/>
      </c>
      <c r="CG47" s="73"/>
      <c r="CH47" s="123" t="str">
        <f t="shared" si="34"/>
        <v/>
      </c>
      <c r="CI47" s="123" t="str">
        <f t="shared" si="35"/>
        <v/>
      </c>
      <c r="CJ47" s="97" t="str">
        <f t="shared" ca="1" si="36"/>
        <v/>
      </c>
      <c r="CK47" s="98" t="str">
        <f>IF(CM47&lt;&gt;"",VLOOKUP($P47&amp;" | "&amp;CK$6,'Job Master'!$F$12:$J$102,5,0),"")</f>
        <v/>
      </c>
      <c r="CL47" s="19" t="str">
        <f>IF(CM47&lt;&gt;"",VLOOKUP($P47&amp;" | "&amp;CK$6,'Job Master'!$F$12:$J$102,3,0),"")</f>
        <v/>
      </c>
      <c r="CM47" s="19" t="str">
        <f>IFERROR(IF(AND(CT47&lt;&gt;"",VLOOKUP($P47&amp;" | "&amp;CK$6,'Job Master'!$F$12:$I$102,4,0)&lt;&gt;""),IF(WEEKDAY(CT47-VLOOKUP($P47&amp;" | "&amp;CK$6,'Job Master'!$F$12:$I$102,4,0))&lt;&gt;7,CT47-VLOOKUP($P47&amp;" | "&amp;CK$6,'Job Master'!$F$12:$I$102,4,0),CT47-VLOOKUP($P47&amp;" | "&amp;CK$6,'Job Master'!$F$12:$I$102,4,0)-1),""),"")</f>
        <v/>
      </c>
      <c r="CN47" s="73"/>
      <c r="CO47" s="123" t="str">
        <f t="shared" si="37"/>
        <v/>
      </c>
      <c r="CP47" s="123" t="str">
        <f t="shared" si="38"/>
        <v/>
      </c>
      <c r="CQ47" s="97" t="str">
        <f t="shared" ca="1" si="39"/>
        <v/>
      </c>
      <c r="CR47" s="98" t="str">
        <f>IF(CT47&lt;&gt;"",VLOOKUP($P47&amp;" | "&amp;CR$6,'Job Master'!$F$12:$J$102,5,0),"")</f>
        <v/>
      </c>
      <c r="CS47" s="19" t="str">
        <f>IF(CT47&lt;&gt;"",VLOOKUP($P47&amp;" | "&amp;CR$6,'Job Master'!$F$12:$J$102,3,0),"")</f>
        <v/>
      </c>
      <c r="CT47" s="19" t="str">
        <f>IFERROR(IF(AND(DA47&lt;&gt;"",VLOOKUP($P47&amp;" | "&amp;CR$6,'Job Master'!$F$12:$I$102,4,0)&lt;&gt;""),IF(WEEKDAY(DA47-VLOOKUP($P47&amp;" | "&amp;CR$6,'Job Master'!$F$12:$I$102,4,0))&lt;&gt;7,DA47-VLOOKUP($P47&amp;" | "&amp;CR$6,'Job Master'!$F$12:$I$102,4,0),DA47-VLOOKUP($P47&amp;" | "&amp;CR$6,'Job Master'!$F$12:$I$102,4,0)-1),""),"")</f>
        <v/>
      </c>
      <c r="CU47" s="73"/>
      <c r="CV47" s="123" t="str">
        <f t="shared" si="40"/>
        <v/>
      </c>
      <c r="CW47" s="123" t="str">
        <f t="shared" si="41"/>
        <v/>
      </c>
      <c r="CX47" s="97" t="str">
        <f t="shared" ca="1" si="42"/>
        <v/>
      </c>
      <c r="CY47" s="98" t="str">
        <f>IF(DA47&lt;&gt;"",VLOOKUP($P47&amp;" | "&amp;CY$6,'Job Master'!$F$12:$J$102,5,0),"")</f>
        <v/>
      </c>
      <c r="CZ47" s="19" t="str">
        <f>IF(DA47&lt;&gt;"",VLOOKUP($P47&amp;" | "&amp;CY$6,'Job Master'!$F$12:$J$102,3,0),"")</f>
        <v/>
      </c>
      <c r="DA47" s="19" t="str">
        <f>IFERROR(IF(AND(DH47&lt;&gt;"",VLOOKUP($P47&amp;" | "&amp;CY$6,'Job Master'!$F$12:$I$102,4,0)&lt;&gt;""),IF(WEEKDAY(DH47-VLOOKUP($P47&amp;" | "&amp;CY$6,'Job Master'!$F$12:$I$102,4,0))&lt;&gt;7,DH47-VLOOKUP($P47&amp;" | "&amp;CY$6,'Job Master'!$F$12:$I$102,4,0),DH47-VLOOKUP($P47&amp;" | "&amp;CY$6,'Job Master'!$F$12:$I$102,4,0)-1),""),"")</f>
        <v/>
      </c>
      <c r="DB47" s="73"/>
      <c r="DC47" s="123" t="str">
        <f t="shared" si="43"/>
        <v/>
      </c>
      <c r="DD47" s="123" t="str">
        <f t="shared" si="44"/>
        <v/>
      </c>
      <c r="DE47" s="97" t="str">
        <f t="shared" ca="1" si="45"/>
        <v/>
      </c>
      <c r="DF47" s="98" t="str">
        <f>IF(DH47&lt;&gt;"",VLOOKUP($P47&amp;" | "&amp;DF$6,'Job Master'!$F$12:$J$102,5,0),"")</f>
        <v/>
      </c>
      <c r="DG47" s="19" t="str">
        <f>IF(DH47&lt;&gt;"",VLOOKUP($P47&amp;" | "&amp;DF$6,'Job Master'!$F$12:$J$102,3,0),"")</f>
        <v/>
      </c>
      <c r="DH47" s="19" t="str">
        <f>IFERROR(IF(AND(DO47&lt;&gt;"",VLOOKUP($P47&amp;" | "&amp;DF$6,'Job Master'!$F$12:$I$102,4,0)&lt;&gt;""),IF(WEEKDAY(DO47-VLOOKUP($P47&amp;" | "&amp;DF$6,'Job Master'!$F$12:$I$102,4,0))&lt;&gt;7,DO47-VLOOKUP($P47&amp;" | "&amp;DF$6,'Job Master'!$F$12:$I$102,4,0),DO47-VLOOKUP($P47&amp;" | "&amp;DF$6,'Job Master'!$F$12:$I$102,4,0)-1),""),"")</f>
        <v/>
      </c>
      <c r="DI47" s="73"/>
      <c r="DJ47" s="123" t="str">
        <f t="shared" si="46"/>
        <v/>
      </c>
      <c r="DK47" s="123" t="str">
        <f t="shared" si="47"/>
        <v/>
      </c>
      <c r="DL47" s="97" t="str">
        <f t="shared" ca="1" si="48"/>
        <v/>
      </c>
      <c r="DM47" s="98" t="str">
        <f>IF(DO47&lt;&gt;"",VLOOKUP($P47&amp;" | "&amp;DM$6,'Job Master'!$F$12:$J$102,5,0),"")</f>
        <v/>
      </c>
      <c r="DN47" s="19" t="str">
        <f>IF(DO47&lt;&gt;"",VLOOKUP($P47&amp;" | "&amp;DM$6,'Job Master'!$F$12:$J$102,3,0),"")</f>
        <v/>
      </c>
      <c r="DO47" s="19" t="str">
        <f>IFERROR(IF(AND(DT47&lt;&gt;"",VLOOKUP($P47&amp;" | "&amp;DM$6,'Job Master'!$F$12:$I$102,4,0)&lt;&gt;""),IF(WEEKDAY(DT47-VLOOKUP($P47&amp;" | "&amp;DM$6,'Job Master'!$F$12:$I$102,4,0))&lt;&gt;7,DT47-VLOOKUP($P47&amp;" | "&amp;DM$6,'Job Master'!$F$12:$I$102,4,0),DT47-VLOOKUP($P47&amp;" | "&amp;DM$6,'Job Master'!$F$12:$I$102,4,0)-1),""),"")</f>
        <v/>
      </c>
      <c r="DP47" s="73"/>
      <c r="DQ47" s="123" t="str">
        <f t="shared" si="49"/>
        <v/>
      </c>
      <c r="DR47" s="123" t="str">
        <f t="shared" si="50"/>
        <v/>
      </c>
      <c r="DS47" s="97" t="str">
        <f t="shared" ca="1" si="51"/>
        <v/>
      </c>
      <c r="DT47" s="70" t="str">
        <f t="shared" si="52"/>
        <v/>
      </c>
      <c r="DU47" s="90"/>
      <c r="DV47" s="123" t="str">
        <f t="shared" si="53"/>
        <v/>
      </c>
      <c r="DW47" s="123" t="str">
        <f t="shared" si="54"/>
        <v/>
      </c>
      <c r="DX47" s="132" t="str">
        <f t="shared" ref="DX47" ca="1" si="108">IF(DT47&lt;&gt;"",IF(WEEKNUM(DT47)=WEEKNUM(TODAY()),"This Week",IF(WEEKNUM(DT47)=WEEKNUM(TODAY())+1,"Next Week",IF(WEEKNUM(DT47)=WEEKNUM(TODAY())-1,"Previous Week",""))),"")</f>
        <v/>
      </c>
      <c r="DY47" s="134" t="str">
        <f t="shared" si="56"/>
        <v/>
      </c>
      <c r="DZ47" s="95"/>
      <c r="EB47" s="8" t="str">
        <f t="shared" si="67"/>
        <v/>
      </c>
      <c r="EC47" s="8" t="str">
        <f>IF(O47&lt;&gt;"",VLOOKUP(O47,'Job Master'!$N$12:$O$18,2,0),"")</f>
        <v/>
      </c>
      <c r="ED47" s="8">
        <f t="shared" si="68"/>
        <v>19.5</v>
      </c>
      <c r="EE47" s="8">
        <f t="shared" si="69"/>
        <v>6</v>
      </c>
      <c r="EF47" s="8">
        <f t="shared" si="70"/>
        <v>-202.5</v>
      </c>
      <c r="EG47" s="8" t="str">
        <f t="shared" si="71"/>
        <v/>
      </c>
      <c r="EH47" s="8" t="str">
        <f t="shared" si="72"/>
        <v/>
      </c>
    </row>
    <row r="48" spans="2:138" x14ac:dyDescent="0.3">
      <c r="B48" s="112"/>
      <c r="C48" s="27"/>
      <c r="D48" s="7" t="str">
        <f t="shared" si="1"/>
        <v/>
      </c>
      <c r="E48" s="25"/>
      <c r="F48" s="7" t="str">
        <f t="shared" si="1"/>
        <v/>
      </c>
      <c r="G48" s="25"/>
      <c r="H48" s="7" t="str">
        <f t="shared" si="1"/>
        <v/>
      </c>
      <c r="I48" s="25"/>
      <c r="J48" s="7" t="str">
        <f t="shared" si="1"/>
        <v/>
      </c>
      <c r="K48" s="25"/>
      <c r="L48" s="7" t="str">
        <f t="shared" si="2"/>
        <v/>
      </c>
      <c r="M48" s="25"/>
      <c r="N48" s="7" t="str">
        <f t="shared" si="3"/>
        <v/>
      </c>
      <c r="O48" s="81"/>
      <c r="P48" s="81" t="str">
        <f t="shared" si="4"/>
        <v/>
      </c>
      <c r="Q48" s="81"/>
      <c r="R48" s="7" t="str">
        <f t="shared" si="5"/>
        <v/>
      </c>
      <c r="S48" s="25"/>
      <c r="T48" s="7" t="str">
        <f t="shared" si="6"/>
        <v/>
      </c>
      <c r="U48" s="25"/>
      <c r="V48" s="7" t="str">
        <f t="shared" si="7"/>
        <v/>
      </c>
      <c r="W48" s="25"/>
      <c r="X48" s="7" t="str">
        <f t="shared" si="8"/>
        <v/>
      </c>
      <c r="Y48" s="18" t="str">
        <f t="shared" si="9"/>
        <v/>
      </c>
      <c r="Z48" s="7" t="str">
        <f t="shared" si="10"/>
        <v/>
      </c>
      <c r="AA48" s="18" t="str">
        <f t="shared" si="11"/>
        <v/>
      </c>
      <c r="AB48" s="19" t="str">
        <f t="shared" si="12"/>
        <v/>
      </c>
      <c r="AC48" s="26"/>
      <c r="AD48" s="26"/>
      <c r="AE48" s="25"/>
      <c r="AF48" s="26"/>
      <c r="AG48" s="25"/>
      <c r="AH48" s="25"/>
      <c r="AI48" s="18" t="str">
        <f t="shared" si="83"/>
        <v/>
      </c>
      <c r="AJ48" s="25"/>
      <c r="AK48" s="18" t="str">
        <f t="shared" si="84"/>
        <v/>
      </c>
      <c r="AL48" s="79"/>
      <c r="AM48" s="126" t="str">
        <f t="shared" si="85"/>
        <v/>
      </c>
      <c r="AN48" s="128" t="str">
        <f>IF(AP48&lt;&gt;"",VLOOKUP($P48&amp;" | "&amp;AN$6,'Job Master'!$F$12:$J$102,5,0),"")</f>
        <v/>
      </c>
      <c r="AO48" s="19" t="str">
        <f>IF(AP48&lt;&gt;"",VLOOKUP($P48&amp;" | "&amp;AN$6,'Job Master'!$F$12:$J$102,3,0),"")</f>
        <v/>
      </c>
      <c r="AP48" s="19" t="str">
        <f>IFERROR(IF(AND(AW48&lt;&gt;"",VLOOKUP($P48&amp;" | "&amp;AN$6,'Job Master'!$F$12:$I$102,4,0)&lt;&gt;""),IF(WEEKDAY(AW48-VLOOKUP($P48&amp;" | "&amp;AN$6,'Job Master'!$F$12:$I$102,4,0))&lt;&gt;7,AW48-VLOOKUP($P48&amp;" | "&amp;AN$6,'Job Master'!$F$12:$I$102,4,0),AW48-VLOOKUP($P48&amp;" | "&amp;AN$6,'Job Master'!$F$12:$I$102,4,0)-1),""),"")</f>
        <v/>
      </c>
      <c r="AQ48" s="73"/>
      <c r="AR48" s="123" t="str">
        <f t="shared" si="16"/>
        <v/>
      </c>
      <c r="AS48" s="123" t="str">
        <f t="shared" si="17"/>
        <v/>
      </c>
      <c r="AT48" s="97" t="str">
        <f t="shared" ca="1" si="18"/>
        <v/>
      </c>
      <c r="AU48" s="98" t="str">
        <f>IF(AW48&lt;&gt;"",VLOOKUP($P48&amp;" | "&amp;AU$6,'Job Master'!$F$12:$J$102,5,0),"")</f>
        <v/>
      </c>
      <c r="AV48" s="19" t="str">
        <f>IF(AW48&lt;&gt;"",VLOOKUP($P48&amp;" | "&amp;AU$6,'Job Master'!$F$12:$J$102,3,0),"")</f>
        <v/>
      </c>
      <c r="AW48" s="19" t="str">
        <f>IFERROR(IF(AND(BD48&lt;&gt;"",VLOOKUP($P48&amp;" | "&amp;AU$6,'Job Master'!$F$12:$I$102,4,0)&lt;&gt;""),IF(WEEKDAY(BD48-VLOOKUP($P48&amp;" | "&amp;AU$6,'Job Master'!$F$12:$I$102,4,0))&lt;&gt;7,BD48-VLOOKUP($P48&amp;" | "&amp;AU$6,'Job Master'!$F$12:$I$102,4,0),BD48-VLOOKUP($P48&amp;" | "&amp;AU$6,'Job Master'!$F$12:$I$102,4,0)-1),""),"")</f>
        <v/>
      </c>
      <c r="AX48" s="73"/>
      <c r="AY48" s="123" t="str">
        <f t="shared" si="19"/>
        <v/>
      </c>
      <c r="AZ48" s="123" t="str">
        <f t="shared" si="20"/>
        <v/>
      </c>
      <c r="BA48" s="97" t="str">
        <f t="shared" ca="1" si="21"/>
        <v/>
      </c>
      <c r="BB48" s="98" t="str">
        <f>IF(BD48&lt;&gt;"",VLOOKUP($P48&amp;" | "&amp;BB$6,'Job Master'!$F$12:$J$102,5,0),"")</f>
        <v/>
      </c>
      <c r="BC48" s="19" t="str">
        <f>IF(BD48&lt;&gt;"",VLOOKUP($P48&amp;" | "&amp;BB$6,'Job Master'!$F$12:$J$102,3,0),"")</f>
        <v/>
      </c>
      <c r="BD48" s="19" t="str">
        <f>IFERROR(IF(AND(BK48&lt;&gt;"",VLOOKUP($P48&amp;" | "&amp;BB$6,'Job Master'!$F$12:$I$102,4,0)&lt;&gt;""),IF(WEEKDAY(BK48-VLOOKUP($P48&amp;" | "&amp;BB$6,'Job Master'!$F$12:$I$102,4,0))&lt;&gt;7,BK48-VLOOKUP($P48&amp;" | "&amp;BB$6,'Job Master'!$F$12:$I$102,4,0),BK48-VLOOKUP($P48&amp;" | "&amp;BB$6,'Job Master'!$F$12:$I$102,4,0)-1),""),"")</f>
        <v/>
      </c>
      <c r="BE48" s="73"/>
      <c r="BF48" s="123" t="str">
        <f t="shared" si="22"/>
        <v/>
      </c>
      <c r="BG48" s="123" t="str">
        <f t="shared" si="23"/>
        <v/>
      </c>
      <c r="BH48" s="97" t="str">
        <f t="shared" ca="1" si="24"/>
        <v/>
      </c>
      <c r="BI48" s="98" t="str">
        <f>IF(BK48&lt;&gt;"",VLOOKUP($P48&amp;" | "&amp;BI$6,'Job Master'!$F$12:$J$102,5,0),"")</f>
        <v/>
      </c>
      <c r="BJ48" s="19" t="str">
        <f>IF(BK48&lt;&gt;"",VLOOKUP($P48&amp;" | "&amp;BI$6,'Job Master'!$F$12:$J$102,3,0),"")</f>
        <v/>
      </c>
      <c r="BK48" s="19" t="str">
        <f>IFERROR(IF(AND(BR48&lt;&gt;"",VLOOKUP($P48&amp;" | "&amp;BI$6,'Job Master'!$F$12:$I$102,4,0)&lt;&gt;""),IF(WEEKDAY(BR48-VLOOKUP($P48&amp;" | "&amp;BI$6,'Job Master'!$F$12:$I$102,4,0))&lt;&gt;7,BR48-VLOOKUP($P48&amp;" | "&amp;BI$6,'Job Master'!$F$12:$I$102,4,0),BR48-VLOOKUP($P48&amp;" | "&amp;BI$6,'Job Master'!$F$12:$I$102,4,0)-1),""),"")</f>
        <v/>
      </c>
      <c r="BL48" s="73"/>
      <c r="BM48" s="123" t="str">
        <f t="shared" si="25"/>
        <v/>
      </c>
      <c r="BN48" s="123" t="str">
        <f t="shared" si="26"/>
        <v/>
      </c>
      <c r="BO48" s="97" t="str">
        <f t="shared" ca="1" si="27"/>
        <v/>
      </c>
      <c r="BP48" s="98" t="str">
        <f>IF(BR48&lt;&gt;"",VLOOKUP($P48&amp;" | "&amp;BP$6,'Job Master'!$F$12:$J$102,5,0),"")</f>
        <v/>
      </c>
      <c r="BQ48" s="19" t="str">
        <f>IF(BR48&lt;&gt;"",VLOOKUP($P48&amp;" | "&amp;BP$6,'Job Master'!$F$12:$J$102,3,0),"")</f>
        <v/>
      </c>
      <c r="BR48" s="19" t="str">
        <f>IFERROR(IF(AND(BY48&lt;&gt;"",VLOOKUP($P48&amp;" | "&amp;BP$6,'Job Master'!$F$12:$I$102,4,0)&lt;&gt;""),IF(WEEKDAY(BY48-VLOOKUP($P48&amp;" | "&amp;BP$6,'Job Master'!$F$12:$I$102,4,0))&lt;&gt;7,BY48-VLOOKUP($P48&amp;" | "&amp;BP$6,'Job Master'!$F$12:$I$102,4,0),BY48-VLOOKUP($P48&amp;" | "&amp;BP$6,'Job Master'!$F$12:$I$102,4,0)-1),""),"")</f>
        <v/>
      </c>
      <c r="BS48" s="73"/>
      <c r="BT48" s="123" t="str">
        <f t="shared" si="28"/>
        <v/>
      </c>
      <c r="BU48" s="123" t="str">
        <f t="shared" si="29"/>
        <v/>
      </c>
      <c r="BV48" s="97" t="str">
        <f t="shared" ca="1" si="30"/>
        <v/>
      </c>
      <c r="BW48" s="98" t="str">
        <f>IF(BY48&lt;&gt;"",VLOOKUP($P48&amp;" | "&amp;BW$6,'Job Master'!$F$12:$J$102,5,0),"")</f>
        <v/>
      </c>
      <c r="BX48" s="19" t="str">
        <f>IF(BY48&lt;&gt;"",VLOOKUP($P48&amp;" | "&amp;BW$6,'Job Master'!$F$12:$J$102,3,0),"")</f>
        <v/>
      </c>
      <c r="BY48" s="19" t="str">
        <f>IFERROR(IF(AND(CF48&lt;&gt;"",VLOOKUP($P48&amp;" | "&amp;BW$6,'Job Master'!$F$12:$I$102,4,0)&lt;&gt;""),IF(WEEKDAY(CF48-VLOOKUP($P48&amp;" | "&amp;BW$6,'Job Master'!$F$12:$I$102,4,0))&lt;&gt;7,CF48-VLOOKUP($P48&amp;" | "&amp;BW$6,'Job Master'!$F$12:$I$102,4,0),CF48-VLOOKUP($P48&amp;" | "&amp;BW$6,'Job Master'!$F$12:$I$102,4,0)-1),""),"")</f>
        <v/>
      </c>
      <c r="BZ48" s="73"/>
      <c r="CA48" s="123" t="str">
        <f t="shared" si="31"/>
        <v/>
      </c>
      <c r="CB48" s="123" t="str">
        <f t="shared" si="32"/>
        <v/>
      </c>
      <c r="CC48" s="97" t="str">
        <f t="shared" ca="1" si="33"/>
        <v/>
      </c>
      <c r="CD48" s="98" t="str">
        <f>IF(CF48&lt;&gt;"",VLOOKUP($P48&amp;" | "&amp;CD$6,'Job Master'!$F$12:$J$102,5,0),"")</f>
        <v/>
      </c>
      <c r="CE48" s="19" t="str">
        <f>IF(CF48&lt;&gt;"",VLOOKUP($P48&amp;" | "&amp;CD$6,'Job Master'!$F$12:$J$102,3,0),"")</f>
        <v/>
      </c>
      <c r="CF48" s="19" t="str">
        <f>IFERROR(IF(AND(CM48&lt;&gt;"",VLOOKUP($P48&amp;" | "&amp;CD$6,'Job Master'!$F$12:$I$102,4,0)&lt;&gt;""),IF(WEEKDAY(CM48-VLOOKUP($P48&amp;" | "&amp;CD$6,'Job Master'!$F$12:$I$102,4,0))&lt;&gt;7,CM48-VLOOKUP($P48&amp;" | "&amp;CD$6,'Job Master'!$F$12:$I$102,4,0),CM48-VLOOKUP($P48&amp;" | "&amp;CD$6,'Job Master'!$F$12:$I$102,4,0)-1),""),"")</f>
        <v/>
      </c>
      <c r="CG48" s="73"/>
      <c r="CH48" s="123" t="str">
        <f t="shared" si="34"/>
        <v/>
      </c>
      <c r="CI48" s="123" t="str">
        <f t="shared" si="35"/>
        <v/>
      </c>
      <c r="CJ48" s="97" t="str">
        <f t="shared" ca="1" si="36"/>
        <v/>
      </c>
      <c r="CK48" s="98" t="str">
        <f>IF(CM48&lt;&gt;"",VLOOKUP($P48&amp;" | "&amp;CK$6,'Job Master'!$F$12:$J$102,5,0),"")</f>
        <v/>
      </c>
      <c r="CL48" s="19" t="str">
        <f>IF(CM48&lt;&gt;"",VLOOKUP($P48&amp;" | "&amp;CK$6,'Job Master'!$F$12:$J$102,3,0),"")</f>
        <v/>
      </c>
      <c r="CM48" s="19" t="str">
        <f>IFERROR(IF(AND(CT48&lt;&gt;"",VLOOKUP($P48&amp;" | "&amp;CK$6,'Job Master'!$F$12:$I$102,4,0)&lt;&gt;""),IF(WEEKDAY(CT48-VLOOKUP($P48&amp;" | "&amp;CK$6,'Job Master'!$F$12:$I$102,4,0))&lt;&gt;7,CT48-VLOOKUP($P48&amp;" | "&amp;CK$6,'Job Master'!$F$12:$I$102,4,0),CT48-VLOOKUP($P48&amp;" | "&amp;CK$6,'Job Master'!$F$12:$I$102,4,0)-1),""),"")</f>
        <v/>
      </c>
      <c r="CN48" s="73"/>
      <c r="CO48" s="123" t="str">
        <f t="shared" si="37"/>
        <v/>
      </c>
      <c r="CP48" s="123" t="str">
        <f t="shared" si="38"/>
        <v/>
      </c>
      <c r="CQ48" s="97" t="str">
        <f t="shared" ca="1" si="39"/>
        <v/>
      </c>
      <c r="CR48" s="98" t="str">
        <f>IF(CT48&lt;&gt;"",VLOOKUP($P48&amp;" | "&amp;CR$6,'Job Master'!$F$12:$J$102,5,0),"")</f>
        <v/>
      </c>
      <c r="CS48" s="19" t="str">
        <f>IF(CT48&lt;&gt;"",VLOOKUP($P48&amp;" | "&amp;CR$6,'Job Master'!$F$12:$J$102,3,0),"")</f>
        <v/>
      </c>
      <c r="CT48" s="19" t="str">
        <f>IFERROR(IF(AND(DA48&lt;&gt;"",VLOOKUP($P48&amp;" | "&amp;CR$6,'Job Master'!$F$12:$I$102,4,0)&lt;&gt;""),IF(WEEKDAY(DA48-VLOOKUP($P48&amp;" | "&amp;CR$6,'Job Master'!$F$12:$I$102,4,0))&lt;&gt;7,DA48-VLOOKUP($P48&amp;" | "&amp;CR$6,'Job Master'!$F$12:$I$102,4,0),DA48-VLOOKUP($P48&amp;" | "&amp;CR$6,'Job Master'!$F$12:$I$102,4,0)-1),""),"")</f>
        <v/>
      </c>
      <c r="CU48" s="73"/>
      <c r="CV48" s="123" t="str">
        <f t="shared" si="40"/>
        <v/>
      </c>
      <c r="CW48" s="123" t="str">
        <f t="shared" si="41"/>
        <v/>
      </c>
      <c r="CX48" s="97" t="str">
        <f t="shared" ca="1" si="42"/>
        <v/>
      </c>
      <c r="CY48" s="98" t="str">
        <f>IF(DA48&lt;&gt;"",VLOOKUP($P48&amp;" | "&amp;CY$6,'Job Master'!$F$12:$J$102,5,0),"")</f>
        <v/>
      </c>
      <c r="CZ48" s="19" t="str">
        <f>IF(DA48&lt;&gt;"",VLOOKUP($P48&amp;" | "&amp;CY$6,'Job Master'!$F$12:$J$102,3,0),"")</f>
        <v/>
      </c>
      <c r="DA48" s="19" t="str">
        <f>IFERROR(IF(AND(DH48&lt;&gt;"",VLOOKUP($P48&amp;" | "&amp;CY$6,'Job Master'!$F$12:$I$102,4,0)&lt;&gt;""),IF(WEEKDAY(DH48-VLOOKUP($P48&amp;" | "&amp;CY$6,'Job Master'!$F$12:$I$102,4,0))&lt;&gt;7,DH48-VLOOKUP($P48&amp;" | "&amp;CY$6,'Job Master'!$F$12:$I$102,4,0),DH48-VLOOKUP($P48&amp;" | "&amp;CY$6,'Job Master'!$F$12:$I$102,4,0)-1),""),"")</f>
        <v/>
      </c>
      <c r="DB48" s="73"/>
      <c r="DC48" s="123" t="str">
        <f t="shared" si="43"/>
        <v/>
      </c>
      <c r="DD48" s="123" t="str">
        <f t="shared" si="44"/>
        <v/>
      </c>
      <c r="DE48" s="97" t="str">
        <f t="shared" ca="1" si="45"/>
        <v/>
      </c>
      <c r="DF48" s="98" t="str">
        <f>IF(DH48&lt;&gt;"",VLOOKUP($P48&amp;" | "&amp;DF$6,'Job Master'!$F$12:$J$102,5,0),"")</f>
        <v/>
      </c>
      <c r="DG48" s="19" t="str">
        <f>IF(DH48&lt;&gt;"",VLOOKUP($P48&amp;" | "&amp;DF$6,'Job Master'!$F$12:$J$102,3,0),"")</f>
        <v/>
      </c>
      <c r="DH48" s="19" t="str">
        <f>IFERROR(IF(AND(DO48&lt;&gt;"",VLOOKUP($P48&amp;" | "&amp;DF$6,'Job Master'!$F$12:$I$102,4,0)&lt;&gt;""),IF(WEEKDAY(DO48-VLOOKUP($P48&amp;" | "&amp;DF$6,'Job Master'!$F$12:$I$102,4,0))&lt;&gt;7,DO48-VLOOKUP($P48&amp;" | "&amp;DF$6,'Job Master'!$F$12:$I$102,4,0),DO48-VLOOKUP($P48&amp;" | "&amp;DF$6,'Job Master'!$F$12:$I$102,4,0)-1),""),"")</f>
        <v/>
      </c>
      <c r="DI48" s="73"/>
      <c r="DJ48" s="123" t="str">
        <f t="shared" si="46"/>
        <v/>
      </c>
      <c r="DK48" s="123" t="str">
        <f t="shared" si="47"/>
        <v/>
      </c>
      <c r="DL48" s="97" t="str">
        <f t="shared" ca="1" si="48"/>
        <v/>
      </c>
      <c r="DM48" s="98" t="str">
        <f>IF(DO48&lt;&gt;"",VLOOKUP($P48&amp;" | "&amp;DM$6,'Job Master'!$F$12:$J$102,5,0),"")</f>
        <v/>
      </c>
      <c r="DN48" s="19" t="str">
        <f>IF(DO48&lt;&gt;"",VLOOKUP($P48&amp;" | "&amp;DM$6,'Job Master'!$F$12:$J$102,3,0),"")</f>
        <v/>
      </c>
      <c r="DO48" s="19" t="str">
        <f>IFERROR(IF(AND(DT48&lt;&gt;"",VLOOKUP($P48&amp;" | "&amp;DM$6,'Job Master'!$F$12:$I$102,4,0)&lt;&gt;""),IF(WEEKDAY(DT48-VLOOKUP($P48&amp;" | "&amp;DM$6,'Job Master'!$F$12:$I$102,4,0))&lt;&gt;7,DT48-VLOOKUP($P48&amp;" | "&amp;DM$6,'Job Master'!$F$12:$I$102,4,0),DT48-VLOOKUP($P48&amp;" | "&amp;DM$6,'Job Master'!$F$12:$I$102,4,0)-1),""),"")</f>
        <v/>
      </c>
      <c r="DP48" s="73"/>
      <c r="DQ48" s="123" t="str">
        <f t="shared" si="49"/>
        <v/>
      </c>
      <c r="DR48" s="123" t="str">
        <f t="shared" si="50"/>
        <v/>
      </c>
      <c r="DS48" s="97" t="str">
        <f t="shared" ca="1" si="51"/>
        <v/>
      </c>
      <c r="DT48" s="70" t="str">
        <f t="shared" si="52"/>
        <v/>
      </c>
      <c r="DU48" s="90"/>
      <c r="DV48" s="123" t="str">
        <f t="shared" si="53"/>
        <v/>
      </c>
      <c r="DW48" s="123" t="str">
        <f t="shared" si="54"/>
        <v/>
      </c>
      <c r="DX48" s="132" t="str">
        <f t="shared" ref="DX48" ca="1" si="109">IF(DT48&lt;&gt;"",IF(WEEKNUM(DT48)=WEEKNUM(TODAY()),"This Week",IF(WEEKNUM(DT48)=WEEKNUM(TODAY())+1,"Next Week",IF(WEEKNUM(DT48)=WEEKNUM(TODAY())-1,"Previous Week",""))),"")</f>
        <v/>
      </c>
      <c r="DY48" s="134" t="str">
        <f t="shared" si="56"/>
        <v/>
      </c>
      <c r="DZ48" s="95"/>
      <c r="EB48" s="8" t="str">
        <f t="shared" si="67"/>
        <v/>
      </c>
      <c r="EC48" s="8" t="str">
        <f>IF(O48&lt;&gt;"",VLOOKUP(O48,'Job Master'!$N$12:$O$18,2,0),"")</f>
        <v/>
      </c>
      <c r="ED48" s="8">
        <f t="shared" si="68"/>
        <v>19.5</v>
      </c>
      <c r="EE48" s="8">
        <f t="shared" si="69"/>
        <v>6</v>
      </c>
      <c r="EF48" s="8">
        <f t="shared" si="70"/>
        <v>-208.5</v>
      </c>
      <c r="EG48" s="8" t="str">
        <f t="shared" si="71"/>
        <v/>
      </c>
      <c r="EH48" s="8" t="str">
        <f t="shared" si="72"/>
        <v/>
      </c>
    </row>
    <row r="49" spans="2:138" x14ac:dyDescent="0.3">
      <c r="B49" s="112"/>
      <c r="C49" s="27"/>
      <c r="D49" s="7" t="str">
        <f t="shared" si="1"/>
        <v/>
      </c>
      <c r="E49" s="25"/>
      <c r="F49" s="7" t="str">
        <f t="shared" si="1"/>
        <v/>
      </c>
      <c r="G49" s="25"/>
      <c r="H49" s="7" t="str">
        <f t="shared" si="1"/>
        <v/>
      </c>
      <c r="I49" s="25"/>
      <c r="J49" s="7" t="str">
        <f t="shared" si="1"/>
        <v/>
      </c>
      <c r="K49" s="25"/>
      <c r="L49" s="7" t="str">
        <f t="shared" si="2"/>
        <v/>
      </c>
      <c r="M49" s="25"/>
      <c r="N49" s="7" t="str">
        <f t="shared" si="3"/>
        <v/>
      </c>
      <c r="O49" s="81"/>
      <c r="P49" s="81" t="str">
        <f t="shared" si="4"/>
        <v/>
      </c>
      <c r="Q49" s="81"/>
      <c r="R49" s="7" t="str">
        <f t="shared" si="5"/>
        <v/>
      </c>
      <c r="S49" s="25"/>
      <c r="T49" s="7" t="str">
        <f t="shared" si="6"/>
        <v/>
      </c>
      <c r="U49" s="25"/>
      <c r="V49" s="7" t="str">
        <f t="shared" si="7"/>
        <v/>
      </c>
      <c r="W49" s="25"/>
      <c r="X49" s="7" t="str">
        <f t="shared" si="8"/>
        <v/>
      </c>
      <c r="Y49" s="18" t="str">
        <f t="shared" si="9"/>
        <v/>
      </c>
      <c r="Z49" s="7" t="str">
        <f t="shared" si="10"/>
        <v/>
      </c>
      <c r="AA49" s="18" t="str">
        <f t="shared" si="11"/>
        <v/>
      </c>
      <c r="AB49" s="19" t="str">
        <f t="shared" si="12"/>
        <v/>
      </c>
      <c r="AC49" s="26"/>
      <c r="AD49" s="26"/>
      <c r="AE49" s="25"/>
      <c r="AF49" s="26"/>
      <c r="AG49" s="25"/>
      <c r="AH49" s="25"/>
      <c r="AI49" s="18" t="str">
        <f t="shared" si="83"/>
        <v/>
      </c>
      <c r="AJ49" s="25"/>
      <c r="AK49" s="18" t="str">
        <f t="shared" si="84"/>
        <v/>
      </c>
      <c r="AL49" s="79"/>
      <c r="AM49" s="126" t="str">
        <f t="shared" si="85"/>
        <v/>
      </c>
      <c r="AN49" s="128" t="str">
        <f>IF(AP49&lt;&gt;"",VLOOKUP($P49&amp;" | "&amp;AN$6,'Job Master'!$F$12:$J$102,5,0),"")</f>
        <v/>
      </c>
      <c r="AO49" s="19" t="str">
        <f>IF(AP49&lt;&gt;"",VLOOKUP($P49&amp;" | "&amp;AN$6,'Job Master'!$F$12:$J$102,3,0),"")</f>
        <v/>
      </c>
      <c r="AP49" s="19" t="str">
        <f>IFERROR(IF(AND(AW49&lt;&gt;"",VLOOKUP($P49&amp;" | "&amp;AN$6,'Job Master'!$F$12:$I$102,4,0)&lt;&gt;""),IF(WEEKDAY(AW49-VLOOKUP($P49&amp;" | "&amp;AN$6,'Job Master'!$F$12:$I$102,4,0))&lt;&gt;7,AW49-VLOOKUP($P49&amp;" | "&amp;AN$6,'Job Master'!$F$12:$I$102,4,0),AW49-VLOOKUP($P49&amp;" | "&amp;AN$6,'Job Master'!$F$12:$I$102,4,0)-1),""),"")</f>
        <v/>
      </c>
      <c r="AQ49" s="73"/>
      <c r="AR49" s="123" t="str">
        <f t="shared" si="16"/>
        <v/>
      </c>
      <c r="AS49" s="123" t="str">
        <f t="shared" si="17"/>
        <v/>
      </c>
      <c r="AT49" s="97" t="str">
        <f t="shared" ca="1" si="18"/>
        <v/>
      </c>
      <c r="AU49" s="98" t="str">
        <f>IF(AW49&lt;&gt;"",VLOOKUP($P49&amp;" | "&amp;AU$6,'Job Master'!$F$12:$J$102,5,0),"")</f>
        <v/>
      </c>
      <c r="AV49" s="19" t="str">
        <f>IF(AW49&lt;&gt;"",VLOOKUP($P49&amp;" | "&amp;AU$6,'Job Master'!$F$12:$J$102,3,0),"")</f>
        <v/>
      </c>
      <c r="AW49" s="19" t="str">
        <f>IFERROR(IF(AND(BD49&lt;&gt;"",VLOOKUP($P49&amp;" | "&amp;AU$6,'Job Master'!$F$12:$I$102,4,0)&lt;&gt;""),IF(WEEKDAY(BD49-VLOOKUP($P49&amp;" | "&amp;AU$6,'Job Master'!$F$12:$I$102,4,0))&lt;&gt;7,BD49-VLOOKUP($P49&amp;" | "&amp;AU$6,'Job Master'!$F$12:$I$102,4,0),BD49-VLOOKUP($P49&amp;" | "&amp;AU$6,'Job Master'!$F$12:$I$102,4,0)-1),""),"")</f>
        <v/>
      </c>
      <c r="AX49" s="73"/>
      <c r="AY49" s="123" t="str">
        <f t="shared" si="19"/>
        <v/>
      </c>
      <c r="AZ49" s="123" t="str">
        <f t="shared" si="20"/>
        <v/>
      </c>
      <c r="BA49" s="97" t="str">
        <f t="shared" ca="1" si="21"/>
        <v/>
      </c>
      <c r="BB49" s="98" t="str">
        <f>IF(BD49&lt;&gt;"",VLOOKUP($P49&amp;" | "&amp;BB$6,'Job Master'!$F$12:$J$102,5,0),"")</f>
        <v/>
      </c>
      <c r="BC49" s="19" t="str">
        <f>IF(BD49&lt;&gt;"",VLOOKUP($P49&amp;" | "&amp;BB$6,'Job Master'!$F$12:$J$102,3,0),"")</f>
        <v/>
      </c>
      <c r="BD49" s="19" t="str">
        <f>IFERROR(IF(AND(BK49&lt;&gt;"",VLOOKUP($P49&amp;" | "&amp;BB$6,'Job Master'!$F$12:$I$102,4,0)&lt;&gt;""),IF(WEEKDAY(BK49-VLOOKUP($P49&amp;" | "&amp;BB$6,'Job Master'!$F$12:$I$102,4,0))&lt;&gt;7,BK49-VLOOKUP($P49&amp;" | "&amp;BB$6,'Job Master'!$F$12:$I$102,4,0),BK49-VLOOKUP($P49&amp;" | "&amp;BB$6,'Job Master'!$F$12:$I$102,4,0)-1),""),"")</f>
        <v/>
      </c>
      <c r="BE49" s="73"/>
      <c r="BF49" s="123" t="str">
        <f t="shared" si="22"/>
        <v/>
      </c>
      <c r="BG49" s="123" t="str">
        <f t="shared" si="23"/>
        <v/>
      </c>
      <c r="BH49" s="97" t="str">
        <f t="shared" ca="1" si="24"/>
        <v/>
      </c>
      <c r="BI49" s="98" t="str">
        <f>IF(BK49&lt;&gt;"",VLOOKUP($P49&amp;" | "&amp;BI$6,'Job Master'!$F$12:$J$102,5,0),"")</f>
        <v/>
      </c>
      <c r="BJ49" s="19" t="str">
        <f>IF(BK49&lt;&gt;"",VLOOKUP($P49&amp;" | "&amp;BI$6,'Job Master'!$F$12:$J$102,3,0),"")</f>
        <v/>
      </c>
      <c r="BK49" s="19" t="str">
        <f>IFERROR(IF(AND(BR49&lt;&gt;"",VLOOKUP($P49&amp;" | "&amp;BI$6,'Job Master'!$F$12:$I$102,4,0)&lt;&gt;""),IF(WEEKDAY(BR49-VLOOKUP($P49&amp;" | "&amp;BI$6,'Job Master'!$F$12:$I$102,4,0))&lt;&gt;7,BR49-VLOOKUP($P49&amp;" | "&amp;BI$6,'Job Master'!$F$12:$I$102,4,0),BR49-VLOOKUP($P49&amp;" | "&amp;BI$6,'Job Master'!$F$12:$I$102,4,0)-1),""),"")</f>
        <v/>
      </c>
      <c r="BL49" s="73"/>
      <c r="BM49" s="123" t="str">
        <f t="shared" si="25"/>
        <v/>
      </c>
      <c r="BN49" s="123" t="str">
        <f t="shared" si="26"/>
        <v/>
      </c>
      <c r="BO49" s="97" t="str">
        <f t="shared" ca="1" si="27"/>
        <v/>
      </c>
      <c r="BP49" s="98" t="str">
        <f>IF(BR49&lt;&gt;"",VLOOKUP($P49&amp;" | "&amp;BP$6,'Job Master'!$F$12:$J$102,5,0),"")</f>
        <v/>
      </c>
      <c r="BQ49" s="19" t="str">
        <f>IF(BR49&lt;&gt;"",VLOOKUP($P49&amp;" | "&amp;BP$6,'Job Master'!$F$12:$J$102,3,0),"")</f>
        <v/>
      </c>
      <c r="BR49" s="19" t="str">
        <f>IFERROR(IF(AND(BY49&lt;&gt;"",VLOOKUP($P49&amp;" | "&amp;BP$6,'Job Master'!$F$12:$I$102,4,0)&lt;&gt;""),IF(WEEKDAY(BY49-VLOOKUP($P49&amp;" | "&amp;BP$6,'Job Master'!$F$12:$I$102,4,0))&lt;&gt;7,BY49-VLOOKUP($P49&amp;" | "&amp;BP$6,'Job Master'!$F$12:$I$102,4,0),BY49-VLOOKUP($P49&amp;" | "&amp;BP$6,'Job Master'!$F$12:$I$102,4,0)-1),""),"")</f>
        <v/>
      </c>
      <c r="BS49" s="73"/>
      <c r="BT49" s="123" t="str">
        <f t="shared" si="28"/>
        <v/>
      </c>
      <c r="BU49" s="123" t="str">
        <f t="shared" si="29"/>
        <v/>
      </c>
      <c r="BV49" s="97" t="str">
        <f t="shared" ca="1" si="30"/>
        <v/>
      </c>
      <c r="BW49" s="98" t="str">
        <f>IF(BY49&lt;&gt;"",VLOOKUP($P49&amp;" | "&amp;BW$6,'Job Master'!$F$12:$J$102,5,0),"")</f>
        <v/>
      </c>
      <c r="BX49" s="19" t="str">
        <f>IF(BY49&lt;&gt;"",VLOOKUP($P49&amp;" | "&amp;BW$6,'Job Master'!$F$12:$J$102,3,0),"")</f>
        <v/>
      </c>
      <c r="BY49" s="19" t="str">
        <f>IFERROR(IF(AND(CF49&lt;&gt;"",VLOOKUP($P49&amp;" | "&amp;BW$6,'Job Master'!$F$12:$I$102,4,0)&lt;&gt;""),IF(WEEKDAY(CF49-VLOOKUP($P49&amp;" | "&amp;BW$6,'Job Master'!$F$12:$I$102,4,0))&lt;&gt;7,CF49-VLOOKUP($P49&amp;" | "&amp;BW$6,'Job Master'!$F$12:$I$102,4,0),CF49-VLOOKUP($P49&amp;" | "&amp;BW$6,'Job Master'!$F$12:$I$102,4,0)-1),""),"")</f>
        <v/>
      </c>
      <c r="BZ49" s="73"/>
      <c r="CA49" s="123" t="str">
        <f t="shared" si="31"/>
        <v/>
      </c>
      <c r="CB49" s="123" t="str">
        <f t="shared" si="32"/>
        <v/>
      </c>
      <c r="CC49" s="97" t="str">
        <f t="shared" ca="1" si="33"/>
        <v/>
      </c>
      <c r="CD49" s="98" t="str">
        <f>IF(CF49&lt;&gt;"",VLOOKUP($P49&amp;" | "&amp;CD$6,'Job Master'!$F$12:$J$102,5,0),"")</f>
        <v/>
      </c>
      <c r="CE49" s="19" t="str">
        <f>IF(CF49&lt;&gt;"",VLOOKUP($P49&amp;" | "&amp;CD$6,'Job Master'!$F$12:$J$102,3,0),"")</f>
        <v/>
      </c>
      <c r="CF49" s="19" t="str">
        <f>IFERROR(IF(AND(CM49&lt;&gt;"",VLOOKUP($P49&amp;" | "&amp;CD$6,'Job Master'!$F$12:$I$102,4,0)&lt;&gt;""),IF(WEEKDAY(CM49-VLOOKUP($P49&amp;" | "&amp;CD$6,'Job Master'!$F$12:$I$102,4,0))&lt;&gt;7,CM49-VLOOKUP($P49&amp;" | "&amp;CD$6,'Job Master'!$F$12:$I$102,4,0),CM49-VLOOKUP($P49&amp;" | "&amp;CD$6,'Job Master'!$F$12:$I$102,4,0)-1),""),"")</f>
        <v/>
      </c>
      <c r="CG49" s="73"/>
      <c r="CH49" s="123" t="str">
        <f t="shared" si="34"/>
        <v/>
      </c>
      <c r="CI49" s="123" t="str">
        <f t="shared" si="35"/>
        <v/>
      </c>
      <c r="CJ49" s="97" t="str">
        <f t="shared" ca="1" si="36"/>
        <v/>
      </c>
      <c r="CK49" s="98" t="str">
        <f>IF(CM49&lt;&gt;"",VLOOKUP($P49&amp;" | "&amp;CK$6,'Job Master'!$F$12:$J$102,5,0),"")</f>
        <v/>
      </c>
      <c r="CL49" s="19" t="str">
        <f>IF(CM49&lt;&gt;"",VLOOKUP($P49&amp;" | "&amp;CK$6,'Job Master'!$F$12:$J$102,3,0),"")</f>
        <v/>
      </c>
      <c r="CM49" s="19" t="str">
        <f>IFERROR(IF(AND(CT49&lt;&gt;"",VLOOKUP($P49&amp;" | "&amp;CK$6,'Job Master'!$F$12:$I$102,4,0)&lt;&gt;""),IF(WEEKDAY(CT49-VLOOKUP($P49&amp;" | "&amp;CK$6,'Job Master'!$F$12:$I$102,4,0))&lt;&gt;7,CT49-VLOOKUP($P49&amp;" | "&amp;CK$6,'Job Master'!$F$12:$I$102,4,0),CT49-VLOOKUP($P49&amp;" | "&amp;CK$6,'Job Master'!$F$12:$I$102,4,0)-1),""),"")</f>
        <v/>
      </c>
      <c r="CN49" s="73"/>
      <c r="CO49" s="123" t="str">
        <f t="shared" si="37"/>
        <v/>
      </c>
      <c r="CP49" s="123" t="str">
        <f t="shared" si="38"/>
        <v/>
      </c>
      <c r="CQ49" s="97" t="str">
        <f t="shared" ca="1" si="39"/>
        <v/>
      </c>
      <c r="CR49" s="98" t="str">
        <f>IF(CT49&lt;&gt;"",VLOOKUP($P49&amp;" | "&amp;CR$6,'Job Master'!$F$12:$J$102,5,0),"")</f>
        <v/>
      </c>
      <c r="CS49" s="19" t="str">
        <f>IF(CT49&lt;&gt;"",VLOOKUP($P49&amp;" | "&amp;CR$6,'Job Master'!$F$12:$J$102,3,0),"")</f>
        <v/>
      </c>
      <c r="CT49" s="19" t="str">
        <f>IFERROR(IF(AND(DA49&lt;&gt;"",VLOOKUP($P49&amp;" | "&amp;CR$6,'Job Master'!$F$12:$I$102,4,0)&lt;&gt;""),IF(WEEKDAY(DA49-VLOOKUP($P49&amp;" | "&amp;CR$6,'Job Master'!$F$12:$I$102,4,0))&lt;&gt;7,DA49-VLOOKUP($P49&amp;" | "&amp;CR$6,'Job Master'!$F$12:$I$102,4,0),DA49-VLOOKUP($P49&amp;" | "&amp;CR$6,'Job Master'!$F$12:$I$102,4,0)-1),""),"")</f>
        <v/>
      </c>
      <c r="CU49" s="73"/>
      <c r="CV49" s="123" t="str">
        <f t="shared" si="40"/>
        <v/>
      </c>
      <c r="CW49" s="123" t="str">
        <f t="shared" si="41"/>
        <v/>
      </c>
      <c r="CX49" s="97" t="str">
        <f t="shared" ca="1" si="42"/>
        <v/>
      </c>
      <c r="CY49" s="98" t="str">
        <f>IF(DA49&lt;&gt;"",VLOOKUP($P49&amp;" | "&amp;CY$6,'Job Master'!$F$12:$J$102,5,0),"")</f>
        <v/>
      </c>
      <c r="CZ49" s="19" t="str">
        <f>IF(DA49&lt;&gt;"",VLOOKUP($P49&amp;" | "&amp;CY$6,'Job Master'!$F$12:$J$102,3,0),"")</f>
        <v/>
      </c>
      <c r="DA49" s="19" t="str">
        <f>IFERROR(IF(AND(DH49&lt;&gt;"",VLOOKUP($P49&amp;" | "&amp;CY$6,'Job Master'!$F$12:$I$102,4,0)&lt;&gt;""),IF(WEEKDAY(DH49-VLOOKUP($P49&amp;" | "&amp;CY$6,'Job Master'!$F$12:$I$102,4,0))&lt;&gt;7,DH49-VLOOKUP($P49&amp;" | "&amp;CY$6,'Job Master'!$F$12:$I$102,4,0),DH49-VLOOKUP($P49&amp;" | "&amp;CY$6,'Job Master'!$F$12:$I$102,4,0)-1),""),"")</f>
        <v/>
      </c>
      <c r="DB49" s="73"/>
      <c r="DC49" s="123" t="str">
        <f t="shared" si="43"/>
        <v/>
      </c>
      <c r="DD49" s="123" t="str">
        <f t="shared" si="44"/>
        <v/>
      </c>
      <c r="DE49" s="97" t="str">
        <f t="shared" ca="1" si="45"/>
        <v/>
      </c>
      <c r="DF49" s="98" t="str">
        <f>IF(DH49&lt;&gt;"",VLOOKUP($P49&amp;" | "&amp;DF$6,'Job Master'!$F$12:$J$102,5,0),"")</f>
        <v/>
      </c>
      <c r="DG49" s="19" t="str">
        <f>IF(DH49&lt;&gt;"",VLOOKUP($P49&amp;" | "&amp;DF$6,'Job Master'!$F$12:$J$102,3,0),"")</f>
        <v/>
      </c>
      <c r="DH49" s="19" t="str">
        <f>IFERROR(IF(AND(DO49&lt;&gt;"",VLOOKUP($P49&amp;" | "&amp;DF$6,'Job Master'!$F$12:$I$102,4,0)&lt;&gt;""),IF(WEEKDAY(DO49-VLOOKUP($P49&amp;" | "&amp;DF$6,'Job Master'!$F$12:$I$102,4,0))&lt;&gt;7,DO49-VLOOKUP($P49&amp;" | "&amp;DF$6,'Job Master'!$F$12:$I$102,4,0),DO49-VLOOKUP($P49&amp;" | "&amp;DF$6,'Job Master'!$F$12:$I$102,4,0)-1),""),"")</f>
        <v/>
      </c>
      <c r="DI49" s="73"/>
      <c r="DJ49" s="123" t="str">
        <f t="shared" si="46"/>
        <v/>
      </c>
      <c r="DK49" s="123" t="str">
        <f t="shared" si="47"/>
        <v/>
      </c>
      <c r="DL49" s="97" t="str">
        <f t="shared" ca="1" si="48"/>
        <v/>
      </c>
      <c r="DM49" s="98" t="str">
        <f>IF(DO49&lt;&gt;"",VLOOKUP($P49&amp;" | "&amp;DM$6,'Job Master'!$F$12:$J$102,5,0),"")</f>
        <v/>
      </c>
      <c r="DN49" s="19" t="str">
        <f>IF(DO49&lt;&gt;"",VLOOKUP($P49&amp;" | "&amp;DM$6,'Job Master'!$F$12:$J$102,3,0),"")</f>
        <v/>
      </c>
      <c r="DO49" s="19" t="str">
        <f>IFERROR(IF(AND(DT49&lt;&gt;"",VLOOKUP($P49&amp;" | "&amp;DM$6,'Job Master'!$F$12:$I$102,4,0)&lt;&gt;""),IF(WEEKDAY(DT49-VLOOKUP($P49&amp;" | "&amp;DM$6,'Job Master'!$F$12:$I$102,4,0))&lt;&gt;7,DT49-VLOOKUP($P49&amp;" | "&amp;DM$6,'Job Master'!$F$12:$I$102,4,0),DT49-VLOOKUP($P49&amp;" | "&amp;DM$6,'Job Master'!$F$12:$I$102,4,0)-1),""),"")</f>
        <v/>
      </c>
      <c r="DP49" s="73"/>
      <c r="DQ49" s="123" t="str">
        <f t="shared" si="49"/>
        <v/>
      </c>
      <c r="DR49" s="123" t="str">
        <f t="shared" si="50"/>
        <v/>
      </c>
      <c r="DS49" s="97" t="str">
        <f t="shared" ca="1" si="51"/>
        <v/>
      </c>
      <c r="DT49" s="70" t="str">
        <f t="shared" si="52"/>
        <v/>
      </c>
      <c r="DU49" s="90"/>
      <c r="DV49" s="123" t="str">
        <f t="shared" si="53"/>
        <v/>
      </c>
      <c r="DW49" s="123" t="str">
        <f t="shared" si="54"/>
        <v/>
      </c>
      <c r="DX49" s="132" t="str">
        <f t="shared" ref="DX49" ca="1" si="110">IF(DT49&lt;&gt;"",IF(WEEKNUM(DT49)=WEEKNUM(TODAY()),"This Week",IF(WEEKNUM(DT49)=WEEKNUM(TODAY())+1,"Next Week",IF(WEEKNUM(DT49)=WEEKNUM(TODAY())-1,"Previous Week",""))),"")</f>
        <v/>
      </c>
      <c r="DY49" s="134" t="str">
        <f t="shared" si="56"/>
        <v/>
      </c>
      <c r="DZ49" s="95"/>
      <c r="EB49" s="8" t="str">
        <f t="shared" si="67"/>
        <v/>
      </c>
      <c r="EC49" s="8" t="str">
        <f>IF(O49&lt;&gt;"",VLOOKUP(O49,'Job Master'!$N$12:$O$18,2,0),"")</f>
        <v/>
      </c>
      <c r="ED49" s="8">
        <f t="shared" si="68"/>
        <v>19.5</v>
      </c>
      <c r="EE49" s="8">
        <f t="shared" si="69"/>
        <v>6</v>
      </c>
      <c r="EF49" s="8">
        <f t="shared" si="70"/>
        <v>-214.5</v>
      </c>
      <c r="EG49" s="8" t="str">
        <f t="shared" si="71"/>
        <v/>
      </c>
      <c r="EH49" s="8" t="str">
        <f t="shared" si="72"/>
        <v/>
      </c>
    </row>
    <row r="50" spans="2:138" x14ac:dyDescent="0.3">
      <c r="B50" s="112"/>
      <c r="C50" s="27"/>
      <c r="D50" s="7" t="str">
        <f t="shared" si="1"/>
        <v/>
      </c>
      <c r="E50" s="25"/>
      <c r="F50" s="7" t="str">
        <f t="shared" si="1"/>
        <v/>
      </c>
      <c r="G50" s="25"/>
      <c r="H50" s="7" t="str">
        <f t="shared" si="1"/>
        <v/>
      </c>
      <c r="I50" s="25"/>
      <c r="J50" s="7" t="str">
        <f t="shared" si="1"/>
        <v/>
      </c>
      <c r="K50" s="25"/>
      <c r="L50" s="7" t="str">
        <f t="shared" si="2"/>
        <v/>
      </c>
      <c r="M50" s="25"/>
      <c r="N50" s="7" t="str">
        <f t="shared" si="3"/>
        <v/>
      </c>
      <c r="O50" s="81"/>
      <c r="P50" s="81" t="str">
        <f t="shared" si="4"/>
        <v/>
      </c>
      <c r="Q50" s="81"/>
      <c r="R50" s="7" t="str">
        <f t="shared" si="5"/>
        <v/>
      </c>
      <c r="S50" s="25"/>
      <c r="T50" s="7" t="str">
        <f t="shared" si="6"/>
        <v/>
      </c>
      <c r="U50" s="25"/>
      <c r="V50" s="7" t="str">
        <f t="shared" si="7"/>
        <v/>
      </c>
      <c r="W50" s="25"/>
      <c r="X50" s="7" t="str">
        <f t="shared" si="8"/>
        <v/>
      </c>
      <c r="Y50" s="18" t="str">
        <f t="shared" si="9"/>
        <v/>
      </c>
      <c r="Z50" s="7" t="str">
        <f t="shared" si="10"/>
        <v/>
      </c>
      <c r="AA50" s="18" t="str">
        <f t="shared" si="11"/>
        <v/>
      </c>
      <c r="AB50" s="19" t="str">
        <f t="shared" si="12"/>
        <v/>
      </c>
      <c r="AC50" s="26"/>
      <c r="AD50" s="26"/>
      <c r="AE50" s="25"/>
      <c r="AF50" s="26"/>
      <c r="AG50" s="25"/>
      <c r="AH50" s="25"/>
      <c r="AI50" s="18" t="str">
        <f t="shared" si="83"/>
        <v/>
      </c>
      <c r="AJ50" s="25"/>
      <c r="AK50" s="18" t="str">
        <f t="shared" si="84"/>
        <v/>
      </c>
      <c r="AL50" s="79"/>
      <c r="AM50" s="126" t="str">
        <f t="shared" si="85"/>
        <v/>
      </c>
      <c r="AN50" s="128" t="str">
        <f>IF(AP50&lt;&gt;"",VLOOKUP($P50&amp;" | "&amp;AN$6,'Job Master'!$F$12:$J$102,5,0),"")</f>
        <v/>
      </c>
      <c r="AO50" s="19" t="str">
        <f>IF(AP50&lt;&gt;"",VLOOKUP($P50&amp;" | "&amp;AN$6,'Job Master'!$F$12:$J$102,3,0),"")</f>
        <v/>
      </c>
      <c r="AP50" s="19" t="str">
        <f>IFERROR(IF(AND(AW50&lt;&gt;"",VLOOKUP($P50&amp;" | "&amp;AN$6,'Job Master'!$F$12:$I$102,4,0)&lt;&gt;""),IF(WEEKDAY(AW50-VLOOKUP($P50&amp;" | "&amp;AN$6,'Job Master'!$F$12:$I$102,4,0))&lt;&gt;7,AW50-VLOOKUP($P50&amp;" | "&amp;AN$6,'Job Master'!$F$12:$I$102,4,0),AW50-VLOOKUP($P50&amp;" | "&amp;AN$6,'Job Master'!$F$12:$I$102,4,0)-1),""),"")</f>
        <v/>
      </c>
      <c r="AQ50" s="73"/>
      <c r="AR50" s="123" t="str">
        <f t="shared" si="16"/>
        <v/>
      </c>
      <c r="AS50" s="123" t="str">
        <f t="shared" si="17"/>
        <v/>
      </c>
      <c r="AT50" s="97" t="str">
        <f t="shared" ca="1" si="18"/>
        <v/>
      </c>
      <c r="AU50" s="98" t="str">
        <f>IF(AW50&lt;&gt;"",VLOOKUP($P50&amp;" | "&amp;AU$6,'Job Master'!$F$12:$J$102,5,0),"")</f>
        <v/>
      </c>
      <c r="AV50" s="19" t="str">
        <f>IF(AW50&lt;&gt;"",VLOOKUP($P50&amp;" | "&amp;AU$6,'Job Master'!$F$12:$J$102,3,0),"")</f>
        <v/>
      </c>
      <c r="AW50" s="19" t="str">
        <f>IFERROR(IF(AND(BD50&lt;&gt;"",VLOOKUP($P50&amp;" | "&amp;AU$6,'Job Master'!$F$12:$I$102,4,0)&lt;&gt;""),IF(WEEKDAY(BD50-VLOOKUP($P50&amp;" | "&amp;AU$6,'Job Master'!$F$12:$I$102,4,0))&lt;&gt;7,BD50-VLOOKUP($P50&amp;" | "&amp;AU$6,'Job Master'!$F$12:$I$102,4,0),BD50-VLOOKUP($P50&amp;" | "&amp;AU$6,'Job Master'!$F$12:$I$102,4,0)-1),""),"")</f>
        <v/>
      </c>
      <c r="AX50" s="73"/>
      <c r="AY50" s="123" t="str">
        <f t="shared" si="19"/>
        <v/>
      </c>
      <c r="AZ50" s="123" t="str">
        <f t="shared" si="20"/>
        <v/>
      </c>
      <c r="BA50" s="97" t="str">
        <f t="shared" ca="1" si="21"/>
        <v/>
      </c>
      <c r="BB50" s="98" t="str">
        <f>IF(BD50&lt;&gt;"",VLOOKUP($P50&amp;" | "&amp;BB$6,'Job Master'!$F$12:$J$102,5,0),"")</f>
        <v/>
      </c>
      <c r="BC50" s="19" t="str">
        <f>IF(BD50&lt;&gt;"",VLOOKUP($P50&amp;" | "&amp;BB$6,'Job Master'!$F$12:$J$102,3,0),"")</f>
        <v/>
      </c>
      <c r="BD50" s="19" t="str">
        <f>IFERROR(IF(AND(BK50&lt;&gt;"",VLOOKUP($P50&amp;" | "&amp;BB$6,'Job Master'!$F$12:$I$102,4,0)&lt;&gt;""),IF(WEEKDAY(BK50-VLOOKUP($P50&amp;" | "&amp;BB$6,'Job Master'!$F$12:$I$102,4,0))&lt;&gt;7,BK50-VLOOKUP($P50&amp;" | "&amp;BB$6,'Job Master'!$F$12:$I$102,4,0),BK50-VLOOKUP($P50&amp;" | "&amp;BB$6,'Job Master'!$F$12:$I$102,4,0)-1),""),"")</f>
        <v/>
      </c>
      <c r="BE50" s="73"/>
      <c r="BF50" s="123" t="str">
        <f t="shared" si="22"/>
        <v/>
      </c>
      <c r="BG50" s="123" t="str">
        <f t="shared" si="23"/>
        <v/>
      </c>
      <c r="BH50" s="97" t="str">
        <f t="shared" ca="1" si="24"/>
        <v/>
      </c>
      <c r="BI50" s="98" t="str">
        <f>IF(BK50&lt;&gt;"",VLOOKUP($P50&amp;" | "&amp;BI$6,'Job Master'!$F$12:$J$102,5,0),"")</f>
        <v/>
      </c>
      <c r="BJ50" s="19" t="str">
        <f>IF(BK50&lt;&gt;"",VLOOKUP($P50&amp;" | "&amp;BI$6,'Job Master'!$F$12:$J$102,3,0),"")</f>
        <v/>
      </c>
      <c r="BK50" s="19" t="str">
        <f>IFERROR(IF(AND(BR50&lt;&gt;"",VLOOKUP($P50&amp;" | "&amp;BI$6,'Job Master'!$F$12:$I$102,4,0)&lt;&gt;""),IF(WEEKDAY(BR50-VLOOKUP($P50&amp;" | "&amp;BI$6,'Job Master'!$F$12:$I$102,4,0))&lt;&gt;7,BR50-VLOOKUP($P50&amp;" | "&amp;BI$6,'Job Master'!$F$12:$I$102,4,0),BR50-VLOOKUP($P50&amp;" | "&amp;BI$6,'Job Master'!$F$12:$I$102,4,0)-1),""),"")</f>
        <v/>
      </c>
      <c r="BL50" s="73"/>
      <c r="BM50" s="123" t="str">
        <f t="shared" si="25"/>
        <v/>
      </c>
      <c r="BN50" s="123" t="str">
        <f t="shared" si="26"/>
        <v/>
      </c>
      <c r="BO50" s="97" t="str">
        <f t="shared" ca="1" si="27"/>
        <v/>
      </c>
      <c r="BP50" s="98" t="str">
        <f>IF(BR50&lt;&gt;"",VLOOKUP($P50&amp;" | "&amp;BP$6,'Job Master'!$F$12:$J$102,5,0),"")</f>
        <v/>
      </c>
      <c r="BQ50" s="19" t="str">
        <f>IF(BR50&lt;&gt;"",VLOOKUP($P50&amp;" | "&amp;BP$6,'Job Master'!$F$12:$J$102,3,0),"")</f>
        <v/>
      </c>
      <c r="BR50" s="19" t="str">
        <f>IFERROR(IF(AND(BY50&lt;&gt;"",VLOOKUP($P50&amp;" | "&amp;BP$6,'Job Master'!$F$12:$I$102,4,0)&lt;&gt;""),IF(WEEKDAY(BY50-VLOOKUP($P50&amp;" | "&amp;BP$6,'Job Master'!$F$12:$I$102,4,0))&lt;&gt;7,BY50-VLOOKUP($P50&amp;" | "&amp;BP$6,'Job Master'!$F$12:$I$102,4,0),BY50-VLOOKUP($P50&amp;" | "&amp;BP$6,'Job Master'!$F$12:$I$102,4,0)-1),""),"")</f>
        <v/>
      </c>
      <c r="BS50" s="73"/>
      <c r="BT50" s="123" t="str">
        <f t="shared" si="28"/>
        <v/>
      </c>
      <c r="BU50" s="123" t="str">
        <f t="shared" si="29"/>
        <v/>
      </c>
      <c r="BV50" s="97" t="str">
        <f t="shared" ca="1" si="30"/>
        <v/>
      </c>
      <c r="BW50" s="98" t="str">
        <f>IF(BY50&lt;&gt;"",VLOOKUP($P50&amp;" | "&amp;BW$6,'Job Master'!$F$12:$J$102,5,0),"")</f>
        <v/>
      </c>
      <c r="BX50" s="19" t="str">
        <f>IF(BY50&lt;&gt;"",VLOOKUP($P50&amp;" | "&amp;BW$6,'Job Master'!$F$12:$J$102,3,0),"")</f>
        <v/>
      </c>
      <c r="BY50" s="19" t="str">
        <f>IFERROR(IF(AND(CF50&lt;&gt;"",VLOOKUP($P50&amp;" | "&amp;BW$6,'Job Master'!$F$12:$I$102,4,0)&lt;&gt;""),IF(WEEKDAY(CF50-VLOOKUP($P50&amp;" | "&amp;BW$6,'Job Master'!$F$12:$I$102,4,0))&lt;&gt;7,CF50-VLOOKUP($P50&amp;" | "&amp;BW$6,'Job Master'!$F$12:$I$102,4,0),CF50-VLOOKUP($P50&amp;" | "&amp;BW$6,'Job Master'!$F$12:$I$102,4,0)-1),""),"")</f>
        <v/>
      </c>
      <c r="BZ50" s="73"/>
      <c r="CA50" s="123" t="str">
        <f t="shared" si="31"/>
        <v/>
      </c>
      <c r="CB50" s="123" t="str">
        <f t="shared" si="32"/>
        <v/>
      </c>
      <c r="CC50" s="97" t="str">
        <f t="shared" ca="1" si="33"/>
        <v/>
      </c>
      <c r="CD50" s="98" t="str">
        <f>IF(CF50&lt;&gt;"",VLOOKUP($P50&amp;" | "&amp;CD$6,'Job Master'!$F$12:$J$102,5,0),"")</f>
        <v/>
      </c>
      <c r="CE50" s="19" t="str">
        <f>IF(CF50&lt;&gt;"",VLOOKUP($P50&amp;" | "&amp;CD$6,'Job Master'!$F$12:$J$102,3,0),"")</f>
        <v/>
      </c>
      <c r="CF50" s="19" t="str">
        <f>IFERROR(IF(AND(CM50&lt;&gt;"",VLOOKUP($P50&amp;" | "&amp;CD$6,'Job Master'!$F$12:$I$102,4,0)&lt;&gt;""),IF(WEEKDAY(CM50-VLOOKUP($P50&amp;" | "&amp;CD$6,'Job Master'!$F$12:$I$102,4,0))&lt;&gt;7,CM50-VLOOKUP($P50&amp;" | "&amp;CD$6,'Job Master'!$F$12:$I$102,4,0),CM50-VLOOKUP($P50&amp;" | "&amp;CD$6,'Job Master'!$F$12:$I$102,4,0)-1),""),"")</f>
        <v/>
      </c>
      <c r="CG50" s="73"/>
      <c r="CH50" s="123" t="str">
        <f t="shared" si="34"/>
        <v/>
      </c>
      <c r="CI50" s="123" t="str">
        <f t="shared" si="35"/>
        <v/>
      </c>
      <c r="CJ50" s="97" t="str">
        <f t="shared" ca="1" si="36"/>
        <v/>
      </c>
      <c r="CK50" s="98" t="str">
        <f>IF(CM50&lt;&gt;"",VLOOKUP($P50&amp;" | "&amp;CK$6,'Job Master'!$F$12:$J$102,5,0),"")</f>
        <v/>
      </c>
      <c r="CL50" s="19" t="str">
        <f>IF(CM50&lt;&gt;"",VLOOKUP($P50&amp;" | "&amp;CK$6,'Job Master'!$F$12:$J$102,3,0),"")</f>
        <v/>
      </c>
      <c r="CM50" s="19" t="str">
        <f>IFERROR(IF(AND(CT50&lt;&gt;"",VLOOKUP($P50&amp;" | "&amp;CK$6,'Job Master'!$F$12:$I$102,4,0)&lt;&gt;""),IF(WEEKDAY(CT50-VLOOKUP($P50&amp;" | "&amp;CK$6,'Job Master'!$F$12:$I$102,4,0))&lt;&gt;7,CT50-VLOOKUP($P50&amp;" | "&amp;CK$6,'Job Master'!$F$12:$I$102,4,0),CT50-VLOOKUP($P50&amp;" | "&amp;CK$6,'Job Master'!$F$12:$I$102,4,0)-1),""),"")</f>
        <v/>
      </c>
      <c r="CN50" s="73"/>
      <c r="CO50" s="123" t="str">
        <f t="shared" si="37"/>
        <v/>
      </c>
      <c r="CP50" s="123" t="str">
        <f t="shared" si="38"/>
        <v/>
      </c>
      <c r="CQ50" s="97" t="str">
        <f t="shared" ca="1" si="39"/>
        <v/>
      </c>
      <c r="CR50" s="98" t="str">
        <f>IF(CT50&lt;&gt;"",VLOOKUP($P50&amp;" | "&amp;CR$6,'Job Master'!$F$12:$J$102,5,0),"")</f>
        <v/>
      </c>
      <c r="CS50" s="19" t="str">
        <f>IF(CT50&lt;&gt;"",VLOOKUP($P50&amp;" | "&amp;CR$6,'Job Master'!$F$12:$J$102,3,0),"")</f>
        <v/>
      </c>
      <c r="CT50" s="19" t="str">
        <f>IFERROR(IF(AND(DA50&lt;&gt;"",VLOOKUP($P50&amp;" | "&amp;CR$6,'Job Master'!$F$12:$I$102,4,0)&lt;&gt;""),IF(WEEKDAY(DA50-VLOOKUP($P50&amp;" | "&amp;CR$6,'Job Master'!$F$12:$I$102,4,0))&lt;&gt;7,DA50-VLOOKUP($P50&amp;" | "&amp;CR$6,'Job Master'!$F$12:$I$102,4,0),DA50-VLOOKUP($P50&amp;" | "&amp;CR$6,'Job Master'!$F$12:$I$102,4,0)-1),""),"")</f>
        <v/>
      </c>
      <c r="CU50" s="73"/>
      <c r="CV50" s="123" t="str">
        <f t="shared" si="40"/>
        <v/>
      </c>
      <c r="CW50" s="123" t="str">
        <f t="shared" si="41"/>
        <v/>
      </c>
      <c r="CX50" s="97" t="str">
        <f t="shared" ca="1" si="42"/>
        <v/>
      </c>
      <c r="CY50" s="98" t="str">
        <f>IF(DA50&lt;&gt;"",VLOOKUP($P50&amp;" | "&amp;CY$6,'Job Master'!$F$12:$J$102,5,0),"")</f>
        <v/>
      </c>
      <c r="CZ50" s="19" t="str">
        <f>IF(DA50&lt;&gt;"",VLOOKUP($P50&amp;" | "&amp;CY$6,'Job Master'!$F$12:$J$102,3,0),"")</f>
        <v/>
      </c>
      <c r="DA50" s="19" t="str">
        <f>IFERROR(IF(AND(DH50&lt;&gt;"",VLOOKUP($P50&amp;" | "&amp;CY$6,'Job Master'!$F$12:$I$102,4,0)&lt;&gt;""),IF(WEEKDAY(DH50-VLOOKUP($P50&amp;" | "&amp;CY$6,'Job Master'!$F$12:$I$102,4,0))&lt;&gt;7,DH50-VLOOKUP($P50&amp;" | "&amp;CY$6,'Job Master'!$F$12:$I$102,4,0),DH50-VLOOKUP($P50&amp;" | "&amp;CY$6,'Job Master'!$F$12:$I$102,4,0)-1),""),"")</f>
        <v/>
      </c>
      <c r="DB50" s="73"/>
      <c r="DC50" s="123" t="str">
        <f t="shared" si="43"/>
        <v/>
      </c>
      <c r="DD50" s="123" t="str">
        <f t="shared" si="44"/>
        <v/>
      </c>
      <c r="DE50" s="97" t="str">
        <f t="shared" ca="1" si="45"/>
        <v/>
      </c>
      <c r="DF50" s="98" t="str">
        <f>IF(DH50&lt;&gt;"",VLOOKUP($P50&amp;" | "&amp;DF$6,'Job Master'!$F$12:$J$102,5,0),"")</f>
        <v/>
      </c>
      <c r="DG50" s="19" t="str">
        <f>IF(DH50&lt;&gt;"",VLOOKUP($P50&amp;" | "&amp;DF$6,'Job Master'!$F$12:$J$102,3,0),"")</f>
        <v/>
      </c>
      <c r="DH50" s="19" t="str">
        <f>IFERROR(IF(AND(DO50&lt;&gt;"",VLOOKUP($P50&amp;" | "&amp;DF$6,'Job Master'!$F$12:$I$102,4,0)&lt;&gt;""),IF(WEEKDAY(DO50-VLOOKUP($P50&amp;" | "&amp;DF$6,'Job Master'!$F$12:$I$102,4,0))&lt;&gt;7,DO50-VLOOKUP($P50&amp;" | "&amp;DF$6,'Job Master'!$F$12:$I$102,4,0),DO50-VLOOKUP($P50&amp;" | "&amp;DF$6,'Job Master'!$F$12:$I$102,4,0)-1),""),"")</f>
        <v/>
      </c>
      <c r="DI50" s="73"/>
      <c r="DJ50" s="123" t="str">
        <f t="shared" si="46"/>
        <v/>
      </c>
      <c r="DK50" s="123" t="str">
        <f t="shared" si="47"/>
        <v/>
      </c>
      <c r="DL50" s="97" t="str">
        <f t="shared" ca="1" si="48"/>
        <v/>
      </c>
      <c r="DM50" s="98" t="str">
        <f>IF(DO50&lt;&gt;"",VLOOKUP($P50&amp;" | "&amp;DM$6,'Job Master'!$F$12:$J$102,5,0),"")</f>
        <v/>
      </c>
      <c r="DN50" s="19" t="str">
        <f>IF(DO50&lt;&gt;"",VLOOKUP($P50&amp;" | "&amp;DM$6,'Job Master'!$F$12:$J$102,3,0),"")</f>
        <v/>
      </c>
      <c r="DO50" s="19" t="str">
        <f>IFERROR(IF(AND(DT50&lt;&gt;"",VLOOKUP($P50&amp;" | "&amp;DM$6,'Job Master'!$F$12:$I$102,4,0)&lt;&gt;""),IF(WEEKDAY(DT50-VLOOKUP($P50&amp;" | "&amp;DM$6,'Job Master'!$F$12:$I$102,4,0))&lt;&gt;7,DT50-VLOOKUP($P50&amp;" | "&amp;DM$6,'Job Master'!$F$12:$I$102,4,0),DT50-VLOOKUP($P50&amp;" | "&amp;DM$6,'Job Master'!$F$12:$I$102,4,0)-1),""),"")</f>
        <v/>
      </c>
      <c r="DP50" s="73"/>
      <c r="DQ50" s="123" t="str">
        <f t="shared" si="49"/>
        <v/>
      </c>
      <c r="DR50" s="123" t="str">
        <f t="shared" si="50"/>
        <v/>
      </c>
      <c r="DS50" s="97" t="str">
        <f t="shared" ca="1" si="51"/>
        <v/>
      </c>
      <c r="DT50" s="70" t="str">
        <f t="shared" si="52"/>
        <v/>
      </c>
      <c r="DU50" s="90"/>
      <c r="DV50" s="123" t="str">
        <f t="shared" si="53"/>
        <v/>
      </c>
      <c r="DW50" s="123" t="str">
        <f t="shared" si="54"/>
        <v/>
      </c>
      <c r="DX50" s="132" t="str">
        <f t="shared" ref="DX50" ca="1" si="111">IF(DT50&lt;&gt;"",IF(WEEKNUM(DT50)=WEEKNUM(TODAY()),"This Week",IF(WEEKNUM(DT50)=WEEKNUM(TODAY())+1,"Next Week",IF(WEEKNUM(DT50)=WEEKNUM(TODAY())-1,"Previous Week",""))),"")</f>
        <v/>
      </c>
      <c r="DY50" s="134" t="str">
        <f t="shared" si="56"/>
        <v/>
      </c>
      <c r="DZ50" s="95"/>
      <c r="EB50" s="8" t="str">
        <f t="shared" si="67"/>
        <v/>
      </c>
      <c r="EC50" s="8" t="str">
        <f>IF(O50&lt;&gt;"",VLOOKUP(O50,'Job Master'!$N$12:$O$18,2,0),"")</f>
        <v/>
      </c>
      <c r="ED50" s="8">
        <f t="shared" si="68"/>
        <v>19.5</v>
      </c>
      <c r="EE50" s="8">
        <f t="shared" si="69"/>
        <v>6</v>
      </c>
      <c r="EF50" s="8">
        <f t="shared" si="70"/>
        <v>-220.5</v>
      </c>
      <c r="EG50" s="8" t="str">
        <f t="shared" si="71"/>
        <v/>
      </c>
      <c r="EH50" s="8" t="str">
        <f t="shared" si="72"/>
        <v/>
      </c>
    </row>
    <row r="51" spans="2:138" x14ac:dyDescent="0.3">
      <c r="B51" s="112"/>
      <c r="C51" s="27"/>
      <c r="D51" s="7" t="str">
        <f t="shared" si="1"/>
        <v/>
      </c>
      <c r="E51" s="25"/>
      <c r="F51" s="7" t="str">
        <f t="shared" si="1"/>
        <v/>
      </c>
      <c r="G51" s="25"/>
      <c r="H51" s="7" t="str">
        <f t="shared" si="1"/>
        <v/>
      </c>
      <c r="I51" s="25"/>
      <c r="J51" s="7" t="str">
        <f t="shared" si="1"/>
        <v/>
      </c>
      <c r="K51" s="25"/>
      <c r="L51" s="7" t="str">
        <f t="shared" si="2"/>
        <v/>
      </c>
      <c r="M51" s="25"/>
      <c r="N51" s="7" t="str">
        <f t="shared" si="3"/>
        <v/>
      </c>
      <c r="O51" s="81"/>
      <c r="P51" s="81" t="str">
        <f t="shared" si="4"/>
        <v/>
      </c>
      <c r="Q51" s="81"/>
      <c r="R51" s="7" t="str">
        <f t="shared" si="5"/>
        <v/>
      </c>
      <c r="S51" s="25"/>
      <c r="T51" s="7" t="str">
        <f t="shared" si="6"/>
        <v/>
      </c>
      <c r="U51" s="25"/>
      <c r="V51" s="7" t="str">
        <f t="shared" si="7"/>
        <v/>
      </c>
      <c r="W51" s="25"/>
      <c r="X51" s="7" t="str">
        <f t="shared" si="8"/>
        <v/>
      </c>
      <c r="Y51" s="18" t="str">
        <f t="shared" si="9"/>
        <v/>
      </c>
      <c r="Z51" s="7" t="str">
        <f t="shared" si="10"/>
        <v/>
      </c>
      <c r="AA51" s="18" t="str">
        <f t="shared" si="11"/>
        <v/>
      </c>
      <c r="AB51" s="19" t="str">
        <f t="shared" si="12"/>
        <v/>
      </c>
      <c r="AC51" s="26"/>
      <c r="AD51" s="26"/>
      <c r="AE51" s="25"/>
      <c r="AF51" s="26"/>
      <c r="AG51" s="25"/>
      <c r="AH51" s="25"/>
      <c r="AI51" s="18" t="str">
        <f t="shared" si="83"/>
        <v/>
      </c>
      <c r="AJ51" s="25"/>
      <c r="AK51" s="18" t="str">
        <f t="shared" si="84"/>
        <v/>
      </c>
      <c r="AL51" s="79"/>
      <c r="AM51" s="126" t="str">
        <f t="shared" si="85"/>
        <v/>
      </c>
      <c r="AN51" s="128" t="str">
        <f>IF(AP51&lt;&gt;"",VLOOKUP($P51&amp;" | "&amp;AN$6,'Job Master'!$F$12:$J$102,5,0),"")</f>
        <v/>
      </c>
      <c r="AO51" s="19" t="str">
        <f>IF(AP51&lt;&gt;"",VLOOKUP($P51&amp;" | "&amp;AN$6,'Job Master'!$F$12:$J$102,3,0),"")</f>
        <v/>
      </c>
      <c r="AP51" s="19" t="str">
        <f>IFERROR(IF(AND(AW51&lt;&gt;"",VLOOKUP($P51&amp;" | "&amp;AN$6,'Job Master'!$F$12:$I$102,4,0)&lt;&gt;""),IF(WEEKDAY(AW51-VLOOKUP($P51&amp;" | "&amp;AN$6,'Job Master'!$F$12:$I$102,4,0))&lt;&gt;7,AW51-VLOOKUP($P51&amp;" | "&amp;AN$6,'Job Master'!$F$12:$I$102,4,0),AW51-VLOOKUP($P51&amp;" | "&amp;AN$6,'Job Master'!$F$12:$I$102,4,0)-1),""),"")</f>
        <v/>
      </c>
      <c r="AQ51" s="73"/>
      <c r="AR51" s="123" t="str">
        <f t="shared" si="16"/>
        <v/>
      </c>
      <c r="AS51" s="123" t="str">
        <f t="shared" si="17"/>
        <v/>
      </c>
      <c r="AT51" s="97" t="str">
        <f t="shared" ca="1" si="18"/>
        <v/>
      </c>
      <c r="AU51" s="98" t="str">
        <f>IF(AW51&lt;&gt;"",VLOOKUP($P51&amp;" | "&amp;AU$6,'Job Master'!$F$12:$J$102,5,0),"")</f>
        <v/>
      </c>
      <c r="AV51" s="19" t="str">
        <f>IF(AW51&lt;&gt;"",VLOOKUP($P51&amp;" | "&amp;AU$6,'Job Master'!$F$12:$J$102,3,0),"")</f>
        <v/>
      </c>
      <c r="AW51" s="19" t="str">
        <f>IFERROR(IF(AND(BD51&lt;&gt;"",VLOOKUP($P51&amp;" | "&amp;AU$6,'Job Master'!$F$12:$I$102,4,0)&lt;&gt;""),IF(WEEKDAY(BD51-VLOOKUP($P51&amp;" | "&amp;AU$6,'Job Master'!$F$12:$I$102,4,0))&lt;&gt;7,BD51-VLOOKUP($P51&amp;" | "&amp;AU$6,'Job Master'!$F$12:$I$102,4,0),BD51-VLOOKUP($P51&amp;" | "&amp;AU$6,'Job Master'!$F$12:$I$102,4,0)-1),""),"")</f>
        <v/>
      </c>
      <c r="AX51" s="73"/>
      <c r="AY51" s="123" t="str">
        <f t="shared" si="19"/>
        <v/>
      </c>
      <c r="AZ51" s="123" t="str">
        <f t="shared" si="20"/>
        <v/>
      </c>
      <c r="BA51" s="97" t="str">
        <f t="shared" ca="1" si="21"/>
        <v/>
      </c>
      <c r="BB51" s="98" t="str">
        <f>IF(BD51&lt;&gt;"",VLOOKUP($P51&amp;" | "&amp;BB$6,'Job Master'!$F$12:$J$102,5,0),"")</f>
        <v/>
      </c>
      <c r="BC51" s="19" t="str">
        <f>IF(BD51&lt;&gt;"",VLOOKUP($P51&amp;" | "&amp;BB$6,'Job Master'!$F$12:$J$102,3,0),"")</f>
        <v/>
      </c>
      <c r="BD51" s="19" t="str">
        <f>IFERROR(IF(AND(BK51&lt;&gt;"",VLOOKUP($P51&amp;" | "&amp;BB$6,'Job Master'!$F$12:$I$102,4,0)&lt;&gt;""),IF(WEEKDAY(BK51-VLOOKUP($P51&amp;" | "&amp;BB$6,'Job Master'!$F$12:$I$102,4,0))&lt;&gt;7,BK51-VLOOKUP($P51&amp;" | "&amp;BB$6,'Job Master'!$F$12:$I$102,4,0),BK51-VLOOKUP($P51&amp;" | "&amp;BB$6,'Job Master'!$F$12:$I$102,4,0)-1),""),"")</f>
        <v/>
      </c>
      <c r="BE51" s="73"/>
      <c r="BF51" s="123" t="str">
        <f t="shared" si="22"/>
        <v/>
      </c>
      <c r="BG51" s="123" t="str">
        <f t="shared" si="23"/>
        <v/>
      </c>
      <c r="BH51" s="97" t="str">
        <f t="shared" ca="1" si="24"/>
        <v/>
      </c>
      <c r="BI51" s="98" t="str">
        <f>IF(BK51&lt;&gt;"",VLOOKUP($P51&amp;" | "&amp;BI$6,'Job Master'!$F$12:$J$102,5,0),"")</f>
        <v/>
      </c>
      <c r="BJ51" s="19" t="str">
        <f>IF(BK51&lt;&gt;"",VLOOKUP($P51&amp;" | "&amp;BI$6,'Job Master'!$F$12:$J$102,3,0),"")</f>
        <v/>
      </c>
      <c r="BK51" s="19" t="str">
        <f>IFERROR(IF(AND(BR51&lt;&gt;"",VLOOKUP($P51&amp;" | "&amp;BI$6,'Job Master'!$F$12:$I$102,4,0)&lt;&gt;""),IF(WEEKDAY(BR51-VLOOKUP($P51&amp;" | "&amp;BI$6,'Job Master'!$F$12:$I$102,4,0))&lt;&gt;7,BR51-VLOOKUP($P51&amp;" | "&amp;BI$6,'Job Master'!$F$12:$I$102,4,0),BR51-VLOOKUP($P51&amp;" | "&amp;BI$6,'Job Master'!$F$12:$I$102,4,0)-1),""),"")</f>
        <v/>
      </c>
      <c r="BL51" s="73"/>
      <c r="BM51" s="123" t="str">
        <f t="shared" si="25"/>
        <v/>
      </c>
      <c r="BN51" s="123" t="str">
        <f t="shared" si="26"/>
        <v/>
      </c>
      <c r="BO51" s="97" t="str">
        <f t="shared" ca="1" si="27"/>
        <v/>
      </c>
      <c r="BP51" s="98" t="str">
        <f>IF(BR51&lt;&gt;"",VLOOKUP($P51&amp;" | "&amp;BP$6,'Job Master'!$F$12:$J$102,5,0),"")</f>
        <v/>
      </c>
      <c r="BQ51" s="19" t="str">
        <f>IF(BR51&lt;&gt;"",VLOOKUP($P51&amp;" | "&amp;BP$6,'Job Master'!$F$12:$J$102,3,0),"")</f>
        <v/>
      </c>
      <c r="BR51" s="19" t="str">
        <f>IFERROR(IF(AND(BY51&lt;&gt;"",VLOOKUP($P51&amp;" | "&amp;BP$6,'Job Master'!$F$12:$I$102,4,0)&lt;&gt;""),IF(WEEKDAY(BY51-VLOOKUP($P51&amp;" | "&amp;BP$6,'Job Master'!$F$12:$I$102,4,0))&lt;&gt;7,BY51-VLOOKUP($P51&amp;" | "&amp;BP$6,'Job Master'!$F$12:$I$102,4,0),BY51-VLOOKUP($P51&amp;" | "&amp;BP$6,'Job Master'!$F$12:$I$102,4,0)-1),""),"")</f>
        <v/>
      </c>
      <c r="BS51" s="73"/>
      <c r="BT51" s="123" t="str">
        <f t="shared" si="28"/>
        <v/>
      </c>
      <c r="BU51" s="123" t="str">
        <f t="shared" si="29"/>
        <v/>
      </c>
      <c r="BV51" s="97" t="str">
        <f t="shared" ca="1" si="30"/>
        <v/>
      </c>
      <c r="BW51" s="98" t="str">
        <f>IF(BY51&lt;&gt;"",VLOOKUP($P51&amp;" | "&amp;BW$6,'Job Master'!$F$12:$J$102,5,0),"")</f>
        <v/>
      </c>
      <c r="BX51" s="19" t="str">
        <f>IF(BY51&lt;&gt;"",VLOOKUP($P51&amp;" | "&amp;BW$6,'Job Master'!$F$12:$J$102,3,0),"")</f>
        <v/>
      </c>
      <c r="BY51" s="19" t="str">
        <f>IFERROR(IF(AND(CF51&lt;&gt;"",VLOOKUP($P51&amp;" | "&amp;BW$6,'Job Master'!$F$12:$I$102,4,0)&lt;&gt;""),IF(WEEKDAY(CF51-VLOOKUP($P51&amp;" | "&amp;BW$6,'Job Master'!$F$12:$I$102,4,0))&lt;&gt;7,CF51-VLOOKUP($P51&amp;" | "&amp;BW$6,'Job Master'!$F$12:$I$102,4,0),CF51-VLOOKUP($P51&amp;" | "&amp;BW$6,'Job Master'!$F$12:$I$102,4,0)-1),""),"")</f>
        <v/>
      </c>
      <c r="BZ51" s="73"/>
      <c r="CA51" s="123" t="str">
        <f t="shared" si="31"/>
        <v/>
      </c>
      <c r="CB51" s="123" t="str">
        <f t="shared" si="32"/>
        <v/>
      </c>
      <c r="CC51" s="97" t="str">
        <f t="shared" ca="1" si="33"/>
        <v/>
      </c>
      <c r="CD51" s="98" t="str">
        <f>IF(CF51&lt;&gt;"",VLOOKUP($P51&amp;" | "&amp;CD$6,'Job Master'!$F$12:$J$102,5,0),"")</f>
        <v/>
      </c>
      <c r="CE51" s="19" t="str">
        <f>IF(CF51&lt;&gt;"",VLOOKUP($P51&amp;" | "&amp;CD$6,'Job Master'!$F$12:$J$102,3,0),"")</f>
        <v/>
      </c>
      <c r="CF51" s="19" t="str">
        <f>IFERROR(IF(AND(CM51&lt;&gt;"",VLOOKUP($P51&amp;" | "&amp;CD$6,'Job Master'!$F$12:$I$102,4,0)&lt;&gt;""),IF(WEEKDAY(CM51-VLOOKUP($P51&amp;" | "&amp;CD$6,'Job Master'!$F$12:$I$102,4,0))&lt;&gt;7,CM51-VLOOKUP($P51&amp;" | "&amp;CD$6,'Job Master'!$F$12:$I$102,4,0),CM51-VLOOKUP($P51&amp;" | "&amp;CD$6,'Job Master'!$F$12:$I$102,4,0)-1),""),"")</f>
        <v/>
      </c>
      <c r="CG51" s="73"/>
      <c r="CH51" s="123" t="str">
        <f t="shared" si="34"/>
        <v/>
      </c>
      <c r="CI51" s="123" t="str">
        <f t="shared" si="35"/>
        <v/>
      </c>
      <c r="CJ51" s="97" t="str">
        <f t="shared" ca="1" si="36"/>
        <v/>
      </c>
      <c r="CK51" s="98" t="str">
        <f>IF(CM51&lt;&gt;"",VLOOKUP($P51&amp;" | "&amp;CK$6,'Job Master'!$F$12:$J$102,5,0),"")</f>
        <v/>
      </c>
      <c r="CL51" s="19" t="str">
        <f>IF(CM51&lt;&gt;"",VLOOKUP($P51&amp;" | "&amp;CK$6,'Job Master'!$F$12:$J$102,3,0),"")</f>
        <v/>
      </c>
      <c r="CM51" s="19" t="str">
        <f>IFERROR(IF(AND(CT51&lt;&gt;"",VLOOKUP($P51&amp;" | "&amp;CK$6,'Job Master'!$F$12:$I$102,4,0)&lt;&gt;""),IF(WEEKDAY(CT51-VLOOKUP($P51&amp;" | "&amp;CK$6,'Job Master'!$F$12:$I$102,4,0))&lt;&gt;7,CT51-VLOOKUP($P51&amp;" | "&amp;CK$6,'Job Master'!$F$12:$I$102,4,0),CT51-VLOOKUP($P51&amp;" | "&amp;CK$6,'Job Master'!$F$12:$I$102,4,0)-1),""),"")</f>
        <v/>
      </c>
      <c r="CN51" s="73"/>
      <c r="CO51" s="123" t="str">
        <f t="shared" si="37"/>
        <v/>
      </c>
      <c r="CP51" s="123" t="str">
        <f t="shared" si="38"/>
        <v/>
      </c>
      <c r="CQ51" s="97" t="str">
        <f t="shared" ca="1" si="39"/>
        <v/>
      </c>
      <c r="CR51" s="98" t="str">
        <f>IF(CT51&lt;&gt;"",VLOOKUP($P51&amp;" | "&amp;CR$6,'Job Master'!$F$12:$J$102,5,0),"")</f>
        <v/>
      </c>
      <c r="CS51" s="19" t="str">
        <f>IF(CT51&lt;&gt;"",VLOOKUP($P51&amp;" | "&amp;CR$6,'Job Master'!$F$12:$J$102,3,0),"")</f>
        <v/>
      </c>
      <c r="CT51" s="19" t="str">
        <f>IFERROR(IF(AND(DA51&lt;&gt;"",VLOOKUP($P51&amp;" | "&amp;CR$6,'Job Master'!$F$12:$I$102,4,0)&lt;&gt;""),IF(WEEKDAY(DA51-VLOOKUP($P51&amp;" | "&amp;CR$6,'Job Master'!$F$12:$I$102,4,0))&lt;&gt;7,DA51-VLOOKUP($P51&amp;" | "&amp;CR$6,'Job Master'!$F$12:$I$102,4,0),DA51-VLOOKUP($P51&amp;" | "&amp;CR$6,'Job Master'!$F$12:$I$102,4,0)-1),""),"")</f>
        <v/>
      </c>
      <c r="CU51" s="73"/>
      <c r="CV51" s="123" t="str">
        <f t="shared" si="40"/>
        <v/>
      </c>
      <c r="CW51" s="123" t="str">
        <f t="shared" si="41"/>
        <v/>
      </c>
      <c r="CX51" s="97" t="str">
        <f t="shared" ca="1" si="42"/>
        <v/>
      </c>
      <c r="CY51" s="98" t="str">
        <f>IF(DA51&lt;&gt;"",VLOOKUP($P51&amp;" | "&amp;CY$6,'Job Master'!$F$12:$J$102,5,0),"")</f>
        <v/>
      </c>
      <c r="CZ51" s="19" t="str">
        <f>IF(DA51&lt;&gt;"",VLOOKUP($P51&amp;" | "&amp;CY$6,'Job Master'!$F$12:$J$102,3,0),"")</f>
        <v/>
      </c>
      <c r="DA51" s="19" t="str">
        <f>IFERROR(IF(AND(DH51&lt;&gt;"",VLOOKUP($P51&amp;" | "&amp;CY$6,'Job Master'!$F$12:$I$102,4,0)&lt;&gt;""),IF(WEEKDAY(DH51-VLOOKUP($P51&amp;" | "&amp;CY$6,'Job Master'!$F$12:$I$102,4,0))&lt;&gt;7,DH51-VLOOKUP($P51&amp;" | "&amp;CY$6,'Job Master'!$F$12:$I$102,4,0),DH51-VLOOKUP($P51&amp;" | "&amp;CY$6,'Job Master'!$F$12:$I$102,4,0)-1),""),"")</f>
        <v/>
      </c>
      <c r="DB51" s="73"/>
      <c r="DC51" s="123" t="str">
        <f t="shared" si="43"/>
        <v/>
      </c>
      <c r="DD51" s="123" t="str">
        <f t="shared" si="44"/>
        <v/>
      </c>
      <c r="DE51" s="97" t="str">
        <f t="shared" ca="1" si="45"/>
        <v/>
      </c>
      <c r="DF51" s="98" t="str">
        <f>IF(DH51&lt;&gt;"",VLOOKUP($P51&amp;" | "&amp;DF$6,'Job Master'!$F$12:$J$102,5,0),"")</f>
        <v/>
      </c>
      <c r="DG51" s="19" t="str">
        <f>IF(DH51&lt;&gt;"",VLOOKUP($P51&amp;" | "&amp;DF$6,'Job Master'!$F$12:$J$102,3,0),"")</f>
        <v/>
      </c>
      <c r="DH51" s="19" t="str">
        <f>IFERROR(IF(AND(DO51&lt;&gt;"",VLOOKUP($P51&amp;" | "&amp;DF$6,'Job Master'!$F$12:$I$102,4,0)&lt;&gt;""),IF(WEEKDAY(DO51-VLOOKUP($P51&amp;" | "&amp;DF$6,'Job Master'!$F$12:$I$102,4,0))&lt;&gt;7,DO51-VLOOKUP($P51&amp;" | "&amp;DF$6,'Job Master'!$F$12:$I$102,4,0),DO51-VLOOKUP($P51&amp;" | "&amp;DF$6,'Job Master'!$F$12:$I$102,4,0)-1),""),"")</f>
        <v/>
      </c>
      <c r="DI51" s="73"/>
      <c r="DJ51" s="123" t="str">
        <f t="shared" si="46"/>
        <v/>
      </c>
      <c r="DK51" s="123" t="str">
        <f t="shared" si="47"/>
        <v/>
      </c>
      <c r="DL51" s="97" t="str">
        <f t="shared" ca="1" si="48"/>
        <v/>
      </c>
      <c r="DM51" s="98" t="str">
        <f>IF(DO51&lt;&gt;"",VLOOKUP($P51&amp;" | "&amp;DM$6,'Job Master'!$F$12:$J$102,5,0),"")</f>
        <v/>
      </c>
      <c r="DN51" s="19" t="str">
        <f>IF(DO51&lt;&gt;"",VLOOKUP($P51&amp;" | "&amp;DM$6,'Job Master'!$F$12:$J$102,3,0),"")</f>
        <v/>
      </c>
      <c r="DO51" s="19" t="str">
        <f>IFERROR(IF(AND(DT51&lt;&gt;"",VLOOKUP($P51&amp;" | "&amp;DM$6,'Job Master'!$F$12:$I$102,4,0)&lt;&gt;""),IF(WEEKDAY(DT51-VLOOKUP($P51&amp;" | "&amp;DM$6,'Job Master'!$F$12:$I$102,4,0))&lt;&gt;7,DT51-VLOOKUP($P51&amp;" | "&amp;DM$6,'Job Master'!$F$12:$I$102,4,0),DT51-VLOOKUP($P51&amp;" | "&amp;DM$6,'Job Master'!$F$12:$I$102,4,0)-1),""),"")</f>
        <v/>
      </c>
      <c r="DP51" s="73"/>
      <c r="DQ51" s="123" t="str">
        <f t="shared" si="49"/>
        <v/>
      </c>
      <c r="DR51" s="123" t="str">
        <f t="shared" si="50"/>
        <v/>
      </c>
      <c r="DS51" s="97" t="str">
        <f t="shared" ca="1" si="51"/>
        <v/>
      </c>
      <c r="DT51" s="70" t="str">
        <f t="shared" si="52"/>
        <v/>
      </c>
      <c r="DU51" s="90"/>
      <c r="DV51" s="123" t="str">
        <f t="shared" si="53"/>
        <v/>
      </c>
      <c r="DW51" s="123" t="str">
        <f t="shared" si="54"/>
        <v/>
      </c>
      <c r="DX51" s="132" t="str">
        <f t="shared" ref="DX51" ca="1" si="112">IF(DT51&lt;&gt;"",IF(WEEKNUM(DT51)=WEEKNUM(TODAY()),"This Week",IF(WEEKNUM(DT51)=WEEKNUM(TODAY())+1,"Next Week",IF(WEEKNUM(DT51)=WEEKNUM(TODAY())-1,"Previous Week",""))),"")</f>
        <v/>
      </c>
      <c r="DY51" s="134" t="str">
        <f t="shared" si="56"/>
        <v/>
      </c>
      <c r="DZ51" s="95"/>
      <c r="EB51" s="8" t="str">
        <f t="shared" si="67"/>
        <v/>
      </c>
      <c r="EC51" s="8" t="str">
        <f>IF(O51&lt;&gt;"",VLOOKUP(O51,'Job Master'!$N$12:$O$18,2,0),"")</f>
        <v/>
      </c>
      <c r="ED51" s="8">
        <f t="shared" si="68"/>
        <v>19.5</v>
      </c>
      <c r="EE51" s="8">
        <f t="shared" si="69"/>
        <v>6</v>
      </c>
      <c r="EF51" s="8">
        <f t="shared" si="70"/>
        <v>-226.5</v>
      </c>
      <c r="EG51" s="8" t="str">
        <f t="shared" si="71"/>
        <v/>
      </c>
      <c r="EH51" s="8" t="str">
        <f t="shared" si="72"/>
        <v/>
      </c>
    </row>
    <row r="52" spans="2:138" x14ac:dyDescent="0.3">
      <c r="B52" s="112"/>
      <c r="C52" s="27"/>
      <c r="D52" s="7" t="str">
        <f t="shared" si="1"/>
        <v/>
      </c>
      <c r="E52" s="25"/>
      <c r="F52" s="7" t="str">
        <f t="shared" si="1"/>
        <v/>
      </c>
      <c r="G52" s="25"/>
      <c r="H52" s="7" t="str">
        <f t="shared" si="1"/>
        <v/>
      </c>
      <c r="I52" s="25"/>
      <c r="J52" s="7" t="str">
        <f t="shared" si="1"/>
        <v/>
      </c>
      <c r="K52" s="25"/>
      <c r="L52" s="7" t="str">
        <f t="shared" si="2"/>
        <v/>
      </c>
      <c r="M52" s="25"/>
      <c r="N52" s="7" t="str">
        <f t="shared" si="3"/>
        <v/>
      </c>
      <c r="O52" s="81"/>
      <c r="P52" s="81" t="str">
        <f t="shared" si="4"/>
        <v/>
      </c>
      <c r="Q52" s="81"/>
      <c r="R52" s="7" t="str">
        <f t="shared" si="5"/>
        <v/>
      </c>
      <c r="S52" s="25"/>
      <c r="T52" s="7" t="str">
        <f t="shared" si="6"/>
        <v/>
      </c>
      <c r="U52" s="25"/>
      <c r="V52" s="7" t="str">
        <f t="shared" si="7"/>
        <v/>
      </c>
      <c r="W52" s="25"/>
      <c r="X52" s="7" t="str">
        <f t="shared" si="8"/>
        <v/>
      </c>
      <c r="Y52" s="18" t="str">
        <f t="shared" si="9"/>
        <v/>
      </c>
      <c r="Z52" s="7" t="str">
        <f t="shared" si="10"/>
        <v/>
      </c>
      <c r="AA52" s="18" t="str">
        <f t="shared" si="11"/>
        <v/>
      </c>
      <c r="AB52" s="19" t="str">
        <f t="shared" si="12"/>
        <v/>
      </c>
      <c r="AC52" s="26"/>
      <c r="AD52" s="26"/>
      <c r="AE52" s="25"/>
      <c r="AF52" s="26"/>
      <c r="AG52" s="25"/>
      <c r="AH52" s="25"/>
      <c r="AI52" s="18" t="str">
        <f t="shared" si="83"/>
        <v/>
      </c>
      <c r="AJ52" s="25"/>
      <c r="AK52" s="18" t="str">
        <f t="shared" si="84"/>
        <v/>
      </c>
      <c r="AL52" s="79"/>
      <c r="AM52" s="126" t="str">
        <f t="shared" si="85"/>
        <v/>
      </c>
      <c r="AN52" s="128" t="str">
        <f>IF(AP52&lt;&gt;"",VLOOKUP($P52&amp;" | "&amp;AN$6,'Job Master'!$F$12:$J$102,5,0),"")</f>
        <v/>
      </c>
      <c r="AO52" s="19" t="str">
        <f>IF(AP52&lt;&gt;"",VLOOKUP($P52&amp;" | "&amp;AN$6,'Job Master'!$F$12:$J$102,3,0),"")</f>
        <v/>
      </c>
      <c r="AP52" s="19" t="str">
        <f>IFERROR(IF(AND(AW52&lt;&gt;"",VLOOKUP($P52&amp;" | "&amp;AN$6,'Job Master'!$F$12:$I$102,4,0)&lt;&gt;""),IF(WEEKDAY(AW52-VLOOKUP($P52&amp;" | "&amp;AN$6,'Job Master'!$F$12:$I$102,4,0))&lt;&gt;7,AW52-VLOOKUP($P52&amp;" | "&amp;AN$6,'Job Master'!$F$12:$I$102,4,0),AW52-VLOOKUP($P52&amp;" | "&amp;AN$6,'Job Master'!$F$12:$I$102,4,0)-1),""),"")</f>
        <v/>
      </c>
      <c r="AQ52" s="73"/>
      <c r="AR52" s="123" t="str">
        <f t="shared" si="16"/>
        <v/>
      </c>
      <c r="AS52" s="123" t="str">
        <f t="shared" si="17"/>
        <v/>
      </c>
      <c r="AT52" s="97" t="str">
        <f t="shared" ca="1" si="18"/>
        <v/>
      </c>
      <c r="AU52" s="98" t="str">
        <f>IF(AW52&lt;&gt;"",VLOOKUP($P52&amp;" | "&amp;AU$6,'Job Master'!$F$12:$J$102,5,0),"")</f>
        <v/>
      </c>
      <c r="AV52" s="19" t="str">
        <f>IF(AW52&lt;&gt;"",VLOOKUP($P52&amp;" | "&amp;AU$6,'Job Master'!$F$12:$J$102,3,0),"")</f>
        <v/>
      </c>
      <c r="AW52" s="19" t="str">
        <f>IFERROR(IF(AND(BD52&lt;&gt;"",VLOOKUP($P52&amp;" | "&amp;AU$6,'Job Master'!$F$12:$I$102,4,0)&lt;&gt;""),IF(WEEKDAY(BD52-VLOOKUP($P52&amp;" | "&amp;AU$6,'Job Master'!$F$12:$I$102,4,0))&lt;&gt;7,BD52-VLOOKUP($P52&amp;" | "&amp;AU$6,'Job Master'!$F$12:$I$102,4,0),BD52-VLOOKUP($P52&amp;" | "&amp;AU$6,'Job Master'!$F$12:$I$102,4,0)-1),""),"")</f>
        <v/>
      </c>
      <c r="AX52" s="73"/>
      <c r="AY52" s="123" t="str">
        <f t="shared" si="19"/>
        <v/>
      </c>
      <c r="AZ52" s="123" t="str">
        <f t="shared" si="20"/>
        <v/>
      </c>
      <c r="BA52" s="97" t="str">
        <f t="shared" ca="1" si="21"/>
        <v/>
      </c>
      <c r="BB52" s="98" t="str">
        <f>IF(BD52&lt;&gt;"",VLOOKUP($P52&amp;" | "&amp;BB$6,'Job Master'!$F$12:$J$102,5,0),"")</f>
        <v/>
      </c>
      <c r="BC52" s="19" t="str">
        <f>IF(BD52&lt;&gt;"",VLOOKUP($P52&amp;" | "&amp;BB$6,'Job Master'!$F$12:$J$102,3,0),"")</f>
        <v/>
      </c>
      <c r="BD52" s="19" t="str">
        <f>IFERROR(IF(AND(BK52&lt;&gt;"",VLOOKUP($P52&amp;" | "&amp;BB$6,'Job Master'!$F$12:$I$102,4,0)&lt;&gt;""),IF(WEEKDAY(BK52-VLOOKUP($P52&amp;" | "&amp;BB$6,'Job Master'!$F$12:$I$102,4,0))&lt;&gt;7,BK52-VLOOKUP($P52&amp;" | "&amp;BB$6,'Job Master'!$F$12:$I$102,4,0),BK52-VLOOKUP($P52&amp;" | "&amp;BB$6,'Job Master'!$F$12:$I$102,4,0)-1),""),"")</f>
        <v/>
      </c>
      <c r="BE52" s="73"/>
      <c r="BF52" s="123" t="str">
        <f t="shared" si="22"/>
        <v/>
      </c>
      <c r="BG52" s="123" t="str">
        <f t="shared" si="23"/>
        <v/>
      </c>
      <c r="BH52" s="97" t="str">
        <f t="shared" ca="1" si="24"/>
        <v/>
      </c>
      <c r="BI52" s="98" t="str">
        <f>IF(BK52&lt;&gt;"",VLOOKUP($P52&amp;" | "&amp;BI$6,'Job Master'!$F$12:$J$102,5,0),"")</f>
        <v/>
      </c>
      <c r="BJ52" s="19" t="str">
        <f>IF(BK52&lt;&gt;"",VLOOKUP($P52&amp;" | "&amp;BI$6,'Job Master'!$F$12:$J$102,3,0),"")</f>
        <v/>
      </c>
      <c r="BK52" s="19" t="str">
        <f>IFERROR(IF(AND(BR52&lt;&gt;"",VLOOKUP($P52&amp;" | "&amp;BI$6,'Job Master'!$F$12:$I$102,4,0)&lt;&gt;""),IF(WEEKDAY(BR52-VLOOKUP($P52&amp;" | "&amp;BI$6,'Job Master'!$F$12:$I$102,4,0))&lt;&gt;7,BR52-VLOOKUP($P52&amp;" | "&amp;BI$6,'Job Master'!$F$12:$I$102,4,0),BR52-VLOOKUP($P52&amp;" | "&amp;BI$6,'Job Master'!$F$12:$I$102,4,0)-1),""),"")</f>
        <v/>
      </c>
      <c r="BL52" s="73"/>
      <c r="BM52" s="123" t="str">
        <f t="shared" si="25"/>
        <v/>
      </c>
      <c r="BN52" s="123" t="str">
        <f t="shared" si="26"/>
        <v/>
      </c>
      <c r="BO52" s="97" t="str">
        <f t="shared" ca="1" si="27"/>
        <v/>
      </c>
      <c r="BP52" s="98" t="str">
        <f>IF(BR52&lt;&gt;"",VLOOKUP($P52&amp;" | "&amp;BP$6,'Job Master'!$F$12:$J$102,5,0),"")</f>
        <v/>
      </c>
      <c r="BQ52" s="19" t="str">
        <f>IF(BR52&lt;&gt;"",VLOOKUP($P52&amp;" | "&amp;BP$6,'Job Master'!$F$12:$J$102,3,0),"")</f>
        <v/>
      </c>
      <c r="BR52" s="19" t="str">
        <f>IFERROR(IF(AND(BY52&lt;&gt;"",VLOOKUP($P52&amp;" | "&amp;BP$6,'Job Master'!$F$12:$I$102,4,0)&lt;&gt;""),IF(WEEKDAY(BY52-VLOOKUP($P52&amp;" | "&amp;BP$6,'Job Master'!$F$12:$I$102,4,0))&lt;&gt;7,BY52-VLOOKUP($P52&amp;" | "&amp;BP$6,'Job Master'!$F$12:$I$102,4,0),BY52-VLOOKUP($P52&amp;" | "&amp;BP$6,'Job Master'!$F$12:$I$102,4,0)-1),""),"")</f>
        <v/>
      </c>
      <c r="BS52" s="73"/>
      <c r="BT52" s="123" t="str">
        <f t="shared" si="28"/>
        <v/>
      </c>
      <c r="BU52" s="123" t="str">
        <f t="shared" si="29"/>
        <v/>
      </c>
      <c r="BV52" s="97" t="str">
        <f t="shared" ca="1" si="30"/>
        <v/>
      </c>
      <c r="BW52" s="98" t="str">
        <f>IF(BY52&lt;&gt;"",VLOOKUP($P52&amp;" | "&amp;BW$6,'Job Master'!$F$12:$J$102,5,0),"")</f>
        <v/>
      </c>
      <c r="BX52" s="19" t="str">
        <f>IF(BY52&lt;&gt;"",VLOOKUP($P52&amp;" | "&amp;BW$6,'Job Master'!$F$12:$J$102,3,0),"")</f>
        <v/>
      </c>
      <c r="BY52" s="19" t="str">
        <f>IFERROR(IF(AND(CF52&lt;&gt;"",VLOOKUP($P52&amp;" | "&amp;BW$6,'Job Master'!$F$12:$I$102,4,0)&lt;&gt;""),IF(WEEKDAY(CF52-VLOOKUP($P52&amp;" | "&amp;BW$6,'Job Master'!$F$12:$I$102,4,0))&lt;&gt;7,CF52-VLOOKUP($P52&amp;" | "&amp;BW$6,'Job Master'!$F$12:$I$102,4,0),CF52-VLOOKUP($P52&amp;" | "&amp;BW$6,'Job Master'!$F$12:$I$102,4,0)-1),""),"")</f>
        <v/>
      </c>
      <c r="BZ52" s="73"/>
      <c r="CA52" s="123" t="str">
        <f t="shared" si="31"/>
        <v/>
      </c>
      <c r="CB52" s="123" t="str">
        <f t="shared" si="32"/>
        <v/>
      </c>
      <c r="CC52" s="97" t="str">
        <f t="shared" ca="1" si="33"/>
        <v/>
      </c>
      <c r="CD52" s="98" t="str">
        <f>IF(CF52&lt;&gt;"",VLOOKUP($P52&amp;" | "&amp;CD$6,'Job Master'!$F$12:$J$102,5,0),"")</f>
        <v/>
      </c>
      <c r="CE52" s="19" t="str">
        <f>IF(CF52&lt;&gt;"",VLOOKUP($P52&amp;" | "&amp;CD$6,'Job Master'!$F$12:$J$102,3,0),"")</f>
        <v/>
      </c>
      <c r="CF52" s="19" t="str">
        <f>IFERROR(IF(AND(CM52&lt;&gt;"",VLOOKUP($P52&amp;" | "&amp;CD$6,'Job Master'!$F$12:$I$102,4,0)&lt;&gt;""),IF(WEEKDAY(CM52-VLOOKUP($P52&amp;" | "&amp;CD$6,'Job Master'!$F$12:$I$102,4,0))&lt;&gt;7,CM52-VLOOKUP($P52&amp;" | "&amp;CD$6,'Job Master'!$F$12:$I$102,4,0),CM52-VLOOKUP($P52&amp;" | "&amp;CD$6,'Job Master'!$F$12:$I$102,4,0)-1),""),"")</f>
        <v/>
      </c>
      <c r="CG52" s="73"/>
      <c r="CH52" s="123" t="str">
        <f t="shared" si="34"/>
        <v/>
      </c>
      <c r="CI52" s="123" t="str">
        <f t="shared" si="35"/>
        <v/>
      </c>
      <c r="CJ52" s="97" t="str">
        <f t="shared" ca="1" si="36"/>
        <v/>
      </c>
      <c r="CK52" s="98" t="str">
        <f>IF(CM52&lt;&gt;"",VLOOKUP($P52&amp;" | "&amp;CK$6,'Job Master'!$F$12:$J$102,5,0),"")</f>
        <v/>
      </c>
      <c r="CL52" s="19" t="str">
        <f>IF(CM52&lt;&gt;"",VLOOKUP($P52&amp;" | "&amp;CK$6,'Job Master'!$F$12:$J$102,3,0),"")</f>
        <v/>
      </c>
      <c r="CM52" s="19" t="str">
        <f>IFERROR(IF(AND(CT52&lt;&gt;"",VLOOKUP($P52&amp;" | "&amp;CK$6,'Job Master'!$F$12:$I$102,4,0)&lt;&gt;""),IF(WEEKDAY(CT52-VLOOKUP($P52&amp;" | "&amp;CK$6,'Job Master'!$F$12:$I$102,4,0))&lt;&gt;7,CT52-VLOOKUP($P52&amp;" | "&amp;CK$6,'Job Master'!$F$12:$I$102,4,0),CT52-VLOOKUP($P52&amp;" | "&amp;CK$6,'Job Master'!$F$12:$I$102,4,0)-1),""),"")</f>
        <v/>
      </c>
      <c r="CN52" s="73"/>
      <c r="CO52" s="123" t="str">
        <f t="shared" si="37"/>
        <v/>
      </c>
      <c r="CP52" s="123" t="str">
        <f t="shared" si="38"/>
        <v/>
      </c>
      <c r="CQ52" s="97" t="str">
        <f t="shared" ca="1" si="39"/>
        <v/>
      </c>
      <c r="CR52" s="98" t="str">
        <f>IF(CT52&lt;&gt;"",VLOOKUP($P52&amp;" | "&amp;CR$6,'Job Master'!$F$12:$J$102,5,0),"")</f>
        <v/>
      </c>
      <c r="CS52" s="19" t="str">
        <f>IF(CT52&lt;&gt;"",VLOOKUP($P52&amp;" | "&amp;CR$6,'Job Master'!$F$12:$J$102,3,0),"")</f>
        <v/>
      </c>
      <c r="CT52" s="19" t="str">
        <f>IFERROR(IF(AND(DA52&lt;&gt;"",VLOOKUP($P52&amp;" | "&amp;CR$6,'Job Master'!$F$12:$I$102,4,0)&lt;&gt;""),IF(WEEKDAY(DA52-VLOOKUP($P52&amp;" | "&amp;CR$6,'Job Master'!$F$12:$I$102,4,0))&lt;&gt;7,DA52-VLOOKUP($P52&amp;" | "&amp;CR$6,'Job Master'!$F$12:$I$102,4,0),DA52-VLOOKUP($P52&amp;" | "&amp;CR$6,'Job Master'!$F$12:$I$102,4,0)-1),""),"")</f>
        <v/>
      </c>
      <c r="CU52" s="73"/>
      <c r="CV52" s="123" t="str">
        <f t="shared" si="40"/>
        <v/>
      </c>
      <c r="CW52" s="123" t="str">
        <f t="shared" si="41"/>
        <v/>
      </c>
      <c r="CX52" s="97" t="str">
        <f t="shared" ca="1" si="42"/>
        <v/>
      </c>
      <c r="CY52" s="98" t="str">
        <f>IF(DA52&lt;&gt;"",VLOOKUP($P52&amp;" | "&amp;CY$6,'Job Master'!$F$12:$J$102,5,0),"")</f>
        <v/>
      </c>
      <c r="CZ52" s="19" t="str">
        <f>IF(DA52&lt;&gt;"",VLOOKUP($P52&amp;" | "&amp;CY$6,'Job Master'!$F$12:$J$102,3,0),"")</f>
        <v/>
      </c>
      <c r="DA52" s="19" t="str">
        <f>IFERROR(IF(AND(DH52&lt;&gt;"",VLOOKUP($P52&amp;" | "&amp;CY$6,'Job Master'!$F$12:$I$102,4,0)&lt;&gt;""),IF(WEEKDAY(DH52-VLOOKUP($P52&amp;" | "&amp;CY$6,'Job Master'!$F$12:$I$102,4,0))&lt;&gt;7,DH52-VLOOKUP($P52&amp;" | "&amp;CY$6,'Job Master'!$F$12:$I$102,4,0),DH52-VLOOKUP($P52&amp;" | "&amp;CY$6,'Job Master'!$F$12:$I$102,4,0)-1),""),"")</f>
        <v/>
      </c>
      <c r="DB52" s="73"/>
      <c r="DC52" s="123" t="str">
        <f t="shared" si="43"/>
        <v/>
      </c>
      <c r="DD52" s="123" t="str">
        <f t="shared" si="44"/>
        <v/>
      </c>
      <c r="DE52" s="97" t="str">
        <f t="shared" ca="1" si="45"/>
        <v/>
      </c>
      <c r="DF52" s="98" t="str">
        <f>IF(DH52&lt;&gt;"",VLOOKUP($P52&amp;" | "&amp;DF$6,'Job Master'!$F$12:$J$102,5,0),"")</f>
        <v/>
      </c>
      <c r="DG52" s="19" t="str">
        <f>IF(DH52&lt;&gt;"",VLOOKUP($P52&amp;" | "&amp;DF$6,'Job Master'!$F$12:$J$102,3,0),"")</f>
        <v/>
      </c>
      <c r="DH52" s="19" t="str">
        <f>IFERROR(IF(AND(DO52&lt;&gt;"",VLOOKUP($P52&amp;" | "&amp;DF$6,'Job Master'!$F$12:$I$102,4,0)&lt;&gt;""),IF(WEEKDAY(DO52-VLOOKUP($P52&amp;" | "&amp;DF$6,'Job Master'!$F$12:$I$102,4,0))&lt;&gt;7,DO52-VLOOKUP($P52&amp;" | "&amp;DF$6,'Job Master'!$F$12:$I$102,4,0),DO52-VLOOKUP($P52&amp;" | "&amp;DF$6,'Job Master'!$F$12:$I$102,4,0)-1),""),"")</f>
        <v/>
      </c>
      <c r="DI52" s="73"/>
      <c r="DJ52" s="123" t="str">
        <f t="shared" si="46"/>
        <v/>
      </c>
      <c r="DK52" s="123" t="str">
        <f t="shared" si="47"/>
        <v/>
      </c>
      <c r="DL52" s="97" t="str">
        <f t="shared" ca="1" si="48"/>
        <v/>
      </c>
      <c r="DM52" s="98" t="str">
        <f>IF(DO52&lt;&gt;"",VLOOKUP($P52&amp;" | "&amp;DM$6,'Job Master'!$F$12:$J$102,5,0),"")</f>
        <v/>
      </c>
      <c r="DN52" s="19" t="str">
        <f>IF(DO52&lt;&gt;"",VLOOKUP($P52&amp;" | "&amp;DM$6,'Job Master'!$F$12:$J$102,3,0),"")</f>
        <v/>
      </c>
      <c r="DO52" s="19" t="str">
        <f>IFERROR(IF(AND(DT52&lt;&gt;"",VLOOKUP($P52&amp;" | "&amp;DM$6,'Job Master'!$F$12:$I$102,4,0)&lt;&gt;""),IF(WEEKDAY(DT52-VLOOKUP($P52&amp;" | "&amp;DM$6,'Job Master'!$F$12:$I$102,4,0))&lt;&gt;7,DT52-VLOOKUP($P52&amp;" | "&amp;DM$6,'Job Master'!$F$12:$I$102,4,0),DT52-VLOOKUP($P52&amp;" | "&amp;DM$6,'Job Master'!$F$12:$I$102,4,0)-1),""),"")</f>
        <v/>
      </c>
      <c r="DP52" s="73"/>
      <c r="DQ52" s="123" t="str">
        <f t="shared" si="49"/>
        <v/>
      </c>
      <c r="DR52" s="123" t="str">
        <f t="shared" si="50"/>
        <v/>
      </c>
      <c r="DS52" s="97" t="str">
        <f t="shared" ca="1" si="51"/>
        <v/>
      </c>
      <c r="DT52" s="70" t="str">
        <f t="shared" si="52"/>
        <v/>
      </c>
      <c r="DU52" s="90"/>
      <c r="DV52" s="123" t="str">
        <f t="shared" si="53"/>
        <v/>
      </c>
      <c r="DW52" s="123" t="str">
        <f t="shared" si="54"/>
        <v/>
      </c>
      <c r="DX52" s="132" t="str">
        <f t="shared" ref="DX52" ca="1" si="113">IF(DT52&lt;&gt;"",IF(WEEKNUM(DT52)=WEEKNUM(TODAY()),"This Week",IF(WEEKNUM(DT52)=WEEKNUM(TODAY())+1,"Next Week",IF(WEEKNUM(DT52)=WEEKNUM(TODAY())-1,"Previous Week",""))),"")</f>
        <v/>
      </c>
      <c r="DY52" s="134" t="str">
        <f t="shared" si="56"/>
        <v/>
      </c>
      <c r="DZ52" s="95"/>
      <c r="EB52" s="8" t="str">
        <f t="shared" si="67"/>
        <v/>
      </c>
      <c r="EC52" s="8" t="str">
        <f>IF(O52&lt;&gt;"",VLOOKUP(O52,'Job Master'!$N$12:$O$18,2,0),"")</f>
        <v/>
      </c>
      <c r="ED52" s="8">
        <f t="shared" si="68"/>
        <v>19.5</v>
      </c>
      <c r="EE52" s="8">
        <f t="shared" si="69"/>
        <v>6</v>
      </c>
      <c r="EF52" s="8">
        <f t="shared" si="70"/>
        <v>-232.5</v>
      </c>
      <c r="EG52" s="8" t="str">
        <f t="shared" si="71"/>
        <v/>
      </c>
      <c r="EH52" s="8" t="str">
        <f t="shared" si="72"/>
        <v/>
      </c>
    </row>
    <row r="53" spans="2:138" x14ac:dyDescent="0.3">
      <c r="B53" s="112"/>
      <c r="C53" s="27"/>
      <c r="D53" s="7" t="str">
        <f t="shared" si="1"/>
        <v/>
      </c>
      <c r="E53" s="25"/>
      <c r="F53" s="7" t="str">
        <f t="shared" si="1"/>
        <v/>
      </c>
      <c r="G53" s="25"/>
      <c r="H53" s="7" t="str">
        <f t="shared" si="1"/>
        <v/>
      </c>
      <c r="I53" s="25"/>
      <c r="J53" s="7" t="str">
        <f t="shared" si="1"/>
        <v/>
      </c>
      <c r="K53" s="25"/>
      <c r="L53" s="7" t="str">
        <f t="shared" si="2"/>
        <v/>
      </c>
      <c r="M53" s="25"/>
      <c r="N53" s="7" t="str">
        <f t="shared" si="3"/>
        <v/>
      </c>
      <c r="O53" s="81"/>
      <c r="P53" s="81" t="str">
        <f t="shared" si="4"/>
        <v/>
      </c>
      <c r="Q53" s="81"/>
      <c r="R53" s="7" t="str">
        <f t="shared" si="5"/>
        <v/>
      </c>
      <c r="S53" s="25"/>
      <c r="T53" s="7" t="str">
        <f t="shared" si="6"/>
        <v/>
      </c>
      <c r="U53" s="25"/>
      <c r="V53" s="7" t="str">
        <f t="shared" si="7"/>
        <v/>
      </c>
      <c r="W53" s="25"/>
      <c r="X53" s="7" t="str">
        <f t="shared" si="8"/>
        <v/>
      </c>
      <c r="Y53" s="18" t="str">
        <f t="shared" si="9"/>
        <v/>
      </c>
      <c r="Z53" s="7" t="str">
        <f t="shared" si="10"/>
        <v/>
      </c>
      <c r="AA53" s="18" t="str">
        <f t="shared" si="11"/>
        <v/>
      </c>
      <c r="AB53" s="19" t="str">
        <f t="shared" si="12"/>
        <v/>
      </c>
      <c r="AC53" s="26"/>
      <c r="AD53" s="26"/>
      <c r="AE53" s="25"/>
      <c r="AF53" s="26"/>
      <c r="AG53" s="25"/>
      <c r="AH53" s="25"/>
      <c r="AI53" s="18" t="str">
        <f t="shared" si="83"/>
        <v/>
      </c>
      <c r="AJ53" s="25"/>
      <c r="AK53" s="18" t="str">
        <f t="shared" si="84"/>
        <v/>
      </c>
      <c r="AL53" s="79"/>
      <c r="AM53" s="126" t="str">
        <f t="shared" si="85"/>
        <v/>
      </c>
      <c r="AN53" s="128" t="str">
        <f>IF(AP53&lt;&gt;"",VLOOKUP($P53&amp;" | "&amp;AN$6,'Job Master'!$F$12:$J$102,5,0),"")</f>
        <v/>
      </c>
      <c r="AO53" s="19" t="str">
        <f>IF(AP53&lt;&gt;"",VLOOKUP($P53&amp;" | "&amp;AN$6,'Job Master'!$F$12:$J$102,3,0),"")</f>
        <v/>
      </c>
      <c r="AP53" s="19" t="str">
        <f>IFERROR(IF(AND(AW53&lt;&gt;"",VLOOKUP($P53&amp;" | "&amp;AN$6,'Job Master'!$F$12:$I$102,4,0)&lt;&gt;""),IF(WEEKDAY(AW53-VLOOKUP($P53&amp;" | "&amp;AN$6,'Job Master'!$F$12:$I$102,4,0))&lt;&gt;7,AW53-VLOOKUP($P53&amp;" | "&amp;AN$6,'Job Master'!$F$12:$I$102,4,0),AW53-VLOOKUP($P53&amp;" | "&amp;AN$6,'Job Master'!$F$12:$I$102,4,0)-1),""),"")</f>
        <v/>
      </c>
      <c r="AQ53" s="73"/>
      <c r="AR53" s="123" t="str">
        <f t="shared" si="16"/>
        <v/>
      </c>
      <c r="AS53" s="123" t="str">
        <f t="shared" si="17"/>
        <v/>
      </c>
      <c r="AT53" s="97" t="str">
        <f t="shared" ca="1" si="18"/>
        <v/>
      </c>
      <c r="AU53" s="98" t="str">
        <f>IF(AW53&lt;&gt;"",VLOOKUP($P53&amp;" | "&amp;AU$6,'Job Master'!$F$12:$J$102,5,0),"")</f>
        <v/>
      </c>
      <c r="AV53" s="19" t="str">
        <f>IF(AW53&lt;&gt;"",VLOOKUP($P53&amp;" | "&amp;AU$6,'Job Master'!$F$12:$J$102,3,0),"")</f>
        <v/>
      </c>
      <c r="AW53" s="19" t="str">
        <f>IFERROR(IF(AND(BD53&lt;&gt;"",VLOOKUP($P53&amp;" | "&amp;AU$6,'Job Master'!$F$12:$I$102,4,0)&lt;&gt;""),IF(WEEKDAY(BD53-VLOOKUP($P53&amp;" | "&amp;AU$6,'Job Master'!$F$12:$I$102,4,0))&lt;&gt;7,BD53-VLOOKUP($P53&amp;" | "&amp;AU$6,'Job Master'!$F$12:$I$102,4,0),BD53-VLOOKUP($P53&amp;" | "&amp;AU$6,'Job Master'!$F$12:$I$102,4,0)-1),""),"")</f>
        <v/>
      </c>
      <c r="AX53" s="73"/>
      <c r="AY53" s="123" t="str">
        <f t="shared" si="19"/>
        <v/>
      </c>
      <c r="AZ53" s="123" t="str">
        <f t="shared" si="20"/>
        <v/>
      </c>
      <c r="BA53" s="97" t="str">
        <f t="shared" ca="1" si="21"/>
        <v/>
      </c>
      <c r="BB53" s="98" t="str">
        <f>IF(BD53&lt;&gt;"",VLOOKUP($P53&amp;" | "&amp;BB$6,'Job Master'!$F$12:$J$102,5,0),"")</f>
        <v/>
      </c>
      <c r="BC53" s="19" t="str">
        <f>IF(BD53&lt;&gt;"",VLOOKUP($P53&amp;" | "&amp;BB$6,'Job Master'!$F$12:$J$102,3,0),"")</f>
        <v/>
      </c>
      <c r="BD53" s="19" t="str">
        <f>IFERROR(IF(AND(BK53&lt;&gt;"",VLOOKUP($P53&amp;" | "&amp;BB$6,'Job Master'!$F$12:$I$102,4,0)&lt;&gt;""),IF(WEEKDAY(BK53-VLOOKUP($P53&amp;" | "&amp;BB$6,'Job Master'!$F$12:$I$102,4,0))&lt;&gt;7,BK53-VLOOKUP($P53&amp;" | "&amp;BB$6,'Job Master'!$F$12:$I$102,4,0),BK53-VLOOKUP($P53&amp;" | "&amp;BB$6,'Job Master'!$F$12:$I$102,4,0)-1),""),"")</f>
        <v/>
      </c>
      <c r="BE53" s="73"/>
      <c r="BF53" s="123" t="str">
        <f t="shared" si="22"/>
        <v/>
      </c>
      <c r="BG53" s="123" t="str">
        <f t="shared" si="23"/>
        <v/>
      </c>
      <c r="BH53" s="97" t="str">
        <f t="shared" ca="1" si="24"/>
        <v/>
      </c>
      <c r="BI53" s="98" t="str">
        <f>IF(BK53&lt;&gt;"",VLOOKUP($P53&amp;" | "&amp;BI$6,'Job Master'!$F$12:$J$102,5,0),"")</f>
        <v/>
      </c>
      <c r="BJ53" s="19" t="str">
        <f>IF(BK53&lt;&gt;"",VLOOKUP($P53&amp;" | "&amp;BI$6,'Job Master'!$F$12:$J$102,3,0),"")</f>
        <v/>
      </c>
      <c r="BK53" s="19" t="str">
        <f>IFERROR(IF(AND(BR53&lt;&gt;"",VLOOKUP($P53&amp;" | "&amp;BI$6,'Job Master'!$F$12:$I$102,4,0)&lt;&gt;""),IF(WEEKDAY(BR53-VLOOKUP($P53&amp;" | "&amp;BI$6,'Job Master'!$F$12:$I$102,4,0))&lt;&gt;7,BR53-VLOOKUP($P53&amp;" | "&amp;BI$6,'Job Master'!$F$12:$I$102,4,0),BR53-VLOOKUP($P53&amp;" | "&amp;BI$6,'Job Master'!$F$12:$I$102,4,0)-1),""),"")</f>
        <v/>
      </c>
      <c r="BL53" s="73"/>
      <c r="BM53" s="123" t="str">
        <f t="shared" si="25"/>
        <v/>
      </c>
      <c r="BN53" s="123" t="str">
        <f t="shared" si="26"/>
        <v/>
      </c>
      <c r="BO53" s="97" t="str">
        <f t="shared" ca="1" si="27"/>
        <v/>
      </c>
      <c r="BP53" s="98" t="str">
        <f>IF(BR53&lt;&gt;"",VLOOKUP($P53&amp;" | "&amp;BP$6,'Job Master'!$F$12:$J$102,5,0),"")</f>
        <v/>
      </c>
      <c r="BQ53" s="19" t="str">
        <f>IF(BR53&lt;&gt;"",VLOOKUP($P53&amp;" | "&amp;BP$6,'Job Master'!$F$12:$J$102,3,0),"")</f>
        <v/>
      </c>
      <c r="BR53" s="19" t="str">
        <f>IFERROR(IF(AND(BY53&lt;&gt;"",VLOOKUP($P53&amp;" | "&amp;BP$6,'Job Master'!$F$12:$I$102,4,0)&lt;&gt;""),IF(WEEKDAY(BY53-VLOOKUP($P53&amp;" | "&amp;BP$6,'Job Master'!$F$12:$I$102,4,0))&lt;&gt;7,BY53-VLOOKUP($P53&amp;" | "&amp;BP$6,'Job Master'!$F$12:$I$102,4,0),BY53-VLOOKUP($P53&amp;" | "&amp;BP$6,'Job Master'!$F$12:$I$102,4,0)-1),""),"")</f>
        <v/>
      </c>
      <c r="BS53" s="73"/>
      <c r="BT53" s="123" t="str">
        <f t="shared" si="28"/>
        <v/>
      </c>
      <c r="BU53" s="123" t="str">
        <f t="shared" si="29"/>
        <v/>
      </c>
      <c r="BV53" s="97" t="str">
        <f t="shared" ca="1" si="30"/>
        <v/>
      </c>
      <c r="BW53" s="98" t="str">
        <f>IF(BY53&lt;&gt;"",VLOOKUP($P53&amp;" | "&amp;BW$6,'Job Master'!$F$12:$J$102,5,0),"")</f>
        <v/>
      </c>
      <c r="BX53" s="19" t="str">
        <f>IF(BY53&lt;&gt;"",VLOOKUP($P53&amp;" | "&amp;BW$6,'Job Master'!$F$12:$J$102,3,0),"")</f>
        <v/>
      </c>
      <c r="BY53" s="19" t="str">
        <f>IFERROR(IF(AND(CF53&lt;&gt;"",VLOOKUP($P53&amp;" | "&amp;BW$6,'Job Master'!$F$12:$I$102,4,0)&lt;&gt;""),IF(WEEKDAY(CF53-VLOOKUP($P53&amp;" | "&amp;BW$6,'Job Master'!$F$12:$I$102,4,0))&lt;&gt;7,CF53-VLOOKUP($P53&amp;" | "&amp;BW$6,'Job Master'!$F$12:$I$102,4,0),CF53-VLOOKUP($P53&amp;" | "&amp;BW$6,'Job Master'!$F$12:$I$102,4,0)-1),""),"")</f>
        <v/>
      </c>
      <c r="BZ53" s="73"/>
      <c r="CA53" s="123" t="str">
        <f t="shared" si="31"/>
        <v/>
      </c>
      <c r="CB53" s="123" t="str">
        <f t="shared" si="32"/>
        <v/>
      </c>
      <c r="CC53" s="97" t="str">
        <f t="shared" ca="1" si="33"/>
        <v/>
      </c>
      <c r="CD53" s="98" t="str">
        <f>IF(CF53&lt;&gt;"",VLOOKUP($P53&amp;" | "&amp;CD$6,'Job Master'!$F$12:$J$102,5,0),"")</f>
        <v/>
      </c>
      <c r="CE53" s="19" t="str">
        <f>IF(CF53&lt;&gt;"",VLOOKUP($P53&amp;" | "&amp;CD$6,'Job Master'!$F$12:$J$102,3,0),"")</f>
        <v/>
      </c>
      <c r="CF53" s="19" t="str">
        <f>IFERROR(IF(AND(CM53&lt;&gt;"",VLOOKUP($P53&amp;" | "&amp;CD$6,'Job Master'!$F$12:$I$102,4,0)&lt;&gt;""),IF(WEEKDAY(CM53-VLOOKUP($P53&amp;" | "&amp;CD$6,'Job Master'!$F$12:$I$102,4,0))&lt;&gt;7,CM53-VLOOKUP($P53&amp;" | "&amp;CD$6,'Job Master'!$F$12:$I$102,4,0),CM53-VLOOKUP($P53&amp;" | "&amp;CD$6,'Job Master'!$F$12:$I$102,4,0)-1),""),"")</f>
        <v/>
      </c>
      <c r="CG53" s="73"/>
      <c r="CH53" s="123" t="str">
        <f t="shared" si="34"/>
        <v/>
      </c>
      <c r="CI53" s="123" t="str">
        <f t="shared" si="35"/>
        <v/>
      </c>
      <c r="CJ53" s="97" t="str">
        <f t="shared" ca="1" si="36"/>
        <v/>
      </c>
      <c r="CK53" s="98" t="str">
        <f>IF(CM53&lt;&gt;"",VLOOKUP($P53&amp;" | "&amp;CK$6,'Job Master'!$F$12:$J$102,5,0),"")</f>
        <v/>
      </c>
      <c r="CL53" s="19" t="str">
        <f>IF(CM53&lt;&gt;"",VLOOKUP($P53&amp;" | "&amp;CK$6,'Job Master'!$F$12:$J$102,3,0),"")</f>
        <v/>
      </c>
      <c r="CM53" s="19" t="str">
        <f>IFERROR(IF(AND(CT53&lt;&gt;"",VLOOKUP($P53&amp;" | "&amp;CK$6,'Job Master'!$F$12:$I$102,4,0)&lt;&gt;""),IF(WEEKDAY(CT53-VLOOKUP($P53&amp;" | "&amp;CK$6,'Job Master'!$F$12:$I$102,4,0))&lt;&gt;7,CT53-VLOOKUP($P53&amp;" | "&amp;CK$6,'Job Master'!$F$12:$I$102,4,0),CT53-VLOOKUP($P53&amp;" | "&amp;CK$6,'Job Master'!$F$12:$I$102,4,0)-1),""),"")</f>
        <v/>
      </c>
      <c r="CN53" s="73"/>
      <c r="CO53" s="123" t="str">
        <f t="shared" si="37"/>
        <v/>
      </c>
      <c r="CP53" s="123" t="str">
        <f t="shared" si="38"/>
        <v/>
      </c>
      <c r="CQ53" s="97" t="str">
        <f t="shared" ca="1" si="39"/>
        <v/>
      </c>
      <c r="CR53" s="98" t="str">
        <f>IF(CT53&lt;&gt;"",VLOOKUP($P53&amp;" | "&amp;CR$6,'Job Master'!$F$12:$J$102,5,0),"")</f>
        <v/>
      </c>
      <c r="CS53" s="19" t="str">
        <f>IF(CT53&lt;&gt;"",VLOOKUP($P53&amp;" | "&amp;CR$6,'Job Master'!$F$12:$J$102,3,0),"")</f>
        <v/>
      </c>
      <c r="CT53" s="19" t="str">
        <f>IFERROR(IF(AND(DA53&lt;&gt;"",VLOOKUP($P53&amp;" | "&amp;CR$6,'Job Master'!$F$12:$I$102,4,0)&lt;&gt;""),IF(WEEKDAY(DA53-VLOOKUP($P53&amp;" | "&amp;CR$6,'Job Master'!$F$12:$I$102,4,0))&lt;&gt;7,DA53-VLOOKUP($P53&amp;" | "&amp;CR$6,'Job Master'!$F$12:$I$102,4,0),DA53-VLOOKUP($P53&amp;" | "&amp;CR$6,'Job Master'!$F$12:$I$102,4,0)-1),""),"")</f>
        <v/>
      </c>
      <c r="CU53" s="73"/>
      <c r="CV53" s="123" t="str">
        <f t="shared" si="40"/>
        <v/>
      </c>
      <c r="CW53" s="123" t="str">
        <f t="shared" si="41"/>
        <v/>
      </c>
      <c r="CX53" s="97" t="str">
        <f t="shared" ca="1" si="42"/>
        <v/>
      </c>
      <c r="CY53" s="98" t="str">
        <f>IF(DA53&lt;&gt;"",VLOOKUP($P53&amp;" | "&amp;CY$6,'Job Master'!$F$12:$J$102,5,0),"")</f>
        <v/>
      </c>
      <c r="CZ53" s="19" t="str">
        <f>IF(DA53&lt;&gt;"",VLOOKUP($P53&amp;" | "&amp;CY$6,'Job Master'!$F$12:$J$102,3,0),"")</f>
        <v/>
      </c>
      <c r="DA53" s="19" t="str">
        <f>IFERROR(IF(AND(DH53&lt;&gt;"",VLOOKUP($P53&amp;" | "&amp;CY$6,'Job Master'!$F$12:$I$102,4,0)&lt;&gt;""),IF(WEEKDAY(DH53-VLOOKUP($P53&amp;" | "&amp;CY$6,'Job Master'!$F$12:$I$102,4,0))&lt;&gt;7,DH53-VLOOKUP($P53&amp;" | "&amp;CY$6,'Job Master'!$F$12:$I$102,4,0),DH53-VLOOKUP($P53&amp;" | "&amp;CY$6,'Job Master'!$F$12:$I$102,4,0)-1),""),"")</f>
        <v/>
      </c>
      <c r="DB53" s="73"/>
      <c r="DC53" s="123" t="str">
        <f t="shared" si="43"/>
        <v/>
      </c>
      <c r="DD53" s="123" t="str">
        <f t="shared" si="44"/>
        <v/>
      </c>
      <c r="DE53" s="97" t="str">
        <f t="shared" ca="1" si="45"/>
        <v/>
      </c>
      <c r="DF53" s="98" t="str">
        <f>IF(DH53&lt;&gt;"",VLOOKUP($P53&amp;" | "&amp;DF$6,'Job Master'!$F$12:$J$102,5,0),"")</f>
        <v/>
      </c>
      <c r="DG53" s="19" t="str">
        <f>IF(DH53&lt;&gt;"",VLOOKUP($P53&amp;" | "&amp;DF$6,'Job Master'!$F$12:$J$102,3,0),"")</f>
        <v/>
      </c>
      <c r="DH53" s="19" t="str">
        <f>IFERROR(IF(AND(DO53&lt;&gt;"",VLOOKUP($P53&amp;" | "&amp;DF$6,'Job Master'!$F$12:$I$102,4,0)&lt;&gt;""),IF(WEEKDAY(DO53-VLOOKUP($P53&amp;" | "&amp;DF$6,'Job Master'!$F$12:$I$102,4,0))&lt;&gt;7,DO53-VLOOKUP($P53&amp;" | "&amp;DF$6,'Job Master'!$F$12:$I$102,4,0),DO53-VLOOKUP($P53&amp;" | "&amp;DF$6,'Job Master'!$F$12:$I$102,4,0)-1),""),"")</f>
        <v/>
      </c>
      <c r="DI53" s="73"/>
      <c r="DJ53" s="123" t="str">
        <f t="shared" si="46"/>
        <v/>
      </c>
      <c r="DK53" s="123" t="str">
        <f t="shared" si="47"/>
        <v/>
      </c>
      <c r="DL53" s="97" t="str">
        <f t="shared" ca="1" si="48"/>
        <v/>
      </c>
      <c r="DM53" s="98" t="str">
        <f>IF(DO53&lt;&gt;"",VLOOKUP($P53&amp;" | "&amp;DM$6,'Job Master'!$F$12:$J$102,5,0),"")</f>
        <v/>
      </c>
      <c r="DN53" s="19" t="str">
        <f>IF(DO53&lt;&gt;"",VLOOKUP($P53&amp;" | "&amp;DM$6,'Job Master'!$F$12:$J$102,3,0),"")</f>
        <v/>
      </c>
      <c r="DO53" s="19" t="str">
        <f>IFERROR(IF(AND(DT53&lt;&gt;"",VLOOKUP($P53&amp;" | "&amp;DM$6,'Job Master'!$F$12:$I$102,4,0)&lt;&gt;""),IF(WEEKDAY(DT53-VLOOKUP($P53&amp;" | "&amp;DM$6,'Job Master'!$F$12:$I$102,4,0))&lt;&gt;7,DT53-VLOOKUP($P53&amp;" | "&amp;DM$6,'Job Master'!$F$12:$I$102,4,0),DT53-VLOOKUP($P53&amp;" | "&amp;DM$6,'Job Master'!$F$12:$I$102,4,0)-1),""),"")</f>
        <v/>
      </c>
      <c r="DP53" s="73"/>
      <c r="DQ53" s="123" t="str">
        <f t="shared" si="49"/>
        <v/>
      </c>
      <c r="DR53" s="123" t="str">
        <f t="shared" si="50"/>
        <v/>
      </c>
      <c r="DS53" s="97" t="str">
        <f t="shared" ca="1" si="51"/>
        <v/>
      </c>
      <c r="DT53" s="70" t="str">
        <f t="shared" si="52"/>
        <v/>
      </c>
      <c r="DU53" s="90"/>
      <c r="DV53" s="123" t="str">
        <f t="shared" si="53"/>
        <v/>
      </c>
      <c r="DW53" s="123" t="str">
        <f t="shared" si="54"/>
        <v/>
      </c>
      <c r="DX53" s="132" t="str">
        <f t="shared" ref="DX53" ca="1" si="114">IF(DT53&lt;&gt;"",IF(WEEKNUM(DT53)=WEEKNUM(TODAY()),"This Week",IF(WEEKNUM(DT53)=WEEKNUM(TODAY())+1,"Next Week",IF(WEEKNUM(DT53)=WEEKNUM(TODAY())-1,"Previous Week",""))),"")</f>
        <v/>
      </c>
      <c r="DY53" s="134" t="str">
        <f t="shared" si="56"/>
        <v/>
      </c>
      <c r="DZ53" s="95"/>
      <c r="EB53" s="8" t="str">
        <f t="shared" si="67"/>
        <v/>
      </c>
      <c r="EC53" s="8" t="str">
        <f>IF(O53&lt;&gt;"",VLOOKUP(O53,'Job Master'!$N$12:$O$18,2,0),"")</f>
        <v/>
      </c>
      <c r="ED53" s="8">
        <f t="shared" si="68"/>
        <v>19.5</v>
      </c>
      <c r="EE53" s="8">
        <f t="shared" si="69"/>
        <v>6</v>
      </c>
      <c r="EF53" s="8">
        <f t="shared" si="70"/>
        <v>-238.5</v>
      </c>
      <c r="EG53" s="8" t="str">
        <f t="shared" si="71"/>
        <v/>
      </c>
      <c r="EH53" s="8" t="str">
        <f t="shared" si="72"/>
        <v/>
      </c>
    </row>
    <row r="54" spans="2:138" x14ac:dyDescent="0.3">
      <c r="B54" s="112"/>
      <c r="C54" s="27"/>
      <c r="D54" s="7" t="str">
        <f t="shared" si="1"/>
        <v/>
      </c>
      <c r="E54" s="25"/>
      <c r="F54" s="7" t="str">
        <f t="shared" si="1"/>
        <v/>
      </c>
      <c r="G54" s="25"/>
      <c r="H54" s="7" t="str">
        <f t="shared" si="1"/>
        <v/>
      </c>
      <c r="I54" s="25"/>
      <c r="J54" s="7" t="str">
        <f t="shared" si="1"/>
        <v/>
      </c>
      <c r="K54" s="25"/>
      <c r="L54" s="7" t="str">
        <f t="shared" si="2"/>
        <v/>
      </c>
      <c r="M54" s="25"/>
      <c r="N54" s="7" t="str">
        <f t="shared" si="3"/>
        <v/>
      </c>
      <c r="O54" s="81"/>
      <c r="P54" s="81" t="str">
        <f t="shared" si="4"/>
        <v/>
      </c>
      <c r="Q54" s="81"/>
      <c r="R54" s="7" t="str">
        <f t="shared" si="5"/>
        <v/>
      </c>
      <c r="S54" s="25"/>
      <c r="T54" s="7" t="str">
        <f t="shared" si="6"/>
        <v/>
      </c>
      <c r="U54" s="25"/>
      <c r="V54" s="7" t="str">
        <f t="shared" si="7"/>
        <v/>
      </c>
      <c r="W54" s="25"/>
      <c r="X54" s="7" t="str">
        <f t="shared" si="8"/>
        <v/>
      </c>
      <c r="Y54" s="18" t="str">
        <f t="shared" si="9"/>
        <v/>
      </c>
      <c r="Z54" s="7" t="str">
        <f t="shared" si="10"/>
        <v/>
      </c>
      <c r="AA54" s="18" t="str">
        <f t="shared" si="11"/>
        <v/>
      </c>
      <c r="AB54" s="19" t="str">
        <f t="shared" si="12"/>
        <v/>
      </c>
      <c r="AC54" s="26"/>
      <c r="AD54" s="26"/>
      <c r="AE54" s="25"/>
      <c r="AF54" s="26"/>
      <c r="AG54" s="25"/>
      <c r="AH54" s="25"/>
      <c r="AI54" s="18" t="str">
        <f t="shared" si="83"/>
        <v/>
      </c>
      <c r="AJ54" s="25"/>
      <c r="AK54" s="18" t="str">
        <f t="shared" si="84"/>
        <v/>
      </c>
      <c r="AL54" s="79"/>
      <c r="AM54" s="126" t="str">
        <f t="shared" si="85"/>
        <v/>
      </c>
      <c r="AN54" s="128" t="str">
        <f>IF(AP54&lt;&gt;"",VLOOKUP($P54&amp;" | "&amp;AN$6,'Job Master'!$F$12:$J$102,5,0),"")</f>
        <v/>
      </c>
      <c r="AO54" s="19" t="str">
        <f>IF(AP54&lt;&gt;"",VLOOKUP($P54&amp;" | "&amp;AN$6,'Job Master'!$F$12:$J$102,3,0),"")</f>
        <v/>
      </c>
      <c r="AP54" s="19" t="str">
        <f>IFERROR(IF(AND(AW54&lt;&gt;"",VLOOKUP($P54&amp;" | "&amp;AN$6,'Job Master'!$F$12:$I$102,4,0)&lt;&gt;""),IF(WEEKDAY(AW54-VLOOKUP($P54&amp;" | "&amp;AN$6,'Job Master'!$F$12:$I$102,4,0))&lt;&gt;7,AW54-VLOOKUP($P54&amp;" | "&amp;AN$6,'Job Master'!$F$12:$I$102,4,0),AW54-VLOOKUP($P54&amp;" | "&amp;AN$6,'Job Master'!$F$12:$I$102,4,0)-1),""),"")</f>
        <v/>
      </c>
      <c r="AQ54" s="73"/>
      <c r="AR54" s="123" t="str">
        <f t="shared" si="16"/>
        <v/>
      </c>
      <c r="AS54" s="123" t="str">
        <f t="shared" si="17"/>
        <v/>
      </c>
      <c r="AT54" s="97" t="str">
        <f t="shared" ca="1" si="18"/>
        <v/>
      </c>
      <c r="AU54" s="98" t="str">
        <f>IF(AW54&lt;&gt;"",VLOOKUP($P54&amp;" | "&amp;AU$6,'Job Master'!$F$12:$J$102,5,0),"")</f>
        <v/>
      </c>
      <c r="AV54" s="19" t="str">
        <f>IF(AW54&lt;&gt;"",VLOOKUP($P54&amp;" | "&amp;AU$6,'Job Master'!$F$12:$J$102,3,0),"")</f>
        <v/>
      </c>
      <c r="AW54" s="19" t="str">
        <f>IFERROR(IF(AND(BD54&lt;&gt;"",VLOOKUP($P54&amp;" | "&amp;AU$6,'Job Master'!$F$12:$I$102,4,0)&lt;&gt;""),IF(WEEKDAY(BD54-VLOOKUP($P54&amp;" | "&amp;AU$6,'Job Master'!$F$12:$I$102,4,0))&lt;&gt;7,BD54-VLOOKUP($P54&amp;" | "&amp;AU$6,'Job Master'!$F$12:$I$102,4,0),BD54-VLOOKUP($P54&amp;" | "&amp;AU$6,'Job Master'!$F$12:$I$102,4,0)-1),""),"")</f>
        <v/>
      </c>
      <c r="AX54" s="73"/>
      <c r="AY54" s="123" t="str">
        <f t="shared" si="19"/>
        <v/>
      </c>
      <c r="AZ54" s="123" t="str">
        <f t="shared" si="20"/>
        <v/>
      </c>
      <c r="BA54" s="97" t="str">
        <f t="shared" ca="1" si="21"/>
        <v/>
      </c>
      <c r="BB54" s="98" t="str">
        <f>IF(BD54&lt;&gt;"",VLOOKUP($P54&amp;" | "&amp;BB$6,'Job Master'!$F$12:$J$102,5,0),"")</f>
        <v/>
      </c>
      <c r="BC54" s="19" t="str">
        <f>IF(BD54&lt;&gt;"",VLOOKUP($P54&amp;" | "&amp;BB$6,'Job Master'!$F$12:$J$102,3,0),"")</f>
        <v/>
      </c>
      <c r="BD54" s="19" t="str">
        <f>IFERROR(IF(AND(BK54&lt;&gt;"",VLOOKUP($P54&amp;" | "&amp;BB$6,'Job Master'!$F$12:$I$102,4,0)&lt;&gt;""),IF(WEEKDAY(BK54-VLOOKUP($P54&amp;" | "&amp;BB$6,'Job Master'!$F$12:$I$102,4,0))&lt;&gt;7,BK54-VLOOKUP($P54&amp;" | "&amp;BB$6,'Job Master'!$F$12:$I$102,4,0),BK54-VLOOKUP($P54&amp;" | "&amp;BB$6,'Job Master'!$F$12:$I$102,4,0)-1),""),"")</f>
        <v/>
      </c>
      <c r="BE54" s="73"/>
      <c r="BF54" s="123" t="str">
        <f t="shared" si="22"/>
        <v/>
      </c>
      <c r="BG54" s="123" t="str">
        <f t="shared" si="23"/>
        <v/>
      </c>
      <c r="BH54" s="97" t="str">
        <f t="shared" ca="1" si="24"/>
        <v/>
      </c>
      <c r="BI54" s="98" t="str">
        <f>IF(BK54&lt;&gt;"",VLOOKUP($P54&amp;" | "&amp;BI$6,'Job Master'!$F$12:$J$102,5,0),"")</f>
        <v/>
      </c>
      <c r="BJ54" s="19" t="str">
        <f>IF(BK54&lt;&gt;"",VLOOKUP($P54&amp;" | "&amp;BI$6,'Job Master'!$F$12:$J$102,3,0),"")</f>
        <v/>
      </c>
      <c r="BK54" s="19" t="str">
        <f>IFERROR(IF(AND(BR54&lt;&gt;"",VLOOKUP($P54&amp;" | "&amp;BI$6,'Job Master'!$F$12:$I$102,4,0)&lt;&gt;""),IF(WEEKDAY(BR54-VLOOKUP($P54&amp;" | "&amp;BI$6,'Job Master'!$F$12:$I$102,4,0))&lt;&gt;7,BR54-VLOOKUP($P54&amp;" | "&amp;BI$6,'Job Master'!$F$12:$I$102,4,0),BR54-VLOOKUP($P54&amp;" | "&amp;BI$6,'Job Master'!$F$12:$I$102,4,0)-1),""),"")</f>
        <v/>
      </c>
      <c r="BL54" s="73"/>
      <c r="BM54" s="123" t="str">
        <f t="shared" si="25"/>
        <v/>
      </c>
      <c r="BN54" s="123" t="str">
        <f t="shared" si="26"/>
        <v/>
      </c>
      <c r="BO54" s="97" t="str">
        <f t="shared" ca="1" si="27"/>
        <v/>
      </c>
      <c r="BP54" s="98" t="str">
        <f>IF(BR54&lt;&gt;"",VLOOKUP($P54&amp;" | "&amp;BP$6,'Job Master'!$F$12:$J$102,5,0),"")</f>
        <v/>
      </c>
      <c r="BQ54" s="19" t="str">
        <f>IF(BR54&lt;&gt;"",VLOOKUP($P54&amp;" | "&amp;BP$6,'Job Master'!$F$12:$J$102,3,0),"")</f>
        <v/>
      </c>
      <c r="BR54" s="19" t="str">
        <f>IFERROR(IF(AND(BY54&lt;&gt;"",VLOOKUP($P54&amp;" | "&amp;BP$6,'Job Master'!$F$12:$I$102,4,0)&lt;&gt;""),IF(WEEKDAY(BY54-VLOOKUP($P54&amp;" | "&amp;BP$6,'Job Master'!$F$12:$I$102,4,0))&lt;&gt;7,BY54-VLOOKUP($P54&amp;" | "&amp;BP$6,'Job Master'!$F$12:$I$102,4,0),BY54-VLOOKUP($P54&amp;" | "&amp;BP$6,'Job Master'!$F$12:$I$102,4,0)-1),""),"")</f>
        <v/>
      </c>
      <c r="BS54" s="73"/>
      <c r="BT54" s="123" t="str">
        <f t="shared" si="28"/>
        <v/>
      </c>
      <c r="BU54" s="123" t="str">
        <f t="shared" si="29"/>
        <v/>
      </c>
      <c r="BV54" s="97" t="str">
        <f t="shared" ca="1" si="30"/>
        <v/>
      </c>
      <c r="BW54" s="98" t="str">
        <f>IF(BY54&lt;&gt;"",VLOOKUP($P54&amp;" | "&amp;BW$6,'Job Master'!$F$12:$J$102,5,0),"")</f>
        <v/>
      </c>
      <c r="BX54" s="19" t="str">
        <f>IF(BY54&lt;&gt;"",VLOOKUP($P54&amp;" | "&amp;BW$6,'Job Master'!$F$12:$J$102,3,0),"")</f>
        <v/>
      </c>
      <c r="BY54" s="19" t="str">
        <f>IFERROR(IF(AND(CF54&lt;&gt;"",VLOOKUP($P54&amp;" | "&amp;BW$6,'Job Master'!$F$12:$I$102,4,0)&lt;&gt;""),IF(WEEKDAY(CF54-VLOOKUP($P54&amp;" | "&amp;BW$6,'Job Master'!$F$12:$I$102,4,0))&lt;&gt;7,CF54-VLOOKUP($P54&amp;" | "&amp;BW$6,'Job Master'!$F$12:$I$102,4,0),CF54-VLOOKUP($P54&amp;" | "&amp;BW$6,'Job Master'!$F$12:$I$102,4,0)-1),""),"")</f>
        <v/>
      </c>
      <c r="BZ54" s="73"/>
      <c r="CA54" s="123" t="str">
        <f t="shared" si="31"/>
        <v/>
      </c>
      <c r="CB54" s="123" t="str">
        <f t="shared" si="32"/>
        <v/>
      </c>
      <c r="CC54" s="97" t="str">
        <f t="shared" ca="1" si="33"/>
        <v/>
      </c>
      <c r="CD54" s="98" t="str">
        <f>IF(CF54&lt;&gt;"",VLOOKUP($P54&amp;" | "&amp;CD$6,'Job Master'!$F$12:$J$102,5,0),"")</f>
        <v/>
      </c>
      <c r="CE54" s="19" t="str">
        <f>IF(CF54&lt;&gt;"",VLOOKUP($P54&amp;" | "&amp;CD$6,'Job Master'!$F$12:$J$102,3,0),"")</f>
        <v/>
      </c>
      <c r="CF54" s="19" t="str">
        <f>IFERROR(IF(AND(CM54&lt;&gt;"",VLOOKUP($P54&amp;" | "&amp;CD$6,'Job Master'!$F$12:$I$102,4,0)&lt;&gt;""),IF(WEEKDAY(CM54-VLOOKUP($P54&amp;" | "&amp;CD$6,'Job Master'!$F$12:$I$102,4,0))&lt;&gt;7,CM54-VLOOKUP($P54&amp;" | "&amp;CD$6,'Job Master'!$F$12:$I$102,4,0),CM54-VLOOKUP($P54&amp;" | "&amp;CD$6,'Job Master'!$F$12:$I$102,4,0)-1),""),"")</f>
        <v/>
      </c>
      <c r="CG54" s="73"/>
      <c r="CH54" s="123" t="str">
        <f t="shared" si="34"/>
        <v/>
      </c>
      <c r="CI54" s="123" t="str">
        <f t="shared" si="35"/>
        <v/>
      </c>
      <c r="CJ54" s="97" t="str">
        <f t="shared" ca="1" si="36"/>
        <v/>
      </c>
      <c r="CK54" s="98" t="str">
        <f>IF(CM54&lt;&gt;"",VLOOKUP($P54&amp;" | "&amp;CK$6,'Job Master'!$F$12:$J$102,5,0),"")</f>
        <v/>
      </c>
      <c r="CL54" s="19" t="str">
        <f>IF(CM54&lt;&gt;"",VLOOKUP($P54&amp;" | "&amp;CK$6,'Job Master'!$F$12:$J$102,3,0),"")</f>
        <v/>
      </c>
      <c r="CM54" s="19" t="str">
        <f>IFERROR(IF(AND(CT54&lt;&gt;"",VLOOKUP($P54&amp;" | "&amp;CK$6,'Job Master'!$F$12:$I$102,4,0)&lt;&gt;""),IF(WEEKDAY(CT54-VLOOKUP($P54&amp;" | "&amp;CK$6,'Job Master'!$F$12:$I$102,4,0))&lt;&gt;7,CT54-VLOOKUP($P54&amp;" | "&amp;CK$6,'Job Master'!$F$12:$I$102,4,0),CT54-VLOOKUP($P54&amp;" | "&amp;CK$6,'Job Master'!$F$12:$I$102,4,0)-1),""),"")</f>
        <v/>
      </c>
      <c r="CN54" s="73"/>
      <c r="CO54" s="123" t="str">
        <f t="shared" si="37"/>
        <v/>
      </c>
      <c r="CP54" s="123" t="str">
        <f t="shared" si="38"/>
        <v/>
      </c>
      <c r="CQ54" s="97" t="str">
        <f t="shared" ca="1" si="39"/>
        <v/>
      </c>
      <c r="CR54" s="98" t="str">
        <f>IF(CT54&lt;&gt;"",VLOOKUP($P54&amp;" | "&amp;CR$6,'Job Master'!$F$12:$J$102,5,0),"")</f>
        <v/>
      </c>
      <c r="CS54" s="19" t="str">
        <f>IF(CT54&lt;&gt;"",VLOOKUP($P54&amp;" | "&amp;CR$6,'Job Master'!$F$12:$J$102,3,0),"")</f>
        <v/>
      </c>
      <c r="CT54" s="19" t="str">
        <f>IFERROR(IF(AND(DA54&lt;&gt;"",VLOOKUP($P54&amp;" | "&amp;CR$6,'Job Master'!$F$12:$I$102,4,0)&lt;&gt;""),IF(WEEKDAY(DA54-VLOOKUP($P54&amp;" | "&amp;CR$6,'Job Master'!$F$12:$I$102,4,0))&lt;&gt;7,DA54-VLOOKUP($P54&amp;" | "&amp;CR$6,'Job Master'!$F$12:$I$102,4,0),DA54-VLOOKUP($P54&amp;" | "&amp;CR$6,'Job Master'!$F$12:$I$102,4,0)-1),""),"")</f>
        <v/>
      </c>
      <c r="CU54" s="73"/>
      <c r="CV54" s="123" t="str">
        <f t="shared" si="40"/>
        <v/>
      </c>
      <c r="CW54" s="123" t="str">
        <f t="shared" si="41"/>
        <v/>
      </c>
      <c r="CX54" s="97" t="str">
        <f t="shared" ca="1" si="42"/>
        <v/>
      </c>
      <c r="CY54" s="98" t="str">
        <f>IF(DA54&lt;&gt;"",VLOOKUP($P54&amp;" | "&amp;CY$6,'Job Master'!$F$12:$J$102,5,0),"")</f>
        <v/>
      </c>
      <c r="CZ54" s="19" t="str">
        <f>IF(DA54&lt;&gt;"",VLOOKUP($P54&amp;" | "&amp;CY$6,'Job Master'!$F$12:$J$102,3,0),"")</f>
        <v/>
      </c>
      <c r="DA54" s="19" t="str">
        <f>IFERROR(IF(AND(DH54&lt;&gt;"",VLOOKUP($P54&amp;" | "&amp;CY$6,'Job Master'!$F$12:$I$102,4,0)&lt;&gt;""),IF(WEEKDAY(DH54-VLOOKUP($P54&amp;" | "&amp;CY$6,'Job Master'!$F$12:$I$102,4,0))&lt;&gt;7,DH54-VLOOKUP($P54&amp;" | "&amp;CY$6,'Job Master'!$F$12:$I$102,4,0),DH54-VLOOKUP($P54&amp;" | "&amp;CY$6,'Job Master'!$F$12:$I$102,4,0)-1),""),"")</f>
        <v/>
      </c>
      <c r="DB54" s="73"/>
      <c r="DC54" s="123" t="str">
        <f t="shared" si="43"/>
        <v/>
      </c>
      <c r="DD54" s="123" t="str">
        <f t="shared" si="44"/>
        <v/>
      </c>
      <c r="DE54" s="97" t="str">
        <f t="shared" ca="1" si="45"/>
        <v/>
      </c>
      <c r="DF54" s="98" t="str">
        <f>IF(DH54&lt;&gt;"",VLOOKUP($P54&amp;" | "&amp;DF$6,'Job Master'!$F$12:$J$102,5,0),"")</f>
        <v/>
      </c>
      <c r="DG54" s="19" t="str">
        <f>IF(DH54&lt;&gt;"",VLOOKUP($P54&amp;" | "&amp;DF$6,'Job Master'!$F$12:$J$102,3,0),"")</f>
        <v/>
      </c>
      <c r="DH54" s="19" t="str">
        <f>IFERROR(IF(AND(DO54&lt;&gt;"",VLOOKUP($P54&amp;" | "&amp;DF$6,'Job Master'!$F$12:$I$102,4,0)&lt;&gt;""),IF(WEEKDAY(DO54-VLOOKUP($P54&amp;" | "&amp;DF$6,'Job Master'!$F$12:$I$102,4,0))&lt;&gt;7,DO54-VLOOKUP($P54&amp;" | "&amp;DF$6,'Job Master'!$F$12:$I$102,4,0),DO54-VLOOKUP($P54&amp;" | "&amp;DF$6,'Job Master'!$F$12:$I$102,4,0)-1),""),"")</f>
        <v/>
      </c>
      <c r="DI54" s="73"/>
      <c r="DJ54" s="123" t="str">
        <f t="shared" si="46"/>
        <v/>
      </c>
      <c r="DK54" s="123" t="str">
        <f t="shared" si="47"/>
        <v/>
      </c>
      <c r="DL54" s="97" t="str">
        <f t="shared" ca="1" si="48"/>
        <v/>
      </c>
      <c r="DM54" s="98" t="str">
        <f>IF(DO54&lt;&gt;"",VLOOKUP($P54&amp;" | "&amp;DM$6,'Job Master'!$F$12:$J$102,5,0),"")</f>
        <v/>
      </c>
      <c r="DN54" s="19" t="str">
        <f>IF(DO54&lt;&gt;"",VLOOKUP($P54&amp;" | "&amp;DM$6,'Job Master'!$F$12:$J$102,3,0),"")</f>
        <v/>
      </c>
      <c r="DO54" s="19" t="str">
        <f>IFERROR(IF(AND(DT54&lt;&gt;"",VLOOKUP($P54&amp;" | "&amp;DM$6,'Job Master'!$F$12:$I$102,4,0)&lt;&gt;""),IF(WEEKDAY(DT54-VLOOKUP($P54&amp;" | "&amp;DM$6,'Job Master'!$F$12:$I$102,4,0))&lt;&gt;7,DT54-VLOOKUP($P54&amp;" | "&amp;DM$6,'Job Master'!$F$12:$I$102,4,0),DT54-VLOOKUP($P54&amp;" | "&amp;DM$6,'Job Master'!$F$12:$I$102,4,0)-1),""),"")</f>
        <v/>
      </c>
      <c r="DP54" s="73"/>
      <c r="DQ54" s="123" t="str">
        <f t="shared" si="49"/>
        <v/>
      </c>
      <c r="DR54" s="123" t="str">
        <f t="shared" si="50"/>
        <v/>
      </c>
      <c r="DS54" s="97" t="str">
        <f t="shared" ca="1" si="51"/>
        <v/>
      </c>
      <c r="DT54" s="70" t="str">
        <f t="shared" si="52"/>
        <v/>
      </c>
      <c r="DU54" s="90"/>
      <c r="DV54" s="123" t="str">
        <f t="shared" si="53"/>
        <v/>
      </c>
      <c r="DW54" s="123" t="str">
        <f t="shared" si="54"/>
        <v/>
      </c>
      <c r="DX54" s="132" t="str">
        <f t="shared" ref="DX54" ca="1" si="115">IF(DT54&lt;&gt;"",IF(WEEKNUM(DT54)=WEEKNUM(TODAY()),"This Week",IF(WEEKNUM(DT54)=WEEKNUM(TODAY())+1,"Next Week",IF(WEEKNUM(DT54)=WEEKNUM(TODAY())-1,"Previous Week",""))),"")</f>
        <v/>
      </c>
      <c r="DY54" s="134" t="str">
        <f t="shared" si="56"/>
        <v/>
      </c>
      <c r="DZ54" s="95"/>
      <c r="EB54" s="8" t="str">
        <f t="shared" si="67"/>
        <v/>
      </c>
      <c r="EC54" s="8" t="str">
        <f>IF(O54&lt;&gt;"",VLOOKUP(O54,'Job Master'!$N$12:$O$18,2,0),"")</f>
        <v/>
      </c>
      <c r="ED54" s="8">
        <f t="shared" si="68"/>
        <v>19.5</v>
      </c>
      <c r="EE54" s="8">
        <f t="shared" si="69"/>
        <v>6</v>
      </c>
      <c r="EF54" s="8">
        <f t="shared" si="70"/>
        <v>-244.5</v>
      </c>
      <c r="EG54" s="8" t="str">
        <f t="shared" si="71"/>
        <v/>
      </c>
      <c r="EH54" s="8" t="str">
        <f t="shared" si="72"/>
        <v/>
      </c>
    </row>
    <row r="55" spans="2:138" x14ac:dyDescent="0.3">
      <c r="B55" s="112"/>
      <c r="C55" s="27"/>
      <c r="D55" s="7" t="str">
        <f t="shared" si="1"/>
        <v/>
      </c>
      <c r="E55" s="25"/>
      <c r="F55" s="7" t="str">
        <f t="shared" si="1"/>
        <v/>
      </c>
      <c r="G55" s="25"/>
      <c r="H55" s="7" t="str">
        <f t="shared" si="1"/>
        <v/>
      </c>
      <c r="I55" s="25"/>
      <c r="J55" s="7" t="str">
        <f t="shared" si="1"/>
        <v/>
      </c>
      <c r="K55" s="25"/>
      <c r="L55" s="7" t="str">
        <f t="shared" si="2"/>
        <v/>
      </c>
      <c r="M55" s="25"/>
      <c r="N55" s="7" t="str">
        <f t="shared" si="3"/>
        <v/>
      </c>
      <c r="O55" s="81"/>
      <c r="P55" s="81" t="str">
        <f t="shared" si="4"/>
        <v/>
      </c>
      <c r="Q55" s="81"/>
      <c r="R55" s="7" t="str">
        <f t="shared" si="5"/>
        <v/>
      </c>
      <c r="S55" s="25"/>
      <c r="T55" s="7" t="str">
        <f t="shared" si="6"/>
        <v/>
      </c>
      <c r="U55" s="25"/>
      <c r="V55" s="7" t="str">
        <f t="shared" si="7"/>
        <v/>
      </c>
      <c r="W55" s="25"/>
      <c r="X55" s="7" t="str">
        <f t="shared" si="8"/>
        <v/>
      </c>
      <c r="Y55" s="18" t="str">
        <f t="shared" si="9"/>
        <v/>
      </c>
      <c r="Z55" s="7" t="str">
        <f t="shared" si="10"/>
        <v/>
      </c>
      <c r="AA55" s="18" t="str">
        <f t="shared" si="11"/>
        <v/>
      </c>
      <c r="AB55" s="19" t="str">
        <f t="shared" si="12"/>
        <v/>
      </c>
      <c r="AC55" s="26"/>
      <c r="AD55" s="26"/>
      <c r="AE55" s="25"/>
      <c r="AF55" s="26"/>
      <c r="AG55" s="25"/>
      <c r="AH55" s="25"/>
      <c r="AI55" s="18" t="str">
        <f t="shared" si="83"/>
        <v/>
      </c>
      <c r="AJ55" s="25"/>
      <c r="AK55" s="18" t="str">
        <f t="shared" si="84"/>
        <v/>
      </c>
      <c r="AL55" s="79"/>
      <c r="AM55" s="126" t="str">
        <f t="shared" si="85"/>
        <v/>
      </c>
      <c r="AN55" s="128" t="str">
        <f>IF(AP55&lt;&gt;"",VLOOKUP($P55&amp;" | "&amp;AN$6,'Job Master'!$F$12:$J$102,5,0),"")</f>
        <v/>
      </c>
      <c r="AO55" s="19" t="str">
        <f>IF(AP55&lt;&gt;"",VLOOKUP($P55&amp;" | "&amp;AN$6,'Job Master'!$F$12:$J$102,3,0),"")</f>
        <v/>
      </c>
      <c r="AP55" s="19" t="str">
        <f>IFERROR(IF(AND(AW55&lt;&gt;"",VLOOKUP($P55&amp;" | "&amp;AN$6,'Job Master'!$F$12:$I$102,4,0)&lt;&gt;""),IF(WEEKDAY(AW55-VLOOKUP($P55&amp;" | "&amp;AN$6,'Job Master'!$F$12:$I$102,4,0))&lt;&gt;7,AW55-VLOOKUP($P55&amp;" | "&amp;AN$6,'Job Master'!$F$12:$I$102,4,0),AW55-VLOOKUP($P55&amp;" | "&amp;AN$6,'Job Master'!$F$12:$I$102,4,0)-1),""),"")</f>
        <v/>
      </c>
      <c r="AQ55" s="73"/>
      <c r="AR55" s="123" t="str">
        <f t="shared" si="16"/>
        <v/>
      </c>
      <c r="AS55" s="123" t="str">
        <f t="shared" si="17"/>
        <v/>
      </c>
      <c r="AT55" s="97" t="str">
        <f t="shared" ca="1" si="18"/>
        <v/>
      </c>
      <c r="AU55" s="98" t="str">
        <f>IF(AW55&lt;&gt;"",VLOOKUP($P55&amp;" | "&amp;AU$6,'Job Master'!$F$12:$J$102,5,0),"")</f>
        <v/>
      </c>
      <c r="AV55" s="19" t="str">
        <f>IF(AW55&lt;&gt;"",VLOOKUP($P55&amp;" | "&amp;AU$6,'Job Master'!$F$12:$J$102,3,0),"")</f>
        <v/>
      </c>
      <c r="AW55" s="19" t="str">
        <f>IFERROR(IF(AND(BD55&lt;&gt;"",VLOOKUP($P55&amp;" | "&amp;AU$6,'Job Master'!$F$12:$I$102,4,0)&lt;&gt;""),IF(WEEKDAY(BD55-VLOOKUP($P55&amp;" | "&amp;AU$6,'Job Master'!$F$12:$I$102,4,0))&lt;&gt;7,BD55-VLOOKUP($P55&amp;" | "&amp;AU$6,'Job Master'!$F$12:$I$102,4,0),BD55-VLOOKUP($P55&amp;" | "&amp;AU$6,'Job Master'!$F$12:$I$102,4,0)-1),""),"")</f>
        <v/>
      </c>
      <c r="AX55" s="73"/>
      <c r="AY55" s="123" t="str">
        <f t="shared" si="19"/>
        <v/>
      </c>
      <c r="AZ55" s="123" t="str">
        <f t="shared" si="20"/>
        <v/>
      </c>
      <c r="BA55" s="97" t="str">
        <f t="shared" ca="1" si="21"/>
        <v/>
      </c>
      <c r="BB55" s="98" t="str">
        <f>IF(BD55&lt;&gt;"",VLOOKUP($P55&amp;" | "&amp;BB$6,'Job Master'!$F$12:$J$102,5,0),"")</f>
        <v/>
      </c>
      <c r="BC55" s="19" t="str">
        <f>IF(BD55&lt;&gt;"",VLOOKUP($P55&amp;" | "&amp;BB$6,'Job Master'!$F$12:$J$102,3,0),"")</f>
        <v/>
      </c>
      <c r="BD55" s="19" t="str">
        <f>IFERROR(IF(AND(BK55&lt;&gt;"",VLOOKUP($P55&amp;" | "&amp;BB$6,'Job Master'!$F$12:$I$102,4,0)&lt;&gt;""),IF(WEEKDAY(BK55-VLOOKUP($P55&amp;" | "&amp;BB$6,'Job Master'!$F$12:$I$102,4,0))&lt;&gt;7,BK55-VLOOKUP($P55&amp;" | "&amp;BB$6,'Job Master'!$F$12:$I$102,4,0),BK55-VLOOKUP($P55&amp;" | "&amp;BB$6,'Job Master'!$F$12:$I$102,4,0)-1),""),"")</f>
        <v/>
      </c>
      <c r="BE55" s="73"/>
      <c r="BF55" s="123" t="str">
        <f t="shared" si="22"/>
        <v/>
      </c>
      <c r="BG55" s="123" t="str">
        <f t="shared" si="23"/>
        <v/>
      </c>
      <c r="BH55" s="97" t="str">
        <f t="shared" ca="1" si="24"/>
        <v/>
      </c>
      <c r="BI55" s="98" t="str">
        <f>IF(BK55&lt;&gt;"",VLOOKUP($P55&amp;" | "&amp;BI$6,'Job Master'!$F$12:$J$102,5,0),"")</f>
        <v/>
      </c>
      <c r="BJ55" s="19" t="str">
        <f>IF(BK55&lt;&gt;"",VLOOKUP($P55&amp;" | "&amp;BI$6,'Job Master'!$F$12:$J$102,3,0),"")</f>
        <v/>
      </c>
      <c r="BK55" s="19" t="str">
        <f>IFERROR(IF(AND(BR55&lt;&gt;"",VLOOKUP($P55&amp;" | "&amp;BI$6,'Job Master'!$F$12:$I$102,4,0)&lt;&gt;""),IF(WEEKDAY(BR55-VLOOKUP($P55&amp;" | "&amp;BI$6,'Job Master'!$F$12:$I$102,4,0))&lt;&gt;7,BR55-VLOOKUP($P55&amp;" | "&amp;BI$6,'Job Master'!$F$12:$I$102,4,0),BR55-VLOOKUP($P55&amp;" | "&amp;BI$6,'Job Master'!$F$12:$I$102,4,0)-1),""),"")</f>
        <v/>
      </c>
      <c r="BL55" s="73"/>
      <c r="BM55" s="123" t="str">
        <f t="shared" si="25"/>
        <v/>
      </c>
      <c r="BN55" s="123" t="str">
        <f t="shared" si="26"/>
        <v/>
      </c>
      <c r="BO55" s="97" t="str">
        <f t="shared" ca="1" si="27"/>
        <v/>
      </c>
      <c r="BP55" s="98" t="str">
        <f>IF(BR55&lt;&gt;"",VLOOKUP($P55&amp;" | "&amp;BP$6,'Job Master'!$F$12:$J$102,5,0),"")</f>
        <v/>
      </c>
      <c r="BQ55" s="19" t="str">
        <f>IF(BR55&lt;&gt;"",VLOOKUP($P55&amp;" | "&amp;BP$6,'Job Master'!$F$12:$J$102,3,0),"")</f>
        <v/>
      </c>
      <c r="BR55" s="19" t="str">
        <f>IFERROR(IF(AND(BY55&lt;&gt;"",VLOOKUP($P55&amp;" | "&amp;BP$6,'Job Master'!$F$12:$I$102,4,0)&lt;&gt;""),IF(WEEKDAY(BY55-VLOOKUP($P55&amp;" | "&amp;BP$6,'Job Master'!$F$12:$I$102,4,0))&lt;&gt;7,BY55-VLOOKUP($P55&amp;" | "&amp;BP$6,'Job Master'!$F$12:$I$102,4,0),BY55-VLOOKUP($P55&amp;" | "&amp;BP$6,'Job Master'!$F$12:$I$102,4,0)-1),""),"")</f>
        <v/>
      </c>
      <c r="BS55" s="73"/>
      <c r="BT55" s="123" t="str">
        <f t="shared" si="28"/>
        <v/>
      </c>
      <c r="BU55" s="123" t="str">
        <f t="shared" si="29"/>
        <v/>
      </c>
      <c r="BV55" s="97" t="str">
        <f t="shared" ca="1" si="30"/>
        <v/>
      </c>
      <c r="BW55" s="98" t="str">
        <f>IF(BY55&lt;&gt;"",VLOOKUP($P55&amp;" | "&amp;BW$6,'Job Master'!$F$12:$J$102,5,0),"")</f>
        <v/>
      </c>
      <c r="BX55" s="19" t="str">
        <f>IF(BY55&lt;&gt;"",VLOOKUP($P55&amp;" | "&amp;BW$6,'Job Master'!$F$12:$J$102,3,0),"")</f>
        <v/>
      </c>
      <c r="BY55" s="19" t="str">
        <f>IFERROR(IF(AND(CF55&lt;&gt;"",VLOOKUP($P55&amp;" | "&amp;BW$6,'Job Master'!$F$12:$I$102,4,0)&lt;&gt;""),IF(WEEKDAY(CF55-VLOOKUP($P55&amp;" | "&amp;BW$6,'Job Master'!$F$12:$I$102,4,0))&lt;&gt;7,CF55-VLOOKUP($P55&amp;" | "&amp;BW$6,'Job Master'!$F$12:$I$102,4,0),CF55-VLOOKUP($P55&amp;" | "&amp;BW$6,'Job Master'!$F$12:$I$102,4,0)-1),""),"")</f>
        <v/>
      </c>
      <c r="BZ55" s="73"/>
      <c r="CA55" s="123" t="str">
        <f t="shared" si="31"/>
        <v/>
      </c>
      <c r="CB55" s="123" t="str">
        <f t="shared" si="32"/>
        <v/>
      </c>
      <c r="CC55" s="97" t="str">
        <f t="shared" ca="1" si="33"/>
        <v/>
      </c>
      <c r="CD55" s="98" t="str">
        <f>IF(CF55&lt;&gt;"",VLOOKUP($P55&amp;" | "&amp;CD$6,'Job Master'!$F$12:$J$102,5,0),"")</f>
        <v/>
      </c>
      <c r="CE55" s="19" t="str">
        <f>IF(CF55&lt;&gt;"",VLOOKUP($P55&amp;" | "&amp;CD$6,'Job Master'!$F$12:$J$102,3,0),"")</f>
        <v/>
      </c>
      <c r="CF55" s="19" t="str">
        <f>IFERROR(IF(AND(CM55&lt;&gt;"",VLOOKUP($P55&amp;" | "&amp;CD$6,'Job Master'!$F$12:$I$102,4,0)&lt;&gt;""),IF(WEEKDAY(CM55-VLOOKUP($P55&amp;" | "&amp;CD$6,'Job Master'!$F$12:$I$102,4,0))&lt;&gt;7,CM55-VLOOKUP($P55&amp;" | "&amp;CD$6,'Job Master'!$F$12:$I$102,4,0),CM55-VLOOKUP($P55&amp;" | "&amp;CD$6,'Job Master'!$F$12:$I$102,4,0)-1),""),"")</f>
        <v/>
      </c>
      <c r="CG55" s="73"/>
      <c r="CH55" s="123" t="str">
        <f t="shared" si="34"/>
        <v/>
      </c>
      <c r="CI55" s="123" t="str">
        <f t="shared" si="35"/>
        <v/>
      </c>
      <c r="CJ55" s="97" t="str">
        <f t="shared" ca="1" si="36"/>
        <v/>
      </c>
      <c r="CK55" s="98" t="str">
        <f>IF(CM55&lt;&gt;"",VLOOKUP($P55&amp;" | "&amp;CK$6,'Job Master'!$F$12:$J$102,5,0),"")</f>
        <v/>
      </c>
      <c r="CL55" s="19" t="str">
        <f>IF(CM55&lt;&gt;"",VLOOKUP($P55&amp;" | "&amp;CK$6,'Job Master'!$F$12:$J$102,3,0),"")</f>
        <v/>
      </c>
      <c r="CM55" s="19" t="str">
        <f>IFERROR(IF(AND(CT55&lt;&gt;"",VLOOKUP($P55&amp;" | "&amp;CK$6,'Job Master'!$F$12:$I$102,4,0)&lt;&gt;""),IF(WEEKDAY(CT55-VLOOKUP($P55&amp;" | "&amp;CK$6,'Job Master'!$F$12:$I$102,4,0))&lt;&gt;7,CT55-VLOOKUP($P55&amp;" | "&amp;CK$6,'Job Master'!$F$12:$I$102,4,0),CT55-VLOOKUP($P55&amp;" | "&amp;CK$6,'Job Master'!$F$12:$I$102,4,0)-1),""),"")</f>
        <v/>
      </c>
      <c r="CN55" s="73"/>
      <c r="CO55" s="123" t="str">
        <f t="shared" si="37"/>
        <v/>
      </c>
      <c r="CP55" s="123" t="str">
        <f t="shared" si="38"/>
        <v/>
      </c>
      <c r="CQ55" s="97" t="str">
        <f t="shared" ca="1" si="39"/>
        <v/>
      </c>
      <c r="CR55" s="98" t="str">
        <f>IF(CT55&lt;&gt;"",VLOOKUP($P55&amp;" | "&amp;CR$6,'Job Master'!$F$12:$J$102,5,0),"")</f>
        <v/>
      </c>
      <c r="CS55" s="19" t="str">
        <f>IF(CT55&lt;&gt;"",VLOOKUP($P55&amp;" | "&amp;CR$6,'Job Master'!$F$12:$J$102,3,0),"")</f>
        <v/>
      </c>
      <c r="CT55" s="19" t="str">
        <f>IFERROR(IF(AND(DA55&lt;&gt;"",VLOOKUP($P55&amp;" | "&amp;CR$6,'Job Master'!$F$12:$I$102,4,0)&lt;&gt;""),IF(WEEKDAY(DA55-VLOOKUP($P55&amp;" | "&amp;CR$6,'Job Master'!$F$12:$I$102,4,0))&lt;&gt;7,DA55-VLOOKUP($P55&amp;" | "&amp;CR$6,'Job Master'!$F$12:$I$102,4,0),DA55-VLOOKUP($P55&amp;" | "&amp;CR$6,'Job Master'!$F$12:$I$102,4,0)-1),""),"")</f>
        <v/>
      </c>
      <c r="CU55" s="73"/>
      <c r="CV55" s="123" t="str">
        <f t="shared" si="40"/>
        <v/>
      </c>
      <c r="CW55" s="123" t="str">
        <f t="shared" si="41"/>
        <v/>
      </c>
      <c r="CX55" s="97" t="str">
        <f t="shared" ca="1" si="42"/>
        <v/>
      </c>
      <c r="CY55" s="98" t="str">
        <f>IF(DA55&lt;&gt;"",VLOOKUP($P55&amp;" | "&amp;CY$6,'Job Master'!$F$12:$J$102,5,0),"")</f>
        <v/>
      </c>
      <c r="CZ55" s="19" t="str">
        <f>IF(DA55&lt;&gt;"",VLOOKUP($P55&amp;" | "&amp;CY$6,'Job Master'!$F$12:$J$102,3,0),"")</f>
        <v/>
      </c>
      <c r="DA55" s="19" t="str">
        <f>IFERROR(IF(AND(DH55&lt;&gt;"",VLOOKUP($P55&amp;" | "&amp;CY$6,'Job Master'!$F$12:$I$102,4,0)&lt;&gt;""),IF(WEEKDAY(DH55-VLOOKUP($P55&amp;" | "&amp;CY$6,'Job Master'!$F$12:$I$102,4,0))&lt;&gt;7,DH55-VLOOKUP($P55&amp;" | "&amp;CY$6,'Job Master'!$F$12:$I$102,4,0),DH55-VLOOKUP($P55&amp;" | "&amp;CY$6,'Job Master'!$F$12:$I$102,4,0)-1),""),"")</f>
        <v/>
      </c>
      <c r="DB55" s="73"/>
      <c r="DC55" s="123" t="str">
        <f t="shared" si="43"/>
        <v/>
      </c>
      <c r="DD55" s="123" t="str">
        <f t="shared" si="44"/>
        <v/>
      </c>
      <c r="DE55" s="97" t="str">
        <f t="shared" ca="1" si="45"/>
        <v/>
      </c>
      <c r="DF55" s="98" t="str">
        <f>IF(DH55&lt;&gt;"",VLOOKUP($P55&amp;" | "&amp;DF$6,'Job Master'!$F$12:$J$102,5,0),"")</f>
        <v/>
      </c>
      <c r="DG55" s="19" t="str">
        <f>IF(DH55&lt;&gt;"",VLOOKUP($P55&amp;" | "&amp;DF$6,'Job Master'!$F$12:$J$102,3,0),"")</f>
        <v/>
      </c>
      <c r="DH55" s="19" t="str">
        <f>IFERROR(IF(AND(DO55&lt;&gt;"",VLOOKUP($P55&amp;" | "&amp;DF$6,'Job Master'!$F$12:$I$102,4,0)&lt;&gt;""),IF(WEEKDAY(DO55-VLOOKUP($P55&amp;" | "&amp;DF$6,'Job Master'!$F$12:$I$102,4,0))&lt;&gt;7,DO55-VLOOKUP($P55&amp;" | "&amp;DF$6,'Job Master'!$F$12:$I$102,4,0),DO55-VLOOKUP($P55&amp;" | "&amp;DF$6,'Job Master'!$F$12:$I$102,4,0)-1),""),"")</f>
        <v/>
      </c>
      <c r="DI55" s="73"/>
      <c r="DJ55" s="123" t="str">
        <f t="shared" si="46"/>
        <v/>
      </c>
      <c r="DK55" s="123" t="str">
        <f t="shared" si="47"/>
        <v/>
      </c>
      <c r="DL55" s="97" t="str">
        <f t="shared" ca="1" si="48"/>
        <v/>
      </c>
      <c r="DM55" s="98" t="str">
        <f>IF(DO55&lt;&gt;"",VLOOKUP($P55&amp;" | "&amp;DM$6,'Job Master'!$F$12:$J$102,5,0),"")</f>
        <v/>
      </c>
      <c r="DN55" s="19" t="str">
        <f>IF(DO55&lt;&gt;"",VLOOKUP($P55&amp;" | "&amp;DM$6,'Job Master'!$F$12:$J$102,3,0),"")</f>
        <v/>
      </c>
      <c r="DO55" s="19" t="str">
        <f>IFERROR(IF(AND(DT55&lt;&gt;"",VLOOKUP($P55&amp;" | "&amp;DM$6,'Job Master'!$F$12:$I$102,4,0)&lt;&gt;""),IF(WEEKDAY(DT55-VLOOKUP($P55&amp;" | "&amp;DM$6,'Job Master'!$F$12:$I$102,4,0))&lt;&gt;7,DT55-VLOOKUP($P55&amp;" | "&amp;DM$6,'Job Master'!$F$12:$I$102,4,0),DT55-VLOOKUP($P55&amp;" | "&amp;DM$6,'Job Master'!$F$12:$I$102,4,0)-1),""),"")</f>
        <v/>
      </c>
      <c r="DP55" s="73"/>
      <c r="DQ55" s="123" t="str">
        <f t="shared" si="49"/>
        <v/>
      </c>
      <c r="DR55" s="123" t="str">
        <f t="shared" si="50"/>
        <v/>
      </c>
      <c r="DS55" s="97" t="str">
        <f t="shared" ca="1" si="51"/>
        <v/>
      </c>
      <c r="DT55" s="70" t="str">
        <f t="shared" si="52"/>
        <v/>
      </c>
      <c r="DU55" s="90"/>
      <c r="DV55" s="123" t="str">
        <f t="shared" si="53"/>
        <v/>
      </c>
      <c r="DW55" s="123" t="str">
        <f t="shared" si="54"/>
        <v/>
      </c>
      <c r="DX55" s="132" t="str">
        <f t="shared" ref="DX55" ca="1" si="116">IF(DT55&lt;&gt;"",IF(WEEKNUM(DT55)=WEEKNUM(TODAY()),"This Week",IF(WEEKNUM(DT55)=WEEKNUM(TODAY())+1,"Next Week",IF(WEEKNUM(DT55)=WEEKNUM(TODAY())-1,"Previous Week",""))),"")</f>
        <v/>
      </c>
      <c r="DY55" s="134" t="str">
        <f t="shared" si="56"/>
        <v/>
      </c>
      <c r="DZ55" s="95"/>
      <c r="EB55" s="8" t="str">
        <f t="shared" si="67"/>
        <v/>
      </c>
      <c r="EC55" s="8" t="str">
        <f>IF(O55&lt;&gt;"",VLOOKUP(O55,'Job Master'!$N$12:$O$18,2,0),"")</f>
        <v/>
      </c>
      <c r="ED55" s="8">
        <f t="shared" si="68"/>
        <v>19.5</v>
      </c>
      <c r="EE55" s="8">
        <f t="shared" si="69"/>
        <v>6</v>
      </c>
      <c r="EF55" s="8">
        <f t="shared" si="70"/>
        <v>-250.5</v>
      </c>
      <c r="EG55" s="8" t="str">
        <f t="shared" si="71"/>
        <v/>
      </c>
      <c r="EH55" s="8" t="str">
        <f t="shared" si="72"/>
        <v/>
      </c>
    </row>
    <row r="56" spans="2:138" x14ac:dyDescent="0.3">
      <c r="B56" s="112"/>
      <c r="C56" s="27"/>
      <c r="D56" s="7" t="str">
        <f t="shared" si="1"/>
        <v/>
      </c>
      <c r="E56" s="25"/>
      <c r="F56" s="7" t="str">
        <f t="shared" si="1"/>
        <v/>
      </c>
      <c r="G56" s="25"/>
      <c r="H56" s="7" t="str">
        <f t="shared" si="1"/>
        <v/>
      </c>
      <c r="I56" s="25"/>
      <c r="J56" s="7" t="str">
        <f t="shared" si="1"/>
        <v/>
      </c>
      <c r="K56" s="25"/>
      <c r="L56" s="7" t="str">
        <f t="shared" si="2"/>
        <v/>
      </c>
      <c r="M56" s="25"/>
      <c r="N56" s="7" t="str">
        <f t="shared" si="3"/>
        <v/>
      </c>
      <c r="O56" s="81"/>
      <c r="P56" s="81" t="str">
        <f t="shared" si="4"/>
        <v/>
      </c>
      <c r="Q56" s="81"/>
      <c r="R56" s="7" t="str">
        <f t="shared" si="5"/>
        <v/>
      </c>
      <c r="S56" s="25"/>
      <c r="T56" s="7" t="str">
        <f t="shared" si="6"/>
        <v/>
      </c>
      <c r="U56" s="25"/>
      <c r="V56" s="7" t="str">
        <f t="shared" si="7"/>
        <v/>
      </c>
      <c r="W56" s="25"/>
      <c r="X56" s="7" t="str">
        <f t="shared" si="8"/>
        <v/>
      </c>
      <c r="Y56" s="18" t="str">
        <f t="shared" si="9"/>
        <v/>
      </c>
      <c r="Z56" s="7" t="str">
        <f t="shared" si="10"/>
        <v/>
      </c>
      <c r="AA56" s="18" t="str">
        <f t="shared" si="11"/>
        <v/>
      </c>
      <c r="AB56" s="19" t="str">
        <f t="shared" si="12"/>
        <v/>
      </c>
      <c r="AC56" s="26"/>
      <c r="AD56" s="26"/>
      <c r="AE56" s="25"/>
      <c r="AF56" s="26"/>
      <c r="AG56" s="25"/>
      <c r="AH56" s="25"/>
      <c r="AI56" s="18" t="str">
        <f t="shared" si="83"/>
        <v/>
      </c>
      <c r="AJ56" s="25"/>
      <c r="AK56" s="18" t="str">
        <f t="shared" si="84"/>
        <v/>
      </c>
      <c r="AL56" s="79"/>
      <c r="AM56" s="126" t="str">
        <f t="shared" si="85"/>
        <v/>
      </c>
      <c r="AN56" s="128" t="str">
        <f>IF(AP56&lt;&gt;"",VLOOKUP($P56&amp;" | "&amp;AN$6,'Job Master'!$F$12:$J$102,5,0),"")</f>
        <v/>
      </c>
      <c r="AO56" s="19" t="str">
        <f>IF(AP56&lt;&gt;"",VLOOKUP($P56&amp;" | "&amp;AN$6,'Job Master'!$F$12:$J$102,3,0),"")</f>
        <v/>
      </c>
      <c r="AP56" s="19" t="str">
        <f>IFERROR(IF(AND(AW56&lt;&gt;"",VLOOKUP($P56&amp;" | "&amp;AN$6,'Job Master'!$F$12:$I$102,4,0)&lt;&gt;""),IF(WEEKDAY(AW56-VLOOKUP($P56&amp;" | "&amp;AN$6,'Job Master'!$F$12:$I$102,4,0))&lt;&gt;7,AW56-VLOOKUP($P56&amp;" | "&amp;AN$6,'Job Master'!$F$12:$I$102,4,0),AW56-VLOOKUP($P56&amp;" | "&amp;AN$6,'Job Master'!$F$12:$I$102,4,0)-1),""),"")</f>
        <v/>
      </c>
      <c r="AQ56" s="73"/>
      <c r="AR56" s="123" t="str">
        <f t="shared" si="16"/>
        <v/>
      </c>
      <c r="AS56" s="123" t="str">
        <f t="shared" si="17"/>
        <v/>
      </c>
      <c r="AT56" s="97" t="str">
        <f t="shared" ca="1" si="18"/>
        <v/>
      </c>
      <c r="AU56" s="98" t="str">
        <f>IF(AW56&lt;&gt;"",VLOOKUP($P56&amp;" | "&amp;AU$6,'Job Master'!$F$12:$J$102,5,0),"")</f>
        <v/>
      </c>
      <c r="AV56" s="19" t="str">
        <f>IF(AW56&lt;&gt;"",VLOOKUP($P56&amp;" | "&amp;AU$6,'Job Master'!$F$12:$J$102,3,0),"")</f>
        <v/>
      </c>
      <c r="AW56" s="19" t="str">
        <f>IFERROR(IF(AND(BD56&lt;&gt;"",VLOOKUP($P56&amp;" | "&amp;AU$6,'Job Master'!$F$12:$I$102,4,0)&lt;&gt;""),IF(WEEKDAY(BD56-VLOOKUP($P56&amp;" | "&amp;AU$6,'Job Master'!$F$12:$I$102,4,0))&lt;&gt;7,BD56-VLOOKUP($P56&amp;" | "&amp;AU$6,'Job Master'!$F$12:$I$102,4,0),BD56-VLOOKUP($P56&amp;" | "&amp;AU$6,'Job Master'!$F$12:$I$102,4,0)-1),""),"")</f>
        <v/>
      </c>
      <c r="AX56" s="73"/>
      <c r="AY56" s="123" t="str">
        <f t="shared" si="19"/>
        <v/>
      </c>
      <c r="AZ56" s="123" t="str">
        <f t="shared" si="20"/>
        <v/>
      </c>
      <c r="BA56" s="97" t="str">
        <f t="shared" ca="1" si="21"/>
        <v/>
      </c>
      <c r="BB56" s="98" t="str">
        <f>IF(BD56&lt;&gt;"",VLOOKUP($P56&amp;" | "&amp;BB$6,'Job Master'!$F$12:$J$102,5,0),"")</f>
        <v/>
      </c>
      <c r="BC56" s="19" t="str">
        <f>IF(BD56&lt;&gt;"",VLOOKUP($P56&amp;" | "&amp;BB$6,'Job Master'!$F$12:$J$102,3,0),"")</f>
        <v/>
      </c>
      <c r="BD56" s="19" t="str">
        <f>IFERROR(IF(AND(BK56&lt;&gt;"",VLOOKUP($P56&amp;" | "&amp;BB$6,'Job Master'!$F$12:$I$102,4,0)&lt;&gt;""),IF(WEEKDAY(BK56-VLOOKUP($P56&amp;" | "&amp;BB$6,'Job Master'!$F$12:$I$102,4,0))&lt;&gt;7,BK56-VLOOKUP($P56&amp;" | "&amp;BB$6,'Job Master'!$F$12:$I$102,4,0),BK56-VLOOKUP($P56&amp;" | "&amp;BB$6,'Job Master'!$F$12:$I$102,4,0)-1),""),"")</f>
        <v/>
      </c>
      <c r="BE56" s="73"/>
      <c r="BF56" s="123" t="str">
        <f t="shared" si="22"/>
        <v/>
      </c>
      <c r="BG56" s="123" t="str">
        <f t="shared" si="23"/>
        <v/>
      </c>
      <c r="BH56" s="97" t="str">
        <f t="shared" ca="1" si="24"/>
        <v/>
      </c>
      <c r="BI56" s="98" t="str">
        <f>IF(BK56&lt;&gt;"",VLOOKUP($P56&amp;" | "&amp;BI$6,'Job Master'!$F$12:$J$102,5,0),"")</f>
        <v/>
      </c>
      <c r="BJ56" s="19" t="str">
        <f>IF(BK56&lt;&gt;"",VLOOKUP($P56&amp;" | "&amp;BI$6,'Job Master'!$F$12:$J$102,3,0),"")</f>
        <v/>
      </c>
      <c r="BK56" s="19" t="str">
        <f>IFERROR(IF(AND(BR56&lt;&gt;"",VLOOKUP($P56&amp;" | "&amp;BI$6,'Job Master'!$F$12:$I$102,4,0)&lt;&gt;""),IF(WEEKDAY(BR56-VLOOKUP($P56&amp;" | "&amp;BI$6,'Job Master'!$F$12:$I$102,4,0))&lt;&gt;7,BR56-VLOOKUP($P56&amp;" | "&amp;BI$6,'Job Master'!$F$12:$I$102,4,0),BR56-VLOOKUP($P56&amp;" | "&amp;BI$6,'Job Master'!$F$12:$I$102,4,0)-1),""),"")</f>
        <v/>
      </c>
      <c r="BL56" s="73"/>
      <c r="BM56" s="123" t="str">
        <f t="shared" si="25"/>
        <v/>
      </c>
      <c r="BN56" s="123" t="str">
        <f t="shared" si="26"/>
        <v/>
      </c>
      <c r="BO56" s="97" t="str">
        <f t="shared" ca="1" si="27"/>
        <v/>
      </c>
      <c r="BP56" s="98" t="str">
        <f>IF(BR56&lt;&gt;"",VLOOKUP($P56&amp;" | "&amp;BP$6,'Job Master'!$F$12:$J$102,5,0),"")</f>
        <v/>
      </c>
      <c r="BQ56" s="19" t="str">
        <f>IF(BR56&lt;&gt;"",VLOOKUP($P56&amp;" | "&amp;BP$6,'Job Master'!$F$12:$J$102,3,0),"")</f>
        <v/>
      </c>
      <c r="BR56" s="19" t="str">
        <f>IFERROR(IF(AND(BY56&lt;&gt;"",VLOOKUP($P56&amp;" | "&amp;BP$6,'Job Master'!$F$12:$I$102,4,0)&lt;&gt;""),IF(WEEKDAY(BY56-VLOOKUP($P56&amp;" | "&amp;BP$6,'Job Master'!$F$12:$I$102,4,0))&lt;&gt;7,BY56-VLOOKUP($P56&amp;" | "&amp;BP$6,'Job Master'!$F$12:$I$102,4,0),BY56-VLOOKUP($P56&amp;" | "&amp;BP$6,'Job Master'!$F$12:$I$102,4,0)-1),""),"")</f>
        <v/>
      </c>
      <c r="BS56" s="73"/>
      <c r="BT56" s="123" t="str">
        <f t="shared" si="28"/>
        <v/>
      </c>
      <c r="BU56" s="123" t="str">
        <f t="shared" si="29"/>
        <v/>
      </c>
      <c r="BV56" s="97" t="str">
        <f t="shared" ca="1" si="30"/>
        <v/>
      </c>
      <c r="BW56" s="98" t="str">
        <f>IF(BY56&lt;&gt;"",VLOOKUP($P56&amp;" | "&amp;BW$6,'Job Master'!$F$12:$J$102,5,0),"")</f>
        <v/>
      </c>
      <c r="BX56" s="19" t="str">
        <f>IF(BY56&lt;&gt;"",VLOOKUP($P56&amp;" | "&amp;BW$6,'Job Master'!$F$12:$J$102,3,0),"")</f>
        <v/>
      </c>
      <c r="BY56" s="19" t="str">
        <f>IFERROR(IF(AND(CF56&lt;&gt;"",VLOOKUP($P56&amp;" | "&amp;BW$6,'Job Master'!$F$12:$I$102,4,0)&lt;&gt;""),IF(WEEKDAY(CF56-VLOOKUP($P56&amp;" | "&amp;BW$6,'Job Master'!$F$12:$I$102,4,0))&lt;&gt;7,CF56-VLOOKUP($P56&amp;" | "&amp;BW$6,'Job Master'!$F$12:$I$102,4,0),CF56-VLOOKUP($P56&amp;" | "&amp;BW$6,'Job Master'!$F$12:$I$102,4,0)-1),""),"")</f>
        <v/>
      </c>
      <c r="BZ56" s="73"/>
      <c r="CA56" s="123" t="str">
        <f t="shared" si="31"/>
        <v/>
      </c>
      <c r="CB56" s="123" t="str">
        <f t="shared" si="32"/>
        <v/>
      </c>
      <c r="CC56" s="97" t="str">
        <f t="shared" ca="1" si="33"/>
        <v/>
      </c>
      <c r="CD56" s="98" t="str">
        <f>IF(CF56&lt;&gt;"",VLOOKUP($P56&amp;" | "&amp;CD$6,'Job Master'!$F$12:$J$102,5,0),"")</f>
        <v/>
      </c>
      <c r="CE56" s="19" t="str">
        <f>IF(CF56&lt;&gt;"",VLOOKUP($P56&amp;" | "&amp;CD$6,'Job Master'!$F$12:$J$102,3,0),"")</f>
        <v/>
      </c>
      <c r="CF56" s="19" t="str">
        <f>IFERROR(IF(AND(CM56&lt;&gt;"",VLOOKUP($P56&amp;" | "&amp;CD$6,'Job Master'!$F$12:$I$102,4,0)&lt;&gt;""),IF(WEEKDAY(CM56-VLOOKUP($P56&amp;" | "&amp;CD$6,'Job Master'!$F$12:$I$102,4,0))&lt;&gt;7,CM56-VLOOKUP($P56&amp;" | "&amp;CD$6,'Job Master'!$F$12:$I$102,4,0),CM56-VLOOKUP($P56&amp;" | "&amp;CD$6,'Job Master'!$F$12:$I$102,4,0)-1),""),"")</f>
        <v/>
      </c>
      <c r="CG56" s="73"/>
      <c r="CH56" s="123" t="str">
        <f t="shared" si="34"/>
        <v/>
      </c>
      <c r="CI56" s="123" t="str">
        <f t="shared" si="35"/>
        <v/>
      </c>
      <c r="CJ56" s="97" t="str">
        <f t="shared" ca="1" si="36"/>
        <v/>
      </c>
      <c r="CK56" s="98" t="str">
        <f>IF(CM56&lt;&gt;"",VLOOKUP($P56&amp;" | "&amp;CK$6,'Job Master'!$F$12:$J$102,5,0),"")</f>
        <v/>
      </c>
      <c r="CL56" s="19" t="str">
        <f>IF(CM56&lt;&gt;"",VLOOKUP($P56&amp;" | "&amp;CK$6,'Job Master'!$F$12:$J$102,3,0),"")</f>
        <v/>
      </c>
      <c r="CM56" s="19" t="str">
        <f>IFERROR(IF(AND(CT56&lt;&gt;"",VLOOKUP($P56&amp;" | "&amp;CK$6,'Job Master'!$F$12:$I$102,4,0)&lt;&gt;""),IF(WEEKDAY(CT56-VLOOKUP($P56&amp;" | "&amp;CK$6,'Job Master'!$F$12:$I$102,4,0))&lt;&gt;7,CT56-VLOOKUP($P56&amp;" | "&amp;CK$6,'Job Master'!$F$12:$I$102,4,0),CT56-VLOOKUP($P56&amp;" | "&amp;CK$6,'Job Master'!$F$12:$I$102,4,0)-1),""),"")</f>
        <v/>
      </c>
      <c r="CN56" s="73"/>
      <c r="CO56" s="123" t="str">
        <f t="shared" si="37"/>
        <v/>
      </c>
      <c r="CP56" s="123" t="str">
        <f t="shared" si="38"/>
        <v/>
      </c>
      <c r="CQ56" s="97" t="str">
        <f t="shared" ca="1" si="39"/>
        <v/>
      </c>
      <c r="CR56" s="98" t="str">
        <f>IF(CT56&lt;&gt;"",VLOOKUP($P56&amp;" | "&amp;CR$6,'Job Master'!$F$12:$J$102,5,0),"")</f>
        <v/>
      </c>
      <c r="CS56" s="19" t="str">
        <f>IF(CT56&lt;&gt;"",VLOOKUP($P56&amp;" | "&amp;CR$6,'Job Master'!$F$12:$J$102,3,0),"")</f>
        <v/>
      </c>
      <c r="CT56" s="19" t="str">
        <f>IFERROR(IF(AND(DA56&lt;&gt;"",VLOOKUP($P56&amp;" | "&amp;CR$6,'Job Master'!$F$12:$I$102,4,0)&lt;&gt;""),IF(WEEKDAY(DA56-VLOOKUP($P56&amp;" | "&amp;CR$6,'Job Master'!$F$12:$I$102,4,0))&lt;&gt;7,DA56-VLOOKUP($P56&amp;" | "&amp;CR$6,'Job Master'!$F$12:$I$102,4,0),DA56-VLOOKUP($P56&amp;" | "&amp;CR$6,'Job Master'!$F$12:$I$102,4,0)-1),""),"")</f>
        <v/>
      </c>
      <c r="CU56" s="73"/>
      <c r="CV56" s="123" t="str">
        <f t="shared" si="40"/>
        <v/>
      </c>
      <c r="CW56" s="123" t="str">
        <f t="shared" si="41"/>
        <v/>
      </c>
      <c r="CX56" s="97" t="str">
        <f t="shared" ca="1" si="42"/>
        <v/>
      </c>
      <c r="CY56" s="98" t="str">
        <f>IF(DA56&lt;&gt;"",VLOOKUP($P56&amp;" | "&amp;CY$6,'Job Master'!$F$12:$J$102,5,0),"")</f>
        <v/>
      </c>
      <c r="CZ56" s="19" t="str">
        <f>IF(DA56&lt;&gt;"",VLOOKUP($P56&amp;" | "&amp;CY$6,'Job Master'!$F$12:$J$102,3,0),"")</f>
        <v/>
      </c>
      <c r="DA56" s="19" t="str">
        <f>IFERROR(IF(AND(DH56&lt;&gt;"",VLOOKUP($P56&amp;" | "&amp;CY$6,'Job Master'!$F$12:$I$102,4,0)&lt;&gt;""),IF(WEEKDAY(DH56-VLOOKUP($P56&amp;" | "&amp;CY$6,'Job Master'!$F$12:$I$102,4,0))&lt;&gt;7,DH56-VLOOKUP($P56&amp;" | "&amp;CY$6,'Job Master'!$F$12:$I$102,4,0),DH56-VLOOKUP($P56&amp;" | "&amp;CY$6,'Job Master'!$F$12:$I$102,4,0)-1),""),"")</f>
        <v/>
      </c>
      <c r="DB56" s="73"/>
      <c r="DC56" s="123" t="str">
        <f t="shared" si="43"/>
        <v/>
      </c>
      <c r="DD56" s="123" t="str">
        <f t="shared" si="44"/>
        <v/>
      </c>
      <c r="DE56" s="97" t="str">
        <f t="shared" ca="1" si="45"/>
        <v/>
      </c>
      <c r="DF56" s="98" t="str">
        <f>IF(DH56&lt;&gt;"",VLOOKUP($P56&amp;" | "&amp;DF$6,'Job Master'!$F$12:$J$102,5,0),"")</f>
        <v/>
      </c>
      <c r="DG56" s="19" t="str">
        <f>IF(DH56&lt;&gt;"",VLOOKUP($P56&amp;" | "&amp;DF$6,'Job Master'!$F$12:$J$102,3,0),"")</f>
        <v/>
      </c>
      <c r="DH56" s="19" t="str">
        <f>IFERROR(IF(AND(DO56&lt;&gt;"",VLOOKUP($P56&amp;" | "&amp;DF$6,'Job Master'!$F$12:$I$102,4,0)&lt;&gt;""),IF(WEEKDAY(DO56-VLOOKUP($P56&amp;" | "&amp;DF$6,'Job Master'!$F$12:$I$102,4,0))&lt;&gt;7,DO56-VLOOKUP($P56&amp;" | "&amp;DF$6,'Job Master'!$F$12:$I$102,4,0),DO56-VLOOKUP($P56&amp;" | "&amp;DF$6,'Job Master'!$F$12:$I$102,4,0)-1),""),"")</f>
        <v/>
      </c>
      <c r="DI56" s="73"/>
      <c r="DJ56" s="123" t="str">
        <f t="shared" si="46"/>
        <v/>
      </c>
      <c r="DK56" s="123" t="str">
        <f t="shared" si="47"/>
        <v/>
      </c>
      <c r="DL56" s="97" t="str">
        <f t="shared" ca="1" si="48"/>
        <v/>
      </c>
      <c r="DM56" s="98" t="str">
        <f>IF(DO56&lt;&gt;"",VLOOKUP($P56&amp;" | "&amp;DM$6,'Job Master'!$F$12:$J$102,5,0),"")</f>
        <v/>
      </c>
      <c r="DN56" s="19" t="str">
        <f>IF(DO56&lt;&gt;"",VLOOKUP($P56&amp;" | "&amp;DM$6,'Job Master'!$F$12:$J$102,3,0),"")</f>
        <v/>
      </c>
      <c r="DO56" s="19" t="str">
        <f>IFERROR(IF(AND(DT56&lt;&gt;"",VLOOKUP($P56&amp;" | "&amp;DM$6,'Job Master'!$F$12:$I$102,4,0)&lt;&gt;""),IF(WEEKDAY(DT56-VLOOKUP($P56&amp;" | "&amp;DM$6,'Job Master'!$F$12:$I$102,4,0))&lt;&gt;7,DT56-VLOOKUP($P56&amp;" | "&amp;DM$6,'Job Master'!$F$12:$I$102,4,0),DT56-VLOOKUP($P56&amp;" | "&amp;DM$6,'Job Master'!$F$12:$I$102,4,0)-1),""),"")</f>
        <v/>
      </c>
      <c r="DP56" s="73"/>
      <c r="DQ56" s="123" t="str">
        <f t="shared" si="49"/>
        <v/>
      </c>
      <c r="DR56" s="123" t="str">
        <f t="shared" si="50"/>
        <v/>
      </c>
      <c r="DS56" s="97" t="str">
        <f t="shared" ca="1" si="51"/>
        <v/>
      </c>
      <c r="DT56" s="70" t="str">
        <f t="shared" si="52"/>
        <v/>
      </c>
      <c r="DU56" s="90"/>
      <c r="DV56" s="123" t="str">
        <f t="shared" si="53"/>
        <v/>
      </c>
      <c r="DW56" s="123" t="str">
        <f t="shared" si="54"/>
        <v/>
      </c>
      <c r="DX56" s="132" t="str">
        <f t="shared" ref="DX56" ca="1" si="117">IF(DT56&lt;&gt;"",IF(WEEKNUM(DT56)=WEEKNUM(TODAY()),"This Week",IF(WEEKNUM(DT56)=WEEKNUM(TODAY())+1,"Next Week",IF(WEEKNUM(DT56)=WEEKNUM(TODAY())-1,"Previous Week",""))),"")</f>
        <v/>
      </c>
      <c r="DY56" s="134" t="str">
        <f t="shared" si="56"/>
        <v/>
      </c>
      <c r="DZ56" s="95"/>
      <c r="EB56" s="8" t="str">
        <f t="shared" si="67"/>
        <v/>
      </c>
      <c r="EC56" s="8" t="str">
        <f>IF(O56&lt;&gt;"",VLOOKUP(O56,'Job Master'!$N$12:$O$18,2,0),"")</f>
        <v/>
      </c>
      <c r="ED56" s="8">
        <f t="shared" si="68"/>
        <v>19.5</v>
      </c>
      <c r="EE56" s="8">
        <f t="shared" si="69"/>
        <v>6</v>
      </c>
      <c r="EF56" s="8">
        <f t="shared" si="70"/>
        <v>-256.5</v>
      </c>
      <c r="EG56" s="8" t="str">
        <f t="shared" si="71"/>
        <v/>
      </c>
      <c r="EH56" s="8" t="str">
        <f t="shared" si="72"/>
        <v/>
      </c>
    </row>
    <row r="57" spans="2:138" x14ac:dyDescent="0.3">
      <c r="B57" s="112"/>
      <c r="C57" s="27"/>
      <c r="D57" s="7" t="str">
        <f t="shared" si="1"/>
        <v/>
      </c>
      <c r="E57" s="25"/>
      <c r="F57" s="7" t="str">
        <f t="shared" si="1"/>
        <v/>
      </c>
      <c r="G57" s="25"/>
      <c r="H57" s="7" t="str">
        <f t="shared" si="1"/>
        <v/>
      </c>
      <c r="I57" s="25"/>
      <c r="J57" s="7" t="str">
        <f t="shared" si="1"/>
        <v/>
      </c>
      <c r="K57" s="25"/>
      <c r="L57" s="7" t="str">
        <f t="shared" si="2"/>
        <v/>
      </c>
      <c r="M57" s="25"/>
      <c r="N57" s="7" t="str">
        <f t="shared" si="3"/>
        <v/>
      </c>
      <c r="O57" s="81"/>
      <c r="P57" s="81" t="str">
        <f t="shared" si="4"/>
        <v/>
      </c>
      <c r="Q57" s="81"/>
      <c r="R57" s="7" t="str">
        <f t="shared" si="5"/>
        <v/>
      </c>
      <c r="S57" s="25"/>
      <c r="T57" s="7" t="str">
        <f t="shared" si="6"/>
        <v/>
      </c>
      <c r="U57" s="25"/>
      <c r="V57" s="7" t="str">
        <f t="shared" si="7"/>
        <v/>
      </c>
      <c r="W57" s="25"/>
      <c r="X57" s="7" t="str">
        <f t="shared" si="8"/>
        <v/>
      </c>
      <c r="Y57" s="18" t="str">
        <f t="shared" si="9"/>
        <v/>
      </c>
      <c r="Z57" s="7" t="str">
        <f t="shared" si="10"/>
        <v/>
      </c>
      <c r="AA57" s="18" t="str">
        <f t="shared" si="11"/>
        <v/>
      </c>
      <c r="AB57" s="19" t="str">
        <f t="shared" si="12"/>
        <v/>
      </c>
      <c r="AC57" s="26"/>
      <c r="AD57" s="26"/>
      <c r="AE57" s="25"/>
      <c r="AF57" s="26"/>
      <c r="AG57" s="25"/>
      <c r="AH57" s="25"/>
      <c r="AI57" s="18" t="str">
        <f t="shared" si="83"/>
        <v/>
      </c>
      <c r="AJ57" s="25"/>
      <c r="AK57" s="18" t="str">
        <f t="shared" si="84"/>
        <v/>
      </c>
      <c r="AL57" s="79"/>
      <c r="AM57" s="126" t="str">
        <f t="shared" si="85"/>
        <v/>
      </c>
      <c r="AN57" s="128" t="str">
        <f>IF(AP57&lt;&gt;"",VLOOKUP($P57&amp;" | "&amp;AN$6,'Job Master'!$F$12:$J$102,5,0),"")</f>
        <v/>
      </c>
      <c r="AO57" s="19" t="str">
        <f>IF(AP57&lt;&gt;"",VLOOKUP($P57&amp;" | "&amp;AN$6,'Job Master'!$F$12:$J$102,3,0),"")</f>
        <v/>
      </c>
      <c r="AP57" s="19" t="str">
        <f>IFERROR(IF(AND(AW57&lt;&gt;"",VLOOKUP($P57&amp;" | "&amp;AN$6,'Job Master'!$F$12:$I$102,4,0)&lt;&gt;""),IF(WEEKDAY(AW57-VLOOKUP($P57&amp;" | "&amp;AN$6,'Job Master'!$F$12:$I$102,4,0))&lt;&gt;7,AW57-VLOOKUP($P57&amp;" | "&amp;AN$6,'Job Master'!$F$12:$I$102,4,0),AW57-VLOOKUP($P57&amp;" | "&amp;AN$6,'Job Master'!$F$12:$I$102,4,0)-1),""),"")</f>
        <v/>
      </c>
      <c r="AQ57" s="73"/>
      <c r="AR57" s="123" t="str">
        <f t="shared" si="16"/>
        <v/>
      </c>
      <c r="AS57" s="123" t="str">
        <f t="shared" si="17"/>
        <v/>
      </c>
      <c r="AT57" s="97" t="str">
        <f t="shared" ca="1" si="18"/>
        <v/>
      </c>
      <c r="AU57" s="98" t="str">
        <f>IF(AW57&lt;&gt;"",VLOOKUP($P57&amp;" | "&amp;AU$6,'Job Master'!$F$12:$J$102,5,0),"")</f>
        <v/>
      </c>
      <c r="AV57" s="19" t="str">
        <f>IF(AW57&lt;&gt;"",VLOOKUP($P57&amp;" | "&amp;AU$6,'Job Master'!$F$12:$J$102,3,0),"")</f>
        <v/>
      </c>
      <c r="AW57" s="19" t="str">
        <f>IFERROR(IF(AND(BD57&lt;&gt;"",VLOOKUP($P57&amp;" | "&amp;AU$6,'Job Master'!$F$12:$I$102,4,0)&lt;&gt;""),IF(WEEKDAY(BD57-VLOOKUP($P57&amp;" | "&amp;AU$6,'Job Master'!$F$12:$I$102,4,0))&lt;&gt;7,BD57-VLOOKUP($P57&amp;" | "&amp;AU$6,'Job Master'!$F$12:$I$102,4,0),BD57-VLOOKUP($P57&amp;" | "&amp;AU$6,'Job Master'!$F$12:$I$102,4,0)-1),""),"")</f>
        <v/>
      </c>
      <c r="AX57" s="73"/>
      <c r="AY57" s="123" t="str">
        <f t="shared" si="19"/>
        <v/>
      </c>
      <c r="AZ57" s="123" t="str">
        <f t="shared" si="20"/>
        <v/>
      </c>
      <c r="BA57" s="97" t="str">
        <f t="shared" ca="1" si="21"/>
        <v/>
      </c>
      <c r="BB57" s="98" t="str">
        <f>IF(BD57&lt;&gt;"",VLOOKUP($P57&amp;" | "&amp;BB$6,'Job Master'!$F$12:$J$102,5,0),"")</f>
        <v/>
      </c>
      <c r="BC57" s="19" t="str">
        <f>IF(BD57&lt;&gt;"",VLOOKUP($P57&amp;" | "&amp;BB$6,'Job Master'!$F$12:$J$102,3,0),"")</f>
        <v/>
      </c>
      <c r="BD57" s="19" t="str">
        <f>IFERROR(IF(AND(BK57&lt;&gt;"",VLOOKUP($P57&amp;" | "&amp;BB$6,'Job Master'!$F$12:$I$102,4,0)&lt;&gt;""),IF(WEEKDAY(BK57-VLOOKUP($P57&amp;" | "&amp;BB$6,'Job Master'!$F$12:$I$102,4,0))&lt;&gt;7,BK57-VLOOKUP($P57&amp;" | "&amp;BB$6,'Job Master'!$F$12:$I$102,4,0),BK57-VLOOKUP($P57&amp;" | "&amp;BB$6,'Job Master'!$F$12:$I$102,4,0)-1),""),"")</f>
        <v/>
      </c>
      <c r="BE57" s="73"/>
      <c r="BF57" s="123" t="str">
        <f t="shared" si="22"/>
        <v/>
      </c>
      <c r="BG57" s="123" t="str">
        <f t="shared" si="23"/>
        <v/>
      </c>
      <c r="BH57" s="97" t="str">
        <f t="shared" ca="1" si="24"/>
        <v/>
      </c>
      <c r="BI57" s="98" t="str">
        <f>IF(BK57&lt;&gt;"",VLOOKUP($P57&amp;" | "&amp;BI$6,'Job Master'!$F$12:$J$102,5,0),"")</f>
        <v/>
      </c>
      <c r="BJ57" s="19" t="str">
        <f>IF(BK57&lt;&gt;"",VLOOKUP($P57&amp;" | "&amp;BI$6,'Job Master'!$F$12:$J$102,3,0),"")</f>
        <v/>
      </c>
      <c r="BK57" s="19" t="str">
        <f>IFERROR(IF(AND(BR57&lt;&gt;"",VLOOKUP($P57&amp;" | "&amp;BI$6,'Job Master'!$F$12:$I$102,4,0)&lt;&gt;""),IF(WEEKDAY(BR57-VLOOKUP($P57&amp;" | "&amp;BI$6,'Job Master'!$F$12:$I$102,4,0))&lt;&gt;7,BR57-VLOOKUP($P57&amp;" | "&amp;BI$6,'Job Master'!$F$12:$I$102,4,0),BR57-VLOOKUP($P57&amp;" | "&amp;BI$6,'Job Master'!$F$12:$I$102,4,0)-1),""),"")</f>
        <v/>
      </c>
      <c r="BL57" s="73"/>
      <c r="BM57" s="123" t="str">
        <f t="shared" si="25"/>
        <v/>
      </c>
      <c r="BN57" s="123" t="str">
        <f t="shared" si="26"/>
        <v/>
      </c>
      <c r="BO57" s="97" t="str">
        <f t="shared" ca="1" si="27"/>
        <v/>
      </c>
      <c r="BP57" s="98" t="str">
        <f>IF(BR57&lt;&gt;"",VLOOKUP($P57&amp;" | "&amp;BP$6,'Job Master'!$F$12:$J$102,5,0),"")</f>
        <v/>
      </c>
      <c r="BQ57" s="19" t="str">
        <f>IF(BR57&lt;&gt;"",VLOOKUP($P57&amp;" | "&amp;BP$6,'Job Master'!$F$12:$J$102,3,0),"")</f>
        <v/>
      </c>
      <c r="BR57" s="19" t="str">
        <f>IFERROR(IF(AND(BY57&lt;&gt;"",VLOOKUP($P57&amp;" | "&amp;BP$6,'Job Master'!$F$12:$I$102,4,0)&lt;&gt;""),IF(WEEKDAY(BY57-VLOOKUP($P57&amp;" | "&amp;BP$6,'Job Master'!$F$12:$I$102,4,0))&lt;&gt;7,BY57-VLOOKUP($P57&amp;" | "&amp;BP$6,'Job Master'!$F$12:$I$102,4,0),BY57-VLOOKUP($P57&amp;" | "&amp;BP$6,'Job Master'!$F$12:$I$102,4,0)-1),""),"")</f>
        <v/>
      </c>
      <c r="BS57" s="73"/>
      <c r="BT57" s="123" t="str">
        <f t="shared" si="28"/>
        <v/>
      </c>
      <c r="BU57" s="123" t="str">
        <f t="shared" si="29"/>
        <v/>
      </c>
      <c r="BV57" s="97" t="str">
        <f t="shared" ca="1" si="30"/>
        <v/>
      </c>
      <c r="BW57" s="98" t="str">
        <f>IF(BY57&lt;&gt;"",VLOOKUP($P57&amp;" | "&amp;BW$6,'Job Master'!$F$12:$J$102,5,0),"")</f>
        <v/>
      </c>
      <c r="BX57" s="19" t="str">
        <f>IF(BY57&lt;&gt;"",VLOOKUP($P57&amp;" | "&amp;BW$6,'Job Master'!$F$12:$J$102,3,0),"")</f>
        <v/>
      </c>
      <c r="BY57" s="19" t="str">
        <f>IFERROR(IF(AND(CF57&lt;&gt;"",VLOOKUP($P57&amp;" | "&amp;BW$6,'Job Master'!$F$12:$I$102,4,0)&lt;&gt;""),IF(WEEKDAY(CF57-VLOOKUP($P57&amp;" | "&amp;BW$6,'Job Master'!$F$12:$I$102,4,0))&lt;&gt;7,CF57-VLOOKUP($P57&amp;" | "&amp;BW$6,'Job Master'!$F$12:$I$102,4,0),CF57-VLOOKUP($P57&amp;" | "&amp;BW$6,'Job Master'!$F$12:$I$102,4,0)-1),""),"")</f>
        <v/>
      </c>
      <c r="BZ57" s="73"/>
      <c r="CA57" s="123" t="str">
        <f t="shared" si="31"/>
        <v/>
      </c>
      <c r="CB57" s="123" t="str">
        <f t="shared" si="32"/>
        <v/>
      </c>
      <c r="CC57" s="97" t="str">
        <f t="shared" ca="1" si="33"/>
        <v/>
      </c>
      <c r="CD57" s="98" t="str">
        <f>IF(CF57&lt;&gt;"",VLOOKUP($P57&amp;" | "&amp;CD$6,'Job Master'!$F$12:$J$102,5,0),"")</f>
        <v/>
      </c>
      <c r="CE57" s="19" t="str">
        <f>IF(CF57&lt;&gt;"",VLOOKUP($P57&amp;" | "&amp;CD$6,'Job Master'!$F$12:$J$102,3,0),"")</f>
        <v/>
      </c>
      <c r="CF57" s="19" t="str">
        <f>IFERROR(IF(AND(CM57&lt;&gt;"",VLOOKUP($P57&amp;" | "&amp;CD$6,'Job Master'!$F$12:$I$102,4,0)&lt;&gt;""),IF(WEEKDAY(CM57-VLOOKUP($P57&amp;" | "&amp;CD$6,'Job Master'!$F$12:$I$102,4,0))&lt;&gt;7,CM57-VLOOKUP($P57&amp;" | "&amp;CD$6,'Job Master'!$F$12:$I$102,4,0),CM57-VLOOKUP($P57&amp;" | "&amp;CD$6,'Job Master'!$F$12:$I$102,4,0)-1),""),"")</f>
        <v/>
      </c>
      <c r="CG57" s="73"/>
      <c r="CH57" s="123" t="str">
        <f t="shared" si="34"/>
        <v/>
      </c>
      <c r="CI57" s="123" t="str">
        <f t="shared" si="35"/>
        <v/>
      </c>
      <c r="CJ57" s="97" t="str">
        <f t="shared" ca="1" si="36"/>
        <v/>
      </c>
      <c r="CK57" s="98" t="str">
        <f>IF(CM57&lt;&gt;"",VLOOKUP($P57&amp;" | "&amp;CK$6,'Job Master'!$F$12:$J$102,5,0),"")</f>
        <v/>
      </c>
      <c r="CL57" s="19" t="str">
        <f>IF(CM57&lt;&gt;"",VLOOKUP($P57&amp;" | "&amp;CK$6,'Job Master'!$F$12:$J$102,3,0),"")</f>
        <v/>
      </c>
      <c r="CM57" s="19" t="str">
        <f>IFERROR(IF(AND(CT57&lt;&gt;"",VLOOKUP($P57&amp;" | "&amp;CK$6,'Job Master'!$F$12:$I$102,4,0)&lt;&gt;""),IF(WEEKDAY(CT57-VLOOKUP($P57&amp;" | "&amp;CK$6,'Job Master'!$F$12:$I$102,4,0))&lt;&gt;7,CT57-VLOOKUP($P57&amp;" | "&amp;CK$6,'Job Master'!$F$12:$I$102,4,0),CT57-VLOOKUP($P57&amp;" | "&amp;CK$6,'Job Master'!$F$12:$I$102,4,0)-1),""),"")</f>
        <v/>
      </c>
      <c r="CN57" s="73"/>
      <c r="CO57" s="123" t="str">
        <f t="shared" si="37"/>
        <v/>
      </c>
      <c r="CP57" s="123" t="str">
        <f t="shared" si="38"/>
        <v/>
      </c>
      <c r="CQ57" s="97" t="str">
        <f t="shared" ca="1" si="39"/>
        <v/>
      </c>
      <c r="CR57" s="98" t="str">
        <f>IF(CT57&lt;&gt;"",VLOOKUP($P57&amp;" | "&amp;CR$6,'Job Master'!$F$12:$J$102,5,0),"")</f>
        <v/>
      </c>
      <c r="CS57" s="19" t="str">
        <f>IF(CT57&lt;&gt;"",VLOOKUP($P57&amp;" | "&amp;CR$6,'Job Master'!$F$12:$J$102,3,0),"")</f>
        <v/>
      </c>
      <c r="CT57" s="19" t="str">
        <f>IFERROR(IF(AND(DA57&lt;&gt;"",VLOOKUP($P57&amp;" | "&amp;CR$6,'Job Master'!$F$12:$I$102,4,0)&lt;&gt;""),IF(WEEKDAY(DA57-VLOOKUP($P57&amp;" | "&amp;CR$6,'Job Master'!$F$12:$I$102,4,0))&lt;&gt;7,DA57-VLOOKUP($P57&amp;" | "&amp;CR$6,'Job Master'!$F$12:$I$102,4,0),DA57-VLOOKUP($P57&amp;" | "&amp;CR$6,'Job Master'!$F$12:$I$102,4,0)-1),""),"")</f>
        <v/>
      </c>
      <c r="CU57" s="73"/>
      <c r="CV57" s="123" t="str">
        <f t="shared" si="40"/>
        <v/>
      </c>
      <c r="CW57" s="123" t="str">
        <f t="shared" si="41"/>
        <v/>
      </c>
      <c r="CX57" s="97" t="str">
        <f t="shared" ca="1" si="42"/>
        <v/>
      </c>
      <c r="CY57" s="98" t="str">
        <f>IF(DA57&lt;&gt;"",VLOOKUP($P57&amp;" | "&amp;CY$6,'Job Master'!$F$12:$J$102,5,0),"")</f>
        <v/>
      </c>
      <c r="CZ57" s="19" t="str">
        <f>IF(DA57&lt;&gt;"",VLOOKUP($P57&amp;" | "&amp;CY$6,'Job Master'!$F$12:$J$102,3,0),"")</f>
        <v/>
      </c>
      <c r="DA57" s="19" t="str">
        <f>IFERROR(IF(AND(DH57&lt;&gt;"",VLOOKUP($P57&amp;" | "&amp;CY$6,'Job Master'!$F$12:$I$102,4,0)&lt;&gt;""),IF(WEEKDAY(DH57-VLOOKUP($P57&amp;" | "&amp;CY$6,'Job Master'!$F$12:$I$102,4,0))&lt;&gt;7,DH57-VLOOKUP($P57&amp;" | "&amp;CY$6,'Job Master'!$F$12:$I$102,4,0),DH57-VLOOKUP($P57&amp;" | "&amp;CY$6,'Job Master'!$F$12:$I$102,4,0)-1),""),"")</f>
        <v/>
      </c>
      <c r="DB57" s="73"/>
      <c r="DC57" s="123" t="str">
        <f t="shared" si="43"/>
        <v/>
      </c>
      <c r="DD57" s="123" t="str">
        <f t="shared" si="44"/>
        <v/>
      </c>
      <c r="DE57" s="97" t="str">
        <f t="shared" ca="1" si="45"/>
        <v/>
      </c>
      <c r="DF57" s="98" t="str">
        <f>IF(DH57&lt;&gt;"",VLOOKUP($P57&amp;" | "&amp;DF$6,'Job Master'!$F$12:$J$102,5,0),"")</f>
        <v/>
      </c>
      <c r="DG57" s="19" t="str">
        <f>IF(DH57&lt;&gt;"",VLOOKUP($P57&amp;" | "&amp;DF$6,'Job Master'!$F$12:$J$102,3,0),"")</f>
        <v/>
      </c>
      <c r="DH57" s="19" t="str">
        <f>IFERROR(IF(AND(DO57&lt;&gt;"",VLOOKUP($P57&amp;" | "&amp;DF$6,'Job Master'!$F$12:$I$102,4,0)&lt;&gt;""),IF(WEEKDAY(DO57-VLOOKUP($P57&amp;" | "&amp;DF$6,'Job Master'!$F$12:$I$102,4,0))&lt;&gt;7,DO57-VLOOKUP($P57&amp;" | "&amp;DF$6,'Job Master'!$F$12:$I$102,4,0),DO57-VLOOKUP($P57&amp;" | "&amp;DF$6,'Job Master'!$F$12:$I$102,4,0)-1),""),"")</f>
        <v/>
      </c>
      <c r="DI57" s="73"/>
      <c r="DJ57" s="123" t="str">
        <f t="shared" si="46"/>
        <v/>
      </c>
      <c r="DK57" s="123" t="str">
        <f t="shared" si="47"/>
        <v/>
      </c>
      <c r="DL57" s="97" t="str">
        <f t="shared" ca="1" si="48"/>
        <v/>
      </c>
      <c r="DM57" s="98" t="str">
        <f>IF(DO57&lt;&gt;"",VLOOKUP($P57&amp;" | "&amp;DM$6,'Job Master'!$F$12:$J$102,5,0),"")</f>
        <v/>
      </c>
      <c r="DN57" s="19" t="str">
        <f>IF(DO57&lt;&gt;"",VLOOKUP($P57&amp;" | "&amp;DM$6,'Job Master'!$F$12:$J$102,3,0),"")</f>
        <v/>
      </c>
      <c r="DO57" s="19" t="str">
        <f>IFERROR(IF(AND(DT57&lt;&gt;"",VLOOKUP($P57&amp;" | "&amp;DM$6,'Job Master'!$F$12:$I$102,4,0)&lt;&gt;""),IF(WEEKDAY(DT57-VLOOKUP($P57&amp;" | "&amp;DM$6,'Job Master'!$F$12:$I$102,4,0))&lt;&gt;7,DT57-VLOOKUP($P57&amp;" | "&amp;DM$6,'Job Master'!$F$12:$I$102,4,0),DT57-VLOOKUP($P57&amp;" | "&amp;DM$6,'Job Master'!$F$12:$I$102,4,0)-1),""),"")</f>
        <v/>
      </c>
      <c r="DP57" s="73"/>
      <c r="DQ57" s="123" t="str">
        <f t="shared" si="49"/>
        <v/>
      </c>
      <c r="DR57" s="123" t="str">
        <f t="shared" si="50"/>
        <v/>
      </c>
      <c r="DS57" s="97" t="str">
        <f t="shared" ca="1" si="51"/>
        <v/>
      </c>
      <c r="DT57" s="70" t="str">
        <f t="shared" si="52"/>
        <v/>
      </c>
      <c r="DU57" s="90"/>
      <c r="DV57" s="123" t="str">
        <f t="shared" si="53"/>
        <v/>
      </c>
      <c r="DW57" s="123" t="str">
        <f t="shared" si="54"/>
        <v/>
      </c>
      <c r="DX57" s="132" t="str">
        <f t="shared" ref="DX57" ca="1" si="118">IF(DT57&lt;&gt;"",IF(WEEKNUM(DT57)=WEEKNUM(TODAY()),"This Week",IF(WEEKNUM(DT57)=WEEKNUM(TODAY())+1,"Next Week",IF(WEEKNUM(DT57)=WEEKNUM(TODAY())-1,"Previous Week",""))),"")</f>
        <v/>
      </c>
      <c r="DY57" s="134" t="str">
        <f t="shared" si="56"/>
        <v/>
      </c>
      <c r="DZ57" s="95"/>
      <c r="EB57" s="8" t="str">
        <f t="shared" si="67"/>
        <v/>
      </c>
      <c r="EC57" s="8" t="str">
        <f>IF(O57&lt;&gt;"",VLOOKUP(O57,'Job Master'!$N$12:$O$18,2,0),"")</f>
        <v/>
      </c>
      <c r="ED57" s="8">
        <f t="shared" si="68"/>
        <v>19.5</v>
      </c>
      <c r="EE57" s="8">
        <f t="shared" si="69"/>
        <v>6</v>
      </c>
      <c r="EF57" s="8">
        <f t="shared" si="70"/>
        <v>-262.5</v>
      </c>
      <c r="EG57" s="8" t="str">
        <f t="shared" si="71"/>
        <v/>
      </c>
      <c r="EH57" s="8" t="str">
        <f t="shared" si="72"/>
        <v/>
      </c>
    </row>
    <row r="58" spans="2:138" x14ac:dyDescent="0.3">
      <c r="B58" s="112"/>
      <c r="C58" s="27"/>
      <c r="D58" s="7" t="str">
        <f t="shared" si="1"/>
        <v/>
      </c>
      <c r="E58" s="25"/>
      <c r="F58" s="7" t="str">
        <f t="shared" si="1"/>
        <v/>
      </c>
      <c r="G58" s="25"/>
      <c r="H58" s="7" t="str">
        <f t="shared" si="1"/>
        <v/>
      </c>
      <c r="I58" s="25"/>
      <c r="J58" s="7" t="str">
        <f t="shared" si="1"/>
        <v/>
      </c>
      <c r="K58" s="25"/>
      <c r="L58" s="7" t="str">
        <f t="shared" si="2"/>
        <v/>
      </c>
      <c r="M58" s="25"/>
      <c r="N58" s="7" t="str">
        <f t="shared" si="3"/>
        <v/>
      </c>
      <c r="O58" s="81"/>
      <c r="P58" s="81" t="str">
        <f t="shared" si="4"/>
        <v/>
      </c>
      <c r="Q58" s="81"/>
      <c r="R58" s="7" t="str">
        <f t="shared" si="5"/>
        <v/>
      </c>
      <c r="S58" s="25"/>
      <c r="T58" s="7" t="str">
        <f t="shared" si="6"/>
        <v/>
      </c>
      <c r="U58" s="25"/>
      <c r="V58" s="7" t="str">
        <f t="shared" si="7"/>
        <v/>
      </c>
      <c r="W58" s="25"/>
      <c r="X58" s="7" t="str">
        <f t="shared" si="8"/>
        <v/>
      </c>
      <c r="Y58" s="18" t="str">
        <f t="shared" si="9"/>
        <v/>
      </c>
      <c r="Z58" s="7" t="str">
        <f t="shared" si="10"/>
        <v/>
      </c>
      <c r="AA58" s="18" t="str">
        <f t="shared" si="11"/>
        <v/>
      </c>
      <c r="AB58" s="19" t="str">
        <f t="shared" si="12"/>
        <v/>
      </c>
      <c r="AC58" s="26"/>
      <c r="AD58" s="26"/>
      <c r="AE58" s="25"/>
      <c r="AF58" s="26"/>
      <c r="AG58" s="25"/>
      <c r="AH58" s="25"/>
      <c r="AI58" s="18" t="str">
        <f t="shared" si="83"/>
        <v/>
      </c>
      <c r="AJ58" s="25"/>
      <c r="AK58" s="18" t="str">
        <f t="shared" si="84"/>
        <v/>
      </c>
      <c r="AL58" s="79"/>
      <c r="AM58" s="126" t="str">
        <f t="shared" si="85"/>
        <v/>
      </c>
      <c r="AN58" s="128" t="str">
        <f>IF(AP58&lt;&gt;"",VLOOKUP($P58&amp;" | "&amp;AN$6,'Job Master'!$F$12:$J$102,5,0),"")</f>
        <v/>
      </c>
      <c r="AO58" s="19" t="str">
        <f>IF(AP58&lt;&gt;"",VLOOKUP($P58&amp;" | "&amp;AN$6,'Job Master'!$F$12:$J$102,3,0),"")</f>
        <v/>
      </c>
      <c r="AP58" s="19" t="str">
        <f>IFERROR(IF(AND(AW58&lt;&gt;"",VLOOKUP($P58&amp;" | "&amp;AN$6,'Job Master'!$F$12:$I$102,4,0)&lt;&gt;""),IF(WEEKDAY(AW58-VLOOKUP($P58&amp;" | "&amp;AN$6,'Job Master'!$F$12:$I$102,4,0))&lt;&gt;7,AW58-VLOOKUP($P58&amp;" | "&amp;AN$6,'Job Master'!$F$12:$I$102,4,0),AW58-VLOOKUP($P58&amp;" | "&amp;AN$6,'Job Master'!$F$12:$I$102,4,0)-1),""),"")</f>
        <v/>
      </c>
      <c r="AQ58" s="73"/>
      <c r="AR58" s="123" t="str">
        <f t="shared" si="16"/>
        <v/>
      </c>
      <c r="AS58" s="123" t="str">
        <f t="shared" si="17"/>
        <v/>
      </c>
      <c r="AT58" s="97" t="str">
        <f t="shared" ca="1" si="18"/>
        <v/>
      </c>
      <c r="AU58" s="98" t="str">
        <f>IF(AW58&lt;&gt;"",VLOOKUP($P58&amp;" | "&amp;AU$6,'Job Master'!$F$12:$J$102,5,0),"")</f>
        <v/>
      </c>
      <c r="AV58" s="19" t="str">
        <f>IF(AW58&lt;&gt;"",VLOOKUP($P58&amp;" | "&amp;AU$6,'Job Master'!$F$12:$J$102,3,0),"")</f>
        <v/>
      </c>
      <c r="AW58" s="19" t="str">
        <f>IFERROR(IF(AND(BD58&lt;&gt;"",VLOOKUP($P58&amp;" | "&amp;AU$6,'Job Master'!$F$12:$I$102,4,0)&lt;&gt;""),IF(WEEKDAY(BD58-VLOOKUP($P58&amp;" | "&amp;AU$6,'Job Master'!$F$12:$I$102,4,0))&lt;&gt;7,BD58-VLOOKUP($P58&amp;" | "&amp;AU$6,'Job Master'!$F$12:$I$102,4,0),BD58-VLOOKUP($P58&amp;" | "&amp;AU$6,'Job Master'!$F$12:$I$102,4,0)-1),""),"")</f>
        <v/>
      </c>
      <c r="AX58" s="73"/>
      <c r="AY58" s="123" t="str">
        <f t="shared" si="19"/>
        <v/>
      </c>
      <c r="AZ58" s="123" t="str">
        <f t="shared" si="20"/>
        <v/>
      </c>
      <c r="BA58" s="97" t="str">
        <f t="shared" ca="1" si="21"/>
        <v/>
      </c>
      <c r="BB58" s="98" t="str">
        <f>IF(BD58&lt;&gt;"",VLOOKUP($P58&amp;" | "&amp;BB$6,'Job Master'!$F$12:$J$102,5,0),"")</f>
        <v/>
      </c>
      <c r="BC58" s="19" t="str">
        <f>IF(BD58&lt;&gt;"",VLOOKUP($P58&amp;" | "&amp;BB$6,'Job Master'!$F$12:$J$102,3,0),"")</f>
        <v/>
      </c>
      <c r="BD58" s="19" t="str">
        <f>IFERROR(IF(AND(BK58&lt;&gt;"",VLOOKUP($P58&amp;" | "&amp;BB$6,'Job Master'!$F$12:$I$102,4,0)&lt;&gt;""),IF(WEEKDAY(BK58-VLOOKUP($P58&amp;" | "&amp;BB$6,'Job Master'!$F$12:$I$102,4,0))&lt;&gt;7,BK58-VLOOKUP($P58&amp;" | "&amp;BB$6,'Job Master'!$F$12:$I$102,4,0),BK58-VLOOKUP($P58&amp;" | "&amp;BB$6,'Job Master'!$F$12:$I$102,4,0)-1),""),"")</f>
        <v/>
      </c>
      <c r="BE58" s="73"/>
      <c r="BF58" s="123" t="str">
        <f t="shared" si="22"/>
        <v/>
      </c>
      <c r="BG58" s="123" t="str">
        <f t="shared" si="23"/>
        <v/>
      </c>
      <c r="BH58" s="97" t="str">
        <f t="shared" ca="1" si="24"/>
        <v/>
      </c>
      <c r="BI58" s="98" t="str">
        <f>IF(BK58&lt;&gt;"",VLOOKUP($P58&amp;" | "&amp;BI$6,'Job Master'!$F$12:$J$102,5,0),"")</f>
        <v/>
      </c>
      <c r="BJ58" s="19" t="str">
        <f>IF(BK58&lt;&gt;"",VLOOKUP($P58&amp;" | "&amp;BI$6,'Job Master'!$F$12:$J$102,3,0),"")</f>
        <v/>
      </c>
      <c r="BK58" s="19" t="str">
        <f>IFERROR(IF(AND(BR58&lt;&gt;"",VLOOKUP($P58&amp;" | "&amp;BI$6,'Job Master'!$F$12:$I$102,4,0)&lt;&gt;""),IF(WEEKDAY(BR58-VLOOKUP($P58&amp;" | "&amp;BI$6,'Job Master'!$F$12:$I$102,4,0))&lt;&gt;7,BR58-VLOOKUP($P58&amp;" | "&amp;BI$6,'Job Master'!$F$12:$I$102,4,0),BR58-VLOOKUP($P58&amp;" | "&amp;BI$6,'Job Master'!$F$12:$I$102,4,0)-1),""),"")</f>
        <v/>
      </c>
      <c r="BL58" s="73"/>
      <c r="BM58" s="123" t="str">
        <f t="shared" si="25"/>
        <v/>
      </c>
      <c r="BN58" s="123" t="str">
        <f t="shared" si="26"/>
        <v/>
      </c>
      <c r="BO58" s="97" t="str">
        <f t="shared" ca="1" si="27"/>
        <v/>
      </c>
      <c r="BP58" s="98" t="str">
        <f>IF(BR58&lt;&gt;"",VLOOKUP($P58&amp;" | "&amp;BP$6,'Job Master'!$F$12:$J$102,5,0),"")</f>
        <v/>
      </c>
      <c r="BQ58" s="19" t="str">
        <f>IF(BR58&lt;&gt;"",VLOOKUP($P58&amp;" | "&amp;BP$6,'Job Master'!$F$12:$J$102,3,0),"")</f>
        <v/>
      </c>
      <c r="BR58" s="19" t="str">
        <f>IFERROR(IF(AND(BY58&lt;&gt;"",VLOOKUP($P58&amp;" | "&amp;BP$6,'Job Master'!$F$12:$I$102,4,0)&lt;&gt;""),IF(WEEKDAY(BY58-VLOOKUP($P58&amp;" | "&amp;BP$6,'Job Master'!$F$12:$I$102,4,0))&lt;&gt;7,BY58-VLOOKUP($P58&amp;" | "&amp;BP$6,'Job Master'!$F$12:$I$102,4,0),BY58-VLOOKUP($P58&amp;" | "&amp;BP$6,'Job Master'!$F$12:$I$102,4,0)-1),""),"")</f>
        <v/>
      </c>
      <c r="BS58" s="73"/>
      <c r="BT58" s="123" t="str">
        <f t="shared" si="28"/>
        <v/>
      </c>
      <c r="BU58" s="123" t="str">
        <f t="shared" si="29"/>
        <v/>
      </c>
      <c r="BV58" s="97" t="str">
        <f t="shared" ca="1" si="30"/>
        <v/>
      </c>
      <c r="BW58" s="98" t="str">
        <f>IF(BY58&lt;&gt;"",VLOOKUP($P58&amp;" | "&amp;BW$6,'Job Master'!$F$12:$J$102,5,0),"")</f>
        <v/>
      </c>
      <c r="BX58" s="19" t="str">
        <f>IF(BY58&lt;&gt;"",VLOOKUP($P58&amp;" | "&amp;BW$6,'Job Master'!$F$12:$J$102,3,0),"")</f>
        <v/>
      </c>
      <c r="BY58" s="19" t="str">
        <f>IFERROR(IF(AND(CF58&lt;&gt;"",VLOOKUP($P58&amp;" | "&amp;BW$6,'Job Master'!$F$12:$I$102,4,0)&lt;&gt;""),IF(WEEKDAY(CF58-VLOOKUP($P58&amp;" | "&amp;BW$6,'Job Master'!$F$12:$I$102,4,0))&lt;&gt;7,CF58-VLOOKUP($P58&amp;" | "&amp;BW$6,'Job Master'!$F$12:$I$102,4,0),CF58-VLOOKUP($P58&amp;" | "&amp;BW$6,'Job Master'!$F$12:$I$102,4,0)-1),""),"")</f>
        <v/>
      </c>
      <c r="BZ58" s="73"/>
      <c r="CA58" s="123" t="str">
        <f t="shared" si="31"/>
        <v/>
      </c>
      <c r="CB58" s="123" t="str">
        <f t="shared" si="32"/>
        <v/>
      </c>
      <c r="CC58" s="97" t="str">
        <f t="shared" ca="1" si="33"/>
        <v/>
      </c>
      <c r="CD58" s="98" t="str">
        <f>IF(CF58&lt;&gt;"",VLOOKUP($P58&amp;" | "&amp;CD$6,'Job Master'!$F$12:$J$102,5,0),"")</f>
        <v/>
      </c>
      <c r="CE58" s="19" t="str">
        <f>IF(CF58&lt;&gt;"",VLOOKUP($P58&amp;" | "&amp;CD$6,'Job Master'!$F$12:$J$102,3,0),"")</f>
        <v/>
      </c>
      <c r="CF58" s="19" t="str">
        <f>IFERROR(IF(AND(CM58&lt;&gt;"",VLOOKUP($P58&amp;" | "&amp;CD$6,'Job Master'!$F$12:$I$102,4,0)&lt;&gt;""),IF(WEEKDAY(CM58-VLOOKUP($P58&amp;" | "&amp;CD$6,'Job Master'!$F$12:$I$102,4,0))&lt;&gt;7,CM58-VLOOKUP($P58&amp;" | "&amp;CD$6,'Job Master'!$F$12:$I$102,4,0),CM58-VLOOKUP($P58&amp;" | "&amp;CD$6,'Job Master'!$F$12:$I$102,4,0)-1),""),"")</f>
        <v/>
      </c>
      <c r="CG58" s="73"/>
      <c r="CH58" s="123" t="str">
        <f t="shared" si="34"/>
        <v/>
      </c>
      <c r="CI58" s="123" t="str">
        <f t="shared" si="35"/>
        <v/>
      </c>
      <c r="CJ58" s="97" t="str">
        <f t="shared" ca="1" si="36"/>
        <v/>
      </c>
      <c r="CK58" s="98" t="str">
        <f>IF(CM58&lt;&gt;"",VLOOKUP($P58&amp;" | "&amp;CK$6,'Job Master'!$F$12:$J$102,5,0),"")</f>
        <v/>
      </c>
      <c r="CL58" s="19" t="str">
        <f>IF(CM58&lt;&gt;"",VLOOKUP($P58&amp;" | "&amp;CK$6,'Job Master'!$F$12:$J$102,3,0),"")</f>
        <v/>
      </c>
      <c r="CM58" s="19" t="str">
        <f>IFERROR(IF(AND(CT58&lt;&gt;"",VLOOKUP($P58&amp;" | "&amp;CK$6,'Job Master'!$F$12:$I$102,4,0)&lt;&gt;""),IF(WEEKDAY(CT58-VLOOKUP($P58&amp;" | "&amp;CK$6,'Job Master'!$F$12:$I$102,4,0))&lt;&gt;7,CT58-VLOOKUP($P58&amp;" | "&amp;CK$6,'Job Master'!$F$12:$I$102,4,0),CT58-VLOOKUP($P58&amp;" | "&amp;CK$6,'Job Master'!$F$12:$I$102,4,0)-1),""),"")</f>
        <v/>
      </c>
      <c r="CN58" s="73"/>
      <c r="CO58" s="123" t="str">
        <f t="shared" si="37"/>
        <v/>
      </c>
      <c r="CP58" s="123" t="str">
        <f t="shared" si="38"/>
        <v/>
      </c>
      <c r="CQ58" s="97" t="str">
        <f t="shared" ca="1" si="39"/>
        <v/>
      </c>
      <c r="CR58" s="98" t="str">
        <f>IF(CT58&lt;&gt;"",VLOOKUP($P58&amp;" | "&amp;CR$6,'Job Master'!$F$12:$J$102,5,0),"")</f>
        <v/>
      </c>
      <c r="CS58" s="19" t="str">
        <f>IF(CT58&lt;&gt;"",VLOOKUP($P58&amp;" | "&amp;CR$6,'Job Master'!$F$12:$J$102,3,0),"")</f>
        <v/>
      </c>
      <c r="CT58" s="19" t="str">
        <f>IFERROR(IF(AND(DA58&lt;&gt;"",VLOOKUP($P58&amp;" | "&amp;CR$6,'Job Master'!$F$12:$I$102,4,0)&lt;&gt;""),IF(WEEKDAY(DA58-VLOOKUP($P58&amp;" | "&amp;CR$6,'Job Master'!$F$12:$I$102,4,0))&lt;&gt;7,DA58-VLOOKUP($P58&amp;" | "&amp;CR$6,'Job Master'!$F$12:$I$102,4,0),DA58-VLOOKUP($P58&amp;" | "&amp;CR$6,'Job Master'!$F$12:$I$102,4,0)-1),""),"")</f>
        <v/>
      </c>
      <c r="CU58" s="73"/>
      <c r="CV58" s="123" t="str">
        <f t="shared" si="40"/>
        <v/>
      </c>
      <c r="CW58" s="123" t="str">
        <f t="shared" si="41"/>
        <v/>
      </c>
      <c r="CX58" s="97" t="str">
        <f t="shared" ca="1" si="42"/>
        <v/>
      </c>
      <c r="CY58" s="98" t="str">
        <f>IF(DA58&lt;&gt;"",VLOOKUP($P58&amp;" | "&amp;CY$6,'Job Master'!$F$12:$J$102,5,0),"")</f>
        <v/>
      </c>
      <c r="CZ58" s="19" t="str">
        <f>IF(DA58&lt;&gt;"",VLOOKUP($P58&amp;" | "&amp;CY$6,'Job Master'!$F$12:$J$102,3,0),"")</f>
        <v/>
      </c>
      <c r="DA58" s="19" t="str">
        <f>IFERROR(IF(AND(DH58&lt;&gt;"",VLOOKUP($P58&amp;" | "&amp;CY$6,'Job Master'!$F$12:$I$102,4,0)&lt;&gt;""),IF(WEEKDAY(DH58-VLOOKUP($P58&amp;" | "&amp;CY$6,'Job Master'!$F$12:$I$102,4,0))&lt;&gt;7,DH58-VLOOKUP($P58&amp;" | "&amp;CY$6,'Job Master'!$F$12:$I$102,4,0),DH58-VLOOKUP($P58&amp;" | "&amp;CY$6,'Job Master'!$F$12:$I$102,4,0)-1),""),"")</f>
        <v/>
      </c>
      <c r="DB58" s="73"/>
      <c r="DC58" s="123" t="str">
        <f t="shared" si="43"/>
        <v/>
      </c>
      <c r="DD58" s="123" t="str">
        <f t="shared" si="44"/>
        <v/>
      </c>
      <c r="DE58" s="97" t="str">
        <f t="shared" ca="1" si="45"/>
        <v/>
      </c>
      <c r="DF58" s="98" t="str">
        <f>IF(DH58&lt;&gt;"",VLOOKUP($P58&amp;" | "&amp;DF$6,'Job Master'!$F$12:$J$102,5,0),"")</f>
        <v/>
      </c>
      <c r="DG58" s="19" t="str">
        <f>IF(DH58&lt;&gt;"",VLOOKUP($P58&amp;" | "&amp;DF$6,'Job Master'!$F$12:$J$102,3,0),"")</f>
        <v/>
      </c>
      <c r="DH58" s="19" t="str">
        <f>IFERROR(IF(AND(DO58&lt;&gt;"",VLOOKUP($P58&amp;" | "&amp;DF$6,'Job Master'!$F$12:$I$102,4,0)&lt;&gt;""),IF(WEEKDAY(DO58-VLOOKUP($P58&amp;" | "&amp;DF$6,'Job Master'!$F$12:$I$102,4,0))&lt;&gt;7,DO58-VLOOKUP($P58&amp;" | "&amp;DF$6,'Job Master'!$F$12:$I$102,4,0),DO58-VLOOKUP($P58&amp;" | "&amp;DF$6,'Job Master'!$F$12:$I$102,4,0)-1),""),"")</f>
        <v/>
      </c>
      <c r="DI58" s="73"/>
      <c r="DJ58" s="123" t="str">
        <f t="shared" si="46"/>
        <v/>
      </c>
      <c r="DK58" s="123" t="str">
        <f t="shared" si="47"/>
        <v/>
      </c>
      <c r="DL58" s="97" t="str">
        <f t="shared" ca="1" si="48"/>
        <v/>
      </c>
      <c r="DM58" s="98" t="str">
        <f>IF(DO58&lt;&gt;"",VLOOKUP($P58&amp;" | "&amp;DM$6,'Job Master'!$F$12:$J$102,5,0),"")</f>
        <v/>
      </c>
      <c r="DN58" s="19" t="str">
        <f>IF(DO58&lt;&gt;"",VLOOKUP($P58&amp;" | "&amp;DM$6,'Job Master'!$F$12:$J$102,3,0),"")</f>
        <v/>
      </c>
      <c r="DO58" s="19" t="str">
        <f>IFERROR(IF(AND(DT58&lt;&gt;"",VLOOKUP($P58&amp;" | "&amp;DM$6,'Job Master'!$F$12:$I$102,4,0)&lt;&gt;""),IF(WEEKDAY(DT58-VLOOKUP($P58&amp;" | "&amp;DM$6,'Job Master'!$F$12:$I$102,4,0))&lt;&gt;7,DT58-VLOOKUP($P58&amp;" | "&amp;DM$6,'Job Master'!$F$12:$I$102,4,0),DT58-VLOOKUP($P58&amp;" | "&amp;DM$6,'Job Master'!$F$12:$I$102,4,0)-1),""),"")</f>
        <v/>
      </c>
      <c r="DP58" s="73"/>
      <c r="DQ58" s="123" t="str">
        <f t="shared" si="49"/>
        <v/>
      </c>
      <c r="DR58" s="123" t="str">
        <f t="shared" si="50"/>
        <v/>
      </c>
      <c r="DS58" s="97" t="str">
        <f t="shared" ca="1" si="51"/>
        <v/>
      </c>
      <c r="DT58" s="70" t="str">
        <f t="shared" si="52"/>
        <v/>
      </c>
      <c r="DU58" s="90"/>
      <c r="DV58" s="123" t="str">
        <f t="shared" si="53"/>
        <v/>
      </c>
      <c r="DW58" s="123" t="str">
        <f t="shared" si="54"/>
        <v/>
      </c>
      <c r="DX58" s="132" t="str">
        <f t="shared" ref="DX58" ca="1" si="119">IF(DT58&lt;&gt;"",IF(WEEKNUM(DT58)=WEEKNUM(TODAY()),"This Week",IF(WEEKNUM(DT58)=WEEKNUM(TODAY())+1,"Next Week",IF(WEEKNUM(DT58)=WEEKNUM(TODAY())-1,"Previous Week",""))),"")</f>
        <v/>
      </c>
      <c r="DY58" s="134" t="str">
        <f t="shared" si="56"/>
        <v/>
      </c>
      <c r="DZ58" s="95"/>
      <c r="EB58" s="8" t="str">
        <f t="shared" si="67"/>
        <v/>
      </c>
      <c r="EC58" s="8" t="str">
        <f>IF(O58&lt;&gt;"",VLOOKUP(O58,'Job Master'!$N$12:$O$18,2,0),"")</f>
        <v/>
      </c>
      <c r="ED58" s="8">
        <f t="shared" si="68"/>
        <v>19.5</v>
      </c>
      <c r="EE58" s="8">
        <f t="shared" si="69"/>
        <v>6</v>
      </c>
      <c r="EF58" s="8">
        <f t="shared" si="70"/>
        <v>-268.5</v>
      </c>
      <c r="EG58" s="8" t="str">
        <f t="shared" si="71"/>
        <v/>
      </c>
      <c r="EH58" s="8" t="str">
        <f t="shared" si="72"/>
        <v/>
      </c>
    </row>
    <row r="59" spans="2:138" x14ac:dyDescent="0.3">
      <c r="B59" s="112"/>
      <c r="C59" s="27"/>
      <c r="D59" s="7" t="str">
        <f t="shared" si="1"/>
        <v/>
      </c>
      <c r="E59" s="25"/>
      <c r="F59" s="7" t="str">
        <f t="shared" si="1"/>
        <v/>
      </c>
      <c r="G59" s="25"/>
      <c r="H59" s="7" t="str">
        <f t="shared" si="1"/>
        <v/>
      </c>
      <c r="I59" s="25"/>
      <c r="J59" s="7" t="str">
        <f t="shared" si="1"/>
        <v/>
      </c>
      <c r="K59" s="25"/>
      <c r="L59" s="7" t="str">
        <f t="shared" si="2"/>
        <v/>
      </c>
      <c r="M59" s="25"/>
      <c r="N59" s="7" t="str">
        <f t="shared" si="3"/>
        <v/>
      </c>
      <c r="O59" s="81"/>
      <c r="P59" s="81" t="str">
        <f t="shared" si="4"/>
        <v/>
      </c>
      <c r="Q59" s="81"/>
      <c r="R59" s="7" t="str">
        <f t="shared" si="5"/>
        <v/>
      </c>
      <c r="S59" s="25"/>
      <c r="T59" s="7" t="str">
        <f t="shared" si="6"/>
        <v/>
      </c>
      <c r="U59" s="25"/>
      <c r="V59" s="7" t="str">
        <f t="shared" si="7"/>
        <v/>
      </c>
      <c r="W59" s="25"/>
      <c r="X59" s="7" t="str">
        <f t="shared" si="8"/>
        <v/>
      </c>
      <c r="Y59" s="18" t="str">
        <f t="shared" si="9"/>
        <v/>
      </c>
      <c r="Z59" s="7" t="str">
        <f t="shared" si="10"/>
        <v/>
      </c>
      <c r="AA59" s="18" t="str">
        <f t="shared" si="11"/>
        <v/>
      </c>
      <c r="AB59" s="19" t="str">
        <f t="shared" si="12"/>
        <v/>
      </c>
      <c r="AC59" s="26"/>
      <c r="AD59" s="26"/>
      <c r="AE59" s="25"/>
      <c r="AF59" s="26"/>
      <c r="AG59" s="25"/>
      <c r="AH59" s="25"/>
      <c r="AI59" s="18" t="str">
        <f t="shared" si="83"/>
        <v/>
      </c>
      <c r="AJ59" s="25"/>
      <c r="AK59" s="18" t="str">
        <f t="shared" si="84"/>
        <v/>
      </c>
      <c r="AL59" s="79"/>
      <c r="AM59" s="126" t="str">
        <f t="shared" si="85"/>
        <v/>
      </c>
      <c r="AN59" s="128" t="str">
        <f>IF(AP59&lt;&gt;"",VLOOKUP($P59&amp;" | "&amp;AN$6,'Job Master'!$F$12:$J$102,5,0),"")</f>
        <v/>
      </c>
      <c r="AO59" s="19" t="str">
        <f>IF(AP59&lt;&gt;"",VLOOKUP($P59&amp;" | "&amp;AN$6,'Job Master'!$F$12:$J$102,3,0),"")</f>
        <v/>
      </c>
      <c r="AP59" s="19" t="str">
        <f>IFERROR(IF(AND(AW59&lt;&gt;"",VLOOKUP($P59&amp;" | "&amp;AN$6,'Job Master'!$F$12:$I$102,4,0)&lt;&gt;""),IF(WEEKDAY(AW59-VLOOKUP($P59&amp;" | "&amp;AN$6,'Job Master'!$F$12:$I$102,4,0))&lt;&gt;7,AW59-VLOOKUP($P59&amp;" | "&amp;AN$6,'Job Master'!$F$12:$I$102,4,0),AW59-VLOOKUP($P59&amp;" | "&amp;AN$6,'Job Master'!$F$12:$I$102,4,0)-1),""),"")</f>
        <v/>
      </c>
      <c r="AQ59" s="73"/>
      <c r="AR59" s="123" t="str">
        <f t="shared" si="16"/>
        <v/>
      </c>
      <c r="AS59" s="123" t="str">
        <f t="shared" si="17"/>
        <v/>
      </c>
      <c r="AT59" s="97" t="str">
        <f t="shared" ca="1" si="18"/>
        <v/>
      </c>
      <c r="AU59" s="98" t="str">
        <f>IF(AW59&lt;&gt;"",VLOOKUP($P59&amp;" | "&amp;AU$6,'Job Master'!$F$12:$J$102,5,0),"")</f>
        <v/>
      </c>
      <c r="AV59" s="19" t="str">
        <f>IF(AW59&lt;&gt;"",VLOOKUP($P59&amp;" | "&amp;AU$6,'Job Master'!$F$12:$J$102,3,0),"")</f>
        <v/>
      </c>
      <c r="AW59" s="19" t="str">
        <f>IFERROR(IF(AND(BD59&lt;&gt;"",VLOOKUP($P59&amp;" | "&amp;AU$6,'Job Master'!$F$12:$I$102,4,0)&lt;&gt;""),IF(WEEKDAY(BD59-VLOOKUP($P59&amp;" | "&amp;AU$6,'Job Master'!$F$12:$I$102,4,0))&lt;&gt;7,BD59-VLOOKUP($P59&amp;" | "&amp;AU$6,'Job Master'!$F$12:$I$102,4,0),BD59-VLOOKUP($P59&amp;" | "&amp;AU$6,'Job Master'!$F$12:$I$102,4,0)-1),""),"")</f>
        <v/>
      </c>
      <c r="AX59" s="73"/>
      <c r="AY59" s="123" t="str">
        <f t="shared" si="19"/>
        <v/>
      </c>
      <c r="AZ59" s="123" t="str">
        <f t="shared" si="20"/>
        <v/>
      </c>
      <c r="BA59" s="97" t="str">
        <f t="shared" ca="1" si="21"/>
        <v/>
      </c>
      <c r="BB59" s="98" t="str">
        <f>IF(BD59&lt;&gt;"",VLOOKUP($P59&amp;" | "&amp;BB$6,'Job Master'!$F$12:$J$102,5,0),"")</f>
        <v/>
      </c>
      <c r="BC59" s="19" t="str">
        <f>IF(BD59&lt;&gt;"",VLOOKUP($P59&amp;" | "&amp;BB$6,'Job Master'!$F$12:$J$102,3,0),"")</f>
        <v/>
      </c>
      <c r="BD59" s="19" t="str">
        <f>IFERROR(IF(AND(BK59&lt;&gt;"",VLOOKUP($P59&amp;" | "&amp;BB$6,'Job Master'!$F$12:$I$102,4,0)&lt;&gt;""),IF(WEEKDAY(BK59-VLOOKUP($P59&amp;" | "&amp;BB$6,'Job Master'!$F$12:$I$102,4,0))&lt;&gt;7,BK59-VLOOKUP($P59&amp;" | "&amp;BB$6,'Job Master'!$F$12:$I$102,4,0),BK59-VLOOKUP($P59&amp;" | "&amp;BB$6,'Job Master'!$F$12:$I$102,4,0)-1),""),"")</f>
        <v/>
      </c>
      <c r="BE59" s="73"/>
      <c r="BF59" s="123" t="str">
        <f t="shared" si="22"/>
        <v/>
      </c>
      <c r="BG59" s="123" t="str">
        <f t="shared" si="23"/>
        <v/>
      </c>
      <c r="BH59" s="97" t="str">
        <f t="shared" ca="1" si="24"/>
        <v/>
      </c>
      <c r="BI59" s="98" t="str">
        <f>IF(BK59&lt;&gt;"",VLOOKUP($P59&amp;" | "&amp;BI$6,'Job Master'!$F$12:$J$102,5,0),"")</f>
        <v/>
      </c>
      <c r="BJ59" s="19" t="str">
        <f>IF(BK59&lt;&gt;"",VLOOKUP($P59&amp;" | "&amp;BI$6,'Job Master'!$F$12:$J$102,3,0),"")</f>
        <v/>
      </c>
      <c r="BK59" s="19" t="str">
        <f>IFERROR(IF(AND(BR59&lt;&gt;"",VLOOKUP($P59&amp;" | "&amp;BI$6,'Job Master'!$F$12:$I$102,4,0)&lt;&gt;""),IF(WEEKDAY(BR59-VLOOKUP($P59&amp;" | "&amp;BI$6,'Job Master'!$F$12:$I$102,4,0))&lt;&gt;7,BR59-VLOOKUP($P59&amp;" | "&amp;BI$6,'Job Master'!$F$12:$I$102,4,0),BR59-VLOOKUP($P59&amp;" | "&amp;BI$6,'Job Master'!$F$12:$I$102,4,0)-1),""),"")</f>
        <v/>
      </c>
      <c r="BL59" s="73"/>
      <c r="BM59" s="123" t="str">
        <f t="shared" si="25"/>
        <v/>
      </c>
      <c r="BN59" s="123" t="str">
        <f t="shared" si="26"/>
        <v/>
      </c>
      <c r="BO59" s="97" t="str">
        <f t="shared" ca="1" si="27"/>
        <v/>
      </c>
      <c r="BP59" s="98" t="str">
        <f>IF(BR59&lt;&gt;"",VLOOKUP($P59&amp;" | "&amp;BP$6,'Job Master'!$F$12:$J$102,5,0),"")</f>
        <v/>
      </c>
      <c r="BQ59" s="19" t="str">
        <f>IF(BR59&lt;&gt;"",VLOOKUP($P59&amp;" | "&amp;BP$6,'Job Master'!$F$12:$J$102,3,0),"")</f>
        <v/>
      </c>
      <c r="BR59" s="19" t="str">
        <f>IFERROR(IF(AND(BY59&lt;&gt;"",VLOOKUP($P59&amp;" | "&amp;BP$6,'Job Master'!$F$12:$I$102,4,0)&lt;&gt;""),IF(WEEKDAY(BY59-VLOOKUP($P59&amp;" | "&amp;BP$6,'Job Master'!$F$12:$I$102,4,0))&lt;&gt;7,BY59-VLOOKUP($P59&amp;" | "&amp;BP$6,'Job Master'!$F$12:$I$102,4,0),BY59-VLOOKUP($P59&amp;" | "&amp;BP$6,'Job Master'!$F$12:$I$102,4,0)-1),""),"")</f>
        <v/>
      </c>
      <c r="BS59" s="73"/>
      <c r="BT59" s="123" t="str">
        <f t="shared" si="28"/>
        <v/>
      </c>
      <c r="BU59" s="123" t="str">
        <f t="shared" si="29"/>
        <v/>
      </c>
      <c r="BV59" s="97" t="str">
        <f t="shared" ca="1" si="30"/>
        <v/>
      </c>
      <c r="BW59" s="98" t="str">
        <f>IF(BY59&lt;&gt;"",VLOOKUP($P59&amp;" | "&amp;BW$6,'Job Master'!$F$12:$J$102,5,0),"")</f>
        <v/>
      </c>
      <c r="BX59" s="19" t="str">
        <f>IF(BY59&lt;&gt;"",VLOOKUP($P59&amp;" | "&amp;BW$6,'Job Master'!$F$12:$J$102,3,0),"")</f>
        <v/>
      </c>
      <c r="BY59" s="19" t="str">
        <f>IFERROR(IF(AND(CF59&lt;&gt;"",VLOOKUP($P59&amp;" | "&amp;BW$6,'Job Master'!$F$12:$I$102,4,0)&lt;&gt;""),IF(WEEKDAY(CF59-VLOOKUP($P59&amp;" | "&amp;BW$6,'Job Master'!$F$12:$I$102,4,0))&lt;&gt;7,CF59-VLOOKUP($P59&amp;" | "&amp;BW$6,'Job Master'!$F$12:$I$102,4,0),CF59-VLOOKUP($P59&amp;" | "&amp;BW$6,'Job Master'!$F$12:$I$102,4,0)-1),""),"")</f>
        <v/>
      </c>
      <c r="BZ59" s="73"/>
      <c r="CA59" s="123" t="str">
        <f t="shared" si="31"/>
        <v/>
      </c>
      <c r="CB59" s="123" t="str">
        <f t="shared" si="32"/>
        <v/>
      </c>
      <c r="CC59" s="97" t="str">
        <f t="shared" ca="1" si="33"/>
        <v/>
      </c>
      <c r="CD59" s="98" t="str">
        <f>IF(CF59&lt;&gt;"",VLOOKUP($P59&amp;" | "&amp;CD$6,'Job Master'!$F$12:$J$102,5,0),"")</f>
        <v/>
      </c>
      <c r="CE59" s="19" t="str">
        <f>IF(CF59&lt;&gt;"",VLOOKUP($P59&amp;" | "&amp;CD$6,'Job Master'!$F$12:$J$102,3,0),"")</f>
        <v/>
      </c>
      <c r="CF59" s="19" t="str">
        <f>IFERROR(IF(AND(CM59&lt;&gt;"",VLOOKUP($P59&amp;" | "&amp;CD$6,'Job Master'!$F$12:$I$102,4,0)&lt;&gt;""),IF(WEEKDAY(CM59-VLOOKUP($P59&amp;" | "&amp;CD$6,'Job Master'!$F$12:$I$102,4,0))&lt;&gt;7,CM59-VLOOKUP($P59&amp;" | "&amp;CD$6,'Job Master'!$F$12:$I$102,4,0),CM59-VLOOKUP($P59&amp;" | "&amp;CD$6,'Job Master'!$F$12:$I$102,4,0)-1),""),"")</f>
        <v/>
      </c>
      <c r="CG59" s="73"/>
      <c r="CH59" s="123" t="str">
        <f t="shared" si="34"/>
        <v/>
      </c>
      <c r="CI59" s="123" t="str">
        <f t="shared" si="35"/>
        <v/>
      </c>
      <c r="CJ59" s="97" t="str">
        <f t="shared" ca="1" si="36"/>
        <v/>
      </c>
      <c r="CK59" s="98" t="str">
        <f>IF(CM59&lt;&gt;"",VLOOKUP($P59&amp;" | "&amp;CK$6,'Job Master'!$F$12:$J$102,5,0),"")</f>
        <v/>
      </c>
      <c r="CL59" s="19" t="str">
        <f>IF(CM59&lt;&gt;"",VLOOKUP($P59&amp;" | "&amp;CK$6,'Job Master'!$F$12:$J$102,3,0),"")</f>
        <v/>
      </c>
      <c r="CM59" s="19" t="str">
        <f>IFERROR(IF(AND(CT59&lt;&gt;"",VLOOKUP($P59&amp;" | "&amp;CK$6,'Job Master'!$F$12:$I$102,4,0)&lt;&gt;""),IF(WEEKDAY(CT59-VLOOKUP($P59&amp;" | "&amp;CK$6,'Job Master'!$F$12:$I$102,4,0))&lt;&gt;7,CT59-VLOOKUP($P59&amp;" | "&amp;CK$6,'Job Master'!$F$12:$I$102,4,0),CT59-VLOOKUP($P59&amp;" | "&amp;CK$6,'Job Master'!$F$12:$I$102,4,0)-1),""),"")</f>
        <v/>
      </c>
      <c r="CN59" s="73"/>
      <c r="CO59" s="123" t="str">
        <f t="shared" si="37"/>
        <v/>
      </c>
      <c r="CP59" s="123" t="str">
        <f t="shared" si="38"/>
        <v/>
      </c>
      <c r="CQ59" s="97" t="str">
        <f t="shared" ca="1" si="39"/>
        <v/>
      </c>
      <c r="CR59" s="98" t="str">
        <f>IF(CT59&lt;&gt;"",VLOOKUP($P59&amp;" | "&amp;CR$6,'Job Master'!$F$12:$J$102,5,0),"")</f>
        <v/>
      </c>
      <c r="CS59" s="19" t="str">
        <f>IF(CT59&lt;&gt;"",VLOOKUP($P59&amp;" | "&amp;CR$6,'Job Master'!$F$12:$J$102,3,0),"")</f>
        <v/>
      </c>
      <c r="CT59" s="19" t="str">
        <f>IFERROR(IF(AND(DA59&lt;&gt;"",VLOOKUP($P59&amp;" | "&amp;CR$6,'Job Master'!$F$12:$I$102,4,0)&lt;&gt;""),IF(WEEKDAY(DA59-VLOOKUP($P59&amp;" | "&amp;CR$6,'Job Master'!$F$12:$I$102,4,0))&lt;&gt;7,DA59-VLOOKUP($P59&amp;" | "&amp;CR$6,'Job Master'!$F$12:$I$102,4,0),DA59-VLOOKUP($P59&amp;" | "&amp;CR$6,'Job Master'!$F$12:$I$102,4,0)-1),""),"")</f>
        <v/>
      </c>
      <c r="CU59" s="73"/>
      <c r="CV59" s="123" t="str">
        <f t="shared" si="40"/>
        <v/>
      </c>
      <c r="CW59" s="123" t="str">
        <f t="shared" si="41"/>
        <v/>
      </c>
      <c r="CX59" s="97" t="str">
        <f t="shared" ca="1" si="42"/>
        <v/>
      </c>
      <c r="CY59" s="98" t="str">
        <f>IF(DA59&lt;&gt;"",VLOOKUP($P59&amp;" | "&amp;CY$6,'Job Master'!$F$12:$J$102,5,0),"")</f>
        <v/>
      </c>
      <c r="CZ59" s="19" t="str">
        <f>IF(DA59&lt;&gt;"",VLOOKUP($P59&amp;" | "&amp;CY$6,'Job Master'!$F$12:$J$102,3,0),"")</f>
        <v/>
      </c>
      <c r="DA59" s="19" t="str">
        <f>IFERROR(IF(AND(DH59&lt;&gt;"",VLOOKUP($P59&amp;" | "&amp;CY$6,'Job Master'!$F$12:$I$102,4,0)&lt;&gt;""),IF(WEEKDAY(DH59-VLOOKUP($P59&amp;" | "&amp;CY$6,'Job Master'!$F$12:$I$102,4,0))&lt;&gt;7,DH59-VLOOKUP($P59&amp;" | "&amp;CY$6,'Job Master'!$F$12:$I$102,4,0),DH59-VLOOKUP($P59&amp;" | "&amp;CY$6,'Job Master'!$F$12:$I$102,4,0)-1),""),"")</f>
        <v/>
      </c>
      <c r="DB59" s="73"/>
      <c r="DC59" s="123" t="str">
        <f t="shared" si="43"/>
        <v/>
      </c>
      <c r="DD59" s="123" t="str">
        <f t="shared" si="44"/>
        <v/>
      </c>
      <c r="DE59" s="97" t="str">
        <f t="shared" ca="1" si="45"/>
        <v/>
      </c>
      <c r="DF59" s="98" t="str">
        <f>IF(DH59&lt;&gt;"",VLOOKUP($P59&amp;" | "&amp;DF$6,'Job Master'!$F$12:$J$102,5,0),"")</f>
        <v/>
      </c>
      <c r="DG59" s="19" t="str">
        <f>IF(DH59&lt;&gt;"",VLOOKUP($P59&amp;" | "&amp;DF$6,'Job Master'!$F$12:$J$102,3,0),"")</f>
        <v/>
      </c>
      <c r="DH59" s="19" t="str">
        <f>IFERROR(IF(AND(DO59&lt;&gt;"",VLOOKUP($P59&amp;" | "&amp;DF$6,'Job Master'!$F$12:$I$102,4,0)&lt;&gt;""),IF(WEEKDAY(DO59-VLOOKUP($P59&amp;" | "&amp;DF$6,'Job Master'!$F$12:$I$102,4,0))&lt;&gt;7,DO59-VLOOKUP($P59&amp;" | "&amp;DF$6,'Job Master'!$F$12:$I$102,4,0),DO59-VLOOKUP($P59&amp;" | "&amp;DF$6,'Job Master'!$F$12:$I$102,4,0)-1),""),"")</f>
        <v/>
      </c>
      <c r="DI59" s="73"/>
      <c r="DJ59" s="123" t="str">
        <f t="shared" si="46"/>
        <v/>
      </c>
      <c r="DK59" s="123" t="str">
        <f t="shared" si="47"/>
        <v/>
      </c>
      <c r="DL59" s="97" t="str">
        <f t="shared" ca="1" si="48"/>
        <v/>
      </c>
      <c r="DM59" s="98" t="str">
        <f>IF(DO59&lt;&gt;"",VLOOKUP($P59&amp;" | "&amp;DM$6,'Job Master'!$F$12:$J$102,5,0),"")</f>
        <v/>
      </c>
      <c r="DN59" s="19" t="str">
        <f>IF(DO59&lt;&gt;"",VLOOKUP($P59&amp;" | "&amp;DM$6,'Job Master'!$F$12:$J$102,3,0),"")</f>
        <v/>
      </c>
      <c r="DO59" s="19" t="str">
        <f>IFERROR(IF(AND(DT59&lt;&gt;"",VLOOKUP($P59&amp;" | "&amp;DM$6,'Job Master'!$F$12:$I$102,4,0)&lt;&gt;""),IF(WEEKDAY(DT59-VLOOKUP($P59&amp;" | "&amp;DM$6,'Job Master'!$F$12:$I$102,4,0))&lt;&gt;7,DT59-VLOOKUP($P59&amp;" | "&amp;DM$6,'Job Master'!$F$12:$I$102,4,0),DT59-VLOOKUP($P59&amp;" | "&amp;DM$6,'Job Master'!$F$12:$I$102,4,0)-1),""),"")</f>
        <v/>
      </c>
      <c r="DP59" s="73"/>
      <c r="DQ59" s="123" t="str">
        <f t="shared" si="49"/>
        <v/>
      </c>
      <c r="DR59" s="123" t="str">
        <f t="shared" si="50"/>
        <v/>
      </c>
      <c r="DS59" s="97" t="str">
        <f t="shared" ca="1" si="51"/>
        <v/>
      </c>
      <c r="DT59" s="70" t="str">
        <f t="shared" si="52"/>
        <v/>
      </c>
      <c r="DU59" s="90"/>
      <c r="DV59" s="123" t="str">
        <f t="shared" si="53"/>
        <v/>
      </c>
      <c r="DW59" s="123" t="str">
        <f t="shared" si="54"/>
        <v/>
      </c>
      <c r="DX59" s="132" t="str">
        <f t="shared" ref="DX59" ca="1" si="120">IF(DT59&lt;&gt;"",IF(WEEKNUM(DT59)=WEEKNUM(TODAY()),"This Week",IF(WEEKNUM(DT59)=WEEKNUM(TODAY())+1,"Next Week",IF(WEEKNUM(DT59)=WEEKNUM(TODAY())-1,"Previous Week",""))),"")</f>
        <v/>
      </c>
      <c r="DY59" s="134" t="str">
        <f t="shared" si="56"/>
        <v/>
      </c>
      <c r="DZ59" s="95"/>
      <c r="EB59" s="8" t="str">
        <f t="shared" si="67"/>
        <v/>
      </c>
      <c r="EC59" s="8" t="str">
        <f>IF(O59&lt;&gt;"",VLOOKUP(O59,'Job Master'!$N$12:$O$18,2,0),"")</f>
        <v/>
      </c>
      <c r="ED59" s="8">
        <f t="shared" si="68"/>
        <v>19.5</v>
      </c>
      <c r="EE59" s="8">
        <f t="shared" si="69"/>
        <v>6</v>
      </c>
      <c r="EF59" s="8">
        <f t="shared" si="70"/>
        <v>-274.5</v>
      </c>
      <c r="EG59" s="8" t="str">
        <f t="shared" si="71"/>
        <v/>
      </c>
      <c r="EH59" s="8" t="str">
        <f t="shared" si="72"/>
        <v/>
      </c>
    </row>
    <row r="60" spans="2:138" x14ac:dyDescent="0.3">
      <c r="B60" s="112"/>
      <c r="C60" s="27"/>
      <c r="D60" s="7" t="str">
        <f t="shared" si="1"/>
        <v/>
      </c>
      <c r="E60" s="25"/>
      <c r="F60" s="7" t="str">
        <f t="shared" si="1"/>
        <v/>
      </c>
      <c r="G60" s="25"/>
      <c r="H60" s="7" t="str">
        <f t="shared" si="1"/>
        <v/>
      </c>
      <c r="I60" s="25"/>
      <c r="J60" s="7" t="str">
        <f t="shared" si="1"/>
        <v/>
      </c>
      <c r="K60" s="25"/>
      <c r="L60" s="7" t="str">
        <f t="shared" si="2"/>
        <v/>
      </c>
      <c r="M60" s="25"/>
      <c r="N60" s="7" t="str">
        <f t="shared" si="3"/>
        <v/>
      </c>
      <c r="O60" s="81"/>
      <c r="P60" s="81" t="str">
        <f t="shared" si="4"/>
        <v/>
      </c>
      <c r="Q60" s="81"/>
      <c r="R60" s="7" t="str">
        <f t="shared" si="5"/>
        <v/>
      </c>
      <c r="S60" s="25"/>
      <c r="T60" s="7" t="str">
        <f t="shared" si="6"/>
        <v/>
      </c>
      <c r="U60" s="25"/>
      <c r="V60" s="7" t="str">
        <f t="shared" si="7"/>
        <v/>
      </c>
      <c r="W60" s="25"/>
      <c r="X60" s="7" t="str">
        <f t="shared" si="8"/>
        <v/>
      </c>
      <c r="Y60" s="18" t="str">
        <f t="shared" si="9"/>
        <v/>
      </c>
      <c r="Z60" s="7" t="str">
        <f t="shared" si="10"/>
        <v/>
      </c>
      <c r="AA60" s="18" t="str">
        <f t="shared" si="11"/>
        <v/>
      </c>
      <c r="AB60" s="19" t="str">
        <f t="shared" si="12"/>
        <v/>
      </c>
      <c r="AC60" s="26"/>
      <c r="AD60" s="26"/>
      <c r="AE60" s="25"/>
      <c r="AF60" s="26"/>
      <c r="AG60" s="25"/>
      <c r="AH60" s="25"/>
      <c r="AI60" s="18" t="str">
        <f t="shared" si="83"/>
        <v/>
      </c>
      <c r="AJ60" s="25"/>
      <c r="AK60" s="18" t="str">
        <f t="shared" si="84"/>
        <v/>
      </c>
      <c r="AL60" s="79"/>
      <c r="AM60" s="126" t="str">
        <f t="shared" si="85"/>
        <v/>
      </c>
      <c r="AN60" s="128" t="str">
        <f>IF(AP60&lt;&gt;"",VLOOKUP($P60&amp;" | "&amp;AN$6,'Job Master'!$F$12:$J$102,5,0),"")</f>
        <v/>
      </c>
      <c r="AO60" s="19" t="str">
        <f>IF(AP60&lt;&gt;"",VLOOKUP($P60&amp;" | "&amp;AN$6,'Job Master'!$F$12:$J$102,3,0),"")</f>
        <v/>
      </c>
      <c r="AP60" s="19" t="str">
        <f>IFERROR(IF(AND(AW60&lt;&gt;"",VLOOKUP($P60&amp;" | "&amp;AN$6,'Job Master'!$F$12:$I$102,4,0)&lt;&gt;""),IF(WEEKDAY(AW60-VLOOKUP($P60&amp;" | "&amp;AN$6,'Job Master'!$F$12:$I$102,4,0))&lt;&gt;7,AW60-VLOOKUP($P60&amp;" | "&amp;AN$6,'Job Master'!$F$12:$I$102,4,0),AW60-VLOOKUP($P60&amp;" | "&amp;AN$6,'Job Master'!$F$12:$I$102,4,0)-1),""),"")</f>
        <v/>
      </c>
      <c r="AQ60" s="73"/>
      <c r="AR60" s="123" t="str">
        <f t="shared" si="16"/>
        <v/>
      </c>
      <c r="AS60" s="123" t="str">
        <f t="shared" si="17"/>
        <v/>
      </c>
      <c r="AT60" s="97" t="str">
        <f t="shared" ca="1" si="18"/>
        <v/>
      </c>
      <c r="AU60" s="98" t="str">
        <f>IF(AW60&lt;&gt;"",VLOOKUP($P60&amp;" | "&amp;AU$6,'Job Master'!$F$12:$J$102,5,0),"")</f>
        <v/>
      </c>
      <c r="AV60" s="19" t="str">
        <f>IF(AW60&lt;&gt;"",VLOOKUP($P60&amp;" | "&amp;AU$6,'Job Master'!$F$12:$J$102,3,0),"")</f>
        <v/>
      </c>
      <c r="AW60" s="19" t="str">
        <f>IFERROR(IF(AND(BD60&lt;&gt;"",VLOOKUP($P60&amp;" | "&amp;AU$6,'Job Master'!$F$12:$I$102,4,0)&lt;&gt;""),IF(WEEKDAY(BD60-VLOOKUP($P60&amp;" | "&amp;AU$6,'Job Master'!$F$12:$I$102,4,0))&lt;&gt;7,BD60-VLOOKUP($P60&amp;" | "&amp;AU$6,'Job Master'!$F$12:$I$102,4,0),BD60-VLOOKUP($P60&amp;" | "&amp;AU$6,'Job Master'!$F$12:$I$102,4,0)-1),""),"")</f>
        <v/>
      </c>
      <c r="AX60" s="73"/>
      <c r="AY60" s="123" t="str">
        <f t="shared" si="19"/>
        <v/>
      </c>
      <c r="AZ60" s="123" t="str">
        <f t="shared" si="20"/>
        <v/>
      </c>
      <c r="BA60" s="97" t="str">
        <f t="shared" ca="1" si="21"/>
        <v/>
      </c>
      <c r="BB60" s="98" t="str">
        <f>IF(BD60&lt;&gt;"",VLOOKUP($P60&amp;" | "&amp;BB$6,'Job Master'!$F$12:$J$102,5,0),"")</f>
        <v/>
      </c>
      <c r="BC60" s="19" t="str">
        <f>IF(BD60&lt;&gt;"",VLOOKUP($P60&amp;" | "&amp;BB$6,'Job Master'!$F$12:$J$102,3,0),"")</f>
        <v/>
      </c>
      <c r="BD60" s="19" t="str">
        <f>IFERROR(IF(AND(BK60&lt;&gt;"",VLOOKUP($P60&amp;" | "&amp;BB$6,'Job Master'!$F$12:$I$102,4,0)&lt;&gt;""),IF(WEEKDAY(BK60-VLOOKUP($P60&amp;" | "&amp;BB$6,'Job Master'!$F$12:$I$102,4,0))&lt;&gt;7,BK60-VLOOKUP($P60&amp;" | "&amp;BB$6,'Job Master'!$F$12:$I$102,4,0),BK60-VLOOKUP($P60&amp;" | "&amp;BB$6,'Job Master'!$F$12:$I$102,4,0)-1),""),"")</f>
        <v/>
      </c>
      <c r="BE60" s="73"/>
      <c r="BF60" s="123" t="str">
        <f t="shared" si="22"/>
        <v/>
      </c>
      <c r="BG60" s="123" t="str">
        <f t="shared" si="23"/>
        <v/>
      </c>
      <c r="BH60" s="97" t="str">
        <f t="shared" ca="1" si="24"/>
        <v/>
      </c>
      <c r="BI60" s="98" t="str">
        <f>IF(BK60&lt;&gt;"",VLOOKUP($P60&amp;" | "&amp;BI$6,'Job Master'!$F$12:$J$102,5,0),"")</f>
        <v/>
      </c>
      <c r="BJ60" s="19" t="str">
        <f>IF(BK60&lt;&gt;"",VLOOKUP($P60&amp;" | "&amp;BI$6,'Job Master'!$F$12:$J$102,3,0),"")</f>
        <v/>
      </c>
      <c r="BK60" s="19" t="str">
        <f>IFERROR(IF(AND(BR60&lt;&gt;"",VLOOKUP($P60&amp;" | "&amp;BI$6,'Job Master'!$F$12:$I$102,4,0)&lt;&gt;""),IF(WEEKDAY(BR60-VLOOKUP($P60&amp;" | "&amp;BI$6,'Job Master'!$F$12:$I$102,4,0))&lt;&gt;7,BR60-VLOOKUP($P60&amp;" | "&amp;BI$6,'Job Master'!$F$12:$I$102,4,0),BR60-VLOOKUP($P60&amp;" | "&amp;BI$6,'Job Master'!$F$12:$I$102,4,0)-1),""),"")</f>
        <v/>
      </c>
      <c r="BL60" s="73"/>
      <c r="BM60" s="123" t="str">
        <f t="shared" si="25"/>
        <v/>
      </c>
      <c r="BN60" s="123" t="str">
        <f t="shared" si="26"/>
        <v/>
      </c>
      <c r="BO60" s="97" t="str">
        <f t="shared" ca="1" si="27"/>
        <v/>
      </c>
      <c r="BP60" s="98" t="str">
        <f>IF(BR60&lt;&gt;"",VLOOKUP($P60&amp;" | "&amp;BP$6,'Job Master'!$F$12:$J$102,5,0),"")</f>
        <v/>
      </c>
      <c r="BQ60" s="19" t="str">
        <f>IF(BR60&lt;&gt;"",VLOOKUP($P60&amp;" | "&amp;BP$6,'Job Master'!$F$12:$J$102,3,0),"")</f>
        <v/>
      </c>
      <c r="BR60" s="19" t="str">
        <f>IFERROR(IF(AND(BY60&lt;&gt;"",VLOOKUP($P60&amp;" | "&amp;BP$6,'Job Master'!$F$12:$I$102,4,0)&lt;&gt;""),IF(WEEKDAY(BY60-VLOOKUP($P60&amp;" | "&amp;BP$6,'Job Master'!$F$12:$I$102,4,0))&lt;&gt;7,BY60-VLOOKUP($P60&amp;" | "&amp;BP$6,'Job Master'!$F$12:$I$102,4,0),BY60-VLOOKUP($P60&amp;" | "&amp;BP$6,'Job Master'!$F$12:$I$102,4,0)-1),""),"")</f>
        <v/>
      </c>
      <c r="BS60" s="73"/>
      <c r="BT60" s="123" t="str">
        <f t="shared" si="28"/>
        <v/>
      </c>
      <c r="BU60" s="123" t="str">
        <f t="shared" si="29"/>
        <v/>
      </c>
      <c r="BV60" s="97" t="str">
        <f t="shared" ca="1" si="30"/>
        <v/>
      </c>
      <c r="BW60" s="98" t="str">
        <f>IF(BY60&lt;&gt;"",VLOOKUP($P60&amp;" | "&amp;BW$6,'Job Master'!$F$12:$J$102,5,0),"")</f>
        <v/>
      </c>
      <c r="BX60" s="19" t="str">
        <f>IF(BY60&lt;&gt;"",VLOOKUP($P60&amp;" | "&amp;BW$6,'Job Master'!$F$12:$J$102,3,0),"")</f>
        <v/>
      </c>
      <c r="BY60" s="19" t="str">
        <f>IFERROR(IF(AND(CF60&lt;&gt;"",VLOOKUP($P60&amp;" | "&amp;BW$6,'Job Master'!$F$12:$I$102,4,0)&lt;&gt;""),IF(WEEKDAY(CF60-VLOOKUP($P60&amp;" | "&amp;BW$6,'Job Master'!$F$12:$I$102,4,0))&lt;&gt;7,CF60-VLOOKUP($P60&amp;" | "&amp;BW$6,'Job Master'!$F$12:$I$102,4,0),CF60-VLOOKUP($P60&amp;" | "&amp;BW$6,'Job Master'!$F$12:$I$102,4,0)-1),""),"")</f>
        <v/>
      </c>
      <c r="BZ60" s="73"/>
      <c r="CA60" s="123" t="str">
        <f t="shared" si="31"/>
        <v/>
      </c>
      <c r="CB60" s="123" t="str">
        <f t="shared" si="32"/>
        <v/>
      </c>
      <c r="CC60" s="97" t="str">
        <f t="shared" ca="1" si="33"/>
        <v/>
      </c>
      <c r="CD60" s="98" t="str">
        <f>IF(CF60&lt;&gt;"",VLOOKUP($P60&amp;" | "&amp;CD$6,'Job Master'!$F$12:$J$102,5,0),"")</f>
        <v/>
      </c>
      <c r="CE60" s="19" t="str">
        <f>IF(CF60&lt;&gt;"",VLOOKUP($P60&amp;" | "&amp;CD$6,'Job Master'!$F$12:$J$102,3,0),"")</f>
        <v/>
      </c>
      <c r="CF60" s="19" t="str">
        <f>IFERROR(IF(AND(CM60&lt;&gt;"",VLOOKUP($P60&amp;" | "&amp;CD$6,'Job Master'!$F$12:$I$102,4,0)&lt;&gt;""),IF(WEEKDAY(CM60-VLOOKUP($P60&amp;" | "&amp;CD$6,'Job Master'!$F$12:$I$102,4,0))&lt;&gt;7,CM60-VLOOKUP($P60&amp;" | "&amp;CD$6,'Job Master'!$F$12:$I$102,4,0),CM60-VLOOKUP($P60&amp;" | "&amp;CD$6,'Job Master'!$F$12:$I$102,4,0)-1),""),"")</f>
        <v/>
      </c>
      <c r="CG60" s="73"/>
      <c r="CH60" s="123" t="str">
        <f t="shared" si="34"/>
        <v/>
      </c>
      <c r="CI60" s="123" t="str">
        <f t="shared" si="35"/>
        <v/>
      </c>
      <c r="CJ60" s="97" t="str">
        <f t="shared" ca="1" si="36"/>
        <v/>
      </c>
      <c r="CK60" s="98" t="str">
        <f>IF(CM60&lt;&gt;"",VLOOKUP($P60&amp;" | "&amp;CK$6,'Job Master'!$F$12:$J$102,5,0),"")</f>
        <v/>
      </c>
      <c r="CL60" s="19" t="str">
        <f>IF(CM60&lt;&gt;"",VLOOKUP($P60&amp;" | "&amp;CK$6,'Job Master'!$F$12:$J$102,3,0),"")</f>
        <v/>
      </c>
      <c r="CM60" s="19" t="str">
        <f>IFERROR(IF(AND(CT60&lt;&gt;"",VLOOKUP($P60&amp;" | "&amp;CK$6,'Job Master'!$F$12:$I$102,4,0)&lt;&gt;""),IF(WEEKDAY(CT60-VLOOKUP($P60&amp;" | "&amp;CK$6,'Job Master'!$F$12:$I$102,4,0))&lt;&gt;7,CT60-VLOOKUP($P60&amp;" | "&amp;CK$6,'Job Master'!$F$12:$I$102,4,0),CT60-VLOOKUP($P60&amp;" | "&amp;CK$6,'Job Master'!$F$12:$I$102,4,0)-1),""),"")</f>
        <v/>
      </c>
      <c r="CN60" s="73"/>
      <c r="CO60" s="123" t="str">
        <f t="shared" si="37"/>
        <v/>
      </c>
      <c r="CP60" s="123" t="str">
        <f t="shared" si="38"/>
        <v/>
      </c>
      <c r="CQ60" s="97" t="str">
        <f t="shared" ca="1" si="39"/>
        <v/>
      </c>
      <c r="CR60" s="98" t="str">
        <f>IF(CT60&lt;&gt;"",VLOOKUP($P60&amp;" | "&amp;CR$6,'Job Master'!$F$12:$J$102,5,0),"")</f>
        <v/>
      </c>
      <c r="CS60" s="19" t="str">
        <f>IF(CT60&lt;&gt;"",VLOOKUP($P60&amp;" | "&amp;CR$6,'Job Master'!$F$12:$J$102,3,0),"")</f>
        <v/>
      </c>
      <c r="CT60" s="19" t="str">
        <f>IFERROR(IF(AND(DA60&lt;&gt;"",VLOOKUP($P60&amp;" | "&amp;CR$6,'Job Master'!$F$12:$I$102,4,0)&lt;&gt;""),IF(WEEKDAY(DA60-VLOOKUP($P60&amp;" | "&amp;CR$6,'Job Master'!$F$12:$I$102,4,0))&lt;&gt;7,DA60-VLOOKUP($P60&amp;" | "&amp;CR$6,'Job Master'!$F$12:$I$102,4,0),DA60-VLOOKUP($P60&amp;" | "&amp;CR$6,'Job Master'!$F$12:$I$102,4,0)-1),""),"")</f>
        <v/>
      </c>
      <c r="CU60" s="73"/>
      <c r="CV60" s="123" t="str">
        <f t="shared" si="40"/>
        <v/>
      </c>
      <c r="CW60" s="123" t="str">
        <f t="shared" si="41"/>
        <v/>
      </c>
      <c r="CX60" s="97" t="str">
        <f t="shared" ca="1" si="42"/>
        <v/>
      </c>
      <c r="CY60" s="98" t="str">
        <f>IF(DA60&lt;&gt;"",VLOOKUP($P60&amp;" | "&amp;CY$6,'Job Master'!$F$12:$J$102,5,0),"")</f>
        <v/>
      </c>
      <c r="CZ60" s="19" t="str">
        <f>IF(DA60&lt;&gt;"",VLOOKUP($P60&amp;" | "&amp;CY$6,'Job Master'!$F$12:$J$102,3,0),"")</f>
        <v/>
      </c>
      <c r="DA60" s="19" t="str">
        <f>IFERROR(IF(AND(DH60&lt;&gt;"",VLOOKUP($P60&amp;" | "&amp;CY$6,'Job Master'!$F$12:$I$102,4,0)&lt;&gt;""),IF(WEEKDAY(DH60-VLOOKUP($P60&amp;" | "&amp;CY$6,'Job Master'!$F$12:$I$102,4,0))&lt;&gt;7,DH60-VLOOKUP($P60&amp;" | "&amp;CY$6,'Job Master'!$F$12:$I$102,4,0),DH60-VLOOKUP($P60&amp;" | "&amp;CY$6,'Job Master'!$F$12:$I$102,4,0)-1),""),"")</f>
        <v/>
      </c>
      <c r="DB60" s="73"/>
      <c r="DC60" s="123" t="str">
        <f t="shared" si="43"/>
        <v/>
      </c>
      <c r="DD60" s="123" t="str">
        <f t="shared" si="44"/>
        <v/>
      </c>
      <c r="DE60" s="97" t="str">
        <f t="shared" ca="1" si="45"/>
        <v/>
      </c>
      <c r="DF60" s="98" t="str">
        <f>IF(DH60&lt;&gt;"",VLOOKUP($P60&amp;" | "&amp;DF$6,'Job Master'!$F$12:$J$102,5,0),"")</f>
        <v/>
      </c>
      <c r="DG60" s="19" t="str">
        <f>IF(DH60&lt;&gt;"",VLOOKUP($P60&amp;" | "&amp;DF$6,'Job Master'!$F$12:$J$102,3,0),"")</f>
        <v/>
      </c>
      <c r="DH60" s="19" t="str">
        <f>IFERROR(IF(AND(DO60&lt;&gt;"",VLOOKUP($P60&amp;" | "&amp;DF$6,'Job Master'!$F$12:$I$102,4,0)&lt;&gt;""),IF(WEEKDAY(DO60-VLOOKUP($P60&amp;" | "&amp;DF$6,'Job Master'!$F$12:$I$102,4,0))&lt;&gt;7,DO60-VLOOKUP($P60&amp;" | "&amp;DF$6,'Job Master'!$F$12:$I$102,4,0),DO60-VLOOKUP($P60&amp;" | "&amp;DF$6,'Job Master'!$F$12:$I$102,4,0)-1),""),"")</f>
        <v/>
      </c>
      <c r="DI60" s="73"/>
      <c r="DJ60" s="123" t="str">
        <f t="shared" si="46"/>
        <v/>
      </c>
      <c r="DK60" s="123" t="str">
        <f t="shared" si="47"/>
        <v/>
      </c>
      <c r="DL60" s="97" t="str">
        <f t="shared" ca="1" si="48"/>
        <v/>
      </c>
      <c r="DM60" s="98" t="str">
        <f>IF(DO60&lt;&gt;"",VLOOKUP($P60&amp;" | "&amp;DM$6,'Job Master'!$F$12:$J$102,5,0),"")</f>
        <v/>
      </c>
      <c r="DN60" s="19" t="str">
        <f>IF(DO60&lt;&gt;"",VLOOKUP($P60&amp;" | "&amp;DM$6,'Job Master'!$F$12:$J$102,3,0),"")</f>
        <v/>
      </c>
      <c r="DO60" s="19" t="str">
        <f>IFERROR(IF(AND(DT60&lt;&gt;"",VLOOKUP($P60&amp;" | "&amp;DM$6,'Job Master'!$F$12:$I$102,4,0)&lt;&gt;""),IF(WEEKDAY(DT60-VLOOKUP($P60&amp;" | "&amp;DM$6,'Job Master'!$F$12:$I$102,4,0))&lt;&gt;7,DT60-VLOOKUP($P60&amp;" | "&amp;DM$6,'Job Master'!$F$12:$I$102,4,0),DT60-VLOOKUP($P60&amp;" | "&amp;DM$6,'Job Master'!$F$12:$I$102,4,0)-1),""),"")</f>
        <v/>
      </c>
      <c r="DP60" s="73"/>
      <c r="DQ60" s="123" t="str">
        <f t="shared" si="49"/>
        <v/>
      </c>
      <c r="DR60" s="123" t="str">
        <f t="shared" si="50"/>
        <v/>
      </c>
      <c r="DS60" s="97" t="str">
        <f t="shared" ca="1" si="51"/>
        <v/>
      </c>
      <c r="DT60" s="70" t="str">
        <f t="shared" si="52"/>
        <v/>
      </c>
      <c r="DU60" s="90"/>
      <c r="DV60" s="123" t="str">
        <f t="shared" si="53"/>
        <v/>
      </c>
      <c r="DW60" s="123" t="str">
        <f t="shared" si="54"/>
        <v/>
      </c>
      <c r="DX60" s="132" t="str">
        <f t="shared" ref="DX60" ca="1" si="121">IF(DT60&lt;&gt;"",IF(WEEKNUM(DT60)=WEEKNUM(TODAY()),"This Week",IF(WEEKNUM(DT60)=WEEKNUM(TODAY())+1,"Next Week",IF(WEEKNUM(DT60)=WEEKNUM(TODAY())-1,"Previous Week",""))),"")</f>
        <v/>
      </c>
      <c r="DY60" s="134" t="str">
        <f t="shared" si="56"/>
        <v/>
      </c>
      <c r="DZ60" s="95"/>
      <c r="EB60" s="8" t="str">
        <f t="shared" si="67"/>
        <v/>
      </c>
      <c r="EC60" s="8" t="str">
        <f>IF(O60&lt;&gt;"",VLOOKUP(O60,'Job Master'!$N$12:$O$18,2,0),"")</f>
        <v/>
      </c>
      <c r="ED60" s="8">
        <f t="shared" si="68"/>
        <v>19.5</v>
      </c>
      <c r="EE60" s="8">
        <f t="shared" si="69"/>
        <v>6</v>
      </c>
      <c r="EF60" s="8">
        <f t="shared" si="70"/>
        <v>-280.5</v>
      </c>
      <c r="EG60" s="8" t="str">
        <f t="shared" si="71"/>
        <v/>
      </c>
      <c r="EH60" s="8" t="str">
        <f t="shared" si="72"/>
        <v/>
      </c>
    </row>
    <row r="61" spans="2:138" x14ac:dyDescent="0.3">
      <c r="B61" s="112"/>
      <c r="C61" s="27"/>
      <c r="D61" s="7" t="str">
        <f t="shared" si="1"/>
        <v/>
      </c>
      <c r="E61" s="25"/>
      <c r="F61" s="7" t="str">
        <f t="shared" si="1"/>
        <v/>
      </c>
      <c r="G61" s="25"/>
      <c r="H61" s="7" t="str">
        <f t="shared" si="1"/>
        <v/>
      </c>
      <c r="I61" s="25"/>
      <c r="J61" s="7" t="str">
        <f t="shared" si="1"/>
        <v/>
      </c>
      <c r="K61" s="25"/>
      <c r="L61" s="7" t="str">
        <f t="shared" si="2"/>
        <v/>
      </c>
      <c r="M61" s="25"/>
      <c r="N61" s="7" t="str">
        <f t="shared" si="3"/>
        <v/>
      </c>
      <c r="O61" s="81"/>
      <c r="P61" s="81" t="str">
        <f t="shared" si="4"/>
        <v/>
      </c>
      <c r="Q61" s="81"/>
      <c r="R61" s="7" t="str">
        <f t="shared" si="5"/>
        <v/>
      </c>
      <c r="S61" s="25"/>
      <c r="T61" s="7" t="str">
        <f t="shared" si="6"/>
        <v/>
      </c>
      <c r="U61" s="25"/>
      <c r="V61" s="7" t="str">
        <f t="shared" si="7"/>
        <v/>
      </c>
      <c r="W61" s="25"/>
      <c r="X61" s="7" t="str">
        <f t="shared" si="8"/>
        <v/>
      </c>
      <c r="Y61" s="18" t="str">
        <f t="shared" si="9"/>
        <v/>
      </c>
      <c r="Z61" s="7" t="str">
        <f t="shared" si="10"/>
        <v/>
      </c>
      <c r="AA61" s="18" t="str">
        <f t="shared" si="11"/>
        <v/>
      </c>
      <c r="AB61" s="19" t="str">
        <f t="shared" si="12"/>
        <v/>
      </c>
      <c r="AC61" s="26"/>
      <c r="AD61" s="26"/>
      <c r="AE61" s="25"/>
      <c r="AF61" s="26"/>
      <c r="AG61" s="25"/>
      <c r="AH61" s="25"/>
      <c r="AI61" s="18" t="str">
        <f t="shared" si="83"/>
        <v/>
      </c>
      <c r="AJ61" s="25"/>
      <c r="AK61" s="18" t="str">
        <f t="shared" si="84"/>
        <v/>
      </c>
      <c r="AL61" s="79"/>
      <c r="AM61" s="126" t="str">
        <f t="shared" si="85"/>
        <v/>
      </c>
      <c r="AN61" s="128" t="str">
        <f>IF(AP61&lt;&gt;"",VLOOKUP($P61&amp;" | "&amp;AN$6,'Job Master'!$F$12:$J$102,5,0),"")</f>
        <v/>
      </c>
      <c r="AO61" s="19" t="str">
        <f>IF(AP61&lt;&gt;"",VLOOKUP($P61&amp;" | "&amp;AN$6,'Job Master'!$F$12:$J$102,3,0),"")</f>
        <v/>
      </c>
      <c r="AP61" s="19" t="str">
        <f>IFERROR(IF(AND(AW61&lt;&gt;"",VLOOKUP($P61&amp;" | "&amp;AN$6,'Job Master'!$F$12:$I$102,4,0)&lt;&gt;""),IF(WEEKDAY(AW61-VLOOKUP($P61&amp;" | "&amp;AN$6,'Job Master'!$F$12:$I$102,4,0))&lt;&gt;7,AW61-VLOOKUP($P61&amp;" | "&amp;AN$6,'Job Master'!$F$12:$I$102,4,0),AW61-VLOOKUP($P61&amp;" | "&amp;AN$6,'Job Master'!$F$12:$I$102,4,0)-1),""),"")</f>
        <v/>
      </c>
      <c r="AQ61" s="73"/>
      <c r="AR61" s="123" t="str">
        <f t="shared" si="16"/>
        <v/>
      </c>
      <c r="AS61" s="123" t="str">
        <f t="shared" si="17"/>
        <v/>
      </c>
      <c r="AT61" s="97" t="str">
        <f t="shared" ca="1" si="18"/>
        <v/>
      </c>
      <c r="AU61" s="98" t="str">
        <f>IF(AW61&lt;&gt;"",VLOOKUP($P61&amp;" | "&amp;AU$6,'Job Master'!$F$12:$J$102,5,0),"")</f>
        <v/>
      </c>
      <c r="AV61" s="19" t="str">
        <f>IF(AW61&lt;&gt;"",VLOOKUP($P61&amp;" | "&amp;AU$6,'Job Master'!$F$12:$J$102,3,0),"")</f>
        <v/>
      </c>
      <c r="AW61" s="19" t="str">
        <f>IFERROR(IF(AND(BD61&lt;&gt;"",VLOOKUP($P61&amp;" | "&amp;AU$6,'Job Master'!$F$12:$I$102,4,0)&lt;&gt;""),IF(WEEKDAY(BD61-VLOOKUP($P61&amp;" | "&amp;AU$6,'Job Master'!$F$12:$I$102,4,0))&lt;&gt;7,BD61-VLOOKUP($P61&amp;" | "&amp;AU$6,'Job Master'!$F$12:$I$102,4,0),BD61-VLOOKUP($P61&amp;" | "&amp;AU$6,'Job Master'!$F$12:$I$102,4,0)-1),""),"")</f>
        <v/>
      </c>
      <c r="AX61" s="73"/>
      <c r="AY61" s="123" t="str">
        <f t="shared" si="19"/>
        <v/>
      </c>
      <c r="AZ61" s="123" t="str">
        <f t="shared" si="20"/>
        <v/>
      </c>
      <c r="BA61" s="97" t="str">
        <f t="shared" ca="1" si="21"/>
        <v/>
      </c>
      <c r="BB61" s="98" t="str">
        <f>IF(BD61&lt;&gt;"",VLOOKUP($P61&amp;" | "&amp;BB$6,'Job Master'!$F$12:$J$102,5,0),"")</f>
        <v/>
      </c>
      <c r="BC61" s="19" t="str">
        <f>IF(BD61&lt;&gt;"",VLOOKUP($P61&amp;" | "&amp;BB$6,'Job Master'!$F$12:$J$102,3,0),"")</f>
        <v/>
      </c>
      <c r="BD61" s="19" t="str">
        <f>IFERROR(IF(AND(BK61&lt;&gt;"",VLOOKUP($P61&amp;" | "&amp;BB$6,'Job Master'!$F$12:$I$102,4,0)&lt;&gt;""),IF(WEEKDAY(BK61-VLOOKUP($P61&amp;" | "&amp;BB$6,'Job Master'!$F$12:$I$102,4,0))&lt;&gt;7,BK61-VLOOKUP($P61&amp;" | "&amp;BB$6,'Job Master'!$F$12:$I$102,4,0),BK61-VLOOKUP($P61&amp;" | "&amp;BB$6,'Job Master'!$F$12:$I$102,4,0)-1),""),"")</f>
        <v/>
      </c>
      <c r="BE61" s="73"/>
      <c r="BF61" s="123" t="str">
        <f t="shared" si="22"/>
        <v/>
      </c>
      <c r="BG61" s="123" t="str">
        <f t="shared" si="23"/>
        <v/>
      </c>
      <c r="BH61" s="97" t="str">
        <f t="shared" ca="1" si="24"/>
        <v/>
      </c>
      <c r="BI61" s="98" t="str">
        <f>IF(BK61&lt;&gt;"",VLOOKUP($P61&amp;" | "&amp;BI$6,'Job Master'!$F$12:$J$102,5,0),"")</f>
        <v/>
      </c>
      <c r="BJ61" s="19" t="str">
        <f>IF(BK61&lt;&gt;"",VLOOKUP($P61&amp;" | "&amp;BI$6,'Job Master'!$F$12:$J$102,3,0),"")</f>
        <v/>
      </c>
      <c r="BK61" s="19" t="str">
        <f>IFERROR(IF(AND(BR61&lt;&gt;"",VLOOKUP($P61&amp;" | "&amp;BI$6,'Job Master'!$F$12:$I$102,4,0)&lt;&gt;""),IF(WEEKDAY(BR61-VLOOKUP($P61&amp;" | "&amp;BI$6,'Job Master'!$F$12:$I$102,4,0))&lt;&gt;7,BR61-VLOOKUP($P61&amp;" | "&amp;BI$6,'Job Master'!$F$12:$I$102,4,0),BR61-VLOOKUP($P61&amp;" | "&amp;BI$6,'Job Master'!$F$12:$I$102,4,0)-1),""),"")</f>
        <v/>
      </c>
      <c r="BL61" s="73"/>
      <c r="BM61" s="123" t="str">
        <f t="shared" si="25"/>
        <v/>
      </c>
      <c r="BN61" s="123" t="str">
        <f t="shared" si="26"/>
        <v/>
      </c>
      <c r="BO61" s="97" t="str">
        <f t="shared" ca="1" si="27"/>
        <v/>
      </c>
      <c r="BP61" s="98" t="str">
        <f>IF(BR61&lt;&gt;"",VLOOKUP($P61&amp;" | "&amp;BP$6,'Job Master'!$F$12:$J$102,5,0),"")</f>
        <v/>
      </c>
      <c r="BQ61" s="19" t="str">
        <f>IF(BR61&lt;&gt;"",VLOOKUP($P61&amp;" | "&amp;BP$6,'Job Master'!$F$12:$J$102,3,0),"")</f>
        <v/>
      </c>
      <c r="BR61" s="19" t="str">
        <f>IFERROR(IF(AND(BY61&lt;&gt;"",VLOOKUP($P61&amp;" | "&amp;BP$6,'Job Master'!$F$12:$I$102,4,0)&lt;&gt;""),IF(WEEKDAY(BY61-VLOOKUP($P61&amp;" | "&amp;BP$6,'Job Master'!$F$12:$I$102,4,0))&lt;&gt;7,BY61-VLOOKUP($P61&amp;" | "&amp;BP$6,'Job Master'!$F$12:$I$102,4,0),BY61-VLOOKUP($P61&amp;" | "&amp;BP$6,'Job Master'!$F$12:$I$102,4,0)-1),""),"")</f>
        <v/>
      </c>
      <c r="BS61" s="73"/>
      <c r="BT61" s="123" t="str">
        <f t="shared" si="28"/>
        <v/>
      </c>
      <c r="BU61" s="123" t="str">
        <f t="shared" si="29"/>
        <v/>
      </c>
      <c r="BV61" s="97" t="str">
        <f t="shared" ca="1" si="30"/>
        <v/>
      </c>
      <c r="BW61" s="98" t="str">
        <f>IF(BY61&lt;&gt;"",VLOOKUP($P61&amp;" | "&amp;BW$6,'Job Master'!$F$12:$J$102,5,0),"")</f>
        <v/>
      </c>
      <c r="BX61" s="19" t="str">
        <f>IF(BY61&lt;&gt;"",VLOOKUP($P61&amp;" | "&amp;BW$6,'Job Master'!$F$12:$J$102,3,0),"")</f>
        <v/>
      </c>
      <c r="BY61" s="19" t="str">
        <f>IFERROR(IF(AND(CF61&lt;&gt;"",VLOOKUP($P61&amp;" | "&amp;BW$6,'Job Master'!$F$12:$I$102,4,0)&lt;&gt;""),IF(WEEKDAY(CF61-VLOOKUP($P61&amp;" | "&amp;BW$6,'Job Master'!$F$12:$I$102,4,0))&lt;&gt;7,CF61-VLOOKUP($P61&amp;" | "&amp;BW$6,'Job Master'!$F$12:$I$102,4,0),CF61-VLOOKUP($P61&amp;" | "&amp;BW$6,'Job Master'!$F$12:$I$102,4,0)-1),""),"")</f>
        <v/>
      </c>
      <c r="BZ61" s="73"/>
      <c r="CA61" s="123" t="str">
        <f t="shared" si="31"/>
        <v/>
      </c>
      <c r="CB61" s="123" t="str">
        <f t="shared" si="32"/>
        <v/>
      </c>
      <c r="CC61" s="97" t="str">
        <f t="shared" ca="1" si="33"/>
        <v/>
      </c>
      <c r="CD61" s="98" t="str">
        <f>IF(CF61&lt;&gt;"",VLOOKUP($P61&amp;" | "&amp;CD$6,'Job Master'!$F$12:$J$102,5,0),"")</f>
        <v/>
      </c>
      <c r="CE61" s="19" t="str">
        <f>IF(CF61&lt;&gt;"",VLOOKUP($P61&amp;" | "&amp;CD$6,'Job Master'!$F$12:$J$102,3,0),"")</f>
        <v/>
      </c>
      <c r="CF61" s="19" t="str">
        <f>IFERROR(IF(AND(CM61&lt;&gt;"",VLOOKUP($P61&amp;" | "&amp;CD$6,'Job Master'!$F$12:$I$102,4,0)&lt;&gt;""),IF(WEEKDAY(CM61-VLOOKUP($P61&amp;" | "&amp;CD$6,'Job Master'!$F$12:$I$102,4,0))&lt;&gt;7,CM61-VLOOKUP($P61&amp;" | "&amp;CD$6,'Job Master'!$F$12:$I$102,4,0),CM61-VLOOKUP($P61&amp;" | "&amp;CD$6,'Job Master'!$F$12:$I$102,4,0)-1),""),"")</f>
        <v/>
      </c>
      <c r="CG61" s="73"/>
      <c r="CH61" s="123" t="str">
        <f t="shared" si="34"/>
        <v/>
      </c>
      <c r="CI61" s="123" t="str">
        <f t="shared" si="35"/>
        <v/>
      </c>
      <c r="CJ61" s="97" t="str">
        <f t="shared" ca="1" si="36"/>
        <v/>
      </c>
      <c r="CK61" s="98" t="str">
        <f>IF(CM61&lt;&gt;"",VLOOKUP($P61&amp;" | "&amp;CK$6,'Job Master'!$F$12:$J$102,5,0),"")</f>
        <v/>
      </c>
      <c r="CL61" s="19" t="str">
        <f>IF(CM61&lt;&gt;"",VLOOKUP($P61&amp;" | "&amp;CK$6,'Job Master'!$F$12:$J$102,3,0),"")</f>
        <v/>
      </c>
      <c r="CM61" s="19" t="str">
        <f>IFERROR(IF(AND(CT61&lt;&gt;"",VLOOKUP($P61&amp;" | "&amp;CK$6,'Job Master'!$F$12:$I$102,4,0)&lt;&gt;""),IF(WEEKDAY(CT61-VLOOKUP($P61&amp;" | "&amp;CK$6,'Job Master'!$F$12:$I$102,4,0))&lt;&gt;7,CT61-VLOOKUP($P61&amp;" | "&amp;CK$6,'Job Master'!$F$12:$I$102,4,0),CT61-VLOOKUP($P61&amp;" | "&amp;CK$6,'Job Master'!$F$12:$I$102,4,0)-1),""),"")</f>
        <v/>
      </c>
      <c r="CN61" s="73"/>
      <c r="CO61" s="123" t="str">
        <f t="shared" si="37"/>
        <v/>
      </c>
      <c r="CP61" s="123" t="str">
        <f t="shared" si="38"/>
        <v/>
      </c>
      <c r="CQ61" s="97" t="str">
        <f t="shared" ca="1" si="39"/>
        <v/>
      </c>
      <c r="CR61" s="98" t="str">
        <f>IF(CT61&lt;&gt;"",VLOOKUP($P61&amp;" | "&amp;CR$6,'Job Master'!$F$12:$J$102,5,0),"")</f>
        <v/>
      </c>
      <c r="CS61" s="19" t="str">
        <f>IF(CT61&lt;&gt;"",VLOOKUP($P61&amp;" | "&amp;CR$6,'Job Master'!$F$12:$J$102,3,0),"")</f>
        <v/>
      </c>
      <c r="CT61" s="19" t="str">
        <f>IFERROR(IF(AND(DA61&lt;&gt;"",VLOOKUP($P61&amp;" | "&amp;CR$6,'Job Master'!$F$12:$I$102,4,0)&lt;&gt;""),IF(WEEKDAY(DA61-VLOOKUP($P61&amp;" | "&amp;CR$6,'Job Master'!$F$12:$I$102,4,0))&lt;&gt;7,DA61-VLOOKUP($P61&amp;" | "&amp;CR$6,'Job Master'!$F$12:$I$102,4,0),DA61-VLOOKUP($P61&amp;" | "&amp;CR$6,'Job Master'!$F$12:$I$102,4,0)-1),""),"")</f>
        <v/>
      </c>
      <c r="CU61" s="73"/>
      <c r="CV61" s="123" t="str">
        <f t="shared" si="40"/>
        <v/>
      </c>
      <c r="CW61" s="123" t="str">
        <f t="shared" si="41"/>
        <v/>
      </c>
      <c r="CX61" s="97" t="str">
        <f t="shared" ca="1" si="42"/>
        <v/>
      </c>
      <c r="CY61" s="98" t="str">
        <f>IF(DA61&lt;&gt;"",VLOOKUP($P61&amp;" | "&amp;CY$6,'Job Master'!$F$12:$J$102,5,0),"")</f>
        <v/>
      </c>
      <c r="CZ61" s="19" t="str">
        <f>IF(DA61&lt;&gt;"",VLOOKUP($P61&amp;" | "&amp;CY$6,'Job Master'!$F$12:$J$102,3,0),"")</f>
        <v/>
      </c>
      <c r="DA61" s="19" t="str">
        <f>IFERROR(IF(AND(DH61&lt;&gt;"",VLOOKUP($P61&amp;" | "&amp;CY$6,'Job Master'!$F$12:$I$102,4,0)&lt;&gt;""),IF(WEEKDAY(DH61-VLOOKUP($P61&amp;" | "&amp;CY$6,'Job Master'!$F$12:$I$102,4,0))&lt;&gt;7,DH61-VLOOKUP($P61&amp;" | "&amp;CY$6,'Job Master'!$F$12:$I$102,4,0),DH61-VLOOKUP($P61&amp;" | "&amp;CY$6,'Job Master'!$F$12:$I$102,4,0)-1),""),"")</f>
        <v/>
      </c>
      <c r="DB61" s="73"/>
      <c r="DC61" s="123" t="str">
        <f t="shared" si="43"/>
        <v/>
      </c>
      <c r="DD61" s="123" t="str">
        <f t="shared" si="44"/>
        <v/>
      </c>
      <c r="DE61" s="97" t="str">
        <f t="shared" ca="1" si="45"/>
        <v/>
      </c>
      <c r="DF61" s="98" t="str">
        <f>IF(DH61&lt;&gt;"",VLOOKUP($P61&amp;" | "&amp;DF$6,'Job Master'!$F$12:$J$102,5,0),"")</f>
        <v/>
      </c>
      <c r="DG61" s="19" t="str">
        <f>IF(DH61&lt;&gt;"",VLOOKUP($P61&amp;" | "&amp;DF$6,'Job Master'!$F$12:$J$102,3,0),"")</f>
        <v/>
      </c>
      <c r="DH61" s="19" t="str">
        <f>IFERROR(IF(AND(DO61&lt;&gt;"",VLOOKUP($P61&amp;" | "&amp;DF$6,'Job Master'!$F$12:$I$102,4,0)&lt;&gt;""),IF(WEEKDAY(DO61-VLOOKUP($P61&amp;" | "&amp;DF$6,'Job Master'!$F$12:$I$102,4,0))&lt;&gt;7,DO61-VLOOKUP($P61&amp;" | "&amp;DF$6,'Job Master'!$F$12:$I$102,4,0),DO61-VLOOKUP($P61&amp;" | "&amp;DF$6,'Job Master'!$F$12:$I$102,4,0)-1),""),"")</f>
        <v/>
      </c>
      <c r="DI61" s="73"/>
      <c r="DJ61" s="123" t="str">
        <f t="shared" si="46"/>
        <v/>
      </c>
      <c r="DK61" s="123" t="str">
        <f t="shared" si="47"/>
        <v/>
      </c>
      <c r="DL61" s="97" t="str">
        <f t="shared" ca="1" si="48"/>
        <v/>
      </c>
      <c r="DM61" s="98" t="str">
        <f>IF(DO61&lt;&gt;"",VLOOKUP($P61&amp;" | "&amp;DM$6,'Job Master'!$F$12:$J$102,5,0),"")</f>
        <v/>
      </c>
      <c r="DN61" s="19" t="str">
        <f>IF(DO61&lt;&gt;"",VLOOKUP($P61&amp;" | "&amp;DM$6,'Job Master'!$F$12:$J$102,3,0),"")</f>
        <v/>
      </c>
      <c r="DO61" s="19" t="str">
        <f>IFERROR(IF(AND(DT61&lt;&gt;"",VLOOKUP($P61&amp;" | "&amp;DM$6,'Job Master'!$F$12:$I$102,4,0)&lt;&gt;""),IF(WEEKDAY(DT61-VLOOKUP($P61&amp;" | "&amp;DM$6,'Job Master'!$F$12:$I$102,4,0))&lt;&gt;7,DT61-VLOOKUP($P61&amp;" | "&amp;DM$6,'Job Master'!$F$12:$I$102,4,0),DT61-VLOOKUP($P61&amp;" | "&amp;DM$6,'Job Master'!$F$12:$I$102,4,0)-1),""),"")</f>
        <v/>
      </c>
      <c r="DP61" s="73"/>
      <c r="DQ61" s="123" t="str">
        <f t="shared" si="49"/>
        <v/>
      </c>
      <c r="DR61" s="123" t="str">
        <f t="shared" si="50"/>
        <v/>
      </c>
      <c r="DS61" s="97" t="str">
        <f t="shared" ca="1" si="51"/>
        <v/>
      </c>
      <c r="DT61" s="70" t="str">
        <f t="shared" si="52"/>
        <v/>
      </c>
      <c r="DU61" s="90"/>
      <c r="DV61" s="123" t="str">
        <f t="shared" si="53"/>
        <v/>
      </c>
      <c r="DW61" s="123" t="str">
        <f t="shared" si="54"/>
        <v/>
      </c>
      <c r="DX61" s="132" t="str">
        <f t="shared" ref="DX61" ca="1" si="122">IF(DT61&lt;&gt;"",IF(WEEKNUM(DT61)=WEEKNUM(TODAY()),"This Week",IF(WEEKNUM(DT61)=WEEKNUM(TODAY())+1,"Next Week",IF(WEEKNUM(DT61)=WEEKNUM(TODAY())-1,"Previous Week",""))),"")</f>
        <v/>
      </c>
      <c r="DY61" s="134" t="str">
        <f t="shared" si="56"/>
        <v/>
      </c>
      <c r="DZ61" s="95"/>
      <c r="EB61" s="8" t="str">
        <f t="shared" si="67"/>
        <v/>
      </c>
      <c r="EC61" s="8" t="str">
        <f>IF(O61&lt;&gt;"",VLOOKUP(O61,'Job Master'!$N$12:$O$18,2,0),"")</f>
        <v/>
      </c>
      <c r="ED61" s="8">
        <f t="shared" si="68"/>
        <v>19.5</v>
      </c>
      <c r="EE61" s="8">
        <f t="shared" si="69"/>
        <v>6</v>
      </c>
      <c r="EF61" s="8">
        <f t="shared" si="70"/>
        <v>-286.5</v>
      </c>
      <c r="EG61" s="8" t="str">
        <f t="shared" si="71"/>
        <v/>
      </c>
      <c r="EH61" s="8" t="str">
        <f t="shared" si="72"/>
        <v/>
      </c>
    </row>
    <row r="62" spans="2:138" x14ac:dyDescent="0.3">
      <c r="B62" s="112"/>
      <c r="C62" s="27"/>
      <c r="D62" s="7" t="str">
        <f t="shared" si="1"/>
        <v/>
      </c>
      <c r="E62" s="25"/>
      <c r="F62" s="7" t="str">
        <f t="shared" si="1"/>
        <v/>
      </c>
      <c r="G62" s="25"/>
      <c r="H62" s="7" t="str">
        <f t="shared" si="1"/>
        <v/>
      </c>
      <c r="I62" s="25"/>
      <c r="J62" s="7" t="str">
        <f t="shared" si="1"/>
        <v/>
      </c>
      <c r="K62" s="25"/>
      <c r="L62" s="7" t="str">
        <f t="shared" si="2"/>
        <v/>
      </c>
      <c r="M62" s="25"/>
      <c r="N62" s="7" t="str">
        <f t="shared" si="3"/>
        <v/>
      </c>
      <c r="O62" s="81"/>
      <c r="P62" s="81" t="str">
        <f t="shared" si="4"/>
        <v/>
      </c>
      <c r="Q62" s="81"/>
      <c r="R62" s="7" t="str">
        <f t="shared" si="5"/>
        <v/>
      </c>
      <c r="S62" s="25"/>
      <c r="T62" s="7" t="str">
        <f t="shared" si="6"/>
        <v/>
      </c>
      <c r="U62" s="25"/>
      <c r="V62" s="7" t="str">
        <f t="shared" si="7"/>
        <v/>
      </c>
      <c r="W62" s="25"/>
      <c r="X62" s="7" t="str">
        <f t="shared" si="8"/>
        <v/>
      </c>
      <c r="Y62" s="18" t="str">
        <f t="shared" si="9"/>
        <v/>
      </c>
      <c r="Z62" s="7" t="str">
        <f t="shared" si="10"/>
        <v/>
      </c>
      <c r="AA62" s="18" t="str">
        <f t="shared" si="11"/>
        <v/>
      </c>
      <c r="AB62" s="19" t="str">
        <f t="shared" si="12"/>
        <v/>
      </c>
      <c r="AC62" s="26"/>
      <c r="AD62" s="26"/>
      <c r="AE62" s="25"/>
      <c r="AF62" s="26"/>
      <c r="AG62" s="25"/>
      <c r="AH62" s="25"/>
      <c r="AI62" s="18" t="str">
        <f t="shared" si="83"/>
        <v/>
      </c>
      <c r="AJ62" s="25"/>
      <c r="AK62" s="18" t="str">
        <f t="shared" si="84"/>
        <v/>
      </c>
      <c r="AL62" s="79"/>
      <c r="AM62" s="126" t="str">
        <f t="shared" si="85"/>
        <v/>
      </c>
      <c r="AN62" s="128" t="str">
        <f>IF(AP62&lt;&gt;"",VLOOKUP($P62&amp;" | "&amp;AN$6,'Job Master'!$F$12:$J$102,5,0),"")</f>
        <v/>
      </c>
      <c r="AO62" s="19" t="str">
        <f>IF(AP62&lt;&gt;"",VLOOKUP($P62&amp;" | "&amp;AN$6,'Job Master'!$F$12:$J$102,3,0),"")</f>
        <v/>
      </c>
      <c r="AP62" s="19" t="str">
        <f>IFERROR(IF(AND(AW62&lt;&gt;"",VLOOKUP($P62&amp;" | "&amp;AN$6,'Job Master'!$F$12:$I$102,4,0)&lt;&gt;""),IF(WEEKDAY(AW62-VLOOKUP($P62&amp;" | "&amp;AN$6,'Job Master'!$F$12:$I$102,4,0))&lt;&gt;7,AW62-VLOOKUP($P62&amp;" | "&amp;AN$6,'Job Master'!$F$12:$I$102,4,0),AW62-VLOOKUP($P62&amp;" | "&amp;AN$6,'Job Master'!$F$12:$I$102,4,0)-1),""),"")</f>
        <v/>
      </c>
      <c r="AQ62" s="73"/>
      <c r="AR62" s="123" t="str">
        <f t="shared" si="16"/>
        <v/>
      </c>
      <c r="AS62" s="123" t="str">
        <f t="shared" si="17"/>
        <v/>
      </c>
      <c r="AT62" s="97" t="str">
        <f t="shared" ca="1" si="18"/>
        <v/>
      </c>
      <c r="AU62" s="98" t="str">
        <f>IF(AW62&lt;&gt;"",VLOOKUP($P62&amp;" | "&amp;AU$6,'Job Master'!$F$12:$J$102,5,0),"")</f>
        <v/>
      </c>
      <c r="AV62" s="19" t="str">
        <f>IF(AW62&lt;&gt;"",VLOOKUP($P62&amp;" | "&amp;AU$6,'Job Master'!$F$12:$J$102,3,0),"")</f>
        <v/>
      </c>
      <c r="AW62" s="19" t="str">
        <f>IFERROR(IF(AND(BD62&lt;&gt;"",VLOOKUP($P62&amp;" | "&amp;AU$6,'Job Master'!$F$12:$I$102,4,0)&lt;&gt;""),IF(WEEKDAY(BD62-VLOOKUP($P62&amp;" | "&amp;AU$6,'Job Master'!$F$12:$I$102,4,0))&lt;&gt;7,BD62-VLOOKUP($P62&amp;" | "&amp;AU$6,'Job Master'!$F$12:$I$102,4,0),BD62-VLOOKUP($P62&amp;" | "&amp;AU$6,'Job Master'!$F$12:$I$102,4,0)-1),""),"")</f>
        <v/>
      </c>
      <c r="AX62" s="73"/>
      <c r="AY62" s="123" t="str">
        <f t="shared" si="19"/>
        <v/>
      </c>
      <c r="AZ62" s="123" t="str">
        <f t="shared" si="20"/>
        <v/>
      </c>
      <c r="BA62" s="97" t="str">
        <f t="shared" ca="1" si="21"/>
        <v/>
      </c>
      <c r="BB62" s="98" t="str">
        <f>IF(BD62&lt;&gt;"",VLOOKUP($P62&amp;" | "&amp;BB$6,'Job Master'!$F$12:$J$102,5,0),"")</f>
        <v/>
      </c>
      <c r="BC62" s="19" t="str">
        <f>IF(BD62&lt;&gt;"",VLOOKUP($P62&amp;" | "&amp;BB$6,'Job Master'!$F$12:$J$102,3,0),"")</f>
        <v/>
      </c>
      <c r="BD62" s="19" t="str">
        <f>IFERROR(IF(AND(BK62&lt;&gt;"",VLOOKUP($P62&amp;" | "&amp;BB$6,'Job Master'!$F$12:$I$102,4,0)&lt;&gt;""),IF(WEEKDAY(BK62-VLOOKUP($P62&amp;" | "&amp;BB$6,'Job Master'!$F$12:$I$102,4,0))&lt;&gt;7,BK62-VLOOKUP($P62&amp;" | "&amp;BB$6,'Job Master'!$F$12:$I$102,4,0),BK62-VLOOKUP($P62&amp;" | "&amp;BB$6,'Job Master'!$F$12:$I$102,4,0)-1),""),"")</f>
        <v/>
      </c>
      <c r="BE62" s="73"/>
      <c r="BF62" s="123" t="str">
        <f t="shared" si="22"/>
        <v/>
      </c>
      <c r="BG62" s="123" t="str">
        <f t="shared" si="23"/>
        <v/>
      </c>
      <c r="BH62" s="97" t="str">
        <f t="shared" ca="1" si="24"/>
        <v/>
      </c>
      <c r="BI62" s="98" t="str">
        <f>IF(BK62&lt;&gt;"",VLOOKUP($P62&amp;" | "&amp;BI$6,'Job Master'!$F$12:$J$102,5,0),"")</f>
        <v/>
      </c>
      <c r="BJ62" s="19" t="str">
        <f>IF(BK62&lt;&gt;"",VLOOKUP($P62&amp;" | "&amp;BI$6,'Job Master'!$F$12:$J$102,3,0),"")</f>
        <v/>
      </c>
      <c r="BK62" s="19" t="str">
        <f>IFERROR(IF(AND(BR62&lt;&gt;"",VLOOKUP($P62&amp;" | "&amp;BI$6,'Job Master'!$F$12:$I$102,4,0)&lt;&gt;""),IF(WEEKDAY(BR62-VLOOKUP($P62&amp;" | "&amp;BI$6,'Job Master'!$F$12:$I$102,4,0))&lt;&gt;7,BR62-VLOOKUP($P62&amp;" | "&amp;BI$6,'Job Master'!$F$12:$I$102,4,0),BR62-VLOOKUP($P62&amp;" | "&amp;BI$6,'Job Master'!$F$12:$I$102,4,0)-1),""),"")</f>
        <v/>
      </c>
      <c r="BL62" s="73"/>
      <c r="BM62" s="123" t="str">
        <f t="shared" si="25"/>
        <v/>
      </c>
      <c r="BN62" s="123" t="str">
        <f t="shared" si="26"/>
        <v/>
      </c>
      <c r="BO62" s="97" t="str">
        <f t="shared" ca="1" si="27"/>
        <v/>
      </c>
      <c r="BP62" s="98" t="str">
        <f>IF(BR62&lt;&gt;"",VLOOKUP($P62&amp;" | "&amp;BP$6,'Job Master'!$F$12:$J$102,5,0),"")</f>
        <v/>
      </c>
      <c r="BQ62" s="19" t="str">
        <f>IF(BR62&lt;&gt;"",VLOOKUP($P62&amp;" | "&amp;BP$6,'Job Master'!$F$12:$J$102,3,0),"")</f>
        <v/>
      </c>
      <c r="BR62" s="19" t="str">
        <f>IFERROR(IF(AND(BY62&lt;&gt;"",VLOOKUP($P62&amp;" | "&amp;BP$6,'Job Master'!$F$12:$I$102,4,0)&lt;&gt;""),IF(WEEKDAY(BY62-VLOOKUP($P62&amp;" | "&amp;BP$6,'Job Master'!$F$12:$I$102,4,0))&lt;&gt;7,BY62-VLOOKUP($P62&amp;" | "&amp;BP$6,'Job Master'!$F$12:$I$102,4,0),BY62-VLOOKUP($P62&amp;" | "&amp;BP$6,'Job Master'!$F$12:$I$102,4,0)-1),""),"")</f>
        <v/>
      </c>
      <c r="BS62" s="73"/>
      <c r="BT62" s="123" t="str">
        <f t="shared" si="28"/>
        <v/>
      </c>
      <c r="BU62" s="123" t="str">
        <f t="shared" si="29"/>
        <v/>
      </c>
      <c r="BV62" s="97" t="str">
        <f t="shared" ca="1" si="30"/>
        <v/>
      </c>
      <c r="BW62" s="98" t="str">
        <f>IF(BY62&lt;&gt;"",VLOOKUP($P62&amp;" | "&amp;BW$6,'Job Master'!$F$12:$J$102,5,0),"")</f>
        <v/>
      </c>
      <c r="BX62" s="19" t="str">
        <f>IF(BY62&lt;&gt;"",VLOOKUP($P62&amp;" | "&amp;BW$6,'Job Master'!$F$12:$J$102,3,0),"")</f>
        <v/>
      </c>
      <c r="BY62" s="19" t="str">
        <f>IFERROR(IF(AND(CF62&lt;&gt;"",VLOOKUP($P62&amp;" | "&amp;BW$6,'Job Master'!$F$12:$I$102,4,0)&lt;&gt;""),IF(WEEKDAY(CF62-VLOOKUP($P62&amp;" | "&amp;BW$6,'Job Master'!$F$12:$I$102,4,0))&lt;&gt;7,CF62-VLOOKUP($P62&amp;" | "&amp;BW$6,'Job Master'!$F$12:$I$102,4,0),CF62-VLOOKUP($P62&amp;" | "&amp;BW$6,'Job Master'!$F$12:$I$102,4,0)-1),""),"")</f>
        <v/>
      </c>
      <c r="BZ62" s="73"/>
      <c r="CA62" s="123" t="str">
        <f t="shared" si="31"/>
        <v/>
      </c>
      <c r="CB62" s="123" t="str">
        <f t="shared" si="32"/>
        <v/>
      </c>
      <c r="CC62" s="97" t="str">
        <f t="shared" ca="1" si="33"/>
        <v/>
      </c>
      <c r="CD62" s="98" t="str">
        <f>IF(CF62&lt;&gt;"",VLOOKUP($P62&amp;" | "&amp;CD$6,'Job Master'!$F$12:$J$102,5,0),"")</f>
        <v/>
      </c>
      <c r="CE62" s="19" t="str">
        <f>IF(CF62&lt;&gt;"",VLOOKUP($P62&amp;" | "&amp;CD$6,'Job Master'!$F$12:$J$102,3,0),"")</f>
        <v/>
      </c>
      <c r="CF62" s="19" t="str">
        <f>IFERROR(IF(AND(CM62&lt;&gt;"",VLOOKUP($P62&amp;" | "&amp;CD$6,'Job Master'!$F$12:$I$102,4,0)&lt;&gt;""),IF(WEEKDAY(CM62-VLOOKUP($P62&amp;" | "&amp;CD$6,'Job Master'!$F$12:$I$102,4,0))&lt;&gt;7,CM62-VLOOKUP($P62&amp;" | "&amp;CD$6,'Job Master'!$F$12:$I$102,4,0),CM62-VLOOKUP($P62&amp;" | "&amp;CD$6,'Job Master'!$F$12:$I$102,4,0)-1),""),"")</f>
        <v/>
      </c>
      <c r="CG62" s="73"/>
      <c r="CH62" s="123" t="str">
        <f t="shared" si="34"/>
        <v/>
      </c>
      <c r="CI62" s="123" t="str">
        <f t="shared" si="35"/>
        <v/>
      </c>
      <c r="CJ62" s="97" t="str">
        <f t="shared" ca="1" si="36"/>
        <v/>
      </c>
      <c r="CK62" s="98" t="str">
        <f>IF(CM62&lt;&gt;"",VLOOKUP($P62&amp;" | "&amp;CK$6,'Job Master'!$F$12:$J$102,5,0),"")</f>
        <v/>
      </c>
      <c r="CL62" s="19" t="str">
        <f>IF(CM62&lt;&gt;"",VLOOKUP($P62&amp;" | "&amp;CK$6,'Job Master'!$F$12:$J$102,3,0),"")</f>
        <v/>
      </c>
      <c r="CM62" s="19" t="str">
        <f>IFERROR(IF(AND(CT62&lt;&gt;"",VLOOKUP($P62&amp;" | "&amp;CK$6,'Job Master'!$F$12:$I$102,4,0)&lt;&gt;""),IF(WEEKDAY(CT62-VLOOKUP($P62&amp;" | "&amp;CK$6,'Job Master'!$F$12:$I$102,4,0))&lt;&gt;7,CT62-VLOOKUP($P62&amp;" | "&amp;CK$6,'Job Master'!$F$12:$I$102,4,0),CT62-VLOOKUP($P62&amp;" | "&amp;CK$6,'Job Master'!$F$12:$I$102,4,0)-1),""),"")</f>
        <v/>
      </c>
      <c r="CN62" s="73"/>
      <c r="CO62" s="123" t="str">
        <f t="shared" si="37"/>
        <v/>
      </c>
      <c r="CP62" s="123" t="str">
        <f t="shared" si="38"/>
        <v/>
      </c>
      <c r="CQ62" s="97" t="str">
        <f t="shared" ca="1" si="39"/>
        <v/>
      </c>
      <c r="CR62" s="98" t="str">
        <f>IF(CT62&lt;&gt;"",VLOOKUP($P62&amp;" | "&amp;CR$6,'Job Master'!$F$12:$J$102,5,0),"")</f>
        <v/>
      </c>
      <c r="CS62" s="19" t="str">
        <f>IF(CT62&lt;&gt;"",VLOOKUP($P62&amp;" | "&amp;CR$6,'Job Master'!$F$12:$J$102,3,0),"")</f>
        <v/>
      </c>
      <c r="CT62" s="19" t="str">
        <f>IFERROR(IF(AND(DA62&lt;&gt;"",VLOOKUP($P62&amp;" | "&amp;CR$6,'Job Master'!$F$12:$I$102,4,0)&lt;&gt;""),IF(WEEKDAY(DA62-VLOOKUP($P62&amp;" | "&amp;CR$6,'Job Master'!$F$12:$I$102,4,0))&lt;&gt;7,DA62-VLOOKUP($P62&amp;" | "&amp;CR$6,'Job Master'!$F$12:$I$102,4,0),DA62-VLOOKUP($P62&amp;" | "&amp;CR$6,'Job Master'!$F$12:$I$102,4,0)-1),""),"")</f>
        <v/>
      </c>
      <c r="CU62" s="73"/>
      <c r="CV62" s="123" t="str">
        <f t="shared" si="40"/>
        <v/>
      </c>
      <c r="CW62" s="123" t="str">
        <f t="shared" si="41"/>
        <v/>
      </c>
      <c r="CX62" s="97" t="str">
        <f t="shared" ca="1" si="42"/>
        <v/>
      </c>
      <c r="CY62" s="98" t="str">
        <f>IF(DA62&lt;&gt;"",VLOOKUP($P62&amp;" | "&amp;CY$6,'Job Master'!$F$12:$J$102,5,0),"")</f>
        <v/>
      </c>
      <c r="CZ62" s="19" t="str">
        <f>IF(DA62&lt;&gt;"",VLOOKUP($P62&amp;" | "&amp;CY$6,'Job Master'!$F$12:$J$102,3,0),"")</f>
        <v/>
      </c>
      <c r="DA62" s="19" t="str">
        <f>IFERROR(IF(AND(DH62&lt;&gt;"",VLOOKUP($P62&amp;" | "&amp;CY$6,'Job Master'!$F$12:$I$102,4,0)&lt;&gt;""),IF(WEEKDAY(DH62-VLOOKUP($P62&amp;" | "&amp;CY$6,'Job Master'!$F$12:$I$102,4,0))&lt;&gt;7,DH62-VLOOKUP($P62&amp;" | "&amp;CY$6,'Job Master'!$F$12:$I$102,4,0),DH62-VLOOKUP($P62&amp;" | "&amp;CY$6,'Job Master'!$F$12:$I$102,4,0)-1),""),"")</f>
        <v/>
      </c>
      <c r="DB62" s="73"/>
      <c r="DC62" s="123" t="str">
        <f t="shared" si="43"/>
        <v/>
      </c>
      <c r="DD62" s="123" t="str">
        <f t="shared" si="44"/>
        <v/>
      </c>
      <c r="DE62" s="97" t="str">
        <f t="shared" ca="1" si="45"/>
        <v/>
      </c>
      <c r="DF62" s="98" t="str">
        <f>IF(DH62&lt;&gt;"",VLOOKUP($P62&amp;" | "&amp;DF$6,'Job Master'!$F$12:$J$102,5,0),"")</f>
        <v/>
      </c>
      <c r="DG62" s="19" t="str">
        <f>IF(DH62&lt;&gt;"",VLOOKUP($P62&amp;" | "&amp;DF$6,'Job Master'!$F$12:$J$102,3,0),"")</f>
        <v/>
      </c>
      <c r="DH62" s="19" t="str">
        <f>IFERROR(IF(AND(DO62&lt;&gt;"",VLOOKUP($P62&amp;" | "&amp;DF$6,'Job Master'!$F$12:$I$102,4,0)&lt;&gt;""),IF(WEEKDAY(DO62-VLOOKUP($P62&amp;" | "&amp;DF$6,'Job Master'!$F$12:$I$102,4,0))&lt;&gt;7,DO62-VLOOKUP($P62&amp;" | "&amp;DF$6,'Job Master'!$F$12:$I$102,4,0),DO62-VLOOKUP($P62&amp;" | "&amp;DF$6,'Job Master'!$F$12:$I$102,4,0)-1),""),"")</f>
        <v/>
      </c>
      <c r="DI62" s="73"/>
      <c r="DJ62" s="123" t="str">
        <f t="shared" si="46"/>
        <v/>
      </c>
      <c r="DK62" s="123" t="str">
        <f t="shared" si="47"/>
        <v/>
      </c>
      <c r="DL62" s="97" t="str">
        <f t="shared" ca="1" si="48"/>
        <v/>
      </c>
      <c r="DM62" s="98" t="str">
        <f>IF(DO62&lt;&gt;"",VLOOKUP($P62&amp;" | "&amp;DM$6,'Job Master'!$F$12:$J$102,5,0),"")</f>
        <v/>
      </c>
      <c r="DN62" s="19" t="str">
        <f>IF(DO62&lt;&gt;"",VLOOKUP($P62&amp;" | "&amp;DM$6,'Job Master'!$F$12:$J$102,3,0),"")</f>
        <v/>
      </c>
      <c r="DO62" s="19" t="str">
        <f>IFERROR(IF(AND(DT62&lt;&gt;"",VLOOKUP($P62&amp;" | "&amp;DM$6,'Job Master'!$F$12:$I$102,4,0)&lt;&gt;""),IF(WEEKDAY(DT62-VLOOKUP($P62&amp;" | "&amp;DM$6,'Job Master'!$F$12:$I$102,4,0))&lt;&gt;7,DT62-VLOOKUP($P62&amp;" | "&amp;DM$6,'Job Master'!$F$12:$I$102,4,0),DT62-VLOOKUP($P62&amp;" | "&amp;DM$6,'Job Master'!$F$12:$I$102,4,0)-1),""),"")</f>
        <v/>
      </c>
      <c r="DP62" s="73"/>
      <c r="DQ62" s="123" t="str">
        <f t="shared" si="49"/>
        <v/>
      </c>
      <c r="DR62" s="123" t="str">
        <f t="shared" si="50"/>
        <v/>
      </c>
      <c r="DS62" s="97" t="str">
        <f t="shared" ca="1" si="51"/>
        <v/>
      </c>
      <c r="DT62" s="70" t="str">
        <f t="shared" si="52"/>
        <v/>
      </c>
      <c r="DU62" s="90"/>
      <c r="DV62" s="123" t="str">
        <f t="shared" si="53"/>
        <v/>
      </c>
      <c r="DW62" s="123" t="str">
        <f t="shared" si="54"/>
        <v/>
      </c>
      <c r="DX62" s="132" t="str">
        <f t="shared" ref="DX62" ca="1" si="123">IF(DT62&lt;&gt;"",IF(WEEKNUM(DT62)=WEEKNUM(TODAY()),"This Week",IF(WEEKNUM(DT62)=WEEKNUM(TODAY())+1,"Next Week",IF(WEEKNUM(DT62)=WEEKNUM(TODAY())-1,"Previous Week",""))),"")</f>
        <v/>
      </c>
      <c r="DY62" s="134" t="str">
        <f t="shared" si="56"/>
        <v/>
      </c>
      <c r="DZ62" s="95"/>
      <c r="EB62" s="8" t="str">
        <f t="shared" si="67"/>
        <v/>
      </c>
      <c r="EC62" s="8" t="str">
        <f>IF(O62&lt;&gt;"",VLOOKUP(O62,'Job Master'!$N$12:$O$18,2,0),"")</f>
        <v/>
      </c>
      <c r="ED62" s="8">
        <f t="shared" si="68"/>
        <v>19.5</v>
      </c>
      <c r="EE62" s="8">
        <f t="shared" si="69"/>
        <v>6</v>
      </c>
      <c r="EF62" s="8">
        <f t="shared" si="70"/>
        <v>-292.5</v>
      </c>
      <c r="EG62" s="8" t="str">
        <f t="shared" si="71"/>
        <v/>
      </c>
      <c r="EH62" s="8" t="str">
        <f t="shared" si="72"/>
        <v/>
      </c>
    </row>
    <row r="63" spans="2:138" x14ac:dyDescent="0.3">
      <c r="B63" s="112"/>
      <c r="C63" s="27"/>
      <c r="D63" s="7" t="str">
        <f t="shared" si="1"/>
        <v/>
      </c>
      <c r="E63" s="25"/>
      <c r="F63" s="7" t="str">
        <f t="shared" si="1"/>
        <v/>
      </c>
      <c r="G63" s="25"/>
      <c r="H63" s="7" t="str">
        <f t="shared" si="1"/>
        <v/>
      </c>
      <c r="I63" s="25"/>
      <c r="J63" s="7" t="str">
        <f t="shared" si="1"/>
        <v/>
      </c>
      <c r="K63" s="25"/>
      <c r="L63" s="7" t="str">
        <f t="shared" si="2"/>
        <v/>
      </c>
      <c r="M63" s="25"/>
      <c r="N63" s="7" t="str">
        <f t="shared" si="3"/>
        <v/>
      </c>
      <c r="O63" s="81"/>
      <c r="P63" s="81" t="str">
        <f t="shared" si="4"/>
        <v/>
      </c>
      <c r="Q63" s="81"/>
      <c r="R63" s="7" t="str">
        <f t="shared" si="5"/>
        <v/>
      </c>
      <c r="S63" s="25"/>
      <c r="T63" s="7" t="str">
        <f t="shared" si="6"/>
        <v/>
      </c>
      <c r="U63" s="25"/>
      <c r="V63" s="7" t="str">
        <f t="shared" si="7"/>
        <v/>
      </c>
      <c r="W63" s="25"/>
      <c r="X63" s="7" t="str">
        <f t="shared" si="8"/>
        <v/>
      </c>
      <c r="Y63" s="18" t="str">
        <f t="shared" si="9"/>
        <v/>
      </c>
      <c r="Z63" s="7" t="str">
        <f t="shared" si="10"/>
        <v/>
      </c>
      <c r="AA63" s="18" t="str">
        <f t="shared" si="11"/>
        <v/>
      </c>
      <c r="AB63" s="19" t="str">
        <f t="shared" si="12"/>
        <v/>
      </c>
      <c r="AC63" s="26"/>
      <c r="AD63" s="26"/>
      <c r="AE63" s="25"/>
      <c r="AF63" s="26"/>
      <c r="AG63" s="25"/>
      <c r="AH63" s="25"/>
      <c r="AI63" s="18" t="str">
        <f t="shared" si="83"/>
        <v/>
      </c>
      <c r="AJ63" s="25"/>
      <c r="AK63" s="18" t="str">
        <f t="shared" si="84"/>
        <v/>
      </c>
      <c r="AL63" s="79"/>
      <c r="AM63" s="126" t="str">
        <f t="shared" si="85"/>
        <v/>
      </c>
      <c r="AN63" s="128" t="str">
        <f>IF(AP63&lt;&gt;"",VLOOKUP($P63&amp;" | "&amp;AN$6,'Job Master'!$F$12:$J$102,5,0),"")</f>
        <v/>
      </c>
      <c r="AO63" s="19" t="str">
        <f>IF(AP63&lt;&gt;"",VLOOKUP($P63&amp;" | "&amp;AN$6,'Job Master'!$F$12:$J$102,3,0),"")</f>
        <v/>
      </c>
      <c r="AP63" s="19" t="str">
        <f>IFERROR(IF(AND(AW63&lt;&gt;"",VLOOKUP($P63&amp;" | "&amp;AN$6,'Job Master'!$F$12:$I$102,4,0)&lt;&gt;""),IF(WEEKDAY(AW63-VLOOKUP($P63&amp;" | "&amp;AN$6,'Job Master'!$F$12:$I$102,4,0))&lt;&gt;7,AW63-VLOOKUP($P63&amp;" | "&amp;AN$6,'Job Master'!$F$12:$I$102,4,0),AW63-VLOOKUP($P63&amp;" | "&amp;AN$6,'Job Master'!$F$12:$I$102,4,0)-1),""),"")</f>
        <v/>
      </c>
      <c r="AQ63" s="73"/>
      <c r="AR63" s="123" t="str">
        <f t="shared" si="16"/>
        <v/>
      </c>
      <c r="AS63" s="123" t="str">
        <f t="shared" si="17"/>
        <v/>
      </c>
      <c r="AT63" s="97" t="str">
        <f t="shared" ca="1" si="18"/>
        <v/>
      </c>
      <c r="AU63" s="98" t="str">
        <f>IF(AW63&lt;&gt;"",VLOOKUP($P63&amp;" | "&amp;AU$6,'Job Master'!$F$12:$J$102,5,0),"")</f>
        <v/>
      </c>
      <c r="AV63" s="19" t="str">
        <f>IF(AW63&lt;&gt;"",VLOOKUP($P63&amp;" | "&amp;AU$6,'Job Master'!$F$12:$J$102,3,0),"")</f>
        <v/>
      </c>
      <c r="AW63" s="19" t="str">
        <f>IFERROR(IF(AND(BD63&lt;&gt;"",VLOOKUP($P63&amp;" | "&amp;AU$6,'Job Master'!$F$12:$I$102,4,0)&lt;&gt;""),IF(WEEKDAY(BD63-VLOOKUP($P63&amp;" | "&amp;AU$6,'Job Master'!$F$12:$I$102,4,0))&lt;&gt;7,BD63-VLOOKUP($P63&amp;" | "&amp;AU$6,'Job Master'!$F$12:$I$102,4,0),BD63-VLOOKUP($P63&amp;" | "&amp;AU$6,'Job Master'!$F$12:$I$102,4,0)-1),""),"")</f>
        <v/>
      </c>
      <c r="AX63" s="73"/>
      <c r="AY63" s="123" t="str">
        <f t="shared" si="19"/>
        <v/>
      </c>
      <c r="AZ63" s="123" t="str">
        <f t="shared" si="20"/>
        <v/>
      </c>
      <c r="BA63" s="97" t="str">
        <f t="shared" ca="1" si="21"/>
        <v/>
      </c>
      <c r="BB63" s="98" t="str">
        <f>IF(BD63&lt;&gt;"",VLOOKUP($P63&amp;" | "&amp;BB$6,'Job Master'!$F$12:$J$102,5,0),"")</f>
        <v/>
      </c>
      <c r="BC63" s="19" t="str">
        <f>IF(BD63&lt;&gt;"",VLOOKUP($P63&amp;" | "&amp;BB$6,'Job Master'!$F$12:$J$102,3,0),"")</f>
        <v/>
      </c>
      <c r="BD63" s="19" t="str">
        <f>IFERROR(IF(AND(BK63&lt;&gt;"",VLOOKUP($P63&amp;" | "&amp;BB$6,'Job Master'!$F$12:$I$102,4,0)&lt;&gt;""),IF(WEEKDAY(BK63-VLOOKUP($P63&amp;" | "&amp;BB$6,'Job Master'!$F$12:$I$102,4,0))&lt;&gt;7,BK63-VLOOKUP($P63&amp;" | "&amp;BB$6,'Job Master'!$F$12:$I$102,4,0),BK63-VLOOKUP($P63&amp;" | "&amp;BB$6,'Job Master'!$F$12:$I$102,4,0)-1),""),"")</f>
        <v/>
      </c>
      <c r="BE63" s="73"/>
      <c r="BF63" s="123" t="str">
        <f t="shared" si="22"/>
        <v/>
      </c>
      <c r="BG63" s="123" t="str">
        <f t="shared" si="23"/>
        <v/>
      </c>
      <c r="BH63" s="97" t="str">
        <f t="shared" ca="1" si="24"/>
        <v/>
      </c>
      <c r="BI63" s="98" t="str">
        <f>IF(BK63&lt;&gt;"",VLOOKUP($P63&amp;" | "&amp;BI$6,'Job Master'!$F$12:$J$102,5,0),"")</f>
        <v/>
      </c>
      <c r="BJ63" s="19" t="str">
        <f>IF(BK63&lt;&gt;"",VLOOKUP($P63&amp;" | "&amp;BI$6,'Job Master'!$F$12:$J$102,3,0),"")</f>
        <v/>
      </c>
      <c r="BK63" s="19" t="str">
        <f>IFERROR(IF(AND(BR63&lt;&gt;"",VLOOKUP($P63&amp;" | "&amp;BI$6,'Job Master'!$F$12:$I$102,4,0)&lt;&gt;""),IF(WEEKDAY(BR63-VLOOKUP($P63&amp;" | "&amp;BI$6,'Job Master'!$F$12:$I$102,4,0))&lt;&gt;7,BR63-VLOOKUP($P63&amp;" | "&amp;BI$6,'Job Master'!$F$12:$I$102,4,0),BR63-VLOOKUP($P63&amp;" | "&amp;BI$6,'Job Master'!$F$12:$I$102,4,0)-1),""),"")</f>
        <v/>
      </c>
      <c r="BL63" s="73"/>
      <c r="BM63" s="123" t="str">
        <f t="shared" si="25"/>
        <v/>
      </c>
      <c r="BN63" s="123" t="str">
        <f t="shared" si="26"/>
        <v/>
      </c>
      <c r="BO63" s="97" t="str">
        <f t="shared" ca="1" si="27"/>
        <v/>
      </c>
      <c r="BP63" s="98" t="str">
        <f>IF(BR63&lt;&gt;"",VLOOKUP($P63&amp;" | "&amp;BP$6,'Job Master'!$F$12:$J$102,5,0),"")</f>
        <v/>
      </c>
      <c r="BQ63" s="19" t="str">
        <f>IF(BR63&lt;&gt;"",VLOOKUP($P63&amp;" | "&amp;BP$6,'Job Master'!$F$12:$J$102,3,0),"")</f>
        <v/>
      </c>
      <c r="BR63" s="19" t="str">
        <f>IFERROR(IF(AND(BY63&lt;&gt;"",VLOOKUP($P63&amp;" | "&amp;BP$6,'Job Master'!$F$12:$I$102,4,0)&lt;&gt;""),IF(WEEKDAY(BY63-VLOOKUP($P63&amp;" | "&amp;BP$6,'Job Master'!$F$12:$I$102,4,0))&lt;&gt;7,BY63-VLOOKUP($P63&amp;" | "&amp;BP$6,'Job Master'!$F$12:$I$102,4,0),BY63-VLOOKUP($P63&amp;" | "&amp;BP$6,'Job Master'!$F$12:$I$102,4,0)-1),""),"")</f>
        <v/>
      </c>
      <c r="BS63" s="73"/>
      <c r="BT63" s="123" t="str">
        <f t="shared" si="28"/>
        <v/>
      </c>
      <c r="BU63" s="123" t="str">
        <f t="shared" si="29"/>
        <v/>
      </c>
      <c r="BV63" s="97" t="str">
        <f t="shared" ca="1" si="30"/>
        <v/>
      </c>
      <c r="BW63" s="98" t="str">
        <f>IF(BY63&lt;&gt;"",VLOOKUP($P63&amp;" | "&amp;BW$6,'Job Master'!$F$12:$J$102,5,0),"")</f>
        <v/>
      </c>
      <c r="BX63" s="19" t="str">
        <f>IF(BY63&lt;&gt;"",VLOOKUP($P63&amp;" | "&amp;BW$6,'Job Master'!$F$12:$J$102,3,0),"")</f>
        <v/>
      </c>
      <c r="BY63" s="19" t="str">
        <f>IFERROR(IF(AND(CF63&lt;&gt;"",VLOOKUP($P63&amp;" | "&amp;BW$6,'Job Master'!$F$12:$I$102,4,0)&lt;&gt;""),IF(WEEKDAY(CF63-VLOOKUP($P63&amp;" | "&amp;BW$6,'Job Master'!$F$12:$I$102,4,0))&lt;&gt;7,CF63-VLOOKUP($P63&amp;" | "&amp;BW$6,'Job Master'!$F$12:$I$102,4,0),CF63-VLOOKUP($P63&amp;" | "&amp;BW$6,'Job Master'!$F$12:$I$102,4,0)-1),""),"")</f>
        <v/>
      </c>
      <c r="BZ63" s="73"/>
      <c r="CA63" s="123" t="str">
        <f t="shared" si="31"/>
        <v/>
      </c>
      <c r="CB63" s="123" t="str">
        <f t="shared" si="32"/>
        <v/>
      </c>
      <c r="CC63" s="97" t="str">
        <f t="shared" ca="1" si="33"/>
        <v/>
      </c>
      <c r="CD63" s="98" t="str">
        <f>IF(CF63&lt;&gt;"",VLOOKUP($P63&amp;" | "&amp;CD$6,'Job Master'!$F$12:$J$102,5,0),"")</f>
        <v/>
      </c>
      <c r="CE63" s="19" t="str">
        <f>IF(CF63&lt;&gt;"",VLOOKUP($P63&amp;" | "&amp;CD$6,'Job Master'!$F$12:$J$102,3,0),"")</f>
        <v/>
      </c>
      <c r="CF63" s="19" t="str">
        <f>IFERROR(IF(AND(CM63&lt;&gt;"",VLOOKUP($P63&amp;" | "&amp;CD$6,'Job Master'!$F$12:$I$102,4,0)&lt;&gt;""),IF(WEEKDAY(CM63-VLOOKUP($P63&amp;" | "&amp;CD$6,'Job Master'!$F$12:$I$102,4,0))&lt;&gt;7,CM63-VLOOKUP($P63&amp;" | "&amp;CD$6,'Job Master'!$F$12:$I$102,4,0),CM63-VLOOKUP($P63&amp;" | "&amp;CD$6,'Job Master'!$F$12:$I$102,4,0)-1),""),"")</f>
        <v/>
      </c>
      <c r="CG63" s="73"/>
      <c r="CH63" s="123" t="str">
        <f t="shared" si="34"/>
        <v/>
      </c>
      <c r="CI63" s="123" t="str">
        <f t="shared" si="35"/>
        <v/>
      </c>
      <c r="CJ63" s="97" t="str">
        <f t="shared" ca="1" si="36"/>
        <v/>
      </c>
      <c r="CK63" s="98" t="str">
        <f>IF(CM63&lt;&gt;"",VLOOKUP($P63&amp;" | "&amp;CK$6,'Job Master'!$F$12:$J$102,5,0),"")</f>
        <v/>
      </c>
      <c r="CL63" s="19" t="str">
        <f>IF(CM63&lt;&gt;"",VLOOKUP($P63&amp;" | "&amp;CK$6,'Job Master'!$F$12:$J$102,3,0),"")</f>
        <v/>
      </c>
      <c r="CM63" s="19" t="str">
        <f>IFERROR(IF(AND(CT63&lt;&gt;"",VLOOKUP($P63&amp;" | "&amp;CK$6,'Job Master'!$F$12:$I$102,4,0)&lt;&gt;""),IF(WEEKDAY(CT63-VLOOKUP($P63&amp;" | "&amp;CK$6,'Job Master'!$F$12:$I$102,4,0))&lt;&gt;7,CT63-VLOOKUP($P63&amp;" | "&amp;CK$6,'Job Master'!$F$12:$I$102,4,0),CT63-VLOOKUP($P63&amp;" | "&amp;CK$6,'Job Master'!$F$12:$I$102,4,0)-1),""),"")</f>
        <v/>
      </c>
      <c r="CN63" s="73"/>
      <c r="CO63" s="123" t="str">
        <f t="shared" si="37"/>
        <v/>
      </c>
      <c r="CP63" s="123" t="str">
        <f t="shared" si="38"/>
        <v/>
      </c>
      <c r="CQ63" s="97" t="str">
        <f t="shared" ca="1" si="39"/>
        <v/>
      </c>
      <c r="CR63" s="98" t="str">
        <f>IF(CT63&lt;&gt;"",VLOOKUP($P63&amp;" | "&amp;CR$6,'Job Master'!$F$12:$J$102,5,0),"")</f>
        <v/>
      </c>
      <c r="CS63" s="19" t="str">
        <f>IF(CT63&lt;&gt;"",VLOOKUP($P63&amp;" | "&amp;CR$6,'Job Master'!$F$12:$J$102,3,0),"")</f>
        <v/>
      </c>
      <c r="CT63" s="19" t="str">
        <f>IFERROR(IF(AND(DA63&lt;&gt;"",VLOOKUP($P63&amp;" | "&amp;CR$6,'Job Master'!$F$12:$I$102,4,0)&lt;&gt;""),IF(WEEKDAY(DA63-VLOOKUP($P63&amp;" | "&amp;CR$6,'Job Master'!$F$12:$I$102,4,0))&lt;&gt;7,DA63-VLOOKUP($P63&amp;" | "&amp;CR$6,'Job Master'!$F$12:$I$102,4,0),DA63-VLOOKUP($P63&amp;" | "&amp;CR$6,'Job Master'!$F$12:$I$102,4,0)-1),""),"")</f>
        <v/>
      </c>
      <c r="CU63" s="73"/>
      <c r="CV63" s="123" t="str">
        <f t="shared" si="40"/>
        <v/>
      </c>
      <c r="CW63" s="123" t="str">
        <f t="shared" si="41"/>
        <v/>
      </c>
      <c r="CX63" s="97" t="str">
        <f t="shared" ca="1" si="42"/>
        <v/>
      </c>
      <c r="CY63" s="98" t="str">
        <f>IF(DA63&lt;&gt;"",VLOOKUP($P63&amp;" | "&amp;CY$6,'Job Master'!$F$12:$J$102,5,0),"")</f>
        <v/>
      </c>
      <c r="CZ63" s="19" t="str">
        <f>IF(DA63&lt;&gt;"",VLOOKUP($P63&amp;" | "&amp;CY$6,'Job Master'!$F$12:$J$102,3,0),"")</f>
        <v/>
      </c>
      <c r="DA63" s="19" t="str">
        <f>IFERROR(IF(AND(DH63&lt;&gt;"",VLOOKUP($P63&amp;" | "&amp;CY$6,'Job Master'!$F$12:$I$102,4,0)&lt;&gt;""),IF(WEEKDAY(DH63-VLOOKUP($P63&amp;" | "&amp;CY$6,'Job Master'!$F$12:$I$102,4,0))&lt;&gt;7,DH63-VLOOKUP($P63&amp;" | "&amp;CY$6,'Job Master'!$F$12:$I$102,4,0),DH63-VLOOKUP($P63&amp;" | "&amp;CY$6,'Job Master'!$F$12:$I$102,4,0)-1),""),"")</f>
        <v/>
      </c>
      <c r="DB63" s="73"/>
      <c r="DC63" s="123" t="str">
        <f t="shared" si="43"/>
        <v/>
      </c>
      <c r="DD63" s="123" t="str">
        <f t="shared" si="44"/>
        <v/>
      </c>
      <c r="DE63" s="97" t="str">
        <f t="shared" ca="1" si="45"/>
        <v/>
      </c>
      <c r="DF63" s="98" t="str">
        <f>IF(DH63&lt;&gt;"",VLOOKUP($P63&amp;" | "&amp;DF$6,'Job Master'!$F$12:$J$102,5,0),"")</f>
        <v/>
      </c>
      <c r="DG63" s="19" t="str">
        <f>IF(DH63&lt;&gt;"",VLOOKUP($P63&amp;" | "&amp;DF$6,'Job Master'!$F$12:$J$102,3,0),"")</f>
        <v/>
      </c>
      <c r="DH63" s="19" t="str">
        <f>IFERROR(IF(AND(DO63&lt;&gt;"",VLOOKUP($P63&amp;" | "&amp;DF$6,'Job Master'!$F$12:$I$102,4,0)&lt;&gt;""),IF(WEEKDAY(DO63-VLOOKUP($P63&amp;" | "&amp;DF$6,'Job Master'!$F$12:$I$102,4,0))&lt;&gt;7,DO63-VLOOKUP($P63&amp;" | "&amp;DF$6,'Job Master'!$F$12:$I$102,4,0),DO63-VLOOKUP($P63&amp;" | "&amp;DF$6,'Job Master'!$F$12:$I$102,4,0)-1),""),"")</f>
        <v/>
      </c>
      <c r="DI63" s="73"/>
      <c r="DJ63" s="123" t="str">
        <f t="shared" si="46"/>
        <v/>
      </c>
      <c r="DK63" s="123" t="str">
        <f t="shared" si="47"/>
        <v/>
      </c>
      <c r="DL63" s="97" t="str">
        <f t="shared" ca="1" si="48"/>
        <v/>
      </c>
      <c r="DM63" s="98" t="str">
        <f>IF(DO63&lt;&gt;"",VLOOKUP($P63&amp;" | "&amp;DM$6,'Job Master'!$F$12:$J$102,5,0),"")</f>
        <v/>
      </c>
      <c r="DN63" s="19" t="str">
        <f>IF(DO63&lt;&gt;"",VLOOKUP($P63&amp;" | "&amp;DM$6,'Job Master'!$F$12:$J$102,3,0),"")</f>
        <v/>
      </c>
      <c r="DO63" s="19" t="str">
        <f>IFERROR(IF(AND(DT63&lt;&gt;"",VLOOKUP($P63&amp;" | "&amp;DM$6,'Job Master'!$F$12:$I$102,4,0)&lt;&gt;""),IF(WEEKDAY(DT63-VLOOKUP($P63&amp;" | "&amp;DM$6,'Job Master'!$F$12:$I$102,4,0))&lt;&gt;7,DT63-VLOOKUP($P63&amp;" | "&amp;DM$6,'Job Master'!$F$12:$I$102,4,0),DT63-VLOOKUP($P63&amp;" | "&amp;DM$6,'Job Master'!$F$12:$I$102,4,0)-1),""),"")</f>
        <v/>
      </c>
      <c r="DP63" s="73"/>
      <c r="DQ63" s="123" t="str">
        <f t="shared" si="49"/>
        <v/>
      </c>
      <c r="DR63" s="123" t="str">
        <f t="shared" si="50"/>
        <v/>
      </c>
      <c r="DS63" s="97" t="str">
        <f t="shared" ca="1" si="51"/>
        <v/>
      </c>
      <c r="DT63" s="70" t="str">
        <f t="shared" si="52"/>
        <v/>
      </c>
      <c r="DU63" s="90"/>
      <c r="DV63" s="123" t="str">
        <f t="shared" si="53"/>
        <v/>
      </c>
      <c r="DW63" s="123" t="str">
        <f t="shared" si="54"/>
        <v/>
      </c>
      <c r="DX63" s="132" t="str">
        <f t="shared" ref="DX63" ca="1" si="124">IF(DT63&lt;&gt;"",IF(WEEKNUM(DT63)=WEEKNUM(TODAY()),"This Week",IF(WEEKNUM(DT63)=WEEKNUM(TODAY())+1,"Next Week",IF(WEEKNUM(DT63)=WEEKNUM(TODAY())-1,"Previous Week",""))),"")</f>
        <v/>
      </c>
      <c r="DY63" s="134" t="str">
        <f t="shared" si="56"/>
        <v/>
      </c>
      <c r="DZ63" s="95"/>
      <c r="EB63" s="8" t="str">
        <f t="shared" si="67"/>
        <v/>
      </c>
      <c r="EC63" s="8" t="str">
        <f>IF(O63&lt;&gt;"",VLOOKUP(O63,'Job Master'!$N$12:$O$18,2,0),"")</f>
        <v/>
      </c>
      <c r="ED63" s="8">
        <f t="shared" si="68"/>
        <v>19.5</v>
      </c>
      <c r="EE63" s="8">
        <f t="shared" si="69"/>
        <v>6</v>
      </c>
      <c r="EF63" s="8">
        <f t="shared" si="70"/>
        <v>-298.5</v>
      </c>
      <c r="EG63" s="8" t="str">
        <f t="shared" si="71"/>
        <v/>
      </c>
      <c r="EH63" s="8" t="str">
        <f t="shared" si="72"/>
        <v/>
      </c>
    </row>
    <row r="64" spans="2:138" x14ac:dyDescent="0.3">
      <c r="B64" s="112"/>
      <c r="C64" s="27"/>
      <c r="D64" s="7" t="str">
        <f t="shared" si="1"/>
        <v/>
      </c>
      <c r="E64" s="25"/>
      <c r="F64" s="7" t="str">
        <f t="shared" si="1"/>
        <v/>
      </c>
      <c r="G64" s="25"/>
      <c r="H64" s="7" t="str">
        <f t="shared" si="1"/>
        <v/>
      </c>
      <c r="I64" s="25"/>
      <c r="J64" s="7" t="str">
        <f t="shared" si="1"/>
        <v/>
      </c>
      <c r="K64" s="25"/>
      <c r="L64" s="7" t="str">
        <f t="shared" si="2"/>
        <v/>
      </c>
      <c r="M64" s="25"/>
      <c r="N64" s="7" t="str">
        <f t="shared" si="3"/>
        <v/>
      </c>
      <c r="O64" s="81"/>
      <c r="P64" s="81" t="str">
        <f t="shared" si="4"/>
        <v/>
      </c>
      <c r="Q64" s="81"/>
      <c r="R64" s="7" t="str">
        <f t="shared" si="5"/>
        <v/>
      </c>
      <c r="S64" s="25"/>
      <c r="T64" s="7" t="str">
        <f t="shared" si="6"/>
        <v/>
      </c>
      <c r="U64" s="25"/>
      <c r="V64" s="7" t="str">
        <f t="shared" si="7"/>
        <v/>
      </c>
      <c r="W64" s="25"/>
      <c r="X64" s="7" t="str">
        <f t="shared" si="8"/>
        <v/>
      </c>
      <c r="Y64" s="18" t="str">
        <f t="shared" si="9"/>
        <v/>
      </c>
      <c r="Z64" s="7" t="str">
        <f t="shared" si="10"/>
        <v/>
      </c>
      <c r="AA64" s="18" t="str">
        <f t="shared" si="11"/>
        <v/>
      </c>
      <c r="AB64" s="19" t="str">
        <f t="shared" si="12"/>
        <v/>
      </c>
      <c r="AC64" s="26"/>
      <c r="AD64" s="26"/>
      <c r="AE64" s="25"/>
      <c r="AF64" s="26"/>
      <c r="AG64" s="25"/>
      <c r="AH64" s="25"/>
      <c r="AI64" s="18" t="str">
        <f t="shared" si="83"/>
        <v/>
      </c>
      <c r="AJ64" s="25"/>
      <c r="AK64" s="18" t="str">
        <f t="shared" si="84"/>
        <v/>
      </c>
      <c r="AL64" s="79"/>
      <c r="AM64" s="126" t="str">
        <f t="shared" si="85"/>
        <v/>
      </c>
      <c r="AN64" s="128" t="str">
        <f>IF(AP64&lt;&gt;"",VLOOKUP($P64&amp;" | "&amp;AN$6,'Job Master'!$F$12:$J$102,5,0),"")</f>
        <v/>
      </c>
      <c r="AO64" s="19" t="str">
        <f>IF(AP64&lt;&gt;"",VLOOKUP($P64&amp;" | "&amp;AN$6,'Job Master'!$F$12:$J$102,3,0),"")</f>
        <v/>
      </c>
      <c r="AP64" s="19" t="str">
        <f>IFERROR(IF(AND(AW64&lt;&gt;"",VLOOKUP($P64&amp;" | "&amp;AN$6,'Job Master'!$F$12:$I$102,4,0)&lt;&gt;""),IF(WEEKDAY(AW64-VLOOKUP($P64&amp;" | "&amp;AN$6,'Job Master'!$F$12:$I$102,4,0))&lt;&gt;7,AW64-VLOOKUP($P64&amp;" | "&amp;AN$6,'Job Master'!$F$12:$I$102,4,0),AW64-VLOOKUP($P64&amp;" | "&amp;AN$6,'Job Master'!$F$12:$I$102,4,0)-1),""),"")</f>
        <v/>
      </c>
      <c r="AQ64" s="73"/>
      <c r="AR64" s="123" t="str">
        <f t="shared" si="16"/>
        <v/>
      </c>
      <c r="AS64" s="123" t="str">
        <f t="shared" si="17"/>
        <v/>
      </c>
      <c r="AT64" s="97" t="str">
        <f t="shared" ca="1" si="18"/>
        <v/>
      </c>
      <c r="AU64" s="98" t="str">
        <f>IF(AW64&lt;&gt;"",VLOOKUP($P64&amp;" | "&amp;AU$6,'Job Master'!$F$12:$J$102,5,0),"")</f>
        <v/>
      </c>
      <c r="AV64" s="19" t="str">
        <f>IF(AW64&lt;&gt;"",VLOOKUP($P64&amp;" | "&amp;AU$6,'Job Master'!$F$12:$J$102,3,0),"")</f>
        <v/>
      </c>
      <c r="AW64" s="19" t="str">
        <f>IFERROR(IF(AND(BD64&lt;&gt;"",VLOOKUP($P64&amp;" | "&amp;AU$6,'Job Master'!$F$12:$I$102,4,0)&lt;&gt;""),IF(WEEKDAY(BD64-VLOOKUP($P64&amp;" | "&amp;AU$6,'Job Master'!$F$12:$I$102,4,0))&lt;&gt;7,BD64-VLOOKUP($P64&amp;" | "&amp;AU$6,'Job Master'!$F$12:$I$102,4,0),BD64-VLOOKUP($P64&amp;" | "&amp;AU$6,'Job Master'!$F$12:$I$102,4,0)-1),""),"")</f>
        <v/>
      </c>
      <c r="AX64" s="73"/>
      <c r="AY64" s="123" t="str">
        <f t="shared" si="19"/>
        <v/>
      </c>
      <c r="AZ64" s="123" t="str">
        <f t="shared" si="20"/>
        <v/>
      </c>
      <c r="BA64" s="97" t="str">
        <f t="shared" ca="1" si="21"/>
        <v/>
      </c>
      <c r="BB64" s="98" t="str">
        <f>IF(BD64&lt;&gt;"",VLOOKUP($P64&amp;" | "&amp;BB$6,'Job Master'!$F$12:$J$102,5,0),"")</f>
        <v/>
      </c>
      <c r="BC64" s="19" t="str">
        <f>IF(BD64&lt;&gt;"",VLOOKUP($P64&amp;" | "&amp;BB$6,'Job Master'!$F$12:$J$102,3,0),"")</f>
        <v/>
      </c>
      <c r="BD64" s="19" t="str">
        <f>IFERROR(IF(AND(BK64&lt;&gt;"",VLOOKUP($P64&amp;" | "&amp;BB$6,'Job Master'!$F$12:$I$102,4,0)&lt;&gt;""),IF(WEEKDAY(BK64-VLOOKUP($P64&amp;" | "&amp;BB$6,'Job Master'!$F$12:$I$102,4,0))&lt;&gt;7,BK64-VLOOKUP($P64&amp;" | "&amp;BB$6,'Job Master'!$F$12:$I$102,4,0),BK64-VLOOKUP($P64&amp;" | "&amp;BB$6,'Job Master'!$F$12:$I$102,4,0)-1),""),"")</f>
        <v/>
      </c>
      <c r="BE64" s="73"/>
      <c r="BF64" s="123" t="str">
        <f t="shared" si="22"/>
        <v/>
      </c>
      <c r="BG64" s="123" t="str">
        <f t="shared" si="23"/>
        <v/>
      </c>
      <c r="BH64" s="97" t="str">
        <f t="shared" ca="1" si="24"/>
        <v/>
      </c>
      <c r="BI64" s="98" t="str">
        <f>IF(BK64&lt;&gt;"",VLOOKUP($P64&amp;" | "&amp;BI$6,'Job Master'!$F$12:$J$102,5,0),"")</f>
        <v/>
      </c>
      <c r="BJ64" s="19" t="str">
        <f>IF(BK64&lt;&gt;"",VLOOKUP($P64&amp;" | "&amp;BI$6,'Job Master'!$F$12:$J$102,3,0),"")</f>
        <v/>
      </c>
      <c r="BK64" s="19" t="str">
        <f>IFERROR(IF(AND(BR64&lt;&gt;"",VLOOKUP($P64&amp;" | "&amp;BI$6,'Job Master'!$F$12:$I$102,4,0)&lt;&gt;""),IF(WEEKDAY(BR64-VLOOKUP($P64&amp;" | "&amp;BI$6,'Job Master'!$F$12:$I$102,4,0))&lt;&gt;7,BR64-VLOOKUP($P64&amp;" | "&amp;BI$6,'Job Master'!$F$12:$I$102,4,0),BR64-VLOOKUP($P64&amp;" | "&amp;BI$6,'Job Master'!$F$12:$I$102,4,0)-1),""),"")</f>
        <v/>
      </c>
      <c r="BL64" s="73"/>
      <c r="BM64" s="123" t="str">
        <f t="shared" si="25"/>
        <v/>
      </c>
      <c r="BN64" s="123" t="str">
        <f t="shared" si="26"/>
        <v/>
      </c>
      <c r="BO64" s="97" t="str">
        <f t="shared" ca="1" si="27"/>
        <v/>
      </c>
      <c r="BP64" s="98" t="str">
        <f>IF(BR64&lt;&gt;"",VLOOKUP($P64&amp;" | "&amp;BP$6,'Job Master'!$F$12:$J$102,5,0),"")</f>
        <v/>
      </c>
      <c r="BQ64" s="19" t="str">
        <f>IF(BR64&lt;&gt;"",VLOOKUP($P64&amp;" | "&amp;BP$6,'Job Master'!$F$12:$J$102,3,0),"")</f>
        <v/>
      </c>
      <c r="BR64" s="19" t="str">
        <f>IFERROR(IF(AND(BY64&lt;&gt;"",VLOOKUP($P64&amp;" | "&amp;BP$6,'Job Master'!$F$12:$I$102,4,0)&lt;&gt;""),IF(WEEKDAY(BY64-VLOOKUP($P64&amp;" | "&amp;BP$6,'Job Master'!$F$12:$I$102,4,0))&lt;&gt;7,BY64-VLOOKUP($P64&amp;" | "&amp;BP$6,'Job Master'!$F$12:$I$102,4,0),BY64-VLOOKUP($P64&amp;" | "&amp;BP$6,'Job Master'!$F$12:$I$102,4,0)-1),""),"")</f>
        <v/>
      </c>
      <c r="BS64" s="73"/>
      <c r="BT64" s="123" t="str">
        <f t="shared" si="28"/>
        <v/>
      </c>
      <c r="BU64" s="123" t="str">
        <f t="shared" si="29"/>
        <v/>
      </c>
      <c r="BV64" s="97" t="str">
        <f t="shared" ca="1" si="30"/>
        <v/>
      </c>
      <c r="BW64" s="98" t="str">
        <f>IF(BY64&lt;&gt;"",VLOOKUP($P64&amp;" | "&amp;BW$6,'Job Master'!$F$12:$J$102,5,0),"")</f>
        <v/>
      </c>
      <c r="BX64" s="19" t="str">
        <f>IF(BY64&lt;&gt;"",VLOOKUP($P64&amp;" | "&amp;BW$6,'Job Master'!$F$12:$J$102,3,0),"")</f>
        <v/>
      </c>
      <c r="BY64" s="19" t="str">
        <f>IFERROR(IF(AND(CF64&lt;&gt;"",VLOOKUP($P64&amp;" | "&amp;BW$6,'Job Master'!$F$12:$I$102,4,0)&lt;&gt;""),IF(WEEKDAY(CF64-VLOOKUP($P64&amp;" | "&amp;BW$6,'Job Master'!$F$12:$I$102,4,0))&lt;&gt;7,CF64-VLOOKUP($P64&amp;" | "&amp;BW$6,'Job Master'!$F$12:$I$102,4,0),CF64-VLOOKUP($P64&amp;" | "&amp;BW$6,'Job Master'!$F$12:$I$102,4,0)-1),""),"")</f>
        <v/>
      </c>
      <c r="BZ64" s="73"/>
      <c r="CA64" s="123" t="str">
        <f t="shared" si="31"/>
        <v/>
      </c>
      <c r="CB64" s="123" t="str">
        <f t="shared" si="32"/>
        <v/>
      </c>
      <c r="CC64" s="97" t="str">
        <f t="shared" ca="1" si="33"/>
        <v/>
      </c>
      <c r="CD64" s="98" t="str">
        <f>IF(CF64&lt;&gt;"",VLOOKUP($P64&amp;" | "&amp;CD$6,'Job Master'!$F$12:$J$102,5,0),"")</f>
        <v/>
      </c>
      <c r="CE64" s="19" t="str">
        <f>IF(CF64&lt;&gt;"",VLOOKUP($P64&amp;" | "&amp;CD$6,'Job Master'!$F$12:$J$102,3,0),"")</f>
        <v/>
      </c>
      <c r="CF64" s="19" t="str">
        <f>IFERROR(IF(AND(CM64&lt;&gt;"",VLOOKUP($P64&amp;" | "&amp;CD$6,'Job Master'!$F$12:$I$102,4,0)&lt;&gt;""),IF(WEEKDAY(CM64-VLOOKUP($P64&amp;" | "&amp;CD$6,'Job Master'!$F$12:$I$102,4,0))&lt;&gt;7,CM64-VLOOKUP($P64&amp;" | "&amp;CD$6,'Job Master'!$F$12:$I$102,4,0),CM64-VLOOKUP($P64&amp;" | "&amp;CD$6,'Job Master'!$F$12:$I$102,4,0)-1),""),"")</f>
        <v/>
      </c>
      <c r="CG64" s="73"/>
      <c r="CH64" s="123" t="str">
        <f t="shared" si="34"/>
        <v/>
      </c>
      <c r="CI64" s="123" t="str">
        <f t="shared" si="35"/>
        <v/>
      </c>
      <c r="CJ64" s="97" t="str">
        <f t="shared" ca="1" si="36"/>
        <v/>
      </c>
      <c r="CK64" s="98" t="str">
        <f>IF(CM64&lt;&gt;"",VLOOKUP($P64&amp;" | "&amp;CK$6,'Job Master'!$F$12:$J$102,5,0),"")</f>
        <v/>
      </c>
      <c r="CL64" s="19" t="str">
        <f>IF(CM64&lt;&gt;"",VLOOKUP($P64&amp;" | "&amp;CK$6,'Job Master'!$F$12:$J$102,3,0),"")</f>
        <v/>
      </c>
      <c r="CM64" s="19" t="str">
        <f>IFERROR(IF(AND(CT64&lt;&gt;"",VLOOKUP($P64&amp;" | "&amp;CK$6,'Job Master'!$F$12:$I$102,4,0)&lt;&gt;""),IF(WEEKDAY(CT64-VLOOKUP($P64&amp;" | "&amp;CK$6,'Job Master'!$F$12:$I$102,4,0))&lt;&gt;7,CT64-VLOOKUP($P64&amp;" | "&amp;CK$6,'Job Master'!$F$12:$I$102,4,0),CT64-VLOOKUP($P64&amp;" | "&amp;CK$6,'Job Master'!$F$12:$I$102,4,0)-1),""),"")</f>
        <v/>
      </c>
      <c r="CN64" s="73"/>
      <c r="CO64" s="123" t="str">
        <f t="shared" si="37"/>
        <v/>
      </c>
      <c r="CP64" s="123" t="str">
        <f t="shared" si="38"/>
        <v/>
      </c>
      <c r="CQ64" s="97" t="str">
        <f t="shared" ca="1" si="39"/>
        <v/>
      </c>
      <c r="CR64" s="98" t="str">
        <f>IF(CT64&lt;&gt;"",VLOOKUP($P64&amp;" | "&amp;CR$6,'Job Master'!$F$12:$J$102,5,0),"")</f>
        <v/>
      </c>
      <c r="CS64" s="19" t="str">
        <f>IF(CT64&lt;&gt;"",VLOOKUP($P64&amp;" | "&amp;CR$6,'Job Master'!$F$12:$J$102,3,0),"")</f>
        <v/>
      </c>
      <c r="CT64" s="19" t="str">
        <f>IFERROR(IF(AND(DA64&lt;&gt;"",VLOOKUP($P64&amp;" | "&amp;CR$6,'Job Master'!$F$12:$I$102,4,0)&lt;&gt;""),IF(WEEKDAY(DA64-VLOOKUP($P64&amp;" | "&amp;CR$6,'Job Master'!$F$12:$I$102,4,0))&lt;&gt;7,DA64-VLOOKUP($P64&amp;" | "&amp;CR$6,'Job Master'!$F$12:$I$102,4,0),DA64-VLOOKUP($P64&amp;" | "&amp;CR$6,'Job Master'!$F$12:$I$102,4,0)-1),""),"")</f>
        <v/>
      </c>
      <c r="CU64" s="73"/>
      <c r="CV64" s="123" t="str">
        <f t="shared" si="40"/>
        <v/>
      </c>
      <c r="CW64" s="123" t="str">
        <f t="shared" si="41"/>
        <v/>
      </c>
      <c r="CX64" s="97" t="str">
        <f t="shared" ca="1" si="42"/>
        <v/>
      </c>
      <c r="CY64" s="98" t="str">
        <f>IF(DA64&lt;&gt;"",VLOOKUP($P64&amp;" | "&amp;CY$6,'Job Master'!$F$12:$J$102,5,0),"")</f>
        <v/>
      </c>
      <c r="CZ64" s="19" t="str">
        <f>IF(DA64&lt;&gt;"",VLOOKUP($P64&amp;" | "&amp;CY$6,'Job Master'!$F$12:$J$102,3,0),"")</f>
        <v/>
      </c>
      <c r="DA64" s="19" t="str">
        <f>IFERROR(IF(AND(DH64&lt;&gt;"",VLOOKUP($P64&amp;" | "&amp;CY$6,'Job Master'!$F$12:$I$102,4,0)&lt;&gt;""),IF(WEEKDAY(DH64-VLOOKUP($P64&amp;" | "&amp;CY$6,'Job Master'!$F$12:$I$102,4,0))&lt;&gt;7,DH64-VLOOKUP($P64&amp;" | "&amp;CY$6,'Job Master'!$F$12:$I$102,4,0),DH64-VLOOKUP($P64&amp;" | "&amp;CY$6,'Job Master'!$F$12:$I$102,4,0)-1),""),"")</f>
        <v/>
      </c>
      <c r="DB64" s="73"/>
      <c r="DC64" s="123" t="str">
        <f t="shared" si="43"/>
        <v/>
      </c>
      <c r="DD64" s="123" t="str">
        <f t="shared" si="44"/>
        <v/>
      </c>
      <c r="DE64" s="97" t="str">
        <f t="shared" ca="1" si="45"/>
        <v/>
      </c>
      <c r="DF64" s="98" t="str">
        <f>IF(DH64&lt;&gt;"",VLOOKUP($P64&amp;" | "&amp;DF$6,'Job Master'!$F$12:$J$102,5,0),"")</f>
        <v/>
      </c>
      <c r="DG64" s="19" t="str">
        <f>IF(DH64&lt;&gt;"",VLOOKUP($P64&amp;" | "&amp;DF$6,'Job Master'!$F$12:$J$102,3,0),"")</f>
        <v/>
      </c>
      <c r="DH64" s="19" t="str">
        <f>IFERROR(IF(AND(DO64&lt;&gt;"",VLOOKUP($P64&amp;" | "&amp;DF$6,'Job Master'!$F$12:$I$102,4,0)&lt;&gt;""),IF(WEEKDAY(DO64-VLOOKUP($P64&amp;" | "&amp;DF$6,'Job Master'!$F$12:$I$102,4,0))&lt;&gt;7,DO64-VLOOKUP($P64&amp;" | "&amp;DF$6,'Job Master'!$F$12:$I$102,4,0),DO64-VLOOKUP($P64&amp;" | "&amp;DF$6,'Job Master'!$F$12:$I$102,4,0)-1),""),"")</f>
        <v/>
      </c>
      <c r="DI64" s="73"/>
      <c r="DJ64" s="123" t="str">
        <f t="shared" si="46"/>
        <v/>
      </c>
      <c r="DK64" s="123" t="str">
        <f t="shared" si="47"/>
        <v/>
      </c>
      <c r="DL64" s="97" t="str">
        <f t="shared" ca="1" si="48"/>
        <v/>
      </c>
      <c r="DM64" s="98" t="str">
        <f>IF(DO64&lt;&gt;"",VLOOKUP($P64&amp;" | "&amp;DM$6,'Job Master'!$F$12:$J$102,5,0),"")</f>
        <v/>
      </c>
      <c r="DN64" s="19" t="str">
        <f>IF(DO64&lt;&gt;"",VLOOKUP($P64&amp;" | "&amp;DM$6,'Job Master'!$F$12:$J$102,3,0),"")</f>
        <v/>
      </c>
      <c r="DO64" s="19" t="str">
        <f>IFERROR(IF(AND(DT64&lt;&gt;"",VLOOKUP($P64&amp;" | "&amp;DM$6,'Job Master'!$F$12:$I$102,4,0)&lt;&gt;""),IF(WEEKDAY(DT64-VLOOKUP($P64&amp;" | "&amp;DM$6,'Job Master'!$F$12:$I$102,4,0))&lt;&gt;7,DT64-VLOOKUP($P64&amp;" | "&amp;DM$6,'Job Master'!$F$12:$I$102,4,0),DT64-VLOOKUP($P64&amp;" | "&amp;DM$6,'Job Master'!$F$12:$I$102,4,0)-1),""),"")</f>
        <v/>
      </c>
      <c r="DP64" s="73"/>
      <c r="DQ64" s="123" t="str">
        <f t="shared" si="49"/>
        <v/>
      </c>
      <c r="DR64" s="123" t="str">
        <f t="shared" si="50"/>
        <v/>
      </c>
      <c r="DS64" s="97" t="str">
        <f t="shared" ca="1" si="51"/>
        <v/>
      </c>
      <c r="DT64" s="70" t="str">
        <f t="shared" si="52"/>
        <v/>
      </c>
      <c r="DU64" s="90"/>
      <c r="DV64" s="123" t="str">
        <f t="shared" si="53"/>
        <v/>
      </c>
      <c r="DW64" s="123" t="str">
        <f t="shared" si="54"/>
        <v/>
      </c>
      <c r="DX64" s="132" t="str">
        <f t="shared" ref="DX64" ca="1" si="125">IF(DT64&lt;&gt;"",IF(WEEKNUM(DT64)=WEEKNUM(TODAY()),"This Week",IF(WEEKNUM(DT64)=WEEKNUM(TODAY())+1,"Next Week",IF(WEEKNUM(DT64)=WEEKNUM(TODAY())-1,"Previous Week",""))),"")</f>
        <v/>
      </c>
      <c r="DY64" s="134" t="str">
        <f t="shared" si="56"/>
        <v/>
      </c>
      <c r="DZ64" s="95"/>
      <c r="EB64" s="8" t="str">
        <f t="shared" si="67"/>
        <v/>
      </c>
      <c r="EC64" s="8" t="str">
        <f>IF(O64&lt;&gt;"",VLOOKUP(O64,'Job Master'!$N$12:$O$18,2,0),"")</f>
        <v/>
      </c>
      <c r="ED64" s="8">
        <f t="shared" si="68"/>
        <v>19.5</v>
      </c>
      <c r="EE64" s="8">
        <f t="shared" si="69"/>
        <v>6</v>
      </c>
      <c r="EF64" s="8">
        <f t="shared" si="70"/>
        <v>-304.5</v>
      </c>
      <c r="EG64" s="8" t="str">
        <f t="shared" si="71"/>
        <v/>
      </c>
      <c r="EH64" s="8" t="str">
        <f t="shared" si="72"/>
        <v/>
      </c>
    </row>
    <row r="65" spans="2:138" x14ac:dyDescent="0.3">
      <c r="B65" s="112"/>
      <c r="C65" s="27"/>
      <c r="D65" s="7" t="str">
        <f t="shared" si="1"/>
        <v/>
      </c>
      <c r="E65" s="25"/>
      <c r="F65" s="7" t="str">
        <f t="shared" si="1"/>
        <v/>
      </c>
      <c r="G65" s="25"/>
      <c r="H65" s="7" t="str">
        <f t="shared" si="1"/>
        <v/>
      </c>
      <c r="I65" s="25"/>
      <c r="J65" s="7" t="str">
        <f t="shared" si="1"/>
        <v/>
      </c>
      <c r="K65" s="25"/>
      <c r="L65" s="7" t="str">
        <f t="shared" si="2"/>
        <v/>
      </c>
      <c r="M65" s="25"/>
      <c r="N65" s="7" t="str">
        <f t="shared" si="3"/>
        <v/>
      </c>
      <c r="O65" s="81"/>
      <c r="P65" s="81" t="str">
        <f t="shared" si="4"/>
        <v/>
      </c>
      <c r="Q65" s="81"/>
      <c r="R65" s="7" t="str">
        <f t="shared" si="5"/>
        <v/>
      </c>
      <c r="S65" s="25"/>
      <c r="T65" s="7" t="str">
        <f t="shared" si="6"/>
        <v/>
      </c>
      <c r="U65" s="25"/>
      <c r="V65" s="7" t="str">
        <f t="shared" si="7"/>
        <v/>
      </c>
      <c r="W65" s="25"/>
      <c r="X65" s="7" t="str">
        <f t="shared" si="8"/>
        <v/>
      </c>
      <c r="Y65" s="18" t="str">
        <f t="shared" si="9"/>
        <v/>
      </c>
      <c r="Z65" s="7" t="str">
        <f t="shared" si="10"/>
        <v/>
      </c>
      <c r="AA65" s="18" t="str">
        <f t="shared" si="11"/>
        <v/>
      </c>
      <c r="AB65" s="19" t="str">
        <f t="shared" si="12"/>
        <v/>
      </c>
      <c r="AC65" s="26"/>
      <c r="AD65" s="26"/>
      <c r="AE65" s="25"/>
      <c r="AF65" s="26"/>
      <c r="AG65" s="25"/>
      <c r="AH65" s="25"/>
      <c r="AI65" s="18" t="str">
        <f t="shared" si="83"/>
        <v/>
      </c>
      <c r="AJ65" s="25"/>
      <c r="AK65" s="18" t="str">
        <f t="shared" si="84"/>
        <v/>
      </c>
      <c r="AL65" s="79"/>
      <c r="AM65" s="126" t="str">
        <f t="shared" si="85"/>
        <v/>
      </c>
      <c r="AN65" s="128" t="str">
        <f>IF(AP65&lt;&gt;"",VLOOKUP($P65&amp;" | "&amp;AN$6,'Job Master'!$F$12:$J$102,5,0),"")</f>
        <v/>
      </c>
      <c r="AO65" s="19" t="str">
        <f>IF(AP65&lt;&gt;"",VLOOKUP($P65&amp;" | "&amp;AN$6,'Job Master'!$F$12:$J$102,3,0),"")</f>
        <v/>
      </c>
      <c r="AP65" s="19" t="str">
        <f>IFERROR(IF(AND(AW65&lt;&gt;"",VLOOKUP($P65&amp;" | "&amp;AN$6,'Job Master'!$F$12:$I$102,4,0)&lt;&gt;""),IF(WEEKDAY(AW65-VLOOKUP($P65&amp;" | "&amp;AN$6,'Job Master'!$F$12:$I$102,4,0))&lt;&gt;7,AW65-VLOOKUP($P65&amp;" | "&amp;AN$6,'Job Master'!$F$12:$I$102,4,0),AW65-VLOOKUP($P65&amp;" | "&amp;AN$6,'Job Master'!$F$12:$I$102,4,0)-1),""),"")</f>
        <v/>
      </c>
      <c r="AQ65" s="73"/>
      <c r="AR65" s="123" t="str">
        <f t="shared" si="16"/>
        <v/>
      </c>
      <c r="AS65" s="123" t="str">
        <f t="shared" si="17"/>
        <v/>
      </c>
      <c r="AT65" s="97" t="str">
        <f t="shared" ca="1" si="18"/>
        <v/>
      </c>
      <c r="AU65" s="98" t="str">
        <f>IF(AW65&lt;&gt;"",VLOOKUP($P65&amp;" | "&amp;AU$6,'Job Master'!$F$12:$J$102,5,0),"")</f>
        <v/>
      </c>
      <c r="AV65" s="19" t="str">
        <f>IF(AW65&lt;&gt;"",VLOOKUP($P65&amp;" | "&amp;AU$6,'Job Master'!$F$12:$J$102,3,0),"")</f>
        <v/>
      </c>
      <c r="AW65" s="19" t="str">
        <f>IFERROR(IF(AND(BD65&lt;&gt;"",VLOOKUP($P65&amp;" | "&amp;AU$6,'Job Master'!$F$12:$I$102,4,0)&lt;&gt;""),IF(WEEKDAY(BD65-VLOOKUP($P65&amp;" | "&amp;AU$6,'Job Master'!$F$12:$I$102,4,0))&lt;&gt;7,BD65-VLOOKUP($P65&amp;" | "&amp;AU$6,'Job Master'!$F$12:$I$102,4,0),BD65-VLOOKUP($P65&amp;" | "&amp;AU$6,'Job Master'!$F$12:$I$102,4,0)-1),""),"")</f>
        <v/>
      </c>
      <c r="AX65" s="73"/>
      <c r="AY65" s="123" t="str">
        <f t="shared" si="19"/>
        <v/>
      </c>
      <c r="AZ65" s="123" t="str">
        <f t="shared" si="20"/>
        <v/>
      </c>
      <c r="BA65" s="97" t="str">
        <f t="shared" ca="1" si="21"/>
        <v/>
      </c>
      <c r="BB65" s="98" t="str">
        <f>IF(BD65&lt;&gt;"",VLOOKUP($P65&amp;" | "&amp;BB$6,'Job Master'!$F$12:$J$102,5,0),"")</f>
        <v/>
      </c>
      <c r="BC65" s="19" t="str">
        <f>IF(BD65&lt;&gt;"",VLOOKUP($P65&amp;" | "&amp;BB$6,'Job Master'!$F$12:$J$102,3,0),"")</f>
        <v/>
      </c>
      <c r="BD65" s="19" t="str">
        <f>IFERROR(IF(AND(BK65&lt;&gt;"",VLOOKUP($P65&amp;" | "&amp;BB$6,'Job Master'!$F$12:$I$102,4,0)&lt;&gt;""),IF(WEEKDAY(BK65-VLOOKUP($P65&amp;" | "&amp;BB$6,'Job Master'!$F$12:$I$102,4,0))&lt;&gt;7,BK65-VLOOKUP($P65&amp;" | "&amp;BB$6,'Job Master'!$F$12:$I$102,4,0),BK65-VLOOKUP($P65&amp;" | "&amp;BB$6,'Job Master'!$F$12:$I$102,4,0)-1),""),"")</f>
        <v/>
      </c>
      <c r="BE65" s="73"/>
      <c r="BF65" s="123" t="str">
        <f t="shared" si="22"/>
        <v/>
      </c>
      <c r="BG65" s="123" t="str">
        <f t="shared" si="23"/>
        <v/>
      </c>
      <c r="BH65" s="97" t="str">
        <f t="shared" ca="1" si="24"/>
        <v/>
      </c>
      <c r="BI65" s="98" t="str">
        <f>IF(BK65&lt;&gt;"",VLOOKUP($P65&amp;" | "&amp;BI$6,'Job Master'!$F$12:$J$102,5,0),"")</f>
        <v/>
      </c>
      <c r="BJ65" s="19" t="str">
        <f>IF(BK65&lt;&gt;"",VLOOKUP($P65&amp;" | "&amp;BI$6,'Job Master'!$F$12:$J$102,3,0),"")</f>
        <v/>
      </c>
      <c r="BK65" s="19" t="str">
        <f>IFERROR(IF(AND(BR65&lt;&gt;"",VLOOKUP($P65&amp;" | "&amp;BI$6,'Job Master'!$F$12:$I$102,4,0)&lt;&gt;""),IF(WEEKDAY(BR65-VLOOKUP($P65&amp;" | "&amp;BI$6,'Job Master'!$F$12:$I$102,4,0))&lt;&gt;7,BR65-VLOOKUP($P65&amp;" | "&amp;BI$6,'Job Master'!$F$12:$I$102,4,0),BR65-VLOOKUP($P65&amp;" | "&amp;BI$6,'Job Master'!$F$12:$I$102,4,0)-1),""),"")</f>
        <v/>
      </c>
      <c r="BL65" s="73"/>
      <c r="BM65" s="123" t="str">
        <f t="shared" si="25"/>
        <v/>
      </c>
      <c r="BN65" s="123" t="str">
        <f t="shared" si="26"/>
        <v/>
      </c>
      <c r="BO65" s="97" t="str">
        <f t="shared" ca="1" si="27"/>
        <v/>
      </c>
      <c r="BP65" s="98" t="str">
        <f>IF(BR65&lt;&gt;"",VLOOKUP($P65&amp;" | "&amp;BP$6,'Job Master'!$F$12:$J$102,5,0),"")</f>
        <v/>
      </c>
      <c r="BQ65" s="19" t="str">
        <f>IF(BR65&lt;&gt;"",VLOOKUP($P65&amp;" | "&amp;BP$6,'Job Master'!$F$12:$J$102,3,0),"")</f>
        <v/>
      </c>
      <c r="BR65" s="19" t="str">
        <f>IFERROR(IF(AND(BY65&lt;&gt;"",VLOOKUP($P65&amp;" | "&amp;BP$6,'Job Master'!$F$12:$I$102,4,0)&lt;&gt;""),IF(WEEKDAY(BY65-VLOOKUP($P65&amp;" | "&amp;BP$6,'Job Master'!$F$12:$I$102,4,0))&lt;&gt;7,BY65-VLOOKUP($P65&amp;" | "&amp;BP$6,'Job Master'!$F$12:$I$102,4,0),BY65-VLOOKUP($P65&amp;" | "&amp;BP$6,'Job Master'!$F$12:$I$102,4,0)-1),""),"")</f>
        <v/>
      </c>
      <c r="BS65" s="73"/>
      <c r="BT65" s="123" t="str">
        <f t="shared" si="28"/>
        <v/>
      </c>
      <c r="BU65" s="123" t="str">
        <f t="shared" si="29"/>
        <v/>
      </c>
      <c r="BV65" s="97" t="str">
        <f t="shared" ca="1" si="30"/>
        <v/>
      </c>
      <c r="BW65" s="98" t="str">
        <f>IF(BY65&lt;&gt;"",VLOOKUP($P65&amp;" | "&amp;BW$6,'Job Master'!$F$12:$J$102,5,0),"")</f>
        <v/>
      </c>
      <c r="BX65" s="19" t="str">
        <f>IF(BY65&lt;&gt;"",VLOOKUP($P65&amp;" | "&amp;BW$6,'Job Master'!$F$12:$J$102,3,0),"")</f>
        <v/>
      </c>
      <c r="BY65" s="19" t="str">
        <f>IFERROR(IF(AND(CF65&lt;&gt;"",VLOOKUP($P65&amp;" | "&amp;BW$6,'Job Master'!$F$12:$I$102,4,0)&lt;&gt;""),IF(WEEKDAY(CF65-VLOOKUP($P65&amp;" | "&amp;BW$6,'Job Master'!$F$12:$I$102,4,0))&lt;&gt;7,CF65-VLOOKUP($P65&amp;" | "&amp;BW$6,'Job Master'!$F$12:$I$102,4,0),CF65-VLOOKUP($P65&amp;" | "&amp;BW$6,'Job Master'!$F$12:$I$102,4,0)-1),""),"")</f>
        <v/>
      </c>
      <c r="BZ65" s="73"/>
      <c r="CA65" s="123" t="str">
        <f t="shared" si="31"/>
        <v/>
      </c>
      <c r="CB65" s="123" t="str">
        <f t="shared" si="32"/>
        <v/>
      </c>
      <c r="CC65" s="97" t="str">
        <f t="shared" ca="1" si="33"/>
        <v/>
      </c>
      <c r="CD65" s="98" t="str">
        <f>IF(CF65&lt;&gt;"",VLOOKUP($P65&amp;" | "&amp;CD$6,'Job Master'!$F$12:$J$102,5,0),"")</f>
        <v/>
      </c>
      <c r="CE65" s="19" t="str">
        <f>IF(CF65&lt;&gt;"",VLOOKUP($P65&amp;" | "&amp;CD$6,'Job Master'!$F$12:$J$102,3,0),"")</f>
        <v/>
      </c>
      <c r="CF65" s="19" t="str">
        <f>IFERROR(IF(AND(CM65&lt;&gt;"",VLOOKUP($P65&amp;" | "&amp;CD$6,'Job Master'!$F$12:$I$102,4,0)&lt;&gt;""),IF(WEEKDAY(CM65-VLOOKUP($P65&amp;" | "&amp;CD$6,'Job Master'!$F$12:$I$102,4,0))&lt;&gt;7,CM65-VLOOKUP($P65&amp;" | "&amp;CD$6,'Job Master'!$F$12:$I$102,4,0),CM65-VLOOKUP($P65&amp;" | "&amp;CD$6,'Job Master'!$F$12:$I$102,4,0)-1),""),"")</f>
        <v/>
      </c>
      <c r="CG65" s="73"/>
      <c r="CH65" s="123" t="str">
        <f t="shared" si="34"/>
        <v/>
      </c>
      <c r="CI65" s="123" t="str">
        <f t="shared" si="35"/>
        <v/>
      </c>
      <c r="CJ65" s="97" t="str">
        <f t="shared" ca="1" si="36"/>
        <v/>
      </c>
      <c r="CK65" s="98" t="str">
        <f>IF(CM65&lt;&gt;"",VLOOKUP($P65&amp;" | "&amp;CK$6,'Job Master'!$F$12:$J$102,5,0),"")</f>
        <v/>
      </c>
      <c r="CL65" s="19" t="str">
        <f>IF(CM65&lt;&gt;"",VLOOKUP($P65&amp;" | "&amp;CK$6,'Job Master'!$F$12:$J$102,3,0),"")</f>
        <v/>
      </c>
      <c r="CM65" s="19" t="str">
        <f>IFERROR(IF(AND(CT65&lt;&gt;"",VLOOKUP($P65&amp;" | "&amp;CK$6,'Job Master'!$F$12:$I$102,4,0)&lt;&gt;""),IF(WEEKDAY(CT65-VLOOKUP($P65&amp;" | "&amp;CK$6,'Job Master'!$F$12:$I$102,4,0))&lt;&gt;7,CT65-VLOOKUP($P65&amp;" | "&amp;CK$6,'Job Master'!$F$12:$I$102,4,0),CT65-VLOOKUP($P65&amp;" | "&amp;CK$6,'Job Master'!$F$12:$I$102,4,0)-1),""),"")</f>
        <v/>
      </c>
      <c r="CN65" s="73"/>
      <c r="CO65" s="123" t="str">
        <f t="shared" si="37"/>
        <v/>
      </c>
      <c r="CP65" s="123" t="str">
        <f t="shared" si="38"/>
        <v/>
      </c>
      <c r="CQ65" s="97" t="str">
        <f t="shared" ca="1" si="39"/>
        <v/>
      </c>
      <c r="CR65" s="98" t="str">
        <f>IF(CT65&lt;&gt;"",VLOOKUP($P65&amp;" | "&amp;CR$6,'Job Master'!$F$12:$J$102,5,0),"")</f>
        <v/>
      </c>
      <c r="CS65" s="19" t="str">
        <f>IF(CT65&lt;&gt;"",VLOOKUP($P65&amp;" | "&amp;CR$6,'Job Master'!$F$12:$J$102,3,0),"")</f>
        <v/>
      </c>
      <c r="CT65" s="19" t="str">
        <f>IFERROR(IF(AND(DA65&lt;&gt;"",VLOOKUP($P65&amp;" | "&amp;CR$6,'Job Master'!$F$12:$I$102,4,0)&lt;&gt;""),IF(WEEKDAY(DA65-VLOOKUP($P65&amp;" | "&amp;CR$6,'Job Master'!$F$12:$I$102,4,0))&lt;&gt;7,DA65-VLOOKUP($P65&amp;" | "&amp;CR$6,'Job Master'!$F$12:$I$102,4,0),DA65-VLOOKUP($P65&amp;" | "&amp;CR$6,'Job Master'!$F$12:$I$102,4,0)-1),""),"")</f>
        <v/>
      </c>
      <c r="CU65" s="73"/>
      <c r="CV65" s="123" t="str">
        <f t="shared" si="40"/>
        <v/>
      </c>
      <c r="CW65" s="123" t="str">
        <f t="shared" si="41"/>
        <v/>
      </c>
      <c r="CX65" s="97" t="str">
        <f t="shared" ca="1" si="42"/>
        <v/>
      </c>
      <c r="CY65" s="98" t="str">
        <f>IF(DA65&lt;&gt;"",VLOOKUP($P65&amp;" | "&amp;CY$6,'Job Master'!$F$12:$J$102,5,0),"")</f>
        <v/>
      </c>
      <c r="CZ65" s="19" t="str">
        <f>IF(DA65&lt;&gt;"",VLOOKUP($P65&amp;" | "&amp;CY$6,'Job Master'!$F$12:$J$102,3,0),"")</f>
        <v/>
      </c>
      <c r="DA65" s="19" t="str">
        <f>IFERROR(IF(AND(DH65&lt;&gt;"",VLOOKUP($P65&amp;" | "&amp;CY$6,'Job Master'!$F$12:$I$102,4,0)&lt;&gt;""),IF(WEEKDAY(DH65-VLOOKUP($P65&amp;" | "&amp;CY$6,'Job Master'!$F$12:$I$102,4,0))&lt;&gt;7,DH65-VLOOKUP($P65&amp;" | "&amp;CY$6,'Job Master'!$F$12:$I$102,4,0),DH65-VLOOKUP($P65&amp;" | "&amp;CY$6,'Job Master'!$F$12:$I$102,4,0)-1),""),"")</f>
        <v/>
      </c>
      <c r="DB65" s="73"/>
      <c r="DC65" s="123" t="str">
        <f t="shared" si="43"/>
        <v/>
      </c>
      <c r="DD65" s="123" t="str">
        <f t="shared" si="44"/>
        <v/>
      </c>
      <c r="DE65" s="97" t="str">
        <f t="shared" ca="1" si="45"/>
        <v/>
      </c>
      <c r="DF65" s="98" t="str">
        <f>IF(DH65&lt;&gt;"",VLOOKUP($P65&amp;" | "&amp;DF$6,'Job Master'!$F$12:$J$102,5,0),"")</f>
        <v/>
      </c>
      <c r="DG65" s="19" t="str">
        <f>IF(DH65&lt;&gt;"",VLOOKUP($P65&amp;" | "&amp;DF$6,'Job Master'!$F$12:$J$102,3,0),"")</f>
        <v/>
      </c>
      <c r="DH65" s="19" t="str">
        <f>IFERROR(IF(AND(DO65&lt;&gt;"",VLOOKUP($P65&amp;" | "&amp;DF$6,'Job Master'!$F$12:$I$102,4,0)&lt;&gt;""),IF(WEEKDAY(DO65-VLOOKUP($P65&amp;" | "&amp;DF$6,'Job Master'!$F$12:$I$102,4,0))&lt;&gt;7,DO65-VLOOKUP($P65&amp;" | "&amp;DF$6,'Job Master'!$F$12:$I$102,4,0),DO65-VLOOKUP($P65&amp;" | "&amp;DF$6,'Job Master'!$F$12:$I$102,4,0)-1),""),"")</f>
        <v/>
      </c>
      <c r="DI65" s="73"/>
      <c r="DJ65" s="123" t="str">
        <f t="shared" si="46"/>
        <v/>
      </c>
      <c r="DK65" s="123" t="str">
        <f t="shared" si="47"/>
        <v/>
      </c>
      <c r="DL65" s="97" t="str">
        <f t="shared" ca="1" si="48"/>
        <v/>
      </c>
      <c r="DM65" s="98" t="str">
        <f>IF(DO65&lt;&gt;"",VLOOKUP($P65&amp;" | "&amp;DM$6,'Job Master'!$F$12:$J$102,5,0),"")</f>
        <v/>
      </c>
      <c r="DN65" s="19" t="str">
        <f>IF(DO65&lt;&gt;"",VLOOKUP($P65&amp;" | "&amp;DM$6,'Job Master'!$F$12:$J$102,3,0),"")</f>
        <v/>
      </c>
      <c r="DO65" s="19" t="str">
        <f>IFERROR(IF(AND(DT65&lt;&gt;"",VLOOKUP($P65&amp;" | "&amp;DM$6,'Job Master'!$F$12:$I$102,4,0)&lt;&gt;""),IF(WEEKDAY(DT65-VLOOKUP($P65&amp;" | "&amp;DM$6,'Job Master'!$F$12:$I$102,4,0))&lt;&gt;7,DT65-VLOOKUP($P65&amp;" | "&amp;DM$6,'Job Master'!$F$12:$I$102,4,0),DT65-VLOOKUP($P65&amp;" | "&amp;DM$6,'Job Master'!$F$12:$I$102,4,0)-1),""),"")</f>
        <v/>
      </c>
      <c r="DP65" s="73"/>
      <c r="DQ65" s="123" t="str">
        <f t="shared" si="49"/>
        <v/>
      </c>
      <c r="DR65" s="123" t="str">
        <f t="shared" si="50"/>
        <v/>
      </c>
      <c r="DS65" s="97" t="str">
        <f t="shared" ca="1" si="51"/>
        <v/>
      </c>
      <c r="DT65" s="70" t="str">
        <f t="shared" si="52"/>
        <v/>
      </c>
      <c r="DU65" s="90"/>
      <c r="DV65" s="123" t="str">
        <f t="shared" si="53"/>
        <v/>
      </c>
      <c r="DW65" s="123" t="str">
        <f t="shared" si="54"/>
        <v/>
      </c>
      <c r="DX65" s="132" t="str">
        <f t="shared" ref="DX65" ca="1" si="126">IF(DT65&lt;&gt;"",IF(WEEKNUM(DT65)=WEEKNUM(TODAY()),"This Week",IF(WEEKNUM(DT65)=WEEKNUM(TODAY())+1,"Next Week",IF(WEEKNUM(DT65)=WEEKNUM(TODAY())-1,"Previous Week",""))),"")</f>
        <v/>
      </c>
      <c r="DY65" s="134" t="str">
        <f t="shared" si="56"/>
        <v/>
      </c>
      <c r="DZ65" s="95"/>
      <c r="EB65" s="8" t="str">
        <f t="shared" si="67"/>
        <v/>
      </c>
      <c r="EC65" s="8" t="str">
        <f>IF(O65&lt;&gt;"",VLOOKUP(O65,'Job Master'!$N$12:$O$18,2,0),"")</f>
        <v/>
      </c>
      <c r="ED65" s="8">
        <f t="shared" si="68"/>
        <v>19.5</v>
      </c>
      <c r="EE65" s="8">
        <f t="shared" si="69"/>
        <v>6</v>
      </c>
      <c r="EF65" s="8">
        <f t="shared" si="70"/>
        <v>-310.5</v>
      </c>
      <c r="EG65" s="8" t="str">
        <f t="shared" si="71"/>
        <v/>
      </c>
      <c r="EH65" s="8" t="str">
        <f t="shared" si="72"/>
        <v/>
      </c>
    </row>
    <row r="66" spans="2:138" x14ac:dyDescent="0.3">
      <c r="B66" s="112"/>
      <c r="C66" s="27"/>
      <c r="D66" s="7" t="str">
        <f t="shared" si="1"/>
        <v/>
      </c>
      <c r="E66" s="25"/>
      <c r="F66" s="7" t="str">
        <f t="shared" si="1"/>
        <v/>
      </c>
      <c r="G66" s="25"/>
      <c r="H66" s="7" t="str">
        <f t="shared" si="1"/>
        <v/>
      </c>
      <c r="I66" s="25"/>
      <c r="J66" s="7" t="str">
        <f t="shared" si="1"/>
        <v/>
      </c>
      <c r="K66" s="25"/>
      <c r="L66" s="7" t="str">
        <f t="shared" si="2"/>
        <v/>
      </c>
      <c r="M66" s="25"/>
      <c r="N66" s="7" t="str">
        <f t="shared" si="3"/>
        <v/>
      </c>
      <c r="O66" s="81"/>
      <c r="P66" s="81" t="str">
        <f t="shared" si="4"/>
        <v/>
      </c>
      <c r="Q66" s="81"/>
      <c r="R66" s="7" t="str">
        <f t="shared" si="5"/>
        <v/>
      </c>
      <c r="S66" s="25"/>
      <c r="T66" s="7" t="str">
        <f t="shared" si="6"/>
        <v/>
      </c>
      <c r="U66" s="25"/>
      <c r="V66" s="7" t="str">
        <f t="shared" si="7"/>
        <v/>
      </c>
      <c r="W66" s="25"/>
      <c r="X66" s="7" t="str">
        <f t="shared" si="8"/>
        <v/>
      </c>
      <c r="Y66" s="18" t="str">
        <f t="shared" si="9"/>
        <v/>
      </c>
      <c r="Z66" s="7" t="str">
        <f t="shared" si="10"/>
        <v/>
      </c>
      <c r="AA66" s="18" t="str">
        <f t="shared" si="11"/>
        <v/>
      </c>
      <c r="AB66" s="19" t="str">
        <f t="shared" si="12"/>
        <v/>
      </c>
      <c r="AC66" s="26"/>
      <c r="AD66" s="26"/>
      <c r="AE66" s="25"/>
      <c r="AF66" s="26"/>
      <c r="AG66" s="25"/>
      <c r="AH66" s="25"/>
      <c r="AI66" s="18" t="str">
        <f t="shared" si="83"/>
        <v/>
      </c>
      <c r="AJ66" s="25"/>
      <c r="AK66" s="18" t="str">
        <f t="shared" si="84"/>
        <v/>
      </c>
      <c r="AL66" s="79"/>
      <c r="AM66" s="126" t="str">
        <f t="shared" si="85"/>
        <v/>
      </c>
      <c r="AN66" s="128" t="str">
        <f>IF(AP66&lt;&gt;"",VLOOKUP($P66&amp;" | "&amp;AN$6,'Job Master'!$F$12:$J$102,5,0),"")</f>
        <v/>
      </c>
      <c r="AO66" s="19" t="str">
        <f>IF(AP66&lt;&gt;"",VLOOKUP($P66&amp;" | "&amp;AN$6,'Job Master'!$F$12:$J$102,3,0),"")</f>
        <v/>
      </c>
      <c r="AP66" s="19" t="str">
        <f>IFERROR(IF(AND(AW66&lt;&gt;"",VLOOKUP($P66&amp;" | "&amp;AN$6,'Job Master'!$F$12:$I$102,4,0)&lt;&gt;""),IF(WEEKDAY(AW66-VLOOKUP($P66&amp;" | "&amp;AN$6,'Job Master'!$F$12:$I$102,4,0))&lt;&gt;7,AW66-VLOOKUP($P66&amp;" | "&amp;AN$6,'Job Master'!$F$12:$I$102,4,0),AW66-VLOOKUP($P66&amp;" | "&amp;AN$6,'Job Master'!$F$12:$I$102,4,0)-1),""),"")</f>
        <v/>
      </c>
      <c r="AQ66" s="73"/>
      <c r="AR66" s="123" t="str">
        <f t="shared" si="16"/>
        <v/>
      </c>
      <c r="AS66" s="123" t="str">
        <f t="shared" si="17"/>
        <v/>
      </c>
      <c r="AT66" s="97" t="str">
        <f t="shared" ca="1" si="18"/>
        <v/>
      </c>
      <c r="AU66" s="98" t="str">
        <f>IF(AW66&lt;&gt;"",VLOOKUP($P66&amp;" | "&amp;AU$6,'Job Master'!$F$12:$J$102,5,0),"")</f>
        <v/>
      </c>
      <c r="AV66" s="19" t="str">
        <f>IF(AW66&lt;&gt;"",VLOOKUP($P66&amp;" | "&amp;AU$6,'Job Master'!$F$12:$J$102,3,0),"")</f>
        <v/>
      </c>
      <c r="AW66" s="19" t="str">
        <f>IFERROR(IF(AND(BD66&lt;&gt;"",VLOOKUP($P66&amp;" | "&amp;AU$6,'Job Master'!$F$12:$I$102,4,0)&lt;&gt;""),IF(WEEKDAY(BD66-VLOOKUP($P66&amp;" | "&amp;AU$6,'Job Master'!$F$12:$I$102,4,0))&lt;&gt;7,BD66-VLOOKUP($P66&amp;" | "&amp;AU$6,'Job Master'!$F$12:$I$102,4,0),BD66-VLOOKUP($P66&amp;" | "&amp;AU$6,'Job Master'!$F$12:$I$102,4,0)-1),""),"")</f>
        <v/>
      </c>
      <c r="AX66" s="73"/>
      <c r="AY66" s="123" t="str">
        <f t="shared" si="19"/>
        <v/>
      </c>
      <c r="AZ66" s="123" t="str">
        <f t="shared" si="20"/>
        <v/>
      </c>
      <c r="BA66" s="97" t="str">
        <f t="shared" ca="1" si="21"/>
        <v/>
      </c>
      <c r="BB66" s="98" t="str">
        <f>IF(BD66&lt;&gt;"",VLOOKUP($P66&amp;" | "&amp;BB$6,'Job Master'!$F$12:$J$102,5,0),"")</f>
        <v/>
      </c>
      <c r="BC66" s="19" t="str">
        <f>IF(BD66&lt;&gt;"",VLOOKUP($P66&amp;" | "&amp;BB$6,'Job Master'!$F$12:$J$102,3,0),"")</f>
        <v/>
      </c>
      <c r="BD66" s="19" t="str">
        <f>IFERROR(IF(AND(BK66&lt;&gt;"",VLOOKUP($P66&amp;" | "&amp;BB$6,'Job Master'!$F$12:$I$102,4,0)&lt;&gt;""),IF(WEEKDAY(BK66-VLOOKUP($P66&amp;" | "&amp;BB$6,'Job Master'!$F$12:$I$102,4,0))&lt;&gt;7,BK66-VLOOKUP($P66&amp;" | "&amp;BB$6,'Job Master'!$F$12:$I$102,4,0),BK66-VLOOKUP($P66&amp;" | "&amp;BB$6,'Job Master'!$F$12:$I$102,4,0)-1),""),"")</f>
        <v/>
      </c>
      <c r="BE66" s="73"/>
      <c r="BF66" s="123" t="str">
        <f t="shared" si="22"/>
        <v/>
      </c>
      <c r="BG66" s="123" t="str">
        <f t="shared" si="23"/>
        <v/>
      </c>
      <c r="BH66" s="97" t="str">
        <f t="shared" ca="1" si="24"/>
        <v/>
      </c>
      <c r="BI66" s="98" t="str">
        <f>IF(BK66&lt;&gt;"",VLOOKUP($P66&amp;" | "&amp;BI$6,'Job Master'!$F$12:$J$102,5,0),"")</f>
        <v/>
      </c>
      <c r="BJ66" s="19" t="str">
        <f>IF(BK66&lt;&gt;"",VLOOKUP($P66&amp;" | "&amp;BI$6,'Job Master'!$F$12:$J$102,3,0),"")</f>
        <v/>
      </c>
      <c r="BK66" s="19" t="str">
        <f>IFERROR(IF(AND(BR66&lt;&gt;"",VLOOKUP($P66&amp;" | "&amp;BI$6,'Job Master'!$F$12:$I$102,4,0)&lt;&gt;""),IF(WEEKDAY(BR66-VLOOKUP($P66&amp;" | "&amp;BI$6,'Job Master'!$F$12:$I$102,4,0))&lt;&gt;7,BR66-VLOOKUP($P66&amp;" | "&amp;BI$6,'Job Master'!$F$12:$I$102,4,0),BR66-VLOOKUP($P66&amp;" | "&amp;BI$6,'Job Master'!$F$12:$I$102,4,0)-1),""),"")</f>
        <v/>
      </c>
      <c r="BL66" s="73"/>
      <c r="BM66" s="123" t="str">
        <f t="shared" si="25"/>
        <v/>
      </c>
      <c r="BN66" s="123" t="str">
        <f t="shared" si="26"/>
        <v/>
      </c>
      <c r="BO66" s="97" t="str">
        <f t="shared" ca="1" si="27"/>
        <v/>
      </c>
      <c r="BP66" s="98" t="str">
        <f>IF(BR66&lt;&gt;"",VLOOKUP($P66&amp;" | "&amp;BP$6,'Job Master'!$F$12:$J$102,5,0),"")</f>
        <v/>
      </c>
      <c r="BQ66" s="19" t="str">
        <f>IF(BR66&lt;&gt;"",VLOOKUP($P66&amp;" | "&amp;BP$6,'Job Master'!$F$12:$J$102,3,0),"")</f>
        <v/>
      </c>
      <c r="BR66" s="19" t="str">
        <f>IFERROR(IF(AND(BY66&lt;&gt;"",VLOOKUP($P66&amp;" | "&amp;BP$6,'Job Master'!$F$12:$I$102,4,0)&lt;&gt;""),IF(WEEKDAY(BY66-VLOOKUP($P66&amp;" | "&amp;BP$6,'Job Master'!$F$12:$I$102,4,0))&lt;&gt;7,BY66-VLOOKUP($P66&amp;" | "&amp;BP$6,'Job Master'!$F$12:$I$102,4,0),BY66-VLOOKUP($P66&amp;" | "&amp;BP$6,'Job Master'!$F$12:$I$102,4,0)-1),""),"")</f>
        <v/>
      </c>
      <c r="BS66" s="73"/>
      <c r="BT66" s="123" t="str">
        <f t="shared" si="28"/>
        <v/>
      </c>
      <c r="BU66" s="123" t="str">
        <f t="shared" si="29"/>
        <v/>
      </c>
      <c r="BV66" s="97" t="str">
        <f t="shared" ca="1" si="30"/>
        <v/>
      </c>
      <c r="BW66" s="98" t="str">
        <f>IF(BY66&lt;&gt;"",VLOOKUP($P66&amp;" | "&amp;BW$6,'Job Master'!$F$12:$J$102,5,0),"")</f>
        <v/>
      </c>
      <c r="BX66" s="19" t="str">
        <f>IF(BY66&lt;&gt;"",VLOOKUP($P66&amp;" | "&amp;BW$6,'Job Master'!$F$12:$J$102,3,0),"")</f>
        <v/>
      </c>
      <c r="BY66" s="19" t="str">
        <f>IFERROR(IF(AND(CF66&lt;&gt;"",VLOOKUP($P66&amp;" | "&amp;BW$6,'Job Master'!$F$12:$I$102,4,0)&lt;&gt;""),IF(WEEKDAY(CF66-VLOOKUP($P66&amp;" | "&amp;BW$6,'Job Master'!$F$12:$I$102,4,0))&lt;&gt;7,CF66-VLOOKUP($P66&amp;" | "&amp;BW$6,'Job Master'!$F$12:$I$102,4,0),CF66-VLOOKUP($P66&amp;" | "&amp;BW$6,'Job Master'!$F$12:$I$102,4,0)-1),""),"")</f>
        <v/>
      </c>
      <c r="BZ66" s="73"/>
      <c r="CA66" s="123" t="str">
        <f t="shared" si="31"/>
        <v/>
      </c>
      <c r="CB66" s="123" t="str">
        <f t="shared" si="32"/>
        <v/>
      </c>
      <c r="CC66" s="97" t="str">
        <f t="shared" ca="1" si="33"/>
        <v/>
      </c>
      <c r="CD66" s="98" t="str">
        <f>IF(CF66&lt;&gt;"",VLOOKUP($P66&amp;" | "&amp;CD$6,'Job Master'!$F$12:$J$102,5,0),"")</f>
        <v/>
      </c>
      <c r="CE66" s="19" t="str">
        <f>IF(CF66&lt;&gt;"",VLOOKUP($P66&amp;" | "&amp;CD$6,'Job Master'!$F$12:$J$102,3,0),"")</f>
        <v/>
      </c>
      <c r="CF66" s="19" t="str">
        <f>IFERROR(IF(AND(CM66&lt;&gt;"",VLOOKUP($P66&amp;" | "&amp;CD$6,'Job Master'!$F$12:$I$102,4,0)&lt;&gt;""),IF(WEEKDAY(CM66-VLOOKUP($P66&amp;" | "&amp;CD$6,'Job Master'!$F$12:$I$102,4,0))&lt;&gt;7,CM66-VLOOKUP($P66&amp;" | "&amp;CD$6,'Job Master'!$F$12:$I$102,4,0),CM66-VLOOKUP($P66&amp;" | "&amp;CD$6,'Job Master'!$F$12:$I$102,4,0)-1),""),"")</f>
        <v/>
      </c>
      <c r="CG66" s="73"/>
      <c r="CH66" s="123" t="str">
        <f t="shared" si="34"/>
        <v/>
      </c>
      <c r="CI66" s="123" t="str">
        <f t="shared" si="35"/>
        <v/>
      </c>
      <c r="CJ66" s="97" t="str">
        <f t="shared" ca="1" si="36"/>
        <v/>
      </c>
      <c r="CK66" s="98" t="str">
        <f>IF(CM66&lt;&gt;"",VLOOKUP($P66&amp;" | "&amp;CK$6,'Job Master'!$F$12:$J$102,5,0),"")</f>
        <v/>
      </c>
      <c r="CL66" s="19" t="str">
        <f>IF(CM66&lt;&gt;"",VLOOKUP($P66&amp;" | "&amp;CK$6,'Job Master'!$F$12:$J$102,3,0),"")</f>
        <v/>
      </c>
      <c r="CM66" s="19" t="str">
        <f>IFERROR(IF(AND(CT66&lt;&gt;"",VLOOKUP($P66&amp;" | "&amp;CK$6,'Job Master'!$F$12:$I$102,4,0)&lt;&gt;""),IF(WEEKDAY(CT66-VLOOKUP($P66&amp;" | "&amp;CK$6,'Job Master'!$F$12:$I$102,4,0))&lt;&gt;7,CT66-VLOOKUP($P66&amp;" | "&amp;CK$6,'Job Master'!$F$12:$I$102,4,0),CT66-VLOOKUP($P66&amp;" | "&amp;CK$6,'Job Master'!$F$12:$I$102,4,0)-1),""),"")</f>
        <v/>
      </c>
      <c r="CN66" s="73"/>
      <c r="CO66" s="123" t="str">
        <f t="shared" si="37"/>
        <v/>
      </c>
      <c r="CP66" s="123" t="str">
        <f t="shared" si="38"/>
        <v/>
      </c>
      <c r="CQ66" s="97" t="str">
        <f t="shared" ca="1" si="39"/>
        <v/>
      </c>
      <c r="CR66" s="98" t="str">
        <f>IF(CT66&lt;&gt;"",VLOOKUP($P66&amp;" | "&amp;CR$6,'Job Master'!$F$12:$J$102,5,0),"")</f>
        <v/>
      </c>
      <c r="CS66" s="19" t="str">
        <f>IF(CT66&lt;&gt;"",VLOOKUP($P66&amp;" | "&amp;CR$6,'Job Master'!$F$12:$J$102,3,0),"")</f>
        <v/>
      </c>
      <c r="CT66" s="19" t="str">
        <f>IFERROR(IF(AND(DA66&lt;&gt;"",VLOOKUP($P66&amp;" | "&amp;CR$6,'Job Master'!$F$12:$I$102,4,0)&lt;&gt;""),IF(WEEKDAY(DA66-VLOOKUP($P66&amp;" | "&amp;CR$6,'Job Master'!$F$12:$I$102,4,0))&lt;&gt;7,DA66-VLOOKUP($P66&amp;" | "&amp;CR$6,'Job Master'!$F$12:$I$102,4,0),DA66-VLOOKUP($P66&amp;" | "&amp;CR$6,'Job Master'!$F$12:$I$102,4,0)-1),""),"")</f>
        <v/>
      </c>
      <c r="CU66" s="73"/>
      <c r="CV66" s="123" t="str">
        <f t="shared" si="40"/>
        <v/>
      </c>
      <c r="CW66" s="123" t="str">
        <f t="shared" si="41"/>
        <v/>
      </c>
      <c r="CX66" s="97" t="str">
        <f t="shared" ca="1" si="42"/>
        <v/>
      </c>
      <c r="CY66" s="98" t="str">
        <f>IF(DA66&lt;&gt;"",VLOOKUP($P66&amp;" | "&amp;CY$6,'Job Master'!$F$12:$J$102,5,0),"")</f>
        <v/>
      </c>
      <c r="CZ66" s="19" t="str">
        <f>IF(DA66&lt;&gt;"",VLOOKUP($P66&amp;" | "&amp;CY$6,'Job Master'!$F$12:$J$102,3,0),"")</f>
        <v/>
      </c>
      <c r="DA66" s="19" t="str">
        <f>IFERROR(IF(AND(DH66&lt;&gt;"",VLOOKUP($P66&amp;" | "&amp;CY$6,'Job Master'!$F$12:$I$102,4,0)&lt;&gt;""),IF(WEEKDAY(DH66-VLOOKUP($P66&amp;" | "&amp;CY$6,'Job Master'!$F$12:$I$102,4,0))&lt;&gt;7,DH66-VLOOKUP($P66&amp;" | "&amp;CY$6,'Job Master'!$F$12:$I$102,4,0),DH66-VLOOKUP($P66&amp;" | "&amp;CY$6,'Job Master'!$F$12:$I$102,4,0)-1),""),"")</f>
        <v/>
      </c>
      <c r="DB66" s="73"/>
      <c r="DC66" s="123" t="str">
        <f t="shared" si="43"/>
        <v/>
      </c>
      <c r="DD66" s="123" t="str">
        <f t="shared" si="44"/>
        <v/>
      </c>
      <c r="DE66" s="97" t="str">
        <f t="shared" ca="1" si="45"/>
        <v/>
      </c>
      <c r="DF66" s="98" t="str">
        <f>IF(DH66&lt;&gt;"",VLOOKUP($P66&amp;" | "&amp;DF$6,'Job Master'!$F$12:$J$102,5,0),"")</f>
        <v/>
      </c>
      <c r="DG66" s="19" t="str">
        <f>IF(DH66&lt;&gt;"",VLOOKUP($P66&amp;" | "&amp;DF$6,'Job Master'!$F$12:$J$102,3,0),"")</f>
        <v/>
      </c>
      <c r="DH66" s="19" t="str">
        <f>IFERROR(IF(AND(DO66&lt;&gt;"",VLOOKUP($P66&amp;" | "&amp;DF$6,'Job Master'!$F$12:$I$102,4,0)&lt;&gt;""),IF(WEEKDAY(DO66-VLOOKUP($P66&amp;" | "&amp;DF$6,'Job Master'!$F$12:$I$102,4,0))&lt;&gt;7,DO66-VLOOKUP($P66&amp;" | "&amp;DF$6,'Job Master'!$F$12:$I$102,4,0),DO66-VLOOKUP($P66&amp;" | "&amp;DF$6,'Job Master'!$F$12:$I$102,4,0)-1),""),"")</f>
        <v/>
      </c>
      <c r="DI66" s="73"/>
      <c r="DJ66" s="123" t="str">
        <f t="shared" si="46"/>
        <v/>
      </c>
      <c r="DK66" s="123" t="str">
        <f t="shared" si="47"/>
        <v/>
      </c>
      <c r="DL66" s="97" t="str">
        <f t="shared" ca="1" si="48"/>
        <v/>
      </c>
      <c r="DM66" s="98" t="str">
        <f>IF(DO66&lt;&gt;"",VLOOKUP($P66&amp;" | "&amp;DM$6,'Job Master'!$F$12:$J$102,5,0),"")</f>
        <v/>
      </c>
      <c r="DN66" s="19" t="str">
        <f>IF(DO66&lt;&gt;"",VLOOKUP($P66&amp;" | "&amp;DM$6,'Job Master'!$F$12:$J$102,3,0),"")</f>
        <v/>
      </c>
      <c r="DO66" s="19" t="str">
        <f>IFERROR(IF(AND(DT66&lt;&gt;"",VLOOKUP($P66&amp;" | "&amp;DM$6,'Job Master'!$F$12:$I$102,4,0)&lt;&gt;""),IF(WEEKDAY(DT66-VLOOKUP($P66&amp;" | "&amp;DM$6,'Job Master'!$F$12:$I$102,4,0))&lt;&gt;7,DT66-VLOOKUP($P66&amp;" | "&amp;DM$6,'Job Master'!$F$12:$I$102,4,0),DT66-VLOOKUP($P66&amp;" | "&amp;DM$6,'Job Master'!$F$12:$I$102,4,0)-1),""),"")</f>
        <v/>
      </c>
      <c r="DP66" s="73"/>
      <c r="DQ66" s="123" t="str">
        <f t="shared" si="49"/>
        <v/>
      </c>
      <c r="DR66" s="123" t="str">
        <f t="shared" si="50"/>
        <v/>
      </c>
      <c r="DS66" s="97" t="str">
        <f t="shared" ca="1" si="51"/>
        <v/>
      </c>
      <c r="DT66" s="70" t="str">
        <f t="shared" si="52"/>
        <v/>
      </c>
      <c r="DU66" s="90"/>
      <c r="DV66" s="123" t="str">
        <f t="shared" si="53"/>
        <v/>
      </c>
      <c r="DW66" s="123" t="str">
        <f t="shared" si="54"/>
        <v/>
      </c>
      <c r="DX66" s="132" t="str">
        <f t="shared" ref="DX66" ca="1" si="127">IF(DT66&lt;&gt;"",IF(WEEKNUM(DT66)=WEEKNUM(TODAY()),"This Week",IF(WEEKNUM(DT66)=WEEKNUM(TODAY())+1,"Next Week",IF(WEEKNUM(DT66)=WEEKNUM(TODAY())-1,"Previous Week",""))),"")</f>
        <v/>
      </c>
      <c r="DY66" s="134" t="str">
        <f t="shared" si="56"/>
        <v/>
      </c>
      <c r="DZ66" s="95"/>
      <c r="EB66" s="8" t="str">
        <f t="shared" si="67"/>
        <v/>
      </c>
      <c r="EC66" s="8" t="str">
        <f>IF(O66&lt;&gt;"",VLOOKUP(O66,'Job Master'!$N$12:$O$18,2,0),"")</f>
        <v/>
      </c>
      <c r="ED66" s="8">
        <f t="shared" si="68"/>
        <v>19.5</v>
      </c>
      <c r="EE66" s="8">
        <f t="shared" si="69"/>
        <v>6</v>
      </c>
      <c r="EF66" s="8">
        <f t="shared" si="70"/>
        <v>-316.5</v>
      </c>
      <c r="EG66" s="8" t="str">
        <f t="shared" si="71"/>
        <v/>
      </c>
      <c r="EH66" s="8" t="str">
        <f t="shared" si="72"/>
        <v/>
      </c>
    </row>
    <row r="67" spans="2:138" x14ac:dyDescent="0.3">
      <c r="B67" s="112"/>
      <c r="C67" s="27"/>
      <c r="D67" s="7" t="str">
        <f t="shared" si="1"/>
        <v/>
      </c>
      <c r="E67" s="25"/>
      <c r="F67" s="7" t="str">
        <f t="shared" si="1"/>
        <v/>
      </c>
      <c r="G67" s="25"/>
      <c r="H67" s="7" t="str">
        <f t="shared" si="1"/>
        <v/>
      </c>
      <c r="I67" s="25"/>
      <c r="J67" s="7" t="str">
        <f t="shared" si="1"/>
        <v/>
      </c>
      <c r="K67" s="25"/>
      <c r="L67" s="7" t="str">
        <f t="shared" si="2"/>
        <v/>
      </c>
      <c r="M67" s="25"/>
      <c r="N67" s="7" t="str">
        <f t="shared" si="3"/>
        <v/>
      </c>
      <c r="O67" s="81"/>
      <c r="P67" s="81" t="str">
        <f t="shared" si="4"/>
        <v/>
      </c>
      <c r="Q67" s="81"/>
      <c r="R67" s="7" t="str">
        <f t="shared" si="5"/>
        <v/>
      </c>
      <c r="S67" s="25"/>
      <c r="T67" s="7" t="str">
        <f t="shared" si="6"/>
        <v/>
      </c>
      <c r="U67" s="25"/>
      <c r="V67" s="7" t="str">
        <f t="shared" si="7"/>
        <v/>
      </c>
      <c r="W67" s="25"/>
      <c r="X67" s="7" t="str">
        <f t="shared" si="8"/>
        <v/>
      </c>
      <c r="Y67" s="18" t="str">
        <f t="shared" si="9"/>
        <v/>
      </c>
      <c r="Z67" s="7" t="str">
        <f t="shared" si="10"/>
        <v/>
      </c>
      <c r="AA67" s="18" t="str">
        <f t="shared" si="11"/>
        <v/>
      </c>
      <c r="AB67" s="19" t="str">
        <f t="shared" si="12"/>
        <v/>
      </c>
      <c r="AC67" s="26"/>
      <c r="AD67" s="26"/>
      <c r="AE67" s="25"/>
      <c r="AF67" s="26"/>
      <c r="AG67" s="25"/>
      <c r="AH67" s="25"/>
      <c r="AI67" s="18" t="str">
        <f t="shared" si="83"/>
        <v/>
      </c>
      <c r="AJ67" s="25"/>
      <c r="AK67" s="18" t="str">
        <f t="shared" si="84"/>
        <v/>
      </c>
      <c r="AL67" s="79"/>
      <c r="AM67" s="126" t="str">
        <f t="shared" si="85"/>
        <v/>
      </c>
      <c r="AN67" s="128" t="str">
        <f>IF(AP67&lt;&gt;"",VLOOKUP($P67&amp;" | "&amp;AN$6,'Job Master'!$F$12:$J$102,5,0),"")</f>
        <v/>
      </c>
      <c r="AO67" s="19" t="str">
        <f>IF(AP67&lt;&gt;"",VLOOKUP($P67&amp;" | "&amp;AN$6,'Job Master'!$F$12:$J$102,3,0),"")</f>
        <v/>
      </c>
      <c r="AP67" s="19" t="str">
        <f>IFERROR(IF(AND(AW67&lt;&gt;"",VLOOKUP($P67&amp;" | "&amp;AN$6,'Job Master'!$F$12:$I$102,4,0)&lt;&gt;""),IF(WEEKDAY(AW67-VLOOKUP($P67&amp;" | "&amp;AN$6,'Job Master'!$F$12:$I$102,4,0))&lt;&gt;7,AW67-VLOOKUP($P67&amp;" | "&amp;AN$6,'Job Master'!$F$12:$I$102,4,0),AW67-VLOOKUP($P67&amp;" | "&amp;AN$6,'Job Master'!$F$12:$I$102,4,0)-1),""),"")</f>
        <v/>
      </c>
      <c r="AQ67" s="73"/>
      <c r="AR67" s="123" t="str">
        <f t="shared" si="16"/>
        <v/>
      </c>
      <c r="AS67" s="123" t="str">
        <f t="shared" si="17"/>
        <v/>
      </c>
      <c r="AT67" s="97" t="str">
        <f t="shared" ca="1" si="18"/>
        <v/>
      </c>
      <c r="AU67" s="98" t="str">
        <f>IF(AW67&lt;&gt;"",VLOOKUP($P67&amp;" | "&amp;AU$6,'Job Master'!$F$12:$J$102,5,0),"")</f>
        <v/>
      </c>
      <c r="AV67" s="19" t="str">
        <f>IF(AW67&lt;&gt;"",VLOOKUP($P67&amp;" | "&amp;AU$6,'Job Master'!$F$12:$J$102,3,0),"")</f>
        <v/>
      </c>
      <c r="AW67" s="19" t="str">
        <f>IFERROR(IF(AND(BD67&lt;&gt;"",VLOOKUP($P67&amp;" | "&amp;AU$6,'Job Master'!$F$12:$I$102,4,0)&lt;&gt;""),IF(WEEKDAY(BD67-VLOOKUP($P67&amp;" | "&amp;AU$6,'Job Master'!$F$12:$I$102,4,0))&lt;&gt;7,BD67-VLOOKUP($P67&amp;" | "&amp;AU$6,'Job Master'!$F$12:$I$102,4,0),BD67-VLOOKUP($P67&amp;" | "&amp;AU$6,'Job Master'!$F$12:$I$102,4,0)-1),""),"")</f>
        <v/>
      </c>
      <c r="AX67" s="73"/>
      <c r="AY67" s="123" t="str">
        <f t="shared" si="19"/>
        <v/>
      </c>
      <c r="AZ67" s="123" t="str">
        <f t="shared" si="20"/>
        <v/>
      </c>
      <c r="BA67" s="97" t="str">
        <f t="shared" ca="1" si="21"/>
        <v/>
      </c>
      <c r="BB67" s="98" t="str">
        <f>IF(BD67&lt;&gt;"",VLOOKUP($P67&amp;" | "&amp;BB$6,'Job Master'!$F$12:$J$102,5,0),"")</f>
        <v/>
      </c>
      <c r="BC67" s="19" t="str">
        <f>IF(BD67&lt;&gt;"",VLOOKUP($P67&amp;" | "&amp;BB$6,'Job Master'!$F$12:$J$102,3,0),"")</f>
        <v/>
      </c>
      <c r="BD67" s="19" t="str">
        <f>IFERROR(IF(AND(BK67&lt;&gt;"",VLOOKUP($P67&amp;" | "&amp;BB$6,'Job Master'!$F$12:$I$102,4,0)&lt;&gt;""),IF(WEEKDAY(BK67-VLOOKUP($P67&amp;" | "&amp;BB$6,'Job Master'!$F$12:$I$102,4,0))&lt;&gt;7,BK67-VLOOKUP($P67&amp;" | "&amp;BB$6,'Job Master'!$F$12:$I$102,4,0),BK67-VLOOKUP($P67&amp;" | "&amp;BB$6,'Job Master'!$F$12:$I$102,4,0)-1),""),"")</f>
        <v/>
      </c>
      <c r="BE67" s="73"/>
      <c r="BF67" s="123" t="str">
        <f t="shared" si="22"/>
        <v/>
      </c>
      <c r="BG67" s="123" t="str">
        <f t="shared" si="23"/>
        <v/>
      </c>
      <c r="BH67" s="97" t="str">
        <f t="shared" ca="1" si="24"/>
        <v/>
      </c>
      <c r="BI67" s="98" t="str">
        <f>IF(BK67&lt;&gt;"",VLOOKUP($P67&amp;" | "&amp;BI$6,'Job Master'!$F$12:$J$102,5,0),"")</f>
        <v/>
      </c>
      <c r="BJ67" s="19" t="str">
        <f>IF(BK67&lt;&gt;"",VLOOKUP($P67&amp;" | "&amp;BI$6,'Job Master'!$F$12:$J$102,3,0),"")</f>
        <v/>
      </c>
      <c r="BK67" s="19" t="str">
        <f>IFERROR(IF(AND(BR67&lt;&gt;"",VLOOKUP($P67&amp;" | "&amp;BI$6,'Job Master'!$F$12:$I$102,4,0)&lt;&gt;""),IF(WEEKDAY(BR67-VLOOKUP($P67&amp;" | "&amp;BI$6,'Job Master'!$F$12:$I$102,4,0))&lt;&gt;7,BR67-VLOOKUP($P67&amp;" | "&amp;BI$6,'Job Master'!$F$12:$I$102,4,0),BR67-VLOOKUP($P67&amp;" | "&amp;BI$6,'Job Master'!$F$12:$I$102,4,0)-1),""),"")</f>
        <v/>
      </c>
      <c r="BL67" s="73"/>
      <c r="BM67" s="123" t="str">
        <f t="shared" si="25"/>
        <v/>
      </c>
      <c r="BN67" s="123" t="str">
        <f t="shared" si="26"/>
        <v/>
      </c>
      <c r="BO67" s="97" t="str">
        <f t="shared" ca="1" si="27"/>
        <v/>
      </c>
      <c r="BP67" s="98" t="str">
        <f>IF(BR67&lt;&gt;"",VLOOKUP($P67&amp;" | "&amp;BP$6,'Job Master'!$F$12:$J$102,5,0),"")</f>
        <v/>
      </c>
      <c r="BQ67" s="19" t="str">
        <f>IF(BR67&lt;&gt;"",VLOOKUP($P67&amp;" | "&amp;BP$6,'Job Master'!$F$12:$J$102,3,0),"")</f>
        <v/>
      </c>
      <c r="BR67" s="19" t="str">
        <f>IFERROR(IF(AND(BY67&lt;&gt;"",VLOOKUP($P67&amp;" | "&amp;BP$6,'Job Master'!$F$12:$I$102,4,0)&lt;&gt;""),IF(WEEKDAY(BY67-VLOOKUP($P67&amp;" | "&amp;BP$6,'Job Master'!$F$12:$I$102,4,0))&lt;&gt;7,BY67-VLOOKUP($P67&amp;" | "&amp;BP$6,'Job Master'!$F$12:$I$102,4,0),BY67-VLOOKUP($P67&amp;" | "&amp;BP$6,'Job Master'!$F$12:$I$102,4,0)-1),""),"")</f>
        <v/>
      </c>
      <c r="BS67" s="73"/>
      <c r="BT67" s="123" t="str">
        <f t="shared" si="28"/>
        <v/>
      </c>
      <c r="BU67" s="123" t="str">
        <f t="shared" si="29"/>
        <v/>
      </c>
      <c r="BV67" s="97" t="str">
        <f t="shared" ca="1" si="30"/>
        <v/>
      </c>
      <c r="BW67" s="98" t="str">
        <f>IF(BY67&lt;&gt;"",VLOOKUP($P67&amp;" | "&amp;BW$6,'Job Master'!$F$12:$J$102,5,0),"")</f>
        <v/>
      </c>
      <c r="BX67" s="19" t="str">
        <f>IF(BY67&lt;&gt;"",VLOOKUP($P67&amp;" | "&amp;BW$6,'Job Master'!$F$12:$J$102,3,0),"")</f>
        <v/>
      </c>
      <c r="BY67" s="19" t="str">
        <f>IFERROR(IF(AND(CF67&lt;&gt;"",VLOOKUP($P67&amp;" | "&amp;BW$6,'Job Master'!$F$12:$I$102,4,0)&lt;&gt;""),IF(WEEKDAY(CF67-VLOOKUP($P67&amp;" | "&amp;BW$6,'Job Master'!$F$12:$I$102,4,0))&lt;&gt;7,CF67-VLOOKUP($P67&amp;" | "&amp;BW$6,'Job Master'!$F$12:$I$102,4,0),CF67-VLOOKUP($P67&amp;" | "&amp;BW$6,'Job Master'!$F$12:$I$102,4,0)-1),""),"")</f>
        <v/>
      </c>
      <c r="BZ67" s="73"/>
      <c r="CA67" s="123" t="str">
        <f t="shared" si="31"/>
        <v/>
      </c>
      <c r="CB67" s="123" t="str">
        <f t="shared" si="32"/>
        <v/>
      </c>
      <c r="CC67" s="97" t="str">
        <f t="shared" ca="1" si="33"/>
        <v/>
      </c>
      <c r="CD67" s="98" t="str">
        <f>IF(CF67&lt;&gt;"",VLOOKUP($P67&amp;" | "&amp;CD$6,'Job Master'!$F$12:$J$102,5,0),"")</f>
        <v/>
      </c>
      <c r="CE67" s="19" t="str">
        <f>IF(CF67&lt;&gt;"",VLOOKUP($P67&amp;" | "&amp;CD$6,'Job Master'!$F$12:$J$102,3,0),"")</f>
        <v/>
      </c>
      <c r="CF67" s="19" t="str">
        <f>IFERROR(IF(AND(CM67&lt;&gt;"",VLOOKUP($P67&amp;" | "&amp;CD$6,'Job Master'!$F$12:$I$102,4,0)&lt;&gt;""),IF(WEEKDAY(CM67-VLOOKUP($P67&amp;" | "&amp;CD$6,'Job Master'!$F$12:$I$102,4,0))&lt;&gt;7,CM67-VLOOKUP($P67&amp;" | "&amp;CD$6,'Job Master'!$F$12:$I$102,4,0),CM67-VLOOKUP($P67&amp;" | "&amp;CD$6,'Job Master'!$F$12:$I$102,4,0)-1),""),"")</f>
        <v/>
      </c>
      <c r="CG67" s="73"/>
      <c r="CH67" s="123" t="str">
        <f t="shared" si="34"/>
        <v/>
      </c>
      <c r="CI67" s="123" t="str">
        <f t="shared" si="35"/>
        <v/>
      </c>
      <c r="CJ67" s="97" t="str">
        <f t="shared" ca="1" si="36"/>
        <v/>
      </c>
      <c r="CK67" s="98" t="str">
        <f>IF(CM67&lt;&gt;"",VLOOKUP($P67&amp;" | "&amp;CK$6,'Job Master'!$F$12:$J$102,5,0),"")</f>
        <v/>
      </c>
      <c r="CL67" s="19" t="str">
        <f>IF(CM67&lt;&gt;"",VLOOKUP($P67&amp;" | "&amp;CK$6,'Job Master'!$F$12:$J$102,3,0),"")</f>
        <v/>
      </c>
      <c r="CM67" s="19" t="str">
        <f>IFERROR(IF(AND(CT67&lt;&gt;"",VLOOKUP($P67&amp;" | "&amp;CK$6,'Job Master'!$F$12:$I$102,4,0)&lt;&gt;""),IF(WEEKDAY(CT67-VLOOKUP($P67&amp;" | "&amp;CK$6,'Job Master'!$F$12:$I$102,4,0))&lt;&gt;7,CT67-VLOOKUP($P67&amp;" | "&amp;CK$6,'Job Master'!$F$12:$I$102,4,0),CT67-VLOOKUP($P67&amp;" | "&amp;CK$6,'Job Master'!$F$12:$I$102,4,0)-1),""),"")</f>
        <v/>
      </c>
      <c r="CN67" s="73"/>
      <c r="CO67" s="123" t="str">
        <f t="shared" si="37"/>
        <v/>
      </c>
      <c r="CP67" s="123" t="str">
        <f t="shared" si="38"/>
        <v/>
      </c>
      <c r="CQ67" s="97" t="str">
        <f t="shared" ca="1" si="39"/>
        <v/>
      </c>
      <c r="CR67" s="98" t="str">
        <f>IF(CT67&lt;&gt;"",VLOOKUP($P67&amp;" | "&amp;CR$6,'Job Master'!$F$12:$J$102,5,0),"")</f>
        <v/>
      </c>
      <c r="CS67" s="19" t="str">
        <f>IF(CT67&lt;&gt;"",VLOOKUP($P67&amp;" | "&amp;CR$6,'Job Master'!$F$12:$J$102,3,0),"")</f>
        <v/>
      </c>
      <c r="CT67" s="19" t="str">
        <f>IFERROR(IF(AND(DA67&lt;&gt;"",VLOOKUP($P67&amp;" | "&amp;CR$6,'Job Master'!$F$12:$I$102,4,0)&lt;&gt;""),IF(WEEKDAY(DA67-VLOOKUP($P67&amp;" | "&amp;CR$6,'Job Master'!$F$12:$I$102,4,0))&lt;&gt;7,DA67-VLOOKUP($P67&amp;" | "&amp;CR$6,'Job Master'!$F$12:$I$102,4,0),DA67-VLOOKUP($P67&amp;" | "&amp;CR$6,'Job Master'!$F$12:$I$102,4,0)-1),""),"")</f>
        <v/>
      </c>
      <c r="CU67" s="73"/>
      <c r="CV67" s="123" t="str">
        <f t="shared" si="40"/>
        <v/>
      </c>
      <c r="CW67" s="123" t="str">
        <f t="shared" si="41"/>
        <v/>
      </c>
      <c r="CX67" s="97" t="str">
        <f t="shared" ca="1" si="42"/>
        <v/>
      </c>
      <c r="CY67" s="98" t="str">
        <f>IF(DA67&lt;&gt;"",VLOOKUP($P67&amp;" | "&amp;CY$6,'Job Master'!$F$12:$J$102,5,0),"")</f>
        <v/>
      </c>
      <c r="CZ67" s="19" t="str">
        <f>IF(DA67&lt;&gt;"",VLOOKUP($P67&amp;" | "&amp;CY$6,'Job Master'!$F$12:$J$102,3,0),"")</f>
        <v/>
      </c>
      <c r="DA67" s="19" t="str">
        <f>IFERROR(IF(AND(DH67&lt;&gt;"",VLOOKUP($P67&amp;" | "&amp;CY$6,'Job Master'!$F$12:$I$102,4,0)&lt;&gt;""),IF(WEEKDAY(DH67-VLOOKUP($P67&amp;" | "&amp;CY$6,'Job Master'!$F$12:$I$102,4,0))&lt;&gt;7,DH67-VLOOKUP($P67&amp;" | "&amp;CY$6,'Job Master'!$F$12:$I$102,4,0),DH67-VLOOKUP($P67&amp;" | "&amp;CY$6,'Job Master'!$F$12:$I$102,4,0)-1),""),"")</f>
        <v/>
      </c>
      <c r="DB67" s="73"/>
      <c r="DC67" s="123" t="str">
        <f t="shared" si="43"/>
        <v/>
      </c>
      <c r="DD67" s="123" t="str">
        <f t="shared" si="44"/>
        <v/>
      </c>
      <c r="DE67" s="97" t="str">
        <f t="shared" ca="1" si="45"/>
        <v/>
      </c>
      <c r="DF67" s="98" t="str">
        <f>IF(DH67&lt;&gt;"",VLOOKUP($P67&amp;" | "&amp;DF$6,'Job Master'!$F$12:$J$102,5,0),"")</f>
        <v/>
      </c>
      <c r="DG67" s="19" t="str">
        <f>IF(DH67&lt;&gt;"",VLOOKUP($P67&amp;" | "&amp;DF$6,'Job Master'!$F$12:$J$102,3,0),"")</f>
        <v/>
      </c>
      <c r="DH67" s="19" t="str">
        <f>IFERROR(IF(AND(DO67&lt;&gt;"",VLOOKUP($P67&amp;" | "&amp;DF$6,'Job Master'!$F$12:$I$102,4,0)&lt;&gt;""),IF(WEEKDAY(DO67-VLOOKUP($P67&amp;" | "&amp;DF$6,'Job Master'!$F$12:$I$102,4,0))&lt;&gt;7,DO67-VLOOKUP($P67&amp;" | "&amp;DF$6,'Job Master'!$F$12:$I$102,4,0),DO67-VLOOKUP($P67&amp;" | "&amp;DF$6,'Job Master'!$F$12:$I$102,4,0)-1),""),"")</f>
        <v/>
      </c>
      <c r="DI67" s="73"/>
      <c r="DJ67" s="123" t="str">
        <f t="shared" si="46"/>
        <v/>
      </c>
      <c r="DK67" s="123" t="str">
        <f t="shared" si="47"/>
        <v/>
      </c>
      <c r="DL67" s="97" t="str">
        <f t="shared" ca="1" si="48"/>
        <v/>
      </c>
      <c r="DM67" s="98" t="str">
        <f>IF(DO67&lt;&gt;"",VLOOKUP($P67&amp;" | "&amp;DM$6,'Job Master'!$F$12:$J$102,5,0),"")</f>
        <v/>
      </c>
      <c r="DN67" s="19" t="str">
        <f>IF(DO67&lt;&gt;"",VLOOKUP($P67&amp;" | "&amp;DM$6,'Job Master'!$F$12:$J$102,3,0),"")</f>
        <v/>
      </c>
      <c r="DO67" s="19" t="str">
        <f>IFERROR(IF(AND(DT67&lt;&gt;"",VLOOKUP($P67&amp;" | "&amp;DM$6,'Job Master'!$F$12:$I$102,4,0)&lt;&gt;""),IF(WEEKDAY(DT67-VLOOKUP($P67&amp;" | "&amp;DM$6,'Job Master'!$F$12:$I$102,4,0))&lt;&gt;7,DT67-VLOOKUP($P67&amp;" | "&amp;DM$6,'Job Master'!$F$12:$I$102,4,0),DT67-VLOOKUP($P67&amp;" | "&amp;DM$6,'Job Master'!$F$12:$I$102,4,0)-1),""),"")</f>
        <v/>
      </c>
      <c r="DP67" s="73"/>
      <c r="DQ67" s="123" t="str">
        <f t="shared" si="49"/>
        <v/>
      </c>
      <c r="DR67" s="123" t="str">
        <f t="shared" si="50"/>
        <v/>
      </c>
      <c r="DS67" s="97" t="str">
        <f t="shared" ca="1" si="51"/>
        <v/>
      </c>
      <c r="DT67" s="70" t="str">
        <f t="shared" si="52"/>
        <v/>
      </c>
      <c r="DU67" s="90"/>
      <c r="DV67" s="123" t="str">
        <f t="shared" si="53"/>
        <v/>
      </c>
      <c r="DW67" s="123" t="str">
        <f t="shared" si="54"/>
        <v/>
      </c>
      <c r="DX67" s="132" t="str">
        <f t="shared" ref="DX67" ca="1" si="128">IF(DT67&lt;&gt;"",IF(WEEKNUM(DT67)=WEEKNUM(TODAY()),"This Week",IF(WEEKNUM(DT67)=WEEKNUM(TODAY())+1,"Next Week",IF(WEEKNUM(DT67)=WEEKNUM(TODAY())-1,"Previous Week",""))),"")</f>
        <v/>
      </c>
      <c r="DY67" s="134" t="str">
        <f t="shared" si="56"/>
        <v/>
      </c>
      <c r="DZ67" s="95"/>
      <c r="EB67" s="8" t="str">
        <f t="shared" si="67"/>
        <v/>
      </c>
      <c r="EC67" s="8" t="str">
        <f>IF(O67&lt;&gt;"",VLOOKUP(O67,'Job Master'!$N$12:$O$18,2,0),"")</f>
        <v/>
      </c>
      <c r="ED67" s="8">
        <f t="shared" si="68"/>
        <v>19.5</v>
      </c>
      <c r="EE67" s="8">
        <f t="shared" si="69"/>
        <v>6</v>
      </c>
      <c r="EF67" s="8">
        <f t="shared" si="70"/>
        <v>-322.5</v>
      </c>
      <c r="EG67" s="8" t="str">
        <f t="shared" si="71"/>
        <v/>
      </c>
      <c r="EH67" s="8" t="str">
        <f t="shared" si="72"/>
        <v/>
      </c>
    </row>
    <row r="68" spans="2:138" x14ac:dyDescent="0.3">
      <c r="B68" s="112"/>
      <c r="C68" s="27"/>
      <c r="D68" s="7" t="str">
        <f t="shared" si="1"/>
        <v/>
      </c>
      <c r="E68" s="25"/>
      <c r="F68" s="7" t="str">
        <f t="shared" si="1"/>
        <v/>
      </c>
      <c r="G68" s="25"/>
      <c r="H68" s="7" t="str">
        <f t="shared" si="1"/>
        <v/>
      </c>
      <c r="I68" s="25"/>
      <c r="J68" s="7" t="str">
        <f t="shared" si="1"/>
        <v/>
      </c>
      <c r="K68" s="25"/>
      <c r="L68" s="7" t="str">
        <f t="shared" si="2"/>
        <v/>
      </c>
      <c r="M68" s="25"/>
      <c r="N68" s="7" t="str">
        <f t="shared" si="3"/>
        <v/>
      </c>
      <c r="O68" s="81"/>
      <c r="P68" s="81" t="str">
        <f t="shared" si="4"/>
        <v/>
      </c>
      <c r="Q68" s="81"/>
      <c r="R68" s="7" t="str">
        <f t="shared" si="5"/>
        <v/>
      </c>
      <c r="S68" s="25"/>
      <c r="T68" s="7" t="str">
        <f t="shared" si="6"/>
        <v/>
      </c>
      <c r="U68" s="25"/>
      <c r="V68" s="7" t="str">
        <f t="shared" si="7"/>
        <v/>
      </c>
      <c r="W68" s="25"/>
      <c r="X68" s="7" t="str">
        <f t="shared" si="8"/>
        <v/>
      </c>
      <c r="Y68" s="18" t="str">
        <f t="shared" si="9"/>
        <v/>
      </c>
      <c r="Z68" s="7" t="str">
        <f t="shared" si="10"/>
        <v/>
      </c>
      <c r="AA68" s="18" t="str">
        <f t="shared" si="11"/>
        <v/>
      </c>
      <c r="AB68" s="19" t="str">
        <f t="shared" si="12"/>
        <v/>
      </c>
      <c r="AC68" s="26"/>
      <c r="AD68" s="26"/>
      <c r="AE68" s="25"/>
      <c r="AF68" s="26"/>
      <c r="AG68" s="25"/>
      <c r="AH68" s="25"/>
      <c r="AI68" s="18" t="str">
        <f t="shared" si="83"/>
        <v/>
      </c>
      <c r="AJ68" s="25"/>
      <c r="AK68" s="18" t="str">
        <f t="shared" si="84"/>
        <v/>
      </c>
      <c r="AL68" s="79"/>
      <c r="AM68" s="126" t="str">
        <f t="shared" si="85"/>
        <v/>
      </c>
      <c r="AN68" s="128" t="str">
        <f>IF(AP68&lt;&gt;"",VLOOKUP($P68&amp;" | "&amp;AN$6,'Job Master'!$F$12:$J$102,5,0),"")</f>
        <v/>
      </c>
      <c r="AO68" s="19" t="str">
        <f>IF(AP68&lt;&gt;"",VLOOKUP($P68&amp;" | "&amp;AN$6,'Job Master'!$F$12:$J$102,3,0),"")</f>
        <v/>
      </c>
      <c r="AP68" s="19" t="str">
        <f>IFERROR(IF(AND(AW68&lt;&gt;"",VLOOKUP($P68&amp;" | "&amp;AN$6,'Job Master'!$F$12:$I$102,4,0)&lt;&gt;""),IF(WEEKDAY(AW68-VLOOKUP($P68&amp;" | "&amp;AN$6,'Job Master'!$F$12:$I$102,4,0))&lt;&gt;7,AW68-VLOOKUP($P68&amp;" | "&amp;AN$6,'Job Master'!$F$12:$I$102,4,0),AW68-VLOOKUP($P68&amp;" | "&amp;AN$6,'Job Master'!$F$12:$I$102,4,0)-1),""),"")</f>
        <v/>
      </c>
      <c r="AQ68" s="73"/>
      <c r="AR68" s="123" t="str">
        <f t="shared" si="16"/>
        <v/>
      </c>
      <c r="AS68" s="123" t="str">
        <f t="shared" si="17"/>
        <v/>
      </c>
      <c r="AT68" s="97" t="str">
        <f t="shared" ca="1" si="18"/>
        <v/>
      </c>
      <c r="AU68" s="98" t="str">
        <f>IF(AW68&lt;&gt;"",VLOOKUP($P68&amp;" | "&amp;AU$6,'Job Master'!$F$12:$J$102,5,0),"")</f>
        <v/>
      </c>
      <c r="AV68" s="19" t="str">
        <f>IF(AW68&lt;&gt;"",VLOOKUP($P68&amp;" | "&amp;AU$6,'Job Master'!$F$12:$J$102,3,0),"")</f>
        <v/>
      </c>
      <c r="AW68" s="19" t="str">
        <f>IFERROR(IF(AND(BD68&lt;&gt;"",VLOOKUP($P68&amp;" | "&amp;AU$6,'Job Master'!$F$12:$I$102,4,0)&lt;&gt;""),IF(WEEKDAY(BD68-VLOOKUP($P68&amp;" | "&amp;AU$6,'Job Master'!$F$12:$I$102,4,0))&lt;&gt;7,BD68-VLOOKUP($P68&amp;" | "&amp;AU$6,'Job Master'!$F$12:$I$102,4,0),BD68-VLOOKUP($P68&amp;" | "&amp;AU$6,'Job Master'!$F$12:$I$102,4,0)-1),""),"")</f>
        <v/>
      </c>
      <c r="AX68" s="73"/>
      <c r="AY68" s="123" t="str">
        <f t="shared" si="19"/>
        <v/>
      </c>
      <c r="AZ68" s="123" t="str">
        <f t="shared" si="20"/>
        <v/>
      </c>
      <c r="BA68" s="97" t="str">
        <f t="shared" ca="1" si="21"/>
        <v/>
      </c>
      <c r="BB68" s="98" t="str">
        <f>IF(BD68&lt;&gt;"",VLOOKUP($P68&amp;" | "&amp;BB$6,'Job Master'!$F$12:$J$102,5,0),"")</f>
        <v/>
      </c>
      <c r="BC68" s="19" t="str">
        <f>IF(BD68&lt;&gt;"",VLOOKUP($P68&amp;" | "&amp;BB$6,'Job Master'!$F$12:$J$102,3,0),"")</f>
        <v/>
      </c>
      <c r="BD68" s="19" t="str">
        <f>IFERROR(IF(AND(BK68&lt;&gt;"",VLOOKUP($P68&amp;" | "&amp;BB$6,'Job Master'!$F$12:$I$102,4,0)&lt;&gt;""),IF(WEEKDAY(BK68-VLOOKUP($P68&amp;" | "&amp;BB$6,'Job Master'!$F$12:$I$102,4,0))&lt;&gt;7,BK68-VLOOKUP($P68&amp;" | "&amp;BB$6,'Job Master'!$F$12:$I$102,4,0),BK68-VLOOKUP($P68&amp;" | "&amp;BB$6,'Job Master'!$F$12:$I$102,4,0)-1),""),"")</f>
        <v/>
      </c>
      <c r="BE68" s="73"/>
      <c r="BF68" s="123" t="str">
        <f t="shared" si="22"/>
        <v/>
      </c>
      <c r="BG68" s="123" t="str">
        <f t="shared" si="23"/>
        <v/>
      </c>
      <c r="BH68" s="97" t="str">
        <f t="shared" ca="1" si="24"/>
        <v/>
      </c>
      <c r="BI68" s="98" t="str">
        <f>IF(BK68&lt;&gt;"",VLOOKUP($P68&amp;" | "&amp;BI$6,'Job Master'!$F$12:$J$102,5,0),"")</f>
        <v/>
      </c>
      <c r="BJ68" s="19" t="str">
        <f>IF(BK68&lt;&gt;"",VLOOKUP($P68&amp;" | "&amp;BI$6,'Job Master'!$F$12:$J$102,3,0),"")</f>
        <v/>
      </c>
      <c r="BK68" s="19" t="str">
        <f>IFERROR(IF(AND(BR68&lt;&gt;"",VLOOKUP($P68&amp;" | "&amp;BI$6,'Job Master'!$F$12:$I$102,4,0)&lt;&gt;""),IF(WEEKDAY(BR68-VLOOKUP($P68&amp;" | "&amp;BI$6,'Job Master'!$F$12:$I$102,4,0))&lt;&gt;7,BR68-VLOOKUP($P68&amp;" | "&amp;BI$6,'Job Master'!$F$12:$I$102,4,0),BR68-VLOOKUP($P68&amp;" | "&amp;BI$6,'Job Master'!$F$12:$I$102,4,0)-1),""),"")</f>
        <v/>
      </c>
      <c r="BL68" s="73"/>
      <c r="BM68" s="123" t="str">
        <f t="shared" si="25"/>
        <v/>
      </c>
      <c r="BN68" s="123" t="str">
        <f t="shared" si="26"/>
        <v/>
      </c>
      <c r="BO68" s="97" t="str">
        <f t="shared" ca="1" si="27"/>
        <v/>
      </c>
      <c r="BP68" s="98" t="str">
        <f>IF(BR68&lt;&gt;"",VLOOKUP($P68&amp;" | "&amp;BP$6,'Job Master'!$F$12:$J$102,5,0),"")</f>
        <v/>
      </c>
      <c r="BQ68" s="19" t="str">
        <f>IF(BR68&lt;&gt;"",VLOOKUP($P68&amp;" | "&amp;BP$6,'Job Master'!$F$12:$J$102,3,0),"")</f>
        <v/>
      </c>
      <c r="BR68" s="19" t="str">
        <f>IFERROR(IF(AND(BY68&lt;&gt;"",VLOOKUP($P68&amp;" | "&amp;BP$6,'Job Master'!$F$12:$I$102,4,0)&lt;&gt;""),IF(WEEKDAY(BY68-VLOOKUP($P68&amp;" | "&amp;BP$6,'Job Master'!$F$12:$I$102,4,0))&lt;&gt;7,BY68-VLOOKUP($P68&amp;" | "&amp;BP$6,'Job Master'!$F$12:$I$102,4,0),BY68-VLOOKUP($P68&amp;" | "&amp;BP$6,'Job Master'!$F$12:$I$102,4,0)-1),""),"")</f>
        <v/>
      </c>
      <c r="BS68" s="73"/>
      <c r="BT68" s="123" t="str">
        <f t="shared" si="28"/>
        <v/>
      </c>
      <c r="BU68" s="123" t="str">
        <f t="shared" si="29"/>
        <v/>
      </c>
      <c r="BV68" s="97" t="str">
        <f t="shared" ca="1" si="30"/>
        <v/>
      </c>
      <c r="BW68" s="98" t="str">
        <f>IF(BY68&lt;&gt;"",VLOOKUP($P68&amp;" | "&amp;BW$6,'Job Master'!$F$12:$J$102,5,0),"")</f>
        <v/>
      </c>
      <c r="BX68" s="19" t="str">
        <f>IF(BY68&lt;&gt;"",VLOOKUP($P68&amp;" | "&amp;BW$6,'Job Master'!$F$12:$J$102,3,0),"")</f>
        <v/>
      </c>
      <c r="BY68" s="19" t="str">
        <f>IFERROR(IF(AND(CF68&lt;&gt;"",VLOOKUP($P68&amp;" | "&amp;BW$6,'Job Master'!$F$12:$I$102,4,0)&lt;&gt;""),IF(WEEKDAY(CF68-VLOOKUP($P68&amp;" | "&amp;BW$6,'Job Master'!$F$12:$I$102,4,0))&lt;&gt;7,CF68-VLOOKUP($P68&amp;" | "&amp;BW$6,'Job Master'!$F$12:$I$102,4,0),CF68-VLOOKUP($P68&amp;" | "&amp;BW$6,'Job Master'!$F$12:$I$102,4,0)-1),""),"")</f>
        <v/>
      </c>
      <c r="BZ68" s="73"/>
      <c r="CA68" s="123" t="str">
        <f t="shared" si="31"/>
        <v/>
      </c>
      <c r="CB68" s="123" t="str">
        <f t="shared" si="32"/>
        <v/>
      </c>
      <c r="CC68" s="97" t="str">
        <f t="shared" ca="1" si="33"/>
        <v/>
      </c>
      <c r="CD68" s="98" t="str">
        <f>IF(CF68&lt;&gt;"",VLOOKUP($P68&amp;" | "&amp;CD$6,'Job Master'!$F$12:$J$102,5,0),"")</f>
        <v/>
      </c>
      <c r="CE68" s="19" t="str">
        <f>IF(CF68&lt;&gt;"",VLOOKUP($P68&amp;" | "&amp;CD$6,'Job Master'!$F$12:$J$102,3,0),"")</f>
        <v/>
      </c>
      <c r="CF68" s="19" t="str">
        <f>IFERROR(IF(AND(CM68&lt;&gt;"",VLOOKUP($P68&amp;" | "&amp;CD$6,'Job Master'!$F$12:$I$102,4,0)&lt;&gt;""),IF(WEEKDAY(CM68-VLOOKUP($P68&amp;" | "&amp;CD$6,'Job Master'!$F$12:$I$102,4,0))&lt;&gt;7,CM68-VLOOKUP($P68&amp;" | "&amp;CD$6,'Job Master'!$F$12:$I$102,4,0),CM68-VLOOKUP($P68&amp;" | "&amp;CD$6,'Job Master'!$F$12:$I$102,4,0)-1),""),"")</f>
        <v/>
      </c>
      <c r="CG68" s="73"/>
      <c r="CH68" s="123" t="str">
        <f t="shared" si="34"/>
        <v/>
      </c>
      <c r="CI68" s="123" t="str">
        <f t="shared" si="35"/>
        <v/>
      </c>
      <c r="CJ68" s="97" t="str">
        <f t="shared" ca="1" si="36"/>
        <v/>
      </c>
      <c r="CK68" s="98" t="str">
        <f>IF(CM68&lt;&gt;"",VLOOKUP($P68&amp;" | "&amp;CK$6,'Job Master'!$F$12:$J$102,5,0),"")</f>
        <v/>
      </c>
      <c r="CL68" s="19" t="str">
        <f>IF(CM68&lt;&gt;"",VLOOKUP($P68&amp;" | "&amp;CK$6,'Job Master'!$F$12:$J$102,3,0),"")</f>
        <v/>
      </c>
      <c r="CM68" s="19" t="str">
        <f>IFERROR(IF(AND(CT68&lt;&gt;"",VLOOKUP($P68&amp;" | "&amp;CK$6,'Job Master'!$F$12:$I$102,4,0)&lt;&gt;""),IF(WEEKDAY(CT68-VLOOKUP($P68&amp;" | "&amp;CK$6,'Job Master'!$F$12:$I$102,4,0))&lt;&gt;7,CT68-VLOOKUP($P68&amp;" | "&amp;CK$6,'Job Master'!$F$12:$I$102,4,0),CT68-VLOOKUP($P68&amp;" | "&amp;CK$6,'Job Master'!$F$12:$I$102,4,0)-1),""),"")</f>
        <v/>
      </c>
      <c r="CN68" s="73"/>
      <c r="CO68" s="123" t="str">
        <f t="shared" si="37"/>
        <v/>
      </c>
      <c r="CP68" s="123" t="str">
        <f t="shared" si="38"/>
        <v/>
      </c>
      <c r="CQ68" s="97" t="str">
        <f t="shared" ca="1" si="39"/>
        <v/>
      </c>
      <c r="CR68" s="98" t="str">
        <f>IF(CT68&lt;&gt;"",VLOOKUP($P68&amp;" | "&amp;CR$6,'Job Master'!$F$12:$J$102,5,0),"")</f>
        <v/>
      </c>
      <c r="CS68" s="19" t="str">
        <f>IF(CT68&lt;&gt;"",VLOOKUP($P68&amp;" | "&amp;CR$6,'Job Master'!$F$12:$J$102,3,0),"")</f>
        <v/>
      </c>
      <c r="CT68" s="19" t="str">
        <f>IFERROR(IF(AND(DA68&lt;&gt;"",VLOOKUP($P68&amp;" | "&amp;CR$6,'Job Master'!$F$12:$I$102,4,0)&lt;&gt;""),IF(WEEKDAY(DA68-VLOOKUP($P68&amp;" | "&amp;CR$6,'Job Master'!$F$12:$I$102,4,0))&lt;&gt;7,DA68-VLOOKUP($P68&amp;" | "&amp;CR$6,'Job Master'!$F$12:$I$102,4,0),DA68-VLOOKUP($P68&amp;" | "&amp;CR$6,'Job Master'!$F$12:$I$102,4,0)-1),""),"")</f>
        <v/>
      </c>
      <c r="CU68" s="73"/>
      <c r="CV68" s="123" t="str">
        <f t="shared" si="40"/>
        <v/>
      </c>
      <c r="CW68" s="123" t="str">
        <f t="shared" si="41"/>
        <v/>
      </c>
      <c r="CX68" s="97" t="str">
        <f t="shared" ca="1" si="42"/>
        <v/>
      </c>
      <c r="CY68" s="98" t="str">
        <f>IF(DA68&lt;&gt;"",VLOOKUP($P68&amp;" | "&amp;CY$6,'Job Master'!$F$12:$J$102,5,0),"")</f>
        <v/>
      </c>
      <c r="CZ68" s="19" t="str">
        <f>IF(DA68&lt;&gt;"",VLOOKUP($P68&amp;" | "&amp;CY$6,'Job Master'!$F$12:$J$102,3,0),"")</f>
        <v/>
      </c>
      <c r="DA68" s="19" t="str">
        <f>IFERROR(IF(AND(DH68&lt;&gt;"",VLOOKUP($P68&amp;" | "&amp;CY$6,'Job Master'!$F$12:$I$102,4,0)&lt;&gt;""),IF(WEEKDAY(DH68-VLOOKUP($P68&amp;" | "&amp;CY$6,'Job Master'!$F$12:$I$102,4,0))&lt;&gt;7,DH68-VLOOKUP($P68&amp;" | "&amp;CY$6,'Job Master'!$F$12:$I$102,4,0),DH68-VLOOKUP($P68&amp;" | "&amp;CY$6,'Job Master'!$F$12:$I$102,4,0)-1),""),"")</f>
        <v/>
      </c>
      <c r="DB68" s="73"/>
      <c r="DC68" s="123" t="str">
        <f t="shared" si="43"/>
        <v/>
      </c>
      <c r="DD68" s="123" t="str">
        <f t="shared" si="44"/>
        <v/>
      </c>
      <c r="DE68" s="97" t="str">
        <f t="shared" ca="1" si="45"/>
        <v/>
      </c>
      <c r="DF68" s="98" t="str">
        <f>IF(DH68&lt;&gt;"",VLOOKUP($P68&amp;" | "&amp;DF$6,'Job Master'!$F$12:$J$102,5,0),"")</f>
        <v/>
      </c>
      <c r="DG68" s="19" t="str">
        <f>IF(DH68&lt;&gt;"",VLOOKUP($P68&amp;" | "&amp;DF$6,'Job Master'!$F$12:$J$102,3,0),"")</f>
        <v/>
      </c>
      <c r="DH68" s="19" t="str">
        <f>IFERROR(IF(AND(DO68&lt;&gt;"",VLOOKUP($P68&amp;" | "&amp;DF$6,'Job Master'!$F$12:$I$102,4,0)&lt;&gt;""),IF(WEEKDAY(DO68-VLOOKUP($P68&amp;" | "&amp;DF$6,'Job Master'!$F$12:$I$102,4,0))&lt;&gt;7,DO68-VLOOKUP($P68&amp;" | "&amp;DF$6,'Job Master'!$F$12:$I$102,4,0),DO68-VLOOKUP($P68&amp;" | "&amp;DF$6,'Job Master'!$F$12:$I$102,4,0)-1),""),"")</f>
        <v/>
      </c>
      <c r="DI68" s="73"/>
      <c r="DJ68" s="123" t="str">
        <f t="shared" si="46"/>
        <v/>
      </c>
      <c r="DK68" s="123" t="str">
        <f t="shared" si="47"/>
        <v/>
      </c>
      <c r="DL68" s="97" t="str">
        <f t="shared" ca="1" si="48"/>
        <v/>
      </c>
      <c r="DM68" s="98" t="str">
        <f>IF(DO68&lt;&gt;"",VLOOKUP($P68&amp;" | "&amp;DM$6,'Job Master'!$F$12:$J$102,5,0),"")</f>
        <v/>
      </c>
      <c r="DN68" s="19" t="str">
        <f>IF(DO68&lt;&gt;"",VLOOKUP($P68&amp;" | "&amp;DM$6,'Job Master'!$F$12:$J$102,3,0),"")</f>
        <v/>
      </c>
      <c r="DO68" s="19" t="str">
        <f>IFERROR(IF(AND(DT68&lt;&gt;"",VLOOKUP($P68&amp;" | "&amp;DM$6,'Job Master'!$F$12:$I$102,4,0)&lt;&gt;""),IF(WEEKDAY(DT68-VLOOKUP($P68&amp;" | "&amp;DM$6,'Job Master'!$F$12:$I$102,4,0))&lt;&gt;7,DT68-VLOOKUP($P68&amp;" | "&amp;DM$6,'Job Master'!$F$12:$I$102,4,0),DT68-VLOOKUP($P68&amp;" | "&amp;DM$6,'Job Master'!$F$12:$I$102,4,0)-1),""),"")</f>
        <v/>
      </c>
      <c r="DP68" s="73"/>
      <c r="DQ68" s="123" t="str">
        <f t="shared" si="49"/>
        <v/>
      </c>
      <c r="DR68" s="123" t="str">
        <f t="shared" si="50"/>
        <v/>
      </c>
      <c r="DS68" s="97" t="str">
        <f t="shared" ca="1" si="51"/>
        <v/>
      </c>
      <c r="DT68" s="70" t="str">
        <f t="shared" si="52"/>
        <v/>
      </c>
      <c r="DU68" s="90"/>
      <c r="DV68" s="123" t="str">
        <f t="shared" si="53"/>
        <v/>
      </c>
      <c r="DW68" s="123" t="str">
        <f t="shared" si="54"/>
        <v/>
      </c>
      <c r="DX68" s="132" t="str">
        <f t="shared" ref="DX68" ca="1" si="129">IF(DT68&lt;&gt;"",IF(WEEKNUM(DT68)=WEEKNUM(TODAY()),"This Week",IF(WEEKNUM(DT68)=WEEKNUM(TODAY())+1,"Next Week",IF(WEEKNUM(DT68)=WEEKNUM(TODAY())-1,"Previous Week",""))),"")</f>
        <v/>
      </c>
      <c r="DY68" s="134" t="str">
        <f t="shared" si="56"/>
        <v/>
      </c>
      <c r="DZ68" s="95"/>
      <c r="EB68" s="8" t="str">
        <f t="shared" si="67"/>
        <v/>
      </c>
      <c r="EC68" s="8" t="str">
        <f>IF(O68&lt;&gt;"",VLOOKUP(O68,'Job Master'!$N$12:$O$18,2,0),"")</f>
        <v/>
      </c>
      <c r="ED68" s="8">
        <f t="shared" si="68"/>
        <v>19.5</v>
      </c>
      <c r="EE68" s="8">
        <f t="shared" si="69"/>
        <v>6</v>
      </c>
      <c r="EF68" s="8">
        <f t="shared" si="70"/>
        <v>-328.5</v>
      </c>
      <c r="EG68" s="8" t="str">
        <f t="shared" si="71"/>
        <v/>
      </c>
      <c r="EH68" s="8" t="str">
        <f t="shared" si="72"/>
        <v/>
      </c>
    </row>
    <row r="69" spans="2:138" x14ac:dyDescent="0.3">
      <c r="B69" s="112"/>
      <c r="C69" s="27"/>
      <c r="D69" s="7" t="str">
        <f t="shared" si="1"/>
        <v/>
      </c>
      <c r="E69" s="25"/>
      <c r="F69" s="7" t="str">
        <f t="shared" si="1"/>
        <v/>
      </c>
      <c r="G69" s="25"/>
      <c r="H69" s="7" t="str">
        <f t="shared" si="1"/>
        <v/>
      </c>
      <c r="I69" s="25"/>
      <c r="J69" s="7" t="str">
        <f t="shared" si="1"/>
        <v/>
      </c>
      <c r="K69" s="25"/>
      <c r="L69" s="7" t="str">
        <f t="shared" si="2"/>
        <v/>
      </c>
      <c r="M69" s="25"/>
      <c r="N69" s="7" t="str">
        <f t="shared" si="3"/>
        <v/>
      </c>
      <c r="O69" s="81"/>
      <c r="P69" s="81" t="str">
        <f t="shared" si="4"/>
        <v/>
      </c>
      <c r="Q69" s="81"/>
      <c r="R69" s="7" t="str">
        <f t="shared" si="5"/>
        <v/>
      </c>
      <c r="S69" s="25"/>
      <c r="T69" s="7" t="str">
        <f t="shared" si="6"/>
        <v/>
      </c>
      <c r="U69" s="25"/>
      <c r="V69" s="7" t="str">
        <f t="shared" si="7"/>
        <v/>
      </c>
      <c r="W69" s="25"/>
      <c r="X69" s="7" t="str">
        <f t="shared" si="8"/>
        <v/>
      </c>
      <c r="Y69" s="18" t="str">
        <f t="shared" si="9"/>
        <v/>
      </c>
      <c r="Z69" s="7" t="str">
        <f t="shared" si="10"/>
        <v/>
      </c>
      <c r="AA69" s="18" t="str">
        <f t="shared" si="11"/>
        <v/>
      </c>
      <c r="AB69" s="19" t="str">
        <f t="shared" si="12"/>
        <v/>
      </c>
      <c r="AC69" s="26"/>
      <c r="AD69" s="26"/>
      <c r="AE69" s="25"/>
      <c r="AF69" s="26"/>
      <c r="AG69" s="25"/>
      <c r="AH69" s="25"/>
      <c r="AI69" s="18" t="str">
        <f t="shared" si="83"/>
        <v/>
      </c>
      <c r="AJ69" s="25"/>
      <c r="AK69" s="18" t="str">
        <f t="shared" si="84"/>
        <v/>
      </c>
      <c r="AL69" s="79"/>
      <c r="AM69" s="126" t="str">
        <f t="shared" si="85"/>
        <v/>
      </c>
      <c r="AN69" s="128" t="str">
        <f>IF(AP69&lt;&gt;"",VLOOKUP($P69&amp;" | "&amp;AN$6,'Job Master'!$F$12:$J$102,5,0),"")</f>
        <v/>
      </c>
      <c r="AO69" s="19" t="str">
        <f>IF(AP69&lt;&gt;"",VLOOKUP($P69&amp;" | "&amp;AN$6,'Job Master'!$F$12:$J$102,3,0),"")</f>
        <v/>
      </c>
      <c r="AP69" s="19" t="str">
        <f>IFERROR(IF(AND(AW69&lt;&gt;"",VLOOKUP($P69&amp;" | "&amp;AN$6,'Job Master'!$F$12:$I$102,4,0)&lt;&gt;""),IF(WEEKDAY(AW69-VLOOKUP($P69&amp;" | "&amp;AN$6,'Job Master'!$F$12:$I$102,4,0))&lt;&gt;7,AW69-VLOOKUP($P69&amp;" | "&amp;AN$6,'Job Master'!$F$12:$I$102,4,0),AW69-VLOOKUP($P69&amp;" | "&amp;AN$6,'Job Master'!$F$12:$I$102,4,0)-1),""),"")</f>
        <v/>
      </c>
      <c r="AQ69" s="73"/>
      <c r="AR69" s="123" t="str">
        <f t="shared" si="16"/>
        <v/>
      </c>
      <c r="AS69" s="123" t="str">
        <f t="shared" si="17"/>
        <v/>
      </c>
      <c r="AT69" s="97" t="str">
        <f t="shared" ca="1" si="18"/>
        <v/>
      </c>
      <c r="AU69" s="98" t="str">
        <f>IF(AW69&lt;&gt;"",VLOOKUP($P69&amp;" | "&amp;AU$6,'Job Master'!$F$12:$J$102,5,0),"")</f>
        <v/>
      </c>
      <c r="AV69" s="19" t="str">
        <f>IF(AW69&lt;&gt;"",VLOOKUP($P69&amp;" | "&amp;AU$6,'Job Master'!$F$12:$J$102,3,0),"")</f>
        <v/>
      </c>
      <c r="AW69" s="19" t="str">
        <f>IFERROR(IF(AND(BD69&lt;&gt;"",VLOOKUP($P69&amp;" | "&amp;AU$6,'Job Master'!$F$12:$I$102,4,0)&lt;&gt;""),IF(WEEKDAY(BD69-VLOOKUP($P69&amp;" | "&amp;AU$6,'Job Master'!$F$12:$I$102,4,0))&lt;&gt;7,BD69-VLOOKUP($P69&amp;" | "&amp;AU$6,'Job Master'!$F$12:$I$102,4,0),BD69-VLOOKUP($P69&amp;" | "&amp;AU$6,'Job Master'!$F$12:$I$102,4,0)-1),""),"")</f>
        <v/>
      </c>
      <c r="AX69" s="73"/>
      <c r="AY69" s="123" t="str">
        <f t="shared" si="19"/>
        <v/>
      </c>
      <c r="AZ69" s="123" t="str">
        <f t="shared" si="20"/>
        <v/>
      </c>
      <c r="BA69" s="97" t="str">
        <f t="shared" ca="1" si="21"/>
        <v/>
      </c>
      <c r="BB69" s="98" t="str">
        <f>IF(BD69&lt;&gt;"",VLOOKUP($P69&amp;" | "&amp;BB$6,'Job Master'!$F$12:$J$102,5,0),"")</f>
        <v/>
      </c>
      <c r="BC69" s="19" t="str">
        <f>IF(BD69&lt;&gt;"",VLOOKUP($P69&amp;" | "&amp;BB$6,'Job Master'!$F$12:$J$102,3,0),"")</f>
        <v/>
      </c>
      <c r="BD69" s="19" t="str">
        <f>IFERROR(IF(AND(BK69&lt;&gt;"",VLOOKUP($P69&amp;" | "&amp;BB$6,'Job Master'!$F$12:$I$102,4,0)&lt;&gt;""),IF(WEEKDAY(BK69-VLOOKUP($P69&amp;" | "&amp;BB$6,'Job Master'!$F$12:$I$102,4,0))&lt;&gt;7,BK69-VLOOKUP($P69&amp;" | "&amp;BB$6,'Job Master'!$F$12:$I$102,4,0),BK69-VLOOKUP($P69&amp;" | "&amp;BB$6,'Job Master'!$F$12:$I$102,4,0)-1),""),"")</f>
        <v/>
      </c>
      <c r="BE69" s="73"/>
      <c r="BF69" s="123" t="str">
        <f t="shared" si="22"/>
        <v/>
      </c>
      <c r="BG69" s="123" t="str">
        <f t="shared" si="23"/>
        <v/>
      </c>
      <c r="BH69" s="97" t="str">
        <f t="shared" ca="1" si="24"/>
        <v/>
      </c>
      <c r="BI69" s="98" t="str">
        <f>IF(BK69&lt;&gt;"",VLOOKUP($P69&amp;" | "&amp;BI$6,'Job Master'!$F$12:$J$102,5,0),"")</f>
        <v/>
      </c>
      <c r="BJ69" s="19" t="str">
        <f>IF(BK69&lt;&gt;"",VLOOKUP($P69&amp;" | "&amp;BI$6,'Job Master'!$F$12:$J$102,3,0),"")</f>
        <v/>
      </c>
      <c r="BK69" s="19" t="str">
        <f>IFERROR(IF(AND(BR69&lt;&gt;"",VLOOKUP($P69&amp;" | "&amp;BI$6,'Job Master'!$F$12:$I$102,4,0)&lt;&gt;""),IF(WEEKDAY(BR69-VLOOKUP($P69&amp;" | "&amp;BI$6,'Job Master'!$F$12:$I$102,4,0))&lt;&gt;7,BR69-VLOOKUP($P69&amp;" | "&amp;BI$6,'Job Master'!$F$12:$I$102,4,0),BR69-VLOOKUP($P69&amp;" | "&amp;BI$6,'Job Master'!$F$12:$I$102,4,0)-1),""),"")</f>
        <v/>
      </c>
      <c r="BL69" s="73"/>
      <c r="BM69" s="123" t="str">
        <f t="shared" si="25"/>
        <v/>
      </c>
      <c r="BN69" s="123" t="str">
        <f t="shared" si="26"/>
        <v/>
      </c>
      <c r="BO69" s="97" t="str">
        <f t="shared" ca="1" si="27"/>
        <v/>
      </c>
      <c r="BP69" s="98" t="str">
        <f>IF(BR69&lt;&gt;"",VLOOKUP($P69&amp;" | "&amp;BP$6,'Job Master'!$F$12:$J$102,5,0),"")</f>
        <v/>
      </c>
      <c r="BQ69" s="19" t="str">
        <f>IF(BR69&lt;&gt;"",VLOOKUP($P69&amp;" | "&amp;BP$6,'Job Master'!$F$12:$J$102,3,0),"")</f>
        <v/>
      </c>
      <c r="BR69" s="19" t="str">
        <f>IFERROR(IF(AND(BY69&lt;&gt;"",VLOOKUP($P69&amp;" | "&amp;BP$6,'Job Master'!$F$12:$I$102,4,0)&lt;&gt;""),IF(WEEKDAY(BY69-VLOOKUP($P69&amp;" | "&amp;BP$6,'Job Master'!$F$12:$I$102,4,0))&lt;&gt;7,BY69-VLOOKUP($P69&amp;" | "&amp;BP$6,'Job Master'!$F$12:$I$102,4,0),BY69-VLOOKUP($P69&amp;" | "&amp;BP$6,'Job Master'!$F$12:$I$102,4,0)-1),""),"")</f>
        <v/>
      </c>
      <c r="BS69" s="73"/>
      <c r="BT69" s="123" t="str">
        <f t="shared" si="28"/>
        <v/>
      </c>
      <c r="BU69" s="123" t="str">
        <f t="shared" si="29"/>
        <v/>
      </c>
      <c r="BV69" s="97" t="str">
        <f t="shared" ca="1" si="30"/>
        <v/>
      </c>
      <c r="BW69" s="98" t="str">
        <f>IF(BY69&lt;&gt;"",VLOOKUP($P69&amp;" | "&amp;BW$6,'Job Master'!$F$12:$J$102,5,0),"")</f>
        <v/>
      </c>
      <c r="BX69" s="19" t="str">
        <f>IF(BY69&lt;&gt;"",VLOOKUP($P69&amp;" | "&amp;BW$6,'Job Master'!$F$12:$J$102,3,0),"")</f>
        <v/>
      </c>
      <c r="BY69" s="19" t="str">
        <f>IFERROR(IF(AND(CF69&lt;&gt;"",VLOOKUP($P69&amp;" | "&amp;BW$6,'Job Master'!$F$12:$I$102,4,0)&lt;&gt;""),IF(WEEKDAY(CF69-VLOOKUP($P69&amp;" | "&amp;BW$6,'Job Master'!$F$12:$I$102,4,0))&lt;&gt;7,CF69-VLOOKUP($P69&amp;" | "&amp;BW$6,'Job Master'!$F$12:$I$102,4,0),CF69-VLOOKUP($P69&amp;" | "&amp;BW$6,'Job Master'!$F$12:$I$102,4,0)-1),""),"")</f>
        <v/>
      </c>
      <c r="BZ69" s="73"/>
      <c r="CA69" s="123" t="str">
        <f t="shared" si="31"/>
        <v/>
      </c>
      <c r="CB69" s="123" t="str">
        <f t="shared" si="32"/>
        <v/>
      </c>
      <c r="CC69" s="97" t="str">
        <f t="shared" ca="1" si="33"/>
        <v/>
      </c>
      <c r="CD69" s="98" t="str">
        <f>IF(CF69&lt;&gt;"",VLOOKUP($P69&amp;" | "&amp;CD$6,'Job Master'!$F$12:$J$102,5,0),"")</f>
        <v/>
      </c>
      <c r="CE69" s="19" t="str">
        <f>IF(CF69&lt;&gt;"",VLOOKUP($P69&amp;" | "&amp;CD$6,'Job Master'!$F$12:$J$102,3,0),"")</f>
        <v/>
      </c>
      <c r="CF69" s="19" t="str">
        <f>IFERROR(IF(AND(CM69&lt;&gt;"",VLOOKUP($P69&amp;" | "&amp;CD$6,'Job Master'!$F$12:$I$102,4,0)&lt;&gt;""),IF(WEEKDAY(CM69-VLOOKUP($P69&amp;" | "&amp;CD$6,'Job Master'!$F$12:$I$102,4,0))&lt;&gt;7,CM69-VLOOKUP($P69&amp;" | "&amp;CD$6,'Job Master'!$F$12:$I$102,4,0),CM69-VLOOKUP($P69&amp;" | "&amp;CD$6,'Job Master'!$F$12:$I$102,4,0)-1),""),"")</f>
        <v/>
      </c>
      <c r="CG69" s="73"/>
      <c r="CH69" s="123" t="str">
        <f t="shared" si="34"/>
        <v/>
      </c>
      <c r="CI69" s="123" t="str">
        <f t="shared" si="35"/>
        <v/>
      </c>
      <c r="CJ69" s="97" t="str">
        <f t="shared" ca="1" si="36"/>
        <v/>
      </c>
      <c r="CK69" s="98" t="str">
        <f>IF(CM69&lt;&gt;"",VLOOKUP($P69&amp;" | "&amp;CK$6,'Job Master'!$F$12:$J$102,5,0),"")</f>
        <v/>
      </c>
      <c r="CL69" s="19" t="str">
        <f>IF(CM69&lt;&gt;"",VLOOKUP($P69&amp;" | "&amp;CK$6,'Job Master'!$F$12:$J$102,3,0),"")</f>
        <v/>
      </c>
      <c r="CM69" s="19" t="str">
        <f>IFERROR(IF(AND(CT69&lt;&gt;"",VLOOKUP($P69&amp;" | "&amp;CK$6,'Job Master'!$F$12:$I$102,4,0)&lt;&gt;""),IF(WEEKDAY(CT69-VLOOKUP($P69&amp;" | "&amp;CK$6,'Job Master'!$F$12:$I$102,4,0))&lt;&gt;7,CT69-VLOOKUP($P69&amp;" | "&amp;CK$6,'Job Master'!$F$12:$I$102,4,0),CT69-VLOOKUP($P69&amp;" | "&amp;CK$6,'Job Master'!$F$12:$I$102,4,0)-1),""),"")</f>
        <v/>
      </c>
      <c r="CN69" s="73"/>
      <c r="CO69" s="123" t="str">
        <f t="shared" si="37"/>
        <v/>
      </c>
      <c r="CP69" s="123" t="str">
        <f t="shared" si="38"/>
        <v/>
      </c>
      <c r="CQ69" s="97" t="str">
        <f t="shared" ca="1" si="39"/>
        <v/>
      </c>
      <c r="CR69" s="98" t="str">
        <f>IF(CT69&lt;&gt;"",VLOOKUP($P69&amp;" | "&amp;CR$6,'Job Master'!$F$12:$J$102,5,0),"")</f>
        <v/>
      </c>
      <c r="CS69" s="19" t="str">
        <f>IF(CT69&lt;&gt;"",VLOOKUP($P69&amp;" | "&amp;CR$6,'Job Master'!$F$12:$J$102,3,0),"")</f>
        <v/>
      </c>
      <c r="CT69" s="19" t="str">
        <f>IFERROR(IF(AND(DA69&lt;&gt;"",VLOOKUP($P69&amp;" | "&amp;CR$6,'Job Master'!$F$12:$I$102,4,0)&lt;&gt;""),IF(WEEKDAY(DA69-VLOOKUP($P69&amp;" | "&amp;CR$6,'Job Master'!$F$12:$I$102,4,0))&lt;&gt;7,DA69-VLOOKUP($P69&amp;" | "&amp;CR$6,'Job Master'!$F$12:$I$102,4,0),DA69-VLOOKUP($P69&amp;" | "&amp;CR$6,'Job Master'!$F$12:$I$102,4,0)-1),""),"")</f>
        <v/>
      </c>
      <c r="CU69" s="73"/>
      <c r="CV69" s="123" t="str">
        <f t="shared" si="40"/>
        <v/>
      </c>
      <c r="CW69" s="123" t="str">
        <f t="shared" si="41"/>
        <v/>
      </c>
      <c r="CX69" s="97" t="str">
        <f t="shared" ca="1" si="42"/>
        <v/>
      </c>
      <c r="CY69" s="98" t="str">
        <f>IF(DA69&lt;&gt;"",VLOOKUP($P69&amp;" | "&amp;CY$6,'Job Master'!$F$12:$J$102,5,0),"")</f>
        <v/>
      </c>
      <c r="CZ69" s="19" t="str">
        <f>IF(DA69&lt;&gt;"",VLOOKUP($P69&amp;" | "&amp;CY$6,'Job Master'!$F$12:$J$102,3,0),"")</f>
        <v/>
      </c>
      <c r="DA69" s="19" t="str">
        <f>IFERROR(IF(AND(DH69&lt;&gt;"",VLOOKUP($P69&amp;" | "&amp;CY$6,'Job Master'!$F$12:$I$102,4,0)&lt;&gt;""),IF(WEEKDAY(DH69-VLOOKUP($P69&amp;" | "&amp;CY$6,'Job Master'!$F$12:$I$102,4,0))&lt;&gt;7,DH69-VLOOKUP($P69&amp;" | "&amp;CY$6,'Job Master'!$F$12:$I$102,4,0),DH69-VLOOKUP($P69&amp;" | "&amp;CY$6,'Job Master'!$F$12:$I$102,4,0)-1),""),"")</f>
        <v/>
      </c>
      <c r="DB69" s="73"/>
      <c r="DC69" s="123" t="str">
        <f t="shared" si="43"/>
        <v/>
      </c>
      <c r="DD69" s="123" t="str">
        <f t="shared" si="44"/>
        <v/>
      </c>
      <c r="DE69" s="97" t="str">
        <f t="shared" ca="1" si="45"/>
        <v/>
      </c>
      <c r="DF69" s="98" t="str">
        <f>IF(DH69&lt;&gt;"",VLOOKUP($P69&amp;" | "&amp;DF$6,'Job Master'!$F$12:$J$102,5,0),"")</f>
        <v/>
      </c>
      <c r="DG69" s="19" t="str">
        <f>IF(DH69&lt;&gt;"",VLOOKUP($P69&amp;" | "&amp;DF$6,'Job Master'!$F$12:$J$102,3,0),"")</f>
        <v/>
      </c>
      <c r="DH69" s="19" t="str">
        <f>IFERROR(IF(AND(DO69&lt;&gt;"",VLOOKUP($P69&amp;" | "&amp;DF$6,'Job Master'!$F$12:$I$102,4,0)&lt;&gt;""),IF(WEEKDAY(DO69-VLOOKUP($P69&amp;" | "&amp;DF$6,'Job Master'!$F$12:$I$102,4,0))&lt;&gt;7,DO69-VLOOKUP($P69&amp;" | "&amp;DF$6,'Job Master'!$F$12:$I$102,4,0),DO69-VLOOKUP($P69&amp;" | "&amp;DF$6,'Job Master'!$F$12:$I$102,4,0)-1),""),"")</f>
        <v/>
      </c>
      <c r="DI69" s="73"/>
      <c r="DJ69" s="123" t="str">
        <f t="shared" si="46"/>
        <v/>
      </c>
      <c r="DK69" s="123" t="str">
        <f t="shared" si="47"/>
        <v/>
      </c>
      <c r="DL69" s="97" t="str">
        <f t="shared" ca="1" si="48"/>
        <v/>
      </c>
      <c r="DM69" s="98" t="str">
        <f>IF(DO69&lt;&gt;"",VLOOKUP($P69&amp;" | "&amp;DM$6,'Job Master'!$F$12:$J$102,5,0),"")</f>
        <v/>
      </c>
      <c r="DN69" s="19" t="str">
        <f>IF(DO69&lt;&gt;"",VLOOKUP($P69&amp;" | "&amp;DM$6,'Job Master'!$F$12:$J$102,3,0),"")</f>
        <v/>
      </c>
      <c r="DO69" s="19" t="str">
        <f>IFERROR(IF(AND(DT69&lt;&gt;"",VLOOKUP($P69&amp;" | "&amp;DM$6,'Job Master'!$F$12:$I$102,4,0)&lt;&gt;""),IF(WEEKDAY(DT69-VLOOKUP($P69&amp;" | "&amp;DM$6,'Job Master'!$F$12:$I$102,4,0))&lt;&gt;7,DT69-VLOOKUP($P69&amp;" | "&amp;DM$6,'Job Master'!$F$12:$I$102,4,0),DT69-VLOOKUP($P69&amp;" | "&amp;DM$6,'Job Master'!$F$12:$I$102,4,0)-1),""),"")</f>
        <v/>
      </c>
      <c r="DP69" s="73"/>
      <c r="DQ69" s="123" t="str">
        <f t="shared" si="49"/>
        <v/>
      </c>
      <c r="DR69" s="123" t="str">
        <f t="shared" si="50"/>
        <v/>
      </c>
      <c r="DS69" s="97" t="str">
        <f t="shared" ca="1" si="51"/>
        <v/>
      </c>
      <c r="DT69" s="70" t="str">
        <f t="shared" si="52"/>
        <v/>
      </c>
      <c r="DU69" s="90"/>
      <c r="DV69" s="123" t="str">
        <f t="shared" si="53"/>
        <v/>
      </c>
      <c r="DW69" s="123" t="str">
        <f t="shared" si="54"/>
        <v/>
      </c>
      <c r="DX69" s="132" t="str">
        <f t="shared" ref="DX69" ca="1" si="130">IF(DT69&lt;&gt;"",IF(WEEKNUM(DT69)=WEEKNUM(TODAY()),"This Week",IF(WEEKNUM(DT69)=WEEKNUM(TODAY())+1,"Next Week",IF(WEEKNUM(DT69)=WEEKNUM(TODAY())-1,"Previous Week",""))),"")</f>
        <v/>
      </c>
      <c r="DY69" s="134" t="str">
        <f t="shared" si="56"/>
        <v/>
      </c>
      <c r="DZ69" s="95"/>
      <c r="EB69" s="8" t="str">
        <f t="shared" si="67"/>
        <v/>
      </c>
      <c r="EC69" s="8" t="str">
        <f>IF(O69&lt;&gt;"",VLOOKUP(O69,'Job Master'!$N$12:$O$18,2,0),"")</f>
        <v/>
      </c>
      <c r="ED69" s="8">
        <f t="shared" si="68"/>
        <v>19.5</v>
      </c>
      <c r="EE69" s="8">
        <f t="shared" si="69"/>
        <v>6</v>
      </c>
      <c r="EF69" s="8">
        <f t="shared" si="70"/>
        <v>-334.5</v>
      </c>
      <c r="EG69" s="8" t="str">
        <f t="shared" si="71"/>
        <v/>
      </c>
      <c r="EH69" s="8" t="str">
        <f t="shared" si="72"/>
        <v/>
      </c>
    </row>
    <row r="70" spans="2:138" x14ac:dyDescent="0.3">
      <c r="B70" s="112"/>
      <c r="C70" s="27"/>
      <c r="D70" s="7" t="str">
        <f t="shared" si="1"/>
        <v/>
      </c>
      <c r="E70" s="25"/>
      <c r="F70" s="7" t="str">
        <f t="shared" si="1"/>
        <v/>
      </c>
      <c r="G70" s="25"/>
      <c r="H70" s="7" t="str">
        <f t="shared" si="1"/>
        <v/>
      </c>
      <c r="I70" s="25"/>
      <c r="J70" s="7" t="str">
        <f t="shared" si="1"/>
        <v/>
      </c>
      <c r="K70" s="25"/>
      <c r="L70" s="7" t="str">
        <f t="shared" si="2"/>
        <v/>
      </c>
      <c r="M70" s="25"/>
      <c r="N70" s="7" t="str">
        <f t="shared" si="3"/>
        <v/>
      </c>
      <c r="O70" s="81"/>
      <c r="P70" s="81" t="str">
        <f t="shared" si="4"/>
        <v/>
      </c>
      <c r="Q70" s="81"/>
      <c r="R70" s="7" t="str">
        <f t="shared" si="5"/>
        <v/>
      </c>
      <c r="S70" s="25"/>
      <c r="T70" s="7" t="str">
        <f t="shared" si="6"/>
        <v/>
      </c>
      <c r="U70" s="25"/>
      <c r="V70" s="7" t="str">
        <f t="shared" si="7"/>
        <v/>
      </c>
      <c r="W70" s="25"/>
      <c r="X70" s="7" t="str">
        <f t="shared" si="8"/>
        <v/>
      </c>
      <c r="Y70" s="18" t="str">
        <f t="shared" si="9"/>
        <v/>
      </c>
      <c r="Z70" s="7" t="str">
        <f t="shared" si="10"/>
        <v/>
      </c>
      <c r="AA70" s="18" t="str">
        <f t="shared" si="11"/>
        <v/>
      </c>
      <c r="AB70" s="19" t="str">
        <f t="shared" si="12"/>
        <v/>
      </c>
      <c r="AC70" s="26"/>
      <c r="AD70" s="26"/>
      <c r="AE70" s="25"/>
      <c r="AF70" s="26"/>
      <c r="AG70" s="25"/>
      <c r="AH70" s="25"/>
      <c r="AI70" s="18" t="str">
        <f t="shared" si="83"/>
        <v/>
      </c>
      <c r="AJ70" s="25"/>
      <c r="AK70" s="18" t="str">
        <f t="shared" si="84"/>
        <v/>
      </c>
      <c r="AL70" s="79"/>
      <c r="AM70" s="126" t="str">
        <f t="shared" si="85"/>
        <v/>
      </c>
      <c r="AN70" s="128" t="str">
        <f>IF(AP70&lt;&gt;"",VLOOKUP($P70&amp;" | "&amp;AN$6,'Job Master'!$F$12:$J$102,5,0),"")</f>
        <v/>
      </c>
      <c r="AO70" s="19" t="str">
        <f>IF(AP70&lt;&gt;"",VLOOKUP($P70&amp;" | "&amp;AN$6,'Job Master'!$F$12:$J$102,3,0),"")</f>
        <v/>
      </c>
      <c r="AP70" s="19" t="str">
        <f>IFERROR(IF(AND(AW70&lt;&gt;"",VLOOKUP($P70&amp;" | "&amp;AN$6,'Job Master'!$F$12:$I$102,4,0)&lt;&gt;""),IF(WEEKDAY(AW70-VLOOKUP($P70&amp;" | "&amp;AN$6,'Job Master'!$F$12:$I$102,4,0))&lt;&gt;7,AW70-VLOOKUP($P70&amp;" | "&amp;AN$6,'Job Master'!$F$12:$I$102,4,0),AW70-VLOOKUP($P70&amp;" | "&amp;AN$6,'Job Master'!$F$12:$I$102,4,0)-1),""),"")</f>
        <v/>
      </c>
      <c r="AQ70" s="73"/>
      <c r="AR70" s="123" t="str">
        <f t="shared" si="16"/>
        <v/>
      </c>
      <c r="AS70" s="123" t="str">
        <f t="shared" si="17"/>
        <v/>
      </c>
      <c r="AT70" s="97" t="str">
        <f t="shared" ca="1" si="18"/>
        <v/>
      </c>
      <c r="AU70" s="98" t="str">
        <f>IF(AW70&lt;&gt;"",VLOOKUP($P70&amp;" | "&amp;AU$6,'Job Master'!$F$12:$J$102,5,0),"")</f>
        <v/>
      </c>
      <c r="AV70" s="19" t="str">
        <f>IF(AW70&lt;&gt;"",VLOOKUP($P70&amp;" | "&amp;AU$6,'Job Master'!$F$12:$J$102,3,0),"")</f>
        <v/>
      </c>
      <c r="AW70" s="19" t="str">
        <f>IFERROR(IF(AND(BD70&lt;&gt;"",VLOOKUP($P70&amp;" | "&amp;AU$6,'Job Master'!$F$12:$I$102,4,0)&lt;&gt;""),IF(WEEKDAY(BD70-VLOOKUP($P70&amp;" | "&amp;AU$6,'Job Master'!$F$12:$I$102,4,0))&lt;&gt;7,BD70-VLOOKUP($P70&amp;" | "&amp;AU$6,'Job Master'!$F$12:$I$102,4,0),BD70-VLOOKUP($P70&amp;" | "&amp;AU$6,'Job Master'!$F$12:$I$102,4,0)-1),""),"")</f>
        <v/>
      </c>
      <c r="AX70" s="73"/>
      <c r="AY70" s="123" t="str">
        <f t="shared" si="19"/>
        <v/>
      </c>
      <c r="AZ70" s="123" t="str">
        <f t="shared" si="20"/>
        <v/>
      </c>
      <c r="BA70" s="97" t="str">
        <f t="shared" ca="1" si="21"/>
        <v/>
      </c>
      <c r="BB70" s="98" t="str">
        <f>IF(BD70&lt;&gt;"",VLOOKUP($P70&amp;" | "&amp;BB$6,'Job Master'!$F$12:$J$102,5,0),"")</f>
        <v/>
      </c>
      <c r="BC70" s="19" t="str">
        <f>IF(BD70&lt;&gt;"",VLOOKUP($P70&amp;" | "&amp;BB$6,'Job Master'!$F$12:$J$102,3,0),"")</f>
        <v/>
      </c>
      <c r="BD70" s="19" t="str">
        <f>IFERROR(IF(AND(BK70&lt;&gt;"",VLOOKUP($P70&amp;" | "&amp;BB$6,'Job Master'!$F$12:$I$102,4,0)&lt;&gt;""),IF(WEEKDAY(BK70-VLOOKUP($P70&amp;" | "&amp;BB$6,'Job Master'!$F$12:$I$102,4,0))&lt;&gt;7,BK70-VLOOKUP($P70&amp;" | "&amp;BB$6,'Job Master'!$F$12:$I$102,4,0),BK70-VLOOKUP($P70&amp;" | "&amp;BB$6,'Job Master'!$F$12:$I$102,4,0)-1),""),"")</f>
        <v/>
      </c>
      <c r="BE70" s="73"/>
      <c r="BF70" s="123" t="str">
        <f t="shared" si="22"/>
        <v/>
      </c>
      <c r="BG70" s="123" t="str">
        <f t="shared" si="23"/>
        <v/>
      </c>
      <c r="BH70" s="97" t="str">
        <f t="shared" ca="1" si="24"/>
        <v/>
      </c>
      <c r="BI70" s="98" t="str">
        <f>IF(BK70&lt;&gt;"",VLOOKUP($P70&amp;" | "&amp;BI$6,'Job Master'!$F$12:$J$102,5,0),"")</f>
        <v/>
      </c>
      <c r="BJ70" s="19" t="str">
        <f>IF(BK70&lt;&gt;"",VLOOKUP($P70&amp;" | "&amp;BI$6,'Job Master'!$F$12:$J$102,3,0),"")</f>
        <v/>
      </c>
      <c r="BK70" s="19" t="str">
        <f>IFERROR(IF(AND(BR70&lt;&gt;"",VLOOKUP($P70&amp;" | "&amp;BI$6,'Job Master'!$F$12:$I$102,4,0)&lt;&gt;""),IF(WEEKDAY(BR70-VLOOKUP($P70&amp;" | "&amp;BI$6,'Job Master'!$F$12:$I$102,4,0))&lt;&gt;7,BR70-VLOOKUP($P70&amp;" | "&amp;BI$6,'Job Master'!$F$12:$I$102,4,0),BR70-VLOOKUP($P70&amp;" | "&amp;BI$6,'Job Master'!$F$12:$I$102,4,0)-1),""),"")</f>
        <v/>
      </c>
      <c r="BL70" s="73"/>
      <c r="BM70" s="123" t="str">
        <f t="shared" si="25"/>
        <v/>
      </c>
      <c r="BN70" s="123" t="str">
        <f t="shared" si="26"/>
        <v/>
      </c>
      <c r="BO70" s="97" t="str">
        <f t="shared" ca="1" si="27"/>
        <v/>
      </c>
      <c r="BP70" s="98" t="str">
        <f>IF(BR70&lt;&gt;"",VLOOKUP($P70&amp;" | "&amp;BP$6,'Job Master'!$F$12:$J$102,5,0),"")</f>
        <v/>
      </c>
      <c r="BQ70" s="19" t="str">
        <f>IF(BR70&lt;&gt;"",VLOOKUP($P70&amp;" | "&amp;BP$6,'Job Master'!$F$12:$J$102,3,0),"")</f>
        <v/>
      </c>
      <c r="BR70" s="19" t="str">
        <f>IFERROR(IF(AND(BY70&lt;&gt;"",VLOOKUP($P70&amp;" | "&amp;BP$6,'Job Master'!$F$12:$I$102,4,0)&lt;&gt;""),IF(WEEKDAY(BY70-VLOOKUP($P70&amp;" | "&amp;BP$6,'Job Master'!$F$12:$I$102,4,0))&lt;&gt;7,BY70-VLOOKUP($P70&amp;" | "&amp;BP$6,'Job Master'!$F$12:$I$102,4,0),BY70-VLOOKUP($P70&amp;" | "&amp;BP$6,'Job Master'!$F$12:$I$102,4,0)-1),""),"")</f>
        <v/>
      </c>
      <c r="BS70" s="73"/>
      <c r="BT70" s="123" t="str">
        <f t="shared" si="28"/>
        <v/>
      </c>
      <c r="BU70" s="123" t="str">
        <f t="shared" si="29"/>
        <v/>
      </c>
      <c r="BV70" s="97" t="str">
        <f t="shared" ca="1" si="30"/>
        <v/>
      </c>
      <c r="BW70" s="98" t="str">
        <f>IF(BY70&lt;&gt;"",VLOOKUP($P70&amp;" | "&amp;BW$6,'Job Master'!$F$12:$J$102,5,0),"")</f>
        <v/>
      </c>
      <c r="BX70" s="19" t="str">
        <f>IF(BY70&lt;&gt;"",VLOOKUP($P70&amp;" | "&amp;BW$6,'Job Master'!$F$12:$J$102,3,0),"")</f>
        <v/>
      </c>
      <c r="BY70" s="19" t="str">
        <f>IFERROR(IF(AND(CF70&lt;&gt;"",VLOOKUP($P70&amp;" | "&amp;BW$6,'Job Master'!$F$12:$I$102,4,0)&lt;&gt;""),IF(WEEKDAY(CF70-VLOOKUP($P70&amp;" | "&amp;BW$6,'Job Master'!$F$12:$I$102,4,0))&lt;&gt;7,CF70-VLOOKUP($P70&amp;" | "&amp;BW$6,'Job Master'!$F$12:$I$102,4,0),CF70-VLOOKUP($P70&amp;" | "&amp;BW$6,'Job Master'!$F$12:$I$102,4,0)-1),""),"")</f>
        <v/>
      </c>
      <c r="BZ70" s="73"/>
      <c r="CA70" s="123" t="str">
        <f t="shared" si="31"/>
        <v/>
      </c>
      <c r="CB70" s="123" t="str">
        <f t="shared" si="32"/>
        <v/>
      </c>
      <c r="CC70" s="97" t="str">
        <f t="shared" ca="1" si="33"/>
        <v/>
      </c>
      <c r="CD70" s="98" t="str">
        <f>IF(CF70&lt;&gt;"",VLOOKUP($P70&amp;" | "&amp;CD$6,'Job Master'!$F$12:$J$102,5,0),"")</f>
        <v/>
      </c>
      <c r="CE70" s="19" t="str">
        <f>IF(CF70&lt;&gt;"",VLOOKUP($P70&amp;" | "&amp;CD$6,'Job Master'!$F$12:$J$102,3,0),"")</f>
        <v/>
      </c>
      <c r="CF70" s="19" t="str">
        <f>IFERROR(IF(AND(CM70&lt;&gt;"",VLOOKUP($P70&amp;" | "&amp;CD$6,'Job Master'!$F$12:$I$102,4,0)&lt;&gt;""),IF(WEEKDAY(CM70-VLOOKUP($P70&amp;" | "&amp;CD$6,'Job Master'!$F$12:$I$102,4,0))&lt;&gt;7,CM70-VLOOKUP($P70&amp;" | "&amp;CD$6,'Job Master'!$F$12:$I$102,4,0),CM70-VLOOKUP($P70&amp;" | "&amp;CD$6,'Job Master'!$F$12:$I$102,4,0)-1),""),"")</f>
        <v/>
      </c>
      <c r="CG70" s="73"/>
      <c r="CH70" s="123" t="str">
        <f t="shared" si="34"/>
        <v/>
      </c>
      <c r="CI70" s="123" t="str">
        <f t="shared" si="35"/>
        <v/>
      </c>
      <c r="CJ70" s="97" t="str">
        <f t="shared" ca="1" si="36"/>
        <v/>
      </c>
      <c r="CK70" s="98" t="str">
        <f>IF(CM70&lt;&gt;"",VLOOKUP($P70&amp;" | "&amp;CK$6,'Job Master'!$F$12:$J$102,5,0),"")</f>
        <v/>
      </c>
      <c r="CL70" s="19" t="str">
        <f>IF(CM70&lt;&gt;"",VLOOKUP($P70&amp;" | "&amp;CK$6,'Job Master'!$F$12:$J$102,3,0),"")</f>
        <v/>
      </c>
      <c r="CM70" s="19" t="str">
        <f>IFERROR(IF(AND(CT70&lt;&gt;"",VLOOKUP($P70&amp;" | "&amp;CK$6,'Job Master'!$F$12:$I$102,4,0)&lt;&gt;""),IF(WEEKDAY(CT70-VLOOKUP($P70&amp;" | "&amp;CK$6,'Job Master'!$F$12:$I$102,4,0))&lt;&gt;7,CT70-VLOOKUP($P70&amp;" | "&amp;CK$6,'Job Master'!$F$12:$I$102,4,0),CT70-VLOOKUP($P70&amp;" | "&amp;CK$6,'Job Master'!$F$12:$I$102,4,0)-1),""),"")</f>
        <v/>
      </c>
      <c r="CN70" s="73"/>
      <c r="CO70" s="123" t="str">
        <f t="shared" si="37"/>
        <v/>
      </c>
      <c r="CP70" s="123" t="str">
        <f t="shared" si="38"/>
        <v/>
      </c>
      <c r="CQ70" s="97" t="str">
        <f t="shared" ca="1" si="39"/>
        <v/>
      </c>
      <c r="CR70" s="98" t="str">
        <f>IF(CT70&lt;&gt;"",VLOOKUP($P70&amp;" | "&amp;CR$6,'Job Master'!$F$12:$J$102,5,0),"")</f>
        <v/>
      </c>
      <c r="CS70" s="19" t="str">
        <f>IF(CT70&lt;&gt;"",VLOOKUP($P70&amp;" | "&amp;CR$6,'Job Master'!$F$12:$J$102,3,0),"")</f>
        <v/>
      </c>
      <c r="CT70" s="19" t="str">
        <f>IFERROR(IF(AND(DA70&lt;&gt;"",VLOOKUP($P70&amp;" | "&amp;CR$6,'Job Master'!$F$12:$I$102,4,0)&lt;&gt;""),IF(WEEKDAY(DA70-VLOOKUP($P70&amp;" | "&amp;CR$6,'Job Master'!$F$12:$I$102,4,0))&lt;&gt;7,DA70-VLOOKUP($P70&amp;" | "&amp;CR$6,'Job Master'!$F$12:$I$102,4,0),DA70-VLOOKUP($P70&amp;" | "&amp;CR$6,'Job Master'!$F$12:$I$102,4,0)-1),""),"")</f>
        <v/>
      </c>
      <c r="CU70" s="73"/>
      <c r="CV70" s="123" t="str">
        <f t="shared" si="40"/>
        <v/>
      </c>
      <c r="CW70" s="123" t="str">
        <f t="shared" si="41"/>
        <v/>
      </c>
      <c r="CX70" s="97" t="str">
        <f t="shared" ca="1" si="42"/>
        <v/>
      </c>
      <c r="CY70" s="98" t="str">
        <f>IF(DA70&lt;&gt;"",VLOOKUP($P70&amp;" | "&amp;CY$6,'Job Master'!$F$12:$J$102,5,0),"")</f>
        <v/>
      </c>
      <c r="CZ70" s="19" t="str">
        <f>IF(DA70&lt;&gt;"",VLOOKUP($P70&amp;" | "&amp;CY$6,'Job Master'!$F$12:$J$102,3,0),"")</f>
        <v/>
      </c>
      <c r="DA70" s="19" t="str">
        <f>IFERROR(IF(AND(DH70&lt;&gt;"",VLOOKUP($P70&amp;" | "&amp;CY$6,'Job Master'!$F$12:$I$102,4,0)&lt;&gt;""),IF(WEEKDAY(DH70-VLOOKUP($P70&amp;" | "&amp;CY$6,'Job Master'!$F$12:$I$102,4,0))&lt;&gt;7,DH70-VLOOKUP($P70&amp;" | "&amp;CY$6,'Job Master'!$F$12:$I$102,4,0),DH70-VLOOKUP($P70&amp;" | "&amp;CY$6,'Job Master'!$F$12:$I$102,4,0)-1),""),"")</f>
        <v/>
      </c>
      <c r="DB70" s="73"/>
      <c r="DC70" s="123" t="str">
        <f t="shared" si="43"/>
        <v/>
      </c>
      <c r="DD70" s="123" t="str">
        <f t="shared" si="44"/>
        <v/>
      </c>
      <c r="DE70" s="97" t="str">
        <f t="shared" ca="1" si="45"/>
        <v/>
      </c>
      <c r="DF70" s="98" t="str">
        <f>IF(DH70&lt;&gt;"",VLOOKUP($P70&amp;" | "&amp;DF$6,'Job Master'!$F$12:$J$102,5,0),"")</f>
        <v/>
      </c>
      <c r="DG70" s="19" t="str">
        <f>IF(DH70&lt;&gt;"",VLOOKUP($P70&amp;" | "&amp;DF$6,'Job Master'!$F$12:$J$102,3,0),"")</f>
        <v/>
      </c>
      <c r="DH70" s="19" t="str">
        <f>IFERROR(IF(AND(DO70&lt;&gt;"",VLOOKUP($P70&amp;" | "&amp;DF$6,'Job Master'!$F$12:$I$102,4,0)&lt;&gt;""),IF(WEEKDAY(DO70-VLOOKUP($P70&amp;" | "&amp;DF$6,'Job Master'!$F$12:$I$102,4,0))&lt;&gt;7,DO70-VLOOKUP($P70&amp;" | "&amp;DF$6,'Job Master'!$F$12:$I$102,4,0),DO70-VLOOKUP($P70&amp;" | "&amp;DF$6,'Job Master'!$F$12:$I$102,4,0)-1),""),"")</f>
        <v/>
      </c>
      <c r="DI70" s="73"/>
      <c r="DJ70" s="123" t="str">
        <f t="shared" si="46"/>
        <v/>
      </c>
      <c r="DK70" s="123" t="str">
        <f t="shared" si="47"/>
        <v/>
      </c>
      <c r="DL70" s="97" t="str">
        <f t="shared" ca="1" si="48"/>
        <v/>
      </c>
      <c r="DM70" s="98" t="str">
        <f>IF(DO70&lt;&gt;"",VLOOKUP($P70&amp;" | "&amp;DM$6,'Job Master'!$F$12:$J$102,5,0),"")</f>
        <v/>
      </c>
      <c r="DN70" s="19" t="str">
        <f>IF(DO70&lt;&gt;"",VLOOKUP($P70&amp;" | "&amp;DM$6,'Job Master'!$F$12:$J$102,3,0),"")</f>
        <v/>
      </c>
      <c r="DO70" s="19" t="str">
        <f>IFERROR(IF(AND(DT70&lt;&gt;"",VLOOKUP($P70&amp;" | "&amp;DM$6,'Job Master'!$F$12:$I$102,4,0)&lt;&gt;""),IF(WEEKDAY(DT70-VLOOKUP($P70&amp;" | "&amp;DM$6,'Job Master'!$F$12:$I$102,4,0))&lt;&gt;7,DT70-VLOOKUP($P70&amp;" | "&amp;DM$6,'Job Master'!$F$12:$I$102,4,0),DT70-VLOOKUP($P70&amp;" | "&amp;DM$6,'Job Master'!$F$12:$I$102,4,0)-1),""),"")</f>
        <v/>
      </c>
      <c r="DP70" s="73"/>
      <c r="DQ70" s="123" t="str">
        <f t="shared" si="49"/>
        <v/>
      </c>
      <c r="DR70" s="123" t="str">
        <f t="shared" si="50"/>
        <v/>
      </c>
      <c r="DS70" s="97" t="str">
        <f t="shared" ca="1" si="51"/>
        <v/>
      </c>
      <c r="DT70" s="70" t="str">
        <f t="shared" si="52"/>
        <v/>
      </c>
      <c r="DU70" s="90"/>
      <c r="DV70" s="123" t="str">
        <f t="shared" si="53"/>
        <v/>
      </c>
      <c r="DW70" s="123" t="str">
        <f t="shared" si="54"/>
        <v/>
      </c>
      <c r="DX70" s="132" t="str">
        <f t="shared" ref="DX70" ca="1" si="131">IF(DT70&lt;&gt;"",IF(WEEKNUM(DT70)=WEEKNUM(TODAY()),"This Week",IF(WEEKNUM(DT70)=WEEKNUM(TODAY())+1,"Next Week",IF(WEEKNUM(DT70)=WEEKNUM(TODAY())-1,"Previous Week",""))),"")</f>
        <v/>
      </c>
      <c r="DY70" s="134" t="str">
        <f t="shared" si="56"/>
        <v/>
      </c>
      <c r="DZ70" s="95"/>
      <c r="EB70" s="8" t="str">
        <f t="shared" si="67"/>
        <v/>
      </c>
      <c r="EC70" s="8" t="str">
        <f>IF(O70&lt;&gt;"",VLOOKUP(O70,'Job Master'!$N$12:$O$18,2,0),"")</f>
        <v/>
      </c>
      <c r="ED70" s="8">
        <f t="shared" si="68"/>
        <v>19.5</v>
      </c>
      <c r="EE70" s="8">
        <f t="shared" si="69"/>
        <v>6</v>
      </c>
      <c r="EF70" s="8">
        <f t="shared" si="70"/>
        <v>-340.5</v>
      </c>
      <c r="EG70" s="8" t="str">
        <f t="shared" si="71"/>
        <v/>
      </c>
      <c r="EH70" s="8" t="str">
        <f t="shared" si="72"/>
        <v/>
      </c>
    </row>
    <row r="71" spans="2:138" x14ac:dyDescent="0.3">
      <c r="B71" s="112"/>
      <c r="C71" s="27"/>
      <c r="D71" s="7" t="str">
        <f t="shared" si="1"/>
        <v/>
      </c>
      <c r="E71" s="25"/>
      <c r="F71" s="7" t="str">
        <f t="shared" si="1"/>
        <v/>
      </c>
      <c r="G71" s="25"/>
      <c r="H71" s="7" t="str">
        <f t="shared" si="1"/>
        <v/>
      </c>
      <c r="I71" s="25"/>
      <c r="J71" s="7" t="str">
        <f t="shared" si="1"/>
        <v/>
      </c>
      <c r="K71" s="25"/>
      <c r="L71" s="7" t="str">
        <f t="shared" si="2"/>
        <v/>
      </c>
      <c r="M71" s="25"/>
      <c r="N71" s="7" t="str">
        <f t="shared" si="3"/>
        <v/>
      </c>
      <c r="O71" s="81"/>
      <c r="P71" s="81" t="str">
        <f t="shared" si="4"/>
        <v/>
      </c>
      <c r="Q71" s="81"/>
      <c r="R71" s="7" t="str">
        <f t="shared" si="5"/>
        <v/>
      </c>
      <c r="S71" s="25"/>
      <c r="T71" s="7" t="str">
        <f t="shared" si="6"/>
        <v/>
      </c>
      <c r="U71" s="25"/>
      <c r="V71" s="7" t="str">
        <f t="shared" si="7"/>
        <v/>
      </c>
      <c r="W71" s="25"/>
      <c r="X71" s="7" t="str">
        <f t="shared" si="8"/>
        <v/>
      </c>
      <c r="Y71" s="18" t="str">
        <f t="shared" si="9"/>
        <v/>
      </c>
      <c r="Z71" s="7" t="str">
        <f t="shared" si="10"/>
        <v/>
      </c>
      <c r="AA71" s="18" t="str">
        <f t="shared" si="11"/>
        <v/>
      </c>
      <c r="AB71" s="19" t="str">
        <f t="shared" si="12"/>
        <v/>
      </c>
      <c r="AC71" s="26"/>
      <c r="AD71" s="26"/>
      <c r="AE71" s="25"/>
      <c r="AF71" s="26"/>
      <c r="AG71" s="25"/>
      <c r="AH71" s="25"/>
      <c r="AI71" s="18" t="str">
        <f t="shared" si="83"/>
        <v/>
      </c>
      <c r="AJ71" s="25"/>
      <c r="AK71" s="18" t="str">
        <f t="shared" si="84"/>
        <v/>
      </c>
      <c r="AL71" s="79"/>
      <c r="AM71" s="126" t="str">
        <f t="shared" si="85"/>
        <v/>
      </c>
      <c r="AN71" s="128" t="str">
        <f>IF(AP71&lt;&gt;"",VLOOKUP($P71&amp;" | "&amp;AN$6,'Job Master'!$F$12:$J$102,5,0),"")</f>
        <v/>
      </c>
      <c r="AO71" s="19" t="str">
        <f>IF(AP71&lt;&gt;"",VLOOKUP($P71&amp;" | "&amp;AN$6,'Job Master'!$F$12:$J$102,3,0),"")</f>
        <v/>
      </c>
      <c r="AP71" s="19" t="str">
        <f>IFERROR(IF(AND(AW71&lt;&gt;"",VLOOKUP($P71&amp;" | "&amp;AN$6,'Job Master'!$F$12:$I$102,4,0)&lt;&gt;""),IF(WEEKDAY(AW71-VLOOKUP($P71&amp;" | "&amp;AN$6,'Job Master'!$F$12:$I$102,4,0))&lt;&gt;7,AW71-VLOOKUP($P71&amp;" | "&amp;AN$6,'Job Master'!$F$12:$I$102,4,0),AW71-VLOOKUP($P71&amp;" | "&amp;AN$6,'Job Master'!$F$12:$I$102,4,0)-1),""),"")</f>
        <v/>
      </c>
      <c r="AQ71" s="73"/>
      <c r="AR71" s="123" t="str">
        <f t="shared" si="16"/>
        <v/>
      </c>
      <c r="AS71" s="123" t="str">
        <f t="shared" si="17"/>
        <v/>
      </c>
      <c r="AT71" s="97" t="str">
        <f t="shared" ca="1" si="18"/>
        <v/>
      </c>
      <c r="AU71" s="98" t="str">
        <f>IF(AW71&lt;&gt;"",VLOOKUP($P71&amp;" | "&amp;AU$6,'Job Master'!$F$12:$J$102,5,0),"")</f>
        <v/>
      </c>
      <c r="AV71" s="19" t="str">
        <f>IF(AW71&lt;&gt;"",VLOOKUP($P71&amp;" | "&amp;AU$6,'Job Master'!$F$12:$J$102,3,0),"")</f>
        <v/>
      </c>
      <c r="AW71" s="19" t="str">
        <f>IFERROR(IF(AND(BD71&lt;&gt;"",VLOOKUP($P71&amp;" | "&amp;AU$6,'Job Master'!$F$12:$I$102,4,0)&lt;&gt;""),IF(WEEKDAY(BD71-VLOOKUP($P71&amp;" | "&amp;AU$6,'Job Master'!$F$12:$I$102,4,0))&lt;&gt;7,BD71-VLOOKUP($P71&amp;" | "&amp;AU$6,'Job Master'!$F$12:$I$102,4,0),BD71-VLOOKUP($P71&amp;" | "&amp;AU$6,'Job Master'!$F$12:$I$102,4,0)-1),""),"")</f>
        <v/>
      </c>
      <c r="AX71" s="73"/>
      <c r="AY71" s="123" t="str">
        <f t="shared" si="19"/>
        <v/>
      </c>
      <c r="AZ71" s="123" t="str">
        <f t="shared" si="20"/>
        <v/>
      </c>
      <c r="BA71" s="97" t="str">
        <f t="shared" ca="1" si="21"/>
        <v/>
      </c>
      <c r="BB71" s="98" t="str">
        <f>IF(BD71&lt;&gt;"",VLOOKUP($P71&amp;" | "&amp;BB$6,'Job Master'!$F$12:$J$102,5,0),"")</f>
        <v/>
      </c>
      <c r="BC71" s="19" t="str">
        <f>IF(BD71&lt;&gt;"",VLOOKUP($P71&amp;" | "&amp;BB$6,'Job Master'!$F$12:$J$102,3,0),"")</f>
        <v/>
      </c>
      <c r="BD71" s="19" t="str">
        <f>IFERROR(IF(AND(BK71&lt;&gt;"",VLOOKUP($P71&amp;" | "&amp;BB$6,'Job Master'!$F$12:$I$102,4,0)&lt;&gt;""),IF(WEEKDAY(BK71-VLOOKUP($P71&amp;" | "&amp;BB$6,'Job Master'!$F$12:$I$102,4,0))&lt;&gt;7,BK71-VLOOKUP($P71&amp;" | "&amp;BB$6,'Job Master'!$F$12:$I$102,4,0),BK71-VLOOKUP($P71&amp;" | "&amp;BB$6,'Job Master'!$F$12:$I$102,4,0)-1),""),"")</f>
        <v/>
      </c>
      <c r="BE71" s="73"/>
      <c r="BF71" s="123" t="str">
        <f t="shared" si="22"/>
        <v/>
      </c>
      <c r="BG71" s="123" t="str">
        <f t="shared" si="23"/>
        <v/>
      </c>
      <c r="BH71" s="97" t="str">
        <f t="shared" ca="1" si="24"/>
        <v/>
      </c>
      <c r="BI71" s="98" t="str">
        <f>IF(BK71&lt;&gt;"",VLOOKUP($P71&amp;" | "&amp;BI$6,'Job Master'!$F$12:$J$102,5,0),"")</f>
        <v/>
      </c>
      <c r="BJ71" s="19" t="str">
        <f>IF(BK71&lt;&gt;"",VLOOKUP($P71&amp;" | "&amp;BI$6,'Job Master'!$F$12:$J$102,3,0),"")</f>
        <v/>
      </c>
      <c r="BK71" s="19" t="str">
        <f>IFERROR(IF(AND(BR71&lt;&gt;"",VLOOKUP($P71&amp;" | "&amp;BI$6,'Job Master'!$F$12:$I$102,4,0)&lt;&gt;""),IF(WEEKDAY(BR71-VLOOKUP($P71&amp;" | "&amp;BI$6,'Job Master'!$F$12:$I$102,4,0))&lt;&gt;7,BR71-VLOOKUP($P71&amp;" | "&amp;BI$6,'Job Master'!$F$12:$I$102,4,0),BR71-VLOOKUP($P71&amp;" | "&amp;BI$6,'Job Master'!$F$12:$I$102,4,0)-1),""),"")</f>
        <v/>
      </c>
      <c r="BL71" s="73"/>
      <c r="BM71" s="123" t="str">
        <f t="shared" si="25"/>
        <v/>
      </c>
      <c r="BN71" s="123" t="str">
        <f t="shared" si="26"/>
        <v/>
      </c>
      <c r="BO71" s="97" t="str">
        <f t="shared" ca="1" si="27"/>
        <v/>
      </c>
      <c r="BP71" s="98" t="str">
        <f>IF(BR71&lt;&gt;"",VLOOKUP($P71&amp;" | "&amp;BP$6,'Job Master'!$F$12:$J$102,5,0),"")</f>
        <v/>
      </c>
      <c r="BQ71" s="19" t="str">
        <f>IF(BR71&lt;&gt;"",VLOOKUP($P71&amp;" | "&amp;BP$6,'Job Master'!$F$12:$J$102,3,0),"")</f>
        <v/>
      </c>
      <c r="BR71" s="19" t="str">
        <f>IFERROR(IF(AND(BY71&lt;&gt;"",VLOOKUP($P71&amp;" | "&amp;BP$6,'Job Master'!$F$12:$I$102,4,0)&lt;&gt;""),IF(WEEKDAY(BY71-VLOOKUP($P71&amp;" | "&amp;BP$6,'Job Master'!$F$12:$I$102,4,0))&lt;&gt;7,BY71-VLOOKUP($P71&amp;" | "&amp;BP$6,'Job Master'!$F$12:$I$102,4,0),BY71-VLOOKUP($P71&amp;" | "&amp;BP$6,'Job Master'!$F$12:$I$102,4,0)-1),""),"")</f>
        <v/>
      </c>
      <c r="BS71" s="73"/>
      <c r="BT71" s="123" t="str">
        <f t="shared" si="28"/>
        <v/>
      </c>
      <c r="BU71" s="123" t="str">
        <f t="shared" si="29"/>
        <v/>
      </c>
      <c r="BV71" s="97" t="str">
        <f t="shared" ca="1" si="30"/>
        <v/>
      </c>
      <c r="BW71" s="98" t="str">
        <f>IF(BY71&lt;&gt;"",VLOOKUP($P71&amp;" | "&amp;BW$6,'Job Master'!$F$12:$J$102,5,0),"")</f>
        <v/>
      </c>
      <c r="BX71" s="19" t="str">
        <f>IF(BY71&lt;&gt;"",VLOOKUP($P71&amp;" | "&amp;BW$6,'Job Master'!$F$12:$J$102,3,0),"")</f>
        <v/>
      </c>
      <c r="BY71" s="19" t="str">
        <f>IFERROR(IF(AND(CF71&lt;&gt;"",VLOOKUP($P71&amp;" | "&amp;BW$6,'Job Master'!$F$12:$I$102,4,0)&lt;&gt;""),IF(WEEKDAY(CF71-VLOOKUP($P71&amp;" | "&amp;BW$6,'Job Master'!$F$12:$I$102,4,0))&lt;&gt;7,CF71-VLOOKUP($P71&amp;" | "&amp;BW$6,'Job Master'!$F$12:$I$102,4,0),CF71-VLOOKUP($P71&amp;" | "&amp;BW$6,'Job Master'!$F$12:$I$102,4,0)-1),""),"")</f>
        <v/>
      </c>
      <c r="BZ71" s="73"/>
      <c r="CA71" s="123" t="str">
        <f t="shared" si="31"/>
        <v/>
      </c>
      <c r="CB71" s="123" t="str">
        <f t="shared" si="32"/>
        <v/>
      </c>
      <c r="CC71" s="97" t="str">
        <f t="shared" ca="1" si="33"/>
        <v/>
      </c>
      <c r="CD71" s="98" t="str">
        <f>IF(CF71&lt;&gt;"",VLOOKUP($P71&amp;" | "&amp;CD$6,'Job Master'!$F$12:$J$102,5,0),"")</f>
        <v/>
      </c>
      <c r="CE71" s="19" t="str">
        <f>IF(CF71&lt;&gt;"",VLOOKUP($P71&amp;" | "&amp;CD$6,'Job Master'!$F$12:$J$102,3,0),"")</f>
        <v/>
      </c>
      <c r="CF71" s="19" t="str">
        <f>IFERROR(IF(AND(CM71&lt;&gt;"",VLOOKUP($P71&amp;" | "&amp;CD$6,'Job Master'!$F$12:$I$102,4,0)&lt;&gt;""),IF(WEEKDAY(CM71-VLOOKUP($P71&amp;" | "&amp;CD$6,'Job Master'!$F$12:$I$102,4,0))&lt;&gt;7,CM71-VLOOKUP($P71&amp;" | "&amp;CD$6,'Job Master'!$F$12:$I$102,4,0),CM71-VLOOKUP($P71&amp;" | "&amp;CD$6,'Job Master'!$F$12:$I$102,4,0)-1),""),"")</f>
        <v/>
      </c>
      <c r="CG71" s="73"/>
      <c r="CH71" s="123" t="str">
        <f t="shared" si="34"/>
        <v/>
      </c>
      <c r="CI71" s="123" t="str">
        <f t="shared" si="35"/>
        <v/>
      </c>
      <c r="CJ71" s="97" t="str">
        <f t="shared" ca="1" si="36"/>
        <v/>
      </c>
      <c r="CK71" s="98" t="str">
        <f>IF(CM71&lt;&gt;"",VLOOKUP($P71&amp;" | "&amp;CK$6,'Job Master'!$F$12:$J$102,5,0),"")</f>
        <v/>
      </c>
      <c r="CL71" s="19" t="str">
        <f>IF(CM71&lt;&gt;"",VLOOKUP($P71&amp;" | "&amp;CK$6,'Job Master'!$F$12:$J$102,3,0),"")</f>
        <v/>
      </c>
      <c r="CM71" s="19" t="str">
        <f>IFERROR(IF(AND(CT71&lt;&gt;"",VLOOKUP($P71&amp;" | "&amp;CK$6,'Job Master'!$F$12:$I$102,4,0)&lt;&gt;""),IF(WEEKDAY(CT71-VLOOKUP($P71&amp;" | "&amp;CK$6,'Job Master'!$F$12:$I$102,4,0))&lt;&gt;7,CT71-VLOOKUP($P71&amp;" | "&amp;CK$6,'Job Master'!$F$12:$I$102,4,0),CT71-VLOOKUP($P71&amp;" | "&amp;CK$6,'Job Master'!$F$12:$I$102,4,0)-1),""),"")</f>
        <v/>
      </c>
      <c r="CN71" s="73"/>
      <c r="CO71" s="123" t="str">
        <f t="shared" si="37"/>
        <v/>
      </c>
      <c r="CP71" s="123" t="str">
        <f t="shared" si="38"/>
        <v/>
      </c>
      <c r="CQ71" s="97" t="str">
        <f t="shared" ca="1" si="39"/>
        <v/>
      </c>
      <c r="CR71" s="98" t="str">
        <f>IF(CT71&lt;&gt;"",VLOOKUP($P71&amp;" | "&amp;CR$6,'Job Master'!$F$12:$J$102,5,0),"")</f>
        <v/>
      </c>
      <c r="CS71" s="19" t="str">
        <f>IF(CT71&lt;&gt;"",VLOOKUP($P71&amp;" | "&amp;CR$6,'Job Master'!$F$12:$J$102,3,0),"")</f>
        <v/>
      </c>
      <c r="CT71" s="19" t="str">
        <f>IFERROR(IF(AND(DA71&lt;&gt;"",VLOOKUP($P71&amp;" | "&amp;CR$6,'Job Master'!$F$12:$I$102,4,0)&lt;&gt;""),IF(WEEKDAY(DA71-VLOOKUP($P71&amp;" | "&amp;CR$6,'Job Master'!$F$12:$I$102,4,0))&lt;&gt;7,DA71-VLOOKUP($P71&amp;" | "&amp;CR$6,'Job Master'!$F$12:$I$102,4,0),DA71-VLOOKUP($P71&amp;" | "&amp;CR$6,'Job Master'!$F$12:$I$102,4,0)-1),""),"")</f>
        <v/>
      </c>
      <c r="CU71" s="73"/>
      <c r="CV71" s="123" t="str">
        <f t="shared" si="40"/>
        <v/>
      </c>
      <c r="CW71" s="123" t="str">
        <f t="shared" si="41"/>
        <v/>
      </c>
      <c r="CX71" s="97" t="str">
        <f t="shared" ca="1" si="42"/>
        <v/>
      </c>
      <c r="CY71" s="98" t="str">
        <f>IF(DA71&lt;&gt;"",VLOOKUP($P71&amp;" | "&amp;CY$6,'Job Master'!$F$12:$J$102,5,0),"")</f>
        <v/>
      </c>
      <c r="CZ71" s="19" t="str">
        <f>IF(DA71&lt;&gt;"",VLOOKUP($P71&amp;" | "&amp;CY$6,'Job Master'!$F$12:$J$102,3,0),"")</f>
        <v/>
      </c>
      <c r="DA71" s="19" t="str">
        <f>IFERROR(IF(AND(DH71&lt;&gt;"",VLOOKUP($P71&amp;" | "&amp;CY$6,'Job Master'!$F$12:$I$102,4,0)&lt;&gt;""),IF(WEEKDAY(DH71-VLOOKUP($P71&amp;" | "&amp;CY$6,'Job Master'!$F$12:$I$102,4,0))&lt;&gt;7,DH71-VLOOKUP($P71&amp;" | "&amp;CY$6,'Job Master'!$F$12:$I$102,4,0),DH71-VLOOKUP($P71&amp;" | "&amp;CY$6,'Job Master'!$F$12:$I$102,4,0)-1),""),"")</f>
        <v/>
      </c>
      <c r="DB71" s="73"/>
      <c r="DC71" s="123" t="str">
        <f t="shared" si="43"/>
        <v/>
      </c>
      <c r="DD71" s="123" t="str">
        <f t="shared" si="44"/>
        <v/>
      </c>
      <c r="DE71" s="97" t="str">
        <f t="shared" ca="1" si="45"/>
        <v/>
      </c>
      <c r="DF71" s="98" t="str">
        <f>IF(DH71&lt;&gt;"",VLOOKUP($P71&amp;" | "&amp;DF$6,'Job Master'!$F$12:$J$102,5,0),"")</f>
        <v/>
      </c>
      <c r="DG71" s="19" t="str">
        <f>IF(DH71&lt;&gt;"",VLOOKUP($P71&amp;" | "&amp;DF$6,'Job Master'!$F$12:$J$102,3,0),"")</f>
        <v/>
      </c>
      <c r="DH71" s="19" t="str">
        <f>IFERROR(IF(AND(DO71&lt;&gt;"",VLOOKUP($P71&amp;" | "&amp;DF$6,'Job Master'!$F$12:$I$102,4,0)&lt;&gt;""),IF(WEEKDAY(DO71-VLOOKUP($P71&amp;" | "&amp;DF$6,'Job Master'!$F$12:$I$102,4,0))&lt;&gt;7,DO71-VLOOKUP($P71&amp;" | "&amp;DF$6,'Job Master'!$F$12:$I$102,4,0),DO71-VLOOKUP($P71&amp;" | "&amp;DF$6,'Job Master'!$F$12:$I$102,4,0)-1),""),"")</f>
        <v/>
      </c>
      <c r="DI71" s="73"/>
      <c r="DJ71" s="123" t="str">
        <f t="shared" si="46"/>
        <v/>
      </c>
      <c r="DK71" s="123" t="str">
        <f t="shared" si="47"/>
        <v/>
      </c>
      <c r="DL71" s="97" t="str">
        <f t="shared" ca="1" si="48"/>
        <v/>
      </c>
      <c r="DM71" s="98" t="str">
        <f>IF(DO71&lt;&gt;"",VLOOKUP($P71&amp;" | "&amp;DM$6,'Job Master'!$F$12:$J$102,5,0),"")</f>
        <v/>
      </c>
      <c r="DN71" s="19" t="str">
        <f>IF(DO71&lt;&gt;"",VLOOKUP($P71&amp;" | "&amp;DM$6,'Job Master'!$F$12:$J$102,3,0),"")</f>
        <v/>
      </c>
      <c r="DO71" s="19" t="str">
        <f>IFERROR(IF(AND(DT71&lt;&gt;"",VLOOKUP($P71&amp;" | "&amp;DM$6,'Job Master'!$F$12:$I$102,4,0)&lt;&gt;""),IF(WEEKDAY(DT71-VLOOKUP($P71&amp;" | "&amp;DM$6,'Job Master'!$F$12:$I$102,4,0))&lt;&gt;7,DT71-VLOOKUP($P71&amp;" | "&amp;DM$6,'Job Master'!$F$12:$I$102,4,0),DT71-VLOOKUP($P71&amp;" | "&amp;DM$6,'Job Master'!$F$12:$I$102,4,0)-1),""),"")</f>
        <v/>
      </c>
      <c r="DP71" s="73"/>
      <c r="DQ71" s="123" t="str">
        <f t="shared" si="49"/>
        <v/>
      </c>
      <c r="DR71" s="123" t="str">
        <f t="shared" si="50"/>
        <v/>
      </c>
      <c r="DS71" s="97" t="str">
        <f t="shared" ca="1" si="51"/>
        <v/>
      </c>
      <c r="DT71" s="70" t="str">
        <f t="shared" si="52"/>
        <v/>
      </c>
      <c r="DU71" s="90"/>
      <c r="DV71" s="123" t="str">
        <f t="shared" si="53"/>
        <v/>
      </c>
      <c r="DW71" s="123" t="str">
        <f t="shared" si="54"/>
        <v/>
      </c>
      <c r="DX71" s="132" t="str">
        <f t="shared" ref="DX71" ca="1" si="132">IF(DT71&lt;&gt;"",IF(WEEKNUM(DT71)=WEEKNUM(TODAY()),"This Week",IF(WEEKNUM(DT71)=WEEKNUM(TODAY())+1,"Next Week",IF(WEEKNUM(DT71)=WEEKNUM(TODAY())-1,"Previous Week",""))),"")</f>
        <v/>
      </c>
      <c r="DY71" s="134" t="str">
        <f t="shared" si="56"/>
        <v/>
      </c>
      <c r="DZ71" s="95"/>
      <c r="EB71" s="8" t="str">
        <f t="shared" si="67"/>
        <v/>
      </c>
      <c r="EC71" s="8" t="str">
        <f>IF(O71&lt;&gt;"",VLOOKUP(O71,'Job Master'!$N$12:$O$18,2,0),"")</f>
        <v/>
      </c>
      <c r="ED71" s="8">
        <f t="shared" si="68"/>
        <v>19.5</v>
      </c>
      <c r="EE71" s="8">
        <f t="shared" si="69"/>
        <v>6</v>
      </c>
      <c r="EF71" s="8">
        <f t="shared" si="70"/>
        <v>-346.5</v>
      </c>
      <c r="EG71" s="8" t="str">
        <f t="shared" si="71"/>
        <v/>
      </c>
      <c r="EH71" s="8" t="str">
        <f t="shared" si="72"/>
        <v/>
      </c>
    </row>
    <row r="72" spans="2:138" x14ac:dyDescent="0.3">
      <c r="B72" s="112"/>
      <c r="C72" s="27"/>
      <c r="D72" s="7" t="str">
        <f t="shared" si="1"/>
        <v/>
      </c>
      <c r="E72" s="25"/>
      <c r="F72" s="7" t="str">
        <f t="shared" si="1"/>
        <v/>
      </c>
      <c r="G72" s="25"/>
      <c r="H72" s="7" t="str">
        <f t="shared" si="1"/>
        <v/>
      </c>
      <c r="I72" s="25"/>
      <c r="J72" s="7" t="str">
        <f t="shared" ref="J72" si="133">IF(IF(I72&lt;&gt;"",I72,IF($AA72&lt;&gt;"",J71,""))&lt;&gt;0,IF(I72&lt;&gt;"",I72,IF($AA72&lt;&gt;"",J71,"")),"")</f>
        <v/>
      </c>
      <c r="K72" s="25"/>
      <c r="L72" s="7" t="str">
        <f t="shared" si="2"/>
        <v/>
      </c>
      <c r="M72" s="25"/>
      <c r="N72" s="7" t="str">
        <f t="shared" si="3"/>
        <v/>
      </c>
      <c r="O72" s="81"/>
      <c r="P72" s="81" t="str">
        <f t="shared" si="4"/>
        <v/>
      </c>
      <c r="Q72" s="81"/>
      <c r="R72" s="7" t="str">
        <f t="shared" si="5"/>
        <v/>
      </c>
      <c r="S72" s="25"/>
      <c r="T72" s="7" t="str">
        <f t="shared" si="6"/>
        <v/>
      </c>
      <c r="U72" s="25"/>
      <c r="V72" s="7" t="str">
        <f t="shared" si="7"/>
        <v/>
      </c>
      <c r="W72" s="25"/>
      <c r="X72" s="7" t="str">
        <f t="shared" si="8"/>
        <v/>
      </c>
      <c r="Y72" s="18" t="str">
        <f t="shared" si="9"/>
        <v/>
      </c>
      <c r="Z72" s="7" t="str">
        <f t="shared" si="10"/>
        <v/>
      </c>
      <c r="AA72" s="18" t="str">
        <f t="shared" si="11"/>
        <v/>
      </c>
      <c r="AB72" s="19" t="str">
        <f t="shared" si="12"/>
        <v/>
      </c>
      <c r="AC72" s="26"/>
      <c r="AD72" s="26"/>
      <c r="AE72" s="25"/>
      <c r="AF72" s="26"/>
      <c r="AG72" s="25"/>
      <c r="AH72" s="25"/>
      <c r="AI72" s="18" t="str">
        <f t="shared" si="83"/>
        <v/>
      </c>
      <c r="AJ72" s="25"/>
      <c r="AK72" s="18" t="str">
        <f t="shared" si="84"/>
        <v/>
      </c>
      <c r="AL72" s="79"/>
      <c r="AM72" s="126" t="str">
        <f t="shared" si="85"/>
        <v/>
      </c>
      <c r="AN72" s="128" t="str">
        <f>IF(AP72&lt;&gt;"",VLOOKUP($P72&amp;" | "&amp;AN$6,'Job Master'!$F$12:$J$102,5,0),"")</f>
        <v/>
      </c>
      <c r="AO72" s="19" t="str">
        <f>IF(AP72&lt;&gt;"",VLOOKUP($P72&amp;" | "&amp;AN$6,'Job Master'!$F$12:$J$102,3,0),"")</f>
        <v/>
      </c>
      <c r="AP72" s="19" t="str">
        <f>IFERROR(IF(AND(AW72&lt;&gt;"",VLOOKUP($P72&amp;" | "&amp;AN$6,'Job Master'!$F$12:$I$102,4,0)&lt;&gt;""),IF(WEEKDAY(AW72-VLOOKUP($P72&amp;" | "&amp;AN$6,'Job Master'!$F$12:$I$102,4,0))&lt;&gt;7,AW72-VLOOKUP($P72&amp;" | "&amp;AN$6,'Job Master'!$F$12:$I$102,4,0),AW72-VLOOKUP($P72&amp;" | "&amp;AN$6,'Job Master'!$F$12:$I$102,4,0)-1),""),"")</f>
        <v/>
      </c>
      <c r="AQ72" s="73"/>
      <c r="AR72" s="123" t="str">
        <f t="shared" si="16"/>
        <v/>
      </c>
      <c r="AS72" s="123" t="str">
        <f t="shared" si="17"/>
        <v/>
      </c>
      <c r="AT72" s="97" t="str">
        <f t="shared" ca="1" si="18"/>
        <v/>
      </c>
      <c r="AU72" s="98" t="str">
        <f>IF(AW72&lt;&gt;"",VLOOKUP($P72&amp;" | "&amp;AU$6,'Job Master'!$F$12:$J$102,5,0),"")</f>
        <v/>
      </c>
      <c r="AV72" s="19" t="str">
        <f>IF(AW72&lt;&gt;"",VLOOKUP($P72&amp;" | "&amp;AU$6,'Job Master'!$F$12:$J$102,3,0),"")</f>
        <v/>
      </c>
      <c r="AW72" s="19" t="str">
        <f>IFERROR(IF(AND(BD72&lt;&gt;"",VLOOKUP($P72&amp;" | "&amp;AU$6,'Job Master'!$F$12:$I$102,4,0)&lt;&gt;""),IF(WEEKDAY(BD72-VLOOKUP($P72&amp;" | "&amp;AU$6,'Job Master'!$F$12:$I$102,4,0))&lt;&gt;7,BD72-VLOOKUP($P72&amp;" | "&amp;AU$6,'Job Master'!$F$12:$I$102,4,0),BD72-VLOOKUP($P72&amp;" | "&amp;AU$6,'Job Master'!$F$12:$I$102,4,0)-1),""),"")</f>
        <v/>
      </c>
      <c r="AX72" s="73"/>
      <c r="AY72" s="123" t="str">
        <f t="shared" si="19"/>
        <v/>
      </c>
      <c r="AZ72" s="123" t="str">
        <f t="shared" si="20"/>
        <v/>
      </c>
      <c r="BA72" s="97" t="str">
        <f t="shared" ca="1" si="21"/>
        <v/>
      </c>
      <c r="BB72" s="98" t="str">
        <f>IF(BD72&lt;&gt;"",VLOOKUP($P72&amp;" | "&amp;BB$6,'Job Master'!$F$12:$J$102,5,0),"")</f>
        <v/>
      </c>
      <c r="BC72" s="19" t="str">
        <f>IF(BD72&lt;&gt;"",VLOOKUP($P72&amp;" | "&amp;BB$6,'Job Master'!$F$12:$J$102,3,0),"")</f>
        <v/>
      </c>
      <c r="BD72" s="19" t="str">
        <f>IFERROR(IF(AND(BK72&lt;&gt;"",VLOOKUP($P72&amp;" | "&amp;BB$6,'Job Master'!$F$12:$I$102,4,0)&lt;&gt;""),IF(WEEKDAY(BK72-VLOOKUP($P72&amp;" | "&amp;BB$6,'Job Master'!$F$12:$I$102,4,0))&lt;&gt;7,BK72-VLOOKUP($P72&amp;" | "&amp;BB$6,'Job Master'!$F$12:$I$102,4,0),BK72-VLOOKUP($P72&amp;" | "&amp;BB$6,'Job Master'!$F$12:$I$102,4,0)-1),""),"")</f>
        <v/>
      </c>
      <c r="BE72" s="73"/>
      <c r="BF72" s="123" t="str">
        <f t="shared" si="22"/>
        <v/>
      </c>
      <c r="BG72" s="123" t="str">
        <f t="shared" si="23"/>
        <v/>
      </c>
      <c r="BH72" s="97" t="str">
        <f t="shared" ca="1" si="24"/>
        <v/>
      </c>
      <c r="BI72" s="98" t="str">
        <f>IF(BK72&lt;&gt;"",VLOOKUP($P72&amp;" | "&amp;BI$6,'Job Master'!$F$12:$J$102,5,0),"")</f>
        <v/>
      </c>
      <c r="BJ72" s="19" t="str">
        <f>IF(BK72&lt;&gt;"",VLOOKUP($P72&amp;" | "&amp;BI$6,'Job Master'!$F$12:$J$102,3,0),"")</f>
        <v/>
      </c>
      <c r="BK72" s="19" t="str">
        <f>IFERROR(IF(AND(BR72&lt;&gt;"",VLOOKUP($P72&amp;" | "&amp;BI$6,'Job Master'!$F$12:$I$102,4,0)&lt;&gt;""),IF(WEEKDAY(BR72-VLOOKUP($P72&amp;" | "&amp;BI$6,'Job Master'!$F$12:$I$102,4,0))&lt;&gt;7,BR72-VLOOKUP($P72&amp;" | "&amp;BI$6,'Job Master'!$F$12:$I$102,4,0),BR72-VLOOKUP($P72&amp;" | "&amp;BI$6,'Job Master'!$F$12:$I$102,4,0)-1),""),"")</f>
        <v/>
      </c>
      <c r="BL72" s="73"/>
      <c r="BM72" s="123" t="str">
        <f t="shared" si="25"/>
        <v/>
      </c>
      <c r="BN72" s="123" t="str">
        <f t="shared" si="26"/>
        <v/>
      </c>
      <c r="BO72" s="97" t="str">
        <f t="shared" ca="1" si="27"/>
        <v/>
      </c>
      <c r="BP72" s="98" t="str">
        <f>IF(BR72&lt;&gt;"",VLOOKUP($P72&amp;" | "&amp;BP$6,'Job Master'!$F$12:$J$102,5,0),"")</f>
        <v/>
      </c>
      <c r="BQ72" s="19" t="str">
        <f>IF(BR72&lt;&gt;"",VLOOKUP($P72&amp;" | "&amp;BP$6,'Job Master'!$F$12:$J$102,3,0),"")</f>
        <v/>
      </c>
      <c r="BR72" s="19" t="str">
        <f>IFERROR(IF(AND(BY72&lt;&gt;"",VLOOKUP($P72&amp;" | "&amp;BP$6,'Job Master'!$F$12:$I$102,4,0)&lt;&gt;""),IF(WEEKDAY(BY72-VLOOKUP($P72&amp;" | "&amp;BP$6,'Job Master'!$F$12:$I$102,4,0))&lt;&gt;7,BY72-VLOOKUP($P72&amp;" | "&amp;BP$6,'Job Master'!$F$12:$I$102,4,0),BY72-VLOOKUP($P72&amp;" | "&amp;BP$6,'Job Master'!$F$12:$I$102,4,0)-1),""),"")</f>
        <v/>
      </c>
      <c r="BS72" s="73"/>
      <c r="BT72" s="123" t="str">
        <f t="shared" si="28"/>
        <v/>
      </c>
      <c r="BU72" s="123" t="str">
        <f t="shared" si="29"/>
        <v/>
      </c>
      <c r="BV72" s="97" t="str">
        <f t="shared" ca="1" si="30"/>
        <v/>
      </c>
      <c r="BW72" s="98" t="str">
        <f>IF(BY72&lt;&gt;"",VLOOKUP($P72&amp;" | "&amp;BW$6,'Job Master'!$F$12:$J$102,5,0),"")</f>
        <v/>
      </c>
      <c r="BX72" s="19" t="str">
        <f>IF(BY72&lt;&gt;"",VLOOKUP($P72&amp;" | "&amp;BW$6,'Job Master'!$F$12:$J$102,3,0),"")</f>
        <v/>
      </c>
      <c r="BY72" s="19" t="str">
        <f>IFERROR(IF(AND(CF72&lt;&gt;"",VLOOKUP($P72&amp;" | "&amp;BW$6,'Job Master'!$F$12:$I$102,4,0)&lt;&gt;""),IF(WEEKDAY(CF72-VLOOKUP($P72&amp;" | "&amp;BW$6,'Job Master'!$F$12:$I$102,4,0))&lt;&gt;7,CF72-VLOOKUP($P72&amp;" | "&amp;BW$6,'Job Master'!$F$12:$I$102,4,0),CF72-VLOOKUP($P72&amp;" | "&amp;BW$6,'Job Master'!$F$12:$I$102,4,0)-1),""),"")</f>
        <v/>
      </c>
      <c r="BZ72" s="73"/>
      <c r="CA72" s="123" t="str">
        <f t="shared" si="31"/>
        <v/>
      </c>
      <c r="CB72" s="123" t="str">
        <f t="shared" si="32"/>
        <v/>
      </c>
      <c r="CC72" s="97" t="str">
        <f t="shared" ca="1" si="33"/>
        <v/>
      </c>
      <c r="CD72" s="98" t="str">
        <f>IF(CF72&lt;&gt;"",VLOOKUP($P72&amp;" | "&amp;CD$6,'Job Master'!$F$12:$J$102,5,0),"")</f>
        <v/>
      </c>
      <c r="CE72" s="19" t="str">
        <f>IF(CF72&lt;&gt;"",VLOOKUP($P72&amp;" | "&amp;CD$6,'Job Master'!$F$12:$J$102,3,0),"")</f>
        <v/>
      </c>
      <c r="CF72" s="19" t="str">
        <f>IFERROR(IF(AND(CM72&lt;&gt;"",VLOOKUP($P72&amp;" | "&amp;CD$6,'Job Master'!$F$12:$I$102,4,0)&lt;&gt;""),IF(WEEKDAY(CM72-VLOOKUP($P72&amp;" | "&amp;CD$6,'Job Master'!$F$12:$I$102,4,0))&lt;&gt;7,CM72-VLOOKUP($P72&amp;" | "&amp;CD$6,'Job Master'!$F$12:$I$102,4,0),CM72-VLOOKUP($P72&amp;" | "&amp;CD$6,'Job Master'!$F$12:$I$102,4,0)-1),""),"")</f>
        <v/>
      </c>
      <c r="CG72" s="73"/>
      <c r="CH72" s="123" t="str">
        <f t="shared" si="34"/>
        <v/>
      </c>
      <c r="CI72" s="123" t="str">
        <f t="shared" si="35"/>
        <v/>
      </c>
      <c r="CJ72" s="97" t="str">
        <f t="shared" ca="1" si="36"/>
        <v/>
      </c>
      <c r="CK72" s="98" t="str">
        <f>IF(CM72&lt;&gt;"",VLOOKUP($P72&amp;" | "&amp;CK$6,'Job Master'!$F$12:$J$102,5,0),"")</f>
        <v/>
      </c>
      <c r="CL72" s="19" t="str">
        <f>IF(CM72&lt;&gt;"",VLOOKUP($P72&amp;" | "&amp;CK$6,'Job Master'!$F$12:$J$102,3,0),"")</f>
        <v/>
      </c>
      <c r="CM72" s="19" t="str">
        <f>IFERROR(IF(AND(CT72&lt;&gt;"",VLOOKUP($P72&amp;" | "&amp;CK$6,'Job Master'!$F$12:$I$102,4,0)&lt;&gt;""),IF(WEEKDAY(CT72-VLOOKUP($P72&amp;" | "&amp;CK$6,'Job Master'!$F$12:$I$102,4,0))&lt;&gt;7,CT72-VLOOKUP($P72&amp;" | "&amp;CK$6,'Job Master'!$F$12:$I$102,4,0),CT72-VLOOKUP($P72&amp;" | "&amp;CK$6,'Job Master'!$F$12:$I$102,4,0)-1),""),"")</f>
        <v/>
      </c>
      <c r="CN72" s="73"/>
      <c r="CO72" s="123" t="str">
        <f t="shared" si="37"/>
        <v/>
      </c>
      <c r="CP72" s="123" t="str">
        <f t="shared" si="38"/>
        <v/>
      </c>
      <c r="CQ72" s="97" t="str">
        <f t="shared" ca="1" si="39"/>
        <v/>
      </c>
      <c r="CR72" s="98" t="str">
        <f>IF(CT72&lt;&gt;"",VLOOKUP($P72&amp;" | "&amp;CR$6,'Job Master'!$F$12:$J$102,5,0),"")</f>
        <v/>
      </c>
      <c r="CS72" s="19" t="str">
        <f>IF(CT72&lt;&gt;"",VLOOKUP($P72&amp;" | "&amp;CR$6,'Job Master'!$F$12:$J$102,3,0),"")</f>
        <v/>
      </c>
      <c r="CT72" s="19" t="str">
        <f>IFERROR(IF(AND(DA72&lt;&gt;"",VLOOKUP($P72&amp;" | "&amp;CR$6,'Job Master'!$F$12:$I$102,4,0)&lt;&gt;""),IF(WEEKDAY(DA72-VLOOKUP($P72&amp;" | "&amp;CR$6,'Job Master'!$F$12:$I$102,4,0))&lt;&gt;7,DA72-VLOOKUP($P72&amp;" | "&amp;CR$6,'Job Master'!$F$12:$I$102,4,0),DA72-VLOOKUP($P72&amp;" | "&amp;CR$6,'Job Master'!$F$12:$I$102,4,0)-1),""),"")</f>
        <v/>
      </c>
      <c r="CU72" s="73"/>
      <c r="CV72" s="123" t="str">
        <f t="shared" si="40"/>
        <v/>
      </c>
      <c r="CW72" s="123" t="str">
        <f t="shared" si="41"/>
        <v/>
      </c>
      <c r="CX72" s="97" t="str">
        <f t="shared" ca="1" si="42"/>
        <v/>
      </c>
      <c r="CY72" s="98" t="str">
        <f>IF(DA72&lt;&gt;"",VLOOKUP($P72&amp;" | "&amp;CY$6,'Job Master'!$F$12:$J$102,5,0),"")</f>
        <v/>
      </c>
      <c r="CZ72" s="19" t="str">
        <f>IF(DA72&lt;&gt;"",VLOOKUP($P72&amp;" | "&amp;CY$6,'Job Master'!$F$12:$J$102,3,0),"")</f>
        <v/>
      </c>
      <c r="DA72" s="19" t="str">
        <f>IFERROR(IF(AND(DH72&lt;&gt;"",VLOOKUP($P72&amp;" | "&amp;CY$6,'Job Master'!$F$12:$I$102,4,0)&lt;&gt;""),IF(WEEKDAY(DH72-VLOOKUP($P72&amp;" | "&amp;CY$6,'Job Master'!$F$12:$I$102,4,0))&lt;&gt;7,DH72-VLOOKUP($P72&amp;" | "&amp;CY$6,'Job Master'!$F$12:$I$102,4,0),DH72-VLOOKUP($P72&amp;" | "&amp;CY$6,'Job Master'!$F$12:$I$102,4,0)-1),""),"")</f>
        <v/>
      </c>
      <c r="DB72" s="73"/>
      <c r="DC72" s="123" t="str">
        <f t="shared" si="43"/>
        <v/>
      </c>
      <c r="DD72" s="123" t="str">
        <f t="shared" si="44"/>
        <v/>
      </c>
      <c r="DE72" s="97" t="str">
        <f t="shared" ca="1" si="45"/>
        <v/>
      </c>
      <c r="DF72" s="98" t="str">
        <f>IF(DH72&lt;&gt;"",VLOOKUP($P72&amp;" | "&amp;DF$6,'Job Master'!$F$12:$J$102,5,0),"")</f>
        <v/>
      </c>
      <c r="DG72" s="19" t="str">
        <f>IF(DH72&lt;&gt;"",VLOOKUP($P72&amp;" | "&amp;DF$6,'Job Master'!$F$12:$J$102,3,0),"")</f>
        <v/>
      </c>
      <c r="DH72" s="19" t="str">
        <f>IFERROR(IF(AND(DO72&lt;&gt;"",VLOOKUP($P72&amp;" | "&amp;DF$6,'Job Master'!$F$12:$I$102,4,0)&lt;&gt;""),IF(WEEKDAY(DO72-VLOOKUP($P72&amp;" | "&amp;DF$6,'Job Master'!$F$12:$I$102,4,0))&lt;&gt;7,DO72-VLOOKUP($P72&amp;" | "&amp;DF$6,'Job Master'!$F$12:$I$102,4,0),DO72-VLOOKUP($P72&amp;" | "&amp;DF$6,'Job Master'!$F$12:$I$102,4,0)-1),""),"")</f>
        <v/>
      </c>
      <c r="DI72" s="73"/>
      <c r="DJ72" s="123" t="str">
        <f t="shared" si="46"/>
        <v/>
      </c>
      <c r="DK72" s="123" t="str">
        <f t="shared" si="47"/>
        <v/>
      </c>
      <c r="DL72" s="97" t="str">
        <f t="shared" ca="1" si="48"/>
        <v/>
      </c>
      <c r="DM72" s="98" t="str">
        <f>IF(DO72&lt;&gt;"",VLOOKUP($P72&amp;" | "&amp;DM$6,'Job Master'!$F$12:$J$102,5,0),"")</f>
        <v/>
      </c>
      <c r="DN72" s="19" t="str">
        <f>IF(DO72&lt;&gt;"",VLOOKUP($P72&amp;" | "&amp;DM$6,'Job Master'!$F$12:$J$102,3,0),"")</f>
        <v/>
      </c>
      <c r="DO72" s="19" t="str">
        <f>IFERROR(IF(AND(DT72&lt;&gt;"",VLOOKUP($P72&amp;" | "&amp;DM$6,'Job Master'!$F$12:$I$102,4,0)&lt;&gt;""),IF(WEEKDAY(DT72-VLOOKUP($P72&amp;" | "&amp;DM$6,'Job Master'!$F$12:$I$102,4,0))&lt;&gt;7,DT72-VLOOKUP($P72&amp;" | "&amp;DM$6,'Job Master'!$F$12:$I$102,4,0),DT72-VLOOKUP($P72&amp;" | "&amp;DM$6,'Job Master'!$F$12:$I$102,4,0)-1),""),"")</f>
        <v/>
      </c>
      <c r="DP72" s="73"/>
      <c r="DQ72" s="123" t="str">
        <f t="shared" si="49"/>
        <v/>
      </c>
      <c r="DR72" s="123" t="str">
        <f t="shared" si="50"/>
        <v/>
      </c>
      <c r="DS72" s="97" t="str">
        <f t="shared" ca="1" si="51"/>
        <v/>
      </c>
      <c r="DT72" s="70" t="str">
        <f t="shared" si="52"/>
        <v/>
      </c>
      <c r="DU72" s="90"/>
      <c r="DV72" s="123" t="str">
        <f t="shared" si="53"/>
        <v/>
      </c>
      <c r="DW72" s="123" t="str">
        <f t="shared" si="54"/>
        <v/>
      </c>
      <c r="DX72" s="132" t="str">
        <f t="shared" ref="DX72" ca="1" si="134">IF(DT72&lt;&gt;"",IF(WEEKNUM(DT72)=WEEKNUM(TODAY()),"This Week",IF(WEEKNUM(DT72)=WEEKNUM(TODAY())+1,"Next Week",IF(WEEKNUM(DT72)=WEEKNUM(TODAY())-1,"Previous Week",""))),"")</f>
        <v/>
      </c>
      <c r="DY72" s="134" t="str">
        <f t="shared" si="56"/>
        <v/>
      </c>
      <c r="DZ72" s="95"/>
      <c r="EB72" s="8" t="str">
        <f t="shared" si="67"/>
        <v/>
      </c>
      <c r="EC72" s="8" t="str">
        <f>IF(O72&lt;&gt;"",VLOOKUP(O72,'Job Master'!$N$12:$O$18,2,0),"")</f>
        <v/>
      </c>
      <c r="ED72" s="8">
        <f t="shared" si="68"/>
        <v>19.5</v>
      </c>
      <c r="EE72" s="8">
        <f t="shared" si="69"/>
        <v>6</v>
      </c>
      <c r="EF72" s="8">
        <f t="shared" si="70"/>
        <v>-352.5</v>
      </c>
      <c r="EG72" s="8" t="str">
        <f t="shared" si="71"/>
        <v/>
      </c>
      <c r="EH72" s="8" t="str">
        <f t="shared" si="72"/>
        <v/>
      </c>
    </row>
    <row r="73" spans="2:138" x14ac:dyDescent="0.3">
      <c r="B73" s="112"/>
      <c r="C73" s="27"/>
      <c r="D73" s="7" t="str">
        <f t="shared" ref="D73:J136" si="135">IF(IF(C73&lt;&gt;"",C73,IF($AA73&lt;&gt;"",D72,""))&lt;&gt;0,IF(C73&lt;&gt;"",C73,IF($AA73&lt;&gt;"",D72,"")),"")</f>
        <v/>
      </c>
      <c r="E73" s="25"/>
      <c r="F73" s="7" t="str">
        <f t="shared" si="135"/>
        <v/>
      </c>
      <c r="G73" s="25"/>
      <c r="H73" s="7" t="str">
        <f t="shared" si="135"/>
        <v/>
      </c>
      <c r="I73" s="25"/>
      <c r="J73" s="7" t="str">
        <f t="shared" si="135"/>
        <v/>
      </c>
      <c r="K73" s="25"/>
      <c r="L73" s="7" t="str">
        <f t="shared" ref="L73:L136" si="136">IF(IF(K73&lt;&gt;"",K73,IF($AA73&lt;&gt;"",L72,""))&lt;&gt;0,IF(K73&lt;&gt;"",K73,IF($AA73&lt;&gt;"",L72,"")),"")</f>
        <v/>
      </c>
      <c r="M73" s="25"/>
      <c r="N73" s="7" t="str">
        <f t="shared" ref="N73:N136" si="137">IF(IF(M73&lt;&gt;"",M73,IF($AA73&lt;&gt;"",N72,""))&lt;&gt;0,IF(M73&lt;&gt;"",M73,IF($AA73&lt;&gt;"",N72,"")),"")</f>
        <v/>
      </c>
      <c r="O73" s="81"/>
      <c r="P73" s="81" t="str">
        <f t="shared" ref="P73:P136" si="138">IF(IF(O73&lt;&gt;"",O73,IF($AA73&lt;&gt;"",P72,""))&lt;&gt;0,IF(O73&lt;&gt;"",O73,IF($AA73&lt;&gt;"",P72,"")),"")</f>
        <v/>
      </c>
      <c r="Q73" s="81"/>
      <c r="R73" s="7" t="str">
        <f t="shared" ref="R73:R136" si="139">IF(IF(Q73&lt;&gt;"",Q73,IF($AA73&lt;&gt;"",R72,""))&lt;&gt;0,IF(Q73&lt;&gt;"",Q73,IF($AA73&lt;&gt;"",R72,"")),"")</f>
        <v/>
      </c>
      <c r="S73" s="25"/>
      <c r="T73" s="7" t="str">
        <f t="shared" ref="T73:T136" si="140">IF(IF(S73&lt;&gt;"",S73,IF($AA73&lt;&gt;"",T72,""))&lt;&gt;0,IF(S73&lt;&gt;"",S73,IF($AA73&lt;&gt;"",T72,"")),"")</f>
        <v/>
      </c>
      <c r="U73" s="25"/>
      <c r="V73" s="7" t="str">
        <f t="shared" ref="V73:V136" si="141">IF(IF(U73&lt;&gt;"",U73,IF($AA73&lt;&gt;"",V72,""))&lt;&gt;0,IF(U73&lt;&gt;"",U73,IF($AA73&lt;&gt;"",V72,"")),"")</f>
        <v/>
      </c>
      <c r="W73" s="25"/>
      <c r="X73" s="7" t="str">
        <f t="shared" ref="X73:X136" si="142">IF(IF(W73&lt;&gt;"",W73,IF($AA73&lt;&gt;"",X72,""))&lt;&gt;0,IF(W73&lt;&gt;"",W73,IF($AA73&lt;&gt;"",X72,"")),"")</f>
        <v/>
      </c>
      <c r="Y73" s="18" t="str">
        <f t="shared" ref="Y73:Y136" si="143">IF(AND(W73&lt;&gt;"",U73&lt;&gt;""),U73*W73,"")</f>
        <v/>
      </c>
      <c r="Z73" s="7" t="str">
        <f t="shared" ref="Z73:Z136" si="144">IF(IF(Y73&lt;&gt;"",Y73,IF($AA73&lt;&gt;"",Z72,""))&lt;&gt;0,IF(Y73&lt;&gt;"",Y73,IF($AA73&lt;&gt;"",Z72,"")),"")</f>
        <v/>
      </c>
      <c r="AA73" s="18" t="str">
        <f t="shared" ref="AA73:AA136" si="145">IF(EH73&lt;&gt;"",EH73,"")</f>
        <v/>
      </c>
      <c r="AB73" s="19" t="str">
        <f t="shared" ref="AB73:AB136" si="146">IF(AA73&lt;&gt;"",IF(WEEKDAY(IF(AF73&lt;&gt;"",AF73,IF(AD73&lt;&gt;"",AD73,IF(AC73&lt;&gt;"",AC73,IF(AND(AC73="",AD73="",AF73="",AA73&lt;&gt;""),AB72-1,"")))))&lt;&gt;7,IF(AF73&lt;&gt;"",AF73,IF(AD73&lt;&gt;"",AD73,IF(AC73&lt;&gt;"",AC73,IF(AND(AC73="",AD73="",AF73="",AA73&lt;&gt;""),AB72-1,"")))),IF(AF73&lt;&gt;"",AF73,IF(AD73&lt;&gt;"",AD73,IF(AC73&lt;&gt;"",AC73,IF(AND(AC73="",AD73="",AF73="",AA73&lt;&gt;""),AB72-1,""))))-1),"")</f>
        <v/>
      </c>
      <c r="AC73" s="26"/>
      <c r="AD73" s="26"/>
      <c r="AE73" s="25"/>
      <c r="AF73" s="26"/>
      <c r="AG73" s="25"/>
      <c r="AH73" s="25"/>
      <c r="AI73" s="18" t="str">
        <f t="shared" si="83"/>
        <v/>
      </c>
      <c r="AJ73" s="25"/>
      <c r="AK73" s="18" t="str">
        <f t="shared" si="84"/>
        <v/>
      </c>
      <c r="AL73" s="79"/>
      <c r="AM73" s="126" t="str">
        <f t="shared" si="85"/>
        <v/>
      </c>
      <c r="AN73" s="128" t="str">
        <f>IF(AP73&lt;&gt;"",VLOOKUP($P73&amp;" | "&amp;AN$6,'Job Master'!$F$12:$J$102,5,0),"")</f>
        <v/>
      </c>
      <c r="AO73" s="19" t="str">
        <f>IF(AP73&lt;&gt;"",VLOOKUP($P73&amp;" | "&amp;AN$6,'Job Master'!$F$12:$J$102,3,0),"")</f>
        <v/>
      </c>
      <c r="AP73" s="19" t="str">
        <f>IFERROR(IF(AND(AW73&lt;&gt;"",VLOOKUP($P73&amp;" | "&amp;AN$6,'Job Master'!$F$12:$I$102,4,0)&lt;&gt;""),IF(WEEKDAY(AW73-VLOOKUP($P73&amp;" | "&amp;AN$6,'Job Master'!$F$12:$I$102,4,0))&lt;&gt;7,AW73-VLOOKUP($P73&amp;" | "&amp;AN$6,'Job Master'!$F$12:$I$102,4,0),AW73-VLOOKUP($P73&amp;" | "&amp;AN$6,'Job Master'!$F$12:$I$102,4,0)-1),""),"")</f>
        <v/>
      </c>
      <c r="AQ73" s="73"/>
      <c r="AR73" s="123" t="str">
        <f t="shared" ref="AR73:AR136" si="147">IF(AP73&lt;&gt;"",MONTH(AP73),"")</f>
        <v/>
      </c>
      <c r="AS73" s="123" t="str">
        <f t="shared" ref="AS73:AS136" si="148">IF(AND(AQ73&lt;&gt;"",AP73&lt;&gt;""),IF(AQ73&gt;AP73,"Delayed",IF(AQ73=AP73,"On Time",IF(AQ73&lt;AP73,"In Advance"))),"")</f>
        <v/>
      </c>
      <c r="AT73" s="97" t="str">
        <f t="shared" ref="AT73:AT136" ca="1" si="149">IF(AP73&lt;&gt;"",IF(WEEKNUM(AP73)=WEEKNUM(TODAY()),"This Week",IF(WEEKNUM(AP73)=WEEKNUM(TODAY())+1,"Next Week",IF(WEEKNUM(AP73)=WEEKNUM(TODAY())-1,"Previous Week",""))),"")</f>
        <v/>
      </c>
      <c r="AU73" s="98" t="str">
        <f>IF(AW73&lt;&gt;"",VLOOKUP($P73&amp;" | "&amp;AU$6,'Job Master'!$F$12:$J$102,5,0),"")</f>
        <v/>
      </c>
      <c r="AV73" s="19" t="str">
        <f>IF(AW73&lt;&gt;"",VLOOKUP($P73&amp;" | "&amp;AU$6,'Job Master'!$F$12:$J$102,3,0),"")</f>
        <v/>
      </c>
      <c r="AW73" s="19" t="str">
        <f>IFERROR(IF(AND(BD73&lt;&gt;"",VLOOKUP($P73&amp;" | "&amp;AU$6,'Job Master'!$F$12:$I$102,4,0)&lt;&gt;""),IF(WEEKDAY(BD73-VLOOKUP($P73&amp;" | "&amp;AU$6,'Job Master'!$F$12:$I$102,4,0))&lt;&gt;7,BD73-VLOOKUP($P73&amp;" | "&amp;AU$6,'Job Master'!$F$12:$I$102,4,0),BD73-VLOOKUP($P73&amp;" | "&amp;AU$6,'Job Master'!$F$12:$I$102,4,0)-1),""),"")</f>
        <v/>
      </c>
      <c r="AX73" s="73"/>
      <c r="AY73" s="123" t="str">
        <f t="shared" ref="AY73:AY136" si="150">IF(AW73&lt;&gt;"",MONTH(AW73),"")</f>
        <v/>
      </c>
      <c r="AZ73" s="123" t="str">
        <f t="shared" ref="AZ73:AZ136" si="151">IF(AND(AX73&lt;&gt;"",AW73&lt;&gt;""),IF(AX73&gt;AW73,"Delayed",IF(AX73=AW73,"On Time",IF(AX73&lt;AW73,"In Advance"))),"")</f>
        <v/>
      </c>
      <c r="BA73" s="97" t="str">
        <f t="shared" ref="BA73:BA136" ca="1" si="152">IF(AW73&lt;&gt;"",IF(WEEKNUM(AW73)=WEEKNUM(TODAY()),"This Week",IF(WEEKNUM(AW73)=WEEKNUM(TODAY())+1,"Next Week",IF(WEEKNUM(AW73)=WEEKNUM(TODAY())-1,"Previous Week",""))),"")</f>
        <v/>
      </c>
      <c r="BB73" s="98" t="str">
        <f>IF(BD73&lt;&gt;"",VLOOKUP($P73&amp;" | "&amp;BB$6,'Job Master'!$F$12:$J$102,5,0),"")</f>
        <v/>
      </c>
      <c r="BC73" s="19" t="str">
        <f>IF(BD73&lt;&gt;"",VLOOKUP($P73&amp;" | "&amp;BB$6,'Job Master'!$F$12:$J$102,3,0),"")</f>
        <v/>
      </c>
      <c r="BD73" s="19" t="str">
        <f>IFERROR(IF(AND(BK73&lt;&gt;"",VLOOKUP($P73&amp;" | "&amp;BB$6,'Job Master'!$F$12:$I$102,4,0)&lt;&gt;""),IF(WEEKDAY(BK73-VLOOKUP($P73&amp;" | "&amp;BB$6,'Job Master'!$F$12:$I$102,4,0))&lt;&gt;7,BK73-VLOOKUP($P73&amp;" | "&amp;BB$6,'Job Master'!$F$12:$I$102,4,0),BK73-VLOOKUP($P73&amp;" | "&amp;BB$6,'Job Master'!$F$12:$I$102,4,0)-1),""),"")</f>
        <v/>
      </c>
      <c r="BE73" s="73"/>
      <c r="BF73" s="123" t="str">
        <f t="shared" ref="BF73:BF136" si="153">IF(BD73&lt;&gt;"",MONTH(BD73),"")</f>
        <v/>
      </c>
      <c r="BG73" s="123" t="str">
        <f t="shared" ref="BG73:BG136" si="154">IF(AND(BE73&lt;&gt;"",BD73&lt;&gt;""),IF(BE73&gt;BD73,"Delayed",IF(BE73=BD73,"On Time",IF(BE73&lt;BD73,"In Advance"))),"")</f>
        <v/>
      </c>
      <c r="BH73" s="97" t="str">
        <f t="shared" ref="BH73:BH136" ca="1" si="155">IF(BD73&lt;&gt;"",IF(WEEKNUM(BD73)=WEEKNUM(TODAY()),"This Week",IF(WEEKNUM(BD73)=WEEKNUM(TODAY())+1,"Next Week",IF(WEEKNUM(BD73)=WEEKNUM(TODAY())-1,"Previous Week",""))),"")</f>
        <v/>
      </c>
      <c r="BI73" s="98" t="str">
        <f>IF(BK73&lt;&gt;"",VLOOKUP($P73&amp;" | "&amp;BI$6,'Job Master'!$F$12:$J$102,5,0),"")</f>
        <v/>
      </c>
      <c r="BJ73" s="19" t="str">
        <f>IF(BK73&lt;&gt;"",VLOOKUP($P73&amp;" | "&amp;BI$6,'Job Master'!$F$12:$J$102,3,0),"")</f>
        <v/>
      </c>
      <c r="BK73" s="19" t="str">
        <f>IFERROR(IF(AND(BR73&lt;&gt;"",VLOOKUP($P73&amp;" | "&amp;BI$6,'Job Master'!$F$12:$I$102,4,0)&lt;&gt;""),IF(WEEKDAY(BR73-VLOOKUP($P73&amp;" | "&amp;BI$6,'Job Master'!$F$12:$I$102,4,0))&lt;&gt;7,BR73-VLOOKUP($P73&amp;" | "&amp;BI$6,'Job Master'!$F$12:$I$102,4,0),BR73-VLOOKUP($P73&amp;" | "&amp;BI$6,'Job Master'!$F$12:$I$102,4,0)-1),""),"")</f>
        <v/>
      </c>
      <c r="BL73" s="73"/>
      <c r="BM73" s="123" t="str">
        <f t="shared" ref="BM73:BM136" si="156">IF(BK73&lt;&gt;"",MONTH(BK73),"")</f>
        <v/>
      </c>
      <c r="BN73" s="123" t="str">
        <f t="shared" ref="BN73:BN136" si="157">IF(AND(BL73&lt;&gt;"",BK73&lt;&gt;""),IF(BL73&gt;BK73,"Delayed",IF(BL73=BK73,"On Time",IF(BL73&lt;BK73,"In Advance"))),"")</f>
        <v/>
      </c>
      <c r="BO73" s="97" t="str">
        <f t="shared" ref="BO73:BO136" ca="1" si="158">IF(BK73&lt;&gt;"",IF(WEEKNUM(BK73)=WEEKNUM(TODAY()),"This Week",IF(WEEKNUM(BK73)=WEEKNUM(TODAY())+1,"Next Week",IF(WEEKNUM(BK73)=WEEKNUM(TODAY())-1,"Previous Week",""))),"")</f>
        <v/>
      </c>
      <c r="BP73" s="98" t="str">
        <f>IF(BR73&lt;&gt;"",VLOOKUP($P73&amp;" | "&amp;BP$6,'Job Master'!$F$12:$J$102,5,0),"")</f>
        <v/>
      </c>
      <c r="BQ73" s="19" t="str">
        <f>IF(BR73&lt;&gt;"",VLOOKUP($P73&amp;" | "&amp;BP$6,'Job Master'!$F$12:$J$102,3,0),"")</f>
        <v/>
      </c>
      <c r="BR73" s="19" t="str">
        <f>IFERROR(IF(AND(BY73&lt;&gt;"",VLOOKUP($P73&amp;" | "&amp;BP$6,'Job Master'!$F$12:$I$102,4,0)&lt;&gt;""),IF(WEEKDAY(BY73-VLOOKUP($P73&amp;" | "&amp;BP$6,'Job Master'!$F$12:$I$102,4,0))&lt;&gt;7,BY73-VLOOKUP($P73&amp;" | "&amp;BP$6,'Job Master'!$F$12:$I$102,4,0),BY73-VLOOKUP($P73&amp;" | "&amp;BP$6,'Job Master'!$F$12:$I$102,4,0)-1),""),"")</f>
        <v/>
      </c>
      <c r="BS73" s="73"/>
      <c r="BT73" s="123" t="str">
        <f t="shared" ref="BT73:BT136" si="159">IF(BR73&lt;&gt;"",MONTH(BR73),"")</f>
        <v/>
      </c>
      <c r="BU73" s="123" t="str">
        <f t="shared" ref="BU73:BU136" si="160">IF(AND(BS73&lt;&gt;"",BR73&lt;&gt;""),IF(BS73&gt;BR73,"Delayed",IF(BS73=BR73,"On Time",IF(BS73&lt;BR73,"In Advance"))),"")</f>
        <v/>
      </c>
      <c r="BV73" s="97" t="str">
        <f t="shared" ref="BV73:BV136" ca="1" si="161">IF(BR73&lt;&gt;"",IF(WEEKNUM(BR73)=WEEKNUM(TODAY()),"This Week",IF(WEEKNUM(BR73)=WEEKNUM(TODAY())+1,"Next Week",IF(WEEKNUM(BR73)=WEEKNUM(TODAY())-1,"Previous Week",""))),"")</f>
        <v/>
      </c>
      <c r="BW73" s="98" t="str">
        <f>IF(BY73&lt;&gt;"",VLOOKUP($P73&amp;" | "&amp;BW$6,'Job Master'!$F$12:$J$102,5,0),"")</f>
        <v/>
      </c>
      <c r="BX73" s="19" t="str">
        <f>IF(BY73&lt;&gt;"",VLOOKUP($P73&amp;" | "&amp;BW$6,'Job Master'!$F$12:$J$102,3,0),"")</f>
        <v/>
      </c>
      <c r="BY73" s="19" t="str">
        <f>IFERROR(IF(AND(CF73&lt;&gt;"",VLOOKUP($P73&amp;" | "&amp;BW$6,'Job Master'!$F$12:$I$102,4,0)&lt;&gt;""),IF(WEEKDAY(CF73-VLOOKUP($P73&amp;" | "&amp;BW$6,'Job Master'!$F$12:$I$102,4,0))&lt;&gt;7,CF73-VLOOKUP($P73&amp;" | "&amp;BW$6,'Job Master'!$F$12:$I$102,4,0),CF73-VLOOKUP($P73&amp;" | "&amp;BW$6,'Job Master'!$F$12:$I$102,4,0)-1),""),"")</f>
        <v/>
      </c>
      <c r="BZ73" s="73"/>
      <c r="CA73" s="123" t="str">
        <f t="shared" ref="CA73:CA136" si="162">IF(BY73&lt;&gt;"",MONTH(BY73),"")</f>
        <v/>
      </c>
      <c r="CB73" s="123" t="str">
        <f t="shared" ref="CB73:CB136" si="163">IF(AND(BZ73&lt;&gt;"",BY73&lt;&gt;""),IF(BZ73&gt;BY73,"Delayed",IF(BZ73=BY73,"On Time",IF(BZ73&lt;BY73,"In Advance"))),"")</f>
        <v/>
      </c>
      <c r="CC73" s="97" t="str">
        <f t="shared" ref="CC73:CC136" ca="1" si="164">IF(BY73&lt;&gt;"",IF(WEEKNUM(BY73)=WEEKNUM(TODAY()),"This Week",IF(WEEKNUM(BY73)=WEEKNUM(TODAY())+1,"Next Week",IF(WEEKNUM(BY73)=WEEKNUM(TODAY())-1,"Previous Week",""))),"")</f>
        <v/>
      </c>
      <c r="CD73" s="98" t="str">
        <f>IF(CF73&lt;&gt;"",VLOOKUP($P73&amp;" | "&amp;CD$6,'Job Master'!$F$12:$J$102,5,0),"")</f>
        <v/>
      </c>
      <c r="CE73" s="19" t="str">
        <f>IF(CF73&lt;&gt;"",VLOOKUP($P73&amp;" | "&amp;CD$6,'Job Master'!$F$12:$J$102,3,0),"")</f>
        <v/>
      </c>
      <c r="CF73" s="19" t="str">
        <f>IFERROR(IF(AND(CM73&lt;&gt;"",VLOOKUP($P73&amp;" | "&amp;CD$6,'Job Master'!$F$12:$I$102,4,0)&lt;&gt;""),IF(WEEKDAY(CM73-VLOOKUP($P73&amp;" | "&amp;CD$6,'Job Master'!$F$12:$I$102,4,0))&lt;&gt;7,CM73-VLOOKUP($P73&amp;" | "&amp;CD$6,'Job Master'!$F$12:$I$102,4,0),CM73-VLOOKUP($P73&amp;" | "&amp;CD$6,'Job Master'!$F$12:$I$102,4,0)-1),""),"")</f>
        <v/>
      </c>
      <c r="CG73" s="73"/>
      <c r="CH73" s="123" t="str">
        <f t="shared" ref="CH73:CH136" si="165">IF(CF73&lt;&gt;"",MONTH(CF73),"")</f>
        <v/>
      </c>
      <c r="CI73" s="123" t="str">
        <f t="shared" ref="CI73:CI136" si="166">IF(AND(CG73&lt;&gt;"",CF73&lt;&gt;""),IF(CG73&gt;CF73,"Delayed",IF(CG73=CF73,"On Time",IF(CG73&lt;CF73,"In Advance"))),"")</f>
        <v/>
      </c>
      <c r="CJ73" s="97" t="str">
        <f t="shared" ref="CJ73:CJ136" ca="1" si="167">IF(CF73&lt;&gt;"",IF(WEEKNUM(CF73)=WEEKNUM(TODAY()),"This Week",IF(WEEKNUM(CF73)=WEEKNUM(TODAY())+1,"Next Week",IF(WEEKNUM(CF73)=WEEKNUM(TODAY())-1,"Previous Week",""))),"")</f>
        <v/>
      </c>
      <c r="CK73" s="98" t="str">
        <f>IF(CM73&lt;&gt;"",VLOOKUP($P73&amp;" | "&amp;CK$6,'Job Master'!$F$12:$J$102,5,0),"")</f>
        <v/>
      </c>
      <c r="CL73" s="19" t="str">
        <f>IF(CM73&lt;&gt;"",VLOOKUP($P73&amp;" | "&amp;CK$6,'Job Master'!$F$12:$J$102,3,0),"")</f>
        <v/>
      </c>
      <c r="CM73" s="19" t="str">
        <f>IFERROR(IF(AND(CT73&lt;&gt;"",VLOOKUP($P73&amp;" | "&amp;CK$6,'Job Master'!$F$12:$I$102,4,0)&lt;&gt;""),IF(WEEKDAY(CT73-VLOOKUP($P73&amp;" | "&amp;CK$6,'Job Master'!$F$12:$I$102,4,0))&lt;&gt;7,CT73-VLOOKUP($P73&amp;" | "&amp;CK$6,'Job Master'!$F$12:$I$102,4,0),CT73-VLOOKUP($P73&amp;" | "&amp;CK$6,'Job Master'!$F$12:$I$102,4,0)-1),""),"")</f>
        <v/>
      </c>
      <c r="CN73" s="73"/>
      <c r="CO73" s="123" t="str">
        <f t="shared" ref="CO73:CO136" si="168">IF(CM73&lt;&gt;"",MONTH(CM73),"")</f>
        <v/>
      </c>
      <c r="CP73" s="123" t="str">
        <f t="shared" ref="CP73:CP136" si="169">IF(AND(CN73&lt;&gt;"",CM73&lt;&gt;""),IF(CN73&gt;CM73,"Delayed",IF(CN73=CM73,"On Time",IF(CN73&lt;CM73,"In Advance"))),"")</f>
        <v/>
      </c>
      <c r="CQ73" s="97" t="str">
        <f t="shared" ref="CQ73:CQ136" ca="1" si="170">IF(CM73&lt;&gt;"",IF(WEEKNUM(CM73)=WEEKNUM(TODAY()),"This Week",IF(WEEKNUM(CM73)=WEEKNUM(TODAY())+1,"Next Week",IF(WEEKNUM(CM73)=WEEKNUM(TODAY())-1,"Previous Week",""))),"")</f>
        <v/>
      </c>
      <c r="CR73" s="98" t="str">
        <f>IF(CT73&lt;&gt;"",VLOOKUP($P73&amp;" | "&amp;CR$6,'Job Master'!$F$12:$J$102,5,0),"")</f>
        <v/>
      </c>
      <c r="CS73" s="19" t="str">
        <f>IF(CT73&lt;&gt;"",VLOOKUP($P73&amp;" | "&amp;CR$6,'Job Master'!$F$12:$J$102,3,0),"")</f>
        <v/>
      </c>
      <c r="CT73" s="19" t="str">
        <f>IFERROR(IF(AND(DA73&lt;&gt;"",VLOOKUP($P73&amp;" | "&amp;CR$6,'Job Master'!$F$12:$I$102,4,0)&lt;&gt;""),IF(WEEKDAY(DA73-VLOOKUP($P73&amp;" | "&amp;CR$6,'Job Master'!$F$12:$I$102,4,0))&lt;&gt;7,DA73-VLOOKUP($P73&amp;" | "&amp;CR$6,'Job Master'!$F$12:$I$102,4,0),DA73-VLOOKUP($P73&amp;" | "&amp;CR$6,'Job Master'!$F$12:$I$102,4,0)-1),""),"")</f>
        <v/>
      </c>
      <c r="CU73" s="73"/>
      <c r="CV73" s="123" t="str">
        <f t="shared" ref="CV73:CV136" si="171">IF(CT73&lt;&gt;"",MONTH(CT73),"")</f>
        <v/>
      </c>
      <c r="CW73" s="123" t="str">
        <f t="shared" ref="CW73:CW136" si="172">IF(AND(CU73&lt;&gt;"",CT73&lt;&gt;""),IF(CU73&gt;CT73,"Delayed",IF(CU73=CT73,"On Time",IF(CU73&lt;CT73,"In Advance"))),"")</f>
        <v/>
      </c>
      <c r="CX73" s="97" t="str">
        <f t="shared" ref="CX73:CX136" ca="1" si="173">IF(CT73&lt;&gt;"",IF(WEEKNUM(CT73)=WEEKNUM(TODAY()),"This Week",IF(WEEKNUM(CT73)=WEEKNUM(TODAY())+1,"Next Week",IF(WEEKNUM(CT73)=WEEKNUM(TODAY())-1,"Previous Week",""))),"")</f>
        <v/>
      </c>
      <c r="CY73" s="98" t="str">
        <f>IF(DA73&lt;&gt;"",VLOOKUP($P73&amp;" | "&amp;CY$6,'Job Master'!$F$12:$J$102,5,0),"")</f>
        <v/>
      </c>
      <c r="CZ73" s="19" t="str">
        <f>IF(DA73&lt;&gt;"",VLOOKUP($P73&amp;" | "&amp;CY$6,'Job Master'!$F$12:$J$102,3,0),"")</f>
        <v/>
      </c>
      <c r="DA73" s="19" t="str">
        <f>IFERROR(IF(AND(DH73&lt;&gt;"",VLOOKUP($P73&amp;" | "&amp;CY$6,'Job Master'!$F$12:$I$102,4,0)&lt;&gt;""),IF(WEEKDAY(DH73-VLOOKUP($P73&amp;" | "&amp;CY$6,'Job Master'!$F$12:$I$102,4,0))&lt;&gt;7,DH73-VLOOKUP($P73&amp;" | "&amp;CY$6,'Job Master'!$F$12:$I$102,4,0),DH73-VLOOKUP($P73&amp;" | "&amp;CY$6,'Job Master'!$F$12:$I$102,4,0)-1),""),"")</f>
        <v/>
      </c>
      <c r="DB73" s="73"/>
      <c r="DC73" s="123" t="str">
        <f t="shared" ref="DC73:DC136" si="174">IF(DA73&lt;&gt;"",MONTH(DA73),"")</f>
        <v/>
      </c>
      <c r="DD73" s="123" t="str">
        <f t="shared" ref="DD73:DD136" si="175">IF(AND(DB73&lt;&gt;"",DA73&lt;&gt;""),IF(DB73&gt;DA73,"Delayed",IF(DB73=DA73,"On Time",IF(DB73&lt;DA73,"In Advance"))),"")</f>
        <v/>
      </c>
      <c r="DE73" s="97" t="str">
        <f t="shared" ref="DE73:DE136" ca="1" si="176">IF(DA73&lt;&gt;"",IF(WEEKNUM(DA73)=WEEKNUM(TODAY()),"This Week",IF(WEEKNUM(DA73)=WEEKNUM(TODAY())+1,"Next Week",IF(WEEKNUM(DA73)=WEEKNUM(TODAY())-1,"Previous Week",""))),"")</f>
        <v/>
      </c>
      <c r="DF73" s="98" t="str">
        <f>IF(DH73&lt;&gt;"",VLOOKUP($P73&amp;" | "&amp;DF$6,'Job Master'!$F$12:$J$102,5,0),"")</f>
        <v/>
      </c>
      <c r="DG73" s="19" t="str">
        <f>IF(DH73&lt;&gt;"",VLOOKUP($P73&amp;" | "&amp;DF$6,'Job Master'!$F$12:$J$102,3,0),"")</f>
        <v/>
      </c>
      <c r="DH73" s="19" t="str">
        <f>IFERROR(IF(AND(DO73&lt;&gt;"",VLOOKUP($P73&amp;" | "&amp;DF$6,'Job Master'!$F$12:$I$102,4,0)&lt;&gt;""),IF(WEEKDAY(DO73-VLOOKUP($P73&amp;" | "&amp;DF$6,'Job Master'!$F$12:$I$102,4,0))&lt;&gt;7,DO73-VLOOKUP($P73&amp;" | "&amp;DF$6,'Job Master'!$F$12:$I$102,4,0),DO73-VLOOKUP($P73&amp;" | "&amp;DF$6,'Job Master'!$F$12:$I$102,4,0)-1),""),"")</f>
        <v/>
      </c>
      <c r="DI73" s="73"/>
      <c r="DJ73" s="123" t="str">
        <f t="shared" ref="DJ73:DJ136" si="177">IF(DH73&lt;&gt;"",MONTH(DH73),"")</f>
        <v/>
      </c>
      <c r="DK73" s="123" t="str">
        <f t="shared" ref="DK73:DK136" si="178">IF(AND(DI73&lt;&gt;"",DH73&lt;&gt;""),IF(DI73&gt;DH73,"Delayed",IF(DI73=DH73,"On Time",IF(DI73&lt;DH73,"In Advance"))),"")</f>
        <v/>
      </c>
      <c r="DL73" s="97" t="str">
        <f t="shared" ref="DL73:DL136" ca="1" si="179">IF(DH73&lt;&gt;"",IF(WEEKNUM(DH73)=WEEKNUM(TODAY()),"This Week",IF(WEEKNUM(DH73)=WEEKNUM(TODAY())+1,"Next Week",IF(WEEKNUM(DH73)=WEEKNUM(TODAY())-1,"Previous Week",""))),"")</f>
        <v/>
      </c>
      <c r="DM73" s="98" t="str">
        <f>IF(DO73&lt;&gt;"",VLOOKUP($P73&amp;" | "&amp;DM$6,'Job Master'!$F$12:$J$102,5,0),"")</f>
        <v/>
      </c>
      <c r="DN73" s="19" t="str">
        <f>IF(DO73&lt;&gt;"",VLOOKUP($P73&amp;" | "&amp;DM$6,'Job Master'!$F$12:$J$102,3,0),"")</f>
        <v/>
      </c>
      <c r="DO73" s="19" t="str">
        <f>IFERROR(IF(AND(DT73&lt;&gt;"",VLOOKUP($P73&amp;" | "&amp;DM$6,'Job Master'!$F$12:$I$102,4,0)&lt;&gt;""),IF(WEEKDAY(DT73-VLOOKUP($P73&amp;" | "&amp;DM$6,'Job Master'!$F$12:$I$102,4,0))&lt;&gt;7,DT73-VLOOKUP($P73&amp;" | "&amp;DM$6,'Job Master'!$F$12:$I$102,4,0),DT73-VLOOKUP($P73&amp;" | "&amp;DM$6,'Job Master'!$F$12:$I$102,4,0)-1),""),"")</f>
        <v/>
      </c>
      <c r="DP73" s="73"/>
      <c r="DQ73" s="123" t="str">
        <f t="shared" ref="DQ73:DQ136" si="180">IF(DO73&lt;&gt;"",MONTH(DO73),"")</f>
        <v/>
      </c>
      <c r="DR73" s="123" t="str">
        <f t="shared" ref="DR73:DR136" si="181">IF(AND(DP73&lt;&gt;"",DO73&lt;&gt;""),IF(DP73&gt;DO73,"Delayed",IF(DP73=DO73,"On Time",IF(DP73&lt;DO73,"In Advance"))),"")</f>
        <v/>
      </c>
      <c r="DS73" s="97" t="str">
        <f t="shared" ref="DS73:DS136" ca="1" si="182">IF(DO73&lt;&gt;"",IF(WEEKNUM(DO73)=WEEKNUM(TODAY()),"This Week",IF(WEEKNUM(DO73)=WEEKNUM(TODAY())+1,"Next Week",IF(WEEKNUM(DO73)=WEEKNUM(TODAY())-1,"Previous Week",""))),"")</f>
        <v/>
      </c>
      <c r="DT73" s="70" t="str">
        <f t="shared" ref="DT73:DT136" si="183">IF(AB73&lt;&gt;"",AB73,"")</f>
        <v/>
      </c>
      <c r="DU73" s="90"/>
      <c r="DV73" s="123" t="str">
        <f t="shared" ref="DV73:DV136" si="184">IF(DT73&lt;&gt;"",MONTH(DT73),"")</f>
        <v/>
      </c>
      <c r="DW73" s="123" t="str">
        <f t="shared" ref="DW73:DW136" si="185">IF(AND(DU73&lt;&gt;"",DT73&lt;&gt;""),IF(DU73&gt;DT73,"Delayed",IF(DU73=DT73,"On Time",IF(DU73&lt;DT73,"In Advance"))),"")</f>
        <v/>
      </c>
      <c r="DX73" s="132" t="str">
        <f t="shared" ref="DX73" ca="1" si="186">IF(DT73&lt;&gt;"",IF(WEEKNUM(DT73)=WEEKNUM(TODAY()),"This Week",IF(WEEKNUM(DT73)=WEEKNUM(TODAY())+1,"Next Week",IF(WEEKNUM(DT73)=WEEKNUM(TODAY())-1,"Previous Week",""))),"")</f>
        <v/>
      </c>
      <c r="DY73" s="134" t="str">
        <f t="shared" ref="DY73:DY136" si="187">IF(AND(DT73&lt;&gt;"",DU73&lt;&gt;""),DU73-DT73,"")</f>
        <v/>
      </c>
      <c r="DZ73" s="95"/>
      <c r="EB73" s="8" t="str">
        <f t="shared" si="67"/>
        <v/>
      </c>
      <c r="EC73" s="8" t="str">
        <f>IF(O73&lt;&gt;"",VLOOKUP(O73,'Job Master'!$N$12:$O$18,2,0),"")</f>
        <v/>
      </c>
      <c r="ED73" s="8">
        <f t="shared" si="68"/>
        <v>19.5</v>
      </c>
      <c r="EE73" s="8">
        <f t="shared" si="69"/>
        <v>6</v>
      </c>
      <c r="EF73" s="8">
        <f t="shared" si="70"/>
        <v>-358.5</v>
      </c>
      <c r="EG73" s="8" t="str">
        <f t="shared" si="71"/>
        <v/>
      </c>
      <c r="EH73" s="8" t="str">
        <f t="shared" si="72"/>
        <v/>
      </c>
    </row>
    <row r="74" spans="2:138" x14ac:dyDescent="0.3">
      <c r="B74" s="112"/>
      <c r="C74" s="27"/>
      <c r="D74" s="7" t="str">
        <f t="shared" si="135"/>
        <v/>
      </c>
      <c r="E74" s="25"/>
      <c r="F74" s="7" t="str">
        <f t="shared" si="135"/>
        <v/>
      </c>
      <c r="G74" s="25"/>
      <c r="H74" s="7" t="str">
        <f t="shared" si="135"/>
        <v/>
      </c>
      <c r="I74" s="25"/>
      <c r="J74" s="7" t="str">
        <f t="shared" si="135"/>
        <v/>
      </c>
      <c r="K74" s="25"/>
      <c r="L74" s="7" t="str">
        <f t="shared" si="136"/>
        <v/>
      </c>
      <c r="M74" s="25"/>
      <c r="N74" s="7" t="str">
        <f t="shared" si="137"/>
        <v/>
      </c>
      <c r="O74" s="81"/>
      <c r="P74" s="81" t="str">
        <f t="shared" si="138"/>
        <v/>
      </c>
      <c r="Q74" s="81"/>
      <c r="R74" s="7" t="str">
        <f t="shared" si="139"/>
        <v/>
      </c>
      <c r="S74" s="25"/>
      <c r="T74" s="7" t="str">
        <f t="shared" si="140"/>
        <v/>
      </c>
      <c r="U74" s="25"/>
      <c r="V74" s="7" t="str">
        <f t="shared" si="141"/>
        <v/>
      </c>
      <c r="W74" s="25"/>
      <c r="X74" s="7" t="str">
        <f t="shared" si="142"/>
        <v/>
      </c>
      <c r="Y74" s="18" t="str">
        <f t="shared" si="143"/>
        <v/>
      </c>
      <c r="Z74" s="7" t="str">
        <f t="shared" si="144"/>
        <v/>
      </c>
      <c r="AA74" s="18" t="str">
        <f t="shared" si="145"/>
        <v/>
      </c>
      <c r="AB74" s="19" t="str">
        <f t="shared" si="146"/>
        <v/>
      </c>
      <c r="AC74" s="26"/>
      <c r="AD74" s="26"/>
      <c r="AE74" s="25"/>
      <c r="AF74" s="26"/>
      <c r="AG74" s="25"/>
      <c r="AH74" s="25"/>
      <c r="AI74" s="18" t="str">
        <f t="shared" si="83"/>
        <v/>
      </c>
      <c r="AJ74" s="25"/>
      <c r="AK74" s="18" t="str">
        <f t="shared" si="84"/>
        <v/>
      </c>
      <c r="AL74" s="79"/>
      <c r="AM74" s="126" t="str">
        <f t="shared" si="85"/>
        <v/>
      </c>
      <c r="AN74" s="128" t="str">
        <f>IF(AP74&lt;&gt;"",VLOOKUP($P74&amp;" | "&amp;AN$6,'Job Master'!$F$12:$J$102,5,0),"")</f>
        <v/>
      </c>
      <c r="AO74" s="19" t="str">
        <f>IF(AP74&lt;&gt;"",VLOOKUP($P74&amp;" | "&amp;AN$6,'Job Master'!$F$12:$J$102,3,0),"")</f>
        <v/>
      </c>
      <c r="AP74" s="19" t="str">
        <f>IFERROR(IF(AND(AW74&lt;&gt;"",VLOOKUP($P74&amp;" | "&amp;AN$6,'Job Master'!$F$12:$I$102,4,0)&lt;&gt;""),IF(WEEKDAY(AW74-VLOOKUP($P74&amp;" | "&amp;AN$6,'Job Master'!$F$12:$I$102,4,0))&lt;&gt;7,AW74-VLOOKUP($P74&amp;" | "&amp;AN$6,'Job Master'!$F$12:$I$102,4,0),AW74-VLOOKUP($P74&amp;" | "&amp;AN$6,'Job Master'!$F$12:$I$102,4,0)-1),""),"")</f>
        <v/>
      </c>
      <c r="AQ74" s="73"/>
      <c r="AR74" s="123" t="str">
        <f t="shared" si="147"/>
        <v/>
      </c>
      <c r="AS74" s="123" t="str">
        <f t="shared" si="148"/>
        <v/>
      </c>
      <c r="AT74" s="97" t="str">
        <f t="shared" ca="1" si="149"/>
        <v/>
      </c>
      <c r="AU74" s="98" t="str">
        <f>IF(AW74&lt;&gt;"",VLOOKUP($P74&amp;" | "&amp;AU$6,'Job Master'!$F$12:$J$102,5,0),"")</f>
        <v/>
      </c>
      <c r="AV74" s="19" t="str">
        <f>IF(AW74&lt;&gt;"",VLOOKUP($P74&amp;" | "&amp;AU$6,'Job Master'!$F$12:$J$102,3,0),"")</f>
        <v/>
      </c>
      <c r="AW74" s="19" t="str">
        <f>IFERROR(IF(AND(BD74&lt;&gt;"",VLOOKUP($P74&amp;" | "&amp;AU$6,'Job Master'!$F$12:$I$102,4,0)&lt;&gt;""),IF(WEEKDAY(BD74-VLOOKUP($P74&amp;" | "&amp;AU$6,'Job Master'!$F$12:$I$102,4,0))&lt;&gt;7,BD74-VLOOKUP($P74&amp;" | "&amp;AU$6,'Job Master'!$F$12:$I$102,4,0),BD74-VLOOKUP($P74&amp;" | "&amp;AU$6,'Job Master'!$F$12:$I$102,4,0)-1),""),"")</f>
        <v/>
      </c>
      <c r="AX74" s="73"/>
      <c r="AY74" s="123" t="str">
        <f t="shared" si="150"/>
        <v/>
      </c>
      <c r="AZ74" s="123" t="str">
        <f t="shared" si="151"/>
        <v/>
      </c>
      <c r="BA74" s="97" t="str">
        <f t="shared" ca="1" si="152"/>
        <v/>
      </c>
      <c r="BB74" s="98" t="str">
        <f>IF(BD74&lt;&gt;"",VLOOKUP($P74&amp;" | "&amp;BB$6,'Job Master'!$F$12:$J$102,5,0),"")</f>
        <v/>
      </c>
      <c r="BC74" s="19" t="str">
        <f>IF(BD74&lt;&gt;"",VLOOKUP($P74&amp;" | "&amp;BB$6,'Job Master'!$F$12:$J$102,3,0),"")</f>
        <v/>
      </c>
      <c r="BD74" s="19" t="str">
        <f>IFERROR(IF(AND(BK74&lt;&gt;"",VLOOKUP($P74&amp;" | "&amp;BB$6,'Job Master'!$F$12:$I$102,4,0)&lt;&gt;""),IF(WEEKDAY(BK74-VLOOKUP($P74&amp;" | "&amp;BB$6,'Job Master'!$F$12:$I$102,4,0))&lt;&gt;7,BK74-VLOOKUP($P74&amp;" | "&amp;BB$6,'Job Master'!$F$12:$I$102,4,0),BK74-VLOOKUP($P74&amp;" | "&amp;BB$6,'Job Master'!$F$12:$I$102,4,0)-1),""),"")</f>
        <v/>
      </c>
      <c r="BE74" s="73"/>
      <c r="BF74" s="123" t="str">
        <f t="shared" si="153"/>
        <v/>
      </c>
      <c r="BG74" s="123" t="str">
        <f t="shared" si="154"/>
        <v/>
      </c>
      <c r="BH74" s="97" t="str">
        <f t="shared" ca="1" si="155"/>
        <v/>
      </c>
      <c r="BI74" s="98" t="str">
        <f>IF(BK74&lt;&gt;"",VLOOKUP($P74&amp;" | "&amp;BI$6,'Job Master'!$F$12:$J$102,5,0),"")</f>
        <v/>
      </c>
      <c r="BJ74" s="19" t="str">
        <f>IF(BK74&lt;&gt;"",VLOOKUP($P74&amp;" | "&amp;BI$6,'Job Master'!$F$12:$J$102,3,0),"")</f>
        <v/>
      </c>
      <c r="BK74" s="19" t="str">
        <f>IFERROR(IF(AND(BR74&lt;&gt;"",VLOOKUP($P74&amp;" | "&amp;BI$6,'Job Master'!$F$12:$I$102,4,0)&lt;&gt;""),IF(WEEKDAY(BR74-VLOOKUP($P74&amp;" | "&amp;BI$6,'Job Master'!$F$12:$I$102,4,0))&lt;&gt;7,BR74-VLOOKUP($P74&amp;" | "&amp;BI$6,'Job Master'!$F$12:$I$102,4,0),BR74-VLOOKUP($P74&amp;" | "&amp;BI$6,'Job Master'!$F$12:$I$102,4,0)-1),""),"")</f>
        <v/>
      </c>
      <c r="BL74" s="73"/>
      <c r="BM74" s="123" t="str">
        <f t="shared" si="156"/>
        <v/>
      </c>
      <c r="BN74" s="123" t="str">
        <f t="shared" si="157"/>
        <v/>
      </c>
      <c r="BO74" s="97" t="str">
        <f t="shared" ca="1" si="158"/>
        <v/>
      </c>
      <c r="BP74" s="98" t="str">
        <f>IF(BR74&lt;&gt;"",VLOOKUP($P74&amp;" | "&amp;BP$6,'Job Master'!$F$12:$J$102,5,0),"")</f>
        <v/>
      </c>
      <c r="BQ74" s="19" t="str">
        <f>IF(BR74&lt;&gt;"",VLOOKUP($P74&amp;" | "&amp;BP$6,'Job Master'!$F$12:$J$102,3,0),"")</f>
        <v/>
      </c>
      <c r="BR74" s="19" t="str">
        <f>IFERROR(IF(AND(BY74&lt;&gt;"",VLOOKUP($P74&amp;" | "&amp;BP$6,'Job Master'!$F$12:$I$102,4,0)&lt;&gt;""),IF(WEEKDAY(BY74-VLOOKUP($P74&amp;" | "&amp;BP$6,'Job Master'!$F$12:$I$102,4,0))&lt;&gt;7,BY74-VLOOKUP($P74&amp;" | "&amp;BP$6,'Job Master'!$F$12:$I$102,4,0),BY74-VLOOKUP($P74&amp;" | "&amp;BP$6,'Job Master'!$F$12:$I$102,4,0)-1),""),"")</f>
        <v/>
      </c>
      <c r="BS74" s="73"/>
      <c r="BT74" s="123" t="str">
        <f t="shared" si="159"/>
        <v/>
      </c>
      <c r="BU74" s="123" t="str">
        <f t="shared" si="160"/>
        <v/>
      </c>
      <c r="BV74" s="97" t="str">
        <f t="shared" ca="1" si="161"/>
        <v/>
      </c>
      <c r="BW74" s="98" t="str">
        <f>IF(BY74&lt;&gt;"",VLOOKUP($P74&amp;" | "&amp;BW$6,'Job Master'!$F$12:$J$102,5,0),"")</f>
        <v/>
      </c>
      <c r="BX74" s="19" t="str">
        <f>IF(BY74&lt;&gt;"",VLOOKUP($P74&amp;" | "&amp;BW$6,'Job Master'!$F$12:$J$102,3,0),"")</f>
        <v/>
      </c>
      <c r="BY74" s="19" t="str">
        <f>IFERROR(IF(AND(CF74&lt;&gt;"",VLOOKUP($P74&amp;" | "&amp;BW$6,'Job Master'!$F$12:$I$102,4,0)&lt;&gt;""),IF(WEEKDAY(CF74-VLOOKUP($P74&amp;" | "&amp;BW$6,'Job Master'!$F$12:$I$102,4,0))&lt;&gt;7,CF74-VLOOKUP($P74&amp;" | "&amp;BW$6,'Job Master'!$F$12:$I$102,4,0),CF74-VLOOKUP($P74&amp;" | "&amp;BW$6,'Job Master'!$F$12:$I$102,4,0)-1),""),"")</f>
        <v/>
      </c>
      <c r="BZ74" s="73"/>
      <c r="CA74" s="123" t="str">
        <f t="shared" si="162"/>
        <v/>
      </c>
      <c r="CB74" s="123" t="str">
        <f t="shared" si="163"/>
        <v/>
      </c>
      <c r="CC74" s="97" t="str">
        <f t="shared" ca="1" si="164"/>
        <v/>
      </c>
      <c r="CD74" s="98" t="str">
        <f>IF(CF74&lt;&gt;"",VLOOKUP($P74&amp;" | "&amp;CD$6,'Job Master'!$F$12:$J$102,5,0),"")</f>
        <v/>
      </c>
      <c r="CE74" s="19" t="str">
        <f>IF(CF74&lt;&gt;"",VLOOKUP($P74&amp;" | "&amp;CD$6,'Job Master'!$F$12:$J$102,3,0),"")</f>
        <v/>
      </c>
      <c r="CF74" s="19" t="str">
        <f>IFERROR(IF(AND(CM74&lt;&gt;"",VLOOKUP($P74&amp;" | "&amp;CD$6,'Job Master'!$F$12:$I$102,4,0)&lt;&gt;""),IF(WEEKDAY(CM74-VLOOKUP($P74&amp;" | "&amp;CD$6,'Job Master'!$F$12:$I$102,4,0))&lt;&gt;7,CM74-VLOOKUP($P74&amp;" | "&amp;CD$6,'Job Master'!$F$12:$I$102,4,0),CM74-VLOOKUP($P74&amp;" | "&amp;CD$6,'Job Master'!$F$12:$I$102,4,0)-1),""),"")</f>
        <v/>
      </c>
      <c r="CG74" s="73"/>
      <c r="CH74" s="123" t="str">
        <f t="shared" si="165"/>
        <v/>
      </c>
      <c r="CI74" s="123" t="str">
        <f t="shared" si="166"/>
        <v/>
      </c>
      <c r="CJ74" s="97" t="str">
        <f t="shared" ca="1" si="167"/>
        <v/>
      </c>
      <c r="CK74" s="98" t="str">
        <f>IF(CM74&lt;&gt;"",VLOOKUP($P74&amp;" | "&amp;CK$6,'Job Master'!$F$12:$J$102,5,0),"")</f>
        <v/>
      </c>
      <c r="CL74" s="19" t="str">
        <f>IF(CM74&lt;&gt;"",VLOOKUP($P74&amp;" | "&amp;CK$6,'Job Master'!$F$12:$J$102,3,0),"")</f>
        <v/>
      </c>
      <c r="CM74" s="19" t="str">
        <f>IFERROR(IF(AND(CT74&lt;&gt;"",VLOOKUP($P74&amp;" | "&amp;CK$6,'Job Master'!$F$12:$I$102,4,0)&lt;&gt;""),IF(WEEKDAY(CT74-VLOOKUP($P74&amp;" | "&amp;CK$6,'Job Master'!$F$12:$I$102,4,0))&lt;&gt;7,CT74-VLOOKUP($P74&amp;" | "&amp;CK$6,'Job Master'!$F$12:$I$102,4,0),CT74-VLOOKUP($P74&amp;" | "&amp;CK$6,'Job Master'!$F$12:$I$102,4,0)-1),""),"")</f>
        <v/>
      </c>
      <c r="CN74" s="73"/>
      <c r="CO74" s="123" t="str">
        <f t="shared" si="168"/>
        <v/>
      </c>
      <c r="CP74" s="123" t="str">
        <f t="shared" si="169"/>
        <v/>
      </c>
      <c r="CQ74" s="97" t="str">
        <f t="shared" ca="1" si="170"/>
        <v/>
      </c>
      <c r="CR74" s="98" t="str">
        <f>IF(CT74&lt;&gt;"",VLOOKUP($P74&amp;" | "&amp;CR$6,'Job Master'!$F$12:$J$102,5,0),"")</f>
        <v/>
      </c>
      <c r="CS74" s="19" t="str">
        <f>IF(CT74&lt;&gt;"",VLOOKUP($P74&amp;" | "&amp;CR$6,'Job Master'!$F$12:$J$102,3,0),"")</f>
        <v/>
      </c>
      <c r="CT74" s="19" t="str">
        <f>IFERROR(IF(AND(DA74&lt;&gt;"",VLOOKUP($P74&amp;" | "&amp;CR$6,'Job Master'!$F$12:$I$102,4,0)&lt;&gt;""),IF(WEEKDAY(DA74-VLOOKUP($P74&amp;" | "&amp;CR$6,'Job Master'!$F$12:$I$102,4,0))&lt;&gt;7,DA74-VLOOKUP($P74&amp;" | "&amp;CR$6,'Job Master'!$F$12:$I$102,4,0),DA74-VLOOKUP($P74&amp;" | "&amp;CR$6,'Job Master'!$F$12:$I$102,4,0)-1),""),"")</f>
        <v/>
      </c>
      <c r="CU74" s="73"/>
      <c r="CV74" s="123" t="str">
        <f t="shared" si="171"/>
        <v/>
      </c>
      <c r="CW74" s="123" t="str">
        <f t="shared" si="172"/>
        <v/>
      </c>
      <c r="CX74" s="97" t="str">
        <f t="shared" ca="1" si="173"/>
        <v/>
      </c>
      <c r="CY74" s="98" t="str">
        <f>IF(DA74&lt;&gt;"",VLOOKUP($P74&amp;" | "&amp;CY$6,'Job Master'!$F$12:$J$102,5,0),"")</f>
        <v/>
      </c>
      <c r="CZ74" s="19" t="str">
        <f>IF(DA74&lt;&gt;"",VLOOKUP($P74&amp;" | "&amp;CY$6,'Job Master'!$F$12:$J$102,3,0),"")</f>
        <v/>
      </c>
      <c r="DA74" s="19" t="str">
        <f>IFERROR(IF(AND(DH74&lt;&gt;"",VLOOKUP($P74&amp;" | "&amp;CY$6,'Job Master'!$F$12:$I$102,4,0)&lt;&gt;""),IF(WEEKDAY(DH74-VLOOKUP($P74&amp;" | "&amp;CY$6,'Job Master'!$F$12:$I$102,4,0))&lt;&gt;7,DH74-VLOOKUP($P74&amp;" | "&amp;CY$6,'Job Master'!$F$12:$I$102,4,0),DH74-VLOOKUP($P74&amp;" | "&amp;CY$6,'Job Master'!$F$12:$I$102,4,0)-1),""),"")</f>
        <v/>
      </c>
      <c r="DB74" s="73"/>
      <c r="DC74" s="123" t="str">
        <f t="shared" si="174"/>
        <v/>
      </c>
      <c r="DD74" s="123" t="str">
        <f t="shared" si="175"/>
        <v/>
      </c>
      <c r="DE74" s="97" t="str">
        <f t="shared" ca="1" si="176"/>
        <v/>
      </c>
      <c r="DF74" s="98" t="str">
        <f>IF(DH74&lt;&gt;"",VLOOKUP($P74&amp;" | "&amp;DF$6,'Job Master'!$F$12:$J$102,5,0),"")</f>
        <v/>
      </c>
      <c r="DG74" s="19" t="str">
        <f>IF(DH74&lt;&gt;"",VLOOKUP($P74&amp;" | "&amp;DF$6,'Job Master'!$F$12:$J$102,3,0),"")</f>
        <v/>
      </c>
      <c r="DH74" s="19" t="str">
        <f>IFERROR(IF(AND(DO74&lt;&gt;"",VLOOKUP($P74&amp;" | "&amp;DF$6,'Job Master'!$F$12:$I$102,4,0)&lt;&gt;""),IF(WEEKDAY(DO74-VLOOKUP($P74&amp;" | "&amp;DF$6,'Job Master'!$F$12:$I$102,4,0))&lt;&gt;7,DO74-VLOOKUP($P74&amp;" | "&amp;DF$6,'Job Master'!$F$12:$I$102,4,0),DO74-VLOOKUP($P74&amp;" | "&amp;DF$6,'Job Master'!$F$12:$I$102,4,0)-1),""),"")</f>
        <v/>
      </c>
      <c r="DI74" s="73"/>
      <c r="DJ74" s="123" t="str">
        <f t="shared" si="177"/>
        <v/>
      </c>
      <c r="DK74" s="123" t="str">
        <f t="shared" si="178"/>
        <v/>
      </c>
      <c r="DL74" s="97" t="str">
        <f t="shared" ca="1" si="179"/>
        <v/>
      </c>
      <c r="DM74" s="98" t="str">
        <f>IF(DO74&lt;&gt;"",VLOOKUP($P74&amp;" | "&amp;DM$6,'Job Master'!$F$12:$J$102,5,0),"")</f>
        <v/>
      </c>
      <c r="DN74" s="19" t="str">
        <f>IF(DO74&lt;&gt;"",VLOOKUP($P74&amp;" | "&amp;DM$6,'Job Master'!$F$12:$J$102,3,0),"")</f>
        <v/>
      </c>
      <c r="DO74" s="19" t="str">
        <f>IFERROR(IF(AND(DT74&lt;&gt;"",VLOOKUP($P74&amp;" | "&amp;DM$6,'Job Master'!$F$12:$I$102,4,0)&lt;&gt;""),IF(WEEKDAY(DT74-VLOOKUP($P74&amp;" | "&amp;DM$6,'Job Master'!$F$12:$I$102,4,0))&lt;&gt;7,DT74-VLOOKUP($P74&amp;" | "&amp;DM$6,'Job Master'!$F$12:$I$102,4,0),DT74-VLOOKUP($P74&amp;" | "&amp;DM$6,'Job Master'!$F$12:$I$102,4,0)-1),""),"")</f>
        <v/>
      </c>
      <c r="DP74" s="73"/>
      <c r="DQ74" s="123" t="str">
        <f t="shared" si="180"/>
        <v/>
      </c>
      <c r="DR74" s="123" t="str">
        <f t="shared" si="181"/>
        <v/>
      </c>
      <c r="DS74" s="97" t="str">
        <f t="shared" ca="1" si="182"/>
        <v/>
      </c>
      <c r="DT74" s="70" t="str">
        <f t="shared" si="183"/>
        <v/>
      </c>
      <c r="DU74" s="90"/>
      <c r="DV74" s="123" t="str">
        <f t="shared" si="184"/>
        <v/>
      </c>
      <c r="DW74" s="123" t="str">
        <f t="shared" si="185"/>
        <v/>
      </c>
      <c r="DX74" s="132" t="str">
        <f t="shared" ref="DX74" ca="1" si="188">IF(DT74&lt;&gt;"",IF(WEEKNUM(DT74)=WEEKNUM(TODAY()),"This Week",IF(WEEKNUM(DT74)=WEEKNUM(TODAY())+1,"Next Week",IF(WEEKNUM(DT74)=WEEKNUM(TODAY())-1,"Previous Week",""))),"")</f>
        <v/>
      </c>
      <c r="DY74" s="134" t="str">
        <f t="shared" si="187"/>
        <v/>
      </c>
      <c r="DZ74" s="95"/>
      <c r="EB74" s="8" t="str">
        <f t="shared" si="67"/>
        <v/>
      </c>
      <c r="EC74" s="8" t="str">
        <f>IF(O74&lt;&gt;"",VLOOKUP(O74,'Job Master'!$N$12:$O$18,2,0),"")</f>
        <v/>
      </c>
      <c r="ED74" s="8">
        <f t="shared" si="68"/>
        <v>19.5</v>
      </c>
      <c r="EE74" s="8">
        <f t="shared" si="69"/>
        <v>6</v>
      </c>
      <c r="EF74" s="8">
        <f t="shared" si="70"/>
        <v>-364.5</v>
      </c>
      <c r="EG74" s="8" t="str">
        <f t="shared" si="71"/>
        <v/>
      </c>
      <c r="EH74" s="8" t="str">
        <f t="shared" si="72"/>
        <v/>
      </c>
    </row>
    <row r="75" spans="2:138" x14ac:dyDescent="0.3">
      <c r="B75" s="112"/>
      <c r="C75" s="27"/>
      <c r="D75" s="7" t="str">
        <f t="shared" si="135"/>
        <v/>
      </c>
      <c r="E75" s="25"/>
      <c r="F75" s="7" t="str">
        <f t="shared" si="135"/>
        <v/>
      </c>
      <c r="G75" s="25"/>
      <c r="H75" s="7" t="str">
        <f t="shared" si="135"/>
        <v/>
      </c>
      <c r="I75" s="25"/>
      <c r="J75" s="7" t="str">
        <f t="shared" si="135"/>
        <v/>
      </c>
      <c r="K75" s="25"/>
      <c r="L75" s="7" t="str">
        <f t="shared" si="136"/>
        <v/>
      </c>
      <c r="M75" s="25"/>
      <c r="N75" s="7" t="str">
        <f t="shared" si="137"/>
        <v/>
      </c>
      <c r="O75" s="81"/>
      <c r="P75" s="81" t="str">
        <f t="shared" si="138"/>
        <v/>
      </c>
      <c r="Q75" s="81"/>
      <c r="R75" s="7" t="str">
        <f t="shared" si="139"/>
        <v/>
      </c>
      <c r="S75" s="25"/>
      <c r="T75" s="7" t="str">
        <f t="shared" si="140"/>
        <v/>
      </c>
      <c r="U75" s="25"/>
      <c r="V75" s="7" t="str">
        <f t="shared" si="141"/>
        <v/>
      </c>
      <c r="W75" s="25"/>
      <c r="X75" s="7" t="str">
        <f t="shared" si="142"/>
        <v/>
      </c>
      <c r="Y75" s="18" t="str">
        <f t="shared" si="143"/>
        <v/>
      </c>
      <c r="Z75" s="7" t="str">
        <f t="shared" si="144"/>
        <v/>
      </c>
      <c r="AA75" s="18" t="str">
        <f t="shared" si="145"/>
        <v/>
      </c>
      <c r="AB75" s="19" t="str">
        <f t="shared" si="146"/>
        <v/>
      </c>
      <c r="AC75" s="26"/>
      <c r="AD75" s="26"/>
      <c r="AE75" s="25"/>
      <c r="AF75" s="26"/>
      <c r="AG75" s="25"/>
      <c r="AH75" s="25"/>
      <c r="AI75" s="18" t="str">
        <f t="shared" si="83"/>
        <v/>
      </c>
      <c r="AJ75" s="25"/>
      <c r="AK75" s="18" t="str">
        <f t="shared" si="84"/>
        <v/>
      </c>
      <c r="AL75" s="79"/>
      <c r="AM75" s="126" t="str">
        <f t="shared" si="85"/>
        <v/>
      </c>
      <c r="AN75" s="128" t="str">
        <f>IF(AP75&lt;&gt;"",VLOOKUP($P75&amp;" | "&amp;AN$6,'Job Master'!$F$12:$J$102,5,0),"")</f>
        <v/>
      </c>
      <c r="AO75" s="19" t="str">
        <f>IF(AP75&lt;&gt;"",VLOOKUP($P75&amp;" | "&amp;AN$6,'Job Master'!$F$12:$J$102,3,0),"")</f>
        <v/>
      </c>
      <c r="AP75" s="19" t="str">
        <f>IFERROR(IF(AND(AW75&lt;&gt;"",VLOOKUP($P75&amp;" | "&amp;AN$6,'Job Master'!$F$12:$I$102,4,0)&lt;&gt;""),IF(WEEKDAY(AW75-VLOOKUP($P75&amp;" | "&amp;AN$6,'Job Master'!$F$12:$I$102,4,0))&lt;&gt;7,AW75-VLOOKUP($P75&amp;" | "&amp;AN$6,'Job Master'!$F$12:$I$102,4,0),AW75-VLOOKUP($P75&amp;" | "&amp;AN$6,'Job Master'!$F$12:$I$102,4,0)-1),""),"")</f>
        <v/>
      </c>
      <c r="AQ75" s="73"/>
      <c r="AR75" s="123" t="str">
        <f t="shared" si="147"/>
        <v/>
      </c>
      <c r="AS75" s="123" t="str">
        <f t="shared" si="148"/>
        <v/>
      </c>
      <c r="AT75" s="97" t="str">
        <f t="shared" ca="1" si="149"/>
        <v/>
      </c>
      <c r="AU75" s="98" t="str">
        <f>IF(AW75&lt;&gt;"",VLOOKUP($P75&amp;" | "&amp;AU$6,'Job Master'!$F$12:$J$102,5,0),"")</f>
        <v/>
      </c>
      <c r="AV75" s="19" t="str">
        <f>IF(AW75&lt;&gt;"",VLOOKUP($P75&amp;" | "&amp;AU$6,'Job Master'!$F$12:$J$102,3,0),"")</f>
        <v/>
      </c>
      <c r="AW75" s="19" t="str">
        <f>IFERROR(IF(AND(BD75&lt;&gt;"",VLOOKUP($P75&amp;" | "&amp;AU$6,'Job Master'!$F$12:$I$102,4,0)&lt;&gt;""),IF(WEEKDAY(BD75-VLOOKUP($P75&amp;" | "&amp;AU$6,'Job Master'!$F$12:$I$102,4,0))&lt;&gt;7,BD75-VLOOKUP($P75&amp;" | "&amp;AU$6,'Job Master'!$F$12:$I$102,4,0),BD75-VLOOKUP($P75&amp;" | "&amp;AU$6,'Job Master'!$F$12:$I$102,4,0)-1),""),"")</f>
        <v/>
      </c>
      <c r="AX75" s="73"/>
      <c r="AY75" s="123" t="str">
        <f t="shared" si="150"/>
        <v/>
      </c>
      <c r="AZ75" s="123" t="str">
        <f t="shared" si="151"/>
        <v/>
      </c>
      <c r="BA75" s="97" t="str">
        <f t="shared" ca="1" si="152"/>
        <v/>
      </c>
      <c r="BB75" s="98" t="str">
        <f>IF(BD75&lt;&gt;"",VLOOKUP($P75&amp;" | "&amp;BB$6,'Job Master'!$F$12:$J$102,5,0),"")</f>
        <v/>
      </c>
      <c r="BC75" s="19" t="str">
        <f>IF(BD75&lt;&gt;"",VLOOKUP($P75&amp;" | "&amp;BB$6,'Job Master'!$F$12:$J$102,3,0),"")</f>
        <v/>
      </c>
      <c r="BD75" s="19" t="str">
        <f>IFERROR(IF(AND(BK75&lt;&gt;"",VLOOKUP($P75&amp;" | "&amp;BB$6,'Job Master'!$F$12:$I$102,4,0)&lt;&gt;""),IF(WEEKDAY(BK75-VLOOKUP($P75&amp;" | "&amp;BB$6,'Job Master'!$F$12:$I$102,4,0))&lt;&gt;7,BK75-VLOOKUP($P75&amp;" | "&amp;BB$6,'Job Master'!$F$12:$I$102,4,0),BK75-VLOOKUP($P75&amp;" | "&amp;BB$6,'Job Master'!$F$12:$I$102,4,0)-1),""),"")</f>
        <v/>
      </c>
      <c r="BE75" s="73"/>
      <c r="BF75" s="123" t="str">
        <f t="shared" si="153"/>
        <v/>
      </c>
      <c r="BG75" s="123" t="str">
        <f t="shared" si="154"/>
        <v/>
      </c>
      <c r="BH75" s="97" t="str">
        <f t="shared" ca="1" si="155"/>
        <v/>
      </c>
      <c r="BI75" s="98" t="str">
        <f>IF(BK75&lt;&gt;"",VLOOKUP($P75&amp;" | "&amp;BI$6,'Job Master'!$F$12:$J$102,5,0),"")</f>
        <v/>
      </c>
      <c r="BJ75" s="19" t="str">
        <f>IF(BK75&lt;&gt;"",VLOOKUP($P75&amp;" | "&amp;BI$6,'Job Master'!$F$12:$J$102,3,0),"")</f>
        <v/>
      </c>
      <c r="BK75" s="19" t="str">
        <f>IFERROR(IF(AND(BR75&lt;&gt;"",VLOOKUP($P75&amp;" | "&amp;BI$6,'Job Master'!$F$12:$I$102,4,0)&lt;&gt;""),IF(WEEKDAY(BR75-VLOOKUP($P75&amp;" | "&amp;BI$6,'Job Master'!$F$12:$I$102,4,0))&lt;&gt;7,BR75-VLOOKUP($P75&amp;" | "&amp;BI$6,'Job Master'!$F$12:$I$102,4,0),BR75-VLOOKUP($P75&amp;" | "&amp;BI$6,'Job Master'!$F$12:$I$102,4,0)-1),""),"")</f>
        <v/>
      </c>
      <c r="BL75" s="73"/>
      <c r="BM75" s="123" t="str">
        <f t="shared" si="156"/>
        <v/>
      </c>
      <c r="BN75" s="123" t="str">
        <f t="shared" si="157"/>
        <v/>
      </c>
      <c r="BO75" s="97" t="str">
        <f t="shared" ca="1" si="158"/>
        <v/>
      </c>
      <c r="BP75" s="98" t="str">
        <f>IF(BR75&lt;&gt;"",VLOOKUP($P75&amp;" | "&amp;BP$6,'Job Master'!$F$12:$J$102,5,0),"")</f>
        <v/>
      </c>
      <c r="BQ75" s="19" t="str">
        <f>IF(BR75&lt;&gt;"",VLOOKUP($P75&amp;" | "&amp;BP$6,'Job Master'!$F$12:$J$102,3,0),"")</f>
        <v/>
      </c>
      <c r="BR75" s="19" t="str">
        <f>IFERROR(IF(AND(BY75&lt;&gt;"",VLOOKUP($P75&amp;" | "&amp;BP$6,'Job Master'!$F$12:$I$102,4,0)&lt;&gt;""),IF(WEEKDAY(BY75-VLOOKUP($P75&amp;" | "&amp;BP$6,'Job Master'!$F$12:$I$102,4,0))&lt;&gt;7,BY75-VLOOKUP($P75&amp;" | "&amp;BP$6,'Job Master'!$F$12:$I$102,4,0),BY75-VLOOKUP($P75&amp;" | "&amp;BP$6,'Job Master'!$F$12:$I$102,4,0)-1),""),"")</f>
        <v/>
      </c>
      <c r="BS75" s="73"/>
      <c r="BT75" s="123" t="str">
        <f t="shared" si="159"/>
        <v/>
      </c>
      <c r="BU75" s="123" t="str">
        <f t="shared" si="160"/>
        <v/>
      </c>
      <c r="BV75" s="97" t="str">
        <f t="shared" ca="1" si="161"/>
        <v/>
      </c>
      <c r="BW75" s="98" t="str">
        <f>IF(BY75&lt;&gt;"",VLOOKUP($P75&amp;" | "&amp;BW$6,'Job Master'!$F$12:$J$102,5,0),"")</f>
        <v/>
      </c>
      <c r="BX75" s="19" t="str">
        <f>IF(BY75&lt;&gt;"",VLOOKUP($P75&amp;" | "&amp;BW$6,'Job Master'!$F$12:$J$102,3,0),"")</f>
        <v/>
      </c>
      <c r="BY75" s="19" t="str">
        <f>IFERROR(IF(AND(CF75&lt;&gt;"",VLOOKUP($P75&amp;" | "&amp;BW$6,'Job Master'!$F$12:$I$102,4,0)&lt;&gt;""),IF(WEEKDAY(CF75-VLOOKUP($P75&amp;" | "&amp;BW$6,'Job Master'!$F$12:$I$102,4,0))&lt;&gt;7,CF75-VLOOKUP($P75&amp;" | "&amp;BW$6,'Job Master'!$F$12:$I$102,4,0),CF75-VLOOKUP($P75&amp;" | "&amp;BW$6,'Job Master'!$F$12:$I$102,4,0)-1),""),"")</f>
        <v/>
      </c>
      <c r="BZ75" s="73"/>
      <c r="CA75" s="123" t="str">
        <f t="shared" si="162"/>
        <v/>
      </c>
      <c r="CB75" s="123" t="str">
        <f t="shared" si="163"/>
        <v/>
      </c>
      <c r="CC75" s="97" t="str">
        <f t="shared" ca="1" si="164"/>
        <v/>
      </c>
      <c r="CD75" s="98" t="str">
        <f>IF(CF75&lt;&gt;"",VLOOKUP($P75&amp;" | "&amp;CD$6,'Job Master'!$F$12:$J$102,5,0),"")</f>
        <v/>
      </c>
      <c r="CE75" s="19" t="str">
        <f>IF(CF75&lt;&gt;"",VLOOKUP($P75&amp;" | "&amp;CD$6,'Job Master'!$F$12:$J$102,3,0),"")</f>
        <v/>
      </c>
      <c r="CF75" s="19" t="str">
        <f>IFERROR(IF(AND(CM75&lt;&gt;"",VLOOKUP($P75&amp;" | "&amp;CD$6,'Job Master'!$F$12:$I$102,4,0)&lt;&gt;""),IF(WEEKDAY(CM75-VLOOKUP($P75&amp;" | "&amp;CD$6,'Job Master'!$F$12:$I$102,4,0))&lt;&gt;7,CM75-VLOOKUP($P75&amp;" | "&amp;CD$6,'Job Master'!$F$12:$I$102,4,0),CM75-VLOOKUP($P75&amp;" | "&amp;CD$6,'Job Master'!$F$12:$I$102,4,0)-1),""),"")</f>
        <v/>
      </c>
      <c r="CG75" s="73"/>
      <c r="CH75" s="123" t="str">
        <f t="shared" si="165"/>
        <v/>
      </c>
      <c r="CI75" s="123" t="str">
        <f t="shared" si="166"/>
        <v/>
      </c>
      <c r="CJ75" s="97" t="str">
        <f t="shared" ca="1" si="167"/>
        <v/>
      </c>
      <c r="CK75" s="98" t="str">
        <f>IF(CM75&lt;&gt;"",VLOOKUP($P75&amp;" | "&amp;CK$6,'Job Master'!$F$12:$J$102,5,0),"")</f>
        <v/>
      </c>
      <c r="CL75" s="19" t="str">
        <f>IF(CM75&lt;&gt;"",VLOOKUP($P75&amp;" | "&amp;CK$6,'Job Master'!$F$12:$J$102,3,0),"")</f>
        <v/>
      </c>
      <c r="CM75" s="19" t="str">
        <f>IFERROR(IF(AND(CT75&lt;&gt;"",VLOOKUP($P75&amp;" | "&amp;CK$6,'Job Master'!$F$12:$I$102,4,0)&lt;&gt;""),IF(WEEKDAY(CT75-VLOOKUP($P75&amp;" | "&amp;CK$6,'Job Master'!$F$12:$I$102,4,0))&lt;&gt;7,CT75-VLOOKUP($P75&amp;" | "&amp;CK$6,'Job Master'!$F$12:$I$102,4,0),CT75-VLOOKUP($P75&amp;" | "&amp;CK$6,'Job Master'!$F$12:$I$102,4,0)-1),""),"")</f>
        <v/>
      </c>
      <c r="CN75" s="73"/>
      <c r="CO75" s="123" t="str">
        <f t="shared" si="168"/>
        <v/>
      </c>
      <c r="CP75" s="123" t="str">
        <f t="shared" si="169"/>
        <v/>
      </c>
      <c r="CQ75" s="97" t="str">
        <f t="shared" ca="1" si="170"/>
        <v/>
      </c>
      <c r="CR75" s="98" t="str">
        <f>IF(CT75&lt;&gt;"",VLOOKUP($P75&amp;" | "&amp;CR$6,'Job Master'!$F$12:$J$102,5,0),"")</f>
        <v/>
      </c>
      <c r="CS75" s="19" t="str">
        <f>IF(CT75&lt;&gt;"",VLOOKUP($P75&amp;" | "&amp;CR$6,'Job Master'!$F$12:$J$102,3,0),"")</f>
        <v/>
      </c>
      <c r="CT75" s="19" t="str">
        <f>IFERROR(IF(AND(DA75&lt;&gt;"",VLOOKUP($P75&amp;" | "&amp;CR$6,'Job Master'!$F$12:$I$102,4,0)&lt;&gt;""),IF(WEEKDAY(DA75-VLOOKUP($P75&amp;" | "&amp;CR$6,'Job Master'!$F$12:$I$102,4,0))&lt;&gt;7,DA75-VLOOKUP($P75&amp;" | "&amp;CR$6,'Job Master'!$F$12:$I$102,4,0),DA75-VLOOKUP($P75&amp;" | "&amp;CR$6,'Job Master'!$F$12:$I$102,4,0)-1),""),"")</f>
        <v/>
      </c>
      <c r="CU75" s="73"/>
      <c r="CV75" s="123" t="str">
        <f t="shared" si="171"/>
        <v/>
      </c>
      <c r="CW75" s="123" t="str">
        <f t="shared" si="172"/>
        <v/>
      </c>
      <c r="CX75" s="97" t="str">
        <f t="shared" ca="1" si="173"/>
        <v/>
      </c>
      <c r="CY75" s="98" t="str">
        <f>IF(DA75&lt;&gt;"",VLOOKUP($P75&amp;" | "&amp;CY$6,'Job Master'!$F$12:$J$102,5,0),"")</f>
        <v/>
      </c>
      <c r="CZ75" s="19" t="str">
        <f>IF(DA75&lt;&gt;"",VLOOKUP($P75&amp;" | "&amp;CY$6,'Job Master'!$F$12:$J$102,3,0),"")</f>
        <v/>
      </c>
      <c r="DA75" s="19" t="str">
        <f>IFERROR(IF(AND(DH75&lt;&gt;"",VLOOKUP($P75&amp;" | "&amp;CY$6,'Job Master'!$F$12:$I$102,4,0)&lt;&gt;""),IF(WEEKDAY(DH75-VLOOKUP($P75&amp;" | "&amp;CY$6,'Job Master'!$F$12:$I$102,4,0))&lt;&gt;7,DH75-VLOOKUP($P75&amp;" | "&amp;CY$6,'Job Master'!$F$12:$I$102,4,0),DH75-VLOOKUP($P75&amp;" | "&amp;CY$6,'Job Master'!$F$12:$I$102,4,0)-1),""),"")</f>
        <v/>
      </c>
      <c r="DB75" s="73"/>
      <c r="DC75" s="123" t="str">
        <f t="shared" si="174"/>
        <v/>
      </c>
      <c r="DD75" s="123" t="str">
        <f t="shared" si="175"/>
        <v/>
      </c>
      <c r="DE75" s="97" t="str">
        <f t="shared" ca="1" si="176"/>
        <v/>
      </c>
      <c r="DF75" s="98" t="str">
        <f>IF(DH75&lt;&gt;"",VLOOKUP($P75&amp;" | "&amp;DF$6,'Job Master'!$F$12:$J$102,5,0),"")</f>
        <v/>
      </c>
      <c r="DG75" s="19" t="str">
        <f>IF(DH75&lt;&gt;"",VLOOKUP($P75&amp;" | "&amp;DF$6,'Job Master'!$F$12:$J$102,3,0),"")</f>
        <v/>
      </c>
      <c r="DH75" s="19" t="str">
        <f>IFERROR(IF(AND(DO75&lt;&gt;"",VLOOKUP($P75&amp;" | "&amp;DF$6,'Job Master'!$F$12:$I$102,4,0)&lt;&gt;""),IF(WEEKDAY(DO75-VLOOKUP($P75&amp;" | "&amp;DF$6,'Job Master'!$F$12:$I$102,4,0))&lt;&gt;7,DO75-VLOOKUP($P75&amp;" | "&amp;DF$6,'Job Master'!$F$12:$I$102,4,0),DO75-VLOOKUP($P75&amp;" | "&amp;DF$6,'Job Master'!$F$12:$I$102,4,0)-1),""),"")</f>
        <v/>
      </c>
      <c r="DI75" s="73"/>
      <c r="DJ75" s="123" t="str">
        <f t="shared" si="177"/>
        <v/>
      </c>
      <c r="DK75" s="123" t="str">
        <f t="shared" si="178"/>
        <v/>
      </c>
      <c r="DL75" s="97" t="str">
        <f t="shared" ca="1" si="179"/>
        <v/>
      </c>
      <c r="DM75" s="98" t="str">
        <f>IF(DO75&lt;&gt;"",VLOOKUP($P75&amp;" | "&amp;DM$6,'Job Master'!$F$12:$J$102,5,0),"")</f>
        <v/>
      </c>
      <c r="DN75" s="19" t="str">
        <f>IF(DO75&lt;&gt;"",VLOOKUP($P75&amp;" | "&amp;DM$6,'Job Master'!$F$12:$J$102,3,0),"")</f>
        <v/>
      </c>
      <c r="DO75" s="19" t="str">
        <f>IFERROR(IF(AND(DT75&lt;&gt;"",VLOOKUP($P75&amp;" | "&amp;DM$6,'Job Master'!$F$12:$I$102,4,0)&lt;&gt;""),IF(WEEKDAY(DT75-VLOOKUP($P75&amp;" | "&amp;DM$6,'Job Master'!$F$12:$I$102,4,0))&lt;&gt;7,DT75-VLOOKUP($P75&amp;" | "&amp;DM$6,'Job Master'!$F$12:$I$102,4,0),DT75-VLOOKUP($P75&amp;" | "&amp;DM$6,'Job Master'!$F$12:$I$102,4,0)-1),""),"")</f>
        <v/>
      </c>
      <c r="DP75" s="73"/>
      <c r="DQ75" s="123" t="str">
        <f t="shared" si="180"/>
        <v/>
      </c>
      <c r="DR75" s="123" t="str">
        <f t="shared" si="181"/>
        <v/>
      </c>
      <c r="DS75" s="97" t="str">
        <f t="shared" ca="1" si="182"/>
        <v/>
      </c>
      <c r="DT75" s="70" t="str">
        <f t="shared" si="183"/>
        <v/>
      </c>
      <c r="DU75" s="90"/>
      <c r="DV75" s="123" t="str">
        <f t="shared" si="184"/>
        <v/>
      </c>
      <c r="DW75" s="123" t="str">
        <f t="shared" si="185"/>
        <v/>
      </c>
      <c r="DX75" s="132" t="str">
        <f t="shared" ref="DX75" ca="1" si="189">IF(DT75&lt;&gt;"",IF(WEEKNUM(DT75)=WEEKNUM(TODAY()),"This Week",IF(WEEKNUM(DT75)=WEEKNUM(TODAY())+1,"Next Week",IF(WEEKNUM(DT75)=WEEKNUM(TODAY())-1,"Previous Week",""))),"")</f>
        <v/>
      </c>
      <c r="DY75" s="134" t="str">
        <f t="shared" si="187"/>
        <v/>
      </c>
      <c r="DZ75" s="95"/>
      <c r="EB75" s="8" t="str">
        <f t="shared" si="67"/>
        <v/>
      </c>
      <c r="EC75" s="8" t="str">
        <f>IF(O75&lt;&gt;"",VLOOKUP(O75,'Job Master'!$N$12:$O$18,2,0),"")</f>
        <v/>
      </c>
      <c r="ED75" s="8">
        <f t="shared" si="68"/>
        <v>19.5</v>
      </c>
      <c r="EE75" s="8">
        <f t="shared" si="69"/>
        <v>6</v>
      </c>
      <c r="EF75" s="8">
        <f t="shared" si="70"/>
        <v>-370.5</v>
      </c>
      <c r="EG75" s="8" t="str">
        <f t="shared" si="71"/>
        <v/>
      </c>
      <c r="EH75" s="8" t="str">
        <f t="shared" si="72"/>
        <v/>
      </c>
    </row>
    <row r="76" spans="2:138" x14ac:dyDescent="0.3">
      <c r="B76" s="112"/>
      <c r="C76" s="27"/>
      <c r="D76" s="7" t="str">
        <f t="shared" si="135"/>
        <v/>
      </c>
      <c r="E76" s="25"/>
      <c r="F76" s="7" t="str">
        <f t="shared" si="135"/>
        <v/>
      </c>
      <c r="G76" s="25"/>
      <c r="H76" s="7" t="str">
        <f t="shared" si="135"/>
        <v/>
      </c>
      <c r="I76" s="25"/>
      <c r="J76" s="7" t="str">
        <f t="shared" si="135"/>
        <v/>
      </c>
      <c r="K76" s="25"/>
      <c r="L76" s="7" t="str">
        <f t="shared" si="136"/>
        <v/>
      </c>
      <c r="M76" s="25"/>
      <c r="N76" s="7" t="str">
        <f t="shared" si="137"/>
        <v/>
      </c>
      <c r="O76" s="81"/>
      <c r="P76" s="81" t="str">
        <f t="shared" si="138"/>
        <v/>
      </c>
      <c r="Q76" s="81"/>
      <c r="R76" s="7" t="str">
        <f t="shared" si="139"/>
        <v/>
      </c>
      <c r="S76" s="25"/>
      <c r="T76" s="7" t="str">
        <f t="shared" si="140"/>
        <v/>
      </c>
      <c r="U76" s="25"/>
      <c r="V76" s="7" t="str">
        <f t="shared" si="141"/>
        <v/>
      </c>
      <c r="W76" s="25"/>
      <c r="X76" s="7" t="str">
        <f t="shared" si="142"/>
        <v/>
      </c>
      <c r="Y76" s="18" t="str">
        <f t="shared" si="143"/>
        <v/>
      </c>
      <c r="Z76" s="7" t="str">
        <f t="shared" si="144"/>
        <v/>
      </c>
      <c r="AA76" s="18" t="str">
        <f t="shared" si="145"/>
        <v/>
      </c>
      <c r="AB76" s="19" t="str">
        <f t="shared" si="146"/>
        <v/>
      </c>
      <c r="AC76" s="26"/>
      <c r="AD76" s="26"/>
      <c r="AE76" s="25"/>
      <c r="AF76" s="26"/>
      <c r="AG76" s="25"/>
      <c r="AH76" s="25"/>
      <c r="AI76" s="18" t="str">
        <f t="shared" si="83"/>
        <v/>
      </c>
      <c r="AJ76" s="25"/>
      <c r="AK76" s="18" t="str">
        <f t="shared" si="84"/>
        <v/>
      </c>
      <c r="AL76" s="79"/>
      <c r="AM76" s="126" t="str">
        <f t="shared" si="85"/>
        <v/>
      </c>
      <c r="AN76" s="128" t="str">
        <f>IF(AP76&lt;&gt;"",VLOOKUP($P76&amp;" | "&amp;AN$6,'Job Master'!$F$12:$J$102,5,0),"")</f>
        <v/>
      </c>
      <c r="AO76" s="19" t="str">
        <f>IF(AP76&lt;&gt;"",VLOOKUP($P76&amp;" | "&amp;AN$6,'Job Master'!$F$12:$J$102,3,0),"")</f>
        <v/>
      </c>
      <c r="AP76" s="19" t="str">
        <f>IFERROR(IF(AND(AW76&lt;&gt;"",VLOOKUP($P76&amp;" | "&amp;AN$6,'Job Master'!$F$12:$I$102,4,0)&lt;&gt;""),IF(WEEKDAY(AW76-VLOOKUP($P76&amp;" | "&amp;AN$6,'Job Master'!$F$12:$I$102,4,0))&lt;&gt;7,AW76-VLOOKUP($P76&amp;" | "&amp;AN$6,'Job Master'!$F$12:$I$102,4,0),AW76-VLOOKUP($P76&amp;" | "&amp;AN$6,'Job Master'!$F$12:$I$102,4,0)-1),""),"")</f>
        <v/>
      </c>
      <c r="AQ76" s="73"/>
      <c r="AR76" s="123" t="str">
        <f t="shared" si="147"/>
        <v/>
      </c>
      <c r="AS76" s="123" t="str">
        <f t="shared" si="148"/>
        <v/>
      </c>
      <c r="AT76" s="97" t="str">
        <f t="shared" ca="1" si="149"/>
        <v/>
      </c>
      <c r="AU76" s="98" t="str">
        <f>IF(AW76&lt;&gt;"",VLOOKUP($P76&amp;" | "&amp;AU$6,'Job Master'!$F$12:$J$102,5,0),"")</f>
        <v/>
      </c>
      <c r="AV76" s="19" t="str">
        <f>IF(AW76&lt;&gt;"",VLOOKUP($P76&amp;" | "&amp;AU$6,'Job Master'!$F$12:$J$102,3,0),"")</f>
        <v/>
      </c>
      <c r="AW76" s="19" t="str">
        <f>IFERROR(IF(AND(BD76&lt;&gt;"",VLOOKUP($P76&amp;" | "&amp;AU$6,'Job Master'!$F$12:$I$102,4,0)&lt;&gt;""),IF(WEEKDAY(BD76-VLOOKUP($P76&amp;" | "&amp;AU$6,'Job Master'!$F$12:$I$102,4,0))&lt;&gt;7,BD76-VLOOKUP($P76&amp;" | "&amp;AU$6,'Job Master'!$F$12:$I$102,4,0),BD76-VLOOKUP($P76&amp;" | "&amp;AU$6,'Job Master'!$F$12:$I$102,4,0)-1),""),"")</f>
        <v/>
      </c>
      <c r="AX76" s="73"/>
      <c r="AY76" s="123" t="str">
        <f t="shared" si="150"/>
        <v/>
      </c>
      <c r="AZ76" s="123" t="str">
        <f t="shared" si="151"/>
        <v/>
      </c>
      <c r="BA76" s="97" t="str">
        <f t="shared" ca="1" si="152"/>
        <v/>
      </c>
      <c r="BB76" s="98" t="str">
        <f>IF(BD76&lt;&gt;"",VLOOKUP($P76&amp;" | "&amp;BB$6,'Job Master'!$F$12:$J$102,5,0),"")</f>
        <v/>
      </c>
      <c r="BC76" s="19" t="str">
        <f>IF(BD76&lt;&gt;"",VLOOKUP($P76&amp;" | "&amp;BB$6,'Job Master'!$F$12:$J$102,3,0),"")</f>
        <v/>
      </c>
      <c r="BD76" s="19" t="str">
        <f>IFERROR(IF(AND(BK76&lt;&gt;"",VLOOKUP($P76&amp;" | "&amp;BB$6,'Job Master'!$F$12:$I$102,4,0)&lt;&gt;""),IF(WEEKDAY(BK76-VLOOKUP($P76&amp;" | "&amp;BB$6,'Job Master'!$F$12:$I$102,4,0))&lt;&gt;7,BK76-VLOOKUP($P76&amp;" | "&amp;BB$6,'Job Master'!$F$12:$I$102,4,0),BK76-VLOOKUP($P76&amp;" | "&amp;BB$6,'Job Master'!$F$12:$I$102,4,0)-1),""),"")</f>
        <v/>
      </c>
      <c r="BE76" s="73"/>
      <c r="BF76" s="123" t="str">
        <f t="shared" si="153"/>
        <v/>
      </c>
      <c r="BG76" s="123" t="str">
        <f t="shared" si="154"/>
        <v/>
      </c>
      <c r="BH76" s="97" t="str">
        <f t="shared" ca="1" si="155"/>
        <v/>
      </c>
      <c r="BI76" s="98" t="str">
        <f>IF(BK76&lt;&gt;"",VLOOKUP($P76&amp;" | "&amp;BI$6,'Job Master'!$F$12:$J$102,5,0),"")</f>
        <v/>
      </c>
      <c r="BJ76" s="19" t="str">
        <f>IF(BK76&lt;&gt;"",VLOOKUP($P76&amp;" | "&amp;BI$6,'Job Master'!$F$12:$J$102,3,0),"")</f>
        <v/>
      </c>
      <c r="BK76" s="19" t="str">
        <f>IFERROR(IF(AND(BR76&lt;&gt;"",VLOOKUP($P76&amp;" | "&amp;BI$6,'Job Master'!$F$12:$I$102,4,0)&lt;&gt;""),IF(WEEKDAY(BR76-VLOOKUP($P76&amp;" | "&amp;BI$6,'Job Master'!$F$12:$I$102,4,0))&lt;&gt;7,BR76-VLOOKUP($P76&amp;" | "&amp;BI$6,'Job Master'!$F$12:$I$102,4,0),BR76-VLOOKUP($P76&amp;" | "&amp;BI$6,'Job Master'!$F$12:$I$102,4,0)-1),""),"")</f>
        <v/>
      </c>
      <c r="BL76" s="73"/>
      <c r="BM76" s="123" t="str">
        <f t="shared" si="156"/>
        <v/>
      </c>
      <c r="BN76" s="123" t="str">
        <f t="shared" si="157"/>
        <v/>
      </c>
      <c r="BO76" s="97" t="str">
        <f t="shared" ca="1" si="158"/>
        <v/>
      </c>
      <c r="BP76" s="98" t="str">
        <f>IF(BR76&lt;&gt;"",VLOOKUP($P76&amp;" | "&amp;BP$6,'Job Master'!$F$12:$J$102,5,0),"")</f>
        <v/>
      </c>
      <c r="BQ76" s="19" t="str">
        <f>IF(BR76&lt;&gt;"",VLOOKUP($P76&amp;" | "&amp;BP$6,'Job Master'!$F$12:$J$102,3,0),"")</f>
        <v/>
      </c>
      <c r="BR76" s="19" t="str">
        <f>IFERROR(IF(AND(BY76&lt;&gt;"",VLOOKUP($P76&amp;" | "&amp;BP$6,'Job Master'!$F$12:$I$102,4,0)&lt;&gt;""),IF(WEEKDAY(BY76-VLOOKUP($P76&amp;" | "&amp;BP$6,'Job Master'!$F$12:$I$102,4,0))&lt;&gt;7,BY76-VLOOKUP($P76&amp;" | "&amp;BP$6,'Job Master'!$F$12:$I$102,4,0),BY76-VLOOKUP($P76&amp;" | "&amp;BP$6,'Job Master'!$F$12:$I$102,4,0)-1),""),"")</f>
        <v/>
      </c>
      <c r="BS76" s="73"/>
      <c r="BT76" s="123" t="str">
        <f t="shared" si="159"/>
        <v/>
      </c>
      <c r="BU76" s="123" t="str">
        <f t="shared" si="160"/>
        <v/>
      </c>
      <c r="BV76" s="97" t="str">
        <f t="shared" ca="1" si="161"/>
        <v/>
      </c>
      <c r="BW76" s="98" t="str">
        <f>IF(BY76&lt;&gt;"",VLOOKUP($P76&amp;" | "&amp;BW$6,'Job Master'!$F$12:$J$102,5,0),"")</f>
        <v/>
      </c>
      <c r="BX76" s="19" t="str">
        <f>IF(BY76&lt;&gt;"",VLOOKUP($P76&amp;" | "&amp;BW$6,'Job Master'!$F$12:$J$102,3,0),"")</f>
        <v/>
      </c>
      <c r="BY76" s="19" t="str">
        <f>IFERROR(IF(AND(CF76&lt;&gt;"",VLOOKUP($P76&amp;" | "&amp;BW$6,'Job Master'!$F$12:$I$102,4,0)&lt;&gt;""),IF(WEEKDAY(CF76-VLOOKUP($P76&amp;" | "&amp;BW$6,'Job Master'!$F$12:$I$102,4,0))&lt;&gt;7,CF76-VLOOKUP($P76&amp;" | "&amp;BW$6,'Job Master'!$F$12:$I$102,4,0),CF76-VLOOKUP($P76&amp;" | "&amp;BW$6,'Job Master'!$F$12:$I$102,4,0)-1),""),"")</f>
        <v/>
      </c>
      <c r="BZ76" s="73"/>
      <c r="CA76" s="123" t="str">
        <f t="shared" si="162"/>
        <v/>
      </c>
      <c r="CB76" s="123" t="str">
        <f t="shared" si="163"/>
        <v/>
      </c>
      <c r="CC76" s="97" t="str">
        <f t="shared" ca="1" si="164"/>
        <v/>
      </c>
      <c r="CD76" s="98" t="str">
        <f>IF(CF76&lt;&gt;"",VLOOKUP($P76&amp;" | "&amp;CD$6,'Job Master'!$F$12:$J$102,5,0),"")</f>
        <v/>
      </c>
      <c r="CE76" s="19" t="str">
        <f>IF(CF76&lt;&gt;"",VLOOKUP($P76&amp;" | "&amp;CD$6,'Job Master'!$F$12:$J$102,3,0),"")</f>
        <v/>
      </c>
      <c r="CF76" s="19" t="str">
        <f>IFERROR(IF(AND(CM76&lt;&gt;"",VLOOKUP($P76&amp;" | "&amp;CD$6,'Job Master'!$F$12:$I$102,4,0)&lt;&gt;""),IF(WEEKDAY(CM76-VLOOKUP($P76&amp;" | "&amp;CD$6,'Job Master'!$F$12:$I$102,4,0))&lt;&gt;7,CM76-VLOOKUP($P76&amp;" | "&amp;CD$6,'Job Master'!$F$12:$I$102,4,0),CM76-VLOOKUP($P76&amp;" | "&amp;CD$6,'Job Master'!$F$12:$I$102,4,0)-1),""),"")</f>
        <v/>
      </c>
      <c r="CG76" s="73"/>
      <c r="CH76" s="123" t="str">
        <f t="shared" si="165"/>
        <v/>
      </c>
      <c r="CI76" s="123" t="str">
        <f t="shared" si="166"/>
        <v/>
      </c>
      <c r="CJ76" s="97" t="str">
        <f t="shared" ca="1" si="167"/>
        <v/>
      </c>
      <c r="CK76" s="98" t="str">
        <f>IF(CM76&lt;&gt;"",VLOOKUP($P76&amp;" | "&amp;CK$6,'Job Master'!$F$12:$J$102,5,0),"")</f>
        <v/>
      </c>
      <c r="CL76" s="19" t="str">
        <f>IF(CM76&lt;&gt;"",VLOOKUP($P76&amp;" | "&amp;CK$6,'Job Master'!$F$12:$J$102,3,0),"")</f>
        <v/>
      </c>
      <c r="CM76" s="19" t="str">
        <f>IFERROR(IF(AND(CT76&lt;&gt;"",VLOOKUP($P76&amp;" | "&amp;CK$6,'Job Master'!$F$12:$I$102,4,0)&lt;&gt;""),IF(WEEKDAY(CT76-VLOOKUP($P76&amp;" | "&amp;CK$6,'Job Master'!$F$12:$I$102,4,0))&lt;&gt;7,CT76-VLOOKUP($P76&amp;" | "&amp;CK$6,'Job Master'!$F$12:$I$102,4,0),CT76-VLOOKUP($P76&amp;" | "&amp;CK$6,'Job Master'!$F$12:$I$102,4,0)-1),""),"")</f>
        <v/>
      </c>
      <c r="CN76" s="73"/>
      <c r="CO76" s="123" t="str">
        <f t="shared" si="168"/>
        <v/>
      </c>
      <c r="CP76" s="123" t="str">
        <f t="shared" si="169"/>
        <v/>
      </c>
      <c r="CQ76" s="97" t="str">
        <f t="shared" ca="1" si="170"/>
        <v/>
      </c>
      <c r="CR76" s="98" t="str">
        <f>IF(CT76&lt;&gt;"",VLOOKUP($P76&amp;" | "&amp;CR$6,'Job Master'!$F$12:$J$102,5,0),"")</f>
        <v/>
      </c>
      <c r="CS76" s="19" t="str">
        <f>IF(CT76&lt;&gt;"",VLOOKUP($P76&amp;" | "&amp;CR$6,'Job Master'!$F$12:$J$102,3,0),"")</f>
        <v/>
      </c>
      <c r="CT76" s="19" t="str">
        <f>IFERROR(IF(AND(DA76&lt;&gt;"",VLOOKUP($P76&amp;" | "&amp;CR$6,'Job Master'!$F$12:$I$102,4,0)&lt;&gt;""),IF(WEEKDAY(DA76-VLOOKUP($P76&amp;" | "&amp;CR$6,'Job Master'!$F$12:$I$102,4,0))&lt;&gt;7,DA76-VLOOKUP($P76&amp;" | "&amp;CR$6,'Job Master'!$F$12:$I$102,4,0),DA76-VLOOKUP($P76&amp;" | "&amp;CR$6,'Job Master'!$F$12:$I$102,4,0)-1),""),"")</f>
        <v/>
      </c>
      <c r="CU76" s="73"/>
      <c r="CV76" s="123" t="str">
        <f t="shared" si="171"/>
        <v/>
      </c>
      <c r="CW76" s="123" t="str">
        <f t="shared" si="172"/>
        <v/>
      </c>
      <c r="CX76" s="97" t="str">
        <f t="shared" ca="1" si="173"/>
        <v/>
      </c>
      <c r="CY76" s="98" t="str">
        <f>IF(DA76&lt;&gt;"",VLOOKUP($P76&amp;" | "&amp;CY$6,'Job Master'!$F$12:$J$102,5,0),"")</f>
        <v/>
      </c>
      <c r="CZ76" s="19" t="str">
        <f>IF(DA76&lt;&gt;"",VLOOKUP($P76&amp;" | "&amp;CY$6,'Job Master'!$F$12:$J$102,3,0),"")</f>
        <v/>
      </c>
      <c r="DA76" s="19" t="str">
        <f>IFERROR(IF(AND(DH76&lt;&gt;"",VLOOKUP($P76&amp;" | "&amp;CY$6,'Job Master'!$F$12:$I$102,4,0)&lt;&gt;""),IF(WEEKDAY(DH76-VLOOKUP($P76&amp;" | "&amp;CY$6,'Job Master'!$F$12:$I$102,4,0))&lt;&gt;7,DH76-VLOOKUP($P76&amp;" | "&amp;CY$6,'Job Master'!$F$12:$I$102,4,0),DH76-VLOOKUP($P76&amp;" | "&amp;CY$6,'Job Master'!$F$12:$I$102,4,0)-1),""),"")</f>
        <v/>
      </c>
      <c r="DB76" s="73"/>
      <c r="DC76" s="123" t="str">
        <f t="shared" si="174"/>
        <v/>
      </c>
      <c r="DD76" s="123" t="str">
        <f t="shared" si="175"/>
        <v/>
      </c>
      <c r="DE76" s="97" t="str">
        <f t="shared" ca="1" si="176"/>
        <v/>
      </c>
      <c r="DF76" s="98" t="str">
        <f>IF(DH76&lt;&gt;"",VLOOKUP($P76&amp;" | "&amp;DF$6,'Job Master'!$F$12:$J$102,5,0),"")</f>
        <v/>
      </c>
      <c r="DG76" s="19" t="str">
        <f>IF(DH76&lt;&gt;"",VLOOKUP($P76&amp;" | "&amp;DF$6,'Job Master'!$F$12:$J$102,3,0),"")</f>
        <v/>
      </c>
      <c r="DH76" s="19" t="str">
        <f>IFERROR(IF(AND(DO76&lt;&gt;"",VLOOKUP($P76&amp;" | "&amp;DF$6,'Job Master'!$F$12:$I$102,4,0)&lt;&gt;""),IF(WEEKDAY(DO76-VLOOKUP($P76&amp;" | "&amp;DF$6,'Job Master'!$F$12:$I$102,4,0))&lt;&gt;7,DO76-VLOOKUP($P76&amp;" | "&amp;DF$6,'Job Master'!$F$12:$I$102,4,0),DO76-VLOOKUP($P76&amp;" | "&amp;DF$6,'Job Master'!$F$12:$I$102,4,0)-1),""),"")</f>
        <v/>
      </c>
      <c r="DI76" s="73"/>
      <c r="DJ76" s="123" t="str">
        <f t="shared" si="177"/>
        <v/>
      </c>
      <c r="DK76" s="123" t="str">
        <f t="shared" si="178"/>
        <v/>
      </c>
      <c r="DL76" s="97" t="str">
        <f t="shared" ca="1" si="179"/>
        <v/>
      </c>
      <c r="DM76" s="98" t="str">
        <f>IF(DO76&lt;&gt;"",VLOOKUP($P76&amp;" | "&amp;DM$6,'Job Master'!$F$12:$J$102,5,0),"")</f>
        <v/>
      </c>
      <c r="DN76" s="19" t="str">
        <f>IF(DO76&lt;&gt;"",VLOOKUP($P76&amp;" | "&amp;DM$6,'Job Master'!$F$12:$J$102,3,0),"")</f>
        <v/>
      </c>
      <c r="DO76" s="19" t="str">
        <f>IFERROR(IF(AND(DT76&lt;&gt;"",VLOOKUP($P76&amp;" | "&amp;DM$6,'Job Master'!$F$12:$I$102,4,0)&lt;&gt;""),IF(WEEKDAY(DT76-VLOOKUP($P76&amp;" | "&amp;DM$6,'Job Master'!$F$12:$I$102,4,0))&lt;&gt;7,DT76-VLOOKUP($P76&amp;" | "&amp;DM$6,'Job Master'!$F$12:$I$102,4,0),DT76-VLOOKUP($P76&amp;" | "&amp;DM$6,'Job Master'!$F$12:$I$102,4,0)-1),""),"")</f>
        <v/>
      </c>
      <c r="DP76" s="73"/>
      <c r="DQ76" s="123" t="str">
        <f t="shared" si="180"/>
        <v/>
      </c>
      <c r="DR76" s="123" t="str">
        <f t="shared" si="181"/>
        <v/>
      </c>
      <c r="DS76" s="97" t="str">
        <f t="shared" ca="1" si="182"/>
        <v/>
      </c>
      <c r="DT76" s="70" t="str">
        <f t="shared" si="183"/>
        <v/>
      </c>
      <c r="DU76" s="90"/>
      <c r="DV76" s="123" t="str">
        <f t="shared" si="184"/>
        <v/>
      </c>
      <c r="DW76" s="123" t="str">
        <f t="shared" si="185"/>
        <v/>
      </c>
      <c r="DX76" s="132" t="str">
        <f t="shared" ref="DX76" ca="1" si="190">IF(DT76&lt;&gt;"",IF(WEEKNUM(DT76)=WEEKNUM(TODAY()),"This Week",IF(WEEKNUM(DT76)=WEEKNUM(TODAY())+1,"Next Week",IF(WEEKNUM(DT76)=WEEKNUM(TODAY())-1,"Previous Week",""))),"")</f>
        <v/>
      </c>
      <c r="DY76" s="134" t="str">
        <f t="shared" si="187"/>
        <v/>
      </c>
      <c r="DZ76" s="95"/>
      <c r="EB76" s="8" t="str">
        <f t="shared" si="67"/>
        <v/>
      </c>
      <c r="EC76" s="8" t="str">
        <f>IF(O76&lt;&gt;"",VLOOKUP(O76,'Job Master'!$N$12:$O$18,2,0),"")</f>
        <v/>
      </c>
      <c r="ED76" s="8">
        <f t="shared" si="68"/>
        <v>19.5</v>
      </c>
      <c r="EE76" s="8">
        <f t="shared" si="69"/>
        <v>6</v>
      </c>
      <c r="EF76" s="8">
        <f t="shared" si="70"/>
        <v>-376.5</v>
      </c>
      <c r="EG76" s="8" t="str">
        <f t="shared" si="71"/>
        <v/>
      </c>
      <c r="EH76" s="8" t="str">
        <f t="shared" si="72"/>
        <v/>
      </c>
    </row>
    <row r="77" spans="2:138" x14ac:dyDescent="0.3">
      <c r="B77" s="112"/>
      <c r="C77" s="27"/>
      <c r="D77" s="7" t="str">
        <f t="shared" si="135"/>
        <v/>
      </c>
      <c r="E77" s="25"/>
      <c r="F77" s="7" t="str">
        <f t="shared" si="135"/>
        <v/>
      </c>
      <c r="G77" s="25"/>
      <c r="H77" s="7" t="str">
        <f t="shared" si="135"/>
        <v/>
      </c>
      <c r="I77" s="25"/>
      <c r="J77" s="7" t="str">
        <f t="shared" si="135"/>
        <v/>
      </c>
      <c r="K77" s="25"/>
      <c r="L77" s="7" t="str">
        <f t="shared" si="136"/>
        <v/>
      </c>
      <c r="M77" s="25"/>
      <c r="N77" s="7" t="str">
        <f t="shared" si="137"/>
        <v/>
      </c>
      <c r="O77" s="81"/>
      <c r="P77" s="81" t="str">
        <f t="shared" si="138"/>
        <v/>
      </c>
      <c r="Q77" s="81"/>
      <c r="R77" s="7" t="str">
        <f t="shared" si="139"/>
        <v/>
      </c>
      <c r="S77" s="25"/>
      <c r="T77" s="7" t="str">
        <f t="shared" si="140"/>
        <v/>
      </c>
      <c r="U77" s="25"/>
      <c r="V77" s="7" t="str">
        <f t="shared" si="141"/>
        <v/>
      </c>
      <c r="W77" s="25"/>
      <c r="X77" s="7" t="str">
        <f t="shared" si="142"/>
        <v/>
      </c>
      <c r="Y77" s="18" t="str">
        <f t="shared" si="143"/>
        <v/>
      </c>
      <c r="Z77" s="7" t="str">
        <f t="shared" si="144"/>
        <v/>
      </c>
      <c r="AA77" s="18" t="str">
        <f t="shared" si="145"/>
        <v/>
      </c>
      <c r="AB77" s="19" t="str">
        <f t="shared" si="146"/>
        <v/>
      </c>
      <c r="AC77" s="26"/>
      <c r="AD77" s="26"/>
      <c r="AE77" s="25"/>
      <c r="AF77" s="26"/>
      <c r="AG77" s="25"/>
      <c r="AH77" s="25"/>
      <c r="AI77" s="18" t="str">
        <f t="shared" si="83"/>
        <v/>
      </c>
      <c r="AJ77" s="25"/>
      <c r="AK77" s="18" t="str">
        <f t="shared" si="84"/>
        <v/>
      </c>
      <c r="AL77" s="79"/>
      <c r="AM77" s="126" t="str">
        <f t="shared" si="85"/>
        <v/>
      </c>
      <c r="AN77" s="128" t="str">
        <f>IF(AP77&lt;&gt;"",VLOOKUP($P77&amp;" | "&amp;AN$6,'Job Master'!$F$12:$J$102,5,0),"")</f>
        <v/>
      </c>
      <c r="AO77" s="19" t="str">
        <f>IF(AP77&lt;&gt;"",VLOOKUP($P77&amp;" | "&amp;AN$6,'Job Master'!$F$12:$J$102,3,0),"")</f>
        <v/>
      </c>
      <c r="AP77" s="19" t="str">
        <f>IFERROR(IF(AND(AW77&lt;&gt;"",VLOOKUP($P77&amp;" | "&amp;AN$6,'Job Master'!$F$12:$I$102,4,0)&lt;&gt;""),IF(WEEKDAY(AW77-VLOOKUP($P77&amp;" | "&amp;AN$6,'Job Master'!$F$12:$I$102,4,0))&lt;&gt;7,AW77-VLOOKUP($P77&amp;" | "&amp;AN$6,'Job Master'!$F$12:$I$102,4,0),AW77-VLOOKUP($P77&amp;" | "&amp;AN$6,'Job Master'!$F$12:$I$102,4,0)-1),""),"")</f>
        <v/>
      </c>
      <c r="AQ77" s="73"/>
      <c r="AR77" s="123" t="str">
        <f t="shared" si="147"/>
        <v/>
      </c>
      <c r="AS77" s="123" t="str">
        <f t="shared" si="148"/>
        <v/>
      </c>
      <c r="AT77" s="97" t="str">
        <f t="shared" ca="1" si="149"/>
        <v/>
      </c>
      <c r="AU77" s="98" t="str">
        <f>IF(AW77&lt;&gt;"",VLOOKUP($P77&amp;" | "&amp;AU$6,'Job Master'!$F$12:$J$102,5,0),"")</f>
        <v/>
      </c>
      <c r="AV77" s="19" t="str">
        <f>IF(AW77&lt;&gt;"",VLOOKUP($P77&amp;" | "&amp;AU$6,'Job Master'!$F$12:$J$102,3,0),"")</f>
        <v/>
      </c>
      <c r="AW77" s="19" t="str">
        <f>IFERROR(IF(AND(BD77&lt;&gt;"",VLOOKUP($P77&amp;" | "&amp;AU$6,'Job Master'!$F$12:$I$102,4,0)&lt;&gt;""),IF(WEEKDAY(BD77-VLOOKUP($P77&amp;" | "&amp;AU$6,'Job Master'!$F$12:$I$102,4,0))&lt;&gt;7,BD77-VLOOKUP($P77&amp;" | "&amp;AU$6,'Job Master'!$F$12:$I$102,4,0),BD77-VLOOKUP($P77&amp;" | "&amp;AU$6,'Job Master'!$F$12:$I$102,4,0)-1),""),"")</f>
        <v/>
      </c>
      <c r="AX77" s="73"/>
      <c r="AY77" s="123" t="str">
        <f t="shared" si="150"/>
        <v/>
      </c>
      <c r="AZ77" s="123" t="str">
        <f t="shared" si="151"/>
        <v/>
      </c>
      <c r="BA77" s="97" t="str">
        <f t="shared" ca="1" si="152"/>
        <v/>
      </c>
      <c r="BB77" s="98" t="str">
        <f>IF(BD77&lt;&gt;"",VLOOKUP($P77&amp;" | "&amp;BB$6,'Job Master'!$F$12:$J$102,5,0),"")</f>
        <v/>
      </c>
      <c r="BC77" s="19" t="str">
        <f>IF(BD77&lt;&gt;"",VLOOKUP($P77&amp;" | "&amp;BB$6,'Job Master'!$F$12:$J$102,3,0),"")</f>
        <v/>
      </c>
      <c r="BD77" s="19" t="str">
        <f>IFERROR(IF(AND(BK77&lt;&gt;"",VLOOKUP($P77&amp;" | "&amp;BB$6,'Job Master'!$F$12:$I$102,4,0)&lt;&gt;""),IF(WEEKDAY(BK77-VLOOKUP($P77&amp;" | "&amp;BB$6,'Job Master'!$F$12:$I$102,4,0))&lt;&gt;7,BK77-VLOOKUP($P77&amp;" | "&amp;BB$6,'Job Master'!$F$12:$I$102,4,0),BK77-VLOOKUP($P77&amp;" | "&amp;BB$6,'Job Master'!$F$12:$I$102,4,0)-1),""),"")</f>
        <v/>
      </c>
      <c r="BE77" s="73"/>
      <c r="BF77" s="123" t="str">
        <f t="shared" si="153"/>
        <v/>
      </c>
      <c r="BG77" s="123" t="str">
        <f t="shared" si="154"/>
        <v/>
      </c>
      <c r="BH77" s="97" t="str">
        <f t="shared" ca="1" si="155"/>
        <v/>
      </c>
      <c r="BI77" s="98" t="str">
        <f>IF(BK77&lt;&gt;"",VLOOKUP($P77&amp;" | "&amp;BI$6,'Job Master'!$F$12:$J$102,5,0),"")</f>
        <v/>
      </c>
      <c r="BJ77" s="19" t="str">
        <f>IF(BK77&lt;&gt;"",VLOOKUP($P77&amp;" | "&amp;BI$6,'Job Master'!$F$12:$J$102,3,0),"")</f>
        <v/>
      </c>
      <c r="BK77" s="19" t="str">
        <f>IFERROR(IF(AND(BR77&lt;&gt;"",VLOOKUP($P77&amp;" | "&amp;BI$6,'Job Master'!$F$12:$I$102,4,0)&lt;&gt;""),IF(WEEKDAY(BR77-VLOOKUP($P77&amp;" | "&amp;BI$6,'Job Master'!$F$12:$I$102,4,0))&lt;&gt;7,BR77-VLOOKUP($P77&amp;" | "&amp;BI$6,'Job Master'!$F$12:$I$102,4,0),BR77-VLOOKUP($P77&amp;" | "&amp;BI$6,'Job Master'!$F$12:$I$102,4,0)-1),""),"")</f>
        <v/>
      </c>
      <c r="BL77" s="73"/>
      <c r="BM77" s="123" t="str">
        <f t="shared" si="156"/>
        <v/>
      </c>
      <c r="BN77" s="123" t="str">
        <f t="shared" si="157"/>
        <v/>
      </c>
      <c r="BO77" s="97" t="str">
        <f t="shared" ca="1" si="158"/>
        <v/>
      </c>
      <c r="BP77" s="98" t="str">
        <f>IF(BR77&lt;&gt;"",VLOOKUP($P77&amp;" | "&amp;BP$6,'Job Master'!$F$12:$J$102,5,0),"")</f>
        <v/>
      </c>
      <c r="BQ77" s="19" t="str">
        <f>IF(BR77&lt;&gt;"",VLOOKUP($P77&amp;" | "&amp;BP$6,'Job Master'!$F$12:$J$102,3,0),"")</f>
        <v/>
      </c>
      <c r="BR77" s="19" t="str">
        <f>IFERROR(IF(AND(BY77&lt;&gt;"",VLOOKUP($P77&amp;" | "&amp;BP$6,'Job Master'!$F$12:$I$102,4,0)&lt;&gt;""),IF(WEEKDAY(BY77-VLOOKUP($P77&amp;" | "&amp;BP$6,'Job Master'!$F$12:$I$102,4,0))&lt;&gt;7,BY77-VLOOKUP($P77&amp;" | "&amp;BP$6,'Job Master'!$F$12:$I$102,4,0),BY77-VLOOKUP($P77&amp;" | "&amp;BP$6,'Job Master'!$F$12:$I$102,4,0)-1),""),"")</f>
        <v/>
      </c>
      <c r="BS77" s="73"/>
      <c r="BT77" s="123" t="str">
        <f t="shared" si="159"/>
        <v/>
      </c>
      <c r="BU77" s="123" t="str">
        <f t="shared" si="160"/>
        <v/>
      </c>
      <c r="BV77" s="97" t="str">
        <f t="shared" ca="1" si="161"/>
        <v/>
      </c>
      <c r="BW77" s="98" t="str">
        <f>IF(BY77&lt;&gt;"",VLOOKUP($P77&amp;" | "&amp;BW$6,'Job Master'!$F$12:$J$102,5,0),"")</f>
        <v/>
      </c>
      <c r="BX77" s="19" t="str">
        <f>IF(BY77&lt;&gt;"",VLOOKUP($P77&amp;" | "&amp;BW$6,'Job Master'!$F$12:$J$102,3,0),"")</f>
        <v/>
      </c>
      <c r="BY77" s="19" t="str">
        <f>IFERROR(IF(AND(CF77&lt;&gt;"",VLOOKUP($P77&amp;" | "&amp;BW$6,'Job Master'!$F$12:$I$102,4,0)&lt;&gt;""),IF(WEEKDAY(CF77-VLOOKUP($P77&amp;" | "&amp;BW$6,'Job Master'!$F$12:$I$102,4,0))&lt;&gt;7,CF77-VLOOKUP($P77&amp;" | "&amp;BW$6,'Job Master'!$F$12:$I$102,4,0),CF77-VLOOKUP($P77&amp;" | "&amp;BW$6,'Job Master'!$F$12:$I$102,4,0)-1),""),"")</f>
        <v/>
      </c>
      <c r="BZ77" s="73"/>
      <c r="CA77" s="123" t="str">
        <f t="shared" si="162"/>
        <v/>
      </c>
      <c r="CB77" s="123" t="str">
        <f t="shared" si="163"/>
        <v/>
      </c>
      <c r="CC77" s="97" t="str">
        <f t="shared" ca="1" si="164"/>
        <v/>
      </c>
      <c r="CD77" s="98" t="str">
        <f>IF(CF77&lt;&gt;"",VLOOKUP($P77&amp;" | "&amp;CD$6,'Job Master'!$F$12:$J$102,5,0),"")</f>
        <v/>
      </c>
      <c r="CE77" s="19" t="str">
        <f>IF(CF77&lt;&gt;"",VLOOKUP($P77&amp;" | "&amp;CD$6,'Job Master'!$F$12:$J$102,3,0),"")</f>
        <v/>
      </c>
      <c r="CF77" s="19" t="str">
        <f>IFERROR(IF(AND(CM77&lt;&gt;"",VLOOKUP($P77&amp;" | "&amp;CD$6,'Job Master'!$F$12:$I$102,4,0)&lt;&gt;""),IF(WEEKDAY(CM77-VLOOKUP($P77&amp;" | "&amp;CD$6,'Job Master'!$F$12:$I$102,4,0))&lt;&gt;7,CM77-VLOOKUP($P77&amp;" | "&amp;CD$6,'Job Master'!$F$12:$I$102,4,0),CM77-VLOOKUP($P77&amp;" | "&amp;CD$6,'Job Master'!$F$12:$I$102,4,0)-1),""),"")</f>
        <v/>
      </c>
      <c r="CG77" s="73"/>
      <c r="CH77" s="123" t="str">
        <f t="shared" si="165"/>
        <v/>
      </c>
      <c r="CI77" s="123" t="str">
        <f t="shared" si="166"/>
        <v/>
      </c>
      <c r="CJ77" s="97" t="str">
        <f t="shared" ca="1" si="167"/>
        <v/>
      </c>
      <c r="CK77" s="98" t="str">
        <f>IF(CM77&lt;&gt;"",VLOOKUP($P77&amp;" | "&amp;CK$6,'Job Master'!$F$12:$J$102,5,0),"")</f>
        <v/>
      </c>
      <c r="CL77" s="19" t="str">
        <f>IF(CM77&lt;&gt;"",VLOOKUP($P77&amp;" | "&amp;CK$6,'Job Master'!$F$12:$J$102,3,0),"")</f>
        <v/>
      </c>
      <c r="CM77" s="19" t="str">
        <f>IFERROR(IF(AND(CT77&lt;&gt;"",VLOOKUP($P77&amp;" | "&amp;CK$6,'Job Master'!$F$12:$I$102,4,0)&lt;&gt;""),IF(WEEKDAY(CT77-VLOOKUP($P77&amp;" | "&amp;CK$6,'Job Master'!$F$12:$I$102,4,0))&lt;&gt;7,CT77-VLOOKUP($P77&amp;" | "&amp;CK$6,'Job Master'!$F$12:$I$102,4,0),CT77-VLOOKUP($P77&amp;" | "&amp;CK$6,'Job Master'!$F$12:$I$102,4,0)-1),""),"")</f>
        <v/>
      </c>
      <c r="CN77" s="73"/>
      <c r="CO77" s="123" t="str">
        <f t="shared" si="168"/>
        <v/>
      </c>
      <c r="CP77" s="123" t="str">
        <f t="shared" si="169"/>
        <v/>
      </c>
      <c r="CQ77" s="97" t="str">
        <f t="shared" ca="1" si="170"/>
        <v/>
      </c>
      <c r="CR77" s="98" t="str">
        <f>IF(CT77&lt;&gt;"",VLOOKUP($P77&amp;" | "&amp;CR$6,'Job Master'!$F$12:$J$102,5,0),"")</f>
        <v/>
      </c>
      <c r="CS77" s="19" t="str">
        <f>IF(CT77&lt;&gt;"",VLOOKUP($P77&amp;" | "&amp;CR$6,'Job Master'!$F$12:$J$102,3,0),"")</f>
        <v/>
      </c>
      <c r="CT77" s="19" t="str">
        <f>IFERROR(IF(AND(DA77&lt;&gt;"",VLOOKUP($P77&amp;" | "&amp;CR$6,'Job Master'!$F$12:$I$102,4,0)&lt;&gt;""),IF(WEEKDAY(DA77-VLOOKUP($P77&amp;" | "&amp;CR$6,'Job Master'!$F$12:$I$102,4,0))&lt;&gt;7,DA77-VLOOKUP($P77&amp;" | "&amp;CR$6,'Job Master'!$F$12:$I$102,4,0),DA77-VLOOKUP($P77&amp;" | "&amp;CR$6,'Job Master'!$F$12:$I$102,4,0)-1),""),"")</f>
        <v/>
      </c>
      <c r="CU77" s="73"/>
      <c r="CV77" s="123" t="str">
        <f t="shared" si="171"/>
        <v/>
      </c>
      <c r="CW77" s="123" t="str">
        <f t="shared" si="172"/>
        <v/>
      </c>
      <c r="CX77" s="97" t="str">
        <f t="shared" ca="1" si="173"/>
        <v/>
      </c>
      <c r="CY77" s="98" t="str">
        <f>IF(DA77&lt;&gt;"",VLOOKUP($P77&amp;" | "&amp;CY$6,'Job Master'!$F$12:$J$102,5,0),"")</f>
        <v/>
      </c>
      <c r="CZ77" s="19" t="str">
        <f>IF(DA77&lt;&gt;"",VLOOKUP($P77&amp;" | "&amp;CY$6,'Job Master'!$F$12:$J$102,3,0),"")</f>
        <v/>
      </c>
      <c r="DA77" s="19" t="str">
        <f>IFERROR(IF(AND(DH77&lt;&gt;"",VLOOKUP($P77&amp;" | "&amp;CY$6,'Job Master'!$F$12:$I$102,4,0)&lt;&gt;""),IF(WEEKDAY(DH77-VLOOKUP($P77&amp;" | "&amp;CY$6,'Job Master'!$F$12:$I$102,4,0))&lt;&gt;7,DH77-VLOOKUP($P77&amp;" | "&amp;CY$6,'Job Master'!$F$12:$I$102,4,0),DH77-VLOOKUP($P77&amp;" | "&amp;CY$6,'Job Master'!$F$12:$I$102,4,0)-1),""),"")</f>
        <v/>
      </c>
      <c r="DB77" s="73"/>
      <c r="DC77" s="123" t="str">
        <f t="shared" si="174"/>
        <v/>
      </c>
      <c r="DD77" s="123" t="str">
        <f t="shared" si="175"/>
        <v/>
      </c>
      <c r="DE77" s="97" t="str">
        <f t="shared" ca="1" si="176"/>
        <v/>
      </c>
      <c r="DF77" s="98" t="str">
        <f>IF(DH77&lt;&gt;"",VLOOKUP($P77&amp;" | "&amp;DF$6,'Job Master'!$F$12:$J$102,5,0),"")</f>
        <v/>
      </c>
      <c r="DG77" s="19" t="str">
        <f>IF(DH77&lt;&gt;"",VLOOKUP($P77&amp;" | "&amp;DF$6,'Job Master'!$F$12:$J$102,3,0),"")</f>
        <v/>
      </c>
      <c r="DH77" s="19" t="str">
        <f>IFERROR(IF(AND(DO77&lt;&gt;"",VLOOKUP($P77&amp;" | "&amp;DF$6,'Job Master'!$F$12:$I$102,4,0)&lt;&gt;""),IF(WEEKDAY(DO77-VLOOKUP($P77&amp;" | "&amp;DF$6,'Job Master'!$F$12:$I$102,4,0))&lt;&gt;7,DO77-VLOOKUP($P77&amp;" | "&amp;DF$6,'Job Master'!$F$12:$I$102,4,0),DO77-VLOOKUP($P77&amp;" | "&amp;DF$6,'Job Master'!$F$12:$I$102,4,0)-1),""),"")</f>
        <v/>
      </c>
      <c r="DI77" s="73"/>
      <c r="DJ77" s="123" t="str">
        <f t="shared" si="177"/>
        <v/>
      </c>
      <c r="DK77" s="123" t="str">
        <f t="shared" si="178"/>
        <v/>
      </c>
      <c r="DL77" s="97" t="str">
        <f t="shared" ca="1" si="179"/>
        <v/>
      </c>
      <c r="DM77" s="98" t="str">
        <f>IF(DO77&lt;&gt;"",VLOOKUP($P77&amp;" | "&amp;DM$6,'Job Master'!$F$12:$J$102,5,0),"")</f>
        <v/>
      </c>
      <c r="DN77" s="19" t="str">
        <f>IF(DO77&lt;&gt;"",VLOOKUP($P77&amp;" | "&amp;DM$6,'Job Master'!$F$12:$J$102,3,0),"")</f>
        <v/>
      </c>
      <c r="DO77" s="19" t="str">
        <f>IFERROR(IF(AND(DT77&lt;&gt;"",VLOOKUP($P77&amp;" | "&amp;DM$6,'Job Master'!$F$12:$I$102,4,0)&lt;&gt;""),IF(WEEKDAY(DT77-VLOOKUP($P77&amp;" | "&amp;DM$6,'Job Master'!$F$12:$I$102,4,0))&lt;&gt;7,DT77-VLOOKUP($P77&amp;" | "&amp;DM$6,'Job Master'!$F$12:$I$102,4,0),DT77-VLOOKUP($P77&amp;" | "&amp;DM$6,'Job Master'!$F$12:$I$102,4,0)-1),""),"")</f>
        <v/>
      </c>
      <c r="DP77" s="73"/>
      <c r="DQ77" s="123" t="str">
        <f t="shared" si="180"/>
        <v/>
      </c>
      <c r="DR77" s="123" t="str">
        <f t="shared" si="181"/>
        <v/>
      </c>
      <c r="DS77" s="97" t="str">
        <f t="shared" ca="1" si="182"/>
        <v/>
      </c>
      <c r="DT77" s="70" t="str">
        <f t="shared" si="183"/>
        <v/>
      </c>
      <c r="DU77" s="90"/>
      <c r="DV77" s="123" t="str">
        <f t="shared" si="184"/>
        <v/>
      </c>
      <c r="DW77" s="123" t="str">
        <f t="shared" si="185"/>
        <v/>
      </c>
      <c r="DX77" s="132" t="str">
        <f t="shared" ref="DX77" ca="1" si="191">IF(DT77&lt;&gt;"",IF(WEEKNUM(DT77)=WEEKNUM(TODAY()),"This Week",IF(WEEKNUM(DT77)=WEEKNUM(TODAY())+1,"Next Week",IF(WEEKNUM(DT77)=WEEKNUM(TODAY())-1,"Previous Week",""))),"")</f>
        <v/>
      </c>
      <c r="DY77" s="134" t="str">
        <f t="shared" si="187"/>
        <v/>
      </c>
      <c r="DZ77" s="95"/>
      <c r="EB77" s="8" t="str">
        <f t="shared" si="67"/>
        <v/>
      </c>
      <c r="EC77" s="8" t="str">
        <f>IF(O77&lt;&gt;"",VLOOKUP(O77,'Job Master'!$N$12:$O$18,2,0),"")</f>
        <v/>
      </c>
      <c r="ED77" s="8">
        <f t="shared" si="68"/>
        <v>19.5</v>
      </c>
      <c r="EE77" s="8">
        <f t="shared" si="69"/>
        <v>6</v>
      </c>
      <c r="EF77" s="8">
        <f t="shared" si="70"/>
        <v>-382.5</v>
      </c>
      <c r="EG77" s="8" t="str">
        <f t="shared" si="71"/>
        <v/>
      </c>
      <c r="EH77" s="8" t="str">
        <f t="shared" si="72"/>
        <v/>
      </c>
    </row>
    <row r="78" spans="2:138" x14ac:dyDescent="0.3">
      <c r="B78" s="112"/>
      <c r="C78" s="27"/>
      <c r="D78" s="7" t="str">
        <f t="shared" si="135"/>
        <v/>
      </c>
      <c r="E78" s="25"/>
      <c r="F78" s="7" t="str">
        <f t="shared" si="135"/>
        <v/>
      </c>
      <c r="G78" s="25"/>
      <c r="H78" s="7" t="str">
        <f t="shared" si="135"/>
        <v/>
      </c>
      <c r="I78" s="25"/>
      <c r="J78" s="7" t="str">
        <f t="shared" si="135"/>
        <v/>
      </c>
      <c r="K78" s="25"/>
      <c r="L78" s="7" t="str">
        <f t="shared" si="136"/>
        <v/>
      </c>
      <c r="M78" s="25"/>
      <c r="N78" s="7" t="str">
        <f t="shared" si="137"/>
        <v/>
      </c>
      <c r="O78" s="81"/>
      <c r="P78" s="81" t="str">
        <f t="shared" si="138"/>
        <v/>
      </c>
      <c r="Q78" s="81"/>
      <c r="R78" s="7" t="str">
        <f t="shared" si="139"/>
        <v/>
      </c>
      <c r="S78" s="25"/>
      <c r="T78" s="7" t="str">
        <f t="shared" si="140"/>
        <v/>
      </c>
      <c r="U78" s="25"/>
      <c r="V78" s="7" t="str">
        <f t="shared" si="141"/>
        <v/>
      </c>
      <c r="W78" s="25"/>
      <c r="X78" s="7" t="str">
        <f t="shared" si="142"/>
        <v/>
      </c>
      <c r="Y78" s="18" t="str">
        <f t="shared" si="143"/>
        <v/>
      </c>
      <c r="Z78" s="7" t="str">
        <f t="shared" si="144"/>
        <v/>
      </c>
      <c r="AA78" s="18" t="str">
        <f t="shared" si="145"/>
        <v/>
      </c>
      <c r="AB78" s="19" t="str">
        <f t="shared" si="146"/>
        <v/>
      </c>
      <c r="AC78" s="26"/>
      <c r="AD78" s="26"/>
      <c r="AE78" s="25"/>
      <c r="AF78" s="26"/>
      <c r="AG78" s="25"/>
      <c r="AH78" s="25"/>
      <c r="AI78" s="18" t="str">
        <f t="shared" si="83"/>
        <v/>
      </c>
      <c r="AJ78" s="25"/>
      <c r="AK78" s="18" t="str">
        <f t="shared" si="84"/>
        <v/>
      </c>
      <c r="AL78" s="79"/>
      <c r="AM78" s="126" t="str">
        <f t="shared" si="85"/>
        <v/>
      </c>
      <c r="AN78" s="128" t="str">
        <f>IF(AP78&lt;&gt;"",VLOOKUP($P78&amp;" | "&amp;AN$6,'Job Master'!$F$12:$J$102,5,0),"")</f>
        <v/>
      </c>
      <c r="AO78" s="19" t="str">
        <f>IF(AP78&lt;&gt;"",VLOOKUP($P78&amp;" | "&amp;AN$6,'Job Master'!$F$12:$J$102,3,0),"")</f>
        <v/>
      </c>
      <c r="AP78" s="19" t="str">
        <f>IFERROR(IF(AND(AW78&lt;&gt;"",VLOOKUP($P78&amp;" | "&amp;AN$6,'Job Master'!$F$12:$I$102,4,0)&lt;&gt;""),IF(WEEKDAY(AW78-VLOOKUP($P78&amp;" | "&amp;AN$6,'Job Master'!$F$12:$I$102,4,0))&lt;&gt;7,AW78-VLOOKUP($P78&amp;" | "&amp;AN$6,'Job Master'!$F$12:$I$102,4,0),AW78-VLOOKUP($P78&amp;" | "&amp;AN$6,'Job Master'!$F$12:$I$102,4,0)-1),""),"")</f>
        <v/>
      </c>
      <c r="AQ78" s="73"/>
      <c r="AR78" s="123" t="str">
        <f t="shared" si="147"/>
        <v/>
      </c>
      <c r="AS78" s="123" t="str">
        <f t="shared" si="148"/>
        <v/>
      </c>
      <c r="AT78" s="97" t="str">
        <f t="shared" ca="1" si="149"/>
        <v/>
      </c>
      <c r="AU78" s="98" t="str">
        <f>IF(AW78&lt;&gt;"",VLOOKUP($P78&amp;" | "&amp;AU$6,'Job Master'!$F$12:$J$102,5,0),"")</f>
        <v/>
      </c>
      <c r="AV78" s="19" t="str">
        <f>IF(AW78&lt;&gt;"",VLOOKUP($P78&amp;" | "&amp;AU$6,'Job Master'!$F$12:$J$102,3,0),"")</f>
        <v/>
      </c>
      <c r="AW78" s="19" t="str">
        <f>IFERROR(IF(AND(BD78&lt;&gt;"",VLOOKUP($P78&amp;" | "&amp;AU$6,'Job Master'!$F$12:$I$102,4,0)&lt;&gt;""),IF(WEEKDAY(BD78-VLOOKUP($P78&amp;" | "&amp;AU$6,'Job Master'!$F$12:$I$102,4,0))&lt;&gt;7,BD78-VLOOKUP($P78&amp;" | "&amp;AU$6,'Job Master'!$F$12:$I$102,4,0),BD78-VLOOKUP($P78&amp;" | "&amp;AU$6,'Job Master'!$F$12:$I$102,4,0)-1),""),"")</f>
        <v/>
      </c>
      <c r="AX78" s="73"/>
      <c r="AY78" s="123" t="str">
        <f t="shared" si="150"/>
        <v/>
      </c>
      <c r="AZ78" s="123" t="str">
        <f t="shared" si="151"/>
        <v/>
      </c>
      <c r="BA78" s="97" t="str">
        <f t="shared" ca="1" si="152"/>
        <v/>
      </c>
      <c r="BB78" s="98" t="str">
        <f>IF(BD78&lt;&gt;"",VLOOKUP($P78&amp;" | "&amp;BB$6,'Job Master'!$F$12:$J$102,5,0),"")</f>
        <v/>
      </c>
      <c r="BC78" s="19" t="str">
        <f>IF(BD78&lt;&gt;"",VLOOKUP($P78&amp;" | "&amp;BB$6,'Job Master'!$F$12:$J$102,3,0),"")</f>
        <v/>
      </c>
      <c r="BD78" s="19" t="str">
        <f>IFERROR(IF(AND(BK78&lt;&gt;"",VLOOKUP($P78&amp;" | "&amp;BB$6,'Job Master'!$F$12:$I$102,4,0)&lt;&gt;""),IF(WEEKDAY(BK78-VLOOKUP($P78&amp;" | "&amp;BB$6,'Job Master'!$F$12:$I$102,4,0))&lt;&gt;7,BK78-VLOOKUP($P78&amp;" | "&amp;BB$6,'Job Master'!$F$12:$I$102,4,0),BK78-VLOOKUP($P78&amp;" | "&amp;BB$6,'Job Master'!$F$12:$I$102,4,0)-1),""),"")</f>
        <v/>
      </c>
      <c r="BE78" s="73"/>
      <c r="BF78" s="123" t="str">
        <f t="shared" si="153"/>
        <v/>
      </c>
      <c r="BG78" s="123" t="str">
        <f t="shared" si="154"/>
        <v/>
      </c>
      <c r="BH78" s="97" t="str">
        <f t="shared" ca="1" si="155"/>
        <v/>
      </c>
      <c r="BI78" s="98" t="str">
        <f>IF(BK78&lt;&gt;"",VLOOKUP($P78&amp;" | "&amp;BI$6,'Job Master'!$F$12:$J$102,5,0),"")</f>
        <v/>
      </c>
      <c r="BJ78" s="19" t="str">
        <f>IF(BK78&lt;&gt;"",VLOOKUP($P78&amp;" | "&amp;BI$6,'Job Master'!$F$12:$J$102,3,0),"")</f>
        <v/>
      </c>
      <c r="BK78" s="19" t="str">
        <f>IFERROR(IF(AND(BR78&lt;&gt;"",VLOOKUP($P78&amp;" | "&amp;BI$6,'Job Master'!$F$12:$I$102,4,0)&lt;&gt;""),IF(WEEKDAY(BR78-VLOOKUP($P78&amp;" | "&amp;BI$6,'Job Master'!$F$12:$I$102,4,0))&lt;&gt;7,BR78-VLOOKUP($P78&amp;" | "&amp;BI$6,'Job Master'!$F$12:$I$102,4,0),BR78-VLOOKUP($P78&amp;" | "&amp;BI$6,'Job Master'!$F$12:$I$102,4,0)-1),""),"")</f>
        <v/>
      </c>
      <c r="BL78" s="73"/>
      <c r="BM78" s="123" t="str">
        <f t="shared" si="156"/>
        <v/>
      </c>
      <c r="BN78" s="123" t="str">
        <f t="shared" si="157"/>
        <v/>
      </c>
      <c r="BO78" s="97" t="str">
        <f t="shared" ca="1" si="158"/>
        <v/>
      </c>
      <c r="BP78" s="98" t="str">
        <f>IF(BR78&lt;&gt;"",VLOOKUP($P78&amp;" | "&amp;BP$6,'Job Master'!$F$12:$J$102,5,0),"")</f>
        <v/>
      </c>
      <c r="BQ78" s="19" t="str">
        <f>IF(BR78&lt;&gt;"",VLOOKUP($P78&amp;" | "&amp;BP$6,'Job Master'!$F$12:$J$102,3,0),"")</f>
        <v/>
      </c>
      <c r="BR78" s="19" t="str">
        <f>IFERROR(IF(AND(BY78&lt;&gt;"",VLOOKUP($P78&amp;" | "&amp;BP$6,'Job Master'!$F$12:$I$102,4,0)&lt;&gt;""),IF(WEEKDAY(BY78-VLOOKUP($P78&amp;" | "&amp;BP$6,'Job Master'!$F$12:$I$102,4,0))&lt;&gt;7,BY78-VLOOKUP($P78&amp;" | "&amp;BP$6,'Job Master'!$F$12:$I$102,4,0),BY78-VLOOKUP($P78&amp;" | "&amp;BP$6,'Job Master'!$F$12:$I$102,4,0)-1),""),"")</f>
        <v/>
      </c>
      <c r="BS78" s="73"/>
      <c r="BT78" s="123" t="str">
        <f t="shared" si="159"/>
        <v/>
      </c>
      <c r="BU78" s="123" t="str">
        <f t="shared" si="160"/>
        <v/>
      </c>
      <c r="BV78" s="97" t="str">
        <f t="shared" ca="1" si="161"/>
        <v/>
      </c>
      <c r="BW78" s="98" t="str">
        <f>IF(BY78&lt;&gt;"",VLOOKUP($P78&amp;" | "&amp;BW$6,'Job Master'!$F$12:$J$102,5,0),"")</f>
        <v/>
      </c>
      <c r="BX78" s="19" t="str">
        <f>IF(BY78&lt;&gt;"",VLOOKUP($P78&amp;" | "&amp;BW$6,'Job Master'!$F$12:$J$102,3,0),"")</f>
        <v/>
      </c>
      <c r="BY78" s="19" t="str">
        <f>IFERROR(IF(AND(CF78&lt;&gt;"",VLOOKUP($P78&amp;" | "&amp;BW$6,'Job Master'!$F$12:$I$102,4,0)&lt;&gt;""),IF(WEEKDAY(CF78-VLOOKUP($P78&amp;" | "&amp;BW$6,'Job Master'!$F$12:$I$102,4,0))&lt;&gt;7,CF78-VLOOKUP($P78&amp;" | "&amp;BW$6,'Job Master'!$F$12:$I$102,4,0),CF78-VLOOKUP($P78&amp;" | "&amp;BW$6,'Job Master'!$F$12:$I$102,4,0)-1),""),"")</f>
        <v/>
      </c>
      <c r="BZ78" s="73"/>
      <c r="CA78" s="123" t="str">
        <f t="shared" si="162"/>
        <v/>
      </c>
      <c r="CB78" s="123" t="str">
        <f t="shared" si="163"/>
        <v/>
      </c>
      <c r="CC78" s="97" t="str">
        <f t="shared" ca="1" si="164"/>
        <v/>
      </c>
      <c r="CD78" s="98" t="str">
        <f>IF(CF78&lt;&gt;"",VLOOKUP($P78&amp;" | "&amp;CD$6,'Job Master'!$F$12:$J$102,5,0),"")</f>
        <v/>
      </c>
      <c r="CE78" s="19" t="str">
        <f>IF(CF78&lt;&gt;"",VLOOKUP($P78&amp;" | "&amp;CD$6,'Job Master'!$F$12:$J$102,3,0),"")</f>
        <v/>
      </c>
      <c r="CF78" s="19" t="str">
        <f>IFERROR(IF(AND(CM78&lt;&gt;"",VLOOKUP($P78&amp;" | "&amp;CD$6,'Job Master'!$F$12:$I$102,4,0)&lt;&gt;""),IF(WEEKDAY(CM78-VLOOKUP($P78&amp;" | "&amp;CD$6,'Job Master'!$F$12:$I$102,4,0))&lt;&gt;7,CM78-VLOOKUP($P78&amp;" | "&amp;CD$6,'Job Master'!$F$12:$I$102,4,0),CM78-VLOOKUP($P78&amp;" | "&amp;CD$6,'Job Master'!$F$12:$I$102,4,0)-1),""),"")</f>
        <v/>
      </c>
      <c r="CG78" s="73"/>
      <c r="CH78" s="123" t="str">
        <f t="shared" si="165"/>
        <v/>
      </c>
      <c r="CI78" s="123" t="str">
        <f t="shared" si="166"/>
        <v/>
      </c>
      <c r="CJ78" s="97" t="str">
        <f t="shared" ca="1" si="167"/>
        <v/>
      </c>
      <c r="CK78" s="98" t="str">
        <f>IF(CM78&lt;&gt;"",VLOOKUP($P78&amp;" | "&amp;CK$6,'Job Master'!$F$12:$J$102,5,0),"")</f>
        <v/>
      </c>
      <c r="CL78" s="19" t="str">
        <f>IF(CM78&lt;&gt;"",VLOOKUP($P78&amp;" | "&amp;CK$6,'Job Master'!$F$12:$J$102,3,0),"")</f>
        <v/>
      </c>
      <c r="CM78" s="19" t="str">
        <f>IFERROR(IF(AND(CT78&lt;&gt;"",VLOOKUP($P78&amp;" | "&amp;CK$6,'Job Master'!$F$12:$I$102,4,0)&lt;&gt;""),IF(WEEKDAY(CT78-VLOOKUP($P78&amp;" | "&amp;CK$6,'Job Master'!$F$12:$I$102,4,0))&lt;&gt;7,CT78-VLOOKUP($P78&amp;" | "&amp;CK$6,'Job Master'!$F$12:$I$102,4,0),CT78-VLOOKUP($P78&amp;" | "&amp;CK$6,'Job Master'!$F$12:$I$102,4,0)-1),""),"")</f>
        <v/>
      </c>
      <c r="CN78" s="73"/>
      <c r="CO78" s="123" t="str">
        <f t="shared" si="168"/>
        <v/>
      </c>
      <c r="CP78" s="123" t="str">
        <f t="shared" si="169"/>
        <v/>
      </c>
      <c r="CQ78" s="97" t="str">
        <f t="shared" ca="1" si="170"/>
        <v/>
      </c>
      <c r="CR78" s="98" t="str">
        <f>IF(CT78&lt;&gt;"",VLOOKUP($P78&amp;" | "&amp;CR$6,'Job Master'!$F$12:$J$102,5,0),"")</f>
        <v/>
      </c>
      <c r="CS78" s="19" t="str">
        <f>IF(CT78&lt;&gt;"",VLOOKUP($P78&amp;" | "&amp;CR$6,'Job Master'!$F$12:$J$102,3,0),"")</f>
        <v/>
      </c>
      <c r="CT78" s="19" t="str">
        <f>IFERROR(IF(AND(DA78&lt;&gt;"",VLOOKUP($P78&amp;" | "&amp;CR$6,'Job Master'!$F$12:$I$102,4,0)&lt;&gt;""),IF(WEEKDAY(DA78-VLOOKUP($P78&amp;" | "&amp;CR$6,'Job Master'!$F$12:$I$102,4,0))&lt;&gt;7,DA78-VLOOKUP($P78&amp;" | "&amp;CR$6,'Job Master'!$F$12:$I$102,4,0),DA78-VLOOKUP($P78&amp;" | "&amp;CR$6,'Job Master'!$F$12:$I$102,4,0)-1),""),"")</f>
        <v/>
      </c>
      <c r="CU78" s="73"/>
      <c r="CV78" s="123" t="str">
        <f t="shared" si="171"/>
        <v/>
      </c>
      <c r="CW78" s="123" t="str">
        <f t="shared" si="172"/>
        <v/>
      </c>
      <c r="CX78" s="97" t="str">
        <f t="shared" ca="1" si="173"/>
        <v/>
      </c>
      <c r="CY78" s="98" t="str">
        <f>IF(DA78&lt;&gt;"",VLOOKUP($P78&amp;" | "&amp;CY$6,'Job Master'!$F$12:$J$102,5,0),"")</f>
        <v/>
      </c>
      <c r="CZ78" s="19" t="str">
        <f>IF(DA78&lt;&gt;"",VLOOKUP($P78&amp;" | "&amp;CY$6,'Job Master'!$F$12:$J$102,3,0),"")</f>
        <v/>
      </c>
      <c r="DA78" s="19" t="str">
        <f>IFERROR(IF(AND(DH78&lt;&gt;"",VLOOKUP($P78&amp;" | "&amp;CY$6,'Job Master'!$F$12:$I$102,4,0)&lt;&gt;""),IF(WEEKDAY(DH78-VLOOKUP($P78&amp;" | "&amp;CY$6,'Job Master'!$F$12:$I$102,4,0))&lt;&gt;7,DH78-VLOOKUP($P78&amp;" | "&amp;CY$6,'Job Master'!$F$12:$I$102,4,0),DH78-VLOOKUP($P78&amp;" | "&amp;CY$6,'Job Master'!$F$12:$I$102,4,0)-1),""),"")</f>
        <v/>
      </c>
      <c r="DB78" s="73"/>
      <c r="DC78" s="123" t="str">
        <f t="shared" si="174"/>
        <v/>
      </c>
      <c r="DD78" s="123" t="str">
        <f t="shared" si="175"/>
        <v/>
      </c>
      <c r="DE78" s="97" t="str">
        <f t="shared" ca="1" si="176"/>
        <v/>
      </c>
      <c r="DF78" s="98" t="str">
        <f>IF(DH78&lt;&gt;"",VLOOKUP($P78&amp;" | "&amp;DF$6,'Job Master'!$F$12:$J$102,5,0),"")</f>
        <v/>
      </c>
      <c r="DG78" s="19" t="str">
        <f>IF(DH78&lt;&gt;"",VLOOKUP($P78&amp;" | "&amp;DF$6,'Job Master'!$F$12:$J$102,3,0),"")</f>
        <v/>
      </c>
      <c r="DH78" s="19" t="str">
        <f>IFERROR(IF(AND(DO78&lt;&gt;"",VLOOKUP($P78&amp;" | "&amp;DF$6,'Job Master'!$F$12:$I$102,4,0)&lt;&gt;""),IF(WEEKDAY(DO78-VLOOKUP($P78&amp;" | "&amp;DF$6,'Job Master'!$F$12:$I$102,4,0))&lt;&gt;7,DO78-VLOOKUP($P78&amp;" | "&amp;DF$6,'Job Master'!$F$12:$I$102,4,0),DO78-VLOOKUP($P78&amp;" | "&amp;DF$6,'Job Master'!$F$12:$I$102,4,0)-1),""),"")</f>
        <v/>
      </c>
      <c r="DI78" s="73"/>
      <c r="DJ78" s="123" t="str">
        <f t="shared" si="177"/>
        <v/>
      </c>
      <c r="DK78" s="123" t="str">
        <f t="shared" si="178"/>
        <v/>
      </c>
      <c r="DL78" s="97" t="str">
        <f t="shared" ca="1" si="179"/>
        <v/>
      </c>
      <c r="DM78" s="98" t="str">
        <f>IF(DO78&lt;&gt;"",VLOOKUP($P78&amp;" | "&amp;DM$6,'Job Master'!$F$12:$J$102,5,0),"")</f>
        <v/>
      </c>
      <c r="DN78" s="19" t="str">
        <f>IF(DO78&lt;&gt;"",VLOOKUP($P78&amp;" | "&amp;DM$6,'Job Master'!$F$12:$J$102,3,0),"")</f>
        <v/>
      </c>
      <c r="DO78" s="19" t="str">
        <f>IFERROR(IF(AND(DT78&lt;&gt;"",VLOOKUP($P78&amp;" | "&amp;DM$6,'Job Master'!$F$12:$I$102,4,0)&lt;&gt;""),IF(WEEKDAY(DT78-VLOOKUP($P78&amp;" | "&amp;DM$6,'Job Master'!$F$12:$I$102,4,0))&lt;&gt;7,DT78-VLOOKUP($P78&amp;" | "&amp;DM$6,'Job Master'!$F$12:$I$102,4,0),DT78-VLOOKUP($P78&amp;" | "&amp;DM$6,'Job Master'!$F$12:$I$102,4,0)-1),""),"")</f>
        <v/>
      </c>
      <c r="DP78" s="73"/>
      <c r="DQ78" s="123" t="str">
        <f t="shared" si="180"/>
        <v/>
      </c>
      <c r="DR78" s="123" t="str">
        <f t="shared" si="181"/>
        <v/>
      </c>
      <c r="DS78" s="97" t="str">
        <f t="shared" ca="1" si="182"/>
        <v/>
      </c>
      <c r="DT78" s="70" t="str">
        <f t="shared" si="183"/>
        <v/>
      </c>
      <c r="DU78" s="90"/>
      <c r="DV78" s="123" t="str">
        <f t="shared" si="184"/>
        <v/>
      </c>
      <c r="DW78" s="123" t="str">
        <f t="shared" si="185"/>
        <v/>
      </c>
      <c r="DX78" s="132" t="str">
        <f t="shared" ref="DX78" ca="1" si="192">IF(DT78&lt;&gt;"",IF(WEEKNUM(DT78)=WEEKNUM(TODAY()),"This Week",IF(WEEKNUM(DT78)=WEEKNUM(TODAY())+1,"Next Week",IF(WEEKNUM(DT78)=WEEKNUM(TODAY())-1,"Previous Week",""))),"")</f>
        <v/>
      </c>
      <c r="DY78" s="134" t="str">
        <f t="shared" si="187"/>
        <v/>
      </c>
      <c r="DZ78" s="95"/>
      <c r="EB78" s="8" t="str">
        <f t="shared" ref="EB78:EB141" si="193">IF(Y78&lt;&gt;"",Y78,"")</f>
        <v/>
      </c>
      <c r="EC78" s="8" t="str">
        <f>IF(O78&lt;&gt;"",VLOOKUP(O78,'Job Master'!$N$12:$O$18,2,0),"")</f>
        <v/>
      </c>
      <c r="ED78" s="8">
        <f t="shared" ref="ED78:ED141" si="194">IF(EC78&lt;&gt;"",IF(EF78&gt;EC78,EB78,MOD(EB78,EC78)),ED77)</f>
        <v>19.5</v>
      </c>
      <c r="EE78" s="8">
        <f t="shared" ref="EE78:EE141" si="195">IF(EC78&lt;&gt;"",EC78,IF(EE77&lt;&gt;"",EE77,""))</f>
        <v>6</v>
      </c>
      <c r="EF78" s="8">
        <f t="shared" ref="EF78:EF141" si="196">IF(EC78&lt;&gt;"",EB78,IF(EF77&lt;&gt;"",EF77-EE78,""))</f>
        <v>-388.5</v>
      </c>
      <c r="EG78" s="8" t="str">
        <f t="shared" ref="EG78:EG141" si="197">IF(EF77&lt;&gt;0,IF(EF78&gt;0,EF78,""),IF(EF78&lt;&gt;"",IF(EF78&gt;0,EF78,""),""))</f>
        <v/>
      </c>
      <c r="EH78" s="8" t="str">
        <f t="shared" ref="EH78:EH141" si="198">IF(EG78&lt;&gt;"",IF(EG78&gt;=EE78,EE78,MOD(ED78,EE78)),"")</f>
        <v/>
      </c>
    </row>
    <row r="79" spans="2:138" x14ac:dyDescent="0.3">
      <c r="B79" s="112"/>
      <c r="C79" s="27"/>
      <c r="D79" s="7" t="str">
        <f t="shared" si="135"/>
        <v/>
      </c>
      <c r="E79" s="25"/>
      <c r="F79" s="7" t="str">
        <f t="shared" si="135"/>
        <v/>
      </c>
      <c r="G79" s="25"/>
      <c r="H79" s="7" t="str">
        <f t="shared" si="135"/>
        <v/>
      </c>
      <c r="I79" s="25"/>
      <c r="J79" s="7" t="str">
        <f t="shared" si="135"/>
        <v/>
      </c>
      <c r="K79" s="25"/>
      <c r="L79" s="7" t="str">
        <f t="shared" si="136"/>
        <v/>
      </c>
      <c r="M79" s="25"/>
      <c r="N79" s="7" t="str">
        <f t="shared" si="137"/>
        <v/>
      </c>
      <c r="O79" s="81"/>
      <c r="P79" s="81" t="str">
        <f t="shared" si="138"/>
        <v/>
      </c>
      <c r="Q79" s="81"/>
      <c r="R79" s="7" t="str">
        <f t="shared" si="139"/>
        <v/>
      </c>
      <c r="S79" s="25"/>
      <c r="T79" s="7" t="str">
        <f t="shared" si="140"/>
        <v/>
      </c>
      <c r="U79" s="25"/>
      <c r="V79" s="7" t="str">
        <f t="shared" si="141"/>
        <v/>
      </c>
      <c r="W79" s="25"/>
      <c r="X79" s="7" t="str">
        <f t="shared" si="142"/>
        <v/>
      </c>
      <c r="Y79" s="18" t="str">
        <f t="shared" si="143"/>
        <v/>
      </c>
      <c r="Z79" s="7" t="str">
        <f t="shared" si="144"/>
        <v/>
      </c>
      <c r="AA79" s="18" t="str">
        <f t="shared" si="145"/>
        <v/>
      </c>
      <c r="AB79" s="19" t="str">
        <f t="shared" si="146"/>
        <v/>
      </c>
      <c r="AC79" s="26"/>
      <c r="AD79" s="26"/>
      <c r="AE79" s="25"/>
      <c r="AF79" s="26"/>
      <c r="AG79" s="25"/>
      <c r="AH79" s="25"/>
      <c r="AI79" s="18" t="str">
        <f t="shared" si="83"/>
        <v/>
      </c>
      <c r="AJ79" s="25"/>
      <c r="AK79" s="18" t="str">
        <f t="shared" si="84"/>
        <v/>
      </c>
      <c r="AL79" s="79"/>
      <c r="AM79" s="126" t="str">
        <f t="shared" si="85"/>
        <v/>
      </c>
      <c r="AN79" s="128" t="str">
        <f>IF(AP79&lt;&gt;"",VLOOKUP($P79&amp;" | "&amp;AN$6,'Job Master'!$F$12:$J$102,5,0),"")</f>
        <v/>
      </c>
      <c r="AO79" s="19" t="str">
        <f>IF(AP79&lt;&gt;"",VLOOKUP($P79&amp;" | "&amp;AN$6,'Job Master'!$F$12:$J$102,3,0),"")</f>
        <v/>
      </c>
      <c r="AP79" s="19" t="str">
        <f>IFERROR(IF(AND(AW79&lt;&gt;"",VLOOKUP($P79&amp;" | "&amp;AN$6,'Job Master'!$F$12:$I$102,4,0)&lt;&gt;""),IF(WEEKDAY(AW79-VLOOKUP($P79&amp;" | "&amp;AN$6,'Job Master'!$F$12:$I$102,4,0))&lt;&gt;7,AW79-VLOOKUP($P79&amp;" | "&amp;AN$6,'Job Master'!$F$12:$I$102,4,0),AW79-VLOOKUP($P79&amp;" | "&amp;AN$6,'Job Master'!$F$12:$I$102,4,0)-1),""),"")</f>
        <v/>
      </c>
      <c r="AQ79" s="73"/>
      <c r="AR79" s="123" t="str">
        <f t="shared" si="147"/>
        <v/>
      </c>
      <c r="AS79" s="123" t="str">
        <f t="shared" si="148"/>
        <v/>
      </c>
      <c r="AT79" s="97" t="str">
        <f t="shared" ca="1" si="149"/>
        <v/>
      </c>
      <c r="AU79" s="98" t="str">
        <f>IF(AW79&lt;&gt;"",VLOOKUP($P79&amp;" | "&amp;AU$6,'Job Master'!$F$12:$J$102,5,0),"")</f>
        <v/>
      </c>
      <c r="AV79" s="19" t="str">
        <f>IF(AW79&lt;&gt;"",VLOOKUP($P79&amp;" | "&amp;AU$6,'Job Master'!$F$12:$J$102,3,0),"")</f>
        <v/>
      </c>
      <c r="AW79" s="19" t="str">
        <f>IFERROR(IF(AND(BD79&lt;&gt;"",VLOOKUP($P79&amp;" | "&amp;AU$6,'Job Master'!$F$12:$I$102,4,0)&lt;&gt;""),IF(WEEKDAY(BD79-VLOOKUP($P79&amp;" | "&amp;AU$6,'Job Master'!$F$12:$I$102,4,0))&lt;&gt;7,BD79-VLOOKUP($P79&amp;" | "&amp;AU$6,'Job Master'!$F$12:$I$102,4,0),BD79-VLOOKUP($P79&amp;" | "&amp;AU$6,'Job Master'!$F$12:$I$102,4,0)-1),""),"")</f>
        <v/>
      </c>
      <c r="AX79" s="73"/>
      <c r="AY79" s="123" t="str">
        <f t="shared" si="150"/>
        <v/>
      </c>
      <c r="AZ79" s="123" t="str">
        <f t="shared" si="151"/>
        <v/>
      </c>
      <c r="BA79" s="97" t="str">
        <f t="shared" ca="1" si="152"/>
        <v/>
      </c>
      <c r="BB79" s="98" t="str">
        <f>IF(BD79&lt;&gt;"",VLOOKUP($P79&amp;" | "&amp;BB$6,'Job Master'!$F$12:$J$102,5,0),"")</f>
        <v/>
      </c>
      <c r="BC79" s="19" t="str">
        <f>IF(BD79&lt;&gt;"",VLOOKUP($P79&amp;" | "&amp;BB$6,'Job Master'!$F$12:$J$102,3,0),"")</f>
        <v/>
      </c>
      <c r="BD79" s="19" t="str">
        <f>IFERROR(IF(AND(BK79&lt;&gt;"",VLOOKUP($P79&amp;" | "&amp;BB$6,'Job Master'!$F$12:$I$102,4,0)&lt;&gt;""),IF(WEEKDAY(BK79-VLOOKUP($P79&amp;" | "&amp;BB$6,'Job Master'!$F$12:$I$102,4,0))&lt;&gt;7,BK79-VLOOKUP($P79&amp;" | "&amp;BB$6,'Job Master'!$F$12:$I$102,4,0),BK79-VLOOKUP($P79&amp;" | "&amp;BB$6,'Job Master'!$F$12:$I$102,4,0)-1),""),"")</f>
        <v/>
      </c>
      <c r="BE79" s="73"/>
      <c r="BF79" s="123" t="str">
        <f t="shared" si="153"/>
        <v/>
      </c>
      <c r="BG79" s="123" t="str">
        <f t="shared" si="154"/>
        <v/>
      </c>
      <c r="BH79" s="97" t="str">
        <f t="shared" ca="1" si="155"/>
        <v/>
      </c>
      <c r="BI79" s="98" t="str">
        <f>IF(BK79&lt;&gt;"",VLOOKUP($P79&amp;" | "&amp;BI$6,'Job Master'!$F$12:$J$102,5,0),"")</f>
        <v/>
      </c>
      <c r="BJ79" s="19" t="str">
        <f>IF(BK79&lt;&gt;"",VLOOKUP($P79&amp;" | "&amp;BI$6,'Job Master'!$F$12:$J$102,3,0),"")</f>
        <v/>
      </c>
      <c r="BK79" s="19" t="str">
        <f>IFERROR(IF(AND(BR79&lt;&gt;"",VLOOKUP($P79&amp;" | "&amp;BI$6,'Job Master'!$F$12:$I$102,4,0)&lt;&gt;""),IF(WEEKDAY(BR79-VLOOKUP($P79&amp;" | "&amp;BI$6,'Job Master'!$F$12:$I$102,4,0))&lt;&gt;7,BR79-VLOOKUP($P79&amp;" | "&amp;BI$6,'Job Master'!$F$12:$I$102,4,0),BR79-VLOOKUP($P79&amp;" | "&amp;BI$6,'Job Master'!$F$12:$I$102,4,0)-1),""),"")</f>
        <v/>
      </c>
      <c r="BL79" s="73"/>
      <c r="BM79" s="123" t="str">
        <f t="shared" si="156"/>
        <v/>
      </c>
      <c r="BN79" s="123" t="str">
        <f t="shared" si="157"/>
        <v/>
      </c>
      <c r="BO79" s="97" t="str">
        <f t="shared" ca="1" si="158"/>
        <v/>
      </c>
      <c r="BP79" s="98" t="str">
        <f>IF(BR79&lt;&gt;"",VLOOKUP($P79&amp;" | "&amp;BP$6,'Job Master'!$F$12:$J$102,5,0),"")</f>
        <v/>
      </c>
      <c r="BQ79" s="19" t="str">
        <f>IF(BR79&lt;&gt;"",VLOOKUP($P79&amp;" | "&amp;BP$6,'Job Master'!$F$12:$J$102,3,0),"")</f>
        <v/>
      </c>
      <c r="BR79" s="19" t="str">
        <f>IFERROR(IF(AND(BY79&lt;&gt;"",VLOOKUP($P79&amp;" | "&amp;BP$6,'Job Master'!$F$12:$I$102,4,0)&lt;&gt;""),IF(WEEKDAY(BY79-VLOOKUP($P79&amp;" | "&amp;BP$6,'Job Master'!$F$12:$I$102,4,0))&lt;&gt;7,BY79-VLOOKUP($P79&amp;" | "&amp;BP$6,'Job Master'!$F$12:$I$102,4,0),BY79-VLOOKUP($P79&amp;" | "&amp;BP$6,'Job Master'!$F$12:$I$102,4,0)-1),""),"")</f>
        <v/>
      </c>
      <c r="BS79" s="73"/>
      <c r="BT79" s="123" t="str">
        <f t="shared" si="159"/>
        <v/>
      </c>
      <c r="BU79" s="123" t="str">
        <f t="shared" si="160"/>
        <v/>
      </c>
      <c r="BV79" s="97" t="str">
        <f t="shared" ca="1" si="161"/>
        <v/>
      </c>
      <c r="BW79" s="98" t="str">
        <f>IF(BY79&lt;&gt;"",VLOOKUP($P79&amp;" | "&amp;BW$6,'Job Master'!$F$12:$J$102,5,0),"")</f>
        <v/>
      </c>
      <c r="BX79" s="19" t="str">
        <f>IF(BY79&lt;&gt;"",VLOOKUP($P79&amp;" | "&amp;BW$6,'Job Master'!$F$12:$J$102,3,0),"")</f>
        <v/>
      </c>
      <c r="BY79" s="19" t="str">
        <f>IFERROR(IF(AND(CF79&lt;&gt;"",VLOOKUP($P79&amp;" | "&amp;BW$6,'Job Master'!$F$12:$I$102,4,0)&lt;&gt;""),IF(WEEKDAY(CF79-VLOOKUP($P79&amp;" | "&amp;BW$6,'Job Master'!$F$12:$I$102,4,0))&lt;&gt;7,CF79-VLOOKUP($P79&amp;" | "&amp;BW$6,'Job Master'!$F$12:$I$102,4,0),CF79-VLOOKUP($P79&amp;" | "&amp;BW$6,'Job Master'!$F$12:$I$102,4,0)-1),""),"")</f>
        <v/>
      </c>
      <c r="BZ79" s="73"/>
      <c r="CA79" s="123" t="str">
        <f t="shared" si="162"/>
        <v/>
      </c>
      <c r="CB79" s="123" t="str">
        <f t="shared" si="163"/>
        <v/>
      </c>
      <c r="CC79" s="97" t="str">
        <f t="shared" ca="1" si="164"/>
        <v/>
      </c>
      <c r="CD79" s="98" t="str">
        <f>IF(CF79&lt;&gt;"",VLOOKUP($P79&amp;" | "&amp;CD$6,'Job Master'!$F$12:$J$102,5,0),"")</f>
        <v/>
      </c>
      <c r="CE79" s="19" t="str">
        <f>IF(CF79&lt;&gt;"",VLOOKUP($P79&amp;" | "&amp;CD$6,'Job Master'!$F$12:$J$102,3,0),"")</f>
        <v/>
      </c>
      <c r="CF79" s="19" t="str">
        <f>IFERROR(IF(AND(CM79&lt;&gt;"",VLOOKUP($P79&amp;" | "&amp;CD$6,'Job Master'!$F$12:$I$102,4,0)&lt;&gt;""),IF(WEEKDAY(CM79-VLOOKUP($P79&amp;" | "&amp;CD$6,'Job Master'!$F$12:$I$102,4,0))&lt;&gt;7,CM79-VLOOKUP($P79&amp;" | "&amp;CD$6,'Job Master'!$F$12:$I$102,4,0),CM79-VLOOKUP($P79&amp;" | "&amp;CD$6,'Job Master'!$F$12:$I$102,4,0)-1),""),"")</f>
        <v/>
      </c>
      <c r="CG79" s="73"/>
      <c r="CH79" s="123" t="str">
        <f t="shared" si="165"/>
        <v/>
      </c>
      <c r="CI79" s="123" t="str">
        <f t="shared" si="166"/>
        <v/>
      </c>
      <c r="CJ79" s="97" t="str">
        <f t="shared" ca="1" si="167"/>
        <v/>
      </c>
      <c r="CK79" s="98" t="str">
        <f>IF(CM79&lt;&gt;"",VLOOKUP($P79&amp;" | "&amp;CK$6,'Job Master'!$F$12:$J$102,5,0),"")</f>
        <v/>
      </c>
      <c r="CL79" s="19" t="str">
        <f>IF(CM79&lt;&gt;"",VLOOKUP($P79&amp;" | "&amp;CK$6,'Job Master'!$F$12:$J$102,3,0),"")</f>
        <v/>
      </c>
      <c r="CM79" s="19" t="str">
        <f>IFERROR(IF(AND(CT79&lt;&gt;"",VLOOKUP($P79&amp;" | "&amp;CK$6,'Job Master'!$F$12:$I$102,4,0)&lt;&gt;""),IF(WEEKDAY(CT79-VLOOKUP($P79&amp;" | "&amp;CK$6,'Job Master'!$F$12:$I$102,4,0))&lt;&gt;7,CT79-VLOOKUP($P79&amp;" | "&amp;CK$6,'Job Master'!$F$12:$I$102,4,0),CT79-VLOOKUP($P79&amp;" | "&amp;CK$6,'Job Master'!$F$12:$I$102,4,0)-1),""),"")</f>
        <v/>
      </c>
      <c r="CN79" s="73"/>
      <c r="CO79" s="123" t="str">
        <f t="shared" si="168"/>
        <v/>
      </c>
      <c r="CP79" s="123" t="str">
        <f t="shared" si="169"/>
        <v/>
      </c>
      <c r="CQ79" s="97" t="str">
        <f t="shared" ca="1" si="170"/>
        <v/>
      </c>
      <c r="CR79" s="98" t="str">
        <f>IF(CT79&lt;&gt;"",VLOOKUP($P79&amp;" | "&amp;CR$6,'Job Master'!$F$12:$J$102,5,0),"")</f>
        <v/>
      </c>
      <c r="CS79" s="19" t="str">
        <f>IF(CT79&lt;&gt;"",VLOOKUP($P79&amp;" | "&amp;CR$6,'Job Master'!$F$12:$J$102,3,0),"")</f>
        <v/>
      </c>
      <c r="CT79" s="19" t="str">
        <f>IFERROR(IF(AND(DA79&lt;&gt;"",VLOOKUP($P79&amp;" | "&amp;CR$6,'Job Master'!$F$12:$I$102,4,0)&lt;&gt;""),IF(WEEKDAY(DA79-VLOOKUP($P79&amp;" | "&amp;CR$6,'Job Master'!$F$12:$I$102,4,0))&lt;&gt;7,DA79-VLOOKUP($P79&amp;" | "&amp;CR$6,'Job Master'!$F$12:$I$102,4,0),DA79-VLOOKUP($P79&amp;" | "&amp;CR$6,'Job Master'!$F$12:$I$102,4,0)-1),""),"")</f>
        <v/>
      </c>
      <c r="CU79" s="73"/>
      <c r="CV79" s="123" t="str">
        <f t="shared" si="171"/>
        <v/>
      </c>
      <c r="CW79" s="123" t="str">
        <f t="shared" si="172"/>
        <v/>
      </c>
      <c r="CX79" s="97" t="str">
        <f t="shared" ca="1" si="173"/>
        <v/>
      </c>
      <c r="CY79" s="98" t="str">
        <f>IF(DA79&lt;&gt;"",VLOOKUP($P79&amp;" | "&amp;CY$6,'Job Master'!$F$12:$J$102,5,0),"")</f>
        <v/>
      </c>
      <c r="CZ79" s="19" t="str">
        <f>IF(DA79&lt;&gt;"",VLOOKUP($P79&amp;" | "&amp;CY$6,'Job Master'!$F$12:$J$102,3,0),"")</f>
        <v/>
      </c>
      <c r="DA79" s="19" t="str">
        <f>IFERROR(IF(AND(DH79&lt;&gt;"",VLOOKUP($P79&amp;" | "&amp;CY$6,'Job Master'!$F$12:$I$102,4,0)&lt;&gt;""),IF(WEEKDAY(DH79-VLOOKUP($P79&amp;" | "&amp;CY$6,'Job Master'!$F$12:$I$102,4,0))&lt;&gt;7,DH79-VLOOKUP($P79&amp;" | "&amp;CY$6,'Job Master'!$F$12:$I$102,4,0),DH79-VLOOKUP($P79&amp;" | "&amp;CY$6,'Job Master'!$F$12:$I$102,4,0)-1),""),"")</f>
        <v/>
      </c>
      <c r="DB79" s="73"/>
      <c r="DC79" s="123" t="str">
        <f t="shared" si="174"/>
        <v/>
      </c>
      <c r="DD79" s="123" t="str">
        <f t="shared" si="175"/>
        <v/>
      </c>
      <c r="DE79" s="97" t="str">
        <f t="shared" ca="1" si="176"/>
        <v/>
      </c>
      <c r="DF79" s="98" t="str">
        <f>IF(DH79&lt;&gt;"",VLOOKUP($P79&amp;" | "&amp;DF$6,'Job Master'!$F$12:$J$102,5,0),"")</f>
        <v/>
      </c>
      <c r="DG79" s="19" t="str">
        <f>IF(DH79&lt;&gt;"",VLOOKUP($P79&amp;" | "&amp;DF$6,'Job Master'!$F$12:$J$102,3,0),"")</f>
        <v/>
      </c>
      <c r="DH79" s="19" t="str">
        <f>IFERROR(IF(AND(DO79&lt;&gt;"",VLOOKUP($P79&amp;" | "&amp;DF$6,'Job Master'!$F$12:$I$102,4,0)&lt;&gt;""),IF(WEEKDAY(DO79-VLOOKUP($P79&amp;" | "&amp;DF$6,'Job Master'!$F$12:$I$102,4,0))&lt;&gt;7,DO79-VLOOKUP($P79&amp;" | "&amp;DF$6,'Job Master'!$F$12:$I$102,4,0),DO79-VLOOKUP($P79&amp;" | "&amp;DF$6,'Job Master'!$F$12:$I$102,4,0)-1),""),"")</f>
        <v/>
      </c>
      <c r="DI79" s="73"/>
      <c r="DJ79" s="123" t="str">
        <f t="shared" si="177"/>
        <v/>
      </c>
      <c r="DK79" s="123" t="str">
        <f t="shared" si="178"/>
        <v/>
      </c>
      <c r="DL79" s="97" t="str">
        <f t="shared" ca="1" si="179"/>
        <v/>
      </c>
      <c r="DM79" s="98" t="str">
        <f>IF(DO79&lt;&gt;"",VLOOKUP($P79&amp;" | "&amp;DM$6,'Job Master'!$F$12:$J$102,5,0),"")</f>
        <v/>
      </c>
      <c r="DN79" s="19" t="str">
        <f>IF(DO79&lt;&gt;"",VLOOKUP($P79&amp;" | "&amp;DM$6,'Job Master'!$F$12:$J$102,3,0),"")</f>
        <v/>
      </c>
      <c r="DO79" s="19" t="str">
        <f>IFERROR(IF(AND(DT79&lt;&gt;"",VLOOKUP($P79&amp;" | "&amp;DM$6,'Job Master'!$F$12:$I$102,4,0)&lt;&gt;""),IF(WEEKDAY(DT79-VLOOKUP($P79&amp;" | "&amp;DM$6,'Job Master'!$F$12:$I$102,4,0))&lt;&gt;7,DT79-VLOOKUP($P79&amp;" | "&amp;DM$6,'Job Master'!$F$12:$I$102,4,0),DT79-VLOOKUP($P79&amp;" | "&amp;DM$6,'Job Master'!$F$12:$I$102,4,0)-1),""),"")</f>
        <v/>
      </c>
      <c r="DP79" s="73"/>
      <c r="DQ79" s="123" t="str">
        <f t="shared" si="180"/>
        <v/>
      </c>
      <c r="DR79" s="123" t="str">
        <f t="shared" si="181"/>
        <v/>
      </c>
      <c r="DS79" s="97" t="str">
        <f t="shared" ca="1" si="182"/>
        <v/>
      </c>
      <c r="DT79" s="70" t="str">
        <f t="shared" si="183"/>
        <v/>
      </c>
      <c r="DU79" s="90"/>
      <c r="DV79" s="123" t="str">
        <f t="shared" si="184"/>
        <v/>
      </c>
      <c r="DW79" s="123" t="str">
        <f t="shared" si="185"/>
        <v/>
      </c>
      <c r="DX79" s="132" t="str">
        <f t="shared" ref="DX79" ca="1" si="199">IF(DT79&lt;&gt;"",IF(WEEKNUM(DT79)=WEEKNUM(TODAY()),"This Week",IF(WEEKNUM(DT79)=WEEKNUM(TODAY())+1,"Next Week",IF(WEEKNUM(DT79)=WEEKNUM(TODAY())-1,"Previous Week",""))),"")</f>
        <v/>
      </c>
      <c r="DY79" s="134" t="str">
        <f t="shared" si="187"/>
        <v/>
      </c>
      <c r="DZ79" s="95"/>
      <c r="EB79" s="8" t="str">
        <f t="shared" si="193"/>
        <v/>
      </c>
      <c r="EC79" s="8" t="str">
        <f>IF(O79&lt;&gt;"",VLOOKUP(O79,'Job Master'!$N$12:$O$18,2,0),"")</f>
        <v/>
      </c>
      <c r="ED79" s="8">
        <f t="shared" si="194"/>
        <v>19.5</v>
      </c>
      <c r="EE79" s="8">
        <f t="shared" si="195"/>
        <v>6</v>
      </c>
      <c r="EF79" s="8">
        <f t="shared" si="196"/>
        <v>-394.5</v>
      </c>
      <c r="EG79" s="8" t="str">
        <f t="shared" si="197"/>
        <v/>
      </c>
      <c r="EH79" s="8" t="str">
        <f t="shared" si="198"/>
        <v/>
      </c>
    </row>
    <row r="80" spans="2:138" x14ac:dyDescent="0.3">
      <c r="B80" s="112"/>
      <c r="C80" s="27"/>
      <c r="D80" s="7" t="str">
        <f t="shared" si="135"/>
        <v/>
      </c>
      <c r="E80" s="25"/>
      <c r="F80" s="7" t="str">
        <f t="shared" si="135"/>
        <v/>
      </c>
      <c r="G80" s="25"/>
      <c r="H80" s="7" t="str">
        <f t="shared" si="135"/>
        <v/>
      </c>
      <c r="I80" s="25"/>
      <c r="J80" s="7" t="str">
        <f t="shared" si="135"/>
        <v/>
      </c>
      <c r="K80" s="25"/>
      <c r="L80" s="7" t="str">
        <f t="shared" si="136"/>
        <v/>
      </c>
      <c r="M80" s="25"/>
      <c r="N80" s="7" t="str">
        <f t="shared" si="137"/>
        <v/>
      </c>
      <c r="O80" s="81"/>
      <c r="P80" s="81" t="str">
        <f t="shared" si="138"/>
        <v/>
      </c>
      <c r="Q80" s="81"/>
      <c r="R80" s="7" t="str">
        <f t="shared" si="139"/>
        <v/>
      </c>
      <c r="S80" s="25"/>
      <c r="T80" s="7" t="str">
        <f t="shared" si="140"/>
        <v/>
      </c>
      <c r="U80" s="25"/>
      <c r="V80" s="7" t="str">
        <f t="shared" si="141"/>
        <v/>
      </c>
      <c r="W80" s="25"/>
      <c r="X80" s="7" t="str">
        <f t="shared" si="142"/>
        <v/>
      </c>
      <c r="Y80" s="18" t="str">
        <f t="shared" si="143"/>
        <v/>
      </c>
      <c r="Z80" s="7" t="str">
        <f t="shared" si="144"/>
        <v/>
      </c>
      <c r="AA80" s="18" t="str">
        <f t="shared" si="145"/>
        <v/>
      </c>
      <c r="AB80" s="19" t="str">
        <f t="shared" si="146"/>
        <v/>
      </c>
      <c r="AC80" s="26"/>
      <c r="AD80" s="26"/>
      <c r="AE80" s="25"/>
      <c r="AF80" s="26"/>
      <c r="AG80" s="25"/>
      <c r="AH80" s="25"/>
      <c r="AI80" s="18" t="str">
        <f t="shared" si="83"/>
        <v/>
      </c>
      <c r="AJ80" s="25"/>
      <c r="AK80" s="18" t="str">
        <f t="shared" si="84"/>
        <v/>
      </c>
      <c r="AL80" s="79"/>
      <c r="AM80" s="126" t="str">
        <f t="shared" si="85"/>
        <v/>
      </c>
      <c r="AN80" s="128" t="str">
        <f>IF(AP80&lt;&gt;"",VLOOKUP($P80&amp;" | "&amp;AN$6,'Job Master'!$F$12:$J$102,5,0),"")</f>
        <v/>
      </c>
      <c r="AO80" s="19" t="str">
        <f>IF(AP80&lt;&gt;"",VLOOKUP($P80&amp;" | "&amp;AN$6,'Job Master'!$F$12:$J$102,3,0),"")</f>
        <v/>
      </c>
      <c r="AP80" s="19" t="str">
        <f>IFERROR(IF(AND(AW80&lt;&gt;"",VLOOKUP($P80&amp;" | "&amp;AN$6,'Job Master'!$F$12:$I$102,4,0)&lt;&gt;""),IF(WEEKDAY(AW80-VLOOKUP($P80&amp;" | "&amp;AN$6,'Job Master'!$F$12:$I$102,4,0))&lt;&gt;7,AW80-VLOOKUP($P80&amp;" | "&amp;AN$6,'Job Master'!$F$12:$I$102,4,0),AW80-VLOOKUP($P80&amp;" | "&amp;AN$6,'Job Master'!$F$12:$I$102,4,0)-1),""),"")</f>
        <v/>
      </c>
      <c r="AQ80" s="73"/>
      <c r="AR80" s="123" t="str">
        <f t="shared" si="147"/>
        <v/>
      </c>
      <c r="AS80" s="123" t="str">
        <f t="shared" si="148"/>
        <v/>
      </c>
      <c r="AT80" s="97" t="str">
        <f t="shared" ca="1" si="149"/>
        <v/>
      </c>
      <c r="AU80" s="98" t="str">
        <f>IF(AW80&lt;&gt;"",VLOOKUP($P80&amp;" | "&amp;AU$6,'Job Master'!$F$12:$J$102,5,0),"")</f>
        <v/>
      </c>
      <c r="AV80" s="19" t="str">
        <f>IF(AW80&lt;&gt;"",VLOOKUP($P80&amp;" | "&amp;AU$6,'Job Master'!$F$12:$J$102,3,0),"")</f>
        <v/>
      </c>
      <c r="AW80" s="19" t="str">
        <f>IFERROR(IF(AND(BD80&lt;&gt;"",VLOOKUP($P80&amp;" | "&amp;AU$6,'Job Master'!$F$12:$I$102,4,0)&lt;&gt;""),IF(WEEKDAY(BD80-VLOOKUP($P80&amp;" | "&amp;AU$6,'Job Master'!$F$12:$I$102,4,0))&lt;&gt;7,BD80-VLOOKUP($P80&amp;" | "&amp;AU$6,'Job Master'!$F$12:$I$102,4,0),BD80-VLOOKUP($P80&amp;" | "&amp;AU$6,'Job Master'!$F$12:$I$102,4,0)-1),""),"")</f>
        <v/>
      </c>
      <c r="AX80" s="73"/>
      <c r="AY80" s="123" t="str">
        <f t="shared" si="150"/>
        <v/>
      </c>
      <c r="AZ80" s="123" t="str">
        <f t="shared" si="151"/>
        <v/>
      </c>
      <c r="BA80" s="97" t="str">
        <f t="shared" ca="1" si="152"/>
        <v/>
      </c>
      <c r="BB80" s="98" t="str">
        <f>IF(BD80&lt;&gt;"",VLOOKUP($P80&amp;" | "&amp;BB$6,'Job Master'!$F$12:$J$102,5,0),"")</f>
        <v/>
      </c>
      <c r="BC80" s="19" t="str">
        <f>IF(BD80&lt;&gt;"",VLOOKUP($P80&amp;" | "&amp;BB$6,'Job Master'!$F$12:$J$102,3,0),"")</f>
        <v/>
      </c>
      <c r="BD80" s="19" t="str">
        <f>IFERROR(IF(AND(BK80&lt;&gt;"",VLOOKUP($P80&amp;" | "&amp;BB$6,'Job Master'!$F$12:$I$102,4,0)&lt;&gt;""),IF(WEEKDAY(BK80-VLOOKUP($P80&amp;" | "&amp;BB$6,'Job Master'!$F$12:$I$102,4,0))&lt;&gt;7,BK80-VLOOKUP($P80&amp;" | "&amp;BB$6,'Job Master'!$F$12:$I$102,4,0),BK80-VLOOKUP($P80&amp;" | "&amp;BB$6,'Job Master'!$F$12:$I$102,4,0)-1),""),"")</f>
        <v/>
      </c>
      <c r="BE80" s="73"/>
      <c r="BF80" s="123" t="str">
        <f t="shared" si="153"/>
        <v/>
      </c>
      <c r="BG80" s="123" t="str">
        <f t="shared" si="154"/>
        <v/>
      </c>
      <c r="BH80" s="97" t="str">
        <f t="shared" ca="1" si="155"/>
        <v/>
      </c>
      <c r="BI80" s="98" t="str">
        <f>IF(BK80&lt;&gt;"",VLOOKUP($P80&amp;" | "&amp;BI$6,'Job Master'!$F$12:$J$102,5,0),"")</f>
        <v/>
      </c>
      <c r="BJ80" s="19" t="str">
        <f>IF(BK80&lt;&gt;"",VLOOKUP($P80&amp;" | "&amp;BI$6,'Job Master'!$F$12:$J$102,3,0),"")</f>
        <v/>
      </c>
      <c r="BK80" s="19" t="str">
        <f>IFERROR(IF(AND(BR80&lt;&gt;"",VLOOKUP($P80&amp;" | "&amp;BI$6,'Job Master'!$F$12:$I$102,4,0)&lt;&gt;""),IF(WEEKDAY(BR80-VLOOKUP($P80&amp;" | "&amp;BI$6,'Job Master'!$F$12:$I$102,4,0))&lt;&gt;7,BR80-VLOOKUP($P80&amp;" | "&amp;BI$6,'Job Master'!$F$12:$I$102,4,0),BR80-VLOOKUP($P80&amp;" | "&amp;BI$6,'Job Master'!$F$12:$I$102,4,0)-1),""),"")</f>
        <v/>
      </c>
      <c r="BL80" s="73"/>
      <c r="BM80" s="123" t="str">
        <f t="shared" si="156"/>
        <v/>
      </c>
      <c r="BN80" s="123" t="str">
        <f t="shared" si="157"/>
        <v/>
      </c>
      <c r="BO80" s="97" t="str">
        <f t="shared" ca="1" si="158"/>
        <v/>
      </c>
      <c r="BP80" s="98" t="str">
        <f>IF(BR80&lt;&gt;"",VLOOKUP($P80&amp;" | "&amp;BP$6,'Job Master'!$F$12:$J$102,5,0),"")</f>
        <v/>
      </c>
      <c r="BQ80" s="19" t="str">
        <f>IF(BR80&lt;&gt;"",VLOOKUP($P80&amp;" | "&amp;BP$6,'Job Master'!$F$12:$J$102,3,0),"")</f>
        <v/>
      </c>
      <c r="BR80" s="19" t="str">
        <f>IFERROR(IF(AND(BY80&lt;&gt;"",VLOOKUP($P80&amp;" | "&amp;BP$6,'Job Master'!$F$12:$I$102,4,0)&lt;&gt;""),IF(WEEKDAY(BY80-VLOOKUP($P80&amp;" | "&amp;BP$6,'Job Master'!$F$12:$I$102,4,0))&lt;&gt;7,BY80-VLOOKUP($P80&amp;" | "&amp;BP$6,'Job Master'!$F$12:$I$102,4,0),BY80-VLOOKUP($P80&amp;" | "&amp;BP$6,'Job Master'!$F$12:$I$102,4,0)-1),""),"")</f>
        <v/>
      </c>
      <c r="BS80" s="73"/>
      <c r="BT80" s="123" t="str">
        <f t="shared" si="159"/>
        <v/>
      </c>
      <c r="BU80" s="123" t="str">
        <f t="shared" si="160"/>
        <v/>
      </c>
      <c r="BV80" s="97" t="str">
        <f t="shared" ca="1" si="161"/>
        <v/>
      </c>
      <c r="BW80" s="98" t="str">
        <f>IF(BY80&lt;&gt;"",VLOOKUP($P80&amp;" | "&amp;BW$6,'Job Master'!$F$12:$J$102,5,0),"")</f>
        <v/>
      </c>
      <c r="BX80" s="19" t="str">
        <f>IF(BY80&lt;&gt;"",VLOOKUP($P80&amp;" | "&amp;BW$6,'Job Master'!$F$12:$J$102,3,0),"")</f>
        <v/>
      </c>
      <c r="BY80" s="19" t="str">
        <f>IFERROR(IF(AND(CF80&lt;&gt;"",VLOOKUP($P80&amp;" | "&amp;BW$6,'Job Master'!$F$12:$I$102,4,0)&lt;&gt;""),IF(WEEKDAY(CF80-VLOOKUP($P80&amp;" | "&amp;BW$6,'Job Master'!$F$12:$I$102,4,0))&lt;&gt;7,CF80-VLOOKUP($P80&amp;" | "&amp;BW$6,'Job Master'!$F$12:$I$102,4,0),CF80-VLOOKUP($P80&amp;" | "&amp;BW$6,'Job Master'!$F$12:$I$102,4,0)-1),""),"")</f>
        <v/>
      </c>
      <c r="BZ80" s="73"/>
      <c r="CA80" s="123" t="str">
        <f t="shared" si="162"/>
        <v/>
      </c>
      <c r="CB80" s="123" t="str">
        <f t="shared" si="163"/>
        <v/>
      </c>
      <c r="CC80" s="97" t="str">
        <f t="shared" ca="1" si="164"/>
        <v/>
      </c>
      <c r="CD80" s="98" t="str">
        <f>IF(CF80&lt;&gt;"",VLOOKUP($P80&amp;" | "&amp;CD$6,'Job Master'!$F$12:$J$102,5,0),"")</f>
        <v/>
      </c>
      <c r="CE80" s="19" t="str">
        <f>IF(CF80&lt;&gt;"",VLOOKUP($P80&amp;" | "&amp;CD$6,'Job Master'!$F$12:$J$102,3,0),"")</f>
        <v/>
      </c>
      <c r="CF80" s="19" t="str">
        <f>IFERROR(IF(AND(CM80&lt;&gt;"",VLOOKUP($P80&amp;" | "&amp;CD$6,'Job Master'!$F$12:$I$102,4,0)&lt;&gt;""),IF(WEEKDAY(CM80-VLOOKUP($P80&amp;" | "&amp;CD$6,'Job Master'!$F$12:$I$102,4,0))&lt;&gt;7,CM80-VLOOKUP($P80&amp;" | "&amp;CD$6,'Job Master'!$F$12:$I$102,4,0),CM80-VLOOKUP($P80&amp;" | "&amp;CD$6,'Job Master'!$F$12:$I$102,4,0)-1),""),"")</f>
        <v/>
      </c>
      <c r="CG80" s="73"/>
      <c r="CH80" s="123" t="str">
        <f t="shared" si="165"/>
        <v/>
      </c>
      <c r="CI80" s="123" t="str">
        <f t="shared" si="166"/>
        <v/>
      </c>
      <c r="CJ80" s="97" t="str">
        <f t="shared" ca="1" si="167"/>
        <v/>
      </c>
      <c r="CK80" s="98" t="str">
        <f>IF(CM80&lt;&gt;"",VLOOKUP($P80&amp;" | "&amp;CK$6,'Job Master'!$F$12:$J$102,5,0),"")</f>
        <v/>
      </c>
      <c r="CL80" s="19" t="str">
        <f>IF(CM80&lt;&gt;"",VLOOKUP($P80&amp;" | "&amp;CK$6,'Job Master'!$F$12:$J$102,3,0),"")</f>
        <v/>
      </c>
      <c r="CM80" s="19" t="str">
        <f>IFERROR(IF(AND(CT80&lt;&gt;"",VLOOKUP($P80&amp;" | "&amp;CK$6,'Job Master'!$F$12:$I$102,4,0)&lt;&gt;""),IF(WEEKDAY(CT80-VLOOKUP($P80&amp;" | "&amp;CK$6,'Job Master'!$F$12:$I$102,4,0))&lt;&gt;7,CT80-VLOOKUP($P80&amp;" | "&amp;CK$6,'Job Master'!$F$12:$I$102,4,0),CT80-VLOOKUP($P80&amp;" | "&amp;CK$6,'Job Master'!$F$12:$I$102,4,0)-1),""),"")</f>
        <v/>
      </c>
      <c r="CN80" s="73"/>
      <c r="CO80" s="123" t="str">
        <f t="shared" si="168"/>
        <v/>
      </c>
      <c r="CP80" s="123" t="str">
        <f t="shared" si="169"/>
        <v/>
      </c>
      <c r="CQ80" s="97" t="str">
        <f t="shared" ca="1" si="170"/>
        <v/>
      </c>
      <c r="CR80" s="98" t="str">
        <f>IF(CT80&lt;&gt;"",VLOOKUP($P80&amp;" | "&amp;CR$6,'Job Master'!$F$12:$J$102,5,0),"")</f>
        <v/>
      </c>
      <c r="CS80" s="19" t="str">
        <f>IF(CT80&lt;&gt;"",VLOOKUP($P80&amp;" | "&amp;CR$6,'Job Master'!$F$12:$J$102,3,0),"")</f>
        <v/>
      </c>
      <c r="CT80" s="19" t="str">
        <f>IFERROR(IF(AND(DA80&lt;&gt;"",VLOOKUP($P80&amp;" | "&amp;CR$6,'Job Master'!$F$12:$I$102,4,0)&lt;&gt;""),IF(WEEKDAY(DA80-VLOOKUP($P80&amp;" | "&amp;CR$6,'Job Master'!$F$12:$I$102,4,0))&lt;&gt;7,DA80-VLOOKUP($P80&amp;" | "&amp;CR$6,'Job Master'!$F$12:$I$102,4,0),DA80-VLOOKUP($P80&amp;" | "&amp;CR$6,'Job Master'!$F$12:$I$102,4,0)-1),""),"")</f>
        <v/>
      </c>
      <c r="CU80" s="73"/>
      <c r="CV80" s="123" t="str">
        <f t="shared" si="171"/>
        <v/>
      </c>
      <c r="CW80" s="123" t="str">
        <f t="shared" si="172"/>
        <v/>
      </c>
      <c r="CX80" s="97" t="str">
        <f t="shared" ca="1" si="173"/>
        <v/>
      </c>
      <c r="CY80" s="98" t="str">
        <f>IF(DA80&lt;&gt;"",VLOOKUP($P80&amp;" | "&amp;CY$6,'Job Master'!$F$12:$J$102,5,0),"")</f>
        <v/>
      </c>
      <c r="CZ80" s="19" t="str">
        <f>IF(DA80&lt;&gt;"",VLOOKUP($P80&amp;" | "&amp;CY$6,'Job Master'!$F$12:$J$102,3,0),"")</f>
        <v/>
      </c>
      <c r="DA80" s="19" t="str">
        <f>IFERROR(IF(AND(DH80&lt;&gt;"",VLOOKUP($P80&amp;" | "&amp;CY$6,'Job Master'!$F$12:$I$102,4,0)&lt;&gt;""),IF(WEEKDAY(DH80-VLOOKUP($P80&amp;" | "&amp;CY$6,'Job Master'!$F$12:$I$102,4,0))&lt;&gt;7,DH80-VLOOKUP($P80&amp;" | "&amp;CY$6,'Job Master'!$F$12:$I$102,4,0),DH80-VLOOKUP($P80&amp;" | "&amp;CY$6,'Job Master'!$F$12:$I$102,4,0)-1),""),"")</f>
        <v/>
      </c>
      <c r="DB80" s="73"/>
      <c r="DC80" s="123" t="str">
        <f t="shared" si="174"/>
        <v/>
      </c>
      <c r="DD80" s="123" t="str">
        <f t="shared" si="175"/>
        <v/>
      </c>
      <c r="DE80" s="97" t="str">
        <f t="shared" ca="1" si="176"/>
        <v/>
      </c>
      <c r="DF80" s="98" t="str">
        <f>IF(DH80&lt;&gt;"",VLOOKUP($P80&amp;" | "&amp;DF$6,'Job Master'!$F$12:$J$102,5,0),"")</f>
        <v/>
      </c>
      <c r="DG80" s="19" t="str">
        <f>IF(DH80&lt;&gt;"",VLOOKUP($P80&amp;" | "&amp;DF$6,'Job Master'!$F$12:$J$102,3,0),"")</f>
        <v/>
      </c>
      <c r="DH80" s="19" t="str">
        <f>IFERROR(IF(AND(DO80&lt;&gt;"",VLOOKUP($P80&amp;" | "&amp;DF$6,'Job Master'!$F$12:$I$102,4,0)&lt;&gt;""),IF(WEEKDAY(DO80-VLOOKUP($P80&amp;" | "&amp;DF$6,'Job Master'!$F$12:$I$102,4,0))&lt;&gt;7,DO80-VLOOKUP($P80&amp;" | "&amp;DF$6,'Job Master'!$F$12:$I$102,4,0),DO80-VLOOKUP($P80&amp;" | "&amp;DF$6,'Job Master'!$F$12:$I$102,4,0)-1),""),"")</f>
        <v/>
      </c>
      <c r="DI80" s="73"/>
      <c r="DJ80" s="123" t="str">
        <f t="shared" si="177"/>
        <v/>
      </c>
      <c r="DK80" s="123" t="str">
        <f t="shared" si="178"/>
        <v/>
      </c>
      <c r="DL80" s="97" t="str">
        <f t="shared" ca="1" si="179"/>
        <v/>
      </c>
      <c r="DM80" s="98" t="str">
        <f>IF(DO80&lt;&gt;"",VLOOKUP($P80&amp;" | "&amp;DM$6,'Job Master'!$F$12:$J$102,5,0),"")</f>
        <v/>
      </c>
      <c r="DN80" s="19" t="str">
        <f>IF(DO80&lt;&gt;"",VLOOKUP($P80&amp;" | "&amp;DM$6,'Job Master'!$F$12:$J$102,3,0),"")</f>
        <v/>
      </c>
      <c r="DO80" s="19" t="str">
        <f>IFERROR(IF(AND(DT80&lt;&gt;"",VLOOKUP($P80&amp;" | "&amp;DM$6,'Job Master'!$F$12:$I$102,4,0)&lt;&gt;""),IF(WEEKDAY(DT80-VLOOKUP($P80&amp;" | "&amp;DM$6,'Job Master'!$F$12:$I$102,4,0))&lt;&gt;7,DT80-VLOOKUP($P80&amp;" | "&amp;DM$6,'Job Master'!$F$12:$I$102,4,0),DT80-VLOOKUP($P80&amp;" | "&amp;DM$6,'Job Master'!$F$12:$I$102,4,0)-1),""),"")</f>
        <v/>
      </c>
      <c r="DP80" s="73"/>
      <c r="DQ80" s="123" t="str">
        <f t="shared" si="180"/>
        <v/>
      </c>
      <c r="DR80" s="123" t="str">
        <f t="shared" si="181"/>
        <v/>
      </c>
      <c r="DS80" s="97" t="str">
        <f t="shared" ca="1" si="182"/>
        <v/>
      </c>
      <c r="DT80" s="70" t="str">
        <f t="shared" si="183"/>
        <v/>
      </c>
      <c r="DU80" s="90"/>
      <c r="DV80" s="123" t="str">
        <f t="shared" si="184"/>
        <v/>
      </c>
      <c r="DW80" s="123" t="str">
        <f t="shared" si="185"/>
        <v/>
      </c>
      <c r="DX80" s="132" t="str">
        <f t="shared" ref="DX80" ca="1" si="200">IF(DT80&lt;&gt;"",IF(WEEKNUM(DT80)=WEEKNUM(TODAY()),"This Week",IF(WEEKNUM(DT80)=WEEKNUM(TODAY())+1,"Next Week",IF(WEEKNUM(DT80)=WEEKNUM(TODAY())-1,"Previous Week",""))),"")</f>
        <v/>
      </c>
      <c r="DY80" s="134" t="str">
        <f t="shared" si="187"/>
        <v/>
      </c>
      <c r="DZ80" s="95"/>
      <c r="EB80" s="8" t="str">
        <f t="shared" si="193"/>
        <v/>
      </c>
      <c r="EC80" s="8" t="str">
        <f>IF(O80&lt;&gt;"",VLOOKUP(O80,'Job Master'!$N$12:$O$18,2,0),"")</f>
        <v/>
      </c>
      <c r="ED80" s="8">
        <f t="shared" si="194"/>
        <v>19.5</v>
      </c>
      <c r="EE80" s="8">
        <f t="shared" si="195"/>
        <v>6</v>
      </c>
      <c r="EF80" s="8">
        <f t="shared" si="196"/>
        <v>-400.5</v>
      </c>
      <c r="EG80" s="8" t="str">
        <f t="shared" si="197"/>
        <v/>
      </c>
      <c r="EH80" s="8" t="str">
        <f t="shared" si="198"/>
        <v/>
      </c>
    </row>
    <row r="81" spans="2:138" x14ac:dyDescent="0.3">
      <c r="B81" s="112"/>
      <c r="C81" s="27"/>
      <c r="D81" s="7" t="str">
        <f t="shared" si="135"/>
        <v/>
      </c>
      <c r="E81" s="25"/>
      <c r="F81" s="7" t="str">
        <f t="shared" si="135"/>
        <v/>
      </c>
      <c r="G81" s="25"/>
      <c r="H81" s="7" t="str">
        <f t="shared" si="135"/>
        <v/>
      </c>
      <c r="I81" s="25"/>
      <c r="J81" s="7" t="str">
        <f t="shared" si="135"/>
        <v/>
      </c>
      <c r="K81" s="25"/>
      <c r="L81" s="7" t="str">
        <f t="shared" si="136"/>
        <v/>
      </c>
      <c r="M81" s="25"/>
      <c r="N81" s="7" t="str">
        <f t="shared" si="137"/>
        <v/>
      </c>
      <c r="O81" s="81"/>
      <c r="P81" s="81" t="str">
        <f t="shared" si="138"/>
        <v/>
      </c>
      <c r="Q81" s="81"/>
      <c r="R81" s="7" t="str">
        <f t="shared" si="139"/>
        <v/>
      </c>
      <c r="S81" s="25"/>
      <c r="T81" s="7" t="str">
        <f t="shared" si="140"/>
        <v/>
      </c>
      <c r="U81" s="25"/>
      <c r="V81" s="7" t="str">
        <f t="shared" si="141"/>
        <v/>
      </c>
      <c r="W81" s="25"/>
      <c r="X81" s="7" t="str">
        <f t="shared" si="142"/>
        <v/>
      </c>
      <c r="Y81" s="18" t="str">
        <f t="shared" si="143"/>
        <v/>
      </c>
      <c r="Z81" s="7" t="str">
        <f t="shared" si="144"/>
        <v/>
      </c>
      <c r="AA81" s="18" t="str">
        <f t="shared" si="145"/>
        <v/>
      </c>
      <c r="AB81" s="19" t="str">
        <f t="shared" si="146"/>
        <v/>
      </c>
      <c r="AC81" s="26"/>
      <c r="AD81" s="26"/>
      <c r="AE81" s="25"/>
      <c r="AF81" s="26"/>
      <c r="AG81" s="25"/>
      <c r="AH81" s="25"/>
      <c r="AI81" s="18" t="str">
        <f t="shared" si="83"/>
        <v/>
      </c>
      <c r="AJ81" s="25"/>
      <c r="AK81" s="18" t="str">
        <f t="shared" si="84"/>
        <v/>
      </c>
      <c r="AL81" s="79"/>
      <c r="AM81" s="126" t="str">
        <f t="shared" si="85"/>
        <v/>
      </c>
      <c r="AN81" s="128" t="str">
        <f>IF(AP81&lt;&gt;"",VLOOKUP($P81&amp;" | "&amp;AN$6,'Job Master'!$F$12:$J$102,5,0),"")</f>
        <v/>
      </c>
      <c r="AO81" s="19" t="str">
        <f>IF(AP81&lt;&gt;"",VLOOKUP($P81&amp;" | "&amp;AN$6,'Job Master'!$F$12:$J$102,3,0),"")</f>
        <v/>
      </c>
      <c r="AP81" s="19" t="str">
        <f>IFERROR(IF(AND(AW81&lt;&gt;"",VLOOKUP($P81&amp;" | "&amp;AN$6,'Job Master'!$F$12:$I$102,4,0)&lt;&gt;""),IF(WEEKDAY(AW81-VLOOKUP($P81&amp;" | "&amp;AN$6,'Job Master'!$F$12:$I$102,4,0))&lt;&gt;7,AW81-VLOOKUP($P81&amp;" | "&amp;AN$6,'Job Master'!$F$12:$I$102,4,0),AW81-VLOOKUP($P81&amp;" | "&amp;AN$6,'Job Master'!$F$12:$I$102,4,0)-1),""),"")</f>
        <v/>
      </c>
      <c r="AQ81" s="73"/>
      <c r="AR81" s="123" t="str">
        <f t="shared" si="147"/>
        <v/>
      </c>
      <c r="AS81" s="123" t="str">
        <f t="shared" si="148"/>
        <v/>
      </c>
      <c r="AT81" s="97" t="str">
        <f t="shared" ca="1" si="149"/>
        <v/>
      </c>
      <c r="AU81" s="98" t="str">
        <f>IF(AW81&lt;&gt;"",VLOOKUP($P81&amp;" | "&amp;AU$6,'Job Master'!$F$12:$J$102,5,0),"")</f>
        <v/>
      </c>
      <c r="AV81" s="19" t="str">
        <f>IF(AW81&lt;&gt;"",VLOOKUP($P81&amp;" | "&amp;AU$6,'Job Master'!$F$12:$J$102,3,0),"")</f>
        <v/>
      </c>
      <c r="AW81" s="19" t="str">
        <f>IFERROR(IF(AND(BD81&lt;&gt;"",VLOOKUP($P81&amp;" | "&amp;AU$6,'Job Master'!$F$12:$I$102,4,0)&lt;&gt;""),IF(WEEKDAY(BD81-VLOOKUP($P81&amp;" | "&amp;AU$6,'Job Master'!$F$12:$I$102,4,0))&lt;&gt;7,BD81-VLOOKUP($P81&amp;" | "&amp;AU$6,'Job Master'!$F$12:$I$102,4,0),BD81-VLOOKUP($P81&amp;" | "&amp;AU$6,'Job Master'!$F$12:$I$102,4,0)-1),""),"")</f>
        <v/>
      </c>
      <c r="AX81" s="73"/>
      <c r="AY81" s="123" t="str">
        <f t="shared" si="150"/>
        <v/>
      </c>
      <c r="AZ81" s="123" t="str">
        <f t="shared" si="151"/>
        <v/>
      </c>
      <c r="BA81" s="97" t="str">
        <f t="shared" ca="1" si="152"/>
        <v/>
      </c>
      <c r="BB81" s="98" t="str">
        <f>IF(BD81&lt;&gt;"",VLOOKUP($P81&amp;" | "&amp;BB$6,'Job Master'!$F$12:$J$102,5,0),"")</f>
        <v/>
      </c>
      <c r="BC81" s="19" t="str">
        <f>IF(BD81&lt;&gt;"",VLOOKUP($P81&amp;" | "&amp;BB$6,'Job Master'!$F$12:$J$102,3,0),"")</f>
        <v/>
      </c>
      <c r="BD81" s="19" t="str">
        <f>IFERROR(IF(AND(BK81&lt;&gt;"",VLOOKUP($P81&amp;" | "&amp;BB$6,'Job Master'!$F$12:$I$102,4,0)&lt;&gt;""),IF(WEEKDAY(BK81-VLOOKUP($P81&amp;" | "&amp;BB$6,'Job Master'!$F$12:$I$102,4,0))&lt;&gt;7,BK81-VLOOKUP($P81&amp;" | "&amp;BB$6,'Job Master'!$F$12:$I$102,4,0),BK81-VLOOKUP($P81&amp;" | "&amp;BB$6,'Job Master'!$F$12:$I$102,4,0)-1),""),"")</f>
        <v/>
      </c>
      <c r="BE81" s="73"/>
      <c r="BF81" s="123" t="str">
        <f t="shared" si="153"/>
        <v/>
      </c>
      <c r="BG81" s="123" t="str">
        <f t="shared" si="154"/>
        <v/>
      </c>
      <c r="BH81" s="97" t="str">
        <f t="shared" ca="1" si="155"/>
        <v/>
      </c>
      <c r="BI81" s="98" t="str">
        <f>IF(BK81&lt;&gt;"",VLOOKUP($P81&amp;" | "&amp;BI$6,'Job Master'!$F$12:$J$102,5,0),"")</f>
        <v/>
      </c>
      <c r="BJ81" s="19" t="str">
        <f>IF(BK81&lt;&gt;"",VLOOKUP($P81&amp;" | "&amp;BI$6,'Job Master'!$F$12:$J$102,3,0),"")</f>
        <v/>
      </c>
      <c r="BK81" s="19" t="str">
        <f>IFERROR(IF(AND(BR81&lt;&gt;"",VLOOKUP($P81&amp;" | "&amp;BI$6,'Job Master'!$F$12:$I$102,4,0)&lt;&gt;""),IF(WEEKDAY(BR81-VLOOKUP($P81&amp;" | "&amp;BI$6,'Job Master'!$F$12:$I$102,4,0))&lt;&gt;7,BR81-VLOOKUP($P81&amp;" | "&amp;BI$6,'Job Master'!$F$12:$I$102,4,0),BR81-VLOOKUP($P81&amp;" | "&amp;BI$6,'Job Master'!$F$12:$I$102,4,0)-1),""),"")</f>
        <v/>
      </c>
      <c r="BL81" s="73"/>
      <c r="BM81" s="123" t="str">
        <f t="shared" si="156"/>
        <v/>
      </c>
      <c r="BN81" s="123" t="str">
        <f t="shared" si="157"/>
        <v/>
      </c>
      <c r="BO81" s="97" t="str">
        <f t="shared" ca="1" si="158"/>
        <v/>
      </c>
      <c r="BP81" s="98" t="str">
        <f>IF(BR81&lt;&gt;"",VLOOKUP($P81&amp;" | "&amp;BP$6,'Job Master'!$F$12:$J$102,5,0),"")</f>
        <v/>
      </c>
      <c r="BQ81" s="19" t="str">
        <f>IF(BR81&lt;&gt;"",VLOOKUP($P81&amp;" | "&amp;BP$6,'Job Master'!$F$12:$J$102,3,0),"")</f>
        <v/>
      </c>
      <c r="BR81" s="19" t="str">
        <f>IFERROR(IF(AND(BY81&lt;&gt;"",VLOOKUP($P81&amp;" | "&amp;BP$6,'Job Master'!$F$12:$I$102,4,0)&lt;&gt;""),IF(WEEKDAY(BY81-VLOOKUP($P81&amp;" | "&amp;BP$6,'Job Master'!$F$12:$I$102,4,0))&lt;&gt;7,BY81-VLOOKUP($P81&amp;" | "&amp;BP$6,'Job Master'!$F$12:$I$102,4,0),BY81-VLOOKUP($P81&amp;" | "&amp;BP$6,'Job Master'!$F$12:$I$102,4,0)-1),""),"")</f>
        <v/>
      </c>
      <c r="BS81" s="73"/>
      <c r="BT81" s="123" t="str">
        <f t="shared" si="159"/>
        <v/>
      </c>
      <c r="BU81" s="123" t="str">
        <f t="shared" si="160"/>
        <v/>
      </c>
      <c r="BV81" s="97" t="str">
        <f t="shared" ca="1" si="161"/>
        <v/>
      </c>
      <c r="BW81" s="98" t="str">
        <f>IF(BY81&lt;&gt;"",VLOOKUP($P81&amp;" | "&amp;BW$6,'Job Master'!$F$12:$J$102,5,0),"")</f>
        <v/>
      </c>
      <c r="BX81" s="19" t="str">
        <f>IF(BY81&lt;&gt;"",VLOOKUP($P81&amp;" | "&amp;BW$6,'Job Master'!$F$12:$J$102,3,0),"")</f>
        <v/>
      </c>
      <c r="BY81" s="19" t="str">
        <f>IFERROR(IF(AND(CF81&lt;&gt;"",VLOOKUP($P81&amp;" | "&amp;BW$6,'Job Master'!$F$12:$I$102,4,0)&lt;&gt;""),IF(WEEKDAY(CF81-VLOOKUP($P81&amp;" | "&amp;BW$6,'Job Master'!$F$12:$I$102,4,0))&lt;&gt;7,CF81-VLOOKUP($P81&amp;" | "&amp;BW$6,'Job Master'!$F$12:$I$102,4,0),CF81-VLOOKUP($P81&amp;" | "&amp;BW$6,'Job Master'!$F$12:$I$102,4,0)-1),""),"")</f>
        <v/>
      </c>
      <c r="BZ81" s="73"/>
      <c r="CA81" s="123" t="str">
        <f t="shared" si="162"/>
        <v/>
      </c>
      <c r="CB81" s="123" t="str">
        <f t="shared" si="163"/>
        <v/>
      </c>
      <c r="CC81" s="97" t="str">
        <f t="shared" ca="1" si="164"/>
        <v/>
      </c>
      <c r="CD81" s="98" t="str">
        <f>IF(CF81&lt;&gt;"",VLOOKUP($P81&amp;" | "&amp;CD$6,'Job Master'!$F$12:$J$102,5,0),"")</f>
        <v/>
      </c>
      <c r="CE81" s="19" t="str">
        <f>IF(CF81&lt;&gt;"",VLOOKUP($P81&amp;" | "&amp;CD$6,'Job Master'!$F$12:$J$102,3,0),"")</f>
        <v/>
      </c>
      <c r="CF81" s="19" t="str">
        <f>IFERROR(IF(AND(CM81&lt;&gt;"",VLOOKUP($P81&amp;" | "&amp;CD$6,'Job Master'!$F$12:$I$102,4,0)&lt;&gt;""),IF(WEEKDAY(CM81-VLOOKUP($P81&amp;" | "&amp;CD$6,'Job Master'!$F$12:$I$102,4,0))&lt;&gt;7,CM81-VLOOKUP($P81&amp;" | "&amp;CD$6,'Job Master'!$F$12:$I$102,4,0),CM81-VLOOKUP($P81&amp;" | "&amp;CD$6,'Job Master'!$F$12:$I$102,4,0)-1),""),"")</f>
        <v/>
      </c>
      <c r="CG81" s="73"/>
      <c r="CH81" s="123" t="str">
        <f t="shared" si="165"/>
        <v/>
      </c>
      <c r="CI81" s="123" t="str">
        <f t="shared" si="166"/>
        <v/>
      </c>
      <c r="CJ81" s="97" t="str">
        <f t="shared" ca="1" si="167"/>
        <v/>
      </c>
      <c r="CK81" s="98" t="str">
        <f>IF(CM81&lt;&gt;"",VLOOKUP($P81&amp;" | "&amp;CK$6,'Job Master'!$F$12:$J$102,5,0),"")</f>
        <v/>
      </c>
      <c r="CL81" s="19" t="str">
        <f>IF(CM81&lt;&gt;"",VLOOKUP($P81&amp;" | "&amp;CK$6,'Job Master'!$F$12:$J$102,3,0),"")</f>
        <v/>
      </c>
      <c r="CM81" s="19" t="str">
        <f>IFERROR(IF(AND(CT81&lt;&gt;"",VLOOKUP($P81&amp;" | "&amp;CK$6,'Job Master'!$F$12:$I$102,4,0)&lt;&gt;""),IF(WEEKDAY(CT81-VLOOKUP($P81&amp;" | "&amp;CK$6,'Job Master'!$F$12:$I$102,4,0))&lt;&gt;7,CT81-VLOOKUP($P81&amp;" | "&amp;CK$6,'Job Master'!$F$12:$I$102,4,0),CT81-VLOOKUP($P81&amp;" | "&amp;CK$6,'Job Master'!$F$12:$I$102,4,0)-1),""),"")</f>
        <v/>
      </c>
      <c r="CN81" s="73"/>
      <c r="CO81" s="123" t="str">
        <f t="shared" si="168"/>
        <v/>
      </c>
      <c r="CP81" s="123" t="str">
        <f t="shared" si="169"/>
        <v/>
      </c>
      <c r="CQ81" s="97" t="str">
        <f t="shared" ca="1" si="170"/>
        <v/>
      </c>
      <c r="CR81" s="98" t="str">
        <f>IF(CT81&lt;&gt;"",VLOOKUP($P81&amp;" | "&amp;CR$6,'Job Master'!$F$12:$J$102,5,0),"")</f>
        <v/>
      </c>
      <c r="CS81" s="19" t="str">
        <f>IF(CT81&lt;&gt;"",VLOOKUP($P81&amp;" | "&amp;CR$6,'Job Master'!$F$12:$J$102,3,0),"")</f>
        <v/>
      </c>
      <c r="CT81" s="19" t="str">
        <f>IFERROR(IF(AND(DA81&lt;&gt;"",VLOOKUP($P81&amp;" | "&amp;CR$6,'Job Master'!$F$12:$I$102,4,0)&lt;&gt;""),IF(WEEKDAY(DA81-VLOOKUP($P81&amp;" | "&amp;CR$6,'Job Master'!$F$12:$I$102,4,0))&lt;&gt;7,DA81-VLOOKUP($P81&amp;" | "&amp;CR$6,'Job Master'!$F$12:$I$102,4,0),DA81-VLOOKUP($P81&amp;" | "&amp;CR$6,'Job Master'!$F$12:$I$102,4,0)-1),""),"")</f>
        <v/>
      </c>
      <c r="CU81" s="73"/>
      <c r="CV81" s="123" t="str">
        <f t="shared" si="171"/>
        <v/>
      </c>
      <c r="CW81" s="123" t="str">
        <f t="shared" si="172"/>
        <v/>
      </c>
      <c r="CX81" s="97" t="str">
        <f t="shared" ca="1" si="173"/>
        <v/>
      </c>
      <c r="CY81" s="98" t="str">
        <f>IF(DA81&lt;&gt;"",VLOOKUP($P81&amp;" | "&amp;CY$6,'Job Master'!$F$12:$J$102,5,0),"")</f>
        <v/>
      </c>
      <c r="CZ81" s="19" t="str">
        <f>IF(DA81&lt;&gt;"",VLOOKUP($P81&amp;" | "&amp;CY$6,'Job Master'!$F$12:$J$102,3,0),"")</f>
        <v/>
      </c>
      <c r="DA81" s="19" t="str">
        <f>IFERROR(IF(AND(DH81&lt;&gt;"",VLOOKUP($P81&amp;" | "&amp;CY$6,'Job Master'!$F$12:$I$102,4,0)&lt;&gt;""),IF(WEEKDAY(DH81-VLOOKUP($P81&amp;" | "&amp;CY$6,'Job Master'!$F$12:$I$102,4,0))&lt;&gt;7,DH81-VLOOKUP($P81&amp;" | "&amp;CY$6,'Job Master'!$F$12:$I$102,4,0),DH81-VLOOKUP($P81&amp;" | "&amp;CY$6,'Job Master'!$F$12:$I$102,4,0)-1),""),"")</f>
        <v/>
      </c>
      <c r="DB81" s="73"/>
      <c r="DC81" s="123" t="str">
        <f t="shared" si="174"/>
        <v/>
      </c>
      <c r="DD81" s="123" t="str">
        <f t="shared" si="175"/>
        <v/>
      </c>
      <c r="DE81" s="97" t="str">
        <f t="shared" ca="1" si="176"/>
        <v/>
      </c>
      <c r="DF81" s="98" t="str">
        <f>IF(DH81&lt;&gt;"",VLOOKUP($P81&amp;" | "&amp;DF$6,'Job Master'!$F$12:$J$102,5,0),"")</f>
        <v/>
      </c>
      <c r="DG81" s="19" t="str">
        <f>IF(DH81&lt;&gt;"",VLOOKUP($P81&amp;" | "&amp;DF$6,'Job Master'!$F$12:$J$102,3,0),"")</f>
        <v/>
      </c>
      <c r="DH81" s="19" t="str">
        <f>IFERROR(IF(AND(DO81&lt;&gt;"",VLOOKUP($P81&amp;" | "&amp;DF$6,'Job Master'!$F$12:$I$102,4,0)&lt;&gt;""),IF(WEEKDAY(DO81-VLOOKUP($P81&amp;" | "&amp;DF$6,'Job Master'!$F$12:$I$102,4,0))&lt;&gt;7,DO81-VLOOKUP($P81&amp;" | "&amp;DF$6,'Job Master'!$F$12:$I$102,4,0),DO81-VLOOKUP($P81&amp;" | "&amp;DF$6,'Job Master'!$F$12:$I$102,4,0)-1),""),"")</f>
        <v/>
      </c>
      <c r="DI81" s="73"/>
      <c r="DJ81" s="123" t="str">
        <f t="shared" si="177"/>
        <v/>
      </c>
      <c r="DK81" s="123" t="str">
        <f t="shared" si="178"/>
        <v/>
      </c>
      <c r="DL81" s="97" t="str">
        <f t="shared" ca="1" si="179"/>
        <v/>
      </c>
      <c r="DM81" s="98" t="str">
        <f>IF(DO81&lt;&gt;"",VLOOKUP($P81&amp;" | "&amp;DM$6,'Job Master'!$F$12:$J$102,5,0),"")</f>
        <v/>
      </c>
      <c r="DN81" s="19" t="str">
        <f>IF(DO81&lt;&gt;"",VLOOKUP($P81&amp;" | "&amp;DM$6,'Job Master'!$F$12:$J$102,3,0),"")</f>
        <v/>
      </c>
      <c r="DO81" s="19" t="str">
        <f>IFERROR(IF(AND(DT81&lt;&gt;"",VLOOKUP($P81&amp;" | "&amp;DM$6,'Job Master'!$F$12:$I$102,4,0)&lt;&gt;""),IF(WEEKDAY(DT81-VLOOKUP($P81&amp;" | "&amp;DM$6,'Job Master'!$F$12:$I$102,4,0))&lt;&gt;7,DT81-VLOOKUP($P81&amp;" | "&amp;DM$6,'Job Master'!$F$12:$I$102,4,0),DT81-VLOOKUP($P81&amp;" | "&amp;DM$6,'Job Master'!$F$12:$I$102,4,0)-1),""),"")</f>
        <v/>
      </c>
      <c r="DP81" s="73"/>
      <c r="DQ81" s="123" t="str">
        <f t="shared" si="180"/>
        <v/>
      </c>
      <c r="DR81" s="123" t="str">
        <f t="shared" si="181"/>
        <v/>
      </c>
      <c r="DS81" s="97" t="str">
        <f t="shared" ca="1" si="182"/>
        <v/>
      </c>
      <c r="DT81" s="70" t="str">
        <f t="shared" si="183"/>
        <v/>
      </c>
      <c r="DU81" s="90"/>
      <c r="DV81" s="123" t="str">
        <f t="shared" si="184"/>
        <v/>
      </c>
      <c r="DW81" s="123" t="str">
        <f t="shared" si="185"/>
        <v/>
      </c>
      <c r="DX81" s="132" t="str">
        <f t="shared" ref="DX81" ca="1" si="201">IF(DT81&lt;&gt;"",IF(WEEKNUM(DT81)=WEEKNUM(TODAY()),"This Week",IF(WEEKNUM(DT81)=WEEKNUM(TODAY())+1,"Next Week",IF(WEEKNUM(DT81)=WEEKNUM(TODAY())-1,"Previous Week",""))),"")</f>
        <v/>
      </c>
      <c r="DY81" s="134" t="str">
        <f t="shared" si="187"/>
        <v/>
      </c>
      <c r="DZ81" s="95"/>
      <c r="EB81" s="8" t="str">
        <f t="shared" si="193"/>
        <v/>
      </c>
      <c r="EC81" s="8" t="str">
        <f>IF(O81&lt;&gt;"",VLOOKUP(O81,'Job Master'!$N$12:$O$18,2,0),"")</f>
        <v/>
      </c>
      <c r="ED81" s="8">
        <f t="shared" si="194"/>
        <v>19.5</v>
      </c>
      <c r="EE81" s="8">
        <f t="shared" si="195"/>
        <v>6</v>
      </c>
      <c r="EF81" s="8">
        <f t="shared" si="196"/>
        <v>-406.5</v>
      </c>
      <c r="EG81" s="8" t="str">
        <f t="shared" si="197"/>
        <v/>
      </c>
      <c r="EH81" s="8" t="str">
        <f t="shared" si="198"/>
        <v/>
      </c>
    </row>
    <row r="82" spans="2:138" x14ac:dyDescent="0.3">
      <c r="B82" s="112"/>
      <c r="C82" s="27"/>
      <c r="D82" s="7" t="str">
        <f t="shared" si="135"/>
        <v/>
      </c>
      <c r="E82" s="25"/>
      <c r="F82" s="7" t="str">
        <f t="shared" si="135"/>
        <v/>
      </c>
      <c r="G82" s="25"/>
      <c r="H82" s="7" t="str">
        <f t="shared" si="135"/>
        <v/>
      </c>
      <c r="I82" s="25"/>
      <c r="J82" s="7" t="str">
        <f t="shared" si="135"/>
        <v/>
      </c>
      <c r="K82" s="25"/>
      <c r="L82" s="7" t="str">
        <f t="shared" si="136"/>
        <v/>
      </c>
      <c r="M82" s="25"/>
      <c r="N82" s="7" t="str">
        <f t="shared" si="137"/>
        <v/>
      </c>
      <c r="O82" s="81"/>
      <c r="P82" s="81" t="str">
        <f t="shared" si="138"/>
        <v/>
      </c>
      <c r="Q82" s="81"/>
      <c r="R82" s="7" t="str">
        <f t="shared" si="139"/>
        <v/>
      </c>
      <c r="S82" s="25"/>
      <c r="T82" s="7" t="str">
        <f t="shared" si="140"/>
        <v/>
      </c>
      <c r="U82" s="25"/>
      <c r="V82" s="7" t="str">
        <f t="shared" si="141"/>
        <v/>
      </c>
      <c r="W82" s="25"/>
      <c r="X82" s="7" t="str">
        <f t="shared" si="142"/>
        <v/>
      </c>
      <c r="Y82" s="18" t="str">
        <f t="shared" si="143"/>
        <v/>
      </c>
      <c r="Z82" s="7" t="str">
        <f t="shared" si="144"/>
        <v/>
      </c>
      <c r="AA82" s="18" t="str">
        <f t="shared" si="145"/>
        <v/>
      </c>
      <c r="AB82" s="19" t="str">
        <f t="shared" si="146"/>
        <v/>
      </c>
      <c r="AC82" s="26"/>
      <c r="AD82" s="26"/>
      <c r="AE82" s="25"/>
      <c r="AF82" s="26"/>
      <c r="AG82" s="25"/>
      <c r="AH82" s="25"/>
      <c r="AI82" s="18" t="str">
        <f t="shared" si="83"/>
        <v/>
      </c>
      <c r="AJ82" s="25"/>
      <c r="AK82" s="18" t="str">
        <f t="shared" si="84"/>
        <v/>
      </c>
      <c r="AL82" s="79"/>
      <c r="AM82" s="126" t="str">
        <f t="shared" si="85"/>
        <v/>
      </c>
      <c r="AN82" s="128" t="str">
        <f>IF(AP82&lt;&gt;"",VLOOKUP($P82&amp;" | "&amp;AN$6,'Job Master'!$F$12:$J$102,5,0),"")</f>
        <v/>
      </c>
      <c r="AO82" s="19" t="str">
        <f>IF(AP82&lt;&gt;"",VLOOKUP($P82&amp;" | "&amp;AN$6,'Job Master'!$F$12:$J$102,3,0),"")</f>
        <v/>
      </c>
      <c r="AP82" s="19" t="str">
        <f>IFERROR(IF(AND(AW82&lt;&gt;"",VLOOKUP($P82&amp;" | "&amp;AN$6,'Job Master'!$F$12:$I$102,4,0)&lt;&gt;""),IF(WEEKDAY(AW82-VLOOKUP($P82&amp;" | "&amp;AN$6,'Job Master'!$F$12:$I$102,4,0))&lt;&gt;7,AW82-VLOOKUP($P82&amp;" | "&amp;AN$6,'Job Master'!$F$12:$I$102,4,0),AW82-VLOOKUP($P82&amp;" | "&amp;AN$6,'Job Master'!$F$12:$I$102,4,0)-1),""),"")</f>
        <v/>
      </c>
      <c r="AQ82" s="73"/>
      <c r="AR82" s="123" t="str">
        <f t="shared" si="147"/>
        <v/>
      </c>
      <c r="AS82" s="123" t="str">
        <f t="shared" si="148"/>
        <v/>
      </c>
      <c r="AT82" s="97" t="str">
        <f t="shared" ca="1" si="149"/>
        <v/>
      </c>
      <c r="AU82" s="98" t="str">
        <f>IF(AW82&lt;&gt;"",VLOOKUP($P82&amp;" | "&amp;AU$6,'Job Master'!$F$12:$J$102,5,0),"")</f>
        <v/>
      </c>
      <c r="AV82" s="19" t="str">
        <f>IF(AW82&lt;&gt;"",VLOOKUP($P82&amp;" | "&amp;AU$6,'Job Master'!$F$12:$J$102,3,0),"")</f>
        <v/>
      </c>
      <c r="AW82" s="19" t="str">
        <f>IFERROR(IF(AND(BD82&lt;&gt;"",VLOOKUP($P82&amp;" | "&amp;AU$6,'Job Master'!$F$12:$I$102,4,0)&lt;&gt;""),IF(WEEKDAY(BD82-VLOOKUP($P82&amp;" | "&amp;AU$6,'Job Master'!$F$12:$I$102,4,0))&lt;&gt;7,BD82-VLOOKUP($P82&amp;" | "&amp;AU$6,'Job Master'!$F$12:$I$102,4,0),BD82-VLOOKUP($P82&amp;" | "&amp;AU$6,'Job Master'!$F$12:$I$102,4,0)-1),""),"")</f>
        <v/>
      </c>
      <c r="AX82" s="73"/>
      <c r="AY82" s="123" t="str">
        <f t="shared" si="150"/>
        <v/>
      </c>
      <c r="AZ82" s="123" t="str">
        <f t="shared" si="151"/>
        <v/>
      </c>
      <c r="BA82" s="97" t="str">
        <f t="shared" ca="1" si="152"/>
        <v/>
      </c>
      <c r="BB82" s="98" t="str">
        <f>IF(BD82&lt;&gt;"",VLOOKUP($P82&amp;" | "&amp;BB$6,'Job Master'!$F$12:$J$102,5,0),"")</f>
        <v/>
      </c>
      <c r="BC82" s="19" t="str">
        <f>IF(BD82&lt;&gt;"",VLOOKUP($P82&amp;" | "&amp;BB$6,'Job Master'!$F$12:$J$102,3,0),"")</f>
        <v/>
      </c>
      <c r="BD82" s="19" t="str">
        <f>IFERROR(IF(AND(BK82&lt;&gt;"",VLOOKUP($P82&amp;" | "&amp;BB$6,'Job Master'!$F$12:$I$102,4,0)&lt;&gt;""),IF(WEEKDAY(BK82-VLOOKUP($P82&amp;" | "&amp;BB$6,'Job Master'!$F$12:$I$102,4,0))&lt;&gt;7,BK82-VLOOKUP($P82&amp;" | "&amp;BB$6,'Job Master'!$F$12:$I$102,4,0),BK82-VLOOKUP($P82&amp;" | "&amp;BB$6,'Job Master'!$F$12:$I$102,4,0)-1),""),"")</f>
        <v/>
      </c>
      <c r="BE82" s="73"/>
      <c r="BF82" s="123" t="str">
        <f t="shared" si="153"/>
        <v/>
      </c>
      <c r="BG82" s="123" t="str">
        <f t="shared" si="154"/>
        <v/>
      </c>
      <c r="BH82" s="97" t="str">
        <f t="shared" ca="1" si="155"/>
        <v/>
      </c>
      <c r="BI82" s="98" t="str">
        <f>IF(BK82&lt;&gt;"",VLOOKUP($P82&amp;" | "&amp;BI$6,'Job Master'!$F$12:$J$102,5,0),"")</f>
        <v/>
      </c>
      <c r="BJ82" s="19" t="str">
        <f>IF(BK82&lt;&gt;"",VLOOKUP($P82&amp;" | "&amp;BI$6,'Job Master'!$F$12:$J$102,3,0),"")</f>
        <v/>
      </c>
      <c r="BK82" s="19" t="str">
        <f>IFERROR(IF(AND(BR82&lt;&gt;"",VLOOKUP($P82&amp;" | "&amp;BI$6,'Job Master'!$F$12:$I$102,4,0)&lt;&gt;""),IF(WEEKDAY(BR82-VLOOKUP($P82&amp;" | "&amp;BI$6,'Job Master'!$F$12:$I$102,4,0))&lt;&gt;7,BR82-VLOOKUP($P82&amp;" | "&amp;BI$6,'Job Master'!$F$12:$I$102,4,0),BR82-VLOOKUP($P82&amp;" | "&amp;BI$6,'Job Master'!$F$12:$I$102,4,0)-1),""),"")</f>
        <v/>
      </c>
      <c r="BL82" s="73"/>
      <c r="BM82" s="123" t="str">
        <f t="shared" si="156"/>
        <v/>
      </c>
      <c r="BN82" s="123" t="str">
        <f t="shared" si="157"/>
        <v/>
      </c>
      <c r="BO82" s="97" t="str">
        <f t="shared" ca="1" si="158"/>
        <v/>
      </c>
      <c r="BP82" s="98" t="str">
        <f>IF(BR82&lt;&gt;"",VLOOKUP($P82&amp;" | "&amp;BP$6,'Job Master'!$F$12:$J$102,5,0),"")</f>
        <v/>
      </c>
      <c r="BQ82" s="19" t="str">
        <f>IF(BR82&lt;&gt;"",VLOOKUP($P82&amp;" | "&amp;BP$6,'Job Master'!$F$12:$J$102,3,0),"")</f>
        <v/>
      </c>
      <c r="BR82" s="19" t="str">
        <f>IFERROR(IF(AND(BY82&lt;&gt;"",VLOOKUP($P82&amp;" | "&amp;BP$6,'Job Master'!$F$12:$I$102,4,0)&lt;&gt;""),IF(WEEKDAY(BY82-VLOOKUP($P82&amp;" | "&amp;BP$6,'Job Master'!$F$12:$I$102,4,0))&lt;&gt;7,BY82-VLOOKUP($P82&amp;" | "&amp;BP$6,'Job Master'!$F$12:$I$102,4,0),BY82-VLOOKUP($P82&amp;" | "&amp;BP$6,'Job Master'!$F$12:$I$102,4,0)-1),""),"")</f>
        <v/>
      </c>
      <c r="BS82" s="73"/>
      <c r="BT82" s="123" t="str">
        <f t="shared" si="159"/>
        <v/>
      </c>
      <c r="BU82" s="123" t="str">
        <f t="shared" si="160"/>
        <v/>
      </c>
      <c r="BV82" s="97" t="str">
        <f t="shared" ca="1" si="161"/>
        <v/>
      </c>
      <c r="BW82" s="98" t="str">
        <f>IF(BY82&lt;&gt;"",VLOOKUP($P82&amp;" | "&amp;BW$6,'Job Master'!$F$12:$J$102,5,0),"")</f>
        <v/>
      </c>
      <c r="BX82" s="19" t="str">
        <f>IF(BY82&lt;&gt;"",VLOOKUP($P82&amp;" | "&amp;BW$6,'Job Master'!$F$12:$J$102,3,0),"")</f>
        <v/>
      </c>
      <c r="BY82" s="19" t="str">
        <f>IFERROR(IF(AND(CF82&lt;&gt;"",VLOOKUP($P82&amp;" | "&amp;BW$6,'Job Master'!$F$12:$I$102,4,0)&lt;&gt;""),IF(WEEKDAY(CF82-VLOOKUP($P82&amp;" | "&amp;BW$6,'Job Master'!$F$12:$I$102,4,0))&lt;&gt;7,CF82-VLOOKUP($P82&amp;" | "&amp;BW$6,'Job Master'!$F$12:$I$102,4,0),CF82-VLOOKUP($P82&amp;" | "&amp;BW$6,'Job Master'!$F$12:$I$102,4,0)-1),""),"")</f>
        <v/>
      </c>
      <c r="BZ82" s="73"/>
      <c r="CA82" s="123" t="str">
        <f t="shared" si="162"/>
        <v/>
      </c>
      <c r="CB82" s="123" t="str">
        <f t="shared" si="163"/>
        <v/>
      </c>
      <c r="CC82" s="97" t="str">
        <f t="shared" ca="1" si="164"/>
        <v/>
      </c>
      <c r="CD82" s="98" t="str">
        <f>IF(CF82&lt;&gt;"",VLOOKUP($P82&amp;" | "&amp;CD$6,'Job Master'!$F$12:$J$102,5,0),"")</f>
        <v/>
      </c>
      <c r="CE82" s="19" t="str">
        <f>IF(CF82&lt;&gt;"",VLOOKUP($P82&amp;" | "&amp;CD$6,'Job Master'!$F$12:$J$102,3,0),"")</f>
        <v/>
      </c>
      <c r="CF82" s="19" t="str">
        <f>IFERROR(IF(AND(CM82&lt;&gt;"",VLOOKUP($P82&amp;" | "&amp;CD$6,'Job Master'!$F$12:$I$102,4,0)&lt;&gt;""),IF(WEEKDAY(CM82-VLOOKUP($P82&amp;" | "&amp;CD$6,'Job Master'!$F$12:$I$102,4,0))&lt;&gt;7,CM82-VLOOKUP($P82&amp;" | "&amp;CD$6,'Job Master'!$F$12:$I$102,4,0),CM82-VLOOKUP($P82&amp;" | "&amp;CD$6,'Job Master'!$F$12:$I$102,4,0)-1),""),"")</f>
        <v/>
      </c>
      <c r="CG82" s="73"/>
      <c r="CH82" s="123" t="str">
        <f t="shared" si="165"/>
        <v/>
      </c>
      <c r="CI82" s="123" t="str">
        <f t="shared" si="166"/>
        <v/>
      </c>
      <c r="CJ82" s="97" t="str">
        <f t="shared" ca="1" si="167"/>
        <v/>
      </c>
      <c r="CK82" s="98" t="str">
        <f>IF(CM82&lt;&gt;"",VLOOKUP($P82&amp;" | "&amp;CK$6,'Job Master'!$F$12:$J$102,5,0),"")</f>
        <v/>
      </c>
      <c r="CL82" s="19" t="str">
        <f>IF(CM82&lt;&gt;"",VLOOKUP($P82&amp;" | "&amp;CK$6,'Job Master'!$F$12:$J$102,3,0),"")</f>
        <v/>
      </c>
      <c r="CM82" s="19" t="str">
        <f>IFERROR(IF(AND(CT82&lt;&gt;"",VLOOKUP($P82&amp;" | "&amp;CK$6,'Job Master'!$F$12:$I$102,4,0)&lt;&gt;""),IF(WEEKDAY(CT82-VLOOKUP($P82&amp;" | "&amp;CK$6,'Job Master'!$F$12:$I$102,4,0))&lt;&gt;7,CT82-VLOOKUP($P82&amp;" | "&amp;CK$6,'Job Master'!$F$12:$I$102,4,0),CT82-VLOOKUP($P82&amp;" | "&amp;CK$6,'Job Master'!$F$12:$I$102,4,0)-1),""),"")</f>
        <v/>
      </c>
      <c r="CN82" s="73"/>
      <c r="CO82" s="123" t="str">
        <f t="shared" si="168"/>
        <v/>
      </c>
      <c r="CP82" s="123" t="str">
        <f t="shared" si="169"/>
        <v/>
      </c>
      <c r="CQ82" s="97" t="str">
        <f t="shared" ca="1" si="170"/>
        <v/>
      </c>
      <c r="CR82" s="98" t="str">
        <f>IF(CT82&lt;&gt;"",VLOOKUP($P82&amp;" | "&amp;CR$6,'Job Master'!$F$12:$J$102,5,0),"")</f>
        <v/>
      </c>
      <c r="CS82" s="19" t="str">
        <f>IF(CT82&lt;&gt;"",VLOOKUP($P82&amp;" | "&amp;CR$6,'Job Master'!$F$12:$J$102,3,0),"")</f>
        <v/>
      </c>
      <c r="CT82" s="19" t="str">
        <f>IFERROR(IF(AND(DA82&lt;&gt;"",VLOOKUP($P82&amp;" | "&amp;CR$6,'Job Master'!$F$12:$I$102,4,0)&lt;&gt;""),IF(WEEKDAY(DA82-VLOOKUP($P82&amp;" | "&amp;CR$6,'Job Master'!$F$12:$I$102,4,0))&lt;&gt;7,DA82-VLOOKUP($P82&amp;" | "&amp;CR$6,'Job Master'!$F$12:$I$102,4,0),DA82-VLOOKUP($P82&amp;" | "&amp;CR$6,'Job Master'!$F$12:$I$102,4,0)-1),""),"")</f>
        <v/>
      </c>
      <c r="CU82" s="73"/>
      <c r="CV82" s="123" t="str">
        <f t="shared" si="171"/>
        <v/>
      </c>
      <c r="CW82" s="123" t="str">
        <f t="shared" si="172"/>
        <v/>
      </c>
      <c r="CX82" s="97" t="str">
        <f t="shared" ca="1" si="173"/>
        <v/>
      </c>
      <c r="CY82" s="98" t="str">
        <f>IF(DA82&lt;&gt;"",VLOOKUP($P82&amp;" | "&amp;CY$6,'Job Master'!$F$12:$J$102,5,0),"")</f>
        <v/>
      </c>
      <c r="CZ82" s="19" t="str">
        <f>IF(DA82&lt;&gt;"",VLOOKUP($P82&amp;" | "&amp;CY$6,'Job Master'!$F$12:$J$102,3,0),"")</f>
        <v/>
      </c>
      <c r="DA82" s="19" t="str">
        <f>IFERROR(IF(AND(DH82&lt;&gt;"",VLOOKUP($P82&amp;" | "&amp;CY$6,'Job Master'!$F$12:$I$102,4,0)&lt;&gt;""),IF(WEEKDAY(DH82-VLOOKUP($P82&amp;" | "&amp;CY$6,'Job Master'!$F$12:$I$102,4,0))&lt;&gt;7,DH82-VLOOKUP($P82&amp;" | "&amp;CY$6,'Job Master'!$F$12:$I$102,4,0),DH82-VLOOKUP($P82&amp;" | "&amp;CY$6,'Job Master'!$F$12:$I$102,4,0)-1),""),"")</f>
        <v/>
      </c>
      <c r="DB82" s="73"/>
      <c r="DC82" s="123" t="str">
        <f t="shared" si="174"/>
        <v/>
      </c>
      <c r="DD82" s="123" t="str">
        <f t="shared" si="175"/>
        <v/>
      </c>
      <c r="DE82" s="97" t="str">
        <f t="shared" ca="1" si="176"/>
        <v/>
      </c>
      <c r="DF82" s="98" t="str">
        <f>IF(DH82&lt;&gt;"",VLOOKUP($P82&amp;" | "&amp;DF$6,'Job Master'!$F$12:$J$102,5,0),"")</f>
        <v/>
      </c>
      <c r="DG82" s="19" t="str">
        <f>IF(DH82&lt;&gt;"",VLOOKUP($P82&amp;" | "&amp;DF$6,'Job Master'!$F$12:$J$102,3,0),"")</f>
        <v/>
      </c>
      <c r="DH82" s="19" t="str">
        <f>IFERROR(IF(AND(DO82&lt;&gt;"",VLOOKUP($P82&amp;" | "&amp;DF$6,'Job Master'!$F$12:$I$102,4,0)&lt;&gt;""),IF(WEEKDAY(DO82-VLOOKUP($P82&amp;" | "&amp;DF$6,'Job Master'!$F$12:$I$102,4,0))&lt;&gt;7,DO82-VLOOKUP($P82&amp;" | "&amp;DF$6,'Job Master'!$F$12:$I$102,4,0),DO82-VLOOKUP($P82&amp;" | "&amp;DF$6,'Job Master'!$F$12:$I$102,4,0)-1),""),"")</f>
        <v/>
      </c>
      <c r="DI82" s="73"/>
      <c r="DJ82" s="123" t="str">
        <f t="shared" si="177"/>
        <v/>
      </c>
      <c r="DK82" s="123" t="str">
        <f t="shared" si="178"/>
        <v/>
      </c>
      <c r="DL82" s="97" t="str">
        <f t="shared" ca="1" si="179"/>
        <v/>
      </c>
      <c r="DM82" s="98" t="str">
        <f>IF(DO82&lt;&gt;"",VLOOKUP($P82&amp;" | "&amp;DM$6,'Job Master'!$F$12:$J$102,5,0),"")</f>
        <v/>
      </c>
      <c r="DN82" s="19" t="str">
        <f>IF(DO82&lt;&gt;"",VLOOKUP($P82&amp;" | "&amp;DM$6,'Job Master'!$F$12:$J$102,3,0),"")</f>
        <v/>
      </c>
      <c r="DO82" s="19" t="str">
        <f>IFERROR(IF(AND(DT82&lt;&gt;"",VLOOKUP($P82&amp;" | "&amp;DM$6,'Job Master'!$F$12:$I$102,4,0)&lt;&gt;""),IF(WEEKDAY(DT82-VLOOKUP($P82&amp;" | "&amp;DM$6,'Job Master'!$F$12:$I$102,4,0))&lt;&gt;7,DT82-VLOOKUP($P82&amp;" | "&amp;DM$6,'Job Master'!$F$12:$I$102,4,0),DT82-VLOOKUP($P82&amp;" | "&amp;DM$6,'Job Master'!$F$12:$I$102,4,0)-1),""),"")</f>
        <v/>
      </c>
      <c r="DP82" s="73"/>
      <c r="DQ82" s="123" t="str">
        <f t="shared" si="180"/>
        <v/>
      </c>
      <c r="DR82" s="123" t="str">
        <f t="shared" si="181"/>
        <v/>
      </c>
      <c r="DS82" s="97" t="str">
        <f t="shared" ca="1" si="182"/>
        <v/>
      </c>
      <c r="DT82" s="70" t="str">
        <f t="shared" si="183"/>
        <v/>
      </c>
      <c r="DU82" s="90"/>
      <c r="DV82" s="123" t="str">
        <f t="shared" si="184"/>
        <v/>
      </c>
      <c r="DW82" s="123" t="str">
        <f t="shared" si="185"/>
        <v/>
      </c>
      <c r="DX82" s="132" t="str">
        <f t="shared" ref="DX82" ca="1" si="202">IF(DT82&lt;&gt;"",IF(WEEKNUM(DT82)=WEEKNUM(TODAY()),"This Week",IF(WEEKNUM(DT82)=WEEKNUM(TODAY())+1,"Next Week",IF(WEEKNUM(DT82)=WEEKNUM(TODAY())-1,"Previous Week",""))),"")</f>
        <v/>
      </c>
      <c r="DY82" s="134" t="str">
        <f t="shared" si="187"/>
        <v/>
      </c>
      <c r="DZ82" s="95"/>
      <c r="EB82" s="8" t="str">
        <f t="shared" si="193"/>
        <v/>
      </c>
      <c r="EC82" s="8" t="str">
        <f>IF(O82&lt;&gt;"",VLOOKUP(O82,'Job Master'!$N$12:$O$18,2,0),"")</f>
        <v/>
      </c>
      <c r="ED82" s="8">
        <f t="shared" si="194"/>
        <v>19.5</v>
      </c>
      <c r="EE82" s="8">
        <f t="shared" si="195"/>
        <v>6</v>
      </c>
      <c r="EF82" s="8">
        <f t="shared" si="196"/>
        <v>-412.5</v>
      </c>
      <c r="EG82" s="8" t="str">
        <f t="shared" si="197"/>
        <v/>
      </c>
      <c r="EH82" s="8" t="str">
        <f t="shared" si="198"/>
        <v/>
      </c>
    </row>
    <row r="83" spans="2:138" x14ac:dyDescent="0.3">
      <c r="B83" s="112"/>
      <c r="C83" s="27"/>
      <c r="D83" s="7" t="str">
        <f t="shared" si="135"/>
        <v/>
      </c>
      <c r="E83" s="25"/>
      <c r="F83" s="7" t="str">
        <f t="shared" si="135"/>
        <v/>
      </c>
      <c r="G83" s="25"/>
      <c r="H83" s="7" t="str">
        <f t="shared" si="135"/>
        <v/>
      </c>
      <c r="I83" s="25"/>
      <c r="J83" s="7" t="str">
        <f t="shared" si="135"/>
        <v/>
      </c>
      <c r="K83" s="25"/>
      <c r="L83" s="7" t="str">
        <f t="shared" si="136"/>
        <v/>
      </c>
      <c r="M83" s="25"/>
      <c r="N83" s="7" t="str">
        <f t="shared" si="137"/>
        <v/>
      </c>
      <c r="O83" s="81"/>
      <c r="P83" s="81" t="str">
        <f t="shared" si="138"/>
        <v/>
      </c>
      <c r="Q83" s="81"/>
      <c r="R83" s="7" t="str">
        <f t="shared" si="139"/>
        <v/>
      </c>
      <c r="S83" s="25"/>
      <c r="T83" s="7" t="str">
        <f t="shared" si="140"/>
        <v/>
      </c>
      <c r="U83" s="25"/>
      <c r="V83" s="7" t="str">
        <f t="shared" si="141"/>
        <v/>
      </c>
      <c r="W83" s="25"/>
      <c r="X83" s="7" t="str">
        <f t="shared" si="142"/>
        <v/>
      </c>
      <c r="Y83" s="18" t="str">
        <f t="shared" si="143"/>
        <v/>
      </c>
      <c r="Z83" s="7" t="str">
        <f t="shared" si="144"/>
        <v/>
      </c>
      <c r="AA83" s="18" t="str">
        <f t="shared" si="145"/>
        <v/>
      </c>
      <c r="AB83" s="19" t="str">
        <f t="shared" si="146"/>
        <v/>
      </c>
      <c r="AC83" s="26"/>
      <c r="AD83" s="26"/>
      <c r="AE83" s="25"/>
      <c r="AF83" s="26"/>
      <c r="AG83" s="25"/>
      <c r="AH83" s="25"/>
      <c r="AI83" s="18" t="str">
        <f t="shared" si="83"/>
        <v/>
      </c>
      <c r="AJ83" s="25"/>
      <c r="AK83" s="18" t="str">
        <f t="shared" si="84"/>
        <v/>
      </c>
      <c r="AL83" s="79"/>
      <c r="AM83" s="126" t="str">
        <f t="shared" si="85"/>
        <v/>
      </c>
      <c r="AN83" s="128" t="str">
        <f>IF(AP83&lt;&gt;"",VLOOKUP($P83&amp;" | "&amp;AN$6,'Job Master'!$F$12:$J$102,5,0),"")</f>
        <v/>
      </c>
      <c r="AO83" s="19" t="str">
        <f>IF(AP83&lt;&gt;"",VLOOKUP($P83&amp;" | "&amp;AN$6,'Job Master'!$F$12:$J$102,3,0),"")</f>
        <v/>
      </c>
      <c r="AP83" s="19" t="str">
        <f>IFERROR(IF(AND(AW83&lt;&gt;"",VLOOKUP($P83&amp;" | "&amp;AN$6,'Job Master'!$F$12:$I$102,4,0)&lt;&gt;""),IF(WEEKDAY(AW83-VLOOKUP($P83&amp;" | "&amp;AN$6,'Job Master'!$F$12:$I$102,4,0))&lt;&gt;7,AW83-VLOOKUP($P83&amp;" | "&amp;AN$6,'Job Master'!$F$12:$I$102,4,0),AW83-VLOOKUP($P83&amp;" | "&amp;AN$6,'Job Master'!$F$12:$I$102,4,0)-1),""),"")</f>
        <v/>
      </c>
      <c r="AQ83" s="73"/>
      <c r="AR83" s="123" t="str">
        <f t="shared" si="147"/>
        <v/>
      </c>
      <c r="AS83" s="123" t="str">
        <f t="shared" si="148"/>
        <v/>
      </c>
      <c r="AT83" s="97" t="str">
        <f t="shared" ca="1" si="149"/>
        <v/>
      </c>
      <c r="AU83" s="98" t="str">
        <f>IF(AW83&lt;&gt;"",VLOOKUP($P83&amp;" | "&amp;AU$6,'Job Master'!$F$12:$J$102,5,0),"")</f>
        <v/>
      </c>
      <c r="AV83" s="19" t="str">
        <f>IF(AW83&lt;&gt;"",VLOOKUP($P83&amp;" | "&amp;AU$6,'Job Master'!$F$12:$J$102,3,0),"")</f>
        <v/>
      </c>
      <c r="AW83" s="19" t="str">
        <f>IFERROR(IF(AND(BD83&lt;&gt;"",VLOOKUP($P83&amp;" | "&amp;AU$6,'Job Master'!$F$12:$I$102,4,0)&lt;&gt;""),IF(WEEKDAY(BD83-VLOOKUP($P83&amp;" | "&amp;AU$6,'Job Master'!$F$12:$I$102,4,0))&lt;&gt;7,BD83-VLOOKUP($P83&amp;" | "&amp;AU$6,'Job Master'!$F$12:$I$102,4,0),BD83-VLOOKUP($P83&amp;" | "&amp;AU$6,'Job Master'!$F$12:$I$102,4,0)-1),""),"")</f>
        <v/>
      </c>
      <c r="AX83" s="73"/>
      <c r="AY83" s="123" t="str">
        <f t="shared" si="150"/>
        <v/>
      </c>
      <c r="AZ83" s="123" t="str">
        <f t="shared" si="151"/>
        <v/>
      </c>
      <c r="BA83" s="97" t="str">
        <f t="shared" ca="1" si="152"/>
        <v/>
      </c>
      <c r="BB83" s="98" t="str">
        <f>IF(BD83&lt;&gt;"",VLOOKUP($P83&amp;" | "&amp;BB$6,'Job Master'!$F$12:$J$102,5,0),"")</f>
        <v/>
      </c>
      <c r="BC83" s="19" t="str">
        <f>IF(BD83&lt;&gt;"",VLOOKUP($P83&amp;" | "&amp;BB$6,'Job Master'!$F$12:$J$102,3,0),"")</f>
        <v/>
      </c>
      <c r="BD83" s="19" t="str">
        <f>IFERROR(IF(AND(BK83&lt;&gt;"",VLOOKUP($P83&amp;" | "&amp;BB$6,'Job Master'!$F$12:$I$102,4,0)&lt;&gt;""),IF(WEEKDAY(BK83-VLOOKUP($P83&amp;" | "&amp;BB$6,'Job Master'!$F$12:$I$102,4,0))&lt;&gt;7,BK83-VLOOKUP($P83&amp;" | "&amp;BB$6,'Job Master'!$F$12:$I$102,4,0),BK83-VLOOKUP($P83&amp;" | "&amp;BB$6,'Job Master'!$F$12:$I$102,4,0)-1),""),"")</f>
        <v/>
      </c>
      <c r="BE83" s="73"/>
      <c r="BF83" s="123" t="str">
        <f t="shared" si="153"/>
        <v/>
      </c>
      <c r="BG83" s="123" t="str">
        <f t="shared" si="154"/>
        <v/>
      </c>
      <c r="BH83" s="97" t="str">
        <f t="shared" ca="1" si="155"/>
        <v/>
      </c>
      <c r="BI83" s="98" t="str">
        <f>IF(BK83&lt;&gt;"",VLOOKUP($P83&amp;" | "&amp;BI$6,'Job Master'!$F$12:$J$102,5,0),"")</f>
        <v/>
      </c>
      <c r="BJ83" s="19" t="str">
        <f>IF(BK83&lt;&gt;"",VLOOKUP($P83&amp;" | "&amp;BI$6,'Job Master'!$F$12:$J$102,3,0),"")</f>
        <v/>
      </c>
      <c r="BK83" s="19" t="str">
        <f>IFERROR(IF(AND(BR83&lt;&gt;"",VLOOKUP($P83&amp;" | "&amp;BI$6,'Job Master'!$F$12:$I$102,4,0)&lt;&gt;""),IF(WEEKDAY(BR83-VLOOKUP($P83&amp;" | "&amp;BI$6,'Job Master'!$F$12:$I$102,4,0))&lt;&gt;7,BR83-VLOOKUP($P83&amp;" | "&amp;BI$6,'Job Master'!$F$12:$I$102,4,0),BR83-VLOOKUP($P83&amp;" | "&amp;BI$6,'Job Master'!$F$12:$I$102,4,0)-1),""),"")</f>
        <v/>
      </c>
      <c r="BL83" s="73"/>
      <c r="BM83" s="123" t="str">
        <f t="shared" si="156"/>
        <v/>
      </c>
      <c r="BN83" s="123" t="str">
        <f t="shared" si="157"/>
        <v/>
      </c>
      <c r="BO83" s="97" t="str">
        <f t="shared" ca="1" si="158"/>
        <v/>
      </c>
      <c r="BP83" s="98" t="str">
        <f>IF(BR83&lt;&gt;"",VLOOKUP($P83&amp;" | "&amp;BP$6,'Job Master'!$F$12:$J$102,5,0),"")</f>
        <v/>
      </c>
      <c r="BQ83" s="19" t="str">
        <f>IF(BR83&lt;&gt;"",VLOOKUP($P83&amp;" | "&amp;BP$6,'Job Master'!$F$12:$J$102,3,0),"")</f>
        <v/>
      </c>
      <c r="BR83" s="19" t="str">
        <f>IFERROR(IF(AND(BY83&lt;&gt;"",VLOOKUP($P83&amp;" | "&amp;BP$6,'Job Master'!$F$12:$I$102,4,0)&lt;&gt;""),IF(WEEKDAY(BY83-VLOOKUP($P83&amp;" | "&amp;BP$6,'Job Master'!$F$12:$I$102,4,0))&lt;&gt;7,BY83-VLOOKUP($P83&amp;" | "&amp;BP$6,'Job Master'!$F$12:$I$102,4,0),BY83-VLOOKUP($P83&amp;" | "&amp;BP$6,'Job Master'!$F$12:$I$102,4,0)-1),""),"")</f>
        <v/>
      </c>
      <c r="BS83" s="73"/>
      <c r="BT83" s="123" t="str">
        <f t="shared" si="159"/>
        <v/>
      </c>
      <c r="BU83" s="123" t="str">
        <f t="shared" si="160"/>
        <v/>
      </c>
      <c r="BV83" s="97" t="str">
        <f t="shared" ca="1" si="161"/>
        <v/>
      </c>
      <c r="BW83" s="98" t="str">
        <f>IF(BY83&lt;&gt;"",VLOOKUP($P83&amp;" | "&amp;BW$6,'Job Master'!$F$12:$J$102,5,0),"")</f>
        <v/>
      </c>
      <c r="BX83" s="19" t="str">
        <f>IF(BY83&lt;&gt;"",VLOOKUP($P83&amp;" | "&amp;BW$6,'Job Master'!$F$12:$J$102,3,0),"")</f>
        <v/>
      </c>
      <c r="BY83" s="19" t="str">
        <f>IFERROR(IF(AND(CF83&lt;&gt;"",VLOOKUP($P83&amp;" | "&amp;BW$6,'Job Master'!$F$12:$I$102,4,0)&lt;&gt;""),IF(WEEKDAY(CF83-VLOOKUP($P83&amp;" | "&amp;BW$6,'Job Master'!$F$12:$I$102,4,0))&lt;&gt;7,CF83-VLOOKUP($P83&amp;" | "&amp;BW$6,'Job Master'!$F$12:$I$102,4,0),CF83-VLOOKUP($P83&amp;" | "&amp;BW$6,'Job Master'!$F$12:$I$102,4,0)-1),""),"")</f>
        <v/>
      </c>
      <c r="BZ83" s="73"/>
      <c r="CA83" s="123" t="str">
        <f t="shared" si="162"/>
        <v/>
      </c>
      <c r="CB83" s="123" t="str">
        <f t="shared" si="163"/>
        <v/>
      </c>
      <c r="CC83" s="97" t="str">
        <f t="shared" ca="1" si="164"/>
        <v/>
      </c>
      <c r="CD83" s="98" t="str">
        <f>IF(CF83&lt;&gt;"",VLOOKUP($P83&amp;" | "&amp;CD$6,'Job Master'!$F$12:$J$102,5,0),"")</f>
        <v/>
      </c>
      <c r="CE83" s="19" t="str">
        <f>IF(CF83&lt;&gt;"",VLOOKUP($P83&amp;" | "&amp;CD$6,'Job Master'!$F$12:$J$102,3,0),"")</f>
        <v/>
      </c>
      <c r="CF83" s="19" t="str">
        <f>IFERROR(IF(AND(CM83&lt;&gt;"",VLOOKUP($P83&amp;" | "&amp;CD$6,'Job Master'!$F$12:$I$102,4,0)&lt;&gt;""),IF(WEEKDAY(CM83-VLOOKUP($P83&amp;" | "&amp;CD$6,'Job Master'!$F$12:$I$102,4,0))&lt;&gt;7,CM83-VLOOKUP($P83&amp;" | "&amp;CD$6,'Job Master'!$F$12:$I$102,4,0),CM83-VLOOKUP($P83&amp;" | "&amp;CD$6,'Job Master'!$F$12:$I$102,4,0)-1),""),"")</f>
        <v/>
      </c>
      <c r="CG83" s="73"/>
      <c r="CH83" s="123" t="str">
        <f t="shared" si="165"/>
        <v/>
      </c>
      <c r="CI83" s="123" t="str">
        <f t="shared" si="166"/>
        <v/>
      </c>
      <c r="CJ83" s="97" t="str">
        <f t="shared" ca="1" si="167"/>
        <v/>
      </c>
      <c r="CK83" s="98" t="str">
        <f>IF(CM83&lt;&gt;"",VLOOKUP($P83&amp;" | "&amp;CK$6,'Job Master'!$F$12:$J$102,5,0),"")</f>
        <v/>
      </c>
      <c r="CL83" s="19" t="str">
        <f>IF(CM83&lt;&gt;"",VLOOKUP($P83&amp;" | "&amp;CK$6,'Job Master'!$F$12:$J$102,3,0),"")</f>
        <v/>
      </c>
      <c r="CM83" s="19" t="str">
        <f>IFERROR(IF(AND(CT83&lt;&gt;"",VLOOKUP($P83&amp;" | "&amp;CK$6,'Job Master'!$F$12:$I$102,4,0)&lt;&gt;""),IF(WEEKDAY(CT83-VLOOKUP($P83&amp;" | "&amp;CK$6,'Job Master'!$F$12:$I$102,4,0))&lt;&gt;7,CT83-VLOOKUP($P83&amp;" | "&amp;CK$6,'Job Master'!$F$12:$I$102,4,0),CT83-VLOOKUP($P83&amp;" | "&amp;CK$6,'Job Master'!$F$12:$I$102,4,0)-1),""),"")</f>
        <v/>
      </c>
      <c r="CN83" s="73"/>
      <c r="CO83" s="123" t="str">
        <f t="shared" si="168"/>
        <v/>
      </c>
      <c r="CP83" s="123" t="str">
        <f t="shared" si="169"/>
        <v/>
      </c>
      <c r="CQ83" s="97" t="str">
        <f t="shared" ca="1" si="170"/>
        <v/>
      </c>
      <c r="CR83" s="98" t="str">
        <f>IF(CT83&lt;&gt;"",VLOOKUP($P83&amp;" | "&amp;CR$6,'Job Master'!$F$12:$J$102,5,0),"")</f>
        <v/>
      </c>
      <c r="CS83" s="19" t="str">
        <f>IF(CT83&lt;&gt;"",VLOOKUP($P83&amp;" | "&amp;CR$6,'Job Master'!$F$12:$J$102,3,0),"")</f>
        <v/>
      </c>
      <c r="CT83" s="19" t="str">
        <f>IFERROR(IF(AND(DA83&lt;&gt;"",VLOOKUP($P83&amp;" | "&amp;CR$6,'Job Master'!$F$12:$I$102,4,0)&lt;&gt;""),IF(WEEKDAY(DA83-VLOOKUP($P83&amp;" | "&amp;CR$6,'Job Master'!$F$12:$I$102,4,0))&lt;&gt;7,DA83-VLOOKUP($P83&amp;" | "&amp;CR$6,'Job Master'!$F$12:$I$102,4,0),DA83-VLOOKUP($P83&amp;" | "&amp;CR$6,'Job Master'!$F$12:$I$102,4,0)-1),""),"")</f>
        <v/>
      </c>
      <c r="CU83" s="73"/>
      <c r="CV83" s="123" t="str">
        <f t="shared" si="171"/>
        <v/>
      </c>
      <c r="CW83" s="123" t="str">
        <f t="shared" si="172"/>
        <v/>
      </c>
      <c r="CX83" s="97" t="str">
        <f t="shared" ca="1" si="173"/>
        <v/>
      </c>
      <c r="CY83" s="98" t="str">
        <f>IF(DA83&lt;&gt;"",VLOOKUP($P83&amp;" | "&amp;CY$6,'Job Master'!$F$12:$J$102,5,0),"")</f>
        <v/>
      </c>
      <c r="CZ83" s="19" t="str">
        <f>IF(DA83&lt;&gt;"",VLOOKUP($P83&amp;" | "&amp;CY$6,'Job Master'!$F$12:$J$102,3,0),"")</f>
        <v/>
      </c>
      <c r="DA83" s="19" t="str">
        <f>IFERROR(IF(AND(DH83&lt;&gt;"",VLOOKUP($P83&amp;" | "&amp;CY$6,'Job Master'!$F$12:$I$102,4,0)&lt;&gt;""),IF(WEEKDAY(DH83-VLOOKUP($P83&amp;" | "&amp;CY$6,'Job Master'!$F$12:$I$102,4,0))&lt;&gt;7,DH83-VLOOKUP($P83&amp;" | "&amp;CY$6,'Job Master'!$F$12:$I$102,4,0),DH83-VLOOKUP($P83&amp;" | "&amp;CY$6,'Job Master'!$F$12:$I$102,4,0)-1),""),"")</f>
        <v/>
      </c>
      <c r="DB83" s="73"/>
      <c r="DC83" s="123" t="str">
        <f t="shared" si="174"/>
        <v/>
      </c>
      <c r="DD83" s="123" t="str">
        <f t="shared" si="175"/>
        <v/>
      </c>
      <c r="DE83" s="97" t="str">
        <f t="shared" ca="1" si="176"/>
        <v/>
      </c>
      <c r="DF83" s="98" t="str">
        <f>IF(DH83&lt;&gt;"",VLOOKUP($P83&amp;" | "&amp;DF$6,'Job Master'!$F$12:$J$102,5,0),"")</f>
        <v/>
      </c>
      <c r="DG83" s="19" t="str">
        <f>IF(DH83&lt;&gt;"",VLOOKUP($P83&amp;" | "&amp;DF$6,'Job Master'!$F$12:$J$102,3,0),"")</f>
        <v/>
      </c>
      <c r="DH83" s="19" t="str">
        <f>IFERROR(IF(AND(DO83&lt;&gt;"",VLOOKUP($P83&amp;" | "&amp;DF$6,'Job Master'!$F$12:$I$102,4,0)&lt;&gt;""),IF(WEEKDAY(DO83-VLOOKUP($P83&amp;" | "&amp;DF$6,'Job Master'!$F$12:$I$102,4,0))&lt;&gt;7,DO83-VLOOKUP($P83&amp;" | "&amp;DF$6,'Job Master'!$F$12:$I$102,4,0),DO83-VLOOKUP($P83&amp;" | "&amp;DF$6,'Job Master'!$F$12:$I$102,4,0)-1),""),"")</f>
        <v/>
      </c>
      <c r="DI83" s="73"/>
      <c r="DJ83" s="123" t="str">
        <f t="shared" si="177"/>
        <v/>
      </c>
      <c r="DK83" s="123" t="str">
        <f t="shared" si="178"/>
        <v/>
      </c>
      <c r="DL83" s="97" t="str">
        <f t="shared" ca="1" si="179"/>
        <v/>
      </c>
      <c r="DM83" s="98" t="str">
        <f>IF(DO83&lt;&gt;"",VLOOKUP($P83&amp;" | "&amp;DM$6,'Job Master'!$F$12:$J$102,5,0),"")</f>
        <v/>
      </c>
      <c r="DN83" s="19" t="str">
        <f>IF(DO83&lt;&gt;"",VLOOKUP($P83&amp;" | "&amp;DM$6,'Job Master'!$F$12:$J$102,3,0),"")</f>
        <v/>
      </c>
      <c r="DO83" s="19" t="str">
        <f>IFERROR(IF(AND(DT83&lt;&gt;"",VLOOKUP($P83&amp;" | "&amp;DM$6,'Job Master'!$F$12:$I$102,4,0)&lt;&gt;""),IF(WEEKDAY(DT83-VLOOKUP($P83&amp;" | "&amp;DM$6,'Job Master'!$F$12:$I$102,4,0))&lt;&gt;7,DT83-VLOOKUP($P83&amp;" | "&amp;DM$6,'Job Master'!$F$12:$I$102,4,0),DT83-VLOOKUP($P83&amp;" | "&amp;DM$6,'Job Master'!$F$12:$I$102,4,0)-1),""),"")</f>
        <v/>
      </c>
      <c r="DP83" s="73"/>
      <c r="DQ83" s="123" t="str">
        <f t="shared" si="180"/>
        <v/>
      </c>
      <c r="DR83" s="123" t="str">
        <f t="shared" si="181"/>
        <v/>
      </c>
      <c r="DS83" s="97" t="str">
        <f t="shared" ca="1" si="182"/>
        <v/>
      </c>
      <c r="DT83" s="70" t="str">
        <f t="shared" si="183"/>
        <v/>
      </c>
      <c r="DU83" s="90"/>
      <c r="DV83" s="123" t="str">
        <f t="shared" si="184"/>
        <v/>
      </c>
      <c r="DW83" s="123" t="str">
        <f t="shared" si="185"/>
        <v/>
      </c>
      <c r="DX83" s="132" t="str">
        <f t="shared" ref="DX83" ca="1" si="203">IF(DT83&lt;&gt;"",IF(WEEKNUM(DT83)=WEEKNUM(TODAY()),"This Week",IF(WEEKNUM(DT83)=WEEKNUM(TODAY())+1,"Next Week",IF(WEEKNUM(DT83)=WEEKNUM(TODAY())-1,"Previous Week",""))),"")</f>
        <v/>
      </c>
      <c r="DY83" s="134" t="str">
        <f t="shared" si="187"/>
        <v/>
      </c>
      <c r="DZ83" s="95"/>
      <c r="EB83" s="8" t="str">
        <f t="shared" si="193"/>
        <v/>
      </c>
      <c r="EC83" s="8" t="str">
        <f>IF(O83&lt;&gt;"",VLOOKUP(O83,'Job Master'!$N$12:$O$18,2,0),"")</f>
        <v/>
      </c>
      <c r="ED83" s="8">
        <f t="shared" si="194"/>
        <v>19.5</v>
      </c>
      <c r="EE83" s="8">
        <f t="shared" si="195"/>
        <v>6</v>
      </c>
      <c r="EF83" s="8">
        <f t="shared" si="196"/>
        <v>-418.5</v>
      </c>
      <c r="EG83" s="8" t="str">
        <f t="shared" si="197"/>
        <v/>
      </c>
      <c r="EH83" s="8" t="str">
        <f t="shared" si="198"/>
        <v/>
      </c>
    </row>
    <row r="84" spans="2:138" x14ac:dyDescent="0.3">
      <c r="B84" s="112"/>
      <c r="C84" s="27"/>
      <c r="D84" s="7" t="str">
        <f t="shared" si="135"/>
        <v/>
      </c>
      <c r="E84" s="25"/>
      <c r="F84" s="7" t="str">
        <f t="shared" si="135"/>
        <v/>
      </c>
      <c r="G84" s="25"/>
      <c r="H84" s="7" t="str">
        <f t="shared" si="135"/>
        <v/>
      </c>
      <c r="I84" s="25"/>
      <c r="J84" s="7" t="str">
        <f t="shared" si="135"/>
        <v/>
      </c>
      <c r="K84" s="25"/>
      <c r="L84" s="7" t="str">
        <f t="shared" si="136"/>
        <v/>
      </c>
      <c r="M84" s="25"/>
      <c r="N84" s="7" t="str">
        <f t="shared" si="137"/>
        <v/>
      </c>
      <c r="O84" s="81"/>
      <c r="P84" s="81" t="str">
        <f t="shared" si="138"/>
        <v/>
      </c>
      <c r="Q84" s="81"/>
      <c r="R84" s="7" t="str">
        <f t="shared" si="139"/>
        <v/>
      </c>
      <c r="S84" s="25"/>
      <c r="T84" s="7" t="str">
        <f t="shared" si="140"/>
        <v/>
      </c>
      <c r="U84" s="25"/>
      <c r="V84" s="7" t="str">
        <f t="shared" si="141"/>
        <v/>
      </c>
      <c r="W84" s="25"/>
      <c r="X84" s="7" t="str">
        <f t="shared" si="142"/>
        <v/>
      </c>
      <c r="Y84" s="18" t="str">
        <f t="shared" si="143"/>
        <v/>
      </c>
      <c r="Z84" s="7" t="str">
        <f t="shared" si="144"/>
        <v/>
      </c>
      <c r="AA84" s="18" t="str">
        <f t="shared" si="145"/>
        <v/>
      </c>
      <c r="AB84" s="19" t="str">
        <f t="shared" si="146"/>
        <v/>
      </c>
      <c r="AC84" s="26"/>
      <c r="AD84" s="26"/>
      <c r="AE84" s="25"/>
      <c r="AF84" s="26"/>
      <c r="AG84" s="25"/>
      <c r="AH84" s="25"/>
      <c r="AI84" s="18" t="str">
        <f t="shared" si="83"/>
        <v/>
      </c>
      <c r="AJ84" s="25"/>
      <c r="AK84" s="18" t="str">
        <f t="shared" si="84"/>
        <v/>
      </c>
      <c r="AL84" s="79"/>
      <c r="AM84" s="126" t="str">
        <f t="shared" si="85"/>
        <v/>
      </c>
      <c r="AN84" s="128" t="str">
        <f>IF(AP84&lt;&gt;"",VLOOKUP($P84&amp;" | "&amp;AN$6,'Job Master'!$F$12:$J$102,5,0),"")</f>
        <v/>
      </c>
      <c r="AO84" s="19" t="str">
        <f>IF(AP84&lt;&gt;"",VLOOKUP($P84&amp;" | "&amp;AN$6,'Job Master'!$F$12:$J$102,3,0),"")</f>
        <v/>
      </c>
      <c r="AP84" s="19" t="str">
        <f>IFERROR(IF(AND(AW84&lt;&gt;"",VLOOKUP($P84&amp;" | "&amp;AN$6,'Job Master'!$F$12:$I$102,4,0)&lt;&gt;""),IF(WEEKDAY(AW84-VLOOKUP($P84&amp;" | "&amp;AN$6,'Job Master'!$F$12:$I$102,4,0))&lt;&gt;7,AW84-VLOOKUP($P84&amp;" | "&amp;AN$6,'Job Master'!$F$12:$I$102,4,0),AW84-VLOOKUP($P84&amp;" | "&amp;AN$6,'Job Master'!$F$12:$I$102,4,0)-1),""),"")</f>
        <v/>
      </c>
      <c r="AQ84" s="73"/>
      <c r="AR84" s="123" t="str">
        <f t="shared" si="147"/>
        <v/>
      </c>
      <c r="AS84" s="123" t="str">
        <f t="shared" si="148"/>
        <v/>
      </c>
      <c r="AT84" s="97" t="str">
        <f t="shared" ca="1" si="149"/>
        <v/>
      </c>
      <c r="AU84" s="98" t="str">
        <f>IF(AW84&lt;&gt;"",VLOOKUP($P84&amp;" | "&amp;AU$6,'Job Master'!$F$12:$J$102,5,0),"")</f>
        <v/>
      </c>
      <c r="AV84" s="19" t="str">
        <f>IF(AW84&lt;&gt;"",VLOOKUP($P84&amp;" | "&amp;AU$6,'Job Master'!$F$12:$J$102,3,0),"")</f>
        <v/>
      </c>
      <c r="AW84" s="19" t="str">
        <f>IFERROR(IF(AND(BD84&lt;&gt;"",VLOOKUP($P84&amp;" | "&amp;AU$6,'Job Master'!$F$12:$I$102,4,0)&lt;&gt;""),IF(WEEKDAY(BD84-VLOOKUP($P84&amp;" | "&amp;AU$6,'Job Master'!$F$12:$I$102,4,0))&lt;&gt;7,BD84-VLOOKUP($P84&amp;" | "&amp;AU$6,'Job Master'!$F$12:$I$102,4,0),BD84-VLOOKUP($P84&amp;" | "&amp;AU$6,'Job Master'!$F$12:$I$102,4,0)-1),""),"")</f>
        <v/>
      </c>
      <c r="AX84" s="73"/>
      <c r="AY84" s="123" t="str">
        <f t="shared" si="150"/>
        <v/>
      </c>
      <c r="AZ84" s="123" t="str">
        <f t="shared" si="151"/>
        <v/>
      </c>
      <c r="BA84" s="97" t="str">
        <f t="shared" ca="1" si="152"/>
        <v/>
      </c>
      <c r="BB84" s="98" t="str">
        <f>IF(BD84&lt;&gt;"",VLOOKUP($P84&amp;" | "&amp;BB$6,'Job Master'!$F$12:$J$102,5,0),"")</f>
        <v/>
      </c>
      <c r="BC84" s="19" t="str">
        <f>IF(BD84&lt;&gt;"",VLOOKUP($P84&amp;" | "&amp;BB$6,'Job Master'!$F$12:$J$102,3,0),"")</f>
        <v/>
      </c>
      <c r="BD84" s="19" t="str">
        <f>IFERROR(IF(AND(BK84&lt;&gt;"",VLOOKUP($P84&amp;" | "&amp;BB$6,'Job Master'!$F$12:$I$102,4,0)&lt;&gt;""),IF(WEEKDAY(BK84-VLOOKUP($P84&amp;" | "&amp;BB$6,'Job Master'!$F$12:$I$102,4,0))&lt;&gt;7,BK84-VLOOKUP($P84&amp;" | "&amp;BB$6,'Job Master'!$F$12:$I$102,4,0),BK84-VLOOKUP($P84&amp;" | "&amp;BB$6,'Job Master'!$F$12:$I$102,4,0)-1),""),"")</f>
        <v/>
      </c>
      <c r="BE84" s="73"/>
      <c r="BF84" s="123" t="str">
        <f t="shared" si="153"/>
        <v/>
      </c>
      <c r="BG84" s="123" t="str">
        <f t="shared" si="154"/>
        <v/>
      </c>
      <c r="BH84" s="97" t="str">
        <f t="shared" ca="1" si="155"/>
        <v/>
      </c>
      <c r="BI84" s="98" t="str">
        <f>IF(BK84&lt;&gt;"",VLOOKUP($P84&amp;" | "&amp;BI$6,'Job Master'!$F$12:$J$102,5,0),"")</f>
        <v/>
      </c>
      <c r="BJ84" s="19" t="str">
        <f>IF(BK84&lt;&gt;"",VLOOKUP($P84&amp;" | "&amp;BI$6,'Job Master'!$F$12:$J$102,3,0),"")</f>
        <v/>
      </c>
      <c r="BK84" s="19" t="str">
        <f>IFERROR(IF(AND(BR84&lt;&gt;"",VLOOKUP($P84&amp;" | "&amp;BI$6,'Job Master'!$F$12:$I$102,4,0)&lt;&gt;""),IF(WEEKDAY(BR84-VLOOKUP($P84&amp;" | "&amp;BI$6,'Job Master'!$F$12:$I$102,4,0))&lt;&gt;7,BR84-VLOOKUP($P84&amp;" | "&amp;BI$6,'Job Master'!$F$12:$I$102,4,0),BR84-VLOOKUP($P84&amp;" | "&amp;BI$6,'Job Master'!$F$12:$I$102,4,0)-1),""),"")</f>
        <v/>
      </c>
      <c r="BL84" s="73"/>
      <c r="BM84" s="123" t="str">
        <f t="shared" si="156"/>
        <v/>
      </c>
      <c r="BN84" s="123" t="str">
        <f t="shared" si="157"/>
        <v/>
      </c>
      <c r="BO84" s="97" t="str">
        <f t="shared" ca="1" si="158"/>
        <v/>
      </c>
      <c r="BP84" s="98" t="str">
        <f>IF(BR84&lt;&gt;"",VLOOKUP($P84&amp;" | "&amp;BP$6,'Job Master'!$F$12:$J$102,5,0),"")</f>
        <v/>
      </c>
      <c r="BQ84" s="19" t="str">
        <f>IF(BR84&lt;&gt;"",VLOOKUP($P84&amp;" | "&amp;BP$6,'Job Master'!$F$12:$J$102,3,0),"")</f>
        <v/>
      </c>
      <c r="BR84" s="19" t="str">
        <f>IFERROR(IF(AND(BY84&lt;&gt;"",VLOOKUP($P84&amp;" | "&amp;BP$6,'Job Master'!$F$12:$I$102,4,0)&lt;&gt;""),IF(WEEKDAY(BY84-VLOOKUP($P84&amp;" | "&amp;BP$6,'Job Master'!$F$12:$I$102,4,0))&lt;&gt;7,BY84-VLOOKUP($P84&amp;" | "&amp;BP$6,'Job Master'!$F$12:$I$102,4,0),BY84-VLOOKUP($P84&amp;" | "&amp;BP$6,'Job Master'!$F$12:$I$102,4,0)-1),""),"")</f>
        <v/>
      </c>
      <c r="BS84" s="73"/>
      <c r="BT84" s="123" t="str">
        <f t="shared" si="159"/>
        <v/>
      </c>
      <c r="BU84" s="123" t="str">
        <f t="shared" si="160"/>
        <v/>
      </c>
      <c r="BV84" s="97" t="str">
        <f t="shared" ca="1" si="161"/>
        <v/>
      </c>
      <c r="BW84" s="98" t="str">
        <f>IF(BY84&lt;&gt;"",VLOOKUP($P84&amp;" | "&amp;BW$6,'Job Master'!$F$12:$J$102,5,0),"")</f>
        <v/>
      </c>
      <c r="BX84" s="19" t="str">
        <f>IF(BY84&lt;&gt;"",VLOOKUP($P84&amp;" | "&amp;BW$6,'Job Master'!$F$12:$J$102,3,0),"")</f>
        <v/>
      </c>
      <c r="BY84" s="19" t="str">
        <f>IFERROR(IF(AND(CF84&lt;&gt;"",VLOOKUP($P84&amp;" | "&amp;BW$6,'Job Master'!$F$12:$I$102,4,0)&lt;&gt;""),IF(WEEKDAY(CF84-VLOOKUP($P84&amp;" | "&amp;BW$6,'Job Master'!$F$12:$I$102,4,0))&lt;&gt;7,CF84-VLOOKUP($P84&amp;" | "&amp;BW$6,'Job Master'!$F$12:$I$102,4,0),CF84-VLOOKUP($P84&amp;" | "&amp;BW$6,'Job Master'!$F$12:$I$102,4,0)-1),""),"")</f>
        <v/>
      </c>
      <c r="BZ84" s="73"/>
      <c r="CA84" s="123" t="str">
        <f t="shared" si="162"/>
        <v/>
      </c>
      <c r="CB84" s="123" t="str">
        <f t="shared" si="163"/>
        <v/>
      </c>
      <c r="CC84" s="97" t="str">
        <f t="shared" ca="1" si="164"/>
        <v/>
      </c>
      <c r="CD84" s="98" t="str">
        <f>IF(CF84&lt;&gt;"",VLOOKUP($P84&amp;" | "&amp;CD$6,'Job Master'!$F$12:$J$102,5,0),"")</f>
        <v/>
      </c>
      <c r="CE84" s="19" t="str">
        <f>IF(CF84&lt;&gt;"",VLOOKUP($P84&amp;" | "&amp;CD$6,'Job Master'!$F$12:$J$102,3,0),"")</f>
        <v/>
      </c>
      <c r="CF84" s="19" t="str">
        <f>IFERROR(IF(AND(CM84&lt;&gt;"",VLOOKUP($P84&amp;" | "&amp;CD$6,'Job Master'!$F$12:$I$102,4,0)&lt;&gt;""),IF(WEEKDAY(CM84-VLOOKUP($P84&amp;" | "&amp;CD$6,'Job Master'!$F$12:$I$102,4,0))&lt;&gt;7,CM84-VLOOKUP($P84&amp;" | "&amp;CD$6,'Job Master'!$F$12:$I$102,4,0),CM84-VLOOKUP($P84&amp;" | "&amp;CD$6,'Job Master'!$F$12:$I$102,4,0)-1),""),"")</f>
        <v/>
      </c>
      <c r="CG84" s="73"/>
      <c r="CH84" s="123" t="str">
        <f t="shared" si="165"/>
        <v/>
      </c>
      <c r="CI84" s="123" t="str">
        <f t="shared" si="166"/>
        <v/>
      </c>
      <c r="CJ84" s="97" t="str">
        <f t="shared" ca="1" si="167"/>
        <v/>
      </c>
      <c r="CK84" s="98" t="str">
        <f>IF(CM84&lt;&gt;"",VLOOKUP($P84&amp;" | "&amp;CK$6,'Job Master'!$F$12:$J$102,5,0),"")</f>
        <v/>
      </c>
      <c r="CL84" s="19" t="str">
        <f>IF(CM84&lt;&gt;"",VLOOKUP($P84&amp;" | "&amp;CK$6,'Job Master'!$F$12:$J$102,3,0),"")</f>
        <v/>
      </c>
      <c r="CM84" s="19" t="str">
        <f>IFERROR(IF(AND(CT84&lt;&gt;"",VLOOKUP($P84&amp;" | "&amp;CK$6,'Job Master'!$F$12:$I$102,4,0)&lt;&gt;""),IF(WEEKDAY(CT84-VLOOKUP($P84&amp;" | "&amp;CK$6,'Job Master'!$F$12:$I$102,4,0))&lt;&gt;7,CT84-VLOOKUP($P84&amp;" | "&amp;CK$6,'Job Master'!$F$12:$I$102,4,0),CT84-VLOOKUP($P84&amp;" | "&amp;CK$6,'Job Master'!$F$12:$I$102,4,0)-1),""),"")</f>
        <v/>
      </c>
      <c r="CN84" s="73"/>
      <c r="CO84" s="123" t="str">
        <f t="shared" si="168"/>
        <v/>
      </c>
      <c r="CP84" s="123" t="str">
        <f t="shared" si="169"/>
        <v/>
      </c>
      <c r="CQ84" s="97" t="str">
        <f t="shared" ca="1" si="170"/>
        <v/>
      </c>
      <c r="CR84" s="98" t="str">
        <f>IF(CT84&lt;&gt;"",VLOOKUP($P84&amp;" | "&amp;CR$6,'Job Master'!$F$12:$J$102,5,0),"")</f>
        <v/>
      </c>
      <c r="CS84" s="19" t="str">
        <f>IF(CT84&lt;&gt;"",VLOOKUP($P84&amp;" | "&amp;CR$6,'Job Master'!$F$12:$J$102,3,0),"")</f>
        <v/>
      </c>
      <c r="CT84" s="19" t="str">
        <f>IFERROR(IF(AND(DA84&lt;&gt;"",VLOOKUP($P84&amp;" | "&amp;CR$6,'Job Master'!$F$12:$I$102,4,0)&lt;&gt;""),IF(WEEKDAY(DA84-VLOOKUP($P84&amp;" | "&amp;CR$6,'Job Master'!$F$12:$I$102,4,0))&lt;&gt;7,DA84-VLOOKUP($P84&amp;" | "&amp;CR$6,'Job Master'!$F$12:$I$102,4,0),DA84-VLOOKUP($P84&amp;" | "&amp;CR$6,'Job Master'!$F$12:$I$102,4,0)-1),""),"")</f>
        <v/>
      </c>
      <c r="CU84" s="73"/>
      <c r="CV84" s="123" t="str">
        <f t="shared" si="171"/>
        <v/>
      </c>
      <c r="CW84" s="123" t="str">
        <f t="shared" si="172"/>
        <v/>
      </c>
      <c r="CX84" s="97" t="str">
        <f t="shared" ca="1" si="173"/>
        <v/>
      </c>
      <c r="CY84" s="98" t="str">
        <f>IF(DA84&lt;&gt;"",VLOOKUP($P84&amp;" | "&amp;CY$6,'Job Master'!$F$12:$J$102,5,0),"")</f>
        <v/>
      </c>
      <c r="CZ84" s="19" t="str">
        <f>IF(DA84&lt;&gt;"",VLOOKUP($P84&amp;" | "&amp;CY$6,'Job Master'!$F$12:$J$102,3,0),"")</f>
        <v/>
      </c>
      <c r="DA84" s="19" t="str">
        <f>IFERROR(IF(AND(DH84&lt;&gt;"",VLOOKUP($P84&amp;" | "&amp;CY$6,'Job Master'!$F$12:$I$102,4,0)&lt;&gt;""),IF(WEEKDAY(DH84-VLOOKUP($P84&amp;" | "&amp;CY$6,'Job Master'!$F$12:$I$102,4,0))&lt;&gt;7,DH84-VLOOKUP($P84&amp;" | "&amp;CY$6,'Job Master'!$F$12:$I$102,4,0),DH84-VLOOKUP($P84&amp;" | "&amp;CY$6,'Job Master'!$F$12:$I$102,4,0)-1),""),"")</f>
        <v/>
      </c>
      <c r="DB84" s="73"/>
      <c r="DC84" s="123" t="str">
        <f t="shared" si="174"/>
        <v/>
      </c>
      <c r="DD84" s="123" t="str">
        <f t="shared" si="175"/>
        <v/>
      </c>
      <c r="DE84" s="97" t="str">
        <f t="shared" ca="1" si="176"/>
        <v/>
      </c>
      <c r="DF84" s="98" t="str">
        <f>IF(DH84&lt;&gt;"",VLOOKUP($P84&amp;" | "&amp;DF$6,'Job Master'!$F$12:$J$102,5,0),"")</f>
        <v/>
      </c>
      <c r="DG84" s="19" t="str">
        <f>IF(DH84&lt;&gt;"",VLOOKUP($P84&amp;" | "&amp;DF$6,'Job Master'!$F$12:$J$102,3,0),"")</f>
        <v/>
      </c>
      <c r="DH84" s="19" t="str">
        <f>IFERROR(IF(AND(DO84&lt;&gt;"",VLOOKUP($P84&amp;" | "&amp;DF$6,'Job Master'!$F$12:$I$102,4,0)&lt;&gt;""),IF(WEEKDAY(DO84-VLOOKUP($P84&amp;" | "&amp;DF$6,'Job Master'!$F$12:$I$102,4,0))&lt;&gt;7,DO84-VLOOKUP($P84&amp;" | "&amp;DF$6,'Job Master'!$F$12:$I$102,4,0),DO84-VLOOKUP($P84&amp;" | "&amp;DF$6,'Job Master'!$F$12:$I$102,4,0)-1),""),"")</f>
        <v/>
      </c>
      <c r="DI84" s="73"/>
      <c r="DJ84" s="123" t="str">
        <f t="shared" si="177"/>
        <v/>
      </c>
      <c r="DK84" s="123" t="str">
        <f t="shared" si="178"/>
        <v/>
      </c>
      <c r="DL84" s="97" t="str">
        <f t="shared" ca="1" si="179"/>
        <v/>
      </c>
      <c r="DM84" s="98" t="str">
        <f>IF(DO84&lt;&gt;"",VLOOKUP($P84&amp;" | "&amp;DM$6,'Job Master'!$F$12:$J$102,5,0),"")</f>
        <v/>
      </c>
      <c r="DN84" s="19" t="str">
        <f>IF(DO84&lt;&gt;"",VLOOKUP($P84&amp;" | "&amp;DM$6,'Job Master'!$F$12:$J$102,3,0),"")</f>
        <v/>
      </c>
      <c r="DO84" s="19" t="str">
        <f>IFERROR(IF(AND(DT84&lt;&gt;"",VLOOKUP($P84&amp;" | "&amp;DM$6,'Job Master'!$F$12:$I$102,4,0)&lt;&gt;""),IF(WEEKDAY(DT84-VLOOKUP($P84&amp;" | "&amp;DM$6,'Job Master'!$F$12:$I$102,4,0))&lt;&gt;7,DT84-VLOOKUP($P84&amp;" | "&amp;DM$6,'Job Master'!$F$12:$I$102,4,0),DT84-VLOOKUP($P84&amp;" | "&amp;DM$6,'Job Master'!$F$12:$I$102,4,0)-1),""),"")</f>
        <v/>
      </c>
      <c r="DP84" s="73"/>
      <c r="DQ84" s="123" t="str">
        <f t="shared" si="180"/>
        <v/>
      </c>
      <c r="DR84" s="123" t="str">
        <f t="shared" si="181"/>
        <v/>
      </c>
      <c r="DS84" s="97" t="str">
        <f t="shared" ca="1" si="182"/>
        <v/>
      </c>
      <c r="DT84" s="70" t="str">
        <f t="shared" si="183"/>
        <v/>
      </c>
      <c r="DU84" s="90"/>
      <c r="DV84" s="123" t="str">
        <f t="shared" si="184"/>
        <v/>
      </c>
      <c r="DW84" s="123" t="str">
        <f t="shared" si="185"/>
        <v/>
      </c>
      <c r="DX84" s="132" t="str">
        <f t="shared" ref="DX84" ca="1" si="204">IF(DT84&lt;&gt;"",IF(WEEKNUM(DT84)=WEEKNUM(TODAY()),"This Week",IF(WEEKNUM(DT84)=WEEKNUM(TODAY())+1,"Next Week",IF(WEEKNUM(DT84)=WEEKNUM(TODAY())-1,"Previous Week",""))),"")</f>
        <v/>
      </c>
      <c r="DY84" s="134" t="str">
        <f t="shared" si="187"/>
        <v/>
      </c>
      <c r="DZ84" s="95"/>
      <c r="EB84" s="8" t="str">
        <f t="shared" si="193"/>
        <v/>
      </c>
      <c r="EC84" s="8" t="str">
        <f>IF(O84&lt;&gt;"",VLOOKUP(O84,'Job Master'!$N$12:$O$18,2,0),"")</f>
        <v/>
      </c>
      <c r="ED84" s="8">
        <f t="shared" si="194"/>
        <v>19.5</v>
      </c>
      <c r="EE84" s="8">
        <f t="shared" si="195"/>
        <v>6</v>
      </c>
      <c r="EF84" s="8">
        <f t="shared" si="196"/>
        <v>-424.5</v>
      </c>
      <c r="EG84" s="8" t="str">
        <f t="shared" si="197"/>
        <v/>
      </c>
      <c r="EH84" s="8" t="str">
        <f t="shared" si="198"/>
        <v/>
      </c>
    </row>
    <row r="85" spans="2:138" x14ac:dyDescent="0.3">
      <c r="B85" s="112"/>
      <c r="C85" s="27"/>
      <c r="D85" s="7" t="str">
        <f t="shared" si="135"/>
        <v/>
      </c>
      <c r="E85" s="25"/>
      <c r="F85" s="7" t="str">
        <f t="shared" si="135"/>
        <v/>
      </c>
      <c r="G85" s="25"/>
      <c r="H85" s="7" t="str">
        <f t="shared" si="135"/>
        <v/>
      </c>
      <c r="I85" s="25"/>
      <c r="J85" s="7" t="str">
        <f t="shared" si="135"/>
        <v/>
      </c>
      <c r="K85" s="25"/>
      <c r="L85" s="7" t="str">
        <f t="shared" si="136"/>
        <v/>
      </c>
      <c r="M85" s="25"/>
      <c r="N85" s="7" t="str">
        <f t="shared" si="137"/>
        <v/>
      </c>
      <c r="O85" s="81"/>
      <c r="P85" s="81" t="str">
        <f t="shared" si="138"/>
        <v/>
      </c>
      <c r="Q85" s="81"/>
      <c r="R85" s="7" t="str">
        <f t="shared" si="139"/>
        <v/>
      </c>
      <c r="S85" s="25"/>
      <c r="T85" s="7" t="str">
        <f t="shared" si="140"/>
        <v/>
      </c>
      <c r="U85" s="25"/>
      <c r="V85" s="7" t="str">
        <f t="shared" si="141"/>
        <v/>
      </c>
      <c r="W85" s="25"/>
      <c r="X85" s="7" t="str">
        <f t="shared" si="142"/>
        <v/>
      </c>
      <c r="Y85" s="18" t="str">
        <f t="shared" si="143"/>
        <v/>
      </c>
      <c r="Z85" s="7" t="str">
        <f t="shared" si="144"/>
        <v/>
      </c>
      <c r="AA85" s="18" t="str">
        <f t="shared" si="145"/>
        <v/>
      </c>
      <c r="AB85" s="19" t="str">
        <f t="shared" si="146"/>
        <v/>
      </c>
      <c r="AC85" s="26"/>
      <c r="AD85" s="26"/>
      <c r="AE85" s="25"/>
      <c r="AF85" s="26"/>
      <c r="AG85" s="25"/>
      <c r="AH85" s="25"/>
      <c r="AI85" s="18" t="str">
        <f t="shared" si="83"/>
        <v/>
      </c>
      <c r="AJ85" s="25"/>
      <c r="AK85" s="18" t="str">
        <f t="shared" si="84"/>
        <v/>
      </c>
      <c r="AL85" s="79"/>
      <c r="AM85" s="126" t="str">
        <f t="shared" si="85"/>
        <v/>
      </c>
      <c r="AN85" s="128" t="str">
        <f>IF(AP85&lt;&gt;"",VLOOKUP($P85&amp;" | "&amp;AN$6,'Job Master'!$F$12:$J$102,5,0),"")</f>
        <v/>
      </c>
      <c r="AO85" s="19" t="str">
        <f>IF(AP85&lt;&gt;"",VLOOKUP($P85&amp;" | "&amp;AN$6,'Job Master'!$F$12:$J$102,3,0),"")</f>
        <v/>
      </c>
      <c r="AP85" s="19" t="str">
        <f>IFERROR(IF(AND(AW85&lt;&gt;"",VLOOKUP($P85&amp;" | "&amp;AN$6,'Job Master'!$F$12:$I$102,4,0)&lt;&gt;""),IF(WEEKDAY(AW85-VLOOKUP($P85&amp;" | "&amp;AN$6,'Job Master'!$F$12:$I$102,4,0))&lt;&gt;7,AW85-VLOOKUP($P85&amp;" | "&amp;AN$6,'Job Master'!$F$12:$I$102,4,0),AW85-VLOOKUP($P85&amp;" | "&amp;AN$6,'Job Master'!$F$12:$I$102,4,0)-1),""),"")</f>
        <v/>
      </c>
      <c r="AQ85" s="73"/>
      <c r="AR85" s="123" t="str">
        <f t="shared" si="147"/>
        <v/>
      </c>
      <c r="AS85" s="123" t="str">
        <f t="shared" si="148"/>
        <v/>
      </c>
      <c r="AT85" s="97" t="str">
        <f t="shared" ca="1" si="149"/>
        <v/>
      </c>
      <c r="AU85" s="98" t="str">
        <f>IF(AW85&lt;&gt;"",VLOOKUP($P85&amp;" | "&amp;AU$6,'Job Master'!$F$12:$J$102,5,0),"")</f>
        <v/>
      </c>
      <c r="AV85" s="19" t="str">
        <f>IF(AW85&lt;&gt;"",VLOOKUP($P85&amp;" | "&amp;AU$6,'Job Master'!$F$12:$J$102,3,0),"")</f>
        <v/>
      </c>
      <c r="AW85" s="19" t="str">
        <f>IFERROR(IF(AND(BD85&lt;&gt;"",VLOOKUP($P85&amp;" | "&amp;AU$6,'Job Master'!$F$12:$I$102,4,0)&lt;&gt;""),IF(WEEKDAY(BD85-VLOOKUP($P85&amp;" | "&amp;AU$6,'Job Master'!$F$12:$I$102,4,0))&lt;&gt;7,BD85-VLOOKUP($P85&amp;" | "&amp;AU$6,'Job Master'!$F$12:$I$102,4,0),BD85-VLOOKUP($P85&amp;" | "&amp;AU$6,'Job Master'!$F$12:$I$102,4,0)-1),""),"")</f>
        <v/>
      </c>
      <c r="AX85" s="73"/>
      <c r="AY85" s="123" t="str">
        <f t="shared" si="150"/>
        <v/>
      </c>
      <c r="AZ85" s="123" t="str">
        <f t="shared" si="151"/>
        <v/>
      </c>
      <c r="BA85" s="97" t="str">
        <f t="shared" ca="1" si="152"/>
        <v/>
      </c>
      <c r="BB85" s="98" t="str">
        <f>IF(BD85&lt;&gt;"",VLOOKUP($P85&amp;" | "&amp;BB$6,'Job Master'!$F$12:$J$102,5,0),"")</f>
        <v/>
      </c>
      <c r="BC85" s="19" t="str">
        <f>IF(BD85&lt;&gt;"",VLOOKUP($P85&amp;" | "&amp;BB$6,'Job Master'!$F$12:$J$102,3,0),"")</f>
        <v/>
      </c>
      <c r="BD85" s="19" t="str">
        <f>IFERROR(IF(AND(BK85&lt;&gt;"",VLOOKUP($P85&amp;" | "&amp;BB$6,'Job Master'!$F$12:$I$102,4,0)&lt;&gt;""),IF(WEEKDAY(BK85-VLOOKUP($P85&amp;" | "&amp;BB$6,'Job Master'!$F$12:$I$102,4,0))&lt;&gt;7,BK85-VLOOKUP($P85&amp;" | "&amp;BB$6,'Job Master'!$F$12:$I$102,4,0),BK85-VLOOKUP($P85&amp;" | "&amp;BB$6,'Job Master'!$F$12:$I$102,4,0)-1),""),"")</f>
        <v/>
      </c>
      <c r="BE85" s="73"/>
      <c r="BF85" s="123" t="str">
        <f t="shared" si="153"/>
        <v/>
      </c>
      <c r="BG85" s="123" t="str">
        <f t="shared" si="154"/>
        <v/>
      </c>
      <c r="BH85" s="97" t="str">
        <f t="shared" ca="1" si="155"/>
        <v/>
      </c>
      <c r="BI85" s="98" t="str">
        <f>IF(BK85&lt;&gt;"",VLOOKUP($P85&amp;" | "&amp;BI$6,'Job Master'!$F$12:$J$102,5,0),"")</f>
        <v/>
      </c>
      <c r="BJ85" s="19" t="str">
        <f>IF(BK85&lt;&gt;"",VLOOKUP($P85&amp;" | "&amp;BI$6,'Job Master'!$F$12:$J$102,3,0),"")</f>
        <v/>
      </c>
      <c r="BK85" s="19" t="str">
        <f>IFERROR(IF(AND(BR85&lt;&gt;"",VLOOKUP($P85&amp;" | "&amp;BI$6,'Job Master'!$F$12:$I$102,4,0)&lt;&gt;""),IF(WEEKDAY(BR85-VLOOKUP($P85&amp;" | "&amp;BI$6,'Job Master'!$F$12:$I$102,4,0))&lt;&gt;7,BR85-VLOOKUP($P85&amp;" | "&amp;BI$6,'Job Master'!$F$12:$I$102,4,0),BR85-VLOOKUP($P85&amp;" | "&amp;BI$6,'Job Master'!$F$12:$I$102,4,0)-1),""),"")</f>
        <v/>
      </c>
      <c r="BL85" s="73"/>
      <c r="BM85" s="123" t="str">
        <f t="shared" si="156"/>
        <v/>
      </c>
      <c r="BN85" s="123" t="str">
        <f t="shared" si="157"/>
        <v/>
      </c>
      <c r="BO85" s="97" t="str">
        <f t="shared" ca="1" si="158"/>
        <v/>
      </c>
      <c r="BP85" s="98" t="str">
        <f>IF(BR85&lt;&gt;"",VLOOKUP($P85&amp;" | "&amp;BP$6,'Job Master'!$F$12:$J$102,5,0),"")</f>
        <v/>
      </c>
      <c r="BQ85" s="19" t="str">
        <f>IF(BR85&lt;&gt;"",VLOOKUP($P85&amp;" | "&amp;BP$6,'Job Master'!$F$12:$J$102,3,0),"")</f>
        <v/>
      </c>
      <c r="BR85" s="19" t="str">
        <f>IFERROR(IF(AND(BY85&lt;&gt;"",VLOOKUP($P85&amp;" | "&amp;BP$6,'Job Master'!$F$12:$I$102,4,0)&lt;&gt;""),IF(WEEKDAY(BY85-VLOOKUP($P85&amp;" | "&amp;BP$6,'Job Master'!$F$12:$I$102,4,0))&lt;&gt;7,BY85-VLOOKUP($P85&amp;" | "&amp;BP$6,'Job Master'!$F$12:$I$102,4,0),BY85-VLOOKUP($P85&amp;" | "&amp;BP$6,'Job Master'!$F$12:$I$102,4,0)-1),""),"")</f>
        <v/>
      </c>
      <c r="BS85" s="73"/>
      <c r="BT85" s="123" t="str">
        <f t="shared" si="159"/>
        <v/>
      </c>
      <c r="BU85" s="123" t="str">
        <f t="shared" si="160"/>
        <v/>
      </c>
      <c r="BV85" s="97" t="str">
        <f t="shared" ca="1" si="161"/>
        <v/>
      </c>
      <c r="BW85" s="98" t="str">
        <f>IF(BY85&lt;&gt;"",VLOOKUP($P85&amp;" | "&amp;BW$6,'Job Master'!$F$12:$J$102,5,0),"")</f>
        <v/>
      </c>
      <c r="BX85" s="19" t="str">
        <f>IF(BY85&lt;&gt;"",VLOOKUP($P85&amp;" | "&amp;BW$6,'Job Master'!$F$12:$J$102,3,0),"")</f>
        <v/>
      </c>
      <c r="BY85" s="19" t="str">
        <f>IFERROR(IF(AND(CF85&lt;&gt;"",VLOOKUP($P85&amp;" | "&amp;BW$6,'Job Master'!$F$12:$I$102,4,0)&lt;&gt;""),IF(WEEKDAY(CF85-VLOOKUP($P85&amp;" | "&amp;BW$6,'Job Master'!$F$12:$I$102,4,0))&lt;&gt;7,CF85-VLOOKUP($P85&amp;" | "&amp;BW$6,'Job Master'!$F$12:$I$102,4,0),CF85-VLOOKUP($P85&amp;" | "&amp;BW$6,'Job Master'!$F$12:$I$102,4,0)-1),""),"")</f>
        <v/>
      </c>
      <c r="BZ85" s="73"/>
      <c r="CA85" s="123" t="str">
        <f t="shared" si="162"/>
        <v/>
      </c>
      <c r="CB85" s="123" t="str">
        <f t="shared" si="163"/>
        <v/>
      </c>
      <c r="CC85" s="97" t="str">
        <f t="shared" ca="1" si="164"/>
        <v/>
      </c>
      <c r="CD85" s="98" t="str">
        <f>IF(CF85&lt;&gt;"",VLOOKUP($P85&amp;" | "&amp;CD$6,'Job Master'!$F$12:$J$102,5,0),"")</f>
        <v/>
      </c>
      <c r="CE85" s="19" t="str">
        <f>IF(CF85&lt;&gt;"",VLOOKUP($P85&amp;" | "&amp;CD$6,'Job Master'!$F$12:$J$102,3,0),"")</f>
        <v/>
      </c>
      <c r="CF85" s="19" t="str">
        <f>IFERROR(IF(AND(CM85&lt;&gt;"",VLOOKUP($P85&amp;" | "&amp;CD$6,'Job Master'!$F$12:$I$102,4,0)&lt;&gt;""),IF(WEEKDAY(CM85-VLOOKUP($P85&amp;" | "&amp;CD$6,'Job Master'!$F$12:$I$102,4,0))&lt;&gt;7,CM85-VLOOKUP($P85&amp;" | "&amp;CD$6,'Job Master'!$F$12:$I$102,4,0),CM85-VLOOKUP($P85&amp;" | "&amp;CD$6,'Job Master'!$F$12:$I$102,4,0)-1),""),"")</f>
        <v/>
      </c>
      <c r="CG85" s="73"/>
      <c r="CH85" s="123" t="str">
        <f t="shared" si="165"/>
        <v/>
      </c>
      <c r="CI85" s="123" t="str">
        <f t="shared" si="166"/>
        <v/>
      </c>
      <c r="CJ85" s="97" t="str">
        <f t="shared" ca="1" si="167"/>
        <v/>
      </c>
      <c r="CK85" s="98" t="str">
        <f>IF(CM85&lt;&gt;"",VLOOKUP($P85&amp;" | "&amp;CK$6,'Job Master'!$F$12:$J$102,5,0),"")</f>
        <v/>
      </c>
      <c r="CL85" s="19" t="str">
        <f>IF(CM85&lt;&gt;"",VLOOKUP($P85&amp;" | "&amp;CK$6,'Job Master'!$F$12:$J$102,3,0),"")</f>
        <v/>
      </c>
      <c r="CM85" s="19" t="str">
        <f>IFERROR(IF(AND(CT85&lt;&gt;"",VLOOKUP($P85&amp;" | "&amp;CK$6,'Job Master'!$F$12:$I$102,4,0)&lt;&gt;""),IF(WEEKDAY(CT85-VLOOKUP($P85&amp;" | "&amp;CK$6,'Job Master'!$F$12:$I$102,4,0))&lt;&gt;7,CT85-VLOOKUP($P85&amp;" | "&amp;CK$6,'Job Master'!$F$12:$I$102,4,0),CT85-VLOOKUP($P85&amp;" | "&amp;CK$6,'Job Master'!$F$12:$I$102,4,0)-1),""),"")</f>
        <v/>
      </c>
      <c r="CN85" s="73"/>
      <c r="CO85" s="123" t="str">
        <f t="shared" si="168"/>
        <v/>
      </c>
      <c r="CP85" s="123" t="str">
        <f t="shared" si="169"/>
        <v/>
      </c>
      <c r="CQ85" s="97" t="str">
        <f t="shared" ca="1" si="170"/>
        <v/>
      </c>
      <c r="CR85" s="98" t="str">
        <f>IF(CT85&lt;&gt;"",VLOOKUP($P85&amp;" | "&amp;CR$6,'Job Master'!$F$12:$J$102,5,0),"")</f>
        <v/>
      </c>
      <c r="CS85" s="19" t="str">
        <f>IF(CT85&lt;&gt;"",VLOOKUP($P85&amp;" | "&amp;CR$6,'Job Master'!$F$12:$J$102,3,0),"")</f>
        <v/>
      </c>
      <c r="CT85" s="19" t="str">
        <f>IFERROR(IF(AND(DA85&lt;&gt;"",VLOOKUP($P85&amp;" | "&amp;CR$6,'Job Master'!$F$12:$I$102,4,0)&lt;&gt;""),IF(WEEKDAY(DA85-VLOOKUP($P85&amp;" | "&amp;CR$6,'Job Master'!$F$12:$I$102,4,0))&lt;&gt;7,DA85-VLOOKUP($P85&amp;" | "&amp;CR$6,'Job Master'!$F$12:$I$102,4,0),DA85-VLOOKUP($P85&amp;" | "&amp;CR$6,'Job Master'!$F$12:$I$102,4,0)-1),""),"")</f>
        <v/>
      </c>
      <c r="CU85" s="73"/>
      <c r="CV85" s="123" t="str">
        <f t="shared" si="171"/>
        <v/>
      </c>
      <c r="CW85" s="123" t="str">
        <f t="shared" si="172"/>
        <v/>
      </c>
      <c r="CX85" s="97" t="str">
        <f t="shared" ca="1" si="173"/>
        <v/>
      </c>
      <c r="CY85" s="98" t="str">
        <f>IF(DA85&lt;&gt;"",VLOOKUP($P85&amp;" | "&amp;CY$6,'Job Master'!$F$12:$J$102,5,0),"")</f>
        <v/>
      </c>
      <c r="CZ85" s="19" t="str">
        <f>IF(DA85&lt;&gt;"",VLOOKUP($P85&amp;" | "&amp;CY$6,'Job Master'!$F$12:$J$102,3,0),"")</f>
        <v/>
      </c>
      <c r="DA85" s="19" t="str">
        <f>IFERROR(IF(AND(DH85&lt;&gt;"",VLOOKUP($P85&amp;" | "&amp;CY$6,'Job Master'!$F$12:$I$102,4,0)&lt;&gt;""),IF(WEEKDAY(DH85-VLOOKUP($P85&amp;" | "&amp;CY$6,'Job Master'!$F$12:$I$102,4,0))&lt;&gt;7,DH85-VLOOKUP($P85&amp;" | "&amp;CY$6,'Job Master'!$F$12:$I$102,4,0),DH85-VLOOKUP($P85&amp;" | "&amp;CY$6,'Job Master'!$F$12:$I$102,4,0)-1),""),"")</f>
        <v/>
      </c>
      <c r="DB85" s="73"/>
      <c r="DC85" s="123" t="str">
        <f t="shared" si="174"/>
        <v/>
      </c>
      <c r="DD85" s="123" t="str">
        <f t="shared" si="175"/>
        <v/>
      </c>
      <c r="DE85" s="97" t="str">
        <f t="shared" ca="1" si="176"/>
        <v/>
      </c>
      <c r="DF85" s="98" t="str">
        <f>IF(DH85&lt;&gt;"",VLOOKUP($P85&amp;" | "&amp;DF$6,'Job Master'!$F$12:$J$102,5,0),"")</f>
        <v/>
      </c>
      <c r="DG85" s="19" t="str">
        <f>IF(DH85&lt;&gt;"",VLOOKUP($P85&amp;" | "&amp;DF$6,'Job Master'!$F$12:$J$102,3,0),"")</f>
        <v/>
      </c>
      <c r="DH85" s="19" t="str">
        <f>IFERROR(IF(AND(DO85&lt;&gt;"",VLOOKUP($P85&amp;" | "&amp;DF$6,'Job Master'!$F$12:$I$102,4,0)&lt;&gt;""),IF(WEEKDAY(DO85-VLOOKUP($P85&amp;" | "&amp;DF$6,'Job Master'!$F$12:$I$102,4,0))&lt;&gt;7,DO85-VLOOKUP($P85&amp;" | "&amp;DF$6,'Job Master'!$F$12:$I$102,4,0),DO85-VLOOKUP($P85&amp;" | "&amp;DF$6,'Job Master'!$F$12:$I$102,4,0)-1),""),"")</f>
        <v/>
      </c>
      <c r="DI85" s="73"/>
      <c r="DJ85" s="123" t="str">
        <f t="shared" si="177"/>
        <v/>
      </c>
      <c r="DK85" s="123" t="str">
        <f t="shared" si="178"/>
        <v/>
      </c>
      <c r="DL85" s="97" t="str">
        <f t="shared" ca="1" si="179"/>
        <v/>
      </c>
      <c r="DM85" s="98" t="str">
        <f>IF(DO85&lt;&gt;"",VLOOKUP($P85&amp;" | "&amp;DM$6,'Job Master'!$F$12:$J$102,5,0),"")</f>
        <v/>
      </c>
      <c r="DN85" s="19" t="str">
        <f>IF(DO85&lt;&gt;"",VLOOKUP($P85&amp;" | "&amp;DM$6,'Job Master'!$F$12:$J$102,3,0),"")</f>
        <v/>
      </c>
      <c r="DO85" s="19" t="str">
        <f>IFERROR(IF(AND(DT85&lt;&gt;"",VLOOKUP($P85&amp;" | "&amp;DM$6,'Job Master'!$F$12:$I$102,4,0)&lt;&gt;""),IF(WEEKDAY(DT85-VLOOKUP($P85&amp;" | "&amp;DM$6,'Job Master'!$F$12:$I$102,4,0))&lt;&gt;7,DT85-VLOOKUP($P85&amp;" | "&amp;DM$6,'Job Master'!$F$12:$I$102,4,0),DT85-VLOOKUP($P85&amp;" | "&amp;DM$6,'Job Master'!$F$12:$I$102,4,0)-1),""),"")</f>
        <v/>
      </c>
      <c r="DP85" s="73"/>
      <c r="DQ85" s="123" t="str">
        <f t="shared" si="180"/>
        <v/>
      </c>
      <c r="DR85" s="123" t="str">
        <f t="shared" si="181"/>
        <v/>
      </c>
      <c r="DS85" s="97" t="str">
        <f t="shared" ca="1" si="182"/>
        <v/>
      </c>
      <c r="DT85" s="70" t="str">
        <f t="shared" si="183"/>
        <v/>
      </c>
      <c r="DU85" s="90"/>
      <c r="DV85" s="123" t="str">
        <f t="shared" si="184"/>
        <v/>
      </c>
      <c r="DW85" s="123" t="str">
        <f t="shared" si="185"/>
        <v/>
      </c>
      <c r="DX85" s="132" t="str">
        <f t="shared" ref="DX85" ca="1" si="205">IF(DT85&lt;&gt;"",IF(WEEKNUM(DT85)=WEEKNUM(TODAY()),"This Week",IF(WEEKNUM(DT85)=WEEKNUM(TODAY())+1,"Next Week",IF(WEEKNUM(DT85)=WEEKNUM(TODAY())-1,"Previous Week",""))),"")</f>
        <v/>
      </c>
      <c r="DY85" s="134" t="str">
        <f t="shared" si="187"/>
        <v/>
      </c>
      <c r="DZ85" s="95"/>
      <c r="EB85" s="8" t="str">
        <f t="shared" si="193"/>
        <v/>
      </c>
      <c r="EC85" s="8" t="str">
        <f>IF(O85&lt;&gt;"",VLOOKUP(O85,'Job Master'!$N$12:$O$18,2,0),"")</f>
        <v/>
      </c>
      <c r="ED85" s="8">
        <f t="shared" si="194"/>
        <v>19.5</v>
      </c>
      <c r="EE85" s="8">
        <f t="shared" si="195"/>
        <v>6</v>
      </c>
      <c r="EF85" s="8">
        <f t="shared" si="196"/>
        <v>-430.5</v>
      </c>
      <c r="EG85" s="8" t="str">
        <f t="shared" si="197"/>
        <v/>
      </c>
      <c r="EH85" s="8" t="str">
        <f t="shared" si="198"/>
        <v/>
      </c>
    </row>
    <row r="86" spans="2:138" x14ac:dyDescent="0.3">
      <c r="B86" s="112"/>
      <c r="C86" s="27"/>
      <c r="D86" s="7" t="str">
        <f t="shared" si="135"/>
        <v/>
      </c>
      <c r="E86" s="25"/>
      <c r="F86" s="7" t="str">
        <f t="shared" si="135"/>
        <v/>
      </c>
      <c r="G86" s="25"/>
      <c r="H86" s="7" t="str">
        <f t="shared" si="135"/>
        <v/>
      </c>
      <c r="I86" s="25"/>
      <c r="J86" s="7" t="str">
        <f t="shared" si="135"/>
        <v/>
      </c>
      <c r="K86" s="25"/>
      <c r="L86" s="7" t="str">
        <f t="shared" si="136"/>
        <v/>
      </c>
      <c r="M86" s="25"/>
      <c r="N86" s="7" t="str">
        <f t="shared" si="137"/>
        <v/>
      </c>
      <c r="O86" s="81"/>
      <c r="P86" s="81" t="str">
        <f t="shared" si="138"/>
        <v/>
      </c>
      <c r="Q86" s="81"/>
      <c r="R86" s="7" t="str">
        <f t="shared" si="139"/>
        <v/>
      </c>
      <c r="S86" s="25"/>
      <c r="T86" s="7" t="str">
        <f t="shared" si="140"/>
        <v/>
      </c>
      <c r="U86" s="25"/>
      <c r="V86" s="7" t="str">
        <f t="shared" si="141"/>
        <v/>
      </c>
      <c r="W86" s="25"/>
      <c r="X86" s="7" t="str">
        <f t="shared" si="142"/>
        <v/>
      </c>
      <c r="Y86" s="18" t="str">
        <f t="shared" si="143"/>
        <v/>
      </c>
      <c r="Z86" s="7" t="str">
        <f t="shared" si="144"/>
        <v/>
      </c>
      <c r="AA86" s="18" t="str">
        <f t="shared" si="145"/>
        <v/>
      </c>
      <c r="AB86" s="19" t="str">
        <f t="shared" si="146"/>
        <v/>
      </c>
      <c r="AC86" s="26"/>
      <c r="AD86" s="26"/>
      <c r="AE86" s="25"/>
      <c r="AF86" s="26"/>
      <c r="AG86" s="25"/>
      <c r="AH86" s="25"/>
      <c r="AI86" s="18" t="str">
        <f t="shared" si="83"/>
        <v/>
      </c>
      <c r="AJ86" s="25"/>
      <c r="AK86" s="18" t="str">
        <f t="shared" si="84"/>
        <v/>
      </c>
      <c r="AL86" s="79"/>
      <c r="AM86" s="126" t="str">
        <f t="shared" si="85"/>
        <v/>
      </c>
      <c r="AN86" s="128" t="str">
        <f>IF(AP86&lt;&gt;"",VLOOKUP($P86&amp;" | "&amp;AN$6,'Job Master'!$F$12:$J$102,5,0),"")</f>
        <v/>
      </c>
      <c r="AO86" s="19" t="str">
        <f>IF(AP86&lt;&gt;"",VLOOKUP($P86&amp;" | "&amp;AN$6,'Job Master'!$F$12:$J$102,3,0),"")</f>
        <v/>
      </c>
      <c r="AP86" s="19" t="str">
        <f>IFERROR(IF(AND(AW86&lt;&gt;"",VLOOKUP($P86&amp;" | "&amp;AN$6,'Job Master'!$F$12:$I$102,4,0)&lt;&gt;""),IF(WEEKDAY(AW86-VLOOKUP($P86&amp;" | "&amp;AN$6,'Job Master'!$F$12:$I$102,4,0))&lt;&gt;7,AW86-VLOOKUP($P86&amp;" | "&amp;AN$6,'Job Master'!$F$12:$I$102,4,0),AW86-VLOOKUP($P86&amp;" | "&amp;AN$6,'Job Master'!$F$12:$I$102,4,0)-1),""),"")</f>
        <v/>
      </c>
      <c r="AQ86" s="73"/>
      <c r="AR86" s="123" t="str">
        <f t="shared" si="147"/>
        <v/>
      </c>
      <c r="AS86" s="123" t="str">
        <f t="shared" si="148"/>
        <v/>
      </c>
      <c r="AT86" s="97" t="str">
        <f t="shared" ca="1" si="149"/>
        <v/>
      </c>
      <c r="AU86" s="98" t="str">
        <f>IF(AW86&lt;&gt;"",VLOOKUP($P86&amp;" | "&amp;AU$6,'Job Master'!$F$12:$J$102,5,0),"")</f>
        <v/>
      </c>
      <c r="AV86" s="19" t="str">
        <f>IF(AW86&lt;&gt;"",VLOOKUP($P86&amp;" | "&amp;AU$6,'Job Master'!$F$12:$J$102,3,0),"")</f>
        <v/>
      </c>
      <c r="AW86" s="19" t="str">
        <f>IFERROR(IF(AND(BD86&lt;&gt;"",VLOOKUP($P86&amp;" | "&amp;AU$6,'Job Master'!$F$12:$I$102,4,0)&lt;&gt;""),IF(WEEKDAY(BD86-VLOOKUP($P86&amp;" | "&amp;AU$6,'Job Master'!$F$12:$I$102,4,0))&lt;&gt;7,BD86-VLOOKUP($P86&amp;" | "&amp;AU$6,'Job Master'!$F$12:$I$102,4,0),BD86-VLOOKUP($P86&amp;" | "&amp;AU$6,'Job Master'!$F$12:$I$102,4,0)-1),""),"")</f>
        <v/>
      </c>
      <c r="AX86" s="73"/>
      <c r="AY86" s="123" t="str">
        <f t="shared" si="150"/>
        <v/>
      </c>
      <c r="AZ86" s="123" t="str">
        <f t="shared" si="151"/>
        <v/>
      </c>
      <c r="BA86" s="97" t="str">
        <f t="shared" ca="1" si="152"/>
        <v/>
      </c>
      <c r="BB86" s="98" t="str">
        <f>IF(BD86&lt;&gt;"",VLOOKUP($P86&amp;" | "&amp;BB$6,'Job Master'!$F$12:$J$102,5,0),"")</f>
        <v/>
      </c>
      <c r="BC86" s="19" t="str">
        <f>IF(BD86&lt;&gt;"",VLOOKUP($P86&amp;" | "&amp;BB$6,'Job Master'!$F$12:$J$102,3,0),"")</f>
        <v/>
      </c>
      <c r="BD86" s="19" t="str">
        <f>IFERROR(IF(AND(BK86&lt;&gt;"",VLOOKUP($P86&amp;" | "&amp;BB$6,'Job Master'!$F$12:$I$102,4,0)&lt;&gt;""),IF(WEEKDAY(BK86-VLOOKUP($P86&amp;" | "&amp;BB$6,'Job Master'!$F$12:$I$102,4,0))&lt;&gt;7,BK86-VLOOKUP($P86&amp;" | "&amp;BB$6,'Job Master'!$F$12:$I$102,4,0),BK86-VLOOKUP($P86&amp;" | "&amp;BB$6,'Job Master'!$F$12:$I$102,4,0)-1),""),"")</f>
        <v/>
      </c>
      <c r="BE86" s="73"/>
      <c r="BF86" s="123" t="str">
        <f t="shared" si="153"/>
        <v/>
      </c>
      <c r="BG86" s="123" t="str">
        <f t="shared" si="154"/>
        <v/>
      </c>
      <c r="BH86" s="97" t="str">
        <f t="shared" ca="1" si="155"/>
        <v/>
      </c>
      <c r="BI86" s="98" t="str">
        <f>IF(BK86&lt;&gt;"",VLOOKUP($P86&amp;" | "&amp;BI$6,'Job Master'!$F$12:$J$102,5,0),"")</f>
        <v/>
      </c>
      <c r="BJ86" s="19" t="str">
        <f>IF(BK86&lt;&gt;"",VLOOKUP($P86&amp;" | "&amp;BI$6,'Job Master'!$F$12:$J$102,3,0),"")</f>
        <v/>
      </c>
      <c r="BK86" s="19" t="str">
        <f>IFERROR(IF(AND(BR86&lt;&gt;"",VLOOKUP($P86&amp;" | "&amp;BI$6,'Job Master'!$F$12:$I$102,4,0)&lt;&gt;""),IF(WEEKDAY(BR86-VLOOKUP($P86&amp;" | "&amp;BI$6,'Job Master'!$F$12:$I$102,4,0))&lt;&gt;7,BR86-VLOOKUP($P86&amp;" | "&amp;BI$6,'Job Master'!$F$12:$I$102,4,0),BR86-VLOOKUP($P86&amp;" | "&amp;BI$6,'Job Master'!$F$12:$I$102,4,0)-1),""),"")</f>
        <v/>
      </c>
      <c r="BL86" s="73"/>
      <c r="BM86" s="123" t="str">
        <f t="shared" si="156"/>
        <v/>
      </c>
      <c r="BN86" s="123" t="str">
        <f t="shared" si="157"/>
        <v/>
      </c>
      <c r="BO86" s="97" t="str">
        <f t="shared" ca="1" si="158"/>
        <v/>
      </c>
      <c r="BP86" s="98" t="str">
        <f>IF(BR86&lt;&gt;"",VLOOKUP($P86&amp;" | "&amp;BP$6,'Job Master'!$F$12:$J$102,5,0),"")</f>
        <v/>
      </c>
      <c r="BQ86" s="19" t="str">
        <f>IF(BR86&lt;&gt;"",VLOOKUP($P86&amp;" | "&amp;BP$6,'Job Master'!$F$12:$J$102,3,0),"")</f>
        <v/>
      </c>
      <c r="BR86" s="19" t="str">
        <f>IFERROR(IF(AND(BY86&lt;&gt;"",VLOOKUP($P86&amp;" | "&amp;BP$6,'Job Master'!$F$12:$I$102,4,0)&lt;&gt;""),IF(WEEKDAY(BY86-VLOOKUP($P86&amp;" | "&amp;BP$6,'Job Master'!$F$12:$I$102,4,0))&lt;&gt;7,BY86-VLOOKUP($P86&amp;" | "&amp;BP$6,'Job Master'!$F$12:$I$102,4,0),BY86-VLOOKUP($P86&amp;" | "&amp;BP$6,'Job Master'!$F$12:$I$102,4,0)-1),""),"")</f>
        <v/>
      </c>
      <c r="BS86" s="73"/>
      <c r="BT86" s="123" t="str">
        <f t="shared" si="159"/>
        <v/>
      </c>
      <c r="BU86" s="123" t="str">
        <f t="shared" si="160"/>
        <v/>
      </c>
      <c r="BV86" s="97" t="str">
        <f t="shared" ca="1" si="161"/>
        <v/>
      </c>
      <c r="BW86" s="98" t="str">
        <f>IF(BY86&lt;&gt;"",VLOOKUP($P86&amp;" | "&amp;BW$6,'Job Master'!$F$12:$J$102,5,0),"")</f>
        <v/>
      </c>
      <c r="BX86" s="19" t="str">
        <f>IF(BY86&lt;&gt;"",VLOOKUP($P86&amp;" | "&amp;BW$6,'Job Master'!$F$12:$J$102,3,0),"")</f>
        <v/>
      </c>
      <c r="BY86" s="19" t="str">
        <f>IFERROR(IF(AND(CF86&lt;&gt;"",VLOOKUP($P86&amp;" | "&amp;BW$6,'Job Master'!$F$12:$I$102,4,0)&lt;&gt;""),IF(WEEKDAY(CF86-VLOOKUP($P86&amp;" | "&amp;BW$6,'Job Master'!$F$12:$I$102,4,0))&lt;&gt;7,CF86-VLOOKUP($P86&amp;" | "&amp;BW$6,'Job Master'!$F$12:$I$102,4,0),CF86-VLOOKUP($P86&amp;" | "&amp;BW$6,'Job Master'!$F$12:$I$102,4,0)-1),""),"")</f>
        <v/>
      </c>
      <c r="BZ86" s="73"/>
      <c r="CA86" s="123" t="str">
        <f t="shared" si="162"/>
        <v/>
      </c>
      <c r="CB86" s="123" t="str">
        <f t="shared" si="163"/>
        <v/>
      </c>
      <c r="CC86" s="97" t="str">
        <f t="shared" ca="1" si="164"/>
        <v/>
      </c>
      <c r="CD86" s="98" t="str">
        <f>IF(CF86&lt;&gt;"",VLOOKUP($P86&amp;" | "&amp;CD$6,'Job Master'!$F$12:$J$102,5,0),"")</f>
        <v/>
      </c>
      <c r="CE86" s="19" t="str">
        <f>IF(CF86&lt;&gt;"",VLOOKUP($P86&amp;" | "&amp;CD$6,'Job Master'!$F$12:$J$102,3,0),"")</f>
        <v/>
      </c>
      <c r="CF86" s="19" t="str">
        <f>IFERROR(IF(AND(CM86&lt;&gt;"",VLOOKUP($P86&amp;" | "&amp;CD$6,'Job Master'!$F$12:$I$102,4,0)&lt;&gt;""),IF(WEEKDAY(CM86-VLOOKUP($P86&amp;" | "&amp;CD$6,'Job Master'!$F$12:$I$102,4,0))&lt;&gt;7,CM86-VLOOKUP($P86&amp;" | "&amp;CD$6,'Job Master'!$F$12:$I$102,4,0),CM86-VLOOKUP($P86&amp;" | "&amp;CD$6,'Job Master'!$F$12:$I$102,4,0)-1),""),"")</f>
        <v/>
      </c>
      <c r="CG86" s="73"/>
      <c r="CH86" s="123" t="str">
        <f t="shared" si="165"/>
        <v/>
      </c>
      <c r="CI86" s="123" t="str">
        <f t="shared" si="166"/>
        <v/>
      </c>
      <c r="CJ86" s="97" t="str">
        <f t="shared" ca="1" si="167"/>
        <v/>
      </c>
      <c r="CK86" s="98" t="str">
        <f>IF(CM86&lt;&gt;"",VLOOKUP($P86&amp;" | "&amp;CK$6,'Job Master'!$F$12:$J$102,5,0),"")</f>
        <v/>
      </c>
      <c r="CL86" s="19" t="str">
        <f>IF(CM86&lt;&gt;"",VLOOKUP($P86&amp;" | "&amp;CK$6,'Job Master'!$F$12:$J$102,3,0),"")</f>
        <v/>
      </c>
      <c r="CM86" s="19" t="str">
        <f>IFERROR(IF(AND(CT86&lt;&gt;"",VLOOKUP($P86&amp;" | "&amp;CK$6,'Job Master'!$F$12:$I$102,4,0)&lt;&gt;""),IF(WEEKDAY(CT86-VLOOKUP($P86&amp;" | "&amp;CK$6,'Job Master'!$F$12:$I$102,4,0))&lt;&gt;7,CT86-VLOOKUP($P86&amp;" | "&amp;CK$6,'Job Master'!$F$12:$I$102,4,0),CT86-VLOOKUP($P86&amp;" | "&amp;CK$6,'Job Master'!$F$12:$I$102,4,0)-1),""),"")</f>
        <v/>
      </c>
      <c r="CN86" s="73"/>
      <c r="CO86" s="123" t="str">
        <f t="shared" si="168"/>
        <v/>
      </c>
      <c r="CP86" s="123" t="str">
        <f t="shared" si="169"/>
        <v/>
      </c>
      <c r="CQ86" s="97" t="str">
        <f t="shared" ca="1" si="170"/>
        <v/>
      </c>
      <c r="CR86" s="98" t="str">
        <f>IF(CT86&lt;&gt;"",VLOOKUP($P86&amp;" | "&amp;CR$6,'Job Master'!$F$12:$J$102,5,0),"")</f>
        <v/>
      </c>
      <c r="CS86" s="19" t="str">
        <f>IF(CT86&lt;&gt;"",VLOOKUP($P86&amp;" | "&amp;CR$6,'Job Master'!$F$12:$J$102,3,0),"")</f>
        <v/>
      </c>
      <c r="CT86" s="19" t="str">
        <f>IFERROR(IF(AND(DA86&lt;&gt;"",VLOOKUP($P86&amp;" | "&amp;CR$6,'Job Master'!$F$12:$I$102,4,0)&lt;&gt;""),IF(WEEKDAY(DA86-VLOOKUP($P86&amp;" | "&amp;CR$6,'Job Master'!$F$12:$I$102,4,0))&lt;&gt;7,DA86-VLOOKUP($P86&amp;" | "&amp;CR$6,'Job Master'!$F$12:$I$102,4,0),DA86-VLOOKUP($P86&amp;" | "&amp;CR$6,'Job Master'!$F$12:$I$102,4,0)-1),""),"")</f>
        <v/>
      </c>
      <c r="CU86" s="73"/>
      <c r="CV86" s="123" t="str">
        <f t="shared" si="171"/>
        <v/>
      </c>
      <c r="CW86" s="123" t="str">
        <f t="shared" si="172"/>
        <v/>
      </c>
      <c r="CX86" s="97" t="str">
        <f t="shared" ca="1" si="173"/>
        <v/>
      </c>
      <c r="CY86" s="98" t="str">
        <f>IF(DA86&lt;&gt;"",VLOOKUP($P86&amp;" | "&amp;CY$6,'Job Master'!$F$12:$J$102,5,0),"")</f>
        <v/>
      </c>
      <c r="CZ86" s="19" t="str">
        <f>IF(DA86&lt;&gt;"",VLOOKUP($P86&amp;" | "&amp;CY$6,'Job Master'!$F$12:$J$102,3,0),"")</f>
        <v/>
      </c>
      <c r="DA86" s="19" t="str">
        <f>IFERROR(IF(AND(DH86&lt;&gt;"",VLOOKUP($P86&amp;" | "&amp;CY$6,'Job Master'!$F$12:$I$102,4,0)&lt;&gt;""),IF(WEEKDAY(DH86-VLOOKUP($P86&amp;" | "&amp;CY$6,'Job Master'!$F$12:$I$102,4,0))&lt;&gt;7,DH86-VLOOKUP($P86&amp;" | "&amp;CY$6,'Job Master'!$F$12:$I$102,4,0),DH86-VLOOKUP($P86&amp;" | "&amp;CY$6,'Job Master'!$F$12:$I$102,4,0)-1),""),"")</f>
        <v/>
      </c>
      <c r="DB86" s="73"/>
      <c r="DC86" s="123" t="str">
        <f t="shared" si="174"/>
        <v/>
      </c>
      <c r="DD86" s="123" t="str">
        <f t="shared" si="175"/>
        <v/>
      </c>
      <c r="DE86" s="97" t="str">
        <f t="shared" ca="1" si="176"/>
        <v/>
      </c>
      <c r="DF86" s="98" t="str">
        <f>IF(DH86&lt;&gt;"",VLOOKUP($P86&amp;" | "&amp;DF$6,'Job Master'!$F$12:$J$102,5,0),"")</f>
        <v/>
      </c>
      <c r="DG86" s="19" t="str">
        <f>IF(DH86&lt;&gt;"",VLOOKUP($P86&amp;" | "&amp;DF$6,'Job Master'!$F$12:$J$102,3,0),"")</f>
        <v/>
      </c>
      <c r="DH86" s="19" t="str">
        <f>IFERROR(IF(AND(DO86&lt;&gt;"",VLOOKUP($P86&amp;" | "&amp;DF$6,'Job Master'!$F$12:$I$102,4,0)&lt;&gt;""),IF(WEEKDAY(DO86-VLOOKUP($P86&amp;" | "&amp;DF$6,'Job Master'!$F$12:$I$102,4,0))&lt;&gt;7,DO86-VLOOKUP($P86&amp;" | "&amp;DF$6,'Job Master'!$F$12:$I$102,4,0),DO86-VLOOKUP($P86&amp;" | "&amp;DF$6,'Job Master'!$F$12:$I$102,4,0)-1),""),"")</f>
        <v/>
      </c>
      <c r="DI86" s="73"/>
      <c r="DJ86" s="123" t="str">
        <f t="shared" si="177"/>
        <v/>
      </c>
      <c r="DK86" s="123" t="str">
        <f t="shared" si="178"/>
        <v/>
      </c>
      <c r="DL86" s="97" t="str">
        <f t="shared" ca="1" si="179"/>
        <v/>
      </c>
      <c r="DM86" s="98" t="str">
        <f>IF(DO86&lt;&gt;"",VLOOKUP($P86&amp;" | "&amp;DM$6,'Job Master'!$F$12:$J$102,5,0),"")</f>
        <v/>
      </c>
      <c r="DN86" s="19" t="str">
        <f>IF(DO86&lt;&gt;"",VLOOKUP($P86&amp;" | "&amp;DM$6,'Job Master'!$F$12:$J$102,3,0),"")</f>
        <v/>
      </c>
      <c r="DO86" s="19" t="str">
        <f>IFERROR(IF(AND(DT86&lt;&gt;"",VLOOKUP($P86&amp;" | "&amp;DM$6,'Job Master'!$F$12:$I$102,4,0)&lt;&gt;""),IF(WEEKDAY(DT86-VLOOKUP($P86&amp;" | "&amp;DM$6,'Job Master'!$F$12:$I$102,4,0))&lt;&gt;7,DT86-VLOOKUP($P86&amp;" | "&amp;DM$6,'Job Master'!$F$12:$I$102,4,0),DT86-VLOOKUP($P86&amp;" | "&amp;DM$6,'Job Master'!$F$12:$I$102,4,0)-1),""),"")</f>
        <v/>
      </c>
      <c r="DP86" s="73"/>
      <c r="DQ86" s="123" t="str">
        <f t="shared" si="180"/>
        <v/>
      </c>
      <c r="DR86" s="123" t="str">
        <f t="shared" si="181"/>
        <v/>
      </c>
      <c r="DS86" s="97" t="str">
        <f t="shared" ca="1" si="182"/>
        <v/>
      </c>
      <c r="DT86" s="70" t="str">
        <f t="shared" si="183"/>
        <v/>
      </c>
      <c r="DU86" s="90"/>
      <c r="DV86" s="123" t="str">
        <f t="shared" si="184"/>
        <v/>
      </c>
      <c r="DW86" s="123" t="str">
        <f t="shared" si="185"/>
        <v/>
      </c>
      <c r="DX86" s="132" t="str">
        <f t="shared" ref="DX86" ca="1" si="206">IF(DT86&lt;&gt;"",IF(WEEKNUM(DT86)=WEEKNUM(TODAY()),"This Week",IF(WEEKNUM(DT86)=WEEKNUM(TODAY())+1,"Next Week",IF(WEEKNUM(DT86)=WEEKNUM(TODAY())-1,"Previous Week",""))),"")</f>
        <v/>
      </c>
      <c r="DY86" s="134" t="str">
        <f t="shared" si="187"/>
        <v/>
      </c>
      <c r="DZ86" s="95"/>
      <c r="EB86" s="8" t="str">
        <f t="shared" si="193"/>
        <v/>
      </c>
      <c r="EC86" s="8" t="str">
        <f>IF(O86&lt;&gt;"",VLOOKUP(O86,'Job Master'!$N$12:$O$18,2,0),"")</f>
        <v/>
      </c>
      <c r="ED86" s="8">
        <f t="shared" si="194"/>
        <v>19.5</v>
      </c>
      <c r="EE86" s="8">
        <f t="shared" si="195"/>
        <v>6</v>
      </c>
      <c r="EF86" s="8">
        <f t="shared" si="196"/>
        <v>-436.5</v>
      </c>
      <c r="EG86" s="8" t="str">
        <f t="shared" si="197"/>
        <v/>
      </c>
      <c r="EH86" s="8" t="str">
        <f t="shared" si="198"/>
        <v/>
      </c>
    </row>
    <row r="87" spans="2:138" x14ac:dyDescent="0.3">
      <c r="B87" s="112"/>
      <c r="C87" s="27"/>
      <c r="D87" s="7" t="str">
        <f t="shared" si="135"/>
        <v/>
      </c>
      <c r="E87" s="25"/>
      <c r="F87" s="7" t="str">
        <f t="shared" si="135"/>
        <v/>
      </c>
      <c r="G87" s="25"/>
      <c r="H87" s="7" t="str">
        <f t="shared" si="135"/>
        <v/>
      </c>
      <c r="I87" s="25"/>
      <c r="J87" s="7" t="str">
        <f t="shared" si="135"/>
        <v/>
      </c>
      <c r="K87" s="25"/>
      <c r="L87" s="7" t="str">
        <f t="shared" si="136"/>
        <v/>
      </c>
      <c r="M87" s="25"/>
      <c r="N87" s="7" t="str">
        <f t="shared" si="137"/>
        <v/>
      </c>
      <c r="O87" s="81"/>
      <c r="P87" s="81" t="str">
        <f t="shared" si="138"/>
        <v/>
      </c>
      <c r="Q87" s="81"/>
      <c r="R87" s="7" t="str">
        <f t="shared" si="139"/>
        <v/>
      </c>
      <c r="S87" s="25"/>
      <c r="T87" s="7" t="str">
        <f t="shared" si="140"/>
        <v/>
      </c>
      <c r="U87" s="25"/>
      <c r="V87" s="7" t="str">
        <f t="shared" si="141"/>
        <v/>
      </c>
      <c r="W87" s="25"/>
      <c r="X87" s="7" t="str">
        <f t="shared" si="142"/>
        <v/>
      </c>
      <c r="Y87" s="18" t="str">
        <f t="shared" si="143"/>
        <v/>
      </c>
      <c r="Z87" s="7" t="str">
        <f t="shared" si="144"/>
        <v/>
      </c>
      <c r="AA87" s="18" t="str">
        <f t="shared" si="145"/>
        <v/>
      </c>
      <c r="AB87" s="19" t="str">
        <f t="shared" si="146"/>
        <v/>
      </c>
      <c r="AC87" s="26"/>
      <c r="AD87" s="26"/>
      <c r="AE87" s="25"/>
      <c r="AF87" s="26"/>
      <c r="AG87" s="25"/>
      <c r="AH87" s="25"/>
      <c r="AI87" s="18" t="str">
        <f t="shared" si="83"/>
        <v/>
      </c>
      <c r="AJ87" s="25"/>
      <c r="AK87" s="18" t="str">
        <f t="shared" si="84"/>
        <v/>
      </c>
      <c r="AL87" s="79"/>
      <c r="AM87" s="126" t="str">
        <f t="shared" si="85"/>
        <v/>
      </c>
      <c r="AN87" s="128" t="str">
        <f>IF(AP87&lt;&gt;"",VLOOKUP($P87&amp;" | "&amp;AN$6,'Job Master'!$F$12:$J$102,5,0),"")</f>
        <v/>
      </c>
      <c r="AO87" s="19" t="str">
        <f>IF(AP87&lt;&gt;"",VLOOKUP($P87&amp;" | "&amp;AN$6,'Job Master'!$F$12:$J$102,3,0),"")</f>
        <v/>
      </c>
      <c r="AP87" s="19" t="str">
        <f>IFERROR(IF(AND(AW87&lt;&gt;"",VLOOKUP($P87&amp;" | "&amp;AN$6,'Job Master'!$F$12:$I$102,4,0)&lt;&gt;""),IF(WEEKDAY(AW87-VLOOKUP($P87&amp;" | "&amp;AN$6,'Job Master'!$F$12:$I$102,4,0))&lt;&gt;7,AW87-VLOOKUP($P87&amp;" | "&amp;AN$6,'Job Master'!$F$12:$I$102,4,0),AW87-VLOOKUP($P87&amp;" | "&amp;AN$6,'Job Master'!$F$12:$I$102,4,0)-1),""),"")</f>
        <v/>
      </c>
      <c r="AQ87" s="73"/>
      <c r="AR87" s="123" t="str">
        <f t="shared" si="147"/>
        <v/>
      </c>
      <c r="AS87" s="123" t="str">
        <f t="shared" si="148"/>
        <v/>
      </c>
      <c r="AT87" s="97" t="str">
        <f t="shared" ca="1" si="149"/>
        <v/>
      </c>
      <c r="AU87" s="98" t="str">
        <f>IF(AW87&lt;&gt;"",VLOOKUP($P87&amp;" | "&amp;AU$6,'Job Master'!$F$12:$J$102,5,0),"")</f>
        <v/>
      </c>
      <c r="AV87" s="19" t="str">
        <f>IF(AW87&lt;&gt;"",VLOOKUP($P87&amp;" | "&amp;AU$6,'Job Master'!$F$12:$J$102,3,0),"")</f>
        <v/>
      </c>
      <c r="AW87" s="19" t="str">
        <f>IFERROR(IF(AND(BD87&lt;&gt;"",VLOOKUP($P87&amp;" | "&amp;AU$6,'Job Master'!$F$12:$I$102,4,0)&lt;&gt;""),IF(WEEKDAY(BD87-VLOOKUP($P87&amp;" | "&amp;AU$6,'Job Master'!$F$12:$I$102,4,0))&lt;&gt;7,BD87-VLOOKUP($P87&amp;" | "&amp;AU$6,'Job Master'!$F$12:$I$102,4,0),BD87-VLOOKUP($P87&amp;" | "&amp;AU$6,'Job Master'!$F$12:$I$102,4,0)-1),""),"")</f>
        <v/>
      </c>
      <c r="AX87" s="73"/>
      <c r="AY87" s="123" t="str">
        <f t="shared" si="150"/>
        <v/>
      </c>
      <c r="AZ87" s="123" t="str">
        <f t="shared" si="151"/>
        <v/>
      </c>
      <c r="BA87" s="97" t="str">
        <f t="shared" ca="1" si="152"/>
        <v/>
      </c>
      <c r="BB87" s="98" t="str">
        <f>IF(BD87&lt;&gt;"",VLOOKUP($P87&amp;" | "&amp;BB$6,'Job Master'!$F$12:$J$102,5,0),"")</f>
        <v/>
      </c>
      <c r="BC87" s="19" t="str">
        <f>IF(BD87&lt;&gt;"",VLOOKUP($P87&amp;" | "&amp;BB$6,'Job Master'!$F$12:$J$102,3,0),"")</f>
        <v/>
      </c>
      <c r="BD87" s="19" t="str">
        <f>IFERROR(IF(AND(BK87&lt;&gt;"",VLOOKUP($P87&amp;" | "&amp;BB$6,'Job Master'!$F$12:$I$102,4,0)&lt;&gt;""),IF(WEEKDAY(BK87-VLOOKUP($P87&amp;" | "&amp;BB$6,'Job Master'!$F$12:$I$102,4,0))&lt;&gt;7,BK87-VLOOKUP($P87&amp;" | "&amp;BB$6,'Job Master'!$F$12:$I$102,4,0),BK87-VLOOKUP($P87&amp;" | "&amp;BB$6,'Job Master'!$F$12:$I$102,4,0)-1),""),"")</f>
        <v/>
      </c>
      <c r="BE87" s="73"/>
      <c r="BF87" s="123" t="str">
        <f t="shared" si="153"/>
        <v/>
      </c>
      <c r="BG87" s="123" t="str">
        <f t="shared" si="154"/>
        <v/>
      </c>
      <c r="BH87" s="97" t="str">
        <f t="shared" ca="1" si="155"/>
        <v/>
      </c>
      <c r="BI87" s="98" t="str">
        <f>IF(BK87&lt;&gt;"",VLOOKUP($P87&amp;" | "&amp;BI$6,'Job Master'!$F$12:$J$102,5,0),"")</f>
        <v/>
      </c>
      <c r="BJ87" s="19" t="str">
        <f>IF(BK87&lt;&gt;"",VLOOKUP($P87&amp;" | "&amp;BI$6,'Job Master'!$F$12:$J$102,3,0),"")</f>
        <v/>
      </c>
      <c r="BK87" s="19" t="str">
        <f>IFERROR(IF(AND(BR87&lt;&gt;"",VLOOKUP($P87&amp;" | "&amp;BI$6,'Job Master'!$F$12:$I$102,4,0)&lt;&gt;""),IF(WEEKDAY(BR87-VLOOKUP($P87&amp;" | "&amp;BI$6,'Job Master'!$F$12:$I$102,4,0))&lt;&gt;7,BR87-VLOOKUP($P87&amp;" | "&amp;BI$6,'Job Master'!$F$12:$I$102,4,0),BR87-VLOOKUP($P87&amp;" | "&amp;BI$6,'Job Master'!$F$12:$I$102,4,0)-1),""),"")</f>
        <v/>
      </c>
      <c r="BL87" s="73"/>
      <c r="BM87" s="123" t="str">
        <f t="shared" si="156"/>
        <v/>
      </c>
      <c r="BN87" s="123" t="str">
        <f t="shared" si="157"/>
        <v/>
      </c>
      <c r="BO87" s="97" t="str">
        <f t="shared" ca="1" si="158"/>
        <v/>
      </c>
      <c r="BP87" s="98" t="str">
        <f>IF(BR87&lt;&gt;"",VLOOKUP($P87&amp;" | "&amp;BP$6,'Job Master'!$F$12:$J$102,5,0),"")</f>
        <v/>
      </c>
      <c r="BQ87" s="19" t="str">
        <f>IF(BR87&lt;&gt;"",VLOOKUP($P87&amp;" | "&amp;BP$6,'Job Master'!$F$12:$J$102,3,0),"")</f>
        <v/>
      </c>
      <c r="BR87" s="19" t="str">
        <f>IFERROR(IF(AND(BY87&lt;&gt;"",VLOOKUP($P87&amp;" | "&amp;BP$6,'Job Master'!$F$12:$I$102,4,0)&lt;&gt;""),IF(WEEKDAY(BY87-VLOOKUP($P87&amp;" | "&amp;BP$6,'Job Master'!$F$12:$I$102,4,0))&lt;&gt;7,BY87-VLOOKUP($P87&amp;" | "&amp;BP$6,'Job Master'!$F$12:$I$102,4,0),BY87-VLOOKUP($P87&amp;" | "&amp;BP$6,'Job Master'!$F$12:$I$102,4,0)-1),""),"")</f>
        <v/>
      </c>
      <c r="BS87" s="73"/>
      <c r="BT87" s="123" t="str">
        <f t="shared" si="159"/>
        <v/>
      </c>
      <c r="BU87" s="123" t="str">
        <f t="shared" si="160"/>
        <v/>
      </c>
      <c r="BV87" s="97" t="str">
        <f t="shared" ca="1" si="161"/>
        <v/>
      </c>
      <c r="BW87" s="98" t="str">
        <f>IF(BY87&lt;&gt;"",VLOOKUP($P87&amp;" | "&amp;BW$6,'Job Master'!$F$12:$J$102,5,0),"")</f>
        <v/>
      </c>
      <c r="BX87" s="19" t="str">
        <f>IF(BY87&lt;&gt;"",VLOOKUP($P87&amp;" | "&amp;BW$6,'Job Master'!$F$12:$J$102,3,0),"")</f>
        <v/>
      </c>
      <c r="BY87" s="19" t="str">
        <f>IFERROR(IF(AND(CF87&lt;&gt;"",VLOOKUP($P87&amp;" | "&amp;BW$6,'Job Master'!$F$12:$I$102,4,0)&lt;&gt;""),IF(WEEKDAY(CF87-VLOOKUP($P87&amp;" | "&amp;BW$6,'Job Master'!$F$12:$I$102,4,0))&lt;&gt;7,CF87-VLOOKUP($P87&amp;" | "&amp;BW$6,'Job Master'!$F$12:$I$102,4,0),CF87-VLOOKUP($P87&amp;" | "&amp;BW$6,'Job Master'!$F$12:$I$102,4,0)-1),""),"")</f>
        <v/>
      </c>
      <c r="BZ87" s="73"/>
      <c r="CA87" s="123" t="str">
        <f t="shared" si="162"/>
        <v/>
      </c>
      <c r="CB87" s="123" t="str">
        <f t="shared" si="163"/>
        <v/>
      </c>
      <c r="CC87" s="97" t="str">
        <f t="shared" ca="1" si="164"/>
        <v/>
      </c>
      <c r="CD87" s="98" t="str">
        <f>IF(CF87&lt;&gt;"",VLOOKUP($P87&amp;" | "&amp;CD$6,'Job Master'!$F$12:$J$102,5,0),"")</f>
        <v/>
      </c>
      <c r="CE87" s="19" t="str">
        <f>IF(CF87&lt;&gt;"",VLOOKUP($P87&amp;" | "&amp;CD$6,'Job Master'!$F$12:$J$102,3,0),"")</f>
        <v/>
      </c>
      <c r="CF87" s="19" t="str">
        <f>IFERROR(IF(AND(CM87&lt;&gt;"",VLOOKUP($P87&amp;" | "&amp;CD$6,'Job Master'!$F$12:$I$102,4,0)&lt;&gt;""),IF(WEEKDAY(CM87-VLOOKUP($P87&amp;" | "&amp;CD$6,'Job Master'!$F$12:$I$102,4,0))&lt;&gt;7,CM87-VLOOKUP($P87&amp;" | "&amp;CD$6,'Job Master'!$F$12:$I$102,4,0),CM87-VLOOKUP($P87&amp;" | "&amp;CD$6,'Job Master'!$F$12:$I$102,4,0)-1),""),"")</f>
        <v/>
      </c>
      <c r="CG87" s="73"/>
      <c r="CH87" s="123" t="str">
        <f t="shared" si="165"/>
        <v/>
      </c>
      <c r="CI87" s="123" t="str">
        <f t="shared" si="166"/>
        <v/>
      </c>
      <c r="CJ87" s="97" t="str">
        <f t="shared" ca="1" si="167"/>
        <v/>
      </c>
      <c r="CK87" s="98" t="str">
        <f>IF(CM87&lt;&gt;"",VLOOKUP($P87&amp;" | "&amp;CK$6,'Job Master'!$F$12:$J$102,5,0),"")</f>
        <v/>
      </c>
      <c r="CL87" s="19" t="str">
        <f>IF(CM87&lt;&gt;"",VLOOKUP($P87&amp;" | "&amp;CK$6,'Job Master'!$F$12:$J$102,3,0),"")</f>
        <v/>
      </c>
      <c r="CM87" s="19" t="str">
        <f>IFERROR(IF(AND(CT87&lt;&gt;"",VLOOKUP($P87&amp;" | "&amp;CK$6,'Job Master'!$F$12:$I$102,4,0)&lt;&gt;""),IF(WEEKDAY(CT87-VLOOKUP($P87&amp;" | "&amp;CK$6,'Job Master'!$F$12:$I$102,4,0))&lt;&gt;7,CT87-VLOOKUP($P87&amp;" | "&amp;CK$6,'Job Master'!$F$12:$I$102,4,0),CT87-VLOOKUP($P87&amp;" | "&amp;CK$6,'Job Master'!$F$12:$I$102,4,0)-1),""),"")</f>
        <v/>
      </c>
      <c r="CN87" s="73"/>
      <c r="CO87" s="123" t="str">
        <f t="shared" si="168"/>
        <v/>
      </c>
      <c r="CP87" s="123" t="str">
        <f t="shared" si="169"/>
        <v/>
      </c>
      <c r="CQ87" s="97" t="str">
        <f t="shared" ca="1" si="170"/>
        <v/>
      </c>
      <c r="CR87" s="98" t="str">
        <f>IF(CT87&lt;&gt;"",VLOOKUP($P87&amp;" | "&amp;CR$6,'Job Master'!$F$12:$J$102,5,0),"")</f>
        <v/>
      </c>
      <c r="CS87" s="19" t="str">
        <f>IF(CT87&lt;&gt;"",VLOOKUP($P87&amp;" | "&amp;CR$6,'Job Master'!$F$12:$J$102,3,0),"")</f>
        <v/>
      </c>
      <c r="CT87" s="19" t="str">
        <f>IFERROR(IF(AND(DA87&lt;&gt;"",VLOOKUP($P87&amp;" | "&amp;CR$6,'Job Master'!$F$12:$I$102,4,0)&lt;&gt;""),IF(WEEKDAY(DA87-VLOOKUP($P87&amp;" | "&amp;CR$6,'Job Master'!$F$12:$I$102,4,0))&lt;&gt;7,DA87-VLOOKUP($P87&amp;" | "&amp;CR$6,'Job Master'!$F$12:$I$102,4,0),DA87-VLOOKUP($P87&amp;" | "&amp;CR$6,'Job Master'!$F$12:$I$102,4,0)-1),""),"")</f>
        <v/>
      </c>
      <c r="CU87" s="73"/>
      <c r="CV87" s="123" t="str">
        <f t="shared" si="171"/>
        <v/>
      </c>
      <c r="CW87" s="123" t="str">
        <f t="shared" si="172"/>
        <v/>
      </c>
      <c r="CX87" s="97" t="str">
        <f t="shared" ca="1" si="173"/>
        <v/>
      </c>
      <c r="CY87" s="98" t="str">
        <f>IF(DA87&lt;&gt;"",VLOOKUP($P87&amp;" | "&amp;CY$6,'Job Master'!$F$12:$J$102,5,0),"")</f>
        <v/>
      </c>
      <c r="CZ87" s="19" t="str">
        <f>IF(DA87&lt;&gt;"",VLOOKUP($P87&amp;" | "&amp;CY$6,'Job Master'!$F$12:$J$102,3,0),"")</f>
        <v/>
      </c>
      <c r="DA87" s="19" t="str">
        <f>IFERROR(IF(AND(DH87&lt;&gt;"",VLOOKUP($P87&amp;" | "&amp;CY$6,'Job Master'!$F$12:$I$102,4,0)&lt;&gt;""),IF(WEEKDAY(DH87-VLOOKUP($P87&amp;" | "&amp;CY$6,'Job Master'!$F$12:$I$102,4,0))&lt;&gt;7,DH87-VLOOKUP($P87&amp;" | "&amp;CY$6,'Job Master'!$F$12:$I$102,4,0),DH87-VLOOKUP($P87&amp;" | "&amp;CY$6,'Job Master'!$F$12:$I$102,4,0)-1),""),"")</f>
        <v/>
      </c>
      <c r="DB87" s="73"/>
      <c r="DC87" s="123" t="str">
        <f t="shared" si="174"/>
        <v/>
      </c>
      <c r="DD87" s="123" t="str">
        <f t="shared" si="175"/>
        <v/>
      </c>
      <c r="DE87" s="97" t="str">
        <f t="shared" ca="1" si="176"/>
        <v/>
      </c>
      <c r="DF87" s="98" t="str">
        <f>IF(DH87&lt;&gt;"",VLOOKUP($P87&amp;" | "&amp;DF$6,'Job Master'!$F$12:$J$102,5,0),"")</f>
        <v/>
      </c>
      <c r="DG87" s="19" t="str">
        <f>IF(DH87&lt;&gt;"",VLOOKUP($P87&amp;" | "&amp;DF$6,'Job Master'!$F$12:$J$102,3,0),"")</f>
        <v/>
      </c>
      <c r="DH87" s="19" t="str">
        <f>IFERROR(IF(AND(DO87&lt;&gt;"",VLOOKUP($P87&amp;" | "&amp;DF$6,'Job Master'!$F$12:$I$102,4,0)&lt;&gt;""),IF(WEEKDAY(DO87-VLOOKUP($P87&amp;" | "&amp;DF$6,'Job Master'!$F$12:$I$102,4,0))&lt;&gt;7,DO87-VLOOKUP($P87&amp;" | "&amp;DF$6,'Job Master'!$F$12:$I$102,4,0),DO87-VLOOKUP($P87&amp;" | "&amp;DF$6,'Job Master'!$F$12:$I$102,4,0)-1),""),"")</f>
        <v/>
      </c>
      <c r="DI87" s="73"/>
      <c r="DJ87" s="123" t="str">
        <f t="shared" si="177"/>
        <v/>
      </c>
      <c r="DK87" s="123" t="str">
        <f t="shared" si="178"/>
        <v/>
      </c>
      <c r="DL87" s="97" t="str">
        <f t="shared" ca="1" si="179"/>
        <v/>
      </c>
      <c r="DM87" s="98" t="str">
        <f>IF(DO87&lt;&gt;"",VLOOKUP($P87&amp;" | "&amp;DM$6,'Job Master'!$F$12:$J$102,5,0),"")</f>
        <v/>
      </c>
      <c r="DN87" s="19" t="str">
        <f>IF(DO87&lt;&gt;"",VLOOKUP($P87&amp;" | "&amp;DM$6,'Job Master'!$F$12:$J$102,3,0),"")</f>
        <v/>
      </c>
      <c r="DO87" s="19" t="str">
        <f>IFERROR(IF(AND(DT87&lt;&gt;"",VLOOKUP($P87&amp;" | "&amp;DM$6,'Job Master'!$F$12:$I$102,4,0)&lt;&gt;""),IF(WEEKDAY(DT87-VLOOKUP($P87&amp;" | "&amp;DM$6,'Job Master'!$F$12:$I$102,4,0))&lt;&gt;7,DT87-VLOOKUP($P87&amp;" | "&amp;DM$6,'Job Master'!$F$12:$I$102,4,0),DT87-VLOOKUP($P87&amp;" | "&amp;DM$6,'Job Master'!$F$12:$I$102,4,0)-1),""),"")</f>
        <v/>
      </c>
      <c r="DP87" s="73"/>
      <c r="DQ87" s="123" t="str">
        <f t="shared" si="180"/>
        <v/>
      </c>
      <c r="DR87" s="123" t="str">
        <f t="shared" si="181"/>
        <v/>
      </c>
      <c r="DS87" s="97" t="str">
        <f t="shared" ca="1" si="182"/>
        <v/>
      </c>
      <c r="DT87" s="70" t="str">
        <f t="shared" si="183"/>
        <v/>
      </c>
      <c r="DU87" s="90"/>
      <c r="DV87" s="123" t="str">
        <f t="shared" si="184"/>
        <v/>
      </c>
      <c r="DW87" s="123" t="str">
        <f t="shared" si="185"/>
        <v/>
      </c>
      <c r="DX87" s="132" t="str">
        <f t="shared" ref="DX87" ca="1" si="207">IF(DT87&lt;&gt;"",IF(WEEKNUM(DT87)=WEEKNUM(TODAY()),"This Week",IF(WEEKNUM(DT87)=WEEKNUM(TODAY())+1,"Next Week",IF(WEEKNUM(DT87)=WEEKNUM(TODAY())-1,"Previous Week",""))),"")</f>
        <v/>
      </c>
      <c r="DY87" s="134" t="str">
        <f t="shared" si="187"/>
        <v/>
      </c>
      <c r="DZ87" s="95"/>
      <c r="EB87" s="8" t="str">
        <f t="shared" si="193"/>
        <v/>
      </c>
      <c r="EC87" s="8" t="str">
        <f>IF(O87&lt;&gt;"",VLOOKUP(O87,'Job Master'!$N$12:$O$18,2,0),"")</f>
        <v/>
      </c>
      <c r="ED87" s="8">
        <f t="shared" si="194"/>
        <v>19.5</v>
      </c>
      <c r="EE87" s="8">
        <f t="shared" si="195"/>
        <v>6</v>
      </c>
      <c r="EF87" s="8">
        <f t="shared" si="196"/>
        <v>-442.5</v>
      </c>
      <c r="EG87" s="8" t="str">
        <f t="shared" si="197"/>
        <v/>
      </c>
      <c r="EH87" s="8" t="str">
        <f t="shared" si="198"/>
        <v/>
      </c>
    </row>
    <row r="88" spans="2:138" x14ac:dyDescent="0.3">
      <c r="B88" s="112"/>
      <c r="C88" s="27"/>
      <c r="D88" s="7" t="str">
        <f t="shared" si="135"/>
        <v/>
      </c>
      <c r="E88" s="25"/>
      <c r="F88" s="7" t="str">
        <f t="shared" si="135"/>
        <v/>
      </c>
      <c r="G88" s="25"/>
      <c r="H88" s="7" t="str">
        <f t="shared" si="135"/>
        <v/>
      </c>
      <c r="I88" s="25"/>
      <c r="J88" s="7" t="str">
        <f t="shared" si="135"/>
        <v/>
      </c>
      <c r="K88" s="25"/>
      <c r="L88" s="7" t="str">
        <f t="shared" si="136"/>
        <v/>
      </c>
      <c r="M88" s="25"/>
      <c r="N88" s="7" t="str">
        <f t="shared" si="137"/>
        <v/>
      </c>
      <c r="O88" s="81"/>
      <c r="P88" s="81" t="str">
        <f t="shared" si="138"/>
        <v/>
      </c>
      <c r="Q88" s="81"/>
      <c r="R88" s="7" t="str">
        <f t="shared" si="139"/>
        <v/>
      </c>
      <c r="S88" s="25"/>
      <c r="T88" s="7" t="str">
        <f t="shared" si="140"/>
        <v/>
      </c>
      <c r="U88" s="25"/>
      <c r="V88" s="7" t="str">
        <f t="shared" si="141"/>
        <v/>
      </c>
      <c r="W88" s="25"/>
      <c r="X88" s="7" t="str">
        <f t="shared" si="142"/>
        <v/>
      </c>
      <c r="Y88" s="18" t="str">
        <f t="shared" si="143"/>
        <v/>
      </c>
      <c r="Z88" s="7" t="str">
        <f t="shared" si="144"/>
        <v/>
      </c>
      <c r="AA88" s="18" t="str">
        <f t="shared" si="145"/>
        <v/>
      </c>
      <c r="AB88" s="19" t="str">
        <f t="shared" si="146"/>
        <v/>
      </c>
      <c r="AC88" s="26"/>
      <c r="AD88" s="26"/>
      <c r="AE88" s="25"/>
      <c r="AF88" s="26"/>
      <c r="AG88" s="25"/>
      <c r="AH88" s="25"/>
      <c r="AI88" s="18" t="str">
        <f t="shared" si="83"/>
        <v/>
      </c>
      <c r="AJ88" s="25"/>
      <c r="AK88" s="18" t="str">
        <f t="shared" si="84"/>
        <v/>
      </c>
      <c r="AL88" s="79"/>
      <c r="AM88" s="126" t="str">
        <f t="shared" si="85"/>
        <v/>
      </c>
      <c r="AN88" s="128" t="str">
        <f>IF(AP88&lt;&gt;"",VLOOKUP($P88&amp;" | "&amp;AN$6,'Job Master'!$F$12:$J$102,5,0),"")</f>
        <v/>
      </c>
      <c r="AO88" s="19" t="str">
        <f>IF(AP88&lt;&gt;"",VLOOKUP($P88&amp;" | "&amp;AN$6,'Job Master'!$F$12:$J$102,3,0),"")</f>
        <v/>
      </c>
      <c r="AP88" s="19" t="str">
        <f>IFERROR(IF(AND(AW88&lt;&gt;"",VLOOKUP($P88&amp;" | "&amp;AN$6,'Job Master'!$F$12:$I$102,4,0)&lt;&gt;""),IF(WEEKDAY(AW88-VLOOKUP($P88&amp;" | "&amp;AN$6,'Job Master'!$F$12:$I$102,4,0))&lt;&gt;7,AW88-VLOOKUP($P88&amp;" | "&amp;AN$6,'Job Master'!$F$12:$I$102,4,0),AW88-VLOOKUP($P88&amp;" | "&amp;AN$6,'Job Master'!$F$12:$I$102,4,0)-1),""),"")</f>
        <v/>
      </c>
      <c r="AQ88" s="73"/>
      <c r="AR88" s="123" t="str">
        <f t="shared" si="147"/>
        <v/>
      </c>
      <c r="AS88" s="123" t="str">
        <f t="shared" si="148"/>
        <v/>
      </c>
      <c r="AT88" s="97" t="str">
        <f t="shared" ca="1" si="149"/>
        <v/>
      </c>
      <c r="AU88" s="98" t="str">
        <f>IF(AW88&lt;&gt;"",VLOOKUP($P88&amp;" | "&amp;AU$6,'Job Master'!$F$12:$J$102,5,0),"")</f>
        <v/>
      </c>
      <c r="AV88" s="19" t="str">
        <f>IF(AW88&lt;&gt;"",VLOOKUP($P88&amp;" | "&amp;AU$6,'Job Master'!$F$12:$J$102,3,0),"")</f>
        <v/>
      </c>
      <c r="AW88" s="19" t="str">
        <f>IFERROR(IF(AND(BD88&lt;&gt;"",VLOOKUP($P88&amp;" | "&amp;AU$6,'Job Master'!$F$12:$I$102,4,0)&lt;&gt;""),IF(WEEKDAY(BD88-VLOOKUP($P88&amp;" | "&amp;AU$6,'Job Master'!$F$12:$I$102,4,0))&lt;&gt;7,BD88-VLOOKUP($P88&amp;" | "&amp;AU$6,'Job Master'!$F$12:$I$102,4,0),BD88-VLOOKUP($P88&amp;" | "&amp;AU$6,'Job Master'!$F$12:$I$102,4,0)-1),""),"")</f>
        <v/>
      </c>
      <c r="AX88" s="73"/>
      <c r="AY88" s="123" t="str">
        <f t="shared" si="150"/>
        <v/>
      </c>
      <c r="AZ88" s="123" t="str">
        <f t="shared" si="151"/>
        <v/>
      </c>
      <c r="BA88" s="97" t="str">
        <f t="shared" ca="1" si="152"/>
        <v/>
      </c>
      <c r="BB88" s="98" t="str">
        <f>IF(BD88&lt;&gt;"",VLOOKUP($P88&amp;" | "&amp;BB$6,'Job Master'!$F$12:$J$102,5,0),"")</f>
        <v/>
      </c>
      <c r="BC88" s="19" t="str">
        <f>IF(BD88&lt;&gt;"",VLOOKUP($P88&amp;" | "&amp;BB$6,'Job Master'!$F$12:$J$102,3,0),"")</f>
        <v/>
      </c>
      <c r="BD88" s="19" t="str">
        <f>IFERROR(IF(AND(BK88&lt;&gt;"",VLOOKUP($P88&amp;" | "&amp;BB$6,'Job Master'!$F$12:$I$102,4,0)&lt;&gt;""),IF(WEEKDAY(BK88-VLOOKUP($P88&amp;" | "&amp;BB$6,'Job Master'!$F$12:$I$102,4,0))&lt;&gt;7,BK88-VLOOKUP($P88&amp;" | "&amp;BB$6,'Job Master'!$F$12:$I$102,4,0),BK88-VLOOKUP($P88&amp;" | "&amp;BB$6,'Job Master'!$F$12:$I$102,4,0)-1),""),"")</f>
        <v/>
      </c>
      <c r="BE88" s="73"/>
      <c r="BF88" s="123" t="str">
        <f t="shared" si="153"/>
        <v/>
      </c>
      <c r="BG88" s="123" t="str">
        <f t="shared" si="154"/>
        <v/>
      </c>
      <c r="BH88" s="97" t="str">
        <f t="shared" ca="1" si="155"/>
        <v/>
      </c>
      <c r="BI88" s="98" t="str">
        <f>IF(BK88&lt;&gt;"",VLOOKUP($P88&amp;" | "&amp;BI$6,'Job Master'!$F$12:$J$102,5,0),"")</f>
        <v/>
      </c>
      <c r="BJ88" s="19" t="str">
        <f>IF(BK88&lt;&gt;"",VLOOKUP($P88&amp;" | "&amp;BI$6,'Job Master'!$F$12:$J$102,3,0),"")</f>
        <v/>
      </c>
      <c r="BK88" s="19" t="str">
        <f>IFERROR(IF(AND(BR88&lt;&gt;"",VLOOKUP($P88&amp;" | "&amp;BI$6,'Job Master'!$F$12:$I$102,4,0)&lt;&gt;""),IF(WEEKDAY(BR88-VLOOKUP($P88&amp;" | "&amp;BI$6,'Job Master'!$F$12:$I$102,4,0))&lt;&gt;7,BR88-VLOOKUP($P88&amp;" | "&amp;BI$6,'Job Master'!$F$12:$I$102,4,0),BR88-VLOOKUP($P88&amp;" | "&amp;BI$6,'Job Master'!$F$12:$I$102,4,0)-1),""),"")</f>
        <v/>
      </c>
      <c r="BL88" s="73"/>
      <c r="BM88" s="123" t="str">
        <f t="shared" si="156"/>
        <v/>
      </c>
      <c r="BN88" s="123" t="str">
        <f t="shared" si="157"/>
        <v/>
      </c>
      <c r="BO88" s="97" t="str">
        <f t="shared" ca="1" si="158"/>
        <v/>
      </c>
      <c r="BP88" s="98" t="str">
        <f>IF(BR88&lt;&gt;"",VLOOKUP($P88&amp;" | "&amp;BP$6,'Job Master'!$F$12:$J$102,5,0),"")</f>
        <v/>
      </c>
      <c r="BQ88" s="19" t="str">
        <f>IF(BR88&lt;&gt;"",VLOOKUP($P88&amp;" | "&amp;BP$6,'Job Master'!$F$12:$J$102,3,0),"")</f>
        <v/>
      </c>
      <c r="BR88" s="19" t="str">
        <f>IFERROR(IF(AND(BY88&lt;&gt;"",VLOOKUP($P88&amp;" | "&amp;BP$6,'Job Master'!$F$12:$I$102,4,0)&lt;&gt;""),IF(WEEKDAY(BY88-VLOOKUP($P88&amp;" | "&amp;BP$6,'Job Master'!$F$12:$I$102,4,0))&lt;&gt;7,BY88-VLOOKUP($P88&amp;" | "&amp;BP$6,'Job Master'!$F$12:$I$102,4,0),BY88-VLOOKUP($P88&amp;" | "&amp;BP$6,'Job Master'!$F$12:$I$102,4,0)-1),""),"")</f>
        <v/>
      </c>
      <c r="BS88" s="73"/>
      <c r="BT88" s="123" t="str">
        <f t="shared" si="159"/>
        <v/>
      </c>
      <c r="BU88" s="123" t="str">
        <f t="shared" si="160"/>
        <v/>
      </c>
      <c r="BV88" s="97" t="str">
        <f t="shared" ca="1" si="161"/>
        <v/>
      </c>
      <c r="BW88" s="98" t="str">
        <f>IF(BY88&lt;&gt;"",VLOOKUP($P88&amp;" | "&amp;BW$6,'Job Master'!$F$12:$J$102,5,0),"")</f>
        <v/>
      </c>
      <c r="BX88" s="19" t="str">
        <f>IF(BY88&lt;&gt;"",VLOOKUP($P88&amp;" | "&amp;BW$6,'Job Master'!$F$12:$J$102,3,0),"")</f>
        <v/>
      </c>
      <c r="BY88" s="19" t="str">
        <f>IFERROR(IF(AND(CF88&lt;&gt;"",VLOOKUP($P88&amp;" | "&amp;BW$6,'Job Master'!$F$12:$I$102,4,0)&lt;&gt;""),IF(WEEKDAY(CF88-VLOOKUP($P88&amp;" | "&amp;BW$6,'Job Master'!$F$12:$I$102,4,0))&lt;&gt;7,CF88-VLOOKUP($P88&amp;" | "&amp;BW$6,'Job Master'!$F$12:$I$102,4,0),CF88-VLOOKUP($P88&amp;" | "&amp;BW$6,'Job Master'!$F$12:$I$102,4,0)-1),""),"")</f>
        <v/>
      </c>
      <c r="BZ88" s="73"/>
      <c r="CA88" s="123" t="str">
        <f t="shared" si="162"/>
        <v/>
      </c>
      <c r="CB88" s="123" t="str">
        <f t="shared" si="163"/>
        <v/>
      </c>
      <c r="CC88" s="97" t="str">
        <f t="shared" ca="1" si="164"/>
        <v/>
      </c>
      <c r="CD88" s="98" t="str">
        <f>IF(CF88&lt;&gt;"",VLOOKUP($P88&amp;" | "&amp;CD$6,'Job Master'!$F$12:$J$102,5,0),"")</f>
        <v/>
      </c>
      <c r="CE88" s="19" t="str">
        <f>IF(CF88&lt;&gt;"",VLOOKUP($P88&amp;" | "&amp;CD$6,'Job Master'!$F$12:$J$102,3,0),"")</f>
        <v/>
      </c>
      <c r="CF88" s="19" t="str">
        <f>IFERROR(IF(AND(CM88&lt;&gt;"",VLOOKUP($P88&amp;" | "&amp;CD$6,'Job Master'!$F$12:$I$102,4,0)&lt;&gt;""),IF(WEEKDAY(CM88-VLOOKUP($P88&amp;" | "&amp;CD$6,'Job Master'!$F$12:$I$102,4,0))&lt;&gt;7,CM88-VLOOKUP($P88&amp;" | "&amp;CD$6,'Job Master'!$F$12:$I$102,4,0),CM88-VLOOKUP($P88&amp;" | "&amp;CD$6,'Job Master'!$F$12:$I$102,4,0)-1),""),"")</f>
        <v/>
      </c>
      <c r="CG88" s="73"/>
      <c r="CH88" s="123" t="str">
        <f t="shared" si="165"/>
        <v/>
      </c>
      <c r="CI88" s="123" t="str">
        <f t="shared" si="166"/>
        <v/>
      </c>
      <c r="CJ88" s="97" t="str">
        <f t="shared" ca="1" si="167"/>
        <v/>
      </c>
      <c r="CK88" s="98" t="str">
        <f>IF(CM88&lt;&gt;"",VLOOKUP($P88&amp;" | "&amp;CK$6,'Job Master'!$F$12:$J$102,5,0),"")</f>
        <v/>
      </c>
      <c r="CL88" s="19" t="str">
        <f>IF(CM88&lt;&gt;"",VLOOKUP($P88&amp;" | "&amp;CK$6,'Job Master'!$F$12:$J$102,3,0),"")</f>
        <v/>
      </c>
      <c r="CM88" s="19" t="str">
        <f>IFERROR(IF(AND(CT88&lt;&gt;"",VLOOKUP($P88&amp;" | "&amp;CK$6,'Job Master'!$F$12:$I$102,4,0)&lt;&gt;""),IF(WEEKDAY(CT88-VLOOKUP($P88&amp;" | "&amp;CK$6,'Job Master'!$F$12:$I$102,4,0))&lt;&gt;7,CT88-VLOOKUP($P88&amp;" | "&amp;CK$6,'Job Master'!$F$12:$I$102,4,0),CT88-VLOOKUP($P88&amp;" | "&amp;CK$6,'Job Master'!$F$12:$I$102,4,0)-1),""),"")</f>
        <v/>
      </c>
      <c r="CN88" s="73"/>
      <c r="CO88" s="123" t="str">
        <f t="shared" si="168"/>
        <v/>
      </c>
      <c r="CP88" s="123" t="str">
        <f t="shared" si="169"/>
        <v/>
      </c>
      <c r="CQ88" s="97" t="str">
        <f t="shared" ca="1" si="170"/>
        <v/>
      </c>
      <c r="CR88" s="98" t="str">
        <f>IF(CT88&lt;&gt;"",VLOOKUP($P88&amp;" | "&amp;CR$6,'Job Master'!$F$12:$J$102,5,0),"")</f>
        <v/>
      </c>
      <c r="CS88" s="19" t="str">
        <f>IF(CT88&lt;&gt;"",VLOOKUP($P88&amp;" | "&amp;CR$6,'Job Master'!$F$12:$J$102,3,0),"")</f>
        <v/>
      </c>
      <c r="CT88" s="19" t="str">
        <f>IFERROR(IF(AND(DA88&lt;&gt;"",VLOOKUP($P88&amp;" | "&amp;CR$6,'Job Master'!$F$12:$I$102,4,0)&lt;&gt;""),IF(WEEKDAY(DA88-VLOOKUP($P88&amp;" | "&amp;CR$6,'Job Master'!$F$12:$I$102,4,0))&lt;&gt;7,DA88-VLOOKUP($P88&amp;" | "&amp;CR$6,'Job Master'!$F$12:$I$102,4,0),DA88-VLOOKUP($P88&amp;" | "&amp;CR$6,'Job Master'!$F$12:$I$102,4,0)-1),""),"")</f>
        <v/>
      </c>
      <c r="CU88" s="73"/>
      <c r="CV88" s="123" t="str">
        <f t="shared" si="171"/>
        <v/>
      </c>
      <c r="CW88" s="123" t="str">
        <f t="shared" si="172"/>
        <v/>
      </c>
      <c r="CX88" s="97" t="str">
        <f t="shared" ca="1" si="173"/>
        <v/>
      </c>
      <c r="CY88" s="98" t="str">
        <f>IF(DA88&lt;&gt;"",VLOOKUP($P88&amp;" | "&amp;CY$6,'Job Master'!$F$12:$J$102,5,0),"")</f>
        <v/>
      </c>
      <c r="CZ88" s="19" t="str">
        <f>IF(DA88&lt;&gt;"",VLOOKUP($P88&amp;" | "&amp;CY$6,'Job Master'!$F$12:$J$102,3,0),"")</f>
        <v/>
      </c>
      <c r="DA88" s="19" t="str">
        <f>IFERROR(IF(AND(DH88&lt;&gt;"",VLOOKUP($P88&amp;" | "&amp;CY$6,'Job Master'!$F$12:$I$102,4,0)&lt;&gt;""),IF(WEEKDAY(DH88-VLOOKUP($P88&amp;" | "&amp;CY$6,'Job Master'!$F$12:$I$102,4,0))&lt;&gt;7,DH88-VLOOKUP($P88&amp;" | "&amp;CY$6,'Job Master'!$F$12:$I$102,4,0),DH88-VLOOKUP($P88&amp;" | "&amp;CY$6,'Job Master'!$F$12:$I$102,4,0)-1),""),"")</f>
        <v/>
      </c>
      <c r="DB88" s="73"/>
      <c r="DC88" s="123" t="str">
        <f t="shared" si="174"/>
        <v/>
      </c>
      <c r="DD88" s="123" t="str">
        <f t="shared" si="175"/>
        <v/>
      </c>
      <c r="DE88" s="97" t="str">
        <f t="shared" ca="1" si="176"/>
        <v/>
      </c>
      <c r="DF88" s="98" t="str">
        <f>IF(DH88&lt;&gt;"",VLOOKUP($P88&amp;" | "&amp;DF$6,'Job Master'!$F$12:$J$102,5,0),"")</f>
        <v/>
      </c>
      <c r="DG88" s="19" t="str">
        <f>IF(DH88&lt;&gt;"",VLOOKUP($P88&amp;" | "&amp;DF$6,'Job Master'!$F$12:$J$102,3,0),"")</f>
        <v/>
      </c>
      <c r="DH88" s="19" t="str">
        <f>IFERROR(IF(AND(DO88&lt;&gt;"",VLOOKUP($P88&amp;" | "&amp;DF$6,'Job Master'!$F$12:$I$102,4,0)&lt;&gt;""),IF(WEEKDAY(DO88-VLOOKUP($P88&amp;" | "&amp;DF$6,'Job Master'!$F$12:$I$102,4,0))&lt;&gt;7,DO88-VLOOKUP($P88&amp;" | "&amp;DF$6,'Job Master'!$F$12:$I$102,4,0),DO88-VLOOKUP($P88&amp;" | "&amp;DF$6,'Job Master'!$F$12:$I$102,4,0)-1),""),"")</f>
        <v/>
      </c>
      <c r="DI88" s="73"/>
      <c r="DJ88" s="123" t="str">
        <f t="shared" si="177"/>
        <v/>
      </c>
      <c r="DK88" s="123" t="str">
        <f t="shared" si="178"/>
        <v/>
      </c>
      <c r="DL88" s="97" t="str">
        <f t="shared" ca="1" si="179"/>
        <v/>
      </c>
      <c r="DM88" s="98" t="str">
        <f>IF(DO88&lt;&gt;"",VLOOKUP($P88&amp;" | "&amp;DM$6,'Job Master'!$F$12:$J$102,5,0),"")</f>
        <v/>
      </c>
      <c r="DN88" s="19" t="str">
        <f>IF(DO88&lt;&gt;"",VLOOKUP($P88&amp;" | "&amp;DM$6,'Job Master'!$F$12:$J$102,3,0),"")</f>
        <v/>
      </c>
      <c r="DO88" s="19" t="str">
        <f>IFERROR(IF(AND(DT88&lt;&gt;"",VLOOKUP($P88&amp;" | "&amp;DM$6,'Job Master'!$F$12:$I$102,4,0)&lt;&gt;""),IF(WEEKDAY(DT88-VLOOKUP($P88&amp;" | "&amp;DM$6,'Job Master'!$F$12:$I$102,4,0))&lt;&gt;7,DT88-VLOOKUP($P88&amp;" | "&amp;DM$6,'Job Master'!$F$12:$I$102,4,0),DT88-VLOOKUP($P88&amp;" | "&amp;DM$6,'Job Master'!$F$12:$I$102,4,0)-1),""),"")</f>
        <v/>
      </c>
      <c r="DP88" s="73"/>
      <c r="DQ88" s="123" t="str">
        <f t="shared" si="180"/>
        <v/>
      </c>
      <c r="DR88" s="123" t="str">
        <f t="shared" si="181"/>
        <v/>
      </c>
      <c r="DS88" s="97" t="str">
        <f t="shared" ca="1" si="182"/>
        <v/>
      </c>
      <c r="DT88" s="70" t="str">
        <f t="shared" si="183"/>
        <v/>
      </c>
      <c r="DU88" s="90"/>
      <c r="DV88" s="123" t="str">
        <f t="shared" si="184"/>
        <v/>
      </c>
      <c r="DW88" s="123" t="str">
        <f t="shared" si="185"/>
        <v/>
      </c>
      <c r="DX88" s="132" t="str">
        <f t="shared" ref="DX88" ca="1" si="208">IF(DT88&lt;&gt;"",IF(WEEKNUM(DT88)=WEEKNUM(TODAY()),"This Week",IF(WEEKNUM(DT88)=WEEKNUM(TODAY())+1,"Next Week",IF(WEEKNUM(DT88)=WEEKNUM(TODAY())-1,"Previous Week",""))),"")</f>
        <v/>
      </c>
      <c r="DY88" s="134" t="str">
        <f t="shared" si="187"/>
        <v/>
      </c>
      <c r="DZ88" s="95"/>
      <c r="EB88" s="8" t="str">
        <f t="shared" si="193"/>
        <v/>
      </c>
      <c r="EC88" s="8" t="str">
        <f>IF(O88&lt;&gt;"",VLOOKUP(O88,'Job Master'!$N$12:$O$18,2,0),"")</f>
        <v/>
      </c>
      <c r="ED88" s="8">
        <f t="shared" si="194"/>
        <v>19.5</v>
      </c>
      <c r="EE88" s="8">
        <f t="shared" si="195"/>
        <v>6</v>
      </c>
      <c r="EF88" s="8">
        <f t="shared" si="196"/>
        <v>-448.5</v>
      </c>
      <c r="EG88" s="8" t="str">
        <f t="shared" si="197"/>
        <v/>
      </c>
      <c r="EH88" s="8" t="str">
        <f t="shared" si="198"/>
        <v/>
      </c>
    </row>
    <row r="89" spans="2:138" x14ac:dyDescent="0.3">
      <c r="B89" s="112"/>
      <c r="C89" s="27"/>
      <c r="D89" s="7" t="str">
        <f t="shared" si="135"/>
        <v/>
      </c>
      <c r="E89" s="25"/>
      <c r="F89" s="7" t="str">
        <f t="shared" si="135"/>
        <v/>
      </c>
      <c r="G89" s="25"/>
      <c r="H89" s="7" t="str">
        <f t="shared" si="135"/>
        <v/>
      </c>
      <c r="I89" s="25"/>
      <c r="J89" s="7" t="str">
        <f t="shared" si="135"/>
        <v/>
      </c>
      <c r="K89" s="25"/>
      <c r="L89" s="7" t="str">
        <f t="shared" si="136"/>
        <v/>
      </c>
      <c r="M89" s="25"/>
      <c r="N89" s="7" t="str">
        <f t="shared" si="137"/>
        <v/>
      </c>
      <c r="O89" s="81"/>
      <c r="P89" s="81" t="str">
        <f t="shared" si="138"/>
        <v/>
      </c>
      <c r="Q89" s="81"/>
      <c r="R89" s="7" t="str">
        <f t="shared" si="139"/>
        <v/>
      </c>
      <c r="S89" s="25"/>
      <c r="T89" s="7" t="str">
        <f t="shared" si="140"/>
        <v/>
      </c>
      <c r="U89" s="25"/>
      <c r="V89" s="7" t="str">
        <f t="shared" si="141"/>
        <v/>
      </c>
      <c r="W89" s="25"/>
      <c r="X89" s="7" t="str">
        <f t="shared" si="142"/>
        <v/>
      </c>
      <c r="Y89" s="18" t="str">
        <f t="shared" si="143"/>
        <v/>
      </c>
      <c r="Z89" s="7" t="str">
        <f t="shared" si="144"/>
        <v/>
      </c>
      <c r="AA89" s="18" t="str">
        <f t="shared" si="145"/>
        <v/>
      </c>
      <c r="AB89" s="19" t="str">
        <f t="shared" si="146"/>
        <v/>
      </c>
      <c r="AC89" s="26"/>
      <c r="AD89" s="26"/>
      <c r="AE89" s="25"/>
      <c r="AF89" s="26"/>
      <c r="AG89" s="25"/>
      <c r="AH89" s="25"/>
      <c r="AI89" s="18" t="str">
        <f t="shared" ref="AI89:AI152" si="209">IF(IF(AH89&lt;&gt;"",AH89,IF($AA89&lt;&gt;"",AI88,""))&lt;&gt;0,IF(AH89&lt;&gt;"",AH89,IF($AA89&lt;&gt;"",AI88,"")),"")</f>
        <v/>
      </c>
      <c r="AJ89" s="25"/>
      <c r="AK89" s="18" t="str">
        <f t="shared" ref="AK89:AK152" si="210">IF(IF(AJ89&lt;&gt;"",AJ89,IF($AA89&lt;&gt;"",AK88,""))&lt;&gt;0,IF(AJ89&lt;&gt;"",AJ89,IF($AA89&lt;&gt;"",AK88,"")),"")</f>
        <v/>
      </c>
      <c r="AL89" s="79"/>
      <c r="AM89" s="126" t="str">
        <f t="shared" ref="AM89:AM152" si="211">IF(IF(AL89&lt;&gt;"",AL89,IF($AA89&lt;&gt;"",AM88,""))&lt;&gt;0,IF(AL89&lt;&gt;"",AL89,IF($AA89&lt;&gt;"",AM88,"")),"")</f>
        <v/>
      </c>
      <c r="AN89" s="128" t="str">
        <f>IF(AP89&lt;&gt;"",VLOOKUP($P89&amp;" | "&amp;AN$6,'Job Master'!$F$12:$J$102,5,0),"")</f>
        <v/>
      </c>
      <c r="AO89" s="19" t="str">
        <f>IF(AP89&lt;&gt;"",VLOOKUP($P89&amp;" | "&amp;AN$6,'Job Master'!$F$12:$J$102,3,0),"")</f>
        <v/>
      </c>
      <c r="AP89" s="19" t="str">
        <f>IFERROR(IF(AND(AW89&lt;&gt;"",VLOOKUP($P89&amp;" | "&amp;AN$6,'Job Master'!$F$12:$I$102,4,0)&lt;&gt;""),IF(WEEKDAY(AW89-VLOOKUP($P89&amp;" | "&amp;AN$6,'Job Master'!$F$12:$I$102,4,0))&lt;&gt;7,AW89-VLOOKUP($P89&amp;" | "&amp;AN$6,'Job Master'!$F$12:$I$102,4,0),AW89-VLOOKUP($P89&amp;" | "&amp;AN$6,'Job Master'!$F$12:$I$102,4,0)-1),""),"")</f>
        <v/>
      </c>
      <c r="AQ89" s="73"/>
      <c r="AR89" s="123" t="str">
        <f t="shared" si="147"/>
        <v/>
      </c>
      <c r="AS89" s="123" t="str">
        <f t="shared" si="148"/>
        <v/>
      </c>
      <c r="AT89" s="97" t="str">
        <f t="shared" ca="1" si="149"/>
        <v/>
      </c>
      <c r="AU89" s="98" t="str">
        <f>IF(AW89&lt;&gt;"",VLOOKUP($P89&amp;" | "&amp;AU$6,'Job Master'!$F$12:$J$102,5,0),"")</f>
        <v/>
      </c>
      <c r="AV89" s="19" t="str">
        <f>IF(AW89&lt;&gt;"",VLOOKUP($P89&amp;" | "&amp;AU$6,'Job Master'!$F$12:$J$102,3,0),"")</f>
        <v/>
      </c>
      <c r="AW89" s="19" t="str">
        <f>IFERROR(IF(AND(BD89&lt;&gt;"",VLOOKUP($P89&amp;" | "&amp;AU$6,'Job Master'!$F$12:$I$102,4,0)&lt;&gt;""),IF(WEEKDAY(BD89-VLOOKUP($P89&amp;" | "&amp;AU$6,'Job Master'!$F$12:$I$102,4,0))&lt;&gt;7,BD89-VLOOKUP($P89&amp;" | "&amp;AU$6,'Job Master'!$F$12:$I$102,4,0),BD89-VLOOKUP($P89&amp;" | "&amp;AU$6,'Job Master'!$F$12:$I$102,4,0)-1),""),"")</f>
        <v/>
      </c>
      <c r="AX89" s="73"/>
      <c r="AY89" s="123" t="str">
        <f t="shared" si="150"/>
        <v/>
      </c>
      <c r="AZ89" s="123" t="str">
        <f t="shared" si="151"/>
        <v/>
      </c>
      <c r="BA89" s="97" t="str">
        <f t="shared" ca="1" si="152"/>
        <v/>
      </c>
      <c r="BB89" s="98" t="str">
        <f>IF(BD89&lt;&gt;"",VLOOKUP($P89&amp;" | "&amp;BB$6,'Job Master'!$F$12:$J$102,5,0),"")</f>
        <v/>
      </c>
      <c r="BC89" s="19" t="str">
        <f>IF(BD89&lt;&gt;"",VLOOKUP($P89&amp;" | "&amp;BB$6,'Job Master'!$F$12:$J$102,3,0),"")</f>
        <v/>
      </c>
      <c r="BD89" s="19" t="str">
        <f>IFERROR(IF(AND(BK89&lt;&gt;"",VLOOKUP($P89&amp;" | "&amp;BB$6,'Job Master'!$F$12:$I$102,4,0)&lt;&gt;""),IF(WEEKDAY(BK89-VLOOKUP($P89&amp;" | "&amp;BB$6,'Job Master'!$F$12:$I$102,4,0))&lt;&gt;7,BK89-VLOOKUP($P89&amp;" | "&amp;BB$6,'Job Master'!$F$12:$I$102,4,0),BK89-VLOOKUP($P89&amp;" | "&amp;BB$6,'Job Master'!$F$12:$I$102,4,0)-1),""),"")</f>
        <v/>
      </c>
      <c r="BE89" s="73"/>
      <c r="BF89" s="123" t="str">
        <f t="shared" si="153"/>
        <v/>
      </c>
      <c r="BG89" s="123" t="str">
        <f t="shared" si="154"/>
        <v/>
      </c>
      <c r="BH89" s="97" t="str">
        <f t="shared" ca="1" si="155"/>
        <v/>
      </c>
      <c r="BI89" s="98" t="str">
        <f>IF(BK89&lt;&gt;"",VLOOKUP($P89&amp;" | "&amp;BI$6,'Job Master'!$F$12:$J$102,5,0),"")</f>
        <v/>
      </c>
      <c r="BJ89" s="19" t="str">
        <f>IF(BK89&lt;&gt;"",VLOOKUP($P89&amp;" | "&amp;BI$6,'Job Master'!$F$12:$J$102,3,0),"")</f>
        <v/>
      </c>
      <c r="BK89" s="19" t="str">
        <f>IFERROR(IF(AND(BR89&lt;&gt;"",VLOOKUP($P89&amp;" | "&amp;BI$6,'Job Master'!$F$12:$I$102,4,0)&lt;&gt;""),IF(WEEKDAY(BR89-VLOOKUP($P89&amp;" | "&amp;BI$6,'Job Master'!$F$12:$I$102,4,0))&lt;&gt;7,BR89-VLOOKUP($P89&amp;" | "&amp;BI$6,'Job Master'!$F$12:$I$102,4,0),BR89-VLOOKUP($P89&amp;" | "&amp;BI$6,'Job Master'!$F$12:$I$102,4,0)-1),""),"")</f>
        <v/>
      </c>
      <c r="BL89" s="73"/>
      <c r="BM89" s="123" t="str">
        <f t="shared" si="156"/>
        <v/>
      </c>
      <c r="BN89" s="123" t="str">
        <f t="shared" si="157"/>
        <v/>
      </c>
      <c r="BO89" s="97" t="str">
        <f t="shared" ca="1" si="158"/>
        <v/>
      </c>
      <c r="BP89" s="98" t="str">
        <f>IF(BR89&lt;&gt;"",VLOOKUP($P89&amp;" | "&amp;BP$6,'Job Master'!$F$12:$J$102,5,0),"")</f>
        <v/>
      </c>
      <c r="BQ89" s="19" t="str">
        <f>IF(BR89&lt;&gt;"",VLOOKUP($P89&amp;" | "&amp;BP$6,'Job Master'!$F$12:$J$102,3,0),"")</f>
        <v/>
      </c>
      <c r="BR89" s="19" t="str">
        <f>IFERROR(IF(AND(BY89&lt;&gt;"",VLOOKUP($P89&amp;" | "&amp;BP$6,'Job Master'!$F$12:$I$102,4,0)&lt;&gt;""),IF(WEEKDAY(BY89-VLOOKUP($P89&amp;" | "&amp;BP$6,'Job Master'!$F$12:$I$102,4,0))&lt;&gt;7,BY89-VLOOKUP($P89&amp;" | "&amp;BP$6,'Job Master'!$F$12:$I$102,4,0),BY89-VLOOKUP($P89&amp;" | "&amp;BP$6,'Job Master'!$F$12:$I$102,4,0)-1),""),"")</f>
        <v/>
      </c>
      <c r="BS89" s="73"/>
      <c r="BT89" s="123" t="str">
        <f t="shared" si="159"/>
        <v/>
      </c>
      <c r="BU89" s="123" t="str">
        <f t="shared" si="160"/>
        <v/>
      </c>
      <c r="BV89" s="97" t="str">
        <f t="shared" ca="1" si="161"/>
        <v/>
      </c>
      <c r="BW89" s="98" t="str">
        <f>IF(BY89&lt;&gt;"",VLOOKUP($P89&amp;" | "&amp;BW$6,'Job Master'!$F$12:$J$102,5,0),"")</f>
        <v/>
      </c>
      <c r="BX89" s="19" t="str">
        <f>IF(BY89&lt;&gt;"",VLOOKUP($P89&amp;" | "&amp;BW$6,'Job Master'!$F$12:$J$102,3,0),"")</f>
        <v/>
      </c>
      <c r="BY89" s="19" t="str">
        <f>IFERROR(IF(AND(CF89&lt;&gt;"",VLOOKUP($P89&amp;" | "&amp;BW$6,'Job Master'!$F$12:$I$102,4,0)&lt;&gt;""),IF(WEEKDAY(CF89-VLOOKUP($P89&amp;" | "&amp;BW$6,'Job Master'!$F$12:$I$102,4,0))&lt;&gt;7,CF89-VLOOKUP($P89&amp;" | "&amp;BW$6,'Job Master'!$F$12:$I$102,4,0),CF89-VLOOKUP($P89&amp;" | "&amp;BW$6,'Job Master'!$F$12:$I$102,4,0)-1),""),"")</f>
        <v/>
      </c>
      <c r="BZ89" s="73"/>
      <c r="CA89" s="123" t="str">
        <f t="shared" si="162"/>
        <v/>
      </c>
      <c r="CB89" s="123" t="str">
        <f t="shared" si="163"/>
        <v/>
      </c>
      <c r="CC89" s="97" t="str">
        <f t="shared" ca="1" si="164"/>
        <v/>
      </c>
      <c r="CD89" s="98" t="str">
        <f>IF(CF89&lt;&gt;"",VLOOKUP($P89&amp;" | "&amp;CD$6,'Job Master'!$F$12:$J$102,5,0),"")</f>
        <v/>
      </c>
      <c r="CE89" s="19" t="str">
        <f>IF(CF89&lt;&gt;"",VLOOKUP($P89&amp;" | "&amp;CD$6,'Job Master'!$F$12:$J$102,3,0),"")</f>
        <v/>
      </c>
      <c r="CF89" s="19" t="str">
        <f>IFERROR(IF(AND(CM89&lt;&gt;"",VLOOKUP($P89&amp;" | "&amp;CD$6,'Job Master'!$F$12:$I$102,4,0)&lt;&gt;""),IF(WEEKDAY(CM89-VLOOKUP($P89&amp;" | "&amp;CD$6,'Job Master'!$F$12:$I$102,4,0))&lt;&gt;7,CM89-VLOOKUP($P89&amp;" | "&amp;CD$6,'Job Master'!$F$12:$I$102,4,0),CM89-VLOOKUP($P89&amp;" | "&amp;CD$6,'Job Master'!$F$12:$I$102,4,0)-1),""),"")</f>
        <v/>
      </c>
      <c r="CG89" s="73"/>
      <c r="CH89" s="123" t="str">
        <f t="shared" si="165"/>
        <v/>
      </c>
      <c r="CI89" s="123" t="str">
        <f t="shared" si="166"/>
        <v/>
      </c>
      <c r="CJ89" s="97" t="str">
        <f t="shared" ca="1" si="167"/>
        <v/>
      </c>
      <c r="CK89" s="98" t="str">
        <f>IF(CM89&lt;&gt;"",VLOOKUP($P89&amp;" | "&amp;CK$6,'Job Master'!$F$12:$J$102,5,0),"")</f>
        <v/>
      </c>
      <c r="CL89" s="19" t="str">
        <f>IF(CM89&lt;&gt;"",VLOOKUP($P89&amp;" | "&amp;CK$6,'Job Master'!$F$12:$J$102,3,0),"")</f>
        <v/>
      </c>
      <c r="CM89" s="19" t="str">
        <f>IFERROR(IF(AND(CT89&lt;&gt;"",VLOOKUP($P89&amp;" | "&amp;CK$6,'Job Master'!$F$12:$I$102,4,0)&lt;&gt;""),IF(WEEKDAY(CT89-VLOOKUP($P89&amp;" | "&amp;CK$6,'Job Master'!$F$12:$I$102,4,0))&lt;&gt;7,CT89-VLOOKUP($P89&amp;" | "&amp;CK$6,'Job Master'!$F$12:$I$102,4,0),CT89-VLOOKUP($P89&amp;" | "&amp;CK$6,'Job Master'!$F$12:$I$102,4,0)-1),""),"")</f>
        <v/>
      </c>
      <c r="CN89" s="73"/>
      <c r="CO89" s="123" t="str">
        <f t="shared" si="168"/>
        <v/>
      </c>
      <c r="CP89" s="123" t="str">
        <f t="shared" si="169"/>
        <v/>
      </c>
      <c r="CQ89" s="97" t="str">
        <f t="shared" ca="1" si="170"/>
        <v/>
      </c>
      <c r="CR89" s="98" t="str">
        <f>IF(CT89&lt;&gt;"",VLOOKUP($P89&amp;" | "&amp;CR$6,'Job Master'!$F$12:$J$102,5,0),"")</f>
        <v/>
      </c>
      <c r="CS89" s="19" t="str">
        <f>IF(CT89&lt;&gt;"",VLOOKUP($P89&amp;" | "&amp;CR$6,'Job Master'!$F$12:$J$102,3,0),"")</f>
        <v/>
      </c>
      <c r="CT89" s="19" t="str">
        <f>IFERROR(IF(AND(DA89&lt;&gt;"",VLOOKUP($P89&amp;" | "&amp;CR$6,'Job Master'!$F$12:$I$102,4,0)&lt;&gt;""),IF(WEEKDAY(DA89-VLOOKUP($P89&amp;" | "&amp;CR$6,'Job Master'!$F$12:$I$102,4,0))&lt;&gt;7,DA89-VLOOKUP($P89&amp;" | "&amp;CR$6,'Job Master'!$F$12:$I$102,4,0),DA89-VLOOKUP($P89&amp;" | "&amp;CR$6,'Job Master'!$F$12:$I$102,4,0)-1),""),"")</f>
        <v/>
      </c>
      <c r="CU89" s="73"/>
      <c r="CV89" s="123" t="str">
        <f t="shared" si="171"/>
        <v/>
      </c>
      <c r="CW89" s="123" t="str">
        <f t="shared" si="172"/>
        <v/>
      </c>
      <c r="CX89" s="97" t="str">
        <f t="shared" ca="1" si="173"/>
        <v/>
      </c>
      <c r="CY89" s="98" t="str">
        <f>IF(DA89&lt;&gt;"",VLOOKUP($P89&amp;" | "&amp;CY$6,'Job Master'!$F$12:$J$102,5,0),"")</f>
        <v/>
      </c>
      <c r="CZ89" s="19" t="str">
        <f>IF(DA89&lt;&gt;"",VLOOKUP($P89&amp;" | "&amp;CY$6,'Job Master'!$F$12:$J$102,3,0),"")</f>
        <v/>
      </c>
      <c r="DA89" s="19" t="str">
        <f>IFERROR(IF(AND(DH89&lt;&gt;"",VLOOKUP($P89&amp;" | "&amp;CY$6,'Job Master'!$F$12:$I$102,4,0)&lt;&gt;""),IF(WEEKDAY(DH89-VLOOKUP($P89&amp;" | "&amp;CY$6,'Job Master'!$F$12:$I$102,4,0))&lt;&gt;7,DH89-VLOOKUP($P89&amp;" | "&amp;CY$6,'Job Master'!$F$12:$I$102,4,0),DH89-VLOOKUP($P89&amp;" | "&amp;CY$6,'Job Master'!$F$12:$I$102,4,0)-1),""),"")</f>
        <v/>
      </c>
      <c r="DB89" s="73"/>
      <c r="DC89" s="123" t="str">
        <f t="shared" si="174"/>
        <v/>
      </c>
      <c r="DD89" s="123" t="str">
        <f t="shared" si="175"/>
        <v/>
      </c>
      <c r="DE89" s="97" t="str">
        <f t="shared" ca="1" si="176"/>
        <v/>
      </c>
      <c r="DF89" s="98" t="str">
        <f>IF(DH89&lt;&gt;"",VLOOKUP($P89&amp;" | "&amp;DF$6,'Job Master'!$F$12:$J$102,5,0),"")</f>
        <v/>
      </c>
      <c r="DG89" s="19" t="str">
        <f>IF(DH89&lt;&gt;"",VLOOKUP($P89&amp;" | "&amp;DF$6,'Job Master'!$F$12:$J$102,3,0),"")</f>
        <v/>
      </c>
      <c r="DH89" s="19" t="str">
        <f>IFERROR(IF(AND(DO89&lt;&gt;"",VLOOKUP($P89&amp;" | "&amp;DF$6,'Job Master'!$F$12:$I$102,4,0)&lt;&gt;""),IF(WEEKDAY(DO89-VLOOKUP($P89&amp;" | "&amp;DF$6,'Job Master'!$F$12:$I$102,4,0))&lt;&gt;7,DO89-VLOOKUP($P89&amp;" | "&amp;DF$6,'Job Master'!$F$12:$I$102,4,0),DO89-VLOOKUP($P89&amp;" | "&amp;DF$6,'Job Master'!$F$12:$I$102,4,0)-1),""),"")</f>
        <v/>
      </c>
      <c r="DI89" s="73"/>
      <c r="DJ89" s="123" t="str">
        <f t="shared" si="177"/>
        <v/>
      </c>
      <c r="DK89" s="123" t="str">
        <f t="shared" si="178"/>
        <v/>
      </c>
      <c r="DL89" s="97" t="str">
        <f t="shared" ca="1" si="179"/>
        <v/>
      </c>
      <c r="DM89" s="98" t="str">
        <f>IF(DO89&lt;&gt;"",VLOOKUP($P89&amp;" | "&amp;DM$6,'Job Master'!$F$12:$J$102,5,0),"")</f>
        <v/>
      </c>
      <c r="DN89" s="19" t="str">
        <f>IF(DO89&lt;&gt;"",VLOOKUP($P89&amp;" | "&amp;DM$6,'Job Master'!$F$12:$J$102,3,0),"")</f>
        <v/>
      </c>
      <c r="DO89" s="19" t="str">
        <f>IFERROR(IF(AND(DT89&lt;&gt;"",VLOOKUP($P89&amp;" | "&amp;DM$6,'Job Master'!$F$12:$I$102,4,0)&lt;&gt;""),IF(WEEKDAY(DT89-VLOOKUP($P89&amp;" | "&amp;DM$6,'Job Master'!$F$12:$I$102,4,0))&lt;&gt;7,DT89-VLOOKUP($P89&amp;" | "&amp;DM$6,'Job Master'!$F$12:$I$102,4,0),DT89-VLOOKUP($P89&amp;" | "&amp;DM$6,'Job Master'!$F$12:$I$102,4,0)-1),""),"")</f>
        <v/>
      </c>
      <c r="DP89" s="73"/>
      <c r="DQ89" s="123" t="str">
        <f t="shared" si="180"/>
        <v/>
      </c>
      <c r="DR89" s="123" t="str">
        <f t="shared" si="181"/>
        <v/>
      </c>
      <c r="DS89" s="97" t="str">
        <f t="shared" ca="1" si="182"/>
        <v/>
      </c>
      <c r="DT89" s="70" t="str">
        <f t="shared" si="183"/>
        <v/>
      </c>
      <c r="DU89" s="90"/>
      <c r="DV89" s="123" t="str">
        <f t="shared" si="184"/>
        <v/>
      </c>
      <c r="DW89" s="123" t="str">
        <f t="shared" si="185"/>
        <v/>
      </c>
      <c r="DX89" s="132" t="str">
        <f t="shared" ref="DX89" ca="1" si="212">IF(DT89&lt;&gt;"",IF(WEEKNUM(DT89)=WEEKNUM(TODAY()),"This Week",IF(WEEKNUM(DT89)=WEEKNUM(TODAY())+1,"Next Week",IF(WEEKNUM(DT89)=WEEKNUM(TODAY())-1,"Previous Week",""))),"")</f>
        <v/>
      </c>
      <c r="DY89" s="134" t="str">
        <f t="shared" si="187"/>
        <v/>
      </c>
      <c r="DZ89" s="95"/>
      <c r="EB89" s="8" t="str">
        <f t="shared" si="193"/>
        <v/>
      </c>
      <c r="EC89" s="8" t="str">
        <f>IF(O89&lt;&gt;"",VLOOKUP(O89,'Job Master'!$N$12:$O$18,2,0),"")</f>
        <v/>
      </c>
      <c r="ED89" s="8">
        <f t="shared" si="194"/>
        <v>19.5</v>
      </c>
      <c r="EE89" s="8">
        <f t="shared" si="195"/>
        <v>6</v>
      </c>
      <c r="EF89" s="8">
        <f t="shared" si="196"/>
        <v>-454.5</v>
      </c>
      <c r="EG89" s="8" t="str">
        <f t="shared" si="197"/>
        <v/>
      </c>
      <c r="EH89" s="8" t="str">
        <f t="shared" si="198"/>
        <v/>
      </c>
    </row>
    <row r="90" spans="2:138" x14ac:dyDescent="0.3">
      <c r="B90" s="112"/>
      <c r="C90" s="27"/>
      <c r="D90" s="7" t="str">
        <f t="shared" si="135"/>
        <v/>
      </c>
      <c r="E90" s="25"/>
      <c r="F90" s="7" t="str">
        <f t="shared" si="135"/>
        <v/>
      </c>
      <c r="G90" s="25"/>
      <c r="H90" s="7" t="str">
        <f t="shared" si="135"/>
        <v/>
      </c>
      <c r="I90" s="25"/>
      <c r="J90" s="7" t="str">
        <f t="shared" si="135"/>
        <v/>
      </c>
      <c r="K90" s="25"/>
      <c r="L90" s="7" t="str">
        <f t="shared" si="136"/>
        <v/>
      </c>
      <c r="M90" s="25"/>
      <c r="N90" s="7" t="str">
        <f t="shared" si="137"/>
        <v/>
      </c>
      <c r="O90" s="81"/>
      <c r="P90" s="81" t="str">
        <f t="shared" si="138"/>
        <v/>
      </c>
      <c r="Q90" s="81"/>
      <c r="R90" s="7" t="str">
        <f t="shared" si="139"/>
        <v/>
      </c>
      <c r="S90" s="25"/>
      <c r="T90" s="7" t="str">
        <f t="shared" si="140"/>
        <v/>
      </c>
      <c r="U90" s="25"/>
      <c r="V90" s="7" t="str">
        <f t="shared" si="141"/>
        <v/>
      </c>
      <c r="W90" s="25"/>
      <c r="X90" s="7" t="str">
        <f t="shared" si="142"/>
        <v/>
      </c>
      <c r="Y90" s="18" t="str">
        <f t="shared" si="143"/>
        <v/>
      </c>
      <c r="Z90" s="7" t="str">
        <f t="shared" si="144"/>
        <v/>
      </c>
      <c r="AA90" s="18" t="str">
        <f t="shared" si="145"/>
        <v/>
      </c>
      <c r="AB90" s="19" t="str">
        <f t="shared" si="146"/>
        <v/>
      </c>
      <c r="AC90" s="26"/>
      <c r="AD90" s="26"/>
      <c r="AE90" s="25"/>
      <c r="AF90" s="26"/>
      <c r="AG90" s="25"/>
      <c r="AH90" s="25"/>
      <c r="AI90" s="18" t="str">
        <f t="shared" si="209"/>
        <v/>
      </c>
      <c r="AJ90" s="25"/>
      <c r="AK90" s="18" t="str">
        <f t="shared" si="210"/>
        <v/>
      </c>
      <c r="AL90" s="79"/>
      <c r="AM90" s="126" t="str">
        <f t="shared" si="211"/>
        <v/>
      </c>
      <c r="AN90" s="128" t="str">
        <f>IF(AP90&lt;&gt;"",VLOOKUP($P90&amp;" | "&amp;AN$6,'Job Master'!$F$12:$J$102,5,0),"")</f>
        <v/>
      </c>
      <c r="AO90" s="19" t="str">
        <f>IF(AP90&lt;&gt;"",VLOOKUP($P90&amp;" | "&amp;AN$6,'Job Master'!$F$12:$J$102,3,0),"")</f>
        <v/>
      </c>
      <c r="AP90" s="19" t="str">
        <f>IFERROR(IF(AND(AW90&lt;&gt;"",VLOOKUP($P90&amp;" | "&amp;AN$6,'Job Master'!$F$12:$I$102,4,0)&lt;&gt;""),IF(WEEKDAY(AW90-VLOOKUP($P90&amp;" | "&amp;AN$6,'Job Master'!$F$12:$I$102,4,0))&lt;&gt;7,AW90-VLOOKUP($P90&amp;" | "&amp;AN$6,'Job Master'!$F$12:$I$102,4,0),AW90-VLOOKUP($P90&amp;" | "&amp;AN$6,'Job Master'!$F$12:$I$102,4,0)-1),""),"")</f>
        <v/>
      </c>
      <c r="AQ90" s="73"/>
      <c r="AR90" s="123" t="str">
        <f t="shared" si="147"/>
        <v/>
      </c>
      <c r="AS90" s="123" t="str">
        <f t="shared" si="148"/>
        <v/>
      </c>
      <c r="AT90" s="97" t="str">
        <f t="shared" ca="1" si="149"/>
        <v/>
      </c>
      <c r="AU90" s="98" t="str">
        <f>IF(AW90&lt;&gt;"",VLOOKUP($P90&amp;" | "&amp;AU$6,'Job Master'!$F$12:$J$102,5,0),"")</f>
        <v/>
      </c>
      <c r="AV90" s="19" t="str">
        <f>IF(AW90&lt;&gt;"",VLOOKUP($P90&amp;" | "&amp;AU$6,'Job Master'!$F$12:$J$102,3,0),"")</f>
        <v/>
      </c>
      <c r="AW90" s="19" t="str">
        <f>IFERROR(IF(AND(BD90&lt;&gt;"",VLOOKUP($P90&amp;" | "&amp;AU$6,'Job Master'!$F$12:$I$102,4,0)&lt;&gt;""),IF(WEEKDAY(BD90-VLOOKUP($P90&amp;" | "&amp;AU$6,'Job Master'!$F$12:$I$102,4,0))&lt;&gt;7,BD90-VLOOKUP($P90&amp;" | "&amp;AU$6,'Job Master'!$F$12:$I$102,4,0),BD90-VLOOKUP($P90&amp;" | "&amp;AU$6,'Job Master'!$F$12:$I$102,4,0)-1),""),"")</f>
        <v/>
      </c>
      <c r="AX90" s="73"/>
      <c r="AY90" s="123" t="str">
        <f t="shared" si="150"/>
        <v/>
      </c>
      <c r="AZ90" s="123" t="str">
        <f t="shared" si="151"/>
        <v/>
      </c>
      <c r="BA90" s="97" t="str">
        <f t="shared" ca="1" si="152"/>
        <v/>
      </c>
      <c r="BB90" s="98" t="str">
        <f>IF(BD90&lt;&gt;"",VLOOKUP($P90&amp;" | "&amp;BB$6,'Job Master'!$F$12:$J$102,5,0),"")</f>
        <v/>
      </c>
      <c r="BC90" s="19" t="str">
        <f>IF(BD90&lt;&gt;"",VLOOKUP($P90&amp;" | "&amp;BB$6,'Job Master'!$F$12:$J$102,3,0),"")</f>
        <v/>
      </c>
      <c r="BD90" s="19" t="str">
        <f>IFERROR(IF(AND(BK90&lt;&gt;"",VLOOKUP($P90&amp;" | "&amp;BB$6,'Job Master'!$F$12:$I$102,4,0)&lt;&gt;""),IF(WEEKDAY(BK90-VLOOKUP($P90&amp;" | "&amp;BB$6,'Job Master'!$F$12:$I$102,4,0))&lt;&gt;7,BK90-VLOOKUP($P90&amp;" | "&amp;BB$6,'Job Master'!$F$12:$I$102,4,0),BK90-VLOOKUP($P90&amp;" | "&amp;BB$6,'Job Master'!$F$12:$I$102,4,0)-1),""),"")</f>
        <v/>
      </c>
      <c r="BE90" s="73"/>
      <c r="BF90" s="123" t="str">
        <f t="shared" si="153"/>
        <v/>
      </c>
      <c r="BG90" s="123" t="str">
        <f t="shared" si="154"/>
        <v/>
      </c>
      <c r="BH90" s="97" t="str">
        <f t="shared" ca="1" si="155"/>
        <v/>
      </c>
      <c r="BI90" s="98" t="str">
        <f>IF(BK90&lt;&gt;"",VLOOKUP($P90&amp;" | "&amp;BI$6,'Job Master'!$F$12:$J$102,5,0),"")</f>
        <v/>
      </c>
      <c r="BJ90" s="19" t="str">
        <f>IF(BK90&lt;&gt;"",VLOOKUP($P90&amp;" | "&amp;BI$6,'Job Master'!$F$12:$J$102,3,0),"")</f>
        <v/>
      </c>
      <c r="BK90" s="19" t="str">
        <f>IFERROR(IF(AND(BR90&lt;&gt;"",VLOOKUP($P90&amp;" | "&amp;BI$6,'Job Master'!$F$12:$I$102,4,0)&lt;&gt;""),IF(WEEKDAY(BR90-VLOOKUP($P90&amp;" | "&amp;BI$6,'Job Master'!$F$12:$I$102,4,0))&lt;&gt;7,BR90-VLOOKUP($P90&amp;" | "&amp;BI$6,'Job Master'!$F$12:$I$102,4,0),BR90-VLOOKUP($P90&amp;" | "&amp;BI$6,'Job Master'!$F$12:$I$102,4,0)-1),""),"")</f>
        <v/>
      </c>
      <c r="BL90" s="73"/>
      <c r="BM90" s="123" t="str">
        <f t="shared" si="156"/>
        <v/>
      </c>
      <c r="BN90" s="123" t="str">
        <f t="shared" si="157"/>
        <v/>
      </c>
      <c r="BO90" s="97" t="str">
        <f t="shared" ca="1" si="158"/>
        <v/>
      </c>
      <c r="BP90" s="98" t="str">
        <f>IF(BR90&lt;&gt;"",VLOOKUP($P90&amp;" | "&amp;BP$6,'Job Master'!$F$12:$J$102,5,0),"")</f>
        <v/>
      </c>
      <c r="BQ90" s="19" t="str">
        <f>IF(BR90&lt;&gt;"",VLOOKUP($P90&amp;" | "&amp;BP$6,'Job Master'!$F$12:$J$102,3,0),"")</f>
        <v/>
      </c>
      <c r="BR90" s="19" t="str">
        <f>IFERROR(IF(AND(BY90&lt;&gt;"",VLOOKUP($P90&amp;" | "&amp;BP$6,'Job Master'!$F$12:$I$102,4,0)&lt;&gt;""),IF(WEEKDAY(BY90-VLOOKUP($P90&amp;" | "&amp;BP$6,'Job Master'!$F$12:$I$102,4,0))&lt;&gt;7,BY90-VLOOKUP($P90&amp;" | "&amp;BP$6,'Job Master'!$F$12:$I$102,4,0),BY90-VLOOKUP($P90&amp;" | "&amp;BP$6,'Job Master'!$F$12:$I$102,4,0)-1),""),"")</f>
        <v/>
      </c>
      <c r="BS90" s="73"/>
      <c r="BT90" s="123" t="str">
        <f t="shared" si="159"/>
        <v/>
      </c>
      <c r="BU90" s="123" t="str">
        <f t="shared" si="160"/>
        <v/>
      </c>
      <c r="BV90" s="97" t="str">
        <f t="shared" ca="1" si="161"/>
        <v/>
      </c>
      <c r="BW90" s="98" t="str">
        <f>IF(BY90&lt;&gt;"",VLOOKUP($P90&amp;" | "&amp;BW$6,'Job Master'!$F$12:$J$102,5,0),"")</f>
        <v/>
      </c>
      <c r="BX90" s="19" t="str">
        <f>IF(BY90&lt;&gt;"",VLOOKUP($P90&amp;" | "&amp;BW$6,'Job Master'!$F$12:$J$102,3,0),"")</f>
        <v/>
      </c>
      <c r="BY90" s="19" t="str">
        <f>IFERROR(IF(AND(CF90&lt;&gt;"",VLOOKUP($P90&amp;" | "&amp;BW$6,'Job Master'!$F$12:$I$102,4,0)&lt;&gt;""),IF(WEEKDAY(CF90-VLOOKUP($P90&amp;" | "&amp;BW$6,'Job Master'!$F$12:$I$102,4,0))&lt;&gt;7,CF90-VLOOKUP($P90&amp;" | "&amp;BW$6,'Job Master'!$F$12:$I$102,4,0),CF90-VLOOKUP($P90&amp;" | "&amp;BW$6,'Job Master'!$F$12:$I$102,4,0)-1),""),"")</f>
        <v/>
      </c>
      <c r="BZ90" s="73"/>
      <c r="CA90" s="123" t="str">
        <f t="shared" si="162"/>
        <v/>
      </c>
      <c r="CB90" s="123" t="str">
        <f t="shared" si="163"/>
        <v/>
      </c>
      <c r="CC90" s="97" t="str">
        <f t="shared" ca="1" si="164"/>
        <v/>
      </c>
      <c r="CD90" s="98" t="str">
        <f>IF(CF90&lt;&gt;"",VLOOKUP($P90&amp;" | "&amp;CD$6,'Job Master'!$F$12:$J$102,5,0),"")</f>
        <v/>
      </c>
      <c r="CE90" s="19" t="str">
        <f>IF(CF90&lt;&gt;"",VLOOKUP($P90&amp;" | "&amp;CD$6,'Job Master'!$F$12:$J$102,3,0),"")</f>
        <v/>
      </c>
      <c r="CF90" s="19" t="str">
        <f>IFERROR(IF(AND(CM90&lt;&gt;"",VLOOKUP($P90&amp;" | "&amp;CD$6,'Job Master'!$F$12:$I$102,4,0)&lt;&gt;""),IF(WEEKDAY(CM90-VLOOKUP($P90&amp;" | "&amp;CD$6,'Job Master'!$F$12:$I$102,4,0))&lt;&gt;7,CM90-VLOOKUP($P90&amp;" | "&amp;CD$6,'Job Master'!$F$12:$I$102,4,0),CM90-VLOOKUP($P90&amp;" | "&amp;CD$6,'Job Master'!$F$12:$I$102,4,0)-1),""),"")</f>
        <v/>
      </c>
      <c r="CG90" s="73"/>
      <c r="CH90" s="123" t="str">
        <f t="shared" si="165"/>
        <v/>
      </c>
      <c r="CI90" s="123" t="str">
        <f t="shared" si="166"/>
        <v/>
      </c>
      <c r="CJ90" s="97" t="str">
        <f t="shared" ca="1" si="167"/>
        <v/>
      </c>
      <c r="CK90" s="98" t="str">
        <f>IF(CM90&lt;&gt;"",VLOOKUP($P90&amp;" | "&amp;CK$6,'Job Master'!$F$12:$J$102,5,0),"")</f>
        <v/>
      </c>
      <c r="CL90" s="19" t="str">
        <f>IF(CM90&lt;&gt;"",VLOOKUP($P90&amp;" | "&amp;CK$6,'Job Master'!$F$12:$J$102,3,0),"")</f>
        <v/>
      </c>
      <c r="CM90" s="19" t="str">
        <f>IFERROR(IF(AND(CT90&lt;&gt;"",VLOOKUP($P90&amp;" | "&amp;CK$6,'Job Master'!$F$12:$I$102,4,0)&lt;&gt;""),IF(WEEKDAY(CT90-VLOOKUP($P90&amp;" | "&amp;CK$6,'Job Master'!$F$12:$I$102,4,0))&lt;&gt;7,CT90-VLOOKUP($P90&amp;" | "&amp;CK$6,'Job Master'!$F$12:$I$102,4,0),CT90-VLOOKUP($P90&amp;" | "&amp;CK$6,'Job Master'!$F$12:$I$102,4,0)-1),""),"")</f>
        <v/>
      </c>
      <c r="CN90" s="73"/>
      <c r="CO90" s="123" t="str">
        <f t="shared" si="168"/>
        <v/>
      </c>
      <c r="CP90" s="123" t="str">
        <f t="shared" si="169"/>
        <v/>
      </c>
      <c r="CQ90" s="97" t="str">
        <f t="shared" ca="1" si="170"/>
        <v/>
      </c>
      <c r="CR90" s="98" t="str">
        <f>IF(CT90&lt;&gt;"",VLOOKUP($P90&amp;" | "&amp;CR$6,'Job Master'!$F$12:$J$102,5,0),"")</f>
        <v/>
      </c>
      <c r="CS90" s="19" t="str">
        <f>IF(CT90&lt;&gt;"",VLOOKUP($P90&amp;" | "&amp;CR$6,'Job Master'!$F$12:$J$102,3,0),"")</f>
        <v/>
      </c>
      <c r="CT90" s="19" t="str">
        <f>IFERROR(IF(AND(DA90&lt;&gt;"",VLOOKUP($P90&amp;" | "&amp;CR$6,'Job Master'!$F$12:$I$102,4,0)&lt;&gt;""),IF(WEEKDAY(DA90-VLOOKUP($P90&amp;" | "&amp;CR$6,'Job Master'!$F$12:$I$102,4,0))&lt;&gt;7,DA90-VLOOKUP($P90&amp;" | "&amp;CR$6,'Job Master'!$F$12:$I$102,4,0),DA90-VLOOKUP($P90&amp;" | "&amp;CR$6,'Job Master'!$F$12:$I$102,4,0)-1),""),"")</f>
        <v/>
      </c>
      <c r="CU90" s="73"/>
      <c r="CV90" s="123" t="str">
        <f t="shared" si="171"/>
        <v/>
      </c>
      <c r="CW90" s="123" t="str">
        <f t="shared" si="172"/>
        <v/>
      </c>
      <c r="CX90" s="97" t="str">
        <f t="shared" ca="1" si="173"/>
        <v/>
      </c>
      <c r="CY90" s="98" t="str">
        <f>IF(DA90&lt;&gt;"",VLOOKUP($P90&amp;" | "&amp;CY$6,'Job Master'!$F$12:$J$102,5,0),"")</f>
        <v/>
      </c>
      <c r="CZ90" s="19" t="str">
        <f>IF(DA90&lt;&gt;"",VLOOKUP($P90&amp;" | "&amp;CY$6,'Job Master'!$F$12:$J$102,3,0),"")</f>
        <v/>
      </c>
      <c r="DA90" s="19" t="str">
        <f>IFERROR(IF(AND(DH90&lt;&gt;"",VLOOKUP($P90&amp;" | "&amp;CY$6,'Job Master'!$F$12:$I$102,4,0)&lt;&gt;""),IF(WEEKDAY(DH90-VLOOKUP($P90&amp;" | "&amp;CY$6,'Job Master'!$F$12:$I$102,4,0))&lt;&gt;7,DH90-VLOOKUP($P90&amp;" | "&amp;CY$6,'Job Master'!$F$12:$I$102,4,0),DH90-VLOOKUP($P90&amp;" | "&amp;CY$6,'Job Master'!$F$12:$I$102,4,0)-1),""),"")</f>
        <v/>
      </c>
      <c r="DB90" s="73"/>
      <c r="DC90" s="123" t="str">
        <f t="shared" si="174"/>
        <v/>
      </c>
      <c r="DD90" s="123" t="str">
        <f t="shared" si="175"/>
        <v/>
      </c>
      <c r="DE90" s="97" t="str">
        <f t="shared" ca="1" si="176"/>
        <v/>
      </c>
      <c r="DF90" s="98" t="str">
        <f>IF(DH90&lt;&gt;"",VLOOKUP($P90&amp;" | "&amp;DF$6,'Job Master'!$F$12:$J$102,5,0),"")</f>
        <v/>
      </c>
      <c r="DG90" s="19" t="str">
        <f>IF(DH90&lt;&gt;"",VLOOKUP($P90&amp;" | "&amp;DF$6,'Job Master'!$F$12:$J$102,3,0),"")</f>
        <v/>
      </c>
      <c r="DH90" s="19" t="str">
        <f>IFERROR(IF(AND(DO90&lt;&gt;"",VLOOKUP($P90&amp;" | "&amp;DF$6,'Job Master'!$F$12:$I$102,4,0)&lt;&gt;""),IF(WEEKDAY(DO90-VLOOKUP($P90&amp;" | "&amp;DF$6,'Job Master'!$F$12:$I$102,4,0))&lt;&gt;7,DO90-VLOOKUP($P90&amp;" | "&amp;DF$6,'Job Master'!$F$12:$I$102,4,0),DO90-VLOOKUP($P90&amp;" | "&amp;DF$6,'Job Master'!$F$12:$I$102,4,0)-1),""),"")</f>
        <v/>
      </c>
      <c r="DI90" s="73"/>
      <c r="DJ90" s="123" t="str">
        <f t="shared" si="177"/>
        <v/>
      </c>
      <c r="DK90" s="123" t="str">
        <f t="shared" si="178"/>
        <v/>
      </c>
      <c r="DL90" s="97" t="str">
        <f t="shared" ca="1" si="179"/>
        <v/>
      </c>
      <c r="DM90" s="98" t="str">
        <f>IF(DO90&lt;&gt;"",VLOOKUP($P90&amp;" | "&amp;DM$6,'Job Master'!$F$12:$J$102,5,0),"")</f>
        <v/>
      </c>
      <c r="DN90" s="19" t="str">
        <f>IF(DO90&lt;&gt;"",VLOOKUP($P90&amp;" | "&amp;DM$6,'Job Master'!$F$12:$J$102,3,0),"")</f>
        <v/>
      </c>
      <c r="DO90" s="19" t="str">
        <f>IFERROR(IF(AND(DT90&lt;&gt;"",VLOOKUP($P90&amp;" | "&amp;DM$6,'Job Master'!$F$12:$I$102,4,0)&lt;&gt;""),IF(WEEKDAY(DT90-VLOOKUP($P90&amp;" | "&amp;DM$6,'Job Master'!$F$12:$I$102,4,0))&lt;&gt;7,DT90-VLOOKUP($P90&amp;" | "&amp;DM$6,'Job Master'!$F$12:$I$102,4,0),DT90-VLOOKUP($P90&amp;" | "&amp;DM$6,'Job Master'!$F$12:$I$102,4,0)-1),""),"")</f>
        <v/>
      </c>
      <c r="DP90" s="73"/>
      <c r="DQ90" s="123" t="str">
        <f t="shared" si="180"/>
        <v/>
      </c>
      <c r="DR90" s="123" t="str">
        <f t="shared" si="181"/>
        <v/>
      </c>
      <c r="DS90" s="97" t="str">
        <f t="shared" ca="1" si="182"/>
        <v/>
      </c>
      <c r="DT90" s="70" t="str">
        <f t="shared" si="183"/>
        <v/>
      </c>
      <c r="DU90" s="90"/>
      <c r="DV90" s="123" t="str">
        <f t="shared" si="184"/>
        <v/>
      </c>
      <c r="DW90" s="123" t="str">
        <f t="shared" si="185"/>
        <v/>
      </c>
      <c r="DX90" s="132" t="str">
        <f t="shared" ref="DX90" ca="1" si="213">IF(DT90&lt;&gt;"",IF(WEEKNUM(DT90)=WEEKNUM(TODAY()),"This Week",IF(WEEKNUM(DT90)=WEEKNUM(TODAY())+1,"Next Week",IF(WEEKNUM(DT90)=WEEKNUM(TODAY())-1,"Previous Week",""))),"")</f>
        <v/>
      </c>
      <c r="DY90" s="134" t="str">
        <f t="shared" si="187"/>
        <v/>
      </c>
      <c r="DZ90" s="95"/>
      <c r="EB90" s="8" t="str">
        <f t="shared" si="193"/>
        <v/>
      </c>
      <c r="EC90" s="8" t="str">
        <f>IF(O90&lt;&gt;"",VLOOKUP(O90,'Job Master'!$N$12:$O$18,2,0),"")</f>
        <v/>
      </c>
      <c r="ED90" s="8">
        <f t="shared" si="194"/>
        <v>19.5</v>
      </c>
      <c r="EE90" s="8">
        <f t="shared" si="195"/>
        <v>6</v>
      </c>
      <c r="EF90" s="8">
        <f t="shared" si="196"/>
        <v>-460.5</v>
      </c>
      <c r="EG90" s="8" t="str">
        <f t="shared" si="197"/>
        <v/>
      </c>
      <c r="EH90" s="8" t="str">
        <f t="shared" si="198"/>
        <v/>
      </c>
    </row>
    <row r="91" spans="2:138" x14ac:dyDescent="0.3">
      <c r="B91" s="112"/>
      <c r="C91" s="27"/>
      <c r="D91" s="7" t="str">
        <f t="shared" si="135"/>
        <v/>
      </c>
      <c r="E91" s="25"/>
      <c r="F91" s="7" t="str">
        <f t="shared" si="135"/>
        <v/>
      </c>
      <c r="G91" s="25"/>
      <c r="H91" s="7" t="str">
        <f t="shared" si="135"/>
        <v/>
      </c>
      <c r="I91" s="25"/>
      <c r="J91" s="7" t="str">
        <f t="shared" si="135"/>
        <v/>
      </c>
      <c r="K91" s="25"/>
      <c r="L91" s="7" t="str">
        <f t="shared" si="136"/>
        <v/>
      </c>
      <c r="M91" s="25"/>
      <c r="N91" s="7" t="str">
        <f t="shared" si="137"/>
        <v/>
      </c>
      <c r="O91" s="81"/>
      <c r="P91" s="81" t="str">
        <f t="shared" si="138"/>
        <v/>
      </c>
      <c r="Q91" s="81"/>
      <c r="R91" s="7" t="str">
        <f t="shared" si="139"/>
        <v/>
      </c>
      <c r="S91" s="25"/>
      <c r="T91" s="7" t="str">
        <f t="shared" si="140"/>
        <v/>
      </c>
      <c r="U91" s="25"/>
      <c r="V91" s="7" t="str">
        <f t="shared" si="141"/>
        <v/>
      </c>
      <c r="W91" s="25"/>
      <c r="X91" s="7" t="str">
        <f t="shared" si="142"/>
        <v/>
      </c>
      <c r="Y91" s="18" t="str">
        <f t="shared" si="143"/>
        <v/>
      </c>
      <c r="Z91" s="7" t="str">
        <f t="shared" si="144"/>
        <v/>
      </c>
      <c r="AA91" s="18" t="str">
        <f t="shared" si="145"/>
        <v/>
      </c>
      <c r="AB91" s="19" t="str">
        <f t="shared" si="146"/>
        <v/>
      </c>
      <c r="AC91" s="26"/>
      <c r="AD91" s="26"/>
      <c r="AE91" s="25"/>
      <c r="AF91" s="26"/>
      <c r="AG91" s="25"/>
      <c r="AH91" s="25"/>
      <c r="AI91" s="18" t="str">
        <f t="shared" si="209"/>
        <v/>
      </c>
      <c r="AJ91" s="25"/>
      <c r="AK91" s="18" t="str">
        <f t="shared" si="210"/>
        <v/>
      </c>
      <c r="AL91" s="79"/>
      <c r="AM91" s="126" t="str">
        <f t="shared" si="211"/>
        <v/>
      </c>
      <c r="AN91" s="128" t="str">
        <f>IF(AP91&lt;&gt;"",VLOOKUP($P91&amp;" | "&amp;AN$6,'Job Master'!$F$12:$J$102,5,0),"")</f>
        <v/>
      </c>
      <c r="AO91" s="19" t="str">
        <f>IF(AP91&lt;&gt;"",VLOOKUP($P91&amp;" | "&amp;AN$6,'Job Master'!$F$12:$J$102,3,0),"")</f>
        <v/>
      </c>
      <c r="AP91" s="19" t="str">
        <f>IFERROR(IF(AND(AW91&lt;&gt;"",VLOOKUP($P91&amp;" | "&amp;AN$6,'Job Master'!$F$12:$I$102,4,0)&lt;&gt;""),IF(WEEKDAY(AW91-VLOOKUP($P91&amp;" | "&amp;AN$6,'Job Master'!$F$12:$I$102,4,0))&lt;&gt;7,AW91-VLOOKUP($P91&amp;" | "&amp;AN$6,'Job Master'!$F$12:$I$102,4,0),AW91-VLOOKUP($P91&amp;" | "&amp;AN$6,'Job Master'!$F$12:$I$102,4,0)-1),""),"")</f>
        <v/>
      </c>
      <c r="AQ91" s="73"/>
      <c r="AR91" s="123" t="str">
        <f t="shared" si="147"/>
        <v/>
      </c>
      <c r="AS91" s="123" t="str">
        <f t="shared" si="148"/>
        <v/>
      </c>
      <c r="AT91" s="97" t="str">
        <f t="shared" ca="1" si="149"/>
        <v/>
      </c>
      <c r="AU91" s="98" t="str">
        <f>IF(AW91&lt;&gt;"",VLOOKUP($P91&amp;" | "&amp;AU$6,'Job Master'!$F$12:$J$102,5,0),"")</f>
        <v/>
      </c>
      <c r="AV91" s="19" t="str">
        <f>IF(AW91&lt;&gt;"",VLOOKUP($P91&amp;" | "&amp;AU$6,'Job Master'!$F$12:$J$102,3,0),"")</f>
        <v/>
      </c>
      <c r="AW91" s="19" t="str">
        <f>IFERROR(IF(AND(BD91&lt;&gt;"",VLOOKUP($P91&amp;" | "&amp;AU$6,'Job Master'!$F$12:$I$102,4,0)&lt;&gt;""),IF(WEEKDAY(BD91-VLOOKUP($P91&amp;" | "&amp;AU$6,'Job Master'!$F$12:$I$102,4,0))&lt;&gt;7,BD91-VLOOKUP($P91&amp;" | "&amp;AU$6,'Job Master'!$F$12:$I$102,4,0),BD91-VLOOKUP($P91&amp;" | "&amp;AU$6,'Job Master'!$F$12:$I$102,4,0)-1),""),"")</f>
        <v/>
      </c>
      <c r="AX91" s="73"/>
      <c r="AY91" s="123" t="str">
        <f t="shared" si="150"/>
        <v/>
      </c>
      <c r="AZ91" s="123" t="str">
        <f t="shared" si="151"/>
        <v/>
      </c>
      <c r="BA91" s="97" t="str">
        <f t="shared" ca="1" si="152"/>
        <v/>
      </c>
      <c r="BB91" s="98" t="str">
        <f>IF(BD91&lt;&gt;"",VLOOKUP($P91&amp;" | "&amp;BB$6,'Job Master'!$F$12:$J$102,5,0),"")</f>
        <v/>
      </c>
      <c r="BC91" s="19" t="str">
        <f>IF(BD91&lt;&gt;"",VLOOKUP($P91&amp;" | "&amp;BB$6,'Job Master'!$F$12:$J$102,3,0),"")</f>
        <v/>
      </c>
      <c r="BD91" s="19" t="str">
        <f>IFERROR(IF(AND(BK91&lt;&gt;"",VLOOKUP($P91&amp;" | "&amp;BB$6,'Job Master'!$F$12:$I$102,4,0)&lt;&gt;""),IF(WEEKDAY(BK91-VLOOKUP($P91&amp;" | "&amp;BB$6,'Job Master'!$F$12:$I$102,4,0))&lt;&gt;7,BK91-VLOOKUP($P91&amp;" | "&amp;BB$6,'Job Master'!$F$12:$I$102,4,0),BK91-VLOOKUP($P91&amp;" | "&amp;BB$6,'Job Master'!$F$12:$I$102,4,0)-1),""),"")</f>
        <v/>
      </c>
      <c r="BE91" s="73"/>
      <c r="BF91" s="123" t="str">
        <f t="shared" si="153"/>
        <v/>
      </c>
      <c r="BG91" s="123" t="str">
        <f t="shared" si="154"/>
        <v/>
      </c>
      <c r="BH91" s="97" t="str">
        <f t="shared" ca="1" si="155"/>
        <v/>
      </c>
      <c r="BI91" s="98" t="str">
        <f>IF(BK91&lt;&gt;"",VLOOKUP($P91&amp;" | "&amp;BI$6,'Job Master'!$F$12:$J$102,5,0),"")</f>
        <v/>
      </c>
      <c r="BJ91" s="19" t="str">
        <f>IF(BK91&lt;&gt;"",VLOOKUP($P91&amp;" | "&amp;BI$6,'Job Master'!$F$12:$J$102,3,0),"")</f>
        <v/>
      </c>
      <c r="BK91" s="19" t="str">
        <f>IFERROR(IF(AND(BR91&lt;&gt;"",VLOOKUP($P91&amp;" | "&amp;BI$6,'Job Master'!$F$12:$I$102,4,0)&lt;&gt;""),IF(WEEKDAY(BR91-VLOOKUP($P91&amp;" | "&amp;BI$6,'Job Master'!$F$12:$I$102,4,0))&lt;&gt;7,BR91-VLOOKUP($P91&amp;" | "&amp;BI$6,'Job Master'!$F$12:$I$102,4,0),BR91-VLOOKUP($P91&amp;" | "&amp;BI$6,'Job Master'!$F$12:$I$102,4,0)-1),""),"")</f>
        <v/>
      </c>
      <c r="BL91" s="73"/>
      <c r="BM91" s="123" t="str">
        <f t="shared" si="156"/>
        <v/>
      </c>
      <c r="BN91" s="123" t="str">
        <f t="shared" si="157"/>
        <v/>
      </c>
      <c r="BO91" s="97" t="str">
        <f t="shared" ca="1" si="158"/>
        <v/>
      </c>
      <c r="BP91" s="98" t="str">
        <f>IF(BR91&lt;&gt;"",VLOOKUP($P91&amp;" | "&amp;BP$6,'Job Master'!$F$12:$J$102,5,0),"")</f>
        <v/>
      </c>
      <c r="BQ91" s="19" t="str">
        <f>IF(BR91&lt;&gt;"",VLOOKUP($P91&amp;" | "&amp;BP$6,'Job Master'!$F$12:$J$102,3,0),"")</f>
        <v/>
      </c>
      <c r="BR91" s="19" t="str">
        <f>IFERROR(IF(AND(BY91&lt;&gt;"",VLOOKUP($P91&amp;" | "&amp;BP$6,'Job Master'!$F$12:$I$102,4,0)&lt;&gt;""),IF(WEEKDAY(BY91-VLOOKUP($P91&amp;" | "&amp;BP$6,'Job Master'!$F$12:$I$102,4,0))&lt;&gt;7,BY91-VLOOKUP($P91&amp;" | "&amp;BP$6,'Job Master'!$F$12:$I$102,4,0),BY91-VLOOKUP($P91&amp;" | "&amp;BP$6,'Job Master'!$F$12:$I$102,4,0)-1),""),"")</f>
        <v/>
      </c>
      <c r="BS91" s="73"/>
      <c r="BT91" s="123" t="str">
        <f t="shared" si="159"/>
        <v/>
      </c>
      <c r="BU91" s="123" t="str">
        <f t="shared" si="160"/>
        <v/>
      </c>
      <c r="BV91" s="97" t="str">
        <f t="shared" ca="1" si="161"/>
        <v/>
      </c>
      <c r="BW91" s="98" t="str">
        <f>IF(BY91&lt;&gt;"",VLOOKUP($P91&amp;" | "&amp;BW$6,'Job Master'!$F$12:$J$102,5,0),"")</f>
        <v/>
      </c>
      <c r="BX91" s="19" t="str">
        <f>IF(BY91&lt;&gt;"",VLOOKUP($P91&amp;" | "&amp;BW$6,'Job Master'!$F$12:$J$102,3,0),"")</f>
        <v/>
      </c>
      <c r="BY91" s="19" t="str">
        <f>IFERROR(IF(AND(CF91&lt;&gt;"",VLOOKUP($P91&amp;" | "&amp;BW$6,'Job Master'!$F$12:$I$102,4,0)&lt;&gt;""),IF(WEEKDAY(CF91-VLOOKUP($P91&amp;" | "&amp;BW$6,'Job Master'!$F$12:$I$102,4,0))&lt;&gt;7,CF91-VLOOKUP($P91&amp;" | "&amp;BW$6,'Job Master'!$F$12:$I$102,4,0),CF91-VLOOKUP($P91&amp;" | "&amp;BW$6,'Job Master'!$F$12:$I$102,4,0)-1),""),"")</f>
        <v/>
      </c>
      <c r="BZ91" s="73"/>
      <c r="CA91" s="123" t="str">
        <f t="shared" si="162"/>
        <v/>
      </c>
      <c r="CB91" s="123" t="str">
        <f t="shared" si="163"/>
        <v/>
      </c>
      <c r="CC91" s="97" t="str">
        <f t="shared" ca="1" si="164"/>
        <v/>
      </c>
      <c r="CD91" s="98" t="str">
        <f>IF(CF91&lt;&gt;"",VLOOKUP($P91&amp;" | "&amp;CD$6,'Job Master'!$F$12:$J$102,5,0),"")</f>
        <v/>
      </c>
      <c r="CE91" s="19" t="str">
        <f>IF(CF91&lt;&gt;"",VLOOKUP($P91&amp;" | "&amp;CD$6,'Job Master'!$F$12:$J$102,3,0),"")</f>
        <v/>
      </c>
      <c r="CF91" s="19" t="str">
        <f>IFERROR(IF(AND(CM91&lt;&gt;"",VLOOKUP($P91&amp;" | "&amp;CD$6,'Job Master'!$F$12:$I$102,4,0)&lt;&gt;""),IF(WEEKDAY(CM91-VLOOKUP($P91&amp;" | "&amp;CD$6,'Job Master'!$F$12:$I$102,4,0))&lt;&gt;7,CM91-VLOOKUP($P91&amp;" | "&amp;CD$6,'Job Master'!$F$12:$I$102,4,0),CM91-VLOOKUP($P91&amp;" | "&amp;CD$6,'Job Master'!$F$12:$I$102,4,0)-1),""),"")</f>
        <v/>
      </c>
      <c r="CG91" s="73"/>
      <c r="CH91" s="123" t="str">
        <f t="shared" si="165"/>
        <v/>
      </c>
      <c r="CI91" s="123" t="str">
        <f t="shared" si="166"/>
        <v/>
      </c>
      <c r="CJ91" s="97" t="str">
        <f t="shared" ca="1" si="167"/>
        <v/>
      </c>
      <c r="CK91" s="98" t="str">
        <f>IF(CM91&lt;&gt;"",VLOOKUP($P91&amp;" | "&amp;CK$6,'Job Master'!$F$12:$J$102,5,0),"")</f>
        <v/>
      </c>
      <c r="CL91" s="19" t="str">
        <f>IF(CM91&lt;&gt;"",VLOOKUP($P91&amp;" | "&amp;CK$6,'Job Master'!$F$12:$J$102,3,0),"")</f>
        <v/>
      </c>
      <c r="CM91" s="19" t="str">
        <f>IFERROR(IF(AND(CT91&lt;&gt;"",VLOOKUP($P91&amp;" | "&amp;CK$6,'Job Master'!$F$12:$I$102,4,0)&lt;&gt;""),IF(WEEKDAY(CT91-VLOOKUP($P91&amp;" | "&amp;CK$6,'Job Master'!$F$12:$I$102,4,0))&lt;&gt;7,CT91-VLOOKUP($P91&amp;" | "&amp;CK$6,'Job Master'!$F$12:$I$102,4,0),CT91-VLOOKUP($P91&amp;" | "&amp;CK$6,'Job Master'!$F$12:$I$102,4,0)-1),""),"")</f>
        <v/>
      </c>
      <c r="CN91" s="73"/>
      <c r="CO91" s="123" t="str">
        <f t="shared" si="168"/>
        <v/>
      </c>
      <c r="CP91" s="123" t="str">
        <f t="shared" si="169"/>
        <v/>
      </c>
      <c r="CQ91" s="97" t="str">
        <f t="shared" ca="1" si="170"/>
        <v/>
      </c>
      <c r="CR91" s="98" t="str">
        <f>IF(CT91&lt;&gt;"",VLOOKUP($P91&amp;" | "&amp;CR$6,'Job Master'!$F$12:$J$102,5,0),"")</f>
        <v/>
      </c>
      <c r="CS91" s="19" t="str">
        <f>IF(CT91&lt;&gt;"",VLOOKUP($P91&amp;" | "&amp;CR$6,'Job Master'!$F$12:$J$102,3,0),"")</f>
        <v/>
      </c>
      <c r="CT91" s="19" t="str">
        <f>IFERROR(IF(AND(DA91&lt;&gt;"",VLOOKUP($P91&amp;" | "&amp;CR$6,'Job Master'!$F$12:$I$102,4,0)&lt;&gt;""),IF(WEEKDAY(DA91-VLOOKUP($P91&amp;" | "&amp;CR$6,'Job Master'!$F$12:$I$102,4,0))&lt;&gt;7,DA91-VLOOKUP($P91&amp;" | "&amp;CR$6,'Job Master'!$F$12:$I$102,4,0),DA91-VLOOKUP($P91&amp;" | "&amp;CR$6,'Job Master'!$F$12:$I$102,4,0)-1),""),"")</f>
        <v/>
      </c>
      <c r="CU91" s="73"/>
      <c r="CV91" s="123" t="str">
        <f t="shared" si="171"/>
        <v/>
      </c>
      <c r="CW91" s="123" t="str">
        <f t="shared" si="172"/>
        <v/>
      </c>
      <c r="CX91" s="97" t="str">
        <f t="shared" ca="1" si="173"/>
        <v/>
      </c>
      <c r="CY91" s="98" t="str">
        <f>IF(DA91&lt;&gt;"",VLOOKUP($P91&amp;" | "&amp;CY$6,'Job Master'!$F$12:$J$102,5,0),"")</f>
        <v/>
      </c>
      <c r="CZ91" s="19" t="str">
        <f>IF(DA91&lt;&gt;"",VLOOKUP($P91&amp;" | "&amp;CY$6,'Job Master'!$F$12:$J$102,3,0),"")</f>
        <v/>
      </c>
      <c r="DA91" s="19" t="str">
        <f>IFERROR(IF(AND(DH91&lt;&gt;"",VLOOKUP($P91&amp;" | "&amp;CY$6,'Job Master'!$F$12:$I$102,4,0)&lt;&gt;""),IF(WEEKDAY(DH91-VLOOKUP($P91&amp;" | "&amp;CY$6,'Job Master'!$F$12:$I$102,4,0))&lt;&gt;7,DH91-VLOOKUP($P91&amp;" | "&amp;CY$6,'Job Master'!$F$12:$I$102,4,0),DH91-VLOOKUP($P91&amp;" | "&amp;CY$6,'Job Master'!$F$12:$I$102,4,0)-1),""),"")</f>
        <v/>
      </c>
      <c r="DB91" s="73"/>
      <c r="DC91" s="123" t="str">
        <f t="shared" si="174"/>
        <v/>
      </c>
      <c r="DD91" s="123" t="str">
        <f t="shared" si="175"/>
        <v/>
      </c>
      <c r="DE91" s="97" t="str">
        <f t="shared" ca="1" si="176"/>
        <v/>
      </c>
      <c r="DF91" s="98" t="str">
        <f>IF(DH91&lt;&gt;"",VLOOKUP($P91&amp;" | "&amp;DF$6,'Job Master'!$F$12:$J$102,5,0),"")</f>
        <v/>
      </c>
      <c r="DG91" s="19" t="str">
        <f>IF(DH91&lt;&gt;"",VLOOKUP($P91&amp;" | "&amp;DF$6,'Job Master'!$F$12:$J$102,3,0),"")</f>
        <v/>
      </c>
      <c r="DH91" s="19" t="str">
        <f>IFERROR(IF(AND(DO91&lt;&gt;"",VLOOKUP($P91&amp;" | "&amp;DF$6,'Job Master'!$F$12:$I$102,4,0)&lt;&gt;""),IF(WEEKDAY(DO91-VLOOKUP($P91&amp;" | "&amp;DF$6,'Job Master'!$F$12:$I$102,4,0))&lt;&gt;7,DO91-VLOOKUP($P91&amp;" | "&amp;DF$6,'Job Master'!$F$12:$I$102,4,0),DO91-VLOOKUP($P91&amp;" | "&amp;DF$6,'Job Master'!$F$12:$I$102,4,0)-1),""),"")</f>
        <v/>
      </c>
      <c r="DI91" s="73"/>
      <c r="DJ91" s="123" t="str">
        <f t="shared" si="177"/>
        <v/>
      </c>
      <c r="DK91" s="123" t="str">
        <f t="shared" si="178"/>
        <v/>
      </c>
      <c r="DL91" s="97" t="str">
        <f t="shared" ca="1" si="179"/>
        <v/>
      </c>
      <c r="DM91" s="98" t="str">
        <f>IF(DO91&lt;&gt;"",VLOOKUP($P91&amp;" | "&amp;DM$6,'Job Master'!$F$12:$J$102,5,0),"")</f>
        <v/>
      </c>
      <c r="DN91" s="19" t="str">
        <f>IF(DO91&lt;&gt;"",VLOOKUP($P91&amp;" | "&amp;DM$6,'Job Master'!$F$12:$J$102,3,0),"")</f>
        <v/>
      </c>
      <c r="DO91" s="19" t="str">
        <f>IFERROR(IF(AND(DT91&lt;&gt;"",VLOOKUP($P91&amp;" | "&amp;DM$6,'Job Master'!$F$12:$I$102,4,0)&lt;&gt;""),IF(WEEKDAY(DT91-VLOOKUP($P91&amp;" | "&amp;DM$6,'Job Master'!$F$12:$I$102,4,0))&lt;&gt;7,DT91-VLOOKUP($P91&amp;" | "&amp;DM$6,'Job Master'!$F$12:$I$102,4,0),DT91-VLOOKUP($P91&amp;" | "&amp;DM$6,'Job Master'!$F$12:$I$102,4,0)-1),""),"")</f>
        <v/>
      </c>
      <c r="DP91" s="73"/>
      <c r="DQ91" s="123" t="str">
        <f t="shared" si="180"/>
        <v/>
      </c>
      <c r="DR91" s="123" t="str">
        <f t="shared" si="181"/>
        <v/>
      </c>
      <c r="DS91" s="97" t="str">
        <f t="shared" ca="1" si="182"/>
        <v/>
      </c>
      <c r="DT91" s="70" t="str">
        <f t="shared" si="183"/>
        <v/>
      </c>
      <c r="DU91" s="90"/>
      <c r="DV91" s="123" t="str">
        <f t="shared" si="184"/>
        <v/>
      </c>
      <c r="DW91" s="123" t="str">
        <f t="shared" si="185"/>
        <v/>
      </c>
      <c r="DX91" s="132" t="str">
        <f t="shared" ref="DX91" ca="1" si="214">IF(DT91&lt;&gt;"",IF(WEEKNUM(DT91)=WEEKNUM(TODAY()),"This Week",IF(WEEKNUM(DT91)=WEEKNUM(TODAY())+1,"Next Week",IF(WEEKNUM(DT91)=WEEKNUM(TODAY())-1,"Previous Week",""))),"")</f>
        <v/>
      </c>
      <c r="DY91" s="134" t="str">
        <f t="shared" si="187"/>
        <v/>
      </c>
      <c r="DZ91" s="95"/>
      <c r="EB91" s="8" t="str">
        <f t="shared" si="193"/>
        <v/>
      </c>
      <c r="EC91" s="8" t="str">
        <f>IF(O91&lt;&gt;"",VLOOKUP(O91,'Job Master'!$N$12:$O$18,2,0),"")</f>
        <v/>
      </c>
      <c r="ED91" s="8">
        <f t="shared" si="194"/>
        <v>19.5</v>
      </c>
      <c r="EE91" s="8">
        <f t="shared" si="195"/>
        <v>6</v>
      </c>
      <c r="EF91" s="8">
        <f t="shared" si="196"/>
        <v>-466.5</v>
      </c>
      <c r="EG91" s="8" t="str">
        <f t="shared" si="197"/>
        <v/>
      </c>
      <c r="EH91" s="8" t="str">
        <f t="shared" si="198"/>
        <v/>
      </c>
    </row>
    <row r="92" spans="2:138" x14ac:dyDescent="0.3">
      <c r="B92" s="112"/>
      <c r="C92" s="27"/>
      <c r="D92" s="7" t="str">
        <f t="shared" si="135"/>
        <v/>
      </c>
      <c r="E92" s="25"/>
      <c r="F92" s="7" t="str">
        <f t="shared" si="135"/>
        <v/>
      </c>
      <c r="G92" s="25"/>
      <c r="H92" s="7" t="str">
        <f t="shared" si="135"/>
        <v/>
      </c>
      <c r="I92" s="25"/>
      <c r="J92" s="7" t="str">
        <f t="shared" si="135"/>
        <v/>
      </c>
      <c r="K92" s="25"/>
      <c r="L92" s="7" t="str">
        <f t="shared" si="136"/>
        <v/>
      </c>
      <c r="M92" s="25"/>
      <c r="N92" s="7" t="str">
        <f t="shared" si="137"/>
        <v/>
      </c>
      <c r="O92" s="81"/>
      <c r="P92" s="81" t="str">
        <f t="shared" si="138"/>
        <v/>
      </c>
      <c r="Q92" s="81"/>
      <c r="R92" s="7" t="str">
        <f t="shared" si="139"/>
        <v/>
      </c>
      <c r="S92" s="25"/>
      <c r="T92" s="7" t="str">
        <f t="shared" si="140"/>
        <v/>
      </c>
      <c r="U92" s="25"/>
      <c r="V92" s="7" t="str">
        <f t="shared" si="141"/>
        <v/>
      </c>
      <c r="W92" s="25"/>
      <c r="X92" s="7" t="str">
        <f t="shared" si="142"/>
        <v/>
      </c>
      <c r="Y92" s="18" t="str">
        <f t="shared" si="143"/>
        <v/>
      </c>
      <c r="Z92" s="7" t="str">
        <f t="shared" si="144"/>
        <v/>
      </c>
      <c r="AA92" s="18" t="str">
        <f t="shared" si="145"/>
        <v/>
      </c>
      <c r="AB92" s="19" t="str">
        <f t="shared" si="146"/>
        <v/>
      </c>
      <c r="AC92" s="26"/>
      <c r="AD92" s="26"/>
      <c r="AE92" s="25"/>
      <c r="AF92" s="26"/>
      <c r="AG92" s="25"/>
      <c r="AH92" s="25"/>
      <c r="AI92" s="18" t="str">
        <f t="shared" si="209"/>
        <v/>
      </c>
      <c r="AJ92" s="25"/>
      <c r="AK92" s="18" t="str">
        <f t="shared" si="210"/>
        <v/>
      </c>
      <c r="AL92" s="79"/>
      <c r="AM92" s="126" t="str">
        <f t="shared" si="211"/>
        <v/>
      </c>
      <c r="AN92" s="128" t="str">
        <f>IF(AP92&lt;&gt;"",VLOOKUP($P92&amp;" | "&amp;AN$6,'Job Master'!$F$12:$J$102,5,0),"")</f>
        <v/>
      </c>
      <c r="AO92" s="19" t="str">
        <f>IF(AP92&lt;&gt;"",VLOOKUP($P92&amp;" | "&amp;AN$6,'Job Master'!$F$12:$J$102,3,0),"")</f>
        <v/>
      </c>
      <c r="AP92" s="19" t="str">
        <f>IFERROR(IF(AND(AW92&lt;&gt;"",VLOOKUP($P92&amp;" | "&amp;AN$6,'Job Master'!$F$12:$I$102,4,0)&lt;&gt;""),IF(WEEKDAY(AW92-VLOOKUP($P92&amp;" | "&amp;AN$6,'Job Master'!$F$12:$I$102,4,0))&lt;&gt;7,AW92-VLOOKUP($P92&amp;" | "&amp;AN$6,'Job Master'!$F$12:$I$102,4,0),AW92-VLOOKUP($P92&amp;" | "&amp;AN$6,'Job Master'!$F$12:$I$102,4,0)-1),""),"")</f>
        <v/>
      </c>
      <c r="AQ92" s="73"/>
      <c r="AR92" s="123" t="str">
        <f t="shared" si="147"/>
        <v/>
      </c>
      <c r="AS92" s="123" t="str">
        <f t="shared" si="148"/>
        <v/>
      </c>
      <c r="AT92" s="97" t="str">
        <f t="shared" ca="1" si="149"/>
        <v/>
      </c>
      <c r="AU92" s="98" t="str">
        <f>IF(AW92&lt;&gt;"",VLOOKUP($P92&amp;" | "&amp;AU$6,'Job Master'!$F$12:$J$102,5,0),"")</f>
        <v/>
      </c>
      <c r="AV92" s="19" t="str">
        <f>IF(AW92&lt;&gt;"",VLOOKUP($P92&amp;" | "&amp;AU$6,'Job Master'!$F$12:$J$102,3,0),"")</f>
        <v/>
      </c>
      <c r="AW92" s="19" t="str">
        <f>IFERROR(IF(AND(BD92&lt;&gt;"",VLOOKUP($P92&amp;" | "&amp;AU$6,'Job Master'!$F$12:$I$102,4,0)&lt;&gt;""),IF(WEEKDAY(BD92-VLOOKUP($P92&amp;" | "&amp;AU$6,'Job Master'!$F$12:$I$102,4,0))&lt;&gt;7,BD92-VLOOKUP($P92&amp;" | "&amp;AU$6,'Job Master'!$F$12:$I$102,4,0),BD92-VLOOKUP($P92&amp;" | "&amp;AU$6,'Job Master'!$F$12:$I$102,4,0)-1),""),"")</f>
        <v/>
      </c>
      <c r="AX92" s="73"/>
      <c r="AY92" s="123" t="str">
        <f t="shared" si="150"/>
        <v/>
      </c>
      <c r="AZ92" s="123" t="str">
        <f t="shared" si="151"/>
        <v/>
      </c>
      <c r="BA92" s="97" t="str">
        <f t="shared" ca="1" si="152"/>
        <v/>
      </c>
      <c r="BB92" s="98" t="str">
        <f>IF(BD92&lt;&gt;"",VLOOKUP($P92&amp;" | "&amp;BB$6,'Job Master'!$F$12:$J$102,5,0),"")</f>
        <v/>
      </c>
      <c r="BC92" s="19" t="str">
        <f>IF(BD92&lt;&gt;"",VLOOKUP($P92&amp;" | "&amp;BB$6,'Job Master'!$F$12:$J$102,3,0),"")</f>
        <v/>
      </c>
      <c r="BD92" s="19" t="str">
        <f>IFERROR(IF(AND(BK92&lt;&gt;"",VLOOKUP($P92&amp;" | "&amp;BB$6,'Job Master'!$F$12:$I$102,4,0)&lt;&gt;""),IF(WEEKDAY(BK92-VLOOKUP($P92&amp;" | "&amp;BB$6,'Job Master'!$F$12:$I$102,4,0))&lt;&gt;7,BK92-VLOOKUP($P92&amp;" | "&amp;BB$6,'Job Master'!$F$12:$I$102,4,0),BK92-VLOOKUP($P92&amp;" | "&amp;BB$6,'Job Master'!$F$12:$I$102,4,0)-1),""),"")</f>
        <v/>
      </c>
      <c r="BE92" s="73"/>
      <c r="BF92" s="123" t="str">
        <f t="shared" si="153"/>
        <v/>
      </c>
      <c r="BG92" s="123" t="str">
        <f t="shared" si="154"/>
        <v/>
      </c>
      <c r="BH92" s="97" t="str">
        <f t="shared" ca="1" si="155"/>
        <v/>
      </c>
      <c r="BI92" s="98" t="str">
        <f>IF(BK92&lt;&gt;"",VLOOKUP($P92&amp;" | "&amp;BI$6,'Job Master'!$F$12:$J$102,5,0),"")</f>
        <v/>
      </c>
      <c r="BJ92" s="19" t="str">
        <f>IF(BK92&lt;&gt;"",VLOOKUP($P92&amp;" | "&amp;BI$6,'Job Master'!$F$12:$J$102,3,0),"")</f>
        <v/>
      </c>
      <c r="BK92" s="19" t="str">
        <f>IFERROR(IF(AND(BR92&lt;&gt;"",VLOOKUP($P92&amp;" | "&amp;BI$6,'Job Master'!$F$12:$I$102,4,0)&lt;&gt;""),IF(WEEKDAY(BR92-VLOOKUP($P92&amp;" | "&amp;BI$6,'Job Master'!$F$12:$I$102,4,0))&lt;&gt;7,BR92-VLOOKUP($P92&amp;" | "&amp;BI$6,'Job Master'!$F$12:$I$102,4,0),BR92-VLOOKUP($P92&amp;" | "&amp;BI$6,'Job Master'!$F$12:$I$102,4,0)-1),""),"")</f>
        <v/>
      </c>
      <c r="BL92" s="73"/>
      <c r="BM92" s="123" t="str">
        <f t="shared" si="156"/>
        <v/>
      </c>
      <c r="BN92" s="123" t="str">
        <f t="shared" si="157"/>
        <v/>
      </c>
      <c r="BO92" s="97" t="str">
        <f t="shared" ca="1" si="158"/>
        <v/>
      </c>
      <c r="BP92" s="98" t="str">
        <f>IF(BR92&lt;&gt;"",VLOOKUP($P92&amp;" | "&amp;BP$6,'Job Master'!$F$12:$J$102,5,0),"")</f>
        <v/>
      </c>
      <c r="BQ92" s="19" t="str">
        <f>IF(BR92&lt;&gt;"",VLOOKUP($P92&amp;" | "&amp;BP$6,'Job Master'!$F$12:$J$102,3,0),"")</f>
        <v/>
      </c>
      <c r="BR92" s="19" t="str">
        <f>IFERROR(IF(AND(BY92&lt;&gt;"",VLOOKUP($P92&amp;" | "&amp;BP$6,'Job Master'!$F$12:$I$102,4,0)&lt;&gt;""),IF(WEEKDAY(BY92-VLOOKUP($P92&amp;" | "&amp;BP$6,'Job Master'!$F$12:$I$102,4,0))&lt;&gt;7,BY92-VLOOKUP($P92&amp;" | "&amp;BP$6,'Job Master'!$F$12:$I$102,4,0),BY92-VLOOKUP($P92&amp;" | "&amp;BP$6,'Job Master'!$F$12:$I$102,4,0)-1),""),"")</f>
        <v/>
      </c>
      <c r="BS92" s="73"/>
      <c r="BT92" s="123" t="str">
        <f t="shared" si="159"/>
        <v/>
      </c>
      <c r="BU92" s="123" t="str">
        <f t="shared" si="160"/>
        <v/>
      </c>
      <c r="BV92" s="97" t="str">
        <f t="shared" ca="1" si="161"/>
        <v/>
      </c>
      <c r="BW92" s="98" t="str">
        <f>IF(BY92&lt;&gt;"",VLOOKUP($P92&amp;" | "&amp;BW$6,'Job Master'!$F$12:$J$102,5,0),"")</f>
        <v/>
      </c>
      <c r="BX92" s="19" t="str">
        <f>IF(BY92&lt;&gt;"",VLOOKUP($P92&amp;" | "&amp;BW$6,'Job Master'!$F$12:$J$102,3,0),"")</f>
        <v/>
      </c>
      <c r="BY92" s="19" t="str">
        <f>IFERROR(IF(AND(CF92&lt;&gt;"",VLOOKUP($P92&amp;" | "&amp;BW$6,'Job Master'!$F$12:$I$102,4,0)&lt;&gt;""),IF(WEEKDAY(CF92-VLOOKUP($P92&amp;" | "&amp;BW$6,'Job Master'!$F$12:$I$102,4,0))&lt;&gt;7,CF92-VLOOKUP($P92&amp;" | "&amp;BW$6,'Job Master'!$F$12:$I$102,4,0),CF92-VLOOKUP($P92&amp;" | "&amp;BW$6,'Job Master'!$F$12:$I$102,4,0)-1),""),"")</f>
        <v/>
      </c>
      <c r="BZ92" s="73"/>
      <c r="CA92" s="123" t="str">
        <f t="shared" si="162"/>
        <v/>
      </c>
      <c r="CB92" s="123" t="str">
        <f t="shared" si="163"/>
        <v/>
      </c>
      <c r="CC92" s="97" t="str">
        <f t="shared" ca="1" si="164"/>
        <v/>
      </c>
      <c r="CD92" s="98" t="str">
        <f>IF(CF92&lt;&gt;"",VLOOKUP($P92&amp;" | "&amp;CD$6,'Job Master'!$F$12:$J$102,5,0),"")</f>
        <v/>
      </c>
      <c r="CE92" s="19" t="str">
        <f>IF(CF92&lt;&gt;"",VLOOKUP($P92&amp;" | "&amp;CD$6,'Job Master'!$F$12:$J$102,3,0),"")</f>
        <v/>
      </c>
      <c r="CF92" s="19" t="str">
        <f>IFERROR(IF(AND(CM92&lt;&gt;"",VLOOKUP($P92&amp;" | "&amp;CD$6,'Job Master'!$F$12:$I$102,4,0)&lt;&gt;""),IF(WEEKDAY(CM92-VLOOKUP($P92&amp;" | "&amp;CD$6,'Job Master'!$F$12:$I$102,4,0))&lt;&gt;7,CM92-VLOOKUP($P92&amp;" | "&amp;CD$6,'Job Master'!$F$12:$I$102,4,0),CM92-VLOOKUP($P92&amp;" | "&amp;CD$6,'Job Master'!$F$12:$I$102,4,0)-1),""),"")</f>
        <v/>
      </c>
      <c r="CG92" s="73"/>
      <c r="CH92" s="123" t="str">
        <f t="shared" si="165"/>
        <v/>
      </c>
      <c r="CI92" s="123" t="str">
        <f t="shared" si="166"/>
        <v/>
      </c>
      <c r="CJ92" s="97" t="str">
        <f t="shared" ca="1" si="167"/>
        <v/>
      </c>
      <c r="CK92" s="98" t="str">
        <f>IF(CM92&lt;&gt;"",VLOOKUP($P92&amp;" | "&amp;CK$6,'Job Master'!$F$12:$J$102,5,0),"")</f>
        <v/>
      </c>
      <c r="CL92" s="19" t="str">
        <f>IF(CM92&lt;&gt;"",VLOOKUP($P92&amp;" | "&amp;CK$6,'Job Master'!$F$12:$J$102,3,0),"")</f>
        <v/>
      </c>
      <c r="CM92" s="19" t="str">
        <f>IFERROR(IF(AND(CT92&lt;&gt;"",VLOOKUP($P92&amp;" | "&amp;CK$6,'Job Master'!$F$12:$I$102,4,0)&lt;&gt;""),IF(WEEKDAY(CT92-VLOOKUP($P92&amp;" | "&amp;CK$6,'Job Master'!$F$12:$I$102,4,0))&lt;&gt;7,CT92-VLOOKUP($P92&amp;" | "&amp;CK$6,'Job Master'!$F$12:$I$102,4,0),CT92-VLOOKUP($P92&amp;" | "&amp;CK$6,'Job Master'!$F$12:$I$102,4,0)-1),""),"")</f>
        <v/>
      </c>
      <c r="CN92" s="73"/>
      <c r="CO92" s="123" t="str">
        <f t="shared" si="168"/>
        <v/>
      </c>
      <c r="CP92" s="123" t="str">
        <f t="shared" si="169"/>
        <v/>
      </c>
      <c r="CQ92" s="97" t="str">
        <f t="shared" ca="1" si="170"/>
        <v/>
      </c>
      <c r="CR92" s="98" t="str">
        <f>IF(CT92&lt;&gt;"",VLOOKUP($P92&amp;" | "&amp;CR$6,'Job Master'!$F$12:$J$102,5,0),"")</f>
        <v/>
      </c>
      <c r="CS92" s="19" t="str">
        <f>IF(CT92&lt;&gt;"",VLOOKUP($P92&amp;" | "&amp;CR$6,'Job Master'!$F$12:$J$102,3,0),"")</f>
        <v/>
      </c>
      <c r="CT92" s="19" t="str">
        <f>IFERROR(IF(AND(DA92&lt;&gt;"",VLOOKUP($P92&amp;" | "&amp;CR$6,'Job Master'!$F$12:$I$102,4,0)&lt;&gt;""),IF(WEEKDAY(DA92-VLOOKUP($P92&amp;" | "&amp;CR$6,'Job Master'!$F$12:$I$102,4,0))&lt;&gt;7,DA92-VLOOKUP($P92&amp;" | "&amp;CR$6,'Job Master'!$F$12:$I$102,4,0),DA92-VLOOKUP($P92&amp;" | "&amp;CR$6,'Job Master'!$F$12:$I$102,4,0)-1),""),"")</f>
        <v/>
      </c>
      <c r="CU92" s="73"/>
      <c r="CV92" s="123" t="str">
        <f t="shared" si="171"/>
        <v/>
      </c>
      <c r="CW92" s="123" t="str">
        <f t="shared" si="172"/>
        <v/>
      </c>
      <c r="CX92" s="97" t="str">
        <f t="shared" ca="1" si="173"/>
        <v/>
      </c>
      <c r="CY92" s="98" t="str">
        <f>IF(DA92&lt;&gt;"",VLOOKUP($P92&amp;" | "&amp;CY$6,'Job Master'!$F$12:$J$102,5,0),"")</f>
        <v/>
      </c>
      <c r="CZ92" s="19" t="str">
        <f>IF(DA92&lt;&gt;"",VLOOKUP($P92&amp;" | "&amp;CY$6,'Job Master'!$F$12:$J$102,3,0),"")</f>
        <v/>
      </c>
      <c r="DA92" s="19" t="str">
        <f>IFERROR(IF(AND(DH92&lt;&gt;"",VLOOKUP($P92&amp;" | "&amp;CY$6,'Job Master'!$F$12:$I$102,4,0)&lt;&gt;""),IF(WEEKDAY(DH92-VLOOKUP($P92&amp;" | "&amp;CY$6,'Job Master'!$F$12:$I$102,4,0))&lt;&gt;7,DH92-VLOOKUP($P92&amp;" | "&amp;CY$6,'Job Master'!$F$12:$I$102,4,0),DH92-VLOOKUP($P92&amp;" | "&amp;CY$6,'Job Master'!$F$12:$I$102,4,0)-1),""),"")</f>
        <v/>
      </c>
      <c r="DB92" s="73"/>
      <c r="DC92" s="123" t="str">
        <f t="shared" si="174"/>
        <v/>
      </c>
      <c r="DD92" s="123" t="str">
        <f t="shared" si="175"/>
        <v/>
      </c>
      <c r="DE92" s="97" t="str">
        <f t="shared" ca="1" si="176"/>
        <v/>
      </c>
      <c r="DF92" s="98" t="str">
        <f>IF(DH92&lt;&gt;"",VLOOKUP($P92&amp;" | "&amp;DF$6,'Job Master'!$F$12:$J$102,5,0),"")</f>
        <v/>
      </c>
      <c r="DG92" s="19" t="str">
        <f>IF(DH92&lt;&gt;"",VLOOKUP($P92&amp;" | "&amp;DF$6,'Job Master'!$F$12:$J$102,3,0),"")</f>
        <v/>
      </c>
      <c r="DH92" s="19" t="str">
        <f>IFERROR(IF(AND(DO92&lt;&gt;"",VLOOKUP($P92&amp;" | "&amp;DF$6,'Job Master'!$F$12:$I$102,4,0)&lt;&gt;""),IF(WEEKDAY(DO92-VLOOKUP($P92&amp;" | "&amp;DF$6,'Job Master'!$F$12:$I$102,4,0))&lt;&gt;7,DO92-VLOOKUP($P92&amp;" | "&amp;DF$6,'Job Master'!$F$12:$I$102,4,0),DO92-VLOOKUP($P92&amp;" | "&amp;DF$6,'Job Master'!$F$12:$I$102,4,0)-1),""),"")</f>
        <v/>
      </c>
      <c r="DI92" s="73"/>
      <c r="DJ92" s="123" t="str">
        <f t="shared" si="177"/>
        <v/>
      </c>
      <c r="DK92" s="123" t="str">
        <f t="shared" si="178"/>
        <v/>
      </c>
      <c r="DL92" s="97" t="str">
        <f t="shared" ca="1" si="179"/>
        <v/>
      </c>
      <c r="DM92" s="98" t="str">
        <f>IF(DO92&lt;&gt;"",VLOOKUP($P92&amp;" | "&amp;DM$6,'Job Master'!$F$12:$J$102,5,0),"")</f>
        <v/>
      </c>
      <c r="DN92" s="19" t="str">
        <f>IF(DO92&lt;&gt;"",VLOOKUP($P92&amp;" | "&amp;DM$6,'Job Master'!$F$12:$J$102,3,0),"")</f>
        <v/>
      </c>
      <c r="DO92" s="19" t="str">
        <f>IFERROR(IF(AND(DT92&lt;&gt;"",VLOOKUP($P92&amp;" | "&amp;DM$6,'Job Master'!$F$12:$I$102,4,0)&lt;&gt;""),IF(WEEKDAY(DT92-VLOOKUP($P92&amp;" | "&amp;DM$6,'Job Master'!$F$12:$I$102,4,0))&lt;&gt;7,DT92-VLOOKUP($P92&amp;" | "&amp;DM$6,'Job Master'!$F$12:$I$102,4,0),DT92-VLOOKUP($P92&amp;" | "&amp;DM$6,'Job Master'!$F$12:$I$102,4,0)-1),""),"")</f>
        <v/>
      </c>
      <c r="DP92" s="73"/>
      <c r="DQ92" s="123" t="str">
        <f t="shared" si="180"/>
        <v/>
      </c>
      <c r="DR92" s="123" t="str">
        <f t="shared" si="181"/>
        <v/>
      </c>
      <c r="DS92" s="97" t="str">
        <f t="shared" ca="1" si="182"/>
        <v/>
      </c>
      <c r="DT92" s="70" t="str">
        <f t="shared" si="183"/>
        <v/>
      </c>
      <c r="DU92" s="90"/>
      <c r="DV92" s="123" t="str">
        <f t="shared" si="184"/>
        <v/>
      </c>
      <c r="DW92" s="123" t="str">
        <f t="shared" si="185"/>
        <v/>
      </c>
      <c r="DX92" s="132" t="str">
        <f t="shared" ref="DX92" ca="1" si="215">IF(DT92&lt;&gt;"",IF(WEEKNUM(DT92)=WEEKNUM(TODAY()),"This Week",IF(WEEKNUM(DT92)=WEEKNUM(TODAY())+1,"Next Week",IF(WEEKNUM(DT92)=WEEKNUM(TODAY())-1,"Previous Week",""))),"")</f>
        <v/>
      </c>
      <c r="DY92" s="134" t="str">
        <f t="shared" si="187"/>
        <v/>
      </c>
      <c r="DZ92" s="95"/>
      <c r="EB92" s="8" t="str">
        <f t="shared" si="193"/>
        <v/>
      </c>
      <c r="EC92" s="8" t="str">
        <f>IF(O92&lt;&gt;"",VLOOKUP(O92,'Job Master'!$N$12:$O$18,2,0),"")</f>
        <v/>
      </c>
      <c r="ED92" s="8">
        <f t="shared" si="194"/>
        <v>19.5</v>
      </c>
      <c r="EE92" s="8">
        <f t="shared" si="195"/>
        <v>6</v>
      </c>
      <c r="EF92" s="8">
        <f t="shared" si="196"/>
        <v>-472.5</v>
      </c>
      <c r="EG92" s="8" t="str">
        <f t="shared" si="197"/>
        <v/>
      </c>
      <c r="EH92" s="8" t="str">
        <f t="shared" si="198"/>
        <v/>
      </c>
    </row>
    <row r="93" spans="2:138" x14ac:dyDescent="0.3">
      <c r="B93" s="112"/>
      <c r="C93" s="27"/>
      <c r="D93" s="7" t="str">
        <f t="shared" si="135"/>
        <v/>
      </c>
      <c r="E93" s="25"/>
      <c r="F93" s="7" t="str">
        <f t="shared" si="135"/>
        <v/>
      </c>
      <c r="G93" s="25"/>
      <c r="H93" s="7" t="str">
        <f t="shared" si="135"/>
        <v/>
      </c>
      <c r="I93" s="25"/>
      <c r="J93" s="7" t="str">
        <f t="shared" si="135"/>
        <v/>
      </c>
      <c r="K93" s="25"/>
      <c r="L93" s="7" t="str">
        <f t="shared" si="136"/>
        <v/>
      </c>
      <c r="M93" s="25"/>
      <c r="N93" s="7" t="str">
        <f t="shared" si="137"/>
        <v/>
      </c>
      <c r="O93" s="81"/>
      <c r="P93" s="81" t="str">
        <f t="shared" si="138"/>
        <v/>
      </c>
      <c r="Q93" s="81"/>
      <c r="R93" s="7" t="str">
        <f t="shared" si="139"/>
        <v/>
      </c>
      <c r="S93" s="25"/>
      <c r="T93" s="7" t="str">
        <f t="shared" si="140"/>
        <v/>
      </c>
      <c r="U93" s="25"/>
      <c r="V93" s="7" t="str">
        <f t="shared" si="141"/>
        <v/>
      </c>
      <c r="W93" s="25"/>
      <c r="X93" s="7" t="str">
        <f t="shared" si="142"/>
        <v/>
      </c>
      <c r="Y93" s="18" t="str">
        <f t="shared" si="143"/>
        <v/>
      </c>
      <c r="Z93" s="7" t="str">
        <f t="shared" si="144"/>
        <v/>
      </c>
      <c r="AA93" s="18" t="str">
        <f t="shared" si="145"/>
        <v/>
      </c>
      <c r="AB93" s="19" t="str">
        <f t="shared" si="146"/>
        <v/>
      </c>
      <c r="AC93" s="26"/>
      <c r="AD93" s="26"/>
      <c r="AE93" s="25"/>
      <c r="AF93" s="26"/>
      <c r="AG93" s="25"/>
      <c r="AH93" s="25"/>
      <c r="AI93" s="18" t="str">
        <f t="shared" si="209"/>
        <v/>
      </c>
      <c r="AJ93" s="25"/>
      <c r="AK93" s="18" t="str">
        <f t="shared" si="210"/>
        <v/>
      </c>
      <c r="AL93" s="79"/>
      <c r="AM93" s="126" t="str">
        <f t="shared" si="211"/>
        <v/>
      </c>
      <c r="AN93" s="128" t="str">
        <f>IF(AP93&lt;&gt;"",VLOOKUP($P93&amp;" | "&amp;AN$6,'Job Master'!$F$12:$J$102,5,0),"")</f>
        <v/>
      </c>
      <c r="AO93" s="19" t="str">
        <f>IF(AP93&lt;&gt;"",VLOOKUP($P93&amp;" | "&amp;AN$6,'Job Master'!$F$12:$J$102,3,0),"")</f>
        <v/>
      </c>
      <c r="AP93" s="19" t="str">
        <f>IFERROR(IF(AND(AW93&lt;&gt;"",VLOOKUP($P93&amp;" | "&amp;AN$6,'Job Master'!$F$12:$I$102,4,0)&lt;&gt;""),IF(WEEKDAY(AW93-VLOOKUP($P93&amp;" | "&amp;AN$6,'Job Master'!$F$12:$I$102,4,0))&lt;&gt;7,AW93-VLOOKUP($P93&amp;" | "&amp;AN$6,'Job Master'!$F$12:$I$102,4,0),AW93-VLOOKUP($P93&amp;" | "&amp;AN$6,'Job Master'!$F$12:$I$102,4,0)-1),""),"")</f>
        <v/>
      </c>
      <c r="AQ93" s="73"/>
      <c r="AR93" s="123" t="str">
        <f t="shared" si="147"/>
        <v/>
      </c>
      <c r="AS93" s="123" t="str">
        <f t="shared" si="148"/>
        <v/>
      </c>
      <c r="AT93" s="97" t="str">
        <f t="shared" ca="1" si="149"/>
        <v/>
      </c>
      <c r="AU93" s="98" t="str">
        <f>IF(AW93&lt;&gt;"",VLOOKUP($P93&amp;" | "&amp;AU$6,'Job Master'!$F$12:$J$102,5,0),"")</f>
        <v/>
      </c>
      <c r="AV93" s="19" t="str">
        <f>IF(AW93&lt;&gt;"",VLOOKUP($P93&amp;" | "&amp;AU$6,'Job Master'!$F$12:$J$102,3,0),"")</f>
        <v/>
      </c>
      <c r="AW93" s="19" t="str">
        <f>IFERROR(IF(AND(BD93&lt;&gt;"",VLOOKUP($P93&amp;" | "&amp;AU$6,'Job Master'!$F$12:$I$102,4,0)&lt;&gt;""),IF(WEEKDAY(BD93-VLOOKUP($P93&amp;" | "&amp;AU$6,'Job Master'!$F$12:$I$102,4,0))&lt;&gt;7,BD93-VLOOKUP($P93&amp;" | "&amp;AU$6,'Job Master'!$F$12:$I$102,4,0),BD93-VLOOKUP($P93&amp;" | "&amp;AU$6,'Job Master'!$F$12:$I$102,4,0)-1),""),"")</f>
        <v/>
      </c>
      <c r="AX93" s="73"/>
      <c r="AY93" s="123" t="str">
        <f t="shared" si="150"/>
        <v/>
      </c>
      <c r="AZ93" s="123" t="str">
        <f t="shared" si="151"/>
        <v/>
      </c>
      <c r="BA93" s="97" t="str">
        <f t="shared" ca="1" si="152"/>
        <v/>
      </c>
      <c r="BB93" s="98" t="str">
        <f>IF(BD93&lt;&gt;"",VLOOKUP($P93&amp;" | "&amp;BB$6,'Job Master'!$F$12:$J$102,5,0),"")</f>
        <v/>
      </c>
      <c r="BC93" s="19" t="str">
        <f>IF(BD93&lt;&gt;"",VLOOKUP($P93&amp;" | "&amp;BB$6,'Job Master'!$F$12:$J$102,3,0),"")</f>
        <v/>
      </c>
      <c r="BD93" s="19" t="str">
        <f>IFERROR(IF(AND(BK93&lt;&gt;"",VLOOKUP($P93&amp;" | "&amp;BB$6,'Job Master'!$F$12:$I$102,4,0)&lt;&gt;""),IF(WEEKDAY(BK93-VLOOKUP($P93&amp;" | "&amp;BB$6,'Job Master'!$F$12:$I$102,4,0))&lt;&gt;7,BK93-VLOOKUP($P93&amp;" | "&amp;BB$6,'Job Master'!$F$12:$I$102,4,0),BK93-VLOOKUP($P93&amp;" | "&amp;BB$6,'Job Master'!$F$12:$I$102,4,0)-1),""),"")</f>
        <v/>
      </c>
      <c r="BE93" s="73"/>
      <c r="BF93" s="123" t="str">
        <f t="shared" si="153"/>
        <v/>
      </c>
      <c r="BG93" s="123" t="str">
        <f t="shared" si="154"/>
        <v/>
      </c>
      <c r="BH93" s="97" t="str">
        <f t="shared" ca="1" si="155"/>
        <v/>
      </c>
      <c r="BI93" s="98" t="str">
        <f>IF(BK93&lt;&gt;"",VLOOKUP($P93&amp;" | "&amp;BI$6,'Job Master'!$F$12:$J$102,5,0),"")</f>
        <v/>
      </c>
      <c r="BJ93" s="19" t="str">
        <f>IF(BK93&lt;&gt;"",VLOOKUP($P93&amp;" | "&amp;BI$6,'Job Master'!$F$12:$J$102,3,0),"")</f>
        <v/>
      </c>
      <c r="BK93" s="19" t="str">
        <f>IFERROR(IF(AND(BR93&lt;&gt;"",VLOOKUP($P93&amp;" | "&amp;BI$6,'Job Master'!$F$12:$I$102,4,0)&lt;&gt;""),IF(WEEKDAY(BR93-VLOOKUP($P93&amp;" | "&amp;BI$6,'Job Master'!$F$12:$I$102,4,0))&lt;&gt;7,BR93-VLOOKUP($P93&amp;" | "&amp;BI$6,'Job Master'!$F$12:$I$102,4,0),BR93-VLOOKUP($P93&amp;" | "&amp;BI$6,'Job Master'!$F$12:$I$102,4,0)-1),""),"")</f>
        <v/>
      </c>
      <c r="BL93" s="73"/>
      <c r="BM93" s="123" t="str">
        <f t="shared" si="156"/>
        <v/>
      </c>
      <c r="BN93" s="123" t="str">
        <f t="shared" si="157"/>
        <v/>
      </c>
      <c r="BO93" s="97" t="str">
        <f t="shared" ca="1" si="158"/>
        <v/>
      </c>
      <c r="BP93" s="98" t="str">
        <f>IF(BR93&lt;&gt;"",VLOOKUP($P93&amp;" | "&amp;BP$6,'Job Master'!$F$12:$J$102,5,0),"")</f>
        <v/>
      </c>
      <c r="BQ93" s="19" t="str">
        <f>IF(BR93&lt;&gt;"",VLOOKUP($P93&amp;" | "&amp;BP$6,'Job Master'!$F$12:$J$102,3,0),"")</f>
        <v/>
      </c>
      <c r="BR93" s="19" t="str">
        <f>IFERROR(IF(AND(BY93&lt;&gt;"",VLOOKUP($P93&amp;" | "&amp;BP$6,'Job Master'!$F$12:$I$102,4,0)&lt;&gt;""),IF(WEEKDAY(BY93-VLOOKUP($P93&amp;" | "&amp;BP$6,'Job Master'!$F$12:$I$102,4,0))&lt;&gt;7,BY93-VLOOKUP($P93&amp;" | "&amp;BP$6,'Job Master'!$F$12:$I$102,4,0),BY93-VLOOKUP($P93&amp;" | "&amp;BP$6,'Job Master'!$F$12:$I$102,4,0)-1),""),"")</f>
        <v/>
      </c>
      <c r="BS93" s="73"/>
      <c r="BT93" s="123" t="str">
        <f t="shared" si="159"/>
        <v/>
      </c>
      <c r="BU93" s="123" t="str">
        <f t="shared" si="160"/>
        <v/>
      </c>
      <c r="BV93" s="97" t="str">
        <f t="shared" ca="1" si="161"/>
        <v/>
      </c>
      <c r="BW93" s="98" t="str">
        <f>IF(BY93&lt;&gt;"",VLOOKUP($P93&amp;" | "&amp;BW$6,'Job Master'!$F$12:$J$102,5,0),"")</f>
        <v/>
      </c>
      <c r="BX93" s="19" t="str">
        <f>IF(BY93&lt;&gt;"",VLOOKUP($P93&amp;" | "&amp;BW$6,'Job Master'!$F$12:$J$102,3,0),"")</f>
        <v/>
      </c>
      <c r="BY93" s="19" t="str">
        <f>IFERROR(IF(AND(CF93&lt;&gt;"",VLOOKUP($P93&amp;" | "&amp;BW$6,'Job Master'!$F$12:$I$102,4,0)&lt;&gt;""),IF(WEEKDAY(CF93-VLOOKUP($P93&amp;" | "&amp;BW$6,'Job Master'!$F$12:$I$102,4,0))&lt;&gt;7,CF93-VLOOKUP($P93&amp;" | "&amp;BW$6,'Job Master'!$F$12:$I$102,4,0),CF93-VLOOKUP($P93&amp;" | "&amp;BW$6,'Job Master'!$F$12:$I$102,4,0)-1),""),"")</f>
        <v/>
      </c>
      <c r="BZ93" s="73"/>
      <c r="CA93" s="123" t="str">
        <f t="shared" si="162"/>
        <v/>
      </c>
      <c r="CB93" s="123" t="str">
        <f t="shared" si="163"/>
        <v/>
      </c>
      <c r="CC93" s="97" t="str">
        <f t="shared" ca="1" si="164"/>
        <v/>
      </c>
      <c r="CD93" s="98" t="str">
        <f>IF(CF93&lt;&gt;"",VLOOKUP($P93&amp;" | "&amp;CD$6,'Job Master'!$F$12:$J$102,5,0),"")</f>
        <v/>
      </c>
      <c r="CE93" s="19" t="str">
        <f>IF(CF93&lt;&gt;"",VLOOKUP($P93&amp;" | "&amp;CD$6,'Job Master'!$F$12:$J$102,3,0),"")</f>
        <v/>
      </c>
      <c r="CF93" s="19" t="str">
        <f>IFERROR(IF(AND(CM93&lt;&gt;"",VLOOKUP($P93&amp;" | "&amp;CD$6,'Job Master'!$F$12:$I$102,4,0)&lt;&gt;""),IF(WEEKDAY(CM93-VLOOKUP($P93&amp;" | "&amp;CD$6,'Job Master'!$F$12:$I$102,4,0))&lt;&gt;7,CM93-VLOOKUP($P93&amp;" | "&amp;CD$6,'Job Master'!$F$12:$I$102,4,0),CM93-VLOOKUP($P93&amp;" | "&amp;CD$6,'Job Master'!$F$12:$I$102,4,0)-1),""),"")</f>
        <v/>
      </c>
      <c r="CG93" s="73"/>
      <c r="CH93" s="123" t="str">
        <f t="shared" si="165"/>
        <v/>
      </c>
      <c r="CI93" s="123" t="str">
        <f t="shared" si="166"/>
        <v/>
      </c>
      <c r="CJ93" s="97" t="str">
        <f t="shared" ca="1" si="167"/>
        <v/>
      </c>
      <c r="CK93" s="98" t="str">
        <f>IF(CM93&lt;&gt;"",VLOOKUP($P93&amp;" | "&amp;CK$6,'Job Master'!$F$12:$J$102,5,0),"")</f>
        <v/>
      </c>
      <c r="CL93" s="19" t="str">
        <f>IF(CM93&lt;&gt;"",VLOOKUP($P93&amp;" | "&amp;CK$6,'Job Master'!$F$12:$J$102,3,0),"")</f>
        <v/>
      </c>
      <c r="CM93" s="19" t="str">
        <f>IFERROR(IF(AND(CT93&lt;&gt;"",VLOOKUP($P93&amp;" | "&amp;CK$6,'Job Master'!$F$12:$I$102,4,0)&lt;&gt;""),IF(WEEKDAY(CT93-VLOOKUP($P93&amp;" | "&amp;CK$6,'Job Master'!$F$12:$I$102,4,0))&lt;&gt;7,CT93-VLOOKUP($P93&amp;" | "&amp;CK$6,'Job Master'!$F$12:$I$102,4,0),CT93-VLOOKUP($P93&amp;" | "&amp;CK$6,'Job Master'!$F$12:$I$102,4,0)-1),""),"")</f>
        <v/>
      </c>
      <c r="CN93" s="73"/>
      <c r="CO93" s="123" t="str">
        <f t="shared" si="168"/>
        <v/>
      </c>
      <c r="CP93" s="123" t="str">
        <f t="shared" si="169"/>
        <v/>
      </c>
      <c r="CQ93" s="97" t="str">
        <f t="shared" ca="1" si="170"/>
        <v/>
      </c>
      <c r="CR93" s="98" t="str">
        <f>IF(CT93&lt;&gt;"",VLOOKUP($P93&amp;" | "&amp;CR$6,'Job Master'!$F$12:$J$102,5,0),"")</f>
        <v/>
      </c>
      <c r="CS93" s="19" t="str">
        <f>IF(CT93&lt;&gt;"",VLOOKUP($P93&amp;" | "&amp;CR$6,'Job Master'!$F$12:$J$102,3,0),"")</f>
        <v/>
      </c>
      <c r="CT93" s="19" t="str">
        <f>IFERROR(IF(AND(DA93&lt;&gt;"",VLOOKUP($P93&amp;" | "&amp;CR$6,'Job Master'!$F$12:$I$102,4,0)&lt;&gt;""),IF(WEEKDAY(DA93-VLOOKUP($P93&amp;" | "&amp;CR$6,'Job Master'!$F$12:$I$102,4,0))&lt;&gt;7,DA93-VLOOKUP($P93&amp;" | "&amp;CR$6,'Job Master'!$F$12:$I$102,4,0),DA93-VLOOKUP($P93&amp;" | "&amp;CR$6,'Job Master'!$F$12:$I$102,4,0)-1),""),"")</f>
        <v/>
      </c>
      <c r="CU93" s="73"/>
      <c r="CV93" s="123" t="str">
        <f t="shared" si="171"/>
        <v/>
      </c>
      <c r="CW93" s="123" t="str">
        <f t="shared" si="172"/>
        <v/>
      </c>
      <c r="CX93" s="97" t="str">
        <f t="shared" ca="1" si="173"/>
        <v/>
      </c>
      <c r="CY93" s="98" t="str">
        <f>IF(DA93&lt;&gt;"",VLOOKUP($P93&amp;" | "&amp;CY$6,'Job Master'!$F$12:$J$102,5,0),"")</f>
        <v/>
      </c>
      <c r="CZ93" s="19" t="str">
        <f>IF(DA93&lt;&gt;"",VLOOKUP($P93&amp;" | "&amp;CY$6,'Job Master'!$F$12:$J$102,3,0),"")</f>
        <v/>
      </c>
      <c r="DA93" s="19" t="str">
        <f>IFERROR(IF(AND(DH93&lt;&gt;"",VLOOKUP($P93&amp;" | "&amp;CY$6,'Job Master'!$F$12:$I$102,4,0)&lt;&gt;""),IF(WEEKDAY(DH93-VLOOKUP($P93&amp;" | "&amp;CY$6,'Job Master'!$F$12:$I$102,4,0))&lt;&gt;7,DH93-VLOOKUP($P93&amp;" | "&amp;CY$6,'Job Master'!$F$12:$I$102,4,0),DH93-VLOOKUP($P93&amp;" | "&amp;CY$6,'Job Master'!$F$12:$I$102,4,0)-1),""),"")</f>
        <v/>
      </c>
      <c r="DB93" s="73"/>
      <c r="DC93" s="123" t="str">
        <f t="shared" si="174"/>
        <v/>
      </c>
      <c r="DD93" s="123" t="str">
        <f t="shared" si="175"/>
        <v/>
      </c>
      <c r="DE93" s="97" t="str">
        <f t="shared" ca="1" si="176"/>
        <v/>
      </c>
      <c r="DF93" s="98" t="str">
        <f>IF(DH93&lt;&gt;"",VLOOKUP($P93&amp;" | "&amp;DF$6,'Job Master'!$F$12:$J$102,5,0),"")</f>
        <v/>
      </c>
      <c r="DG93" s="19" t="str">
        <f>IF(DH93&lt;&gt;"",VLOOKUP($P93&amp;" | "&amp;DF$6,'Job Master'!$F$12:$J$102,3,0),"")</f>
        <v/>
      </c>
      <c r="DH93" s="19" t="str">
        <f>IFERROR(IF(AND(DO93&lt;&gt;"",VLOOKUP($P93&amp;" | "&amp;DF$6,'Job Master'!$F$12:$I$102,4,0)&lt;&gt;""),IF(WEEKDAY(DO93-VLOOKUP($P93&amp;" | "&amp;DF$6,'Job Master'!$F$12:$I$102,4,0))&lt;&gt;7,DO93-VLOOKUP($P93&amp;" | "&amp;DF$6,'Job Master'!$F$12:$I$102,4,0),DO93-VLOOKUP($P93&amp;" | "&amp;DF$6,'Job Master'!$F$12:$I$102,4,0)-1),""),"")</f>
        <v/>
      </c>
      <c r="DI93" s="73"/>
      <c r="DJ93" s="123" t="str">
        <f t="shared" si="177"/>
        <v/>
      </c>
      <c r="DK93" s="123" t="str">
        <f t="shared" si="178"/>
        <v/>
      </c>
      <c r="DL93" s="97" t="str">
        <f t="shared" ca="1" si="179"/>
        <v/>
      </c>
      <c r="DM93" s="98" t="str">
        <f>IF(DO93&lt;&gt;"",VLOOKUP($P93&amp;" | "&amp;DM$6,'Job Master'!$F$12:$J$102,5,0),"")</f>
        <v/>
      </c>
      <c r="DN93" s="19" t="str">
        <f>IF(DO93&lt;&gt;"",VLOOKUP($P93&amp;" | "&amp;DM$6,'Job Master'!$F$12:$J$102,3,0),"")</f>
        <v/>
      </c>
      <c r="DO93" s="19" t="str">
        <f>IFERROR(IF(AND(DT93&lt;&gt;"",VLOOKUP($P93&amp;" | "&amp;DM$6,'Job Master'!$F$12:$I$102,4,0)&lt;&gt;""),IF(WEEKDAY(DT93-VLOOKUP($P93&amp;" | "&amp;DM$6,'Job Master'!$F$12:$I$102,4,0))&lt;&gt;7,DT93-VLOOKUP($P93&amp;" | "&amp;DM$6,'Job Master'!$F$12:$I$102,4,0),DT93-VLOOKUP($P93&amp;" | "&amp;DM$6,'Job Master'!$F$12:$I$102,4,0)-1),""),"")</f>
        <v/>
      </c>
      <c r="DP93" s="73"/>
      <c r="DQ93" s="123" t="str">
        <f t="shared" si="180"/>
        <v/>
      </c>
      <c r="DR93" s="123" t="str">
        <f t="shared" si="181"/>
        <v/>
      </c>
      <c r="DS93" s="97" t="str">
        <f t="shared" ca="1" si="182"/>
        <v/>
      </c>
      <c r="DT93" s="70" t="str">
        <f t="shared" si="183"/>
        <v/>
      </c>
      <c r="DU93" s="90"/>
      <c r="DV93" s="123" t="str">
        <f t="shared" si="184"/>
        <v/>
      </c>
      <c r="DW93" s="123" t="str">
        <f t="shared" si="185"/>
        <v/>
      </c>
      <c r="DX93" s="132" t="str">
        <f t="shared" ref="DX93" ca="1" si="216">IF(DT93&lt;&gt;"",IF(WEEKNUM(DT93)=WEEKNUM(TODAY()),"This Week",IF(WEEKNUM(DT93)=WEEKNUM(TODAY())+1,"Next Week",IF(WEEKNUM(DT93)=WEEKNUM(TODAY())-1,"Previous Week",""))),"")</f>
        <v/>
      </c>
      <c r="DY93" s="134" t="str">
        <f t="shared" si="187"/>
        <v/>
      </c>
      <c r="DZ93" s="95"/>
      <c r="EB93" s="8" t="str">
        <f t="shared" si="193"/>
        <v/>
      </c>
      <c r="EC93" s="8" t="str">
        <f>IF(O93&lt;&gt;"",VLOOKUP(O93,'Job Master'!$N$12:$O$18,2,0),"")</f>
        <v/>
      </c>
      <c r="ED93" s="8">
        <f t="shared" si="194"/>
        <v>19.5</v>
      </c>
      <c r="EE93" s="8">
        <f t="shared" si="195"/>
        <v>6</v>
      </c>
      <c r="EF93" s="8">
        <f t="shared" si="196"/>
        <v>-478.5</v>
      </c>
      <c r="EG93" s="8" t="str">
        <f t="shared" si="197"/>
        <v/>
      </c>
      <c r="EH93" s="8" t="str">
        <f t="shared" si="198"/>
        <v/>
      </c>
    </row>
    <row r="94" spans="2:138" x14ac:dyDescent="0.3">
      <c r="B94" s="112"/>
      <c r="C94" s="27"/>
      <c r="D94" s="7" t="str">
        <f t="shared" si="135"/>
        <v/>
      </c>
      <c r="E94" s="25"/>
      <c r="F94" s="7" t="str">
        <f t="shared" si="135"/>
        <v/>
      </c>
      <c r="G94" s="25"/>
      <c r="H94" s="7" t="str">
        <f t="shared" si="135"/>
        <v/>
      </c>
      <c r="I94" s="25"/>
      <c r="J94" s="7" t="str">
        <f t="shared" si="135"/>
        <v/>
      </c>
      <c r="K94" s="25"/>
      <c r="L94" s="7" t="str">
        <f t="shared" si="136"/>
        <v/>
      </c>
      <c r="M94" s="25"/>
      <c r="N94" s="7" t="str">
        <f t="shared" si="137"/>
        <v/>
      </c>
      <c r="O94" s="81"/>
      <c r="P94" s="81" t="str">
        <f t="shared" si="138"/>
        <v/>
      </c>
      <c r="Q94" s="81"/>
      <c r="R94" s="7" t="str">
        <f t="shared" si="139"/>
        <v/>
      </c>
      <c r="S94" s="25"/>
      <c r="T94" s="7" t="str">
        <f t="shared" si="140"/>
        <v/>
      </c>
      <c r="U94" s="25"/>
      <c r="V94" s="7" t="str">
        <f t="shared" si="141"/>
        <v/>
      </c>
      <c r="W94" s="25"/>
      <c r="X94" s="7" t="str">
        <f t="shared" si="142"/>
        <v/>
      </c>
      <c r="Y94" s="18" t="str">
        <f t="shared" si="143"/>
        <v/>
      </c>
      <c r="Z94" s="7" t="str">
        <f t="shared" si="144"/>
        <v/>
      </c>
      <c r="AA94" s="18" t="str">
        <f t="shared" si="145"/>
        <v/>
      </c>
      <c r="AB94" s="19" t="str">
        <f t="shared" si="146"/>
        <v/>
      </c>
      <c r="AC94" s="26"/>
      <c r="AD94" s="26"/>
      <c r="AE94" s="25"/>
      <c r="AF94" s="26"/>
      <c r="AG94" s="25"/>
      <c r="AH94" s="25"/>
      <c r="AI94" s="18" t="str">
        <f t="shared" si="209"/>
        <v/>
      </c>
      <c r="AJ94" s="25"/>
      <c r="AK94" s="18" t="str">
        <f t="shared" si="210"/>
        <v/>
      </c>
      <c r="AL94" s="79"/>
      <c r="AM94" s="126" t="str">
        <f t="shared" si="211"/>
        <v/>
      </c>
      <c r="AN94" s="128" t="str">
        <f>IF(AP94&lt;&gt;"",VLOOKUP($P94&amp;" | "&amp;AN$6,'Job Master'!$F$12:$J$102,5,0),"")</f>
        <v/>
      </c>
      <c r="AO94" s="19" t="str">
        <f>IF(AP94&lt;&gt;"",VLOOKUP($P94&amp;" | "&amp;AN$6,'Job Master'!$F$12:$J$102,3,0),"")</f>
        <v/>
      </c>
      <c r="AP94" s="19" t="str">
        <f>IFERROR(IF(AND(AW94&lt;&gt;"",VLOOKUP($P94&amp;" | "&amp;AN$6,'Job Master'!$F$12:$I$102,4,0)&lt;&gt;""),IF(WEEKDAY(AW94-VLOOKUP($P94&amp;" | "&amp;AN$6,'Job Master'!$F$12:$I$102,4,0))&lt;&gt;7,AW94-VLOOKUP($P94&amp;" | "&amp;AN$6,'Job Master'!$F$12:$I$102,4,0),AW94-VLOOKUP($P94&amp;" | "&amp;AN$6,'Job Master'!$F$12:$I$102,4,0)-1),""),"")</f>
        <v/>
      </c>
      <c r="AQ94" s="73"/>
      <c r="AR94" s="123" t="str">
        <f t="shared" si="147"/>
        <v/>
      </c>
      <c r="AS94" s="123" t="str">
        <f t="shared" si="148"/>
        <v/>
      </c>
      <c r="AT94" s="97" t="str">
        <f t="shared" ca="1" si="149"/>
        <v/>
      </c>
      <c r="AU94" s="98" t="str">
        <f>IF(AW94&lt;&gt;"",VLOOKUP($P94&amp;" | "&amp;AU$6,'Job Master'!$F$12:$J$102,5,0),"")</f>
        <v/>
      </c>
      <c r="AV94" s="19" t="str">
        <f>IF(AW94&lt;&gt;"",VLOOKUP($P94&amp;" | "&amp;AU$6,'Job Master'!$F$12:$J$102,3,0),"")</f>
        <v/>
      </c>
      <c r="AW94" s="19" t="str">
        <f>IFERROR(IF(AND(BD94&lt;&gt;"",VLOOKUP($P94&amp;" | "&amp;AU$6,'Job Master'!$F$12:$I$102,4,0)&lt;&gt;""),IF(WEEKDAY(BD94-VLOOKUP($P94&amp;" | "&amp;AU$6,'Job Master'!$F$12:$I$102,4,0))&lt;&gt;7,BD94-VLOOKUP($P94&amp;" | "&amp;AU$6,'Job Master'!$F$12:$I$102,4,0),BD94-VLOOKUP($P94&amp;" | "&amp;AU$6,'Job Master'!$F$12:$I$102,4,0)-1),""),"")</f>
        <v/>
      </c>
      <c r="AX94" s="73"/>
      <c r="AY94" s="123" t="str">
        <f t="shared" si="150"/>
        <v/>
      </c>
      <c r="AZ94" s="123" t="str">
        <f t="shared" si="151"/>
        <v/>
      </c>
      <c r="BA94" s="97" t="str">
        <f t="shared" ca="1" si="152"/>
        <v/>
      </c>
      <c r="BB94" s="98" t="str">
        <f>IF(BD94&lt;&gt;"",VLOOKUP($P94&amp;" | "&amp;BB$6,'Job Master'!$F$12:$J$102,5,0),"")</f>
        <v/>
      </c>
      <c r="BC94" s="19" t="str">
        <f>IF(BD94&lt;&gt;"",VLOOKUP($P94&amp;" | "&amp;BB$6,'Job Master'!$F$12:$J$102,3,0),"")</f>
        <v/>
      </c>
      <c r="BD94" s="19" t="str">
        <f>IFERROR(IF(AND(BK94&lt;&gt;"",VLOOKUP($P94&amp;" | "&amp;BB$6,'Job Master'!$F$12:$I$102,4,0)&lt;&gt;""),IF(WEEKDAY(BK94-VLOOKUP($P94&amp;" | "&amp;BB$6,'Job Master'!$F$12:$I$102,4,0))&lt;&gt;7,BK94-VLOOKUP($P94&amp;" | "&amp;BB$6,'Job Master'!$F$12:$I$102,4,0),BK94-VLOOKUP($P94&amp;" | "&amp;BB$6,'Job Master'!$F$12:$I$102,4,0)-1),""),"")</f>
        <v/>
      </c>
      <c r="BE94" s="73"/>
      <c r="BF94" s="123" t="str">
        <f t="shared" si="153"/>
        <v/>
      </c>
      <c r="BG94" s="123" t="str">
        <f t="shared" si="154"/>
        <v/>
      </c>
      <c r="BH94" s="97" t="str">
        <f t="shared" ca="1" si="155"/>
        <v/>
      </c>
      <c r="BI94" s="98" t="str">
        <f>IF(BK94&lt;&gt;"",VLOOKUP($P94&amp;" | "&amp;BI$6,'Job Master'!$F$12:$J$102,5,0),"")</f>
        <v/>
      </c>
      <c r="BJ94" s="19" t="str">
        <f>IF(BK94&lt;&gt;"",VLOOKUP($P94&amp;" | "&amp;BI$6,'Job Master'!$F$12:$J$102,3,0),"")</f>
        <v/>
      </c>
      <c r="BK94" s="19" t="str">
        <f>IFERROR(IF(AND(BR94&lt;&gt;"",VLOOKUP($P94&amp;" | "&amp;BI$6,'Job Master'!$F$12:$I$102,4,0)&lt;&gt;""),IF(WEEKDAY(BR94-VLOOKUP($P94&amp;" | "&amp;BI$6,'Job Master'!$F$12:$I$102,4,0))&lt;&gt;7,BR94-VLOOKUP($P94&amp;" | "&amp;BI$6,'Job Master'!$F$12:$I$102,4,0),BR94-VLOOKUP($P94&amp;" | "&amp;BI$6,'Job Master'!$F$12:$I$102,4,0)-1),""),"")</f>
        <v/>
      </c>
      <c r="BL94" s="73"/>
      <c r="BM94" s="123" t="str">
        <f t="shared" si="156"/>
        <v/>
      </c>
      <c r="BN94" s="123" t="str">
        <f t="shared" si="157"/>
        <v/>
      </c>
      <c r="BO94" s="97" t="str">
        <f t="shared" ca="1" si="158"/>
        <v/>
      </c>
      <c r="BP94" s="98" t="str">
        <f>IF(BR94&lt;&gt;"",VLOOKUP($P94&amp;" | "&amp;BP$6,'Job Master'!$F$12:$J$102,5,0),"")</f>
        <v/>
      </c>
      <c r="BQ94" s="19" t="str">
        <f>IF(BR94&lt;&gt;"",VLOOKUP($P94&amp;" | "&amp;BP$6,'Job Master'!$F$12:$J$102,3,0),"")</f>
        <v/>
      </c>
      <c r="BR94" s="19" t="str">
        <f>IFERROR(IF(AND(BY94&lt;&gt;"",VLOOKUP($P94&amp;" | "&amp;BP$6,'Job Master'!$F$12:$I$102,4,0)&lt;&gt;""),IF(WEEKDAY(BY94-VLOOKUP($P94&amp;" | "&amp;BP$6,'Job Master'!$F$12:$I$102,4,0))&lt;&gt;7,BY94-VLOOKUP($P94&amp;" | "&amp;BP$6,'Job Master'!$F$12:$I$102,4,0),BY94-VLOOKUP($P94&amp;" | "&amp;BP$6,'Job Master'!$F$12:$I$102,4,0)-1),""),"")</f>
        <v/>
      </c>
      <c r="BS94" s="73"/>
      <c r="BT94" s="123" t="str">
        <f t="shared" si="159"/>
        <v/>
      </c>
      <c r="BU94" s="123" t="str">
        <f t="shared" si="160"/>
        <v/>
      </c>
      <c r="BV94" s="97" t="str">
        <f t="shared" ca="1" si="161"/>
        <v/>
      </c>
      <c r="BW94" s="98" t="str">
        <f>IF(BY94&lt;&gt;"",VLOOKUP($P94&amp;" | "&amp;BW$6,'Job Master'!$F$12:$J$102,5,0),"")</f>
        <v/>
      </c>
      <c r="BX94" s="19" t="str">
        <f>IF(BY94&lt;&gt;"",VLOOKUP($P94&amp;" | "&amp;BW$6,'Job Master'!$F$12:$J$102,3,0),"")</f>
        <v/>
      </c>
      <c r="BY94" s="19" t="str">
        <f>IFERROR(IF(AND(CF94&lt;&gt;"",VLOOKUP($P94&amp;" | "&amp;BW$6,'Job Master'!$F$12:$I$102,4,0)&lt;&gt;""),IF(WEEKDAY(CF94-VLOOKUP($P94&amp;" | "&amp;BW$6,'Job Master'!$F$12:$I$102,4,0))&lt;&gt;7,CF94-VLOOKUP($P94&amp;" | "&amp;BW$6,'Job Master'!$F$12:$I$102,4,0),CF94-VLOOKUP($P94&amp;" | "&amp;BW$6,'Job Master'!$F$12:$I$102,4,0)-1),""),"")</f>
        <v/>
      </c>
      <c r="BZ94" s="73"/>
      <c r="CA94" s="123" t="str">
        <f t="shared" si="162"/>
        <v/>
      </c>
      <c r="CB94" s="123" t="str">
        <f t="shared" si="163"/>
        <v/>
      </c>
      <c r="CC94" s="97" t="str">
        <f t="shared" ca="1" si="164"/>
        <v/>
      </c>
      <c r="CD94" s="98" t="str">
        <f>IF(CF94&lt;&gt;"",VLOOKUP($P94&amp;" | "&amp;CD$6,'Job Master'!$F$12:$J$102,5,0),"")</f>
        <v/>
      </c>
      <c r="CE94" s="19" t="str">
        <f>IF(CF94&lt;&gt;"",VLOOKUP($P94&amp;" | "&amp;CD$6,'Job Master'!$F$12:$J$102,3,0),"")</f>
        <v/>
      </c>
      <c r="CF94" s="19" t="str">
        <f>IFERROR(IF(AND(CM94&lt;&gt;"",VLOOKUP($P94&amp;" | "&amp;CD$6,'Job Master'!$F$12:$I$102,4,0)&lt;&gt;""),IF(WEEKDAY(CM94-VLOOKUP($P94&amp;" | "&amp;CD$6,'Job Master'!$F$12:$I$102,4,0))&lt;&gt;7,CM94-VLOOKUP($P94&amp;" | "&amp;CD$6,'Job Master'!$F$12:$I$102,4,0),CM94-VLOOKUP($P94&amp;" | "&amp;CD$6,'Job Master'!$F$12:$I$102,4,0)-1),""),"")</f>
        <v/>
      </c>
      <c r="CG94" s="73"/>
      <c r="CH94" s="123" t="str">
        <f t="shared" si="165"/>
        <v/>
      </c>
      <c r="CI94" s="123" t="str">
        <f t="shared" si="166"/>
        <v/>
      </c>
      <c r="CJ94" s="97" t="str">
        <f t="shared" ca="1" si="167"/>
        <v/>
      </c>
      <c r="CK94" s="98" t="str">
        <f>IF(CM94&lt;&gt;"",VLOOKUP($P94&amp;" | "&amp;CK$6,'Job Master'!$F$12:$J$102,5,0),"")</f>
        <v/>
      </c>
      <c r="CL94" s="19" t="str">
        <f>IF(CM94&lt;&gt;"",VLOOKUP($P94&amp;" | "&amp;CK$6,'Job Master'!$F$12:$J$102,3,0),"")</f>
        <v/>
      </c>
      <c r="CM94" s="19" t="str">
        <f>IFERROR(IF(AND(CT94&lt;&gt;"",VLOOKUP($P94&amp;" | "&amp;CK$6,'Job Master'!$F$12:$I$102,4,0)&lt;&gt;""),IF(WEEKDAY(CT94-VLOOKUP($P94&amp;" | "&amp;CK$6,'Job Master'!$F$12:$I$102,4,0))&lt;&gt;7,CT94-VLOOKUP($P94&amp;" | "&amp;CK$6,'Job Master'!$F$12:$I$102,4,0),CT94-VLOOKUP($P94&amp;" | "&amp;CK$6,'Job Master'!$F$12:$I$102,4,0)-1),""),"")</f>
        <v/>
      </c>
      <c r="CN94" s="73"/>
      <c r="CO94" s="123" t="str">
        <f t="shared" si="168"/>
        <v/>
      </c>
      <c r="CP94" s="123" t="str">
        <f t="shared" si="169"/>
        <v/>
      </c>
      <c r="CQ94" s="97" t="str">
        <f t="shared" ca="1" si="170"/>
        <v/>
      </c>
      <c r="CR94" s="98" t="str">
        <f>IF(CT94&lt;&gt;"",VLOOKUP($P94&amp;" | "&amp;CR$6,'Job Master'!$F$12:$J$102,5,0),"")</f>
        <v/>
      </c>
      <c r="CS94" s="19" t="str">
        <f>IF(CT94&lt;&gt;"",VLOOKUP($P94&amp;" | "&amp;CR$6,'Job Master'!$F$12:$J$102,3,0),"")</f>
        <v/>
      </c>
      <c r="CT94" s="19" t="str">
        <f>IFERROR(IF(AND(DA94&lt;&gt;"",VLOOKUP($P94&amp;" | "&amp;CR$6,'Job Master'!$F$12:$I$102,4,0)&lt;&gt;""),IF(WEEKDAY(DA94-VLOOKUP($P94&amp;" | "&amp;CR$6,'Job Master'!$F$12:$I$102,4,0))&lt;&gt;7,DA94-VLOOKUP($P94&amp;" | "&amp;CR$6,'Job Master'!$F$12:$I$102,4,0),DA94-VLOOKUP($P94&amp;" | "&amp;CR$6,'Job Master'!$F$12:$I$102,4,0)-1),""),"")</f>
        <v/>
      </c>
      <c r="CU94" s="73"/>
      <c r="CV94" s="123" t="str">
        <f t="shared" si="171"/>
        <v/>
      </c>
      <c r="CW94" s="123" t="str">
        <f t="shared" si="172"/>
        <v/>
      </c>
      <c r="CX94" s="97" t="str">
        <f t="shared" ca="1" si="173"/>
        <v/>
      </c>
      <c r="CY94" s="98" t="str">
        <f>IF(DA94&lt;&gt;"",VLOOKUP($P94&amp;" | "&amp;CY$6,'Job Master'!$F$12:$J$102,5,0),"")</f>
        <v/>
      </c>
      <c r="CZ94" s="19" t="str">
        <f>IF(DA94&lt;&gt;"",VLOOKUP($P94&amp;" | "&amp;CY$6,'Job Master'!$F$12:$J$102,3,0),"")</f>
        <v/>
      </c>
      <c r="DA94" s="19" t="str">
        <f>IFERROR(IF(AND(DH94&lt;&gt;"",VLOOKUP($P94&amp;" | "&amp;CY$6,'Job Master'!$F$12:$I$102,4,0)&lt;&gt;""),IF(WEEKDAY(DH94-VLOOKUP($P94&amp;" | "&amp;CY$6,'Job Master'!$F$12:$I$102,4,0))&lt;&gt;7,DH94-VLOOKUP($P94&amp;" | "&amp;CY$6,'Job Master'!$F$12:$I$102,4,0),DH94-VLOOKUP($P94&amp;" | "&amp;CY$6,'Job Master'!$F$12:$I$102,4,0)-1),""),"")</f>
        <v/>
      </c>
      <c r="DB94" s="73"/>
      <c r="DC94" s="123" t="str">
        <f t="shared" si="174"/>
        <v/>
      </c>
      <c r="DD94" s="123" t="str">
        <f t="shared" si="175"/>
        <v/>
      </c>
      <c r="DE94" s="97" t="str">
        <f t="shared" ca="1" si="176"/>
        <v/>
      </c>
      <c r="DF94" s="98" t="str">
        <f>IF(DH94&lt;&gt;"",VLOOKUP($P94&amp;" | "&amp;DF$6,'Job Master'!$F$12:$J$102,5,0),"")</f>
        <v/>
      </c>
      <c r="DG94" s="19" t="str">
        <f>IF(DH94&lt;&gt;"",VLOOKUP($P94&amp;" | "&amp;DF$6,'Job Master'!$F$12:$J$102,3,0),"")</f>
        <v/>
      </c>
      <c r="DH94" s="19" t="str">
        <f>IFERROR(IF(AND(DO94&lt;&gt;"",VLOOKUP($P94&amp;" | "&amp;DF$6,'Job Master'!$F$12:$I$102,4,0)&lt;&gt;""),IF(WEEKDAY(DO94-VLOOKUP($P94&amp;" | "&amp;DF$6,'Job Master'!$F$12:$I$102,4,0))&lt;&gt;7,DO94-VLOOKUP($P94&amp;" | "&amp;DF$6,'Job Master'!$F$12:$I$102,4,0),DO94-VLOOKUP($P94&amp;" | "&amp;DF$6,'Job Master'!$F$12:$I$102,4,0)-1),""),"")</f>
        <v/>
      </c>
      <c r="DI94" s="73"/>
      <c r="DJ94" s="123" t="str">
        <f t="shared" si="177"/>
        <v/>
      </c>
      <c r="DK94" s="123" t="str">
        <f t="shared" si="178"/>
        <v/>
      </c>
      <c r="DL94" s="97" t="str">
        <f t="shared" ca="1" si="179"/>
        <v/>
      </c>
      <c r="DM94" s="98" t="str">
        <f>IF(DO94&lt;&gt;"",VLOOKUP($P94&amp;" | "&amp;DM$6,'Job Master'!$F$12:$J$102,5,0),"")</f>
        <v/>
      </c>
      <c r="DN94" s="19" t="str">
        <f>IF(DO94&lt;&gt;"",VLOOKUP($P94&amp;" | "&amp;DM$6,'Job Master'!$F$12:$J$102,3,0),"")</f>
        <v/>
      </c>
      <c r="DO94" s="19" t="str">
        <f>IFERROR(IF(AND(DT94&lt;&gt;"",VLOOKUP($P94&amp;" | "&amp;DM$6,'Job Master'!$F$12:$I$102,4,0)&lt;&gt;""),IF(WEEKDAY(DT94-VLOOKUP($P94&amp;" | "&amp;DM$6,'Job Master'!$F$12:$I$102,4,0))&lt;&gt;7,DT94-VLOOKUP($P94&amp;" | "&amp;DM$6,'Job Master'!$F$12:$I$102,4,0),DT94-VLOOKUP($P94&amp;" | "&amp;DM$6,'Job Master'!$F$12:$I$102,4,0)-1),""),"")</f>
        <v/>
      </c>
      <c r="DP94" s="73"/>
      <c r="DQ94" s="123" t="str">
        <f t="shared" si="180"/>
        <v/>
      </c>
      <c r="DR94" s="123" t="str">
        <f t="shared" si="181"/>
        <v/>
      </c>
      <c r="DS94" s="97" t="str">
        <f t="shared" ca="1" si="182"/>
        <v/>
      </c>
      <c r="DT94" s="70" t="str">
        <f t="shared" si="183"/>
        <v/>
      </c>
      <c r="DU94" s="90"/>
      <c r="DV94" s="123" t="str">
        <f t="shared" si="184"/>
        <v/>
      </c>
      <c r="DW94" s="123" t="str">
        <f t="shared" si="185"/>
        <v/>
      </c>
      <c r="DX94" s="132" t="str">
        <f t="shared" ref="DX94" ca="1" si="217">IF(DT94&lt;&gt;"",IF(WEEKNUM(DT94)=WEEKNUM(TODAY()),"This Week",IF(WEEKNUM(DT94)=WEEKNUM(TODAY())+1,"Next Week",IF(WEEKNUM(DT94)=WEEKNUM(TODAY())-1,"Previous Week",""))),"")</f>
        <v/>
      </c>
      <c r="DY94" s="134" t="str">
        <f t="shared" si="187"/>
        <v/>
      </c>
      <c r="DZ94" s="95"/>
      <c r="EB94" s="8" t="str">
        <f t="shared" si="193"/>
        <v/>
      </c>
      <c r="EC94" s="8" t="str">
        <f>IF(O94&lt;&gt;"",VLOOKUP(O94,'Job Master'!$N$12:$O$18,2,0),"")</f>
        <v/>
      </c>
      <c r="ED94" s="8">
        <f t="shared" si="194"/>
        <v>19.5</v>
      </c>
      <c r="EE94" s="8">
        <f t="shared" si="195"/>
        <v>6</v>
      </c>
      <c r="EF94" s="8">
        <f t="shared" si="196"/>
        <v>-484.5</v>
      </c>
      <c r="EG94" s="8" t="str">
        <f t="shared" si="197"/>
        <v/>
      </c>
      <c r="EH94" s="8" t="str">
        <f t="shared" si="198"/>
        <v/>
      </c>
    </row>
    <row r="95" spans="2:138" x14ac:dyDescent="0.3">
      <c r="B95" s="112"/>
      <c r="C95" s="27"/>
      <c r="D95" s="7" t="str">
        <f t="shared" si="135"/>
        <v/>
      </c>
      <c r="E95" s="25"/>
      <c r="F95" s="7" t="str">
        <f t="shared" si="135"/>
        <v/>
      </c>
      <c r="G95" s="25"/>
      <c r="H95" s="7" t="str">
        <f t="shared" si="135"/>
        <v/>
      </c>
      <c r="I95" s="25"/>
      <c r="J95" s="7" t="str">
        <f t="shared" si="135"/>
        <v/>
      </c>
      <c r="K95" s="25"/>
      <c r="L95" s="7" t="str">
        <f t="shared" si="136"/>
        <v/>
      </c>
      <c r="M95" s="25"/>
      <c r="N95" s="7" t="str">
        <f t="shared" si="137"/>
        <v/>
      </c>
      <c r="O95" s="81"/>
      <c r="P95" s="81" t="str">
        <f t="shared" si="138"/>
        <v/>
      </c>
      <c r="Q95" s="81"/>
      <c r="R95" s="7" t="str">
        <f t="shared" si="139"/>
        <v/>
      </c>
      <c r="S95" s="25"/>
      <c r="T95" s="7" t="str">
        <f t="shared" si="140"/>
        <v/>
      </c>
      <c r="U95" s="25"/>
      <c r="V95" s="7" t="str">
        <f t="shared" si="141"/>
        <v/>
      </c>
      <c r="W95" s="25"/>
      <c r="X95" s="7" t="str">
        <f t="shared" si="142"/>
        <v/>
      </c>
      <c r="Y95" s="18" t="str">
        <f t="shared" si="143"/>
        <v/>
      </c>
      <c r="Z95" s="7" t="str">
        <f t="shared" si="144"/>
        <v/>
      </c>
      <c r="AA95" s="18" t="str">
        <f t="shared" si="145"/>
        <v/>
      </c>
      <c r="AB95" s="19" t="str">
        <f t="shared" si="146"/>
        <v/>
      </c>
      <c r="AC95" s="26"/>
      <c r="AD95" s="26"/>
      <c r="AE95" s="25"/>
      <c r="AF95" s="26"/>
      <c r="AG95" s="25"/>
      <c r="AH95" s="25"/>
      <c r="AI95" s="18" t="str">
        <f t="shared" si="209"/>
        <v/>
      </c>
      <c r="AJ95" s="25"/>
      <c r="AK95" s="18" t="str">
        <f t="shared" si="210"/>
        <v/>
      </c>
      <c r="AL95" s="79"/>
      <c r="AM95" s="126" t="str">
        <f t="shared" si="211"/>
        <v/>
      </c>
      <c r="AN95" s="128" t="str">
        <f>IF(AP95&lt;&gt;"",VLOOKUP($P95&amp;" | "&amp;AN$6,'Job Master'!$F$12:$J$102,5,0),"")</f>
        <v/>
      </c>
      <c r="AO95" s="19" t="str">
        <f>IF(AP95&lt;&gt;"",VLOOKUP($P95&amp;" | "&amp;AN$6,'Job Master'!$F$12:$J$102,3,0),"")</f>
        <v/>
      </c>
      <c r="AP95" s="19" t="str">
        <f>IFERROR(IF(AND(AW95&lt;&gt;"",VLOOKUP($P95&amp;" | "&amp;AN$6,'Job Master'!$F$12:$I$102,4,0)&lt;&gt;""),IF(WEEKDAY(AW95-VLOOKUP($P95&amp;" | "&amp;AN$6,'Job Master'!$F$12:$I$102,4,0))&lt;&gt;7,AW95-VLOOKUP($P95&amp;" | "&amp;AN$6,'Job Master'!$F$12:$I$102,4,0),AW95-VLOOKUP($P95&amp;" | "&amp;AN$6,'Job Master'!$F$12:$I$102,4,0)-1),""),"")</f>
        <v/>
      </c>
      <c r="AQ95" s="73"/>
      <c r="AR95" s="123" t="str">
        <f t="shared" si="147"/>
        <v/>
      </c>
      <c r="AS95" s="123" t="str">
        <f t="shared" si="148"/>
        <v/>
      </c>
      <c r="AT95" s="97" t="str">
        <f t="shared" ca="1" si="149"/>
        <v/>
      </c>
      <c r="AU95" s="98" t="str">
        <f>IF(AW95&lt;&gt;"",VLOOKUP($P95&amp;" | "&amp;AU$6,'Job Master'!$F$12:$J$102,5,0),"")</f>
        <v/>
      </c>
      <c r="AV95" s="19" t="str">
        <f>IF(AW95&lt;&gt;"",VLOOKUP($P95&amp;" | "&amp;AU$6,'Job Master'!$F$12:$J$102,3,0),"")</f>
        <v/>
      </c>
      <c r="AW95" s="19" t="str">
        <f>IFERROR(IF(AND(BD95&lt;&gt;"",VLOOKUP($P95&amp;" | "&amp;AU$6,'Job Master'!$F$12:$I$102,4,0)&lt;&gt;""),IF(WEEKDAY(BD95-VLOOKUP($P95&amp;" | "&amp;AU$6,'Job Master'!$F$12:$I$102,4,0))&lt;&gt;7,BD95-VLOOKUP($P95&amp;" | "&amp;AU$6,'Job Master'!$F$12:$I$102,4,0),BD95-VLOOKUP($P95&amp;" | "&amp;AU$6,'Job Master'!$F$12:$I$102,4,0)-1),""),"")</f>
        <v/>
      </c>
      <c r="AX95" s="73"/>
      <c r="AY95" s="123" t="str">
        <f t="shared" si="150"/>
        <v/>
      </c>
      <c r="AZ95" s="123" t="str">
        <f t="shared" si="151"/>
        <v/>
      </c>
      <c r="BA95" s="97" t="str">
        <f t="shared" ca="1" si="152"/>
        <v/>
      </c>
      <c r="BB95" s="98" t="str">
        <f>IF(BD95&lt;&gt;"",VLOOKUP($P95&amp;" | "&amp;BB$6,'Job Master'!$F$12:$J$102,5,0),"")</f>
        <v/>
      </c>
      <c r="BC95" s="19" t="str">
        <f>IF(BD95&lt;&gt;"",VLOOKUP($P95&amp;" | "&amp;BB$6,'Job Master'!$F$12:$J$102,3,0),"")</f>
        <v/>
      </c>
      <c r="BD95" s="19" t="str">
        <f>IFERROR(IF(AND(BK95&lt;&gt;"",VLOOKUP($P95&amp;" | "&amp;BB$6,'Job Master'!$F$12:$I$102,4,0)&lt;&gt;""),IF(WEEKDAY(BK95-VLOOKUP($P95&amp;" | "&amp;BB$6,'Job Master'!$F$12:$I$102,4,0))&lt;&gt;7,BK95-VLOOKUP($P95&amp;" | "&amp;BB$6,'Job Master'!$F$12:$I$102,4,0),BK95-VLOOKUP($P95&amp;" | "&amp;BB$6,'Job Master'!$F$12:$I$102,4,0)-1),""),"")</f>
        <v/>
      </c>
      <c r="BE95" s="73"/>
      <c r="BF95" s="123" t="str">
        <f t="shared" si="153"/>
        <v/>
      </c>
      <c r="BG95" s="123" t="str">
        <f t="shared" si="154"/>
        <v/>
      </c>
      <c r="BH95" s="97" t="str">
        <f t="shared" ca="1" si="155"/>
        <v/>
      </c>
      <c r="BI95" s="98" t="str">
        <f>IF(BK95&lt;&gt;"",VLOOKUP($P95&amp;" | "&amp;BI$6,'Job Master'!$F$12:$J$102,5,0),"")</f>
        <v/>
      </c>
      <c r="BJ95" s="19" t="str">
        <f>IF(BK95&lt;&gt;"",VLOOKUP($P95&amp;" | "&amp;BI$6,'Job Master'!$F$12:$J$102,3,0),"")</f>
        <v/>
      </c>
      <c r="BK95" s="19" t="str">
        <f>IFERROR(IF(AND(BR95&lt;&gt;"",VLOOKUP($P95&amp;" | "&amp;BI$6,'Job Master'!$F$12:$I$102,4,0)&lt;&gt;""),IF(WEEKDAY(BR95-VLOOKUP($P95&amp;" | "&amp;BI$6,'Job Master'!$F$12:$I$102,4,0))&lt;&gt;7,BR95-VLOOKUP($P95&amp;" | "&amp;BI$6,'Job Master'!$F$12:$I$102,4,0),BR95-VLOOKUP($P95&amp;" | "&amp;BI$6,'Job Master'!$F$12:$I$102,4,0)-1),""),"")</f>
        <v/>
      </c>
      <c r="BL95" s="73"/>
      <c r="BM95" s="123" t="str">
        <f t="shared" si="156"/>
        <v/>
      </c>
      <c r="BN95" s="123" t="str">
        <f t="shared" si="157"/>
        <v/>
      </c>
      <c r="BO95" s="97" t="str">
        <f t="shared" ca="1" si="158"/>
        <v/>
      </c>
      <c r="BP95" s="98" t="str">
        <f>IF(BR95&lt;&gt;"",VLOOKUP($P95&amp;" | "&amp;BP$6,'Job Master'!$F$12:$J$102,5,0),"")</f>
        <v/>
      </c>
      <c r="BQ95" s="19" t="str">
        <f>IF(BR95&lt;&gt;"",VLOOKUP($P95&amp;" | "&amp;BP$6,'Job Master'!$F$12:$J$102,3,0),"")</f>
        <v/>
      </c>
      <c r="BR95" s="19" t="str">
        <f>IFERROR(IF(AND(BY95&lt;&gt;"",VLOOKUP($P95&amp;" | "&amp;BP$6,'Job Master'!$F$12:$I$102,4,0)&lt;&gt;""),IF(WEEKDAY(BY95-VLOOKUP($P95&amp;" | "&amp;BP$6,'Job Master'!$F$12:$I$102,4,0))&lt;&gt;7,BY95-VLOOKUP($P95&amp;" | "&amp;BP$6,'Job Master'!$F$12:$I$102,4,0),BY95-VLOOKUP($P95&amp;" | "&amp;BP$6,'Job Master'!$F$12:$I$102,4,0)-1),""),"")</f>
        <v/>
      </c>
      <c r="BS95" s="73"/>
      <c r="BT95" s="123" t="str">
        <f t="shared" si="159"/>
        <v/>
      </c>
      <c r="BU95" s="123" t="str">
        <f t="shared" si="160"/>
        <v/>
      </c>
      <c r="BV95" s="97" t="str">
        <f t="shared" ca="1" si="161"/>
        <v/>
      </c>
      <c r="BW95" s="98" t="str">
        <f>IF(BY95&lt;&gt;"",VLOOKUP($P95&amp;" | "&amp;BW$6,'Job Master'!$F$12:$J$102,5,0),"")</f>
        <v/>
      </c>
      <c r="BX95" s="19" t="str">
        <f>IF(BY95&lt;&gt;"",VLOOKUP($P95&amp;" | "&amp;BW$6,'Job Master'!$F$12:$J$102,3,0),"")</f>
        <v/>
      </c>
      <c r="BY95" s="19" t="str">
        <f>IFERROR(IF(AND(CF95&lt;&gt;"",VLOOKUP($P95&amp;" | "&amp;BW$6,'Job Master'!$F$12:$I$102,4,0)&lt;&gt;""),IF(WEEKDAY(CF95-VLOOKUP($P95&amp;" | "&amp;BW$6,'Job Master'!$F$12:$I$102,4,0))&lt;&gt;7,CF95-VLOOKUP($P95&amp;" | "&amp;BW$6,'Job Master'!$F$12:$I$102,4,0),CF95-VLOOKUP($P95&amp;" | "&amp;BW$6,'Job Master'!$F$12:$I$102,4,0)-1),""),"")</f>
        <v/>
      </c>
      <c r="BZ95" s="73"/>
      <c r="CA95" s="123" t="str">
        <f t="shared" si="162"/>
        <v/>
      </c>
      <c r="CB95" s="123" t="str">
        <f t="shared" si="163"/>
        <v/>
      </c>
      <c r="CC95" s="97" t="str">
        <f t="shared" ca="1" si="164"/>
        <v/>
      </c>
      <c r="CD95" s="98" t="str">
        <f>IF(CF95&lt;&gt;"",VLOOKUP($P95&amp;" | "&amp;CD$6,'Job Master'!$F$12:$J$102,5,0),"")</f>
        <v/>
      </c>
      <c r="CE95" s="19" t="str">
        <f>IF(CF95&lt;&gt;"",VLOOKUP($P95&amp;" | "&amp;CD$6,'Job Master'!$F$12:$J$102,3,0),"")</f>
        <v/>
      </c>
      <c r="CF95" s="19" t="str">
        <f>IFERROR(IF(AND(CM95&lt;&gt;"",VLOOKUP($P95&amp;" | "&amp;CD$6,'Job Master'!$F$12:$I$102,4,0)&lt;&gt;""),IF(WEEKDAY(CM95-VLOOKUP($P95&amp;" | "&amp;CD$6,'Job Master'!$F$12:$I$102,4,0))&lt;&gt;7,CM95-VLOOKUP($P95&amp;" | "&amp;CD$6,'Job Master'!$F$12:$I$102,4,0),CM95-VLOOKUP($P95&amp;" | "&amp;CD$6,'Job Master'!$F$12:$I$102,4,0)-1),""),"")</f>
        <v/>
      </c>
      <c r="CG95" s="73"/>
      <c r="CH95" s="123" t="str">
        <f t="shared" si="165"/>
        <v/>
      </c>
      <c r="CI95" s="123" t="str">
        <f t="shared" si="166"/>
        <v/>
      </c>
      <c r="CJ95" s="97" t="str">
        <f t="shared" ca="1" si="167"/>
        <v/>
      </c>
      <c r="CK95" s="98" t="str">
        <f>IF(CM95&lt;&gt;"",VLOOKUP($P95&amp;" | "&amp;CK$6,'Job Master'!$F$12:$J$102,5,0),"")</f>
        <v/>
      </c>
      <c r="CL95" s="19" t="str">
        <f>IF(CM95&lt;&gt;"",VLOOKUP($P95&amp;" | "&amp;CK$6,'Job Master'!$F$12:$J$102,3,0),"")</f>
        <v/>
      </c>
      <c r="CM95" s="19" t="str">
        <f>IFERROR(IF(AND(CT95&lt;&gt;"",VLOOKUP($P95&amp;" | "&amp;CK$6,'Job Master'!$F$12:$I$102,4,0)&lt;&gt;""),IF(WEEKDAY(CT95-VLOOKUP($P95&amp;" | "&amp;CK$6,'Job Master'!$F$12:$I$102,4,0))&lt;&gt;7,CT95-VLOOKUP($P95&amp;" | "&amp;CK$6,'Job Master'!$F$12:$I$102,4,0),CT95-VLOOKUP($P95&amp;" | "&amp;CK$6,'Job Master'!$F$12:$I$102,4,0)-1),""),"")</f>
        <v/>
      </c>
      <c r="CN95" s="73"/>
      <c r="CO95" s="123" t="str">
        <f t="shared" si="168"/>
        <v/>
      </c>
      <c r="CP95" s="123" t="str">
        <f t="shared" si="169"/>
        <v/>
      </c>
      <c r="CQ95" s="97" t="str">
        <f t="shared" ca="1" si="170"/>
        <v/>
      </c>
      <c r="CR95" s="98" t="str">
        <f>IF(CT95&lt;&gt;"",VLOOKUP($P95&amp;" | "&amp;CR$6,'Job Master'!$F$12:$J$102,5,0),"")</f>
        <v/>
      </c>
      <c r="CS95" s="19" t="str">
        <f>IF(CT95&lt;&gt;"",VLOOKUP($P95&amp;" | "&amp;CR$6,'Job Master'!$F$12:$J$102,3,0),"")</f>
        <v/>
      </c>
      <c r="CT95" s="19" t="str">
        <f>IFERROR(IF(AND(DA95&lt;&gt;"",VLOOKUP($P95&amp;" | "&amp;CR$6,'Job Master'!$F$12:$I$102,4,0)&lt;&gt;""),IF(WEEKDAY(DA95-VLOOKUP($P95&amp;" | "&amp;CR$6,'Job Master'!$F$12:$I$102,4,0))&lt;&gt;7,DA95-VLOOKUP($P95&amp;" | "&amp;CR$6,'Job Master'!$F$12:$I$102,4,0),DA95-VLOOKUP($P95&amp;" | "&amp;CR$6,'Job Master'!$F$12:$I$102,4,0)-1),""),"")</f>
        <v/>
      </c>
      <c r="CU95" s="73"/>
      <c r="CV95" s="123" t="str">
        <f t="shared" si="171"/>
        <v/>
      </c>
      <c r="CW95" s="123" t="str">
        <f t="shared" si="172"/>
        <v/>
      </c>
      <c r="CX95" s="97" t="str">
        <f t="shared" ca="1" si="173"/>
        <v/>
      </c>
      <c r="CY95" s="98" t="str">
        <f>IF(DA95&lt;&gt;"",VLOOKUP($P95&amp;" | "&amp;CY$6,'Job Master'!$F$12:$J$102,5,0),"")</f>
        <v/>
      </c>
      <c r="CZ95" s="19" t="str">
        <f>IF(DA95&lt;&gt;"",VLOOKUP($P95&amp;" | "&amp;CY$6,'Job Master'!$F$12:$J$102,3,0),"")</f>
        <v/>
      </c>
      <c r="DA95" s="19" t="str">
        <f>IFERROR(IF(AND(DH95&lt;&gt;"",VLOOKUP($P95&amp;" | "&amp;CY$6,'Job Master'!$F$12:$I$102,4,0)&lt;&gt;""),IF(WEEKDAY(DH95-VLOOKUP($P95&amp;" | "&amp;CY$6,'Job Master'!$F$12:$I$102,4,0))&lt;&gt;7,DH95-VLOOKUP($P95&amp;" | "&amp;CY$6,'Job Master'!$F$12:$I$102,4,0),DH95-VLOOKUP($P95&amp;" | "&amp;CY$6,'Job Master'!$F$12:$I$102,4,0)-1),""),"")</f>
        <v/>
      </c>
      <c r="DB95" s="73"/>
      <c r="DC95" s="123" t="str">
        <f t="shared" si="174"/>
        <v/>
      </c>
      <c r="DD95" s="123" t="str">
        <f t="shared" si="175"/>
        <v/>
      </c>
      <c r="DE95" s="97" t="str">
        <f t="shared" ca="1" si="176"/>
        <v/>
      </c>
      <c r="DF95" s="98" t="str">
        <f>IF(DH95&lt;&gt;"",VLOOKUP($P95&amp;" | "&amp;DF$6,'Job Master'!$F$12:$J$102,5,0),"")</f>
        <v/>
      </c>
      <c r="DG95" s="19" t="str">
        <f>IF(DH95&lt;&gt;"",VLOOKUP($P95&amp;" | "&amp;DF$6,'Job Master'!$F$12:$J$102,3,0),"")</f>
        <v/>
      </c>
      <c r="DH95" s="19" t="str">
        <f>IFERROR(IF(AND(DO95&lt;&gt;"",VLOOKUP($P95&amp;" | "&amp;DF$6,'Job Master'!$F$12:$I$102,4,0)&lt;&gt;""),IF(WEEKDAY(DO95-VLOOKUP($P95&amp;" | "&amp;DF$6,'Job Master'!$F$12:$I$102,4,0))&lt;&gt;7,DO95-VLOOKUP($P95&amp;" | "&amp;DF$6,'Job Master'!$F$12:$I$102,4,0),DO95-VLOOKUP($P95&amp;" | "&amp;DF$6,'Job Master'!$F$12:$I$102,4,0)-1),""),"")</f>
        <v/>
      </c>
      <c r="DI95" s="73"/>
      <c r="DJ95" s="123" t="str">
        <f t="shared" si="177"/>
        <v/>
      </c>
      <c r="DK95" s="123" t="str">
        <f t="shared" si="178"/>
        <v/>
      </c>
      <c r="DL95" s="97" t="str">
        <f t="shared" ca="1" si="179"/>
        <v/>
      </c>
      <c r="DM95" s="98" t="str">
        <f>IF(DO95&lt;&gt;"",VLOOKUP($P95&amp;" | "&amp;DM$6,'Job Master'!$F$12:$J$102,5,0),"")</f>
        <v/>
      </c>
      <c r="DN95" s="19" t="str">
        <f>IF(DO95&lt;&gt;"",VLOOKUP($P95&amp;" | "&amp;DM$6,'Job Master'!$F$12:$J$102,3,0),"")</f>
        <v/>
      </c>
      <c r="DO95" s="19" t="str">
        <f>IFERROR(IF(AND(DT95&lt;&gt;"",VLOOKUP($P95&amp;" | "&amp;DM$6,'Job Master'!$F$12:$I$102,4,0)&lt;&gt;""),IF(WEEKDAY(DT95-VLOOKUP($P95&amp;" | "&amp;DM$6,'Job Master'!$F$12:$I$102,4,0))&lt;&gt;7,DT95-VLOOKUP($P95&amp;" | "&amp;DM$6,'Job Master'!$F$12:$I$102,4,0),DT95-VLOOKUP($P95&amp;" | "&amp;DM$6,'Job Master'!$F$12:$I$102,4,0)-1),""),"")</f>
        <v/>
      </c>
      <c r="DP95" s="73"/>
      <c r="DQ95" s="123" t="str">
        <f t="shared" si="180"/>
        <v/>
      </c>
      <c r="DR95" s="123" t="str">
        <f t="shared" si="181"/>
        <v/>
      </c>
      <c r="DS95" s="97" t="str">
        <f t="shared" ca="1" si="182"/>
        <v/>
      </c>
      <c r="DT95" s="70" t="str">
        <f t="shared" si="183"/>
        <v/>
      </c>
      <c r="DU95" s="90"/>
      <c r="DV95" s="123" t="str">
        <f t="shared" si="184"/>
        <v/>
      </c>
      <c r="DW95" s="123" t="str">
        <f t="shared" si="185"/>
        <v/>
      </c>
      <c r="DX95" s="132" t="str">
        <f t="shared" ref="DX95" ca="1" si="218">IF(DT95&lt;&gt;"",IF(WEEKNUM(DT95)=WEEKNUM(TODAY()),"This Week",IF(WEEKNUM(DT95)=WEEKNUM(TODAY())+1,"Next Week",IF(WEEKNUM(DT95)=WEEKNUM(TODAY())-1,"Previous Week",""))),"")</f>
        <v/>
      </c>
      <c r="DY95" s="134" t="str">
        <f t="shared" si="187"/>
        <v/>
      </c>
      <c r="DZ95" s="95"/>
      <c r="EB95" s="8" t="str">
        <f t="shared" si="193"/>
        <v/>
      </c>
      <c r="EC95" s="8" t="str">
        <f>IF(O95&lt;&gt;"",VLOOKUP(O95,'Job Master'!$N$12:$O$18,2,0),"")</f>
        <v/>
      </c>
      <c r="ED95" s="8">
        <f t="shared" si="194"/>
        <v>19.5</v>
      </c>
      <c r="EE95" s="8">
        <f t="shared" si="195"/>
        <v>6</v>
      </c>
      <c r="EF95" s="8">
        <f t="shared" si="196"/>
        <v>-490.5</v>
      </c>
      <c r="EG95" s="8" t="str">
        <f t="shared" si="197"/>
        <v/>
      </c>
      <c r="EH95" s="8" t="str">
        <f t="shared" si="198"/>
        <v/>
      </c>
    </row>
    <row r="96" spans="2:138" x14ac:dyDescent="0.3">
      <c r="B96" s="112"/>
      <c r="C96" s="27"/>
      <c r="D96" s="7" t="str">
        <f t="shared" si="135"/>
        <v/>
      </c>
      <c r="E96" s="25"/>
      <c r="F96" s="7" t="str">
        <f t="shared" si="135"/>
        <v/>
      </c>
      <c r="G96" s="25"/>
      <c r="H96" s="7" t="str">
        <f t="shared" si="135"/>
        <v/>
      </c>
      <c r="I96" s="25"/>
      <c r="J96" s="7" t="str">
        <f t="shared" si="135"/>
        <v/>
      </c>
      <c r="K96" s="25"/>
      <c r="L96" s="7" t="str">
        <f t="shared" si="136"/>
        <v/>
      </c>
      <c r="M96" s="25"/>
      <c r="N96" s="7" t="str">
        <f t="shared" si="137"/>
        <v/>
      </c>
      <c r="O96" s="81"/>
      <c r="P96" s="81" t="str">
        <f t="shared" si="138"/>
        <v/>
      </c>
      <c r="Q96" s="81"/>
      <c r="R96" s="7" t="str">
        <f t="shared" si="139"/>
        <v/>
      </c>
      <c r="S96" s="25"/>
      <c r="T96" s="7" t="str">
        <f t="shared" si="140"/>
        <v/>
      </c>
      <c r="U96" s="25"/>
      <c r="V96" s="7" t="str">
        <f t="shared" si="141"/>
        <v/>
      </c>
      <c r="W96" s="25"/>
      <c r="X96" s="7" t="str">
        <f t="shared" si="142"/>
        <v/>
      </c>
      <c r="Y96" s="18" t="str">
        <f t="shared" si="143"/>
        <v/>
      </c>
      <c r="Z96" s="7" t="str">
        <f t="shared" si="144"/>
        <v/>
      </c>
      <c r="AA96" s="18" t="str">
        <f t="shared" si="145"/>
        <v/>
      </c>
      <c r="AB96" s="19" t="str">
        <f t="shared" si="146"/>
        <v/>
      </c>
      <c r="AC96" s="26"/>
      <c r="AD96" s="26"/>
      <c r="AE96" s="25"/>
      <c r="AF96" s="26"/>
      <c r="AG96" s="25"/>
      <c r="AH96" s="25"/>
      <c r="AI96" s="18" t="str">
        <f t="shared" si="209"/>
        <v/>
      </c>
      <c r="AJ96" s="25"/>
      <c r="AK96" s="18" t="str">
        <f t="shared" si="210"/>
        <v/>
      </c>
      <c r="AL96" s="79"/>
      <c r="AM96" s="126" t="str">
        <f t="shared" si="211"/>
        <v/>
      </c>
      <c r="AN96" s="128" t="str">
        <f>IF(AP96&lt;&gt;"",VLOOKUP($P96&amp;" | "&amp;AN$6,'Job Master'!$F$12:$J$102,5,0),"")</f>
        <v/>
      </c>
      <c r="AO96" s="19" t="str">
        <f>IF(AP96&lt;&gt;"",VLOOKUP($P96&amp;" | "&amp;AN$6,'Job Master'!$F$12:$J$102,3,0),"")</f>
        <v/>
      </c>
      <c r="AP96" s="19" t="str">
        <f>IFERROR(IF(AND(AW96&lt;&gt;"",VLOOKUP($P96&amp;" | "&amp;AN$6,'Job Master'!$F$12:$I$102,4,0)&lt;&gt;""),IF(WEEKDAY(AW96-VLOOKUP($P96&amp;" | "&amp;AN$6,'Job Master'!$F$12:$I$102,4,0))&lt;&gt;7,AW96-VLOOKUP($P96&amp;" | "&amp;AN$6,'Job Master'!$F$12:$I$102,4,0),AW96-VLOOKUP($P96&amp;" | "&amp;AN$6,'Job Master'!$F$12:$I$102,4,0)-1),""),"")</f>
        <v/>
      </c>
      <c r="AQ96" s="73"/>
      <c r="AR96" s="123" t="str">
        <f t="shared" si="147"/>
        <v/>
      </c>
      <c r="AS96" s="123" t="str">
        <f t="shared" si="148"/>
        <v/>
      </c>
      <c r="AT96" s="97" t="str">
        <f t="shared" ca="1" si="149"/>
        <v/>
      </c>
      <c r="AU96" s="98" t="str">
        <f>IF(AW96&lt;&gt;"",VLOOKUP($P96&amp;" | "&amp;AU$6,'Job Master'!$F$12:$J$102,5,0),"")</f>
        <v/>
      </c>
      <c r="AV96" s="19" t="str">
        <f>IF(AW96&lt;&gt;"",VLOOKUP($P96&amp;" | "&amp;AU$6,'Job Master'!$F$12:$J$102,3,0),"")</f>
        <v/>
      </c>
      <c r="AW96" s="19" t="str">
        <f>IFERROR(IF(AND(BD96&lt;&gt;"",VLOOKUP($P96&amp;" | "&amp;AU$6,'Job Master'!$F$12:$I$102,4,0)&lt;&gt;""),IF(WEEKDAY(BD96-VLOOKUP($P96&amp;" | "&amp;AU$6,'Job Master'!$F$12:$I$102,4,0))&lt;&gt;7,BD96-VLOOKUP($P96&amp;" | "&amp;AU$6,'Job Master'!$F$12:$I$102,4,0),BD96-VLOOKUP($P96&amp;" | "&amp;AU$6,'Job Master'!$F$12:$I$102,4,0)-1),""),"")</f>
        <v/>
      </c>
      <c r="AX96" s="73"/>
      <c r="AY96" s="123" t="str">
        <f t="shared" si="150"/>
        <v/>
      </c>
      <c r="AZ96" s="123" t="str">
        <f t="shared" si="151"/>
        <v/>
      </c>
      <c r="BA96" s="97" t="str">
        <f t="shared" ca="1" si="152"/>
        <v/>
      </c>
      <c r="BB96" s="98" t="str">
        <f>IF(BD96&lt;&gt;"",VLOOKUP($P96&amp;" | "&amp;BB$6,'Job Master'!$F$12:$J$102,5,0),"")</f>
        <v/>
      </c>
      <c r="BC96" s="19" t="str">
        <f>IF(BD96&lt;&gt;"",VLOOKUP($P96&amp;" | "&amp;BB$6,'Job Master'!$F$12:$J$102,3,0),"")</f>
        <v/>
      </c>
      <c r="BD96" s="19" t="str">
        <f>IFERROR(IF(AND(BK96&lt;&gt;"",VLOOKUP($P96&amp;" | "&amp;BB$6,'Job Master'!$F$12:$I$102,4,0)&lt;&gt;""),IF(WEEKDAY(BK96-VLOOKUP($P96&amp;" | "&amp;BB$6,'Job Master'!$F$12:$I$102,4,0))&lt;&gt;7,BK96-VLOOKUP($P96&amp;" | "&amp;BB$6,'Job Master'!$F$12:$I$102,4,0),BK96-VLOOKUP($P96&amp;" | "&amp;BB$6,'Job Master'!$F$12:$I$102,4,0)-1),""),"")</f>
        <v/>
      </c>
      <c r="BE96" s="73"/>
      <c r="BF96" s="123" t="str">
        <f t="shared" si="153"/>
        <v/>
      </c>
      <c r="BG96" s="123" t="str">
        <f t="shared" si="154"/>
        <v/>
      </c>
      <c r="BH96" s="97" t="str">
        <f t="shared" ca="1" si="155"/>
        <v/>
      </c>
      <c r="BI96" s="98" t="str">
        <f>IF(BK96&lt;&gt;"",VLOOKUP($P96&amp;" | "&amp;BI$6,'Job Master'!$F$12:$J$102,5,0),"")</f>
        <v/>
      </c>
      <c r="BJ96" s="19" t="str">
        <f>IF(BK96&lt;&gt;"",VLOOKUP($P96&amp;" | "&amp;BI$6,'Job Master'!$F$12:$J$102,3,0),"")</f>
        <v/>
      </c>
      <c r="BK96" s="19" t="str">
        <f>IFERROR(IF(AND(BR96&lt;&gt;"",VLOOKUP($P96&amp;" | "&amp;BI$6,'Job Master'!$F$12:$I$102,4,0)&lt;&gt;""),IF(WEEKDAY(BR96-VLOOKUP($P96&amp;" | "&amp;BI$6,'Job Master'!$F$12:$I$102,4,0))&lt;&gt;7,BR96-VLOOKUP($P96&amp;" | "&amp;BI$6,'Job Master'!$F$12:$I$102,4,0),BR96-VLOOKUP($P96&amp;" | "&amp;BI$6,'Job Master'!$F$12:$I$102,4,0)-1),""),"")</f>
        <v/>
      </c>
      <c r="BL96" s="73"/>
      <c r="BM96" s="123" t="str">
        <f t="shared" si="156"/>
        <v/>
      </c>
      <c r="BN96" s="123" t="str">
        <f t="shared" si="157"/>
        <v/>
      </c>
      <c r="BO96" s="97" t="str">
        <f t="shared" ca="1" si="158"/>
        <v/>
      </c>
      <c r="BP96" s="98" t="str">
        <f>IF(BR96&lt;&gt;"",VLOOKUP($P96&amp;" | "&amp;BP$6,'Job Master'!$F$12:$J$102,5,0),"")</f>
        <v/>
      </c>
      <c r="BQ96" s="19" t="str">
        <f>IF(BR96&lt;&gt;"",VLOOKUP($P96&amp;" | "&amp;BP$6,'Job Master'!$F$12:$J$102,3,0),"")</f>
        <v/>
      </c>
      <c r="BR96" s="19" t="str">
        <f>IFERROR(IF(AND(BY96&lt;&gt;"",VLOOKUP($P96&amp;" | "&amp;BP$6,'Job Master'!$F$12:$I$102,4,0)&lt;&gt;""),IF(WEEKDAY(BY96-VLOOKUP($P96&amp;" | "&amp;BP$6,'Job Master'!$F$12:$I$102,4,0))&lt;&gt;7,BY96-VLOOKUP($P96&amp;" | "&amp;BP$6,'Job Master'!$F$12:$I$102,4,0),BY96-VLOOKUP($P96&amp;" | "&amp;BP$6,'Job Master'!$F$12:$I$102,4,0)-1),""),"")</f>
        <v/>
      </c>
      <c r="BS96" s="73"/>
      <c r="BT96" s="123" t="str">
        <f t="shared" si="159"/>
        <v/>
      </c>
      <c r="BU96" s="123" t="str">
        <f t="shared" si="160"/>
        <v/>
      </c>
      <c r="BV96" s="97" t="str">
        <f t="shared" ca="1" si="161"/>
        <v/>
      </c>
      <c r="BW96" s="98" t="str">
        <f>IF(BY96&lt;&gt;"",VLOOKUP($P96&amp;" | "&amp;BW$6,'Job Master'!$F$12:$J$102,5,0),"")</f>
        <v/>
      </c>
      <c r="BX96" s="19" t="str">
        <f>IF(BY96&lt;&gt;"",VLOOKUP($P96&amp;" | "&amp;BW$6,'Job Master'!$F$12:$J$102,3,0),"")</f>
        <v/>
      </c>
      <c r="BY96" s="19" t="str">
        <f>IFERROR(IF(AND(CF96&lt;&gt;"",VLOOKUP($P96&amp;" | "&amp;BW$6,'Job Master'!$F$12:$I$102,4,0)&lt;&gt;""),IF(WEEKDAY(CF96-VLOOKUP($P96&amp;" | "&amp;BW$6,'Job Master'!$F$12:$I$102,4,0))&lt;&gt;7,CF96-VLOOKUP($P96&amp;" | "&amp;BW$6,'Job Master'!$F$12:$I$102,4,0),CF96-VLOOKUP($P96&amp;" | "&amp;BW$6,'Job Master'!$F$12:$I$102,4,0)-1),""),"")</f>
        <v/>
      </c>
      <c r="BZ96" s="73"/>
      <c r="CA96" s="123" t="str">
        <f t="shared" si="162"/>
        <v/>
      </c>
      <c r="CB96" s="123" t="str">
        <f t="shared" si="163"/>
        <v/>
      </c>
      <c r="CC96" s="97" t="str">
        <f t="shared" ca="1" si="164"/>
        <v/>
      </c>
      <c r="CD96" s="98" t="str">
        <f>IF(CF96&lt;&gt;"",VLOOKUP($P96&amp;" | "&amp;CD$6,'Job Master'!$F$12:$J$102,5,0),"")</f>
        <v/>
      </c>
      <c r="CE96" s="19" t="str">
        <f>IF(CF96&lt;&gt;"",VLOOKUP($P96&amp;" | "&amp;CD$6,'Job Master'!$F$12:$J$102,3,0),"")</f>
        <v/>
      </c>
      <c r="CF96" s="19" t="str">
        <f>IFERROR(IF(AND(CM96&lt;&gt;"",VLOOKUP($P96&amp;" | "&amp;CD$6,'Job Master'!$F$12:$I$102,4,0)&lt;&gt;""),IF(WEEKDAY(CM96-VLOOKUP($P96&amp;" | "&amp;CD$6,'Job Master'!$F$12:$I$102,4,0))&lt;&gt;7,CM96-VLOOKUP($P96&amp;" | "&amp;CD$6,'Job Master'!$F$12:$I$102,4,0),CM96-VLOOKUP($P96&amp;" | "&amp;CD$6,'Job Master'!$F$12:$I$102,4,0)-1),""),"")</f>
        <v/>
      </c>
      <c r="CG96" s="73"/>
      <c r="CH96" s="123" t="str">
        <f t="shared" si="165"/>
        <v/>
      </c>
      <c r="CI96" s="123" t="str">
        <f t="shared" si="166"/>
        <v/>
      </c>
      <c r="CJ96" s="97" t="str">
        <f t="shared" ca="1" si="167"/>
        <v/>
      </c>
      <c r="CK96" s="98" t="str">
        <f>IF(CM96&lt;&gt;"",VLOOKUP($P96&amp;" | "&amp;CK$6,'Job Master'!$F$12:$J$102,5,0),"")</f>
        <v/>
      </c>
      <c r="CL96" s="19" t="str">
        <f>IF(CM96&lt;&gt;"",VLOOKUP($P96&amp;" | "&amp;CK$6,'Job Master'!$F$12:$J$102,3,0),"")</f>
        <v/>
      </c>
      <c r="CM96" s="19" t="str">
        <f>IFERROR(IF(AND(CT96&lt;&gt;"",VLOOKUP($P96&amp;" | "&amp;CK$6,'Job Master'!$F$12:$I$102,4,0)&lt;&gt;""),IF(WEEKDAY(CT96-VLOOKUP($P96&amp;" | "&amp;CK$6,'Job Master'!$F$12:$I$102,4,0))&lt;&gt;7,CT96-VLOOKUP($P96&amp;" | "&amp;CK$6,'Job Master'!$F$12:$I$102,4,0),CT96-VLOOKUP($P96&amp;" | "&amp;CK$6,'Job Master'!$F$12:$I$102,4,0)-1),""),"")</f>
        <v/>
      </c>
      <c r="CN96" s="73"/>
      <c r="CO96" s="123" t="str">
        <f t="shared" si="168"/>
        <v/>
      </c>
      <c r="CP96" s="123" t="str">
        <f t="shared" si="169"/>
        <v/>
      </c>
      <c r="CQ96" s="97" t="str">
        <f t="shared" ca="1" si="170"/>
        <v/>
      </c>
      <c r="CR96" s="98" t="str">
        <f>IF(CT96&lt;&gt;"",VLOOKUP($P96&amp;" | "&amp;CR$6,'Job Master'!$F$12:$J$102,5,0),"")</f>
        <v/>
      </c>
      <c r="CS96" s="19" t="str">
        <f>IF(CT96&lt;&gt;"",VLOOKUP($P96&amp;" | "&amp;CR$6,'Job Master'!$F$12:$J$102,3,0),"")</f>
        <v/>
      </c>
      <c r="CT96" s="19" t="str">
        <f>IFERROR(IF(AND(DA96&lt;&gt;"",VLOOKUP($P96&amp;" | "&amp;CR$6,'Job Master'!$F$12:$I$102,4,0)&lt;&gt;""),IF(WEEKDAY(DA96-VLOOKUP($P96&amp;" | "&amp;CR$6,'Job Master'!$F$12:$I$102,4,0))&lt;&gt;7,DA96-VLOOKUP($P96&amp;" | "&amp;CR$6,'Job Master'!$F$12:$I$102,4,0),DA96-VLOOKUP($P96&amp;" | "&amp;CR$6,'Job Master'!$F$12:$I$102,4,0)-1),""),"")</f>
        <v/>
      </c>
      <c r="CU96" s="73"/>
      <c r="CV96" s="123" t="str">
        <f t="shared" si="171"/>
        <v/>
      </c>
      <c r="CW96" s="123" t="str">
        <f t="shared" si="172"/>
        <v/>
      </c>
      <c r="CX96" s="97" t="str">
        <f t="shared" ca="1" si="173"/>
        <v/>
      </c>
      <c r="CY96" s="98" t="str">
        <f>IF(DA96&lt;&gt;"",VLOOKUP($P96&amp;" | "&amp;CY$6,'Job Master'!$F$12:$J$102,5,0),"")</f>
        <v/>
      </c>
      <c r="CZ96" s="19" t="str">
        <f>IF(DA96&lt;&gt;"",VLOOKUP($P96&amp;" | "&amp;CY$6,'Job Master'!$F$12:$J$102,3,0),"")</f>
        <v/>
      </c>
      <c r="DA96" s="19" t="str">
        <f>IFERROR(IF(AND(DH96&lt;&gt;"",VLOOKUP($P96&amp;" | "&amp;CY$6,'Job Master'!$F$12:$I$102,4,0)&lt;&gt;""),IF(WEEKDAY(DH96-VLOOKUP($P96&amp;" | "&amp;CY$6,'Job Master'!$F$12:$I$102,4,0))&lt;&gt;7,DH96-VLOOKUP($P96&amp;" | "&amp;CY$6,'Job Master'!$F$12:$I$102,4,0),DH96-VLOOKUP($P96&amp;" | "&amp;CY$6,'Job Master'!$F$12:$I$102,4,0)-1),""),"")</f>
        <v/>
      </c>
      <c r="DB96" s="73"/>
      <c r="DC96" s="123" t="str">
        <f t="shared" si="174"/>
        <v/>
      </c>
      <c r="DD96" s="123" t="str">
        <f t="shared" si="175"/>
        <v/>
      </c>
      <c r="DE96" s="97" t="str">
        <f t="shared" ca="1" si="176"/>
        <v/>
      </c>
      <c r="DF96" s="98" t="str">
        <f>IF(DH96&lt;&gt;"",VLOOKUP($P96&amp;" | "&amp;DF$6,'Job Master'!$F$12:$J$102,5,0),"")</f>
        <v/>
      </c>
      <c r="DG96" s="19" t="str">
        <f>IF(DH96&lt;&gt;"",VLOOKUP($P96&amp;" | "&amp;DF$6,'Job Master'!$F$12:$J$102,3,0),"")</f>
        <v/>
      </c>
      <c r="DH96" s="19" t="str">
        <f>IFERROR(IF(AND(DO96&lt;&gt;"",VLOOKUP($P96&amp;" | "&amp;DF$6,'Job Master'!$F$12:$I$102,4,0)&lt;&gt;""),IF(WEEKDAY(DO96-VLOOKUP($P96&amp;" | "&amp;DF$6,'Job Master'!$F$12:$I$102,4,0))&lt;&gt;7,DO96-VLOOKUP($P96&amp;" | "&amp;DF$6,'Job Master'!$F$12:$I$102,4,0),DO96-VLOOKUP($P96&amp;" | "&amp;DF$6,'Job Master'!$F$12:$I$102,4,0)-1),""),"")</f>
        <v/>
      </c>
      <c r="DI96" s="73"/>
      <c r="DJ96" s="123" t="str">
        <f t="shared" si="177"/>
        <v/>
      </c>
      <c r="DK96" s="123" t="str">
        <f t="shared" si="178"/>
        <v/>
      </c>
      <c r="DL96" s="97" t="str">
        <f t="shared" ca="1" si="179"/>
        <v/>
      </c>
      <c r="DM96" s="98" t="str">
        <f>IF(DO96&lt;&gt;"",VLOOKUP($P96&amp;" | "&amp;DM$6,'Job Master'!$F$12:$J$102,5,0),"")</f>
        <v/>
      </c>
      <c r="DN96" s="19" t="str">
        <f>IF(DO96&lt;&gt;"",VLOOKUP($P96&amp;" | "&amp;DM$6,'Job Master'!$F$12:$J$102,3,0),"")</f>
        <v/>
      </c>
      <c r="DO96" s="19" t="str">
        <f>IFERROR(IF(AND(DT96&lt;&gt;"",VLOOKUP($P96&amp;" | "&amp;DM$6,'Job Master'!$F$12:$I$102,4,0)&lt;&gt;""),IF(WEEKDAY(DT96-VLOOKUP($P96&amp;" | "&amp;DM$6,'Job Master'!$F$12:$I$102,4,0))&lt;&gt;7,DT96-VLOOKUP($P96&amp;" | "&amp;DM$6,'Job Master'!$F$12:$I$102,4,0),DT96-VLOOKUP($P96&amp;" | "&amp;DM$6,'Job Master'!$F$12:$I$102,4,0)-1),""),"")</f>
        <v/>
      </c>
      <c r="DP96" s="73"/>
      <c r="DQ96" s="123" t="str">
        <f t="shared" si="180"/>
        <v/>
      </c>
      <c r="DR96" s="123" t="str">
        <f t="shared" si="181"/>
        <v/>
      </c>
      <c r="DS96" s="97" t="str">
        <f t="shared" ca="1" si="182"/>
        <v/>
      </c>
      <c r="DT96" s="70" t="str">
        <f t="shared" si="183"/>
        <v/>
      </c>
      <c r="DU96" s="90"/>
      <c r="DV96" s="123" t="str">
        <f t="shared" si="184"/>
        <v/>
      </c>
      <c r="DW96" s="123" t="str">
        <f t="shared" si="185"/>
        <v/>
      </c>
      <c r="DX96" s="132" t="str">
        <f t="shared" ref="DX96" ca="1" si="219">IF(DT96&lt;&gt;"",IF(WEEKNUM(DT96)=WEEKNUM(TODAY()),"This Week",IF(WEEKNUM(DT96)=WEEKNUM(TODAY())+1,"Next Week",IF(WEEKNUM(DT96)=WEEKNUM(TODAY())-1,"Previous Week",""))),"")</f>
        <v/>
      </c>
      <c r="DY96" s="134" t="str">
        <f t="shared" si="187"/>
        <v/>
      </c>
      <c r="DZ96" s="95"/>
      <c r="EB96" s="8" t="str">
        <f t="shared" si="193"/>
        <v/>
      </c>
      <c r="EC96" s="8" t="str">
        <f>IF(O96&lt;&gt;"",VLOOKUP(O96,'Job Master'!$N$12:$O$18,2,0),"")</f>
        <v/>
      </c>
      <c r="ED96" s="8">
        <f t="shared" si="194"/>
        <v>19.5</v>
      </c>
      <c r="EE96" s="8">
        <f t="shared" si="195"/>
        <v>6</v>
      </c>
      <c r="EF96" s="8">
        <f t="shared" si="196"/>
        <v>-496.5</v>
      </c>
      <c r="EG96" s="8" t="str">
        <f t="shared" si="197"/>
        <v/>
      </c>
      <c r="EH96" s="8" t="str">
        <f t="shared" si="198"/>
        <v/>
      </c>
    </row>
    <row r="97" spans="2:138" x14ac:dyDescent="0.3">
      <c r="B97" s="112"/>
      <c r="C97" s="27"/>
      <c r="D97" s="7" t="str">
        <f t="shared" si="135"/>
        <v/>
      </c>
      <c r="E97" s="25"/>
      <c r="F97" s="7" t="str">
        <f t="shared" si="135"/>
        <v/>
      </c>
      <c r="G97" s="25"/>
      <c r="H97" s="7" t="str">
        <f t="shared" si="135"/>
        <v/>
      </c>
      <c r="I97" s="25"/>
      <c r="J97" s="7" t="str">
        <f t="shared" si="135"/>
        <v/>
      </c>
      <c r="K97" s="25"/>
      <c r="L97" s="7" t="str">
        <f t="shared" si="136"/>
        <v/>
      </c>
      <c r="M97" s="25"/>
      <c r="N97" s="7" t="str">
        <f t="shared" si="137"/>
        <v/>
      </c>
      <c r="O97" s="81"/>
      <c r="P97" s="81" t="str">
        <f t="shared" si="138"/>
        <v/>
      </c>
      <c r="Q97" s="81"/>
      <c r="R97" s="7" t="str">
        <f t="shared" si="139"/>
        <v/>
      </c>
      <c r="S97" s="25"/>
      <c r="T97" s="7" t="str">
        <f t="shared" si="140"/>
        <v/>
      </c>
      <c r="U97" s="25"/>
      <c r="V97" s="7" t="str">
        <f t="shared" si="141"/>
        <v/>
      </c>
      <c r="W97" s="25"/>
      <c r="X97" s="7" t="str">
        <f t="shared" si="142"/>
        <v/>
      </c>
      <c r="Y97" s="18" t="str">
        <f t="shared" si="143"/>
        <v/>
      </c>
      <c r="Z97" s="7" t="str">
        <f t="shared" si="144"/>
        <v/>
      </c>
      <c r="AA97" s="18" t="str">
        <f t="shared" si="145"/>
        <v/>
      </c>
      <c r="AB97" s="19" t="str">
        <f t="shared" si="146"/>
        <v/>
      </c>
      <c r="AC97" s="26"/>
      <c r="AD97" s="26"/>
      <c r="AE97" s="25"/>
      <c r="AF97" s="26"/>
      <c r="AG97" s="25"/>
      <c r="AH97" s="25"/>
      <c r="AI97" s="18" t="str">
        <f t="shared" si="209"/>
        <v/>
      </c>
      <c r="AJ97" s="25"/>
      <c r="AK97" s="18" t="str">
        <f t="shared" si="210"/>
        <v/>
      </c>
      <c r="AL97" s="79"/>
      <c r="AM97" s="126" t="str">
        <f t="shared" si="211"/>
        <v/>
      </c>
      <c r="AN97" s="128" t="str">
        <f>IF(AP97&lt;&gt;"",VLOOKUP($P97&amp;" | "&amp;AN$6,'Job Master'!$F$12:$J$102,5,0),"")</f>
        <v/>
      </c>
      <c r="AO97" s="19" t="str">
        <f>IF(AP97&lt;&gt;"",VLOOKUP($P97&amp;" | "&amp;AN$6,'Job Master'!$F$12:$J$102,3,0),"")</f>
        <v/>
      </c>
      <c r="AP97" s="19" t="str">
        <f>IFERROR(IF(AND(AW97&lt;&gt;"",VLOOKUP($P97&amp;" | "&amp;AN$6,'Job Master'!$F$12:$I$102,4,0)&lt;&gt;""),IF(WEEKDAY(AW97-VLOOKUP($P97&amp;" | "&amp;AN$6,'Job Master'!$F$12:$I$102,4,0))&lt;&gt;7,AW97-VLOOKUP($P97&amp;" | "&amp;AN$6,'Job Master'!$F$12:$I$102,4,0),AW97-VLOOKUP($P97&amp;" | "&amp;AN$6,'Job Master'!$F$12:$I$102,4,0)-1),""),"")</f>
        <v/>
      </c>
      <c r="AQ97" s="73"/>
      <c r="AR97" s="123" t="str">
        <f t="shared" si="147"/>
        <v/>
      </c>
      <c r="AS97" s="123" t="str">
        <f t="shared" si="148"/>
        <v/>
      </c>
      <c r="AT97" s="97" t="str">
        <f t="shared" ca="1" si="149"/>
        <v/>
      </c>
      <c r="AU97" s="98" t="str">
        <f>IF(AW97&lt;&gt;"",VLOOKUP($P97&amp;" | "&amp;AU$6,'Job Master'!$F$12:$J$102,5,0),"")</f>
        <v/>
      </c>
      <c r="AV97" s="19" t="str">
        <f>IF(AW97&lt;&gt;"",VLOOKUP($P97&amp;" | "&amp;AU$6,'Job Master'!$F$12:$J$102,3,0),"")</f>
        <v/>
      </c>
      <c r="AW97" s="19" t="str">
        <f>IFERROR(IF(AND(BD97&lt;&gt;"",VLOOKUP($P97&amp;" | "&amp;AU$6,'Job Master'!$F$12:$I$102,4,0)&lt;&gt;""),IF(WEEKDAY(BD97-VLOOKUP($P97&amp;" | "&amp;AU$6,'Job Master'!$F$12:$I$102,4,0))&lt;&gt;7,BD97-VLOOKUP($P97&amp;" | "&amp;AU$6,'Job Master'!$F$12:$I$102,4,0),BD97-VLOOKUP($P97&amp;" | "&amp;AU$6,'Job Master'!$F$12:$I$102,4,0)-1),""),"")</f>
        <v/>
      </c>
      <c r="AX97" s="73"/>
      <c r="AY97" s="123" t="str">
        <f t="shared" si="150"/>
        <v/>
      </c>
      <c r="AZ97" s="123" t="str">
        <f t="shared" si="151"/>
        <v/>
      </c>
      <c r="BA97" s="97" t="str">
        <f t="shared" ca="1" si="152"/>
        <v/>
      </c>
      <c r="BB97" s="98" t="str">
        <f>IF(BD97&lt;&gt;"",VLOOKUP($P97&amp;" | "&amp;BB$6,'Job Master'!$F$12:$J$102,5,0),"")</f>
        <v/>
      </c>
      <c r="BC97" s="19" t="str">
        <f>IF(BD97&lt;&gt;"",VLOOKUP($P97&amp;" | "&amp;BB$6,'Job Master'!$F$12:$J$102,3,0),"")</f>
        <v/>
      </c>
      <c r="BD97" s="19" t="str">
        <f>IFERROR(IF(AND(BK97&lt;&gt;"",VLOOKUP($P97&amp;" | "&amp;BB$6,'Job Master'!$F$12:$I$102,4,0)&lt;&gt;""),IF(WEEKDAY(BK97-VLOOKUP($P97&amp;" | "&amp;BB$6,'Job Master'!$F$12:$I$102,4,0))&lt;&gt;7,BK97-VLOOKUP($P97&amp;" | "&amp;BB$6,'Job Master'!$F$12:$I$102,4,0),BK97-VLOOKUP($P97&amp;" | "&amp;BB$6,'Job Master'!$F$12:$I$102,4,0)-1),""),"")</f>
        <v/>
      </c>
      <c r="BE97" s="73"/>
      <c r="BF97" s="123" t="str">
        <f t="shared" si="153"/>
        <v/>
      </c>
      <c r="BG97" s="123" t="str">
        <f t="shared" si="154"/>
        <v/>
      </c>
      <c r="BH97" s="97" t="str">
        <f t="shared" ca="1" si="155"/>
        <v/>
      </c>
      <c r="BI97" s="98" t="str">
        <f>IF(BK97&lt;&gt;"",VLOOKUP($P97&amp;" | "&amp;BI$6,'Job Master'!$F$12:$J$102,5,0),"")</f>
        <v/>
      </c>
      <c r="BJ97" s="19" t="str">
        <f>IF(BK97&lt;&gt;"",VLOOKUP($P97&amp;" | "&amp;BI$6,'Job Master'!$F$12:$J$102,3,0),"")</f>
        <v/>
      </c>
      <c r="BK97" s="19" t="str">
        <f>IFERROR(IF(AND(BR97&lt;&gt;"",VLOOKUP($P97&amp;" | "&amp;BI$6,'Job Master'!$F$12:$I$102,4,0)&lt;&gt;""),IF(WEEKDAY(BR97-VLOOKUP($P97&amp;" | "&amp;BI$6,'Job Master'!$F$12:$I$102,4,0))&lt;&gt;7,BR97-VLOOKUP($P97&amp;" | "&amp;BI$6,'Job Master'!$F$12:$I$102,4,0),BR97-VLOOKUP($P97&amp;" | "&amp;BI$6,'Job Master'!$F$12:$I$102,4,0)-1),""),"")</f>
        <v/>
      </c>
      <c r="BL97" s="73"/>
      <c r="BM97" s="123" t="str">
        <f t="shared" si="156"/>
        <v/>
      </c>
      <c r="BN97" s="123" t="str">
        <f t="shared" si="157"/>
        <v/>
      </c>
      <c r="BO97" s="97" t="str">
        <f t="shared" ca="1" si="158"/>
        <v/>
      </c>
      <c r="BP97" s="98" t="str">
        <f>IF(BR97&lt;&gt;"",VLOOKUP($P97&amp;" | "&amp;BP$6,'Job Master'!$F$12:$J$102,5,0),"")</f>
        <v/>
      </c>
      <c r="BQ97" s="19" t="str">
        <f>IF(BR97&lt;&gt;"",VLOOKUP($P97&amp;" | "&amp;BP$6,'Job Master'!$F$12:$J$102,3,0),"")</f>
        <v/>
      </c>
      <c r="BR97" s="19" t="str">
        <f>IFERROR(IF(AND(BY97&lt;&gt;"",VLOOKUP($P97&amp;" | "&amp;BP$6,'Job Master'!$F$12:$I$102,4,0)&lt;&gt;""),IF(WEEKDAY(BY97-VLOOKUP($P97&amp;" | "&amp;BP$6,'Job Master'!$F$12:$I$102,4,0))&lt;&gt;7,BY97-VLOOKUP($P97&amp;" | "&amp;BP$6,'Job Master'!$F$12:$I$102,4,0),BY97-VLOOKUP($P97&amp;" | "&amp;BP$6,'Job Master'!$F$12:$I$102,4,0)-1),""),"")</f>
        <v/>
      </c>
      <c r="BS97" s="73"/>
      <c r="BT97" s="123" t="str">
        <f t="shared" si="159"/>
        <v/>
      </c>
      <c r="BU97" s="123" t="str">
        <f t="shared" si="160"/>
        <v/>
      </c>
      <c r="BV97" s="97" t="str">
        <f t="shared" ca="1" si="161"/>
        <v/>
      </c>
      <c r="BW97" s="98" t="str">
        <f>IF(BY97&lt;&gt;"",VLOOKUP($P97&amp;" | "&amp;BW$6,'Job Master'!$F$12:$J$102,5,0),"")</f>
        <v/>
      </c>
      <c r="BX97" s="19" t="str">
        <f>IF(BY97&lt;&gt;"",VLOOKUP($P97&amp;" | "&amp;BW$6,'Job Master'!$F$12:$J$102,3,0),"")</f>
        <v/>
      </c>
      <c r="BY97" s="19" t="str">
        <f>IFERROR(IF(AND(CF97&lt;&gt;"",VLOOKUP($P97&amp;" | "&amp;BW$6,'Job Master'!$F$12:$I$102,4,0)&lt;&gt;""),IF(WEEKDAY(CF97-VLOOKUP($P97&amp;" | "&amp;BW$6,'Job Master'!$F$12:$I$102,4,0))&lt;&gt;7,CF97-VLOOKUP($P97&amp;" | "&amp;BW$6,'Job Master'!$F$12:$I$102,4,0),CF97-VLOOKUP($P97&amp;" | "&amp;BW$6,'Job Master'!$F$12:$I$102,4,0)-1),""),"")</f>
        <v/>
      </c>
      <c r="BZ97" s="73"/>
      <c r="CA97" s="123" t="str">
        <f t="shared" si="162"/>
        <v/>
      </c>
      <c r="CB97" s="123" t="str">
        <f t="shared" si="163"/>
        <v/>
      </c>
      <c r="CC97" s="97" t="str">
        <f t="shared" ca="1" si="164"/>
        <v/>
      </c>
      <c r="CD97" s="98" t="str">
        <f>IF(CF97&lt;&gt;"",VLOOKUP($P97&amp;" | "&amp;CD$6,'Job Master'!$F$12:$J$102,5,0),"")</f>
        <v/>
      </c>
      <c r="CE97" s="19" t="str">
        <f>IF(CF97&lt;&gt;"",VLOOKUP($P97&amp;" | "&amp;CD$6,'Job Master'!$F$12:$J$102,3,0),"")</f>
        <v/>
      </c>
      <c r="CF97" s="19" t="str">
        <f>IFERROR(IF(AND(CM97&lt;&gt;"",VLOOKUP($P97&amp;" | "&amp;CD$6,'Job Master'!$F$12:$I$102,4,0)&lt;&gt;""),IF(WEEKDAY(CM97-VLOOKUP($P97&amp;" | "&amp;CD$6,'Job Master'!$F$12:$I$102,4,0))&lt;&gt;7,CM97-VLOOKUP($P97&amp;" | "&amp;CD$6,'Job Master'!$F$12:$I$102,4,0),CM97-VLOOKUP($P97&amp;" | "&amp;CD$6,'Job Master'!$F$12:$I$102,4,0)-1),""),"")</f>
        <v/>
      </c>
      <c r="CG97" s="73"/>
      <c r="CH97" s="123" t="str">
        <f t="shared" si="165"/>
        <v/>
      </c>
      <c r="CI97" s="123" t="str">
        <f t="shared" si="166"/>
        <v/>
      </c>
      <c r="CJ97" s="97" t="str">
        <f t="shared" ca="1" si="167"/>
        <v/>
      </c>
      <c r="CK97" s="98" t="str">
        <f>IF(CM97&lt;&gt;"",VLOOKUP($P97&amp;" | "&amp;CK$6,'Job Master'!$F$12:$J$102,5,0),"")</f>
        <v/>
      </c>
      <c r="CL97" s="19" t="str">
        <f>IF(CM97&lt;&gt;"",VLOOKUP($P97&amp;" | "&amp;CK$6,'Job Master'!$F$12:$J$102,3,0),"")</f>
        <v/>
      </c>
      <c r="CM97" s="19" t="str">
        <f>IFERROR(IF(AND(CT97&lt;&gt;"",VLOOKUP($P97&amp;" | "&amp;CK$6,'Job Master'!$F$12:$I$102,4,0)&lt;&gt;""),IF(WEEKDAY(CT97-VLOOKUP($P97&amp;" | "&amp;CK$6,'Job Master'!$F$12:$I$102,4,0))&lt;&gt;7,CT97-VLOOKUP($P97&amp;" | "&amp;CK$6,'Job Master'!$F$12:$I$102,4,0),CT97-VLOOKUP($P97&amp;" | "&amp;CK$6,'Job Master'!$F$12:$I$102,4,0)-1),""),"")</f>
        <v/>
      </c>
      <c r="CN97" s="73"/>
      <c r="CO97" s="123" t="str">
        <f t="shared" si="168"/>
        <v/>
      </c>
      <c r="CP97" s="123" t="str">
        <f t="shared" si="169"/>
        <v/>
      </c>
      <c r="CQ97" s="97" t="str">
        <f t="shared" ca="1" si="170"/>
        <v/>
      </c>
      <c r="CR97" s="98" t="str">
        <f>IF(CT97&lt;&gt;"",VLOOKUP($P97&amp;" | "&amp;CR$6,'Job Master'!$F$12:$J$102,5,0),"")</f>
        <v/>
      </c>
      <c r="CS97" s="19" t="str">
        <f>IF(CT97&lt;&gt;"",VLOOKUP($P97&amp;" | "&amp;CR$6,'Job Master'!$F$12:$J$102,3,0),"")</f>
        <v/>
      </c>
      <c r="CT97" s="19" t="str">
        <f>IFERROR(IF(AND(DA97&lt;&gt;"",VLOOKUP($P97&amp;" | "&amp;CR$6,'Job Master'!$F$12:$I$102,4,0)&lt;&gt;""),IF(WEEKDAY(DA97-VLOOKUP($P97&amp;" | "&amp;CR$6,'Job Master'!$F$12:$I$102,4,0))&lt;&gt;7,DA97-VLOOKUP($P97&amp;" | "&amp;CR$6,'Job Master'!$F$12:$I$102,4,0),DA97-VLOOKUP($P97&amp;" | "&amp;CR$6,'Job Master'!$F$12:$I$102,4,0)-1),""),"")</f>
        <v/>
      </c>
      <c r="CU97" s="73"/>
      <c r="CV97" s="123" t="str">
        <f t="shared" si="171"/>
        <v/>
      </c>
      <c r="CW97" s="123" t="str">
        <f t="shared" si="172"/>
        <v/>
      </c>
      <c r="CX97" s="97" t="str">
        <f t="shared" ca="1" si="173"/>
        <v/>
      </c>
      <c r="CY97" s="98" t="str">
        <f>IF(DA97&lt;&gt;"",VLOOKUP($P97&amp;" | "&amp;CY$6,'Job Master'!$F$12:$J$102,5,0),"")</f>
        <v/>
      </c>
      <c r="CZ97" s="19" t="str">
        <f>IF(DA97&lt;&gt;"",VLOOKUP($P97&amp;" | "&amp;CY$6,'Job Master'!$F$12:$J$102,3,0),"")</f>
        <v/>
      </c>
      <c r="DA97" s="19" t="str">
        <f>IFERROR(IF(AND(DH97&lt;&gt;"",VLOOKUP($P97&amp;" | "&amp;CY$6,'Job Master'!$F$12:$I$102,4,0)&lt;&gt;""),IF(WEEKDAY(DH97-VLOOKUP($P97&amp;" | "&amp;CY$6,'Job Master'!$F$12:$I$102,4,0))&lt;&gt;7,DH97-VLOOKUP($P97&amp;" | "&amp;CY$6,'Job Master'!$F$12:$I$102,4,0),DH97-VLOOKUP($P97&amp;" | "&amp;CY$6,'Job Master'!$F$12:$I$102,4,0)-1),""),"")</f>
        <v/>
      </c>
      <c r="DB97" s="73"/>
      <c r="DC97" s="123" t="str">
        <f t="shared" si="174"/>
        <v/>
      </c>
      <c r="DD97" s="123" t="str">
        <f t="shared" si="175"/>
        <v/>
      </c>
      <c r="DE97" s="97" t="str">
        <f t="shared" ca="1" si="176"/>
        <v/>
      </c>
      <c r="DF97" s="98" t="str">
        <f>IF(DH97&lt;&gt;"",VLOOKUP($P97&amp;" | "&amp;DF$6,'Job Master'!$F$12:$J$102,5,0),"")</f>
        <v/>
      </c>
      <c r="DG97" s="19" t="str">
        <f>IF(DH97&lt;&gt;"",VLOOKUP($P97&amp;" | "&amp;DF$6,'Job Master'!$F$12:$J$102,3,0),"")</f>
        <v/>
      </c>
      <c r="DH97" s="19" t="str">
        <f>IFERROR(IF(AND(DO97&lt;&gt;"",VLOOKUP($P97&amp;" | "&amp;DF$6,'Job Master'!$F$12:$I$102,4,0)&lt;&gt;""),IF(WEEKDAY(DO97-VLOOKUP($P97&amp;" | "&amp;DF$6,'Job Master'!$F$12:$I$102,4,0))&lt;&gt;7,DO97-VLOOKUP($P97&amp;" | "&amp;DF$6,'Job Master'!$F$12:$I$102,4,0),DO97-VLOOKUP($P97&amp;" | "&amp;DF$6,'Job Master'!$F$12:$I$102,4,0)-1),""),"")</f>
        <v/>
      </c>
      <c r="DI97" s="73"/>
      <c r="DJ97" s="123" t="str">
        <f t="shared" si="177"/>
        <v/>
      </c>
      <c r="DK97" s="123" t="str">
        <f t="shared" si="178"/>
        <v/>
      </c>
      <c r="DL97" s="97" t="str">
        <f t="shared" ca="1" si="179"/>
        <v/>
      </c>
      <c r="DM97" s="98" t="str">
        <f>IF(DO97&lt;&gt;"",VLOOKUP($P97&amp;" | "&amp;DM$6,'Job Master'!$F$12:$J$102,5,0),"")</f>
        <v/>
      </c>
      <c r="DN97" s="19" t="str">
        <f>IF(DO97&lt;&gt;"",VLOOKUP($P97&amp;" | "&amp;DM$6,'Job Master'!$F$12:$J$102,3,0),"")</f>
        <v/>
      </c>
      <c r="DO97" s="19" t="str">
        <f>IFERROR(IF(AND(DT97&lt;&gt;"",VLOOKUP($P97&amp;" | "&amp;DM$6,'Job Master'!$F$12:$I$102,4,0)&lt;&gt;""),IF(WEEKDAY(DT97-VLOOKUP($P97&amp;" | "&amp;DM$6,'Job Master'!$F$12:$I$102,4,0))&lt;&gt;7,DT97-VLOOKUP($P97&amp;" | "&amp;DM$6,'Job Master'!$F$12:$I$102,4,0),DT97-VLOOKUP($P97&amp;" | "&amp;DM$6,'Job Master'!$F$12:$I$102,4,0)-1),""),"")</f>
        <v/>
      </c>
      <c r="DP97" s="73"/>
      <c r="DQ97" s="123" t="str">
        <f t="shared" si="180"/>
        <v/>
      </c>
      <c r="DR97" s="123" t="str">
        <f t="shared" si="181"/>
        <v/>
      </c>
      <c r="DS97" s="97" t="str">
        <f t="shared" ca="1" si="182"/>
        <v/>
      </c>
      <c r="DT97" s="70" t="str">
        <f t="shared" si="183"/>
        <v/>
      </c>
      <c r="DU97" s="90"/>
      <c r="DV97" s="123" t="str">
        <f t="shared" si="184"/>
        <v/>
      </c>
      <c r="DW97" s="123" t="str">
        <f t="shared" si="185"/>
        <v/>
      </c>
      <c r="DX97" s="132" t="str">
        <f t="shared" ref="DX97" ca="1" si="220">IF(DT97&lt;&gt;"",IF(WEEKNUM(DT97)=WEEKNUM(TODAY()),"This Week",IF(WEEKNUM(DT97)=WEEKNUM(TODAY())+1,"Next Week",IF(WEEKNUM(DT97)=WEEKNUM(TODAY())-1,"Previous Week",""))),"")</f>
        <v/>
      </c>
      <c r="DY97" s="134" t="str">
        <f t="shared" si="187"/>
        <v/>
      </c>
      <c r="DZ97" s="95"/>
      <c r="EB97" s="8" t="str">
        <f t="shared" si="193"/>
        <v/>
      </c>
      <c r="EC97" s="8" t="str">
        <f>IF(O97&lt;&gt;"",VLOOKUP(O97,'Job Master'!$N$12:$O$18,2,0),"")</f>
        <v/>
      </c>
      <c r="ED97" s="8">
        <f t="shared" si="194"/>
        <v>19.5</v>
      </c>
      <c r="EE97" s="8">
        <f t="shared" si="195"/>
        <v>6</v>
      </c>
      <c r="EF97" s="8">
        <f t="shared" si="196"/>
        <v>-502.5</v>
      </c>
      <c r="EG97" s="8" t="str">
        <f t="shared" si="197"/>
        <v/>
      </c>
      <c r="EH97" s="8" t="str">
        <f t="shared" si="198"/>
        <v/>
      </c>
    </row>
    <row r="98" spans="2:138" x14ac:dyDescent="0.3">
      <c r="B98" s="112"/>
      <c r="C98" s="27"/>
      <c r="D98" s="7" t="str">
        <f t="shared" si="135"/>
        <v/>
      </c>
      <c r="E98" s="25"/>
      <c r="F98" s="7" t="str">
        <f t="shared" si="135"/>
        <v/>
      </c>
      <c r="G98" s="25"/>
      <c r="H98" s="7" t="str">
        <f t="shared" si="135"/>
        <v/>
      </c>
      <c r="I98" s="25"/>
      <c r="J98" s="7" t="str">
        <f t="shared" si="135"/>
        <v/>
      </c>
      <c r="K98" s="25"/>
      <c r="L98" s="7" t="str">
        <f t="shared" si="136"/>
        <v/>
      </c>
      <c r="M98" s="25"/>
      <c r="N98" s="7" t="str">
        <f t="shared" si="137"/>
        <v/>
      </c>
      <c r="O98" s="81"/>
      <c r="P98" s="81" t="str">
        <f t="shared" si="138"/>
        <v/>
      </c>
      <c r="Q98" s="81"/>
      <c r="R98" s="7" t="str">
        <f t="shared" si="139"/>
        <v/>
      </c>
      <c r="S98" s="25"/>
      <c r="T98" s="7" t="str">
        <f t="shared" si="140"/>
        <v/>
      </c>
      <c r="U98" s="25"/>
      <c r="V98" s="7" t="str">
        <f t="shared" si="141"/>
        <v/>
      </c>
      <c r="W98" s="25"/>
      <c r="X98" s="7" t="str">
        <f t="shared" si="142"/>
        <v/>
      </c>
      <c r="Y98" s="18" t="str">
        <f t="shared" si="143"/>
        <v/>
      </c>
      <c r="Z98" s="7" t="str">
        <f t="shared" si="144"/>
        <v/>
      </c>
      <c r="AA98" s="18" t="str">
        <f t="shared" si="145"/>
        <v/>
      </c>
      <c r="AB98" s="19" t="str">
        <f t="shared" si="146"/>
        <v/>
      </c>
      <c r="AC98" s="26"/>
      <c r="AD98" s="26"/>
      <c r="AE98" s="25"/>
      <c r="AF98" s="26"/>
      <c r="AG98" s="25"/>
      <c r="AH98" s="25"/>
      <c r="AI98" s="18" t="str">
        <f t="shared" si="209"/>
        <v/>
      </c>
      <c r="AJ98" s="25"/>
      <c r="AK98" s="18" t="str">
        <f t="shared" si="210"/>
        <v/>
      </c>
      <c r="AL98" s="79"/>
      <c r="AM98" s="126" t="str">
        <f t="shared" si="211"/>
        <v/>
      </c>
      <c r="AN98" s="128" t="str">
        <f>IF(AP98&lt;&gt;"",VLOOKUP($P98&amp;" | "&amp;AN$6,'Job Master'!$F$12:$J$102,5,0),"")</f>
        <v/>
      </c>
      <c r="AO98" s="19" t="str">
        <f>IF(AP98&lt;&gt;"",VLOOKUP($P98&amp;" | "&amp;AN$6,'Job Master'!$F$12:$J$102,3,0),"")</f>
        <v/>
      </c>
      <c r="AP98" s="19" t="str">
        <f>IFERROR(IF(AND(AW98&lt;&gt;"",VLOOKUP($P98&amp;" | "&amp;AN$6,'Job Master'!$F$12:$I$102,4,0)&lt;&gt;""),IF(WEEKDAY(AW98-VLOOKUP($P98&amp;" | "&amp;AN$6,'Job Master'!$F$12:$I$102,4,0))&lt;&gt;7,AW98-VLOOKUP($P98&amp;" | "&amp;AN$6,'Job Master'!$F$12:$I$102,4,0),AW98-VLOOKUP($P98&amp;" | "&amp;AN$6,'Job Master'!$F$12:$I$102,4,0)-1),""),"")</f>
        <v/>
      </c>
      <c r="AQ98" s="73"/>
      <c r="AR98" s="123" t="str">
        <f t="shared" si="147"/>
        <v/>
      </c>
      <c r="AS98" s="123" t="str">
        <f t="shared" si="148"/>
        <v/>
      </c>
      <c r="AT98" s="97" t="str">
        <f t="shared" ca="1" si="149"/>
        <v/>
      </c>
      <c r="AU98" s="98" t="str">
        <f>IF(AW98&lt;&gt;"",VLOOKUP($P98&amp;" | "&amp;AU$6,'Job Master'!$F$12:$J$102,5,0),"")</f>
        <v/>
      </c>
      <c r="AV98" s="19" t="str">
        <f>IF(AW98&lt;&gt;"",VLOOKUP($P98&amp;" | "&amp;AU$6,'Job Master'!$F$12:$J$102,3,0),"")</f>
        <v/>
      </c>
      <c r="AW98" s="19" t="str">
        <f>IFERROR(IF(AND(BD98&lt;&gt;"",VLOOKUP($P98&amp;" | "&amp;AU$6,'Job Master'!$F$12:$I$102,4,0)&lt;&gt;""),IF(WEEKDAY(BD98-VLOOKUP($P98&amp;" | "&amp;AU$6,'Job Master'!$F$12:$I$102,4,0))&lt;&gt;7,BD98-VLOOKUP($P98&amp;" | "&amp;AU$6,'Job Master'!$F$12:$I$102,4,0),BD98-VLOOKUP($P98&amp;" | "&amp;AU$6,'Job Master'!$F$12:$I$102,4,0)-1),""),"")</f>
        <v/>
      </c>
      <c r="AX98" s="73"/>
      <c r="AY98" s="123" t="str">
        <f t="shared" si="150"/>
        <v/>
      </c>
      <c r="AZ98" s="123" t="str">
        <f t="shared" si="151"/>
        <v/>
      </c>
      <c r="BA98" s="97" t="str">
        <f t="shared" ca="1" si="152"/>
        <v/>
      </c>
      <c r="BB98" s="98" t="str">
        <f>IF(BD98&lt;&gt;"",VLOOKUP($P98&amp;" | "&amp;BB$6,'Job Master'!$F$12:$J$102,5,0),"")</f>
        <v/>
      </c>
      <c r="BC98" s="19" t="str">
        <f>IF(BD98&lt;&gt;"",VLOOKUP($P98&amp;" | "&amp;BB$6,'Job Master'!$F$12:$J$102,3,0),"")</f>
        <v/>
      </c>
      <c r="BD98" s="19" t="str">
        <f>IFERROR(IF(AND(BK98&lt;&gt;"",VLOOKUP($P98&amp;" | "&amp;BB$6,'Job Master'!$F$12:$I$102,4,0)&lt;&gt;""),IF(WEEKDAY(BK98-VLOOKUP($P98&amp;" | "&amp;BB$6,'Job Master'!$F$12:$I$102,4,0))&lt;&gt;7,BK98-VLOOKUP($P98&amp;" | "&amp;BB$6,'Job Master'!$F$12:$I$102,4,0),BK98-VLOOKUP($P98&amp;" | "&amp;BB$6,'Job Master'!$F$12:$I$102,4,0)-1),""),"")</f>
        <v/>
      </c>
      <c r="BE98" s="73"/>
      <c r="BF98" s="123" t="str">
        <f t="shared" si="153"/>
        <v/>
      </c>
      <c r="BG98" s="123" t="str">
        <f t="shared" si="154"/>
        <v/>
      </c>
      <c r="BH98" s="97" t="str">
        <f t="shared" ca="1" si="155"/>
        <v/>
      </c>
      <c r="BI98" s="98" t="str">
        <f>IF(BK98&lt;&gt;"",VLOOKUP($P98&amp;" | "&amp;BI$6,'Job Master'!$F$12:$J$102,5,0),"")</f>
        <v/>
      </c>
      <c r="BJ98" s="19" t="str">
        <f>IF(BK98&lt;&gt;"",VLOOKUP($P98&amp;" | "&amp;BI$6,'Job Master'!$F$12:$J$102,3,0),"")</f>
        <v/>
      </c>
      <c r="BK98" s="19" t="str">
        <f>IFERROR(IF(AND(BR98&lt;&gt;"",VLOOKUP($P98&amp;" | "&amp;BI$6,'Job Master'!$F$12:$I$102,4,0)&lt;&gt;""),IF(WEEKDAY(BR98-VLOOKUP($P98&amp;" | "&amp;BI$6,'Job Master'!$F$12:$I$102,4,0))&lt;&gt;7,BR98-VLOOKUP($P98&amp;" | "&amp;BI$6,'Job Master'!$F$12:$I$102,4,0),BR98-VLOOKUP($P98&amp;" | "&amp;BI$6,'Job Master'!$F$12:$I$102,4,0)-1),""),"")</f>
        <v/>
      </c>
      <c r="BL98" s="73"/>
      <c r="BM98" s="123" t="str">
        <f t="shared" si="156"/>
        <v/>
      </c>
      <c r="BN98" s="123" t="str">
        <f t="shared" si="157"/>
        <v/>
      </c>
      <c r="BO98" s="97" t="str">
        <f t="shared" ca="1" si="158"/>
        <v/>
      </c>
      <c r="BP98" s="98" t="str">
        <f>IF(BR98&lt;&gt;"",VLOOKUP($P98&amp;" | "&amp;BP$6,'Job Master'!$F$12:$J$102,5,0),"")</f>
        <v/>
      </c>
      <c r="BQ98" s="19" t="str">
        <f>IF(BR98&lt;&gt;"",VLOOKUP($P98&amp;" | "&amp;BP$6,'Job Master'!$F$12:$J$102,3,0),"")</f>
        <v/>
      </c>
      <c r="BR98" s="19" t="str">
        <f>IFERROR(IF(AND(BY98&lt;&gt;"",VLOOKUP($P98&amp;" | "&amp;BP$6,'Job Master'!$F$12:$I$102,4,0)&lt;&gt;""),IF(WEEKDAY(BY98-VLOOKUP($P98&amp;" | "&amp;BP$6,'Job Master'!$F$12:$I$102,4,0))&lt;&gt;7,BY98-VLOOKUP($P98&amp;" | "&amp;BP$6,'Job Master'!$F$12:$I$102,4,0),BY98-VLOOKUP($P98&amp;" | "&amp;BP$6,'Job Master'!$F$12:$I$102,4,0)-1),""),"")</f>
        <v/>
      </c>
      <c r="BS98" s="73"/>
      <c r="BT98" s="123" t="str">
        <f t="shared" si="159"/>
        <v/>
      </c>
      <c r="BU98" s="123" t="str">
        <f t="shared" si="160"/>
        <v/>
      </c>
      <c r="BV98" s="97" t="str">
        <f t="shared" ca="1" si="161"/>
        <v/>
      </c>
      <c r="BW98" s="98" t="str">
        <f>IF(BY98&lt;&gt;"",VLOOKUP($P98&amp;" | "&amp;BW$6,'Job Master'!$F$12:$J$102,5,0),"")</f>
        <v/>
      </c>
      <c r="BX98" s="19" t="str">
        <f>IF(BY98&lt;&gt;"",VLOOKUP($P98&amp;" | "&amp;BW$6,'Job Master'!$F$12:$J$102,3,0),"")</f>
        <v/>
      </c>
      <c r="BY98" s="19" t="str">
        <f>IFERROR(IF(AND(CF98&lt;&gt;"",VLOOKUP($P98&amp;" | "&amp;BW$6,'Job Master'!$F$12:$I$102,4,0)&lt;&gt;""),IF(WEEKDAY(CF98-VLOOKUP($P98&amp;" | "&amp;BW$6,'Job Master'!$F$12:$I$102,4,0))&lt;&gt;7,CF98-VLOOKUP($P98&amp;" | "&amp;BW$6,'Job Master'!$F$12:$I$102,4,0),CF98-VLOOKUP($P98&amp;" | "&amp;BW$6,'Job Master'!$F$12:$I$102,4,0)-1),""),"")</f>
        <v/>
      </c>
      <c r="BZ98" s="73"/>
      <c r="CA98" s="123" t="str">
        <f t="shared" si="162"/>
        <v/>
      </c>
      <c r="CB98" s="123" t="str">
        <f t="shared" si="163"/>
        <v/>
      </c>
      <c r="CC98" s="97" t="str">
        <f t="shared" ca="1" si="164"/>
        <v/>
      </c>
      <c r="CD98" s="98" t="str">
        <f>IF(CF98&lt;&gt;"",VLOOKUP($P98&amp;" | "&amp;CD$6,'Job Master'!$F$12:$J$102,5,0),"")</f>
        <v/>
      </c>
      <c r="CE98" s="19" t="str">
        <f>IF(CF98&lt;&gt;"",VLOOKUP($P98&amp;" | "&amp;CD$6,'Job Master'!$F$12:$J$102,3,0),"")</f>
        <v/>
      </c>
      <c r="CF98" s="19" t="str">
        <f>IFERROR(IF(AND(CM98&lt;&gt;"",VLOOKUP($P98&amp;" | "&amp;CD$6,'Job Master'!$F$12:$I$102,4,0)&lt;&gt;""),IF(WEEKDAY(CM98-VLOOKUP($P98&amp;" | "&amp;CD$6,'Job Master'!$F$12:$I$102,4,0))&lt;&gt;7,CM98-VLOOKUP($P98&amp;" | "&amp;CD$6,'Job Master'!$F$12:$I$102,4,0),CM98-VLOOKUP($P98&amp;" | "&amp;CD$6,'Job Master'!$F$12:$I$102,4,0)-1),""),"")</f>
        <v/>
      </c>
      <c r="CG98" s="73"/>
      <c r="CH98" s="123" t="str">
        <f t="shared" si="165"/>
        <v/>
      </c>
      <c r="CI98" s="123" t="str">
        <f t="shared" si="166"/>
        <v/>
      </c>
      <c r="CJ98" s="97" t="str">
        <f t="shared" ca="1" si="167"/>
        <v/>
      </c>
      <c r="CK98" s="98" t="str">
        <f>IF(CM98&lt;&gt;"",VLOOKUP($P98&amp;" | "&amp;CK$6,'Job Master'!$F$12:$J$102,5,0),"")</f>
        <v/>
      </c>
      <c r="CL98" s="19" t="str">
        <f>IF(CM98&lt;&gt;"",VLOOKUP($P98&amp;" | "&amp;CK$6,'Job Master'!$F$12:$J$102,3,0),"")</f>
        <v/>
      </c>
      <c r="CM98" s="19" t="str">
        <f>IFERROR(IF(AND(CT98&lt;&gt;"",VLOOKUP($P98&amp;" | "&amp;CK$6,'Job Master'!$F$12:$I$102,4,0)&lt;&gt;""),IF(WEEKDAY(CT98-VLOOKUP($P98&amp;" | "&amp;CK$6,'Job Master'!$F$12:$I$102,4,0))&lt;&gt;7,CT98-VLOOKUP($P98&amp;" | "&amp;CK$6,'Job Master'!$F$12:$I$102,4,0),CT98-VLOOKUP($P98&amp;" | "&amp;CK$6,'Job Master'!$F$12:$I$102,4,0)-1),""),"")</f>
        <v/>
      </c>
      <c r="CN98" s="73"/>
      <c r="CO98" s="123" t="str">
        <f t="shared" si="168"/>
        <v/>
      </c>
      <c r="CP98" s="123" t="str">
        <f t="shared" si="169"/>
        <v/>
      </c>
      <c r="CQ98" s="97" t="str">
        <f t="shared" ca="1" si="170"/>
        <v/>
      </c>
      <c r="CR98" s="98" t="str">
        <f>IF(CT98&lt;&gt;"",VLOOKUP($P98&amp;" | "&amp;CR$6,'Job Master'!$F$12:$J$102,5,0),"")</f>
        <v/>
      </c>
      <c r="CS98" s="19" t="str">
        <f>IF(CT98&lt;&gt;"",VLOOKUP($P98&amp;" | "&amp;CR$6,'Job Master'!$F$12:$J$102,3,0),"")</f>
        <v/>
      </c>
      <c r="CT98" s="19" t="str">
        <f>IFERROR(IF(AND(DA98&lt;&gt;"",VLOOKUP($P98&amp;" | "&amp;CR$6,'Job Master'!$F$12:$I$102,4,0)&lt;&gt;""),IF(WEEKDAY(DA98-VLOOKUP($P98&amp;" | "&amp;CR$6,'Job Master'!$F$12:$I$102,4,0))&lt;&gt;7,DA98-VLOOKUP($P98&amp;" | "&amp;CR$6,'Job Master'!$F$12:$I$102,4,0),DA98-VLOOKUP($P98&amp;" | "&amp;CR$6,'Job Master'!$F$12:$I$102,4,0)-1),""),"")</f>
        <v/>
      </c>
      <c r="CU98" s="73"/>
      <c r="CV98" s="123" t="str">
        <f t="shared" si="171"/>
        <v/>
      </c>
      <c r="CW98" s="123" t="str">
        <f t="shared" si="172"/>
        <v/>
      </c>
      <c r="CX98" s="97" t="str">
        <f t="shared" ca="1" si="173"/>
        <v/>
      </c>
      <c r="CY98" s="98" t="str">
        <f>IF(DA98&lt;&gt;"",VLOOKUP($P98&amp;" | "&amp;CY$6,'Job Master'!$F$12:$J$102,5,0),"")</f>
        <v/>
      </c>
      <c r="CZ98" s="19" t="str">
        <f>IF(DA98&lt;&gt;"",VLOOKUP($P98&amp;" | "&amp;CY$6,'Job Master'!$F$12:$J$102,3,0),"")</f>
        <v/>
      </c>
      <c r="DA98" s="19" t="str">
        <f>IFERROR(IF(AND(DH98&lt;&gt;"",VLOOKUP($P98&amp;" | "&amp;CY$6,'Job Master'!$F$12:$I$102,4,0)&lt;&gt;""),IF(WEEKDAY(DH98-VLOOKUP($P98&amp;" | "&amp;CY$6,'Job Master'!$F$12:$I$102,4,0))&lt;&gt;7,DH98-VLOOKUP($P98&amp;" | "&amp;CY$6,'Job Master'!$F$12:$I$102,4,0),DH98-VLOOKUP($P98&amp;" | "&amp;CY$6,'Job Master'!$F$12:$I$102,4,0)-1),""),"")</f>
        <v/>
      </c>
      <c r="DB98" s="73"/>
      <c r="DC98" s="123" t="str">
        <f t="shared" si="174"/>
        <v/>
      </c>
      <c r="DD98" s="123" t="str">
        <f t="shared" si="175"/>
        <v/>
      </c>
      <c r="DE98" s="97" t="str">
        <f t="shared" ca="1" si="176"/>
        <v/>
      </c>
      <c r="DF98" s="98" t="str">
        <f>IF(DH98&lt;&gt;"",VLOOKUP($P98&amp;" | "&amp;DF$6,'Job Master'!$F$12:$J$102,5,0),"")</f>
        <v/>
      </c>
      <c r="DG98" s="19" t="str">
        <f>IF(DH98&lt;&gt;"",VLOOKUP($P98&amp;" | "&amp;DF$6,'Job Master'!$F$12:$J$102,3,0),"")</f>
        <v/>
      </c>
      <c r="DH98" s="19" t="str">
        <f>IFERROR(IF(AND(DO98&lt;&gt;"",VLOOKUP($P98&amp;" | "&amp;DF$6,'Job Master'!$F$12:$I$102,4,0)&lt;&gt;""),IF(WEEKDAY(DO98-VLOOKUP($P98&amp;" | "&amp;DF$6,'Job Master'!$F$12:$I$102,4,0))&lt;&gt;7,DO98-VLOOKUP($P98&amp;" | "&amp;DF$6,'Job Master'!$F$12:$I$102,4,0),DO98-VLOOKUP($P98&amp;" | "&amp;DF$6,'Job Master'!$F$12:$I$102,4,0)-1),""),"")</f>
        <v/>
      </c>
      <c r="DI98" s="73"/>
      <c r="DJ98" s="123" t="str">
        <f t="shared" si="177"/>
        <v/>
      </c>
      <c r="DK98" s="123" t="str">
        <f t="shared" si="178"/>
        <v/>
      </c>
      <c r="DL98" s="97" t="str">
        <f t="shared" ca="1" si="179"/>
        <v/>
      </c>
      <c r="DM98" s="98" t="str">
        <f>IF(DO98&lt;&gt;"",VLOOKUP($P98&amp;" | "&amp;DM$6,'Job Master'!$F$12:$J$102,5,0),"")</f>
        <v/>
      </c>
      <c r="DN98" s="19" t="str">
        <f>IF(DO98&lt;&gt;"",VLOOKUP($P98&amp;" | "&amp;DM$6,'Job Master'!$F$12:$J$102,3,0),"")</f>
        <v/>
      </c>
      <c r="DO98" s="19" t="str">
        <f>IFERROR(IF(AND(DT98&lt;&gt;"",VLOOKUP($P98&amp;" | "&amp;DM$6,'Job Master'!$F$12:$I$102,4,0)&lt;&gt;""),IF(WEEKDAY(DT98-VLOOKUP($P98&amp;" | "&amp;DM$6,'Job Master'!$F$12:$I$102,4,0))&lt;&gt;7,DT98-VLOOKUP($P98&amp;" | "&amp;DM$6,'Job Master'!$F$12:$I$102,4,0),DT98-VLOOKUP($P98&amp;" | "&amp;DM$6,'Job Master'!$F$12:$I$102,4,0)-1),""),"")</f>
        <v/>
      </c>
      <c r="DP98" s="73"/>
      <c r="DQ98" s="123" t="str">
        <f t="shared" si="180"/>
        <v/>
      </c>
      <c r="DR98" s="123" t="str">
        <f t="shared" si="181"/>
        <v/>
      </c>
      <c r="DS98" s="97" t="str">
        <f t="shared" ca="1" si="182"/>
        <v/>
      </c>
      <c r="DT98" s="70" t="str">
        <f t="shared" si="183"/>
        <v/>
      </c>
      <c r="DU98" s="90"/>
      <c r="DV98" s="123" t="str">
        <f t="shared" si="184"/>
        <v/>
      </c>
      <c r="DW98" s="123" t="str">
        <f t="shared" si="185"/>
        <v/>
      </c>
      <c r="DX98" s="132" t="str">
        <f t="shared" ref="DX98" ca="1" si="221">IF(DT98&lt;&gt;"",IF(WEEKNUM(DT98)=WEEKNUM(TODAY()),"This Week",IF(WEEKNUM(DT98)=WEEKNUM(TODAY())+1,"Next Week",IF(WEEKNUM(DT98)=WEEKNUM(TODAY())-1,"Previous Week",""))),"")</f>
        <v/>
      </c>
      <c r="DY98" s="134" t="str">
        <f t="shared" si="187"/>
        <v/>
      </c>
      <c r="DZ98" s="95"/>
      <c r="EB98" s="8" t="str">
        <f t="shared" si="193"/>
        <v/>
      </c>
      <c r="EC98" s="8" t="str">
        <f>IF(O98&lt;&gt;"",VLOOKUP(O98,'Job Master'!$N$12:$O$18,2,0),"")</f>
        <v/>
      </c>
      <c r="ED98" s="8">
        <f t="shared" si="194"/>
        <v>19.5</v>
      </c>
      <c r="EE98" s="8">
        <f t="shared" si="195"/>
        <v>6</v>
      </c>
      <c r="EF98" s="8">
        <f t="shared" si="196"/>
        <v>-508.5</v>
      </c>
      <c r="EG98" s="8" t="str">
        <f t="shared" si="197"/>
        <v/>
      </c>
      <c r="EH98" s="8" t="str">
        <f t="shared" si="198"/>
        <v/>
      </c>
    </row>
    <row r="99" spans="2:138" x14ac:dyDescent="0.3">
      <c r="B99" s="112"/>
      <c r="C99" s="27"/>
      <c r="D99" s="7" t="str">
        <f t="shared" si="135"/>
        <v/>
      </c>
      <c r="E99" s="25"/>
      <c r="F99" s="7" t="str">
        <f t="shared" si="135"/>
        <v/>
      </c>
      <c r="G99" s="25"/>
      <c r="H99" s="7" t="str">
        <f t="shared" si="135"/>
        <v/>
      </c>
      <c r="I99" s="25"/>
      <c r="J99" s="7" t="str">
        <f t="shared" si="135"/>
        <v/>
      </c>
      <c r="K99" s="25"/>
      <c r="L99" s="7" t="str">
        <f t="shared" si="136"/>
        <v/>
      </c>
      <c r="M99" s="25"/>
      <c r="N99" s="7" t="str">
        <f t="shared" si="137"/>
        <v/>
      </c>
      <c r="O99" s="81"/>
      <c r="P99" s="81" t="str">
        <f t="shared" si="138"/>
        <v/>
      </c>
      <c r="Q99" s="81"/>
      <c r="R99" s="7" t="str">
        <f t="shared" si="139"/>
        <v/>
      </c>
      <c r="S99" s="25"/>
      <c r="T99" s="7" t="str">
        <f t="shared" si="140"/>
        <v/>
      </c>
      <c r="U99" s="25"/>
      <c r="V99" s="7" t="str">
        <f t="shared" si="141"/>
        <v/>
      </c>
      <c r="W99" s="25"/>
      <c r="X99" s="7" t="str">
        <f t="shared" si="142"/>
        <v/>
      </c>
      <c r="Y99" s="18" t="str">
        <f t="shared" si="143"/>
        <v/>
      </c>
      <c r="Z99" s="7" t="str">
        <f t="shared" si="144"/>
        <v/>
      </c>
      <c r="AA99" s="18" t="str">
        <f t="shared" si="145"/>
        <v/>
      </c>
      <c r="AB99" s="19" t="str">
        <f t="shared" si="146"/>
        <v/>
      </c>
      <c r="AC99" s="26"/>
      <c r="AD99" s="26"/>
      <c r="AE99" s="25"/>
      <c r="AF99" s="26"/>
      <c r="AG99" s="25"/>
      <c r="AH99" s="25"/>
      <c r="AI99" s="18" t="str">
        <f t="shared" si="209"/>
        <v/>
      </c>
      <c r="AJ99" s="25"/>
      <c r="AK99" s="18" t="str">
        <f t="shared" si="210"/>
        <v/>
      </c>
      <c r="AL99" s="79"/>
      <c r="AM99" s="126" t="str">
        <f t="shared" si="211"/>
        <v/>
      </c>
      <c r="AN99" s="128" t="str">
        <f>IF(AP99&lt;&gt;"",VLOOKUP($P99&amp;" | "&amp;AN$6,'Job Master'!$F$12:$J$102,5,0),"")</f>
        <v/>
      </c>
      <c r="AO99" s="19" t="str">
        <f>IF(AP99&lt;&gt;"",VLOOKUP($P99&amp;" | "&amp;AN$6,'Job Master'!$F$12:$J$102,3,0),"")</f>
        <v/>
      </c>
      <c r="AP99" s="19" t="str">
        <f>IFERROR(IF(AND(AW99&lt;&gt;"",VLOOKUP($P99&amp;" | "&amp;AN$6,'Job Master'!$F$12:$I$102,4,0)&lt;&gt;""),IF(WEEKDAY(AW99-VLOOKUP($P99&amp;" | "&amp;AN$6,'Job Master'!$F$12:$I$102,4,0))&lt;&gt;7,AW99-VLOOKUP($P99&amp;" | "&amp;AN$6,'Job Master'!$F$12:$I$102,4,0),AW99-VLOOKUP($P99&amp;" | "&amp;AN$6,'Job Master'!$F$12:$I$102,4,0)-1),""),"")</f>
        <v/>
      </c>
      <c r="AQ99" s="73"/>
      <c r="AR99" s="123" t="str">
        <f t="shared" si="147"/>
        <v/>
      </c>
      <c r="AS99" s="123" t="str">
        <f t="shared" si="148"/>
        <v/>
      </c>
      <c r="AT99" s="97" t="str">
        <f t="shared" ca="1" si="149"/>
        <v/>
      </c>
      <c r="AU99" s="98" t="str">
        <f>IF(AW99&lt;&gt;"",VLOOKUP($P99&amp;" | "&amp;AU$6,'Job Master'!$F$12:$J$102,5,0),"")</f>
        <v/>
      </c>
      <c r="AV99" s="19" t="str">
        <f>IF(AW99&lt;&gt;"",VLOOKUP($P99&amp;" | "&amp;AU$6,'Job Master'!$F$12:$J$102,3,0),"")</f>
        <v/>
      </c>
      <c r="AW99" s="19" t="str">
        <f>IFERROR(IF(AND(BD99&lt;&gt;"",VLOOKUP($P99&amp;" | "&amp;AU$6,'Job Master'!$F$12:$I$102,4,0)&lt;&gt;""),IF(WEEKDAY(BD99-VLOOKUP($P99&amp;" | "&amp;AU$6,'Job Master'!$F$12:$I$102,4,0))&lt;&gt;7,BD99-VLOOKUP($P99&amp;" | "&amp;AU$6,'Job Master'!$F$12:$I$102,4,0),BD99-VLOOKUP($P99&amp;" | "&amp;AU$6,'Job Master'!$F$12:$I$102,4,0)-1),""),"")</f>
        <v/>
      </c>
      <c r="AX99" s="73"/>
      <c r="AY99" s="123" t="str">
        <f t="shared" si="150"/>
        <v/>
      </c>
      <c r="AZ99" s="123" t="str">
        <f t="shared" si="151"/>
        <v/>
      </c>
      <c r="BA99" s="97" t="str">
        <f t="shared" ca="1" si="152"/>
        <v/>
      </c>
      <c r="BB99" s="98" t="str">
        <f>IF(BD99&lt;&gt;"",VLOOKUP($P99&amp;" | "&amp;BB$6,'Job Master'!$F$12:$J$102,5,0),"")</f>
        <v/>
      </c>
      <c r="BC99" s="19" t="str">
        <f>IF(BD99&lt;&gt;"",VLOOKUP($P99&amp;" | "&amp;BB$6,'Job Master'!$F$12:$J$102,3,0),"")</f>
        <v/>
      </c>
      <c r="BD99" s="19" t="str">
        <f>IFERROR(IF(AND(BK99&lt;&gt;"",VLOOKUP($P99&amp;" | "&amp;BB$6,'Job Master'!$F$12:$I$102,4,0)&lt;&gt;""),IF(WEEKDAY(BK99-VLOOKUP($P99&amp;" | "&amp;BB$6,'Job Master'!$F$12:$I$102,4,0))&lt;&gt;7,BK99-VLOOKUP($P99&amp;" | "&amp;BB$6,'Job Master'!$F$12:$I$102,4,0),BK99-VLOOKUP($P99&amp;" | "&amp;BB$6,'Job Master'!$F$12:$I$102,4,0)-1),""),"")</f>
        <v/>
      </c>
      <c r="BE99" s="73"/>
      <c r="BF99" s="123" t="str">
        <f t="shared" si="153"/>
        <v/>
      </c>
      <c r="BG99" s="123" t="str">
        <f t="shared" si="154"/>
        <v/>
      </c>
      <c r="BH99" s="97" t="str">
        <f t="shared" ca="1" si="155"/>
        <v/>
      </c>
      <c r="BI99" s="98" t="str">
        <f>IF(BK99&lt;&gt;"",VLOOKUP($P99&amp;" | "&amp;BI$6,'Job Master'!$F$12:$J$102,5,0),"")</f>
        <v/>
      </c>
      <c r="BJ99" s="19" t="str">
        <f>IF(BK99&lt;&gt;"",VLOOKUP($P99&amp;" | "&amp;BI$6,'Job Master'!$F$12:$J$102,3,0),"")</f>
        <v/>
      </c>
      <c r="BK99" s="19" t="str">
        <f>IFERROR(IF(AND(BR99&lt;&gt;"",VLOOKUP($P99&amp;" | "&amp;BI$6,'Job Master'!$F$12:$I$102,4,0)&lt;&gt;""),IF(WEEKDAY(BR99-VLOOKUP($P99&amp;" | "&amp;BI$6,'Job Master'!$F$12:$I$102,4,0))&lt;&gt;7,BR99-VLOOKUP($P99&amp;" | "&amp;BI$6,'Job Master'!$F$12:$I$102,4,0),BR99-VLOOKUP($P99&amp;" | "&amp;BI$6,'Job Master'!$F$12:$I$102,4,0)-1),""),"")</f>
        <v/>
      </c>
      <c r="BL99" s="73"/>
      <c r="BM99" s="123" t="str">
        <f t="shared" si="156"/>
        <v/>
      </c>
      <c r="BN99" s="123" t="str">
        <f t="shared" si="157"/>
        <v/>
      </c>
      <c r="BO99" s="97" t="str">
        <f t="shared" ca="1" si="158"/>
        <v/>
      </c>
      <c r="BP99" s="98" t="str">
        <f>IF(BR99&lt;&gt;"",VLOOKUP($P99&amp;" | "&amp;BP$6,'Job Master'!$F$12:$J$102,5,0),"")</f>
        <v/>
      </c>
      <c r="BQ99" s="19" t="str">
        <f>IF(BR99&lt;&gt;"",VLOOKUP($P99&amp;" | "&amp;BP$6,'Job Master'!$F$12:$J$102,3,0),"")</f>
        <v/>
      </c>
      <c r="BR99" s="19" t="str">
        <f>IFERROR(IF(AND(BY99&lt;&gt;"",VLOOKUP($P99&amp;" | "&amp;BP$6,'Job Master'!$F$12:$I$102,4,0)&lt;&gt;""),IF(WEEKDAY(BY99-VLOOKUP($P99&amp;" | "&amp;BP$6,'Job Master'!$F$12:$I$102,4,0))&lt;&gt;7,BY99-VLOOKUP($P99&amp;" | "&amp;BP$6,'Job Master'!$F$12:$I$102,4,0),BY99-VLOOKUP($P99&amp;" | "&amp;BP$6,'Job Master'!$F$12:$I$102,4,0)-1),""),"")</f>
        <v/>
      </c>
      <c r="BS99" s="73"/>
      <c r="BT99" s="123" t="str">
        <f t="shared" si="159"/>
        <v/>
      </c>
      <c r="BU99" s="123" t="str">
        <f t="shared" si="160"/>
        <v/>
      </c>
      <c r="BV99" s="97" t="str">
        <f t="shared" ca="1" si="161"/>
        <v/>
      </c>
      <c r="BW99" s="98" t="str">
        <f>IF(BY99&lt;&gt;"",VLOOKUP($P99&amp;" | "&amp;BW$6,'Job Master'!$F$12:$J$102,5,0),"")</f>
        <v/>
      </c>
      <c r="BX99" s="19" t="str">
        <f>IF(BY99&lt;&gt;"",VLOOKUP($P99&amp;" | "&amp;BW$6,'Job Master'!$F$12:$J$102,3,0),"")</f>
        <v/>
      </c>
      <c r="BY99" s="19" t="str">
        <f>IFERROR(IF(AND(CF99&lt;&gt;"",VLOOKUP($P99&amp;" | "&amp;BW$6,'Job Master'!$F$12:$I$102,4,0)&lt;&gt;""),IF(WEEKDAY(CF99-VLOOKUP($P99&amp;" | "&amp;BW$6,'Job Master'!$F$12:$I$102,4,0))&lt;&gt;7,CF99-VLOOKUP($P99&amp;" | "&amp;BW$6,'Job Master'!$F$12:$I$102,4,0),CF99-VLOOKUP($P99&amp;" | "&amp;BW$6,'Job Master'!$F$12:$I$102,4,0)-1),""),"")</f>
        <v/>
      </c>
      <c r="BZ99" s="73"/>
      <c r="CA99" s="123" t="str">
        <f t="shared" si="162"/>
        <v/>
      </c>
      <c r="CB99" s="123" t="str">
        <f t="shared" si="163"/>
        <v/>
      </c>
      <c r="CC99" s="97" t="str">
        <f t="shared" ca="1" si="164"/>
        <v/>
      </c>
      <c r="CD99" s="98" t="str">
        <f>IF(CF99&lt;&gt;"",VLOOKUP($P99&amp;" | "&amp;CD$6,'Job Master'!$F$12:$J$102,5,0),"")</f>
        <v/>
      </c>
      <c r="CE99" s="19" t="str">
        <f>IF(CF99&lt;&gt;"",VLOOKUP($P99&amp;" | "&amp;CD$6,'Job Master'!$F$12:$J$102,3,0),"")</f>
        <v/>
      </c>
      <c r="CF99" s="19" t="str">
        <f>IFERROR(IF(AND(CM99&lt;&gt;"",VLOOKUP($P99&amp;" | "&amp;CD$6,'Job Master'!$F$12:$I$102,4,0)&lt;&gt;""),IF(WEEKDAY(CM99-VLOOKUP($P99&amp;" | "&amp;CD$6,'Job Master'!$F$12:$I$102,4,0))&lt;&gt;7,CM99-VLOOKUP($P99&amp;" | "&amp;CD$6,'Job Master'!$F$12:$I$102,4,0),CM99-VLOOKUP($P99&amp;" | "&amp;CD$6,'Job Master'!$F$12:$I$102,4,0)-1),""),"")</f>
        <v/>
      </c>
      <c r="CG99" s="73"/>
      <c r="CH99" s="123" t="str">
        <f t="shared" si="165"/>
        <v/>
      </c>
      <c r="CI99" s="123" t="str">
        <f t="shared" si="166"/>
        <v/>
      </c>
      <c r="CJ99" s="97" t="str">
        <f t="shared" ca="1" si="167"/>
        <v/>
      </c>
      <c r="CK99" s="98" t="str">
        <f>IF(CM99&lt;&gt;"",VLOOKUP($P99&amp;" | "&amp;CK$6,'Job Master'!$F$12:$J$102,5,0),"")</f>
        <v/>
      </c>
      <c r="CL99" s="19" t="str">
        <f>IF(CM99&lt;&gt;"",VLOOKUP($P99&amp;" | "&amp;CK$6,'Job Master'!$F$12:$J$102,3,0),"")</f>
        <v/>
      </c>
      <c r="CM99" s="19" t="str">
        <f>IFERROR(IF(AND(CT99&lt;&gt;"",VLOOKUP($P99&amp;" | "&amp;CK$6,'Job Master'!$F$12:$I$102,4,0)&lt;&gt;""),IF(WEEKDAY(CT99-VLOOKUP($P99&amp;" | "&amp;CK$6,'Job Master'!$F$12:$I$102,4,0))&lt;&gt;7,CT99-VLOOKUP($P99&amp;" | "&amp;CK$6,'Job Master'!$F$12:$I$102,4,0),CT99-VLOOKUP($P99&amp;" | "&amp;CK$6,'Job Master'!$F$12:$I$102,4,0)-1),""),"")</f>
        <v/>
      </c>
      <c r="CN99" s="73"/>
      <c r="CO99" s="123" t="str">
        <f t="shared" si="168"/>
        <v/>
      </c>
      <c r="CP99" s="123" t="str">
        <f t="shared" si="169"/>
        <v/>
      </c>
      <c r="CQ99" s="97" t="str">
        <f t="shared" ca="1" si="170"/>
        <v/>
      </c>
      <c r="CR99" s="98" t="str">
        <f>IF(CT99&lt;&gt;"",VLOOKUP($P99&amp;" | "&amp;CR$6,'Job Master'!$F$12:$J$102,5,0),"")</f>
        <v/>
      </c>
      <c r="CS99" s="19" t="str">
        <f>IF(CT99&lt;&gt;"",VLOOKUP($P99&amp;" | "&amp;CR$6,'Job Master'!$F$12:$J$102,3,0),"")</f>
        <v/>
      </c>
      <c r="CT99" s="19" t="str">
        <f>IFERROR(IF(AND(DA99&lt;&gt;"",VLOOKUP($P99&amp;" | "&amp;CR$6,'Job Master'!$F$12:$I$102,4,0)&lt;&gt;""),IF(WEEKDAY(DA99-VLOOKUP($P99&amp;" | "&amp;CR$6,'Job Master'!$F$12:$I$102,4,0))&lt;&gt;7,DA99-VLOOKUP($P99&amp;" | "&amp;CR$6,'Job Master'!$F$12:$I$102,4,0),DA99-VLOOKUP($P99&amp;" | "&amp;CR$6,'Job Master'!$F$12:$I$102,4,0)-1),""),"")</f>
        <v/>
      </c>
      <c r="CU99" s="73"/>
      <c r="CV99" s="123" t="str">
        <f t="shared" si="171"/>
        <v/>
      </c>
      <c r="CW99" s="123" t="str">
        <f t="shared" si="172"/>
        <v/>
      </c>
      <c r="CX99" s="97" t="str">
        <f t="shared" ca="1" si="173"/>
        <v/>
      </c>
      <c r="CY99" s="98" t="str">
        <f>IF(DA99&lt;&gt;"",VLOOKUP($P99&amp;" | "&amp;CY$6,'Job Master'!$F$12:$J$102,5,0),"")</f>
        <v/>
      </c>
      <c r="CZ99" s="19" t="str">
        <f>IF(DA99&lt;&gt;"",VLOOKUP($P99&amp;" | "&amp;CY$6,'Job Master'!$F$12:$J$102,3,0),"")</f>
        <v/>
      </c>
      <c r="DA99" s="19" t="str">
        <f>IFERROR(IF(AND(DH99&lt;&gt;"",VLOOKUP($P99&amp;" | "&amp;CY$6,'Job Master'!$F$12:$I$102,4,0)&lt;&gt;""),IF(WEEKDAY(DH99-VLOOKUP($P99&amp;" | "&amp;CY$6,'Job Master'!$F$12:$I$102,4,0))&lt;&gt;7,DH99-VLOOKUP($P99&amp;" | "&amp;CY$6,'Job Master'!$F$12:$I$102,4,0),DH99-VLOOKUP($P99&amp;" | "&amp;CY$6,'Job Master'!$F$12:$I$102,4,0)-1),""),"")</f>
        <v/>
      </c>
      <c r="DB99" s="73"/>
      <c r="DC99" s="123" t="str">
        <f t="shared" si="174"/>
        <v/>
      </c>
      <c r="DD99" s="123" t="str">
        <f t="shared" si="175"/>
        <v/>
      </c>
      <c r="DE99" s="97" t="str">
        <f t="shared" ca="1" si="176"/>
        <v/>
      </c>
      <c r="DF99" s="98" t="str">
        <f>IF(DH99&lt;&gt;"",VLOOKUP($P99&amp;" | "&amp;DF$6,'Job Master'!$F$12:$J$102,5,0),"")</f>
        <v/>
      </c>
      <c r="DG99" s="19" t="str">
        <f>IF(DH99&lt;&gt;"",VLOOKUP($P99&amp;" | "&amp;DF$6,'Job Master'!$F$12:$J$102,3,0),"")</f>
        <v/>
      </c>
      <c r="DH99" s="19" t="str">
        <f>IFERROR(IF(AND(DO99&lt;&gt;"",VLOOKUP($P99&amp;" | "&amp;DF$6,'Job Master'!$F$12:$I$102,4,0)&lt;&gt;""),IF(WEEKDAY(DO99-VLOOKUP($P99&amp;" | "&amp;DF$6,'Job Master'!$F$12:$I$102,4,0))&lt;&gt;7,DO99-VLOOKUP($P99&amp;" | "&amp;DF$6,'Job Master'!$F$12:$I$102,4,0),DO99-VLOOKUP($P99&amp;" | "&amp;DF$6,'Job Master'!$F$12:$I$102,4,0)-1),""),"")</f>
        <v/>
      </c>
      <c r="DI99" s="73"/>
      <c r="DJ99" s="123" t="str">
        <f t="shared" si="177"/>
        <v/>
      </c>
      <c r="DK99" s="123" t="str">
        <f t="shared" si="178"/>
        <v/>
      </c>
      <c r="DL99" s="97" t="str">
        <f t="shared" ca="1" si="179"/>
        <v/>
      </c>
      <c r="DM99" s="98" t="str">
        <f>IF(DO99&lt;&gt;"",VLOOKUP($P99&amp;" | "&amp;DM$6,'Job Master'!$F$12:$J$102,5,0),"")</f>
        <v/>
      </c>
      <c r="DN99" s="19" t="str">
        <f>IF(DO99&lt;&gt;"",VLOOKUP($P99&amp;" | "&amp;DM$6,'Job Master'!$F$12:$J$102,3,0),"")</f>
        <v/>
      </c>
      <c r="DO99" s="19" t="str">
        <f>IFERROR(IF(AND(DT99&lt;&gt;"",VLOOKUP($P99&amp;" | "&amp;DM$6,'Job Master'!$F$12:$I$102,4,0)&lt;&gt;""),IF(WEEKDAY(DT99-VLOOKUP($P99&amp;" | "&amp;DM$6,'Job Master'!$F$12:$I$102,4,0))&lt;&gt;7,DT99-VLOOKUP($P99&amp;" | "&amp;DM$6,'Job Master'!$F$12:$I$102,4,0),DT99-VLOOKUP($P99&amp;" | "&amp;DM$6,'Job Master'!$F$12:$I$102,4,0)-1),""),"")</f>
        <v/>
      </c>
      <c r="DP99" s="73"/>
      <c r="DQ99" s="123" t="str">
        <f t="shared" si="180"/>
        <v/>
      </c>
      <c r="DR99" s="123" t="str">
        <f t="shared" si="181"/>
        <v/>
      </c>
      <c r="DS99" s="97" t="str">
        <f t="shared" ca="1" si="182"/>
        <v/>
      </c>
      <c r="DT99" s="70" t="str">
        <f t="shared" si="183"/>
        <v/>
      </c>
      <c r="DU99" s="90"/>
      <c r="DV99" s="123" t="str">
        <f t="shared" si="184"/>
        <v/>
      </c>
      <c r="DW99" s="123" t="str">
        <f t="shared" si="185"/>
        <v/>
      </c>
      <c r="DX99" s="132" t="str">
        <f t="shared" ref="DX99" ca="1" si="222">IF(DT99&lt;&gt;"",IF(WEEKNUM(DT99)=WEEKNUM(TODAY()),"This Week",IF(WEEKNUM(DT99)=WEEKNUM(TODAY())+1,"Next Week",IF(WEEKNUM(DT99)=WEEKNUM(TODAY())-1,"Previous Week",""))),"")</f>
        <v/>
      </c>
      <c r="DY99" s="134" t="str">
        <f t="shared" si="187"/>
        <v/>
      </c>
      <c r="DZ99" s="95"/>
      <c r="EB99" s="8" t="str">
        <f t="shared" si="193"/>
        <v/>
      </c>
      <c r="EC99" s="8" t="str">
        <f>IF(O99&lt;&gt;"",VLOOKUP(O99,'Job Master'!$N$12:$O$18,2,0),"")</f>
        <v/>
      </c>
      <c r="ED99" s="8">
        <f t="shared" si="194"/>
        <v>19.5</v>
      </c>
      <c r="EE99" s="8">
        <f t="shared" si="195"/>
        <v>6</v>
      </c>
      <c r="EF99" s="8">
        <f t="shared" si="196"/>
        <v>-514.5</v>
      </c>
      <c r="EG99" s="8" t="str">
        <f t="shared" si="197"/>
        <v/>
      </c>
      <c r="EH99" s="8" t="str">
        <f t="shared" si="198"/>
        <v/>
      </c>
    </row>
    <row r="100" spans="2:138" x14ac:dyDescent="0.3">
      <c r="B100" s="112"/>
      <c r="C100" s="27"/>
      <c r="D100" s="7" t="str">
        <f t="shared" si="135"/>
        <v/>
      </c>
      <c r="E100" s="25"/>
      <c r="F100" s="7" t="str">
        <f t="shared" si="135"/>
        <v/>
      </c>
      <c r="G100" s="25"/>
      <c r="H100" s="7" t="str">
        <f t="shared" si="135"/>
        <v/>
      </c>
      <c r="I100" s="25"/>
      <c r="J100" s="7" t="str">
        <f t="shared" si="135"/>
        <v/>
      </c>
      <c r="K100" s="25"/>
      <c r="L100" s="7" t="str">
        <f t="shared" si="136"/>
        <v/>
      </c>
      <c r="M100" s="25"/>
      <c r="N100" s="7" t="str">
        <f t="shared" si="137"/>
        <v/>
      </c>
      <c r="O100" s="81"/>
      <c r="P100" s="81" t="str">
        <f t="shared" si="138"/>
        <v/>
      </c>
      <c r="Q100" s="81"/>
      <c r="R100" s="7" t="str">
        <f t="shared" si="139"/>
        <v/>
      </c>
      <c r="S100" s="25"/>
      <c r="T100" s="7" t="str">
        <f t="shared" si="140"/>
        <v/>
      </c>
      <c r="U100" s="25"/>
      <c r="V100" s="7" t="str">
        <f t="shared" si="141"/>
        <v/>
      </c>
      <c r="W100" s="25"/>
      <c r="X100" s="7" t="str">
        <f t="shared" si="142"/>
        <v/>
      </c>
      <c r="Y100" s="18" t="str">
        <f t="shared" si="143"/>
        <v/>
      </c>
      <c r="Z100" s="7" t="str">
        <f t="shared" si="144"/>
        <v/>
      </c>
      <c r="AA100" s="18" t="str">
        <f t="shared" si="145"/>
        <v/>
      </c>
      <c r="AB100" s="19" t="str">
        <f t="shared" si="146"/>
        <v/>
      </c>
      <c r="AC100" s="26"/>
      <c r="AD100" s="26"/>
      <c r="AE100" s="25"/>
      <c r="AF100" s="26"/>
      <c r="AG100" s="25"/>
      <c r="AH100" s="25"/>
      <c r="AI100" s="18" t="str">
        <f t="shared" si="209"/>
        <v/>
      </c>
      <c r="AJ100" s="25"/>
      <c r="AK100" s="18" t="str">
        <f t="shared" si="210"/>
        <v/>
      </c>
      <c r="AL100" s="79"/>
      <c r="AM100" s="126" t="str">
        <f t="shared" si="211"/>
        <v/>
      </c>
      <c r="AN100" s="128" t="str">
        <f>IF(AP100&lt;&gt;"",VLOOKUP($P100&amp;" | "&amp;AN$6,'Job Master'!$F$12:$J$102,5,0),"")</f>
        <v/>
      </c>
      <c r="AO100" s="19" t="str">
        <f>IF(AP100&lt;&gt;"",VLOOKUP($P100&amp;" | "&amp;AN$6,'Job Master'!$F$12:$J$102,3,0),"")</f>
        <v/>
      </c>
      <c r="AP100" s="19" t="str">
        <f>IFERROR(IF(AND(AW100&lt;&gt;"",VLOOKUP($P100&amp;" | "&amp;AN$6,'Job Master'!$F$12:$I$102,4,0)&lt;&gt;""),IF(WEEKDAY(AW100-VLOOKUP($P100&amp;" | "&amp;AN$6,'Job Master'!$F$12:$I$102,4,0))&lt;&gt;7,AW100-VLOOKUP($P100&amp;" | "&amp;AN$6,'Job Master'!$F$12:$I$102,4,0),AW100-VLOOKUP($P100&amp;" | "&amp;AN$6,'Job Master'!$F$12:$I$102,4,0)-1),""),"")</f>
        <v/>
      </c>
      <c r="AQ100" s="73"/>
      <c r="AR100" s="123" t="str">
        <f t="shared" si="147"/>
        <v/>
      </c>
      <c r="AS100" s="123" t="str">
        <f t="shared" si="148"/>
        <v/>
      </c>
      <c r="AT100" s="97" t="str">
        <f t="shared" ca="1" si="149"/>
        <v/>
      </c>
      <c r="AU100" s="98" t="str">
        <f>IF(AW100&lt;&gt;"",VLOOKUP($P100&amp;" | "&amp;AU$6,'Job Master'!$F$12:$J$102,5,0),"")</f>
        <v/>
      </c>
      <c r="AV100" s="19" t="str">
        <f>IF(AW100&lt;&gt;"",VLOOKUP($P100&amp;" | "&amp;AU$6,'Job Master'!$F$12:$J$102,3,0),"")</f>
        <v/>
      </c>
      <c r="AW100" s="19" t="str">
        <f>IFERROR(IF(AND(BD100&lt;&gt;"",VLOOKUP($P100&amp;" | "&amp;AU$6,'Job Master'!$F$12:$I$102,4,0)&lt;&gt;""),IF(WEEKDAY(BD100-VLOOKUP($P100&amp;" | "&amp;AU$6,'Job Master'!$F$12:$I$102,4,0))&lt;&gt;7,BD100-VLOOKUP($P100&amp;" | "&amp;AU$6,'Job Master'!$F$12:$I$102,4,0),BD100-VLOOKUP($P100&amp;" | "&amp;AU$6,'Job Master'!$F$12:$I$102,4,0)-1),""),"")</f>
        <v/>
      </c>
      <c r="AX100" s="73"/>
      <c r="AY100" s="123" t="str">
        <f t="shared" si="150"/>
        <v/>
      </c>
      <c r="AZ100" s="123" t="str">
        <f t="shared" si="151"/>
        <v/>
      </c>
      <c r="BA100" s="97" t="str">
        <f t="shared" ca="1" si="152"/>
        <v/>
      </c>
      <c r="BB100" s="98" t="str">
        <f>IF(BD100&lt;&gt;"",VLOOKUP($P100&amp;" | "&amp;BB$6,'Job Master'!$F$12:$J$102,5,0),"")</f>
        <v/>
      </c>
      <c r="BC100" s="19" t="str">
        <f>IF(BD100&lt;&gt;"",VLOOKUP($P100&amp;" | "&amp;BB$6,'Job Master'!$F$12:$J$102,3,0),"")</f>
        <v/>
      </c>
      <c r="BD100" s="19" t="str">
        <f>IFERROR(IF(AND(BK100&lt;&gt;"",VLOOKUP($P100&amp;" | "&amp;BB$6,'Job Master'!$F$12:$I$102,4,0)&lt;&gt;""),IF(WEEKDAY(BK100-VLOOKUP($P100&amp;" | "&amp;BB$6,'Job Master'!$F$12:$I$102,4,0))&lt;&gt;7,BK100-VLOOKUP($P100&amp;" | "&amp;BB$6,'Job Master'!$F$12:$I$102,4,0),BK100-VLOOKUP($P100&amp;" | "&amp;BB$6,'Job Master'!$F$12:$I$102,4,0)-1),""),"")</f>
        <v/>
      </c>
      <c r="BE100" s="73"/>
      <c r="BF100" s="123" t="str">
        <f t="shared" si="153"/>
        <v/>
      </c>
      <c r="BG100" s="123" t="str">
        <f t="shared" si="154"/>
        <v/>
      </c>
      <c r="BH100" s="97" t="str">
        <f t="shared" ca="1" si="155"/>
        <v/>
      </c>
      <c r="BI100" s="98" t="str">
        <f>IF(BK100&lt;&gt;"",VLOOKUP($P100&amp;" | "&amp;BI$6,'Job Master'!$F$12:$J$102,5,0),"")</f>
        <v/>
      </c>
      <c r="BJ100" s="19" t="str">
        <f>IF(BK100&lt;&gt;"",VLOOKUP($P100&amp;" | "&amp;BI$6,'Job Master'!$F$12:$J$102,3,0),"")</f>
        <v/>
      </c>
      <c r="BK100" s="19" t="str">
        <f>IFERROR(IF(AND(BR100&lt;&gt;"",VLOOKUP($P100&amp;" | "&amp;BI$6,'Job Master'!$F$12:$I$102,4,0)&lt;&gt;""),IF(WEEKDAY(BR100-VLOOKUP($P100&amp;" | "&amp;BI$6,'Job Master'!$F$12:$I$102,4,0))&lt;&gt;7,BR100-VLOOKUP($P100&amp;" | "&amp;BI$6,'Job Master'!$F$12:$I$102,4,0),BR100-VLOOKUP($P100&amp;" | "&amp;BI$6,'Job Master'!$F$12:$I$102,4,0)-1),""),"")</f>
        <v/>
      </c>
      <c r="BL100" s="73"/>
      <c r="BM100" s="123" t="str">
        <f t="shared" si="156"/>
        <v/>
      </c>
      <c r="BN100" s="123" t="str">
        <f t="shared" si="157"/>
        <v/>
      </c>
      <c r="BO100" s="97" t="str">
        <f t="shared" ca="1" si="158"/>
        <v/>
      </c>
      <c r="BP100" s="98" t="str">
        <f>IF(BR100&lt;&gt;"",VLOOKUP($P100&amp;" | "&amp;BP$6,'Job Master'!$F$12:$J$102,5,0),"")</f>
        <v/>
      </c>
      <c r="BQ100" s="19" t="str">
        <f>IF(BR100&lt;&gt;"",VLOOKUP($P100&amp;" | "&amp;BP$6,'Job Master'!$F$12:$J$102,3,0),"")</f>
        <v/>
      </c>
      <c r="BR100" s="19" t="str">
        <f>IFERROR(IF(AND(BY100&lt;&gt;"",VLOOKUP($P100&amp;" | "&amp;BP$6,'Job Master'!$F$12:$I$102,4,0)&lt;&gt;""),IF(WEEKDAY(BY100-VLOOKUP($P100&amp;" | "&amp;BP$6,'Job Master'!$F$12:$I$102,4,0))&lt;&gt;7,BY100-VLOOKUP($P100&amp;" | "&amp;BP$6,'Job Master'!$F$12:$I$102,4,0),BY100-VLOOKUP($P100&amp;" | "&amp;BP$6,'Job Master'!$F$12:$I$102,4,0)-1),""),"")</f>
        <v/>
      </c>
      <c r="BS100" s="73"/>
      <c r="BT100" s="123" t="str">
        <f t="shared" si="159"/>
        <v/>
      </c>
      <c r="BU100" s="123" t="str">
        <f t="shared" si="160"/>
        <v/>
      </c>
      <c r="BV100" s="97" t="str">
        <f t="shared" ca="1" si="161"/>
        <v/>
      </c>
      <c r="BW100" s="98" t="str">
        <f>IF(BY100&lt;&gt;"",VLOOKUP($P100&amp;" | "&amp;BW$6,'Job Master'!$F$12:$J$102,5,0),"")</f>
        <v/>
      </c>
      <c r="BX100" s="19" t="str">
        <f>IF(BY100&lt;&gt;"",VLOOKUP($P100&amp;" | "&amp;BW$6,'Job Master'!$F$12:$J$102,3,0),"")</f>
        <v/>
      </c>
      <c r="BY100" s="19" t="str">
        <f>IFERROR(IF(AND(CF100&lt;&gt;"",VLOOKUP($P100&amp;" | "&amp;BW$6,'Job Master'!$F$12:$I$102,4,0)&lt;&gt;""),IF(WEEKDAY(CF100-VLOOKUP($P100&amp;" | "&amp;BW$6,'Job Master'!$F$12:$I$102,4,0))&lt;&gt;7,CF100-VLOOKUP($P100&amp;" | "&amp;BW$6,'Job Master'!$F$12:$I$102,4,0),CF100-VLOOKUP($P100&amp;" | "&amp;BW$6,'Job Master'!$F$12:$I$102,4,0)-1),""),"")</f>
        <v/>
      </c>
      <c r="BZ100" s="73"/>
      <c r="CA100" s="123" t="str">
        <f t="shared" si="162"/>
        <v/>
      </c>
      <c r="CB100" s="123" t="str">
        <f t="shared" si="163"/>
        <v/>
      </c>
      <c r="CC100" s="97" t="str">
        <f t="shared" ca="1" si="164"/>
        <v/>
      </c>
      <c r="CD100" s="98" t="str">
        <f>IF(CF100&lt;&gt;"",VLOOKUP($P100&amp;" | "&amp;CD$6,'Job Master'!$F$12:$J$102,5,0),"")</f>
        <v/>
      </c>
      <c r="CE100" s="19" t="str">
        <f>IF(CF100&lt;&gt;"",VLOOKUP($P100&amp;" | "&amp;CD$6,'Job Master'!$F$12:$J$102,3,0),"")</f>
        <v/>
      </c>
      <c r="CF100" s="19" t="str">
        <f>IFERROR(IF(AND(CM100&lt;&gt;"",VLOOKUP($P100&amp;" | "&amp;CD$6,'Job Master'!$F$12:$I$102,4,0)&lt;&gt;""),IF(WEEKDAY(CM100-VLOOKUP($P100&amp;" | "&amp;CD$6,'Job Master'!$F$12:$I$102,4,0))&lt;&gt;7,CM100-VLOOKUP($P100&amp;" | "&amp;CD$6,'Job Master'!$F$12:$I$102,4,0),CM100-VLOOKUP($P100&amp;" | "&amp;CD$6,'Job Master'!$F$12:$I$102,4,0)-1),""),"")</f>
        <v/>
      </c>
      <c r="CG100" s="73"/>
      <c r="CH100" s="123" t="str">
        <f t="shared" si="165"/>
        <v/>
      </c>
      <c r="CI100" s="123" t="str">
        <f t="shared" si="166"/>
        <v/>
      </c>
      <c r="CJ100" s="97" t="str">
        <f t="shared" ca="1" si="167"/>
        <v/>
      </c>
      <c r="CK100" s="98" t="str">
        <f>IF(CM100&lt;&gt;"",VLOOKUP($P100&amp;" | "&amp;CK$6,'Job Master'!$F$12:$J$102,5,0),"")</f>
        <v/>
      </c>
      <c r="CL100" s="19" t="str">
        <f>IF(CM100&lt;&gt;"",VLOOKUP($P100&amp;" | "&amp;CK$6,'Job Master'!$F$12:$J$102,3,0),"")</f>
        <v/>
      </c>
      <c r="CM100" s="19" t="str">
        <f>IFERROR(IF(AND(CT100&lt;&gt;"",VLOOKUP($P100&amp;" | "&amp;CK$6,'Job Master'!$F$12:$I$102,4,0)&lt;&gt;""),IF(WEEKDAY(CT100-VLOOKUP($P100&amp;" | "&amp;CK$6,'Job Master'!$F$12:$I$102,4,0))&lt;&gt;7,CT100-VLOOKUP($P100&amp;" | "&amp;CK$6,'Job Master'!$F$12:$I$102,4,0),CT100-VLOOKUP($P100&amp;" | "&amp;CK$6,'Job Master'!$F$12:$I$102,4,0)-1),""),"")</f>
        <v/>
      </c>
      <c r="CN100" s="73"/>
      <c r="CO100" s="123" t="str">
        <f t="shared" si="168"/>
        <v/>
      </c>
      <c r="CP100" s="123" t="str">
        <f t="shared" si="169"/>
        <v/>
      </c>
      <c r="CQ100" s="97" t="str">
        <f t="shared" ca="1" si="170"/>
        <v/>
      </c>
      <c r="CR100" s="98" t="str">
        <f>IF(CT100&lt;&gt;"",VLOOKUP($P100&amp;" | "&amp;CR$6,'Job Master'!$F$12:$J$102,5,0),"")</f>
        <v/>
      </c>
      <c r="CS100" s="19" t="str">
        <f>IF(CT100&lt;&gt;"",VLOOKUP($P100&amp;" | "&amp;CR$6,'Job Master'!$F$12:$J$102,3,0),"")</f>
        <v/>
      </c>
      <c r="CT100" s="19" t="str">
        <f>IFERROR(IF(AND(DA100&lt;&gt;"",VLOOKUP($P100&amp;" | "&amp;CR$6,'Job Master'!$F$12:$I$102,4,0)&lt;&gt;""),IF(WEEKDAY(DA100-VLOOKUP($P100&amp;" | "&amp;CR$6,'Job Master'!$F$12:$I$102,4,0))&lt;&gt;7,DA100-VLOOKUP($P100&amp;" | "&amp;CR$6,'Job Master'!$F$12:$I$102,4,0),DA100-VLOOKUP($P100&amp;" | "&amp;CR$6,'Job Master'!$F$12:$I$102,4,0)-1),""),"")</f>
        <v/>
      </c>
      <c r="CU100" s="73"/>
      <c r="CV100" s="123" t="str">
        <f t="shared" si="171"/>
        <v/>
      </c>
      <c r="CW100" s="123" t="str">
        <f t="shared" si="172"/>
        <v/>
      </c>
      <c r="CX100" s="97" t="str">
        <f t="shared" ca="1" si="173"/>
        <v/>
      </c>
      <c r="CY100" s="98" t="str">
        <f>IF(DA100&lt;&gt;"",VLOOKUP($P100&amp;" | "&amp;CY$6,'Job Master'!$F$12:$J$102,5,0),"")</f>
        <v/>
      </c>
      <c r="CZ100" s="19" t="str">
        <f>IF(DA100&lt;&gt;"",VLOOKUP($P100&amp;" | "&amp;CY$6,'Job Master'!$F$12:$J$102,3,0),"")</f>
        <v/>
      </c>
      <c r="DA100" s="19" t="str">
        <f>IFERROR(IF(AND(DH100&lt;&gt;"",VLOOKUP($P100&amp;" | "&amp;CY$6,'Job Master'!$F$12:$I$102,4,0)&lt;&gt;""),IF(WEEKDAY(DH100-VLOOKUP($P100&amp;" | "&amp;CY$6,'Job Master'!$F$12:$I$102,4,0))&lt;&gt;7,DH100-VLOOKUP($P100&amp;" | "&amp;CY$6,'Job Master'!$F$12:$I$102,4,0),DH100-VLOOKUP($P100&amp;" | "&amp;CY$6,'Job Master'!$F$12:$I$102,4,0)-1),""),"")</f>
        <v/>
      </c>
      <c r="DB100" s="73"/>
      <c r="DC100" s="123" t="str">
        <f t="shared" si="174"/>
        <v/>
      </c>
      <c r="DD100" s="123" t="str">
        <f t="shared" si="175"/>
        <v/>
      </c>
      <c r="DE100" s="97" t="str">
        <f t="shared" ca="1" si="176"/>
        <v/>
      </c>
      <c r="DF100" s="98" t="str">
        <f>IF(DH100&lt;&gt;"",VLOOKUP($P100&amp;" | "&amp;DF$6,'Job Master'!$F$12:$J$102,5,0),"")</f>
        <v/>
      </c>
      <c r="DG100" s="19" t="str">
        <f>IF(DH100&lt;&gt;"",VLOOKUP($P100&amp;" | "&amp;DF$6,'Job Master'!$F$12:$J$102,3,0),"")</f>
        <v/>
      </c>
      <c r="DH100" s="19" t="str">
        <f>IFERROR(IF(AND(DO100&lt;&gt;"",VLOOKUP($P100&amp;" | "&amp;DF$6,'Job Master'!$F$12:$I$102,4,0)&lt;&gt;""),IF(WEEKDAY(DO100-VLOOKUP($P100&amp;" | "&amp;DF$6,'Job Master'!$F$12:$I$102,4,0))&lt;&gt;7,DO100-VLOOKUP($P100&amp;" | "&amp;DF$6,'Job Master'!$F$12:$I$102,4,0),DO100-VLOOKUP($P100&amp;" | "&amp;DF$6,'Job Master'!$F$12:$I$102,4,0)-1),""),"")</f>
        <v/>
      </c>
      <c r="DI100" s="73"/>
      <c r="DJ100" s="123" t="str">
        <f t="shared" si="177"/>
        <v/>
      </c>
      <c r="DK100" s="123" t="str">
        <f t="shared" si="178"/>
        <v/>
      </c>
      <c r="DL100" s="97" t="str">
        <f t="shared" ca="1" si="179"/>
        <v/>
      </c>
      <c r="DM100" s="98" t="str">
        <f>IF(DO100&lt;&gt;"",VLOOKUP($P100&amp;" | "&amp;DM$6,'Job Master'!$F$12:$J$102,5,0),"")</f>
        <v/>
      </c>
      <c r="DN100" s="19" t="str">
        <f>IF(DO100&lt;&gt;"",VLOOKUP($P100&amp;" | "&amp;DM$6,'Job Master'!$F$12:$J$102,3,0),"")</f>
        <v/>
      </c>
      <c r="DO100" s="19" t="str">
        <f>IFERROR(IF(AND(DT100&lt;&gt;"",VLOOKUP($P100&amp;" | "&amp;DM$6,'Job Master'!$F$12:$I$102,4,0)&lt;&gt;""),IF(WEEKDAY(DT100-VLOOKUP($P100&amp;" | "&amp;DM$6,'Job Master'!$F$12:$I$102,4,0))&lt;&gt;7,DT100-VLOOKUP($P100&amp;" | "&amp;DM$6,'Job Master'!$F$12:$I$102,4,0),DT100-VLOOKUP($P100&amp;" | "&amp;DM$6,'Job Master'!$F$12:$I$102,4,0)-1),""),"")</f>
        <v/>
      </c>
      <c r="DP100" s="73"/>
      <c r="DQ100" s="123" t="str">
        <f t="shared" si="180"/>
        <v/>
      </c>
      <c r="DR100" s="123" t="str">
        <f t="shared" si="181"/>
        <v/>
      </c>
      <c r="DS100" s="97" t="str">
        <f t="shared" ca="1" si="182"/>
        <v/>
      </c>
      <c r="DT100" s="70" t="str">
        <f t="shared" si="183"/>
        <v/>
      </c>
      <c r="DU100" s="90"/>
      <c r="DV100" s="123" t="str">
        <f t="shared" si="184"/>
        <v/>
      </c>
      <c r="DW100" s="123" t="str">
        <f t="shared" si="185"/>
        <v/>
      </c>
      <c r="DX100" s="132" t="str">
        <f t="shared" ref="DX100" ca="1" si="223">IF(DT100&lt;&gt;"",IF(WEEKNUM(DT100)=WEEKNUM(TODAY()),"This Week",IF(WEEKNUM(DT100)=WEEKNUM(TODAY())+1,"Next Week",IF(WEEKNUM(DT100)=WEEKNUM(TODAY())-1,"Previous Week",""))),"")</f>
        <v/>
      </c>
      <c r="DY100" s="134" t="str">
        <f t="shared" si="187"/>
        <v/>
      </c>
      <c r="DZ100" s="95"/>
      <c r="EB100" s="8" t="str">
        <f t="shared" si="193"/>
        <v/>
      </c>
      <c r="EC100" s="8" t="str">
        <f>IF(O100&lt;&gt;"",VLOOKUP(O100,'Job Master'!$N$12:$O$18,2,0),"")</f>
        <v/>
      </c>
      <c r="ED100" s="8">
        <f t="shared" si="194"/>
        <v>19.5</v>
      </c>
      <c r="EE100" s="8">
        <f t="shared" si="195"/>
        <v>6</v>
      </c>
      <c r="EF100" s="8">
        <f t="shared" si="196"/>
        <v>-520.5</v>
      </c>
      <c r="EG100" s="8" t="str">
        <f t="shared" si="197"/>
        <v/>
      </c>
      <c r="EH100" s="8" t="str">
        <f t="shared" si="198"/>
        <v/>
      </c>
    </row>
    <row r="101" spans="2:138" x14ac:dyDescent="0.3">
      <c r="B101" s="112"/>
      <c r="C101" s="27"/>
      <c r="D101" s="7" t="str">
        <f t="shared" si="135"/>
        <v/>
      </c>
      <c r="E101" s="25"/>
      <c r="F101" s="7" t="str">
        <f t="shared" si="135"/>
        <v/>
      </c>
      <c r="G101" s="25"/>
      <c r="H101" s="7" t="str">
        <f t="shared" si="135"/>
        <v/>
      </c>
      <c r="I101" s="25"/>
      <c r="J101" s="7" t="str">
        <f t="shared" si="135"/>
        <v/>
      </c>
      <c r="K101" s="25"/>
      <c r="L101" s="7" t="str">
        <f t="shared" si="136"/>
        <v/>
      </c>
      <c r="M101" s="25"/>
      <c r="N101" s="7" t="str">
        <f t="shared" si="137"/>
        <v/>
      </c>
      <c r="O101" s="81"/>
      <c r="P101" s="81" t="str">
        <f t="shared" si="138"/>
        <v/>
      </c>
      <c r="Q101" s="81"/>
      <c r="R101" s="7" t="str">
        <f t="shared" si="139"/>
        <v/>
      </c>
      <c r="S101" s="25"/>
      <c r="T101" s="7" t="str">
        <f t="shared" si="140"/>
        <v/>
      </c>
      <c r="U101" s="25"/>
      <c r="V101" s="7" t="str">
        <f t="shared" si="141"/>
        <v/>
      </c>
      <c r="W101" s="25"/>
      <c r="X101" s="7" t="str">
        <f t="shared" si="142"/>
        <v/>
      </c>
      <c r="Y101" s="18" t="str">
        <f t="shared" si="143"/>
        <v/>
      </c>
      <c r="Z101" s="7" t="str">
        <f t="shared" si="144"/>
        <v/>
      </c>
      <c r="AA101" s="18" t="str">
        <f t="shared" si="145"/>
        <v/>
      </c>
      <c r="AB101" s="19" t="str">
        <f t="shared" si="146"/>
        <v/>
      </c>
      <c r="AC101" s="26"/>
      <c r="AD101" s="26"/>
      <c r="AE101" s="25"/>
      <c r="AF101" s="26"/>
      <c r="AG101" s="25"/>
      <c r="AH101" s="25"/>
      <c r="AI101" s="18" t="str">
        <f t="shared" si="209"/>
        <v/>
      </c>
      <c r="AJ101" s="25"/>
      <c r="AK101" s="18" t="str">
        <f t="shared" si="210"/>
        <v/>
      </c>
      <c r="AL101" s="79"/>
      <c r="AM101" s="126" t="str">
        <f t="shared" si="211"/>
        <v/>
      </c>
      <c r="AN101" s="128" t="str">
        <f>IF(AP101&lt;&gt;"",VLOOKUP($P101&amp;" | "&amp;AN$6,'Job Master'!$F$12:$J$102,5,0),"")</f>
        <v/>
      </c>
      <c r="AO101" s="19" t="str">
        <f>IF(AP101&lt;&gt;"",VLOOKUP($P101&amp;" | "&amp;AN$6,'Job Master'!$F$12:$J$102,3,0),"")</f>
        <v/>
      </c>
      <c r="AP101" s="19" t="str">
        <f>IFERROR(IF(AND(AW101&lt;&gt;"",VLOOKUP($P101&amp;" | "&amp;AN$6,'Job Master'!$F$12:$I$102,4,0)&lt;&gt;""),IF(WEEKDAY(AW101-VLOOKUP($P101&amp;" | "&amp;AN$6,'Job Master'!$F$12:$I$102,4,0))&lt;&gt;7,AW101-VLOOKUP($P101&amp;" | "&amp;AN$6,'Job Master'!$F$12:$I$102,4,0),AW101-VLOOKUP($P101&amp;" | "&amp;AN$6,'Job Master'!$F$12:$I$102,4,0)-1),""),"")</f>
        <v/>
      </c>
      <c r="AQ101" s="73"/>
      <c r="AR101" s="123" t="str">
        <f t="shared" si="147"/>
        <v/>
      </c>
      <c r="AS101" s="123" t="str">
        <f t="shared" si="148"/>
        <v/>
      </c>
      <c r="AT101" s="97" t="str">
        <f t="shared" ca="1" si="149"/>
        <v/>
      </c>
      <c r="AU101" s="98" t="str">
        <f>IF(AW101&lt;&gt;"",VLOOKUP($P101&amp;" | "&amp;AU$6,'Job Master'!$F$12:$J$102,5,0),"")</f>
        <v/>
      </c>
      <c r="AV101" s="19" t="str">
        <f>IF(AW101&lt;&gt;"",VLOOKUP($P101&amp;" | "&amp;AU$6,'Job Master'!$F$12:$J$102,3,0),"")</f>
        <v/>
      </c>
      <c r="AW101" s="19" t="str">
        <f>IFERROR(IF(AND(BD101&lt;&gt;"",VLOOKUP($P101&amp;" | "&amp;AU$6,'Job Master'!$F$12:$I$102,4,0)&lt;&gt;""),IF(WEEKDAY(BD101-VLOOKUP($P101&amp;" | "&amp;AU$6,'Job Master'!$F$12:$I$102,4,0))&lt;&gt;7,BD101-VLOOKUP($P101&amp;" | "&amp;AU$6,'Job Master'!$F$12:$I$102,4,0),BD101-VLOOKUP($P101&amp;" | "&amp;AU$6,'Job Master'!$F$12:$I$102,4,0)-1),""),"")</f>
        <v/>
      </c>
      <c r="AX101" s="73"/>
      <c r="AY101" s="123" t="str">
        <f t="shared" si="150"/>
        <v/>
      </c>
      <c r="AZ101" s="123" t="str">
        <f t="shared" si="151"/>
        <v/>
      </c>
      <c r="BA101" s="97" t="str">
        <f t="shared" ca="1" si="152"/>
        <v/>
      </c>
      <c r="BB101" s="98" t="str">
        <f>IF(BD101&lt;&gt;"",VLOOKUP($P101&amp;" | "&amp;BB$6,'Job Master'!$F$12:$J$102,5,0),"")</f>
        <v/>
      </c>
      <c r="BC101" s="19" t="str">
        <f>IF(BD101&lt;&gt;"",VLOOKUP($P101&amp;" | "&amp;BB$6,'Job Master'!$F$12:$J$102,3,0),"")</f>
        <v/>
      </c>
      <c r="BD101" s="19" t="str">
        <f>IFERROR(IF(AND(BK101&lt;&gt;"",VLOOKUP($P101&amp;" | "&amp;BB$6,'Job Master'!$F$12:$I$102,4,0)&lt;&gt;""),IF(WEEKDAY(BK101-VLOOKUP($P101&amp;" | "&amp;BB$6,'Job Master'!$F$12:$I$102,4,0))&lt;&gt;7,BK101-VLOOKUP($P101&amp;" | "&amp;BB$6,'Job Master'!$F$12:$I$102,4,0),BK101-VLOOKUP($P101&amp;" | "&amp;BB$6,'Job Master'!$F$12:$I$102,4,0)-1),""),"")</f>
        <v/>
      </c>
      <c r="BE101" s="73"/>
      <c r="BF101" s="123" t="str">
        <f t="shared" si="153"/>
        <v/>
      </c>
      <c r="BG101" s="123" t="str">
        <f t="shared" si="154"/>
        <v/>
      </c>
      <c r="BH101" s="97" t="str">
        <f t="shared" ca="1" si="155"/>
        <v/>
      </c>
      <c r="BI101" s="98" t="str">
        <f>IF(BK101&lt;&gt;"",VLOOKUP($P101&amp;" | "&amp;BI$6,'Job Master'!$F$12:$J$102,5,0),"")</f>
        <v/>
      </c>
      <c r="BJ101" s="19" t="str">
        <f>IF(BK101&lt;&gt;"",VLOOKUP($P101&amp;" | "&amp;BI$6,'Job Master'!$F$12:$J$102,3,0),"")</f>
        <v/>
      </c>
      <c r="BK101" s="19" t="str">
        <f>IFERROR(IF(AND(BR101&lt;&gt;"",VLOOKUP($P101&amp;" | "&amp;BI$6,'Job Master'!$F$12:$I$102,4,0)&lt;&gt;""),IF(WEEKDAY(BR101-VLOOKUP($P101&amp;" | "&amp;BI$6,'Job Master'!$F$12:$I$102,4,0))&lt;&gt;7,BR101-VLOOKUP($P101&amp;" | "&amp;BI$6,'Job Master'!$F$12:$I$102,4,0),BR101-VLOOKUP($P101&amp;" | "&amp;BI$6,'Job Master'!$F$12:$I$102,4,0)-1),""),"")</f>
        <v/>
      </c>
      <c r="BL101" s="73"/>
      <c r="BM101" s="123" t="str">
        <f t="shared" si="156"/>
        <v/>
      </c>
      <c r="BN101" s="123" t="str">
        <f t="shared" si="157"/>
        <v/>
      </c>
      <c r="BO101" s="97" t="str">
        <f t="shared" ca="1" si="158"/>
        <v/>
      </c>
      <c r="BP101" s="98" t="str">
        <f>IF(BR101&lt;&gt;"",VLOOKUP($P101&amp;" | "&amp;BP$6,'Job Master'!$F$12:$J$102,5,0),"")</f>
        <v/>
      </c>
      <c r="BQ101" s="19" t="str">
        <f>IF(BR101&lt;&gt;"",VLOOKUP($P101&amp;" | "&amp;BP$6,'Job Master'!$F$12:$J$102,3,0),"")</f>
        <v/>
      </c>
      <c r="BR101" s="19" t="str">
        <f>IFERROR(IF(AND(BY101&lt;&gt;"",VLOOKUP($P101&amp;" | "&amp;BP$6,'Job Master'!$F$12:$I$102,4,0)&lt;&gt;""),IF(WEEKDAY(BY101-VLOOKUP($P101&amp;" | "&amp;BP$6,'Job Master'!$F$12:$I$102,4,0))&lt;&gt;7,BY101-VLOOKUP($P101&amp;" | "&amp;BP$6,'Job Master'!$F$12:$I$102,4,0),BY101-VLOOKUP($P101&amp;" | "&amp;BP$6,'Job Master'!$F$12:$I$102,4,0)-1),""),"")</f>
        <v/>
      </c>
      <c r="BS101" s="73"/>
      <c r="BT101" s="123" t="str">
        <f t="shared" si="159"/>
        <v/>
      </c>
      <c r="BU101" s="123" t="str">
        <f t="shared" si="160"/>
        <v/>
      </c>
      <c r="BV101" s="97" t="str">
        <f t="shared" ca="1" si="161"/>
        <v/>
      </c>
      <c r="BW101" s="98" t="str">
        <f>IF(BY101&lt;&gt;"",VLOOKUP($P101&amp;" | "&amp;BW$6,'Job Master'!$F$12:$J$102,5,0),"")</f>
        <v/>
      </c>
      <c r="BX101" s="19" t="str">
        <f>IF(BY101&lt;&gt;"",VLOOKUP($P101&amp;" | "&amp;BW$6,'Job Master'!$F$12:$J$102,3,0),"")</f>
        <v/>
      </c>
      <c r="BY101" s="19" t="str">
        <f>IFERROR(IF(AND(CF101&lt;&gt;"",VLOOKUP($P101&amp;" | "&amp;BW$6,'Job Master'!$F$12:$I$102,4,0)&lt;&gt;""),IF(WEEKDAY(CF101-VLOOKUP($P101&amp;" | "&amp;BW$6,'Job Master'!$F$12:$I$102,4,0))&lt;&gt;7,CF101-VLOOKUP($P101&amp;" | "&amp;BW$6,'Job Master'!$F$12:$I$102,4,0),CF101-VLOOKUP($P101&amp;" | "&amp;BW$6,'Job Master'!$F$12:$I$102,4,0)-1),""),"")</f>
        <v/>
      </c>
      <c r="BZ101" s="73"/>
      <c r="CA101" s="123" t="str">
        <f t="shared" si="162"/>
        <v/>
      </c>
      <c r="CB101" s="123" t="str">
        <f t="shared" si="163"/>
        <v/>
      </c>
      <c r="CC101" s="97" t="str">
        <f t="shared" ca="1" si="164"/>
        <v/>
      </c>
      <c r="CD101" s="98" t="str">
        <f>IF(CF101&lt;&gt;"",VLOOKUP($P101&amp;" | "&amp;CD$6,'Job Master'!$F$12:$J$102,5,0),"")</f>
        <v/>
      </c>
      <c r="CE101" s="19" t="str">
        <f>IF(CF101&lt;&gt;"",VLOOKUP($P101&amp;" | "&amp;CD$6,'Job Master'!$F$12:$J$102,3,0),"")</f>
        <v/>
      </c>
      <c r="CF101" s="19" t="str">
        <f>IFERROR(IF(AND(CM101&lt;&gt;"",VLOOKUP($P101&amp;" | "&amp;CD$6,'Job Master'!$F$12:$I$102,4,0)&lt;&gt;""),IF(WEEKDAY(CM101-VLOOKUP($P101&amp;" | "&amp;CD$6,'Job Master'!$F$12:$I$102,4,0))&lt;&gt;7,CM101-VLOOKUP($P101&amp;" | "&amp;CD$6,'Job Master'!$F$12:$I$102,4,0),CM101-VLOOKUP($P101&amp;" | "&amp;CD$6,'Job Master'!$F$12:$I$102,4,0)-1),""),"")</f>
        <v/>
      </c>
      <c r="CG101" s="73"/>
      <c r="CH101" s="123" t="str">
        <f t="shared" si="165"/>
        <v/>
      </c>
      <c r="CI101" s="123" t="str">
        <f t="shared" si="166"/>
        <v/>
      </c>
      <c r="CJ101" s="97" t="str">
        <f t="shared" ca="1" si="167"/>
        <v/>
      </c>
      <c r="CK101" s="98" t="str">
        <f>IF(CM101&lt;&gt;"",VLOOKUP($P101&amp;" | "&amp;CK$6,'Job Master'!$F$12:$J$102,5,0),"")</f>
        <v/>
      </c>
      <c r="CL101" s="19" t="str">
        <f>IF(CM101&lt;&gt;"",VLOOKUP($P101&amp;" | "&amp;CK$6,'Job Master'!$F$12:$J$102,3,0),"")</f>
        <v/>
      </c>
      <c r="CM101" s="19" t="str">
        <f>IFERROR(IF(AND(CT101&lt;&gt;"",VLOOKUP($P101&amp;" | "&amp;CK$6,'Job Master'!$F$12:$I$102,4,0)&lt;&gt;""),IF(WEEKDAY(CT101-VLOOKUP($P101&amp;" | "&amp;CK$6,'Job Master'!$F$12:$I$102,4,0))&lt;&gt;7,CT101-VLOOKUP($P101&amp;" | "&amp;CK$6,'Job Master'!$F$12:$I$102,4,0),CT101-VLOOKUP($P101&amp;" | "&amp;CK$6,'Job Master'!$F$12:$I$102,4,0)-1),""),"")</f>
        <v/>
      </c>
      <c r="CN101" s="73"/>
      <c r="CO101" s="123" t="str">
        <f t="shared" si="168"/>
        <v/>
      </c>
      <c r="CP101" s="123" t="str">
        <f t="shared" si="169"/>
        <v/>
      </c>
      <c r="CQ101" s="97" t="str">
        <f t="shared" ca="1" si="170"/>
        <v/>
      </c>
      <c r="CR101" s="98" t="str">
        <f>IF(CT101&lt;&gt;"",VLOOKUP($P101&amp;" | "&amp;CR$6,'Job Master'!$F$12:$J$102,5,0),"")</f>
        <v/>
      </c>
      <c r="CS101" s="19" t="str">
        <f>IF(CT101&lt;&gt;"",VLOOKUP($P101&amp;" | "&amp;CR$6,'Job Master'!$F$12:$J$102,3,0),"")</f>
        <v/>
      </c>
      <c r="CT101" s="19" t="str">
        <f>IFERROR(IF(AND(DA101&lt;&gt;"",VLOOKUP($P101&amp;" | "&amp;CR$6,'Job Master'!$F$12:$I$102,4,0)&lt;&gt;""),IF(WEEKDAY(DA101-VLOOKUP($P101&amp;" | "&amp;CR$6,'Job Master'!$F$12:$I$102,4,0))&lt;&gt;7,DA101-VLOOKUP($P101&amp;" | "&amp;CR$6,'Job Master'!$F$12:$I$102,4,0),DA101-VLOOKUP($P101&amp;" | "&amp;CR$6,'Job Master'!$F$12:$I$102,4,0)-1),""),"")</f>
        <v/>
      </c>
      <c r="CU101" s="73"/>
      <c r="CV101" s="123" t="str">
        <f t="shared" si="171"/>
        <v/>
      </c>
      <c r="CW101" s="123" t="str">
        <f t="shared" si="172"/>
        <v/>
      </c>
      <c r="CX101" s="97" t="str">
        <f t="shared" ca="1" si="173"/>
        <v/>
      </c>
      <c r="CY101" s="98" t="str">
        <f>IF(DA101&lt;&gt;"",VLOOKUP($P101&amp;" | "&amp;CY$6,'Job Master'!$F$12:$J$102,5,0),"")</f>
        <v/>
      </c>
      <c r="CZ101" s="19" t="str">
        <f>IF(DA101&lt;&gt;"",VLOOKUP($P101&amp;" | "&amp;CY$6,'Job Master'!$F$12:$J$102,3,0),"")</f>
        <v/>
      </c>
      <c r="DA101" s="19" t="str">
        <f>IFERROR(IF(AND(DH101&lt;&gt;"",VLOOKUP($P101&amp;" | "&amp;CY$6,'Job Master'!$F$12:$I$102,4,0)&lt;&gt;""),IF(WEEKDAY(DH101-VLOOKUP($P101&amp;" | "&amp;CY$6,'Job Master'!$F$12:$I$102,4,0))&lt;&gt;7,DH101-VLOOKUP($P101&amp;" | "&amp;CY$6,'Job Master'!$F$12:$I$102,4,0),DH101-VLOOKUP($P101&amp;" | "&amp;CY$6,'Job Master'!$F$12:$I$102,4,0)-1),""),"")</f>
        <v/>
      </c>
      <c r="DB101" s="73"/>
      <c r="DC101" s="123" t="str">
        <f t="shared" si="174"/>
        <v/>
      </c>
      <c r="DD101" s="123" t="str">
        <f t="shared" si="175"/>
        <v/>
      </c>
      <c r="DE101" s="97" t="str">
        <f t="shared" ca="1" si="176"/>
        <v/>
      </c>
      <c r="DF101" s="98" t="str">
        <f>IF(DH101&lt;&gt;"",VLOOKUP($P101&amp;" | "&amp;DF$6,'Job Master'!$F$12:$J$102,5,0),"")</f>
        <v/>
      </c>
      <c r="DG101" s="19" t="str">
        <f>IF(DH101&lt;&gt;"",VLOOKUP($P101&amp;" | "&amp;DF$6,'Job Master'!$F$12:$J$102,3,0),"")</f>
        <v/>
      </c>
      <c r="DH101" s="19" t="str">
        <f>IFERROR(IF(AND(DO101&lt;&gt;"",VLOOKUP($P101&amp;" | "&amp;DF$6,'Job Master'!$F$12:$I$102,4,0)&lt;&gt;""),IF(WEEKDAY(DO101-VLOOKUP($P101&amp;" | "&amp;DF$6,'Job Master'!$F$12:$I$102,4,0))&lt;&gt;7,DO101-VLOOKUP($P101&amp;" | "&amp;DF$6,'Job Master'!$F$12:$I$102,4,0),DO101-VLOOKUP($P101&amp;" | "&amp;DF$6,'Job Master'!$F$12:$I$102,4,0)-1),""),"")</f>
        <v/>
      </c>
      <c r="DI101" s="73"/>
      <c r="DJ101" s="123" t="str">
        <f t="shared" si="177"/>
        <v/>
      </c>
      <c r="DK101" s="123" t="str">
        <f t="shared" si="178"/>
        <v/>
      </c>
      <c r="DL101" s="97" t="str">
        <f t="shared" ca="1" si="179"/>
        <v/>
      </c>
      <c r="DM101" s="98" t="str">
        <f>IF(DO101&lt;&gt;"",VLOOKUP($P101&amp;" | "&amp;DM$6,'Job Master'!$F$12:$J$102,5,0),"")</f>
        <v/>
      </c>
      <c r="DN101" s="19" t="str">
        <f>IF(DO101&lt;&gt;"",VLOOKUP($P101&amp;" | "&amp;DM$6,'Job Master'!$F$12:$J$102,3,0),"")</f>
        <v/>
      </c>
      <c r="DO101" s="19" t="str">
        <f>IFERROR(IF(AND(DT101&lt;&gt;"",VLOOKUP($P101&amp;" | "&amp;DM$6,'Job Master'!$F$12:$I$102,4,0)&lt;&gt;""),IF(WEEKDAY(DT101-VLOOKUP($P101&amp;" | "&amp;DM$6,'Job Master'!$F$12:$I$102,4,0))&lt;&gt;7,DT101-VLOOKUP($P101&amp;" | "&amp;DM$6,'Job Master'!$F$12:$I$102,4,0),DT101-VLOOKUP($P101&amp;" | "&amp;DM$6,'Job Master'!$F$12:$I$102,4,0)-1),""),"")</f>
        <v/>
      </c>
      <c r="DP101" s="73"/>
      <c r="DQ101" s="123" t="str">
        <f t="shared" si="180"/>
        <v/>
      </c>
      <c r="DR101" s="123" t="str">
        <f t="shared" si="181"/>
        <v/>
      </c>
      <c r="DS101" s="97" t="str">
        <f t="shared" ca="1" si="182"/>
        <v/>
      </c>
      <c r="DT101" s="70" t="str">
        <f t="shared" si="183"/>
        <v/>
      </c>
      <c r="DU101" s="90"/>
      <c r="DV101" s="123" t="str">
        <f t="shared" si="184"/>
        <v/>
      </c>
      <c r="DW101" s="123" t="str">
        <f t="shared" si="185"/>
        <v/>
      </c>
      <c r="DX101" s="132" t="str">
        <f t="shared" ref="DX101" ca="1" si="224">IF(DT101&lt;&gt;"",IF(WEEKNUM(DT101)=WEEKNUM(TODAY()),"This Week",IF(WEEKNUM(DT101)=WEEKNUM(TODAY())+1,"Next Week",IF(WEEKNUM(DT101)=WEEKNUM(TODAY())-1,"Previous Week",""))),"")</f>
        <v/>
      </c>
      <c r="DY101" s="134" t="str">
        <f t="shared" si="187"/>
        <v/>
      </c>
      <c r="DZ101" s="95"/>
      <c r="EB101" s="8" t="str">
        <f t="shared" si="193"/>
        <v/>
      </c>
      <c r="EC101" s="8" t="str">
        <f>IF(O101&lt;&gt;"",VLOOKUP(O101,'Job Master'!$N$12:$O$18,2,0),"")</f>
        <v/>
      </c>
      <c r="ED101" s="8">
        <f t="shared" si="194"/>
        <v>19.5</v>
      </c>
      <c r="EE101" s="8">
        <f t="shared" si="195"/>
        <v>6</v>
      </c>
      <c r="EF101" s="8">
        <f t="shared" si="196"/>
        <v>-526.5</v>
      </c>
      <c r="EG101" s="8" t="str">
        <f t="shared" si="197"/>
        <v/>
      </c>
      <c r="EH101" s="8" t="str">
        <f t="shared" si="198"/>
        <v/>
      </c>
    </row>
    <row r="102" spans="2:138" x14ac:dyDescent="0.3">
      <c r="B102" s="112"/>
      <c r="C102" s="27"/>
      <c r="D102" s="7" t="str">
        <f t="shared" si="135"/>
        <v/>
      </c>
      <c r="E102" s="25"/>
      <c r="F102" s="7" t="str">
        <f t="shared" si="135"/>
        <v/>
      </c>
      <c r="G102" s="25"/>
      <c r="H102" s="7" t="str">
        <f t="shared" si="135"/>
        <v/>
      </c>
      <c r="I102" s="25"/>
      <c r="J102" s="7" t="str">
        <f t="shared" si="135"/>
        <v/>
      </c>
      <c r="K102" s="25"/>
      <c r="L102" s="7" t="str">
        <f t="shared" si="136"/>
        <v/>
      </c>
      <c r="M102" s="25"/>
      <c r="N102" s="7" t="str">
        <f t="shared" si="137"/>
        <v/>
      </c>
      <c r="O102" s="81"/>
      <c r="P102" s="81" t="str">
        <f t="shared" si="138"/>
        <v/>
      </c>
      <c r="Q102" s="81"/>
      <c r="R102" s="7" t="str">
        <f t="shared" si="139"/>
        <v/>
      </c>
      <c r="S102" s="25"/>
      <c r="T102" s="7" t="str">
        <f t="shared" si="140"/>
        <v/>
      </c>
      <c r="U102" s="25"/>
      <c r="V102" s="7" t="str">
        <f t="shared" si="141"/>
        <v/>
      </c>
      <c r="W102" s="25"/>
      <c r="X102" s="7" t="str">
        <f t="shared" si="142"/>
        <v/>
      </c>
      <c r="Y102" s="18" t="str">
        <f t="shared" si="143"/>
        <v/>
      </c>
      <c r="Z102" s="7" t="str">
        <f t="shared" si="144"/>
        <v/>
      </c>
      <c r="AA102" s="18" t="str">
        <f t="shared" si="145"/>
        <v/>
      </c>
      <c r="AB102" s="19" t="str">
        <f t="shared" si="146"/>
        <v/>
      </c>
      <c r="AC102" s="26"/>
      <c r="AD102" s="26"/>
      <c r="AE102" s="25"/>
      <c r="AF102" s="26"/>
      <c r="AG102" s="25"/>
      <c r="AH102" s="25"/>
      <c r="AI102" s="18" t="str">
        <f t="shared" si="209"/>
        <v/>
      </c>
      <c r="AJ102" s="25"/>
      <c r="AK102" s="18" t="str">
        <f t="shared" si="210"/>
        <v/>
      </c>
      <c r="AL102" s="79"/>
      <c r="AM102" s="126" t="str">
        <f t="shared" si="211"/>
        <v/>
      </c>
      <c r="AN102" s="128" t="str">
        <f>IF(AP102&lt;&gt;"",VLOOKUP($P102&amp;" | "&amp;AN$6,'Job Master'!$F$12:$J$102,5,0),"")</f>
        <v/>
      </c>
      <c r="AO102" s="19" t="str">
        <f>IF(AP102&lt;&gt;"",VLOOKUP($P102&amp;" | "&amp;AN$6,'Job Master'!$F$12:$J$102,3,0),"")</f>
        <v/>
      </c>
      <c r="AP102" s="19" t="str">
        <f>IFERROR(IF(AND(AW102&lt;&gt;"",VLOOKUP($P102&amp;" | "&amp;AN$6,'Job Master'!$F$12:$I$102,4,0)&lt;&gt;""),IF(WEEKDAY(AW102-VLOOKUP($P102&amp;" | "&amp;AN$6,'Job Master'!$F$12:$I$102,4,0))&lt;&gt;7,AW102-VLOOKUP($P102&amp;" | "&amp;AN$6,'Job Master'!$F$12:$I$102,4,0),AW102-VLOOKUP($P102&amp;" | "&amp;AN$6,'Job Master'!$F$12:$I$102,4,0)-1),""),"")</f>
        <v/>
      </c>
      <c r="AQ102" s="73"/>
      <c r="AR102" s="123" t="str">
        <f t="shared" si="147"/>
        <v/>
      </c>
      <c r="AS102" s="123" t="str">
        <f t="shared" si="148"/>
        <v/>
      </c>
      <c r="AT102" s="97" t="str">
        <f t="shared" ca="1" si="149"/>
        <v/>
      </c>
      <c r="AU102" s="98" t="str">
        <f>IF(AW102&lt;&gt;"",VLOOKUP($P102&amp;" | "&amp;AU$6,'Job Master'!$F$12:$J$102,5,0),"")</f>
        <v/>
      </c>
      <c r="AV102" s="19" t="str">
        <f>IF(AW102&lt;&gt;"",VLOOKUP($P102&amp;" | "&amp;AU$6,'Job Master'!$F$12:$J$102,3,0),"")</f>
        <v/>
      </c>
      <c r="AW102" s="19" t="str">
        <f>IFERROR(IF(AND(BD102&lt;&gt;"",VLOOKUP($P102&amp;" | "&amp;AU$6,'Job Master'!$F$12:$I$102,4,0)&lt;&gt;""),IF(WEEKDAY(BD102-VLOOKUP($P102&amp;" | "&amp;AU$6,'Job Master'!$F$12:$I$102,4,0))&lt;&gt;7,BD102-VLOOKUP($P102&amp;" | "&amp;AU$6,'Job Master'!$F$12:$I$102,4,0),BD102-VLOOKUP($P102&amp;" | "&amp;AU$6,'Job Master'!$F$12:$I$102,4,0)-1),""),"")</f>
        <v/>
      </c>
      <c r="AX102" s="73"/>
      <c r="AY102" s="123" t="str">
        <f t="shared" si="150"/>
        <v/>
      </c>
      <c r="AZ102" s="123" t="str">
        <f t="shared" si="151"/>
        <v/>
      </c>
      <c r="BA102" s="97" t="str">
        <f t="shared" ca="1" si="152"/>
        <v/>
      </c>
      <c r="BB102" s="98" t="str">
        <f>IF(BD102&lt;&gt;"",VLOOKUP($P102&amp;" | "&amp;BB$6,'Job Master'!$F$12:$J$102,5,0),"")</f>
        <v/>
      </c>
      <c r="BC102" s="19" t="str">
        <f>IF(BD102&lt;&gt;"",VLOOKUP($P102&amp;" | "&amp;BB$6,'Job Master'!$F$12:$J$102,3,0),"")</f>
        <v/>
      </c>
      <c r="BD102" s="19" t="str">
        <f>IFERROR(IF(AND(BK102&lt;&gt;"",VLOOKUP($P102&amp;" | "&amp;BB$6,'Job Master'!$F$12:$I$102,4,0)&lt;&gt;""),IF(WEEKDAY(BK102-VLOOKUP($P102&amp;" | "&amp;BB$6,'Job Master'!$F$12:$I$102,4,0))&lt;&gt;7,BK102-VLOOKUP($P102&amp;" | "&amp;BB$6,'Job Master'!$F$12:$I$102,4,0),BK102-VLOOKUP($P102&amp;" | "&amp;BB$6,'Job Master'!$F$12:$I$102,4,0)-1),""),"")</f>
        <v/>
      </c>
      <c r="BE102" s="73"/>
      <c r="BF102" s="123" t="str">
        <f t="shared" si="153"/>
        <v/>
      </c>
      <c r="BG102" s="123" t="str">
        <f t="shared" si="154"/>
        <v/>
      </c>
      <c r="BH102" s="97" t="str">
        <f t="shared" ca="1" si="155"/>
        <v/>
      </c>
      <c r="BI102" s="98" t="str">
        <f>IF(BK102&lt;&gt;"",VLOOKUP($P102&amp;" | "&amp;BI$6,'Job Master'!$F$12:$J$102,5,0),"")</f>
        <v/>
      </c>
      <c r="BJ102" s="19" t="str">
        <f>IF(BK102&lt;&gt;"",VLOOKUP($P102&amp;" | "&amp;BI$6,'Job Master'!$F$12:$J$102,3,0),"")</f>
        <v/>
      </c>
      <c r="BK102" s="19" t="str">
        <f>IFERROR(IF(AND(BR102&lt;&gt;"",VLOOKUP($P102&amp;" | "&amp;BI$6,'Job Master'!$F$12:$I$102,4,0)&lt;&gt;""),IF(WEEKDAY(BR102-VLOOKUP($P102&amp;" | "&amp;BI$6,'Job Master'!$F$12:$I$102,4,0))&lt;&gt;7,BR102-VLOOKUP($P102&amp;" | "&amp;BI$6,'Job Master'!$F$12:$I$102,4,0),BR102-VLOOKUP($P102&amp;" | "&amp;BI$6,'Job Master'!$F$12:$I$102,4,0)-1),""),"")</f>
        <v/>
      </c>
      <c r="BL102" s="73"/>
      <c r="BM102" s="123" t="str">
        <f t="shared" si="156"/>
        <v/>
      </c>
      <c r="BN102" s="123" t="str">
        <f t="shared" si="157"/>
        <v/>
      </c>
      <c r="BO102" s="97" t="str">
        <f t="shared" ca="1" si="158"/>
        <v/>
      </c>
      <c r="BP102" s="98" t="str">
        <f>IF(BR102&lt;&gt;"",VLOOKUP($P102&amp;" | "&amp;BP$6,'Job Master'!$F$12:$J$102,5,0),"")</f>
        <v/>
      </c>
      <c r="BQ102" s="19" t="str">
        <f>IF(BR102&lt;&gt;"",VLOOKUP($P102&amp;" | "&amp;BP$6,'Job Master'!$F$12:$J$102,3,0),"")</f>
        <v/>
      </c>
      <c r="BR102" s="19" t="str">
        <f>IFERROR(IF(AND(BY102&lt;&gt;"",VLOOKUP($P102&amp;" | "&amp;BP$6,'Job Master'!$F$12:$I$102,4,0)&lt;&gt;""),IF(WEEKDAY(BY102-VLOOKUP($P102&amp;" | "&amp;BP$6,'Job Master'!$F$12:$I$102,4,0))&lt;&gt;7,BY102-VLOOKUP($P102&amp;" | "&amp;BP$6,'Job Master'!$F$12:$I$102,4,0),BY102-VLOOKUP($P102&amp;" | "&amp;BP$6,'Job Master'!$F$12:$I$102,4,0)-1),""),"")</f>
        <v/>
      </c>
      <c r="BS102" s="73"/>
      <c r="BT102" s="123" t="str">
        <f t="shared" si="159"/>
        <v/>
      </c>
      <c r="BU102" s="123" t="str">
        <f t="shared" si="160"/>
        <v/>
      </c>
      <c r="BV102" s="97" t="str">
        <f t="shared" ca="1" si="161"/>
        <v/>
      </c>
      <c r="BW102" s="98" t="str">
        <f>IF(BY102&lt;&gt;"",VLOOKUP($P102&amp;" | "&amp;BW$6,'Job Master'!$F$12:$J$102,5,0),"")</f>
        <v/>
      </c>
      <c r="BX102" s="19" t="str">
        <f>IF(BY102&lt;&gt;"",VLOOKUP($P102&amp;" | "&amp;BW$6,'Job Master'!$F$12:$J$102,3,0),"")</f>
        <v/>
      </c>
      <c r="BY102" s="19" t="str">
        <f>IFERROR(IF(AND(CF102&lt;&gt;"",VLOOKUP($P102&amp;" | "&amp;BW$6,'Job Master'!$F$12:$I$102,4,0)&lt;&gt;""),IF(WEEKDAY(CF102-VLOOKUP($P102&amp;" | "&amp;BW$6,'Job Master'!$F$12:$I$102,4,0))&lt;&gt;7,CF102-VLOOKUP($P102&amp;" | "&amp;BW$6,'Job Master'!$F$12:$I$102,4,0),CF102-VLOOKUP($P102&amp;" | "&amp;BW$6,'Job Master'!$F$12:$I$102,4,0)-1),""),"")</f>
        <v/>
      </c>
      <c r="BZ102" s="73"/>
      <c r="CA102" s="123" t="str">
        <f t="shared" si="162"/>
        <v/>
      </c>
      <c r="CB102" s="123" t="str">
        <f t="shared" si="163"/>
        <v/>
      </c>
      <c r="CC102" s="97" t="str">
        <f t="shared" ca="1" si="164"/>
        <v/>
      </c>
      <c r="CD102" s="98" t="str">
        <f>IF(CF102&lt;&gt;"",VLOOKUP($P102&amp;" | "&amp;CD$6,'Job Master'!$F$12:$J$102,5,0),"")</f>
        <v/>
      </c>
      <c r="CE102" s="19" t="str">
        <f>IF(CF102&lt;&gt;"",VLOOKUP($P102&amp;" | "&amp;CD$6,'Job Master'!$F$12:$J$102,3,0),"")</f>
        <v/>
      </c>
      <c r="CF102" s="19" t="str">
        <f>IFERROR(IF(AND(CM102&lt;&gt;"",VLOOKUP($P102&amp;" | "&amp;CD$6,'Job Master'!$F$12:$I$102,4,0)&lt;&gt;""),IF(WEEKDAY(CM102-VLOOKUP($P102&amp;" | "&amp;CD$6,'Job Master'!$F$12:$I$102,4,0))&lt;&gt;7,CM102-VLOOKUP($P102&amp;" | "&amp;CD$6,'Job Master'!$F$12:$I$102,4,0),CM102-VLOOKUP($P102&amp;" | "&amp;CD$6,'Job Master'!$F$12:$I$102,4,0)-1),""),"")</f>
        <v/>
      </c>
      <c r="CG102" s="73"/>
      <c r="CH102" s="123" t="str">
        <f t="shared" si="165"/>
        <v/>
      </c>
      <c r="CI102" s="123" t="str">
        <f t="shared" si="166"/>
        <v/>
      </c>
      <c r="CJ102" s="97" t="str">
        <f t="shared" ca="1" si="167"/>
        <v/>
      </c>
      <c r="CK102" s="98" t="str">
        <f>IF(CM102&lt;&gt;"",VLOOKUP($P102&amp;" | "&amp;CK$6,'Job Master'!$F$12:$J$102,5,0),"")</f>
        <v/>
      </c>
      <c r="CL102" s="19" t="str">
        <f>IF(CM102&lt;&gt;"",VLOOKUP($P102&amp;" | "&amp;CK$6,'Job Master'!$F$12:$J$102,3,0),"")</f>
        <v/>
      </c>
      <c r="CM102" s="19" t="str">
        <f>IFERROR(IF(AND(CT102&lt;&gt;"",VLOOKUP($P102&amp;" | "&amp;CK$6,'Job Master'!$F$12:$I$102,4,0)&lt;&gt;""),IF(WEEKDAY(CT102-VLOOKUP($P102&amp;" | "&amp;CK$6,'Job Master'!$F$12:$I$102,4,0))&lt;&gt;7,CT102-VLOOKUP($P102&amp;" | "&amp;CK$6,'Job Master'!$F$12:$I$102,4,0),CT102-VLOOKUP($P102&amp;" | "&amp;CK$6,'Job Master'!$F$12:$I$102,4,0)-1),""),"")</f>
        <v/>
      </c>
      <c r="CN102" s="73"/>
      <c r="CO102" s="123" t="str">
        <f t="shared" si="168"/>
        <v/>
      </c>
      <c r="CP102" s="123" t="str">
        <f t="shared" si="169"/>
        <v/>
      </c>
      <c r="CQ102" s="97" t="str">
        <f t="shared" ca="1" si="170"/>
        <v/>
      </c>
      <c r="CR102" s="98" t="str">
        <f>IF(CT102&lt;&gt;"",VLOOKUP($P102&amp;" | "&amp;CR$6,'Job Master'!$F$12:$J$102,5,0),"")</f>
        <v/>
      </c>
      <c r="CS102" s="19" t="str">
        <f>IF(CT102&lt;&gt;"",VLOOKUP($P102&amp;" | "&amp;CR$6,'Job Master'!$F$12:$J$102,3,0),"")</f>
        <v/>
      </c>
      <c r="CT102" s="19" t="str">
        <f>IFERROR(IF(AND(DA102&lt;&gt;"",VLOOKUP($P102&amp;" | "&amp;CR$6,'Job Master'!$F$12:$I$102,4,0)&lt;&gt;""),IF(WEEKDAY(DA102-VLOOKUP($P102&amp;" | "&amp;CR$6,'Job Master'!$F$12:$I$102,4,0))&lt;&gt;7,DA102-VLOOKUP($P102&amp;" | "&amp;CR$6,'Job Master'!$F$12:$I$102,4,0),DA102-VLOOKUP($P102&amp;" | "&amp;CR$6,'Job Master'!$F$12:$I$102,4,0)-1),""),"")</f>
        <v/>
      </c>
      <c r="CU102" s="73"/>
      <c r="CV102" s="123" t="str">
        <f t="shared" si="171"/>
        <v/>
      </c>
      <c r="CW102" s="123" t="str">
        <f t="shared" si="172"/>
        <v/>
      </c>
      <c r="CX102" s="97" t="str">
        <f t="shared" ca="1" si="173"/>
        <v/>
      </c>
      <c r="CY102" s="98" t="str">
        <f>IF(DA102&lt;&gt;"",VLOOKUP($P102&amp;" | "&amp;CY$6,'Job Master'!$F$12:$J$102,5,0),"")</f>
        <v/>
      </c>
      <c r="CZ102" s="19" t="str">
        <f>IF(DA102&lt;&gt;"",VLOOKUP($P102&amp;" | "&amp;CY$6,'Job Master'!$F$12:$J$102,3,0),"")</f>
        <v/>
      </c>
      <c r="DA102" s="19" t="str">
        <f>IFERROR(IF(AND(DH102&lt;&gt;"",VLOOKUP($P102&amp;" | "&amp;CY$6,'Job Master'!$F$12:$I$102,4,0)&lt;&gt;""),IF(WEEKDAY(DH102-VLOOKUP($P102&amp;" | "&amp;CY$6,'Job Master'!$F$12:$I$102,4,0))&lt;&gt;7,DH102-VLOOKUP($P102&amp;" | "&amp;CY$6,'Job Master'!$F$12:$I$102,4,0),DH102-VLOOKUP($P102&amp;" | "&amp;CY$6,'Job Master'!$F$12:$I$102,4,0)-1),""),"")</f>
        <v/>
      </c>
      <c r="DB102" s="73"/>
      <c r="DC102" s="123" t="str">
        <f t="shared" si="174"/>
        <v/>
      </c>
      <c r="DD102" s="123" t="str">
        <f t="shared" si="175"/>
        <v/>
      </c>
      <c r="DE102" s="97" t="str">
        <f t="shared" ca="1" si="176"/>
        <v/>
      </c>
      <c r="DF102" s="98" t="str">
        <f>IF(DH102&lt;&gt;"",VLOOKUP($P102&amp;" | "&amp;DF$6,'Job Master'!$F$12:$J$102,5,0),"")</f>
        <v/>
      </c>
      <c r="DG102" s="19" t="str">
        <f>IF(DH102&lt;&gt;"",VLOOKUP($P102&amp;" | "&amp;DF$6,'Job Master'!$F$12:$J$102,3,0),"")</f>
        <v/>
      </c>
      <c r="DH102" s="19" t="str">
        <f>IFERROR(IF(AND(DO102&lt;&gt;"",VLOOKUP($P102&amp;" | "&amp;DF$6,'Job Master'!$F$12:$I$102,4,0)&lt;&gt;""),IF(WEEKDAY(DO102-VLOOKUP($P102&amp;" | "&amp;DF$6,'Job Master'!$F$12:$I$102,4,0))&lt;&gt;7,DO102-VLOOKUP($P102&amp;" | "&amp;DF$6,'Job Master'!$F$12:$I$102,4,0),DO102-VLOOKUP($P102&amp;" | "&amp;DF$6,'Job Master'!$F$12:$I$102,4,0)-1),""),"")</f>
        <v/>
      </c>
      <c r="DI102" s="73"/>
      <c r="DJ102" s="123" t="str">
        <f t="shared" si="177"/>
        <v/>
      </c>
      <c r="DK102" s="123" t="str">
        <f t="shared" si="178"/>
        <v/>
      </c>
      <c r="DL102" s="97" t="str">
        <f t="shared" ca="1" si="179"/>
        <v/>
      </c>
      <c r="DM102" s="98" t="str">
        <f>IF(DO102&lt;&gt;"",VLOOKUP($P102&amp;" | "&amp;DM$6,'Job Master'!$F$12:$J$102,5,0),"")</f>
        <v/>
      </c>
      <c r="DN102" s="19" t="str">
        <f>IF(DO102&lt;&gt;"",VLOOKUP($P102&amp;" | "&amp;DM$6,'Job Master'!$F$12:$J$102,3,0),"")</f>
        <v/>
      </c>
      <c r="DO102" s="19" t="str">
        <f>IFERROR(IF(AND(DT102&lt;&gt;"",VLOOKUP($P102&amp;" | "&amp;DM$6,'Job Master'!$F$12:$I$102,4,0)&lt;&gt;""),IF(WEEKDAY(DT102-VLOOKUP($P102&amp;" | "&amp;DM$6,'Job Master'!$F$12:$I$102,4,0))&lt;&gt;7,DT102-VLOOKUP($P102&amp;" | "&amp;DM$6,'Job Master'!$F$12:$I$102,4,0),DT102-VLOOKUP($P102&amp;" | "&amp;DM$6,'Job Master'!$F$12:$I$102,4,0)-1),""),"")</f>
        <v/>
      </c>
      <c r="DP102" s="73"/>
      <c r="DQ102" s="123" t="str">
        <f t="shared" si="180"/>
        <v/>
      </c>
      <c r="DR102" s="123" t="str">
        <f t="shared" si="181"/>
        <v/>
      </c>
      <c r="DS102" s="97" t="str">
        <f t="shared" ca="1" si="182"/>
        <v/>
      </c>
      <c r="DT102" s="70" t="str">
        <f t="shared" si="183"/>
        <v/>
      </c>
      <c r="DU102" s="90"/>
      <c r="DV102" s="123" t="str">
        <f t="shared" si="184"/>
        <v/>
      </c>
      <c r="DW102" s="123" t="str">
        <f t="shared" si="185"/>
        <v/>
      </c>
      <c r="DX102" s="132" t="str">
        <f t="shared" ref="DX102" ca="1" si="225">IF(DT102&lt;&gt;"",IF(WEEKNUM(DT102)=WEEKNUM(TODAY()),"This Week",IF(WEEKNUM(DT102)=WEEKNUM(TODAY())+1,"Next Week",IF(WEEKNUM(DT102)=WEEKNUM(TODAY())-1,"Previous Week",""))),"")</f>
        <v/>
      </c>
      <c r="DY102" s="134" t="str">
        <f t="shared" si="187"/>
        <v/>
      </c>
      <c r="DZ102" s="95"/>
      <c r="EB102" s="8" t="str">
        <f t="shared" si="193"/>
        <v/>
      </c>
      <c r="EC102" s="8" t="str">
        <f>IF(O102&lt;&gt;"",VLOOKUP(O102,'Job Master'!$N$12:$O$18,2,0),"")</f>
        <v/>
      </c>
      <c r="ED102" s="8">
        <f t="shared" si="194"/>
        <v>19.5</v>
      </c>
      <c r="EE102" s="8">
        <f t="shared" si="195"/>
        <v>6</v>
      </c>
      <c r="EF102" s="8">
        <f t="shared" si="196"/>
        <v>-532.5</v>
      </c>
      <c r="EG102" s="8" t="str">
        <f t="shared" si="197"/>
        <v/>
      </c>
      <c r="EH102" s="8" t="str">
        <f t="shared" si="198"/>
        <v/>
      </c>
    </row>
    <row r="103" spans="2:138" x14ac:dyDescent="0.3">
      <c r="B103" s="112"/>
      <c r="C103" s="27"/>
      <c r="D103" s="7" t="str">
        <f t="shared" si="135"/>
        <v/>
      </c>
      <c r="E103" s="25"/>
      <c r="F103" s="7" t="str">
        <f t="shared" si="135"/>
        <v/>
      </c>
      <c r="G103" s="25"/>
      <c r="H103" s="7" t="str">
        <f t="shared" si="135"/>
        <v/>
      </c>
      <c r="I103" s="25"/>
      <c r="J103" s="7" t="str">
        <f t="shared" si="135"/>
        <v/>
      </c>
      <c r="K103" s="25"/>
      <c r="L103" s="7" t="str">
        <f t="shared" si="136"/>
        <v/>
      </c>
      <c r="M103" s="25"/>
      <c r="N103" s="7" t="str">
        <f t="shared" si="137"/>
        <v/>
      </c>
      <c r="O103" s="81"/>
      <c r="P103" s="81" t="str">
        <f t="shared" si="138"/>
        <v/>
      </c>
      <c r="Q103" s="81"/>
      <c r="R103" s="7" t="str">
        <f t="shared" si="139"/>
        <v/>
      </c>
      <c r="S103" s="25"/>
      <c r="T103" s="7" t="str">
        <f t="shared" si="140"/>
        <v/>
      </c>
      <c r="U103" s="25"/>
      <c r="V103" s="7" t="str">
        <f t="shared" si="141"/>
        <v/>
      </c>
      <c r="W103" s="25"/>
      <c r="X103" s="7" t="str">
        <f t="shared" si="142"/>
        <v/>
      </c>
      <c r="Y103" s="18" t="str">
        <f t="shared" si="143"/>
        <v/>
      </c>
      <c r="Z103" s="7" t="str">
        <f t="shared" si="144"/>
        <v/>
      </c>
      <c r="AA103" s="18" t="str">
        <f t="shared" si="145"/>
        <v/>
      </c>
      <c r="AB103" s="19" t="str">
        <f t="shared" si="146"/>
        <v/>
      </c>
      <c r="AC103" s="26"/>
      <c r="AD103" s="26"/>
      <c r="AE103" s="25"/>
      <c r="AF103" s="26"/>
      <c r="AG103" s="25"/>
      <c r="AH103" s="25"/>
      <c r="AI103" s="18" t="str">
        <f t="shared" si="209"/>
        <v/>
      </c>
      <c r="AJ103" s="25"/>
      <c r="AK103" s="18" t="str">
        <f t="shared" si="210"/>
        <v/>
      </c>
      <c r="AL103" s="79"/>
      <c r="AM103" s="126" t="str">
        <f t="shared" si="211"/>
        <v/>
      </c>
      <c r="AN103" s="128" t="str">
        <f>IF(AP103&lt;&gt;"",VLOOKUP($P103&amp;" | "&amp;AN$6,'Job Master'!$F$12:$J$102,5,0),"")</f>
        <v/>
      </c>
      <c r="AO103" s="19" t="str">
        <f>IF(AP103&lt;&gt;"",VLOOKUP($P103&amp;" | "&amp;AN$6,'Job Master'!$F$12:$J$102,3,0),"")</f>
        <v/>
      </c>
      <c r="AP103" s="19" t="str">
        <f>IFERROR(IF(AND(AW103&lt;&gt;"",VLOOKUP($P103&amp;" | "&amp;AN$6,'Job Master'!$F$12:$I$102,4,0)&lt;&gt;""),IF(WEEKDAY(AW103-VLOOKUP($P103&amp;" | "&amp;AN$6,'Job Master'!$F$12:$I$102,4,0))&lt;&gt;7,AW103-VLOOKUP($P103&amp;" | "&amp;AN$6,'Job Master'!$F$12:$I$102,4,0),AW103-VLOOKUP($P103&amp;" | "&amp;AN$6,'Job Master'!$F$12:$I$102,4,0)-1),""),"")</f>
        <v/>
      </c>
      <c r="AQ103" s="73"/>
      <c r="AR103" s="123" t="str">
        <f t="shared" si="147"/>
        <v/>
      </c>
      <c r="AS103" s="123" t="str">
        <f t="shared" si="148"/>
        <v/>
      </c>
      <c r="AT103" s="97" t="str">
        <f t="shared" ca="1" si="149"/>
        <v/>
      </c>
      <c r="AU103" s="98" t="str">
        <f>IF(AW103&lt;&gt;"",VLOOKUP($P103&amp;" | "&amp;AU$6,'Job Master'!$F$12:$J$102,5,0),"")</f>
        <v/>
      </c>
      <c r="AV103" s="19" t="str">
        <f>IF(AW103&lt;&gt;"",VLOOKUP($P103&amp;" | "&amp;AU$6,'Job Master'!$F$12:$J$102,3,0),"")</f>
        <v/>
      </c>
      <c r="AW103" s="19" t="str">
        <f>IFERROR(IF(AND(BD103&lt;&gt;"",VLOOKUP($P103&amp;" | "&amp;AU$6,'Job Master'!$F$12:$I$102,4,0)&lt;&gt;""),IF(WEEKDAY(BD103-VLOOKUP($P103&amp;" | "&amp;AU$6,'Job Master'!$F$12:$I$102,4,0))&lt;&gt;7,BD103-VLOOKUP($P103&amp;" | "&amp;AU$6,'Job Master'!$F$12:$I$102,4,0),BD103-VLOOKUP($P103&amp;" | "&amp;AU$6,'Job Master'!$F$12:$I$102,4,0)-1),""),"")</f>
        <v/>
      </c>
      <c r="AX103" s="73"/>
      <c r="AY103" s="123" t="str">
        <f t="shared" si="150"/>
        <v/>
      </c>
      <c r="AZ103" s="123" t="str">
        <f t="shared" si="151"/>
        <v/>
      </c>
      <c r="BA103" s="97" t="str">
        <f t="shared" ca="1" si="152"/>
        <v/>
      </c>
      <c r="BB103" s="98" t="str">
        <f>IF(BD103&lt;&gt;"",VLOOKUP($P103&amp;" | "&amp;BB$6,'Job Master'!$F$12:$J$102,5,0),"")</f>
        <v/>
      </c>
      <c r="BC103" s="19" t="str">
        <f>IF(BD103&lt;&gt;"",VLOOKUP($P103&amp;" | "&amp;BB$6,'Job Master'!$F$12:$J$102,3,0),"")</f>
        <v/>
      </c>
      <c r="BD103" s="19" t="str">
        <f>IFERROR(IF(AND(BK103&lt;&gt;"",VLOOKUP($P103&amp;" | "&amp;BB$6,'Job Master'!$F$12:$I$102,4,0)&lt;&gt;""),IF(WEEKDAY(BK103-VLOOKUP($P103&amp;" | "&amp;BB$6,'Job Master'!$F$12:$I$102,4,0))&lt;&gt;7,BK103-VLOOKUP($P103&amp;" | "&amp;BB$6,'Job Master'!$F$12:$I$102,4,0),BK103-VLOOKUP($P103&amp;" | "&amp;BB$6,'Job Master'!$F$12:$I$102,4,0)-1),""),"")</f>
        <v/>
      </c>
      <c r="BE103" s="73"/>
      <c r="BF103" s="123" t="str">
        <f t="shared" si="153"/>
        <v/>
      </c>
      <c r="BG103" s="123" t="str">
        <f t="shared" si="154"/>
        <v/>
      </c>
      <c r="BH103" s="97" t="str">
        <f t="shared" ca="1" si="155"/>
        <v/>
      </c>
      <c r="BI103" s="98" t="str">
        <f>IF(BK103&lt;&gt;"",VLOOKUP($P103&amp;" | "&amp;BI$6,'Job Master'!$F$12:$J$102,5,0),"")</f>
        <v/>
      </c>
      <c r="BJ103" s="19" t="str">
        <f>IF(BK103&lt;&gt;"",VLOOKUP($P103&amp;" | "&amp;BI$6,'Job Master'!$F$12:$J$102,3,0),"")</f>
        <v/>
      </c>
      <c r="BK103" s="19" t="str">
        <f>IFERROR(IF(AND(BR103&lt;&gt;"",VLOOKUP($P103&amp;" | "&amp;BI$6,'Job Master'!$F$12:$I$102,4,0)&lt;&gt;""),IF(WEEKDAY(BR103-VLOOKUP($P103&amp;" | "&amp;BI$6,'Job Master'!$F$12:$I$102,4,0))&lt;&gt;7,BR103-VLOOKUP($P103&amp;" | "&amp;BI$6,'Job Master'!$F$12:$I$102,4,0),BR103-VLOOKUP($P103&amp;" | "&amp;BI$6,'Job Master'!$F$12:$I$102,4,0)-1),""),"")</f>
        <v/>
      </c>
      <c r="BL103" s="73"/>
      <c r="BM103" s="123" t="str">
        <f t="shared" si="156"/>
        <v/>
      </c>
      <c r="BN103" s="123" t="str">
        <f t="shared" si="157"/>
        <v/>
      </c>
      <c r="BO103" s="97" t="str">
        <f t="shared" ca="1" si="158"/>
        <v/>
      </c>
      <c r="BP103" s="98" t="str">
        <f>IF(BR103&lt;&gt;"",VLOOKUP($P103&amp;" | "&amp;BP$6,'Job Master'!$F$12:$J$102,5,0),"")</f>
        <v/>
      </c>
      <c r="BQ103" s="19" t="str">
        <f>IF(BR103&lt;&gt;"",VLOOKUP($P103&amp;" | "&amp;BP$6,'Job Master'!$F$12:$J$102,3,0),"")</f>
        <v/>
      </c>
      <c r="BR103" s="19" t="str">
        <f>IFERROR(IF(AND(BY103&lt;&gt;"",VLOOKUP($P103&amp;" | "&amp;BP$6,'Job Master'!$F$12:$I$102,4,0)&lt;&gt;""),IF(WEEKDAY(BY103-VLOOKUP($P103&amp;" | "&amp;BP$6,'Job Master'!$F$12:$I$102,4,0))&lt;&gt;7,BY103-VLOOKUP($P103&amp;" | "&amp;BP$6,'Job Master'!$F$12:$I$102,4,0),BY103-VLOOKUP($P103&amp;" | "&amp;BP$6,'Job Master'!$F$12:$I$102,4,0)-1),""),"")</f>
        <v/>
      </c>
      <c r="BS103" s="73"/>
      <c r="BT103" s="123" t="str">
        <f t="shared" si="159"/>
        <v/>
      </c>
      <c r="BU103" s="123" t="str">
        <f t="shared" si="160"/>
        <v/>
      </c>
      <c r="BV103" s="97" t="str">
        <f t="shared" ca="1" si="161"/>
        <v/>
      </c>
      <c r="BW103" s="98" t="str">
        <f>IF(BY103&lt;&gt;"",VLOOKUP($P103&amp;" | "&amp;BW$6,'Job Master'!$F$12:$J$102,5,0),"")</f>
        <v/>
      </c>
      <c r="BX103" s="19" t="str">
        <f>IF(BY103&lt;&gt;"",VLOOKUP($P103&amp;" | "&amp;BW$6,'Job Master'!$F$12:$J$102,3,0),"")</f>
        <v/>
      </c>
      <c r="BY103" s="19" t="str">
        <f>IFERROR(IF(AND(CF103&lt;&gt;"",VLOOKUP($P103&amp;" | "&amp;BW$6,'Job Master'!$F$12:$I$102,4,0)&lt;&gt;""),IF(WEEKDAY(CF103-VLOOKUP($P103&amp;" | "&amp;BW$6,'Job Master'!$F$12:$I$102,4,0))&lt;&gt;7,CF103-VLOOKUP($P103&amp;" | "&amp;BW$6,'Job Master'!$F$12:$I$102,4,0),CF103-VLOOKUP($P103&amp;" | "&amp;BW$6,'Job Master'!$F$12:$I$102,4,0)-1),""),"")</f>
        <v/>
      </c>
      <c r="BZ103" s="73"/>
      <c r="CA103" s="123" t="str">
        <f t="shared" si="162"/>
        <v/>
      </c>
      <c r="CB103" s="123" t="str">
        <f t="shared" si="163"/>
        <v/>
      </c>
      <c r="CC103" s="97" t="str">
        <f t="shared" ca="1" si="164"/>
        <v/>
      </c>
      <c r="CD103" s="98" t="str">
        <f>IF(CF103&lt;&gt;"",VLOOKUP($P103&amp;" | "&amp;CD$6,'Job Master'!$F$12:$J$102,5,0),"")</f>
        <v/>
      </c>
      <c r="CE103" s="19" t="str">
        <f>IF(CF103&lt;&gt;"",VLOOKUP($P103&amp;" | "&amp;CD$6,'Job Master'!$F$12:$J$102,3,0),"")</f>
        <v/>
      </c>
      <c r="CF103" s="19" t="str">
        <f>IFERROR(IF(AND(CM103&lt;&gt;"",VLOOKUP($P103&amp;" | "&amp;CD$6,'Job Master'!$F$12:$I$102,4,0)&lt;&gt;""),IF(WEEKDAY(CM103-VLOOKUP($P103&amp;" | "&amp;CD$6,'Job Master'!$F$12:$I$102,4,0))&lt;&gt;7,CM103-VLOOKUP($P103&amp;" | "&amp;CD$6,'Job Master'!$F$12:$I$102,4,0),CM103-VLOOKUP($P103&amp;" | "&amp;CD$6,'Job Master'!$F$12:$I$102,4,0)-1),""),"")</f>
        <v/>
      </c>
      <c r="CG103" s="73"/>
      <c r="CH103" s="123" t="str">
        <f t="shared" si="165"/>
        <v/>
      </c>
      <c r="CI103" s="123" t="str">
        <f t="shared" si="166"/>
        <v/>
      </c>
      <c r="CJ103" s="97" t="str">
        <f t="shared" ca="1" si="167"/>
        <v/>
      </c>
      <c r="CK103" s="98" t="str">
        <f>IF(CM103&lt;&gt;"",VLOOKUP($P103&amp;" | "&amp;CK$6,'Job Master'!$F$12:$J$102,5,0),"")</f>
        <v/>
      </c>
      <c r="CL103" s="19" t="str">
        <f>IF(CM103&lt;&gt;"",VLOOKUP($P103&amp;" | "&amp;CK$6,'Job Master'!$F$12:$J$102,3,0),"")</f>
        <v/>
      </c>
      <c r="CM103" s="19" t="str">
        <f>IFERROR(IF(AND(CT103&lt;&gt;"",VLOOKUP($P103&amp;" | "&amp;CK$6,'Job Master'!$F$12:$I$102,4,0)&lt;&gt;""),IF(WEEKDAY(CT103-VLOOKUP($P103&amp;" | "&amp;CK$6,'Job Master'!$F$12:$I$102,4,0))&lt;&gt;7,CT103-VLOOKUP($P103&amp;" | "&amp;CK$6,'Job Master'!$F$12:$I$102,4,0),CT103-VLOOKUP($P103&amp;" | "&amp;CK$6,'Job Master'!$F$12:$I$102,4,0)-1),""),"")</f>
        <v/>
      </c>
      <c r="CN103" s="73"/>
      <c r="CO103" s="123" t="str">
        <f t="shared" si="168"/>
        <v/>
      </c>
      <c r="CP103" s="123" t="str">
        <f t="shared" si="169"/>
        <v/>
      </c>
      <c r="CQ103" s="97" t="str">
        <f t="shared" ca="1" si="170"/>
        <v/>
      </c>
      <c r="CR103" s="98" t="str">
        <f>IF(CT103&lt;&gt;"",VLOOKUP($P103&amp;" | "&amp;CR$6,'Job Master'!$F$12:$J$102,5,0),"")</f>
        <v/>
      </c>
      <c r="CS103" s="19" t="str">
        <f>IF(CT103&lt;&gt;"",VLOOKUP($P103&amp;" | "&amp;CR$6,'Job Master'!$F$12:$J$102,3,0),"")</f>
        <v/>
      </c>
      <c r="CT103" s="19" t="str">
        <f>IFERROR(IF(AND(DA103&lt;&gt;"",VLOOKUP($P103&amp;" | "&amp;CR$6,'Job Master'!$F$12:$I$102,4,0)&lt;&gt;""),IF(WEEKDAY(DA103-VLOOKUP($P103&amp;" | "&amp;CR$6,'Job Master'!$F$12:$I$102,4,0))&lt;&gt;7,DA103-VLOOKUP($P103&amp;" | "&amp;CR$6,'Job Master'!$F$12:$I$102,4,0),DA103-VLOOKUP($P103&amp;" | "&amp;CR$6,'Job Master'!$F$12:$I$102,4,0)-1),""),"")</f>
        <v/>
      </c>
      <c r="CU103" s="73"/>
      <c r="CV103" s="123" t="str">
        <f t="shared" si="171"/>
        <v/>
      </c>
      <c r="CW103" s="123" t="str">
        <f t="shared" si="172"/>
        <v/>
      </c>
      <c r="CX103" s="97" t="str">
        <f t="shared" ca="1" si="173"/>
        <v/>
      </c>
      <c r="CY103" s="98" t="str">
        <f>IF(DA103&lt;&gt;"",VLOOKUP($P103&amp;" | "&amp;CY$6,'Job Master'!$F$12:$J$102,5,0),"")</f>
        <v/>
      </c>
      <c r="CZ103" s="19" t="str">
        <f>IF(DA103&lt;&gt;"",VLOOKUP($P103&amp;" | "&amp;CY$6,'Job Master'!$F$12:$J$102,3,0),"")</f>
        <v/>
      </c>
      <c r="DA103" s="19" t="str">
        <f>IFERROR(IF(AND(DH103&lt;&gt;"",VLOOKUP($P103&amp;" | "&amp;CY$6,'Job Master'!$F$12:$I$102,4,0)&lt;&gt;""),IF(WEEKDAY(DH103-VLOOKUP($P103&amp;" | "&amp;CY$6,'Job Master'!$F$12:$I$102,4,0))&lt;&gt;7,DH103-VLOOKUP($P103&amp;" | "&amp;CY$6,'Job Master'!$F$12:$I$102,4,0),DH103-VLOOKUP($P103&amp;" | "&amp;CY$6,'Job Master'!$F$12:$I$102,4,0)-1),""),"")</f>
        <v/>
      </c>
      <c r="DB103" s="73"/>
      <c r="DC103" s="123" t="str">
        <f t="shared" si="174"/>
        <v/>
      </c>
      <c r="DD103" s="123" t="str">
        <f t="shared" si="175"/>
        <v/>
      </c>
      <c r="DE103" s="97" t="str">
        <f t="shared" ca="1" si="176"/>
        <v/>
      </c>
      <c r="DF103" s="98" t="str">
        <f>IF(DH103&lt;&gt;"",VLOOKUP($P103&amp;" | "&amp;DF$6,'Job Master'!$F$12:$J$102,5,0),"")</f>
        <v/>
      </c>
      <c r="DG103" s="19" t="str">
        <f>IF(DH103&lt;&gt;"",VLOOKUP($P103&amp;" | "&amp;DF$6,'Job Master'!$F$12:$J$102,3,0),"")</f>
        <v/>
      </c>
      <c r="DH103" s="19" t="str">
        <f>IFERROR(IF(AND(DO103&lt;&gt;"",VLOOKUP($P103&amp;" | "&amp;DF$6,'Job Master'!$F$12:$I$102,4,0)&lt;&gt;""),IF(WEEKDAY(DO103-VLOOKUP($P103&amp;" | "&amp;DF$6,'Job Master'!$F$12:$I$102,4,0))&lt;&gt;7,DO103-VLOOKUP($P103&amp;" | "&amp;DF$6,'Job Master'!$F$12:$I$102,4,0),DO103-VLOOKUP($P103&amp;" | "&amp;DF$6,'Job Master'!$F$12:$I$102,4,0)-1),""),"")</f>
        <v/>
      </c>
      <c r="DI103" s="73"/>
      <c r="DJ103" s="123" t="str">
        <f t="shared" si="177"/>
        <v/>
      </c>
      <c r="DK103" s="123" t="str">
        <f t="shared" si="178"/>
        <v/>
      </c>
      <c r="DL103" s="97" t="str">
        <f t="shared" ca="1" si="179"/>
        <v/>
      </c>
      <c r="DM103" s="98" t="str">
        <f>IF(DO103&lt;&gt;"",VLOOKUP($P103&amp;" | "&amp;DM$6,'Job Master'!$F$12:$J$102,5,0),"")</f>
        <v/>
      </c>
      <c r="DN103" s="19" t="str">
        <f>IF(DO103&lt;&gt;"",VLOOKUP($P103&amp;" | "&amp;DM$6,'Job Master'!$F$12:$J$102,3,0),"")</f>
        <v/>
      </c>
      <c r="DO103" s="19" t="str">
        <f>IFERROR(IF(AND(DT103&lt;&gt;"",VLOOKUP($P103&amp;" | "&amp;DM$6,'Job Master'!$F$12:$I$102,4,0)&lt;&gt;""),IF(WEEKDAY(DT103-VLOOKUP($P103&amp;" | "&amp;DM$6,'Job Master'!$F$12:$I$102,4,0))&lt;&gt;7,DT103-VLOOKUP($P103&amp;" | "&amp;DM$6,'Job Master'!$F$12:$I$102,4,0),DT103-VLOOKUP($P103&amp;" | "&amp;DM$6,'Job Master'!$F$12:$I$102,4,0)-1),""),"")</f>
        <v/>
      </c>
      <c r="DP103" s="73"/>
      <c r="DQ103" s="123" t="str">
        <f t="shared" si="180"/>
        <v/>
      </c>
      <c r="DR103" s="123" t="str">
        <f t="shared" si="181"/>
        <v/>
      </c>
      <c r="DS103" s="97" t="str">
        <f t="shared" ca="1" si="182"/>
        <v/>
      </c>
      <c r="DT103" s="70" t="str">
        <f t="shared" si="183"/>
        <v/>
      </c>
      <c r="DU103" s="90"/>
      <c r="DV103" s="123" t="str">
        <f t="shared" si="184"/>
        <v/>
      </c>
      <c r="DW103" s="123" t="str">
        <f t="shared" si="185"/>
        <v/>
      </c>
      <c r="DX103" s="132" t="str">
        <f t="shared" ref="DX103" ca="1" si="226">IF(DT103&lt;&gt;"",IF(WEEKNUM(DT103)=WEEKNUM(TODAY()),"This Week",IF(WEEKNUM(DT103)=WEEKNUM(TODAY())+1,"Next Week",IF(WEEKNUM(DT103)=WEEKNUM(TODAY())-1,"Previous Week",""))),"")</f>
        <v/>
      </c>
      <c r="DY103" s="134" t="str">
        <f t="shared" si="187"/>
        <v/>
      </c>
      <c r="DZ103" s="95"/>
      <c r="EB103" s="8" t="str">
        <f t="shared" si="193"/>
        <v/>
      </c>
      <c r="EC103" s="8" t="str">
        <f>IF(O103&lt;&gt;"",VLOOKUP(O103,'Job Master'!$N$12:$O$18,2,0),"")</f>
        <v/>
      </c>
      <c r="ED103" s="8">
        <f t="shared" si="194"/>
        <v>19.5</v>
      </c>
      <c r="EE103" s="8">
        <f t="shared" si="195"/>
        <v>6</v>
      </c>
      <c r="EF103" s="8">
        <f t="shared" si="196"/>
        <v>-538.5</v>
      </c>
      <c r="EG103" s="8" t="str">
        <f t="shared" si="197"/>
        <v/>
      </c>
      <c r="EH103" s="8" t="str">
        <f t="shared" si="198"/>
        <v/>
      </c>
    </row>
    <row r="104" spans="2:138" x14ac:dyDescent="0.3">
      <c r="B104" s="112"/>
      <c r="C104" s="27"/>
      <c r="D104" s="7" t="str">
        <f t="shared" si="135"/>
        <v/>
      </c>
      <c r="E104" s="25"/>
      <c r="F104" s="7" t="str">
        <f t="shared" si="135"/>
        <v/>
      </c>
      <c r="G104" s="25"/>
      <c r="H104" s="7" t="str">
        <f t="shared" si="135"/>
        <v/>
      </c>
      <c r="I104" s="25"/>
      <c r="J104" s="7" t="str">
        <f t="shared" si="135"/>
        <v/>
      </c>
      <c r="K104" s="25"/>
      <c r="L104" s="7" t="str">
        <f t="shared" si="136"/>
        <v/>
      </c>
      <c r="M104" s="25"/>
      <c r="N104" s="7" t="str">
        <f t="shared" si="137"/>
        <v/>
      </c>
      <c r="O104" s="81"/>
      <c r="P104" s="81" t="str">
        <f t="shared" si="138"/>
        <v/>
      </c>
      <c r="Q104" s="81"/>
      <c r="R104" s="7" t="str">
        <f t="shared" si="139"/>
        <v/>
      </c>
      <c r="S104" s="25"/>
      <c r="T104" s="7" t="str">
        <f t="shared" si="140"/>
        <v/>
      </c>
      <c r="U104" s="25"/>
      <c r="V104" s="7" t="str">
        <f t="shared" si="141"/>
        <v/>
      </c>
      <c r="W104" s="25"/>
      <c r="X104" s="7" t="str">
        <f t="shared" si="142"/>
        <v/>
      </c>
      <c r="Y104" s="18" t="str">
        <f t="shared" si="143"/>
        <v/>
      </c>
      <c r="Z104" s="7" t="str">
        <f t="shared" si="144"/>
        <v/>
      </c>
      <c r="AA104" s="18" t="str">
        <f t="shared" si="145"/>
        <v/>
      </c>
      <c r="AB104" s="19" t="str">
        <f t="shared" si="146"/>
        <v/>
      </c>
      <c r="AC104" s="26"/>
      <c r="AD104" s="26"/>
      <c r="AE104" s="25"/>
      <c r="AF104" s="26"/>
      <c r="AG104" s="25"/>
      <c r="AH104" s="25"/>
      <c r="AI104" s="18" t="str">
        <f t="shared" si="209"/>
        <v/>
      </c>
      <c r="AJ104" s="25"/>
      <c r="AK104" s="18" t="str">
        <f t="shared" si="210"/>
        <v/>
      </c>
      <c r="AL104" s="79"/>
      <c r="AM104" s="126" t="str">
        <f t="shared" si="211"/>
        <v/>
      </c>
      <c r="AN104" s="128" t="str">
        <f>IF(AP104&lt;&gt;"",VLOOKUP($P104&amp;" | "&amp;AN$6,'Job Master'!$F$12:$J$102,5,0),"")</f>
        <v/>
      </c>
      <c r="AO104" s="19" t="str">
        <f>IF(AP104&lt;&gt;"",VLOOKUP($P104&amp;" | "&amp;AN$6,'Job Master'!$F$12:$J$102,3,0),"")</f>
        <v/>
      </c>
      <c r="AP104" s="19" t="str">
        <f>IFERROR(IF(AND(AW104&lt;&gt;"",VLOOKUP($P104&amp;" | "&amp;AN$6,'Job Master'!$F$12:$I$102,4,0)&lt;&gt;""),IF(WEEKDAY(AW104-VLOOKUP($P104&amp;" | "&amp;AN$6,'Job Master'!$F$12:$I$102,4,0))&lt;&gt;7,AW104-VLOOKUP($P104&amp;" | "&amp;AN$6,'Job Master'!$F$12:$I$102,4,0),AW104-VLOOKUP($P104&amp;" | "&amp;AN$6,'Job Master'!$F$12:$I$102,4,0)-1),""),"")</f>
        <v/>
      </c>
      <c r="AQ104" s="73"/>
      <c r="AR104" s="123" t="str">
        <f t="shared" si="147"/>
        <v/>
      </c>
      <c r="AS104" s="123" t="str">
        <f t="shared" si="148"/>
        <v/>
      </c>
      <c r="AT104" s="97" t="str">
        <f t="shared" ca="1" si="149"/>
        <v/>
      </c>
      <c r="AU104" s="98" t="str">
        <f>IF(AW104&lt;&gt;"",VLOOKUP($P104&amp;" | "&amp;AU$6,'Job Master'!$F$12:$J$102,5,0),"")</f>
        <v/>
      </c>
      <c r="AV104" s="19" t="str">
        <f>IF(AW104&lt;&gt;"",VLOOKUP($P104&amp;" | "&amp;AU$6,'Job Master'!$F$12:$J$102,3,0),"")</f>
        <v/>
      </c>
      <c r="AW104" s="19" t="str">
        <f>IFERROR(IF(AND(BD104&lt;&gt;"",VLOOKUP($P104&amp;" | "&amp;AU$6,'Job Master'!$F$12:$I$102,4,0)&lt;&gt;""),IF(WEEKDAY(BD104-VLOOKUP($P104&amp;" | "&amp;AU$6,'Job Master'!$F$12:$I$102,4,0))&lt;&gt;7,BD104-VLOOKUP($P104&amp;" | "&amp;AU$6,'Job Master'!$F$12:$I$102,4,0),BD104-VLOOKUP($P104&amp;" | "&amp;AU$6,'Job Master'!$F$12:$I$102,4,0)-1),""),"")</f>
        <v/>
      </c>
      <c r="AX104" s="73"/>
      <c r="AY104" s="123" t="str">
        <f t="shared" si="150"/>
        <v/>
      </c>
      <c r="AZ104" s="123" t="str">
        <f t="shared" si="151"/>
        <v/>
      </c>
      <c r="BA104" s="97" t="str">
        <f t="shared" ca="1" si="152"/>
        <v/>
      </c>
      <c r="BB104" s="98" t="str">
        <f>IF(BD104&lt;&gt;"",VLOOKUP($P104&amp;" | "&amp;BB$6,'Job Master'!$F$12:$J$102,5,0),"")</f>
        <v/>
      </c>
      <c r="BC104" s="19" t="str">
        <f>IF(BD104&lt;&gt;"",VLOOKUP($P104&amp;" | "&amp;BB$6,'Job Master'!$F$12:$J$102,3,0),"")</f>
        <v/>
      </c>
      <c r="BD104" s="19" t="str">
        <f>IFERROR(IF(AND(BK104&lt;&gt;"",VLOOKUP($P104&amp;" | "&amp;BB$6,'Job Master'!$F$12:$I$102,4,0)&lt;&gt;""),IF(WEEKDAY(BK104-VLOOKUP($P104&amp;" | "&amp;BB$6,'Job Master'!$F$12:$I$102,4,0))&lt;&gt;7,BK104-VLOOKUP($P104&amp;" | "&amp;BB$6,'Job Master'!$F$12:$I$102,4,0),BK104-VLOOKUP($P104&amp;" | "&amp;BB$6,'Job Master'!$F$12:$I$102,4,0)-1),""),"")</f>
        <v/>
      </c>
      <c r="BE104" s="73"/>
      <c r="BF104" s="123" t="str">
        <f t="shared" si="153"/>
        <v/>
      </c>
      <c r="BG104" s="123" t="str">
        <f t="shared" si="154"/>
        <v/>
      </c>
      <c r="BH104" s="97" t="str">
        <f t="shared" ca="1" si="155"/>
        <v/>
      </c>
      <c r="BI104" s="98" t="str">
        <f>IF(BK104&lt;&gt;"",VLOOKUP($P104&amp;" | "&amp;BI$6,'Job Master'!$F$12:$J$102,5,0),"")</f>
        <v/>
      </c>
      <c r="BJ104" s="19" t="str">
        <f>IF(BK104&lt;&gt;"",VLOOKUP($P104&amp;" | "&amp;BI$6,'Job Master'!$F$12:$J$102,3,0),"")</f>
        <v/>
      </c>
      <c r="BK104" s="19" t="str">
        <f>IFERROR(IF(AND(BR104&lt;&gt;"",VLOOKUP($P104&amp;" | "&amp;BI$6,'Job Master'!$F$12:$I$102,4,0)&lt;&gt;""),IF(WEEKDAY(BR104-VLOOKUP($P104&amp;" | "&amp;BI$6,'Job Master'!$F$12:$I$102,4,0))&lt;&gt;7,BR104-VLOOKUP($P104&amp;" | "&amp;BI$6,'Job Master'!$F$12:$I$102,4,0),BR104-VLOOKUP($P104&amp;" | "&amp;BI$6,'Job Master'!$F$12:$I$102,4,0)-1),""),"")</f>
        <v/>
      </c>
      <c r="BL104" s="73"/>
      <c r="BM104" s="123" t="str">
        <f t="shared" si="156"/>
        <v/>
      </c>
      <c r="BN104" s="123" t="str">
        <f t="shared" si="157"/>
        <v/>
      </c>
      <c r="BO104" s="97" t="str">
        <f t="shared" ca="1" si="158"/>
        <v/>
      </c>
      <c r="BP104" s="98" t="str">
        <f>IF(BR104&lt;&gt;"",VLOOKUP($P104&amp;" | "&amp;BP$6,'Job Master'!$F$12:$J$102,5,0),"")</f>
        <v/>
      </c>
      <c r="BQ104" s="19" t="str">
        <f>IF(BR104&lt;&gt;"",VLOOKUP($P104&amp;" | "&amp;BP$6,'Job Master'!$F$12:$J$102,3,0),"")</f>
        <v/>
      </c>
      <c r="BR104" s="19" t="str">
        <f>IFERROR(IF(AND(BY104&lt;&gt;"",VLOOKUP($P104&amp;" | "&amp;BP$6,'Job Master'!$F$12:$I$102,4,0)&lt;&gt;""),IF(WEEKDAY(BY104-VLOOKUP($P104&amp;" | "&amp;BP$6,'Job Master'!$F$12:$I$102,4,0))&lt;&gt;7,BY104-VLOOKUP($P104&amp;" | "&amp;BP$6,'Job Master'!$F$12:$I$102,4,0),BY104-VLOOKUP($P104&amp;" | "&amp;BP$6,'Job Master'!$F$12:$I$102,4,0)-1),""),"")</f>
        <v/>
      </c>
      <c r="BS104" s="73"/>
      <c r="BT104" s="123" t="str">
        <f t="shared" si="159"/>
        <v/>
      </c>
      <c r="BU104" s="123" t="str">
        <f t="shared" si="160"/>
        <v/>
      </c>
      <c r="BV104" s="97" t="str">
        <f t="shared" ca="1" si="161"/>
        <v/>
      </c>
      <c r="BW104" s="98" t="str">
        <f>IF(BY104&lt;&gt;"",VLOOKUP($P104&amp;" | "&amp;BW$6,'Job Master'!$F$12:$J$102,5,0),"")</f>
        <v/>
      </c>
      <c r="BX104" s="19" t="str">
        <f>IF(BY104&lt;&gt;"",VLOOKUP($P104&amp;" | "&amp;BW$6,'Job Master'!$F$12:$J$102,3,0),"")</f>
        <v/>
      </c>
      <c r="BY104" s="19" t="str">
        <f>IFERROR(IF(AND(CF104&lt;&gt;"",VLOOKUP($P104&amp;" | "&amp;BW$6,'Job Master'!$F$12:$I$102,4,0)&lt;&gt;""),IF(WEEKDAY(CF104-VLOOKUP($P104&amp;" | "&amp;BW$6,'Job Master'!$F$12:$I$102,4,0))&lt;&gt;7,CF104-VLOOKUP($P104&amp;" | "&amp;BW$6,'Job Master'!$F$12:$I$102,4,0),CF104-VLOOKUP($P104&amp;" | "&amp;BW$6,'Job Master'!$F$12:$I$102,4,0)-1),""),"")</f>
        <v/>
      </c>
      <c r="BZ104" s="73"/>
      <c r="CA104" s="123" t="str">
        <f t="shared" si="162"/>
        <v/>
      </c>
      <c r="CB104" s="123" t="str">
        <f t="shared" si="163"/>
        <v/>
      </c>
      <c r="CC104" s="97" t="str">
        <f t="shared" ca="1" si="164"/>
        <v/>
      </c>
      <c r="CD104" s="98" t="str">
        <f>IF(CF104&lt;&gt;"",VLOOKUP($P104&amp;" | "&amp;CD$6,'Job Master'!$F$12:$J$102,5,0),"")</f>
        <v/>
      </c>
      <c r="CE104" s="19" t="str">
        <f>IF(CF104&lt;&gt;"",VLOOKUP($P104&amp;" | "&amp;CD$6,'Job Master'!$F$12:$J$102,3,0),"")</f>
        <v/>
      </c>
      <c r="CF104" s="19" t="str">
        <f>IFERROR(IF(AND(CM104&lt;&gt;"",VLOOKUP($P104&amp;" | "&amp;CD$6,'Job Master'!$F$12:$I$102,4,0)&lt;&gt;""),IF(WEEKDAY(CM104-VLOOKUP($P104&amp;" | "&amp;CD$6,'Job Master'!$F$12:$I$102,4,0))&lt;&gt;7,CM104-VLOOKUP($P104&amp;" | "&amp;CD$6,'Job Master'!$F$12:$I$102,4,0),CM104-VLOOKUP($P104&amp;" | "&amp;CD$6,'Job Master'!$F$12:$I$102,4,0)-1),""),"")</f>
        <v/>
      </c>
      <c r="CG104" s="73"/>
      <c r="CH104" s="123" t="str">
        <f t="shared" si="165"/>
        <v/>
      </c>
      <c r="CI104" s="123" t="str">
        <f t="shared" si="166"/>
        <v/>
      </c>
      <c r="CJ104" s="97" t="str">
        <f t="shared" ca="1" si="167"/>
        <v/>
      </c>
      <c r="CK104" s="98" t="str">
        <f>IF(CM104&lt;&gt;"",VLOOKUP($P104&amp;" | "&amp;CK$6,'Job Master'!$F$12:$J$102,5,0),"")</f>
        <v/>
      </c>
      <c r="CL104" s="19" t="str">
        <f>IF(CM104&lt;&gt;"",VLOOKUP($P104&amp;" | "&amp;CK$6,'Job Master'!$F$12:$J$102,3,0),"")</f>
        <v/>
      </c>
      <c r="CM104" s="19" t="str">
        <f>IFERROR(IF(AND(CT104&lt;&gt;"",VLOOKUP($P104&amp;" | "&amp;CK$6,'Job Master'!$F$12:$I$102,4,0)&lt;&gt;""),IF(WEEKDAY(CT104-VLOOKUP($P104&amp;" | "&amp;CK$6,'Job Master'!$F$12:$I$102,4,0))&lt;&gt;7,CT104-VLOOKUP($P104&amp;" | "&amp;CK$6,'Job Master'!$F$12:$I$102,4,0),CT104-VLOOKUP($P104&amp;" | "&amp;CK$6,'Job Master'!$F$12:$I$102,4,0)-1),""),"")</f>
        <v/>
      </c>
      <c r="CN104" s="73"/>
      <c r="CO104" s="123" t="str">
        <f t="shared" si="168"/>
        <v/>
      </c>
      <c r="CP104" s="123" t="str">
        <f t="shared" si="169"/>
        <v/>
      </c>
      <c r="CQ104" s="97" t="str">
        <f t="shared" ca="1" si="170"/>
        <v/>
      </c>
      <c r="CR104" s="98" t="str">
        <f>IF(CT104&lt;&gt;"",VLOOKUP($P104&amp;" | "&amp;CR$6,'Job Master'!$F$12:$J$102,5,0),"")</f>
        <v/>
      </c>
      <c r="CS104" s="19" t="str">
        <f>IF(CT104&lt;&gt;"",VLOOKUP($P104&amp;" | "&amp;CR$6,'Job Master'!$F$12:$J$102,3,0),"")</f>
        <v/>
      </c>
      <c r="CT104" s="19" t="str">
        <f>IFERROR(IF(AND(DA104&lt;&gt;"",VLOOKUP($P104&amp;" | "&amp;CR$6,'Job Master'!$F$12:$I$102,4,0)&lt;&gt;""),IF(WEEKDAY(DA104-VLOOKUP($P104&amp;" | "&amp;CR$6,'Job Master'!$F$12:$I$102,4,0))&lt;&gt;7,DA104-VLOOKUP($P104&amp;" | "&amp;CR$6,'Job Master'!$F$12:$I$102,4,0),DA104-VLOOKUP($P104&amp;" | "&amp;CR$6,'Job Master'!$F$12:$I$102,4,0)-1),""),"")</f>
        <v/>
      </c>
      <c r="CU104" s="73"/>
      <c r="CV104" s="123" t="str">
        <f t="shared" si="171"/>
        <v/>
      </c>
      <c r="CW104" s="123" t="str">
        <f t="shared" si="172"/>
        <v/>
      </c>
      <c r="CX104" s="97" t="str">
        <f t="shared" ca="1" si="173"/>
        <v/>
      </c>
      <c r="CY104" s="98" t="str">
        <f>IF(DA104&lt;&gt;"",VLOOKUP($P104&amp;" | "&amp;CY$6,'Job Master'!$F$12:$J$102,5,0),"")</f>
        <v/>
      </c>
      <c r="CZ104" s="19" t="str">
        <f>IF(DA104&lt;&gt;"",VLOOKUP($P104&amp;" | "&amp;CY$6,'Job Master'!$F$12:$J$102,3,0),"")</f>
        <v/>
      </c>
      <c r="DA104" s="19" t="str">
        <f>IFERROR(IF(AND(DH104&lt;&gt;"",VLOOKUP($P104&amp;" | "&amp;CY$6,'Job Master'!$F$12:$I$102,4,0)&lt;&gt;""),IF(WEEKDAY(DH104-VLOOKUP($P104&amp;" | "&amp;CY$6,'Job Master'!$F$12:$I$102,4,0))&lt;&gt;7,DH104-VLOOKUP($P104&amp;" | "&amp;CY$6,'Job Master'!$F$12:$I$102,4,0),DH104-VLOOKUP($P104&amp;" | "&amp;CY$6,'Job Master'!$F$12:$I$102,4,0)-1),""),"")</f>
        <v/>
      </c>
      <c r="DB104" s="73"/>
      <c r="DC104" s="123" t="str">
        <f t="shared" si="174"/>
        <v/>
      </c>
      <c r="DD104" s="123" t="str">
        <f t="shared" si="175"/>
        <v/>
      </c>
      <c r="DE104" s="97" t="str">
        <f t="shared" ca="1" si="176"/>
        <v/>
      </c>
      <c r="DF104" s="98" t="str">
        <f>IF(DH104&lt;&gt;"",VLOOKUP($P104&amp;" | "&amp;DF$6,'Job Master'!$F$12:$J$102,5,0),"")</f>
        <v/>
      </c>
      <c r="DG104" s="19" t="str">
        <f>IF(DH104&lt;&gt;"",VLOOKUP($P104&amp;" | "&amp;DF$6,'Job Master'!$F$12:$J$102,3,0),"")</f>
        <v/>
      </c>
      <c r="DH104" s="19" t="str">
        <f>IFERROR(IF(AND(DO104&lt;&gt;"",VLOOKUP($P104&amp;" | "&amp;DF$6,'Job Master'!$F$12:$I$102,4,0)&lt;&gt;""),IF(WEEKDAY(DO104-VLOOKUP($P104&amp;" | "&amp;DF$6,'Job Master'!$F$12:$I$102,4,0))&lt;&gt;7,DO104-VLOOKUP($P104&amp;" | "&amp;DF$6,'Job Master'!$F$12:$I$102,4,0),DO104-VLOOKUP($P104&amp;" | "&amp;DF$6,'Job Master'!$F$12:$I$102,4,0)-1),""),"")</f>
        <v/>
      </c>
      <c r="DI104" s="73"/>
      <c r="DJ104" s="123" t="str">
        <f t="shared" si="177"/>
        <v/>
      </c>
      <c r="DK104" s="123" t="str">
        <f t="shared" si="178"/>
        <v/>
      </c>
      <c r="DL104" s="97" t="str">
        <f t="shared" ca="1" si="179"/>
        <v/>
      </c>
      <c r="DM104" s="98" t="str">
        <f>IF(DO104&lt;&gt;"",VLOOKUP($P104&amp;" | "&amp;DM$6,'Job Master'!$F$12:$J$102,5,0),"")</f>
        <v/>
      </c>
      <c r="DN104" s="19" t="str">
        <f>IF(DO104&lt;&gt;"",VLOOKUP($P104&amp;" | "&amp;DM$6,'Job Master'!$F$12:$J$102,3,0),"")</f>
        <v/>
      </c>
      <c r="DO104" s="19" t="str">
        <f>IFERROR(IF(AND(DT104&lt;&gt;"",VLOOKUP($P104&amp;" | "&amp;DM$6,'Job Master'!$F$12:$I$102,4,0)&lt;&gt;""),IF(WEEKDAY(DT104-VLOOKUP($P104&amp;" | "&amp;DM$6,'Job Master'!$F$12:$I$102,4,0))&lt;&gt;7,DT104-VLOOKUP($P104&amp;" | "&amp;DM$6,'Job Master'!$F$12:$I$102,4,0),DT104-VLOOKUP($P104&amp;" | "&amp;DM$6,'Job Master'!$F$12:$I$102,4,0)-1),""),"")</f>
        <v/>
      </c>
      <c r="DP104" s="73"/>
      <c r="DQ104" s="123" t="str">
        <f t="shared" si="180"/>
        <v/>
      </c>
      <c r="DR104" s="123" t="str">
        <f t="shared" si="181"/>
        <v/>
      </c>
      <c r="DS104" s="97" t="str">
        <f t="shared" ca="1" si="182"/>
        <v/>
      </c>
      <c r="DT104" s="70" t="str">
        <f t="shared" si="183"/>
        <v/>
      </c>
      <c r="DU104" s="90"/>
      <c r="DV104" s="123" t="str">
        <f t="shared" si="184"/>
        <v/>
      </c>
      <c r="DW104" s="123" t="str">
        <f t="shared" si="185"/>
        <v/>
      </c>
      <c r="DX104" s="132" t="str">
        <f t="shared" ref="DX104" ca="1" si="227">IF(DT104&lt;&gt;"",IF(WEEKNUM(DT104)=WEEKNUM(TODAY()),"This Week",IF(WEEKNUM(DT104)=WEEKNUM(TODAY())+1,"Next Week",IF(WEEKNUM(DT104)=WEEKNUM(TODAY())-1,"Previous Week",""))),"")</f>
        <v/>
      </c>
      <c r="DY104" s="134" t="str">
        <f t="shared" si="187"/>
        <v/>
      </c>
      <c r="DZ104" s="95"/>
      <c r="EB104" s="8" t="str">
        <f t="shared" si="193"/>
        <v/>
      </c>
      <c r="EC104" s="8" t="str">
        <f>IF(O104&lt;&gt;"",VLOOKUP(O104,'Job Master'!$N$12:$O$18,2,0),"")</f>
        <v/>
      </c>
      <c r="ED104" s="8">
        <f t="shared" si="194"/>
        <v>19.5</v>
      </c>
      <c r="EE104" s="8">
        <f t="shared" si="195"/>
        <v>6</v>
      </c>
      <c r="EF104" s="8">
        <f t="shared" si="196"/>
        <v>-544.5</v>
      </c>
      <c r="EG104" s="8" t="str">
        <f t="shared" si="197"/>
        <v/>
      </c>
      <c r="EH104" s="8" t="str">
        <f t="shared" si="198"/>
        <v/>
      </c>
    </row>
    <row r="105" spans="2:138" x14ac:dyDescent="0.3">
      <c r="B105" s="112"/>
      <c r="C105" s="27"/>
      <c r="D105" s="7" t="str">
        <f t="shared" si="135"/>
        <v/>
      </c>
      <c r="E105" s="25"/>
      <c r="F105" s="7" t="str">
        <f t="shared" si="135"/>
        <v/>
      </c>
      <c r="G105" s="25"/>
      <c r="H105" s="7" t="str">
        <f t="shared" si="135"/>
        <v/>
      </c>
      <c r="I105" s="25"/>
      <c r="J105" s="7" t="str">
        <f t="shared" si="135"/>
        <v/>
      </c>
      <c r="K105" s="25"/>
      <c r="L105" s="7" t="str">
        <f t="shared" si="136"/>
        <v/>
      </c>
      <c r="M105" s="25"/>
      <c r="N105" s="7" t="str">
        <f t="shared" si="137"/>
        <v/>
      </c>
      <c r="O105" s="81"/>
      <c r="P105" s="81" t="str">
        <f t="shared" si="138"/>
        <v/>
      </c>
      <c r="Q105" s="81"/>
      <c r="R105" s="7" t="str">
        <f t="shared" si="139"/>
        <v/>
      </c>
      <c r="S105" s="25"/>
      <c r="T105" s="7" t="str">
        <f t="shared" si="140"/>
        <v/>
      </c>
      <c r="U105" s="25"/>
      <c r="V105" s="7" t="str">
        <f t="shared" si="141"/>
        <v/>
      </c>
      <c r="W105" s="25"/>
      <c r="X105" s="7" t="str">
        <f t="shared" si="142"/>
        <v/>
      </c>
      <c r="Y105" s="18" t="str">
        <f t="shared" si="143"/>
        <v/>
      </c>
      <c r="Z105" s="7" t="str">
        <f t="shared" si="144"/>
        <v/>
      </c>
      <c r="AA105" s="18" t="str">
        <f t="shared" si="145"/>
        <v/>
      </c>
      <c r="AB105" s="19" t="str">
        <f t="shared" si="146"/>
        <v/>
      </c>
      <c r="AC105" s="26"/>
      <c r="AD105" s="26"/>
      <c r="AE105" s="25"/>
      <c r="AF105" s="26"/>
      <c r="AG105" s="25"/>
      <c r="AH105" s="25"/>
      <c r="AI105" s="18" t="str">
        <f t="shared" si="209"/>
        <v/>
      </c>
      <c r="AJ105" s="25"/>
      <c r="AK105" s="18" t="str">
        <f t="shared" si="210"/>
        <v/>
      </c>
      <c r="AL105" s="79"/>
      <c r="AM105" s="126" t="str">
        <f t="shared" si="211"/>
        <v/>
      </c>
      <c r="AN105" s="128" t="str">
        <f>IF(AP105&lt;&gt;"",VLOOKUP($P105&amp;" | "&amp;AN$6,'Job Master'!$F$12:$J$102,5,0),"")</f>
        <v/>
      </c>
      <c r="AO105" s="19" t="str">
        <f>IF(AP105&lt;&gt;"",VLOOKUP($P105&amp;" | "&amp;AN$6,'Job Master'!$F$12:$J$102,3,0),"")</f>
        <v/>
      </c>
      <c r="AP105" s="19" t="str">
        <f>IFERROR(IF(AND(AW105&lt;&gt;"",VLOOKUP($P105&amp;" | "&amp;AN$6,'Job Master'!$F$12:$I$102,4,0)&lt;&gt;""),IF(WEEKDAY(AW105-VLOOKUP($P105&amp;" | "&amp;AN$6,'Job Master'!$F$12:$I$102,4,0))&lt;&gt;7,AW105-VLOOKUP($P105&amp;" | "&amp;AN$6,'Job Master'!$F$12:$I$102,4,0),AW105-VLOOKUP($P105&amp;" | "&amp;AN$6,'Job Master'!$F$12:$I$102,4,0)-1),""),"")</f>
        <v/>
      </c>
      <c r="AQ105" s="73"/>
      <c r="AR105" s="123" t="str">
        <f t="shared" si="147"/>
        <v/>
      </c>
      <c r="AS105" s="123" t="str">
        <f t="shared" si="148"/>
        <v/>
      </c>
      <c r="AT105" s="97" t="str">
        <f t="shared" ca="1" si="149"/>
        <v/>
      </c>
      <c r="AU105" s="98" t="str">
        <f>IF(AW105&lt;&gt;"",VLOOKUP($P105&amp;" | "&amp;AU$6,'Job Master'!$F$12:$J$102,5,0),"")</f>
        <v/>
      </c>
      <c r="AV105" s="19" t="str">
        <f>IF(AW105&lt;&gt;"",VLOOKUP($P105&amp;" | "&amp;AU$6,'Job Master'!$F$12:$J$102,3,0),"")</f>
        <v/>
      </c>
      <c r="AW105" s="19" t="str">
        <f>IFERROR(IF(AND(BD105&lt;&gt;"",VLOOKUP($P105&amp;" | "&amp;AU$6,'Job Master'!$F$12:$I$102,4,0)&lt;&gt;""),IF(WEEKDAY(BD105-VLOOKUP($P105&amp;" | "&amp;AU$6,'Job Master'!$F$12:$I$102,4,0))&lt;&gt;7,BD105-VLOOKUP($P105&amp;" | "&amp;AU$6,'Job Master'!$F$12:$I$102,4,0),BD105-VLOOKUP($P105&amp;" | "&amp;AU$6,'Job Master'!$F$12:$I$102,4,0)-1),""),"")</f>
        <v/>
      </c>
      <c r="AX105" s="73"/>
      <c r="AY105" s="123" t="str">
        <f t="shared" si="150"/>
        <v/>
      </c>
      <c r="AZ105" s="123" t="str">
        <f t="shared" si="151"/>
        <v/>
      </c>
      <c r="BA105" s="97" t="str">
        <f t="shared" ca="1" si="152"/>
        <v/>
      </c>
      <c r="BB105" s="98" t="str">
        <f>IF(BD105&lt;&gt;"",VLOOKUP($P105&amp;" | "&amp;BB$6,'Job Master'!$F$12:$J$102,5,0),"")</f>
        <v/>
      </c>
      <c r="BC105" s="19" t="str">
        <f>IF(BD105&lt;&gt;"",VLOOKUP($P105&amp;" | "&amp;BB$6,'Job Master'!$F$12:$J$102,3,0),"")</f>
        <v/>
      </c>
      <c r="BD105" s="19" t="str">
        <f>IFERROR(IF(AND(BK105&lt;&gt;"",VLOOKUP($P105&amp;" | "&amp;BB$6,'Job Master'!$F$12:$I$102,4,0)&lt;&gt;""),IF(WEEKDAY(BK105-VLOOKUP($P105&amp;" | "&amp;BB$6,'Job Master'!$F$12:$I$102,4,0))&lt;&gt;7,BK105-VLOOKUP($P105&amp;" | "&amp;BB$6,'Job Master'!$F$12:$I$102,4,0),BK105-VLOOKUP($P105&amp;" | "&amp;BB$6,'Job Master'!$F$12:$I$102,4,0)-1),""),"")</f>
        <v/>
      </c>
      <c r="BE105" s="73"/>
      <c r="BF105" s="123" t="str">
        <f t="shared" si="153"/>
        <v/>
      </c>
      <c r="BG105" s="123" t="str">
        <f t="shared" si="154"/>
        <v/>
      </c>
      <c r="BH105" s="97" t="str">
        <f t="shared" ca="1" si="155"/>
        <v/>
      </c>
      <c r="BI105" s="98" t="str">
        <f>IF(BK105&lt;&gt;"",VLOOKUP($P105&amp;" | "&amp;BI$6,'Job Master'!$F$12:$J$102,5,0),"")</f>
        <v/>
      </c>
      <c r="BJ105" s="19" t="str">
        <f>IF(BK105&lt;&gt;"",VLOOKUP($P105&amp;" | "&amp;BI$6,'Job Master'!$F$12:$J$102,3,0),"")</f>
        <v/>
      </c>
      <c r="BK105" s="19" t="str">
        <f>IFERROR(IF(AND(BR105&lt;&gt;"",VLOOKUP($P105&amp;" | "&amp;BI$6,'Job Master'!$F$12:$I$102,4,0)&lt;&gt;""),IF(WEEKDAY(BR105-VLOOKUP($P105&amp;" | "&amp;BI$6,'Job Master'!$F$12:$I$102,4,0))&lt;&gt;7,BR105-VLOOKUP($P105&amp;" | "&amp;BI$6,'Job Master'!$F$12:$I$102,4,0),BR105-VLOOKUP($P105&amp;" | "&amp;BI$6,'Job Master'!$F$12:$I$102,4,0)-1),""),"")</f>
        <v/>
      </c>
      <c r="BL105" s="73"/>
      <c r="BM105" s="123" t="str">
        <f t="shared" si="156"/>
        <v/>
      </c>
      <c r="BN105" s="123" t="str">
        <f t="shared" si="157"/>
        <v/>
      </c>
      <c r="BO105" s="97" t="str">
        <f t="shared" ca="1" si="158"/>
        <v/>
      </c>
      <c r="BP105" s="98" t="str">
        <f>IF(BR105&lt;&gt;"",VLOOKUP($P105&amp;" | "&amp;BP$6,'Job Master'!$F$12:$J$102,5,0),"")</f>
        <v/>
      </c>
      <c r="BQ105" s="19" t="str">
        <f>IF(BR105&lt;&gt;"",VLOOKUP($P105&amp;" | "&amp;BP$6,'Job Master'!$F$12:$J$102,3,0),"")</f>
        <v/>
      </c>
      <c r="BR105" s="19" t="str">
        <f>IFERROR(IF(AND(BY105&lt;&gt;"",VLOOKUP($P105&amp;" | "&amp;BP$6,'Job Master'!$F$12:$I$102,4,0)&lt;&gt;""),IF(WEEKDAY(BY105-VLOOKUP($P105&amp;" | "&amp;BP$6,'Job Master'!$F$12:$I$102,4,0))&lt;&gt;7,BY105-VLOOKUP($P105&amp;" | "&amp;BP$6,'Job Master'!$F$12:$I$102,4,0),BY105-VLOOKUP($P105&amp;" | "&amp;BP$6,'Job Master'!$F$12:$I$102,4,0)-1),""),"")</f>
        <v/>
      </c>
      <c r="BS105" s="73"/>
      <c r="BT105" s="123" t="str">
        <f t="shared" si="159"/>
        <v/>
      </c>
      <c r="BU105" s="123" t="str">
        <f t="shared" si="160"/>
        <v/>
      </c>
      <c r="BV105" s="97" t="str">
        <f t="shared" ca="1" si="161"/>
        <v/>
      </c>
      <c r="BW105" s="98" t="str">
        <f>IF(BY105&lt;&gt;"",VLOOKUP($P105&amp;" | "&amp;BW$6,'Job Master'!$F$12:$J$102,5,0),"")</f>
        <v/>
      </c>
      <c r="BX105" s="19" t="str">
        <f>IF(BY105&lt;&gt;"",VLOOKUP($P105&amp;" | "&amp;BW$6,'Job Master'!$F$12:$J$102,3,0),"")</f>
        <v/>
      </c>
      <c r="BY105" s="19" t="str">
        <f>IFERROR(IF(AND(CF105&lt;&gt;"",VLOOKUP($P105&amp;" | "&amp;BW$6,'Job Master'!$F$12:$I$102,4,0)&lt;&gt;""),IF(WEEKDAY(CF105-VLOOKUP($P105&amp;" | "&amp;BW$6,'Job Master'!$F$12:$I$102,4,0))&lt;&gt;7,CF105-VLOOKUP($P105&amp;" | "&amp;BW$6,'Job Master'!$F$12:$I$102,4,0),CF105-VLOOKUP($P105&amp;" | "&amp;BW$6,'Job Master'!$F$12:$I$102,4,0)-1),""),"")</f>
        <v/>
      </c>
      <c r="BZ105" s="73"/>
      <c r="CA105" s="123" t="str">
        <f t="shared" si="162"/>
        <v/>
      </c>
      <c r="CB105" s="123" t="str">
        <f t="shared" si="163"/>
        <v/>
      </c>
      <c r="CC105" s="97" t="str">
        <f t="shared" ca="1" si="164"/>
        <v/>
      </c>
      <c r="CD105" s="98" t="str">
        <f>IF(CF105&lt;&gt;"",VLOOKUP($P105&amp;" | "&amp;CD$6,'Job Master'!$F$12:$J$102,5,0),"")</f>
        <v/>
      </c>
      <c r="CE105" s="19" t="str">
        <f>IF(CF105&lt;&gt;"",VLOOKUP($P105&amp;" | "&amp;CD$6,'Job Master'!$F$12:$J$102,3,0),"")</f>
        <v/>
      </c>
      <c r="CF105" s="19" t="str">
        <f>IFERROR(IF(AND(CM105&lt;&gt;"",VLOOKUP($P105&amp;" | "&amp;CD$6,'Job Master'!$F$12:$I$102,4,0)&lt;&gt;""),IF(WEEKDAY(CM105-VLOOKUP($P105&amp;" | "&amp;CD$6,'Job Master'!$F$12:$I$102,4,0))&lt;&gt;7,CM105-VLOOKUP($P105&amp;" | "&amp;CD$6,'Job Master'!$F$12:$I$102,4,0),CM105-VLOOKUP($P105&amp;" | "&amp;CD$6,'Job Master'!$F$12:$I$102,4,0)-1),""),"")</f>
        <v/>
      </c>
      <c r="CG105" s="73"/>
      <c r="CH105" s="123" t="str">
        <f t="shared" si="165"/>
        <v/>
      </c>
      <c r="CI105" s="123" t="str">
        <f t="shared" si="166"/>
        <v/>
      </c>
      <c r="CJ105" s="97" t="str">
        <f t="shared" ca="1" si="167"/>
        <v/>
      </c>
      <c r="CK105" s="98" t="str">
        <f>IF(CM105&lt;&gt;"",VLOOKUP($P105&amp;" | "&amp;CK$6,'Job Master'!$F$12:$J$102,5,0),"")</f>
        <v/>
      </c>
      <c r="CL105" s="19" t="str">
        <f>IF(CM105&lt;&gt;"",VLOOKUP($P105&amp;" | "&amp;CK$6,'Job Master'!$F$12:$J$102,3,0),"")</f>
        <v/>
      </c>
      <c r="CM105" s="19" t="str">
        <f>IFERROR(IF(AND(CT105&lt;&gt;"",VLOOKUP($P105&amp;" | "&amp;CK$6,'Job Master'!$F$12:$I$102,4,0)&lt;&gt;""),IF(WEEKDAY(CT105-VLOOKUP($P105&amp;" | "&amp;CK$6,'Job Master'!$F$12:$I$102,4,0))&lt;&gt;7,CT105-VLOOKUP($P105&amp;" | "&amp;CK$6,'Job Master'!$F$12:$I$102,4,0),CT105-VLOOKUP($P105&amp;" | "&amp;CK$6,'Job Master'!$F$12:$I$102,4,0)-1),""),"")</f>
        <v/>
      </c>
      <c r="CN105" s="73"/>
      <c r="CO105" s="123" t="str">
        <f t="shared" si="168"/>
        <v/>
      </c>
      <c r="CP105" s="123" t="str">
        <f t="shared" si="169"/>
        <v/>
      </c>
      <c r="CQ105" s="97" t="str">
        <f t="shared" ca="1" si="170"/>
        <v/>
      </c>
      <c r="CR105" s="98" t="str">
        <f>IF(CT105&lt;&gt;"",VLOOKUP($P105&amp;" | "&amp;CR$6,'Job Master'!$F$12:$J$102,5,0),"")</f>
        <v/>
      </c>
      <c r="CS105" s="19" t="str">
        <f>IF(CT105&lt;&gt;"",VLOOKUP($P105&amp;" | "&amp;CR$6,'Job Master'!$F$12:$J$102,3,0),"")</f>
        <v/>
      </c>
      <c r="CT105" s="19" t="str">
        <f>IFERROR(IF(AND(DA105&lt;&gt;"",VLOOKUP($P105&amp;" | "&amp;CR$6,'Job Master'!$F$12:$I$102,4,0)&lt;&gt;""),IF(WEEKDAY(DA105-VLOOKUP($P105&amp;" | "&amp;CR$6,'Job Master'!$F$12:$I$102,4,0))&lt;&gt;7,DA105-VLOOKUP($P105&amp;" | "&amp;CR$6,'Job Master'!$F$12:$I$102,4,0),DA105-VLOOKUP($P105&amp;" | "&amp;CR$6,'Job Master'!$F$12:$I$102,4,0)-1),""),"")</f>
        <v/>
      </c>
      <c r="CU105" s="73"/>
      <c r="CV105" s="123" t="str">
        <f t="shared" si="171"/>
        <v/>
      </c>
      <c r="CW105" s="123" t="str">
        <f t="shared" si="172"/>
        <v/>
      </c>
      <c r="CX105" s="97" t="str">
        <f t="shared" ca="1" si="173"/>
        <v/>
      </c>
      <c r="CY105" s="98" t="str">
        <f>IF(DA105&lt;&gt;"",VLOOKUP($P105&amp;" | "&amp;CY$6,'Job Master'!$F$12:$J$102,5,0),"")</f>
        <v/>
      </c>
      <c r="CZ105" s="19" t="str">
        <f>IF(DA105&lt;&gt;"",VLOOKUP($P105&amp;" | "&amp;CY$6,'Job Master'!$F$12:$J$102,3,0),"")</f>
        <v/>
      </c>
      <c r="DA105" s="19" t="str">
        <f>IFERROR(IF(AND(DH105&lt;&gt;"",VLOOKUP($P105&amp;" | "&amp;CY$6,'Job Master'!$F$12:$I$102,4,0)&lt;&gt;""),IF(WEEKDAY(DH105-VLOOKUP($P105&amp;" | "&amp;CY$6,'Job Master'!$F$12:$I$102,4,0))&lt;&gt;7,DH105-VLOOKUP($P105&amp;" | "&amp;CY$6,'Job Master'!$F$12:$I$102,4,0),DH105-VLOOKUP($P105&amp;" | "&amp;CY$6,'Job Master'!$F$12:$I$102,4,0)-1),""),"")</f>
        <v/>
      </c>
      <c r="DB105" s="73"/>
      <c r="DC105" s="123" t="str">
        <f t="shared" si="174"/>
        <v/>
      </c>
      <c r="DD105" s="123" t="str">
        <f t="shared" si="175"/>
        <v/>
      </c>
      <c r="DE105" s="97" t="str">
        <f t="shared" ca="1" si="176"/>
        <v/>
      </c>
      <c r="DF105" s="98" t="str">
        <f>IF(DH105&lt;&gt;"",VLOOKUP($P105&amp;" | "&amp;DF$6,'Job Master'!$F$12:$J$102,5,0),"")</f>
        <v/>
      </c>
      <c r="DG105" s="19" t="str">
        <f>IF(DH105&lt;&gt;"",VLOOKUP($P105&amp;" | "&amp;DF$6,'Job Master'!$F$12:$J$102,3,0),"")</f>
        <v/>
      </c>
      <c r="DH105" s="19" t="str">
        <f>IFERROR(IF(AND(DO105&lt;&gt;"",VLOOKUP($P105&amp;" | "&amp;DF$6,'Job Master'!$F$12:$I$102,4,0)&lt;&gt;""),IF(WEEKDAY(DO105-VLOOKUP($P105&amp;" | "&amp;DF$6,'Job Master'!$F$12:$I$102,4,0))&lt;&gt;7,DO105-VLOOKUP($P105&amp;" | "&amp;DF$6,'Job Master'!$F$12:$I$102,4,0),DO105-VLOOKUP($P105&amp;" | "&amp;DF$6,'Job Master'!$F$12:$I$102,4,0)-1),""),"")</f>
        <v/>
      </c>
      <c r="DI105" s="73"/>
      <c r="DJ105" s="123" t="str">
        <f t="shared" si="177"/>
        <v/>
      </c>
      <c r="DK105" s="123" t="str">
        <f t="shared" si="178"/>
        <v/>
      </c>
      <c r="DL105" s="97" t="str">
        <f t="shared" ca="1" si="179"/>
        <v/>
      </c>
      <c r="DM105" s="98" t="str">
        <f>IF(DO105&lt;&gt;"",VLOOKUP($P105&amp;" | "&amp;DM$6,'Job Master'!$F$12:$J$102,5,0),"")</f>
        <v/>
      </c>
      <c r="DN105" s="19" t="str">
        <f>IF(DO105&lt;&gt;"",VLOOKUP($P105&amp;" | "&amp;DM$6,'Job Master'!$F$12:$J$102,3,0),"")</f>
        <v/>
      </c>
      <c r="DO105" s="19" t="str">
        <f>IFERROR(IF(AND(DT105&lt;&gt;"",VLOOKUP($P105&amp;" | "&amp;DM$6,'Job Master'!$F$12:$I$102,4,0)&lt;&gt;""),IF(WEEKDAY(DT105-VLOOKUP($P105&amp;" | "&amp;DM$6,'Job Master'!$F$12:$I$102,4,0))&lt;&gt;7,DT105-VLOOKUP($P105&amp;" | "&amp;DM$6,'Job Master'!$F$12:$I$102,4,0),DT105-VLOOKUP($P105&amp;" | "&amp;DM$6,'Job Master'!$F$12:$I$102,4,0)-1),""),"")</f>
        <v/>
      </c>
      <c r="DP105" s="73"/>
      <c r="DQ105" s="123" t="str">
        <f t="shared" si="180"/>
        <v/>
      </c>
      <c r="DR105" s="123" t="str">
        <f t="shared" si="181"/>
        <v/>
      </c>
      <c r="DS105" s="97" t="str">
        <f t="shared" ca="1" si="182"/>
        <v/>
      </c>
      <c r="DT105" s="70" t="str">
        <f t="shared" si="183"/>
        <v/>
      </c>
      <c r="DU105" s="90"/>
      <c r="DV105" s="123" t="str">
        <f t="shared" si="184"/>
        <v/>
      </c>
      <c r="DW105" s="123" t="str">
        <f t="shared" si="185"/>
        <v/>
      </c>
      <c r="DX105" s="132" t="str">
        <f t="shared" ref="DX105" ca="1" si="228">IF(DT105&lt;&gt;"",IF(WEEKNUM(DT105)=WEEKNUM(TODAY()),"This Week",IF(WEEKNUM(DT105)=WEEKNUM(TODAY())+1,"Next Week",IF(WEEKNUM(DT105)=WEEKNUM(TODAY())-1,"Previous Week",""))),"")</f>
        <v/>
      </c>
      <c r="DY105" s="134" t="str">
        <f t="shared" si="187"/>
        <v/>
      </c>
      <c r="DZ105" s="95"/>
      <c r="EB105" s="8" t="str">
        <f t="shared" si="193"/>
        <v/>
      </c>
      <c r="EC105" s="8" t="str">
        <f>IF(O105&lt;&gt;"",VLOOKUP(O105,'Job Master'!$N$12:$O$18,2,0),"")</f>
        <v/>
      </c>
      <c r="ED105" s="8">
        <f t="shared" si="194"/>
        <v>19.5</v>
      </c>
      <c r="EE105" s="8">
        <f t="shared" si="195"/>
        <v>6</v>
      </c>
      <c r="EF105" s="8">
        <f t="shared" si="196"/>
        <v>-550.5</v>
      </c>
      <c r="EG105" s="8" t="str">
        <f t="shared" si="197"/>
        <v/>
      </c>
      <c r="EH105" s="8" t="str">
        <f t="shared" si="198"/>
        <v/>
      </c>
    </row>
    <row r="106" spans="2:138" x14ac:dyDescent="0.3">
      <c r="B106" s="112"/>
      <c r="C106" s="27"/>
      <c r="D106" s="7" t="str">
        <f t="shared" si="135"/>
        <v/>
      </c>
      <c r="E106" s="25"/>
      <c r="F106" s="7" t="str">
        <f t="shared" si="135"/>
        <v/>
      </c>
      <c r="G106" s="25"/>
      <c r="H106" s="7" t="str">
        <f t="shared" si="135"/>
        <v/>
      </c>
      <c r="I106" s="25"/>
      <c r="J106" s="7" t="str">
        <f t="shared" si="135"/>
        <v/>
      </c>
      <c r="K106" s="25"/>
      <c r="L106" s="7" t="str">
        <f t="shared" si="136"/>
        <v/>
      </c>
      <c r="M106" s="25"/>
      <c r="N106" s="7" t="str">
        <f t="shared" si="137"/>
        <v/>
      </c>
      <c r="O106" s="81"/>
      <c r="P106" s="81" t="str">
        <f t="shared" si="138"/>
        <v/>
      </c>
      <c r="Q106" s="81"/>
      <c r="R106" s="7" t="str">
        <f t="shared" si="139"/>
        <v/>
      </c>
      <c r="S106" s="25"/>
      <c r="T106" s="7" t="str">
        <f t="shared" si="140"/>
        <v/>
      </c>
      <c r="U106" s="25"/>
      <c r="V106" s="7" t="str">
        <f t="shared" si="141"/>
        <v/>
      </c>
      <c r="W106" s="25"/>
      <c r="X106" s="7" t="str">
        <f t="shared" si="142"/>
        <v/>
      </c>
      <c r="Y106" s="18" t="str">
        <f t="shared" si="143"/>
        <v/>
      </c>
      <c r="Z106" s="7" t="str">
        <f t="shared" si="144"/>
        <v/>
      </c>
      <c r="AA106" s="18" t="str">
        <f t="shared" si="145"/>
        <v/>
      </c>
      <c r="AB106" s="19" t="str">
        <f t="shared" si="146"/>
        <v/>
      </c>
      <c r="AC106" s="26"/>
      <c r="AD106" s="26"/>
      <c r="AE106" s="25"/>
      <c r="AF106" s="26"/>
      <c r="AG106" s="25"/>
      <c r="AH106" s="25"/>
      <c r="AI106" s="18" t="str">
        <f t="shared" si="209"/>
        <v/>
      </c>
      <c r="AJ106" s="25"/>
      <c r="AK106" s="18" t="str">
        <f t="shared" si="210"/>
        <v/>
      </c>
      <c r="AL106" s="79"/>
      <c r="AM106" s="126" t="str">
        <f t="shared" si="211"/>
        <v/>
      </c>
      <c r="AN106" s="128" t="str">
        <f>IF(AP106&lt;&gt;"",VLOOKUP($P106&amp;" | "&amp;AN$6,'Job Master'!$F$12:$J$102,5,0),"")</f>
        <v/>
      </c>
      <c r="AO106" s="19" t="str">
        <f>IF(AP106&lt;&gt;"",VLOOKUP($P106&amp;" | "&amp;AN$6,'Job Master'!$F$12:$J$102,3,0),"")</f>
        <v/>
      </c>
      <c r="AP106" s="19" t="str">
        <f>IFERROR(IF(AND(AW106&lt;&gt;"",VLOOKUP($P106&amp;" | "&amp;AN$6,'Job Master'!$F$12:$I$102,4,0)&lt;&gt;""),IF(WEEKDAY(AW106-VLOOKUP($P106&amp;" | "&amp;AN$6,'Job Master'!$F$12:$I$102,4,0))&lt;&gt;7,AW106-VLOOKUP($P106&amp;" | "&amp;AN$6,'Job Master'!$F$12:$I$102,4,0),AW106-VLOOKUP($P106&amp;" | "&amp;AN$6,'Job Master'!$F$12:$I$102,4,0)-1),""),"")</f>
        <v/>
      </c>
      <c r="AQ106" s="73"/>
      <c r="AR106" s="123" t="str">
        <f t="shared" si="147"/>
        <v/>
      </c>
      <c r="AS106" s="123" t="str">
        <f t="shared" si="148"/>
        <v/>
      </c>
      <c r="AT106" s="97" t="str">
        <f t="shared" ca="1" si="149"/>
        <v/>
      </c>
      <c r="AU106" s="98" t="str">
        <f>IF(AW106&lt;&gt;"",VLOOKUP($P106&amp;" | "&amp;AU$6,'Job Master'!$F$12:$J$102,5,0),"")</f>
        <v/>
      </c>
      <c r="AV106" s="19" t="str">
        <f>IF(AW106&lt;&gt;"",VLOOKUP($P106&amp;" | "&amp;AU$6,'Job Master'!$F$12:$J$102,3,0),"")</f>
        <v/>
      </c>
      <c r="AW106" s="19" t="str">
        <f>IFERROR(IF(AND(BD106&lt;&gt;"",VLOOKUP($P106&amp;" | "&amp;AU$6,'Job Master'!$F$12:$I$102,4,0)&lt;&gt;""),IF(WEEKDAY(BD106-VLOOKUP($P106&amp;" | "&amp;AU$6,'Job Master'!$F$12:$I$102,4,0))&lt;&gt;7,BD106-VLOOKUP($P106&amp;" | "&amp;AU$6,'Job Master'!$F$12:$I$102,4,0),BD106-VLOOKUP($P106&amp;" | "&amp;AU$6,'Job Master'!$F$12:$I$102,4,0)-1),""),"")</f>
        <v/>
      </c>
      <c r="AX106" s="73"/>
      <c r="AY106" s="123" t="str">
        <f t="shared" si="150"/>
        <v/>
      </c>
      <c r="AZ106" s="123" t="str">
        <f t="shared" si="151"/>
        <v/>
      </c>
      <c r="BA106" s="97" t="str">
        <f t="shared" ca="1" si="152"/>
        <v/>
      </c>
      <c r="BB106" s="98" t="str">
        <f>IF(BD106&lt;&gt;"",VLOOKUP($P106&amp;" | "&amp;BB$6,'Job Master'!$F$12:$J$102,5,0),"")</f>
        <v/>
      </c>
      <c r="BC106" s="19" t="str">
        <f>IF(BD106&lt;&gt;"",VLOOKUP($P106&amp;" | "&amp;BB$6,'Job Master'!$F$12:$J$102,3,0),"")</f>
        <v/>
      </c>
      <c r="BD106" s="19" t="str">
        <f>IFERROR(IF(AND(BK106&lt;&gt;"",VLOOKUP($P106&amp;" | "&amp;BB$6,'Job Master'!$F$12:$I$102,4,0)&lt;&gt;""),IF(WEEKDAY(BK106-VLOOKUP($P106&amp;" | "&amp;BB$6,'Job Master'!$F$12:$I$102,4,0))&lt;&gt;7,BK106-VLOOKUP($P106&amp;" | "&amp;BB$6,'Job Master'!$F$12:$I$102,4,0),BK106-VLOOKUP($P106&amp;" | "&amp;BB$6,'Job Master'!$F$12:$I$102,4,0)-1),""),"")</f>
        <v/>
      </c>
      <c r="BE106" s="73"/>
      <c r="BF106" s="123" t="str">
        <f t="shared" si="153"/>
        <v/>
      </c>
      <c r="BG106" s="123" t="str">
        <f t="shared" si="154"/>
        <v/>
      </c>
      <c r="BH106" s="97" t="str">
        <f t="shared" ca="1" si="155"/>
        <v/>
      </c>
      <c r="BI106" s="98" t="str">
        <f>IF(BK106&lt;&gt;"",VLOOKUP($P106&amp;" | "&amp;BI$6,'Job Master'!$F$12:$J$102,5,0),"")</f>
        <v/>
      </c>
      <c r="BJ106" s="19" t="str">
        <f>IF(BK106&lt;&gt;"",VLOOKUP($P106&amp;" | "&amp;BI$6,'Job Master'!$F$12:$J$102,3,0),"")</f>
        <v/>
      </c>
      <c r="BK106" s="19" t="str">
        <f>IFERROR(IF(AND(BR106&lt;&gt;"",VLOOKUP($P106&amp;" | "&amp;BI$6,'Job Master'!$F$12:$I$102,4,0)&lt;&gt;""),IF(WEEKDAY(BR106-VLOOKUP($P106&amp;" | "&amp;BI$6,'Job Master'!$F$12:$I$102,4,0))&lt;&gt;7,BR106-VLOOKUP($P106&amp;" | "&amp;BI$6,'Job Master'!$F$12:$I$102,4,0),BR106-VLOOKUP($P106&amp;" | "&amp;BI$6,'Job Master'!$F$12:$I$102,4,0)-1),""),"")</f>
        <v/>
      </c>
      <c r="BL106" s="73"/>
      <c r="BM106" s="123" t="str">
        <f t="shared" si="156"/>
        <v/>
      </c>
      <c r="BN106" s="123" t="str">
        <f t="shared" si="157"/>
        <v/>
      </c>
      <c r="BO106" s="97" t="str">
        <f t="shared" ca="1" si="158"/>
        <v/>
      </c>
      <c r="BP106" s="98" t="str">
        <f>IF(BR106&lt;&gt;"",VLOOKUP($P106&amp;" | "&amp;BP$6,'Job Master'!$F$12:$J$102,5,0),"")</f>
        <v/>
      </c>
      <c r="BQ106" s="19" t="str">
        <f>IF(BR106&lt;&gt;"",VLOOKUP($P106&amp;" | "&amp;BP$6,'Job Master'!$F$12:$J$102,3,0),"")</f>
        <v/>
      </c>
      <c r="BR106" s="19" t="str">
        <f>IFERROR(IF(AND(BY106&lt;&gt;"",VLOOKUP($P106&amp;" | "&amp;BP$6,'Job Master'!$F$12:$I$102,4,0)&lt;&gt;""),IF(WEEKDAY(BY106-VLOOKUP($P106&amp;" | "&amp;BP$6,'Job Master'!$F$12:$I$102,4,0))&lt;&gt;7,BY106-VLOOKUP($P106&amp;" | "&amp;BP$6,'Job Master'!$F$12:$I$102,4,0),BY106-VLOOKUP($P106&amp;" | "&amp;BP$6,'Job Master'!$F$12:$I$102,4,0)-1),""),"")</f>
        <v/>
      </c>
      <c r="BS106" s="73"/>
      <c r="BT106" s="123" t="str">
        <f t="shared" si="159"/>
        <v/>
      </c>
      <c r="BU106" s="123" t="str">
        <f t="shared" si="160"/>
        <v/>
      </c>
      <c r="BV106" s="97" t="str">
        <f t="shared" ca="1" si="161"/>
        <v/>
      </c>
      <c r="BW106" s="98" t="str">
        <f>IF(BY106&lt;&gt;"",VLOOKUP($P106&amp;" | "&amp;BW$6,'Job Master'!$F$12:$J$102,5,0),"")</f>
        <v/>
      </c>
      <c r="BX106" s="19" t="str">
        <f>IF(BY106&lt;&gt;"",VLOOKUP($P106&amp;" | "&amp;BW$6,'Job Master'!$F$12:$J$102,3,0),"")</f>
        <v/>
      </c>
      <c r="BY106" s="19" t="str">
        <f>IFERROR(IF(AND(CF106&lt;&gt;"",VLOOKUP($P106&amp;" | "&amp;BW$6,'Job Master'!$F$12:$I$102,4,0)&lt;&gt;""),IF(WEEKDAY(CF106-VLOOKUP($P106&amp;" | "&amp;BW$6,'Job Master'!$F$12:$I$102,4,0))&lt;&gt;7,CF106-VLOOKUP($P106&amp;" | "&amp;BW$6,'Job Master'!$F$12:$I$102,4,0),CF106-VLOOKUP($P106&amp;" | "&amp;BW$6,'Job Master'!$F$12:$I$102,4,0)-1),""),"")</f>
        <v/>
      </c>
      <c r="BZ106" s="73"/>
      <c r="CA106" s="123" t="str">
        <f t="shared" si="162"/>
        <v/>
      </c>
      <c r="CB106" s="123" t="str">
        <f t="shared" si="163"/>
        <v/>
      </c>
      <c r="CC106" s="97" t="str">
        <f t="shared" ca="1" si="164"/>
        <v/>
      </c>
      <c r="CD106" s="98" t="str">
        <f>IF(CF106&lt;&gt;"",VLOOKUP($P106&amp;" | "&amp;CD$6,'Job Master'!$F$12:$J$102,5,0),"")</f>
        <v/>
      </c>
      <c r="CE106" s="19" t="str">
        <f>IF(CF106&lt;&gt;"",VLOOKUP($P106&amp;" | "&amp;CD$6,'Job Master'!$F$12:$J$102,3,0),"")</f>
        <v/>
      </c>
      <c r="CF106" s="19" t="str">
        <f>IFERROR(IF(AND(CM106&lt;&gt;"",VLOOKUP($P106&amp;" | "&amp;CD$6,'Job Master'!$F$12:$I$102,4,0)&lt;&gt;""),IF(WEEKDAY(CM106-VLOOKUP($P106&amp;" | "&amp;CD$6,'Job Master'!$F$12:$I$102,4,0))&lt;&gt;7,CM106-VLOOKUP($P106&amp;" | "&amp;CD$6,'Job Master'!$F$12:$I$102,4,0),CM106-VLOOKUP($P106&amp;" | "&amp;CD$6,'Job Master'!$F$12:$I$102,4,0)-1),""),"")</f>
        <v/>
      </c>
      <c r="CG106" s="73"/>
      <c r="CH106" s="123" t="str">
        <f t="shared" si="165"/>
        <v/>
      </c>
      <c r="CI106" s="123" t="str">
        <f t="shared" si="166"/>
        <v/>
      </c>
      <c r="CJ106" s="97" t="str">
        <f t="shared" ca="1" si="167"/>
        <v/>
      </c>
      <c r="CK106" s="98" t="str">
        <f>IF(CM106&lt;&gt;"",VLOOKUP($P106&amp;" | "&amp;CK$6,'Job Master'!$F$12:$J$102,5,0),"")</f>
        <v/>
      </c>
      <c r="CL106" s="19" t="str">
        <f>IF(CM106&lt;&gt;"",VLOOKUP($P106&amp;" | "&amp;CK$6,'Job Master'!$F$12:$J$102,3,0),"")</f>
        <v/>
      </c>
      <c r="CM106" s="19" t="str">
        <f>IFERROR(IF(AND(CT106&lt;&gt;"",VLOOKUP($P106&amp;" | "&amp;CK$6,'Job Master'!$F$12:$I$102,4,0)&lt;&gt;""),IF(WEEKDAY(CT106-VLOOKUP($P106&amp;" | "&amp;CK$6,'Job Master'!$F$12:$I$102,4,0))&lt;&gt;7,CT106-VLOOKUP($P106&amp;" | "&amp;CK$6,'Job Master'!$F$12:$I$102,4,0),CT106-VLOOKUP($P106&amp;" | "&amp;CK$6,'Job Master'!$F$12:$I$102,4,0)-1),""),"")</f>
        <v/>
      </c>
      <c r="CN106" s="73"/>
      <c r="CO106" s="123" t="str">
        <f t="shared" si="168"/>
        <v/>
      </c>
      <c r="CP106" s="123" t="str">
        <f t="shared" si="169"/>
        <v/>
      </c>
      <c r="CQ106" s="97" t="str">
        <f t="shared" ca="1" si="170"/>
        <v/>
      </c>
      <c r="CR106" s="98" t="str">
        <f>IF(CT106&lt;&gt;"",VLOOKUP($P106&amp;" | "&amp;CR$6,'Job Master'!$F$12:$J$102,5,0),"")</f>
        <v/>
      </c>
      <c r="CS106" s="19" t="str">
        <f>IF(CT106&lt;&gt;"",VLOOKUP($P106&amp;" | "&amp;CR$6,'Job Master'!$F$12:$J$102,3,0),"")</f>
        <v/>
      </c>
      <c r="CT106" s="19" t="str">
        <f>IFERROR(IF(AND(DA106&lt;&gt;"",VLOOKUP($P106&amp;" | "&amp;CR$6,'Job Master'!$F$12:$I$102,4,0)&lt;&gt;""),IF(WEEKDAY(DA106-VLOOKUP($P106&amp;" | "&amp;CR$6,'Job Master'!$F$12:$I$102,4,0))&lt;&gt;7,DA106-VLOOKUP($P106&amp;" | "&amp;CR$6,'Job Master'!$F$12:$I$102,4,0),DA106-VLOOKUP($P106&amp;" | "&amp;CR$6,'Job Master'!$F$12:$I$102,4,0)-1),""),"")</f>
        <v/>
      </c>
      <c r="CU106" s="73"/>
      <c r="CV106" s="123" t="str">
        <f t="shared" si="171"/>
        <v/>
      </c>
      <c r="CW106" s="123" t="str">
        <f t="shared" si="172"/>
        <v/>
      </c>
      <c r="CX106" s="97" t="str">
        <f t="shared" ca="1" si="173"/>
        <v/>
      </c>
      <c r="CY106" s="98" t="str">
        <f>IF(DA106&lt;&gt;"",VLOOKUP($P106&amp;" | "&amp;CY$6,'Job Master'!$F$12:$J$102,5,0),"")</f>
        <v/>
      </c>
      <c r="CZ106" s="19" t="str">
        <f>IF(DA106&lt;&gt;"",VLOOKUP($P106&amp;" | "&amp;CY$6,'Job Master'!$F$12:$J$102,3,0),"")</f>
        <v/>
      </c>
      <c r="DA106" s="19" t="str">
        <f>IFERROR(IF(AND(DH106&lt;&gt;"",VLOOKUP($P106&amp;" | "&amp;CY$6,'Job Master'!$F$12:$I$102,4,0)&lt;&gt;""),IF(WEEKDAY(DH106-VLOOKUP($P106&amp;" | "&amp;CY$6,'Job Master'!$F$12:$I$102,4,0))&lt;&gt;7,DH106-VLOOKUP($P106&amp;" | "&amp;CY$6,'Job Master'!$F$12:$I$102,4,0),DH106-VLOOKUP($P106&amp;" | "&amp;CY$6,'Job Master'!$F$12:$I$102,4,0)-1),""),"")</f>
        <v/>
      </c>
      <c r="DB106" s="73"/>
      <c r="DC106" s="123" t="str">
        <f t="shared" si="174"/>
        <v/>
      </c>
      <c r="DD106" s="123" t="str">
        <f t="shared" si="175"/>
        <v/>
      </c>
      <c r="DE106" s="97" t="str">
        <f t="shared" ca="1" si="176"/>
        <v/>
      </c>
      <c r="DF106" s="98" t="str">
        <f>IF(DH106&lt;&gt;"",VLOOKUP($P106&amp;" | "&amp;DF$6,'Job Master'!$F$12:$J$102,5,0),"")</f>
        <v/>
      </c>
      <c r="DG106" s="19" t="str">
        <f>IF(DH106&lt;&gt;"",VLOOKUP($P106&amp;" | "&amp;DF$6,'Job Master'!$F$12:$J$102,3,0),"")</f>
        <v/>
      </c>
      <c r="DH106" s="19" t="str">
        <f>IFERROR(IF(AND(DO106&lt;&gt;"",VLOOKUP($P106&amp;" | "&amp;DF$6,'Job Master'!$F$12:$I$102,4,0)&lt;&gt;""),IF(WEEKDAY(DO106-VLOOKUP($P106&amp;" | "&amp;DF$6,'Job Master'!$F$12:$I$102,4,0))&lt;&gt;7,DO106-VLOOKUP($P106&amp;" | "&amp;DF$6,'Job Master'!$F$12:$I$102,4,0),DO106-VLOOKUP($P106&amp;" | "&amp;DF$6,'Job Master'!$F$12:$I$102,4,0)-1),""),"")</f>
        <v/>
      </c>
      <c r="DI106" s="73"/>
      <c r="DJ106" s="123" t="str">
        <f t="shared" si="177"/>
        <v/>
      </c>
      <c r="DK106" s="123" t="str">
        <f t="shared" si="178"/>
        <v/>
      </c>
      <c r="DL106" s="97" t="str">
        <f t="shared" ca="1" si="179"/>
        <v/>
      </c>
      <c r="DM106" s="98" t="str">
        <f>IF(DO106&lt;&gt;"",VLOOKUP($P106&amp;" | "&amp;DM$6,'Job Master'!$F$12:$J$102,5,0),"")</f>
        <v/>
      </c>
      <c r="DN106" s="19" t="str">
        <f>IF(DO106&lt;&gt;"",VLOOKUP($P106&amp;" | "&amp;DM$6,'Job Master'!$F$12:$J$102,3,0),"")</f>
        <v/>
      </c>
      <c r="DO106" s="19" t="str">
        <f>IFERROR(IF(AND(DT106&lt;&gt;"",VLOOKUP($P106&amp;" | "&amp;DM$6,'Job Master'!$F$12:$I$102,4,0)&lt;&gt;""),IF(WEEKDAY(DT106-VLOOKUP($P106&amp;" | "&amp;DM$6,'Job Master'!$F$12:$I$102,4,0))&lt;&gt;7,DT106-VLOOKUP($P106&amp;" | "&amp;DM$6,'Job Master'!$F$12:$I$102,4,0),DT106-VLOOKUP($P106&amp;" | "&amp;DM$6,'Job Master'!$F$12:$I$102,4,0)-1),""),"")</f>
        <v/>
      </c>
      <c r="DP106" s="73"/>
      <c r="DQ106" s="123" t="str">
        <f t="shared" si="180"/>
        <v/>
      </c>
      <c r="DR106" s="123" t="str">
        <f t="shared" si="181"/>
        <v/>
      </c>
      <c r="DS106" s="97" t="str">
        <f t="shared" ca="1" si="182"/>
        <v/>
      </c>
      <c r="DT106" s="70" t="str">
        <f t="shared" si="183"/>
        <v/>
      </c>
      <c r="DU106" s="90"/>
      <c r="DV106" s="123" t="str">
        <f t="shared" si="184"/>
        <v/>
      </c>
      <c r="DW106" s="123" t="str">
        <f t="shared" si="185"/>
        <v/>
      </c>
      <c r="DX106" s="132" t="str">
        <f t="shared" ref="DX106" ca="1" si="229">IF(DT106&lt;&gt;"",IF(WEEKNUM(DT106)=WEEKNUM(TODAY()),"This Week",IF(WEEKNUM(DT106)=WEEKNUM(TODAY())+1,"Next Week",IF(WEEKNUM(DT106)=WEEKNUM(TODAY())-1,"Previous Week",""))),"")</f>
        <v/>
      </c>
      <c r="DY106" s="134" t="str">
        <f t="shared" si="187"/>
        <v/>
      </c>
      <c r="DZ106" s="95"/>
      <c r="EB106" s="8" t="str">
        <f t="shared" si="193"/>
        <v/>
      </c>
      <c r="EC106" s="8" t="str">
        <f>IF(O106&lt;&gt;"",VLOOKUP(O106,'Job Master'!$N$12:$O$18,2,0),"")</f>
        <v/>
      </c>
      <c r="ED106" s="8">
        <f t="shared" si="194"/>
        <v>19.5</v>
      </c>
      <c r="EE106" s="8">
        <f t="shared" si="195"/>
        <v>6</v>
      </c>
      <c r="EF106" s="8">
        <f t="shared" si="196"/>
        <v>-556.5</v>
      </c>
      <c r="EG106" s="8" t="str">
        <f t="shared" si="197"/>
        <v/>
      </c>
      <c r="EH106" s="8" t="str">
        <f t="shared" si="198"/>
        <v/>
      </c>
    </row>
    <row r="107" spans="2:138" x14ac:dyDescent="0.3">
      <c r="B107" s="112"/>
      <c r="C107" s="27"/>
      <c r="D107" s="7" t="str">
        <f t="shared" si="135"/>
        <v/>
      </c>
      <c r="E107" s="25"/>
      <c r="F107" s="7" t="str">
        <f t="shared" si="135"/>
        <v/>
      </c>
      <c r="G107" s="25"/>
      <c r="H107" s="7" t="str">
        <f t="shared" si="135"/>
        <v/>
      </c>
      <c r="I107" s="25"/>
      <c r="J107" s="7" t="str">
        <f t="shared" si="135"/>
        <v/>
      </c>
      <c r="K107" s="25"/>
      <c r="L107" s="7" t="str">
        <f t="shared" si="136"/>
        <v/>
      </c>
      <c r="M107" s="25"/>
      <c r="N107" s="7" t="str">
        <f t="shared" si="137"/>
        <v/>
      </c>
      <c r="O107" s="81"/>
      <c r="P107" s="81" t="str">
        <f t="shared" si="138"/>
        <v/>
      </c>
      <c r="Q107" s="81"/>
      <c r="R107" s="7" t="str">
        <f t="shared" si="139"/>
        <v/>
      </c>
      <c r="S107" s="25"/>
      <c r="T107" s="7" t="str">
        <f t="shared" si="140"/>
        <v/>
      </c>
      <c r="U107" s="25"/>
      <c r="V107" s="7" t="str">
        <f t="shared" si="141"/>
        <v/>
      </c>
      <c r="W107" s="25"/>
      <c r="X107" s="7" t="str">
        <f t="shared" si="142"/>
        <v/>
      </c>
      <c r="Y107" s="18" t="str">
        <f t="shared" si="143"/>
        <v/>
      </c>
      <c r="Z107" s="7" t="str">
        <f t="shared" si="144"/>
        <v/>
      </c>
      <c r="AA107" s="18" t="str">
        <f t="shared" si="145"/>
        <v/>
      </c>
      <c r="AB107" s="19" t="str">
        <f t="shared" si="146"/>
        <v/>
      </c>
      <c r="AC107" s="26"/>
      <c r="AD107" s="26"/>
      <c r="AE107" s="25"/>
      <c r="AF107" s="26"/>
      <c r="AG107" s="25"/>
      <c r="AH107" s="25"/>
      <c r="AI107" s="18" t="str">
        <f t="shared" si="209"/>
        <v/>
      </c>
      <c r="AJ107" s="25"/>
      <c r="AK107" s="18" t="str">
        <f t="shared" si="210"/>
        <v/>
      </c>
      <c r="AL107" s="79"/>
      <c r="AM107" s="126" t="str">
        <f t="shared" si="211"/>
        <v/>
      </c>
      <c r="AN107" s="128" t="str">
        <f>IF(AP107&lt;&gt;"",VLOOKUP($P107&amp;" | "&amp;AN$6,'Job Master'!$F$12:$J$102,5,0),"")</f>
        <v/>
      </c>
      <c r="AO107" s="19" t="str">
        <f>IF(AP107&lt;&gt;"",VLOOKUP($P107&amp;" | "&amp;AN$6,'Job Master'!$F$12:$J$102,3,0),"")</f>
        <v/>
      </c>
      <c r="AP107" s="19" t="str">
        <f>IFERROR(IF(AND(AW107&lt;&gt;"",VLOOKUP($P107&amp;" | "&amp;AN$6,'Job Master'!$F$12:$I$102,4,0)&lt;&gt;""),IF(WEEKDAY(AW107-VLOOKUP($P107&amp;" | "&amp;AN$6,'Job Master'!$F$12:$I$102,4,0))&lt;&gt;7,AW107-VLOOKUP($P107&amp;" | "&amp;AN$6,'Job Master'!$F$12:$I$102,4,0),AW107-VLOOKUP($P107&amp;" | "&amp;AN$6,'Job Master'!$F$12:$I$102,4,0)-1),""),"")</f>
        <v/>
      </c>
      <c r="AQ107" s="73"/>
      <c r="AR107" s="123" t="str">
        <f t="shared" si="147"/>
        <v/>
      </c>
      <c r="AS107" s="123" t="str">
        <f t="shared" si="148"/>
        <v/>
      </c>
      <c r="AT107" s="97" t="str">
        <f t="shared" ca="1" si="149"/>
        <v/>
      </c>
      <c r="AU107" s="98" t="str">
        <f>IF(AW107&lt;&gt;"",VLOOKUP($P107&amp;" | "&amp;AU$6,'Job Master'!$F$12:$J$102,5,0),"")</f>
        <v/>
      </c>
      <c r="AV107" s="19" t="str">
        <f>IF(AW107&lt;&gt;"",VLOOKUP($P107&amp;" | "&amp;AU$6,'Job Master'!$F$12:$J$102,3,0),"")</f>
        <v/>
      </c>
      <c r="AW107" s="19" t="str">
        <f>IFERROR(IF(AND(BD107&lt;&gt;"",VLOOKUP($P107&amp;" | "&amp;AU$6,'Job Master'!$F$12:$I$102,4,0)&lt;&gt;""),IF(WEEKDAY(BD107-VLOOKUP($P107&amp;" | "&amp;AU$6,'Job Master'!$F$12:$I$102,4,0))&lt;&gt;7,BD107-VLOOKUP($P107&amp;" | "&amp;AU$6,'Job Master'!$F$12:$I$102,4,0),BD107-VLOOKUP($P107&amp;" | "&amp;AU$6,'Job Master'!$F$12:$I$102,4,0)-1),""),"")</f>
        <v/>
      </c>
      <c r="AX107" s="73"/>
      <c r="AY107" s="123" t="str">
        <f t="shared" si="150"/>
        <v/>
      </c>
      <c r="AZ107" s="123" t="str">
        <f t="shared" si="151"/>
        <v/>
      </c>
      <c r="BA107" s="97" t="str">
        <f t="shared" ca="1" si="152"/>
        <v/>
      </c>
      <c r="BB107" s="98" t="str">
        <f>IF(BD107&lt;&gt;"",VLOOKUP($P107&amp;" | "&amp;BB$6,'Job Master'!$F$12:$J$102,5,0),"")</f>
        <v/>
      </c>
      <c r="BC107" s="19" t="str">
        <f>IF(BD107&lt;&gt;"",VLOOKUP($P107&amp;" | "&amp;BB$6,'Job Master'!$F$12:$J$102,3,0),"")</f>
        <v/>
      </c>
      <c r="BD107" s="19" t="str">
        <f>IFERROR(IF(AND(BK107&lt;&gt;"",VLOOKUP($P107&amp;" | "&amp;BB$6,'Job Master'!$F$12:$I$102,4,0)&lt;&gt;""),IF(WEEKDAY(BK107-VLOOKUP($P107&amp;" | "&amp;BB$6,'Job Master'!$F$12:$I$102,4,0))&lt;&gt;7,BK107-VLOOKUP($P107&amp;" | "&amp;BB$6,'Job Master'!$F$12:$I$102,4,0),BK107-VLOOKUP($P107&amp;" | "&amp;BB$6,'Job Master'!$F$12:$I$102,4,0)-1),""),"")</f>
        <v/>
      </c>
      <c r="BE107" s="73"/>
      <c r="BF107" s="123" t="str">
        <f t="shared" si="153"/>
        <v/>
      </c>
      <c r="BG107" s="123" t="str">
        <f t="shared" si="154"/>
        <v/>
      </c>
      <c r="BH107" s="97" t="str">
        <f t="shared" ca="1" si="155"/>
        <v/>
      </c>
      <c r="BI107" s="98" t="str">
        <f>IF(BK107&lt;&gt;"",VLOOKUP($P107&amp;" | "&amp;BI$6,'Job Master'!$F$12:$J$102,5,0),"")</f>
        <v/>
      </c>
      <c r="BJ107" s="19" t="str">
        <f>IF(BK107&lt;&gt;"",VLOOKUP($P107&amp;" | "&amp;BI$6,'Job Master'!$F$12:$J$102,3,0),"")</f>
        <v/>
      </c>
      <c r="BK107" s="19" t="str">
        <f>IFERROR(IF(AND(BR107&lt;&gt;"",VLOOKUP($P107&amp;" | "&amp;BI$6,'Job Master'!$F$12:$I$102,4,0)&lt;&gt;""),IF(WEEKDAY(BR107-VLOOKUP($P107&amp;" | "&amp;BI$6,'Job Master'!$F$12:$I$102,4,0))&lt;&gt;7,BR107-VLOOKUP($P107&amp;" | "&amp;BI$6,'Job Master'!$F$12:$I$102,4,0),BR107-VLOOKUP($P107&amp;" | "&amp;BI$6,'Job Master'!$F$12:$I$102,4,0)-1),""),"")</f>
        <v/>
      </c>
      <c r="BL107" s="73"/>
      <c r="BM107" s="123" t="str">
        <f t="shared" si="156"/>
        <v/>
      </c>
      <c r="BN107" s="123" t="str">
        <f t="shared" si="157"/>
        <v/>
      </c>
      <c r="BO107" s="97" t="str">
        <f t="shared" ca="1" si="158"/>
        <v/>
      </c>
      <c r="BP107" s="98" t="str">
        <f>IF(BR107&lt;&gt;"",VLOOKUP($P107&amp;" | "&amp;BP$6,'Job Master'!$F$12:$J$102,5,0),"")</f>
        <v/>
      </c>
      <c r="BQ107" s="19" t="str">
        <f>IF(BR107&lt;&gt;"",VLOOKUP($P107&amp;" | "&amp;BP$6,'Job Master'!$F$12:$J$102,3,0),"")</f>
        <v/>
      </c>
      <c r="BR107" s="19" t="str">
        <f>IFERROR(IF(AND(BY107&lt;&gt;"",VLOOKUP($P107&amp;" | "&amp;BP$6,'Job Master'!$F$12:$I$102,4,0)&lt;&gt;""),IF(WEEKDAY(BY107-VLOOKUP($P107&amp;" | "&amp;BP$6,'Job Master'!$F$12:$I$102,4,0))&lt;&gt;7,BY107-VLOOKUP($P107&amp;" | "&amp;BP$6,'Job Master'!$F$12:$I$102,4,0),BY107-VLOOKUP($P107&amp;" | "&amp;BP$6,'Job Master'!$F$12:$I$102,4,0)-1),""),"")</f>
        <v/>
      </c>
      <c r="BS107" s="73"/>
      <c r="BT107" s="123" t="str">
        <f t="shared" si="159"/>
        <v/>
      </c>
      <c r="BU107" s="123" t="str">
        <f t="shared" si="160"/>
        <v/>
      </c>
      <c r="BV107" s="97" t="str">
        <f t="shared" ca="1" si="161"/>
        <v/>
      </c>
      <c r="BW107" s="98" t="str">
        <f>IF(BY107&lt;&gt;"",VLOOKUP($P107&amp;" | "&amp;BW$6,'Job Master'!$F$12:$J$102,5,0),"")</f>
        <v/>
      </c>
      <c r="BX107" s="19" t="str">
        <f>IF(BY107&lt;&gt;"",VLOOKUP($P107&amp;" | "&amp;BW$6,'Job Master'!$F$12:$J$102,3,0),"")</f>
        <v/>
      </c>
      <c r="BY107" s="19" t="str">
        <f>IFERROR(IF(AND(CF107&lt;&gt;"",VLOOKUP($P107&amp;" | "&amp;BW$6,'Job Master'!$F$12:$I$102,4,0)&lt;&gt;""),IF(WEEKDAY(CF107-VLOOKUP($P107&amp;" | "&amp;BW$6,'Job Master'!$F$12:$I$102,4,0))&lt;&gt;7,CF107-VLOOKUP($P107&amp;" | "&amp;BW$6,'Job Master'!$F$12:$I$102,4,0),CF107-VLOOKUP($P107&amp;" | "&amp;BW$6,'Job Master'!$F$12:$I$102,4,0)-1),""),"")</f>
        <v/>
      </c>
      <c r="BZ107" s="73"/>
      <c r="CA107" s="123" t="str">
        <f t="shared" si="162"/>
        <v/>
      </c>
      <c r="CB107" s="123" t="str">
        <f t="shared" si="163"/>
        <v/>
      </c>
      <c r="CC107" s="97" t="str">
        <f t="shared" ca="1" si="164"/>
        <v/>
      </c>
      <c r="CD107" s="98" t="str">
        <f>IF(CF107&lt;&gt;"",VLOOKUP($P107&amp;" | "&amp;CD$6,'Job Master'!$F$12:$J$102,5,0),"")</f>
        <v/>
      </c>
      <c r="CE107" s="19" t="str">
        <f>IF(CF107&lt;&gt;"",VLOOKUP($P107&amp;" | "&amp;CD$6,'Job Master'!$F$12:$J$102,3,0),"")</f>
        <v/>
      </c>
      <c r="CF107" s="19" t="str">
        <f>IFERROR(IF(AND(CM107&lt;&gt;"",VLOOKUP($P107&amp;" | "&amp;CD$6,'Job Master'!$F$12:$I$102,4,0)&lt;&gt;""),IF(WEEKDAY(CM107-VLOOKUP($P107&amp;" | "&amp;CD$6,'Job Master'!$F$12:$I$102,4,0))&lt;&gt;7,CM107-VLOOKUP($P107&amp;" | "&amp;CD$6,'Job Master'!$F$12:$I$102,4,0),CM107-VLOOKUP($P107&amp;" | "&amp;CD$6,'Job Master'!$F$12:$I$102,4,0)-1),""),"")</f>
        <v/>
      </c>
      <c r="CG107" s="73"/>
      <c r="CH107" s="123" t="str">
        <f t="shared" si="165"/>
        <v/>
      </c>
      <c r="CI107" s="123" t="str">
        <f t="shared" si="166"/>
        <v/>
      </c>
      <c r="CJ107" s="97" t="str">
        <f t="shared" ca="1" si="167"/>
        <v/>
      </c>
      <c r="CK107" s="98" t="str">
        <f>IF(CM107&lt;&gt;"",VLOOKUP($P107&amp;" | "&amp;CK$6,'Job Master'!$F$12:$J$102,5,0),"")</f>
        <v/>
      </c>
      <c r="CL107" s="19" t="str">
        <f>IF(CM107&lt;&gt;"",VLOOKUP($P107&amp;" | "&amp;CK$6,'Job Master'!$F$12:$J$102,3,0),"")</f>
        <v/>
      </c>
      <c r="CM107" s="19" t="str">
        <f>IFERROR(IF(AND(CT107&lt;&gt;"",VLOOKUP($P107&amp;" | "&amp;CK$6,'Job Master'!$F$12:$I$102,4,0)&lt;&gt;""),IF(WEEKDAY(CT107-VLOOKUP($P107&amp;" | "&amp;CK$6,'Job Master'!$F$12:$I$102,4,0))&lt;&gt;7,CT107-VLOOKUP($P107&amp;" | "&amp;CK$6,'Job Master'!$F$12:$I$102,4,0),CT107-VLOOKUP($P107&amp;" | "&amp;CK$6,'Job Master'!$F$12:$I$102,4,0)-1),""),"")</f>
        <v/>
      </c>
      <c r="CN107" s="73"/>
      <c r="CO107" s="123" t="str">
        <f t="shared" si="168"/>
        <v/>
      </c>
      <c r="CP107" s="123" t="str">
        <f t="shared" si="169"/>
        <v/>
      </c>
      <c r="CQ107" s="97" t="str">
        <f t="shared" ca="1" si="170"/>
        <v/>
      </c>
      <c r="CR107" s="98" t="str">
        <f>IF(CT107&lt;&gt;"",VLOOKUP($P107&amp;" | "&amp;CR$6,'Job Master'!$F$12:$J$102,5,0),"")</f>
        <v/>
      </c>
      <c r="CS107" s="19" t="str">
        <f>IF(CT107&lt;&gt;"",VLOOKUP($P107&amp;" | "&amp;CR$6,'Job Master'!$F$12:$J$102,3,0),"")</f>
        <v/>
      </c>
      <c r="CT107" s="19" t="str">
        <f>IFERROR(IF(AND(DA107&lt;&gt;"",VLOOKUP($P107&amp;" | "&amp;CR$6,'Job Master'!$F$12:$I$102,4,0)&lt;&gt;""),IF(WEEKDAY(DA107-VLOOKUP($P107&amp;" | "&amp;CR$6,'Job Master'!$F$12:$I$102,4,0))&lt;&gt;7,DA107-VLOOKUP($P107&amp;" | "&amp;CR$6,'Job Master'!$F$12:$I$102,4,0),DA107-VLOOKUP($P107&amp;" | "&amp;CR$6,'Job Master'!$F$12:$I$102,4,0)-1),""),"")</f>
        <v/>
      </c>
      <c r="CU107" s="73"/>
      <c r="CV107" s="123" t="str">
        <f t="shared" si="171"/>
        <v/>
      </c>
      <c r="CW107" s="123" t="str">
        <f t="shared" si="172"/>
        <v/>
      </c>
      <c r="CX107" s="97" t="str">
        <f t="shared" ca="1" si="173"/>
        <v/>
      </c>
      <c r="CY107" s="98" t="str">
        <f>IF(DA107&lt;&gt;"",VLOOKUP($P107&amp;" | "&amp;CY$6,'Job Master'!$F$12:$J$102,5,0),"")</f>
        <v/>
      </c>
      <c r="CZ107" s="19" t="str">
        <f>IF(DA107&lt;&gt;"",VLOOKUP($P107&amp;" | "&amp;CY$6,'Job Master'!$F$12:$J$102,3,0),"")</f>
        <v/>
      </c>
      <c r="DA107" s="19" t="str">
        <f>IFERROR(IF(AND(DH107&lt;&gt;"",VLOOKUP($P107&amp;" | "&amp;CY$6,'Job Master'!$F$12:$I$102,4,0)&lt;&gt;""),IF(WEEKDAY(DH107-VLOOKUP($P107&amp;" | "&amp;CY$6,'Job Master'!$F$12:$I$102,4,0))&lt;&gt;7,DH107-VLOOKUP($P107&amp;" | "&amp;CY$6,'Job Master'!$F$12:$I$102,4,0),DH107-VLOOKUP($P107&amp;" | "&amp;CY$6,'Job Master'!$F$12:$I$102,4,0)-1),""),"")</f>
        <v/>
      </c>
      <c r="DB107" s="73"/>
      <c r="DC107" s="123" t="str">
        <f t="shared" si="174"/>
        <v/>
      </c>
      <c r="DD107" s="123" t="str">
        <f t="shared" si="175"/>
        <v/>
      </c>
      <c r="DE107" s="97" t="str">
        <f t="shared" ca="1" si="176"/>
        <v/>
      </c>
      <c r="DF107" s="98" t="str">
        <f>IF(DH107&lt;&gt;"",VLOOKUP($P107&amp;" | "&amp;DF$6,'Job Master'!$F$12:$J$102,5,0),"")</f>
        <v/>
      </c>
      <c r="DG107" s="19" t="str">
        <f>IF(DH107&lt;&gt;"",VLOOKUP($P107&amp;" | "&amp;DF$6,'Job Master'!$F$12:$J$102,3,0),"")</f>
        <v/>
      </c>
      <c r="DH107" s="19" t="str">
        <f>IFERROR(IF(AND(DO107&lt;&gt;"",VLOOKUP($P107&amp;" | "&amp;DF$6,'Job Master'!$F$12:$I$102,4,0)&lt;&gt;""),IF(WEEKDAY(DO107-VLOOKUP($P107&amp;" | "&amp;DF$6,'Job Master'!$F$12:$I$102,4,0))&lt;&gt;7,DO107-VLOOKUP($P107&amp;" | "&amp;DF$6,'Job Master'!$F$12:$I$102,4,0),DO107-VLOOKUP($P107&amp;" | "&amp;DF$6,'Job Master'!$F$12:$I$102,4,0)-1),""),"")</f>
        <v/>
      </c>
      <c r="DI107" s="73"/>
      <c r="DJ107" s="123" t="str">
        <f t="shared" si="177"/>
        <v/>
      </c>
      <c r="DK107" s="123" t="str">
        <f t="shared" si="178"/>
        <v/>
      </c>
      <c r="DL107" s="97" t="str">
        <f t="shared" ca="1" si="179"/>
        <v/>
      </c>
      <c r="DM107" s="98" t="str">
        <f>IF(DO107&lt;&gt;"",VLOOKUP($P107&amp;" | "&amp;DM$6,'Job Master'!$F$12:$J$102,5,0),"")</f>
        <v/>
      </c>
      <c r="DN107" s="19" t="str">
        <f>IF(DO107&lt;&gt;"",VLOOKUP($P107&amp;" | "&amp;DM$6,'Job Master'!$F$12:$J$102,3,0),"")</f>
        <v/>
      </c>
      <c r="DO107" s="19" t="str">
        <f>IFERROR(IF(AND(DT107&lt;&gt;"",VLOOKUP($P107&amp;" | "&amp;DM$6,'Job Master'!$F$12:$I$102,4,0)&lt;&gt;""),IF(WEEKDAY(DT107-VLOOKUP($P107&amp;" | "&amp;DM$6,'Job Master'!$F$12:$I$102,4,0))&lt;&gt;7,DT107-VLOOKUP($P107&amp;" | "&amp;DM$6,'Job Master'!$F$12:$I$102,4,0),DT107-VLOOKUP($P107&amp;" | "&amp;DM$6,'Job Master'!$F$12:$I$102,4,0)-1),""),"")</f>
        <v/>
      </c>
      <c r="DP107" s="73"/>
      <c r="DQ107" s="123" t="str">
        <f t="shared" si="180"/>
        <v/>
      </c>
      <c r="DR107" s="123" t="str">
        <f t="shared" si="181"/>
        <v/>
      </c>
      <c r="DS107" s="97" t="str">
        <f t="shared" ca="1" si="182"/>
        <v/>
      </c>
      <c r="DT107" s="70" t="str">
        <f t="shared" si="183"/>
        <v/>
      </c>
      <c r="DU107" s="90"/>
      <c r="DV107" s="123" t="str">
        <f t="shared" si="184"/>
        <v/>
      </c>
      <c r="DW107" s="123" t="str">
        <f t="shared" si="185"/>
        <v/>
      </c>
      <c r="DX107" s="132" t="str">
        <f t="shared" ref="DX107" ca="1" si="230">IF(DT107&lt;&gt;"",IF(WEEKNUM(DT107)=WEEKNUM(TODAY()),"This Week",IF(WEEKNUM(DT107)=WEEKNUM(TODAY())+1,"Next Week",IF(WEEKNUM(DT107)=WEEKNUM(TODAY())-1,"Previous Week",""))),"")</f>
        <v/>
      </c>
      <c r="DY107" s="134" t="str">
        <f t="shared" si="187"/>
        <v/>
      </c>
      <c r="DZ107" s="95"/>
      <c r="EB107" s="8" t="str">
        <f t="shared" si="193"/>
        <v/>
      </c>
      <c r="EC107" s="8" t="str">
        <f>IF(O107&lt;&gt;"",VLOOKUP(O107,'Job Master'!$N$12:$O$18,2,0),"")</f>
        <v/>
      </c>
      <c r="ED107" s="8">
        <f t="shared" si="194"/>
        <v>19.5</v>
      </c>
      <c r="EE107" s="8">
        <f t="shared" si="195"/>
        <v>6</v>
      </c>
      <c r="EF107" s="8">
        <f t="shared" si="196"/>
        <v>-562.5</v>
      </c>
      <c r="EG107" s="8" t="str">
        <f t="shared" si="197"/>
        <v/>
      </c>
      <c r="EH107" s="8" t="str">
        <f t="shared" si="198"/>
        <v/>
      </c>
    </row>
    <row r="108" spans="2:138" x14ac:dyDescent="0.3">
      <c r="B108" s="112"/>
      <c r="C108" s="27"/>
      <c r="D108" s="7" t="str">
        <f t="shared" si="135"/>
        <v/>
      </c>
      <c r="E108" s="25"/>
      <c r="F108" s="7" t="str">
        <f t="shared" si="135"/>
        <v/>
      </c>
      <c r="G108" s="25"/>
      <c r="H108" s="7" t="str">
        <f t="shared" si="135"/>
        <v/>
      </c>
      <c r="I108" s="25"/>
      <c r="J108" s="7" t="str">
        <f t="shared" si="135"/>
        <v/>
      </c>
      <c r="K108" s="25"/>
      <c r="L108" s="7" t="str">
        <f t="shared" si="136"/>
        <v/>
      </c>
      <c r="M108" s="25"/>
      <c r="N108" s="7" t="str">
        <f t="shared" si="137"/>
        <v/>
      </c>
      <c r="O108" s="81"/>
      <c r="P108" s="81" t="str">
        <f t="shared" si="138"/>
        <v/>
      </c>
      <c r="Q108" s="81"/>
      <c r="R108" s="7" t="str">
        <f t="shared" si="139"/>
        <v/>
      </c>
      <c r="S108" s="25"/>
      <c r="T108" s="7" t="str">
        <f t="shared" si="140"/>
        <v/>
      </c>
      <c r="U108" s="25"/>
      <c r="V108" s="7" t="str">
        <f t="shared" si="141"/>
        <v/>
      </c>
      <c r="W108" s="25"/>
      <c r="X108" s="7" t="str">
        <f t="shared" si="142"/>
        <v/>
      </c>
      <c r="Y108" s="18" t="str">
        <f t="shared" si="143"/>
        <v/>
      </c>
      <c r="Z108" s="7" t="str">
        <f t="shared" si="144"/>
        <v/>
      </c>
      <c r="AA108" s="18" t="str">
        <f t="shared" si="145"/>
        <v/>
      </c>
      <c r="AB108" s="19" t="str">
        <f t="shared" si="146"/>
        <v/>
      </c>
      <c r="AC108" s="26"/>
      <c r="AD108" s="26"/>
      <c r="AE108" s="25"/>
      <c r="AF108" s="26"/>
      <c r="AG108" s="25"/>
      <c r="AH108" s="25"/>
      <c r="AI108" s="18" t="str">
        <f t="shared" si="209"/>
        <v/>
      </c>
      <c r="AJ108" s="25"/>
      <c r="AK108" s="18" t="str">
        <f t="shared" si="210"/>
        <v/>
      </c>
      <c r="AL108" s="79"/>
      <c r="AM108" s="126" t="str">
        <f t="shared" si="211"/>
        <v/>
      </c>
      <c r="AN108" s="128" t="str">
        <f>IF(AP108&lt;&gt;"",VLOOKUP($P108&amp;" | "&amp;AN$6,'Job Master'!$F$12:$J$102,5,0),"")</f>
        <v/>
      </c>
      <c r="AO108" s="19" t="str">
        <f>IF(AP108&lt;&gt;"",VLOOKUP($P108&amp;" | "&amp;AN$6,'Job Master'!$F$12:$J$102,3,0),"")</f>
        <v/>
      </c>
      <c r="AP108" s="19" t="str">
        <f>IFERROR(IF(AND(AW108&lt;&gt;"",VLOOKUP($P108&amp;" | "&amp;AN$6,'Job Master'!$F$12:$I$102,4,0)&lt;&gt;""),IF(WEEKDAY(AW108-VLOOKUP($P108&amp;" | "&amp;AN$6,'Job Master'!$F$12:$I$102,4,0))&lt;&gt;7,AW108-VLOOKUP($P108&amp;" | "&amp;AN$6,'Job Master'!$F$12:$I$102,4,0),AW108-VLOOKUP($P108&amp;" | "&amp;AN$6,'Job Master'!$F$12:$I$102,4,0)-1),""),"")</f>
        <v/>
      </c>
      <c r="AQ108" s="73"/>
      <c r="AR108" s="123" t="str">
        <f t="shared" si="147"/>
        <v/>
      </c>
      <c r="AS108" s="123" t="str">
        <f t="shared" si="148"/>
        <v/>
      </c>
      <c r="AT108" s="97" t="str">
        <f t="shared" ca="1" si="149"/>
        <v/>
      </c>
      <c r="AU108" s="98" t="str">
        <f>IF(AW108&lt;&gt;"",VLOOKUP($P108&amp;" | "&amp;AU$6,'Job Master'!$F$12:$J$102,5,0),"")</f>
        <v/>
      </c>
      <c r="AV108" s="19" t="str">
        <f>IF(AW108&lt;&gt;"",VLOOKUP($P108&amp;" | "&amp;AU$6,'Job Master'!$F$12:$J$102,3,0),"")</f>
        <v/>
      </c>
      <c r="AW108" s="19" t="str">
        <f>IFERROR(IF(AND(BD108&lt;&gt;"",VLOOKUP($P108&amp;" | "&amp;AU$6,'Job Master'!$F$12:$I$102,4,0)&lt;&gt;""),IF(WEEKDAY(BD108-VLOOKUP($P108&amp;" | "&amp;AU$6,'Job Master'!$F$12:$I$102,4,0))&lt;&gt;7,BD108-VLOOKUP($P108&amp;" | "&amp;AU$6,'Job Master'!$F$12:$I$102,4,0),BD108-VLOOKUP($P108&amp;" | "&amp;AU$6,'Job Master'!$F$12:$I$102,4,0)-1),""),"")</f>
        <v/>
      </c>
      <c r="AX108" s="73"/>
      <c r="AY108" s="123" t="str">
        <f t="shared" si="150"/>
        <v/>
      </c>
      <c r="AZ108" s="123" t="str">
        <f t="shared" si="151"/>
        <v/>
      </c>
      <c r="BA108" s="97" t="str">
        <f t="shared" ca="1" si="152"/>
        <v/>
      </c>
      <c r="BB108" s="98" t="str">
        <f>IF(BD108&lt;&gt;"",VLOOKUP($P108&amp;" | "&amp;BB$6,'Job Master'!$F$12:$J$102,5,0),"")</f>
        <v/>
      </c>
      <c r="BC108" s="19" t="str">
        <f>IF(BD108&lt;&gt;"",VLOOKUP($P108&amp;" | "&amp;BB$6,'Job Master'!$F$12:$J$102,3,0),"")</f>
        <v/>
      </c>
      <c r="BD108" s="19" t="str">
        <f>IFERROR(IF(AND(BK108&lt;&gt;"",VLOOKUP($P108&amp;" | "&amp;BB$6,'Job Master'!$F$12:$I$102,4,0)&lt;&gt;""),IF(WEEKDAY(BK108-VLOOKUP($P108&amp;" | "&amp;BB$6,'Job Master'!$F$12:$I$102,4,0))&lt;&gt;7,BK108-VLOOKUP($P108&amp;" | "&amp;BB$6,'Job Master'!$F$12:$I$102,4,0),BK108-VLOOKUP($P108&amp;" | "&amp;BB$6,'Job Master'!$F$12:$I$102,4,0)-1),""),"")</f>
        <v/>
      </c>
      <c r="BE108" s="73"/>
      <c r="BF108" s="123" t="str">
        <f t="shared" si="153"/>
        <v/>
      </c>
      <c r="BG108" s="123" t="str">
        <f t="shared" si="154"/>
        <v/>
      </c>
      <c r="BH108" s="97" t="str">
        <f t="shared" ca="1" si="155"/>
        <v/>
      </c>
      <c r="BI108" s="98" t="str">
        <f>IF(BK108&lt;&gt;"",VLOOKUP($P108&amp;" | "&amp;BI$6,'Job Master'!$F$12:$J$102,5,0),"")</f>
        <v/>
      </c>
      <c r="BJ108" s="19" t="str">
        <f>IF(BK108&lt;&gt;"",VLOOKUP($P108&amp;" | "&amp;BI$6,'Job Master'!$F$12:$J$102,3,0),"")</f>
        <v/>
      </c>
      <c r="BK108" s="19" t="str">
        <f>IFERROR(IF(AND(BR108&lt;&gt;"",VLOOKUP($P108&amp;" | "&amp;BI$6,'Job Master'!$F$12:$I$102,4,0)&lt;&gt;""),IF(WEEKDAY(BR108-VLOOKUP($P108&amp;" | "&amp;BI$6,'Job Master'!$F$12:$I$102,4,0))&lt;&gt;7,BR108-VLOOKUP($P108&amp;" | "&amp;BI$6,'Job Master'!$F$12:$I$102,4,0),BR108-VLOOKUP($P108&amp;" | "&amp;BI$6,'Job Master'!$F$12:$I$102,4,0)-1),""),"")</f>
        <v/>
      </c>
      <c r="BL108" s="73"/>
      <c r="BM108" s="123" t="str">
        <f t="shared" si="156"/>
        <v/>
      </c>
      <c r="BN108" s="123" t="str">
        <f t="shared" si="157"/>
        <v/>
      </c>
      <c r="BO108" s="97" t="str">
        <f t="shared" ca="1" si="158"/>
        <v/>
      </c>
      <c r="BP108" s="98" t="str">
        <f>IF(BR108&lt;&gt;"",VLOOKUP($P108&amp;" | "&amp;BP$6,'Job Master'!$F$12:$J$102,5,0),"")</f>
        <v/>
      </c>
      <c r="BQ108" s="19" t="str">
        <f>IF(BR108&lt;&gt;"",VLOOKUP($P108&amp;" | "&amp;BP$6,'Job Master'!$F$12:$J$102,3,0),"")</f>
        <v/>
      </c>
      <c r="BR108" s="19" t="str">
        <f>IFERROR(IF(AND(BY108&lt;&gt;"",VLOOKUP($P108&amp;" | "&amp;BP$6,'Job Master'!$F$12:$I$102,4,0)&lt;&gt;""),IF(WEEKDAY(BY108-VLOOKUP($P108&amp;" | "&amp;BP$6,'Job Master'!$F$12:$I$102,4,0))&lt;&gt;7,BY108-VLOOKUP($P108&amp;" | "&amp;BP$6,'Job Master'!$F$12:$I$102,4,0),BY108-VLOOKUP($P108&amp;" | "&amp;BP$6,'Job Master'!$F$12:$I$102,4,0)-1),""),"")</f>
        <v/>
      </c>
      <c r="BS108" s="73"/>
      <c r="BT108" s="123" t="str">
        <f t="shared" si="159"/>
        <v/>
      </c>
      <c r="BU108" s="123" t="str">
        <f t="shared" si="160"/>
        <v/>
      </c>
      <c r="BV108" s="97" t="str">
        <f t="shared" ca="1" si="161"/>
        <v/>
      </c>
      <c r="BW108" s="98" t="str">
        <f>IF(BY108&lt;&gt;"",VLOOKUP($P108&amp;" | "&amp;BW$6,'Job Master'!$F$12:$J$102,5,0),"")</f>
        <v/>
      </c>
      <c r="BX108" s="19" t="str">
        <f>IF(BY108&lt;&gt;"",VLOOKUP($P108&amp;" | "&amp;BW$6,'Job Master'!$F$12:$J$102,3,0),"")</f>
        <v/>
      </c>
      <c r="BY108" s="19" t="str">
        <f>IFERROR(IF(AND(CF108&lt;&gt;"",VLOOKUP($P108&amp;" | "&amp;BW$6,'Job Master'!$F$12:$I$102,4,0)&lt;&gt;""),IF(WEEKDAY(CF108-VLOOKUP($P108&amp;" | "&amp;BW$6,'Job Master'!$F$12:$I$102,4,0))&lt;&gt;7,CF108-VLOOKUP($P108&amp;" | "&amp;BW$6,'Job Master'!$F$12:$I$102,4,0),CF108-VLOOKUP($P108&amp;" | "&amp;BW$6,'Job Master'!$F$12:$I$102,4,0)-1),""),"")</f>
        <v/>
      </c>
      <c r="BZ108" s="73"/>
      <c r="CA108" s="123" t="str">
        <f t="shared" si="162"/>
        <v/>
      </c>
      <c r="CB108" s="123" t="str">
        <f t="shared" si="163"/>
        <v/>
      </c>
      <c r="CC108" s="97" t="str">
        <f t="shared" ca="1" si="164"/>
        <v/>
      </c>
      <c r="CD108" s="98" t="str">
        <f>IF(CF108&lt;&gt;"",VLOOKUP($P108&amp;" | "&amp;CD$6,'Job Master'!$F$12:$J$102,5,0),"")</f>
        <v/>
      </c>
      <c r="CE108" s="19" t="str">
        <f>IF(CF108&lt;&gt;"",VLOOKUP($P108&amp;" | "&amp;CD$6,'Job Master'!$F$12:$J$102,3,0),"")</f>
        <v/>
      </c>
      <c r="CF108" s="19" t="str">
        <f>IFERROR(IF(AND(CM108&lt;&gt;"",VLOOKUP($P108&amp;" | "&amp;CD$6,'Job Master'!$F$12:$I$102,4,0)&lt;&gt;""),IF(WEEKDAY(CM108-VLOOKUP($P108&amp;" | "&amp;CD$6,'Job Master'!$F$12:$I$102,4,0))&lt;&gt;7,CM108-VLOOKUP($P108&amp;" | "&amp;CD$6,'Job Master'!$F$12:$I$102,4,0),CM108-VLOOKUP($P108&amp;" | "&amp;CD$6,'Job Master'!$F$12:$I$102,4,0)-1),""),"")</f>
        <v/>
      </c>
      <c r="CG108" s="73"/>
      <c r="CH108" s="123" t="str">
        <f t="shared" si="165"/>
        <v/>
      </c>
      <c r="CI108" s="123" t="str">
        <f t="shared" si="166"/>
        <v/>
      </c>
      <c r="CJ108" s="97" t="str">
        <f t="shared" ca="1" si="167"/>
        <v/>
      </c>
      <c r="CK108" s="98" t="str">
        <f>IF(CM108&lt;&gt;"",VLOOKUP($P108&amp;" | "&amp;CK$6,'Job Master'!$F$12:$J$102,5,0),"")</f>
        <v/>
      </c>
      <c r="CL108" s="19" t="str">
        <f>IF(CM108&lt;&gt;"",VLOOKUP($P108&amp;" | "&amp;CK$6,'Job Master'!$F$12:$J$102,3,0),"")</f>
        <v/>
      </c>
      <c r="CM108" s="19" t="str">
        <f>IFERROR(IF(AND(CT108&lt;&gt;"",VLOOKUP($P108&amp;" | "&amp;CK$6,'Job Master'!$F$12:$I$102,4,0)&lt;&gt;""),IF(WEEKDAY(CT108-VLOOKUP($P108&amp;" | "&amp;CK$6,'Job Master'!$F$12:$I$102,4,0))&lt;&gt;7,CT108-VLOOKUP($P108&amp;" | "&amp;CK$6,'Job Master'!$F$12:$I$102,4,0),CT108-VLOOKUP($P108&amp;" | "&amp;CK$6,'Job Master'!$F$12:$I$102,4,0)-1),""),"")</f>
        <v/>
      </c>
      <c r="CN108" s="73"/>
      <c r="CO108" s="123" t="str">
        <f t="shared" si="168"/>
        <v/>
      </c>
      <c r="CP108" s="123" t="str">
        <f t="shared" si="169"/>
        <v/>
      </c>
      <c r="CQ108" s="97" t="str">
        <f t="shared" ca="1" si="170"/>
        <v/>
      </c>
      <c r="CR108" s="98" t="str">
        <f>IF(CT108&lt;&gt;"",VLOOKUP($P108&amp;" | "&amp;CR$6,'Job Master'!$F$12:$J$102,5,0),"")</f>
        <v/>
      </c>
      <c r="CS108" s="19" t="str">
        <f>IF(CT108&lt;&gt;"",VLOOKUP($P108&amp;" | "&amp;CR$6,'Job Master'!$F$12:$J$102,3,0),"")</f>
        <v/>
      </c>
      <c r="CT108" s="19" t="str">
        <f>IFERROR(IF(AND(DA108&lt;&gt;"",VLOOKUP($P108&amp;" | "&amp;CR$6,'Job Master'!$F$12:$I$102,4,0)&lt;&gt;""),IF(WEEKDAY(DA108-VLOOKUP($P108&amp;" | "&amp;CR$6,'Job Master'!$F$12:$I$102,4,0))&lt;&gt;7,DA108-VLOOKUP($P108&amp;" | "&amp;CR$6,'Job Master'!$F$12:$I$102,4,0),DA108-VLOOKUP($P108&amp;" | "&amp;CR$6,'Job Master'!$F$12:$I$102,4,0)-1),""),"")</f>
        <v/>
      </c>
      <c r="CU108" s="73"/>
      <c r="CV108" s="123" t="str">
        <f t="shared" si="171"/>
        <v/>
      </c>
      <c r="CW108" s="123" t="str">
        <f t="shared" si="172"/>
        <v/>
      </c>
      <c r="CX108" s="97" t="str">
        <f t="shared" ca="1" si="173"/>
        <v/>
      </c>
      <c r="CY108" s="98" t="str">
        <f>IF(DA108&lt;&gt;"",VLOOKUP($P108&amp;" | "&amp;CY$6,'Job Master'!$F$12:$J$102,5,0),"")</f>
        <v/>
      </c>
      <c r="CZ108" s="19" t="str">
        <f>IF(DA108&lt;&gt;"",VLOOKUP($P108&amp;" | "&amp;CY$6,'Job Master'!$F$12:$J$102,3,0),"")</f>
        <v/>
      </c>
      <c r="DA108" s="19" t="str">
        <f>IFERROR(IF(AND(DH108&lt;&gt;"",VLOOKUP($P108&amp;" | "&amp;CY$6,'Job Master'!$F$12:$I$102,4,0)&lt;&gt;""),IF(WEEKDAY(DH108-VLOOKUP($P108&amp;" | "&amp;CY$6,'Job Master'!$F$12:$I$102,4,0))&lt;&gt;7,DH108-VLOOKUP($P108&amp;" | "&amp;CY$6,'Job Master'!$F$12:$I$102,4,0),DH108-VLOOKUP($P108&amp;" | "&amp;CY$6,'Job Master'!$F$12:$I$102,4,0)-1),""),"")</f>
        <v/>
      </c>
      <c r="DB108" s="73"/>
      <c r="DC108" s="123" t="str">
        <f t="shared" si="174"/>
        <v/>
      </c>
      <c r="DD108" s="123" t="str">
        <f t="shared" si="175"/>
        <v/>
      </c>
      <c r="DE108" s="97" t="str">
        <f t="shared" ca="1" si="176"/>
        <v/>
      </c>
      <c r="DF108" s="98" t="str">
        <f>IF(DH108&lt;&gt;"",VLOOKUP($P108&amp;" | "&amp;DF$6,'Job Master'!$F$12:$J$102,5,0),"")</f>
        <v/>
      </c>
      <c r="DG108" s="19" t="str">
        <f>IF(DH108&lt;&gt;"",VLOOKUP($P108&amp;" | "&amp;DF$6,'Job Master'!$F$12:$J$102,3,0),"")</f>
        <v/>
      </c>
      <c r="DH108" s="19" t="str">
        <f>IFERROR(IF(AND(DO108&lt;&gt;"",VLOOKUP($P108&amp;" | "&amp;DF$6,'Job Master'!$F$12:$I$102,4,0)&lt;&gt;""),IF(WEEKDAY(DO108-VLOOKUP($P108&amp;" | "&amp;DF$6,'Job Master'!$F$12:$I$102,4,0))&lt;&gt;7,DO108-VLOOKUP($P108&amp;" | "&amp;DF$6,'Job Master'!$F$12:$I$102,4,0),DO108-VLOOKUP($P108&amp;" | "&amp;DF$6,'Job Master'!$F$12:$I$102,4,0)-1),""),"")</f>
        <v/>
      </c>
      <c r="DI108" s="73"/>
      <c r="DJ108" s="123" t="str">
        <f t="shared" si="177"/>
        <v/>
      </c>
      <c r="DK108" s="123" t="str">
        <f t="shared" si="178"/>
        <v/>
      </c>
      <c r="DL108" s="97" t="str">
        <f t="shared" ca="1" si="179"/>
        <v/>
      </c>
      <c r="DM108" s="98" t="str">
        <f>IF(DO108&lt;&gt;"",VLOOKUP($P108&amp;" | "&amp;DM$6,'Job Master'!$F$12:$J$102,5,0),"")</f>
        <v/>
      </c>
      <c r="DN108" s="19" t="str">
        <f>IF(DO108&lt;&gt;"",VLOOKUP($P108&amp;" | "&amp;DM$6,'Job Master'!$F$12:$J$102,3,0),"")</f>
        <v/>
      </c>
      <c r="DO108" s="19" t="str">
        <f>IFERROR(IF(AND(DT108&lt;&gt;"",VLOOKUP($P108&amp;" | "&amp;DM$6,'Job Master'!$F$12:$I$102,4,0)&lt;&gt;""),IF(WEEKDAY(DT108-VLOOKUP($P108&amp;" | "&amp;DM$6,'Job Master'!$F$12:$I$102,4,0))&lt;&gt;7,DT108-VLOOKUP($P108&amp;" | "&amp;DM$6,'Job Master'!$F$12:$I$102,4,0),DT108-VLOOKUP($P108&amp;" | "&amp;DM$6,'Job Master'!$F$12:$I$102,4,0)-1),""),"")</f>
        <v/>
      </c>
      <c r="DP108" s="73"/>
      <c r="DQ108" s="123" t="str">
        <f t="shared" si="180"/>
        <v/>
      </c>
      <c r="DR108" s="123" t="str">
        <f t="shared" si="181"/>
        <v/>
      </c>
      <c r="DS108" s="97" t="str">
        <f t="shared" ca="1" si="182"/>
        <v/>
      </c>
      <c r="DT108" s="70" t="str">
        <f t="shared" si="183"/>
        <v/>
      </c>
      <c r="DU108" s="90"/>
      <c r="DV108" s="123" t="str">
        <f t="shared" si="184"/>
        <v/>
      </c>
      <c r="DW108" s="123" t="str">
        <f t="shared" si="185"/>
        <v/>
      </c>
      <c r="DX108" s="132" t="str">
        <f t="shared" ref="DX108" ca="1" si="231">IF(DT108&lt;&gt;"",IF(WEEKNUM(DT108)=WEEKNUM(TODAY()),"This Week",IF(WEEKNUM(DT108)=WEEKNUM(TODAY())+1,"Next Week",IF(WEEKNUM(DT108)=WEEKNUM(TODAY())-1,"Previous Week",""))),"")</f>
        <v/>
      </c>
      <c r="DY108" s="134" t="str">
        <f t="shared" si="187"/>
        <v/>
      </c>
      <c r="DZ108" s="95"/>
      <c r="EB108" s="8" t="str">
        <f t="shared" si="193"/>
        <v/>
      </c>
      <c r="EC108" s="8" t="str">
        <f>IF(O108&lt;&gt;"",VLOOKUP(O108,'Job Master'!$N$12:$O$18,2,0),"")</f>
        <v/>
      </c>
      <c r="ED108" s="8">
        <f t="shared" si="194"/>
        <v>19.5</v>
      </c>
      <c r="EE108" s="8">
        <f t="shared" si="195"/>
        <v>6</v>
      </c>
      <c r="EF108" s="8">
        <f t="shared" si="196"/>
        <v>-568.5</v>
      </c>
      <c r="EG108" s="8" t="str">
        <f t="shared" si="197"/>
        <v/>
      </c>
      <c r="EH108" s="8" t="str">
        <f t="shared" si="198"/>
        <v/>
      </c>
    </row>
    <row r="109" spans="2:138" x14ac:dyDescent="0.3">
      <c r="B109" s="112"/>
      <c r="C109" s="27"/>
      <c r="D109" s="7" t="str">
        <f t="shared" si="135"/>
        <v/>
      </c>
      <c r="E109" s="25"/>
      <c r="F109" s="7" t="str">
        <f t="shared" si="135"/>
        <v/>
      </c>
      <c r="G109" s="25"/>
      <c r="H109" s="7" t="str">
        <f t="shared" si="135"/>
        <v/>
      </c>
      <c r="I109" s="25"/>
      <c r="J109" s="7" t="str">
        <f t="shared" si="135"/>
        <v/>
      </c>
      <c r="K109" s="25"/>
      <c r="L109" s="7" t="str">
        <f t="shared" si="136"/>
        <v/>
      </c>
      <c r="M109" s="25"/>
      <c r="N109" s="7" t="str">
        <f t="shared" si="137"/>
        <v/>
      </c>
      <c r="O109" s="81"/>
      <c r="P109" s="81" t="str">
        <f t="shared" si="138"/>
        <v/>
      </c>
      <c r="Q109" s="81"/>
      <c r="R109" s="7" t="str">
        <f t="shared" si="139"/>
        <v/>
      </c>
      <c r="S109" s="25"/>
      <c r="T109" s="7" t="str">
        <f t="shared" si="140"/>
        <v/>
      </c>
      <c r="U109" s="25"/>
      <c r="V109" s="7" t="str">
        <f t="shared" si="141"/>
        <v/>
      </c>
      <c r="W109" s="25"/>
      <c r="X109" s="7" t="str">
        <f t="shared" si="142"/>
        <v/>
      </c>
      <c r="Y109" s="18" t="str">
        <f t="shared" si="143"/>
        <v/>
      </c>
      <c r="Z109" s="7" t="str">
        <f t="shared" si="144"/>
        <v/>
      </c>
      <c r="AA109" s="18" t="str">
        <f t="shared" si="145"/>
        <v/>
      </c>
      <c r="AB109" s="19" t="str">
        <f t="shared" si="146"/>
        <v/>
      </c>
      <c r="AC109" s="26"/>
      <c r="AD109" s="26"/>
      <c r="AE109" s="25"/>
      <c r="AF109" s="26"/>
      <c r="AG109" s="25"/>
      <c r="AH109" s="25"/>
      <c r="AI109" s="18" t="str">
        <f t="shared" si="209"/>
        <v/>
      </c>
      <c r="AJ109" s="25"/>
      <c r="AK109" s="18" t="str">
        <f t="shared" si="210"/>
        <v/>
      </c>
      <c r="AL109" s="79"/>
      <c r="AM109" s="126" t="str">
        <f t="shared" si="211"/>
        <v/>
      </c>
      <c r="AN109" s="128" t="str">
        <f>IF(AP109&lt;&gt;"",VLOOKUP($P109&amp;" | "&amp;AN$6,'Job Master'!$F$12:$J$102,5,0),"")</f>
        <v/>
      </c>
      <c r="AO109" s="19" t="str">
        <f>IF(AP109&lt;&gt;"",VLOOKUP($P109&amp;" | "&amp;AN$6,'Job Master'!$F$12:$J$102,3,0),"")</f>
        <v/>
      </c>
      <c r="AP109" s="19" t="str">
        <f>IFERROR(IF(AND(AW109&lt;&gt;"",VLOOKUP($P109&amp;" | "&amp;AN$6,'Job Master'!$F$12:$I$102,4,0)&lt;&gt;""),IF(WEEKDAY(AW109-VLOOKUP($P109&amp;" | "&amp;AN$6,'Job Master'!$F$12:$I$102,4,0))&lt;&gt;7,AW109-VLOOKUP($P109&amp;" | "&amp;AN$6,'Job Master'!$F$12:$I$102,4,0),AW109-VLOOKUP($P109&amp;" | "&amp;AN$6,'Job Master'!$F$12:$I$102,4,0)-1),""),"")</f>
        <v/>
      </c>
      <c r="AQ109" s="73"/>
      <c r="AR109" s="123" t="str">
        <f t="shared" si="147"/>
        <v/>
      </c>
      <c r="AS109" s="123" t="str">
        <f t="shared" si="148"/>
        <v/>
      </c>
      <c r="AT109" s="97" t="str">
        <f t="shared" ca="1" si="149"/>
        <v/>
      </c>
      <c r="AU109" s="98" t="str">
        <f>IF(AW109&lt;&gt;"",VLOOKUP($P109&amp;" | "&amp;AU$6,'Job Master'!$F$12:$J$102,5,0),"")</f>
        <v/>
      </c>
      <c r="AV109" s="19" t="str">
        <f>IF(AW109&lt;&gt;"",VLOOKUP($P109&amp;" | "&amp;AU$6,'Job Master'!$F$12:$J$102,3,0),"")</f>
        <v/>
      </c>
      <c r="AW109" s="19" t="str">
        <f>IFERROR(IF(AND(BD109&lt;&gt;"",VLOOKUP($P109&amp;" | "&amp;AU$6,'Job Master'!$F$12:$I$102,4,0)&lt;&gt;""),IF(WEEKDAY(BD109-VLOOKUP($P109&amp;" | "&amp;AU$6,'Job Master'!$F$12:$I$102,4,0))&lt;&gt;7,BD109-VLOOKUP($P109&amp;" | "&amp;AU$6,'Job Master'!$F$12:$I$102,4,0),BD109-VLOOKUP($P109&amp;" | "&amp;AU$6,'Job Master'!$F$12:$I$102,4,0)-1),""),"")</f>
        <v/>
      </c>
      <c r="AX109" s="73"/>
      <c r="AY109" s="123" t="str">
        <f t="shared" si="150"/>
        <v/>
      </c>
      <c r="AZ109" s="123" t="str">
        <f t="shared" si="151"/>
        <v/>
      </c>
      <c r="BA109" s="97" t="str">
        <f t="shared" ca="1" si="152"/>
        <v/>
      </c>
      <c r="BB109" s="98" t="str">
        <f>IF(BD109&lt;&gt;"",VLOOKUP($P109&amp;" | "&amp;BB$6,'Job Master'!$F$12:$J$102,5,0),"")</f>
        <v/>
      </c>
      <c r="BC109" s="19" t="str">
        <f>IF(BD109&lt;&gt;"",VLOOKUP($P109&amp;" | "&amp;BB$6,'Job Master'!$F$12:$J$102,3,0),"")</f>
        <v/>
      </c>
      <c r="BD109" s="19" t="str">
        <f>IFERROR(IF(AND(BK109&lt;&gt;"",VLOOKUP($P109&amp;" | "&amp;BB$6,'Job Master'!$F$12:$I$102,4,0)&lt;&gt;""),IF(WEEKDAY(BK109-VLOOKUP($P109&amp;" | "&amp;BB$6,'Job Master'!$F$12:$I$102,4,0))&lt;&gt;7,BK109-VLOOKUP($P109&amp;" | "&amp;BB$6,'Job Master'!$F$12:$I$102,4,0),BK109-VLOOKUP($P109&amp;" | "&amp;BB$6,'Job Master'!$F$12:$I$102,4,0)-1),""),"")</f>
        <v/>
      </c>
      <c r="BE109" s="73"/>
      <c r="BF109" s="123" t="str">
        <f t="shared" si="153"/>
        <v/>
      </c>
      <c r="BG109" s="123" t="str">
        <f t="shared" si="154"/>
        <v/>
      </c>
      <c r="BH109" s="97" t="str">
        <f t="shared" ca="1" si="155"/>
        <v/>
      </c>
      <c r="BI109" s="98" t="str">
        <f>IF(BK109&lt;&gt;"",VLOOKUP($P109&amp;" | "&amp;BI$6,'Job Master'!$F$12:$J$102,5,0),"")</f>
        <v/>
      </c>
      <c r="BJ109" s="19" t="str">
        <f>IF(BK109&lt;&gt;"",VLOOKUP($P109&amp;" | "&amp;BI$6,'Job Master'!$F$12:$J$102,3,0),"")</f>
        <v/>
      </c>
      <c r="BK109" s="19" t="str">
        <f>IFERROR(IF(AND(BR109&lt;&gt;"",VLOOKUP($P109&amp;" | "&amp;BI$6,'Job Master'!$F$12:$I$102,4,0)&lt;&gt;""),IF(WEEKDAY(BR109-VLOOKUP($P109&amp;" | "&amp;BI$6,'Job Master'!$F$12:$I$102,4,0))&lt;&gt;7,BR109-VLOOKUP($P109&amp;" | "&amp;BI$6,'Job Master'!$F$12:$I$102,4,0),BR109-VLOOKUP($P109&amp;" | "&amp;BI$6,'Job Master'!$F$12:$I$102,4,0)-1),""),"")</f>
        <v/>
      </c>
      <c r="BL109" s="73"/>
      <c r="BM109" s="123" t="str">
        <f t="shared" si="156"/>
        <v/>
      </c>
      <c r="BN109" s="123" t="str">
        <f t="shared" si="157"/>
        <v/>
      </c>
      <c r="BO109" s="97" t="str">
        <f t="shared" ca="1" si="158"/>
        <v/>
      </c>
      <c r="BP109" s="98" t="str">
        <f>IF(BR109&lt;&gt;"",VLOOKUP($P109&amp;" | "&amp;BP$6,'Job Master'!$F$12:$J$102,5,0),"")</f>
        <v/>
      </c>
      <c r="BQ109" s="19" t="str">
        <f>IF(BR109&lt;&gt;"",VLOOKUP($P109&amp;" | "&amp;BP$6,'Job Master'!$F$12:$J$102,3,0),"")</f>
        <v/>
      </c>
      <c r="BR109" s="19" t="str">
        <f>IFERROR(IF(AND(BY109&lt;&gt;"",VLOOKUP($P109&amp;" | "&amp;BP$6,'Job Master'!$F$12:$I$102,4,0)&lt;&gt;""),IF(WEEKDAY(BY109-VLOOKUP($P109&amp;" | "&amp;BP$6,'Job Master'!$F$12:$I$102,4,0))&lt;&gt;7,BY109-VLOOKUP($P109&amp;" | "&amp;BP$6,'Job Master'!$F$12:$I$102,4,0),BY109-VLOOKUP($P109&amp;" | "&amp;BP$6,'Job Master'!$F$12:$I$102,4,0)-1),""),"")</f>
        <v/>
      </c>
      <c r="BS109" s="73"/>
      <c r="BT109" s="123" t="str">
        <f t="shared" si="159"/>
        <v/>
      </c>
      <c r="BU109" s="123" t="str">
        <f t="shared" si="160"/>
        <v/>
      </c>
      <c r="BV109" s="97" t="str">
        <f t="shared" ca="1" si="161"/>
        <v/>
      </c>
      <c r="BW109" s="98" t="str">
        <f>IF(BY109&lt;&gt;"",VLOOKUP($P109&amp;" | "&amp;BW$6,'Job Master'!$F$12:$J$102,5,0),"")</f>
        <v/>
      </c>
      <c r="BX109" s="19" t="str">
        <f>IF(BY109&lt;&gt;"",VLOOKUP($P109&amp;" | "&amp;BW$6,'Job Master'!$F$12:$J$102,3,0),"")</f>
        <v/>
      </c>
      <c r="BY109" s="19" t="str">
        <f>IFERROR(IF(AND(CF109&lt;&gt;"",VLOOKUP($P109&amp;" | "&amp;BW$6,'Job Master'!$F$12:$I$102,4,0)&lt;&gt;""),IF(WEEKDAY(CF109-VLOOKUP($P109&amp;" | "&amp;BW$6,'Job Master'!$F$12:$I$102,4,0))&lt;&gt;7,CF109-VLOOKUP($P109&amp;" | "&amp;BW$6,'Job Master'!$F$12:$I$102,4,0),CF109-VLOOKUP($P109&amp;" | "&amp;BW$6,'Job Master'!$F$12:$I$102,4,0)-1),""),"")</f>
        <v/>
      </c>
      <c r="BZ109" s="73"/>
      <c r="CA109" s="123" t="str">
        <f t="shared" si="162"/>
        <v/>
      </c>
      <c r="CB109" s="123" t="str">
        <f t="shared" si="163"/>
        <v/>
      </c>
      <c r="CC109" s="97" t="str">
        <f t="shared" ca="1" si="164"/>
        <v/>
      </c>
      <c r="CD109" s="98" t="str">
        <f>IF(CF109&lt;&gt;"",VLOOKUP($P109&amp;" | "&amp;CD$6,'Job Master'!$F$12:$J$102,5,0),"")</f>
        <v/>
      </c>
      <c r="CE109" s="19" t="str">
        <f>IF(CF109&lt;&gt;"",VLOOKUP($P109&amp;" | "&amp;CD$6,'Job Master'!$F$12:$J$102,3,0),"")</f>
        <v/>
      </c>
      <c r="CF109" s="19" t="str">
        <f>IFERROR(IF(AND(CM109&lt;&gt;"",VLOOKUP($P109&amp;" | "&amp;CD$6,'Job Master'!$F$12:$I$102,4,0)&lt;&gt;""),IF(WEEKDAY(CM109-VLOOKUP($P109&amp;" | "&amp;CD$6,'Job Master'!$F$12:$I$102,4,0))&lt;&gt;7,CM109-VLOOKUP($P109&amp;" | "&amp;CD$6,'Job Master'!$F$12:$I$102,4,0),CM109-VLOOKUP($P109&amp;" | "&amp;CD$6,'Job Master'!$F$12:$I$102,4,0)-1),""),"")</f>
        <v/>
      </c>
      <c r="CG109" s="73"/>
      <c r="CH109" s="123" t="str">
        <f t="shared" si="165"/>
        <v/>
      </c>
      <c r="CI109" s="123" t="str">
        <f t="shared" si="166"/>
        <v/>
      </c>
      <c r="CJ109" s="97" t="str">
        <f t="shared" ca="1" si="167"/>
        <v/>
      </c>
      <c r="CK109" s="98" t="str">
        <f>IF(CM109&lt;&gt;"",VLOOKUP($P109&amp;" | "&amp;CK$6,'Job Master'!$F$12:$J$102,5,0),"")</f>
        <v/>
      </c>
      <c r="CL109" s="19" t="str">
        <f>IF(CM109&lt;&gt;"",VLOOKUP($P109&amp;" | "&amp;CK$6,'Job Master'!$F$12:$J$102,3,0),"")</f>
        <v/>
      </c>
      <c r="CM109" s="19" t="str">
        <f>IFERROR(IF(AND(CT109&lt;&gt;"",VLOOKUP($P109&amp;" | "&amp;CK$6,'Job Master'!$F$12:$I$102,4,0)&lt;&gt;""),IF(WEEKDAY(CT109-VLOOKUP($P109&amp;" | "&amp;CK$6,'Job Master'!$F$12:$I$102,4,0))&lt;&gt;7,CT109-VLOOKUP($P109&amp;" | "&amp;CK$6,'Job Master'!$F$12:$I$102,4,0),CT109-VLOOKUP($P109&amp;" | "&amp;CK$6,'Job Master'!$F$12:$I$102,4,0)-1),""),"")</f>
        <v/>
      </c>
      <c r="CN109" s="73"/>
      <c r="CO109" s="123" t="str">
        <f t="shared" si="168"/>
        <v/>
      </c>
      <c r="CP109" s="123" t="str">
        <f t="shared" si="169"/>
        <v/>
      </c>
      <c r="CQ109" s="97" t="str">
        <f t="shared" ca="1" si="170"/>
        <v/>
      </c>
      <c r="CR109" s="98" t="str">
        <f>IF(CT109&lt;&gt;"",VLOOKUP($P109&amp;" | "&amp;CR$6,'Job Master'!$F$12:$J$102,5,0),"")</f>
        <v/>
      </c>
      <c r="CS109" s="19" t="str">
        <f>IF(CT109&lt;&gt;"",VLOOKUP($P109&amp;" | "&amp;CR$6,'Job Master'!$F$12:$J$102,3,0),"")</f>
        <v/>
      </c>
      <c r="CT109" s="19" t="str">
        <f>IFERROR(IF(AND(DA109&lt;&gt;"",VLOOKUP($P109&amp;" | "&amp;CR$6,'Job Master'!$F$12:$I$102,4,0)&lt;&gt;""),IF(WEEKDAY(DA109-VLOOKUP($P109&amp;" | "&amp;CR$6,'Job Master'!$F$12:$I$102,4,0))&lt;&gt;7,DA109-VLOOKUP($P109&amp;" | "&amp;CR$6,'Job Master'!$F$12:$I$102,4,0),DA109-VLOOKUP($P109&amp;" | "&amp;CR$6,'Job Master'!$F$12:$I$102,4,0)-1),""),"")</f>
        <v/>
      </c>
      <c r="CU109" s="73"/>
      <c r="CV109" s="123" t="str">
        <f t="shared" si="171"/>
        <v/>
      </c>
      <c r="CW109" s="123" t="str">
        <f t="shared" si="172"/>
        <v/>
      </c>
      <c r="CX109" s="97" t="str">
        <f t="shared" ca="1" si="173"/>
        <v/>
      </c>
      <c r="CY109" s="98" t="str">
        <f>IF(DA109&lt;&gt;"",VLOOKUP($P109&amp;" | "&amp;CY$6,'Job Master'!$F$12:$J$102,5,0),"")</f>
        <v/>
      </c>
      <c r="CZ109" s="19" t="str">
        <f>IF(DA109&lt;&gt;"",VLOOKUP($P109&amp;" | "&amp;CY$6,'Job Master'!$F$12:$J$102,3,0),"")</f>
        <v/>
      </c>
      <c r="DA109" s="19" t="str">
        <f>IFERROR(IF(AND(DH109&lt;&gt;"",VLOOKUP($P109&amp;" | "&amp;CY$6,'Job Master'!$F$12:$I$102,4,0)&lt;&gt;""),IF(WEEKDAY(DH109-VLOOKUP($P109&amp;" | "&amp;CY$6,'Job Master'!$F$12:$I$102,4,0))&lt;&gt;7,DH109-VLOOKUP($P109&amp;" | "&amp;CY$6,'Job Master'!$F$12:$I$102,4,0),DH109-VLOOKUP($P109&amp;" | "&amp;CY$6,'Job Master'!$F$12:$I$102,4,0)-1),""),"")</f>
        <v/>
      </c>
      <c r="DB109" s="73"/>
      <c r="DC109" s="123" t="str">
        <f t="shared" si="174"/>
        <v/>
      </c>
      <c r="DD109" s="123" t="str">
        <f t="shared" si="175"/>
        <v/>
      </c>
      <c r="DE109" s="97" t="str">
        <f t="shared" ca="1" si="176"/>
        <v/>
      </c>
      <c r="DF109" s="98" t="str">
        <f>IF(DH109&lt;&gt;"",VLOOKUP($P109&amp;" | "&amp;DF$6,'Job Master'!$F$12:$J$102,5,0),"")</f>
        <v/>
      </c>
      <c r="DG109" s="19" t="str">
        <f>IF(DH109&lt;&gt;"",VLOOKUP($P109&amp;" | "&amp;DF$6,'Job Master'!$F$12:$J$102,3,0),"")</f>
        <v/>
      </c>
      <c r="DH109" s="19" t="str">
        <f>IFERROR(IF(AND(DO109&lt;&gt;"",VLOOKUP($P109&amp;" | "&amp;DF$6,'Job Master'!$F$12:$I$102,4,0)&lt;&gt;""),IF(WEEKDAY(DO109-VLOOKUP($P109&amp;" | "&amp;DF$6,'Job Master'!$F$12:$I$102,4,0))&lt;&gt;7,DO109-VLOOKUP($P109&amp;" | "&amp;DF$6,'Job Master'!$F$12:$I$102,4,0),DO109-VLOOKUP($P109&amp;" | "&amp;DF$6,'Job Master'!$F$12:$I$102,4,0)-1),""),"")</f>
        <v/>
      </c>
      <c r="DI109" s="73"/>
      <c r="DJ109" s="123" t="str">
        <f t="shared" si="177"/>
        <v/>
      </c>
      <c r="DK109" s="123" t="str">
        <f t="shared" si="178"/>
        <v/>
      </c>
      <c r="DL109" s="97" t="str">
        <f t="shared" ca="1" si="179"/>
        <v/>
      </c>
      <c r="DM109" s="98" t="str">
        <f>IF(DO109&lt;&gt;"",VLOOKUP($P109&amp;" | "&amp;DM$6,'Job Master'!$F$12:$J$102,5,0),"")</f>
        <v/>
      </c>
      <c r="DN109" s="19" t="str">
        <f>IF(DO109&lt;&gt;"",VLOOKUP($P109&amp;" | "&amp;DM$6,'Job Master'!$F$12:$J$102,3,0),"")</f>
        <v/>
      </c>
      <c r="DO109" s="19" t="str">
        <f>IFERROR(IF(AND(DT109&lt;&gt;"",VLOOKUP($P109&amp;" | "&amp;DM$6,'Job Master'!$F$12:$I$102,4,0)&lt;&gt;""),IF(WEEKDAY(DT109-VLOOKUP($P109&amp;" | "&amp;DM$6,'Job Master'!$F$12:$I$102,4,0))&lt;&gt;7,DT109-VLOOKUP($P109&amp;" | "&amp;DM$6,'Job Master'!$F$12:$I$102,4,0),DT109-VLOOKUP($P109&amp;" | "&amp;DM$6,'Job Master'!$F$12:$I$102,4,0)-1),""),"")</f>
        <v/>
      </c>
      <c r="DP109" s="73"/>
      <c r="DQ109" s="123" t="str">
        <f t="shared" si="180"/>
        <v/>
      </c>
      <c r="DR109" s="123" t="str">
        <f t="shared" si="181"/>
        <v/>
      </c>
      <c r="DS109" s="97" t="str">
        <f t="shared" ca="1" si="182"/>
        <v/>
      </c>
      <c r="DT109" s="70" t="str">
        <f t="shared" si="183"/>
        <v/>
      </c>
      <c r="DU109" s="90"/>
      <c r="DV109" s="123" t="str">
        <f t="shared" si="184"/>
        <v/>
      </c>
      <c r="DW109" s="123" t="str">
        <f t="shared" si="185"/>
        <v/>
      </c>
      <c r="DX109" s="132" t="str">
        <f t="shared" ref="DX109" ca="1" si="232">IF(DT109&lt;&gt;"",IF(WEEKNUM(DT109)=WEEKNUM(TODAY()),"This Week",IF(WEEKNUM(DT109)=WEEKNUM(TODAY())+1,"Next Week",IF(WEEKNUM(DT109)=WEEKNUM(TODAY())-1,"Previous Week",""))),"")</f>
        <v/>
      </c>
      <c r="DY109" s="134" t="str">
        <f t="shared" si="187"/>
        <v/>
      </c>
      <c r="DZ109" s="95"/>
      <c r="EB109" s="8" t="str">
        <f t="shared" si="193"/>
        <v/>
      </c>
      <c r="EC109" s="8" t="str">
        <f>IF(O109&lt;&gt;"",VLOOKUP(O109,'Job Master'!$N$12:$O$18,2,0),"")</f>
        <v/>
      </c>
      <c r="ED109" s="8">
        <f t="shared" si="194"/>
        <v>19.5</v>
      </c>
      <c r="EE109" s="8">
        <f t="shared" si="195"/>
        <v>6</v>
      </c>
      <c r="EF109" s="8">
        <f t="shared" si="196"/>
        <v>-574.5</v>
      </c>
      <c r="EG109" s="8" t="str">
        <f t="shared" si="197"/>
        <v/>
      </c>
      <c r="EH109" s="8" t="str">
        <f t="shared" si="198"/>
        <v/>
      </c>
    </row>
    <row r="110" spans="2:138" x14ac:dyDescent="0.3">
      <c r="B110" s="112"/>
      <c r="C110" s="27"/>
      <c r="D110" s="7" t="str">
        <f t="shared" si="135"/>
        <v/>
      </c>
      <c r="E110" s="25"/>
      <c r="F110" s="7" t="str">
        <f t="shared" si="135"/>
        <v/>
      </c>
      <c r="G110" s="25"/>
      <c r="H110" s="7" t="str">
        <f t="shared" si="135"/>
        <v/>
      </c>
      <c r="I110" s="25"/>
      <c r="J110" s="7" t="str">
        <f t="shared" si="135"/>
        <v/>
      </c>
      <c r="K110" s="25"/>
      <c r="L110" s="7" t="str">
        <f t="shared" si="136"/>
        <v/>
      </c>
      <c r="M110" s="25"/>
      <c r="N110" s="7" t="str">
        <f t="shared" si="137"/>
        <v/>
      </c>
      <c r="O110" s="81"/>
      <c r="P110" s="81" t="str">
        <f t="shared" si="138"/>
        <v/>
      </c>
      <c r="Q110" s="81"/>
      <c r="R110" s="7" t="str">
        <f t="shared" si="139"/>
        <v/>
      </c>
      <c r="S110" s="25"/>
      <c r="T110" s="7" t="str">
        <f t="shared" si="140"/>
        <v/>
      </c>
      <c r="U110" s="25"/>
      <c r="V110" s="7" t="str">
        <f t="shared" si="141"/>
        <v/>
      </c>
      <c r="W110" s="25"/>
      <c r="X110" s="7" t="str">
        <f t="shared" si="142"/>
        <v/>
      </c>
      <c r="Y110" s="18" t="str">
        <f t="shared" si="143"/>
        <v/>
      </c>
      <c r="Z110" s="7" t="str">
        <f t="shared" si="144"/>
        <v/>
      </c>
      <c r="AA110" s="18" t="str">
        <f t="shared" si="145"/>
        <v/>
      </c>
      <c r="AB110" s="19" t="str">
        <f t="shared" si="146"/>
        <v/>
      </c>
      <c r="AC110" s="26"/>
      <c r="AD110" s="26"/>
      <c r="AE110" s="25"/>
      <c r="AF110" s="26"/>
      <c r="AG110" s="25"/>
      <c r="AH110" s="25"/>
      <c r="AI110" s="18" t="str">
        <f t="shared" si="209"/>
        <v/>
      </c>
      <c r="AJ110" s="25"/>
      <c r="AK110" s="18" t="str">
        <f t="shared" si="210"/>
        <v/>
      </c>
      <c r="AL110" s="79"/>
      <c r="AM110" s="126" t="str">
        <f t="shared" si="211"/>
        <v/>
      </c>
      <c r="AN110" s="128" t="str">
        <f>IF(AP110&lt;&gt;"",VLOOKUP($P110&amp;" | "&amp;AN$6,'Job Master'!$F$12:$J$102,5,0),"")</f>
        <v/>
      </c>
      <c r="AO110" s="19" t="str">
        <f>IF(AP110&lt;&gt;"",VLOOKUP($P110&amp;" | "&amp;AN$6,'Job Master'!$F$12:$J$102,3,0),"")</f>
        <v/>
      </c>
      <c r="AP110" s="19" t="str">
        <f>IFERROR(IF(AND(AW110&lt;&gt;"",VLOOKUP($P110&amp;" | "&amp;AN$6,'Job Master'!$F$12:$I$102,4,0)&lt;&gt;""),IF(WEEKDAY(AW110-VLOOKUP($P110&amp;" | "&amp;AN$6,'Job Master'!$F$12:$I$102,4,0))&lt;&gt;7,AW110-VLOOKUP($P110&amp;" | "&amp;AN$6,'Job Master'!$F$12:$I$102,4,0),AW110-VLOOKUP($P110&amp;" | "&amp;AN$6,'Job Master'!$F$12:$I$102,4,0)-1),""),"")</f>
        <v/>
      </c>
      <c r="AQ110" s="73"/>
      <c r="AR110" s="123" t="str">
        <f t="shared" si="147"/>
        <v/>
      </c>
      <c r="AS110" s="123" t="str">
        <f t="shared" si="148"/>
        <v/>
      </c>
      <c r="AT110" s="97" t="str">
        <f t="shared" ca="1" si="149"/>
        <v/>
      </c>
      <c r="AU110" s="98" t="str">
        <f>IF(AW110&lt;&gt;"",VLOOKUP($P110&amp;" | "&amp;AU$6,'Job Master'!$F$12:$J$102,5,0),"")</f>
        <v/>
      </c>
      <c r="AV110" s="19" t="str">
        <f>IF(AW110&lt;&gt;"",VLOOKUP($P110&amp;" | "&amp;AU$6,'Job Master'!$F$12:$J$102,3,0),"")</f>
        <v/>
      </c>
      <c r="AW110" s="19" t="str">
        <f>IFERROR(IF(AND(BD110&lt;&gt;"",VLOOKUP($P110&amp;" | "&amp;AU$6,'Job Master'!$F$12:$I$102,4,0)&lt;&gt;""),IF(WEEKDAY(BD110-VLOOKUP($P110&amp;" | "&amp;AU$6,'Job Master'!$F$12:$I$102,4,0))&lt;&gt;7,BD110-VLOOKUP($P110&amp;" | "&amp;AU$6,'Job Master'!$F$12:$I$102,4,0),BD110-VLOOKUP($P110&amp;" | "&amp;AU$6,'Job Master'!$F$12:$I$102,4,0)-1),""),"")</f>
        <v/>
      </c>
      <c r="AX110" s="73"/>
      <c r="AY110" s="123" t="str">
        <f t="shared" si="150"/>
        <v/>
      </c>
      <c r="AZ110" s="123" t="str">
        <f t="shared" si="151"/>
        <v/>
      </c>
      <c r="BA110" s="97" t="str">
        <f t="shared" ca="1" si="152"/>
        <v/>
      </c>
      <c r="BB110" s="98" t="str">
        <f>IF(BD110&lt;&gt;"",VLOOKUP($P110&amp;" | "&amp;BB$6,'Job Master'!$F$12:$J$102,5,0),"")</f>
        <v/>
      </c>
      <c r="BC110" s="19" t="str">
        <f>IF(BD110&lt;&gt;"",VLOOKUP($P110&amp;" | "&amp;BB$6,'Job Master'!$F$12:$J$102,3,0),"")</f>
        <v/>
      </c>
      <c r="BD110" s="19" t="str">
        <f>IFERROR(IF(AND(BK110&lt;&gt;"",VLOOKUP($P110&amp;" | "&amp;BB$6,'Job Master'!$F$12:$I$102,4,0)&lt;&gt;""),IF(WEEKDAY(BK110-VLOOKUP($P110&amp;" | "&amp;BB$6,'Job Master'!$F$12:$I$102,4,0))&lt;&gt;7,BK110-VLOOKUP($P110&amp;" | "&amp;BB$6,'Job Master'!$F$12:$I$102,4,0),BK110-VLOOKUP($P110&amp;" | "&amp;BB$6,'Job Master'!$F$12:$I$102,4,0)-1),""),"")</f>
        <v/>
      </c>
      <c r="BE110" s="73"/>
      <c r="BF110" s="123" t="str">
        <f t="shared" si="153"/>
        <v/>
      </c>
      <c r="BG110" s="123" t="str">
        <f t="shared" si="154"/>
        <v/>
      </c>
      <c r="BH110" s="97" t="str">
        <f t="shared" ca="1" si="155"/>
        <v/>
      </c>
      <c r="BI110" s="98" t="str">
        <f>IF(BK110&lt;&gt;"",VLOOKUP($P110&amp;" | "&amp;BI$6,'Job Master'!$F$12:$J$102,5,0),"")</f>
        <v/>
      </c>
      <c r="BJ110" s="19" t="str">
        <f>IF(BK110&lt;&gt;"",VLOOKUP($P110&amp;" | "&amp;BI$6,'Job Master'!$F$12:$J$102,3,0),"")</f>
        <v/>
      </c>
      <c r="BK110" s="19" t="str">
        <f>IFERROR(IF(AND(BR110&lt;&gt;"",VLOOKUP($P110&amp;" | "&amp;BI$6,'Job Master'!$F$12:$I$102,4,0)&lt;&gt;""),IF(WEEKDAY(BR110-VLOOKUP($P110&amp;" | "&amp;BI$6,'Job Master'!$F$12:$I$102,4,0))&lt;&gt;7,BR110-VLOOKUP($P110&amp;" | "&amp;BI$6,'Job Master'!$F$12:$I$102,4,0),BR110-VLOOKUP($P110&amp;" | "&amp;BI$6,'Job Master'!$F$12:$I$102,4,0)-1),""),"")</f>
        <v/>
      </c>
      <c r="BL110" s="73"/>
      <c r="BM110" s="123" t="str">
        <f t="shared" si="156"/>
        <v/>
      </c>
      <c r="BN110" s="123" t="str">
        <f t="shared" si="157"/>
        <v/>
      </c>
      <c r="BO110" s="97" t="str">
        <f t="shared" ca="1" si="158"/>
        <v/>
      </c>
      <c r="BP110" s="98" t="str">
        <f>IF(BR110&lt;&gt;"",VLOOKUP($P110&amp;" | "&amp;BP$6,'Job Master'!$F$12:$J$102,5,0),"")</f>
        <v/>
      </c>
      <c r="BQ110" s="19" t="str">
        <f>IF(BR110&lt;&gt;"",VLOOKUP($P110&amp;" | "&amp;BP$6,'Job Master'!$F$12:$J$102,3,0),"")</f>
        <v/>
      </c>
      <c r="BR110" s="19" t="str">
        <f>IFERROR(IF(AND(BY110&lt;&gt;"",VLOOKUP($P110&amp;" | "&amp;BP$6,'Job Master'!$F$12:$I$102,4,0)&lt;&gt;""),IF(WEEKDAY(BY110-VLOOKUP($P110&amp;" | "&amp;BP$6,'Job Master'!$F$12:$I$102,4,0))&lt;&gt;7,BY110-VLOOKUP($P110&amp;" | "&amp;BP$6,'Job Master'!$F$12:$I$102,4,0),BY110-VLOOKUP($P110&amp;" | "&amp;BP$6,'Job Master'!$F$12:$I$102,4,0)-1),""),"")</f>
        <v/>
      </c>
      <c r="BS110" s="73"/>
      <c r="BT110" s="123" t="str">
        <f t="shared" si="159"/>
        <v/>
      </c>
      <c r="BU110" s="123" t="str">
        <f t="shared" si="160"/>
        <v/>
      </c>
      <c r="BV110" s="97" t="str">
        <f t="shared" ca="1" si="161"/>
        <v/>
      </c>
      <c r="BW110" s="98" t="str">
        <f>IF(BY110&lt;&gt;"",VLOOKUP($P110&amp;" | "&amp;BW$6,'Job Master'!$F$12:$J$102,5,0),"")</f>
        <v/>
      </c>
      <c r="BX110" s="19" t="str">
        <f>IF(BY110&lt;&gt;"",VLOOKUP($P110&amp;" | "&amp;BW$6,'Job Master'!$F$12:$J$102,3,0),"")</f>
        <v/>
      </c>
      <c r="BY110" s="19" t="str">
        <f>IFERROR(IF(AND(CF110&lt;&gt;"",VLOOKUP($P110&amp;" | "&amp;BW$6,'Job Master'!$F$12:$I$102,4,0)&lt;&gt;""),IF(WEEKDAY(CF110-VLOOKUP($P110&amp;" | "&amp;BW$6,'Job Master'!$F$12:$I$102,4,0))&lt;&gt;7,CF110-VLOOKUP($P110&amp;" | "&amp;BW$6,'Job Master'!$F$12:$I$102,4,0),CF110-VLOOKUP($P110&amp;" | "&amp;BW$6,'Job Master'!$F$12:$I$102,4,0)-1),""),"")</f>
        <v/>
      </c>
      <c r="BZ110" s="73"/>
      <c r="CA110" s="123" t="str">
        <f t="shared" si="162"/>
        <v/>
      </c>
      <c r="CB110" s="123" t="str">
        <f t="shared" si="163"/>
        <v/>
      </c>
      <c r="CC110" s="97" t="str">
        <f t="shared" ca="1" si="164"/>
        <v/>
      </c>
      <c r="CD110" s="98" t="str">
        <f>IF(CF110&lt;&gt;"",VLOOKUP($P110&amp;" | "&amp;CD$6,'Job Master'!$F$12:$J$102,5,0),"")</f>
        <v/>
      </c>
      <c r="CE110" s="19" t="str">
        <f>IF(CF110&lt;&gt;"",VLOOKUP($P110&amp;" | "&amp;CD$6,'Job Master'!$F$12:$J$102,3,0),"")</f>
        <v/>
      </c>
      <c r="CF110" s="19" t="str">
        <f>IFERROR(IF(AND(CM110&lt;&gt;"",VLOOKUP($P110&amp;" | "&amp;CD$6,'Job Master'!$F$12:$I$102,4,0)&lt;&gt;""),IF(WEEKDAY(CM110-VLOOKUP($P110&amp;" | "&amp;CD$6,'Job Master'!$F$12:$I$102,4,0))&lt;&gt;7,CM110-VLOOKUP($P110&amp;" | "&amp;CD$6,'Job Master'!$F$12:$I$102,4,0),CM110-VLOOKUP($P110&amp;" | "&amp;CD$6,'Job Master'!$F$12:$I$102,4,0)-1),""),"")</f>
        <v/>
      </c>
      <c r="CG110" s="73"/>
      <c r="CH110" s="123" t="str">
        <f t="shared" si="165"/>
        <v/>
      </c>
      <c r="CI110" s="123" t="str">
        <f t="shared" si="166"/>
        <v/>
      </c>
      <c r="CJ110" s="97" t="str">
        <f t="shared" ca="1" si="167"/>
        <v/>
      </c>
      <c r="CK110" s="98" t="str">
        <f>IF(CM110&lt;&gt;"",VLOOKUP($P110&amp;" | "&amp;CK$6,'Job Master'!$F$12:$J$102,5,0),"")</f>
        <v/>
      </c>
      <c r="CL110" s="19" t="str">
        <f>IF(CM110&lt;&gt;"",VLOOKUP($P110&amp;" | "&amp;CK$6,'Job Master'!$F$12:$J$102,3,0),"")</f>
        <v/>
      </c>
      <c r="CM110" s="19" t="str">
        <f>IFERROR(IF(AND(CT110&lt;&gt;"",VLOOKUP($P110&amp;" | "&amp;CK$6,'Job Master'!$F$12:$I$102,4,0)&lt;&gt;""),IF(WEEKDAY(CT110-VLOOKUP($P110&amp;" | "&amp;CK$6,'Job Master'!$F$12:$I$102,4,0))&lt;&gt;7,CT110-VLOOKUP($P110&amp;" | "&amp;CK$6,'Job Master'!$F$12:$I$102,4,0),CT110-VLOOKUP($P110&amp;" | "&amp;CK$6,'Job Master'!$F$12:$I$102,4,0)-1),""),"")</f>
        <v/>
      </c>
      <c r="CN110" s="73"/>
      <c r="CO110" s="123" t="str">
        <f t="shared" si="168"/>
        <v/>
      </c>
      <c r="CP110" s="123" t="str">
        <f t="shared" si="169"/>
        <v/>
      </c>
      <c r="CQ110" s="97" t="str">
        <f t="shared" ca="1" si="170"/>
        <v/>
      </c>
      <c r="CR110" s="98" t="str">
        <f>IF(CT110&lt;&gt;"",VLOOKUP($P110&amp;" | "&amp;CR$6,'Job Master'!$F$12:$J$102,5,0),"")</f>
        <v/>
      </c>
      <c r="CS110" s="19" t="str">
        <f>IF(CT110&lt;&gt;"",VLOOKUP($P110&amp;" | "&amp;CR$6,'Job Master'!$F$12:$J$102,3,0),"")</f>
        <v/>
      </c>
      <c r="CT110" s="19" t="str">
        <f>IFERROR(IF(AND(DA110&lt;&gt;"",VLOOKUP($P110&amp;" | "&amp;CR$6,'Job Master'!$F$12:$I$102,4,0)&lt;&gt;""),IF(WEEKDAY(DA110-VLOOKUP($P110&amp;" | "&amp;CR$6,'Job Master'!$F$12:$I$102,4,0))&lt;&gt;7,DA110-VLOOKUP($P110&amp;" | "&amp;CR$6,'Job Master'!$F$12:$I$102,4,0),DA110-VLOOKUP($P110&amp;" | "&amp;CR$6,'Job Master'!$F$12:$I$102,4,0)-1),""),"")</f>
        <v/>
      </c>
      <c r="CU110" s="73"/>
      <c r="CV110" s="123" t="str">
        <f t="shared" si="171"/>
        <v/>
      </c>
      <c r="CW110" s="123" t="str">
        <f t="shared" si="172"/>
        <v/>
      </c>
      <c r="CX110" s="97" t="str">
        <f t="shared" ca="1" si="173"/>
        <v/>
      </c>
      <c r="CY110" s="98" t="str">
        <f>IF(DA110&lt;&gt;"",VLOOKUP($P110&amp;" | "&amp;CY$6,'Job Master'!$F$12:$J$102,5,0),"")</f>
        <v/>
      </c>
      <c r="CZ110" s="19" t="str">
        <f>IF(DA110&lt;&gt;"",VLOOKUP($P110&amp;" | "&amp;CY$6,'Job Master'!$F$12:$J$102,3,0),"")</f>
        <v/>
      </c>
      <c r="DA110" s="19" t="str">
        <f>IFERROR(IF(AND(DH110&lt;&gt;"",VLOOKUP($P110&amp;" | "&amp;CY$6,'Job Master'!$F$12:$I$102,4,0)&lt;&gt;""),IF(WEEKDAY(DH110-VLOOKUP($P110&amp;" | "&amp;CY$6,'Job Master'!$F$12:$I$102,4,0))&lt;&gt;7,DH110-VLOOKUP($P110&amp;" | "&amp;CY$6,'Job Master'!$F$12:$I$102,4,0),DH110-VLOOKUP($P110&amp;" | "&amp;CY$6,'Job Master'!$F$12:$I$102,4,0)-1),""),"")</f>
        <v/>
      </c>
      <c r="DB110" s="73"/>
      <c r="DC110" s="123" t="str">
        <f t="shared" si="174"/>
        <v/>
      </c>
      <c r="DD110" s="123" t="str">
        <f t="shared" si="175"/>
        <v/>
      </c>
      <c r="DE110" s="97" t="str">
        <f t="shared" ca="1" si="176"/>
        <v/>
      </c>
      <c r="DF110" s="98" t="str">
        <f>IF(DH110&lt;&gt;"",VLOOKUP($P110&amp;" | "&amp;DF$6,'Job Master'!$F$12:$J$102,5,0),"")</f>
        <v/>
      </c>
      <c r="DG110" s="19" t="str">
        <f>IF(DH110&lt;&gt;"",VLOOKUP($P110&amp;" | "&amp;DF$6,'Job Master'!$F$12:$J$102,3,0),"")</f>
        <v/>
      </c>
      <c r="DH110" s="19" t="str">
        <f>IFERROR(IF(AND(DO110&lt;&gt;"",VLOOKUP($P110&amp;" | "&amp;DF$6,'Job Master'!$F$12:$I$102,4,0)&lt;&gt;""),IF(WEEKDAY(DO110-VLOOKUP($P110&amp;" | "&amp;DF$6,'Job Master'!$F$12:$I$102,4,0))&lt;&gt;7,DO110-VLOOKUP($P110&amp;" | "&amp;DF$6,'Job Master'!$F$12:$I$102,4,0),DO110-VLOOKUP($P110&amp;" | "&amp;DF$6,'Job Master'!$F$12:$I$102,4,0)-1),""),"")</f>
        <v/>
      </c>
      <c r="DI110" s="73"/>
      <c r="DJ110" s="123" t="str">
        <f t="shared" si="177"/>
        <v/>
      </c>
      <c r="DK110" s="123" t="str">
        <f t="shared" si="178"/>
        <v/>
      </c>
      <c r="DL110" s="97" t="str">
        <f t="shared" ca="1" si="179"/>
        <v/>
      </c>
      <c r="DM110" s="98" t="str">
        <f>IF(DO110&lt;&gt;"",VLOOKUP($P110&amp;" | "&amp;DM$6,'Job Master'!$F$12:$J$102,5,0),"")</f>
        <v/>
      </c>
      <c r="DN110" s="19" t="str">
        <f>IF(DO110&lt;&gt;"",VLOOKUP($P110&amp;" | "&amp;DM$6,'Job Master'!$F$12:$J$102,3,0),"")</f>
        <v/>
      </c>
      <c r="DO110" s="19" t="str">
        <f>IFERROR(IF(AND(DT110&lt;&gt;"",VLOOKUP($P110&amp;" | "&amp;DM$6,'Job Master'!$F$12:$I$102,4,0)&lt;&gt;""),IF(WEEKDAY(DT110-VLOOKUP($P110&amp;" | "&amp;DM$6,'Job Master'!$F$12:$I$102,4,0))&lt;&gt;7,DT110-VLOOKUP($P110&amp;" | "&amp;DM$6,'Job Master'!$F$12:$I$102,4,0),DT110-VLOOKUP($P110&amp;" | "&amp;DM$6,'Job Master'!$F$12:$I$102,4,0)-1),""),"")</f>
        <v/>
      </c>
      <c r="DP110" s="73"/>
      <c r="DQ110" s="123" t="str">
        <f t="shared" si="180"/>
        <v/>
      </c>
      <c r="DR110" s="123" t="str">
        <f t="shared" si="181"/>
        <v/>
      </c>
      <c r="DS110" s="97" t="str">
        <f t="shared" ca="1" si="182"/>
        <v/>
      </c>
      <c r="DT110" s="70" t="str">
        <f t="shared" si="183"/>
        <v/>
      </c>
      <c r="DU110" s="90"/>
      <c r="DV110" s="123" t="str">
        <f t="shared" si="184"/>
        <v/>
      </c>
      <c r="DW110" s="123" t="str">
        <f t="shared" si="185"/>
        <v/>
      </c>
      <c r="DX110" s="132" t="str">
        <f t="shared" ref="DX110" ca="1" si="233">IF(DT110&lt;&gt;"",IF(WEEKNUM(DT110)=WEEKNUM(TODAY()),"This Week",IF(WEEKNUM(DT110)=WEEKNUM(TODAY())+1,"Next Week",IF(WEEKNUM(DT110)=WEEKNUM(TODAY())-1,"Previous Week",""))),"")</f>
        <v/>
      </c>
      <c r="DY110" s="134" t="str">
        <f t="shared" si="187"/>
        <v/>
      </c>
      <c r="DZ110" s="95"/>
      <c r="EB110" s="8" t="str">
        <f t="shared" si="193"/>
        <v/>
      </c>
      <c r="EC110" s="8" t="str">
        <f>IF(O110&lt;&gt;"",VLOOKUP(O110,'Job Master'!$N$12:$O$18,2,0),"")</f>
        <v/>
      </c>
      <c r="ED110" s="8">
        <f t="shared" si="194"/>
        <v>19.5</v>
      </c>
      <c r="EE110" s="8">
        <f t="shared" si="195"/>
        <v>6</v>
      </c>
      <c r="EF110" s="8">
        <f t="shared" si="196"/>
        <v>-580.5</v>
      </c>
      <c r="EG110" s="8" t="str">
        <f t="shared" si="197"/>
        <v/>
      </c>
      <c r="EH110" s="8" t="str">
        <f t="shared" si="198"/>
        <v/>
      </c>
    </row>
    <row r="111" spans="2:138" x14ac:dyDescent="0.3">
      <c r="B111" s="112"/>
      <c r="C111" s="27"/>
      <c r="D111" s="7" t="str">
        <f t="shared" si="135"/>
        <v/>
      </c>
      <c r="E111" s="25"/>
      <c r="F111" s="7" t="str">
        <f t="shared" si="135"/>
        <v/>
      </c>
      <c r="G111" s="25"/>
      <c r="H111" s="7" t="str">
        <f t="shared" si="135"/>
        <v/>
      </c>
      <c r="I111" s="25"/>
      <c r="J111" s="7" t="str">
        <f t="shared" si="135"/>
        <v/>
      </c>
      <c r="K111" s="25"/>
      <c r="L111" s="7" t="str">
        <f t="shared" si="136"/>
        <v/>
      </c>
      <c r="M111" s="25"/>
      <c r="N111" s="7" t="str">
        <f t="shared" si="137"/>
        <v/>
      </c>
      <c r="O111" s="81"/>
      <c r="P111" s="81" t="str">
        <f t="shared" si="138"/>
        <v/>
      </c>
      <c r="Q111" s="81"/>
      <c r="R111" s="7" t="str">
        <f t="shared" si="139"/>
        <v/>
      </c>
      <c r="S111" s="25"/>
      <c r="T111" s="7" t="str">
        <f t="shared" si="140"/>
        <v/>
      </c>
      <c r="U111" s="25"/>
      <c r="V111" s="7" t="str">
        <f t="shared" si="141"/>
        <v/>
      </c>
      <c r="W111" s="25"/>
      <c r="X111" s="7" t="str">
        <f t="shared" si="142"/>
        <v/>
      </c>
      <c r="Y111" s="18" t="str">
        <f t="shared" si="143"/>
        <v/>
      </c>
      <c r="Z111" s="7" t="str">
        <f t="shared" si="144"/>
        <v/>
      </c>
      <c r="AA111" s="18" t="str">
        <f t="shared" si="145"/>
        <v/>
      </c>
      <c r="AB111" s="19" t="str">
        <f t="shared" si="146"/>
        <v/>
      </c>
      <c r="AC111" s="26"/>
      <c r="AD111" s="26"/>
      <c r="AE111" s="25"/>
      <c r="AF111" s="26"/>
      <c r="AG111" s="25"/>
      <c r="AH111" s="25"/>
      <c r="AI111" s="18" t="str">
        <f t="shared" si="209"/>
        <v/>
      </c>
      <c r="AJ111" s="25"/>
      <c r="AK111" s="18" t="str">
        <f t="shared" si="210"/>
        <v/>
      </c>
      <c r="AL111" s="79"/>
      <c r="AM111" s="126" t="str">
        <f t="shared" si="211"/>
        <v/>
      </c>
      <c r="AN111" s="128" t="str">
        <f>IF(AP111&lt;&gt;"",VLOOKUP($P111&amp;" | "&amp;AN$6,'Job Master'!$F$12:$J$102,5,0),"")</f>
        <v/>
      </c>
      <c r="AO111" s="19" t="str">
        <f>IF(AP111&lt;&gt;"",VLOOKUP($P111&amp;" | "&amp;AN$6,'Job Master'!$F$12:$J$102,3,0),"")</f>
        <v/>
      </c>
      <c r="AP111" s="19" t="str">
        <f>IFERROR(IF(AND(AW111&lt;&gt;"",VLOOKUP($P111&amp;" | "&amp;AN$6,'Job Master'!$F$12:$I$102,4,0)&lt;&gt;""),IF(WEEKDAY(AW111-VLOOKUP($P111&amp;" | "&amp;AN$6,'Job Master'!$F$12:$I$102,4,0))&lt;&gt;7,AW111-VLOOKUP($P111&amp;" | "&amp;AN$6,'Job Master'!$F$12:$I$102,4,0),AW111-VLOOKUP($P111&amp;" | "&amp;AN$6,'Job Master'!$F$12:$I$102,4,0)-1),""),"")</f>
        <v/>
      </c>
      <c r="AQ111" s="73"/>
      <c r="AR111" s="123" t="str">
        <f t="shared" si="147"/>
        <v/>
      </c>
      <c r="AS111" s="123" t="str">
        <f t="shared" si="148"/>
        <v/>
      </c>
      <c r="AT111" s="97" t="str">
        <f t="shared" ca="1" si="149"/>
        <v/>
      </c>
      <c r="AU111" s="98" t="str">
        <f>IF(AW111&lt;&gt;"",VLOOKUP($P111&amp;" | "&amp;AU$6,'Job Master'!$F$12:$J$102,5,0),"")</f>
        <v/>
      </c>
      <c r="AV111" s="19" t="str">
        <f>IF(AW111&lt;&gt;"",VLOOKUP($P111&amp;" | "&amp;AU$6,'Job Master'!$F$12:$J$102,3,0),"")</f>
        <v/>
      </c>
      <c r="AW111" s="19" t="str">
        <f>IFERROR(IF(AND(BD111&lt;&gt;"",VLOOKUP($P111&amp;" | "&amp;AU$6,'Job Master'!$F$12:$I$102,4,0)&lt;&gt;""),IF(WEEKDAY(BD111-VLOOKUP($P111&amp;" | "&amp;AU$6,'Job Master'!$F$12:$I$102,4,0))&lt;&gt;7,BD111-VLOOKUP($P111&amp;" | "&amp;AU$6,'Job Master'!$F$12:$I$102,4,0),BD111-VLOOKUP($P111&amp;" | "&amp;AU$6,'Job Master'!$F$12:$I$102,4,0)-1),""),"")</f>
        <v/>
      </c>
      <c r="AX111" s="73"/>
      <c r="AY111" s="123" t="str">
        <f t="shared" si="150"/>
        <v/>
      </c>
      <c r="AZ111" s="123" t="str">
        <f t="shared" si="151"/>
        <v/>
      </c>
      <c r="BA111" s="97" t="str">
        <f t="shared" ca="1" si="152"/>
        <v/>
      </c>
      <c r="BB111" s="98" t="str">
        <f>IF(BD111&lt;&gt;"",VLOOKUP($P111&amp;" | "&amp;BB$6,'Job Master'!$F$12:$J$102,5,0),"")</f>
        <v/>
      </c>
      <c r="BC111" s="19" t="str">
        <f>IF(BD111&lt;&gt;"",VLOOKUP($P111&amp;" | "&amp;BB$6,'Job Master'!$F$12:$J$102,3,0),"")</f>
        <v/>
      </c>
      <c r="BD111" s="19" t="str">
        <f>IFERROR(IF(AND(BK111&lt;&gt;"",VLOOKUP($P111&amp;" | "&amp;BB$6,'Job Master'!$F$12:$I$102,4,0)&lt;&gt;""),IF(WEEKDAY(BK111-VLOOKUP($P111&amp;" | "&amp;BB$6,'Job Master'!$F$12:$I$102,4,0))&lt;&gt;7,BK111-VLOOKUP($P111&amp;" | "&amp;BB$6,'Job Master'!$F$12:$I$102,4,0),BK111-VLOOKUP($P111&amp;" | "&amp;BB$6,'Job Master'!$F$12:$I$102,4,0)-1),""),"")</f>
        <v/>
      </c>
      <c r="BE111" s="73"/>
      <c r="BF111" s="123" t="str">
        <f t="shared" si="153"/>
        <v/>
      </c>
      <c r="BG111" s="123" t="str">
        <f t="shared" si="154"/>
        <v/>
      </c>
      <c r="BH111" s="97" t="str">
        <f t="shared" ca="1" si="155"/>
        <v/>
      </c>
      <c r="BI111" s="98" t="str">
        <f>IF(BK111&lt;&gt;"",VLOOKUP($P111&amp;" | "&amp;BI$6,'Job Master'!$F$12:$J$102,5,0),"")</f>
        <v/>
      </c>
      <c r="BJ111" s="19" t="str">
        <f>IF(BK111&lt;&gt;"",VLOOKUP($P111&amp;" | "&amp;BI$6,'Job Master'!$F$12:$J$102,3,0),"")</f>
        <v/>
      </c>
      <c r="BK111" s="19" t="str">
        <f>IFERROR(IF(AND(BR111&lt;&gt;"",VLOOKUP($P111&amp;" | "&amp;BI$6,'Job Master'!$F$12:$I$102,4,0)&lt;&gt;""),IF(WEEKDAY(BR111-VLOOKUP($P111&amp;" | "&amp;BI$6,'Job Master'!$F$12:$I$102,4,0))&lt;&gt;7,BR111-VLOOKUP($P111&amp;" | "&amp;BI$6,'Job Master'!$F$12:$I$102,4,0),BR111-VLOOKUP($P111&amp;" | "&amp;BI$6,'Job Master'!$F$12:$I$102,4,0)-1),""),"")</f>
        <v/>
      </c>
      <c r="BL111" s="73"/>
      <c r="BM111" s="123" t="str">
        <f t="shared" si="156"/>
        <v/>
      </c>
      <c r="BN111" s="123" t="str">
        <f t="shared" si="157"/>
        <v/>
      </c>
      <c r="BO111" s="97" t="str">
        <f t="shared" ca="1" si="158"/>
        <v/>
      </c>
      <c r="BP111" s="98" t="str">
        <f>IF(BR111&lt;&gt;"",VLOOKUP($P111&amp;" | "&amp;BP$6,'Job Master'!$F$12:$J$102,5,0),"")</f>
        <v/>
      </c>
      <c r="BQ111" s="19" t="str">
        <f>IF(BR111&lt;&gt;"",VLOOKUP($P111&amp;" | "&amp;BP$6,'Job Master'!$F$12:$J$102,3,0),"")</f>
        <v/>
      </c>
      <c r="BR111" s="19" t="str">
        <f>IFERROR(IF(AND(BY111&lt;&gt;"",VLOOKUP($P111&amp;" | "&amp;BP$6,'Job Master'!$F$12:$I$102,4,0)&lt;&gt;""),IF(WEEKDAY(BY111-VLOOKUP($P111&amp;" | "&amp;BP$6,'Job Master'!$F$12:$I$102,4,0))&lt;&gt;7,BY111-VLOOKUP($P111&amp;" | "&amp;BP$6,'Job Master'!$F$12:$I$102,4,0),BY111-VLOOKUP($P111&amp;" | "&amp;BP$6,'Job Master'!$F$12:$I$102,4,0)-1),""),"")</f>
        <v/>
      </c>
      <c r="BS111" s="73"/>
      <c r="BT111" s="123" t="str">
        <f t="shared" si="159"/>
        <v/>
      </c>
      <c r="BU111" s="123" t="str">
        <f t="shared" si="160"/>
        <v/>
      </c>
      <c r="BV111" s="97" t="str">
        <f t="shared" ca="1" si="161"/>
        <v/>
      </c>
      <c r="BW111" s="98" t="str">
        <f>IF(BY111&lt;&gt;"",VLOOKUP($P111&amp;" | "&amp;BW$6,'Job Master'!$F$12:$J$102,5,0),"")</f>
        <v/>
      </c>
      <c r="BX111" s="19" t="str">
        <f>IF(BY111&lt;&gt;"",VLOOKUP($P111&amp;" | "&amp;BW$6,'Job Master'!$F$12:$J$102,3,0),"")</f>
        <v/>
      </c>
      <c r="BY111" s="19" t="str">
        <f>IFERROR(IF(AND(CF111&lt;&gt;"",VLOOKUP($P111&amp;" | "&amp;BW$6,'Job Master'!$F$12:$I$102,4,0)&lt;&gt;""),IF(WEEKDAY(CF111-VLOOKUP($P111&amp;" | "&amp;BW$6,'Job Master'!$F$12:$I$102,4,0))&lt;&gt;7,CF111-VLOOKUP($P111&amp;" | "&amp;BW$6,'Job Master'!$F$12:$I$102,4,0),CF111-VLOOKUP($P111&amp;" | "&amp;BW$6,'Job Master'!$F$12:$I$102,4,0)-1),""),"")</f>
        <v/>
      </c>
      <c r="BZ111" s="73"/>
      <c r="CA111" s="123" t="str">
        <f t="shared" si="162"/>
        <v/>
      </c>
      <c r="CB111" s="123" t="str">
        <f t="shared" si="163"/>
        <v/>
      </c>
      <c r="CC111" s="97" t="str">
        <f t="shared" ca="1" si="164"/>
        <v/>
      </c>
      <c r="CD111" s="98" t="str">
        <f>IF(CF111&lt;&gt;"",VLOOKUP($P111&amp;" | "&amp;CD$6,'Job Master'!$F$12:$J$102,5,0),"")</f>
        <v/>
      </c>
      <c r="CE111" s="19" t="str">
        <f>IF(CF111&lt;&gt;"",VLOOKUP($P111&amp;" | "&amp;CD$6,'Job Master'!$F$12:$J$102,3,0),"")</f>
        <v/>
      </c>
      <c r="CF111" s="19" t="str">
        <f>IFERROR(IF(AND(CM111&lt;&gt;"",VLOOKUP($P111&amp;" | "&amp;CD$6,'Job Master'!$F$12:$I$102,4,0)&lt;&gt;""),IF(WEEKDAY(CM111-VLOOKUP($P111&amp;" | "&amp;CD$6,'Job Master'!$F$12:$I$102,4,0))&lt;&gt;7,CM111-VLOOKUP($P111&amp;" | "&amp;CD$6,'Job Master'!$F$12:$I$102,4,0),CM111-VLOOKUP($P111&amp;" | "&amp;CD$6,'Job Master'!$F$12:$I$102,4,0)-1),""),"")</f>
        <v/>
      </c>
      <c r="CG111" s="73"/>
      <c r="CH111" s="123" t="str">
        <f t="shared" si="165"/>
        <v/>
      </c>
      <c r="CI111" s="123" t="str">
        <f t="shared" si="166"/>
        <v/>
      </c>
      <c r="CJ111" s="97" t="str">
        <f t="shared" ca="1" si="167"/>
        <v/>
      </c>
      <c r="CK111" s="98" t="str">
        <f>IF(CM111&lt;&gt;"",VLOOKUP($P111&amp;" | "&amp;CK$6,'Job Master'!$F$12:$J$102,5,0),"")</f>
        <v/>
      </c>
      <c r="CL111" s="19" t="str">
        <f>IF(CM111&lt;&gt;"",VLOOKUP($P111&amp;" | "&amp;CK$6,'Job Master'!$F$12:$J$102,3,0),"")</f>
        <v/>
      </c>
      <c r="CM111" s="19" t="str">
        <f>IFERROR(IF(AND(CT111&lt;&gt;"",VLOOKUP($P111&amp;" | "&amp;CK$6,'Job Master'!$F$12:$I$102,4,0)&lt;&gt;""),IF(WEEKDAY(CT111-VLOOKUP($P111&amp;" | "&amp;CK$6,'Job Master'!$F$12:$I$102,4,0))&lt;&gt;7,CT111-VLOOKUP($P111&amp;" | "&amp;CK$6,'Job Master'!$F$12:$I$102,4,0),CT111-VLOOKUP($P111&amp;" | "&amp;CK$6,'Job Master'!$F$12:$I$102,4,0)-1),""),"")</f>
        <v/>
      </c>
      <c r="CN111" s="73"/>
      <c r="CO111" s="123" t="str">
        <f t="shared" si="168"/>
        <v/>
      </c>
      <c r="CP111" s="123" t="str">
        <f t="shared" si="169"/>
        <v/>
      </c>
      <c r="CQ111" s="97" t="str">
        <f t="shared" ca="1" si="170"/>
        <v/>
      </c>
      <c r="CR111" s="98" t="str">
        <f>IF(CT111&lt;&gt;"",VLOOKUP($P111&amp;" | "&amp;CR$6,'Job Master'!$F$12:$J$102,5,0),"")</f>
        <v/>
      </c>
      <c r="CS111" s="19" t="str">
        <f>IF(CT111&lt;&gt;"",VLOOKUP($P111&amp;" | "&amp;CR$6,'Job Master'!$F$12:$J$102,3,0),"")</f>
        <v/>
      </c>
      <c r="CT111" s="19" t="str">
        <f>IFERROR(IF(AND(DA111&lt;&gt;"",VLOOKUP($P111&amp;" | "&amp;CR$6,'Job Master'!$F$12:$I$102,4,0)&lt;&gt;""),IF(WEEKDAY(DA111-VLOOKUP($P111&amp;" | "&amp;CR$6,'Job Master'!$F$12:$I$102,4,0))&lt;&gt;7,DA111-VLOOKUP($P111&amp;" | "&amp;CR$6,'Job Master'!$F$12:$I$102,4,0),DA111-VLOOKUP($P111&amp;" | "&amp;CR$6,'Job Master'!$F$12:$I$102,4,0)-1),""),"")</f>
        <v/>
      </c>
      <c r="CU111" s="73"/>
      <c r="CV111" s="123" t="str">
        <f t="shared" si="171"/>
        <v/>
      </c>
      <c r="CW111" s="123" t="str">
        <f t="shared" si="172"/>
        <v/>
      </c>
      <c r="CX111" s="97" t="str">
        <f t="shared" ca="1" si="173"/>
        <v/>
      </c>
      <c r="CY111" s="98" t="str">
        <f>IF(DA111&lt;&gt;"",VLOOKUP($P111&amp;" | "&amp;CY$6,'Job Master'!$F$12:$J$102,5,0),"")</f>
        <v/>
      </c>
      <c r="CZ111" s="19" t="str">
        <f>IF(DA111&lt;&gt;"",VLOOKUP($P111&amp;" | "&amp;CY$6,'Job Master'!$F$12:$J$102,3,0),"")</f>
        <v/>
      </c>
      <c r="DA111" s="19" t="str">
        <f>IFERROR(IF(AND(DH111&lt;&gt;"",VLOOKUP($P111&amp;" | "&amp;CY$6,'Job Master'!$F$12:$I$102,4,0)&lt;&gt;""),IF(WEEKDAY(DH111-VLOOKUP($P111&amp;" | "&amp;CY$6,'Job Master'!$F$12:$I$102,4,0))&lt;&gt;7,DH111-VLOOKUP($P111&amp;" | "&amp;CY$6,'Job Master'!$F$12:$I$102,4,0),DH111-VLOOKUP($P111&amp;" | "&amp;CY$6,'Job Master'!$F$12:$I$102,4,0)-1),""),"")</f>
        <v/>
      </c>
      <c r="DB111" s="73"/>
      <c r="DC111" s="123" t="str">
        <f t="shared" si="174"/>
        <v/>
      </c>
      <c r="DD111" s="123" t="str">
        <f t="shared" si="175"/>
        <v/>
      </c>
      <c r="DE111" s="97" t="str">
        <f t="shared" ca="1" si="176"/>
        <v/>
      </c>
      <c r="DF111" s="98" t="str">
        <f>IF(DH111&lt;&gt;"",VLOOKUP($P111&amp;" | "&amp;DF$6,'Job Master'!$F$12:$J$102,5,0),"")</f>
        <v/>
      </c>
      <c r="DG111" s="19" t="str">
        <f>IF(DH111&lt;&gt;"",VLOOKUP($P111&amp;" | "&amp;DF$6,'Job Master'!$F$12:$J$102,3,0),"")</f>
        <v/>
      </c>
      <c r="DH111" s="19" t="str">
        <f>IFERROR(IF(AND(DO111&lt;&gt;"",VLOOKUP($P111&amp;" | "&amp;DF$6,'Job Master'!$F$12:$I$102,4,0)&lt;&gt;""),IF(WEEKDAY(DO111-VLOOKUP($P111&amp;" | "&amp;DF$6,'Job Master'!$F$12:$I$102,4,0))&lt;&gt;7,DO111-VLOOKUP($P111&amp;" | "&amp;DF$6,'Job Master'!$F$12:$I$102,4,0),DO111-VLOOKUP($P111&amp;" | "&amp;DF$6,'Job Master'!$F$12:$I$102,4,0)-1),""),"")</f>
        <v/>
      </c>
      <c r="DI111" s="73"/>
      <c r="DJ111" s="123" t="str">
        <f t="shared" si="177"/>
        <v/>
      </c>
      <c r="DK111" s="123" t="str">
        <f t="shared" si="178"/>
        <v/>
      </c>
      <c r="DL111" s="97" t="str">
        <f t="shared" ca="1" si="179"/>
        <v/>
      </c>
      <c r="DM111" s="98" t="str">
        <f>IF(DO111&lt;&gt;"",VLOOKUP($P111&amp;" | "&amp;DM$6,'Job Master'!$F$12:$J$102,5,0),"")</f>
        <v/>
      </c>
      <c r="DN111" s="19" t="str">
        <f>IF(DO111&lt;&gt;"",VLOOKUP($P111&amp;" | "&amp;DM$6,'Job Master'!$F$12:$J$102,3,0),"")</f>
        <v/>
      </c>
      <c r="DO111" s="19" t="str">
        <f>IFERROR(IF(AND(DT111&lt;&gt;"",VLOOKUP($P111&amp;" | "&amp;DM$6,'Job Master'!$F$12:$I$102,4,0)&lt;&gt;""),IF(WEEKDAY(DT111-VLOOKUP($P111&amp;" | "&amp;DM$6,'Job Master'!$F$12:$I$102,4,0))&lt;&gt;7,DT111-VLOOKUP($P111&amp;" | "&amp;DM$6,'Job Master'!$F$12:$I$102,4,0),DT111-VLOOKUP($P111&amp;" | "&amp;DM$6,'Job Master'!$F$12:$I$102,4,0)-1),""),"")</f>
        <v/>
      </c>
      <c r="DP111" s="73"/>
      <c r="DQ111" s="123" t="str">
        <f t="shared" si="180"/>
        <v/>
      </c>
      <c r="DR111" s="123" t="str">
        <f t="shared" si="181"/>
        <v/>
      </c>
      <c r="DS111" s="97" t="str">
        <f t="shared" ca="1" si="182"/>
        <v/>
      </c>
      <c r="DT111" s="70" t="str">
        <f t="shared" si="183"/>
        <v/>
      </c>
      <c r="DU111" s="90"/>
      <c r="DV111" s="123" t="str">
        <f t="shared" si="184"/>
        <v/>
      </c>
      <c r="DW111" s="123" t="str">
        <f t="shared" si="185"/>
        <v/>
      </c>
      <c r="DX111" s="132" t="str">
        <f t="shared" ref="DX111" ca="1" si="234">IF(DT111&lt;&gt;"",IF(WEEKNUM(DT111)=WEEKNUM(TODAY()),"This Week",IF(WEEKNUM(DT111)=WEEKNUM(TODAY())+1,"Next Week",IF(WEEKNUM(DT111)=WEEKNUM(TODAY())-1,"Previous Week",""))),"")</f>
        <v/>
      </c>
      <c r="DY111" s="134" t="str">
        <f t="shared" si="187"/>
        <v/>
      </c>
      <c r="DZ111" s="95"/>
      <c r="EB111" s="8" t="str">
        <f t="shared" si="193"/>
        <v/>
      </c>
      <c r="EC111" s="8" t="str">
        <f>IF(O111&lt;&gt;"",VLOOKUP(O111,'Job Master'!$N$12:$O$18,2,0),"")</f>
        <v/>
      </c>
      <c r="ED111" s="8">
        <f t="shared" si="194"/>
        <v>19.5</v>
      </c>
      <c r="EE111" s="8">
        <f t="shared" si="195"/>
        <v>6</v>
      </c>
      <c r="EF111" s="8">
        <f t="shared" si="196"/>
        <v>-586.5</v>
      </c>
      <c r="EG111" s="8" t="str">
        <f t="shared" si="197"/>
        <v/>
      </c>
      <c r="EH111" s="8" t="str">
        <f t="shared" si="198"/>
        <v/>
      </c>
    </row>
    <row r="112" spans="2:138" x14ac:dyDescent="0.3">
      <c r="B112" s="112"/>
      <c r="C112" s="27"/>
      <c r="D112" s="7" t="str">
        <f t="shared" si="135"/>
        <v/>
      </c>
      <c r="E112" s="25"/>
      <c r="F112" s="7" t="str">
        <f t="shared" si="135"/>
        <v/>
      </c>
      <c r="G112" s="25"/>
      <c r="H112" s="7" t="str">
        <f t="shared" si="135"/>
        <v/>
      </c>
      <c r="I112" s="25"/>
      <c r="J112" s="7" t="str">
        <f t="shared" si="135"/>
        <v/>
      </c>
      <c r="K112" s="25"/>
      <c r="L112" s="7" t="str">
        <f t="shared" si="136"/>
        <v/>
      </c>
      <c r="M112" s="25"/>
      <c r="N112" s="7" t="str">
        <f t="shared" si="137"/>
        <v/>
      </c>
      <c r="O112" s="81"/>
      <c r="P112" s="81" t="str">
        <f t="shared" si="138"/>
        <v/>
      </c>
      <c r="Q112" s="81"/>
      <c r="R112" s="7" t="str">
        <f t="shared" si="139"/>
        <v/>
      </c>
      <c r="S112" s="25"/>
      <c r="T112" s="7" t="str">
        <f t="shared" si="140"/>
        <v/>
      </c>
      <c r="U112" s="25"/>
      <c r="V112" s="7" t="str">
        <f t="shared" si="141"/>
        <v/>
      </c>
      <c r="W112" s="25"/>
      <c r="X112" s="7" t="str">
        <f t="shared" si="142"/>
        <v/>
      </c>
      <c r="Y112" s="18" t="str">
        <f t="shared" si="143"/>
        <v/>
      </c>
      <c r="Z112" s="7" t="str">
        <f t="shared" si="144"/>
        <v/>
      </c>
      <c r="AA112" s="18" t="str">
        <f t="shared" si="145"/>
        <v/>
      </c>
      <c r="AB112" s="19" t="str">
        <f t="shared" si="146"/>
        <v/>
      </c>
      <c r="AC112" s="26"/>
      <c r="AD112" s="26"/>
      <c r="AE112" s="25"/>
      <c r="AF112" s="26"/>
      <c r="AG112" s="25"/>
      <c r="AH112" s="25"/>
      <c r="AI112" s="18" t="str">
        <f t="shared" si="209"/>
        <v/>
      </c>
      <c r="AJ112" s="25"/>
      <c r="AK112" s="18" t="str">
        <f t="shared" si="210"/>
        <v/>
      </c>
      <c r="AL112" s="79"/>
      <c r="AM112" s="126" t="str">
        <f t="shared" si="211"/>
        <v/>
      </c>
      <c r="AN112" s="128" t="str">
        <f>IF(AP112&lt;&gt;"",VLOOKUP($P112&amp;" | "&amp;AN$6,'Job Master'!$F$12:$J$102,5,0),"")</f>
        <v/>
      </c>
      <c r="AO112" s="19" t="str">
        <f>IF(AP112&lt;&gt;"",VLOOKUP($P112&amp;" | "&amp;AN$6,'Job Master'!$F$12:$J$102,3,0),"")</f>
        <v/>
      </c>
      <c r="AP112" s="19" t="str">
        <f>IFERROR(IF(AND(AW112&lt;&gt;"",VLOOKUP($P112&amp;" | "&amp;AN$6,'Job Master'!$F$12:$I$102,4,0)&lt;&gt;""),IF(WEEKDAY(AW112-VLOOKUP($P112&amp;" | "&amp;AN$6,'Job Master'!$F$12:$I$102,4,0))&lt;&gt;7,AW112-VLOOKUP($P112&amp;" | "&amp;AN$6,'Job Master'!$F$12:$I$102,4,0),AW112-VLOOKUP($P112&amp;" | "&amp;AN$6,'Job Master'!$F$12:$I$102,4,0)-1),""),"")</f>
        <v/>
      </c>
      <c r="AQ112" s="73"/>
      <c r="AR112" s="123" t="str">
        <f t="shared" si="147"/>
        <v/>
      </c>
      <c r="AS112" s="123" t="str">
        <f t="shared" si="148"/>
        <v/>
      </c>
      <c r="AT112" s="97" t="str">
        <f t="shared" ca="1" si="149"/>
        <v/>
      </c>
      <c r="AU112" s="98" t="str">
        <f>IF(AW112&lt;&gt;"",VLOOKUP($P112&amp;" | "&amp;AU$6,'Job Master'!$F$12:$J$102,5,0),"")</f>
        <v/>
      </c>
      <c r="AV112" s="19" t="str">
        <f>IF(AW112&lt;&gt;"",VLOOKUP($P112&amp;" | "&amp;AU$6,'Job Master'!$F$12:$J$102,3,0),"")</f>
        <v/>
      </c>
      <c r="AW112" s="19" t="str">
        <f>IFERROR(IF(AND(BD112&lt;&gt;"",VLOOKUP($P112&amp;" | "&amp;AU$6,'Job Master'!$F$12:$I$102,4,0)&lt;&gt;""),IF(WEEKDAY(BD112-VLOOKUP($P112&amp;" | "&amp;AU$6,'Job Master'!$F$12:$I$102,4,0))&lt;&gt;7,BD112-VLOOKUP($P112&amp;" | "&amp;AU$6,'Job Master'!$F$12:$I$102,4,0),BD112-VLOOKUP($P112&amp;" | "&amp;AU$6,'Job Master'!$F$12:$I$102,4,0)-1),""),"")</f>
        <v/>
      </c>
      <c r="AX112" s="73"/>
      <c r="AY112" s="123" t="str">
        <f t="shared" si="150"/>
        <v/>
      </c>
      <c r="AZ112" s="123" t="str">
        <f t="shared" si="151"/>
        <v/>
      </c>
      <c r="BA112" s="97" t="str">
        <f t="shared" ca="1" si="152"/>
        <v/>
      </c>
      <c r="BB112" s="98" t="str">
        <f>IF(BD112&lt;&gt;"",VLOOKUP($P112&amp;" | "&amp;BB$6,'Job Master'!$F$12:$J$102,5,0),"")</f>
        <v/>
      </c>
      <c r="BC112" s="19" t="str">
        <f>IF(BD112&lt;&gt;"",VLOOKUP($P112&amp;" | "&amp;BB$6,'Job Master'!$F$12:$J$102,3,0),"")</f>
        <v/>
      </c>
      <c r="BD112" s="19" t="str">
        <f>IFERROR(IF(AND(BK112&lt;&gt;"",VLOOKUP($P112&amp;" | "&amp;BB$6,'Job Master'!$F$12:$I$102,4,0)&lt;&gt;""),IF(WEEKDAY(BK112-VLOOKUP($P112&amp;" | "&amp;BB$6,'Job Master'!$F$12:$I$102,4,0))&lt;&gt;7,BK112-VLOOKUP($P112&amp;" | "&amp;BB$6,'Job Master'!$F$12:$I$102,4,0),BK112-VLOOKUP($P112&amp;" | "&amp;BB$6,'Job Master'!$F$12:$I$102,4,0)-1),""),"")</f>
        <v/>
      </c>
      <c r="BE112" s="73"/>
      <c r="BF112" s="123" t="str">
        <f t="shared" si="153"/>
        <v/>
      </c>
      <c r="BG112" s="123" t="str">
        <f t="shared" si="154"/>
        <v/>
      </c>
      <c r="BH112" s="97" t="str">
        <f t="shared" ca="1" si="155"/>
        <v/>
      </c>
      <c r="BI112" s="98" t="str">
        <f>IF(BK112&lt;&gt;"",VLOOKUP($P112&amp;" | "&amp;BI$6,'Job Master'!$F$12:$J$102,5,0),"")</f>
        <v/>
      </c>
      <c r="BJ112" s="19" t="str">
        <f>IF(BK112&lt;&gt;"",VLOOKUP($P112&amp;" | "&amp;BI$6,'Job Master'!$F$12:$J$102,3,0),"")</f>
        <v/>
      </c>
      <c r="BK112" s="19" t="str">
        <f>IFERROR(IF(AND(BR112&lt;&gt;"",VLOOKUP($P112&amp;" | "&amp;BI$6,'Job Master'!$F$12:$I$102,4,0)&lt;&gt;""),IF(WEEKDAY(BR112-VLOOKUP($P112&amp;" | "&amp;BI$6,'Job Master'!$F$12:$I$102,4,0))&lt;&gt;7,BR112-VLOOKUP($P112&amp;" | "&amp;BI$6,'Job Master'!$F$12:$I$102,4,0),BR112-VLOOKUP($P112&amp;" | "&amp;BI$6,'Job Master'!$F$12:$I$102,4,0)-1),""),"")</f>
        <v/>
      </c>
      <c r="BL112" s="73"/>
      <c r="BM112" s="123" t="str">
        <f t="shared" si="156"/>
        <v/>
      </c>
      <c r="BN112" s="123" t="str">
        <f t="shared" si="157"/>
        <v/>
      </c>
      <c r="BO112" s="97" t="str">
        <f t="shared" ca="1" si="158"/>
        <v/>
      </c>
      <c r="BP112" s="98" t="str">
        <f>IF(BR112&lt;&gt;"",VLOOKUP($P112&amp;" | "&amp;BP$6,'Job Master'!$F$12:$J$102,5,0),"")</f>
        <v/>
      </c>
      <c r="BQ112" s="19" t="str">
        <f>IF(BR112&lt;&gt;"",VLOOKUP($P112&amp;" | "&amp;BP$6,'Job Master'!$F$12:$J$102,3,0),"")</f>
        <v/>
      </c>
      <c r="BR112" s="19" t="str">
        <f>IFERROR(IF(AND(BY112&lt;&gt;"",VLOOKUP($P112&amp;" | "&amp;BP$6,'Job Master'!$F$12:$I$102,4,0)&lt;&gt;""),IF(WEEKDAY(BY112-VLOOKUP($P112&amp;" | "&amp;BP$6,'Job Master'!$F$12:$I$102,4,0))&lt;&gt;7,BY112-VLOOKUP($P112&amp;" | "&amp;BP$6,'Job Master'!$F$12:$I$102,4,0),BY112-VLOOKUP($P112&amp;" | "&amp;BP$6,'Job Master'!$F$12:$I$102,4,0)-1),""),"")</f>
        <v/>
      </c>
      <c r="BS112" s="73"/>
      <c r="BT112" s="123" t="str">
        <f t="shared" si="159"/>
        <v/>
      </c>
      <c r="BU112" s="123" t="str">
        <f t="shared" si="160"/>
        <v/>
      </c>
      <c r="BV112" s="97" t="str">
        <f t="shared" ca="1" si="161"/>
        <v/>
      </c>
      <c r="BW112" s="98" t="str">
        <f>IF(BY112&lt;&gt;"",VLOOKUP($P112&amp;" | "&amp;BW$6,'Job Master'!$F$12:$J$102,5,0),"")</f>
        <v/>
      </c>
      <c r="BX112" s="19" t="str">
        <f>IF(BY112&lt;&gt;"",VLOOKUP($P112&amp;" | "&amp;BW$6,'Job Master'!$F$12:$J$102,3,0),"")</f>
        <v/>
      </c>
      <c r="BY112" s="19" t="str">
        <f>IFERROR(IF(AND(CF112&lt;&gt;"",VLOOKUP($P112&amp;" | "&amp;BW$6,'Job Master'!$F$12:$I$102,4,0)&lt;&gt;""),IF(WEEKDAY(CF112-VLOOKUP($P112&amp;" | "&amp;BW$6,'Job Master'!$F$12:$I$102,4,0))&lt;&gt;7,CF112-VLOOKUP($P112&amp;" | "&amp;BW$6,'Job Master'!$F$12:$I$102,4,0),CF112-VLOOKUP($P112&amp;" | "&amp;BW$6,'Job Master'!$F$12:$I$102,4,0)-1),""),"")</f>
        <v/>
      </c>
      <c r="BZ112" s="73"/>
      <c r="CA112" s="123" t="str">
        <f t="shared" si="162"/>
        <v/>
      </c>
      <c r="CB112" s="123" t="str">
        <f t="shared" si="163"/>
        <v/>
      </c>
      <c r="CC112" s="97" t="str">
        <f t="shared" ca="1" si="164"/>
        <v/>
      </c>
      <c r="CD112" s="98" t="str">
        <f>IF(CF112&lt;&gt;"",VLOOKUP($P112&amp;" | "&amp;CD$6,'Job Master'!$F$12:$J$102,5,0),"")</f>
        <v/>
      </c>
      <c r="CE112" s="19" t="str">
        <f>IF(CF112&lt;&gt;"",VLOOKUP($P112&amp;" | "&amp;CD$6,'Job Master'!$F$12:$J$102,3,0),"")</f>
        <v/>
      </c>
      <c r="CF112" s="19" t="str">
        <f>IFERROR(IF(AND(CM112&lt;&gt;"",VLOOKUP($P112&amp;" | "&amp;CD$6,'Job Master'!$F$12:$I$102,4,0)&lt;&gt;""),IF(WEEKDAY(CM112-VLOOKUP($P112&amp;" | "&amp;CD$6,'Job Master'!$F$12:$I$102,4,0))&lt;&gt;7,CM112-VLOOKUP($P112&amp;" | "&amp;CD$6,'Job Master'!$F$12:$I$102,4,0),CM112-VLOOKUP($P112&amp;" | "&amp;CD$6,'Job Master'!$F$12:$I$102,4,0)-1),""),"")</f>
        <v/>
      </c>
      <c r="CG112" s="73"/>
      <c r="CH112" s="123" t="str">
        <f t="shared" si="165"/>
        <v/>
      </c>
      <c r="CI112" s="123" t="str">
        <f t="shared" si="166"/>
        <v/>
      </c>
      <c r="CJ112" s="97" t="str">
        <f t="shared" ca="1" si="167"/>
        <v/>
      </c>
      <c r="CK112" s="98" t="str">
        <f>IF(CM112&lt;&gt;"",VLOOKUP($P112&amp;" | "&amp;CK$6,'Job Master'!$F$12:$J$102,5,0),"")</f>
        <v/>
      </c>
      <c r="CL112" s="19" t="str">
        <f>IF(CM112&lt;&gt;"",VLOOKUP($P112&amp;" | "&amp;CK$6,'Job Master'!$F$12:$J$102,3,0),"")</f>
        <v/>
      </c>
      <c r="CM112" s="19" t="str">
        <f>IFERROR(IF(AND(CT112&lt;&gt;"",VLOOKUP($P112&amp;" | "&amp;CK$6,'Job Master'!$F$12:$I$102,4,0)&lt;&gt;""),IF(WEEKDAY(CT112-VLOOKUP($P112&amp;" | "&amp;CK$6,'Job Master'!$F$12:$I$102,4,0))&lt;&gt;7,CT112-VLOOKUP($P112&amp;" | "&amp;CK$6,'Job Master'!$F$12:$I$102,4,0),CT112-VLOOKUP($P112&amp;" | "&amp;CK$6,'Job Master'!$F$12:$I$102,4,0)-1),""),"")</f>
        <v/>
      </c>
      <c r="CN112" s="73"/>
      <c r="CO112" s="123" t="str">
        <f t="shared" si="168"/>
        <v/>
      </c>
      <c r="CP112" s="123" t="str">
        <f t="shared" si="169"/>
        <v/>
      </c>
      <c r="CQ112" s="97" t="str">
        <f t="shared" ca="1" si="170"/>
        <v/>
      </c>
      <c r="CR112" s="98" t="str">
        <f>IF(CT112&lt;&gt;"",VLOOKUP($P112&amp;" | "&amp;CR$6,'Job Master'!$F$12:$J$102,5,0),"")</f>
        <v/>
      </c>
      <c r="CS112" s="19" t="str">
        <f>IF(CT112&lt;&gt;"",VLOOKUP($P112&amp;" | "&amp;CR$6,'Job Master'!$F$12:$J$102,3,0),"")</f>
        <v/>
      </c>
      <c r="CT112" s="19" t="str">
        <f>IFERROR(IF(AND(DA112&lt;&gt;"",VLOOKUP($P112&amp;" | "&amp;CR$6,'Job Master'!$F$12:$I$102,4,0)&lt;&gt;""),IF(WEEKDAY(DA112-VLOOKUP($P112&amp;" | "&amp;CR$6,'Job Master'!$F$12:$I$102,4,0))&lt;&gt;7,DA112-VLOOKUP($P112&amp;" | "&amp;CR$6,'Job Master'!$F$12:$I$102,4,0),DA112-VLOOKUP($P112&amp;" | "&amp;CR$6,'Job Master'!$F$12:$I$102,4,0)-1),""),"")</f>
        <v/>
      </c>
      <c r="CU112" s="73"/>
      <c r="CV112" s="123" t="str">
        <f t="shared" si="171"/>
        <v/>
      </c>
      <c r="CW112" s="123" t="str">
        <f t="shared" si="172"/>
        <v/>
      </c>
      <c r="CX112" s="97" t="str">
        <f t="shared" ca="1" si="173"/>
        <v/>
      </c>
      <c r="CY112" s="98" t="str">
        <f>IF(DA112&lt;&gt;"",VLOOKUP($P112&amp;" | "&amp;CY$6,'Job Master'!$F$12:$J$102,5,0),"")</f>
        <v/>
      </c>
      <c r="CZ112" s="19" t="str">
        <f>IF(DA112&lt;&gt;"",VLOOKUP($P112&amp;" | "&amp;CY$6,'Job Master'!$F$12:$J$102,3,0),"")</f>
        <v/>
      </c>
      <c r="DA112" s="19" t="str">
        <f>IFERROR(IF(AND(DH112&lt;&gt;"",VLOOKUP($P112&amp;" | "&amp;CY$6,'Job Master'!$F$12:$I$102,4,0)&lt;&gt;""),IF(WEEKDAY(DH112-VLOOKUP($P112&amp;" | "&amp;CY$6,'Job Master'!$F$12:$I$102,4,0))&lt;&gt;7,DH112-VLOOKUP($P112&amp;" | "&amp;CY$6,'Job Master'!$F$12:$I$102,4,0),DH112-VLOOKUP($P112&amp;" | "&amp;CY$6,'Job Master'!$F$12:$I$102,4,0)-1),""),"")</f>
        <v/>
      </c>
      <c r="DB112" s="73"/>
      <c r="DC112" s="123" t="str">
        <f t="shared" si="174"/>
        <v/>
      </c>
      <c r="DD112" s="123" t="str">
        <f t="shared" si="175"/>
        <v/>
      </c>
      <c r="DE112" s="97" t="str">
        <f t="shared" ca="1" si="176"/>
        <v/>
      </c>
      <c r="DF112" s="98" t="str">
        <f>IF(DH112&lt;&gt;"",VLOOKUP($P112&amp;" | "&amp;DF$6,'Job Master'!$F$12:$J$102,5,0),"")</f>
        <v/>
      </c>
      <c r="DG112" s="19" t="str">
        <f>IF(DH112&lt;&gt;"",VLOOKUP($P112&amp;" | "&amp;DF$6,'Job Master'!$F$12:$J$102,3,0),"")</f>
        <v/>
      </c>
      <c r="DH112" s="19" t="str">
        <f>IFERROR(IF(AND(DO112&lt;&gt;"",VLOOKUP($P112&amp;" | "&amp;DF$6,'Job Master'!$F$12:$I$102,4,0)&lt;&gt;""),IF(WEEKDAY(DO112-VLOOKUP($P112&amp;" | "&amp;DF$6,'Job Master'!$F$12:$I$102,4,0))&lt;&gt;7,DO112-VLOOKUP($P112&amp;" | "&amp;DF$6,'Job Master'!$F$12:$I$102,4,0),DO112-VLOOKUP($P112&amp;" | "&amp;DF$6,'Job Master'!$F$12:$I$102,4,0)-1),""),"")</f>
        <v/>
      </c>
      <c r="DI112" s="73"/>
      <c r="DJ112" s="123" t="str">
        <f t="shared" si="177"/>
        <v/>
      </c>
      <c r="DK112" s="123" t="str">
        <f t="shared" si="178"/>
        <v/>
      </c>
      <c r="DL112" s="97" t="str">
        <f t="shared" ca="1" si="179"/>
        <v/>
      </c>
      <c r="DM112" s="98" t="str">
        <f>IF(DO112&lt;&gt;"",VLOOKUP($P112&amp;" | "&amp;DM$6,'Job Master'!$F$12:$J$102,5,0),"")</f>
        <v/>
      </c>
      <c r="DN112" s="19" t="str">
        <f>IF(DO112&lt;&gt;"",VLOOKUP($P112&amp;" | "&amp;DM$6,'Job Master'!$F$12:$J$102,3,0),"")</f>
        <v/>
      </c>
      <c r="DO112" s="19" t="str">
        <f>IFERROR(IF(AND(DT112&lt;&gt;"",VLOOKUP($P112&amp;" | "&amp;DM$6,'Job Master'!$F$12:$I$102,4,0)&lt;&gt;""),IF(WEEKDAY(DT112-VLOOKUP($P112&amp;" | "&amp;DM$6,'Job Master'!$F$12:$I$102,4,0))&lt;&gt;7,DT112-VLOOKUP($P112&amp;" | "&amp;DM$6,'Job Master'!$F$12:$I$102,4,0),DT112-VLOOKUP($P112&amp;" | "&amp;DM$6,'Job Master'!$F$12:$I$102,4,0)-1),""),"")</f>
        <v/>
      </c>
      <c r="DP112" s="73"/>
      <c r="DQ112" s="123" t="str">
        <f t="shared" si="180"/>
        <v/>
      </c>
      <c r="DR112" s="123" t="str">
        <f t="shared" si="181"/>
        <v/>
      </c>
      <c r="DS112" s="97" t="str">
        <f t="shared" ca="1" si="182"/>
        <v/>
      </c>
      <c r="DT112" s="70" t="str">
        <f t="shared" si="183"/>
        <v/>
      </c>
      <c r="DU112" s="90"/>
      <c r="DV112" s="123" t="str">
        <f t="shared" si="184"/>
        <v/>
      </c>
      <c r="DW112" s="123" t="str">
        <f t="shared" si="185"/>
        <v/>
      </c>
      <c r="DX112" s="132" t="str">
        <f t="shared" ref="DX112" ca="1" si="235">IF(DT112&lt;&gt;"",IF(WEEKNUM(DT112)=WEEKNUM(TODAY()),"This Week",IF(WEEKNUM(DT112)=WEEKNUM(TODAY())+1,"Next Week",IF(WEEKNUM(DT112)=WEEKNUM(TODAY())-1,"Previous Week",""))),"")</f>
        <v/>
      </c>
      <c r="DY112" s="134" t="str">
        <f t="shared" si="187"/>
        <v/>
      </c>
      <c r="DZ112" s="95"/>
      <c r="EB112" s="8" t="str">
        <f t="shared" si="193"/>
        <v/>
      </c>
      <c r="EC112" s="8" t="str">
        <f>IF(O112&lt;&gt;"",VLOOKUP(O112,'Job Master'!$N$12:$O$18,2,0),"")</f>
        <v/>
      </c>
      <c r="ED112" s="8">
        <f t="shared" si="194"/>
        <v>19.5</v>
      </c>
      <c r="EE112" s="8">
        <f t="shared" si="195"/>
        <v>6</v>
      </c>
      <c r="EF112" s="8">
        <f t="shared" si="196"/>
        <v>-592.5</v>
      </c>
      <c r="EG112" s="8" t="str">
        <f t="shared" si="197"/>
        <v/>
      </c>
      <c r="EH112" s="8" t="str">
        <f t="shared" si="198"/>
        <v/>
      </c>
    </row>
    <row r="113" spans="2:138" x14ac:dyDescent="0.3">
      <c r="B113" s="112"/>
      <c r="C113" s="27"/>
      <c r="D113" s="7" t="str">
        <f t="shared" si="135"/>
        <v/>
      </c>
      <c r="E113" s="25"/>
      <c r="F113" s="7" t="str">
        <f t="shared" si="135"/>
        <v/>
      </c>
      <c r="G113" s="25"/>
      <c r="H113" s="7" t="str">
        <f t="shared" si="135"/>
        <v/>
      </c>
      <c r="I113" s="25"/>
      <c r="J113" s="7" t="str">
        <f t="shared" si="135"/>
        <v/>
      </c>
      <c r="K113" s="25"/>
      <c r="L113" s="7" t="str">
        <f t="shared" si="136"/>
        <v/>
      </c>
      <c r="M113" s="25"/>
      <c r="N113" s="7" t="str">
        <f t="shared" si="137"/>
        <v/>
      </c>
      <c r="O113" s="81"/>
      <c r="P113" s="81" t="str">
        <f t="shared" si="138"/>
        <v/>
      </c>
      <c r="Q113" s="81"/>
      <c r="R113" s="7" t="str">
        <f t="shared" si="139"/>
        <v/>
      </c>
      <c r="S113" s="25"/>
      <c r="T113" s="7" t="str">
        <f t="shared" si="140"/>
        <v/>
      </c>
      <c r="U113" s="25"/>
      <c r="V113" s="7" t="str">
        <f t="shared" si="141"/>
        <v/>
      </c>
      <c r="W113" s="25"/>
      <c r="X113" s="7" t="str">
        <f t="shared" si="142"/>
        <v/>
      </c>
      <c r="Y113" s="18" t="str">
        <f t="shared" si="143"/>
        <v/>
      </c>
      <c r="Z113" s="7" t="str">
        <f t="shared" si="144"/>
        <v/>
      </c>
      <c r="AA113" s="18" t="str">
        <f t="shared" si="145"/>
        <v/>
      </c>
      <c r="AB113" s="19" t="str">
        <f t="shared" si="146"/>
        <v/>
      </c>
      <c r="AC113" s="26"/>
      <c r="AD113" s="26"/>
      <c r="AE113" s="25"/>
      <c r="AF113" s="26"/>
      <c r="AG113" s="25"/>
      <c r="AH113" s="25"/>
      <c r="AI113" s="18" t="str">
        <f t="shared" si="209"/>
        <v/>
      </c>
      <c r="AJ113" s="25"/>
      <c r="AK113" s="18" t="str">
        <f t="shared" si="210"/>
        <v/>
      </c>
      <c r="AL113" s="79"/>
      <c r="AM113" s="126" t="str">
        <f t="shared" si="211"/>
        <v/>
      </c>
      <c r="AN113" s="128" t="str">
        <f>IF(AP113&lt;&gt;"",VLOOKUP($P113&amp;" | "&amp;AN$6,'Job Master'!$F$12:$J$102,5,0),"")</f>
        <v/>
      </c>
      <c r="AO113" s="19" t="str">
        <f>IF(AP113&lt;&gt;"",VLOOKUP($P113&amp;" | "&amp;AN$6,'Job Master'!$F$12:$J$102,3,0),"")</f>
        <v/>
      </c>
      <c r="AP113" s="19" t="str">
        <f>IFERROR(IF(AND(AW113&lt;&gt;"",VLOOKUP($P113&amp;" | "&amp;AN$6,'Job Master'!$F$12:$I$102,4,0)&lt;&gt;""),IF(WEEKDAY(AW113-VLOOKUP($P113&amp;" | "&amp;AN$6,'Job Master'!$F$12:$I$102,4,0))&lt;&gt;7,AW113-VLOOKUP($P113&amp;" | "&amp;AN$6,'Job Master'!$F$12:$I$102,4,0),AW113-VLOOKUP($P113&amp;" | "&amp;AN$6,'Job Master'!$F$12:$I$102,4,0)-1),""),"")</f>
        <v/>
      </c>
      <c r="AQ113" s="73"/>
      <c r="AR113" s="123" t="str">
        <f t="shared" si="147"/>
        <v/>
      </c>
      <c r="AS113" s="123" t="str">
        <f t="shared" si="148"/>
        <v/>
      </c>
      <c r="AT113" s="97" t="str">
        <f t="shared" ca="1" si="149"/>
        <v/>
      </c>
      <c r="AU113" s="98" t="str">
        <f>IF(AW113&lt;&gt;"",VLOOKUP($P113&amp;" | "&amp;AU$6,'Job Master'!$F$12:$J$102,5,0),"")</f>
        <v/>
      </c>
      <c r="AV113" s="19" t="str">
        <f>IF(AW113&lt;&gt;"",VLOOKUP($P113&amp;" | "&amp;AU$6,'Job Master'!$F$12:$J$102,3,0),"")</f>
        <v/>
      </c>
      <c r="AW113" s="19" t="str">
        <f>IFERROR(IF(AND(BD113&lt;&gt;"",VLOOKUP($P113&amp;" | "&amp;AU$6,'Job Master'!$F$12:$I$102,4,0)&lt;&gt;""),IF(WEEKDAY(BD113-VLOOKUP($P113&amp;" | "&amp;AU$6,'Job Master'!$F$12:$I$102,4,0))&lt;&gt;7,BD113-VLOOKUP($P113&amp;" | "&amp;AU$6,'Job Master'!$F$12:$I$102,4,0),BD113-VLOOKUP($P113&amp;" | "&amp;AU$6,'Job Master'!$F$12:$I$102,4,0)-1),""),"")</f>
        <v/>
      </c>
      <c r="AX113" s="73"/>
      <c r="AY113" s="123" t="str">
        <f t="shared" si="150"/>
        <v/>
      </c>
      <c r="AZ113" s="123" t="str">
        <f t="shared" si="151"/>
        <v/>
      </c>
      <c r="BA113" s="97" t="str">
        <f t="shared" ca="1" si="152"/>
        <v/>
      </c>
      <c r="BB113" s="98" t="str">
        <f>IF(BD113&lt;&gt;"",VLOOKUP($P113&amp;" | "&amp;BB$6,'Job Master'!$F$12:$J$102,5,0),"")</f>
        <v/>
      </c>
      <c r="BC113" s="19" t="str">
        <f>IF(BD113&lt;&gt;"",VLOOKUP($P113&amp;" | "&amp;BB$6,'Job Master'!$F$12:$J$102,3,0),"")</f>
        <v/>
      </c>
      <c r="BD113" s="19" t="str">
        <f>IFERROR(IF(AND(BK113&lt;&gt;"",VLOOKUP($P113&amp;" | "&amp;BB$6,'Job Master'!$F$12:$I$102,4,0)&lt;&gt;""),IF(WEEKDAY(BK113-VLOOKUP($P113&amp;" | "&amp;BB$6,'Job Master'!$F$12:$I$102,4,0))&lt;&gt;7,BK113-VLOOKUP($P113&amp;" | "&amp;BB$6,'Job Master'!$F$12:$I$102,4,0),BK113-VLOOKUP($P113&amp;" | "&amp;BB$6,'Job Master'!$F$12:$I$102,4,0)-1),""),"")</f>
        <v/>
      </c>
      <c r="BE113" s="73"/>
      <c r="BF113" s="123" t="str">
        <f t="shared" si="153"/>
        <v/>
      </c>
      <c r="BG113" s="123" t="str">
        <f t="shared" si="154"/>
        <v/>
      </c>
      <c r="BH113" s="97" t="str">
        <f t="shared" ca="1" si="155"/>
        <v/>
      </c>
      <c r="BI113" s="98" t="str">
        <f>IF(BK113&lt;&gt;"",VLOOKUP($P113&amp;" | "&amp;BI$6,'Job Master'!$F$12:$J$102,5,0),"")</f>
        <v/>
      </c>
      <c r="BJ113" s="19" t="str">
        <f>IF(BK113&lt;&gt;"",VLOOKUP($P113&amp;" | "&amp;BI$6,'Job Master'!$F$12:$J$102,3,0),"")</f>
        <v/>
      </c>
      <c r="BK113" s="19" t="str">
        <f>IFERROR(IF(AND(BR113&lt;&gt;"",VLOOKUP($P113&amp;" | "&amp;BI$6,'Job Master'!$F$12:$I$102,4,0)&lt;&gt;""),IF(WEEKDAY(BR113-VLOOKUP($P113&amp;" | "&amp;BI$6,'Job Master'!$F$12:$I$102,4,0))&lt;&gt;7,BR113-VLOOKUP($P113&amp;" | "&amp;BI$6,'Job Master'!$F$12:$I$102,4,0),BR113-VLOOKUP($P113&amp;" | "&amp;BI$6,'Job Master'!$F$12:$I$102,4,0)-1),""),"")</f>
        <v/>
      </c>
      <c r="BL113" s="73"/>
      <c r="BM113" s="123" t="str">
        <f t="shared" si="156"/>
        <v/>
      </c>
      <c r="BN113" s="123" t="str">
        <f t="shared" si="157"/>
        <v/>
      </c>
      <c r="BO113" s="97" t="str">
        <f t="shared" ca="1" si="158"/>
        <v/>
      </c>
      <c r="BP113" s="98" t="str">
        <f>IF(BR113&lt;&gt;"",VLOOKUP($P113&amp;" | "&amp;BP$6,'Job Master'!$F$12:$J$102,5,0),"")</f>
        <v/>
      </c>
      <c r="BQ113" s="19" t="str">
        <f>IF(BR113&lt;&gt;"",VLOOKUP($P113&amp;" | "&amp;BP$6,'Job Master'!$F$12:$J$102,3,0),"")</f>
        <v/>
      </c>
      <c r="BR113" s="19" t="str">
        <f>IFERROR(IF(AND(BY113&lt;&gt;"",VLOOKUP($P113&amp;" | "&amp;BP$6,'Job Master'!$F$12:$I$102,4,0)&lt;&gt;""),IF(WEEKDAY(BY113-VLOOKUP($P113&amp;" | "&amp;BP$6,'Job Master'!$F$12:$I$102,4,0))&lt;&gt;7,BY113-VLOOKUP($P113&amp;" | "&amp;BP$6,'Job Master'!$F$12:$I$102,4,0),BY113-VLOOKUP($P113&amp;" | "&amp;BP$6,'Job Master'!$F$12:$I$102,4,0)-1),""),"")</f>
        <v/>
      </c>
      <c r="BS113" s="73"/>
      <c r="BT113" s="123" t="str">
        <f t="shared" si="159"/>
        <v/>
      </c>
      <c r="BU113" s="123" t="str">
        <f t="shared" si="160"/>
        <v/>
      </c>
      <c r="BV113" s="97" t="str">
        <f t="shared" ca="1" si="161"/>
        <v/>
      </c>
      <c r="BW113" s="98" t="str">
        <f>IF(BY113&lt;&gt;"",VLOOKUP($P113&amp;" | "&amp;BW$6,'Job Master'!$F$12:$J$102,5,0),"")</f>
        <v/>
      </c>
      <c r="BX113" s="19" t="str">
        <f>IF(BY113&lt;&gt;"",VLOOKUP($P113&amp;" | "&amp;BW$6,'Job Master'!$F$12:$J$102,3,0),"")</f>
        <v/>
      </c>
      <c r="BY113" s="19" t="str">
        <f>IFERROR(IF(AND(CF113&lt;&gt;"",VLOOKUP($P113&amp;" | "&amp;BW$6,'Job Master'!$F$12:$I$102,4,0)&lt;&gt;""),IF(WEEKDAY(CF113-VLOOKUP($P113&amp;" | "&amp;BW$6,'Job Master'!$F$12:$I$102,4,0))&lt;&gt;7,CF113-VLOOKUP($P113&amp;" | "&amp;BW$6,'Job Master'!$F$12:$I$102,4,0),CF113-VLOOKUP($P113&amp;" | "&amp;BW$6,'Job Master'!$F$12:$I$102,4,0)-1),""),"")</f>
        <v/>
      </c>
      <c r="BZ113" s="73"/>
      <c r="CA113" s="123" t="str">
        <f t="shared" si="162"/>
        <v/>
      </c>
      <c r="CB113" s="123" t="str">
        <f t="shared" si="163"/>
        <v/>
      </c>
      <c r="CC113" s="97" t="str">
        <f t="shared" ca="1" si="164"/>
        <v/>
      </c>
      <c r="CD113" s="98" t="str">
        <f>IF(CF113&lt;&gt;"",VLOOKUP($P113&amp;" | "&amp;CD$6,'Job Master'!$F$12:$J$102,5,0),"")</f>
        <v/>
      </c>
      <c r="CE113" s="19" t="str">
        <f>IF(CF113&lt;&gt;"",VLOOKUP($P113&amp;" | "&amp;CD$6,'Job Master'!$F$12:$J$102,3,0),"")</f>
        <v/>
      </c>
      <c r="CF113" s="19" t="str">
        <f>IFERROR(IF(AND(CM113&lt;&gt;"",VLOOKUP($P113&amp;" | "&amp;CD$6,'Job Master'!$F$12:$I$102,4,0)&lt;&gt;""),IF(WEEKDAY(CM113-VLOOKUP($P113&amp;" | "&amp;CD$6,'Job Master'!$F$12:$I$102,4,0))&lt;&gt;7,CM113-VLOOKUP($P113&amp;" | "&amp;CD$6,'Job Master'!$F$12:$I$102,4,0),CM113-VLOOKUP($P113&amp;" | "&amp;CD$6,'Job Master'!$F$12:$I$102,4,0)-1),""),"")</f>
        <v/>
      </c>
      <c r="CG113" s="73"/>
      <c r="CH113" s="123" t="str">
        <f t="shared" si="165"/>
        <v/>
      </c>
      <c r="CI113" s="123" t="str">
        <f t="shared" si="166"/>
        <v/>
      </c>
      <c r="CJ113" s="97" t="str">
        <f t="shared" ca="1" si="167"/>
        <v/>
      </c>
      <c r="CK113" s="98" t="str">
        <f>IF(CM113&lt;&gt;"",VLOOKUP($P113&amp;" | "&amp;CK$6,'Job Master'!$F$12:$J$102,5,0),"")</f>
        <v/>
      </c>
      <c r="CL113" s="19" t="str">
        <f>IF(CM113&lt;&gt;"",VLOOKUP($P113&amp;" | "&amp;CK$6,'Job Master'!$F$12:$J$102,3,0),"")</f>
        <v/>
      </c>
      <c r="CM113" s="19" t="str">
        <f>IFERROR(IF(AND(CT113&lt;&gt;"",VLOOKUP($P113&amp;" | "&amp;CK$6,'Job Master'!$F$12:$I$102,4,0)&lt;&gt;""),IF(WEEKDAY(CT113-VLOOKUP($P113&amp;" | "&amp;CK$6,'Job Master'!$F$12:$I$102,4,0))&lt;&gt;7,CT113-VLOOKUP($P113&amp;" | "&amp;CK$6,'Job Master'!$F$12:$I$102,4,0),CT113-VLOOKUP($P113&amp;" | "&amp;CK$6,'Job Master'!$F$12:$I$102,4,0)-1),""),"")</f>
        <v/>
      </c>
      <c r="CN113" s="73"/>
      <c r="CO113" s="123" t="str">
        <f t="shared" si="168"/>
        <v/>
      </c>
      <c r="CP113" s="123" t="str">
        <f t="shared" si="169"/>
        <v/>
      </c>
      <c r="CQ113" s="97" t="str">
        <f t="shared" ca="1" si="170"/>
        <v/>
      </c>
      <c r="CR113" s="98" t="str">
        <f>IF(CT113&lt;&gt;"",VLOOKUP($P113&amp;" | "&amp;CR$6,'Job Master'!$F$12:$J$102,5,0),"")</f>
        <v/>
      </c>
      <c r="CS113" s="19" t="str">
        <f>IF(CT113&lt;&gt;"",VLOOKUP($P113&amp;" | "&amp;CR$6,'Job Master'!$F$12:$J$102,3,0),"")</f>
        <v/>
      </c>
      <c r="CT113" s="19" t="str">
        <f>IFERROR(IF(AND(DA113&lt;&gt;"",VLOOKUP($P113&amp;" | "&amp;CR$6,'Job Master'!$F$12:$I$102,4,0)&lt;&gt;""),IF(WEEKDAY(DA113-VLOOKUP($P113&amp;" | "&amp;CR$6,'Job Master'!$F$12:$I$102,4,0))&lt;&gt;7,DA113-VLOOKUP($P113&amp;" | "&amp;CR$6,'Job Master'!$F$12:$I$102,4,0),DA113-VLOOKUP($P113&amp;" | "&amp;CR$6,'Job Master'!$F$12:$I$102,4,0)-1),""),"")</f>
        <v/>
      </c>
      <c r="CU113" s="73"/>
      <c r="CV113" s="123" t="str">
        <f t="shared" si="171"/>
        <v/>
      </c>
      <c r="CW113" s="123" t="str">
        <f t="shared" si="172"/>
        <v/>
      </c>
      <c r="CX113" s="97" t="str">
        <f t="shared" ca="1" si="173"/>
        <v/>
      </c>
      <c r="CY113" s="98" t="str">
        <f>IF(DA113&lt;&gt;"",VLOOKUP($P113&amp;" | "&amp;CY$6,'Job Master'!$F$12:$J$102,5,0),"")</f>
        <v/>
      </c>
      <c r="CZ113" s="19" t="str">
        <f>IF(DA113&lt;&gt;"",VLOOKUP($P113&amp;" | "&amp;CY$6,'Job Master'!$F$12:$J$102,3,0),"")</f>
        <v/>
      </c>
      <c r="DA113" s="19" t="str">
        <f>IFERROR(IF(AND(DH113&lt;&gt;"",VLOOKUP($P113&amp;" | "&amp;CY$6,'Job Master'!$F$12:$I$102,4,0)&lt;&gt;""),IF(WEEKDAY(DH113-VLOOKUP($P113&amp;" | "&amp;CY$6,'Job Master'!$F$12:$I$102,4,0))&lt;&gt;7,DH113-VLOOKUP($P113&amp;" | "&amp;CY$6,'Job Master'!$F$12:$I$102,4,0),DH113-VLOOKUP($P113&amp;" | "&amp;CY$6,'Job Master'!$F$12:$I$102,4,0)-1),""),"")</f>
        <v/>
      </c>
      <c r="DB113" s="73"/>
      <c r="DC113" s="123" t="str">
        <f t="shared" si="174"/>
        <v/>
      </c>
      <c r="DD113" s="123" t="str">
        <f t="shared" si="175"/>
        <v/>
      </c>
      <c r="DE113" s="97" t="str">
        <f t="shared" ca="1" si="176"/>
        <v/>
      </c>
      <c r="DF113" s="98" t="str">
        <f>IF(DH113&lt;&gt;"",VLOOKUP($P113&amp;" | "&amp;DF$6,'Job Master'!$F$12:$J$102,5,0),"")</f>
        <v/>
      </c>
      <c r="DG113" s="19" t="str">
        <f>IF(DH113&lt;&gt;"",VLOOKUP($P113&amp;" | "&amp;DF$6,'Job Master'!$F$12:$J$102,3,0),"")</f>
        <v/>
      </c>
      <c r="DH113" s="19" t="str">
        <f>IFERROR(IF(AND(DO113&lt;&gt;"",VLOOKUP($P113&amp;" | "&amp;DF$6,'Job Master'!$F$12:$I$102,4,0)&lt;&gt;""),IF(WEEKDAY(DO113-VLOOKUP($P113&amp;" | "&amp;DF$6,'Job Master'!$F$12:$I$102,4,0))&lt;&gt;7,DO113-VLOOKUP($P113&amp;" | "&amp;DF$6,'Job Master'!$F$12:$I$102,4,0),DO113-VLOOKUP($P113&amp;" | "&amp;DF$6,'Job Master'!$F$12:$I$102,4,0)-1),""),"")</f>
        <v/>
      </c>
      <c r="DI113" s="73"/>
      <c r="DJ113" s="123" t="str">
        <f t="shared" si="177"/>
        <v/>
      </c>
      <c r="DK113" s="123" t="str">
        <f t="shared" si="178"/>
        <v/>
      </c>
      <c r="DL113" s="97" t="str">
        <f t="shared" ca="1" si="179"/>
        <v/>
      </c>
      <c r="DM113" s="98" t="str">
        <f>IF(DO113&lt;&gt;"",VLOOKUP($P113&amp;" | "&amp;DM$6,'Job Master'!$F$12:$J$102,5,0),"")</f>
        <v/>
      </c>
      <c r="DN113" s="19" t="str">
        <f>IF(DO113&lt;&gt;"",VLOOKUP($P113&amp;" | "&amp;DM$6,'Job Master'!$F$12:$J$102,3,0),"")</f>
        <v/>
      </c>
      <c r="DO113" s="19" t="str">
        <f>IFERROR(IF(AND(DT113&lt;&gt;"",VLOOKUP($P113&amp;" | "&amp;DM$6,'Job Master'!$F$12:$I$102,4,0)&lt;&gt;""),IF(WEEKDAY(DT113-VLOOKUP($P113&amp;" | "&amp;DM$6,'Job Master'!$F$12:$I$102,4,0))&lt;&gt;7,DT113-VLOOKUP($P113&amp;" | "&amp;DM$6,'Job Master'!$F$12:$I$102,4,0),DT113-VLOOKUP($P113&amp;" | "&amp;DM$6,'Job Master'!$F$12:$I$102,4,0)-1),""),"")</f>
        <v/>
      </c>
      <c r="DP113" s="73"/>
      <c r="DQ113" s="123" t="str">
        <f t="shared" si="180"/>
        <v/>
      </c>
      <c r="DR113" s="123" t="str">
        <f t="shared" si="181"/>
        <v/>
      </c>
      <c r="DS113" s="97" t="str">
        <f t="shared" ca="1" si="182"/>
        <v/>
      </c>
      <c r="DT113" s="70" t="str">
        <f t="shared" si="183"/>
        <v/>
      </c>
      <c r="DU113" s="90"/>
      <c r="DV113" s="123" t="str">
        <f t="shared" si="184"/>
        <v/>
      </c>
      <c r="DW113" s="123" t="str">
        <f t="shared" si="185"/>
        <v/>
      </c>
      <c r="DX113" s="132" t="str">
        <f t="shared" ref="DX113" ca="1" si="236">IF(DT113&lt;&gt;"",IF(WEEKNUM(DT113)=WEEKNUM(TODAY()),"This Week",IF(WEEKNUM(DT113)=WEEKNUM(TODAY())+1,"Next Week",IF(WEEKNUM(DT113)=WEEKNUM(TODAY())-1,"Previous Week",""))),"")</f>
        <v/>
      </c>
      <c r="DY113" s="134" t="str">
        <f t="shared" si="187"/>
        <v/>
      </c>
      <c r="DZ113" s="95"/>
      <c r="EB113" s="8" t="str">
        <f t="shared" si="193"/>
        <v/>
      </c>
      <c r="EC113" s="8" t="str">
        <f>IF(O113&lt;&gt;"",VLOOKUP(O113,'Job Master'!$N$12:$O$18,2,0),"")</f>
        <v/>
      </c>
      <c r="ED113" s="8">
        <f t="shared" si="194"/>
        <v>19.5</v>
      </c>
      <c r="EE113" s="8">
        <f t="shared" si="195"/>
        <v>6</v>
      </c>
      <c r="EF113" s="8">
        <f t="shared" si="196"/>
        <v>-598.5</v>
      </c>
      <c r="EG113" s="8" t="str">
        <f t="shared" si="197"/>
        <v/>
      </c>
      <c r="EH113" s="8" t="str">
        <f t="shared" si="198"/>
        <v/>
      </c>
    </row>
    <row r="114" spans="2:138" x14ac:dyDescent="0.3">
      <c r="B114" s="112"/>
      <c r="C114" s="27"/>
      <c r="D114" s="7" t="str">
        <f t="shared" si="135"/>
        <v/>
      </c>
      <c r="E114" s="25"/>
      <c r="F114" s="7" t="str">
        <f t="shared" si="135"/>
        <v/>
      </c>
      <c r="G114" s="25"/>
      <c r="H114" s="7" t="str">
        <f t="shared" si="135"/>
        <v/>
      </c>
      <c r="I114" s="25"/>
      <c r="J114" s="7" t="str">
        <f t="shared" si="135"/>
        <v/>
      </c>
      <c r="K114" s="25"/>
      <c r="L114" s="7" t="str">
        <f t="shared" si="136"/>
        <v/>
      </c>
      <c r="M114" s="25"/>
      <c r="N114" s="7" t="str">
        <f t="shared" si="137"/>
        <v/>
      </c>
      <c r="O114" s="81"/>
      <c r="P114" s="81" t="str">
        <f t="shared" si="138"/>
        <v/>
      </c>
      <c r="Q114" s="81"/>
      <c r="R114" s="7" t="str">
        <f t="shared" si="139"/>
        <v/>
      </c>
      <c r="S114" s="25"/>
      <c r="T114" s="7" t="str">
        <f t="shared" si="140"/>
        <v/>
      </c>
      <c r="U114" s="25"/>
      <c r="V114" s="7" t="str">
        <f t="shared" si="141"/>
        <v/>
      </c>
      <c r="W114" s="25"/>
      <c r="X114" s="7" t="str">
        <f t="shared" si="142"/>
        <v/>
      </c>
      <c r="Y114" s="18" t="str">
        <f t="shared" si="143"/>
        <v/>
      </c>
      <c r="Z114" s="7" t="str">
        <f t="shared" si="144"/>
        <v/>
      </c>
      <c r="AA114" s="18" t="str">
        <f t="shared" si="145"/>
        <v/>
      </c>
      <c r="AB114" s="19" t="str">
        <f t="shared" si="146"/>
        <v/>
      </c>
      <c r="AC114" s="26"/>
      <c r="AD114" s="26"/>
      <c r="AE114" s="25"/>
      <c r="AF114" s="26"/>
      <c r="AG114" s="25"/>
      <c r="AH114" s="25"/>
      <c r="AI114" s="18" t="str">
        <f t="shared" si="209"/>
        <v/>
      </c>
      <c r="AJ114" s="25"/>
      <c r="AK114" s="18" t="str">
        <f t="shared" si="210"/>
        <v/>
      </c>
      <c r="AL114" s="79"/>
      <c r="AM114" s="126" t="str">
        <f t="shared" si="211"/>
        <v/>
      </c>
      <c r="AN114" s="128" t="str">
        <f>IF(AP114&lt;&gt;"",VLOOKUP($P114&amp;" | "&amp;AN$6,'Job Master'!$F$12:$J$102,5,0),"")</f>
        <v/>
      </c>
      <c r="AO114" s="19" t="str">
        <f>IF(AP114&lt;&gt;"",VLOOKUP($P114&amp;" | "&amp;AN$6,'Job Master'!$F$12:$J$102,3,0),"")</f>
        <v/>
      </c>
      <c r="AP114" s="19" t="str">
        <f>IFERROR(IF(AND(AW114&lt;&gt;"",VLOOKUP($P114&amp;" | "&amp;AN$6,'Job Master'!$F$12:$I$102,4,0)&lt;&gt;""),IF(WEEKDAY(AW114-VLOOKUP($P114&amp;" | "&amp;AN$6,'Job Master'!$F$12:$I$102,4,0))&lt;&gt;7,AW114-VLOOKUP($P114&amp;" | "&amp;AN$6,'Job Master'!$F$12:$I$102,4,0),AW114-VLOOKUP($P114&amp;" | "&amp;AN$6,'Job Master'!$F$12:$I$102,4,0)-1),""),"")</f>
        <v/>
      </c>
      <c r="AQ114" s="73"/>
      <c r="AR114" s="123" t="str">
        <f t="shared" si="147"/>
        <v/>
      </c>
      <c r="AS114" s="123" t="str">
        <f t="shared" si="148"/>
        <v/>
      </c>
      <c r="AT114" s="97" t="str">
        <f t="shared" ca="1" si="149"/>
        <v/>
      </c>
      <c r="AU114" s="98" t="str">
        <f>IF(AW114&lt;&gt;"",VLOOKUP($P114&amp;" | "&amp;AU$6,'Job Master'!$F$12:$J$102,5,0),"")</f>
        <v/>
      </c>
      <c r="AV114" s="19" t="str">
        <f>IF(AW114&lt;&gt;"",VLOOKUP($P114&amp;" | "&amp;AU$6,'Job Master'!$F$12:$J$102,3,0),"")</f>
        <v/>
      </c>
      <c r="AW114" s="19" t="str">
        <f>IFERROR(IF(AND(BD114&lt;&gt;"",VLOOKUP($P114&amp;" | "&amp;AU$6,'Job Master'!$F$12:$I$102,4,0)&lt;&gt;""),IF(WEEKDAY(BD114-VLOOKUP($P114&amp;" | "&amp;AU$6,'Job Master'!$F$12:$I$102,4,0))&lt;&gt;7,BD114-VLOOKUP($P114&amp;" | "&amp;AU$6,'Job Master'!$F$12:$I$102,4,0),BD114-VLOOKUP($P114&amp;" | "&amp;AU$6,'Job Master'!$F$12:$I$102,4,0)-1),""),"")</f>
        <v/>
      </c>
      <c r="AX114" s="73"/>
      <c r="AY114" s="123" t="str">
        <f t="shared" si="150"/>
        <v/>
      </c>
      <c r="AZ114" s="123" t="str">
        <f t="shared" si="151"/>
        <v/>
      </c>
      <c r="BA114" s="97" t="str">
        <f t="shared" ca="1" si="152"/>
        <v/>
      </c>
      <c r="BB114" s="98" t="str">
        <f>IF(BD114&lt;&gt;"",VLOOKUP($P114&amp;" | "&amp;BB$6,'Job Master'!$F$12:$J$102,5,0),"")</f>
        <v/>
      </c>
      <c r="BC114" s="19" t="str">
        <f>IF(BD114&lt;&gt;"",VLOOKUP($P114&amp;" | "&amp;BB$6,'Job Master'!$F$12:$J$102,3,0),"")</f>
        <v/>
      </c>
      <c r="BD114" s="19" t="str">
        <f>IFERROR(IF(AND(BK114&lt;&gt;"",VLOOKUP($P114&amp;" | "&amp;BB$6,'Job Master'!$F$12:$I$102,4,0)&lt;&gt;""),IF(WEEKDAY(BK114-VLOOKUP($P114&amp;" | "&amp;BB$6,'Job Master'!$F$12:$I$102,4,0))&lt;&gt;7,BK114-VLOOKUP($P114&amp;" | "&amp;BB$6,'Job Master'!$F$12:$I$102,4,0),BK114-VLOOKUP($P114&amp;" | "&amp;BB$6,'Job Master'!$F$12:$I$102,4,0)-1),""),"")</f>
        <v/>
      </c>
      <c r="BE114" s="73"/>
      <c r="BF114" s="123" t="str">
        <f t="shared" si="153"/>
        <v/>
      </c>
      <c r="BG114" s="123" t="str">
        <f t="shared" si="154"/>
        <v/>
      </c>
      <c r="BH114" s="97" t="str">
        <f t="shared" ca="1" si="155"/>
        <v/>
      </c>
      <c r="BI114" s="98" t="str">
        <f>IF(BK114&lt;&gt;"",VLOOKUP($P114&amp;" | "&amp;BI$6,'Job Master'!$F$12:$J$102,5,0),"")</f>
        <v/>
      </c>
      <c r="BJ114" s="19" t="str">
        <f>IF(BK114&lt;&gt;"",VLOOKUP($P114&amp;" | "&amp;BI$6,'Job Master'!$F$12:$J$102,3,0),"")</f>
        <v/>
      </c>
      <c r="BK114" s="19" t="str">
        <f>IFERROR(IF(AND(BR114&lt;&gt;"",VLOOKUP($P114&amp;" | "&amp;BI$6,'Job Master'!$F$12:$I$102,4,0)&lt;&gt;""),IF(WEEKDAY(BR114-VLOOKUP($P114&amp;" | "&amp;BI$6,'Job Master'!$F$12:$I$102,4,0))&lt;&gt;7,BR114-VLOOKUP($P114&amp;" | "&amp;BI$6,'Job Master'!$F$12:$I$102,4,0),BR114-VLOOKUP($P114&amp;" | "&amp;BI$6,'Job Master'!$F$12:$I$102,4,0)-1),""),"")</f>
        <v/>
      </c>
      <c r="BL114" s="73"/>
      <c r="BM114" s="123" t="str">
        <f t="shared" si="156"/>
        <v/>
      </c>
      <c r="BN114" s="123" t="str">
        <f t="shared" si="157"/>
        <v/>
      </c>
      <c r="BO114" s="97" t="str">
        <f t="shared" ca="1" si="158"/>
        <v/>
      </c>
      <c r="BP114" s="98" t="str">
        <f>IF(BR114&lt;&gt;"",VLOOKUP($P114&amp;" | "&amp;BP$6,'Job Master'!$F$12:$J$102,5,0),"")</f>
        <v/>
      </c>
      <c r="BQ114" s="19" t="str">
        <f>IF(BR114&lt;&gt;"",VLOOKUP($P114&amp;" | "&amp;BP$6,'Job Master'!$F$12:$J$102,3,0),"")</f>
        <v/>
      </c>
      <c r="BR114" s="19" t="str">
        <f>IFERROR(IF(AND(BY114&lt;&gt;"",VLOOKUP($P114&amp;" | "&amp;BP$6,'Job Master'!$F$12:$I$102,4,0)&lt;&gt;""),IF(WEEKDAY(BY114-VLOOKUP($P114&amp;" | "&amp;BP$6,'Job Master'!$F$12:$I$102,4,0))&lt;&gt;7,BY114-VLOOKUP($P114&amp;" | "&amp;BP$6,'Job Master'!$F$12:$I$102,4,0),BY114-VLOOKUP($P114&amp;" | "&amp;BP$6,'Job Master'!$F$12:$I$102,4,0)-1),""),"")</f>
        <v/>
      </c>
      <c r="BS114" s="73"/>
      <c r="BT114" s="123" t="str">
        <f t="shared" si="159"/>
        <v/>
      </c>
      <c r="BU114" s="123" t="str">
        <f t="shared" si="160"/>
        <v/>
      </c>
      <c r="BV114" s="97" t="str">
        <f t="shared" ca="1" si="161"/>
        <v/>
      </c>
      <c r="BW114" s="98" t="str">
        <f>IF(BY114&lt;&gt;"",VLOOKUP($P114&amp;" | "&amp;BW$6,'Job Master'!$F$12:$J$102,5,0),"")</f>
        <v/>
      </c>
      <c r="BX114" s="19" t="str">
        <f>IF(BY114&lt;&gt;"",VLOOKUP($P114&amp;" | "&amp;BW$6,'Job Master'!$F$12:$J$102,3,0),"")</f>
        <v/>
      </c>
      <c r="BY114" s="19" t="str">
        <f>IFERROR(IF(AND(CF114&lt;&gt;"",VLOOKUP($P114&amp;" | "&amp;BW$6,'Job Master'!$F$12:$I$102,4,0)&lt;&gt;""),IF(WEEKDAY(CF114-VLOOKUP($P114&amp;" | "&amp;BW$6,'Job Master'!$F$12:$I$102,4,0))&lt;&gt;7,CF114-VLOOKUP($P114&amp;" | "&amp;BW$6,'Job Master'!$F$12:$I$102,4,0),CF114-VLOOKUP($P114&amp;" | "&amp;BW$6,'Job Master'!$F$12:$I$102,4,0)-1),""),"")</f>
        <v/>
      </c>
      <c r="BZ114" s="73"/>
      <c r="CA114" s="123" t="str">
        <f t="shared" si="162"/>
        <v/>
      </c>
      <c r="CB114" s="123" t="str">
        <f t="shared" si="163"/>
        <v/>
      </c>
      <c r="CC114" s="97" t="str">
        <f t="shared" ca="1" si="164"/>
        <v/>
      </c>
      <c r="CD114" s="98" t="str">
        <f>IF(CF114&lt;&gt;"",VLOOKUP($P114&amp;" | "&amp;CD$6,'Job Master'!$F$12:$J$102,5,0),"")</f>
        <v/>
      </c>
      <c r="CE114" s="19" t="str">
        <f>IF(CF114&lt;&gt;"",VLOOKUP($P114&amp;" | "&amp;CD$6,'Job Master'!$F$12:$J$102,3,0),"")</f>
        <v/>
      </c>
      <c r="CF114" s="19" t="str">
        <f>IFERROR(IF(AND(CM114&lt;&gt;"",VLOOKUP($P114&amp;" | "&amp;CD$6,'Job Master'!$F$12:$I$102,4,0)&lt;&gt;""),IF(WEEKDAY(CM114-VLOOKUP($P114&amp;" | "&amp;CD$6,'Job Master'!$F$12:$I$102,4,0))&lt;&gt;7,CM114-VLOOKUP($P114&amp;" | "&amp;CD$6,'Job Master'!$F$12:$I$102,4,0),CM114-VLOOKUP($P114&amp;" | "&amp;CD$6,'Job Master'!$F$12:$I$102,4,0)-1),""),"")</f>
        <v/>
      </c>
      <c r="CG114" s="73"/>
      <c r="CH114" s="123" t="str">
        <f t="shared" si="165"/>
        <v/>
      </c>
      <c r="CI114" s="123" t="str">
        <f t="shared" si="166"/>
        <v/>
      </c>
      <c r="CJ114" s="97" t="str">
        <f t="shared" ca="1" si="167"/>
        <v/>
      </c>
      <c r="CK114" s="98" t="str">
        <f>IF(CM114&lt;&gt;"",VLOOKUP($P114&amp;" | "&amp;CK$6,'Job Master'!$F$12:$J$102,5,0),"")</f>
        <v/>
      </c>
      <c r="CL114" s="19" t="str">
        <f>IF(CM114&lt;&gt;"",VLOOKUP($P114&amp;" | "&amp;CK$6,'Job Master'!$F$12:$J$102,3,0),"")</f>
        <v/>
      </c>
      <c r="CM114" s="19" t="str">
        <f>IFERROR(IF(AND(CT114&lt;&gt;"",VLOOKUP($P114&amp;" | "&amp;CK$6,'Job Master'!$F$12:$I$102,4,0)&lt;&gt;""),IF(WEEKDAY(CT114-VLOOKUP($P114&amp;" | "&amp;CK$6,'Job Master'!$F$12:$I$102,4,0))&lt;&gt;7,CT114-VLOOKUP($P114&amp;" | "&amp;CK$6,'Job Master'!$F$12:$I$102,4,0),CT114-VLOOKUP($P114&amp;" | "&amp;CK$6,'Job Master'!$F$12:$I$102,4,0)-1),""),"")</f>
        <v/>
      </c>
      <c r="CN114" s="73"/>
      <c r="CO114" s="123" t="str">
        <f t="shared" si="168"/>
        <v/>
      </c>
      <c r="CP114" s="123" t="str">
        <f t="shared" si="169"/>
        <v/>
      </c>
      <c r="CQ114" s="97" t="str">
        <f t="shared" ca="1" si="170"/>
        <v/>
      </c>
      <c r="CR114" s="98" t="str">
        <f>IF(CT114&lt;&gt;"",VLOOKUP($P114&amp;" | "&amp;CR$6,'Job Master'!$F$12:$J$102,5,0),"")</f>
        <v/>
      </c>
      <c r="CS114" s="19" t="str">
        <f>IF(CT114&lt;&gt;"",VLOOKUP($P114&amp;" | "&amp;CR$6,'Job Master'!$F$12:$J$102,3,0),"")</f>
        <v/>
      </c>
      <c r="CT114" s="19" t="str">
        <f>IFERROR(IF(AND(DA114&lt;&gt;"",VLOOKUP($P114&amp;" | "&amp;CR$6,'Job Master'!$F$12:$I$102,4,0)&lt;&gt;""),IF(WEEKDAY(DA114-VLOOKUP($P114&amp;" | "&amp;CR$6,'Job Master'!$F$12:$I$102,4,0))&lt;&gt;7,DA114-VLOOKUP($P114&amp;" | "&amp;CR$6,'Job Master'!$F$12:$I$102,4,0),DA114-VLOOKUP($P114&amp;" | "&amp;CR$6,'Job Master'!$F$12:$I$102,4,0)-1),""),"")</f>
        <v/>
      </c>
      <c r="CU114" s="73"/>
      <c r="CV114" s="123" t="str">
        <f t="shared" si="171"/>
        <v/>
      </c>
      <c r="CW114" s="123" t="str">
        <f t="shared" si="172"/>
        <v/>
      </c>
      <c r="CX114" s="97" t="str">
        <f t="shared" ca="1" si="173"/>
        <v/>
      </c>
      <c r="CY114" s="98" t="str">
        <f>IF(DA114&lt;&gt;"",VLOOKUP($P114&amp;" | "&amp;CY$6,'Job Master'!$F$12:$J$102,5,0),"")</f>
        <v/>
      </c>
      <c r="CZ114" s="19" t="str">
        <f>IF(DA114&lt;&gt;"",VLOOKUP($P114&amp;" | "&amp;CY$6,'Job Master'!$F$12:$J$102,3,0),"")</f>
        <v/>
      </c>
      <c r="DA114" s="19" t="str">
        <f>IFERROR(IF(AND(DH114&lt;&gt;"",VLOOKUP($P114&amp;" | "&amp;CY$6,'Job Master'!$F$12:$I$102,4,0)&lt;&gt;""),IF(WEEKDAY(DH114-VLOOKUP($P114&amp;" | "&amp;CY$6,'Job Master'!$F$12:$I$102,4,0))&lt;&gt;7,DH114-VLOOKUP($P114&amp;" | "&amp;CY$6,'Job Master'!$F$12:$I$102,4,0),DH114-VLOOKUP($P114&amp;" | "&amp;CY$6,'Job Master'!$F$12:$I$102,4,0)-1),""),"")</f>
        <v/>
      </c>
      <c r="DB114" s="73"/>
      <c r="DC114" s="123" t="str">
        <f t="shared" si="174"/>
        <v/>
      </c>
      <c r="DD114" s="123" t="str">
        <f t="shared" si="175"/>
        <v/>
      </c>
      <c r="DE114" s="97" t="str">
        <f t="shared" ca="1" si="176"/>
        <v/>
      </c>
      <c r="DF114" s="98" t="str">
        <f>IF(DH114&lt;&gt;"",VLOOKUP($P114&amp;" | "&amp;DF$6,'Job Master'!$F$12:$J$102,5,0),"")</f>
        <v/>
      </c>
      <c r="DG114" s="19" t="str">
        <f>IF(DH114&lt;&gt;"",VLOOKUP($P114&amp;" | "&amp;DF$6,'Job Master'!$F$12:$J$102,3,0),"")</f>
        <v/>
      </c>
      <c r="DH114" s="19" t="str">
        <f>IFERROR(IF(AND(DO114&lt;&gt;"",VLOOKUP($P114&amp;" | "&amp;DF$6,'Job Master'!$F$12:$I$102,4,0)&lt;&gt;""),IF(WEEKDAY(DO114-VLOOKUP($P114&amp;" | "&amp;DF$6,'Job Master'!$F$12:$I$102,4,0))&lt;&gt;7,DO114-VLOOKUP($P114&amp;" | "&amp;DF$6,'Job Master'!$F$12:$I$102,4,0),DO114-VLOOKUP($P114&amp;" | "&amp;DF$6,'Job Master'!$F$12:$I$102,4,0)-1),""),"")</f>
        <v/>
      </c>
      <c r="DI114" s="73"/>
      <c r="DJ114" s="123" t="str">
        <f t="shared" si="177"/>
        <v/>
      </c>
      <c r="DK114" s="123" t="str">
        <f t="shared" si="178"/>
        <v/>
      </c>
      <c r="DL114" s="97" t="str">
        <f t="shared" ca="1" si="179"/>
        <v/>
      </c>
      <c r="DM114" s="98" t="str">
        <f>IF(DO114&lt;&gt;"",VLOOKUP($P114&amp;" | "&amp;DM$6,'Job Master'!$F$12:$J$102,5,0),"")</f>
        <v/>
      </c>
      <c r="DN114" s="19" t="str">
        <f>IF(DO114&lt;&gt;"",VLOOKUP($P114&amp;" | "&amp;DM$6,'Job Master'!$F$12:$J$102,3,0),"")</f>
        <v/>
      </c>
      <c r="DO114" s="19" t="str">
        <f>IFERROR(IF(AND(DT114&lt;&gt;"",VLOOKUP($P114&amp;" | "&amp;DM$6,'Job Master'!$F$12:$I$102,4,0)&lt;&gt;""),IF(WEEKDAY(DT114-VLOOKUP($P114&amp;" | "&amp;DM$6,'Job Master'!$F$12:$I$102,4,0))&lt;&gt;7,DT114-VLOOKUP($P114&amp;" | "&amp;DM$6,'Job Master'!$F$12:$I$102,4,0),DT114-VLOOKUP($P114&amp;" | "&amp;DM$6,'Job Master'!$F$12:$I$102,4,0)-1),""),"")</f>
        <v/>
      </c>
      <c r="DP114" s="73"/>
      <c r="DQ114" s="123" t="str">
        <f t="shared" si="180"/>
        <v/>
      </c>
      <c r="DR114" s="123" t="str">
        <f t="shared" si="181"/>
        <v/>
      </c>
      <c r="DS114" s="97" t="str">
        <f t="shared" ca="1" si="182"/>
        <v/>
      </c>
      <c r="DT114" s="70" t="str">
        <f t="shared" si="183"/>
        <v/>
      </c>
      <c r="DU114" s="90"/>
      <c r="DV114" s="123" t="str">
        <f t="shared" si="184"/>
        <v/>
      </c>
      <c r="DW114" s="123" t="str">
        <f t="shared" si="185"/>
        <v/>
      </c>
      <c r="DX114" s="132" t="str">
        <f t="shared" ref="DX114" ca="1" si="237">IF(DT114&lt;&gt;"",IF(WEEKNUM(DT114)=WEEKNUM(TODAY()),"This Week",IF(WEEKNUM(DT114)=WEEKNUM(TODAY())+1,"Next Week",IF(WEEKNUM(DT114)=WEEKNUM(TODAY())-1,"Previous Week",""))),"")</f>
        <v/>
      </c>
      <c r="DY114" s="134" t="str">
        <f t="shared" si="187"/>
        <v/>
      </c>
      <c r="DZ114" s="95"/>
      <c r="EB114" s="8" t="str">
        <f t="shared" si="193"/>
        <v/>
      </c>
      <c r="EC114" s="8" t="str">
        <f>IF(O114&lt;&gt;"",VLOOKUP(O114,'Job Master'!$N$12:$O$18,2,0),"")</f>
        <v/>
      </c>
      <c r="ED114" s="8">
        <f t="shared" si="194"/>
        <v>19.5</v>
      </c>
      <c r="EE114" s="8">
        <f t="shared" si="195"/>
        <v>6</v>
      </c>
      <c r="EF114" s="8">
        <f t="shared" si="196"/>
        <v>-604.5</v>
      </c>
      <c r="EG114" s="8" t="str">
        <f t="shared" si="197"/>
        <v/>
      </c>
      <c r="EH114" s="8" t="str">
        <f t="shared" si="198"/>
        <v/>
      </c>
    </row>
    <row r="115" spans="2:138" x14ac:dyDescent="0.3">
      <c r="B115" s="112"/>
      <c r="C115" s="27"/>
      <c r="D115" s="7" t="str">
        <f t="shared" si="135"/>
        <v/>
      </c>
      <c r="E115" s="25"/>
      <c r="F115" s="7" t="str">
        <f t="shared" si="135"/>
        <v/>
      </c>
      <c r="G115" s="25"/>
      <c r="H115" s="7" t="str">
        <f t="shared" si="135"/>
        <v/>
      </c>
      <c r="I115" s="25"/>
      <c r="J115" s="7" t="str">
        <f t="shared" si="135"/>
        <v/>
      </c>
      <c r="K115" s="25"/>
      <c r="L115" s="7" t="str">
        <f t="shared" si="136"/>
        <v/>
      </c>
      <c r="M115" s="25"/>
      <c r="N115" s="7" t="str">
        <f t="shared" si="137"/>
        <v/>
      </c>
      <c r="O115" s="81"/>
      <c r="P115" s="81" t="str">
        <f t="shared" si="138"/>
        <v/>
      </c>
      <c r="Q115" s="81"/>
      <c r="R115" s="7" t="str">
        <f t="shared" si="139"/>
        <v/>
      </c>
      <c r="S115" s="25"/>
      <c r="T115" s="7" t="str">
        <f t="shared" si="140"/>
        <v/>
      </c>
      <c r="U115" s="25"/>
      <c r="V115" s="7" t="str">
        <f t="shared" si="141"/>
        <v/>
      </c>
      <c r="W115" s="25"/>
      <c r="X115" s="7" t="str">
        <f t="shared" si="142"/>
        <v/>
      </c>
      <c r="Y115" s="18" t="str">
        <f t="shared" si="143"/>
        <v/>
      </c>
      <c r="Z115" s="7" t="str">
        <f t="shared" si="144"/>
        <v/>
      </c>
      <c r="AA115" s="18" t="str">
        <f t="shared" si="145"/>
        <v/>
      </c>
      <c r="AB115" s="19" t="str">
        <f t="shared" si="146"/>
        <v/>
      </c>
      <c r="AC115" s="26"/>
      <c r="AD115" s="26"/>
      <c r="AE115" s="25"/>
      <c r="AF115" s="26"/>
      <c r="AG115" s="25"/>
      <c r="AH115" s="25"/>
      <c r="AI115" s="18" t="str">
        <f t="shared" si="209"/>
        <v/>
      </c>
      <c r="AJ115" s="25"/>
      <c r="AK115" s="18" t="str">
        <f t="shared" si="210"/>
        <v/>
      </c>
      <c r="AL115" s="79"/>
      <c r="AM115" s="126" t="str">
        <f t="shared" si="211"/>
        <v/>
      </c>
      <c r="AN115" s="128" t="str">
        <f>IF(AP115&lt;&gt;"",VLOOKUP($P115&amp;" | "&amp;AN$6,'Job Master'!$F$12:$J$102,5,0),"")</f>
        <v/>
      </c>
      <c r="AO115" s="19" t="str">
        <f>IF(AP115&lt;&gt;"",VLOOKUP($P115&amp;" | "&amp;AN$6,'Job Master'!$F$12:$J$102,3,0),"")</f>
        <v/>
      </c>
      <c r="AP115" s="19" t="str">
        <f>IFERROR(IF(AND(AW115&lt;&gt;"",VLOOKUP($P115&amp;" | "&amp;AN$6,'Job Master'!$F$12:$I$102,4,0)&lt;&gt;""),IF(WEEKDAY(AW115-VLOOKUP($P115&amp;" | "&amp;AN$6,'Job Master'!$F$12:$I$102,4,0))&lt;&gt;7,AW115-VLOOKUP($P115&amp;" | "&amp;AN$6,'Job Master'!$F$12:$I$102,4,0),AW115-VLOOKUP($P115&amp;" | "&amp;AN$6,'Job Master'!$F$12:$I$102,4,0)-1),""),"")</f>
        <v/>
      </c>
      <c r="AQ115" s="73"/>
      <c r="AR115" s="123" t="str">
        <f t="shared" si="147"/>
        <v/>
      </c>
      <c r="AS115" s="123" t="str">
        <f t="shared" si="148"/>
        <v/>
      </c>
      <c r="AT115" s="97" t="str">
        <f t="shared" ca="1" si="149"/>
        <v/>
      </c>
      <c r="AU115" s="98" t="str">
        <f>IF(AW115&lt;&gt;"",VLOOKUP($P115&amp;" | "&amp;AU$6,'Job Master'!$F$12:$J$102,5,0),"")</f>
        <v/>
      </c>
      <c r="AV115" s="19" t="str">
        <f>IF(AW115&lt;&gt;"",VLOOKUP($P115&amp;" | "&amp;AU$6,'Job Master'!$F$12:$J$102,3,0),"")</f>
        <v/>
      </c>
      <c r="AW115" s="19" t="str">
        <f>IFERROR(IF(AND(BD115&lt;&gt;"",VLOOKUP($P115&amp;" | "&amp;AU$6,'Job Master'!$F$12:$I$102,4,0)&lt;&gt;""),IF(WEEKDAY(BD115-VLOOKUP($P115&amp;" | "&amp;AU$6,'Job Master'!$F$12:$I$102,4,0))&lt;&gt;7,BD115-VLOOKUP($P115&amp;" | "&amp;AU$6,'Job Master'!$F$12:$I$102,4,0),BD115-VLOOKUP($P115&amp;" | "&amp;AU$6,'Job Master'!$F$12:$I$102,4,0)-1),""),"")</f>
        <v/>
      </c>
      <c r="AX115" s="73"/>
      <c r="AY115" s="123" t="str">
        <f t="shared" si="150"/>
        <v/>
      </c>
      <c r="AZ115" s="123" t="str">
        <f t="shared" si="151"/>
        <v/>
      </c>
      <c r="BA115" s="97" t="str">
        <f t="shared" ca="1" si="152"/>
        <v/>
      </c>
      <c r="BB115" s="98" t="str">
        <f>IF(BD115&lt;&gt;"",VLOOKUP($P115&amp;" | "&amp;BB$6,'Job Master'!$F$12:$J$102,5,0),"")</f>
        <v/>
      </c>
      <c r="BC115" s="19" t="str">
        <f>IF(BD115&lt;&gt;"",VLOOKUP($P115&amp;" | "&amp;BB$6,'Job Master'!$F$12:$J$102,3,0),"")</f>
        <v/>
      </c>
      <c r="BD115" s="19" t="str">
        <f>IFERROR(IF(AND(BK115&lt;&gt;"",VLOOKUP($P115&amp;" | "&amp;BB$6,'Job Master'!$F$12:$I$102,4,0)&lt;&gt;""),IF(WEEKDAY(BK115-VLOOKUP($P115&amp;" | "&amp;BB$6,'Job Master'!$F$12:$I$102,4,0))&lt;&gt;7,BK115-VLOOKUP($P115&amp;" | "&amp;BB$6,'Job Master'!$F$12:$I$102,4,0),BK115-VLOOKUP($P115&amp;" | "&amp;BB$6,'Job Master'!$F$12:$I$102,4,0)-1),""),"")</f>
        <v/>
      </c>
      <c r="BE115" s="73"/>
      <c r="BF115" s="123" t="str">
        <f t="shared" si="153"/>
        <v/>
      </c>
      <c r="BG115" s="123" t="str">
        <f t="shared" si="154"/>
        <v/>
      </c>
      <c r="BH115" s="97" t="str">
        <f t="shared" ca="1" si="155"/>
        <v/>
      </c>
      <c r="BI115" s="98" t="str">
        <f>IF(BK115&lt;&gt;"",VLOOKUP($P115&amp;" | "&amp;BI$6,'Job Master'!$F$12:$J$102,5,0),"")</f>
        <v/>
      </c>
      <c r="BJ115" s="19" t="str">
        <f>IF(BK115&lt;&gt;"",VLOOKUP($P115&amp;" | "&amp;BI$6,'Job Master'!$F$12:$J$102,3,0),"")</f>
        <v/>
      </c>
      <c r="BK115" s="19" t="str">
        <f>IFERROR(IF(AND(BR115&lt;&gt;"",VLOOKUP($P115&amp;" | "&amp;BI$6,'Job Master'!$F$12:$I$102,4,0)&lt;&gt;""),IF(WEEKDAY(BR115-VLOOKUP($P115&amp;" | "&amp;BI$6,'Job Master'!$F$12:$I$102,4,0))&lt;&gt;7,BR115-VLOOKUP($P115&amp;" | "&amp;BI$6,'Job Master'!$F$12:$I$102,4,0),BR115-VLOOKUP($P115&amp;" | "&amp;BI$6,'Job Master'!$F$12:$I$102,4,0)-1),""),"")</f>
        <v/>
      </c>
      <c r="BL115" s="73"/>
      <c r="BM115" s="123" t="str">
        <f t="shared" si="156"/>
        <v/>
      </c>
      <c r="BN115" s="123" t="str">
        <f t="shared" si="157"/>
        <v/>
      </c>
      <c r="BO115" s="97" t="str">
        <f t="shared" ca="1" si="158"/>
        <v/>
      </c>
      <c r="BP115" s="98" t="str">
        <f>IF(BR115&lt;&gt;"",VLOOKUP($P115&amp;" | "&amp;BP$6,'Job Master'!$F$12:$J$102,5,0),"")</f>
        <v/>
      </c>
      <c r="BQ115" s="19" t="str">
        <f>IF(BR115&lt;&gt;"",VLOOKUP($P115&amp;" | "&amp;BP$6,'Job Master'!$F$12:$J$102,3,0),"")</f>
        <v/>
      </c>
      <c r="BR115" s="19" t="str">
        <f>IFERROR(IF(AND(BY115&lt;&gt;"",VLOOKUP($P115&amp;" | "&amp;BP$6,'Job Master'!$F$12:$I$102,4,0)&lt;&gt;""),IF(WEEKDAY(BY115-VLOOKUP($P115&amp;" | "&amp;BP$6,'Job Master'!$F$12:$I$102,4,0))&lt;&gt;7,BY115-VLOOKUP($P115&amp;" | "&amp;BP$6,'Job Master'!$F$12:$I$102,4,0),BY115-VLOOKUP($P115&amp;" | "&amp;BP$6,'Job Master'!$F$12:$I$102,4,0)-1),""),"")</f>
        <v/>
      </c>
      <c r="BS115" s="73"/>
      <c r="BT115" s="123" t="str">
        <f t="shared" si="159"/>
        <v/>
      </c>
      <c r="BU115" s="123" t="str">
        <f t="shared" si="160"/>
        <v/>
      </c>
      <c r="BV115" s="97" t="str">
        <f t="shared" ca="1" si="161"/>
        <v/>
      </c>
      <c r="BW115" s="98" t="str">
        <f>IF(BY115&lt;&gt;"",VLOOKUP($P115&amp;" | "&amp;BW$6,'Job Master'!$F$12:$J$102,5,0),"")</f>
        <v/>
      </c>
      <c r="BX115" s="19" t="str">
        <f>IF(BY115&lt;&gt;"",VLOOKUP($P115&amp;" | "&amp;BW$6,'Job Master'!$F$12:$J$102,3,0),"")</f>
        <v/>
      </c>
      <c r="BY115" s="19" t="str">
        <f>IFERROR(IF(AND(CF115&lt;&gt;"",VLOOKUP($P115&amp;" | "&amp;BW$6,'Job Master'!$F$12:$I$102,4,0)&lt;&gt;""),IF(WEEKDAY(CF115-VLOOKUP($P115&amp;" | "&amp;BW$6,'Job Master'!$F$12:$I$102,4,0))&lt;&gt;7,CF115-VLOOKUP($P115&amp;" | "&amp;BW$6,'Job Master'!$F$12:$I$102,4,0),CF115-VLOOKUP($P115&amp;" | "&amp;BW$6,'Job Master'!$F$12:$I$102,4,0)-1),""),"")</f>
        <v/>
      </c>
      <c r="BZ115" s="73"/>
      <c r="CA115" s="123" t="str">
        <f t="shared" si="162"/>
        <v/>
      </c>
      <c r="CB115" s="123" t="str">
        <f t="shared" si="163"/>
        <v/>
      </c>
      <c r="CC115" s="97" t="str">
        <f t="shared" ca="1" si="164"/>
        <v/>
      </c>
      <c r="CD115" s="98" t="str">
        <f>IF(CF115&lt;&gt;"",VLOOKUP($P115&amp;" | "&amp;CD$6,'Job Master'!$F$12:$J$102,5,0),"")</f>
        <v/>
      </c>
      <c r="CE115" s="19" t="str">
        <f>IF(CF115&lt;&gt;"",VLOOKUP($P115&amp;" | "&amp;CD$6,'Job Master'!$F$12:$J$102,3,0),"")</f>
        <v/>
      </c>
      <c r="CF115" s="19" t="str">
        <f>IFERROR(IF(AND(CM115&lt;&gt;"",VLOOKUP($P115&amp;" | "&amp;CD$6,'Job Master'!$F$12:$I$102,4,0)&lt;&gt;""),IF(WEEKDAY(CM115-VLOOKUP($P115&amp;" | "&amp;CD$6,'Job Master'!$F$12:$I$102,4,0))&lt;&gt;7,CM115-VLOOKUP($P115&amp;" | "&amp;CD$6,'Job Master'!$F$12:$I$102,4,0),CM115-VLOOKUP($P115&amp;" | "&amp;CD$6,'Job Master'!$F$12:$I$102,4,0)-1),""),"")</f>
        <v/>
      </c>
      <c r="CG115" s="73"/>
      <c r="CH115" s="123" t="str">
        <f t="shared" si="165"/>
        <v/>
      </c>
      <c r="CI115" s="123" t="str">
        <f t="shared" si="166"/>
        <v/>
      </c>
      <c r="CJ115" s="97" t="str">
        <f t="shared" ca="1" si="167"/>
        <v/>
      </c>
      <c r="CK115" s="98" t="str">
        <f>IF(CM115&lt;&gt;"",VLOOKUP($P115&amp;" | "&amp;CK$6,'Job Master'!$F$12:$J$102,5,0),"")</f>
        <v/>
      </c>
      <c r="CL115" s="19" t="str">
        <f>IF(CM115&lt;&gt;"",VLOOKUP($P115&amp;" | "&amp;CK$6,'Job Master'!$F$12:$J$102,3,0),"")</f>
        <v/>
      </c>
      <c r="CM115" s="19" t="str">
        <f>IFERROR(IF(AND(CT115&lt;&gt;"",VLOOKUP($P115&amp;" | "&amp;CK$6,'Job Master'!$F$12:$I$102,4,0)&lt;&gt;""),IF(WEEKDAY(CT115-VLOOKUP($P115&amp;" | "&amp;CK$6,'Job Master'!$F$12:$I$102,4,0))&lt;&gt;7,CT115-VLOOKUP($P115&amp;" | "&amp;CK$6,'Job Master'!$F$12:$I$102,4,0),CT115-VLOOKUP($P115&amp;" | "&amp;CK$6,'Job Master'!$F$12:$I$102,4,0)-1),""),"")</f>
        <v/>
      </c>
      <c r="CN115" s="73"/>
      <c r="CO115" s="123" t="str">
        <f t="shared" si="168"/>
        <v/>
      </c>
      <c r="CP115" s="123" t="str">
        <f t="shared" si="169"/>
        <v/>
      </c>
      <c r="CQ115" s="97" t="str">
        <f t="shared" ca="1" si="170"/>
        <v/>
      </c>
      <c r="CR115" s="98" t="str">
        <f>IF(CT115&lt;&gt;"",VLOOKUP($P115&amp;" | "&amp;CR$6,'Job Master'!$F$12:$J$102,5,0),"")</f>
        <v/>
      </c>
      <c r="CS115" s="19" t="str">
        <f>IF(CT115&lt;&gt;"",VLOOKUP($P115&amp;" | "&amp;CR$6,'Job Master'!$F$12:$J$102,3,0),"")</f>
        <v/>
      </c>
      <c r="CT115" s="19" t="str">
        <f>IFERROR(IF(AND(DA115&lt;&gt;"",VLOOKUP($P115&amp;" | "&amp;CR$6,'Job Master'!$F$12:$I$102,4,0)&lt;&gt;""),IF(WEEKDAY(DA115-VLOOKUP($P115&amp;" | "&amp;CR$6,'Job Master'!$F$12:$I$102,4,0))&lt;&gt;7,DA115-VLOOKUP($P115&amp;" | "&amp;CR$6,'Job Master'!$F$12:$I$102,4,0),DA115-VLOOKUP($P115&amp;" | "&amp;CR$6,'Job Master'!$F$12:$I$102,4,0)-1),""),"")</f>
        <v/>
      </c>
      <c r="CU115" s="73"/>
      <c r="CV115" s="123" t="str">
        <f t="shared" si="171"/>
        <v/>
      </c>
      <c r="CW115" s="123" t="str">
        <f t="shared" si="172"/>
        <v/>
      </c>
      <c r="CX115" s="97" t="str">
        <f t="shared" ca="1" si="173"/>
        <v/>
      </c>
      <c r="CY115" s="98" t="str">
        <f>IF(DA115&lt;&gt;"",VLOOKUP($P115&amp;" | "&amp;CY$6,'Job Master'!$F$12:$J$102,5,0),"")</f>
        <v/>
      </c>
      <c r="CZ115" s="19" t="str">
        <f>IF(DA115&lt;&gt;"",VLOOKUP($P115&amp;" | "&amp;CY$6,'Job Master'!$F$12:$J$102,3,0),"")</f>
        <v/>
      </c>
      <c r="DA115" s="19" t="str">
        <f>IFERROR(IF(AND(DH115&lt;&gt;"",VLOOKUP($P115&amp;" | "&amp;CY$6,'Job Master'!$F$12:$I$102,4,0)&lt;&gt;""),IF(WEEKDAY(DH115-VLOOKUP($P115&amp;" | "&amp;CY$6,'Job Master'!$F$12:$I$102,4,0))&lt;&gt;7,DH115-VLOOKUP($P115&amp;" | "&amp;CY$6,'Job Master'!$F$12:$I$102,4,0),DH115-VLOOKUP($P115&amp;" | "&amp;CY$6,'Job Master'!$F$12:$I$102,4,0)-1),""),"")</f>
        <v/>
      </c>
      <c r="DB115" s="73"/>
      <c r="DC115" s="123" t="str">
        <f t="shared" si="174"/>
        <v/>
      </c>
      <c r="DD115" s="123" t="str">
        <f t="shared" si="175"/>
        <v/>
      </c>
      <c r="DE115" s="97" t="str">
        <f t="shared" ca="1" si="176"/>
        <v/>
      </c>
      <c r="DF115" s="98" t="str">
        <f>IF(DH115&lt;&gt;"",VLOOKUP($P115&amp;" | "&amp;DF$6,'Job Master'!$F$12:$J$102,5,0),"")</f>
        <v/>
      </c>
      <c r="DG115" s="19" t="str">
        <f>IF(DH115&lt;&gt;"",VLOOKUP($P115&amp;" | "&amp;DF$6,'Job Master'!$F$12:$J$102,3,0),"")</f>
        <v/>
      </c>
      <c r="DH115" s="19" t="str">
        <f>IFERROR(IF(AND(DO115&lt;&gt;"",VLOOKUP($P115&amp;" | "&amp;DF$6,'Job Master'!$F$12:$I$102,4,0)&lt;&gt;""),IF(WEEKDAY(DO115-VLOOKUP($P115&amp;" | "&amp;DF$6,'Job Master'!$F$12:$I$102,4,0))&lt;&gt;7,DO115-VLOOKUP($P115&amp;" | "&amp;DF$6,'Job Master'!$F$12:$I$102,4,0),DO115-VLOOKUP($P115&amp;" | "&amp;DF$6,'Job Master'!$F$12:$I$102,4,0)-1),""),"")</f>
        <v/>
      </c>
      <c r="DI115" s="73"/>
      <c r="DJ115" s="123" t="str">
        <f t="shared" si="177"/>
        <v/>
      </c>
      <c r="DK115" s="123" t="str">
        <f t="shared" si="178"/>
        <v/>
      </c>
      <c r="DL115" s="97" t="str">
        <f t="shared" ca="1" si="179"/>
        <v/>
      </c>
      <c r="DM115" s="98" t="str">
        <f>IF(DO115&lt;&gt;"",VLOOKUP($P115&amp;" | "&amp;DM$6,'Job Master'!$F$12:$J$102,5,0),"")</f>
        <v/>
      </c>
      <c r="DN115" s="19" t="str">
        <f>IF(DO115&lt;&gt;"",VLOOKUP($P115&amp;" | "&amp;DM$6,'Job Master'!$F$12:$J$102,3,0),"")</f>
        <v/>
      </c>
      <c r="DO115" s="19" t="str">
        <f>IFERROR(IF(AND(DT115&lt;&gt;"",VLOOKUP($P115&amp;" | "&amp;DM$6,'Job Master'!$F$12:$I$102,4,0)&lt;&gt;""),IF(WEEKDAY(DT115-VLOOKUP($P115&amp;" | "&amp;DM$6,'Job Master'!$F$12:$I$102,4,0))&lt;&gt;7,DT115-VLOOKUP($P115&amp;" | "&amp;DM$6,'Job Master'!$F$12:$I$102,4,0),DT115-VLOOKUP($P115&amp;" | "&amp;DM$6,'Job Master'!$F$12:$I$102,4,0)-1),""),"")</f>
        <v/>
      </c>
      <c r="DP115" s="73"/>
      <c r="DQ115" s="123" t="str">
        <f t="shared" si="180"/>
        <v/>
      </c>
      <c r="DR115" s="123" t="str">
        <f t="shared" si="181"/>
        <v/>
      </c>
      <c r="DS115" s="97" t="str">
        <f t="shared" ca="1" si="182"/>
        <v/>
      </c>
      <c r="DT115" s="70" t="str">
        <f t="shared" si="183"/>
        <v/>
      </c>
      <c r="DU115" s="90"/>
      <c r="DV115" s="123" t="str">
        <f t="shared" si="184"/>
        <v/>
      </c>
      <c r="DW115" s="123" t="str">
        <f t="shared" si="185"/>
        <v/>
      </c>
      <c r="DX115" s="132" t="str">
        <f t="shared" ref="DX115" ca="1" si="238">IF(DT115&lt;&gt;"",IF(WEEKNUM(DT115)=WEEKNUM(TODAY()),"This Week",IF(WEEKNUM(DT115)=WEEKNUM(TODAY())+1,"Next Week",IF(WEEKNUM(DT115)=WEEKNUM(TODAY())-1,"Previous Week",""))),"")</f>
        <v/>
      </c>
      <c r="DY115" s="134" t="str">
        <f t="shared" si="187"/>
        <v/>
      </c>
      <c r="DZ115" s="95"/>
      <c r="EB115" s="8" t="str">
        <f t="shared" si="193"/>
        <v/>
      </c>
      <c r="EC115" s="8" t="str">
        <f>IF(O115&lt;&gt;"",VLOOKUP(O115,'Job Master'!$N$12:$O$18,2,0),"")</f>
        <v/>
      </c>
      <c r="ED115" s="8">
        <f t="shared" si="194"/>
        <v>19.5</v>
      </c>
      <c r="EE115" s="8">
        <f t="shared" si="195"/>
        <v>6</v>
      </c>
      <c r="EF115" s="8">
        <f t="shared" si="196"/>
        <v>-610.5</v>
      </c>
      <c r="EG115" s="8" t="str">
        <f t="shared" si="197"/>
        <v/>
      </c>
      <c r="EH115" s="8" t="str">
        <f t="shared" si="198"/>
        <v/>
      </c>
    </row>
    <row r="116" spans="2:138" x14ac:dyDescent="0.3">
      <c r="B116" s="112"/>
      <c r="C116" s="27"/>
      <c r="D116" s="7" t="str">
        <f t="shared" si="135"/>
        <v/>
      </c>
      <c r="E116" s="25"/>
      <c r="F116" s="7" t="str">
        <f t="shared" si="135"/>
        <v/>
      </c>
      <c r="G116" s="25"/>
      <c r="H116" s="7" t="str">
        <f t="shared" si="135"/>
        <v/>
      </c>
      <c r="I116" s="25"/>
      <c r="J116" s="7" t="str">
        <f t="shared" si="135"/>
        <v/>
      </c>
      <c r="K116" s="25"/>
      <c r="L116" s="7" t="str">
        <f t="shared" si="136"/>
        <v/>
      </c>
      <c r="M116" s="25"/>
      <c r="N116" s="7" t="str">
        <f t="shared" si="137"/>
        <v/>
      </c>
      <c r="O116" s="81"/>
      <c r="P116" s="81" t="str">
        <f t="shared" si="138"/>
        <v/>
      </c>
      <c r="Q116" s="81"/>
      <c r="R116" s="7" t="str">
        <f t="shared" si="139"/>
        <v/>
      </c>
      <c r="S116" s="25"/>
      <c r="T116" s="7" t="str">
        <f t="shared" si="140"/>
        <v/>
      </c>
      <c r="U116" s="25"/>
      <c r="V116" s="7" t="str">
        <f t="shared" si="141"/>
        <v/>
      </c>
      <c r="W116" s="25"/>
      <c r="X116" s="7" t="str">
        <f t="shared" si="142"/>
        <v/>
      </c>
      <c r="Y116" s="18" t="str">
        <f t="shared" si="143"/>
        <v/>
      </c>
      <c r="Z116" s="7" t="str">
        <f t="shared" si="144"/>
        <v/>
      </c>
      <c r="AA116" s="18" t="str">
        <f t="shared" si="145"/>
        <v/>
      </c>
      <c r="AB116" s="19" t="str">
        <f t="shared" si="146"/>
        <v/>
      </c>
      <c r="AC116" s="26"/>
      <c r="AD116" s="26"/>
      <c r="AE116" s="25"/>
      <c r="AF116" s="26"/>
      <c r="AG116" s="25"/>
      <c r="AH116" s="25"/>
      <c r="AI116" s="18" t="str">
        <f t="shared" si="209"/>
        <v/>
      </c>
      <c r="AJ116" s="25"/>
      <c r="AK116" s="18" t="str">
        <f t="shared" si="210"/>
        <v/>
      </c>
      <c r="AL116" s="79"/>
      <c r="AM116" s="126" t="str">
        <f t="shared" si="211"/>
        <v/>
      </c>
      <c r="AN116" s="128" t="str">
        <f>IF(AP116&lt;&gt;"",VLOOKUP($P116&amp;" | "&amp;AN$6,'Job Master'!$F$12:$J$102,5,0),"")</f>
        <v/>
      </c>
      <c r="AO116" s="19" t="str">
        <f>IF(AP116&lt;&gt;"",VLOOKUP($P116&amp;" | "&amp;AN$6,'Job Master'!$F$12:$J$102,3,0),"")</f>
        <v/>
      </c>
      <c r="AP116" s="19" t="str">
        <f>IFERROR(IF(AND(AW116&lt;&gt;"",VLOOKUP($P116&amp;" | "&amp;AN$6,'Job Master'!$F$12:$I$102,4,0)&lt;&gt;""),IF(WEEKDAY(AW116-VLOOKUP($P116&amp;" | "&amp;AN$6,'Job Master'!$F$12:$I$102,4,0))&lt;&gt;7,AW116-VLOOKUP($P116&amp;" | "&amp;AN$6,'Job Master'!$F$12:$I$102,4,0),AW116-VLOOKUP($P116&amp;" | "&amp;AN$6,'Job Master'!$F$12:$I$102,4,0)-1),""),"")</f>
        <v/>
      </c>
      <c r="AQ116" s="73"/>
      <c r="AR116" s="123" t="str">
        <f t="shared" si="147"/>
        <v/>
      </c>
      <c r="AS116" s="123" t="str">
        <f t="shared" si="148"/>
        <v/>
      </c>
      <c r="AT116" s="97" t="str">
        <f t="shared" ca="1" si="149"/>
        <v/>
      </c>
      <c r="AU116" s="98" t="str">
        <f>IF(AW116&lt;&gt;"",VLOOKUP($P116&amp;" | "&amp;AU$6,'Job Master'!$F$12:$J$102,5,0),"")</f>
        <v/>
      </c>
      <c r="AV116" s="19" t="str">
        <f>IF(AW116&lt;&gt;"",VLOOKUP($P116&amp;" | "&amp;AU$6,'Job Master'!$F$12:$J$102,3,0),"")</f>
        <v/>
      </c>
      <c r="AW116" s="19" t="str">
        <f>IFERROR(IF(AND(BD116&lt;&gt;"",VLOOKUP($P116&amp;" | "&amp;AU$6,'Job Master'!$F$12:$I$102,4,0)&lt;&gt;""),IF(WEEKDAY(BD116-VLOOKUP($P116&amp;" | "&amp;AU$6,'Job Master'!$F$12:$I$102,4,0))&lt;&gt;7,BD116-VLOOKUP($P116&amp;" | "&amp;AU$6,'Job Master'!$F$12:$I$102,4,0),BD116-VLOOKUP($P116&amp;" | "&amp;AU$6,'Job Master'!$F$12:$I$102,4,0)-1),""),"")</f>
        <v/>
      </c>
      <c r="AX116" s="73"/>
      <c r="AY116" s="123" t="str">
        <f t="shared" si="150"/>
        <v/>
      </c>
      <c r="AZ116" s="123" t="str">
        <f t="shared" si="151"/>
        <v/>
      </c>
      <c r="BA116" s="97" t="str">
        <f t="shared" ca="1" si="152"/>
        <v/>
      </c>
      <c r="BB116" s="98" t="str">
        <f>IF(BD116&lt;&gt;"",VLOOKUP($P116&amp;" | "&amp;BB$6,'Job Master'!$F$12:$J$102,5,0),"")</f>
        <v/>
      </c>
      <c r="BC116" s="19" t="str">
        <f>IF(BD116&lt;&gt;"",VLOOKUP($P116&amp;" | "&amp;BB$6,'Job Master'!$F$12:$J$102,3,0),"")</f>
        <v/>
      </c>
      <c r="BD116" s="19" t="str">
        <f>IFERROR(IF(AND(BK116&lt;&gt;"",VLOOKUP($P116&amp;" | "&amp;BB$6,'Job Master'!$F$12:$I$102,4,0)&lt;&gt;""),IF(WEEKDAY(BK116-VLOOKUP($P116&amp;" | "&amp;BB$6,'Job Master'!$F$12:$I$102,4,0))&lt;&gt;7,BK116-VLOOKUP($P116&amp;" | "&amp;BB$6,'Job Master'!$F$12:$I$102,4,0),BK116-VLOOKUP($P116&amp;" | "&amp;BB$6,'Job Master'!$F$12:$I$102,4,0)-1),""),"")</f>
        <v/>
      </c>
      <c r="BE116" s="73"/>
      <c r="BF116" s="123" t="str">
        <f t="shared" si="153"/>
        <v/>
      </c>
      <c r="BG116" s="123" t="str">
        <f t="shared" si="154"/>
        <v/>
      </c>
      <c r="BH116" s="97" t="str">
        <f t="shared" ca="1" si="155"/>
        <v/>
      </c>
      <c r="BI116" s="98" t="str">
        <f>IF(BK116&lt;&gt;"",VLOOKUP($P116&amp;" | "&amp;BI$6,'Job Master'!$F$12:$J$102,5,0),"")</f>
        <v/>
      </c>
      <c r="BJ116" s="19" t="str">
        <f>IF(BK116&lt;&gt;"",VLOOKUP($P116&amp;" | "&amp;BI$6,'Job Master'!$F$12:$J$102,3,0),"")</f>
        <v/>
      </c>
      <c r="BK116" s="19" t="str">
        <f>IFERROR(IF(AND(BR116&lt;&gt;"",VLOOKUP($P116&amp;" | "&amp;BI$6,'Job Master'!$F$12:$I$102,4,0)&lt;&gt;""),IF(WEEKDAY(BR116-VLOOKUP($P116&amp;" | "&amp;BI$6,'Job Master'!$F$12:$I$102,4,0))&lt;&gt;7,BR116-VLOOKUP($P116&amp;" | "&amp;BI$6,'Job Master'!$F$12:$I$102,4,0),BR116-VLOOKUP($P116&amp;" | "&amp;BI$6,'Job Master'!$F$12:$I$102,4,0)-1),""),"")</f>
        <v/>
      </c>
      <c r="BL116" s="73"/>
      <c r="BM116" s="123" t="str">
        <f t="shared" si="156"/>
        <v/>
      </c>
      <c r="BN116" s="123" t="str">
        <f t="shared" si="157"/>
        <v/>
      </c>
      <c r="BO116" s="97" t="str">
        <f t="shared" ca="1" si="158"/>
        <v/>
      </c>
      <c r="BP116" s="98" t="str">
        <f>IF(BR116&lt;&gt;"",VLOOKUP($P116&amp;" | "&amp;BP$6,'Job Master'!$F$12:$J$102,5,0),"")</f>
        <v/>
      </c>
      <c r="BQ116" s="19" t="str">
        <f>IF(BR116&lt;&gt;"",VLOOKUP($P116&amp;" | "&amp;BP$6,'Job Master'!$F$12:$J$102,3,0),"")</f>
        <v/>
      </c>
      <c r="BR116" s="19" t="str">
        <f>IFERROR(IF(AND(BY116&lt;&gt;"",VLOOKUP($P116&amp;" | "&amp;BP$6,'Job Master'!$F$12:$I$102,4,0)&lt;&gt;""),IF(WEEKDAY(BY116-VLOOKUP($P116&amp;" | "&amp;BP$6,'Job Master'!$F$12:$I$102,4,0))&lt;&gt;7,BY116-VLOOKUP($P116&amp;" | "&amp;BP$6,'Job Master'!$F$12:$I$102,4,0),BY116-VLOOKUP($P116&amp;" | "&amp;BP$6,'Job Master'!$F$12:$I$102,4,0)-1),""),"")</f>
        <v/>
      </c>
      <c r="BS116" s="73"/>
      <c r="BT116" s="123" t="str">
        <f t="shared" si="159"/>
        <v/>
      </c>
      <c r="BU116" s="123" t="str">
        <f t="shared" si="160"/>
        <v/>
      </c>
      <c r="BV116" s="97" t="str">
        <f t="shared" ca="1" si="161"/>
        <v/>
      </c>
      <c r="BW116" s="98" t="str">
        <f>IF(BY116&lt;&gt;"",VLOOKUP($P116&amp;" | "&amp;BW$6,'Job Master'!$F$12:$J$102,5,0),"")</f>
        <v/>
      </c>
      <c r="BX116" s="19" t="str">
        <f>IF(BY116&lt;&gt;"",VLOOKUP($P116&amp;" | "&amp;BW$6,'Job Master'!$F$12:$J$102,3,0),"")</f>
        <v/>
      </c>
      <c r="BY116" s="19" t="str">
        <f>IFERROR(IF(AND(CF116&lt;&gt;"",VLOOKUP($P116&amp;" | "&amp;BW$6,'Job Master'!$F$12:$I$102,4,0)&lt;&gt;""),IF(WEEKDAY(CF116-VLOOKUP($P116&amp;" | "&amp;BW$6,'Job Master'!$F$12:$I$102,4,0))&lt;&gt;7,CF116-VLOOKUP($P116&amp;" | "&amp;BW$6,'Job Master'!$F$12:$I$102,4,0),CF116-VLOOKUP($P116&amp;" | "&amp;BW$6,'Job Master'!$F$12:$I$102,4,0)-1),""),"")</f>
        <v/>
      </c>
      <c r="BZ116" s="73"/>
      <c r="CA116" s="123" t="str">
        <f t="shared" si="162"/>
        <v/>
      </c>
      <c r="CB116" s="123" t="str">
        <f t="shared" si="163"/>
        <v/>
      </c>
      <c r="CC116" s="97" t="str">
        <f t="shared" ca="1" si="164"/>
        <v/>
      </c>
      <c r="CD116" s="98" t="str">
        <f>IF(CF116&lt;&gt;"",VLOOKUP($P116&amp;" | "&amp;CD$6,'Job Master'!$F$12:$J$102,5,0),"")</f>
        <v/>
      </c>
      <c r="CE116" s="19" t="str">
        <f>IF(CF116&lt;&gt;"",VLOOKUP($P116&amp;" | "&amp;CD$6,'Job Master'!$F$12:$J$102,3,0),"")</f>
        <v/>
      </c>
      <c r="CF116" s="19" t="str">
        <f>IFERROR(IF(AND(CM116&lt;&gt;"",VLOOKUP($P116&amp;" | "&amp;CD$6,'Job Master'!$F$12:$I$102,4,0)&lt;&gt;""),IF(WEEKDAY(CM116-VLOOKUP($P116&amp;" | "&amp;CD$6,'Job Master'!$F$12:$I$102,4,0))&lt;&gt;7,CM116-VLOOKUP($P116&amp;" | "&amp;CD$6,'Job Master'!$F$12:$I$102,4,0),CM116-VLOOKUP($P116&amp;" | "&amp;CD$6,'Job Master'!$F$12:$I$102,4,0)-1),""),"")</f>
        <v/>
      </c>
      <c r="CG116" s="73"/>
      <c r="CH116" s="123" t="str">
        <f t="shared" si="165"/>
        <v/>
      </c>
      <c r="CI116" s="123" t="str">
        <f t="shared" si="166"/>
        <v/>
      </c>
      <c r="CJ116" s="97" t="str">
        <f t="shared" ca="1" si="167"/>
        <v/>
      </c>
      <c r="CK116" s="98" t="str">
        <f>IF(CM116&lt;&gt;"",VLOOKUP($P116&amp;" | "&amp;CK$6,'Job Master'!$F$12:$J$102,5,0),"")</f>
        <v/>
      </c>
      <c r="CL116" s="19" t="str">
        <f>IF(CM116&lt;&gt;"",VLOOKUP($P116&amp;" | "&amp;CK$6,'Job Master'!$F$12:$J$102,3,0),"")</f>
        <v/>
      </c>
      <c r="CM116" s="19" t="str">
        <f>IFERROR(IF(AND(CT116&lt;&gt;"",VLOOKUP($P116&amp;" | "&amp;CK$6,'Job Master'!$F$12:$I$102,4,0)&lt;&gt;""),IF(WEEKDAY(CT116-VLOOKUP($P116&amp;" | "&amp;CK$6,'Job Master'!$F$12:$I$102,4,0))&lt;&gt;7,CT116-VLOOKUP($P116&amp;" | "&amp;CK$6,'Job Master'!$F$12:$I$102,4,0),CT116-VLOOKUP($P116&amp;" | "&amp;CK$6,'Job Master'!$F$12:$I$102,4,0)-1),""),"")</f>
        <v/>
      </c>
      <c r="CN116" s="73"/>
      <c r="CO116" s="123" t="str">
        <f t="shared" si="168"/>
        <v/>
      </c>
      <c r="CP116" s="123" t="str">
        <f t="shared" si="169"/>
        <v/>
      </c>
      <c r="CQ116" s="97" t="str">
        <f t="shared" ca="1" si="170"/>
        <v/>
      </c>
      <c r="CR116" s="98" t="str">
        <f>IF(CT116&lt;&gt;"",VLOOKUP($P116&amp;" | "&amp;CR$6,'Job Master'!$F$12:$J$102,5,0),"")</f>
        <v/>
      </c>
      <c r="CS116" s="19" t="str">
        <f>IF(CT116&lt;&gt;"",VLOOKUP($P116&amp;" | "&amp;CR$6,'Job Master'!$F$12:$J$102,3,0),"")</f>
        <v/>
      </c>
      <c r="CT116" s="19" t="str">
        <f>IFERROR(IF(AND(DA116&lt;&gt;"",VLOOKUP($P116&amp;" | "&amp;CR$6,'Job Master'!$F$12:$I$102,4,0)&lt;&gt;""),IF(WEEKDAY(DA116-VLOOKUP($P116&amp;" | "&amp;CR$6,'Job Master'!$F$12:$I$102,4,0))&lt;&gt;7,DA116-VLOOKUP($P116&amp;" | "&amp;CR$6,'Job Master'!$F$12:$I$102,4,0),DA116-VLOOKUP($P116&amp;" | "&amp;CR$6,'Job Master'!$F$12:$I$102,4,0)-1),""),"")</f>
        <v/>
      </c>
      <c r="CU116" s="73"/>
      <c r="CV116" s="123" t="str">
        <f t="shared" si="171"/>
        <v/>
      </c>
      <c r="CW116" s="123" t="str">
        <f t="shared" si="172"/>
        <v/>
      </c>
      <c r="CX116" s="97" t="str">
        <f t="shared" ca="1" si="173"/>
        <v/>
      </c>
      <c r="CY116" s="98" t="str">
        <f>IF(DA116&lt;&gt;"",VLOOKUP($P116&amp;" | "&amp;CY$6,'Job Master'!$F$12:$J$102,5,0),"")</f>
        <v/>
      </c>
      <c r="CZ116" s="19" t="str">
        <f>IF(DA116&lt;&gt;"",VLOOKUP($P116&amp;" | "&amp;CY$6,'Job Master'!$F$12:$J$102,3,0),"")</f>
        <v/>
      </c>
      <c r="DA116" s="19" t="str">
        <f>IFERROR(IF(AND(DH116&lt;&gt;"",VLOOKUP($P116&amp;" | "&amp;CY$6,'Job Master'!$F$12:$I$102,4,0)&lt;&gt;""),IF(WEEKDAY(DH116-VLOOKUP($P116&amp;" | "&amp;CY$6,'Job Master'!$F$12:$I$102,4,0))&lt;&gt;7,DH116-VLOOKUP($P116&amp;" | "&amp;CY$6,'Job Master'!$F$12:$I$102,4,0),DH116-VLOOKUP($P116&amp;" | "&amp;CY$6,'Job Master'!$F$12:$I$102,4,0)-1),""),"")</f>
        <v/>
      </c>
      <c r="DB116" s="73"/>
      <c r="DC116" s="123" t="str">
        <f t="shared" si="174"/>
        <v/>
      </c>
      <c r="DD116" s="123" t="str">
        <f t="shared" si="175"/>
        <v/>
      </c>
      <c r="DE116" s="97" t="str">
        <f t="shared" ca="1" si="176"/>
        <v/>
      </c>
      <c r="DF116" s="98" t="str">
        <f>IF(DH116&lt;&gt;"",VLOOKUP($P116&amp;" | "&amp;DF$6,'Job Master'!$F$12:$J$102,5,0),"")</f>
        <v/>
      </c>
      <c r="DG116" s="19" t="str">
        <f>IF(DH116&lt;&gt;"",VLOOKUP($P116&amp;" | "&amp;DF$6,'Job Master'!$F$12:$J$102,3,0),"")</f>
        <v/>
      </c>
      <c r="DH116" s="19" t="str">
        <f>IFERROR(IF(AND(DO116&lt;&gt;"",VLOOKUP($P116&amp;" | "&amp;DF$6,'Job Master'!$F$12:$I$102,4,0)&lt;&gt;""),IF(WEEKDAY(DO116-VLOOKUP($P116&amp;" | "&amp;DF$6,'Job Master'!$F$12:$I$102,4,0))&lt;&gt;7,DO116-VLOOKUP($P116&amp;" | "&amp;DF$6,'Job Master'!$F$12:$I$102,4,0),DO116-VLOOKUP($P116&amp;" | "&amp;DF$6,'Job Master'!$F$12:$I$102,4,0)-1),""),"")</f>
        <v/>
      </c>
      <c r="DI116" s="73"/>
      <c r="DJ116" s="123" t="str">
        <f t="shared" si="177"/>
        <v/>
      </c>
      <c r="DK116" s="123" t="str">
        <f t="shared" si="178"/>
        <v/>
      </c>
      <c r="DL116" s="97" t="str">
        <f t="shared" ca="1" si="179"/>
        <v/>
      </c>
      <c r="DM116" s="98" t="str">
        <f>IF(DO116&lt;&gt;"",VLOOKUP($P116&amp;" | "&amp;DM$6,'Job Master'!$F$12:$J$102,5,0),"")</f>
        <v/>
      </c>
      <c r="DN116" s="19" t="str">
        <f>IF(DO116&lt;&gt;"",VLOOKUP($P116&amp;" | "&amp;DM$6,'Job Master'!$F$12:$J$102,3,0),"")</f>
        <v/>
      </c>
      <c r="DO116" s="19" t="str">
        <f>IFERROR(IF(AND(DT116&lt;&gt;"",VLOOKUP($P116&amp;" | "&amp;DM$6,'Job Master'!$F$12:$I$102,4,0)&lt;&gt;""),IF(WEEKDAY(DT116-VLOOKUP($P116&amp;" | "&amp;DM$6,'Job Master'!$F$12:$I$102,4,0))&lt;&gt;7,DT116-VLOOKUP($P116&amp;" | "&amp;DM$6,'Job Master'!$F$12:$I$102,4,0),DT116-VLOOKUP($P116&amp;" | "&amp;DM$6,'Job Master'!$F$12:$I$102,4,0)-1),""),"")</f>
        <v/>
      </c>
      <c r="DP116" s="73"/>
      <c r="DQ116" s="123" t="str">
        <f t="shared" si="180"/>
        <v/>
      </c>
      <c r="DR116" s="123" t="str">
        <f t="shared" si="181"/>
        <v/>
      </c>
      <c r="DS116" s="97" t="str">
        <f t="shared" ca="1" si="182"/>
        <v/>
      </c>
      <c r="DT116" s="70" t="str">
        <f t="shared" si="183"/>
        <v/>
      </c>
      <c r="DU116" s="90"/>
      <c r="DV116" s="123" t="str">
        <f t="shared" si="184"/>
        <v/>
      </c>
      <c r="DW116" s="123" t="str">
        <f t="shared" si="185"/>
        <v/>
      </c>
      <c r="DX116" s="132" t="str">
        <f t="shared" ref="DX116" ca="1" si="239">IF(DT116&lt;&gt;"",IF(WEEKNUM(DT116)=WEEKNUM(TODAY()),"This Week",IF(WEEKNUM(DT116)=WEEKNUM(TODAY())+1,"Next Week",IF(WEEKNUM(DT116)=WEEKNUM(TODAY())-1,"Previous Week",""))),"")</f>
        <v/>
      </c>
      <c r="DY116" s="134" t="str">
        <f t="shared" si="187"/>
        <v/>
      </c>
      <c r="DZ116" s="95"/>
      <c r="EB116" s="8" t="str">
        <f t="shared" si="193"/>
        <v/>
      </c>
      <c r="EC116" s="8" t="str">
        <f>IF(O116&lt;&gt;"",VLOOKUP(O116,'Job Master'!$N$12:$O$18,2,0),"")</f>
        <v/>
      </c>
      <c r="ED116" s="8">
        <f t="shared" si="194"/>
        <v>19.5</v>
      </c>
      <c r="EE116" s="8">
        <f t="shared" si="195"/>
        <v>6</v>
      </c>
      <c r="EF116" s="8">
        <f t="shared" si="196"/>
        <v>-616.5</v>
      </c>
      <c r="EG116" s="8" t="str">
        <f t="shared" si="197"/>
        <v/>
      </c>
      <c r="EH116" s="8" t="str">
        <f t="shared" si="198"/>
        <v/>
      </c>
    </row>
    <row r="117" spans="2:138" x14ac:dyDescent="0.3">
      <c r="B117" s="112"/>
      <c r="C117" s="27"/>
      <c r="D117" s="7" t="str">
        <f t="shared" si="135"/>
        <v/>
      </c>
      <c r="E117" s="25"/>
      <c r="F117" s="7" t="str">
        <f t="shared" si="135"/>
        <v/>
      </c>
      <c r="G117" s="25"/>
      <c r="H117" s="7" t="str">
        <f t="shared" si="135"/>
        <v/>
      </c>
      <c r="I117" s="25"/>
      <c r="J117" s="7" t="str">
        <f t="shared" si="135"/>
        <v/>
      </c>
      <c r="K117" s="25"/>
      <c r="L117" s="7" t="str">
        <f t="shared" si="136"/>
        <v/>
      </c>
      <c r="M117" s="25"/>
      <c r="N117" s="7" t="str">
        <f t="shared" si="137"/>
        <v/>
      </c>
      <c r="O117" s="81"/>
      <c r="P117" s="81" t="str">
        <f t="shared" si="138"/>
        <v/>
      </c>
      <c r="Q117" s="81"/>
      <c r="R117" s="7" t="str">
        <f t="shared" si="139"/>
        <v/>
      </c>
      <c r="S117" s="25"/>
      <c r="T117" s="7" t="str">
        <f t="shared" si="140"/>
        <v/>
      </c>
      <c r="U117" s="25"/>
      <c r="V117" s="7" t="str">
        <f t="shared" si="141"/>
        <v/>
      </c>
      <c r="W117" s="25"/>
      <c r="X117" s="7" t="str">
        <f t="shared" si="142"/>
        <v/>
      </c>
      <c r="Y117" s="18" t="str">
        <f t="shared" si="143"/>
        <v/>
      </c>
      <c r="Z117" s="7" t="str">
        <f t="shared" si="144"/>
        <v/>
      </c>
      <c r="AA117" s="18" t="str">
        <f t="shared" si="145"/>
        <v/>
      </c>
      <c r="AB117" s="19" t="str">
        <f t="shared" si="146"/>
        <v/>
      </c>
      <c r="AC117" s="26"/>
      <c r="AD117" s="26"/>
      <c r="AE117" s="25"/>
      <c r="AF117" s="26"/>
      <c r="AG117" s="25"/>
      <c r="AH117" s="25"/>
      <c r="AI117" s="18" t="str">
        <f t="shared" si="209"/>
        <v/>
      </c>
      <c r="AJ117" s="25"/>
      <c r="AK117" s="18" t="str">
        <f t="shared" si="210"/>
        <v/>
      </c>
      <c r="AL117" s="79"/>
      <c r="AM117" s="126" t="str">
        <f t="shared" si="211"/>
        <v/>
      </c>
      <c r="AN117" s="128" t="str">
        <f>IF(AP117&lt;&gt;"",VLOOKUP($P117&amp;" | "&amp;AN$6,'Job Master'!$F$12:$J$102,5,0),"")</f>
        <v/>
      </c>
      <c r="AO117" s="19" t="str">
        <f>IF(AP117&lt;&gt;"",VLOOKUP($P117&amp;" | "&amp;AN$6,'Job Master'!$F$12:$J$102,3,0),"")</f>
        <v/>
      </c>
      <c r="AP117" s="19" t="str">
        <f>IFERROR(IF(AND(AW117&lt;&gt;"",VLOOKUP($P117&amp;" | "&amp;AN$6,'Job Master'!$F$12:$I$102,4,0)&lt;&gt;""),IF(WEEKDAY(AW117-VLOOKUP($P117&amp;" | "&amp;AN$6,'Job Master'!$F$12:$I$102,4,0))&lt;&gt;7,AW117-VLOOKUP($P117&amp;" | "&amp;AN$6,'Job Master'!$F$12:$I$102,4,0),AW117-VLOOKUP($P117&amp;" | "&amp;AN$6,'Job Master'!$F$12:$I$102,4,0)-1),""),"")</f>
        <v/>
      </c>
      <c r="AQ117" s="73"/>
      <c r="AR117" s="123" t="str">
        <f t="shared" si="147"/>
        <v/>
      </c>
      <c r="AS117" s="123" t="str">
        <f t="shared" si="148"/>
        <v/>
      </c>
      <c r="AT117" s="97" t="str">
        <f t="shared" ca="1" si="149"/>
        <v/>
      </c>
      <c r="AU117" s="98" t="str">
        <f>IF(AW117&lt;&gt;"",VLOOKUP($P117&amp;" | "&amp;AU$6,'Job Master'!$F$12:$J$102,5,0),"")</f>
        <v/>
      </c>
      <c r="AV117" s="19" t="str">
        <f>IF(AW117&lt;&gt;"",VLOOKUP($P117&amp;" | "&amp;AU$6,'Job Master'!$F$12:$J$102,3,0),"")</f>
        <v/>
      </c>
      <c r="AW117" s="19" t="str">
        <f>IFERROR(IF(AND(BD117&lt;&gt;"",VLOOKUP($P117&amp;" | "&amp;AU$6,'Job Master'!$F$12:$I$102,4,0)&lt;&gt;""),IF(WEEKDAY(BD117-VLOOKUP($P117&amp;" | "&amp;AU$6,'Job Master'!$F$12:$I$102,4,0))&lt;&gt;7,BD117-VLOOKUP($P117&amp;" | "&amp;AU$6,'Job Master'!$F$12:$I$102,4,0),BD117-VLOOKUP($P117&amp;" | "&amp;AU$6,'Job Master'!$F$12:$I$102,4,0)-1),""),"")</f>
        <v/>
      </c>
      <c r="AX117" s="73"/>
      <c r="AY117" s="123" t="str">
        <f t="shared" si="150"/>
        <v/>
      </c>
      <c r="AZ117" s="123" t="str">
        <f t="shared" si="151"/>
        <v/>
      </c>
      <c r="BA117" s="97" t="str">
        <f t="shared" ca="1" si="152"/>
        <v/>
      </c>
      <c r="BB117" s="98" t="str">
        <f>IF(BD117&lt;&gt;"",VLOOKUP($P117&amp;" | "&amp;BB$6,'Job Master'!$F$12:$J$102,5,0),"")</f>
        <v/>
      </c>
      <c r="BC117" s="19" t="str">
        <f>IF(BD117&lt;&gt;"",VLOOKUP($P117&amp;" | "&amp;BB$6,'Job Master'!$F$12:$J$102,3,0),"")</f>
        <v/>
      </c>
      <c r="BD117" s="19" t="str">
        <f>IFERROR(IF(AND(BK117&lt;&gt;"",VLOOKUP($P117&amp;" | "&amp;BB$6,'Job Master'!$F$12:$I$102,4,0)&lt;&gt;""),IF(WEEKDAY(BK117-VLOOKUP($P117&amp;" | "&amp;BB$6,'Job Master'!$F$12:$I$102,4,0))&lt;&gt;7,BK117-VLOOKUP($P117&amp;" | "&amp;BB$6,'Job Master'!$F$12:$I$102,4,0),BK117-VLOOKUP($P117&amp;" | "&amp;BB$6,'Job Master'!$F$12:$I$102,4,0)-1),""),"")</f>
        <v/>
      </c>
      <c r="BE117" s="73"/>
      <c r="BF117" s="123" t="str">
        <f t="shared" si="153"/>
        <v/>
      </c>
      <c r="BG117" s="123" t="str">
        <f t="shared" si="154"/>
        <v/>
      </c>
      <c r="BH117" s="97" t="str">
        <f t="shared" ca="1" si="155"/>
        <v/>
      </c>
      <c r="BI117" s="98" t="str">
        <f>IF(BK117&lt;&gt;"",VLOOKUP($P117&amp;" | "&amp;BI$6,'Job Master'!$F$12:$J$102,5,0),"")</f>
        <v/>
      </c>
      <c r="BJ117" s="19" t="str">
        <f>IF(BK117&lt;&gt;"",VLOOKUP($P117&amp;" | "&amp;BI$6,'Job Master'!$F$12:$J$102,3,0),"")</f>
        <v/>
      </c>
      <c r="BK117" s="19" t="str">
        <f>IFERROR(IF(AND(BR117&lt;&gt;"",VLOOKUP($P117&amp;" | "&amp;BI$6,'Job Master'!$F$12:$I$102,4,0)&lt;&gt;""),IF(WEEKDAY(BR117-VLOOKUP($P117&amp;" | "&amp;BI$6,'Job Master'!$F$12:$I$102,4,0))&lt;&gt;7,BR117-VLOOKUP($P117&amp;" | "&amp;BI$6,'Job Master'!$F$12:$I$102,4,0),BR117-VLOOKUP($P117&amp;" | "&amp;BI$6,'Job Master'!$F$12:$I$102,4,0)-1),""),"")</f>
        <v/>
      </c>
      <c r="BL117" s="73"/>
      <c r="BM117" s="123" t="str">
        <f t="shared" si="156"/>
        <v/>
      </c>
      <c r="BN117" s="123" t="str">
        <f t="shared" si="157"/>
        <v/>
      </c>
      <c r="BO117" s="97" t="str">
        <f t="shared" ca="1" si="158"/>
        <v/>
      </c>
      <c r="BP117" s="98" t="str">
        <f>IF(BR117&lt;&gt;"",VLOOKUP($P117&amp;" | "&amp;BP$6,'Job Master'!$F$12:$J$102,5,0),"")</f>
        <v/>
      </c>
      <c r="BQ117" s="19" t="str">
        <f>IF(BR117&lt;&gt;"",VLOOKUP($P117&amp;" | "&amp;BP$6,'Job Master'!$F$12:$J$102,3,0),"")</f>
        <v/>
      </c>
      <c r="BR117" s="19" t="str">
        <f>IFERROR(IF(AND(BY117&lt;&gt;"",VLOOKUP($P117&amp;" | "&amp;BP$6,'Job Master'!$F$12:$I$102,4,0)&lt;&gt;""),IF(WEEKDAY(BY117-VLOOKUP($P117&amp;" | "&amp;BP$6,'Job Master'!$F$12:$I$102,4,0))&lt;&gt;7,BY117-VLOOKUP($P117&amp;" | "&amp;BP$6,'Job Master'!$F$12:$I$102,4,0),BY117-VLOOKUP($P117&amp;" | "&amp;BP$6,'Job Master'!$F$12:$I$102,4,0)-1),""),"")</f>
        <v/>
      </c>
      <c r="BS117" s="73"/>
      <c r="BT117" s="123" t="str">
        <f t="shared" si="159"/>
        <v/>
      </c>
      <c r="BU117" s="123" t="str">
        <f t="shared" si="160"/>
        <v/>
      </c>
      <c r="BV117" s="97" t="str">
        <f t="shared" ca="1" si="161"/>
        <v/>
      </c>
      <c r="BW117" s="98" t="str">
        <f>IF(BY117&lt;&gt;"",VLOOKUP($P117&amp;" | "&amp;BW$6,'Job Master'!$F$12:$J$102,5,0),"")</f>
        <v/>
      </c>
      <c r="BX117" s="19" t="str">
        <f>IF(BY117&lt;&gt;"",VLOOKUP($P117&amp;" | "&amp;BW$6,'Job Master'!$F$12:$J$102,3,0),"")</f>
        <v/>
      </c>
      <c r="BY117" s="19" t="str">
        <f>IFERROR(IF(AND(CF117&lt;&gt;"",VLOOKUP($P117&amp;" | "&amp;BW$6,'Job Master'!$F$12:$I$102,4,0)&lt;&gt;""),IF(WEEKDAY(CF117-VLOOKUP($P117&amp;" | "&amp;BW$6,'Job Master'!$F$12:$I$102,4,0))&lt;&gt;7,CF117-VLOOKUP($P117&amp;" | "&amp;BW$6,'Job Master'!$F$12:$I$102,4,0),CF117-VLOOKUP($P117&amp;" | "&amp;BW$6,'Job Master'!$F$12:$I$102,4,0)-1),""),"")</f>
        <v/>
      </c>
      <c r="BZ117" s="73"/>
      <c r="CA117" s="123" t="str">
        <f t="shared" si="162"/>
        <v/>
      </c>
      <c r="CB117" s="123" t="str">
        <f t="shared" si="163"/>
        <v/>
      </c>
      <c r="CC117" s="97" t="str">
        <f t="shared" ca="1" si="164"/>
        <v/>
      </c>
      <c r="CD117" s="98" t="str">
        <f>IF(CF117&lt;&gt;"",VLOOKUP($P117&amp;" | "&amp;CD$6,'Job Master'!$F$12:$J$102,5,0),"")</f>
        <v/>
      </c>
      <c r="CE117" s="19" t="str">
        <f>IF(CF117&lt;&gt;"",VLOOKUP($P117&amp;" | "&amp;CD$6,'Job Master'!$F$12:$J$102,3,0),"")</f>
        <v/>
      </c>
      <c r="CF117" s="19" t="str">
        <f>IFERROR(IF(AND(CM117&lt;&gt;"",VLOOKUP($P117&amp;" | "&amp;CD$6,'Job Master'!$F$12:$I$102,4,0)&lt;&gt;""),IF(WEEKDAY(CM117-VLOOKUP($P117&amp;" | "&amp;CD$6,'Job Master'!$F$12:$I$102,4,0))&lt;&gt;7,CM117-VLOOKUP($P117&amp;" | "&amp;CD$6,'Job Master'!$F$12:$I$102,4,0),CM117-VLOOKUP($P117&amp;" | "&amp;CD$6,'Job Master'!$F$12:$I$102,4,0)-1),""),"")</f>
        <v/>
      </c>
      <c r="CG117" s="73"/>
      <c r="CH117" s="123" t="str">
        <f t="shared" si="165"/>
        <v/>
      </c>
      <c r="CI117" s="123" t="str">
        <f t="shared" si="166"/>
        <v/>
      </c>
      <c r="CJ117" s="97" t="str">
        <f t="shared" ca="1" si="167"/>
        <v/>
      </c>
      <c r="CK117" s="98" t="str">
        <f>IF(CM117&lt;&gt;"",VLOOKUP($P117&amp;" | "&amp;CK$6,'Job Master'!$F$12:$J$102,5,0),"")</f>
        <v/>
      </c>
      <c r="CL117" s="19" t="str">
        <f>IF(CM117&lt;&gt;"",VLOOKUP($P117&amp;" | "&amp;CK$6,'Job Master'!$F$12:$J$102,3,0),"")</f>
        <v/>
      </c>
      <c r="CM117" s="19" t="str">
        <f>IFERROR(IF(AND(CT117&lt;&gt;"",VLOOKUP($P117&amp;" | "&amp;CK$6,'Job Master'!$F$12:$I$102,4,0)&lt;&gt;""),IF(WEEKDAY(CT117-VLOOKUP($P117&amp;" | "&amp;CK$6,'Job Master'!$F$12:$I$102,4,0))&lt;&gt;7,CT117-VLOOKUP($P117&amp;" | "&amp;CK$6,'Job Master'!$F$12:$I$102,4,0),CT117-VLOOKUP($P117&amp;" | "&amp;CK$6,'Job Master'!$F$12:$I$102,4,0)-1),""),"")</f>
        <v/>
      </c>
      <c r="CN117" s="73"/>
      <c r="CO117" s="123" t="str">
        <f t="shared" si="168"/>
        <v/>
      </c>
      <c r="CP117" s="123" t="str">
        <f t="shared" si="169"/>
        <v/>
      </c>
      <c r="CQ117" s="97" t="str">
        <f t="shared" ca="1" si="170"/>
        <v/>
      </c>
      <c r="CR117" s="98" t="str">
        <f>IF(CT117&lt;&gt;"",VLOOKUP($P117&amp;" | "&amp;CR$6,'Job Master'!$F$12:$J$102,5,0),"")</f>
        <v/>
      </c>
      <c r="CS117" s="19" t="str">
        <f>IF(CT117&lt;&gt;"",VLOOKUP($P117&amp;" | "&amp;CR$6,'Job Master'!$F$12:$J$102,3,0),"")</f>
        <v/>
      </c>
      <c r="CT117" s="19" t="str">
        <f>IFERROR(IF(AND(DA117&lt;&gt;"",VLOOKUP($P117&amp;" | "&amp;CR$6,'Job Master'!$F$12:$I$102,4,0)&lt;&gt;""),IF(WEEKDAY(DA117-VLOOKUP($P117&amp;" | "&amp;CR$6,'Job Master'!$F$12:$I$102,4,0))&lt;&gt;7,DA117-VLOOKUP($P117&amp;" | "&amp;CR$6,'Job Master'!$F$12:$I$102,4,0),DA117-VLOOKUP($P117&amp;" | "&amp;CR$6,'Job Master'!$F$12:$I$102,4,0)-1),""),"")</f>
        <v/>
      </c>
      <c r="CU117" s="73"/>
      <c r="CV117" s="123" t="str">
        <f t="shared" si="171"/>
        <v/>
      </c>
      <c r="CW117" s="123" t="str">
        <f t="shared" si="172"/>
        <v/>
      </c>
      <c r="CX117" s="97" t="str">
        <f t="shared" ca="1" si="173"/>
        <v/>
      </c>
      <c r="CY117" s="98" t="str">
        <f>IF(DA117&lt;&gt;"",VLOOKUP($P117&amp;" | "&amp;CY$6,'Job Master'!$F$12:$J$102,5,0),"")</f>
        <v/>
      </c>
      <c r="CZ117" s="19" t="str">
        <f>IF(DA117&lt;&gt;"",VLOOKUP($P117&amp;" | "&amp;CY$6,'Job Master'!$F$12:$J$102,3,0),"")</f>
        <v/>
      </c>
      <c r="DA117" s="19" t="str">
        <f>IFERROR(IF(AND(DH117&lt;&gt;"",VLOOKUP($P117&amp;" | "&amp;CY$6,'Job Master'!$F$12:$I$102,4,0)&lt;&gt;""),IF(WEEKDAY(DH117-VLOOKUP($P117&amp;" | "&amp;CY$6,'Job Master'!$F$12:$I$102,4,0))&lt;&gt;7,DH117-VLOOKUP($P117&amp;" | "&amp;CY$6,'Job Master'!$F$12:$I$102,4,0),DH117-VLOOKUP($P117&amp;" | "&amp;CY$6,'Job Master'!$F$12:$I$102,4,0)-1),""),"")</f>
        <v/>
      </c>
      <c r="DB117" s="73"/>
      <c r="DC117" s="123" t="str">
        <f t="shared" si="174"/>
        <v/>
      </c>
      <c r="DD117" s="123" t="str">
        <f t="shared" si="175"/>
        <v/>
      </c>
      <c r="DE117" s="97" t="str">
        <f t="shared" ca="1" si="176"/>
        <v/>
      </c>
      <c r="DF117" s="98" t="str">
        <f>IF(DH117&lt;&gt;"",VLOOKUP($P117&amp;" | "&amp;DF$6,'Job Master'!$F$12:$J$102,5,0),"")</f>
        <v/>
      </c>
      <c r="DG117" s="19" t="str">
        <f>IF(DH117&lt;&gt;"",VLOOKUP($P117&amp;" | "&amp;DF$6,'Job Master'!$F$12:$J$102,3,0),"")</f>
        <v/>
      </c>
      <c r="DH117" s="19" t="str">
        <f>IFERROR(IF(AND(DO117&lt;&gt;"",VLOOKUP($P117&amp;" | "&amp;DF$6,'Job Master'!$F$12:$I$102,4,0)&lt;&gt;""),IF(WEEKDAY(DO117-VLOOKUP($P117&amp;" | "&amp;DF$6,'Job Master'!$F$12:$I$102,4,0))&lt;&gt;7,DO117-VLOOKUP($P117&amp;" | "&amp;DF$6,'Job Master'!$F$12:$I$102,4,0),DO117-VLOOKUP($P117&amp;" | "&amp;DF$6,'Job Master'!$F$12:$I$102,4,0)-1),""),"")</f>
        <v/>
      </c>
      <c r="DI117" s="73"/>
      <c r="DJ117" s="123" t="str">
        <f t="shared" si="177"/>
        <v/>
      </c>
      <c r="DK117" s="123" t="str">
        <f t="shared" si="178"/>
        <v/>
      </c>
      <c r="DL117" s="97" t="str">
        <f t="shared" ca="1" si="179"/>
        <v/>
      </c>
      <c r="DM117" s="98" t="str">
        <f>IF(DO117&lt;&gt;"",VLOOKUP($P117&amp;" | "&amp;DM$6,'Job Master'!$F$12:$J$102,5,0),"")</f>
        <v/>
      </c>
      <c r="DN117" s="19" t="str">
        <f>IF(DO117&lt;&gt;"",VLOOKUP($P117&amp;" | "&amp;DM$6,'Job Master'!$F$12:$J$102,3,0),"")</f>
        <v/>
      </c>
      <c r="DO117" s="19" t="str">
        <f>IFERROR(IF(AND(DT117&lt;&gt;"",VLOOKUP($P117&amp;" | "&amp;DM$6,'Job Master'!$F$12:$I$102,4,0)&lt;&gt;""),IF(WEEKDAY(DT117-VLOOKUP($P117&amp;" | "&amp;DM$6,'Job Master'!$F$12:$I$102,4,0))&lt;&gt;7,DT117-VLOOKUP($P117&amp;" | "&amp;DM$6,'Job Master'!$F$12:$I$102,4,0),DT117-VLOOKUP($P117&amp;" | "&amp;DM$6,'Job Master'!$F$12:$I$102,4,0)-1),""),"")</f>
        <v/>
      </c>
      <c r="DP117" s="73"/>
      <c r="DQ117" s="123" t="str">
        <f t="shared" si="180"/>
        <v/>
      </c>
      <c r="DR117" s="123" t="str">
        <f t="shared" si="181"/>
        <v/>
      </c>
      <c r="DS117" s="97" t="str">
        <f t="shared" ca="1" si="182"/>
        <v/>
      </c>
      <c r="DT117" s="70" t="str">
        <f t="shared" si="183"/>
        <v/>
      </c>
      <c r="DU117" s="90"/>
      <c r="DV117" s="123" t="str">
        <f t="shared" si="184"/>
        <v/>
      </c>
      <c r="DW117" s="123" t="str">
        <f t="shared" si="185"/>
        <v/>
      </c>
      <c r="DX117" s="132" t="str">
        <f t="shared" ref="DX117" ca="1" si="240">IF(DT117&lt;&gt;"",IF(WEEKNUM(DT117)=WEEKNUM(TODAY()),"This Week",IF(WEEKNUM(DT117)=WEEKNUM(TODAY())+1,"Next Week",IF(WEEKNUM(DT117)=WEEKNUM(TODAY())-1,"Previous Week",""))),"")</f>
        <v/>
      </c>
      <c r="DY117" s="134" t="str">
        <f t="shared" si="187"/>
        <v/>
      </c>
      <c r="DZ117" s="95"/>
      <c r="EB117" s="8" t="str">
        <f t="shared" si="193"/>
        <v/>
      </c>
      <c r="EC117" s="8" t="str">
        <f>IF(O117&lt;&gt;"",VLOOKUP(O117,'Job Master'!$N$12:$O$18,2,0),"")</f>
        <v/>
      </c>
      <c r="ED117" s="8">
        <f t="shared" si="194"/>
        <v>19.5</v>
      </c>
      <c r="EE117" s="8">
        <f t="shared" si="195"/>
        <v>6</v>
      </c>
      <c r="EF117" s="8">
        <f t="shared" si="196"/>
        <v>-622.5</v>
      </c>
      <c r="EG117" s="8" t="str">
        <f t="shared" si="197"/>
        <v/>
      </c>
      <c r="EH117" s="8" t="str">
        <f t="shared" si="198"/>
        <v/>
      </c>
    </row>
    <row r="118" spans="2:138" x14ac:dyDescent="0.3">
      <c r="B118" s="112"/>
      <c r="C118" s="27"/>
      <c r="D118" s="7" t="str">
        <f t="shared" si="135"/>
        <v/>
      </c>
      <c r="E118" s="25"/>
      <c r="F118" s="7" t="str">
        <f t="shared" si="135"/>
        <v/>
      </c>
      <c r="G118" s="25"/>
      <c r="H118" s="7" t="str">
        <f t="shared" si="135"/>
        <v/>
      </c>
      <c r="I118" s="25"/>
      <c r="J118" s="7" t="str">
        <f t="shared" si="135"/>
        <v/>
      </c>
      <c r="K118" s="25"/>
      <c r="L118" s="7" t="str">
        <f t="shared" si="136"/>
        <v/>
      </c>
      <c r="M118" s="25"/>
      <c r="N118" s="7" t="str">
        <f t="shared" si="137"/>
        <v/>
      </c>
      <c r="O118" s="81"/>
      <c r="P118" s="81" t="str">
        <f t="shared" si="138"/>
        <v/>
      </c>
      <c r="Q118" s="81"/>
      <c r="R118" s="7" t="str">
        <f t="shared" si="139"/>
        <v/>
      </c>
      <c r="S118" s="25"/>
      <c r="T118" s="7" t="str">
        <f t="shared" si="140"/>
        <v/>
      </c>
      <c r="U118" s="25"/>
      <c r="V118" s="7" t="str">
        <f t="shared" si="141"/>
        <v/>
      </c>
      <c r="W118" s="25"/>
      <c r="X118" s="7" t="str">
        <f t="shared" si="142"/>
        <v/>
      </c>
      <c r="Y118" s="18" t="str">
        <f t="shared" si="143"/>
        <v/>
      </c>
      <c r="Z118" s="7" t="str">
        <f t="shared" si="144"/>
        <v/>
      </c>
      <c r="AA118" s="18" t="str">
        <f t="shared" si="145"/>
        <v/>
      </c>
      <c r="AB118" s="19" t="str">
        <f t="shared" si="146"/>
        <v/>
      </c>
      <c r="AC118" s="26"/>
      <c r="AD118" s="26"/>
      <c r="AE118" s="25"/>
      <c r="AF118" s="26"/>
      <c r="AG118" s="25"/>
      <c r="AH118" s="25"/>
      <c r="AI118" s="18" t="str">
        <f t="shared" si="209"/>
        <v/>
      </c>
      <c r="AJ118" s="25"/>
      <c r="AK118" s="18" t="str">
        <f t="shared" si="210"/>
        <v/>
      </c>
      <c r="AL118" s="79"/>
      <c r="AM118" s="126" t="str">
        <f t="shared" si="211"/>
        <v/>
      </c>
      <c r="AN118" s="128" t="str">
        <f>IF(AP118&lt;&gt;"",VLOOKUP($P118&amp;" | "&amp;AN$6,'Job Master'!$F$12:$J$102,5,0),"")</f>
        <v/>
      </c>
      <c r="AO118" s="19" t="str">
        <f>IF(AP118&lt;&gt;"",VLOOKUP($P118&amp;" | "&amp;AN$6,'Job Master'!$F$12:$J$102,3,0),"")</f>
        <v/>
      </c>
      <c r="AP118" s="19" t="str">
        <f>IFERROR(IF(AND(AW118&lt;&gt;"",VLOOKUP($P118&amp;" | "&amp;AN$6,'Job Master'!$F$12:$I$102,4,0)&lt;&gt;""),IF(WEEKDAY(AW118-VLOOKUP($P118&amp;" | "&amp;AN$6,'Job Master'!$F$12:$I$102,4,0))&lt;&gt;7,AW118-VLOOKUP($P118&amp;" | "&amp;AN$6,'Job Master'!$F$12:$I$102,4,0),AW118-VLOOKUP($P118&amp;" | "&amp;AN$6,'Job Master'!$F$12:$I$102,4,0)-1),""),"")</f>
        <v/>
      </c>
      <c r="AQ118" s="73"/>
      <c r="AR118" s="123" t="str">
        <f t="shared" si="147"/>
        <v/>
      </c>
      <c r="AS118" s="123" t="str">
        <f t="shared" si="148"/>
        <v/>
      </c>
      <c r="AT118" s="97" t="str">
        <f t="shared" ca="1" si="149"/>
        <v/>
      </c>
      <c r="AU118" s="98" t="str">
        <f>IF(AW118&lt;&gt;"",VLOOKUP($P118&amp;" | "&amp;AU$6,'Job Master'!$F$12:$J$102,5,0),"")</f>
        <v/>
      </c>
      <c r="AV118" s="19" t="str">
        <f>IF(AW118&lt;&gt;"",VLOOKUP($P118&amp;" | "&amp;AU$6,'Job Master'!$F$12:$J$102,3,0),"")</f>
        <v/>
      </c>
      <c r="AW118" s="19" t="str">
        <f>IFERROR(IF(AND(BD118&lt;&gt;"",VLOOKUP($P118&amp;" | "&amp;AU$6,'Job Master'!$F$12:$I$102,4,0)&lt;&gt;""),IF(WEEKDAY(BD118-VLOOKUP($P118&amp;" | "&amp;AU$6,'Job Master'!$F$12:$I$102,4,0))&lt;&gt;7,BD118-VLOOKUP($P118&amp;" | "&amp;AU$6,'Job Master'!$F$12:$I$102,4,0),BD118-VLOOKUP($P118&amp;" | "&amp;AU$6,'Job Master'!$F$12:$I$102,4,0)-1),""),"")</f>
        <v/>
      </c>
      <c r="AX118" s="73"/>
      <c r="AY118" s="123" t="str">
        <f t="shared" si="150"/>
        <v/>
      </c>
      <c r="AZ118" s="123" t="str">
        <f t="shared" si="151"/>
        <v/>
      </c>
      <c r="BA118" s="97" t="str">
        <f t="shared" ca="1" si="152"/>
        <v/>
      </c>
      <c r="BB118" s="98" t="str">
        <f>IF(BD118&lt;&gt;"",VLOOKUP($P118&amp;" | "&amp;BB$6,'Job Master'!$F$12:$J$102,5,0),"")</f>
        <v/>
      </c>
      <c r="BC118" s="19" t="str">
        <f>IF(BD118&lt;&gt;"",VLOOKUP($P118&amp;" | "&amp;BB$6,'Job Master'!$F$12:$J$102,3,0),"")</f>
        <v/>
      </c>
      <c r="BD118" s="19" t="str">
        <f>IFERROR(IF(AND(BK118&lt;&gt;"",VLOOKUP($P118&amp;" | "&amp;BB$6,'Job Master'!$F$12:$I$102,4,0)&lt;&gt;""),IF(WEEKDAY(BK118-VLOOKUP($P118&amp;" | "&amp;BB$6,'Job Master'!$F$12:$I$102,4,0))&lt;&gt;7,BK118-VLOOKUP($P118&amp;" | "&amp;BB$6,'Job Master'!$F$12:$I$102,4,0),BK118-VLOOKUP($P118&amp;" | "&amp;BB$6,'Job Master'!$F$12:$I$102,4,0)-1),""),"")</f>
        <v/>
      </c>
      <c r="BE118" s="73"/>
      <c r="BF118" s="123" t="str">
        <f t="shared" si="153"/>
        <v/>
      </c>
      <c r="BG118" s="123" t="str">
        <f t="shared" si="154"/>
        <v/>
      </c>
      <c r="BH118" s="97" t="str">
        <f t="shared" ca="1" si="155"/>
        <v/>
      </c>
      <c r="BI118" s="98" t="str">
        <f>IF(BK118&lt;&gt;"",VLOOKUP($P118&amp;" | "&amp;BI$6,'Job Master'!$F$12:$J$102,5,0),"")</f>
        <v/>
      </c>
      <c r="BJ118" s="19" t="str">
        <f>IF(BK118&lt;&gt;"",VLOOKUP($P118&amp;" | "&amp;BI$6,'Job Master'!$F$12:$J$102,3,0),"")</f>
        <v/>
      </c>
      <c r="BK118" s="19" t="str">
        <f>IFERROR(IF(AND(BR118&lt;&gt;"",VLOOKUP($P118&amp;" | "&amp;BI$6,'Job Master'!$F$12:$I$102,4,0)&lt;&gt;""),IF(WEEKDAY(BR118-VLOOKUP($P118&amp;" | "&amp;BI$6,'Job Master'!$F$12:$I$102,4,0))&lt;&gt;7,BR118-VLOOKUP($P118&amp;" | "&amp;BI$6,'Job Master'!$F$12:$I$102,4,0),BR118-VLOOKUP($P118&amp;" | "&amp;BI$6,'Job Master'!$F$12:$I$102,4,0)-1),""),"")</f>
        <v/>
      </c>
      <c r="BL118" s="73"/>
      <c r="BM118" s="123" t="str">
        <f t="shared" si="156"/>
        <v/>
      </c>
      <c r="BN118" s="123" t="str">
        <f t="shared" si="157"/>
        <v/>
      </c>
      <c r="BO118" s="97" t="str">
        <f t="shared" ca="1" si="158"/>
        <v/>
      </c>
      <c r="BP118" s="98" t="str">
        <f>IF(BR118&lt;&gt;"",VLOOKUP($P118&amp;" | "&amp;BP$6,'Job Master'!$F$12:$J$102,5,0),"")</f>
        <v/>
      </c>
      <c r="BQ118" s="19" t="str">
        <f>IF(BR118&lt;&gt;"",VLOOKUP($P118&amp;" | "&amp;BP$6,'Job Master'!$F$12:$J$102,3,0),"")</f>
        <v/>
      </c>
      <c r="BR118" s="19" t="str">
        <f>IFERROR(IF(AND(BY118&lt;&gt;"",VLOOKUP($P118&amp;" | "&amp;BP$6,'Job Master'!$F$12:$I$102,4,0)&lt;&gt;""),IF(WEEKDAY(BY118-VLOOKUP($P118&amp;" | "&amp;BP$6,'Job Master'!$F$12:$I$102,4,0))&lt;&gt;7,BY118-VLOOKUP($P118&amp;" | "&amp;BP$6,'Job Master'!$F$12:$I$102,4,0),BY118-VLOOKUP($P118&amp;" | "&amp;BP$6,'Job Master'!$F$12:$I$102,4,0)-1),""),"")</f>
        <v/>
      </c>
      <c r="BS118" s="73"/>
      <c r="BT118" s="123" t="str">
        <f t="shared" si="159"/>
        <v/>
      </c>
      <c r="BU118" s="123" t="str">
        <f t="shared" si="160"/>
        <v/>
      </c>
      <c r="BV118" s="97" t="str">
        <f t="shared" ca="1" si="161"/>
        <v/>
      </c>
      <c r="BW118" s="98" t="str">
        <f>IF(BY118&lt;&gt;"",VLOOKUP($P118&amp;" | "&amp;BW$6,'Job Master'!$F$12:$J$102,5,0),"")</f>
        <v/>
      </c>
      <c r="BX118" s="19" t="str">
        <f>IF(BY118&lt;&gt;"",VLOOKUP($P118&amp;" | "&amp;BW$6,'Job Master'!$F$12:$J$102,3,0),"")</f>
        <v/>
      </c>
      <c r="BY118" s="19" t="str">
        <f>IFERROR(IF(AND(CF118&lt;&gt;"",VLOOKUP($P118&amp;" | "&amp;BW$6,'Job Master'!$F$12:$I$102,4,0)&lt;&gt;""),IF(WEEKDAY(CF118-VLOOKUP($P118&amp;" | "&amp;BW$6,'Job Master'!$F$12:$I$102,4,0))&lt;&gt;7,CF118-VLOOKUP($P118&amp;" | "&amp;BW$6,'Job Master'!$F$12:$I$102,4,0),CF118-VLOOKUP($P118&amp;" | "&amp;BW$6,'Job Master'!$F$12:$I$102,4,0)-1),""),"")</f>
        <v/>
      </c>
      <c r="BZ118" s="73"/>
      <c r="CA118" s="123" t="str">
        <f t="shared" si="162"/>
        <v/>
      </c>
      <c r="CB118" s="123" t="str">
        <f t="shared" si="163"/>
        <v/>
      </c>
      <c r="CC118" s="97" t="str">
        <f t="shared" ca="1" si="164"/>
        <v/>
      </c>
      <c r="CD118" s="98" t="str">
        <f>IF(CF118&lt;&gt;"",VLOOKUP($P118&amp;" | "&amp;CD$6,'Job Master'!$F$12:$J$102,5,0),"")</f>
        <v/>
      </c>
      <c r="CE118" s="19" t="str">
        <f>IF(CF118&lt;&gt;"",VLOOKUP($P118&amp;" | "&amp;CD$6,'Job Master'!$F$12:$J$102,3,0),"")</f>
        <v/>
      </c>
      <c r="CF118" s="19" t="str">
        <f>IFERROR(IF(AND(CM118&lt;&gt;"",VLOOKUP($P118&amp;" | "&amp;CD$6,'Job Master'!$F$12:$I$102,4,0)&lt;&gt;""),IF(WEEKDAY(CM118-VLOOKUP($P118&amp;" | "&amp;CD$6,'Job Master'!$F$12:$I$102,4,0))&lt;&gt;7,CM118-VLOOKUP($P118&amp;" | "&amp;CD$6,'Job Master'!$F$12:$I$102,4,0),CM118-VLOOKUP($P118&amp;" | "&amp;CD$6,'Job Master'!$F$12:$I$102,4,0)-1),""),"")</f>
        <v/>
      </c>
      <c r="CG118" s="73"/>
      <c r="CH118" s="123" t="str">
        <f t="shared" si="165"/>
        <v/>
      </c>
      <c r="CI118" s="123" t="str">
        <f t="shared" si="166"/>
        <v/>
      </c>
      <c r="CJ118" s="97" t="str">
        <f t="shared" ca="1" si="167"/>
        <v/>
      </c>
      <c r="CK118" s="98" t="str">
        <f>IF(CM118&lt;&gt;"",VLOOKUP($P118&amp;" | "&amp;CK$6,'Job Master'!$F$12:$J$102,5,0),"")</f>
        <v/>
      </c>
      <c r="CL118" s="19" t="str">
        <f>IF(CM118&lt;&gt;"",VLOOKUP($P118&amp;" | "&amp;CK$6,'Job Master'!$F$12:$J$102,3,0),"")</f>
        <v/>
      </c>
      <c r="CM118" s="19" t="str">
        <f>IFERROR(IF(AND(CT118&lt;&gt;"",VLOOKUP($P118&amp;" | "&amp;CK$6,'Job Master'!$F$12:$I$102,4,0)&lt;&gt;""),IF(WEEKDAY(CT118-VLOOKUP($P118&amp;" | "&amp;CK$6,'Job Master'!$F$12:$I$102,4,0))&lt;&gt;7,CT118-VLOOKUP($P118&amp;" | "&amp;CK$6,'Job Master'!$F$12:$I$102,4,0),CT118-VLOOKUP($P118&amp;" | "&amp;CK$6,'Job Master'!$F$12:$I$102,4,0)-1),""),"")</f>
        <v/>
      </c>
      <c r="CN118" s="73"/>
      <c r="CO118" s="123" t="str">
        <f t="shared" si="168"/>
        <v/>
      </c>
      <c r="CP118" s="123" t="str">
        <f t="shared" si="169"/>
        <v/>
      </c>
      <c r="CQ118" s="97" t="str">
        <f t="shared" ca="1" si="170"/>
        <v/>
      </c>
      <c r="CR118" s="98" t="str">
        <f>IF(CT118&lt;&gt;"",VLOOKUP($P118&amp;" | "&amp;CR$6,'Job Master'!$F$12:$J$102,5,0),"")</f>
        <v/>
      </c>
      <c r="CS118" s="19" t="str">
        <f>IF(CT118&lt;&gt;"",VLOOKUP($P118&amp;" | "&amp;CR$6,'Job Master'!$F$12:$J$102,3,0),"")</f>
        <v/>
      </c>
      <c r="CT118" s="19" t="str">
        <f>IFERROR(IF(AND(DA118&lt;&gt;"",VLOOKUP($P118&amp;" | "&amp;CR$6,'Job Master'!$F$12:$I$102,4,0)&lt;&gt;""),IF(WEEKDAY(DA118-VLOOKUP($P118&amp;" | "&amp;CR$6,'Job Master'!$F$12:$I$102,4,0))&lt;&gt;7,DA118-VLOOKUP($P118&amp;" | "&amp;CR$6,'Job Master'!$F$12:$I$102,4,0),DA118-VLOOKUP($P118&amp;" | "&amp;CR$6,'Job Master'!$F$12:$I$102,4,0)-1),""),"")</f>
        <v/>
      </c>
      <c r="CU118" s="73"/>
      <c r="CV118" s="123" t="str">
        <f t="shared" si="171"/>
        <v/>
      </c>
      <c r="CW118" s="123" t="str">
        <f t="shared" si="172"/>
        <v/>
      </c>
      <c r="CX118" s="97" t="str">
        <f t="shared" ca="1" si="173"/>
        <v/>
      </c>
      <c r="CY118" s="98" t="str">
        <f>IF(DA118&lt;&gt;"",VLOOKUP($P118&amp;" | "&amp;CY$6,'Job Master'!$F$12:$J$102,5,0),"")</f>
        <v/>
      </c>
      <c r="CZ118" s="19" t="str">
        <f>IF(DA118&lt;&gt;"",VLOOKUP($P118&amp;" | "&amp;CY$6,'Job Master'!$F$12:$J$102,3,0),"")</f>
        <v/>
      </c>
      <c r="DA118" s="19" t="str">
        <f>IFERROR(IF(AND(DH118&lt;&gt;"",VLOOKUP($P118&amp;" | "&amp;CY$6,'Job Master'!$F$12:$I$102,4,0)&lt;&gt;""),IF(WEEKDAY(DH118-VLOOKUP($P118&amp;" | "&amp;CY$6,'Job Master'!$F$12:$I$102,4,0))&lt;&gt;7,DH118-VLOOKUP($P118&amp;" | "&amp;CY$6,'Job Master'!$F$12:$I$102,4,0),DH118-VLOOKUP($P118&amp;" | "&amp;CY$6,'Job Master'!$F$12:$I$102,4,0)-1),""),"")</f>
        <v/>
      </c>
      <c r="DB118" s="73"/>
      <c r="DC118" s="123" t="str">
        <f t="shared" si="174"/>
        <v/>
      </c>
      <c r="DD118" s="123" t="str">
        <f t="shared" si="175"/>
        <v/>
      </c>
      <c r="DE118" s="97" t="str">
        <f t="shared" ca="1" si="176"/>
        <v/>
      </c>
      <c r="DF118" s="98" t="str">
        <f>IF(DH118&lt;&gt;"",VLOOKUP($P118&amp;" | "&amp;DF$6,'Job Master'!$F$12:$J$102,5,0),"")</f>
        <v/>
      </c>
      <c r="DG118" s="19" t="str">
        <f>IF(DH118&lt;&gt;"",VLOOKUP($P118&amp;" | "&amp;DF$6,'Job Master'!$F$12:$J$102,3,0),"")</f>
        <v/>
      </c>
      <c r="DH118" s="19" t="str">
        <f>IFERROR(IF(AND(DO118&lt;&gt;"",VLOOKUP($P118&amp;" | "&amp;DF$6,'Job Master'!$F$12:$I$102,4,0)&lt;&gt;""),IF(WEEKDAY(DO118-VLOOKUP($P118&amp;" | "&amp;DF$6,'Job Master'!$F$12:$I$102,4,0))&lt;&gt;7,DO118-VLOOKUP($P118&amp;" | "&amp;DF$6,'Job Master'!$F$12:$I$102,4,0),DO118-VLOOKUP($P118&amp;" | "&amp;DF$6,'Job Master'!$F$12:$I$102,4,0)-1),""),"")</f>
        <v/>
      </c>
      <c r="DI118" s="73"/>
      <c r="DJ118" s="123" t="str">
        <f t="shared" si="177"/>
        <v/>
      </c>
      <c r="DK118" s="123" t="str">
        <f t="shared" si="178"/>
        <v/>
      </c>
      <c r="DL118" s="97" t="str">
        <f t="shared" ca="1" si="179"/>
        <v/>
      </c>
      <c r="DM118" s="98" t="str">
        <f>IF(DO118&lt;&gt;"",VLOOKUP($P118&amp;" | "&amp;DM$6,'Job Master'!$F$12:$J$102,5,0),"")</f>
        <v/>
      </c>
      <c r="DN118" s="19" t="str">
        <f>IF(DO118&lt;&gt;"",VLOOKUP($P118&amp;" | "&amp;DM$6,'Job Master'!$F$12:$J$102,3,0),"")</f>
        <v/>
      </c>
      <c r="DO118" s="19" t="str">
        <f>IFERROR(IF(AND(DT118&lt;&gt;"",VLOOKUP($P118&amp;" | "&amp;DM$6,'Job Master'!$F$12:$I$102,4,0)&lt;&gt;""),IF(WEEKDAY(DT118-VLOOKUP($P118&amp;" | "&amp;DM$6,'Job Master'!$F$12:$I$102,4,0))&lt;&gt;7,DT118-VLOOKUP($P118&amp;" | "&amp;DM$6,'Job Master'!$F$12:$I$102,4,0),DT118-VLOOKUP($P118&amp;" | "&amp;DM$6,'Job Master'!$F$12:$I$102,4,0)-1),""),"")</f>
        <v/>
      </c>
      <c r="DP118" s="73"/>
      <c r="DQ118" s="123" t="str">
        <f t="shared" si="180"/>
        <v/>
      </c>
      <c r="DR118" s="123" t="str">
        <f t="shared" si="181"/>
        <v/>
      </c>
      <c r="DS118" s="97" t="str">
        <f t="shared" ca="1" si="182"/>
        <v/>
      </c>
      <c r="DT118" s="70" t="str">
        <f t="shared" si="183"/>
        <v/>
      </c>
      <c r="DU118" s="90"/>
      <c r="DV118" s="123" t="str">
        <f t="shared" si="184"/>
        <v/>
      </c>
      <c r="DW118" s="123" t="str">
        <f t="shared" si="185"/>
        <v/>
      </c>
      <c r="DX118" s="132" t="str">
        <f t="shared" ref="DX118" ca="1" si="241">IF(DT118&lt;&gt;"",IF(WEEKNUM(DT118)=WEEKNUM(TODAY()),"This Week",IF(WEEKNUM(DT118)=WEEKNUM(TODAY())+1,"Next Week",IF(WEEKNUM(DT118)=WEEKNUM(TODAY())-1,"Previous Week",""))),"")</f>
        <v/>
      </c>
      <c r="DY118" s="134" t="str">
        <f t="shared" si="187"/>
        <v/>
      </c>
      <c r="DZ118" s="95"/>
      <c r="EB118" s="8" t="str">
        <f t="shared" si="193"/>
        <v/>
      </c>
      <c r="EC118" s="8" t="str">
        <f>IF(O118&lt;&gt;"",VLOOKUP(O118,'Job Master'!$N$12:$O$18,2,0),"")</f>
        <v/>
      </c>
      <c r="ED118" s="8">
        <f t="shared" si="194"/>
        <v>19.5</v>
      </c>
      <c r="EE118" s="8">
        <f t="shared" si="195"/>
        <v>6</v>
      </c>
      <c r="EF118" s="8">
        <f t="shared" si="196"/>
        <v>-628.5</v>
      </c>
      <c r="EG118" s="8" t="str">
        <f t="shared" si="197"/>
        <v/>
      </c>
      <c r="EH118" s="8" t="str">
        <f t="shared" si="198"/>
        <v/>
      </c>
    </row>
    <row r="119" spans="2:138" x14ac:dyDescent="0.3">
      <c r="B119" s="112"/>
      <c r="C119" s="27"/>
      <c r="D119" s="7" t="str">
        <f t="shared" si="135"/>
        <v/>
      </c>
      <c r="E119" s="25"/>
      <c r="F119" s="7" t="str">
        <f t="shared" si="135"/>
        <v/>
      </c>
      <c r="G119" s="25"/>
      <c r="H119" s="7" t="str">
        <f t="shared" si="135"/>
        <v/>
      </c>
      <c r="I119" s="25"/>
      <c r="J119" s="7" t="str">
        <f t="shared" si="135"/>
        <v/>
      </c>
      <c r="K119" s="25"/>
      <c r="L119" s="7" t="str">
        <f t="shared" si="136"/>
        <v/>
      </c>
      <c r="M119" s="25"/>
      <c r="N119" s="7" t="str">
        <f t="shared" si="137"/>
        <v/>
      </c>
      <c r="O119" s="81"/>
      <c r="P119" s="81" t="str">
        <f t="shared" si="138"/>
        <v/>
      </c>
      <c r="Q119" s="81"/>
      <c r="R119" s="7" t="str">
        <f t="shared" si="139"/>
        <v/>
      </c>
      <c r="S119" s="25"/>
      <c r="T119" s="7" t="str">
        <f t="shared" si="140"/>
        <v/>
      </c>
      <c r="U119" s="25"/>
      <c r="V119" s="7" t="str">
        <f t="shared" si="141"/>
        <v/>
      </c>
      <c r="W119" s="25"/>
      <c r="X119" s="7" t="str">
        <f t="shared" si="142"/>
        <v/>
      </c>
      <c r="Y119" s="18" t="str">
        <f t="shared" si="143"/>
        <v/>
      </c>
      <c r="Z119" s="7" t="str">
        <f t="shared" si="144"/>
        <v/>
      </c>
      <c r="AA119" s="18" t="str">
        <f t="shared" si="145"/>
        <v/>
      </c>
      <c r="AB119" s="19" t="str">
        <f t="shared" si="146"/>
        <v/>
      </c>
      <c r="AC119" s="26"/>
      <c r="AD119" s="26"/>
      <c r="AE119" s="25"/>
      <c r="AF119" s="26"/>
      <c r="AG119" s="25"/>
      <c r="AH119" s="25"/>
      <c r="AI119" s="18" t="str">
        <f t="shared" si="209"/>
        <v/>
      </c>
      <c r="AJ119" s="25"/>
      <c r="AK119" s="18" t="str">
        <f t="shared" si="210"/>
        <v/>
      </c>
      <c r="AL119" s="79"/>
      <c r="AM119" s="126" t="str">
        <f t="shared" si="211"/>
        <v/>
      </c>
      <c r="AN119" s="128" t="str">
        <f>IF(AP119&lt;&gt;"",VLOOKUP($P119&amp;" | "&amp;AN$6,'Job Master'!$F$12:$J$102,5,0),"")</f>
        <v/>
      </c>
      <c r="AO119" s="19" t="str">
        <f>IF(AP119&lt;&gt;"",VLOOKUP($P119&amp;" | "&amp;AN$6,'Job Master'!$F$12:$J$102,3,0),"")</f>
        <v/>
      </c>
      <c r="AP119" s="19" t="str">
        <f>IFERROR(IF(AND(AW119&lt;&gt;"",VLOOKUP($P119&amp;" | "&amp;AN$6,'Job Master'!$F$12:$I$102,4,0)&lt;&gt;""),IF(WEEKDAY(AW119-VLOOKUP($P119&amp;" | "&amp;AN$6,'Job Master'!$F$12:$I$102,4,0))&lt;&gt;7,AW119-VLOOKUP($P119&amp;" | "&amp;AN$6,'Job Master'!$F$12:$I$102,4,0),AW119-VLOOKUP($P119&amp;" | "&amp;AN$6,'Job Master'!$F$12:$I$102,4,0)-1),""),"")</f>
        <v/>
      </c>
      <c r="AQ119" s="73"/>
      <c r="AR119" s="123" t="str">
        <f t="shared" si="147"/>
        <v/>
      </c>
      <c r="AS119" s="123" t="str">
        <f t="shared" si="148"/>
        <v/>
      </c>
      <c r="AT119" s="97" t="str">
        <f t="shared" ca="1" si="149"/>
        <v/>
      </c>
      <c r="AU119" s="98" t="str">
        <f>IF(AW119&lt;&gt;"",VLOOKUP($P119&amp;" | "&amp;AU$6,'Job Master'!$F$12:$J$102,5,0),"")</f>
        <v/>
      </c>
      <c r="AV119" s="19" t="str">
        <f>IF(AW119&lt;&gt;"",VLOOKUP($P119&amp;" | "&amp;AU$6,'Job Master'!$F$12:$J$102,3,0),"")</f>
        <v/>
      </c>
      <c r="AW119" s="19" t="str">
        <f>IFERROR(IF(AND(BD119&lt;&gt;"",VLOOKUP($P119&amp;" | "&amp;AU$6,'Job Master'!$F$12:$I$102,4,0)&lt;&gt;""),IF(WEEKDAY(BD119-VLOOKUP($P119&amp;" | "&amp;AU$6,'Job Master'!$F$12:$I$102,4,0))&lt;&gt;7,BD119-VLOOKUP($P119&amp;" | "&amp;AU$6,'Job Master'!$F$12:$I$102,4,0),BD119-VLOOKUP($P119&amp;" | "&amp;AU$6,'Job Master'!$F$12:$I$102,4,0)-1),""),"")</f>
        <v/>
      </c>
      <c r="AX119" s="73"/>
      <c r="AY119" s="123" t="str">
        <f t="shared" si="150"/>
        <v/>
      </c>
      <c r="AZ119" s="123" t="str">
        <f t="shared" si="151"/>
        <v/>
      </c>
      <c r="BA119" s="97" t="str">
        <f t="shared" ca="1" si="152"/>
        <v/>
      </c>
      <c r="BB119" s="98" t="str">
        <f>IF(BD119&lt;&gt;"",VLOOKUP($P119&amp;" | "&amp;BB$6,'Job Master'!$F$12:$J$102,5,0),"")</f>
        <v/>
      </c>
      <c r="BC119" s="19" t="str">
        <f>IF(BD119&lt;&gt;"",VLOOKUP($P119&amp;" | "&amp;BB$6,'Job Master'!$F$12:$J$102,3,0),"")</f>
        <v/>
      </c>
      <c r="BD119" s="19" t="str">
        <f>IFERROR(IF(AND(BK119&lt;&gt;"",VLOOKUP($P119&amp;" | "&amp;BB$6,'Job Master'!$F$12:$I$102,4,0)&lt;&gt;""),IF(WEEKDAY(BK119-VLOOKUP($P119&amp;" | "&amp;BB$6,'Job Master'!$F$12:$I$102,4,0))&lt;&gt;7,BK119-VLOOKUP($P119&amp;" | "&amp;BB$6,'Job Master'!$F$12:$I$102,4,0),BK119-VLOOKUP($P119&amp;" | "&amp;BB$6,'Job Master'!$F$12:$I$102,4,0)-1),""),"")</f>
        <v/>
      </c>
      <c r="BE119" s="73"/>
      <c r="BF119" s="123" t="str">
        <f t="shared" si="153"/>
        <v/>
      </c>
      <c r="BG119" s="123" t="str">
        <f t="shared" si="154"/>
        <v/>
      </c>
      <c r="BH119" s="97" t="str">
        <f t="shared" ca="1" si="155"/>
        <v/>
      </c>
      <c r="BI119" s="98" t="str">
        <f>IF(BK119&lt;&gt;"",VLOOKUP($P119&amp;" | "&amp;BI$6,'Job Master'!$F$12:$J$102,5,0),"")</f>
        <v/>
      </c>
      <c r="BJ119" s="19" t="str">
        <f>IF(BK119&lt;&gt;"",VLOOKUP($P119&amp;" | "&amp;BI$6,'Job Master'!$F$12:$J$102,3,0),"")</f>
        <v/>
      </c>
      <c r="BK119" s="19" t="str">
        <f>IFERROR(IF(AND(BR119&lt;&gt;"",VLOOKUP($P119&amp;" | "&amp;BI$6,'Job Master'!$F$12:$I$102,4,0)&lt;&gt;""),IF(WEEKDAY(BR119-VLOOKUP($P119&amp;" | "&amp;BI$6,'Job Master'!$F$12:$I$102,4,0))&lt;&gt;7,BR119-VLOOKUP($P119&amp;" | "&amp;BI$6,'Job Master'!$F$12:$I$102,4,0),BR119-VLOOKUP($P119&amp;" | "&amp;BI$6,'Job Master'!$F$12:$I$102,4,0)-1),""),"")</f>
        <v/>
      </c>
      <c r="BL119" s="73"/>
      <c r="BM119" s="123" t="str">
        <f t="shared" si="156"/>
        <v/>
      </c>
      <c r="BN119" s="123" t="str">
        <f t="shared" si="157"/>
        <v/>
      </c>
      <c r="BO119" s="97" t="str">
        <f t="shared" ca="1" si="158"/>
        <v/>
      </c>
      <c r="BP119" s="98" t="str">
        <f>IF(BR119&lt;&gt;"",VLOOKUP($P119&amp;" | "&amp;BP$6,'Job Master'!$F$12:$J$102,5,0),"")</f>
        <v/>
      </c>
      <c r="BQ119" s="19" t="str">
        <f>IF(BR119&lt;&gt;"",VLOOKUP($P119&amp;" | "&amp;BP$6,'Job Master'!$F$12:$J$102,3,0),"")</f>
        <v/>
      </c>
      <c r="BR119" s="19" t="str">
        <f>IFERROR(IF(AND(BY119&lt;&gt;"",VLOOKUP($P119&amp;" | "&amp;BP$6,'Job Master'!$F$12:$I$102,4,0)&lt;&gt;""),IF(WEEKDAY(BY119-VLOOKUP($P119&amp;" | "&amp;BP$6,'Job Master'!$F$12:$I$102,4,0))&lt;&gt;7,BY119-VLOOKUP($P119&amp;" | "&amp;BP$6,'Job Master'!$F$12:$I$102,4,0),BY119-VLOOKUP($P119&amp;" | "&amp;BP$6,'Job Master'!$F$12:$I$102,4,0)-1),""),"")</f>
        <v/>
      </c>
      <c r="BS119" s="73"/>
      <c r="BT119" s="123" t="str">
        <f t="shared" si="159"/>
        <v/>
      </c>
      <c r="BU119" s="123" t="str">
        <f t="shared" si="160"/>
        <v/>
      </c>
      <c r="BV119" s="97" t="str">
        <f t="shared" ca="1" si="161"/>
        <v/>
      </c>
      <c r="BW119" s="98" t="str">
        <f>IF(BY119&lt;&gt;"",VLOOKUP($P119&amp;" | "&amp;BW$6,'Job Master'!$F$12:$J$102,5,0),"")</f>
        <v/>
      </c>
      <c r="BX119" s="19" t="str">
        <f>IF(BY119&lt;&gt;"",VLOOKUP($P119&amp;" | "&amp;BW$6,'Job Master'!$F$12:$J$102,3,0),"")</f>
        <v/>
      </c>
      <c r="BY119" s="19" t="str">
        <f>IFERROR(IF(AND(CF119&lt;&gt;"",VLOOKUP($P119&amp;" | "&amp;BW$6,'Job Master'!$F$12:$I$102,4,0)&lt;&gt;""),IF(WEEKDAY(CF119-VLOOKUP($P119&amp;" | "&amp;BW$6,'Job Master'!$F$12:$I$102,4,0))&lt;&gt;7,CF119-VLOOKUP($P119&amp;" | "&amp;BW$6,'Job Master'!$F$12:$I$102,4,0),CF119-VLOOKUP($P119&amp;" | "&amp;BW$6,'Job Master'!$F$12:$I$102,4,0)-1),""),"")</f>
        <v/>
      </c>
      <c r="BZ119" s="73"/>
      <c r="CA119" s="123" t="str">
        <f t="shared" si="162"/>
        <v/>
      </c>
      <c r="CB119" s="123" t="str">
        <f t="shared" si="163"/>
        <v/>
      </c>
      <c r="CC119" s="97" t="str">
        <f t="shared" ca="1" si="164"/>
        <v/>
      </c>
      <c r="CD119" s="98" t="str">
        <f>IF(CF119&lt;&gt;"",VLOOKUP($P119&amp;" | "&amp;CD$6,'Job Master'!$F$12:$J$102,5,0),"")</f>
        <v/>
      </c>
      <c r="CE119" s="19" t="str">
        <f>IF(CF119&lt;&gt;"",VLOOKUP($P119&amp;" | "&amp;CD$6,'Job Master'!$F$12:$J$102,3,0),"")</f>
        <v/>
      </c>
      <c r="CF119" s="19" t="str">
        <f>IFERROR(IF(AND(CM119&lt;&gt;"",VLOOKUP($P119&amp;" | "&amp;CD$6,'Job Master'!$F$12:$I$102,4,0)&lt;&gt;""),IF(WEEKDAY(CM119-VLOOKUP($P119&amp;" | "&amp;CD$6,'Job Master'!$F$12:$I$102,4,0))&lt;&gt;7,CM119-VLOOKUP($P119&amp;" | "&amp;CD$6,'Job Master'!$F$12:$I$102,4,0),CM119-VLOOKUP($P119&amp;" | "&amp;CD$6,'Job Master'!$F$12:$I$102,4,0)-1),""),"")</f>
        <v/>
      </c>
      <c r="CG119" s="73"/>
      <c r="CH119" s="123" t="str">
        <f t="shared" si="165"/>
        <v/>
      </c>
      <c r="CI119" s="123" t="str">
        <f t="shared" si="166"/>
        <v/>
      </c>
      <c r="CJ119" s="97" t="str">
        <f t="shared" ca="1" si="167"/>
        <v/>
      </c>
      <c r="CK119" s="98" t="str">
        <f>IF(CM119&lt;&gt;"",VLOOKUP($P119&amp;" | "&amp;CK$6,'Job Master'!$F$12:$J$102,5,0),"")</f>
        <v/>
      </c>
      <c r="CL119" s="19" t="str">
        <f>IF(CM119&lt;&gt;"",VLOOKUP($P119&amp;" | "&amp;CK$6,'Job Master'!$F$12:$J$102,3,0),"")</f>
        <v/>
      </c>
      <c r="CM119" s="19" t="str">
        <f>IFERROR(IF(AND(CT119&lt;&gt;"",VLOOKUP($P119&amp;" | "&amp;CK$6,'Job Master'!$F$12:$I$102,4,0)&lt;&gt;""),IF(WEEKDAY(CT119-VLOOKUP($P119&amp;" | "&amp;CK$6,'Job Master'!$F$12:$I$102,4,0))&lt;&gt;7,CT119-VLOOKUP($P119&amp;" | "&amp;CK$6,'Job Master'!$F$12:$I$102,4,0),CT119-VLOOKUP($P119&amp;" | "&amp;CK$6,'Job Master'!$F$12:$I$102,4,0)-1),""),"")</f>
        <v/>
      </c>
      <c r="CN119" s="73"/>
      <c r="CO119" s="123" t="str">
        <f t="shared" si="168"/>
        <v/>
      </c>
      <c r="CP119" s="123" t="str">
        <f t="shared" si="169"/>
        <v/>
      </c>
      <c r="CQ119" s="97" t="str">
        <f t="shared" ca="1" si="170"/>
        <v/>
      </c>
      <c r="CR119" s="98" t="str">
        <f>IF(CT119&lt;&gt;"",VLOOKUP($P119&amp;" | "&amp;CR$6,'Job Master'!$F$12:$J$102,5,0),"")</f>
        <v/>
      </c>
      <c r="CS119" s="19" t="str">
        <f>IF(CT119&lt;&gt;"",VLOOKUP($P119&amp;" | "&amp;CR$6,'Job Master'!$F$12:$J$102,3,0),"")</f>
        <v/>
      </c>
      <c r="CT119" s="19" t="str">
        <f>IFERROR(IF(AND(DA119&lt;&gt;"",VLOOKUP($P119&amp;" | "&amp;CR$6,'Job Master'!$F$12:$I$102,4,0)&lt;&gt;""),IF(WEEKDAY(DA119-VLOOKUP($P119&amp;" | "&amp;CR$6,'Job Master'!$F$12:$I$102,4,0))&lt;&gt;7,DA119-VLOOKUP($P119&amp;" | "&amp;CR$6,'Job Master'!$F$12:$I$102,4,0),DA119-VLOOKUP($P119&amp;" | "&amp;CR$6,'Job Master'!$F$12:$I$102,4,0)-1),""),"")</f>
        <v/>
      </c>
      <c r="CU119" s="73"/>
      <c r="CV119" s="123" t="str">
        <f t="shared" si="171"/>
        <v/>
      </c>
      <c r="CW119" s="123" t="str">
        <f t="shared" si="172"/>
        <v/>
      </c>
      <c r="CX119" s="97" t="str">
        <f t="shared" ca="1" si="173"/>
        <v/>
      </c>
      <c r="CY119" s="98" t="str">
        <f>IF(DA119&lt;&gt;"",VLOOKUP($P119&amp;" | "&amp;CY$6,'Job Master'!$F$12:$J$102,5,0),"")</f>
        <v/>
      </c>
      <c r="CZ119" s="19" t="str">
        <f>IF(DA119&lt;&gt;"",VLOOKUP($P119&amp;" | "&amp;CY$6,'Job Master'!$F$12:$J$102,3,0),"")</f>
        <v/>
      </c>
      <c r="DA119" s="19" t="str">
        <f>IFERROR(IF(AND(DH119&lt;&gt;"",VLOOKUP($P119&amp;" | "&amp;CY$6,'Job Master'!$F$12:$I$102,4,0)&lt;&gt;""),IF(WEEKDAY(DH119-VLOOKUP($P119&amp;" | "&amp;CY$6,'Job Master'!$F$12:$I$102,4,0))&lt;&gt;7,DH119-VLOOKUP($P119&amp;" | "&amp;CY$6,'Job Master'!$F$12:$I$102,4,0),DH119-VLOOKUP($P119&amp;" | "&amp;CY$6,'Job Master'!$F$12:$I$102,4,0)-1),""),"")</f>
        <v/>
      </c>
      <c r="DB119" s="73"/>
      <c r="DC119" s="123" t="str">
        <f t="shared" si="174"/>
        <v/>
      </c>
      <c r="DD119" s="123" t="str">
        <f t="shared" si="175"/>
        <v/>
      </c>
      <c r="DE119" s="97" t="str">
        <f t="shared" ca="1" si="176"/>
        <v/>
      </c>
      <c r="DF119" s="98" t="str">
        <f>IF(DH119&lt;&gt;"",VLOOKUP($P119&amp;" | "&amp;DF$6,'Job Master'!$F$12:$J$102,5,0),"")</f>
        <v/>
      </c>
      <c r="DG119" s="19" t="str">
        <f>IF(DH119&lt;&gt;"",VLOOKUP($P119&amp;" | "&amp;DF$6,'Job Master'!$F$12:$J$102,3,0),"")</f>
        <v/>
      </c>
      <c r="DH119" s="19" t="str">
        <f>IFERROR(IF(AND(DO119&lt;&gt;"",VLOOKUP($P119&amp;" | "&amp;DF$6,'Job Master'!$F$12:$I$102,4,0)&lt;&gt;""),IF(WEEKDAY(DO119-VLOOKUP($P119&amp;" | "&amp;DF$6,'Job Master'!$F$12:$I$102,4,0))&lt;&gt;7,DO119-VLOOKUP($P119&amp;" | "&amp;DF$6,'Job Master'!$F$12:$I$102,4,0),DO119-VLOOKUP($P119&amp;" | "&amp;DF$6,'Job Master'!$F$12:$I$102,4,0)-1),""),"")</f>
        <v/>
      </c>
      <c r="DI119" s="73"/>
      <c r="DJ119" s="123" t="str">
        <f t="shared" si="177"/>
        <v/>
      </c>
      <c r="DK119" s="123" t="str">
        <f t="shared" si="178"/>
        <v/>
      </c>
      <c r="DL119" s="97" t="str">
        <f t="shared" ca="1" si="179"/>
        <v/>
      </c>
      <c r="DM119" s="98" t="str">
        <f>IF(DO119&lt;&gt;"",VLOOKUP($P119&amp;" | "&amp;DM$6,'Job Master'!$F$12:$J$102,5,0),"")</f>
        <v/>
      </c>
      <c r="DN119" s="19" t="str">
        <f>IF(DO119&lt;&gt;"",VLOOKUP($P119&amp;" | "&amp;DM$6,'Job Master'!$F$12:$J$102,3,0),"")</f>
        <v/>
      </c>
      <c r="DO119" s="19" t="str">
        <f>IFERROR(IF(AND(DT119&lt;&gt;"",VLOOKUP($P119&amp;" | "&amp;DM$6,'Job Master'!$F$12:$I$102,4,0)&lt;&gt;""),IF(WEEKDAY(DT119-VLOOKUP($P119&amp;" | "&amp;DM$6,'Job Master'!$F$12:$I$102,4,0))&lt;&gt;7,DT119-VLOOKUP($P119&amp;" | "&amp;DM$6,'Job Master'!$F$12:$I$102,4,0),DT119-VLOOKUP($P119&amp;" | "&amp;DM$6,'Job Master'!$F$12:$I$102,4,0)-1),""),"")</f>
        <v/>
      </c>
      <c r="DP119" s="73"/>
      <c r="DQ119" s="123" t="str">
        <f t="shared" si="180"/>
        <v/>
      </c>
      <c r="DR119" s="123" t="str">
        <f t="shared" si="181"/>
        <v/>
      </c>
      <c r="DS119" s="97" t="str">
        <f t="shared" ca="1" si="182"/>
        <v/>
      </c>
      <c r="DT119" s="70" t="str">
        <f t="shared" si="183"/>
        <v/>
      </c>
      <c r="DU119" s="90"/>
      <c r="DV119" s="123" t="str">
        <f t="shared" si="184"/>
        <v/>
      </c>
      <c r="DW119" s="123" t="str">
        <f t="shared" si="185"/>
        <v/>
      </c>
      <c r="DX119" s="132" t="str">
        <f t="shared" ref="DX119" ca="1" si="242">IF(DT119&lt;&gt;"",IF(WEEKNUM(DT119)=WEEKNUM(TODAY()),"This Week",IF(WEEKNUM(DT119)=WEEKNUM(TODAY())+1,"Next Week",IF(WEEKNUM(DT119)=WEEKNUM(TODAY())-1,"Previous Week",""))),"")</f>
        <v/>
      </c>
      <c r="DY119" s="134" t="str">
        <f t="shared" si="187"/>
        <v/>
      </c>
      <c r="DZ119" s="95"/>
      <c r="EB119" s="8" t="str">
        <f t="shared" si="193"/>
        <v/>
      </c>
      <c r="EC119" s="8" t="str">
        <f>IF(O119&lt;&gt;"",VLOOKUP(O119,'Job Master'!$N$12:$O$18,2,0),"")</f>
        <v/>
      </c>
      <c r="ED119" s="8">
        <f t="shared" si="194"/>
        <v>19.5</v>
      </c>
      <c r="EE119" s="8">
        <f t="shared" si="195"/>
        <v>6</v>
      </c>
      <c r="EF119" s="8">
        <f t="shared" si="196"/>
        <v>-634.5</v>
      </c>
      <c r="EG119" s="8" t="str">
        <f t="shared" si="197"/>
        <v/>
      </c>
      <c r="EH119" s="8" t="str">
        <f t="shared" si="198"/>
        <v/>
      </c>
    </row>
    <row r="120" spans="2:138" x14ac:dyDescent="0.3">
      <c r="B120" s="112"/>
      <c r="C120" s="27"/>
      <c r="D120" s="7" t="str">
        <f t="shared" si="135"/>
        <v/>
      </c>
      <c r="E120" s="25"/>
      <c r="F120" s="7" t="str">
        <f t="shared" si="135"/>
        <v/>
      </c>
      <c r="G120" s="25"/>
      <c r="H120" s="7" t="str">
        <f t="shared" si="135"/>
        <v/>
      </c>
      <c r="I120" s="25"/>
      <c r="J120" s="7" t="str">
        <f t="shared" si="135"/>
        <v/>
      </c>
      <c r="K120" s="25"/>
      <c r="L120" s="7" t="str">
        <f t="shared" si="136"/>
        <v/>
      </c>
      <c r="M120" s="25"/>
      <c r="N120" s="7" t="str">
        <f t="shared" si="137"/>
        <v/>
      </c>
      <c r="O120" s="81"/>
      <c r="P120" s="81" t="str">
        <f t="shared" si="138"/>
        <v/>
      </c>
      <c r="Q120" s="81"/>
      <c r="R120" s="7" t="str">
        <f t="shared" si="139"/>
        <v/>
      </c>
      <c r="S120" s="25"/>
      <c r="T120" s="7" t="str">
        <f t="shared" si="140"/>
        <v/>
      </c>
      <c r="U120" s="25"/>
      <c r="V120" s="7" t="str">
        <f t="shared" si="141"/>
        <v/>
      </c>
      <c r="W120" s="25"/>
      <c r="X120" s="7" t="str">
        <f t="shared" si="142"/>
        <v/>
      </c>
      <c r="Y120" s="18" t="str">
        <f t="shared" si="143"/>
        <v/>
      </c>
      <c r="Z120" s="7" t="str">
        <f t="shared" si="144"/>
        <v/>
      </c>
      <c r="AA120" s="18" t="str">
        <f t="shared" si="145"/>
        <v/>
      </c>
      <c r="AB120" s="19" t="str">
        <f t="shared" si="146"/>
        <v/>
      </c>
      <c r="AC120" s="26"/>
      <c r="AD120" s="26"/>
      <c r="AE120" s="25"/>
      <c r="AF120" s="26"/>
      <c r="AG120" s="25"/>
      <c r="AH120" s="25"/>
      <c r="AI120" s="18" t="str">
        <f t="shared" si="209"/>
        <v/>
      </c>
      <c r="AJ120" s="25"/>
      <c r="AK120" s="18" t="str">
        <f t="shared" si="210"/>
        <v/>
      </c>
      <c r="AL120" s="79"/>
      <c r="AM120" s="126" t="str">
        <f t="shared" si="211"/>
        <v/>
      </c>
      <c r="AN120" s="128" t="str">
        <f>IF(AP120&lt;&gt;"",VLOOKUP($P120&amp;" | "&amp;AN$6,'Job Master'!$F$12:$J$102,5,0),"")</f>
        <v/>
      </c>
      <c r="AO120" s="19" t="str">
        <f>IF(AP120&lt;&gt;"",VLOOKUP($P120&amp;" | "&amp;AN$6,'Job Master'!$F$12:$J$102,3,0),"")</f>
        <v/>
      </c>
      <c r="AP120" s="19" t="str">
        <f>IFERROR(IF(AND(AW120&lt;&gt;"",VLOOKUP($P120&amp;" | "&amp;AN$6,'Job Master'!$F$12:$I$102,4,0)&lt;&gt;""),IF(WEEKDAY(AW120-VLOOKUP($P120&amp;" | "&amp;AN$6,'Job Master'!$F$12:$I$102,4,0))&lt;&gt;7,AW120-VLOOKUP($P120&amp;" | "&amp;AN$6,'Job Master'!$F$12:$I$102,4,0),AW120-VLOOKUP($P120&amp;" | "&amp;AN$6,'Job Master'!$F$12:$I$102,4,0)-1),""),"")</f>
        <v/>
      </c>
      <c r="AQ120" s="73"/>
      <c r="AR120" s="123" t="str">
        <f t="shared" si="147"/>
        <v/>
      </c>
      <c r="AS120" s="123" t="str">
        <f t="shared" si="148"/>
        <v/>
      </c>
      <c r="AT120" s="97" t="str">
        <f t="shared" ca="1" si="149"/>
        <v/>
      </c>
      <c r="AU120" s="98" t="str">
        <f>IF(AW120&lt;&gt;"",VLOOKUP($P120&amp;" | "&amp;AU$6,'Job Master'!$F$12:$J$102,5,0),"")</f>
        <v/>
      </c>
      <c r="AV120" s="19" t="str">
        <f>IF(AW120&lt;&gt;"",VLOOKUP($P120&amp;" | "&amp;AU$6,'Job Master'!$F$12:$J$102,3,0),"")</f>
        <v/>
      </c>
      <c r="AW120" s="19" t="str">
        <f>IFERROR(IF(AND(BD120&lt;&gt;"",VLOOKUP($P120&amp;" | "&amp;AU$6,'Job Master'!$F$12:$I$102,4,0)&lt;&gt;""),IF(WEEKDAY(BD120-VLOOKUP($P120&amp;" | "&amp;AU$6,'Job Master'!$F$12:$I$102,4,0))&lt;&gt;7,BD120-VLOOKUP($P120&amp;" | "&amp;AU$6,'Job Master'!$F$12:$I$102,4,0),BD120-VLOOKUP($P120&amp;" | "&amp;AU$6,'Job Master'!$F$12:$I$102,4,0)-1),""),"")</f>
        <v/>
      </c>
      <c r="AX120" s="73"/>
      <c r="AY120" s="123" t="str">
        <f t="shared" si="150"/>
        <v/>
      </c>
      <c r="AZ120" s="123" t="str">
        <f t="shared" si="151"/>
        <v/>
      </c>
      <c r="BA120" s="97" t="str">
        <f t="shared" ca="1" si="152"/>
        <v/>
      </c>
      <c r="BB120" s="98" t="str">
        <f>IF(BD120&lt;&gt;"",VLOOKUP($P120&amp;" | "&amp;BB$6,'Job Master'!$F$12:$J$102,5,0),"")</f>
        <v/>
      </c>
      <c r="BC120" s="19" t="str">
        <f>IF(BD120&lt;&gt;"",VLOOKUP($P120&amp;" | "&amp;BB$6,'Job Master'!$F$12:$J$102,3,0),"")</f>
        <v/>
      </c>
      <c r="BD120" s="19" t="str">
        <f>IFERROR(IF(AND(BK120&lt;&gt;"",VLOOKUP($P120&amp;" | "&amp;BB$6,'Job Master'!$F$12:$I$102,4,0)&lt;&gt;""),IF(WEEKDAY(BK120-VLOOKUP($P120&amp;" | "&amp;BB$6,'Job Master'!$F$12:$I$102,4,0))&lt;&gt;7,BK120-VLOOKUP($P120&amp;" | "&amp;BB$6,'Job Master'!$F$12:$I$102,4,0),BK120-VLOOKUP($P120&amp;" | "&amp;BB$6,'Job Master'!$F$12:$I$102,4,0)-1),""),"")</f>
        <v/>
      </c>
      <c r="BE120" s="73"/>
      <c r="BF120" s="123" t="str">
        <f t="shared" si="153"/>
        <v/>
      </c>
      <c r="BG120" s="123" t="str">
        <f t="shared" si="154"/>
        <v/>
      </c>
      <c r="BH120" s="97" t="str">
        <f t="shared" ca="1" si="155"/>
        <v/>
      </c>
      <c r="BI120" s="98" t="str">
        <f>IF(BK120&lt;&gt;"",VLOOKUP($P120&amp;" | "&amp;BI$6,'Job Master'!$F$12:$J$102,5,0),"")</f>
        <v/>
      </c>
      <c r="BJ120" s="19" t="str">
        <f>IF(BK120&lt;&gt;"",VLOOKUP($P120&amp;" | "&amp;BI$6,'Job Master'!$F$12:$J$102,3,0),"")</f>
        <v/>
      </c>
      <c r="BK120" s="19" t="str">
        <f>IFERROR(IF(AND(BR120&lt;&gt;"",VLOOKUP($P120&amp;" | "&amp;BI$6,'Job Master'!$F$12:$I$102,4,0)&lt;&gt;""),IF(WEEKDAY(BR120-VLOOKUP($P120&amp;" | "&amp;BI$6,'Job Master'!$F$12:$I$102,4,0))&lt;&gt;7,BR120-VLOOKUP($P120&amp;" | "&amp;BI$6,'Job Master'!$F$12:$I$102,4,0),BR120-VLOOKUP($P120&amp;" | "&amp;BI$6,'Job Master'!$F$12:$I$102,4,0)-1),""),"")</f>
        <v/>
      </c>
      <c r="BL120" s="73"/>
      <c r="BM120" s="123" t="str">
        <f t="shared" si="156"/>
        <v/>
      </c>
      <c r="BN120" s="123" t="str">
        <f t="shared" si="157"/>
        <v/>
      </c>
      <c r="BO120" s="97" t="str">
        <f t="shared" ca="1" si="158"/>
        <v/>
      </c>
      <c r="BP120" s="98" t="str">
        <f>IF(BR120&lt;&gt;"",VLOOKUP($P120&amp;" | "&amp;BP$6,'Job Master'!$F$12:$J$102,5,0),"")</f>
        <v/>
      </c>
      <c r="BQ120" s="19" t="str">
        <f>IF(BR120&lt;&gt;"",VLOOKUP($P120&amp;" | "&amp;BP$6,'Job Master'!$F$12:$J$102,3,0),"")</f>
        <v/>
      </c>
      <c r="BR120" s="19" t="str">
        <f>IFERROR(IF(AND(BY120&lt;&gt;"",VLOOKUP($P120&amp;" | "&amp;BP$6,'Job Master'!$F$12:$I$102,4,0)&lt;&gt;""),IF(WEEKDAY(BY120-VLOOKUP($P120&amp;" | "&amp;BP$6,'Job Master'!$F$12:$I$102,4,0))&lt;&gt;7,BY120-VLOOKUP($P120&amp;" | "&amp;BP$6,'Job Master'!$F$12:$I$102,4,0),BY120-VLOOKUP($P120&amp;" | "&amp;BP$6,'Job Master'!$F$12:$I$102,4,0)-1),""),"")</f>
        <v/>
      </c>
      <c r="BS120" s="73"/>
      <c r="BT120" s="123" t="str">
        <f t="shared" si="159"/>
        <v/>
      </c>
      <c r="BU120" s="123" t="str">
        <f t="shared" si="160"/>
        <v/>
      </c>
      <c r="BV120" s="97" t="str">
        <f t="shared" ca="1" si="161"/>
        <v/>
      </c>
      <c r="BW120" s="98" t="str">
        <f>IF(BY120&lt;&gt;"",VLOOKUP($P120&amp;" | "&amp;BW$6,'Job Master'!$F$12:$J$102,5,0),"")</f>
        <v/>
      </c>
      <c r="BX120" s="19" t="str">
        <f>IF(BY120&lt;&gt;"",VLOOKUP($P120&amp;" | "&amp;BW$6,'Job Master'!$F$12:$J$102,3,0),"")</f>
        <v/>
      </c>
      <c r="BY120" s="19" t="str">
        <f>IFERROR(IF(AND(CF120&lt;&gt;"",VLOOKUP($P120&amp;" | "&amp;BW$6,'Job Master'!$F$12:$I$102,4,0)&lt;&gt;""),IF(WEEKDAY(CF120-VLOOKUP($P120&amp;" | "&amp;BW$6,'Job Master'!$F$12:$I$102,4,0))&lt;&gt;7,CF120-VLOOKUP($P120&amp;" | "&amp;BW$6,'Job Master'!$F$12:$I$102,4,0),CF120-VLOOKUP($P120&amp;" | "&amp;BW$6,'Job Master'!$F$12:$I$102,4,0)-1),""),"")</f>
        <v/>
      </c>
      <c r="BZ120" s="73"/>
      <c r="CA120" s="123" t="str">
        <f t="shared" si="162"/>
        <v/>
      </c>
      <c r="CB120" s="123" t="str">
        <f t="shared" si="163"/>
        <v/>
      </c>
      <c r="CC120" s="97" t="str">
        <f t="shared" ca="1" si="164"/>
        <v/>
      </c>
      <c r="CD120" s="98" t="str">
        <f>IF(CF120&lt;&gt;"",VLOOKUP($P120&amp;" | "&amp;CD$6,'Job Master'!$F$12:$J$102,5,0),"")</f>
        <v/>
      </c>
      <c r="CE120" s="19" t="str">
        <f>IF(CF120&lt;&gt;"",VLOOKUP($P120&amp;" | "&amp;CD$6,'Job Master'!$F$12:$J$102,3,0),"")</f>
        <v/>
      </c>
      <c r="CF120" s="19" t="str">
        <f>IFERROR(IF(AND(CM120&lt;&gt;"",VLOOKUP($P120&amp;" | "&amp;CD$6,'Job Master'!$F$12:$I$102,4,0)&lt;&gt;""),IF(WEEKDAY(CM120-VLOOKUP($P120&amp;" | "&amp;CD$6,'Job Master'!$F$12:$I$102,4,0))&lt;&gt;7,CM120-VLOOKUP($P120&amp;" | "&amp;CD$6,'Job Master'!$F$12:$I$102,4,0),CM120-VLOOKUP($P120&amp;" | "&amp;CD$6,'Job Master'!$F$12:$I$102,4,0)-1),""),"")</f>
        <v/>
      </c>
      <c r="CG120" s="73"/>
      <c r="CH120" s="123" t="str">
        <f t="shared" si="165"/>
        <v/>
      </c>
      <c r="CI120" s="123" t="str">
        <f t="shared" si="166"/>
        <v/>
      </c>
      <c r="CJ120" s="97" t="str">
        <f t="shared" ca="1" si="167"/>
        <v/>
      </c>
      <c r="CK120" s="98" t="str">
        <f>IF(CM120&lt;&gt;"",VLOOKUP($P120&amp;" | "&amp;CK$6,'Job Master'!$F$12:$J$102,5,0),"")</f>
        <v/>
      </c>
      <c r="CL120" s="19" t="str">
        <f>IF(CM120&lt;&gt;"",VLOOKUP($P120&amp;" | "&amp;CK$6,'Job Master'!$F$12:$J$102,3,0),"")</f>
        <v/>
      </c>
      <c r="CM120" s="19" t="str">
        <f>IFERROR(IF(AND(CT120&lt;&gt;"",VLOOKUP($P120&amp;" | "&amp;CK$6,'Job Master'!$F$12:$I$102,4,0)&lt;&gt;""),IF(WEEKDAY(CT120-VLOOKUP($P120&amp;" | "&amp;CK$6,'Job Master'!$F$12:$I$102,4,0))&lt;&gt;7,CT120-VLOOKUP($P120&amp;" | "&amp;CK$6,'Job Master'!$F$12:$I$102,4,0),CT120-VLOOKUP($P120&amp;" | "&amp;CK$6,'Job Master'!$F$12:$I$102,4,0)-1),""),"")</f>
        <v/>
      </c>
      <c r="CN120" s="73"/>
      <c r="CO120" s="123" t="str">
        <f t="shared" si="168"/>
        <v/>
      </c>
      <c r="CP120" s="123" t="str">
        <f t="shared" si="169"/>
        <v/>
      </c>
      <c r="CQ120" s="97" t="str">
        <f t="shared" ca="1" si="170"/>
        <v/>
      </c>
      <c r="CR120" s="98" t="str">
        <f>IF(CT120&lt;&gt;"",VLOOKUP($P120&amp;" | "&amp;CR$6,'Job Master'!$F$12:$J$102,5,0),"")</f>
        <v/>
      </c>
      <c r="CS120" s="19" t="str">
        <f>IF(CT120&lt;&gt;"",VLOOKUP($P120&amp;" | "&amp;CR$6,'Job Master'!$F$12:$J$102,3,0),"")</f>
        <v/>
      </c>
      <c r="CT120" s="19" t="str">
        <f>IFERROR(IF(AND(DA120&lt;&gt;"",VLOOKUP($P120&amp;" | "&amp;CR$6,'Job Master'!$F$12:$I$102,4,0)&lt;&gt;""),IF(WEEKDAY(DA120-VLOOKUP($P120&amp;" | "&amp;CR$6,'Job Master'!$F$12:$I$102,4,0))&lt;&gt;7,DA120-VLOOKUP($P120&amp;" | "&amp;CR$6,'Job Master'!$F$12:$I$102,4,0),DA120-VLOOKUP($P120&amp;" | "&amp;CR$6,'Job Master'!$F$12:$I$102,4,0)-1),""),"")</f>
        <v/>
      </c>
      <c r="CU120" s="73"/>
      <c r="CV120" s="123" t="str">
        <f t="shared" si="171"/>
        <v/>
      </c>
      <c r="CW120" s="123" t="str">
        <f t="shared" si="172"/>
        <v/>
      </c>
      <c r="CX120" s="97" t="str">
        <f t="shared" ca="1" si="173"/>
        <v/>
      </c>
      <c r="CY120" s="98" t="str">
        <f>IF(DA120&lt;&gt;"",VLOOKUP($P120&amp;" | "&amp;CY$6,'Job Master'!$F$12:$J$102,5,0),"")</f>
        <v/>
      </c>
      <c r="CZ120" s="19" t="str">
        <f>IF(DA120&lt;&gt;"",VLOOKUP($P120&amp;" | "&amp;CY$6,'Job Master'!$F$12:$J$102,3,0),"")</f>
        <v/>
      </c>
      <c r="DA120" s="19" t="str">
        <f>IFERROR(IF(AND(DH120&lt;&gt;"",VLOOKUP($P120&amp;" | "&amp;CY$6,'Job Master'!$F$12:$I$102,4,0)&lt;&gt;""),IF(WEEKDAY(DH120-VLOOKUP($P120&amp;" | "&amp;CY$6,'Job Master'!$F$12:$I$102,4,0))&lt;&gt;7,DH120-VLOOKUP($P120&amp;" | "&amp;CY$6,'Job Master'!$F$12:$I$102,4,0),DH120-VLOOKUP($P120&amp;" | "&amp;CY$6,'Job Master'!$F$12:$I$102,4,0)-1),""),"")</f>
        <v/>
      </c>
      <c r="DB120" s="73"/>
      <c r="DC120" s="123" t="str">
        <f t="shared" si="174"/>
        <v/>
      </c>
      <c r="DD120" s="123" t="str">
        <f t="shared" si="175"/>
        <v/>
      </c>
      <c r="DE120" s="97" t="str">
        <f t="shared" ca="1" si="176"/>
        <v/>
      </c>
      <c r="DF120" s="98" t="str">
        <f>IF(DH120&lt;&gt;"",VLOOKUP($P120&amp;" | "&amp;DF$6,'Job Master'!$F$12:$J$102,5,0),"")</f>
        <v/>
      </c>
      <c r="DG120" s="19" t="str">
        <f>IF(DH120&lt;&gt;"",VLOOKUP($P120&amp;" | "&amp;DF$6,'Job Master'!$F$12:$J$102,3,0),"")</f>
        <v/>
      </c>
      <c r="DH120" s="19" t="str">
        <f>IFERROR(IF(AND(DO120&lt;&gt;"",VLOOKUP($P120&amp;" | "&amp;DF$6,'Job Master'!$F$12:$I$102,4,0)&lt;&gt;""),IF(WEEKDAY(DO120-VLOOKUP($P120&amp;" | "&amp;DF$6,'Job Master'!$F$12:$I$102,4,0))&lt;&gt;7,DO120-VLOOKUP($P120&amp;" | "&amp;DF$6,'Job Master'!$F$12:$I$102,4,0),DO120-VLOOKUP($P120&amp;" | "&amp;DF$6,'Job Master'!$F$12:$I$102,4,0)-1),""),"")</f>
        <v/>
      </c>
      <c r="DI120" s="73"/>
      <c r="DJ120" s="123" t="str">
        <f t="shared" si="177"/>
        <v/>
      </c>
      <c r="DK120" s="123" t="str">
        <f t="shared" si="178"/>
        <v/>
      </c>
      <c r="DL120" s="97" t="str">
        <f t="shared" ca="1" si="179"/>
        <v/>
      </c>
      <c r="DM120" s="98" t="str">
        <f>IF(DO120&lt;&gt;"",VLOOKUP($P120&amp;" | "&amp;DM$6,'Job Master'!$F$12:$J$102,5,0),"")</f>
        <v/>
      </c>
      <c r="DN120" s="19" t="str">
        <f>IF(DO120&lt;&gt;"",VLOOKUP($P120&amp;" | "&amp;DM$6,'Job Master'!$F$12:$J$102,3,0),"")</f>
        <v/>
      </c>
      <c r="DO120" s="19" t="str">
        <f>IFERROR(IF(AND(DT120&lt;&gt;"",VLOOKUP($P120&amp;" | "&amp;DM$6,'Job Master'!$F$12:$I$102,4,0)&lt;&gt;""),IF(WEEKDAY(DT120-VLOOKUP($P120&amp;" | "&amp;DM$6,'Job Master'!$F$12:$I$102,4,0))&lt;&gt;7,DT120-VLOOKUP($P120&amp;" | "&amp;DM$6,'Job Master'!$F$12:$I$102,4,0),DT120-VLOOKUP($P120&amp;" | "&amp;DM$6,'Job Master'!$F$12:$I$102,4,0)-1),""),"")</f>
        <v/>
      </c>
      <c r="DP120" s="73"/>
      <c r="DQ120" s="123" t="str">
        <f t="shared" si="180"/>
        <v/>
      </c>
      <c r="DR120" s="123" t="str">
        <f t="shared" si="181"/>
        <v/>
      </c>
      <c r="DS120" s="97" t="str">
        <f t="shared" ca="1" si="182"/>
        <v/>
      </c>
      <c r="DT120" s="70" t="str">
        <f t="shared" si="183"/>
        <v/>
      </c>
      <c r="DU120" s="90"/>
      <c r="DV120" s="123" t="str">
        <f t="shared" si="184"/>
        <v/>
      </c>
      <c r="DW120" s="123" t="str">
        <f t="shared" si="185"/>
        <v/>
      </c>
      <c r="DX120" s="132" t="str">
        <f t="shared" ref="DX120" ca="1" si="243">IF(DT120&lt;&gt;"",IF(WEEKNUM(DT120)=WEEKNUM(TODAY()),"This Week",IF(WEEKNUM(DT120)=WEEKNUM(TODAY())+1,"Next Week",IF(WEEKNUM(DT120)=WEEKNUM(TODAY())-1,"Previous Week",""))),"")</f>
        <v/>
      </c>
      <c r="DY120" s="134" t="str">
        <f t="shared" si="187"/>
        <v/>
      </c>
      <c r="DZ120" s="95"/>
      <c r="EB120" s="8" t="str">
        <f t="shared" si="193"/>
        <v/>
      </c>
      <c r="EC120" s="8" t="str">
        <f>IF(O120&lt;&gt;"",VLOOKUP(O120,'Job Master'!$N$12:$O$18,2,0),"")</f>
        <v/>
      </c>
      <c r="ED120" s="8">
        <f t="shared" si="194"/>
        <v>19.5</v>
      </c>
      <c r="EE120" s="8">
        <f t="shared" si="195"/>
        <v>6</v>
      </c>
      <c r="EF120" s="8">
        <f t="shared" si="196"/>
        <v>-640.5</v>
      </c>
      <c r="EG120" s="8" t="str">
        <f t="shared" si="197"/>
        <v/>
      </c>
      <c r="EH120" s="8" t="str">
        <f t="shared" si="198"/>
        <v/>
      </c>
    </row>
    <row r="121" spans="2:138" x14ac:dyDescent="0.3">
      <c r="B121" s="112"/>
      <c r="C121" s="27"/>
      <c r="D121" s="7" t="str">
        <f t="shared" si="135"/>
        <v/>
      </c>
      <c r="E121" s="25"/>
      <c r="F121" s="7" t="str">
        <f t="shared" si="135"/>
        <v/>
      </c>
      <c r="G121" s="25"/>
      <c r="H121" s="7" t="str">
        <f t="shared" si="135"/>
        <v/>
      </c>
      <c r="I121" s="25"/>
      <c r="J121" s="7" t="str">
        <f t="shared" si="135"/>
        <v/>
      </c>
      <c r="K121" s="25"/>
      <c r="L121" s="7" t="str">
        <f t="shared" si="136"/>
        <v/>
      </c>
      <c r="M121" s="25"/>
      <c r="N121" s="7" t="str">
        <f t="shared" si="137"/>
        <v/>
      </c>
      <c r="O121" s="81"/>
      <c r="P121" s="81" t="str">
        <f t="shared" si="138"/>
        <v/>
      </c>
      <c r="Q121" s="81"/>
      <c r="R121" s="7" t="str">
        <f t="shared" si="139"/>
        <v/>
      </c>
      <c r="S121" s="25"/>
      <c r="T121" s="7" t="str">
        <f t="shared" si="140"/>
        <v/>
      </c>
      <c r="U121" s="25"/>
      <c r="V121" s="7" t="str">
        <f t="shared" si="141"/>
        <v/>
      </c>
      <c r="W121" s="25"/>
      <c r="X121" s="7" t="str">
        <f t="shared" si="142"/>
        <v/>
      </c>
      <c r="Y121" s="18" t="str">
        <f t="shared" si="143"/>
        <v/>
      </c>
      <c r="Z121" s="7" t="str">
        <f t="shared" si="144"/>
        <v/>
      </c>
      <c r="AA121" s="18" t="str">
        <f t="shared" si="145"/>
        <v/>
      </c>
      <c r="AB121" s="19" t="str">
        <f t="shared" si="146"/>
        <v/>
      </c>
      <c r="AC121" s="26"/>
      <c r="AD121" s="26"/>
      <c r="AE121" s="25"/>
      <c r="AF121" s="26"/>
      <c r="AG121" s="25"/>
      <c r="AH121" s="25"/>
      <c r="AI121" s="18" t="str">
        <f t="shared" si="209"/>
        <v/>
      </c>
      <c r="AJ121" s="25"/>
      <c r="AK121" s="18" t="str">
        <f t="shared" si="210"/>
        <v/>
      </c>
      <c r="AL121" s="79"/>
      <c r="AM121" s="126" t="str">
        <f t="shared" si="211"/>
        <v/>
      </c>
      <c r="AN121" s="128" t="str">
        <f>IF(AP121&lt;&gt;"",VLOOKUP($P121&amp;" | "&amp;AN$6,'Job Master'!$F$12:$J$102,5,0),"")</f>
        <v/>
      </c>
      <c r="AO121" s="19" t="str">
        <f>IF(AP121&lt;&gt;"",VLOOKUP($P121&amp;" | "&amp;AN$6,'Job Master'!$F$12:$J$102,3,0),"")</f>
        <v/>
      </c>
      <c r="AP121" s="19" t="str">
        <f>IFERROR(IF(AND(AW121&lt;&gt;"",VLOOKUP($P121&amp;" | "&amp;AN$6,'Job Master'!$F$12:$I$102,4,0)&lt;&gt;""),IF(WEEKDAY(AW121-VLOOKUP($P121&amp;" | "&amp;AN$6,'Job Master'!$F$12:$I$102,4,0))&lt;&gt;7,AW121-VLOOKUP($P121&amp;" | "&amp;AN$6,'Job Master'!$F$12:$I$102,4,0),AW121-VLOOKUP($P121&amp;" | "&amp;AN$6,'Job Master'!$F$12:$I$102,4,0)-1),""),"")</f>
        <v/>
      </c>
      <c r="AQ121" s="73"/>
      <c r="AR121" s="123" t="str">
        <f t="shared" si="147"/>
        <v/>
      </c>
      <c r="AS121" s="123" t="str">
        <f t="shared" si="148"/>
        <v/>
      </c>
      <c r="AT121" s="97" t="str">
        <f t="shared" ca="1" si="149"/>
        <v/>
      </c>
      <c r="AU121" s="98" t="str">
        <f>IF(AW121&lt;&gt;"",VLOOKUP($P121&amp;" | "&amp;AU$6,'Job Master'!$F$12:$J$102,5,0),"")</f>
        <v/>
      </c>
      <c r="AV121" s="19" t="str">
        <f>IF(AW121&lt;&gt;"",VLOOKUP($P121&amp;" | "&amp;AU$6,'Job Master'!$F$12:$J$102,3,0),"")</f>
        <v/>
      </c>
      <c r="AW121" s="19" t="str">
        <f>IFERROR(IF(AND(BD121&lt;&gt;"",VLOOKUP($P121&amp;" | "&amp;AU$6,'Job Master'!$F$12:$I$102,4,0)&lt;&gt;""),IF(WEEKDAY(BD121-VLOOKUP($P121&amp;" | "&amp;AU$6,'Job Master'!$F$12:$I$102,4,0))&lt;&gt;7,BD121-VLOOKUP($P121&amp;" | "&amp;AU$6,'Job Master'!$F$12:$I$102,4,0),BD121-VLOOKUP($P121&amp;" | "&amp;AU$6,'Job Master'!$F$12:$I$102,4,0)-1),""),"")</f>
        <v/>
      </c>
      <c r="AX121" s="73"/>
      <c r="AY121" s="123" t="str">
        <f t="shared" si="150"/>
        <v/>
      </c>
      <c r="AZ121" s="123" t="str">
        <f t="shared" si="151"/>
        <v/>
      </c>
      <c r="BA121" s="97" t="str">
        <f t="shared" ca="1" si="152"/>
        <v/>
      </c>
      <c r="BB121" s="98" t="str">
        <f>IF(BD121&lt;&gt;"",VLOOKUP($P121&amp;" | "&amp;BB$6,'Job Master'!$F$12:$J$102,5,0),"")</f>
        <v/>
      </c>
      <c r="BC121" s="19" t="str">
        <f>IF(BD121&lt;&gt;"",VLOOKUP($P121&amp;" | "&amp;BB$6,'Job Master'!$F$12:$J$102,3,0),"")</f>
        <v/>
      </c>
      <c r="BD121" s="19" t="str">
        <f>IFERROR(IF(AND(BK121&lt;&gt;"",VLOOKUP($P121&amp;" | "&amp;BB$6,'Job Master'!$F$12:$I$102,4,0)&lt;&gt;""),IF(WEEKDAY(BK121-VLOOKUP($P121&amp;" | "&amp;BB$6,'Job Master'!$F$12:$I$102,4,0))&lt;&gt;7,BK121-VLOOKUP($P121&amp;" | "&amp;BB$6,'Job Master'!$F$12:$I$102,4,0),BK121-VLOOKUP($P121&amp;" | "&amp;BB$6,'Job Master'!$F$12:$I$102,4,0)-1),""),"")</f>
        <v/>
      </c>
      <c r="BE121" s="73"/>
      <c r="BF121" s="123" t="str">
        <f t="shared" si="153"/>
        <v/>
      </c>
      <c r="BG121" s="123" t="str">
        <f t="shared" si="154"/>
        <v/>
      </c>
      <c r="BH121" s="97" t="str">
        <f t="shared" ca="1" si="155"/>
        <v/>
      </c>
      <c r="BI121" s="98" t="str">
        <f>IF(BK121&lt;&gt;"",VLOOKUP($P121&amp;" | "&amp;BI$6,'Job Master'!$F$12:$J$102,5,0),"")</f>
        <v/>
      </c>
      <c r="BJ121" s="19" t="str">
        <f>IF(BK121&lt;&gt;"",VLOOKUP($P121&amp;" | "&amp;BI$6,'Job Master'!$F$12:$J$102,3,0),"")</f>
        <v/>
      </c>
      <c r="BK121" s="19" t="str">
        <f>IFERROR(IF(AND(BR121&lt;&gt;"",VLOOKUP($P121&amp;" | "&amp;BI$6,'Job Master'!$F$12:$I$102,4,0)&lt;&gt;""),IF(WEEKDAY(BR121-VLOOKUP($P121&amp;" | "&amp;BI$6,'Job Master'!$F$12:$I$102,4,0))&lt;&gt;7,BR121-VLOOKUP($P121&amp;" | "&amp;BI$6,'Job Master'!$F$12:$I$102,4,0),BR121-VLOOKUP($P121&amp;" | "&amp;BI$6,'Job Master'!$F$12:$I$102,4,0)-1),""),"")</f>
        <v/>
      </c>
      <c r="BL121" s="73"/>
      <c r="BM121" s="123" t="str">
        <f t="shared" si="156"/>
        <v/>
      </c>
      <c r="BN121" s="123" t="str">
        <f t="shared" si="157"/>
        <v/>
      </c>
      <c r="BO121" s="97" t="str">
        <f t="shared" ca="1" si="158"/>
        <v/>
      </c>
      <c r="BP121" s="98" t="str">
        <f>IF(BR121&lt;&gt;"",VLOOKUP($P121&amp;" | "&amp;BP$6,'Job Master'!$F$12:$J$102,5,0),"")</f>
        <v/>
      </c>
      <c r="BQ121" s="19" t="str">
        <f>IF(BR121&lt;&gt;"",VLOOKUP($P121&amp;" | "&amp;BP$6,'Job Master'!$F$12:$J$102,3,0),"")</f>
        <v/>
      </c>
      <c r="BR121" s="19" t="str">
        <f>IFERROR(IF(AND(BY121&lt;&gt;"",VLOOKUP($P121&amp;" | "&amp;BP$6,'Job Master'!$F$12:$I$102,4,0)&lt;&gt;""),IF(WEEKDAY(BY121-VLOOKUP($P121&amp;" | "&amp;BP$6,'Job Master'!$F$12:$I$102,4,0))&lt;&gt;7,BY121-VLOOKUP($P121&amp;" | "&amp;BP$6,'Job Master'!$F$12:$I$102,4,0),BY121-VLOOKUP($P121&amp;" | "&amp;BP$6,'Job Master'!$F$12:$I$102,4,0)-1),""),"")</f>
        <v/>
      </c>
      <c r="BS121" s="73"/>
      <c r="BT121" s="123" t="str">
        <f t="shared" si="159"/>
        <v/>
      </c>
      <c r="BU121" s="123" t="str">
        <f t="shared" si="160"/>
        <v/>
      </c>
      <c r="BV121" s="97" t="str">
        <f t="shared" ca="1" si="161"/>
        <v/>
      </c>
      <c r="BW121" s="98" t="str">
        <f>IF(BY121&lt;&gt;"",VLOOKUP($P121&amp;" | "&amp;BW$6,'Job Master'!$F$12:$J$102,5,0),"")</f>
        <v/>
      </c>
      <c r="BX121" s="19" t="str">
        <f>IF(BY121&lt;&gt;"",VLOOKUP($P121&amp;" | "&amp;BW$6,'Job Master'!$F$12:$J$102,3,0),"")</f>
        <v/>
      </c>
      <c r="BY121" s="19" t="str">
        <f>IFERROR(IF(AND(CF121&lt;&gt;"",VLOOKUP($P121&amp;" | "&amp;BW$6,'Job Master'!$F$12:$I$102,4,0)&lt;&gt;""),IF(WEEKDAY(CF121-VLOOKUP($P121&amp;" | "&amp;BW$6,'Job Master'!$F$12:$I$102,4,0))&lt;&gt;7,CF121-VLOOKUP($P121&amp;" | "&amp;BW$6,'Job Master'!$F$12:$I$102,4,0),CF121-VLOOKUP($P121&amp;" | "&amp;BW$6,'Job Master'!$F$12:$I$102,4,0)-1),""),"")</f>
        <v/>
      </c>
      <c r="BZ121" s="73"/>
      <c r="CA121" s="123" t="str">
        <f t="shared" si="162"/>
        <v/>
      </c>
      <c r="CB121" s="123" t="str">
        <f t="shared" si="163"/>
        <v/>
      </c>
      <c r="CC121" s="97" t="str">
        <f t="shared" ca="1" si="164"/>
        <v/>
      </c>
      <c r="CD121" s="98" t="str">
        <f>IF(CF121&lt;&gt;"",VLOOKUP($P121&amp;" | "&amp;CD$6,'Job Master'!$F$12:$J$102,5,0),"")</f>
        <v/>
      </c>
      <c r="CE121" s="19" t="str">
        <f>IF(CF121&lt;&gt;"",VLOOKUP($P121&amp;" | "&amp;CD$6,'Job Master'!$F$12:$J$102,3,0),"")</f>
        <v/>
      </c>
      <c r="CF121" s="19" t="str">
        <f>IFERROR(IF(AND(CM121&lt;&gt;"",VLOOKUP($P121&amp;" | "&amp;CD$6,'Job Master'!$F$12:$I$102,4,0)&lt;&gt;""),IF(WEEKDAY(CM121-VLOOKUP($P121&amp;" | "&amp;CD$6,'Job Master'!$F$12:$I$102,4,0))&lt;&gt;7,CM121-VLOOKUP($P121&amp;" | "&amp;CD$6,'Job Master'!$F$12:$I$102,4,0),CM121-VLOOKUP($P121&amp;" | "&amp;CD$6,'Job Master'!$F$12:$I$102,4,0)-1),""),"")</f>
        <v/>
      </c>
      <c r="CG121" s="73"/>
      <c r="CH121" s="123" t="str">
        <f t="shared" si="165"/>
        <v/>
      </c>
      <c r="CI121" s="123" t="str">
        <f t="shared" si="166"/>
        <v/>
      </c>
      <c r="CJ121" s="97" t="str">
        <f t="shared" ca="1" si="167"/>
        <v/>
      </c>
      <c r="CK121" s="98" t="str">
        <f>IF(CM121&lt;&gt;"",VLOOKUP($P121&amp;" | "&amp;CK$6,'Job Master'!$F$12:$J$102,5,0),"")</f>
        <v/>
      </c>
      <c r="CL121" s="19" t="str">
        <f>IF(CM121&lt;&gt;"",VLOOKUP($P121&amp;" | "&amp;CK$6,'Job Master'!$F$12:$J$102,3,0),"")</f>
        <v/>
      </c>
      <c r="CM121" s="19" t="str">
        <f>IFERROR(IF(AND(CT121&lt;&gt;"",VLOOKUP($P121&amp;" | "&amp;CK$6,'Job Master'!$F$12:$I$102,4,0)&lt;&gt;""),IF(WEEKDAY(CT121-VLOOKUP($P121&amp;" | "&amp;CK$6,'Job Master'!$F$12:$I$102,4,0))&lt;&gt;7,CT121-VLOOKUP($P121&amp;" | "&amp;CK$6,'Job Master'!$F$12:$I$102,4,0),CT121-VLOOKUP($P121&amp;" | "&amp;CK$6,'Job Master'!$F$12:$I$102,4,0)-1),""),"")</f>
        <v/>
      </c>
      <c r="CN121" s="73"/>
      <c r="CO121" s="123" t="str">
        <f t="shared" si="168"/>
        <v/>
      </c>
      <c r="CP121" s="123" t="str">
        <f t="shared" si="169"/>
        <v/>
      </c>
      <c r="CQ121" s="97" t="str">
        <f t="shared" ca="1" si="170"/>
        <v/>
      </c>
      <c r="CR121" s="98" t="str">
        <f>IF(CT121&lt;&gt;"",VLOOKUP($P121&amp;" | "&amp;CR$6,'Job Master'!$F$12:$J$102,5,0),"")</f>
        <v/>
      </c>
      <c r="CS121" s="19" t="str">
        <f>IF(CT121&lt;&gt;"",VLOOKUP($P121&amp;" | "&amp;CR$6,'Job Master'!$F$12:$J$102,3,0),"")</f>
        <v/>
      </c>
      <c r="CT121" s="19" t="str">
        <f>IFERROR(IF(AND(DA121&lt;&gt;"",VLOOKUP($P121&amp;" | "&amp;CR$6,'Job Master'!$F$12:$I$102,4,0)&lt;&gt;""),IF(WEEKDAY(DA121-VLOOKUP($P121&amp;" | "&amp;CR$6,'Job Master'!$F$12:$I$102,4,0))&lt;&gt;7,DA121-VLOOKUP($P121&amp;" | "&amp;CR$6,'Job Master'!$F$12:$I$102,4,0),DA121-VLOOKUP($P121&amp;" | "&amp;CR$6,'Job Master'!$F$12:$I$102,4,0)-1),""),"")</f>
        <v/>
      </c>
      <c r="CU121" s="73"/>
      <c r="CV121" s="123" t="str">
        <f t="shared" si="171"/>
        <v/>
      </c>
      <c r="CW121" s="123" t="str">
        <f t="shared" si="172"/>
        <v/>
      </c>
      <c r="CX121" s="97" t="str">
        <f t="shared" ca="1" si="173"/>
        <v/>
      </c>
      <c r="CY121" s="98" t="str">
        <f>IF(DA121&lt;&gt;"",VLOOKUP($P121&amp;" | "&amp;CY$6,'Job Master'!$F$12:$J$102,5,0),"")</f>
        <v/>
      </c>
      <c r="CZ121" s="19" t="str">
        <f>IF(DA121&lt;&gt;"",VLOOKUP($P121&amp;" | "&amp;CY$6,'Job Master'!$F$12:$J$102,3,0),"")</f>
        <v/>
      </c>
      <c r="DA121" s="19" t="str">
        <f>IFERROR(IF(AND(DH121&lt;&gt;"",VLOOKUP($P121&amp;" | "&amp;CY$6,'Job Master'!$F$12:$I$102,4,0)&lt;&gt;""),IF(WEEKDAY(DH121-VLOOKUP($P121&amp;" | "&amp;CY$6,'Job Master'!$F$12:$I$102,4,0))&lt;&gt;7,DH121-VLOOKUP($P121&amp;" | "&amp;CY$6,'Job Master'!$F$12:$I$102,4,0),DH121-VLOOKUP($P121&amp;" | "&amp;CY$6,'Job Master'!$F$12:$I$102,4,0)-1),""),"")</f>
        <v/>
      </c>
      <c r="DB121" s="73"/>
      <c r="DC121" s="123" t="str">
        <f t="shared" si="174"/>
        <v/>
      </c>
      <c r="DD121" s="123" t="str">
        <f t="shared" si="175"/>
        <v/>
      </c>
      <c r="DE121" s="97" t="str">
        <f t="shared" ca="1" si="176"/>
        <v/>
      </c>
      <c r="DF121" s="98" t="str">
        <f>IF(DH121&lt;&gt;"",VLOOKUP($P121&amp;" | "&amp;DF$6,'Job Master'!$F$12:$J$102,5,0),"")</f>
        <v/>
      </c>
      <c r="DG121" s="19" t="str">
        <f>IF(DH121&lt;&gt;"",VLOOKUP($P121&amp;" | "&amp;DF$6,'Job Master'!$F$12:$J$102,3,0),"")</f>
        <v/>
      </c>
      <c r="DH121" s="19" t="str">
        <f>IFERROR(IF(AND(DO121&lt;&gt;"",VLOOKUP($P121&amp;" | "&amp;DF$6,'Job Master'!$F$12:$I$102,4,0)&lt;&gt;""),IF(WEEKDAY(DO121-VLOOKUP($P121&amp;" | "&amp;DF$6,'Job Master'!$F$12:$I$102,4,0))&lt;&gt;7,DO121-VLOOKUP($P121&amp;" | "&amp;DF$6,'Job Master'!$F$12:$I$102,4,0),DO121-VLOOKUP($P121&amp;" | "&amp;DF$6,'Job Master'!$F$12:$I$102,4,0)-1),""),"")</f>
        <v/>
      </c>
      <c r="DI121" s="73"/>
      <c r="DJ121" s="123" t="str">
        <f t="shared" si="177"/>
        <v/>
      </c>
      <c r="DK121" s="123" t="str">
        <f t="shared" si="178"/>
        <v/>
      </c>
      <c r="DL121" s="97" t="str">
        <f t="shared" ca="1" si="179"/>
        <v/>
      </c>
      <c r="DM121" s="98" t="str">
        <f>IF(DO121&lt;&gt;"",VLOOKUP($P121&amp;" | "&amp;DM$6,'Job Master'!$F$12:$J$102,5,0),"")</f>
        <v/>
      </c>
      <c r="DN121" s="19" t="str">
        <f>IF(DO121&lt;&gt;"",VLOOKUP($P121&amp;" | "&amp;DM$6,'Job Master'!$F$12:$J$102,3,0),"")</f>
        <v/>
      </c>
      <c r="DO121" s="19" t="str">
        <f>IFERROR(IF(AND(DT121&lt;&gt;"",VLOOKUP($P121&amp;" | "&amp;DM$6,'Job Master'!$F$12:$I$102,4,0)&lt;&gt;""),IF(WEEKDAY(DT121-VLOOKUP($P121&amp;" | "&amp;DM$6,'Job Master'!$F$12:$I$102,4,0))&lt;&gt;7,DT121-VLOOKUP($P121&amp;" | "&amp;DM$6,'Job Master'!$F$12:$I$102,4,0),DT121-VLOOKUP($P121&amp;" | "&amp;DM$6,'Job Master'!$F$12:$I$102,4,0)-1),""),"")</f>
        <v/>
      </c>
      <c r="DP121" s="73"/>
      <c r="DQ121" s="123" t="str">
        <f t="shared" si="180"/>
        <v/>
      </c>
      <c r="DR121" s="123" t="str">
        <f t="shared" si="181"/>
        <v/>
      </c>
      <c r="DS121" s="97" t="str">
        <f t="shared" ca="1" si="182"/>
        <v/>
      </c>
      <c r="DT121" s="70" t="str">
        <f t="shared" si="183"/>
        <v/>
      </c>
      <c r="DU121" s="90"/>
      <c r="DV121" s="123" t="str">
        <f t="shared" si="184"/>
        <v/>
      </c>
      <c r="DW121" s="123" t="str">
        <f t="shared" si="185"/>
        <v/>
      </c>
      <c r="DX121" s="132" t="str">
        <f t="shared" ref="DX121" ca="1" si="244">IF(DT121&lt;&gt;"",IF(WEEKNUM(DT121)=WEEKNUM(TODAY()),"This Week",IF(WEEKNUM(DT121)=WEEKNUM(TODAY())+1,"Next Week",IF(WEEKNUM(DT121)=WEEKNUM(TODAY())-1,"Previous Week",""))),"")</f>
        <v/>
      </c>
      <c r="DY121" s="134" t="str">
        <f t="shared" si="187"/>
        <v/>
      </c>
      <c r="DZ121" s="95"/>
      <c r="EB121" s="8" t="str">
        <f t="shared" si="193"/>
        <v/>
      </c>
      <c r="EC121" s="8" t="str">
        <f>IF(O121&lt;&gt;"",VLOOKUP(O121,'Job Master'!$N$12:$O$18,2,0),"")</f>
        <v/>
      </c>
      <c r="ED121" s="8">
        <f t="shared" si="194"/>
        <v>19.5</v>
      </c>
      <c r="EE121" s="8">
        <f t="shared" si="195"/>
        <v>6</v>
      </c>
      <c r="EF121" s="8">
        <f t="shared" si="196"/>
        <v>-646.5</v>
      </c>
      <c r="EG121" s="8" t="str">
        <f t="shared" si="197"/>
        <v/>
      </c>
      <c r="EH121" s="8" t="str">
        <f t="shared" si="198"/>
        <v/>
      </c>
    </row>
    <row r="122" spans="2:138" x14ac:dyDescent="0.3">
      <c r="B122" s="112"/>
      <c r="C122" s="27"/>
      <c r="D122" s="7" t="str">
        <f t="shared" si="135"/>
        <v/>
      </c>
      <c r="E122" s="25"/>
      <c r="F122" s="7" t="str">
        <f t="shared" si="135"/>
        <v/>
      </c>
      <c r="G122" s="25"/>
      <c r="H122" s="7" t="str">
        <f t="shared" si="135"/>
        <v/>
      </c>
      <c r="I122" s="25"/>
      <c r="J122" s="7" t="str">
        <f t="shared" si="135"/>
        <v/>
      </c>
      <c r="K122" s="25"/>
      <c r="L122" s="7" t="str">
        <f t="shared" si="136"/>
        <v/>
      </c>
      <c r="M122" s="25"/>
      <c r="N122" s="7" t="str">
        <f t="shared" si="137"/>
        <v/>
      </c>
      <c r="O122" s="81"/>
      <c r="P122" s="81" t="str">
        <f t="shared" si="138"/>
        <v/>
      </c>
      <c r="Q122" s="81"/>
      <c r="R122" s="7" t="str">
        <f t="shared" si="139"/>
        <v/>
      </c>
      <c r="S122" s="25"/>
      <c r="T122" s="7" t="str">
        <f t="shared" si="140"/>
        <v/>
      </c>
      <c r="U122" s="25"/>
      <c r="V122" s="7" t="str">
        <f t="shared" si="141"/>
        <v/>
      </c>
      <c r="W122" s="25"/>
      <c r="X122" s="7" t="str">
        <f t="shared" si="142"/>
        <v/>
      </c>
      <c r="Y122" s="18" t="str">
        <f t="shared" si="143"/>
        <v/>
      </c>
      <c r="Z122" s="7" t="str">
        <f t="shared" si="144"/>
        <v/>
      </c>
      <c r="AA122" s="18" t="str">
        <f t="shared" si="145"/>
        <v/>
      </c>
      <c r="AB122" s="19" t="str">
        <f t="shared" si="146"/>
        <v/>
      </c>
      <c r="AC122" s="26"/>
      <c r="AD122" s="26"/>
      <c r="AE122" s="25"/>
      <c r="AF122" s="26"/>
      <c r="AG122" s="25"/>
      <c r="AH122" s="25"/>
      <c r="AI122" s="18" t="str">
        <f t="shared" si="209"/>
        <v/>
      </c>
      <c r="AJ122" s="25"/>
      <c r="AK122" s="18" t="str">
        <f t="shared" si="210"/>
        <v/>
      </c>
      <c r="AL122" s="79"/>
      <c r="AM122" s="126" t="str">
        <f t="shared" si="211"/>
        <v/>
      </c>
      <c r="AN122" s="128" t="str">
        <f>IF(AP122&lt;&gt;"",VLOOKUP($P122&amp;" | "&amp;AN$6,'Job Master'!$F$12:$J$102,5,0),"")</f>
        <v/>
      </c>
      <c r="AO122" s="19" t="str">
        <f>IF(AP122&lt;&gt;"",VLOOKUP($P122&amp;" | "&amp;AN$6,'Job Master'!$F$12:$J$102,3,0),"")</f>
        <v/>
      </c>
      <c r="AP122" s="19" t="str">
        <f>IFERROR(IF(AND(AW122&lt;&gt;"",VLOOKUP($P122&amp;" | "&amp;AN$6,'Job Master'!$F$12:$I$102,4,0)&lt;&gt;""),IF(WEEKDAY(AW122-VLOOKUP($P122&amp;" | "&amp;AN$6,'Job Master'!$F$12:$I$102,4,0))&lt;&gt;7,AW122-VLOOKUP($P122&amp;" | "&amp;AN$6,'Job Master'!$F$12:$I$102,4,0),AW122-VLOOKUP($P122&amp;" | "&amp;AN$6,'Job Master'!$F$12:$I$102,4,0)-1),""),"")</f>
        <v/>
      </c>
      <c r="AQ122" s="73"/>
      <c r="AR122" s="123" t="str">
        <f t="shared" si="147"/>
        <v/>
      </c>
      <c r="AS122" s="123" t="str">
        <f t="shared" si="148"/>
        <v/>
      </c>
      <c r="AT122" s="97" t="str">
        <f t="shared" ca="1" si="149"/>
        <v/>
      </c>
      <c r="AU122" s="98" t="str">
        <f>IF(AW122&lt;&gt;"",VLOOKUP($P122&amp;" | "&amp;AU$6,'Job Master'!$F$12:$J$102,5,0),"")</f>
        <v/>
      </c>
      <c r="AV122" s="19" t="str">
        <f>IF(AW122&lt;&gt;"",VLOOKUP($P122&amp;" | "&amp;AU$6,'Job Master'!$F$12:$J$102,3,0),"")</f>
        <v/>
      </c>
      <c r="AW122" s="19" t="str">
        <f>IFERROR(IF(AND(BD122&lt;&gt;"",VLOOKUP($P122&amp;" | "&amp;AU$6,'Job Master'!$F$12:$I$102,4,0)&lt;&gt;""),IF(WEEKDAY(BD122-VLOOKUP($P122&amp;" | "&amp;AU$6,'Job Master'!$F$12:$I$102,4,0))&lt;&gt;7,BD122-VLOOKUP($P122&amp;" | "&amp;AU$6,'Job Master'!$F$12:$I$102,4,0),BD122-VLOOKUP($P122&amp;" | "&amp;AU$6,'Job Master'!$F$12:$I$102,4,0)-1),""),"")</f>
        <v/>
      </c>
      <c r="AX122" s="73"/>
      <c r="AY122" s="123" t="str">
        <f t="shared" si="150"/>
        <v/>
      </c>
      <c r="AZ122" s="123" t="str">
        <f t="shared" si="151"/>
        <v/>
      </c>
      <c r="BA122" s="97" t="str">
        <f t="shared" ca="1" si="152"/>
        <v/>
      </c>
      <c r="BB122" s="98" t="str">
        <f>IF(BD122&lt;&gt;"",VLOOKUP($P122&amp;" | "&amp;BB$6,'Job Master'!$F$12:$J$102,5,0),"")</f>
        <v/>
      </c>
      <c r="BC122" s="19" t="str">
        <f>IF(BD122&lt;&gt;"",VLOOKUP($P122&amp;" | "&amp;BB$6,'Job Master'!$F$12:$J$102,3,0),"")</f>
        <v/>
      </c>
      <c r="BD122" s="19" t="str">
        <f>IFERROR(IF(AND(BK122&lt;&gt;"",VLOOKUP($P122&amp;" | "&amp;BB$6,'Job Master'!$F$12:$I$102,4,0)&lt;&gt;""),IF(WEEKDAY(BK122-VLOOKUP($P122&amp;" | "&amp;BB$6,'Job Master'!$F$12:$I$102,4,0))&lt;&gt;7,BK122-VLOOKUP($P122&amp;" | "&amp;BB$6,'Job Master'!$F$12:$I$102,4,0),BK122-VLOOKUP($P122&amp;" | "&amp;BB$6,'Job Master'!$F$12:$I$102,4,0)-1),""),"")</f>
        <v/>
      </c>
      <c r="BE122" s="73"/>
      <c r="BF122" s="123" t="str">
        <f t="shared" si="153"/>
        <v/>
      </c>
      <c r="BG122" s="123" t="str">
        <f t="shared" si="154"/>
        <v/>
      </c>
      <c r="BH122" s="97" t="str">
        <f t="shared" ca="1" si="155"/>
        <v/>
      </c>
      <c r="BI122" s="98" t="str">
        <f>IF(BK122&lt;&gt;"",VLOOKUP($P122&amp;" | "&amp;BI$6,'Job Master'!$F$12:$J$102,5,0),"")</f>
        <v/>
      </c>
      <c r="BJ122" s="19" t="str">
        <f>IF(BK122&lt;&gt;"",VLOOKUP($P122&amp;" | "&amp;BI$6,'Job Master'!$F$12:$J$102,3,0),"")</f>
        <v/>
      </c>
      <c r="BK122" s="19" t="str">
        <f>IFERROR(IF(AND(BR122&lt;&gt;"",VLOOKUP($P122&amp;" | "&amp;BI$6,'Job Master'!$F$12:$I$102,4,0)&lt;&gt;""),IF(WEEKDAY(BR122-VLOOKUP($P122&amp;" | "&amp;BI$6,'Job Master'!$F$12:$I$102,4,0))&lt;&gt;7,BR122-VLOOKUP($P122&amp;" | "&amp;BI$6,'Job Master'!$F$12:$I$102,4,0),BR122-VLOOKUP($P122&amp;" | "&amp;BI$6,'Job Master'!$F$12:$I$102,4,0)-1),""),"")</f>
        <v/>
      </c>
      <c r="BL122" s="73"/>
      <c r="BM122" s="123" t="str">
        <f t="shared" si="156"/>
        <v/>
      </c>
      <c r="BN122" s="123" t="str">
        <f t="shared" si="157"/>
        <v/>
      </c>
      <c r="BO122" s="97" t="str">
        <f t="shared" ca="1" si="158"/>
        <v/>
      </c>
      <c r="BP122" s="98" t="str">
        <f>IF(BR122&lt;&gt;"",VLOOKUP($P122&amp;" | "&amp;BP$6,'Job Master'!$F$12:$J$102,5,0),"")</f>
        <v/>
      </c>
      <c r="BQ122" s="19" t="str">
        <f>IF(BR122&lt;&gt;"",VLOOKUP($P122&amp;" | "&amp;BP$6,'Job Master'!$F$12:$J$102,3,0),"")</f>
        <v/>
      </c>
      <c r="BR122" s="19" t="str">
        <f>IFERROR(IF(AND(BY122&lt;&gt;"",VLOOKUP($P122&amp;" | "&amp;BP$6,'Job Master'!$F$12:$I$102,4,0)&lt;&gt;""),IF(WEEKDAY(BY122-VLOOKUP($P122&amp;" | "&amp;BP$6,'Job Master'!$F$12:$I$102,4,0))&lt;&gt;7,BY122-VLOOKUP($P122&amp;" | "&amp;BP$6,'Job Master'!$F$12:$I$102,4,0),BY122-VLOOKUP($P122&amp;" | "&amp;BP$6,'Job Master'!$F$12:$I$102,4,0)-1),""),"")</f>
        <v/>
      </c>
      <c r="BS122" s="73"/>
      <c r="BT122" s="123" t="str">
        <f t="shared" si="159"/>
        <v/>
      </c>
      <c r="BU122" s="123" t="str">
        <f t="shared" si="160"/>
        <v/>
      </c>
      <c r="BV122" s="97" t="str">
        <f t="shared" ca="1" si="161"/>
        <v/>
      </c>
      <c r="BW122" s="98" t="str">
        <f>IF(BY122&lt;&gt;"",VLOOKUP($P122&amp;" | "&amp;BW$6,'Job Master'!$F$12:$J$102,5,0),"")</f>
        <v/>
      </c>
      <c r="BX122" s="19" t="str">
        <f>IF(BY122&lt;&gt;"",VLOOKUP($P122&amp;" | "&amp;BW$6,'Job Master'!$F$12:$J$102,3,0),"")</f>
        <v/>
      </c>
      <c r="BY122" s="19" t="str">
        <f>IFERROR(IF(AND(CF122&lt;&gt;"",VLOOKUP($P122&amp;" | "&amp;BW$6,'Job Master'!$F$12:$I$102,4,0)&lt;&gt;""),IF(WEEKDAY(CF122-VLOOKUP($P122&amp;" | "&amp;BW$6,'Job Master'!$F$12:$I$102,4,0))&lt;&gt;7,CF122-VLOOKUP($P122&amp;" | "&amp;BW$6,'Job Master'!$F$12:$I$102,4,0),CF122-VLOOKUP($P122&amp;" | "&amp;BW$6,'Job Master'!$F$12:$I$102,4,0)-1),""),"")</f>
        <v/>
      </c>
      <c r="BZ122" s="73"/>
      <c r="CA122" s="123" t="str">
        <f t="shared" si="162"/>
        <v/>
      </c>
      <c r="CB122" s="123" t="str">
        <f t="shared" si="163"/>
        <v/>
      </c>
      <c r="CC122" s="97" t="str">
        <f t="shared" ca="1" si="164"/>
        <v/>
      </c>
      <c r="CD122" s="98" t="str">
        <f>IF(CF122&lt;&gt;"",VLOOKUP($P122&amp;" | "&amp;CD$6,'Job Master'!$F$12:$J$102,5,0),"")</f>
        <v/>
      </c>
      <c r="CE122" s="19" t="str">
        <f>IF(CF122&lt;&gt;"",VLOOKUP($P122&amp;" | "&amp;CD$6,'Job Master'!$F$12:$J$102,3,0),"")</f>
        <v/>
      </c>
      <c r="CF122" s="19" t="str">
        <f>IFERROR(IF(AND(CM122&lt;&gt;"",VLOOKUP($P122&amp;" | "&amp;CD$6,'Job Master'!$F$12:$I$102,4,0)&lt;&gt;""),IF(WEEKDAY(CM122-VLOOKUP($P122&amp;" | "&amp;CD$6,'Job Master'!$F$12:$I$102,4,0))&lt;&gt;7,CM122-VLOOKUP($P122&amp;" | "&amp;CD$6,'Job Master'!$F$12:$I$102,4,0),CM122-VLOOKUP($P122&amp;" | "&amp;CD$6,'Job Master'!$F$12:$I$102,4,0)-1),""),"")</f>
        <v/>
      </c>
      <c r="CG122" s="73"/>
      <c r="CH122" s="123" t="str">
        <f t="shared" si="165"/>
        <v/>
      </c>
      <c r="CI122" s="123" t="str">
        <f t="shared" si="166"/>
        <v/>
      </c>
      <c r="CJ122" s="97" t="str">
        <f t="shared" ca="1" si="167"/>
        <v/>
      </c>
      <c r="CK122" s="98" t="str">
        <f>IF(CM122&lt;&gt;"",VLOOKUP($P122&amp;" | "&amp;CK$6,'Job Master'!$F$12:$J$102,5,0),"")</f>
        <v/>
      </c>
      <c r="CL122" s="19" t="str">
        <f>IF(CM122&lt;&gt;"",VLOOKUP($P122&amp;" | "&amp;CK$6,'Job Master'!$F$12:$J$102,3,0),"")</f>
        <v/>
      </c>
      <c r="CM122" s="19" t="str">
        <f>IFERROR(IF(AND(CT122&lt;&gt;"",VLOOKUP($P122&amp;" | "&amp;CK$6,'Job Master'!$F$12:$I$102,4,0)&lt;&gt;""),IF(WEEKDAY(CT122-VLOOKUP($P122&amp;" | "&amp;CK$6,'Job Master'!$F$12:$I$102,4,0))&lt;&gt;7,CT122-VLOOKUP($P122&amp;" | "&amp;CK$6,'Job Master'!$F$12:$I$102,4,0),CT122-VLOOKUP($P122&amp;" | "&amp;CK$6,'Job Master'!$F$12:$I$102,4,0)-1),""),"")</f>
        <v/>
      </c>
      <c r="CN122" s="73"/>
      <c r="CO122" s="123" t="str">
        <f t="shared" si="168"/>
        <v/>
      </c>
      <c r="CP122" s="123" t="str">
        <f t="shared" si="169"/>
        <v/>
      </c>
      <c r="CQ122" s="97" t="str">
        <f t="shared" ca="1" si="170"/>
        <v/>
      </c>
      <c r="CR122" s="98" t="str">
        <f>IF(CT122&lt;&gt;"",VLOOKUP($P122&amp;" | "&amp;CR$6,'Job Master'!$F$12:$J$102,5,0),"")</f>
        <v/>
      </c>
      <c r="CS122" s="19" t="str">
        <f>IF(CT122&lt;&gt;"",VLOOKUP($P122&amp;" | "&amp;CR$6,'Job Master'!$F$12:$J$102,3,0),"")</f>
        <v/>
      </c>
      <c r="CT122" s="19" t="str">
        <f>IFERROR(IF(AND(DA122&lt;&gt;"",VLOOKUP($P122&amp;" | "&amp;CR$6,'Job Master'!$F$12:$I$102,4,0)&lt;&gt;""),IF(WEEKDAY(DA122-VLOOKUP($P122&amp;" | "&amp;CR$6,'Job Master'!$F$12:$I$102,4,0))&lt;&gt;7,DA122-VLOOKUP($P122&amp;" | "&amp;CR$6,'Job Master'!$F$12:$I$102,4,0),DA122-VLOOKUP($P122&amp;" | "&amp;CR$6,'Job Master'!$F$12:$I$102,4,0)-1),""),"")</f>
        <v/>
      </c>
      <c r="CU122" s="73"/>
      <c r="CV122" s="123" t="str">
        <f t="shared" si="171"/>
        <v/>
      </c>
      <c r="CW122" s="123" t="str">
        <f t="shared" si="172"/>
        <v/>
      </c>
      <c r="CX122" s="97" t="str">
        <f t="shared" ca="1" si="173"/>
        <v/>
      </c>
      <c r="CY122" s="98" t="str">
        <f>IF(DA122&lt;&gt;"",VLOOKUP($P122&amp;" | "&amp;CY$6,'Job Master'!$F$12:$J$102,5,0),"")</f>
        <v/>
      </c>
      <c r="CZ122" s="19" t="str">
        <f>IF(DA122&lt;&gt;"",VLOOKUP($P122&amp;" | "&amp;CY$6,'Job Master'!$F$12:$J$102,3,0),"")</f>
        <v/>
      </c>
      <c r="DA122" s="19" t="str">
        <f>IFERROR(IF(AND(DH122&lt;&gt;"",VLOOKUP($P122&amp;" | "&amp;CY$6,'Job Master'!$F$12:$I$102,4,0)&lt;&gt;""),IF(WEEKDAY(DH122-VLOOKUP($P122&amp;" | "&amp;CY$6,'Job Master'!$F$12:$I$102,4,0))&lt;&gt;7,DH122-VLOOKUP($P122&amp;" | "&amp;CY$6,'Job Master'!$F$12:$I$102,4,0),DH122-VLOOKUP($P122&amp;" | "&amp;CY$6,'Job Master'!$F$12:$I$102,4,0)-1),""),"")</f>
        <v/>
      </c>
      <c r="DB122" s="73"/>
      <c r="DC122" s="123" t="str">
        <f t="shared" si="174"/>
        <v/>
      </c>
      <c r="DD122" s="123" t="str">
        <f t="shared" si="175"/>
        <v/>
      </c>
      <c r="DE122" s="97" t="str">
        <f t="shared" ca="1" si="176"/>
        <v/>
      </c>
      <c r="DF122" s="98" t="str">
        <f>IF(DH122&lt;&gt;"",VLOOKUP($P122&amp;" | "&amp;DF$6,'Job Master'!$F$12:$J$102,5,0),"")</f>
        <v/>
      </c>
      <c r="DG122" s="19" t="str">
        <f>IF(DH122&lt;&gt;"",VLOOKUP($P122&amp;" | "&amp;DF$6,'Job Master'!$F$12:$J$102,3,0),"")</f>
        <v/>
      </c>
      <c r="DH122" s="19" t="str">
        <f>IFERROR(IF(AND(DO122&lt;&gt;"",VLOOKUP($P122&amp;" | "&amp;DF$6,'Job Master'!$F$12:$I$102,4,0)&lt;&gt;""),IF(WEEKDAY(DO122-VLOOKUP($P122&amp;" | "&amp;DF$6,'Job Master'!$F$12:$I$102,4,0))&lt;&gt;7,DO122-VLOOKUP($P122&amp;" | "&amp;DF$6,'Job Master'!$F$12:$I$102,4,0),DO122-VLOOKUP($P122&amp;" | "&amp;DF$6,'Job Master'!$F$12:$I$102,4,0)-1),""),"")</f>
        <v/>
      </c>
      <c r="DI122" s="73"/>
      <c r="DJ122" s="123" t="str">
        <f t="shared" si="177"/>
        <v/>
      </c>
      <c r="DK122" s="123" t="str">
        <f t="shared" si="178"/>
        <v/>
      </c>
      <c r="DL122" s="97" t="str">
        <f t="shared" ca="1" si="179"/>
        <v/>
      </c>
      <c r="DM122" s="98" t="str">
        <f>IF(DO122&lt;&gt;"",VLOOKUP($P122&amp;" | "&amp;DM$6,'Job Master'!$F$12:$J$102,5,0),"")</f>
        <v/>
      </c>
      <c r="DN122" s="19" t="str">
        <f>IF(DO122&lt;&gt;"",VLOOKUP($P122&amp;" | "&amp;DM$6,'Job Master'!$F$12:$J$102,3,0),"")</f>
        <v/>
      </c>
      <c r="DO122" s="19" t="str">
        <f>IFERROR(IF(AND(DT122&lt;&gt;"",VLOOKUP($P122&amp;" | "&amp;DM$6,'Job Master'!$F$12:$I$102,4,0)&lt;&gt;""),IF(WEEKDAY(DT122-VLOOKUP($P122&amp;" | "&amp;DM$6,'Job Master'!$F$12:$I$102,4,0))&lt;&gt;7,DT122-VLOOKUP($P122&amp;" | "&amp;DM$6,'Job Master'!$F$12:$I$102,4,0),DT122-VLOOKUP($P122&amp;" | "&amp;DM$6,'Job Master'!$F$12:$I$102,4,0)-1),""),"")</f>
        <v/>
      </c>
      <c r="DP122" s="73"/>
      <c r="DQ122" s="123" t="str">
        <f t="shared" si="180"/>
        <v/>
      </c>
      <c r="DR122" s="123" t="str">
        <f t="shared" si="181"/>
        <v/>
      </c>
      <c r="DS122" s="97" t="str">
        <f t="shared" ca="1" si="182"/>
        <v/>
      </c>
      <c r="DT122" s="70" t="str">
        <f t="shared" si="183"/>
        <v/>
      </c>
      <c r="DU122" s="90"/>
      <c r="DV122" s="123" t="str">
        <f t="shared" si="184"/>
        <v/>
      </c>
      <c r="DW122" s="123" t="str">
        <f t="shared" si="185"/>
        <v/>
      </c>
      <c r="DX122" s="132" t="str">
        <f t="shared" ref="DX122" ca="1" si="245">IF(DT122&lt;&gt;"",IF(WEEKNUM(DT122)=WEEKNUM(TODAY()),"This Week",IF(WEEKNUM(DT122)=WEEKNUM(TODAY())+1,"Next Week",IF(WEEKNUM(DT122)=WEEKNUM(TODAY())-1,"Previous Week",""))),"")</f>
        <v/>
      </c>
      <c r="DY122" s="134" t="str">
        <f t="shared" si="187"/>
        <v/>
      </c>
      <c r="DZ122" s="95"/>
      <c r="EB122" s="8" t="str">
        <f t="shared" si="193"/>
        <v/>
      </c>
      <c r="EC122" s="8" t="str">
        <f>IF(O122&lt;&gt;"",VLOOKUP(O122,'Job Master'!$N$12:$O$18,2,0),"")</f>
        <v/>
      </c>
      <c r="ED122" s="8">
        <f t="shared" si="194"/>
        <v>19.5</v>
      </c>
      <c r="EE122" s="8">
        <f t="shared" si="195"/>
        <v>6</v>
      </c>
      <c r="EF122" s="8">
        <f t="shared" si="196"/>
        <v>-652.5</v>
      </c>
      <c r="EG122" s="8" t="str">
        <f t="shared" si="197"/>
        <v/>
      </c>
      <c r="EH122" s="8" t="str">
        <f t="shared" si="198"/>
        <v/>
      </c>
    </row>
    <row r="123" spans="2:138" x14ac:dyDescent="0.3">
      <c r="B123" s="112"/>
      <c r="C123" s="27"/>
      <c r="D123" s="7" t="str">
        <f t="shared" si="135"/>
        <v/>
      </c>
      <c r="E123" s="25"/>
      <c r="F123" s="7" t="str">
        <f t="shared" si="135"/>
        <v/>
      </c>
      <c r="G123" s="25"/>
      <c r="H123" s="7" t="str">
        <f t="shared" si="135"/>
        <v/>
      </c>
      <c r="I123" s="25"/>
      <c r="J123" s="7" t="str">
        <f t="shared" si="135"/>
        <v/>
      </c>
      <c r="K123" s="25"/>
      <c r="L123" s="7" t="str">
        <f t="shared" si="136"/>
        <v/>
      </c>
      <c r="M123" s="25"/>
      <c r="N123" s="7" t="str">
        <f t="shared" si="137"/>
        <v/>
      </c>
      <c r="O123" s="81"/>
      <c r="P123" s="81" t="str">
        <f t="shared" si="138"/>
        <v/>
      </c>
      <c r="Q123" s="81"/>
      <c r="R123" s="7" t="str">
        <f t="shared" si="139"/>
        <v/>
      </c>
      <c r="S123" s="25"/>
      <c r="T123" s="7" t="str">
        <f t="shared" si="140"/>
        <v/>
      </c>
      <c r="U123" s="25"/>
      <c r="V123" s="7" t="str">
        <f t="shared" si="141"/>
        <v/>
      </c>
      <c r="W123" s="25"/>
      <c r="X123" s="7" t="str">
        <f t="shared" si="142"/>
        <v/>
      </c>
      <c r="Y123" s="18" t="str">
        <f t="shared" si="143"/>
        <v/>
      </c>
      <c r="Z123" s="7" t="str">
        <f t="shared" si="144"/>
        <v/>
      </c>
      <c r="AA123" s="18" t="str">
        <f t="shared" si="145"/>
        <v/>
      </c>
      <c r="AB123" s="19" t="str">
        <f t="shared" si="146"/>
        <v/>
      </c>
      <c r="AC123" s="26"/>
      <c r="AD123" s="26"/>
      <c r="AE123" s="25"/>
      <c r="AF123" s="26"/>
      <c r="AG123" s="25"/>
      <c r="AH123" s="25"/>
      <c r="AI123" s="18" t="str">
        <f t="shared" si="209"/>
        <v/>
      </c>
      <c r="AJ123" s="25"/>
      <c r="AK123" s="18" t="str">
        <f t="shared" si="210"/>
        <v/>
      </c>
      <c r="AL123" s="79"/>
      <c r="AM123" s="126" t="str">
        <f t="shared" si="211"/>
        <v/>
      </c>
      <c r="AN123" s="128" t="str">
        <f>IF(AP123&lt;&gt;"",VLOOKUP($P123&amp;" | "&amp;AN$6,'Job Master'!$F$12:$J$102,5,0),"")</f>
        <v/>
      </c>
      <c r="AO123" s="19" t="str">
        <f>IF(AP123&lt;&gt;"",VLOOKUP($P123&amp;" | "&amp;AN$6,'Job Master'!$F$12:$J$102,3,0),"")</f>
        <v/>
      </c>
      <c r="AP123" s="19" t="str">
        <f>IFERROR(IF(AND(AW123&lt;&gt;"",VLOOKUP($P123&amp;" | "&amp;AN$6,'Job Master'!$F$12:$I$102,4,0)&lt;&gt;""),IF(WEEKDAY(AW123-VLOOKUP($P123&amp;" | "&amp;AN$6,'Job Master'!$F$12:$I$102,4,0))&lt;&gt;7,AW123-VLOOKUP($P123&amp;" | "&amp;AN$6,'Job Master'!$F$12:$I$102,4,0),AW123-VLOOKUP($P123&amp;" | "&amp;AN$6,'Job Master'!$F$12:$I$102,4,0)-1),""),"")</f>
        <v/>
      </c>
      <c r="AQ123" s="73"/>
      <c r="AR123" s="123" t="str">
        <f t="shared" si="147"/>
        <v/>
      </c>
      <c r="AS123" s="123" t="str">
        <f t="shared" si="148"/>
        <v/>
      </c>
      <c r="AT123" s="97" t="str">
        <f t="shared" ca="1" si="149"/>
        <v/>
      </c>
      <c r="AU123" s="98" t="str">
        <f>IF(AW123&lt;&gt;"",VLOOKUP($P123&amp;" | "&amp;AU$6,'Job Master'!$F$12:$J$102,5,0),"")</f>
        <v/>
      </c>
      <c r="AV123" s="19" t="str">
        <f>IF(AW123&lt;&gt;"",VLOOKUP($P123&amp;" | "&amp;AU$6,'Job Master'!$F$12:$J$102,3,0),"")</f>
        <v/>
      </c>
      <c r="AW123" s="19" t="str">
        <f>IFERROR(IF(AND(BD123&lt;&gt;"",VLOOKUP($P123&amp;" | "&amp;AU$6,'Job Master'!$F$12:$I$102,4,0)&lt;&gt;""),IF(WEEKDAY(BD123-VLOOKUP($P123&amp;" | "&amp;AU$6,'Job Master'!$F$12:$I$102,4,0))&lt;&gt;7,BD123-VLOOKUP($P123&amp;" | "&amp;AU$6,'Job Master'!$F$12:$I$102,4,0),BD123-VLOOKUP($P123&amp;" | "&amp;AU$6,'Job Master'!$F$12:$I$102,4,0)-1),""),"")</f>
        <v/>
      </c>
      <c r="AX123" s="73"/>
      <c r="AY123" s="123" t="str">
        <f t="shared" si="150"/>
        <v/>
      </c>
      <c r="AZ123" s="123" t="str">
        <f t="shared" si="151"/>
        <v/>
      </c>
      <c r="BA123" s="97" t="str">
        <f t="shared" ca="1" si="152"/>
        <v/>
      </c>
      <c r="BB123" s="98" t="str">
        <f>IF(BD123&lt;&gt;"",VLOOKUP($P123&amp;" | "&amp;BB$6,'Job Master'!$F$12:$J$102,5,0),"")</f>
        <v/>
      </c>
      <c r="BC123" s="19" t="str">
        <f>IF(BD123&lt;&gt;"",VLOOKUP($P123&amp;" | "&amp;BB$6,'Job Master'!$F$12:$J$102,3,0),"")</f>
        <v/>
      </c>
      <c r="BD123" s="19" t="str">
        <f>IFERROR(IF(AND(BK123&lt;&gt;"",VLOOKUP($P123&amp;" | "&amp;BB$6,'Job Master'!$F$12:$I$102,4,0)&lt;&gt;""),IF(WEEKDAY(BK123-VLOOKUP($P123&amp;" | "&amp;BB$6,'Job Master'!$F$12:$I$102,4,0))&lt;&gt;7,BK123-VLOOKUP($P123&amp;" | "&amp;BB$6,'Job Master'!$F$12:$I$102,4,0),BK123-VLOOKUP($P123&amp;" | "&amp;BB$6,'Job Master'!$F$12:$I$102,4,0)-1),""),"")</f>
        <v/>
      </c>
      <c r="BE123" s="73"/>
      <c r="BF123" s="123" t="str">
        <f t="shared" si="153"/>
        <v/>
      </c>
      <c r="BG123" s="123" t="str">
        <f t="shared" si="154"/>
        <v/>
      </c>
      <c r="BH123" s="97" t="str">
        <f t="shared" ca="1" si="155"/>
        <v/>
      </c>
      <c r="BI123" s="98" t="str">
        <f>IF(BK123&lt;&gt;"",VLOOKUP($P123&amp;" | "&amp;BI$6,'Job Master'!$F$12:$J$102,5,0),"")</f>
        <v/>
      </c>
      <c r="BJ123" s="19" t="str">
        <f>IF(BK123&lt;&gt;"",VLOOKUP($P123&amp;" | "&amp;BI$6,'Job Master'!$F$12:$J$102,3,0),"")</f>
        <v/>
      </c>
      <c r="BK123" s="19" t="str">
        <f>IFERROR(IF(AND(BR123&lt;&gt;"",VLOOKUP($P123&amp;" | "&amp;BI$6,'Job Master'!$F$12:$I$102,4,0)&lt;&gt;""),IF(WEEKDAY(BR123-VLOOKUP($P123&amp;" | "&amp;BI$6,'Job Master'!$F$12:$I$102,4,0))&lt;&gt;7,BR123-VLOOKUP($P123&amp;" | "&amp;BI$6,'Job Master'!$F$12:$I$102,4,0),BR123-VLOOKUP($P123&amp;" | "&amp;BI$6,'Job Master'!$F$12:$I$102,4,0)-1),""),"")</f>
        <v/>
      </c>
      <c r="BL123" s="73"/>
      <c r="BM123" s="123" t="str">
        <f t="shared" si="156"/>
        <v/>
      </c>
      <c r="BN123" s="123" t="str">
        <f t="shared" si="157"/>
        <v/>
      </c>
      <c r="BO123" s="97" t="str">
        <f t="shared" ca="1" si="158"/>
        <v/>
      </c>
      <c r="BP123" s="98" t="str">
        <f>IF(BR123&lt;&gt;"",VLOOKUP($P123&amp;" | "&amp;BP$6,'Job Master'!$F$12:$J$102,5,0),"")</f>
        <v/>
      </c>
      <c r="BQ123" s="19" t="str">
        <f>IF(BR123&lt;&gt;"",VLOOKUP($P123&amp;" | "&amp;BP$6,'Job Master'!$F$12:$J$102,3,0),"")</f>
        <v/>
      </c>
      <c r="BR123" s="19" t="str">
        <f>IFERROR(IF(AND(BY123&lt;&gt;"",VLOOKUP($P123&amp;" | "&amp;BP$6,'Job Master'!$F$12:$I$102,4,0)&lt;&gt;""),IF(WEEKDAY(BY123-VLOOKUP($P123&amp;" | "&amp;BP$6,'Job Master'!$F$12:$I$102,4,0))&lt;&gt;7,BY123-VLOOKUP($P123&amp;" | "&amp;BP$6,'Job Master'!$F$12:$I$102,4,0),BY123-VLOOKUP($P123&amp;" | "&amp;BP$6,'Job Master'!$F$12:$I$102,4,0)-1),""),"")</f>
        <v/>
      </c>
      <c r="BS123" s="73"/>
      <c r="BT123" s="123" t="str">
        <f t="shared" si="159"/>
        <v/>
      </c>
      <c r="BU123" s="123" t="str">
        <f t="shared" si="160"/>
        <v/>
      </c>
      <c r="BV123" s="97" t="str">
        <f t="shared" ca="1" si="161"/>
        <v/>
      </c>
      <c r="BW123" s="98" t="str">
        <f>IF(BY123&lt;&gt;"",VLOOKUP($P123&amp;" | "&amp;BW$6,'Job Master'!$F$12:$J$102,5,0),"")</f>
        <v/>
      </c>
      <c r="BX123" s="19" t="str">
        <f>IF(BY123&lt;&gt;"",VLOOKUP($P123&amp;" | "&amp;BW$6,'Job Master'!$F$12:$J$102,3,0),"")</f>
        <v/>
      </c>
      <c r="BY123" s="19" t="str">
        <f>IFERROR(IF(AND(CF123&lt;&gt;"",VLOOKUP($P123&amp;" | "&amp;BW$6,'Job Master'!$F$12:$I$102,4,0)&lt;&gt;""),IF(WEEKDAY(CF123-VLOOKUP($P123&amp;" | "&amp;BW$6,'Job Master'!$F$12:$I$102,4,0))&lt;&gt;7,CF123-VLOOKUP($P123&amp;" | "&amp;BW$6,'Job Master'!$F$12:$I$102,4,0),CF123-VLOOKUP($P123&amp;" | "&amp;BW$6,'Job Master'!$F$12:$I$102,4,0)-1),""),"")</f>
        <v/>
      </c>
      <c r="BZ123" s="73"/>
      <c r="CA123" s="123" t="str">
        <f t="shared" si="162"/>
        <v/>
      </c>
      <c r="CB123" s="123" t="str">
        <f t="shared" si="163"/>
        <v/>
      </c>
      <c r="CC123" s="97" t="str">
        <f t="shared" ca="1" si="164"/>
        <v/>
      </c>
      <c r="CD123" s="98" t="str">
        <f>IF(CF123&lt;&gt;"",VLOOKUP($P123&amp;" | "&amp;CD$6,'Job Master'!$F$12:$J$102,5,0),"")</f>
        <v/>
      </c>
      <c r="CE123" s="19" t="str">
        <f>IF(CF123&lt;&gt;"",VLOOKUP($P123&amp;" | "&amp;CD$6,'Job Master'!$F$12:$J$102,3,0),"")</f>
        <v/>
      </c>
      <c r="CF123" s="19" t="str">
        <f>IFERROR(IF(AND(CM123&lt;&gt;"",VLOOKUP($P123&amp;" | "&amp;CD$6,'Job Master'!$F$12:$I$102,4,0)&lt;&gt;""),IF(WEEKDAY(CM123-VLOOKUP($P123&amp;" | "&amp;CD$6,'Job Master'!$F$12:$I$102,4,0))&lt;&gt;7,CM123-VLOOKUP($P123&amp;" | "&amp;CD$6,'Job Master'!$F$12:$I$102,4,0),CM123-VLOOKUP($P123&amp;" | "&amp;CD$6,'Job Master'!$F$12:$I$102,4,0)-1),""),"")</f>
        <v/>
      </c>
      <c r="CG123" s="73"/>
      <c r="CH123" s="123" t="str">
        <f t="shared" si="165"/>
        <v/>
      </c>
      <c r="CI123" s="123" t="str">
        <f t="shared" si="166"/>
        <v/>
      </c>
      <c r="CJ123" s="97" t="str">
        <f t="shared" ca="1" si="167"/>
        <v/>
      </c>
      <c r="CK123" s="98" t="str">
        <f>IF(CM123&lt;&gt;"",VLOOKUP($P123&amp;" | "&amp;CK$6,'Job Master'!$F$12:$J$102,5,0),"")</f>
        <v/>
      </c>
      <c r="CL123" s="19" t="str">
        <f>IF(CM123&lt;&gt;"",VLOOKUP($P123&amp;" | "&amp;CK$6,'Job Master'!$F$12:$J$102,3,0),"")</f>
        <v/>
      </c>
      <c r="CM123" s="19" t="str">
        <f>IFERROR(IF(AND(CT123&lt;&gt;"",VLOOKUP($P123&amp;" | "&amp;CK$6,'Job Master'!$F$12:$I$102,4,0)&lt;&gt;""),IF(WEEKDAY(CT123-VLOOKUP($P123&amp;" | "&amp;CK$6,'Job Master'!$F$12:$I$102,4,0))&lt;&gt;7,CT123-VLOOKUP($P123&amp;" | "&amp;CK$6,'Job Master'!$F$12:$I$102,4,0),CT123-VLOOKUP($P123&amp;" | "&amp;CK$6,'Job Master'!$F$12:$I$102,4,0)-1),""),"")</f>
        <v/>
      </c>
      <c r="CN123" s="73"/>
      <c r="CO123" s="123" t="str">
        <f t="shared" si="168"/>
        <v/>
      </c>
      <c r="CP123" s="123" t="str">
        <f t="shared" si="169"/>
        <v/>
      </c>
      <c r="CQ123" s="97" t="str">
        <f t="shared" ca="1" si="170"/>
        <v/>
      </c>
      <c r="CR123" s="98" t="str">
        <f>IF(CT123&lt;&gt;"",VLOOKUP($P123&amp;" | "&amp;CR$6,'Job Master'!$F$12:$J$102,5,0),"")</f>
        <v/>
      </c>
      <c r="CS123" s="19" t="str">
        <f>IF(CT123&lt;&gt;"",VLOOKUP($P123&amp;" | "&amp;CR$6,'Job Master'!$F$12:$J$102,3,0),"")</f>
        <v/>
      </c>
      <c r="CT123" s="19" t="str">
        <f>IFERROR(IF(AND(DA123&lt;&gt;"",VLOOKUP($P123&amp;" | "&amp;CR$6,'Job Master'!$F$12:$I$102,4,0)&lt;&gt;""),IF(WEEKDAY(DA123-VLOOKUP($P123&amp;" | "&amp;CR$6,'Job Master'!$F$12:$I$102,4,0))&lt;&gt;7,DA123-VLOOKUP($P123&amp;" | "&amp;CR$6,'Job Master'!$F$12:$I$102,4,0),DA123-VLOOKUP($P123&amp;" | "&amp;CR$6,'Job Master'!$F$12:$I$102,4,0)-1),""),"")</f>
        <v/>
      </c>
      <c r="CU123" s="73"/>
      <c r="CV123" s="123" t="str">
        <f t="shared" si="171"/>
        <v/>
      </c>
      <c r="CW123" s="123" t="str">
        <f t="shared" si="172"/>
        <v/>
      </c>
      <c r="CX123" s="97" t="str">
        <f t="shared" ca="1" si="173"/>
        <v/>
      </c>
      <c r="CY123" s="98" t="str">
        <f>IF(DA123&lt;&gt;"",VLOOKUP($P123&amp;" | "&amp;CY$6,'Job Master'!$F$12:$J$102,5,0),"")</f>
        <v/>
      </c>
      <c r="CZ123" s="19" t="str">
        <f>IF(DA123&lt;&gt;"",VLOOKUP($P123&amp;" | "&amp;CY$6,'Job Master'!$F$12:$J$102,3,0),"")</f>
        <v/>
      </c>
      <c r="DA123" s="19" t="str">
        <f>IFERROR(IF(AND(DH123&lt;&gt;"",VLOOKUP($P123&amp;" | "&amp;CY$6,'Job Master'!$F$12:$I$102,4,0)&lt;&gt;""),IF(WEEKDAY(DH123-VLOOKUP($P123&amp;" | "&amp;CY$6,'Job Master'!$F$12:$I$102,4,0))&lt;&gt;7,DH123-VLOOKUP($P123&amp;" | "&amp;CY$6,'Job Master'!$F$12:$I$102,4,0),DH123-VLOOKUP($P123&amp;" | "&amp;CY$6,'Job Master'!$F$12:$I$102,4,0)-1),""),"")</f>
        <v/>
      </c>
      <c r="DB123" s="73"/>
      <c r="DC123" s="123" t="str">
        <f t="shared" si="174"/>
        <v/>
      </c>
      <c r="DD123" s="123" t="str">
        <f t="shared" si="175"/>
        <v/>
      </c>
      <c r="DE123" s="97" t="str">
        <f t="shared" ca="1" si="176"/>
        <v/>
      </c>
      <c r="DF123" s="98" t="str">
        <f>IF(DH123&lt;&gt;"",VLOOKUP($P123&amp;" | "&amp;DF$6,'Job Master'!$F$12:$J$102,5,0),"")</f>
        <v/>
      </c>
      <c r="DG123" s="19" t="str">
        <f>IF(DH123&lt;&gt;"",VLOOKUP($P123&amp;" | "&amp;DF$6,'Job Master'!$F$12:$J$102,3,0),"")</f>
        <v/>
      </c>
      <c r="DH123" s="19" t="str">
        <f>IFERROR(IF(AND(DO123&lt;&gt;"",VLOOKUP($P123&amp;" | "&amp;DF$6,'Job Master'!$F$12:$I$102,4,0)&lt;&gt;""),IF(WEEKDAY(DO123-VLOOKUP($P123&amp;" | "&amp;DF$6,'Job Master'!$F$12:$I$102,4,0))&lt;&gt;7,DO123-VLOOKUP($P123&amp;" | "&amp;DF$6,'Job Master'!$F$12:$I$102,4,0),DO123-VLOOKUP($P123&amp;" | "&amp;DF$6,'Job Master'!$F$12:$I$102,4,0)-1),""),"")</f>
        <v/>
      </c>
      <c r="DI123" s="73"/>
      <c r="DJ123" s="123" t="str">
        <f t="shared" si="177"/>
        <v/>
      </c>
      <c r="DK123" s="123" t="str">
        <f t="shared" si="178"/>
        <v/>
      </c>
      <c r="DL123" s="97" t="str">
        <f t="shared" ca="1" si="179"/>
        <v/>
      </c>
      <c r="DM123" s="98" t="str">
        <f>IF(DO123&lt;&gt;"",VLOOKUP($P123&amp;" | "&amp;DM$6,'Job Master'!$F$12:$J$102,5,0),"")</f>
        <v/>
      </c>
      <c r="DN123" s="19" t="str">
        <f>IF(DO123&lt;&gt;"",VLOOKUP($P123&amp;" | "&amp;DM$6,'Job Master'!$F$12:$J$102,3,0),"")</f>
        <v/>
      </c>
      <c r="DO123" s="19" t="str">
        <f>IFERROR(IF(AND(DT123&lt;&gt;"",VLOOKUP($P123&amp;" | "&amp;DM$6,'Job Master'!$F$12:$I$102,4,0)&lt;&gt;""),IF(WEEKDAY(DT123-VLOOKUP($P123&amp;" | "&amp;DM$6,'Job Master'!$F$12:$I$102,4,0))&lt;&gt;7,DT123-VLOOKUP($P123&amp;" | "&amp;DM$6,'Job Master'!$F$12:$I$102,4,0),DT123-VLOOKUP($P123&amp;" | "&amp;DM$6,'Job Master'!$F$12:$I$102,4,0)-1),""),"")</f>
        <v/>
      </c>
      <c r="DP123" s="73"/>
      <c r="DQ123" s="123" t="str">
        <f t="shared" si="180"/>
        <v/>
      </c>
      <c r="DR123" s="123" t="str">
        <f t="shared" si="181"/>
        <v/>
      </c>
      <c r="DS123" s="97" t="str">
        <f t="shared" ca="1" si="182"/>
        <v/>
      </c>
      <c r="DT123" s="70" t="str">
        <f t="shared" si="183"/>
        <v/>
      </c>
      <c r="DU123" s="90"/>
      <c r="DV123" s="123" t="str">
        <f t="shared" si="184"/>
        <v/>
      </c>
      <c r="DW123" s="123" t="str">
        <f t="shared" si="185"/>
        <v/>
      </c>
      <c r="DX123" s="132" t="str">
        <f t="shared" ref="DX123" ca="1" si="246">IF(DT123&lt;&gt;"",IF(WEEKNUM(DT123)=WEEKNUM(TODAY()),"This Week",IF(WEEKNUM(DT123)=WEEKNUM(TODAY())+1,"Next Week",IF(WEEKNUM(DT123)=WEEKNUM(TODAY())-1,"Previous Week",""))),"")</f>
        <v/>
      </c>
      <c r="DY123" s="134" t="str">
        <f t="shared" si="187"/>
        <v/>
      </c>
      <c r="DZ123" s="95"/>
      <c r="EB123" s="8" t="str">
        <f t="shared" si="193"/>
        <v/>
      </c>
      <c r="EC123" s="8" t="str">
        <f>IF(O123&lt;&gt;"",VLOOKUP(O123,'Job Master'!$N$12:$O$18,2,0),"")</f>
        <v/>
      </c>
      <c r="ED123" s="8">
        <f t="shared" si="194"/>
        <v>19.5</v>
      </c>
      <c r="EE123" s="8">
        <f t="shared" si="195"/>
        <v>6</v>
      </c>
      <c r="EF123" s="8">
        <f t="shared" si="196"/>
        <v>-658.5</v>
      </c>
      <c r="EG123" s="8" t="str">
        <f t="shared" si="197"/>
        <v/>
      </c>
      <c r="EH123" s="8" t="str">
        <f t="shared" si="198"/>
        <v/>
      </c>
    </row>
    <row r="124" spans="2:138" x14ac:dyDescent="0.3">
      <c r="B124" s="112"/>
      <c r="C124" s="27"/>
      <c r="D124" s="7" t="str">
        <f t="shared" si="135"/>
        <v/>
      </c>
      <c r="E124" s="25"/>
      <c r="F124" s="7" t="str">
        <f t="shared" si="135"/>
        <v/>
      </c>
      <c r="G124" s="25"/>
      <c r="H124" s="7" t="str">
        <f t="shared" si="135"/>
        <v/>
      </c>
      <c r="I124" s="25"/>
      <c r="J124" s="7" t="str">
        <f t="shared" si="135"/>
        <v/>
      </c>
      <c r="K124" s="25"/>
      <c r="L124" s="7" t="str">
        <f t="shared" si="136"/>
        <v/>
      </c>
      <c r="M124" s="25"/>
      <c r="N124" s="7" t="str">
        <f t="shared" si="137"/>
        <v/>
      </c>
      <c r="O124" s="81"/>
      <c r="P124" s="81" t="str">
        <f t="shared" si="138"/>
        <v/>
      </c>
      <c r="Q124" s="81"/>
      <c r="R124" s="7" t="str">
        <f t="shared" si="139"/>
        <v/>
      </c>
      <c r="S124" s="25"/>
      <c r="T124" s="7" t="str">
        <f t="shared" si="140"/>
        <v/>
      </c>
      <c r="U124" s="25"/>
      <c r="V124" s="7" t="str">
        <f t="shared" si="141"/>
        <v/>
      </c>
      <c r="W124" s="25"/>
      <c r="X124" s="7" t="str">
        <f t="shared" si="142"/>
        <v/>
      </c>
      <c r="Y124" s="18" t="str">
        <f t="shared" si="143"/>
        <v/>
      </c>
      <c r="Z124" s="7" t="str">
        <f t="shared" si="144"/>
        <v/>
      </c>
      <c r="AA124" s="18" t="str">
        <f t="shared" si="145"/>
        <v/>
      </c>
      <c r="AB124" s="19" t="str">
        <f t="shared" si="146"/>
        <v/>
      </c>
      <c r="AC124" s="26"/>
      <c r="AD124" s="26"/>
      <c r="AE124" s="25"/>
      <c r="AF124" s="26"/>
      <c r="AG124" s="25"/>
      <c r="AH124" s="25"/>
      <c r="AI124" s="18" t="str">
        <f t="shared" si="209"/>
        <v/>
      </c>
      <c r="AJ124" s="25"/>
      <c r="AK124" s="18" t="str">
        <f t="shared" si="210"/>
        <v/>
      </c>
      <c r="AL124" s="79"/>
      <c r="AM124" s="126" t="str">
        <f t="shared" si="211"/>
        <v/>
      </c>
      <c r="AN124" s="128" t="str">
        <f>IF(AP124&lt;&gt;"",VLOOKUP($P124&amp;" | "&amp;AN$6,'Job Master'!$F$12:$J$102,5,0),"")</f>
        <v/>
      </c>
      <c r="AO124" s="19" t="str">
        <f>IF(AP124&lt;&gt;"",VLOOKUP($P124&amp;" | "&amp;AN$6,'Job Master'!$F$12:$J$102,3,0),"")</f>
        <v/>
      </c>
      <c r="AP124" s="19" t="str">
        <f>IFERROR(IF(AND(AW124&lt;&gt;"",VLOOKUP($P124&amp;" | "&amp;AN$6,'Job Master'!$F$12:$I$102,4,0)&lt;&gt;""),IF(WEEKDAY(AW124-VLOOKUP($P124&amp;" | "&amp;AN$6,'Job Master'!$F$12:$I$102,4,0))&lt;&gt;7,AW124-VLOOKUP($P124&amp;" | "&amp;AN$6,'Job Master'!$F$12:$I$102,4,0),AW124-VLOOKUP($P124&amp;" | "&amp;AN$6,'Job Master'!$F$12:$I$102,4,0)-1),""),"")</f>
        <v/>
      </c>
      <c r="AQ124" s="73"/>
      <c r="AR124" s="123" t="str">
        <f t="shared" si="147"/>
        <v/>
      </c>
      <c r="AS124" s="123" t="str">
        <f t="shared" si="148"/>
        <v/>
      </c>
      <c r="AT124" s="97" t="str">
        <f t="shared" ca="1" si="149"/>
        <v/>
      </c>
      <c r="AU124" s="98" t="str">
        <f>IF(AW124&lt;&gt;"",VLOOKUP($P124&amp;" | "&amp;AU$6,'Job Master'!$F$12:$J$102,5,0),"")</f>
        <v/>
      </c>
      <c r="AV124" s="19" t="str">
        <f>IF(AW124&lt;&gt;"",VLOOKUP($P124&amp;" | "&amp;AU$6,'Job Master'!$F$12:$J$102,3,0),"")</f>
        <v/>
      </c>
      <c r="AW124" s="19" t="str">
        <f>IFERROR(IF(AND(BD124&lt;&gt;"",VLOOKUP($P124&amp;" | "&amp;AU$6,'Job Master'!$F$12:$I$102,4,0)&lt;&gt;""),IF(WEEKDAY(BD124-VLOOKUP($P124&amp;" | "&amp;AU$6,'Job Master'!$F$12:$I$102,4,0))&lt;&gt;7,BD124-VLOOKUP($P124&amp;" | "&amp;AU$6,'Job Master'!$F$12:$I$102,4,0),BD124-VLOOKUP($P124&amp;" | "&amp;AU$6,'Job Master'!$F$12:$I$102,4,0)-1),""),"")</f>
        <v/>
      </c>
      <c r="AX124" s="73"/>
      <c r="AY124" s="123" t="str">
        <f t="shared" si="150"/>
        <v/>
      </c>
      <c r="AZ124" s="123" t="str">
        <f t="shared" si="151"/>
        <v/>
      </c>
      <c r="BA124" s="97" t="str">
        <f t="shared" ca="1" si="152"/>
        <v/>
      </c>
      <c r="BB124" s="98" t="str">
        <f>IF(BD124&lt;&gt;"",VLOOKUP($P124&amp;" | "&amp;BB$6,'Job Master'!$F$12:$J$102,5,0),"")</f>
        <v/>
      </c>
      <c r="BC124" s="19" t="str">
        <f>IF(BD124&lt;&gt;"",VLOOKUP($P124&amp;" | "&amp;BB$6,'Job Master'!$F$12:$J$102,3,0),"")</f>
        <v/>
      </c>
      <c r="BD124" s="19" t="str">
        <f>IFERROR(IF(AND(BK124&lt;&gt;"",VLOOKUP($P124&amp;" | "&amp;BB$6,'Job Master'!$F$12:$I$102,4,0)&lt;&gt;""),IF(WEEKDAY(BK124-VLOOKUP($P124&amp;" | "&amp;BB$6,'Job Master'!$F$12:$I$102,4,0))&lt;&gt;7,BK124-VLOOKUP($P124&amp;" | "&amp;BB$6,'Job Master'!$F$12:$I$102,4,0),BK124-VLOOKUP($P124&amp;" | "&amp;BB$6,'Job Master'!$F$12:$I$102,4,0)-1),""),"")</f>
        <v/>
      </c>
      <c r="BE124" s="73"/>
      <c r="BF124" s="123" t="str">
        <f t="shared" si="153"/>
        <v/>
      </c>
      <c r="BG124" s="123" t="str">
        <f t="shared" si="154"/>
        <v/>
      </c>
      <c r="BH124" s="97" t="str">
        <f t="shared" ca="1" si="155"/>
        <v/>
      </c>
      <c r="BI124" s="98" t="str">
        <f>IF(BK124&lt;&gt;"",VLOOKUP($P124&amp;" | "&amp;BI$6,'Job Master'!$F$12:$J$102,5,0),"")</f>
        <v/>
      </c>
      <c r="BJ124" s="19" t="str">
        <f>IF(BK124&lt;&gt;"",VLOOKUP($P124&amp;" | "&amp;BI$6,'Job Master'!$F$12:$J$102,3,0),"")</f>
        <v/>
      </c>
      <c r="BK124" s="19" t="str">
        <f>IFERROR(IF(AND(BR124&lt;&gt;"",VLOOKUP($P124&amp;" | "&amp;BI$6,'Job Master'!$F$12:$I$102,4,0)&lt;&gt;""),IF(WEEKDAY(BR124-VLOOKUP($P124&amp;" | "&amp;BI$6,'Job Master'!$F$12:$I$102,4,0))&lt;&gt;7,BR124-VLOOKUP($P124&amp;" | "&amp;BI$6,'Job Master'!$F$12:$I$102,4,0),BR124-VLOOKUP($P124&amp;" | "&amp;BI$6,'Job Master'!$F$12:$I$102,4,0)-1),""),"")</f>
        <v/>
      </c>
      <c r="BL124" s="73"/>
      <c r="BM124" s="123" t="str">
        <f t="shared" si="156"/>
        <v/>
      </c>
      <c r="BN124" s="123" t="str">
        <f t="shared" si="157"/>
        <v/>
      </c>
      <c r="BO124" s="97" t="str">
        <f t="shared" ca="1" si="158"/>
        <v/>
      </c>
      <c r="BP124" s="98" t="str">
        <f>IF(BR124&lt;&gt;"",VLOOKUP($P124&amp;" | "&amp;BP$6,'Job Master'!$F$12:$J$102,5,0),"")</f>
        <v/>
      </c>
      <c r="BQ124" s="19" t="str">
        <f>IF(BR124&lt;&gt;"",VLOOKUP($P124&amp;" | "&amp;BP$6,'Job Master'!$F$12:$J$102,3,0),"")</f>
        <v/>
      </c>
      <c r="BR124" s="19" t="str">
        <f>IFERROR(IF(AND(BY124&lt;&gt;"",VLOOKUP($P124&amp;" | "&amp;BP$6,'Job Master'!$F$12:$I$102,4,0)&lt;&gt;""),IF(WEEKDAY(BY124-VLOOKUP($P124&amp;" | "&amp;BP$6,'Job Master'!$F$12:$I$102,4,0))&lt;&gt;7,BY124-VLOOKUP($P124&amp;" | "&amp;BP$6,'Job Master'!$F$12:$I$102,4,0),BY124-VLOOKUP($P124&amp;" | "&amp;BP$6,'Job Master'!$F$12:$I$102,4,0)-1),""),"")</f>
        <v/>
      </c>
      <c r="BS124" s="73"/>
      <c r="BT124" s="123" t="str">
        <f t="shared" si="159"/>
        <v/>
      </c>
      <c r="BU124" s="123" t="str">
        <f t="shared" si="160"/>
        <v/>
      </c>
      <c r="BV124" s="97" t="str">
        <f t="shared" ca="1" si="161"/>
        <v/>
      </c>
      <c r="BW124" s="98" t="str">
        <f>IF(BY124&lt;&gt;"",VLOOKUP($P124&amp;" | "&amp;BW$6,'Job Master'!$F$12:$J$102,5,0),"")</f>
        <v/>
      </c>
      <c r="BX124" s="19" t="str">
        <f>IF(BY124&lt;&gt;"",VLOOKUP($P124&amp;" | "&amp;BW$6,'Job Master'!$F$12:$J$102,3,0),"")</f>
        <v/>
      </c>
      <c r="BY124" s="19" t="str">
        <f>IFERROR(IF(AND(CF124&lt;&gt;"",VLOOKUP($P124&amp;" | "&amp;BW$6,'Job Master'!$F$12:$I$102,4,0)&lt;&gt;""),IF(WEEKDAY(CF124-VLOOKUP($P124&amp;" | "&amp;BW$6,'Job Master'!$F$12:$I$102,4,0))&lt;&gt;7,CF124-VLOOKUP($P124&amp;" | "&amp;BW$6,'Job Master'!$F$12:$I$102,4,0),CF124-VLOOKUP($P124&amp;" | "&amp;BW$6,'Job Master'!$F$12:$I$102,4,0)-1),""),"")</f>
        <v/>
      </c>
      <c r="BZ124" s="73"/>
      <c r="CA124" s="123" t="str">
        <f t="shared" si="162"/>
        <v/>
      </c>
      <c r="CB124" s="123" t="str">
        <f t="shared" si="163"/>
        <v/>
      </c>
      <c r="CC124" s="97" t="str">
        <f t="shared" ca="1" si="164"/>
        <v/>
      </c>
      <c r="CD124" s="98" t="str">
        <f>IF(CF124&lt;&gt;"",VLOOKUP($P124&amp;" | "&amp;CD$6,'Job Master'!$F$12:$J$102,5,0),"")</f>
        <v/>
      </c>
      <c r="CE124" s="19" t="str">
        <f>IF(CF124&lt;&gt;"",VLOOKUP($P124&amp;" | "&amp;CD$6,'Job Master'!$F$12:$J$102,3,0),"")</f>
        <v/>
      </c>
      <c r="CF124" s="19" t="str">
        <f>IFERROR(IF(AND(CM124&lt;&gt;"",VLOOKUP($P124&amp;" | "&amp;CD$6,'Job Master'!$F$12:$I$102,4,0)&lt;&gt;""),IF(WEEKDAY(CM124-VLOOKUP($P124&amp;" | "&amp;CD$6,'Job Master'!$F$12:$I$102,4,0))&lt;&gt;7,CM124-VLOOKUP($P124&amp;" | "&amp;CD$6,'Job Master'!$F$12:$I$102,4,0),CM124-VLOOKUP($P124&amp;" | "&amp;CD$6,'Job Master'!$F$12:$I$102,4,0)-1),""),"")</f>
        <v/>
      </c>
      <c r="CG124" s="73"/>
      <c r="CH124" s="123" t="str">
        <f t="shared" si="165"/>
        <v/>
      </c>
      <c r="CI124" s="123" t="str">
        <f t="shared" si="166"/>
        <v/>
      </c>
      <c r="CJ124" s="97" t="str">
        <f t="shared" ca="1" si="167"/>
        <v/>
      </c>
      <c r="CK124" s="98" t="str">
        <f>IF(CM124&lt;&gt;"",VLOOKUP($P124&amp;" | "&amp;CK$6,'Job Master'!$F$12:$J$102,5,0),"")</f>
        <v/>
      </c>
      <c r="CL124" s="19" t="str">
        <f>IF(CM124&lt;&gt;"",VLOOKUP($P124&amp;" | "&amp;CK$6,'Job Master'!$F$12:$J$102,3,0),"")</f>
        <v/>
      </c>
      <c r="CM124" s="19" t="str">
        <f>IFERROR(IF(AND(CT124&lt;&gt;"",VLOOKUP($P124&amp;" | "&amp;CK$6,'Job Master'!$F$12:$I$102,4,0)&lt;&gt;""),IF(WEEKDAY(CT124-VLOOKUP($P124&amp;" | "&amp;CK$6,'Job Master'!$F$12:$I$102,4,0))&lt;&gt;7,CT124-VLOOKUP($P124&amp;" | "&amp;CK$6,'Job Master'!$F$12:$I$102,4,0),CT124-VLOOKUP($P124&amp;" | "&amp;CK$6,'Job Master'!$F$12:$I$102,4,0)-1),""),"")</f>
        <v/>
      </c>
      <c r="CN124" s="73"/>
      <c r="CO124" s="123" t="str">
        <f t="shared" si="168"/>
        <v/>
      </c>
      <c r="CP124" s="123" t="str">
        <f t="shared" si="169"/>
        <v/>
      </c>
      <c r="CQ124" s="97" t="str">
        <f t="shared" ca="1" si="170"/>
        <v/>
      </c>
      <c r="CR124" s="98" t="str">
        <f>IF(CT124&lt;&gt;"",VLOOKUP($P124&amp;" | "&amp;CR$6,'Job Master'!$F$12:$J$102,5,0),"")</f>
        <v/>
      </c>
      <c r="CS124" s="19" t="str">
        <f>IF(CT124&lt;&gt;"",VLOOKUP($P124&amp;" | "&amp;CR$6,'Job Master'!$F$12:$J$102,3,0),"")</f>
        <v/>
      </c>
      <c r="CT124" s="19" t="str">
        <f>IFERROR(IF(AND(DA124&lt;&gt;"",VLOOKUP($P124&amp;" | "&amp;CR$6,'Job Master'!$F$12:$I$102,4,0)&lt;&gt;""),IF(WEEKDAY(DA124-VLOOKUP($P124&amp;" | "&amp;CR$6,'Job Master'!$F$12:$I$102,4,0))&lt;&gt;7,DA124-VLOOKUP($P124&amp;" | "&amp;CR$6,'Job Master'!$F$12:$I$102,4,0),DA124-VLOOKUP($P124&amp;" | "&amp;CR$6,'Job Master'!$F$12:$I$102,4,0)-1),""),"")</f>
        <v/>
      </c>
      <c r="CU124" s="73"/>
      <c r="CV124" s="123" t="str">
        <f t="shared" si="171"/>
        <v/>
      </c>
      <c r="CW124" s="123" t="str">
        <f t="shared" si="172"/>
        <v/>
      </c>
      <c r="CX124" s="97" t="str">
        <f t="shared" ca="1" si="173"/>
        <v/>
      </c>
      <c r="CY124" s="98" t="str">
        <f>IF(DA124&lt;&gt;"",VLOOKUP($P124&amp;" | "&amp;CY$6,'Job Master'!$F$12:$J$102,5,0),"")</f>
        <v/>
      </c>
      <c r="CZ124" s="19" t="str">
        <f>IF(DA124&lt;&gt;"",VLOOKUP($P124&amp;" | "&amp;CY$6,'Job Master'!$F$12:$J$102,3,0),"")</f>
        <v/>
      </c>
      <c r="DA124" s="19" t="str">
        <f>IFERROR(IF(AND(DH124&lt;&gt;"",VLOOKUP($P124&amp;" | "&amp;CY$6,'Job Master'!$F$12:$I$102,4,0)&lt;&gt;""),IF(WEEKDAY(DH124-VLOOKUP($P124&amp;" | "&amp;CY$6,'Job Master'!$F$12:$I$102,4,0))&lt;&gt;7,DH124-VLOOKUP($P124&amp;" | "&amp;CY$6,'Job Master'!$F$12:$I$102,4,0),DH124-VLOOKUP($P124&amp;" | "&amp;CY$6,'Job Master'!$F$12:$I$102,4,0)-1),""),"")</f>
        <v/>
      </c>
      <c r="DB124" s="73"/>
      <c r="DC124" s="123" t="str">
        <f t="shared" si="174"/>
        <v/>
      </c>
      <c r="DD124" s="123" t="str">
        <f t="shared" si="175"/>
        <v/>
      </c>
      <c r="DE124" s="97" t="str">
        <f t="shared" ca="1" si="176"/>
        <v/>
      </c>
      <c r="DF124" s="98" t="str">
        <f>IF(DH124&lt;&gt;"",VLOOKUP($P124&amp;" | "&amp;DF$6,'Job Master'!$F$12:$J$102,5,0),"")</f>
        <v/>
      </c>
      <c r="DG124" s="19" t="str">
        <f>IF(DH124&lt;&gt;"",VLOOKUP($P124&amp;" | "&amp;DF$6,'Job Master'!$F$12:$J$102,3,0),"")</f>
        <v/>
      </c>
      <c r="DH124" s="19" t="str">
        <f>IFERROR(IF(AND(DO124&lt;&gt;"",VLOOKUP($P124&amp;" | "&amp;DF$6,'Job Master'!$F$12:$I$102,4,0)&lt;&gt;""),IF(WEEKDAY(DO124-VLOOKUP($P124&amp;" | "&amp;DF$6,'Job Master'!$F$12:$I$102,4,0))&lt;&gt;7,DO124-VLOOKUP($P124&amp;" | "&amp;DF$6,'Job Master'!$F$12:$I$102,4,0),DO124-VLOOKUP($P124&amp;" | "&amp;DF$6,'Job Master'!$F$12:$I$102,4,0)-1),""),"")</f>
        <v/>
      </c>
      <c r="DI124" s="73"/>
      <c r="DJ124" s="123" t="str">
        <f t="shared" si="177"/>
        <v/>
      </c>
      <c r="DK124" s="123" t="str">
        <f t="shared" si="178"/>
        <v/>
      </c>
      <c r="DL124" s="97" t="str">
        <f t="shared" ca="1" si="179"/>
        <v/>
      </c>
      <c r="DM124" s="98" t="str">
        <f>IF(DO124&lt;&gt;"",VLOOKUP($P124&amp;" | "&amp;DM$6,'Job Master'!$F$12:$J$102,5,0),"")</f>
        <v/>
      </c>
      <c r="DN124" s="19" t="str">
        <f>IF(DO124&lt;&gt;"",VLOOKUP($P124&amp;" | "&amp;DM$6,'Job Master'!$F$12:$J$102,3,0),"")</f>
        <v/>
      </c>
      <c r="DO124" s="19" t="str">
        <f>IFERROR(IF(AND(DT124&lt;&gt;"",VLOOKUP($P124&amp;" | "&amp;DM$6,'Job Master'!$F$12:$I$102,4,0)&lt;&gt;""),IF(WEEKDAY(DT124-VLOOKUP($P124&amp;" | "&amp;DM$6,'Job Master'!$F$12:$I$102,4,0))&lt;&gt;7,DT124-VLOOKUP($P124&amp;" | "&amp;DM$6,'Job Master'!$F$12:$I$102,4,0),DT124-VLOOKUP($P124&amp;" | "&amp;DM$6,'Job Master'!$F$12:$I$102,4,0)-1),""),"")</f>
        <v/>
      </c>
      <c r="DP124" s="73"/>
      <c r="DQ124" s="123" t="str">
        <f t="shared" si="180"/>
        <v/>
      </c>
      <c r="DR124" s="123" t="str">
        <f t="shared" si="181"/>
        <v/>
      </c>
      <c r="DS124" s="97" t="str">
        <f t="shared" ca="1" si="182"/>
        <v/>
      </c>
      <c r="DT124" s="70" t="str">
        <f t="shared" si="183"/>
        <v/>
      </c>
      <c r="DU124" s="90"/>
      <c r="DV124" s="123" t="str">
        <f t="shared" si="184"/>
        <v/>
      </c>
      <c r="DW124" s="123" t="str">
        <f t="shared" si="185"/>
        <v/>
      </c>
      <c r="DX124" s="132" t="str">
        <f t="shared" ref="DX124" ca="1" si="247">IF(DT124&lt;&gt;"",IF(WEEKNUM(DT124)=WEEKNUM(TODAY()),"This Week",IF(WEEKNUM(DT124)=WEEKNUM(TODAY())+1,"Next Week",IF(WEEKNUM(DT124)=WEEKNUM(TODAY())-1,"Previous Week",""))),"")</f>
        <v/>
      </c>
      <c r="DY124" s="134" t="str">
        <f t="shared" si="187"/>
        <v/>
      </c>
      <c r="DZ124" s="95"/>
      <c r="EB124" s="8" t="str">
        <f t="shared" si="193"/>
        <v/>
      </c>
      <c r="EC124" s="8" t="str">
        <f>IF(O124&lt;&gt;"",VLOOKUP(O124,'Job Master'!$N$12:$O$18,2,0),"")</f>
        <v/>
      </c>
      <c r="ED124" s="8">
        <f t="shared" si="194"/>
        <v>19.5</v>
      </c>
      <c r="EE124" s="8">
        <f t="shared" si="195"/>
        <v>6</v>
      </c>
      <c r="EF124" s="8">
        <f t="shared" si="196"/>
        <v>-664.5</v>
      </c>
      <c r="EG124" s="8" t="str">
        <f t="shared" si="197"/>
        <v/>
      </c>
      <c r="EH124" s="8" t="str">
        <f t="shared" si="198"/>
        <v/>
      </c>
    </row>
    <row r="125" spans="2:138" x14ac:dyDescent="0.3">
      <c r="B125" s="112"/>
      <c r="C125" s="27"/>
      <c r="D125" s="7" t="str">
        <f t="shared" si="135"/>
        <v/>
      </c>
      <c r="E125" s="25"/>
      <c r="F125" s="7" t="str">
        <f t="shared" si="135"/>
        <v/>
      </c>
      <c r="G125" s="25"/>
      <c r="H125" s="7" t="str">
        <f t="shared" si="135"/>
        <v/>
      </c>
      <c r="I125" s="25"/>
      <c r="J125" s="7" t="str">
        <f t="shared" si="135"/>
        <v/>
      </c>
      <c r="K125" s="25"/>
      <c r="L125" s="7" t="str">
        <f t="shared" si="136"/>
        <v/>
      </c>
      <c r="M125" s="25"/>
      <c r="N125" s="7" t="str">
        <f t="shared" si="137"/>
        <v/>
      </c>
      <c r="O125" s="81"/>
      <c r="P125" s="81" t="str">
        <f t="shared" si="138"/>
        <v/>
      </c>
      <c r="Q125" s="81"/>
      <c r="R125" s="7" t="str">
        <f t="shared" si="139"/>
        <v/>
      </c>
      <c r="S125" s="25"/>
      <c r="T125" s="7" t="str">
        <f t="shared" si="140"/>
        <v/>
      </c>
      <c r="U125" s="25"/>
      <c r="V125" s="7" t="str">
        <f t="shared" si="141"/>
        <v/>
      </c>
      <c r="W125" s="25"/>
      <c r="X125" s="7" t="str">
        <f t="shared" si="142"/>
        <v/>
      </c>
      <c r="Y125" s="18" t="str">
        <f t="shared" si="143"/>
        <v/>
      </c>
      <c r="Z125" s="7" t="str">
        <f t="shared" si="144"/>
        <v/>
      </c>
      <c r="AA125" s="18" t="str">
        <f t="shared" si="145"/>
        <v/>
      </c>
      <c r="AB125" s="19" t="str">
        <f t="shared" si="146"/>
        <v/>
      </c>
      <c r="AC125" s="26"/>
      <c r="AD125" s="26"/>
      <c r="AE125" s="25"/>
      <c r="AF125" s="26"/>
      <c r="AG125" s="25"/>
      <c r="AH125" s="25"/>
      <c r="AI125" s="18" t="str">
        <f t="shared" si="209"/>
        <v/>
      </c>
      <c r="AJ125" s="25"/>
      <c r="AK125" s="18" t="str">
        <f t="shared" si="210"/>
        <v/>
      </c>
      <c r="AL125" s="79"/>
      <c r="AM125" s="126" t="str">
        <f t="shared" si="211"/>
        <v/>
      </c>
      <c r="AN125" s="128" t="str">
        <f>IF(AP125&lt;&gt;"",VLOOKUP($P125&amp;" | "&amp;AN$6,'Job Master'!$F$12:$J$102,5,0),"")</f>
        <v/>
      </c>
      <c r="AO125" s="19" t="str">
        <f>IF(AP125&lt;&gt;"",VLOOKUP($P125&amp;" | "&amp;AN$6,'Job Master'!$F$12:$J$102,3,0),"")</f>
        <v/>
      </c>
      <c r="AP125" s="19" t="str">
        <f>IFERROR(IF(AND(AW125&lt;&gt;"",VLOOKUP($P125&amp;" | "&amp;AN$6,'Job Master'!$F$12:$I$102,4,0)&lt;&gt;""),IF(WEEKDAY(AW125-VLOOKUP($P125&amp;" | "&amp;AN$6,'Job Master'!$F$12:$I$102,4,0))&lt;&gt;7,AW125-VLOOKUP($P125&amp;" | "&amp;AN$6,'Job Master'!$F$12:$I$102,4,0),AW125-VLOOKUP($P125&amp;" | "&amp;AN$6,'Job Master'!$F$12:$I$102,4,0)-1),""),"")</f>
        <v/>
      </c>
      <c r="AQ125" s="73"/>
      <c r="AR125" s="123" t="str">
        <f t="shared" si="147"/>
        <v/>
      </c>
      <c r="AS125" s="123" t="str">
        <f t="shared" si="148"/>
        <v/>
      </c>
      <c r="AT125" s="97" t="str">
        <f t="shared" ca="1" si="149"/>
        <v/>
      </c>
      <c r="AU125" s="98" t="str">
        <f>IF(AW125&lt;&gt;"",VLOOKUP($P125&amp;" | "&amp;AU$6,'Job Master'!$F$12:$J$102,5,0),"")</f>
        <v/>
      </c>
      <c r="AV125" s="19" t="str">
        <f>IF(AW125&lt;&gt;"",VLOOKUP($P125&amp;" | "&amp;AU$6,'Job Master'!$F$12:$J$102,3,0),"")</f>
        <v/>
      </c>
      <c r="AW125" s="19" t="str">
        <f>IFERROR(IF(AND(BD125&lt;&gt;"",VLOOKUP($P125&amp;" | "&amp;AU$6,'Job Master'!$F$12:$I$102,4,0)&lt;&gt;""),IF(WEEKDAY(BD125-VLOOKUP($P125&amp;" | "&amp;AU$6,'Job Master'!$F$12:$I$102,4,0))&lt;&gt;7,BD125-VLOOKUP($P125&amp;" | "&amp;AU$6,'Job Master'!$F$12:$I$102,4,0),BD125-VLOOKUP($P125&amp;" | "&amp;AU$6,'Job Master'!$F$12:$I$102,4,0)-1),""),"")</f>
        <v/>
      </c>
      <c r="AX125" s="73"/>
      <c r="AY125" s="123" t="str">
        <f t="shared" si="150"/>
        <v/>
      </c>
      <c r="AZ125" s="123" t="str">
        <f t="shared" si="151"/>
        <v/>
      </c>
      <c r="BA125" s="97" t="str">
        <f t="shared" ca="1" si="152"/>
        <v/>
      </c>
      <c r="BB125" s="98" t="str">
        <f>IF(BD125&lt;&gt;"",VLOOKUP($P125&amp;" | "&amp;BB$6,'Job Master'!$F$12:$J$102,5,0),"")</f>
        <v/>
      </c>
      <c r="BC125" s="19" t="str">
        <f>IF(BD125&lt;&gt;"",VLOOKUP($P125&amp;" | "&amp;BB$6,'Job Master'!$F$12:$J$102,3,0),"")</f>
        <v/>
      </c>
      <c r="BD125" s="19" t="str">
        <f>IFERROR(IF(AND(BK125&lt;&gt;"",VLOOKUP($P125&amp;" | "&amp;BB$6,'Job Master'!$F$12:$I$102,4,0)&lt;&gt;""),IF(WEEKDAY(BK125-VLOOKUP($P125&amp;" | "&amp;BB$6,'Job Master'!$F$12:$I$102,4,0))&lt;&gt;7,BK125-VLOOKUP($P125&amp;" | "&amp;BB$6,'Job Master'!$F$12:$I$102,4,0),BK125-VLOOKUP($P125&amp;" | "&amp;BB$6,'Job Master'!$F$12:$I$102,4,0)-1),""),"")</f>
        <v/>
      </c>
      <c r="BE125" s="73"/>
      <c r="BF125" s="123" t="str">
        <f t="shared" si="153"/>
        <v/>
      </c>
      <c r="BG125" s="123" t="str">
        <f t="shared" si="154"/>
        <v/>
      </c>
      <c r="BH125" s="97" t="str">
        <f t="shared" ca="1" si="155"/>
        <v/>
      </c>
      <c r="BI125" s="98" t="str">
        <f>IF(BK125&lt;&gt;"",VLOOKUP($P125&amp;" | "&amp;BI$6,'Job Master'!$F$12:$J$102,5,0),"")</f>
        <v/>
      </c>
      <c r="BJ125" s="19" t="str">
        <f>IF(BK125&lt;&gt;"",VLOOKUP($P125&amp;" | "&amp;BI$6,'Job Master'!$F$12:$J$102,3,0),"")</f>
        <v/>
      </c>
      <c r="BK125" s="19" t="str">
        <f>IFERROR(IF(AND(BR125&lt;&gt;"",VLOOKUP($P125&amp;" | "&amp;BI$6,'Job Master'!$F$12:$I$102,4,0)&lt;&gt;""),IF(WEEKDAY(BR125-VLOOKUP($P125&amp;" | "&amp;BI$6,'Job Master'!$F$12:$I$102,4,0))&lt;&gt;7,BR125-VLOOKUP($P125&amp;" | "&amp;BI$6,'Job Master'!$F$12:$I$102,4,0),BR125-VLOOKUP($P125&amp;" | "&amp;BI$6,'Job Master'!$F$12:$I$102,4,0)-1),""),"")</f>
        <v/>
      </c>
      <c r="BL125" s="73"/>
      <c r="BM125" s="123" t="str">
        <f t="shared" si="156"/>
        <v/>
      </c>
      <c r="BN125" s="123" t="str">
        <f t="shared" si="157"/>
        <v/>
      </c>
      <c r="BO125" s="97" t="str">
        <f t="shared" ca="1" si="158"/>
        <v/>
      </c>
      <c r="BP125" s="98" t="str">
        <f>IF(BR125&lt;&gt;"",VLOOKUP($P125&amp;" | "&amp;BP$6,'Job Master'!$F$12:$J$102,5,0),"")</f>
        <v/>
      </c>
      <c r="BQ125" s="19" t="str">
        <f>IF(BR125&lt;&gt;"",VLOOKUP($P125&amp;" | "&amp;BP$6,'Job Master'!$F$12:$J$102,3,0),"")</f>
        <v/>
      </c>
      <c r="BR125" s="19" t="str">
        <f>IFERROR(IF(AND(BY125&lt;&gt;"",VLOOKUP($P125&amp;" | "&amp;BP$6,'Job Master'!$F$12:$I$102,4,0)&lt;&gt;""),IF(WEEKDAY(BY125-VLOOKUP($P125&amp;" | "&amp;BP$6,'Job Master'!$F$12:$I$102,4,0))&lt;&gt;7,BY125-VLOOKUP($P125&amp;" | "&amp;BP$6,'Job Master'!$F$12:$I$102,4,0),BY125-VLOOKUP($P125&amp;" | "&amp;BP$6,'Job Master'!$F$12:$I$102,4,0)-1),""),"")</f>
        <v/>
      </c>
      <c r="BS125" s="73"/>
      <c r="BT125" s="123" t="str">
        <f t="shared" si="159"/>
        <v/>
      </c>
      <c r="BU125" s="123" t="str">
        <f t="shared" si="160"/>
        <v/>
      </c>
      <c r="BV125" s="97" t="str">
        <f t="shared" ca="1" si="161"/>
        <v/>
      </c>
      <c r="BW125" s="98" t="str">
        <f>IF(BY125&lt;&gt;"",VLOOKUP($P125&amp;" | "&amp;BW$6,'Job Master'!$F$12:$J$102,5,0),"")</f>
        <v/>
      </c>
      <c r="BX125" s="19" t="str">
        <f>IF(BY125&lt;&gt;"",VLOOKUP($P125&amp;" | "&amp;BW$6,'Job Master'!$F$12:$J$102,3,0),"")</f>
        <v/>
      </c>
      <c r="BY125" s="19" t="str">
        <f>IFERROR(IF(AND(CF125&lt;&gt;"",VLOOKUP($P125&amp;" | "&amp;BW$6,'Job Master'!$F$12:$I$102,4,0)&lt;&gt;""),IF(WEEKDAY(CF125-VLOOKUP($P125&amp;" | "&amp;BW$6,'Job Master'!$F$12:$I$102,4,0))&lt;&gt;7,CF125-VLOOKUP($P125&amp;" | "&amp;BW$6,'Job Master'!$F$12:$I$102,4,0),CF125-VLOOKUP($P125&amp;" | "&amp;BW$6,'Job Master'!$F$12:$I$102,4,0)-1),""),"")</f>
        <v/>
      </c>
      <c r="BZ125" s="73"/>
      <c r="CA125" s="123" t="str">
        <f t="shared" si="162"/>
        <v/>
      </c>
      <c r="CB125" s="123" t="str">
        <f t="shared" si="163"/>
        <v/>
      </c>
      <c r="CC125" s="97" t="str">
        <f t="shared" ca="1" si="164"/>
        <v/>
      </c>
      <c r="CD125" s="98" t="str">
        <f>IF(CF125&lt;&gt;"",VLOOKUP($P125&amp;" | "&amp;CD$6,'Job Master'!$F$12:$J$102,5,0),"")</f>
        <v/>
      </c>
      <c r="CE125" s="19" t="str">
        <f>IF(CF125&lt;&gt;"",VLOOKUP($P125&amp;" | "&amp;CD$6,'Job Master'!$F$12:$J$102,3,0),"")</f>
        <v/>
      </c>
      <c r="CF125" s="19" t="str">
        <f>IFERROR(IF(AND(CM125&lt;&gt;"",VLOOKUP($P125&amp;" | "&amp;CD$6,'Job Master'!$F$12:$I$102,4,0)&lt;&gt;""),IF(WEEKDAY(CM125-VLOOKUP($P125&amp;" | "&amp;CD$6,'Job Master'!$F$12:$I$102,4,0))&lt;&gt;7,CM125-VLOOKUP($P125&amp;" | "&amp;CD$6,'Job Master'!$F$12:$I$102,4,0),CM125-VLOOKUP($P125&amp;" | "&amp;CD$6,'Job Master'!$F$12:$I$102,4,0)-1),""),"")</f>
        <v/>
      </c>
      <c r="CG125" s="73"/>
      <c r="CH125" s="123" t="str">
        <f t="shared" si="165"/>
        <v/>
      </c>
      <c r="CI125" s="123" t="str">
        <f t="shared" si="166"/>
        <v/>
      </c>
      <c r="CJ125" s="97" t="str">
        <f t="shared" ca="1" si="167"/>
        <v/>
      </c>
      <c r="CK125" s="98" t="str">
        <f>IF(CM125&lt;&gt;"",VLOOKUP($P125&amp;" | "&amp;CK$6,'Job Master'!$F$12:$J$102,5,0),"")</f>
        <v/>
      </c>
      <c r="CL125" s="19" t="str">
        <f>IF(CM125&lt;&gt;"",VLOOKUP($P125&amp;" | "&amp;CK$6,'Job Master'!$F$12:$J$102,3,0),"")</f>
        <v/>
      </c>
      <c r="CM125" s="19" t="str">
        <f>IFERROR(IF(AND(CT125&lt;&gt;"",VLOOKUP($P125&amp;" | "&amp;CK$6,'Job Master'!$F$12:$I$102,4,0)&lt;&gt;""),IF(WEEKDAY(CT125-VLOOKUP($P125&amp;" | "&amp;CK$6,'Job Master'!$F$12:$I$102,4,0))&lt;&gt;7,CT125-VLOOKUP($P125&amp;" | "&amp;CK$6,'Job Master'!$F$12:$I$102,4,0),CT125-VLOOKUP($P125&amp;" | "&amp;CK$6,'Job Master'!$F$12:$I$102,4,0)-1),""),"")</f>
        <v/>
      </c>
      <c r="CN125" s="73"/>
      <c r="CO125" s="123" t="str">
        <f t="shared" si="168"/>
        <v/>
      </c>
      <c r="CP125" s="123" t="str">
        <f t="shared" si="169"/>
        <v/>
      </c>
      <c r="CQ125" s="97" t="str">
        <f t="shared" ca="1" si="170"/>
        <v/>
      </c>
      <c r="CR125" s="98" t="str">
        <f>IF(CT125&lt;&gt;"",VLOOKUP($P125&amp;" | "&amp;CR$6,'Job Master'!$F$12:$J$102,5,0),"")</f>
        <v/>
      </c>
      <c r="CS125" s="19" t="str">
        <f>IF(CT125&lt;&gt;"",VLOOKUP($P125&amp;" | "&amp;CR$6,'Job Master'!$F$12:$J$102,3,0),"")</f>
        <v/>
      </c>
      <c r="CT125" s="19" t="str">
        <f>IFERROR(IF(AND(DA125&lt;&gt;"",VLOOKUP($P125&amp;" | "&amp;CR$6,'Job Master'!$F$12:$I$102,4,0)&lt;&gt;""),IF(WEEKDAY(DA125-VLOOKUP($P125&amp;" | "&amp;CR$6,'Job Master'!$F$12:$I$102,4,0))&lt;&gt;7,DA125-VLOOKUP($P125&amp;" | "&amp;CR$6,'Job Master'!$F$12:$I$102,4,0),DA125-VLOOKUP($P125&amp;" | "&amp;CR$6,'Job Master'!$F$12:$I$102,4,0)-1),""),"")</f>
        <v/>
      </c>
      <c r="CU125" s="73"/>
      <c r="CV125" s="123" t="str">
        <f t="shared" si="171"/>
        <v/>
      </c>
      <c r="CW125" s="123" t="str">
        <f t="shared" si="172"/>
        <v/>
      </c>
      <c r="CX125" s="97" t="str">
        <f t="shared" ca="1" si="173"/>
        <v/>
      </c>
      <c r="CY125" s="98" t="str">
        <f>IF(DA125&lt;&gt;"",VLOOKUP($P125&amp;" | "&amp;CY$6,'Job Master'!$F$12:$J$102,5,0),"")</f>
        <v/>
      </c>
      <c r="CZ125" s="19" t="str">
        <f>IF(DA125&lt;&gt;"",VLOOKUP($P125&amp;" | "&amp;CY$6,'Job Master'!$F$12:$J$102,3,0),"")</f>
        <v/>
      </c>
      <c r="DA125" s="19" t="str">
        <f>IFERROR(IF(AND(DH125&lt;&gt;"",VLOOKUP($P125&amp;" | "&amp;CY$6,'Job Master'!$F$12:$I$102,4,0)&lt;&gt;""),IF(WEEKDAY(DH125-VLOOKUP($P125&amp;" | "&amp;CY$6,'Job Master'!$F$12:$I$102,4,0))&lt;&gt;7,DH125-VLOOKUP($P125&amp;" | "&amp;CY$6,'Job Master'!$F$12:$I$102,4,0),DH125-VLOOKUP($P125&amp;" | "&amp;CY$6,'Job Master'!$F$12:$I$102,4,0)-1),""),"")</f>
        <v/>
      </c>
      <c r="DB125" s="73"/>
      <c r="DC125" s="123" t="str">
        <f t="shared" si="174"/>
        <v/>
      </c>
      <c r="DD125" s="123" t="str">
        <f t="shared" si="175"/>
        <v/>
      </c>
      <c r="DE125" s="97" t="str">
        <f t="shared" ca="1" si="176"/>
        <v/>
      </c>
      <c r="DF125" s="98" t="str">
        <f>IF(DH125&lt;&gt;"",VLOOKUP($P125&amp;" | "&amp;DF$6,'Job Master'!$F$12:$J$102,5,0),"")</f>
        <v/>
      </c>
      <c r="DG125" s="19" t="str">
        <f>IF(DH125&lt;&gt;"",VLOOKUP($P125&amp;" | "&amp;DF$6,'Job Master'!$F$12:$J$102,3,0),"")</f>
        <v/>
      </c>
      <c r="DH125" s="19" t="str">
        <f>IFERROR(IF(AND(DO125&lt;&gt;"",VLOOKUP($P125&amp;" | "&amp;DF$6,'Job Master'!$F$12:$I$102,4,0)&lt;&gt;""),IF(WEEKDAY(DO125-VLOOKUP($P125&amp;" | "&amp;DF$6,'Job Master'!$F$12:$I$102,4,0))&lt;&gt;7,DO125-VLOOKUP($P125&amp;" | "&amp;DF$6,'Job Master'!$F$12:$I$102,4,0),DO125-VLOOKUP($P125&amp;" | "&amp;DF$6,'Job Master'!$F$12:$I$102,4,0)-1),""),"")</f>
        <v/>
      </c>
      <c r="DI125" s="73"/>
      <c r="DJ125" s="123" t="str">
        <f t="shared" si="177"/>
        <v/>
      </c>
      <c r="DK125" s="123" t="str">
        <f t="shared" si="178"/>
        <v/>
      </c>
      <c r="DL125" s="97" t="str">
        <f t="shared" ca="1" si="179"/>
        <v/>
      </c>
      <c r="DM125" s="98" t="str">
        <f>IF(DO125&lt;&gt;"",VLOOKUP($P125&amp;" | "&amp;DM$6,'Job Master'!$F$12:$J$102,5,0),"")</f>
        <v/>
      </c>
      <c r="DN125" s="19" t="str">
        <f>IF(DO125&lt;&gt;"",VLOOKUP($P125&amp;" | "&amp;DM$6,'Job Master'!$F$12:$J$102,3,0),"")</f>
        <v/>
      </c>
      <c r="DO125" s="19" t="str">
        <f>IFERROR(IF(AND(DT125&lt;&gt;"",VLOOKUP($P125&amp;" | "&amp;DM$6,'Job Master'!$F$12:$I$102,4,0)&lt;&gt;""),IF(WEEKDAY(DT125-VLOOKUP($P125&amp;" | "&amp;DM$6,'Job Master'!$F$12:$I$102,4,0))&lt;&gt;7,DT125-VLOOKUP($P125&amp;" | "&amp;DM$6,'Job Master'!$F$12:$I$102,4,0),DT125-VLOOKUP($P125&amp;" | "&amp;DM$6,'Job Master'!$F$12:$I$102,4,0)-1),""),"")</f>
        <v/>
      </c>
      <c r="DP125" s="73"/>
      <c r="DQ125" s="123" t="str">
        <f t="shared" si="180"/>
        <v/>
      </c>
      <c r="DR125" s="123" t="str">
        <f t="shared" si="181"/>
        <v/>
      </c>
      <c r="DS125" s="97" t="str">
        <f t="shared" ca="1" si="182"/>
        <v/>
      </c>
      <c r="DT125" s="70" t="str">
        <f t="shared" si="183"/>
        <v/>
      </c>
      <c r="DU125" s="90"/>
      <c r="DV125" s="123" t="str">
        <f t="shared" si="184"/>
        <v/>
      </c>
      <c r="DW125" s="123" t="str">
        <f t="shared" si="185"/>
        <v/>
      </c>
      <c r="DX125" s="132" t="str">
        <f t="shared" ref="DX125" ca="1" si="248">IF(DT125&lt;&gt;"",IF(WEEKNUM(DT125)=WEEKNUM(TODAY()),"This Week",IF(WEEKNUM(DT125)=WEEKNUM(TODAY())+1,"Next Week",IF(WEEKNUM(DT125)=WEEKNUM(TODAY())-1,"Previous Week",""))),"")</f>
        <v/>
      </c>
      <c r="DY125" s="134" t="str">
        <f t="shared" si="187"/>
        <v/>
      </c>
      <c r="DZ125" s="95"/>
      <c r="EB125" s="8" t="str">
        <f t="shared" si="193"/>
        <v/>
      </c>
      <c r="EC125" s="8" t="str">
        <f>IF(O125&lt;&gt;"",VLOOKUP(O125,'Job Master'!$N$12:$O$18,2,0),"")</f>
        <v/>
      </c>
      <c r="ED125" s="8">
        <f t="shared" si="194"/>
        <v>19.5</v>
      </c>
      <c r="EE125" s="8">
        <f t="shared" si="195"/>
        <v>6</v>
      </c>
      <c r="EF125" s="8">
        <f t="shared" si="196"/>
        <v>-670.5</v>
      </c>
      <c r="EG125" s="8" t="str">
        <f t="shared" si="197"/>
        <v/>
      </c>
      <c r="EH125" s="8" t="str">
        <f t="shared" si="198"/>
        <v/>
      </c>
    </row>
    <row r="126" spans="2:138" x14ac:dyDescent="0.3">
      <c r="B126" s="112"/>
      <c r="C126" s="27"/>
      <c r="D126" s="7" t="str">
        <f t="shared" si="135"/>
        <v/>
      </c>
      <c r="E126" s="25"/>
      <c r="F126" s="7" t="str">
        <f t="shared" si="135"/>
        <v/>
      </c>
      <c r="G126" s="25"/>
      <c r="H126" s="7" t="str">
        <f t="shared" si="135"/>
        <v/>
      </c>
      <c r="I126" s="25"/>
      <c r="J126" s="7" t="str">
        <f t="shared" si="135"/>
        <v/>
      </c>
      <c r="K126" s="25"/>
      <c r="L126" s="7" t="str">
        <f t="shared" si="136"/>
        <v/>
      </c>
      <c r="M126" s="25"/>
      <c r="N126" s="7" t="str">
        <f t="shared" si="137"/>
        <v/>
      </c>
      <c r="O126" s="81"/>
      <c r="P126" s="81" t="str">
        <f t="shared" si="138"/>
        <v/>
      </c>
      <c r="Q126" s="81"/>
      <c r="R126" s="7" t="str">
        <f t="shared" si="139"/>
        <v/>
      </c>
      <c r="S126" s="25"/>
      <c r="T126" s="7" t="str">
        <f t="shared" si="140"/>
        <v/>
      </c>
      <c r="U126" s="25"/>
      <c r="V126" s="7" t="str">
        <f t="shared" si="141"/>
        <v/>
      </c>
      <c r="W126" s="25"/>
      <c r="X126" s="7" t="str">
        <f t="shared" si="142"/>
        <v/>
      </c>
      <c r="Y126" s="18" t="str">
        <f t="shared" si="143"/>
        <v/>
      </c>
      <c r="Z126" s="7" t="str">
        <f t="shared" si="144"/>
        <v/>
      </c>
      <c r="AA126" s="18" t="str">
        <f t="shared" si="145"/>
        <v/>
      </c>
      <c r="AB126" s="19" t="str">
        <f t="shared" si="146"/>
        <v/>
      </c>
      <c r="AC126" s="26"/>
      <c r="AD126" s="26"/>
      <c r="AE126" s="25"/>
      <c r="AF126" s="26"/>
      <c r="AG126" s="25"/>
      <c r="AH126" s="25"/>
      <c r="AI126" s="18" t="str">
        <f t="shared" si="209"/>
        <v/>
      </c>
      <c r="AJ126" s="25"/>
      <c r="AK126" s="18" t="str">
        <f t="shared" si="210"/>
        <v/>
      </c>
      <c r="AL126" s="79"/>
      <c r="AM126" s="126" t="str">
        <f t="shared" si="211"/>
        <v/>
      </c>
      <c r="AN126" s="128" t="str">
        <f>IF(AP126&lt;&gt;"",VLOOKUP($P126&amp;" | "&amp;AN$6,'Job Master'!$F$12:$J$102,5,0),"")</f>
        <v/>
      </c>
      <c r="AO126" s="19" t="str">
        <f>IF(AP126&lt;&gt;"",VLOOKUP($P126&amp;" | "&amp;AN$6,'Job Master'!$F$12:$J$102,3,0),"")</f>
        <v/>
      </c>
      <c r="AP126" s="19" t="str">
        <f>IFERROR(IF(AND(AW126&lt;&gt;"",VLOOKUP($P126&amp;" | "&amp;AN$6,'Job Master'!$F$12:$I$102,4,0)&lt;&gt;""),IF(WEEKDAY(AW126-VLOOKUP($P126&amp;" | "&amp;AN$6,'Job Master'!$F$12:$I$102,4,0))&lt;&gt;7,AW126-VLOOKUP($P126&amp;" | "&amp;AN$6,'Job Master'!$F$12:$I$102,4,0),AW126-VLOOKUP($P126&amp;" | "&amp;AN$6,'Job Master'!$F$12:$I$102,4,0)-1),""),"")</f>
        <v/>
      </c>
      <c r="AQ126" s="73"/>
      <c r="AR126" s="123" t="str">
        <f t="shared" si="147"/>
        <v/>
      </c>
      <c r="AS126" s="123" t="str">
        <f t="shared" si="148"/>
        <v/>
      </c>
      <c r="AT126" s="97" t="str">
        <f t="shared" ca="1" si="149"/>
        <v/>
      </c>
      <c r="AU126" s="98" t="str">
        <f>IF(AW126&lt;&gt;"",VLOOKUP($P126&amp;" | "&amp;AU$6,'Job Master'!$F$12:$J$102,5,0),"")</f>
        <v/>
      </c>
      <c r="AV126" s="19" t="str">
        <f>IF(AW126&lt;&gt;"",VLOOKUP($P126&amp;" | "&amp;AU$6,'Job Master'!$F$12:$J$102,3,0),"")</f>
        <v/>
      </c>
      <c r="AW126" s="19" t="str">
        <f>IFERROR(IF(AND(BD126&lt;&gt;"",VLOOKUP($P126&amp;" | "&amp;AU$6,'Job Master'!$F$12:$I$102,4,0)&lt;&gt;""),IF(WEEKDAY(BD126-VLOOKUP($P126&amp;" | "&amp;AU$6,'Job Master'!$F$12:$I$102,4,0))&lt;&gt;7,BD126-VLOOKUP($P126&amp;" | "&amp;AU$6,'Job Master'!$F$12:$I$102,4,0),BD126-VLOOKUP($P126&amp;" | "&amp;AU$6,'Job Master'!$F$12:$I$102,4,0)-1),""),"")</f>
        <v/>
      </c>
      <c r="AX126" s="73"/>
      <c r="AY126" s="123" t="str">
        <f t="shared" si="150"/>
        <v/>
      </c>
      <c r="AZ126" s="123" t="str">
        <f t="shared" si="151"/>
        <v/>
      </c>
      <c r="BA126" s="97" t="str">
        <f t="shared" ca="1" si="152"/>
        <v/>
      </c>
      <c r="BB126" s="98" t="str">
        <f>IF(BD126&lt;&gt;"",VLOOKUP($P126&amp;" | "&amp;BB$6,'Job Master'!$F$12:$J$102,5,0),"")</f>
        <v/>
      </c>
      <c r="BC126" s="19" t="str">
        <f>IF(BD126&lt;&gt;"",VLOOKUP($P126&amp;" | "&amp;BB$6,'Job Master'!$F$12:$J$102,3,0),"")</f>
        <v/>
      </c>
      <c r="BD126" s="19" t="str">
        <f>IFERROR(IF(AND(BK126&lt;&gt;"",VLOOKUP($P126&amp;" | "&amp;BB$6,'Job Master'!$F$12:$I$102,4,0)&lt;&gt;""),IF(WEEKDAY(BK126-VLOOKUP($P126&amp;" | "&amp;BB$6,'Job Master'!$F$12:$I$102,4,0))&lt;&gt;7,BK126-VLOOKUP($P126&amp;" | "&amp;BB$6,'Job Master'!$F$12:$I$102,4,0),BK126-VLOOKUP($P126&amp;" | "&amp;BB$6,'Job Master'!$F$12:$I$102,4,0)-1),""),"")</f>
        <v/>
      </c>
      <c r="BE126" s="73"/>
      <c r="BF126" s="123" t="str">
        <f t="shared" si="153"/>
        <v/>
      </c>
      <c r="BG126" s="123" t="str">
        <f t="shared" si="154"/>
        <v/>
      </c>
      <c r="BH126" s="97" t="str">
        <f t="shared" ca="1" si="155"/>
        <v/>
      </c>
      <c r="BI126" s="98" t="str">
        <f>IF(BK126&lt;&gt;"",VLOOKUP($P126&amp;" | "&amp;BI$6,'Job Master'!$F$12:$J$102,5,0),"")</f>
        <v/>
      </c>
      <c r="BJ126" s="19" t="str">
        <f>IF(BK126&lt;&gt;"",VLOOKUP($P126&amp;" | "&amp;BI$6,'Job Master'!$F$12:$J$102,3,0),"")</f>
        <v/>
      </c>
      <c r="BK126" s="19" t="str">
        <f>IFERROR(IF(AND(BR126&lt;&gt;"",VLOOKUP($P126&amp;" | "&amp;BI$6,'Job Master'!$F$12:$I$102,4,0)&lt;&gt;""),IF(WEEKDAY(BR126-VLOOKUP($P126&amp;" | "&amp;BI$6,'Job Master'!$F$12:$I$102,4,0))&lt;&gt;7,BR126-VLOOKUP($P126&amp;" | "&amp;BI$6,'Job Master'!$F$12:$I$102,4,0),BR126-VLOOKUP($P126&amp;" | "&amp;BI$6,'Job Master'!$F$12:$I$102,4,0)-1),""),"")</f>
        <v/>
      </c>
      <c r="BL126" s="73"/>
      <c r="BM126" s="123" t="str">
        <f t="shared" si="156"/>
        <v/>
      </c>
      <c r="BN126" s="123" t="str">
        <f t="shared" si="157"/>
        <v/>
      </c>
      <c r="BO126" s="97" t="str">
        <f t="shared" ca="1" si="158"/>
        <v/>
      </c>
      <c r="BP126" s="98" t="str">
        <f>IF(BR126&lt;&gt;"",VLOOKUP($P126&amp;" | "&amp;BP$6,'Job Master'!$F$12:$J$102,5,0),"")</f>
        <v/>
      </c>
      <c r="BQ126" s="19" t="str">
        <f>IF(BR126&lt;&gt;"",VLOOKUP($P126&amp;" | "&amp;BP$6,'Job Master'!$F$12:$J$102,3,0),"")</f>
        <v/>
      </c>
      <c r="BR126" s="19" t="str">
        <f>IFERROR(IF(AND(BY126&lt;&gt;"",VLOOKUP($P126&amp;" | "&amp;BP$6,'Job Master'!$F$12:$I$102,4,0)&lt;&gt;""),IF(WEEKDAY(BY126-VLOOKUP($P126&amp;" | "&amp;BP$6,'Job Master'!$F$12:$I$102,4,0))&lt;&gt;7,BY126-VLOOKUP($P126&amp;" | "&amp;BP$6,'Job Master'!$F$12:$I$102,4,0),BY126-VLOOKUP($P126&amp;" | "&amp;BP$6,'Job Master'!$F$12:$I$102,4,0)-1),""),"")</f>
        <v/>
      </c>
      <c r="BS126" s="73"/>
      <c r="BT126" s="123" t="str">
        <f t="shared" si="159"/>
        <v/>
      </c>
      <c r="BU126" s="123" t="str">
        <f t="shared" si="160"/>
        <v/>
      </c>
      <c r="BV126" s="97" t="str">
        <f t="shared" ca="1" si="161"/>
        <v/>
      </c>
      <c r="BW126" s="98" t="str">
        <f>IF(BY126&lt;&gt;"",VLOOKUP($P126&amp;" | "&amp;BW$6,'Job Master'!$F$12:$J$102,5,0),"")</f>
        <v/>
      </c>
      <c r="BX126" s="19" t="str">
        <f>IF(BY126&lt;&gt;"",VLOOKUP($P126&amp;" | "&amp;BW$6,'Job Master'!$F$12:$J$102,3,0),"")</f>
        <v/>
      </c>
      <c r="BY126" s="19" t="str">
        <f>IFERROR(IF(AND(CF126&lt;&gt;"",VLOOKUP($P126&amp;" | "&amp;BW$6,'Job Master'!$F$12:$I$102,4,0)&lt;&gt;""),IF(WEEKDAY(CF126-VLOOKUP($P126&amp;" | "&amp;BW$6,'Job Master'!$F$12:$I$102,4,0))&lt;&gt;7,CF126-VLOOKUP($P126&amp;" | "&amp;BW$6,'Job Master'!$F$12:$I$102,4,0),CF126-VLOOKUP($P126&amp;" | "&amp;BW$6,'Job Master'!$F$12:$I$102,4,0)-1),""),"")</f>
        <v/>
      </c>
      <c r="BZ126" s="73"/>
      <c r="CA126" s="123" t="str">
        <f t="shared" si="162"/>
        <v/>
      </c>
      <c r="CB126" s="123" t="str">
        <f t="shared" si="163"/>
        <v/>
      </c>
      <c r="CC126" s="97" t="str">
        <f t="shared" ca="1" si="164"/>
        <v/>
      </c>
      <c r="CD126" s="98" t="str">
        <f>IF(CF126&lt;&gt;"",VLOOKUP($P126&amp;" | "&amp;CD$6,'Job Master'!$F$12:$J$102,5,0),"")</f>
        <v/>
      </c>
      <c r="CE126" s="19" t="str">
        <f>IF(CF126&lt;&gt;"",VLOOKUP($P126&amp;" | "&amp;CD$6,'Job Master'!$F$12:$J$102,3,0),"")</f>
        <v/>
      </c>
      <c r="CF126" s="19" t="str">
        <f>IFERROR(IF(AND(CM126&lt;&gt;"",VLOOKUP($P126&amp;" | "&amp;CD$6,'Job Master'!$F$12:$I$102,4,0)&lt;&gt;""),IF(WEEKDAY(CM126-VLOOKUP($P126&amp;" | "&amp;CD$6,'Job Master'!$F$12:$I$102,4,0))&lt;&gt;7,CM126-VLOOKUP($P126&amp;" | "&amp;CD$6,'Job Master'!$F$12:$I$102,4,0),CM126-VLOOKUP($P126&amp;" | "&amp;CD$6,'Job Master'!$F$12:$I$102,4,0)-1),""),"")</f>
        <v/>
      </c>
      <c r="CG126" s="73"/>
      <c r="CH126" s="123" t="str">
        <f t="shared" si="165"/>
        <v/>
      </c>
      <c r="CI126" s="123" t="str">
        <f t="shared" si="166"/>
        <v/>
      </c>
      <c r="CJ126" s="97" t="str">
        <f t="shared" ca="1" si="167"/>
        <v/>
      </c>
      <c r="CK126" s="98" t="str">
        <f>IF(CM126&lt;&gt;"",VLOOKUP($P126&amp;" | "&amp;CK$6,'Job Master'!$F$12:$J$102,5,0),"")</f>
        <v/>
      </c>
      <c r="CL126" s="19" t="str">
        <f>IF(CM126&lt;&gt;"",VLOOKUP($P126&amp;" | "&amp;CK$6,'Job Master'!$F$12:$J$102,3,0),"")</f>
        <v/>
      </c>
      <c r="CM126" s="19" t="str">
        <f>IFERROR(IF(AND(CT126&lt;&gt;"",VLOOKUP($P126&amp;" | "&amp;CK$6,'Job Master'!$F$12:$I$102,4,0)&lt;&gt;""),IF(WEEKDAY(CT126-VLOOKUP($P126&amp;" | "&amp;CK$6,'Job Master'!$F$12:$I$102,4,0))&lt;&gt;7,CT126-VLOOKUP($P126&amp;" | "&amp;CK$6,'Job Master'!$F$12:$I$102,4,0),CT126-VLOOKUP($P126&amp;" | "&amp;CK$6,'Job Master'!$F$12:$I$102,4,0)-1),""),"")</f>
        <v/>
      </c>
      <c r="CN126" s="73"/>
      <c r="CO126" s="123" t="str">
        <f t="shared" si="168"/>
        <v/>
      </c>
      <c r="CP126" s="123" t="str">
        <f t="shared" si="169"/>
        <v/>
      </c>
      <c r="CQ126" s="97" t="str">
        <f t="shared" ca="1" si="170"/>
        <v/>
      </c>
      <c r="CR126" s="98" t="str">
        <f>IF(CT126&lt;&gt;"",VLOOKUP($P126&amp;" | "&amp;CR$6,'Job Master'!$F$12:$J$102,5,0),"")</f>
        <v/>
      </c>
      <c r="CS126" s="19" t="str">
        <f>IF(CT126&lt;&gt;"",VLOOKUP($P126&amp;" | "&amp;CR$6,'Job Master'!$F$12:$J$102,3,0),"")</f>
        <v/>
      </c>
      <c r="CT126" s="19" t="str">
        <f>IFERROR(IF(AND(DA126&lt;&gt;"",VLOOKUP($P126&amp;" | "&amp;CR$6,'Job Master'!$F$12:$I$102,4,0)&lt;&gt;""),IF(WEEKDAY(DA126-VLOOKUP($P126&amp;" | "&amp;CR$6,'Job Master'!$F$12:$I$102,4,0))&lt;&gt;7,DA126-VLOOKUP($P126&amp;" | "&amp;CR$6,'Job Master'!$F$12:$I$102,4,0),DA126-VLOOKUP($P126&amp;" | "&amp;CR$6,'Job Master'!$F$12:$I$102,4,0)-1),""),"")</f>
        <v/>
      </c>
      <c r="CU126" s="73"/>
      <c r="CV126" s="123" t="str">
        <f t="shared" si="171"/>
        <v/>
      </c>
      <c r="CW126" s="123" t="str">
        <f t="shared" si="172"/>
        <v/>
      </c>
      <c r="CX126" s="97" t="str">
        <f t="shared" ca="1" si="173"/>
        <v/>
      </c>
      <c r="CY126" s="98" t="str">
        <f>IF(DA126&lt;&gt;"",VLOOKUP($P126&amp;" | "&amp;CY$6,'Job Master'!$F$12:$J$102,5,0),"")</f>
        <v/>
      </c>
      <c r="CZ126" s="19" t="str">
        <f>IF(DA126&lt;&gt;"",VLOOKUP($P126&amp;" | "&amp;CY$6,'Job Master'!$F$12:$J$102,3,0),"")</f>
        <v/>
      </c>
      <c r="DA126" s="19" t="str">
        <f>IFERROR(IF(AND(DH126&lt;&gt;"",VLOOKUP($P126&amp;" | "&amp;CY$6,'Job Master'!$F$12:$I$102,4,0)&lt;&gt;""),IF(WEEKDAY(DH126-VLOOKUP($P126&amp;" | "&amp;CY$6,'Job Master'!$F$12:$I$102,4,0))&lt;&gt;7,DH126-VLOOKUP($P126&amp;" | "&amp;CY$6,'Job Master'!$F$12:$I$102,4,0),DH126-VLOOKUP($P126&amp;" | "&amp;CY$6,'Job Master'!$F$12:$I$102,4,0)-1),""),"")</f>
        <v/>
      </c>
      <c r="DB126" s="73"/>
      <c r="DC126" s="123" t="str">
        <f t="shared" si="174"/>
        <v/>
      </c>
      <c r="DD126" s="123" t="str">
        <f t="shared" si="175"/>
        <v/>
      </c>
      <c r="DE126" s="97" t="str">
        <f t="shared" ca="1" si="176"/>
        <v/>
      </c>
      <c r="DF126" s="98" t="str">
        <f>IF(DH126&lt;&gt;"",VLOOKUP($P126&amp;" | "&amp;DF$6,'Job Master'!$F$12:$J$102,5,0),"")</f>
        <v/>
      </c>
      <c r="DG126" s="19" t="str">
        <f>IF(DH126&lt;&gt;"",VLOOKUP($P126&amp;" | "&amp;DF$6,'Job Master'!$F$12:$J$102,3,0),"")</f>
        <v/>
      </c>
      <c r="DH126" s="19" t="str">
        <f>IFERROR(IF(AND(DO126&lt;&gt;"",VLOOKUP($P126&amp;" | "&amp;DF$6,'Job Master'!$F$12:$I$102,4,0)&lt;&gt;""),IF(WEEKDAY(DO126-VLOOKUP($P126&amp;" | "&amp;DF$6,'Job Master'!$F$12:$I$102,4,0))&lt;&gt;7,DO126-VLOOKUP($P126&amp;" | "&amp;DF$6,'Job Master'!$F$12:$I$102,4,0),DO126-VLOOKUP($P126&amp;" | "&amp;DF$6,'Job Master'!$F$12:$I$102,4,0)-1),""),"")</f>
        <v/>
      </c>
      <c r="DI126" s="73"/>
      <c r="DJ126" s="123" t="str">
        <f t="shared" si="177"/>
        <v/>
      </c>
      <c r="DK126" s="123" t="str">
        <f t="shared" si="178"/>
        <v/>
      </c>
      <c r="DL126" s="97" t="str">
        <f t="shared" ca="1" si="179"/>
        <v/>
      </c>
      <c r="DM126" s="98" t="str">
        <f>IF(DO126&lt;&gt;"",VLOOKUP($P126&amp;" | "&amp;DM$6,'Job Master'!$F$12:$J$102,5,0),"")</f>
        <v/>
      </c>
      <c r="DN126" s="19" t="str">
        <f>IF(DO126&lt;&gt;"",VLOOKUP($P126&amp;" | "&amp;DM$6,'Job Master'!$F$12:$J$102,3,0),"")</f>
        <v/>
      </c>
      <c r="DO126" s="19" t="str">
        <f>IFERROR(IF(AND(DT126&lt;&gt;"",VLOOKUP($P126&amp;" | "&amp;DM$6,'Job Master'!$F$12:$I$102,4,0)&lt;&gt;""),IF(WEEKDAY(DT126-VLOOKUP($P126&amp;" | "&amp;DM$6,'Job Master'!$F$12:$I$102,4,0))&lt;&gt;7,DT126-VLOOKUP($P126&amp;" | "&amp;DM$6,'Job Master'!$F$12:$I$102,4,0),DT126-VLOOKUP($P126&amp;" | "&amp;DM$6,'Job Master'!$F$12:$I$102,4,0)-1),""),"")</f>
        <v/>
      </c>
      <c r="DP126" s="73"/>
      <c r="DQ126" s="123" t="str">
        <f t="shared" si="180"/>
        <v/>
      </c>
      <c r="DR126" s="123" t="str">
        <f t="shared" si="181"/>
        <v/>
      </c>
      <c r="DS126" s="97" t="str">
        <f t="shared" ca="1" si="182"/>
        <v/>
      </c>
      <c r="DT126" s="70" t="str">
        <f t="shared" si="183"/>
        <v/>
      </c>
      <c r="DU126" s="90"/>
      <c r="DV126" s="123" t="str">
        <f t="shared" si="184"/>
        <v/>
      </c>
      <c r="DW126" s="123" t="str">
        <f t="shared" si="185"/>
        <v/>
      </c>
      <c r="DX126" s="132" t="str">
        <f t="shared" ref="DX126" ca="1" si="249">IF(DT126&lt;&gt;"",IF(WEEKNUM(DT126)=WEEKNUM(TODAY()),"This Week",IF(WEEKNUM(DT126)=WEEKNUM(TODAY())+1,"Next Week",IF(WEEKNUM(DT126)=WEEKNUM(TODAY())-1,"Previous Week",""))),"")</f>
        <v/>
      </c>
      <c r="DY126" s="134" t="str">
        <f t="shared" si="187"/>
        <v/>
      </c>
      <c r="DZ126" s="95"/>
      <c r="EB126" s="8" t="str">
        <f t="shared" si="193"/>
        <v/>
      </c>
      <c r="EC126" s="8" t="str">
        <f>IF(O126&lt;&gt;"",VLOOKUP(O126,'Job Master'!$N$12:$O$18,2,0),"")</f>
        <v/>
      </c>
      <c r="ED126" s="8">
        <f t="shared" si="194"/>
        <v>19.5</v>
      </c>
      <c r="EE126" s="8">
        <f t="shared" si="195"/>
        <v>6</v>
      </c>
      <c r="EF126" s="8">
        <f t="shared" si="196"/>
        <v>-676.5</v>
      </c>
      <c r="EG126" s="8" t="str">
        <f t="shared" si="197"/>
        <v/>
      </c>
      <c r="EH126" s="8" t="str">
        <f t="shared" si="198"/>
        <v/>
      </c>
    </row>
    <row r="127" spans="2:138" x14ac:dyDescent="0.3">
      <c r="B127" s="112"/>
      <c r="C127" s="27"/>
      <c r="D127" s="7" t="str">
        <f t="shared" si="135"/>
        <v/>
      </c>
      <c r="E127" s="25"/>
      <c r="F127" s="7" t="str">
        <f t="shared" si="135"/>
        <v/>
      </c>
      <c r="G127" s="25"/>
      <c r="H127" s="7" t="str">
        <f t="shared" si="135"/>
        <v/>
      </c>
      <c r="I127" s="25"/>
      <c r="J127" s="7" t="str">
        <f t="shared" si="135"/>
        <v/>
      </c>
      <c r="K127" s="25"/>
      <c r="L127" s="7" t="str">
        <f t="shared" si="136"/>
        <v/>
      </c>
      <c r="M127" s="25"/>
      <c r="N127" s="7" t="str">
        <f t="shared" si="137"/>
        <v/>
      </c>
      <c r="O127" s="81"/>
      <c r="P127" s="81" t="str">
        <f t="shared" si="138"/>
        <v/>
      </c>
      <c r="Q127" s="81"/>
      <c r="R127" s="7" t="str">
        <f t="shared" si="139"/>
        <v/>
      </c>
      <c r="S127" s="25"/>
      <c r="T127" s="7" t="str">
        <f t="shared" si="140"/>
        <v/>
      </c>
      <c r="U127" s="25"/>
      <c r="V127" s="7" t="str">
        <f t="shared" si="141"/>
        <v/>
      </c>
      <c r="W127" s="25"/>
      <c r="X127" s="7" t="str">
        <f t="shared" si="142"/>
        <v/>
      </c>
      <c r="Y127" s="18" t="str">
        <f t="shared" si="143"/>
        <v/>
      </c>
      <c r="Z127" s="7" t="str">
        <f t="shared" si="144"/>
        <v/>
      </c>
      <c r="AA127" s="18" t="str">
        <f t="shared" si="145"/>
        <v/>
      </c>
      <c r="AB127" s="19" t="str">
        <f t="shared" si="146"/>
        <v/>
      </c>
      <c r="AC127" s="26"/>
      <c r="AD127" s="26"/>
      <c r="AE127" s="25"/>
      <c r="AF127" s="26"/>
      <c r="AG127" s="25"/>
      <c r="AH127" s="25"/>
      <c r="AI127" s="18" t="str">
        <f t="shared" si="209"/>
        <v/>
      </c>
      <c r="AJ127" s="25"/>
      <c r="AK127" s="18" t="str">
        <f t="shared" si="210"/>
        <v/>
      </c>
      <c r="AL127" s="79"/>
      <c r="AM127" s="126" t="str">
        <f t="shared" si="211"/>
        <v/>
      </c>
      <c r="AN127" s="128" t="str">
        <f>IF(AP127&lt;&gt;"",VLOOKUP($P127&amp;" | "&amp;AN$6,'Job Master'!$F$12:$J$102,5,0),"")</f>
        <v/>
      </c>
      <c r="AO127" s="19" t="str">
        <f>IF(AP127&lt;&gt;"",VLOOKUP($P127&amp;" | "&amp;AN$6,'Job Master'!$F$12:$J$102,3,0),"")</f>
        <v/>
      </c>
      <c r="AP127" s="19" t="str">
        <f>IFERROR(IF(AND(AW127&lt;&gt;"",VLOOKUP($P127&amp;" | "&amp;AN$6,'Job Master'!$F$12:$I$102,4,0)&lt;&gt;""),IF(WEEKDAY(AW127-VLOOKUP($P127&amp;" | "&amp;AN$6,'Job Master'!$F$12:$I$102,4,0))&lt;&gt;7,AW127-VLOOKUP($P127&amp;" | "&amp;AN$6,'Job Master'!$F$12:$I$102,4,0),AW127-VLOOKUP($P127&amp;" | "&amp;AN$6,'Job Master'!$F$12:$I$102,4,0)-1),""),"")</f>
        <v/>
      </c>
      <c r="AQ127" s="73"/>
      <c r="AR127" s="123" t="str">
        <f t="shared" si="147"/>
        <v/>
      </c>
      <c r="AS127" s="123" t="str">
        <f t="shared" si="148"/>
        <v/>
      </c>
      <c r="AT127" s="97" t="str">
        <f t="shared" ca="1" si="149"/>
        <v/>
      </c>
      <c r="AU127" s="98" t="str">
        <f>IF(AW127&lt;&gt;"",VLOOKUP($P127&amp;" | "&amp;AU$6,'Job Master'!$F$12:$J$102,5,0),"")</f>
        <v/>
      </c>
      <c r="AV127" s="19" t="str">
        <f>IF(AW127&lt;&gt;"",VLOOKUP($P127&amp;" | "&amp;AU$6,'Job Master'!$F$12:$J$102,3,0),"")</f>
        <v/>
      </c>
      <c r="AW127" s="19" t="str">
        <f>IFERROR(IF(AND(BD127&lt;&gt;"",VLOOKUP($P127&amp;" | "&amp;AU$6,'Job Master'!$F$12:$I$102,4,0)&lt;&gt;""),IF(WEEKDAY(BD127-VLOOKUP($P127&amp;" | "&amp;AU$6,'Job Master'!$F$12:$I$102,4,0))&lt;&gt;7,BD127-VLOOKUP($P127&amp;" | "&amp;AU$6,'Job Master'!$F$12:$I$102,4,0),BD127-VLOOKUP($P127&amp;" | "&amp;AU$6,'Job Master'!$F$12:$I$102,4,0)-1),""),"")</f>
        <v/>
      </c>
      <c r="AX127" s="73"/>
      <c r="AY127" s="123" t="str">
        <f t="shared" si="150"/>
        <v/>
      </c>
      <c r="AZ127" s="123" t="str">
        <f t="shared" si="151"/>
        <v/>
      </c>
      <c r="BA127" s="97" t="str">
        <f t="shared" ca="1" si="152"/>
        <v/>
      </c>
      <c r="BB127" s="98" t="str">
        <f>IF(BD127&lt;&gt;"",VLOOKUP($P127&amp;" | "&amp;BB$6,'Job Master'!$F$12:$J$102,5,0),"")</f>
        <v/>
      </c>
      <c r="BC127" s="19" t="str">
        <f>IF(BD127&lt;&gt;"",VLOOKUP($P127&amp;" | "&amp;BB$6,'Job Master'!$F$12:$J$102,3,0),"")</f>
        <v/>
      </c>
      <c r="BD127" s="19" t="str">
        <f>IFERROR(IF(AND(BK127&lt;&gt;"",VLOOKUP($P127&amp;" | "&amp;BB$6,'Job Master'!$F$12:$I$102,4,0)&lt;&gt;""),IF(WEEKDAY(BK127-VLOOKUP($P127&amp;" | "&amp;BB$6,'Job Master'!$F$12:$I$102,4,0))&lt;&gt;7,BK127-VLOOKUP($P127&amp;" | "&amp;BB$6,'Job Master'!$F$12:$I$102,4,0),BK127-VLOOKUP($P127&amp;" | "&amp;BB$6,'Job Master'!$F$12:$I$102,4,0)-1),""),"")</f>
        <v/>
      </c>
      <c r="BE127" s="73"/>
      <c r="BF127" s="123" t="str">
        <f t="shared" si="153"/>
        <v/>
      </c>
      <c r="BG127" s="123" t="str">
        <f t="shared" si="154"/>
        <v/>
      </c>
      <c r="BH127" s="97" t="str">
        <f t="shared" ca="1" si="155"/>
        <v/>
      </c>
      <c r="BI127" s="98" t="str">
        <f>IF(BK127&lt;&gt;"",VLOOKUP($P127&amp;" | "&amp;BI$6,'Job Master'!$F$12:$J$102,5,0),"")</f>
        <v/>
      </c>
      <c r="BJ127" s="19" t="str">
        <f>IF(BK127&lt;&gt;"",VLOOKUP($P127&amp;" | "&amp;BI$6,'Job Master'!$F$12:$J$102,3,0),"")</f>
        <v/>
      </c>
      <c r="BK127" s="19" t="str">
        <f>IFERROR(IF(AND(BR127&lt;&gt;"",VLOOKUP($P127&amp;" | "&amp;BI$6,'Job Master'!$F$12:$I$102,4,0)&lt;&gt;""),IF(WEEKDAY(BR127-VLOOKUP($P127&amp;" | "&amp;BI$6,'Job Master'!$F$12:$I$102,4,0))&lt;&gt;7,BR127-VLOOKUP($P127&amp;" | "&amp;BI$6,'Job Master'!$F$12:$I$102,4,0),BR127-VLOOKUP($P127&amp;" | "&amp;BI$6,'Job Master'!$F$12:$I$102,4,0)-1),""),"")</f>
        <v/>
      </c>
      <c r="BL127" s="73"/>
      <c r="BM127" s="123" t="str">
        <f t="shared" si="156"/>
        <v/>
      </c>
      <c r="BN127" s="123" t="str">
        <f t="shared" si="157"/>
        <v/>
      </c>
      <c r="BO127" s="97" t="str">
        <f t="shared" ca="1" si="158"/>
        <v/>
      </c>
      <c r="BP127" s="98" t="str">
        <f>IF(BR127&lt;&gt;"",VLOOKUP($P127&amp;" | "&amp;BP$6,'Job Master'!$F$12:$J$102,5,0),"")</f>
        <v/>
      </c>
      <c r="BQ127" s="19" t="str">
        <f>IF(BR127&lt;&gt;"",VLOOKUP($P127&amp;" | "&amp;BP$6,'Job Master'!$F$12:$J$102,3,0),"")</f>
        <v/>
      </c>
      <c r="BR127" s="19" t="str">
        <f>IFERROR(IF(AND(BY127&lt;&gt;"",VLOOKUP($P127&amp;" | "&amp;BP$6,'Job Master'!$F$12:$I$102,4,0)&lt;&gt;""),IF(WEEKDAY(BY127-VLOOKUP($P127&amp;" | "&amp;BP$6,'Job Master'!$F$12:$I$102,4,0))&lt;&gt;7,BY127-VLOOKUP($P127&amp;" | "&amp;BP$6,'Job Master'!$F$12:$I$102,4,0),BY127-VLOOKUP($P127&amp;" | "&amp;BP$6,'Job Master'!$F$12:$I$102,4,0)-1),""),"")</f>
        <v/>
      </c>
      <c r="BS127" s="73"/>
      <c r="BT127" s="123" t="str">
        <f t="shared" si="159"/>
        <v/>
      </c>
      <c r="BU127" s="123" t="str">
        <f t="shared" si="160"/>
        <v/>
      </c>
      <c r="BV127" s="97" t="str">
        <f t="shared" ca="1" si="161"/>
        <v/>
      </c>
      <c r="BW127" s="98" t="str">
        <f>IF(BY127&lt;&gt;"",VLOOKUP($P127&amp;" | "&amp;BW$6,'Job Master'!$F$12:$J$102,5,0),"")</f>
        <v/>
      </c>
      <c r="BX127" s="19" t="str">
        <f>IF(BY127&lt;&gt;"",VLOOKUP($P127&amp;" | "&amp;BW$6,'Job Master'!$F$12:$J$102,3,0),"")</f>
        <v/>
      </c>
      <c r="BY127" s="19" t="str">
        <f>IFERROR(IF(AND(CF127&lt;&gt;"",VLOOKUP($P127&amp;" | "&amp;BW$6,'Job Master'!$F$12:$I$102,4,0)&lt;&gt;""),IF(WEEKDAY(CF127-VLOOKUP($P127&amp;" | "&amp;BW$6,'Job Master'!$F$12:$I$102,4,0))&lt;&gt;7,CF127-VLOOKUP($P127&amp;" | "&amp;BW$6,'Job Master'!$F$12:$I$102,4,0),CF127-VLOOKUP($P127&amp;" | "&amp;BW$6,'Job Master'!$F$12:$I$102,4,0)-1),""),"")</f>
        <v/>
      </c>
      <c r="BZ127" s="73"/>
      <c r="CA127" s="123" t="str">
        <f t="shared" si="162"/>
        <v/>
      </c>
      <c r="CB127" s="123" t="str">
        <f t="shared" si="163"/>
        <v/>
      </c>
      <c r="CC127" s="97" t="str">
        <f t="shared" ca="1" si="164"/>
        <v/>
      </c>
      <c r="CD127" s="98" t="str">
        <f>IF(CF127&lt;&gt;"",VLOOKUP($P127&amp;" | "&amp;CD$6,'Job Master'!$F$12:$J$102,5,0),"")</f>
        <v/>
      </c>
      <c r="CE127" s="19" t="str">
        <f>IF(CF127&lt;&gt;"",VLOOKUP($P127&amp;" | "&amp;CD$6,'Job Master'!$F$12:$J$102,3,0),"")</f>
        <v/>
      </c>
      <c r="CF127" s="19" t="str">
        <f>IFERROR(IF(AND(CM127&lt;&gt;"",VLOOKUP($P127&amp;" | "&amp;CD$6,'Job Master'!$F$12:$I$102,4,0)&lt;&gt;""),IF(WEEKDAY(CM127-VLOOKUP($P127&amp;" | "&amp;CD$6,'Job Master'!$F$12:$I$102,4,0))&lt;&gt;7,CM127-VLOOKUP($P127&amp;" | "&amp;CD$6,'Job Master'!$F$12:$I$102,4,0),CM127-VLOOKUP($P127&amp;" | "&amp;CD$6,'Job Master'!$F$12:$I$102,4,0)-1),""),"")</f>
        <v/>
      </c>
      <c r="CG127" s="73"/>
      <c r="CH127" s="123" t="str">
        <f t="shared" si="165"/>
        <v/>
      </c>
      <c r="CI127" s="123" t="str">
        <f t="shared" si="166"/>
        <v/>
      </c>
      <c r="CJ127" s="97" t="str">
        <f t="shared" ca="1" si="167"/>
        <v/>
      </c>
      <c r="CK127" s="98" t="str">
        <f>IF(CM127&lt;&gt;"",VLOOKUP($P127&amp;" | "&amp;CK$6,'Job Master'!$F$12:$J$102,5,0),"")</f>
        <v/>
      </c>
      <c r="CL127" s="19" t="str">
        <f>IF(CM127&lt;&gt;"",VLOOKUP($P127&amp;" | "&amp;CK$6,'Job Master'!$F$12:$J$102,3,0),"")</f>
        <v/>
      </c>
      <c r="CM127" s="19" t="str">
        <f>IFERROR(IF(AND(CT127&lt;&gt;"",VLOOKUP($P127&amp;" | "&amp;CK$6,'Job Master'!$F$12:$I$102,4,0)&lt;&gt;""),IF(WEEKDAY(CT127-VLOOKUP($P127&amp;" | "&amp;CK$6,'Job Master'!$F$12:$I$102,4,0))&lt;&gt;7,CT127-VLOOKUP($P127&amp;" | "&amp;CK$6,'Job Master'!$F$12:$I$102,4,0),CT127-VLOOKUP($P127&amp;" | "&amp;CK$6,'Job Master'!$F$12:$I$102,4,0)-1),""),"")</f>
        <v/>
      </c>
      <c r="CN127" s="73"/>
      <c r="CO127" s="123" t="str">
        <f t="shared" si="168"/>
        <v/>
      </c>
      <c r="CP127" s="123" t="str">
        <f t="shared" si="169"/>
        <v/>
      </c>
      <c r="CQ127" s="97" t="str">
        <f t="shared" ca="1" si="170"/>
        <v/>
      </c>
      <c r="CR127" s="98" t="str">
        <f>IF(CT127&lt;&gt;"",VLOOKUP($P127&amp;" | "&amp;CR$6,'Job Master'!$F$12:$J$102,5,0),"")</f>
        <v/>
      </c>
      <c r="CS127" s="19" t="str">
        <f>IF(CT127&lt;&gt;"",VLOOKUP($P127&amp;" | "&amp;CR$6,'Job Master'!$F$12:$J$102,3,0),"")</f>
        <v/>
      </c>
      <c r="CT127" s="19" t="str">
        <f>IFERROR(IF(AND(DA127&lt;&gt;"",VLOOKUP($P127&amp;" | "&amp;CR$6,'Job Master'!$F$12:$I$102,4,0)&lt;&gt;""),IF(WEEKDAY(DA127-VLOOKUP($P127&amp;" | "&amp;CR$6,'Job Master'!$F$12:$I$102,4,0))&lt;&gt;7,DA127-VLOOKUP($P127&amp;" | "&amp;CR$6,'Job Master'!$F$12:$I$102,4,0),DA127-VLOOKUP($P127&amp;" | "&amp;CR$6,'Job Master'!$F$12:$I$102,4,0)-1),""),"")</f>
        <v/>
      </c>
      <c r="CU127" s="73"/>
      <c r="CV127" s="123" t="str">
        <f t="shared" si="171"/>
        <v/>
      </c>
      <c r="CW127" s="123" t="str">
        <f t="shared" si="172"/>
        <v/>
      </c>
      <c r="CX127" s="97" t="str">
        <f t="shared" ca="1" si="173"/>
        <v/>
      </c>
      <c r="CY127" s="98" t="str">
        <f>IF(DA127&lt;&gt;"",VLOOKUP($P127&amp;" | "&amp;CY$6,'Job Master'!$F$12:$J$102,5,0),"")</f>
        <v/>
      </c>
      <c r="CZ127" s="19" t="str">
        <f>IF(DA127&lt;&gt;"",VLOOKUP($P127&amp;" | "&amp;CY$6,'Job Master'!$F$12:$J$102,3,0),"")</f>
        <v/>
      </c>
      <c r="DA127" s="19" t="str">
        <f>IFERROR(IF(AND(DH127&lt;&gt;"",VLOOKUP($P127&amp;" | "&amp;CY$6,'Job Master'!$F$12:$I$102,4,0)&lt;&gt;""),IF(WEEKDAY(DH127-VLOOKUP($P127&amp;" | "&amp;CY$6,'Job Master'!$F$12:$I$102,4,0))&lt;&gt;7,DH127-VLOOKUP($P127&amp;" | "&amp;CY$6,'Job Master'!$F$12:$I$102,4,0),DH127-VLOOKUP($P127&amp;" | "&amp;CY$6,'Job Master'!$F$12:$I$102,4,0)-1),""),"")</f>
        <v/>
      </c>
      <c r="DB127" s="73"/>
      <c r="DC127" s="123" t="str">
        <f t="shared" si="174"/>
        <v/>
      </c>
      <c r="DD127" s="123" t="str">
        <f t="shared" si="175"/>
        <v/>
      </c>
      <c r="DE127" s="97" t="str">
        <f t="shared" ca="1" si="176"/>
        <v/>
      </c>
      <c r="DF127" s="98" t="str">
        <f>IF(DH127&lt;&gt;"",VLOOKUP($P127&amp;" | "&amp;DF$6,'Job Master'!$F$12:$J$102,5,0),"")</f>
        <v/>
      </c>
      <c r="DG127" s="19" t="str">
        <f>IF(DH127&lt;&gt;"",VLOOKUP($P127&amp;" | "&amp;DF$6,'Job Master'!$F$12:$J$102,3,0),"")</f>
        <v/>
      </c>
      <c r="DH127" s="19" t="str">
        <f>IFERROR(IF(AND(DO127&lt;&gt;"",VLOOKUP($P127&amp;" | "&amp;DF$6,'Job Master'!$F$12:$I$102,4,0)&lt;&gt;""),IF(WEEKDAY(DO127-VLOOKUP($P127&amp;" | "&amp;DF$6,'Job Master'!$F$12:$I$102,4,0))&lt;&gt;7,DO127-VLOOKUP($P127&amp;" | "&amp;DF$6,'Job Master'!$F$12:$I$102,4,0),DO127-VLOOKUP($P127&amp;" | "&amp;DF$6,'Job Master'!$F$12:$I$102,4,0)-1),""),"")</f>
        <v/>
      </c>
      <c r="DI127" s="73"/>
      <c r="DJ127" s="123" t="str">
        <f t="shared" si="177"/>
        <v/>
      </c>
      <c r="DK127" s="123" t="str">
        <f t="shared" si="178"/>
        <v/>
      </c>
      <c r="DL127" s="97" t="str">
        <f t="shared" ca="1" si="179"/>
        <v/>
      </c>
      <c r="DM127" s="98" t="str">
        <f>IF(DO127&lt;&gt;"",VLOOKUP($P127&amp;" | "&amp;DM$6,'Job Master'!$F$12:$J$102,5,0),"")</f>
        <v/>
      </c>
      <c r="DN127" s="19" t="str">
        <f>IF(DO127&lt;&gt;"",VLOOKUP($P127&amp;" | "&amp;DM$6,'Job Master'!$F$12:$J$102,3,0),"")</f>
        <v/>
      </c>
      <c r="DO127" s="19" t="str">
        <f>IFERROR(IF(AND(DT127&lt;&gt;"",VLOOKUP($P127&amp;" | "&amp;DM$6,'Job Master'!$F$12:$I$102,4,0)&lt;&gt;""),IF(WEEKDAY(DT127-VLOOKUP($P127&amp;" | "&amp;DM$6,'Job Master'!$F$12:$I$102,4,0))&lt;&gt;7,DT127-VLOOKUP($P127&amp;" | "&amp;DM$6,'Job Master'!$F$12:$I$102,4,0),DT127-VLOOKUP($P127&amp;" | "&amp;DM$6,'Job Master'!$F$12:$I$102,4,0)-1),""),"")</f>
        <v/>
      </c>
      <c r="DP127" s="73"/>
      <c r="DQ127" s="123" t="str">
        <f t="shared" si="180"/>
        <v/>
      </c>
      <c r="DR127" s="123" t="str">
        <f t="shared" si="181"/>
        <v/>
      </c>
      <c r="DS127" s="97" t="str">
        <f t="shared" ca="1" si="182"/>
        <v/>
      </c>
      <c r="DT127" s="70" t="str">
        <f t="shared" si="183"/>
        <v/>
      </c>
      <c r="DU127" s="90"/>
      <c r="DV127" s="123" t="str">
        <f t="shared" si="184"/>
        <v/>
      </c>
      <c r="DW127" s="123" t="str">
        <f t="shared" si="185"/>
        <v/>
      </c>
      <c r="DX127" s="132" t="str">
        <f t="shared" ref="DX127" ca="1" si="250">IF(DT127&lt;&gt;"",IF(WEEKNUM(DT127)=WEEKNUM(TODAY()),"This Week",IF(WEEKNUM(DT127)=WEEKNUM(TODAY())+1,"Next Week",IF(WEEKNUM(DT127)=WEEKNUM(TODAY())-1,"Previous Week",""))),"")</f>
        <v/>
      </c>
      <c r="DY127" s="134" t="str">
        <f t="shared" si="187"/>
        <v/>
      </c>
      <c r="DZ127" s="95"/>
      <c r="EB127" s="8" t="str">
        <f t="shared" si="193"/>
        <v/>
      </c>
      <c r="EC127" s="8" t="str">
        <f>IF(O127&lt;&gt;"",VLOOKUP(O127,'Job Master'!$N$12:$O$18,2,0),"")</f>
        <v/>
      </c>
      <c r="ED127" s="8">
        <f t="shared" si="194"/>
        <v>19.5</v>
      </c>
      <c r="EE127" s="8">
        <f t="shared" si="195"/>
        <v>6</v>
      </c>
      <c r="EF127" s="8">
        <f t="shared" si="196"/>
        <v>-682.5</v>
      </c>
      <c r="EG127" s="8" t="str">
        <f t="shared" si="197"/>
        <v/>
      </c>
      <c r="EH127" s="8" t="str">
        <f t="shared" si="198"/>
        <v/>
      </c>
    </row>
    <row r="128" spans="2:138" x14ac:dyDescent="0.3">
      <c r="B128" s="112"/>
      <c r="C128" s="27"/>
      <c r="D128" s="7" t="str">
        <f t="shared" si="135"/>
        <v/>
      </c>
      <c r="E128" s="25"/>
      <c r="F128" s="7" t="str">
        <f t="shared" si="135"/>
        <v/>
      </c>
      <c r="G128" s="25"/>
      <c r="H128" s="7" t="str">
        <f t="shared" si="135"/>
        <v/>
      </c>
      <c r="I128" s="25"/>
      <c r="J128" s="7" t="str">
        <f t="shared" si="135"/>
        <v/>
      </c>
      <c r="K128" s="25"/>
      <c r="L128" s="7" t="str">
        <f t="shared" si="136"/>
        <v/>
      </c>
      <c r="M128" s="25"/>
      <c r="N128" s="7" t="str">
        <f t="shared" si="137"/>
        <v/>
      </c>
      <c r="O128" s="81"/>
      <c r="P128" s="81" t="str">
        <f t="shared" si="138"/>
        <v/>
      </c>
      <c r="Q128" s="81"/>
      <c r="R128" s="7" t="str">
        <f t="shared" si="139"/>
        <v/>
      </c>
      <c r="S128" s="25"/>
      <c r="T128" s="7" t="str">
        <f t="shared" si="140"/>
        <v/>
      </c>
      <c r="U128" s="25"/>
      <c r="V128" s="7" t="str">
        <f t="shared" si="141"/>
        <v/>
      </c>
      <c r="W128" s="25"/>
      <c r="X128" s="7" t="str">
        <f t="shared" si="142"/>
        <v/>
      </c>
      <c r="Y128" s="18" t="str">
        <f t="shared" si="143"/>
        <v/>
      </c>
      <c r="Z128" s="7" t="str">
        <f t="shared" si="144"/>
        <v/>
      </c>
      <c r="AA128" s="18" t="str">
        <f t="shared" si="145"/>
        <v/>
      </c>
      <c r="AB128" s="19" t="str">
        <f t="shared" si="146"/>
        <v/>
      </c>
      <c r="AC128" s="26"/>
      <c r="AD128" s="26"/>
      <c r="AE128" s="25"/>
      <c r="AF128" s="26"/>
      <c r="AG128" s="25"/>
      <c r="AH128" s="25"/>
      <c r="AI128" s="18" t="str">
        <f t="shared" si="209"/>
        <v/>
      </c>
      <c r="AJ128" s="25"/>
      <c r="AK128" s="18" t="str">
        <f t="shared" si="210"/>
        <v/>
      </c>
      <c r="AL128" s="79"/>
      <c r="AM128" s="126" t="str">
        <f t="shared" si="211"/>
        <v/>
      </c>
      <c r="AN128" s="128" t="str">
        <f>IF(AP128&lt;&gt;"",VLOOKUP($P128&amp;" | "&amp;AN$6,'Job Master'!$F$12:$J$102,5,0),"")</f>
        <v/>
      </c>
      <c r="AO128" s="19" t="str">
        <f>IF(AP128&lt;&gt;"",VLOOKUP($P128&amp;" | "&amp;AN$6,'Job Master'!$F$12:$J$102,3,0),"")</f>
        <v/>
      </c>
      <c r="AP128" s="19" t="str">
        <f>IFERROR(IF(AND(AW128&lt;&gt;"",VLOOKUP($P128&amp;" | "&amp;AN$6,'Job Master'!$F$12:$I$102,4,0)&lt;&gt;""),IF(WEEKDAY(AW128-VLOOKUP($P128&amp;" | "&amp;AN$6,'Job Master'!$F$12:$I$102,4,0))&lt;&gt;7,AW128-VLOOKUP($P128&amp;" | "&amp;AN$6,'Job Master'!$F$12:$I$102,4,0),AW128-VLOOKUP($P128&amp;" | "&amp;AN$6,'Job Master'!$F$12:$I$102,4,0)-1),""),"")</f>
        <v/>
      </c>
      <c r="AQ128" s="73"/>
      <c r="AR128" s="123" t="str">
        <f t="shared" si="147"/>
        <v/>
      </c>
      <c r="AS128" s="123" t="str">
        <f t="shared" si="148"/>
        <v/>
      </c>
      <c r="AT128" s="97" t="str">
        <f t="shared" ca="1" si="149"/>
        <v/>
      </c>
      <c r="AU128" s="98" t="str">
        <f>IF(AW128&lt;&gt;"",VLOOKUP($P128&amp;" | "&amp;AU$6,'Job Master'!$F$12:$J$102,5,0),"")</f>
        <v/>
      </c>
      <c r="AV128" s="19" t="str">
        <f>IF(AW128&lt;&gt;"",VLOOKUP($P128&amp;" | "&amp;AU$6,'Job Master'!$F$12:$J$102,3,0),"")</f>
        <v/>
      </c>
      <c r="AW128" s="19" t="str">
        <f>IFERROR(IF(AND(BD128&lt;&gt;"",VLOOKUP($P128&amp;" | "&amp;AU$6,'Job Master'!$F$12:$I$102,4,0)&lt;&gt;""),IF(WEEKDAY(BD128-VLOOKUP($P128&amp;" | "&amp;AU$6,'Job Master'!$F$12:$I$102,4,0))&lt;&gt;7,BD128-VLOOKUP($P128&amp;" | "&amp;AU$6,'Job Master'!$F$12:$I$102,4,0),BD128-VLOOKUP($P128&amp;" | "&amp;AU$6,'Job Master'!$F$12:$I$102,4,0)-1),""),"")</f>
        <v/>
      </c>
      <c r="AX128" s="73"/>
      <c r="AY128" s="123" t="str">
        <f t="shared" si="150"/>
        <v/>
      </c>
      <c r="AZ128" s="123" t="str">
        <f t="shared" si="151"/>
        <v/>
      </c>
      <c r="BA128" s="97" t="str">
        <f t="shared" ca="1" si="152"/>
        <v/>
      </c>
      <c r="BB128" s="98" t="str">
        <f>IF(BD128&lt;&gt;"",VLOOKUP($P128&amp;" | "&amp;BB$6,'Job Master'!$F$12:$J$102,5,0),"")</f>
        <v/>
      </c>
      <c r="BC128" s="19" t="str">
        <f>IF(BD128&lt;&gt;"",VLOOKUP($P128&amp;" | "&amp;BB$6,'Job Master'!$F$12:$J$102,3,0),"")</f>
        <v/>
      </c>
      <c r="BD128" s="19" t="str">
        <f>IFERROR(IF(AND(BK128&lt;&gt;"",VLOOKUP($P128&amp;" | "&amp;BB$6,'Job Master'!$F$12:$I$102,4,0)&lt;&gt;""),IF(WEEKDAY(BK128-VLOOKUP($P128&amp;" | "&amp;BB$6,'Job Master'!$F$12:$I$102,4,0))&lt;&gt;7,BK128-VLOOKUP($P128&amp;" | "&amp;BB$6,'Job Master'!$F$12:$I$102,4,0),BK128-VLOOKUP($P128&amp;" | "&amp;BB$6,'Job Master'!$F$12:$I$102,4,0)-1),""),"")</f>
        <v/>
      </c>
      <c r="BE128" s="73"/>
      <c r="BF128" s="123" t="str">
        <f t="shared" si="153"/>
        <v/>
      </c>
      <c r="BG128" s="123" t="str">
        <f t="shared" si="154"/>
        <v/>
      </c>
      <c r="BH128" s="97" t="str">
        <f t="shared" ca="1" si="155"/>
        <v/>
      </c>
      <c r="BI128" s="98" t="str">
        <f>IF(BK128&lt;&gt;"",VLOOKUP($P128&amp;" | "&amp;BI$6,'Job Master'!$F$12:$J$102,5,0),"")</f>
        <v/>
      </c>
      <c r="BJ128" s="19" t="str">
        <f>IF(BK128&lt;&gt;"",VLOOKUP($P128&amp;" | "&amp;BI$6,'Job Master'!$F$12:$J$102,3,0),"")</f>
        <v/>
      </c>
      <c r="BK128" s="19" t="str">
        <f>IFERROR(IF(AND(BR128&lt;&gt;"",VLOOKUP($P128&amp;" | "&amp;BI$6,'Job Master'!$F$12:$I$102,4,0)&lt;&gt;""),IF(WEEKDAY(BR128-VLOOKUP($P128&amp;" | "&amp;BI$6,'Job Master'!$F$12:$I$102,4,0))&lt;&gt;7,BR128-VLOOKUP($P128&amp;" | "&amp;BI$6,'Job Master'!$F$12:$I$102,4,0),BR128-VLOOKUP($P128&amp;" | "&amp;BI$6,'Job Master'!$F$12:$I$102,4,0)-1),""),"")</f>
        <v/>
      </c>
      <c r="BL128" s="73"/>
      <c r="BM128" s="123" t="str">
        <f t="shared" si="156"/>
        <v/>
      </c>
      <c r="BN128" s="123" t="str">
        <f t="shared" si="157"/>
        <v/>
      </c>
      <c r="BO128" s="97" t="str">
        <f t="shared" ca="1" si="158"/>
        <v/>
      </c>
      <c r="BP128" s="98" t="str">
        <f>IF(BR128&lt;&gt;"",VLOOKUP($P128&amp;" | "&amp;BP$6,'Job Master'!$F$12:$J$102,5,0),"")</f>
        <v/>
      </c>
      <c r="BQ128" s="19" t="str">
        <f>IF(BR128&lt;&gt;"",VLOOKUP($P128&amp;" | "&amp;BP$6,'Job Master'!$F$12:$J$102,3,0),"")</f>
        <v/>
      </c>
      <c r="BR128" s="19" t="str">
        <f>IFERROR(IF(AND(BY128&lt;&gt;"",VLOOKUP($P128&amp;" | "&amp;BP$6,'Job Master'!$F$12:$I$102,4,0)&lt;&gt;""),IF(WEEKDAY(BY128-VLOOKUP($P128&amp;" | "&amp;BP$6,'Job Master'!$F$12:$I$102,4,0))&lt;&gt;7,BY128-VLOOKUP($P128&amp;" | "&amp;BP$6,'Job Master'!$F$12:$I$102,4,0),BY128-VLOOKUP($P128&amp;" | "&amp;BP$6,'Job Master'!$F$12:$I$102,4,0)-1),""),"")</f>
        <v/>
      </c>
      <c r="BS128" s="73"/>
      <c r="BT128" s="123" t="str">
        <f t="shared" si="159"/>
        <v/>
      </c>
      <c r="BU128" s="123" t="str">
        <f t="shared" si="160"/>
        <v/>
      </c>
      <c r="BV128" s="97" t="str">
        <f t="shared" ca="1" si="161"/>
        <v/>
      </c>
      <c r="BW128" s="98" t="str">
        <f>IF(BY128&lt;&gt;"",VLOOKUP($P128&amp;" | "&amp;BW$6,'Job Master'!$F$12:$J$102,5,0),"")</f>
        <v/>
      </c>
      <c r="BX128" s="19" t="str">
        <f>IF(BY128&lt;&gt;"",VLOOKUP($P128&amp;" | "&amp;BW$6,'Job Master'!$F$12:$J$102,3,0),"")</f>
        <v/>
      </c>
      <c r="BY128" s="19" t="str">
        <f>IFERROR(IF(AND(CF128&lt;&gt;"",VLOOKUP($P128&amp;" | "&amp;BW$6,'Job Master'!$F$12:$I$102,4,0)&lt;&gt;""),IF(WEEKDAY(CF128-VLOOKUP($P128&amp;" | "&amp;BW$6,'Job Master'!$F$12:$I$102,4,0))&lt;&gt;7,CF128-VLOOKUP($P128&amp;" | "&amp;BW$6,'Job Master'!$F$12:$I$102,4,0),CF128-VLOOKUP($P128&amp;" | "&amp;BW$6,'Job Master'!$F$12:$I$102,4,0)-1),""),"")</f>
        <v/>
      </c>
      <c r="BZ128" s="73"/>
      <c r="CA128" s="123" t="str">
        <f t="shared" si="162"/>
        <v/>
      </c>
      <c r="CB128" s="123" t="str">
        <f t="shared" si="163"/>
        <v/>
      </c>
      <c r="CC128" s="97" t="str">
        <f t="shared" ca="1" si="164"/>
        <v/>
      </c>
      <c r="CD128" s="98" t="str">
        <f>IF(CF128&lt;&gt;"",VLOOKUP($P128&amp;" | "&amp;CD$6,'Job Master'!$F$12:$J$102,5,0),"")</f>
        <v/>
      </c>
      <c r="CE128" s="19" t="str">
        <f>IF(CF128&lt;&gt;"",VLOOKUP($P128&amp;" | "&amp;CD$6,'Job Master'!$F$12:$J$102,3,0),"")</f>
        <v/>
      </c>
      <c r="CF128" s="19" t="str">
        <f>IFERROR(IF(AND(CM128&lt;&gt;"",VLOOKUP($P128&amp;" | "&amp;CD$6,'Job Master'!$F$12:$I$102,4,0)&lt;&gt;""),IF(WEEKDAY(CM128-VLOOKUP($P128&amp;" | "&amp;CD$6,'Job Master'!$F$12:$I$102,4,0))&lt;&gt;7,CM128-VLOOKUP($P128&amp;" | "&amp;CD$6,'Job Master'!$F$12:$I$102,4,0),CM128-VLOOKUP($P128&amp;" | "&amp;CD$6,'Job Master'!$F$12:$I$102,4,0)-1),""),"")</f>
        <v/>
      </c>
      <c r="CG128" s="73"/>
      <c r="CH128" s="123" t="str">
        <f t="shared" si="165"/>
        <v/>
      </c>
      <c r="CI128" s="123" t="str">
        <f t="shared" si="166"/>
        <v/>
      </c>
      <c r="CJ128" s="97" t="str">
        <f t="shared" ca="1" si="167"/>
        <v/>
      </c>
      <c r="CK128" s="98" t="str">
        <f>IF(CM128&lt;&gt;"",VLOOKUP($P128&amp;" | "&amp;CK$6,'Job Master'!$F$12:$J$102,5,0),"")</f>
        <v/>
      </c>
      <c r="CL128" s="19" t="str">
        <f>IF(CM128&lt;&gt;"",VLOOKUP($P128&amp;" | "&amp;CK$6,'Job Master'!$F$12:$J$102,3,0),"")</f>
        <v/>
      </c>
      <c r="CM128" s="19" t="str">
        <f>IFERROR(IF(AND(CT128&lt;&gt;"",VLOOKUP($P128&amp;" | "&amp;CK$6,'Job Master'!$F$12:$I$102,4,0)&lt;&gt;""),IF(WEEKDAY(CT128-VLOOKUP($P128&amp;" | "&amp;CK$6,'Job Master'!$F$12:$I$102,4,0))&lt;&gt;7,CT128-VLOOKUP($P128&amp;" | "&amp;CK$6,'Job Master'!$F$12:$I$102,4,0),CT128-VLOOKUP($P128&amp;" | "&amp;CK$6,'Job Master'!$F$12:$I$102,4,0)-1),""),"")</f>
        <v/>
      </c>
      <c r="CN128" s="73"/>
      <c r="CO128" s="123" t="str">
        <f t="shared" si="168"/>
        <v/>
      </c>
      <c r="CP128" s="123" t="str">
        <f t="shared" si="169"/>
        <v/>
      </c>
      <c r="CQ128" s="97" t="str">
        <f t="shared" ca="1" si="170"/>
        <v/>
      </c>
      <c r="CR128" s="98" t="str">
        <f>IF(CT128&lt;&gt;"",VLOOKUP($P128&amp;" | "&amp;CR$6,'Job Master'!$F$12:$J$102,5,0),"")</f>
        <v/>
      </c>
      <c r="CS128" s="19" t="str">
        <f>IF(CT128&lt;&gt;"",VLOOKUP($P128&amp;" | "&amp;CR$6,'Job Master'!$F$12:$J$102,3,0),"")</f>
        <v/>
      </c>
      <c r="CT128" s="19" t="str">
        <f>IFERROR(IF(AND(DA128&lt;&gt;"",VLOOKUP($P128&amp;" | "&amp;CR$6,'Job Master'!$F$12:$I$102,4,0)&lt;&gt;""),IF(WEEKDAY(DA128-VLOOKUP($P128&amp;" | "&amp;CR$6,'Job Master'!$F$12:$I$102,4,0))&lt;&gt;7,DA128-VLOOKUP($P128&amp;" | "&amp;CR$6,'Job Master'!$F$12:$I$102,4,0),DA128-VLOOKUP($P128&amp;" | "&amp;CR$6,'Job Master'!$F$12:$I$102,4,0)-1),""),"")</f>
        <v/>
      </c>
      <c r="CU128" s="73"/>
      <c r="CV128" s="123" t="str">
        <f t="shared" si="171"/>
        <v/>
      </c>
      <c r="CW128" s="123" t="str">
        <f t="shared" si="172"/>
        <v/>
      </c>
      <c r="CX128" s="97" t="str">
        <f t="shared" ca="1" si="173"/>
        <v/>
      </c>
      <c r="CY128" s="98" t="str">
        <f>IF(DA128&lt;&gt;"",VLOOKUP($P128&amp;" | "&amp;CY$6,'Job Master'!$F$12:$J$102,5,0),"")</f>
        <v/>
      </c>
      <c r="CZ128" s="19" t="str">
        <f>IF(DA128&lt;&gt;"",VLOOKUP($P128&amp;" | "&amp;CY$6,'Job Master'!$F$12:$J$102,3,0),"")</f>
        <v/>
      </c>
      <c r="DA128" s="19" t="str">
        <f>IFERROR(IF(AND(DH128&lt;&gt;"",VLOOKUP($P128&amp;" | "&amp;CY$6,'Job Master'!$F$12:$I$102,4,0)&lt;&gt;""),IF(WEEKDAY(DH128-VLOOKUP($P128&amp;" | "&amp;CY$6,'Job Master'!$F$12:$I$102,4,0))&lt;&gt;7,DH128-VLOOKUP($P128&amp;" | "&amp;CY$6,'Job Master'!$F$12:$I$102,4,0),DH128-VLOOKUP($P128&amp;" | "&amp;CY$6,'Job Master'!$F$12:$I$102,4,0)-1),""),"")</f>
        <v/>
      </c>
      <c r="DB128" s="73"/>
      <c r="DC128" s="123" t="str">
        <f t="shared" si="174"/>
        <v/>
      </c>
      <c r="DD128" s="123" t="str">
        <f t="shared" si="175"/>
        <v/>
      </c>
      <c r="DE128" s="97" t="str">
        <f t="shared" ca="1" si="176"/>
        <v/>
      </c>
      <c r="DF128" s="98" t="str">
        <f>IF(DH128&lt;&gt;"",VLOOKUP($P128&amp;" | "&amp;DF$6,'Job Master'!$F$12:$J$102,5,0),"")</f>
        <v/>
      </c>
      <c r="DG128" s="19" t="str">
        <f>IF(DH128&lt;&gt;"",VLOOKUP($P128&amp;" | "&amp;DF$6,'Job Master'!$F$12:$J$102,3,0),"")</f>
        <v/>
      </c>
      <c r="DH128" s="19" t="str">
        <f>IFERROR(IF(AND(DO128&lt;&gt;"",VLOOKUP($P128&amp;" | "&amp;DF$6,'Job Master'!$F$12:$I$102,4,0)&lt;&gt;""),IF(WEEKDAY(DO128-VLOOKUP($P128&amp;" | "&amp;DF$6,'Job Master'!$F$12:$I$102,4,0))&lt;&gt;7,DO128-VLOOKUP($P128&amp;" | "&amp;DF$6,'Job Master'!$F$12:$I$102,4,0),DO128-VLOOKUP($P128&amp;" | "&amp;DF$6,'Job Master'!$F$12:$I$102,4,0)-1),""),"")</f>
        <v/>
      </c>
      <c r="DI128" s="73"/>
      <c r="DJ128" s="123" t="str">
        <f t="shared" si="177"/>
        <v/>
      </c>
      <c r="DK128" s="123" t="str">
        <f t="shared" si="178"/>
        <v/>
      </c>
      <c r="DL128" s="97" t="str">
        <f t="shared" ca="1" si="179"/>
        <v/>
      </c>
      <c r="DM128" s="98" t="str">
        <f>IF(DO128&lt;&gt;"",VLOOKUP($P128&amp;" | "&amp;DM$6,'Job Master'!$F$12:$J$102,5,0),"")</f>
        <v/>
      </c>
      <c r="DN128" s="19" t="str">
        <f>IF(DO128&lt;&gt;"",VLOOKUP($P128&amp;" | "&amp;DM$6,'Job Master'!$F$12:$J$102,3,0),"")</f>
        <v/>
      </c>
      <c r="DO128" s="19" t="str">
        <f>IFERROR(IF(AND(DT128&lt;&gt;"",VLOOKUP($P128&amp;" | "&amp;DM$6,'Job Master'!$F$12:$I$102,4,0)&lt;&gt;""),IF(WEEKDAY(DT128-VLOOKUP($P128&amp;" | "&amp;DM$6,'Job Master'!$F$12:$I$102,4,0))&lt;&gt;7,DT128-VLOOKUP($P128&amp;" | "&amp;DM$6,'Job Master'!$F$12:$I$102,4,0),DT128-VLOOKUP($P128&amp;" | "&amp;DM$6,'Job Master'!$F$12:$I$102,4,0)-1),""),"")</f>
        <v/>
      </c>
      <c r="DP128" s="73"/>
      <c r="DQ128" s="123" t="str">
        <f t="shared" si="180"/>
        <v/>
      </c>
      <c r="DR128" s="123" t="str">
        <f t="shared" si="181"/>
        <v/>
      </c>
      <c r="DS128" s="97" t="str">
        <f t="shared" ca="1" si="182"/>
        <v/>
      </c>
      <c r="DT128" s="70" t="str">
        <f t="shared" si="183"/>
        <v/>
      </c>
      <c r="DU128" s="90"/>
      <c r="DV128" s="123" t="str">
        <f t="shared" si="184"/>
        <v/>
      </c>
      <c r="DW128" s="123" t="str">
        <f t="shared" si="185"/>
        <v/>
      </c>
      <c r="DX128" s="132" t="str">
        <f t="shared" ref="DX128" ca="1" si="251">IF(DT128&lt;&gt;"",IF(WEEKNUM(DT128)=WEEKNUM(TODAY()),"This Week",IF(WEEKNUM(DT128)=WEEKNUM(TODAY())+1,"Next Week",IF(WEEKNUM(DT128)=WEEKNUM(TODAY())-1,"Previous Week",""))),"")</f>
        <v/>
      </c>
      <c r="DY128" s="134" t="str">
        <f t="shared" si="187"/>
        <v/>
      </c>
      <c r="DZ128" s="95"/>
      <c r="EB128" s="8" t="str">
        <f t="shared" si="193"/>
        <v/>
      </c>
      <c r="EC128" s="8" t="str">
        <f>IF(O128&lt;&gt;"",VLOOKUP(O128,'Job Master'!$N$12:$O$18,2,0),"")</f>
        <v/>
      </c>
      <c r="ED128" s="8">
        <f t="shared" si="194"/>
        <v>19.5</v>
      </c>
      <c r="EE128" s="8">
        <f t="shared" si="195"/>
        <v>6</v>
      </c>
      <c r="EF128" s="8">
        <f t="shared" si="196"/>
        <v>-688.5</v>
      </c>
      <c r="EG128" s="8" t="str">
        <f t="shared" si="197"/>
        <v/>
      </c>
      <c r="EH128" s="8" t="str">
        <f t="shared" si="198"/>
        <v/>
      </c>
    </row>
    <row r="129" spans="2:138" x14ac:dyDescent="0.3">
      <c r="B129" s="112"/>
      <c r="C129" s="27"/>
      <c r="D129" s="7" t="str">
        <f t="shared" si="135"/>
        <v/>
      </c>
      <c r="E129" s="25"/>
      <c r="F129" s="7" t="str">
        <f t="shared" si="135"/>
        <v/>
      </c>
      <c r="G129" s="25"/>
      <c r="H129" s="7" t="str">
        <f t="shared" si="135"/>
        <v/>
      </c>
      <c r="I129" s="25"/>
      <c r="J129" s="7" t="str">
        <f t="shared" si="135"/>
        <v/>
      </c>
      <c r="K129" s="25"/>
      <c r="L129" s="7" t="str">
        <f t="shared" si="136"/>
        <v/>
      </c>
      <c r="M129" s="25"/>
      <c r="N129" s="7" t="str">
        <f t="shared" si="137"/>
        <v/>
      </c>
      <c r="O129" s="81"/>
      <c r="P129" s="81" t="str">
        <f t="shared" si="138"/>
        <v/>
      </c>
      <c r="Q129" s="81"/>
      <c r="R129" s="7" t="str">
        <f t="shared" si="139"/>
        <v/>
      </c>
      <c r="S129" s="25"/>
      <c r="T129" s="7" t="str">
        <f t="shared" si="140"/>
        <v/>
      </c>
      <c r="U129" s="25"/>
      <c r="V129" s="7" t="str">
        <f t="shared" si="141"/>
        <v/>
      </c>
      <c r="W129" s="25"/>
      <c r="X129" s="7" t="str">
        <f t="shared" si="142"/>
        <v/>
      </c>
      <c r="Y129" s="18" t="str">
        <f t="shared" si="143"/>
        <v/>
      </c>
      <c r="Z129" s="7" t="str">
        <f t="shared" si="144"/>
        <v/>
      </c>
      <c r="AA129" s="18" t="str">
        <f t="shared" si="145"/>
        <v/>
      </c>
      <c r="AB129" s="19" t="str">
        <f t="shared" si="146"/>
        <v/>
      </c>
      <c r="AC129" s="26"/>
      <c r="AD129" s="26"/>
      <c r="AE129" s="25"/>
      <c r="AF129" s="26"/>
      <c r="AG129" s="25"/>
      <c r="AH129" s="25"/>
      <c r="AI129" s="18" t="str">
        <f t="shared" si="209"/>
        <v/>
      </c>
      <c r="AJ129" s="25"/>
      <c r="AK129" s="18" t="str">
        <f t="shared" si="210"/>
        <v/>
      </c>
      <c r="AL129" s="79"/>
      <c r="AM129" s="126" t="str">
        <f t="shared" si="211"/>
        <v/>
      </c>
      <c r="AN129" s="128" t="str">
        <f>IF(AP129&lt;&gt;"",VLOOKUP($P129&amp;" | "&amp;AN$6,'Job Master'!$F$12:$J$102,5,0),"")</f>
        <v/>
      </c>
      <c r="AO129" s="19" t="str">
        <f>IF(AP129&lt;&gt;"",VLOOKUP($P129&amp;" | "&amp;AN$6,'Job Master'!$F$12:$J$102,3,0),"")</f>
        <v/>
      </c>
      <c r="AP129" s="19" t="str">
        <f>IFERROR(IF(AND(AW129&lt;&gt;"",VLOOKUP($P129&amp;" | "&amp;AN$6,'Job Master'!$F$12:$I$102,4,0)&lt;&gt;""),IF(WEEKDAY(AW129-VLOOKUP($P129&amp;" | "&amp;AN$6,'Job Master'!$F$12:$I$102,4,0))&lt;&gt;7,AW129-VLOOKUP($P129&amp;" | "&amp;AN$6,'Job Master'!$F$12:$I$102,4,0),AW129-VLOOKUP($P129&amp;" | "&amp;AN$6,'Job Master'!$F$12:$I$102,4,0)-1),""),"")</f>
        <v/>
      </c>
      <c r="AQ129" s="73"/>
      <c r="AR129" s="123" t="str">
        <f t="shared" si="147"/>
        <v/>
      </c>
      <c r="AS129" s="123" t="str">
        <f t="shared" si="148"/>
        <v/>
      </c>
      <c r="AT129" s="97" t="str">
        <f t="shared" ca="1" si="149"/>
        <v/>
      </c>
      <c r="AU129" s="98" t="str">
        <f>IF(AW129&lt;&gt;"",VLOOKUP($P129&amp;" | "&amp;AU$6,'Job Master'!$F$12:$J$102,5,0),"")</f>
        <v/>
      </c>
      <c r="AV129" s="19" t="str">
        <f>IF(AW129&lt;&gt;"",VLOOKUP($P129&amp;" | "&amp;AU$6,'Job Master'!$F$12:$J$102,3,0),"")</f>
        <v/>
      </c>
      <c r="AW129" s="19" t="str">
        <f>IFERROR(IF(AND(BD129&lt;&gt;"",VLOOKUP($P129&amp;" | "&amp;AU$6,'Job Master'!$F$12:$I$102,4,0)&lt;&gt;""),IF(WEEKDAY(BD129-VLOOKUP($P129&amp;" | "&amp;AU$6,'Job Master'!$F$12:$I$102,4,0))&lt;&gt;7,BD129-VLOOKUP($P129&amp;" | "&amp;AU$6,'Job Master'!$F$12:$I$102,4,0),BD129-VLOOKUP($P129&amp;" | "&amp;AU$6,'Job Master'!$F$12:$I$102,4,0)-1),""),"")</f>
        <v/>
      </c>
      <c r="AX129" s="73"/>
      <c r="AY129" s="123" t="str">
        <f t="shared" si="150"/>
        <v/>
      </c>
      <c r="AZ129" s="123" t="str">
        <f t="shared" si="151"/>
        <v/>
      </c>
      <c r="BA129" s="97" t="str">
        <f t="shared" ca="1" si="152"/>
        <v/>
      </c>
      <c r="BB129" s="98" t="str">
        <f>IF(BD129&lt;&gt;"",VLOOKUP($P129&amp;" | "&amp;BB$6,'Job Master'!$F$12:$J$102,5,0),"")</f>
        <v/>
      </c>
      <c r="BC129" s="19" t="str">
        <f>IF(BD129&lt;&gt;"",VLOOKUP($P129&amp;" | "&amp;BB$6,'Job Master'!$F$12:$J$102,3,0),"")</f>
        <v/>
      </c>
      <c r="BD129" s="19" t="str">
        <f>IFERROR(IF(AND(BK129&lt;&gt;"",VLOOKUP($P129&amp;" | "&amp;BB$6,'Job Master'!$F$12:$I$102,4,0)&lt;&gt;""),IF(WEEKDAY(BK129-VLOOKUP($P129&amp;" | "&amp;BB$6,'Job Master'!$F$12:$I$102,4,0))&lt;&gt;7,BK129-VLOOKUP($P129&amp;" | "&amp;BB$6,'Job Master'!$F$12:$I$102,4,0),BK129-VLOOKUP($P129&amp;" | "&amp;BB$6,'Job Master'!$F$12:$I$102,4,0)-1),""),"")</f>
        <v/>
      </c>
      <c r="BE129" s="73"/>
      <c r="BF129" s="123" t="str">
        <f t="shared" si="153"/>
        <v/>
      </c>
      <c r="BG129" s="123" t="str">
        <f t="shared" si="154"/>
        <v/>
      </c>
      <c r="BH129" s="97" t="str">
        <f t="shared" ca="1" si="155"/>
        <v/>
      </c>
      <c r="BI129" s="98" t="str">
        <f>IF(BK129&lt;&gt;"",VLOOKUP($P129&amp;" | "&amp;BI$6,'Job Master'!$F$12:$J$102,5,0),"")</f>
        <v/>
      </c>
      <c r="BJ129" s="19" t="str">
        <f>IF(BK129&lt;&gt;"",VLOOKUP($P129&amp;" | "&amp;BI$6,'Job Master'!$F$12:$J$102,3,0),"")</f>
        <v/>
      </c>
      <c r="BK129" s="19" t="str">
        <f>IFERROR(IF(AND(BR129&lt;&gt;"",VLOOKUP($P129&amp;" | "&amp;BI$6,'Job Master'!$F$12:$I$102,4,0)&lt;&gt;""),IF(WEEKDAY(BR129-VLOOKUP($P129&amp;" | "&amp;BI$6,'Job Master'!$F$12:$I$102,4,0))&lt;&gt;7,BR129-VLOOKUP($P129&amp;" | "&amp;BI$6,'Job Master'!$F$12:$I$102,4,0),BR129-VLOOKUP($P129&amp;" | "&amp;BI$6,'Job Master'!$F$12:$I$102,4,0)-1),""),"")</f>
        <v/>
      </c>
      <c r="BL129" s="73"/>
      <c r="BM129" s="123" t="str">
        <f t="shared" si="156"/>
        <v/>
      </c>
      <c r="BN129" s="123" t="str">
        <f t="shared" si="157"/>
        <v/>
      </c>
      <c r="BO129" s="97" t="str">
        <f t="shared" ca="1" si="158"/>
        <v/>
      </c>
      <c r="BP129" s="98" t="str">
        <f>IF(BR129&lt;&gt;"",VLOOKUP($P129&amp;" | "&amp;BP$6,'Job Master'!$F$12:$J$102,5,0),"")</f>
        <v/>
      </c>
      <c r="BQ129" s="19" t="str">
        <f>IF(BR129&lt;&gt;"",VLOOKUP($P129&amp;" | "&amp;BP$6,'Job Master'!$F$12:$J$102,3,0),"")</f>
        <v/>
      </c>
      <c r="BR129" s="19" t="str">
        <f>IFERROR(IF(AND(BY129&lt;&gt;"",VLOOKUP($P129&amp;" | "&amp;BP$6,'Job Master'!$F$12:$I$102,4,0)&lt;&gt;""),IF(WEEKDAY(BY129-VLOOKUP($P129&amp;" | "&amp;BP$6,'Job Master'!$F$12:$I$102,4,0))&lt;&gt;7,BY129-VLOOKUP($P129&amp;" | "&amp;BP$6,'Job Master'!$F$12:$I$102,4,0),BY129-VLOOKUP($P129&amp;" | "&amp;BP$6,'Job Master'!$F$12:$I$102,4,0)-1),""),"")</f>
        <v/>
      </c>
      <c r="BS129" s="73"/>
      <c r="BT129" s="123" t="str">
        <f t="shared" si="159"/>
        <v/>
      </c>
      <c r="BU129" s="123" t="str">
        <f t="shared" si="160"/>
        <v/>
      </c>
      <c r="BV129" s="97" t="str">
        <f t="shared" ca="1" si="161"/>
        <v/>
      </c>
      <c r="BW129" s="98" t="str">
        <f>IF(BY129&lt;&gt;"",VLOOKUP($P129&amp;" | "&amp;BW$6,'Job Master'!$F$12:$J$102,5,0),"")</f>
        <v/>
      </c>
      <c r="BX129" s="19" t="str">
        <f>IF(BY129&lt;&gt;"",VLOOKUP($P129&amp;" | "&amp;BW$6,'Job Master'!$F$12:$J$102,3,0),"")</f>
        <v/>
      </c>
      <c r="BY129" s="19" t="str">
        <f>IFERROR(IF(AND(CF129&lt;&gt;"",VLOOKUP($P129&amp;" | "&amp;BW$6,'Job Master'!$F$12:$I$102,4,0)&lt;&gt;""),IF(WEEKDAY(CF129-VLOOKUP($P129&amp;" | "&amp;BW$6,'Job Master'!$F$12:$I$102,4,0))&lt;&gt;7,CF129-VLOOKUP($P129&amp;" | "&amp;BW$6,'Job Master'!$F$12:$I$102,4,0),CF129-VLOOKUP($P129&amp;" | "&amp;BW$6,'Job Master'!$F$12:$I$102,4,0)-1),""),"")</f>
        <v/>
      </c>
      <c r="BZ129" s="73"/>
      <c r="CA129" s="123" t="str">
        <f t="shared" si="162"/>
        <v/>
      </c>
      <c r="CB129" s="123" t="str">
        <f t="shared" si="163"/>
        <v/>
      </c>
      <c r="CC129" s="97" t="str">
        <f t="shared" ca="1" si="164"/>
        <v/>
      </c>
      <c r="CD129" s="98" t="str">
        <f>IF(CF129&lt;&gt;"",VLOOKUP($P129&amp;" | "&amp;CD$6,'Job Master'!$F$12:$J$102,5,0),"")</f>
        <v/>
      </c>
      <c r="CE129" s="19" t="str">
        <f>IF(CF129&lt;&gt;"",VLOOKUP($P129&amp;" | "&amp;CD$6,'Job Master'!$F$12:$J$102,3,0),"")</f>
        <v/>
      </c>
      <c r="CF129" s="19" t="str">
        <f>IFERROR(IF(AND(CM129&lt;&gt;"",VLOOKUP($P129&amp;" | "&amp;CD$6,'Job Master'!$F$12:$I$102,4,0)&lt;&gt;""),IF(WEEKDAY(CM129-VLOOKUP($P129&amp;" | "&amp;CD$6,'Job Master'!$F$12:$I$102,4,0))&lt;&gt;7,CM129-VLOOKUP($P129&amp;" | "&amp;CD$6,'Job Master'!$F$12:$I$102,4,0),CM129-VLOOKUP($P129&amp;" | "&amp;CD$6,'Job Master'!$F$12:$I$102,4,0)-1),""),"")</f>
        <v/>
      </c>
      <c r="CG129" s="73"/>
      <c r="CH129" s="123" t="str">
        <f t="shared" si="165"/>
        <v/>
      </c>
      <c r="CI129" s="123" t="str">
        <f t="shared" si="166"/>
        <v/>
      </c>
      <c r="CJ129" s="97" t="str">
        <f t="shared" ca="1" si="167"/>
        <v/>
      </c>
      <c r="CK129" s="98" t="str">
        <f>IF(CM129&lt;&gt;"",VLOOKUP($P129&amp;" | "&amp;CK$6,'Job Master'!$F$12:$J$102,5,0),"")</f>
        <v/>
      </c>
      <c r="CL129" s="19" t="str">
        <f>IF(CM129&lt;&gt;"",VLOOKUP($P129&amp;" | "&amp;CK$6,'Job Master'!$F$12:$J$102,3,0),"")</f>
        <v/>
      </c>
      <c r="CM129" s="19" t="str">
        <f>IFERROR(IF(AND(CT129&lt;&gt;"",VLOOKUP($P129&amp;" | "&amp;CK$6,'Job Master'!$F$12:$I$102,4,0)&lt;&gt;""),IF(WEEKDAY(CT129-VLOOKUP($P129&amp;" | "&amp;CK$6,'Job Master'!$F$12:$I$102,4,0))&lt;&gt;7,CT129-VLOOKUP($P129&amp;" | "&amp;CK$6,'Job Master'!$F$12:$I$102,4,0),CT129-VLOOKUP($P129&amp;" | "&amp;CK$6,'Job Master'!$F$12:$I$102,4,0)-1),""),"")</f>
        <v/>
      </c>
      <c r="CN129" s="73"/>
      <c r="CO129" s="123" t="str">
        <f t="shared" si="168"/>
        <v/>
      </c>
      <c r="CP129" s="123" t="str">
        <f t="shared" si="169"/>
        <v/>
      </c>
      <c r="CQ129" s="97" t="str">
        <f t="shared" ca="1" si="170"/>
        <v/>
      </c>
      <c r="CR129" s="98" t="str">
        <f>IF(CT129&lt;&gt;"",VLOOKUP($P129&amp;" | "&amp;CR$6,'Job Master'!$F$12:$J$102,5,0),"")</f>
        <v/>
      </c>
      <c r="CS129" s="19" t="str">
        <f>IF(CT129&lt;&gt;"",VLOOKUP($P129&amp;" | "&amp;CR$6,'Job Master'!$F$12:$J$102,3,0),"")</f>
        <v/>
      </c>
      <c r="CT129" s="19" t="str">
        <f>IFERROR(IF(AND(DA129&lt;&gt;"",VLOOKUP($P129&amp;" | "&amp;CR$6,'Job Master'!$F$12:$I$102,4,0)&lt;&gt;""),IF(WEEKDAY(DA129-VLOOKUP($P129&amp;" | "&amp;CR$6,'Job Master'!$F$12:$I$102,4,0))&lt;&gt;7,DA129-VLOOKUP($P129&amp;" | "&amp;CR$6,'Job Master'!$F$12:$I$102,4,0),DA129-VLOOKUP($P129&amp;" | "&amp;CR$6,'Job Master'!$F$12:$I$102,4,0)-1),""),"")</f>
        <v/>
      </c>
      <c r="CU129" s="73"/>
      <c r="CV129" s="123" t="str">
        <f t="shared" si="171"/>
        <v/>
      </c>
      <c r="CW129" s="123" t="str">
        <f t="shared" si="172"/>
        <v/>
      </c>
      <c r="CX129" s="97" t="str">
        <f t="shared" ca="1" si="173"/>
        <v/>
      </c>
      <c r="CY129" s="98" t="str">
        <f>IF(DA129&lt;&gt;"",VLOOKUP($P129&amp;" | "&amp;CY$6,'Job Master'!$F$12:$J$102,5,0),"")</f>
        <v/>
      </c>
      <c r="CZ129" s="19" t="str">
        <f>IF(DA129&lt;&gt;"",VLOOKUP($P129&amp;" | "&amp;CY$6,'Job Master'!$F$12:$J$102,3,0),"")</f>
        <v/>
      </c>
      <c r="DA129" s="19" t="str">
        <f>IFERROR(IF(AND(DH129&lt;&gt;"",VLOOKUP($P129&amp;" | "&amp;CY$6,'Job Master'!$F$12:$I$102,4,0)&lt;&gt;""),IF(WEEKDAY(DH129-VLOOKUP($P129&amp;" | "&amp;CY$6,'Job Master'!$F$12:$I$102,4,0))&lt;&gt;7,DH129-VLOOKUP($P129&amp;" | "&amp;CY$6,'Job Master'!$F$12:$I$102,4,0),DH129-VLOOKUP($P129&amp;" | "&amp;CY$6,'Job Master'!$F$12:$I$102,4,0)-1),""),"")</f>
        <v/>
      </c>
      <c r="DB129" s="73"/>
      <c r="DC129" s="123" t="str">
        <f t="shared" si="174"/>
        <v/>
      </c>
      <c r="DD129" s="123" t="str">
        <f t="shared" si="175"/>
        <v/>
      </c>
      <c r="DE129" s="97" t="str">
        <f t="shared" ca="1" si="176"/>
        <v/>
      </c>
      <c r="DF129" s="98" t="str">
        <f>IF(DH129&lt;&gt;"",VLOOKUP($P129&amp;" | "&amp;DF$6,'Job Master'!$F$12:$J$102,5,0),"")</f>
        <v/>
      </c>
      <c r="DG129" s="19" t="str">
        <f>IF(DH129&lt;&gt;"",VLOOKUP($P129&amp;" | "&amp;DF$6,'Job Master'!$F$12:$J$102,3,0),"")</f>
        <v/>
      </c>
      <c r="DH129" s="19" t="str">
        <f>IFERROR(IF(AND(DO129&lt;&gt;"",VLOOKUP($P129&amp;" | "&amp;DF$6,'Job Master'!$F$12:$I$102,4,0)&lt;&gt;""),IF(WEEKDAY(DO129-VLOOKUP($P129&amp;" | "&amp;DF$6,'Job Master'!$F$12:$I$102,4,0))&lt;&gt;7,DO129-VLOOKUP($P129&amp;" | "&amp;DF$6,'Job Master'!$F$12:$I$102,4,0),DO129-VLOOKUP($P129&amp;" | "&amp;DF$6,'Job Master'!$F$12:$I$102,4,0)-1),""),"")</f>
        <v/>
      </c>
      <c r="DI129" s="73"/>
      <c r="DJ129" s="123" t="str">
        <f t="shared" si="177"/>
        <v/>
      </c>
      <c r="DK129" s="123" t="str">
        <f t="shared" si="178"/>
        <v/>
      </c>
      <c r="DL129" s="97" t="str">
        <f t="shared" ca="1" si="179"/>
        <v/>
      </c>
      <c r="DM129" s="98" t="str">
        <f>IF(DO129&lt;&gt;"",VLOOKUP($P129&amp;" | "&amp;DM$6,'Job Master'!$F$12:$J$102,5,0),"")</f>
        <v/>
      </c>
      <c r="DN129" s="19" t="str">
        <f>IF(DO129&lt;&gt;"",VLOOKUP($P129&amp;" | "&amp;DM$6,'Job Master'!$F$12:$J$102,3,0),"")</f>
        <v/>
      </c>
      <c r="DO129" s="19" t="str">
        <f>IFERROR(IF(AND(DT129&lt;&gt;"",VLOOKUP($P129&amp;" | "&amp;DM$6,'Job Master'!$F$12:$I$102,4,0)&lt;&gt;""),IF(WEEKDAY(DT129-VLOOKUP($P129&amp;" | "&amp;DM$6,'Job Master'!$F$12:$I$102,4,0))&lt;&gt;7,DT129-VLOOKUP($P129&amp;" | "&amp;DM$6,'Job Master'!$F$12:$I$102,4,0),DT129-VLOOKUP($P129&amp;" | "&amp;DM$6,'Job Master'!$F$12:$I$102,4,0)-1),""),"")</f>
        <v/>
      </c>
      <c r="DP129" s="73"/>
      <c r="DQ129" s="123" t="str">
        <f t="shared" si="180"/>
        <v/>
      </c>
      <c r="DR129" s="123" t="str">
        <f t="shared" si="181"/>
        <v/>
      </c>
      <c r="DS129" s="97" t="str">
        <f t="shared" ca="1" si="182"/>
        <v/>
      </c>
      <c r="DT129" s="70" t="str">
        <f t="shared" si="183"/>
        <v/>
      </c>
      <c r="DU129" s="90"/>
      <c r="DV129" s="123" t="str">
        <f t="shared" si="184"/>
        <v/>
      </c>
      <c r="DW129" s="123" t="str">
        <f t="shared" si="185"/>
        <v/>
      </c>
      <c r="DX129" s="132" t="str">
        <f t="shared" ref="DX129" ca="1" si="252">IF(DT129&lt;&gt;"",IF(WEEKNUM(DT129)=WEEKNUM(TODAY()),"This Week",IF(WEEKNUM(DT129)=WEEKNUM(TODAY())+1,"Next Week",IF(WEEKNUM(DT129)=WEEKNUM(TODAY())-1,"Previous Week",""))),"")</f>
        <v/>
      </c>
      <c r="DY129" s="134" t="str">
        <f t="shared" si="187"/>
        <v/>
      </c>
      <c r="DZ129" s="95"/>
      <c r="EB129" s="8" t="str">
        <f t="shared" si="193"/>
        <v/>
      </c>
      <c r="EC129" s="8" t="str">
        <f>IF(O129&lt;&gt;"",VLOOKUP(O129,'Job Master'!$N$12:$O$18,2,0),"")</f>
        <v/>
      </c>
      <c r="ED129" s="8">
        <f t="shared" si="194"/>
        <v>19.5</v>
      </c>
      <c r="EE129" s="8">
        <f t="shared" si="195"/>
        <v>6</v>
      </c>
      <c r="EF129" s="8">
        <f t="shared" si="196"/>
        <v>-694.5</v>
      </c>
      <c r="EG129" s="8" t="str">
        <f t="shared" si="197"/>
        <v/>
      </c>
      <c r="EH129" s="8" t="str">
        <f t="shared" si="198"/>
        <v/>
      </c>
    </row>
    <row r="130" spans="2:138" x14ac:dyDescent="0.3">
      <c r="B130" s="112"/>
      <c r="C130" s="27"/>
      <c r="D130" s="7" t="str">
        <f t="shared" si="135"/>
        <v/>
      </c>
      <c r="E130" s="25"/>
      <c r="F130" s="7" t="str">
        <f t="shared" si="135"/>
        <v/>
      </c>
      <c r="G130" s="25"/>
      <c r="H130" s="7" t="str">
        <f t="shared" si="135"/>
        <v/>
      </c>
      <c r="I130" s="25"/>
      <c r="J130" s="7" t="str">
        <f t="shared" si="135"/>
        <v/>
      </c>
      <c r="K130" s="25"/>
      <c r="L130" s="7" t="str">
        <f t="shared" si="136"/>
        <v/>
      </c>
      <c r="M130" s="25"/>
      <c r="N130" s="7" t="str">
        <f t="shared" si="137"/>
        <v/>
      </c>
      <c r="O130" s="81"/>
      <c r="P130" s="81" t="str">
        <f t="shared" si="138"/>
        <v/>
      </c>
      <c r="Q130" s="81"/>
      <c r="R130" s="7" t="str">
        <f t="shared" si="139"/>
        <v/>
      </c>
      <c r="S130" s="25"/>
      <c r="T130" s="7" t="str">
        <f t="shared" si="140"/>
        <v/>
      </c>
      <c r="U130" s="25"/>
      <c r="V130" s="7" t="str">
        <f t="shared" si="141"/>
        <v/>
      </c>
      <c r="W130" s="25"/>
      <c r="X130" s="7" t="str">
        <f t="shared" si="142"/>
        <v/>
      </c>
      <c r="Y130" s="18" t="str">
        <f t="shared" si="143"/>
        <v/>
      </c>
      <c r="Z130" s="7" t="str">
        <f t="shared" si="144"/>
        <v/>
      </c>
      <c r="AA130" s="18" t="str">
        <f t="shared" si="145"/>
        <v/>
      </c>
      <c r="AB130" s="19" t="str">
        <f t="shared" si="146"/>
        <v/>
      </c>
      <c r="AC130" s="26"/>
      <c r="AD130" s="26"/>
      <c r="AE130" s="25"/>
      <c r="AF130" s="26"/>
      <c r="AG130" s="25"/>
      <c r="AH130" s="25"/>
      <c r="AI130" s="18" t="str">
        <f t="shared" si="209"/>
        <v/>
      </c>
      <c r="AJ130" s="25"/>
      <c r="AK130" s="18" t="str">
        <f t="shared" si="210"/>
        <v/>
      </c>
      <c r="AL130" s="79"/>
      <c r="AM130" s="126" t="str">
        <f t="shared" si="211"/>
        <v/>
      </c>
      <c r="AN130" s="128" t="str">
        <f>IF(AP130&lt;&gt;"",VLOOKUP($P130&amp;" | "&amp;AN$6,'Job Master'!$F$12:$J$102,5,0),"")</f>
        <v/>
      </c>
      <c r="AO130" s="19" t="str">
        <f>IF(AP130&lt;&gt;"",VLOOKUP($P130&amp;" | "&amp;AN$6,'Job Master'!$F$12:$J$102,3,0),"")</f>
        <v/>
      </c>
      <c r="AP130" s="19" t="str">
        <f>IFERROR(IF(AND(AW130&lt;&gt;"",VLOOKUP($P130&amp;" | "&amp;AN$6,'Job Master'!$F$12:$I$102,4,0)&lt;&gt;""),IF(WEEKDAY(AW130-VLOOKUP($P130&amp;" | "&amp;AN$6,'Job Master'!$F$12:$I$102,4,0))&lt;&gt;7,AW130-VLOOKUP($P130&amp;" | "&amp;AN$6,'Job Master'!$F$12:$I$102,4,0),AW130-VLOOKUP($P130&amp;" | "&amp;AN$6,'Job Master'!$F$12:$I$102,4,0)-1),""),"")</f>
        <v/>
      </c>
      <c r="AQ130" s="73"/>
      <c r="AR130" s="123" t="str">
        <f t="shared" si="147"/>
        <v/>
      </c>
      <c r="AS130" s="123" t="str">
        <f t="shared" si="148"/>
        <v/>
      </c>
      <c r="AT130" s="97" t="str">
        <f t="shared" ca="1" si="149"/>
        <v/>
      </c>
      <c r="AU130" s="98" t="str">
        <f>IF(AW130&lt;&gt;"",VLOOKUP($P130&amp;" | "&amp;AU$6,'Job Master'!$F$12:$J$102,5,0),"")</f>
        <v/>
      </c>
      <c r="AV130" s="19" t="str">
        <f>IF(AW130&lt;&gt;"",VLOOKUP($P130&amp;" | "&amp;AU$6,'Job Master'!$F$12:$J$102,3,0),"")</f>
        <v/>
      </c>
      <c r="AW130" s="19" t="str">
        <f>IFERROR(IF(AND(BD130&lt;&gt;"",VLOOKUP($P130&amp;" | "&amp;AU$6,'Job Master'!$F$12:$I$102,4,0)&lt;&gt;""),IF(WEEKDAY(BD130-VLOOKUP($P130&amp;" | "&amp;AU$6,'Job Master'!$F$12:$I$102,4,0))&lt;&gt;7,BD130-VLOOKUP($P130&amp;" | "&amp;AU$6,'Job Master'!$F$12:$I$102,4,0),BD130-VLOOKUP($P130&amp;" | "&amp;AU$6,'Job Master'!$F$12:$I$102,4,0)-1),""),"")</f>
        <v/>
      </c>
      <c r="AX130" s="73"/>
      <c r="AY130" s="123" t="str">
        <f t="shared" si="150"/>
        <v/>
      </c>
      <c r="AZ130" s="123" t="str">
        <f t="shared" si="151"/>
        <v/>
      </c>
      <c r="BA130" s="97" t="str">
        <f t="shared" ca="1" si="152"/>
        <v/>
      </c>
      <c r="BB130" s="98" t="str">
        <f>IF(BD130&lt;&gt;"",VLOOKUP($P130&amp;" | "&amp;BB$6,'Job Master'!$F$12:$J$102,5,0),"")</f>
        <v/>
      </c>
      <c r="BC130" s="19" t="str">
        <f>IF(BD130&lt;&gt;"",VLOOKUP($P130&amp;" | "&amp;BB$6,'Job Master'!$F$12:$J$102,3,0),"")</f>
        <v/>
      </c>
      <c r="BD130" s="19" t="str">
        <f>IFERROR(IF(AND(BK130&lt;&gt;"",VLOOKUP($P130&amp;" | "&amp;BB$6,'Job Master'!$F$12:$I$102,4,0)&lt;&gt;""),IF(WEEKDAY(BK130-VLOOKUP($P130&amp;" | "&amp;BB$6,'Job Master'!$F$12:$I$102,4,0))&lt;&gt;7,BK130-VLOOKUP($P130&amp;" | "&amp;BB$6,'Job Master'!$F$12:$I$102,4,0),BK130-VLOOKUP($P130&amp;" | "&amp;BB$6,'Job Master'!$F$12:$I$102,4,0)-1),""),"")</f>
        <v/>
      </c>
      <c r="BE130" s="73"/>
      <c r="BF130" s="123" t="str">
        <f t="shared" si="153"/>
        <v/>
      </c>
      <c r="BG130" s="123" t="str">
        <f t="shared" si="154"/>
        <v/>
      </c>
      <c r="BH130" s="97" t="str">
        <f t="shared" ca="1" si="155"/>
        <v/>
      </c>
      <c r="BI130" s="98" t="str">
        <f>IF(BK130&lt;&gt;"",VLOOKUP($P130&amp;" | "&amp;BI$6,'Job Master'!$F$12:$J$102,5,0),"")</f>
        <v/>
      </c>
      <c r="BJ130" s="19" t="str">
        <f>IF(BK130&lt;&gt;"",VLOOKUP($P130&amp;" | "&amp;BI$6,'Job Master'!$F$12:$J$102,3,0),"")</f>
        <v/>
      </c>
      <c r="BK130" s="19" t="str">
        <f>IFERROR(IF(AND(BR130&lt;&gt;"",VLOOKUP($P130&amp;" | "&amp;BI$6,'Job Master'!$F$12:$I$102,4,0)&lt;&gt;""),IF(WEEKDAY(BR130-VLOOKUP($P130&amp;" | "&amp;BI$6,'Job Master'!$F$12:$I$102,4,0))&lt;&gt;7,BR130-VLOOKUP($P130&amp;" | "&amp;BI$6,'Job Master'!$F$12:$I$102,4,0),BR130-VLOOKUP($P130&amp;" | "&amp;BI$6,'Job Master'!$F$12:$I$102,4,0)-1),""),"")</f>
        <v/>
      </c>
      <c r="BL130" s="73"/>
      <c r="BM130" s="123" t="str">
        <f t="shared" si="156"/>
        <v/>
      </c>
      <c r="BN130" s="123" t="str">
        <f t="shared" si="157"/>
        <v/>
      </c>
      <c r="BO130" s="97" t="str">
        <f t="shared" ca="1" si="158"/>
        <v/>
      </c>
      <c r="BP130" s="98" t="str">
        <f>IF(BR130&lt;&gt;"",VLOOKUP($P130&amp;" | "&amp;BP$6,'Job Master'!$F$12:$J$102,5,0),"")</f>
        <v/>
      </c>
      <c r="BQ130" s="19" t="str">
        <f>IF(BR130&lt;&gt;"",VLOOKUP($P130&amp;" | "&amp;BP$6,'Job Master'!$F$12:$J$102,3,0),"")</f>
        <v/>
      </c>
      <c r="BR130" s="19" t="str">
        <f>IFERROR(IF(AND(BY130&lt;&gt;"",VLOOKUP($P130&amp;" | "&amp;BP$6,'Job Master'!$F$12:$I$102,4,0)&lt;&gt;""),IF(WEEKDAY(BY130-VLOOKUP($P130&amp;" | "&amp;BP$6,'Job Master'!$F$12:$I$102,4,0))&lt;&gt;7,BY130-VLOOKUP($P130&amp;" | "&amp;BP$6,'Job Master'!$F$12:$I$102,4,0),BY130-VLOOKUP($P130&amp;" | "&amp;BP$6,'Job Master'!$F$12:$I$102,4,0)-1),""),"")</f>
        <v/>
      </c>
      <c r="BS130" s="73"/>
      <c r="BT130" s="123" t="str">
        <f t="shared" si="159"/>
        <v/>
      </c>
      <c r="BU130" s="123" t="str">
        <f t="shared" si="160"/>
        <v/>
      </c>
      <c r="BV130" s="97" t="str">
        <f t="shared" ca="1" si="161"/>
        <v/>
      </c>
      <c r="BW130" s="98" t="str">
        <f>IF(BY130&lt;&gt;"",VLOOKUP($P130&amp;" | "&amp;BW$6,'Job Master'!$F$12:$J$102,5,0),"")</f>
        <v/>
      </c>
      <c r="BX130" s="19" t="str">
        <f>IF(BY130&lt;&gt;"",VLOOKUP($P130&amp;" | "&amp;BW$6,'Job Master'!$F$12:$J$102,3,0),"")</f>
        <v/>
      </c>
      <c r="BY130" s="19" t="str">
        <f>IFERROR(IF(AND(CF130&lt;&gt;"",VLOOKUP($P130&amp;" | "&amp;BW$6,'Job Master'!$F$12:$I$102,4,0)&lt;&gt;""),IF(WEEKDAY(CF130-VLOOKUP($P130&amp;" | "&amp;BW$6,'Job Master'!$F$12:$I$102,4,0))&lt;&gt;7,CF130-VLOOKUP($P130&amp;" | "&amp;BW$6,'Job Master'!$F$12:$I$102,4,0),CF130-VLOOKUP($P130&amp;" | "&amp;BW$6,'Job Master'!$F$12:$I$102,4,0)-1),""),"")</f>
        <v/>
      </c>
      <c r="BZ130" s="73"/>
      <c r="CA130" s="123" t="str">
        <f t="shared" si="162"/>
        <v/>
      </c>
      <c r="CB130" s="123" t="str">
        <f t="shared" si="163"/>
        <v/>
      </c>
      <c r="CC130" s="97" t="str">
        <f t="shared" ca="1" si="164"/>
        <v/>
      </c>
      <c r="CD130" s="98" t="str">
        <f>IF(CF130&lt;&gt;"",VLOOKUP($P130&amp;" | "&amp;CD$6,'Job Master'!$F$12:$J$102,5,0),"")</f>
        <v/>
      </c>
      <c r="CE130" s="19" t="str">
        <f>IF(CF130&lt;&gt;"",VLOOKUP($P130&amp;" | "&amp;CD$6,'Job Master'!$F$12:$J$102,3,0),"")</f>
        <v/>
      </c>
      <c r="CF130" s="19" t="str">
        <f>IFERROR(IF(AND(CM130&lt;&gt;"",VLOOKUP($P130&amp;" | "&amp;CD$6,'Job Master'!$F$12:$I$102,4,0)&lt;&gt;""),IF(WEEKDAY(CM130-VLOOKUP($P130&amp;" | "&amp;CD$6,'Job Master'!$F$12:$I$102,4,0))&lt;&gt;7,CM130-VLOOKUP($P130&amp;" | "&amp;CD$6,'Job Master'!$F$12:$I$102,4,0),CM130-VLOOKUP($P130&amp;" | "&amp;CD$6,'Job Master'!$F$12:$I$102,4,0)-1),""),"")</f>
        <v/>
      </c>
      <c r="CG130" s="73"/>
      <c r="CH130" s="123" t="str">
        <f t="shared" si="165"/>
        <v/>
      </c>
      <c r="CI130" s="123" t="str">
        <f t="shared" si="166"/>
        <v/>
      </c>
      <c r="CJ130" s="97" t="str">
        <f t="shared" ca="1" si="167"/>
        <v/>
      </c>
      <c r="CK130" s="98" t="str">
        <f>IF(CM130&lt;&gt;"",VLOOKUP($P130&amp;" | "&amp;CK$6,'Job Master'!$F$12:$J$102,5,0),"")</f>
        <v/>
      </c>
      <c r="CL130" s="19" t="str">
        <f>IF(CM130&lt;&gt;"",VLOOKUP($P130&amp;" | "&amp;CK$6,'Job Master'!$F$12:$J$102,3,0),"")</f>
        <v/>
      </c>
      <c r="CM130" s="19" t="str">
        <f>IFERROR(IF(AND(CT130&lt;&gt;"",VLOOKUP($P130&amp;" | "&amp;CK$6,'Job Master'!$F$12:$I$102,4,0)&lt;&gt;""),IF(WEEKDAY(CT130-VLOOKUP($P130&amp;" | "&amp;CK$6,'Job Master'!$F$12:$I$102,4,0))&lt;&gt;7,CT130-VLOOKUP($P130&amp;" | "&amp;CK$6,'Job Master'!$F$12:$I$102,4,0),CT130-VLOOKUP($P130&amp;" | "&amp;CK$6,'Job Master'!$F$12:$I$102,4,0)-1),""),"")</f>
        <v/>
      </c>
      <c r="CN130" s="73"/>
      <c r="CO130" s="123" t="str">
        <f t="shared" si="168"/>
        <v/>
      </c>
      <c r="CP130" s="123" t="str">
        <f t="shared" si="169"/>
        <v/>
      </c>
      <c r="CQ130" s="97" t="str">
        <f t="shared" ca="1" si="170"/>
        <v/>
      </c>
      <c r="CR130" s="98" t="str">
        <f>IF(CT130&lt;&gt;"",VLOOKUP($P130&amp;" | "&amp;CR$6,'Job Master'!$F$12:$J$102,5,0),"")</f>
        <v/>
      </c>
      <c r="CS130" s="19" t="str">
        <f>IF(CT130&lt;&gt;"",VLOOKUP($P130&amp;" | "&amp;CR$6,'Job Master'!$F$12:$J$102,3,0),"")</f>
        <v/>
      </c>
      <c r="CT130" s="19" t="str">
        <f>IFERROR(IF(AND(DA130&lt;&gt;"",VLOOKUP($P130&amp;" | "&amp;CR$6,'Job Master'!$F$12:$I$102,4,0)&lt;&gt;""),IF(WEEKDAY(DA130-VLOOKUP($P130&amp;" | "&amp;CR$6,'Job Master'!$F$12:$I$102,4,0))&lt;&gt;7,DA130-VLOOKUP($P130&amp;" | "&amp;CR$6,'Job Master'!$F$12:$I$102,4,0),DA130-VLOOKUP($P130&amp;" | "&amp;CR$6,'Job Master'!$F$12:$I$102,4,0)-1),""),"")</f>
        <v/>
      </c>
      <c r="CU130" s="73"/>
      <c r="CV130" s="123" t="str">
        <f t="shared" si="171"/>
        <v/>
      </c>
      <c r="CW130" s="123" t="str">
        <f t="shared" si="172"/>
        <v/>
      </c>
      <c r="CX130" s="97" t="str">
        <f t="shared" ca="1" si="173"/>
        <v/>
      </c>
      <c r="CY130" s="98" t="str">
        <f>IF(DA130&lt;&gt;"",VLOOKUP($P130&amp;" | "&amp;CY$6,'Job Master'!$F$12:$J$102,5,0),"")</f>
        <v/>
      </c>
      <c r="CZ130" s="19" t="str">
        <f>IF(DA130&lt;&gt;"",VLOOKUP($P130&amp;" | "&amp;CY$6,'Job Master'!$F$12:$J$102,3,0),"")</f>
        <v/>
      </c>
      <c r="DA130" s="19" t="str">
        <f>IFERROR(IF(AND(DH130&lt;&gt;"",VLOOKUP($P130&amp;" | "&amp;CY$6,'Job Master'!$F$12:$I$102,4,0)&lt;&gt;""),IF(WEEKDAY(DH130-VLOOKUP($P130&amp;" | "&amp;CY$6,'Job Master'!$F$12:$I$102,4,0))&lt;&gt;7,DH130-VLOOKUP($P130&amp;" | "&amp;CY$6,'Job Master'!$F$12:$I$102,4,0),DH130-VLOOKUP($P130&amp;" | "&amp;CY$6,'Job Master'!$F$12:$I$102,4,0)-1),""),"")</f>
        <v/>
      </c>
      <c r="DB130" s="73"/>
      <c r="DC130" s="123" t="str">
        <f t="shared" si="174"/>
        <v/>
      </c>
      <c r="DD130" s="123" t="str">
        <f t="shared" si="175"/>
        <v/>
      </c>
      <c r="DE130" s="97" t="str">
        <f t="shared" ca="1" si="176"/>
        <v/>
      </c>
      <c r="DF130" s="98" t="str">
        <f>IF(DH130&lt;&gt;"",VLOOKUP($P130&amp;" | "&amp;DF$6,'Job Master'!$F$12:$J$102,5,0),"")</f>
        <v/>
      </c>
      <c r="DG130" s="19" t="str">
        <f>IF(DH130&lt;&gt;"",VLOOKUP($P130&amp;" | "&amp;DF$6,'Job Master'!$F$12:$J$102,3,0),"")</f>
        <v/>
      </c>
      <c r="DH130" s="19" t="str">
        <f>IFERROR(IF(AND(DO130&lt;&gt;"",VLOOKUP($P130&amp;" | "&amp;DF$6,'Job Master'!$F$12:$I$102,4,0)&lt;&gt;""),IF(WEEKDAY(DO130-VLOOKUP($P130&amp;" | "&amp;DF$6,'Job Master'!$F$12:$I$102,4,0))&lt;&gt;7,DO130-VLOOKUP($P130&amp;" | "&amp;DF$6,'Job Master'!$F$12:$I$102,4,0),DO130-VLOOKUP($P130&amp;" | "&amp;DF$6,'Job Master'!$F$12:$I$102,4,0)-1),""),"")</f>
        <v/>
      </c>
      <c r="DI130" s="73"/>
      <c r="DJ130" s="123" t="str">
        <f t="shared" si="177"/>
        <v/>
      </c>
      <c r="DK130" s="123" t="str">
        <f t="shared" si="178"/>
        <v/>
      </c>
      <c r="DL130" s="97" t="str">
        <f t="shared" ca="1" si="179"/>
        <v/>
      </c>
      <c r="DM130" s="98" t="str">
        <f>IF(DO130&lt;&gt;"",VLOOKUP($P130&amp;" | "&amp;DM$6,'Job Master'!$F$12:$J$102,5,0),"")</f>
        <v/>
      </c>
      <c r="DN130" s="19" t="str">
        <f>IF(DO130&lt;&gt;"",VLOOKUP($P130&amp;" | "&amp;DM$6,'Job Master'!$F$12:$J$102,3,0),"")</f>
        <v/>
      </c>
      <c r="DO130" s="19" t="str">
        <f>IFERROR(IF(AND(DT130&lt;&gt;"",VLOOKUP($P130&amp;" | "&amp;DM$6,'Job Master'!$F$12:$I$102,4,0)&lt;&gt;""),IF(WEEKDAY(DT130-VLOOKUP($P130&amp;" | "&amp;DM$6,'Job Master'!$F$12:$I$102,4,0))&lt;&gt;7,DT130-VLOOKUP($P130&amp;" | "&amp;DM$6,'Job Master'!$F$12:$I$102,4,0),DT130-VLOOKUP($P130&amp;" | "&amp;DM$6,'Job Master'!$F$12:$I$102,4,0)-1),""),"")</f>
        <v/>
      </c>
      <c r="DP130" s="73"/>
      <c r="DQ130" s="123" t="str">
        <f t="shared" si="180"/>
        <v/>
      </c>
      <c r="DR130" s="123" t="str">
        <f t="shared" si="181"/>
        <v/>
      </c>
      <c r="DS130" s="97" t="str">
        <f t="shared" ca="1" si="182"/>
        <v/>
      </c>
      <c r="DT130" s="70" t="str">
        <f t="shared" si="183"/>
        <v/>
      </c>
      <c r="DU130" s="90"/>
      <c r="DV130" s="123" t="str">
        <f t="shared" si="184"/>
        <v/>
      </c>
      <c r="DW130" s="123" t="str">
        <f t="shared" si="185"/>
        <v/>
      </c>
      <c r="DX130" s="132" t="str">
        <f t="shared" ref="DX130" ca="1" si="253">IF(DT130&lt;&gt;"",IF(WEEKNUM(DT130)=WEEKNUM(TODAY()),"This Week",IF(WEEKNUM(DT130)=WEEKNUM(TODAY())+1,"Next Week",IF(WEEKNUM(DT130)=WEEKNUM(TODAY())-1,"Previous Week",""))),"")</f>
        <v/>
      </c>
      <c r="DY130" s="134" t="str">
        <f t="shared" si="187"/>
        <v/>
      </c>
      <c r="DZ130" s="95"/>
      <c r="EB130" s="8" t="str">
        <f t="shared" si="193"/>
        <v/>
      </c>
      <c r="EC130" s="8" t="str">
        <f>IF(O130&lt;&gt;"",VLOOKUP(O130,'Job Master'!$N$12:$O$18,2,0),"")</f>
        <v/>
      </c>
      <c r="ED130" s="8">
        <f t="shared" si="194"/>
        <v>19.5</v>
      </c>
      <c r="EE130" s="8">
        <f t="shared" si="195"/>
        <v>6</v>
      </c>
      <c r="EF130" s="8">
        <f t="shared" si="196"/>
        <v>-700.5</v>
      </c>
      <c r="EG130" s="8" t="str">
        <f t="shared" si="197"/>
        <v/>
      </c>
      <c r="EH130" s="8" t="str">
        <f t="shared" si="198"/>
        <v/>
      </c>
    </row>
    <row r="131" spans="2:138" x14ac:dyDescent="0.3">
      <c r="B131" s="112"/>
      <c r="C131" s="27"/>
      <c r="D131" s="7" t="str">
        <f t="shared" si="135"/>
        <v/>
      </c>
      <c r="E131" s="25"/>
      <c r="F131" s="7" t="str">
        <f t="shared" si="135"/>
        <v/>
      </c>
      <c r="G131" s="25"/>
      <c r="H131" s="7" t="str">
        <f t="shared" si="135"/>
        <v/>
      </c>
      <c r="I131" s="25"/>
      <c r="J131" s="7" t="str">
        <f t="shared" si="135"/>
        <v/>
      </c>
      <c r="K131" s="25"/>
      <c r="L131" s="7" t="str">
        <f t="shared" si="136"/>
        <v/>
      </c>
      <c r="M131" s="25"/>
      <c r="N131" s="7" t="str">
        <f t="shared" si="137"/>
        <v/>
      </c>
      <c r="O131" s="81"/>
      <c r="P131" s="81" t="str">
        <f t="shared" si="138"/>
        <v/>
      </c>
      <c r="Q131" s="81"/>
      <c r="R131" s="7" t="str">
        <f t="shared" si="139"/>
        <v/>
      </c>
      <c r="S131" s="25"/>
      <c r="T131" s="7" t="str">
        <f t="shared" si="140"/>
        <v/>
      </c>
      <c r="U131" s="25"/>
      <c r="V131" s="7" t="str">
        <f t="shared" si="141"/>
        <v/>
      </c>
      <c r="W131" s="25"/>
      <c r="X131" s="7" t="str">
        <f t="shared" si="142"/>
        <v/>
      </c>
      <c r="Y131" s="18" t="str">
        <f t="shared" si="143"/>
        <v/>
      </c>
      <c r="Z131" s="7" t="str">
        <f t="shared" si="144"/>
        <v/>
      </c>
      <c r="AA131" s="18" t="str">
        <f t="shared" si="145"/>
        <v/>
      </c>
      <c r="AB131" s="19" t="str">
        <f t="shared" si="146"/>
        <v/>
      </c>
      <c r="AC131" s="26"/>
      <c r="AD131" s="26"/>
      <c r="AE131" s="25"/>
      <c r="AF131" s="26"/>
      <c r="AG131" s="25"/>
      <c r="AH131" s="25"/>
      <c r="AI131" s="18" t="str">
        <f t="shared" si="209"/>
        <v/>
      </c>
      <c r="AJ131" s="25"/>
      <c r="AK131" s="18" t="str">
        <f t="shared" si="210"/>
        <v/>
      </c>
      <c r="AL131" s="79"/>
      <c r="AM131" s="126" t="str">
        <f t="shared" si="211"/>
        <v/>
      </c>
      <c r="AN131" s="128" t="str">
        <f>IF(AP131&lt;&gt;"",VLOOKUP($P131&amp;" | "&amp;AN$6,'Job Master'!$F$12:$J$102,5,0),"")</f>
        <v/>
      </c>
      <c r="AO131" s="19" t="str">
        <f>IF(AP131&lt;&gt;"",VLOOKUP($P131&amp;" | "&amp;AN$6,'Job Master'!$F$12:$J$102,3,0),"")</f>
        <v/>
      </c>
      <c r="AP131" s="19" t="str">
        <f>IFERROR(IF(AND(AW131&lt;&gt;"",VLOOKUP($P131&amp;" | "&amp;AN$6,'Job Master'!$F$12:$I$102,4,0)&lt;&gt;""),IF(WEEKDAY(AW131-VLOOKUP($P131&amp;" | "&amp;AN$6,'Job Master'!$F$12:$I$102,4,0))&lt;&gt;7,AW131-VLOOKUP($P131&amp;" | "&amp;AN$6,'Job Master'!$F$12:$I$102,4,0),AW131-VLOOKUP($P131&amp;" | "&amp;AN$6,'Job Master'!$F$12:$I$102,4,0)-1),""),"")</f>
        <v/>
      </c>
      <c r="AQ131" s="73"/>
      <c r="AR131" s="123" t="str">
        <f t="shared" si="147"/>
        <v/>
      </c>
      <c r="AS131" s="123" t="str">
        <f t="shared" si="148"/>
        <v/>
      </c>
      <c r="AT131" s="97" t="str">
        <f t="shared" ca="1" si="149"/>
        <v/>
      </c>
      <c r="AU131" s="98" t="str">
        <f>IF(AW131&lt;&gt;"",VLOOKUP($P131&amp;" | "&amp;AU$6,'Job Master'!$F$12:$J$102,5,0),"")</f>
        <v/>
      </c>
      <c r="AV131" s="19" t="str">
        <f>IF(AW131&lt;&gt;"",VLOOKUP($P131&amp;" | "&amp;AU$6,'Job Master'!$F$12:$J$102,3,0),"")</f>
        <v/>
      </c>
      <c r="AW131" s="19" t="str">
        <f>IFERROR(IF(AND(BD131&lt;&gt;"",VLOOKUP($P131&amp;" | "&amp;AU$6,'Job Master'!$F$12:$I$102,4,0)&lt;&gt;""),IF(WEEKDAY(BD131-VLOOKUP($P131&amp;" | "&amp;AU$6,'Job Master'!$F$12:$I$102,4,0))&lt;&gt;7,BD131-VLOOKUP($P131&amp;" | "&amp;AU$6,'Job Master'!$F$12:$I$102,4,0),BD131-VLOOKUP($P131&amp;" | "&amp;AU$6,'Job Master'!$F$12:$I$102,4,0)-1),""),"")</f>
        <v/>
      </c>
      <c r="AX131" s="73"/>
      <c r="AY131" s="123" t="str">
        <f t="shared" si="150"/>
        <v/>
      </c>
      <c r="AZ131" s="123" t="str">
        <f t="shared" si="151"/>
        <v/>
      </c>
      <c r="BA131" s="97" t="str">
        <f t="shared" ca="1" si="152"/>
        <v/>
      </c>
      <c r="BB131" s="98" t="str">
        <f>IF(BD131&lt;&gt;"",VLOOKUP($P131&amp;" | "&amp;BB$6,'Job Master'!$F$12:$J$102,5,0),"")</f>
        <v/>
      </c>
      <c r="BC131" s="19" t="str">
        <f>IF(BD131&lt;&gt;"",VLOOKUP($P131&amp;" | "&amp;BB$6,'Job Master'!$F$12:$J$102,3,0),"")</f>
        <v/>
      </c>
      <c r="BD131" s="19" t="str">
        <f>IFERROR(IF(AND(BK131&lt;&gt;"",VLOOKUP($P131&amp;" | "&amp;BB$6,'Job Master'!$F$12:$I$102,4,0)&lt;&gt;""),IF(WEEKDAY(BK131-VLOOKUP($P131&amp;" | "&amp;BB$6,'Job Master'!$F$12:$I$102,4,0))&lt;&gt;7,BK131-VLOOKUP($P131&amp;" | "&amp;BB$6,'Job Master'!$F$12:$I$102,4,0),BK131-VLOOKUP($P131&amp;" | "&amp;BB$6,'Job Master'!$F$12:$I$102,4,0)-1),""),"")</f>
        <v/>
      </c>
      <c r="BE131" s="73"/>
      <c r="BF131" s="123" t="str">
        <f t="shared" si="153"/>
        <v/>
      </c>
      <c r="BG131" s="123" t="str">
        <f t="shared" si="154"/>
        <v/>
      </c>
      <c r="BH131" s="97" t="str">
        <f t="shared" ca="1" si="155"/>
        <v/>
      </c>
      <c r="BI131" s="98" t="str">
        <f>IF(BK131&lt;&gt;"",VLOOKUP($P131&amp;" | "&amp;BI$6,'Job Master'!$F$12:$J$102,5,0),"")</f>
        <v/>
      </c>
      <c r="BJ131" s="19" t="str">
        <f>IF(BK131&lt;&gt;"",VLOOKUP($P131&amp;" | "&amp;BI$6,'Job Master'!$F$12:$J$102,3,0),"")</f>
        <v/>
      </c>
      <c r="BK131" s="19" t="str">
        <f>IFERROR(IF(AND(BR131&lt;&gt;"",VLOOKUP($P131&amp;" | "&amp;BI$6,'Job Master'!$F$12:$I$102,4,0)&lt;&gt;""),IF(WEEKDAY(BR131-VLOOKUP($P131&amp;" | "&amp;BI$6,'Job Master'!$F$12:$I$102,4,0))&lt;&gt;7,BR131-VLOOKUP($P131&amp;" | "&amp;BI$6,'Job Master'!$F$12:$I$102,4,0),BR131-VLOOKUP($P131&amp;" | "&amp;BI$6,'Job Master'!$F$12:$I$102,4,0)-1),""),"")</f>
        <v/>
      </c>
      <c r="BL131" s="73"/>
      <c r="BM131" s="123" t="str">
        <f t="shared" si="156"/>
        <v/>
      </c>
      <c r="BN131" s="123" t="str">
        <f t="shared" si="157"/>
        <v/>
      </c>
      <c r="BO131" s="97" t="str">
        <f t="shared" ca="1" si="158"/>
        <v/>
      </c>
      <c r="BP131" s="98" t="str">
        <f>IF(BR131&lt;&gt;"",VLOOKUP($P131&amp;" | "&amp;BP$6,'Job Master'!$F$12:$J$102,5,0),"")</f>
        <v/>
      </c>
      <c r="BQ131" s="19" t="str">
        <f>IF(BR131&lt;&gt;"",VLOOKUP($P131&amp;" | "&amp;BP$6,'Job Master'!$F$12:$J$102,3,0),"")</f>
        <v/>
      </c>
      <c r="BR131" s="19" t="str">
        <f>IFERROR(IF(AND(BY131&lt;&gt;"",VLOOKUP($P131&amp;" | "&amp;BP$6,'Job Master'!$F$12:$I$102,4,0)&lt;&gt;""),IF(WEEKDAY(BY131-VLOOKUP($P131&amp;" | "&amp;BP$6,'Job Master'!$F$12:$I$102,4,0))&lt;&gt;7,BY131-VLOOKUP($P131&amp;" | "&amp;BP$6,'Job Master'!$F$12:$I$102,4,0),BY131-VLOOKUP($P131&amp;" | "&amp;BP$6,'Job Master'!$F$12:$I$102,4,0)-1),""),"")</f>
        <v/>
      </c>
      <c r="BS131" s="73"/>
      <c r="BT131" s="123" t="str">
        <f t="shared" si="159"/>
        <v/>
      </c>
      <c r="BU131" s="123" t="str">
        <f t="shared" si="160"/>
        <v/>
      </c>
      <c r="BV131" s="97" t="str">
        <f t="shared" ca="1" si="161"/>
        <v/>
      </c>
      <c r="BW131" s="98" t="str">
        <f>IF(BY131&lt;&gt;"",VLOOKUP($P131&amp;" | "&amp;BW$6,'Job Master'!$F$12:$J$102,5,0),"")</f>
        <v/>
      </c>
      <c r="BX131" s="19" t="str">
        <f>IF(BY131&lt;&gt;"",VLOOKUP($P131&amp;" | "&amp;BW$6,'Job Master'!$F$12:$J$102,3,0),"")</f>
        <v/>
      </c>
      <c r="BY131" s="19" t="str">
        <f>IFERROR(IF(AND(CF131&lt;&gt;"",VLOOKUP($P131&amp;" | "&amp;BW$6,'Job Master'!$F$12:$I$102,4,0)&lt;&gt;""),IF(WEEKDAY(CF131-VLOOKUP($P131&amp;" | "&amp;BW$6,'Job Master'!$F$12:$I$102,4,0))&lt;&gt;7,CF131-VLOOKUP($P131&amp;" | "&amp;BW$6,'Job Master'!$F$12:$I$102,4,0),CF131-VLOOKUP($P131&amp;" | "&amp;BW$6,'Job Master'!$F$12:$I$102,4,0)-1),""),"")</f>
        <v/>
      </c>
      <c r="BZ131" s="73"/>
      <c r="CA131" s="123" t="str">
        <f t="shared" si="162"/>
        <v/>
      </c>
      <c r="CB131" s="123" t="str">
        <f t="shared" si="163"/>
        <v/>
      </c>
      <c r="CC131" s="97" t="str">
        <f t="shared" ca="1" si="164"/>
        <v/>
      </c>
      <c r="CD131" s="98" t="str">
        <f>IF(CF131&lt;&gt;"",VLOOKUP($P131&amp;" | "&amp;CD$6,'Job Master'!$F$12:$J$102,5,0),"")</f>
        <v/>
      </c>
      <c r="CE131" s="19" t="str">
        <f>IF(CF131&lt;&gt;"",VLOOKUP($P131&amp;" | "&amp;CD$6,'Job Master'!$F$12:$J$102,3,0),"")</f>
        <v/>
      </c>
      <c r="CF131" s="19" t="str">
        <f>IFERROR(IF(AND(CM131&lt;&gt;"",VLOOKUP($P131&amp;" | "&amp;CD$6,'Job Master'!$F$12:$I$102,4,0)&lt;&gt;""),IF(WEEKDAY(CM131-VLOOKUP($P131&amp;" | "&amp;CD$6,'Job Master'!$F$12:$I$102,4,0))&lt;&gt;7,CM131-VLOOKUP($P131&amp;" | "&amp;CD$6,'Job Master'!$F$12:$I$102,4,0),CM131-VLOOKUP($P131&amp;" | "&amp;CD$6,'Job Master'!$F$12:$I$102,4,0)-1),""),"")</f>
        <v/>
      </c>
      <c r="CG131" s="73"/>
      <c r="CH131" s="123" t="str">
        <f t="shared" si="165"/>
        <v/>
      </c>
      <c r="CI131" s="123" t="str">
        <f t="shared" si="166"/>
        <v/>
      </c>
      <c r="CJ131" s="97" t="str">
        <f t="shared" ca="1" si="167"/>
        <v/>
      </c>
      <c r="CK131" s="98" t="str">
        <f>IF(CM131&lt;&gt;"",VLOOKUP($P131&amp;" | "&amp;CK$6,'Job Master'!$F$12:$J$102,5,0),"")</f>
        <v/>
      </c>
      <c r="CL131" s="19" t="str">
        <f>IF(CM131&lt;&gt;"",VLOOKUP($P131&amp;" | "&amp;CK$6,'Job Master'!$F$12:$J$102,3,0),"")</f>
        <v/>
      </c>
      <c r="CM131" s="19" t="str">
        <f>IFERROR(IF(AND(CT131&lt;&gt;"",VLOOKUP($P131&amp;" | "&amp;CK$6,'Job Master'!$F$12:$I$102,4,0)&lt;&gt;""),IF(WEEKDAY(CT131-VLOOKUP($P131&amp;" | "&amp;CK$6,'Job Master'!$F$12:$I$102,4,0))&lt;&gt;7,CT131-VLOOKUP($P131&amp;" | "&amp;CK$6,'Job Master'!$F$12:$I$102,4,0),CT131-VLOOKUP($P131&amp;" | "&amp;CK$6,'Job Master'!$F$12:$I$102,4,0)-1),""),"")</f>
        <v/>
      </c>
      <c r="CN131" s="73"/>
      <c r="CO131" s="123" t="str">
        <f t="shared" si="168"/>
        <v/>
      </c>
      <c r="CP131" s="123" t="str">
        <f t="shared" si="169"/>
        <v/>
      </c>
      <c r="CQ131" s="97" t="str">
        <f t="shared" ca="1" si="170"/>
        <v/>
      </c>
      <c r="CR131" s="98" t="str">
        <f>IF(CT131&lt;&gt;"",VLOOKUP($P131&amp;" | "&amp;CR$6,'Job Master'!$F$12:$J$102,5,0),"")</f>
        <v/>
      </c>
      <c r="CS131" s="19" t="str">
        <f>IF(CT131&lt;&gt;"",VLOOKUP($P131&amp;" | "&amp;CR$6,'Job Master'!$F$12:$J$102,3,0),"")</f>
        <v/>
      </c>
      <c r="CT131" s="19" t="str">
        <f>IFERROR(IF(AND(DA131&lt;&gt;"",VLOOKUP($P131&amp;" | "&amp;CR$6,'Job Master'!$F$12:$I$102,4,0)&lt;&gt;""),IF(WEEKDAY(DA131-VLOOKUP($P131&amp;" | "&amp;CR$6,'Job Master'!$F$12:$I$102,4,0))&lt;&gt;7,DA131-VLOOKUP($P131&amp;" | "&amp;CR$6,'Job Master'!$F$12:$I$102,4,0),DA131-VLOOKUP($P131&amp;" | "&amp;CR$6,'Job Master'!$F$12:$I$102,4,0)-1),""),"")</f>
        <v/>
      </c>
      <c r="CU131" s="73"/>
      <c r="CV131" s="123" t="str">
        <f t="shared" si="171"/>
        <v/>
      </c>
      <c r="CW131" s="123" t="str">
        <f t="shared" si="172"/>
        <v/>
      </c>
      <c r="CX131" s="97" t="str">
        <f t="shared" ca="1" si="173"/>
        <v/>
      </c>
      <c r="CY131" s="98" t="str">
        <f>IF(DA131&lt;&gt;"",VLOOKUP($P131&amp;" | "&amp;CY$6,'Job Master'!$F$12:$J$102,5,0),"")</f>
        <v/>
      </c>
      <c r="CZ131" s="19" t="str">
        <f>IF(DA131&lt;&gt;"",VLOOKUP($P131&amp;" | "&amp;CY$6,'Job Master'!$F$12:$J$102,3,0),"")</f>
        <v/>
      </c>
      <c r="DA131" s="19" t="str">
        <f>IFERROR(IF(AND(DH131&lt;&gt;"",VLOOKUP($P131&amp;" | "&amp;CY$6,'Job Master'!$F$12:$I$102,4,0)&lt;&gt;""),IF(WEEKDAY(DH131-VLOOKUP($P131&amp;" | "&amp;CY$6,'Job Master'!$F$12:$I$102,4,0))&lt;&gt;7,DH131-VLOOKUP($P131&amp;" | "&amp;CY$6,'Job Master'!$F$12:$I$102,4,0),DH131-VLOOKUP($P131&amp;" | "&amp;CY$6,'Job Master'!$F$12:$I$102,4,0)-1),""),"")</f>
        <v/>
      </c>
      <c r="DB131" s="73"/>
      <c r="DC131" s="123" t="str">
        <f t="shared" si="174"/>
        <v/>
      </c>
      <c r="DD131" s="123" t="str">
        <f t="shared" si="175"/>
        <v/>
      </c>
      <c r="DE131" s="97" t="str">
        <f t="shared" ca="1" si="176"/>
        <v/>
      </c>
      <c r="DF131" s="98" t="str">
        <f>IF(DH131&lt;&gt;"",VLOOKUP($P131&amp;" | "&amp;DF$6,'Job Master'!$F$12:$J$102,5,0),"")</f>
        <v/>
      </c>
      <c r="DG131" s="19" t="str">
        <f>IF(DH131&lt;&gt;"",VLOOKUP($P131&amp;" | "&amp;DF$6,'Job Master'!$F$12:$J$102,3,0),"")</f>
        <v/>
      </c>
      <c r="DH131" s="19" t="str">
        <f>IFERROR(IF(AND(DO131&lt;&gt;"",VLOOKUP($P131&amp;" | "&amp;DF$6,'Job Master'!$F$12:$I$102,4,0)&lt;&gt;""),IF(WEEKDAY(DO131-VLOOKUP($P131&amp;" | "&amp;DF$6,'Job Master'!$F$12:$I$102,4,0))&lt;&gt;7,DO131-VLOOKUP($P131&amp;" | "&amp;DF$6,'Job Master'!$F$12:$I$102,4,0),DO131-VLOOKUP($P131&amp;" | "&amp;DF$6,'Job Master'!$F$12:$I$102,4,0)-1),""),"")</f>
        <v/>
      </c>
      <c r="DI131" s="73"/>
      <c r="DJ131" s="123" t="str">
        <f t="shared" si="177"/>
        <v/>
      </c>
      <c r="DK131" s="123" t="str">
        <f t="shared" si="178"/>
        <v/>
      </c>
      <c r="DL131" s="97" t="str">
        <f t="shared" ca="1" si="179"/>
        <v/>
      </c>
      <c r="DM131" s="98" t="str">
        <f>IF(DO131&lt;&gt;"",VLOOKUP($P131&amp;" | "&amp;DM$6,'Job Master'!$F$12:$J$102,5,0),"")</f>
        <v/>
      </c>
      <c r="DN131" s="19" t="str">
        <f>IF(DO131&lt;&gt;"",VLOOKUP($P131&amp;" | "&amp;DM$6,'Job Master'!$F$12:$J$102,3,0),"")</f>
        <v/>
      </c>
      <c r="DO131" s="19" t="str">
        <f>IFERROR(IF(AND(DT131&lt;&gt;"",VLOOKUP($P131&amp;" | "&amp;DM$6,'Job Master'!$F$12:$I$102,4,0)&lt;&gt;""),IF(WEEKDAY(DT131-VLOOKUP($P131&amp;" | "&amp;DM$6,'Job Master'!$F$12:$I$102,4,0))&lt;&gt;7,DT131-VLOOKUP($P131&amp;" | "&amp;DM$6,'Job Master'!$F$12:$I$102,4,0),DT131-VLOOKUP($P131&amp;" | "&amp;DM$6,'Job Master'!$F$12:$I$102,4,0)-1),""),"")</f>
        <v/>
      </c>
      <c r="DP131" s="73"/>
      <c r="DQ131" s="123" t="str">
        <f t="shared" si="180"/>
        <v/>
      </c>
      <c r="DR131" s="123" t="str">
        <f t="shared" si="181"/>
        <v/>
      </c>
      <c r="DS131" s="97" t="str">
        <f t="shared" ca="1" si="182"/>
        <v/>
      </c>
      <c r="DT131" s="70" t="str">
        <f t="shared" si="183"/>
        <v/>
      </c>
      <c r="DU131" s="90"/>
      <c r="DV131" s="123" t="str">
        <f t="shared" si="184"/>
        <v/>
      </c>
      <c r="DW131" s="123" t="str">
        <f t="shared" si="185"/>
        <v/>
      </c>
      <c r="DX131" s="132" t="str">
        <f t="shared" ref="DX131" ca="1" si="254">IF(DT131&lt;&gt;"",IF(WEEKNUM(DT131)=WEEKNUM(TODAY()),"This Week",IF(WEEKNUM(DT131)=WEEKNUM(TODAY())+1,"Next Week",IF(WEEKNUM(DT131)=WEEKNUM(TODAY())-1,"Previous Week",""))),"")</f>
        <v/>
      </c>
      <c r="DY131" s="134" t="str">
        <f t="shared" si="187"/>
        <v/>
      </c>
      <c r="DZ131" s="95"/>
      <c r="EB131" s="8" t="str">
        <f t="shared" si="193"/>
        <v/>
      </c>
      <c r="EC131" s="8" t="str">
        <f>IF(O131&lt;&gt;"",VLOOKUP(O131,'Job Master'!$N$12:$O$18,2,0),"")</f>
        <v/>
      </c>
      <c r="ED131" s="8">
        <f t="shared" si="194"/>
        <v>19.5</v>
      </c>
      <c r="EE131" s="8">
        <f t="shared" si="195"/>
        <v>6</v>
      </c>
      <c r="EF131" s="8">
        <f t="shared" si="196"/>
        <v>-706.5</v>
      </c>
      <c r="EG131" s="8" t="str">
        <f t="shared" si="197"/>
        <v/>
      </c>
      <c r="EH131" s="8" t="str">
        <f t="shared" si="198"/>
        <v/>
      </c>
    </row>
    <row r="132" spans="2:138" x14ac:dyDescent="0.3">
      <c r="B132" s="112"/>
      <c r="C132" s="27"/>
      <c r="D132" s="7" t="str">
        <f t="shared" si="135"/>
        <v/>
      </c>
      <c r="E132" s="25"/>
      <c r="F132" s="7" t="str">
        <f t="shared" si="135"/>
        <v/>
      </c>
      <c r="G132" s="25"/>
      <c r="H132" s="7" t="str">
        <f t="shared" si="135"/>
        <v/>
      </c>
      <c r="I132" s="25"/>
      <c r="J132" s="7" t="str">
        <f t="shared" si="135"/>
        <v/>
      </c>
      <c r="K132" s="25"/>
      <c r="L132" s="7" t="str">
        <f t="shared" si="136"/>
        <v/>
      </c>
      <c r="M132" s="25"/>
      <c r="N132" s="7" t="str">
        <f t="shared" si="137"/>
        <v/>
      </c>
      <c r="O132" s="81"/>
      <c r="P132" s="81" t="str">
        <f t="shared" si="138"/>
        <v/>
      </c>
      <c r="Q132" s="81"/>
      <c r="R132" s="7" t="str">
        <f t="shared" si="139"/>
        <v/>
      </c>
      <c r="S132" s="25"/>
      <c r="T132" s="7" t="str">
        <f t="shared" si="140"/>
        <v/>
      </c>
      <c r="U132" s="25"/>
      <c r="V132" s="7" t="str">
        <f t="shared" si="141"/>
        <v/>
      </c>
      <c r="W132" s="25"/>
      <c r="X132" s="7" t="str">
        <f t="shared" si="142"/>
        <v/>
      </c>
      <c r="Y132" s="18" t="str">
        <f t="shared" si="143"/>
        <v/>
      </c>
      <c r="Z132" s="7" t="str">
        <f t="shared" si="144"/>
        <v/>
      </c>
      <c r="AA132" s="18" t="str">
        <f t="shared" si="145"/>
        <v/>
      </c>
      <c r="AB132" s="19" t="str">
        <f t="shared" si="146"/>
        <v/>
      </c>
      <c r="AC132" s="26"/>
      <c r="AD132" s="26"/>
      <c r="AE132" s="25"/>
      <c r="AF132" s="26"/>
      <c r="AG132" s="25"/>
      <c r="AH132" s="25"/>
      <c r="AI132" s="18" t="str">
        <f t="shared" si="209"/>
        <v/>
      </c>
      <c r="AJ132" s="25"/>
      <c r="AK132" s="18" t="str">
        <f t="shared" si="210"/>
        <v/>
      </c>
      <c r="AL132" s="79"/>
      <c r="AM132" s="126" t="str">
        <f t="shared" si="211"/>
        <v/>
      </c>
      <c r="AN132" s="128" t="str">
        <f>IF(AP132&lt;&gt;"",VLOOKUP($P132&amp;" | "&amp;AN$6,'Job Master'!$F$12:$J$102,5,0),"")</f>
        <v/>
      </c>
      <c r="AO132" s="19" t="str">
        <f>IF(AP132&lt;&gt;"",VLOOKUP($P132&amp;" | "&amp;AN$6,'Job Master'!$F$12:$J$102,3,0),"")</f>
        <v/>
      </c>
      <c r="AP132" s="19" t="str">
        <f>IFERROR(IF(AND(AW132&lt;&gt;"",VLOOKUP($P132&amp;" | "&amp;AN$6,'Job Master'!$F$12:$I$102,4,0)&lt;&gt;""),IF(WEEKDAY(AW132-VLOOKUP($P132&amp;" | "&amp;AN$6,'Job Master'!$F$12:$I$102,4,0))&lt;&gt;7,AW132-VLOOKUP($P132&amp;" | "&amp;AN$6,'Job Master'!$F$12:$I$102,4,0),AW132-VLOOKUP($P132&amp;" | "&amp;AN$6,'Job Master'!$F$12:$I$102,4,0)-1),""),"")</f>
        <v/>
      </c>
      <c r="AQ132" s="73"/>
      <c r="AR132" s="123" t="str">
        <f t="shared" si="147"/>
        <v/>
      </c>
      <c r="AS132" s="123" t="str">
        <f t="shared" si="148"/>
        <v/>
      </c>
      <c r="AT132" s="97" t="str">
        <f t="shared" ca="1" si="149"/>
        <v/>
      </c>
      <c r="AU132" s="98" t="str">
        <f>IF(AW132&lt;&gt;"",VLOOKUP($P132&amp;" | "&amp;AU$6,'Job Master'!$F$12:$J$102,5,0),"")</f>
        <v/>
      </c>
      <c r="AV132" s="19" t="str">
        <f>IF(AW132&lt;&gt;"",VLOOKUP($P132&amp;" | "&amp;AU$6,'Job Master'!$F$12:$J$102,3,0),"")</f>
        <v/>
      </c>
      <c r="AW132" s="19" t="str">
        <f>IFERROR(IF(AND(BD132&lt;&gt;"",VLOOKUP($P132&amp;" | "&amp;AU$6,'Job Master'!$F$12:$I$102,4,0)&lt;&gt;""),IF(WEEKDAY(BD132-VLOOKUP($P132&amp;" | "&amp;AU$6,'Job Master'!$F$12:$I$102,4,0))&lt;&gt;7,BD132-VLOOKUP($P132&amp;" | "&amp;AU$6,'Job Master'!$F$12:$I$102,4,0),BD132-VLOOKUP($P132&amp;" | "&amp;AU$6,'Job Master'!$F$12:$I$102,4,0)-1),""),"")</f>
        <v/>
      </c>
      <c r="AX132" s="73"/>
      <c r="AY132" s="123" t="str">
        <f t="shared" si="150"/>
        <v/>
      </c>
      <c r="AZ132" s="123" t="str">
        <f t="shared" si="151"/>
        <v/>
      </c>
      <c r="BA132" s="97" t="str">
        <f t="shared" ca="1" si="152"/>
        <v/>
      </c>
      <c r="BB132" s="98" t="str">
        <f>IF(BD132&lt;&gt;"",VLOOKUP($P132&amp;" | "&amp;BB$6,'Job Master'!$F$12:$J$102,5,0),"")</f>
        <v/>
      </c>
      <c r="BC132" s="19" t="str">
        <f>IF(BD132&lt;&gt;"",VLOOKUP($P132&amp;" | "&amp;BB$6,'Job Master'!$F$12:$J$102,3,0),"")</f>
        <v/>
      </c>
      <c r="BD132" s="19" t="str">
        <f>IFERROR(IF(AND(BK132&lt;&gt;"",VLOOKUP($P132&amp;" | "&amp;BB$6,'Job Master'!$F$12:$I$102,4,0)&lt;&gt;""),IF(WEEKDAY(BK132-VLOOKUP($P132&amp;" | "&amp;BB$6,'Job Master'!$F$12:$I$102,4,0))&lt;&gt;7,BK132-VLOOKUP($P132&amp;" | "&amp;BB$6,'Job Master'!$F$12:$I$102,4,0),BK132-VLOOKUP($P132&amp;" | "&amp;BB$6,'Job Master'!$F$12:$I$102,4,0)-1),""),"")</f>
        <v/>
      </c>
      <c r="BE132" s="73"/>
      <c r="BF132" s="123" t="str">
        <f t="shared" si="153"/>
        <v/>
      </c>
      <c r="BG132" s="123" t="str">
        <f t="shared" si="154"/>
        <v/>
      </c>
      <c r="BH132" s="97" t="str">
        <f t="shared" ca="1" si="155"/>
        <v/>
      </c>
      <c r="BI132" s="98" t="str">
        <f>IF(BK132&lt;&gt;"",VLOOKUP($P132&amp;" | "&amp;BI$6,'Job Master'!$F$12:$J$102,5,0),"")</f>
        <v/>
      </c>
      <c r="BJ132" s="19" t="str">
        <f>IF(BK132&lt;&gt;"",VLOOKUP($P132&amp;" | "&amp;BI$6,'Job Master'!$F$12:$J$102,3,0),"")</f>
        <v/>
      </c>
      <c r="BK132" s="19" t="str">
        <f>IFERROR(IF(AND(BR132&lt;&gt;"",VLOOKUP($P132&amp;" | "&amp;BI$6,'Job Master'!$F$12:$I$102,4,0)&lt;&gt;""),IF(WEEKDAY(BR132-VLOOKUP($P132&amp;" | "&amp;BI$6,'Job Master'!$F$12:$I$102,4,0))&lt;&gt;7,BR132-VLOOKUP($P132&amp;" | "&amp;BI$6,'Job Master'!$F$12:$I$102,4,0),BR132-VLOOKUP($P132&amp;" | "&amp;BI$6,'Job Master'!$F$12:$I$102,4,0)-1),""),"")</f>
        <v/>
      </c>
      <c r="BL132" s="73"/>
      <c r="BM132" s="123" t="str">
        <f t="shared" si="156"/>
        <v/>
      </c>
      <c r="BN132" s="123" t="str">
        <f t="shared" si="157"/>
        <v/>
      </c>
      <c r="BO132" s="97" t="str">
        <f t="shared" ca="1" si="158"/>
        <v/>
      </c>
      <c r="BP132" s="98" t="str">
        <f>IF(BR132&lt;&gt;"",VLOOKUP($P132&amp;" | "&amp;BP$6,'Job Master'!$F$12:$J$102,5,0),"")</f>
        <v/>
      </c>
      <c r="BQ132" s="19" t="str">
        <f>IF(BR132&lt;&gt;"",VLOOKUP($P132&amp;" | "&amp;BP$6,'Job Master'!$F$12:$J$102,3,0),"")</f>
        <v/>
      </c>
      <c r="BR132" s="19" t="str">
        <f>IFERROR(IF(AND(BY132&lt;&gt;"",VLOOKUP($P132&amp;" | "&amp;BP$6,'Job Master'!$F$12:$I$102,4,0)&lt;&gt;""),IF(WEEKDAY(BY132-VLOOKUP($P132&amp;" | "&amp;BP$6,'Job Master'!$F$12:$I$102,4,0))&lt;&gt;7,BY132-VLOOKUP($P132&amp;" | "&amp;BP$6,'Job Master'!$F$12:$I$102,4,0),BY132-VLOOKUP($P132&amp;" | "&amp;BP$6,'Job Master'!$F$12:$I$102,4,0)-1),""),"")</f>
        <v/>
      </c>
      <c r="BS132" s="73"/>
      <c r="BT132" s="123" t="str">
        <f t="shared" si="159"/>
        <v/>
      </c>
      <c r="BU132" s="123" t="str">
        <f t="shared" si="160"/>
        <v/>
      </c>
      <c r="BV132" s="97" t="str">
        <f t="shared" ca="1" si="161"/>
        <v/>
      </c>
      <c r="BW132" s="98" t="str">
        <f>IF(BY132&lt;&gt;"",VLOOKUP($P132&amp;" | "&amp;BW$6,'Job Master'!$F$12:$J$102,5,0),"")</f>
        <v/>
      </c>
      <c r="BX132" s="19" t="str">
        <f>IF(BY132&lt;&gt;"",VLOOKUP($P132&amp;" | "&amp;BW$6,'Job Master'!$F$12:$J$102,3,0),"")</f>
        <v/>
      </c>
      <c r="BY132" s="19" t="str">
        <f>IFERROR(IF(AND(CF132&lt;&gt;"",VLOOKUP($P132&amp;" | "&amp;BW$6,'Job Master'!$F$12:$I$102,4,0)&lt;&gt;""),IF(WEEKDAY(CF132-VLOOKUP($P132&amp;" | "&amp;BW$6,'Job Master'!$F$12:$I$102,4,0))&lt;&gt;7,CF132-VLOOKUP($P132&amp;" | "&amp;BW$6,'Job Master'!$F$12:$I$102,4,0),CF132-VLOOKUP($P132&amp;" | "&amp;BW$6,'Job Master'!$F$12:$I$102,4,0)-1),""),"")</f>
        <v/>
      </c>
      <c r="BZ132" s="73"/>
      <c r="CA132" s="123" t="str">
        <f t="shared" si="162"/>
        <v/>
      </c>
      <c r="CB132" s="123" t="str">
        <f t="shared" si="163"/>
        <v/>
      </c>
      <c r="CC132" s="97" t="str">
        <f t="shared" ca="1" si="164"/>
        <v/>
      </c>
      <c r="CD132" s="98" t="str">
        <f>IF(CF132&lt;&gt;"",VLOOKUP($P132&amp;" | "&amp;CD$6,'Job Master'!$F$12:$J$102,5,0),"")</f>
        <v/>
      </c>
      <c r="CE132" s="19" t="str">
        <f>IF(CF132&lt;&gt;"",VLOOKUP($P132&amp;" | "&amp;CD$6,'Job Master'!$F$12:$J$102,3,0),"")</f>
        <v/>
      </c>
      <c r="CF132" s="19" t="str">
        <f>IFERROR(IF(AND(CM132&lt;&gt;"",VLOOKUP($P132&amp;" | "&amp;CD$6,'Job Master'!$F$12:$I$102,4,0)&lt;&gt;""),IF(WEEKDAY(CM132-VLOOKUP($P132&amp;" | "&amp;CD$6,'Job Master'!$F$12:$I$102,4,0))&lt;&gt;7,CM132-VLOOKUP($P132&amp;" | "&amp;CD$6,'Job Master'!$F$12:$I$102,4,0),CM132-VLOOKUP($P132&amp;" | "&amp;CD$6,'Job Master'!$F$12:$I$102,4,0)-1),""),"")</f>
        <v/>
      </c>
      <c r="CG132" s="73"/>
      <c r="CH132" s="123" t="str">
        <f t="shared" si="165"/>
        <v/>
      </c>
      <c r="CI132" s="123" t="str">
        <f t="shared" si="166"/>
        <v/>
      </c>
      <c r="CJ132" s="97" t="str">
        <f t="shared" ca="1" si="167"/>
        <v/>
      </c>
      <c r="CK132" s="98" t="str">
        <f>IF(CM132&lt;&gt;"",VLOOKUP($P132&amp;" | "&amp;CK$6,'Job Master'!$F$12:$J$102,5,0),"")</f>
        <v/>
      </c>
      <c r="CL132" s="19" t="str">
        <f>IF(CM132&lt;&gt;"",VLOOKUP($P132&amp;" | "&amp;CK$6,'Job Master'!$F$12:$J$102,3,0),"")</f>
        <v/>
      </c>
      <c r="CM132" s="19" t="str">
        <f>IFERROR(IF(AND(CT132&lt;&gt;"",VLOOKUP($P132&amp;" | "&amp;CK$6,'Job Master'!$F$12:$I$102,4,0)&lt;&gt;""),IF(WEEKDAY(CT132-VLOOKUP($P132&amp;" | "&amp;CK$6,'Job Master'!$F$12:$I$102,4,0))&lt;&gt;7,CT132-VLOOKUP($P132&amp;" | "&amp;CK$6,'Job Master'!$F$12:$I$102,4,0),CT132-VLOOKUP($P132&amp;" | "&amp;CK$6,'Job Master'!$F$12:$I$102,4,0)-1),""),"")</f>
        <v/>
      </c>
      <c r="CN132" s="73"/>
      <c r="CO132" s="123" t="str">
        <f t="shared" si="168"/>
        <v/>
      </c>
      <c r="CP132" s="123" t="str">
        <f t="shared" si="169"/>
        <v/>
      </c>
      <c r="CQ132" s="97" t="str">
        <f t="shared" ca="1" si="170"/>
        <v/>
      </c>
      <c r="CR132" s="98" t="str">
        <f>IF(CT132&lt;&gt;"",VLOOKUP($P132&amp;" | "&amp;CR$6,'Job Master'!$F$12:$J$102,5,0),"")</f>
        <v/>
      </c>
      <c r="CS132" s="19" t="str">
        <f>IF(CT132&lt;&gt;"",VLOOKUP($P132&amp;" | "&amp;CR$6,'Job Master'!$F$12:$J$102,3,0),"")</f>
        <v/>
      </c>
      <c r="CT132" s="19" t="str">
        <f>IFERROR(IF(AND(DA132&lt;&gt;"",VLOOKUP($P132&amp;" | "&amp;CR$6,'Job Master'!$F$12:$I$102,4,0)&lt;&gt;""),IF(WEEKDAY(DA132-VLOOKUP($P132&amp;" | "&amp;CR$6,'Job Master'!$F$12:$I$102,4,0))&lt;&gt;7,DA132-VLOOKUP($P132&amp;" | "&amp;CR$6,'Job Master'!$F$12:$I$102,4,0),DA132-VLOOKUP($P132&amp;" | "&amp;CR$6,'Job Master'!$F$12:$I$102,4,0)-1),""),"")</f>
        <v/>
      </c>
      <c r="CU132" s="73"/>
      <c r="CV132" s="123" t="str">
        <f t="shared" si="171"/>
        <v/>
      </c>
      <c r="CW132" s="123" t="str">
        <f t="shared" si="172"/>
        <v/>
      </c>
      <c r="CX132" s="97" t="str">
        <f t="shared" ca="1" si="173"/>
        <v/>
      </c>
      <c r="CY132" s="98" t="str">
        <f>IF(DA132&lt;&gt;"",VLOOKUP($P132&amp;" | "&amp;CY$6,'Job Master'!$F$12:$J$102,5,0),"")</f>
        <v/>
      </c>
      <c r="CZ132" s="19" t="str">
        <f>IF(DA132&lt;&gt;"",VLOOKUP($P132&amp;" | "&amp;CY$6,'Job Master'!$F$12:$J$102,3,0),"")</f>
        <v/>
      </c>
      <c r="DA132" s="19" t="str">
        <f>IFERROR(IF(AND(DH132&lt;&gt;"",VLOOKUP($P132&amp;" | "&amp;CY$6,'Job Master'!$F$12:$I$102,4,0)&lt;&gt;""),IF(WEEKDAY(DH132-VLOOKUP($P132&amp;" | "&amp;CY$6,'Job Master'!$F$12:$I$102,4,0))&lt;&gt;7,DH132-VLOOKUP($P132&amp;" | "&amp;CY$6,'Job Master'!$F$12:$I$102,4,0),DH132-VLOOKUP($P132&amp;" | "&amp;CY$6,'Job Master'!$F$12:$I$102,4,0)-1),""),"")</f>
        <v/>
      </c>
      <c r="DB132" s="73"/>
      <c r="DC132" s="123" t="str">
        <f t="shared" si="174"/>
        <v/>
      </c>
      <c r="DD132" s="123" t="str">
        <f t="shared" si="175"/>
        <v/>
      </c>
      <c r="DE132" s="97" t="str">
        <f t="shared" ca="1" si="176"/>
        <v/>
      </c>
      <c r="DF132" s="98" t="str">
        <f>IF(DH132&lt;&gt;"",VLOOKUP($P132&amp;" | "&amp;DF$6,'Job Master'!$F$12:$J$102,5,0),"")</f>
        <v/>
      </c>
      <c r="DG132" s="19" t="str">
        <f>IF(DH132&lt;&gt;"",VLOOKUP($P132&amp;" | "&amp;DF$6,'Job Master'!$F$12:$J$102,3,0),"")</f>
        <v/>
      </c>
      <c r="DH132" s="19" t="str">
        <f>IFERROR(IF(AND(DO132&lt;&gt;"",VLOOKUP($P132&amp;" | "&amp;DF$6,'Job Master'!$F$12:$I$102,4,0)&lt;&gt;""),IF(WEEKDAY(DO132-VLOOKUP($P132&amp;" | "&amp;DF$6,'Job Master'!$F$12:$I$102,4,0))&lt;&gt;7,DO132-VLOOKUP($P132&amp;" | "&amp;DF$6,'Job Master'!$F$12:$I$102,4,0),DO132-VLOOKUP($P132&amp;" | "&amp;DF$6,'Job Master'!$F$12:$I$102,4,0)-1),""),"")</f>
        <v/>
      </c>
      <c r="DI132" s="73"/>
      <c r="DJ132" s="123" t="str">
        <f t="shared" si="177"/>
        <v/>
      </c>
      <c r="DK132" s="123" t="str">
        <f t="shared" si="178"/>
        <v/>
      </c>
      <c r="DL132" s="97" t="str">
        <f t="shared" ca="1" si="179"/>
        <v/>
      </c>
      <c r="DM132" s="98" t="str">
        <f>IF(DO132&lt;&gt;"",VLOOKUP($P132&amp;" | "&amp;DM$6,'Job Master'!$F$12:$J$102,5,0),"")</f>
        <v/>
      </c>
      <c r="DN132" s="19" t="str">
        <f>IF(DO132&lt;&gt;"",VLOOKUP($P132&amp;" | "&amp;DM$6,'Job Master'!$F$12:$J$102,3,0),"")</f>
        <v/>
      </c>
      <c r="DO132" s="19" t="str">
        <f>IFERROR(IF(AND(DT132&lt;&gt;"",VLOOKUP($P132&amp;" | "&amp;DM$6,'Job Master'!$F$12:$I$102,4,0)&lt;&gt;""),IF(WEEKDAY(DT132-VLOOKUP($P132&amp;" | "&amp;DM$6,'Job Master'!$F$12:$I$102,4,0))&lt;&gt;7,DT132-VLOOKUP($P132&amp;" | "&amp;DM$6,'Job Master'!$F$12:$I$102,4,0),DT132-VLOOKUP($P132&amp;" | "&amp;DM$6,'Job Master'!$F$12:$I$102,4,0)-1),""),"")</f>
        <v/>
      </c>
      <c r="DP132" s="73"/>
      <c r="DQ132" s="123" t="str">
        <f t="shared" si="180"/>
        <v/>
      </c>
      <c r="DR132" s="123" t="str">
        <f t="shared" si="181"/>
        <v/>
      </c>
      <c r="DS132" s="97" t="str">
        <f t="shared" ca="1" si="182"/>
        <v/>
      </c>
      <c r="DT132" s="70" t="str">
        <f t="shared" si="183"/>
        <v/>
      </c>
      <c r="DU132" s="90"/>
      <c r="DV132" s="123" t="str">
        <f t="shared" si="184"/>
        <v/>
      </c>
      <c r="DW132" s="123" t="str">
        <f t="shared" si="185"/>
        <v/>
      </c>
      <c r="DX132" s="132" t="str">
        <f t="shared" ref="DX132" ca="1" si="255">IF(DT132&lt;&gt;"",IF(WEEKNUM(DT132)=WEEKNUM(TODAY()),"This Week",IF(WEEKNUM(DT132)=WEEKNUM(TODAY())+1,"Next Week",IF(WEEKNUM(DT132)=WEEKNUM(TODAY())-1,"Previous Week",""))),"")</f>
        <v/>
      </c>
      <c r="DY132" s="134" t="str">
        <f t="shared" si="187"/>
        <v/>
      </c>
      <c r="DZ132" s="95"/>
      <c r="EB132" s="8" t="str">
        <f t="shared" si="193"/>
        <v/>
      </c>
      <c r="EC132" s="8" t="str">
        <f>IF(O132&lt;&gt;"",VLOOKUP(O132,'Job Master'!$N$12:$O$18,2,0),"")</f>
        <v/>
      </c>
      <c r="ED132" s="8">
        <f t="shared" si="194"/>
        <v>19.5</v>
      </c>
      <c r="EE132" s="8">
        <f t="shared" si="195"/>
        <v>6</v>
      </c>
      <c r="EF132" s="8">
        <f t="shared" si="196"/>
        <v>-712.5</v>
      </c>
      <c r="EG132" s="8" t="str">
        <f t="shared" si="197"/>
        <v/>
      </c>
      <c r="EH132" s="8" t="str">
        <f t="shared" si="198"/>
        <v/>
      </c>
    </row>
    <row r="133" spans="2:138" x14ac:dyDescent="0.3">
      <c r="B133" s="112"/>
      <c r="C133" s="27"/>
      <c r="D133" s="7" t="str">
        <f t="shared" si="135"/>
        <v/>
      </c>
      <c r="E133" s="25"/>
      <c r="F133" s="7" t="str">
        <f t="shared" si="135"/>
        <v/>
      </c>
      <c r="G133" s="25"/>
      <c r="H133" s="7" t="str">
        <f t="shared" si="135"/>
        <v/>
      </c>
      <c r="I133" s="25"/>
      <c r="J133" s="7" t="str">
        <f t="shared" si="135"/>
        <v/>
      </c>
      <c r="K133" s="25"/>
      <c r="L133" s="7" t="str">
        <f t="shared" si="136"/>
        <v/>
      </c>
      <c r="M133" s="25"/>
      <c r="N133" s="7" t="str">
        <f t="shared" si="137"/>
        <v/>
      </c>
      <c r="O133" s="81"/>
      <c r="P133" s="81" t="str">
        <f t="shared" si="138"/>
        <v/>
      </c>
      <c r="Q133" s="81"/>
      <c r="R133" s="7" t="str">
        <f t="shared" si="139"/>
        <v/>
      </c>
      <c r="S133" s="25"/>
      <c r="T133" s="7" t="str">
        <f t="shared" si="140"/>
        <v/>
      </c>
      <c r="U133" s="25"/>
      <c r="V133" s="7" t="str">
        <f t="shared" si="141"/>
        <v/>
      </c>
      <c r="W133" s="25"/>
      <c r="X133" s="7" t="str">
        <f t="shared" si="142"/>
        <v/>
      </c>
      <c r="Y133" s="18" t="str">
        <f t="shared" si="143"/>
        <v/>
      </c>
      <c r="Z133" s="7" t="str">
        <f t="shared" si="144"/>
        <v/>
      </c>
      <c r="AA133" s="18" t="str">
        <f t="shared" si="145"/>
        <v/>
      </c>
      <c r="AB133" s="19" t="str">
        <f t="shared" si="146"/>
        <v/>
      </c>
      <c r="AC133" s="26"/>
      <c r="AD133" s="26"/>
      <c r="AE133" s="25"/>
      <c r="AF133" s="26"/>
      <c r="AG133" s="25"/>
      <c r="AH133" s="25"/>
      <c r="AI133" s="18" t="str">
        <f t="shared" si="209"/>
        <v/>
      </c>
      <c r="AJ133" s="25"/>
      <c r="AK133" s="18" t="str">
        <f t="shared" si="210"/>
        <v/>
      </c>
      <c r="AL133" s="79"/>
      <c r="AM133" s="126" t="str">
        <f t="shared" si="211"/>
        <v/>
      </c>
      <c r="AN133" s="128" t="str">
        <f>IF(AP133&lt;&gt;"",VLOOKUP($P133&amp;" | "&amp;AN$6,'Job Master'!$F$12:$J$102,5,0),"")</f>
        <v/>
      </c>
      <c r="AO133" s="19" t="str">
        <f>IF(AP133&lt;&gt;"",VLOOKUP($P133&amp;" | "&amp;AN$6,'Job Master'!$F$12:$J$102,3,0),"")</f>
        <v/>
      </c>
      <c r="AP133" s="19" t="str">
        <f>IFERROR(IF(AND(AW133&lt;&gt;"",VLOOKUP($P133&amp;" | "&amp;AN$6,'Job Master'!$F$12:$I$102,4,0)&lt;&gt;""),IF(WEEKDAY(AW133-VLOOKUP($P133&amp;" | "&amp;AN$6,'Job Master'!$F$12:$I$102,4,0))&lt;&gt;7,AW133-VLOOKUP($P133&amp;" | "&amp;AN$6,'Job Master'!$F$12:$I$102,4,0),AW133-VLOOKUP($P133&amp;" | "&amp;AN$6,'Job Master'!$F$12:$I$102,4,0)-1),""),"")</f>
        <v/>
      </c>
      <c r="AQ133" s="73"/>
      <c r="AR133" s="123" t="str">
        <f t="shared" si="147"/>
        <v/>
      </c>
      <c r="AS133" s="123" t="str">
        <f t="shared" si="148"/>
        <v/>
      </c>
      <c r="AT133" s="97" t="str">
        <f t="shared" ca="1" si="149"/>
        <v/>
      </c>
      <c r="AU133" s="98" t="str">
        <f>IF(AW133&lt;&gt;"",VLOOKUP($P133&amp;" | "&amp;AU$6,'Job Master'!$F$12:$J$102,5,0),"")</f>
        <v/>
      </c>
      <c r="AV133" s="19" t="str">
        <f>IF(AW133&lt;&gt;"",VLOOKUP($P133&amp;" | "&amp;AU$6,'Job Master'!$F$12:$J$102,3,0),"")</f>
        <v/>
      </c>
      <c r="AW133" s="19" t="str">
        <f>IFERROR(IF(AND(BD133&lt;&gt;"",VLOOKUP($P133&amp;" | "&amp;AU$6,'Job Master'!$F$12:$I$102,4,0)&lt;&gt;""),IF(WEEKDAY(BD133-VLOOKUP($P133&amp;" | "&amp;AU$6,'Job Master'!$F$12:$I$102,4,0))&lt;&gt;7,BD133-VLOOKUP($P133&amp;" | "&amp;AU$6,'Job Master'!$F$12:$I$102,4,0),BD133-VLOOKUP($P133&amp;" | "&amp;AU$6,'Job Master'!$F$12:$I$102,4,0)-1),""),"")</f>
        <v/>
      </c>
      <c r="AX133" s="73"/>
      <c r="AY133" s="123" t="str">
        <f t="shared" si="150"/>
        <v/>
      </c>
      <c r="AZ133" s="123" t="str">
        <f t="shared" si="151"/>
        <v/>
      </c>
      <c r="BA133" s="97" t="str">
        <f t="shared" ca="1" si="152"/>
        <v/>
      </c>
      <c r="BB133" s="98" t="str">
        <f>IF(BD133&lt;&gt;"",VLOOKUP($P133&amp;" | "&amp;BB$6,'Job Master'!$F$12:$J$102,5,0),"")</f>
        <v/>
      </c>
      <c r="BC133" s="19" t="str">
        <f>IF(BD133&lt;&gt;"",VLOOKUP($P133&amp;" | "&amp;BB$6,'Job Master'!$F$12:$J$102,3,0),"")</f>
        <v/>
      </c>
      <c r="BD133" s="19" t="str">
        <f>IFERROR(IF(AND(BK133&lt;&gt;"",VLOOKUP($P133&amp;" | "&amp;BB$6,'Job Master'!$F$12:$I$102,4,0)&lt;&gt;""),IF(WEEKDAY(BK133-VLOOKUP($P133&amp;" | "&amp;BB$6,'Job Master'!$F$12:$I$102,4,0))&lt;&gt;7,BK133-VLOOKUP($P133&amp;" | "&amp;BB$6,'Job Master'!$F$12:$I$102,4,0),BK133-VLOOKUP($P133&amp;" | "&amp;BB$6,'Job Master'!$F$12:$I$102,4,0)-1),""),"")</f>
        <v/>
      </c>
      <c r="BE133" s="73"/>
      <c r="BF133" s="123" t="str">
        <f t="shared" si="153"/>
        <v/>
      </c>
      <c r="BG133" s="123" t="str">
        <f t="shared" si="154"/>
        <v/>
      </c>
      <c r="BH133" s="97" t="str">
        <f t="shared" ca="1" si="155"/>
        <v/>
      </c>
      <c r="BI133" s="98" t="str">
        <f>IF(BK133&lt;&gt;"",VLOOKUP($P133&amp;" | "&amp;BI$6,'Job Master'!$F$12:$J$102,5,0),"")</f>
        <v/>
      </c>
      <c r="BJ133" s="19" t="str">
        <f>IF(BK133&lt;&gt;"",VLOOKUP($P133&amp;" | "&amp;BI$6,'Job Master'!$F$12:$J$102,3,0),"")</f>
        <v/>
      </c>
      <c r="BK133" s="19" t="str">
        <f>IFERROR(IF(AND(BR133&lt;&gt;"",VLOOKUP($P133&amp;" | "&amp;BI$6,'Job Master'!$F$12:$I$102,4,0)&lt;&gt;""),IF(WEEKDAY(BR133-VLOOKUP($P133&amp;" | "&amp;BI$6,'Job Master'!$F$12:$I$102,4,0))&lt;&gt;7,BR133-VLOOKUP($P133&amp;" | "&amp;BI$6,'Job Master'!$F$12:$I$102,4,0),BR133-VLOOKUP($P133&amp;" | "&amp;BI$6,'Job Master'!$F$12:$I$102,4,0)-1),""),"")</f>
        <v/>
      </c>
      <c r="BL133" s="73"/>
      <c r="BM133" s="123" t="str">
        <f t="shared" si="156"/>
        <v/>
      </c>
      <c r="BN133" s="123" t="str">
        <f t="shared" si="157"/>
        <v/>
      </c>
      <c r="BO133" s="97" t="str">
        <f t="shared" ca="1" si="158"/>
        <v/>
      </c>
      <c r="BP133" s="98" t="str">
        <f>IF(BR133&lt;&gt;"",VLOOKUP($P133&amp;" | "&amp;BP$6,'Job Master'!$F$12:$J$102,5,0),"")</f>
        <v/>
      </c>
      <c r="BQ133" s="19" t="str">
        <f>IF(BR133&lt;&gt;"",VLOOKUP($P133&amp;" | "&amp;BP$6,'Job Master'!$F$12:$J$102,3,0),"")</f>
        <v/>
      </c>
      <c r="BR133" s="19" t="str">
        <f>IFERROR(IF(AND(BY133&lt;&gt;"",VLOOKUP($P133&amp;" | "&amp;BP$6,'Job Master'!$F$12:$I$102,4,0)&lt;&gt;""),IF(WEEKDAY(BY133-VLOOKUP($P133&amp;" | "&amp;BP$6,'Job Master'!$F$12:$I$102,4,0))&lt;&gt;7,BY133-VLOOKUP($P133&amp;" | "&amp;BP$6,'Job Master'!$F$12:$I$102,4,0),BY133-VLOOKUP($P133&amp;" | "&amp;BP$6,'Job Master'!$F$12:$I$102,4,0)-1),""),"")</f>
        <v/>
      </c>
      <c r="BS133" s="73"/>
      <c r="BT133" s="123" t="str">
        <f t="shared" si="159"/>
        <v/>
      </c>
      <c r="BU133" s="123" t="str">
        <f t="shared" si="160"/>
        <v/>
      </c>
      <c r="BV133" s="97" t="str">
        <f t="shared" ca="1" si="161"/>
        <v/>
      </c>
      <c r="BW133" s="98" t="str">
        <f>IF(BY133&lt;&gt;"",VLOOKUP($P133&amp;" | "&amp;BW$6,'Job Master'!$F$12:$J$102,5,0),"")</f>
        <v/>
      </c>
      <c r="BX133" s="19" t="str">
        <f>IF(BY133&lt;&gt;"",VLOOKUP($P133&amp;" | "&amp;BW$6,'Job Master'!$F$12:$J$102,3,0),"")</f>
        <v/>
      </c>
      <c r="BY133" s="19" t="str">
        <f>IFERROR(IF(AND(CF133&lt;&gt;"",VLOOKUP($P133&amp;" | "&amp;BW$6,'Job Master'!$F$12:$I$102,4,0)&lt;&gt;""),IF(WEEKDAY(CF133-VLOOKUP($P133&amp;" | "&amp;BW$6,'Job Master'!$F$12:$I$102,4,0))&lt;&gt;7,CF133-VLOOKUP($P133&amp;" | "&amp;BW$6,'Job Master'!$F$12:$I$102,4,0),CF133-VLOOKUP($P133&amp;" | "&amp;BW$6,'Job Master'!$F$12:$I$102,4,0)-1),""),"")</f>
        <v/>
      </c>
      <c r="BZ133" s="73"/>
      <c r="CA133" s="123" t="str">
        <f t="shared" si="162"/>
        <v/>
      </c>
      <c r="CB133" s="123" t="str">
        <f t="shared" si="163"/>
        <v/>
      </c>
      <c r="CC133" s="97" t="str">
        <f t="shared" ca="1" si="164"/>
        <v/>
      </c>
      <c r="CD133" s="98" t="str">
        <f>IF(CF133&lt;&gt;"",VLOOKUP($P133&amp;" | "&amp;CD$6,'Job Master'!$F$12:$J$102,5,0),"")</f>
        <v/>
      </c>
      <c r="CE133" s="19" t="str">
        <f>IF(CF133&lt;&gt;"",VLOOKUP($P133&amp;" | "&amp;CD$6,'Job Master'!$F$12:$J$102,3,0),"")</f>
        <v/>
      </c>
      <c r="CF133" s="19" t="str">
        <f>IFERROR(IF(AND(CM133&lt;&gt;"",VLOOKUP($P133&amp;" | "&amp;CD$6,'Job Master'!$F$12:$I$102,4,0)&lt;&gt;""),IF(WEEKDAY(CM133-VLOOKUP($P133&amp;" | "&amp;CD$6,'Job Master'!$F$12:$I$102,4,0))&lt;&gt;7,CM133-VLOOKUP($P133&amp;" | "&amp;CD$6,'Job Master'!$F$12:$I$102,4,0),CM133-VLOOKUP($P133&amp;" | "&amp;CD$6,'Job Master'!$F$12:$I$102,4,0)-1),""),"")</f>
        <v/>
      </c>
      <c r="CG133" s="73"/>
      <c r="CH133" s="123" t="str">
        <f t="shared" si="165"/>
        <v/>
      </c>
      <c r="CI133" s="123" t="str">
        <f t="shared" si="166"/>
        <v/>
      </c>
      <c r="CJ133" s="97" t="str">
        <f t="shared" ca="1" si="167"/>
        <v/>
      </c>
      <c r="CK133" s="98" t="str">
        <f>IF(CM133&lt;&gt;"",VLOOKUP($P133&amp;" | "&amp;CK$6,'Job Master'!$F$12:$J$102,5,0),"")</f>
        <v/>
      </c>
      <c r="CL133" s="19" t="str">
        <f>IF(CM133&lt;&gt;"",VLOOKUP($P133&amp;" | "&amp;CK$6,'Job Master'!$F$12:$J$102,3,0),"")</f>
        <v/>
      </c>
      <c r="CM133" s="19" t="str">
        <f>IFERROR(IF(AND(CT133&lt;&gt;"",VLOOKUP($P133&amp;" | "&amp;CK$6,'Job Master'!$F$12:$I$102,4,0)&lt;&gt;""),IF(WEEKDAY(CT133-VLOOKUP($P133&amp;" | "&amp;CK$6,'Job Master'!$F$12:$I$102,4,0))&lt;&gt;7,CT133-VLOOKUP($P133&amp;" | "&amp;CK$6,'Job Master'!$F$12:$I$102,4,0),CT133-VLOOKUP($P133&amp;" | "&amp;CK$6,'Job Master'!$F$12:$I$102,4,0)-1),""),"")</f>
        <v/>
      </c>
      <c r="CN133" s="73"/>
      <c r="CO133" s="123" t="str">
        <f t="shared" si="168"/>
        <v/>
      </c>
      <c r="CP133" s="123" t="str">
        <f t="shared" si="169"/>
        <v/>
      </c>
      <c r="CQ133" s="97" t="str">
        <f t="shared" ca="1" si="170"/>
        <v/>
      </c>
      <c r="CR133" s="98" t="str">
        <f>IF(CT133&lt;&gt;"",VLOOKUP($P133&amp;" | "&amp;CR$6,'Job Master'!$F$12:$J$102,5,0),"")</f>
        <v/>
      </c>
      <c r="CS133" s="19" t="str">
        <f>IF(CT133&lt;&gt;"",VLOOKUP($P133&amp;" | "&amp;CR$6,'Job Master'!$F$12:$J$102,3,0),"")</f>
        <v/>
      </c>
      <c r="CT133" s="19" t="str">
        <f>IFERROR(IF(AND(DA133&lt;&gt;"",VLOOKUP($P133&amp;" | "&amp;CR$6,'Job Master'!$F$12:$I$102,4,0)&lt;&gt;""),IF(WEEKDAY(DA133-VLOOKUP($P133&amp;" | "&amp;CR$6,'Job Master'!$F$12:$I$102,4,0))&lt;&gt;7,DA133-VLOOKUP($P133&amp;" | "&amp;CR$6,'Job Master'!$F$12:$I$102,4,0),DA133-VLOOKUP($P133&amp;" | "&amp;CR$6,'Job Master'!$F$12:$I$102,4,0)-1),""),"")</f>
        <v/>
      </c>
      <c r="CU133" s="73"/>
      <c r="CV133" s="123" t="str">
        <f t="shared" si="171"/>
        <v/>
      </c>
      <c r="CW133" s="123" t="str">
        <f t="shared" si="172"/>
        <v/>
      </c>
      <c r="CX133" s="97" t="str">
        <f t="shared" ca="1" si="173"/>
        <v/>
      </c>
      <c r="CY133" s="98" t="str">
        <f>IF(DA133&lt;&gt;"",VLOOKUP($P133&amp;" | "&amp;CY$6,'Job Master'!$F$12:$J$102,5,0),"")</f>
        <v/>
      </c>
      <c r="CZ133" s="19" t="str">
        <f>IF(DA133&lt;&gt;"",VLOOKUP($P133&amp;" | "&amp;CY$6,'Job Master'!$F$12:$J$102,3,0),"")</f>
        <v/>
      </c>
      <c r="DA133" s="19" t="str">
        <f>IFERROR(IF(AND(DH133&lt;&gt;"",VLOOKUP($P133&amp;" | "&amp;CY$6,'Job Master'!$F$12:$I$102,4,0)&lt;&gt;""),IF(WEEKDAY(DH133-VLOOKUP($P133&amp;" | "&amp;CY$6,'Job Master'!$F$12:$I$102,4,0))&lt;&gt;7,DH133-VLOOKUP($P133&amp;" | "&amp;CY$6,'Job Master'!$F$12:$I$102,4,0),DH133-VLOOKUP($P133&amp;" | "&amp;CY$6,'Job Master'!$F$12:$I$102,4,0)-1),""),"")</f>
        <v/>
      </c>
      <c r="DB133" s="73"/>
      <c r="DC133" s="123" t="str">
        <f t="shared" si="174"/>
        <v/>
      </c>
      <c r="DD133" s="123" t="str">
        <f t="shared" si="175"/>
        <v/>
      </c>
      <c r="DE133" s="97" t="str">
        <f t="shared" ca="1" si="176"/>
        <v/>
      </c>
      <c r="DF133" s="98" t="str">
        <f>IF(DH133&lt;&gt;"",VLOOKUP($P133&amp;" | "&amp;DF$6,'Job Master'!$F$12:$J$102,5,0),"")</f>
        <v/>
      </c>
      <c r="DG133" s="19" t="str">
        <f>IF(DH133&lt;&gt;"",VLOOKUP($P133&amp;" | "&amp;DF$6,'Job Master'!$F$12:$J$102,3,0),"")</f>
        <v/>
      </c>
      <c r="DH133" s="19" t="str">
        <f>IFERROR(IF(AND(DO133&lt;&gt;"",VLOOKUP($P133&amp;" | "&amp;DF$6,'Job Master'!$F$12:$I$102,4,0)&lt;&gt;""),IF(WEEKDAY(DO133-VLOOKUP($P133&amp;" | "&amp;DF$6,'Job Master'!$F$12:$I$102,4,0))&lt;&gt;7,DO133-VLOOKUP($P133&amp;" | "&amp;DF$6,'Job Master'!$F$12:$I$102,4,0),DO133-VLOOKUP($P133&amp;" | "&amp;DF$6,'Job Master'!$F$12:$I$102,4,0)-1),""),"")</f>
        <v/>
      </c>
      <c r="DI133" s="73"/>
      <c r="DJ133" s="123" t="str">
        <f t="shared" si="177"/>
        <v/>
      </c>
      <c r="DK133" s="123" t="str">
        <f t="shared" si="178"/>
        <v/>
      </c>
      <c r="DL133" s="97" t="str">
        <f t="shared" ca="1" si="179"/>
        <v/>
      </c>
      <c r="DM133" s="98" t="str">
        <f>IF(DO133&lt;&gt;"",VLOOKUP($P133&amp;" | "&amp;DM$6,'Job Master'!$F$12:$J$102,5,0),"")</f>
        <v/>
      </c>
      <c r="DN133" s="19" t="str">
        <f>IF(DO133&lt;&gt;"",VLOOKUP($P133&amp;" | "&amp;DM$6,'Job Master'!$F$12:$J$102,3,0),"")</f>
        <v/>
      </c>
      <c r="DO133" s="19" t="str">
        <f>IFERROR(IF(AND(DT133&lt;&gt;"",VLOOKUP($P133&amp;" | "&amp;DM$6,'Job Master'!$F$12:$I$102,4,0)&lt;&gt;""),IF(WEEKDAY(DT133-VLOOKUP($P133&amp;" | "&amp;DM$6,'Job Master'!$F$12:$I$102,4,0))&lt;&gt;7,DT133-VLOOKUP($P133&amp;" | "&amp;DM$6,'Job Master'!$F$12:$I$102,4,0),DT133-VLOOKUP($P133&amp;" | "&amp;DM$6,'Job Master'!$F$12:$I$102,4,0)-1),""),"")</f>
        <v/>
      </c>
      <c r="DP133" s="73"/>
      <c r="DQ133" s="123" t="str">
        <f t="shared" si="180"/>
        <v/>
      </c>
      <c r="DR133" s="123" t="str">
        <f t="shared" si="181"/>
        <v/>
      </c>
      <c r="DS133" s="97" t="str">
        <f t="shared" ca="1" si="182"/>
        <v/>
      </c>
      <c r="DT133" s="70" t="str">
        <f t="shared" si="183"/>
        <v/>
      </c>
      <c r="DU133" s="90"/>
      <c r="DV133" s="123" t="str">
        <f t="shared" si="184"/>
        <v/>
      </c>
      <c r="DW133" s="123" t="str">
        <f t="shared" si="185"/>
        <v/>
      </c>
      <c r="DX133" s="132" t="str">
        <f t="shared" ref="DX133" ca="1" si="256">IF(DT133&lt;&gt;"",IF(WEEKNUM(DT133)=WEEKNUM(TODAY()),"This Week",IF(WEEKNUM(DT133)=WEEKNUM(TODAY())+1,"Next Week",IF(WEEKNUM(DT133)=WEEKNUM(TODAY())-1,"Previous Week",""))),"")</f>
        <v/>
      </c>
      <c r="DY133" s="134" t="str">
        <f t="shared" si="187"/>
        <v/>
      </c>
      <c r="DZ133" s="95"/>
      <c r="EB133" s="8" t="str">
        <f t="shared" si="193"/>
        <v/>
      </c>
      <c r="EC133" s="8" t="str">
        <f>IF(O133&lt;&gt;"",VLOOKUP(O133,'Job Master'!$N$12:$O$18,2,0),"")</f>
        <v/>
      </c>
      <c r="ED133" s="8">
        <f t="shared" si="194"/>
        <v>19.5</v>
      </c>
      <c r="EE133" s="8">
        <f t="shared" si="195"/>
        <v>6</v>
      </c>
      <c r="EF133" s="8">
        <f t="shared" si="196"/>
        <v>-718.5</v>
      </c>
      <c r="EG133" s="8" t="str">
        <f t="shared" si="197"/>
        <v/>
      </c>
      <c r="EH133" s="8" t="str">
        <f t="shared" si="198"/>
        <v/>
      </c>
    </row>
    <row r="134" spans="2:138" x14ac:dyDescent="0.3">
      <c r="B134" s="112"/>
      <c r="C134" s="27"/>
      <c r="D134" s="7" t="str">
        <f t="shared" si="135"/>
        <v/>
      </c>
      <c r="E134" s="25"/>
      <c r="F134" s="7" t="str">
        <f t="shared" si="135"/>
        <v/>
      </c>
      <c r="G134" s="25"/>
      <c r="H134" s="7" t="str">
        <f t="shared" si="135"/>
        <v/>
      </c>
      <c r="I134" s="25"/>
      <c r="J134" s="7" t="str">
        <f t="shared" si="135"/>
        <v/>
      </c>
      <c r="K134" s="25"/>
      <c r="L134" s="7" t="str">
        <f t="shared" si="136"/>
        <v/>
      </c>
      <c r="M134" s="25"/>
      <c r="N134" s="7" t="str">
        <f t="shared" si="137"/>
        <v/>
      </c>
      <c r="O134" s="81"/>
      <c r="P134" s="81" t="str">
        <f t="shared" si="138"/>
        <v/>
      </c>
      <c r="Q134" s="81"/>
      <c r="R134" s="7" t="str">
        <f t="shared" si="139"/>
        <v/>
      </c>
      <c r="S134" s="25"/>
      <c r="T134" s="7" t="str">
        <f t="shared" si="140"/>
        <v/>
      </c>
      <c r="U134" s="25"/>
      <c r="V134" s="7" t="str">
        <f t="shared" si="141"/>
        <v/>
      </c>
      <c r="W134" s="25"/>
      <c r="X134" s="7" t="str">
        <f t="shared" si="142"/>
        <v/>
      </c>
      <c r="Y134" s="18" t="str">
        <f t="shared" si="143"/>
        <v/>
      </c>
      <c r="Z134" s="7" t="str">
        <f t="shared" si="144"/>
        <v/>
      </c>
      <c r="AA134" s="18" t="str">
        <f t="shared" si="145"/>
        <v/>
      </c>
      <c r="AB134" s="19" t="str">
        <f t="shared" si="146"/>
        <v/>
      </c>
      <c r="AC134" s="26"/>
      <c r="AD134" s="26"/>
      <c r="AE134" s="25"/>
      <c r="AF134" s="26"/>
      <c r="AG134" s="25"/>
      <c r="AH134" s="25"/>
      <c r="AI134" s="18" t="str">
        <f t="shared" si="209"/>
        <v/>
      </c>
      <c r="AJ134" s="25"/>
      <c r="AK134" s="18" t="str">
        <f t="shared" si="210"/>
        <v/>
      </c>
      <c r="AL134" s="79"/>
      <c r="AM134" s="126" t="str">
        <f t="shared" si="211"/>
        <v/>
      </c>
      <c r="AN134" s="128" t="str">
        <f>IF(AP134&lt;&gt;"",VLOOKUP($P134&amp;" | "&amp;AN$6,'Job Master'!$F$12:$J$102,5,0),"")</f>
        <v/>
      </c>
      <c r="AO134" s="19" t="str">
        <f>IF(AP134&lt;&gt;"",VLOOKUP($P134&amp;" | "&amp;AN$6,'Job Master'!$F$12:$J$102,3,0),"")</f>
        <v/>
      </c>
      <c r="AP134" s="19" t="str">
        <f>IFERROR(IF(AND(AW134&lt;&gt;"",VLOOKUP($P134&amp;" | "&amp;AN$6,'Job Master'!$F$12:$I$102,4,0)&lt;&gt;""),IF(WEEKDAY(AW134-VLOOKUP($P134&amp;" | "&amp;AN$6,'Job Master'!$F$12:$I$102,4,0))&lt;&gt;7,AW134-VLOOKUP($P134&amp;" | "&amp;AN$6,'Job Master'!$F$12:$I$102,4,0),AW134-VLOOKUP($P134&amp;" | "&amp;AN$6,'Job Master'!$F$12:$I$102,4,0)-1),""),"")</f>
        <v/>
      </c>
      <c r="AQ134" s="73"/>
      <c r="AR134" s="123" t="str">
        <f t="shared" si="147"/>
        <v/>
      </c>
      <c r="AS134" s="123" t="str">
        <f t="shared" si="148"/>
        <v/>
      </c>
      <c r="AT134" s="97" t="str">
        <f t="shared" ca="1" si="149"/>
        <v/>
      </c>
      <c r="AU134" s="98" t="str">
        <f>IF(AW134&lt;&gt;"",VLOOKUP($P134&amp;" | "&amp;AU$6,'Job Master'!$F$12:$J$102,5,0),"")</f>
        <v/>
      </c>
      <c r="AV134" s="19" t="str">
        <f>IF(AW134&lt;&gt;"",VLOOKUP($P134&amp;" | "&amp;AU$6,'Job Master'!$F$12:$J$102,3,0),"")</f>
        <v/>
      </c>
      <c r="AW134" s="19" t="str">
        <f>IFERROR(IF(AND(BD134&lt;&gt;"",VLOOKUP($P134&amp;" | "&amp;AU$6,'Job Master'!$F$12:$I$102,4,0)&lt;&gt;""),IF(WEEKDAY(BD134-VLOOKUP($P134&amp;" | "&amp;AU$6,'Job Master'!$F$12:$I$102,4,0))&lt;&gt;7,BD134-VLOOKUP($P134&amp;" | "&amp;AU$6,'Job Master'!$F$12:$I$102,4,0),BD134-VLOOKUP($P134&amp;" | "&amp;AU$6,'Job Master'!$F$12:$I$102,4,0)-1),""),"")</f>
        <v/>
      </c>
      <c r="AX134" s="73"/>
      <c r="AY134" s="123" t="str">
        <f t="shared" si="150"/>
        <v/>
      </c>
      <c r="AZ134" s="123" t="str">
        <f t="shared" si="151"/>
        <v/>
      </c>
      <c r="BA134" s="97" t="str">
        <f t="shared" ca="1" si="152"/>
        <v/>
      </c>
      <c r="BB134" s="98" t="str">
        <f>IF(BD134&lt;&gt;"",VLOOKUP($P134&amp;" | "&amp;BB$6,'Job Master'!$F$12:$J$102,5,0),"")</f>
        <v/>
      </c>
      <c r="BC134" s="19" t="str">
        <f>IF(BD134&lt;&gt;"",VLOOKUP($P134&amp;" | "&amp;BB$6,'Job Master'!$F$12:$J$102,3,0),"")</f>
        <v/>
      </c>
      <c r="BD134" s="19" t="str">
        <f>IFERROR(IF(AND(BK134&lt;&gt;"",VLOOKUP($P134&amp;" | "&amp;BB$6,'Job Master'!$F$12:$I$102,4,0)&lt;&gt;""),IF(WEEKDAY(BK134-VLOOKUP($P134&amp;" | "&amp;BB$6,'Job Master'!$F$12:$I$102,4,0))&lt;&gt;7,BK134-VLOOKUP($P134&amp;" | "&amp;BB$6,'Job Master'!$F$12:$I$102,4,0),BK134-VLOOKUP($P134&amp;" | "&amp;BB$6,'Job Master'!$F$12:$I$102,4,0)-1),""),"")</f>
        <v/>
      </c>
      <c r="BE134" s="73"/>
      <c r="BF134" s="123" t="str">
        <f t="shared" si="153"/>
        <v/>
      </c>
      <c r="BG134" s="123" t="str">
        <f t="shared" si="154"/>
        <v/>
      </c>
      <c r="BH134" s="97" t="str">
        <f t="shared" ca="1" si="155"/>
        <v/>
      </c>
      <c r="BI134" s="98" t="str">
        <f>IF(BK134&lt;&gt;"",VLOOKUP($P134&amp;" | "&amp;BI$6,'Job Master'!$F$12:$J$102,5,0),"")</f>
        <v/>
      </c>
      <c r="BJ134" s="19" t="str">
        <f>IF(BK134&lt;&gt;"",VLOOKUP($P134&amp;" | "&amp;BI$6,'Job Master'!$F$12:$J$102,3,0),"")</f>
        <v/>
      </c>
      <c r="BK134" s="19" t="str">
        <f>IFERROR(IF(AND(BR134&lt;&gt;"",VLOOKUP($P134&amp;" | "&amp;BI$6,'Job Master'!$F$12:$I$102,4,0)&lt;&gt;""),IF(WEEKDAY(BR134-VLOOKUP($P134&amp;" | "&amp;BI$6,'Job Master'!$F$12:$I$102,4,0))&lt;&gt;7,BR134-VLOOKUP($P134&amp;" | "&amp;BI$6,'Job Master'!$F$12:$I$102,4,0),BR134-VLOOKUP($P134&amp;" | "&amp;BI$6,'Job Master'!$F$12:$I$102,4,0)-1),""),"")</f>
        <v/>
      </c>
      <c r="BL134" s="73"/>
      <c r="BM134" s="123" t="str">
        <f t="shared" si="156"/>
        <v/>
      </c>
      <c r="BN134" s="123" t="str">
        <f t="shared" si="157"/>
        <v/>
      </c>
      <c r="BO134" s="97" t="str">
        <f t="shared" ca="1" si="158"/>
        <v/>
      </c>
      <c r="BP134" s="98" t="str">
        <f>IF(BR134&lt;&gt;"",VLOOKUP($P134&amp;" | "&amp;BP$6,'Job Master'!$F$12:$J$102,5,0),"")</f>
        <v/>
      </c>
      <c r="BQ134" s="19" t="str">
        <f>IF(BR134&lt;&gt;"",VLOOKUP($P134&amp;" | "&amp;BP$6,'Job Master'!$F$12:$J$102,3,0),"")</f>
        <v/>
      </c>
      <c r="BR134" s="19" t="str">
        <f>IFERROR(IF(AND(BY134&lt;&gt;"",VLOOKUP($P134&amp;" | "&amp;BP$6,'Job Master'!$F$12:$I$102,4,0)&lt;&gt;""),IF(WEEKDAY(BY134-VLOOKUP($P134&amp;" | "&amp;BP$6,'Job Master'!$F$12:$I$102,4,0))&lt;&gt;7,BY134-VLOOKUP($P134&amp;" | "&amp;BP$6,'Job Master'!$F$12:$I$102,4,0),BY134-VLOOKUP($P134&amp;" | "&amp;BP$6,'Job Master'!$F$12:$I$102,4,0)-1),""),"")</f>
        <v/>
      </c>
      <c r="BS134" s="73"/>
      <c r="BT134" s="123" t="str">
        <f t="shared" si="159"/>
        <v/>
      </c>
      <c r="BU134" s="123" t="str">
        <f t="shared" si="160"/>
        <v/>
      </c>
      <c r="BV134" s="97" t="str">
        <f t="shared" ca="1" si="161"/>
        <v/>
      </c>
      <c r="BW134" s="98" t="str">
        <f>IF(BY134&lt;&gt;"",VLOOKUP($P134&amp;" | "&amp;BW$6,'Job Master'!$F$12:$J$102,5,0),"")</f>
        <v/>
      </c>
      <c r="BX134" s="19" t="str">
        <f>IF(BY134&lt;&gt;"",VLOOKUP($P134&amp;" | "&amp;BW$6,'Job Master'!$F$12:$J$102,3,0),"")</f>
        <v/>
      </c>
      <c r="BY134" s="19" t="str">
        <f>IFERROR(IF(AND(CF134&lt;&gt;"",VLOOKUP($P134&amp;" | "&amp;BW$6,'Job Master'!$F$12:$I$102,4,0)&lt;&gt;""),IF(WEEKDAY(CF134-VLOOKUP($P134&amp;" | "&amp;BW$6,'Job Master'!$F$12:$I$102,4,0))&lt;&gt;7,CF134-VLOOKUP($P134&amp;" | "&amp;BW$6,'Job Master'!$F$12:$I$102,4,0),CF134-VLOOKUP($P134&amp;" | "&amp;BW$6,'Job Master'!$F$12:$I$102,4,0)-1),""),"")</f>
        <v/>
      </c>
      <c r="BZ134" s="73"/>
      <c r="CA134" s="123" t="str">
        <f t="shared" si="162"/>
        <v/>
      </c>
      <c r="CB134" s="123" t="str">
        <f t="shared" si="163"/>
        <v/>
      </c>
      <c r="CC134" s="97" t="str">
        <f t="shared" ca="1" si="164"/>
        <v/>
      </c>
      <c r="CD134" s="98" t="str">
        <f>IF(CF134&lt;&gt;"",VLOOKUP($P134&amp;" | "&amp;CD$6,'Job Master'!$F$12:$J$102,5,0),"")</f>
        <v/>
      </c>
      <c r="CE134" s="19" t="str">
        <f>IF(CF134&lt;&gt;"",VLOOKUP($P134&amp;" | "&amp;CD$6,'Job Master'!$F$12:$J$102,3,0),"")</f>
        <v/>
      </c>
      <c r="CF134" s="19" t="str">
        <f>IFERROR(IF(AND(CM134&lt;&gt;"",VLOOKUP($P134&amp;" | "&amp;CD$6,'Job Master'!$F$12:$I$102,4,0)&lt;&gt;""),IF(WEEKDAY(CM134-VLOOKUP($P134&amp;" | "&amp;CD$6,'Job Master'!$F$12:$I$102,4,0))&lt;&gt;7,CM134-VLOOKUP($P134&amp;" | "&amp;CD$6,'Job Master'!$F$12:$I$102,4,0),CM134-VLOOKUP($P134&amp;" | "&amp;CD$6,'Job Master'!$F$12:$I$102,4,0)-1),""),"")</f>
        <v/>
      </c>
      <c r="CG134" s="73"/>
      <c r="CH134" s="123" t="str">
        <f t="shared" si="165"/>
        <v/>
      </c>
      <c r="CI134" s="123" t="str">
        <f t="shared" si="166"/>
        <v/>
      </c>
      <c r="CJ134" s="97" t="str">
        <f t="shared" ca="1" si="167"/>
        <v/>
      </c>
      <c r="CK134" s="98" t="str">
        <f>IF(CM134&lt;&gt;"",VLOOKUP($P134&amp;" | "&amp;CK$6,'Job Master'!$F$12:$J$102,5,0),"")</f>
        <v/>
      </c>
      <c r="CL134" s="19" t="str">
        <f>IF(CM134&lt;&gt;"",VLOOKUP($P134&amp;" | "&amp;CK$6,'Job Master'!$F$12:$J$102,3,0),"")</f>
        <v/>
      </c>
      <c r="CM134" s="19" t="str">
        <f>IFERROR(IF(AND(CT134&lt;&gt;"",VLOOKUP($P134&amp;" | "&amp;CK$6,'Job Master'!$F$12:$I$102,4,0)&lt;&gt;""),IF(WEEKDAY(CT134-VLOOKUP($P134&amp;" | "&amp;CK$6,'Job Master'!$F$12:$I$102,4,0))&lt;&gt;7,CT134-VLOOKUP($P134&amp;" | "&amp;CK$6,'Job Master'!$F$12:$I$102,4,0),CT134-VLOOKUP($P134&amp;" | "&amp;CK$6,'Job Master'!$F$12:$I$102,4,0)-1),""),"")</f>
        <v/>
      </c>
      <c r="CN134" s="73"/>
      <c r="CO134" s="123" t="str">
        <f t="shared" si="168"/>
        <v/>
      </c>
      <c r="CP134" s="123" t="str">
        <f t="shared" si="169"/>
        <v/>
      </c>
      <c r="CQ134" s="97" t="str">
        <f t="shared" ca="1" si="170"/>
        <v/>
      </c>
      <c r="CR134" s="98" t="str">
        <f>IF(CT134&lt;&gt;"",VLOOKUP($P134&amp;" | "&amp;CR$6,'Job Master'!$F$12:$J$102,5,0),"")</f>
        <v/>
      </c>
      <c r="CS134" s="19" t="str">
        <f>IF(CT134&lt;&gt;"",VLOOKUP($P134&amp;" | "&amp;CR$6,'Job Master'!$F$12:$J$102,3,0),"")</f>
        <v/>
      </c>
      <c r="CT134" s="19" t="str">
        <f>IFERROR(IF(AND(DA134&lt;&gt;"",VLOOKUP($P134&amp;" | "&amp;CR$6,'Job Master'!$F$12:$I$102,4,0)&lt;&gt;""),IF(WEEKDAY(DA134-VLOOKUP($P134&amp;" | "&amp;CR$6,'Job Master'!$F$12:$I$102,4,0))&lt;&gt;7,DA134-VLOOKUP($P134&amp;" | "&amp;CR$6,'Job Master'!$F$12:$I$102,4,0),DA134-VLOOKUP($P134&amp;" | "&amp;CR$6,'Job Master'!$F$12:$I$102,4,0)-1),""),"")</f>
        <v/>
      </c>
      <c r="CU134" s="73"/>
      <c r="CV134" s="123" t="str">
        <f t="shared" si="171"/>
        <v/>
      </c>
      <c r="CW134" s="123" t="str">
        <f t="shared" si="172"/>
        <v/>
      </c>
      <c r="CX134" s="97" t="str">
        <f t="shared" ca="1" si="173"/>
        <v/>
      </c>
      <c r="CY134" s="98" t="str">
        <f>IF(DA134&lt;&gt;"",VLOOKUP($P134&amp;" | "&amp;CY$6,'Job Master'!$F$12:$J$102,5,0),"")</f>
        <v/>
      </c>
      <c r="CZ134" s="19" t="str">
        <f>IF(DA134&lt;&gt;"",VLOOKUP($P134&amp;" | "&amp;CY$6,'Job Master'!$F$12:$J$102,3,0),"")</f>
        <v/>
      </c>
      <c r="DA134" s="19" t="str">
        <f>IFERROR(IF(AND(DH134&lt;&gt;"",VLOOKUP($P134&amp;" | "&amp;CY$6,'Job Master'!$F$12:$I$102,4,0)&lt;&gt;""),IF(WEEKDAY(DH134-VLOOKUP($P134&amp;" | "&amp;CY$6,'Job Master'!$F$12:$I$102,4,0))&lt;&gt;7,DH134-VLOOKUP($P134&amp;" | "&amp;CY$6,'Job Master'!$F$12:$I$102,4,0),DH134-VLOOKUP($P134&amp;" | "&amp;CY$6,'Job Master'!$F$12:$I$102,4,0)-1),""),"")</f>
        <v/>
      </c>
      <c r="DB134" s="73"/>
      <c r="DC134" s="123" t="str">
        <f t="shared" si="174"/>
        <v/>
      </c>
      <c r="DD134" s="123" t="str">
        <f t="shared" si="175"/>
        <v/>
      </c>
      <c r="DE134" s="97" t="str">
        <f t="shared" ca="1" si="176"/>
        <v/>
      </c>
      <c r="DF134" s="98" t="str">
        <f>IF(DH134&lt;&gt;"",VLOOKUP($P134&amp;" | "&amp;DF$6,'Job Master'!$F$12:$J$102,5,0),"")</f>
        <v/>
      </c>
      <c r="DG134" s="19" t="str">
        <f>IF(DH134&lt;&gt;"",VLOOKUP($P134&amp;" | "&amp;DF$6,'Job Master'!$F$12:$J$102,3,0),"")</f>
        <v/>
      </c>
      <c r="DH134" s="19" t="str">
        <f>IFERROR(IF(AND(DO134&lt;&gt;"",VLOOKUP($P134&amp;" | "&amp;DF$6,'Job Master'!$F$12:$I$102,4,0)&lt;&gt;""),IF(WEEKDAY(DO134-VLOOKUP($P134&amp;" | "&amp;DF$6,'Job Master'!$F$12:$I$102,4,0))&lt;&gt;7,DO134-VLOOKUP($P134&amp;" | "&amp;DF$6,'Job Master'!$F$12:$I$102,4,0),DO134-VLOOKUP($P134&amp;" | "&amp;DF$6,'Job Master'!$F$12:$I$102,4,0)-1),""),"")</f>
        <v/>
      </c>
      <c r="DI134" s="73"/>
      <c r="DJ134" s="123" t="str">
        <f t="shared" si="177"/>
        <v/>
      </c>
      <c r="DK134" s="123" t="str">
        <f t="shared" si="178"/>
        <v/>
      </c>
      <c r="DL134" s="97" t="str">
        <f t="shared" ca="1" si="179"/>
        <v/>
      </c>
      <c r="DM134" s="98" t="str">
        <f>IF(DO134&lt;&gt;"",VLOOKUP($P134&amp;" | "&amp;DM$6,'Job Master'!$F$12:$J$102,5,0),"")</f>
        <v/>
      </c>
      <c r="DN134" s="19" t="str">
        <f>IF(DO134&lt;&gt;"",VLOOKUP($P134&amp;" | "&amp;DM$6,'Job Master'!$F$12:$J$102,3,0),"")</f>
        <v/>
      </c>
      <c r="DO134" s="19" t="str">
        <f>IFERROR(IF(AND(DT134&lt;&gt;"",VLOOKUP($P134&amp;" | "&amp;DM$6,'Job Master'!$F$12:$I$102,4,0)&lt;&gt;""),IF(WEEKDAY(DT134-VLOOKUP($P134&amp;" | "&amp;DM$6,'Job Master'!$F$12:$I$102,4,0))&lt;&gt;7,DT134-VLOOKUP($P134&amp;" | "&amp;DM$6,'Job Master'!$F$12:$I$102,4,0),DT134-VLOOKUP($P134&amp;" | "&amp;DM$6,'Job Master'!$F$12:$I$102,4,0)-1),""),"")</f>
        <v/>
      </c>
      <c r="DP134" s="73"/>
      <c r="DQ134" s="123" t="str">
        <f t="shared" si="180"/>
        <v/>
      </c>
      <c r="DR134" s="123" t="str">
        <f t="shared" si="181"/>
        <v/>
      </c>
      <c r="DS134" s="97" t="str">
        <f t="shared" ca="1" si="182"/>
        <v/>
      </c>
      <c r="DT134" s="70" t="str">
        <f t="shared" si="183"/>
        <v/>
      </c>
      <c r="DU134" s="90"/>
      <c r="DV134" s="123" t="str">
        <f t="shared" si="184"/>
        <v/>
      </c>
      <c r="DW134" s="123" t="str">
        <f t="shared" si="185"/>
        <v/>
      </c>
      <c r="DX134" s="132" t="str">
        <f t="shared" ref="DX134" ca="1" si="257">IF(DT134&lt;&gt;"",IF(WEEKNUM(DT134)=WEEKNUM(TODAY()),"This Week",IF(WEEKNUM(DT134)=WEEKNUM(TODAY())+1,"Next Week",IF(WEEKNUM(DT134)=WEEKNUM(TODAY())-1,"Previous Week",""))),"")</f>
        <v/>
      </c>
      <c r="DY134" s="134" t="str">
        <f t="shared" si="187"/>
        <v/>
      </c>
      <c r="DZ134" s="95"/>
      <c r="EB134" s="8" t="str">
        <f t="shared" si="193"/>
        <v/>
      </c>
      <c r="EC134" s="8" t="str">
        <f>IF(O134&lt;&gt;"",VLOOKUP(O134,'Job Master'!$N$12:$O$18,2,0),"")</f>
        <v/>
      </c>
      <c r="ED134" s="8">
        <f t="shared" si="194"/>
        <v>19.5</v>
      </c>
      <c r="EE134" s="8">
        <f t="shared" si="195"/>
        <v>6</v>
      </c>
      <c r="EF134" s="8">
        <f t="shared" si="196"/>
        <v>-724.5</v>
      </c>
      <c r="EG134" s="8" t="str">
        <f t="shared" si="197"/>
        <v/>
      </c>
      <c r="EH134" s="8" t="str">
        <f t="shared" si="198"/>
        <v/>
      </c>
    </row>
    <row r="135" spans="2:138" x14ac:dyDescent="0.3">
      <c r="B135" s="112"/>
      <c r="C135" s="27"/>
      <c r="D135" s="7" t="str">
        <f t="shared" si="135"/>
        <v/>
      </c>
      <c r="E135" s="25"/>
      <c r="F135" s="7" t="str">
        <f t="shared" si="135"/>
        <v/>
      </c>
      <c r="G135" s="25"/>
      <c r="H135" s="7" t="str">
        <f t="shared" si="135"/>
        <v/>
      </c>
      <c r="I135" s="25"/>
      <c r="J135" s="7" t="str">
        <f t="shared" si="135"/>
        <v/>
      </c>
      <c r="K135" s="25"/>
      <c r="L135" s="7" t="str">
        <f t="shared" si="136"/>
        <v/>
      </c>
      <c r="M135" s="25"/>
      <c r="N135" s="7" t="str">
        <f t="shared" si="137"/>
        <v/>
      </c>
      <c r="O135" s="81"/>
      <c r="P135" s="81" t="str">
        <f t="shared" si="138"/>
        <v/>
      </c>
      <c r="Q135" s="81"/>
      <c r="R135" s="7" t="str">
        <f t="shared" si="139"/>
        <v/>
      </c>
      <c r="S135" s="25"/>
      <c r="T135" s="7" t="str">
        <f t="shared" si="140"/>
        <v/>
      </c>
      <c r="U135" s="25"/>
      <c r="V135" s="7" t="str">
        <f t="shared" si="141"/>
        <v/>
      </c>
      <c r="W135" s="25"/>
      <c r="X135" s="7" t="str">
        <f t="shared" si="142"/>
        <v/>
      </c>
      <c r="Y135" s="18" t="str">
        <f t="shared" si="143"/>
        <v/>
      </c>
      <c r="Z135" s="7" t="str">
        <f t="shared" si="144"/>
        <v/>
      </c>
      <c r="AA135" s="18" t="str">
        <f t="shared" si="145"/>
        <v/>
      </c>
      <c r="AB135" s="19" t="str">
        <f t="shared" si="146"/>
        <v/>
      </c>
      <c r="AC135" s="26"/>
      <c r="AD135" s="26"/>
      <c r="AE135" s="25"/>
      <c r="AF135" s="26"/>
      <c r="AG135" s="25"/>
      <c r="AH135" s="25"/>
      <c r="AI135" s="18" t="str">
        <f t="shared" si="209"/>
        <v/>
      </c>
      <c r="AJ135" s="25"/>
      <c r="AK135" s="18" t="str">
        <f t="shared" si="210"/>
        <v/>
      </c>
      <c r="AL135" s="79"/>
      <c r="AM135" s="126" t="str">
        <f t="shared" si="211"/>
        <v/>
      </c>
      <c r="AN135" s="128" t="str">
        <f>IF(AP135&lt;&gt;"",VLOOKUP($P135&amp;" | "&amp;AN$6,'Job Master'!$F$12:$J$102,5,0),"")</f>
        <v/>
      </c>
      <c r="AO135" s="19" t="str">
        <f>IF(AP135&lt;&gt;"",VLOOKUP($P135&amp;" | "&amp;AN$6,'Job Master'!$F$12:$J$102,3,0),"")</f>
        <v/>
      </c>
      <c r="AP135" s="19" t="str">
        <f>IFERROR(IF(AND(AW135&lt;&gt;"",VLOOKUP($P135&amp;" | "&amp;AN$6,'Job Master'!$F$12:$I$102,4,0)&lt;&gt;""),IF(WEEKDAY(AW135-VLOOKUP($P135&amp;" | "&amp;AN$6,'Job Master'!$F$12:$I$102,4,0))&lt;&gt;7,AW135-VLOOKUP($P135&amp;" | "&amp;AN$6,'Job Master'!$F$12:$I$102,4,0),AW135-VLOOKUP($P135&amp;" | "&amp;AN$6,'Job Master'!$F$12:$I$102,4,0)-1),""),"")</f>
        <v/>
      </c>
      <c r="AQ135" s="73"/>
      <c r="AR135" s="123" t="str">
        <f t="shared" si="147"/>
        <v/>
      </c>
      <c r="AS135" s="123" t="str">
        <f t="shared" si="148"/>
        <v/>
      </c>
      <c r="AT135" s="97" t="str">
        <f t="shared" ca="1" si="149"/>
        <v/>
      </c>
      <c r="AU135" s="98" t="str">
        <f>IF(AW135&lt;&gt;"",VLOOKUP($P135&amp;" | "&amp;AU$6,'Job Master'!$F$12:$J$102,5,0),"")</f>
        <v/>
      </c>
      <c r="AV135" s="19" t="str">
        <f>IF(AW135&lt;&gt;"",VLOOKUP($P135&amp;" | "&amp;AU$6,'Job Master'!$F$12:$J$102,3,0),"")</f>
        <v/>
      </c>
      <c r="AW135" s="19" t="str">
        <f>IFERROR(IF(AND(BD135&lt;&gt;"",VLOOKUP($P135&amp;" | "&amp;AU$6,'Job Master'!$F$12:$I$102,4,0)&lt;&gt;""),IF(WEEKDAY(BD135-VLOOKUP($P135&amp;" | "&amp;AU$6,'Job Master'!$F$12:$I$102,4,0))&lt;&gt;7,BD135-VLOOKUP($P135&amp;" | "&amp;AU$6,'Job Master'!$F$12:$I$102,4,0),BD135-VLOOKUP($P135&amp;" | "&amp;AU$6,'Job Master'!$F$12:$I$102,4,0)-1),""),"")</f>
        <v/>
      </c>
      <c r="AX135" s="73"/>
      <c r="AY135" s="123" t="str">
        <f t="shared" si="150"/>
        <v/>
      </c>
      <c r="AZ135" s="123" t="str">
        <f t="shared" si="151"/>
        <v/>
      </c>
      <c r="BA135" s="97" t="str">
        <f t="shared" ca="1" si="152"/>
        <v/>
      </c>
      <c r="BB135" s="98" t="str">
        <f>IF(BD135&lt;&gt;"",VLOOKUP($P135&amp;" | "&amp;BB$6,'Job Master'!$F$12:$J$102,5,0),"")</f>
        <v/>
      </c>
      <c r="BC135" s="19" t="str">
        <f>IF(BD135&lt;&gt;"",VLOOKUP($P135&amp;" | "&amp;BB$6,'Job Master'!$F$12:$J$102,3,0),"")</f>
        <v/>
      </c>
      <c r="BD135" s="19" t="str">
        <f>IFERROR(IF(AND(BK135&lt;&gt;"",VLOOKUP($P135&amp;" | "&amp;BB$6,'Job Master'!$F$12:$I$102,4,0)&lt;&gt;""),IF(WEEKDAY(BK135-VLOOKUP($P135&amp;" | "&amp;BB$6,'Job Master'!$F$12:$I$102,4,0))&lt;&gt;7,BK135-VLOOKUP($P135&amp;" | "&amp;BB$6,'Job Master'!$F$12:$I$102,4,0),BK135-VLOOKUP($P135&amp;" | "&amp;BB$6,'Job Master'!$F$12:$I$102,4,0)-1),""),"")</f>
        <v/>
      </c>
      <c r="BE135" s="73"/>
      <c r="BF135" s="123" t="str">
        <f t="shared" si="153"/>
        <v/>
      </c>
      <c r="BG135" s="123" t="str">
        <f t="shared" si="154"/>
        <v/>
      </c>
      <c r="BH135" s="97" t="str">
        <f t="shared" ca="1" si="155"/>
        <v/>
      </c>
      <c r="BI135" s="98" t="str">
        <f>IF(BK135&lt;&gt;"",VLOOKUP($P135&amp;" | "&amp;BI$6,'Job Master'!$F$12:$J$102,5,0),"")</f>
        <v/>
      </c>
      <c r="BJ135" s="19" t="str">
        <f>IF(BK135&lt;&gt;"",VLOOKUP($P135&amp;" | "&amp;BI$6,'Job Master'!$F$12:$J$102,3,0),"")</f>
        <v/>
      </c>
      <c r="BK135" s="19" t="str">
        <f>IFERROR(IF(AND(BR135&lt;&gt;"",VLOOKUP($P135&amp;" | "&amp;BI$6,'Job Master'!$F$12:$I$102,4,0)&lt;&gt;""),IF(WEEKDAY(BR135-VLOOKUP($P135&amp;" | "&amp;BI$6,'Job Master'!$F$12:$I$102,4,0))&lt;&gt;7,BR135-VLOOKUP($P135&amp;" | "&amp;BI$6,'Job Master'!$F$12:$I$102,4,0),BR135-VLOOKUP($P135&amp;" | "&amp;BI$6,'Job Master'!$F$12:$I$102,4,0)-1),""),"")</f>
        <v/>
      </c>
      <c r="BL135" s="73"/>
      <c r="BM135" s="123" t="str">
        <f t="shared" si="156"/>
        <v/>
      </c>
      <c r="BN135" s="123" t="str">
        <f t="shared" si="157"/>
        <v/>
      </c>
      <c r="BO135" s="97" t="str">
        <f t="shared" ca="1" si="158"/>
        <v/>
      </c>
      <c r="BP135" s="98" t="str">
        <f>IF(BR135&lt;&gt;"",VLOOKUP($P135&amp;" | "&amp;BP$6,'Job Master'!$F$12:$J$102,5,0),"")</f>
        <v/>
      </c>
      <c r="BQ135" s="19" t="str">
        <f>IF(BR135&lt;&gt;"",VLOOKUP($P135&amp;" | "&amp;BP$6,'Job Master'!$F$12:$J$102,3,0),"")</f>
        <v/>
      </c>
      <c r="BR135" s="19" t="str">
        <f>IFERROR(IF(AND(BY135&lt;&gt;"",VLOOKUP($P135&amp;" | "&amp;BP$6,'Job Master'!$F$12:$I$102,4,0)&lt;&gt;""),IF(WEEKDAY(BY135-VLOOKUP($P135&amp;" | "&amp;BP$6,'Job Master'!$F$12:$I$102,4,0))&lt;&gt;7,BY135-VLOOKUP($P135&amp;" | "&amp;BP$6,'Job Master'!$F$12:$I$102,4,0),BY135-VLOOKUP($P135&amp;" | "&amp;BP$6,'Job Master'!$F$12:$I$102,4,0)-1),""),"")</f>
        <v/>
      </c>
      <c r="BS135" s="73"/>
      <c r="BT135" s="123" t="str">
        <f t="shared" si="159"/>
        <v/>
      </c>
      <c r="BU135" s="123" t="str">
        <f t="shared" si="160"/>
        <v/>
      </c>
      <c r="BV135" s="97" t="str">
        <f t="shared" ca="1" si="161"/>
        <v/>
      </c>
      <c r="BW135" s="98" t="str">
        <f>IF(BY135&lt;&gt;"",VLOOKUP($P135&amp;" | "&amp;BW$6,'Job Master'!$F$12:$J$102,5,0),"")</f>
        <v/>
      </c>
      <c r="BX135" s="19" t="str">
        <f>IF(BY135&lt;&gt;"",VLOOKUP($P135&amp;" | "&amp;BW$6,'Job Master'!$F$12:$J$102,3,0),"")</f>
        <v/>
      </c>
      <c r="BY135" s="19" t="str">
        <f>IFERROR(IF(AND(CF135&lt;&gt;"",VLOOKUP($P135&amp;" | "&amp;BW$6,'Job Master'!$F$12:$I$102,4,0)&lt;&gt;""),IF(WEEKDAY(CF135-VLOOKUP($P135&amp;" | "&amp;BW$6,'Job Master'!$F$12:$I$102,4,0))&lt;&gt;7,CF135-VLOOKUP($P135&amp;" | "&amp;BW$6,'Job Master'!$F$12:$I$102,4,0),CF135-VLOOKUP($P135&amp;" | "&amp;BW$6,'Job Master'!$F$12:$I$102,4,0)-1),""),"")</f>
        <v/>
      </c>
      <c r="BZ135" s="73"/>
      <c r="CA135" s="123" t="str">
        <f t="shared" si="162"/>
        <v/>
      </c>
      <c r="CB135" s="123" t="str">
        <f t="shared" si="163"/>
        <v/>
      </c>
      <c r="CC135" s="97" t="str">
        <f t="shared" ca="1" si="164"/>
        <v/>
      </c>
      <c r="CD135" s="98" t="str">
        <f>IF(CF135&lt;&gt;"",VLOOKUP($P135&amp;" | "&amp;CD$6,'Job Master'!$F$12:$J$102,5,0),"")</f>
        <v/>
      </c>
      <c r="CE135" s="19" t="str">
        <f>IF(CF135&lt;&gt;"",VLOOKUP($P135&amp;" | "&amp;CD$6,'Job Master'!$F$12:$J$102,3,0),"")</f>
        <v/>
      </c>
      <c r="CF135" s="19" t="str">
        <f>IFERROR(IF(AND(CM135&lt;&gt;"",VLOOKUP($P135&amp;" | "&amp;CD$6,'Job Master'!$F$12:$I$102,4,0)&lt;&gt;""),IF(WEEKDAY(CM135-VLOOKUP($P135&amp;" | "&amp;CD$6,'Job Master'!$F$12:$I$102,4,0))&lt;&gt;7,CM135-VLOOKUP($P135&amp;" | "&amp;CD$6,'Job Master'!$F$12:$I$102,4,0),CM135-VLOOKUP($P135&amp;" | "&amp;CD$6,'Job Master'!$F$12:$I$102,4,0)-1),""),"")</f>
        <v/>
      </c>
      <c r="CG135" s="73"/>
      <c r="CH135" s="123" t="str">
        <f t="shared" si="165"/>
        <v/>
      </c>
      <c r="CI135" s="123" t="str">
        <f t="shared" si="166"/>
        <v/>
      </c>
      <c r="CJ135" s="97" t="str">
        <f t="shared" ca="1" si="167"/>
        <v/>
      </c>
      <c r="CK135" s="98" t="str">
        <f>IF(CM135&lt;&gt;"",VLOOKUP($P135&amp;" | "&amp;CK$6,'Job Master'!$F$12:$J$102,5,0),"")</f>
        <v/>
      </c>
      <c r="CL135" s="19" t="str">
        <f>IF(CM135&lt;&gt;"",VLOOKUP($P135&amp;" | "&amp;CK$6,'Job Master'!$F$12:$J$102,3,0),"")</f>
        <v/>
      </c>
      <c r="CM135" s="19" t="str">
        <f>IFERROR(IF(AND(CT135&lt;&gt;"",VLOOKUP($P135&amp;" | "&amp;CK$6,'Job Master'!$F$12:$I$102,4,0)&lt;&gt;""),IF(WEEKDAY(CT135-VLOOKUP($P135&amp;" | "&amp;CK$6,'Job Master'!$F$12:$I$102,4,0))&lt;&gt;7,CT135-VLOOKUP($P135&amp;" | "&amp;CK$6,'Job Master'!$F$12:$I$102,4,0),CT135-VLOOKUP($P135&amp;" | "&amp;CK$6,'Job Master'!$F$12:$I$102,4,0)-1),""),"")</f>
        <v/>
      </c>
      <c r="CN135" s="73"/>
      <c r="CO135" s="123" t="str">
        <f t="shared" si="168"/>
        <v/>
      </c>
      <c r="CP135" s="123" t="str">
        <f t="shared" si="169"/>
        <v/>
      </c>
      <c r="CQ135" s="97" t="str">
        <f t="shared" ca="1" si="170"/>
        <v/>
      </c>
      <c r="CR135" s="98" t="str">
        <f>IF(CT135&lt;&gt;"",VLOOKUP($P135&amp;" | "&amp;CR$6,'Job Master'!$F$12:$J$102,5,0),"")</f>
        <v/>
      </c>
      <c r="CS135" s="19" t="str">
        <f>IF(CT135&lt;&gt;"",VLOOKUP($P135&amp;" | "&amp;CR$6,'Job Master'!$F$12:$J$102,3,0),"")</f>
        <v/>
      </c>
      <c r="CT135" s="19" t="str">
        <f>IFERROR(IF(AND(DA135&lt;&gt;"",VLOOKUP($P135&amp;" | "&amp;CR$6,'Job Master'!$F$12:$I$102,4,0)&lt;&gt;""),IF(WEEKDAY(DA135-VLOOKUP($P135&amp;" | "&amp;CR$6,'Job Master'!$F$12:$I$102,4,0))&lt;&gt;7,DA135-VLOOKUP($P135&amp;" | "&amp;CR$6,'Job Master'!$F$12:$I$102,4,0),DA135-VLOOKUP($P135&amp;" | "&amp;CR$6,'Job Master'!$F$12:$I$102,4,0)-1),""),"")</f>
        <v/>
      </c>
      <c r="CU135" s="73"/>
      <c r="CV135" s="123" t="str">
        <f t="shared" si="171"/>
        <v/>
      </c>
      <c r="CW135" s="123" t="str">
        <f t="shared" si="172"/>
        <v/>
      </c>
      <c r="CX135" s="97" t="str">
        <f t="shared" ca="1" si="173"/>
        <v/>
      </c>
      <c r="CY135" s="98" t="str">
        <f>IF(DA135&lt;&gt;"",VLOOKUP($P135&amp;" | "&amp;CY$6,'Job Master'!$F$12:$J$102,5,0),"")</f>
        <v/>
      </c>
      <c r="CZ135" s="19" t="str">
        <f>IF(DA135&lt;&gt;"",VLOOKUP($P135&amp;" | "&amp;CY$6,'Job Master'!$F$12:$J$102,3,0),"")</f>
        <v/>
      </c>
      <c r="DA135" s="19" t="str">
        <f>IFERROR(IF(AND(DH135&lt;&gt;"",VLOOKUP($P135&amp;" | "&amp;CY$6,'Job Master'!$F$12:$I$102,4,0)&lt;&gt;""),IF(WEEKDAY(DH135-VLOOKUP($P135&amp;" | "&amp;CY$6,'Job Master'!$F$12:$I$102,4,0))&lt;&gt;7,DH135-VLOOKUP($P135&amp;" | "&amp;CY$6,'Job Master'!$F$12:$I$102,4,0),DH135-VLOOKUP($P135&amp;" | "&amp;CY$6,'Job Master'!$F$12:$I$102,4,0)-1),""),"")</f>
        <v/>
      </c>
      <c r="DB135" s="73"/>
      <c r="DC135" s="123" t="str">
        <f t="shared" si="174"/>
        <v/>
      </c>
      <c r="DD135" s="123" t="str">
        <f t="shared" si="175"/>
        <v/>
      </c>
      <c r="DE135" s="97" t="str">
        <f t="shared" ca="1" si="176"/>
        <v/>
      </c>
      <c r="DF135" s="98" t="str">
        <f>IF(DH135&lt;&gt;"",VLOOKUP($P135&amp;" | "&amp;DF$6,'Job Master'!$F$12:$J$102,5,0),"")</f>
        <v/>
      </c>
      <c r="DG135" s="19" t="str">
        <f>IF(DH135&lt;&gt;"",VLOOKUP($P135&amp;" | "&amp;DF$6,'Job Master'!$F$12:$J$102,3,0),"")</f>
        <v/>
      </c>
      <c r="DH135" s="19" t="str">
        <f>IFERROR(IF(AND(DO135&lt;&gt;"",VLOOKUP($P135&amp;" | "&amp;DF$6,'Job Master'!$F$12:$I$102,4,0)&lt;&gt;""),IF(WEEKDAY(DO135-VLOOKUP($P135&amp;" | "&amp;DF$6,'Job Master'!$F$12:$I$102,4,0))&lt;&gt;7,DO135-VLOOKUP($P135&amp;" | "&amp;DF$6,'Job Master'!$F$12:$I$102,4,0),DO135-VLOOKUP($P135&amp;" | "&amp;DF$6,'Job Master'!$F$12:$I$102,4,0)-1),""),"")</f>
        <v/>
      </c>
      <c r="DI135" s="73"/>
      <c r="DJ135" s="123" t="str">
        <f t="shared" si="177"/>
        <v/>
      </c>
      <c r="DK135" s="123" t="str">
        <f t="shared" si="178"/>
        <v/>
      </c>
      <c r="DL135" s="97" t="str">
        <f t="shared" ca="1" si="179"/>
        <v/>
      </c>
      <c r="DM135" s="98" t="str">
        <f>IF(DO135&lt;&gt;"",VLOOKUP($P135&amp;" | "&amp;DM$6,'Job Master'!$F$12:$J$102,5,0),"")</f>
        <v/>
      </c>
      <c r="DN135" s="19" t="str">
        <f>IF(DO135&lt;&gt;"",VLOOKUP($P135&amp;" | "&amp;DM$6,'Job Master'!$F$12:$J$102,3,0),"")</f>
        <v/>
      </c>
      <c r="DO135" s="19" t="str">
        <f>IFERROR(IF(AND(DT135&lt;&gt;"",VLOOKUP($P135&amp;" | "&amp;DM$6,'Job Master'!$F$12:$I$102,4,0)&lt;&gt;""),IF(WEEKDAY(DT135-VLOOKUP($P135&amp;" | "&amp;DM$6,'Job Master'!$F$12:$I$102,4,0))&lt;&gt;7,DT135-VLOOKUP($P135&amp;" | "&amp;DM$6,'Job Master'!$F$12:$I$102,4,0),DT135-VLOOKUP($P135&amp;" | "&amp;DM$6,'Job Master'!$F$12:$I$102,4,0)-1),""),"")</f>
        <v/>
      </c>
      <c r="DP135" s="73"/>
      <c r="DQ135" s="123" t="str">
        <f t="shared" si="180"/>
        <v/>
      </c>
      <c r="DR135" s="123" t="str">
        <f t="shared" si="181"/>
        <v/>
      </c>
      <c r="DS135" s="97" t="str">
        <f t="shared" ca="1" si="182"/>
        <v/>
      </c>
      <c r="DT135" s="70" t="str">
        <f t="shared" si="183"/>
        <v/>
      </c>
      <c r="DU135" s="90"/>
      <c r="DV135" s="123" t="str">
        <f t="shared" si="184"/>
        <v/>
      </c>
      <c r="DW135" s="123" t="str">
        <f t="shared" si="185"/>
        <v/>
      </c>
      <c r="DX135" s="132" t="str">
        <f t="shared" ref="DX135" ca="1" si="258">IF(DT135&lt;&gt;"",IF(WEEKNUM(DT135)=WEEKNUM(TODAY()),"This Week",IF(WEEKNUM(DT135)=WEEKNUM(TODAY())+1,"Next Week",IF(WEEKNUM(DT135)=WEEKNUM(TODAY())-1,"Previous Week",""))),"")</f>
        <v/>
      </c>
      <c r="DY135" s="134" t="str">
        <f t="shared" si="187"/>
        <v/>
      </c>
      <c r="DZ135" s="95"/>
      <c r="EB135" s="8" t="str">
        <f t="shared" si="193"/>
        <v/>
      </c>
      <c r="EC135" s="8" t="str">
        <f>IF(O135&lt;&gt;"",VLOOKUP(O135,'Job Master'!$N$12:$O$18,2,0),"")</f>
        <v/>
      </c>
      <c r="ED135" s="8">
        <f t="shared" si="194"/>
        <v>19.5</v>
      </c>
      <c r="EE135" s="8">
        <f t="shared" si="195"/>
        <v>6</v>
      </c>
      <c r="EF135" s="8">
        <f t="shared" si="196"/>
        <v>-730.5</v>
      </c>
      <c r="EG135" s="8" t="str">
        <f t="shared" si="197"/>
        <v/>
      </c>
      <c r="EH135" s="8" t="str">
        <f t="shared" si="198"/>
        <v/>
      </c>
    </row>
    <row r="136" spans="2:138" x14ac:dyDescent="0.3">
      <c r="B136" s="112"/>
      <c r="C136" s="27"/>
      <c r="D136" s="7" t="str">
        <f t="shared" si="135"/>
        <v/>
      </c>
      <c r="E136" s="25"/>
      <c r="F136" s="7" t="str">
        <f t="shared" si="135"/>
        <v/>
      </c>
      <c r="G136" s="25"/>
      <c r="H136" s="7" t="str">
        <f t="shared" si="135"/>
        <v/>
      </c>
      <c r="I136" s="25"/>
      <c r="J136" s="7" t="str">
        <f t="shared" ref="J136" si="259">IF(IF(I136&lt;&gt;"",I136,IF($AA136&lt;&gt;"",J135,""))&lt;&gt;0,IF(I136&lt;&gt;"",I136,IF($AA136&lt;&gt;"",J135,"")),"")</f>
        <v/>
      </c>
      <c r="K136" s="25"/>
      <c r="L136" s="7" t="str">
        <f t="shared" si="136"/>
        <v/>
      </c>
      <c r="M136" s="25"/>
      <c r="N136" s="7" t="str">
        <f t="shared" si="137"/>
        <v/>
      </c>
      <c r="O136" s="81"/>
      <c r="P136" s="81" t="str">
        <f t="shared" si="138"/>
        <v/>
      </c>
      <c r="Q136" s="81"/>
      <c r="R136" s="7" t="str">
        <f t="shared" si="139"/>
        <v/>
      </c>
      <c r="S136" s="25"/>
      <c r="T136" s="7" t="str">
        <f t="shared" si="140"/>
        <v/>
      </c>
      <c r="U136" s="25"/>
      <c r="V136" s="7" t="str">
        <f t="shared" si="141"/>
        <v/>
      </c>
      <c r="W136" s="25"/>
      <c r="X136" s="7" t="str">
        <f t="shared" si="142"/>
        <v/>
      </c>
      <c r="Y136" s="18" t="str">
        <f t="shared" si="143"/>
        <v/>
      </c>
      <c r="Z136" s="7" t="str">
        <f t="shared" si="144"/>
        <v/>
      </c>
      <c r="AA136" s="18" t="str">
        <f t="shared" si="145"/>
        <v/>
      </c>
      <c r="AB136" s="19" t="str">
        <f t="shared" si="146"/>
        <v/>
      </c>
      <c r="AC136" s="26"/>
      <c r="AD136" s="26"/>
      <c r="AE136" s="25"/>
      <c r="AF136" s="26"/>
      <c r="AG136" s="25"/>
      <c r="AH136" s="25"/>
      <c r="AI136" s="18" t="str">
        <f t="shared" si="209"/>
        <v/>
      </c>
      <c r="AJ136" s="25"/>
      <c r="AK136" s="18" t="str">
        <f t="shared" si="210"/>
        <v/>
      </c>
      <c r="AL136" s="79"/>
      <c r="AM136" s="126" t="str">
        <f t="shared" si="211"/>
        <v/>
      </c>
      <c r="AN136" s="128" t="str">
        <f>IF(AP136&lt;&gt;"",VLOOKUP($P136&amp;" | "&amp;AN$6,'Job Master'!$F$12:$J$102,5,0),"")</f>
        <v/>
      </c>
      <c r="AO136" s="19" t="str">
        <f>IF(AP136&lt;&gt;"",VLOOKUP($P136&amp;" | "&amp;AN$6,'Job Master'!$F$12:$J$102,3,0),"")</f>
        <v/>
      </c>
      <c r="AP136" s="19" t="str">
        <f>IFERROR(IF(AND(AW136&lt;&gt;"",VLOOKUP($P136&amp;" | "&amp;AN$6,'Job Master'!$F$12:$I$102,4,0)&lt;&gt;""),IF(WEEKDAY(AW136-VLOOKUP($P136&amp;" | "&amp;AN$6,'Job Master'!$F$12:$I$102,4,0))&lt;&gt;7,AW136-VLOOKUP($P136&amp;" | "&amp;AN$6,'Job Master'!$F$12:$I$102,4,0),AW136-VLOOKUP($P136&amp;" | "&amp;AN$6,'Job Master'!$F$12:$I$102,4,0)-1),""),"")</f>
        <v/>
      </c>
      <c r="AQ136" s="73"/>
      <c r="AR136" s="123" t="str">
        <f t="shared" si="147"/>
        <v/>
      </c>
      <c r="AS136" s="123" t="str">
        <f t="shared" si="148"/>
        <v/>
      </c>
      <c r="AT136" s="97" t="str">
        <f t="shared" ca="1" si="149"/>
        <v/>
      </c>
      <c r="AU136" s="98" t="str">
        <f>IF(AW136&lt;&gt;"",VLOOKUP($P136&amp;" | "&amp;AU$6,'Job Master'!$F$12:$J$102,5,0),"")</f>
        <v/>
      </c>
      <c r="AV136" s="19" t="str">
        <f>IF(AW136&lt;&gt;"",VLOOKUP($P136&amp;" | "&amp;AU$6,'Job Master'!$F$12:$J$102,3,0),"")</f>
        <v/>
      </c>
      <c r="AW136" s="19" t="str">
        <f>IFERROR(IF(AND(BD136&lt;&gt;"",VLOOKUP($P136&amp;" | "&amp;AU$6,'Job Master'!$F$12:$I$102,4,0)&lt;&gt;""),IF(WEEKDAY(BD136-VLOOKUP($P136&amp;" | "&amp;AU$6,'Job Master'!$F$12:$I$102,4,0))&lt;&gt;7,BD136-VLOOKUP($P136&amp;" | "&amp;AU$6,'Job Master'!$F$12:$I$102,4,0),BD136-VLOOKUP($P136&amp;" | "&amp;AU$6,'Job Master'!$F$12:$I$102,4,0)-1),""),"")</f>
        <v/>
      </c>
      <c r="AX136" s="73"/>
      <c r="AY136" s="123" t="str">
        <f t="shared" si="150"/>
        <v/>
      </c>
      <c r="AZ136" s="123" t="str">
        <f t="shared" si="151"/>
        <v/>
      </c>
      <c r="BA136" s="97" t="str">
        <f t="shared" ca="1" si="152"/>
        <v/>
      </c>
      <c r="BB136" s="98" t="str">
        <f>IF(BD136&lt;&gt;"",VLOOKUP($P136&amp;" | "&amp;BB$6,'Job Master'!$F$12:$J$102,5,0),"")</f>
        <v/>
      </c>
      <c r="BC136" s="19" t="str">
        <f>IF(BD136&lt;&gt;"",VLOOKUP($P136&amp;" | "&amp;BB$6,'Job Master'!$F$12:$J$102,3,0),"")</f>
        <v/>
      </c>
      <c r="BD136" s="19" t="str">
        <f>IFERROR(IF(AND(BK136&lt;&gt;"",VLOOKUP($P136&amp;" | "&amp;BB$6,'Job Master'!$F$12:$I$102,4,0)&lt;&gt;""),IF(WEEKDAY(BK136-VLOOKUP($P136&amp;" | "&amp;BB$6,'Job Master'!$F$12:$I$102,4,0))&lt;&gt;7,BK136-VLOOKUP($P136&amp;" | "&amp;BB$6,'Job Master'!$F$12:$I$102,4,0),BK136-VLOOKUP($P136&amp;" | "&amp;BB$6,'Job Master'!$F$12:$I$102,4,0)-1),""),"")</f>
        <v/>
      </c>
      <c r="BE136" s="73"/>
      <c r="BF136" s="123" t="str">
        <f t="shared" si="153"/>
        <v/>
      </c>
      <c r="BG136" s="123" t="str">
        <f t="shared" si="154"/>
        <v/>
      </c>
      <c r="BH136" s="97" t="str">
        <f t="shared" ca="1" si="155"/>
        <v/>
      </c>
      <c r="BI136" s="98" t="str">
        <f>IF(BK136&lt;&gt;"",VLOOKUP($P136&amp;" | "&amp;BI$6,'Job Master'!$F$12:$J$102,5,0),"")</f>
        <v/>
      </c>
      <c r="BJ136" s="19" t="str">
        <f>IF(BK136&lt;&gt;"",VLOOKUP($P136&amp;" | "&amp;BI$6,'Job Master'!$F$12:$J$102,3,0),"")</f>
        <v/>
      </c>
      <c r="BK136" s="19" t="str">
        <f>IFERROR(IF(AND(BR136&lt;&gt;"",VLOOKUP($P136&amp;" | "&amp;BI$6,'Job Master'!$F$12:$I$102,4,0)&lt;&gt;""),IF(WEEKDAY(BR136-VLOOKUP($P136&amp;" | "&amp;BI$6,'Job Master'!$F$12:$I$102,4,0))&lt;&gt;7,BR136-VLOOKUP($P136&amp;" | "&amp;BI$6,'Job Master'!$F$12:$I$102,4,0),BR136-VLOOKUP($P136&amp;" | "&amp;BI$6,'Job Master'!$F$12:$I$102,4,0)-1),""),"")</f>
        <v/>
      </c>
      <c r="BL136" s="73"/>
      <c r="BM136" s="123" t="str">
        <f t="shared" si="156"/>
        <v/>
      </c>
      <c r="BN136" s="123" t="str">
        <f t="shared" si="157"/>
        <v/>
      </c>
      <c r="BO136" s="97" t="str">
        <f t="shared" ca="1" si="158"/>
        <v/>
      </c>
      <c r="BP136" s="98" t="str">
        <f>IF(BR136&lt;&gt;"",VLOOKUP($P136&amp;" | "&amp;BP$6,'Job Master'!$F$12:$J$102,5,0),"")</f>
        <v/>
      </c>
      <c r="BQ136" s="19" t="str">
        <f>IF(BR136&lt;&gt;"",VLOOKUP($P136&amp;" | "&amp;BP$6,'Job Master'!$F$12:$J$102,3,0),"")</f>
        <v/>
      </c>
      <c r="BR136" s="19" t="str">
        <f>IFERROR(IF(AND(BY136&lt;&gt;"",VLOOKUP($P136&amp;" | "&amp;BP$6,'Job Master'!$F$12:$I$102,4,0)&lt;&gt;""),IF(WEEKDAY(BY136-VLOOKUP($P136&amp;" | "&amp;BP$6,'Job Master'!$F$12:$I$102,4,0))&lt;&gt;7,BY136-VLOOKUP($P136&amp;" | "&amp;BP$6,'Job Master'!$F$12:$I$102,4,0),BY136-VLOOKUP($P136&amp;" | "&amp;BP$6,'Job Master'!$F$12:$I$102,4,0)-1),""),"")</f>
        <v/>
      </c>
      <c r="BS136" s="73"/>
      <c r="BT136" s="123" t="str">
        <f t="shared" si="159"/>
        <v/>
      </c>
      <c r="BU136" s="123" t="str">
        <f t="shared" si="160"/>
        <v/>
      </c>
      <c r="BV136" s="97" t="str">
        <f t="shared" ca="1" si="161"/>
        <v/>
      </c>
      <c r="BW136" s="98" t="str">
        <f>IF(BY136&lt;&gt;"",VLOOKUP($P136&amp;" | "&amp;BW$6,'Job Master'!$F$12:$J$102,5,0),"")</f>
        <v/>
      </c>
      <c r="BX136" s="19" t="str">
        <f>IF(BY136&lt;&gt;"",VLOOKUP($P136&amp;" | "&amp;BW$6,'Job Master'!$F$12:$J$102,3,0),"")</f>
        <v/>
      </c>
      <c r="BY136" s="19" t="str">
        <f>IFERROR(IF(AND(CF136&lt;&gt;"",VLOOKUP($P136&amp;" | "&amp;BW$6,'Job Master'!$F$12:$I$102,4,0)&lt;&gt;""),IF(WEEKDAY(CF136-VLOOKUP($P136&amp;" | "&amp;BW$6,'Job Master'!$F$12:$I$102,4,0))&lt;&gt;7,CF136-VLOOKUP($P136&amp;" | "&amp;BW$6,'Job Master'!$F$12:$I$102,4,0),CF136-VLOOKUP($P136&amp;" | "&amp;BW$6,'Job Master'!$F$12:$I$102,4,0)-1),""),"")</f>
        <v/>
      </c>
      <c r="BZ136" s="73"/>
      <c r="CA136" s="123" t="str">
        <f t="shared" si="162"/>
        <v/>
      </c>
      <c r="CB136" s="123" t="str">
        <f t="shared" si="163"/>
        <v/>
      </c>
      <c r="CC136" s="97" t="str">
        <f t="shared" ca="1" si="164"/>
        <v/>
      </c>
      <c r="CD136" s="98" t="str">
        <f>IF(CF136&lt;&gt;"",VLOOKUP($P136&amp;" | "&amp;CD$6,'Job Master'!$F$12:$J$102,5,0),"")</f>
        <v/>
      </c>
      <c r="CE136" s="19" t="str">
        <f>IF(CF136&lt;&gt;"",VLOOKUP($P136&amp;" | "&amp;CD$6,'Job Master'!$F$12:$J$102,3,0),"")</f>
        <v/>
      </c>
      <c r="CF136" s="19" t="str">
        <f>IFERROR(IF(AND(CM136&lt;&gt;"",VLOOKUP($P136&amp;" | "&amp;CD$6,'Job Master'!$F$12:$I$102,4,0)&lt;&gt;""),IF(WEEKDAY(CM136-VLOOKUP($P136&amp;" | "&amp;CD$6,'Job Master'!$F$12:$I$102,4,0))&lt;&gt;7,CM136-VLOOKUP($P136&amp;" | "&amp;CD$6,'Job Master'!$F$12:$I$102,4,0),CM136-VLOOKUP($P136&amp;" | "&amp;CD$6,'Job Master'!$F$12:$I$102,4,0)-1),""),"")</f>
        <v/>
      </c>
      <c r="CG136" s="73"/>
      <c r="CH136" s="123" t="str">
        <f t="shared" si="165"/>
        <v/>
      </c>
      <c r="CI136" s="123" t="str">
        <f t="shared" si="166"/>
        <v/>
      </c>
      <c r="CJ136" s="97" t="str">
        <f t="shared" ca="1" si="167"/>
        <v/>
      </c>
      <c r="CK136" s="98" t="str">
        <f>IF(CM136&lt;&gt;"",VLOOKUP($P136&amp;" | "&amp;CK$6,'Job Master'!$F$12:$J$102,5,0),"")</f>
        <v/>
      </c>
      <c r="CL136" s="19" t="str">
        <f>IF(CM136&lt;&gt;"",VLOOKUP($P136&amp;" | "&amp;CK$6,'Job Master'!$F$12:$J$102,3,0),"")</f>
        <v/>
      </c>
      <c r="CM136" s="19" t="str">
        <f>IFERROR(IF(AND(CT136&lt;&gt;"",VLOOKUP($P136&amp;" | "&amp;CK$6,'Job Master'!$F$12:$I$102,4,0)&lt;&gt;""),IF(WEEKDAY(CT136-VLOOKUP($P136&amp;" | "&amp;CK$6,'Job Master'!$F$12:$I$102,4,0))&lt;&gt;7,CT136-VLOOKUP($P136&amp;" | "&amp;CK$6,'Job Master'!$F$12:$I$102,4,0),CT136-VLOOKUP($P136&amp;" | "&amp;CK$6,'Job Master'!$F$12:$I$102,4,0)-1),""),"")</f>
        <v/>
      </c>
      <c r="CN136" s="73"/>
      <c r="CO136" s="123" t="str">
        <f t="shared" si="168"/>
        <v/>
      </c>
      <c r="CP136" s="123" t="str">
        <f t="shared" si="169"/>
        <v/>
      </c>
      <c r="CQ136" s="97" t="str">
        <f t="shared" ca="1" si="170"/>
        <v/>
      </c>
      <c r="CR136" s="98" t="str">
        <f>IF(CT136&lt;&gt;"",VLOOKUP($P136&amp;" | "&amp;CR$6,'Job Master'!$F$12:$J$102,5,0),"")</f>
        <v/>
      </c>
      <c r="CS136" s="19" t="str">
        <f>IF(CT136&lt;&gt;"",VLOOKUP($P136&amp;" | "&amp;CR$6,'Job Master'!$F$12:$J$102,3,0),"")</f>
        <v/>
      </c>
      <c r="CT136" s="19" t="str">
        <f>IFERROR(IF(AND(DA136&lt;&gt;"",VLOOKUP($P136&amp;" | "&amp;CR$6,'Job Master'!$F$12:$I$102,4,0)&lt;&gt;""),IF(WEEKDAY(DA136-VLOOKUP($P136&amp;" | "&amp;CR$6,'Job Master'!$F$12:$I$102,4,0))&lt;&gt;7,DA136-VLOOKUP($P136&amp;" | "&amp;CR$6,'Job Master'!$F$12:$I$102,4,0),DA136-VLOOKUP($P136&amp;" | "&amp;CR$6,'Job Master'!$F$12:$I$102,4,0)-1),""),"")</f>
        <v/>
      </c>
      <c r="CU136" s="73"/>
      <c r="CV136" s="123" t="str">
        <f t="shared" si="171"/>
        <v/>
      </c>
      <c r="CW136" s="123" t="str">
        <f t="shared" si="172"/>
        <v/>
      </c>
      <c r="CX136" s="97" t="str">
        <f t="shared" ca="1" si="173"/>
        <v/>
      </c>
      <c r="CY136" s="98" t="str">
        <f>IF(DA136&lt;&gt;"",VLOOKUP($P136&amp;" | "&amp;CY$6,'Job Master'!$F$12:$J$102,5,0),"")</f>
        <v/>
      </c>
      <c r="CZ136" s="19" t="str">
        <f>IF(DA136&lt;&gt;"",VLOOKUP($P136&amp;" | "&amp;CY$6,'Job Master'!$F$12:$J$102,3,0),"")</f>
        <v/>
      </c>
      <c r="DA136" s="19" t="str">
        <f>IFERROR(IF(AND(DH136&lt;&gt;"",VLOOKUP($P136&amp;" | "&amp;CY$6,'Job Master'!$F$12:$I$102,4,0)&lt;&gt;""),IF(WEEKDAY(DH136-VLOOKUP($P136&amp;" | "&amp;CY$6,'Job Master'!$F$12:$I$102,4,0))&lt;&gt;7,DH136-VLOOKUP($P136&amp;" | "&amp;CY$6,'Job Master'!$F$12:$I$102,4,0),DH136-VLOOKUP($P136&amp;" | "&amp;CY$6,'Job Master'!$F$12:$I$102,4,0)-1),""),"")</f>
        <v/>
      </c>
      <c r="DB136" s="73"/>
      <c r="DC136" s="123" t="str">
        <f t="shared" si="174"/>
        <v/>
      </c>
      <c r="DD136" s="123" t="str">
        <f t="shared" si="175"/>
        <v/>
      </c>
      <c r="DE136" s="97" t="str">
        <f t="shared" ca="1" si="176"/>
        <v/>
      </c>
      <c r="DF136" s="98" t="str">
        <f>IF(DH136&lt;&gt;"",VLOOKUP($P136&amp;" | "&amp;DF$6,'Job Master'!$F$12:$J$102,5,0),"")</f>
        <v/>
      </c>
      <c r="DG136" s="19" t="str">
        <f>IF(DH136&lt;&gt;"",VLOOKUP($P136&amp;" | "&amp;DF$6,'Job Master'!$F$12:$J$102,3,0),"")</f>
        <v/>
      </c>
      <c r="DH136" s="19" t="str">
        <f>IFERROR(IF(AND(DO136&lt;&gt;"",VLOOKUP($P136&amp;" | "&amp;DF$6,'Job Master'!$F$12:$I$102,4,0)&lt;&gt;""),IF(WEEKDAY(DO136-VLOOKUP($P136&amp;" | "&amp;DF$6,'Job Master'!$F$12:$I$102,4,0))&lt;&gt;7,DO136-VLOOKUP($P136&amp;" | "&amp;DF$6,'Job Master'!$F$12:$I$102,4,0),DO136-VLOOKUP($P136&amp;" | "&amp;DF$6,'Job Master'!$F$12:$I$102,4,0)-1),""),"")</f>
        <v/>
      </c>
      <c r="DI136" s="73"/>
      <c r="DJ136" s="123" t="str">
        <f t="shared" si="177"/>
        <v/>
      </c>
      <c r="DK136" s="123" t="str">
        <f t="shared" si="178"/>
        <v/>
      </c>
      <c r="DL136" s="97" t="str">
        <f t="shared" ca="1" si="179"/>
        <v/>
      </c>
      <c r="DM136" s="98" t="str">
        <f>IF(DO136&lt;&gt;"",VLOOKUP($P136&amp;" | "&amp;DM$6,'Job Master'!$F$12:$J$102,5,0),"")</f>
        <v/>
      </c>
      <c r="DN136" s="19" t="str">
        <f>IF(DO136&lt;&gt;"",VLOOKUP($P136&amp;" | "&amp;DM$6,'Job Master'!$F$12:$J$102,3,0),"")</f>
        <v/>
      </c>
      <c r="DO136" s="19" t="str">
        <f>IFERROR(IF(AND(DT136&lt;&gt;"",VLOOKUP($P136&amp;" | "&amp;DM$6,'Job Master'!$F$12:$I$102,4,0)&lt;&gt;""),IF(WEEKDAY(DT136-VLOOKUP($P136&amp;" | "&amp;DM$6,'Job Master'!$F$12:$I$102,4,0))&lt;&gt;7,DT136-VLOOKUP($P136&amp;" | "&amp;DM$6,'Job Master'!$F$12:$I$102,4,0),DT136-VLOOKUP($P136&amp;" | "&amp;DM$6,'Job Master'!$F$12:$I$102,4,0)-1),""),"")</f>
        <v/>
      </c>
      <c r="DP136" s="73"/>
      <c r="DQ136" s="123" t="str">
        <f t="shared" si="180"/>
        <v/>
      </c>
      <c r="DR136" s="123" t="str">
        <f t="shared" si="181"/>
        <v/>
      </c>
      <c r="DS136" s="97" t="str">
        <f t="shared" ca="1" si="182"/>
        <v/>
      </c>
      <c r="DT136" s="70" t="str">
        <f t="shared" si="183"/>
        <v/>
      </c>
      <c r="DU136" s="90"/>
      <c r="DV136" s="123" t="str">
        <f t="shared" si="184"/>
        <v/>
      </c>
      <c r="DW136" s="123" t="str">
        <f t="shared" si="185"/>
        <v/>
      </c>
      <c r="DX136" s="132" t="str">
        <f t="shared" ref="DX136" ca="1" si="260">IF(DT136&lt;&gt;"",IF(WEEKNUM(DT136)=WEEKNUM(TODAY()),"This Week",IF(WEEKNUM(DT136)=WEEKNUM(TODAY())+1,"Next Week",IF(WEEKNUM(DT136)=WEEKNUM(TODAY())-1,"Previous Week",""))),"")</f>
        <v/>
      </c>
      <c r="DY136" s="134" t="str">
        <f t="shared" si="187"/>
        <v/>
      </c>
      <c r="DZ136" s="95"/>
      <c r="EB136" s="8" t="str">
        <f t="shared" si="193"/>
        <v/>
      </c>
      <c r="EC136" s="8" t="str">
        <f>IF(O136&lt;&gt;"",VLOOKUP(O136,'Job Master'!$N$12:$O$18,2,0),"")</f>
        <v/>
      </c>
      <c r="ED136" s="8">
        <f t="shared" si="194"/>
        <v>19.5</v>
      </c>
      <c r="EE136" s="8">
        <f t="shared" si="195"/>
        <v>6</v>
      </c>
      <c r="EF136" s="8">
        <f t="shared" si="196"/>
        <v>-736.5</v>
      </c>
      <c r="EG136" s="8" t="str">
        <f t="shared" si="197"/>
        <v/>
      </c>
      <c r="EH136" s="8" t="str">
        <f t="shared" si="198"/>
        <v/>
      </c>
    </row>
    <row r="137" spans="2:138" x14ac:dyDescent="0.3">
      <c r="B137" s="112"/>
      <c r="C137" s="27"/>
      <c r="D137" s="7" t="str">
        <f t="shared" ref="D137:J200" si="261">IF(IF(C137&lt;&gt;"",C137,IF($AA137&lt;&gt;"",D136,""))&lt;&gt;0,IF(C137&lt;&gt;"",C137,IF($AA137&lt;&gt;"",D136,"")),"")</f>
        <v/>
      </c>
      <c r="E137" s="25"/>
      <c r="F137" s="7" t="str">
        <f t="shared" si="261"/>
        <v/>
      </c>
      <c r="G137" s="25"/>
      <c r="H137" s="7" t="str">
        <f t="shared" si="261"/>
        <v/>
      </c>
      <c r="I137" s="25"/>
      <c r="J137" s="7" t="str">
        <f t="shared" si="261"/>
        <v/>
      </c>
      <c r="K137" s="25"/>
      <c r="L137" s="7" t="str">
        <f t="shared" ref="L137:L200" si="262">IF(IF(K137&lt;&gt;"",K137,IF($AA137&lt;&gt;"",L136,""))&lt;&gt;0,IF(K137&lt;&gt;"",K137,IF($AA137&lt;&gt;"",L136,"")),"")</f>
        <v/>
      </c>
      <c r="M137" s="25"/>
      <c r="N137" s="7" t="str">
        <f t="shared" ref="N137:N200" si="263">IF(IF(M137&lt;&gt;"",M137,IF($AA137&lt;&gt;"",N136,""))&lt;&gt;0,IF(M137&lt;&gt;"",M137,IF($AA137&lt;&gt;"",N136,"")),"")</f>
        <v/>
      </c>
      <c r="O137" s="81"/>
      <c r="P137" s="81" t="str">
        <f t="shared" ref="P137:P200" si="264">IF(IF(O137&lt;&gt;"",O137,IF($AA137&lt;&gt;"",P136,""))&lt;&gt;0,IF(O137&lt;&gt;"",O137,IF($AA137&lt;&gt;"",P136,"")),"")</f>
        <v/>
      </c>
      <c r="Q137" s="81"/>
      <c r="R137" s="7" t="str">
        <f t="shared" ref="R137:R200" si="265">IF(IF(Q137&lt;&gt;"",Q137,IF($AA137&lt;&gt;"",R136,""))&lt;&gt;0,IF(Q137&lt;&gt;"",Q137,IF($AA137&lt;&gt;"",R136,"")),"")</f>
        <v/>
      </c>
      <c r="S137" s="25"/>
      <c r="T137" s="7" t="str">
        <f t="shared" ref="T137:T200" si="266">IF(IF(S137&lt;&gt;"",S137,IF($AA137&lt;&gt;"",T136,""))&lt;&gt;0,IF(S137&lt;&gt;"",S137,IF($AA137&lt;&gt;"",T136,"")),"")</f>
        <v/>
      </c>
      <c r="U137" s="25"/>
      <c r="V137" s="7" t="str">
        <f t="shared" ref="V137:V200" si="267">IF(IF(U137&lt;&gt;"",U137,IF($AA137&lt;&gt;"",V136,""))&lt;&gt;0,IF(U137&lt;&gt;"",U137,IF($AA137&lt;&gt;"",V136,"")),"")</f>
        <v/>
      </c>
      <c r="W137" s="25"/>
      <c r="X137" s="7" t="str">
        <f t="shared" ref="X137:X200" si="268">IF(IF(W137&lt;&gt;"",W137,IF($AA137&lt;&gt;"",X136,""))&lt;&gt;0,IF(W137&lt;&gt;"",W137,IF($AA137&lt;&gt;"",X136,"")),"")</f>
        <v/>
      </c>
      <c r="Y137" s="18" t="str">
        <f t="shared" ref="Y137:Y200" si="269">IF(AND(W137&lt;&gt;"",U137&lt;&gt;""),U137*W137,"")</f>
        <v/>
      </c>
      <c r="Z137" s="7" t="str">
        <f t="shared" ref="Z137:Z200" si="270">IF(IF(Y137&lt;&gt;"",Y137,IF($AA137&lt;&gt;"",Z136,""))&lt;&gt;0,IF(Y137&lt;&gt;"",Y137,IF($AA137&lt;&gt;"",Z136,"")),"")</f>
        <v/>
      </c>
      <c r="AA137" s="18" t="str">
        <f t="shared" ref="AA137:AA200" si="271">IF(EH137&lt;&gt;"",EH137,"")</f>
        <v/>
      </c>
      <c r="AB137" s="19" t="str">
        <f t="shared" ref="AB137:AB200" si="272">IF(AA137&lt;&gt;"",IF(WEEKDAY(IF(AF137&lt;&gt;"",AF137,IF(AD137&lt;&gt;"",AD137,IF(AC137&lt;&gt;"",AC137,IF(AND(AC137="",AD137="",AF137="",AA137&lt;&gt;""),AB136-1,"")))))&lt;&gt;7,IF(AF137&lt;&gt;"",AF137,IF(AD137&lt;&gt;"",AD137,IF(AC137&lt;&gt;"",AC137,IF(AND(AC137="",AD137="",AF137="",AA137&lt;&gt;""),AB136-1,"")))),IF(AF137&lt;&gt;"",AF137,IF(AD137&lt;&gt;"",AD137,IF(AC137&lt;&gt;"",AC137,IF(AND(AC137="",AD137="",AF137="",AA137&lt;&gt;""),AB136-1,""))))-1),"")</f>
        <v/>
      </c>
      <c r="AC137" s="26"/>
      <c r="AD137" s="26"/>
      <c r="AE137" s="25"/>
      <c r="AF137" s="26"/>
      <c r="AG137" s="25"/>
      <c r="AH137" s="25"/>
      <c r="AI137" s="18" t="str">
        <f t="shared" si="209"/>
        <v/>
      </c>
      <c r="AJ137" s="25"/>
      <c r="AK137" s="18" t="str">
        <f t="shared" si="210"/>
        <v/>
      </c>
      <c r="AL137" s="79"/>
      <c r="AM137" s="126" t="str">
        <f t="shared" si="211"/>
        <v/>
      </c>
      <c r="AN137" s="128" t="str">
        <f>IF(AP137&lt;&gt;"",VLOOKUP($P137&amp;" | "&amp;AN$6,'Job Master'!$F$12:$J$102,5,0),"")</f>
        <v/>
      </c>
      <c r="AO137" s="19" t="str">
        <f>IF(AP137&lt;&gt;"",VLOOKUP($P137&amp;" | "&amp;AN$6,'Job Master'!$F$12:$J$102,3,0),"")</f>
        <v/>
      </c>
      <c r="AP137" s="19" t="str">
        <f>IFERROR(IF(AND(AW137&lt;&gt;"",VLOOKUP($P137&amp;" | "&amp;AN$6,'Job Master'!$F$12:$I$102,4,0)&lt;&gt;""),IF(WEEKDAY(AW137-VLOOKUP($P137&amp;" | "&amp;AN$6,'Job Master'!$F$12:$I$102,4,0))&lt;&gt;7,AW137-VLOOKUP($P137&amp;" | "&amp;AN$6,'Job Master'!$F$12:$I$102,4,0),AW137-VLOOKUP($P137&amp;" | "&amp;AN$6,'Job Master'!$F$12:$I$102,4,0)-1),""),"")</f>
        <v/>
      </c>
      <c r="AQ137" s="73"/>
      <c r="AR137" s="123" t="str">
        <f t="shared" ref="AR137:AR200" si="273">IF(AP137&lt;&gt;"",MONTH(AP137),"")</f>
        <v/>
      </c>
      <c r="AS137" s="123" t="str">
        <f t="shared" ref="AS137:AS200" si="274">IF(AND(AQ137&lt;&gt;"",AP137&lt;&gt;""),IF(AQ137&gt;AP137,"Delayed",IF(AQ137=AP137,"On Time",IF(AQ137&lt;AP137,"In Advance"))),"")</f>
        <v/>
      </c>
      <c r="AT137" s="97" t="str">
        <f t="shared" ref="AT137:AT200" ca="1" si="275">IF(AP137&lt;&gt;"",IF(WEEKNUM(AP137)=WEEKNUM(TODAY()),"This Week",IF(WEEKNUM(AP137)=WEEKNUM(TODAY())+1,"Next Week",IF(WEEKNUM(AP137)=WEEKNUM(TODAY())-1,"Previous Week",""))),"")</f>
        <v/>
      </c>
      <c r="AU137" s="98" t="str">
        <f>IF(AW137&lt;&gt;"",VLOOKUP($P137&amp;" | "&amp;AU$6,'Job Master'!$F$12:$J$102,5,0),"")</f>
        <v/>
      </c>
      <c r="AV137" s="19" t="str">
        <f>IF(AW137&lt;&gt;"",VLOOKUP($P137&amp;" | "&amp;AU$6,'Job Master'!$F$12:$J$102,3,0),"")</f>
        <v/>
      </c>
      <c r="AW137" s="19" t="str">
        <f>IFERROR(IF(AND(BD137&lt;&gt;"",VLOOKUP($P137&amp;" | "&amp;AU$6,'Job Master'!$F$12:$I$102,4,0)&lt;&gt;""),IF(WEEKDAY(BD137-VLOOKUP($P137&amp;" | "&amp;AU$6,'Job Master'!$F$12:$I$102,4,0))&lt;&gt;7,BD137-VLOOKUP($P137&amp;" | "&amp;AU$6,'Job Master'!$F$12:$I$102,4,0),BD137-VLOOKUP($P137&amp;" | "&amp;AU$6,'Job Master'!$F$12:$I$102,4,0)-1),""),"")</f>
        <v/>
      </c>
      <c r="AX137" s="73"/>
      <c r="AY137" s="123" t="str">
        <f t="shared" ref="AY137:AY200" si="276">IF(AW137&lt;&gt;"",MONTH(AW137),"")</f>
        <v/>
      </c>
      <c r="AZ137" s="123" t="str">
        <f t="shared" ref="AZ137:AZ200" si="277">IF(AND(AX137&lt;&gt;"",AW137&lt;&gt;""),IF(AX137&gt;AW137,"Delayed",IF(AX137=AW137,"On Time",IF(AX137&lt;AW137,"In Advance"))),"")</f>
        <v/>
      </c>
      <c r="BA137" s="97" t="str">
        <f t="shared" ref="BA137:BA200" ca="1" si="278">IF(AW137&lt;&gt;"",IF(WEEKNUM(AW137)=WEEKNUM(TODAY()),"This Week",IF(WEEKNUM(AW137)=WEEKNUM(TODAY())+1,"Next Week",IF(WEEKNUM(AW137)=WEEKNUM(TODAY())-1,"Previous Week",""))),"")</f>
        <v/>
      </c>
      <c r="BB137" s="98" t="str">
        <f>IF(BD137&lt;&gt;"",VLOOKUP($P137&amp;" | "&amp;BB$6,'Job Master'!$F$12:$J$102,5,0),"")</f>
        <v/>
      </c>
      <c r="BC137" s="19" t="str">
        <f>IF(BD137&lt;&gt;"",VLOOKUP($P137&amp;" | "&amp;BB$6,'Job Master'!$F$12:$J$102,3,0),"")</f>
        <v/>
      </c>
      <c r="BD137" s="19" t="str">
        <f>IFERROR(IF(AND(BK137&lt;&gt;"",VLOOKUP($P137&amp;" | "&amp;BB$6,'Job Master'!$F$12:$I$102,4,0)&lt;&gt;""),IF(WEEKDAY(BK137-VLOOKUP($P137&amp;" | "&amp;BB$6,'Job Master'!$F$12:$I$102,4,0))&lt;&gt;7,BK137-VLOOKUP($P137&amp;" | "&amp;BB$6,'Job Master'!$F$12:$I$102,4,0),BK137-VLOOKUP($P137&amp;" | "&amp;BB$6,'Job Master'!$F$12:$I$102,4,0)-1),""),"")</f>
        <v/>
      </c>
      <c r="BE137" s="73"/>
      <c r="BF137" s="123" t="str">
        <f t="shared" ref="BF137:BF200" si="279">IF(BD137&lt;&gt;"",MONTH(BD137),"")</f>
        <v/>
      </c>
      <c r="BG137" s="123" t="str">
        <f t="shared" ref="BG137:BG200" si="280">IF(AND(BE137&lt;&gt;"",BD137&lt;&gt;""),IF(BE137&gt;BD137,"Delayed",IF(BE137=BD137,"On Time",IF(BE137&lt;BD137,"In Advance"))),"")</f>
        <v/>
      </c>
      <c r="BH137" s="97" t="str">
        <f t="shared" ref="BH137:BH200" ca="1" si="281">IF(BD137&lt;&gt;"",IF(WEEKNUM(BD137)=WEEKNUM(TODAY()),"This Week",IF(WEEKNUM(BD137)=WEEKNUM(TODAY())+1,"Next Week",IF(WEEKNUM(BD137)=WEEKNUM(TODAY())-1,"Previous Week",""))),"")</f>
        <v/>
      </c>
      <c r="BI137" s="98" t="str">
        <f>IF(BK137&lt;&gt;"",VLOOKUP($P137&amp;" | "&amp;BI$6,'Job Master'!$F$12:$J$102,5,0),"")</f>
        <v/>
      </c>
      <c r="BJ137" s="19" t="str">
        <f>IF(BK137&lt;&gt;"",VLOOKUP($P137&amp;" | "&amp;BI$6,'Job Master'!$F$12:$J$102,3,0),"")</f>
        <v/>
      </c>
      <c r="BK137" s="19" t="str">
        <f>IFERROR(IF(AND(BR137&lt;&gt;"",VLOOKUP($P137&amp;" | "&amp;BI$6,'Job Master'!$F$12:$I$102,4,0)&lt;&gt;""),IF(WEEKDAY(BR137-VLOOKUP($P137&amp;" | "&amp;BI$6,'Job Master'!$F$12:$I$102,4,0))&lt;&gt;7,BR137-VLOOKUP($P137&amp;" | "&amp;BI$6,'Job Master'!$F$12:$I$102,4,0),BR137-VLOOKUP($P137&amp;" | "&amp;BI$6,'Job Master'!$F$12:$I$102,4,0)-1),""),"")</f>
        <v/>
      </c>
      <c r="BL137" s="73"/>
      <c r="BM137" s="123" t="str">
        <f t="shared" ref="BM137:BM200" si="282">IF(BK137&lt;&gt;"",MONTH(BK137),"")</f>
        <v/>
      </c>
      <c r="BN137" s="123" t="str">
        <f t="shared" ref="BN137:BN200" si="283">IF(AND(BL137&lt;&gt;"",BK137&lt;&gt;""),IF(BL137&gt;BK137,"Delayed",IF(BL137=BK137,"On Time",IF(BL137&lt;BK137,"In Advance"))),"")</f>
        <v/>
      </c>
      <c r="BO137" s="97" t="str">
        <f t="shared" ref="BO137:BO200" ca="1" si="284">IF(BK137&lt;&gt;"",IF(WEEKNUM(BK137)=WEEKNUM(TODAY()),"This Week",IF(WEEKNUM(BK137)=WEEKNUM(TODAY())+1,"Next Week",IF(WEEKNUM(BK137)=WEEKNUM(TODAY())-1,"Previous Week",""))),"")</f>
        <v/>
      </c>
      <c r="BP137" s="98" t="str">
        <f>IF(BR137&lt;&gt;"",VLOOKUP($P137&amp;" | "&amp;BP$6,'Job Master'!$F$12:$J$102,5,0),"")</f>
        <v/>
      </c>
      <c r="BQ137" s="19" t="str">
        <f>IF(BR137&lt;&gt;"",VLOOKUP($P137&amp;" | "&amp;BP$6,'Job Master'!$F$12:$J$102,3,0),"")</f>
        <v/>
      </c>
      <c r="BR137" s="19" t="str">
        <f>IFERROR(IF(AND(BY137&lt;&gt;"",VLOOKUP($P137&amp;" | "&amp;BP$6,'Job Master'!$F$12:$I$102,4,0)&lt;&gt;""),IF(WEEKDAY(BY137-VLOOKUP($P137&amp;" | "&amp;BP$6,'Job Master'!$F$12:$I$102,4,0))&lt;&gt;7,BY137-VLOOKUP($P137&amp;" | "&amp;BP$6,'Job Master'!$F$12:$I$102,4,0),BY137-VLOOKUP($P137&amp;" | "&amp;BP$6,'Job Master'!$F$12:$I$102,4,0)-1),""),"")</f>
        <v/>
      </c>
      <c r="BS137" s="73"/>
      <c r="BT137" s="123" t="str">
        <f t="shared" ref="BT137:BT200" si="285">IF(BR137&lt;&gt;"",MONTH(BR137),"")</f>
        <v/>
      </c>
      <c r="BU137" s="123" t="str">
        <f t="shared" ref="BU137:BU200" si="286">IF(AND(BS137&lt;&gt;"",BR137&lt;&gt;""),IF(BS137&gt;BR137,"Delayed",IF(BS137=BR137,"On Time",IF(BS137&lt;BR137,"In Advance"))),"")</f>
        <v/>
      </c>
      <c r="BV137" s="97" t="str">
        <f t="shared" ref="BV137:BV200" ca="1" si="287">IF(BR137&lt;&gt;"",IF(WEEKNUM(BR137)=WEEKNUM(TODAY()),"This Week",IF(WEEKNUM(BR137)=WEEKNUM(TODAY())+1,"Next Week",IF(WEEKNUM(BR137)=WEEKNUM(TODAY())-1,"Previous Week",""))),"")</f>
        <v/>
      </c>
      <c r="BW137" s="98" t="str">
        <f>IF(BY137&lt;&gt;"",VLOOKUP($P137&amp;" | "&amp;BW$6,'Job Master'!$F$12:$J$102,5,0),"")</f>
        <v/>
      </c>
      <c r="BX137" s="19" t="str">
        <f>IF(BY137&lt;&gt;"",VLOOKUP($P137&amp;" | "&amp;BW$6,'Job Master'!$F$12:$J$102,3,0),"")</f>
        <v/>
      </c>
      <c r="BY137" s="19" t="str">
        <f>IFERROR(IF(AND(CF137&lt;&gt;"",VLOOKUP($P137&amp;" | "&amp;BW$6,'Job Master'!$F$12:$I$102,4,0)&lt;&gt;""),IF(WEEKDAY(CF137-VLOOKUP($P137&amp;" | "&amp;BW$6,'Job Master'!$F$12:$I$102,4,0))&lt;&gt;7,CF137-VLOOKUP($P137&amp;" | "&amp;BW$6,'Job Master'!$F$12:$I$102,4,0),CF137-VLOOKUP($P137&amp;" | "&amp;BW$6,'Job Master'!$F$12:$I$102,4,0)-1),""),"")</f>
        <v/>
      </c>
      <c r="BZ137" s="73"/>
      <c r="CA137" s="123" t="str">
        <f t="shared" ref="CA137:CA200" si="288">IF(BY137&lt;&gt;"",MONTH(BY137),"")</f>
        <v/>
      </c>
      <c r="CB137" s="123" t="str">
        <f t="shared" ref="CB137:CB200" si="289">IF(AND(BZ137&lt;&gt;"",BY137&lt;&gt;""),IF(BZ137&gt;BY137,"Delayed",IF(BZ137=BY137,"On Time",IF(BZ137&lt;BY137,"In Advance"))),"")</f>
        <v/>
      </c>
      <c r="CC137" s="97" t="str">
        <f t="shared" ref="CC137:CC200" ca="1" si="290">IF(BY137&lt;&gt;"",IF(WEEKNUM(BY137)=WEEKNUM(TODAY()),"This Week",IF(WEEKNUM(BY137)=WEEKNUM(TODAY())+1,"Next Week",IF(WEEKNUM(BY137)=WEEKNUM(TODAY())-1,"Previous Week",""))),"")</f>
        <v/>
      </c>
      <c r="CD137" s="98" t="str">
        <f>IF(CF137&lt;&gt;"",VLOOKUP($P137&amp;" | "&amp;CD$6,'Job Master'!$F$12:$J$102,5,0),"")</f>
        <v/>
      </c>
      <c r="CE137" s="19" t="str">
        <f>IF(CF137&lt;&gt;"",VLOOKUP($P137&amp;" | "&amp;CD$6,'Job Master'!$F$12:$J$102,3,0),"")</f>
        <v/>
      </c>
      <c r="CF137" s="19" t="str">
        <f>IFERROR(IF(AND(CM137&lt;&gt;"",VLOOKUP($P137&amp;" | "&amp;CD$6,'Job Master'!$F$12:$I$102,4,0)&lt;&gt;""),IF(WEEKDAY(CM137-VLOOKUP($P137&amp;" | "&amp;CD$6,'Job Master'!$F$12:$I$102,4,0))&lt;&gt;7,CM137-VLOOKUP($P137&amp;" | "&amp;CD$6,'Job Master'!$F$12:$I$102,4,0),CM137-VLOOKUP($P137&amp;" | "&amp;CD$6,'Job Master'!$F$12:$I$102,4,0)-1),""),"")</f>
        <v/>
      </c>
      <c r="CG137" s="73"/>
      <c r="CH137" s="123" t="str">
        <f t="shared" ref="CH137:CH200" si="291">IF(CF137&lt;&gt;"",MONTH(CF137),"")</f>
        <v/>
      </c>
      <c r="CI137" s="123" t="str">
        <f t="shared" ref="CI137:CI200" si="292">IF(AND(CG137&lt;&gt;"",CF137&lt;&gt;""),IF(CG137&gt;CF137,"Delayed",IF(CG137=CF137,"On Time",IF(CG137&lt;CF137,"In Advance"))),"")</f>
        <v/>
      </c>
      <c r="CJ137" s="97" t="str">
        <f t="shared" ref="CJ137:CJ200" ca="1" si="293">IF(CF137&lt;&gt;"",IF(WEEKNUM(CF137)=WEEKNUM(TODAY()),"This Week",IF(WEEKNUM(CF137)=WEEKNUM(TODAY())+1,"Next Week",IF(WEEKNUM(CF137)=WEEKNUM(TODAY())-1,"Previous Week",""))),"")</f>
        <v/>
      </c>
      <c r="CK137" s="98" t="str">
        <f>IF(CM137&lt;&gt;"",VLOOKUP($P137&amp;" | "&amp;CK$6,'Job Master'!$F$12:$J$102,5,0),"")</f>
        <v/>
      </c>
      <c r="CL137" s="19" t="str">
        <f>IF(CM137&lt;&gt;"",VLOOKUP($P137&amp;" | "&amp;CK$6,'Job Master'!$F$12:$J$102,3,0),"")</f>
        <v/>
      </c>
      <c r="CM137" s="19" t="str">
        <f>IFERROR(IF(AND(CT137&lt;&gt;"",VLOOKUP($P137&amp;" | "&amp;CK$6,'Job Master'!$F$12:$I$102,4,0)&lt;&gt;""),IF(WEEKDAY(CT137-VLOOKUP($P137&amp;" | "&amp;CK$6,'Job Master'!$F$12:$I$102,4,0))&lt;&gt;7,CT137-VLOOKUP($P137&amp;" | "&amp;CK$6,'Job Master'!$F$12:$I$102,4,0),CT137-VLOOKUP($P137&amp;" | "&amp;CK$6,'Job Master'!$F$12:$I$102,4,0)-1),""),"")</f>
        <v/>
      </c>
      <c r="CN137" s="73"/>
      <c r="CO137" s="123" t="str">
        <f t="shared" ref="CO137:CO200" si="294">IF(CM137&lt;&gt;"",MONTH(CM137),"")</f>
        <v/>
      </c>
      <c r="CP137" s="123" t="str">
        <f t="shared" ref="CP137:CP200" si="295">IF(AND(CN137&lt;&gt;"",CM137&lt;&gt;""),IF(CN137&gt;CM137,"Delayed",IF(CN137=CM137,"On Time",IF(CN137&lt;CM137,"In Advance"))),"")</f>
        <v/>
      </c>
      <c r="CQ137" s="97" t="str">
        <f t="shared" ref="CQ137:CQ200" ca="1" si="296">IF(CM137&lt;&gt;"",IF(WEEKNUM(CM137)=WEEKNUM(TODAY()),"This Week",IF(WEEKNUM(CM137)=WEEKNUM(TODAY())+1,"Next Week",IF(WEEKNUM(CM137)=WEEKNUM(TODAY())-1,"Previous Week",""))),"")</f>
        <v/>
      </c>
      <c r="CR137" s="98" t="str">
        <f>IF(CT137&lt;&gt;"",VLOOKUP($P137&amp;" | "&amp;CR$6,'Job Master'!$F$12:$J$102,5,0),"")</f>
        <v/>
      </c>
      <c r="CS137" s="19" t="str">
        <f>IF(CT137&lt;&gt;"",VLOOKUP($P137&amp;" | "&amp;CR$6,'Job Master'!$F$12:$J$102,3,0),"")</f>
        <v/>
      </c>
      <c r="CT137" s="19" t="str">
        <f>IFERROR(IF(AND(DA137&lt;&gt;"",VLOOKUP($P137&amp;" | "&amp;CR$6,'Job Master'!$F$12:$I$102,4,0)&lt;&gt;""),IF(WEEKDAY(DA137-VLOOKUP($P137&amp;" | "&amp;CR$6,'Job Master'!$F$12:$I$102,4,0))&lt;&gt;7,DA137-VLOOKUP($P137&amp;" | "&amp;CR$6,'Job Master'!$F$12:$I$102,4,0),DA137-VLOOKUP($P137&amp;" | "&amp;CR$6,'Job Master'!$F$12:$I$102,4,0)-1),""),"")</f>
        <v/>
      </c>
      <c r="CU137" s="73"/>
      <c r="CV137" s="123" t="str">
        <f t="shared" ref="CV137:CV200" si="297">IF(CT137&lt;&gt;"",MONTH(CT137),"")</f>
        <v/>
      </c>
      <c r="CW137" s="123" t="str">
        <f t="shared" ref="CW137:CW200" si="298">IF(AND(CU137&lt;&gt;"",CT137&lt;&gt;""),IF(CU137&gt;CT137,"Delayed",IF(CU137=CT137,"On Time",IF(CU137&lt;CT137,"In Advance"))),"")</f>
        <v/>
      </c>
      <c r="CX137" s="97" t="str">
        <f t="shared" ref="CX137:CX200" ca="1" si="299">IF(CT137&lt;&gt;"",IF(WEEKNUM(CT137)=WEEKNUM(TODAY()),"This Week",IF(WEEKNUM(CT137)=WEEKNUM(TODAY())+1,"Next Week",IF(WEEKNUM(CT137)=WEEKNUM(TODAY())-1,"Previous Week",""))),"")</f>
        <v/>
      </c>
      <c r="CY137" s="98" t="str">
        <f>IF(DA137&lt;&gt;"",VLOOKUP($P137&amp;" | "&amp;CY$6,'Job Master'!$F$12:$J$102,5,0),"")</f>
        <v/>
      </c>
      <c r="CZ137" s="19" t="str">
        <f>IF(DA137&lt;&gt;"",VLOOKUP($P137&amp;" | "&amp;CY$6,'Job Master'!$F$12:$J$102,3,0),"")</f>
        <v/>
      </c>
      <c r="DA137" s="19" t="str">
        <f>IFERROR(IF(AND(DH137&lt;&gt;"",VLOOKUP($P137&amp;" | "&amp;CY$6,'Job Master'!$F$12:$I$102,4,0)&lt;&gt;""),IF(WEEKDAY(DH137-VLOOKUP($P137&amp;" | "&amp;CY$6,'Job Master'!$F$12:$I$102,4,0))&lt;&gt;7,DH137-VLOOKUP($P137&amp;" | "&amp;CY$6,'Job Master'!$F$12:$I$102,4,0),DH137-VLOOKUP($P137&amp;" | "&amp;CY$6,'Job Master'!$F$12:$I$102,4,0)-1),""),"")</f>
        <v/>
      </c>
      <c r="DB137" s="73"/>
      <c r="DC137" s="123" t="str">
        <f t="shared" ref="DC137:DC200" si="300">IF(DA137&lt;&gt;"",MONTH(DA137),"")</f>
        <v/>
      </c>
      <c r="DD137" s="123" t="str">
        <f t="shared" ref="DD137:DD200" si="301">IF(AND(DB137&lt;&gt;"",DA137&lt;&gt;""),IF(DB137&gt;DA137,"Delayed",IF(DB137=DA137,"On Time",IF(DB137&lt;DA137,"In Advance"))),"")</f>
        <v/>
      </c>
      <c r="DE137" s="97" t="str">
        <f t="shared" ref="DE137:DE200" ca="1" si="302">IF(DA137&lt;&gt;"",IF(WEEKNUM(DA137)=WEEKNUM(TODAY()),"This Week",IF(WEEKNUM(DA137)=WEEKNUM(TODAY())+1,"Next Week",IF(WEEKNUM(DA137)=WEEKNUM(TODAY())-1,"Previous Week",""))),"")</f>
        <v/>
      </c>
      <c r="DF137" s="98" t="str">
        <f>IF(DH137&lt;&gt;"",VLOOKUP($P137&amp;" | "&amp;DF$6,'Job Master'!$F$12:$J$102,5,0),"")</f>
        <v/>
      </c>
      <c r="DG137" s="19" t="str">
        <f>IF(DH137&lt;&gt;"",VLOOKUP($P137&amp;" | "&amp;DF$6,'Job Master'!$F$12:$J$102,3,0),"")</f>
        <v/>
      </c>
      <c r="DH137" s="19" t="str">
        <f>IFERROR(IF(AND(DO137&lt;&gt;"",VLOOKUP($P137&amp;" | "&amp;DF$6,'Job Master'!$F$12:$I$102,4,0)&lt;&gt;""),IF(WEEKDAY(DO137-VLOOKUP($P137&amp;" | "&amp;DF$6,'Job Master'!$F$12:$I$102,4,0))&lt;&gt;7,DO137-VLOOKUP($P137&amp;" | "&amp;DF$6,'Job Master'!$F$12:$I$102,4,0),DO137-VLOOKUP($P137&amp;" | "&amp;DF$6,'Job Master'!$F$12:$I$102,4,0)-1),""),"")</f>
        <v/>
      </c>
      <c r="DI137" s="73"/>
      <c r="DJ137" s="123" t="str">
        <f t="shared" ref="DJ137:DJ200" si="303">IF(DH137&lt;&gt;"",MONTH(DH137),"")</f>
        <v/>
      </c>
      <c r="DK137" s="123" t="str">
        <f t="shared" ref="DK137:DK200" si="304">IF(AND(DI137&lt;&gt;"",DH137&lt;&gt;""),IF(DI137&gt;DH137,"Delayed",IF(DI137=DH137,"On Time",IF(DI137&lt;DH137,"In Advance"))),"")</f>
        <v/>
      </c>
      <c r="DL137" s="97" t="str">
        <f t="shared" ref="DL137:DL200" ca="1" si="305">IF(DH137&lt;&gt;"",IF(WEEKNUM(DH137)=WEEKNUM(TODAY()),"This Week",IF(WEEKNUM(DH137)=WEEKNUM(TODAY())+1,"Next Week",IF(WEEKNUM(DH137)=WEEKNUM(TODAY())-1,"Previous Week",""))),"")</f>
        <v/>
      </c>
      <c r="DM137" s="98" t="str">
        <f>IF(DO137&lt;&gt;"",VLOOKUP($P137&amp;" | "&amp;DM$6,'Job Master'!$F$12:$J$102,5,0),"")</f>
        <v/>
      </c>
      <c r="DN137" s="19" t="str">
        <f>IF(DO137&lt;&gt;"",VLOOKUP($P137&amp;" | "&amp;DM$6,'Job Master'!$F$12:$J$102,3,0),"")</f>
        <v/>
      </c>
      <c r="DO137" s="19" t="str">
        <f>IFERROR(IF(AND(DT137&lt;&gt;"",VLOOKUP($P137&amp;" | "&amp;DM$6,'Job Master'!$F$12:$I$102,4,0)&lt;&gt;""),IF(WEEKDAY(DT137-VLOOKUP($P137&amp;" | "&amp;DM$6,'Job Master'!$F$12:$I$102,4,0))&lt;&gt;7,DT137-VLOOKUP($P137&amp;" | "&amp;DM$6,'Job Master'!$F$12:$I$102,4,0),DT137-VLOOKUP($P137&amp;" | "&amp;DM$6,'Job Master'!$F$12:$I$102,4,0)-1),""),"")</f>
        <v/>
      </c>
      <c r="DP137" s="73"/>
      <c r="DQ137" s="123" t="str">
        <f t="shared" ref="DQ137:DQ200" si="306">IF(DO137&lt;&gt;"",MONTH(DO137),"")</f>
        <v/>
      </c>
      <c r="DR137" s="123" t="str">
        <f t="shared" ref="DR137:DR200" si="307">IF(AND(DP137&lt;&gt;"",DO137&lt;&gt;""),IF(DP137&gt;DO137,"Delayed",IF(DP137=DO137,"On Time",IF(DP137&lt;DO137,"In Advance"))),"")</f>
        <v/>
      </c>
      <c r="DS137" s="97" t="str">
        <f t="shared" ref="DS137:DS200" ca="1" si="308">IF(DO137&lt;&gt;"",IF(WEEKNUM(DO137)=WEEKNUM(TODAY()),"This Week",IF(WEEKNUM(DO137)=WEEKNUM(TODAY())+1,"Next Week",IF(WEEKNUM(DO137)=WEEKNUM(TODAY())-1,"Previous Week",""))),"")</f>
        <v/>
      </c>
      <c r="DT137" s="70" t="str">
        <f t="shared" ref="DT137:DT200" si="309">IF(AB137&lt;&gt;"",AB137,"")</f>
        <v/>
      </c>
      <c r="DU137" s="90"/>
      <c r="DV137" s="123" t="str">
        <f t="shared" ref="DV137:DV200" si="310">IF(DT137&lt;&gt;"",MONTH(DT137),"")</f>
        <v/>
      </c>
      <c r="DW137" s="123" t="str">
        <f t="shared" ref="DW137:DW200" si="311">IF(AND(DU137&lt;&gt;"",DT137&lt;&gt;""),IF(DU137&gt;DT137,"Delayed",IF(DU137=DT137,"On Time",IF(DU137&lt;DT137,"In Advance"))),"")</f>
        <v/>
      </c>
      <c r="DX137" s="132" t="str">
        <f t="shared" ref="DX137" ca="1" si="312">IF(DT137&lt;&gt;"",IF(WEEKNUM(DT137)=WEEKNUM(TODAY()),"This Week",IF(WEEKNUM(DT137)=WEEKNUM(TODAY())+1,"Next Week",IF(WEEKNUM(DT137)=WEEKNUM(TODAY())-1,"Previous Week",""))),"")</f>
        <v/>
      </c>
      <c r="DY137" s="134" t="str">
        <f t="shared" ref="DY137:DY200" si="313">IF(AND(DT137&lt;&gt;"",DU137&lt;&gt;""),DU137-DT137,"")</f>
        <v/>
      </c>
      <c r="DZ137" s="95"/>
      <c r="EB137" s="8" t="str">
        <f t="shared" si="193"/>
        <v/>
      </c>
      <c r="EC137" s="8" t="str">
        <f>IF(O137&lt;&gt;"",VLOOKUP(O137,'Job Master'!$N$12:$O$18,2,0),"")</f>
        <v/>
      </c>
      <c r="ED137" s="8">
        <f t="shared" si="194"/>
        <v>19.5</v>
      </c>
      <c r="EE137" s="8">
        <f t="shared" si="195"/>
        <v>6</v>
      </c>
      <c r="EF137" s="8">
        <f t="shared" si="196"/>
        <v>-742.5</v>
      </c>
      <c r="EG137" s="8" t="str">
        <f t="shared" si="197"/>
        <v/>
      </c>
      <c r="EH137" s="8" t="str">
        <f t="shared" si="198"/>
        <v/>
      </c>
    </row>
    <row r="138" spans="2:138" x14ac:dyDescent="0.3">
      <c r="B138" s="112"/>
      <c r="C138" s="27"/>
      <c r="D138" s="7" t="str">
        <f t="shared" si="261"/>
        <v/>
      </c>
      <c r="E138" s="25"/>
      <c r="F138" s="7" t="str">
        <f t="shared" si="261"/>
        <v/>
      </c>
      <c r="G138" s="25"/>
      <c r="H138" s="7" t="str">
        <f t="shared" si="261"/>
        <v/>
      </c>
      <c r="I138" s="25"/>
      <c r="J138" s="7" t="str">
        <f t="shared" si="261"/>
        <v/>
      </c>
      <c r="K138" s="25"/>
      <c r="L138" s="7" t="str">
        <f t="shared" si="262"/>
        <v/>
      </c>
      <c r="M138" s="25"/>
      <c r="N138" s="7" t="str">
        <f t="shared" si="263"/>
        <v/>
      </c>
      <c r="O138" s="81"/>
      <c r="P138" s="81" t="str">
        <f t="shared" si="264"/>
        <v/>
      </c>
      <c r="Q138" s="81"/>
      <c r="R138" s="7" t="str">
        <f t="shared" si="265"/>
        <v/>
      </c>
      <c r="S138" s="25"/>
      <c r="T138" s="7" t="str">
        <f t="shared" si="266"/>
        <v/>
      </c>
      <c r="U138" s="25"/>
      <c r="V138" s="7" t="str">
        <f t="shared" si="267"/>
        <v/>
      </c>
      <c r="W138" s="25"/>
      <c r="X138" s="7" t="str">
        <f t="shared" si="268"/>
        <v/>
      </c>
      <c r="Y138" s="18" t="str">
        <f t="shared" si="269"/>
        <v/>
      </c>
      <c r="Z138" s="7" t="str">
        <f t="shared" si="270"/>
        <v/>
      </c>
      <c r="AA138" s="18" t="str">
        <f t="shared" si="271"/>
        <v/>
      </c>
      <c r="AB138" s="19" t="str">
        <f t="shared" si="272"/>
        <v/>
      </c>
      <c r="AC138" s="26"/>
      <c r="AD138" s="26"/>
      <c r="AE138" s="25"/>
      <c r="AF138" s="26"/>
      <c r="AG138" s="25"/>
      <c r="AH138" s="25"/>
      <c r="AI138" s="18" t="str">
        <f t="shared" si="209"/>
        <v/>
      </c>
      <c r="AJ138" s="25"/>
      <c r="AK138" s="18" t="str">
        <f t="shared" si="210"/>
        <v/>
      </c>
      <c r="AL138" s="79"/>
      <c r="AM138" s="126" t="str">
        <f t="shared" si="211"/>
        <v/>
      </c>
      <c r="AN138" s="128" t="str">
        <f>IF(AP138&lt;&gt;"",VLOOKUP($P138&amp;" | "&amp;AN$6,'Job Master'!$F$12:$J$102,5,0),"")</f>
        <v/>
      </c>
      <c r="AO138" s="19" t="str">
        <f>IF(AP138&lt;&gt;"",VLOOKUP($P138&amp;" | "&amp;AN$6,'Job Master'!$F$12:$J$102,3,0),"")</f>
        <v/>
      </c>
      <c r="AP138" s="19" t="str">
        <f>IFERROR(IF(AND(AW138&lt;&gt;"",VLOOKUP($P138&amp;" | "&amp;AN$6,'Job Master'!$F$12:$I$102,4,0)&lt;&gt;""),IF(WEEKDAY(AW138-VLOOKUP($P138&amp;" | "&amp;AN$6,'Job Master'!$F$12:$I$102,4,0))&lt;&gt;7,AW138-VLOOKUP($P138&amp;" | "&amp;AN$6,'Job Master'!$F$12:$I$102,4,0),AW138-VLOOKUP($P138&amp;" | "&amp;AN$6,'Job Master'!$F$12:$I$102,4,0)-1),""),"")</f>
        <v/>
      </c>
      <c r="AQ138" s="73"/>
      <c r="AR138" s="123" t="str">
        <f t="shared" si="273"/>
        <v/>
      </c>
      <c r="AS138" s="123" t="str">
        <f t="shared" si="274"/>
        <v/>
      </c>
      <c r="AT138" s="97" t="str">
        <f t="shared" ca="1" si="275"/>
        <v/>
      </c>
      <c r="AU138" s="98" t="str">
        <f>IF(AW138&lt;&gt;"",VLOOKUP($P138&amp;" | "&amp;AU$6,'Job Master'!$F$12:$J$102,5,0),"")</f>
        <v/>
      </c>
      <c r="AV138" s="19" t="str">
        <f>IF(AW138&lt;&gt;"",VLOOKUP($P138&amp;" | "&amp;AU$6,'Job Master'!$F$12:$J$102,3,0),"")</f>
        <v/>
      </c>
      <c r="AW138" s="19" t="str">
        <f>IFERROR(IF(AND(BD138&lt;&gt;"",VLOOKUP($P138&amp;" | "&amp;AU$6,'Job Master'!$F$12:$I$102,4,0)&lt;&gt;""),IF(WEEKDAY(BD138-VLOOKUP($P138&amp;" | "&amp;AU$6,'Job Master'!$F$12:$I$102,4,0))&lt;&gt;7,BD138-VLOOKUP($P138&amp;" | "&amp;AU$6,'Job Master'!$F$12:$I$102,4,0),BD138-VLOOKUP($P138&amp;" | "&amp;AU$6,'Job Master'!$F$12:$I$102,4,0)-1),""),"")</f>
        <v/>
      </c>
      <c r="AX138" s="73"/>
      <c r="AY138" s="123" t="str">
        <f t="shared" si="276"/>
        <v/>
      </c>
      <c r="AZ138" s="123" t="str">
        <f t="shared" si="277"/>
        <v/>
      </c>
      <c r="BA138" s="97" t="str">
        <f t="shared" ca="1" si="278"/>
        <v/>
      </c>
      <c r="BB138" s="98" t="str">
        <f>IF(BD138&lt;&gt;"",VLOOKUP($P138&amp;" | "&amp;BB$6,'Job Master'!$F$12:$J$102,5,0),"")</f>
        <v/>
      </c>
      <c r="BC138" s="19" t="str">
        <f>IF(BD138&lt;&gt;"",VLOOKUP($P138&amp;" | "&amp;BB$6,'Job Master'!$F$12:$J$102,3,0),"")</f>
        <v/>
      </c>
      <c r="BD138" s="19" t="str">
        <f>IFERROR(IF(AND(BK138&lt;&gt;"",VLOOKUP($P138&amp;" | "&amp;BB$6,'Job Master'!$F$12:$I$102,4,0)&lt;&gt;""),IF(WEEKDAY(BK138-VLOOKUP($P138&amp;" | "&amp;BB$6,'Job Master'!$F$12:$I$102,4,0))&lt;&gt;7,BK138-VLOOKUP($P138&amp;" | "&amp;BB$6,'Job Master'!$F$12:$I$102,4,0),BK138-VLOOKUP($P138&amp;" | "&amp;BB$6,'Job Master'!$F$12:$I$102,4,0)-1),""),"")</f>
        <v/>
      </c>
      <c r="BE138" s="73"/>
      <c r="BF138" s="123" t="str">
        <f t="shared" si="279"/>
        <v/>
      </c>
      <c r="BG138" s="123" t="str">
        <f t="shared" si="280"/>
        <v/>
      </c>
      <c r="BH138" s="97" t="str">
        <f t="shared" ca="1" si="281"/>
        <v/>
      </c>
      <c r="BI138" s="98" t="str">
        <f>IF(BK138&lt;&gt;"",VLOOKUP($P138&amp;" | "&amp;BI$6,'Job Master'!$F$12:$J$102,5,0),"")</f>
        <v/>
      </c>
      <c r="BJ138" s="19" t="str">
        <f>IF(BK138&lt;&gt;"",VLOOKUP($P138&amp;" | "&amp;BI$6,'Job Master'!$F$12:$J$102,3,0),"")</f>
        <v/>
      </c>
      <c r="BK138" s="19" t="str">
        <f>IFERROR(IF(AND(BR138&lt;&gt;"",VLOOKUP($P138&amp;" | "&amp;BI$6,'Job Master'!$F$12:$I$102,4,0)&lt;&gt;""),IF(WEEKDAY(BR138-VLOOKUP($P138&amp;" | "&amp;BI$6,'Job Master'!$F$12:$I$102,4,0))&lt;&gt;7,BR138-VLOOKUP($P138&amp;" | "&amp;BI$6,'Job Master'!$F$12:$I$102,4,0),BR138-VLOOKUP($P138&amp;" | "&amp;BI$6,'Job Master'!$F$12:$I$102,4,0)-1),""),"")</f>
        <v/>
      </c>
      <c r="BL138" s="73"/>
      <c r="BM138" s="123" t="str">
        <f t="shared" si="282"/>
        <v/>
      </c>
      <c r="BN138" s="123" t="str">
        <f t="shared" si="283"/>
        <v/>
      </c>
      <c r="BO138" s="97" t="str">
        <f t="shared" ca="1" si="284"/>
        <v/>
      </c>
      <c r="BP138" s="98" t="str">
        <f>IF(BR138&lt;&gt;"",VLOOKUP($P138&amp;" | "&amp;BP$6,'Job Master'!$F$12:$J$102,5,0),"")</f>
        <v/>
      </c>
      <c r="BQ138" s="19" t="str">
        <f>IF(BR138&lt;&gt;"",VLOOKUP($P138&amp;" | "&amp;BP$6,'Job Master'!$F$12:$J$102,3,0),"")</f>
        <v/>
      </c>
      <c r="BR138" s="19" t="str">
        <f>IFERROR(IF(AND(BY138&lt;&gt;"",VLOOKUP($P138&amp;" | "&amp;BP$6,'Job Master'!$F$12:$I$102,4,0)&lt;&gt;""),IF(WEEKDAY(BY138-VLOOKUP($P138&amp;" | "&amp;BP$6,'Job Master'!$F$12:$I$102,4,0))&lt;&gt;7,BY138-VLOOKUP($P138&amp;" | "&amp;BP$6,'Job Master'!$F$12:$I$102,4,0),BY138-VLOOKUP($P138&amp;" | "&amp;BP$6,'Job Master'!$F$12:$I$102,4,0)-1),""),"")</f>
        <v/>
      </c>
      <c r="BS138" s="73"/>
      <c r="BT138" s="123" t="str">
        <f t="shared" si="285"/>
        <v/>
      </c>
      <c r="BU138" s="123" t="str">
        <f t="shared" si="286"/>
        <v/>
      </c>
      <c r="BV138" s="97" t="str">
        <f t="shared" ca="1" si="287"/>
        <v/>
      </c>
      <c r="BW138" s="98" t="str">
        <f>IF(BY138&lt;&gt;"",VLOOKUP($P138&amp;" | "&amp;BW$6,'Job Master'!$F$12:$J$102,5,0),"")</f>
        <v/>
      </c>
      <c r="BX138" s="19" t="str">
        <f>IF(BY138&lt;&gt;"",VLOOKUP($P138&amp;" | "&amp;BW$6,'Job Master'!$F$12:$J$102,3,0),"")</f>
        <v/>
      </c>
      <c r="BY138" s="19" t="str">
        <f>IFERROR(IF(AND(CF138&lt;&gt;"",VLOOKUP($P138&amp;" | "&amp;BW$6,'Job Master'!$F$12:$I$102,4,0)&lt;&gt;""),IF(WEEKDAY(CF138-VLOOKUP($P138&amp;" | "&amp;BW$6,'Job Master'!$F$12:$I$102,4,0))&lt;&gt;7,CF138-VLOOKUP($P138&amp;" | "&amp;BW$6,'Job Master'!$F$12:$I$102,4,0),CF138-VLOOKUP($P138&amp;" | "&amp;BW$6,'Job Master'!$F$12:$I$102,4,0)-1),""),"")</f>
        <v/>
      </c>
      <c r="BZ138" s="73"/>
      <c r="CA138" s="123" t="str">
        <f t="shared" si="288"/>
        <v/>
      </c>
      <c r="CB138" s="123" t="str">
        <f t="shared" si="289"/>
        <v/>
      </c>
      <c r="CC138" s="97" t="str">
        <f t="shared" ca="1" si="290"/>
        <v/>
      </c>
      <c r="CD138" s="98" t="str">
        <f>IF(CF138&lt;&gt;"",VLOOKUP($P138&amp;" | "&amp;CD$6,'Job Master'!$F$12:$J$102,5,0),"")</f>
        <v/>
      </c>
      <c r="CE138" s="19" t="str">
        <f>IF(CF138&lt;&gt;"",VLOOKUP($P138&amp;" | "&amp;CD$6,'Job Master'!$F$12:$J$102,3,0),"")</f>
        <v/>
      </c>
      <c r="CF138" s="19" t="str">
        <f>IFERROR(IF(AND(CM138&lt;&gt;"",VLOOKUP($P138&amp;" | "&amp;CD$6,'Job Master'!$F$12:$I$102,4,0)&lt;&gt;""),IF(WEEKDAY(CM138-VLOOKUP($P138&amp;" | "&amp;CD$6,'Job Master'!$F$12:$I$102,4,0))&lt;&gt;7,CM138-VLOOKUP($P138&amp;" | "&amp;CD$6,'Job Master'!$F$12:$I$102,4,0),CM138-VLOOKUP($P138&amp;" | "&amp;CD$6,'Job Master'!$F$12:$I$102,4,0)-1),""),"")</f>
        <v/>
      </c>
      <c r="CG138" s="73"/>
      <c r="CH138" s="123" t="str">
        <f t="shared" si="291"/>
        <v/>
      </c>
      <c r="CI138" s="123" t="str">
        <f t="shared" si="292"/>
        <v/>
      </c>
      <c r="CJ138" s="97" t="str">
        <f t="shared" ca="1" si="293"/>
        <v/>
      </c>
      <c r="CK138" s="98" t="str">
        <f>IF(CM138&lt;&gt;"",VLOOKUP($P138&amp;" | "&amp;CK$6,'Job Master'!$F$12:$J$102,5,0),"")</f>
        <v/>
      </c>
      <c r="CL138" s="19" t="str">
        <f>IF(CM138&lt;&gt;"",VLOOKUP($P138&amp;" | "&amp;CK$6,'Job Master'!$F$12:$J$102,3,0),"")</f>
        <v/>
      </c>
      <c r="CM138" s="19" t="str">
        <f>IFERROR(IF(AND(CT138&lt;&gt;"",VLOOKUP($P138&amp;" | "&amp;CK$6,'Job Master'!$F$12:$I$102,4,0)&lt;&gt;""),IF(WEEKDAY(CT138-VLOOKUP($P138&amp;" | "&amp;CK$6,'Job Master'!$F$12:$I$102,4,0))&lt;&gt;7,CT138-VLOOKUP($P138&amp;" | "&amp;CK$6,'Job Master'!$F$12:$I$102,4,0),CT138-VLOOKUP($P138&amp;" | "&amp;CK$6,'Job Master'!$F$12:$I$102,4,0)-1),""),"")</f>
        <v/>
      </c>
      <c r="CN138" s="73"/>
      <c r="CO138" s="123" t="str">
        <f t="shared" si="294"/>
        <v/>
      </c>
      <c r="CP138" s="123" t="str">
        <f t="shared" si="295"/>
        <v/>
      </c>
      <c r="CQ138" s="97" t="str">
        <f t="shared" ca="1" si="296"/>
        <v/>
      </c>
      <c r="CR138" s="98" t="str">
        <f>IF(CT138&lt;&gt;"",VLOOKUP($P138&amp;" | "&amp;CR$6,'Job Master'!$F$12:$J$102,5,0),"")</f>
        <v/>
      </c>
      <c r="CS138" s="19" t="str">
        <f>IF(CT138&lt;&gt;"",VLOOKUP($P138&amp;" | "&amp;CR$6,'Job Master'!$F$12:$J$102,3,0),"")</f>
        <v/>
      </c>
      <c r="CT138" s="19" t="str">
        <f>IFERROR(IF(AND(DA138&lt;&gt;"",VLOOKUP($P138&amp;" | "&amp;CR$6,'Job Master'!$F$12:$I$102,4,0)&lt;&gt;""),IF(WEEKDAY(DA138-VLOOKUP($P138&amp;" | "&amp;CR$6,'Job Master'!$F$12:$I$102,4,0))&lt;&gt;7,DA138-VLOOKUP($P138&amp;" | "&amp;CR$6,'Job Master'!$F$12:$I$102,4,0),DA138-VLOOKUP($P138&amp;" | "&amp;CR$6,'Job Master'!$F$12:$I$102,4,0)-1),""),"")</f>
        <v/>
      </c>
      <c r="CU138" s="73"/>
      <c r="CV138" s="123" t="str">
        <f t="shared" si="297"/>
        <v/>
      </c>
      <c r="CW138" s="123" t="str">
        <f t="shared" si="298"/>
        <v/>
      </c>
      <c r="CX138" s="97" t="str">
        <f t="shared" ca="1" si="299"/>
        <v/>
      </c>
      <c r="CY138" s="98" t="str">
        <f>IF(DA138&lt;&gt;"",VLOOKUP($P138&amp;" | "&amp;CY$6,'Job Master'!$F$12:$J$102,5,0),"")</f>
        <v/>
      </c>
      <c r="CZ138" s="19" t="str">
        <f>IF(DA138&lt;&gt;"",VLOOKUP($P138&amp;" | "&amp;CY$6,'Job Master'!$F$12:$J$102,3,0),"")</f>
        <v/>
      </c>
      <c r="DA138" s="19" t="str">
        <f>IFERROR(IF(AND(DH138&lt;&gt;"",VLOOKUP($P138&amp;" | "&amp;CY$6,'Job Master'!$F$12:$I$102,4,0)&lt;&gt;""),IF(WEEKDAY(DH138-VLOOKUP($P138&amp;" | "&amp;CY$6,'Job Master'!$F$12:$I$102,4,0))&lt;&gt;7,DH138-VLOOKUP($P138&amp;" | "&amp;CY$6,'Job Master'!$F$12:$I$102,4,0),DH138-VLOOKUP($P138&amp;" | "&amp;CY$6,'Job Master'!$F$12:$I$102,4,0)-1),""),"")</f>
        <v/>
      </c>
      <c r="DB138" s="73"/>
      <c r="DC138" s="123" t="str">
        <f t="shared" si="300"/>
        <v/>
      </c>
      <c r="DD138" s="123" t="str">
        <f t="shared" si="301"/>
        <v/>
      </c>
      <c r="DE138" s="97" t="str">
        <f t="shared" ca="1" si="302"/>
        <v/>
      </c>
      <c r="DF138" s="98" t="str">
        <f>IF(DH138&lt;&gt;"",VLOOKUP($P138&amp;" | "&amp;DF$6,'Job Master'!$F$12:$J$102,5,0),"")</f>
        <v/>
      </c>
      <c r="DG138" s="19" t="str">
        <f>IF(DH138&lt;&gt;"",VLOOKUP($P138&amp;" | "&amp;DF$6,'Job Master'!$F$12:$J$102,3,0),"")</f>
        <v/>
      </c>
      <c r="DH138" s="19" t="str">
        <f>IFERROR(IF(AND(DO138&lt;&gt;"",VLOOKUP($P138&amp;" | "&amp;DF$6,'Job Master'!$F$12:$I$102,4,0)&lt;&gt;""),IF(WEEKDAY(DO138-VLOOKUP($P138&amp;" | "&amp;DF$6,'Job Master'!$F$12:$I$102,4,0))&lt;&gt;7,DO138-VLOOKUP($P138&amp;" | "&amp;DF$6,'Job Master'!$F$12:$I$102,4,0),DO138-VLOOKUP($P138&amp;" | "&amp;DF$6,'Job Master'!$F$12:$I$102,4,0)-1),""),"")</f>
        <v/>
      </c>
      <c r="DI138" s="73"/>
      <c r="DJ138" s="123" t="str">
        <f t="shared" si="303"/>
        <v/>
      </c>
      <c r="DK138" s="123" t="str">
        <f t="shared" si="304"/>
        <v/>
      </c>
      <c r="DL138" s="97" t="str">
        <f t="shared" ca="1" si="305"/>
        <v/>
      </c>
      <c r="DM138" s="98" t="str">
        <f>IF(DO138&lt;&gt;"",VLOOKUP($P138&amp;" | "&amp;DM$6,'Job Master'!$F$12:$J$102,5,0),"")</f>
        <v/>
      </c>
      <c r="DN138" s="19" t="str">
        <f>IF(DO138&lt;&gt;"",VLOOKUP($P138&amp;" | "&amp;DM$6,'Job Master'!$F$12:$J$102,3,0),"")</f>
        <v/>
      </c>
      <c r="DO138" s="19" t="str">
        <f>IFERROR(IF(AND(DT138&lt;&gt;"",VLOOKUP($P138&amp;" | "&amp;DM$6,'Job Master'!$F$12:$I$102,4,0)&lt;&gt;""),IF(WEEKDAY(DT138-VLOOKUP($P138&amp;" | "&amp;DM$6,'Job Master'!$F$12:$I$102,4,0))&lt;&gt;7,DT138-VLOOKUP($P138&amp;" | "&amp;DM$6,'Job Master'!$F$12:$I$102,4,0),DT138-VLOOKUP($P138&amp;" | "&amp;DM$6,'Job Master'!$F$12:$I$102,4,0)-1),""),"")</f>
        <v/>
      </c>
      <c r="DP138" s="73"/>
      <c r="DQ138" s="123" t="str">
        <f t="shared" si="306"/>
        <v/>
      </c>
      <c r="DR138" s="123" t="str">
        <f t="shared" si="307"/>
        <v/>
      </c>
      <c r="DS138" s="97" t="str">
        <f t="shared" ca="1" si="308"/>
        <v/>
      </c>
      <c r="DT138" s="70" t="str">
        <f t="shared" si="309"/>
        <v/>
      </c>
      <c r="DU138" s="90"/>
      <c r="DV138" s="123" t="str">
        <f t="shared" si="310"/>
        <v/>
      </c>
      <c r="DW138" s="123" t="str">
        <f t="shared" si="311"/>
        <v/>
      </c>
      <c r="DX138" s="132" t="str">
        <f t="shared" ref="DX138" ca="1" si="314">IF(DT138&lt;&gt;"",IF(WEEKNUM(DT138)=WEEKNUM(TODAY()),"This Week",IF(WEEKNUM(DT138)=WEEKNUM(TODAY())+1,"Next Week",IF(WEEKNUM(DT138)=WEEKNUM(TODAY())-1,"Previous Week",""))),"")</f>
        <v/>
      </c>
      <c r="DY138" s="134" t="str">
        <f t="shared" si="313"/>
        <v/>
      </c>
      <c r="DZ138" s="95"/>
      <c r="EB138" s="8" t="str">
        <f t="shared" si="193"/>
        <v/>
      </c>
      <c r="EC138" s="8" t="str">
        <f>IF(O138&lt;&gt;"",VLOOKUP(O138,'Job Master'!$N$12:$O$18,2,0),"")</f>
        <v/>
      </c>
      <c r="ED138" s="8">
        <f t="shared" si="194"/>
        <v>19.5</v>
      </c>
      <c r="EE138" s="8">
        <f t="shared" si="195"/>
        <v>6</v>
      </c>
      <c r="EF138" s="8">
        <f t="shared" si="196"/>
        <v>-748.5</v>
      </c>
      <c r="EG138" s="8" t="str">
        <f t="shared" si="197"/>
        <v/>
      </c>
      <c r="EH138" s="8" t="str">
        <f t="shared" si="198"/>
        <v/>
      </c>
    </row>
    <row r="139" spans="2:138" x14ac:dyDescent="0.3">
      <c r="B139" s="112"/>
      <c r="C139" s="27"/>
      <c r="D139" s="7" t="str">
        <f t="shared" si="261"/>
        <v/>
      </c>
      <c r="E139" s="25"/>
      <c r="F139" s="7" t="str">
        <f t="shared" si="261"/>
        <v/>
      </c>
      <c r="G139" s="25"/>
      <c r="H139" s="7" t="str">
        <f t="shared" si="261"/>
        <v/>
      </c>
      <c r="I139" s="25"/>
      <c r="J139" s="7" t="str">
        <f t="shared" si="261"/>
        <v/>
      </c>
      <c r="K139" s="25"/>
      <c r="L139" s="7" t="str">
        <f t="shared" si="262"/>
        <v/>
      </c>
      <c r="M139" s="25"/>
      <c r="N139" s="7" t="str">
        <f t="shared" si="263"/>
        <v/>
      </c>
      <c r="O139" s="81"/>
      <c r="P139" s="81" t="str">
        <f t="shared" si="264"/>
        <v/>
      </c>
      <c r="Q139" s="81"/>
      <c r="R139" s="7" t="str">
        <f t="shared" si="265"/>
        <v/>
      </c>
      <c r="S139" s="25"/>
      <c r="T139" s="7" t="str">
        <f t="shared" si="266"/>
        <v/>
      </c>
      <c r="U139" s="25"/>
      <c r="V139" s="7" t="str">
        <f t="shared" si="267"/>
        <v/>
      </c>
      <c r="W139" s="25"/>
      <c r="X139" s="7" t="str">
        <f t="shared" si="268"/>
        <v/>
      </c>
      <c r="Y139" s="18" t="str">
        <f t="shared" si="269"/>
        <v/>
      </c>
      <c r="Z139" s="7" t="str">
        <f t="shared" si="270"/>
        <v/>
      </c>
      <c r="AA139" s="18" t="str">
        <f t="shared" si="271"/>
        <v/>
      </c>
      <c r="AB139" s="19" t="str">
        <f t="shared" si="272"/>
        <v/>
      </c>
      <c r="AC139" s="26"/>
      <c r="AD139" s="26"/>
      <c r="AE139" s="25"/>
      <c r="AF139" s="26"/>
      <c r="AG139" s="25"/>
      <c r="AH139" s="25"/>
      <c r="AI139" s="18" t="str">
        <f t="shared" si="209"/>
        <v/>
      </c>
      <c r="AJ139" s="25"/>
      <c r="AK139" s="18" t="str">
        <f t="shared" si="210"/>
        <v/>
      </c>
      <c r="AL139" s="79"/>
      <c r="AM139" s="126" t="str">
        <f t="shared" si="211"/>
        <v/>
      </c>
      <c r="AN139" s="128" t="str">
        <f>IF(AP139&lt;&gt;"",VLOOKUP($P139&amp;" | "&amp;AN$6,'Job Master'!$F$12:$J$102,5,0),"")</f>
        <v/>
      </c>
      <c r="AO139" s="19" t="str">
        <f>IF(AP139&lt;&gt;"",VLOOKUP($P139&amp;" | "&amp;AN$6,'Job Master'!$F$12:$J$102,3,0),"")</f>
        <v/>
      </c>
      <c r="AP139" s="19" t="str">
        <f>IFERROR(IF(AND(AW139&lt;&gt;"",VLOOKUP($P139&amp;" | "&amp;AN$6,'Job Master'!$F$12:$I$102,4,0)&lt;&gt;""),IF(WEEKDAY(AW139-VLOOKUP($P139&amp;" | "&amp;AN$6,'Job Master'!$F$12:$I$102,4,0))&lt;&gt;7,AW139-VLOOKUP($P139&amp;" | "&amp;AN$6,'Job Master'!$F$12:$I$102,4,0),AW139-VLOOKUP($P139&amp;" | "&amp;AN$6,'Job Master'!$F$12:$I$102,4,0)-1),""),"")</f>
        <v/>
      </c>
      <c r="AQ139" s="73"/>
      <c r="AR139" s="123" t="str">
        <f t="shared" si="273"/>
        <v/>
      </c>
      <c r="AS139" s="123" t="str">
        <f t="shared" si="274"/>
        <v/>
      </c>
      <c r="AT139" s="97" t="str">
        <f t="shared" ca="1" si="275"/>
        <v/>
      </c>
      <c r="AU139" s="98" t="str">
        <f>IF(AW139&lt;&gt;"",VLOOKUP($P139&amp;" | "&amp;AU$6,'Job Master'!$F$12:$J$102,5,0),"")</f>
        <v/>
      </c>
      <c r="AV139" s="19" t="str">
        <f>IF(AW139&lt;&gt;"",VLOOKUP($P139&amp;" | "&amp;AU$6,'Job Master'!$F$12:$J$102,3,0),"")</f>
        <v/>
      </c>
      <c r="AW139" s="19" t="str">
        <f>IFERROR(IF(AND(BD139&lt;&gt;"",VLOOKUP($P139&amp;" | "&amp;AU$6,'Job Master'!$F$12:$I$102,4,0)&lt;&gt;""),IF(WEEKDAY(BD139-VLOOKUP($P139&amp;" | "&amp;AU$6,'Job Master'!$F$12:$I$102,4,0))&lt;&gt;7,BD139-VLOOKUP($P139&amp;" | "&amp;AU$6,'Job Master'!$F$12:$I$102,4,0),BD139-VLOOKUP($P139&amp;" | "&amp;AU$6,'Job Master'!$F$12:$I$102,4,0)-1),""),"")</f>
        <v/>
      </c>
      <c r="AX139" s="73"/>
      <c r="AY139" s="123" t="str">
        <f t="shared" si="276"/>
        <v/>
      </c>
      <c r="AZ139" s="123" t="str">
        <f t="shared" si="277"/>
        <v/>
      </c>
      <c r="BA139" s="97" t="str">
        <f t="shared" ca="1" si="278"/>
        <v/>
      </c>
      <c r="BB139" s="98" t="str">
        <f>IF(BD139&lt;&gt;"",VLOOKUP($P139&amp;" | "&amp;BB$6,'Job Master'!$F$12:$J$102,5,0),"")</f>
        <v/>
      </c>
      <c r="BC139" s="19" t="str">
        <f>IF(BD139&lt;&gt;"",VLOOKUP($P139&amp;" | "&amp;BB$6,'Job Master'!$F$12:$J$102,3,0),"")</f>
        <v/>
      </c>
      <c r="BD139" s="19" t="str">
        <f>IFERROR(IF(AND(BK139&lt;&gt;"",VLOOKUP($P139&amp;" | "&amp;BB$6,'Job Master'!$F$12:$I$102,4,0)&lt;&gt;""),IF(WEEKDAY(BK139-VLOOKUP($P139&amp;" | "&amp;BB$6,'Job Master'!$F$12:$I$102,4,0))&lt;&gt;7,BK139-VLOOKUP($P139&amp;" | "&amp;BB$6,'Job Master'!$F$12:$I$102,4,0),BK139-VLOOKUP($P139&amp;" | "&amp;BB$6,'Job Master'!$F$12:$I$102,4,0)-1),""),"")</f>
        <v/>
      </c>
      <c r="BE139" s="73"/>
      <c r="BF139" s="123" t="str">
        <f t="shared" si="279"/>
        <v/>
      </c>
      <c r="BG139" s="123" t="str">
        <f t="shared" si="280"/>
        <v/>
      </c>
      <c r="BH139" s="97" t="str">
        <f t="shared" ca="1" si="281"/>
        <v/>
      </c>
      <c r="BI139" s="98" t="str">
        <f>IF(BK139&lt;&gt;"",VLOOKUP($P139&amp;" | "&amp;BI$6,'Job Master'!$F$12:$J$102,5,0),"")</f>
        <v/>
      </c>
      <c r="BJ139" s="19" t="str">
        <f>IF(BK139&lt;&gt;"",VLOOKUP($P139&amp;" | "&amp;BI$6,'Job Master'!$F$12:$J$102,3,0),"")</f>
        <v/>
      </c>
      <c r="BK139" s="19" t="str">
        <f>IFERROR(IF(AND(BR139&lt;&gt;"",VLOOKUP($P139&amp;" | "&amp;BI$6,'Job Master'!$F$12:$I$102,4,0)&lt;&gt;""),IF(WEEKDAY(BR139-VLOOKUP($P139&amp;" | "&amp;BI$6,'Job Master'!$F$12:$I$102,4,0))&lt;&gt;7,BR139-VLOOKUP($P139&amp;" | "&amp;BI$6,'Job Master'!$F$12:$I$102,4,0),BR139-VLOOKUP($P139&amp;" | "&amp;BI$6,'Job Master'!$F$12:$I$102,4,0)-1),""),"")</f>
        <v/>
      </c>
      <c r="BL139" s="73"/>
      <c r="BM139" s="123" t="str">
        <f t="shared" si="282"/>
        <v/>
      </c>
      <c r="BN139" s="123" t="str">
        <f t="shared" si="283"/>
        <v/>
      </c>
      <c r="BO139" s="97" t="str">
        <f t="shared" ca="1" si="284"/>
        <v/>
      </c>
      <c r="BP139" s="98" t="str">
        <f>IF(BR139&lt;&gt;"",VLOOKUP($P139&amp;" | "&amp;BP$6,'Job Master'!$F$12:$J$102,5,0),"")</f>
        <v/>
      </c>
      <c r="BQ139" s="19" t="str">
        <f>IF(BR139&lt;&gt;"",VLOOKUP($P139&amp;" | "&amp;BP$6,'Job Master'!$F$12:$J$102,3,0),"")</f>
        <v/>
      </c>
      <c r="BR139" s="19" t="str">
        <f>IFERROR(IF(AND(BY139&lt;&gt;"",VLOOKUP($P139&amp;" | "&amp;BP$6,'Job Master'!$F$12:$I$102,4,0)&lt;&gt;""),IF(WEEKDAY(BY139-VLOOKUP($P139&amp;" | "&amp;BP$6,'Job Master'!$F$12:$I$102,4,0))&lt;&gt;7,BY139-VLOOKUP($P139&amp;" | "&amp;BP$6,'Job Master'!$F$12:$I$102,4,0),BY139-VLOOKUP($P139&amp;" | "&amp;BP$6,'Job Master'!$F$12:$I$102,4,0)-1),""),"")</f>
        <v/>
      </c>
      <c r="BS139" s="73"/>
      <c r="BT139" s="123" t="str">
        <f t="shared" si="285"/>
        <v/>
      </c>
      <c r="BU139" s="123" t="str">
        <f t="shared" si="286"/>
        <v/>
      </c>
      <c r="BV139" s="97" t="str">
        <f t="shared" ca="1" si="287"/>
        <v/>
      </c>
      <c r="BW139" s="98" t="str">
        <f>IF(BY139&lt;&gt;"",VLOOKUP($P139&amp;" | "&amp;BW$6,'Job Master'!$F$12:$J$102,5,0),"")</f>
        <v/>
      </c>
      <c r="BX139" s="19" t="str">
        <f>IF(BY139&lt;&gt;"",VLOOKUP($P139&amp;" | "&amp;BW$6,'Job Master'!$F$12:$J$102,3,0),"")</f>
        <v/>
      </c>
      <c r="BY139" s="19" t="str">
        <f>IFERROR(IF(AND(CF139&lt;&gt;"",VLOOKUP($P139&amp;" | "&amp;BW$6,'Job Master'!$F$12:$I$102,4,0)&lt;&gt;""),IF(WEEKDAY(CF139-VLOOKUP($P139&amp;" | "&amp;BW$6,'Job Master'!$F$12:$I$102,4,0))&lt;&gt;7,CF139-VLOOKUP($P139&amp;" | "&amp;BW$6,'Job Master'!$F$12:$I$102,4,0),CF139-VLOOKUP($P139&amp;" | "&amp;BW$6,'Job Master'!$F$12:$I$102,4,0)-1),""),"")</f>
        <v/>
      </c>
      <c r="BZ139" s="73"/>
      <c r="CA139" s="123" t="str">
        <f t="shared" si="288"/>
        <v/>
      </c>
      <c r="CB139" s="123" t="str">
        <f t="shared" si="289"/>
        <v/>
      </c>
      <c r="CC139" s="97" t="str">
        <f t="shared" ca="1" si="290"/>
        <v/>
      </c>
      <c r="CD139" s="98" t="str">
        <f>IF(CF139&lt;&gt;"",VLOOKUP($P139&amp;" | "&amp;CD$6,'Job Master'!$F$12:$J$102,5,0),"")</f>
        <v/>
      </c>
      <c r="CE139" s="19" t="str">
        <f>IF(CF139&lt;&gt;"",VLOOKUP($P139&amp;" | "&amp;CD$6,'Job Master'!$F$12:$J$102,3,0),"")</f>
        <v/>
      </c>
      <c r="CF139" s="19" t="str">
        <f>IFERROR(IF(AND(CM139&lt;&gt;"",VLOOKUP($P139&amp;" | "&amp;CD$6,'Job Master'!$F$12:$I$102,4,0)&lt;&gt;""),IF(WEEKDAY(CM139-VLOOKUP($P139&amp;" | "&amp;CD$6,'Job Master'!$F$12:$I$102,4,0))&lt;&gt;7,CM139-VLOOKUP($P139&amp;" | "&amp;CD$6,'Job Master'!$F$12:$I$102,4,0),CM139-VLOOKUP($P139&amp;" | "&amp;CD$6,'Job Master'!$F$12:$I$102,4,0)-1),""),"")</f>
        <v/>
      </c>
      <c r="CG139" s="73"/>
      <c r="CH139" s="123" t="str">
        <f t="shared" si="291"/>
        <v/>
      </c>
      <c r="CI139" s="123" t="str">
        <f t="shared" si="292"/>
        <v/>
      </c>
      <c r="CJ139" s="97" t="str">
        <f t="shared" ca="1" si="293"/>
        <v/>
      </c>
      <c r="CK139" s="98" t="str">
        <f>IF(CM139&lt;&gt;"",VLOOKUP($P139&amp;" | "&amp;CK$6,'Job Master'!$F$12:$J$102,5,0),"")</f>
        <v/>
      </c>
      <c r="CL139" s="19" t="str">
        <f>IF(CM139&lt;&gt;"",VLOOKUP($P139&amp;" | "&amp;CK$6,'Job Master'!$F$12:$J$102,3,0),"")</f>
        <v/>
      </c>
      <c r="CM139" s="19" t="str">
        <f>IFERROR(IF(AND(CT139&lt;&gt;"",VLOOKUP($P139&amp;" | "&amp;CK$6,'Job Master'!$F$12:$I$102,4,0)&lt;&gt;""),IF(WEEKDAY(CT139-VLOOKUP($P139&amp;" | "&amp;CK$6,'Job Master'!$F$12:$I$102,4,0))&lt;&gt;7,CT139-VLOOKUP($P139&amp;" | "&amp;CK$6,'Job Master'!$F$12:$I$102,4,0),CT139-VLOOKUP($P139&amp;" | "&amp;CK$6,'Job Master'!$F$12:$I$102,4,0)-1),""),"")</f>
        <v/>
      </c>
      <c r="CN139" s="73"/>
      <c r="CO139" s="123" t="str">
        <f t="shared" si="294"/>
        <v/>
      </c>
      <c r="CP139" s="123" t="str">
        <f t="shared" si="295"/>
        <v/>
      </c>
      <c r="CQ139" s="97" t="str">
        <f t="shared" ca="1" si="296"/>
        <v/>
      </c>
      <c r="CR139" s="98" t="str">
        <f>IF(CT139&lt;&gt;"",VLOOKUP($P139&amp;" | "&amp;CR$6,'Job Master'!$F$12:$J$102,5,0),"")</f>
        <v/>
      </c>
      <c r="CS139" s="19" t="str">
        <f>IF(CT139&lt;&gt;"",VLOOKUP($P139&amp;" | "&amp;CR$6,'Job Master'!$F$12:$J$102,3,0),"")</f>
        <v/>
      </c>
      <c r="CT139" s="19" t="str">
        <f>IFERROR(IF(AND(DA139&lt;&gt;"",VLOOKUP($P139&amp;" | "&amp;CR$6,'Job Master'!$F$12:$I$102,4,0)&lt;&gt;""),IF(WEEKDAY(DA139-VLOOKUP($P139&amp;" | "&amp;CR$6,'Job Master'!$F$12:$I$102,4,0))&lt;&gt;7,DA139-VLOOKUP($P139&amp;" | "&amp;CR$6,'Job Master'!$F$12:$I$102,4,0),DA139-VLOOKUP($P139&amp;" | "&amp;CR$6,'Job Master'!$F$12:$I$102,4,0)-1),""),"")</f>
        <v/>
      </c>
      <c r="CU139" s="73"/>
      <c r="CV139" s="123" t="str">
        <f t="shared" si="297"/>
        <v/>
      </c>
      <c r="CW139" s="123" t="str">
        <f t="shared" si="298"/>
        <v/>
      </c>
      <c r="CX139" s="97" t="str">
        <f t="shared" ca="1" si="299"/>
        <v/>
      </c>
      <c r="CY139" s="98" t="str">
        <f>IF(DA139&lt;&gt;"",VLOOKUP($P139&amp;" | "&amp;CY$6,'Job Master'!$F$12:$J$102,5,0),"")</f>
        <v/>
      </c>
      <c r="CZ139" s="19" t="str">
        <f>IF(DA139&lt;&gt;"",VLOOKUP($P139&amp;" | "&amp;CY$6,'Job Master'!$F$12:$J$102,3,0),"")</f>
        <v/>
      </c>
      <c r="DA139" s="19" t="str">
        <f>IFERROR(IF(AND(DH139&lt;&gt;"",VLOOKUP($P139&amp;" | "&amp;CY$6,'Job Master'!$F$12:$I$102,4,0)&lt;&gt;""),IF(WEEKDAY(DH139-VLOOKUP($P139&amp;" | "&amp;CY$6,'Job Master'!$F$12:$I$102,4,0))&lt;&gt;7,DH139-VLOOKUP($P139&amp;" | "&amp;CY$6,'Job Master'!$F$12:$I$102,4,0),DH139-VLOOKUP($P139&amp;" | "&amp;CY$6,'Job Master'!$F$12:$I$102,4,0)-1),""),"")</f>
        <v/>
      </c>
      <c r="DB139" s="73"/>
      <c r="DC139" s="123" t="str">
        <f t="shared" si="300"/>
        <v/>
      </c>
      <c r="DD139" s="123" t="str">
        <f t="shared" si="301"/>
        <v/>
      </c>
      <c r="DE139" s="97" t="str">
        <f t="shared" ca="1" si="302"/>
        <v/>
      </c>
      <c r="DF139" s="98" t="str">
        <f>IF(DH139&lt;&gt;"",VLOOKUP($P139&amp;" | "&amp;DF$6,'Job Master'!$F$12:$J$102,5,0),"")</f>
        <v/>
      </c>
      <c r="DG139" s="19" t="str">
        <f>IF(DH139&lt;&gt;"",VLOOKUP($P139&amp;" | "&amp;DF$6,'Job Master'!$F$12:$J$102,3,0),"")</f>
        <v/>
      </c>
      <c r="DH139" s="19" t="str">
        <f>IFERROR(IF(AND(DO139&lt;&gt;"",VLOOKUP($P139&amp;" | "&amp;DF$6,'Job Master'!$F$12:$I$102,4,0)&lt;&gt;""),IF(WEEKDAY(DO139-VLOOKUP($P139&amp;" | "&amp;DF$6,'Job Master'!$F$12:$I$102,4,0))&lt;&gt;7,DO139-VLOOKUP($P139&amp;" | "&amp;DF$6,'Job Master'!$F$12:$I$102,4,0),DO139-VLOOKUP($P139&amp;" | "&amp;DF$6,'Job Master'!$F$12:$I$102,4,0)-1),""),"")</f>
        <v/>
      </c>
      <c r="DI139" s="73"/>
      <c r="DJ139" s="123" t="str">
        <f t="shared" si="303"/>
        <v/>
      </c>
      <c r="DK139" s="123" t="str">
        <f t="shared" si="304"/>
        <v/>
      </c>
      <c r="DL139" s="97" t="str">
        <f t="shared" ca="1" si="305"/>
        <v/>
      </c>
      <c r="DM139" s="98" t="str">
        <f>IF(DO139&lt;&gt;"",VLOOKUP($P139&amp;" | "&amp;DM$6,'Job Master'!$F$12:$J$102,5,0),"")</f>
        <v/>
      </c>
      <c r="DN139" s="19" t="str">
        <f>IF(DO139&lt;&gt;"",VLOOKUP($P139&amp;" | "&amp;DM$6,'Job Master'!$F$12:$J$102,3,0),"")</f>
        <v/>
      </c>
      <c r="DO139" s="19" t="str">
        <f>IFERROR(IF(AND(DT139&lt;&gt;"",VLOOKUP($P139&amp;" | "&amp;DM$6,'Job Master'!$F$12:$I$102,4,0)&lt;&gt;""),IF(WEEKDAY(DT139-VLOOKUP($P139&amp;" | "&amp;DM$6,'Job Master'!$F$12:$I$102,4,0))&lt;&gt;7,DT139-VLOOKUP($P139&amp;" | "&amp;DM$6,'Job Master'!$F$12:$I$102,4,0),DT139-VLOOKUP($P139&amp;" | "&amp;DM$6,'Job Master'!$F$12:$I$102,4,0)-1),""),"")</f>
        <v/>
      </c>
      <c r="DP139" s="73"/>
      <c r="DQ139" s="123" t="str">
        <f t="shared" si="306"/>
        <v/>
      </c>
      <c r="DR139" s="123" t="str">
        <f t="shared" si="307"/>
        <v/>
      </c>
      <c r="DS139" s="97" t="str">
        <f t="shared" ca="1" si="308"/>
        <v/>
      </c>
      <c r="DT139" s="70" t="str">
        <f t="shared" si="309"/>
        <v/>
      </c>
      <c r="DU139" s="90"/>
      <c r="DV139" s="123" t="str">
        <f t="shared" si="310"/>
        <v/>
      </c>
      <c r="DW139" s="123" t="str">
        <f t="shared" si="311"/>
        <v/>
      </c>
      <c r="DX139" s="132" t="str">
        <f t="shared" ref="DX139" ca="1" si="315">IF(DT139&lt;&gt;"",IF(WEEKNUM(DT139)=WEEKNUM(TODAY()),"This Week",IF(WEEKNUM(DT139)=WEEKNUM(TODAY())+1,"Next Week",IF(WEEKNUM(DT139)=WEEKNUM(TODAY())-1,"Previous Week",""))),"")</f>
        <v/>
      </c>
      <c r="DY139" s="134" t="str">
        <f t="shared" si="313"/>
        <v/>
      </c>
      <c r="DZ139" s="95"/>
      <c r="EB139" s="8" t="str">
        <f t="shared" si="193"/>
        <v/>
      </c>
      <c r="EC139" s="8" t="str">
        <f>IF(O139&lt;&gt;"",VLOOKUP(O139,'Job Master'!$N$12:$O$18,2,0),"")</f>
        <v/>
      </c>
      <c r="ED139" s="8">
        <f t="shared" si="194"/>
        <v>19.5</v>
      </c>
      <c r="EE139" s="8">
        <f t="shared" si="195"/>
        <v>6</v>
      </c>
      <c r="EF139" s="8">
        <f t="shared" si="196"/>
        <v>-754.5</v>
      </c>
      <c r="EG139" s="8" t="str">
        <f t="shared" si="197"/>
        <v/>
      </c>
      <c r="EH139" s="8" t="str">
        <f t="shared" si="198"/>
        <v/>
      </c>
    </row>
    <row r="140" spans="2:138" x14ac:dyDescent="0.3">
      <c r="B140" s="112"/>
      <c r="C140" s="27"/>
      <c r="D140" s="7" t="str">
        <f t="shared" si="261"/>
        <v/>
      </c>
      <c r="E140" s="25"/>
      <c r="F140" s="7" t="str">
        <f t="shared" si="261"/>
        <v/>
      </c>
      <c r="G140" s="25"/>
      <c r="H140" s="7" t="str">
        <f t="shared" si="261"/>
        <v/>
      </c>
      <c r="I140" s="25"/>
      <c r="J140" s="7" t="str">
        <f t="shared" si="261"/>
        <v/>
      </c>
      <c r="K140" s="25"/>
      <c r="L140" s="7" t="str">
        <f t="shared" si="262"/>
        <v/>
      </c>
      <c r="M140" s="25"/>
      <c r="N140" s="7" t="str">
        <f t="shared" si="263"/>
        <v/>
      </c>
      <c r="O140" s="81"/>
      <c r="P140" s="81" t="str">
        <f t="shared" si="264"/>
        <v/>
      </c>
      <c r="Q140" s="81"/>
      <c r="R140" s="7" t="str">
        <f t="shared" si="265"/>
        <v/>
      </c>
      <c r="S140" s="25"/>
      <c r="T140" s="7" t="str">
        <f t="shared" si="266"/>
        <v/>
      </c>
      <c r="U140" s="25"/>
      <c r="V140" s="7" t="str">
        <f t="shared" si="267"/>
        <v/>
      </c>
      <c r="W140" s="25"/>
      <c r="X140" s="7" t="str">
        <f t="shared" si="268"/>
        <v/>
      </c>
      <c r="Y140" s="18" t="str">
        <f t="shared" si="269"/>
        <v/>
      </c>
      <c r="Z140" s="7" t="str">
        <f t="shared" si="270"/>
        <v/>
      </c>
      <c r="AA140" s="18" t="str">
        <f t="shared" si="271"/>
        <v/>
      </c>
      <c r="AB140" s="19" t="str">
        <f t="shared" si="272"/>
        <v/>
      </c>
      <c r="AC140" s="26"/>
      <c r="AD140" s="26"/>
      <c r="AE140" s="25"/>
      <c r="AF140" s="26"/>
      <c r="AG140" s="25"/>
      <c r="AH140" s="25"/>
      <c r="AI140" s="18" t="str">
        <f t="shared" si="209"/>
        <v/>
      </c>
      <c r="AJ140" s="25"/>
      <c r="AK140" s="18" t="str">
        <f t="shared" si="210"/>
        <v/>
      </c>
      <c r="AL140" s="79"/>
      <c r="AM140" s="126" t="str">
        <f t="shared" si="211"/>
        <v/>
      </c>
      <c r="AN140" s="128" t="str">
        <f>IF(AP140&lt;&gt;"",VLOOKUP($P140&amp;" | "&amp;AN$6,'Job Master'!$F$12:$J$102,5,0),"")</f>
        <v/>
      </c>
      <c r="AO140" s="19" t="str">
        <f>IF(AP140&lt;&gt;"",VLOOKUP($P140&amp;" | "&amp;AN$6,'Job Master'!$F$12:$J$102,3,0),"")</f>
        <v/>
      </c>
      <c r="AP140" s="19" t="str">
        <f>IFERROR(IF(AND(AW140&lt;&gt;"",VLOOKUP($P140&amp;" | "&amp;AN$6,'Job Master'!$F$12:$I$102,4,0)&lt;&gt;""),IF(WEEKDAY(AW140-VLOOKUP($P140&amp;" | "&amp;AN$6,'Job Master'!$F$12:$I$102,4,0))&lt;&gt;7,AW140-VLOOKUP($P140&amp;" | "&amp;AN$6,'Job Master'!$F$12:$I$102,4,0),AW140-VLOOKUP($P140&amp;" | "&amp;AN$6,'Job Master'!$F$12:$I$102,4,0)-1),""),"")</f>
        <v/>
      </c>
      <c r="AQ140" s="73"/>
      <c r="AR140" s="123" t="str">
        <f t="shared" si="273"/>
        <v/>
      </c>
      <c r="AS140" s="123" t="str">
        <f t="shared" si="274"/>
        <v/>
      </c>
      <c r="AT140" s="97" t="str">
        <f t="shared" ca="1" si="275"/>
        <v/>
      </c>
      <c r="AU140" s="98" t="str">
        <f>IF(AW140&lt;&gt;"",VLOOKUP($P140&amp;" | "&amp;AU$6,'Job Master'!$F$12:$J$102,5,0),"")</f>
        <v/>
      </c>
      <c r="AV140" s="19" t="str">
        <f>IF(AW140&lt;&gt;"",VLOOKUP($P140&amp;" | "&amp;AU$6,'Job Master'!$F$12:$J$102,3,0),"")</f>
        <v/>
      </c>
      <c r="AW140" s="19" t="str">
        <f>IFERROR(IF(AND(BD140&lt;&gt;"",VLOOKUP($P140&amp;" | "&amp;AU$6,'Job Master'!$F$12:$I$102,4,0)&lt;&gt;""),IF(WEEKDAY(BD140-VLOOKUP($P140&amp;" | "&amp;AU$6,'Job Master'!$F$12:$I$102,4,0))&lt;&gt;7,BD140-VLOOKUP($P140&amp;" | "&amp;AU$6,'Job Master'!$F$12:$I$102,4,0),BD140-VLOOKUP($P140&amp;" | "&amp;AU$6,'Job Master'!$F$12:$I$102,4,0)-1),""),"")</f>
        <v/>
      </c>
      <c r="AX140" s="73"/>
      <c r="AY140" s="123" t="str">
        <f t="shared" si="276"/>
        <v/>
      </c>
      <c r="AZ140" s="123" t="str">
        <f t="shared" si="277"/>
        <v/>
      </c>
      <c r="BA140" s="97" t="str">
        <f t="shared" ca="1" si="278"/>
        <v/>
      </c>
      <c r="BB140" s="98" t="str">
        <f>IF(BD140&lt;&gt;"",VLOOKUP($P140&amp;" | "&amp;BB$6,'Job Master'!$F$12:$J$102,5,0),"")</f>
        <v/>
      </c>
      <c r="BC140" s="19" t="str">
        <f>IF(BD140&lt;&gt;"",VLOOKUP($P140&amp;" | "&amp;BB$6,'Job Master'!$F$12:$J$102,3,0),"")</f>
        <v/>
      </c>
      <c r="BD140" s="19" t="str">
        <f>IFERROR(IF(AND(BK140&lt;&gt;"",VLOOKUP($P140&amp;" | "&amp;BB$6,'Job Master'!$F$12:$I$102,4,0)&lt;&gt;""),IF(WEEKDAY(BK140-VLOOKUP($P140&amp;" | "&amp;BB$6,'Job Master'!$F$12:$I$102,4,0))&lt;&gt;7,BK140-VLOOKUP($P140&amp;" | "&amp;BB$6,'Job Master'!$F$12:$I$102,4,0),BK140-VLOOKUP($P140&amp;" | "&amp;BB$6,'Job Master'!$F$12:$I$102,4,0)-1),""),"")</f>
        <v/>
      </c>
      <c r="BE140" s="73"/>
      <c r="BF140" s="123" t="str">
        <f t="shared" si="279"/>
        <v/>
      </c>
      <c r="BG140" s="123" t="str">
        <f t="shared" si="280"/>
        <v/>
      </c>
      <c r="BH140" s="97" t="str">
        <f t="shared" ca="1" si="281"/>
        <v/>
      </c>
      <c r="BI140" s="98" t="str">
        <f>IF(BK140&lt;&gt;"",VLOOKUP($P140&amp;" | "&amp;BI$6,'Job Master'!$F$12:$J$102,5,0),"")</f>
        <v/>
      </c>
      <c r="BJ140" s="19" t="str">
        <f>IF(BK140&lt;&gt;"",VLOOKUP($P140&amp;" | "&amp;BI$6,'Job Master'!$F$12:$J$102,3,0),"")</f>
        <v/>
      </c>
      <c r="BK140" s="19" t="str">
        <f>IFERROR(IF(AND(BR140&lt;&gt;"",VLOOKUP($P140&amp;" | "&amp;BI$6,'Job Master'!$F$12:$I$102,4,0)&lt;&gt;""),IF(WEEKDAY(BR140-VLOOKUP($P140&amp;" | "&amp;BI$6,'Job Master'!$F$12:$I$102,4,0))&lt;&gt;7,BR140-VLOOKUP($P140&amp;" | "&amp;BI$6,'Job Master'!$F$12:$I$102,4,0),BR140-VLOOKUP($P140&amp;" | "&amp;BI$6,'Job Master'!$F$12:$I$102,4,0)-1),""),"")</f>
        <v/>
      </c>
      <c r="BL140" s="73"/>
      <c r="BM140" s="123" t="str">
        <f t="shared" si="282"/>
        <v/>
      </c>
      <c r="BN140" s="123" t="str">
        <f t="shared" si="283"/>
        <v/>
      </c>
      <c r="BO140" s="97" t="str">
        <f t="shared" ca="1" si="284"/>
        <v/>
      </c>
      <c r="BP140" s="98" t="str">
        <f>IF(BR140&lt;&gt;"",VLOOKUP($P140&amp;" | "&amp;BP$6,'Job Master'!$F$12:$J$102,5,0),"")</f>
        <v/>
      </c>
      <c r="BQ140" s="19" t="str">
        <f>IF(BR140&lt;&gt;"",VLOOKUP($P140&amp;" | "&amp;BP$6,'Job Master'!$F$12:$J$102,3,0),"")</f>
        <v/>
      </c>
      <c r="BR140" s="19" t="str">
        <f>IFERROR(IF(AND(BY140&lt;&gt;"",VLOOKUP($P140&amp;" | "&amp;BP$6,'Job Master'!$F$12:$I$102,4,0)&lt;&gt;""),IF(WEEKDAY(BY140-VLOOKUP($P140&amp;" | "&amp;BP$6,'Job Master'!$F$12:$I$102,4,0))&lt;&gt;7,BY140-VLOOKUP($P140&amp;" | "&amp;BP$6,'Job Master'!$F$12:$I$102,4,0),BY140-VLOOKUP($P140&amp;" | "&amp;BP$6,'Job Master'!$F$12:$I$102,4,0)-1),""),"")</f>
        <v/>
      </c>
      <c r="BS140" s="73"/>
      <c r="BT140" s="123" t="str">
        <f t="shared" si="285"/>
        <v/>
      </c>
      <c r="BU140" s="123" t="str">
        <f t="shared" si="286"/>
        <v/>
      </c>
      <c r="BV140" s="97" t="str">
        <f t="shared" ca="1" si="287"/>
        <v/>
      </c>
      <c r="BW140" s="98" t="str">
        <f>IF(BY140&lt;&gt;"",VLOOKUP($P140&amp;" | "&amp;BW$6,'Job Master'!$F$12:$J$102,5,0),"")</f>
        <v/>
      </c>
      <c r="BX140" s="19" t="str">
        <f>IF(BY140&lt;&gt;"",VLOOKUP($P140&amp;" | "&amp;BW$6,'Job Master'!$F$12:$J$102,3,0),"")</f>
        <v/>
      </c>
      <c r="BY140" s="19" t="str">
        <f>IFERROR(IF(AND(CF140&lt;&gt;"",VLOOKUP($P140&amp;" | "&amp;BW$6,'Job Master'!$F$12:$I$102,4,0)&lt;&gt;""),IF(WEEKDAY(CF140-VLOOKUP($P140&amp;" | "&amp;BW$6,'Job Master'!$F$12:$I$102,4,0))&lt;&gt;7,CF140-VLOOKUP($P140&amp;" | "&amp;BW$6,'Job Master'!$F$12:$I$102,4,0),CF140-VLOOKUP($P140&amp;" | "&amp;BW$6,'Job Master'!$F$12:$I$102,4,0)-1),""),"")</f>
        <v/>
      </c>
      <c r="BZ140" s="73"/>
      <c r="CA140" s="123" t="str">
        <f t="shared" si="288"/>
        <v/>
      </c>
      <c r="CB140" s="123" t="str">
        <f t="shared" si="289"/>
        <v/>
      </c>
      <c r="CC140" s="97" t="str">
        <f t="shared" ca="1" si="290"/>
        <v/>
      </c>
      <c r="CD140" s="98" t="str">
        <f>IF(CF140&lt;&gt;"",VLOOKUP($P140&amp;" | "&amp;CD$6,'Job Master'!$F$12:$J$102,5,0),"")</f>
        <v/>
      </c>
      <c r="CE140" s="19" t="str">
        <f>IF(CF140&lt;&gt;"",VLOOKUP($P140&amp;" | "&amp;CD$6,'Job Master'!$F$12:$J$102,3,0),"")</f>
        <v/>
      </c>
      <c r="CF140" s="19" t="str">
        <f>IFERROR(IF(AND(CM140&lt;&gt;"",VLOOKUP($P140&amp;" | "&amp;CD$6,'Job Master'!$F$12:$I$102,4,0)&lt;&gt;""),IF(WEEKDAY(CM140-VLOOKUP($P140&amp;" | "&amp;CD$6,'Job Master'!$F$12:$I$102,4,0))&lt;&gt;7,CM140-VLOOKUP($P140&amp;" | "&amp;CD$6,'Job Master'!$F$12:$I$102,4,0),CM140-VLOOKUP($P140&amp;" | "&amp;CD$6,'Job Master'!$F$12:$I$102,4,0)-1),""),"")</f>
        <v/>
      </c>
      <c r="CG140" s="73"/>
      <c r="CH140" s="123" t="str">
        <f t="shared" si="291"/>
        <v/>
      </c>
      <c r="CI140" s="123" t="str">
        <f t="shared" si="292"/>
        <v/>
      </c>
      <c r="CJ140" s="97" t="str">
        <f t="shared" ca="1" si="293"/>
        <v/>
      </c>
      <c r="CK140" s="98" t="str">
        <f>IF(CM140&lt;&gt;"",VLOOKUP($P140&amp;" | "&amp;CK$6,'Job Master'!$F$12:$J$102,5,0),"")</f>
        <v/>
      </c>
      <c r="CL140" s="19" t="str">
        <f>IF(CM140&lt;&gt;"",VLOOKUP($P140&amp;" | "&amp;CK$6,'Job Master'!$F$12:$J$102,3,0),"")</f>
        <v/>
      </c>
      <c r="CM140" s="19" t="str">
        <f>IFERROR(IF(AND(CT140&lt;&gt;"",VLOOKUP($P140&amp;" | "&amp;CK$6,'Job Master'!$F$12:$I$102,4,0)&lt;&gt;""),IF(WEEKDAY(CT140-VLOOKUP($P140&amp;" | "&amp;CK$6,'Job Master'!$F$12:$I$102,4,0))&lt;&gt;7,CT140-VLOOKUP($P140&amp;" | "&amp;CK$6,'Job Master'!$F$12:$I$102,4,0),CT140-VLOOKUP($P140&amp;" | "&amp;CK$6,'Job Master'!$F$12:$I$102,4,0)-1),""),"")</f>
        <v/>
      </c>
      <c r="CN140" s="73"/>
      <c r="CO140" s="123" t="str">
        <f t="shared" si="294"/>
        <v/>
      </c>
      <c r="CP140" s="123" t="str">
        <f t="shared" si="295"/>
        <v/>
      </c>
      <c r="CQ140" s="97" t="str">
        <f t="shared" ca="1" si="296"/>
        <v/>
      </c>
      <c r="CR140" s="98" t="str">
        <f>IF(CT140&lt;&gt;"",VLOOKUP($P140&amp;" | "&amp;CR$6,'Job Master'!$F$12:$J$102,5,0),"")</f>
        <v/>
      </c>
      <c r="CS140" s="19" t="str">
        <f>IF(CT140&lt;&gt;"",VLOOKUP($P140&amp;" | "&amp;CR$6,'Job Master'!$F$12:$J$102,3,0),"")</f>
        <v/>
      </c>
      <c r="CT140" s="19" t="str">
        <f>IFERROR(IF(AND(DA140&lt;&gt;"",VLOOKUP($P140&amp;" | "&amp;CR$6,'Job Master'!$F$12:$I$102,4,0)&lt;&gt;""),IF(WEEKDAY(DA140-VLOOKUP($P140&amp;" | "&amp;CR$6,'Job Master'!$F$12:$I$102,4,0))&lt;&gt;7,DA140-VLOOKUP($P140&amp;" | "&amp;CR$6,'Job Master'!$F$12:$I$102,4,0),DA140-VLOOKUP($P140&amp;" | "&amp;CR$6,'Job Master'!$F$12:$I$102,4,0)-1),""),"")</f>
        <v/>
      </c>
      <c r="CU140" s="73"/>
      <c r="CV140" s="123" t="str">
        <f t="shared" si="297"/>
        <v/>
      </c>
      <c r="CW140" s="123" t="str">
        <f t="shared" si="298"/>
        <v/>
      </c>
      <c r="CX140" s="97" t="str">
        <f t="shared" ca="1" si="299"/>
        <v/>
      </c>
      <c r="CY140" s="98" t="str">
        <f>IF(DA140&lt;&gt;"",VLOOKUP($P140&amp;" | "&amp;CY$6,'Job Master'!$F$12:$J$102,5,0),"")</f>
        <v/>
      </c>
      <c r="CZ140" s="19" t="str">
        <f>IF(DA140&lt;&gt;"",VLOOKUP($P140&amp;" | "&amp;CY$6,'Job Master'!$F$12:$J$102,3,0),"")</f>
        <v/>
      </c>
      <c r="DA140" s="19" t="str">
        <f>IFERROR(IF(AND(DH140&lt;&gt;"",VLOOKUP($P140&amp;" | "&amp;CY$6,'Job Master'!$F$12:$I$102,4,0)&lt;&gt;""),IF(WEEKDAY(DH140-VLOOKUP($P140&amp;" | "&amp;CY$6,'Job Master'!$F$12:$I$102,4,0))&lt;&gt;7,DH140-VLOOKUP($P140&amp;" | "&amp;CY$6,'Job Master'!$F$12:$I$102,4,0),DH140-VLOOKUP($P140&amp;" | "&amp;CY$6,'Job Master'!$F$12:$I$102,4,0)-1),""),"")</f>
        <v/>
      </c>
      <c r="DB140" s="73"/>
      <c r="DC140" s="123" t="str">
        <f t="shared" si="300"/>
        <v/>
      </c>
      <c r="DD140" s="123" t="str">
        <f t="shared" si="301"/>
        <v/>
      </c>
      <c r="DE140" s="97" t="str">
        <f t="shared" ca="1" si="302"/>
        <v/>
      </c>
      <c r="DF140" s="98" t="str">
        <f>IF(DH140&lt;&gt;"",VLOOKUP($P140&amp;" | "&amp;DF$6,'Job Master'!$F$12:$J$102,5,0),"")</f>
        <v/>
      </c>
      <c r="DG140" s="19" t="str">
        <f>IF(DH140&lt;&gt;"",VLOOKUP($P140&amp;" | "&amp;DF$6,'Job Master'!$F$12:$J$102,3,0),"")</f>
        <v/>
      </c>
      <c r="DH140" s="19" t="str">
        <f>IFERROR(IF(AND(DO140&lt;&gt;"",VLOOKUP($P140&amp;" | "&amp;DF$6,'Job Master'!$F$12:$I$102,4,0)&lt;&gt;""),IF(WEEKDAY(DO140-VLOOKUP($P140&amp;" | "&amp;DF$6,'Job Master'!$F$12:$I$102,4,0))&lt;&gt;7,DO140-VLOOKUP($P140&amp;" | "&amp;DF$6,'Job Master'!$F$12:$I$102,4,0),DO140-VLOOKUP($P140&amp;" | "&amp;DF$6,'Job Master'!$F$12:$I$102,4,0)-1),""),"")</f>
        <v/>
      </c>
      <c r="DI140" s="73"/>
      <c r="DJ140" s="123" t="str">
        <f t="shared" si="303"/>
        <v/>
      </c>
      <c r="DK140" s="123" t="str">
        <f t="shared" si="304"/>
        <v/>
      </c>
      <c r="DL140" s="97" t="str">
        <f t="shared" ca="1" si="305"/>
        <v/>
      </c>
      <c r="DM140" s="98" t="str">
        <f>IF(DO140&lt;&gt;"",VLOOKUP($P140&amp;" | "&amp;DM$6,'Job Master'!$F$12:$J$102,5,0),"")</f>
        <v/>
      </c>
      <c r="DN140" s="19" t="str">
        <f>IF(DO140&lt;&gt;"",VLOOKUP($P140&amp;" | "&amp;DM$6,'Job Master'!$F$12:$J$102,3,0),"")</f>
        <v/>
      </c>
      <c r="DO140" s="19" t="str">
        <f>IFERROR(IF(AND(DT140&lt;&gt;"",VLOOKUP($P140&amp;" | "&amp;DM$6,'Job Master'!$F$12:$I$102,4,0)&lt;&gt;""),IF(WEEKDAY(DT140-VLOOKUP($P140&amp;" | "&amp;DM$6,'Job Master'!$F$12:$I$102,4,0))&lt;&gt;7,DT140-VLOOKUP($P140&amp;" | "&amp;DM$6,'Job Master'!$F$12:$I$102,4,0),DT140-VLOOKUP($P140&amp;" | "&amp;DM$6,'Job Master'!$F$12:$I$102,4,0)-1),""),"")</f>
        <v/>
      </c>
      <c r="DP140" s="73"/>
      <c r="DQ140" s="123" t="str">
        <f t="shared" si="306"/>
        <v/>
      </c>
      <c r="DR140" s="123" t="str">
        <f t="shared" si="307"/>
        <v/>
      </c>
      <c r="DS140" s="97" t="str">
        <f t="shared" ca="1" si="308"/>
        <v/>
      </c>
      <c r="DT140" s="70" t="str">
        <f t="shared" si="309"/>
        <v/>
      </c>
      <c r="DU140" s="90"/>
      <c r="DV140" s="123" t="str">
        <f t="shared" si="310"/>
        <v/>
      </c>
      <c r="DW140" s="123" t="str">
        <f t="shared" si="311"/>
        <v/>
      </c>
      <c r="DX140" s="132" t="str">
        <f t="shared" ref="DX140" ca="1" si="316">IF(DT140&lt;&gt;"",IF(WEEKNUM(DT140)=WEEKNUM(TODAY()),"This Week",IF(WEEKNUM(DT140)=WEEKNUM(TODAY())+1,"Next Week",IF(WEEKNUM(DT140)=WEEKNUM(TODAY())-1,"Previous Week",""))),"")</f>
        <v/>
      </c>
      <c r="DY140" s="134" t="str">
        <f t="shared" si="313"/>
        <v/>
      </c>
      <c r="DZ140" s="95"/>
      <c r="EB140" s="8" t="str">
        <f t="shared" si="193"/>
        <v/>
      </c>
      <c r="EC140" s="8" t="str">
        <f>IF(O140&lt;&gt;"",VLOOKUP(O140,'Job Master'!$N$12:$O$18,2,0),"")</f>
        <v/>
      </c>
      <c r="ED140" s="8">
        <f t="shared" si="194"/>
        <v>19.5</v>
      </c>
      <c r="EE140" s="8">
        <f t="shared" si="195"/>
        <v>6</v>
      </c>
      <c r="EF140" s="8">
        <f t="shared" si="196"/>
        <v>-760.5</v>
      </c>
      <c r="EG140" s="8" t="str">
        <f t="shared" si="197"/>
        <v/>
      </c>
      <c r="EH140" s="8" t="str">
        <f t="shared" si="198"/>
        <v/>
      </c>
    </row>
    <row r="141" spans="2:138" x14ac:dyDescent="0.3">
      <c r="B141" s="112"/>
      <c r="C141" s="27"/>
      <c r="D141" s="7" t="str">
        <f t="shared" si="261"/>
        <v/>
      </c>
      <c r="E141" s="25"/>
      <c r="F141" s="7" t="str">
        <f t="shared" si="261"/>
        <v/>
      </c>
      <c r="G141" s="25"/>
      <c r="H141" s="7" t="str">
        <f t="shared" si="261"/>
        <v/>
      </c>
      <c r="I141" s="25"/>
      <c r="J141" s="7" t="str">
        <f t="shared" si="261"/>
        <v/>
      </c>
      <c r="K141" s="25"/>
      <c r="L141" s="7" t="str">
        <f t="shared" si="262"/>
        <v/>
      </c>
      <c r="M141" s="25"/>
      <c r="N141" s="7" t="str">
        <f t="shared" si="263"/>
        <v/>
      </c>
      <c r="O141" s="81"/>
      <c r="P141" s="81" t="str">
        <f t="shared" si="264"/>
        <v/>
      </c>
      <c r="Q141" s="81"/>
      <c r="R141" s="7" t="str">
        <f t="shared" si="265"/>
        <v/>
      </c>
      <c r="S141" s="25"/>
      <c r="T141" s="7" t="str">
        <f t="shared" si="266"/>
        <v/>
      </c>
      <c r="U141" s="25"/>
      <c r="V141" s="7" t="str">
        <f t="shared" si="267"/>
        <v/>
      </c>
      <c r="W141" s="25"/>
      <c r="X141" s="7" t="str">
        <f t="shared" si="268"/>
        <v/>
      </c>
      <c r="Y141" s="18" t="str">
        <f t="shared" si="269"/>
        <v/>
      </c>
      <c r="Z141" s="7" t="str">
        <f t="shared" si="270"/>
        <v/>
      </c>
      <c r="AA141" s="18" t="str">
        <f t="shared" si="271"/>
        <v/>
      </c>
      <c r="AB141" s="19" t="str">
        <f t="shared" si="272"/>
        <v/>
      </c>
      <c r="AC141" s="26"/>
      <c r="AD141" s="26"/>
      <c r="AE141" s="25"/>
      <c r="AF141" s="26"/>
      <c r="AG141" s="25"/>
      <c r="AH141" s="25"/>
      <c r="AI141" s="18" t="str">
        <f t="shared" si="209"/>
        <v/>
      </c>
      <c r="AJ141" s="25"/>
      <c r="AK141" s="18" t="str">
        <f t="shared" si="210"/>
        <v/>
      </c>
      <c r="AL141" s="79"/>
      <c r="AM141" s="126" t="str">
        <f t="shared" si="211"/>
        <v/>
      </c>
      <c r="AN141" s="128" t="str">
        <f>IF(AP141&lt;&gt;"",VLOOKUP($P141&amp;" | "&amp;AN$6,'Job Master'!$F$12:$J$102,5,0),"")</f>
        <v/>
      </c>
      <c r="AO141" s="19" t="str">
        <f>IF(AP141&lt;&gt;"",VLOOKUP($P141&amp;" | "&amp;AN$6,'Job Master'!$F$12:$J$102,3,0),"")</f>
        <v/>
      </c>
      <c r="AP141" s="19" t="str">
        <f>IFERROR(IF(AND(AW141&lt;&gt;"",VLOOKUP($P141&amp;" | "&amp;AN$6,'Job Master'!$F$12:$I$102,4,0)&lt;&gt;""),IF(WEEKDAY(AW141-VLOOKUP($P141&amp;" | "&amp;AN$6,'Job Master'!$F$12:$I$102,4,0))&lt;&gt;7,AW141-VLOOKUP($P141&amp;" | "&amp;AN$6,'Job Master'!$F$12:$I$102,4,0),AW141-VLOOKUP($P141&amp;" | "&amp;AN$6,'Job Master'!$F$12:$I$102,4,0)-1),""),"")</f>
        <v/>
      </c>
      <c r="AQ141" s="73"/>
      <c r="AR141" s="123" t="str">
        <f t="shared" si="273"/>
        <v/>
      </c>
      <c r="AS141" s="123" t="str">
        <f t="shared" si="274"/>
        <v/>
      </c>
      <c r="AT141" s="97" t="str">
        <f t="shared" ca="1" si="275"/>
        <v/>
      </c>
      <c r="AU141" s="98" t="str">
        <f>IF(AW141&lt;&gt;"",VLOOKUP($P141&amp;" | "&amp;AU$6,'Job Master'!$F$12:$J$102,5,0),"")</f>
        <v/>
      </c>
      <c r="AV141" s="19" t="str">
        <f>IF(AW141&lt;&gt;"",VLOOKUP($P141&amp;" | "&amp;AU$6,'Job Master'!$F$12:$J$102,3,0),"")</f>
        <v/>
      </c>
      <c r="AW141" s="19" t="str">
        <f>IFERROR(IF(AND(BD141&lt;&gt;"",VLOOKUP($P141&amp;" | "&amp;AU$6,'Job Master'!$F$12:$I$102,4,0)&lt;&gt;""),IF(WEEKDAY(BD141-VLOOKUP($P141&amp;" | "&amp;AU$6,'Job Master'!$F$12:$I$102,4,0))&lt;&gt;7,BD141-VLOOKUP($P141&amp;" | "&amp;AU$6,'Job Master'!$F$12:$I$102,4,0),BD141-VLOOKUP($P141&amp;" | "&amp;AU$6,'Job Master'!$F$12:$I$102,4,0)-1),""),"")</f>
        <v/>
      </c>
      <c r="AX141" s="73"/>
      <c r="AY141" s="123" t="str">
        <f t="shared" si="276"/>
        <v/>
      </c>
      <c r="AZ141" s="123" t="str">
        <f t="shared" si="277"/>
        <v/>
      </c>
      <c r="BA141" s="97" t="str">
        <f t="shared" ca="1" si="278"/>
        <v/>
      </c>
      <c r="BB141" s="98" t="str">
        <f>IF(BD141&lt;&gt;"",VLOOKUP($P141&amp;" | "&amp;BB$6,'Job Master'!$F$12:$J$102,5,0),"")</f>
        <v/>
      </c>
      <c r="BC141" s="19" t="str">
        <f>IF(BD141&lt;&gt;"",VLOOKUP($P141&amp;" | "&amp;BB$6,'Job Master'!$F$12:$J$102,3,0),"")</f>
        <v/>
      </c>
      <c r="BD141" s="19" t="str">
        <f>IFERROR(IF(AND(BK141&lt;&gt;"",VLOOKUP($P141&amp;" | "&amp;BB$6,'Job Master'!$F$12:$I$102,4,0)&lt;&gt;""),IF(WEEKDAY(BK141-VLOOKUP($P141&amp;" | "&amp;BB$6,'Job Master'!$F$12:$I$102,4,0))&lt;&gt;7,BK141-VLOOKUP($P141&amp;" | "&amp;BB$6,'Job Master'!$F$12:$I$102,4,0),BK141-VLOOKUP($P141&amp;" | "&amp;BB$6,'Job Master'!$F$12:$I$102,4,0)-1),""),"")</f>
        <v/>
      </c>
      <c r="BE141" s="73"/>
      <c r="BF141" s="123" t="str">
        <f t="shared" si="279"/>
        <v/>
      </c>
      <c r="BG141" s="123" t="str">
        <f t="shared" si="280"/>
        <v/>
      </c>
      <c r="BH141" s="97" t="str">
        <f t="shared" ca="1" si="281"/>
        <v/>
      </c>
      <c r="BI141" s="98" t="str">
        <f>IF(BK141&lt;&gt;"",VLOOKUP($P141&amp;" | "&amp;BI$6,'Job Master'!$F$12:$J$102,5,0),"")</f>
        <v/>
      </c>
      <c r="BJ141" s="19" t="str">
        <f>IF(BK141&lt;&gt;"",VLOOKUP($P141&amp;" | "&amp;BI$6,'Job Master'!$F$12:$J$102,3,0),"")</f>
        <v/>
      </c>
      <c r="BK141" s="19" t="str">
        <f>IFERROR(IF(AND(BR141&lt;&gt;"",VLOOKUP($P141&amp;" | "&amp;BI$6,'Job Master'!$F$12:$I$102,4,0)&lt;&gt;""),IF(WEEKDAY(BR141-VLOOKUP($P141&amp;" | "&amp;BI$6,'Job Master'!$F$12:$I$102,4,0))&lt;&gt;7,BR141-VLOOKUP($P141&amp;" | "&amp;BI$6,'Job Master'!$F$12:$I$102,4,0),BR141-VLOOKUP($P141&amp;" | "&amp;BI$6,'Job Master'!$F$12:$I$102,4,0)-1),""),"")</f>
        <v/>
      </c>
      <c r="BL141" s="73"/>
      <c r="BM141" s="123" t="str">
        <f t="shared" si="282"/>
        <v/>
      </c>
      <c r="BN141" s="123" t="str">
        <f t="shared" si="283"/>
        <v/>
      </c>
      <c r="BO141" s="97" t="str">
        <f t="shared" ca="1" si="284"/>
        <v/>
      </c>
      <c r="BP141" s="98" t="str">
        <f>IF(BR141&lt;&gt;"",VLOOKUP($P141&amp;" | "&amp;BP$6,'Job Master'!$F$12:$J$102,5,0),"")</f>
        <v/>
      </c>
      <c r="BQ141" s="19" t="str">
        <f>IF(BR141&lt;&gt;"",VLOOKUP($P141&amp;" | "&amp;BP$6,'Job Master'!$F$12:$J$102,3,0),"")</f>
        <v/>
      </c>
      <c r="BR141" s="19" t="str">
        <f>IFERROR(IF(AND(BY141&lt;&gt;"",VLOOKUP($P141&amp;" | "&amp;BP$6,'Job Master'!$F$12:$I$102,4,0)&lt;&gt;""),IF(WEEKDAY(BY141-VLOOKUP($P141&amp;" | "&amp;BP$6,'Job Master'!$F$12:$I$102,4,0))&lt;&gt;7,BY141-VLOOKUP($P141&amp;" | "&amp;BP$6,'Job Master'!$F$12:$I$102,4,0),BY141-VLOOKUP($P141&amp;" | "&amp;BP$6,'Job Master'!$F$12:$I$102,4,0)-1),""),"")</f>
        <v/>
      </c>
      <c r="BS141" s="73"/>
      <c r="BT141" s="123" t="str">
        <f t="shared" si="285"/>
        <v/>
      </c>
      <c r="BU141" s="123" t="str">
        <f t="shared" si="286"/>
        <v/>
      </c>
      <c r="BV141" s="97" t="str">
        <f t="shared" ca="1" si="287"/>
        <v/>
      </c>
      <c r="BW141" s="98" t="str">
        <f>IF(BY141&lt;&gt;"",VLOOKUP($P141&amp;" | "&amp;BW$6,'Job Master'!$F$12:$J$102,5,0),"")</f>
        <v/>
      </c>
      <c r="BX141" s="19" t="str">
        <f>IF(BY141&lt;&gt;"",VLOOKUP($P141&amp;" | "&amp;BW$6,'Job Master'!$F$12:$J$102,3,0),"")</f>
        <v/>
      </c>
      <c r="BY141" s="19" t="str">
        <f>IFERROR(IF(AND(CF141&lt;&gt;"",VLOOKUP($P141&amp;" | "&amp;BW$6,'Job Master'!$F$12:$I$102,4,0)&lt;&gt;""),IF(WEEKDAY(CF141-VLOOKUP($P141&amp;" | "&amp;BW$6,'Job Master'!$F$12:$I$102,4,0))&lt;&gt;7,CF141-VLOOKUP($P141&amp;" | "&amp;BW$6,'Job Master'!$F$12:$I$102,4,0),CF141-VLOOKUP($P141&amp;" | "&amp;BW$6,'Job Master'!$F$12:$I$102,4,0)-1),""),"")</f>
        <v/>
      </c>
      <c r="BZ141" s="73"/>
      <c r="CA141" s="123" t="str">
        <f t="shared" si="288"/>
        <v/>
      </c>
      <c r="CB141" s="123" t="str">
        <f t="shared" si="289"/>
        <v/>
      </c>
      <c r="CC141" s="97" t="str">
        <f t="shared" ca="1" si="290"/>
        <v/>
      </c>
      <c r="CD141" s="98" t="str">
        <f>IF(CF141&lt;&gt;"",VLOOKUP($P141&amp;" | "&amp;CD$6,'Job Master'!$F$12:$J$102,5,0),"")</f>
        <v/>
      </c>
      <c r="CE141" s="19" t="str">
        <f>IF(CF141&lt;&gt;"",VLOOKUP($P141&amp;" | "&amp;CD$6,'Job Master'!$F$12:$J$102,3,0),"")</f>
        <v/>
      </c>
      <c r="CF141" s="19" t="str">
        <f>IFERROR(IF(AND(CM141&lt;&gt;"",VLOOKUP($P141&amp;" | "&amp;CD$6,'Job Master'!$F$12:$I$102,4,0)&lt;&gt;""),IF(WEEKDAY(CM141-VLOOKUP($P141&amp;" | "&amp;CD$6,'Job Master'!$F$12:$I$102,4,0))&lt;&gt;7,CM141-VLOOKUP($P141&amp;" | "&amp;CD$6,'Job Master'!$F$12:$I$102,4,0),CM141-VLOOKUP($P141&amp;" | "&amp;CD$6,'Job Master'!$F$12:$I$102,4,0)-1),""),"")</f>
        <v/>
      </c>
      <c r="CG141" s="73"/>
      <c r="CH141" s="123" t="str">
        <f t="shared" si="291"/>
        <v/>
      </c>
      <c r="CI141" s="123" t="str">
        <f t="shared" si="292"/>
        <v/>
      </c>
      <c r="CJ141" s="97" t="str">
        <f t="shared" ca="1" si="293"/>
        <v/>
      </c>
      <c r="CK141" s="98" t="str">
        <f>IF(CM141&lt;&gt;"",VLOOKUP($P141&amp;" | "&amp;CK$6,'Job Master'!$F$12:$J$102,5,0),"")</f>
        <v/>
      </c>
      <c r="CL141" s="19" t="str">
        <f>IF(CM141&lt;&gt;"",VLOOKUP($P141&amp;" | "&amp;CK$6,'Job Master'!$F$12:$J$102,3,0),"")</f>
        <v/>
      </c>
      <c r="CM141" s="19" t="str">
        <f>IFERROR(IF(AND(CT141&lt;&gt;"",VLOOKUP($P141&amp;" | "&amp;CK$6,'Job Master'!$F$12:$I$102,4,0)&lt;&gt;""),IF(WEEKDAY(CT141-VLOOKUP($P141&amp;" | "&amp;CK$6,'Job Master'!$F$12:$I$102,4,0))&lt;&gt;7,CT141-VLOOKUP($P141&amp;" | "&amp;CK$6,'Job Master'!$F$12:$I$102,4,0),CT141-VLOOKUP($P141&amp;" | "&amp;CK$6,'Job Master'!$F$12:$I$102,4,0)-1),""),"")</f>
        <v/>
      </c>
      <c r="CN141" s="73"/>
      <c r="CO141" s="123" t="str">
        <f t="shared" si="294"/>
        <v/>
      </c>
      <c r="CP141" s="123" t="str">
        <f t="shared" si="295"/>
        <v/>
      </c>
      <c r="CQ141" s="97" t="str">
        <f t="shared" ca="1" si="296"/>
        <v/>
      </c>
      <c r="CR141" s="98" t="str">
        <f>IF(CT141&lt;&gt;"",VLOOKUP($P141&amp;" | "&amp;CR$6,'Job Master'!$F$12:$J$102,5,0),"")</f>
        <v/>
      </c>
      <c r="CS141" s="19" t="str">
        <f>IF(CT141&lt;&gt;"",VLOOKUP($P141&amp;" | "&amp;CR$6,'Job Master'!$F$12:$J$102,3,0),"")</f>
        <v/>
      </c>
      <c r="CT141" s="19" t="str">
        <f>IFERROR(IF(AND(DA141&lt;&gt;"",VLOOKUP($P141&amp;" | "&amp;CR$6,'Job Master'!$F$12:$I$102,4,0)&lt;&gt;""),IF(WEEKDAY(DA141-VLOOKUP($P141&amp;" | "&amp;CR$6,'Job Master'!$F$12:$I$102,4,0))&lt;&gt;7,DA141-VLOOKUP($P141&amp;" | "&amp;CR$6,'Job Master'!$F$12:$I$102,4,0),DA141-VLOOKUP($P141&amp;" | "&amp;CR$6,'Job Master'!$F$12:$I$102,4,0)-1),""),"")</f>
        <v/>
      </c>
      <c r="CU141" s="73"/>
      <c r="CV141" s="123" t="str">
        <f t="shared" si="297"/>
        <v/>
      </c>
      <c r="CW141" s="123" t="str">
        <f t="shared" si="298"/>
        <v/>
      </c>
      <c r="CX141" s="97" t="str">
        <f t="shared" ca="1" si="299"/>
        <v/>
      </c>
      <c r="CY141" s="98" t="str">
        <f>IF(DA141&lt;&gt;"",VLOOKUP($P141&amp;" | "&amp;CY$6,'Job Master'!$F$12:$J$102,5,0),"")</f>
        <v/>
      </c>
      <c r="CZ141" s="19" t="str">
        <f>IF(DA141&lt;&gt;"",VLOOKUP($P141&amp;" | "&amp;CY$6,'Job Master'!$F$12:$J$102,3,0),"")</f>
        <v/>
      </c>
      <c r="DA141" s="19" t="str">
        <f>IFERROR(IF(AND(DH141&lt;&gt;"",VLOOKUP($P141&amp;" | "&amp;CY$6,'Job Master'!$F$12:$I$102,4,0)&lt;&gt;""),IF(WEEKDAY(DH141-VLOOKUP($P141&amp;" | "&amp;CY$6,'Job Master'!$F$12:$I$102,4,0))&lt;&gt;7,DH141-VLOOKUP($P141&amp;" | "&amp;CY$6,'Job Master'!$F$12:$I$102,4,0),DH141-VLOOKUP($P141&amp;" | "&amp;CY$6,'Job Master'!$F$12:$I$102,4,0)-1),""),"")</f>
        <v/>
      </c>
      <c r="DB141" s="73"/>
      <c r="DC141" s="123" t="str">
        <f t="shared" si="300"/>
        <v/>
      </c>
      <c r="DD141" s="123" t="str">
        <f t="shared" si="301"/>
        <v/>
      </c>
      <c r="DE141" s="97" t="str">
        <f t="shared" ca="1" si="302"/>
        <v/>
      </c>
      <c r="DF141" s="98" t="str">
        <f>IF(DH141&lt;&gt;"",VLOOKUP($P141&amp;" | "&amp;DF$6,'Job Master'!$F$12:$J$102,5,0),"")</f>
        <v/>
      </c>
      <c r="DG141" s="19" t="str">
        <f>IF(DH141&lt;&gt;"",VLOOKUP($P141&amp;" | "&amp;DF$6,'Job Master'!$F$12:$J$102,3,0),"")</f>
        <v/>
      </c>
      <c r="DH141" s="19" t="str">
        <f>IFERROR(IF(AND(DO141&lt;&gt;"",VLOOKUP($P141&amp;" | "&amp;DF$6,'Job Master'!$F$12:$I$102,4,0)&lt;&gt;""),IF(WEEKDAY(DO141-VLOOKUP($P141&amp;" | "&amp;DF$6,'Job Master'!$F$12:$I$102,4,0))&lt;&gt;7,DO141-VLOOKUP($P141&amp;" | "&amp;DF$6,'Job Master'!$F$12:$I$102,4,0),DO141-VLOOKUP($P141&amp;" | "&amp;DF$6,'Job Master'!$F$12:$I$102,4,0)-1),""),"")</f>
        <v/>
      </c>
      <c r="DI141" s="73"/>
      <c r="DJ141" s="123" t="str">
        <f t="shared" si="303"/>
        <v/>
      </c>
      <c r="DK141" s="123" t="str">
        <f t="shared" si="304"/>
        <v/>
      </c>
      <c r="DL141" s="97" t="str">
        <f t="shared" ca="1" si="305"/>
        <v/>
      </c>
      <c r="DM141" s="98" t="str">
        <f>IF(DO141&lt;&gt;"",VLOOKUP($P141&amp;" | "&amp;DM$6,'Job Master'!$F$12:$J$102,5,0),"")</f>
        <v/>
      </c>
      <c r="DN141" s="19" t="str">
        <f>IF(DO141&lt;&gt;"",VLOOKUP($P141&amp;" | "&amp;DM$6,'Job Master'!$F$12:$J$102,3,0),"")</f>
        <v/>
      </c>
      <c r="DO141" s="19" t="str">
        <f>IFERROR(IF(AND(DT141&lt;&gt;"",VLOOKUP($P141&amp;" | "&amp;DM$6,'Job Master'!$F$12:$I$102,4,0)&lt;&gt;""),IF(WEEKDAY(DT141-VLOOKUP($P141&amp;" | "&amp;DM$6,'Job Master'!$F$12:$I$102,4,0))&lt;&gt;7,DT141-VLOOKUP($P141&amp;" | "&amp;DM$6,'Job Master'!$F$12:$I$102,4,0),DT141-VLOOKUP($P141&amp;" | "&amp;DM$6,'Job Master'!$F$12:$I$102,4,0)-1),""),"")</f>
        <v/>
      </c>
      <c r="DP141" s="73"/>
      <c r="DQ141" s="123" t="str">
        <f t="shared" si="306"/>
        <v/>
      </c>
      <c r="DR141" s="123" t="str">
        <f t="shared" si="307"/>
        <v/>
      </c>
      <c r="DS141" s="97" t="str">
        <f t="shared" ca="1" si="308"/>
        <v/>
      </c>
      <c r="DT141" s="70" t="str">
        <f t="shared" si="309"/>
        <v/>
      </c>
      <c r="DU141" s="90"/>
      <c r="DV141" s="123" t="str">
        <f t="shared" si="310"/>
        <v/>
      </c>
      <c r="DW141" s="123" t="str">
        <f t="shared" si="311"/>
        <v/>
      </c>
      <c r="DX141" s="132" t="str">
        <f t="shared" ref="DX141" ca="1" si="317">IF(DT141&lt;&gt;"",IF(WEEKNUM(DT141)=WEEKNUM(TODAY()),"This Week",IF(WEEKNUM(DT141)=WEEKNUM(TODAY())+1,"Next Week",IF(WEEKNUM(DT141)=WEEKNUM(TODAY())-1,"Previous Week",""))),"")</f>
        <v/>
      </c>
      <c r="DY141" s="134" t="str">
        <f t="shared" si="313"/>
        <v/>
      </c>
      <c r="DZ141" s="95"/>
      <c r="EB141" s="8" t="str">
        <f t="shared" si="193"/>
        <v/>
      </c>
      <c r="EC141" s="8" t="str">
        <f>IF(O141&lt;&gt;"",VLOOKUP(O141,'Job Master'!$N$12:$O$18,2,0),"")</f>
        <v/>
      </c>
      <c r="ED141" s="8">
        <f t="shared" si="194"/>
        <v>19.5</v>
      </c>
      <c r="EE141" s="8">
        <f t="shared" si="195"/>
        <v>6</v>
      </c>
      <c r="EF141" s="8">
        <f t="shared" si="196"/>
        <v>-766.5</v>
      </c>
      <c r="EG141" s="8" t="str">
        <f t="shared" si="197"/>
        <v/>
      </c>
      <c r="EH141" s="8" t="str">
        <f t="shared" si="198"/>
        <v/>
      </c>
    </row>
    <row r="142" spans="2:138" x14ac:dyDescent="0.3">
      <c r="B142" s="112"/>
      <c r="C142" s="27"/>
      <c r="D142" s="7" t="str">
        <f t="shared" si="261"/>
        <v/>
      </c>
      <c r="E142" s="25"/>
      <c r="F142" s="7" t="str">
        <f t="shared" si="261"/>
        <v/>
      </c>
      <c r="G142" s="25"/>
      <c r="H142" s="7" t="str">
        <f t="shared" si="261"/>
        <v/>
      </c>
      <c r="I142" s="25"/>
      <c r="J142" s="7" t="str">
        <f t="shared" si="261"/>
        <v/>
      </c>
      <c r="K142" s="25"/>
      <c r="L142" s="7" t="str">
        <f t="shared" si="262"/>
        <v/>
      </c>
      <c r="M142" s="25"/>
      <c r="N142" s="7" t="str">
        <f t="shared" si="263"/>
        <v/>
      </c>
      <c r="O142" s="81"/>
      <c r="P142" s="81" t="str">
        <f t="shared" si="264"/>
        <v/>
      </c>
      <c r="Q142" s="81"/>
      <c r="R142" s="7" t="str">
        <f t="shared" si="265"/>
        <v/>
      </c>
      <c r="S142" s="25"/>
      <c r="T142" s="7" t="str">
        <f t="shared" si="266"/>
        <v/>
      </c>
      <c r="U142" s="25"/>
      <c r="V142" s="7" t="str">
        <f t="shared" si="267"/>
        <v/>
      </c>
      <c r="W142" s="25"/>
      <c r="X142" s="7" t="str">
        <f t="shared" si="268"/>
        <v/>
      </c>
      <c r="Y142" s="18" t="str">
        <f t="shared" si="269"/>
        <v/>
      </c>
      <c r="Z142" s="7" t="str">
        <f t="shared" si="270"/>
        <v/>
      </c>
      <c r="AA142" s="18" t="str">
        <f t="shared" si="271"/>
        <v/>
      </c>
      <c r="AB142" s="19" t="str">
        <f t="shared" si="272"/>
        <v/>
      </c>
      <c r="AC142" s="26"/>
      <c r="AD142" s="26"/>
      <c r="AE142" s="25"/>
      <c r="AF142" s="26"/>
      <c r="AG142" s="25"/>
      <c r="AH142" s="25"/>
      <c r="AI142" s="18" t="str">
        <f t="shared" si="209"/>
        <v/>
      </c>
      <c r="AJ142" s="25"/>
      <c r="AK142" s="18" t="str">
        <f t="shared" si="210"/>
        <v/>
      </c>
      <c r="AL142" s="79"/>
      <c r="AM142" s="126" t="str">
        <f t="shared" si="211"/>
        <v/>
      </c>
      <c r="AN142" s="128" t="str">
        <f>IF(AP142&lt;&gt;"",VLOOKUP($P142&amp;" | "&amp;AN$6,'Job Master'!$F$12:$J$102,5,0),"")</f>
        <v/>
      </c>
      <c r="AO142" s="19" t="str">
        <f>IF(AP142&lt;&gt;"",VLOOKUP($P142&amp;" | "&amp;AN$6,'Job Master'!$F$12:$J$102,3,0),"")</f>
        <v/>
      </c>
      <c r="AP142" s="19" t="str">
        <f>IFERROR(IF(AND(AW142&lt;&gt;"",VLOOKUP($P142&amp;" | "&amp;AN$6,'Job Master'!$F$12:$I$102,4,0)&lt;&gt;""),IF(WEEKDAY(AW142-VLOOKUP($P142&amp;" | "&amp;AN$6,'Job Master'!$F$12:$I$102,4,0))&lt;&gt;7,AW142-VLOOKUP($P142&amp;" | "&amp;AN$6,'Job Master'!$F$12:$I$102,4,0),AW142-VLOOKUP($P142&amp;" | "&amp;AN$6,'Job Master'!$F$12:$I$102,4,0)-1),""),"")</f>
        <v/>
      </c>
      <c r="AQ142" s="73"/>
      <c r="AR142" s="123" t="str">
        <f t="shared" si="273"/>
        <v/>
      </c>
      <c r="AS142" s="123" t="str">
        <f t="shared" si="274"/>
        <v/>
      </c>
      <c r="AT142" s="97" t="str">
        <f t="shared" ca="1" si="275"/>
        <v/>
      </c>
      <c r="AU142" s="98" t="str">
        <f>IF(AW142&lt;&gt;"",VLOOKUP($P142&amp;" | "&amp;AU$6,'Job Master'!$F$12:$J$102,5,0),"")</f>
        <v/>
      </c>
      <c r="AV142" s="19" t="str">
        <f>IF(AW142&lt;&gt;"",VLOOKUP($P142&amp;" | "&amp;AU$6,'Job Master'!$F$12:$J$102,3,0),"")</f>
        <v/>
      </c>
      <c r="AW142" s="19" t="str">
        <f>IFERROR(IF(AND(BD142&lt;&gt;"",VLOOKUP($P142&amp;" | "&amp;AU$6,'Job Master'!$F$12:$I$102,4,0)&lt;&gt;""),IF(WEEKDAY(BD142-VLOOKUP($P142&amp;" | "&amp;AU$6,'Job Master'!$F$12:$I$102,4,0))&lt;&gt;7,BD142-VLOOKUP($P142&amp;" | "&amp;AU$6,'Job Master'!$F$12:$I$102,4,0),BD142-VLOOKUP($P142&amp;" | "&amp;AU$6,'Job Master'!$F$12:$I$102,4,0)-1),""),"")</f>
        <v/>
      </c>
      <c r="AX142" s="73"/>
      <c r="AY142" s="123" t="str">
        <f t="shared" si="276"/>
        <v/>
      </c>
      <c r="AZ142" s="123" t="str">
        <f t="shared" si="277"/>
        <v/>
      </c>
      <c r="BA142" s="97" t="str">
        <f t="shared" ca="1" si="278"/>
        <v/>
      </c>
      <c r="BB142" s="98" t="str">
        <f>IF(BD142&lt;&gt;"",VLOOKUP($P142&amp;" | "&amp;BB$6,'Job Master'!$F$12:$J$102,5,0),"")</f>
        <v/>
      </c>
      <c r="BC142" s="19" t="str">
        <f>IF(BD142&lt;&gt;"",VLOOKUP($P142&amp;" | "&amp;BB$6,'Job Master'!$F$12:$J$102,3,0),"")</f>
        <v/>
      </c>
      <c r="BD142" s="19" t="str">
        <f>IFERROR(IF(AND(BK142&lt;&gt;"",VLOOKUP($P142&amp;" | "&amp;BB$6,'Job Master'!$F$12:$I$102,4,0)&lt;&gt;""),IF(WEEKDAY(BK142-VLOOKUP($P142&amp;" | "&amp;BB$6,'Job Master'!$F$12:$I$102,4,0))&lt;&gt;7,BK142-VLOOKUP($P142&amp;" | "&amp;BB$6,'Job Master'!$F$12:$I$102,4,0),BK142-VLOOKUP($P142&amp;" | "&amp;BB$6,'Job Master'!$F$12:$I$102,4,0)-1),""),"")</f>
        <v/>
      </c>
      <c r="BE142" s="73"/>
      <c r="BF142" s="123" t="str">
        <f t="shared" si="279"/>
        <v/>
      </c>
      <c r="BG142" s="123" t="str">
        <f t="shared" si="280"/>
        <v/>
      </c>
      <c r="BH142" s="97" t="str">
        <f t="shared" ca="1" si="281"/>
        <v/>
      </c>
      <c r="BI142" s="98" t="str">
        <f>IF(BK142&lt;&gt;"",VLOOKUP($P142&amp;" | "&amp;BI$6,'Job Master'!$F$12:$J$102,5,0),"")</f>
        <v/>
      </c>
      <c r="BJ142" s="19" t="str">
        <f>IF(BK142&lt;&gt;"",VLOOKUP($P142&amp;" | "&amp;BI$6,'Job Master'!$F$12:$J$102,3,0),"")</f>
        <v/>
      </c>
      <c r="BK142" s="19" t="str">
        <f>IFERROR(IF(AND(BR142&lt;&gt;"",VLOOKUP($P142&amp;" | "&amp;BI$6,'Job Master'!$F$12:$I$102,4,0)&lt;&gt;""),IF(WEEKDAY(BR142-VLOOKUP($P142&amp;" | "&amp;BI$6,'Job Master'!$F$12:$I$102,4,0))&lt;&gt;7,BR142-VLOOKUP($P142&amp;" | "&amp;BI$6,'Job Master'!$F$12:$I$102,4,0),BR142-VLOOKUP($P142&amp;" | "&amp;BI$6,'Job Master'!$F$12:$I$102,4,0)-1),""),"")</f>
        <v/>
      </c>
      <c r="BL142" s="73"/>
      <c r="BM142" s="123" t="str">
        <f t="shared" si="282"/>
        <v/>
      </c>
      <c r="BN142" s="123" t="str">
        <f t="shared" si="283"/>
        <v/>
      </c>
      <c r="BO142" s="97" t="str">
        <f t="shared" ca="1" si="284"/>
        <v/>
      </c>
      <c r="BP142" s="98" t="str">
        <f>IF(BR142&lt;&gt;"",VLOOKUP($P142&amp;" | "&amp;BP$6,'Job Master'!$F$12:$J$102,5,0),"")</f>
        <v/>
      </c>
      <c r="BQ142" s="19" t="str">
        <f>IF(BR142&lt;&gt;"",VLOOKUP($P142&amp;" | "&amp;BP$6,'Job Master'!$F$12:$J$102,3,0),"")</f>
        <v/>
      </c>
      <c r="BR142" s="19" t="str">
        <f>IFERROR(IF(AND(BY142&lt;&gt;"",VLOOKUP($P142&amp;" | "&amp;BP$6,'Job Master'!$F$12:$I$102,4,0)&lt;&gt;""),IF(WEEKDAY(BY142-VLOOKUP($P142&amp;" | "&amp;BP$6,'Job Master'!$F$12:$I$102,4,0))&lt;&gt;7,BY142-VLOOKUP($P142&amp;" | "&amp;BP$6,'Job Master'!$F$12:$I$102,4,0),BY142-VLOOKUP($P142&amp;" | "&amp;BP$6,'Job Master'!$F$12:$I$102,4,0)-1),""),"")</f>
        <v/>
      </c>
      <c r="BS142" s="73"/>
      <c r="BT142" s="123" t="str">
        <f t="shared" si="285"/>
        <v/>
      </c>
      <c r="BU142" s="123" t="str">
        <f t="shared" si="286"/>
        <v/>
      </c>
      <c r="BV142" s="97" t="str">
        <f t="shared" ca="1" si="287"/>
        <v/>
      </c>
      <c r="BW142" s="98" t="str">
        <f>IF(BY142&lt;&gt;"",VLOOKUP($P142&amp;" | "&amp;BW$6,'Job Master'!$F$12:$J$102,5,0),"")</f>
        <v/>
      </c>
      <c r="BX142" s="19" t="str">
        <f>IF(BY142&lt;&gt;"",VLOOKUP($P142&amp;" | "&amp;BW$6,'Job Master'!$F$12:$J$102,3,0),"")</f>
        <v/>
      </c>
      <c r="BY142" s="19" t="str">
        <f>IFERROR(IF(AND(CF142&lt;&gt;"",VLOOKUP($P142&amp;" | "&amp;BW$6,'Job Master'!$F$12:$I$102,4,0)&lt;&gt;""),IF(WEEKDAY(CF142-VLOOKUP($P142&amp;" | "&amp;BW$6,'Job Master'!$F$12:$I$102,4,0))&lt;&gt;7,CF142-VLOOKUP($P142&amp;" | "&amp;BW$6,'Job Master'!$F$12:$I$102,4,0),CF142-VLOOKUP($P142&amp;" | "&amp;BW$6,'Job Master'!$F$12:$I$102,4,0)-1),""),"")</f>
        <v/>
      </c>
      <c r="BZ142" s="73"/>
      <c r="CA142" s="123" t="str">
        <f t="shared" si="288"/>
        <v/>
      </c>
      <c r="CB142" s="123" t="str">
        <f t="shared" si="289"/>
        <v/>
      </c>
      <c r="CC142" s="97" t="str">
        <f t="shared" ca="1" si="290"/>
        <v/>
      </c>
      <c r="CD142" s="98" t="str">
        <f>IF(CF142&lt;&gt;"",VLOOKUP($P142&amp;" | "&amp;CD$6,'Job Master'!$F$12:$J$102,5,0),"")</f>
        <v/>
      </c>
      <c r="CE142" s="19" t="str">
        <f>IF(CF142&lt;&gt;"",VLOOKUP($P142&amp;" | "&amp;CD$6,'Job Master'!$F$12:$J$102,3,0),"")</f>
        <v/>
      </c>
      <c r="CF142" s="19" t="str">
        <f>IFERROR(IF(AND(CM142&lt;&gt;"",VLOOKUP($P142&amp;" | "&amp;CD$6,'Job Master'!$F$12:$I$102,4,0)&lt;&gt;""),IF(WEEKDAY(CM142-VLOOKUP($P142&amp;" | "&amp;CD$6,'Job Master'!$F$12:$I$102,4,0))&lt;&gt;7,CM142-VLOOKUP($P142&amp;" | "&amp;CD$6,'Job Master'!$F$12:$I$102,4,0),CM142-VLOOKUP($P142&amp;" | "&amp;CD$6,'Job Master'!$F$12:$I$102,4,0)-1),""),"")</f>
        <v/>
      </c>
      <c r="CG142" s="73"/>
      <c r="CH142" s="123" t="str">
        <f t="shared" si="291"/>
        <v/>
      </c>
      <c r="CI142" s="123" t="str">
        <f t="shared" si="292"/>
        <v/>
      </c>
      <c r="CJ142" s="97" t="str">
        <f t="shared" ca="1" si="293"/>
        <v/>
      </c>
      <c r="CK142" s="98" t="str">
        <f>IF(CM142&lt;&gt;"",VLOOKUP($P142&amp;" | "&amp;CK$6,'Job Master'!$F$12:$J$102,5,0),"")</f>
        <v/>
      </c>
      <c r="CL142" s="19" t="str">
        <f>IF(CM142&lt;&gt;"",VLOOKUP($P142&amp;" | "&amp;CK$6,'Job Master'!$F$12:$J$102,3,0),"")</f>
        <v/>
      </c>
      <c r="CM142" s="19" t="str">
        <f>IFERROR(IF(AND(CT142&lt;&gt;"",VLOOKUP($P142&amp;" | "&amp;CK$6,'Job Master'!$F$12:$I$102,4,0)&lt;&gt;""),IF(WEEKDAY(CT142-VLOOKUP($P142&amp;" | "&amp;CK$6,'Job Master'!$F$12:$I$102,4,0))&lt;&gt;7,CT142-VLOOKUP($P142&amp;" | "&amp;CK$6,'Job Master'!$F$12:$I$102,4,0),CT142-VLOOKUP($P142&amp;" | "&amp;CK$6,'Job Master'!$F$12:$I$102,4,0)-1),""),"")</f>
        <v/>
      </c>
      <c r="CN142" s="73"/>
      <c r="CO142" s="123" t="str">
        <f t="shared" si="294"/>
        <v/>
      </c>
      <c r="CP142" s="123" t="str">
        <f t="shared" si="295"/>
        <v/>
      </c>
      <c r="CQ142" s="97" t="str">
        <f t="shared" ca="1" si="296"/>
        <v/>
      </c>
      <c r="CR142" s="98" t="str">
        <f>IF(CT142&lt;&gt;"",VLOOKUP($P142&amp;" | "&amp;CR$6,'Job Master'!$F$12:$J$102,5,0),"")</f>
        <v/>
      </c>
      <c r="CS142" s="19" t="str">
        <f>IF(CT142&lt;&gt;"",VLOOKUP($P142&amp;" | "&amp;CR$6,'Job Master'!$F$12:$J$102,3,0),"")</f>
        <v/>
      </c>
      <c r="CT142" s="19" t="str">
        <f>IFERROR(IF(AND(DA142&lt;&gt;"",VLOOKUP($P142&amp;" | "&amp;CR$6,'Job Master'!$F$12:$I$102,4,0)&lt;&gt;""),IF(WEEKDAY(DA142-VLOOKUP($P142&amp;" | "&amp;CR$6,'Job Master'!$F$12:$I$102,4,0))&lt;&gt;7,DA142-VLOOKUP($P142&amp;" | "&amp;CR$6,'Job Master'!$F$12:$I$102,4,0),DA142-VLOOKUP($P142&amp;" | "&amp;CR$6,'Job Master'!$F$12:$I$102,4,0)-1),""),"")</f>
        <v/>
      </c>
      <c r="CU142" s="73"/>
      <c r="CV142" s="123" t="str">
        <f t="shared" si="297"/>
        <v/>
      </c>
      <c r="CW142" s="123" t="str">
        <f t="shared" si="298"/>
        <v/>
      </c>
      <c r="CX142" s="97" t="str">
        <f t="shared" ca="1" si="299"/>
        <v/>
      </c>
      <c r="CY142" s="98" t="str">
        <f>IF(DA142&lt;&gt;"",VLOOKUP($P142&amp;" | "&amp;CY$6,'Job Master'!$F$12:$J$102,5,0),"")</f>
        <v/>
      </c>
      <c r="CZ142" s="19" t="str">
        <f>IF(DA142&lt;&gt;"",VLOOKUP($P142&amp;" | "&amp;CY$6,'Job Master'!$F$12:$J$102,3,0),"")</f>
        <v/>
      </c>
      <c r="DA142" s="19" t="str">
        <f>IFERROR(IF(AND(DH142&lt;&gt;"",VLOOKUP($P142&amp;" | "&amp;CY$6,'Job Master'!$F$12:$I$102,4,0)&lt;&gt;""),IF(WEEKDAY(DH142-VLOOKUP($P142&amp;" | "&amp;CY$6,'Job Master'!$F$12:$I$102,4,0))&lt;&gt;7,DH142-VLOOKUP($P142&amp;" | "&amp;CY$6,'Job Master'!$F$12:$I$102,4,0),DH142-VLOOKUP($P142&amp;" | "&amp;CY$6,'Job Master'!$F$12:$I$102,4,0)-1),""),"")</f>
        <v/>
      </c>
      <c r="DB142" s="73"/>
      <c r="DC142" s="123" t="str">
        <f t="shared" si="300"/>
        <v/>
      </c>
      <c r="DD142" s="123" t="str">
        <f t="shared" si="301"/>
        <v/>
      </c>
      <c r="DE142" s="97" t="str">
        <f t="shared" ca="1" si="302"/>
        <v/>
      </c>
      <c r="DF142" s="98" t="str">
        <f>IF(DH142&lt;&gt;"",VLOOKUP($P142&amp;" | "&amp;DF$6,'Job Master'!$F$12:$J$102,5,0),"")</f>
        <v/>
      </c>
      <c r="DG142" s="19" t="str">
        <f>IF(DH142&lt;&gt;"",VLOOKUP($P142&amp;" | "&amp;DF$6,'Job Master'!$F$12:$J$102,3,0),"")</f>
        <v/>
      </c>
      <c r="DH142" s="19" t="str">
        <f>IFERROR(IF(AND(DO142&lt;&gt;"",VLOOKUP($P142&amp;" | "&amp;DF$6,'Job Master'!$F$12:$I$102,4,0)&lt;&gt;""),IF(WEEKDAY(DO142-VLOOKUP($P142&amp;" | "&amp;DF$6,'Job Master'!$F$12:$I$102,4,0))&lt;&gt;7,DO142-VLOOKUP($P142&amp;" | "&amp;DF$6,'Job Master'!$F$12:$I$102,4,0),DO142-VLOOKUP($P142&amp;" | "&amp;DF$6,'Job Master'!$F$12:$I$102,4,0)-1),""),"")</f>
        <v/>
      </c>
      <c r="DI142" s="73"/>
      <c r="DJ142" s="123" t="str">
        <f t="shared" si="303"/>
        <v/>
      </c>
      <c r="DK142" s="123" t="str">
        <f t="shared" si="304"/>
        <v/>
      </c>
      <c r="DL142" s="97" t="str">
        <f t="shared" ca="1" si="305"/>
        <v/>
      </c>
      <c r="DM142" s="98" t="str">
        <f>IF(DO142&lt;&gt;"",VLOOKUP($P142&amp;" | "&amp;DM$6,'Job Master'!$F$12:$J$102,5,0),"")</f>
        <v/>
      </c>
      <c r="DN142" s="19" t="str">
        <f>IF(DO142&lt;&gt;"",VLOOKUP($P142&amp;" | "&amp;DM$6,'Job Master'!$F$12:$J$102,3,0),"")</f>
        <v/>
      </c>
      <c r="DO142" s="19" t="str">
        <f>IFERROR(IF(AND(DT142&lt;&gt;"",VLOOKUP($P142&amp;" | "&amp;DM$6,'Job Master'!$F$12:$I$102,4,0)&lt;&gt;""),IF(WEEKDAY(DT142-VLOOKUP($P142&amp;" | "&amp;DM$6,'Job Master'!$F$12:$I$102,4,0))&lt;&gt;7,DT142-VLOOKUP($P142&amp;" | "&amp;DM$6,'Job Master'!$F$12:$I$102,4,0),DT142-VLOOKUP($P142&amp;" | "&amp;DM$6,'Job Master'!$F$12:$I$102,4,0)-1),""),"")</f>
        <v/>
      </c>
      <c r="DP142" s="73"/>
      <c r="DQ142" s="123" t="str">
        <f t="shared" si="306"/>
        <v/>
      </c>
      <c r="DR142" s="123" t="str">
        <f t="shared" si="307"/>
        <v/>
      </c>
      <c r="DS142" s="97" t="str">
        <f t="shared" ca="1" si="308"/>
        <v/>
      </c>
      <c r="DT142" s="70" t="str">
        <f t="shared" si="309"/>
        <v/>
      </c>
      <c r="DU142" s="90"/>
      <c r="DV142" s="123" t="str">
        <f t="shared" si="310"/>
        <v/>
      </c>
      <c r="DW142" s="123" t="str">
        <f t="shared" si="311"/>
        <v/>
      </c>
      <c r="DX142" s="132" t="str">
        <f t="shared" ref="DX142" ca="1" si="318">IF(DT142&lt;&gt;"",IF(WEEKNUM(DT142)=WEEKNUM(TODAY()),"This Week",IF(WEEKNUM(DT142)=WEEKNUM(TODAY())+1,"Next Week",IF(WEEKNUM(DT142)=WEEKNUM(TODAY())-1,"Previous Week",""))),"")</f>
        <v/>
      </c>
      <c r="DY142" s="134" t="str">
        <f t="shared" si="313"/>
        <v/>
      </c>
      <c r="DZ142" s="95"/>
      <c r="EB142" s="8" t="str">
        <f t="shared" ref="EB142:EB205" si="319">IF(Y142&lt;&gt;"",Y142,"")</f>
        <v/>
      </c>
      <c r="EC142" s="8" t="str">
        <f>IF(O142&lt;&gt;"",VLOOKUP(O142,'Job Master'!$N$12:$O$18,2,0),"")</f>
        <v/>
      </c>
      <c r="ED142" s="8">
        <f t="shared" ref="ED142:ED205" si="320">IF(EC142&lt;&gt;"",IF(EF142&gt;EC142,EB142,MOD(EB142,EC142)),ED141)</f>
        <v>19.5</v>
      </c>
      <c r="EE142" s="8">
        <f t="shared" ref="EE142:EE205" si="321">IF(EC142&lt;&gt;"",EC142,IF(EE141&lt;&gt;"",EE141,""))</f>
        <v>6</v>
      </c>
      <c r="EF142" s="8">
        <f t="shared" ref="EF142:EF205" si="322">IF(EC142&lt;&gt;"",EB142,IF(EF141&lt;&gt;"",EF141-EE142,""))</f>
        <v>-772.5</v>
      </c>
      <c r="EG142" s="8" t="str">
        <f t="shared" ref="EG142:EG205" si="323">IF(EF141&lt;&gt;0,IF(EF142&gt;0,EF142,""),IF(EF142&lt;&gt;"",IF(EF142&gt;0,EF142,""),""))</f>
        <v/>
      </c>
      <c r="EH142" s="8" t="str">
        <f t="shared" ref="EH142:EH205" si="324">IF(EG142&lt;&gt;"",IF(EG142&gt;=EE142,EE142,MOD(ED142,EE142)),"")</f>
        <v/>
      </c>
    </row>
    <row r="143" spans="2:138" x14ac:dyDescent="0.3">
      <c r="B143" s="112"/>
      <c r="C143" s="27"/>
      <c r="D143" s="7" t="str">
        <f t="shared" si="261"/>
        <v/>
      </c>
      <c r="E143" s="25"/>
      <c r="F143" s="7" t="str">
        <f t="shared" si="261"/>
        <v/>
      </c>
      <c r="G143" s="25"/>
      <c r="H143" s="7" t="str">
        <f t="shared" si="261"/>
        <v/>
      </c>
      <c r="I143" s="25"/>
      <c r="J143" s="7" t="str">
        <f t="shared" si="261"/>
        <v/>
      </c>
      <c r="K143" s="25"/>
      <c r="L143" s="7" t="str">
        <f t="shared" si="262"/>
        <v/>
      </c>
      <c r="M143" s="25"/>
      <c r="N143" s="7" t="str">
        <f t="shared" si="263"/>
        <v/>
      </c>
      <c r="O143" s="81"/>
      <c r="P143" s="81" t="str">
        <f t="shared" si="264"/>
        <v/>
      </c>
      <c r="Q143" s="81"/>
      <c r="R143" s="7" t="str">
        <f t="shared" si="265"/>
        <v/>
      </c>
      <c r="S143" s="25"/>
      <c r="T143" s="7" t="str">
        <f t="shared" si="266"/>
        <v/>
      </c>
      <c r="U143" s="25"/>
      <c r="V143" s="7" t="str">
        <f t="shared" si="267"/>
        <v/>
      </c>
      <c r="W143" s="25"/>
      <c r="X143" s="7" t="str">
        <f t="shared" si="268"/>
        <v/>
      </c>
      <c r="Y143" s="18" t="str">
        <f t="shared" si="269"/>
        <v/>
      </c>
      <c r="Z143" s="7" t="str">
        <f t="shared" si="270"/>
        <v/>
      </c>
      <c r="AA143" s="18" t="str">
        <f t="shared" si="271"/>
        <v/>
      </c>
      <c r="AB143" s="19" t="str">
        <f t="shared" si="272"/>
        <v/>
      </c>
      <c r="AC143" s="26"/>
      <c r="AD143" s="26"/>
      <c r="AE143" s="25"/>
      <c r="AF143" s="26"/>
      <c r="AG143" s="25"/>
      <c r="AH143" s="25"/>
      <c r="AI143" s="18" t="str">
        <f t="shared" si="209"/>
        <v/>
      </c>
      <c r="AJ143" s="25"/>
      <c r="AK143" s="18" t="str">
        <f t="shared" si="210"/>
        <v/>
      </c>
      <c r="AL143" s="79"/>
      <c r="AM143" s="126" t="str">
        <f t="shared" si="211"/>
        <v/>
      </c>
      <c r="AN143" s="128" t="str">
        <f>IF(AP143&lt;&gt;"",VLOOKUP($P143&amp;" | "&amp;AN$6,'Job Master'!$F$12:$J$102,5,0),"")</f>
        <v/>
      </c>
      <c r="AO143" s="19" t="str">
        <f>IF(AP143&lt;&gt;"",VLOOKUP($P143&amp;" | "&amp;AN$6,'Job Master'!$F$12:$J$102,3,0),"")</f>
        <v/>
      </c>
      <c r="AP143" s="19" t="str">
        <f>IFERROR(IF(AND(AW143&lt;&gt;"",VLOOKUP($P143&amp;" | "&amp;AN$6,'Job Master'!$F$12:$I$102,4,0)&lt;&gt;""),IF(WEEKDAY(AW143-VLOOKUP($P143&amp;" | "&amp;AN$6,'Job Master'!$F$12:$I$102,4,0))&lt;&gt;7,AW143-VLOOKUP($P143&amp;" | "&amp;AN$6,'Job Master'!$F$12:$I$102,4,0),AW143-VLOOKUP($P143&amp;" | "&amp;AN$6,'Job Master'!$F$12:$I$102,4,0)-1),""),"")</f>
        <v/>
      </c>
      <c r="AQ143" s="73"/>
      <c r="AR143" s="123" t="str">
        <f t="shared" si="273"/>
        <v/>
      </c>
      <c r="AS143" s="123" t="str">
        <f t="shared" si="274"/>
        <v/>
      </c>
      <c r="AT143" s="97" t="str">
        <f t="shared" ca="1" si="275"/>
        <v/>
      </c>
      <c r="AU143" s="98" t="str">
        <f>IF(AW143&lt;&gt;"",VLOOKUP($P143&amp;" | "&amp;AU$6,'Job Master'!$F$12:$J$102,5,0),"")</f>
        <v/>
      </c>
      <c r="AV143" s="19" t="str">
        <f>IF(AW143&lt;&gt;"",VLOOKUP($P143&amp;" | "&amp;AU$6,'Job Master'!$F$12:$J$102,3,0),"")</f>
        <v/>
      </c>
      <c r="AW143" s="19" t="str">
        <f>IFERROR(IF(AND(BD143&lt;&gt;"",VLOOKUP($P143&amp;" | "&amp;AU$6,'Job Master'!$F$12:$I$102,4,0)&lt;&gt;""),IF(WEEKDAY(BD143-VLOOKUP($P143&amp;" | "&amp;AU$6,'Job Master'!$F$12:$I$102,4,0))&lt;&gt;7,BD143-VLOOKUP($P143&amp;" | "&amp;AU$6,'Job Master'!$F$12:$I$102,4,0),BD143-VLOOKUP($P143&amp;" | "&amp;AU$6,'Job Master'!$F$12:$I$102,4,0)-1),""),"")</f>
        <v/>
      </c>
      <c r="AX143" s="73"/>
      <c r="AY143" s="123" t="str">
        <f t="shared" si="276"/>
        <v/>
      </c>
      <c r="AZ143" s="123" t="str">
        <f t="shared" si="277"/>
        <v/>
      </c>
      <c r="BA143" s="97" t="str">
        <f t="shared" ca="1" si="278"/>
        <v/>
      </c>
      <c r="BB143" s="98" t="str">
        <f>IF(BD143&lt;&gt;"",VLOOKUP($P143&amp;" | "&amp;BB$6,'Job Master'!$F$12:$J$102,5,0),"")</f>
        <v/>
      </c>
      <c r="BC143" s="19" t="str">
        <f>IF(BD143&lt;&gt;"",VLOOKUP($P143&amp;" | "&amp;BB$6,'Job Master'!$F$12:$J$102,3,0),"")</f>
        <v/>
      </c>
      <c r="BD143" s="19" t="str">
        <f>IFERROR(IF(AND(BK143&lt;&gt;"",VLOOKUP($P143&amp;" | "&amp;BB$6,'Job Master'!$F$12:$I$102,4,0)&lt;&gt;""),IF(WEEKDAY(BK143-VLOOKUP($P143&amp;" | "&amp;BB$6,'Job Master'!$F$12:$I$102,4,0))&lt;&gt;7,BK143-VLOOKUP($P143&amp;" | "&amp;BB$6,'Job Master'!$F$12:$I$102,4,0),BK143-VLOOKUP($P143&amp;" | "&amp;BB$6,'Job Master'!$F$12:$I$102,4,0)-1),""),"")</f>
        <v/>
      </c>
      <c r="BE143" s="73"/>
      <c r="BF143" s="123" t="str">
        <f t="shared" si="279"/>
        <v/>
      </c>
      <c r="BG143" s="123" t="str">
        <f t="shared" si="280"/>
        <v/>
      </c>
      <c r="BH143" s="97" t="str">
        <f t="shared" ca="1" si="281"/>
        <v/>
      </c>
      <c r="BI143" s="98" t="str">
        <f>IF(BK143&lt;&gt;"",VLOOKUP($P143&amp;" | "&amp;BI$6,'Job Master'!$F$12:$J$102,5,0),"")</f>
        <v/>
      </c>
      <c r="BJ143" s="19" t="str">
        <f>IF(BK143&lt;&gt;"",VLOOKUP($P143&amp;" | "&amp;BI$6,'Job Master'!$F$12:$J$102,3,0),"")</f>
        <v/>
      </c>
      <c r="BK143" s="19" t="str">
        <f>IFERROR(IF(AND(BR143&lt;&gt;"",VLOOKUP($P143&amp;" | "&amp;BI$6,'Job Master'!$F$12:$I$102,4,0)&lt;&gt;""),IF(WEEKDAY(BR143-VLOOKUP($P143&amp;" | "&amp;BI$6,'Job Master'!$F$12:$I$102,4,0))&lt;&gt;7,BR143-VLOOKUP($P143&amp;" | "&amp;BI$6,'Job Master'!$F$12:$I$102,4,0),BR143-VLOOKUP($P143&amp;" | "&amp;BI$6,'Job Master'!$F$12:$I$102,4,0)-1),""),"")</f>
        <v/>
      </c>
      <c r="BL143" s="73"/>
      <c r="BM143" s="123" t="str">
        <f t="shared" si="282"/>
        <v/>
      </c>
      <c r="BN143" s="123" t="str">
        <f t="shared" si="283"/>
        <v/>
      </c>
      <c r="BO143" s="97" t="str">
        <f t="shared" ca="1" si="284"/>
        <v/>
      </c>
      <c r="BP143" s="98" t="str">
        <f>IF(BR143&lt;&gt;"",VLOOKUP($P143&amp;" | "&amp;BP$6,'Job Master'!$F$12:$J$102,5,0),"")</f>
        <v/>
      </c>
      <c r="BQ143" s="19" t="str">
        <f>IF(BR143&lt;&gt;"",VLOOKUP($P143&amp;" | "&amp;BP$6,'Job Master'!$F$12:$J$102,3,0),"")</f>
        <v/>
      </c>
      <c r="BR143" s="19" t="str">
        <f>IFERROR(IF(AND(BY143&lt;&gt;"",VLOOKUP($P143&amp;" | "&amp;BP$6,'Job Master'!$F$12:$I$102,4,0)&lt;&gt;""),IF(WEEKDAY(BY143-VLOOKUP($P143&amp;" | "&amp;BP$6,'Job Master'!$F$12:$I$102,4,0))&lt;&gt;7,BY143-VLOOKUP($P143&amp;" | "&amp;BP$6,'Job Master'!$F$12:$I$102,4,0),BY143-VLOOKUP($P143&amp;" | "&amp;BP$6,'Job Master'!$F$12:$I$102,4,0)-1),""),"")</f>
        <v/>
      </c>
      <c r="BS143" s="73"/>
      <c r="BT143" s="123" t="str">
        <f t="shared" si="285"/>
        <v/>
      </c>
      <c r="BU143" s="123" t="str">
        <f t="shared" si="286"/>
        <v/>
      </c>
      <c r="BV143" s="97" t="str">
        <f t="shared" ca="1" si="287"/>
        <v/>
      </c>
      <c r="BW143" s="98" t="str">
        <f>IF(BY143&lt;&gt;"",VLOOKUP($P143&amp;" | "&amp;BW$6,'Job Master'!$F$12:$J$102,5,0),"")</f>
        <v/>
      </c>
      <c r="BX143" s="19" t="str">
        <f>IF(BY143&lt;&gt;"",VLOOKUP($P143&amp;" | "&amp;BW$6,'Job Master'!$F$12:$J$102,3,0),"")</f>
        <v/>
      </c>
      <c r="BY143" s="19" t="str">
        <f>IFERROR(IF(AND(CF143&lt;&gt;"",VLOOKUP($P143&amp;" | "&amp;BW$6,'Job Master'!$F$12:$I$102,4,0)&lt;&gt;""),IF(WEEKDAY(CF143-VLOOKUP($P143&amp;" | "&amp;BW$6,'Job Master'!$F$12:$I$102,4,0))&lt;&gt;7,CF143-VLOOKUP($P143&amp;" | "&amp;BW$6,'Job Master'!$F$12:$I$102,4,0),CF143-VLOOKUP($P143&amp;" | "&amp;BW$6,'Job Master'!$F$12:$I$102,4,0)-1),""),"")</f>
        <v/>
      </c>
      <c r="BZ143" s="73"/>
      <c r="CA143" s="123" t="str">
        <f t="shared" si="288"/>
        <v/>
      </c>
      <c r="CB143" s="123" t="str">
        <f t="shared" si="289"/>
        <v/>
      </c>
      <c r="CC143" s="97" t="str">
        <f t="shared" ca="1" si="290"/>
        <v/>
      </c>
      <c r="CD143" s="98" t="str">
        <f>IF(CF143&lt;&gt;"",VLOOKUP($P143&amp;" | "&amp;CD$6,'Job Master'!$F$12:$J$102,5,0),"")</f>
        <v/>
      </c>
      <c r="CE143" s="19" t="str">
        <f>IF(CF143&lt;&gt;"",VLOOKUP($P143&amp;" | "&amp;CD$6,'Job Master'!$F$12:$J$102,3,0),"")</f>
        <v/>
      </c>
      <c r="CF143" s="19" t="str">
        <f>IFERROR(IF(AND(CM143&lt;&gt;"",VLOOKUP($P143&amp;" | "&amp;CD$6,'Job Master'!$F$12:$I$102,4,0)&lt;&gt;""),IF(WEEKDAY(CM143-VLOOKUP($P143&amp;" | "&amp;CD$6,'Job Master'!$F$12:$I$102,4,0))&lt;&gt;7,CM143-VLOOKUP($P143&amp;" | "&amp;CD$6,'Job Master'!$F$12:$I$102,4,0),CM143-VLOOKUP($P143&amp;" | "&amp;CD$6,'Job Master'!$F$12:$I$102,4,0)-1),""),"")</f>
        <v/>
      </c>
      <c r="CG143" s="73"/>
      <c r="CH143" s="123" t="str">
        <f t="shared" si="291"/>
        <v/>
      </c>
      <c r="CI143" s="123" t="str">
        <f t="shared" si="292"/>
        <v/>
      </c>
      <c r="CJ143" s="97" t="str">
        <f t="shared" ca="1" si="293"/>
        <v/>
      </c>
      <c r="CK143" s="98" t="str">
        <f>IF(CM143&lt;&gt;"",VLOOKUP($P143&amp;" | "&amp;CK$6,'Job Master'!$F$12:$J$102,5,0),"")</f>
        <v/>
      </c>
      <c r="CL143" s="19" t="str">
        <f>IF(CM143&lt;&gt;"",VLOOKUP($P143&amp;" | "&amp;CK$6,'Job Master'!$F$12:$J$102,3,0),"")</f>
        <v/>
      </c>
      <c r="CM143" s="19" t="str">
        <f>IFERROR(IF(AND(CT143&lt;&gt;"",VLOOKUP($P143&amp;" | "&amp;CK$6,'Job Master'!$F$12:$I$102,4,0)&lt;&gt;""),IF(WEEKDAY(CT143-VLOOKUP($P143&amp;" | "&amp;CK$6,'Job Master'!$F$12:$I$102,4,0))&lt;&gt;7,CT143-VLOOKUP($P143&amp;" | "&amp;CK$6,'Job Master'!$F$12:$I$102,4,0),CT143-VLOOKUP($P143&amp;" | "&amp;CK$6,'Job Master'!$F$12:$I$102,4,0)-1),""),"")</f>
        <v/>
      </c>
      <c r="CN143" s="73"/>
      <c r="CO143" s="123" t="str">
        <f t="shared" si="294"/>
        <v/>
      </c>
      <c r="CP143" s="123" t="str">
        <f t="shared" si="295"/>
        <v/>
      </c>
      <c r="CQ143" s="97" t="str">
        <f t="shared" ca="1" si="296"/>
        <v/>
      </c>
      <c r="CR143" s="98" t="str">
        <f>IF(CT143&lt;&gt;"",VLOOKUP($P143&amp;" | "&amp;CR$6,'Job Master'!$F$12:$J$102,5,0),"")</f>
        <v/>
      </c>
      <c r="CS143" s="19" t="str">
        <f>IF(CT143&lt;&gt;"",VLOOKUP($P143&amp;" | "&amp;CR$6,'Job Master'!$F$12:$J$102,3,0),"")</f>
        <v/>
      </c>
      <c r="CT143" s="19" t="str">
        <f>IFERROR(IF(AND(DA143&lt;&gt;"",VLOOKUP($P143&amp;" | "&amp;CR$6,'Job Master'!$F$12:$I$102,4,0)&lt;&gt;""),IF(WEEKDAY(DA143-VLOOKUP($P143&amp;" | "&amp;CR$6,'Job Master'!$F$12:$I$102,4,0))&lt;&gt;7,DA143-VLOOKUP($P143&amp;" | "&amp;CR$6,'Job Master'!$F$12:$I$102,4,0),DA143-VLOOKUP($P143&amp;" | "&amp;CR$6,'Job Master'!$F$12:$I$102,4,0)-1),""),"")</f>
        <v/>
      </c>
      <c r="CU143" s="73"/>
      <c r="CV143" s="123" t="str">
        <f t="shared" si="297"/>
        <v/>
      </c>
      <c r="CW143" s="123" t="str">
        <f t="shared" si="298"/>
        <v/>
      </c>
      <c r="CX143" s="97" t="str">
        <f t="shared" ca="1" si="299"/>
        <v/>
      </c>
      <c r="CY143" s="98" t="str">
        <f>IF(DA143&lt;&gt;"",VLOOKUP($P143&amp;" | "&amp;CY$6,'Job Master'!$F$12:$J$102,5,0),"")</f>
        <v/>
      </c>
      <c r="CZ143" s="19" t="str">
        <f>IF(DA143&lt;&gt;"",VLOOKUP($P143&amp;" | "&amp;CY$6,'Job Master'!$F$12:$J$102,3,0),"")</f>
        <v/>
      </c>
      <c r="DA143" s="19" t="str">
        <f>IFERROR(IF(AND(DH143&lt;&gt;"",VLOOKUP($P143&amp;" | "&amp;CY$6,'Job Master'!$F$12:$I$102,4,0)&lt;&gt;""),IF(WEEKDAY(DH143-VLOOKUP($P143&amp;" | "&amp;CY$6,'Job Master'!$F$12:$I$102,4,0))&lt;&gt;7,DH143-VLOOKUP($P143&amp;" | "&amp;CY$6,'Job Master'!$F$12:$I$102,4,0),DH143-VLOOKUP($P143&amp;" | "&amp;CY$6,'Job Master'!$F$12:$I$102,4,0)-1),""),"")</f>
        <v/>
      </c>
      <c r="DB143" s="73"/>
      <c r="DC143" s="123" t="str">
        <f t="shared" si="300"/>
        <v/>
      </c>
      <c r="DD143" s="123" t="str">
        <f t="shared" si="301"/>
        <v/>
      </c>
      <c r="DE143" s="97" t="str">
        <f t="shared" ca="1" si="302"/>
        <v/>
      </c>
      <c r="DF143" s="98" t="str">
        <f>IF(DH143&lt;&gt;"",VLOOKUP($P143&amp;" | "&amp;DF$6,'Job Master'!$F$12:$J$102,5,0),"")</f>
        <v/>
      </c>
      <c r="DG143" s="19" t="str">
        <f>IF(DH143&lt;&gt;"",VLOOKUP($P143&amp;" | "&amp;DF$6,'Job Master'!$F$12:$J$102,3,0),"")</f>
        <v/>
      </c>
      <c r="DH143" s="19" t="str">
        <f>IFERROR(IF(AND(DO143&lt;&gt;"",VLOOKUP($P143&amp;" | "&amp;DF$6,'Job Master'!$F$12:$I$102,4,0)&lt;&gt;""),IF(WEEKDAY(DO143-VLOOKUP($P143&amp;" | "&amp;DF$6,'Job Master'!$F$12:$I$102,4,0))&lt;&gt;7,DO143-VLOOKUP($P143&amp;" | "&amp;DF$6,'Job Master'!$F$12:$I$102,4,0),DO143-VLOOKUP($P143&amp;" | "&amp;DF$6,'Job Master'!$F$12:$I$102,4,0)-1),""),"")</f>
        <v/>
      </c>
      <c r="DI143" s="73"/>
      <c r="DJ143" s="123" t="str">
        <f t="shared" si="303"/>
        <v/>
      </c>
      <c r="DK143" s="123" t="str">
        <f t="shared" si="304"/>
        <v/>
      </c>
      <c r="DL143" s="97" t="str">
        <f t="shared" ca="1" si="305"/>
        <v/>
      </c>
      <c r="DM143" s="98" t="str">
        <f>IF(DO143&lt;&gt;"",VLOOKUP($P143&amp;" | "&amp;DM$6,'Job Master'!$F$12:$J$102,5,0),"")</f>
        <v/>
      </c>
      <c r="DN143" s="19" t="str">
        <f>IF(DO143&lt;&gt;"",VLOOKUP($P143&amp;" | "&amp;DM$6,'Job Master'!$F$12:$J$102,3,0),"")</f>
        <v/>
      </c>
      <c r="DO143" s="19" t="str">
        <f>IFERROR(IF(AND(DT143&lt;&gt;"",VLOOKUP($P143&amp;" | "&amp;DM$6,'Job Master'!$F$12:$I$102,4,0)&lt;&gt;""),IF(WEEKDAY(DT143-VLOOKUP($P143&amp;" | "&amp;DM$6,'Job Master'!$F$12:$I$102,4,0))&lt;&gt;7,DT143-VLOOKUP($P143&amp;" | "&amp;DM$6,'Job Master'!$F$12:$I$102,4,0),DT143-VLOOKUP($P143&amp;" | "&amp;DM$6,'Job Master'!$F$12:$I$102,4,0)-1),""),"")</f>
        <v/>
      </c>
      <c r="DP143" s="73"/>
      <c r="DQ143" s="123" t="str">
        <f t="shared" si="306"/>
        <v/>
      </c>
      <c r="DR143" s="123" t="str">
        <f t="shared" si="307"/>
        <v/>
      </c>
      <c r="DS143" s="97" t="str">
        <f t="shared" ca="1" si="308"/>
        <v/>
      </c>
      <c r="DT143" s="70" t="str">
        <f t="shared" si="309"/>
        <v/>
      </c>
      <c r="DU143" s="90"/>
      <c r="DV143" s="123" t="str">
        <f t="shared" si="310"/>
        <v/>
      </c>
      <c r="DW143" s="123" t="str">
        <f t="shared" si="311"/>
        <v/>
      </c>
      <c r="DX143" s="132" t="str">
        <f t="shared" ref="DX143" ca="1" si="325">IF(DT143&lt;&gt;"",IF(WEEKNUM(DT143)=WEEKNUM(TODAY()),"This Week",IF(WEEKNUM(DT143)=WEEKNUM(TODAY())+1,"Next Week",IF(WEEKNUM(DT143)=WEEKNUM(TODAY())-1,"Previous Week",""))),"")</f>
        <v/>
      </c>
      <c r="DY143" s="134" t="str">
        <f t="shared" si="313"/>
        <v/>
      </c>
      <c r="DZ143" s="95"/>
      <c r="EB143" s="8" t="str">
        <f t="shared" si="319"/>
        <v/>
      </c>
      <c r="EC143" s="8" t="str">
        <f>IF(O143&lt;&gt;"",VLOOKUP(O143,'Job Master'!$N$12:$O$18,2,0),"")</f>
        <v/>
      </c>
      <c r="ED143" s="8">
        <f t="shared" si="320"/>
        <v>19.5</v>
      </c>
      <c r="EE143" s="8">
        <f t="shared" si="321"/>
        <v>6</v>
      </c>
      <c r="EF143" s="8">
        <f t="shared" si="322"/>
        <v>-778.5</v>
      </c>
      <c r="EG143" s="8" t="str">
        <f t="shared" si="323"/>
        <v/>
      </c>
      <c r="EH143" s="8" t="str">
        <f t="shared" si="324"/>
        <v/>
      </c>
    </row>
    <row r="144" spans="2:138" x14ac:dyDescent="0.3">
      <c r="B144" s="112"/>
      <c r="C144" s="27"/>
      <c r="D144" s="7" t="str">
        <f t="shared" si="261"/>
        <v/>
      </c>
      <c r="E144" s="25"/>
      <c r="F144" s="7" t="str">
        <f t="shared" si="261"/>
        <v/>
      </c>
      <c r="G144" s="25"/>
      <c r="H144" s="7" t="str">
        <f t="shared" si="261"/>
        <v/>
      </c>
      <c r="I144" s="25"/>
      <c r="J144" s="7" t="str">
        <f t="shared" si="261"/>
        <v/>
      </c>
      <c r="K144" s="25"/>
      <c r="L144" s="7" t="str">
        <f t="shared" si="262"/>
        <v/>
      </c>
      <c r="M144" s="25"/>
      <c r="N144" s="7" t="str">
        <f t="shared" si="263"/>
        <v/>
      </c>
      <c r="O144" s="81"/>
      <c r="P144" s="81" t="str">
        <f t="shared" si="264"/>
        <v/>
      </c>
      <c r="Q144" s="81"/>
      <c r="R144" s="7" t="str">
        <f t="shared" si="265"/>
        <v/>
      </c>
      <c r="S144" s="25"/>
      <c r="T144" s="7" t="str">
        <f t="shared" si="266"/>
        <v/>
      </c>
      <c r="U144" s="25"/>
      <c r="V144" s="7" t="str">
        <f t="shared" si="267"/>
        <v/>
      </c>
      <c r="W144" s="25"/>
      <c r="X144" s="7" t="str">
        <f t="shared" si="268"/>
        <v/>
      </c>
      <c r="Y144" s="18" t="str">
        <f t="shared" si="269"/>
        <v/>
      </c>
      <c r="Z144" s="7" t="str">
        <f t="shared" si="270"/>
        <v/>
      </c>
      <c r="AA144" s="18" t="str">
        <f t="shared" si="271"/>
        <v/>
      </c>
      <c r="AB144" s="19" t="str">
        <f t="shared" si="272"/>
        <v/>
      </c>
      <c r="AC144" s="26"/>
      <c r="AD144" s="26"/>
      <c r="AE144" s="25"/>
      <c r="AF144" s="26"/>
      <c r="AG144" s="25"/>
      <c r="AH144" s="25"/>
      <c r="AI144" s="18" t="str">
        <f t="shared" si="209"/>
        <v/>
      </c>
      <c r="AJ144" s="25"/>
      <c r="AK144" s="18" t="str">
        <f t="shared" si="210"/>
        <v/>
      </c>
      <c r="AL144" s="79"/>
      <c r="AM144" s="126" t="str">
        <f t="shared" si="211"/>
        <v/>
      </c>
      <c r="AN144" s="128" t="str">
        <f>IF(AP144&lt;&gt;"",VLOOKUP($P144&amp;" | "&amp;AN$6,'Job Master'!$F$12:$J$102,5,0),"")</f>
        <v/>
      </c>
      <c r="AO144" s="19" t="str">
        <f>IF(AP144&lt;&gt;"",VLOOKUP($P144&amp;" | "&amp;AN$6,'Job Master'!$F$12:$J$102,3,0),"")</f>
        <v/>
      </c>
      <c r="AP144" s="19" t="str">
        <f>IFERROR(IF(AND(AW144&lt;&gt;"",VLOOKUP($P144&amp;" | "&amp;AN$6,'Job Master'!$F$12:$I$102,4,0)&lt;&gt;""),IF(WEEKDAY(AW144-VLOOKUP($P144&amp;" | "&amp;AN$6,'Job Master'!$F$12:$I$102,4,0))&lt;&gt;7,AW144-VLOOKUP($P144&amp;" | "&amp;AN$6,'Job Master'!$F$12:$I$102,4,0),AW144-VLOOKUP($P144&amp;" | "&amp;AN$6,'Job Master'!$F$12:$I$102,4,0)-1),""),"")</f>
        <v/>
      </c>
      <c r="AQ144" s="73"/>
      <c r="AR144" s="123" t="str">
        <f t="shared" si="273"/>
        <v/>
      </c>
      <c r="AS144" s="123" t="str">
        <f t="shared" si="274"/>
        <v/>
      </c>
      <c r="AT144" s="97" t="str">
        <f t="shared" ca="1" si="275"/>
        <v/>
      </c>
      <c r="AU144" s="98" t="str">
        <f>IF(AW144&lt;&gt;"",VLOOKUP($P144&amp;" | "&amp;AU$6,'Job Master'!$F$12:$J$102,5,0),"")</f>
        <v/>
      </c>
      <c r="AV144" s="19" t="str">
        <f>IF(AW144&lt;&gt;"",VLOOKUP($P144&amp;" | "&amp;AU$6,'Job Master'!$F$12:$J$102,3,0),"")</f>
        <v/>
      </c>
      <c r="AW144" s="19" t="str">
        <f>IFERROR(IF(AND(BD144&lt;&gt;"",VLOOKUP($P144&amp;" | "&amp;AU$6,'Job Master'!$F$12:$I$102,4,0)&lt;&gt;""),IF(WEEKDAY(BD144-VLOOKUP($P144&amp;" | "&amp;AU$6,'Job Master'!$F$12:$I$102,4,0))&lt;&gt;7,BD144-VLOOKUP($P144&amp;" | "&amp;AU$6,'Job Master'!$F$12:$I$102,4,0),BD144-VLOOKUP($P144&amp;" | "&amp;AU$6,'Job Master'!$F$12:$I$102,4,0)-1),""),"")</f>
        <v/>
      </c>
      <c r="AX144" s="73"/>
      <c r="AY144" s="123" t="str">
        <f t="shared" si="276"/>
        <v/>
      </c>
      <c r="AZ144" s="123" t="str">
        <f t="shared" si="277"/>
        <v/>
      </c>
      <c r="BA144" s="97" t="str">
        <f t="shared" ca="1" si="278"/>
        <v/>
      </c>
      <c r="BB144" s="98" t="str">
        <f>IF(BD144&lt;&gt;"",VLOOKUP($P144&amp;" | "&amp;BB$6,'Job Master'!$F$12:$J$102,5,0),"")</f>
        <v/>
      </c>
      <c r="BC144" s="19" t="str">
        <f>IF(BD144&lt;&gt;"",VLOOKUP($P144&amp;" | "&amp;BB$6,'Job Master'!$F$12:$J$102,3,0),"")</f>
        <v/>
      </c>
      <c r="BD144" s="19" t="str">
        <f>IFERROR(IF(AND(BK144&lt;&gt;"",VLOOKUP($P144&amp;" | "&amp;BB$6,'Job Master'!$F$12:$I$102,4,0)&lt;&gt;""),IF(WEEKDAY(BK144-VLOOKUP($P144&amp;" | "&amp;BB$6,'Job Master'!$F$12:$I$102,4,0))&lt;&gt;7,BK144-VLOOKUP($P144&amp;" | "&amp;BB$6,'Job Master'!$F$12:$I$102,4,0),BK144-VLOOKUP($P144&amp;" | "&amp;BB$6,'Job Master'!$F$12:$I$102,4,0)-1),""),"")</f>
        <v/>
      </c>
      <c r="BE144" s="73"/>
      <c r="BF144" s="123" t="str">
        <f t="shared" si="279"/>
        <v/>
      </c>
      <c r="BG144" s="123" t="str">
        <f t="shared" si="280"/>
        <v/>
      </c>
      <c r="BH144" s="97" t="str">
        <f t="shared" ca="1" si="281"/>
        <v/>
      </c>
      <c r="BI144" s="98" t="str">
        <f>IF(BK144&lt;&gt;"",VLOOKUP($P144&amp;" | "&amp;BI$6,'Job Master'!$F$12:$J$102,5,0),"")</f>
        <v/>
      </c>
      <c r="BJ144" s="19" t="str">
        <f>IF(BK144&lt;&gt;"",VLOOKUP($P144&amp;" | "&amp;BI$6,'Job Master'!$F$12:$J$102,3,0),"")</f>
        <v/>
      </c>
      <c r="BK144" s="19" t="str">
        <f>IFERROR(IF(AND(BR144&lt;&gt;"",VLOOKUP($P144&amp;" | "&amp;BI$6,'Job Master'!$F$12:$I$102,4,0)&lt;&gt;""),IF(WEEKDAY(BR144-VLOOKUP($P144&amp;" | "&amp;BI$6,'Job Master'!$F$12:$I$102,4,0))&lt;&gt;7,BR144-VLOOKUP($P144&amp;" | "&amp;BI$6,'Job Master'!$F$12:$I$102,4,0),BR144-VLOOKUP($P144&amp;" | "&amp;BI$6,'Job Master'!$F$12:$I$102,4,0)-1),""),"")</f>
        <v/>
      </c>
      <c r="BL144" s="73"/>
      <c r="BM144" s="123" t="str">
        <f t="shared" si="282"/>
        <v/>
      </c>
      <c r="BN144" s="123" t="str">
        <f t="shared" si="283"/>
        <v/>
      </c>
      <c r="BO144" s="97" t="str">
        <f t="shared" ca="1" si="284"/>
        <v/>
      </c>
      <c r="BP144" s="98" t="str">
        <f>IF(BR144&lt;&gt;"",VLOOKUP($P144&amp;" | "&amp;BP$6,'Job Master'!$F$12:$J$102,5,0),"")</f>
        <v/>
      </c>
      <c r="BQ144" s="19" t="str">
        <f>IF(BR144&lt;&gt;"",VLOOKUP($P144&amp;" | "&amp;BP$6,'Job Master'!$F$12:$J$102,3,0),"")</f>
        <v/>
      </c>
      <c r="BR144" s="19" t="str">
        <f>IFERROR(IF(AND(BY144&lt;&gt;"",VLOOKUP($P144&amp;" | "&amp;BP$6,'Job Master'!$F$12:$I$102,4,0)&lt;&gt;""),IF(WEEKDAY(BY144-VLOOKUP($P144&amp;" | "&amp;BP$6,'Job Master'!$F$12:$I$102,4,0))&lt;&gt;7,BY144-VLOOKUP($P144&amp;" | "&amp;BP$6,'Job Master'!$F$12:$I$102,4,0),BY144-VLOOKUP($P144&amp;" | "&amp;BP$6,'Job Master'!$F$12:$I$102,4,0)-1),""),"")</f>
        <v/>
      </c>
      <c r="BS144" s="73"/>
      <c r="BT144" s="123" t="str">
        <f t="shared" si="285"/>
        <v/>
      </c>
      <c r="BU144" s="123" t="str">
        <f t="shared" si="286"/>
        <v/>
      </c>
      <c r="BV144" s="97" t="str">
        <f t="shared" ca="1" si="287"/>
        <v/>
      </c>
      <c r="BW144" s="98" t="str">
        <f>IF(BY144&lt;&gt;"",VLOOKUP($P144&amp;" | "&amp;BW$6,'Job Master'!$F$12:$J$102,5,0),"")</f>
        <v/>
      </c>
      <c r="BX144" s="19" t="str">
        <f>IF(BY144&lt;&gt;"",VLOOKUP($P144&amp;" | "&amp;BW$6,'Job Master'!$F$12:$J$102,3,0),"")</f>
        <v/>
      </c>
      <c r="BY144" s="19" t="str">
        <f>IFERROR(IF(AND(CF144&lt;&gt;"",VLOOKUP($P144&amp;" | "&amp;BW$6,'Job Master'!$F$12:$I$102,4,0)&lt;&gt;""),IF(WEEKDAY(CF144-VLOOKUP($P144&amp;" | "&amp;BW$6,'Job Master'!$F$12:$I$102,4,0))&lt;&gt;7,CF144-VLOOKUP($P144&amp;" | "&amp;BW$6,'Job Master'!$F$12:$I$102,4,0),CF144-VLOOKUP($P144&amp;" | "&amp;BW$6,'Job Master'!$F$12:$I$102,4,0)-1),""),"")</f>
        <v/>
      </c>
      <c r="BZ144" s="73"/>
      <c r="CA144" s="123" t="str">
        <f t="shared" si="288"/>
        <v/>
      </c>
      <c r="CB144" s="123" t="str">
        <f t="shared" si="289"/>
        <v/>
      </c>
      <c r="CC144" s="97" t="str">
        <f t="shared" ca="1" si="290"/>
        <v/>
      </c>
      <c r="CD144" s="98" t="str">
        <f>IF(CF144&lt;&gt;"",VLOOKUP($P144&amp;" | "&amp;CD$6,'Job Master'!$F$12:$J$102,5,0),"")</f>
        <v/>
      </c>
      <c r="CE144" s="19" t="str">
        <f>IF(CF144&lt;&gt;"",VLOOKUP($P144&amp;" | "&amp;CD$6,'Job Master'!$F$12:$J$102,3,0),"")</f>
        <v/>
      </c>
      <c r="CF144" s="19" t="str">
        <f>IFERROR(IF(AND(CM144&lt;&gt;"",VLOOKUP($P144&amp;" | "&amp;CD$6,'Job Master'!$F$12:$I$102,4,0)&lt;&gt;""),IF(WEEKDAY(CM144-VLOOKUP($P144&amp;" | "&amp;CD$6,'Job Master'!$F$12:$I$102,4,0))&lt;&gt;7,CM144-VLOOKUP($P144&amp;" | "&amp;CD$6,'Job Master'!$F$12:$I$102,4,0),CM144-VLOOKUP($P144&amp;" | "&amp;CD$6,'Job Master'!$F$12:$I$102,4,0)-1),""),"")</f>
        <v/>
      </c>
      <c r="CG144" s="73"/>
      <c r="CH144" s="123" t="str">
        <f t="shared" si="291"/>
        <v/>
      </c>
      <c r="CI144" s="123" t="str">
        <f t="shared" si="292"/>
        <v/>
      </c>
      <c r="CJ144" s="97" t="str">
        <f t="shared" ca="1" si="293"/>
        <v/>
      </c>
      <c r="CK144" s="98" t="str">
        <f>IF(CM144&lt;&gt;"",VLOOKUP($P144&amp;" | "&amp;CK$6,'Job Master'!$F$12:$J$102,5,0),"")</f>
        <v/>
      </c>
      <c r="CL144" s="19" t="str">
        <f>IF(CM144&lt;&gt;"",VLOOKUP($P144&amp;" | "&amp;CK$6,'Job Master'!$F$12:$J$102,3,0),"")</f>
        <v/>
      </c>
      <c r="CM144" s="19" t="str">
        <f>IFERROR(IF(AND(CT144&lt;&gt;"",VLOOKUP($P144&amp;" | "&amp;CK$6,'Job Master'!$F$12:$I$102,4,0)&lt;&gt;""),IF(WEEKDAY(CT144-VLOOKUP($P144&amp;" | "&amp;CK$6,'Job Master'!$F$12:$I$102,4,0))&lt;&gt;7,CT144-VLOOKUP($P144&amp;" | "&amp;CK$6,'Job Master'!$F$12:$I$102,4,0),CT144-VLOOKUP($P144&amp;" | "&amp;CK$6,'Job Master'!$F$12:$I$102,4,0)-1),""),"")</f>
        <v/>
      </c>
      <c r="CN144" s="73"/>
      <c r="CO144" s="123" t="str">
        <f t="shared" si="294"/>
        <v/>
      </c>
      <c r="CP144" s="123" t="str">
        <f t="shared" si="295"/>
        <v/>
      </c>
      <c r="CQ144" s="97" t="str">
        <f t="shared" ca="1" si="296"/>
        <v/>
      </c>
      <c r="CR144" s="98" t="str">
        <f>IF(CT144&lt;&gt;"",VLOOKUP($P144&amp;" | "&amp;CR$6,'Job Master'!$F$12:$J$102,5,0),"")</f>
        <v/>
      </c>
      <c r="CS144" s="19" t="str">
        <f>IF(CT144&lt;&gt;"",VLOOKUP($P144&amp;" | "&amp;CR$6,'Job Master'!$F$12:$J$102,3,0),"")</f>
        <v/>
      </c>
      <c r="CT144" s="19" t="str">
        <f>IFERROR(IF(AND(DA144&lt;&gt;"",VLOOKUP($P144&amp;" | "&amp;CR$6,'Job Master'!$F$12:$I$102,4,0)&lt;&gt;""),IF(WEEKDAY(DA144-VLOOKUP($P144&amp;" | "&amp;CR$6,'Job Master'!$F$12:$I$102,4,0))&lt;&gt;7,DA144-VLOOKUP($P144&amp;" | "&amp;CR$6,'Job Master'!$F$12:$I$102,4,0),DA144-VLOOKUP($P144&amp;" | "&amp;CR$6,'Job Master'!$F$12:$I$102,4,0)-1),""),"")</f>
        <v/>
      </c>
      <c r="CU144" s="73"/>
      <c r="CV144" s="123" t="str">
        <f t="shared" si="297"/>
        <v/>
      </c>
      <c r="CW144" s="123" t="str">
        <f t="shared" si="298"/>
        <v/>
      </c>
      <c r="CX144" s="97" t="str">
        <f t="shared" ca="1" si="299"/>
        <v/>
      </c>
      <c r="CY144" s="98" t="str">
        <f>IF(DA144&lt;&gt;"",VLOOKUP($P144&amp;" | "&amp;CY$6,'Job Master'!$F$12:$J$102,5,0),"")</f>
        <v/>
      </c>
      <c r="CZ144" s="19" t="str">
        <f>IF(DA144&lt;&gt;"",VLOOKUP($P144&amp;" | "&amp;CY$6,'Job Master'!$F$12:$J$102,3,0),"")</f>
        <v/>
      </c>
      <c r="DA144" s="19" t="str">
        <f>IFERROR(IF(AND(DH144&lt;&gt;"",VLOOKUP($P144&amp;" | "&amp;CY$6,'Job Master'!$F$12:$I$102,4,0)&lt;&gt;""),IF(WEEKDAY(DH144-VLOOKUP($P144&amp;" | "&amp;CY$6,'Job Master'!$F$12:$I$102,4,0))&lt;&gt;7,DH144-VLOOKUP($P144&amp;" | "&amp;CY$6,'Job Master'!$F$12:$I$102,4,0),DH144-VLOOKUP($P144&amp;" | "&amp;CY$6,'Job Master'!$F$12:$I$102,4,0)-1),""),"")</f>
        <v/>
      </c>
      <c r="DB144" s="73"/>
      <c r="DC144" s="123" t="str">
        <f t="shared" si="300"/>
        <v/>
      </c>
      <c r="DD144" s="123" t="str">
        <f t="shared" si="301"/>
        <v/>
      </c>
      <c r="DE144" s="97" t="str">
        <f t="shared" ca="1" si="302"/>
        <v/>
      </c>
      <c r="DF144" s="98" t="str">
        <f>IF(DH144&lt;&gt;"",VLOOKUP($P144&amp;" | "&amp;DF$6,'Job Master'!$F$12:$J$102,5,0),"")</f>
        <v/>
      </c>
      <c r="DG144" s="19" t="str">
        <f>IF(DH144&lt;&gt;"",VLOOKUP($P144&amp;" | "&amp;DF$6,'Job Master'!$F$12:$J$102,3,0),"")</f>
        <v/>
      </c>
      <c r="DH144" s="19" t="str">
        <f>IFERROR(IF(AND(DO144&lt;&gt;"",VLOOKUP($P144&amp;" | "&amp;DF$6,'Job Master'!$F$12:$I$102,4,0)&lt;&gt;""),IF(WEEKDAY(DO144-VLOOKUP($P144&amp;" | "&amp;DF$6,'Job Master'!$F$12:$I$102,4,0))&lt;&gt;7,DO144-VLOOKUP($P144&amp;" | "&amp;DF$6,'Job Master'!$F$12:$I$102,4,0),DO144-VLOOKUP($P144&amp;" | "&amp;DF$6,'Job Master'!$F$12:$I$102,4,0)-1),""),"")</f>
        <v/>
      </c>
      <c r="DI144" s="73"/>
      <c r="DJ144" s="123" t="str">
        <f t="shared" si="303"/>
        <v/>
      </c>
      <c r="DK144" s="123" t="str">
        <f t="shared" si="304"/>
        <v/>
      </c>
      <c r="DL144" s="97" t="str">
        <f t="shared" ca="1" si="305"/>
        <v/>
      </c>
      <c r="DM144" s="98" t="str">
        <f>IF(DO144&lt;&gt;"",VLOOKUP($P144&amp;" | "&amp;DM$6,'Job Master'!$F$12:$J$102,5,0),"")</f>
        <v/>
      </c>
      <c r="DN144" s="19" t="str">
        <f>IF(DO144&lt;&gt;"",VLOOKUP($P144&amp;" | "&amp;DM$6,'Job Master'!$F$12:$J$102,3,0),"")</f>
        <v/>
      </c>
      <c r="DO144" s="19" t="str">
        <f>IFERROR(IF(AND(DT144&lt;&gt;"",VLOOKUP($P144&amp;" | "&amp;DM$6,'Job Master'!$F$12:$I$102,4,0)&lt;&gt;""),IF(WEEKDAY(DT144-VLOOKUP($P144&amp;" | "&amp;DM$6,'Job Master'!$F$12:$I$102,4,0))&lt;&gt;7,DT144-VLOOKUP($P144&amp;" | "&amp;DM$6,'Job Master'!$F$12:$I$102,4,0),DT144-VLOOKUP($P144&amp;" | "&amp;DM$6,'Job Master'!$F$12:$I$102,4,0)-1),""),"")</f>
        <v/>
      </c>
      <c r="DP144" s="73"/>
      <c r="DQ144" s="123" t="str">
        <f t="shared" si="306"/>
        <v/>
      </c>
      <c r="DR144" s="123" t="str">
        <f t="shared" si="307"/>
        <v/>
      </c>
      <c r="DS144" s="97" t="str">
        <f t="shared" ca="1" si="308"/>
        <v/>
      </c>
      <c r="DT144" s="70" t="str">
        <f t="shared" si="309"/>
        <v/>
      </c>
      <c r="DU144" s="90"/>
      <c r="DV144" s="123" t="str">
        <f t="shared" si="310"/>
        <v/>
      </c>
      <c r="DW144" s="123" t="str">
        <f t="shared" si="311"/>
        <v/>
      </c>
      <c r="DX144" s="132" t="str">
        <f t="shared" ref="DX144" ca="1" si="326">IF(DT144&lt;&gt;"",IF(WEEKNUM(DT144)=WEEKNUM(TODAY()),"This Week",IF(WEEKNUM(DT144)=WEEKNUM(TODAY())+1,"Next Week",IF(WEEKNUM(DT144)=WEEKNUM(TODAY())-1,"Previous Week",""))),"")</f>
        <v/>
      </c>
      <c r="DY144" s="134" t="str">
        <f t="shared" si="313"/>
        <v/>
      </c>
      <c r="DZ144" s="95"/>
      <c r="EB144" s="8" t="str">
        <f t="shared" si="319"/>
        <v/>
      </c>
      <c r="EC144" s="8" t="str">
        <f>IF(O144&lt;&gt;"",VLOOKUP(O144,'Job Master'!$N$12:$O$18,2,0),"")</f>
        <v/>
      </c>
      <c r="ED144" s="8">
        <f t="shared" si="320"/>
        <v>19.5</v>
      </c>
      <c r="EE144" s="8">
        <f t="shared" si="321"/>
        <v>6</v>
      </c>
      <c r="EF144" s="8">
        <f t="shared" si="322"/>
        <v>-784.5</v>
      </c>
      <c r="EG144" s="8" t="str">
        <f t="shared" si="323"/>
        <v/>
      </c>
      <c r="EH144" s="8" t="str">
        <f t="shared" si="324"/>
        <v/>
      </c>
    </row>
    <row r="145" spans="2:138" x14ac:dyDescent="0.3">
      <c r="B145" s="112"/>
      <c r="C145" s="27"/>
      <c r="D145" s="7" t="str">
        <f t="shared" si="261"/>
        <v/>
      </c>
      <c r="E145" s="25"/>
      <c r="F145" s="7" t="str">
        <f t="shared" si="261"/>
        <v/>
      </c>
      <c r="G145" s="25"/>
      <c r="H145" s="7" t="str">
        <f t="shared" si="261"/>
        <v/>
      </c>
      <c r="I145" s="25"/>
      <c r="J145" s="7" t="str">
        <f t="shared" si="261"/>
        <v/>
      </c>
      <c r="K145" s="25"/>
      <c r="L145" s="7" t="str">
        <f t="shared" si="262"/>
        <v/>
      </c>
      <c r="M145" s="25"/>
      <c r="N145" s="7" t="str">
        <f t="shared" si="263"/>
        <v/>
      </c>
      <c r="O145" s="81"/>
      <c r="P145" s="81" t="str">
        <f t="shared" si="264"/>
        <v/>
      </c>
      <c r="Q145" s="81"/>
      <c r="R145" s="7" t="str">
        <f t="shared" si="265"/>
        <v/>
      </c>
      <c r="S145" s="25"/>
      <c r="T145" s="7" t="str">
        <f t="shared" si="266"/>
        <v/>
      </c>
      <c r="U145" s="25"/>
      <c r="V145" s="7" t="str">
        <f t="shared" si="267"/>
        <v/>
      </c>
      <c r="W145" s="25"/>
      <c r="X145" s="7" t="str">
        <f t="shared" si="268"/>
        <v/>
      </c>
      <c r="Y145" s="18" t="str">
        <f t="shared" si="269"/>
        <v/>
      </c>
      <c r="Z145" s="7" t="str">
        <f t="shared" si="270"/>
        <v/>
      </c>
      <c r="AA145" s="18" t="str">
        <f t="shared" si="271"/>
        <v/>
      </c>
      <c r="AB145" s="19" t="str">
        <f t="shared" si="272"/>
        <v/>
      </c>
      <c r="AC145" s="26"/>
      <c r="AD145" s="26"/>
      <c r="AE145" s="25"/>
      <c r="AF145" s="26"/>
      <c r="AG145" s="25"/>
      <c r="AH145" s="25"/>
      <c r="AI145" s="18" t="str">
        <f t="shared" si="209"/>
        <v/>
      </c>
      <c r="AJ145" s="25"/>
      <c r="AK145" s="18" t="str">
        <f t="shared" si="210"/>
        <v/>
      </c>
      <c r="AL145" s="79"/>
      <c r="AM145" s="126" t="str">
        <f t="shared" si="211"/>
        <v/>
      </c>
      <c r="AN145" s="128" t="str">
        <f>IF(AP145&lt;&gt;"",VLOOKUP($P145&amp;" | "&amp;AN$6,'Job Master'!$F$12:$J$102,5,0),"")</f>
        <v/>
      </c>
      <c r="AO145" s="19" t="str">
        <f>IF(AP145&lt;&gt;"",VLOOKUP($P145&amp;" | "&amp;AN$6,'Job Master'!$F$12:$J$102,3,0),"")</f>
        <v/>
      </c>
      <c r="AP145" s="19" t="str">
        <f>IFERROR(IF(AND(AW145&lt;&gt;"",VLOOKUP($P145&amp;" | "&amp;AN$6,'Job Master'!$F$12:$I$102,4,0)&lt;&gt;""),IF(WEEKDAY(AW145-VLOOKUP($P145&amp;" | "&amp;AN$6,'Job Master'!$F$12:$I$102,4,0))&lt;&gt;7,AW145-VLOOKUP($P145&amp;" | "&amp;AN$6,'Job Master'!$F$12:$I$102,4,0),AW145-VLOOKUP($P145&amp;" | "&amp;AN$6,'Job Master'!$F$12:$I$102,4,0)-1),""),"")</f>
        <v/>
      </c>
      <c r="AQ145" s="73"/>
      <c r="AR145" s="123" t="str">
        <f t="shared" si="273"/>
        <v/>
      </c>
      <c r="AS145" s="123" t="str">
        <f t="shared" si="274"/>
        <v/>
      </c>
      <c r="AT145" s="97" t="str">
        <f t="shared" ca="1" si="275"/>
        <v/>
      </c>
      <c r="AU145" s="98" t="str">
        <f>IF(AW145&lt;&gt;"",VLOOKUP($P145&amp;" | "&amp;AU$6,'Job Master'!$F$12:$J$102,5,0),"")</f>
        <v/>
      </c>
      <c r="AV145" s="19" t="str">
        <f>IF(AW145&lt;&gt;"",VLOOKUP($P145&amp;" | "&amp;AU$6,'Job Master'!$F$12:$J$102,3,0),"")</f>
        <v/>
      </c>
      <c r="AW145" s="19" t="str">
        <f>IFERROR(IF(AND(BD145&lt;&gt;"",VLOOKUP($P145&amp;" | "&amp;AU$6,'Job Master'!$F$12:$I$102,4,0)&lt;&gt;""),IF(WEEKDAY(BD145-VLOOKUP($P145&amp;" | "&amp;AU$6,'Job Master'!$F$12:$I$102,4,0))&lt;&gt;7,BD145-VLOOKUP($P145&amp;" | "&amp;AU$6,'Job Master'!$F$12:$I$102,4,0),BD145-VLOOKUP($P145&amp;" | "&amp;AU$6,'Job Master'!$F$12:$I$102,4,0)-1),""),"")</f>
        <v/>
      </c>
      <c r="AX145" s="73"/>
      <c r="AY145" s="123" t="str">
        <f t="shared" si="276"/>
        <v/>
      </c>
      <c r="AZ145" s="123" t="str">
        <f t="shared" si="277"/>
        <v/>
      </c>
      <c r="BA145" s="97" t="str">
        <f t="shared" ca="1" si="278"/>
        <v/>
      </c>
      <c r="BB145" s="98" t="str">
        <f>IF(BD145&lt;&gt;"",VLOOKUP($P145&amp;" | "&amp;BB$6,'Job Master'!$F$12:$J$102,5,0),"")</f>
        <v/>
      </c>
      <c r="BC145" s="19" t="str">
        <f>IF(BD145&lt;&gt;"",VLOOKUP($P145&amp;" | "&amp;BB$6,'Job Master'!$F$12:$J$102,3,0),"")</f>
        <v/>
      </c>
      <c r="BD145" s="19" t="str">
        <f>IFERROR(IF(AND(BK145&lt;&gt;"",VLOOKUP($P145&amp;" | "&amp;BB$6,'Job Master'!$F$12:$I$102,4,0)&lt;&gt;""),IF(WEEKDAY(BK145-VLOOKUP($P145&amp;" | "&amp;BB$6,'Job Master'!$F$12:$I$102,4,0))&lt;&gt;7,BK145-VLOOKUP($P145&amp;" | "&amp;BB$6,'Job Master'!$F$12:$I$102,4,0),BK145-VLOOKUP($P145&amp;" | "&amp;BB$6,'Job Master'!$F$12:$I$102,4,0)-1),""),"")</f>
        <v/>
      </c>
      <c r="BE145" s="73"/>
      <c r="BF145" s="123" t="str">
        <f t="shared" si="279"/>
        <v/>
      </c>
      <c r="BG145" s="123" t="str">
        <f t="shared" si="280"/>
        <v/>
      </c>
      <c r="BH145" s="97" t="str">
        <f t="shared" ca="1" si="281"/>
        <v/>
      </c>
      <c r="BI145" s="98" t="str">
        <f>IF(BK145&lt;&gt;"",VLOOKUP($P145&amp;" | "&amp;BI$6,'Job Master'!$F$12:$J$102,5,0),"")</f>
        <v/>
      </c>
      <c r="BJ145" s="19" t="str">
        <f>IF(BK145&lt;&gt;"",VLOOKUP($P145&amp;" | "&amp;BI$6,'Job Master'!$F$12:$J$102,3,0),"")</f>
        <v/>
      </c>
      <c r="BK145" s="19" t="str">
        <f>IFERROR(IF(AND(BR145&lt;&gt;"",VLOOKUP($P145&amp;" | "&amp;BI$6,'Job Master'!$F$12:$I$102,4,0)&lt;&gt;""),IF(WEEKDAY(BR145-VLOOKUP($P145&amp;" | "&amp;BI$6,'Job Master'!$F$12:$I$102,4,0))&lt;&gt;7,BR145-VLOOKUP($P145&amp;" | "&amp;BI$6,'Job Master'!$F$12:$I$102,4,0),BR145-VLOOKUP($P145&amp;" | "&amp;BI$6,'Job Master'!$F$12:$I$102,4,0)-1),""),"")</f>
        <v/>
      </c>
      <c r="BL145" s="73"/>
      <c r="BM145" s="123" t="str">
        <f t="shared" si="282"/>
        <v/>
      </c>
      <c r="BN145" s="123" t="str">
        <f t="shared" si="283"/>
        <v/>
      </c>
      <c r="BO145" s="97" t="str">
        <f t="shared" ca="1" si="284"/>
        <v/>
      </c>
      <c r="BP145" s="98" t="str">
        <f>IF(BR145&lt;&gt;"",VLOOKUP($P145&amp;" | "&amp;BP$6,'Job Master'!$F$12:$J$102,5,0),"")</f>
        <v/>
      </c>
      <c r="BQ145" s="19" t="str">
        <f>IF(BR145&lt;&gt;"",VLOOKUP($P145&amp;" | "&amp;BP$6,'Job Master'!$F$12:$J$102,3,0),"")</f>
        <v/>
      </c>
      <c r="BR145" s="19" t="str">
        <f>IFERROR(IF(AND(BY145&lt;&gt;"",VLOOKUP($P145&amp;" | "&amp;BP$6,'Job Master'!$F$12:$I$102,4,0)&lt;&gt;""),IF(WEEKDAY(BY145-VLOOKUP($P145&amp;" | "&amp;BP$6,'Job Master'!$F$12:$I$102,4,0))&lt;&gt;7,BY145-VLOOKUP($P145&amp;" | "&amp;BP$6,'Job Master'!$F$12:$I$102,4,0),BY145-VLOOKUP($P145&amp;" | "&amp;BP$6,'Job Master'!$F$12:$I$102,4,0)-1),""),"")</f>
        <v/>
      </c>
      <c r="BS145" s="73"/>
      <c r="BT145" s="123" t="str">
        <f t="shared" si="285"/>
        <v/>
      </c>
      <c r="BU145" s="123" t="str">
        <f t="shared" si="286"/>
        <v/>
      </c>
      <c r="BV145" s="97" t="str">
        <f t="shared" ca="1" si="287"/>
        <v/>
      </c>
      <c r="BW145" s="98" t="str">
        <f>IF(BY145&lt;&gt;"",VLOOKUP($P145&amp;" | "&amp;BW$6,'Job Master'!$F$12:$J$102,5,0),"")</f>
        <v/>
      </c>
      <c r="BX145" s="19" t="str">
        <f>IF(BY145&lt;&gt;"",VLOOKUP($P145&amp;" | "&amp;BW$6,'Job Master'!$F$12:$J$102,3,0),"")</f>
        <v/>
      </c>
      <c r="BY145" s="19" t="str">
        <f>IFERROR(IF(AND(CF145&lt;&gt;"",VLOOKUP($P145&amp;" | "&amp;BW$6,'Job Master'!$F$12:$I$102,4,0)&lt;&gt;""),IF(WEEKDAY(CF145-VLOOKUP($P145&amp;" | "&amp;BW$6,'Job Master'!$F$12:$I$102,4,0))&lt;&gt;7,CF145-VLOOKUP($P145&amp;" | "&amp;BW$6,'Job Master'!$F$12:$I$102,4,0),CF145-VLOOKUP($P145&amp;" | "&amp;BW$6,'Job Master'!$F$12:$I$102,4,0)-1),""),"")</f>
        <v/>
      </c>
      <c r="BZ145" s="73"/>
      <c r="CA145" s="123" t="str">
        <f t="shared" si="288"/>
        <v/>
      </c>
      <c r="CB145" s="123" t="str">
        <f t="shared" si="289"/>
        <v/>
      </c>
      <c r="CC145" s="97" t="str">
        <f t="shared" ca="1" si="290"/>
        <v/>
      </c>
      <c r="CD145" s="98" t="str">
        <f>IF(CF145&lt;&gt;"",VLOOKUP($P145&amp;" | "&amp;CD$6,'Job Master'!$F$12:$J$102,5,0),"")</f>
        <v/>
      </c>
      <c r="CE145" s="19" t="str">
        <f>IF(CF145&lt;&gt;"",VLOOKUP($P145&amp;" | "&amp;CD$6,'Job Master'!$F$12:$J$102,3,0),"")</f>
        <v/>
      </c>
      <c r="CF145" s="19" t="str">
        <f>IFERROR(IF(AND(CM145&lt;&gt;"",VLOOKUP($P145&amp;" | "&amp;CD$6,'Job Master'!$F$12:$I$102,4,0)&lt;&gt;""),IF(WEEKDAY(CM145-VLOOKUP($P145&amp;" | "&amp;CD$6,'Job Master'!$F$12:$I$102,4,0))&lt;&gt;7,CM145-VLOOKUP($P145&amp;" | "&amp;CD$6,'Job Master'!$F$12:$I$102,4,0),CM145-VLOOKUP($P145&amp;" | "&amp;CD$6,'Job Master'!$F$12:$I$102,4,0)-1),""),"")</f>
        <v/>
      </c>
      <c r="CG145" s="73"/>
      <c r="CH145" s="123" t="str">
        <f t="shared" si="291"/>
        <v/>
      </c>
      <c r="CI145" s="123" t="str">
        <f t="shared" si="292"/>
        <v/>
      </c>
      <c r="CJ145" s="97" t="str">
        <f t="shared" ca="1" si="293"/>
        <v/>
      </c>
      <c r="CK145" s="98" t="str">
        <f>IF(CM145&lt;&gt;"",VLOOKUP($P145&amp;" | "&amp;CK$6,'Job Master'!$F$12:$J$102,5,0),"")</f>
        <v/>
      </c>
      <c r="CL145" s="19" t="str">
        <f>IF(CM145&lt;&gt;"",VLOOKUP($P145&amp;" | "&amp;CK$6,'Job Master'!$F$12:$J$102,3,0),"")</f>
        <v/>
      </c>
      <c r="CM145" s="19" t="str">
        <f>IFERROR(IF(AND(CT145&lt;&gt;"",VLOOKUP($P145&amp;" | "&amp;CK$6,'Job Master'!$F$12:$I$102,4,0)&lt;&gt;""),IF(WEEKDAY(CT145-VLOOKUP($P145&amp;" | "&amp;CK$6,'Job Master'!$F$12:$I$102,4,0))&lt;&gt;7,CT145-VLOOKUP($P145&amp;" | "&amp;CK$6,'Job Master'!$F$12:$I$102,4,0),CT145-VLOOKUP($P145&amp;" | "&amp;CK$6,'Job Master'!$F$12:$I$102,4,0)-1),""),"")</f>
        <v/>
      </c>
      <c r="CN145" s="73"/>
      <c r="CO145" s="123" t="str">
        <f t="shared" si="294"/>
        <v/>
      </c>
      <c r="CP145" s="123" t="str">
        <f t="shared" si="295"/>
        <v/>
      </c>
      <c r="CQ145" s="97" t="str">
        <f t="shared" ca="1" si="296"/>
        <v/>
      </c>
      <c r="CR145" s="98" t="str">
        <f>IF(CT145&lt;&gt;"",VLOOKUP($P145&amp;" | "&amp;CR$6,'Job Master'!$F$12:$J$102,5,0),"")</f>
        <v/>
      </c>
      <c r="CS145" s="19" t="str">
        <f>IF(CT145&lt;&gt;"",VLOOKUP($P145&amp;" | "&amp;CR$6,'Job Master'!$F$12:$J$102,3,0),"")</f>
        <v/>
      </c>
      <c r="CT145" s="19" t="str">
        <f>IFERROR(IF(AND(DA145&lt;&gt;"",VLOOKUP($P145&amp;" | "&amp;CR$6,'Job Master'!$F$12:$I$102,4,0)&lt;&gt;""),IF(WEEKDAY(DA145-VLOOKUP($P145&amp;" | "&amp;CR$6,'Job Master'!$F$12:$I$102,4,0))&lt;&gt;7,DA145-VLOOKUP($P145&amp;" | "&amp;CR$6,'Job Master'!$F$12:$I$102,4,0),DA145-VLOOKUP($P145&amp;" | "&amp;CR$6,'Job Master'!$F$12:$I$102,4,0)-1),""),"")</f>
        <v/>
      </c>
      <c r="CU145" s="73"/>
      <c r="CV145" s="123" t="str">
        <f t="shared" si="297"/>
        <v/>
      </c>
      <c r="CW145" s="123" t="str">
        <f t="shared" si="298"/>
        <v/>
      </c>
      <c r="CX145" s="97" t="str">
        <f t="shared" ca="1" si="299"/>
        <v/>
      </c>
      <c r="CY145" s="98" t="str">
        <f>IF(DA145&lt;&gt;"",VLOOKUP($P145&amp;" | "&amp;CY$6,'Job Master'!$F$12:$J$102,5,0),"")</f>
        <v/>
      </c>
      <c r="CZ145" s="19" t="str">
        <f>IF(DA145&lt;&gt;"",VLOOKUP($P145&amp;" | "&amp;CY$6,'Job Master'!$F$12:$J$102,3,0),"")</f>
        <v/>
      </c>
      <c r="DA145" s="19" t="str">
        <f>IFERROR(IF(AND(DH145&lt;&gt;"",VLOOKUP($P145&amp;" | "&amp;CY$6,'Job Master'!$F$12:$I$102,4,0)&lt;&gt;""),IF(WEEKDAY(DH145-VLOOKUP($P145&amp;" | "&amp;CY$6,'Job Master'!$F$12:$I$102,4,0))&lt;&gt;7,DH145-VLOOKUP($P145&amp;" | "&amp;CY$6,'Job Master'!$F$12:$I$102,4,0),DH145-VLOOKUP($P145&amp;" | "&amp;CY$6,'Job Master'!$F$12:$I$102,4,0)-1),""),"")</f>
        <v/>
      </c>
      <c r="DB145" s="73"/>
      <c r="DC145" s="123" t="str">
        <f t="shared" si="300"/>
        <v/>
      </c>
      <c r="DD145" s="123" t="str">
        <f t="shared" si="301"/>
        <v/>
      </c>
      <c r="DE145" s="97" t="str">
        <f t="shared" ca="1" si="302"/>
        <v/>
      </c>
      <c r="DF145" s="98" t="str">
        <f>IF(DH145&lt;&gt;"",VLOOKUP($P145&amp;" | "&amp;DF$6,'Job Master'!$F$12:$J$102,5,0),"")</f>
        <v/>
      </c>
      <c r="DG145" s="19" t="str">
        <f>IF(DH145&lt;&gt;"",VLOOKUP($P145&amp;" | "&amp;DF$6,'Job Master'!$F$12:$J$102,3,0),"")</f>
        <v/>
      </c>
      <c r="DH145" s="19" t="str">
        <f>IFERROR(IF(AND(DO145&lt;&gt;"",VLOOKUP($P145&amp;" | "&amp;DF$6,'Job Master'!$F$12:$I$102,4,0)&lt;&gt;""),IF(WEEKDAY(DO145-VLOOKUP($P145&amp;" | "&amp;DF$6,'Job Master'!$F$12:$I$102,4,0))&lt;&gt;7,DO145-VLOOKUP($P145&amp;" | "&amp;DF$6,'Job Master'!$F$12:$I$102,4,0),DO145-VLOOKUP($P145&amp;" | "&amp;DF$6,'Job Master'!$F$12:$I$102,4,0)-1),""),"")</f>
        <v/>
      </c>
      <c r="DI145" s="73"/>
      <c r="DJ145" s="123" t="str">
        <f t="shared" si="303"/>
        <v/>
      </c>
      <c r="DK145" s="123" t="str">
        <f t="shared" si="304"/>
        <v/>
      </c>
      <c r="DL145" s="97" t="str">
        <f t="shared" ca="1" si="305"/>
        <v/>
      </c>
      <c r="DM145" s="98" t="str">
        <f>IF(DO145&lt;&gt;"",VLOOKUP($P145&amp;" | "&amp;DM$6,'Job Master'!$F$12:$J$102,5,0),"")</f>
        <v/>
      </c>
      <c r="DN145" s="19" t="str">
        <f>IF(DO145&lt;&gt;"",VLOOKUP($P145&amp;" | "&amp;DM$6,'Job Master'!$F$12:$J$102,3,0),"")</f>
        <v/>
      </c>
      <c r="DO145" s="19" t="str">
        <f>IFERROR(IF(AND(DT145&lt;&gt;"",VLOOKUP($P145&amp;" | "&amp;DM$6,'Job Master'!$F$12:$I$102,4,0)&lt;&gt;""),IF(WEEKDAY(DT145-VLOOKUP($P145&amp;" | "&amp;DM$6,'Job Master'!$F$12:$I$102,4,0))&lt;&gt;7,DT145-VLOOKUP($P145&amp;" | "&amp;DM$6,'Job Master'!$F$12:$I$102,4,0),DT145-VLOOKUP($P145&amp;" | "&amp;DM$6,'Job Master'!$F$12:$I$102,4,0)-1),""),"")</f>
        <v/>
      </c>
      <c r="DP145" s="73"/>
      <c r="DQ145" s="123" t="str">
        <f t="shared" si="306"/>
        <v/>
      </c>
      <c r="DR145" s="123" t="str">
        <f t="shared" si="307"/>
        <v/>
      </c>
      <c r="DS145" s="97" t="str">
        <f t="shared" ca="1" si="308"/>
        <v/>
      </c>
      <c r="DT145" s="70" t="str">
        <f t="shared" si="309"/>
        <v/>
      </c>
      <c r="DU145" s="90"/>
      <c r="DV145" s="123" t="str">
        <f t="shared" si="310"/>
        <v/>
      </c>
      <c r="DW145" s="123" t="str">
        <f t="shared" si="311"/>
        <v/>
      </c>
      <c r="DX145" s="132" t="str">
        <f t="shared" ref="DX145" ca="1" si="327">IF(DT145&lt;&gt;"",IF(WEEKNUM(DT145)=WEEKNUM(TODAY()),"This Week",IF(WEEKNUM(DT145)=WEEKNUM(TODAY())+1,"Next Week",IF(WEEKNUM(DT145)=WEEKNUM(TODAY())-1,"Previous Week",""))),"")</f>
        <v/>
      </c>
      <c r="DY145" s="134" t="str">
        <f t="shared" si="313"/>
        <v/>
      </c>
      <c r="DZ145" s="95"/>
      <c r="EB145" s="8" t="str">
        <f t="shared" si="319"/>
        <v/>
      </c>
      <c r="EC145" s="8" t="str">
        <f>IF(O145&lt;&gt;"",VLOOKUP(O145,'Job Master'!$N$12:$O$18,2,0),"")</f>
        <v/>
      </c>
      <c r="ED145" s="8">
        <f t="shared" si="320"/>
        <v>19.5</v>
      </c>
      <c r="EE145" s="8">
        <f t="shared" si="321"/>
        <v>6</v>
      </c>
      <c r="EF145" s="8">
        <f t="shared" si="322"/>
        <v>-790.5</v>
      </c>
      <c r="EG145" s="8" t="str">
        <f t="shared" si="323"/>
        <v/>
      </c>
      <c r="EH145" s="8" t="str">
        <f t="shared" si="324"/>
        <v/>
      </c>
    </row>
    <row r="146" spans="2:138" x14ac:dyDescent="0.3">
      <c r="B146" s="112"/>
      <c r="C146" s="27"/>
      <c r="D146" s="7" t="str">
        <f t="shared" si="261"/>
        <v/>
      </c>
      <c r="E146" s="25"/>
      <c r="F146" s="7" t="str">
        <f t="shared" si="261"/>
        <v/>
      </c>
      <c r="G146" s="25"/>
      <c r="H146" s="7" t="str">
        <f t="shared" si="261"/>
        <v/>
      </c>
      <c r="I146" s="25"/>
      <c r="J146" s="7" t="str">
        <f t="shared" si="261"/>
        <v/>
      </c>
      <c r="K146" s="25"/>
      <c r="L146" s="7" t="str">
        <f t="shared" si="262"/>
        <v/>
      </c>
      <c r="M146" s="25"/>
      <c r="N146" s="7" t="str">
        <f t="shared" si="263"/>
        <v/>
      </c>
      <c r="O146" s="81"/>
      <c r="P146" s="81" t="str">
        <f t="shared" si="264"/>
        <v/>
      </c>
      <c r="Q146" s="81"/>
      <c r="R146" s="7" t="str">
        <f t="shared" si="265"/>
        <v/>
      </c>
      <c r="S146" s="25"/>
      <c r="T146" s="7" t="str">
        <f t="shared" si="266"/>
        <v/>
      </c>
      <c r="U146" s="25"/>
      <c r="V146" s="7" t="str">
        <f t="shared" si="267"/>
        <v/>
      </c>
      <c r="W146" s="25"/>
      <c r="X146" s="7" t="str">
        <f t="shared" si="268"/>
        <v/>
      </c>
      <c r="Y146" s="18" t="str">
        <f t="shared" si="269"/>
        <v/>
      </c>
      <c r="Z146" s="7" t="str">
        <f t="shared" si="270"/>
        <v/>
      </c>
      <c r="AA146" s="18" t="str">
        <f t="shared" si="271"/>
        <v/>
      </c>
      <c r="AB146" s="19" t="str">
        <f t="shared" si="272"/>
        <v/>
      </c>
      <c r="AC146" s="26"/>
      <c r="AD146" s="26"/>
      <c r="AE146" s="25"/>
      <c r="AF146" s="26"/>
      <c r="AG146" s="25"/>
      <c r="AH146" s="25"/>
      <c r="AI146" s="18" t="str">
        <f t="shared" si="209"/>
        <v/>
      </c>
      <c r="AJ146" s="25"/>
      <c r="AK146" s="18" t="str">
        <f t="shared" si="210"/>
        <v/>
      </c>
      <c r="AL146" s="79"/>
      <c r="AM146" s="126" t="str">
        <f t="shared" si="211"/>
        <v/>
      </c>
      <c r="AN146" s="128" t="str">
        <f>IF(AP146&lt;&gt;"",VLOOKUP($P146&amp;" | "&amp;AN$6,'Job Master'!$F$12:$J$102,5,0),"")</f>
        <v/>
      </c>
      <c r="AO146" s="19" t="str">
        <f>IF(AP146&lt;&gt;"",VLOOKUP($P146&amp;" | "&amp;AN$6,'Job Master'!$F$12:$J$102,3,0),"")</f>
        <v/>
      </c>
      <c r="AP146" s="19" t="str">
        <f>IFERROR(IF(AND(AW146&lt;&gt;"",VLOOKUP($P146&amp;" | "&amp;AN$6,'Job Master'!$F$12:$I$102,4,0)&lt;&gt;""),IF(WEEKDAY(AW146-VLOOKUP($P146&amp;" | "&amp;AN$6,'Job Master'!$F$12:$I$102,4,0))&lt;&gt;7,AW146-VLOOKUP($P146&amp;" | "&amp;AN$6,'Job Master'!$F$12:$I$102,4,0),AW146-VLOOKUP($P146&amp;" | "&amp;AN$6,'Job Master'!$F$12:$I$102,4,0)-1),""),"")</f>
        <v/>
      </c>
      <c r="AQ146" s="73"/>
      <c r="AR146" s="123" t="str">
        <f t="shared" si="273"/>
        <v/>
      </c>
      <c r="AS146" s="123" t="str">
        <f t="shared" si="274"/>
        <v/>
      </c>
      <c r="AT146" s="97" t="str">
        <f t="shared" ca="1" si="275"/>
        <v/>
      </c>
      <c r="AU146" s="98" t="str">
        <f>IF(AW146&lt;&gt;"",VLOOKUP($P146&amp;" | "&amp;AU$6,'Job Master'!$F$12:$J$102,5,0),"")</f>
        <v/>
      </c>
      <c r="AV146" s="19" t="str">
        <f>IF(AW146&lt;&gt;"",VLOOKUP($P146&amp;" | "&amp;AU$6,'Job Master'!$F$12:$J$102,3,0),"")</f>
        <v/>
      </c>
      <c r="AW146" s="19" t="str">
        <f>IFERROR(IF(AND(BD146&lt;&gt;"",VLOOKUP($P146&amp;" | "&amp;AU$6,'Job Master'!$F$12:$I$102,4,0)&lt;&gt;""),IF(WEEKDAY(BD146-VLOOKUP($P146&amp;" | "&amp;AU$6,'Job Master'!$F$12:$I$102,4,0))&lt;&gt;7,BD146-VLOOKUP($P146&amp;" | "&amp;AU$6,'Job Master'!$F$12:$I$102,4,0),BD146-VLOOKUP($P146&amp;" | "&amp;AU$6,'Job Master'!$F$12:$I$102,4,0)-1),""),"")</f>
        <v/>
      </c>
      <c r="AX146" s="73"/>
      <c r="AY146" s="123" t="str">
        <f t="shared" si="276"/>
        <v/>
      </c>
      <c r="AZ146" s="123" t="str">
        <f t="shared" si="277"/>
        <v/>
      </c>
      <c r="BA146" s="97" t="str">
        <f t="shared" ca="1" si="278"/>
        <v/>
      </c>
      <c r="BB146" s="98" t="str">
        <f>IF(BD146&lt;&gt;"",VLOOKUP($P146&amp;" | "&amp;BB$6,'Job Master'!$F$12:$J$102,5,0),"")</f>
        <v/>
      </c>
      <c r="BC146" s="19" t="str">
        <f>IF(BD146&lt;&gt;"",VLOOKUP($P146&amp;" | "&amp;BB$6,'Job Master'!$F$12:$J$102,3,0),"")</f>
        <v/>
      </c>
      <c r="BD146" s="19" t="str">
        <f>IFERROR(IF(AND(BK146&lt;&gt;"",VLOOKUP($P146&amp;" | "&amp;BB$6,'Job Master'!$F$12:$I$102,4,0)&lt;&gt;""),IF(WEEKDAY(BK146-VLOOKUP($P146&amp;" | "&amp;BB$6,'Job Master'!$F$12:$I$102,4,0))&lt;&gt;7,BK146-VLOOKUP($P146&amp;" | "&amp;BB$6,'Job Master'!$F$12:$I$102,4,0),BK146-VLOOKUP($P146&amp;" | "&amp;BB$6,'Job Master'!$F$12:$I$102,4,0)-1),""),"")</f>
        <v/>
      </c>
      <c r="BE146" s="73"/>
      <c r="BF146" s="123" t="str">
        <f t="shared" si="279"/>
        <v/>
      </c>
      <c r="BG146" s="123" t="str">
        <f t="shared" si="280"/>
        <v/>
      </c>
      <c r="BH146" s="97" t="str">
        <f t="shared" ca="1" si="281"/>
        <v/>
      </c>
      <c r="BI146" s="98" t="str">
        <f>IF(BK146&lt;&gt;"",VLOOKUP($P146&amp;" | "&amp;BI$6,'Job Master'!$F$12:$J$102,5,0),"")</f>
        <v/>
      </c>
      <c r="BJ146" s="19" t="str">
        <f>IF(BK146&lt;&gt;"",VLOOKUP($P146&amp;" | "&amp;BI$6,'Job Master'!$F$12:$J$102,3,0),"")</f>
        <v/>
      </c>
      <c r="BK146" s="19" t="str">
        <f>IFERROR(IF(AND(BR146&lt;&gt;"",VLOOKUP($P146&amp;" | "&amp;BI$6,'Job Master'!$F$12:$I$102,4,0)&lt;&gt;""),IF(WEEKDAY(BR146-VLOOKUP($P146&amp;" | "&amp;BI$6,'Job Master'!$F$12:$I$102,4,0))&lt;&gt;7,BR146-VLOOKUP($P146&amp;" | "&amp;BI$6,'Job Master'!$F$12:$I$102,4,0),BR146-VLOOKUP($P146&amp;" | "&amp;BI$6,'Job Master'!$F$12:$I$102,4,0)-1),""),"")</f>
        <v/>
      </c>
      <c r="BL146" s="73"/>
      <c r="BM146" s="123" t="str">
        <f t="shared" si="282"/>
        <v/>
      </c>
      <c r="BN146" s="123" t="str">
        <f t="shared" si="283"/>
        <v/>
      </c>
      <c r="BO146" s="97" t="str">
        <f t="shared" ca="1" si="284"/>
        <v/>
      </c>
      <c r="BP146" s="98" t="str">
        <f>IF(BR146&lt;&gt;"",VLOOKUP($P146&amp;" | "&amp;BP$6,'Job Master'!$F$12:$J$102,5,0),"")</f>
        <v/>
      </c>
      <c r="BQ146" s="19" t="str">
        <f>IF(BR146&lt;&gt;"",VLOOKUP($P146&amp;" | "&amp;BP$6,'Job Master'!$F$12:$J$102,3,0),"")</f>
        <v/>
      </c>
      <c r="BR146" s="19" t="str">
        <f>IFERROR(IF(AND(BY146&lt;&gt;"",VLOOKUP($P146&amp;" | "&amp;BP$6,'Job Master'!$F$12:$I$102,4,0)&lt;&gt;""),IF(WEEKDAY(BY146-VLOOKUP($P146&amp;" | "&amp;BP$6,'Job Master'!$F$12:$I$102,4,0))&lt;&gt;7,BY146-VLOOKUP($P146&amp;" | "&amp;BP$6,'Job Master'!$F$12:$I$102,4,0),BY146-VLOOKUP($P146&amp;" | "&amp;BP$6,'Job Master'!$F$12:$I$102,4,0)-1),""),"")</f>
        <v/>
      </c>
      <c r="BS146" s="73"/>
      <c r="BT146" s="123" t="str">
        <f t="shared" si="285"/>
        <v/>
      </c>
      <c r="BU146" s="123" t="str">
        <f t="shared" si="286"/>
        <v/>
      </c>
      <c r="BV146" s="97" t="str">
        <f t="shared" ca="1" si="287"/>
        <v/>
      </c>
      <c r="BW146" s="98" t="str">
        <f>IF(BY146&lt;&gt;"",VLOOKUP($P146&amp;" | "&amp;BW$6,'Job Master'!$F$12:$J$102,5,0),"")</f>
        <v/>
      </c>
      <c r="BX146" s="19" t="str">
        <f>IF(BY146&lt;&gt;"",VLOOKUP($P146&amp;" | "&amp;BW$6,'Job Master'!$F$12:$J$102,3,0),"")</f>
        <v/>
      </c>
      <c r="BY146" s="19" t="str">
        <f>IFERROR(IF(AND(CF146&lt;&gt;"",VLOOKUP($P146&amp;" | "&amp;BW$6,'Job Master'!$F$12:$I$102,4,0)&lt;&gt;""),IF(WEEKDAY(CF146-VLOOKUP($P146&amp;" | "&amp;BW$6,'Job Master'!$F$12:$I$102,4,0))&lt;&gt;7,CF146-VLOOKUP($P146&amp;" | "&amp;BW$6,'Job Master'!$F$12:$I$102,4,0),CF146-VLOOKUP($P146&amp;" | "&amp;BW$6,'Job Master'!$F$12:$I$102,4,0)-1),""),"")</f>
        <v/>
      </c>
      <c r="BZ146" s="73"/>
      <c r="CA146" s="123" t="str">
        <f t="shared" si="288"/>
        <v/>
      </c>
      <c r="CB146" s="123" t="str">
        <f t="shared" si="289"/>
        <v/>
      </c>
      <c r="CC146" s="97" t="str">
        <f t="shared" ca="1" si="290"/>
        <v/>
      </c>
      <c r="CD146" s="98" t="str">
        <f>IF(CF146&lt;&gt;"",VLOOKUP($P146&amp;" | "&amp;CD$6,'Job Master'!$F$12:$J$102,5,0),"")</f>
        <v/>
      </c>
      <c r="CE146" s="19" t="str">
        <f>IF(CF146&lt;&gt;"",VLOOKUP($P146&amp;" | "&amp;CD$6,'Job Master'!$F$12:$J$102,3,0),"")</f>
        <v/>
      </c>
      <c r="CF146" s="19" t="str">
        <f>IFERROR(IF(AND(CM146&lt;&gt;"",VLOOKUP($P146&amp;" | "&amp;CD$6,'Job Master'!$F$12:$I$102,4,0)&lt;&gt;""),IF(WEEKDAY(CM146-VLOOKUP($P146&amp;" | "&amp;CD$6,'Job Master'!$F$12:$I$102,4,0))&lt;&gt;7,CM146-VLOOKUP($P146&amp;" | "&amp;CD$6,'Job Master'!$F$12:$I$102,4,0),CM146-VLOOKUP($P146&amp;" | "&amp;CD$6,'Job Master'!$F$12:$I$102,4,0)-1),""),"")</f>
        <v/>
      </c>
      <c r="CG146" s="73"/>
      <c r="CH146" s="123" t="str">
        <f t="shared" si="291"/>
        <v/>
      </c>
      <c r="CI146" s="123" t="str">
        <f t="shared" si="292"/>
        <v/>
      </c>
      <c r="CJ146" s="97" t="str">
        <f t="shared" ca="1" si="293"/>
        <v/>
      </c>
      <c r="CK146" s="98" t="str">
        <f>IF(CM146&lt;&gt;"",VLOOKUP($P146&amp;" | "&amp;CK$6,'Job Master'!$F$12:$J$102,5,0),"")</f>
        <v/>
      </c>
      <c r="CL146" s="19" t="str">
        <f>IF(CM146&lt;&gt;"",VLOOKUP($P146&amp;" | "&amp;CK$6,'Job Master'!$F$12:$J$102,3,0),"")</f>
        <v/>
      </c>
      <c r="CM146" s="19" t="str">
        <f>IFERROR(IF(AND(CT146&lt;&gt;"",VLOOKUP($P146&amp;" | "&amp;CK$6,'Job Master'!$F$12:$I$102,4,0)&lt;&gt;""),IF(WEEKDAY(CT146-VLOOKUP($P146&amp;" | "&amp;CK$6,'Job Master'!$F$12:$I$102,4,0))&lt;&gt;7,CT146-VLOOKUP($P146&amp;" | "&amp;CK$6,'Job Master'!$F$12:$I$102,4,0),CT146-VLOOKUP($P146&amp;" | "&amp;CK$6,'Job Master'!$F$12:$I$102,4,0)-1),""),"")</f>
        <v/>
      </c>
      <c r="CN146" s="73"/>
      <c r="CO146" s="123" t="str">
        <f t="shared" si="294"/>
        <v/>
      </c>
      <c r="CP146" s="123" t="str">
        <f t="shared" si="295"/>
        <v/>
      </c>
      <c r="CQ146" s="97" t="str">
        <f t="shared" ca="1" si="296"/>
        <v/>
      </c>
      <c r="CR146" s="98" t="str">
        <f>IF(CT146&lt;&gt;"",VLOOKUP($P146&amp;" | "&amp;CR$6,'Job Master'!$F$12:$J$102,5,0),"")</f>
        <v/>
      </c>
      <c r="CS146" s="19" t="str">
        <f>IF(CT146&lt;&gt;"",VLOOKUP($P146&amp;" | "&amp;CR$6,'Job Master'!$F$12:$J$102,3,0),"")</f>
        <v/>
      </c>
      <c r="CT146" s="19" t="str">
        <f>IFERROR(IF(AND(DA146&lt;&gt;"",VLOOKUP($P146&amp;" | "&amp;CR$6,'Job Master'!$F$12:$I$102,4,0)&lt;&gt;""),IF(WEEKDAY(DA146-VLOOKUP($P146&amp;" | "&amp;CR$6,'Job Master'!$F$12:$I$102,4,0))&lt;&gt;7,DA146-VLOOKUP($P146&amp;" | "&amp;CR$6,'Job Master'!$F$12:$I$102,4,0),DA146-VLOOKUP($P146&amp;" | "&amp;CR$6,'Job Master'!$F$12:$I$102,4,0)-1),""),"")</f>
        <v/>
      </c>
      <c r="CU146" s="73"/>
      <c r="CV146" s="123" t="str">
        <f t="shared" si="297"/>
        <v/>
      </c>
      <c r="CW146" s="123" t="str">
        <f t="shared" si="298"/>
        <v/>
      </c>
      <c r="CX146" s="97" t="str">
        <f t="shared" ca="1" si="299"/>
        <v/>
      </c>
      <c r="CY146" s="98" t="str">
        <f>IF(DA146&lt;&gt;"",VLOOKUP($P146&amp;" | "&amp;CY$6,'Job Master'!$F$12:$J$102,5,0),"")</f>
        <v/>
      </c>
      <c r="CZ146" s="19" t="str">
        <f>IF(DA146&lt;&gt;"",VLOOKUP($P146&amp;" | "&amp;CY$6,'Job Master'!$F$12:$J$102,3,0),"")</f>
        <v/>
      </c>
      <c r="DA146" s="19" t="str">
        <f>IFERROR(IF(AND(DH146&lt;&gt;"",VLOOKUP($P146&amp;" | "&amp;CY$6,'Job Master'!$F$12:$I$102,4,0)&lt;&gt;""),IF(WEEKDAY(DH146-VLOOKUP($P146&amp;" | "&amp;CY$6,'Job Master'!$F$12:$I$102,4,0))&lt;&gt;7,DH146-VLOOKUP($P146&amp;" | "&amp;CY$6,'Job Master'!$F$12:$I$102,4,0),DH146-VLOOKUP($P146&amp;" | "&amp;CY$6,'Job Master'!$F$12:$I$102,4,0)-1),""),"")</f>
        <v/>
      </c>
      <c r="DB146" s="73"/>
      <c r="DC146" s="123" t="str">
        <f t="shared" si="300"/>
        <v/>
      </c>
      <c r="DD146" s="123" t="str">
        <f t="shared" si="301"/>
        <v/>
      </c>
      <c r="DE146" s="97" t="str">
        <f t="shared" ca="1" si="302"/>
        <v/>
      </c>
      <c r="DF146" s="98" t="str">
        <f>IF(DH146&lt;&gt;"",VLOOKUP($P146&amp;" | "&amp;DF$6,'Job Master'!$F$12:$J$102,5,0),"")</f>
        <v/>
      </c>
      <c r="DG146" s="19" t="str">
        <f>IF(DH146&lt;&gt;"",VLOOKUP($P146&amp;" | "&amp;DF$6,'Job Master'!$F$12:$J$102,3,0),"")</f>
        <v/>
      </c>
      <c r="DH146" s="19" t="str">
        <f>IFERROR(IF(AND(DO146&lt;&gt;"",VLOOKUP($P146&amp;" | "&amp;DF$6,'Job Master'!$F$12:$I$102,4,0)&lt;&gt;""),IF(WEEKDAY(DO146-VLOOKUP($P146&amp;" | "&amp;DF$6,'Job Master'!$F$12:$I$102,4,0))&lt;&gt;7,DO146-VLOOKUP($P146&amp;" | "&amp;DF$6,'Job Master'!$F$12:$I$102,4,0),DO146-VLOOKUP($P146&amp;" | "&amp;DF$6,'Job Master'!$F$12:$I$102,4,0)-1),""),"")</f>
        <v/>
      </c>
      <c r="DI146" s="73"/>
      <c r="DJ146" s="123" t="str">
        <f t="shared" si="303"/>
        <v/>
      </c>
      <c r="DK146" s="123" t="str">
        <f t="shared" si="304"/>
        <v/>
      </c>
      <c r="DL146" s="97" t="str">
        <f t="shared" ca="1" si="305"/>
        <v/>
      </c>
      <c r="DM146" s="98" t="str">
        <f>IF(DO146&lt;&gt;"",VLOOKUP($P146&amp;" | "&amp;DM$6,'Job Master'!$F$12:$J$102,5,0),"")</f>
        <v/>
      </c>
      <c r="DN146" s="19" t="str">
        <f>IF(DO146&lt;&gt;"",VLOOKUP($P146&amp;" | "&amp;DM$6,'Job Master'!$F$12:$J$102,3,0),"")</f>
        <v/>
      </c>
      <c r="DO146" s="19" t="str">
        <f>IFERROR(IF(AND(DT146&lt;&gt;"",VLOOKUP($P146&amp;" | "&amp;DM$6,'Job Master'!$F$12:$I$102,4,0)&lt;&gt;""),IF(WEEKDAY(DT146-VLOOKUP($P146&amp;" | "&amp;DM$6,'Job Master'!$F$12:$I$102,4,0))&lt;&gt;7,DT146-VLOOKUP($P146&amp;" | "&amp;DM$6,'Job Master'!$F$12:$I$102,4,0),DT146-VLOOKUP($P146&amp;" | "&amp;DM$6,'Job Master'!$F$12:$I$102,4,0)-1),""),"")</f>
        <v/>
      </c>
      <c r="DP146" s="73"/>
      <c r="DQ146" s="123" t="str">
        <f t="shared" si="306"/>
        <v/>
      </c>
      <c r="DR146" s="123" t="str">
        <f t="shared" si="307"/>
        <v/>
      </c>
      <c r="DS146" s="97" t="str">
        <f t="shared" ca="1" si="308"/>
        <v/>
      </c>
      <c r="DT146" s="70" t="str">
        <f t="shared" si="309"/>
        <v/>
      </c>
      <c r="DU146" s="90"/>
      <c r="DV146" s="123" t="str">
        <f t="shared" si="310"/>
        <v/>
      </c>
      <c r="DW146" s="123" t="str">
        <f t="shared" si="311"/>
        <v/>
      </c>
      <c r="DX146" s="132" t="str">
        <f t="shared" ref="DX146" ca="1" si="328">IF(DT146&lt;&gt;"",IF(WEEKNUM(DT146)=WEEKNUM(TODAY()),"This Week",IF(WEEKNUM(DT146)=WEEKNUM(TODAY())+1,"Next Week",IF(WEEKNUM(DT146)=WEEKNUM(TODAY())-1,"Previous Week",""))),"")</f>
        <v/>
      </c>
      <c r="DY146" s="134" t="str">
        <f t="shared" si="313"/>
        <v/>
      </c>
      <c r="DZ146" s="95"/>
      <c r="EB146" s="8" t="str">
        <f t="shared" si="319"/>
        <v/>
      </c>
      <c r="EC146" s="8" t="str">
        <f>IF(O146&lt;&gt;"",VLOOKUP(O146,'Job Master'!$N$12:$O$18,2,0),"")</f>
        <v/>
      </c>
      <c r="ED146" s="8">
        <f t="shared" si="320"/>
        <v>19.5</v>
      </c>
      <c r="EE146" s="8">
        <f t="shared" si="321"/>
        <v>6</v>
      </c>
      <c r="EF146" s="8">
        <f t="shared" si="322"/>
        <v>-796.5</v>
      </c>
      <c r="EG146" s="8" t="str">
        <f t="shared" si="323"/>
        <v/>
      </c>
      <c r="EH146" s="8" t="str">
        <f t="shared" si="324"/>
        <v/>
      </c>
    </row>
    <row r="147" spans="2:138" x14ac:dyDescent="0.3">
      <c r="B147" s="112"/>
      <c r="C147" s="27"/>
      <c r="D147" s="7" t="str">
        <f t="shared" si="261"/>
        <v/>
      </c>
      <c r="E147" s="25"/>
      <c r="F147" s="7" t="str">
        <f t="shared" si="261"/>
        <v/>
      </c>
      <c r="G147" s="25"/>
      <c r="H147" s="7" t="str">
        <f t="shared" si="261"/>
        <v/>
      </c>
      <c r="I147" s="25"/>
      <c r="J147" s="7" t="str">
        <f t="shared" si="261"/>
        <v/>
      </c>
      <c r="K147" s="25"/>
      <c r="L147" s="7" t="str">
        <f t="shared" si="262"/>
        <v/>
      </c>
      <c r="M147" s="25"/>
      <c r="N147" s="7" t="str">
        <f t="shared" si="263"/>
        <v/>
      </c>
      <c r="O147" s="81"/>
      <c r="P147" s="81" t="str">
        <f t="shared" si="264"/>
        <v/>
      </c>
      <c r="Q147" s="81"/>
      <c r="R147" s="7" t="str">
        <f t="shared" si="265"/>
        <v/>
      </c>
      <c r="S147" s="25"/>
      <c r="T147" s="7" t="str">
        <f t="shared" si="266"/>
        <v/>
      </c>
      <c r="U147" s="25"/>
      <c r="V147" s="7" t="str">
        <f t="shared" si="267"/>
        <v/>
      </c>
      <c r="W147" s="25"/>
      <c r="X147" s="7" t="str">
        <f t="shared" si="268"/>
        <v/>
      </c>
      <c r="Y147" s="18" t="str">
        <f t="shared" si="269"/>
        <v/>
      </c>
      <c r="Z147" s="7" t="str">
        <f t="shared" si="270"/>
        <v/>
      </c>
      <c r="AA147" s="18" t="str">
        <f t="shared" si="271"/>
        <v/>
      </c>
      <c r="AB147" s="19" t="str">
        <f t="shared" si="272"/>
        <v/>
      </c>
      <c r="AC147" s="26"/>
      <c r="AD147" s="26"/>
      <c r="AE147" s="25"/>
      <c r="AF147" s="26"/>
      <c r="AG147" s="25"/>
      <c r="AH147" s="25"/>
      <c r="AI147" s="18" t="str">
        <f t="shared" si="209"/>
        <v/>
      </c>
      <c r="AJ147" s="25"/>
      <c r="AK147" s="18" t="str">
        <f t="shared" si="210"/>
        <v/>
      </c>
      <c r="AL147" s="79"/>
      <c r="AM147" s="126" t="str">
        <f t="shared" si="211"/>
        <v/>
      </c>
      <c r="AN147" s="128" t="str">
        <f>IF(AP147&lt;&gt;"",VLOOKUP($P147&amp;" | "&amp;AN$6,'Job Master'!$F$12:$J$102,5,0),"")</f>
        <v/>
      </c>
      <c r="AO147" s="19" t="str">
        <f>IF(AP147&lt;&gt;"",VLOOKUP($P147&amp;" | "&amp;AN$6,'Job Master'!$F$12:$J$102,3,0),"")</f>
        <v/>
      </c>
      <c r="AP147" s="19" t="str">
        <f>IFERROR(IF(AND(AW147&lt;&gt;"",VLOOKUP($P147&amp;" | "&amp;AN$6,'Job Master'!$F$12:$I$102,4,0)&lt;&gt;""),IF(WEEKDAY(AW147-VLOOKUP($P147&amp;" | "&amp;AN$6,'Job Master'!$F$12:$I$102,4,0))&lt;&gt;7,AW147-VLOOKUP($P147&amp;" | "&amp;AN$6,'Job Master'!$F$12:$I$102,4,0),AW147-VLOOKUP($P147&amp;" | "&amp;AN$6,'Job Master'!$F$12:$I$102,4,0)-1),""),"")</f>
        <v/>
      </c>
      <c r="AQ147" s="73"/>
      <c r="AR147" s="123" t="str">
        <f t="shared" si="273"/>
        <v/>
      </c>
      <c r="AS147" s="123" t="str">
        <f t="shared" si="274"/>
        <v/>
      </c>
      <c r="AT147" s="97" t="str">
        <f t="shared" ca="1" si="275"/>
        <v/>
      </c>
      <c r="AU147" s="98" t="str">
        <f>IF(AW147&lt;&gt;"",VLOOKUP($P147&amp;" | "&amp;AU$6,'Job Master'!$F$12:$J$102,5,0),"")</f>
        <v/>
      </c>
      <c r="AV147" s="19" t="str">
        <f>IF(AW147&lt;&gt;"",VLOOKUP($P147&amp;" | "&amp;AU$6,'Job Master'!$F$12:$J$102,3,0),"")</f>
        <v/>
      </c>
      <c r="AW147" s="19" t="str">
        <f>IFERROR(IF(AND(BD147&lt;&gt;"",VLOOKUP($P147&amp;" | "&amp;AU$6,'Job Master'!$F$12:$I$102,4,0)&lt;&gt;""),IF(WEEKDAY(BD147-VLOOKUP($P147&amp;" | "&amp;AU$6,'Job Master'!$F$12:$I$102,4,0))&lt;&gt;7,BD147-VLOOKUP($P147&amp;" | "&amp;AU$6,'Job Master'!$F$12:$I$102,4,0),BD147-VLOOKUP($P147&amp;" | "&amp;AU$6,'Job Master'!$F$12:$I$102,4,0)-1),""),"")</f>
        <v/>
      </c>
      <c r="AX147" s="73"/>
      <c r="AY147" s="123" t="str">
        <f t="shared" si="276"/>
        <v/>
      </c>
      <c r="AZ147" s="123" t="str">
        <f t="shared" si="277"/>
        <v/>
      </c>
      <c r="BA147" s="97" t="str">
        <f t="shared" ca="1" si="278"/>
        <v/>
      </c>
      <c r="BB147" s="98" t="str">
        <f>IF(BD147&lt;&gt;"",VLOOKUP($P147&amp;" | "&amp;BB$6,'Job Master'!$F$12:$J$102,5,0),"")</f>
        <v/>
      </c>
      <c r="BC147" s="19" t="str">
        <f>IF(BD147&lt;&gt;"",VLOOKUP($P147&amp;" | "&amp;BB$6,'Job Master'!$F$12:$J$102,3,0),"")</f>
        <v/>
      </c>
      <c r="BD147" s="19" t="str">
        <f>IFERROR(IF(AND(BK147&lt;&gt;"",VLOOKUP($P147&amp;" | "&amp;BB$6,'Job Master'!$F$12:$I$102,4,0)&lt;&gt;""),IF(WEEKDAY(BK147-VLOOKUP($P147&amp;" | "&amp;BB$6,'Job Master'!$F$12:$I$102,4,0))&lt;&gt;7,BK147-VLOOKUP($P147&amp;" | "&amp;BB$6,'Job Master'!$F$12:$I$102,4,0),BK147-VLOOKUP($P147&amp;" | "&amp;BB$6,'Job Master'!$F$12:$I$102,4,0)-1),""),"")</f>
        <v/>
      </c>
      <c r="BE147" s="73"/>
      <c r="BF147" s="123" t="str">
        <f t="shared" si="279"/>
        <v/>
      </c>
      <c r="BG147" s="123" t="str">
        <f t="shared" si="280"/>
        <v/>
      </c>
      <c r="BH147" s="97" t="str">
        <f t="shared" ca="1" si="281"/>
        <v/>
      </c>
      <c r="BI147" s="98" t="str">
        <f>IF(BK147&lt;&gt;"",VLOOKUP($P147&amp;" | "&amp;BI$6,'Job Master'!$F$12:$J$102,5,0),"")</f>
        <v/>
      </c>
      <c r="BJ147" s="19" t="str">
        <f>IF(BK147&lt;&gt;"",VLOOKUP($P147&amp;" | "&amp;BI$6,'Job Master'!$F$12:$J$102,3,0),"")</f>
        <v/>
      </c>
      <c r="BK147" s="19" t="str">
        <f>IFERROR(IF(AND(BR147&lt;&gt;"",VLOOKUP($P147&amp;" | "&amp;BI$6,'Job Master'!$F$12:$I$102,4,0)&lt;&gt;""),IF(WEEKDAY(BR147-VLOOKUP($P147&amp;" | "&amp;BI$6,'Job Master'!$F$12:$I$102,4,0))&lt;&gt;7,BR147-VLOOKUP($P147&amp;" | "&amp;BI$6,'Job Master'!$F$12:$I$102,4,0),BR147-VLOOKUP($P147&amp;" | "&amp;BI$6,'Job Master'!$F$12:$I$102,4,0)-1),""),"")</f>
        <v/>
      </c>
      <c r="BL147" s="73"/>
      <c r="BM147" s="123" t="str">
        <f t="shared" si="282"/>
        <v/>
      </c>
      <c r="BN147" s="123" t="str">
        <f t="shared" si="283"/>
        <v/>
      </c>
      <c r="BO147" s="97" t="str">
        <f t="shared" ca="1" si="284"/>
        <v/>
      </c>
      <c r="BP147" s="98" t="str">
        <f>IF(BR147&lt;&gt;"",VLOOKUP($P147&amp;" | "&amp;BP$6,'Job Master'!$F$12:$J$102,5,0),"")</f>
        <v/>
      </c>
      <c r="BQ147" s="19" t="str">
        <f>IF(BR147&lt;&gt;"",VLOOKUP($P147&amp;" | "&amp;BP$6,'Job Master'!$F$12:$J$102,3,0),"")</f>
        <v/>
      </c>
      <c r="BR147" s="19" t="str">
        <f>IFERROR(IF(AND(BY147&lt;&gt;"",VLOOKUP($P147&amp;" | "&amp;BP$6,'Job Master'!$F$12:$I$102,4,0)&lt;&gt;""),IF(WEEKDAY(BY147-VLOOKUP($P147&amp;" | "&amp;BP$6,'Job Master'!$F$12:$I$102,4,0))&lt;&gt;7,BY147-VLOOKUP($P147&amp;" | "&amp;BP$6,'Job Master'!$F$12:$I$102,4,0),BY147-VLOOKUP($P147&amp;" | "&amp;BP$6,'Job Master'!$F$12:$I$102,4,0)-1),""),"")</f>
        <v/>
      </c>
      <c r="BS147" s="73"/>
      <c r="BT147" s="123" t="str">
        <f t="shared" si="285"/>
        <v/>
      </c>
      <c r="BU147" s="123" t="str">
        <f t="shared" si="286"/>
        <v/>
      </c>
      <c r="BV147" s="97" t="str">
        <f t="shared" ca="1" si="287"/>
        <v/>
      </c>
      <c r="BW147" s="98" t="str">
        <f>IF(BY147&lt;&gt;"",VLOOKUP($P147&amp;" | "&amp;BW$6,'Job Master'!$F$12:$J$102,5,0),"")</f>
        <v/>
      </c>
      <c r="BX147" s="19" t="str">
        <f>IF(BY147&lt;&gt;"",VLOOKUP($P147&amp;" | "&amp;BW$6,'Job Master'!$F$12:$J$102,3,0),"")</f>
        <v/>
      </c>
      <c r="BY147" s="19" t="str">
        <f>IFERROR(IF(AND(CF147&lt;&gt;"",VLOOKUP($P147&amp;" | "&amp;BW$6,'Job Master'!$F$12:$I$102,4,0)&lt;&gt;""),IF(WEEKDAY(CF147-VLOOKUP($P147&amp;" | "&amp;BW$6,'Job Master'!$F$12:$I$102,4,0))&lt;&gt;7,CF147-VLOOKUP($P147&amp;" | "&amp;BW$6,'Job Master'!$F$12:$I$102,4,0),CF147-VLOOKUP($P147&amp;" | "&amp;BW$6,'Job Master'!$F$12:$I$102,4,0)-1),""),"")</f>
        <v/>
      </c>
      <c r="BZ147" s="73"/>
      <c r="CA147" s="123" t="str">
        <f t="shared" si="288"/>
        <v/>
      </c>
      <c r="CB147" s="123" t="str">
        <f t="shared" si="289"/>
        <v/>
      </c>
      <c r="CC147" s="97" t="str">
        <f t="shared" ca="1" si="290"/>
        <v/>
      </c>
      <c r="CD147" s="98" t="str">
        <f>IF(CF147&lt;&gt;"",VLOOKUP($P147&amp;" | "&amp;CD$6,'Job Master'!$F$12:$J$102,5,0),"")</f>
        <v/>
      </c>
      <c r="CE147" s="19" t="str">
        <f>IF(CF147&lt;&gt;"",VLOOKUP($P147&amp;" | "&amp;CD$6,'Job Master'!$F$12:$J$102,3,0),"")</f>
        <v/>
      </c>
      <c r="CF147" s="19" t="str">
        <f>IFERROR(IF(AND(CM147&lt;&gt;"",VLOOKUP($P147&amp;" | "&amp;CD$6,'Job Master'!$F$12:$I$102,4,0)&lt;&gt;""),IF(WEEKDAY(CM147-VLOOKUP($P147&amp;" | "&amp;CD$6,'Job Master'!$F$12:$I$102,4,0))&lt;&gt;7,CM147-VLOOKUP($P147&amp;" | "&amp;CD$6,'Job Master'!$F$12:$I$102,4,0),CM147-VLOOKUP($P147&amp;" | "&amp;CD$6,'Job Master'!$F$12:$I$102,4,0)-1),""),"")</f>
        <v/>
      </c>
      <c r="CG147" s="73"/>
      <c r="CH147" s="123" t="str">
        <f t="shared" si="291"/>
        <v/>
      </c>
      <c r="CI147" s="123" t="str">
        <f t="shared" si="292"/>
        <v/>
      </c>
      <c r="CJ147" s="97" t="str">
        <f t="shared" ca="1" si="293"/>
        <v/>
      </c>
      <c r="CK147" s="98" t="str">
        <f>IF(CM147&lt;&gt;"",VLOOKUP($P147&amp;" | "&amp;CK$6,'Job Master'!$F$12:$J$102,5,0),"")</f>
        <v/>
      </c>
      <c r="CL147" s="19" t="str">
        <f>IF(CM147&lt;&gt;"",VLOOKUP($P147&amp;" | "&amp;CK$6,'Job Master'!$F$12:$J$102,3,0),"")</f>
        <v/>
      </c>
      <c r="CM147" s="19" t="str">
        <f>IFERROR(IF(AND(CT147&lt;&gt;"",VLOOKUP($P147&amp;" | "&amp;CK$6,'Job Master'!$F$12:$I$102,4,0)&lt;&gt;""),IF(WEEKDAY(CT147-VLOOKUP($P147&amp;" | "&amp;CK$6,'Job Master'!$F$12:$I$102,4,0))&lt;&gt;7,CT147-VLOOKUP($P147&amp;" | "&amp;CK$6,'Job Master'!$F$12:$I$102,4,0),CT147-VLOOKUP($P147&amp;" | "&amp;CK$6,'Job Master'!$F$12:$I$102,4,0)-1),""),"")</f>
        <v/>
      </c>
      <c r="CN147" s="73"/>
      <c r="CO147" s="123" t="str">
        <f t="shared" si="294"/>
        <v/>
      </c>
      <c r="CP147" s="123" t="str">
        <f t="shared" si="295"/>
        <v/>
      </c>
      <c r="CQ147" s="97" t="str">
        <f t="shared" ca="1" si="296"/>
        <v/>
      </c>
      <c r="CR147" s="98" t="str">
        <f>IF(CT147&lt;&gt;"",VLOOKUP($P147&amp;" | "&amp;CR$6,'Job Master'!$F$12:$J$102,5,0),"")</f>
        <v/>
      </c>
      <c r="CS147" s="19" t="str">
        <f>IF(CT147&lt;&gt;"",VLOOKUP($P147&amp;" | "&amp;CR$6,'Job Master'!$F$12:$J$102,3,0),"")</f>
        <v/>
      </c>
      <c r="CT147" s="19" t="str">
        <f>IFERROR(IF(AND(DA147&lt;&gt;"",VLOOKUP($P147&amp;" | "&amp;CR$6,'Job Master'!$F$12:$I$102,4,0)&lt;&gt;""),IF(WEEKDAY(DA147-VLOOKUP($P147&amp;" | "&amp;CR$6,'Job Master'!$F$12:$I$102,4,0))&lt;&gt;7,DA147-VLOOKUP($P147&amp;" | "&amp;CR$6,'Job Master'!$F$12:$I$102,4,0),DA147-VLOOKUP($P147&amp;" | "&amp;CR$6,'Job Master'!$F$12:$I$102,4,0)-1),""),"")</f>
        <v/>
      </c>
      <c r="CU147" s="73"/>
      <c r="CV147" s="123" t="str">
        <f t="shared" si="297"/>
        <v/>
      </c>
      <c r="CW147" s="123" t="str">
        <f t="shared" si="298"/>
        <v/>
      </c>
      <c r="CX147" s="97" t="str">
        <f t="shared" ca="1" si="299"/>
        <v/>
      </c>
      <c r="CY147" s="98" t="str">
        <f>IF(DA147&lt;&gt;"",VLOOKUP($P147&amp;" | "&amp;CY$6,'Job Master'!$F$12:$J$102,5,0),"")</f>
        <v/>
      </c>
      <c r="CZ147" s="19" t="str">
        <f>IF(DA147&lt;&gt;"",VLOOKUP($P147&amp;" | "&amp;CY$6,'Job Master'!$F$12:$J$102,3,0),"")</f>
        <v/>
      </c>
      <c r="DA147" s="19" t="str">
        <f>IFERROR(IF(AND(DH147&lt;&gt;"",VLOOKUP($P147&amp;" | "&amp;CY$6,'Job Master'!$F$12:$I$102,4,0)&lt;&gt;""),IF(WEEKDAY(DH147-VLOOKUP($P147&amp;" | "&amp;CY$6,'Job Master'!$F$12:$I$102,4,0))&lt;&gt;7,DH147-VLOOKUP($P147&amp;" | "&amp;CY$6,'Job Master'!$F$12:$I$102,4,0),DH147-VLOOKUP($P147&amp;" | "&amp;CY$6,'Job Master'!$F$12:$I$102,4,0)-1),""),"")</f>
        <v/>
      </c>
      <c r="DB147" s="73"/>
      <c r="DC147" s="123" t="str">
        <f t="shared" si="300"/>
        <v/>
      </c>
      <c r="DD147" s="123" t="str">
        <f t="shared" si="301"/>
        <v/>
      </c>
      <c r="DE147" s="97" t="str">
        <f t="shared" ca="1" si="302"/>
        <v/>
      </c>
      <c r="DF147" s="98" t="str">
        <f>IF(DH147&lt;&gt;"",VLOOKUP($P147&amp;" | "&amp;DF$6,'Job Master'!$F$12:$J$102,5,0),"")</f>
        <v/>
      </c>
      <c r="DG147" s="19" t="str">
        <f>IF(DH147&lt;&gt;"",VLOOKUP($P147&amp;" | "&amp;DF$6,'Job Master'!$F$12:$J$102,3,0),"")</f>
        <v/>
      </c>
      <c r="DH147" s="19" t="str">
        <f>IFERROR(IF(AND(DO147&lt;&gt;"",VLOOKUP($P147&amp;" | "&amp;DF$6,'Job Master'!$F$12:$I$102,4,0)&lt;&gt;""),IF(WEEKDAY(DO147-VLOOKUP($P147&amp;" | "&amp;DF$6,'Job Master'!$F$12:$I$102,4,0))&lt;&gt;7,DO147-VLOOKUP($P147&amp;" | "&amp;DF$6,'Job Master'!$F$12:$I$102,4,0),DO147-VLOOKUP($P147&amp;" | "&amp;DF$6,'Job Master'!$F$12:$I$102,4,0)-1),""),"")</f>
        <v/>
      </c>
      <c r="DI147" s="73"/>
      <c r="DJ147" s="123" t="str">
        <f t="shared" si="303"/>
        <v/>
      </c>
      <c r="DK147" s="123" t="str">
        <f t="shared" si="304"/>
        <v/>
      </c>
      <c r="DL147" s="97" t="str">
        <f t="shared" ca="1" si="305"/>
        <v/>
      </c>
      <c r="DM147" s="98" t="str">
        <f>IF(DO147&lt;&gt;"",VLOOKUP($P147&amp;" | "&amp;DM$6,'Job Master'!$F$12:$J$102,5,0),"")</f>
        <v/>
      </c>
      <c r="DN147" s="19" t="str">
        <f>IF(DO147&lt;&gt;"",VLOOKUP($P147&amp;" | "&amp;DM$6,'Job Master'!$F$12:$J$102,3,0),"")</f>
        <v/>
      </c>
      <c r="DO147" s="19" t="str">
        <f>IFERROR(IF(AND(DT147&lt;&gt;"",VLOOKUP($P147&amp;" | "&amp;DM$6,'Job Master'!$F$12:$I$102,4,0)&lt;&gt;""),IF(WEEKDAY(DT147-VLOOKUP($P147&amp;" | "&amp;DM$6,'Job Master'!$F$12:$I$102,4,0))&lt;&gt;7,DT147-VLOOKUP($P147&amp;" | "&amp;DM$6,'Job Master'!$F$12:$I$102,4,0),DT147-VLOOKUP($P147&amp;" | "&amp;DM$6,'Job Master'!$F$12:$I$102,4,0)-1),""),"")</f>
        <v/>
      </c>
      <c r="DP147" s="73"/>
      <c r="DQ147" s="123" t="str">
        <f t="shared" si="306"/>
        <v/>
      </c>
      <c r="DR147" s="123" t="str">
        <f t="shared" si="307"/>
        <v/>
      </c>
      <c r="DS147" s="97" t="str">
        <f t="shared" ca="1" si="308"/>
        <v/>
      </c>
      <c r="DT147" s="70" t="str">
        <f t="shared" si="309"/>
        <v/>
      </c>
      <c r="DU147" s="90"/>
      <c r="DV147" s="123" t="str">
        <f t="shared" si="310"/>
        <v/>
      </c>
      <c r="DW147" s="123" t="str">
        <f t="shared" si="311"/>
        <v/>
      </c>
      <c r="DX147" s="132" t="str">
        <f t="shared" ref="DX147" ca="1" si="329">IF(DT147&lt;&gt;"",IF(WEEKNUM(DT147)=WEEKNUM(TODAY()),"This Week",IF(WEEKNUM(DT147)=WEEKNUM(TODAY())+1,"Next Week",IF(WEEKNUM(DT147)=WEEKNUM(TODAY())-1,"Previous Week",""))),"")</f>
        <v/>
      </c>
      <c r="DY147" s="134" t="str">
        <f t="shared" si="313"/>
        <v/>
      </c>
      <c r="DZ147" s="95"/>
      <c r="EB147" s="8" t="str">
        <f t="shared" si="319"/>
        <v/>
      </c>
      <c r="EC147" s="8" t="str">
        <f>IF(O147&lt;&gt;"",VLOOKUP(O147,'Job Master'!$N$12:$O$18,2,0),"")</f>
        <v/>
      </c>
      <c r="ED147" s="8">
        <f t="shared" si="320"/>
        <v>19.5</v>
      </c>
      <c r="EE147" s="8">
        <f t="shared" si="321"/>
        <v>6</v>
      </c>
      <c r="EF147" s="8">
        <f t="shared" si="322"/>
        <v>-802.5</v>
      </c>
      <c r="EG147" s="8" t="str">
        <f t="shared" si="323"/>
        <v/>
      </c>
      <c r="EH147" s="8" t="str">
        <f t="shared" si="324"/>
        <v/>
      </c>
    </row>
    <row r="148" spans="2:138" x14ac:dyDescent="0.3">
      <c r="B148" s="112"/>
      <c r="C148" s="27"/>
      <c r="D148" s="7" t="str">
        <f t="shared" si="261"/>
        <v/>
      </c>
      <c r="E148" s="25"/>
      <c r="F148" s="7" t="str">
        <f t="shared" si="261"/>
        <v/>
      </c>
      <c r="G148" s="25"/>
      <c r="H148" s="7" t="str">
        <f t="shared" si="261"/>
        <v/>
      </c>
      <c r="I148" s="25"/>
      <c r="J148" s="7" t="str">
        <f t="shared" si="261"/>
        <v/>
      </c>
      <c r="K148" s="25"/>
      <c r="L148" s="7" t="str">
        <f t="shared" si="262"/>
        <v/>
      </c>
      <c r="M148" s="25"/>
      <c r="N148" s="7" t="str">
        <f t="shared" si="263"/>
        <v/>
      </c>
      <c r="O148" s="81"/>
      <c r="P148" s="81" t="str">
        <f t="shared" si="264"/>
        <v/>
      </c>
      <c r="Q148" s="81"/>
      <c r="R148" s="7" t="str">
        <f t="shared" si="265"/>
        <v/>
      </c>
      <c r="S148" s="25"/>
      <c r="T148" s="7" t="str">
        <f t="shared" si="266"/>
        <v/>
      </c>
      <c r="U148" s="25"/>
      <c r="V148" s="7" t="str">
        <f t="shared" si="267"/>
        <v/>
      </c>
      <c r="W148" s="25"/>
      <c r="X148" s="7" t="str">
        <f t="shared" si="268"/>
        <v/>
      </c>
      <c r="Y148" s="18" t="str">
        <f t="shared" si="269"/>
        <v/>
      </c>
      <c r="Z148" s="7" t="str">
        <f t="shared" si="270"/>
        <v/>
      </c>
      <c r="AA148" s="18" t="str">
        <f t="shared" si="271"/>
        <v/>
      </c>
      <c r="AB148" s="19" t="str">
        <f t="shared" si="272"/>
        <v/>
      </c>
      <c r="AC148" s="26"/>
      <c r="AD148" s="26"/>
      <c r="AE148" s="25"/>
      <c r="AF148" s="26"/>
      <c r="AG148" s="25"/>
      <c r="AH148" s="25"/>
      <c r="AI148" s="18" t="str">
        <f t="shared" si="209"/>
        <v/>
      </c>
      <c r="AJ148" s="25"/>
      <c r="AK148" s="18" t="str">
        <f t="shared" si="210"/>
        <v/>
      </c>
      <c r="AL148" s="79"/>
      <c r="AM148" s="126" t="str">
        <f t="shared" si="211"/>
        <v/>
      </c>
      <c r="AN148" s="128" t="str">
        <f>IF(AP148&lt;&gt;"",VLOOKUP($P148&amp;" | "&amp;AN$6,'Job Master'!$F$12:$J$102,5,0),"")</f>
        <v/>
      </c>
      <c r="AO148" s="19" t="str">
        <f>IF(AP148&lt;&gt;"",VLOOKUP($P148&amp;" | "&amp;AN$6,'Job Master'!$F$12:$J$102,3,0),"")</f>
        <v/>
      </c>
      <c r="AP148" s="19" t="str">
        <f>IFERROR(IF(AND(AW148&lt;&gt;"",VLOOKUP($P148&amp;" | "&amp;AN$6,'Job Master'!$F$12:$I$102,4,0)&lt;&gt;""),IF(WEEKDAY(AW148-VLOOKUP($P148&amp;" | "&amp;AN$6,'Job Master'!$F$12:$I$102,4,0))&lt;&gt;7,AW148-VLOOKUP($P148&amp;" | "&amp;AN$6,'Job Master'!$F$12:$I$102,4,0),AW148-VLOOKUP($P148&amp;" | "&amp;AN$6,'Job Master'!$F$12:$I$102,4,0)-1),""),"")</f>
        <v/>
      </c>
      <c r="AQ148" s="73"/>
      <c r="AR148" s="123" t="str">
        <f t="shared" si="273"/>
        <v/>
      </c>
      <c r="AS148" s="123" t="str">
        <f t="shared" si="274"/>
        <v/>
      </c>
      <c r="AT148" s="97" t="str">
        <f t="shared" ca="1" si="275"/>
        <v/>
      </c>
      <c r="AU148" s="98" t="str">
        <f>IF(AW148&lt;&gt;"",VLOOKUP($P148&amp;" | "&amp;AU$6,'Job Master'!$F$12:$J$102,5,0),"")</f>
        <v/>
      </c>
      <c r="AV148" s="19" t="str">
        <f>IF(AW148&lt;&gt;"",VLOOKUP($P148&amp;" | "&amp;AU$6,'Job Master'!$F$12:$J$102,3,0),"")</f>
        <v/>
      </c>
      <c r="AW148" s="19" t="str">
        <f>IFERROR(IF(AND(BD148&lt;&gt;"",VLOOKUP($P148&amp;" | "&amp;AU$6,'Job Master'!$F$12:$I$102,4,0)&lt;&gt;""),IF(WEEKDAY(BD148-VLOOKUP($P148&amp;" | "&amp;AU$6,'Job Master'!$F$12:$I$102,4,0))&lt;&gt;7,BD148-VLOOKUP($P148&amp;" | "&amp;AU$6,'Job Master'!$F$12:$I$102,4,0),BD148-VLOOKUP($P148&amp;" | "&amp;AU$6,'Job Master'!$F$12:$I$102,4,0)-1),""),"")</f>
        <v/>
      </c>
      <c r="AX148" s="73"/>
      <c r="AY148" s="123" t="str">
        <f t="shared" si="276"/>
        <v/>
      </c>
      <c r="AZ148" s="123" t="str">
        <f t="shared" si="277"/>
        <v/>
      </c>
      <c r="BA148" s="97" t="str">
        <f t="shared" ca="1" si="278"/>
        <v/>
      </c>
      <c r="BB148" s="98" t="str">
        <f>IF(BD148&lt;&gt;"",VLOOKUP($P148&amp;" | "&amp;BB$6,'Job Master'!$F$12:$J$102,5,0),"")</f>
        <v/>
      </c>
      <c r="BC148" s="19" t="str">
        <f>IF(BD148&lt;&gt;"",VLOOKUP($P148&amp;" | "&amp;BB$6,'Job Master'!$F$12:$J$102,3,0),"")</f>
        <v/>
      </c>
      <c r="BD148" s="19" t="str">
        <f>IFERROR(IF(AND(BK148&lt;&gt;"",VLOOKUP($P148&amp;" | "&amp;BB$6,'Job Master'!$F$12:$I$102,4,0)&lt;&gt;""),IF(WEEKDAY(BK148-VLOOKUP($P148&amp;" | "&amp;BB$6,'Job Master'!$F$12:$I$102,4,0))&lt;&gt;7,BK148-VLOOKUP($P148&amp;" | "&amp;BB$6,'Job Master'!$F$12:$I$102,4,0),BK148-VLOOKUP($P148&amp;" | "&amp;BB$6,'Job Master'!$F$12:$I$102,4,0)-1),""),"")</f>
        <v/>
      </c>
      <c r="BE148" s="73"/>
      <c r="BF148" s="123" t="str">
        <f t="shared" si="279"/>
        <v/>
      </c>
      <c r="BG148" s="123" t="str">
        <f t="shared" si="280"/>
        <v/>
      </c>
      <c r="BH148" s="97" t="str">
        <f t="shared" ca="1" si="281"/>
        <v/>
      </c>
      <c r="BI148" s="98" t="str">
        <f>IF(BK148&lt;&gt;"",VLOOKUP($P148&amp;" | "&amp;BI$6,'Job Master'!$F$12:$J$102,5,0),"")</f>
        <v/>
      </c>
      <c r="BJ148" s="19" t="str">
        <f>IF(BK148&lt;&gt;"",VLOOKUP($P148&amp;" | "&amp;BI$6,'Job Master'!$F$12:$J$102,3,0),"")</f>
        <v/>
      </c>
      <c r="BK148" s="19" t="str">
        <f>IFERROR(IF(AND(BR148&lt;&gt;"",VLOOKUP($P148&amp;" | "&amp;BI$6,'Job Master'!$F$12:$I$102,4,0)&lt;&gt;""),IF(WEEKDAY(BR148-VLOOKUP($P148&amp;" | "&amp;BI$6,'Job Master'!$F$12:$I$102,4,0))&lt;&gt;7,BR148-VLOOKUP($P148&amp;" | "&amp;BI$6,'Job Master'!$F$12:$I$102,4,0),BR148-VLOOKUP($P148&amp;" | "&amp;BI$6,'Job Master'!$F$12:$I$102,4,0)-1),""),"")</f>
        <v/>
      </c>
      <c r="BL148" s="73"/>
      <c r="BM148" s="123" t="str">
        <f t="shared" si="282"/>
        <v/>
      </c>
      <c r="BN148" s="123" t="str">
        <f t="shared" si="283"/>
        <v/>
      </c>
      <c r="BO148" s="97" t="str">
        <f t="shared" ca="1" si="284"/>
        <v/>
      </c>
      <c r="BP148" s="98" t="str">
        <f>IF(BR148&lt;&gt;"",VLOOKUP($P148&amp;" | "&amp;BP$6,'Job Master'!$F$12:$J$102,5,0),"")</f>
        <v/>
      </c>
      <c r="BQ148" s="19" t="str">
        <f>IF(BR148&lt;&gt;"",VLOOKUP($P148&amp;" | "&amp;BP$6,'Job Master'!$F$12:$J$102,3,0),"")</f>
        <v/>
      </c>
      <c r="BR148" s="19" t="str">
        <f>IFERROR(IF(AND(BY148&lt;&gt;"",VLOOKUP($P148&amp;" | "&amp;BP$6,'Job Master'!$F$12:$I$102,4,0)&lt;&gt;""),IF(WEEKDAY(BY148-VLOOKUP($P148&amp;" | "&amp;BP$6,'Job Master'!$F$12:$I$102,4,0))&lt;&gt;7,BY148-VLOOKUP($P148&amp;" | "&amp;BP$6,'Job Master'!$F$12:$I$102,4,0),BY148-VLOOKUP($P148&amp;" | "&amp;BP$6,'Job Master'!$F$12:$I$102,4,0)-1),""),"")</f>
        <v/>
      </c>
      <c r="BS148" s="73"/>
      <c r="BT148" s="123" t="str">
        <f t="shared" si="285"/>
        <v/>
      </c>
      <c r="BU148" s="123" t="str">
        <f t="shared" si="286"/>
        <v/>
      </c>
      <c r="BV148" s="97" t="str">
        <f t="shared" ca="1" si="287"/>
        <v/>
      </c>
      <c r="BW148" s="98" t="str">
        <f>IF(BY148&lt;&gt;"",VLOOKUP($P148&amp;" | "&amp;BW$6,'Job Master'!$F$12:$J$102,5,0),"")</f>
        <v/>
      </c>
      <c r="BX148" s="19" t="str">
        <f>IF(BY148&lt;&gt;"",VLOOKUP($P148&amp;" | "&amp;BW$6,'Job Master'!$F$12:$J$102,3,0),"")</f>
        <v/>
      </c>
      <c r="BY148" s="19" t="str">
        <f>IFERROR(IF(AND(CF148&lt;&gt;"",VLOOKUP($P148&amp;" | "&amp;BW$6,'Job Master'!$F$12:$I$102,4,0)&lt;&gt;""),IF(WEEKDAY(CF148-VLOOKUP($P148&amp;" | "&amp;BW$6,'Job Master'!$F$12:$I$102,4,0))&lt;&gt;7,CF148-VLOOKUP($P148&amp;" | "&amp;BW$6,'Job Master'!$F$12:$I$102,4,0),CF148-VLOOKUP($P148&amp;" | "&amp;BW$6,'Job Master'!$F$12:$I$102,4,0)-1),""),"")</f>
        <v/>
      </c>
      <c r="BZ148" s="73"/>
      <c r="CA148" s="123" t="str">
        <f t="shared" si="288"/>
        <v/>
      </c>
      <c r="CB148" s="123" t="str">
        <f t="shared" si="289"/>
        <v/>
      </c>
      <c r="CC148" s="97" t="str">
        <f t="shared" ca="1" si="290"/>
        <v/>
      </c>
      <c r="CD148" s="98" t="str">
        <f>IF(CF148&lt;&gt;"",VLOOKUP($P148&amp;" | "&amp;CD$6,'Job Master'!$F$12:$J$102,5,0),"")</f>
        <v/>
      </c>
      <c r="CE148" s="19" t="str">
        <f>IF(CF148&lt;&gt;"",VLOOKUP($P148&amp;" | "&amp;CD$6,'Job Master'!$F$12:$J$102,3,0),"")</f>
        <v/>
      </c>
      <c r="CF148" s="19" t="str">
        <f>IFERROR(IF(AND(CM148&lt;&gt;"",VLOOKUP($P148&amp;" | "&amp;CD$6,'Job Master'!$F$12:$I$102,4,0)&lt;&gt;""),IF(WEEKDAY(CM148-VLOOKUP($P148&amp;" | "&amp;CD$6,'Job Master'!$F$12:$I$102,4,0))&lt;&gt;7,CM148-VLOOKUP($P148&amp;" | "&amp;CD$6,'Job Master'!$F$12:$I$102,4,0),CM148-VLOOKUP($P148&amp;" | "&amp;CD$6,'Job Master'!$F$12:$I$102,4,0)-1),""),"")</f>
        <v/>
      </c>
      <c r="CG148" s="73"/>
      <c r="CH148" s="123" t="str">
        <f t="shared" si="291"/>
        <v/>
      </c>
      <c r="CI148" s="123" t="str">
        <f t="shared" si="292"/>
        <v/>
      </c>
      <c r="CJ148" s="97" t="str">
        <f t="shared" ca="1" si="293"/>
        <v/>
      </c>
      <c r="CK148" s="98" t="str">
        <f>IF(CM148&lt;&gt;"",VLOOKUP($P148&amp;" | "&amp;CK$6,'Job Master'!$F$12:$J$102,5,0),"")</f>
        <v/>
      </c>
      <c r="CL148" s="19" t="str">
        <f>IF(CM148&lt;&gt;"",VLOOKUP($P148&amp;" | "&amp;CK$6,'Job Master'!$F$12:$J$102,3,0),"")</f>
        <v/>
      </c>
      <c r="CM148" s="19" t="str">
        <f>IFERROR(IF(AND(CT148&lt;&gt;"",VLOOKUP($P148&amp;" | "&amp;CK$6,'Job Master'!$F$12:$I$102,4,0)&lt;&gt;""),IF(WEEKDAY(CT148-VLOOKUP($P148&amp;" | "&amp;CK$6,'Job Master'!$F$12:$I$102,4,0))&lt;&gt;7,CT148-VLOOKUP($P148&amp;" | "&amp;CK$6,'Job Master'!$F$12:$I$102,4,0),CT148-VLOOKUP($P148&amp;" | "&amp;CK$6,'Job Master'!$F$12:$I$102,4,0)-1),""),"")</f>
        <v/>
      </c>
      <c r="CN148" s="73"/>
      <c r="CO148" s="123" t="str">
        <f t="shared" si="294"/>
        <v/>
      </c>
      <c r="CP148" s="123" t="str">
        <f t="shared" si="295"/>
        <v/>
      </c>
      <c r="CQ148" s="97" t="str">
        <f t="shared" ca="1" si="296"/>
        <v/>
      </c>
      <c r="CR148" s="98" t="str">
        <f>IF(CT148&lt;&gt;"",VLOOKUP($P148&amp;" | "&amp;CR$6,'Job Master'!$F$12:$J$102,5,0),"")</f>
        <v/>
      </c>
      <c r="CS148" s="19" t="str">
        <f>IF(CT148&lt;&gt;"",VLOOKUP($P148&amp;" | "&amp;CR$6,'Job Master'!$F$12:$J$102,3,0),"")</f>
        <v/>
      </c>
      <c r="CT148" s="19" t="str">
        <f>IFERROR(IF(AND(DA148&lt;&gt;"",VLOOKUP($P148&amp;" | "&amp;CR$6,'Job Master'!$F$12:$I$102,4,0)&lt;&gt;""),IF(WEEKDAY(DA148-VLOOKUP($P148&amp;" | "&amp;CR$6,'Job Master'!$F$12:$I$102,4,0))&lt;&gt;7,DA148-VLOOKUP($P148&amp;" | "&amp;CR$6,'Job Master'!$F$12:$I$102,4,0),DA148-VLOOKUP($P148&amp;" | "&amp;CR$6,'Job Master'!$F$12:$I$102,4,0)-1),""),"")</f>
        <v/>
      </c>
      <c r="CU148" s="73"/>
      <c r="CV148" s="123" t="str">
        <f t="shared" si="297"/>
        <v/>
      </c>
      <c r="CW148" s="123" t="str">
        <f t="shared" si="298"/>
        <v/>
      </c>
      <c r="CX148" s="97" t="str">
        <f t="shared" ca="1" si="299"/>
        <v/>
      </c>
      <c r="CY148" s="98" t="str">
        <f>IF(DA148&lt;&gt;"",VLOOKUP($P148&amp;" | "&amp;CY$6,'Job Master'!$F$12:$J$102,5,0),"")</f>
        <v/>
      </c>
      <c r="CZ148" s="19" t="str">
        <f>IF(DA148&lt;&gt;"",VLOOKUP($P148&amp;" | "&amp;CY$6,'Job Master'!$F$12:$J$102,3,0),"")</f>
        <v/>
      </c>
      <c r="DA148" s="19" t="str">
        <f>IFERROR(IF(AND(DH148&lt;&gt;"",VLOOKUP($P148&amp;" | "&amp;CY$6,'Job Master'!$F$12:$I$102,4,0)&lt;&gt;""),IF(WEEKDAY(DH148-VLOOKUP($P148&amp;" | "&amp;CY$6,'Job Master'!$F$12:$I$102,4,0))&lt;&gt;7,DH148-VLOOKUP($P148&amp;" | "&amp;CY$6,'Job Master'!$F$12:$I$102,4,0),DH148-VLOOKUP($P148&amp;" | "&amp;CY$6,'Job Master'!$F$12:$I$102,4,0)-1),""),"")</f>
        <v/>
      </c>
      <c r="DB148" s="73"/>
      <c r="DC148" s="123" t="str">
        <f t="shared" si="300"/>
        <v/>
      </c>
      <c r="DD148" s="123" t="str">
        <f t="shared" si="301"/>
        <v/>
      </c>
      <c r="DE148" s="97" t="str">
        <f t="shared" ca="1" si="302"/>
        <v/>
      </c>
      <c r="DF148" s="98" t="str">
        <f>IF(DH148&lt;&gt;"",VLOOKUP($P148&amp;" | "&amp;DF$6,'Job Master'!$F$12:$J$102,5,0),"")</f>
        <v/>
      </c>
      <c r="DG148" s="19" t="str">
        <f>IF(DH148&lt;&gt;"",VLOOKUP($P148&amp;" | "&amp;DF$6,'Job Master'!$F$12:$J$102,3,0),"")</f>
        <v/>
      </c>
      <c r="DH148" s="19" t="str">
        <f>IFERROR(IF(AND(DO148&lt;&gt;"",VLOOKUP($P148&amp;" | "&amp;DF$6,'Job Master'!$F$12:$I$102,4,0)&lt;&gt;""),IF(WEEKDAY(DO148-VLOOKUP($P148&amp;" | "&amp;DF$6,'Job Master'!$F$12:$I$102,4,0))&lt;&gt;7,DO148-VLOOKUP($P148&amp;" | "&amp;DF$6,'Job Master'!$F$12:$I$102,4,0),DO148-VLOOKUP($P148&amp;" | "&amp;DF$6,'Job Master'!$F$12:$I$102,4,0)-1),""),"")</f>
        <v/>
      </c>
      <c r="DI148" s="73"/>
      <c r="DJ148" s="123" t="str">
        <f t="shared" si="303"/>
        <v/>
      </c>
      <c r="DK148" s="123" t="str">
        <f t="shared" si="304"/>
        <v/>
      </c>
      <c r="DL148" s="97" t="str">
        <f t="shared" ca="1" si="305"/>
        <v/>
      </c>
      <c r="DM148" s="98" t="str">
        <f>IF(DO148&lt;&gt;"",VLOOKUP($P148&amp;" | "&amp;DM$6,'Job Master'!$F$12:$J$102,5,0),"")</f>
        <v/>
      </c>
      <c r="DN148" s="19" t="str">
        <f>IF(DO148&lt;&gt;"",VLOOKUP($P148&amp;" | "&amp;DM$6,'Job Master'!$F$12:$J$102,3,0),"")</f>
        <v/>
      </c>
      <c r="DO148" s="19" t="str">
        <f>IFERROR(IF(AND(DT148&lt;&gt;"",VLOOKUP($P148&amp;" | "&amp;DM$6,'Job Master'!$F$12:$I$102,4,0)&lt;&gt;""),IF(WEEKDAY(DT148-VLOOKUP($P148&amp;" | "&amp;DM$6,'Job Master'!$F$12:$I$102,4,0))&lt;&gt;7,DT148-VLOOKUP($P148&amp;" | "&amp;DM$6,'Job Master'!$F$12:$I$102,4,0),DT148-VLOOKUP($P148&amp;" | "&amp;DM$6,'Job Master'!$F$12:$I$102,4,0)-1),""),"")</f>
        <v/>
      </c>
      <c r="DP148" s="73"/>
      <c r="DQ148" s="123" t="str">
        <f t="shared" si="306"/>
        <v/>
      </c>
      <c r="DR148" s="123" t="str">
        <f t="shared" si="307"/>
        <v/>
      </c>
      <c r="DS148" s="97" t="str">
        <f t="shared" ca="1" si="308"/>
        <v/>
      </c>
      <c r="DT148" s="70" t="str">
        <f t="shared" si="309"/>
        <v/>
      </c>
      <c r="DU148" s="90"/>
      <c r="DV148" s="123" t="str">
        <f t="shared" si="310"/>
        <v/>
      </c>
      <c r="DW148" s="123" t="str">
        <f t="shared" si="311"/>
        <v/>
      </c>
      <c r="DX148" s="132" t="str">
        <f t="shared" ref="DX148" ca="1" si="330">IF(DT148&lt;&gt;"",IF(WEEKNUM(DT148)=WEEKNUM(TODAY()),"This Week",IF(WEEKNUM(DT148)=WEEKNUM(TODAY())+1,"Next Week",IF(WEEKNUM(DT148)=WEEKNUM(TODAY())-1,"Previous Week",""))),"")</f>
        <v/>
      </c>
      <c r="DY148" s="134" t="str">
        <f t="shared" si="313"/>
        <v/>
      </c>
      <c r="DZ148" s="95"/>
      <c r="EB148" s="8" t="str">
        <f t="shared" si="319"/>
        <v/>
      </c>
      <c r="EC148" s="8" t="str">
        <f>IF(O148&lt;&gt;"",VLOOKUP(O148,'Job Master'!$N$12:$O$18,2,0),"")</f>
        <v/>
      </c>
      <c r="ED148" s="8">
        <f t="shared" si="320"/>
        <v>19.5</v>
      </c>
      <c r="EE148" s="8">
        <f t="shared" si="321"/>
        <v>6</v>
      </c>
      <c r="EF148" s="8">
        <f t="shared" si="322"/>
        <v>-808.5</v>
      </c>
      <c r="EG148" s="8" t="str">
        <f t="shared" si="323"/>
        <v/>
      </c>
      <c r="EH148" s="8" t="str">
        <f t="shared" si="324"/>
        <v/>
      </c>
    </row>
    <row r="149" spans="2:138" x14ac:dyDescent="0.3">
      <c r="B149" s="112"/>
      <c r="C149" s="27"/>
      <c r="D149" s="7" t="str">
        <f t="shared" si="261"/>
        <v/>
      </c>
      <c r="E149" s="25"/>
      <c r="F149" s="7" t="str">
        <f t="shared" si="261"/>
        <v/>
      </c>
      <c r="G149" s="25"/>
      <c r="H149" s="7" t="str">
        <f t="shared" si="261"/>
        <v/>
      </c>
      <c r="I149" s="25"/>
      <c r="J149" s="7" t="str">
        <f t="shared" si="261"/>
        <v/>
      </c>
      <c r="K149" s="25"/>
      <c r="L149" s="7" t="str">
        <f t="shared" si="262"/>
        <v/>
      </c>
      <c r="M149" s="25"/>
      <c r="N149" s="7" t="str">
        <f t="shared" si="263"/>
        <v/>
      </c>
      <c r="O149" s="81"/>
      <c r="P149" s="81" t="str">
        <f t="shared" si="264"/>
        <v/>
      </c>
      <c r="Q149" s="81"/>
      <c r="R149" s="7" t="str">
        <f t="shared" si="265"/>
        <v/>
      </c>
      <c r="S149" s="25"/>
      <c r="T149" s="7" t="str">
        <f t="shared" si="266"/>
        <v/>
      </c>
      <c r="U149" s="25"/>
      <c r="V149" s="7" t="str">
        <f t="shared" si="267"/>
        <v/>
      </c>
      <c r="W149" s="25"/>
      <c r="X149" s="7" t="str">
        <f t="shared" si="268"/>
        <v/>
      </c>
      <c r="Y149" s="18" t="str">
        <f t="shared" si="269"/>
        <v/>
      </c>
      <c r="Z149" s="7" t="str">
        <f t="shared" si="270"/>
        <v/>
      </c>
      <c r="AA149" s="18" t="str">
        <f t="shared" si="271"/>
        <v/>
      </c>
      <c r="AB149" s="19" t="str">
        <f t="shared" si="272"/>
        <v/>
      </c>
      <c r="AC149" s="26"/>
      <c r="AD149" s="26"/>
      <c r="AE149" s="25"/>
      <c r="AF149" s="26"/>
      <c r="AG149" s="25"/>
      <c r="AH149" s="25"/>
      <c r="AI149" s="18" t="str">
        <f t="shared" si="209"/>
        <v/>
      </c>
      <c r="AJ149" s="25"/>
      <c r="AK149" s="18" t="str">
        <f t="shared" si="210"/>
        <v/>
      </c>
      <c r="AL149" s="79"/>
      <c r="AM149" s="126" t="str">
        <f t="shared" si="211"/>
        <v/>
      </c>
      <c r="AN149" s="128" t="str">
        <f>IF(AP149&lt;&gt;"",VLOOKUP($P149&amp;" | "&amp;AN$6,'Job Master'!$F$12:$J$102,5,0),"")</f>
        <v/>
      </c>
      <c r="AO149" s="19" t="str">
        <f>IF(AP149&lt;&gt;"",VLOOKUP($P149&amp;" | "&amp;AN$6,'Job Master'!$F$12:$J$102,3,0),"")</f>
        <v/>
      </c>
      <c r="AP149" s="19" t="str">
        <f>IFERROR(IF(AND(AW149&lt;&gt;"",VLOOKUP($P149&amp;" | "&amp;AN$6,'Job Master'!$F$12:$I$102,4,0)&lt;&gt;""),IF(WEEKDAY(AW149-VLOOKUP($P149&amp;" | "&amp;AN$6,'Job Master'!$F$12:$I$102,4,0))&lt;&gt;7,AW149-VLOOKUP($P149&amp;" | "&amp;AN$6,'Job Master'!$F$12:$I$102,4,0),AW149-VLOOKUP($P149&amp;" | "&amp;AN$6,'Job Master'!$F$12:$I$102,4,0)-1),""),"")</f>
        <v/>
      </c>
      <c r="AQ149" s="73"/>
      <c r="AR149" s="123" t="str">
        <f t="shared" si="273"/>
        <v/>
      </c>
      <c r="AS149" s="123" t="str">
        <f t="shared" si="274"/>
        <v/>
      </c>
      <c r="AT149" s="97" t="str">
        <f t="shared" ca="1" si="275"/>
        <v/>
      </c>
      <c r="AU149" s="98" t="str">
        <f>IF(AW149&lt;&gt;"",VLOOKUP($P149&amp;" | "&amp;AU$6,'Job Master'!$F$12:$J$102,5,0),"")</f>
        <v/>
      </c>
      <c r="AV149" s="19" t="str">
        <f>IF(AW149&lt;&gt;"",VLOOKUP($P149&amp;" | "&amp;AU$6,'Job Master'!$F$12:$J$102,3,0),"")</f>
        <v/>
      </c>
      <c r="AW149" s="19" t="str">
        <f>IFERROR(IF(AND(BD149&lt;&gt;"",VLOOKUP($P149&amp;" | "&amp;AU$6,'Job Master'!$F$12:$I$102,4,0)&lt;&gt;""),IF(WEEKDAY(BD149-VLOOKUP($P149&amp;" | "&amp;AU$6,'Job Master'!$F$12:$I$102,4,0))&lt;&gt;7,BD149-VLOOKUP($P149&amp;" | "&amp;AU$6,'Job Master'!$F$12:$I$102,4,0),BD149-VLOOKUP($P149&amp;" | "&amp;AU$6,'Job Master'!$F$12:$I$102,4,0)-1),""),"")</f>
        <v/>
      </c>
      <c r="AX149" s="73"/>
      <c r="AY149" s="123" t="str">
        <f t="shared" si="276"/>
        <v/>
      </c>
      <c r="AZ149" s="123" t="str">
        <f t="shared" si="277"/>
        <v/>
      </c>
      <c r="BA149" s="97" t="str">
        <f t="shared" ca="1" si="278"/>
        <v/>
      </c>
      <c r="BB149" s="98" t="str">
        <f>IF(BD149&lt;&gt;"",VLOOKUP($P149&amp;" | "&amp;BB$6,'Job Master'!$F$12:$J$102,5,0),"")</f>
        <v/>
      </c>
      <c r="BC149" s="19" t="str">
        <f>IF(BD149&lt;&gt;"",VLOOKUP($P149&amp;" | "&amp;BB$6,'Job Master'!$F$12:$J$102,3,0),"")</f>
        <v/>
      </c>
      <c r="BD149" s="19" t="str">
        <f>IFERROR(IF(AND(BK149&lt;&gt;"",VLOOKUP($P149&amp;" | "&amp;BB$6,'Job Master'!$F$12:$I$102,4,0)&lt;&gt;""),IF(WEEKDAY(BK149-VLOOKUP($P149&amp;" | "&amp;BB$6,'Job Master'!$F$12:$I$102,4,0))&lt;&gt;7,BK149-VLOOKUP($P149&amp;" | "&amp;BB$6,'Job Master'!$F$12:$I$102,4,0),BK149-VLOOKUP($P149&amp;" | "&amp;BB$6,'Job Master'!$F$12:$I$102,4,0)-1),""),"")</f>
        <v/>
      </c>
      <c r="BE149" s="73"/>
      <c r="BF149" s="123" t="str">
        <f t="shared" si="279"/>
        <v/>
      </c>
      <c r="BG149" s="123" t="str">
        <f t="shared" si="280"/>
        <v/>
      </c>
      <c r="BH149" s="97" t="str">
        <f t="shared" ca="1" si="281"/>
        <v/>
      </c>
      <c r="BI149" s="98" t="str">
        <f>IF(BK149&lt;&gt;"",VLOOKUP($P149&amp;" | "&amp;BI$6,'Job Master'!$F$12:$J$102,5,0),"")</f>
        <v/>
      </c>
      <c r="BJ149" s="19" t="str">
        <f>IF(BK149&lt;&gt;"",VLOOKUP($P149&amp;" | "&amp;BI$6,'Job Master'!$F$12:$J$102,3,0),"")</f>
        <v/>
      </c>
      <c r="BK149" s="19" t="str">
        <f>IFERROR(IF(AND(BR149&lt;&gt;"",VLOOKUP($P149&amp;" | "&amp;BI$6,'Job Master'!$F$12:$I$102,4,0)&lt;&gt;""),IF(WEEKDAY(BR149-VLOOKUP($P149&amp;" | "&amp;BI$6,'Job Master'!$F$12:$I$102,4,0))&lt;&gt;7,BR149-VLOOKUP($P149&amp;" | "&amp;BI$6,'Job Master'!$F$12:$I$102,4,0),BR149-VLOOKUP($P149&amp;" | "&amp;BI$6,'Job Master'!$F$12:$I$102,4,0)-1),""),"")</f>
        <v/>
      </c>
      <c r="BL149" s="73"/>
      <c r="BM149" s="123" t="str">
        <f t="shared" si="282"/>
        <v/>
      </c>
      <c r="BN149" s="123" t="str">
        <f t="shared" si="283"/>
        <v/>
      </c>
      <c r="BO149" s="97" t="str">
        <f t="shared" ca="1" si="284"/>
        <v/>
      </c>
      <c r="BP149" s="98" t="str">
        <f>IF(BR149&lt;&gt;"",VLOOKUP($P149&amp;" | "&amp;BP$6,'Job Master'!$F$12:$J$102,5,0),"")</f>
        <v/>
      </c>
      <c r="BQ149" s="19" t="str">
        <f>IF(BR149&lt;&gt;"",VLOOKUP($P149&amp;" | "&amp;BP$6,'Job Master'!$F$12:$J$102,3,0),"")</f>
        <v/>
      </c>
      <c r="BR149" s="19" t="str">
        <f>IFERROR(IF(AND(BY149&lt;&gt;"",VLOOKUP($P149&amp;" | "&amp;BP$6,'Job Master'!$F$12:$I$102,4,0)&lt;&gt;""),IF(WEEKDAY(BY149-VLOOKUP($P149&amp;" | "&amp;BP$6,'Job Master'!$F$12:$I$102,4,0))&lt;&gt;7,BY149-VLOOKUP($P149&amp;" | "&amp;BP$6,'Job Master'!$F$12:$I$102,4,0),BY149-VLOOKUP($P149&amp;" | "&amp;BP$6,'Job Master'!$F$12:$I$102,4,0)-1),""),"")</f>
        <v/>
      </c>
      <c r="BS149" s="73"/>
      <c r="BT149" s="123" t="str">
        <f t="shared" si="285"/>
        <v/>
      </c>
      <c r="BU149" s="123" t="str">
        <f t="shared" si="286"/>
        <v/>
      </c>
      <c r="BV149" s="97" t="str">
        <f t="shared" ca="1" si="287"/>
        <v/>
      </c>
      <c r="BW149" s="98" t="str">
        <f>IF(BY149&lt;&gt;"",VLOOKUP($P149&amp;" | "&amp;BW$6,'Job Master'!$F$12:$J$102,5,0),"")</f>
        <v/>
      </c>
      <c r="BX149" s="19" t="str">
        <f>IF(BY149&lt;&gt;"",VLOOKUP($P149&amp;" | "&amp;BW$6,'Job Master'!$F$12:$J$102,3,0),"")</f>
        <v/>
      </c>
      <c r="BY149" s="19" t="str">
        <f>IFERROR(IF(AND(CF149&lt;&gt;"",VLOOKUP($P149&amp;" | "&amp;BW$6,'Job Master'!$F$12:$I$102,4,0)&lt;&gt;""),IF(WEEKDAY(CF149-VLOOKUP($P149&amp;" | "&amp;BW$6,'Job Master'!$F$12:$I$102,4,0))&lt;&gt;7,CF149-VLOOKUP($P149&amp;" | "&amp;BW$6,'Job Master'!$F$12:$I$102,4,0),CF149-VLOOKUP($P149&amp;" | "&amp;BW$6,'Job Master'!$F$12:$I$102,4,0)-1),""),"")</f>
        <v/>
      </c>
      <c r="BZ149" s="73"/>
      <c r="CA149" s="123" t="str">
        <f t="shared" si="288"/>
        <v/>
      </c>
      <c r="CB149" s="123" t="str">
        <f t="shared" si="289"/>
        <v/>
      </c>
      <c r="CC149" s="97" t="str">
        <f t="shared" ca="1" si="290"/>
        <v/>
      </c>
      <c r="CD149" s="98" t="str">
        <f>IF(CF149&lt;&gt;"",VLOOKUP($P149&amp;" | "&amp;CD$6,'Job Master'!$F$12:$J$102,5,0),"")</f>
        <v/>
      </c>
      <c r="CE149" s="19" t="str">
        <f>IF(CF149&lt;&gt;"",VLOOKUP($P149&amp;" | "&amp;CD$6,'Job Master'!$F$12:$J$102,3,0),"")</f>
        <v/>
      </c>
      <c r="CF149" s="19" t="str">
        <f>IFERROR(IF(AND(CM149&lt;&gt;"",VLOOKUP($P149&amp;" | "&amp;CD$6,'Job Master'!$F$12:$I$102,4,0)&lt;&gt;""),IF(WEEKDAY(CM149-VLOOKUP($P149&amp;" | "&amp;CD$6,'Job Master'!$F$12:$I$102,4,0))&lt;&gt;7,CM149-VLOOKUP($P149&amp;" | "&amp;CD$6,'Job Master'!$F$12:$I$102,4,0),CM149-VLOOKUP($P149&amp;" | "&amp;CD$6,'Job Master'!$F$12:$I$102,4,0)-1),""),"")</f>
        <v/>
      </c>
      <c r="CG149" s="73"/>
      <c r="CH149" s="123" t="str">
        <f t="shared" si="291"/>
        <v/>
      </c>
      <c r="CI149" s="123" t="str">
        <f t="shared" si="292"/>
        <v/>
      </c>
      <c r="CJ149" s="97" t="str">
        <f t="shared" ca="1" si="293"/>
        <v/>
      </c>
      <c r="CK149" s="98" t="str">
        <f>IF(CM149&lt;&gt;"",VLOOKUP($P149&amp;" | "&amp;CK$6,'Job Master'!$F$12:$J$102,5,0),"")</f>
        <v/>
      </c>
      <c r="CL149" s="19" t="str">
        <f>IF(CM149&lt;&gt;"",VLOOKUP($P149&amp;" | "&amp;CK$6,'Job Master'!$F$12:$J$102,3,0),"")</f>
        <v/>
      </c>
      <c r="CM149" s="19" t="str">
        <f>IFERROR(IF(AND(CT149&lt;&gt;"",VLOOKUP($P149&amp;" | "&amp;CK$6,'Job Master'!$F$12:$I$102,4,0)&lt;&gt;""),IF(WEEKDAY(CT149-VLOOKUP($P149&amp;" | "&amp;CK$6,'Job Master'!$F$12:$I$102,4,0))&lt;&gt;7,CT149-VLOOKUP($P149&amp;" | "&amp;CK$6,'Job Master'!$F$12:$I$102,4,0),CT149-VLOOKUP($P149&amp;" | "&amp;CK$6,'Job Master'!$F$12:$I$102,4,0)-1),""),"")</f>
        <v/>
      </c>
      <c r="CN149" s="73"/>
      <c r="CO149" s="123" t="str">
        <f t="shared" si="294"/>
        <v/>
      </c>
      <c r="CP149" s="123" t="str">
        <f t="shared" si="295"/>
        <v/>
      </c>
      <c r="CQ149" s="97" t="str">
        <f t="shared" ca="1" si="296"/>
        <v/>
      </c>
      <c r="CR149" s="98" t="str">
        <f>IF(CT149&lt;&gt;"",VLOOKUP($P149&amp;" | "&amp;CR$6,'Job Master'!$F$12:$J$102,5,0),"")</f>
        <v/>
      </c>
      <c r="CS149" s="19" t="str">
        <f>IF(CT149&lt;&gt;"",VLOOKUP($P149&amp;" | "&amp;CR$6,'Job Master'!$F$12:$J$102,3,0),"")</f>
        <v/>
      </c>
      <c r="CT149" s="19" t="str">
        <f>IFERROR(IF(AND(DA149&lt;&gt;"",VLOOKUP($P149&amp;" | "&amp;CR$6,'Job Master'!$F$12:$I$102,4,0)&lt;&gt;""),IF(WEEKDAY(DA149-VLOOKUP($P149&amp;" | "&amp;CR$6,'Job Master'!$F$12:$I$102,4,0))&lt;&gt;7,DA149-VLOOKUP($P149&amp;" | "&amp;CR$6,'Job Master'!$F$12:$I$102,4,0),DA149-VLOOKUP($P149&amp;" | "&amp;CR$6,'Job Master'!$F$12:$I$102,4,0)-1),""),"")</f>
        <v/>
      </c>
      <c r="CU149" s="73"/>
      <c r="CV149" s="123" t="str">
        <f t="shared" si="297"/>
        <v/>
      </c>
      <c r="CW149" s="123" t="str">
        <f t="shared" si="298"/>
        <v/>
      </c>
      <c r="CX149" s="97" t="str">
        <f t="shared" ca="1" si="299"/>
        <v/>
      </c>
      <c r="CY149" s="98" t="str">
        <f>IF(DA149&lt;&gt;"",VLOOKUP($P149&amp;" | "&amp;CY$6,'Job Master'!$F$12:$J$102,5,0),"")</f>
        <v/>
      </c>
      <c r="CZ149" s="19" t="str">
        <f>IF(DA149&lt;&gt;"",VLOOKUP($P149&amp;" | "&amp;CY$6,'Job Master'!$F$12:$J$102,3,0),"")</f>
        <v/>
      </c>
      <c r="DA149" s="19" t="str">
        <f>IFERROR(IF(AND(DH149&lt;&gt;"",VLOOKUP($P149&amp;" | "&amp;CY$6,'Job Master'!$F$12:$I$102,4,0)&lt;&gt;""),IF(WEEKDAY(DH149-VLOOKUP($P149&amp;" | "&amp;CY$6,'Job Master'!$F$12:$I$102,4,0))&lt;&gt;7,DH149-VLOOKUP($P149&amp;" | "&amp;CY$6,'Job Master'!$F$12:$I$102,4,0),DH149-VLOOKUP($P149&amp;" | "&amp;CY$6,'Job Master'!$F$12:$I$102,4,0)-1),""),"")</f>
        <v/>
      </c>
      <c r="DB149" s="73"/>
      <c r="DC149" s="123" t="str">
        <f t="shared" si="300"/>
        <v/>
      </c>
      <c r="DD149" s="123" t="str">
        <f t="shared" si="301"/>
        <v/>
      </c>
      <c r="DE149" s="97" t="str">
        <f t="shared" ca="1" si="302"/>
        <v/>
      </c>
      <c r="DF149" s="98" t="str">
        <f>IF(DH149&lt;&gt;"",VLOOKUP($P149&amp;" | "&amp;DF$6,'Job Master'!$F$12:$J$102,5,0),"")</f>
        <v/>
      </c>
      <c r="DG149" s="19" t="str">
        <f>IF(DH149&lt;&gt;"",VLOOKUP($P149&amp;" | "&amp;DF$6,'Job Master'!$F$12:$J$102,3,0),"")</f>
        <v/>
      </c>
      <c r="DH149" s="19" t="str">
        <f>IFERROR(IF(AND(DO149&lt;&gt;"",VLOOKUP($P149&amp;" | "&amp;DF$6,'Job Master'!$F$12:$I$102,4,0)&lt;&gt;""),IF(WEEKDAY(DO149-VLOOKUP($P149&amp;" | "&amp;DF$6,'Job Master'!$F$12:$I$102,4,0))&lt;&gt;7,DO149-VLOOKUP($P149&amp;" | "&amp;DF$6,'Job Master'!$F$12:$I$102,4,0),DO149-VLOOKUP($P149&amp;" | "&amp;DF$6,'Job Master'!$F$12:$I$102,4,0)-1),""),"")</f>
        <v/>
      </c>
      <c r="DI149" s="73"/>
      <c r="DJ149" s="123" t="str">
        <f t="shared" si="303"/>
        <v/>
      </c>
      <c r="DK149" s="123" t="str">
        <f t="shared" si="304"/>
        <v/>
      </c>
      <c r="DL149" s="97" t="str">
        <f t="shared" ca="1" si="305"/>
        <v/>
      </c>
      <c r="DM149" s="98" t="str">
        <f>IF(DO149&lt;&gt;"",VLOOKUP($P149&amp;" | "&amp;DM$6,'Job Master'!$F$12:$J$102,5,0),"")</f>
        <v/>
      </c>
      <c r="DN149" s="19" t="str">
        <f>IF(DO149&lt;&gt;"",VLOOKUP($P149&amp;" | "&amp;DM$6,'Job Master'!$F$12:$J$102,3,0),"")</f>
        <v/>
      </c>
      <c r="DO149" s="19" t="str">
        <f>IFERROR(IF(AND(DT149&lt;&gt;"",VLOOKUP($P149&amp;" | "&amp;DM$6,'Job Master'!$F$12:$I$102,4,0)&lt;&gt;""),IF(WEEKDAY(DT149-VLOOKUP($P149&amp;" | "&amp;DM$6,'Job Master'!$F$12:$I$102,4,0))&lt;&gt;7,DT149-VLOOKUP($P149&amp;" | "&amp;DM$6,'Job Master'!$F$12:$I$102,4,0),DT149-VLOOKUP($P149&amp;" | "&amp;DM$6,'Job Master'!$F$12:$I$102,4,0)-1),""),"")</f>
        <v/>
      </c>
      <c r="DP149" s="73"/>
      <c r="DQ149" s="123" t="str">
        <f t="shared" si="306"/>
        <v/>
      </c>
      <c r="DR149" s="123" t="str">
        <f t="shared" si="307"/>
        <v/>
      </c>
      <c r="DS149" s="97" t="str">
        <f t="shared" ca="1" si="308"/>
        <v/>
      </c>
      <c r="DT149" s="70" t="str">
        <f t="shared" si="309"/>
        <v/>
      </c>
      <c r="DU149" s="90"/>
      <c r="DV149" s="123" t="str">
        <f t="shared" si="310"/>
        <v/>
      </c>
      <c r="DW149" s="123" t="str">
        <f t="shared" si="311"/>
        <v/>
      </c>
      <c r="DX149" s="132" t="str">
        <f t="shared" ref="DX149" ca="1" si="331">IF(DT149&lt;&gt;"",IF(WEEKNUM(DT149)=WEEKNUM(TODAY()),"This Week",IF(WEEKNUM(DT149)=WEEKNUM(TODAY())+1,"Next Week",IF(WEEKNUM(DT149)=WEEKNUM(TODAY())-1,"Previous Week",""))),"")</f>
        <v/>
      </c>
      <c r="DY149" s="134" t="str">
        <f t="shared" si="313"/>
        <v/>
      </c>
      <c r="DZ149" s="95"/>
      <c r="EB149" s="8" t="str">
        <f t="shared" si="319"/>
        <v/>
      </c>
      <c r="EC149" s="8" t="str">
        <f>IF(O149&lt;&gt;"",VLOOKUP(O149,'Job Master'!$N$12:$O$18,2,0),"")</f>
        <v/>
      </c>
      <c r="ED149" s="8">
        <f t="shared" si="320"/>
        <v>19.5</v>
      </c>
      <c r="EE149" s="8">
        <f t="shared" si="321"/>
        <v>6</v>
      </c>
      <c r="EF149" s="8">
        <f t="shared" si="322"/>
        <v>-814.5</v>
      </c>
      <c r="EG149" s="8" t="str">
        <f t="shared" si="323"/>
        <v/>
      </c>
      <c r="EH149" s="8" t="str">
        <f t="shared" si="324"/>
        <v/>
      </c>
    </row>
    <row r="150" spans="2:138" x14ac:dyDescent="0.3">
      <c r="B150" s="112"/>
      <c r="C150" s="27"/>
      <c r="D150" s="7" t="str">
        <f t="shared" si="261"/>
        <v/>
      </c>
      <c r="E150" s="25"/>
      <c r="F150" s="7" t="str">
        <f t="shared" si="261"/>
        <v/>
      </c>
      <c r="G150" s="25"/>
      <c r="H150" s="7" t="str">
        <f t="shared" si="261"/>
        <v/>
      </c>
      <c r="I150" s="25"/>
      <c r="J150" s="7" t="str">
        <f t="shared" si="261"/>
        <v/>
      </c>
      <c r="K150" s="25"/>
      <c r="L150" s="7" t="str">
        <f t="shared" si="262"/>
        <v/>
      </c>
      <c r="M150" s="25"/>
      <c r="N150" s="7" t="str">
        <f t="shared" si="263"/>
        <v/>
      </c>
      <c r="O150" s="81"/>
      <c r="P150" s="81" t="str">
        <f t="shared" si="264"/>
        <v/>
      </c>
      <c r="Q150" s="81"/>
      <c r="R150" s="7" t="str">
        <f t="shared" si="265"/>
        <v/>
      </c>
      <c r="S150" s="25"/>
      <c r="T150" s="7" t="str">
        <f t="shared" si="266"/>
        <v/>
      </c>
      <c r="U150" s="25"/>
      <c r="V150" s="7" t="str">
        <f t="shared" si="267"/>
        <v/>
      </c>
      <c r="W150" s="25"/>
      <c r="X150" s="7" t="str">
        <f t="shared" si="268"/>
        <v/>
      </c>
      <c r="Y150" s="18" t="str">
        <f t="shared" si="269"/>
        <v/>
      </c>
      <c r="Z150" s="7" t="str">
        <f t="shared" si="270"/>
        <v/>
      </c>
      <c r="AA150" s="18" t="str">
        <f t="shared" si="271"/>
        <v/>
      </c>
      <c r="AB150" s="19" t="str">
        <f t="shared" si="272"/>
        <v/>
      </c>
      <c r="AC150" s="26"/>
      <c r="AD150" s="26"/>
      <c r="AE150" s="25"/>
      <c r="AF150" s="26"/>
      <c r="AG150" s="25"/>
      <c r="AH150" s="25"/>
      <c r="AI150" s="18" t="str">
        <f t="shared" si="209"/>
        <v/>
      </c>
      <c r="AJ150" s="25"/>
      <c r="AK150" s="18" t="str">
        <f t="shared" si="210"/>
        <v/>
      </c>
      <c r="AL150" s="79"/>
      <c r="AM150" s="126" t="str">
        <f t="shared" si="211"/>
        <v/>
      </c>
      <c r="AN150" s="128" t="str">
        <f>IF(AP150&lt;&gt;"",VLOOKUP($P150&amp;" | "&amp;AN$6,'Job Master'!$F$12:$J$102,5,0),"")</f>
        <v/>
      </c>
      <c r="AO150" s="19" t="str">
        <f>IF(AP150&lt;&gt;"",VLOOKUP($P150&amp;" | "&amp;AN$6,'Job Master'!$F$12:$J$102,3,0),"")</f>
        <v/>
      </c>
      <c r="AP150" s="19" t="str">
        <f>IFERROR(IF(AND(AW150&lt;&gt;"",VLOOKUP($P150&amp;" | "&amp;AN$6,'Job Master'!$F$12:$I$102,4,0)&lt;&gt;""),IF(WEEKDAY(AW150-VLOOKUP($P150&amp;" | "&amp;AN$6,'Job Master'!$F$12:$I$102,4,0))&lt;&gt;7,AW150-VLOOKUP($P150&amp;" | "&amp;AN$6,'Job Master'!$F$12:$I$102,4,0),AW150-VLOOKUP($P150&amp;" | "&amp;AN$6,'Job Master'!$F$12:$I$102,4,0)-1),""),"")</f>
        <v/>
      </c>
      <c r="AQ150" s="73"/>
      <c r="AR150" s="123" t="str">
        <f t="shared" si="273"/>
        <v/>
      </c>
      <c r="AS150" s="123" t="str">
        <f t="shared" si="274"/>
        <v/>
      </c>
      <c r="AT150" s="97" t="str">
        <f t="shared" ca="1" si="275"/>
        <v/>
      </c>
      <c r="AU150" s="98" t="str">
        <f>IF(AW150&lt;&gt;"",VLOOKUP($P150&amp;" | "&amp;AU$6,'Job Master'!$F$12:$J$102,5,0),"")</f>
        <v/>
      </c>
      <c r="AV150" s="19" t="str">
        <f>IF(AW150&lt;&gt;"",VLOOKUP($P150&amp;" | "&amp;AU$6,'Job Master'!$F$12:$J$102,3,0),"")</f>
        <v/>
      </c>
      <c r="AW150" s="19" t="str">
        <f>IFERROR(IF(AND(BD150&lt;&gt;"",VLOOKUP($P150&amp;" | "&amp;AU$6,'Job Master'!$F$12:$I$102,4,0)&lt;&gt;""),IF(WEEKDAY(BD150-VLOOKUP($P150&amp;" | "&amp;AU$6,'Job Master'!$F$12:$I$102,4,0))&lt;&gt;7,BD150-VLOOKUP($P150&amp;" | "&amp;AU$6,'Job Master'!$F$12:$I$102,4,0),BD150-VLOOKUP($P150&amp;" | "&amp;AU$6,'Job Master'!$F$12:$I$102,4,0)-1),""),"")</f>
        <v/>
      </c>
      <c r="AX150" s="73"/>
      <c r="AY150" s="123" t="str">
        <f t="shared" si="276"/>
        <v/>
      </c>
      <c r="AZ150" s="123" t="str">
        <f t="shared" si="277"/>
        <v/>
      </c>
      <c r="BA150" s="97" t="str">
        <f t="shared" ca="1" si="278"/>
        <v/>
      </c>
      <c r="BB150" s="98" t="str">
        <f>IF(BD150&lt;&gt;"",VLOOKUP($P150&amp;" | "&amp;BB$6,'Job Master'!$F$12:$J$102,5,0),"")</f>
        <v/>
      </c>
      <c r="BC150" s="19" t="str">
        <f>IF(BD150&lt;&gt;"",VLOOKUP($P150&amp;" | "&amp;BB$6,'Job Master'!$F$12:$J$102,3,0),"")</f>
        <v/>
      </c>
      <c r="BD150" s="19" t="str">
        <f>IFERROR(IF(AND(BK150&lt;&gt;"",VLOOKUP($P150&amp;" | "&amp;BB$6,'Job Master'!$F$12:$I$102,4,0)&lt;&gt;""),IF(WEEKDAY(BK150-VLOOKUP($P150&amp;" | "&amp;BB$6,'Job Master'!$F$12:$I$102,4,0))&lt;&gt;7,BK150-VLOOKUP($P150&amp;" | "&amp;BB$6,'Job Master'!$F$12:$I$102,4,0),BK150-VLOOKUP($P150&amp;" | "&amp;BB$6,'Job Master'!$F$12:$I$102,4,0)-1),""),"")</f>
        <v/>
      </c>
      <c r="BE150" s="73"/>
      <c r="BF150" s="123" t="str">
        <f t="shared" si="279"/>
        <v/>
      </c>
      <c r="BG150" s="123" t="str">
        <f t="shared" si="280"/>
        <v/>
      </c>
      <c r="BH150" s="97" t="str">
        <f t="shared" ca="1" si="281"/>
        <v/>
      </c>
      <c r="BI150" s="98" t="str">
        <f>IF(BK150&lt;&gt;"",VLOOKUP($P150&amp;" | "&amp;BI$6,'Job Master'!$F$12:$J$102,5,0),"")</f>
        <v/>
      </c>
      <c r="BJ150" s="19" t="str">
        <f>IF(BK150&lt;&gt;"",VLOOKUP($P150&amp;" | "&amp;BI$6,'Job Master'!$F$12:$J$102,3,0),"")</f>
        <v/>
      </c>
      <c r="BK150" s="19" t="str">
        <f>IFERROR(IF(AND(BR150&lt;&gt;"",VLOOKUP($P150&amp;" | "&amp;BI$6,'Job Master'!$F$12:$I$102,4,0)&lt;&gt;""),IF(WEEKDAY(BR150-VLOOKUP($P150&amp;" | "&amp;BI$6,'Job Master'!$F$12:$I$102,4,0))&lt;&gt;7,BR150-VLOOKUP($P150&amp;" | "&amp;BI$6,'Job Master'!$F$12:$I$102,4,0),BR150-VLOOKUP($P150&amp;" | "&amp;BI$6,'Job Master'!$F$12:$I$102,4,0)-1),""),"")</f>
        <v/>
      </c>
      <c r="BL150" s="73"/>
      <c r="BM150" s="123" t="str">
        <f t="shared" si="282"/>
        <v/>
      </c>
      <c r="BN150" s="123" t="str">
        <f t="shared" si="283"/>
        <v/>
      </c>
      <c r="BO150" s="97" t="str">
        <f t="shared" ca="1" si="284"/>
        <v/>
      </c>
      <c r="BP150" s="98" t="str">
        <f>IF(BR150&lt;&gt;"",VLOOKUP($P150&amp;" | "&amp;BP$6,'Job Master'!$F$12:$J$102,5,0),"")</f>
        <v/>
      </c>
      <c r="BQ150" s="19" t="str">
        <f>IF(BR150&lt;&gt;"",VLOOKUP($P150&amp;" | "&amp;BP$6,'Job Master'!$F$12:$J$102,3,0),"")</f>
        <v/>
      </c>
      <c r="BR150" s="19" t="str">
        <f>IFERROR(IF(AND(BY150&lt;&gt;"",VLOOKUP($P150&amp;" | "&amp;BP$6,'Job Master'!$F$12:$I$102,4,0)&lt;&gt;""),IF(WEEKDAY(BY150-VLOOKUP($P150&amp;" | "&amp;BP$6,'Job Master'!$F$12:$I$102,4,0))&lt;&gt;7,BY150-VLOOKUP($P150&amp;" | "&amp;BP$6,'Job Master'!$F$12:$I$102,4,0),BY150-VLOOKUP($P150&amp;" | "&amp;BP$6,'Job Master'!$F$12:$I$102,4,0)-1),""),"")</f>
        <v/>
      </c>
      <c r="BS150" s="73"/>
      <c r="BT150" s="123" t="str">
        <f t="shared" si="285"/>
        <v/>
      </c>
      <c r="BU150" s="123" t="str">
        <f t="shared" si="286"/>
        <v/>
      </c>
      <c r="BV150" s="97" t="str">
        <f t="shared" ca="1" si="287"/>
        <v/>
      </c>
      <c r="BW150" s="98" t="str">
        <f>IF(BY150&lt;&gt;"",VLOOKUP($P150&amp;" | "&amp;BW$6,'Job Master'!$F$12:$J$102,5,0),"")</f>
        <v/>
      </c>
      <c r="BX150" s="19" t="str">
        <f>IF(BY150&lt;&gt;"",VLOOKUP($P150&amp;" | "&amp;BW$6,'Job Master'!$F$12:$J$102,3,0),"")</f>
        <v/>
      </c>
      <c r="BY150" s="19" t="str">
        <f>IFERROR(IF(AND(CF150&lt;&gt;"",VLOOKUP($P150&amp;" | "&amp;BW$6,'Job Master'!$F$12:$I$102,4,0)&lt;&gt;""),IF(WEEKDAY(CF150-VLOOKUP($P150&amp;" | "&amp;BW$6,'Job Master'!$F$12:$I$102,4,0))&lt;&gt;7,CF150-VLOOKUP($P150&amp;" | "&amp;BW$6,'Job Master'!$F$12:$I$102,4,0),CF150-VLOOKUP($P150&amp;" | "&amp;BW$6,'Job Master'!$F$12:$I$102,4,0)-1),""),"")</f>
        <v/>
      </c>
      <c r="BZ150" s="73"/>
      <c r="CA150" s="123" t="str">
        <f t="shared" si="288"/>
        <v/>
      </c>
      <c r="CB150" s="123" t="str">
        <f t="shared" si="289"/>
        <v/>
      </c>
      <c r="CC150" s="97" t="str">
        <f t="shared" ca="1" si="290"/>
        <v/>
      </c>
      <c r="CD150" s="98" t="str">
        <f>IF(CF150&lt;&gt;"",VLOOKUP($P150&amp;" | "&amp;CD$6,'Job Master'!$F$12:$J$102,5,0),"")</f>
        <v/>
      </c>
      <c r="CE150" s="19" t="str">
        <f>IF(CF150&lt;&gt;"",VLOOKUP($P150&amp;" | "&amp;CD$6,'Job Master'!$F$12:$J$102,3,0),"")</f>
        <v/>
      </c>
      <c r="CF150" s="19" t="str">
        <f>IFERROR(IF(AND(CM150&lt;&gt;"",VLOOKUP($P150&amp;" | "&amp;CD$6,'Job Master'!$F$12:$I$102,4,0)&lt;&gt;""),IF(WEEKDAY(CM150-VLOOKUP($P150&amp;" | "&amp;CD$6,'Job Master'!$F$12:$I$102,4,0))&lt;&gt;7,CM150-VLOOKUP($P150&amp;" | "&amp;CD$6,'Job Master'!$F$12:$I$102,4,0),CM150-VLOOKUP($P150&amp;" | "&amp;CD$6,'Job Master'!$F$12:$I$102,4,0)-1),""),"")</f>
        <v/>
      </c>
      <c r="CG150" s="73"/>
      <c r="CH150" s="123" t="str">
        <f t="shared" si="291"/>
        <v/>
      </c>
      <c r="CI150" s="123" t="str">
        <f t="shared" si="292"/>
        <v/>
      </c>
      <c r="CJ150" s="97" t="str">
        <f t="shared" ca="1" si="293"/>
        <v/>
      </c>
      <c r="CK150" s="98" t="str">
        <f>IF(CM150&lt;&gt;"",VLOOKUP($P150&amp;" | "&amp;CK$6,'Job Master'!$F$12:$J$102,5,0),"")</f>
        <v/>
      </c>
      <c r="CL150" s="19" t="str">
        <f>IF(CM150&lt;&gt;"",VLOOKUP($P150&amp;" | "&amp;CK$6,'Job Master'!$F$12:$J$102,3,0),"")</f>
        <v/>
      </c>
      <c r="CM150" s="19" t="str">
        <f>IFERROR(IF(AND(CT150&lt;&gt;"",VLOOKUP($P150&amp;" | "&amp;CK$6,'Job Master'!$F$12:$I$102,4,0)&lt;&gt;""),IF(WEEKDAY(CT150-VLOOKUP($P150&amp;" | "&amp;CK$6,'Job Master'!$F$12:$I$102,4,0))&lt;&gt;7,CT150-VLOOKUP($P150&amp;" | "&amp;CK$6,'Job Master'!$F$12:$I$102,4,0),CT150-VLOOKUP($P150&amp;" | "&amp;CK$6,'Job Master'!$F$12:$I$102,4,0)-1),""),"")</f>
        <v/>
      </c>
      <c r="CN150" s="73"/>
      <c r="CO150" s="123" t="str">
        <f t="shared" si="294"/>
        <v/>
      </c>
      <c r="CP150" s="123" t="str">
        <f t="shared" si="295"/>
        <v/>
      </c>
      <c r="CQ150" s="97" t="str">
        <f t="shared" ca="1" si="296"/>
        <v/>
      </c>
      <c r="CR150" s="98" t="str">
        <f>IF(CT150&lt;&gt;"",VLOOKUP($P150&amp;" | "&amp;CR$6,'Job Master'!$F$12:$J$102,5,0),"")</f>
        <v/>
      </c>
      <c r="CS150" s="19" t="str">
        <f>IF(CT150&lt;&gt;"",VLOOKUP($P150&amp;" | "&amp;CR$6,'Job Master'!$F$12:$J$102,3,0),"")</f>
        <v/>
      </c>
      <c r="CT150" s="19" t="str">
        <f>IFERROR(IF(AND(DA150&lt;&gt;"",VLOOKUP($P150&amp;" | "&amp;CR$6,'Job Master'!$F$12:$I$102,4,0)&lt;&gt;""),IF(WEEKDAY(DA150-VLOOKUP($P150&amp;" | "&amp;CR$6,'Job Master'!$F$12:$I$102,4,0))&lt;&gt;7,DA150-VLOOKUP($P150&amp;" | "&amp;CR$6,'Job Master'!$F$12:$I$102,4,0),DA150-VLOOKUP($P150&amp;" | "&amp;CR$6,'Job Master'!$F$12:$I$102,4,0)-1),""),"")</f>
        <v/>
      </c>
      <c r="CU150" s="73"/>
      <c r="CV150" s="123" t="str">
        <f t="shared" si="297"/>
        <v/>
      </c>
      <c r="CW150" s="123" t="str">
        <f t="shared" si="298"/>
        <v/>
      </c>
      <c r="CX150" s="97" t="str">
        <f t="shared" ca="1" si="299"/>
        <v/>
      </c>
      <c r="CY150" s="98" t="str">
        <f>IF(DA150&lt;&gt;"",VLOOKUP($P150&amp;" | "&amp;CY$6,'Job Master'!$F$12:$J$102,5,0),"")</f>
        <v/>
      </c>
      <c r="CZ150" s="19" t="str">
        <f>IF(DA150&lt;&gt;"",VLOOKUP($P150&amp;" | "&amp;CY$6,'Job Master'!$F$12:$J$102,3,0),"")</f>
        <v/>
      </c>
      <c r="DA150" s="19" t="str">
        <f>IFERROR(IF(AND(DH150&lt;&gt;"",VLOOKUP($P150&amp;" | "&amp;CY$6,'Job Master'!$F$12:$I$102,4,0)&lt;&gt;""),IF(WEEKDAY(DH150-VLOOKUP($P150&amp;" | "&amp;CY$6,'Job Master'!$F$12:$I$102,4,0))&lt;&gt;7,DH150-VLOOKUP($P150&amp;" | "&amp;CY$6,'Job Master'!$F$12:$I$102,4,0),DH150-VLOOKUP($P150&amp;" | "&amp;CY$6,'Job Master'!$F$12:$I$102,4,0)-1),""),"")</f>
        <v/>
      </c>
      <c r="DB150" s="73"/>
      <c r="DC150" s="123" t="str">
        <f t="shared" si="300"/>
        <v/>
      </c>
      <c r="DD150" s="123" t="str">
        <f t="shared" si="301"/>
        <v/>
      </c>
      <c r="DE150" s="97" t="str">
        <f t="shared" ca="1" si="302"/>
        <v/>
      </c>
      <c r="DF150" s="98" t="str">
        <f>IF(DH150&lt;&gt;"",VLOOKUP($P150&amp;" | "&amp;DF$6,'Job Master'!$F$12:$J$102,5,0),"")</f>
        <v/>
      </c>
      <c r="DG150" s="19" t="str">
        <f>IF(DH150&lt;&gt;"",VLOOKUP($P150&amp;" | "&amp;DF$6,'Job Master'!$F$12:$J$102,3,0),"")</f>
        <v/>
      </c>
      <c r="DH150" s="19" t="str">
        <f>IFERROR(IF(AND(DO150&lt;&gt;"",VLOOKUP($P150&amp;" | "&amp;DF$6,'Job Master'!$F$12:$I$102,4,0)&lt;&gt;""),IF(WEEKDAY(DO150-VLOOKUP($P150&amp;" | "&amp;DF$6,'Job Master'!$F$12:$I$102,4,0))&lt;&gt;7,DO150-VLOOKUP($P150&amp;" | "&amp;DF$6,'Job Master'!$F$12:$I$102,4,0),DO150-VLOOKUP($P150&amp;" | "&amp;DF$6,'Job Master'!$F$12:$I$102,4,0)-1),""),"")</f>
        <v/>
      </c>
      <c r="DI150" s="73"/>
      <c r="DJ150" s="123" t="str">
        <f t="shared" si="303"/>
        <v/>
      </c>
      <c r="DK150" s="123" t="str">
        <f t="shared" si="304"/>
        <v/>
      </c>
      <c r="DL150" s="97" t="str">
        <f t="shared" ca="1" si="305"/>
        <v/>
      </c>
      <c r="DM150" s="98" t="str">
        <f>IF(DO150&lt;&gt;"",VLOOKUP($P150&amp;" | "&amp;DM$6,'Job Master'!$F$12:$J$102,5,0),"")</f>
        <v/>
      </c>
      <c r="DN150" s="19" t="str">
        <f>IF(DO150&lt;&gt;"",VLOOKUP($P150&amp;" | "&amp;DM$6,'Job Master'!$F$12:$J$102,3,0),"")</f>
        <v/>
      </c>
      <c r="DO150" s="19" t="str">
        <f>IFERROR(IF(AND(DT150&lt;&gt;"",VLOOKUP($P150&amp;" | "&amp;DM$6,'Job Master'!$F$12:$I$102,4,0)&lt;&gt;""),IF(WEEKDAY(DT150-VLOOKUP($P150&amp;" | "&amp;DM$6,'Job Master'!$F$12:$I$102,4,0))&lt;&gt;7,DT150-VLOOKUP($P150&amp;" | "&amp;DM$6,'Job Master'!$F$12:$I$102,4,0),DT150-VLOOKUP($P150&amp;" | "&amp;DM$6,'Job Master'!$F$12:$I$102,4,0)-1),""),"")</f>
        <v/>
      </c>
      <c r="DP150" s="73"/>
      <c r="DQ150" s="123" t="str">
        <f t="shared" si="306"/>
        <v/>
      </c>
      <c r="DR150" s="123" t="str">
        <f t="shared" si="307"/>
        <v/>
      </c>
      <c r="DS150" s="97" t="str">
        <f t="shared" ca="1" si="308"/>
        <v/>
      </c>
      <c r="DT150" s="70" t="str">
        <f t="shared" si="309"/>
        <v/>
      </c>
      <c r="DU150" s="90"/>
      <c r="DV150" s="123" t="str">
        <f t="shared" si="310"/>
        <v/>
      </c>
      <c r="DW150" s="123" t="str">
        <f t="shared" si="311"/>
        <v/>
      </c>
      <c r="DX150" s="132" t="str">
        <f t="shared" ref="DX150" ca="1" si="332">IF(DT150&lt;&gt;"",IF(WEEKNUM(DT150)=WEEKNUM(TODAY()),"This Week",IF(WEEKNUM(DT150)=WEEKNUM(TODAY())+1,"Next Week",IF(WEEKNUM(DT150)=WEEKNUM(TODAY())-1,"Previous Week",""))),"")</f>
        <v/>
      </c>
      <c r="DY150" s="134" t="str">
        <f t="shared" si="313"/>
        <v/>
      </c>
      <c r="DZ150" s="95"/>
      <c r="EB150" s="8" t="str">
        <f t="shared" si="319"/>
        <v/>
      </c>
      <c r="EC150" s="8" t="str">
        <f>IF(O150&lt;&gt;"",VLOOKUP(O150,'Job Master'!$N$12:$O$18,2,0),"")</f>
        <v/>
      </c>
      <c r="ED150" s="8">
        <f t="shared" si="320"/>
        <v>19.5</v>
      </c>
      <c r="EE150" s="8">
        <f t="shared" si="321"/>
        <v>6</v>
      </c>
      <c r="EF150" s="8">
        <f t="shared" si="322"/>
        <v>-820.5</v>
      </c>
      <c r="EG150" s="8" t="str">
        <f t="shared" si="323"/>
        <v/>
      </c>
      <c r="EH150" s="8" t="str">
        <f t="shared" si="324"/>
        <v/>
      </c>
    </row>
    <row r="151" spans="2:138" x14ac:dyDescent="0.3">
      <c r="B151" s="112"/>
      <c r="C151" s="27"/>
      <c r="D151" s="7" t="str">
        <f t="shared" si="261"/>
        <v/>
      </c>
      <c r="E151" s="25"/>
      <c r="F151" s="7" t="str">
        <f t="shared" si="261"/>
        <v/>
      </c>
      <c r="G151" s="25"/>
      <c r="H151" s="7" t="str">
        <f t="shared" si="261"/>
        <v/>
      </c>
      <c r="I151" s="25"/>
      <c r="J151" s="7" t="str">
        <f t="shared" si="261"/>
        <v/>
      </c>
      <c r="K151" s="25"/>
      <c r="L151" s="7" t="str">
        <f t="shared" si="262"/>
        <v/>
      </c>
      <c r="M151" s="25"/>
      <c r="N151" s="7" t="str">
        <f t="shared" si="263"/>
        <v/>
      </c>
      <c r="O151" s="81"/>
      <c r="P151" s="81" t="str">
        <f t="shared" si="264"/>
        <v/>
      </c>
      <c r="Q151" s="81"/>
      <c r="R151" s="7" t="str">
        <f t="shared" si="265"/>
        <v/>
      </c>
      <c r="S151" s="25"/>
      <c r="T151" s="7" t="str">
        <f t="shared" si="266"/>
        <v/>
      </c>
      <c r="U151" s="25"/>
      <c r="V151" s="7" t="str">
        <f t="shared" si="267"/>
        <v/>
      </c>
      <c r="W151" s="25"/>
      <c r="X151" s="7" t="str">
        <f t="shared" si="268"/>
        <v/>
      </c>
      <c r="Y151" s="18" t="str">
        <f t="shared" si="269"/>
        <v/>
      </c>
      <c r="Z151" s="7" t="str">
        <f t="shared" si="270"/>
        <v/>
      </c>
      <c r="AA151" s="18" t="str">
        <f t="shared" si="271"/>
        <v/>
      </c>
      <c r="AB151" s="19" t="str">
        <f t="shared" si="272"/>
        <v/>
      </c>
      <c r="AC151" s="26"/>
      <c r="AD151" s="26"/>
      <c r="AE151" s="25"/>
      <c r="AF151" s="26"/>
      <c r="AG151" s="25"/>
      <c r="AH151" s="25"/>
      <c r="AI151" s="18" t="str">
        <f t="shared" si="209"/>
        <v/>
      </c>
      <c r="AJ151" s="25"/>
      <c r="AK151" s="18" t="str">
        <f t="shared" si="210"/>
        <v/>
      </c>
      <c r="AL151" s="79"/>
      <c r="AM151" s="126" t="str">
        <f t="shared" si="211"/>
        <v/>
      </c>
      <c r="AN151" s="128" t="str">
        <f>IF(AP151&lt;&gt;"",VLOOKUP($P151&amp;" | "&amp;AN$6,'Job Master'!$F$12:$J$102,5,0),"")</f>
        <v/>
      </c>
      <c r="AO151" s="19" t="str">
        <f>IF(AP151&lt;&gt;"",VLOOKUP($P151&amp;" | "&amp;AN$6,'Job Master'!$F$12:$J$102,3,0),"")</f>
        <v/>
      </c>
      <c r="AP151" s="19" t="str">
        <f>IFERROR(IF(AND(AW151&lt;&gt;"",VLOOKUP($P151&amp;" | "&amp;AN$6,'Job Master'!$F$12:$I$102,4,0)&lt;&gt;""),IF(WEEKDAY(AW151-VLOOKUP($P151&amp;" | "&amp;AN$6,'Job Master'!$F$12:$I$102,4,0))&lt;&gt;7,AW151-VLOOKUP($P151&amp;" | "&amp;AN$6,'Job Master'!$F$12:$I$102,4,0),AW151-VLOOKUP($P151&amp;" | "&amp;AN$6,'Job Master'!$F$12:$I$102,4,0)-1),""),"")</f>
        <v/>
      </c>
      <c r="AQ151" s="73"/>
      <c r="AR151" s="123" t="str">
        <f t="shared" si="273"/>
        <v/>
      </c>
      <c r="AS151" s="123" t="str">
        <f t="shared" si="274"/>
        <v/>
      </c>
      <c r="AT151" s="97" t="str">
        <f t="shared" ca="1" si="275"/>
        <v/>
      </c>
      <c r="AU151" s="98" t="str">
        <f>IF(AW151&lt;&gt;"",VLOOKUP($P151&amp;" | "&amp;AU$6,'Job Master'!$F$12:$J$102,5,0),"")</f>
        <v/>
      </c>
      <c r="AV151" s="19" t="str">
        <f>IF(AW151&lt;&gt;"",VLOOKUP($P151&amp;" | "&amp;AU$6,'Job Master'!$F$12:$J$102,3,0),"")</f>
        <v/>
      </c>
      <c r="AW151" s="19" t="str">
        <f>IFERROR(IF(AND(BD151&lt;&gt;"",VLOOKUP($P151&amp;" | "&amp;AU$6,'Job Master'!$F$12:$I$102,4,0)&lt;&gt;""),IF(WEEKDAY(BD151-VLOOKUP($P151&amp;" | "&amp;AU$6,'Job Master'!$F$12:$I$102,4,0))&lt;&gt;7,BD151-VLOOKUP($P151&amp;" | "&amp;AU$6,'Job Master'!$F$12:$I$102,4,0),BD151-VLOOKUP($P151&amp;" | "&amp;AU$6,'Job Master'!$F$12:$I$102,4,0)-1),""),"")</f>
        <v/>
      </c>
      <c r="AX151" s="73"/>
      <c r="AY151" s="123" t="str">
        <f t="shared" si="276"/>
        <v/>
      </c>
      <c r="AZ151" s="123" t="str">
        <f t="shared" si="277"/>
        <v/>
      </c>
      <c r="BA151" s="97" t="str">
        <f t="shared" ca="1" si="278"/>
        <v/>
      </c>
      <c r="BB151" s="98" t="str">
        <f>IF(BD151&lt;&gt;"",VLOOKUP($P151&amp;" | "&amp;BB$6,'Job Master'!$F$12:$J$102,5,0),"")</f>
        <v/>
      </c>
      <c r="BC151" s="19" t="str">
        <f>IF(BD151&lt;&gt;"",VLOOKUP($P151&amp;" | "&amp;BB$6,'Job Master'!$F$12:$J$102,3,0),"")</f>
        <v/>
      </c>
      <c r="BD151" s="19" t="str">
        <f>IFERROR(IF(AND(BK151&lt;&gt;"",VLOOKUP($P151&amp;" | "&amp;BB$6,'Job Master'!$F$12:$I$102,4,0)&lt;&gt;""),IF(WEEKDAY(BK151-VLOOKUP($P151&amp;" | "&amp;BB$6,'Job Master'!$F$12:$I$102,4,0))&lt;&gt;7,BK151-VLOOKUP($P151&amp;" | "&amp;BB$6,'Job Master'!$F$12:$I$102,4,0),BK151-VLOOKUP($P151&amp;" | "&amp;BB$6,'Job Master'!$F$12:$I$102,4,0)-1),""),"")</f>
        <v/>
      </c>
      <c r="BE151" s="73"/>
      <c r="BF151" s="123" t="str">
        <f t="shared" si="279"/>
        <v/>
      </c>
      <c r="BG151" s="123" t="str">
        <f t="shared" si="280"/>
        <v/>
      </c>
      <c r="BH151" s="97" t="str">
        <f t="shared" ca="1" si="281"/>
        <v/>
      </c>
      <c r="BI151" s="98" t="str">
        <f>IF(BK151&lt;&gt;"",VLOOKUP($P151&amp;" | "&amp;BI$6,'Job Master'!$F$12:$J$102,5,0),"")</f>
        <v/>
      </c>
      <c r="BJ151" s="19" t="str">
        <f>IF(BK151&lt;&gt;"",VLOOKUP($P151&amp;" | "&amp;BI$6,'Job Master'!$F$12:$J$102,3,0),"")</f>
        <v/>
      </c>
      <c r="BK151" s="19" t="str">
        <f>IFERROR(IF(AND(BR151&lt;&gt;"",VLOOKUP($P151&amp;" | "&amp;BI$6,'Job Master'!$F$12:$I$102,4,0)&lt;&gt;""),IF(WEEKDAY(BR151-VLOOKUP($P151&amp;" | "&amp;BI$6,'Job Master'!$F$12:$I$102,4,0))&lt;&gt;7,BR151-VLOOKUP($P151&amp;" | "&amp;BI$6,'Job Master'!$F$12:$I$102,4,0),BR151-VLOOKUP($P151&amp;" | "&amp;BI$6,'Job Master'!$F$12:$I$102,4,0)-1),""),"")</f>
        <v/>
      </c>
      <c r="BL151" s="73"/>
      <c r="BM151" s="123" t="str">
        <f t="shared" si="282"/>
        <v/>
      </c>
      <c r="BN151" s="123" t="str">
        <f t="shared" si="283"/>
        <v/>
      </c>
      <c r="BO151" s="97" t="str">
        <f t="shared" ca="1" si="284"/>
        <v/>
      </c>
      <c r="BP151" s="98" t="str">
        <f>IF(BR151&lt;&gt;"",VLOOKUP($P151&amp;" | "&amp;BP$6,'Job Master'!$F$12:$J$102,5,0),"")</f>
        <v/>
      </c>
      <c r="BQ151" s="19" t="str">
        <f>IF(BR151&lt;&gt;"",VLOOKUP($P151&amp;" | "&amp;BP$6,'Job Master'!$F$12:$J$102,3,0),"")</f>
        <v/>
      </c>
      <c r="BR151" s="19" t="str">
        <f>IFERROR(IF(AND(BY151&lt;&gt;"",VLOOKUP($P151&amp;" | "&amp;BP$6,'Job Master'!$F$12:$I$102,4,0)&lt;&gt;""),IF(WEEKDAY(BY151-VLOOKUP($P151&amp;" | "&amp;BP$6,'Job Master'!$F$12:$I$102,4,0))&lt;&gt;7,BY151-VLOOKUP($P151&amp;" | "&amp;BP$6,'Job Master'!$F$12:$I$102,4,0),BY151-VLOOKUP($P151&amp;" | "&amp;BP$6,'Job Master'!$F$12:$I$102,4,0)-1),""),"")</f>
        <v/>
      </c>
      <c r="BS151" s="73"/>
      <c r="BT151" s="123" t="str">
        <f t="shared" si="285"/>
        <v/>
      </c>
      <c r="BU151" s="123" t="str">
        <f t="shared" si="286"/>
        <v/>
      </c>
      <c r="BV151" s="97" t="str">
        <f t="shared" ca="1" si="287"/>
        <v/>
      </c>
      <c r="BW151" s="98" t="str">
        <f>IF(BY151&lt;&gt;"",VLOOKUP($P151&amp;" | "&amp;BW$6,'Job Master'!$F$12:$J$102,5,0),"")</f>
        <v/>
      </c>
      <c r="BX151" s="19" t="str">
        <f>IF(BY151&lt;&gt;"",VLOOKUP($P151&amp;" | "&amp;BW$6,'Job Master'!$F$12:$J$102,3,0),"")</f>
        <v/>
      </c>
      <c r="BY151" s="19" t="str">
        <f>IFERROR(IF(AND(CF151&lt;&gt;"",VLOOKUP($P151&amp;" | "&amp;BW$6,'Job Master'!$F$12:$I$102,4,0)&lt;&gt;""),IF(WEEKDAY(CF151-VLOOKUP($P151&amp;" | "&amp;BW$6,'Job Master'!$F$12:$I$102,4,0))&lt;&gt;7,CF151-VLOOKUP($P151&amp;" | "&amp;BW$6,'Job Master'!$F$12:$I$102,4,0),CF151-VLOOKUP($P151&amp;" | "&amp;BW$6,'Job Master'!$F$12:$I$102,4,0)-1),""),"")</f>
        <v/>
      </c>
      <c r="BZ151" s="73"/>
      <c r="CA151" s="123" t="str">
        <f t="shared" si="288"/>
        <v/>
      </c>
      <c r="CB151" s="123" t="str">
        <f t="shared" si="289"/>
        <v/>
      </c>
      <c r="CC151" s="97" t="str">
        <f t="shared" ca="1" si="290"/>
        <v/>
      </c>
      <c r="CD151" s="98" t="str">
        <f>IF(CF151&lt;&gt;"",VLOOKUP($P151&amp;" | "&amp;CD$6,'Job Master'!$F$12:$J$102,5,0),"")</f>
        <v/>
      </c>
      <c r="CE151" s="19" t="str">
        <f>IF(CF151&lt;&gt;"",VLOOKUP($P151&amp;" | "&amp;CD$6,'Job Master'!$F$12:$J$102,3,0),"")</f>
        <v/>
      </c>
      <c r="CF151" s="19" t="str">
        <f>IFERROR(IF(AND(CM151&lt;&gt;"",VLOOKUP($P151&amp;" | "&amp;CD$6,'Job Master'!$F$12:$I$102,4,0)&lt;&gt;""),IF(WEEKDAY(CM151-VLOOKUP($P151&amp;" | "&amp;CD$6,'Job Master'!$F$12:$I$102,4,0))&lt;&gt;7,CM151-VLOOKUP($P151&amp;" | "&amp;CD$6,'Job Master'!$F$12:$I$102,4,0),CM151-VLOOKUP($P151&amp;" | "&amp;CD$6,'Job Master'!$F$12:$I$102,4,0)-1),""),"")</f>
        <v/>
      </c>
      <c r="CG151" s="73"/>
      <c r="CH151" s="123" t="str">
        <f t="shared" si="291"/>
        <v/>
      </c>
      <c r="CI151" s="123" t="str">
        <f t="shared" si="292"/>
        <v/>
      </c>
      <c r="CJ151" s="97" t="str">
        <f t="shared" ca="1" si="293"/>
        <v/>
      </c>
      <c r="CK151" s="98" t="str">
        <f>IF(CM151&lt;&gt;"",VLOOKUP($P151&amp;" | "&amp;CK$6,'Job Master'!$F$12:$J$102,5,0),"")</f>
        <v/>
      </c>
      <c r="CL151" s="19" t="str">
        <f>IF(CM151&lt;&gt;"",VLOOKUP($P151&amp;" | "&amp;CK$6,'Job Master'!$F$12:$J$102,3,0),"")</f>
        <v/>
      </c>
      <c r="CM151" s="19" t="str">
        <f>IFERROR(IF(AND(CT151&lt;&gt;"",VLOOKUP($P151&amp;" | "&amp;CK$6,'Job Master'!$F$12:$I$102,4,0)&lt;&gt;""),IF(WEEKDAY(CT151-VLOOKUP($P151&amp;" | "&amp;CK$6,'Job Master'!$F$12:$I$102,4,0))&lt;&gt;7,CT151-VLOOKUP($P151&amp;" | "&amp;CK$6,'Job Master'!$F$12:$I$102,4,0),CT151-VLOOKUP($P151&amp;" | "&amp;CK$6,'Job Master'!$F$12:$I$102,4,0)-1),""),"")</f>
        <v/>
      </c>
      <c r="CN151" s="73"/>
      <c r="CO151" s="123" t="str">
        <f t="shared" si="294"/>
        <v/>
      </c>
      <c r="CP151" s="123" t="str">
        <f t="shared" si="295"/>
        <v/>
      </c>
      <c r="CQ151" s="97" t="str">
        <f t="shared" ca="1" si="296"/>
        <v/>
      </c>
      <c r="CR151" s="98" t="str">
        <f>IF(CT151&lt;&gt;"",VLOOKUP($P151&amp;" | "&amp;CR$6,'Job Master'!$F$12:$J$102,5,0),"")</f>
        <v/>
      </c>
      <c r="CS151" s="19" t="str">
        <f>IF(CT151&lt;&gt;"",VLOOKUP($P151&amp;" | "&amp;CR$6,'Job Master'!$F$12:$J$102,3,0),"")</f>
        <v/>
      </c>
      <c r="CT151" s="19" t="str">
        <f>IFERROR(IF(AND(DA151&lt;&gt;"",VLOOKUP($P151&amp;" | "&amp;CR$6,'Job Master'!$F$12:$I$102,4,0)&lt;&gt;""),IF(WEEKDAY(DA151-VLOOKUP($P151&amp;" | "&amp;CR$6,'Job Master'!$F$12:$I$102,4,0))&lt;&gt;7,DA151-VLOOKUP($P151&amp;" | "&amp;CR$6,'Job Master'!$F$12:$I$102,4,0),DA151-VLOOKUP($P151&amp;" | "&amp;CR$6,'Job Master'!$F$12:$I$102,4,0)-1),""),"")</f>
        <v/>
      </c>
      <c r="CU151" s="73"/>
      <c r="CV151" s="123" t="str">
        <f t="shared" si="297"/>
        <v/>
      </c>
      <c r="CW151" s="123" t="str">
        <f t="shared" si="298"/>
        <v/>
      </c>
      <c r="CX151" s="97" t="str">
        <f t="shared" ca="1" si="299"/>
        <v/>
      </c>
      <c r="CY151" s="98" t="str">
        <f>IF(DA151&lt;&gt;"",VLOOKUP($P151&amp;" | "&amp;CY$6,'Job Master'!$F$12:$J$102,5,0),"")</f>
        <v/>
      </c>
      <c r="CZ151" s="19" t="str">
        <f>IF(DA151&lt;&gt;"",VLOOKUP($P151&amp;" | "&amp;CY$6,'Job Master'!$F$12:$J$102,3,0),"")</f>
        <v/>
      </c>
      <c r="DA151" s="19" t="str">
        <f>IFERROR(IF(AND(DH151&lt;&gt;"",VLOOKUP($P151&amp;" | "&amp;CY$6,'Job Master'!$F$12:$I$102,4,0)&lt;&gt;""),IF(WEEKDAY(DH151-VLOOKUP($P151&amp;" | "&amp;CY$6,'Job Master'!$F$12:$I$102,4,0))&lt;&gt;7,DH151-VLOOKUP($P151&amp;" | "&amp;CY$6,'Job Master'!$F$12:$I$102,4,0),DH151-VLOOKUP($P151&amp;" | "&amp;CY$6,'Job Master'!$F$12:$I$102,4,0)-1),""),"")</f>
        <v/>
      </c>
      <c r="DB151" s="73"/>
      <c r="DC151" s="123" t="str">
        <f t="shared" si="300"/>
        <v/>
      </c>
      <c r="DD151" s="123" t="str">
        <f t="shared" si="301"/>
        <v/>
      </c>
      <c r="DE151" s="97" t="str">
        <f t="shared" ca="1" si="302"/>
        <v/>
      </c>
      <c r="DF151" s="98" t="str">
        <f>IF(DH151&lt;&gt;"",VLOOKUP($P151&amp;" | "&amp;DF$6,'Job Master'!$F$12:$J$102,5,0),"")</f>
        <v/>
      </c>
      <c r="DG151" s="19" t="str">
        <f>IF(DH151&lt;&gt;"",VLOOKUP($P151&amp;" | "&amp;DF$6,'Job Master'!$F$12:$J$102,3,0),"")</f>
        <v/>
      </c>
      <c r="DH151" s="19" t="str">
        <f>IFERROR(IF(AND(DO151&lt;&gt;"",VLOOKUP($P151&amp;" | "&amp;DF$6,'Job Master'!$F$12:$I$102,4,0)&lt;&gt;""),IF(WEEKDAY(DO151-VLOOKUP($P151&amp;" | "&amp;DF$6,'Job Master'!$F$12:$I$102,4,0))&lt;&gt;7,DO151-VLOOKUP($P151&amp;" | "&amp;DF$6,'Job Master'!$F$12:$I$102,4,0),DO151-VLOOKUP($P151&amp;" | "&amp;DF$6,'Job Master'!$F$12:$I$102,4,0)-1),""),"")</f>
        <v/>
      </c>
      <c r="DI151" s="73"/>
      <c r="DJ151" s="123" t="str">
        <f t="shared" si="303"/>
        <v/>
      </c>
      <c r="DK151" s="123" t="str">
        <f t="shared" si="304"/>
        <v/>
      </c>
      <c r="DL151" s="97" t="str">
        <f t="shared" ca="1" si="305"/>
        <v/>
      </c>
      <c r="DM151" s="98" t="str">
        <f>IF(DO151&lt;&gt;"",VLOOKUP($P151&amp;" | "&amp;DM$6,'Job Master'!$F$12:$J$102,5,0),"")</f>
        <v/>
      </c>
      <c r="DN151" s="19" t="str">
        <f>IF(DO151&lt;&gt;"",VLOOKUP($P151&amp;" | "&amp;DM$6,'Job Master'!$F$12:$J$102,3,0),"")</f>
        <v/>
      </c>
      <c r="DO151" s="19" t="str">
        <f>IFERROR(IF(AND(DT151&lt;&gt;"",VLOOKUP($P151&amp;" | "&amp;DM$6,'Job Master'!$F$12:$I$102,4,0)&lt;&gt;""),IF(WEEKDAY(DT151-VLOOKUP($P151&amp;" | "&amp;DM$6,'Job Master'!$F$12:$I$102,4,0))&lt;&gt;7,DT151-VLOOKUP($P151&amp;" | "&amp;DM$6,'Job Master'!$F$12:$I$102,4,0),DT151-VLOOKUP($P151&amp;" | "&amp;DM$6,'Job Master'!$F$12:$I$102,4,0)-1),""),"")</f>
        <v/>
      </c>
      <c r="DP151" s="73"/>
      <c r="DQ151" s="123" t="str">
        <f t="shared" si="306"/>
        <v/>
      </c>
      <c r="DR151" s="123" t="str">
        <f t="shared" si="307"/>
        <v/>
      </c>
      <c r="DS151" s="97" t="str">
        <f t="shared" ca="1" si="308"/>
        <v/>
      </c>
      <c r="DT151" s="70" t="str">
        <f t="shared" si="309"/>
        <v/>
      </c>
      <c r="DU151" s="90"/>
      <c r="DV151" s="123" t="str">
        <f t="shared" si="310"/>
        <v/>
      </c>
      <c r="DW151" s="123" t="str">
        <f t="shared" si="311"/>
        <v/>
      </c>
      <c r="DX151" s="132" t="str">
        <f t="shared" ref="DX151" ca="1" si="333">IF(DT151&lt;&gt;"",IF(WEEKNUM(DT151)=WEEKNUM(TODAY()),"This Week",IF(WEEKNUM(DT151)=WEEKNUM(TODAY())+1,"Next Week",IF(WEEKNUM(DT151)=WEEKNUM(TODAY())-1,"Previous Week",""))),"")</f>
        <v/>
      </c>
      <c r="DY151" s="134" t="str">
        <f t="shared" si="313"/>
        <v/>
      </c>
      <c r="DZ151" s="95"/>
      <c r="EB151" s="8" t="str">
        <f t="shared" si="319"/>
        <v/>
      </c>
      <c r="EC151" s="8" t="str">
        <f>IF(O151&lt;&gt;"",VLOOKUP(O151,'Job Master'!$N$12:$O$18,2,0),"")</f>
        <v/>
      </c>
      <c r="ED151" s="8">
        <f t="shared" si="320"/>
        <v>19.5</v>
      </c>
      <c r="EE151" s="8">
        <f t="shared" si="321"/>
        <v>6</v>
      </c>
      <c r="EF151" s="8">
        <f t="shared" si="322"/>
        <v>-826.5</v>
      </c>
      <c r="EG151" s="8" t="str">
        <f t="shared" si="323"/>
        <v/>
      </c>
      <c r="EH151" s="8" t="str">
        <f t="shared" si="324"/>
        <v/>
      </c>
    </row>
    <row r="152" spans="2:138" x14ac:dyDescent="0.3">
      <c r="B152" s="112"/>
      <c r="C152" s="27"/>
      <c r="D152" s="7" t="str">
        <f t="shared" si="261"/>
        <v/>
      </c>
      <c r="E152" s="25"/>
      <c r="F152" s="7" t="str">
        <f t="shared" si="261"/>
        <v/>
      </c>
      <c r="G152" s="25"/>
      <c r="H152" s="7" t="str">
        <f t="shared" si="261"/>
        <v/>
      </c>
      <c r="I152" s="25"/>
      <c r="J152" s="7" t="str">
        <f t="shared" si="261"/>
        <v/>
      </c>
      <c r="K152" s="25"/>
      <c r="L152" s="7" t="str">
        <f t="shared" si="262"/>
        <v/>
      </c>
      <c r="M152" s="25"/>
      <c r="N152" s="7" t="str">
        <f t="shared" si="263"/>
        <v/>
      </c>
      <c r="O152" s="81"/>
      <c r="P152" s="81" t="str">
        <f t="shared" si="264"/>
        <v/>
      </c>
      <c r="Q152" s="81"/>
      <c r="R152" s="7" t="str">
        <f t="shared" si="265"/>
        <v/>
      </c>
      <c r="S152" s="25"/>
      <c r="T152" s="7" t="str">
        <f t="shared" si="266"/>
        <v/>
      </c>
      <c r="U152" s="25"/>
      <c r="V152" s="7" t="str">
        <f t="shared" si="267"/>
        <v/>
      </c>
      <c r="W152" s="25"/>
      <c r="X152" s="7" t="str">
        <f t="shared" si="268"/>
        <v/>
      </c>
      <c r="Y152" s="18" t="str">
        <f t="shared" si="269"/>
        <v/>
      </c>
      <c r="Z152" s="7" t="str">
        <f t="shared" si="270"/>
        <v/>
      </c>
      <c r="AA152" s="18" t="str">
        <f t="shared" si="271"/>
        <v/>
      </c>
      <c r="AB152" s="19" t="str">
        <f t="shared" si="272"/>
        <v/>
      </c>
      <c r="AC152" s="26"/>
      <c r="AD152" s="26"/>
      <c r="AE152" s="25"/>
      <c r="AF152" s="26"/>
      <c r="AG152" s="25"/>
      <c r="AH152" s="25"/>
      <c r="AI152" s="18" t="str">
        <f t="shared" si="209"/>
        <v/>
      </c>
      <c r="AJ152" s="25"/>
      <c r="AK152" s="18" t="str">
        <f t="shared" si="210"/>
        <v/>
      </c>
      <c r="AL152" s="79"/>
      <c r="AM152" s="126" t="str">
        <f t="shared" si="211"/>
        <v/>
      </c>
      <c r="AN152" s="128" t="str">
        <f>IF(AP152&lt;&gt;"",VLOOKUP($P152&amp;" | "&amp;AN$6,'Job Master'!$F$12:$J$102,5,0),"")</f>
        <v/>
      </c>
      <c r="AO152" s="19" t="str">
        <f>IF(AP152&lt;&gt;"",VLOOKUP($P152&amp;" | "&amp;AN$6,'Job Master'!$F$12:$J$102,3,0),"")</f>
        <v/>
      </c>
      <c r="AP152" s="19" t="str">
        <f>IFERROR(IF(AND(AW152&lt;&gt;"",VLOOKUP($P152&amp;" | "&amp;AN$6,'Job Master'!$F$12:$I$102,4,0)&lt;&gt;""),IF(WEEKDAY(AW152-VLOOKUP($P152&amp;" | "&amp;AN$6,'Job Master'!$F$12:$I$102,4,0))&lt;&gt;7,AW152-VLOOKUP($P152&amp;" | "&amp;AN$6,'Job Master'!$F$12:$I$102,4,0),AW152-VLOOKUP($P152&amp;" | "&amp;AN$6,'Job Master'!$F$12:$I$102,4,0)-1),""),"")</f>
        <v/>
      </c>
      <c r="AQ152" s="73"/>
      <c r="AR152" s="123" t="str">
        <f t="shared" si="273"/>
        <v/>
      </c>
      <c r="AS152" s="123" t="str">
        <f t="shared" si="274"/>
        <v/>
      </c>
      <c r="AT152" s="97" t="str">
        <f t="shared" ca="1" si="275"/>
        <v/>
      </c>
      <c r="AU152" s="98" t="str">
        <f>IF(AW152&lt;&gt;"",VLOOKUP($P152&amp;" | "&amp;AU$6,'Job Master'!$F$12:$J$102,5,0),"")</f>
        <v/>
      </c>
      <c r="AV152" s="19" t="str">
        <f>IF(AW152&lt;&gt;"",VLOOKUP($P152&amp;" | "&amp;AU$6,'Job Master'!$F$12:$J$102,3,0),"")</f>
        <v/>
      </c>
      <c r="AW152" s="19" t="str">
        <f>IFERROR(IF(AND(BD152&lt;&gt;"",VLOOKUP($P152&amp;" | "&amp;AU$6,'Job Master'!$F$12:$I$102,4,0)&lt;&gt;""),IF(WEEKDAY(BD152-VLOOKUP($P152&amp;" | "&amp;AU$6,'Job Master'!$F$12:$I$102,4,0))&lt;&gt;7,BD152-VLOOKUP($P152&amp;" | "&amp;AU$6,'Job Master'!$F$12:$I$102,4,0),BD152-VLOOKUP($P152&amp;" | "&amp;AU$6,'Job Master'!$F$12:$I$102,4,0)-1),""),"")</f>
        <v/>
      </c>
      <c r="AX152" s="73"/>
      <c r="AY152" s="123" t="str">
        <f t="shared" si="276"/>
        <v/>
      </c>
      <c r="AZ152" s="123" t="str">
        <f t="shared" si="277"/>
        <v/>
      </c>
      <c r="BA152" s="97" t="str">
        <f t="shared" ca="1" si="278"/>
        <v/>
      </c>
      <c r="BB152" s="98" t="str">
        <f>IF(BD152&lt;&gt;"",VLOOKUP($P152&amp;" | "&amp;BB$6,'Job Master'!$F$12:$J$102,5,0),"")</f>
        <v/>
      </c>
      <c r="BC152" s="19" t="str">
        <f>IF(BD152&lt;&gt;"",VLOOKUP($P152&amp;" | "&amp;BB$6,'Job Master'!$F$12:$J$102,3,0),"")</f>
        <v/>
      </c>
      <c r="BD152" s="19" t="str">
        <f>IFERROR(IF(AND(BK152&lt;&gt;"",VLOOKUP($P152&amp;" | "&amp;BB$6,'Job Master'!$F$12:$I$102,4,0)&lt;&gt;""),IF(WEEKDAY(BK152-VLOOKUP($P152&amp;" | "&amp;BB$6,'Job Master'!$F$12:$I$102,4,0))&lt;&gt;7,BK152-VLOOKUP($P152&amp;" | "&amp;BB$6,'Job Master'!$F$12:$I$102,4,0),BK152-VLOOKUP($P152&amp;" | "&amp;BB$6,'Job Master'!$F$12:$I$102,4,0)-1),""),"")</f>
        <v/>
      </c>
      <c r="BE152" s="73"/>
      <c r="BF152" s="123" t="str">
        <f t="shared" si="279"/>
        <v/>
      </c>
      <c r="BG152" s="123" t="str">
        <f t="shared" si="280"/>
        <v/>
      </c>
      <c r="BH152" s="97" t="str">
        <f t="shared" ca="1" si="281"/>
        <v/>
      </c>
      <c r="BI152" s="98" t="str">
        <f>IF(BK152&lt;&gt;"",VLOOKUP($P152&amp;" | "&amp;BI$6,'Job Master'!$F$12:$J$102,5,0),"")</f>
        <v/>
      </c>
      <c r="BJ152" s="19" t="str">
        <f>IF(BK152&lt;&gt;"",VLOOKUP($P152&amp;" | "&amp;BI$6,'Job Master'!$F$12:$J$102,3,0),"")</f>
        <v/>
      </c>
      <c r="BK152" s="19" t="str">
        <f>IFERROR(IF(AND(BR152&lt;&gt;"",VLOOKUP($P152&amp;" | "&amp;BI$6,'Job Master'!$F$12:$I$102,4,0)&lt;&gt;""),IF(WEEKDAY(BR152-VLOOKUP($P152&amp;" | "&amp;BI$6,'Job Master'!$F$12:$I$102,4,0))&lt;&gt;7,BR152-VLOOKUP($P152&amp;" | "&amp;BI$6,'Job Master'!$F$12:$I$102,4,0),BR152-VLOOKUP($P152&amp;" | "&amp;BI$6,'Job Master'!$F$12:$I$102,4,0)-1),""),"")</f>
        <v/>
      </c>
      <c r="BL152" s="73"/>
      <c r="BM152" s="123" t="str">
        <f t="shared" si="282"/>
        <v/>
      </c>
      <c r="BN152" s="123" t="str">
        <f t="shared" si="283"/>
        <v/>
      </c>
      <c r="BO152" s="97" t="str">
        <f t="shared" ca="1" si="284"/>
        <v/>
      </c>
      <c r="BP152" s="98" t="str">
        <f>IF(BR152&lt;&gt;"",VLOOKUP($P152&amp;" | "&amp;BP$6,'Job Master'!$F$12:$J$102,5,0),"")</f>
        <v/>
      </c>
      <c r="BQ152" s="19" t="str">
        <f>IF(BR152&lt;&gt;"",VLOOKUP($P152&amp;" | "&amp;BP$6,'Job Master'!$F$12:$J$102,3,0),"")</f>
        <v/>
      </c>
      <c r="BR152" s="19" t="str">
        <f>IFERROR(IF(AND(BY152&lt;&gt;"",VLOOKUP($P152&amp;" | "&amp;BP$6,'Job Master'!$F$12:$I$102,4,0)&lt;&gt;""),IF(WEEKDAY(BY152-VLOOKUP($P152&amp;" | "&amp;BP$6,'Job Master'!$F$12:$I$102,4,0))&lt;&gt;7,BY152-VLOOKUP($P152&amp;" | "&amp;BP$6,'Job Master'!$F$12:$I$102,4,0),BY152-VLOOKUP($P152&amp;" | "&amp;BP$6,'Job Master'!$F$12:$I$102,4,0)-1),""),"")</f>
        <v/>
      </c>
      <c r="BS152" s="73"/>
      <c r="BT152" s="123" t="str">
        <f t="shared" si="285"/>
        <v/>
      </c>
      <c r="BU152" s="123" t="str">
        <f t="shared" si="286"/>
        <v/>
      </c>
      <c r="BV152" s="97" t="str">
        <f t="shared" ca="1" si="287"/>
        <v/>
      </c>
      <c r="BW152" s="98" t="str">
        <f>IF(BY152&lt;&gt;"",VLOOKUP($P152&amp;" | "&amp;BW$6,'Job Master'!$F$12:$J$102,5,0),"")</f>
        <v/>
      </c>
      <c r="BX152" s="19" t="str">
        <f>IF(BY152&lt;&gt;"",VLOOKUP($P152&amp;" | "&amp;BW$6,'Job Master'!$F$12:$J$102,3,0),"")</f>
        <v/>
      </c>
      <c r="BY152" s="19" t="str">
        <f>IFERROR(IF(AND(CF152&lt;&gt;"",VLOOKUP($P152&amp;" | "&amp;BW$6,'Job Master'!$F$12:$I$102,4,0)&lt;&gt;""),IF(WEEKDAY(CF152-VLOOKUP($P152&amp;" | "&amp;BW$6,'Job Master'!$F$12:$I$102,4,0))&lt;&gt;7,CF152-VLOOKUP($P152&amp;" | "&amp;BW$6,'Job Master'!$F$12:$I$102,4,0),CF152-VLOOKUP($P152&amp;" | "&amp;BW$6,'Job Master'!$F$12:$I$102,4,0)-1),""),"")</f>
        <v/>
      </c>
      <c r="BZ152" s="73"/>
      <c r="CA152" s="123" t="str">
        <f t="shared" si="288"/>
        <v/>
      </c>
      <c r="CB152" s="123" t="str">
        <f t="shared" si="289"/>
        <v/>
      </c>
      <c r="CC152" s="97" t="str">
        <f t="shared" ca="1" si="290"/>
        <v/>
      </c>
      <c r="CD152" s="98" t="str">
        <f>IF(CF152&lt;&gt;"",VLOOKUP($P152&amp;" | "&amp;CD$6,'Job Master'!$F$12:$J$102,5,0),"")</f>
        <v/>
      </c>
      <c r="CE152" s="19" t="str">
        <f>IF(CF152&lt;&gt;"",VLOOKUP($P152&amp;" | "&amp;CD$6,'Job Master'!$F$12:$J$102,3,0),"")</f>
        <v/>
      </c>
      <c r="CF152" s="19" t="str">
        <f>IFERROR(IF(AND(CM152&lt;&gt;"",VLOOKUP($P152&amp;" | "&amp;CD$6,'Job Master'!$F$12:$I$102,4,0)&lt;&gt;""),IF(WEEKDAY(CM152-VLOOKUP($P152&amp;" | "&amp;CD$6,'Job Master'!$F$12:$I$102,4,0))&lt;&gt;7,CM152-VLOOKUP($P152&amp;" | "&amp;CD$6,'Job Master'!$F$12:$I$102,4,0),CM152-VLOOKUP($P152&amp;" | "&amp;CD$6,'Job Master'!$F$12:$I$102,4,0)-1),""),"")</f>
        <v/>
      </c>
      <c r="CG152" s="73"/>
      <c r="CH152" s="123" t="str">
        <f t="shared" si="291"/>
        <v/>
      </c>
      <c r="CI152" s="123" t="str">
        <f t="shared" si="292"/>
        <v/>
      </c>
      <c r="CJ152" s="97" t="str">
        <f t="shared" ca="1" si="293"/>
        <v/>
      </c>
      <c r="CK152" s="98" t="str">
        <f>IF(CM152&lt;&gt;"",VLOOKUP($P152&amp;" | "&amp;CK$6,'Job Master'!$F$12:$J$102,5,0),"")</f>
        <v/>
      </c>
      <c r="CL152" s="19" t="str">
        <f>IF(CM152&lt;&gt;"",VLOOKUP($P152&amp;" | "&amp;CK$6,'Job Master'!$F$12:$J$102,3,0),"")</f>
        <v/>
      </c>
      <c r="CM152" s="19" t="str">
        <f>IFERROR(IF(AND(CT152&lt;&gt;"",VLOOKUP($P152&amp;" | "&amp;CK$6,'Job Master'!$F$12:$I$102,4,0)&lt;&gt;""),IF(WEEKDAY(CT152-VLOOKUP($P152&amp;" | "&amp;CK$6,'Job Master'!$F$12:$I$102,4,0))&lt;&gt;7,CT152-VLOOKUP($P152&amp;" | "&amp;CK$6,'Job Master'!$F$12:$I$102,4,0),CT152-VLOOKUP($P152&amp;" | "&amp;CK$6,'Job Master'!$F$12:$I$102,4,0)-1),""),"")</f>
        <v/>
      </c>
      <c r="CN152" s="73"/>
      <c r="CO152" s="123" t="str">
        <f t="shared" si="294"/>
        <v/>
      </c>
      <c r="CP152" s="123" t="str">
        <f t="shared" si="295"/>
        <v/>
      </c>
      <c r="CQ152" s="97" t="str">
        <f t="shared" ca="1" si="296"/>
        <v/>
      </c>
      <c r="CR152" s="98" t="str">
        <f>IF(CT152&lt;&gt;"",VLOOKUP($P152&amp;" | "&amp;CR$6,'Job Master'!$F$12:$J$102,5,0),"")</f>
        <v/>
      </c>
      <c r="CS152" s="19" t="str">
        <f>IF(CT152&lt;&gt;"",VLOOKUP($P152&amp;" | "&amp;CR$6,'Job Master'!$F$12:$J$102,3,0),"")</f>
        <v/>
      </c>
      <c r="CT152" s="19" t="str">
        <f>IFERROR(IF(AND(DA152&lt;&gt;"",VLOOKUP($P152&amp;" | "&amp;CR$6,'Job Master'!$F$12:$I$102,4,0)&lt;&gt;""),IF(WEEKDAY(DA152-VLOOKUP($P152&amp;" | "&amp;CR$6,'Job Master'!$F$12:$I$102,4,0))&lt;&gt;7,DA152-VLOOKUP($P152&amp;" | "&amp;CR$6,'Job Master'!$F$12:$I$102,4,0),DA152-VLOOKUP($P152&amp;" | "&amp;CR$6,'Job Master'!$F$12:$I$102,4,0)-1),""),"")</f>
        <v/>
      </c>
      <c r="CU152" s="73"/>
      <c r="CV152" s="123" t="str">
        <f t="shared" si="297"/>
        <v/>
      </c>
      <c r="CW152" s="123" t="str">
        <f t="shared" si="298"/>
        <v/>
      </c>
      <c r="CX152" s="97" t="str">
        <f t="shared" ca="1" si="299"/>
        <v/>
      </c>
      <c r="CY152" s="98" t="str">
        <f>IF(DA152&lt;&gt;"",VLOOKUP($P152&amp;" | "&amp;CY$6,'Job Master'!$F$12:$J$102,5,0),"")</f>
        <v/>
      </c>
      <c r="CZ152" s="19" t="str">
        <f>IF(DA152&lt;&gt;"",VLOOKUP($P152&amp;" | "&amp;CY$6,'Job Master'!$F$12:$J$102,3,0),"")</f>
        <v/>
      </c>
      <c r="DA152" s="19" t="str">
        <f>IFERROR(IF(AND(DH152&lt;&gt;"",VLOOKUP($P152&amp;" | "&amp;CY$6,'Job Master'!$F$12:$I$102,4,0)&lt;&gt;""),IF(WEEKDAY(DH152-VLOOKUP($P152&amp;" | "&amp;CY$6,'Job Master'!$F$12:$I$102,4,0))&lt;&gt;7,DH152-VLOOKUP($P152&amp;" | "&amp;CY$6,'Job Master'!$F$12:$I$102,4,0),DH152-VLOOKUP($P152&amp;" | "&amp;CY$6,'Job Master'!$F$12:$I$102,4,0)-1),""),"")</f>
        <v/>
      </c>
      <c r="DB152" s="73"/>
      <c r="DC152" s="123" t="str">
        <f t="shared" si="300"/>
        <v/>
      </c>
      <c r="DD152" s="123" t="str">
        <f t="shared" si="301"/>
        <v/>
      </c>
      <c r="DE152" s="97" t="str">
        <f t="shared" ca="1" si="302"/>
        <v/>
      </c>
      <c r="DF152" s="98" t="str">
        <f>IF(DH152&lt;&gt;"",VLOOKUP($P152&amp;" | "&amp;DF$6,'Job Master'!$F$12:$J$102,5,0),"")</f>
        <v/>
      </c>
      <c r="DG152" s="19" t="str">
        <f>IF(DH152&lt;&gt;"",VLOOKUP($P152&amp;" | "&amp;DF$6,'Job Master'!$F$12:$J$102,3,0),"")</f>
        <v/>
      </c>
      <c r="DH152" s="19" t="str">
        <f>IFERROR(IF(AND(DO152&lt;&gt;"",VLOOKUP($P152&amp;" | "&amp;DF$6,'Job Master'!$F$12:$I$102,4,0)&lt;&gt;""),IF(WEEKDAY(DO152-VLOOKUP($P152&amp;" | "&amp;DF$6,'Job Master'!$F$12:$I$102,4,0))&lt;&gt;7,DO152-VLOOKUP($P152&amp;" | "&amp;DF$6,'Job Master'!$F$12:$I$102,4,0),DO152-VLOOKUP($P152&amp;" | "&amp;DF$6,'Job Master'!$F$12:$I$102,4,0)-1),""),"")</f>
        <v/>
      </c>
      <c r="DI152" s="73"/>
      <c r="DJ152" s="123" t="str">
        <f t="shared" si="303"/>
        <v/>
      </c>
      <c r="DK152" s="123" t="str">
        <f t="shared" si="304"/>
        <v/>
      </c>
      <c r="DL152" s="97" t="str">
        <f t="shared" ca="1" si="305"/>
        <v/>
      </c>
      <c r="DM152" s="98" t="str">
        <f>IF(DO152&lt;&gt;"",VLOOKUP($P152&amp;" | "&amp;DM$6,'Job Master'!$F$12:$J$102,5,0),"")</f>
        <v/>
      </c>
      <c r="DN152" s="19" t="str">
        <f>IF(DO152&lt;&gt;"",VLOOKUP($P152&amp;" | "&amp;DM$6,'Job Master'!$F$12:$J$102,3,0),"")</f>
        <v/>
      </c>
      <c r="DO152" s="19" t="str">
        <f>IFERROR(IF(AND(DT152&lt;&gt;"",VLOOKUP($P152&amp;" | "&amp;DM$6,'Job Master'!$F$12:$I$102,4,0)&lt;&gt;""),IF(WEEKDAY(DT152-VLOOKUP($P152&amp;" | "&amp;DM$6,'Job Master'!$F$12:$I$102,4,0))&lt;&gt;7,DT152-VLOOKUP($P152&amp;" | "&amp;DM$6,'Job Master'!$F$12:$I$102,4,0),DT152-VLOOKUP($P152&amp;" | "&amp;DM$6,'Job Master'!$F$12:$I$102,4,0)-1),""),"")</f>
        <v/>
      </c>
      <c r="DP152" s="73"/>
      <c r="DQ152" s="123" t="str">
        <f t="shared" si="306"/>
        <v/>
      </c>
      <c r="DR152" s="123" t="str">
        <f t="shared" si="307"/>
        <v/>
      </c>
      <c r="DS152" s="97" t="str">
        <f t="shared" ca="1" si="308"/>
        <v/>
      </c>
      <c r="DT152" s="70" t="str">
        <f t="shared" si="309"/>
        <v/>
      </c>
      <c r="DU152" s="90"/>
      <c r="DV152" s="123" t="str">
        <f t="shared" si="310"/>
        <v/>
      </c>
      <c r="DW152" s="123" t="str">
        <f t="shared" si="311"/>
        <v/>
      </c>
      <c r="DX152" s="132" t="str">
        <f t="shared" ref="DX152" ca="1" si="334">IF(DT152&lt;&gt;"",IF(WEEKNUM(DT152)=WEEKNUM(TODAY()),"This Week",IF(WEEKNUM(DT152)=WEEKNUM(TODAY())+1,"Next Week",IF(WEEKNUM(DT152)=WEEKNUM(TODAY())-1,"Previous Week",""))),"")</f>
        <v/>
      </c>
      <c r="DY152" s="134" t="str">
        <f t="shared" si="313"/>
        <v/>
      </c>
      <c r="DZ152" s="95"/>
      <c r="EB152" s="8" t="str">
        <f t="shared" si="319"/>
        <v/>
      </c>
      <c r="EC152" s="8" t="str">
        <f>IF(O152&lt;&gt;"",VLOOKUP(O152,'Job Master'!$N$12:$O$18,2,0),"")</f>
        <v/>
      </c>
      <c r="ED152" s="8">
        <f t="shared" si="320"/>
        <v>19.5</v>
      </c>
      <c r="EE152" s="8">
        <f t="shared" si="321"/>
        <v>6</v>
      </c>
      <c r="EF152" s="8">
        <f t="shared" si="322"/>
        <v>-832.5</v>
      </c>
      <c r="EG152" s="8" t="str">
        <f t="shared" si="323"/>
        <v/>
      </c>
      <c r="EH152" s="8" t="str">
        <f t="shared" si="324"/>
        <v/>
      </c>
    </row>
    <row r="153" spans="2:138" x14ac:dyDescent="0.3">
      <c r="B153" s="112"/>
      <c r="C153" s="27"/>
      <c r="D153" s="7" t="str">
        <f t="shared" si="261"/>
        <v/>
      </c>
      <c r="E153" s="25"/>
      <c r="F153" s="7" t="str">
        <f t="shared" si="261"/>
        <v/>
      </c>
      <c r="G153" s="25"/>
      <c r="H153" s="7" t="str">
        <f t="shared" si="261"/>
        <v/>
      </c>
      <c r="I153" s="25"/>
      <c r="J153" s="7" t="str">
        <f t="shared" si="261"/>
        <v/>
      </c>
      <c r="K153" s="25"/>
      <c r="L153" s="7" t="str">
        <f t="shared" si="262"/>
        <v/>
      </c>
      <c r="M153" s="25"/>
      <c r="N153" s="7" t="str">
        <f t="shared" si="263"/>
        <v/>
      </c>
      <c r="O153" s="81"/>
      <c r="P153" s="81" t="str">
        <f t="shared" si="264"/>
        <v/>
      </c>
      <c r="Q153" s="81"/>
      <c r="R153" s="7" t="str">
        <f t="shared" si="265"/>
        <v/>
      </c>
      <c r="S153" s="25"/>
      <c r="T153" s="7" t="str">
        <f t="shared" si="266"/>
        <v/>
      </c>
      <c r="U153" s="25"/>
      <c r="V153" s="7" t="str">
        <f t="shared" si="267"/>
        <v/>
      </c>
      <c r="W153" s="25"/>
      <c r="X153" s="7" t="str">
        <f t="shared" si="268"/>
        <v/>
      </c>
      <c r="Y153" s="18" t="str">
        <f t="shared" si="269"/>
        <v/>
      </c>
      <c r="Z153" s="7" t="str">
        <f t="shared" si="270"/>
        <v/>
      </c>
      <c r="AA153" s="18" t="str">
        <f t="shared" si="271"/>
        <v/>
      </c>
      <c r="AB153" s="19" t="str">
        <f t="shared" si="272"/>
        <v/>
      </c>
      <c r="AC153" s="26"/>
      <c r="AD153" s="26"/>
      <c r="AE153" s="25"/>
      <c r="AF153" s="26"/>
      <c r="AG153" s="25"/>
      <c r="AH153" s="25"/>
      <c r="AI153" s="18" t="str">
        <f t="shared" ref="AI153:AI216" si="335">IF(IF(AH153&lt;&gt;"",AH153,IF($AA153&lt;&gt;"",AI152,""))&lt;&gt;0,IF(AH153&lt;&gt;"",AH153,IF($AA153&lt;&gt;"",AI152,"")),"")</f>
        <v/>
      </c>
      <c r="AJ153" s="25"/>
      <c r="AK153" s="18" t="str">
        <f t="shared" ref="AK153:AK216" si="336">IF(IF(AJ153&lt;&gt;"",AJ153,IF($AA153&lt;&gt;"",AK152,""))&lt;&gt;0,IF(AJ153&lt;&gt;"",AJ153,IF($AA153&lt;&gt;"",AK152,"")),"")</f>
        <v/>
      </c>
      <c r="AL153" s="79"/>
      <c r="AM153" s="126" t="str">
        <f t="shared" ref="AM153:AM216" si="337">IF(IF(AL153&lt;&gt;"",AL153,IF($AA153&lt;&gt;"",AM152,""))&lt;&gt;0,IF(AL153&lt;&gt;"",AL153,IF($AA153&lt;&gt;"",AM152,"")),"")</f>
        <v/>
      </c>
      <c r="AN153" s="128" t="str">
        <f>IF(AP153&lt;&gt;"",VLOOKUP($P153&amp;" | "&amp;AN$6,'Job Master'!$F$12:$J$102,5,0),"")</f>
        <v/>
      </c>
      <c r="AO153" s="19" t="str">
        <f>IF(AP153&lt;&gt;"",VLOOKUP($P153&amp;" | "&amp;AN$6,'Job Master'!$F$12:$J$102,3,0),"")</f>
        <v/>
      </c>
      <c r="AP153" s="19" t="str">
        <f>IFERROR(IF(AND(AW153&lt;&gt;"",VLOOKUP($P153&amp;" | "&amp;AN$6,'Job Master'!$F$12:$I$102,4,0)&lt;&gt;""),IF(WEEKDAY(AW153-VLOOKUP($P153&amp;" | "&amp;AN$6,'Job Master'!$F$12:$I$102,4,0))&lt;&gt;7,AW153-VLOOKUP($P153&amp;" | "&amp;AN$6,'Job Master'!$F$12:$I$102,4,0),AW153-VLOOKUP($P153&amp;" | "&amp;AN$6,'Job Master'!$F$12:$I$102,4,0)-1),""),"")</f>
        <v/>
      </c>
      <c r="AQ153" s="73"/>
      <c r="AR153" s="123" t="str">
        <f t="shared" si="273"/>
        <v/>
      </c>
      <c r="AS153" s="123" t="str">
        <f t="shared" si="274"/>
        <v/>
      </c>
      <c r="AT153" s="97" t="str">
        <f t="shared" ca="1" si="275"/>
        <v/>
      </c>
      <c r="AU153" s="98" t="str">
        <f>IF(AW153&lt;&gt;"",VLOOKUP($P153&amp;" | "&amp;AU$6,'Job Master'!$F$12:$J$102,5,0),"")</f>
        <v/>
      </c>
      <c r="AV153" s="19" t="str">
        <f>IF(AW153&lt;&gt;"",VLOOKUP($P153&amp;" | "&amp;AU$6,'Job Master'!$F$12:$J$102,3,0),"")</f>
        <v/>
      </c>
      <c r="AW153" s="19" t="str">
        <f>IFERROR(IF(AND(BD153&lt;&gt;"",VLOOKUP($P153&amp;" | "&amp;AU$6,'Job Master'!$F$12:$I$102,4,0)&lt;&gt;""),IF(WEEKDAY(BD153-VLOOKUP($P153&amp;" | "&amp;AU$6,'Job Master'!$F$12:$I$102,4,0))&lt;&gt;7,BD153-VLOOKUP($P153&amp;" | "&amp;AU$6,'Job Master'!$F$12:$I$102,4,0),BD153-VLOOKUP($P153&amp;" | "&amp;AU$6,'Job Master'!$F$12:$I$102,4,0)-1),""),"")</f>
        <v/>
      </c>
      <c r="AX153" s="73"/>
      <c r="AY153" s="123" t="str">
        <f t="shared" si="276"/>
        <v/>
      </c>
      <c r="AZ153" s="123" t="str">
        <f t="shared" si="277"/>
        <v/>
      </c>
      <c r="BA153" s="97" t="str">
        <f t="shared" ca="1" si="278"/>
        <v/>
      </c>
      <c r="BB153" s="98" t="str">
        <f>IF(BD153&lt;&gt;"",VLOOKUP($P153&amp;" | "&amp;BB$6,'Job Master'!$F$12:$J$102,5,0),"")</f>
        <v/>
      </c>
      <c r="BC153" s="19" t="str">
        <f>IF(BD153&lt;&gt;"",VLOOKUP($P153&amp;" | "&amp;BB$6,'Job Master'!$F$12:$J$102,3,0),"")</f>
        <v/>
      </c>
      <c r="BD153" s="19" t="str">
        <f>IFERROR(IF(AND(BK153&lt;&gt;"",VLOOKUP($P153&amp;" | "&amp;BB$6,'Job Master'!$F$12:$I$102,4,0)&lt;&gt;""),IF(WEEKDAY(BK153-VLOOKUP($P153&amp;" | "&amp;BB$6,'Job Master'!$F$12:$I$102,4,0))&lt;&gt;7,BK153-VLOOKUP($P153&amp;" | "&amp;BB$6,'Job Master'!$F$12:$I$102,4,0),BK153-VLOOKUP($P153&amp;" | "&amp;BB$6,'Job Master'!$F$12:$I$102,4,0)-1),""),"")</f>
        <v/>
      </c>
      <c r="BE153" s="73"/>
      <c r="BF153" s="123" t="str">
        <f t="shared" si="279"/>
        <v/>
      </c>
      <c r="BG153" s="123" t="str">
        <f t="shared" si="280"/>
        <v/>
      </c>
      <c r="BH153" s="97" t="str">
        <f t="shared" ca="1" si="281"/>
        <v/>
      </c>
      <c r="BI153" s="98" t="str">
        <f>IF(BK153&lt;&gt;"",VLOOKUP($P153&amp;" | "&amp;BI$6,'Job Master'!$F$12:$J$102,5,0),"")</f>
        <v/>
      </c>
      <c r="BJ153" s="19" t="str">
        <f>IF(BK153&lt;&gt;"",VLOOKUP($P153&amp;" | "&amp;BI$6,'Job Master'!$F$12:$J$102,3,0),"")</f>
        <v/>
      </c>
      <c r="BK153" s="19" t="str">
        <f>IFERROR(IF(AND(BR153&lt;&gt;"",VLOOKUP($P153&amp;" | "&amp;BI$6,'Job Master'!$F$12:$I$102,4,0)&lt;&gt;""),IF(WEEKDAY(BR153-VLOOKUP($P153&amp;" | "&amp;BI$6,'Job Master'!$F$12:$I$102,4,0))&lt;&gt;7,BR153-VLOOKUP($P153&amp;" | "&amp;BI$6,'Job Master'!$F$12:$I$102,4,0),BR153-VLOOKUP($P153&amp;" | "&amp;BI$6,'Job Master'!$F$12:$I$102,4,0)-1),""),"")</f>
        <v/>
      </c>
      <c r="BL153" s="73"/>
      <c r="BM153" s="123" t="str">
        <f t="shared" si="282"/>
        <v/>
      </c>
      <c r="BN153" s="123" t="str">
        <f t="shared" si="283"/>
        <v/>
      </c>
      <c r="BO153" s="97" t="str">
        <f t="shared" ca="1" si="284"/>
        <v/>
      </c>
      <c r="BP153" s="98" t="str">
        <f>IF(BR153&lt;&gt;"",VLOOKUP($P153&amp;" | "&amp;BP$6,'Job Master'!$F$12:$J$102,5,0),"")</f>
        <v/>
      </c>
      <c r="BQ153" s="19" t="str">
        <f>IF(BR153&lt;&gt;"",VLOOKUP($P153&amp;" | "&amp;BP$6,'Job Master'!$F$12:$J$102,3,0),"")</f>
        <v/>
      </c>
      <c r="BR153" s="19" t="str">
        <f>IFERROR(IF(AND(BY153&lt;&gt;"",VLOOKUP($P153&amp;" | "&amp;BP$6,'Job Master'!$F$12:$I$102,4,0)&lt;&gt;""),IF(WEEKDAY(BY153-VLOOKUP($P153&amp;" | "&amp;BP$6,'Job Master'!$F$12:$I$102,4,0))&lt;&gt;7,BY153-VLOOKUP($P153&amp;" | "&amp;BP$6,'Job Master'!$F$12:$I$102,4,0),BY153-VLOOKUP($P153&amp;" | "&amp;BP$6,'Job Master'!$F$12:$I$102,4,0)-1),""),"")</f>
        <v/>
      </c>
      <c r="BS153" s="73"/>
      <c r="BT153" s="123" t="str">
        <f t="shared" si="285"/>
        <v/>
      </c>
      <c r="BU153" s="123" t="str">
        <f t="shared" si="286"/>
        <v/>
      </c>
      <c r="BV153" s="97" t="str">
        <f t="shared" ca="1" si="287"/>
        <v/>
      </c>
      <c r="BW153" s="98" t="str">
        <f>IF(BY153&lt;&gt;"",VLOOKUP($P153&amp;" | "&amp;BW$6,'Job Master'!$F$12:$J$102,5,0),"")</f>
        <v/>
      </c>
      <c r="BX153" s="19" t="str">
        <f>IF(BY153&lt;&gt;"",VLOOKUP($P153&amp;" | "&amp;BW$6,'Job Master'!$F$12:$J$102,3,0),"")</f>
        <v/>
      </c>
      <c r="BY153" s="19" t="str">
        <f>IFERROR(IF(AND(CF153&lt;&gt;"",VLOOKUP($P153&amp;" | "&amp;BW$6,'Job Master'!$F$12:$I$102,4,0)&lt;&gt;""),IF(WEEKDAY(CF153-VLOOKUP($P153&amp;" | "&amp;BW$6,'Job Master'!$F$12:$I$102,4,0))&lt;&gt;7,CF153-VLOOKUP($P153&amp;" | "&amp;BW$6,'Job Master'!$F$12:$I$102,4,0),CF153-VLOOKUP($P153&amp;" | "&amp;BW$6,'Job Master'!$F$12:$I$102,4,0)-1),""),"")</f>
        <v/>
      </c>
      <c r="BZ153" s="73"/>
      <c r="CA153" s="123" t="str">
        <f t="shared" si="288"/>
        <v/>
      </c>
      <c r="CB153" s="123" t="str">
        <f t="shared" si="289"/>
        <v/>
      </c>
      <c r="CC153" s="97" t="str">
        <f t="shared" ca="1" si="290"/>
        <v/>
      </c>
      <c r="CD153" s="98" t="str">
        <f>IF(CF153&lt;&gt;"",VLOOKUP($P153&amp;" | "&amp;CD$6,'Job Master'!$F$12:$J$102,5,0),"")</f>
        <v/>
      </c>
      <c r="CE153" s="19" t="str">
        <f>IF(CF153&lt;&gt;"",VLOOKUP($P153&amp;" | "&amp;CD$6,'Job Master'!$F$12:$J$102,3,0),"")</f>
        <v/>
      </c>
      <c r="CF153" s="19" t="str">
        <f>IFERROR(IF(AND(CM153&lt;&gt;"",VLOOKUP($P153&amp;" | "&amp;CD$6,'Job Master'!$F$12:$I$102,4,0)&lt;&gt;""),IF(WEEKDAY(CM153-VLOOKUP($P153&amp;" | "&amp;CD$6,'Job Master'!$F$12:$I$102,4,0))&lt;&gt;7,CM153-VLOOKUP($P153&amp;" | "&amp;CD$6,'Job Master'!$F$12:$I$102,4,0),CM153-VLOOKUP($P153&amp;" | "&amp;CD$6,'Job Master'!$F$12:$I$102,4,0)-1),""),"")</f>
        <v/>
      </c>
      <c r="CG153" s="73"/>
      <c r="CH153" s="123" t="str">
        <f t="shared" si="291"/>
        <v/>
      </c>
      <c r="CI153" s="123" t="str">
        <f t="shared" si="292"/>
        <v/>
      </c>
      <c r="CJ153" s="97" t="str">
        <f t="shared" ca="1" si="293"/>
        <v/>
      </c>
      <c r="CK153" s="98" t="str">
        <f>IF(CM153&lt;&gt;"",VLOOKUP($P153&amp;" | "&amp;CK$6,'Job Master'!$F$12:$J$102,5,0),"")</f>
        <v/>
      </c>
      <c r="CL153" s="19" t="str">
        <f>IF(CM153&lt;&gt;"",VLOOKUP($P153&amp;" | "&amp;CK$6,'Job Master'!$F$12:$J$102,3,0),"")</f>
        <v/>
      </c>
      <c r="CM153" s="19" t="str">
        <f>IFERROR(IF(AND(CT153&lt;&gt;"",VLOOKUP($P153&amp;" | "&amp;CK$6,'Job Master'!$F$12:$I$102,4,0)&lt;&gt;""),IF(WEEKDAY(CT153-VLOOKUP($P153&amp;" | "&amp;CK$6,'Job Master'!$F$12:$I$102,4,0))&lt;&gt;7,CT153-VLOOKUP($P153&amp;" | "&amp;CK$6,'Job Master'!$F$12:$I$102,4,0),CT153-VLOOKUP($P153&amp;" | "&amp;CK$6,'Job Master'!$F$12:$I$102,4,0)-1),""),"")</f>
        <v/>
      </c>
      <c r="CN153" s="73"/>
      <c r="CO153" s="123" t="str">
        <f t="shared" si="294"/>
        <v/>
      </c>
      <c r="CP153" s="123" t="str">
        <f t="shared" si="295"/>
        <v/>
      </c>
      <c r="CQ153" s="97" t="str">
        <f t="shared" ca="1" si="296"/>
        <v/>
      </c>
      <c r="CR153" s="98" t="str">
        <f>IF(CT153&lt;&gt;"",VLOOKUP($P153&amp;" | "&amp;CR$6,'Job Master'!$F$12:$J$102,5,0),"")</f>
        <v/>
      </c>
      <c r="CS153" s="19" t="str">
        <f>IF(CT153&lt;&gt;"",VLOOKUP($P153&amp;" | "&amp;CR$6,'Job Master'!$F$12:$J$102,3,0),"")</f>
        <v/>
      </c>
      <c r="CT153" s="19" t="str">
        <f>IFERROR(IF(AND(DA153&lt;&gt;"",VLOOKUP($P153&amp;" | "&amp;CR$6,'Job Master'!$F$12:$I$102,4,0)&lt;&gt;""),IF(WEEKDAY(DA153-VLOOKUP($P153&amp;" | "&amp;CR$6,'Job Master'!$F$12:$I$102,4,0))&lt;&gt;7,DA153-VLOOKUP($P153&amp;" | "&amp;CR$6,'Job Master'!$F$12:$I$102,4,0),DA153-VLOOKUP($P153&amp;" | "&amp;CR$6,'Job Master'!$F$12:$I$102,4,0)-1),""),"")</f>
        <v/>
      </c>
      <c r="CU153" s="73"/>
      <c r="CV153" s="123" t="str">
        <f t="shared" si="297"/>
        <v/>
      </c>
      <c r="CW153" s="123" t="str">
        <f t="shared" si="298"/>
        <v/>
      </c>
      <c r="CX153" s="97" t="str">
        <f t="shared" ca="1" si="299"/>
        <v/>
      </c>
      <c r="CY153" s="98" t="str">
        <f>IF(DA153&lt;&gt;"",VLOOKUP($P153&amp;" | "&amp;CY$6,'Job Master'!$F$12:$J$102,5,0),"")</f>
        <v/>
      </c>
      <c r="CZ153" s="19" t="str">
        <f>IF(DA153&lt;&gt;"",VLOOKUP($P153&amp;" | "&amp;CY$6,'Job Master'!$F$12:$J$102,3,0),"")</f>
        <v/>
      </c>
      <c r="DA153" s="19" t="str">
        <f>IFERROR(IF(AND(DH153&lt;&gt;"",VLOOKUP($P153&amp;" | "&amp;CY$6,'Job Master'!$F$12:$I$102,4,0)&lt;&gt;""),IF(WEEKDAY(DH153-VLOOKUP($P153&amp;" | "&amp;CY$6,'Job Master'!$F$12:$I$102,4,0))&lt;&gt;7,DH153-VLOOKUP($P153&amp;" | "&amp;CY$6,'Job Master'!$F$12:$I$102,4,0),DH153-VLOOKUP($P153&amp;" | "&amp;CY$6,'Job Master'!$F$12:$I$102,4,0)-1),""),"")</f>
        <v/>
      </c>
      <c r="DB153" s="73"/>
      <c r="DC153" s="123" t="str">
        <f t="shared" si="300"/>
        <v/>
      </c>
      <c r="DD153" s="123" t="str">
        <f t="shared" si="301"/>
        <v/>
      </c>
      <c r="DE153" s="97" t="str">
        <f t="shared" ca="1" si="302"/>
        <v/>
      </c>
      <c r="DF153" s="98" t="str">
        <f>IF(DH153&lt;&gt;"",VLOOKUP($P153&amp;" | "&amp;DF$6,'Job Master'!$F$12:$J$102,5,0),"")</f>
        <v/>
      </c>
      <c r="DG153" s="19" t="str">
        <f>IF(DH153&lt;&gt;"",VLOOKUP($P153&amp;" | "&amp;DF$6,'Job Master'!$F$12:$J$102,3,0),"")</f>
        <v/>
      </c>
      <c r="DH153" s="19" t="str">
        <f>IFERROR(IF(AND(DO153&lt;&gt;"",VLOOKUP($P153&amp;" | "&amp;DF$6,'Job Master'!$F$12:$I$102,4,0)&lt;&gt;""),IF(WEEKDAY(DO153-VLOOKUP($P153&amp;" | "&amp;DF$6,'Job Master'!$F$12:$I$102,4,0))&lt;&gt;7,DO153-VLOOKUP($P153&amp;" | "&amp;DF$6,'Job Master'!$F$12:$I$102,4,0),DO153-VLOOKUP($P153&amp;" | "&amp;DF$6,'Job Master'!$F$12:$I$102,4,0)-1),""),"")</f>
        <v/>
      </c>
      <c r="DI153" s="73"/>
      <c r="DJ153" s="123" t="str">
        <f t="shared" si="303"/>
        <v/>
      </c>
      <c r="DK153" s="123" t="str">
        <f t="shared" si="304"/>
        <v/>
      </c>
      <c r="DL153" s="97" t="str">
        <f t="shared" ca="1" si="305"/>
        <v/>
      </c>
      <c r="DM153" s="98" t="str">
        <f>IF(DO153&lt;&gt;"",VLOOKUP($P153&amp;" | "&amp;DM$6,'Job Master'!$F$12:$J$102,5,0),"")</f>
        <v/>
      </c>
      <c r="DN153" s="19" t="str">
        <f>IF(DO153&lt;&gt;"",VLOOKUP($P153&amp;" | "&amp;DM$6,'Job Master'!$F$12:$J$102,3,0),"")</f>
        <v/>
      </c>
      <c r="DO153" s="19" t="str">
        <f>IFERROR(IF(AND(DT153&lt;&gt;"",VLOOKUP($P153&amp;" | "&amp;DM$6,'Job Master'!$F$12:$I$102,4,0)&lt;&gt;""),IF(WEEKDAY(DT153-VLOOKUP($P153&amp;" | "&amp;DM$6,'Job Master'!$F$12:$I$102,4,0))&lt;&gt;7,DT153-VLOOKUP($P153&amp;" | "&amp;DM$6,'Job Master'!$F$12:$I$102,4,0),DT153-VLOOKUP($P153&amp;" | "&amp;DM$6,'Job Master'!$F$12:$I$102,4,0)-1),""),"")</f>
        <v/>
      </c>
      <c r="DP153" s="73"/>
      <c r="DQ153" s="123" t="str">
        <f t="shared" si="306"/>
        <v/>
      </c>
      <c r="DR153" s="123" t="str">
        <f t="shared" si="307"/>
        <v/>
      </c>
      <c r="DS153" s="97" t="str">
        <f t="shared" ca="1" si="308"/>
        <v/>
      </c>
      <c r="DT153" s="70" t="str">
        <f t="shared" si="309"/>
        <v/>
      </c>
      <c r="DU153" s="90"/>
      <c r="DV153" s="123" t="str">
        <f t="shared" si="310"/>
        <v/>
      </c>
      <c r="DW153" s="123" t="str">
        <f t="shared" si="311"/>
        <v/>
      </c>
      <c r="DX153" s="132" t="str">
        <f t="shared" ref="DX153" ca="1" si="338">IF(DT153&lt;&gt;"",IF(WEEKNUM(DT153)=WEEKNUM(TODAY()),"This Week",IF(WEEKNUM(DT153)=WEEKNUM(TODAY())+1,"Next Week",IF(WEEKNUM(DT153)=WEEKNUM(TODAY())-1,"Previous Week",""))),"")</f>
        <v/>
      </c>
      <c r="DY153" s="134" t="str">
        <f t="shared" si="313"/>
        <v/>
      </c>
      <c r="DZ153" s="95"/>
      <c r="EB153" s="8" t="str">
        <f t="shared" si="319"/>
        <v/>
      </c>
      <c r="EC153" s="8" t="str">
        <f>IF(O153&lt;&gt;"",VLOOKUP(O153,'Job Master'!$N$12:$O$18,2,0),"")</f>
        <v/>
      </c>
      <c r="ED153" s="8">
        <f t="shared" si="320"/>
        <v>19.5</v>
      </c>
      <c r="EE153" s="8">
        <f t="shared" si="321"/>
        <v>6</v>
      </c>
      <c r="EF153" s="8">
        <f t="shared" si="322"/>
        <v>-838.5</v>
      </c>
      <c r="EG153" s="8" t="str">
        <f t="shared" si="323"/>
        <v/>
      </c>
      <c r="EH153" s="8" t="str">
        <f t="shared" si="324"/>
        <v/>
      </c>
    </row>
    <row r="154" spans="2:138" x14ac:dyDescent="0.3">
      <c r="B154" s="112"/>
      <c r="C154" s="27"/>
      <c r="D154" s="7" t="str">
        <f t="shared" si="261"/>
        <v/>
      </c>
      <c r="E154" s="25"/>
      <c r="F154" s="7" t="str">
        <f t="shared" si="261"/>
        <v/>
      </c>
      <c r="G154" s="25"/>
      <c r="H154" s="7" t="str">
        <f t="shared" si="261"/>
        <v/>
      </c>
      <c r="I154" s="25"/>
      <c r="J154" s="7" t="str">
        <f t="shared" si="261"/>
        <v/>
      </c>
      <c r="K154" s="25"/>
      <c r="L154" s="7" t="str">
        <f t="shared" si="262"/>
        <v/>
      </c>
      <c r="M154" s="25"/>
      <c r="N154" s="7" t="str">
        <f t="shared" si="263"/>
        <v/>
      </c>
      <c r="O154" s="81"/>
      <c r="P154" s="81" t="str">
        <f t="shared" si="264"/>
        <v/>
      </c>
      <c r="Q154" s="81"/>
      <c r="R154" s="7" t="str">
        <f t="shared" si="265"/>
        <v/>
      </c>
      <c r="S154" s="25"/>
      <c r="T154" s="7" t="str">
        <f t="shared" si="266"/>
        <v/>
      </c>
      <c r="U154" s="25"/>
      <c r="V154" s="7" t="str">
        <f t="shared" si="267"/>
        <v/>
      </c>
      <c r="W154" s="25"/>
      <c r="X154" s="7" t="str">
        <f t="shared" si="268"/>
        <v/>
      </c>
      <c r="Y154" s="18" t="str">
        <f t="shared" si="269"/>
        <v/>
      </c>
      <c r="Z154" s="7" t="str">
        <f t="shared" si="270"/>
        <v/>
      </c>
      <c r="AA154" s="18" t="str">
        <f t="shared" si="271"/>
        <v/>
      </c>
      <c r="AB154" s="19" t="str">
        <f t="shared" si="272"/>
        <v/>
      </c>
      <c r="AC154" s="26"/>
      <c r="AD154" s="26"/>
      <c r="AE154" s="25"/>
      <c r="AF154" s="26"/>
      <c r="AG154" s="25"/>
      <c r="AH154" s="25"/>
      <c r="AI154" s="18" t="str">
        <f t="shared" si="335"/>
        <v/>
      </c>
      <c r="AJ154" s="25"/>
      <c r="AK154" s="18" t="str">
        <f t="shared" si="336"/>
        <v/>
      </c>
      <c r="AL154" s="79"/>
      <c r="AM154" s="126" t="str">
        <f t="shared" si="337"/>
        <v/>
      </c>
      <c r="AN154" s="128" t="str">
        <f>IF(AP154&lt;&gt;"",VLOOKUP($P154&amp;" | "&amp;AN$6,'Job Master'!$F$12:$J$102,5,0),"")</f>
        <v/>
      </c>
      <c r="AO154" s="19" t="str">
        <f>IF(AP154&lt;&gt;"",VLOOKUP($P154&amp;" | "&amp;AN$6,'Job Master'!$F$12:$J$102,3,0),"")</f>
        <v/>
      </c>
      <c r="AP154" s="19" t="str">
        <f>IFERROR(IF(AND(AW154&lt;&gt;"",VLOOKUP($P154&amp;" | "&amp;AN$6,'Job Master'!$F$12:$I$102,4,0)&lt;&gt;""),IF(WEEKDAY(AW154-VLOOKUP($P154&amp;" | "&amp;AN$6,'Job Master'!$F$12:$I$102,4,0))&lt;&gt;7,AW154-VLOOKUP($P154&amp;" | "&amp;AN$6,'Job Master'!$F$12:$I$102,4,0),AW154-VLOOKUP($P154&amp;" | "&amp;AN$6,'Job Master'!$F$12:$I$102,4,0)-1),""),"")</f>
        <v/>
      </c>
      <c r="AQ154" s="73"/>
      <c r="AR154" s="123" t="str">
        <f t="shared" si="273"/>
        <v/>
      </c>
      <c r="AS154" s="123" t="str">
        <f t="shared" si="274"/>
        <v/>
      </c>
      <c r="AT154" s="97" t="str">
        <f t="shared" ca="1" si="275"/>
        <v/>
      </c>
      <c r="AU154" s="98" t="str">
        <f>IF(AW154&lt;&gt;"",VLOOKUP($P154&amp;" | "&amp;AU$6,'Job Master'!$F$12:$J$102,5,0),"")</f>
        <v/>
      </c>
      <c r="AV154" s="19" t="str">
        <f>IF(AW154&lt;&gt;"",VLOOKUP($P154&amp;" | "&amp;AU$6,'Job Master'!$F$12:$J$102,3,0),"")</f>
        <v/>
      </c>
      <c r="AW154" s="19" t="str">
        <f>IFERROR(IF(AND(BD154&lt;&gt;"",VLOOKUP($P154&amp;" | "&amp;AU$6,'Job Master'!$F$12:$I$102,4,0)&lt;&gt;""),IF(WEEKDAY(BD154-VLOOKUP($P154&amp;" | "&amp;AU$6,'Job Master'!$F$12:$I$102,4,0))&lt;&gt;7,BD154-VLOOKUP($P154&amp;" | "&amp;AU$6,'Job Master'!$F$12:$I$102,4,0),BD154-VLOOKUP($P154&amp;" | "&amp;AU$6,'Job Master'!$F$12:$I$102,4,0)-1),""),"")</f>
        <v/>
      </c>
      <c r="AX154" s="73"/>
      <c r="AY154" s="123" t="str">
        <f t="shared" si="276"/>
        <v/>
      </c>
      <c r="AZ154" s="123" t="str">
        <f t="shared" si="277"/>
        <v/>
      </c>
      <c r="BA154" s="97" t="str">
        <f t="shared" ca="1" si="278"/>
        <v/>
      </c>
      <c r="BB154" s="98" t="str">
        <f>IF(BD154&lt;&gt;"",VLOOKUP($P154&amp;" | "&amp;BB$6,'Job Master'!$F$12:$J$102,5,0),"")</f>
        <v/>
      </c>
      <c r="BC154" s="19" t="str">
        <f>IF(BD154&lt;&gt;"",VLOOKUP($P154&amp;" | "&amp;BB$6,'Job Master'!$F$12:$J$102,3,0),"")</f>
        <v/>
      </c>
      <c r="BD154" s="19" t="str">
        <f>IFERROR(IF(AND(BK154&lt;&gt;"",VLOOKUP($P154&amp;" | "&amp;BB$6,'Job Master'!$F$12:$I$102,4,0)&lt;&gt;""),IF(WEEKDAY(BK154-VLOOKUP($P154&amp;" | "&amp;BB$6,'Job Master'!$F$12:$I$102,4,0))&lt;&gt;7,BK154-VLOOKUP($P154&amp;" | "&amp;BB$6,'Job Master'!$F$12:$I$102,4,0),BK154-VLOOKUP($P154&amp;" | "&amp;BB$6,'Job Master'!$F$12:$I$102,4,0)-1),""),"")</f>
        <v/>
      </c>
      <c r="BE154" s="73"/>
      <c r="BF154" s="123" t="str">
        <f t="shared" si="279"/>
        <v/>
      </c>
      <c r="BG154" s="123" t="str">
        <f t="shared" si="280"/>
        <v/>
      </c>
      <c r="BH154" s="97" t="str">
        <f t="shared" ca="1" si="281"/>
        <v/>
      </c>
      <c r="BI154" s="98" t="str">
        <f>IF(BK154&lt;&gt;"",VLOOKUP($P154&amp;" | "&amp;BI$6,'Job Master'!$F$12:$J$102,5,0),"")</f>
        <v/>
      </c>
      <c r="BJ154" s="19" t="str">
        <f>IF(BK154&lt;&gt;"",VLOOKUP($P154&amp;" | "&amp;BI$6,'Job Master'!$F$12:$J$102,3,0),"")</f>
        <v/>
      </c>
      <c r="BK154" s="19" t="str">
        <f>IFERROR(IF(AND(BR154&lt;&gt;"",VLOOKUP($P154&amp;" | "&amp;BI$6,'Job Master'!$F$12:$I$102,4,0)&lt;&gt;""),IF(WEEKDAY(BR154-VLOOKUP($P154&amp;" | "&amp;BI$6,'Job Master'!$F$12:$I$102,4,0))&lt;&gt;7,BR154-VLOOKUP($P154&amp;" | "&amp;BI$6,'Job Master'!$F$12:$I$102,4,0),BR154-VLOOKUP($P154&amp;" | "&amp;BI$6,'Job Master'!$F$12:$I$102,4,0)-1),""),"")</f>
        <v/>
      </c>
      <c r="BL154" s="73"/>
      <c r="BM154" s="123" t="str">
        <f t="shared" si="282"/>
        <v/>
      </c>
      <c r="BN154" s="123" t="str">
        <f t="shared" si="283"/>
        <v/>
      </c>
      <c r="BO154" s="97" t="str">
        <f t="shared" ca="1" si="284"/>
        <v/>
      </c>
      <c r="BP154" s="98" t="str">
        <f>IF(BR154&lt;&gt;"",VLOOKUP($P154&amp;" | "&amp;BP$6,'Job Master'!$F$12:$J$102,5,0),"")</f>
        <v/>
      </c>
      <c r="BQ154" s="19" t="str">
        <f>IF(BR154&lt;&gt;"",VLOOKUP($P154&amp;" | "&amp;BP$6,'Job Master'!$F$12:$J$102,3,0),"")</f>
        <v/>
      </c>
      <c r="BR154" s="19" t="str">
        <f>IFERROR(IF(AND(BY154&lt;&gt;"",VLOOKUP($P154&amp;" | "&amp;BP$6,'Job Master'!$F$12:$I$102,4,0)&lt;&gt;""),IF(WEEKDAY(BY154-VLOOKUP($P154&amp;" | "&amp;BP$6,'Job Master'!$F$12:$I$102,4,0))&lt;&gt;7,BY154-VLOOKUP($P154&amp;" | "&amp;BP$6,'Job Master'!$F$12:$I$102,4,0),BY154-VLOOKUP($P154&amp;" | "&amp;BP$6,'Job Master'!$F$12:$I$102,4,0)-1),""),"")</f>
        <v/>
      </c>
      <c r="BS154" s="73"/>
      <c r="BT154" s="123" t="str">
        <f t="shared" si="285"/>
        <v/>
      </c>
      <c r="BU154" s="123" t="str">
        <f t="shared" si="286"/>
        <v/>
      </c>
      <c r="BV154" s="97" t="str">
        <f t="shared" ca="1" si="287"/>
        <v/>
      </c>
      <c r="BW154" s="98" t="str">
        <f>IF(BY154&lt;&gt;"",VLOOKUP($P154&amp;" | "&amp;BW$6,'Job Master'!$F$12:$J$102,5,0),"")</f>
        <v/>
      </c>
      <c r="BX154" s="19" t="str">
        <f>IF(BY154&lt;&gt;"",VLOOKUP($P154&amp;" | "&amp;BW$6,'Job Master'!$F$12:$J$102,3,0),"")</f>
        <v/>
      </c>
      <c r="BY154" s="19" t="str">
        <f>IFERROR(IF(AND(CF154&lt;&gt;"",VLOOKUP($P154&amp;" | "&amp;BW$6,'Job Master'!$F$12:$I$102,4,0)&lt;&gt;""),IF(WEEKDAY(CF154-VLOOKUP($P154&amp;" | "&amp;BW$6,'Job Master'!$F$12:$I$102,4,0))&lt;&gt;7,CF154-VLOOKUP($P154&amp;" | "&amp;BW$6,'Job Master'!$F$12:$I$102,4,0),CF154-VLOOKUP($P154&amp;" | "&amp;BW$6,'Job Master'!$F$12:$I$102,4,0)-1),""),"")</f>
        <v/>
      </c>
      <c r="BZ154" s="73"/>
      <c r="CA154" s="123" t="str">
        <f t="shared" si="288"/>
        <v/>
      </c>
      <c r="CB154" s="123" t="str">
        <f t="shared" si="289"/>
        <v/>
      </c>
      <c r="CC154" s="97" t="str">
        <f t="shared" ca="1" si="290"/>
        <v/>
      </c>
      <c r="CD154" s="98" t="str">
        <f>IF(CF154&lt;&gt;"",VLOOKUP($P154&amp;" | "&amp;CD$6,'Job Master'!$F$12:$J$102,5,0),"")</f>
        <v/>
      </c>
      <c r="CE154" s="19" t="str">
        <f>IF(CF154&lt;&gt;"",VLOOKUP($P154&amp;" | "&amp;CD$6,'Job Master'!$F$12:$J$102,3,0),"")</f>
        <v/>
      </c>
      <c r="CF154" s="19" t="str">
        <f>IFERROR(IF(AND(CM154&lt;&gt;"",VLOOKUP($P154&amp;" | "&amp;CD$6,'Job Master'!$F$12:$I$102,4,0)&lt;&gt;""),IF(WEEKDAY(CM154-VLOOKUP($P154&amp;" | "&amp;CD$6,'Job Master'!$F$12:$I$102,4,0))&lt;&gt;7,CM154-VLOOKUP($P154&amp;" | "&amp;CD$6,'Job Master'!$F$12:$I$102,4,0),CM154-VLOOKUP($P154&amp;" | "&amp;CD$6,'Job Master'!$F$12:$I$102,4,0)-1),""),"")</f>
        <v/>
      </c>
      <c r="CG154" s="73"/>
      <c r="CH154" s="123" t="str">
        <f t="shared" si="291"/>
        <v/>
      </c>
      <c r="CI154" s="123" t="str">
        <f t="shared" si="292"/>
        <v/>
      </c>
      <c r="CJ154" s="97" t="str">
        <f t="shared" ca="1" si="293"/>
        <v/>
      </c>
      <c r="CK154" s="98" t="str">
        <f>IF(CM154&lt;&gt;"",VLOOKUP($P154&amp;" | "&amp;CK$6,'Job Master'!$F$12:$J$102,5,0),"")</f>
        <v/>
      </c>
      <c r="CL154" s="19" t="str">
        <f>IF(CM154&lt;&gt;"",VLOOKUP($P154&amp;" | "&amp;CK$6,'Job Master'!$F$12:$J$102,3,0),"")</f>
        <v/>
      </c>
      <c r="CM154" s="19" t="str">
        <f>IFERROR(IF(AND(CT154&lt;&gt;"",VLOOKUP($P154&amp;" | "&amp;CK$6,'Job Master'!$F$12:$I$102,4,0)&lt;&gt;""),IF(WEEKDAY(CT154-VLOOKUP($P154&amp;" | "&amp;CK$6,'Job Master'!$F$12:$I$102,4,0))&lt;&gt;7,CT154-VLOOKUP($P154&amp;" | "&amp;CK$6,'Job Master'!$F$12:$I$102,4,0),CT154-VLOOKUP($P154&amp;" | "&amp;CK$6,'Job Master'!$F$12:$I$102,4,0)-1),""),"")</f>
        <v/>
      </c>
      <c r="CN154" s="73"/>
      <c r="CO154" s="123" t="str">
        <f t="shared" si="294"/>
        <v/>
      </c>
      <c r="CP154" s="123" t="str">
        <f t="shared" si="295"/>
        <v/>
      </c>
      <c r="CQ154" s="97" t="str">
        <f t="shared" ca="1" si="296"/>
        <v/>
      </c>
      <c r="CR154" s="98" t="str">
        <f>IF(CT154&lt;&gt;"",VLOOKUP($P154&amp;" | "&amp;CR$6,'Job Master'!$F$12:$J$102,5,0),"")</f>
        <v/>
      </c>
      <c r="CS154" s="19" t="str">
        <f>IF(CT154&lt;&gt;"",VLOOKUP($P154&amp;" | "&amp;CR$6,'Job Master'!$F$12:$J$102,3,0),"")</f>
        <v/>
      </c>
      <c r="CT154" s="19" t="str">
        <f>IFERROR(IF(AND(DA154&lt;&gt;"",VLOOKUP($P154&amp;" | "&amp;CR$6,'Job Master'!$F$12:$I$102,4,0)&lt;&gt;""),IF(WEEKDAY(DA154-VLOOKUP($P154&amp;" | "&amp;CR$6,'Job Master'!$F$12:$I$102,4,0))&lt;&gt;7,DA154-VLOOKUP($P154&amp;" | "&amp;CR$6,'Job Master'!$F$12:$I$102,4,0),DA154-VLOOKUP($P154&amp;" | "&amp;CR$6,'Job Master'!$F$12:$I$102,4,0)-1),""),"")</f>
        <v/>
      </c>
      <c r="CU154" s="73"/>
      <c r="CV154" s="123" t="str">
        <f t="shared" si="297"/>
        <v/>
      </c>
      <c r="CW154" s="123" t="str">
        <f t="shared" si="298"/>
        <v/>
      </c>
      <c r="CX154" s="97" t="str">
        <f t="shared" ca="1" si="299"/>
        <v/>
      </c>
      <c r="CY154" s="98" t="str">
        <f>IF(DA154&lt;&gt;"",VLOOKUP($P154&amp;" | "&amp;CY$6,'Job Master'!$F$12:$J$102,5,0),"")</f>
        <v/>
      </c>
      <c r="CZ154" s="19" t="str">
        <f>IF(DA154&lt;&gt;"",VLOOKUP($P154&amp;" | "&amp;CY$6,'Job Master'!$F$12:$J$102,3,0),"")</f>
        <v/>
      </c>
      <c r="DA154" s="19" t="str">
        <f>IFERROR(IF(AND(DH154&lt;&gt;"",VLOOKUP($P154&amp;" | "&amp;CY$6,'Job Master'!$F$12:$I$102,4,0)&lt;&gt;""),IF(WEEKDAY(DH154-VLOOKUP($P154&amp;" | "&amp;CY$6,'Job Master'!$F$12:$I$102,4,0))&lt;&gt;7,DH154-VLOOKUP($P154&amp;" | "&amp;CY$6,'Job Master'!$F$12:$I$102,4,0),DH154-VLOOKUP($P154&amp;" | "&amp;CY$6,'Job Master'!$F$12:$I$102,4,0)-1),""),"")</f>
        <v/>
      </c>
      <c r="DB154" s="73"/>
      <c r="DC154" s="123" t="str">
        <f t="shared" si="300"/>
        <v/>
      </c>
      <c r="DD154" s="123" t="str">
        <f t="shared" si="301"/>
        <v/>
      </c>
      <c r="DE154" s="97" t="str">
        <f t="shared" ca="1" si="302"/>
        <v/>
      </c>
      <c r="DF154" s="98" t="str">
        <f>IF(DH154&lt;&gt;"",VLOOKUP($P154&amp;" | "&amp;DF$6,'Job Master'!$F$12:$J$102,5,0),"")</f>
        <v/>
      </c>
      <c r="DG154" s="19" t="str">
        <f>IF(DH154&lt;&gt;"",VLOOKUP($P154&amp;" | "&amp;DF$6,'Job Master'!$F$12:$J$102,3,0),"")</f>
        <v/>
      </c>
      <c r="DH154" s="19" t="str">
        <f>IFERROR(IF(AND(DO154&lt;&gt;"",VLOOKUP($P154&amp;" | "&amp;DF$6,'Job Master'!$F$12:$I$102,4,0)&lt;&gt;""),IF(WEEKDAY(DO154-VLOOKUP($P154&amp;" | "&amp;DF$6,'Job Master'!$F$12:$I$102,4,0))&lt;&gt;7,DO154-VLOOKUP($P154&amp;" | "&amp;DF$6,'Job Master'!$F$12:$I$102,4,0),DO154-VLOOKUP($P154&amp;" | "&amp;DF$6,'Job Master'!$F$12:$I$102,4,0)-1),""),"")</f>
        <v/>
      </c>
      <c r="DI154" s="73"/>
      <c r="DJ154" s="123" t="str">
        <f t="shared" si="303"/>
        <v/>
      </c>
      <c r="DK154" s="123" t="str">
        <f t="shared" si="304"/>
        <v/>
      </c>
      <c r="DL154" s="97" t="str">
        <f t="shared" ca="1" si="305"/>
        <v/>
      </c>
      <c r="DM154" s="98" t="str">
        <f>IF(DO154&lt;&gt;"",VLOOKUP($P154&amp;" | "&amp;DM$6,'Job Master'!$F$12:$J$102,5,0),"")</f>
        <v/>
      </c>
      <c r="DN154" s="19" t="str">
        <f>IF(DO154&lt;&gt;"",VLOOKUP($P154&amp;" | "&amp;DM$6,'Job Master'!$F$12:$J$102,3,0),"")</f>
        <v/>
      </c>
      <c r="DO154" s="19" t="str">
        <f>IFERROR(IF(AND(DT154&lt;&gt;"",VLOOKUP($P154&amp;" | "&amp;DM$6,'Job Master'!$F$12:$I$102,4,0)&lt;&gt;""),IF(WEEKDAY(DT154-VLOOKUP($P154&amp;" | "&amp;DM$6,'Job Master'!$F$12:$I$102,4,0))&lt;&gt;7,DT154-VLOOKUP($P154&amp;" | "&amp;DM$6,'Job Master'!$F$12:$I$102,4,0),DT154-VLOOKUP($P154&amp;" | "&amp;DM$6,'Job Master'!$F$12:$I$102,4,0)-1),""),"")</f>
        <v/>
      </c>
      <c r="DP154" s="73"/>
      <c r="DQ154" s="123" t="str">
        <f t="shared" si="306"/>
        <v/>
      </c>
      <c r="DR154" s="123" t="str">
        <f t="shared" si="307"/>
        <v/>
      </c>
      <c r="DS154" s="97" t="str">
        <f t="shared" ca="1" si="308"/>
        <v/>
      </c>
      <c r="DT154" s="70" t="str">
        <f t="shared" si="309"/>
        <v/>
      </c>
      <c r="DU154" s="90"/>
      <c r="DV154" s="123" t="str">
        <f t="shared" si="310"/>
        <v/>
      </c>
      <c r="DW154" s="123" t="str">
        <f t="shared" si="311"/>
        <v/>
      </c>
      <c r="DX154" s="132" t="str">
        <f t="shared" ref="DX154" ca="1" si="339">IF(DT154&lt;&gt;"",IF(WEEKNUM(DT154)=WEEKNUM(TODAY()),"This Week",IF(WEEKNUM(DT154)=WEEKNUM(TODAY())+1,"Next Week",IF(WEEKNUM(DT154)=WEEKNUM(TODAY())-1,"Previous Week",""))),"")</f>
        <v/>
      </c>
      <c r="DY154" s="134" t="str">
        <f t="shared" si="313"/>
        <v/>
      </c>
      <c r="DZ154" s="95"/>
      <c r="EB154" s="8" t="str">
        <f t="shared" si="319"/>
        <v/>
      </c>
      <c r="EC154" s="8" t="str">
        <f>IF(O154&lt;&gt;"",VLOOKUP(O154,'Job Master'!$N$12:$O$18,2,0),"")</f>
        <v/>
      </c>
      <c r="ED154" s="8">
        <f t="shared" si="320"/>
        <v>19.5</v>
      </c>
      <c r="EE154" s="8">
        <f t="shared" si="321"/>
        <v>6</v>
      </c>
      <c r="EF154" s="8">
        <f t="shared" si="322"/>
        <v>-844.5</v>
      </c>
      <c r="EG154" s="8" t="str">
        <f t="shared" si="323"/>
        <v/>
      </c>
      <c r="EH154" s="8" t="str">
        <f t="shared" si="324"/>
        <v/>
      </c>
    </row>
    <row r="155" spans="2:138" x14ac:dyDescent="0.3">
      <c r="B155" s="112"/>
      <c r="C155" s="27"/>
      <c r="D155" s="7" t="str">
        <f t="shared" si="261"/>
        <v/>
      </c>
      <c r="E155" s="25"/>
      <c r="F155" s="7" t="str">
        <f t="shared" si="261"/>
        <v/>
      </c>
      <c r="G155" s="25"/>
      <c r="H155" s="7" t="str">
        <f t="shared" si="261"/>
        <v/>
      </c>
      <c r="I155" s="25"/>
      <c r="J155" s="7" t="str">
        <f t="shared" si="261"/>
        <v/>
      </c>
      <c r="K155" s="25"/>
      <c r="L155" s="7" t="str">
        <f t="shared" si="262"/>
        <v/>
      </c>
      <c r="M155" s="25"/>
      <c r="N155" s="7" t="str">
        <f t="shared" si="263"/>
        <v/>
      </c>
      <c r="O155" s="81"/>
      <c r="P155" s="81" t="str">
        <f t="shared" si="264"/>
        <v/>
      </c>
      <c r="Q155" s="81"/>
      <c r="R155" s="7" t="str">
        <f t="shared" si="265"/>
        <v/>
      </c>
      <c r="S155" s="25"/>
      <c r="T155" s="7" t="str">
        <f t="shared" si="266"/>
        <v/>
      </c>
      <c r="U155" s="25"/>
      <c r="V155" s="7" t="str">
        <f t="shared" si="267"/>
        <v/>
      </c>
      <c r="W155" s="25"/>
      <c r="X155" s="7" t="str">
        <f t="shared" si="268"/>
        <v/>
      </c>
      <c r="Y155" s="18" t="str">
        <f t="shared" si="269"/>
        <v/>
      </c>
      <c r="Z155" s="7" t="str">
        <f t="shared" si="270"/>
        <v/>
      </c>
      <c r="AA155" s="18" t="str">
        <f t="shared" si="271"/>
        <v/>
      </c>
      <c r="AB155" s="19" t="str">
        <f t="shared" si="272"/>
        <v/>
      </c>
      <c r="AC155" s="26"/>
      <c r="AD155" s="26"/>
      <c r="AE155" s="25"/>
      <c r="AF155" s="26"/>
      <c r="AG155" s="25"/>
      <c r="AH155" s="25"/>
      <c r="AI155" s="18" t="str">
        <f t="shared" si="335"/>
        <v/>
      </c>
      <c r="AJ155" s="25"/>
      <c r="AK155" s="18" t="str">
        <f t="shared" si="336"/>
        <v/>
      </c>
      <c r="AL155" s="79"/>
      <c r="AM155" s="126" t="str">
        <f t="shared" si="337"/>
        <v/>
      </c>
      <c r="AN155" s="128" t="str">
        <f>IF(AP155&lt;&gt;"",VLOOKUP($P155&amp;" | "&amp;AN$6,'Job Master'!$F$12:$J$102,5,0),"")</f>
        <v/>
      </c>
      <c r="AO155" s="19" t="str">
        <f>IF(AP155&lt;&gt;"",VLOOKUP($P155&amp;" | "&amp;AN$6,'Job Master'!$F$12:$J$102,3,0),"")</f>
        <v/>
      </c>
      <c r="AP155" s="19" t="str">
        <f>IFERROR(IF(AND(AW155&lt;&gt;"",VLOOKUP($P155&amp;" | "&amp;AN$6,'Job Master'!$F$12:$I$102,4,0)&lt;&gt;""),IF(WEEKDAY(AW155-VLOOKUP($P155&amp;" | "&amp;AN$6,'Job Master'!$F$12:$I$102,4,0))&lt;&gt;7,AW155-VLOOKUP($P155&amp;" | "&amp;AN$6,'Job Master'!$F$12:$I$102,4,0),AW155-VLOOKUP($P155&amp;" | "&amp;AN$6,'Job Master'!$F$12:$I$102,4,0)-1),""),"")</f>
        <v/>
      </c>
      <c r="AQ155" s="73"/>
      <c r="AR155" s="123" t="str">
        <f t="shared" si="273"/>
        <v/>
      </c>
      <c r="AS155" s="123" t="str">
        <f t="shared" si="274"/>
        <v/>
      </c>
      <c r="AT155" s="97" t="str">
        <f t="shared" ca="1" si="275"/>
        <v/>
      </c>
      <c r="AU155" s="98" t="str">
        <f>IF(AW155&lt;&gt;"",VLOOKUP($P155&amp;" | "&amp;AU$6,'Job Master'!$F$12:$J$102,5,0),"")</f>
        <v/>
      </c>
      <c r="AV155" s="19" t="str">
        <f>IF(AW155&lt;&gt;"",VLOOKUP($P155&amp;" | "&amp;AU$6,'Job Master'!$F$12:$J$102,3,0),"")</f>
        <v/>
      </c>
      <c r="AW155" s="19" t="str">
        <f>IFERROR(IF(AND(BD155&lt;&gt;"",VLOOKUP($P155&amp;" | "&amp;AU$6,'Job Master'!$F$12:$I$102,4,0)&lt;&gt;""),IF(WEEKDAY(BD155-VLOOKUP($P155&amp;" | "&amp;AU$6,'Job Master'!$F$12:$I$102,4,0))&lt;&gt;7,BD155-VLOOKUP($P155&amp;" | "&amp;AU$6,'Job Master'!$F$12:$I$102,4,0),BD155-VLOOKUP($P155&amp;" | "&amp;AU$6,'Job Master'!$F$12:$I$102,4,0)-1),""),"")</f>
        <v/>
      </c>
      <c r="AX155" s="73"/>
      <c r="AY155" s="123" t="str">
        <f t="shared" si="276"/>
        <v/>
      </c>
      <c r="AZ155" s="123" t="str">
        <f t="shared" si="277"/>
        <v/>
      </c>
      <c r="BA155" s="97" t="str">
        <f t="shared" ca="1" si="278"/>
        <v/>
      </c>
      <c r="BB155" s="98" t="str">
        <f>IF(BD155&lt;&gt;"",VLOOKUP($P155&amp;" | "&amp;BB$6,'Job Master'!$F$12:$J$102,5,0),"")</f>
        <v/>
      </c>
      <c r="BC155" s="19" t="str">
        <f>IF(BD155&lt;&gt;"",VLOOKUP($P155&amp;" | "&amp;BB$6,'Job Master'!$F$12:$J$102,3,0),"")</f>
        <v/>
      </c>
      <c r="BD155" s="19" t="str">
        <f>IFERROR(IF(AND(BK155&lt;&gt;"",VLOOKUP($P155&amp;" | "&amp;BB$6,'Job Master'!$F$12:$I$102,4,0)&lt;&gt;""),IF(WEEKDAY(BK155-VLOOKUP($P155&amp;" | "&amp;BB$6,'Job Master'!$F$12:$I$102,4,0))&lt;&gt;7,BK155-VLOOKUP($P155&amp;" | "&amp;BB$6,'Job Master'!$F$12:$I$102,4,0),BK155-VLOOKUP($P155&amp;" | "&amp;BB$6,'Job Master'!$F$12:$I$102,4,0)-1),""),"")</f>
        <v/>
      </c>
      <c r="BE155" s="73"/>
      <c r="BF155" s="123" t="str">
        <f t="shared" si="279"/>
        <v/>
      </c>
      <c r="BG155" s="123" t="str">
        <f t="shared" si="280"/>
        <v/>
      </c>
      <c r="BH155" s="97" t="str">
        <f t="shared" ca="1" si="281"/>
        <v/>
      </c>
      <c r="BI155" s="98" t="str">
        <f>IF(BK155&lt;&gt;"",VLOOKUP($P155&amp;" | "&amp;BI$6,'Job Master'!$F$12:$J$102,5,0),"")</f>
        <v/>
      </c>
      <c r="BJ155" s="19" t="str">
        <f>IF(BK155&lt;&gt;"",VLOOKUP($P155&amp;" | "&amp;BI$6,'Job Master'!$F$12:$J$102,3,0),"")</f>
        <v/>
      </c>
      <c r="BK155" s="19" t="str">
        <f>IFERROR(IF(AND(BR155&lt;&gt;"",VLOOKUP($P155&amp;" | "&amp;BI$6,'Job Master'!$F$12:$I$102,4,0)&lt;&gt;""),IF(WEEKDAY(BR155-VLOOKUP($P155&amp;" | "&amp;BI$6,'Job Master'!$F$12:$I$102,4,0))&lt;&gt;7,BR155-VLOOKUP($P155&amp;" | "&amp;BI$6,'Job Master'!$F$12:$I$102,4,0),BR155-VLOOKUP($P155&amp;" | "&amp;BI$6,'Job Master'!$F$12:$I$102,4,0)-1),""),"")</f>
        <v/>
      </c>
      <c r="BL155" s="73"/>
      <c r="BM155" s="123" t="str">
        <f t="shared" si="282"/>
        <v/>
      </c>
      <c r="BN155" s="123" t="str">
        <f t="shared" si="283"/>
        <v/>
      </c>
      <c r="BO155" s="97" t="str">
        <f t="shared" ca="1" si="284"/>
        <v/>
      </c>
      <c r="BP155" s="98" t="str">
        <f>IF(BR155&lt;&gt;"",VLOOKUP($P155&amp;" | "&amp;BP$6,'Job Master'!$F$12:$J$102,5,0),"")</f>
        <v/>
      </c>
      <c r="BQ155" s="19" t="str">
        <f>IF(BR155&lt;&gt;"",VLOOKUP($P155&amp;" | "&amp;BP$6,'Job Master'!$F$12:$J$102,3,0),"")</f>
        <v/>
      </c>
      <c r="BR155" s="19" t="str">
        <f>IFERROR(IF(AND(BY155&lt;&gt;"",VLOOKUP($P155&amp;" | "&amp;BP$6,'Job Master'!$F$12:$I$102,4,0)&lt;&gt;""),IF(WEEKDAY(BY155-VLOOKUP($P155&amp;" | "&amp;BP$6,'Job Master'!$F$12:$I$102,4,0))&lt;&gt;7,BY155-VLOOKUP($P155&amp;" | "&amp;BP$6,'Job Master'!$F$12:$I$102,4,0),BY155-VLOOKUP($P155&amp;" | "&amp;BP$6,'Job Master'!$F$12:$I$102,4,0)-1),""),"")</f>
        <v/>
      </c>
      <c r="BS155" s="73"/>
      <c r="BT155" s="123" t="str">
        <f t="shared" si="285"/>
        <v/>
      </c>
      <c r="BU155" s="123" t="str">
        <f t="shared" si="286"/>
        <v/>
      </c>
      <c r="BV155" s="97" t="str">
        <f t="shared" ca="1" si="287"/>
        <v/>
      </c>
      <c r="BW155" s="98" t="str">
        <f>IF(BY155&lt;&gt;"",VLOOKUP($P155&amp;" | "&amp;BW$6,'Job Master'!$F$12:$J$102,5,0),"")</f>
        <v/>
      </c>
      <c r="BX155" s="19" t="str">
        <f>IF(BY155&lt;&gt;"",VLOOKUP($P155&amp;" | "&amp;BW$6,'Job Master'!$F$12:$J$102,3,0),"")</f>
        <v/>
      </c>
      <c r="BY155" s="19" t="str">
        <f>IFERROR(IF(AND(CF155&lt;&gt;"",VLOOKUP($P155&amp;" | "&amp;BW$6,'Job Master'!$F$12:$I$102,4,0)&lt;&gt;""),IF(WEEKDAY(CF155-VLOOKUP($P155&amp;" | "&amp;BW$6,'Job Master'!$F$12:$I$102,4,0))&lt;&gt;7,CF155-VLOOKUP($P155&amp;" | "&amp;BW$6,'Job Master'!$F$12:$I$102,4,0),CF155-VLOOKUP($P155&amp;" | "&amp;BW$6,'Job Master'!$F$12:$I$102,4,0)-1),""),"")</f>
        <v/>
      </c>
      <c r="BZ155" s="73"/>
      <c r="CA155" s="123" t="str">
        <f t="shared" si="288"/>
        <v/>
      </c>
      <c r="CB155" s="123" t="str">
        <f t="shared" si="289"/>
        <v/>
      </c>
      <c r="CC155" s="97" t="str">
        <f t="shared" ca="1" si="290"/>
        <v/>
      </c>
      <c r="CD155" s="98" t="str">
        <f>IF(CF155&lt;&gt;"",VLOOKUP($P155&amp;" | "&amp;CD$6,'Job Master'!$F$12:$J$102,5,0),"")</f>
        <v/>
      </c>
      <c r="CE155" s="19" t="str">
        <f>IF(CF155&lt;&gt;"",VLOOKUP($P155&amp;" | "&amp;CD$6,'Job Master'!$F$12:$J$102,3,0),"")</f>
        <v/>
      </c>
      <c r="CF155" s="19" t="str">
        <f>IFERROR(IF(AND(CM155&lt;&gt;"",VLOOKUP($P155&amp;" | "&amp;CD$6,'Job Master'!$F$12:$I$102,4,0)&lt;&gt;""),IF(WEEKDAY(CM155-VLOOKUP($P155&amp;" | "&amp;CD$6,'Job Master'!$F$12:$I$102,4,0))&lt;&gt;7,CM155-VLOOKUP($P155&amp;" | "&amp;CD$6,'Job Master'!$F$12:$I$102,4,0),CM155-VLOOKUP($P155&amp;" | "&amp;CD$6,'Job Master'!$F$12:$I$102,4,0)-1),""),"")</f>
        <v/>
      </c>
      <c r="CG155" s="73"/>
      <c r="CH155" s="123" t="str">
        <f t="shared" si="291"/>
        <v/>
      </c>
      <c r="CI155" s="123" t="str">
        <f t="shared" si="292"/>
        <v/>
      </c>
      <c r="CJ155" s="97" t="str">
        <f t="shared" ca="1" si="293"/>
        <v/>
      </c>
      <c r="CK155" s="98" t="str">
        <f>IF(CM155&lt;&gt;"",VLOOKUP($P155&amp;" | "&amp;CK$6,'Job Master'!$F$12:$J$102,5,0),"")</f>
        <v/>
      </c>
      <c r="CL155" s="19" t="str">
        <f>IF(CM155&lt;&gt;"",VLOOKUP($P155&amp;" | "&amp;CK$6,'Job Master'!$F$12:$J$102,3,0),"")</f>
        <v/>
      </c>
      <c r="CM155" s="19" t="str">
        <f>IFERROR(IF(AND(CT155&lt;&gt;"",VLOOKUP($P155&amp;" | "&amp;CK$6,'Job Master'!$F$12:$I$102,4,0)&lt;&gt;""),IF(WEEKDAY(CT155-VLOOKUP($P155&amp;" | "&amp;CK$6,'Job Master'!$F$12:$I$102,4,0))&lt;&gt;7,CT155-VLOOKUP($P155&amp;" | "&amp;CK$6,'Job Master'!$F$12:$I$102,4,0),CT155-VLOOKUP($P155&amp;" | "&amp;CK$6,'Job Master'!$F$12:$I$102,4,0)-1),""),"")</f>
        <v/>
      </c>
      <c r="CN155" s="73"/>
      <c r="CO155" s="123" t="str">
        <f t="shared" si="294"/>
        <v/>
      </c>
      <c r="CP155" s="123" t="str">
        <f t="shared" si="295"/>
        <v/>
      </c>
      <c r="CQ155" s="97" t="str">
        <f t="shared" ca="1" si="296"/>
        <v/>
      </c>
      <c r="CR155" s="98" t="str">
        <f>IF(CT155&lt;&gt;"",VLOOKUP($P155&amp;" | "&amp;CR$6,'Job Master'!$F$12:$J$102,5,0),"")</f>
        <v/>
      </c>
      <c r="CS155" s="19" t="str">
        <f>IF(CT155&lt;&gt;"",VLOOKUP($P155&amp;" | "&amp;CR$6,'Job Master'!$F$12:$J$102,3,0),"")</f>
        <v/>
      </c>
      <c r="CT155" s="19" t="str">
        <f>IFERROR(IF(AND(DA155&lt;&gt;"",VLOOKUP($P155&amp;" | "&amp;CR$6,'Job Master'!$F$12:$I$102,4,0)&lt;&gt;""),IF(WEEKDAY(DA155-VLOOKUP($P155&amp;" | "&amp;CR$6,'Job Master'!$F$12:$I$102,4,0))&lt;&gt;7,DA155-VLOOKUP($P155&amp;" | "&amp;CR$6,'Job Master'!$F$12:$I$102,4,0),DA155-VLOOKUP($P155&amp;" | "&amp;CR$6,'Job Master'!$F$12:$I$102,4,0)-1),""),"")</f>
        <v/>
      </c>
      <c r="CU155" s="73"/>
      <c r="CV155" s="123" t="str">
        <f t="shared" si="297"/>
        <v/>
      </c>
      <c r="CW155" s="123" t="str">
        <f t="shared" si="298"/>
        <v/>
      </c>
      <c r="CX155" s="97" t="str">
        <f t="shared" ca="1" si="299"/>
        <v/>
      </c>
      <c r="CY155" s="98" t="str">
        <f>IF(DA155&lt;&gt;"",VLOOKUP($P155&amp;" | "&amp;CY$6,'Job Master'!$F$12:$J$102,5,0),"")</f>
        <v/>
      </c>
      <c r="CZ155" s="19" t="str">
        <f>IF(DA155&lt;&gt;"",VLOOKUP($P155&amp;" | "&amp;CY$6,'Job Master'!$F$12:$J$102,3,0),"")</f>
        <v/>
      </c>
      <c r="DA155" s="19" t="str">
        <f>IFERROR(IF(AND(DH155&lt;&gt;"",VLOOKUP($P155&amp;" | "&amp;CY$6,'Job Master'!$F$12:$I$102,4,0)&lt;&gt;""),IF(WEEKDAY(DH155-VLOOKUP($P155&amp;" | "&amp;CY$6,'Job Master'!$F$12:$I$102,4,0))&lt;&gt;7,DH155-VLOOKUP($P155&amp;" | "&amp;CY$6,'Job Master'!$F$12:$I$102,4,0),DH155-VLOOKUP($P155&amp;" | "&amp;CY$6,'Job Master'!$F$12:$I$102,4,0)-1),""),"")</f>
        <v/>
      </c>
      <c r="DB155" s="73"/>
      <c r="DC155" s="123" t="str">
        <f t="shared" si="300"/>
        <v/>
      </c>
      <c r="DD155" s="123" t="str">
        <f t="shared" si="301"/>
        <v/>
      </c>
      <c r="DE155" s="97" t="str">
        <f t="shared" ca="1" si="302"/>
        <v/>
      </c>
      <c r="DF155" s="98" t="str">
        <f>IF(DH155&lt;&gt;"",VLOOKUP($P155&amp;" | "&amp;DF$6,'Job Master'!$F$12:$J$102,5,0),"")</f>
        <v/>
      </c>
      <c r="DG155" s="19" t="str">
        <f>IF(DH155&lt;&gt;"",VLOOKUP($P155&amp;" | "&amp;DF$6,'Job Master'!$F$12:$J$102,3,0),"")</f>
        <v/>
      </c>
      <c r="DH155" s="19" t="str">
        <f>IFERROR(IF(AND(DO155&lt;&gt;"",VLOOKUP($P155&amp;" | "&amp;DF$6,'Job Master'!$F$12:$I$102,4,0)&lt;&gt;""),IF(WEEKDAY(DO155-VLOOKUP($P155&amp;" | "&amp;DF$6,'Job Master'!$F$12:$I$102,4,0))&lt;&gt;7,DO155-VLOOKUP($P155&amp;" | "&amp;DF$6,'Job Master'!$F$12:$I$102,4,0),DO155-VLOOKUP($P155&amp;" | "&amp;DF$6,'Job Master'!$F$12:$I$102,4,0)-1),""),"")</f>
        <v/>
      </c>
      <c r="DI155" s="73"/>
      <c r="DJ155" s="123" t="str">
        <f t="shared" si="303"/>
        <v/>
      </c>
      <c r="DK155" s="123" t="str">
        <f t="shared" si="304"/>
        <v/>
      </c>
      <c r="DL155" s="97" t="str">
        <f t="shared" ca="1" si="305"/>
        <v/>
      </c>
      <c r="DM155" s="98" t="str">
        <f>IF(DO155&lt;&gt;"",VLOOKUP($P155&amp;" | "&amp;DM$6,'Job Master'!$F$12:$J$102,5,0),"")</f>
        <v/>
      </c>
      <c r="DN155" s="19" t="str">
        <f>IF(DO155&lt;&gt;"",VLOOKUP($P155&amp;" | "&amp;DM$6,'Job Master'!$F$12:$J$102,3,0),"")</f>
        <v/>
      </c>
      <c r="DO155" s="19" t="str">
        <f>IFERROR(IF(AND(DT155&lt;&gt;"",VLOOKUP($P155&amp;" | "&amp;DM$6,'Job Master'!$F$12:$I$102,4,0)&lt;&gt;""),IF(WEEKDAY(DT155-VLOOKUP($P155&amp;" | "&amp;DM$6,'Job Master'!$F$12:$I$102,4,0))&lt;&gt;7,DT155-VLOOKUP($P155&amp;" | "&amp;DM$6,'Job Master'!$F$12:$I$102,4,0),DT155-VLOOKUP($P155&amp;" | "&amp;DM$6,'Job Master'!$F$12:$I$102,4,0)-1),""),"")</f>
        <v/>
      </c>
      <c r="DP155" s="73"/>
      <c r="DQ155" s="123" t="str">
        <f t="shared" si="306"/>
        <v/>
      </c>
      <c r="DR155" s="123" t="str">
        <f t="shared" si="307"/>
        <v/>
      </c>
      <c r="DS155" s="97" t="str">
        <f t="shared" ca="1" si="308"/>
        <v/>
      </c>
      <c r="DT155" s="70" t="str">
        <f t="shared" si="309"/>
        <v/>
      </c>
      <c r="DU155" s="90"/>
      <c r="DV155" s="123" t="str">
        <f t="shared" si="310"/>
        <v/>
      </c>
      <c r="DW155" s="123" t="str">
        <f t="shared" si="311"/>
        <v/>
      </c>
      <c r="DX155" s="132" t="str">
        <f t="shared" ref="DX155" ca="1" si="340">IF(DT155&lt;&gt;"",IF(WEEKNUM(DT155)=WEEKNUM(TODAY()),"This Week",IF(WEEKNUM(DT155)=WEEKNUM(TODAY())+1,"Next Week",IF(WEEKNUM(DT155)=WEEKNUM(TODAY())-1,"Previous Week",""))),"")</f>
        <v/>
      </c>
      <c r="DY155" s="134" t="str">
        <f t="shared" si="313"/>
        <v/>
      </c>
      <c r="DZ155" s="95"/>
      <c r="EB155" s="8" t="str">
        <f t="shared" si="319"/>
        <v/>
      </c>
      <c r="EC155" s="8" t="str">
        <f>IF(O155&lt;&gt;"",VLOOKUP(O155,'Job Master'!$N$12:$O$18,2,0),"")</f>
        <v/>
      </c>
      <c r="ED155" s="8">
        <f t="shared" si="320"/>
        <v>19.5</v>
      </c>
      <c r="EE155" s="8">
        <f t="shared" si="321"/>
        <v>6</v>
      </c>
      <c r="EF155" s="8">
        <f t="shared" si="322"/>
        <v>-850.5</v>
      </c>
      <c r="EG155" s="8" t="str">
        <f t="shared" si="323"/>
        <v/>
      </c>
      <c r="EH155" s="8" t="str">
        <f t="shared" si="324"/>
        <v/>
      </c>
    </row>
    <row r="156" spans="2:138" x14ac:dyDescent="0.3">
      <c r="B156" s="112"/>
      <c r="C156" s="27"/>
      <c r="D156" s="7" t="str">
        <f t="shared" si="261"/>
        <v/>
      </c>
      <c r="E156" s="25"/>
      <c r="F156" s="7" t="str">
        <f t="shared" si="261"/>
        <v/>
      </c>
      <c r="G156" s="25"/>
      <c r="H156" s="7" t="str">
        <f t="shared" si="261"/>
        <v/>
      </c>
      <c r="I156" s="25"/>
      <c r="J156" s="7" t="str">
        <f t="shared" si="261"/>
        <v/>
      </c>
      <c r="K156" s="25"/>
      <c r="L156" s="7" t="str">
        <f t="shared" si="262"/>
        <v/>
      </c>
      <c r="M156" s="25"/>
      <c r="N156" s="7" t="str">
        <f t="shared" si="263"/>
        <v/>
      </c>
      <c r="O156" s="81"/>
      <c r="P156" s="81" t="str">
        <f t="shared" si="264"/>
        <v/>
      </c>
      <c r="Q156" s="81"/>
      <c r="R156" s="7" t="str">
        <f t="shared" si="265"/>
        <v/>
      </c>
      <c r="S156" s="25"/>
      <c r="T156" s="7" t="str">
        <f t="shared" si="266"/>
        <v/>
      </c>
      <c r="U156" s="25"/>
      <c r="V156" s="7" t="str">
        <f t="shared" si="267"/>
        <v/>
      </c>
      <c r="W156" s="25"/>
      <c r="X156" s="7" t="str">
        <f t="shared" si="268"/>
        <v/>
      </c>
      <c r="Y156" s="18" t="str">
        <f t="shared" si="269"/>
        <v/>
      </c>
      <c r="Z156" s="7" t="str">
        <f t="shared" si="270"/>
        <v/>
      </c>
      <c r="AA156" s="18" t="str">
        <f t="shared" si="271"/>
        <v/>
      </c>
      <c r="AB156" s="19" t="str">
        <f t="shared" si="272"/>
        <v/>
      </c>
      <c r="AC156" s="26"/>
      <c r="AD156" s="26"/>
      <c r="AE156" s="25"/>
      <c r="AF156" s="26"/>
      <c r="AG156" s="25"/>
      <c r="AH156" s="25"/>
      <c r="AI156" s="18" t="str">
        <f t="shared" si="335"/>
        <v/>
      </c>
      <c r="AJ156" s="25"/>
      <c r="AK156" s="18" t="str">
        <f t="shared" si="336"/>
        <v/>
      </c>
      <c r="AL156" s="79"/>
      <c r="AM156" s="126" t="str">
        <f t="shared" si="337"/>
        <v/>
      </c>
      <c r="AN156" s="128" t="str">
        <f>IF(AP156&lt;&gt;"",VLOOKUP($P156&amp;" | "&amp;AN$6,'Job Master'!$F$12:$J$102,5,0),"")</f>
        <v/>
      </c>
      <c r="AO156" s="19" t="str">
        <f>IF(AP156&lt;&gt;"",VLOOKUP($P156&amp;" | "&amp;AN$6,'Job Master'!$F$12:$J$102,3,0),"")</f>
        <v/>
      </c>
      <c r="AP156" s="19" t="str">
        <f>IFERROR(IF(AND(AW156&lt;&gt;"",VLOOKUP($P156&amp;" | "&amp;AN$6,'Job Master'!$F$12:$I$102,4,0)&lt;&gt;""),IF(WEEKDAY(AW156-VLOOKUP($P156&amp;" | "&amp;AN$6,'Job Master'!$F$12:$I$102,4,0))&lt;&gt;7,AW156-VLOOKUP($P156&amp;" | "&amp;AN$6,'Job Master'!$F$12:$I$102,4,0),AW156-VLOOKUP($P156&amp;" | "&amp;AN$6,'Job Master'!$F$12:$I$102,4,0)-1),""),"")</f>
        <v/>
      </c>
      <c r="AQ156" s="73"/>
      <c r="AR156" s="123" t="str">
        <f t="shared" si="273"/>
        <v/>
      </c>
      <c r="AS156" s="123" t="str">
        <f t="shared" si="274"/>
        <v/>
      </c>
      <c r="AT156" s="97" t="str">
        <f t="shared" ca="1" si="275"/>
        <v/>
      </c>
      <c r="AU156" s="98" t="str">
        <f>IF(AW156&lt;&gt;"",VLOOKUP($P156&amp;" | "&amp;AU$6,'Job Master'!$F$12:$J$102,5,0),"")</f>
        <v/>
      </c>
      <c r="AV156" s="19" t="str">
        <f>IF(AW156&lt;&gt;"",VLOOKUP($P156&amp;" | "&amp;AU$6,'Job Master'!$F$12:$J$102,3,0),"")</f>
        <v/>
      </c>
      <c r="AW156" s="19" t="str">
        <f>IFERROR(IF(AND(BD156&lt;&gt;"",VLOOKUP($P156&amp;" | "&amp;AU$6,'Job Master'!$F$12:$I$102,4,0)&lt;&gt;""),IF(WEEKDAY(BD156-VLOOKUP($P156&amp;" | "&amp;AU$6,'Job Master'!$F$12:$I$102,4,0))&lt;&gt;7,BD156-VLOOKUP($P156&amp;" | "&amp;AU$6,'Job Master'!$F$12:$I$102,4,0),BD156-VLOOKUP($P156&amp;" | "&amp;AU$6,'Job Master'!$F$12:$I$102,4,0)-1),""),"")</f>
        <v/>
      </c>
      <c r="AX156" s="73"/>
      <c r="AY156" s="123" t="str">
        <f t="shared" si="276"/>
        <v/>
      </c>
      <c r="AZ156" s="123" t="str">
        <f t="shared" si="277"/>
        <v/>
      </c>
      <c r="BA156" s="97" t="str">
        <f t="shared" ca="1" si="278"/>
        <v/>
      </c>
      <c r="BB156" s="98" t="str">
        <f>IF(BD156&lt;&gt;"",VLOOKUP($P156&amp;" | "&amp;BB$6,'Job Master'!$F$12:$J$102,5,0),"")</f>
        <v/>
      </c>
      <c r="BC156" s="19" t="str">
        <f>IF(BD156&lt;&gt;"",VLOOKUP($P156&amp;" | "&amp;BB$6,'Job Master'!$F$12:$J$102,3,0),"")</f>
        <v/>
      </c>
      <c r="BD156" s="19" t="str">
        <f>IFERROR(IF(AND(BK156&lt;&gt;"",VLOOKUP($P156&amp;" | "&amp;BB$6,'Job Master'!$F$12:$I$102,4,0)&lt;&gt;""),IF(WEEKDAY(BK156-VLOOKUP($P156&amp;" | "&amp;BB$6,'Job Master'!$F$12:$I$102,4,0))&lt;&gt;7,BK156-VLOOKUP($P156&amp;" | "&amp;BB$6,'Job Master'!$F$12:$I$102,4,0),BK156-VLOOKUP($P156&amp;" | "&amp;BB$6,'Job Master'!$F$12:$I$102,4,0)-1),""),"")</f>
        <v/>
      </c>
      <c r="BE156" s="73"/>
      <c r="BF156" s="123" t="str">
        <f t="shared" si="279"/>
        <v/>
      </c>
      <c r="BG156" s="123" t="str">
        <f t="shared" si="280"/>
        <v/>
      </c>
      <c r="BH156" s="97" t="str">
        <f t="shared" ca="1" si="281"/>
        <v/>
      </c>
      <c r="BI156" s="98" t="str">
        <f>IF(BK156&lt;&gt;"",VLOOKUP($P156&amp;" | "&amp;BI$6,'Job Master'!$F$12:$J$102,5,0),"")</f>
        <v/>
      </c>
      <c r="BJ156" s="19" t="str">
        <f>IF(BK156&lt;&gt;"",VLOOKUP($P156&amp;" | "&amp;BI$6,'Job Master'!$F$12:$J$102,3,0),"")</f>
        <v/>
      </c>
      <c r="BK156" s="19" t="str">
        <f>IFERROR(IF(AND(BR156&lt;&gt;"",VLOOKUP($P156&amp;" | "&amp;BI$6,'Job Master'!$F$12:$I$102,4,0)&lt;&gt;""),IF(WEEKDAY(BR156-VLOOKUP($P156&amp;" | "&amp;BI$6,'Job Master'!$F$12:$I$102,4,0))&lt;&gt;7,BR156-VLOOKUP($P156&amp;" | "&amp;BI$6,'Job Master'!$F$12:$I$102,4,0),BR156-VLOOKUP($P156&amp;" | "&amp;BI$6,'Job Master'!$F$12:$I$102,4,0)-1),""),"")</f>
        <v/>
      </c>
      <c r="BL156" s="73"/>
      <c r="BM156" s="123" t="str">
        <f t="shared" si="282"/>
        <v/>
      </c>
      <c r="BN156" s="123" t="str">
        <f t="shared" si="283"/>
        <v/>
      </c>
      <c r="BO156" s="97" t="str">
        <f t="shared" ca="1" si="284"/>
        <v/>
      </c>
      <c r="BP156" s="98" t="str">
        <f>IF(BR156&lt;&gt;"",VLOOKUP($P156&amp;" | "&amp;BP$6,'Job Master'!$F$12:$J$102,5,0),"")</f>
        <v/>
      </c>
      <c r="BQ156" s="19" t="str">
        <f>IF(BR156&lt;&gt;"",VLOOKUP($P156&amp;" | "&amp;BP$6,'Job Master'!$F$12:$J$102,3,0),"")</f>
        <v/>
      </c>
      <c r="BR156" s="19" t="str">
        <f>IFERROR(IF(AND(BY156&lt;&gt;"",VLOOKUP($P156&amp;" | "&amp;BP$6,'Job Master'!$F$12:$I$102,4,0)&lt;&gt;""),IF(WEEKDAY(BY156-VLOOKUP($P156&amp;" | "&amp;BP$6,'Job Master'!$F$12:$I$102,4,0))&lt;&gt;7,BY156-VLOOKUP($P156&amp;" | "&amp;BP$6,'Job Master'!$F$12:$I$102,4,0),BY156-VLOOKUP($P156&amp;" | "&amp;BP$6,'Job Master'!$F$12:$I$102,4,0)-1),""),"")</f>
        <v/>
      </c>
      <c r="BS156" s="73"/>
      <c r="BT156" s="123" t="str">
        <f t="shared" si="285"/>
        <v/>
      </c>
      <c r="BU156" s="123" t="str">
        <f t="shared" si="286"/>
        <v/>
      </c>
      <c r="BV156" s="97" t="str">
        <f t="shared" ca="1" si="287"/>
        <v/>
      </c>
      <c r="BW156" s="98" t="str">
        <f>IF(BY156&lt;&gt;"",VLOOKUP($P156&amp;" | "&amp;BW$6,'Job Master'!$F$12:$J$102,5,0),"")</f>
        <v/>
      </c>
      <c r="BX156" s="19" t="str">
        <f>IF(BY156&lt;&gt;"",VLOOKUP($P156&amp;" | "&amp;BW$6,'Job Master'!$F$12:$J$102,3,0),"")</f>
        <v/>
      </c>
      <c r="BY156" s="19" t="str">
        <f>IFERROR(IF(AND(CF156&lt;&gt;"",VLOOKUP($P156&amp;" | "&amp;BW$6,'Job Master'!$F$12:$I$102,4,0)&lt;&gt;""),IF(WEEKDAY(CF156-VLOOKUP($P156&amp;" | "&amp;BW$6,'Job Master'!$F$12:$I$102,4,0))&lt;&gt;7,CF156-VLOOKUP($P156&amp;" | "&amp;BW$6,'Job Master'!$F$12:$I$102,4,0),CF156-VLOOKUP($P156&amp;" | "&amp;BW$6,'Job Master'!$F$12:$I$102,4,0)-1),""),"")</f>
        <v/>
      </c>
      <c r="BZ156" s="73"/>
      <c r="CA156" s="123" t="str">
        <f t="shared" si="288"/>
        <v/>
      </c>
      <c r="CB156" s="123" t="str">
        <f t="shared" si="289"/>
        <v/>
      </c>
      <c r="CC156" s="97" t="str">
        <f t="shared" ca="1" si="290"/>
        <v/>
      </c>
      <c r="CD156" s="98" t="str">
        <f>IF(CF156&lt;&gt;"",VLOOKUP($P156&amp;" | "&amp;CD$6,'Job Master'!$F$12:$J$102,5,0),"")</f>
        <v/>
      </c>
      <c r="CE156" s="19" t="str">
        <f>IF(CF156&lt;&gt;"",VLOOKUP($P156&amp;" | "&amp;CD$6,'Job Master'!$F$12:$J$102,3,0),"")</f>
        <v/>
      </c>
      <c r="CF156" s="19" t="str">
        <f>IFERROR(IF(AND(CM156&lt;&gt;"",VLOOKUP($P156&amp;" | "&amp;CD$6,'Job Master'!$F$12:$I$102,4,0)&lt;&gt;""),IF(WEEKDAY(CM156-VLOOKUP($P156&amp;" | "&amp;CD$6,'Job Master'!$F$12:$I$102,4,0))&lt;&gt;7,CM156-VLOOKUP($P156&amp;" | "&amp;CD$6,'Job Master'!$F$12:$I$102,4,0),CM156-VLOOKUP($P156&amp;" | "&amp;CD$6,'Job Master'!$F$12:$I$102,4,0)-1),""),"")</f>
        <v/>
      </c>
      <c r="CG156" s="73"/>
      <c r="CH156" s="123" t="str">
        <f t="shared" si="291"/>
        <v/>
      </c>
      <c r="CI156" s="123" t="str">
        <f t="shared" si="292"/>
        <v/>
      </c>
      <c r="CJ156" s="97" t="str">
        <f t="shared" ca="1" si="293"/>
        <v/>
      </c>
      <c r="CK156" s="98" t="str">
        <f>IF(CM156&lt;&gt;"",VLOOKUP($P156&amp;" | "&amp;CK$6,'Job Master'!$F$12:$J$102,5,0),"")</f>
        <v/>
      </c>
      <c r="CL156" s="19" t="str">
        <f>IF(CM156&lt;&gt;"",VLOOKUP($P156&amp;" | "&amp;CK$6,'Job Master'!$F$12:$J$102,3,0),"")</f>
        <v/>
      </c>
      <c r="CM156" s="19" t="str">
        <f>IFERROR(IF(AND(CT156&lt;&gt;"",VLOOKUP($P156&amp;" | "&amp;CK$6,'Job Master'!$F$12:$I$102,4,0)&lt;&gt;""),IF(WEEKDAY(CT156-VLOOKUP($P156&amp;" | "&amp;CK$6,'Job Master'!$F$12:$I$102,4,0))&lt;&gt;7,CT156-VLOOKUP($P156&amp;" | "&amp;CK$6,'Job Master'!$F$12:$I$102,4,0),CT156-VLOOKUP($P156&amp;" | "&amp;CK$6,'Job Master'!$F$12:$I$102,4,0)-1),""),"")</f>
        <v/>
      </c>
      <c r="CN156" s="73"/>
      <c r="CO156" s="123" t="str">
        <f t="shared" si="294"/>
        <v/>
      </c>
      <c r="CP156" s="123" t="str">
        <f t="shared" si="295"/>
        <v/>
      </c>
      <c r="CQ156" s="97" t="str">
        <f t="shared" ca="1" si="296"/>
        <v/>
      </c>
      <c r="CR156" s="98" t="str">
        <f>IF(CT156&lt;&gt;"",VLOOKUP($P156&amp;" | "&amp;CR$6,'Job Master'!$F$12:$J$102,5,0),"")</f>
        <v/>
      </c>
      <c r="CS156" s="19" t="str">
        <f>IF(CT156&lt;&gt;"",VLOOKUP($P156&amp;" | "&amp;CR$6,'Job Master'!$F$12:$J$102,3,0),"")</f>
        <v/>
      </c>
      <c r="CT156" s="19" t="str">
        <f>IFERROR(IF(AND(DA156&lt;&gt;"",VLOOKUP($P156&amp;" | "&amp;CR$6,'Job Master'!$F$12:$I$102,4,0)&lt;&gt;""),IF(WEEKDAY(DA156-VLOOKUP($P156&amp;" | "&amp;CR$6,'Job Master'!$F$12:$I$102,4,0))&lt;&gt;7,DA156-VLOOKUP($P156&amp;" | "&amp;CR$6,'Job Master'!$F$12:$I$102,4,0),DA156-VLOOKUP($P156&amp;" | "&amp;CR$6,'Job Master'!$F$12:$I$102,4,0)-1),""),"")</f>
        <v/>
      </c>
      <c r="CU156" s="73"/>
      <c r="CV156" s="123" t="str">
        <f t="shared" si="297"/>
        <v/>
      </c>
      <c r="CW156" s="123" t="str">
        <f t="shared" si="298"/>
        <v/>
      </c>
      <c r="CX156" s="97" t="str">
        <f t="shared" ca="1" si="299"/>
        <v/>
      </c>
      <c r="CY156" s="98" t="str">
        <f>IF(DA156&lt;&gt;"",VLOOKUP($P156&amp;" | "&amp;CY$6,'Job Master'!$F$12:$J$102,5,0),"")</f>
        <v/>
      </c>
      <c r="CZ156" s="19" t="str">
        <f>IF(DA156&lt;&gt;"",VLOOKUP($P156&amp;" | "&amp;CY$6,'Job Master'!$F$12:$J$102,3,0),"")</f>
        <v/>
      </c>
      <c r="DA156" s="19" t="str">
        <f>IFERROR(IF(AND(DH156&lt;&gt;"",VLOOKUP($P156&amp;" | "&amp;CY$6,'Job Master'!$F$12:$I$102,4,0)&lt;&gt;""),IF(WEEKDAY(DH156-VLOOKUP($P156&amp;" | "&amp;CY$6,'Job Master'!$F$12:$I$102,4,0))&lt;&gt;7,DH156-VLOOKUP($P156&amp;" | "&amp;CY$6,'Job Master'!$F$12:$I$102,4,0),DH156-VLOOKUP($P156&amp;" | "&amp;CY$6,'Job Master'!$F$12:$I$102,4,0)-1),""),"")</f>
        <v/>
      </c>
      <c r="DB156" s="73"/>
      <c r="DC156" s="123" t="str">
        <f t="shared" si="300"/>
        <v/>
      </c>
      <c r="DD156" s="123" t="str">
        <f t="shared" si="301"/>
        <v/>
      </c>
      <c r="DE156" s="97" t="str">
        <f t="shared" ca="1" si="302"/>
        <v/>
      </c>
      <c r="DF156" s="98" t="str">
        <f>IF(DH156&lt;&gt;"",VLOOKUP($P156&amp;" | "&amp;DF$6,'Job Master'!$F$12:$J$102,5,0),"")</f>
        <v/>
      </c>
      <c r="DG156" s="19" t="str">
        <f>IF(DH156&lt;&gt;"",VLOOKUP($P156&amp;" | "&amp;DF$6,'Job Master'!$F$12:$J$102,3,0),"")</f>
        <v/>
      </c>
      <c r="DH156" s="19" t="str">
        <f>IFERROR(IF(AND(DO156&lt;&gt;"",VLOOKUP($P156&amp;" | "&amp;DF$6,'Job Master'!$F$12:$I$102,4,0)&lt;&gt;""),IF(WEEKDAY(DO156-VLOOKUP($P156&amp;" | "&amp;DF$6,'Job Master'!$F$12:$I$102,4,0))&lt;&gt;7,DO156-VLOOKUP($P156&amp;" | "&amp;DF$6,'Job Master'!$F$12:$I$102,4,0),DO156-VLOOKUP($P156&amp;" | "&amp;DF$6,'Job Master'!$F$12:$I$102,4,0)-1),""),"")</f>
        <v/>
      </c>
      <c r="DI156" s="73"/>
      <c r="DJ156" s="123" t="str">
        <f t="shared" si="303"/>
        <v/>
      </c>
      <c r="DK156" s="123" t="str">
        <f t="shared" si="304"/>
        <v/>
      </c>
      <c r="DL156" s="97" t="str">
        <f t="shared" ca="1" si="305"/>
        <v/>
      </c>
      <c r="DM156" s="98" t="str">
        <f>IF(DO156&lt;&gt;"",VLOOKUP($P156&amp;" | "&amp;DM$6,'Job Master'!$F$12:$J$102,5,0),"")</f>
        <v/>
      </c>
      <c r="DN156" s="19" t="str">
        <f>IF(DO156&lt;&gt;"",VLOOKUP($P156&amp;" | "&amp;DM$6,'Job Master'!$F$12:$J$102,3,0),"")</f>
        <v/>
      </c>
      <c r="DO156" s="19" t="str">
        <f>IFERROR(IF(AND(DT156&lt;&gt;"",VLOOKUP($P156&amp;" | "&amp;DM$6,'Job Master'!$F$12:$I$102,4,0)&lt;&gt;""),IF(WEEKDAY(DT156-VLOOKUP($P156&amp;" | "&amp;DM$6,'Job Master'!$F$12:$I$102,4,0))&lt;&gt;7,DT156-VLOOKUP($P156&amp;" | "&amp;DM$6,'Job Master'!$F$12:$I$102,4,0),DT156-VLOOKUP($P156&amp;" | "&amp;DM$6,'Job Master'!$F$12:$I$102,4,0)-1),""),"")</f>
        <v/>
      </c>
      <c r="DP156" s="73"/>
      <c r="DQ156" s="123" t="str">
        <f t="shared" si="306"/>
        <v/>
      </c>
      <c r="DR156" s="123" t="str">
        <f t="shared" si="307"/>
        <v/>
      </c>
      <c r="DS156" s="97" t="str">
        <f t="shared" ca="1" si="308"/>
        <v/>
      </c>
      <c r="DT156" s="70" t="str">
        <f t="shared" si="309"/>
        <v/>
      </c>
      <c r="DU156" s="90"/>
      <c r="DV156" s="123" t="str">
        <f t="shared" si="310"/>
        <v/>
      </c>
      <c r="DW156" s="123" t="str">
        <f t="shared" si="311"/>
        <v/>
      </c>
      <c r="DX156" s="132" t="str">
        <f t="shared" ref="DX156" ca="1" si="341">IF(DT156&lt;&gt;"",IF(WEEKNUM(DT156)=WEEKNUM(TODAY()),"This Week",IF(WEEKNUM(DT156)=WEEKNUM(TODAY())+1,"Next Week",IF(WEEKNUM(DT156)=WEEKNUM(TODAY())-1,"Previous Week",""))),"")</f>
        <v/>
      </c>
      <c r="DY156" s="134" t="str">
        <f t="shared" si="313"/>
        <v/>
      </c>
      <c r="DZ156" s="95"/>
      <c r="EB156" s="8" t="str">
        <f t="shared" si="319"/>
        <v/>
      </c>
      <c r="EC156" s="8" t="str">
        <f>IF(O156&lt;&gt;"",VLOOKUP(O156,'Job Master'!$N$12:$O$18,2,0),"")</f>
        <v/>
      </c>
      <c r="ED156" s="8">
        <f t="shared" si="320"/>
        <v>19.5</v>
      </c>
      <c r="EE156" s="8">
        <f t="shared" si="321"/>
        <v>6</v>
      </c>
      <c r="EF156" s="8">
        <f t="shared" si="322"/>
        <v>-856.5</v>
      </c>
      <c r="EG156" s="8" t="str">
        <f t="shared" si="323"/>
        <v/>
      </c>
      <c r="EH156" s="8" t="str">
        <f t="shared" si="324"/>
        <v/>
      </c>
    </row>
    <row r="157" spans="2:138" x14ac:dyDescent="0.3">
      <c r="B157" s="112"/>
      <c r="C157" s="27"/>
      <c r="D157" s="7" t="str">
        <f t="shared" si="261"/>
        <v/>
      </c>
      <c r="E157" s="25"/>
      <c r="F157" s="7" t="str">
        <f t="shared" si="261"/>
        <v/>
      </c>
      <c r="G157" s="25"/>
      <c r="H157" s="7" t="str">
        <f t="shared" si="261"/>
        <v/>
      </c>
      <c r="I157" s="25"/>
      <c r="J157" s="7" t="str">
        <f t="shared" si="261"/>
        <v/>
      </c>
      <c r="K157" s="25"/>
      <c r="L157" s="7" t="str">
        <f t="shared" si="262"/>
        <v/>
      </c>
      <c r="M157" s="25"/>
      <c r="N157" s="7" t="str">
        <f t="shared" si="263"/>
        <v/>
      </c>
      <c r="O157" s="81"/>
      <c r="P157" s="81" t="str">
        <f t="shared" si="264"/>
        <v/>
      </c>
      <c r="Q157" s="81"/>
      <c r="R157" s="7" t="str">
        <f t="shared" si="265"/>
        <v/>
      </c>
      <c r="S157" s="25"/>
      <c r="T157" s="7" t="str">
        <f t="shared" si="266"/>
        <v/>
      </c>
      <c r="U157" s="25"/>
      <c r="V157" s="7" t="str">
        <f t="shared" si="267"/>
        <v/>
      </c>
      <c r="W157" s="25"/>
      <c r="X157" s="7" t="str">
        <f t="shared" si="268"/>
        <v/>
      </c>
      <c r="Y157" s="18" t="str">
        <f t="shared" si="269"/>
        <v/>
      </c>
      <c r="Z157" s="7" t="str">
        <f t="shared" si="270"/>
        <v/>
      </c>
      <c r="AA157" s="18" t="str">
        <f t="shared" si="271"/>
        <v/>
      </c>
      <c r="AB157" s="19" t="str">
        <f t="shared" si="272"/>
        <v/>
      </c>
      <c r="AC157" s="26"/>
      <c r="AD157" s="26"/>
      <c r="AE157" s="25"/>
      <c r="AF157" s="26"/>
      <c r="AG157" s="25"/>
      <c r="AH157" s="25"/>
      <c r="AI157" s="18" t="str">
        <f t="shared" si="335"/>
        <v/>
      </c>
      <c r="AJ157" s="25"/>
      <c r="AK157" s="18" t="str">
        <f t="shared" si="336"/>
        <v/>
      </c>
      <c r="AL157" s="79"/>
      <c r="AM157" s="126" t="str">
        <f t="shared" si="337"/>
        <v/>
      </c>
      <c r="AN157" s="128" t="str">
        <f>IF(AP157&lt;&gt;"",VLOOKUP($P157&amp;" | "&amp;AN$6,'Job Master'!$F$12:$J$102,5,0),"")</f>
        <v/>
      </c>
      <c r="AO157" s="19" t="str">
        <f>IF(AP157&lt;&gt;"",VLOOKUP($P157&amp;" | "&amp;AN$6,'Job Master'!$F$12:$J$102,3,0),"")</f>
        <v/>
      </c>
      <c r="AP157" s="19" t="str">
        <f>IFERROR(IF(AND(AW157&lt;&gt;"",VLOOKUP($P157&amp;" | "&amp;AN$6,'Job Master'!$F$12:$I$102,4,0)&lt;&gt;""),IF(WEEKDAY(AW157-VLOOKUP($P157&amp;" | "&amp;AN$6,'Job Master'!$F$12:$I$102,4,0))&lt;&gt;7,AW157-VLOOKUP($P157&amp;" | "&amp;AN$6,'Job Master'!$F$12:$I$102,4,0),AW157-VLOOKUP($P157&amp;" | "&amp;AN$6,'Job Master'!$F$12:$I$102,4,0)-1),""),"")</f>
        <v/>
      </c>
      <c r="AQ157" s="73"/>
      <c r="AR157" s="123" t="str">
        <f t="shared" si="273"/>
        <v/>
      </c>
      <c r="AS157" s="123" t="str">
        <f t="shared" si="274"/>
        <v/>
      </c>
      <c r="AT157" s="97" t="str">
        <f t="shared" ca="1" si="275"/>
        <v/>
      </c>
      <c r="AU157" s="98" t="str">
        <f>IF(AW157&lt;&gt;"",VLOOKUP($P157&amp;" | "&amp;AU$6,'Job Master'!$F$12:$J$102,5,0),"")</f>
        <v/>
      </c>
      <c r="AV157" s="19" t="str">
        <f>IF(AW157&lt;&gt;"",VLOOKUP($P157&amp;" | "&amp;AU$6,'Job Master'!$F$12:$J$102,3,0),"")</f>
        <v/>
      </c>
      <c r="AW157" s="19" t="str">
        <f>IFERROR(IF(AND(BD157&lt;&gt;"",VLOOKUP($P157&amp;" | "&amp;AU$6,'Job Master'!$F$12:$I$102,4,0)&lt;&gt;""),IF(WEEKDAY(BD157-VLOOKUP($P157&amp;" | "&amp;AU$6,'Job Master'!$F$12:$I$102,4,0))&lt;&gt;7,BD157-VLOOKUP($P157&amp;" | "&amp;AU$6,'Job Master'!$F$12:$I$102,4,0),BD157-VLOOKUP($P157&amp;" | "&amp;AU$6,'Job Master'!$F$12:$I$102,4,0)-1),""),"")</f>
        <v/>
      </c>
      <c r="AX157" s="73"/>
      <c r="AY157" s="123" t="str">
        <f t="shared" si="276"/>
        <v/>
      </c>
      <c r="AZ157" s="123" t="str">
        <f t="shared" si="277"/>
        <v/>
      </c>
      <c r="BA157" s="97" t="str">
        <f t="shared" ca="1" si="278"/>
        <v/>
      </c>
      <c r="BB157" s="98" t="str">
        <f>IF(BD157&lt;&gt;"",VLOOKUP($P157&amp;" | "&amp;BB$6,'Job Master'!$F$12:$J$102,5,0),"")</f>
        <v/>
      </c>
      <c r="BC157" s="19" t="str">
        <f>IF(BD157&lt;&gt;"",VLOOKUP($P157&amp;" | "&amp;BB$6,'Job Master'!$F$12:$J$102,3,0),"")</f>
        <v/>
      </c>
      <c r="BD157" s="19" t="str">
        <f>IFERROR(IF(AND(BK157&lt;&gt;"",VLOOKUP($P157&amp;" | "&amp;BB$6,'Job Master'!$F$12:$I$102,4,0)&lt;&gt;""),IF(WEEKDAY(BK157-VLOOKUP($P157&amp;" | "&amp;BB$6,'Job Master'!$F$12:$I$102,4,0))&lt;&gt;7,BK157-VLOOKUP($P157&amp;" | "&amp;BB$6,'Job Master'!$F$12:$I$102,4,0),BK157-VLOOKUP($P157&amp;" | "&amp;BB$6,'Job Master'!$F$12:$I$102,4,0)-1),""),"")</f>
        <v/>
      </c>
      <c r="BE157" s="73"/>
      <c r="BF157" s="123" t="str">
        <f t="shared" si="279"/>
        <v/>
      </c>
      <c r="BG157" s="123" t="str">
        <f t="shared" si="280"/>
        <v/>
      </c>
      <c r="BH157" s="97" t="str">
        <f t="shared" ca="1" si="281"/>
        <v/>
      </c>
      <c r="BI157" s="98" t="str">
        <f>IF(BK157&lt;&gt;"",VLOOKUP($P157&amp;" | "&amp;BI$6,'Job Master'!$F$12:$J$102,5,0),"")</f>
        <v/>
      </c>
      <c r="BJ157" s="19" t="str">
        <f>IF(BK157&lt;&gt;"",VLOOKUP($P157&amp;" | "&amp;BI$6,'Job Master'!$F$12:$J$102,3,0),"")</f>
        <v/>
      </c>
      <c r="BK157" s="19" t="str">
        <f>IFERROR(IF(AND(BR157&lt;&gt;"",VLOOKUP($P157&amp;" | "&amp;BI$6,'Job Master'!$F$12:$I$102,4,0)&lt;&gt;""),IF(WEEKDAY(BR157-VLOOKUP($P157&amp;" | "&amp;BI$6,'Job Master'!$F$12:$I$102,4,0))&lt;&gt;7,BR157-VLOOKUP($P157&amp;" | "&amp;BI$6,'Job Master'!$F$12:$I$102,4,0),BR157-VLOOKUP($P157&amp;" | "&amp;BI$6,'Job Master'!$F$12:$I$102,4,0)-1),""),"")</f>
        <v/>
      </c>
      <c r="BL157" s="73"/>
      <c r="BM157" s="123" t="str">
        <f t="shared" si="282"/>
        <v/>
      </c>
      <c r="BN157" s="123" t="str">
        <f t="shared" si="283"/>
        <v/>
      </c>
      <c r="BO157" s="97" t="str">
        <f t="shared" ca="1" si="284"/>
        <v/>
      </c>
      <c r="BP157" s="98" t="str">
        <f>IF(BR157&lt;&gt;"",VLOOKUP($P157&amp;" | "&amp;BP$6,'Job Master'!$F$12:$J$102,5,0),"")</f>
        <v/>
      </c>
      <c r="BQ157" s="19" t="str">
        <f>IF(BR157&lt;&gt;"",VLOOKUP($P157&amp;" | "&amp;BP$6,'Job Master'!$F$12:$J$102,3,0),"")</f>
        <v/>
      </c>
      <c r="BR157" s="19" t="str">
        <f>IFERROR(IF(AND(BY157&lt;&gt;"",VLOOKUP($P157&amp;" | "&amp;BP$6,'Job Master'!$F$12:$I$102,4,0)&lt;&gt;""),IF(WEEKDAY(BY157-VLOOKUP($P157&amp;" | "&amp;BP$6,'Job Master'!$F$12:$I$102,4,0))&lt;&gt;7,BY157-VLOOKUP($P157&amp;" | "&amp;BP$6,'Job Master'!$F$12:$I$102,4,0),BY157-VLOOKUP($P157&amp;" | "&amp;BP$6,'Job Master'!$F$12:$I$102,4,0)-1),""),"")</f>
        <v/>
      </c>
      <c r="BS157" s="73"/>
      <c r="BT157" s="123" t="str">
        <f t="shared" si="285"/>
        <v/>
      </c>
      <c r="BU157" s="123" t="str">
        <f t="shared" si="286"/>
        <v/>
      </c>
      <c r="BV157" s="97" t="str">
        <f t="shared" ca="1" si="287"/>
        <v/>
      </c>
      <c r="BW157" s="98" t="str">
        <f>IF(BY157&lt;&gt;"",VLOOKUP($P157&amp;" | "&amp;BW$6,'Job Master'!$F$12:$J$102,5,0),"")</f>
        <v/>
      </c>
      <c r="BX157" s="19" t="str">
        <f>IF(BY157&lt;&gt;"",VLOOKUP($P157&amp;" | "&amp;BW$6,'Job Master'!$F$12:$J$102,3,0),"")</f>
        <v/>
      </c>
      <c r="BY157" s="19" t="str">
        <f>IFERROR(IF(AND(CF157&lt;&gt;"",VLOOKUP($P157&amp;" | "&amp;BW$6,'Job Master'!$F$12:$I$102,4,0)&lt;&gt;""),IF(WEEKDAY(CF157-VLOOKUP($P157&amp;" | "&amp;BW$6,'Job Master'!$F$12:$I$102,4,0))&lt;&gt;7,CF157-VLOOKUP($P157&amp;" | "&amp;BW$6,'Job Master'!$F$12:$I$102,4,0),CF157-VLOOKUP($P157&amp;" | "&amp;BW$6,'Job Master'!$F$12:$I$102,4,0)-1),""),"")</f>
        <v/>
      </c>
      <c r="BZ157" s="73"/>
      <c r="CA157" s="123" t="str">
        <f t="shared" si="288"/>
        <v/>
      </c>
      <c r="CB157" s="123" t="str">
        <f t="shared" si="289"/>
        <v/>
      </c>
      <c r="CC157" s="97" t="str">
        <f t="shared" ca="1" si="290"/>
        <v/>
      </c>
      <c r="CD157" s="98" t="str">
        <f>IF(CF157&lt;&gt;"",VLOOKUP($P157&amp;" | "&amp;CD$6,'Job Master'!$F$12:$J$102,5,0),"")</f>
        <v/>
      </c>
      <c r="CE157" s="19" t="str">
        <f>IF(CF157&lt;&gt;"",VLOOKUP($P157&amp;" | "&amp;CD$6,'Job Master'!$F$12:$J$102,3,0),"")</f>
        <v/>
      </c>
      <c r="CF157" s="19" t="str">
        <f>IFERROR(IF(AND(CM157&lt;&gt;"",VLOOKUP($P157&amp;" | "&amp;CD$6,'Job Master'!$F$12:$I$102,4,0)&lt;&gt;""),IF(WEEKDAY(CM157-VLOOKUP($P157&amp;" | "&amp;CD$6,'Job Master'!$F$12:$I$102,4,0))&lt;&gt;7,CM157-VLOOKUP($P157&amp;" | "&amp;CD$6,'Job Master'!$F$12:$I$102,4,0),CM157-VLOOKUP($P157&amp;" | "&amp;CD$6,'Job Master'!$F$12:$I$102,4,0)-1),""),"")</f>
        <v/>
      </c>
      <c r="CG157" s="73"/>
      <c r="CH157" s="123" t="str">
        <f t="shared" si="291"/>
        <v/>
      </c>
      <c r="CI157" s="123" t="str">
        <f t="shared" si="292"/>
        <v/>
      </c>
      <c r="CJ157" s="97" t="str">
        <f t="shared" ca="1" si="293"/>
        <v/>
      </c>
      <c r="CK157" s="98" t="str">
        <f>IF(CM157&lt;&gt;"",VLOOKUP($P157&amp;" | "&amp;CK$6,'Job Master'!$F$12:$J$102,5,0),"")</f>
        <v/>
      </c>
      <c r="CL157" s="19" t="str">
        <f>IF(CM157&lt;&gt;"",VLOOKUP($P157&amp;" | "&amp;CK$6,'Job Master'!$F$12:$J$102,3,0),"")</f>
        <v/>
      </c>
      <c r="CM157" s="19" t="str">
        <f>IFERROR(IF(AND(CT157&lt;&gt;"",VLOOKUP($P157&amp;" | "&amp;CK$6,'Job Master'!$F$12:$I$102,4,0)&lt;&gt;""),IF(WEEKDAY(CT157-VLOOKUP($P157&amp;" | "&amp;CK$6,'Job Master'!$F$12:$I$102,4,0))&lt;&gt;7,CT157-VLOOKUP($P157&amp;" | "&amp;CK$6,'Job Master'!$F$12:$I$102,4,0),CT157-VLOOKUP($P157&amp;" | "&amp;CK$6,'Job Master'!$F$12:$I$102,4,0)-1),""),"")</f>
        <v/>
      </c>
      <c r="CN157" s="73"/>
      <c r="CO157" s="123" t="str">
        <f t="shared" si="294"/>
        <v/>
      </c>
      <c r="CP157" s="123" t="str">
        <f t="shared" si="295"/>
        <v/>
      </c>
      <c r="CQ157" s="97" t="str">
        <f t="shared" ca="1" si="296"/>
        <v/>
      </c>
      <c r="CR157" s="98" t="str">
        <f>IF(CT157&lt;&gt;"",VLOOKUP($P157&amp;" | "&amp;CR$6,'Job Master'!$F$12:$J$102,5,0),"")</f>
        <v/>
      </c>
      <c r="CS157" s="19" t="str">
        <f>IF(CT157&lt;&gt;"",VLOOKUP($P157&amp;" | "&amp;CR$6,'Job Master'!$F$12:$J$102,3,0),"")</f>
        <v/>
      </c>
      <c r="CT157" s="19" t="str">
        <f>IFERROR(IF(AND(DA157&lt;&gt;"",VLOOKUP($P157&amp;" | "&amp;CR$6,'Job Master'!$F$12:$I$102,4,0)&lt;&gt;""),IF(WEEKDAY(DA157-VLOOKUP($P157&amp;" | "&amp;CR$6,'Job Master'!$F$12:$I$102,4,0))&lt;&gt;7,DA157-VLOOKUP($P157&amp;" | "&amp;CR$6,'Job Master'!$F$12:$I$102,4,0),DA157-VLOOKUP($P157&amp;" | "&amp;CR$6,'Job Master'!$F$12:$I$102,4,0)-1),""),"")</f>
        <v/>
      </c>
      <c r="CU157" s="73"/>
      <c r="CV157" s="123" t="str">
        <f t="shared" si="297"/>
        <v/>
      </c>
      <c r="CW157" s="123" t="str">
        <f t="shared" si="298"/>
        <v/>
      </c>
      <c r="CX157" s="97" t="str">
        <f t="shared" ca="1" si="299"/>
        <v/>
      </c>
      <c r="CY157" s="98" t="str">
        <f>IF(DA157&lt;&gt;"",VLOOKUP($P157&amp;" | "&amp;CY$6,'Job Master'!$F$12:$J$102,5,0),"")</f>
        <v/>
      </c>
      <c r="CZ157" s="19" t="str">
        <f>IF(DA157&lt;&gt;"",VLOOKUP($P157&amp;" | "&amp;CY$6,'Job Master'!$F$12:$J$102,3,0),"")</f>
        <v/>
      </c>
      <c r="DA157" s="19" t="str">
        <f>IFERROR(IF(AND(DH157&lt;&gt;"",VLOOKUP($P157&amp;" | "&amp;CY$6,'Job Master'!$F$12:$I$102,4,0)&lt;&gt;""),IF(WEEKDAY(DH157-VLOOKUP($P157&amp;" | "&amp;CY$6,'Job Master'!$F$12:$I$102,4,0))&lt;&gt;7,DH157-VLOOKUP($P157&amp;" | "&amp;CY$6,'Job Master'!$F$12:$I$102,4,0),DH157-VLOOKUP($P157&amp;" | "&amp;CY$6,'Job Master'!$F$12:$I$102,4,0)-1),""),"")</f>
        <v/>
      </c>
      <c r="DB157" s="73"/>
      <c r="DC157" s="123" t="str">
        <f t="shared" si="300"/>
        <v/>
      </c>
      <c r="DD157" s="123" t="str">
        <f t="shared" si="301"/>
        <v/>
      </c>
      <c r="DE157" s="97" t="str">
        <f t="shared" ca="1" si="302"/>
        <v/>
      </c>
      <c r="DF157" s="98" t="str">
        <f>IF(DH157&lt;&gt;"",VLOOKUP($P157&amp;" | "&amp;DF$6,'Job Master'!$F$12:$J$102,5,0),"")</f>
        <v/>
      </c>
      <c r="DG157" s="19" t="str">
        <f>IF(DH157&lt;&gt;"",VLOOKUP($P157&amp;" | "&amp;DF$6,'Job Master'!$F$12:$J$102,3,0),"")</f>
        <v/>
      </c>
      <c r="DH157" s="19" t="str">
        <f>IFERROR(IF(AND(DO157&lt;&gt;"",VLOOKUP($P157&amp;" | "&amp;DF$6,'Job Master'!$F$12:$I$102,4,0)&lt;&gt;""),IF(WEEKDAY(DO157-VLOOKUP($P157&amp;" | "&amp;DF$6,'Job Master'!$F$12:$I$102,4,0))&lt;&gt;7,DO157-VLOOKUP($P157&amp;" | "&amp;DF$6,'Job Master'!$F$12:$I$102,4,0),DO157-VLOOKUP($P157&amp;" | "&amp;DF$6,'Job Master'!$F$12:$I$102,4,0)-1),""),"")</f>
        <v/>
      </c>
      <c r="DI157" s="73"/>
      <c r="DJ157" s="123" t="str">
        <f t="shared" si="303"/>
        <v/>
      </c>
      <c r="DK157" s="123" t="str">
        <f t="shared" si="304"/>
        <v/>
      </c>
      <c r="DL157" s="97" t="str">
        <f t="shared" ca="1" si="305"/>
        <v/>
      </c>
      <c r="DM157" s="98" t="str">
        <f>IF(DO157&lt;&gt;"",VLOOKUP($P157&amp;" | "&amp;DM$6,'Job Master'!$F$12:$J$102,5,0),"")</f>
        <v/>
      </c>
      <c r="DN157" s="19" t="str">
        <f>IF(DO157&lt;&gt;"",VLOOKUP($P157&amp;" | "&amp;DM$6,'Job Master'!$F$12:$J$102,3,0),"")</f>
        <v/>
      </c>
      <c r="DO157" s="19" t="str">
        <f>IFERROR(IF(AND(DT157&lt;&gt;"",VLOOKUP($P157&amp;" | "&amp;DM$6,'Job Master'!$F$12:$I$102,4,0)&lt;&gt;""),IF(WEEKDAY(DT157-VLOOKUP($P157&amp;" | "&amp;DM$6,'Job Master'!$F$12:$I$102,4,0))&lt;&gt;7,DT157-VLOOKUP($P157&amp;" | "&amp;DM$6,'Job Master'!$F$12:$I$102,4,0),DT157-VLOOKUP($P157&amp;" | "&amp;DM$6,'Job Master'!$F$12:$I$102,4,0)-1),""),"")</f>
        <v/>
      </c>
      <c r="DP157" s="73"/>
      <c r="DQ157" s="123" t="str">
        <f t="shared" si="306"/>
        <v/>
      </c>
      <c r="DR157" s="123" t="str">
        <f t="shared" si="307"/>
        <v/>
      </c>
      <c r="DS157" s="97" t="str">
        <f t="shared" ca="1" si="308"/>
        <v/>
      </c>
      <c r="DT157" s="70" t="str">
        <f t="shared" si="309"/>
        <v/>
      </c>
      <c r="DU157" s="90"/>
      <c r="DV157" s="123" t="str">
        <f t="shared" si="310"/>
        <v/>
      </c>
      <c r="DW157" s="123" t="str">
        <f t="shared" si="311"/>
        <v/>
      </c>
      <c r="DX157" s="132" t="str">
        <f t="shared" ref="DX157" ca="1" si="342">IF(DT157&lt;&gt;"",IF(WEEKNUM(DT157)=WEEKNUM(TODAY()),"This Week",IF(WEEKNUM(DT157)=WEEKNUM(TODAY())+1,"Next Week",IF(WEEKNUM(DT157)=WEEKNUM(TODAY())-1,"Previous Week",""))),"")</f>
        <v/>
      </c>
      <c r="DY157" s="134" t="str">
        <f t="shared" si="313"/>
        <v/>
      </c>
      <c r="DZ157" s="95"/>
      <c r="EB157" s="8" t="str">
        <f t="shared" si="319"/>
        <v/>
      </c>
      <c r="EC157" s="8" t="str">
        <f>IF(O157&lt;&gt;"",VLOOKUP(O157,'Job Master'!$N$12:$O$18,2,0),"")</f>
        <v/>
      </c>
      <c r="ED157" s="8">
        <f t="shared" si="320"/>
        <v>19.5</v>
      </c>
      <c r="EE157" s="8">
        <f t="shared" si="321"/>
        <v>6</v>
      </c>
      <c r="EF157" s="8">
        <f t="shared" si="322"/>
        <v>-862.5</v>
      </c>
      <c r="EG157" s="8" t="str">
        <f t="shared" si="323"/>
        <v/>
      </c>
      <c r="EH157" s="8" t="str">
        <f t="shared" si="324"/>
        <v/>
      </c>
    </row>
    <row r="158" spans="2:138" x14ac:dyDescent="0.3">
      <c r="B158" s="112"/>
      <c r="C158" s="27"/>
      <c r="D158" s="7" t="str">
        <f t="shared" si="261"/>
        <v/>
      </c>
      <c r="E158" s="25"/>
      <c r="F158" s="7" t="str">
        <f t="shared" si="261"/>
        <v/>
      </c>
      <c r="G158" s="25"/>
      <c r="H158" s="7" t="str">
        <f t="shared" si="261"/>
        <v/>
      </c>
      <c r="I158" s="25"/>
      <c r="J158" s="7" t="str">
        <f t="shared" si="261"/>
        <v/>
      </c>
      <c r="K158" s="25"/>
      <c r="L158" s="7" t="str">
        <f t="shared" si="262"/>
        <v/>
      </c>
      <c r="M158" s="25"/>
      <c r="N158" s="7" t="str">
        <f t="shared" si="263"/>
        <v/>
      </c>
      <c r="O158" s="81"/>
      <c r="P158" s="81" t="str">
        <f t="shared" si="264"/>
        <v/>
      </c>
      <c r="Q158" s="81"/>
      <c r="R158" s="7" t="str">
        <f t="shared" si="265"/>
        <v/>
      </c>
      <c r="S158" s="25"/>
      <c r="T158" s="7" t="str">
        <f t="shared" si="266"/>
        <v/>
      </c>
      <c r="U158" s="25"/>
      <c r="V158" s="7" t="str">
        <f t="shared" si="267"/>
        <v/>
      </c>
      <c r="W158" s="25"/>
      <c r="X158" s="7" t="str">
        <f t="shared" si="268"/>
        <v/>
      </c>
      <c r="Y158" s="18" t="str">
        <f t="shared" si="269"/>
        <v/>
      </c>
      <c r="Z158" s="7" t="str">
        <f t="shared" si="270"/>
        <v/>
      </c>
      <c r="AA158" s="18" t="str">
        <f t="shared" si="271"/>
        <v/>
      </c>
      <c r="AB158" s="19" t="str">
        <f t="shared" si="272"/>
        <v/>
      </c>
      <c r="AC158" s="26"/>
      <c r="AD158" s="26"/>
      <c r="AE158" s="25"/>
      <c r="AF158" s="26"/>
      <c r="AG158" s="25"/>
      <c r="AH158" s="25"/>
      <c r="AI158" s="18" t="str">
        <f t="shared" si="335"/>
        <v/>
      </c>
      <c r="AJ158" s="25"/>
      <c r="AK158" s="18" t="str">
        <f t="shared" si="336"/>
        <v/>
      </c>
      <c r="AL158" s="79"/>
      <c r="AM158" s="126" t="str">
        <f t="shared" si="337"/>
        <v/>
      </c>
      <c r="AN158" s="128" t="str">
        <f>IF(AP158&lt;&gt;"",VLOOKUP($P158&amp;" | "&amp;AN$6,'Job Master'!$F$12:$J$102,5,0),"")</f>
        <v/>
      </c>
      <c r="AO158" s="19" t="str">
        <f>IF(AP158&lt;&gt;"",VLOOKUP($P158&amp;" | "&amp;AN$6,'Job Master'!$F$12:$J$102,3,0),"")</f>
        <v/>
      </c>
      <c r="AP158" s="19" t="str">
        <f>IFERROR(IF(AND(AW158&lt;&gt;"",VLOOKUP($P158&amp;" | "&amp;AN$6,'Job Master'!$F$12:$I$102,4,0)&lt;&gt;""),IF(WEEKDAY(AW158-VLOOKUP($P158&amp;" | "&amp;AN$6,'Job Master'!$F$12:$I$102,4,0))&lt;&gt;7,AW158-VLOOKUP($P158&amp;" | "&amp;AN$6,'Job Master'!$F$12:$I$102,4,0),AW158-VLOOKUP($P158&amp;" | "&amp;AN$6,'Job Master'!$F$12:$I$102,4,0)-1),""),"")</f>
        <v/>
      </c>
      <c r="AQ158" s="73"/>
      <c r="AR158" s="123" t="str">
        <f t="shared" si="273"/>
        <v/>
      </c>
      <c r="AS158" s="123" t="str">
        <f t="shared" si="274"/>
        <v/>
      </c>
      <c r="AT158" s="97" t="str">
        <f t="shared" ca="1" si="275"/>
        <v/>
      </c>
      <c r="AU158" s="98" t="str">
        <f>IF(AW158&lt;&gt;"",VLOOKUP($P158&amp;" | "&amp;AU$6,'Job Master'!$F$12:$J$102,5,0),"")</f>
        <v/>
      </c>
      <c r="AV158" s="19" t="str">
        <f>IF(AW158&lt;&gt;"",VLOOKUP($P158&amp;" | "&amp;AU$6,'Job Master'!$F$12:$J$102,3,0),"")</f>
        <v/>
      </c>
      <c r="AW158" s="19" t="str">
        <f>IFERROR(IF(AND(BD158&lt;&gt;"",VLOOKUP($P158&amp;" | "&amp;AU$6,'Job Master'!$F$12:$I$102,4,0)&lt;&gt;""),IF(WEEKDAY(BD158-VLOOKUP($P158&amp;" | "&amp;AU$6,'Job Master'!$F$12:$I$102,4,0))&lt;&gt;7,BD158-VLOOKUP($P158&amp;" | "&amp;AU$6,'Job Master'!$F$12:$I$102,4,0),BD158-VLOOKUP($P158&amp;" | "&amp;AU$6,'Job Master'!$F$12:$I$102,4,0)-1),""),"")</f>
        <v/>
      </c>
      <c r="AX158" s="73"/>
      <c r="AY158" s="123" t="str">
        <f t="shared" si="276"/>
        <v/>
      </c>
      <c r="AZ158" s="123" t="str">
        <f t="shared" si="277"/>
        <v/>
      </c>
      <c r="BA158" s="97" t="str">
        <f t="shared" ca="1" si="278"/>
        <v/>
      </c>
      <c r="BB158" s="98" t="str">
        <f>IF(BD158&lt;&gt;"",VLOOKUP($P158&amp;" | "&amp;BB$6,'Job Master'!$F$12:$J$102,5,0),"")</f>
        <v/>
      </c>
      <c r="BC158" s="19" t="str">
        <f>IF(BD158&lt;&gt;"",VLOOKUP($P158&amp;" | "&amp;BB$6,'Job Master'!$F$12:$J$102,3,0),"")</f>
        <v/>
      </c>
      <c r="BD158" s="19" t="str">
        <f>IFERROR(IF(AND(BK158&lt;&gt;"",VLOOKUP($P158&amp;" | "&amp;BB$6,'Job Master'!$F$12:$I$102,4,0)&lt;&gt;""),IF(WEEKDAY(BK158-VLOOKUP($P158&amp;" | "&amp;BB$6,'Job Master'!$F$12:$I$102,4,0))&lt;&gt;7,BK158-VLOOKUP($P158&amp;" | "&amp;BB$6,'Job Master'!$F$12:$I$102,4,0),BK158-VLOOKUP($P158&amp;" | "&amp;BB$6,'Job Master'!$F$12:$I$102,4,0)-1),""),"")</f>
        <v/>
      </c>
      <c r="BE158" s="73"/>
      <c r="BF158" s="123" t="str">
        <f t="shared" si="279"/>
        <v/>
      </c>
      <c r="BG158" s="123" t="str">
        <f t="shared" si="280"/>
        <v/>
      </c>
      <c r="BH158" s="97" t="str">
        <f t="shared" ca="1" si="281"/>
        <v/>
      </c>
      <c r="BI158" s="98" t="str">
        <f>IF(BK158&lt;&gt;"",VLOOKUP($P158&amp;" | "&amp;BI$6,'Job Master'!$F$12:$J$102,5,0),"")</f>
        <v/>
      </c>
      <c r="BJ158" s="19" t="str">
        <f>IF(BK158&lt;&gt;"",VLOOKUP($P158&amp;" | "&amp;BI$6,'Job Master'!$F$12:$J$102,3,0),"")</f>
        <v/>
      </c>
      <c r="BK158" s="19" t="str">
        <f>IFERROR(IF(AND(BR158&lt;&gt;"",VLOOKUP($P158&amp;" | "&amp;BI$6,'Job Master'!$F$12:$I$102,4,0)&lt;&gt;""),IF(WEEKDAY(BR158-VLOOKUP($P158&amp;" | "&amp;BI$6,'Job Master'!$F$12:$I$102,4,0))&lt;&gt;7,BR158-VLOOKUP($P158&amp;" | "&amp;BI$6,'Job Master'!$F$12:$I$102,4,0),BR158-VLOOKUP($P158&amp;" | "&amp;BI$6,'Job Master'!$F$12:$I$102,4,0)-1),""),"")</f>
        <v/>
      </c>
      <c r="BL158" s="73"/>
      <c r="BM158" s="123" t="str">
        <f t="shared" si="282"/>
        <v/>
      </c>
      <c r="BN158" s="123" t="str">
        <f t="shared" si="283"/>
        <v/>
      </c>
      <c r="BO158" s="97" t="str">
        <f t="shared" ca="1" si="284"/>
        <v/>
      </c>
      <c r="BP158" s="98" t="str">
        <f>IF(BR158&lt;&gt;"",VLOOKUP($P158&amp;" | "&amp;BP$6,'Job Master'!$F$12:$J$102,5,0),"")</f>
        <v/>
      </c>
      <c r="BQ158" s="19" t="str">
        <f>IF(BR158&lt;&gt;"",VLOOKUP($P158&amp;" | "&amp;BP$6,'Job Master'!$F$12:$J$102,3,0),"")</f>
        <v/>
      </c>
      <c r="BR158" s="19" t="str">
        <f>IFERROR(IF(AND(BY158&lt;&gt;"",VLOOKUP($P158&amp;" | "&amp;BP$6,'Job Master'!$F$12:$I$102,4,0)&lt;&gt;""),IF(WEEKDAY(BY158-VLOOKUP($P158&amp;" | "&amp;BP$6,'Job Master'!$F$12:$I$102,4,0))&lt;&gt;7,BY158-VLOOKUP($P158&amp;" | "&amp;BP$6,'Job Master'!$F$12:$I$102,4,0),BY158-VLOOKUP($P158&amp;" | "&amp;BP$6,'Job Master'!$F$12:$I$102,4,0)-1),""),"")</f>
        <v/>
      </c>
      <c r="BS158" s="73"/>
      <c r="BT158" s="123" t="str">
        <f t="shared" si="285"/>
        <v/>
      </c>
      <c r="BU158" s="123" t="str">
        <f t="shared" si="286"/>
        <v/>
      </c>
      <c r="BV158" s="97" t="str">
        <f t="shared" ca="1" si="287"/>
        <v/>
      </c>
      <c r="BW158" s="98" t="str">
        <f>IF(BY158&lt;&gt;"",VLOOKUP($P158&amp;" | "&amp;BW$6,'Job Master'!$F$12:$J$102,5,0),"")</f>
        <v/>
      </c>
      <c r="BX158" s="19" t="str">
        <f>IF(BY158&lt;&gt;"",VLOOKUP($P158&amp;" | "&amp;BW$6,'Job Master'!$F$12:$J$102,3,0),"")</f>
        <v/>
      </c>
      <c r="BY158" s="19" t="str">
        <f>IFERROR(IF(AND(CF158&lt;&gt;"",VLOOKUP($P158&amp;" | "&amp;BW$6,'Job Master'!$F$12:$I$102,4,0)&lt;&gt;""),IF(WEEKDAY(CF158-VLOOKUP($P158&amp;" | "&amp;BW$6,'Job Master'!$F$12:$I$102,4,0))&lt;&gt;7,CF158-VLOOKUP($P158&amp;" | "&amp;BW$6,'Job Master'!$F$12:$I$102,4,0),CF158-VLOOKUP($P158&amp;" | "&amp;BW$6,'Job Master'!$F$12:$I$102,4,0)-1),""),"")</f>
        <v/>
      </c>
      <c r="BZ158" s="73"/>
      <c r="CA158" s="123" t="str">
        <f t="shared" si="288"/>
        <v/>
      </c>
      <c r="CB158" s="123" t="str">
        <f t="shared" si="289"/>
        <v/>
      </c>
      <c r="CC158" s="97" t="str">
        <f t="shared" ca="1" si="290"/>
        <v/>
      </c>
      <c r="CD158" s="98" t="str">
        <f>IF(CF158&lt;&gt;"",VLOOKUP($P158&amp;" | "&amp;CD$6,'Job Master'!$F$12:$J$102,5,0),"")</f>
        <v/>
      </c>
      <c r="CE158" s="19" t="str">
        <f>IF(CF158&lt;&gt;"",VLOOKUP($P158&amp;" | "&amp;CD$6,'Job Master'!$F$12:$J$102,3,0),"")</f>
        <v/>
      </c>
      <c r="CF158" s="19" t="str">
        <f>IFERROR(IF(AND(CM158&lt;&gt;"",VLOOKUP($P158&amp;" | "&amp;CD$6,'Job Master'!$F$12:$I$102,4,0)&lt;&gt;""),IF(WEEKDAY(CM158-VLOOKUP($P158&amp;" | "&amp;CD$6,'Job Master'!$F$12:$I$102,4,0))&lt;&gt;7,CM158-VLOOKUP($P158&amp;" | "&amp;CD$6,'Job Master'!$F$12:$I$102,4,0),CM158-VLOOKUP($P158&amp;" | "&amp;CD$6,'Job Master'!$F$12:$I$102,4,0)-1),""),"")</f>
        <v/>
      </c>
      <c r="CG158" s="73"/>
      <c r="CH158" s="123" t="str">
        <f t="shared" si="291"/>
        <v/>
      </c>
      <c r="CI158" s="123" t="str">
        <f t="shared" si="292"/>
        <v/>
      </c>
      <c r="CJ158" s="97" t="str">
        <f t="shared" ca="1" si="293"/>
        <v/>
      </c>
      <c r="CK158" s="98" t="str">
        <f>IF(CM158&lt;&gt;"",VLOOKUP($P158&amp;" | "&amp;CK$6,'Job Master'!$F$12:$J$102,5,0),"")</f>
        <v/>
      </c>
      <c r="CL158" s="19" t="str">
        <f>IF(CM158&lt;&gt;"",VLOOKUP($P158&amp;" | "&amp;CK$6,'Job Master'!$F$12:$J$102,3,0),"")</f>
        <v/>
      </c>
      <c r="CM158" s="19" t="str">
        <f>IFERROR(IF(AND(CT158&lt;&gt;"",VLOOKUP($P158&amp;" | "&amp;CK$6,'Job Master'!$F$12:$I$102,4,0)&lt;&gt;""),IF(WEEKDAY(CT158-VLOOKUP($P158&amp;" | "&amp;CK$6,'Job Master'!$F$12:$I$102,4,0))&lt;&gt;7,CT158-VLOOKUP($P158&amp;" | "&amp;CK$6,'Job Master'!$F$12:$I$102,4,0),CT158-VLOOKUP($P158&amp;" | "&amp;CK$6,'Job Master'!$F$12:$I$102,4,0)-1),""),"")</f>
        <v/>
      </c>
      <c r="CN158" s="73"/>
      <c r="CO158" s="123" t="str">
        <f t="shared" si="294"/>
        <v/>
      </c>
      <c r="CP158" s="123" t="str">
        <f t="shared" si="295"/>
        <v/>
      </c>
      <c r="CQ158" s="97" t="str">
        <f t="shared" ca="1" si="296"/>
        <v/>
      </c>
      <c r="CR158" s="98" t="str">
        <f>IF(CT158&lt;&gt;"",VLOOKUP($P158&amp;" | "&amp;CR$6,'Job Master'!$F$12:$J$102,5,0),"")</f>
        <v/>
      </c>
      <c r="CS158" s="19" t="str">
        <f>IF(CT158&lt;&gt;"",VLOOKUP($P158&amp;" | "&amp;CR$6,'Job Master'!$F$12:$J$102,3,0),"")</f>
        <v/>
      </c>
      <c r="CT158" s="19" t="str">
        <f>IFERROR(IF(AND(DA158&lt;&gt;"",VLOOKUP($P158&amp;" | "&amp;CR$6,'Job Master'!$F$12:$I$102,4,0)&lt;&gt;""),IF(WEEKDAY(DA158-VLOOKUP($P158&amp;" | "&amp;CR$6,'Job Master'!$F$12:$I$102,4,0))&lt;&gt;7,DA158-VLOOKUP($P158&amp;" | "&amp;CR$6,'Job Master'!$F$12:$I$102,4,0),DA158-VLOOKUP($P158&amp;" | "&amp;CR$6,'Job Master'!$F$12:$I$102,4,0)-1),""),"")</f>
        <v/>
      </c>
      <c r="CU158" s="73"/>
      <c r="CV158" s="123" t="str">
        <f t="shared" si="297"/>
        <v/>
      </c>
      <c r="CW158" s="123" t="str">
        <f t="shared" si="298"/>
        <v/>
      </c>
      <c r="CX158" s="97" t="str">
        <f t="shared" ca="1" si="299"/>
        <v/>
      </c>
      <c r="CY158" s="98" t="str">
        <f>IF(DA158&lt;&gt;"",VLOOKUP($P158&amp;" | "&amp;CY$6,'Job Master'!$F$12:$J$102,5,0),"")</f>
        <v/>
      </c>
      <c r="CZ158" s="19" t="str">
        <f>IF(DA158&lt;&gt;"",VLOOKUP($P158&amp;" | "&amp;CY$6,'Job Master'!$F$12:$J$102,3,0),"")</f>
        <v/>
      </c>
      <c r="DA158" s="19" t="str">
        <f>IFERROR(IF(AND(DH158&lt;&gt;"",VLOOKUP($P158&amp;" | "&amp;CY$6,'Job Master'!$F$12:$I$102,4,0)&lt;&gt;""),IF(WEEKDAY(DH158-VLOOKUP($P158&amp;" | "&amp;CY$6,'Job Master'!$F$12:$I$102,4,0))&lt;&gt;7,DH158-VLOOKUP($P158&amp;" | "&amp;CY$6,'Job Master'!$F$12:$I$102,4,0),DH158-VLOOKUP($P158&amp;" | "&amp;CY$6,'Job Master'!$F$12:$I$102,4,0)-1),""),"")</f>
        <v/>
      </c>
      <c r="DB158" s="73"/>
      <c r="DC158" s="123" t="str">
        <f t="shared" si="300"/>
        <v/>
      </c>
      <c r="DD158" s="123" t="str">
        <f t="shared" si="301"/>
        <v/>
      </c>
      <c r="DE158" s="97" t="str">
        <f t="shared" ca="1" si="302"/>
        <v/>
      </c>
      <c r="DF158" s="98" t="str">
        <f>IF(DH158&lt;&gt;"",VLOOKUP($P158&amp;" | "&amp;DF$6,'Job Master'!$F$12:$J$102,5,0),"")</f>
        <v/>
      </c>
      <c r="DG158" s="19" t="str">
        <f>IF(DH158&lt;&gt;"",VLOOKUP($P158&amp;" | "&amp;DF$6,'Job Master'!$F$12:$J$102,3,0),"")</f>
        <v/>
      </c>
      <c r="DH158" s="19" t="str">
        <f>IFERROR(IF(AND(DO158&lt;&gt;"",VLOOKUP($P158&amp;" | "&amp;DF$6,'Job Master'!$F$12:$I$102,4,0)&lt;&gt;""),IF(WEEKDAY(DO158-VLOOKUP($P158&amp;" | "&amp;DF$6,'Job Master'!$F$12:$I$102,4,0))&lt;&gt;7,DO158-VLOOKUP($P158&amp;" | "&amp;DF$6,'Job Master'!$F$12:$I$102,4,0),DO158-VLOOKUP($P158&amp;" | "&amp;DF$6,'Job Master'!$F$12:$I$102,4,0)-1),""),"")</f>
        <v/>
      </c>
      <c r="DI158" s="73"/>
      <c r="DJ158" s="123" t="str">
        <f t="shared" si="303"/>
        <v/>
      </c>
      <c r="DK158" s="123" t="str">
        <f t="shared" si="304"/>
        <v/>
      </c>
      <c r="DL158" s="97" t="str">
        <f t="shared" ca="1" si="305"/>
        <v/>
      </c>
      <c r="DM158" s="98" t="str">
        <f>IF(DO158&lt;&gt;"",VLOOKUP($P158&amp;" | "&amp;DM$6,'Job Master'!$F$12:$J$102,5,0),"")</f>
        <v/>
      </c>
      <c r="DN158" s="19" t="str">
        <f>IF(DO158&lt;&gt;"",VLOOKUP($P158&amp;" | "&amp;DM$6,'Job Master'!$F$12:$J$102,3,0),"")</f>
        <v/>
      </c>
      <c r="DO158" s="19" t="str">
        <f>IFERROR(IF(AND(DT158&lt;&gt;"",VLOOKUP($P158&amp;" | "&amp;DM$6,'Job Master'!$F$12:$I$102,4,0)&lt;&gt;""),IF(WEEKDAY(DT158-VLOOKUP($P158&amp;" | "&amp;DM$6,'Job Master'!$F$12:$I$102,4,0))&lt;&gt;7,DT158-VLOOKUP($P158&amp;" | "&amp;DM$6,'Job Master'!$F$12:$I$102,4,0),DT158-VLOOKUP($P158&amp;" | "&amp;DM$6,'Job Master'!$F$12:$I$102,4,0)-1),""),"")</f>
        <v/>
      </c>
      <c r="DP158" s="73"/>
      <c r="DQ158" s="123" t="str">
        <f t="shared" si="306"/>
        <v/>
      </c>
      <c r="DR158" s="123" t="str">
        <f t="shared" si="307"/>
        <v/>
      </c>
      <c r="DS158" s="97" t="str">
        <f t="shared" ca="1" si="308"/>
        <v/>
      </c>
      <c r="DT158" s="70" t="str">
        <f t="shared" si="309"/>
        <v/>
      </c>
      <c r="DU158" s="90"/>
      <c r="DV158" s="123" t="str">
        <f t="shared" si="310"/>
        <v/>
      </c>
      <c r="DW158" s="123" t="str">
        <f t="shared" si="311"/>
        <v/>
      </c>
      <c r="DX158" s="132" t="str">
        <f t="shared" ref="DX158" ca="1" si="343">IF(DT158&lt;&gt;"",IF(WEEKNUM(DT158)=WEEKNUM(TODAY()),"This Week",IF(WEEKNUM(DT158)=WEEKNUM(TODAY())+1,"Next Week",IF(WEEKNUM(DT158)=WEEKNUM(TODAY())-1,"Previous Week",""))),"")</f>
        <v/>
      </c>
      <c r="DY158" s="134" t="str">
        <f t="shared" si="313"/>
        <v/>
      </c>
      <c r="DZ158" s="95"/>
      <c r="EB158" s="8" t="str">
        <f t="shared" si="319"/>
        <v/>
      </c>
      <c r="EC158" s="8" t="str">
        <f>IF(O158&lt;&gt;"",VLOOKUP(O158,'Job Master'!$N$12:$O$18,2,0),"")</f>
        <v/>
      </c>
      <c r="ED158" s="8">
        <f t="shared" si="320"/>
        <v>19.5</v>
      </c>
      <c r="EE158" s="8">
        <f t="shared" si="321"/>
        <v>6</v>
      </c>
      <c r="EF158" s="8">
        <f t="shared" si="322"/>
        <v>-868.5</v>
      </c>
      <c r="EG158" s="8" t="str">
        <f t="shared" si="323"/>
        <v/>
      </c>
      <c r="EH158" s="8" t="str">
        <f t="shared" si="324"/>
        <v/>
      </c>
    </row>
    <row r="159" spans="2:138" x14ac:dyDescent="0.3">
      <c r="B159" s="112"/>
      <c r="C159" s="27"/>
      <c r="D159" s="7" t="str">
        <f t="shared" si="261"/>
        <v/>
      </c>
      <c r="E159" s="25"/>
      <c r="F159" s="7" t="str">
        <f t="shared" si="261"/>
        <v/>
      </c>
      <c r="G159" s="25"/>
      <c r="H159" s="7" t="str">
        <f t="shared" si="261"/>
        <v/>
      </c>
      <c r="I159" s="25"/>
      <c r="J159" s="7" t="str">
        <f t="shared" si="261"/>
        <v/>
      </c>
      <c r="K159" s="25"/>
      <c r="L159" s="7" t="str">
        <f t="shared" si="262"/>
        <v/>
      </c>
      <c r="M159" s="25"/>
      <c r="N159" s="7" t="str">
        <f t="shared" si="263"/>
        <v/>
      </c>
      <c r="O159" s="81"/>
      <c r="P159" s="81" t="str">
        <f t="shared" si="264"/>
        <v/>
      </c>
      <c r="Q159" s="81"/>
      <c r="R159" s="7" t="str">
        <f t="shared" si="265"/>
        <v/>
      </c>
      <c r="S159" s="25"/>
      <c r="T159" s="7" t="str">
        <f t="shared" si="266"/>
        <v/>
      </c>
      <c r="U159" s="25"/>
      <c r="V159" s="7" t="str">
        <f t="shared" si="267"/>
        <v/>
      </c>
      <c r="W159" s="25"/>
      <c r="X159" s="7" t="str">
        <f t="shared" si="268"/>
        <v/>
      </c>
      <c r="Y159" s="18" t="str">
        <f t="shared" si="269"/>
        <v/>
      </c>
      <c r="Z159" s="7" t="str">
        <f t="shared" si="270"/>
        <v/>
      </c>
      <c r="AA159" s="18" t="str">
        <f t="shared" si="271"/>
        <v/>
      </c>
      <c r="AB159" s="19" t="str">
        <f t="shared" si="272"/>
        <v/>
      </c>
      <c r="AC159" s="26"/>
      <c r="AD159" s="26"/>
      <c r="AE159" s="25"/>
      <c r="AF159" s="26"/>
      <c r="AG159" s="25"/>
      <c r="AH159" s="25"/>
      <c r="AI159" s="18" t="str">
        <f t="shared" si="335"/>
        <v/>
      </c>
      <c r="AJ159" s="25"/>
      <c r="AK159" s="18" t="str">
        <f t="shared" si="336"/>
        <v/>
      </c>
      <c r="AL159" s="79"/>
      <c r="AM159" s="126" t="str">
        <f t="shared" si="337"/>
        <v/>
      </c>
      <c r="AN159" s="128" t="str">
        <f>IF(AP159&lt;&gt;"",VLOOKUP($P159&amp;" | "&amp;AN$6,'Job Master'!$F$12:$J$102,5,0),"")</f>
        <v/>
      </c>
      <c r="AO159" s="19" t="str">
        <f>IF(AP159&lt;&gt;"",VLOOKUP($P159&amp;" | "&amp;AN$6,'Job Master'!$F$12:$J$102,3,0),"")</f>
        <v/>
      </c>
      <c r="AP159" s="19" t="str">
        <f>IFERROR(IF(AND(AW159&lt;&gt;"",VLOOKUP($P159&amp;" | "&amp;AN$6,'Job Master'!$F$12:$I$102,4,0)&lt;&gt;""),IF(WEEKDAY(AW159-VLOOKUP($P159&amp;" | "&amp;AN$6,'Job Master'!$F$12:$I$102,4,0))&lt;&gt;7,AW159-VLOOKUP($P159&amp;" | "&amp;AN$6,'Job Master'!$F$12:$I$102,4,0),AW159-VLOOKUP($P159&amp;" | "&amp;AN$6,'Job Master'!$F$12:$I$102,4,0)-1),""),"")</f>
        <v/>
      </c>
      <c r="AQ159" s="73"/>
      <c r="AR159" s="123" t="str">
        <f t="shared" si="273"/>
        <v/>
      </c>
      <c r="AS159" s="123" t="str">
        <f t="shared" si="274"/>
        <v/>
      </c>
      <c r="AT159" s="97" t="str">
        <f t="shared" ca="1" si="275"/>
        <v/>
      </c>
      <c r="AU159" s="98" t="str">
        <f>IF(AW159&lt;&gt;"",VLOOKUP($P159&amp;" | "&amp;AU$6,'Job Master'!$F$12:$J$102,5,0),"")</f>
        <v/>
      </c>
      <c r="AV159" s="19" t="str">
        <f>IF(AW159&lt;&gt;"",VLOOKUP($P159&amp;" | "&amp;AU$6,'Job Master'!$F$12:$J$102,3,0),"")</f>
        <v/>
      </c>
      <c r="AW159" s="19" t="str">
        <f>IFERROR(IF(AND(BD159&lt;&gt;"",VLOOKUP($P159&amp;" | "&amp;AU$6,'Job Master'!$F$12:$I$102,4,0)&lt;&gt;""),IF(WEEKDAY(BD159-VLOOKUP($P159&amp;" | "&amp;AU$6,'Job Master'!$F$12:$I$102,4,0))&lt;&gt;7,BD159-VLOOKUP($P159&amp;" | "&amp;AU$6,'Job Master'!$F$12:$I$102,4,0),BD159-VLOOKUP($P159&amp;" | "&amp;AU$6,'Job Master'!$F$12:$I$102,4,0)-1),""),"")</f>
        <v/>
      </c>
      <c r="AX159" s="73"/>
      <c r="AY159" s="123" t="str">
        <f t="shared" si="276"/>
        <v/>
      </c>
      <c r="AZ159" s="123" t="str">
        <f t="shared" si="277"/>
        <v/>
      </c>
      <c r="BA159" s="97" t="str">
        <f t="shared" ca="1" si="278"/>
        <v/>
      </c>
      <c r="BB159" s="98" t="str">
        <f>IF(BD159&lt;&gt;"",VLOOKUP($P159&amp;" | "&amp;BB$6,'Job Master'!$F$12:$J$102,5,0),"")</f>
        <v/>
      </c>
      <c r="BC159" s="19" t="str">
        <f>IF(BD159&lt;&gt;"",VLOOKUP($P159&amp;" | "&amp;BB$6,'Job Master'!$F$12:$J$102,3,0),"")</f>
        <v/>
      </c>
      <c r="BD159" s="19" t="str">
        <f>IFERROR(IF(AND(BK159&lt;&gt;"",VLOOKUP($P159&amp;" | "&amp;BB$6,'Job Master'!$F$12:$I$102,4,0)&lt;&gt;""),IF(WEEKDAY(BK159-VLOOKUP($P159&amp;" | "&amp;BB$6,'Job Master'!$F$12:$I$102,4,0))&lt;&gt;7,BK159-VLOOKUP($P159&amp;" | "&amp;BB$6,'Job Master'!$F$12:$I$102,4,0),BK159-VLOOKUP($P159&amp;" | "&amp;BB$6,'Job Master'!$F$12:$I$102,4,0)-1),""),"")</f>
        <v/>
      </c>
      <c r="BE159" s="73"/>
      <c r="BF159" s="123" t="str">
        <f t="shared" si="279"/>
        <v/>
      </c>
      <c r="BG159" s="123" t="str">
        <f t="shared" si="280"/>
        <v/>
      </c>
      <c r="BH159" s="97" t="str">
        <f t="shared" ca="1" si="281"/>
        <v/>
      </c>
      <c r="BI159" s="98" t="str">
        <f>IF(BK159&lt;&gt;"",VLOOKUP($P159&amp;" | "&amp;BI$6,'Job Master'!$F$12:$J$102,5,0),"")</f>
        <v/>
      </c>
      <c r="BJ159" s="19" t="str">
        <f>IF(BK159&lt;&gt;"",VLOOKUP($P159&amp;" | "&amp;BI$6,'Job Master'!$F$12:$J$102,3,0),"")</f>
        <v/>
      </c>
      <c r="BK159" s="19" t="str">
        <f>IFERROR(IF(AND(BR159&lt;&gt;"",VLOOKUP($P159&amp;" | "&amp;BI$6,'Job Master'!$F$12:$I$102,4,0)&lt;&gt;""),IF(WEEKDAY(BR159-VLOOKUP($P159&amp;" | "&amp;BI$6,'Job Master'!$F$12:$I$102,4,0))&lt;&gt;7,BR159-VLOOKUP($P159&amp;" | "&amp;BI$6,'Job Master'!$F$12:$I$102,4,0),BR159-VLOOKUP($P159&amp;" | "&amp;BI$6,'Job Master'!$F$12:$I$102,4,0)-1),""),"")</f>
        <v/>
      </c>
      <c r="BL159" s="73"/>
      <c r="BM159" s="123" t="str">
        <f t="shared" si="282"/>
        <v/>
      </c>
      <c r="BN159" s="123" t="str">
        <f t="shared" si="283"/>
        <v/>
      </c>
      <c r="BO159" s="97" t="str">
        <f t="shared" ca="1" si="284"/>
        <v/>
      </c>
      <c r="BP159" s="98" t="str">
        <f>IF(BR159&lt;&gt;"",VLOOKUP($P159&amp;" | "&amp;BP$6,'Job Master'!$F$12:$J$102,5,0),"")</f>
        <v/>
      </c>
      <c r="BQ159" s="19" t="str">
        <f>IF(BR159&lt;&gt;"",VLOOKUP($P159&amp;" | "&amp;BP$6,'Job Master'!$F$12:$J$102,3,0),"")</f>
        <v/>
      </c>
      <c r="BR159" s="19" t="str">
        <f>IFERROR(IF(AND(BY159&lt;&gt;"",VLOOKUP($P159&amp;" | "&amp;BP$6,'Job Master'!$F$12:$I$102,4,0)&lt;&gt;""),IF(WEEKDAY(BY159-VLOOKUP($P159&amp;" | "&amp;BP$6,'Job Master'!$F$12:$I$102,4,0))&lt;&gt;7,BY159-VLOOKUP($P159&amp;" | "&amp;BP$6,'Job Master'!$F$12:$I$102,4,0),BY159-VLOOKUP($P159&amp;" | "&amp;BP$6,'Job Master'!$F$12:$I$102,4,0)-1),""),"")</f>
        <v/>
      </c>
      <c r="BS159" s="73"/>
      <c r="BT159" s="123" t="str">
        <f t="shared" si="285"/>
        <v/>
      </c>
      <c r="BU159" s="123" t="str">
        <f t="shared" si="286"/>
        <v/>
      </c>
      <c r="BV159" s="97" t="str">
        <f t="shared" ca="1" si="287"/>
        <v/>
      </c>
      <c r="BW159" s="98" t="str">
        <f>IF(BY159&lt;&gt;"",VLOOKUP($P159&amp;" | "&amp;BW$6,'Job Master'!$F$12:$J$102,5,0),"")</f>
        <v/>
      </c>
      <c r="BX159" s="19" t="str">
        <f>IF(BY159&lt;&gt;"",VLOOKUP($P159&amp;" | "&amp;BW$6,'Job Master'!$F$12:$J$102,3,0),"")</f>
        <v/>
      </c>
      <c r="BY159" s="19" t="str">
        <f>IFERROR(IF(AND(CF159&lt;&gt;"",VLOOKUP($P159&amp;" | "&amp;BW$6,'Job Master'!$F$12:$I$102,4,0)&lt;&gt;""),IF(WEEKDAY(CF159-VLOOKUP($P159&amp;" | "&amp;BW$6,'Job Master'!$F$12:$I$102,4,0))&lt;&gt;7,CF159-VLOOKUP($P159&amp;" | "&amp;BW$6,'Job Master'!$F$12:$I$102,4,0),CF159-VLOOKUP($P159&amp;" | "&amp;BW$6,'Job Master'!$F$12:$I$102,4,0)-1),""),"")</f>
        <v/>
      </c>
      <c r="BZ159" s="73"/>
      <c r="CA159" s="123" t="str">
        <f t="shared" si="288"/>
        <v/>
      </c>
      <c r="CB159" s="123" t="str">
        <f t="shared" si="289"/>
        <v/>
      </c>
      <c r="CC159" s="97" t="str">
        <f t="shared" ca="1" si="290"/>
        <v/>
      </c>
      <c r="CD159" s="98" t="str">
        <f>IF(CF159&lt;&gt;"",VLOOKUP($P159&amp;" | "&amp;CD$6,'Job Master'!$F$12:$J$102,5,0),"")</f>
        <v/>
      </c>
      <c r="CE159" s="19" t="str">
        <f>IF(CF159&lt;&gt;"",VLOOKUP($P159&amp;" | "&amp;CD$6,'Job Master'!$F$12:$J$102,3,0),"")</f>
        <v/>
      </c>
      <c r="CF159" s="19" t="str">
        <f>IFERROR(IF(AND(CM159&lt;&gt;"",VLOOKUP($P159&amp;" | "&amp;CD$6,'Job Master'!$F$12:$I$102,4,0)&lt;&gt;""),IF(WEEKDAY(CM159-VLOOKUP($P159&amp;" | "&amp;CD$6,'Job Master'!$F$12:$I$102,4,0))&lt;&gt;7,CM159-VLOOKUP($P159&amp;" | "&amp;CD$6,'Job Master'!$F$12:$I$102,4,0),CM159-VLOOKUP($P159&amp;" | "&amp;CD$6,'Job Master'!$F$12:$I$102,4,0)-1),""),"")</f>
        <v/>
      </c>
      <c r="CG159" s="73"/>
      <c r="CH159" s="123" t="str">
        <f t="shared" si="291"/>
        <v/>
      </c>
      <c r="CI159" s="123" t="str">
        <f t="shared" si="292"/>
        <v/>
      </c>
      <c r="CJ159" s="97" t="str">
        <f t="shared" ca="1" si="293"/>
        <v/>
      </c>
      <c r="CK159" s="98" t="str">
        <f>IF(CM159&lt;&gt;"",VLOOKUP($P159&amp;" | "&amp;CK$6,'Job Master'!$F$12:$J$102,5,0),"")</f>
        <v/>
      </c>
      <c r="CL159" s="19" t="str">
        <f>IF(CM159&lt;&gt;"",VLOOKUP($P159&amp;" | "&amp;CK$6,'Job Master'!$F$12:$J$102,3,0),"")</f>
        <v/>
      </c>
      <c r="CM159" s="19" t="str">
        <f>IFERROR(IF(AND(CT159&lt;&gt;"",VLOOKUP($P159&amp;" | "&amp;CK$6,'Job Master'!$F$12:$I$102,4,0)&lt;&gt;""),IF(WEEKDAY(CT159-VLOOKUP($P159&amp;" | "&amp;CK$6,'Job Master'!$F$12:$I$102,4,0))&lt;&gt;7,CT159-VLOOKUP($P159&amp;" | "&amp;CK$6,'Job Master'!$F$12:$I$102,4,0),CT159-VLOOKUP($P159&amp;" | "&amp;CK$6,'Job Master'!$F$12:$I$102,4,0)-1),""),"")</f>
        <v/>
      </c>
      <c r="CN159" s="73"/>
      <c r="CO159" s="123" t="str">
        <f t="shared" si="294"/>
        <v/>
      </c>
      <c r="CP159" s="123" t="str">
        <f t="shared" si="295"/>
        <v/>
      </c>
      <c r="CQ159" s="97" t="str">
        <f t="shared" ca="1" si="296"/>
        <v/>
      </c>
      <c r="CR159" s="98" t="str">
        <f>IF(CT159&lt;&gt;"",VLOOKUP($P159&amp;" | "&amp;CR$6,'Job Master'!$F$12:$J$102,5,0),"")</f>
        <v/>
      </c>
      <c r="CS159" s="19" t="str">
        <f>IF(CT159&lt;&gt;"",VLOOKUP($P159&amp;" | "&amp;CR$6,'Job Master'!$F$12:$J$102,3,0),"")</f>
        <v/>
      </c>
      <c r="CT159" s="19" t="str">
        <f>IFERROR(IF(AND(DA159&lt;&gt;"",VLOOKUP($P159&amp;" | "&amp;CR$6,'Job Master'!$F$12:$I$102,4,0)&lt;&gt;""),IF(WEEKDAY(DA159-VLOOKUP($P159&amp;" | "&amp;CR$6,'Job Master'!$F$12:$I$102,4,0))&lt;&gt;7,DA159-VLOOKUP($P159&amp;" | "&amp;CR$6,'Job Master'!$F$12:$I$102,4,0),DA159-VLOOKUP($P159&amp;" | "&amp;CR$6,'Job Master'!$F$12:$I$102,4,0)-1),""),"")</f>
        <v/>
      </c>
      <c r="CU159" s="73"/>
      <c r="CV159" s="123" t="str">
        <f t="shared" si="297"/>
        <v/>
      </c>
      <c r="CW159" s="123" t="str">
        <f t="shared" si="298"/>
        <v/>
      </c>
      <c r="CX159" s="97" t="str">
        <f t="shared" ca="1" si="299"/>
        <v/>
      </c>
      <c r="CY159" s="98" t="str">
        <f>IF(DA159&lt;&gt;"",VLOOKUP($P159&amp;" | "&amp;CY$6,'Job Master'!$F$12:$J$102,5,0),"")</f>
        <v/>
      </c>
      <c r="CZ159" s="19" t="str">
        <f>IF(DA159&lt;&gt;"",VLOOKUP($P159&amp;" | "&amp;CY$6,'Job Master'!$F$12:$J$102,3,0),"")</f>
        <v/>
      </c>
      <c r="DA159" s="19" t="str">
        <f>IFERROR(IF(AND(DH159&lt;&gt;"",VLOOKUP($P159&amp;" | "&amp;CY$6,'Job Master'!$F$12:$I$102,4,0)&lt;&gt;""),IF(WEEKDAY(DH159-VLOOKUP($P159&amp;" | "&amp;CY$6,'Job Master'!$F$12:$I$102,4,0))&lt;&gt;7,DH159-VLOOKUP($P159&amp;" | "&amp;CY$6,'Job Master'!$F$12:$I$102,4,0),DH159-VLOOKUP($P159&amp;" | "&amp;CY$6,'Job Master'!$F$12:$I$102,4,0)-1),""),"")</f>
        <v/>
      </c>
      <c r="DB159" s="73"/>
      <c r="DC159" s="123" t="str">
        <f t="shared" si="300"/>
        <v/>
      </c>
      <c r="DD159" s="123" t="str">
        <f t="shared" si="301"/>
        <v/>
      </c>
      <c r="DE159" s="97" t="str">
        <f t="shared" ca="1" si="302"/>
        <v/>
      </c>
      <c r="DF159" s="98" t="str">
        <f>IF(DH159&lt;&gt;"",VLOOKUP($P159&amp;" | "&amp;DF$6,'Job Master'!$F$12:$J$102,5,0),"")</f>
        <v/>
      </c>
      <c r="DG159" s="19" t="str">
        <f>IF(DH159&lt;&gt;"",VLOOKUP($P159&amp;" | "&amp;DF$6,'Job Master'!$F$12:$J$102,3,0),"")</f>
        <v/>
      </c>
      <c r="DH159" s="19" t="str">
        <f>IFERROR(IF(AND(DO159&lt;&gt;"",VLOOKUP($P159&amp;" | "&amp;DF$6,'Job Master'!$F$12:$I$102,4,0)&lt;&gt;""),IF(WEEKDAY(DO159-VLOOKUP($P159&amp;" | "&amp;DF$6,'Job Master'!$F$12:$I$102,4,0))&lt;&gt;7,DO159-VLOOKUP($P159&amp;" | "&amp;DF$6,'Job Master'!$F$12:$I$102,4,0),DO159-VLOOKUP($P159&amp;" | "&amp;DF$6,'Job Master'!$F$12:$I$102,4,0)-1),""),"")</f>
        <v/>
      </c>
      <c r="DI159" s="73"/>
      <c r="DJ159" s="123" t="str">
        <f t="shared" si="303"/>
        <v/>
      </c>
      <c r="DK159" s="123" t="str">
        <f t="shared" si="304"/>
        <v/>
      </c>
      <c r="DL159" s="97" t="str">
        <f t="shared" ca="1" si="305"/>
        <v/>
      </c>
      <c r="DM159" s="98" t="str">
        <f>IF(DO159&lt;&gt;"",VLOOKUP($P159&amp;" | "&amp;DM$6,'Job Master'!$F$12:$J$102,5,0),"")</f>
        <v/>
      </c>
      <c r="DN159" s="19" t="str">
        <f>IF(DO159&lt;&gt;"",VLOOKUP($P159&amp;" | "&amp;DM$6,'Job Master'!$F$12:$J$102,3,0),"")</f>
        <v/>
      </c>
      <c r="DO159" s="19" t="str">
        <f>IFERROR(IF(AND(DT159&lt;&gt;"",VLOOKUP($P159&amp;" | "&amp;DM$6,'Job Master'!$F$12:$I$102,4,0)&lt;&gt;""),IF(WEEKDAY(DT159-VLOOKUP($P159&amp;" | "&amp;DM$6,'Job Master'!$F$12:$I$102,4,0))&lt;&gt;7,DT159-VLOOKUP($P159&amp;" | "&amp;DM$6,'Job Master'!$F$12:$I$102,4,0),DT159-VLOOKUP($P159&amp;" | "&amp;DM$6,'Job Master'!$F$12:$I$102,4,0)-1),""),"")</f>
        <v/>
      </c>
      <c r="DP159" s="73"/>
      <c r="DQ159" s="123" t="str">
        <f t="shared" si="306"/>
        <v/>
      </c>
      <c r="DR159" s="123" t="str">
        <f t="shared" si="307"/>
        <v/>
      </c>
      <c r="DS159" s="97" t="str">
        <f t="shared" ca="1" si="308"/>
        <v/>
      </c>
      <c r="DT159" s="70" t="str">
        <f t="shared" si="309"/>
        <v/>
      </c>
      <c r="DU159" s="90"/>
      <c r="DV159" s="123" t="str">
        <f t="shared" si="310"/>
        <v/>
      </c>
      <c r="DW159" s="123" t="str">
        <f t="shared" si="311"/>
        <v/>
      </c>
      <c r="DX159" s="132" t="str">
        <f t="shared" ref="DX159" ca="1" si="344">IF(DT159&lt;&gt;"",IF(WEEKNUM(DT159)=WEEKNUM(TODAY()),"This Week",IF(WEEKNUM(DT159)=WEEKNUM(TODAY())+1,"Next Week",IF(WEEKNUM(DT159)=WEEKNUM(TODAY())-1,"Previous Week",""))),"")</f>
        <v/>
      </c>
      <c r="DY159" s="134" t="str">
        <f t="shared" si="313"/>
        <v/>
      </c>
      <c r="DZ159" s="95"/>
      <c r="EB159" s="8" t="str">
        <f t="shared" si="319"/>
        <v/>
      </c>
      <c r="EC159" s="8" t="str">
        <f>IF(O159&lt;&gt;"",VLOOKUP(O159,'Job Master'!$N$12:$O$18,2,0),"")</f>
        <v/>
      </c>
      <c r="ED159" s="8">
        <f t="shared" si="320"/>
        <v>19.5</v>
      </c>
      <c r="EE159" s="8">
        <f t="shared" si="321"/>
        <v>6</v>
      </c>
      <c r="EF159" s="8">
        <f t="shared" si="322"/>
        <v>-874.5</v>
      </c>
      <c r="EG159" s="8" t="str">
        <f t="shared" si="323"/>
        <v/>
      </c>
      <c r="EH159" s="8" t="str">
        <f t="shared" si="324"/>
        <v/>
      </c>
    </row>
    <row r="160" spans="2:138" x14ac:dyDescent="0.3">
      <c r="B160" s="112"/>
      <c r="C160" s="27"/>
      <c r="D160" s="7" t="str">
        <f t="shared" si="261"/>
        <v/>
      </c>
      <c r="E160" s="25"/>
      <c r="F160" s="7" t="str">
        <f t="shared" si="261"/>
        <v/>
      </c>
      <c r="G160" s="25"/>
      <c r="H160" s="7" t="str">
        <f t="shared" si="261"/>
        <v/>
      </c>
      <c r="I160" s="25"/>
      <c r="J160" s="7" t="str">
        <f t="shared" si="261"/>
        <v/>
      </c>
      <c r="K160" s="25"/>
      <c r="L160" s="7" t="str">
        <f t="shared" si="262"/>
        <v/>
      </c>
      <c r="M160" s="25"/>
      <c r="N160" s="7" t="str">
        <f t="shared" si="263"/>
        <v/>
      </c>
      <c r="O160" s="81"/>
      <c r="P160" s="81" t="str">
        <f t="shared" si="264"/>
        <v/>
      </c>
      <c r="Q160" s="81"/>
      <c r="R160" s="7" t="str">
        <f t="shared" si="265"/>
        <v/>
      </c>
      <c r="S160" s="25"/>
      <c r="T160" s="7" t="str">
        <f t="shared" si="266"/>
        <v/>
      </c>
      <c r="U160" s="25"/>
      <c r="V160" s="7" t="str">
        <f t="shared" si="267"/>
        <v/>
      </c>
      <c r="W160" s="25"/>
      <c r="X160" s="7" t="str">
        <f t="shared" si="268"/>
        <v/>
      </c>
      <c r="Y160" s="18" t="str">
        <f t="shared" si="269"/>
        <v/>
      </c>
      <c r="Z160" s="7" t="str">
        <f t="shared" si="270"/>
        <v/>
      </c>
      <c r="AA160" s="18" t="str">
        <f t="shared" si="271"/>
        <v/>
      </c>
      <c r="AB160" s="19" t="str">
        <f t="shared" si="272"/>
        <v/>
      </c>
      <c r="AC160" s="26"/>
      <c r="AD160" s="26"/>
      <c r="AE160" s="25"/>
      <c r="AF160" s="26"/>
      <c r="AG160" s="25"/>
      <c r="AH160" s="25"/>
      <c r="AI160" s="18" t="str">
        <f t="shared" si="335"/>
        <v/>
      </c>
      <c r="AJ160" s="25"/>
      <c r="AK160" s="18" t="str">
        <f t="shared" si="336"/>
        <v/>
      </c>
      <c r="AL160" s="79"/>
      <c r="AM160" s="126" t="str">
        <f t="shared" si="337"/>
        <v/>
      </c>
      <c r="AN160" s="128" t="str">
        <f>IF(AP160&lt;&gt;"",VLOOKUP($P160&amp;" | "&amp;AN$6,'Job Master'!$F$12:$J$102,5,0),"")</f>
        <v/>
      </c>
      <c r="AO160" s="19" t="str">
        <f>IF(AP160&lt;&gt;"",VLOOKUP($P160&amp;" | "&amp;AN$6,'Job Master'!$F$12:$J$102,3,0),"")</f>
        <v/>
      </c>
      <c r="AP160" s="19" t="str">
        <f>IFERROR(IF(AND(AW160&lt;&gt;"",VLOOKUP($P160&amp;" | "&amp;AN$6,'Job Master'!$F$12:$I$102,4,0)&lt;&gt;""),IF(WEEKDAY(AW160-VLOOKUP($P160&amp;" | "&amp;AN$6,'Job Master'!$F$12:$I$102,4,0))&lt;&gt;7,AW160-VLOOKUP($P160&amp;" | "&amp;AN$6,'Job Master'!$F$12:$I$102,4,0),AW160-VLOOKUP($P160&amp;" | "&amp;AN$6,'Job Master'!$F$12:$I$102,4,0)-1),""),"")</f>
        <v/>
      </c>
      <c r="AQ160" s="73"/>
      <c r="AR160" s="123" t="str">
        <f t="shared" si="273"/>
        <v/>
      </c>
      <c r="AS160" s="123" t="str">
        <f t="shared" si="274"/>
        <v/>
      </c>
      <c r="AT160" s="97" t="str">
        <f t="shared" ca="1" si="275"/>
        <v/>
      </c>
      <c r="AU160" s="98" t="str">
        <f>IF(AW160&lt;&gt;"",VLOOKUP($P160&amp;" | "&amp;AU$6,'Job Master'!$F$12:$J$102,5,0),"")</f>
        <v/>
      </c>
      <c r="AV160" s="19" t="str">
        <f>IF(AW160&lt;&gt;"",VLOOKUP($P160&amp;" | "&amp;AU$6,'Job Master'!$F$12:$J$102,3,0),"")</f>
        <v/>
      </c>
      <c r="AW160" s="19" t="str">
        <f>IFERROR(IF(AND(BD160&lt;&gt;"",VLOOKUP($P160&amp;" | "&amp;AU$6,'Job Master'!$F$12:$I$102,4,0)&lt;&gt;""),IF(WEEKDAY(BD160-VLOOKUP($P160&amp;" | "&amp;AU$6,'Job Master'!$F$12:$I$102,4,0))&lt;&gt;7,BD160-VLOOKUP($P160&amp;" | "&amp;AU$6,'Job Master'!$F$12:$I$102,4,0),BD160-VLOOKUP($P160&amp;" | "&amp;AU$6,'Job Master'!$F$12:$I$102,4,0)-1),""),"")</f>
        <v/>
      </c>
      <c r="AX160" s="73"/>
      <c r="AY160" s="123" t="str">
        <f t="shared" si="276"/>
        <v/>
      </c>
      <c r="AZ160" s="123" t="str">
        <f t="shared" si="277"/>
        <v/>
      </c>
      <c r="BA160" s="97" t="str">
        <f t="shared" ca="1" si="278"/>
        <v/>
      </c>
      <c r="BB160" s="98" t="str">
        <f>IF(BD160&lt;&gt;"",VLOOKUP($P160&amp;" | "&amp;BB$6,'Job Master'!$F$12:$J$102,5,0),"")</f>
        <v/>
      </c>
      <c r="BC160" s="19" t="str">
        <f>IF(BD160&lt;&gt;"",VLOOKUP($P160&amp;" | "&amp;BB$6,'Job Master'!$F$12:$J$102,3,0),"")</f>
        <v/>
      </c>
      <c r="BD160" s="19" t="str">
        <f>IFERROR(IF(AND(BK160&lt;&gt;"",VLOOKUP($P160&amp;" | "&amp;BB$6,'Job Master'!$F$12:$I$102,4,0)&lt;&gt;""),IF(WEEKDAY(BK160-VLOOKUP($P160&amp;" | "&amp;BB$6,'Job Master'!$F$12:$I$102,4,0))&lt;&gt;7,BK160-VLOOKUP($P160&amp;" | "&amp;BB$6,'Job Master'!$F$12:$I$102,4,0),BK160-VLOOKUP($P160&amp;" | "&amp;BB$6,'Job Master'!$F$12:$I$102,4,0)-1),""),"")</f>
        <v/>
      </c>
      <c r="BE160" s="73"/>
      <c r="BF160" s="123" t="str">
        <f t="shared" si="279"/>
        <v/>
      </c>
      <c r="BG160" s="123" t="str">
        <f t="shared" si="280"/>
        <v/>
      </c>
      <c r="BH160" s="97" t="str">
        <f t="shared" ca="1" si="281"/>
        <v/>
      </c>
      <c r="BI160" s="98" t="str">
        <f>IF(BK160&lt;&gt;"",VLOOKUP($P160&amp;" | "&amp;BI$6,'Job Master'!$F$12:$J$102,5,0),"")</f>
        <v/>
      </c>
      <c r="BJ160" s="19" t="str">
        <f>IF(BK160&lt;&gt;"",VLOOKUP($P160&amp;" | "&amp;BI$6,'Job Master'!$F$12:$J$102,3,0),"")</f>
        <v/>
      </c>
      <c r="BK160" s="19" t="str">
        <f>IFERROR(IF(AND(BR160&lt;&gt;"",VLOOKUP($P160&amp;" | "&amp;BI$6,'Job Master'!$F$12:$I$102,4,0)&lt;&gt;""),IF(WEEKDAY(BR160-VLOOKUP($P160&amp;" | "&amp;BI$6,'Job Master'!$F$12:$I$102,4,0))&lt;&gt;7,BR160-VLOOKUP($P160&amp;" | "&amp;BI$6,'Job Master'!$F$12:$I$102,4,0),BR160-VLOOKUP($P160&amp;" | "&amp;BI$6,'Job Master'!$F$12:$I$102,4,0)-1),""),"")</f>
        <v/>
      </c>
      <c r="BL160" s="73"/>
      <c r="BM160" s="123" t="str">
        <f t="shared" si="282"/>
        <v/>
      </c>
      <c r="BN160" s="123" t="str">
        <f t="shared" si="283"/>
        <v/>
      </c>
      <c r="BO160" s="97" t="str">
        <f t="shared" ca="1" si="284"/>
        <v/>
      </c>
      <c r="BP160" s="98" t="str">
        <f>IF(BR160&lt;&gt;"",VLOOKUP($P160&amp;" | "&amp;BP$6,'Job Master'!$F$12:$J$102,5,0),"")</f>
        <v/>
      </c>
      <c r="BQ160" s="19" t="str">
        <f>IF(BR160&lt;&gt;"",VLOOKUP($P160&amp;" | "&amp;BP$6,'Job Master'!$F$12:$J$102,3,0),"")</f>
        <v/>
      </c>
      <c r="BR160" s="19" t="str">
        <f>IFERROR(IF(AND(BY160&lt;&gt;"",VLOOKUP($P160&amp;" | "&amp;BP$6,'Job Master'!$F$12:$I$102,4,0)&lt;&gt;""),IF(WEEKDAY(BY160-VLOOKUP($P160&amp;" | "&amp;BP$6,'Job Master'!$F$12:$I$102,4,0))&lt;&gt;7,BY160-VLOOKUP($P160&amp;" | "&amp;BP$6,'Job Master'!$F$12:$I$102,4,0),BY160-VLOOKUP($P160&amp;" | "&amp;BP$6,'Job Master'!$F$12:$I$102,4,0)-1),""),"")</f>
        <v/>
      </c>
      <c r="BS160" s="73"/>
      <c r="BT160" s="123" t="str">
        <f t="shared" si="285"/>
        <v/>
      </c>
      <c r="BU160" s="123" t="str">
        <f t="shared" si="286"/>
        <v/>
      </c>
      <c r="BV160" s="97" t="str">
        <f t="shared" ca="1" si="287"/>
        <v/>
      </c>
      <c r="BW160" s="98" t="str">
        <f>IF(BY160&lt;&gt;"",VLOOKUP($P160&amp;" | "&amp;BW$6,'Job Master'!$F$12:$J$102,5,0),"")</f>
        <v/>
      </c>
      <c r="BX160" s="19" t="str">
        <f>IF(BY160&lt;&gt;"",VLOOKUP($P160&amp;" | "&amp;BW$6,'Job Master'!$F$12:$J$102,3,0),"")</f>
        <v/>
      </c>
      <c r="BY160" s="19" t="str">
        <f>IFERROR(IF(AND(CF160&lt;&gt;"",VLOOKUP($P160&amp;" | "&amp;BW$6,'Job Master'!$F$12:$I$102,4,0)&lt;&gt;""),IF(WEEKDAY(CF160-VLOOKUP($P160&amp;" | "&amp;BW$6,'Job Master'!$F$12:$I$102,4,0))&lt;&gt;7,CF160-VLOOKUP($P160&amp;" | "&amp;BW$6,'Job Master'!$F$12:$I$102,4,0),CF160-VLOOKUP($P160&amp;" | "&amp;BW$6,'Job Master'!$F$12:$I$102,4,0)-1),""),"")</f>
        <v/>
      </c>
      <c r="BZ160" s="73"/>
      <c r="CA160" s="123" t="str">
        <f t="shared" si="288"/>
        <v/>
      </c>
      <c r="CB160" s="123" t="str">
        <f t="shared" si="289"/>
        <v/>
      </c>
      <c r="CC160" s="97" t="str">
        <f t="shared" ca="1" si="290"/>
        <v/>
      </c>
      <c r="CD160" s="98" t="str">
        <f>IF(CF160&lt;&gt;"",VLOOKUP($P160&amp;" | "&amp;CD$6,'Job Master'!$F$12:$J$102,5,0),"")</f>
        <v/>
      </c>
      <c r="CE160" s="19" t="str">
        <f>IF(CF160&lt;&gt;"",VLOOKUP($P160&amp;" | "&amp;CD$6,'Job Master'!$F$12:$J$102,3,0),"")</f>
        <v/>
      </c>
      <c r="CF160" s="19" t="str">
        <f>IFERROR(IF(AND(CM160&lt;&gt;"",VLOOKUP($P160&amp;" | "&amp;CD$6,'Job Master'!$F$12:$I$102,4,0)&lt;&gt;""),IF(WEEKDAY(CM160-VLOOKUP($P160&amp;" | "&amp;CD$6,'Job Master'!$F$12:$I$102,4,0))&lt;&gt;7,CM160-VLOOKUP($P160&amp;" | "&amp;CD$6,'Job Master'!$F$12:$I$102,4,0),CM160-VLOOKUP($P160&amp;" | "&amp;CD$6,'Job Master'!$F$12:$I$102,4,0)-1),""),"")</f>
        <v/>
      </c>
      <c r="CG160" s="73"/>
      <c r="CH160" s="123" t="str">
        <f t="shared" si="291"/>
        <v/>
      </c>
      <c r="CI160" s="123" t="str">
        <f t="shared" si="292"/>
        <v/>
      </c>
      <c r="CJ160" s="97" t="str">
        <f t="shared" ca="1" si="293"/>
        <v/>
      </c>
      <c r="CK160" s="98" t="str">
        <f>IF(CM160&lt;&gt;"",VLOOKUP($P160&amp;" | "&amp;CK$6,'Job Master'!$F$12:$J$102,5,0),"")</f>
        <v/>
      </c>
      <c r="CL160" s="19" t="str">
        <f>IF(CM160&lt;&gt;"",VLOOKUP($P160&amp;" | "&amp;CK$6,'Job Master'!$F$12:$J$102,3,0),"")</f>
        <v/>
      </c>
      <c r="CM160" s="19" t="str">
        <f>IFERROR(IF(AND(CT160&lt;&gt;"",VLOOKUP($P160&amp;" | "&amp;CK$6,'Job Master'!$F$12:$I$102,4,0)&lt;&gt;""),IF(WEEKDAY(CT160-VLOOKUP($P160&amp;" | "&amp;CK$6,'Job Master'!$F$12:$I$102,4,0))&lt;&gt;7,CT160-VLOOKUP($P160&amp;" | "&amp;CK$6,'Job Master'!$F$12:$I$102,4,0),CT160-VLOOKUP($P160&amp;" | "&amp;CK$6,'Job Master'!$F$12:$I$102,4,0)-1),""),"")</f>
        <v/>
      </c>
      <c r="CN160" s="73"/>
      <c r="CO160" s="123" t="str">
        <f t="shared" si="294"/>
        <v/>
      </c>
      <c r="CP160" s="123" t="str">
        <f t="shared" si="295"/>
        <v/>
      </c>
      <c r="CQ160" s="97" t="str">
        <f t="shared" ca="1" si="296"/>
        <v/>
      </c>
      <c r="CR160" s="98" t="str">
        <f>IF(CT160&lt;&gt;"",VLOOKUP($P160&amp;" | "&amp;CR$6,'Job Master'!$F$12:$J$102,5,0),"")</f>
        <v/>
      </c>
      <c r="CS160" s="19" t="str">
        <f>IF(CT160&lt;&gt;"",VLOOKUP($P160&amp;" | "&amp;CR$6,'Job Master'!$F$12:$J$102,3,0),"")</f>
        <v/>
      </c>
      <c r="CT160" s="19" t="str">
        <f>IFERROR(IF(AND(DA160&lt;&gt;"",VLOOKUP($P160&amp;" | "&amp;CR$6,'Job Master'!$F$12:$I$102,4,0)&lt;&gt;""),IF(WEEKDAY(DA160-VLOOKUP($P160&amp;" | "&amp;CR$6,'Job Master'!$F$12:$I$102,4,0))&lt;&gt;7,DA160-VLOOKUP($P160&amp;" | "&amp;CR$6,'Job Master'!$F$12:$I$102,4,0),DA160-VLOOKUP($P160&amp;" | "&amp;CR$6,'Job Master'!$F$12:$I$102,4,0)-1),""),"")</f>
        <v/>
      </c>
      <c r="CU160" s="73"/>
      <c r="CV160" s="123" t="str">
        <f t="shared" si="297"/>
        <v/>
      </c>
      <c r="CW160" s="123" t="str">
        <f t="shared" si="298"/>
        <v/>
      </c>
      <c r="CX160" s="97" t="str">
        <f t="shared" ca="1" si="299"/>
        <v/>
      </c>
      <c r="CY160" s="98" t="str">
        <f>IF(DA160&lt;&gt;"",VLOOKUP($P160&amp;" | "&amp;CY$6,'Job Master'!$F$12:$J$102,5,0),"")</f>
        <v/>
      </c>
      <c r="CZ160" s="19" t="str">
        <f>IF(DA160&lt;&gt;"",VLOOKUP($P160&amp;" | "&amp;CY$6,'Job Master'!$F$12:$J$102,3,0),"")</f>
        <v/>
      </c>
      <c r="DA160" s="19" t="str">
        <f>IFERROR(IF(AND(DH160&lt;&gt;"",VLOOKUP($P160&amp;" | "&amp;CY$6,'Job Master'!$F$12:$I$102,4,0)&lt;&gt;""),IF(WEEKDAY(DH160-VLOOKUP($P160&amp;" | "&amp;CY$6,'Job Master'!$F$12:$I$102,4,0))&lt;&gt;7,DH160-VLOOKUP($P160&amp;" | "&amp;CY$6,'Job Master'!$F$12:$I$102,4,0),DH160-VLOOKUP($P160&amp;" | "&amp;CY$6,'Job Master'!$F$12:$I$102,4,0)-1),""),"")</f>
        <v/>
      </c>
      <c r="DB160" s="73"/>
      <c r="DC160" s="123" t="str">
        <f t="shared" si="300"/>
        <v/>
      </c>
      <c r="DD160" s="123" t="str">
        <f t="shared" si="301"/>
        <v/>
      </c>
      <c r="DE160" s="97" t="str">
        <f t="shared" ca="1" si="302"/>
        <v/>
      </c>
      <c r="DF160" s="98" t="str">
        <f>IF(DH160&lt;&gt;"",VLOOKUP($P160&amp;" | "&amp;DF$6,'Job Master'!$F$12:$J$102,5,0),"")</f>
        <v/>
      </c>
      <c r="DG160" s="19" t="str">
        <f>IF(DH160&lt;&gt;"",VLOOKUP($P160&amp;" | "&amp;DF$6,'Job Master'!$F$12:$J$102,3,0),"")</f>
        <v/>
      </c>
      <c r="DH160" s="19" t="str">
        <f>IFERROR(IF(AND(DO160&lt;&gt;"",VLOOKUP($P160&amp;" | "&amp;DF$6,'Job Master'!$F$12:$I$102,4,0)&lt;&gt;""),IF(WEEKDAY(DO160-VLOOKUP($P160&amp;" | "&amp;DF$6,'Job Master'!$F$12:$I$102,4,0))&lt;&gt;7,DO160-VLOOKUP($P160&amp;" | "&amp;DF$6,'Job Master'!$F$12:$I$102,4,0),DO160-VLOOKUP($P160&amp;" | "&amp;DF$6,'Job Master'!$F$12:$I$102,4,0)-1),""),"")</f>
        <v/>
      </c>
      <c r="DI160" s="73"/>
      <c r="DJ160" s="123" t="str">
        <f t="shared" si="303"/>
        <v/>
      </c>
      <c r="DK160" s="123" t="str">
        <f t="shared" si="304"/>
        <v/>
      </c>
      <c r="DL160" s="97" t="str">
        <f t="shared" ca="1" si="305"/>
        <v/>
      </c>
      <c r="DM160" s="98" t="str">
        <f>IF(DO160&lt;&gt;"",VLOOKUP($P160&amp;" | "&amp;DM$6,'Job Master'!$F$12:$J$102,5,0),"")</f>
        <v/>
      </c>
      <c r="DN160" s="19" t="str">
        <f>IF(DO160&lt;&gt;"",VLOOKUP($P160&amp;" | "&amp;DM$6,'Job Master'!$F$12:$J$102,3,0),"")</f>
        <v/>
      </c>
      <c r="DO160" s="19" t="str">
        <f>IFERROR(IF(AND(DT160&lt;&gt;"",VLOOKUP($P160&amp;" | "&amp;DM$6,'Job Master'!$F$12:$I$102,4,0)&lt;&gt;""),IF(WEEKDAY(DT160-VLOOKUP($P160&amp;" | "&amp;DM$6,'Job Master'!$F$12:$I$102,4,0))&lt;&gt;7,DT160-VLOOKUP($P160&amp;" | "&amp;DM$6,'Job Master'!$F$12:$I$102,4,0),DT160-VLOOKUP($P160&amp;" | "&amp;DM$6,'Job Master'!$F$12:$I$102,4,0)-1),""),"")</f>
        <v/>
      </c>
      <c r="DP160" s="73"/>
      <c r="DQ160" s="123" t="str">
        <f t="shared" si="306"/>
        <v/>
      </c>
      <c r="DR160" s="123" t="str">
        <f t="shared" si="307"/>
        <v/>
      </c>
      <c r="DS160" s="97" t="str">
        <f t="shared" ca="1" si="308"/>
        <v/>
      </c>
      <c r="DT160" s="70" t="str">
        <f t="shared" si="309"/>
        <v/>
      </c>
      <c r="DU160" s="90"/>
      <c r="DV160" s="123" t="str">
        <f t="shared" si="310"/>
        <v/>
      </c>
      <c r="DW160" s="123" t="str">
        <f t="shared" si="311"/>
        <v/>
      </c>
      <c r="DX160" s="132" t="str">
        <f t="shared" ref="DX160" ca="1" si="345">IF(DT160&lt;&gt;"",IF(WEEKNUM(DT160)=WEEKNUM(TODAY()),"This Week",IF(WEEKNUM(DT160)=WEEKNUM(TODAY())+1,"Next Week",IF(WEEKNUM(DT160)=WEEKNUM(TODAY())-1,"Previous Week",""))),"")</f>
        <v/>
      </c>
      <c r="DY160" s="134" t="str">
        <f t="shared" si="313"/>
        <v/>
      </c>
      <c r="DZ160" s="95"/>
      <c r="EB160" s="8" t="str">
        <f t="shared" si="319"/>
        <v/>
      </c>
      <c r="EC160" s="8" t="str">
        <f>IF(O160&lt;&gt;"",VLOOKUP(O160,'Job Master'!$N$12:$O$18,2,0),"")</f>
        <v/>
      </c>
      <c r="ED160" s="8">
        <f t="shared" si="320"/>
        <v>19.5</v>
      </c>
      <c r="EE160" s="8">
        <f t="shared" si="321"/>
        <v>6</v>
      </c>
      <c r="EF160" s="8">
        <f t="shared" si="322"/>
        <v>-880.5</v>
      </c>
      <c r="EG160" s="8" t="str">
        <f t="shared" si="323"/>
        <v/>
      </c>
      <c r="EH160" s="8" t="str">
        <f t="shared" si="324"/>
        <v/>
      </c>
    </row>
    <row r="161" spans="2:138" x14ac:dyDescent="0.3">
      <c r="B161" s="112"/>
      <c r="C161" s="27"/>
      <c r="D161" s="7" t="str">
        <f t="shared" si="261"/>
        <v/>
      </c>
      <c r="E161" s="25"/>
      <c r="F161" s="7" t="str">
        <f t="shared" si="261"/>
        <v/>
      </c>
      <c r="G161" s="25"/>
      <c r="H161" s="7" t="str">
        <f t="shared" si="261"/>
        <v/>
      </c>
      <c r="I161" s="25"/>
      <c r="J161" s="7" t="str">
        <f t="shared" si="261"/>
        <v/>
      </c>
      <c r="K161" s="25"/>
      <c r="L161" s="7" t="str">
        <f t="shared" si="262"/>
        <v/>
      </c>
      <c r="M161" s="25"/>
      <c r="N161" s="7" t="str">
        <f t="shared" si="263"/>
        <v/>
      </c>
      <c r="O161" s="81"/>
      <c r="P161" s="81" t="str">
        <f t="shared" si="264"/>
        <v/>
      </c>
      <c r="Q161" s="81"/>
      <c r="R161" s="7" t="str">
        <f t="shared" si="265"/>
        <v/>
      </c>
      <c r="S161" s="25"/>
      <c r="T161" s="7" t="str">
        <f t="shared" si="266"/>
        <v/>
      </c>
      <c r="U161" s="25"/>
      <c r="V161" s="7" t="str">
        <f t="shared" si="267"/>
        <v/>
      </c>
      <c r="W161" s="25"/>
      <c r="X161" s="7" t="str">
        <f t="shared" si="268"/>
        <v/>
      </c>
      <c r="Y161" s="18" t="str">
        <f t="shared" si="269"/>
        <v/>
      </c>
      <c r="Z161" s="7" t="str">
        <f t="shared" si="270"/>
        <v/>
      </c>
      <c r="AA161" s="18" t="str">
        <f t="shared" si="271"/>
        <v/>
      </c>
      <c r="AB161" s="19" t="str">
        <f t="shared" si="272"/>
        <v/>
      </c>
      <c r="AC161" s="26"/>
      <c r="AD161" s="26"/>
      <c r="AE161" s="25"/>
      <c r="AF161" s="26"/>
      <c r="AG161" s="25"/>
      <c r="AH161" s="25"/>
      <c r="AI161" s="18" t="str">
        <f t="shared" si="335"/>
        <v/>
      </c>
      <c r="AJ161" s="25"/>
      <c r="AK161" s="18" t="str">
        <f t="shared" si="336"/>
        <v/>
      </c>
      <c r="AL161" s="79"/>
      <c r="AM161" s="126" t="str">
        <f t="shared" si="337"/>
        <v/>
      </c>
      <c r="AN161" s="128" t="str">
        <f>IF(AP161&lt;&gt;"",VLOOKUP($P161&amp;" | "&amp;AN$6,'Job Master'!$F$12:$J$102,5,0),"")</f>
        <v/>
      </c>
      <c r="AO161" s="19" t="str">
        <f>IF(AP161&lt;&gt;"",VLOOKUP($P161&amp;" | "&amp;AN$6,'Job Master'!$F$12:$J$102,3,0),"")</f>
        <v/>
      </c>
      <c r="AP161" s="19" t="str">
        <f>IFERROR(IF(AND(AW161&lt;&gt;"",VLOOKUP($P161&amp;" | "&amp;AN$6,'Job Master'!$F$12:$I$102,4,0)&lt;&gt;""),IF(WEEKDAY(AW161-VLOOKUP($P161&amp;" | "&amp;AN$6,'Job Master'!$F$12:$I$102,4,0))&lt;&gt;7,AW161-VLOOKUP($P161&amp;" | "&amp;AN$6,'Job Master'!$F$12:$I$102,4,0),AW161-VLOOKUP($P161&amp;" | "&amp;AN$6,'Job Master'!$F$12:$I$102,4,0)-1),""),"")</f>
        <v/>
      </c>
      <c r="AQ161" s="73"/>
      <c r="AR161" s="123" t="str">
        <f t="shared" si="273"/>
        <v/>
      </c>
      <c r="AS161" s="123" t="str">
        <f t="shared" si="274"/>
        <v/>
      </c>
      <c r="AT161" s="97" t="str">
        <f t="shared" ca="1" si="275"/>
        <v/>
      </c>
      <c r="AU161" s="98" t="str">
        <f>IF(AW161&lt;&gt;"",VLOOKUP($P161&amp;" | "&amp;AU$6,'Job Master'!$F$12:$J$102,5,0),"")</f>
        <v/>
      </c>
      <c r="AV161" s="19" t="str">
        <f>IF(AW161&lt;&gt;"",VLOOKUP($P161&amp;" | "&amp;AU$6,'Job Master'!$F$12:$J$102,3,0),"")</f>
        <v/>
      </c>
      <c r="AW161" s="19" t="str">
        <f>IFERROR(IF(AND(BD161&lt;&gt;"",VLOOKUP($P161&amp;" | "&amp;AU$6,'Job Master'!$F$12:$I$102,4,0)&lt;&gt;""),IF(WEEKDAY(BD161-VLOOKUP($P161&amp;" | "&amp;AU$6,'Job Master'!$F$12:$I$102,4,0))&lt;&gt;7,BD161-VLOOKUP($P161&amp;" | "&amp;AU$6,'Job Master'!$F$12:$I$102,4,0),BD161-VLOOKUP($P161&amp;" | "&amp;AU$6,'Job Master'!$F$12:$I$102,4,0)-1),""),"")</f>
        <v/>
      </c>
      <c r="AX161" s="73"/>
      <c r="AY161" s="123" t="str">
        <f t="shared" si="276"/>
        <v/>
      </c>
      <c r="AZ161" s="123" t="str">
        <f t="shared" si="277"/>
        <v/>
      </c>
      <c r="BA161" s="97" t="str">
        <f t="shared" ca="1" si="278"/>
        <v/>
      </c>
      <c r="BB161" s="98" t="str">
        <f>IF(BD161&lt;&gt;"",VLOOKUP($P161&amp;" | "&amp;BB$6,'Job Master'!$F$12:$J$102,5,0),"")</f>
        <v/>
      </c>
      <c r="BC161" s="19" t="str">
        <f>IF(BD161&lt;&gt;"",VLOOKUP($P161&amp;" | "&amp;BB$6,'Job Master'!$F$12:$J$102,3,0),"")</f>
        <v/>
      </c>
      <c r="BD161" s="19" t="str">
        <f>IFERROR(IF(AND(BK161&lt;&gt;"",VLOOKUP($P161&amp;" | "&amp;BB$6,'Job Master'!$F$12:$I$102,4,0)&lt;&gt;""),IF(WEEKDAY(BK161-VLOOKUP($P161&amp;" | "&amp;BB$6,'Job Master'!$F$12:$I$102,4,0))&lt;&gt;7,BK161-VLOOKUP($P161&amp;" | "&amp;BB$6,'Job Master'!$F$12:$I$102,4,0),BK161-VLOOKUP($P161&amp;" | "&amp;BB$6,'Job Master'!$F$12:$I$102,4,0)-1),""),"")</f>
        <v/>
      </c>
      <c r="BE161" s="73"/>
      <c r="BF161" s="123" t="str">
        <f t="shared" si="279"/>
        <v/>
      </c>
      <c r="BG161" s="123" t="str">
        <f t="shared" si="280"/>
        <v/>
      </c>
      <c r="BH161" s="97" t="str">
        <f t="shared" ca="1" si="281"/>
        <v/>
      </c>
      <c r="BI161" s="98" t="str">
        <f>IF(BK161&lt;&gt;"",VLOOKUP($P161&amp;" | "&amp;BI$6,'Job Master'!$F$12:$J$102,5,0),"")</f>
        <v/>
      </c>
      <c r="BJ161" s="19" t="str">
        <f>IF(BK161&lt;&gt;"",VLOOKUP($P161&amp;" | "&amp;BI$6,'Job Master'!$F$12:$J$102,3,0),"")</f>
        <v/>
      </c>
      <c r="BK161" s="19" t="str">
        <f>IFERROR(IF(AND(BR161&lt;&gt;"",VLOOKUP($P161&amp;" | "&amp;BI$6,'Job Master'!$F$12:$I$102,4,0)&lt;&gt;""),IF(WEEKDAY(BR161-VLOOKUP($P161&amp;" | "&amp;BI$6,'Job Master'!$F$12:$I$102,4,0))&lt;&gt;7,BR161-VLOOKUP($P161&amp;" | "&amp;BI$6,'Job Master'!$F$12:$I$102,4,0),BR161-VLOOKUP($P161&amp;" | "&amp;BI$6,'Job Master'!$F$12:$I$102,4,0)-1),""),"")</f>
        <v/>
      </c>
      <c r="BL161" s="73"/>
      <c r="BM161" s="123" t="str">
        <f t="shared" si="282"/>
        <v/>
      </c>
      <c r="BN161" s="123" t="str">
        <f t="shared" si="283"/>
        <v/>
      </c>
      <c r="BO161" s="97" t="str">
        <f t="shared" ca="1" si="284"/>
        <v/>
      </c>
      <c r="BP161" s="98" t="str">
        <f>IF(BR161&lt;&gt;"",VLOOKUP($P161&amp;" | "&amp;BP$6,'Job Master'!$F$12:$J$102,5,0),"")</f>
        <v/>
      </c>
      <c r="BQ161" s="19" t="str">
        <f>IF(BR161&lt;&gt;"",VLOOKUP($P161&amp;" | "&amp;BP$6,'Job Master'!$F$12:$J$102,3,0),"")</f>
        <v/>
      </c>
      <c r="BR161" s="19" t="str">
        <f>IFERROR(IF(AND(BY161&lt;&gt;"",VLOOKUP($P161&amp;" | "&amp;BP$6,'Job Master'!$F$12:$I$102,4,0)&lt;&gt;""),IF(WEEKDAY(BY161-VLOOKUP($P161&amp;" | "&amp;BP$6,'Job Master'!$F$12:$I$102,4,0))&lt;&gt;7,BY161-VLOOKUP($P161&amp;" | "&amp;BP$6,'Job Master'!$F$12:$I$102,4,0),BY161-VLOOKUP($P161&amp;" | "&amp;BP$6,'Job Master'!$F$12:$I$102,4,0)-1),""),"")</f>
        <v/>
      </c>
      <c r="BS161" s="73"/>
      <c r="BT161" s="123" t="str">
        <f t="shared" si="285"/>
        <v/>
      </c>
      <c r="BU161" s="123" t="str">
        <f t="shared" si="286"/>
        <v/>
      </c>
      <c r="BV161" s="97" t="str">
        <f t="shared" ca="1" si="287"/>
        <v/>
      </c>
      <c r="BW161" s="98" t="str">
        <f>IF(BY161&lt;&gt;"",VLOOKUP($P161&amp;" | "&amp;BW$6,'Job Master'!$F$12:$J$102,5,0),"")</f>
        <v/>
      </c>
      <c r="BX161" s="19" t="str">
        <f>IF(BY161&lt;&gt;"",VLOOKUP($P161&amp;" | "&amp;BW$6,'Job Master'!$F$12:$J$102,3,0),"")</f>
        <v/>
      </c>
      <c r="BY161" s="19" t="str">
        <f>IFERROR(IF(AND(CF161&lt;&gt;"",VLOOKUP($P161&amp;" | "&amp;BW$6,'Job Master'!$F$12:$I$102,4,0)&lt;&gt;""),IF(WEEKDAY(CF161-VLOOKUP($P161&amp;" | "&amp;BW$6,'Job Master'!$F$12:$I$102,4,0))&lt;&gt;7,CF161-VLOOKUP($P161&amp;" | "&amp;BW$6,'Job Master'!$F$12:$I$102,4,0),CF161-VLOOKUP($P161&amp;" | "&amp;BW$6,'Job Master'!$F$12:$I$102,4,0)-1),""),"")</f>
        <v/>
      </c>
      <c r="BZ161" s="73"/>
      <c r="CA161" s="123" t="str">
        <f t="shared" si="288"/>
        <v/>
      </c>
      <c r="CB161" s="123" t="str">
        <f t="shared" si="289"/>
        <v/>
      </c>
      <c r="CC161" s="97" t="str">
        <f t="shared" ca="1" si="290"/>
        <v/>
      </c>
      <c r="CD161" s="98" t="str">
        <f>IF(CF161&lt;&gt;"",VLOOKUP($P161&amp;" | "&amp;CD$6,'Job Master'!$F$12:$J$102,5,0),"")</f>
        <v/>
      </c>
      <c r="CE161" s="19" t="str">
        <f>IF(CF161&lt;&gt;"",VLOOKUP($P161&amp;" | "&amp;CD$6,'Job Master'!$F$12:$J$102,3,0),"")</f>
        <v/>
      </c>
      <c r="CF161" s="19" t="str">
        <f>IFERROR(IF(AND(CM161&lt;&gt;"",VLOOKUP($P161&amp;" | "&amp;CD$6,'Job Master'!$F$12:$I$102,4,0)&lt;&gt;""),IF(WEEKDAY(CM161-VLOOKUP($P161&amp;" | "&amp;CD$6,'Job Master'!$F$12:$I$102,4,0))&lt;&gt;7,CM161-VLOOKUP($P161&amp;" | "&amp;CD$6,'Job Master'!$F$12:$I$102,4,0),CM161-VLOOKUP($P161&amp;" | "&amp;CD$6,'Job Master'!$F$12:$I$102,4,0)-1),""),"")</f>
        <v/>
      </c>
      <c r="CG161" s="73"/>
      <c r="CH161" s="123" t="str">
        <f t="shared" si="291"/>
        <v/>
      </c>
      <c r="CI161" s="123" t="str">
        <f t="shared" si="292"/>
        <v/>
      </c>
      <c r="CJ161" s="97" t="str">
        <f t="shared" ca="1" si="293"/>
        <v/>
      </c>
      <c r="CK161" s="98" t="str">
        <f>IF(CM161&lt;&gt;"",VLOOKUP($P161&amp;" | "&amp;CK$6,'Job Master'!$F$12:$J$102,5,0),"")</f>
        <v/>
      </c>
      <c r="CL161" s="19" t="str">
        <f>IF(CM161&lt;&gt;"",VLOOKUP($P161&amp;" | "&amp;CK$6,'Job Master'!$F$12:$J$102,3,0),"")</f>
        <v/>
      </c>
      <c r="CM161" s="19" t="str">
        <f>IFERROR(IF(AND(CT161&lt;&gt;"",VLOOKUP($P161&amp;" | "&amp;CK$6,'Job Master'!$F$12:$I$102,4,0)&lt;&gt;""),IF(WEEKDAY(CT161-VLOOKUP($P161&amp;" | "&amp;CK$6,'Job Master'!$F$12:$I$102,4,0))&lt;&gt;7,CT161-VLOOKUP($P161&amp;" | "&amp;CK$6,'Job Master'!$F$12:$I$102,4,0),CT161-VLOOKUP($P161&amp;" | "&amp;CK$6,'Job Master'!$F$12:$I$102,4,0)-1),""),"")</f>
        <v/>
      </c>
      <c r="CN161" s="73"/>
      <c r="CO161" s="123" t="str">
        <f t="shared" si="294"/>
        <v/>
      </c>
      <c r="CP161" s="123" t="str">
        <f t="shared" si="295"/>
        <v/>
      </c>
      <c r="CQ161" s="97" t="str">
        <f t="shared" ca="1" si="296"/>
        <v/>
      </c>
      <c r="CR161" s="98" t="str">
        <f>IF(CT161&lt;&gt;"",VLOOKUP($P161&amp;" | "&amp;CR$6,'Job Master'!$F$12:$J$102,5,0),"")</f>
        <v/>
      </c>
      <c r="CS161" s="19" t="str">
        <f>IF(CT161&lt;&gt;"",VLOOKUP($P161&amp;" | "&amp;CR$6,'Job Master'!$F$12:$J$102,3,0),"")</f>
        <v/>
      </c>
      <c r="CT161" s="19" t="str">
        <f>IFERROR(IF(AND(DA161&lt;&gt;"",VLOOKUP($P161&amp;" | "&amp;CR$6,'Job Master'!$F$12:$I$102,4,0)&lt;&gt;""),IF(WEEKDAY(DA161-VLOOKUP($P161&amp;" | "&amp;CR$6,'Job Master'!$F$12:$I$102,4,0))&lt;&gt;7,DA161-VLOOKUP($P161&amp;" | "&amp;CR$6,'Job Master'!$F$12:$I$102,4,0),DA161-VLOOKUP($P161&amp;" | "&amp;CR$6,'Job Master'!$F$12:$I$102,4,0)-1),""),"")</f>
        <v/>
      </c>
      <c r="CU161" s="73"/>
      <c r="CV161" s="123" t="str">
        <f t="shared" si="297"/>
        <v/>
      </c>
      <c r="CW161" s="123" t="str">
        <f t="shared" si="298"/>
        <v/>
      </c>
      <c r="CX161" s="97" t="str">
        <f t="shared" ca="1" si="299"/>
        <v/>
      </c>
      <c r="CY161" s="98" t="str">
        <f>IF(DA161&lt;&gt;"",VLOOKUP($P161&amp;" | "&amp;CY$6,'Job Master'!$F$12:$J$102,5,0),"")</f>
        <v/>
      </c>
      <c r="CZ161" s="19" t="str">
        <f>IF(DA161&lt;&gt;"",VLOOKUP($P161&amp;" | "&amp;CY$6,'Job Master'!$F$12:$J$102,3,0),"")</f>
        <v/>
      </c>
      <c r="DA161" s="19" t="str">
        <f>IFERROR(IF(AND(DH161&lt;&gt;"",VLOOKUP($P161&amp;" | "&amp;CY$6,'Job Master'!$F$12:$I$102,4,0)&lt;&gt;""),IF(WEEKDAY(DH161-VLOOKUP($P161&amp;" | "&amp;CY$6,'Job Master'!$F$12:$I$102,4,0))&lt;&gt;7,DH161-VLOOKUP($P161&amp;" | "&amp;CY$6,'Job Master'!$F$12:$I$102,4,0),DH161-VLOOKUP($P161&amp;" | "&amp;CY$6,'Job Master'!$F$12:$I$102,4,0)-1),""),"")</f>
        <v/>
      </c>
      <c r="DB161" s="73"/>
      <c r="DC161" s="123" t="str">
        <f t="shared" si="300"/>
        <v/>
      </c>
      <c r="DD161" s="123" t="str">
        <f t="shared" si="301"/>
        <v/>
      </c>
      <c r="DE161" s="97" t="str">
        <f t="shared" ca="1" si="302"/>
        <v/>
      </c>
      <c r="DF161" s="98" t="str">
        <f>IF(DH161&lt;&gt;"",VLOOKUP($P161&amp;" | "&amp;DF$6,'Job Master'!$F$12:$J$102,5,0),"")</f>
        <v/>
      </c>
      <c r="DG161" s="19" t="str">
        <f>IF(DH161&lt;&gt;"",VLOOKUP($P161&amp;" | "&amp;DF$6,'Job Master'!$F$12:$J$102,3,0),"")</f>
        <v/>
      </c>
      <c r="DH161" s="19" t="str">
        <f>IFERROR(IF(AND(DO161&lt;&gt;"",VLOOKUP($P161&amp;" | "&amp;DF$6,'Job Master'!$F$12:$I$102,4,0)&lt;&gt;""),IF(WEEKDAY(DO161-VLOOKUP($P161&amp;" | "&amp;DF$6,'Job Master'!$F$12:$I$102,4,0))&lt;&gt;7,DO161-VLOOKUP($P161&amp;" | "&amp;DF$6,'Job Master'!$F$12:$I$102,4,0),DO161-VLOOKUP($P161&amp;" | "&amp;DF$6,'Job Master'!$F$12:$I$102,4,0)-1),""),"")</f>
        <v/>
      </c>
      <c r="DI161" s="73"/>
      <c r="DJ161" s="123" t="str">
        <f t="shared" si="303"/>
        <v/>
      </c>
      <c r="DK161" s="123" t="str">
        <f t="shared" si="304"/>
        <v/>
      </c>
      <c r="DL161" s="97" t="str">
        <f t="shared" ca="1" si="305"/>
        <v/>
      </c>
      <c r="DM161" s="98" t="str">
        <f>IF(DO161&lt;&gt;"",VLOOKUP($P161&amp;" | "&amp;DM$6,'Job Master'!$F$12:$J$102,5,0),"")</f>
        <v/>
      </c>
      <c r="DN161" s="19" t="str">
        <f>IF(DO161&lt;&gt;"",VLOOKUP($P161&amp;" | "&amp;DM$6,'Job Master'!$F$12:$J$102,3,0),"")</f>
        <v/>
      </c>
      <c r="DO161" s="19" t="str">
        <f>IFERROR(IF(AND(DT161&lt;&gt;"",VLOOKUP($P161&amp;" | "&amp;DM$6,'Job Master'!$F$12:$I$102,4,0)&lt;&gt;""),IF(WEEKDAY(DT161-VLOOKUP($P161&amp;" | "&amp;DM$6,'Job Master'!$F$12:$I$102,4,0))&lt;&gt;7,DT161-VLOOKUP($P161&amp;" | "&amp;DM$6,'Job Master'!$F$12:$I$102,4,0),DT161-VLOOKUP($P161&amp;" | "&amp;DM$6,'Job Master'!$F$12:$I$102,4,0)-1),""),"")</f>
        <v/>
      </c>
      <c r="DP161" s="73"/>
      <c r="DQ161" s="123" t="str">
        <f t="shared" si="306"/>
        <v/>
      </c>
      <c r="DR161" s="123" t="str">
        <f t="shared" si="307"/>
        <v/>
      </c>
      <c r="DS161" s="97" t="str">
        <f t="shared" ca="1" si="308"/>
        <v/>
      </c>
      <c r="DT161" s="70" t="str">
        <f t="shared" si="309"/>
        <v/>
      </c>
      <c r="DU161" s="90"/>
      <c r="DV161" s="123" t="str">
        <f t="shared" si="310"/>
        <v/>
      </c>
      <c r="DW161" s="123" t="str">
        <f t="shared" si="311"/>
        <v/>
      </c>
      <c r="DX161" s="132" t="str">
        <f t="shared" ref="DX161" ca="1" si="346">IF(DT161&lt;&gt;"",IF(WEEKNUM(DT161)=WEEKNUM(TODAY()),"This Week",IF(WEEKNUM(DT161)=WEEKNUM(TODAY())+1,"Next Week",IF(WEEKNUM(DT161)=WEEKNUM(TODAY())-1,"Previous Week",""))),"")</f>
        <v/>
      </c>
      <c r="DY161" s="134" t="str">
        <f t="shared" si="313"/>
        <v/>
      </c>
      <c r="DZ161" s="95"/>
      <c r="EB161" s="8" t="str">
        <f t="shared" si="319"/>
        <v/>
      </c>
      <c r="EC161" s="8" t="str">
        <f>IF(O161&lt;&gt;"",VLOOKUP(O161,'Job Master'!$N$12:$O$18,2,0),"")</f>
        <v/>
      </c>
      <c r="ED161" s="8">
        <f t="shared" si="320"/>
        <v>19.5</v>
      </c>
      <c r="EE161" s="8">
        <f t="shared" si="321"/>
        <v>6</v>
      </c>
      <c r="EF161" s="8">
        <f t="shared" si="322"/>
        <v>-886.5</v>
      </c>
      <c r="EG161" s="8" t="str">
        <f t="shared" si="323"/>
        <v/>
      </c>
      <c r="EH161" s="8" t="str">
        <f t="shared" si="324"/>
        <v/>
      </c>
    </row>
    <row r="162" spans="2:138" x14ac:dyDescent="0.3">
      <c r="B162" s="112"/>
      <c r="C162" s="27"/>
      <c r="D162" s="7" t="str">
        <f t="shared" si="261"/>
        <v/>
      </c>
      <c r="E162" s="25"/>
      <c r="F162" s="7" t="str">
        <f t="shared" si="261"/>
        <v/>
      </c>
      <c r="G162" s="25"/>
      <c r="H162" s="7" t="str">
        <f t="shared" si="261"/>
        <v/>
      </c>
      <c r="I162" s="25"/>
      <c r="J162" s="7" t="str">
        <f t="shared" si="261"/>
        <v/>
      </c>
      <c r="K162" s="25"/>
      <c r="L162" s="7" t="str">
        <f t="shared" si="262"/>
        <v/>
      </c>
      <c r="M162" s="25"/>
      <c r="N162" s="7" t="str">
        <f t="shared" si="263"/>
        <v/>
      </c>
      <c r="O162" s="81"/>
      <c r="P162" s="81" t="str">
        <f t="shared" si="264"/>
        <v/>
      </c>
      <c r="Q162" s="81"/>
      <c r="R162" s="7" t="str">
        <f t="shared" si="265"/>
        <v/>
      </c>
      <c r="S162" s="25"/>
      <c r="T162" s="7" t="str">
        <f t="shared" si="266"/>
        <v/>
      </c>
      <c r="U162" s="25"/>
      <c r="V162" s="7" t="str">
        <f t="shared" si="267"/>
        <v/>
      </c>
      <c r="W162" s="25"/>
      <c r="X162" s="7" t="str">
        <f t="shared" si="268"/>
        <v/>
      </c>
      <c r="Y162" s="18" t="str">
        <f t="shared" si="269"/>
        <v/>
      </c>
      <c r="Z162" s="7" t="str">
        <f t="shared" si="270"/>
        <v/>
      </c>
      <c r="AA162" s="18" t="str">
        <f t="shared" si="271"/>
        <v/>
      </c>
      <c r="AB162" s="19" t="str">
        <f t="shared" si="272"/>
        <v/>
      </c>
      <c r="AC162" s="26"/>
      <c r="AD162" s="26"/>
      <c r="AE162" s="25"/>
      <c r="AF162" s="26"/>
      <c r="AG162" s="25"/>
      <c r="AH162" s="25"/>
      <c r="AI162" s="18" t="str">
        <f t="shared" si="335"/>
        <v/>
      </c>
      <c r="AJ162" s="25"/>
      <c r="AK162" s="18" t="str">
        <f t="shared" si="336"/>
        <v/>
      </c>
      <c r="AL162" s="79"/>
      <c r="AM162" s="126" t="str">
        <f t="shared" si="337"/>
        <v/>
      </c>
      <c r="AN162" s="128" t="str">
        <f>IF(AP162&lt;&gt;"",VLOOKUP($P162&amp;" | "&amp;AN$6,'Job Master'!$F$12:$J$102,5,0),"")</f>
        <v/>
      </c>
      <c r="AO162" s="19" t="str">
        <f>IF(AP162&lt;&gt;"",VLOOKUP($P162&amp;" | "&amp;AN$6,'Job Master'!$F$12:$J$102,3,0),"")</f>
        <v/>
      </c>
      <c r="AP162" s="19" t="str">
        <f>IFERROR(IF(AND(AW162&lt;&gt;"",VLOOKUP($P162&amp;" | "&amp;AN$6,'Job Master'!$F$12:$I$102,4,0)&lt;&gt;""),IF(WEEKDAY(AW162-VLOOKUP($P162&amp;" | "&amp;AN$6,'Job Master'!$F$12:$I$102,4,0))&lt;&gt;7,AW162-VLOOKUP($P162&amp;" | "&amp;AN$6,'Job Master'!$F$12:$I$102,4,0),AW162-VLOOKUP($P162&amp;" | "&amp;AN$6,'Job Master'!$F$12:$I$102,4,0)-1),""),"")</f>
        <v/>
      </c>
      <c r="AQ162" s="73"/>
      <c r="AR162" s="123" t="str">
        <f t="shared" si="273"/>
        <v/>
      </c>
      <c r="AS162" s="123" t="str">
        <f t="shared" si="274"/>
        <v/>
      </c>
      <c r="AT162" s="97" t="str">
        <f t="shared" ca="1" si="275"/>
        <v/>
      </c>
      <c r="AU162" s="98" t="str">
        <f>IF(AW162&lt;&gt;"",VLOOKUP($P162&amp;" | "&amp;AU$6,'Job Master'!$F$12:$J$102,5,0),"")</f>
        <v/>
      </c>
      <c r="AV162" s="19" t="str">
        <f>IF(AW162&lt;&gt;"",VLOOKUP($P162&amp;" | "&amp;AU$6,'Job Master'!$F$12:$J$102,3,0),"")</f>
        <v/>
      </c>
      <c r="AW162" s="19" t="str">
        <f>IFERROR(IF(AND(BD162&lt;&gt;"",VLOOKUP($P162&amp;" | "&amp;AU$6,'Job Master'!$F$12:$I$102,4,0)&lt;&gt;""),IF(WEEKDAY(BD162-VLOOKUP($P162&amp;" | "&amp;AU$6,'Job Master'!$F$12:$I$102,4,0))&lt;&gt;7,BD162-VLOOKUP($P162&amp;" | "&amp;AU$6,'Job Master'!$F$12:$I$102,4,0),BD162-VLOOKUP($P162&amp;" | "&amp;AU$6,'Job Master'!$F$12:$I$102,4,0)-1),""),"")</f>
        <v/>
      </c>
      <c r="AX162" s="73"/>
      <c r="AY162" s="123" t="str">
        <f t="shared" si="276"/>
        <v/>
      </c>
      <c r="AZ162" s="123" t="str">
        <f t="shared" si="277"/>
        <v/>
      </c>
      <c r="BA162" s="97" t="str">
        <f t="shared" ca="1" si="278"/>
        <v/>
      </c>
      <c r="BB162" s="98" t="str">
        <f>IF(BD162&lt;&gt;"",VLOOKUP($P162&amp;" | "&amp;BB$6,'Job Master'!$F$12:$J$102,5,0),"")</f>
        <v/>
      </c>
      <c r="BC162" s="19" t="str">
        <f>IF(BD162&lt;&gt;"",VLOOKUP($P162&amp;" | "&amp;BB$6,'Job Master'!$F$12:$J$102,3,0),"")</f>
        <v/>
      </c>
      <c r="BD162" s="19" t="str">
        <f>IFERROR(IF(AND(BK162&lt;&gt;"",VLOOKUP($P162&amp;" | "&amp;BB$6,'Job Master'!$F$12:$I$102,4,0)&lt;&gt;""),IF(WEEKDAY(BK162-VLOOKUP($P162&amp;" | "&amp;BB$6,'Job Master'!$F$12:$I$102,4,0))&lt;&gt;7,BK162-VLOOKUP($P162&amp;" | "&amp;BB$6,'Job Master'!$F$12:$I$102,4,0),BK162-VLOOKUP($P162&amp;" | "&amp;BB$6,'Job Master'!$F$12:$I$102,4,0)-1),""),"")</f>
        <v/>
      </c>
      <c r="BE162" s="73"/>
      <c r="BF162" s="123" t="str">
        <f t="shared" si="279"/>
        <v/>
      </c>
      <c r="BG162" s="123" t="str">
        <f t="shared" si="280"/>
        <v/>
      </c>
      <c r="BH162" s="97" t="str">
        <f t="shared" ca="1" si="281"/>
        <v/>
      </c>
      <c r="BI162" s="98" t="str">
        <f>IF(BK162&lt;&gt;"",VLOOKUP($P162&amp;" | "&amp;BI$6,'Job Master'!$F$12:$J$102,5,0),"")</f>
        <v/>
      </c>
      <c r="BJ162" s="19" t="str">
        <f>IF(BK162&lt;&gt;"",VLOOKUP($P162&amp;" | "&amp;BI$6,'Job Master'!$F$12:$J$102,3,0),"")</f>
        <v/>
      </c>
      <c r="BK162" s="19" t="str">
        <f>IFERROR(IF(AND(BR162&lt;&gt;"",VLOOKUP($P162&amp;" | "&amp;BI$6,'Job Master'!$F$12:$I$102,4,0)&lt;&gt;""),IF(WEEKDAY(BR162-VLOOKUP($P162&amp;" | "&amp;BI$6,'Job Master'!$F$12:$I$102,4,0))&lt;&gt;7,BR162-VLOOKUP($P162&amp;" | "&amp;BI$6,'Job Master'!$F$12:$I$102,4,0),BR162-VLOOKUP($P162&amp;" | "&amp;BI$6,'Job Master'!$F$12:$I$102,4,0)-1),""),"")</f>
        <v/>
      </c>
      <c r="BL162" s="73"/>
      <c r="BM162" s="123" t="str">
        <f t="shared" si="282"/>
        <v/>
      </c>
      <c r="BN162" s="123" t="str">
        <f t="shared" si="283"/>
        <v/>
      </c>
      <c r="BO162" s="97" t="str">
        <f t="shared" ca="1" si="284"/>
        <v/>
      </c>
      <c r="BP162" s="98" t="str">
        <f>IF(BR162&lt;&gt;"",VLOOKUP($P162&amp;" | "&amp;BP$6,'Job Master'!$F$12:$J$102,5,0),"")</f>
        <v/>
      </c>
      <c r="BQ162" s="19" t="str">
        <f>IF(BR162&lt;&gt;"",VLOOKUP($P162&amp;" | "&amp;BP$6,'Job Master'!$F$12:$J$102,3,0),"")</f>
        <v/>
      </c>
      <c r="BR162" s="19" t="str">
        <f>IFERROR(IF(AND(BY162&lt;&gt;"",VLOOKUP($P162&amp;" | "&amp;BP$6,'Job Master'!$F$12:$I$102,4,0)&lt;&gt;""),IF(WEEKDAY(BY162-VLOOKUP($P162&amp;" | "&amp;BP$6,'Job Master'!$F$12:$I$102,4,0))&lt;&gt;7,BY162-VLOOKUP($P162&amp;" | "&amp;BP$6,'Job Master'!$F$12:$I$102,4,0),BY162-VLOOKUP($P162&amp;" | "&amp;BP$6,'Job Master'!$F$12:$I$102,4,0)-1),""),"")</f>
        <v/>
      </c>
      <c r="BS162" s="73"/>
      <c r="BT162" s="123" t="str">
        <f t="shared" si="285"/>
        <v/>
      </c>
      <c r="BU162" s="123" t="str">
        <f t="shared" si="286"/>
        <v/>
      </c>
      <c r="BV162" s="97" t="str">
        <f t="shared" ca="1" si="287"/>
        <v/>
      </c>
      <c r="BW162" s="98" t="str">
        <f>IF(BY162&lt;&gt;"",VLOOKUP($P162&amp;" | "&amp;BW$6,'Job Master'!$F$12:$J$102,5,0),"")</f>
        <v/>
      </c>
      <c r="BX162" s="19" t="str">
        <f>IF(BY162&lt;&gt;"",VLOOKUP($P162&amp;" | "&amp;BW$6,'Job Master'!$F$12:$J$102,3,0),"")</f>
        <v/>
      </c>
      <c r="BY162" s="19" t="str">
        <f>IFERROR(IF(AND(CF162&lt;&gt;"",VLOOKUP($P162&amp;" | "&amp;BW$6,'Job Master'!$F$12:$I$102,4,0)&lt;&gt;""),IF(WEEKDAY(CF162-VLOOKUP($P162&amp;" | "&amp;BW$6,'Job Master'!$F$12:$I$102,4,0))&lt;&gt;7,CF162-VLOOKUP($P162&amp;" | "&amp;BW$6,'Job Master'!$F$12:$I$102,4,0),CF162-VLOOKUP($P162&amp;" | "&amp;BW$6,'Job Master'!$F$12:$I$102,4,0)-1),""),"")</f>
        <v/>
      </c>
      <c r="BZ162" s="73"/>
      <c r="CA162" s="123" t="str">
        <f t="shared" si="288"/>
        <v/>
      </c>
      <c r="CB162" s="123" t="str">
        <f t="shared" si="289"/>
        <v/>
      </c>
      <c r="CC162" s="97" t="str">
        <f t="shared" ca="1" si="290"/>
        <v/>
      </c>
      <c r="CD162" s="98" t="str">
        <f>IF(CF162&lt;&gt;"",VLOOKUP($P162&amp;" | "&amp;CD$6,'Job Master'!$F$12:$J$102,5,0),"")</f>
        <v/>
      </c>
      <c r="CE162" s="19" t="str">
        <f>IF(CF162&lt;&gt;"",VLOOKUP($P162&amp;" | "&amp;CD$6,'Job Master'!$F$12:$J$102,3,0),"")</f>
        <v/>
      </c>
      <c r="CF162" s="19" t="str">
        <f>IFERROR(IF(AND(CM162&lt;&gt;"",VLOOKUP($P162&amp;" | "&amp;CD$6,'Job Master'!$F$12:$I$102,4,0)&lt;&gt;""),IF(WEEKDAY(CM162-VLOOKUP($P162&amp;" | "&amp;CD$6,'Job Master'!$F$12:$I$102,4,0))&lt;&gt;7,CM162-VLOOKUP($P162&amp;" | "&amp;CD$6,'Job Master'!$F$12:$I$102,4,0),CM162-VLOOKUP($P162&amp;" | "&amp;CD$6,'Job Master'!$F$12:$I$102,4,0)-1),""),"")</f>
        <v/>
      </c>
      <c r="CG162" s="73"/>
      <c r="CH162" s="123" t="str">
        <f t="shared" si="291"/>
        <v/>
      </c>
      <c r="CI162" s="123" t="str">
        <f t="shared" si="292"/>
        <v/>
      </c>
      <c r="CJ162" s="97" t="str">
        <f t="shared" ca="1" si="293"/>
        <v/>
      </c>
      <c r="CK162" s="98" t="str">
        <f>IF(CM162&lt;&gt;"",VLOOKUP($P162&amp;" | "&amp;CK$6,'Job Master'!$F$12:$J$102,5,0),"")</f>
        <v/>
      </c>
      <c r="CL162" s="19" t="str">
        <f>IF(CM162&lt;&gt;"",VLOOKUP($P162&amp;" | "&amp;CK$6,'Job Master'!$F$12:$J$102,3,0),"")</f>
        <v/>
      </c>
      <c r="CM162" s="19" t="str">
        <f>IFERROR(IF(AND(CT162&lt;&gt;"",VLOOKUP($P162&amp;" | "&amp;CK$6,'Job Master'!$F$12:$I$102,4,0)&lt;&gt;""),IF(WEEKDAY(CT162-VLOOKUP($P162&amp;" | "&amp;CK$6,'Job Master'!$F$12:$I$102,4,0))&lt;&gt;7,CT162-VLOOKUP($P162&amp;" | "&amp;CK$6,'Job Master'!$F$12:$I$102,4,0),CT162-VLOOKUP($P162&amp;" | "&amp;CK$6,'Job Master'!$F$12:$I$102,4,0)-1),""),"")</f>
        <v/>
      </c>
      <c r="CN162" s="73"/>
      <c r="CO162" s="123" t="str">
        <f t="shared" si="294"/>
        <v/>
      </c>
      <c r="CP162" s="123" t="str">
        <f t="shared" si="295"/>
        <v/>
      </c>
      <c r="CQ162" s="97" t="str">
        <f t="shared" ca="1" si="296"/>
        <v/>
      </c>
      <c r="CR162" s="98" t="str">
        <f>IF(CT162&lt;&gt;"",VLOOKUP($P162&amp;" | "&amp;CR$6,'Job Master'!$F$12:$J$102,5,0),"")</f>
        <v/>
      </c>
      <c r="CS162" s="19" t="str">
        <f>IF(CT162&lt;&gt;"",VLOOKUP($P162&amp;" | "&amp;CR$6,'Job Master'!$F$12:$J$102,3,0),"")</f>
        <v/>
      </c>
      <c r="CT162" s="19" t="str">
        <f>IFERROR(IF(AND(DA162&lt;&gt;"",VLOOKUP($P162&amp;" | "&amp;CR$6,'Job Master'!$F$12:$I$102,4,0)&lt;&gt;""),IF(WEEKDAY(DA162-VLOOKUP($P162&amp;" | "&amp;CR$6,'Job Master'!$F$12:$I$102,4,0))&lt;&gt;7,DA162-VLOOKUP($P162&amp;" | "&amp;CR$6,'Job Master'!$F$12:$I$102,4,0),DA162-VLOOKUP($P162&amp;" | "&amp;CR$6,'Job Master'!$F$12:$I$102,4,0)-1),""),"")</f>
        <v/>
      </c>
      <c r="CU162" s="73"/>
      <c r="CV162" s="123" t="str">
        <f t="shared" si="297"/>
        <v/>
      </c>
      <c r="CW162" s="123" t="str">
        <f t="shared" si="298"/>
        <v/>
      </c>
      <c r="CX162" s="97" t="str">
        <f t="shared" ca="1" si="299"/>
        <v/>
      </c>
      <c r="CY162" s="98" t="str">
        <f>IF(DA162&lt;&gt;"",VLOOKUP($P162&amp;" | "&amp;CY$6,'Job Master'!$F$12:$J$102,5,0),"")</f>
        <v/>
      </c>
      <c r="CZ162" s="19" t="str">
        <f>IF(DA162&lt;&gt;"",VLOOKUP($P162&amp;" | "&amp;CY$6,'Job Master'!$F$12:$J$102,3,0),"")</f>
        <v/>
      </c>
      <c r="DA162" s="19" t="str">
        <f>IFERROR(IF(AND(DH162&lt;&gt;"",VLOOKUP($P162&amp;" | "&amp;CY$6,'Job Master'!$F$12:$I$102,4,0)&lt;&gt;""),IF(WEEKDAY(DH162-VLOOKUP($P162&amp;" | "&amp;CY$6,'Job Master'!$F$12:$I$102,4,0))&lt;&gt;7,DH162-VLOOKUP($P162&amp;" | "&amp;CY$6,'Job Master'!$F$12:$I$102,4,0),DH162-VLOOKUP($P162&amp;" | "&amp;CY$6,'Job Master'!$F$12:$I$102,4,0)-1),""),"")</f>
        <v/>
      </c>
      <c r="DB162" s="73"/>
      <c r="DC162" s="123" t="str">
        <f t="shared" si="300"/>
        <v/>
      </c>
      <c r="DD162" s="123" t="str">
        <f t="shared" si="301"/>
        <v/>
      </c>
      <c r="DE162" s="97" t="str">
        <f t="shared" ca="1" si="302"/>
        <v/>
      </c>
      <c r="DF162" s="98" t="str">
        <f>IF(DH162&lt;&gt;"",VLOOKUP($P162&amp;" | "&amp;DF$6,'Job Master'!$F$12:$J$102,5,0),"")</f>
        <v/>
      </c>
      <c r="DG162" s="19" t="str">
        <f>IF(DH162&lt;&gt;"",VLOOKUP($P162&amp;" | "&amp;DF$6,'Job Master'!$F$12:$J$102,3,0),"")</f>
        <v/>
      </c>
      <c r="DH162" s="19" t="str">
        <f>IFERROR(IF(AND(DO162&lt;&gt;"",VLOOKUP($P162&amp;" | "&amp;DF$6,'Job Master'!$F$12:$I$102,4,0)&lt;&gt;""),IF(WEEKDAY(DO162-VLOOKUP($P162&amp;" | "&amp;DF$6,'Job Master'!$F$12:$I$102,4,0))&lt;&gt;7,DO162-VLOOKUP($P162&amp;" | "&amp;DF$6,'Job Master'!$F$12:$I$102,4,0),DO162-VLOOKUP($P162&amp;" | "&amp;DF$6,'Job Master'!$F$12:$I$102,4,0)-1),""),"")</f>
        <v/>
      </c>
      <c r="DI162" s="73"/>
      <c r="DJ162" s="123" t="str">
        <f t="shared" si="303"/>
        <v/>
      </c>
      <c r="DK162" s="123" t="str">
        <f t="shared" si="304"/>
        <v/>
      </c>
      <c r="DL162" s="97" t="str">
        <f t="shared" ca="1" si="305"/>
        <v/>
      </c>
      <c r="DM162" s="98" t="str">
        <f>IF(DO162&lt;&gt;"",VLOOKUP($P162&amp;" | "&amp;DM$6,'Job Master'!$F$12:$J$102,5,0),"")</f>
        <v/>
      </c>
      <c r="DN162" s="19" t="str">
        <f>IF(DO162&lt;&gt;"",VLOOKUP($P162&amp;" | "&amp;DM$6,'Job Master'!$F$12:$J$102,3,0),"")</f>
        <v/>
      </c>
      <c r="DO162" s="19" t="str">
        <f>IFERROR(IF(AND(DT162&lt;&gt;"",VLOOKUP($P162&amp;" | "&amp;DM$6,'Job Master'!$F$12:$I$102,4,0)&lt;&gt;""),IF(WEEKDAY(DT162-VLOOKUP($P162&amp;" | "&amp;DM$6,'Job Master'!$F$12:$I$102,4,0))&lt;&gt;7,DT162-VLOOKUP($P162&amp;" | "&amp;DM$6,'Job Master'!$F$12:$I$102,4,0),DT162-VLOOKUP($P162&amp;" | "&amp;DM$6,'Job Master'!$F$12:$I$102,4,0)-1),""),"")</f>
        <v/>
      </c>
      <c r="DP162" s="73"/>
      <c r="DQ162" s="123" t="str">
        <f t="shared" si="306"/>
        <v/>
      </c>
      <c r="DR162" s="123" t="str">
        <f t="shared" si="307"/>
        <v/>
      </c>
      <c r="DS162" s="97" t="str">
        <f t="shared" ca="1" si="308"/>
        <v/>
      </c>
      <c r="DT162" s="70" t="str">
        <f t="shared" si="309"/>
        <v/>
      </c>
      <c r="DU162" s="90"/>
      <c r="DV162" s="123" t="str">
        <f t="shared" si="310"/>
        <v/>
      </c>
      <c r="DW162" s="123" t="str">
        <f t="shared" si="311"/>
        <v/>
      </c>
      <c r="DX162" s="132" t="str">
        <f t="shared" ref="DX162" ca="1" si="347">IF(DT162&lt;&gt;"",IF(WEEKNUM(DT162)=WEEKNUM(TODAY()),"This Week",IF(WEEKNUM(DT162)=WEEKNUM(TODAY())+1,"Next Week",IF(WEEKNUM(DT162)=WEEKNUM(TODAY())-1,"Previous Week",""))),"")</f>
        <v/>
      </c>
      <c r="DY162" s="134" t="str">
        <f t="shared" si="313"/>
        <v/>
      </c>
      <c r="DZ162" s="95"/>
      <c r="EB162" s="8" t="str">
        <f t="shared" si="319"/>
        <v/>
      </c>
      <c r="EC162" s="8" t="str">
        <f>IF(O162&lt;&gt;"",VLOOKUP(O162,'Job Master'!$N$12:$O$18,2,0),"")</f>
        <v/>
      </c>
      <c r="ED162" s="8">
        <f t="shared" si="320"/>
        <v>19.5</v>
      </c>
      <c r="EE162" s="8">
        <f t="shared" si="321"/>
        <v>6</v>
      </c>
      <c r="EF162" s="8">
        <f t="shared" si="322"/>
        <v>-892.5</v>
      </c>
      <c r="EG162" s="8" t="str">
        <f t="shared" si="323"/>
        <v/>
      </c>
      <c r="EH162" s="8" t="str">
        <f t="shared" si="324"/>
        <v/>
      </c>
    </row>
    <row r="163" spans="2:138" x14ac:dyDescent="0.3">
      <c r="B163" s="112"/>
      <c r="C163" s="27"/>
      <c r="D163" s="7" t="str">
        <f t="shared" si="261"/>
        <v/>
      </c>
      <c r="E163" s="25"/>
      <c r="F163" s="7" t="str">
        <f t="shared" si="261"/>
        <v/>
      </c>
      <c r="G163" s="25"/>
      <c r="H163" s="7" t="str">
        <f t="shared" si="261"/>
        <v/>
      </c>
      <c r="I163" s="25"/>
      <c r="J163" s="7" t="str">
        <f t="shared" si="261"/>
        <v/>
      </c>
      <c r="K163" s="25"/>
      <c r="L163" s="7" t="str">
        <f t="shared" si="262"/>
        <v/>
      </c>
      <c r="M163" s="25"/>
      <c r="N163" s="7" t="str">
        <f t="shared" si="263"/>
        <v/>
      </c>
      <c r="O163" s="81"/>
      <c r="P163" s="81" t="str">
        <f t="shared" si="264"/>
        <v/>
      </c>
      <c r="Q163" s="81"/>
      <c r="R163" s="7" t="str">
        <f t="shared" si="265"/>
        <v/>
      </c>
      <c r="S163" s="25"/>
      <c r="T163" s="7" t="str">
        <f t="shared" si="266"/>
        <v/>
      </c>
      <c r="U163" s="25"/>
      <c r="V163" s="7" t="str">
        <f t="shared" si="267"/>
        <v/>
      </c>
      <c r="W163" s="25"/>
      <c r="X163" s="7" t="str">
        <f t="shared" si="268"/>
        <v/>
      </c>
      <c r="Y163" s="18" t="str">
        <f t="shared" si="269"/>
        <v/>
      </c>
      <c r="Z163" s="7" t="str">
        <f t="shared" si="270"/>
        <v/>
      </c>
      <c r="AA163" s="18" t="str">
        <f t="shared" si="271"/>
        <v/>
      </c>
      <c r="AB163" s="19" t="str">
        <f t="shared" si="272"/>
        <v/>
      </c>
      <c r="AC163" s="26"/>
      <c r="AD163" s="26"/>
      <c r="AE163" s="25"/>
      <c r="AF163" s="26"/>
      <c r="AG163" s="25"/>
      <c r="AH163" s="25"/>
      <c r="AI163" s="18" t="str">
        <f t="shared" si="335"/>
        <v/>
      </c>
      <c r="AJ163" s="25"/>
      <c r="AK163" s="18" t="str">
        <f t="shared" si="336"/>
        <v/>
      </c>
      <c r="AL163" s="79"/>
      <c r="AM163" s="126" t="str">
        <f t="shared" si="337"/>
        <v/>
      </c>
      <c r="AN163" s="128" t="str">
        <f>IF(AP163&lt;&gt;"",VLOOKUP($P163&amp;" | "&amp;AN$6,'Job Master'!$F$12:$J$102,5,0),"")</f>
        <v/>
      </c>
      <c r="AO163" s="19" t="str">
        <f>IF(AP163&lt;&gt;"",VLOOKUP($P163&amp;" | "&amp;AN$6,'Job Master'!$F$12:$J$102,3,0),"")</f>
        <v/>
      </c>
      <c r="AP163" s="19" t="str">
        <f>IFERROR(IF(AND(AW163&lt;&gt;"",VLOOKUP($P163&amp;" | "&amp;AN$6,'Job Master'!$F$12:$I$102,4,0)&lt;&gt;""),IF(WEEKDAY(AW163-VLOOKUP($P163&amp;" | "&amp;AN$6,'Job Master'!$F$12:$I$102,4,0))&lt;&gt;7,AW163-VLOOKUP($P163&amp;" | "&amp;AN$6,'Job Master'!$F$12:$I$102,4,0),AW163-VLOOKUP($P163&amp;" | "&amp;AN$6,'Job Master'!$F$12:$I$102,4,0)-1),""),"")</f>
        <v/>
      </c>
      <c r="AQ163" s="73"/>
      <c r="AR163" s="123" t="str">
        <f t="shared" si="273"/>
        <v/>
      </c>
      <c r="AS163" s="123" t="str">
        <f t="shared" si="274"/>
        <v/>
      </c>
      <c r="AT163" s="97" t="str">
        <f t="shared" ca="1" si="275"/>
        <v/>
      </c>
      <c r="AU163" s="98" t="str">
        <f>IF(AW163&lt;&gt;"",VLOOKUP($P163&amp;" | "&amp;AU$6,'Job Master'!$F$12:$J$102,5,0),"")</f>
        <v/>
      </c>
      <c r="AV163" s="19" t="str">
        <f>IF(AW163&lt;&gt;"",VLOOKUP($P163&amp;" | "&amp;AU$6,'Job Master'!$F$12:$J$102,3,0),"")</f>
        <v/>
      </c>
      <c r="AW163" s="19" t="str">
        <f>IFERROR(IF(AND(BD163&lt;&gt;"",VLOOKUP($P163&amp;" | "&amp;AU$6,'Job Master'!$F$12:$I$102,4,0)&lt;&gt;""),IF(WEEKDAY(BD163-VLOOKUP($P163&amp;" | "&amp;AU$6,'Job Master'!$F$12:$I$102,4,0))&lt;&gt;7,BD163-VLOOKUP($P163&amp;" | "&amp;AU$6,'Job Master'!$F$12:$I$102,4,0),BD163-VLOOKUP($P163&amp;" | "&amp;AU$6,'Job Master'!$F$12:$I$102,4,0)-1),""),"")</f>
        <v/>
      </c>
      <c r="AX163" s="73"/>
      <c r="AY163" s="123" t="str">
        <f t="shared" si="276"/>
        <v/>
      </c>
      <c r="AZ163" s="123" t="str">
        <f t="shared" si="277"/>
        <v/>
      </c>
      <c r="BA163" s="97" t="str">
        <f t="shared" ca="1" si="278"/>
        <v/>
      </c>
      <c r="BB163" s="98" t="str">
        <f>IF(BD163&lt;&gt;"",VLOOKUP($P163&amp;" | "&amp;BB$6,'Job Master'!$F$12:$J$102,5,0),"")</f>
        <v/>
      </c>
      <c r="BC163" s="19" t="str">
        <f>IF(BD163&lt;&gt;"",VLOOKUP($P163&amp;" | "&amp;BB$6,'Job Master'!$F$12:$J$102,3,0),"")</f>
        <v/>
      </c>
      <c r="BD163" s="19" t="str">
        <f>IFERROR(IF(AND(BK163&lt;&gt;"",VLOOKUP($P163&amp;" | "&amp;BB$6,'Job Master'!$F$12:$I$102,4,0)&lt;&gt;""),IF(WEEKDAY(BK163-VLOOKUP($P163&amp;" | "&amp;BB$6,'Job Master'!$F$12:$I$102,4,0))&lt;&gt;7,BK163-VLOOKUP($P163&amp;" | "&amp;BB$6,'Job Master'!$F$12:$I$102,4,0),BK163-VLOOKUP($P163&amp;" | "&amp;BB$6,'Job Master'!$F$12:$I$102,4,0)-1),""),"")</f>
        <v/>
      </c>
      <c r="BE163" s="73"/>
      <c r="BF163" s="123" t="str">
        <f t="shared" si="279"/>
        <v/>
      </c>
      <c r="BG163" s="123" t="str">
        <f t="shared" si="280"/>
        <v/>
      </c>
      <c r="BH163" s="97" t="str">
        <f t="shared" ca="1" si="281"/>
        <v/>
      </c>
      <c r="BI163" s="98" t="str">
        <f>IF(BK163&lt;&gt;"",VLOOKUP($P163&amp;" | "&amp;BI$6,'Job Master'!$F$12:$J$102,5,0),"")</f>
        <v/>
      </c>
      <c r="BJ163" s="19" t="str">
        <f>IF(BK163&lt;&gt;"",VLOOKUP($P163&amp;" | "&amp;BI$6,'Job Master'!$F$12:$J$102,3,0),"")</f>
        <v/>
      </c>
      <c r="BK163" s="19" t="str">
        <f>IFERROR(IF(AND(BR163&lt;&gt;"",VLOOKUP($P163&amp;" | "&amp;BI$6,'Job Master'!$F$12:$I$102,4,0)&lt;&gt;""),IF(WEEKDAY(BR163-VLOOKUP($P163&amp;" | "&amp;BI$6,'Job Master'!$F$12:$I$102,4,0))&lt;&gt;7,BR163-VLOOKUP($P163&amp;" | "&amp;BI$6,'Job Master'!$F$12:$I$102,4,0),BR163-VLOOKUP($P163&amp;" | "&amp;BI$6,'Job Master'!$F$12:$I$102,4,0)-1),""),"")</f>
        <v/>
      </c>
      <c r="BL163" s="73"/>
      <c r="BM163" s="123" t="str">
        <f t="shared" si="282"/>
        <v/>
      </c>
      <c r="BN163" s="123" t="str">
        <f t="shared" si="283"/>
        <v/>
      </c>
      <c r="BO163" s="97" t="str">
        <f t="shared" ca="1" si="284"/>
        <v/>
      </c>
      <c r="BP163" s="98" t="str">
        <f>IF(BR163&lt;&gt;"",VLOOKUP($P163&amp;" | "&amp;BP$6,'Job Master'!$F$12:$J$102,5,0),"")</f>
        <v/>
      </c>
      <c r="BQ163" s="19" t="str">
        <f>IF(BR163&lt;&gt;"",VLOOKUP($P163&amp;" | "&amp;BP$6,'Job Master'!$F$12:$J$102,3,0),"")</f>
        <v/>
      </c>
      <c r="BR163" s="19" t="str">
        <f>IFERROR(IF(AND(BY163&lt;&gt;"",VLOOKUP($P163&amp;" | "&amp;BP$6,'Job Master'!$F$12:$I$102,4,0)&lt;&gt;""),IF(WEEKDAY(BY163-VLOOKUP($P163&amp;" | "&amp;BP$6,'Job Master'!$F$12:$I$102,4,0))&lt;&gt;7,BY163-VLOOKUP($P163&amp;" | "&amp;BP$6,'Job Master'!$F$12:$I$102,4,0),BY163-VLOOKUP($P163&amp;" | "&amp;BP$6,'Job Master'!$F$12:$I$102,4,0)-1),""),"")</f>
        <v/>
      </c>
      <c r="BS163" s="73"/>
      <c r="BT163" s="123" t="str">
        <f t="shared" si="285"/>
        <v/>
      </c>
      <c r="BU163" s="123" t="str">
        <f t="shared" si="286"/>
        <v/>
      </c>
      <c r="BV163" s="97" t="str">
        <f t="shared" ca="1" si="287"/>
        <v/>
      </c>
      <c r="BW163" s="98" t="str">
        <f>IF(BY163&lt;&gt;"",VLOOKUP($P163&amp;" | "&amp;BW$6,'Job Master'!$F$12:$J$102,5,0),"")</f>
        <v/>
      </c>
      <c r="BX163" s="19" t="str">
        <f>IF(BY163&lt;&gt;"",VLOOKUP($P163&amp;" | "&amp;BW$6,'Job Master'!$F$12:$J$102,3,0),"")</f>
        <v/>
      </c>
      <c r="BY163" s="19" t="str">
        <f>IFERROR(IF(AND(CF163&lt;&gt;"",VLOOKUP($P163&amp;" | "&amp;BW$6,'Job Master'!$F$12:$I$102,4,0)&lt;&gt;""),IF(WEEKDAY(CF163-VLOOKUP($P163&amp;" | "&amp;BW$6,'Job Master'!$F$12:$I$102,4,0))&lt;&gt;7,CF163-VLOOKUP($P163&amp;" | "&amp;BW$6,'Job Master'!$F$12:$I$102,4,0),CF163-VLOOKUP($P163&amp;" | "&amp;BW$6,'Job Master'!$F$12:$I$102,4,0)-1),""),"")</f>
        <v/>
      </c>
      <c r="BZ163" s="73"/>
      <c r="CA163" s="123" t="str">
        <f t="shared" si="288"/>
        <v/>
      </c>
      <c r="CB163" s="123" t="str">
        <f t="shared" si="289"/>
        <v/>
      </c>
      <c r="CC163" s="97" t="str">
        <f t="shared" ca="1" si="290"/>
        <v/>
      </c>
      <c r="CD163" s="98" t="str">
        <f>IF(CF163&lt;&gt;"",VLOOKUP($P163&amp;" | "&amp;CD$6,'Job Master'!$F$12:$J$102,5,0),"")</f>
        <v/>
      </c>
      <c r="CE163" s="19" t="str">
        <f>IF(CF163&lt;&gt;"",VLOOKUP($P163&amp;" | "&amp;CD$6,'Job Master'!$F$12:$J$102,3,0),"")</f>
        <v/>
      </c>
      <c r="CF163" s="19" t="str">
        <f>IFERROR(IF(AND(CM163&lt;&gt;"",VLOOKUP($P163&amp;" | "&amp;CD$6,'Job Master'!$F$12:$I$102,4,0)&lt;&gt;""),IF(WEEKDAY(CM163-VLOOKUP($P163&amp;" | "&amp;CD$6,'Job Master'!$F$12:$I$102,4,0))&lt;&gt;7,CM163-VLOOKUP($P163&amp;" | "&amp;CD$6,'Job Master'!$F$12:$I$102,4,0),CM163-VLOOKUP($P163&amp;" | "&amp;CD$6,'Job Master'!$F$12:$I$102,4,0)-1),""),"")</f>
        <v/>
      </c>
      <c r="CG163" s="73"/>
      <c r="CH163" s="123" t="str">
        <f t="shared" si="291"/>
        <v/>
      </c>
      <c r="CI163" s="123" t="str">
        <f t="shared" si="292"/>
        <v/>
      </c>
      <c r="CJ163" s="97" t="str">
        <f t="shared" ca="1" si="293"/>
        <v/>
      </c>
      <c r="CK163" s="98" t="str">
        <f>IF(CM163&lt;&gt;"",VLOOKUP($P163&amp;" | "&amp;CK$6,'Job Master'!$F$12:$J$102,5,0),"")</f>
        <v/>
      </c>
      <c r="CL163" s="19" t="str">
        <f>IF(CM163&lt;&gt;"",VLOOKUP($P163&amp;" | "&amp;CK$6,'Job Master'!$F$12:$J$102,3,0),"")</f>
        <v/>
      </c>
      <c r="CM163" s="19" t="str">
        <f>IFERROR(IF(AND(CT163&lt;&gt;"",VLOOKUP($P163&amp;" | "&amp;CK$6,'Job Master'!$F$12:$I$102,4,0)&lt;&gt;""),IF(WEEKDAY(CT163-VLOOKUP($P163&amp;" | "&amp;CK$6,'Job Master'!$F$12:$I$102,4,0))&lt;&gt;7,CT163-VLOOKUP($P163&amp;" | "&amp;CK$6,'Job Master'!$F$12:$I$102,4,0),CT163-VLOOKUP($P163&amp;" | "&amp;CK$6,'Job Master'!$F$12:$I$102,4,0)-1),""),"")</f>
        <v/>
      </c>
      <c r="CN163" s="73"/>
      <c r="CO163" s="123" t="str">
        <f t="shared" si="294"/>
        <v/>
      </c>
      <c r="CP163" s="123" t="str">
        <f t="shared" si="295"/>
        <v/>
      </c>
      <c r="CQ163" s="97" t="str">
        <f t="shared" ca="1" si="296"/>
        <v/>
      </c>
      <c r="CR163" s="98" t="str">
        <f>IF(CT163&lt;&gt;"",VLOOKUP($P163&amp;" | "&amp;CR$6,'Job Master'!$F$12:$J$102,5,0),"")</f>
        <v/>
      </c>
      <c r="CS163" s="19" t="str">
        <f>IF(CT163&lt;&gt;"",VLOOKUP($P163&amp;" | "&amp;CR$6,'Job Master'!$F$12:$J$102,3,0),"")</f>
        <v/>
      </c>
      <c r="CT163" s="19" t="str">
        <f>IFERROR(IF(AND(DA163&lt;&gt;"",VLOOKUP($P163&amp;" | "&amp;CR$6,'Job Master'!$F$12:$I$102,4,0)&lt;&gt;""),IF(WEEKDAY(DA163-VLOOKUP($P163&amp;" | "&amp;CR$6,'Job Master'!$F$12:$I$102,4,0))&lt;&gt;7,DA163-VLOOKUP($P163&amp;" | "&amp;CR$6,'Job Master'!$F$12:$I$102,4,0),DA163-VLOOKUP($P163&amp;" | "&amp;CR$6,'Job Master'!$F$12:$I$102,4,0)-1),""),"")</f>
        <v/>
      </c>
      <c r="CU163" s="73"/>
      <c r="CV163" s="123" t="str">
        <f t="shared" si="297"/>
        <v/>
      </c>
      <c r="CW163" s="123" t="str">
        <f t="shared" si="298"/>
        <v/>
      </c>
      <c r="CX163" s="97" t="str">
        <f t="shared" ca="1" si="299"/>
        <v/>
      </c>
      <c r="CY163" s="98" t="str">
        <f>IF(DA163&lt;&gt;"",VLOOKUP($P163&amp;" | "&amp;CY$6,'Job Master'!$F$12:$J$102,5,0),"")</f>
        <v/>
      </c>
      <c r="CZ163" s="19" t="str">
        <f>IF(DA163&lt;&gt;"",VLOOKUP($P163&amp;" | "&amp;CY$6,'Job Master'!$F$12:$J$102,3,0),"")</f>
        <v/>
      </c>
      <c r="DA163" s="19" t="str">
        <f>IFERROR(IF(AND(DH163&lt;&gt;"",VLOOKUP($P163&amp;" | "&amp;CY$6,'Job Master'!$F$12:$I$102,4,0)&lt;&gt;""),IF(WEEKDAY(DH163-VLOOKUP($P163&amp;" | "&amp;CY$6,'Job Master'!$F$12:$I$102,4,0))&lt;&gt;7,DH163-VLOOKUP($P163&amp;" | "&amp;CY$6,'Job Master'!$F$12:$I$102,4,0),DH163-VLOOKUP($P163&amp;" | "&amp;CY$6,'Job Master'!$F$12:$I$102,4,0)-1),""),"")</f>
        <v/>
      </c>
      <c r="DB163" s="73"/>
      <c r="DC163" s="123" t="str">
        <f t="shared" si="300"/>
        <v/>
      </c>
      <c r="DD163" s="123" t="str">
        <f t="shared" si="301"/>
        <v/>
      </c>
      <c r="DE163" s="97" t="str">
        <f t="shared" ca="1" si="302"/>
        <v/>
      </c>
      <c r="DF163" s="98" t="str">
        <f>IF(DH163&lt;&gt;"",VLOOKUP($P163&amp;" | "&amp;DF$6,'Job Master'!$F$12:$J$102,5,0),"")</f>
        <v/>
      </c>
      <c r="DG163" s="19" t="str">
        <f>IF(DH163&lt;&gt;"",VLOOKUP($P163&amp;" | "&amp;DF$6,'Job Master'!$F$12:$J$102,3,0),"")</f>
        <v/>
      </c>
      <c r="DH163" s="19" t="str">
        <f>IFERROR(IF(AND(DO163&lt;&gt;"",VLOOKUP($P163&amp;" | "&amp;DF$6,'Job Master'!$F$12:$I$102,4,0)&lt;&gt;""),IF(WEEKDAY(DO163-VLOOKUP($P163&amp;" | "&amp;DF$6,'Job Master'!$F$12:$I$102,4,0))&lt;&gt;7,DO163-VLOOKUP($P163&amp;" | "&amp;DF$6,'Job Master'!$F$12:$I$102,4,0),DO163-VLOOKUP($P163&amp;" | "&amp;DF$6,'Job Master'!$F$12:$I$102,4,0)-1),""),"")</f>
        <v/>
      </c>
      <c r="DI163" s="73"/>
      <c r="DJ163" s="123" t="str">
        <f t="shared" si="303"/>
        <v/>
      </c>
      <c r="DK163" s="123" t="str">
        <f t="shared" si="304"/>
        <v/>
      </c>
      <c r="DL163" s="97" t="str">
        <f t="shared" ca="1" si="305"/>
        <v/>
      </c>
      <c r="DM163" s="98" t="str">
        <f>IF(DO163&lt;&gt;"",VLOOKUP($P163&amp;" | "&amp;DM$6,'Job Master'!$F$12:$J$102,5,0),"")</f>
        <v/>
      </c>
      <c r="DN163" s="19" t="str">
        <f>IF(DO163&lt;&gt;"",VLOOKUP($P163&amp;" | "&amp;DM$6,'Job Master'!$F$12:$J$102,3,0),"")</f>
        <v/>
      </c>
      <c r="DO163" s="19" t="str">
        <f>IFERROR(IF(AND(DT163&lt;&gt;"",VLOOKUP($P163&amp;" | "&amp;DM$6,'Job Master'!$F$12:$I$102,4,0)&lt;&gt;""),IF(WEEKDAY(DT163-VLOOKUP($P163&amp;" | "&amp;DM$6,'Job Master'!$F$12:$I$102,4,0))&lt;&gt;7,DT163-VLOOKUP($P163&amp;" | "&amp;DM$6,'Job Master'!$F$12:$I$102,4,0),DT163-VLOOKUP($P163&amp;" | "&amp;DM$6,'Job Master'!$F$12:$I$102,4,0)-1),""),"")</f>
        <v/>
      </c>
      <c r="DP163" s="73"/>
      <c r="DQ163" s="123" t="str">
        <f t="shared" si="306"/>
        <v/>
      </c>
      <c r="DR163" s="123" t="str">
        <f t="shared" si="307"/>
        <v/>
      </c>
      <c r="DS163" s="97" t="str">
        <f t="shared" ca="1" si="308"/>
        <v/>
      </c>
      <c r="DT163" s="70" t="str">
        <f t="shared" si="309"/>
        <v/>
      </c>
      <c r="DU163" s="90"/>
      <c r="DV163" s="123" t="str">
        <f t="shared" si="310"/>
        <v/>
      </c>
      <c r="DW163" s="123" t="str">
        <f t="shared" si="311"/>
        <v/>
      </c>
      <c r="DX163" s="132" t="str">
        <f t="shared" ref="DX163" ca="1" si="348">IF(DT163&lt;&gt;"",IF(WEEKNUM(DT163)=WEEKNUM(TODAY()),"This Week",IF(WEEKNUM(DT163)=WEEKNUM(TODAY())+1,"Next Week",IF(WEEKNUM(DT163)=WEEKNUM(TODAY())-1,"Previous Week",""))),"")</f>
        <v/>
      </c>
      <c r="DY163" s="134" t="str">
        <f t="shared" si="313"/>
        <v/>
      </c>
      <c r="DZ163" s="95"/>
      <c r="EB163" s="8" t="str">
        <f t="shared" si="319"/>
        <v/>
      </c>
      <c r="EC163" s="8" t="str">
        <f>IF(O163&lt;&gt;"",VLOOKUP(O163,'Job Master'!$N$12:$O$18,2,0),"")</f>
        <v/>
      </c>
      <c r="ED163" s="8">
        <f t="shared" si="320"/>
        <v>19.5</v>
      </c>
      <c r="EE163" s="8">
        <f t="shared" si="321"/>
        <v>6</v>
      </c>
      <c r="EF163" s="8">
        <f t="shared" si="322"/>
        <v>-898.5</v>
      </c>
      <c r="EG163" s="8" t="str">
        <f t="shared" si="323"/>
        <v/>
      </c>
      <c r="EH163" s="8" t="str">
        <f t="shared" si="324"/>
        <v/>
      </c>
    </row>
    <row r="164" spans="2:138" x14ac:dyDescent="0.3">
      <c r="B164" s="112"/>
      <c r="C164" s="27"/>
      <c r="D164" s="7" t="str">
        <f t="shared" si="261"/>
        <v/>
      </c>
      <c r="E164" s="25"/>
      <c r="F164" s="7" t="str">
        <f t="shared" si="261"/>
        <v/>
      </c>
      <c r="G164" s="25"/>
      <c r="H164" s="7" t="str">
        <f t="shared" si="261"/>
        <v/>
      </c>
      <c r="I164" s="25"/>
      <c r="J164" s="7" t="str">
        <f t="shared" si="261"/>
        <v/>
      </c>
      <c r="K164" s="25"/>
      <c r="L164" s="7" t="str">
        <f t="shared" si="262"/>
        <v/>
      </c>
      <c r="M164" s="25"/>
      <c r="N164" s="7" t="str">
        <f t="shared" si="263"/>
        <v/>
      </c>
      <c r="O164" s="81"/>
      <c r="P164" s="81" t="str">
        <f t="shared" si="264"/>
        <v/>
      </c>
      <c r="Q164" s="81"/>
      <c r="R164" s="7" t="str">
        <f t="shared" si="265"/>
        <v/>
      </c>
      <c r="S164" s="25"/>
      <c r="T164" s="7" t="str">
        <f t="shared" si="266"/>
        <v/>
      </c>
      <c r="U164" s="25"/>
      <c r="V164" s="7" t="str">
        <f t="shared" si="267"/>
        <v/>
      </c>
      <c r="W164" s="25"/>
      <c r="X164" s="7" t="str">
        <f t="shared" si="268"/>
        <v/>
      </c>
      <c r="Y164" s="18" t="str">
        <f t="shared" si="269"/>
        <v/>
      </c>
      <c r="Z164" s="7" t="str">
        <f t="shared" si="270"/>
        <v/>
      </c>
      <c r="AA164" s="18" t="str">
        <f t="shared" si="271"/>
        <v/>
      </c>
      <c r="AB164" s="19" t="str">
        <f t="shared" si="272"/>
        <v/>
      </c>
      <c r="AC164" s="26"/>
      <c r="AD164" s="26"/>
      <c r="AE164" s="25"/>
      <c r="AF164" s="26"/>
      <c r="AG164" s="25"/>
      <c r="AH164" s="25"/>
      <c r="AI164" s="18" t="str">
        <f t="shared" si="335"/>
        <v/>
      </c>
      <c r="AJ164" s="25"/>
      <c r="AK164" s="18" t="str">
        <f t="shared" si="336"/>
        <v/>
      </c>
      <c r="AL164" s="79"/>
      <c r="AM164" s="126" t="str">
        <f t="shared" si="337"/>
        <v/>
      </c>
      <c r="AN164" s="128" t="str">
        <f>IF(AP164&lt;&gt;"",VLOOKUP($P164&amp;" | "&amp;AN$6,'Job Master'!$F$12:$J$102,5,0),"")</f>
        <v/>
      </c>
      <c r="AO164" s="19" t="str">
        <f>IF(AP164&lt;&gt;"",VLOOKUP($P164&amp;" | "&amp;AN$6,'Job Master'!$F$12:$J$102,3,0),"")</f>
        <v/>
      </c>
      <c r="AP164" s="19" t="str">
        <f>IFERROR(IF(AND(AW164&lt;&gt;"",VLOOKUP($P164&amp;" | "&amp;AN$6,'Job Master'!$F$12:$I$102,4,0)&lt;&gt;""),IF(WEEKDAY(AW164-VLOOKUP($P164&amp;" | "&amp;AN$6,'Job Master'!$F$12:$I$102,4,0))&lt;&gt;7,AW164-VLOOKUP($P164&amp;" | "&amp;AN$6,'Job Master'!$F$12:$I$102,4,0),AW164-VLOOKUP($P164&amp;" | "&amp;AN$6,'Job Master'!$F$12:$I$102,4,0)-1),""),"")</f>
        <v/>
      </c>
      <c r="AQ164" s="73"/>
      <c r="AR164" s="123" t="str">
        <f t="shared" si="273"/>
        <v/>
      </c>
      <c r="AS164" s="123" t="str">
        <f t="shared" si="274"/>
        <v/>
      </c>
      <c r="AT164" s="97" t="str">
        <f t="shared" ca="1" si="275"/>
        <v/>
      </c>
      <c r="AU164" s="98" t="str">
        <f>IF(AW164&lt;&gt;"",VLOOKUP($P164&amp;" | "&amp;AU$6,'Job Master'!$F$12:$J$102,5,0),"")</f>
        <v/>
      </c>
      <c r="AV164" s="19" t="str">
        <f>IF(AW164&lt;&gt;"",VLOOKUP($P164&amp;" | "&amp;AU$6,'Job Master'!$F$12:$J$102,3,0),"")</f>
        <v/>
      </c>
      <c r="AW164" s="19" t="str">
        <f>IFERROR(IF(AND(BD164&lt;&gt;"",VLOOKUP($P164&amp;" | "&amp;AU$6,'Job Master'!$F$12:$I$102,4,0)&lt;&gt;""),IF(WEEKDAY(BD164-VLOOKUP($P164&amp;" | "&amp;AU$6,'Job Master'!$F$12:$I$102,4,0))&lt;&gt;7,BD164-VLOOKUP($P164&amp;" | "&amp;AU$6,'Job Master'!$F$12:$I$102,4,0),BD164-VLOOKUP($P164&amp;" | "&amp;AU$6,'Job Master'!$F$12:$I$102,4,0)-1),""),"")</f>
        <v/>
      </c>
      <c r="AX164" s="73"/>
      <c r="AY164" s="123" t="str">
        <f t="shared" si="276"/>
        <v/>
      </c>
      <c r="AZ164" s="123" t="str">
        <f t="shared" si="277"/>
        <v/>
      </c>
      <c r="BA164" s="97" t="str">
        <f t="shared" ca="1" si="278"/>
        <v/>
      </c>
      <c r="BB164" s="98" t="str">
        <f>IF(BD164&lt;&gt;"",VLOOKUP($P164&amp;" | "&amp;BB$6,'Job Master'!$F$12:$J$102,5,0),"")</f>
        <v/>
      </c>
      <c r="BC164" s="19" t="str">
        <f>IF(BD164&lt;&gt;"",VLOOKUP($P164&amp;" | "&amp;BB$6,'Job Master'!$F$12:$J$102,3,0),"")</f>
        <v/>
      </c>
      <c r="BD164" s="19" t="str">
        <f>IFERROR(IF(AND(BK164&lt;&gt;"",VLOOKUP($P164&amp;" | "&amp;BB$6,'Job Master'!$F$12:$I$102,4,0)&lt;&gt;""),IF(WEEKDAY(BK164-VLOOKUP($P164&amp;" | "&amp;BB$6,'Job Master'!$F$12:$I$102,4,0))&lt;&gt;7,BK164-VLOOKUP($P164&amp;" | "&amp;BB$6,'Job Master'!$F$12:$I$102,4,0),BK164-VLOOKUP($P164&amp;" | "&amp;BB$6,'Job Master'!$F$12:$I$102,4,0)-1),""),"")</f>
        <v/>
      </c>
      <c r="BE164" s="73"/>
      <c r="BF164" s="123" t="str">
        <f t="shared" si="279"/>
        <v/>
      </c>
      <c r="BG164" s="123" t="str">
        <f t="shared" si="280"/>
        <v/>
      </c>
      <c r="BH164" s="97" t="str">
        <f t="shared" ca="1" si="281"/>
        <v/>
      </c>
      <c r="BI164" s="98" t="str">
        <f>IF(BK164&lt;&gt;"",VLOOKUP($P164&amp;" | "&amp;BI$6,'Job Master'!$F$12:$J$102,5,0),"")</f>
        <v/>
      </c>
      <c r="BJ164" s="19" t="str">
        <f>IF(BK164&lt;&gt;"",VLOOKUP($P164&amp;" | "&amp;BI$6,'Job Master'!$F$12:$J$102,3,0),"")</f>
        <v/>
      </c>
      <c r="BK164" s="19" t="str">
        <f>IFERROR(IF(AND(BR164&lt;&gt;"",VLOOKUP($P164&amp;" | "&amp;BI$6,'Job Master'!$F$12:$I$102,4,0)&lt;&gt;""),IF(WEEKDAY(BR164-VLOOKUP($P164&amp;" | "&amp;BI$6,'Job Master'!$F$12:$I$102,4,0))&lt;&gt;7,BR164-VLOOKUP($P164&amp;" | "&amp;BI$6,'Job Master'!$F$12:$I$102,4,0),BR164-VLOOKUP($P164&amp;" | "&amp;BI$6,'Job Master'!$F$12:$I$102,4,0)-1),""),"")</f>
        <v/>
      </c>
      <c r="BL164" s="73"/>
      <c r="BM164" s="123" t="str">
        <f t="shared" si="282"/>
        <v/>
      </c>
      <c r="BN164" s="123" t="str">
        <f t="shared" si="283"/>
        <v/>
      </c>
      <c r="BO164" s="97" t="str">
        <f t="shared" ca="1" si="284"/>
        <v/>
      </c>
      <c r="BP164" s="98" t="str">
        <f>IF(BR164&lt;&gt;"",VLOOKUP($P164&amp;" | "&amp;BP$6,'Job Master'!$F$12:$J$102,5,0),"")</f>
        <v/>
      </c>
      <c r="BQ164" s="19" t="str">
        <f>IF(BR164&lt;&gt;"",VLOOKUP($P164&amp;" | "&amp;BP$6,'Job Master'!$F$12:$J$102,3,0),"")</f>
        <v/>
      </c>
      <c r="BR164" s="19" t="str">
        <f>IFERROR(IF(AND(BY164&lt;&gt;"",VLOOKUP($P164&amp;" | "&amp;BP$6,'Job Master'!$F$12:$I$102,4,0)&lt;&gt;""),IF(WEEKDAY(BY164-VLOOKUP($P164&amp;" | "&amp;BP$6,'Job Master'!$F$12:$I$102,4,0))&lt;&gt;7,BY164-VLOOKUP($P164&amp;" | "&amp;BP$6,'Job Master'!$F$12:$I$102,4,0),BY164-VLOOKUP($P164&amp;" | "&amp;BP$6,'Job Master'!$F$12:$I$102,4,0)-1),""),"")</f>
        <v/>
      </c>
      <c r="BS164" s="73"/>
      <c r="BT164" s="123" t="str">
        <f t="shared" si="285"/>
        <v/>
      </c>
      <c r="BU164" s="123" t="str">
        <f t="shared" si="286"/>
        <v/>
      </c>
      <c r="BV164" s="97" t="str">
        <f t="shared" ca="1" si="287"/>
        <v/>
      </c>
      <c r="BW164" s="98" t="str">
        <f>IF(BY164&lt;&gt;"",VLOOKUP($P164&amp;" | "&amp;BW$6,'Job Master'!$F$12:$J$102,5,0),"")</f>
        <v/>
      </c>
      <c r="BX164" s="19" t="str">
        <f>IF(BY164&lt;&gt;"",VLOOKUP($P164&amp;" | "&amp;BW$6,'Job Master'!$F$12:$J$102,3,0),"")</f>
        <v/>
      </c>
      <c r="BY164" s="19" t="str">
        <f>IFERROR(IF(AND(CF164&lt;&gt;"",VLOOKUP($P164&amp;" | "&amp;BW$6,'Job Master'!$F$12:$I$102,4,0)&lt;&gt;""),IF(WEEKDAY(CF164-VLOOKUP($P164&amp;" | "&amp;BW$6,'Job Master'!$F$12:$I$102,4,0))&lt;&gt;7,CF164-VLOOKUP($P164&amp;" | "&amp;BW$6,'Job Master'!$F$12:$I$102,4,0),CF164-VLOOKUP($P164&amp;" | "&amp;BW$6,'Job Master'!$F$12:$I$102,4,0)-1),""),"")</f>
        <v/>
      </c>
      <c r="BZ164" s="73"/>
      <c r="CA164" s="123" t="str">
        <f t="shared" si="288"/>
        <v/>
      </c>
      <c r="CB164" s="123" t="str">
        <f t="shared" si="289"/>
        <v/>
      </c>
      <c r="CC164" s="97" t="str">
        <f t="shared" ca="1" si="290"/>
        <v/>
      </c>
      <c r="CD164" s="98" t="str">
        <f>IF(CF164&lt;&gt;"",VLOOKUP($P164&amp;" | "&amp;CD$6,'Job Master'!$F$12:$J$102,5,0),"")</f>
        <v/>
      </c>
      <c r="CE164" s="19" t="str">
        <f>IF(CF164&lt;&gt;"",VLOOKUP($P164&amp;" | "&amp;CD$6,'Job Master'!$F$12:$J$102,3,0),"")</f>
        <v/>
      </c>
      <c r="CF164" s="19" t="str">
        <f>IFERROR(IF(AND(CM164&lt;&gt;"",VLOOKUP($P164&amp;" | "&amp;CD$6,'Job Master'!$F$12:$I$102,4,0)&lt;&gt;""),IF(WEEKDAY(CM164-VLOOKUP($P164&amp;" | "&amp;CD$6,'Job Master'!$F$12:$I$102,4,0))&lt;&gt;7,CM164-VLOOKUP($P164&amp;" | "&amp;CD$6,'Job Master'!$F$12:$I$102,4,0),CM164-VLOOKUP($P164&amp;" | "&amp;CD$6,'Job Master'!$F$12:$I$102,4,0)-1),""),"")</f>
        <v/>
      </c>
      <c r="CG164" s="73"/>
      <c r="CH164" s="123" t="str">
        <f t="shared" si="291"/>
        <v/>
      </c>
      <c r="CI164" s="123" t="str">
        <f t="shared" si="292"/>
        <v/>
      </c>
      <c r="CJ164" s="97" t="str">
        <f t="shared" ca="1" si="293"/>
        <v/>
      </c>
      <c r="CK164" s="98" t="str">
        <f>IF(CM164&lt;&gt;"",VLOOKUP($P164&amp;" | "&amp;CK$6,'Job Master'!$F$12:$J$102,5,0),"")</f>
        <v/>
      </c>
      <c r="CL164" s="19" t="str">
        <f>IF(CM164&lt;&gt;"",VLOOKUP($P164&amp;" | "&amp;CK$6,'Job Master'!$F$12:$J$102,3,0),"")</f>
        <v/>
      </c>
      <c r="CM164" s="19" t="str">
        <f>IFERROR(IF(AND(CT164&lt;&gt;"",VLOOKUP($P164&amp;" | "&amp;CK$6,'Job Master'!$F$12:$I$102,4,0)&lt;&gt;""),IF(WEEKDAY(CT164-VLOOKUP($P164&amp;" | "&amp;CK$6,'Job Master'!$F$12:$I$102,4,0))&lt;&gt;7,CT164-VLOOKUP($P164&amp;" | "&amp;CK$6,'Job Master'!$F$12:$I$102,4,0),CT164-VLOOKUP($P164&amp;" | "&amp;CK$6,'Job Master'!$F$12:$I$102,4,0)-1),""),"")</f>
        <v/>
      </c>
      <c r="CN164" s="73"/>
      <c r="CO164" s="123" t="str">
        <f t="shared" si="294"/>
        <v/>
      </c>
      <c r="CP164" s="123" t="str">
        <f t="shared" si="295"/>
        <v/>
      </c>
      <c r="CQ164" s="97" t="str">
        <f t="shared" ca="1" si="296"/>
        <v/>
      </c>
      <c r="CR164" s="98" t="str">
        <f>IF(CT164&lt;&gt;"",VLOOKUP($P164&amp;" | "&amp;CR$6,'Job Master'!$F$12:$J$102,5,0),"")</f>
        <v/>
      </c>
      <c r="CS164" s="19" t="str">
        <f>IF(CT164&lt;&gt;"",VLOOKUP($P164&amp;" | "&amp;CR$6,'Job Master'!$F$12:$J$102,3,0),"")</f>
        <v/>
      </c>
      <c r="CT164" s="19" t="str">
        <f>IFERROR(IF(AND(DA164&lt;&gt;"",VLOOKUP($P164&amp;" | "&amp;CR$6,'Job Master'!$F$12:$I$102,4,0)&lt;&gt;""),IF(WEEKDAY(DA164-VLOOKUP($P164&amp;" | "&amp;CR$6,'Job Master'!$F$12:$I$102,4,0))&lt;&gt;7,DA164-VLOOKUP($P164&amp;" | "&amp;CR$6,'Job Master'!$F$12:$I$102,4,0),DA164-VLOOKUP($P164&amp;" | "&amp;CR$6,'Job Master'!$F$12:$I$102,4,0)-1),""),"")</f>
        <v/>
      </c>
      <c r="CU164" s="73"/>
      <c r="CV164" s="123" t="str">
        <f t="shared" si="297"/>
        <v/>
      </c>
      <c r="CW164" s="123" t="str">
        <f t="shared" si="298"/>
        <v/>
      </c>
      <c r="CX164" s="97" t="str">
        <f t="shared" ca="1" si="299"/>
        <v/>
      </c>
      <c r="CY164" s="98" t="str">
        <f>IF(DA164&lt;&gt;"",VLOOKUP($P164&amp;" | "&amp;CY$6,'Job Master'!$F$12:$J$102,5,0),"")</f>
        <v/>
      </c>
      <c r="CZ164" s="19" t="str">
        <f>IF(DA164&lt;&gt;"",VLOOKUP($P164&amp;" | "&amp;CY$6,'Job Master'!$F$12:$J$102,3,0),"")</f>
        <v/>
      </c>
      <c r="DA164" s="19" t="str">
        <f>IFERROR(IF(AND(DH164&lt;&gt;"",VLOOKUP($P164&amp;" | "&amp;CY$6,'Job Master'!$F$12:$I$102,4,0)&lt;&gt;""),IF(WEEKDAY(DH164-VLOOKUP($P164&amp;" | "&amp;CY$6,'Job Master'!$F$12:$I$102,4,0))&lt;&gt;7,DH164-VLOOKUP($P164&amp;" | "&amp;CY$6,'Job Master'!$F$12:$I$102,4,0),DH164-VLOOKUP($P164&amp;" | "&amp;CY$6,'Job Master'!$F$12:$I$102,4,0)-1),""),"")</f>
        <v/>
      </c>
      <c r="DB164" s="73"/>
      <c r="DC164" s="123" t="str">
        <f t="shared" si="300"/>
        <v/>
      </c>
      <c r="DD164" s="123" t="str">
        <f t="shared" si="301"/>
        <v/>
      </c>
      <c r="DE164" s="97" t="str">
        <f t="shared" ca="1" si="302"/>
        <v/>
      </c>
      <c r="DF164" s="98" t="str">
        <f>IF(DH164&lt;&gt;"",VLOOKUP($P164&amp;" | "&amp;DF$6,'Job Master'!$F$12:$J$102,5,0),"")</f>
        <v/>
      </c>
      <c r="DG164" s="19" t="str">
        <f>IF(DH164&lt;&gt;"",VLOOKUP($P164&amp;" | "&amp;DF$6,'Job Master'!$F$12:$J$102,3,0),"")</f>
        <v/>
      </c>
      <c r="DH164" s="19" t="str">
        <f>IFERROR(IF(AND(DO164&lt;&gt;"",VLOOKUP($P164&amp;" | "&amp;DF$6,'Job Master'!$F$12:$I$102,4,0)&lt;&gt;""),IF(WEEKDAY(DO164-VLOOKUP($P164&amp;" | "&amp;DF$6,'Job Master'!$F$12:$I$102,4,0))&lt;&gt;7,DO164-VLOOKUP($P164&amp;" | "&amp;DF$6,'Job Master'!$F$12:$I$102,4,0),DO164-VLOOKUP($P164&amp;" | "&amp;DF$6,'Job Master'!$F$12:$I$102,4,0)-1),""),"")</f>
        <v/>
      </c>
      <c r="DI164" s="73"/>
      <c r="DJ164" s="123" t="str">
        <f t="shared" si="303"/>
        <v/>
      </c>
      <c r="DK164" s="123" t="str">
        <f t="shared" si="304"/>
        <v/>
      </c>
      <c r="DL164" s="97" t="str">
        <f t="shared" ca="1" si="305"/>
        <v/>
      </c>
      <c r="DM164" s="98" t="str">
        <f>IF(DO164&lt;&gt;"",VLOOKUP($P164&amp;" | "&amp;DM$6,'Job Master'!$F$12:$J$102,5,0),"")</f>
        <v/>
      </c>
      <c r="DN164" s="19" t="str">
        <f>IF(DO164&lt;&gt;"",VLOOKUP($P164&amp;" | "&amp;DM$6,'Job Master'!$F$12:$J$102,3,0),"")</f>
        <v/>
      </c>
      <c r="DO164" s="19" t="str">
        <f>IFERROR(IF(AND(DT164&lt;&gt;"",VLOOKUP($P164&amp;" | "&amp;DM$6,'Job Master'!$F$12:$I$102,4,0)&lt;&gt;""),IF(WEEKDAY(DT164-VLOOKUP($P164&amp;" | "&amp;DM$6,'Job Master'!$F$12:$I$102,4,0))&lt;&gt;7,DT164-VLOOKUP($P164&amp;" | "&amp;DM$6,'Job Master'!$F$12:$I$102,4,0),DT164-VLOOKUP($P164&amp;" | "&amp;DM$6,'Job Master'!$F$12:$I$102,4,0)-1),""),"")</f>
        <v/>
      </c>
      <c r="DP164" s="73"/>
      <c r="DQ164" s="123" t="str">
        <f t="shared" si="306"/>
        <v/>
      </c>
      <c r="DR164" s="123" t="str">
        <f t="shared" si="307"/>
        <v/>
      </c>
      <c r="DS164" s="97" t="str">
        <f t="shared" ca="1" si="308"/>
        <v/>
      </c>
      <c r="DT164" s="70" t="str">
        <f t="shared" si="309"/>
        <v/>
      </c>
      <c r="DU164" s="90"/>
      <c r="DV164" s="123" t="str">
        <f t="shared" si="310"/>
        <v/>
      </c>
      <c r="DW164" s="123" t="str">
        <f t="shared" si="311"/>
        <v/>
      </c>
      <c r="DX164" s="132" t="str">
        <f t="shared" ref="DX164" ca="1" si="349">IF(DT164&lt;&gt;"",IF(WEEKNUM(DT164)=WEEKNUM(TODAY()),"This Week",IF(WEEKNUM(DT164)=WEEKNUM(TODAY())+1,"Next Week",IF(WEEKNUM(DT164)=WEEKNUM(TODAY())-1,"Previous Week",""))),"")</f>
        <v/>
      </c>
      <c r="DY164" s="134" t="str">
        <f t="shared" si="313"/>
        <v/>
      </c>
      <c r="DZ164" s="95"/>
      <c r="EB164" s="8" t="str">
        <f t="shared" si="319"/>
        <v/>
      </c>
      <c r="EC164" s="8" t="str">
        <f>IF(O164&lt;&gt;"",VLOOKUP(O164,'Job Master'!$N$12:$O$18,2,0),"")</f>
        <v/>
      </c>
      <c r="ED164" s="8">
        <f t="shared" si="320"/>
        <v>19.5</v>
      </c>
      <c r="EE164" s="8">
        <f t="shared" si="321"/>
        <v>6</v>
      </c>
      <c r="EF164" s="8">
        <f t="shared" si="322"/>
        <v>-904.5</v>
      </c>
      <c r="EG164" s="8" t="str">
        <f t="shared" si="323"/>
        <v/>
      </c>
      <c r="EH164" s="8" t="str">
        <f t="shared" si="324"/>
        <v/>
      </c>
    </row>
    <row r="165" spans="2:138" x14ac:dyDescent="0.3">
      <c r="B165" s="112"/>
      <c r="C165" s="27"/>
      <c r="D165" s="7" t="str">
        <f t="shared" si="261"/>
        <v/>
      </c>
      <c r="E165" s="25"/>
      <c r="F165" s="7" t="str">
        <f t="shared" si="261"/>
        <v/>
      </c>
      <c r="G165" s="25"/>
      <c r="H165" s="7" t="str">
        <f t="shared" si="261"/>
        <v/>
      </c>
      <c r="I165" s="25"/>
      <c r="J165" s="7" t="str">
        <f t="shared" si="261"/>
        <v/>
      </c>
      <c r="K165" s="25"/>
      <c r="L165" s="7" t="str">
        <f t="shared" si="262"/>
        <v/>
      </c>
      <c r="M165" s="25"/>
      <c r="N165" s="7" t="str">
        <f t="shared" si="263"/>
        <v/>
      </c>
      <c r="O165" s="81"/>
      <c r="P165" s="81" t="str">
        <f t="shared" si="264"/>
        <v/>
      </c>
      <c r="Q165" s="81"/>
      <c r="R165" s="7" t="str">
        <f t="shared" si="265"/>
        <v/>
      </c>
      <c r="S165" s="25"/>
      <c r="T165" s="7" t="str">
        <f t="shared" si="266"/>
        <v/>
      </c>
      <c r="U165" s="25"/>
      <c r="V165" s="7" t="str">
        <f t="shared" si="267"/>
        <v/>
      </c>
      <c r="W165" s="25"/>
      <c r="X165" s="7" t="str">
        <f t="shared" si="268"/>
        <v/>
      </c>
      <c r="Y165" s="18" t="str">
        <f t="shared" si="269"/>
        <v/>
      </c>
      <c r="Z165" s="7" t="str">
        <f t="shared" si="270"/>
        <v/>
      </c>
      <c r="AA165" s="18" t="str">
        <f t="shared" si="271"/>
        <v/>
      </c>
      <c r="AB165" s="19" t="str">
        <f t="shared" si="272"/>
        <v/>
      </c>
      <c r="AC165" s="26"/>
      <c r="AD165" s="26"/>
      <c r="AE165" s="25"/>
      <c r="AF165" s="26"/>
      <c r="AG165" s="25"/>
      <c r="AH165" s="25"/>
      <c r="AI165" s="18" t="str">
        <f t="shared" si="335"/>
        <v/>
      </c>
      <c r="AJ165" s="25"/>
      <c r="AK165" s="18" t="str">
        <f t="shared" si="336"/>
        <v/>
      </c>
      <c r="AL165" s="79"/>
      <c r="AM165" s="126" t="str">
        <f t="shared" si="337"/>
        <v/>
      </c>
      <c r="AN165" s="128" t="str">
        <f>IF(AP165&lt;&gt;"",VLOOKUP($P165&amp;" | "&amp;AN$6,'Job Master'!$F$12:$J$102,5,0),"")</f>
        <v/>
      </c>
      <c r="AO165" s="19" t="str">
        <f>IF(AP165&lt;&gt;"",VLOOKUP($P165&amp;" | "&amp;AN$6,'Job Master'!$F$12:$J$102,3,0),"")</f>
        <v/>
      </c>
      <c r="AP165" s="19" t="str">
        <f>IFERROR(IF(AND(AW165&lt;&gt;"",VLOOKUP($P165&amp;" | "&amp;AN$6,'Job Master'!$F$12:$I$102,4,0)&lt;&gt;""),IF(WEEKDAY(AW165-VLOOKUP($P165&amp;" | "&amp;AN$6,'Job Master'!$F$12:$I$102,4,0))&lt;&gt;7,AW165-VLOOKUP($P165&amp;" | "&amp;AN$6,'Job Master'!$F$12:$I$102,4,0),AW165-VLOOKUP($P165&amp;" | "&amp;AN$6,'Job Master'!$F$12:$I$102,4,0)-1),""),"")</f>
        <v/>
      </c>
      <c r="AQ165" s="73"/>
      <c r="AR165" s="123" t="str">
        <f t="shared" si="273"/>
        <v/>
      </c>
      <c r="AS165" s="123" t="str">
        <f t="shared" si="274"/>
        <v/>
      </c>
      <c r="AT165" s="97" t="str">
        <f t="shared" ca="1" si="275"/>
        <v/>
      </c>
      <c r="AU165" s="98" t="str">
        <f>IF(AW165&lt;&gt;"",VLOOKUP($P165&amp;" | "&amp;AU$6,'Job Master'!$F$12:$J$102,5,0),"")</f>
        <v/>
      </c>
      <c r="AV165" s="19" t="str">
        <f>IF(AW165&lt;&gt;"",VLOOKUP($P165&amp;" | "&amp;AU$6,'Job Master'!$F$12:$J$102,3,0),"")</f>
        <v/>
      </c>
      <c r="AW165" s="19" t="str">
        <f>IFERROR(IF(AND(BD165&lt;&gt;"",VLOOKUP($P165&amp;" | "&amp;AU$6,'Job Master'!$F$12:$I$102,4,0)&lt;&gt;""),IF(WEEKDAY(BD165-VLOOKUP($P165&amp;" | "&amp;AU$6,'Job Master'!$F$12:$I$102,4,0))&lt;&gt;7,BD165-VLOOKUP($P165&amp;" | "&amp;AU$6,'Job Master'!$F$12:$I$102,4,0),BD165-VLOOKUP($P165&amp;" | "&amp;AU$6,'Job Master'!$F$12:$I$102,4,0)-1),""),"")</f>
        <v/>
      </c>
      <c r="AX165" s="73"/>
      <c r="AY165" s="123" t="str">
        <f t="shared" si="276"/>
        <v/>
      </c>
      <c r="AZ165" s="123" t="str">
        <f t="shared" si="277"/>
        <v/>
      </c>
      <c r="BA165" s="97" t="str">
        <f t="shared" ca="1" si="278"/>
        <v/>
      </c>
      <c r="BB165" s="98" t="str">
        <f>IF(BD165&lt;&gt;"",VLOOKUP($P165&amp;" | "&amp;BB$6,'Job Master'!$F$12:$J$102,5,0),"")</f>
        <v/>
      </c>
      <c r="BC165" s="19" t="str">
        <f>IF(BD165&lt;&gt;"",VLOOKUP($P165&amp;" | "&amp;BB$6,'Job Master'!$F$12:$J$102,3,0),"")</f>
        <v/>
      </c>
      <c r="BD165" s="19" t="str">
        <f>IFERROR(IF(AND(BK165&lt;&gt;"",VLOOKUP($P165&amp;" | "&amp;BB$6,'Job Master'!$F$12:$I$102,4,0)&lt;&gt;""),IF(WEEKDAY(BK165-VLOOKUP($P165&amp;" | "&amp;BB$6,'Job Master'!$F$12:$I$102,4,0))&lt;&gt;7,BK165-VLOOKUP($P165&amp;" | "&amp;BB$6,'Job Master'!$F$12:$I$102,4,0),BK165-VLOOKUP($P165&amp;" | "&amp;BB$6,'Job Master'!$F$12:$I$102,4,0)-1),""),"")</f>
        <v/>
      </c>
      <c r="BE165" s="73"/>
      <c r="BF165" s="123" t="str">
        <f t="shared" si="279"/>
        <v/>
      </c>
      <c r="BG165" s="123" t="str">
        <f t="shared" si="280"/>
        <v/>
      </c>
      <c r="BH165" s="97" t="str">
        <f t="shared" ca="1" si="281"/>
        <v/>
      </c>
      <c r="BI165" s="98" t="str">
        <f>IF(BK165&lt;&gt;"",VLOOKUP($P165&amp;" | "&amp;BI$6,'Job Master'!$F$12:$J$102,5,0),"")</f>
        <v/>
      </c>
      <c r="BJ165" s="19" t="str">
        <f>IF(BK165&lt;&gt;"",VLOOKUP($P165&amp;" | "&amp;BI$6,'Job Master'!$F$12:$J$102,3,0),"")</f>
        <v/>
      </c>
      <c r="BK165" s="19" t="str">
        <f>IFERROR(IF(AND(BR165&lt;&gt;"",VLOOKUP($P165&amp;" | "&amp;BI$6,'Job Master'!$F$12:$I$102,4,0)&lt;&gt;""),IF(WEEKDAY(BR165-VLOOKUP($P165&amp;" | "&amp;BI$6,'Job Master'!$F$12:$I$102,4,0))&lt;&gt;7,BR165-VLOOKUP($P165&amp;" | "&amp;BI$6,'Job Master'!$F$12:$I$102,4,0),BR165-VLOOKUP($P165&amp;" | "&amp;BI$6,'Job Master'!$F$12:$I$102,4,0)-1),""),"")</f>
        <v/>
      </c>
      <c r="BL165" s="73"/>
      <c r="BM165" s="123" t="str">
        <f t="shared" si="282"/>
        <v/>
      </c>
      <c r="BN165" s="123" t="str">
        <f t="shared" si="283"/>
        <v/>
      </c>
      <c r="BO165" s="97" t="str">
        <f t="shared" ca="1" si="284"/>
        <v/>
      </c>
      <c r="BP165" s="98" t="str">
        <f>IF(BR165&lt;&gt;"",VLOOKUP($P165&amp;" | "&amp;BP$6,'Job Master'!$F$12:$J$102,5,0),"")</f>
        <v/>
      </c>
      <c r="BQ165" s="19" t="str">
        <f>IF(BR165&lt;&gt;"",VLOOKUP($P165&amp;" | "&amp;BP$6,'Job Master'!$F$12:$J$102,3,0),"")</f>
        <v/>
      </c>
      <c r="BR165" s="19" t="str">
        <f>IFERROR(IF(AND(BY165&lt;&gt;"",VLOOKUP($P165&amp;" | "&amp;BP$6,'Job Master'!$F$12:$I$102,4,0)&lt;&gt;""),IF(WEEKDAY(BY165-VLOOKUP($P165&amp;" | "&amp;BP$6,'Job Master'!$F$12:$I$102,4,0))&lt;&gt;7,BY165-VLOOKUP($P165&amp;" | "&amp;BP$6,'Job Master'!$F$12:$I$102,4,0),BY165-VLOOKUP($P165&amp;" | "&amp;BP$6,'Job Master'!$F$12:$I$102,4,0)-1),""),"")</f>
        <v/>
      </c>
      <c r="BS165" s="73"/>
      <c r="BT165" s="123" t="str">
        <f t="shared" si="285"/>
        <v/>
      </c>
      <c r="BU165" s="123" t="str">
        <f t="shared" si="286"/>
        <v/>
      </c>
      <c r="BV165" s="97" t="str">
        <f t="shared" ca="1" si="287"/>
        <v/>
      </c>
      <c r="BW165" s="98" t="str">
        <f>IF(BY165&lt;&gt;"",VLOOKUP($P165&amp;" | "&amp;BW$6,'Job Master'!$F$12:$J$102,5,0),"")</f>
        <v/>
      </c>
      <c r="BX165" s="19" t="str">
        <f>IF(BY165&lt;&gt;"",VLOOKUP($P165&amp;" | "&amp;BW$6,'Job Master'!$F$12:$J$102,3,0),"")</f>
        <v/>
      </c>
      <c r="BY165" s="19" t="str">
        <f>IFERROR(IF(AND(CF165&lt;&gt;"",VLOOKUP($P165&amp;" | "&amp;BW$6,'Job Master'!$F$12:$I$102,4,0)&lt;&gt;""),IF(WEEKDAY(CF165-VLOOKUP($P165&amp;" | "&amp;BW$6,'Job Master'!$F$12:$I$102,4,0))&lt;&gt;7,CF165-VLOOKUP($P165&amp;" | "&amp;BW$6,'Job Master'!$F$12:$I$102,4,0),CF165-VLOOKUP($P165&amp;" | "&amp;BW$6,'Job Master'!$F$12:$I$102,4,0)-1),""),"")</f>
        <v/>
      </c>
      <c r="BZ165" s="73"/>
      <c r="CA165" s="123" t="str">
        <f t="shared" si="288"/>
        <v/>
      </c>
      <c r="CB165" s="123" t="str">
        <f t="shared" si="289"/>
        <v/>
      </c>
      <c r="CC165" s="97" t="str">
        <f t="shared" ca="1" si="290"/>
        <v/>
      </c>
      <c r="CD165" s="98" t="str">
        <f>IF(CF165&lt;&gt;"",VLOOKUP($P165&amp;" | "&amp;CD$6,'Job Master'!$F$12:$J$102,5,0),"")</f>
        <v/>
      </c>
      <c r="CE165" s="19" t="str">
        <f>IF(CF165&lt;&gt;"",VLOOKUP($P165&amp;" | "&amp;CD$6,'Job Master'!$F$12:$J$102,3,0),"")</f>
        <v/>
      </c>
      <c r="CF165" s="19" t="str">
        <f>IFERROR(IF(AND(CM165&lt;&gt;"",VLOOKUP($P165&amp;" | "&amp;CD$6,'Job Master'!$F$12:$I$102,4,0)&lt;&gt;""),IF(WEEKDAY(CM165-VLOOKUP($P165&amp;" | "&amp;CD$6,'Job Master'!$F$12:$I$102,4,0))&lt;&gt;7,CM165-VLOOKUP($P165&amp;" | "&amp;CD$6,'Job Master'!$F$12:$I$102,4,0),CM165-VLOOKUP($P165&amp;" | "&amp;CD$6,'Job Master'!$F$12:$I$102,4,0)-1),""),"")</f>
        <v/>
      </c>
      <c r="CG165" s="73"/>
      <c r="CH165" s="123" t="str">
        <f t="shared" si="291"/>
        <v/>
      </c>
      <c r="CI165" s="123" t="str">
        <f t="shared" si="292"/>
        <v/>
      </c>
      <c r="CJ165" s="97" t="str">
        <f t="shared" ca="1" si="293"/>
        <v/>
      </c>
      <c r="CK165" s="98" t="str">
        <f>IF(CM165&lt;&gt;"",VLOOKUP($P165&amp;" | "&amp;CK$6,'Job Master'!$F$12:$J$102,5,0),"")</f>
        <v/>
      </c>
      <c r="CL165" s="19" t="str">
        <f>IF(CM165&lt;&gt;"",VLOOKUP($P165&amp;" | "&amp;CK$6,'Job Master'!$F$12:$J$102,3,0),"")</f>
        <v/>
      </c>
      <c r="CM165" s="19" t="str">
        <f>IFERROR(IF(AND(CT165&lt;&gt;"",VLOOKUP($P165&amp;" | "&amp;CK$6,'Job Master'!$F$12:$I$102,4,0)&lt;&gt;""),IF(WEEKDAY(CT165-VLOOKUP($P165&amp;" | "&amp;CK$6,'Job Master'!$F$12:$I$102,4,0))&lt;&gt;7,CT165-VLOOKUP($P165&amp;" | "&amp;CK$6,'Job Master'!$F$12:$I$102,4,0),CT165-VLOOKUP($P165&amp;" | "&amp;CK$6,'Job Master'!$F$12:$I$102,4,0)-1),""),"")</f>
        <v/>
      </c>
      <c r="CN165" s="73"/>
      <c r="CO165" s="123" t="str">
        <f t="shared" si="294"/>
        <v/>
      </c>
      <c r="CP165" s="123" t="str">
        <f t="shared" si="295"/>
        <v/>
      </c>
      <c r="CQ165" s="97" t="str">
        <f t="shared" ca="1" si="296"/>
        <v/>
      </c>
      <c r="CR165" s="98" t="str">
        <f>IF(CT165&lt;&gt;"",VLOOKUP($P165&amp;" | "&amp;CR$6,'Job Master'!$F$12:$J$102,5,0),"")</f>
        <v/>
      </c>
      <c r="CS165" s="19" t="str">
        <f>IF(CT165&lt;&gt;"",VLOOKUP($P165&amp;" | "&amp;CR$6,'Job Master'!$F$12:$J$102,3,0),"")</f>
        <v/>
      </c>
      <c r="CT165" s="19" t="str">
        <f>IFERROR(IF(AND(DA165&lt;&gt;"",VLOOKUP($P165&amp;" | "&amp;CR$6,'Job Master'!$F$12:$I$102,4,0)&lt;&gt;""),IF(WEEKDAY(DA165-VLOOKUP($P165&amp;" | "&amp;CR$6,'Job Master'!$F$12:$I$102,4,0))&lt;&gt;7,DA165-VLOOKUP($P165&amp;" | "&amp;CR$6,'Job Master'!$F$12:$I$102,4,0),DA165-VLOOKUP($P165&amp;" | "&amp;CR$6,'Job Master'!$F$12:$I$102,4,0)-1),""),"")</f>
        <v/>
      </c>
      <c r="CU165" s="73"/>
      <c r="CV165" s="123" t="str">
        <f t="shared" si="297"/>
        <v/>
      </c>
      <c r="CW165" s="123" t="str">
        <f t="shared" si="298"/>
        <v/>
      </c>
      <c r="CX165" s="97" t="str">
        <f t="shared" ca="1" si="299"/>
        <v/>
      </c>
      <c r="CY165" s="98" t="str">
        <f>IF(DA165&lt;&gt;"",VLOOKUP($P165&amp;" | "&amp;CY$6,'Job Master'!$F$12:$J$102,5,0),"")</f>
        <v/>
      </c>
      <c r="CZ165" s="19" t="str">
        <f>IF(DA165&lt;&gt;"",VLOOKUP($P165&amp;" | "&amp;CY$6,'Job Master'!$F$12:$J$102,3,0),"")</f>
        <v/>
      </c>
      <c r="DA165" s="19" t="str">
        <f>IFERROR(IF(AND(DH165&lt;&gt;"",VLOOKUP($P165&amp;" | "&amp;CY$6,'Job Master'!$F$12:$I$102,4,0)&lt;&gt;""),IF(WEEKDAY(DH165-VLOOKUP($P165&amp;" | "&amp;CY$6,'Job Master'!$F$12:$I$102,4,0))&lt;&gt;7,DH165-VLOOKUP($P165&amp;" | "&amp;CY$6,'Job Master'!$F$12:$I$102,4,0),DH165-VLOOKUP($P165&amp;" | "&amp;CY$6,'Job Master'!$F$12:$I$102,4,0)-1),""),"")</f>
        <v/>
      </c>
      <c r="DB165" s="73"/>
      <c r="DC165" s="123" t="str">
        <f t="shared" si="300"/>
        <v/>
      </c>
      <c r="DD165" s="123" t="str">
        <f t="shared" si="301"/>
        <v/>
      </c>
      <c r="DE165" s="97" t="str">
        <f t="shared" ca="1" si="302"/>
        <v/>
      </c>
      <c r="DF165" s="98" t="str">
        <f>IF(DH165&lt;&gt;"",VLOOKUP($P165&amp;" | "&amp;DF$6,'Job Master'!$F$12:$J$102,5,0),"")</f>
        <v/>
      </c>
      <c r="DG165" s="19" t="str">
        <f>IF(DH165&lt;&gt;"",VLOOKUP($P165&amp;" | "&amp;DF$6,'Job Master'!$F$12:$J$102,3,0),"")</f>
        <v/>
      </c>
      <c r="DH165" s="19" t="str">
        <f>IFERROR(IF(AND(DO165&lt;&gt;"",VLOOKUP($P165&amp;" | "&amp;DF$6,'Job Master'!$F$12:$I$102,4,0)&lt;&gt;""),IF(WEEKDAY(DO165-VLOOKUP($P165&amp;" | "&amp;DF$6,'Job Master'!$F$12:$I$102,4,0))&lt;&gt;7,DO165-VLOOKUP($P165&amp;" | "&amp;DF$6,'Job Master'!$F$12:$I$102,4,0),DO165-VLOOKUP($P165&amp;" | "&amp;DF$6,'Job Master'!$F$12:$I$102,4,0)-1),""),"")</f>
        <v/>
      </c>
      <c r="DI165" s="73"/>
      <c r="DJ165" s="123" t="str">
        <f t="shared" si="303"/>
        <v/>
      </c>
      <c r="DK165" s="123" t="str">
        <f t="shared" si="304"/>
        <v/>
      </c>
      <c r="DL165" s="97" t="str">
        <f t="shared" ca="1" si="305"/>
        <v/>
      </c>
      <c r="DM165" s="98" t="str">
        <f>IF(DO165&lt;&gt;"",VLOOKUP($P165&amp;" | "&amp;DM$6,'Job Master'!$F$12:$J$102,5,0),"")</f>
        <v/>
      </c>
      <c r="DN165" s="19" t="str">
        <f>IF(DO165&lt;&gt;"",VLOOKUP($P165&amp;" | "&amp;DM$6,'Job Master'!$F$12:$J$102,3,0),"")</f>
        <v/>
      </c>
      <c r="DO165" s="19" t="str">
        <f>IFERROR(IF(AND(DT165&lt;&gt;"",VLOOKUP($P165&amp;" | "&amp;DM$6,'Job Master'!$F$12:$I$102,4,0)&lt;&gt;""),IF(WEEKDAY(DT165-VLOOKUP($P165&amp;" | "&amp;DM$6,'Job Master'!$F$12:$I$102,4,0))&lt;&gt;7,DT165-VLOOKUP($P165&amp;" | "&amp;DM$6,'Job Master'!$F$12:$I$102,4,0),DT165-VLOOKUP($P165&amp;" | "&amp;DM$6,'Job Master'!$F$12:$I$102,4,0)-1),""),"")</f>
        <v/>
      </c>
      <c r="DP165" s="73"/>
      <c r="DQ165" s="123" t="str">
        <f t="shared" si="306"/>
        <v/>
      </c>
      <c r="DR165" s="123" t="str">
        <f t="shared" si="307"/>
        <v/>
      </c>
      <c r="DS165" s="97" t="str">
        <f t="shared" ca="1" si="308"/>
        <v/>
      </c>
      <c r="DT165" s="70" t="str">
        <f t="shared" si="309"/>
        <v/>
      </c>
      <c r="DU165" s="90"/>
      <c r="DV165" s="123" t="str">
        <f t="shared" si="310"/>
        <v/>
      </c>
      <c r="DW165" s="123" t="str">
        <f t="shared" si="311"/>
        <v/>
      </c>
      <c r="DX165" s="132" t="str">
        <f t="shared" ref="DX165" ca="1" si="350">IF(DT165&lt;&gt;"",IF(WEEKNUM(DT165)=WEEKNUM(TODAY()),"This Week",IF(WEEKNUM(DT165)=WEEKNUM(TODAY())+1,"Next Week",IF(WEEKNUM(DT165)=WEEKNUM(TODAY())-1,"Previous Week",""))),"")</f>
        <v/>
      </c>
      <c r="DY165" s="134" t="str">
        <f t="shared" si="313"/>
        <v/>
      </c>
      <c r="DZ165" s="95"/>
      <c r="EB165" s="8" t="str">
        <f t="shared" si="319"/>
        <v/>
      </c>
      <c r="EC165" s="8" t="str">
        <f>IF(O165&lt;&gt;"",VLOOKUP(O165,'Job Master'!$N$12:$O$18,2,0),"")</f>
        <v/>
      </c>
      <c r="ED165" s="8">
        <f t="shared" si="320"/>
        <v>19.5</v>
      </c>
      <c r="EE165" s="8">
        <f t="shared" si="321"/>
        <v>6</v>
      </c>
      <c r="EF165" s="8">
        <f t="shared" si="322"/>
        <v>-910.5</v>
      </c>
      <c r="EG165" s="8" t="str">
        <f t="shared" si="323"/>
        <v/>
      </c>
      <c r="EH165" s="8" t="str">
        <f t="shared" si="324"/>
        <v/>
      </c>
    </row>
    <row r="166" spans="2:138" x14ac:dyDescent="0.3">
      <c r="B166" s="112"/>
      <c r="C166" s="27"/>
      <c r="D166" s="7" t="str">
        <f t="shared" si="261"/>
        <v/>
      </c>
      <c r="E166" s="25"/>
      <c r="F166" s="7" t="str">
        <f t="shared" si="261"/>
        <v/>
      </c>
      <c r="G166" s="25"/>
      <c r="H166" s="7" t="str">
        <f t="shared" si="261"/>
        <v/>
      </c>
      <c r="I166" s="25"/>
      <c r="J166" s="7" t="str">
        <f t="shared" si="261"/>
        <v/>
      </c>
      <c r="K166" s="25"/>
      <c r="L166" s="7" t="str">
        <f t="shared" si="262"/>
        <v/>
      </c>
      <c r="M166" s="25"/>
      <c r="N166" s="7" t="str">
        <f t="shared" si="263"/>
        <v/>
      </c>
      <c r="O166" s="81"/>
      <c r="P166" s="81" t="str">
        <f t="shared" si="264"/>
        <v/>
      </c>
      <c r="Q166" s="81"/>
      <c r="R166" s="7" t="str">
        <f t="shared" si="265"/>
        <v/>
      </c>
      <c r="S166" s="25"/>
      <c r="T166" s="7" t="str">
        <f t="shared" si="266"/>
        <v/>
      </c>
      <c r="U166" s="25"/>
      <c r="V166" s="7" t="str">
        <f t="shared" si="267"/>
        <v/>
      </c>
      <c r="W166" s="25"/>
      <c r="X166" s="7" t="str">
        <f t="shared" si="268"/>
        <v/>
      </c>
      <c r="Y166" s="18" t="str">
        <f t="shared" si="269"/>
        <v/>
      </c>
      <c r="Z166" s="7" t="str">
        <f t="shared" si="270"/>
        <v/>
      </c>
      <c r="AA166" s="18" t="str">
        <f t="shared" si="271"/>
        <v/>
      </c>
      <c r="AB166" s="19" t="str">
        <f t="shared" si="272"/>
        <v/>
      </c>
      <c r="AC166" s="26"/>
      <c r="AD166" s="26"/>
      <c r="AE166" s="25"/>
      <c r="AF166" s="26"/>
      <c r="AG166" s="25"/>
      <c r="AH166" s="25"/>
      <c r="AI166" s="18" t="str">
        <f t="shared" si="335"/>
        <v/>
      </c>
      <c r="AJ166" s="25"/>
      <c r="AK166" s="18" t="str">
        <f t="shared" si="336"/>
        <v/>
      </c>
      <c r="AL166" s="79"/>
      <c r="AM166" s="126" t="str">
        <f t="shared" si="337"/>
        <v/>
      </c>
      <c r="AN166" s="128" t="str">
        <f>IF(AP166&lt;&gt;"",VLOOKUP($P166&amp;" | "&amp;AN$6,'Job Master'!$F$12:$J$102,5,0),"")</f>
        <v/>
      </c>
      <c r="AO166" s="19" t="str">
        <f>IF(AP166&lt;&gt;"",VLOOKUP($P166&amp;" | "&amp;AN$6,'Job Master'!$F$12:$J$102,3,0),"")</f>
        <v/>
      </c>
      <c r="AP166" s="19" t="str">
        <f>IFERROR(IF(AND(AW166&lt;&gt;"",VLOOKUP($P166&amp;" | "&amp;AN$6,'Job Master'!$F$12:$I$102,4,0)&lt;&gt;""),IF(WEEKDAY(AW166-VLOOKUP($P166&amp;" | "&amp;AN$6,'Job Master'!$F$12:$I$102,4,0))&lt;&gt;7,AW166-VLOOKUP($P166&amp;" | "&amp;AN$6,'Job Master'!$F$12:$I$102,4,0),AW166-VLOOKUP($P166&amp;" | "&amp;AN$6,'Job Master'!$F$12:$I$102,4,0)-1),""),"")</f>
        <v/>
      </c>
      <c r="AQ166" s="73"/>
      <c r="AR166" s="123" t="str">
        <f t="shared" si="273"/>
        <v/>
      </c>
      <c r="AS166" s="123" t="str">
        <f t="shared" si="274"/>
        <v/>
      </c>
      <c r="AT166" s="97" t="str">
        <f t="shared" ca="1" si="275"/>
        <v/>
      </c>
      <c r="AU166" s="98" t="str">
        <f>IF(AW166&lt;&gt;"",VLOOKUP($P166&amp;" | "&amp;AU$6,'Job Master'!$F$12:$J$102,5,0),"")</f>
        <v/>
      </c>
      <c r="AV166" s="19" t="str">
        <f>IF(AW166&lt;&gt;"",VLOOKUP($P166&amp;" | "&amp;AU$6,'Job Master'!$F$12:$J$102,3,0),"")</f>
        <v/>
      </c>
      <c r="AW166" s="19" t="str">
        <f>IFERROR(IF(AND(BD166&lt;&gt;"",VLOOKUP($P166&amp;" | "&amp;AU$6,'Job Master'!$F$12:$I$102,4,0)&lt;&gt;""),IF(WEEKDAY(BD166-VLOOKUP($P166&amp;" | "&amp;AU$6,'Job Master'!$F$12:$I$102,4,0))&lt;&gt;7,BD166-VLOOKUP($P166&amp;" | "&amp;AU$6,'Job Master'!$F$12:$I$102,4,0),BD166-VLOOKUP($P166&amp;" | "&amp;AU$6,'Job Master'!$F$12:$I$102,4,0)-1),""),"")</f>
        <v/>
      </c>
      <c r="AX166" s="73"/>
      <c r="AY166" s="123" t="str">
        <f t="shared" si="276"/>
        <v/>
      </c>
      <c r="AZ166" s="123" t="str">
        <f t="shared" si="277"/>
        <v/>
      </c>
      <c r="BA166" s="97" t="str">
        <f t="shared" ca="1" si="278"/>
        <v/>
      </c>
      <c r="BB166" s="98" t="str">
        <f>IF(BD166&lt;&gt;"",VLOOKUP($P166&amp;" | "&amp;BB$6,'Job Master'!$F$12:$J$102,5,0),"")</f>
        <v/>
      </c>
      <c r="BC166" s="19" t="str">
        <f>IF(BD166&lt;&gt;"",VLOOKUP($P166&amp;" | "&amp;BB$6,'Job Master'!$F$12:$J$102,3,0),"")</f>
        <v/>
      </c>
      <c r="BD166" s="19" t="str">
        <f>IFERROR(IF(AND(BK166&lt;&gt;"",VLOOKUP($P166&amp;" | "&amp;BB$6,'Job Master'!$F$12:$I$102,4,0)&lt;&gt;""),IF(WEEKDAY(BK166-VLOOKUP($P166&amp;" | "&amp;BB$6,'Job Master'!$F$12:$I$102,4,0))&lt;&gt;7,BK166-VLOOKUP($P166&amp;" | "&amp;BB$6,'Job Master'!$F$12:$I$102,4,0),BK166-VLOOKUP($P166&amp;" | "&amp;BB$6,'Job Master'!$F$12:$I$102,4,0)-1),""),"")</f>
        <v/>
      </c>
      <c r="BE166" s="73"/>
      <c r="BF166" s="123" t="str">
        <f t="shared" si="279"/>
        <v/>
      </c>
      <c r="BG166" s="123" t="str">
        <f t="shared" si="280"/>
        <v/>
      </c>
      <c r="BH166" s="97" t="str">
        <f t="shared" ca="1" si="281"/>
        <v/>
      </c>
      <c r="BI166" s="98" t="str">
        <f>IF(BK166&lt;&gt;"",VLOOKUP($P166&amp;" | "&amp;BI$6,'Job Master'!$F$12:$J$102,5,0),"")</f>
        <v/>
      </c>
      <c r="BJ166" s="19" t="str">
        <f>IF(BK166&lt;&gt;"",VLOOKUP($P166&amp;" | "&amp;BI$6,'Job Master'!$F$12:$J$102,3,0),"")</f>
        <v/>
      </c>
      <c r="BK166" s="19" t="str">
        <f>IFERROR(IF(AND(BR166&lt;&gt;"",VLOOKUP($P166&amp;" | "&amp;BI$6,'Job Master'!$F$12:$I$102,4,0)&lt;&gt;""),IF(WEEKDAY(BR166-VLOOKUP($P166&amp;" | "&amp;BI$6,'Job Master'!$F$12:$I$102,4,0))&lt;&gt;7,BR166-VLOOKUP($P166&amp;" | "&amp;BI$6,'Job Master'!$F$12:$I$102,4,0),BR166-VLOOKUP($P166&amp;" | "&amp;BI$6,'Job Master'!$F$12:$I$102,4,0)-1),""),"")</f>
        <v/>
      </c>
      <c r="BL166" s="73"/>
      <c r="BM166" s="123" t="str">
        <f t="shared" si="282"/>
        <v/>
      </c>
      <c r="BN166" s="123" t="str">
        <f t="shared" si="283"/>
        <v/>
      </c>
      <c r="BO166" s="97" t="str">
        <f t="shared" ca="1" si="284"/>
        <v/>
      </c>
      <c r="BP166" s="98" t="str">
        <f>IF(BR166&lt;&gt;"",VLOOKUP($P166&amp;" | "&amp;BP$6,'Job Master'!$F$12:$J$102,5,0),"")</f>
        <v/>
      </c>
      <c r="BQ166" s="19" t="str">
        <f>IF(BR166&lt;&gt;"",VLOOKUP($P166&amp;" | "&amp;BP$6,'Job Master'!$F$12:$J$102,3,0),"")</f>
        <v/>
      </c>
      <c r="BR166" s="19" t="str">
        <f>IFERROR(IF(AND(BY166&lt;&gt;"",VLOOKUP($P166&amp;" | "&amp;BP$6,'Job Master'!$F$12:$I$102,4,0)&lt;&gt;""),IF(WEEKDAY(BY166-VLOOKUP($P166&amp;" | "&amp;BP$6,'Job Master'!$F$12:$I$102,4,0))&lt;&gt;7,BY166-VLOOKUP($P166&amp;" | "&amp;BP$6,'Job Master'!$F$12:$I$102,4,0),BY166-VLOOKUP($P166&amp;" | "&amp;BP$6,'Job Master'!$F$12:$I$102,4,0)-1),""),"")</f>
        <v/>
      </c>
      <c r="BS166" s="73"/>
      <c r="BT166" s="123" t="str">
        <f t="shared" si="285"/>
        <v/>
      </c>
      <c r="BU166" s="123" t="str">
        <f t="shared" si="286"/>
        <v/>
      </c>
      <c r="BV166" s="97" t="str">
        <f t="shared" ca="1" si="287"/>
        <v/>
      </c>
      <c r="BW166" s="98" t="str">
        <f>IF(BY166&lt;&gt;"",VLOOKUP($P166&amp;" | "&amp;BW$6,'Job Master'!$F$12:$J$102,5,0),"")</f>
        <v/>
      </c>
      <c r="BX166" s="19" t="str">
        <f>IF(BY166&lt;&gt;"",VLOOKUP($P166&amp;" | "&amp;BW$6,'Job Master'!$F$12:$J$102,3,0),"")</f>
        <v/>
      </c>
      <c r="BY166" s="19" t="str">
        <f>IFERROR(IF(AND(CF166&lt;&gt;"",VLOOKUP($P166&amp;" | "&amp;BW$6,'Job Master'!$F$12:$I$102,4,0)&lt;&gt;""),IF(WEEKDAY(CF166-VLOOKUP($P166&amp;" | "&amp;BW$6,'Job Master'!$F$12:$I$102,4,0))&lt;&gt;7,CF166-VLOOKUP($P166&amp;" | "&amp;BW$6,'Job Master'!$F$12:$I$102,4,0),CF166-VLOOKUP($P166&amp;" | "&amp;BW$6,'Job Master'!$F$12:$I$102,4,0)-1),""),"")</f>
        <v/>
      </c>
      <c r="BZ166" s="73"/>
      <c r="CA166" s="123" t="str">
        <f t="shared" si="288"/>
        <v/>
      </c>
      <c r="CB166" s="123" t="str">
        <f t="shared" si="289"/>
        <v/>
      </c>
      <c r="CC166" s="97" t="str">
        <f t="shared" ca="1" si="290"/>
        <v/>
      </c>
      <c r="CD166" s="98" t="str">
        <f>IF(CF166&lt;&gt;"",VLOOKUP($P166&amp;" | "&amp;CD$6,'Job Master'!$F$12:$J$102,5,0),"")</f>
        <v/>
      </c>
      <c r="CE166" s="19" t="str">
        <f>IF(CF166&lt;&gt;"",VLOOKUP($P166&amp;" | "&amp;CD$6,'Job Master'!$F$12:$J$102,3,0),"")</f>
        <v/>
      </c>
      <c r="CF166" s="19" t="str">
        <f>IFERROR(IF(AND(CM166&lt;&gt;"",VLOOKUP($P166&amp;" | "&amp;CD$6,'Job Master'!$F$12:$I$102,4,0)&lt;&gt;""),IF(WEEKDAY(CM166-VLOOKUP($P166&amp;" | "&amp;CD$6,'Job Master'!$F$12:$I$102,4,0))&lt;&gt;7,CM166-VLOOKUP($P166&amp;" | "&amp;CD$6,'Job Master'!$F$12:$I$102,4,0),CM166-VLOOKUP($P166&amp;" | "&amp;CD$6,'Job Master'!$F$12:$I$102,4,0)-1),""),"")</f>
        <v/>
      </c>
      <c r="CG166" s="73"/>
      <c r="CH166" s="123" t="str">
        <f t="shared" si="291"/>
        <v/>
      </c>
      <c r="CI166" s="123" t="str">
        <f t="shared" si="292"/>
        <v/>
      </c>
      <c r="CJ166" s="97" t="str">
        <f t="shared" ca="1" si="293"/>
        <v/>
      </c>
      <c r="CK166" s="98" t="str">
        <f>IF(CM166&lt;&gt;"",VLOOKUP($P166&amp;" | "&amp;CK$6,'Job Master'!$F$12:$J$102,5,0),"")</f>
        <v/>
      </c>
      <c r="CL166" s="19" t="str">
        <f>IF(CM166&lt;&gt;"",VLOOKUP($P166&amp;" | "&amp;CK$6,'Job Master'!$F$12:$J$102,3,0),"")</f>
        <v/>
      </c>
      <c r="CM166" s="19" t="str">
        <f>IFERROR(IF(AND(CT166&lt;&gt;"",VLOOKUP($P166&amp;" | "&amp;CK$6,'Job Master'!$F$12:$I$102,4,0)&lt;&gt;""),IF(WEEKDAY(CT166-VLOOKUP($P166&amp;" | "&amp;CK$6,'Job Master'!$F$12:$I$102,4,0))&lt;&gt;7,CT166-VLOOKUP($P166&amp;" | "&amp;CK$6,'Job Master'!$F$12:$I$102,4,0),CT166-VLOOKUP($P166&amp;" | "&amp;CK$6,'Job Master'!$F$12:$I$102,4,0)-1),""),"")</f>
        <v/>
      </c>
      <c r="CN166" s="73"/>
      <c r="CO166" s="123" t="str">
        <f t="shared" si="294"/>
        <v/>
      </c>
      <c r="CP166" s="123" t="str">
        <f t="shared" si="295"/>
        <v/>
      </c>
      <c r="CQ166" s="97" t="str">
        <f t="shared" ca="1" si="296"/>
        <v/>
      </c>
      <c r="CR166" s="98" t="str">
        <f>IF(CT166&lt;&gt;"",VLOOKUP($P166&amp;" | "&amp;CR$6,'Job Master'!$F$12:$J$102,5,0),"")</f>
        <v/>
      </c>
      <c r="CS166" s="19" t="str">
        <f>IF(CT166&lt;&gt;"",VLOOKUP($P166&amp;" | "&amp;CR$6,'Job Master'!$F$12:$J$102,3,0),"")</f>
        <v/>
      </c>
      <c r="CT166" s="19" t="str">
        <f>IFERROR(IF(AND(DA166&lt;&gt;"",VLOOKUP($P166&amp;" | "&amp;CR$6,'Job Master'!$F$12:$I$102,4,0)&lt;&gt;""),IF(WEEKDAY(DA166-VLOOKUP($P166&amp;" | "&amp;CR$6,'Job Master'!$F$12:$I$102,4,0))&lt;&gt;7,DA166-VLOOKUP($P166&amp;" | "&amp;CR$6,'Job Master'!$F$12:$I$102,4,0),DA166-VLOOKUP($P166&amp;" | "&amp;CR$6,'Job Master'!$F$12:$I$102,4,0)-1),""),"")</f>
        <v/>
      </c>
      <c r="CU166" s="73"/>
      <c r="CV166" s="123" t="str">
        <f t="shared" si="297"/>
        <v/>
      </c>
      <c r="CW166" s="123" t="str">
        <f t="shared" si="298"/>
        <v/>
      </c>
      <c r="CX166" s="97" t="str">
        <f t="shared" ca="1" si="299"/>
        <v/>
      </c>
      <c r="CY166" s="98" t="str">
        <f>IF(DA166&lt;&gt;"",VLOOKUP($P166&amp;" | "&amp;CY$6,'Job Master'!$F$12:$J$102,5,0),"")</f>
        <v/>
      </c>
      <c r="CZ166" s="19" t="str">
        <f>IF(DA166&lt;&gt;"",VLOOKUP($P166&amp;" | "&amp;CY$6,'Job Master'!$F$12:$J$102,3,0),"")</f>
        <v/>
      </c>
      <c r="DA166" s="19" t="str">
        <f>IFERROR(IF(AND(DH166&lt;&gt;"",VLOOKUP($P166&amp;" | "&amp;CY$6,'Job Master'!$F$12:$I$102,4,0)&lt;&gt;""),IF(WEEKDAY(DH166-VLOOKUP($P166&amp;" | "&amp;CY$6,'Job Master'!$F$12:$I$102,4,0))&lt;&gt;7,DH166-VLOOKUP($P166&amp;" | "&amp;CY$6,'Job Master'!$F$12:$I$102,4,0),DH166-VLOOKUP($P166&amp;" | "&amp;CY$6,'Job Master'!$F$12:$I$102,4,0)-1),""),"")</f>
        <v/>
      </c>
      <c r="DB166" s="73"/>
      <c r="DC166" s="123" t="str">
        <f t="shared" si="300"/>
        <v/>
      </c>
      <c r="DD166" s="123" t="str">
        <f t="shared" si="301"/>
        <v/>
      </c>
      <c r="DE166" s="97" t="str">
        <f t="shared" ca="1" si="302"/>
        <v/>
      </c>
      <c r="DF166" s="98" t="str">
        <f>IF(DH166&lt;&gt;"",VLOOKUP($P166&amp;" | "&amp;DF$6,'Job Master'!$F$12:$J$102,5,0),"")</f>
        <v/>
      </c>
      <c r="DG166" s="19" t="str">
        <f>IF(DH166&lt;&gt;"",VLOOKUP($P166&amp;" | "&amp;DF$6,'Job Master'!$F$12:$J$102,3,0),"")</f>
        <v/>
      </c>
      <c r="DH166" s="19" t="str">
        <f>IFERROR(IF(AND(DO166&lt;&gt;"",VLOOKUP($P166&amp;" | "&amp;DF$6,'Job Master'!$F$12:$I$102,4,0)&lt;&gt;""),IF(WEEKDAY(DO166-VLOOKUP($P166&amp;" | "&amp;DF$6,'Job Master'!$F$12:$I$102,4,0))&lt;&gt;7,DO166-VLOOKUP($P166&amp;" | "&amp;DF$6,'Job Master'!$F$12:$I$102,4,0),DO166-VLOOKUP($P166&amp;" | "&amp;DF$6,'Job Master'!$F$12:$I$102,4,0)-1),""),"")</f>
        <v/>
      </c>
      <c r="DI166" s="73"/>
      <c r="DJ166" s="123" t="str">
        <f t="shared" si="303"/>
        <v/>
      </c>
      <c r="DK166" s="123" t="str">
        <f t="shared" si="304"/>
        <v/>
      </c>
      <c r="DL166" s="97" t="str">
        <f t="shared" ca="1" si="305"/>
        <v/>
      </c>
      <c r="DM166" s="98" t="str">
        <f>IF(DO166&lt;&gt;"",VLOOKUP($P166&amp;" | "&amp;DM$6,'Job Master'!$F$12:$J$102,5,0),"")</f>
        <v/>
      </c>
      <c r="DN166" s="19" t="str">
        <f>IF(DO166&lt;&gt;"",VLOOKUP($P166&amp;" | "&amp;DM$6,'Job Master'!$F$12:$J$102,3,0),"")</f>
        <v/>
      </c>
      <c r="DO166" s="19" t="str">
        <f>IFERROR(IF(AND(DT166&lt;&gt;"",VLOOKUP($P166&amp;" | "&amp;DM$6,'Job Master'!$F$12:$I$102,4,0)&lt;&gt;""),IF(WEEKDAY(DT166-VLOOKUP($P166&amp;" | "&amp;DM$6,'Job Master'!$F$12:$I$102,4,0))&lt;&gt;7,DT166-VLOOKUP($P166&amp;" | "&amp;DM$6,'Job Master'!$F$12:$I$102,4,0),DT166-VLOOKUP($P166&amp;" | "&amp;DM$6,'Job Master'!$F$12:$I$102,4,0)-1),""),"")</f>
        <v/>
      </c>
      <c r="DP166" s="73"/>
      <c r="DQ166" s="123" t="str">
        <f t="shared" si="306"/>
        <v/>
      </c>
      <c r="DR166" s="123" t="str">
        <f t="shared" si="307"/>
        <v/>
      </c>
      <c r="DS166" s="97" t="str">
        <f t="shared" ca="1" si="308"/>
        <v/>
      </c>
      <c r="DT166" s="70" t="str">
        <f t="shared" si="309"/>
        <v/>
      </c>
      <c r="DU166" s="90"/>
      <c r="DV166" s="123" t="str">
        <f t="shared" si="310"/>
        <v/>
      </c>
      <c r="DW166" s="123" t="str">
        <f t="shared" si="311"/>
        <v/>
      </c>
      <c r="DX166" s="132" t="str">
        <f t="shared" ref="DX166" ca="1" si="351">IF(DT166&lt;&gt;"",IF(WEEKNUM(DT166)=WEEKNUM(TODAY()),"This Week",IF(WEEKNUM(DT166)=WEEKNUM(TODAY())+1,"Next Week",IF(WEEKNUM(DT166)=WEEKNUM(TODAY())-1,"Previous Week",""))),"")</f>
        <v/>
      </c>
      <c r="DY166" s="134" t="str">
        <f t="shared" si="313"/>
        <v/>
      </c>
      <c r="DZ166" s="95"/>
      <c r="EB166" s="8" t="str">
        <f t="shared" si="319"/>
        <v/>
      </c>
      <c r="EC166" s="8" t="str">
        <f>IF(O166&lt;&gt;"",VLOOKUP(O166,'Job Master'!$N$12:$O$18,2,0),"")</f>
        <v/>
      </c>
      <c r="ED166" s="8">
        <f t="shared" si="320"/>
        <v>19.5</v>
      </c>
      <c r="EE166" s="8">
        <f t="shared" si="321"/>
        <v>6</v>
      </c>
      <c r="EF166" s="8">
        <f t="shared" si="322"/>
        <v>-916.5</v>
      </c>
      <c r="EG166" s="8" t="str">
        <f t="shared" si="323"/>
        <v/>
      </c>
      <c r="EH166" s="8" t="str">
        <f t="shared" si="324"/>
        <v/>
      </c>
    </row>
    <row r="167" spans="2:138" x14ac:dyDescent="0.3">
      <c r="B167" s="112"/>
      <c r="C167" s="27"/>
      <c r="D167" s="7" t="str">
        <f t="shared" si="261"/>
        <v/>
      </c>
      <c r="E167" s="25"/>
      <c r="F167" s="7" t="str">
        <f t="shared" si="261"/>
        <v/>
      </c>
      <c r="G167" s="25"/>
      <c r="H167" s="7" t="str">
        <f t="shared" si="261"/>
        <v/>
      </c>
      <c r="I167" s="25"/>
      <c r="J167" s="7" t="str">
        <f t="shared" si="261"/>
        <v/>
      </c>
      <c r="K167" s="25"/>
      <c r="L167" s="7" t="str">
        <f t="shared" si="262"/>
        <v/>
      </c>
      <c r="M167" s="25"/>
      <c r="N167" s="7" t="str">
        <f t="shared" si="263"/>
        <v/>
      </c>
      <c r="O167" s="81"/>
      <c r="P167" s="81" t="str">
        <f t="shared" si="264"/>
        <v/>
      </c>
      <c r="Q167" s="81"/>
      <c r="R167" s="7" t="str">
        <f t="shared" si="265"/>
        <v/>
      </c>
      <c r="S167" s="25"/>
      <c r="T167" s="7" t="str">
        <f t="shared" si="266"/>
        <v/>
      </c>
      <c r="U167" s="25"/>
      <c r="V167" s="7" t="str">
        <f t="shared" si="267"/>
        <v/>
      </c>
      <c r="W167" s="25"/>
      <c r="X167" s="7" t="str">
        <f t="shared" si="268"/>
        <v/>
      </c>
      <c r="Y167" s="18" t="str">
        <f t="shared" si="269"/>
        <v/>
      </c>
      <c r="Z167" s="7" t="str">
        <f t="shared" si="270"/>
        <v/>
      </c>
      <c r="AA167" s="18" t="str">
        <f t="shared" si="271"/>
        <v/>
      </c>
      <c r="AB167" s="19" t="str">
        <f t="shared" si="272"/>
        <v/>
      </c>
      <c r="AC167" s="26"/>
      <c r="AD167" s="26"/>
      <c r="AE167" s="25"/>
      <c r="AF167" s="26"/>
      <c r="AG167" s="25"/>
      <c r="AH167" s="25"/>
      <c r="AI167" s="18" t="str">
        <f t="shared" si="335"/>
        <v/>
      </c>
      <c r="AJ167" s="25"/>
      <c r="AK167" s="18" t="str">
        <f t="shared" si="336"/>
        <v/>
      </c>
      <c r="AL167" s="79"/>
      <c r="AM167" s="126" t="str">
        <f t="shared" si="337"/>
        <v/>
      </c>
      <c r="AN167" s="128" t="str">
        <f>IF(AP167&lt;&gt;"",VLOOKUP($P167&amp;" | "&amp;AN$6,'Job Master'!$F$12:$J$102,5,0),"")</f>
        <v/>
      </c>
      <c r="AO167" s="19" t="str">
        <f>IF(AP167&lt;&gt;"",VLOOKUP($P167&amp;" | "&amp;AN$6,'Job Master'!$F$12:$J$102,3,0),"")</f>
        <v/>
      </c>
      <c r="AP167" s="19" t="str">
        <f>IFERROR(IF(AND(AW167&lt;&gt;"",VLOOKUP($P167&amp;" | "&amp;AN$6,'Job Master'!$F$12:$I$102,4,0)&lt;&gt;""),IF(WEEKDAY(AW167-VLOOKUP($P167&amp;" | "&amp;AN$6,'Job Master'!$F$12:$I$102,4,0))&lt;&gt;7,AW167-VLOOKUP($P167&amp;" | "&amp;AN$6,'Job Master'!$F$12:$I$102,4,0),AW167-VLOOKUP($P167&amp;" | "&amp;AN$6,'Job Master'!$F$12:$I$102,4,0)-1),""),"")</f>
        <v/>
      </c>
      <c r="AQ167" s="73"/>
      <c r="AR167" s="123" t="str">
        <f t="shared" si="273"/>
        <v/>
      </c>
      <c r="AS167" s="123" t="str">
        <f t="shared" si="274"/>
        <v/>
      </c>
      <c r="AT167" s="97" t="str">
        <f t="shared" ca="1" si="275"/>
        <v/>
      </c>
      <c r="AU167" s="98" t="str">
        <f>IF(AW167&lt;&gt;"",VLOOKUP($P167&amp;" | "&amp;AU$6,'Job Master'!$F$12:$J$102,5,0),"")</f>
        <v/>
      </c>
      <c r="AV167" s="19" t="str">
        <f>IF(AW167&lt;&gt;"",VLOOKUP($P167&amp;" | "&amp;AU$6,'Job Master'!$F$12:$J$102,3,0),"")</f>
        <v/>
      </c>
      <c r="AW167" s="19" t="str">
        <f>IFERROR(IF(AND(BD167&lt;&gt;"",VLOOKUP($P167&amp;" | "&amp;AU$6,'Job Master'!$F$12:$I$102,4,0)&lt;&gt;""),IF(WEEKDAY(BD167-VLOOKUP($P167&amp;" | "&amp;AU$6,'Job Master'!$F$12:$I$102,4,0))&lt;&gt;7,BD167-VLOOKUP($P167&amp;" | "&amp;AU$6,'Job Master'!$F$12:$I$102,4,0),BD167-VLOOKUP($P167&amp;" | "&amp;AU$6,'Job Master'!$F$12:$I$102,4,0)-1),""),"")</f>
        <v/>
      </c>
      <c r="AX167" s="73"/>
      <c r="AY167" s="123" t="str">
        <f t="shared" si="276"/>
        <v/>
      </c>
      <c r="AZ167" s="123" t="str">
        <f t="shared" si="277"/>
        <v/>
      </c>
      <c r="BA167" s="97" t="str">
        <f t="shared" ca="1" si="278"/>
        <v/>
      </c>
      <c r="BB167" s="98" t="str">
        <f>IF(BD167&lt;&gt;"",VLOOKUP($P167&amp;" | "&amp;BB$6,'Job Master'!$F$12:$J$102,5,0),"")</f>
        <v/>
      </c>
      <c r="BC167" s="19" t="str">
        <f>IF(BD167&lt;&gt;"",VLOOKUP($P167&amp;" | "&amp;BB$6,'Job Master'!$F$12:$J$102,3,0),"")</f>
        <v/>
      </c>
      <c r="BD167" s="19" t="str">
        <f>IFERROR(IF(AND(BK167&lt;&gt;"",VLOOKUP($P167&amp;" | "&amp;BB$6,'Job Master'!$F$12:$I$102,4,0)&lt;&gt;""),IF(WEEKDAY(BK167-VLOOKUP($P167&amp;" | "&amp;BB$6,'Job Master'!$F$12:$I$102,4,0))&lt;&gt;7,BK167-VLOOKUP($P167&amp;" | "&amp;BB$6,'Job Master'!$F$12:$I$102,4,0),BK167-VLOOKUP($P167&amp;" | "&amp;BB$6,'Job Master'!$F$12:$I$102,4,0)-1),""),"")</f>
        <v/>
      </c>
      <c r="BE167" s="73"/>
      <c r="BF167" s="123" t="str">
        <f t="shared" si="279"/>
        <v/>
      </c>
      <c r="BG167" s="123" t="str">
        <f t="shared" si="280"/>
        <v/>
      </c>
      <c r="BH167" s="97" t="str">
        <f t="shared" ca="1" si="281"/>
        <v/>
      </c>
      <c r="BI167" s="98" t="str">
        <f>IF(BK167&lt;&gt;"",VLOOKUP($P167&amp;" | "&amp;BI$6,'Job Master'!$F$12:$J$102,5,0),"")</f>
        <v/>
      </c>
      <c r="BJ167" s="19" t="str">
        <f>IF(BK167&lt;&gt;"",VLOOKUP($P167&amp;" | "&amp;BI$6,'Job Master'!$F$12:$J$102,3,0),"")</f>
        <v/>
      </c>
      <c r="BK167" s="19" t="str">
        <f>IFERROR(IF(AND(BR167&lt;&gt;"",VLOOKUP($P167&amp;" | "&amp;BI$6,'Job Master'!$F$12:$I$102,4,0)&lt;&gt;""),IF(WEEKDAY(BR167-VLOOKUP($P167&amp;" | "&amp;BI$6,'Job Master'!$F$12:$I$102,4,0))&lt;&gt;7,BR167-VLOOKUP($P167&amp;" | "&amp;BI$6,'Job Master'!$F$12:$I$102,4,0),BR167-VLOOKUP($P167&amp;" | "&amp;BI$6,'Job Master'!$F$12:$I$102,4,0)-1),""),"")</f>
        <v/>
      </c>
      <c r="BL167" s="73"/>
      <c r="BM167" s="123" t="str">
        <f t="shared" si="282"/>
        <v/>
      </c>
      <c r="BN167" s="123" t="str">
        <f t="shared" si="283"/>
        <v/>
      </c>
      <c r="BO167" s="97" t="str">
        <f t="shared" ca="1" si="284"/>
        <v/>
      </c>
      <c r="BP167" s="98" t="str">
        <f>IF(BR167&lt;&gt;"",VLOOKUP($P167&amp;" | "&amp;BP$6,'Job Master'!$F$12:$J$102,5,0),"")</f>
        <v/>
      </c>
      <c r="BQ167" s="19" t="str">
        <f>IF(BR167&lt;&gt;"",VLOOKUP($P167&amp;" | "&amp;BP$6,'Job Master'!$F$12:$J$102,3,0),"")</f>
        <v/>
      </c>
      <c r="BR167" s="19" t="str">
        <f>IFERROR(IF(AND(BY167&lt;&gt;"",VLOOKUP($P167&amp;" | "&amp;BP$6,'Job Master'!$F$12:$I$102,4,0)&lt;&gt;""),IF(WEEKDAY(BY167-VLOOKUP($P167&amp;" | "&amp;BP$6,'Job Master'!$F$12:$I$102,4,0))&lt;&gt;7,BY167-VLOOKUP($P167&amp;" | "&amp;BP$6,'Job Master'!$F$12:$I$102,4,0),BY167-VLOOKUP($P167&amp;" | "&amp;BP$6,'Job Master'!$F$12:$I$102,4,0)-1),""),"")</f>
        <v/>
      </c>
      <c r="BS167" s="73"/>
      <c r="BT167" s="123" t="str">
        <f t="shared" si="285"/>
        <v/>
      </c>
      <c r="BU167" s="123" t="str">
        <f t="shared" si="286"/>
        <v/>
      </c>
      <c r="BV167" s="97" t="str">
        <f t="shared" ca="1" si="287"/>
        <v/>
      </c>
      <c r="BW167" s="98" t="str">
        <f>IF(BY167&lt;&gt;"",VLOOKUP($P167&amp;" | "&amp;BW$6,'Job Master'!$F$12:$J$102,5,0),"")</f>
        <v/>
      </c>
      <c r="BX167" s="19" t="str">
        <f>IF(BY167&lt;&gt;"",VLOOKUP($P167&amp;" | "&amp;BW$6,'Job Master'!$F$12:$J$102,3,0),"")</f>
        <v/>
      </c>
      <c r="BY167" s="19" t="str">
        <f>IFERROR(IF(AND(CF167&lt;&gt;"",VLOOKUP($P167&amp;" | "&amp;BW$6,'Job Master'!$F$12:$I$102,4,0)&lt;&gt;""),IF(WEEKDAY(CF167-VLOOKUP($P167&amp;" | "&amp;BW$6,'Job Master'!$F$12:$I$102,4,0))&lt;&gt;7,CF167-VLOOKUP($P167&amp;" | "&amp;BW$6,'Job Master'!$F$12:$I$102,4,0),CF167-VLOOKUP($P167&amp;" | "&amp;BW$6,'Job Master'!$F$12:$I$102,4,0)-1),""),"")</f>
        <v/>
      </c>
      <c r="BZ167" s="73"/>
      <c r="CA167" s="123" t="str">
        <f t="shared" si="288"/>
        <v/>
      </c>
      <c r="CB167" s="123" t="str">
        <f t="shared" si="289"/>
        <v/>
      </c>
      <c r="CC167" s="97" t="str">
        <f t="shared" ca="1" si="290"/>
        <v/>
      </c>
      <c r="CD167" s="98" t="str">
        <f>IF(CF167&lt;&gt;"",VLOOKUP($P167&amp;" | "&amp;CD$6,'Job Master'!$F$12:$J$102,5,0),"")</f>
        <v/>
      </c>
      <c r="CE167" s="19" t="str">
        <f>IF(CF167&lt;&gt;"",VLOOKUP($P167&amp;" | "&amp;CD$6,'Job Master'!$F$12:$J$102,3,0),"")</f>
        <v/>
      </c>
      <c r="CF167" s="19" t="str">
        <f>IFERROR(IF(AND(CM167&lt;&gt;"",VLOOKUP($P167&amp;" | "&amp;CD$6,'Job Master'!$F$12:$I$102,4,0)&lt;&gt;""),IF(WEEKDAY(CM167-VLOOKUP($P167&amp;" | "&amp;CD$6,'Job Master'!$F$12:$I$102,4,0))&lt;&gt;7,CM167-VLOOKUP($P167&amp;" | "&amp;CD$6,'Job Master'!$F$12:$I$102,4,0),CM167-VLOOKUP($P167&amp;" | "&amp;CD$6,'Job Master'!$F$12:$I$102,4,0)-1),""),"")</f>
        <v/>
      </c>
      <c r="CG167" s="73"/>
      <c r="CH167" s="123" t="str">
        <f t="shared" si="291"/>
        <v/>
      </c>
      <c r="CI167" s="123" t="str">
        <f t="shared" si="292"/>
        <v/>
      </c>
      <c r="CJ167" s="97" t="str">
        <f t="shared" ca="1" si="293"/>
        <v/>
      </c>
      <c r="CK167" s="98" t="str">
        <f>IF(CM167&lt;&gt;"",VLOOKUP($P167&amp;" | "&amp;CK$6,'Job Master'!$F$12:$J$102,5,0),"")</f>
        <v/>
      </c>
      <c r="CL167" s="19" t="str">
        <f>IF(CM167&lt;&gt;"",VLOOKUP($P167&amp;" | "&amp;CK$6,'Job Master'!$F$12:$J$102,3,0),"")</f>
        <v/>
      </c>
      <c r="CM167" s="19" t="str">
        <f>IFERROR(IF(AND(CT167&lt;&gt;"",VLOOKUP($P167&amp;" | "&amp;CK$6,'Job Master'!$F$12:$I$102,4,0)&lt;&gt;""),IF(WEEKDAY(CT167-VLOOKUP($P167&amp;" | "&amp;CK$6,'Job Master'!$F$12:$I$102,4,0))&lt;&gt;7,CT167-VLOOKUP($P167&amp;" | "&amp;CK$6,'Job Master'!$F$12:$I$102,4,0),CT167-VLOOKUP($P167&amp;" | "&amp;CK$6,'Job Master'!$F$12:$I$102,4,0)-1),""),"")</f>
        <v/>
      </c>
      <c r="CN167" s="73"/>
      <c r="CO167" s="123" t="str">
        <f t="shared" si="294"/>
        <v/>
      </c>
      <c r="CP167" s="123" t="str">
        <f t="shared" si="295"/>
        <v/>
      </c>
      <c r="CQ167" s="97" t="str">
        <f t="shared" ca="1" si="296"/>
        <v/>
      </c>
      <c r="CR167" s="98" t="str">
        <f>IF(CT167&lt;&gt;"",VLOOKUP($P167&amp;" | "&amp;CR$6,'Job Master'!$F$12:$J$102,5,0),"")</f>
        <v/>
      </c>
      <c r="CS167" s="19" t="str">
        <f>IF(CT167&lt;&gt;"",VLOOKUP($P167&amp;" | "&amp;CR$6,'Job Master'!$F$12:$J$102,3,0),"")</f>
        <v/>
      </c>
      <c r="CT167" s="19" t="str">
        <f>IFERROR(IF(AND(DA167&lt;&gt;"",VLOOKUP($P167&amp;" | "&amp;CR$6,'Job Master'!$F$12:$I$102,4,0)&lt;&gt;""),IF(WEEKDAY(DA167-VLOOKUP($P167&amp;" | "&amp;CR$6,'Job Master'!$F$12:$I$102,4,0))&lt;&gt;7,DA167-VLOOKUP($P167&amp;" | "&amp;CR$6,'Job Master'!$F$12:$I$102,4,0),DA167-VLOOKUP($P167&amp;" | "&amp;CR$6,'Job Master'!$F$12:$I$102,4,0)-1),""),"")</f>
        <v/>
      </c>
      <c r="CU167" s="73"/>
      <c r="CV167" s="123" t="str">
        <f t="shared" si="297"/>
        <v/>
      </c>
      <c r="CW167" s="123" t="str">
        <f t="shared" si="298"/>
        <v/>
      </c>
      <c r="CX167" s="97" t="str">
        <f t="shared" ca="1" si="299"/>
        <v/>
      </c>
      <c r="CY167" s="98" t="str">
        <f>IF(DA167&lt;&gt;"",VLOOKUP($P167&amp;" | "&amp;CY$6,'Job Master'!$F$12:$J$102,5,0),"")</f>
        <v/>
      </c>
      <c r="CZ167" s="19" t="str">
        <f>IF(DA167&lt;&gt;"",VLOOKUP($P167&amp;" | "&amp;CY$6,'Job Master'!$F$12:$J$102,3,0),"")</f>
        <v/>
      </c>
      <c r="DA167" s="19" t="str">
        <f>IFERROR(IF(AND(DH167&lt;&gt;"",VLOOKUP($P167&amp;" | "&amp;CY$6,'Job Master'!$F$12:$I$102,4,0)&lt;&gt;""),IF(WEEKDAY(DH167-VLOOKUP($P167&amp;" | "&amp;CY$6,'Job Master'!$F$12:$I$102,4,0))&lt;&gt;7,DH167-VLOOKUP($P167&amp;" | "&amp;CY$6,'Job Master'!$F$12:$I$102,4,0),DH167-VLOOKUP($P167&amp;" | "&amp;CY$6,'Job Master'!$F$12:$I$102,4,0)-1),""),"")</f>
        <v/>
      </c>
      <c r="DB167" s="73"/>
      <c r="DC167" s="123" t="str">
        <f t="shared" si="300"/>
        <v/>
      </c>
      <c r="DD167" s="123" t="str">
        <f t="shared" si="301"/>
        <v/>
      </c>
      <c r="DE167" s="97" t="str">
        <f t="shared" ca="1" si="302"/>
        <v/>
      </c>
      <c r="DF167" s="98" t="str">
        <f>IF(DH167&lt;&gt;"",VLOOKUP($P167&amp;" | "&amp;DF$6,'Job Master'!$F$12:$J$102,5,0),"")</f>
        <v/>
      </c>
      <c r="DG167" s="19" t="str">
        <f>IF(DH167&lt;&gt;"",VLOOKUP($P167&amp;" | "&amp;DF$6,'Job Master'!$F$12:$J$102,3,0),"")</f>
        <v/>
      </c>
      <c r="DH167" s="19" t="str">
        <f>IFERROR(IF(AND(DO167&lt;&gt;"",VLOOKUP($P167&amp;" | "&amp;DF$6,'Job Master'!$F$12:$I$102,4,0)&lt;&gt;""),IF(WEEKDAY(DO167-VLOOKUP($P167&amp;" | "&amp;DF$6,'Job Master'!$F$12:$I$102,4,0))&lt;&gt;7,DO167-VLOOKUP($P167&amp;" | "&amp;DF$6,'Job Master'!$F$12:$I$102,4,0),DO167-VLOOKUP($P167&amp;" | "&amp;DF$6,'Job Master'!$F$12:$I$102,4,0)-1),""),"")</f>
        <v/>
      </c>
      <c r="DI167" s="73"/>
      <c r="DJ167" s="123" t="str">
        <f t="shared" si="303"/>
        <v/>
      </c>
      <c r="DK167" s="123" t="str">
        <f t="shared" si="304"/>
        <v/>
      </c>
      <c r="DL167" s="97" t="str">
        <f t="shared" ca="1" si="305"/>
        <v/>
      </c>
      <c r="DM167" s="98" t="str">
        <f>IF(DO167&lt;&gt;"",VLOOKUP($P167&amp;" | "&amp;DM$6,'Job Master'!$F$12:$J$102,5,0),"")</f>
        <v/>
      </c>
      <c r="DN167" s="19" t="str">
        <f>IF(DO167&lt;&gt;"",VLOOKUP($P167&amp;" | "&amp;DM$6,'Job Master'!$F$12:$J$102,3,0),"")</f>
        <v/>
      </c>
      <c r="DO167" s="19" t="str">
        <f>IFERROR(IF(AND(DT167&lt;&gt;"",VLOOKUP($P167&amp;" | "&amp;DM$6,'Job Master'!$F$12:$I$102,4,0)&lt;&gt;""),IF(WEEKDAY(DT167-VLOOKUP($P167&amp;" | "&amp;DM$6,'Job Master'!$F$12:$I$102,4,0))&lt;&gt;7,DT167-VLOOKUP($P167&amp;" | "&amp;DM$6,'Job Master'!$F$12:$I$102,4,0),DT167-VLOOKUP($P167&amp;" | "&amp;DM$6,'Job Master'!$F$12:$I$102,4,0)-1),""),"")</f>
        <v/>
      </c>
      <c r="DP167" s="73"/>
      <c r="DQ167" s="123" t="str">
        <f t="shared" si="306"/>
        <v/>
      </c>
      <c r="DR167" s="123" t="str">
        <f t="shared" si="307"/>
        <v/>
      </c>
      <c r="DS167" s="97" t="str">
        <f t="shared" ca="1" si="308"/>
        <v/>
      </c>
      <c r="DT167" s="70" t="str">
        <f t="shared" si="309"/>
        <v/>
      </c>
      <c r="DU167" s="90"/>
      <c r="DV167" s="123" t="str">
        <f t="shared" si="310"/>
        <v/>
      </c>
      <c r="DW167" s="123" t="str">
        <f t="shared" si="311"/>
        <v/>
      </c>
      <c r="DX167" s="132" t="str">
        <f t="shared" ref="DX167" ca="1" si="352">IF(DT167&lt;&gt;"",IF(WEEKNUM(DT167)=WEEKNUM(TODAY()),"This Week",IF(WEEKNUM(DT167)=WEEKNUM(TODAY())+1,"Next Week",IF(WEEKNUM(DT167)=WEEKNUM(TODAY())-1,"Previous Week",""))),"")</f>
        <v/>
      </c>
      <c r="DY167" s="134" t="str">
        <f t="shared" si="313"/>
        <v/>
      </c>
      <c r="DZ167" s="95"/>
      <c r="EB167" s="8" t="str">
        <f t="shared" si="319"/>
        <v/>
      </c>
      <c r="EC167" s="8" t="str">
        <f>IF(O167&lt;&gt;"",VLOOKUP(O167,'Job Master'!$N$12:$O$18,2,0),"")</f>
        <v/>
      </c>
      <c r="ED167" s="8">
        <f t="shared" si="320"/>
        <v>19.5</v>
      </c>
      <c r="EE167" s="8">
        <f t="shared" si="321"/>
        <v>6</v>
      </c>
      <c r="EF167" s="8">
        <f t="shared" si="322"/>
        <v>-922.5</v>
      </c>
      <c r="EG167" s="8" t="str">
        <f t="shared" si="323"/>
        <v/>
      </c>
      <c r="EH167" s="8" t="str">
        <f t="shared" si="324"/>
        <v/>
      </c>
    </row>
    <row r="168" spans="2:138" x14ac:dyDescent="0.3">
      <c r="B168" s="112"/>
      <c r="C168" s="27"/>
      <c r="D168" s="7" t="str">
        <f t="shared" si="261"/>
        <v/>
      </c>
      <c r="E168" s="25"/>
      <c r="F168" s="7" t="str">
        <f t="shared" si="261"/>
        <v/>
      </c>
      <c r="G168" s="25"/>
      <c r="H168" s="7" t="str">
        <f t="shared" si="261"/>
        <v/>
      </c>
      <c r="I168" s="25"/>
      <c r="J168" s="7" t="str">
        <f t="shared" si="261"/>
        <v/>
      </c>
      <c r="K168" s="25"/>
      <c r="L168" s="7" t="str">
        <f t="shared" si="262"/>
        <v/>
      </c>
      <c r="M168" s="25"/>
      <c r="N168" s="7" t="str">
        <f t="shared" si="263"/>
        <v/>
      </c>
      <c r="O168" s="81"/>
      <c r="P168" s="81" t="str">
        <f t="shared" si="264"/>
        <v/>
      </c>
      <c r="Q168" s="81"/>
      <c r="R168" s="7" t="str">
        <f t="shared" si="265"/>
        <v/>
      </c>
      <c r="S168" s="25"/>
      <c r="T168" s="7" t="str">
        <f t="shared" si="266"/>
        <v/>
      </c>
      <c r="U168" s="25"/>
      <c r="V168" s="7" t="str">
        <f t="shared" si="267"/>
        <v/>
      </c>
      <c r="W168" s="25"/>
      <c r="X168" s="7" t="str">
        <f t="shared" si="268"/>
        <v/>
      </c>
      <c r="Y168" s="18" t="str">
        <f t="shared" si="269"/>
        <v/>
      </c>
      <c r="Z168" s="7" t="str">
        <f t="shared" si="270"/>
        <v/>
      </c>
      <c r="AA168" s="18" t="str">
        <f t="shared" si="271"/>
        <v/>
      </c>
      <c r="AB168" s="19" t="str">
        <f t="shared" si="272"/>
        <v/>
      </c>
      <c r="AC168" s="26"/>
      <c r="AD168" s="26"/>
      <c r="AE168" s="25"/>
      <c r="AF168" s="26"/>
      <c r="AG168" s="25"/>
      <c r="AH168" s="25"/>
      <c r="AI168" s="18" t="str">
        <f t="shared" si="335"/>
        <v/>
      </c>
      <c r="AJ168" s="25"/>
      <c r="AK168" s="18" t="str">
        <f t="shared" si="336"/>
        <v/>
      </c>
      <c r="AL168" s="79"/>
      <c r="AM168" s="126" t="str">
        <f t="shared" si="337"/>
        <v/>
      </c>
      <c r="AN168" s="128" t="str">
        <f>IF(AP168&lt;&gt;"",VLOOKUP($P168&amp;" | "&amp;AN$6,'Job Master'!$F$12:$J$102,5,0),"")</f>
        <v/>
      </c>
      <c r="AO168" s="19" t="str">
        <f>IF(AP168&lt;&gt;"",VLOOKUP($P168&amp;" | "&amp;AN$6,'Job Master'!$F$12:$J$102,3,0),"")</f>
        <v/>
      </c>
      <c r="AP168" s="19" t="str">
        <f>IFERROR(IF(AND(AW168&lt;&gt;"",VLOOKUP($P168&amp;" | "&amp;AN$6,'Job Master'!$F$12:$I$102,4,0)&lt;&gt;""),IF(WEEKDAY(AW168-VLOOKUP($P168&amp;" | "&amp;AN$6,'Job Master'!$F$12:$I$102,4,0))&lt;&gt;7,AW168-VLOOKUP($P168&amp;" | "&amp;AN$6,'Job Master'!$F$12:$I$102,4,0),AW168-VLOOKUP($P168&amp;" | "&amp;AN$6,'Job Master'!$F$12:$I$102,4,0)-1),""),"")</f>
        <v/>
      </c>
      <c r="AQ168" s="73"/>
      <c r="AR168" s="123" t="str">
        <f t="shared" si="273"/>
        <v/>
      </c>
      <c r="AS168" s="123" t="str">
        <f t="shared" si="274"/>
        <v/>
      </c>
      <c r="AT168" s="97" t="str">
        <f t="shared" ca="1" si="275"/>
        <v/>
      </c>
      <c r="AU168" s="98" t="str">
        <f>IF(AW168&lt;&gt;"",VLOOKUP($P168&amp;" | "&amp;AU$6,'Job Master'!$F$12:$J$102,5,0),"")</f>
        <v/>
      </c>
      <c r="AV168" s="19" t="str">
        <f>IF(AW168&lt;&gt;"",VLOOKUP($P168&amp;" | "&amp;AU$6,'Job Master'!$F$12:$J$102,3,0),"")</f>
        <v/>
      </c>
      <c r="AW168" s="19" t="str">
        <f>IFERROR(IF(AND(BD168&lt;&gt;"",VLOOKUP($P168&amp;" | "&amp;AU$6,'Job Master'!$F$12:$I$102,4,0)&lt;&gt;""),IF(WEEKDAY(BD168-VLOOKUP($P168&amp;" | "&amp;AU$6,'Job Master'!$F$12:$I$102,4,0))&lt;&gt;7,BD168-VLOOKUP($P168&amp;" | "&amp;AU$6,'Job Master'!$F$12:$I$102,4,0),BD168-VLOOKUP($P168&amp;" | "&amp;AU$6,'Job Master'!$F$12:$I$102,4,0)-1),""),"")</f>
        <v/>
      </c>
      <c r="AX168" s="73"/>
      <c r="AY168" s="123" t="str">
        <f t="shared" si="276"/>
        <v/>
      </c>
      <c r="AZ168" s="123" t="str">
        <f t="shared" si="277"/>
        <v/>
      </c>
      <c r="BA168" s="97" t="str">
        <f t="shared" ca="1" si="278"/>
        <v/>
      </c>
      <c r="BB168" s="98" t="str">
        <f>IF(BD168&lt;&gt;"",VLOOKUP($P168&amp;" | "&amp;BB$6,'Job Master'!$F$12:$J$102,5,0),"")</f>
        <v/>
      </c>
      <c r="BC168" s="19" t="str">
        <f>IF(BD168&lt;&gt;"",VLOOKUP($P168&amp;" | "&amp;BB$6,'Job Master'!$F$12:$J$102,3,0),"")</f>
        <v/>
      </c>
      <c r="BD168" s="19" t="str">
        <f>IFERROR(IF(AND(BK168&lt;&gt;"",VLOOKUP($P168&amp;" | "&amp;BB$6,'Job Master'!$F$12:$I$102,4,0)&lt;&gt;""),IF(WEEKDAY(BK168-VLOOKUP($P168&amp;" | "&amp;BB$6,'Job Master'!$F$12:$I$102,4,0))&lt;&gt;7,BK168-VLOOKUP($P168&amp;" | "&amp;BB$6,'Job Master'!$F$12:$I$102,4,0),BK168-VLOOKUP($P168&amp;" | "&amp;BB$6,'Job Master'!$F$12:$I$102,4,0)-1),""),"")</f>
        <v/>
      </c>
      <c r="BE168" s="73"/>
      <c r="BF168" s="123" t="str">
        <f t="shared" si="279"/>
        <v/>
      </c>
      <c r="BG168" s="123" t="str">
        <f t="shared" si="280"/>
        <v/>
      </c>
      <c r="BH168" s="97" t="str">
        <f t="shared" ca="1" si="281"/>
        <v/>
      </c>
      <c r="BI168" s="98" t="str">
        <f>IF(BK168&lt;&gt;"",VLOOKUP($P168&amp;" | "&amp;BI$6,'Job Master'!$F$12:$J$102,5,0),"")</f>
        <v/>
      </c>
      <c r="BJ168" s="19" t="str">
        <f>IF(BK168&lt;&gt;"",VLOOKUP($P168&amp;" | "&amp;BI$6,'Job Master'!$F$12:$J$102,3,0),"")</f>
        <v/>
      </c>
      <c r="BK168" s="19" t="str">
        <f>IFERROR(IF(AND(BR168&lt;&gt;"",VLOOKUP($P168&amp;" | "&amp;BI$6,'Job Master'!$F$12:$I$102,4,0)&lt;&gt;""),IF(WEEKDAY(BR168-VLOOKUP($P168&amp;" | "&amp;BI$6,'Job Master'!$F$12:$I$102,4,0))&lt;&gt;7,BR168-VLOOKUP($P168&amp;" | "&amp;BI$6,'Job Master'!$F$12:$I$102,4,0),BR168-VLOOKUP($P168&amp;" | "&amp;BI$6,'Job Master'!$F$12:$I$102,4,0)-1),""),"")</f>
        <v/>
      </c>
      <c r="BL168" s="73"/>
      <c r="BM168" s="123" t="str">
        <f t="shared" si="282"/>
        <v/>
      </c>
      <c r="BN168" s="123" t="str">
        <f t="shared" si="283"/>
        <v/>
      </c>
      <c r="BO168" s="97" t="str">
        <f t="shared" ca="1" si="284"/>
        <v/>
      </c>
      <c r="BP168" s="98" t="str">
        <f>IF(BR168&lt;&gt;"",VLOOKUP($P168&amp;" | "&amp;BP$6,'Job Master'!$F$12:$J$102,5,0),"")</f>
        <v/>
      </c>
      <c r="BQ168" s="19" t="str">
        <f>IF(BR168&lt;&gt;"",VLOOKUP($P168&amp;" | "&amp;BP$6,'Job Master'!$F$12:$J$102,3,0),"")</f>
        <v/>
      </c>
      <c r="BR168" s="19" t="str">
        <f>IFERROR(IF(AND(BY168&lt;&gt;"",VLOOKUP($P168&amp;" | "&amp;BP$6,'Job Master'!$F$12:$I$102,4,0)&lt;&gt;""),IF(WEEKDAY(BY168-VLOOKUP($P168&amp;" | "&amp;BP$6,'Job Master'!$F$12:$I$102,4,0))&lt;&gt;7,BY168-VLOOKUP($P168&amp;" | "&amp;BP$6,'Job Master'!$F$12:$I$102,4,0),BY168-VLOOKUP($P168&amp;" | "&amp;BP$6,'Job Master'!$F$12:$I$102,4,0)-1),""),"")</f>
        <v/>
      </c>
      <c r="BS168" s="73"/>
      <c r="BT168" s="123" t="str">
        <f t="shared" si="285"/>
        <v/>
      </c>
      <c r="BU168" s="123" t="str">
        <f t="shared" si="286"/>
        <v/>
      </c>
      <c r="BV168" s="97" t="str">
        <f t="shared" ca="1" si="287"/>
        <v/>
      </c>
      <c r="BW168" s="98" t="str">
        <f>IF(BY168&lt;&gt;"",VLOOKUP($P168&amp;" | "&amp;BW$6,'Job Master'!$F$12:$J$102,5,0),"")</f>
        <v/>
      </c>
      <c r="BX168" s="19" t="str">
        <f>IF(BY168&lt;&gt;"",VLOOKUP($P168&amp;" | "&amp;BW$6,'Job Master'!$F$12:$J$102,3,0),"")</f>
        <v/>
      </c>
      <c r="BY168" s="19" t="str">
        <f>IFERROR(IF(AND(CF168&lt;&gt;"",VLOOKUP($P168&amp;" | "&amp;BW$6,'Job Master'!$F$12:$I$102,4,0)&lt;&gt;""),IF(WEEKDAY(CF168-VLOOKUP($P168&amp;" | "&amp;BW$6,'Job Master'!$F$12:$I$102,4,0))&lt;&gt;7,CF168-VLOOKUP($P168&amp;" | "&amp;BW$6,'Job Master'!$F$12:$I$102,4,0),CF168-VLOOKUP($P168&amp;" | "&amp;BW$6,'Job Master'!$F$12:$I$102,4,0)-1),""),"")</f>
        <v/>
      </c>
      <c r="BZ168" s="73"/>
      <c r="CA168" s="123" t="str">
        <f t="shared" si="288"/>
        <v/>
      </c>
      <c r="CB168" s="123" t="str">
        <f t="shared" si="289"/>
        <v/>
      </c>
      <c r="CC168" s="97" t="str">
        <f t="shared" ca="1" si="290"/>
        <v/>
      </c>
      <c r="CD168" s="98" t="str">
        <f>IF(CF168&lt;&gt;"",VLOOKUP($P168&amp;" | "&amp;CD$6,'Job Master'!$F$12:$J$102,5,0),"")</f>
        <v/>
      </c>
      <c r="CE168" s="19" t="str">
        <f>IF(CF168&lt;&gt;"",VLOOKUP($P168&amp;" | "&amp;CD$6,'Job Master'!$F$12:$J$102,3,0),"")</f>
        <v/>
      </c>
      <c r="CF168" s="19" t="str">
        <f>IFERROR(IF(AND(CM168&lt;&gt;"",VLOOKUP($P168&amp;" | "&amp;CD$6,'Job Master'!$F$12:$I$102,4,0)&lt;&gt;""),IF(WEEKDAY(CM168-VLOOKUP($P168&amp;" | "&amp;CD$6,'Job Master'!$F$12:$I$102,4,0))&lt;&gt;7,CM168-VLOOKUP($P168&amp;" | "&amp;CD$6,'Job Master'!$F$12:$I$102,4,0),CM168-VLOOKUP($P168&amp;" | "&amp;CD$6,'Job Master'!$F$12:$I$102,4,0)-1),""),"")</f>
        <v/>
      </c>
      <c r="CG168" s="73"/>
      <c r="CH168" s="123" t="str">
        <f t="shared" si="291"/>
        <v/>
      </c>
      <c r="CI168" s="123" t="str">
        <f t="shared" si="292"/>
        <v/>
      </c>
      <c r="CJ168" s="97" t="str">
        <f t="shared" ca="1" si="293"/>
        <v/>
      </c>
      <c r="CK168" s="98" t="str">
        <f>IF(CM168&lt;&gt;"",VLOOKUP($P168&amp;" | "&amp;CK$6,'Job Master'!$F$12:$J$102,5,0),"")</f>
        <v/>
      </c>
      <c r="CL168" s="19" t="str">
        <f>IF(CM168&lt;&gt;"",VLOOKUP($P168&amp;" | "&amp;CK$6,'Job Master'!$F$12:$J$102,3,0),"")</f>
        <v/>
      </c>
      <c r="CM168" s="19" t="str">
        <f>IFERROR(IF(AND(CT168&lt;&gt;"",VLOOKUP($P168&amp;" | "&amp;CK$6,'Job Master'!$F$12:$I$102,4,0)&lt;&gt;""),IF(WEEKDAY(CT168-VLOOKUP($P168&amp;" | "&amp;CK$6,'Job Master'!$F$12:$I$102,4,0))&lt;&gt;7,CT168-VLOOKUP($P168&amp;" | "&amp;CK$6,'Job Master'!$F$12:$I$102,4,0),CT168-VLOOKUP($P168&amp;" | "&amp;CK$6,'Job Master'!$F$12:$I$102,4,0)-1),""),"")</f>
        <v/>
      </c>
      <c r="CN168" s="73"/>
      <c r="CO168" s="123" t="str">
        <f t="shared" si="294"/>
        <v/>
      </c>
      <c r="CP168" s="123" t="str">
        <f t="shared" si="295"/>
        <v/>
      </c>
      <c r="CQ168" s="97" t="str">
        <f t="shared" ca="1" si="296"/>
        <v/>
      </c>
      <c r="CR168" s="98" t="str">
        <f>IF(CT168&lt;&gt;"",VLOOKUP($P168&amp;" | "&amp;CR$6,'Job Master'!$F$12:$J$102,5,0),"")</f>
        <v/>
      </c>
      <c r="CS168" s="19" t="str">
        <f>IF(CT168&lt;&gt;"",VLOOKUP($P168&amp;" | "&amp;CR$6,'Job Master'!$F$12:$J$102,3,0),"")</f>
        <v/>
      </c>
      <c r="CT168" s="19" t="str">
        <f>IFERROR(IF(AND(DA168&lt;&gt;"",VLOOKUP($P168&amp;" | "&amp;CR$6,'Job Master'!$F$12:$I$102,4,0)&lt;&gt;""),IF(WEEKDAY(DA168-VLOOKUP($P168&amp;" | "&amp;CR$6,'Job Master'!$F$12:$I$102,4,0))&lt;&gt;7,DA168-VLOOKUP($P168&amp;" | "&amp;CR$6,'Job Master'!$F$12:$I$102,4,0),DA168-VLOOKUP($P168&amp;" | "&amp;CR$6,'Job Master'!$F$12:$I$102,4,0)-1),""),"")</f>
        <v/>
      </c>
      <c r="CU168" s="73"/>
      <c r="CV168" s="123" t="str">
        <f t="shared" si="297"/>
        <v/>
      </c>
      <c r="CW168" s="123" t="str">
        <f t="shared" si="298"/>
        <v/>
      </c>
      <c r="CX168" s="97" t="str">
        <f t="shared" ca="1" si="299"/>
        <v/>
      </c>
      <c r="CY168" s="98" t="str">
        <f>IF(DA168&lt;&gt;"",VLOOKUP($P168&amp;" | "&amp;CY$6,'Job Master'!$F$12:$J$102,5,0),"")</f>
        <v/>
      </c>
      <c r="CZ168" s="19" t="str">
        <f>IF(DA168&lt;&gt;"",VLOOKUP($P168&amp;" | "&amp;CY$6,'Job Master'!$F$12:$J$102,3,0),"")</f>
        <v/>
      </c>
      <c r="DA168" s="19" t="str">
        <f>IFERROR(IF(AND(DH168&lt;&gt;"",VLOOKUP($P168&amp;" | "&amp;CY$6,'Job Master'!$F$12:$I$102,4,0)&lt;&gt;""),IF(WEEKDAY(DH168-VLOOKUP($P168&amp;" | "&amp;CY$6,'Job Master'!$F$12:$I$102,4,0))&lt;&gt;7,DH168-VLOOKUP($P168&amp;" | "&amp;CY$6,'Job Master'!$F$12:$I$102,4,0),DH168-VLOOKUP($P168&amp;" | "&amp;CY$6,'Job Master'!$F$12:$I$102,4,0)-1),""),"")</f>
        <v/>
      </c>
      <c r="DB168" s="73"/>
      <c r="DC168" s="123" t="str">
        <f t="shared" si="300"/>
        <v/>
      </c>
      <c r="DD168" s="123" t="str">
        <f t="shared" si="301"/>
        <v/>
      </c>
      <c r="DE168" s="97" t="str">
        <f t="shared" ca="1" si="302"/>
        <v/>
      </c>
      <c r="DF168" s="98" t="str">
        <f>IF(DH168&lt;&gt;"",VLOOKUP($P168&amp;" | "&amp;DF$6,'Job Master'!$F$12:$J$102,5,0),"")</f>
        <v/>
      </c>
      <c r="DG168" s="19" t="str">
        <f>IF(DH168&lt;&gt;"",VLOOKUP($P168&amp;" | "&amp;DF$6,'Job Master'!$F$12:$J$102,3,0),"")</f>
        <v/>
      </c>
      <c r="DH168" s="19" t="str">
        <f>IFERROR(IF(AND(DO168&lt;&gt;"",VLOOKUP($P168&amp;" | "&amp;DF$6,'Job Master'!$F$12:$I$102,4,0)&lt;&gt;""),IF(WEEKDAY(DO168-VLOOKUP($P168&amp;" | "&amp;DF$6,'Job Master'!$F$12:$I$102,4,0))&lt;&gt;7,DO168-VLOOKUP($P168&amp;" | "&amp;DF$6,'Job Master'!$F$12:$I$102,4,0),DO168-VLOOKUP($P168&amp;" | "&amp;DF$6,'Job Master'!$F$12:$I$102,4,0)-1),""),"")</f>
        <v/>
      </c>
      <c r="DI168" s="73"/>
      <c r="DJ168" s="123" t="str">
        <f t="shared" si="303"/>
        <v/>
      </c>
      <c r="DK168" s="123" t="str">
        <f t="shared" si="304"/>
        <v/>
      </c>
      <c r="DL168" s="97" t="str">
        <f t="shared" ca="1" si="305"/>
        <v/>
      </c>
      <c r="DM168" s="98" t="str">
        <f>IF(DO168&lt;&gt;"",VLOOKUP($P168&amp;" | "&amp;DM$6,'Job Master'!$F$12:$J$102,5,0),"")</f>
        <v/>
      </c>
      <c r="DN168" s="19" t="str">
        <f>IF(DO168&lt;&gt;"",VLOOKUP($P168&amp;" | "&amp;DM$6,'Job Master'!$F$12:$J$102,3,0),"")</f>
        <v/>
      </c>
      <c r="DO168" s="19" t="str">
        <f>IFERROR(IF(AND(DT168&lt;&gt;"",VLOOKUP($P168&amp;" | "&amp;DM$6,'Job Master'!$F$12:$I$102,4,0)&lt;&gt;""),IF(WEEKDAY(DT168-VLOOKUP($P168&amp;" | "&amp;DM$6,'Job Master'!$F$12:$I$102,4,0))&lt;&gt;7,DT168-VLOOKUP($P168&amp;" | "&amp;DM$6,'Job Master'!$F$12:$I$102,4,0),DT168-VLOOKUP($P168&amp;" | "&amp;DM$6,'Job Master'!$F$12:$I$102,4,0)-1),""),"")</f>
        <v/>
      </c>
      <c r="DP168" s="73"/>
      <c r="DQ168" s="123" t="str">
        <f t="shared" si="306"/>
        <v/>
      </c>
      <c r="DR168" s="123" t="str">
        <f t="shared" si="307"/>
        <v/>
      </c>
      <c r="DS168" s="97" t="str">
        <f t="shared" ca="1" si="308"/>
        <v/>
      </c>
      <c r="DT168" s="70" t="str">
        <f t="shared" si="309"/>
        <v/>
      </c>
      <c r="DU168" s="90"/>
      <c r="DV168" s="123" t="str">
        <f t="shared" si="310"/>
        <v/>
      </c>
      <c r="DW168" s="123" t="str">
        <f t="shared" si="311"/>
        <v/>
      </c>
      <c r="DX168" s="132" t="str">
        <f t="shared" ref="DX168" ca="1" si="353">IF(DT168&lt;&gt;"",IF(WEEKNUM(DT168)=WEEKNUM(TODAY()),"This Week",IF(WEEKNUM(DT168)=WEEKNUM(TODAY())+1,"Next Week",IF(WEEKNUM(DT168)=WEEKNUM(TODAY())-1,"Previous Week",""))),"")</f>
        <v/>
      </c>
      <c r="DY168" s="134" t="str">
        <f t="shared" si="313"/>
        <v/>
      </c>
      <c r="DZ168" s="95"/>
      <c r="EB168" s="8" t="str">
        <f t="shared" si="319"/>
        <v/>
      </c>
      <c r="EC168" s="8" t="str">
        <f>IF(O168&lt;&gt;"",VLOOKUP(O168,'Job Master'!$N$12:$O$18,2,0),"")</f>
        <v/>
      </c>
      <c r="ED168" s="8">
        <f t="shared" si="320"/>
        <v>19.5</v>
      </c>
      <c r="EE168" s="8">
        <f t="shared" si="321"/>
        <v>6</v>
      </c>
      <c r="EF168" s="8">
        <f t="shared" si="322"/>
        <v>-928.5</v>
      </c>
      <c r="EG168" s="8" t="str">
        <f t="shared" si="323"/>
        <v/>
      </c>
      <c r="EH168" s="8" t="str">
        <f t="shared" si="324"/>
        <v/>
      </c>
    </row>
    <row r="169" spans="2:138" x14ac:dyDescent="0.3">
      <c r="B169" s="112"/>
      <c r="C169" s="27"/>
      <c r="D169" s="7" t="str">
        <f t="shared" si="261"/>
        <v/>
      </c>
      <c r="E169" s="25"/>
      <c r="F169" s="7" t="str">
        <f t="shared" si="261"/>
        <v/>
      </c>
      <c r="G169" s="25"/>
      <c r="H169" s="7" t="str">
        <f t="shared" si="261"/>
        <v/>
      </c>
      <c r="I169" s="25"/>
      <c r="J169" s="7" t="str">
        <f t="shared" si="261"/>
        <v/>
      </c>
      <c r="K169" s="25"/>
      <c r="L169" s="7" t="str">
        <f t="shared" si="262"/>
        <v/>
      </c>
      <c r="M169" s="25"/>
      <c r="N169" s="7" t="str">
        <f t="shared" si="263"/>
        <v/>
      </c>
      <c r="O169" s="81"/>
      <c r="P169" s="81" t="str">
        <f t="shared" si="264"/>
        <v/>
      </c>
      <c r="Q169" s="81"/>
      <c r="R169" s="7" t="str">
        <f t="shared" si="265"/>
        <v/>
      </c>
      <c r="S169" s="25"/>
      <c r="T169" s="7" t="str">
        <f t="shared" si="266"/>
        <v/>
      </c>
      <c r="U169" s="25"/>
      <c r="V169" s="7" t="str">
        <f t="shared" si="267"/>
        <v/>
      </c>
      <c r="W169" s="25"/>
      <c r="X169" s="7" t="str">
        <f t="shared" si="268"/>
        <v/>
      </c>
      <c r="Y169" s="18" t="str">
        <f t="shared" si="269"/>
        <v/>
      </c>
      <c r="Z169" s="7" t="str">
        <f t="shared" si="270"/>
        <v/>
      </c>
      <c r="AA169" s="18" t="str">
        <f t="shared" si="271"/>
        <v/>
      </c>
      <c r="AB169" s="19" t="str">
        <f t="shared" si="272"/>
        <v/>
      </c>
      <c r="AC169" s="26"/>
      <c r="AD169" s="26"/>
      <c r="AE169" s="25"/>
      <c r="AF169" s="26"/>
      <c r="AG169" s="25"/>
      <c r="AH169" s="25"/>
      <c r="AI169" s="18" t="str">
        <f t="shared" si="335"/>
        <v/>
      </c>
      <c r="AJ169" s="25"/>
      <c r="AK169" s="18" t="str">
        <f t="shared" si="336"/>
        <v/>
      </c>
      <c r="AL169" s="79"/>
      <c r="AM169" s="126" t="str">
        <f t="shared" si="337"/>
        <v/>
      </c>
      <c r="AN169" s="128" t="str">
        <f>IF(AP169&lt;&gt;"",VLOOKUP($P169&amp;" | "&amp;AN$6,'Job Master'!$F$12:$J$102,5,0),"")</f>
        <v/>
      </c>
      <c r="AO169" s="19" t="str">
        <f>IF(AP169&lt;&gt;"",VLOOKUP($P169&amp;" | "&amp;AN$6,'Job Master'!$F$12:$J$102,3,0),"")</f>
        <v/>
      </c>
      <c r="AP169" s="19" t="str">
        <f>IFERROR(IF(AND(AW169&lt;&gt;"",VLOOKUP($P169&amp;" | "&amp;AN$6,'Job Master'!$F$12:$I$102,4,0)&lt;&gt;""),IF(WEEKDAY(AW169-VLOOKUP($P169&amp;" | "&amp;AN$6,'Job Master'!$F$12:$I$102,4,0))&lt;&gt;7,AW169-VLOOKUP($P169&amp;" | "&amp;AN$6,'Job Master'!$F$12:$I$102,4,0),AW169-VLOOKUP($P169&amp;" | "&amp;AN$6,'Job Master'!$F$12:$I$102,4,0)-1),""),"")</f>
        <v/>
      </c>
      <c r="AQ169" s="73"/>
      <c r="AR169" s="123" t="str">
        <f t="shared" si="273"/>
        <v/>
      </c>
      <c r="AS169" s="123" t="str">
        <f t="shared" si="274"/>
        <v/>
      </c>
      <c r="AT169" s="97" t="str">
        <f t="shared" ca="1" si="275"/>
        <v/>
      </c>
      <c r="AU169" s="98" t="str">
        <f>IF(AW169&lt;&gt;"",VLOOKUP($P169&amp;" | "&amp;AU$6,'Job Master'!$F$12:$J$102,5,0),"")</f>
        <v/>
      </c>
      <c r="AV169" s="19" t="str">
        <f>IF(AW169&lt;&gt;"",VLOOKUP($P169&amp;" | "&amp;AU$6,'Job Master'!$F$12:$J$102,3,0),"")</f>
        <v/>
      </c>
      <c r="AW169" s="19" t="str">
        <f>IFERROR(IF(AND(BD169&lt;&gt;"",VLOOKUP($P169&amp;" | "&amp;AU$6,'Job Master'!$F$12:$I$102,4,0)&lt;&gt;""),IF(WEEKDAY(BD169-VLOOKUP($P169&amp;" | "&amp;AU$6,'Job Master'!$F$12:$I$102,4,0))&lt;&gt;7,BD169-VLOOKUP($P169&amp;" | "&amp;AU$6,'Job Master'!$F$12:$I$102,4,0),BD169-VLOOKUP($P169&amp;" | "&amp;AU$6,'Job Master'!$F$12:$I$102,4,0)-1),""),"")</f>
        <v/>
      </c>
      <c r="AX169" s="73"/>
      <c r="AY169" s="123" t="str">
        <f t="shared" si="276"/>
        <v/>
      </c>
      <c r="AZ169" s="123" t="str">
        <f t="shared" si="277"/>
        <v/>
      </c>
      <c r="BA169" s="97" t="str">
        <f t="shared" ca="1" si="278"/>
        <v/>
      </c>
      <c r="BB169" s="98" t="str">
        <f>IF(BD169&lt;&gt;"",VLOOKUP($P169&amp;" | "&amp;BB$6,'Job Master'!$F$12:$J$102,5,0),"")</f>
        <v/>
      </c>
      <c r="BC169" s="19" t="str">
        <f>IF(BD169&lt;&gt;"",VLOOKUP($P169&amp;" | "&amp;BB$6,'Job Master'!$F$12:$J$102,3,0),"")</f>
        <v/>
      </c>
      <c r="BD169" s="19" t="str">
        <f>IFERROR(IF(AND(BK169&lt;&gt;"",VLOOKUP($P169&amp;" | "&amp;BB$6,'Job Master'!$F$12:$I$102,4,0)&lt;&gt;""),IF(WEEKDAY(BK169-VLOOKUP($P169&amp;" | "&amp;BB$6,'Job Master'!$F$12:$I$102,4,0))&lt;&gt;7,BK169-VLOOKUP($P169&amp;" | "&amp;BB$6,'Job Master'!$F$12:$I$102,4,0),BK169-VLOOKUP($P169&amp;" | "&amp;BB$6,'Job Master'!$F$12:$I$102,4,0)-1),""),"")</f>
        <v/>
      </c>
      <c r="BE169" s="73"/>
      <c r="BF169" s="123" t="str">
        <f t="shared" si="279"/>
        <v/>
      </c>
      <c r="BG169" s="123" t="str">
        <f t="shared" si="280"/>
        <v/>
      </c>
      <c r="BH169" s="97" t="str">
        <f t="shared" ca="1" si="281"/>
        <v/>
      </c>
      <c r="BI169" s="98" t="str">
        <f>IF(BK169&lt;&gt;"",VLOOKUP($P169&amp;" | "&amp;BI$6,'Job Master'!$F$12:$J$102,5,0),"")</f>
        <v/>
      </c>
      <c r="BJ169" s="19" t="str">
        <f>IF(BK169&lt;&gt;"",VLOOKUP($P169&amp;" | "&amp;BI$6,'Job Master'!$F$12:$J$102,3,0),"")</f>
        <v/>
      </c>
      <c r="BK169" s="19" t="str">
        <f>IFERROR(IF(AND(BR169&lt;&gt;"",VLOOKUP($P169&amp;" | "&amp;BI$6,'Job Master'!$F$12:$I$102,4,0)&lt;&gt;""),IF(WEEKDAY(BR169-VLOOKUP($P169&amp;" | "&amp;BI$6,'Job Master'!$F$12:$I$102,4,0))&lt;&gt;7,BR169-VLOOKUP($P169&amp;" | "&amp;BI$6,'Job Master'!$F$12:$I$102,4,0),BR169-VLOOKUP($P169&amp;" | "&amp;BI$6,'Job Master'!$F$12:$I$102,4,0)-1),""),"")</f>
        <v/>
      </c>
      <c r="BL169" s="73"/>
      <c r="BM169" s="123" t="str">
        <f t="shared" si="282"/>
        <v/>
      </c>
      <c r="BN169" s="123" t="str">
        <f t="shared" si="283"/>
        <v/>
      </c>
      <c r="BO169" s="97" t="str">
        <f t="shared" ca="1" si="284"/>
        <v/>
      </c>
      <c r="BP169" s="98" t="str">
        <f>IF(BR169&lt;&gt;"",VLOOKUP($P169&amp;" | "&amp;BP$6,'Job Master'!$F$12:$J$102,5,0),"")</f>
        <v/>
      </c>
      <c r="BQ169" s="19" t="str">
        <f>IF(BR169&lt;&gt;"",VLOOKUP($P169&amp;" | "&amp;BP$6,'Job Master'!$F$12:$J$102,3,0),"")</f>
        <v/>
      </c>
      <c r="BR169" s="19" t="str">
        <f>IFERROR(IF(AND(BY169&lt;&gt;"",VLOOKUP($P169&amp;" | "&amp;BP$6,'Job Master'!$F$12:$I$102,4,0)&lt;&gt;""),IF(WEEKDAY(BY169-VLOOKUP($P169&amp;" | "&amp;BP$6,'Job Master'!$F$12:$I$102,4,0))&lt;&gt;7,BY169-VLOOKUP($P169&amp;" | "&amp;BP$6,'Job Master'!$F$12:$I$102,4,0),BY169-VLOOKUP($P169&amp;" | "&amp;BP$6,'Job Master'!$F$12:$I$102,4,0)-1),""),"")</f>
        <v/>
      </c>
      <c r="BS169" s="73"/>
      <c r="BT169" s="123" t="str">
        <f t="shared" si="285"/>
        <v/>
      </c>
      <c r="BU169" s="123" t="str">
        <f t="shared" si="286"/>
        <v/>
      </c>
      <c r="BV169" s="97" t="str">
        <f t="shared" ca="1" si="287"/>
        <v/>
      </c>
      <c r="BW169" s="98" t="str">
        <f>IF(BY169&lt;&gt;"",VLOOKUP($P169&amp;" | "&amp;BW$6,'Job Master'!$F$12:$J$102,5,0),"")</f>
        <v/>
      </c>
      <c r="BX169" s="19" t="str">
        <f>IF(BY169&lt;&gt;"",VLOOKUP($P169&amp;" | "&amp;BW$6,'Job Master'!$F$12:$J$102,3,0),"")</f>
        <v/>
      </c>
      <c r="BY169" s="19" t="str">
        <f>IFERROR(IF(AND(CF169&lt;&gt;"",VLOOKUP($P169&amp;" | "&amp;BW$6,'Job Master'!$F$12:$I$102,4,0)&lt;&gt;""),IF(WEEKDAY(CF169-VLOOKUP($P169&amp;" | "&amp;BW$6,'Job Master'!$F$12:$I$102,4,0))&lt;&gt;7,CF169-VLOOKUP($P169&amp;" | "&amp;BW$6,'Job Master'!$F$12:$I$102,4,0),CF169-VLOOKUP($P169&amp;" | "&amp;BW$6,'Job Master'!$F$12:$I$102,4,0)-1),""),"")</f>
        <v/>
      </c>
      <c r="BZ169" s="73"/>
      <c r="CA169" s="123" t="str">
        <f t="shared" si="288"/>
        <v/>
      </c>
      <c r="CB169" s="123" t="str">
        <f t="shared" si="289"/>
        <v/>
      </c>
      <c r="CC169" s="97" t="str">
        <f t="shared" ca="1" si="290"/>
        <v/>
      </c>
      <c r="CD169" s="98" t="str">
        <f>IF(CF169&lt;&gt;"",VLOOKUP($P169&amp;" | "&amp;CD$6,'Job Master'!$F$12:$J$102,5,0),"")</f>
        <v/>
      </c>
      <c r="CE169" s="19" t="str">
        <f>IF(CF169&lt;&gt;"",VLOOKUP($P169&amp;" | "&amp;CD$6,'Job Master'!$F$12:$J$102,3,0),"")</f>
        <v/>
      </c>
      <c r="CF169" s="19" t="str">
        <f>IFERROR(IF(AND(CM169&lt;&gt;"",VLOOKUP($P169&amp;" | "&amp;CD$6,'Job Master'!$F$12:$I$102,4,0)&lt;&gt;""),IF(WEEKDAY(CM169-VLOOKUP($P169&amp;" | "&amp;CD$6,'Job Master'!$F$12:$I$102,4,0))&lt;&gt;7,CM169-VLOOKUP($P169&amp;" | "&amp;CD$6,'Job Master'!$F$12:$I$102,4,0),CM169-VLOOKUP($P169&amp;" | "&amp;CD$6,'Job Master'!$F$12:$I$102,4,0)-1),""),"")</f>
        <v/>
      </c>
      <c r="CG169" s="73"/>
      <c r="CH169" s="123" t="str">
        <f t="shared" si="291"/>
        <v/>
      </c>
      <c r="CI169" s="123" t="str">
        <f t="shared" si="292"/>
        <v/>
      </c>
      <c r="CJ169" s="97" t="str">
        <f t="shared" ca="1" si="293"/>
        <v/>
      </c>
      <c r="CK169" s="98" t="str">
        <f>IF(CM169&lt;&gt;"",VLOOKUP($P169&amp;" | "&amp;CK$6,'Job Master'!$F$12:$J$102,5,0),"")</f>
        <v/>
      </c>
      <c r="CL169" s="19" t="str">
        <f>IF(CM169&lt;&gt;"",VLOOKUP($P169&amp;" | "&amp;CK$6,'Job Master'!$F$12:$J$102,3,0),"")</f>
        <v/>
      </c>
      <c r="CM169" s="19" t="str">
        <f>IFERROR(IF(AND(CT169&lt;&gt;"",VLOOKUP($P169&amp;" | "&amp;CK$6,'Job Master'!$F$12:$I$102,4,0)&lt;&gt;""),IF(WEEKDAY(CT169-VLOOKUP($P169&amp;" | "&amp;CK$6,'Job Master'!$F$12:$I$102,4,0))&lt;&gt;7,CT169-VLOOKUP($P169&amp;" | "&amp;CK$6,'Job Master'!$F$12:$I$102,4,0),CT169-VLOOKUP($P169&amp;" | "&amp;CK$6,'Job Master'!$F$12:$I$102,4,0)-1),""),"")</f>
        <v/>
      </c>
      <c r="CN169" s="73"/>
      <c r="CO169" s="123" t="str">
        <f t="shared" si="294"/>
        <v/>
      </c>
      <c r="CP169" s="123" t="str">
        <f t="shared" si="295"/>
        <v/>
      </c>
      <c r="CQ169" s="97" t="str">
        <f t="shared" ca="1" si="296"/>
        <v/>
      </c>
      <c r="CR169" s="98" t="str">
        <f>IF(CT169&lt;&gt;"",VLOOKUP($P169&amp;" | "&amp;CR$6,'Job Master'!$F$12:$J$102,5,0),"")</f>
        <v/>
      </c>
      <c r="CS169" s="19" t="str">
        <f>IF(CT169&lt;&gt;"",VLOOKUP($P169&amp;" | "&amp;CR$6,'Job Master'!$F$12:$J$102,3,0),"")</f>
        <v/>
      </c>
      <c r="CT169" s="19" t="str">
        <f>IFERROR(IF(AND(DA169&lt;&gt;"",VLOOKUP($P169&amp;" | "&amp;CR$6,'Job Master'!$F$12:$I$102,4,0)&lt;&gt;""),IF(WEEKDAY(DA169-VLOOKUP($P169&amp;" | "&amp;CR$6,'Job Master'!$F$12:$I$102,4,0))&lt;&gt;7,DA169-VLOOKUP($P169&amp;" | "&amp;CR$6,'Job Master'!$F$12:$I$102,4,0),DA169-VLOOKUP($P169&amp;" | "&amp;CR$6,'Job Master'!$F$12:$I$102,4,0)-1),""),"")</f>
        <v/>
      </c>
      <c r="CU169" s="73"/>
      <c r="CV169" s="123" t="str">
        <f t="shared" si="297"/>
        <v/>
      </c>
      <c r="CW169" s="123" t="str">
        <f t="shared" si="298"/>
        <v/>
      </c>
      <c r="CX169" s="97" t="str">
        <f t="shared" ca="1" si="299"/>
        <v/>
      </c>
      <c r="CY169" s="98" t="str">
        <f>IF(DA169&lt;&gt;"",VLOOKUP($P169&amp;" | "&amp;CY$6,'Job Master'!$F$12:$J$102,5,0),"")</f>
        <v/>
      </c>
      <c r="CZ169" s="19" t="str">
        <f>IF(DA169&lt;&gt;"",VLOOKUP($P169&amp;" | "&amp;CY$6,'Job Master'!$F$12:$J$102,3,0),"")</f>
        <v/>
      </c>
      <c r="DA169" s="19" t="str">
        <f>IFERROR(IF(AND(DH169&lt;&gt;"",VLOOKUP($P169&amp;" | "&amp;CY$6,'Job Master'!$F$12:$I$102,4,0)&lt;&gt;""),IF(WEEKDAY(DH169-VLOOKUP($P169&amp;" | "&amp;CY$6,'Job Master'!$F$12:$I$102,4,0))&lt;&gt;7,DH169-VLOOKUP($P169&amp;" | "&amp;CY$6,'Job Master'!$F$12:$I$102,4,0),DH169-VLOOKUP($P169&amp;" | "&amp;CY$6,'Job Master'!$F$12:$I$102,4,0)-1),""),"")</f>
        <v/>
      </c>
      <c r="DB169" s="73"/>
      <c r="DC169" s="123" t="str">
        <f t="shared" si="300"/>
        <v/>
      </c>
      <c r="DD169" s="123" t="str">
        <f t="shared" si="301"/>
        <v/>
      </c>
      <c r="DE169" s="97" t="str">
        <f t="shared" ca="1" si="302"/>
        <v/>
      </c>
      <c r="DF169" s="98" t="str">
        <f>IF(DH169&lt;&gt;"",VLOOKUP($P169&amp;" | "&amp;DF$6,'Job Master'!$F$12:$J$102,5,0),"")</f>
        <v/>
      </c>
      <c r="DG169" s="19" t="str">
        <f>IF(DH169&lt;&gt;"",VLOOKUP($P169&amp;" | "&amp;DF$6,'Job Master'!$F$12:$J$102,3,0),"")</f>
        <v/>
      </c>
      <c r="DH169" s="19" t="str">
        <f>IFERROR(IF(AND(DO169&lt;&gt;"",VLOOKUP($P169&amp;" | "&amp;DF$6,'Job Master'!$F$12:$I$102,4,0)&lt;&gt;""),IF(WEEKDAY(DO169-VLOOKUP($P169&amp;" | "&amp;DF$6,'Job Master'!$F$12:$I$102,4,0))&lt;&gt;7,DO169-VLOOKUP($P169&amp;" | "&amp;DF$6,'Job Master'!$F$12:$I$102,4,0),DO169-VLOOKUP($P169&amp;" | "&amp;DF$6,'Job Master'!$F$12:$I$102,4,0)-1),""),"")</f>
        <v/>
      </c>
      <c r="DI169" s="73"/>
      <c r="DJ169" s="123" t="str">
        <f t="shared" si="303"/>
        <v/>
      </c>
      <c r="DK169" s="123" t="str">
        <f t="shared" si="304"/>
        <v/>
      </c>
      <c r="DL169" s="97" t="str">
        <f t="shared" ca="1" si="305"/>
        <v/>
      </c>
      <c r="DM169" s="98" t="str">
        <f>IF(DO169&lt;&gt;"",VLOOKUP($P169&amp;" | "&amp;DM$6,'Job Master'!$F$12:$J$102,5,0),"")</f>
        <v/>
      </c>
      <c r="DN169" s="19" t="str">
        <f>IF(DO169&lt;&gt;"",VLOOKUP($P169&amp;" | "&amp;DM$6,'Job Master'!$F$12:$J$102,3,0),"")</f>
        <v/>
      </c>
      <c r="DO169" s="19" t="str">
        <f>IFERROR(IF(AND(DT169&lt;&gt;"",VLOOKUP($P169&amp;" | "&amp;DM$6,'Job Master'!$F$12:$I$102,4,0)&lt;&gt;""),IF(WEEKDAY(DT169-VLOOKUP($P169&amp;" | "&amp;DM$6,'Job Master'!$F$12:$I$102,4,0))&lt;&gt;7,DT169-VLOOKUP($P169&amp;" | "&amp;DM$6,'Job Master'!$F$12:$I$102,4,0),DT169-VLOOKUP($P169&amp;" | "&amp;DM$6,'Job Master'!$F$12:$I$102,4,0)-1),""),"")</f>
        <v/>
      </c>
      <c r="DP169" s="73"/>
      <c r="DQ169" s="123" t="str">
        <f t="shared" si="306"/>
        <v/>
      </c>
      <c r="DR169" s="123" t="str">
        <f t="shared" si="307"/>
        <v/>
      </c>
      <c r="DS169" s="97" t="str">
        <f t="shared" ca="1" si="308"/>
        <v/>
      </c>
      <c r="DT169" s="70" t="str">
        <f t="shared" si="309"/>
        <v/>
      </c>
      <c r="DU169" s="90"/>
      <c r="DV169" s="123" t="str">
        <f t="shared" si="310"/>
        <v/>
      </c>
      <c r="DW169" s="123" t="str">
        <f t="shared" si="311"/>
        <v/>
      </c>
      <c r="DX169" s="132" t="str">
        <f t="shared" ref="DX169" ca="1" si="354">IF(DT169&lt;&gt;"",IF(WEEKNUM(DT169)=WEEKNUM(TODAY()),"This Week",IF(WEEKNUM(DT169)=WEEKNUM(TODAY())+1,"Next Week",IF(WEEKNUM(DT169)=WEEKNUM(TODAY())-1,"Previous Week",""))),"")</f>
        <v/>
      </c>
      <c r="DY169" s="134" t="str">
        <f t="shared" si="313"/>
        <v/>
      </c>
      <c r="DZ169" s="95"/>
      <c r="EB169" s="8" t="str">
        <f t="shared" si="319"/>
        <v/>
      </c>
      <c r="EC169" s="8" t="str">
        <f>IF(O169&lt;&gt;"",VLOOKUP(O169,'Job Master'!$N$12:$O$18,2,0),"")</f>
        <v/>
      </c>
      <c r="ED169" s="8">
        <f t="shared" si="320"/>
        <v>19.5</v>
      </c>
      <c r="EE169" s="8">
        <f t="shared" si="321"/>
        <v>6</v>
      </c>
      <c r="EF169" s="8">
        <f t="shared" si="322"/>
        <v>-934.5</v>
      </c>
      <c r="EG169" s="8" t="str">
        <f t="shared" si="323"/>
        <v/>
      </c>
      <c r="EH169" s="8" t="str">
        <f t="shared" si="324"/>
        <v/>
      </c>
    </row>
    <row r="170" spans="2:138" x14ac:dyDescent="0.3">
      <c r="B170" s="112"/>
      <c r="C170" s="27"/>
      <c r="D170" s="7" t="str">
        <f t="shared" si="261"/>
        <v/>
      </c>
      <c r="E170" s="25"/>
      <c r="F170" s="7" t="str">
        <f t="shared" si="261"/>
        <v/>
      </c>
      <c r="G170" s="25"/>
      <c r="H170" s="7" t="str">
        <f t="shared" si="261"/>
        <v/>
      </c>
      <c r="I170" s="25"/>
      <c r="J170" s="7" t="str">
        <f t="shared" si="261"/>
        <v/>
      </c>
      <c r="K170" s="25"/>
      <c r="L170" s="7" t="str">
        <f t="shared" si="262"/>
        <v/>
      </c>
      <c r="M170" s="25"/>
      <c r="N170" s="7" t="str">
        <f t="shared" si="263"/>
        <v/>
      </c>
      <c r="O170" s="81"/>
      <c r="P170" s="81" t="str">
        <f t="shared" si="264"/>
        <v/>
      </c>
      <c r="Q170" s="81"/>
      <c r="R170" s="7" t="str">
        <f t="shared" si="265"/>
        <v/>
      </c>
      <c r="S170" s="25"/>
      <c r="T170" s="7" t="str">
        <f t="shared" si="266"/>
        <v/>
      </c>
      <c r="U170" s="25"/>
      <c r="V170" s="7" t="str">
        <f t="shared" si="267"/>
        <v/>
      </c>
      <c r="W170" s="25"/>
      <c r="X170" s="7" t="str">
        <f t="shared" si="268"/>
        <v/>
      </c>
      <c r="Y170" s="18" t="str">
        <f t="shared" si="269"/>
        <v/>
      </c>
      <c r="Z170" s="7" t="str">
        <f t="shared" si="270"/>
        <v/>
      </c>
      <c r="AA170" s="18" t="str">
        <f t="shared" si="271"/>
        <v/>
      </c>
      <c r="AB170" s="19" t="str">
        <f t="shared" si="272"/>
        <v/>
      </c>
      <c r="AC170" s="26"/>
      <c r="AD170" s="26"/>
      <c r="AE170" s="25"/>
      <c r="AF170" s="26"/>
      <c r="AG170" s="25"/>
      <c r="AH170" s="25"/>
      <c r="AI170" s="18" t="str">
        <f t="shared" si="335"/>
        <v/>
      </c>
      <c r="AJ170" s="25"/>
      <c r="AK170" s="18" t="str">
        <f t="shared" si="336"/>
        <v/>
      </c>
      <c r="AL170" s="79"/>
      <c r="AM170" s="126" t="str">
        <f t="shared" si="337"/>
        <v/>
      </c>
      <c r="AN170" s="128" t="str">
        <f>IF(AP170&lt;&gt;"",VLOOKUP($P170&amp;" | "&amp;AN$6,'Job Master'!$F$12:$J$102,5,0),"")</f>
        <v/>
      </c>
      <c r="AO170" s="19" t="str">
        <f>IF(AP170&lt;&gt;"",VLOOKUP($P170&amp;" | "&amp;AN$6,'Job Master'!$F$12:$J$102,3,0),"")</f>
        <v/>
      </c>
      <c r="AP170" s="19" t="str">
        <f>IFERROR(IF(AND(AW170&lt;&gt;"",VLOOKUP($P170&amp;" | "&amp;AN$6,'Job Master'!$F$12:$I$102,4,0)&lt;&gt;""),IF(WEEKDAY(AW170-VLOOKUP($P170&amp;" | "&amp;AN$6,'Job Master'!$F$12:$I$102,4,0))&lt;&gt;7,AW170-VLOOKUP($P170&amp;" | "&amp;AN$6,'Job Master'!$F$12:$I$102,4,0),AW170-VLOOKUP($P170&amp;" | "&amp;AN$6,'Job Master'!$F$12:$I$102,4,0)-1),""),"")</f>
        <v/>
      </c>
      <c r="AQ170" s="73"/>
      <c r="AR170" s="123" t="str">
        <f t="shared" si="273"/>
        <v/>
      </c>
      <c r="AS170" s="123" t="str">
        <f t="shared" si="274"/>
        <v/>
      </c>
      <c r="AT170" s="97" t="str">
        <f t="shared" ca="1" si="275"/>
        <v/>
      </c>
      <c r="AU170" s="98" t="str">
        <f>IF(AW170&lt;&gt;"",VLOOKUP($P170&amp;" | "&amp;AU$6,'Job Master'!$F$12:$J$102,5,0),"")</f>
        <v/>
      </c>
      <c r="AV170" s="19" t="str">
        <f>IF(AW170&lt;&gt;"",VLOOKUP($P170&amp;" | "&amp;AU$6,'Job Master'!$F$12:$J$102,3,0),"")</f>
        <v/>
      </c>
      <c r="AW170" s="19" t="str">
        <f>IFERROR(IF(AND(BD170&lt;&gt;"",VLOOKUP($P170&amp;" | "&amp;AU$6,'Job Master'!$F$12:$I$102,4,0)&lt;&gt;""),IF(WEEKDAY(BD170-VLOOKUP($P170&amp;" | "&amp;AU$6,'Job Master'!$F$12:$I$102,4,0))&lt;&gt;7,BD170-VLOOKUP($P170&amp;" | "&amp;AU$6,'Job Master'!$F$12:$I$102,4,0),BD170-VLOOKUP($P170&amp;" | "&amp;AU$6,'Job Master'!$F$12:$I$102,4,0)-1),""),"")</f>
        <v/>
      </c>
      <c r="AX170" s="73"/>
      <c r="AY170" s="123" t="str">
        <f t="shared" si="276"/>
        <v/>
      </c>
      <c r="AZ170" s="123" t="str">
        <f t="shared" si="277"/>
        <v/>
      </c>
      <c r="BA170" s="97" t="str">
        <f t="shared" ca="1" si="278"/>
        <v/>
      </c>
      <c r="BB170" s="98" t="str">
        <f>IF(BD170&lt;&gt;"",VLOOKUP($P170&amp;" | "&amp;BB$6,'Job Master'!$F$12:$J$102,5,0),"")</f>
        <v/>
      </c>
      <c r="BC170" s="19" t="str">
        <f>IF(BD170&lt;&gt;"",VLOOKUP($P170&amp;" | "&amp;BB$6,'Job Master'!$F$12:$J$102,3,0),"")</f>
        <v/>
      </c>
      <c r="BD170" s="19" t="str">
        <f>IFERROR(IF(AND(BK170&lt;&gt;"",VLOOKUP($P170&amp;" | "&amp;BB$6,'Job Master'!$F$12:$I$102,4,0)&lt;&gt;""),IF(WEEKDAY(BK170-VLOOKUP($P170&amp;" | "&amp;BB$6,'Job Master'!$F$12:$I$102,4,0))&lt;&gt;7,BK170-VLOOKUP($P170&amp;" | "&amp;BB$6,'Job Master'!$F$12:$I$102,4,0),BK170-VLOOKUP($P170&amp;" | "&amp;BB$6,'Job Master'!$F$12:$I$102,4,0)-1),""),"")</f>
        <v/>
      </c>
      <c r="BE170" s="73"/>
      <c r="BF170" s="123" t="str">
        <f t="shared" si="279"/>
        <v/>
      </c>
      <c r="BG170" s="123" t="str">
        <f t="shared" si="280"/>
        <v/>
      </c>
      <c r="BH170" s="97" t="str">
        <f t="shared" ca="1" si="281"/>
        <v/>
      </c>
      <c r="BI170" s="98" t="str">
        <f>IF(BK170&lt;&gt;"",VLOOKUP($P170&amp;" | "&amp;BI$6,'Job Master'!$F$12:$J$102,5,0),"")</f>
        <v/>
      </c>
      <c r="BJ170" s="19" t="str">
        <f>IF(BK170&lt;&gt;"",VLOOKUP($P170&amp;" | "&amp;BI$6,'Job Master'!$F$12:$J$102,3,0),"")</f>
        <v/>
      </c>
      <c r="BK170" s="19" t="str">
        <f>IFERROR(IF(AND(BR170&lt;&gt;"",VLOOKUP($P170&amp;" | "&amp;BI$6,'Job Master'!$F$12:$I$102,4,0)&lt;&gt;""),IF(WEEKDAY(BR170-VLOOKUP($P170&amp;" | "&amp;BI$6,'Job Master'!$F$12:$I$102,4,0))&lt;&gt;7,BR170-VLOOKUP($P170&amp;" | "&amp;BI$6,'Job Master'!$F$12:$I$102,4,0),BR170-VLOOKUP($P170&amp;" | "&amp;BI$6,'Job Master'!$F$12:$I$102,4,0)-1),""),"")</f>
        <v/>
      </c>
      <c r="BL170" s="73"/>
      <c r="BM170" s="123" t="str">
        <f t="shared" si="282"/>
        <v/>
      </c>
      <c r="BN170" s="123" t="str">
        <f t="shared" si="283"/>
        <v/>
      </c>
      <c r="BO170" s="97" t="str">
        <f t="shared" ca="1" si="284"/>
        <v/>
      </c>
      <c r="BP170" s="98" t="str">
        <f>IF(BR170&lt;&gt;"",VLOOKUP($P170&amp;" | "&amp;BP$6,'Job Master'!$F$12:$J$102,5,0),"")</f>
        <v/>
      </c>
      <c r="BQ170" s="19" t="str">
        <f>IF(BR170&lt;&gt;"",VLOOKUP($P170&amp;" | "&amp;BP$6,'Job Master'!$F$12:$J$102,3,0),"")</f>
        <v/>
      </c>
      <c r="BR170" s="19" t="str">
        <f>IFERROR(IF(AND(BY170&lt;&gt;"",VLOOKUP($P170&amp;" | "&amp;BP$6,'Job Master'!$F$12:$I$102,4,0)&lt;&gt;""),IF(WEEKDAY(BY170-VLOOKUP($P170&amp;" | "&amp;BP$6,'Job Master'!$F$12:$I$102,4,0))&lt;&gt;7,BY170-VLOOKUP($P170&amp;" | "&amp;BP$6,'Job Master'!$F$12:$I$102,4,0),BY170-VLOOKUP($P170&amp;" | "&amp;BP$6,'Job Master'!$F$12:$I$102,4,0)-1),""),"")</f>
        <v/>
      </c>
      <c r="BS170" s="73"/>
      <c r="BT170" s="123" t="str">
        <f t="shared" si="285"/>
        <v/>
      </c>
      <c r="BU170" s="123" t="str">
        <f t="shared" si="286"/>
        <v/>
      </c>
      <c r="BV170" s="97" t="str">
        <f t="shared" ca="1" si="287"/>
        <v/>
      </c>
      <c r="BW170" s="98" t="str">
        <f>IF(BY170&lt;&gt;"",VLOOKUP($P170&amp;" | "&amp;BW$6,'Job Master'!$F$12:$J$102,5,0),"")</f>
        <v/>
      </c>
      <c r="BX170" s="19" t="str">
        <f>IF(BY170&lt;&gt;"",VLOOKUP($P170&amp;" | "&amp;BW$6,'Job Master'!$F$12:$J$102,3,0),"")</f>
        <v/>
      </c>
      <c r="BY170" s="19" t="str">
        <f>IFERROR(IF(AND(CF170&lt;&gt;"",VLOOKUP($P170&amp;" | "&amp;BW$6,'Job Master'!$F$12:$I$102,4,0)&lt;&gt;""),IF(WEEKDAY(CF170-VLOOKUP($P170&amp;" | "&amp;BW$6,'Job Master'!$F$12:$I$102,4,0))&lt;&gt;7,CF170-VLOOKUP($P170&amp;" | "&amp;BW$6,'Job Master'!$F$12:$I$102,4,0),CF170-VLOOKUP($P170&amp;" | "&amp;BW$6,'Job Master'!$F$12:$I$102,4,0)-1),""),"")</f>
        <v/>
      </c>
      <c r="BZ170" s="73"/>
      <c r="CA170" s="123" t="str">
        <f t="shared" si="288"/>
        <v/>
      </c>
      <c r="CB170" s="123" t="str">
        <f t="shared" si="289"/>
        <v/>
      </c>
      <c r="CC170" s="97" t="str">
        <f t="shared" ca="1" si="290"/>
        <v/>
      </c>
      <c r="CD170" s="98" t="str">
        <f>IF(CF170&lt;&gt;"",VLOOKUP($P170&amp;" | "&amp;CD$6,'Job Master'!$F$12:$J$102,5,0),"")</f>
        <v/>
      </c>
      <c r="CE170" s="19" t="str">
        <f>IF(CF170&lt;&gt;"",VLOOKUP($P170&amp;" | "&amp;CD$6,'Job Master'!$F$12:$J$102,3,0),"")</f>
        <v/>
      </c>
      <c r="CF170" s="19" t="str">
        <f>IFERROR(IF(AND(CM170&lt;&gt;"",VLOOKUP($P170&amp;" | "&amp;CD$6,'Job Master'!$F$12:$I$102,4,0)&lt;&gt;""),IF(WEEKDAY(CM170-VLOOKUP($P170&amp;" | "&amp;CD$6,'Job Master'!$F$12:$I$102,4,0))&lt;&gt;7,CM170-VLOOKUP($P170&amp;" | "&amp;CD$6,'Job Master'!$F$12:$I$102,4,0),CM170-VLOOKUP($P170&amp;" | "&amp;CD$6,'Job Master'!$F$12:$I$102,4,0)-1),""),"")</f>
        <v/>
      </c>
      <c r="CG170" s="73"/>
      <c r="CH170" s="123" t="str">
        <f t="shared" si="291"/>
        <v/>
      </c>
      <c r="CI170" s="123" t="str">
        <f t="shared" si="292"/>
        <v/>
      </c>
      <c r="CJ170" s="97" t="str">
        <f t="shared" ca="1" si="293"/>
        <v/>
      </c>
      <c r="CK170" s="98" t="str">
        <f>IF(CM170&lt;&gt;"",VLOOKUP($P170&amp;" | "&amp;CK$6,'Job Master'!$F$12:$J$102,5,0),"")</f>
        <v/>
      </c>
      <c r="CL170" s="19" t="str">
        <f>IF(CM170&lt;&gt;"",VLOOKUP($P170&amp;" | "&amp;CK$6,'Job Master'!$F$12:$J$102,3,0),"")</f>
        <v/>
      </c>
      <c r="CM170" s="19" t="str">
        <f>IFERROR(IF(AND(CT170&lt;&gt;"",VLOOKUP($P170&amp;" | "&amp;CK$6,'Job Master'!$F$12:$I$102,4,0)&lt;&gt;""),IF(WEEKDAY(CT170-VLOOKUP($P170&amp;" | "&amp;CK$6,'Job Master'!$F$12:$I$102,4,0))&lt;&gt;7,CT170-VLOOKUP($P170&amp;" | "&amp;CK$6,'Job Master'!$F$12:$I$102,4,0),CT170-VLOOKUP($P170&amp;" | "&amp;CK$6,'Job Master'!$F$12:$I$102,4,0)-1),""),"")</f>
        <v/>
      </c>
      <c r="CN170" s="73"/>
      <c r="CO170" s="123" t="str">
        <f t="shared" si="294"/>
        <v/>
      </c>
      <c r="CP170" s="123" t="str">
        <f t="shared" si="295"/>
        <v/>
      </c>
      <c r="CQ170" s="97" t="str">
        <f t="shared" ca="1" si="296"/>
        <v/>
      </c>
      <c r="CR170" s="98" t="str">
        <f>IF(CT170&lt;&gt;"",VLOOKUP($P170&amp;" | "&amp;CR$6,'Job Master'!$F$12:$J$102,5,0),"")</f>
        <v/>
      </c>
      <c r="CS170" s="19" t="str">
        <f>IF(CT170&lt;&gt;"",VLOOKUP($P170&amp;" | "&amp;CR$6,'Job Master'!$F$12:$J$102,3,0),"")</f>
        <v/>
      </c>
      <c r="CT170" s="19" t="str">
        <f>IFERROR(IF(AND(DA170&lt;&gt;"",VLOOKUP($P170&amp;" | "&amp;CR$6,'Job Master'!$F$12:$I$102,4,0)&lt;&gt;""),IF(WEEKDAY(DA170-VLOOKUP($P170&amp;" | "&amp;CR$6,'Job Master'!$F$12:$I$102,4,0))&lt;&gt;7,DA170-VLOOKUP($P170&amp;" | "&amp;CR$6,'Job Master'!$F$12:$I$102,4,0),DA170-VLOOKUP($P170&amp;" | "&amp;CR$6,'Job Master'!$F$12:$I$102,4,0)-1),""),"")</f>
        <v/>
      </c>
      <c r="CU170" s="73"/>
      <c r="CV170" s="123" t="str">
        <f t="shared" si="297"/>
        <v/>
      </c>
      <c r="CW170" s="123" t="str">
        <f t="shared" si="298"/>
        <v/>
      </c>
      <c r="CX170" s="97" t="str">
        <f t="shared" ca="1" si="299"/>
        <v/>
      </c>
      <c r="CY170" s="98" t="str">
        <f>IF(DA170&lt;&gt;"",VLOOKUP($P170&amp;" | "&amp;CY$6,'Job Master'!$F$12:$J$102,5,0),"")</f>
        <v/>
      </c>
      <c r="CZ170" s="19" t="str">
        <f>IF(DA170&lt;&gt;"",VLOOKUP($P170&amp;" | "&amp;CY$6,'Job Master'!$F$12:$J$102,3,0),"")</f>
        <v/>
      </c>
      <c r="DA170" s="19" t="str">
        <f>IFERROR(IF(AND(DH170&lt;&gt;"",VLOOKUP($P170&amp;" | "&amp;CY$6,'Job Master'!$F$12:$I$102,4,0)&lt;&gt;""),IF(WEEKDAY(DH170-VLOOKUP($P170&amp;" | "&amp;CY$6,'Job Master'!$F$12:$I$102,4,0))&lt;&gt;7,DH170-VLOOKUP($P170&amp;" | "&amp;CY$6,'Job Master'!$F$12:$I$102,4,0),DH170-VLOOKUP($P170&amp;" | "&amp;CY$6,'Job Master'!$F$12:$I$102,4,0)-1),""),"")</f>
        <v/>
      </c>
      <c r="DB170" s="73"/>
      <c r="DC170" s="123" t="str">
        <f t="shared" si="300"/>
        <v/>
      </c>
      <c r="DD170" s="123" t="str">
        <f t="shared" si="301"/>
        <v/>
      </c>
      <c r="DE170" s="97" t="str">
        <f t="shared" ca="1" si="302"/>
        <v/>
      </c>
      <c r="DF170" s="98" t="str">
        <f>IF(DH170&lt;&gt;"",VLOOKUP($P170&amp;" | "&amp;DF$6,'Job Master'!$F$12:$J$102,5,0),"")</f>
        <v/>
      </c>
      <c r="DG170" s="19" t="str">
        <f>IF(DH170&lt;&gt;"",VLOOKUP($P170&amp;" | "&amp;DF$6,'Job Master'!$F$12:$J$102,3,0),"")</f>
        <v/>
      </c>
      <c r="DH170" s="19" t="str">
        <f>IFERROR(IF(AND(DO170&lt;&gt;"",VLOOKUP($P170&amp;" | "&amp;DF$6,'Job Master'!$F$12:$I$102,4,0)&lt;&gt;""),IF(WEEKDAY(DO170-VLOOKUP($P170&amp;" | "&amp;DF$6,'Job Master'!$F$12:$I$102,4,0))&lt;&gt;7,DO170-VLOOKUP($P170&amp;" | "&amp;DF$6,'Job Master'!$F$12:$I$102,4,0),DO170-VLOOKUP($P170&amp;" | "&amp;DF$6,'Job Master'!$F$12:$I$102,4,0)-1),""),"")</f>
        <v/>
      </c>
      <c r="DI170" s="73"/>
      <c r="DJ170" s="123" t="str">
        <f t="shared" si="303"/>
        <v/>
      </c>
      <c r="DK170" s="123" t="str">
        <f t="shared" si="304"/>
        <v/>
      </c>
      <c r="DL170" s="97" t="str">
        <f t="shared" ca="1" si="305"/>
        <v/>
      </c>
      <c r="DM170" s="98" t="str">
        <f>IF(DO170&lt;&gt;"",VLOOKUP($P170&amp;" | "&amp;DM$6,'Job Master'!$F$12:$J$102,5,0),"")</f>
        <v/>
      </c>
      <c r="DN170" s="19" t="str">
        <f>IF(DO170&lt;&gt;"",VLOOKUP($P170&amp;" | "&amp;DM$6,'Job Master'!$F$12:$J$102,3,0),"")</f>
        <v/>
      </c>
      <c r="DO170" s="19" t="str">
        <f>IFERROR(IF(AND(DT170&lt;&gt;"",VLOOKUP($P170&amp;" | "&amp;DM$6,'Job Master'!$F$12:$I$102,4,0)&lt;&gt;""),IF(WEEKDAY(DT170-VLOOKUP($P170&amp;" | "&amp;DM$6,'Job Master'!$F$12:$I$102,4,0))&lt;&gt;7,DT170-VLOOKUP($P170&amp;" | "&amp;DM$6,'Job Master'!$F$12:$I$102,4,0),DT170-VLOOKUP($P170&amp;" | "&amp;DM$6,'Job Master'!$F$12:$I$102,4,0)-1),""),"")</f>
        <v/>
      </c>
      <c r="DP170" s="73"/>
      <c r="DQ170" s="123" t="str">
        <f t="shared" si="306"/>
        <v/>
      </c>
      <c r="DR170" s="123" t="str">
        <f t="shared" si="307"/>
        <v/>
      </c>
      <c r="DS170" s="97" t="str">
        <f t="shared" ca="1" si="308"/>
        <v/>
      </c>
      <c r="DT170" s="70" t="str">
        <f t="shared" si="309"/>
        <v/>
      </c>
      <c r="DU170" s="90"/>
      <c r="DV170" s="123" t="str">
        <f t="shared" si="310"/>
        <v/>
      </c>
      <c r="DW170" s="123" t="str">
        <f t="shared" si="311"/>
        <v/>
      </c>
      <c r="DX170" s="132" t="str">
        <f t="shared" ref="DX170" ca="1" si="355">IF(DT170&lt;&gt;"",IF(WEEKNUM(DT170)=WEEKNUM(TODAY()),"This Week",IF(WEEKNUM(DT170)=WEEKNUM(TODAY())+1,"Next Week",IF(WEEKNUM(DT170)=WEEKNUM(TODAY())-1,"Previous Week",""))),"")</f>
        <v/>
      </c>
      <c r="DY170" s="134" t="str">
        <f t="shared" si="313"/>
        <v/>
      </c>
      <c r="DZ170" s="95"/>
      <c r="EB170" s="8" t="str">
        <f t="shared" si="319"/>
        <v/>
      </c>
      <c r="EC170" s="8" t="str">
        <f>IF(O170&lt;&gt;"",VLOOKUP(O170,'Job Master'!$N$12:$O$18,2,0),"")</f>
        <v/>
      </c>
      <c r="ED170" s="8">
        <f t="shared" si="320"/>
        <v>19.5</v>
      </c>
      <c r="EE170" s="8">
        <f t="shared" si="321"/>
        <v>6</v>
      </c>
      <c r="EF170" s="8">
        <f t="shared" si="322"/>
        <v>-940.5</v>
      </c>
      <c r="EG170" s="8" t="str">
        <f t="shared" si="323"/>
        <v/>
      </c>
      <c r="EH170" s="8" t="str">
        <f t="shared" si="324"/>
        <v/>
      </c>
    </row>
    <row r="171" spans="2:138" x14ac:dyDescent="0.3">
      <c r="B171" s="112"/>
      <c r="C171" s="27"/>
      <c r="D171" s="7" t="str">
        <f t="shared" si="261"/>
        <v/>
      </c>
      <c r="E171" s="25"/>
      <c r="F171" s="7" t="str">
        <f t="shared" si="261"/>
        <v/>
      </c>
      <c r="G171" s="25"/>
      <c r="H171" s="7" t="str">
        <f t="shared" si="261"/>
        <v/>
      </c>
      <c r="I171" s="25"/>
      <c r="J171" s="7" t="str">
        <f t="shared" si="261"/>
        <v/>
      </c>
      <c r="K171" s="25"/>
      <c r="L171" s="7" t="str">
        <f t="shared" si="262"/>
        <v/>
      </c>
      <c r="M171" s="25"/>
      <c r="N171" s="7" t="str">
        <f t="shared" si="263"/>
        <v/>
      </c>
      <c r="O171" s="81"/>
      <c r="P171" s="81" t="str">
        <f t="shared" si="264"/>
        <v/>
      </c>
      <c r="Q171" s="81"/>
      <c r="R171" s="7" t="str">
        <f t="shared" si="265"/>
        <v/>
      </c>
      <c r="S171" s="25"/>
      <c r="T171" s="7" t="str">
        <f t="shared" si="266"/>
        <v/>
      </c>
      <c r="U171" s="25"/>
      <c r="V171" s="7" t="str">
        <f t="shared" si="267"/>
        <v/>
      </c>
      <c r="W171" s="25"/>
      <c r="X171" s="7" t="str">
        <f t="shared" si="268"/>
        <v/>
      </c>
      <c r="Y171" s="18" t="str">
        <f t="shared" si="269"/>
        <v/>
      </c>
      <c r="Z171" s="7" t="str">
        <f t="shared" si="270"/>
        <v/>
      </c>
      <c r="AA171" s="18" t="str">
        <f t="shared" si="271"/>
        <v/>
      </c>
      <c r="AB171" s="19" t="str">
        <f t="shared" si="272"/>
        <v/>
      </c>
      <c r="AC171" s="26"/>
      <c r="AD171" s="26"/>
      <c r="AE171" s="25"/>
      <c r="AF171" s="26"/>
      <c r="AG171" s="25"/>
      <c r="AH171" s="25"/>
      <c r="AI171" s="18" t="str">
        <f t="shared" si="335"/>
        <v/>
      </c>
      <c r="AJ171" s="25"/>
      <c r="AK171" s="18" t="str">
        <f t="shared" si="336"/>
        <v/>
      </c>
      <c r="AL171" s="79"/>
      <c r="AM171" s="126" t="str">
        <f t="shared" si="337"/>
        <v/>
      </c>
      <c r="AN171" s="128" t="str">
        <f>IF(AP171&lt;&gt;"",VLOOKUP($P171&amp;" | "&amp;AN$6,'Job Master'!$F$12:$J$102,5,0),"")</f>
        <v/>
      </c>
      <c r="AO171" s="19" t="str">
        <f>IF(AP171&lt;&gt;"",VLOOKUP($P171&amp;" | "&amp;AN$6,'Job Master'!$F$12:$J$102,3,0),"")</f>
        <v/>
      </c>
      <c r="AP171" s="19" t="str">
        <f>IFERROR(IF(AND(AW171&lt;&gt;"",VLOOKUP($P171&amp;" | "&amp;AN$6,'Job Master'!$F$12:$I$102,4,0)&lt;&gt;""),IF(WEEKDAY(AW171-VLOOKUP($P171&amp;" | "&amp;AN$6,'Job Master'!$F$12:$I$102,4,0))&lt;&gt;7,AW171-VLOOKUP($P171&amp;" | "&amp;AN$6,'Job Master'!$F$12:$I$102,4,0),AW171-VLOOKUP($P171&amp;" | "&amp;AN$6,'Job Master'!$F$12:$I$102,4,0)-1),""),"")</f>
        <v/>
      </c>
      <c r="AQ171" s="73"/>
      <c r="AR171" s="123" t="str">
        <f t="shared" si="273"/>
        <v/>
      </c>
      <c r="AS171" s="123" t="str">
        <f t="shared" si="274"/>
        <v/>
      </c>
      <c r="AT171" s="97" t="str">
        <f t="shared" ca="1" si="275"/>
        <v/>
      </c>
      <c r="AU171" s="98" t="str">
        <f>IF(AW171&lt;&gt;"",VLOOKUP($P171&amp;" | "&amp;AU$6,'Job Master'!$F$12:$J$102,5,0),"")</f>
        <v/>
      </c>
      <c r="AV171" s="19" t="str">
        <f>IF(AW171&lt;&gt;"",VLOOKUP($P171&amp;" | "&amp;AU$6,'Job Master'!$F$12:$J$102,3,0),"")</f>
        <v/>
      </c>
      <c r="AW171" s="19" t="str">
        <f>IFERROR(IF(AND(BD171&lt;&gt;"",VLOOKUP($P171&amp;" | "&amp;AU$6,'Job Master'!$F$12:$I$102,4,0)&lt;&gt;""),IF(WEEKDAY(BD171-VLOOKUP($P171&amp;" | "&amp;AU$6,'Job Master'!$F$12:$I$102,4,0))&lt;&gt;7,BD171-VLOOKUP($P171&amp;" | "&amp;AU$6,'Job Master'!$F$12:$I$102,4,0),BD171-VLOOKUP($P171&amp;" | "&amp;AU$6,'Job Master'!$F$12:$I$102,4,0)-1),""),"")</f>
        <v/>
      </c>
      <c r="AX171" s="73"/>
      <c r="AY171" s="123" t="str">
        <f t="shared" si="276"/>
        <v/>
      </c>
      <c r="AZ171" s="123" t="str">
        <f t="shared" si="277"/>
        <v/>
      </c>
      <c r="BA171" s="97" t="str">
        <f t="shared" ca="1" si="278"/>
        <v/>
      </c>
      <c r="BB171" s="98" t="str">
        <f>IF(BD171&lt;&gt;"",VLOOKUP($P171&amp;" | "&amp;BB$6,'Job Master'!$F$12:$J$102,5,0),"")</f>
        <v/>
      </c>
      <c r="BC171" s="19" t="str">
        <f>IF(BD171&lt;&gt;"",VLOOKUP($P171&amp;" | "&amp;BB$6,'Job Master'!$F$12:$J$102,3,0),"")</f>
        <v/>
      </c>
      <c r="BD171" s="19" t="str">
        <f>IFERROR(IF(AND(BK171&lt;&gt;"",VLOOKUP($P171&amp;" | "&amp;BB$6,'Job Master'!$F$12:$I$102,4,0)&lt;&gt;""),IF(WEEKDAY(BK171-VLOOKUP($P171&amp;" | "&amp;BB$6,'Job Master'!$F$12:$I$102,4,0))&lt;&gt;7,BK171-VLOOKUP($P171&amp;" | "&amp;BB$6,'Job Master'!$F$12:$I$102,4,0),BK171-VLOOKUP($P171&amp;" | "&amp;BB$6,'Job Master'!$F$12:$I$102,4,0)-1),""),"")</f>
        <v/>
      </c>
      <c r="BE171" s="73"/>
      <c r="BF171" s="123" t="str">
        <f t="shared" si="279"/>
        <v/>
      </c>
      <c r="BG171" s="123" t="str">
        <f t="shared" si="280"/>
        <v/>
      </c>
      <c r="BH171" s="97" t="str">
        <f t="shared" ca="1" si="281"/>
        <v/>
      </c>
      <c r="BI171" s="98" t="str">
        <f>IF(BK171&lt;&gt;"",VLOOKUP($P171&amp;" | "&amp;BI$6,'Job Master'!$F$12:$J$102,5,0),"")</f>
        <v/>
      </c>
      <c r="BJ171" s="19" t="str">
        <f>IF(BK171&lt;&gt;"",VLOOKUP($P171&amp;" | "&amp;BI$6,'Job Master'!$F$12:$J$102,3,0),"")</f>
        <v/>
      </c>
      <c r="BK171" s="19" t="str">
        <f>IFERROR(IF(AND(BR171&lt;&gt;"",VLOOKUP($P171&amp;" | "&amp;BI$6,'Job Master'!$F$12:$I$102,4,0)&lt;&gt;""),IF(WEEKDAY(BR171-VLOOKUP($P171&amp;" | "&amp;BI$6,'Job Master'!$F$12:$I$102,4,0))&lt;&gt;7,BR171-VLOOKUP($P171&amp;" | "&amp;BI$6,'Job Master'!$F$12:$I$102,4,0),BR171-VLOOKUP($P171&amp;" | "&amp;BI$6,'Job Master'!$F$12:$I$102,4,0)-1),""),"")</f>
        <v/>
      </c>
      <c r="BL171" s="73"/>
      <c r="BM171" s="123" t="str">
        <f t="shared" si="282"/>
        <v/>
      </c>
      <c r="BN171" s="123" t="str">
        <f t="shared" si="283"/>
        <v/>
      </c>
      <c r="BO171" s="97" t="str">
        <f t="shared" ca="1" si="284"/>
        <v/>
      </c>
      <c r="BP171" s="98" t="str">
        <f>IF(BR171&lt;&gt;"",VLOOKUP($P171&amp;" | "&amp;BP$6,'Job Master'!$F$12:$J$102,5,0),"")</f>
        <v/>
      </c>
      <c r="BQ171" s="19" t="str">
        <f>IF(BR171&lt;&gt;"",VLOOKUP($P171&amp;" | "&amp;BP$6,'Job Master'!$F$12:$J$102,3,0),"")</f>
        <v/>
      </c>
      <c r="BR171" s="19" t="str">
        <f>IFERROR(IF(AND(BY171&lt;&gt;"",VLOOKUP($P171&amp;" | "&amp;BP$6,'Job Master'!$F$12:$I$102,4,0)&lt;&gt;""),IF(WEEKDAY(BY171-VLOOKUP($P171&amp;" | "&amp;BP$6,'Job Master'!$F$12:$I$102,4,0))&lt;&gt;7,BY171-VLOOKUP($P171&amp;" | "&amp;BP$6,'Job Master'!$F$12:$I$102,4,0),BY171-VLOOKUP($P171&amp;" | "&amp;BP$6,'Job Master'!$F$12:$I$102,4,0)-1),""),"")</f>
        <v/>
      </c>
      <c r="BS171" s="73"/>
      <c r="BT171" s="123" t="str">
        <f t="shared" si="285"/>
        <v/>
      </c>
      <c r="BU171" s="123" t="str">
        <f t="shared" si="286"/>
        <v/>
      </c>
      <c r="BV171" s="97" t="str">
        <f t="shared" ca="1" si="287"/>
        <v/>
      </c>
      <c r="BW171" s="98" t="str">
        <f>IF(BY171&lt;&gt;"",VLOOKUP($P171&amp;" | "&amp;BW$6,'Job Master'!$F$12:$J$102,5,0),"")</f>
        <v/>
      </c>
      <c r="BX171" s="19" t="str">
        <f>IF(BY171&lt;&gt;"",VLOOKUP($P171&amp;" | "&amp;BW$6,'Job Master'!$F$12:$J$102,3,0),"")</f>
        <v/>
      </c>
      <c r="BY171" s="19" t="str">
        <f>IFERROR(IF(AND(CF171&lt;&gt;"",VLOOKUP($P171&amp;" | "&amp;BW$6,'Job Master'!$F$12:$I$102,4,0)&lt;&gt;""),IF(WEEKDAY(CF171-VLOOKUP($P171&amp;" | "&amp;BW$6,'Job Master'!$F$12:$I$102,4,0))&lt;&gt;7,CF171-VLOOKUP($P171&amp;" | "&amp;BW$6,'Job Master'!$F$12:$I$102,4,0),CF171-VLOOKUP($P171&amp;" | "&amp;BW$6,'Job Master'!$F$12:$I$102,4,0)-1),""),"")</f>
        <v/>
      </c>
      <c r="BZ171" s="73"/>
      <c r="CA171" s="123" t="str">
        <f t="shared" si="288"/>
        <v/>
      </c>
      <c r="CB171" s="123" t="str">
        <f t="shared" si="289"/>
        <v/>
      </c>
      <c r="CC171" s="97" t="str">
        <f t="shared" ca="1" si="290"/>
        <v/>
      </c>
      <c r="CD171" s="98" t="str">
        <f>IF(CF171&lt;&gt;"",VLOOKUP($P171&amp;" | "&amp;CD$6,'Job Master'!$F$12:$J$102,5,0),"")</f>
        <v/>
      </c>
      <c r="CE171" s="19" t="str">
        <f>IF(CF171&lt;&gt;"",VLOOKUP($P171&amp;" | "&amp;CD$6,'Job Master'!$F$12:$J$102,3,0),"")</f>
        <v/>
      </c>
      <c r="CF171" s="19" t="str">
        <f>IFERROR(IF(AND(CM171&lt;&gt;"",VLOOKUP($P171&amp;" | "&amp;CD$6,'Job Master'!$F$12:$I$102,4,0)&lt;&gt;""),IF(WEEKDAY(CM171-VLOOKUP($P171&amp;" | "&amp;CD$6,'Job Master'!$F$12:$I$102,4,0))&lt;&gt;7,CM171-VLOOKUP($P171&amp;" | "&amp;CD$6,'Job Master'!$F$12:$I$102,4,0),CM171-VLOOKUP($P171&amp;" | "&amp;CD$6,'Job Master'!$F$12:$I$102,4,0)-1),""),"")</f>
        <v/>
      </c>
      <c r="CG171" s="73"/>
      <c r="CH171" s="123" t="str">
        <f t="shared" si="291"/>
        <v/>
      </c>
      <c r="CI171" s="123" t="str">
        <f t="shared" si="292"/>
        <v/>
      </c>
      <c r="CJ171" s="97" t="str">
        <f t="shared" ca="1" si="293"/>
        <v/>
      </c>
      <c r="CK171" s="98" t="str">
        <f>IF(CM171&lt;&gt;"",VLOOKUP($P171&amp;" | "&amp;CK$6,'Job Master'!$F$12:$J$102,5,0),"")</f>
        <v/>
      </c>
      <c r="CL171" s="19" t="str">
        <f>IF(CM171&lt;&gt;"",VLOOKUP($P171&amp;" | "&amp;CK$6,'Job Master'!$F$12:$J$102,3,0),"")</f>
        <v/>
      </c>
      <c r="CM171" s="19" t="str">
        <f>IFERROR(IF(AND(CT171&lt;&gt;"",VLOOKUP($P171&amp;" | "&amp;CK$6,'Job Master'!$F$12:$I$102,4,0)&lt;&gt;""),IF(WEEKDAY(CT171-VLOOKUP($P171&amp;" | "&amp;CK$6,'Job Master'!$F$12:$I$102,4,0))&lt;&gt;7,CT171-VLOOKUP($P171&amp;" | "&amp;CK$6,'Job Master'!$F$12:$I$102,4,0),CT171-VLOOKUP($P171&amp;" | "&amp;CK$6,'Job Master'!$F$12:$I$102,4,0)-1),""),"")</f>
        <v/>
      </c>
      <c r="CN171" s="73"/>
      <c r="CO171" s="123" t="str">
        <f t="shared" si="294"/>
        <v/>
      </c>
      <c r="CP171" s="123" t="str">
        <f t="shared" si="295"/>
        <v/>
      </c>
      <c r="CQ171" s="97" t="str">
        <f t="shared" ca="1" si="296"/>
        <v/>
      </c>
      <c r="CR171" s="98" t="str">
        <f>IF(CT171&lt;&gt;"",VLOOKUP($P171&amp;" | "&amp;CR$6,'Job Master'!$F$12:$J$102,5,0),"")</f>
        <v/>
      </c>
      <c r="CS171" s="19" t="str">
        <f>IF(CT171&lt;&gt;"",VLOOKUP($P171&amp;" | "&amp;CR$6,'Job Master'!$F$12:$J$102,3,0),"")</f>
        <v/>
      </c>
      <c r="CT171" s="19" t="str">
        <f>IFERROR(IF(AND(DA171&lt;&gt;"",VLOOKUP($P171&amp;" | "&amp;CR$6,'Job Master'!$F$12:$I$102,4,0)&lt;&gt;""),IF(WEEKDAY(DA171-VLOOKUP($P171&amp;" | "&amp;CR$6,'Job Master'!$F$12:$I$102,4,0))&lt;&gt;7,DA171-VLOOKUP($P171&amp;" | "&amp;CR$6,'Job Master'!$F$12:$I$102,4,0),DA171-VLOOKUP($P171&amp;" | "&amp;CR$6,'Job Master'!$F$12:$I$102,4,0)-1),""),"")</f>
        <v/>
      </c>
      <c r="CU171" s="73"/>
      <c r="CV171" s="123" t="str">
        <f t="shared" si="297"/>
        <v/>
      </c>
      <c r="CW171" s="123" t="str">
        <f t="shared" si="298"/>
        <v/>
      </c>
      <c r="CX171" s="97" t="str">
        <f t="shared" ca="1" si="299"/>
        <v/>
      </c>
      <c r="CY171" s="98" t="str">
        <f>IF(DA171&lt;&gt;"",VLOOKUP($P171&amp;" | "&amp;CY$6,'Job Master'!$F$12:$J$102,5,0),"")</f>
        <v/>
      </c>
      <c r="CZ171" s="19" t="str">
        <f>IF(DA171&lt;&gt;"",VLOOKUP($P171&amp;" | "&amp;CY$6,'Job Master'!$F$12:$J$102,3,0),"")</f>
        <v/>
      </c>
      <c r="DA171" s="19" t="str">
        <f>IFERROR(IF(AND(DH171&lt;&gt;"",VLOOKUP($P171&amp;" | "&amp;CY$6,'Job Master'!$F$12:$I$102,4,0)&lt;&gt;""),IF(WEEKDAY(DH171-VLOOKUP($P171&amp;" | "&amp;CY$6,'Job Master'!$F$12:$I$102,4,0))&lt;&gt;7,DH171-VLOOKUP($P171&amp;" | "&amp;CY$6,'Job Master'!$F$12:$I$102,4,0),DH171-VLOOKUP($P171&amp;" | "&amp;CY$6,'Job Master'!$F$12:$I$102,4,0)-1),""),"")</f>
        <v/>
      </c>
      <c r="DB171" s="73"/>
      <c r="DC171" s="123" t="str">
        <f t="shared" si="300"/>
        <v/>
      </c>
      <c r="DD171" s="123" t="str">
        <f t="shared" si="301"/>
        <v/>
      </c>
      <c r="DE171" s="97" t="str">
        <f t="shared" ca="1" si="302"/>
        <v/>
      </c>
      <c r="DF171" s="98" t="str">
        <f>IF(DH171&lt;&gt;"",VLOOKUP($P171&amp;" | "&amp;DF$6,'Job Master'!$F$12:$J$102,5,0),"")</f>
        <v/>
      </c>
      <c r="DG171" s="19" t="str">
        <f>IF(DH171&lt;&gt;"",VLOOKUP($P171&amp;" | "&amp;DF$6,'Job Master'!$F$12:$J$102,3,0),"")</f>
        <v/>
      </c>
      <c r="DH171" s="19" t="str">
        <f>IFERROR(IF(AND(DO171&lt;&gt;"",VLOOKUP($P171&amp;" | "&amp;DF$6,'Job Master'!$F$12:$I$102,4,0)&lt;&gt;""),IF(WEEKDAY(DO171-VLOOKUP($P171&amp;" | "&amp;DF$6,'Job Master'!$F$12:$I$102,4,0))&lt;&gt;7,DO171-VLOOKUP($P171&amp;" | "&amp;DF$6,'Job Master'!$F$12:$I$102,4,0),DO171-VLOOKUP($P171&amp;" | "&amp;DF$6,'Job Master'!$F$12:$I$102,4,0)-1),""),"")</f>
        <v/>
      </c>
      <c r="DI171" s="73"/>
      <c r="DJ171" s="123" t="str">
        <f t="shared" si="303"/>
        <v/>
      </c>
      <c r="DK171" s="123" t="str">
        <f t="shared" si="304"/>
        <v/>
      </c>
      <c r="DL171" s="97" t="str">
        <f t="shared" ca="1" si="305"/>
        <v/>
      </c>
      <c r="DM171" s="98" t="str">
        <f>IF(DO171&lt;&gt;"",VLOOKUP($P171&amp;" | "&amp;DM$6,'Job Master'!$F$12:$J$102,5,0),"")</f>
        <v/>
      </c>
      <c r="DN171" s="19" t="str">
        <f>IF(DO171&lt;&gt;"",VLOOKUP($P171&amp;" | "&amp;DM$6,'Job Master'!$F$12:$J$102,3,0),"")</f>
        <v/>
      </c>
      <c r="DO171" s="19" t="str">
        <f>IFERROR(IF(AND(DT171&lt;&gt;"",VLOOKUP($P171&amp;" | "&amp;DM$6,'Job Master'!$F$12:$I$102,4,0)&lt;&gt;""),IF(WEEKDAY(DT171-VLOOKUP($P171&amp;" | "&amp;DM$6,'Job Master'!$F$12:$I$102,4,0))&lt;&gt;7,DT171-VLOOKUP($P171&amp;" | "&amp;DM$6,'Job Master'!$F$12:$I$102,4,0),DT171-VLOOKUP($P171&amp;" | "&amp;DM$6,'Job Master'!$F$12:$I$102,4,0)-1),""),"")</f>
        <v/>
      </c>
      <c r="DP171" s="73"/>
      <c r="DQ171" s="123" t="str">
        <f t="shared" si="306"/>
        <v/>
      </c>
      <c r="DR171" s="123" t="str">
        <f t="shared" si="307"/>
        <v/>
      </c>
      <c r="DS171" s="97" t="str">
        <f t="shared" ca="1" si="308"/>
        <v/>
      </c>
      <c r="DT171" s="70" t="str">
        <f t="shared" si="309"/>
        <v/>
      </c>
      <c r="DU171" s="90"/>
      <c r="DV171" s="123" t="str">
        <f t="shared" si="310"/>
        <v/>
      </c>
      <c r="DW171" s="123" t="str">
        <f t="shared" si="311"/>
        <v/>
      </c>
      <c r="DX171" s="132" t="str">
        <f t="shared" ref="DX171" ca="1" si="356">IF(DT171&lt;&gt;"",IF(WEEKNUM(DT171)=WEEKNUM(TODAY()),"This Week",IF(WEEKNUM(DT171)=WEEKNUM(TODAY())+1,"Next Week",IF(WEEKNUM(DT171)=WEEKNUM(TODAY())-1,"Previous Week",""))),"")</f>
        <v/>
      </c>
      <c r="DY171" s="134" t="str">
        <f t="shared" si="313"/>
        <v/>
      </c>
      <c r="DZ171" s="95"/>
      <c r="EB171" s="8" t="str">
        <f t="shared" si="319"/>
        <v/>
      </c>
      <c r="EC171" s="8" t="str">
        <f>IF(O171&lt;&gt;"",VLOOKUP(O171,'Job Master'!$N$12:$O$18,2,0),"")</f>
        <v/>
      </c>
      <c r="ED171" s="8">
        <f t="shared" si="320"/>
        <v>19.5</v>
      </c>
      <c r="EE171" s="8">
        <f t="shared" si="321"/>
        <v>6</v>
      </c>
      <c r="EF171" s="8">
        <f t="shared" si="322"/>
        <v>-946.5</v>
      </c>
      <c r="EG171" s="8" t="str">
        <f t="shared" si="323"/>
        <v/>
      </c>
      <c r="EH171" s="8" t="str">
        <f t="shared" si="324"/>
        <v/>
      </c>
    </row>
    <row r="172" spans="2:138" x14ac:dyDescent="0.3">
      <c r="B172" s="112"/>
      <c r="C172" s="27"/>
      <c r="D172" s="7" t="str">
        <f t="shared" si="261"/>
        <v/>
      </c>
      <c r="E172" s="25"/>
      <c r="F172" s="7" t="str">
        <f t="shared" si="261"/>
        <v/>
      </c>
      <c r="G172" s="25"/>
      <c r="H172" s="7" t="str">
        <f t="shared" si="261"/>
        <v/>
      </c>
      <c r="I172" s="25"/>
      <c r="J172" s="7" t="str">
        <f t="shared" si="261"/>
        <v/>
      </c>
      <c r="K172" s="25"/>
      <c r="L172" s="7" t="str">
        <f t="shared" si="262"/>
        <v/>
      </c>
      <c r="M172" s="25"/>
      <c r="N172" s="7" t="str">
        <f t="shared" si="263"/>
        <v/>
      </c>
      <c r="O172" s="81"/>
      <c r="P172" s="81" t="str">
        <f t="shared" si="264"/>
        <v/>
      </c>
      <c r="Q172" s="81"/>
      <c r="R172" s="7" t="str">
        <f t="shared" si="265"/>
        <v/>
      </c>
      <c r="S172" s="25"/>
      <c r="T172" s="7" t="str">
        <f t="shared" si="266"/>
        <v/>
      </c>
      <c r="U172" s="25"/>
      <c r="V172" s="7" t="str">
        <f t="shared" si="267"/>
        <v/>
      </c>
      <c r="W172" s="25"/>
      <c r="X172" s="7" t="str">
        <f t="shared" si="268"/>
        <v/>
      </c>
      <c r="Y172" s="18" t="str">
        <f t="shared" si="269"/>
        <v/>
      </c>
      <c r="Z172" s="7" t="str">
        <f t="shared" si="270"/>
        <v/>
      </c>
      <c r="AA172" s="18" t="str">
        <f t="shared" si="271"/>
        <v/>
      </c>
      <c r="AB172" s="19" t="str">
        <f t="shared" si="272"/>
        <v/>
      </c>
      <c r="AC172" s="26"/>
      <c r="AD172" s="26"/>
      <c r="AE172" s="25"/>
      <c r="AF172" s="26"/>
      <c r="AG172" s="25"/>
      <c r="AH172" s="25"/>
      <c r="AI172" s="18" t="str">
        <f t="shared" si="335"/>
        <v/>
      </c>
      <c r="AJ172" s="25"/>
      <c r="AK172" s="18" t="str">
        <f t="shared" si="336"/>
        <v/>
      </c>
      <c r="AL172" s="79"/>
      <c r="AM172" s="126" t="str">
        <f t="shared" si="337"/>
        <v/>
      </c>
      <c r="AN172" s="128" t="str">
        <f>IF(AP172&lt;&gt;"",VLOOKUP($P172&amp;" | "&amp;AN$6,'Job Master'!$F$12:$J$102,5,0),"")</f>
        <v/>
      </c>
      <c r="AO172" s="19" t="str">
        <f>IF(AP172&lt;&gt;"",VLOOKUP($P172&amp;" | "&amp;AN$6,'Job Master'!$F$12:$J$102,3,0),"")</f>
        <v/>
      </c>
      <c r="AP172" s="19" t="str">
        <f>IFERROR(IF(AND(AW172&lt;&gt;"",VLOOKUP($P172&amp;" | "&amp;AN$6,'Job Master'!$F$12:$I$102,4,0)&lt;&gt;""),IF(WEEKDAY(AW172-VLOOKUP($P172&amp;" | "&amp;AN$6,'Job Master'!$F$12:$I$102,4,0))&lt;&gt;7,AW172-VLOOKUP($P172&amp;" | "&amp;AN$6,'Job Master'!$F$12:$I$102,4,0),AW172-VLOOKUP($P172&amp;" | "&amp;AN$6,'Job Master'!$F$12:$I$102,4,0)-1),""),"")</f>
        <v/>
      </c>
      <c r="AQ172" s="73"/>
      <c r="AR172" s="123" t="str">
        <f t="shared" si="273"/>
        <v/>
      </c>
      <c r="AS172" s="123" t="str">
        <f t="shared" si="274"/>
        <v/>
      </c>
      <c r="AT172" s="97" t="str">
        <f t="shared" ca="1" si="275"/>
        <v/>
      </c>
      <c r="AU172" s="98" t="str">
        <f>IF(AW172&lt;&gt;"",VLOOKUP($P172&amp;" | "&amp;AU$6,'Job Master'!$F$12:$J$102,5,0),"")</f>
        <v/>
      </c>
      <c r="AV172" s="19" t="str">
        <f>IF(AW172&lt;&gt;"",VLOOKUP($P172&amp;" | "&amp;AU$6,'Job Master'!$F$12:$J$102,3,0),"")</f>
        <v/>
      </c>
      <c r="AW172" s="19" t="str">
        <f>IFERROR(IF(AND(BD172&lt;&gt;"",VLOOKUP($P172&amp;" | "&amp;AU$6,'Job Master'!$F$12:$I$102,4,0)&lt;&gt;""),IF(WEEKDAY(BD172-VLOOKUP($P172&amp;" | "&amp;AU$6,'Job Master'!$F$12:$I$102,4,0))&lt;&gt;7,BD172-VLOOKUP($P172&amp;" | "&amp;AU$6,'Job Master'!$F$12:$I$102,4,0),BD172-VLOOKUP($P172&amp;" | "&amp;AU$6,'Job Master'!$F$12:$I$102,4,0)-1),""),"")</f>
        <v/>
      </c>
      <c r="AX172" s="73"/>
      <c r="AY172" s="123" t="str">
        <f t="shared" si="276"/>
        <v/>
      </c>
      <c r="AZ172" s="123" t="str">
        <f t="shared" si="277"/>
        <v/>
      </c>
      <c r="BA172" s="97" t="str">
        <f t="shared" ca="1" si="278"/>
        <v/>
      </c>
      <c r="BB172" s="98" t="str">
        <f>IF(BD172&lt;&gt;"",VLOOKUP($P172&amp;" | "&amp;BB$6,'Job Master'!$F$12:$J$102,5,0),"")</f>
        <v/>
      </c>
      <c r="BC172" s="19" t="str">
        <f>IF(BD172&lt;&gt;"",VLOOKUP($P172&amp;" | "&amp;BB$6,'Job Master'!$F$12:$J$102,3,0),"")</f>
        <v/>
      </c>
      <c r="BD172" s="19" t="str">
        <f>IFERROR(IF(AND(BK172&lt;&gt;"",VLOOKUP($P172&amp;" | "&amp;BB$6,'Job Master'!$F$12:$I$102,4,0)&lt;&gt;""),IF(WEEKDAY(BK172-VLOOKUP($P172&amp;" | "&amp;BB$6,'Job Master'!$F$12:$I$102,4,0))&lt;&gt;7,BK172-VLOOKUP($P172&amp;" | "&amp;BB$6,'Job Master'!$F$12:$I$102,4,0),BK172-VLOOKUP($P172&amp;" | "&amp;BB$6,'Job Master'!$F$12:$I$102,4,0)-1),""),"")</f>
        <v/>
      </c>
      <c r="BE172" s="73"/>
      <c r="BF172" s="123" t="str">
        <f t="shared" si="279"/>
        <v/>
      </c>
      <c r="BG172" s="123" t="str">
        <f t="shared" si="280"/>
        <v/>
      </c>
      <c r="BH172" s="97" t="str">
        <f t="shared" ca="1" si="281"/>
        <v/>
      </c>
      <c r="BI172" s="98" t="str">
        <f>IF(BK172&lt;&gt;"",VLOOKUP($P172&amp;" | "&amp;BI$6,'Job Master'!$F$12:$J$102,5,0),"")</f>
        <v/>
      </c>
      <c r="BJ172" s="19" t="str">
        <f>IF(BK172&lt;&gt;"",VLOOKUP($P172&amp;" | "&amp;BI$6,'Job Master'!$F$12:$J$102,3,0),"")</f>
        <v/>
      </c>
      <c r="BK172" s="19" t="str">
        <f>IFERROR(IF(AND(BR172&lt;&gt;"",VLOOKUP($P172&amp;" | "&amp;BI$6,'Job Master'!$F$12:$I$102,4,0)&lt;&gt;""),IF(WEEKDAY(BR172-VLOOKUP($P172&amp;" | "&amp;BI$6,'Job Master'!$F$12:$I$102,4,0))&lt;&gt;7,BR172-VLOOKUP($P172&amp;" | "&amp;BI$6,'Job Master'!$F$12:$I$102,4,0),BR172-VLOOKUP($P172&amp;" | "&amp;BI$6,'Job Master'!$F$12:$I$102,4,0)-1),""),"")</f>
        <v/>
      </c>
      <c r="BL172" s="73"/>
      <c r="BM172" s="123" t="str">
        <f t="shared" si="282"/>
        <v/>
      </c>
      <c r="BN172" s="123" t="str">
        <f t="shared" si="283"/>
        <v/>
      </c>
      <c r="BO172" s="97" t="str">
        <f t="shared" ca="1" si="284"/>
        <v/>
      </c>
      <c r="BP172" s="98" t="str">
        <f>IF(BR172&lt;&gt;"",VLOOKUP($P172&amp;" | "&amp;BP$6,'Job Master'!$F$12:$J$102,5,0),"")</f>
        <v/>
      </c>
      <c r="BQ172" s="19" t="str">
        <f>IF(BR172&lt;&gt;"",VLOOKUP($P172&amp;" | "&amp;BP$6,'Job Master'!$F$12:$J$102,3,0),"")</f>
        <v/>
      </c>
      <c r="BR172" s="19" t="str">
        <f>IFERROR(IF(AND(BY172&lt;&gt;"",VLOOKUP($P172&amp;" | "&amp;BP$6,'Job Master'!$F$12:$I$102,4,0)&lt;&gt;""),IF(WEEKDAY(BY172-VLOOKUP($P172&amp;" | "&amp;BP$6,'Job Master'!$F$12:$I$102,4,0))&lt;&gt;7,BY172-VLOOKUP($P172&amp;" | "&amp;BP$6,'Job Master'!$F$12:$I$102,4,0),BY172-VLOOKUP($P172&amp;" | "&amp;BP$6,'Job Master'!$F$12:$I$102,4,0)-1),""),"")</f>
        <v/>
      </c>
      <c r="BS172" s="73"/>
      <c r="BT172" s="123" t="str">
        <f t="shared" si="285"/>
        <v/>
      </c>
      <c r="BU172" s="123" t="str">
        <f t="shared" si="286"/>
        <v/>
      </c>
      <c r="BV172" s="97" t="str">
        <f t="shared" ca="1" si="287"/>
        <v/>
      </c>
      <c r="BW172" s="98" t="str">
        <f>IF(BY172&lt;&gt;"",VLOOKUP($P172&amp;" | "&amp;BW$6,'Job Master'!$F$12:$J$102,5,0),"")</f>
        <v/>
      </c>
      <c r="BX172" s="19" t="str">
        <f>IF(BY172&lt;&gt;"",VLOOKUP($P172&amp;" | "&amp;BW$6,'Job Master'!$F$12:$J$102,3,0),"")</f>
        <v/>
      </c>
      <c r="BY172" s="19" t="str">
        <f>IFERROR(IF(AND(CF172&lt;&gt;"",VLOOKUP($P172&amp;" | "&amp;BW$6,'Job Master'!$F$12:$I$102,4,0)&lt;&gt;""),IF(WEEKDAY(CF172-VLOOKUP($P172&amp;" | "&amp;BW$6,'Job Master'!$F$12:$I$102,4,0))&lt;&gt;7,CF172-VLOOKUP($P172&amp;" | "&amp;BW$6,'Job Master'!$F$12:$I$102,4,0),CF172-VLOOKUP($P172&amp;" | "&amp;BW$6,'Job Master'!$F$12:$I$102,4,0)-1),""),"")</f>
        <v/>
      </c>
      <c r="BZ172" s="73"/>
      <c r="CA172" s="123" t="str">
        <f t="shared" si="288"/>
        <v/>
      </c>
      <c r="CB172" s="123" t="str">
        <f t="shared" si="289"/>
        <v/>
      </c>
      <c r="CC172" s="97" t="str">
        <f t="shared" ca="1" si="290"/>
        <v/>
      </c>
      <c r="CD172" s="98" t="str">
        <f>IF(CF172&lt;&gt;"",VLOOKUP($P172&amp;" | "&amp;CD$6,'Job Master'!$F$12:$J$102,5,0),"")</f>
        <v/>
      </c>
      <c r="CE172" s="19" t="str">
        <f>IF(CF172&lt;&gt;"",VLOOKUP($P172&amp;" | "&amp;CD$6,'Job Master'!$F$12:$J$102,3,0),"")</f>
        <v/>
      </c>
      <c r="CF172" s="19" t="str">
        <f>IFERROR(IF(AND(CM172&lt;&gt;"",VLOOKUP($P172&amp;" | "&amp;CD$6,'Job Master'!$F$12:$I$102,4,0)&lt;&gt;""),IF(WEEKDAY(CM172-VLOOKUP($P172&amp;" | "&amp;CD$6,'Job Master'!$F$12:$I$102,4,0))&lt;&gt;7,CM172-VLOOKUP($P172&amp;" | "&amp;CD$6,'Job Master'!$F$12:$I$102,4,0),CM172-VLOOKUP($P172&amp;" | "&amp;CD$6,'Job Master'!$F$12:$I$102,4,0)-1),""),"")</f>
        <v/>
      </c>
      <c r="CG172" s="73"/>
      <c r="CH172" s="123" t="str">
        <f t="shared" si="291"/>
        <v/>
      </c>
      <c r="CI172" s="123" t="str">
        <f t="shared" si="292"/>
        <v/>
      </c>
      <c r="CJ172" s="97" t="str">
        <f t="shared" ca="1" si="293"/>
        <v/>
      </c>
      <c r="CK172" s="98" t="str">
        <f>IF(CM172&lt;&gt;"",VLOOKUP($P172&amp;" | "&amp;CK$6,'Job Master'!$F$12:$J$102,5,0),"")</f>
        <v/>
      </c>
      <c r="CL172" s="19" t="str">
        <f>IF(CM172&lt;&gt;"",VLOOKUP($P172&amp;" | "&amp;CK$6,'Job Master'!$F$12:$J$102,3,0),"")</f>
        <v/>
      </c>
      <c r="CM172" s="19" t="str">
        <f>IFERROR(IF(AND(CT172&lt;&gt;"",VLOOKUP($P172&amp;" | "&amp;CK$6,'Job Master'!$F$12:$I$102,4,0)&lt;&gt;""),IF(WEEKDAY(CT172-VLOOKUP($P172&amp;" | "&amp;CK$6,'Job Master'!$F$12:$I$102,4,0))&lt;&gt;7,CT172-VLOOKUP($P172&amp;" | "&amp;CK$6,'Job Master'!$F$12:$I$102,4,0),CT172-VLOOKUP($P172&amp;" | "&amp;CK$6,'Job Master'!$F$12:$I$102,4,0)-1),""),"")</f>
        <v/>
      </c>
      <c r="CN172" s="73"/>
      <c r="CO172" s="123" t="str">
        <f t="shared" si="294"/>
        <v/>
      </c>
      <c r="CP172" s="123" t="str">
        <f t="shared" si="295"/>
        <v/>
      </c>
      <c r="CQ172" s="97" t="str">
        <f t="shared" ca="1" si="296"/>
        <v/>
      </c>
      <c r="CR172" s="98" t="str">
        <f>IF(CT172&lt;&gt;"",VLOOKUP($P172&amp;" | "&amp;CR$6,'Job Master'!$F$12:$J$102,5,0),"")</f>
        <v/>
      </c>
      <c r="CS172" s="19" t="str">
        <f>IF(CT172&lt;&gt;"",VLOOKUP($P172&amp;" | "&amp;CR$6,'Job Master'!$F$12:$J$102,3,0),"")</f>
        <v/>
      </c>
      <c r="CT172" s="19" t="str">
        <f>IFERROR(IF(AND(DA172&lt;&gt;"",VLOOKUP($P172&amp;" | "&amp;CR$6,'Job Master'!$F$12:$I$102,4,0)&lt;&gt;""),IF(WEEKDAY(DA172-VLOOKUP($P172&amp;" | "&amp;CR$6,'Job Master'!$F$12:$I$102,4,0))&lt;&gt;7,DA172-VLOOKUP($P172&amp;" | "&amp;CR$6,'Job Master'!$F$12:$I$102,4,0),DA172-VLOOKUP($P172&amp;" | "&amp;CR$6,'Job Master'!$F$12:$I$102,4,0)-1),""),"")</f>
        <v/>
      </c>
      <c r="CU172" s="73"/>
      <c r="CV172" s="123" t="str">
        <f t="shared" si="297"/>
        <v/>
      </c>
      <c r="CW172" s="123" t="str">
        <f t="shared" si="298"/>
        <v/>
      </c>
      <c r="CX172" s="97" t="str">
        <f t="shared" ca="1" si="299"/>
        <v/>
      </c>
      <c r="CY172" s="98" t="str">
        <f>IF(DA172&lt;&gt;"",VLOOKUP($P172&amp;" | "&amp;CY$6,'Job Master'!$F$12:$J$102,5,0),"")</f>
        <v/>
      </c>
      <c r="CZ172" s="19" t="str">
        <f>IF(DA172&lt;&gt;"",VLOOKUP($P172&amp;" | "&amp;CY$6,'Job Master'!$F$12:$J$102,3,0),"")</f>
        <v/>
      </c>
      <c r="DA172" s="19" t="str">
        <f>IFERROR(IF(AND(DH172&lt;&gt;"",VLOOKUP($P172&amp;" | "&amp;CY$6,'Job Master'!$F$12:$I$102,4,0)&lt;&gt;""),IF(WEEKDAY(DH172-VLOOKUP($P172&amp;" | "&amp;CY$6,'Job Master'!$F$12:$I$102,4,0))&lt;&gt;7,DH172-VLOOKUP($P172&amp;" | "&amp;CY$6,'Job Master'!$F$12:$I$102,4,0),DH172-VLOOKUP($P172&amp;" | "&amp;CY$6,'Job Master'!$F$12:$I$102,4,0)-1),""),"")</f>
        <v/>
      </c>
      <c r="DB172" s="73"/>
      <c r="DC172" s="123" t="str">
        <f t="shared" si="300"/>
        <v/>
      </c>
      <c r="DD172" s="123" t="str">
        <f t="shared" si="301"/>
        <v/>
      </c>
      <c r="DE172" s="97" t="str">
        <f t="shared" ca="1" si="302"/>
        <v/>
      </c>
      <c r="DF172" s="98" t="str">
        <f>IF(DH172&lt;&gt;"",VLOOKUP($P172&amp;" | "&amp;DF$6,'Job Master'!$F$12:$J$102,5,0),"")</f>
        <v/>
      </c>
      <c r="DG172" s="19" t="str">
        <f>IF(DH172&lt;&gt;"",VLOOKUP($P172&amp;" | "&amp;DF$6,'Job Master'!$F$12:$J$102,3,0),"")</f>
        <v/>
      </c>
      <c r="DH172" s="19" t="str">
        <f>IFERROR(IF(AND(DO172&lt;&gt;"",VLOOKUP($P172&amp;" | "&amp;DF$6,'Job Master'!$F$12:$I$102,4,0)&lt;&gt;""),IF(WEEKDAY(DO172-VLOOKUP($P172&amp;" | "&amp;DF$6,'Job Master'!$F$12:$I$102,4,0))&lt;&gt;7,DO172-VLOOKUP($P172&amp;" | "&amp;DF$6,'Job Master'!$F$12:$I$102,4,0),DO172-VLOOKUP($P172&amp;" | "&amp;DF$6,'Job Master'!$F$12:$I$102,4,0)-1),""),"")</f>
        <v/>
      </c>
      <c r="DI172" s="73"/>
      <c r="DJ172" s="123" t="str">
        <f t="shared" si="303"/>
        <v/>
      </c>
      <c r="DK172" s="123" t="str">
        <f t="shared" si="304"/>
        <v/>
      </c>
      <c r="DL172" s="97" t="str">
        <f t="shared" ca="1" si="305"/>
        <v/>
      </c>
      <c r="DM172" s="98" t="str">
        <f>IF(DO172&lt;&gt;"",VLOOKUP($P172&amp;" | "&amp;DM$6,'Job Master'!$F$12:$J$102,5,0),"")</f>
        <v/>
      </c>
      <c r="DN172" s="19" t="str">
        <f>IF(DO172&lt;&gt;"",VLOOKUP($P172&amp;" | "&amp;DM$6,'Job Master'!$F$12:$J$102,3,0),"")</f>
        <v/>
      </c>
      <c r="DO172" s="19" t="str">
        <f>IFERROR(IF(AND(DT172&lt;&gt;"",VLOOKUP($P172&amp;" | "&amp;DM$6,'Job Master'!$F$12:$I$102,4,0)&lt;&gt;""),IF(WEEKDAY(DT172-VLOOKUP($P172&amp;" | "&amp;DM$6,'Job Master'!$F$12:$I$102,4,0))&lt;&gt;7,DT172-VLOOKUP($P172&amp;" | "&amp;DM$6,'Job Master'!$F$12:$I$102,4,0),DT172-VLOOKUP($P172&amp;" | "&amp;DM$6,'Job Master'!$F$12:$I$102,4,0)-1),""),"")</f>
        <v/>
      </c>
      <c r="DP172" s="73"/>
      <c r="DQ172" s="123" t="str">
        <f t="shared" si="306"/>
        <v/>
      </c>
      <c r="DR172" s="123" t="str">
        <f t="shared" si="307"/>
        <v/>
      </c>
      <c r="DS172" s="97" t="str">
        <f t="shared" ca="1" si="308"/>
        <v/>
      </c>
      <c r="DT172" s="70" t="str">
        <f t="shared" si="309"/>
        <v/>
      </c>
      <c r="DU172" s="90"/>
      <c r="DV172" s="123" t="str">
        <f t="shared" si="310"/>
        <v/>
      </c>
      <c r="DW172" s="123" t="str">
        <f t="shared" si="311"/>
        <v/>
      </c>
      <c r="DX172" s="132" t="str">
        <f t="shared" ref="DX172" ca="1" si="357">IF(DT172&lt;&gt;"",IF(WEEKNUM(DT172)=WEEKNUM(TODAY()),"This Week",IF(WEEKNUM(DT172)=WEEKNUM(TODAY())+1,"Next Week",IF(WEEKNUM(DT172)=WEEKNUM(TODAY())-1,"Previous Week",""))),"")</f>
        <v/>
      </c>
      <c r="DY172" s="134" t="str">
        <f t="shared" si="313"/>
        <v/>
      </c>
      <c r="DZ172" s="95"/>
      <c r="EB172" s="8" t="str">
        <f t="shared" si="319"/>
        <v/>
      </c>
      <c r="EC172" s="8" t="str">
        <f>IF(O172&lt;&gt;"",VLOOKUP(O172,'Job Master'!$N$12:$O$18,2,0),"")</f>
        <v/>
      </c>
      <c r="ED172" s="8">
        <f t="shared" si="320"/>
        <v>19.5</v>
      </c>
      <c r="EE172" s="8">
        <f t="shared" si="321"/>
        <v>6</v>
      </c>
      <c r="EF172" s="8">
        <f t="shared" si="322"/>
        <v>-952.5</v>
      </c>
      <c r="EG172" s="8" t="str">
        <f t="shared" si="323"/>
        <v/>
      </c>
      <c r="EH172" s="8" t="str">
        <f t="shared" si="324"/>
        <v/>
      </c>
    </row>
    <row r="173" spans="2:138" x14ac:dyDescent="0.3">
      <c r="B173" s="112"/>
      <c r="C173" s="27"/>
      <c r="D173" s="7" t="str">
        <f t="shared" si="261"/>
        <v/>
      </c>
      <c r="E173" s="25"/>
      <c r="F173" s="7" t="str">
        <f t="shared" si="261"/>
        <v/>
      </c>
      <c r="G173" s="25"/>
      <c r="H173" s="7" t="str">
        <f t="shared" si="261"/>
        <v/>
      </c>
      <c r="I173" s="25"/>
      <c r="J173" s="7" t="str">
        <f t="shared" si="261"/>
        <v/>
      </c>
      <c r="K173" s="25"/>
      <c r="L173" s="7" t="str">
        <f t="shared" si="262"/>
        <v/>
      </c>
      <c r="M173" s="25"/>
      <c r="N173" s="7" t="str">
        <f t="shared" si="263"/>
        <v/>
      </c>
      <c r="O173" s="81"/>
      <c r="P173" s="81" t="str">
        <f t="shared" si="264"/>
        <v/>
      </c>
      <c r="Q173" s="81"/>
      <c r="R173" s="7" t="str">
        <f t="shared" si="265"/>
        <v/>
      </c>
      <c r="S173" s="25"/>
      <c r="T173" s="7" t="str">
        <f t="shared" si="266"/>
        <v/>
      </c>
      <c r="U173" s="25"/>
      <c r="V173" s="7" t="str">
        <f t="shared" si="267"/>
        <v/>
      </c>
      <c r="W173" s="25"/>
      <c r="X173" s="7" t="str">
        <f t="shared" si="268"/>
        <v/>
      </c>
      <c r="Y173" s="18" t="str">
        <f t="shared" si="269"/>
        <v/>
      </c>
      <c r="Z173" s="7" t="str">
        <f t="shared" si="270"/>
        <v/>
      </c>
      <c r="AA173" s="18" t="str">
        <f t="shared" si="271"/>
        <v/>
      </c>
      <c r="AB173" s="19" t="str">
        <f t="shared" si="272"/>
        <v/>
      </c>
      <c r="AC173" s="26"/>
      <c r="AD173" s="26"/>
      <c r="AE173" s="25"/>
      <c r="AF173" s="26"/>
      <c r="AG173" s="25"/>
      <c r="AH173" s="25"/>
      <c r="AI173" s="18" t="str">
        <f t="shared" si="335"/>
        <v/>
      </c>
      <c r="AJ173" s="25"/>
      <c r="AK173" s="18" t="str">
        <f t="shared" si="336"/>
        <v/>
      </c>
      <c r="AL173" s="79"/>
      <c r="AM173" s="126" t="str">
        <f t="shared" si="337"/>
        <v/>
      </c>
      <c r="AN173" s="128" t="str">
        <f>IF(AP173&lt;&gt;"",VLOOKUP($P173&amp;" | "&amp;AN$6,'Job Master'!$F$12:$J$102,5,0),"")</f>
        <v/>
      </c>
      <c r="AO173" s="19" t="str">
        <f>IF(AP173&lt;&gt;"",VLOOKUP($P173&amp;" | "&amp;AN$6,'Job Master'!$F$12:$J$102,3,0),"")</f>
        <v/>
      </c>
      <c r="AP173" s="19" t="str">
        <f>IFERROR(IF(AND(AW173&lt;&gt;"",VLOOKUP($P173&amp;" | "&amp;AN$6,'Job Master'!$F$12:$I$102,4,0)&lt;&gt;""),IF(WEEKDAY(AW173-VLOOKUP($P173&amp;" | "&amp;AN$6,'Job Master'!$F$12:$I$102,4,0))&lt;&gt;7,AW173-VLOOKUP($P173&amp;" | "&amp;AN$6,'Job Master'!$F$12:$I$102,4,0),AW173-VLOOKUP($P173&amp;" | "&amp;AN$6,'Job Master'!$F$12:$I$102,4,0)-1),""),"")</f>
        <v/>
      </c>
      <c r="AQ173" s="73"/>
      <c r="AR173" s="123" t="str">
        <f t="shared" si="273"/>
        <v/>
      </c>
      <c r="AS173" s="123" t="str">
        <f t="shared" si="274"/>
        <v/>
      </c>
      <c r="AT173" s="97" t="str">
        <f t="shared" ca="1" si="275"/>
        <v/>
      </c>
      <c r="AU173" s="98" t="str">
        <f>IF(AW173&lt;&gt;"",VLOOKUP($P173&amp;" | "&amp;AU$6,'Job Master'!$F$12:$J$102,5,0),"")</f>
        <v/>
      </c>
      <c r="AV173" s="19" t="str">
        <f>IF(AW173&lt;&gt;"",VLOOKUP($P173&amp;" | "&amp;AU$6,'Job Master'!$F$12:$J$102,3,0),"")</f>
        <v/>
      </c>
      <c r="AW173" s="19" t="str">
        <f>IFERROR(IF(AND(BD173&lt;&gt;"",VLOOKUP($P173&amp;" | "&amp;AU$6,'Job Master'!$F$12:$I$102,4,0)&lt;&gt;""),IF(WEEKDAY(BD173-VLOOKUP($P173&amp;" | "&amp;AU$6,'Job Master'!$F$12:$I$102,4,0))&lt;&gt;7,BD173-VLOOKUP($P173&amp;" | "&amp;AU$6,'Job Master'!$F$12:$I$102,4,0),BD173-VLOOKUP($P173&amp;" | "&amp;AU$6,'Job Master'!$F$12:$I$102,4,0)-1),""),"")</f>
        <v/>
      </c>
      <c r="AX173" s="73"/>
      <c r="AY173" s="123" t="str">
        <f t="shared" si="276"/>
        <v/>
      </c>
      <c r="AZ173" s="123" t="str">
        <f t="shared" si="277"/>
        <v/>
      </c>
      <c r="BA173" s="97" t="str">
        <f t="shared" ca="1" si="278"/>
        <v/>
      </c>
      <c r="BB173" s="98" t="str">
        <f>IF(BD173&lt;&gt;"",VLOOKUP($P173&amp;" | "&amp;BB$6,'Job Master'!$F$12:$J$102,5,0),"")</f>
        <v/>
      </c>
      <c r="BC173" s="19" t="str">
        <f>IF(BD173&lt;&gt;"",VLOOKUP($P173&amp;" | "&amp;BB$6,'Job Master'!$F$12:$J$102,3,0),"")</f>
        <v/>
      </c>
      <c r="BD173" s="19" t="str">
        <f>IFERROR(IF(AND(BK173&lt;&gt;"",VLOOKUP($P173&amp;" | "&amp;BB$6,'Job Master'!$F$12:$I$102,4,0)&lt;&gt;""),IF(WEEKDAY(BK173-VLOOKUP($P173&amp;" | "&amp;BB$6,'Job Master'!$F$12:$I$102,4,0))&lt;&gt;7,BK173-VLOOKUP($P173&amp;" | "&amp;BB$6,'Job Master'!$F$12:$I$102,4,0),BK173-VLOOKUP($P173&amp;" | "&amp;BB$6,'Job Master'!$F$12:$I$102,4,0)-1),""),"")</f>
        <v/>
      </c>
      <c r="BE173" s="73"/>
      <c r="BF173" s="123" t="str">
        <f t="shared" si="279"/>
        <v/>
      </c>
      <c r="BG173" s="123" t="str">
        <f t="shared" si="280"/>
        <v/>
      </c>
      <c r="BH173" s="97" t="str">
        <f t="shared" ca="1" si="281"/>
        <v/>
      </c>
      <c r="BI173" s="98" t="str">
        <f>IF(BK173&lt;&gt;"",VLOOKUP($P173&amp;" | "&amp;BI$6,'Job Master'!$F$12:$J$102,5,0),"")</f>
        <v/>
      </c>
      <c r="BJ173" s="19" t="str">
        <f>IF(BK173&lt;&gt;"",VLOOKUP($P173&amp;" | "&amp;BI$6,'Job Master'!$F$12:$J$102,3,0),"")</f>
        <v/>
      </c>
      <c r="BK173" s="19" t="str">
        <f>IFERROR(IF(AND(BR173&lt;&gt;"",VLOOKUP($P173&amp;" | "&amp;BI$6,'Job Master'!$F$12:$I$102,4,0)&lt;&gt;""),IF(WEEKDAY(BR173-VLOOKUP($P173&amp;" | "&amp;BI$6,'Job Master'!$F$12:$I$102,4,0))&lt;&gt;7,BR173-VLOOKUP($P173&amp;" | "&amp;BI$6,'Job Master'!$F$12:$I$102,4,0),BR173-VLOOKUP($P173&amp;" | "&amp;BI$6,'Job Master'!$F$12:$I$102,4,0)-1),""),"")</f>
        <v/>
      </c>
      <c r="BL173" s="73"/>
      <c r="BM173" s="123" t="str">
        <f t="shared" si="282"/>
        <v/>
      </c>
      <c r="BN173" s="123" t="str">
        <f t="shared" si="283"/>
        <v/>
      </c>
      <c r="BO173" s="97" t="str">
        <f t="shared" ca="1" si="284"/>
        <v/>
      </c>
      <c r="BP173" s="98" t="str">
        <f>IF(BR173&lt;&gt;"",VLOOKUP($P173&amp;" | "&amp;BP$6,'Job Master'!$F$12:$J$102,5,0),"")</f>
        <v/>
      </c>
      <c r="BQ173" s="19" t="str">
        <f>IF(BR173&lt;&gt;"",VLOOKUP($P173&amp;" | "&amp;BP$6,'Job Master'!$F$12:$J$102,3,0),"")</f>
        <v/>
      </c>
      <c r="BR173" s="19" t="str">
        <f>IFERROR(IF(AND(BY173&lt;&gt;"",VLOOKUP($P173&amp;" | "&amp;BP$6,'Job Master'!$F$12:$I$102,4,0)&lt;&gt;""),IF(WEEKDAY(BY173-VLOOKUP($P173&amp;" | "&amp;BP$6,'Job Master'!$F$12:$I$102,4,0))&lt;&gt;7,BY173-VLOOKUP($P173&amp;" | "&amp;BP$6,'Job Master'!$F$12:$I$102,4,0),BY173-VLOOKUP($P173&amp;" | "&amp;BP$6,'Job Master'!$F$12:$I$102,4,0)-1),""),"")</f>
        <v/>
      </c>
      <c r="BS173" s="73"/>
      <c r="BT173" s="123" t="str">
        <f t="shared" si="285"/>
        <v/>
      </c>
      <c r="BU173" s="123" t="str">
        <f t="shared" si="286"/>
        <v/>
      </c>
      <c r="BV173" s="97" t="str">
        <f t="shared" ca="1" si="287"/>
        <v/>
      </c>
      <c r="BW173" s="98" t="str">
        <f>IF(BY173&lt;&gt;"",VLOOKUP($P173&amp;" | "&amp;BW$6,'Job Master'!$F$12:$J$102,5,0),"")</f>
        <v/>
      </c>
      <c r="BX173" s="19" t="str">
        <f>IF(BY173&lt;&gt;"",VLOOKUP($P173&amp;" | "&amp;BW$6,'Job Master'!$F$12:$J$102,3,0),"")</f>
        <v/>
      </c>
      <c r="BY173" s="19" t="str">
        <f>IFERROR(IF(AND(CF173&lt;&gt;"",VLOOKUP($P173&amp;" | "&amp;BW$6,'Job Master'!$F$12:$I$102,4,0)&lt;&gt;""),IF(WEEKDAY(CF173-VLOOKUP($P173&amp;" | "&amp;BW$6,'Job Master'!$F$12:$I$102,4,0))&lt;&gt;7,CF173-VLOOKUP($P173&amp;" | "&amp;BW$6,'Job Master'!$F$12:$I$102,4,0),CF173-VLOOKUP($P173&amp;" | "&amp;BW$6,'Job Master'!$F$12:$I$102,4,0)-1),""),"")</f>
        <v/>
      </c>
      <c r="BZ173" s="73"/>
      <c r="CA173" s="123" t="str">
        <f t="shared" si="288"/>
        <v/>
      </c>
      <c r="CB173" s="123" t="str">
        <f t="shared" si="289"/>
        <v/>
      </c>
      <c r="CC173" s="97" t="str">
        <f t="shared" ca="1" si="290"/>
        <v/>
      </c>
      <c r="CD173" s="98" t="str">
        <f>IF(CF173&lt;&gt;"",VLOOKUP($P173&amp;" | "&amp;CD$6,'Job Master'!$F$12:$J$102,5,0),"")</f>
        <v/>
      </c>
      <c r="CE173" s="19" t="str">
        <f>IF(CF173&lt;&gt;"",VLOOKUP($P173&amp;" | "&amp;CD$6,'Job Master'!$F$12:$J$102,3,0),"")</f>
        <v/>
      </c>
      <c r="CF173" s="19" t="str">
        <f>IFERROR(IF(AND(CM173&lt;&gt;"",VLOOKUP($P173&amp;" | "&amp;CD$6,'Job Master'!$F$12:$I$102,4,0)&lt;&gt;""),IF(WEEKDAY(CM173-VLOOKUP($P173&amp;" | "&amp;CD$6,'Job Master'!$F$12:$I$102,4,0))&lt;&gt;7,CM173-VLOOKUP($P173&amp;" | "&amp;CD$6,'Job Master'!$F$12:$I$102,4,0),CM173-VLOOKUP($P173&amp;" | "&amp;CD$6,'Job Master'!$F$12:$I$102,4,0)-1),""),"")</f>
        <v/>
      </c>
      <c r="CG173" s="73"/>
      <c r="CH173" s="123" t="str">
        <f t="shared" si="291"/>
        <v/>
      </c>
      <c r="CI173" s="123" t="str">
        <f t="shared" si="292"/>
        <v/>
      </c>
      <c r="CJ173" s="97" t="str">
        <f t="shared" ca="1" si="293"/>
        <v/>
      </c>
      <c r="CK173" s="98" t="str">
        <f>IF(CM173&lt;&gt;"",VLOOKUP($P173&amp;" | "&amp;CK$6,'Job Master'!$F$12:$J$102,5,0),"")</f>
        <v/>
      </c>
      <c r="CL173" s="19" t="str">
        <f>IF(CM173&lt;&gt;"",VLOOKUP($P173&amp;" | "&amp;CK$6,'Job Master'!$F$12:$J$102,3,0),"")</f>
        <v/>
      </c>
      <c r="CM173" s="19" t="str">
        <f>IFERROR(IF(AND(CT173&lt;&gt;"",VLOOKUP($P173&amp;" | "&amp;CK$6,'Job Master'!$F$12:$I$102,4,0)&lt;&gt;""),IF(WEEKDAY(CT173-VLOOKUP($P173&amp;" | "&amp;CK$6,'Job Master'!$F$12:$I$102,4,0))&lt;&gt;7,CT173-VLOOKUP($P173&amp;" | "&amp;CK$6,'Job Master'!$F$12:$I$102,4,0),CT173-VLOOKUP($P173&amp;" | "&amp;CK$6,'Job Master'!$F$12:$I$102,4,0)-1),""),"")</f>
        <v/>
      </c>
      <c r="CN173" s="73"/>
      <c r="CO173" s="123" t="str">
        <f t="shared" si="294"/>
        <v/>
      </c>
      <c r="CP173" s="123" t="str">
        <f t="shared" si="295"/>
        <v/>
      </c>
      <c r="CQ173" s="97" t="str">
        <f t="shared" ca="1" si="296"/>
        <v/>
      </c>
      <c r="CR173" s="98" t="str">
        <f>IF(CT173&lt;&gt;"",VLOOKUP($P173&amp;" | "&amp;CR$6,'Job Master'!$F$12:$J$102,5,0),"")</f>
        <v/>
      </c>
      <c r="CS173" s="19" t="str">
        <f>IF(CT173&lt;&gt;"",VLOOKUP($P173&amp;" | "&amp;CR$6,'Job Master'!$F$12:$J$102,3,0),"")</f>
        <v/>
      </c>
      <c r="CT173" s="19" t="str">
        <f>IFERROR(IF(AND(DA173&lt;&gt;"",VLOOKUP($P173&amp;" | "&amp;CR$6,'Job Master'!$F$12:$I$102,4,0)&lt;&gt;""),IF(WEEKDAY(DA173-VLOOKUP($P173&amp;" | "&amp;CR$6,'Job Master'!$F$12:$I$102,4,0))&lt;&gt;7,DA173-VLOOKUP($P173&amp;" | "&amp;CR$6,'Job Master'!$F$12:$I$102,4,0),DA173-VLOOKUP($P173&amp;" | "&amp;CR$6,'Job Master'!$F$12:$I$102,4,0)-1),""),"")</f>
        <v/>
      </c>
      <c r="CU173" s="73"/>
      <c r="CV173" s="123" t="str">
        <f t="shared" si="297"/>
        <v/>
      </c>
      <c r="CW173" s="123" t="str">
        <f t="shared" si="298"/>
        <v/>
      </c>
      <c r="CX173" s="97" t="str">
        <f t="shared" ca="1" si="299"/>
        <v/>
      </c>
      <c r="CY173" s="98" t="str">
        <f>IF(DA173&lt;&gt;"",VLOOKUP($P173&amp;" | "&amp;CY$6,'Job Master'!$F$12:$J$102,5,0),"")</f>
        <v/>
      </c>
      <c r="CZ173" s="19" t="str">
        <f>IF(DA173&lt;&gt;"",VLOOKUP($P173&amp;" | "&amp;CY$6,'Job Master'!$F$12:$J$102,3,0),"")</f>
        <v/>
      </c>
      <c r="DA173" s="19" t="str">
        <f>IFERROR(IF(AND(DH173&lt;&gt;"",VLOOKUP($P173&amp;" | "&amp;CY$6,'Job Master'!$F$12:$I$102,4,0)&lt;&gt;""),IF(WEEKDAY(DH173-VLOOKUP($P173&amp;" | "&amp;CY$6,'Job Master'!$F$12:$I$102,4,0))&lt;&gt;7,DH173-VLOOKUP($P173&amp;" | "&amp;CY$6,'Job Master'!$F$12:$I$102,4,0),DH173-VLOOKUP($P173&amp;" | "&amp;CY$6,'Job Master'!$F$12:$I$102,4,0)-1),""),"")</f>
        <v/>
      </c>
      <c r="DB173" s="73"/>
      <c r="DC173" s="123" t="str">
        <f t="shared" si="300"/>
        <v/>
      </c>
      <c r="DD173" s="123" t="str">
        <f t="shared" si="301"/>
        <v/>
      </c>
      <c r="DE173" s="97" t="str">
        <f t="shared" ca="1" si="302"/>
        <v/>
      </c>
      <c r="DF173" s="98" t="str">
        <f>IF(DH173&lt;&gt;"",VLOOKUP($P173&amp;" | "&amp;DF$6,'Job Master'!$F$12:$J$102,5,0),"")</f>
        <v/>
      </c>
      <c r="DG173" s="19" t="str">
        <f>IF(DH173&lt;&gt;"",VLOOKUP($P173&amp;" | "&amp;DF$6,'Job Master'!$F$12:$J$102,3,0),"")</f>
        <v/>
      </c>
      <c r="DH173" s="19" t="str">
        <f>IFERROR(IF(AND(DO173&lt;&gt;"",VLOOKUP($P173&amp;" | "&amp;DF$6,'Job Master'!$F$12:$I$102,4,0)&lt;&gt;""),IF(WEEKDAY(DO173-VLOOKUP($P173&amp;" | "&amp;DF$6,'Job Master'!$F$12:$I$102,4,0))&lt;&gt;7,DO173-VLOOKUP($P173&amp;" | "&amp;DF$6,'Job Master'!$F$12:$I$102,4,0),DO173-VLOOKUP($P173&amp;" | "&amp;DF$6,'Job Master'!$F$12:$I$102,4,0)-1),""),"")</f>
        <v/>
      </c>
      <c r="DI173" s="73"/>
      <c r="DJ173" s="123" t="str">
        <f t="shared" si="303"/>
        <v/>
      </c>
      <c r="DK173" s="123" t="str">
        <f t="shared" si="304"/>
        <v/>
      </c>
      <c r="DL173" s="97" t="str">
        <f t="shared" ca="1" si="305"/>
        <v/>
      </c>
      <c r="DM173" s="98" t="str">
        <f>IF(DO173&lt;&gt;"",VLOOKUP($P173&amp;" | "&amp;DM$6,'Job Master'!$F$12:$J$102,5,0),"")</f>
        <v/>
      </c>
      <c r="DN173" s="19" t="str">
        <f>IF(DO173&lt;&gt;"",VLOOKUP($P173&amp;" | "&amp;DM$6,'Job Master'!$F$12:$J$102,3,0),"")</f>
        <v/>
      </c>
      <c r="DO173" s="19" t="str">
        <f>IFERROR(IF(AND(DT173&lt;&gt;"",VLOOKUP($P173&amp;" | "&amp;DM$6,'Job Master'!$F$12:$I$102,4,0)&lt;&gt;""),IF(WEEKDAY(DT173-VLOOKUP($P173&amp;" | "&amp;DM$6,'Job Master'!$F$12:$I$102,4,0))&lt;&gt;7,DT173-VLOOKUP($P173&amp;" | "&amp;DM$6,'Job Master'!$F$12:$I$102,4,0),DT173-VLOOKUP($P173&amp;" | "&amp;DM$6,'Job Master'!$F$12:$I$102,4,0)-1),""),"")</f>
        <v/>
      </c>
      <c r="DP173" s="73"/>
      <c r="DQ173" s="123" t="str">
        <f t="shared" si="306"/>
        <v/>
      </c>
      <c r="DR173" s="123" t="str">
        <f t="shared" si="307"/>
        <v/>
      </c>
      <c r="DS173" s="97" t="str">
        <f t="shared" ca="1" si="308"/>
        <v/>
      </c>
      <c r="DT173" s="70" t="str">
        <f t="shared" si="309"/>
        <v/>
      </c>
      <c r="DU173" s="90"/>
      <c r="DV173" s="123" t="str">
        <f t="shared" si="310"/>
        <v/>
      </c>
      <c r="DW173" s="123" t="str">
        <f t="shared" si="311"/>
        <v/>
      </c>
      <c r="DX173" s="132" t="str">
        <f t="shared" ref="DX173" ca="1" si="358">IF(DT173&lt;&gt;"",IF(WEEKNUM(DT173)=WEEKNUM(TODAY()),"This Week",IF(WEEKNUM(DT173)=WEEKNUM(TODAY())+1,"Next Week",IF(WEEKNUM(DT173)=WEEKNUM(TODAY())-1,"Previous Week",""))),"")</f>
        <v/>
      </c>
      <c r="DY173" s="134" t="str">
        <f t="shared" si="313"/>
        <v/>
      </c>
      <c r="DZ173" s="95"/>
      <c r="EB173" s="8" t="str">
        <f t="shared" si="319"/>
        <v/>
      </c>
      <c r="EC173" s="8" t="str">
        <f>IF(O173&lt;&gt;"",VLOOKUP(O173,'Job Master'!$N$12:$O$18,2,0),"")</f>
        <v/>
      </c>
      <c r="ED173" s="8">
        <f t="shared" si="320"/>
        <v>19.5</v>
      </c>
      <c r="EE173" s="8">
        <f t="shared" si="321"/>
        <v>6</v>
      </c>
      <c r="EF173" s="8">
        <f t="shared" si="322"/>
        <v>-958.5</v>
      </c>
      <c r="EG173" s="8" t="str">
        <f t="shared" si="323"/>
        <v/>
      </c>
      <c r="EH173" s="8" t="str">
        <f t="shared" si="324"/>
        <v/>
      </c>
    </row>
    <row r="174" spans="2:138" x14ac:dyDescent="0.3">
      <c r="B174" s="112"/>
      <c r="C174" s="27"/>
      <c r="D174" s="7" t="str">
        <f t="shared" si="261"/>
        <v/>
      </c>
      <c r="E174" s="25"/>
      <c r="F174" s="7" t="str">
        <f t="shared" si="261"/>
        <v/>
      </c>
      <c r="G174" s="25"/>
      <c r="H174" s="7" t="str">
        <f t="shared" si="261"/>
        <v/>
      </c>
      <c r="I174" s="25"/>
      <c r="J174" s="7" t="str">
        <f t="shared" si="261"/>
        <v/>
      </c>
      <c r="K174" s="25"/>
      <c r="L174" s="7" t="str">
        <f t="shared" si="262"/>
        <v/>
      </c>
      <c r="M174" s="25"/>
      <c r="N174" s="7" t="str">
        <f t="shared" si="263"/>
        <v/>
      </c>
      <c r="O174" s="81"/>
      <c r="P174" s="81" t="str">
        <f t="shared" si="264"/>
        <v/>
      </c>
      <c r="Q174" s="81"/>
      <c r="R174" s="7" t="str">
        <f t="shared" si="265"/>
        <v/>
      </c>
      <c r="S174" s="25"/>
      <c r="T174" s="7" t="str">
        <f t="shared" si="266"/>
        <v/>
      </c>
      <c r="U174" s="25"/>
      <c r="V174" s="7" t="str">
        <f t="shared" si="267"/>
        <v/>
      </c>
      <c r="W174" s="25"/>
      <c r="X174" s="7" t="str">
        <f t="shared" si="268"/>
        <v/>
      </c>
      <c r="Y174" s="18" t="str">
        <f t="shared" si="269"/>
        <v/>
      </c>
      <c r="Z174" s="7" t="str">
        <f t="shared" si="270"/>
        <v/>
      </c>
      <c r="AA174" s="18" t="str">
        <f t="shared" si="271"/>
        <v/>
      </c>
      <c r="AB174" s="19" t="str">
        <f t="shared" si="272"/>
        <v/>
      </c>
      <c r="AC174" s="26"/>
      <c r="AD174" s="26"/>
      <c r="AE174" s="25"/>
      <c r="AF174" s="26"/>
      <c r="AG174" s="25"/>
      <c r="AH174" s="25"/>
      <c r="AI174" s="18" t="str">
        <f t="shared" si="335"/>
        <v/>
      </c>
      <c r="AJ174" s="25"/>
      <c r="AK174" s="18" t="str">
        <f t="shared" si="336"/>
        <v/>
      </c>
      <c r="AL174" s="79"/>
      <c r="AM174" s="126" t="str">
        <f t="shared" si="337"/>
        <v/>
      </c>
      <c r="AN174" s="128" t="str">
        <f>IF(AP174&lt;&gt;"",VLOOKUP($P174&amp;" | "&amp;AN$6,'Job Master'!$F$12:$J$102,5,0),"")</f>
        <v/>
      </c>
      <c r="AO174" s="19" t="str">
        <f>IF(AP174&lt;&gt;"",VLOOKUP($P174&amp;" | "&amp;AN$6,'Job Master'!$F$12:$J$102,3,0),"")</f>
        <v/>
      </c>
      <c r="AP174" s="19" t="str">
        <f>IFERROR(IF(AND(AW174&lt;&gt;"",VLOOKUP($P174&amp;" | "&amp;AN$6,'Job Master'!$F$12:$I$102,4,0)&lt;&gt;""),IF(WEEKDAY(AW174-VLOOKUP($P174&amp;" | "&amp;AN$6,'Job Master'!$F$12:$I$102,4,0))&lt;&gt;7,AW174-VLOOKUP($P174&amp;" | "&amp;AN$6,'Job Master'!$F$12:$I$102,4,0),AW174-VLOOKUP($P174&amp;" | "&amp;AN$6,'Job Master'!$F$12:$I$102,4,0)-1),""),"")</f>
        <v/>
      </c>
      <c r="AQ174" s="73"/>
      <c r="AR174" s="123" t="str">
        <f t="shared" si="273"/>
        <v/>
      </c>
      <c r="AS174" s="123" t="str">
        <f t="shared" si="274"/>
        <v/>
      </c>
      <c r="AT174" s="97" t="str">
        <f t="shared" ca="1" si="275"/>
        <v/>
      </c>
      <c r="AU174" s="98" t="str">
        <f>IF(AW174&lt;&gt;"",VLOOKUP($P174&amp;" | "&amp;AU$6,'Job Master'!$F$12:$J$102,5,0),"")</f>
        <v/>
      </c>
      <c r="AV174" s="19" t="str">
        <f>IF(AW174&lt;&gt;"",VLOOKUP($P174&amp;" | "&amp;AU$6,'Job Master'!$F$12:$J$102,3,0),"")</f>
        <v/>
      </c>
      <c r="AW174" s="19" t="str">
        <f>IFERROR(IF(AND(BD174&lt;&gt;"",VLOOKUP($P174&amp;" | "&amp;AU$6,'Job Master'!$F$12:$I$102,4,0)&lt;&gt;""),IF(WEEKDAY(BD174-VLOOKUP($P174&amp;" | "&amp;AU$6,'Job Master'!$F$12:$I$102,4,0))&lt;&gt;7,BD174-VLOOKUP($P174&amp;" | "&amp;AU$6,'Job Master'!$F$12:$I$102,4,0),BD174-VLOOKUP($P174&amp;" | "&amp;AU$6,'Job Master'!$F$12:$I$102,4,0)-1),""),"")</f>
        <v/>
      </c>
      <c r="AX174" s="73"/>
      <c r="AY174" s="123" t="str">
        <f t="shared" si="276"/>
        <v/>
      </c>
      <c r="AZ174" s="123" t="str">
        <f t="shared" si="277"/>
        <v/>
      </c>
      <c r="BA174" s="97" t="str">
        <f t="shared" ca="1" si="278"/>
        <v/>
      </c>
      <c r="BB174" s="98" t="str">
        <f>IF(BD174&lt;&gt;"",VLOOKUP($P174&amp;" | "&amp;BB$6,'Job Master'!$F$12:$J$102,5,0),"")</f>
        <v/>
      </c>
      <c r="BC174" s="19" t="str">
        <f>IF(BD174&lt;&gt;"",VLOOKUP($P174&amp;" | "&amp;BB$6,'Job Master'!$F$12:$J$102,3,0),"")</f>
        <v/>
      </c>
      <c r="BD174" s="19" t="str">
        <f>IFERROR(IF(AND(BK174&lt;&gt;"",VLOOKUP($P174&amp;" | "&amp;BB$6,'Job Master'!$F$12:$I$102,4,0)&lt;&gt;""),IF(WEEKDAY(BK174-VLOOKUP($P174&amp;" | "&amp;BB$6,'Job Master'!$F$12:$I$102,4,0))&lt;&gt;7,BK174-VLOOKUP($P174&amp;" | "&amp;BB$6,'Job Master'!$F$12:$I$102,4,0),BK174-VLOOKUP($P174&amp;" | "&amp;BB$6,'Job Master'!$F$12:$I$102,4,0)-1),""),"")</f>
        <v/>
      </c>
      <c r="BE174" s="73"/>
      <c r="BF174" s="123" t="str">
        <f t="shared" si="279"/>
        <v/>
      </c>
      <c r="BG174" s="123" t="str">
        <f t="shared" si="280"/>
        <v/>
      </c>
      <c r="BH174" s="97" t="str">
        <f t="shared" ca="1" si="281"/>
        <v/>
      </c>
      <c r="BI174" s="98" t="str">
        <f>IF(BK174&lt;&gt;"",VLOOKUP($P174&amp;" | "&amp;BI$6,'Job Master'!$F$12:$J$102,5,0),"")</f>
        <v/>
      </c>
      <c r="BJ174" s="19" t="str">
        <f>IF(BK174&lt;&gt;"",VLOOKUP($P174&amp;" | "&amp;BI$6,'Job Master'!$F$12:$J$102,3,0),"")</f>
        <v/>
      </c>
      <c r="BK174" s="19" t="str">
        <f>IFERROR(IF(AND(BR174&lt;&gt;"",VLOOKUP($P174&amp;" | "&amp;BI$6,'Job Master'!$F$12:$I$102,4,0)&lt;&gt;""),IF(WEEKDAY(BR174-VLOOKUP($P174&amp;" | "&amp;BI$6,'Job Master'!$F$12:$I$102,4,0))&lt;&gt;7,BR174-VLOOKUP($P174&amp;" | "&amp;BI$6,'Job Master'!$F$12:$I$102,4,0),BR174-VLOOKUP($P174&amp;" | "&amp;BI$6,'Job Master'!$F$12:$I$102,4,0)-1),""),"")</f>
        <v/>
      </c>
      <c r="BL174" s="73"/>
      <c r="BM174" s="123" t="str">
        <f t="shared" si="282"/>
        <v/>
      </c>
      <c r="BN174" s="123" t="str">
        <f t="shared" si="283"/>
        <v/>
      </c>
      <c r="BO174" s="97" t="str">
        <f t="shared" ca="1" si="284"/>
        <v/>
      </c>
      <c r="BP174" s="98" t="str">
        <f>IF(BR174&lt;&gt;"",VLOOKUP($P174&amp;" | "&amp;BP$6,'Job Master'!$F$12:$J$102,5,0),"")</f>
        <v/>
      </c>
      <c r="BQ174" s="19" t="str">
        <f>IF(BR174&lt;&gt;"",VLOOKUP($P174&amp;" | "&amp;BP$6,'Job Master'!$F$12:$J$102,3,0),"")</f>
        <v/>
      </c>
      <c r="BR174" s="19" t="str">
        <f>IFERROR(IF(AND(BY174&lt;&gt;"",VLOOKUP($P174&amp;" | "&amp;BP$6,'Job Master'!$F$12:$I$102,4,0)&lt;&gt;""),IF(WEEKDAY(BY174-VLOOKUP($P174&amp;" | "&amp;BP$6,'Job Master'!$F$12:$I$102,4,0))&lt;&gt;7,BY174-VLOOKUP($P174&amp;" | "&amp;BP$6,'Job Master'!$F$12:$I$102,4,0),BY174-VLOOKUP($P174&amp;" | "&amp;BP$6,'Job Master'!$F$12:$I$102,4,0)-1),""),"")</f>
        <v/>
      </c>
      <c r="BS174" s="73"/>
      <c r="BT174" s="123" t="str">
        <f t="shared" si="285"/>
        <v/>
      </c>
      <c r="BU174" s="123" t="str">
        <f t="shared" si="286"/>
        <v/>
      </c>
      <c r="BV174" s="97" t="str">
        <f t="shared" ca="1" si="287"/>
        <v/>
      </c>
      <c r="BW174" s="98" t="str">
        <f>IF(BY174&lt;&gt;"",VLOOKUP($P174&amp;" | "&amp;BW$6,'Job Master'!$F$12:$J$102,5,0),"")</f>
        <v/>
      </c>
      <c r="BX174" s="19" t="str">
        <f>IF(BY174&lt;&gt;"",VLOOKUP($P174&amp;" | "&amp;BW$6,'Job Master'!$F$12:$J$102,3,0),"")</f>
        <v/>
      </c>
      <c r="BY174" s="19" t="str">
        <f>IFERROR(IF(AND(CF174&lt;&gt;"",VLOOKUP($P174&amp;" | "&amp;BW$6,'Job Master'!$F$12:$I$102,4,0)&lt;&gt;""),IF(WEEKDAY(CF174-VLOOKUP($P174&amp;" | "&amp;BW$6,'Job Master'!$F$12:$I$102,4,0))&lt;&gt;7,CF174-VLOOKUP($P174&amp;" | "&amp;BW$6,'Job Master'!$F$12:$I$102,4,0),CF174-VLOOKUP($P174&amp;" | "&amp;BW$6,'Job Master'!$F$12:$I$102,4,0)-1),""),"")</f>
        <v/>
      </c>
      <c r="BZ174" s="73"/>
      <c r="CA174" s="123" t="str">
        <f t="shared" si="288"/>
        <v/>
      </c>
      <c r="CB174" s="123" t="str">
        <f t="shared" si="289"/>
        <v/>
      </c>
      <c r="CC174" s="97" t="str">
        <f t="shared" ca="1" si="290"/>
        <v/>
      </c>
      <c r="CD174" s="98" t="str">
        <f>IF(CF174&lt;&gt;"",VLOOKUP($P174&amp;" | "&amp;CD$6,'Job Master'!$F$12:$J$102,5,0),"")</f>
        <v/>
      </c>
      <c r="CE174" s="19" t="str">
        <f>IF(CF174&lt;&gt;"",VLOOKUP($P174&amp;" | "&amp;CD$6,'Job Master'!$F$12:$J$102,3,0),"")</f>
        <v/>
      </c>
      <c r="CF174" s="19" t="str">
        <f>IFERROR(IF(AND(CM174&lt;&gt;"",VLOOKUP($P174&amp;" | "&amp;CD$6,'Job Master'!$F$12:$I$102,4,0)&lt;&gt;""),IF(WEEKDAY(CM174-VLOOKUP($P174&amp;" | "&amp;CD$6,'Job Master'!$F$12:$I$102,4,0))&lt;&gt;7,CM174-VLOOKUP($P174&amp;" | "&amp;CD$6,'Job Master'!$F$12:$I$102,4,0),CM174-VLOOKUP($P174&amp;" | "&amp;CD$6,'Job Master'!$F$12:$I$102,4,0)-1),""),"")</f>
        <v/>
      </c>
      <c r="CG174" s="73"/>
      <c r="CH174" s="123" t="str">
        <f t="shared" si="291"/>
        <v/>
      </c>
      <c r="CI174" s="123" t="str">
        <f t="shared" si="292"/>
        <v/>
      </c>
      <c r="CJ174" s="97" t="str">
        <f t="shared" ca="1" si="293"/>
        <v/>
      </c>
      <c r="CK174" s="98" t="str">
        <f>IF(CM174&lt;&gt;"",VLOOKUP($P174&amp;" | "&amp;CK$6,'Job Master'!$F$12:$J$102,5,0),"")</f>
        <v/>
      </c>
      <c r="CL174" s="19" t="str">
        <f>IF(CM174&lt;&gt;"",VLOOKUP($P174&amp;" | "&amp;CK$6,'Job Master'!$F$12:$J$102,3,0),"")</f>
        <v/>
      </c>
      <c r="CM174" s="19" t="str">
        <f>IFERROR(IF(AND(CT174&lt;&gt;"",VLOOKUP($P174&amp;" | "&amp;CK$6,'Job Master'!$F$12:$I$102,4,0)&lt;&gt;""),IF(WEEKDAY(CT174-VLOOKUP($P174&amp;" | "&amp;CK$6,'Job Master'!$F$12:$I$102,4,0))&lt;&gt;7,CT174-VLOOKUP($P174&amp;" | "&amp;CK$6,'Job Master'!$F$12:$I$102,4,0),CT174-VLOOKUP($P174&amp;" | "&amp;CK$6,'Job Master'!$F$12:$I$102,4,0)-1),""),"")</f>
        <v/>
      </c>
      <c r="CN174" s="73"/>
      <c r="CO174" s="123" t="str">
        <f t="shared" si="294"/>
        <v/>
      </c>
      <c r="CP174" s="123" t="str">
        <f t="shared" si="295"/>
        <v/>
      </c>
      <c r="CQ174" s="97" t="str">
        <f t="shared" ca="1" si="296"/>
        <v/>
      </c>
      <c r="CR174" s="98" t="str">
        <f>IF(CT174&lt;&gt;"",VLOOKUP($P174&amp;" | "&amp;CR$6,'Job Master'!$F$12:$J$102,5,0),"")</f>
        <v/>
      </c>
      <c r="CS174" s="19" t="str">
        <f>IF(CT174&lt;&gt;"",VLOOKUP($P174&amp;" | "&amp;CR$6,'Job Master'!$F$12:$J$102,3,0),"")</f>
        <v/>
      </c>
      <c r="CT174" s="19" t="str">
        <f>IFERROR(IF(AND(DA174&lt;&gt;"",VLOOKUP($P174&amp;" | "&amp;CR$6,'Job Master'!$F$12:$I$102,4,0)&lt;&gt;""),IF(WEEKDAY(DA174-VLOOKUP($P174&amp;" | "&amp;CR$6,'Job Master'!$F$12:$I$102,4,0))&lt;&gt;7,DA174-VLOOKUP($P174&amp;" | "&amp;CR$6,'Job Master'!$F$12:$I$102,4,0),DA174-VLOOKUP($P174&amp;" | "&amp;CR$6,'Job Master'!$F$12:$I$102,4,0)-1),""),"")</f>
        <v/>
      </c>
      <c r="CU174" s="73"/>
      <c r="CV174" s="123" t="str">
        <f t="shared" si="297"/>
        <v/>
      </c>
      <c r="CW174" s="123" t="str">
        <f t="shared" si="298"/>
        <v/>
      </c>
      <c r="CX174" s="97" t="str">
        <f t="shared" ca="1" si="299"/>
        <v/>
      </c>
      <c r="CY174" s="98" t="str">
        <f>IF(DA174&lt;&gt;"",VLOOKUP($P174&amp;" | "&amp;CY$6,'Job Master'!$F$12:$J$102,5,0),"")</f>
        <v/>
      </c>
      <c r="CZ174" s="19" t="str">
        <f>IF(DA174&lt;&gt;"",VLOOKUP($P174&amp;" | "&amp;CY$6,'Job Master'!$F$12:$J$102,3,0),"")</f>
        <v/>
      </c>
      <c r="DA174" s="19" t="str">
        <f>IFERROR(IF(AND(DH174&lt;&gt;"",VLOOKUP($P174&amp;" | "&amp;CY$6,'Job Master'!$F$12:$I$102,4,0)&lt;&gt;""),IF(WEEKDAY(DH174-VLOOKUP($P174&amp;" | "&amp;CY$6,'Job Master'!$F$12:$I$102,4,0))&lt;&gt;7,DH174-VLOOKUP($P174&amp;" | "&amp;CY$6,'Job Master'!$F$12:$I$102,4,0),DH174-VLOOKUP($P174&amp;" | "&amp;CY$6,'Job Master'!$F$12:$I$102,4,0)-1),""),"")</f>
        <v/>
      </c>
      <c r="DB174" s="73"/>
      <c r="DC174" s="123" t="str">
        <f t="shared" si="300"/>
        <v/>
      </c>
      <c r="DD174" s="123" t="str">
        <f t="shared" si="301"/>
        <v/>
      </c>
      <c r="DE174" s="97" t="str">
        <f t="shared" ca="1" si="302"/>
        <v/>
      </c>
      <c r="DF174" s="98" t="str">
        <f>IF(DH174&lt;&gt;"",VLOOKUP($P174&amp;" | "&amp;DF$6,'Job Master'!$F$12:$J$102,5,0),"")</f>
        <v/>
      </c>
      <c r="DG174" s="19" t="str">
        <f>IF(DH174&lt;&gt;"",VLOOKUP($P174&amp;" | "&amp;DF$6,'Job Master'!$F$12:$J$102,3,0),"")</f>
        <v/>
      </c>
      <c r="DH174" s="19" t="str">
        <f>IFERROR(IF(AND(DO174&lt;&gt;"",VLOOKUP($P174&amp;" | "&amp;DF$6,'Job Master'!$F$12:$I$102,4,0)&lt;&gt;""),IF(WEEKDAY(DO174-VLOOKUP($P174&amp;" | "&amp;DF$6,'Job Master'!$F$12:$I$102,4,0))&lt;&gt;7,DO174-VLOOKUP($P174&amp;" | "&amp;DF$6,'Job Master'!$F$12:$I$102,4,0),DO174-VLOOKUP($P174&amp;" | "&amp;DF$6,'Job Master'!$F$12:$I$102,4,0)-1),""),"")</f>
        <v/>
      </c>
      <c r="DI174" s="73"/>
      <c r="DJ174" s="123" t="str">
        <f t="shared" si="303"/>
        <v/>
      </c>
      <c r="DK174" s="123" t="str">
        <f t="shared" si="304"/>
        <v/>
      </c>
      <c r="DL174" s="97" t="str">
        <f t="shared" ca="1" si="305"/>
        <v/>
      </c>
      <c r="DM174" s="98" t="str">
        <f>IF(DO174&lt;&gt;"",VLOOKUP($P174&amp;" | "&amp;DM$6,'Job Master'!$F$12:$J$102,5,0),"")</f>
        <v/>
      </c>
      <c r="DN174" s="19" t="str">
        <f>IF(DO174&lt;&gt;"",VLOOKUP($P174&amp;" | "&amp;DM$6,'Job Master'!$F$12:$J$102,3,0),"")</f>
        <v/>
      </c>
      <c r="DO174" s="19" t="str">
        <f>IFERROR(IF(AND(DT174&lt;&gt;"",VLOOKUP($P174&amp;" | "&amp;DM$6,'Job Master'!$F$12:$I$102,4,0)&lt;&gt;""),IF(WEEKDAY(DT174-VLOOKUP($P174&amp;" | "&amp;DM$6,'Job Master'!$F$12:$I$102,4,0))&lt;&gt;7,DT174-VLOOKUP($P174&amp;" | "&amp;DM$6,'Job Master'!$F$12:$I$102,4,0),DT174-VLOOKUP($P174&amp;" | "&amp;DM$6,'Job Master'!$F$12:$I$102,4,0)-1),""),"")</f>
        <v/>
      </c>
      <c r="DP174" s="73"/>
      <c r="DQ174" s="123" t="str">
        <f t="shared" si="306"/>
        <v/>
      </c>
      <c r="DR174" s="123" t="str">
        <f t="shared" si="307"/>
        <v/>
      </c>
      <c r="DS174" s="97" t="str">
        <f t="shared" ca="1" si="308"/>
        <v/>
      </c>
      <c r="DT174" s="70" t="str">
        <f t="shared" si="309"/>
        <v/>
      </c>
      <c r="DU174" s="90"/>
      <c r="DV174" s="123" t="str">
        <f t="shared" si="310"/>
        <v/>
      </c>
      <c r="DW174" s="123" t="str">
        <f t="shared" si="311"/>
        <v/>
      </c>
      <c r="DX174" s="132" t="str">
        <f t="shared" ref="DX174" ca="1" si="359">IF(DT174&lt;&gt;"",IF(WEEKNUM(DT174)=WEEKNUM(TODAY()),"This Week",IF(WEEKNUM(DT174)=WEEKNUM(TODAY())+1,"Next Week",IF(WEEKNUM(DT174)=WEEKNUM(TODAY())-1,"Previous Week",""))),"")</f>
        <v/>
      </c>
      <c r="DY174" s="134" t="str">
        <f t="shared" si="313"/>
        <v/>
      </c>
      <c r="DZ174" s="95"/>
      <c r="EB174" s="8" t="str">
        <f t="shared" si="319"/>
        <v/>
      </c>
      <c r="EC174" s="8" t="str">
        <f>IF(O174&lt;&gt;"",VLOOKUP(O174,'Job Master'!$N$12:$O$18,2,0),"")</f>
        <v/>
      </c>
      <c r="ED174" s="8">
        <f t="shared" si="320"/>
        <v>19.5</v>
      </c>
      <c r="EE174" s="8">
        <f t="shared" si="321"/>
        <v>6</v>
      </c>
      <c r="EF174" s="8">
        <f t="shared" si="322"/>
        <v>-964.5</v>
      </c>
      <c r="EG174" s="8" t="str">
        <f t="shared" si="323"/>
        <v/>
      </c>
      <c r="EH174" s="8" t="str">
        <f t="shared" si="324"/>
        <v/>
      </c>
    </row>
    <row r="175" spans="2:138" x14ac:dyDescent="0.3">
      <c r="B175" s="112"/>
      <c r="C175" s="27"/>
      <c r="D175" s="7" t="str">
        <f t="shared" si="261"/>
        <v/>
      </c>
      <c r="E175" s="25"/>
      <c r="F175" s="7" t="str">
        <f t="shared" si="261"/>
        <v/>
      </c>
      <c r="G175" s="25"/>
      <c r="H175" s="7" t="str">
        <f t="shared" si="261"/>
        <v/>
      </c>
      <c r="I175" s="25"/>
      <c r="J175" s="7" t="str">
        <f t="shared" si="261"/>
        <v/>
      </c>
      <c r="K175" s="25"/>
      <c r="L175" s="7" t="str">
        <f t="shared" si="262"/>
        <v/>
      </c>
      <c r="M175" s="25"/>
      <c r="N175" s="7" t="str">
        <f t="shared" si="263"/>
        <v/>
      </c>
      <c r="O175" s="81"/>
      <c r="P175" s="81" t="str">
        <f t="shared" si="264"/>
        <v/>
      </c>
      <c r="Q175" s="81"/>
      <c r="R175" s="7" t="str">
        <f t="shared" si="265"/>
        <v/>
      </c>
      <c r="S175" s="25"/>
      <c r="T175" s="7" t="str">
        <f t="shared" si="266"/>
        <v/>
      </c>
      <c r="U175" s="25"/>
      <c r="V175" s="7" t="str">
        <f t="shared" si="267"/>
        <v/>
      </c>
      <c r="W175" s="25"/>
      <c r="X175" s="7" t="str">
        <f t="shared" si="268"/>
        <v/>
      </c>
      <c r="Y175" s="18" t="str">
        <f t="shared" si="269"/>
        <v/>
      </c>
      <c r="Z175" s="7" t="str">
        <f t="shared" si="270"/>
        <v/>
      </c>
      <c r="AA175" s="18" t="str">
        <f t="shared" si="271"/>
        <v/>
      </c>
      <c r="AB175" s="19" t="str">
        <f t="shared" si="272"/>
        <v/>
      </c>
      <c r="AC175" s="26"/>
      <c r="AD175" s="26"/>
      <c r="AE175" s="25"/>
      <c r="AF175" s="26"/>
      <c r="AG175" s="25"/>
      <c r="AH175" s="25"/>
      <c r="AI175" s="18" t="str">
        <f t="shared" si="335"/>
        <v/>
      </c>
      <c r="AJ175" s="25"/>
      <c r="AK175" s="18" t="str">
        <f t="shared" si="336"/>
        <v/>
      </c>
      <c r="AL175" s="79"/>
      <c r="AM175" s="126" t="str">
        <f t="shared" si="337"/>
        <v/>
      </c>
      <c r="AN175" s="128" t="str">
        <f>IF(AP175&lt;&gt;"",VLOOKUP($P175&amp;" | "&amp;AN$6,'Job Master'!$F$12:$J$102,5,0),"")</f>
        <v/>
      </c>
      <c r="AO175" s="19" t="str">
        <f>IF(AP175&lt;&gt;"",VLOOKUP($P175&amp;" | "&amp;AN$6,'Job Master'!$F$12:$J$102,3,0),"")</f>
        <v/>
      </c>
      <c r="AP175" s="19" t="str">
        <f>IFERROR(IF(AND(AW175&lt;&gt;"",VLOOKUP($P175&amp;" | "&amp;AN$6,'Job Master'!$F$12:$I$102,4,0)&lt;&gt;""),IF(WEEKDAY(AW175-VLOOKUP($P175&amp;" | "&amp;AN$6,'Job Master'!$F$12:$I$102,4,0))&lt;&gt;7,AW175-VLOOKUP($P175&amp;" | "&amp;AN$6,'Job Master'!$F$12:$I$102,4,0),AW175-VLOOKUP($P175&amp;" | "&amp;AN$6,'Job Master'!$F$12:$I$102,4,0)-1),""),"")</f>
        <v/>
      </c>
      <c r="AQ175" s="73"/>
      <c r="AR175" s="123" t="str">
        <f t="shared" si="273"/>
        <v/>
      </c>
      <c r="AS175" s="123" t="str">
        <f t="shared" si="274"/>
        <v/>
      </c>
      <c r="AT175" s="97" t="str">
        <f t="shared" ca="1" si="275"/>
        <v/>
      </c>
      <c r="AU175" s="98" t="str">
        <f>IF(AW175&lt;&gt;"",VLOOKUP($P175&amp;" | "&amp;AU$6,'Job Master'!$F$12:$J$102,5,0),"")</f>
        <v/>
      </c>
      <c r="AV175" s="19" t="str">
        <f>IF(AW175&lt;&gt;"",VLOOKUP($P175&amp;" | "&amp;AU$6,'Job Master'!$F$12:$J$102,3,0),"")</f>
        <v/>
      </c>
      <c r="AW175" s="19" t="str">
        <f>IFERROR(IF(AND(BD175&lt;&gt;"",VLOOKUP($P175&amp;" | "&amp;AU$6,'Job Master'!$F$12:$I$102,4,0)&lt;&gt;""),IF(WEEKDAY(BD175-VLOOKUP($P175&amp;" | "&amp;AU$6,'Job Master'!$F$12:$I$102,4,0))&lt;&gt;7,BD175-VLOOKUP($P175&amp;" | "&amp;AU$6,'Job Master'!$F$12:$I$102,4,0),BD175-VLOOKUP($P175&amp;" | "&amp;AU$6,'Job Master'!$F$12:$I$102,4,0)-1),""),"")</f>
        <v/>
      </c>
      <c r="AX175" s="73"/>
      <c r="AY175" s="123" t="str">
        <f t="shared" si="276"/>
        <v/>
      </c>
      <c r="AZ175" s="123" t="str">
        <f t="shared" si="277"/>
        <v/>
      </c>
      <c r="BA175" s="97" t="str">
        <f t="shared" ca="1" si="278"/>
        <v/>
      </c>
      <c r="BB175" s="98" t="str">
        <f>IF(BD175&lt;&gt;"",VLOOKUP($P175&amp;" | "&amp;BB$6,'Job Master'!$F$12:$J$102,5,0),"")</f>
        <v/>
      </c>
      <c r="BC175" s="19" t="str">
        <f>IF(BD175&lt;&gt;"",VLOOKUP($P175&amp;" | "&amp;BB$6,'Job Master'!$F$12:$J$102,3,0),"")</f>
        <v/>
      </c>
      <c r="BD175" s="19" t="str">
        <f>IFERROR(IF(AND(BK175&lt;&gt;"",VLOOKUP($P175&amp;" | "&amp;BB$6,'Job Master'!$F$12:$I$102,4,0)&lt;&gt;""),IF(WEEKDAY(BK175-VLOOKUP($P175&amp;" | "&amp;BB$6,'Job Master'!$F$12:$I$102,4,0))&lt;&gt;7,BK175-VLOOKUP($P175&amp;" | "&amp;BB$6,'Job Master'!$F$12:$I$102,4,0),BK175-VLOOKUP($P175&amp;" | "&amp;BB$6,'Job Master'!$F$12:$I$102,4,0)-1),""),"")</f>
        <v/>
      </c>
      <c r="BE175" s="73"/>
      <c r="BF175" s="123" t="str">
        <f t="shared" si="279"/>
        <v/>
      </c>
      <c r="BG175" s="123" t="str">
        <f t="shared" si="280"/>
        <v/>
      </c>
      <c r="BH175" s="97" t="str">
        <f t="shared" ca="1" si="281"/>
        <v/>
      </c>
      <c r="BI175" s="98" t="str">
        <f>IF(BK175&lt;&gt;"",VLOOKUP($P175&amp;" | "&amp;BI$6,'Job Master'!$F$12:$J$102,5,0),"")</f>
        <v/>
      </c>
      <c r="BJ175" s="19" t="str">
        <f>IF(BK175&lt;&gt;"",VLOOKUP($P175&amp;" | "&amp;BI$6,'Job Master'!$F$12:$J$102,3,0),"")</f>
        <v/>
      </c>
      <c r="BK175" s="19" t="str">
        <f>IFERROR(IF(AND(BR175&lt;&gt;"",VLOOKUP($P175&amp;" | "&amp;BI$6,'Job Master'!$F$12:$I$102,4,0)&lt;&gt;""),IF(WEEKDAY(BR175-VLOOKUP($P175&amp;" | "&amp;BI$6,'Job Master'!$F$12:$I$102,4,0))&lt;&gt;7,BR175-VLOOKUP($P175&amp;" | "&amp;BI$6,'Job Master'!$F$12:$I$102,4,0),BR175-VLOOKUP($P175&amp;" | "&amp;BI$6,'Job Master'!$F$12:$I$102,4,0)-1),""),"")</f>
        <v/>
      </c>
      <c r="BL175" s="73"/>
      <c r="BM175" s="123" t="str">
        <f t="shared" si="282"/>
        <v/>
      </c>
      <c r="BN175" s="123" t="str">
        <f t="shared" si="283"/>
        <v/>
      </c>
      <c r="BO175" s="97" t="str">
        <f t="shared" ca="1" si="284"/>
        <v/>
      </c>
      <c r="BP175" s="98" t="str">
        <f>IF(BR175&lt;&gt;"",VLOOKUP($P175&amp;" | "&amp;BP$6,'Job Master'!$F$12:$J$102,5,0),"")</f>
        <v/>
      </c>
      <c r="BQ175" s="19" t="str">
        <f>IF(BR175&lt;&gt;"",VLOOKUP($P175&amp;" | "&amp;BP$6,'Job Master'!$F$12:$J$102,3,0),"")</f>
        <v/>
      </c>
      <c r="BR175" s="19" t="str">
        <f>IFERROR(IF(AND(BY175&lt;&gt;"",VLOOKUP($P175&amp;" | "&amp;BP$6,'Job Master'!$F$12:$I$102,4,0)&lt;&gt;""),IF(WEEKDAY(BY175-VLOOKUP($P175&amp;" | "&amp;BP$6,'Job Master'!$F$12:$I$102,4,0))&lt;&gt;7,BY175-VLOOKUP($P175&amp;" | "&amp;BP$6,'Job Master'!$F$12:$I$102,4,0),BY175-VLOOKUP($P175&amp;" | "&amp;BP$6,'Job Master'!$F$12:$I$102,4,0)-1),""),"")</f>
        <v/>
      </c>
      <c r="BS175" s="73"/>
      <c r="BT175" s="123" t="str">
        <f t="shared" si="285"/>
        <v/>
      </c>
      <c r="BU175" s="123" t="str">
        <f t="shared" si="286"/>
        <v/>
      </c>
      <c r="BV175" s="97" t="str">
        <f t="shared" ca="1" si="287"/>
        <v/>
      </c>
      <c r="BW175" s="98" t="str">
        <f>IF(BY175&lt;&gt;"",VLOOKUP($P175&amp;" | "&amp;BW$6,'Job Master'!$F$12:$J$102,5,0),"")</f>
        <v/>
      </c>
      <c r="BX175" s="19" t="str">
        <f>IF(BY175&lt;&gt;"",VLOOKUP($P175&amp;" | "&amp;BW$6,'Job Master'!$F$12:$J$102,3,0),"")</f>
        <v/>
      </c>
      <c r="BY175" s="19" t="str">
        <f>IFERROR(IF(AND(CF175&lt;&gt;"",VLOOKUP($P175&amp;" | "&amp;BW$6,'Job Master'!$F$12:$I$102,4,0)&lt;&gt;""),IF(WEEKDAY(CF175-VLOOKUP($P175&amp;" | "&amp;BW$6,'Job Master'!$F$12:$I$102,4,0))&lt;&gt;7,CF175-VLOOKUP($P175&amp;" | "&amp;BW$6,'Job Master'!$F$12:$I$102,4,0),CF175-VLOOKUP($P175&amp;" | "&amp;BW$6,'Job Master'!$F$12:$I$102,4,0)-1),""),"")</f>
        <v/>
      </c>
      <c r="BZ175" s="73"/>
      <c r="CA175" s="123" t="str">
        <f t="shared" si="288"/>
        <v/>
      </c>
      <c r="CB175" s="123" t="str">
        <f t="shared" si="289"/>
        <v/>
      </c>
      <c r="CC175" s="97" t="str">
        <f t="shared" ca="1" si="290"/>
        <v/>
      </c>
      <c r="CD175" s="98" t="str">
        <f>IF(CF175&lt;&gt;"",VLOOKUP($P175&amp;" | "&amp;CD$6,'Job Master'!$F$12:$J$102,5,0),"")</f>
        <v/>
      </c>
      <c r="CE175" s="19" t="str">
        <f>IF(CF175&lt;&gt;"",VLOOKUP($P175&amp;" | "&amp;CD$6,'Job Master'!$F$12:$J$102,3,0),"")</f>
        <v/>
      </c>
      <c r="CF175" s="19" t="str">
        <f>IFERROR(IF(AND(CM175&lt;&gt;"",VLOOKUP($P175&amp;" | "&amp;CD$6,'Job Master'!$F$12:$I$102,4,0)&lt;&gt;""),IF(WEEKDAY(CM175-VLOOKUP($P175&amp;" | "&amp;CD$6,'Job Master'!$F$12:$I$102,4,0))&lt;&gt;7,CM175-VLOOKUP($P175&amp;" | "&amp;CD$6,'Job Master'!$F$12:$I$102,4,0),CM175-VLOOKUP($P175&amp;" | "&amp;CD$6,'Job Master'!$F$12:$I$102,4,0)-1),""),"")</f>
        <v/>
      </c>
      <c r="CG175" s="73"/>
      <c r="CH175" s="123" t="str">
        <f t="shared" si="291"/>
        <v/>
      </c>
      <c r="CI175" s="123" t="str">
        <f t="shared" si="292"/>
        <v/>
      </c>
      <c r="CJ175" s="97" t="str">
        <f t="shared" ca="1" si="293"/>
        <v/>
      </c>
      <c r="CK175" s="98" t="str">
        <f>IF(CM175&lt;&gt;"",VLOOKUP($P175&amp;" | "&amp;CK$6,'Job Master'!$F$12:$J$102,5,0),"")</f>
        <v/>
      </c>
      <c r="CL175" s="19" t="str">
        <f>IF(CM175&lt;&gt;"",VLOOKUP($P175&amp;" | "&amp;CK$6,'Job Master'!$F$12:$J$102,3,0),"")</f>
        <v/>
      </c>
      <c r="CM175" s="19" t="str">
        <f>IFERROR(IF(AND(CT175&lt;&gt;"",VLOOKUP($P175&amp;" | "&amp;CK$6,'Job Master'!$F$12:$I$102,4,0)&lt;&gt;""),IF(WEEKDAY(CT175-VLOOKUP($P175&amp;" | "&amp;CK$6,'Job Master'!$F$12:$I$102,4,0))&lt;&gt;7,CT175-VLOOKUP($P175&amp;" | "&amp;CK$6,'Job Master'!$F$12:$I$102,4,0),CT175-VLOOKUP($P175&amp;" | "&amp;CK$6,'Job Master'!$F$12:$I$102,4,0)-1),""),"")</f>
        <v/>
      </c>
      <c r="CN175" s="73"/>
      <c r="CO175" s="123" t="str">
        <f t="shared" si="294"/>
        <v/>
      </c>
      <c r="CP175" s="123" t="str">
        <f t="shared" si="295"/>
        <v/>
      </c>
      <c r="CQ175" s="97" t="str">
        <f t="shared" ca="1" si="296"/>
        <v/>
      </c>
      <c r="CR175" s="98" t="str">
        <f>IF(CT175&lt;&gt;"",VLOOKUP($P175&amp;" | "&amp;CR$6,'Job Master'!$F$12:$J$102,5,0),"")</f>
        <v/>
      </c>
      <c r="CS175" s="19" t="str">
        <f>IF(CT175&lt;&gt;"",VLOOKUP($P175&amp;" | "&amp;CR$6,'Job Master'!$F$12:$J$102,3,0),"")</f>
        <v/>
      </c>
      <c r="CT175" s="19" t="str">
        <f>IFERROR(IF(AND(DA175&lt;&gt;"",VLOOKUP($P175&amp;" | "&amp;CR$6,'Job Master'!$F$12:$I$102,4,0)&lt;&gt;""),IF(WEEKDAY(DA175-VLOOKUP($P175&amp;" | "&amp;CR$6,'Job Master'!$F$12:$I$102,4,0))&lt;&gt;7,DA175-VLOOKUP($P175&amp;" | "&amp;CR$6,'Job Master'!$F$12:$I$102,4,0),DA175-VLOOKUP($P175&amp;" | "&amp;CR$6,'Job Master'!$F$12:$I$102,4,0)-1),""),"")</f>
        <v/>
      </c>
      <c r="CU175" s="73"/>
      <c r="CV175" s="123" t="str">
        <f t="shared" si="297"/>
        <v/>
      </c>
      <c r="CW175" s="123" t="str">
        <f t="shared" si="298"/>
        <v/>
      </c>
      <c r="CX175" s="97" t="str">
        <f t="shared" ca="1" si="299"/>
        <v/>
      </c>
      <c r="CY175" s="98" t="str">
        <f>IF(DA175&lt;&gt;"",VLOOKUP($P175&amp;" | "&amp;CY$6,'Job Master'!$F$12:$J$102,5,0),"")</f>
        <v/>
      </c>
      <c r="CZ175" s="19" t="str">
        <f>IF(DA175&lt;&gt;"",VLOOKUP($P175&amp;" | "&amp;CY$6,'Job Master'!$F$12:$J$102,3,0),"")</f>
        <v/>
      </c>
      <c r="DA175" s="19" t="str">
        <f>IFERROR(IF(AND(DH175&lt;&gt;"",VLOOKUP($P175&amp;" | "&amp;CY$6,'Job Master'!$F$12:$I$102,4,0)&lt;&gt;""),IF(WEEKDAY(DH175-VLOOKUP($P175&amp;" | "&amp;CY$6,'Job Master'!$F$12:$I$102,4,0))&lt;&gt;7,DH175-VLOOKUP($P175&amp;" | "&amp;CY$6,'Job Master'!$F$12:$I$102,4,0),DH175-VLOOKUP($P175&amp;" | "&amp;CY$6,'Job Master'!$F$12:$I$102,4,0)-1),""),"")</f>
        <v/>
      </c>
      <c r="DB175" s="73"/>
      <c r="DC175" s="123" t="str">
        <f t="shared" si="300"/>
        <v/>
      </c>
      <c r="DD175" s="123" t="str">
        <f t="shared" si="301"/>
        <v/>
      </c>
      <c r="DE175" s="97" t="str">
        <f t="shared" ca="1" si="302"/>
        <v/>
      </c>
      <c r="DF175" s="98" t="str">
        <f>IF(DH175&lt;&gt;"",VLOOKUP($P175&amp;" | "&amp;DF$6,'Job Master'!$F$12:$J$102,5,0),"")</f>
        <v/>
      </c>
      <c r="DG175" s="19" t="str">
        <f>IF(DH175&lt;&gt;"",VLOOKUP($P175&amp;" | "&amp;DF$6,'Job Master'!$F$12:$J$102,3,0),"")</f>
        <v/>
      </c>
      <c r="DH175" s="19" t="str">
        <f>IFERROR(IF(AND(DO175&lt;&gt;"",VLOOKUP($P175&amp;" | "&amp;DF$6,'Job Master'!$F$12:$I$102,4,0)&lt;&gt;""),IF(WEEKDAY(DO175-VLOOKUP($P175&amp;" | "&amp;DF$6,'Job Master'!$F$12:$I$102,4,0))&lt;&gt;7,DO175-VLOOKUP($P175&amp;" | "&amp;DF$6,'Job Master'!$F$12:$I$102,4,0),DO175-VLOOKUP($P175&amp;" | "&amp;DF$6,'Job Master'!$F$12:$I$102,4,0)-1),""),"")</f>
        <v/>
      </c>
      <c r="DI175" s="73"/>
      <c r="DJ175" s="123" t="str">
        <f t="shared" si="303"/>
        <v/>
      </c>
      <c r="DK175" s="123" t="str">
        <f t="shared" si="304"/>
        <v/>
      </c>
      <c r="DL175" s="97" t="str">
        <f t="shared" ca="1" si="305"/>
        <v/>
      </c>
      <c r="DM175" s="98" t="str">
        <f>IF(DO175&lt;&gt;"",VLOOKUP($P175&amp;" | "&amp;DM$6,'Job Master'!$F$12:$J$102,5,0),"")</f>
        <v/>
      </c>
      <c r="DN175" s="19" t="str">
        <f>IF(DO175&lt;&gt;"",VLOOKUP($P175&amp;" | "&amp;DM$6,'Job Master'!$F$12:$J$102,3,0),"")</f>
        <v/>
      </c>
      <c r="DO175" s="19" t="str">
        <f>IFERROR(IF(AND(DT175&lt;&gt;"",VLOOKUP($P175&amp;" | "&amp;DM$6,'Job Master'!$F$12:$I$102,4,0)&lt;&gt;""),IF(WEEKDAY(DT175-VLOOKUP($P175&amp;" | "&amp;DM$6,'Job Master'!$F$12:$I$102,4,0))&lt;&gt;7,DT175-VLOOKUP($P175&amp;" | "&amp;DM$6,'Job Master'!$F$12:$I$102,4,0),DT175-VLOOKUP($P175&amp;" | "&amp;DM$6,'Job Master'!$F$12:$I$102,4,0)-1),""),"")</f>
        <v/>
      </c>
      <c r="DP175" s="73"/>
      <c r="DQ175" s="123" t="str">
        <f t="shared" si="306"/>
        <v/>
      </c>
      <c r="DR175" s="123" t="str">
        <f t="shared" si="307"/>
        <v/>
      </c>
      <c r="DS175" s="97" t="str">
        <f t="shared" ca="1" si="308"/>
        <v/>
      </c>
      <c r="DT175" s="70" t="str">
        <f t="shared" si="309"/>
        <v/>
      </c>
      <c r="DU175" s="90"/>
      <c r="DV175" s="123" t="str">
        <f t="shared" si="310"/>
        <v/>
      </c>
      <c r="DW175" s="123" t="str">
        <f t="shared" si="311"/>
        <v/>
      </c>
      <c r="DX175" s="132" t="str">
        <f t="shared" ref="DX175" ca="1" si="360">IF(DT175&lt;&gt;"",IF(WEEKNUM(DT175)=WEEKNUM(TODAY()),"This Week",IF(WEEKNUM(DT175)=WEEKNUM(TODAY())+1,"Next Week",IF(WEEKNUM(DT175)=WEEKNUM(TODAY())-1,"Previous Week",""))),"")</f>
        <v/>
      </c>
      <c r="DY175" s="134" t="str">
        <f t="shared" si="313"/>
        <v/>
      </c>
      <c r="DZ175" s="95"/>
      <c r="EB175" s="8" t="str">
        <f t="shared" si="319"/>
        <v/>
      </c>
      <c r="EC175" s="8" t="str">
        <f>IF(O175&lt;&gt;"",VLOOKUP(O175,'Job Master'!$N$12:$O$18,2,0),"")</f>
        <v/>
      </c>
      <c r="ED175" s="8">
        <f t="shared" si="320"/>
        <v>19.5</v>
      </c>
      <c r="EE175" s="8">
        <f t="shared" si="321"/>
        <v>6</v>
      </c>
      <c r="EF175" s="8">
        <f t="shared" si="322"/>
        <v>-970.5</v>
      </c>
      <c r="EG175" s="8" t="str">
        <f t="shared" si="323"/>
        <v/>
      </c>
      <c r="EH175" s="8" t="str">
        <f t="shared" si="324"/>
        <v/>
      </c>
    </row>
    <row r="176" spans="2:138" x14ac:dyDescent="0.3">
      <c r="B176" s="112"/>
      <c r="C176" s="27"/>
      <c r="D176" s="7" t="str">
        <f t="shared" si="261"/>
        <v/>
      </c>
      <c r="E176" s="25"/>
      <c r="F176" s="7" t="str">
        <f t="shared" si="261"/>
        <v/>
      </c>
      <c r="G176" s="25"/>
      <c r="H176" s="7" t="str">
        <f t="shared" si="261"/>
        <v/>
      </c>
      <c r="I176" s="25"/>
      <c r="J176" s="7" t="str">
        <f t="shared" si="261"/>
        <v/>
      </c>
      <c r="K176" s="25"/>
      <c r="L176" s="7" t="str">
        <f t="shared" si="262"/>
        <v/>
      </c>
      <c r="M176" s="25"/>
      <c r="N176" s="7" t="str">
        <f t="shared" si="263"/>
        <v/>
      </c>
      <c r="O176" s="81"/>
      <c r="P176" s="81" t="str">
        <f t="shared" si="264"/>
        <v/>
      </c>
      <c r="Q176" s="81"/>
      <c r="R176" s="7" t="str">
        <f t="shared" si="265"/>
        <v/>
      </c>
      <c r="S176" s="25"/>
      <c r="T176" s="7" t="str">
        <f t="shared" si="266"/>
        <v/>
      </c>
      <c r="U176" s="25"/>
      <c r="V176" s="7" t="str">
        <f t="shared" si="267"/>
        <v/>
      </c>
      <c r="W176" s="25"/>
      <c r="X176" s="7" t="str">
        <f t="shared" si="268"/>
        <v/>
      </c>
      <c r="Y176" s="18" t="str">
        <f t="shared" si="269"/>
        <v/>
      </c>
      <c r="Z176" s="7" t="str">
        <f t="shared" si="270"/>
        <v/>
      </c>
      <c r="AA176" s="18" t="str">
        <f t="shared" si="271"/>
        <v/>
      </c>
      <c r="AB176" s="19" t="str">
        <f t="shared" si="272"/>
        <v/>
      </c>
      <c r="AC176" s="26"/>
      <c r="AD176" s="26"/>
      <c r="AE176" s="25"/>
      <c r="AF176" s="26"/>
      <c r="AG176" s="25"/>
      <c r="AH176" s="25"/>
      <c r="AI176" s="18" t="str">
        <f t="shared" si="335"/>
        <v/>
      </c>
      <c r="AJ176" s="25"/>
      <c r="AK176" s="18" t="str">
        <f t="shared" si="336"/>
        <v/>
      </c>
      <c r="AL176" s="79"/>
      <c r="AM176" s="126" t="str">
        <f t="shared" si="337"/>
        <v/>
      </c>
      <c r="AN176" s="128" t="str">
        <f>IF(AP176&lt;&gt;"",VLOOKUP($P176&amp;" | "&amp;AN$6,'Job Master'!$F$12:$J$102,5,0),"")</f>
        <v/>
      </c>
      <c r="AO176" s="19" t="str">
        <f>IF(AP176&lt;&gt;"",VLOOKUP($P176&amp;" | "&amp;AN$6,'Job Master'!$F$12:$J$102,3,0),"")</f>
        <v/>
      </c>
      <c r="AP176" s="19" t="str">
        <f>IFERROR(IF(AND(AW176&lt;&gt;"",VLOOKUP($P176&amp;" | "&amp;AN$6,'Job Master'!$F$12:$I$102,4,0)&lt;&gt;""),IF(WEEKDAY(AW176-VLOOKUP($P176&amp;" | "&amp;AN$6,'Job Master'!$F$12:$I$102,4,0))&lt;&gt;7,AW176-VLOOKUP($P176&amp;" | "&amp;AN$6,'Job Master'!$F$12:$I$102,4,0),AW176-VLOOKUP($P176&amp;" | "&amp;AN$6,'Job Master'!$F$12:$I$102,4,0)-1),""),"")</f>
        <v/>
      </c>
      <c r="AQ176" s="73"/>
      <c r="AR176" s="123" t="str">
        <f t="shared" si="273"/>
        <v/>
      </c>
      <c r="AS176" s="123" t="str">
        <f t="shared" si="274"/>
        <v/>
      </c>
      <c r="AT176" s="97" t="str">
        <f t="shared" ca="1" si="275"/>
        <v/>
      </c>
      <c r="AU176" s="98" t="str">
        <f>IF(AW176&lt;&gt;"",VLOOKUP($P176&amp;" | "&amp;AU$6,'Job Master'!$F$12:$J$102,5,0),"")</f>
        <v/>
      </c>
      <c r="AV176" s="19" t="str">
        <f>IF(AW176&lt;&gt;"",VLOOKUP($P176&amp;" | "&amp;AU$6,'Job Master'!$F$12:$J$102,3,0),"")</f>
        <v/>
      </c>
      <c r="AW176" s="19" t="str">
        <f>IFERROR(IF(AND(BD176&lt;&gt;"",VLOOKUP($P176&amp;" | "&amp;AU$6,'Job Master'!$F$12:$I$102,4,0)&lt;&gt;""),IF(WEEKDAY(BD176-VLOOKUP($P176&amp;" | "&amp;AU$6,'Job Master'!$F$12:$I$102,4,0))&lt;&gt;7,BD176-VLOOKUP($P176&amp;" | "&amp;AU$6,'Job Master'!$F$12:$I$102,4,0),BD176-VLOOKUP($P176&amp;" | "&amp;AU$6,'Job Master'!$F$12:$I$102,4,0)-1),""),"")</f>
        <v/>
      </c>
      <c r="AX176" s="73"/>
      <c r="AY176" s="123" t="str">
        <f t="shared" si="276"/>
        <v/>
      </c>
      <c r="AZ176" s="123" t="str">
        <f t="shared" si="277"/>
        <v/>
      </c>
      <c r="BA176" s="97" t="str">
        <f t="shared" ca="1" si="278"/>
        <v/>
      </c>
      <c r="BB176" s="98" t="str">
        <f>IF(BD176&lt;&gt;"",VLOOKUP($P176&amp;" | "&amp;BB$6,'Job Master'!$F$12:$J$102,5,0),"")</f>
        <v/>
      </c>
      <c r="BC176" s="19" t="str">
        <f>IF(BD176&lt;&gt;"",VLOOKUP($P176&amp;" | "&amp;BB$6,'Job Master'!$F$12:$J$102,3,0),"")</f>
        <v/>
      </c>
      <c r="BD176" s="19" t="str">
        <f>IFERROR(IF(AND(BK176&lt;&gt;"",VLOOKUP($P176&amp;" | "&amp;BB$6,'Job Master'!$F$12:$I$102,4,0)&lt;&gt;""),IF(WEEKDAY(BK176-VLOOKUP($P176&amp;" | "&amp;BB$6,'Job Master'!$F$12:$I$102,4,0))&lt;&gt;7,BK176-VLOOKUP($P176&amp;" | "&amp;BB$6,'Job Master'!$F$12:$I$102,4,0),BK176-VLOOKUP($P176&amp;" | "&amp;BB$6,'Job Master'!$F$12:$I$102,4,0)-1),""),"")</f>
        <v/>
      </c>
      <c r="BE176" s="73"/>
      <c r="BF176" s="123" t="str">
        <f t="shared" si="279"/>
        <v/>
      </c>
      <c r="BG176" s="123" t="str">
        <f t="shared" si="280"/>
        <v/>
      </c>
      <c r="BH176" s="97" t="str">
        <f t="shared" ca="1" si="281"/>
        <v/>
      </c>
      <c r="BI176" s="98" t="str">
        <f>IF(BK176&lt;&gt;"",VLOOKUP($P176&amp;" | "&amp;BI$6,'Job Master'!$F$12:$J$102,5,0),"")</f>
        <v/>
      </c>
      <c r="BJ176" s="19" t="str">
        <f>IF(BK176&lt;&gt;"",VLOOKUP($P176&amp;" | "&amp;BI$6,'Job Master'!$F$12:$J$102,3,0),"")</f>
        <v/>
      </c>
      <c r="BK176" s="19" t="str">
        <f>IFERROR(IF(AND(BR176&lt;&gt;"",VLOOKUP($P176&amp;" | "&amp;BI$6,'Job Master'!$F$12:$I$102,4,0)&lt;&gt;""),IF(WEEKDAY(BR176-VLOOKUP($P176&amp;" | "&amp;BI$6,'Job Master'!$F$12:$I$102,4,0))&lt;&gt;7,BR176-VLOOKUP($P176&amp;" | "&amp;BI$6,'Job Master'!$F$12:$I$102,4,0),BR176-VLOOKUP($P176&amp;" | "&amp;BI$6,'Job Master'!$F$12:$I$102,4,0)-1),""),"")</f>
        <v/>
      </c>
      <c r="BL176" s="73"/>
      <c r="BM176" s="123" t="str">
        <f t="shared" si="282"/>
        <v/>
      </c>
      <c r="BN176" s="123" t="str">
        <f t="shared" si="283"/>
        <v/>
      </c>
      <c r="BO176" s="97" t="str">
        <f t="shared" ca="1" si="284"/>
        <v/>
      </c>
      <c r="BP176" s="98" t="str">
        <f>IF(BR176&lt;&gt;"",VLOOKUP($P176&amp;" | "&amp;BP$6,'Job Master'!$F$12:$J$102,5,0),"")</f>
        <v/>
      </c>
      <c r="BQ176" s="19" t="str">
        <f>IF(BR176&lt;&gt;"",VLOOKUP($P176&amp;" | "&amp;BP$6,'Job Master'!$F$12:$J$102,3,0),"")</f>
        <v/>
      </c>
      <c r="BR176" s="19" t="str">
        <f>IFERROR(IF(AND(BY176&lt;&gt;"",VLOOKUP($P176&amp;" | "&amp;BP$6,'Job Master'!$F$12:$I$102,4,0)&lt;&gt;""),IF(WEEKDAY(BY176-VLOOKUP($P176&amp;" | "&amp;BP$6,'Job Master'!$F$12:$I$102,4,0))&lt;&gt;7,BY176-VLOOKUP($P176&amp;" | "&amp;BP$6,'Job Master'!$F$12:$I$102,4,0),BY176-VLOOKUP($P176&amp;" | "&amp;BP$6,'Job Master'!$F$12:$I$102,4,0)-1),""),"")</f>
        <v/>
      </c>
      <c r="BS176" s="73"/>
      <c r="BT176" s="123" t="str">
        <f t="shared" si="285"/>
        <v/>
      </c>
      <c r="BU176" s="123" t="str">
        <f t="shared" si="286"/>
        <v/>
      </c>
      <c r="BV176" s="97" t="str">
        <f t="shared" ca="1" si="287"/>
        <v/>
      </c>
      <c r="BW176" s="98" t="str">
        <f>IF(BY176&lt;&gt;"",VLOOKUP($P176&amp;" | "&amp;BW$6,'Job Master'!$F$12:$J$102,5,0),"")</f>
        <v/>
      </c>
      <c r="BX176" s="19" t="str">
        <f>IF(BY176&lt;&gt;"",VLOOKUP($P176&amp;" | "&amp;BW$6,'Job Master'!$F$12:$J$102,3,0),"")</f>
        <v/>
      </c>
      <c r="BY176" s="19" t="str">
        <f>IFERROR(IF(AND(CF176&lt;&gt;"",VLOOKUP($P176&amp;" | "&amp;BW$6,'Job Master'!$F$12:$I$102,4,0)&lt;&gt;""),IF(WEEKDAY(CF176-VLOOKUP($P176&amp;" | "&amp;BW$6,'Job Master'!$F$12:$I$102,4,0))&lt;&gt;7,CF176-VLOOKUP($P176&amp;" | "&amp;BW$6,'Job Master'!$F$12:$I$102,4,0),CF176-VLOOKUP($P176&amp;" | "&amp;BW$6,'Job Master'!$F$12:$I$102,4,0)-1),""),"")</f>
        <v/>
      </c>
      <c r="BZ176" s="73"/>
      <c r="CA176" s="123" t="str">
        <f t="shared" si="288"/>
        <v/>
      </c>
      <c r="CB176" s="123" t="str">
        <f t="shared" si="289"/>
        <v/>
      </c>
      <c r="CC176" s="97" t="str">
        <f t="shared" ca="1" si="290"/>
        <v/>
      </c>
      <c r="CD176" s="98" t="str">
        <f>IF(CF176&lt;&gt;"",VLOOKUP($P176&amp;" | "&amp;CD$6,'Job Master'!$F$12:$J$102,5,0),"")</f>
        <v/>
      </c>
      <c r="CE176" s="19" t="str">
        <f>IF(CF176&lt;&gt;"",VLOOKUP($P176&amp;" | "&amp;CD$6,'Job Master'!$F$12:$J$102,3,0),"")</f>
        <v/>
      </c>
      <c r="CF176" s="19" t="str">
        <f>IFERROR(IF(AND(CM176&lt;&gt;"",VLOOKUP($P176&amp;" | "&amp;CD$6,'Job Master'!$F$12:$I$102,4,0)&lt;&gt;""),IF(WEEKDAY(CM176-VLOOKUP($P176&amp;" | "&amp;CD$6,'Job Master'!$F$12:$I$102,4,0))&lt;&gt;7,CM176-VLOOKUP($P176&amp;" | "&amp;CD$6,'Job Master'!$F$12:$I$102,4,0),CM176-VLOOKUP($P176&amp;" | "&amp;CD$6,'Job Master'!$F$12:$I$102,4,0)-1),""),"")</f>
        <v/>
      </c>
      <c r="CG176" s="73"/>
      <c r="CH176" s="123" t="str">
        <f t="shared" si="291"/>
        <v/>
      </c>
      <c r="CI176" s="123" t="str">
        <f t="shared" si="292"/>
        <v/>
      </c>
      <c r="CJ176" s="97" t="str">
        <f t="shared" ca="1" si="293"/>
        <v/>
      </c>
      <c r="CK176" s="98" t="str">
        <f>IF(CM176&lt;&gt;"",VLOOKUP($P176&amp;" | "&amp;CK$6,'Job Master'!$F$12:$J$102,5,0),"")</f>
        <v/>
      </c>
      <c r="CL176" s="19" t="str">
        <f>IF(CM176&lt;&gt;"",VLOOKUP($P176&amp;" | "&amp;CK$6,'Job Master'!$F$12:$J$102,3,0),"")</f>
        <v/>
      </c>
      <c r="CM176" s="19" t="str">
        <f>IFERROR(IF(AND(CT176&lt;&gt;"",VLOOKUP($P176&amp;" | "&amp;CK$6,'Job Master'!$F$12:$I$102,4,0)&lt;&gt;""),IF(WEEKDAY(CT176-VLOOKUP($P176&amp;" | "&amp;CK$6,'Job Master'!$F$12:$I$102,4,0))&lt;&gt;7,CT176-VLOOKUP($P176&amp;" | "&amp;CK$6,'Job Master'!$F$12:$I$102,4,0),CT176-VLOOKUP($P176&amp;" | "&amp;CK$6,'Job Master'!$F$12:$I$102,4,0)-1),""),"")</f>
        <v/>
      </c>
      <c r="CN176" s="73"/>
      <c r="CO176" s="123" t="str">
        <f t="shared" si="294"/>
        <v/>
      </c>
      <c r="CP176" s="123" t="str">
        <f t="shared" si="295"/>
        <v/>
      </c>
      <c r="CQ176" s="97" t="str">
        <f t="shared" ca="1" si="296"/>
        <v/>
      </c>
      <c r="CR176" s="98" t="str">
        <f>IF(CT176&lt;&gt;"",VLOOKUP($P176&amp;" | "&amp;CR$6,'Job Master'!$F$12:$J$102,5,0),"")</f>
        <v/>
      </c>
      <c r="CS176" s="19" t="str">
        <f>IF(CT176&lt;&gt;"",VLOOKUP($P176&amp;" | "&amp;CR$6,'Job Master'!$F$12:$J$102,3,0),"")</f>
        <v/>
      </c>
      <c r="CT176" s="19" t="str">
        <f>IFERROR(IF(AND(DA176&lt;&gt;"",VLOOKUP($P176&amp;" | "&amp;CR$6,'Job Master'!$F$12:$I$102,4,0)&lt;&gt;""),IF(WEEKDAY(DA176-VLOOKUP($P176&amp;" | "&amp;CR$6,'Job Master'!$F$12:$I$102,4,0))&lt;&gt;7,DA176-VLOOKUP($P176&amp;" | "&amp;CR$6,'Job Master'!$F$12:$I$102,4,0),DA176-VLOOKUP($P176&amp;" | "&amp;CR$6,'Job Master'!$F$12:$I$102,4,0)-1),""),"")</f>
        <v/>
      </c>
      <c r="CU176" s="73"/>
      <c r="CV176" s="123" t="str">
        <f t="shared" si="297"/>
        <v/>
      </c>
      <c r="CW176" s="123" t="str">
        <f t="shared" si="298"/>
        <v/>
      </c>
      <c r="CX176" s="97" t="str">
        <f t="shared" ca="1" si="299"/>
        <v/>
      </c>
      <c r="CY176" s="98" t="str">
        <f>IF(DA176&lt;&gt;"",VLOOKUP($P176&amp;" | "&amp;CY$6,'Job Master'!$F$12:$J$102,5,0),"")</f>
        <v/>
      </c>
      <c r="CZ176" s="19" t="str">
        <f>IF(DA176&lt;&gt;"",VLOOKUP($P176&amp;" | "&amp;CY$6,'Job Master'!$F$12:$J$102,3,0),"")</f>
        <v/>
      </c>
      <c r="DA176" s="19" t="str">
        <f>IFERROR(IF(AND(DH176&lt;&gt;"",VLOOKUP($P176&amp;" | "&amp;CY$6,'Job Master'!$F$12:$I$102,4,0)&lt;&gt;""),IF(WEEKDAY(DH176-VLOOKUP($P176&amp;" | "&amp;CY$6,'Job Master'!$F$12:$I$102,4,0))&lt;&gt;7,DH176-VLOOKUP($P176&amp;" | "&amp;CY$6,'Job Master'!$F$12:$I$102,4,0),DH176-VLOOKUP($P176&amp;" | "&amp;CY$6,'Job Master'!$F$12:$I$102,4,0)-1),""),"")</f>
        <v/>
      </c>
      <c r="DB176" s="73"/>
      <c r="DC176" s="123" t="str">
        <f t="shared" si="300"/>
        <v/>
      </c>
      <c r="DD176" s="123" t="str">
        <f t="shared" si="301"/>
        <v/>
      </c>
      <c r="DE176" s="97" t="str">
        <f t="shared" ca="1" si="302"/>
        <v/>
      </c>
      <c r="DF176" s="98" t="str">
        <f>IF(DH176&lt;&gt;"",VLOOKUP($P176&amp;" | "&amp;DF$6,'Job Master'!$F$12:$J$102,5,0),"")</f>
        <v/>
      </c>
      <c r="DG176" s="19" t="str">
        <f>IF(DH176&lt;&gt;"",VLOOKUP($P176&amp;" | "&amp;DF$6,'Job Master'!$F$12:$J$102,3,0),"")</f>
        <v/>
      </c>
      <c r="DH176" s="19" t="str">
        <f>IFERROR(IF(AND(DO176&lt;&gt;"",VLOOKUP($P176&amp;" | "&amp;DF$6,'Job Master'!$F$12:$I$102,4,0)&lt;&gt;""),IF(WEEKDAY(DO176-VLOOKUP($P176&amp;" | "&amp;DF$6,'Job Master'!$F$12:$I$102,4,0))&lt;&gt;7,DO176-VLOOKUP($P176&amp;" | "&amp;DF$6,'Job Master'!$F$12:$I$102,4,0),DO176-VLOOKUP($P176&amp;" | "&amp;DF$6,'Job Master'!$F$12:$I$102,4,0)-1),""),"")</f>
        <v/>
      </c>
      <c r="DI176" s="73"/>
      <c r="DJ176" s="123" t="str">
        <f t="shared" si="303"/>
        <v/>
      </c>
      <c r="DK176" s="123" t="str">
        <f t="shared" si="304"/>
        <v/>
      </c>
      <c r="DL176" s="97" t="str">
        <f t="shared" ca="1" si="305"/>
        <v/>
      </c>
      <c r="DM176" s="98" t="str">
        <f>IF(DO176&lt;&gt;"",VLOOKUP($P176&amp;" | "&amp;DM$6,'Job Master'!$F$12:$J$102,5,0),"")</f>
        <v/>
      </c>
      <c r="DN176" s="19" t="str">
        <f>IF(DO176&lt;&gt;"",VLOOKUP($P176&amp;" | "&amp;DM$6,'Job Master'!$F$12:$J$102,3,0),"")</f>
        <v/>
      </c>
      <c r="DO176" s="19" t="str">
        <f>IFERROR(IF(AND(DT176&lt;&gt;"",VLOOKUP($P176&amp;" | "&amp;DM$6,'Job Master'!$F$12:$I$102,4,0)&lt;&gt;""),IF(WEEKDAY(DT176-VLOOKUP($P176&amp;" | "&amp;DM$6,'Job Master'!$F$12:$I$102,4,0))&lt;&gt;7,DT176-VLOOKUP($P176&amp;" | "&amp;DM$6,'Job Master'!$F$12:$I$102,4,0),DT176-VLOOKUP($P176&amp;" | "&amp;DM$6,'Job Master'!$F$12:$I$102,4,0)-1),""),"")</f>
        <v/>
      </c>
      <c r="DP176" s="73"/>
      <c r="DQ176" s="123" t="str">
        <f t="shared" si="306"/>
        <v/>
      </c>
      <c r="DR176" s="123" t="str">
        <f t="shared" si="307"/>
        <v/>
      </c>
      <c r="DS176" s="97" t="str">
        <f t="shared" ca="1" si="308"/>
        <v/>
      </c>
      <c r="DT176" s="70" t="str">
        <f t="shared" si="309"/>
        <v/>
      </c>
      <c r="DU176" s="90"/>
      <c r="DV176" s="123" t="str">
        <f t="shared" si="310"/>
        <v/>
      </c>
      <c r="DW176" s="123" t="str">
        <f t="shared" si="311"/>
        <v/>
      </c>
      <c r="DX176" s="132" t="str">
        <f t="shared" ref="DX176" ca="1" si="361">IF(DT176&lt;&gt;"",IF(WEEKNUM(DT176)=WEEKNUM(TODAY()),"This Week",IF(WEEKNUM(DT176)=WEEKNUM(TODAY())+1,"Next Week",IF(WEEKNUM(DT176)=WEEKNUM(TODAY())-1,"Previous Week",""))),"")</f>
        <v/>
      </c>
      <c r="DY176" s="134" t="str">
        <f t="shared" si="313"/>
        <v/>
      </c>
      <c r="DZ176" s="95"/>
      <c r="EB176" s="8" t="str">
        <f t="shared" si="319"/>
        <v/>
      </c>
      <c r="EC176" s="8" t="str">
        <f>IF(O176&lt;&gt;"",VLOOKUP(O176,'Job Master'!$N$12:$O$18,2,0),"")</f>
        <v/>
      </c>
      <c r="ED176" s="8">
        <f t="shared" si="320"/>
        <v>19.5</v>
      </c>
      <c r="EE176" s="8">
        <f t="shared" si="321"/>
        <v>6</v>
      </c>
      <c r="EF176" s="8">
        <f t="shared" si="322"/>
        <v>-976.5</v>
      </c>
      <c r="EG176" s="8" t="str">
        <f t="shared" si="323"/>
        <v/>
      </c>
      <c r="EH176" s="8" t="str">
        <f t="shared" si="324"/>
        <v/>
      </c>
    </row>
    <row r="177" spans="2:138" x14ac:dyDescent="0.3">
      <c r="B177" s="112"/>
      <c r="C177" s="27"/>
      <c r="D177" s="7" t="str">
        <f t="shared" si="261"/>
        <v/>
      </c>
      <c r="E177" s="25"/>
      <c r="F177" s="7" t="str">
        <f t="shared" si="261"/>
        <v/>
      </c>
      <c r="G177" s="25"/>
      <c r="H177" s="7" t="str">
        <f t="shared" si="261"/>
        <v/>
      </c>
      <c r="I177" s="25"/>
      <c r="J177" s="7" t="str">
        <f t="shared" si="261"/>
        <v/>
      </c>
      <c r="K177" s="25"/>
      <c r="L177" s="7" t="str">
        <f t="shared" si="262"/>
        <v/>
      </c>
      <c r="M177" s="25"/>
      <c r="N177" s="7" t="str">
        <f t="shared" si="263"/>
        <v/>
      </c>
      <c r="O177" s="81"/>
      <c r="P177" s="81" t="str">
        <f t="shared" si="264"/>
        <v/>
      </c>
      <c r="Q177" s="81"/>
      <c r="R177" s="7" t="str">
        <f t="shared" si="265"/>
        <v/>
      </c>
      <c r="S177" s="25"/>
      <c r="T177" s="7" t="str">
        <f t="shared" si="266"/>
        <v/>
      </c>
      <c r="U177" s="25"/>
      <c r="V177" s="7" t="str">
        <f t="shared" si="267"/>
        <v/>
      </c>
      <c r="W177" s="25"/>
      <c r="X177" s="7" t="str">
        <f t="shared" si="268"/>
        <v/>
      </c>
      <c r="Y177" s="18" t="str">
        <f t="shared" si="269"/>
        <v/>
      </c>
      <c r="Z177" s="7" t="str">
        <f t="shared" si="270"/>
        <v/>
      </c>
      <c r="AA177" s="18" t="str">
        <f t="shared" si="271"/>
        <v/>
      </c>
      <c r="AB177" s="19" t="str">
        <f t="shared" si="272"/>
        <v/>
      </c>
      <c r="AC177" s="26"/>
      <c r="AD177" s="26"/>
      <c r="AE177" s="25"/>
      <c r="AF177" s="26"/>
      <c r="AG177" s="25"/>
      <c r="AH177" s="25"/>
      <c r="AI177" s="18" t="str">
        <f t="shared" si="335"/>
        <v/>
      </c>
      <c r="AJ177" s="25"/>
      <c r="AK177" s="18" t="str">
        <f t="shared" si="336"/>
        <v/>
      </c>
      <c r="AL177" s="79"/>
      <c r="AM177" s="126" t="str">
        <f t="shared" si="337"/>
        <v/>
      </c>
      <c r="AN177" s="128" t="str">
        <f>IF(AP177&lt;&gt;"",VLOOKUP($P177&amp;" | "&amp;AN$6,'Job Master'!$F$12:$J$102,5,0),"")</f>
        <v/>
      </c>
      <c r="AO177" s="19" t="str">
        <f>IF(AP177&lt;&gt;"",VLOOKUP($P177&amp;" | "&amp;AN$6,'Job Master'!$F$12:$J$102,3,0),"")</f>
        <v/>
      </c>
      <c r="AP177" s="19" t="str">
        <f>IFERROR(IF(AND(AW177&lt;&gt;"",VLOOKUP($P177&amp;" | "&amp;AN$6,'Job Master'!$F$12:$I$102,4,0)&lt;&gt;""),IF(WEEKDAY(AW177-VLOOKUP($P177&amp;" | "&amp;AN$6,'Job Master'!$F$12:$I$102,4,0))&lt;&gt;7,AW177-VLOOKUP($P177&amp;" | "&amp;AN$6,'Job Master'!$F$12:$I$102,4,0),AW177-VLOOKUP($P177&amp;" | "&amp;AN$6,'Job Master'!$F$12:$I$102,4,0)-1),""),"")</f>
        <v/>
      </c>
      <c r="AQ177" s="73"/>
      <c r="AR177" s="123" t="str">
        <f t="shared" si="273"/>
        <v/>
      </c>
      <c r="AS177" s="123" t="str">
        <f t="shared" si="274"/>
        <v/>
      </c>
      <c r="AT177" s="97" t="str">
        <f t="shared" ca="1" si="275"/>
        <v/>
      </c>
      <c r="AU177" s="98" t="str">
        <f>IF(AW177&lt;&gt;"",VLOOKUP($P177&amp;" | "&amp;AU$6,'Job Master'!$F$12:$J$102,5,0),"")</f>
        <v/>
      </c>
      <c r="AV177" s="19" t="str">
        <f>IF(AW177&lt;&gt;"",VLOOKUP($P177&amp;" | "&amp;AU$6,'Job Master'!$F$12:$J$102,3,0),"")</f>
        <v/>
      </c>
      <c r="AW177" s="19" t="str">
        <f>IFERROR(IF(AND(BD177&lt;&gt;"",VLOOKUP($P177&amp;" | "&amp;AU$6,'Job Master'!$F$12:$I$102,4,0)&lt;&gt;""),IF(WEEKDAY(BD177-VLOOKUP($P177&amp;" | "&amp;AU$6,'Job Master'!$F$12:$I$102,4,0))&lt;&gt;7,BD177-VLOOKUP($P177&amp;" | "&amp;AU$6,'Job Master'!$F$12:$I$102,4,0),BD177-VLOOKUP($P177&amp;" | "&amp;AU$6,'Job Master'!$F$12:$I$102,4,0)-1),""),"")</f>
        <v/>
      </c>
      <c r="AX177" s="73"/>
      <c r="AY177" s="123" t="str">
        <f t="shared" si="276"/>
        <v/>
      </c>
      <c r="AZ177" s="123" t="str">
        <f t="shared" si="277"/>
        <v/>
      </c>
      <c r="BA177" s="97" t="str">
        <f t="shared" ca="1" si="278"/>
        <v/>
      </c>
      <c r="BB177" s="98" t="str">
        <f>IF(BD177&lt;&gt;"",VLOOKUP($P177&amp;" | "&amp;BB$6,'Job Master'!$F$12:$J$102,5,0),"")</f>
        <v/>
      </c>
      <c r="BC177" s="19" t="str">
        <f>IF(BD177&lt;&gt;"",VLOOKUP($P177&amp;" | "&amp;BB$6,'Job Master'!$F$12:$J$102,3,0),"")</f>
        <v/>
      </c>
      <c r="BD177" s="19" t="str">
        <f>IFERROR(IF(AND(BK177&lt;&gt;"",VLOOKUP($P177&amp;" | "&amp;BB$6,'Job Master'!$F$12:$I$102,4,0)&lt;&gt;""),IF(WEEKDAY(BK177-VLOOKUP($P177&amp;" | "&amp;BB$6,'Job Master'!$F$12:$I$102,4,0))&lt;&gt;7,BK177-VLOOKUP($P177&amp;" | "&amp;BB$6,'Job Master'!$F$12:$I$102,4,0),BK177-VLOOKUP($P177&amp;" | "&amp;BB$6,'Job Master'!$F$12:$I$102,4,0)-1),""),"")</f>
        <v/>
      </c>
      <c r="BE177" s="73"/>
      <c r="BF177" s="123" t="str">
        <f t="shared" si="279"/>
        <v/>
      </c>
      <c r="BG177" s="123" t="str">
        <f t="shared" si="280"/>
        <v/>
      </c>
      <c r="BH177" s="97" t="str">
        <f t="shared" ca="1" si="281"/>
        <v/>
      </c>
      <c r="BI177" s="98" t="str">
        <f>IF(BK177&lt;&gt;"",VLOOKUP($P177&amp;" | "&amp;BI$6,'Job Master'!$F$12:$J$102,5,0),"")</f>
        <v/>
      </c>
      <c r="BJ177" s="19" t="str">
        <f>IF(BK177&lt;&gt;"",VLOOKUP($P177&amp;" | "&amp;BI$6,'Job Master'!$F$12:$J$102,3,0),"")</f>
        <v/>
      </c>
      <c r="BK177" s="19" t="str">
        <f>IFERROR(IF(AND(BR177&lt;&gt;"",VLOOKUP($P177&amp;" | "&amp;BI$6,'Job Master'!$F$12:$I$102,4,0)&lt;&gt;""),IF(WEEKDAY(BR177-VLOOKUP($P177&amp;" | "&amp;BI$6,'Job Master'!$F$12:$I$102,4,0))&lt;&gt;7,BR177-VLOOKUP($P177&amp;" | "&amp;BI$6,'Job Master'!$F$12:$I$102,4,0),BR177-VLOOKUP($P177&amp;" | "&amp;BI$6,'Job Master'!$F$12:$I$102,4,0)-1),""),"")</f>
        <v/>
      </c>
      <c r="BL177" s="73"/>
      <c r="BM177" s="123" t="str">
        <f t="shared" si="282"/>
        <v/>
      </c>
      <c r="BN177" s="123" t="str">
        <f t="shared" si="283"/>
        <v/>
      </c>
      <c r="BO177" s="97" t="str">
        <f t="shared" ca="1" si="284"/>
        <v/>
      </c>
      <c r="BP177" s="98" t="str">
        <f>IF(BR177&lt;&gt;"",VLOOKUP($P177&amp;" | "&amp;BP$6,'Job Master'!$F$12:$J$102,5,0),"")</f>
        <v/>
      </c>
      <c r="BQ177" s="19" t="str">
        <f>IF(BR177&lt;&gt;"",VLOOKUP($P177&amp;" | "&amp;BP$6,'Job Master'!$F$12:$J$102,3,0),"")</f>
        <v/>
      </c>
      <c r="BR177" s="19" t="str">
        <f>IFERROR(IF(AND(BY177&lt;&gt;"",VLOOKUP($P177&amp;" | "&amp;BP$6,'Job Master'!$F$12:$I$102,4,0)&lt;&gt;""),IF(WEEKDAY(BY177-VLOOKUP($P177&amp;" | "&amp;BP$6,'Job Master'!$F$12:$I$102,4,0))&lt;&gt;7,BY177-VLOOKUP($P177&amp;" | "&amp;BP$6,'Job Master'!$F$12:$I$102,4,0),BY177-VLOOKUP($P177&amp;" | "&amp;BP$6,'Job Master'!$F$12:$I$102,4,0)-1),""),"")</f>
        <v/>
      </c>
      <c r="BS177" s="73"/>
      <c r="BT177" s="123" t="str">
        <f t="shared" si="285"/>
        <v/>
      </c>
      <c r="BU177" s="123" t="str">
        <f t="shared" si="286"/>
        <v/>
      </c>
      <c r="BV177" s="97" t="str">
        <f t="shared" ca="1" si="287"/>
        <v/>
      </c>
      <c r="BW177" s="98" t="str">
        <f>IF(BY177&lt;&gt;"",VLOOKUP($P177&amp;" | "&amp;BW$6,'Job Master'!$F$12:$J$102,5,0),"")</f>
        <v/>
      </c>
      <c r="BX177" s="19" t="str">
        <f>IF(BY177&lt;&gt;"",VLOOKUP($P177&amp;" | "&amp;BW$6,'Job Master'!$F$12:$J$102,3,0),"")</f>
        <v/>
      </c>
      <c r="BY177" s="19" t="str">
        <f>IFERROR(IF(AND(CF177&lt;&gt;"",VLOOKUP($P177&amp;" | "&amp;BW$6,'Job Master'!$F$12:$I$102,4,0)&lt;&gt;""),IF(WEEKDAY(CF177-VLOOKUP($P177&amp;" | "&amp;BW$6,'Job Master'!$F$12:$I$102,4,0))&lt;&gt;7,CF177-VLOOKUP($P177&amp;" | "&amp;BW$6,'Job Master'!$F$12:$I$102,4,0),CF177-VLOOKUP($P177&amp;" | "&amp;BW$6,'Job Master'!$F$12:$I$102,4,0)-1),""),"")</f>
        <v/>
      </c>
      <c r="BZ177" s="73"/>
      <c r="CA177" s="123" t="str">
        <f t="shared" si="288"/>
        <v/>
      </c>
      <c r="CB177" s="123" t="str">
        <f t="shared" si="289"/>
        <v/>
      </c>
      <c r="CC177" s="97" t="str">
        <f t="shared" ca="1" si="290"/>
        <v/>
      </c>
      <c r="CD177" s="98" t="str">
        <f>IF(CF177&lt;&gt;"",VLOOKUP($P177&amp;" | "&amp;CD$6,'Job Master'!$F$12:$J$102,5,0),"")</f>
        <v/>
      </c>
      <c r="CE177" s="19" t="str">
        <f>IF(CF177&lt;&gt;"",VLOOKUP($P177&amp;" | "&amp;CD$6,'Job Master'!$F$12:$J$102,3,0),"")</f>
        <v/>
      </c>
      <c r="CF177" s="19" t="str">
        <f>IFERROR(IF(AND(CM177&lt;&gt;"",VLOOKUP($P177&amp;" | "&amp;CD$6,'Job Master'!$F$12:$I$102,4,0)&lt;&gt;""),IF(WEEKDAY(CM177-VLOOKUP($P177&amp;" | "&amp;CD$6,'Job Master'!$F$12:$I$102,4,0))&lt;&gt;7,CM177-VLOOKUP($P177&amp;" | "&amp;CD$6,'Job Master'!$F$12:$I$102,4,0),CM177-VLOOKUP($P177&amp;" | "&amp;CD$6,'Job Master'!$F$12:$I$102,4,0)-1),""),"")</f>
        <v/>
      </c>
      <c r="CG177" s="73"/>
      <c r="CH177" s="123" t="str">
        <f t="shared" si="291"/>
        <v/>
      </c>
      <c r="CI177" s="123" t="str">
        <f t="shared" si="292"/>
        <v/>
      </c>
      <c r="CJ177" s="97" t="str">
        <f t="shared" ca="1" si="293"/>
        <v/>
      </c>
      <c r="CK177" s="98" t="str">
        <f>IF(CM177&lt;&gt;"",VLOOKUP($P177&amp;" | "&amp;CK$6,'Job Master'!$F$12:$J$102,5,0),"")</f>
        <v/>
      </c>
      <c r="CL177" s="19" t="str">
        <f>IF(CM177&lt;&gt;"",VLOOKUP($P177&amp;" | "&amp;CK$6,'Job Master'!$F$12:$J$102,3,0),"")</f>
        <v/>
      </c>
      <c r="CM177" s="19" t="str">
        <f>IFERROR(IF(AND(CT177&lt;&gt;"",VLOOKUP($P177&amp;" | "&amp;CK$6,'Job Master'!$F$12:$I$102,4,0)&lt;&gt;""),IF(WEEKDAY(CT177-VLOOKUP($P177&amp;" | "&amp;CK$6,'Job Master'!$F$12:$I$102,4,0))&lt;&gt;7,CT177-VLOOKUP($P177&amp;" | "&amp;CK$6,'Job Master'!$F$12:$I$102,4,0),CT177-VLOOKUP($P177&amp;" | "&amp;CK$6,'Job Master'!$F$12:$I$102,4,0)-1),""),"")</f>
        <v/>
      </c>
      <c r="CN177" s="73"/>
      <c r="CO177" s="123" t="str">
        <f t="shared" si="294"/>
        <v/>
      </c>
      <c r="CP177" s="123" t="str">
        <f t="shared" si="295"/>
        <v/>
      </c>
      <c r="CQ177" s="97" t="str">
        <f t="shared" ca="1" si="296"/>
        <v/>
      </c>
      <c r="CR177" s="98" t="str">
        <f>IF(CT177&lt;&gt;"",VLOOKUP($P177&amp;" | "&amp;CR$6,'Job Master'!$F$12:$J$102,5,0),"")</f>
        <v/>
      </c>
      <c r="CS177" s="19" t="str">
        <f>IF(CT177&lt;&gt;"",VLOOKUP($P177&amp;" | "&amp;CR$6,'Job Master'!$F$12:$J$102,3,0),"")</f>
        <v/>
      </c>
      <c r="CT177" s="19" t="str">
        <f>IFERROR(IF(AND(DA177&lt;&gt;"",VLOOKUP($P177&amp;" | "&amp;CR$6,'Job Master'!$F$12:$I$102,4,0)&lt;&gt;""),IF(WEEKDAY(DA177-VLOOKUP($P177&amp;" | "&amp;CR$6,'Job Master'!$F$12:$I$102,4,0))&lt;&gt;7,DA177-VLOOKUP($P177&amp;" | "&amp;CR$6,'Job Master'!$F$12:$I$102,4,0),DA177-VLOOKUP($P177&amp;" | "&amp;CR$6,'Job Master'!$F$12:$I$102,4,0)-1),""),"")</f>
        <v/>
      </c>
      <c r="CU177" s="73"/>
      <c r="CV177" s="123" t="str">
        <f t="shared" si="297"/>
        <v/>
      </c>
      <c r="CW177" s="123" t="str">
        <f t="shared" si="298"/>
        <v/>
      </c>
      <c r="CX177" s="97" t="str">
        <f t="shared" ca="1" si="299"/>
        <v/>
      </c>
      <c r="CY177" s="98" t="str">
        <f>IF(DA177&lt;&gt;"",VLOOKUP($P177&amp;" | "&amp;CY$6,'Job Master'!$F$12:$J$102,5,0),"")</f>
        <v/>
      </c>
      <c r="CZ177" s="19" t="str">
        <f>IF(DA177&lt;&gt;"",VLOOKUP($P177&amp;" | "&amp;CY$6,'Job Master'!$F$12:$J$102,3,0),"")</f>
        <v/>
      </c>
      <c r="DA177" s="19" t="str">
        <f>IFERROR(IF(AND(DH177&lt;&gt;"",VLOOKUP($P177&amp;" | "&amp;CY$6,'Job Master'!$F$12:$I$102,4,0)&lt;&gt;""),IF(WEEKDAY(DH177-VLOOKUP($P177&amp;" | "&amp;CY$6,'Job Master'!$F$12:$I$102,4,0))&lt;&gt;7,DH177-VLOOKUP($P177&amp;" | "&amp;CY$6,'Job Master'!$F$12:$I$102,4,0),DH177-VLOOKUP($P177&amp;" | "&amp;CY$6,'Job Master'!$F$12:$I$102,4,0)-1),""),"")</f>
        <v/>
      </c>
      <c r="DB177" s="73"/>
      <c r="DC177" s="123" t="str">
        <f t="shared" si="300"/>
        <v/>
      </c>
      <c r="DD177" s="123" t="str">
        <f t="shared" si="301"/>
        <v/>
      </c>
      <c r="DE177" s="97" t="str">
        <f t="shared" ca="1" si="302"/>
        <v/>
      </c>
      <c r="DF177" s="98" t="str">
        <f>IF(DH177&lt;&gt;"",VLOOKUP($P177&amp;" | "&amp;DF$6,'Job Master'!$F$12:$J$102,5,0),"")</f>
        <v/>
      </c>
      <c r="DG177" s="19" t="str">
        <f>IF(DH177&lt;&gt;"",VLOOKUP($P177&amp;" | "&amp;DF$6,'Job Master'!$F$12:$J$102,3,0),"")</f>
        <v/>
      </c>
      <c r="DH177" s="19" t="str">
        <f>IFERROR(IF(AND(DO177&lt;&gt;"",VLOOKUP($P177&amp;" | "&amp;DF$6,'Job Master'!$F$12:$I$102,4,0)&lt;&gt;""),IF(WEEKDAY(DO177-VLOOKUP($P177&amp;" | "&amp;DF$6,'Job Master'!$F$12:$I$102,4,0))&lt;&gt;7,DO177-VLOOKUP($P177&amp;" | "&amp;DF$6,'Job Master'!$F$12:$I$102,4,0),DO177-VLOOKUP($P177&amp;" | "&amp;DF$6,'Job Master'!$F$12:$I$102,4,0)-1),""),"")</f>
        <v/>
      </c>
      <c r="DI177" s="73"/>
      <c r="DJ177" s="123" t="str">
        <f t="shared" si="303"/>
        <v/>
      </c>
      <c r="DK177" s="123" t="str">
        <f t="shared" si="304"/>
        <v/>
      </c>
      <c r="DL177" s="97" t="str">
        <f t="shared" ca="1" si="305"/>
        <v/>
      </c>
      <c r="DM177" s="98" t="str">
        <f>IF(DO177&lt;&gt;"",VLOOKUP($P177&amp;" | "&amp;DM$6,'Job Master'!$F$12:$J$102,5,0),"")</f>
        <v/>
      </c>
      <c r="DN177" s="19" t="str">
        <f>IF(DO177&lt;&gt;"",VLOOKUP($P177&amp;" | "&amp;DM$6,'Job Master'!$F$12:$J$102,3,0),"")</f>
        <v/>
      </c>
      <c r="DO177" s="19" t="str">
        <f>IFERROR(IF(AND(DT177&lt;&gt;"",VLOOKUP($P177&amp;" | "&amp;DM$6,'Job Master'!$F$12:$I$102,4,0)&lt;&gt;""),IF(WEEKDAY(DT177-VLOOKUP($P177&amp;" | "&amp;DM$6,'Job Master'!$F$12:$I$102,4,0))&lt;&gt;7,DT177-VLOOKUP($P177&amp;" | "&amp;DM$6,'Job Master'!$F$12:$I$102,4,0),DT177-VLOOKUP($P177&amp;" | "&amp;DM$6,'Job Master'!$F$12:$I$102,4,0)-1),""),"")</f>
        <v/>
      </c>
      <c r="DP177" s="73"/>
      <c r="DQ177" s="123" t="str">
        <f t="shared" si="306"/>
        <v/>
      </c>
      <c r="DR177" s="123" t="str">
        <f t="shared" si="307"/>
        <v/>
      </c>
      <c r="DS177" s="97" t="str">
        <f t="shared" ca="1" si="308"/>
        <v/>
      </c>
      <c r="DT177" s="70" t="str">
        <f t="shared" si="309"/>
        <v/>
      </c>
      <c r="DU177" s="90"/>
      <c r="DV177" s="123" t="str">
        <f t="shared" si="310"/>
        <v/>
      </c>
      <c r="DW177" s="123" t="str">
        <f t="shared" si="311"/>
        <v/>
      </c>
      <c r="DX177" s="132" t="str">
        <f t="shared" ref="DX177" ca="1" si="362">IF(DT177&lt;&gt;"",IF(WEEKNUM(DT177)=WEEKNUM(TODAY()),"This Week",IF(WEEKNUM(DT177)=WEEKNUM(TODAY())+1,"Next Week",IF(WEEKNUM(DT177)=WEEKNUM(TODAY())-1,"Previous Week",""))),"")</f>
        <v/>
      </c>
      <c r="DY177" s="134" t="str">
        <f t="shared" si="313"/>
        <v/>
      </c>
      <c r="DZ177" s="95"/>
      <c r="EB177" s="8" t="str">
        <f t="shared" si="319"/>
        <v/>
      </c>
      <c r="EC177" s="8" t="str">
        <f>IF(O177&lt;&gt;"",VLOOKUP(O177,'Job Master'!$N$12:$O$18,2,0),"")</f>
        <v/>
      </c>
      <c r="ED177" s="8">
        <f t="shared" si="320"/>
        <v>19.5</v>
      </c>
      <c r="EE177" s="8">
        <f t="shared" si="321"/>
        <v>6</v>
      </c>
      <c r="EF177" s="8">
        <f t="shared" si="322"/>
        <v>-982.5</v>
      </c>
      <c r="EG177" s="8" t="str">
        <f t="shared" si="323"/>
        <v/>
      </c>
      <c r="EH177" s="8" t="str">
        <f t="shared" si="324"/>
        <v/>
      </c>
    </row>
    <row r="178" spans="2:138" x14ac:dyDescent="0.3">
      <c r="B178" s="112"/>
      <c r="C178" s="27"/>
      <c r="D178" s="7" t="str">
        <f t="shared" si="261"/>
        <v/>
      </c>
      <c r="E178" s="25"/>
      <c r="F178" s="7" t="str">
        <f t="shared" si="261"/>
        <v/>
      </c>
      <c r="G178" s="25"/>
      <c r="H178" s="7" t="str">
        <f t="shared" si="261"/>
        <v/>
      </c>
      <c r="I178" s="25"/>
      <c r="J178" s="7" t="str">
        <f t="shared" si="261"/>
        <v/>
      </c>
      <c r="K178" s="25"/>
      <c r="L178" s="7" t="str">
        <f t="shared" si="262"/>
        <v/>
      </c>
      <c r="M178" s="25"/>
      <c r="N178" s="7" t="str">
        <f t="shared" si="263"/>
        <v/>
      </c>
      <c r="O178" s="81"/>
      <c r="P178" s="81" t="str">
        <f t="shared" si="264"/>
        <v/>
      </c>
      <c r="Q178" s="81"/>
      <c r="R178" s="7" t="str">
        <f t="shared" si="265"/>
        <v/>
      </c>
      <c r="S178" s="25"/>
      <c r="T178" s="7" t="str">
        <f t="shared" si="266"/>
        <v/>
      </c>
      <c r="U178" s="25"/>
      <c r="V178" s="7" t="str">
        <f t="shared" si="267"/>
        <v/>
      </c>
      <c r="W178" s="25"/>
      <c r="X178" s="7" t="str">
        <f t="shared" si="268"/>
        <v/>
      </c>
      <c r="Y178" s="18" t="str">
        <f t="shared" si="269"/>
        <v/>
      </c>
      <c r="Z178" s="7" t="str">
        <f t="shared" si="270"/>
        <v/>
      </c>
      <c r="AA178" s="18" t="str">
        <f t="shared" si="271"/>
        <v/>
      </c>
      <c r="AB178" s="19" t="str">
        <f t="shared" si="272"/>
        <v/>
      </c>
      <c r="AC178" s="26"/>
      <c r="AD178" s="26"/>
      <c r="AE178" s="25"/>
      <c r="AF178" s="26"/>
      <c r="AG178" s="25"/>
      <c r="AH178" s="25"/>
      <c r="AI178" s="18" t="str">
        <f t="shared" si="335"/>
        <v/>
      </c>
      <c r="AJ178" s="25"/>
      <c r="AK178" s="18" t="str">
        <f t="shared" si="336"/>
        <v/>
      </c>
      <c r="AL178" s="79"/>
      <c r="AM178" s="126" t="str">
        <f t="shared" si="337"/>
        <v/>
      </c>
      <c r="AN178" s="128" t="str">
        <f>IF(AP178&lt;&gt;"",VLOOKUP($P178&amp;" | "&amp;AN$6,'Job Master'!$F$12:$J$102,5,0),"")</f>
        <v/>
      </c>
      <c r="AO178" s="19" t="str">
        <f>IF(AP178&lt;&gt;"",VLOOKUP($P178&amp;" | "&amp;AN$6,'Job Master'!$F$12:$J$102,3,0),"")</f>
        <v/>
      </c>
      <c r="AP178" s="19" t="str">
        <f>IFERROR(IF(AND(AW178&lt;&gt;"",VLOOKUP($P178&amp;" | "&amp;AN$6,'Job Master'!$F$12:$I$102,4,0)&lt;&gt;""),IF(WEEKDAY(AW178-VLOOKUP($P178&amp;" | "&amp;AN$6,'Job Master'!$F$12:$I$102,4,0))&lt;&gt;7,AW178-VLOOKUP($P178&amp;" | "&amp;AN$6,'Job Master'!$F$12:$I$102,4,0),AW178-VLOOKUP($P178&amp;" | "&amp;AN$6,'Job Master'!$F$12:$I$102,4,0)-1),""),"")</f>
        <v/>
      </c>
      <c r="AQ178" s="73"/>
      <c r="AR178" s="123" t="str">
        <f t="shared" si="273"/>
        <v/>
      </c>
      <c r="AS178" s="123" t="str">
        <f t="shared" si="274"/>
        <v/>
      </c>
      <c r="AT178" s="97" t="str">
        <f t="shared" ca="1" si="275"/>
        <v/>
      </c>
      <c r="AU178" s="98" t="str">
        <f>IF(AW178&lt;&gt;"",VLOOKUP($P178&amp;" | "&amp;AU$6,'Job Master'!$F$12:$J$102,5,0),"")</f>
        <v/>
      </c>
      <c r="AV178" s="19" t="str">
        <f>IF(AW178&lt;&gt;"",VLOOKUP($P178&amp;" | "&amp;AU$6,'Job Master'!$F$12:$J$102,3,0),"")</f>
        <v/>
      </c>
      <c r="AW178" s="19" t="str">
        <f>IFERROR(IF(AND(BD178&lt;&gt;"",VLOOKUP($P178&amp;" | "&amp;AU$6,'Job Master'!$F$12:$I$102,4,0)&lt;&gt;""),IF(WEEKDAY(BD178-VLOOKUP($P178&amp;" | "&amp;AU$6,'Job Master'!$F$12:$I$102,4,0))&lt;&gt;7,BD178-VLOOKUP($P178&amp;" | "&amp;AU$6,'Job Master'!$F$12:$I$102,4,0),BD178-VLOOKUP($P178&amp;" | "&amp;AU$6,'Job Master'!$F$12:$I$102,4,0)-1),""),"")</f>
        <v/>
      </c>
      <c r="AX178" s="73"/>
      <c r="AY178" s="123" t="str">
        <f t="shared" si="276"/>
        <v/>
      </c>
      <c r="AZ178" s="123" t="str">
        <f t="shared" si="277"/>
        <v/>
      </c>
      <c r="BA178" s="97" t="str">
        <f t="shared" ca="1" si="278"/>
        <v/>
      </c>
      <c r="BB178" s="98" t="str">
        <f>IF(BD178&lt;&gt;"",VLOOKUP($P178&amp;" | "&amp;BB$6,'Job Master'!$F$12:$J$102,5,0),"")</f>
        <v/>
      </c>
      <c r="BC178" s="19" t="str">
        <f>IF(BD178&lt;&gt;"",VLOOKUP($P178&amp;" | "&amp;BB$6,'Job Master'!$F$12:$J$102,3,0),"")</f>
        <v/>
      </c>
      <c r="BD178" s="19" t="str">
        <f>IFERROR(IF(AND(BK178&lt;&gt;"",VLOOKUP($P178&amp;" | "&amp;BB$6,'Job Master'!$F$12:$I$102,4,0)&lt;&gt;""),IF(WEEKDAY(BK178-VLOOKUP($P178&amp;" | "&amp;BB$6,'Job Master'!$F$12:$I$102,4,0))&lt;&gt;7,BK178-VLOOKUP($P178&amp;" | "&amp;BB$6,'Job Master'!$F$12:$I$102,4,0),BK178-VLOOKUP($P178&amp;" | "&amp;BB$6,'Job Master'!$F$12:$I$102,4,0)-1),""),"")</f>
        <v/>
      </c>
      <c r="BE178" s="73"/>
      <c r="BF178" s="123" t="str">
        <f t="shared" si="279"/>
        <v/>
      </c>
      <c r="BG178" s="123" t="str">
        <f t="shared" si="280"/>
        <v/>
      </c>
      <c r="BH178" s="97" t="str">
        <f t="shared" ca="1" si="281"/>
        <v/>
      </c>
      <c r="BI178" s="98" t="str">
        <f>IF(BK178&lt;&gt;"",VLOOKUP($P178&amp;" | "&amp;BI$6,'Job Master'!$F$12:$J$102,5,0),"")</f>
        <v/>
      </c>
      <c r="BJ178" s="19" t="str">
        <f>IF(BK178&lt;&gt;"",VLOOKUP($P178&amp;" | "&amp;BI$6,'Job Master'!$F$12:$J$102,3,0),"")</f>
        <v/>
      </c>
      <c r="BK178" s="19" t="str">
        <f>IFERROR(IF(AND(BR178&lt;&gt;"",VLOOKUP($P178&amp;" | "&amp;BI$6,'Job Master'!$F$12:$I$102,4,0)&lt;&gt;""),IF(WEEKDAY(BR178-VLOOKUP($P178&amp;" | "&amp;BI$6,'Job Master'!$F$12:$I$102,4,0))&lt;&gt;7,BR178-VLOOKUP($P178&amp;" | "&amp;BI$6,'Job Master'!$F$12:$I$102,4,0),BR178-VLOOKUP($P178&amp;" | "&amp;BI$6,'Job Master'!$F$12:$I$102,4,0)-1),""),"")</f>
        <v/>
      </c>
      <c r="BL178" s="73"/>
      <c r="BM178" s="123" t="str">
        <f t="shared" si="282"/>
        <v/>
      </c>
      <c r="BN178" s="123" t="str">
        <f t="shared" si="283"/>
        <v/>
      </c>
      <c r="BO178" s="97" t="str">
        <f t="shared" ca="1" si="284"/>
        <v/>
      </c>
      <c r="BP178" s="98" t="str">
        <f>IF(BR178&lt;&gt;"",VLOOKUP($P178&amp;" | "&amp;BP$6,'Job Master'!$F$12:$J$102,5,0),"")</f>
        <v/>
      </c>
      <c r="BQ178" s="19" t="str">
        <f>IF(BR178&lt;&gt;"",VLOOKUP($P178&amp;" | "&amp;BP$6,'Job Master'!$F$12:$J$102,3,0),"")</f>
        <v/>
      </c>
      <c r="BR178" s="19" t="str">
        <f>IFERROR(IF(AND(BY178&lt;&gt;"",VLOOKUP($P178&amp;" | "&amp;BP$6,'Job Master'!$F$12:$I$102,4,0)&lt;&gt;""),IF(WEEKDAY(BY178-VLOOKUP($P178&amp;" | "&amp;BP$6,'Job Master'!$F$12:$I$102,4,0))&lt;&gt;7,BY178-VLOOKUP($P178&amp;" | "&amp;BP$6,'Job Master'!$F$12:$I$102,4,0),BY178-VLOOKUP($P178&amp;" | "&amp;BP$6,'Job Master'!$F$12:$I$102,4,0)-1),""),"")</f>
        <v/>
      </c>
      <c r="BS178" s="73"/>
      <c r="BT178" s="123" t="str">
        <f t="shared" si="285"/>
        <v/>
      </c>
      <c r="BU178" s="123" t="str">
        <f t="shared" si="286"/>
        <v/>
      </c>
      <c r="BV178" s="97" t="str">
        <f t="shared" ca="1" si="287"/>
        <v/>
      </c>
      <c r="BW178" s="98" t="str">
        <f>IF(BY178&lt;&gt;"",VLOOKUP($P178&amp;" | "&amp;BW$6,'Job Master'!$F$12:$J$102,5,0),"")</f>
        <v/>
      </c>
      <c r="BX178" s="19" t="str">
        <f>IF(BY178&lt;&gt;"",VLOOKUP($P178&amp;" | "&amp;BW$6,'Job Master'!$F$12:$J$102,3,0),"")</f>
        <v/>
      </c>
      <c r="BY178" s="19" t="str">
        <f>IFERROR(IF(AND(CF178&lt;&gt;"",VLOOKUP($P178&amp;" | "&amp;BW$6,'Job Master'!$F$12:$I$102,4,0)&lt;&gt;""),IF(WEEKDAY(CF178-VLOOKUP($P178&amp;" | "&amp;BW$6,'Job Master'!$F$12:$I$102,4,0))&lt;&gt;7,CF178-VLOOKUP($P178&amp;" | "&amp;BW$6,'Job Master'!$F$12:$I$102,4,0),CF178-VLOOKUP($P178&amp;" | "&amp;BW$6,'Job Master'!$F$12:$I$102,4,0)-1),""),"")</f>
        <v/>
      </c>
      <c r="BZ178" s="73"/>
      <c r="CA178" s="123" t="str">
        <f t="shared" si="288"/>
        <v/>
      </c>
      <c r="CB178" s="123" t="str">
        <f t="shared" si="289"/>
        <v/>
      </c>
      <c r="CC178" s="97" t="str">
        <f t="shared" ca="1" si="290"/>
        <v/>
      </c>
      <c r="CD178" s="98" t="str">
        <f>IF(CF178&lt;&gt;"",VLOOKUP($P178&amp;" | "&amp;CD$6,'Job Master'!$F$12:$J$102,5,0),"")</f>
        <v/>
      </c>
      <c r="CE178" s="19" t="str">
        <f>IF(CF178&lt;&gt;"",VLOOKUP($P178&amp;" | "&amp;CD$6,'Job Master'!$F$12:$J$102,3,0),"")</f>
        <v/>
      </c>
      <c r="CF178" s="19" t="str">
        <f>IFERROR(IF(AND(CM178&lt;&gt;"",VLOOKUP($P178&amp;" | "&amp;CD$6,'Job Master'!$F$12:$I$102,4,0)&lt;&gt;""),IF(WEEKDAY(CM178-VLOOKUP($P178&amp;" | "&amp;CD$6,'Job Master'!$F$12:$I$102,4,0))&lt;&gt;7,CM178-VLOOKUP($P178&amp;" | "&amp;CD$6,'Job Master'!$F$12:$I$102,4,0),CM178-VLOOKUP($P178&amp;" | "&amp;CD$6,'Job Master'!$F$12:$I$102,4,0)-1),""),"")</f>
        <v/>
      </c>
      <c r="CG178" s="73"/>
      <c r="CH178" s="123" t="str">
        <f t="shared" si="291"/>
        <v/>
      </c>
      <c r="CI178" s="123" t="str">
        <f t="shared" si="292"/>
        <v/>
      </c>
      <c r="CJ178" s="97" t="str">
        <f t="shared" ca="1" si="293"/>
        <v/>
      </c>
      <c r="CK178" s="98" t="str">
        <f>IF(CM178&lt;&gt;"",VLOOKUP($P178&amp;" | "&amp;CK$6,'Job Master'!$F$12:$J$102,5,0),"")</f>
        <v/>
      </c>
      <c r="CL178" s="19" t="str">
        <f>IF(CM178&lt;&gt;"",VLOOKUP($P178&amp;" | "&amp;CK$6,'Job Master'!$F$12:$J$102,3,0),"")</f>
        <v/>
      </c>
      <c r="CM178" s="19" t="str">
        <f>IFERROR(IF(AND(CT178&lt;&gt;"",VLOOKUP($P178&amp;" | "&amp;CK$6,'Job Master'!$F$12:$I$102,4,0)&lt;&gt;""),IF(WEEKDAY(CT178-VLOOKUP($P178&amp;" | "&amp;CK$6,'Job Master'!$F$12:$I$102,4,0))&lt;&gt;7,CT178-VLOOKUP($P178&amp;" | "&amp;CK$6,'Job Master'!$F$12:$I$102,4,0),CT178-VLOOKUP($P178&amp;" | "&amp;CK$6,'Job Master'!$F$12:$I$102,4,0)-1),""),"")</f>
        <v/>
      </c>
      <c r="CN178" s="73"/>
      <c r="CO178" s="123" t="str">
        <f t="shared" si="294"/>
        <v/>
      </c>
      <c r="CP178" s="123" t="str">
        <f t="shared" si="295"/>
        <v/>
      </c>
      <c r="CQ178" s="97" t="str">
        <f t="shared" ca="1" si="296"/>
        <v/>
      </c>
      <c r="CR178" s="98" t="str">
        <f>IF(CT178&lt;&gt;"",VLOOKUP($P178&amp;" | "&amp;CR$6,'Job Master'!$F$12:$J$102,5,0),"")</f>
        <v/>
      </c>
      <c r="CS178" s="19" t="str">
        <f>IF(CT178&lt;&gt;"",VLOOKUP($P178&amp;" | "&amp;CR$6,'Job Master'!$F$12:$J$102,3,0),"")</f>
        <v/>
      </c>
      <c r="CT178" s="19" t="str">
        <f>IFERROR(IF(AND(DA178&lt;&gt;"",VLOOKUP($P178&amp;" | "&amp;CR$6,'Job Master'!$F$12:$I$102,4,0)&lt;&gt;""),IF(WEEKDAY(DA178-VLOOKUP($P178&amp;" | "&amp;CR$6,'Job Master'!$F$12:$I$102,4,0))&lt;&gt;7,DA178-VLOOKUP($P178&amp;" | "&amp;CR$6,'Job Master'!$F$12:$I$102,4,0),DA178-VLOOKUP($P178&amp;" | "&amp;CR$6,'Job Master'!$F$12:$I$102,4,0)-1),""),"")</f>
        <v/>
      </c>
      <c r="CU178" s="73"/>
      <c r="CV178" s="123" t="str">
        <f t="shared" si="297"/>
        <v/>
      </c>
      <c r="CW178" s="123" t="str">
        <f t="shared" si="298"/>
        <v/>
      </c>
      <c r="CX178" s="97" t="str">
        <f t="shared" ca="1" si="299"/>
        <v/>
      </c>
      <c r="CY178" s="98" t="str">
        <f>IF(DA178&lt;&gt;"",VLOOKUP($P178&amp;" | "&amp;CY$6,'Job Master'!$F$12:$J$102,5,0),"")</f>
        <v/>
      </c>
      <c r="CZ178" s="19" t="str">
        <f>IF(DA178&lt;&gt;"",VLOOKUP($P178&amp;" | "&amp;CY$6,'Job Master'!$F$12:$J$102,3,0),"")</f>
        <v/>
      </c>
      <c r="DA178" s="19" t="str">
        <f>IFERROR(IF(AND(DH178&lt;&gt;"",VLOOKUP($P178&amp;" | "&amp;CY$6,'Job Master'!$F$12:$I$102,4,0)&lt;&gt;""),IF(WEEKDAY(DH178-VLOOKUP($P178&amp;" | "&amp;CY$6,'Job Master'!$F$12:$I$102,4,0))&lt;&gt;7,DH178-VLOOKUP($P178&amp;" | "&amp;CY$6,'Job Master'!$F$12:$I$102,4,0),DH178-VLOOKUP($P178&amp;" | "&amp;CY$6,'Job Master'!$F$12:$I$102,4,0)-1),""),"")</f>
        <v/>
      </c>
      <c r="DB178" s="73"/>
      <c r="DC178" s="123" t="str">
        <f t="shared" si="300"/>
        <v/>
      </c>
      <c r="DD178" s="123" t="str">
        <f t="shared" si="301"/>
        <v/>
      </c>
      <c r="DE178" s="97" t="str">
        <f t="shared" ca="1" si="302"/>
        <v/>
      </c>
      <c r="DF178" s="98" t="str">
        <f>IF(DH178&lt;&gt;"",VLOOKUP($P178&amp;" | "&amp;DF$6,'Job Master'!$F$12:$J$102,5,0),"")</f>
        <v/>
      </c>
      <c r="DG178" s="19" t="str">
        <f>IF(DH178&lt;&gt;"",VLOOKUP($P178&amp;" | "&amp;DF$6,'Job Master'!$F$12:$J$102,3,0),"")</f>
        <v/>
      </c>
      <c r="DH178" s="19" t="str">
        <f>IFERROR(IF(AND(DO178&lt;&gt;"",VLOOKUP($P178&amp;" | "&amp;DF$6,'Job Master'!$F$12:$I$102,4,0)&lt;&gt;""),IF(WEEKDAY(DO178-VLOOKUP($P178&amp;" | "&amp;DF$6,'Job Master'!$F$12:$I$102,4,0))&lt;&gt;7,DO178-VLOOKUP($P178&amp;" | "&amp;DF$6,'Job Master'!$F$12:$I$102,4,0),DO178-VLOOKUP($P178&amp;" | "&amp;DF$6,'Job Master'!$F$12:$I$102,4,0)-1),""),"")</f>
        <v/>
      </c>
      <c r="DI178" s="73"/>
      <c r="DJ178" s="123" t="str">
        <f t="shared" si="303"/>
        <v/>
      </c>
      <c r="DK178" s="123" t="str">
        <f t="shared" si="304"/>
        <v/>
      </c>
      <c r="DL178" s="97" t="str">
        <f t="shared" ca="1" si="305"/>
        <v/>
      </c>
      <c r="DM178" s="98" t="str">
        <f>IF(DO178&lt;&gt;"",VLOOKUP($P178&amp;" | "&amp;DM$6,'Job Master'!$F$12:$J$102,5,0),"")</f>
        <v/>
      </c>
      <c r="DN178" s="19" t="str">
        <f>IF(DO178&lt;&gt;"",VLOOKUP($P178&amp;" | "&amp;DM$6,'Job Master'!$F$12:$J$102,3,0),"")</f>
        <v/>
      </c>
      <c r="DO178" s="19" t="str">
        <f>IFERROR(IF(AND(DT178&lt;&gt;"",VLOOKUP($P178&amp;" | "&amp;DM$6,'Job Master'!$F$12:$I$102,4,0)&lt;&gt;""),IF(WEEKDAY(DT178-VLOOKUP($P178&amp;" | "&amp;DM$6,'Job Master'!$F$12:$I$102,4,0))&lt;&gt;7,DT178-VLOOKUP($P178&amp;" | "&amp;DM$6,'Job Master'!$F$12:$I$102,4,0),DT178-VLOOKUP($P178&amp;" | "&amp;DM$6,'Job Master'!$F$12:$I$102,4,0)-1),""),"")</f>
        <v/>
      </c>
      <c r="DP178" s="73"/>
      <c r="DQ178" s="123" t="str">
        <f t="shared" si="306"/>
        <v/>
      </c>
      <c r="DR178" s="123" t="str">
        <f t="shared" si="307"/>
        <v/>
      </c>
      <c r="DS178" s="97" t="str">
        <f t="shared" ca="1" si="308"/>
        <v/>
      </c>
      <c r="DT178" s="70" t="str">
        <f t="shared" si="309"/>
        <v/>
      </c>
      <c r="DU178" s="90"/>
      <c r="DV178" s="123" t="str">
        <f t="shared" si="310"/>
        <v/>
      </c>
      <c r="DW178" s="123" t="str">
        <f t="shared" si="311"/>
        <v/>
      </c>
      <c r="DX178" s="132" t="str">
        <f t="shared" ref="DX178" ca="1" si="363">IF(DT178&lt;&gt;"",IF(WEEKNUM(DT178)=WEEKNUM(TODAY()),"This Week",IF(WEEKNUM(DT178)=WEEKNUM(TODAY())+1,"Next Week",IF(WEEKNUM(DT178)=WEEKNUM(TODAY())-1,"Previous Week",""))),"")</f>
        <v/>
      </c>
      <c r="DY178" s="134" t="str">
        <f t="shared" si="313"/>
        <v/>
      </c>
      <c r="DZ178" s="95"/>
      <c r="EB178" s="8" t="str">
        <f t="shared" si="319"/>
        <v/>
      </c>
      <c r="EC178" s="8" t="str">
        <f>IF(O178&lt;&gt;"",VLOOKUP(O178,'Job Master'!$N$12:$O$18,2,0),"")</f>
        <v/>
      </c>
      <c r="ED178" s="8">
        <f t="shared" si="320"/>
        <v>19.5</v>
      </c>
      <c r="EE178" s="8">
        <f t="shared" si="321"/>
        <v>6</v>
      </c>
      <c r="EF178" s="8">
        <f t="shared" si="322"/>
        <v>-988.5</v>
      </c>
      <c r="EG178" s="8" t="str">
        <f t="shared" si="323"/>
        <v/>
      </c>
      <c r="EH178" s="8" t="str">
        <f t="shared" si="324"/>
        <v/>
      </c>
    </row>
    <row r="179" spans="2:138" x14ac:dyDescent="0.3">
      <c r="B179" s="112"/>
      <c r="C179" s="27"/>
      <c r="D179" s="7" t="str">
        <f t="shared" si="261"/>
        <v/>
      </c>
      <c r="E179" s="25"/>
      <c r="F179" s="7" t="str">
        <f t="shared" si="261"/>
        <v/>
      </c>
      <c r="G179" s="25"/>
      <c r="H179" s="7" t="str">
        <f t="shared" si="261"/>
        <v/>
      </c>
      <c r="I179" s="25"/>
      <c r="J179" s="7" t="str">
        <f t="shared" si="261"/>
        <v/>
      </c>
      <c r="K179" s="25"/>
      <c r="L179" s="7" t="str">
        <f t="shared" si="262"/>
        <v/>
      </c>
      <c r="M179" s="25"/>
      <c r="N179" s="7" t="str">
        <f t="shared" si="263"/>
        <v/>
      </c>
      <c r="O179" s="81"/>
      <c r="P179" s="81" t="str">
        <f t="shared" si="264"/>
        <v/>
      </c>
      <c r="Q179" s="81"/>
      <c r="R179" s="7" t="str">
        <f t="shared" si="265"/>
        <v/>
      </c>
      <c r="S179" s="25"/>
      <c r="T179" s="7" t="str">
        <f t="shared" si="266"/>
        <v/>
      </c>
      <c r="U179" s="25"/>
      <c r="V179" s="7" t="str">
        <f t="shared" si="267"/>
        <v/>
      </c>
      <c r="W179" s="25"/>
      <c r="X179" s="7" t="str">
        <f t="shared" si="268"/>
        <v/>
      </c>
      <c r="Y179" s="18" t="str">
        <f t="shared" si="269"/>
        <v/>
      </c>
      <c r="Z179" s="7" t="str">
        <f t="shared" si="270"/>
        <v/>
      </c>
      <c r="AA179" s="18" t="str">
        <f t="shared" si="271"/>
        <v/>
      </c>
      <c r="AB179" s="19" t="str">
        <f t="shared" si="272"/>
        <v/>
      </c>
      <c r="AC179" s="26"/>
      <c r="AD179" s="26"/>
      <c r="AE179" s="25"/>
      <c r="AF179" s="26"/>
      <c r="AG179" s="25"/>
      <c r="AH179" s="25"/>
      <c r="AI179" s="18" t="str">
        <f t="shared" si="335"/>
        <v/>
      </c>
      <c r="AJ179" s="25"/>
      <c r="AK179" s="18" t="str">
        <f t="shared" si="336"/>
        <v/>
      </c>
      <c r="AL179" s="79"/>
      <c r="AM179" s="126" t="str">
        <f t="shared" si="337"/>
        <v/>
      </c>
      <c r="AN179" s="128" t="str">
        <f>IF(AP179&lt;&gt;"",VLOOKUP($P179&amp;" | "&amp;AN$6,'Job Master'!$F$12:$J$102,5,0),"")</f>
        <v/>
      </c>
      <c r="AO179" s="19" t="str">
        <f>IF(AP179&lt;&gt;"",VLOOKUP($P179&amp;" | "&amp;AN$6,'Job Master'!$F$12:$J$102,3,0),"")</f>
        <v/>
      </c>
      <c r="AP179" s="19" t="str">
        <f>IFERROR(IF(AND(AW179&lt;&gt;"",VLOOKUP($P179&amp;" | "&amp;AN$6,'Job Master'!$F$12:$I$102,4,0)&lt;&gt;""),IF(WEEKDAY(AW179-VLOOKUP($P179&amp;" | "&amp;AN$6,'Job Master'!$F$12:$I$102,4,0))&lt;&gt;7,AW179-VLOOKUP($P179&amp;" | "&amp;AN$6,'Job Master'!$F$12:$I$102,4,0),AW179-VLOOKUP($P179&amp;" | "&amp;AN$6,'Job Master'!$F$12:$I$102,4,0)-1),""),"")</f>
        <v/>
      </c>
      <c r="AQ179" s="73"/>
      <c r="AR179" s="123" t="str">
        <f t="shared" si="273"/>
        <v/>
      </c>
      <c r="AS179" s="123" t="str">
        <f t="shared" si="274"/>
        <v/>
      </c>
      <c r="AT179" s="97" t="str">
        <f t="shared" ca="1" si="275"/>
        <v/>
      </c>
      <c r="AU179" s="98" t="str">
        <f>IF(AW179&lt;&gt;"",VLOOKUP($P179&amp;" | "&amp;AU$6,'Job Master'!$F$12:$J$102,5,0),"")</f>
        <v/>
      </c>
      <c r="AV179" s="19" t="str">
        <f>IF(AW179&lt;&gt;"",VLOOKUP($P179&amp;" | "&amp;AU$6,'Job Master'!$F$12:$J$102,3,0),"")</f>
        <v/>
      </c>
      <c r="AW179" s="19" t="str">
        <f>IFERROR(IF(AND(BD179&lt;&gt;"",VLOOKUP($P179&amp;" | "&amp;AU$6,'Job Master'!$F$12:$I$102,4,0)&lt;&gt;""),IF(WEEKDAY(BD179-VLOOKUP($P179&amp;" | "&amp;AU$6,'Job Master'!$F$12:$I$102,4,0))&lt;&gt;7,BD179-VLOOKUP($P179&amp;" | "&amp;AU$6,'Job Master'!$F$12:$I$102,4,0),BD179-VLOOKUP($P179&amp;" | "&amp;AU$6,'Job Master'!$F$12:$I$102,4,0)-1),""),"")</f>
        <v/>
      </c>
      <c r="AX179" s="73"/>
      <c r="AY179" s="123" t="str">
        <f t="shared" si="276"/>
        <v/>
      </c>
      <c r="AZ179" s="123" t="str">
        <f t="shared" si="277"/>
        <v/>
      </c>
      <c r="BA179" s="97" t="str">
        <f t="shared" ca="1" si="278"/>
        <v/>
      </c>
      <c r="BB179" s="98" t="str">
        <f>IF(BD179&lt;&gt;"",VLOOKUP($P179&amp;" | "&amp;BB$6,'Job Master'!$F$12:$J$102,5,0),"")</f>
        <v/>
      </c>
      <c r="BC179" s="19" t="str">
        <f>IF(BD179&lt;&gt;"",VLOOKUP($P179&amp;" | "&amp;BB$6,'Job Master'!$F$12:$J$102,3,0),"")</f>
        <v/>
      </c>
      <c r="BD179" s="19" t="str">
        <f>IFERROR(IF(AND(BK179&lt;&gt;"",VLOOKUP($P179&amp;" | "&amp;BB$6,'Job Master'!$F$12:$I$102,4,0)&lt;&gt;""),IF(WEEKDAY(BK179-VLOOKUP($P179&amp;" | "&amp;BB$6,'Job Master'!$F$12:$I$102,4,0))&lt;&gt;7,BK179-VLOOKUP($P179&amp;" | "&amp;BB$6,'Job Master'!$F$12:$I$102,4,0),BK179-VLOOKUP($P179&amp;" | "&amp;BB$6,'Job Master'!$F$12:$I$102,4,0)-1),""),"")</f>
        <v/>
      </c>
      <c r="BE179" s="73"/>
      <c r="BF179" s="123" t="str">
        <f t="shared" si="279"/>
        <v/>
      </c>
      <c r="BG179" s="123" t="str">
        <f t="shared" si="280"/>
        <v/>
      </c>
      <c r="BH179" s="97" t="str">
        <f t="shared" ca="1" si="281"/>
        <v/>
      </c>
      <c r="BI179" s="98" t="str">
        <f>IF(BK179&lt;&gt;"",VLOOKUP($P179&amp;" | "&amp;BI$6,'Job Master'!$F$12:$J$102,5,0),"")</f>
        <v/>
      </c>
      <c r="BJ179" s="19" t="str">
        <f>IF(BK179&lt;&gt;"",VLOOKUP($P179&amp;" | "&amp;BI$6,'Job Master'!$F$12:$J$102,3,0),"")</f>
        <v/>
      </c>
      <c r="BK179" s="19" t="str">
        <f>IFERROR(IF(AND(BR179&lt;&gt;"",VLOOKUP($P179&amp;" | "&amp;BI$6,'Job Master'!$F$12:$I$102,4,0)&lt;&gt;""),IF(WEEKDAY(BR179-VLOOKUP($P179&amp;" | "&amp;BI$6,'Job Master'!$F$12:$I$102,4,0))&lt;&gt;7,BR179-VLOOKUP($P179&amp;" | "&amp;BI$6,'Job Master'!$F$12:$I$102,4,0),BR179-VLOOKUP($P179&amp;" | "&amp;BI$6,'Job Master'!$F$12:$I$102,4,0)-1),""),"")</f>
        <v/>
      </c>
      <c r="BL179" s="73"/>
      <c r="BM179" s="123" t="str">
        <f t="shared" si="282"/>
        <v/>
      </c>
      <c r="BN179" s="123" t="str">
        <f t="shared" si="283"/>
        <v/>
      </c>
      <c r="BO179" s="97" t="str">
        <f t="shared" ca="1" si="284"/>
        <v/>
      </c>
      <c r="BP179" s="98" t="str">
        <f>IF(BR179&lt;&gt;"",VLOOKUP($P179&amp;" | "&amp;BP$6,'Job Master'!$F$12:$J$102,5,0),"")</f>
        <v/>
      </c>
      <c r="BQ179" s="19" t="str">
        <f>IF(BR179&lt;&gt;"",VLOOKUP($P179&amp;" | "&amp;BP$6,'Job Master'!$F$12:$J$102,3,0),"")</f>
        <v/>
      </c>
      <c r="BR179" s="19" t="str">
        <f>IFERROR(IF(AND(BY179&lt;&gt;"",VLOOKUP($P179&amp;" | "&amp;BP$6,'Job Master'!$F$12:$I$102,4,0)&lt;&gt;""),IF(WEEKDAY(BY179-VLOOKUP($P179&amp;" | "&amp;BP$6,'Job Master'!$F$12:$I$102,4,0))&lt;&gt;7,BY179-VLOOKUP($P179&amp;" | "&amp;BP$6,'Job Master'!$F$12:$I$102,4,0),BY179-VLOOKUP($P179&amp;" | "&amp;BP$6,'Job Master'!$F$12:$I$102,4,0)-1),""),"")</f>
        <v/>
      </c>
      <c r="BS179" s="73"/>
      <c r="BT179" s="123" t="str">
        <f t="shared" si="285"/>
        <v/>
      </c>
      <c r="BU179" s="123" t="str">
        <f t="shared" si="286"/>
        <v/>
      </c>
      <c r="BV179" s="97" t="str">
        <f t="shared" ca="1" si="287"/>
        <v/>
      </c>
      <c r="BW179" s="98" t="str">
        <f>IF(BY179&lt;&gt;"",VLOOKUP($P179&amp;" | "&amp;BW$6,'Job Master'!$F$12:$J$102,5,0),"")</f>
        <v/>
      </c>
      <c r="BX179" s="19" t="str">
        <f>IF(BY179&lt;&gt;"",VLOOKUP($P179&amp;" | "&amp;BW$6,'Job Master'!$F$12:$J$102,3,0),"")</f>
        <v/>
      </c>
      <c r="BY179" s="19" t="str">
        <f>IFERROR(IF(AND(CF179&lt;&gt;"",VLOOKUP($P179&amp;" | "&amp;BW$6,'Job Master'!$F$12:$I$102,4,0)&lt;&gt;""),IF(WEEKDAY(CF179-VLOOKUP($P179&amp;" | "&amp;BW$6,'Job Master'!$F$12:$I$102,4,0))&lt;&gt;7,CF179-VLOOKUP($P179&amp;" | "&amp;BW$6,'Job Master'!$F$12:$I$102,4,0),CF179-VLOOKUP($P179&amp;" | "&amp;BW$6,'Job Master'!$F$12:$I$102,4,0)-1),""),"")</f>
        <v/>
      </c>
      <c r="BZ179" s="73"/>
      <c r="CA179" s="123" t="str">
        <f t="shared" si="288"/>
        <v/>
      </c>
      <c r="CB179" s="123" t="str">
        <f t="shared" si="289"/>
        <v/>
      </c>
      <c r="CC179" s="97" t="str">
        <f t="shared" ca="1" si="290"/>
        <v/>
      </c>
      <c r="CD179" s="98" t="str">
        <f>IF(CF179&lt;&gt;"",VLOOKUP($P179&amp;" | "&amp;CD$6,'Job Master'!$F$12:$J$102,5,0),"")</f>
        <v/>
      </c>
      <c r="CE179" s="19" t="str">
        <f>IF(CF179&lt;&gt;"",VLOOKUP($P179&amp;" | "&amp;CD$6,'Job Master'!$F$12:$J$102,3,0),"")</f>
        <v/>
      </c>
      <c r="CF179" s="19" t="str">
        <f>IFERROR(IF(AND(CM179&lt;&gt;"",VLOOKUP($P179&amp;" | "&amp;CD$6,'Job Master'!$F$12:$I$102,4,0)&lt;&gt;""),IF(WEEKDAY(CM179-VLOOKUP($P179&amp;" | "&amp;CD$6,'Job Master'!$F$12:$I$102,4,0))&lt;&gt;7,CM179-VLOOKUP($P179&amp;" | "&amp;CD$6,'Job Master'!$F$12:$I$102,4,0),CM179-VLOOKUP($P179&amp;" | "&amp;CD$6,'Job Master'!$F$12:$I$102,4,0)-1),""),"")</f>
        <v/>
      </c>
      <c r="CG179" s="73"/>
      <c r="CH179" s="123" t="str">
        <f t="shared" si="291"/>
        <v/>
      </c>
      <c r="CI179" s="123" t="str">
        <f t="shared" si="292"/>
        <v/>
      </c>
      <c r="CJ179" s="97" t="str">
        <f t="shared" ca="1" si="293"/>
        <v/>
      </c>
      <c r="CK179" s="98" t="str">
        <f>IF(CM179&lt;&gt;"",VLOOKUP($P179&amp;" | "&amp;CK$6,'Job Master'!$F$12:$J$102,5,0),"")</f>
        <v/>
      </c>
      <c r="CL179" s="19" t="str">
        <f>IF(CM179&lt;&gt;"",VLOOKUP($P179&amp;" | "&amp;CK$6,'Job Master'!$F$12:$J$102,3,0),"")</f>
        <v/>
      </c>
      <c r="CM179" s="19" t="str">
        <f>IFERROR(IF(AND(CT179&lt;&gt;"",VLOOKUP($P179&amp;" | "&amp;CK$6,'Job Master'!$F$12:$I$102,4,0)&lt;&gt;""),IF(WEEKDAY(CT179-VLOOKUP($P179&amp;" | "&amp;CK$6,'Job Master'!$F$12:$I$102,4,0))&lt;&gt;7,CT179-VLOOKUP($P179&amp;" | "&amp;CK$6,'Job Master'!$F$12:$I$102,4,0),CT179-VLOOKUP($P179&amp;" | "&amp;CK$6,'Job Master'!$F$12:$I$102,4,0)-1),""),"")</f>
        <v/>
      </c>
      <c r="CN179" s="73"/>
      <c r="CO179" s="123" t="str">
        <f t="shared" si="294"/>
        <v/>
      </c>
      <c r="CP179" s="123" t="str">
        <f t="shared" si="295"/>
        <v/>
      </c>
      <c r="CQ179" s="97" t="str">
        <f t="shared" ca="1" si="296"/>
        <v/>
      </c>
      <c r="CR179" s="98" t="str">
        <f>IF(CT179&lt;&gt;"",VLOOKUP($P179&amp;" | "&amp;CR$6,'Job Master'!$F$12:$J$102,5,0),"")</f>
        <v/>
      </c>
      <c r="CS179" s="19" t="str">
        <f>IF(CT179&lt;&gt;"",VLOOKUP($P179&amp;" | "&amp;CR$6,'Job Master'!$F$12:$J$102,3,0),"")</f>
        <v/>
      </c>
      <c r="CT179" s="19" t="str">
        <f>IFERROR(IF(AND(DA179&lt;&gt;"",VLOOKUP($P179&amp;" | "&amp;CR$6,'Job Master'!$F$12:$I$102,4,0)&lt;&gt;""),IF(WEEKDAY(DA179-VLOOKUP($P179&amp;" | "&amp;CR$6,'Job Master'!$F$12:$I$102,4,0))&lt;&gt;7,DA179-VLOOKUP($P179&amp;" | "&amp;CR$6,'Job Master'!$F$12:$I$102,4,0),DA179-VLOOKUP($P179&amp;" | "&amp;CR$6,'Job Master'!$F$12:$I$102,4,0)-1),""),"")</f>
        <v/>
      </c>
      <c r="CU179" s="73"/>
      <c r="CV179" s="123" t="str">
        <f t="shared" si="297"/>
        <v/>
      </c>
      <c r="CW179" s="123" t="str">
        <f t="shared" si="298"/>
        <v/>
      </c>
      <c r="CX179" s="97" t="str">
        <f t="shared" ca="1" si="299"/>
        <v/>
      </c>
      <c r="CY179" s="98" t="str">
        <f>IF(DA179&lt;&gt;"",VLOOKUP($P179&amp;" | "&amp;CY$6,'Job Master'!$F$12:$J$102,5,0),"")</f>
        <v/>
      </c>
      <c r="CZ179" s="19" t="str">
        <f>IF(DA179&lt;&gt;"",VLOOKUP($P179&amp;" | "&amp;CY$6,'Job Master'!$F$12:$J$102,3,0),"")</f>
        <v/>
      </c>
      <c r="DA179" s="19" t="str">
        <f>IFERROR(IF(AND(DH179&lt;&gt;"",VLOOKUP($P179&amp;" | "&amp;CY$6,'Job Master'!$F$12:$I$102,4,0)&lt;&gt;""),IF(WEEKDAY(DH179-VLOOKUP($P179&amp;" | "&amp;CY$6,'Job Master'!$F$12:$I$102,4,0))&lt;&gt;7,DH179-VLOOKUP($P179&amp;" | "&amp;CY$6,'Job Master'!$F$12:$I$102,4,0),DH179-VLOOKUP($P179&amp;" | "&amp;CY$6,'Job Master'!$F$12:$I$102,4,0)-1),""),"")</f>
        <v/>
      </c>
      <c r="DB179" s="73"/>
      <c r="DC179" s="123" t="str">
        <f t="shared" si="300"/>
        <v/>
      </c>
      <c r="DD179" s="123" t="str">
        <f t="shared" si="301"/>
        <v/>
      </c>
      <c r="DE179" s="97" t="str">
        <f t="shared" ca="1" si="302"/>
        <v/>
      </c>
      <c r="DF179" s="98" t="str">
        <f>IF(DH179&lt;&gt;"",VLOOKUP($P179&amp;" | "&amp;DF$6,'Job Master'!$F$12:$J$102,5,0),"")</f>
        <v/>
      </c>
      <c r="DG179" s="19" t="str">
        <f>IF(DH179&lt;&gt;"",VLOOKUP($P179&amp;" | "&amp;DF$6,'Job Master'!$F$12:$J$102,3,0),"")</f>
        <v/>
      </c>
      <c r="DH179" s="19" t="str">
        <f>IFERROR(IF(AND(DO179&lt;&gt;"",VLOOKUP($P179&amp;" | "&amp;DF$6,'Job Master'!$F$12:$I$102,4,0)&lt;&gt;""),IF(WEEKDAY(DO179-VLOOKUP($P179&amp;" | "&amp;DF$6,'Job Master'!$F$12:$I$102,4,0))&lt;&gt;7,DO179-VLOOKUP($P179&amp;" | "&amp;DF$6,'Job Master'!$F$12:$I$102,4,0),DO179-VLOOKUP($P179&amp;" | "&amp;DF$6,'Job Master'!$F$12:$I$102,4,0)-1),""),"")</f>
        <v/>
      </c>
      <c r="DI179" s="73"/>
      <c r="DJ179" s="123" t="str">
        <f t="shared" si="303"/>
        <v/>
      </c>
      <c r="DK179" s="123" t="str">
        <f t="shared" si="304"/>
        <v/>
      </c>
      <c r="DL179" s="97" t="str">
        <f t="shared" ca="1" si="305"/>
        <v/>
      </c>
      <c r="DM179" s="98" t="str">
        <f>IF(DO179&lt;&gt;"",VLOOKUP($P179&amp;" | "&amp;DM$6,'Job Master'!$F$12:$J$102,5,0),"")</f>
        <v/>
      </c>
      <c r="DN179" s="19" t="str">
        <f>IF(DO179&lt;&gt;"",VLOOKUP($P179&amp;" | "&amp;DM$6,'Job Master'!$F$12:$J$102,3,0),"")</f>
        <v/>
      </c>
      <c r="DO179" s="19" t="str">
        <f>IFERROR(IF(AND(DT179&lt;&gt;"",VLOOKUP($P179&amp;" | "&amp;DM$6,'Job Master'!$F$12:$I$102,4,0)&lt;&gt;""),IF(WEEKDAY(DT179-VLOOKUP($P179&amp;" | "&amp;DM$6,'Job Master'!$F$12:$I$102,4,0))&lt;&gt;7,DT179-VLOOKUP($P179&amp;" | "&amp;DM$6,'Job Master'!$F$12:$I$102,4,0),DT179-VLOOKUP($P179&amp;" | "&amp;DM$6,'Job Master'!$F$12:$I$102,4,0)-1),""),"")</f>
        <v/>
      </c>
      <c r="DP179" s="73"/>
      <c r="DQ179" s="123" t="str">
        <f t="shared" si="306"/>
        <v/>
      </c>
      <c r="DR179" s="123" t="str">
        <f t="shared" si="307"/>
        <v/>
      </c>
      <c r="DS179" s="97" t="str">
        <f t="shared" ca="1" si="308"/>
        <v/>
      </c>
      <c r="DT179" s="70" t="str">
        <f t="shared" si="309"/>
        <v/>
      </c>
      <c r="DU179" s="90"/>
      <c r="DV179" s="123" t="str">
        <f t="shared" si="310"/>
        <v/>
      </c>
      <c r="DW179" s="123" t="str">
        <f t="shared" si="311"/>
        <v/>
      </c>
      <c r="DX179" s="132" t="str">
        <f t="shared" ref="DX179" ca="1" si="364">IF(DT179&lt;&gt;"",IF(WEEKNUM(DT179)=WEEKNUM(TODAY()),"This Week",IF(WEEKNUM(DT179)=WEEKNUM(TODAY())+1,"Next Week",IF(WEEKNUM(DT179)=WEEKNUM(TODAY())-1,"Previous Week",""))),"")</f>
        <v/>
      </c>
      <c r="DY179" s="134" t="str">
        <f t="shared" si="313"/>
        <v/>
      </c>
      <c r="DZ179" s="95"/>
      <c r="EB179" s="8" t="str">
        <f t="shared" si="319"/>
        <v/>
      </c>
      <c r="EC179" s="8" t="str">
        <f>IF(O179&lt;&gt;"",VLOOKUP(O179,'Job Master'!$N$12:$O$18,2,0),"")</f>
        <v/>
      </c>
      <c r="ED179" s="8">
        <f t="shared" si="320"/>
        <v>19.5</v>
      </c>
      <c r="EE179" s="8">
        <f t="shared" si="321"/>
        <v>6</v>
      </c>
      <c r="EF179" s="8">
        <f t="shared" si="322"/>
        <v>-994.5</v>
      </c>
      <c r="EG179" s="8" t="str">
        <f t="shared" si="323"/>
        <v/>
      </c>
      <c r="EH179" s="8" t="str">
        <f t="shared" si="324"/>
        <v/>
      </c>
    </row>
    <row r="180" spans="2:138" x14ac:dyDescent="0.3">
      <c r="B180" s="112"/>
      <c r="C180" s="27"/>
      <c r="D180" s="7" t="str">
        <f t="shared" si="261"/>
        <v/>
      </c>
      <c r="E180" s="25"/>
      <c r="F180" s="7" t="str">
        <f t="shared" si="261"/>
        <v/>
      </c>
      <c r="G180" s="25"/>
      <c r="H180" s="7" t="str">
        <f t="shared" si="261"/>
        <v/>
      </c>
      <c r="I180" s="25"/>
      <c r="J180" s="7" t="str">
        <f t="shared" si="261"/>
        <v/>
      </c>
      <c r="K180" s="25"/>
      <c r="L180" s="7" t="str">
        <f t="shared" si="262"/>
        <v/>
      </c>
      <c r="M180" s="25"/>
      <c r="N180" s="7" t="str">
        <f t="shared" si="263"/>
        <v/>
      </c>
      <c r="O180" s="81"/>
      <c r="P180" s="81" t="str">
        <f t="shared" si="264"/>
        <v/>
      </c>
      <c r="Q180" s="81"/>
      <c r="R180" s="7" t="str">
        <f t="shared" si="265"/>
        <v/>
      </c>
      <c r="S180" s="25"/>
      <c r="T180" s="7" t="str">
        <f t="shared" si="266"/>
        <v/>
      </c>
      <c r="U180" s="25"/>
      <c r="V180" s="7" t="str">
        <f t="shared" si="267"/>
        <v/>
      </c>
      <c r="W180" s="25"/>
      <c r="X180" s="7" t="str">
        <f t="shared" si="268"/>
        <v/>
      </c>
      <c r="Y180" s="18" t="str">
        <f t="shared" si="269"/>
        <v/>
      </c>
      <c r="Z180" s="7" t="str">
        <f t="shared" si="270"/>
        <v/>
      </c>
      <c r="AA180" s="18" t="str">
        <f t="shared" si="271"/>
        <v/>
      </c>
      <c r="AB180" s="19" t="str">
        <f t="shared" si="272"/>
        <v/>
      </c>
      <c r="AC180" s="26"/>
      <c r="AD180" s="26"/>
      <c r="AE180" s="25"/>
      <c r="AF180" s="26"/>
      <c r="AG180" s="25"/>
      <c r="AH180" s="25"/>
      <c r="AI180" s="18" t="str">
        <f t="shared" si="335"/>
        <v/>
      </c>
      <c r="AJ180" s="25"/>
      <c r="AK180" s="18" t="str">
        <f t="shared" si="336"/>
        <v/>
      </c>
      <c r="AL180" s="79"/>
      <c r="AM180" s="126" t="str">
        <f t="shared" si="337"/>
        <v/>
      </c>
      <c r="AN180" s="128" t="str">
        <f>IF(AP180&lt;&gt;"",VLOOKUP($P180&amp;" | "&amp;AN$6,'Job Master'!$F$12:$J$102,5,0),"")</f>
        <v/>
      </c>
      <c r="AO180" s="19" t="str">
        <f>IF(AP180&lt;&gt;"",VLOOKUP($P180&amp;" | "&amp;AN$6,'Job Master'!$F$12:$J$102,3,0),"")</f>
        <v/>
      </c>
      <c r="AP180" s="19" t="str">
        <f>IFERROR(IF(AND(AW180&lt;&gt;"",VLOOKUP($P180&amp;" | "&amp;AN$6,'Job Master'!$F$12:$I$102,4,0)&lt;&gt;""),IF(WEEKDAY(AW180-VLOOKUP($P180&amp;" | "&amp;AN$6,'Job Master'!$F$12:$I$102,4,0))&lt;&gt;7,AW180-VLOOKUP($P180&amp;" | "&amp;AN$6,'Job Master'!$F$12:$I$102,4,0),AW180-VLOOKUP($P180&amp;" | "&amp;AN$6,'Job Master'!$F$12:$I$102,4,0)-1),""),"")</f>
        <v/>
      </c>
      <c r="AQ180" s="73"/>
      <c r="AR180" s="123" t="str">
        <f t="shared" si="273"/>
        <v/>
      </c>
      <c r="AS180" s="123" t="str">
        <f t="shared" si="274"/>
        <v/>
      </c>
      <c r="AT180" s="97" t="str">
        <f t="shared" ca="1" si="275"/>
        <v/>
      </c>
      <c r="AU180" s="98" t="str">
        <f>IF(AW180&lt;&gt;"",VLOOKUP($P180&amp;" | "&amp;AU$6,'Job Master'!$F$12:$J$102,5,0),"")</f>
        <v/>
      </c>
      <c r="AV180" s="19" t="str">
        <f>IF(AW180&lt;&gt;"",VLOOKUP($P180&amp;" | "&amp;AU$6,'Job Master'!$F$12:$J$102,3,0),"")</f>
        <v/>
      </c>
      <c r="AW180" s="19" t="str">
        <f>IFERROR(IF(AND(BD180&lt;&gt;"",VLOOKUP($P180&amp;" | "&amp;AU$6,'Job Master'!$F$12:$I$102,4,0)&lt;&gt;""),IF(WEEKDAY(BD180-VLOOKUP($P180&amp;" | "&amp;AU$6,'Job Master'!$F$12:$I$102,4,0))&lt;&gt;7,BD180-VLOOKUP($P180&amp;" | "&amp;AU$6,'Job Master'!$F$12:$I$102,4,0),BD180-VLOOKUP($P180&amp;" | "&amp;AU$6,'Job Master'!$F$12:$I$102,4,0)-1),""),"")</f>
        <v/>
      </c>
      <c r="AX180" s="73"/>
      <c r="AY180" s="123" t="str">
        <f t="shared" si="276"/>
        <v/>
      </c>
      <c r="AZ180" s="123" t="str">
        <f t="shared" si="277"/>
        <v/>
      </c>
      <c r="BA180" s="97" t="str">
        <f t="shared" ca="1" si="278"/>
        <v/>
      </c>
      <c r="BB180" s="98" t="str">
        <f>IF(BD180&lt;&gt;"",VLOOKUP($P180&amp;" | "&amp;BB$6,'Job Master'!$F$12:$J$102,5,0),"")</f>
        <v/>
      </c>
      <c r="BC180" s="19" t="str">
        <f>IF(BD180&lt;&gt;"",VLOOKUP($P180&amp;" | "&amp;BB$6,'Job Master'!$F$12:$J$102,3,0),"")</f>
        <v/>
      </c>
      <c r="BD180" s="19" t="str">
        <f>IFERROR(IF(AND(BK180&lt;&gt;"",VLOOKUP($P180&amp;" | "&amp;BB$6,'Job Master'!$F$12:$I$102,4,0)&lt;&gt;""),IF(WEEKDAY(BK180-VLOOKUP($P180&amp;" | "&amp;BB$6,'Job Master'!$F$12:$I$102,4,0))&lt;&gt;7,BK180-VLOOKUP($P180&amp;" | "&amp;BB$6,'Job Master'!$F$12:$I$102,4,0),BK180-VLOOKUP($P180&amp;" | "&amp;BB$6,'Job Master'!$F$12:$I$102,4,0)-1),""),"")</f>
        <v/>
      </c>
      <c r="BE180" s="73"/>
      <c r="BF180" s="123" t="str">
        <f t="shared" si="279"/>
        <v/>
      </c>
      <c r="BG180" s="123" t="str">
        <f t="shared" si="280"/>
        <v/>
      </c>
      <c r="BH180" s="97" t="str">
        <f t="shared" ca="1" si="281"/>
        <v/>
      </c>
      <c r="BI180" s="98" t="str">
        <f>IF(BK180&lt;&gt;"",VLOOKUP($P180&amp;" | "&amp;BI$6,'Job Master'!$F$12:$J$102,5,0),"")</f>
        <v/>
      </c>
      <c r="BJ180" s="19" t="str">
        <f>IF(BK180&lt;&gt;"",VLOOKUP($P180&amp;" | "&amp;BI$6,'Job Master'!$F$12:$J$102,3,0),"")</f>
        <v/>
      </c>
      <c r="BK180" s="19" t="str">
        <f>IFERROR(IF(AND(BR180&lt;&gt;"",VLOOKUP($P180&amp;" | "&amp;BI$6,'Job Master'!$F$12:$I$102,4,0)&lt;&gt;""),IF(WEEKDAY(BR180-VLOOKUP($P180&amp;" | "&amp;BI$6,'Job Master'!$F$12:$I$102,4,0))&lt;&gt;7,BR180-VLOOKUP($P180&amp;" | "&amp;BI$6,'Job Master'!$F$12:$I$102,4,0),BR180-VLOOKUP($P180&amp;" | "&amp;BI$6,'Job Master'!$F$12:$I$102,4,0)-1),""),"")</f>
        <v/>
      </c>
      <c r="BL180" s="73"/>
      <c r="BM180" s="123" t="str">
        <f t="shared" si="282"/>
        <v/>
      </c>
      <c r="BN180" s="123" t="str">
        <f t="shared" si="283"/>
        <v/>
      </c>
      <c r="BO180" s="97" t="str">
        <f t="shared" ca="1" si="284"/>
        <v/>
      </c>
      <c r="BP180" s="98" t="str">
        <f>IF(BR180&lt;&gt;"",VLOOKUP($P180&amp;" | "&amp;BP$6,'Job Master'!$F$12:$J$102,5,0),"")</f>
        <v/>
      </c>
      <c r="BQ180" s="19" t="str">
        <f>IF(BR180&lt;&gt;"",VLOOKUP($P180&amp;" | "&amp;BP$6,'Job Master'!$F$12:$J$102,3,0),"")</f>
        <v/>
      </c>
      <c r="BR180" s="19" t="str">
        <f>IFERROR(IF(AND(BY180&lt;&gt;"",VLOOKUP($P180&amp;" | "&amp;BP$6,'Job Master'!$F$12:$I$102,4,0)&lt;&gt;""),IF(WEEKDAY(BY180-VLOOKUP($P180&amp;" | "&amp;BP$6,'Job Master'!$F$12:$I$102,4,0))&lt;&gt;7,BY180-VLOOKUP($P180&amp;" | "&amp;BP$6,'Job Master'!$F$12:$I$102,4,0),BY180-VLOOKUP($P180&amp;" | "&amp;BP$6,'Job Master'!$F$12:$I$102,4,0)-1),""),"")</f>
        <v/>
      </c>
      <c r="BS180" s="73"/>
      <c r="BT180" s="123" t="str">
        <f t="shared" si="285"/>
        <v/>
      </c>
      <c r="BU180" s="123" t="str">
        <f t="shared" si="286"/>
        <v/>
      </c>
      <c r="BV180" s="97" t="str">
        <f t="shared" ca="1" si="287"/>
        <v/>
      </c>
      <c r="BW180" s="98" t="str">
        <f>IF(BY180&lt;&gt;"",VLOOKUP($P180&amp;" | "&amp;BW$6,'Job Master'!$F$12:$J$102,5,0),"")</f>
        <v/>
      </c>
      <c r="BX180" s="19" t="str">
        <f>IF(BY180&lt;&gt;"",VLOOKUP($P180&amp;" | "&amp;BW$6,'Job Master'!$F$12:$J$102,3,0),"")</f>
        <v/>
      </c>
      <c r="BY180" s="19" t="str">
        <f>IFERROR(IF(AND(CF180&lt;&gt;"",VLOOKUP($P180&amp;" | "&amp;BW$6,'Job Master'!$F$12:$I$102,4,0)&lt;&gt;""),IF(WEEKDAY(CF180-VLOOKUP($P180&amp;" | "&amp;BW$6,'Job Master'!$F$12:$I$102,4,0))&lt;&gt;7,CF180-VLOOKUP($P180&amp;" | "&amp;BW$6,'Job Master'!$F$12:$I$102,4,0),CF180-VLOOKUP($P180&amp;" | "&amp;BW$6,'Job Master'!$F$12:$I$102,4,0)-1),""),"")</f>
        <v/>
      </c>
      <c r="BZ180" s="73"/>
      <c r="CA180" s="123" t="str">
        <f t="shared" si="288"/>
        <v/>
      </c>
      <c r="CB180" s="123" t="str">
        <f t="shared" si="289"/>
        <v/>
      </c>
      <c r="CC180" s="97" t="str">
        <f t="shared" ca="1" si="290"/>
        <v/>
      </c>
      <c r="CD180" s="98" t="str">
        <f>IF(CF180&lt;&gt;"",VLOOKUP($P180&amp;" | "&amp;CD$6,'Job Master'!$F$12:$J$102,5,0),"")</f>
        <v/>
      </c>
      <c r="CE180" s="19" t="str">
        <f>IF(CF180&lt;&gt;"",VLOOKUP($P180&amp;" | "&amp;CD$6,'Job Master'!$F$12:$J$102,3,0),"")</f>
        <v/>
      </c>
      <c r="CF180" s="19" t="str">
        <f>IFERROR(IF(AND(CM180&lt;&gt;"",VLOOKUP($P180&amp;" | "&amp;CD$6,'Job Master'!$F$12:$I$102,4,0)&lt;&gt;""),IF(WEEKDAY(CM180-VLOOKUP($P180&amp;" | "&amp;CD$6,'Job Master'!$F$12:$I$102,4,0))&lt;&gt;7,CM180-VLOOKUP($P180&amp;" | "&amp;CD$6,'Job Master'!$F$12:$I$102,4,0),CM180-VLOOKUP($P180&amp;" | "&amp;CD$6,'Job Master'!$F$12:$I$102,4,0)-1),""),"")</f>
        <v/>
      </c>
      <c r="CG180" s="73"/>
      <c r="CH180" s="123" t="str">
        <f t="shared" si="291"/>
        <v/>
      </c>
      <c r="CI180" s="123" t="str">
        <f t="shared" si="292"/>
        <v/>
      </c>
      <c r="CJ180" s="97" t="str">
        <f t="shared" ca="1" si="293"/>
        <v/>
      </c>
      <c r="CK180" s="98" t="str">
        <f>IF(CM180&lt;&gt;"",VLOOKUP($P180&amp;" | "&amp;CK$6,'Job Master'!$F$12:$J$102,5,0),"")</f>
        <v/>
      </c>
      <c r="CL180" s="19" t="str">
        <f>IF(CM180&lt;&gt;"",VLOOKUP($P180&amp;" | "&amp;CK$6,'Job Master'!$F$12:$J$102,3,0),"")</f>
        <v/>
      </c>
      <c r="CM180" s="19" t="str">
        <f>IFERROR(IF(AND(CT180&lt;&gt;"",VLOOKUP($P180&amp;" | "&amp;CK$6,'Job Master'!$F$12:$I$102,4,0)&lt;&gt;""),IF(WEEKDAY(CT180-VLOOKUP($P180&amp;" | "&amp;CK$6,'Job Master'!$F$12:$I$102,4,0))&lt;&gt;7,CT180-VLOOKUP($P180&amp;" | "&amp;CK$6,'Job Master'!$F$12:$I$102,4,0),CT180-VLOOKUP($P180&amp;" | "&amp;CK$6,'Job Master'!$F$12:$I$102,4,0)-1),""),"")</f>
        <v/>
      </c>
      <c r="CN180" s="73"/>
      <c r="CO180" s="123" t="str">
        <f t="shared" si="294"/>
        <v/>
      </c>
      <c r="CP180" s="123" t="str">
        <f t="shared" si="295"/>
        <v/>
      </c>
      <c r="CQ180" s="97" t="str">
        <f t="shared" ca="1" si="296"/>
        <v/>
      </c>
      <c r="CR180" s="98" t="str">
        <f>IF(CT180&lt;&gt;"",VLOOKUP($P180&amp;" | "&amp;CR$6,'Job Master'!$F$12:$J$102,5,0),"")</f>
        <v/>
      </c>
      <c r="CS180" s="19" t="str">
        <f>IF(CT180&lt;&gt;"",VLOOKUP($P180&amp;" | "&amp;CR$6,'Job Master'!$F$12:$J$102,3,0),"")</f>
        <v/>
      </c>
      <c r="CT180" s="19" t="str">
        <f>IFERROR(IF(AND(DA180&lt;&gt;"",VLOOKUP($P180&amp;" | "&amp;CR$6,'Job Master'!$F$12:$I$102,4,0)&lt;&gt;""),IF(WEEKDAY(DA180-VLOOKUP($P180&amp;" | "&amp;CR$6,'Job Master'!$F$12:$I$102,4,0))&lt;&gt;7,DA180-VLOOKUP($P180&amp;" | "&amp;CR$6,'Job Master'!$F$12:$I$102,4,0),DA180-VLOOKUP($P180&amp;" | "&amp;CR$6,'Job Master'!$F$12:$I$102,4,0)-1),""),"")</f>
        <v/>
      </c>
      <c r="CU180" s="73"/>
      <c r="CV180" s="123" t="str">
        <f t="shared" si="297"/>
        <v/>
      </c>
      <c r="CW180" s="123" t="str">
        <f t="shared" si="298"/>
        <v/>
      </c>
      <c r="CX180" s="97" t="str">
        <f t="shared" ca="1" si="299"/>
        <v/>
      </c>
      <c r="CY180" s="98" t="str">
        <f>IF(DA180&lt;&gt;"",VLOOKUP($P180&amp;" | "&amp;CY$6,'Job Master'!$F$12:$J$102,5,0),"")</f>
        <v/>
      </c>
      <c r="CZ180" s="19" t="str">
        <f>IF(DA180&lt;&gt;"",VLOOKUP($P180&amp;" | "&amp;CY$6,'Job Master'!$F$12:$J$102,3,0),"")</f>
        <v/>
      </c>
      <c r="DA180" s="19" t="str">
        <f>IFERROR(IF(AND(DH180&lt;&gt;"",VLOOKUP($P180&amp;" | "&amp;CY$6,'Job Master'!$F$12:$I$102,4,0)&lt;&gt;""),IF(WEEKDAY(DH180-VLOOKUP($P180&amp;" | "&amp;CY$6,'Job Master'!$F$12:$I$102,4,0))&lt;&gt;7,DH180-VLOOKUP($P180&amp;" | "&amp;CY$6,'Job Master'!$F$12:$I$102,4,0),DH180-VLOOKUP($P180&amp;" | "&amp;CY$6,'Job Master'!$F$12:$I$102,4,0)-1),""),"")</f>
        <v/>
      </c>
      <c r="DB180" s="73"/>
      <c r="DC180" s="123" t="str">
        <f t="shared" si="300"/>
        <v/>
      </c>
      <c r="DD180" s="123" t="str">
        <f t="shared" si="301"/>
        <v/>
      </c>
      <c r="DE180" s="97" t="str">
        <f t="shared" ca="1" si="302"/>
        <v/>
      </c>
      <c r="DF180" s="98" t="str">
        <f>IF(DH180&lt;&gt;"",VLOOKUP($P180&amp;" | "&amp;DF$6,'Job Master'!$F$12:$J$102,5,0),"")</f>
        <v/>
      </c>
      <c r="DG180" s="19" t="str">
        <f>IF(DH180&lt;&gt;"",VLOOKUP($P180&amp;" | "&amp;DF$6,'Job Master'!$F$12:$J$102,3,0),"")</f>
        <v/>
      </c>
      <c r="DH180" s="19" t="str">
        <f>IFERROR(IF(AND(DO180&lt;&gt;"",VLOOKUP($P180&amp;" | "&amp;DF$6,'Job Master'!$F$12:$I$102,4,0)&lt;&gt;""),IF(WEEKDAY(DO180-VLOOKUP($P180&amp;" | "&amp;DF$6,'Job Master'!$F$12:$I$102,4,0))&lt;&gt;7,DO180-VLOOKUP($P180&amp;" | "&amp;DF$6,'Job Master'!$F$12:$I$102,4,0),DO180-VLOOKUP($P180&amp;" | "&amp;DF$6,'Job Master'!$F$12:$I$102,4,0)-1),""),"")</f>
        <v/>
      </c>
      <c r="DI180" s="73"/>
      <c r="DJ180" s="123" t="str">
        <f t="shared" si="303"/>
        <v/>
      </c>
      <c r="DK180" s="123" t="str">
        <f t="shared" si="304"/>
        <v/>
      </c>
      <c r="DL180" s="97" t="str">
        <f t="shared" ca="1" si="305"/>
        <v/>
      </c>
      <c r="DM180" s="98" t="str">
        <f>IF(DO180&lt;&gt;"",VLOOKUP($P180&amp;" | "&amp;DM$6,'Job Master'!$F$12:$J$102,5,0),"")</f>
        <v/>
      </c>
      <c r="DN180" s="19" t="str">
        <f>IF(DO180&lt;&gt;"",VLOOKUP($P180&amp;" | "&amp;DM$6,'Job Master'!$F$12:$J$102,3,0),"")</f>
        <v/>
      </c>
      <c r="DO180" s="19" t="str">
        <f>IFERROR(IF(AND(DT180&lt;&gt;"",VLOOKUP($P180&amp;" | "&amp;DM$6,'Job Master'!$F$12:$I$102,4,0)&lt;&gt;""),IF(WEEKDAY(DT180-VLOOKUP($P180&amp;" | "&amp;DM$6,'Job Master'!$F$12:$I$102,4,0))&lt;&gt;7,DT180-VLOOKUP($P180&amp;" | "&amp;DM$6,'Job Master'!$F$12:$I$102,4,0),DT180-VLOOKUP($P180&amp;" | "&amp;DM$6,'Job Master'!$F$12:$I$102,4,0)-1),""),"")</f>
        <v/>
      </c>
      <c r="DP180" s="73"/>
      <c r="DQ180" s="123" t="str">
        <f t="shared" si="306"/>
        <v/>
      </c>
      <c r="DR180" s="123" t="str">
        <f t="shared" si="307"/>
        <v/>
      </c>
      <c r="DS180" s="97" t="str">
        <f t="shared" ca="1" si="308"/>
        <v/>
      </c>
      <c r="DT180" s="70" t="str">
        <f t="shared" si="309"/>
        <v/>
      </c>
      <c r="DU180" s="90"/>
      <c r="DV180" s="123" t="str">
        <f t="shared" si="310"/>
        <v/>
      </c>
      <c r="DW180" s="123" t="str">
        <f t="shared" si="311"/>
        <v/>
      </c>
      <c r="DX180" s="132" t="str">
        <f t="shared" ref="DX180" ca="1" si="365">IF(DT180&lt;&gt;"",IF(WEEKNUM(DT180)=WEEKNUM(TODAY()),"This Week",IF(WEEKNUM(DT180)=WEEKNUM(TODAY())+1,"Next Week",IF(WEEKNUM(DT180)=WEEKNUM(TODAY())-1,"Previous Week",""))),"")</f>
        <v/>
      </c>
      <c r="DY180" s="134" t="str">
        <f t="shared" si="313"/>
        <v/>
      </c>
      <c r="DZ180" s="95"/>
      <c r="EB180" s="8" t="str">
        <f t="shared" si="319"/>
        <v/>
      </c>
      <c r="EC180" s="8" t="str">
        <f>IF(O180&lt;&gt;"",VLOOKUP(O180,'Job Master'!$N$12:$O$18,2,0),"")</f>
        <v/>
      </c>
      <c r="ED180" s="8">
        <f t="shared" si="320"/>
        <v>19.5</v>
      </c>
      <c r="EE180" s="8">
        <f t="shared" si="321"/>
        <v>6</v>
      </c>
      <c r="EF180" s="8">
        <f t="shared" si="322"/>
        <v>-1000.5</v>
      </c>
      <c r="EG180" s="8" t="str">
        <f t="shared" si="323"/>
        <v/>
      </c>
      <c r="EH180" s="8" t="str">
        <f t="shared" si="324"/>
        <v/>
      </c>
    </row>
    <row r="181" spans="2:138" x14ac:dyDescent="0.3">
      <c r="B181" s="112"/>
      <c r="C181" s="27"/>
      <c r="D181" s="7" t="str">
        <f t="shared" si="261"/>
        <v/>
      </c>
      <c r="E181" s="25"/>
      <c r="F181" s="7" t="str">
        <f t="shared" si="261"/>
        <v/>
      </c>
      <c r="G181" s="25"/>
      <c r="H181" s="7" t="str">
        <f t="shared" si="261"/>
        <v/>
      </c>
      <c r="I181" s="25"/>
      <c r="J181" s="7" t="str">
        <f t="shared" si="261"/>
        <v/>
      </c>
      <c r="K181" s="25"/>
      <c r="L181" s="7" t="str">
        <f t="shared" si="262"/>
        <v/>
      </c>
      <c r="M181" s="25"/>
      <c r="N181" s="7" t="str">
        <f t="shared" si="263"/>
        <v/>
      </c>
      <c r="O181" s="81"/>
      <c r="P181" s="81" t="str">
        <f t="shared" si="264"/>
        <v/>
      </c>
      <c r="Q181" s="81"/>
      <c r="R181" s="7" t="str">
        <f t="shared" si="265"/>
        <v/>
      </c>
      <c r="S181" s="25"/>
      <c r="T181" s="7" t="str">
        <f t="shared" si="266"/>
        <v/>
      </c>
      <c r="U181" s="25"/>
      <c r="V181" s="7" t="str">
        <f t="shared" si="267"/>
        <v/>
      </c>
      <c r="W181" s="25"/>
      <c r="X181" s="7" t="str">
        <f t="shared" si="268"/>
        <v/>
      </c>
      <c r="Y181" s="18" t="str">
        <f t="shared" si="269"/>
        <v/>
      </c>
      <c r="Z181" s="7" t="str">
        <f t="shared" si="270"/>
        <v/>
      </c>
      <c r="AA181" s="18" t="str">
        <f t="shared" si="271"/>
        <v/>
      </c>
      <c r="AB181" s="19" t="str">
        <f t="shared" si="272"/>
        <v/>
      </c>
      <c r="AC181" s="26"/>
      <c r="AD181" s="26"/>
      <c r="AE181" s="25"/>
      <c r="AF181" s="26"/>
      <c r="AG181" s="25"/>
      <c r="AH181" s="25"/>
      <c r="AI181" s="18" t="str">
        <f t="shared" si="335"/>
        <v/>
      </c>
      <c r="AJ181" s="25"/>
      <c r="AK181" s="18" t="str">
        <f t="shared" si="336"/>
        <v/>
      </c>
      <c r="AL181" s="79"/>
      <c r="AM181" s="126" t="str">
        <f t="shared" si="337"/>
        <v/>
      </c>
      <c r="AN181" s="128" t="str">
        <f>IF(AP181&lt;&gt;"",VLOOKUP($P181&amp;" | "&amp;AN$6,'Job Master'!$F$12:$J$102,5,0),"")</f>
        <v/>
      </c>
      <c r="AO181" s="19" t="str">
        <f>IF(AP181&lt;&gt;"",VLOOKUP($P181&amp;" | "&amp;AN$6,'Job Master'!$F$12:$J$102,3,0),"")</f>
        <v/>
      </c>
      <c r="AP181" s="19" t="str">
        <f>IFERROR(IF(AND(AW181&lt;&gt;"",VLOOKUP($P181&amp;" | "&amp;AN$6,'Job Master'!$F$12:$I$102,4,0)&lt;&gt;""),IF(WEEKDAY(AW181-VLOOKUP($P181&amp;" | "&amp;AN$6,'Job Master'!$F$12:$I$102,4,0))&lt;&gt;7,AW181-VLOOKUP($P181&amp;" | "&amp;AN$6,'Job Master'!$F$12:$I$102,4,0),AW181-VLOOKUP($P181&amp;" | "&amp;AN$6,'Job Master'!$F$12:$I$102,4,0)-1),""),"")</f>
        <v/>
      </c>
      <c r="AQ181" s="73"/>
      <c r="AR181" s="123" t="str">
        <f t="shared" si="273"/>
        <v/>
      </c>
      <c r="AS181" s="123" t="str">
        <f t="shared" si="274"/>
        <v/>
      </c>
      <c r="AT181" s="97" t="str">
        <f t="shared" ca="1" si="275"/>
        <v/>
      </c>
      <c r="AU181" s="98" t="str">
        <f>IF(AW181&lt;&gt;"",VLOOKUP($P181&amp;" | "&amp;AU$6,'Job Master'!$F$12:$J$102,5,0),"")</f>
        <v/>
      </c>
      <c r="AV181" s="19" t="str">
        <f>IF(AW181&lt;&gt;"",VLOOKUP($P181&amp;" | "&amp;AU$6,'Job Master'!$F$12:$J$102,3,0),"")</f>
        <v/>
      </c>
      <c r="AW181" s="19" t="str">
        <f>IFERROR(IF(AND(BD181&lt;&gt;"",VLOOKUP($P181&amp;" | "&amp;AU$6,'Job Master'!$F$12:$I$102,4,0)&lt;&gt;""),IF(WEEKDAY(BD181-VLOOKUP($P181&amp;" | "&amp;AU$6,'Job Master'!$F$12:$I$102,4,0))&lt;&gt;7,BD181-VLOOKUP($P181&amp;" | "&amp;AU$6,'Job Master'!$F$12:$I$102,4,0),BD181-VLOOKUP($P181&amp;" | "&amp;AU$6,'Job Master'!$F$12:$I$102,4,0)-1),""),"")</f>
        <v/>
      </c>
      <c r="AX181" s="73"/>
      <c r="AY181" s="123" t="str">
        <f t="shared" si="276"/>
        <v/>
      </c>
      <c r="AZ181" s="123" t="str">
        <f t="shared" si="277"/>
        <v/>
      </c>
      <c r="BA181" s="97" t="str">
        <f t="shared" ca="1" si="278"/>
        <v/>
      </c>
      <c r="BB181" s="98" t="str">
        <f>IF(BD181&lt;&gt;"",VLOOKUP($P181&amp;" | "&amp;BB$6,'Job Master'!$F$12:$J$102,5,0),"")</f>
        <v/>
      </c>
      <c r="BC181" s="19" t="str">
        <f>IF(BD181&lt;&gt;"",VLOOKUP($P181&amp;" | "&amp;BB$6,'Job Master'!$F$12:$J$102,3,0),"")</f>
        <v/>
      </c>
      <c r="BD181" s="19" t="str">
        <f>IFERROR(IF(AND(BK181&lt;&gt;"",VLOOKUP($P181&amp;" | "&amp;BB$6,'Job Master'!$F$12:$I$102,4,0)&lt;&gt;""),IF(WEEKDAY(BK181-VLOOKUP($P181&amp;" | "&amp;BB$6,'Job Master'!$F$12:$I$102,4,0))&lt;&gt;7,BK181-VLOOKUP($P181&amp;" | "&amp;BB$6,'Job Master'!$F$12:$I$102,4,0),BK181-VLOOKUP($P181&amp;" | "&amp;BB$6,'Job Master'!$F$12:$I$102,4,0)-1),""),"")</f>
        <v/>
      </c>
      <c r="BE181" s="73"/>
      <c r="BF181" s="123" t="str">
        <f t="shared" si="279"/>
        <v/>
      </c>
      <c r="BG181" s="123" t="str">
        <f t="shared" si="280"/>
        <v/>
      </c>
      <c r="BH181" s="97" t="str">
        <f t="shared" ca="1" si="281"/>
        <v/>
      </c>
      <c r="BI181" s="98" t="str">
        <f>IF(BK181&lt;&gt;"",VLOOKUP($P181&amp;" | "&amp;BI$6,'Job Master'!$F$12:$J$102,5,0),"")</f>
        <v/>
      </c>
      <c r="BJ181" s="19" t="str">
        <f>IF(BK181&lt;&gt;"",VLOOKUP($P181&amp;" | "&amp;BI$6,'Job Master'!$F$12:$J$102,3,0),"")</f>
        <v/>
      </c>
      <c r="BK181" s="19" t="str">
        <f>IFERROR(IF(AND(BR181&lt;&gt;"",VLOOKUP($P181&amp;" | "&amp;BI$6,'Job Master'!$F$12:$I$102,4,0)&lt;&gt;""),IF(WEEKDAY(BR181-VLOOKUP($P181&amp;" | "&amp;BI$6,'Job Master'!$F$12:$I$102,4,0))&lt;&gt;7,BR181-VLOOKUP($P181&amp;" | "&amp;BI$6,'Job Master'!$F$12:$I$102,4,0),BR181-VLOOKUP($P181&amp;" | "&amp;BI$6,'Job Master'!$F$12:$I$102,4,0)-1),""),"")</f>
        <v/>
      </c>
      <c r="BL181" s="73"/>
      <c r="BM181" s="123" t="str">
        <f t="shared" si="282"/>
        <v/>
      </c>
      <c r="BN181" s="123" t="str">
        <f t="shared" si="283"/>
        <v/>
      </c>
      <c r="BO181" s="97" t="str">
        <f t="shared" ca="1" si="284"/>
        <v/>
      </c>
      <c r="BP181" s="98" t="str">
        <f>IF(BR181&lt;&gt;"",VLOOKUP($P181&amp;" | "&amp;BP$6,'Job Master'!$F$12:$J$102,5,0),"")</f>
        <v/>
      </c>
      <c r="BQ181" s="19" t="str">
        <f>IF(BR181&lt;&gt;"",VLOOKUP($P181&amp;" | "&amp;BP$6,'Job Master'!$F$12:$J$102,3,0),"")</f>
        <v/>
      </c>
      <c r="BR181" s="19" t="str">
        <f>IFERROR(IF(AND(BY181&lt;&gt;"",VLOOKUP($P181&amp;" | "&amp;BP$6,'Job Master'!$F$12:$I$102,4,0)&lt;&gt;""),IF(WEEKDAY(BY181-VLOOKUP($P181&amp;" | "&amp;BP$6,'Job Master'!$F$12:$I$102,4,0))&lt;&gt;7,BY181-VLOOKUP($P181&amp;" | "&amp;BP$6,'Job Master'!$F$12:$I$102,4,0),BY181-VLOOKUP($P181&amp;" | "&amp;BP$6,'Job Master'!$F$12:$I$102,4,0)-1),""),"")</f>
        <v/>
      </c>
      <c r="BS181" s="73"/>
      <c r="BT181" s="123" t="str">
        <f t="shared" si="285"/>
        <v/>
      </c>
      <c r="BU181" s="123" t="str">
        <f t="shared" si="286"/>
        <v/>
      </c>
      <c r="BV181" s="97" t="str">
        <f t="shared" ca="1" si="287"/>
        <v/>
      </c>
      <c r="BW181" s="98" t="str">
        <f>IF(BY181&lt;&gt;"",VLOOKUP($P181&amp;" | "&amp;BW$6,'Job Master'!$F$12:$J$102,5,0),"")</f>
        <v/>
      </c>
      <c r="BX181" s="19" t="str">
        <f>IF(BY181&lt;&gt;"",VLOOKUP($P181&amp;" | "&amp;BW$6,'Job Master'!$F$12:$J$102,3,0),"")</f>
        <v/>
      </c>
      <c r="BY181" s="19" t="str">
        <f>IFERROR(IF(AND(CF181&lt;&gt;"",VLOOKUP($P181&amp;" | "&amp;BW$6,'Job Master'!$F$12:$I$102,4,0)&lt;&gt;""),IF(WEEKDAY(CF181-VLOOKUP($P181&amp;" | "&amp;BW$6,'Job Master'!$F$12:$I$102,4,0))&lt;&gt;7,CF181-VLOOKUP($P181&amp;" | "&amp;BW$6,'Job Master'!$F$12:$I$102,4,0),CF181-VLOOKUP($P181&amp;" | "&amp;BW$6,'Job Master'!$F$12:$I$102,4,0)-1),""),"")</f>
        <v/>
      </c>
      <c r="BZ181" s="73"/>
      <c r="CA181" s="123" t="str">
        <f t="shared" si="288"/>
        <v/>
      </c>
      <c r="CB181" s="123" t="str">
        <f t="shared" si="289"/>
        <v/>
      </c>
      <c r="CC181" s="97" t="str">
        <f t="shared" ca="1" si="290"/>
        <v/>
      </c>
      <c r="CD181" s="98" t="str">
        <f>IF(CF181&lt;&gt;"",VLOOKUP($P181&amp;" | "&amp;CD$6,'Job Master'!$F$12:$J$102,5,0),"")</f>
        <v/>
      </c>
      <c r="CE181" s="19" t="str">
        <f>IF(CF181&lt;&gt;"",VLOOKUP($P181&amp;" | "&amp;CD$6,'Job Master'!$F$12:$J$102,3,0),"")</f>
        <v/>
      </c>
      <c r="CF181" s="19" t="str">
        <f>IFERROR(IF(AND(CM181&lt;&gt;"",VLOOKUP($P181&amp;" | "&amp;CD$6,'Job Master'!$F$12:$I$102,4,0)&lt;&gt;""),IF(WEEKDAY(CM181-VLOOKUP($P181&amp;" | "&amp;CD$6,'Job Master'!$F$12:$I$102,4,0))&lt;&gt;7,CM181-VLOOKUP($P181&amp;" | "&amp;CD$6,'Job Master'!$F$12:$I$102,4,0),CM181-VLOOKUP($P181&amp;" | "&amp;CD$6,'Job Master'!$F$12:$I$102,4,0)-1),""),"")</f>
        <v/>
      </c>
      <c r="CG181" s="73"/>
      <c r="CH181" s="123" t="str">
        <f t="shared" si="291"/>
        <v/>
      </c>
      <c r="CI181" s="123" t="str">
        <f t="shared" si="292"/>
        <v/>
      </c>
      <c r="CJ181" s="97" t="str">
        <f t="shared" ca="1" si="293"/>
        <v/>
      </c>
      <c r="CK181" s="98" t="str">
        <f>IF(CM181&lt;&gt;"",VLOOKUP($P181&amp;" | "&amp;CK$6,'Job Master'!$F$12:$J$102,5,0),"")</f>
        <v/>
      </c>
      <c r="CL181" s="19" t="str">
        <f>IF(CM181&lt;&gt;"",VLOOKUP($P181&amp;" | "&amp;CK$6,'Job Master'!$F$12:$J$102,3,0),"")</f>
        <v/>
      </c>
      <c r="CM181" s="19" t="str">
        <f>IFERROR(IF(AND(CT181&lt;&gt;"",VLOOKUP($P181&amp;" | "&amp;CK$6,'Job Master'!$F$12:$I$102,4,0)&lt;&gt;""),IF(WEEKDAY(CT181-VLOOKUP($P181&amp;" | "&amp;CK$6,'Job Master'!$F$12:$I$102,4,0))&lt;&gt;7,CT181-VLOOKUP($P181&amp;" | "&amp;CK$6,'Job Master'!$F$12:$I$102,4,0),CT181-VLOOKUP($P181&amp;" | "&amp;CK$6,'Job Master'!$F$12:$I$102,4,0)-1),""),"")</f>
        <v/>
      </c>
      <c r="CN181" s="73"/>
      <c r="CO181" s="123" t="str">
        <f t="shared" si="294"/>
        <v/>
      </c>
      <c r="CP181" s="123" t="str">
        <f t="shared" si="295"/>
        <v/>
      </c>
      <c r="CQ181" s="97" t="str">
        <f t="shared" ca="1" si="296"/>
        <v/>
      </c>
      <c r="CR181" s="98" t="str">
        <f>IF(CT181&lt;&gt;"",VLOOKUP($P181&amp;" | "&amp;CR$6,'Job Master'!$F$12:$J$102,5,0),"")</f>
        <v/>
      </c>
      <c r="CS181" s="19" t="str">
        <f>IF(CT181&lt;&gt;"",VLOOKUP($P181&amp;" | "&amp;CR$6,'Job Master'!$F$12:$J$102,3,0),"")</f>
        <v/>
      </c>
      <c r="CT181" s="19" t="str">
        <f>IFERROR(IF(AND(DA181&lt;&gt;"",VLOOKUP($P181&amp;" | "&amp;CR$6,'Job Master'!$F$12:$I$102,4,0)&lt;&gt;""),IF(WEEKDAY(DA181-VLOOKUP($P181&amp;" | "&amp;CR$6,'Job Master'!$F$12:$I$102,4,0))&lt;&gt;7,DA181-VLOOKUP($P181&amp;" | "&amp;CR$6,'Job Master'!$F$12:$I$102,4,0),DA181-VLOOKUP($P181&amp;" | "&amp;CR$6,'Job Master'!$F$12:$I$102,4,0)-1),""),"")</f>
        <v/>
      </c>
      <c r="CU181" s="73"/>
      <c r="CV181" s="123" t="str">
        <f t="shared" si="297"/>
        <v/>
      </c>
      <c r="CW181" s="123" t="str">
        <f t="shared" si="298"/>
        <v/>
      </c>
      <c r="CX181" s="97" t="str">
        <f t="shared" ca="1" si="299"/>
        <v/>
      </c>
      <c r="CY181" s="98" t="str">
        <f>IF(DA181&lt;&gt;"",VLOOKUP($P181&amp;" | "&amp;CY$6,'Job Master'!$F$12:$J$102,5,0),"")</f>
        <v/>
      </c>
      <c r="CZ181" s="19" t="str">
        <f>IF(DA181&lt;&gt;"",VLOOKUP($P181&amp;" | "&amp;CY$6,'Job Master'!$F$12:$J$102,3,0),"")</f>
        <v/>
      </c>
      <c r="DA181" s="19" t="str">
        <f>IFERROR(IF(AND(DH181&lt;&gt;"",VLOOKUP($P181&amp;" | "&amp;CY$6,'Job Master'!$F$12:$I$102,4,0)&lt;&gt;""),IF(WEEKDAY(DH181-VLOOKUP($P181&amp;" | "&amp;CY$6,'Job Master'!$F$12:$I$102,4,0))&lt;&gt;7,DH181-VLOOKUP($P181&amp;" | "&amp;CY$6,'Job Master'!$F$12:$I$102,4,0),DH181-VLOOKUP($P181&amp;" | "&amp;CY$6,'Job Master'!$F$12:$I$102,4,0)-1),""),"")</f>
        <v/>
      </c>
      <c r="DB181" s="73"/>
      <c r="DC181" s="123" t="str">
        <f t="shared" si="300"/>
        <v/>
      </c>
      <c r="DD181" s="123" t="str">
        <f t="shared" si="301"/>
        <v/>
      </c>
      <c r="DE181" s="97" t="str">
        <f t="shared" ca="1" si="302"/>
        <v/>
      </c>
      <c r="DF181" s="98" t="str">
        <f>IF(DH181&lt;&gt;"",VLOOKUP($P181&amp;" | "&amp;DF$6,'Job Master'!$F$12:$J$102,5,0),"")</f>
        <v/>
      </c>
      <c r="DG181" s="19" t="str">
        <f>IF(DH181&lt;&gt;"",VLOOKUP($P181&amp;" | "&amp;DF$6,'Job Master'!$F$12:$J$102,3,0),"")</f>
        <v/>
      </c>
      <c r="DH181" s="19" t="str">
        <f>IFERROR(IF(AND(DO181&lt;&gt;"",VLOOKUP($P181&amp;" | "&amp;DF$6,'Job Master'!$F$12:$I$102,4,0)&lt;&gt;""),IF(WEEKDAY(DO181-VLOOKUP($P181&amp;" | "&amp;DF$6,'Job Master'!$F$12:$I$102,4,0))&lt;&gt;7,DO181-VLOOKUP($P181&amp;" | "&amp;DF$6,'Job Master'!$F$12:$I$102,4,0),DO181-VLOOKUP($P181&amp;" | "&amp;DF$6,'Job Master'!$F$12:$I$102,4,0)-1),""),"")</f>
        <v/>
      </c>
      <c r="DI181" s="73"/>
      <c r="DJ181" s="123" t="str">
        <f t="shared" si="303"/>
        <v/>
      </c>
      <c r="DK181" s="123" t="str">
        <f t="shared" si="304"/>
        <v/>
      </c>
      <c r="DL181" s="97" t="str">
        <f t="shared" ca="1" si="305"/>
        <v/>
      </c>
      <c r="DM181" s="98" t="str">
        <f>IF(DO181&lt;&gt;"",VLOOKUP($P181&amp;" | "&amp;DM$6,'Job Master'!$F$12:$J$102,5,0),"")</f>
        <v/>
      </c>
      <c r="DN181" s="19" t="str">
        <f>IF(DO181&lt;&gt;"",VLOOKUP($P181&amp;" | "&amp;DM$6,'Job Master'!$F$12:$J$102,3,0),"")</f>
        <v/>
      </c>
      <c r="DO181" s="19" t="str">
        <f>IFERROR(IF(AND(DT181&lt;&gt;"",VLOOKUP($P181&amp;" | "&amp;DM$6,'Job Master'!$F$12:$I$102,4,0)&lt;&gt;""),IF(WEEKDAY(DT181-VLOOKUP($P181&amp;" | "&amp;DM$6,'Job Master'!$F$12:$I$102,4,0))&lt;&gt;7,DT181-VLOOKUP($P181&amp;" | "&amp;DM$6,'Job Master'!$F$12:$I$102,4,0),DT181-VLOOKUP($P181&amp;" | "&amp;DM$6,'Job Master'!$F$12:$I$102,4,0)-1),""),"")</f>
        <v/>
      </c>
      <c r="DP181" s="73"/>
      <c r="DQ181" s="123" t="str">
        <f t="shared" si="306"/>
        <v/>
      </c>
      <c r="DR181" s="123" t="str">
        <f t="shared" si="307"/>
        <v/>
      </c>
      <c r="DS181" s="97" t="str">
        <f t="shared" ca="1" si="308"/>
        <v/>
      </c>
      <c r="DT181" s="70" t="str">
        <f t="shared" si="309"/>
        <v/>
      </c>
      <c r="DU181" s="90"/>
      <c r="DV181" s="123" t="str">
        <f t="shared" si="310"/>
        <v/>
      </c>
      <c r="DW181" s="123" t="str">
        <f t="shared" si="311"/>
        <v/>
      </c>
      <c r="DX181" s="132" t="str">
        <f t="shared" ref="DX181" ca="1" si="366">IF(DT181&lt;&gt;"",IF(WEEKNUM(DT181)=WEEKNUM(TODAY()),"This Week",IF(WEEKNUM(DT181)=WEEKNUM(TODAY())+1,"Next Week",IF(WEEKNUM(DT181)=WEEKNUM(TODAY())-1,"Previous Week",""))),"")</f>
        <v/>
      </c>
      <c r="DY181" s="134" t="str">
        <f t="shared" si="313"/>
        <v/>
      </c>
      <c r="DZ181" s="95"/>
      <c r="EB181" s="8" t="str">
        <f t="shared" si="319"/>
        <v/>
      </c>
      <c r="EC181" s="8" t="str">
        <f>IF(O181&lt;&gt;"",VLOOKUP(O181,'Job Master'!$N$12:$O$18,2,0),"")</f>
        <v/>
      </c>
      <c r="ED181" s="8">
        <f t="shared" si="320"/>
        <v>19.5</v>
      </c>
      <c r="EE181" s="8">
        <f t="shared" si="321"/>
        <v>6</v>
      </c>
      <c r="EF181" s="8">
        <f t="shared" si="322"/>
        <v>-1006.5</v>
      </c>
      <c r="EG181" s="8" t="str">
        <f t="shared" si="323"/>
        <v/>
      </c>
      <c r="EH181" s="8" t="str">
        <f t="shared" si="324"/>
        <v/>
      </c>
    </row>
    <row r="182" spans="2:138" x14ac:dyDescent="0.3">
      <c r="B182" s="112"/>
      <c r="C182" s="27"/>
      <c r="D182" s="7" t="str">
        <f t="shared" si="261"/>
        <v/>
      </c>
      <c r="E182" s="25"/>
      <c r="F182" s="7" t="str">
        <f t="shared" si="261"/>
        <v/>
      </c>
      <c r="G182" s="25"/>
      <c r="H182" s="7" t="str">
        <f t="shared" si="261"/>
        <v/>
      </c>
      <c r="I182" s="25"/>
      <c r="J182" s="7" t="str">
        <f t="shared" si="261"/>
        <v/>
      </c>
      <c r="K182" s="25"/>
      <c r="L182" s="7" t="str">
        <f t="shared" si="262"/>
        <v/>
      </c>
      <c r="M182" s="25"/>
      <c r="N182" s="7" t="str">
        <f t="shared" si="263"/>
        <v/>
      </c>
      <c r="O182" s="81"/>
      <c r="P182" s="81" t="str">
        <f t="shared" si="264"/>
        <v/>
      </c>
      <c r="Q182" s="81"/>
      <c r="R182" s="7" t="str">
        <f t="shared" si="265"/>
        <v/>
      </c>
      <c r="S182" s="25"/>
      <c r="T182" s="7" t="str">
        <f t="shared" si="266"/>
        <v/>
      </c>
      <c r="U182" s="25"/>
      <c r="V182" s="7" t="str">
        <f t="shared" si="267"/>
        <v/>
      </c>
      <c r="W182" s="25"/>
      <c r="X182" s="7" t="str">
        <f t="shared" si="268"/>
        <v/>
      </c>
      <c r="Y182" s="18" t="str">
        <f t="shared" si="269"/>
        <v/>
      </c>
      <c r="Z182" s="7" t="str">
        <f t="shared" si="270"/>
        <v/>
      </c>
      <c r="AA182" s="18" t="str">
        <f t="shared" si="271"/>
        <v/>
      </c>
      <c r="AB182" s="19" t="str">
        <f t="shared" si="272"/>
        <v/>
      </c>
      <c r="AC182" s="26"/>
      <c r="AD182" s="26"/>
      <c r="AE182" s="25"/>
      <c r="AF182" s="26"/>
      <c r="AG182" s="25"/>
      <c r="AH182" s="25"/>
      <c r="AI182" s="18" t="str">
        <f t="shared" si="335"/>
        <v/>
      </c>
      <c r="AJ182" s="25"/>
      <c r="AK182" s="18" t="str">
        <f t="shared" si="336"/>
        <v/>
      </c>
      <c r="AL182" s="79"/>
      <c r="AM182" s="126" t="str">
        <f t="shared" si="337"/>
        <v/>
      </c>
      <c r="AN182" s="128" t="str">
        <f>IF(AP182&lt;&gt;"",VLOOKUP($P182&amp;" | "&amp;AN$6,'Job Master'!$F$12:$J$102,5,0),"")</f>
        <v/>
      </c>
      <c r="AO182" s="19" t="str">
        <f>IF(AP182&lt;&gt;"",VLOOKUP($P182&amp;" | "&amp;AN$6,'Job Master'!$F$12:$J$102,3,0),"")</f>
        <v/>
      </c>
      <c r="AP182" s="19" t="str">
        <f>IFERROR(IF(AND(AW182&lt;&gt;"",VLOOKUP($P182&amp;" | "&amp;AN$6,'Job Master'!$F$12:$I$102,4,0)&lt;&gt;""),IF(WEEKDAY(AW182-VLOOKUP($P182&amp;" | "&amp;AN$6,'Job Master'!$F$12:$I$102,4,0))&lt;&gt;7,AW182-VLOOKUP($P182&amp;" | "&amp;AN$6,'Job Master'!$F$12:$I$102,4,0),AW182-VLOOKUP($P182&amp;" | "&amp;AN$6,'Job Master'!$F$12:$I$102,4,0)-1),""),"")</f>
        <v/>
      </c>
      <c r="AQ182" s="73"/>
      <c r="AR182" s="123" t="str">
        <f t="shared" si="273"/>
        <v/>
      </c>
      <c r="AS182" s="123" t="str">
        <f t="shared" si="274"/>
        <v/>
      </c>
      <c r="AT182" s="97" t="str">
        <f t="shared" ca="1" si="275"/>
        <v/>
      </c>
      <c r="AU182" s="98" t="str">
        <f>IF(AW182&lt;&gt;"",VLOOKUP($P182&amp;" | "&amp;AU$6,'Job Master'!$F$12:$J$102,5,0),"")</f>
        <v/>
      </c>
      <c r="AV182" s="19" t="str">
        <f>IF(AW182&lt;&gt;"",VLOOKUP($P182&amp;" | "&amp;AU$6,'Job Master'!$F$12:$J$102,3,0),"")</f>
        <v/>
      </c>
      <c r="AW182" s="19" t="str">
        <f>IFERROR(IF(AND(BD182&lt;&gt;"",VLOOKUP($P182&amp;" | "&amp;AU$6,'Job Master'!$F$12:$I$102,4,0)&lt;&gt;""),IF(WEEKDAY(BD182-VLOOKUP($P182&amp;" | "&amp;AU$6,'Job Master'!$F$12:$I$102,4,0))&lt;&gt;7,BD182-VLOOKUP($P182&amp;" | "&amp;AU$6,'Job Master'!$F$12:$I$102,4,0),BD182-VLOOKUP($P182&amp;" | "&amp;AU$6,'Job Master'!$F$12:$I$102,4,0)-1),""),"")</f>
        <v/>
      </c>
      <c r="AX182" s="73"/>
      <c r="AY182" s="123" t="str">
        <f t="shared" si="276"/>
        <v/>
      </c>
      <c r="AZ182" s="123" t="str">
        <f t="shared" si="277"/>
        <v/>
      </c>
      <c r="BA182" s="97" t="str">
        <f t="shared" ca="1" si="278"/>
        <v/>
      </c>
      <c r="BB182" s="98" t="str">
        <f>IF(BD182&lt;&gt;"",VLOOKUP($P182&amp;" | "&amp;BB$6,'Job Master'!$F$12:$J$102,5,0),"")</f>
        <v/>
      </c>
      <c r="BC182" s="19" t="str">
        <f>IF(BD182&lt;&gt;"",VLOOKUP($P182&amp;" | "&amp;BB$6,'Job Master'!$F$12:$J$102,3,0),"")</f>
        <v/>
      </c>
      <c r="BD182" s="19" t="str">
        <f>IFERROR(IF(AND(BK182&lt;&gt;"",VLOOKUP($P182&amp;" | "&amp;BB$6,'Job Master'!$F$12:$I$102,4,0)&lt;&gt;""),IF(WEEKDAY(BK182-VLOOKUP($P182&amp;" | "&amp;BB$6,'Job Master'!$F$12:$I$102,4,0))&lt;&gt;7,BK182-VLOOKUP($P182&amp;" | "&amp;BB$6,'Job Master'!$F$12:$I$102,4,0),BK182-VLOOKUP($P182&amp;" | "&amp;BB$6,'Job Master'!$F$12:$I$102,4,0)-1),""),"")</f>
        <v/>
      </c>
      <c r="BE182" s="73"/>
      <c r="BF182" s="123" t="str">
        <f t="shared" si="279"/>
        <v/>
      </c>
      <c r="BG182" s="123" t="str">
        <f t="shared" si="280"/>
        <v/>
      </c>
      <c r="BH182" s="97" t="str">
        <f t="shared" ca="1" si="281"/>
        <v/>
      </c>
      <c r="BI182" s="98" t="str">
        <f>IF(BK182&lt;&gt;"",VLOOKUP($P182&amp;" | "&amp;BI$6,'Job Master'!$F$12:$J$102,5,0),"")</f>
        <v/>
      </c>
      <c r="BJ182" s="19" t="str">
        <f>IF(BK182&lt;&gt;"",VLOOKUP($P182&amp;" | "&amp;BI$6,'Job Master'!$F$12:$J$102,3,0),"")</f>
        <v/>
      </c>
      <c r="BK182" s="19" t="str">
        <f>IFERROR(IF(AND(BR182&lt;&gt;"",VLOOKUP($P182&amp;" | "&amp;BI$6,'Job Master'!$F$12:$I$102,4,0)&lt;&gt;""),IF(WEEKDAY(BR182-VLOOKUP($P182&amp;" | "&amp;BI$6,'Job Master'!$F$12:$I$102,4,0))&lt;&gt;7,BR182-VLOOKUP($P182&amp;" | "&amp;BI$6,'Job Master'!$F$12:$I$102,4,0),BR182-VLOOKUP($P182&amp;" | "&amp;BI$6,'Job Master'!$F$12:$I$102,4,0)-1),""),"")</f>
        <v/>
      </c>
      <c r="BL182" s="73"/>
      <c r="BM182" s="123" t="str">
        <f t="shared" si="282"/>
        <v/>
      </c>
      <c r="BN182" s="123" t="str">
        <f t="shared" si="283"/>
        <v/>
      </c>
      <c r="BO182" s="97" t="str">
        <f t="shared" ca="1" si="284"/>
        <v/>
      </c>
      <c r="BP182" s="98" t="str">
        <f>IF(BR182&lt;&gt;"",VLOOKUP($P182&amp;" | "&amp;BP$6,'Job Master'!$F$12:$J$102,5,0),"")</f>
        <v/>
      </c>
      <c r="BQ182" s="19" t="str">
        <f>IF(BR182&lt;&gt;"",VLOOKUP($P182&amp;" | "&amp;BP$6,'Job Master'!$F$12:$J$102,3,0),"")</f>
        <v/>
      </c>
      <c r="BR182" s="19" t="str">
        <f>IFERROR(IF(AND(BY182&lt;&gt;"",VLOOKUP($P182&amp;" | "&amp;BP$6,'Job Master'!$F$12:$I$102,4,0)&lt;&gt;""),IF(WEEKDAY(BY182-VLOOKUP($P182&amp;" | "&amp;BP$6,'Job Master'!$F$12:$I$102,4,0))&lt;&gt;7,BY182-VLOOKUP($P182&amp;" | "&amp;BP$6,'Job Master'!$F$12:$I$102,4,0),BY182-VLOOKUP($P182&amp;" | "&amp;BP$6,'Job Master'!$F$12:$I$102,4,0)-1),""),"")</f>
        <v/>
      </c>
      <c r="BS182" s="73"/>
      <c r="BT182" s="123" t="str">
        <f t="shared" si="285"/>
        <v/>
      </c>
      <c r="BU182" s="123" t="str">
        <f t="shared" si="286"/>
        <v/>
      </c>
      <c r="BV182" s="97" t="str">
        <f t="shared" ca="1" si="287"/>
        <v/>
      </c>
      <c r="BW182" s="98" t="str">
        <f>IF(BY182&lt;&gt;"",VLOOKUP($P182&amp;" | "&amp;BW$6,'Job Master'!$F$12:$J$102,5,0),"")</f>
        <v/>
      </c>
      <c r="BX182" s="19" t="str">
        <f>IF(BY182&lt;&gt;"",VLOOKUP($P182&amp;" | "&amp;BW$6,'Job Master'!$F$12:$J$102,3,0),"")</f>
        <v/>
      </c>
      <c r="BY182" s="19" t="str">
        <f>IFERROR(IF(AND(CF182&lt;&gt;"",VLOOKUP($P182&amp;" | "&amp;BW$6,'Job Master'!$F$12:$I$102,4,0)&lt;&gt;""),IF(WEEKDAY(CF182-VLOOKUP($P182&amp;" | "&amp;BW$6,'Job Master'!$F$12:$I$102,4,0))&lt;&gt;7,CF182-VLOOKUP($P182&amp;" | "&amp;BW$6,'Job Master'!$F$12:$I$102,4,0),CF182-VLOOKUP($P182&amp;" | "&amp;BW$6,'Job Master'!$F$12:$I$102,4,0)-1),""),"")</f>
        <v/>
      </c>
      <c r="BZ182" s="73"/>
      <c r="CA182" s="123" t="str">
        <f t="shared" si="288"/>
        <v/>
      </c>
      <c r="CB182" s="123" t="str">
        <f t="shared" si="289"/>
        <v/>
      </c>
      <c r="CC182" s="97" t="str">
        <f t="shared" ca="1" si="290"/>
        <v/>
      </c>
      <c r="CD182" s="98" t="str">
        <f>IF(CF182&lt;&gt;"",VLOOKUP($P182&amp;" | "&amp;CD$6,'Job Master'!$F$12:$J$102,5,0),"")</f>
        <v/>
      </c>
      <c r="CE182" s="19" t="str">
        <f>IF(CF182&lt;&gt;"",VLOOKUP($P182&amp;" | "&amp;CD$6,'Job Master'!$F$12:$J$102,3,0),"")</f>
        <v/>
      </c>
      <c r="CF182" s="19" t="str">
        <f>IFERROR(IF(AND(CM182&lt;&gt;"",VLOOKUP($P182&amp;" | "&amp;CD$6,'Job Master'!$F$12:$I$102,4,0)&lt;&gt;""),IF(WEEKDAY(CM182-VLOOKUP($P182&amp;" | "&amp;CD$6,'Job Master'!$F$12:$I$102,4,0))&lt;&gt;7,CM182-VLOOKUP($P182&amp;" | "&amp;CD$6,'Job Master'!$F$12:$I$102,4,0),CM182-VLOOKUP($P182&amp;" | "&amp;CD$6,'Job Master'!$F$12:$I$102,4,0)-1),""),"")</f>
        <v/>
      </c>
      <c r="CG182" s="73"/>
      <c r="CH182" s="123" t="str">
        <f t="shared" si="291"/>
        <v/>
      </c>
      <c r="CI182" s="123" t="str">
        <f t="shared" si="292"/>
        <v/>
      </c>
      <c r="CJ182" s="97" t="str">
        <f t="shared" ca="1" si="293"/>
        <v/>
      </c>
      <c r="CK182" s="98" t="str">
        <f>IF(CM182&lt;&gt;"",VLOOKUP($P182&amp;" | "&amp;CK$6,'Job Master'!$F$12:$J$102,5,0),"")</f>
        <v/>
      </c>
      <c r="CL182" s="19" t="str">
        <f>IF(CM182&lt;&gt;"",VLOOKUP($P182&amp;" | "&amp;CK$6,'Job Master'!$F$12:$J$102,3,0),"")</f>
        <v/>
      </c>
      <c r="CM182" s="19" t="str">
        <f>IFERROR(IF(AND(CT182&lt;&gt;"",VLOOKUP($P182&amp;" | "&amp;CK$6,'Job Master'!$F$12:$I$102,4,0)&lt;&gt;""),IF(WEEKDAY(CT182-VLOOKUP($P182&amp;" | "&amp;CK$6,'Job Master'!$F$12:$I$102,4,0))&lt;&gt;7,CT182-VLOOKUP($P182&amp;" | "&amp;CK$6,'Job Master'!$F$12:$I$102,4,0),CT182-VLOOKUP($P182&amp;" | "&amp;CK$6,'Job Master'!$F$12:$I$102,4,0)-1),""),"")</f>
        <v/>
      </c>
      <c r="CN182" s="73"/>
      <c r="CO182" s="123" t="str">
        <f t="shared" si="294"/>
        <v/>
      </c>
      <c r="CP182" s="123" t="str">
        <f t="shared" si="295"/>
        <v/>
      </c>
      <c r="CQ182" s="97" t="str">
        <f t="shared" ca="1" si="296"/>
        <v/>
      </c>
      <c r="CR182" s="98" t="str">
        <f>IF(CT182&lt;&gt;"",VLOOKUP($P182&amp;" | "&amp;CR$6,'Job Master'!$F$12:$J$102,5,0),"")</f>
        <v/>
      </c>
      <c r="CS182" s="19" t="str">
        <f>IF(CT182&lt;&gt;"",VLOOKUP($P182&amp;" | "&amp;CR$6,'Job Master'!$F$12:$J$102,3,0),"")</f>
        <v/>
      </c>
      <c r="CT182" s="19" t="str">
        <f>IFERROR(IF(AND(DA182&lt;&gt;"",VLOOKUP($P182&amp;" | "&amp;CR$6,'Job Master'!$F$12:$I$102,4,0)&lt;&gt;""),IF(WEEKDAY(DA182-VLOOKUP($P182&amp;" | "&amp;CR$6,'Job Master'!$F$12:$I$102,4,0))&lt;&gt;7,DA182-VLOOKUP($P182&amp;" | "&amp;CR$6,'Job Master'!$F$12:$I$102,4,0),DA182-VLOOKUP($P182&amp;" | "&amp;CR$6,'Job Master'!$F$12:$I$102,4,0)-1),""),"")</f>
        <v/>
      </c>
      <c r="CU182" s="73"/>
      <c r="CV182" s="123" t="str">
        <f t="shared" si="297"/>
        <v/>
      </c>
      <c r="CW182" s="123" t="str">
        <f t="shared" si="298"/>
        <v/>
      </c>
      <c r="CX182" s="97" t="str">
        <f t="shared" ca="1" si="299"/>
        <v/>
      </c>
      <c r="CY182" s="98" t="str">
        <f>IF(DA182&lt;&gt;"",VLOOKUP($P182&amp;" | "&amp;CY$6,'Job Master'!$F$12:$J$102,5,0),"")</f>
        <v/>
      </c>
      <c r="CZ182" s="19" t="str">
        <f>IF(DA182&lt;&gt;"",VLOOKUP($P182&amp;" | "&amp;CY$6,'Job Master'!$F$12:$J$102,3,0),"")</f>
        <v/>
      </c>
      <c r="DA182" s="19" t="str">
        <f>IFERROR(IF(AND(DH182&lt;&gt;"",VLOOKUP($P182&amp;" | "&amp;CY$6,'Job Master'!$F$12:$I$102,4,0)&lt;&gt;""),IF(WEEKDAY(DH182-VLOOKUP($P182&amp;" | "&amp;CY$6,'Job Master'!$F$12:$I$102,4,0))&lt;&gt;7,DH182-VLOOKUP($P182&amp;" | "&amp;CY$6,'Job Master'!$F$12:$I$102,4,0),DH182-VLOOKUP($P182&amp;" | "&amp;CY$6,'Job Master'!$F$12:$I$102,4,0)-1),""),"")</f>
        <v/>
      </c>
      <c r="DB182" s="73"/>
      <c r="DC182" s="123" t="str">
        <f t="shared" si="300"/>
        <v/>
      </c>
      <c r="DD182" s="123" t="str">
        <f t="shared" si="301"/>
        <v/>
      </c>
      <c r="DE182" s="97" t="str">
        <f t="shared" ca="1" si="302"/>
        <v/>
      </c>
      <c r="DF182" s="98" t="str">
        <f>IF(DH182&lt;&gt;"",VLOOKUP($P182&amp;" | "&amp;DF$6,'Job Master'!$F$12:$J$102,5,0),"")</f>
        <v/>
      </c>
      <c r="DG182" s="19" t="str">
        <f>IF(DH182&lt;&gt;"",VLOOKUP($P182&amp;" | "&amp;DF$6,'Job Master'!$F$12:$J$102,3,0),"")</f>
        <v/>
      </c>
      <c r="DH182" s="19" t="str">
        <f>IFERROR(IF(AND(DO182&lt;&gt;"",VLOOKUP($P182&amp;" | "&amp;DF$6,'Job Master'!$F$12:$I$102,4,0)&lt;&gt;""),IF(WEEKDAY(DO182-VLOOKUP($P182&amp;" | "&amp;DF$6,'Job Master'!$F$12:$I$102,4,0))&lt;&gt;7,DO182-VLOOKUP($P182&amp;" | "&amp;DF$6,'Job Master'!$F$12:$I$102,4,0),DO182-VLOOKUP($P182&amp;" | "&amp;DF$6,'Job Master'!$F$12:$I$102,4,0)-1),""),"")</f>
        <v/>
      </c>
      <c r="DI182" s="73"/>
      <c r="DJ182" s="123" t="str">
        <f t="shared" si="303"/>
        <v/>
      </c>
      <c r="DK182" s="123" t="str">
        <f t="shared" si="304"/>
        <v/>
      </c>
      <c r="DL182" s="97" t="str">
        <f t="shared" ca="1" si="305"/>
        <v/>
      </c>
      <c r="DM182" s="98" t="str">
        <f>IF(DO182&lt;&gt;"",VLOOKUP($P182&amp;" | "&amp;DM$6,'Job Master'!$F$12:$J$102,5,0),"")</f>
        <v/>
      </c>
      <c r="DN182" s="19" t="str">
        <f>IF(DO182&lt;&gt;"",VLOOKUP($P182&amp;" | "&amp;DM$6,'Job Master'!$F$12:$J$102,3,0),"")</f>
        <v/>
      </c>
      <c r="DO182" s="19" t="str">
        <f>IFERROR(IF(AND(DT182&lt;&gt;"",VLOOKUP($P182&amp;" | "&amp;DM$6,'Job Master'!$F$12:$I$102,4,0)&lt;&gt;""),IF(WEEKDAY(DT182-VLOOKUP($P182&amp;" | "&amp;DM$6,'Job Master'!$F$12:$I$102,4,0))&lt;&gt;7,DT182-VLOOKUP($P182&amp;" | "&amp;DM$6,'Job Master'!$F$12:$I$102,4,0),DT182-VLOOKUP($P182&amp;" | "&amp;DM$6,'Job Master'!$F$12:$I$102,4,0)-1),""),"")</f>
        <v/>
      </c>
      <c r="DP182" s="73"/>
      <c r="DQ182" s="123" t="str">
        <f t="shared" si="306"/>
        <v/>
      </c>
      <c r="DR182" s="123" t="str">
        <f t="shared" si="307"/>
        <v/>
      </c>
      <c r="DS182" s="97" t="str">
        <f t="shared" ca="1" si="308"/>
        <v/>
      </c>
      <c r="DT182" s="70" t="str">
        <f t="shared" si="309"/>
        <v/>
      </c>
      <c r="DU182" s="90"/>
      <c r="DV182" s="123" t="str">
        <f t="shared" si="310"/>
        <v/>
      </c>
      <c r="DW182" s="123" t="str">
        <f t="shared" si="311"/>
        <v/>
      </c>
      <c r="DX182" s="132" t="str">
        <f t="shared" ref="DX182" ca="1" si="367">IF(DT182&lt;&gt;"",IF(WEEKNUM(DT182)=WEEKNUM(TODAY()),"This Week",IF(WEEKNUM(DT182)=WEEKNUM(TODAY())+1,"Next Week",IF(WEEKNUM(DT182)=WEEKNUM(TODAY())-1,"Previous Week",""))),"")</f>
        <v/>
      </c>
      <c r="DY182" s="134" t="str">
        <f t="shared" si="313"/>
        <v/>
      </c>
      <c r="DZ182" s="95"/>
      <c r="EB182" s="8" t="str">
        <f t="shared" si="319"/>
        <v/>
      </c>
      <c r="EC182" s="8" t="str">
        <f>IF(O182&lt;&gt;"",VLOOKUP(O182,'Job Master'!$N$12:$O$18,2,0),"")</f>
        <v/>
      </c>
      <c r="ED182" s="8">
        <f t="shared" si="320"/>
        <v>19.5</v>
      </c>
      <c r="EE182" s="8">
        <f t="shared" si="321"/>
        <v>6</v>
      </c>
      <c r="EF182" s="8">
        <f t="shared" si="322"/>
        <v>-1012.5</v>
      </c>
      <c r="EG182" s="8" t="str">
        <f t="shared" si="323"/>
        <v/>
      </c>
      <c r="EH182" s="8" t="str">
        <f t="shared" si="324"/>
        <v/>
      </c>
    </row>
    <row r="183" spans="2:138" x14ac:dyDescent="0.3">
      <c r="B183" s="112"/>
      <c r="C183" s="27"/>
      <c r="D183" s="7" t="str">
        <f t="shared" si="261"/>
        <v/>
      </c>
      <c r="E183" s="25"/>
      <c r="F183" s="7" t="str">
        <f t="shared" si="261"/>
        <v/>
      </c>
      <c r="G183" s="25"/>
      <c r="H183" s="7" t="str">
        <f t="shared" si="261"/>
        <v/>
      </c>
      <c r="I183" s="25"/>
      <c r="J183" s="7" t="str">
        <f t="shared" si="261"/>
        <v/>
      </c>
      <c r="K183" s="25"/>
      <c r="L183" s="7" t="str">
        <f t="shared" si="262"/>
        <v/>
      </c>
      <c r="M183" s="25"/>
      <c r="N183" s="7" t="str">
        <f t="shared" si="263"/>
        <v/>
      </c>
      <c r="O183" s="81"/>
      <c r="P183" s="81" t="str">
        <f t="shared" si="264"/>
        <v/>
      </c>
      <c r="Q183" s="81"/>
      <c r="R183" s="7" t="str">
        <f t="shared" si="265"/>
        <v/>
      </c>
      <c r="S183" s="25"/>
      <c r="T183" s="7" t="str">
        <f t="shared" si="266"/>
        <v/>
      </c>
      <c r="U183" s="25"/>
      <c r="V183" s="7" t="str">
        <f t="shared" si="267"/>
        <v/>
      </c>
      <c r="W183" s="25"/>
      <c r="X183" s="7" t="str">
        <f t="shared" si="268"/>
        <v/>
      </c>
      <c r="Y183" s="18" t="str">
        <f t="shared" si="269"/>
        <v/>
      </c>
      <c r="Z183" s="7" t="str">
        <f t="shared" si="270"/>
        <v/>
      </c>
      <c r="AA183" s="18" t="str">
        <f t="shared" si="271"/>
        <v/>
      </c>
      <c r="AB183" s="19" t="str">
        <f t="shared" si="272"/>
        <v/>
      </c>
      <c r="AC183" s="26"/>
      <c r="AD183" s="26"/>
      <c r="AE183" s="25"/>
      <c r="AF183" s="26"/>
      <c r="AG183" s="25"/>
      <c r="AH183" s="25"/>
      <c r="AI183" s="18" t="str">
        <f t="shared" si="335"/>
        <v/>
      </c>
      <c r="AJ183" s="25"/>
      <c r="AK183" s="18" t="str">
        <f t="shared" si="336"/>
        <v/>
      </c>
      <c r="AL183" s="79"/>
      <c r="AM183" s="126" t="str">
        <f t="shared" si="337"/>
        <v/>
      </c>
      <c r="AN183" s="128" t="str">
        <f>IF(AP183&lt;&gt;"",VLOOKUP($P183&amp;" | "&amp;AN$6,'Job Master'!$F$12:$J$102,5,0),"")</f>
        <v/>
      </c>
      <c r="AO183" s="19" t="str">
        <f>IF(AP183&lt;&gt;"",VLOOKUP($P183&amp;" | "&amp;AN$6,'Job Master'!$F$12:$J$102,3,0),"")</f>
        <v/>
      </c>
      <c r="AP183" s="19" t="str">
        <f>IFERROR(IF(AND(AW183&lt;&gt;"",VLOOKUP($P183&amp;" | "&amp;AN$6,'Job Master'!$F$12:$I$102,4,0)&lt;&gt;""),IF(WEEKDAY(AW183-VLOOKUP($P183&amp;" | "&amp;AN$6,'Job Master'!$F$12:$I$102,4,0))&lt;&gt;7,AW183-VLOOKUP($P183&amp;" | "&amp;AN$6,'Job Master'!$F$12:$I$102,4,0),AW183-VLOOKUP($P183&amp;" | "&amp;AN$6,'Job Master'!$F$12:$I$102,4,0)-1),""),"")</f>
        <v/>
      </c>
      <c r="AQ183" s="73"/>
      <c r="AR183" s="123" t="str">
        <f t="shared" si="273"/>
        <v/>
      </c>
      <c r="AS183" s="123" t="str">
        <f t="shared" si="274"/>
        <v/>
      </c>
      <c r="AT183" s="97" t="str">
        <f t="shared" ca="1" si="275"/>
        <v/>
      </c>
      <c r="AU183" s="98" t="str">
        <f>IF(AW183&lt;&gt;"",VLOOKUP($P183&amp;" | "&amp;AU$6,'Job Master'!$F$12:$J$102,5,0),"")</f>
        <v/>
      </c>
      <c r="AV183" s="19" t="str">
        <f>IF(AW183&lt;&gt;"",VLOOKUP($P183&amp;" | "&amp;AU$6,'Job Master'!$F$12:$J$102,3,0),"")</f>
        <v/>
      </c>
      <c r="AW183" s="19" t="str">
        <f>IFERROR(IF(AND(BD183&lt;&gt;"",VLOOKUP($P183&amp;" | "&amp;AU$6,'Job Master'!$F$12:$I$102,4,0)&lt;&gt;""),IF(WEEKDAY(BD183-VLOOKUP($P183&amp;" | "&amp;AU$6,'Job Master'!$F$12:$I$102,4,0))&lt;&gt;7,BD183-VLOOKUP($P183&amp;" | "&amp;AU$6,'Job Master'!$F$12:$I$102,4,0),BD183-VLOOKUP($P183&amp;" | "&amp;AU$6,'Job Master'!$F$12:$I$102,4,0)-1),""),"")</f>
        <v/>
      </c>
      <c r="AX183" s="73"/>
      <c r="AY183" s="123" t="str">
        <f t="shared" si="276"/>
        <v/>
      </c>
      <c r="AZ183" s="123" t="str">
        <f t="shared" si="277"/>
        <v/>
      </c>
      <c r="BA183" s="97" t="str">
        <f t="shared" ca="1" si="278"/>
        <v/>
      </c>
      <c r="BB183" s="98" t="str">
        <f>IF(BD183&lt;&gt;"",VLOOKUP($P183&amp;" | "&amp;BB$6,'Job Master'!$F$12:$J$102,5,0),"")</f>
        <v/>
      </c>
      <c r="BC183" s="19" t="str">
        <f>IF(BD183&lt;&gt;"",VLOOKUP($P183&amp;" | "&amp;BB$6,'Job Master'!$F$12:$J$102,3,0),"")</f>
        <v/>
      </c>
      <c r="BD183" s="19" t="str">
        <f>IFERROR(IF(AND(BK183&lt;&gt;"",VLOOKUP($P183&amp;" | "&amp;BB$6,'Job Master'!$F$12:$I$102,4,0)&lt;&gt;""),IF(WEEKDAY(BK183-VLOOKUP($P183&amp;" | "&amp;BB$6,'Job Master'!$F$12:$I$102,4,0))&lt;&gt;7,BK183-VLOOKUP($P183&amp;" | "&amp;BB$6,'Job Master'!$F$12:$I$102,4,0),BK183-VLOOKUP($P183&amp;" | "&amp;BB$6,'Job Master'!$F$12:$I$102,4,0)-1),""),"")</f>
        <v/>
      </c>
      <c r="BE183" s="73"/>
      <c r="BF183" s="123" t="str">
        <f t="shared" si="279"/>
        <v/>
      </c>
      <c r="BG183" s="123" t="str">
        <f t="shared" si="280"/>
        <v/>
      </c>
      <c r="BH183" s="97" t="str">
        <f t="shared" ca="1" si="281"/>
        <v/>
      </c>
      <c r="BI183" s="98" t="str">
        <f>IF(BK183&lt;&gt;"",VLOOKUP($P183&amp;" | "&amp;BI$6,'Job Master'!$F$12:$J$102,5,0),"")</f>
        <v/>
      </c>
      <c r="BJ183" s="19" t="str">
        <f>IF(BK183&lt;&gt;"",VLOOKUP($P183&amp;" | "&amp;BI$6,'Job Master'!$F$12:$J$102,3,0),"")</f>
        <v/>
      </c>
      <c r="BK183" s="19" t="str">
        <f>IFERROR(IF(AND(BR183&lt;&gt;"",VLOOKUP($P183&amp;" | "&amp;BI$6,'Job Master'!$F$12:$I$102,4,0)&lt;&gt;""),IF(WEEKDAY(BR183-VLOOKUP($P183&amp;" | "&amp;BI$6,'Job Master'!$F$12:$I$102,4,0))&lt;&gt;7,BR183-VLOOKUP($P183&amp;" | "&amp;BI$6,'Job Master'!$F$12:$I$102,4,0),BR183-VLOOKUP($P183&amp;" | "&amp;BI$6,'Job Master'!$F$12:$I$102,4,0)-1),""),"")</f>
        <v/>
      </c>
      <c r="BL183" s="73"/>
      <c r="BM183" s="123" t="str">
        <f t="shared" si="282"/>
        <v/>
      </c>
      <c r="BN183" s="123" t="str">
        <f t="shared" si="283"/>
        <v/>
      </c>
      <c r="BO183" s="97" t="str">
        <f t="shared" ca="1" si="284"/>
        <v/>
      </c>
      <c r="BP183" s="98" t="str">
        <f>IF(BR183&lt;&gt;"",VLOOKUP($P183&amp;" | "&amp;BP$6,'Job Master'!$F$12:$J$102,5,0),"")</f>
        <v/>
      </c>
      <c r="BQ183" s="19" t="str">
        <f>IF(BR183&lt;&gt;"",VLOOKUP($P183&amp;" | "&amp;BP$6,'Job Master'!$F$12:$J$102,3,0),"")</f>
        <v/>
      </c>
      <c r="BR183" s="19" t="str">
        <f>IFERROR(IF(AND(BY183&lt;&gt;"",VLOOKUP($P183&amp;" | "&amp;BP$6,'Job Master'!$F$12:$I$102,4,0)&lt;&gt;""),IF(WEEKDAY(BY183-VLOOKUP($P183&amp;" | "&amp;BP$6,'Job Master'!$F$12:$I$102,4,0))&lt;&gt;7,BY183-VLOOKUP($P183&amp;" | "&amp;BP$6,'Job Master'!$F$12:$I$102,4,0),BY183-VLOOKUP($P183&amp;" | "&amp;BP$6,'Job Master'!$F$12:$I$102,4,0)-1),""),"")</f>
        <v/>
      </c>
      <c r="BS183" s="73"/>
      <c r="BT183" s="123" t="str">
        <f t="shared" si="285"/>
        <v/>
      </c>
      <c r="BU183" s="123" t="str">
        <f t="shared" si="286"/>
        <v/>
      </c>
      <c r="BV183" s="97" t="str">
        <f t="shared" ca="1" si="287"/>
        <v/>
      </c>
      <c r="BW183" s="98" t="str">
        <f>IF(BY183&lt;&gt;"",VLOOKUP($P183&amp;" | "&amp;BW$6,'Job Master'!$F$12:$J$102,5,0),"")</f>
        <v/>
      </c>
      <c r="BX183" s="19" t="str">
        <f>IF(BY183&lt;&gt;"",VLOOKUP($P183&amp;" | "&amp;BW$6,'Job Master'!$F$12:$J$102,3,0),"")</f>
        <v/>
      </c>
      <c r="BY183" s="19" t="str">
        <f>IFERROR(IF(AND(CF183&lt;&gt;"",VLOOKUP($P183&amp;" | "&amp;BW$6,'Job Master'!$F$12:$I$102,4,0)&lt;&gt;""),IF(WEEKDAY(CF183-VLOOKUP($P183&amp;" | "&amp;BW$6,'Job Master'!$F$12:$I$102,4,0))&lt;&gt;7,CF183-VLOOKUP($P183&amp;" | "&amp;BW$6,'Job Master'!$F$12:$I$102,4,0),CF183-VLOOKUP($P183&amp;" | "&amp;BW$6,'Job Master'!$F$12:$I$102,4,0)-1),""),"")</f>
        <v/>
      </c>
      <c r="BZ183" s="73"/>
      <c r="CA183" s="123" t="str">
        <f t="shared" si="288"/>
        <v/>
      </c>
      <c r="CB183" s="123" t="str">
        <f t="shared" si="289"/>
        <v/>
      </c>
      <c r="CC183" s="97" t="str">
        <f t="shared" ca="1" si="290"/>
        <v/>
      </c>
      <c r="CD183" s="98" t="str">
        <f>IF(CF183&lt;&gt;"",VLOOKUP($P183&amp;" | "&amp;CD$6,'Job Master'!$F$12:$J$102,5,0),"")</f>
        <v/>
      </c>
      <c r="CE183" s="19" t="str">
        <f>IF(CF183&lt;&gt;"",VLOOKUP($P183&amp;" | "&amp;CD$6,'Job Master'!$F$12:$J$102,3,0),"")</f>
        <v/>
      </c>
      <c r="CF183" s="19" t="str">
        <f>IFERROR(IF(AND(CM183&lt;&gt;"",VLOOKUP($P183&amp;" | "&amp;CD$6,'Job Master'!$F$12:$I$102,4,0)&lt;&gt;""),IF(WEEKDAY(CM183-VLOOKUP($P183&amp;" | "&amp;CD$6,'Job Master'!$F$12:$I$102,4,0))&lt;&gt;7,CM183-VLOOKUP($P183&amp;" | "&amp;CD$6,'Job Master'!$F$12:$I$102,4,0),CM183-VLOOKUP($P183&amp;" | "&amp;CD$6,'Job Master'!$F$12:$I$102,4,0)-1),""),"")</f>
        <v/>
      </c>
      <c r="CG183" s="73"/>
      <c r="CH183" s="123" t="str">
        <f t="shared" si="291"/>
        <v/>
      </c>
      <c r="CI183" s="123" t="str">
        <f t="shared" si="292"/>
        <v/>
      </c>
      <c r="CJ183" s="97" t="str">
        <f t="shared" ca="1" si="293"/>
        <v/>
      </c>
      <c r="CK183" s="98" t="str">
        <f>IF(CM183&lt;&gt;"",VLOOKUP($P183&amp;" | "&amp;CK$6,'Job Master'!$F$12:$J$102,5,0),"")</f>
        <v/>
      </c>
      <c r="CL183" s="19" t="str">
        <f>IF(CM183&lt;&gt;"",VLOOKUP($P183&amp;" | "&amp;CK$6,'Job Master'!$F$12:$J$102,3,0),"")</f>
        <v/>
      </c>
      <c r="CM183" s="19" t="str">
        <f>IFERROR(IF(AND(CT183&lt;&gt;"",VLOOKUP($P183&amp;" | "&amp;CK$6,'Job Master'!$F$12:$I$102,4,0)&lt;&gt;""),IF(WEEKDAY(CT183-VLOOKUP($P183&amp;" | "&amp;CK$6,'Job Master'!$F$12:$I$102,4,0))&lt;&gt;7,CT183-VLOOKUP($P183&amp;" | "&amp;CK$6,'Job Master'!$F$12:$I$102,4,0),CT183-VLOOKUP($P183&amp;" | "&amp;CK$6,'Job Master'!$F$12:$I$102,4,0)-1),""),"")</f>
        <v/>
      </c>
      <c r="CN183" s="73"/>
      <c r="CO183" s="123" t="str">
        <f t="shared" si="294"/>
        <v/>
      </c>
      <c r="CP183" s="123" t="str">
        <f t="shared" si="295"/>
        <v/>
      </c>
      <c r="CQ183" s="97" t="str">
        <f t="shared" ca="1" si="296"/>
        <v/>
      </c>
      <c r="CR183" s="98" t="str">
        <f>IF(CT183&lt;&gt;"",VLOOKUP($P183&amp;" | "&amp;CR$6,'Job Master'!$F$12:$J$102,5,0),"")</f>
        <v/>
      </c>
      <c r="CS183" s="19" t="str">
        <f>IF(CT183&lt;&gt;"",VLOOKUP($P183&amp;" | "&amp;CR$6,'Job Master'!$F$12:$J$102,3,0),"")</f>
        <v/>
      </c>
      <c r="CT183" s="19" t="str">
        <f>IFERROR(IF(AND(DA183&lt;&gt;"",VLOOKUP($P183&amp;" | "&amp;CR$6,'Job Master'!$F$12:$I$102,4,0)&lt;&gt;""),IF(WEEKDAY(DA183-VLOOKUP($P183&amp;" | "&amp;CR$6,'Job Master'!$F$12:$I$102,4,0))&lt;&gt;7,DA183-VLOOKUP($P183&amp;" | "&amp;CR$6,'Job Master'!$F$12:$I$102,4,0),DA183-VLOOKUP($P183&amp;" | "&amp;CR$6,'Job Master'!$F$12:$I$102,4,0)-1),""),"")</f>
        <v/>
      </c>
      <c r="CU183" s="73"/>
      <c r="CV183" s="123" t="str">
        <f t="shared" si="297"/>
        <v/>
      </c>
      <c r="CW183" s="123" t="str">
        <f t="shared" si="298"/>
        <v/>
      </c>
      <c r="CX183" s="97" t="str">
        <f t="shared" ca="1" si="299"/>
        <v/>
      </c>
      <c r="CY183" s="98" t="str">
        <f>IF(DA183&lt;&gt;"",VLOOKUP($P183&amp;" | "&amp;CY$6,'Job Master'!$F$12:$J$102,5,0),"")</f>
        <v/>
      </c>
      <c r="CZ183" s="19" t="str">
        <f>IF(DA183&lt;&gt;"",VLOOKUP($P183&amp;" | "&amp;CY$6,'Job Master'!$F$12:$J$102,3,0),"")</f>
        <v/>
      </c>
      <c r="DA183" s="19" t="str">
        <f>IFERROR(IF(AND(DH183&lt;&gt;"",VLOOKUP($P183&amp;" | "&amp;CY$6,'Job Master'!$F$12:$I$102,4,0)&lt;&gt;""),IF(WEEKDAY(DH183-VLOOKUP($P183&amp;" | "&amp;CY$6,'Job Master'!$F$12:$I$102,4,0))&lt;&gt;7,DH183-VLOOKUP($P183&amp;" | "&amp;CY$6,'Job Master'!$F$12:$I$102,4,0),DH183-VLOOKUP($P183&amp;" | "&amp;CY$6,'Job Master'!$F$12:$I$102,4,0)-1),""),"")</f>
        <v/>
      </c>
      <c r="DB183" s="73"/>
      <c r="DC183" s="123" t="str">
        <f t="shared" si="300"/>
        <v/>
      </c>
      <c r="DD183" s="123" t="str">
        <f t="shared" si="301"/>
        <v/>
      </c>
      <c r="DE183" s="97" t="str">
        <f t="shared" ca="1" si="302"/>
        <v/>
      </c>
      <c r="DF183" s="98" t="str">
        <f>IF(DH183&lt;&gt;"",VLOOKUP($P183&amp;" | "&amp;DF$6,'Job Master'!$F$12:$J$102,5,0),"")</f>
        <v/>
      </c>
      <c r="DG183" s="19" t="str">
        <f>IF(DH183&lt;&gt;"",VLOOKUP($P183&amp;" | "&amp;DF$6,'Job Master'!$F$12:$J$102,3,0),"")</f>
        <v/>
      </c>
      <c r="DH183" s="19" t="str">
        <f>IFERROR(IF(AND(DO183&lt;&gt;"",VLOOKUP($P183&amp;" | "&amp;DF$6,'Job Master'!$F$12:$I$102,4,0)&lt;&gt;""),IF(WEEKDAY(DO183-VLOOKUP($P183&amp;" | "&amp;DF$6,'Job Master'!$F$12:$I$102,4,0))&lt;&gt;7,DO183-VLOOKUP($P183&amp;" | "&amp;DF$6,'Job Master'!$F$12:$I$102,4,0),DO183-VLOOKUP($P183&amp;" | "&amp;DF$6,'Job Master'!$F$12:$I$102,4,0)-1),""),"")</f>
        <v/>
      </c>
      <c r="DI183" s="73"/>
      <c r="DJ183" s="123" t="str">
        <f t="shared" si="303"/>
        <v/>
      </c>
      <c r="DK183" s="123" t="str">
        <f t="shared" si="304"/>
        <v/>
      </c>
      <c r="DL183" s="97" t="str">
        <f t="shared" ca="1" si="305"/>
        <v/>
      </c>
      <c r="DM183" s="98" t="str">
        <f>IF(DO183&lt;&gt;"",VLOOKUP($P183&amp;" | "&amp;DM$6,'Job Master'!$F$12:$J$102,5,0),"")</f>
        <v/>
      </c>
      <c r="DN183" s="19" t="str">
        <f>IF(DO183&lt;&gt;"",VLOOKUP($P183&amp;" | "&amp;DM$6,'Job Master'!$F$12:$J$102,3,0),"")</f>
        <v/>
      </c>
      <c r="DO183" s="19" t="str">
        <f>IFERROR(IF(AND(DT183&lt;&gt;"",VLOOKUP($P183&amp;" | "&amp;DM$6,'Job Master'!$F$12:$I$102,4,0)&lt;&gt;""),IF(WEEKDAY(DT183-VLOOKUP($P183&amp;" | "&amp;DM$6,'Job Master'!$F$12:$I$102,4,0))&lt;&gt;7,DT183-VLOOKUP($P183&amp;" | "&amp;DM$6,'Job Master'!$F$12:$I$102,4,0),DT183-VLOOKUP($P183&amp;" | "&amp;DM$6,'Job Master'!$F$12:$I$102,4,0)-1),""),"")</f>
        <v/>
      </c>
      <c r="DP183" s="73"/>
      <c r="DQ183" s="123" t="str">
        <f t="shared" si="306"/>
        <v/>
      </c>
      <c r="DR183" s="123" t="str">
        <f t="shared" si="307"/>
        <v/>
      </c>
      <c r="DS183" s="97" t="str">
        <f t="shared" ca="1" si="308"/>
        <v/>
      </c>
      <c r="DT183" s="70" t="str">
        <f t="shared" si="309"/>
        <v/>
      </c>
      <c r="DU183" s="90"/>
      <c r="DV183" s="123" t="str">
        <f t="shared" si="310"/>
        <v/>
      </c>
      <c r="DW183" s="123" t="str">
        <f t="shared" si="311"/>
        <v/>
      </c>
      <c r="DX183" s="132" t="str">
        <f t="shared" ref="DX183" ca="1" si="368">IF(DT183&lt;&gt;"",IF(WEEKNUM(DT183)=WEEKNUM(TODAY()),"This Week",IF(WEEKNUM(DT183)=WEEKNUM(TODAY())+1,"Next Week",IF(WEEKNUM(DT183)=WEEKNUM(TODAY())-1,"Previous Week",""))),"")</f>
        <v/>
      </c>
      <c r="DY183" s="134" t="str">
        <f t="shared" si="313"/>
        <v/>
      </c>
      <c r="DZ183" s="95"/>
      <c r="EB183" s="8" t="str">
        <f t="shared" si="319"/>
        <v/>
      </c>
      <c r="EC183" s="8" t="str">
        <f>IF(O183&lt;&gt;"",VLOOKUP(O183,'Job Master'!$N$12:$O$18,2,0),"")</f>
        <v/>
      </c>
      <c r="ED183" s="8">
        <f t="shared" si="320"/>
        <v>19.5</v>
      </c>
      <c r="EE183" s="8">
        <f t="shared" si="321"/>
        <v>6</v>
      </c>
      <c r="EF183" s="8">
        <f t="shared" si="322"/>
        <v>-1018.5</v>
      </c>
      <c r="EG183" s="8" t="str">
        <f t="shared" si="323"/>
        <v/>
      </c>
      <c r="EH183" s="8" t="str">
        <f t="shared" si="324"/>
        <v/>
      </c>
    </row>
    <row r="184" spans="2:138" x14ac:dyDescent="0.3">
      <c r="B184" s="112"/>
      <c r="C184" s="27"/>
      <c r="D184" s="7" t="str">
        <f t="shared" si="261"/>
        <v/>
      </c>
      <c r="E184" s="25"/>
      <c r="F184" s="7" t="str">
        <f t="shared" si="261"/>
        <v/>
      </c>
      <c r="G184" s="25"/>
      <c r="H184" s="7" t="str">
        <f t="shared" si="261"/>
        <v/>
      </c>
      <c r="I184" s="25"/>
      <c r="J184" s="7" t="str">
        <f t="shared" si="261"/>
        <v/>
      </c>
      <c r="K184" s="25"/>
      <c r="L184" s="7" t="str">
        <f t="shared" si="262"/>
        <v/>
      </c>
      <c r="M184" s="25"/>
      <c r="N184" s="7" t="str">
        <f t="shared" si="263"/>
        <v/>
      </c>
      <c r="O184" s="81"/>
      <c r="P184" s="81" t="str">
        <f t="shared" si="264"/>
        <v/>
      </c>
      <c r="Q184" s="81"/>
      <c r="R184" s="7" t="str">
        <f t="shared" si="265"/>
        <v/>
      </c>
      <c r="S184" s="25"/>
      <c r="T184" s="7" t="str">
        <f t="shared" si="266"/>
        <v/>
      </c>
      <c r="U184" s="25"/>
      <c r="V184" s="7" t="str">
        <f t="shared" si="267"/>
        <v/>
      </c>
      <c r="W184" s="25"/>
      <c r="X184" s="7" t="str">
        <f t="shared" si="268"/>
        <v/>
      </c>
      <c r="Y184" s="18" t="str">
        <f t="shared" si="269"/>
        <v/>
      </c>
      <c r="Z184" s="7" t="str">
        <f t="shared" si="270"/>
        <v/>
      </c>
      <c r="AA184" s="18" t="str">
        <f t="shared" si="271"/>
        <v/>
      </c>
      <c r="AB184" s="19" t="str">
        <f t="shared" si="272"/>
        <v/>
      </c>
      <c r="AC184" s="26"/>
      <c r="AD184" s="26"/>
      <c r="AE184" s="25"/>
      <c r="AF184" s="26"/>
      <c r="AG184" s="25"/>
      <c r="AH184" s="25"/>
      <c r="AI184" s="18" t="str">
        <f t="shared" si="335"/>
        <v/>
      </c>
      <c r="AJ184" s="25"/>
      <c r="AK184" s="18" t="str">
        <f t="shared" si="336"/>
        <v/>
      </c>
      <c r="AL184" s="79"/>
      <c r="AM184" s="126" t="str">
        <f t="shared" si="337"/>
        <v/>
      </c>
      <c r="AN184" s="128" t="str">
        <f>IF(AP184&lt;&gt;"",VLOOKUP($P184&amp;" | "&amp;AN$6,'Job Master'!$F$12:$J$102,5,0),"")</f>
        <v/>
      </c>
      <c r="AO184" s="19" t="str">
        <f>IF(AP184&lt;&gt;"",VLOOKUP($P184&amp;" | "&amp;AN$6,'Job Master'!$F$12:$J$102,3,0),"")</f>
        <v/>
      </c>
      <c r="AP184" s="19" t="str">
        <f>IFERROR(IF(AND(AW184&lt;&gt;"",VLOOKUP($P184&amp;" | "&amp;AN$6,'Job Master'!$F$12:$I$102,4,0)&lt;&gt;""),IF(WEEKDAY(AW184-VLOOKUP($P184&amp;" | "&amp;AN$6,'Job Master'!$F$12:$I$102,4,0))&lt;&gt;7,AW184-VLOOKUP($P184&amp;" | "&amp;AN$6,'Job Master'!$F$12:$I$102,4,0),AW184-VLOOKUP($P184&amp;" | "&amp;AN$6,'Job Master'!$F$12:$I$102,4,0)-1),""),"")</f>
        <v/>
      </c>
      <c r="AQ184" s="73"/>
      <c r="AR184" s="123" t="str">
        <f t="shared" si="273"/>
        <v/>
      </c>
      <c r="AS184" s="123" t="str">
        <f t="shared" si="274"/>
        <v/>
      </c>
      <c r="AT184" s="97" t="str">
        <f t="shared" ca="1" si="275"/>
        <v/>
      </c>
      <c r="AU184" s="98" t="str">
        <f>IF(AW184&lt;&gt;"",VLOOKUP($P184&amp;" | "&amp;AU$6,'Job Master'!$F$12:$J$102,5,0),"")</f>
        <v/>
      </c>
      <c r="AV184" s="19" t="str">
        <f>IF(AW184&lt;&gt;"",VLOOKUP($P184&amp;" | "&amp;AU$6,'Job Master'!$F$12:$J$102,3,0),"")</f>
        <v/>
      </c>
      <c r="AW184" s="19" t="str">
        <f>IFERROR(IF(AND(BD184&lt;&gt;"",VLOOKUP($P184&amp;" | "&amp;AU$6,'Job Master'!$F$12:$I$102,4,0)&lt;&gt;""),IF(WEEKDAY(BD184-VLOOKUP($P184&amp;" | "&amp;AU$6,'Job Master'!$F$12:$I$102,4,0))&lt;&gt;7,BD184-VLOOKUP($P184&amp;" | "&amp;AU$6,'Job Master'!$F$12:$I$102,4,0),BD184-VLOOKUP($P184&amp;" | "&amp;AU$6,'Job Master'!$F$12:$I$102,4,0)-1),""),"")</f>
        <v/>
      </c>
      <c r="AX184" s="73"/>
      <c r="AY184" s="123" t="str">
        <f t="shared" si="276"/>
        <v/>
      </c>
      <c r="AZ184" s="123" t="str">
        <f t="shared" si="277"/>
        <v/>
      </c>
      <c r="BA184" s="97" t="str">
        <f t="shared" ca="1" si="278"/>
        <v/>
      </c>
      <c r="BB184" s="98" t="str">
        <f>IF(BD184&lt;&gt;"",VLOOKUP($P184&amp;" | "&amp;BB$6,'Job Master'!$F$12:$J$102,5,0),"")</f>
        <v/>
      </c>
      <c r="BC184" s="19" t="str">
        <f>IF(BD184&lt;&gt;"",VLOOKUP($P184&amp;" | "&amp;BB$6,'Job Master'!$F$12:$J$102,3,0),"")</f>
        <v/>
      </c>
      <c r="BD184" s="19" t="str">
        <f>IFERROR(IF(AND(BK184&lt;&gt;"",VLOOKUP($P184&amp;" | "&amp;BB$6,'Job Master'!$F$12:$I$102,4,0)&lt;&gt;""),IF(WEEKDAY(BK184-VLOOKUP($P184&amp;" | "&amp;BB$6,'Job Master'!$F$12:$I$102,4,0))&lt;&gt;7,BK184-VLOOKUP($P184&amp;" | "&amp;BB$6,'Job Master'!$F$12:$I$102,4,0),BK184-VLOOKUP($P184&amp;" | "&amp;BB$6,'Job Master'!$F$12:$I$102,4,0)-1),""),"")</f>
        <v/>
      </c>
      <c r="BE184" s="73"/>
      <c r="BF184" s="123" t="str">
        <f t="shared" si="279"/>
        <v/>
      </c>
      <c r="BG184" s="123" t="str">
        <f t="shared" si="280"/>
        <v/>
      </c>
      <c r="BH184" s="97" t="str">
        <f t="shared" ca="1" si="281"/>
        <v/>
      </c>
      <c r="BI184" s="98" t="str">
        <f>IF(BK184&lt;&gt;"",VLOOKUP($P184&amp;" | "&amp;BI$6,'Job Master'!$F$12:$J$102,5,0),"")</f>
        <v/>
      </c>
      <c r="BJ184" s="19" t="str">
        <f>IF(BK184&lt;&gt;"",VLOOKUP($P184&amp;" | "&amp;BI$6,'Job Master'!$F$12:$J$102,3,0),"")</f>
        <v/>
      </c>
      <c r="BK184" s="19" t="str">
        <f>IFERROR(IF(AND(BR184&lt;&gt;"",VLOOKUP($P184&amp;" | "&amp;BI$6,'Job Master'!$F$12:$I$102,4,0)&lt;&gt;""),IF(WEEKDAY(BR184-VLOOKUP($P184&amp;" | "&amp;BI$6,'Job Master'!$F$12:$I$102,4,0))&lt;&gt;7,BR184-VLOOKUP($P184&amp;" | "&amp;BI$6,'Job Master'!$F$12:$I$102,4,0),BR184-VLOOKUP($P184&amp;" | "&amp;BI$6,'Job Master'!$F$12:$I$102,4,0)-1),""),"")</f>
        <v/>
      </c>
      <c r="BL184" s="73"/>
      <c r="BM184" s="123" t="str">
        <f t="shared" si="282"/>
        <v/>
      </c>
      <c r="BN184" s="123" t="str">
        <f t="shared" si="283"/>
        <v/>
      </c>
      <c r="BO184" s="97" t="str">
        <f t="shared" ca="1" si="284"/>
        <v/>
      </c>
      <c r="BP184" s="98" t="str">
        <f>IF(BR184&lt;&gt;"",VLOOKUP($P184&amp;" | "&amp;BP$6,'Job Master'!$F$12:$J$102,5,0),"")</f>
        <v/>
      </c>
      <c r="BQ184" s="19" t="str">
        <f>IF(BR184&lt;&gt;"",VLOOKUP($P184&amp;" | "&amp;BP$6,'Job Master'!$F$12:$J$102,3,0),"")</f>
        <v/>
      </c>
      <c r="BR184" s="19" t="str">
        <f>IFERROR(IF(AND(BY184&lt;&gt;"",VLOOKUP($P184&amp;" | "&amp;BP$6,'Job Master'!$F$12:$I$102,4,0)&lt;&gt;""),IF(WEEKDAY(BY184-VLOOKUP($P184&amp;" | "&amp;BP$6,'Job Master'!$F$12:$I$102,4,0))&lt;&gt;7,BY184-VLOOKUP($P184&amp;" | "&amp;BP$6,'Job Master'!$F$12:$I$102,4,0),BY184-VLOOKUP($P184&amp;" | "&amp;BP$6,'Job Master'!$F$12:$I$102,4,0)-1),""),"")</f>
        <v/>
      </c>
      <c r="BS184" s="73"/>
      <c r="BT184" s="123" t="str">
        <f t="shared" si="285"/>
        <v/>
      </c>
      <c r="BU184" s="123" t="str">
        <f t="shared" si="286"/>
        <v/>
      </c>
      <c r="BV184" s="97" t="str">
        <f t="shared" ca="1" si="287"/>
        <v/>
      </c>
      <c r="BW184" s="98" t="str">
        <f>IF(BY184&lt;&gt;"",VLOOKUP($P184&amp;" | "&amp;BW$6,'Job Master'!$F$12:$J$102,5,0),"")</f>
        <v/>
      </c>
      <c r="BX184" s="19" t="str">
        <f>IF(BY184&lt;&gt;"",VLOOKUP($P184&amp;" | "&amp;BW$6,'Job Master'!$F$12:$J$102,3,0),"")</f>
        <v/>
      </c>
      <c r="BY184" s="19" t="str">
        <f>IFERROR(IF(AND(CF184&lt;&gt;"",VLOOKUP($P184&amp;" | "&amp;BW$6,'Job Master'!$F$12:$I$102,4,0)&lt;&gt;""),IF(WEEKDAY(CF184-VLOOKUP($P184&amp;" | "&amp;BW$6,'Job Master'!$F$12:$I$102,4,0))&lt;&gt;7,CF184-VLOOKUP($P184&amp;" | "&amp;BW$6,'Job Master'!$F$12:$I$102,4,0),CF184-VLOOKUP($P184&amp;" | "&amp;BW$6,'Job Master'!$F$12:$I$102,4,0)-1),""),"")</f>
        <v/>
      </c>
      <c r="BZ184" s="73"/>
      <c r="CA184" s="123" t="str">
        <f t="shared" si="288"/>
        <v/>
      </c>
      <c r="CB184" s="123" t="str">
        <f t="shared" si="289"/>
        <v/>
      </c>
      <c r="CC184" s="97" t="str">
        <f t="shared" ca="1" si="290"/>
        <v/>
      </c>
      <c r="CD184" s="98" t="str">
        <f>IF(CF184&lt;&gt;"",VLOOKUP($P184&amp;" | "&amp;CD$6,'Job Master'!$F$12:$J$102,5,0),"")</f>
        <v/>
      </c>
      <c r="CE184" s="19" t="str">
        <f>IF(CF184&lt;&gt;"",VLOOKUP($P184&amp;" | "&amp;CD$6,'Job Master'!$F$12:$J$102,3,0),"")</f>
        <v/>
      </c>
      <c r="CF184" s="19" t="str">
        <f>IFERROR(IF(AND(CM184&lt;&gt;"",VLOOKUP($P184&amp;" | "&amp;CD$6,'Job Master'!$F$12:$I$102,4,0)&lt;&gt;""),IF(WEEKDAY(CM184-VLOOKUP($P184&amp;" | "&amp;CD$6,'Job Master'!$F$12:$I$102,4,0))&lt;&gt;7,CM184-VLOOKUP($P184&amp;" | "&amp;CD$6,'Job Master'!$F$12:$I$102,4,0),CM184-VLOOKUP($P184&amp;" | "&amp;CD$6,'Job Master'!$F$12:$I$102,4,0)-1),""),"")</f>
        <v/>
      </c>
      <c r="CG184" s="73"/>
      <c r="CH184" s="123" t="str">
        <f t="shared" si="291"/>
        <v/>
      </c>
      <c r="CI184" s="123" t="str">
        <f t="shared" si="292"/>
        <v/>
      </c>
      <c r="CJ184" s="97" t="str">
        <f t="shared" ca="1" si="293"/>
        <v/>
      </c>
      <c r="CK184" s="98" t="str">
        <f>IF(CM184&lt;&gt;"",VLOOKUP($P184&amp;" | "&amp;CK$6,'Job Master'!$F$12:$J$102,5,0),"")</f>
        <v/>
      </c>
      <c r="CL184" s="19" t="str">
        <f>IF(CM184&lt;&gt;"",VLOOKUP($P184&amp;" | "&amp;CK$6,'Job Master'!$F$12:$J$102,3,0),"")</f>
        <v/>
      </c>
      <c r="CM184" s="19" t="str">
        <f>IFERROR(IF(AND(CT184&lt;&gt;"",VLOOKUP($P184&amp;" | "&amp;CK$6,'Job Master'!$F$12:$I$102,4,0)&lt;&gt;""),IF(WEEKDAY(CT184-VLOOKUP($P184&amp;" | "&amp;CK$6,'Job Master'!$F$12:$I$102,4,0))&lt;&gt;7,CT184-VLOOKUP($P184&amp;" | "&amp;CK$6,'Job Master'!$F$12:$I$102,4,0),CT184-VLOOKUP($P184&amp;" | "&amp;CK$6,'Job Master'!$F$12:$I$102,4,0)-1),""),"")</f>
        <v/>
      </c>
      <c r="CN184" s="73"/>
      <c r="CO184" s="123" t="str">
        <f t="shared" si="294"/>
        <v/>
      </c>
      <c r="CP184" s="123" t="str">
        <f t="shared" si="295"/>
        <v/>
      </c>
      <c r="CQ184" s="97" t="str">
        <f t="shared" ca="1" si="296"/>
        <v/>
      </c>
      <c r="CR184" s="98" t="str">
        <f>IF(CT184&lt;&gt;"",VLOOKUP($P184&amp;" | "&amp;CR$6,'Job Master'!$F$12:$J$102,5,0),"")</f>
        <v/>
      </c>
      <c r="CS184" s="19" t="str">
        <f>IF(CT184&lt;&gt;"",VLOOKUP($P184&amp;" | "&amp;CR$6,'Job Master'!$F$12:$J$102,3,0),"")</f>
        <v/>
      </c>
      <c r="CT184" s="19" t="str">
        <f>IFERROR(IF(AND(DA184&lt;&gt;"",VLOOKUP($P184&amp;" | "&amp;CR$6,'Job Master'!$F$12:$I$102,4,0)&lt;&gt;""),IF(WEEKDAY(DA184-VLOOKUP($P184&amp;" | "&amp;CR$6,'Job Master'!$F$12:$I$102,4,0))&lt;&gt;7,DA184-VLOOKUP($P184&amp;" | "&amp;CR$6,'Job Master'!$F$12:$I$102,4,0),DA184-VLOOKUP($P184&amp;" | "&amp;CR$6,'Job Master'!$F$12:$I$102,4,0)-1),""),"")</f>
        <v/>
      </c>
      <c r="CU184" s="73"/>
      <c r="CV184" s="123" t="str">
        <f t="shared" si="297"/>
        <v/>
      </c>
      <c r="CW184" s="123" t="str">
        <f t="shared" si="298"/>
        <v/>
      </c>
      <c r="CX184" s="97" t="str">
        <f t="shared" ca="1" si="299"/>
        <v/>
      </c>
      <c r="CY184" s="98" t="str">
        <f>IF(DA184&lt;&gt;"",VLOOKUP($P184&amp;" | "&amp;CY$6,'Job Master'!$F$12:$J$102,5,0),"")</f>
        <v/>
      </c>
      <c r="CZ184" s="19" t="str">
        <f>IF(DA184&lt;&gt;"",VLOOKUP($P184&amp;" | "&amp;CY$6,'Job Master'!$F$12:$J$102,3,0),"")</f>
        <v/>
      </c>
      <c r="DA184" s="19" t="str">
        <f>IFERROR(IF(AND(DH184&lt;&gt;"",VLOOKUP($P184&amp;" | "&amp;CY$6,'Job Master'!$F$12:$I$102,4,0)&lt;&gt;""),IF(WEEKDAY(DH184-VLOOKUP($P184&amp;" | "&amp;CY$6,'Job Master'!$F$12:$I$102,4,0))&lt;&gt;7,DH184-VLOOKUP($P184&amp;" | "&amp;CY$6,'Job Master'!$F$12:$I$102,4,0),DH184-VLOOKUP($P184&amp;" | "&amp;CY$6,'Job Master'!$F$12:$I$102,4,0)-1),""),"")</f>
        <v/>
      </c>
      <c r="DB184" s="73"/>
      <c r="DC184" s="123" t="str">
        <f t="shared" si="300"/>
        <v/>
      </c>
      <c r="DD184" s="123" t="str">
        <f t="shared" si="301"/>
        <v/>
      </c>
      <c r="DE184" s="97" t="str">
        <f t="shared" ca="1" si="302"/>
        <v/>
      </c>
      <c r="DF184" s="98" t="str">
        <f>IF(DH184&lt;&gt;"",VLOOKUP($P184&amp;" | "&amp;DF$6,'Job Master'!$F$12:$J$102,5,0),"")</f>
        <v/>
      </c>
      <c r="DG184" s="19" t="str">
        <f>IF(DH184&lt;&gt;"",VLOOKUP($P184&amp;" | "&amp;DF$6,'Job Master'!$F$12:$J$102,3,0),"")</f>
        <v/>
      </c>
      <c r="DH184" s="19" t="str">
        <f>IFERROR(IF(AND(DO184&lt;&gt;"",VLOOKUP($P184&amp;" | "&amp;DF$6,'Job Master'!$F$12:$I$102,4,0)&lt;&gt;""),IF(WEEKDAY(DO184-VLOOKUP($P184&amp;" | "&amp;DF$6,'Job Master'!$F$12:$I$102,4,0))&lt;&gt;7,DO184-VLOOKUP($P184&amp;" | "&amp;DF$6,'Job Master'!$F$12:$I$102,4,0),DO184-VLOOKUP($P184&amp;" | "&amp;DF$6,'Job Master'!$F$12:$I$102,4,0)-1),""),"")</f>
        <v/>
      </c>
      <c r="DI184" s="73"/>
      <c r="DJ184" s="123" t="str">
        <f t="shared" si="303"/>
        <v/>
      </c>
      <c r="DK184" s="123" t="str">
        <f t="shared" si="304"/>
        <v/>
      </c>
      <c r="DL184" s="97" t="str">
        <f t="shared" ca="1" si="305"/>
        <v/>
      </c>
      <c r="DM184" s="98" t="str">
        <f>IF(DO184&lt;&gt;"",VLOOKUP($P184&amp;" | "&amp;DM$6,'Job Master'!$F$12:$J$102,5,0),"")</f>
        <v/>
      </c>
      <c r="DN184" s="19" t="str">
        <f>IF(DO184&lt;&gt;"",VLOOKUP($P184&amp;" | "&amp;DM$6,'Job Master'!$F$12:$J$102,3,0),"")</f>
        <v/>
      </c>
      <c r="DO184" s="19" t="str">
        <f>IFERROR(IF(AND(DT184&lt;&gt;"",VLOOKUP($P184&amp;" | "&amp;DM$6,'Job Master'!$F$12:$I$102,4,0)&lt;&gt;""),IF(WEEKDAY(DT184-VLOOKUP($P184&amp;" | "&amp;DM$6,'Job Master'!$F$12:$I$102,4,0))&lt;&gt;7,DT184-VLOOKUP($P184&amp;" | "&amp;DM$6,'Job Master'!$F$12:$I$102,4,0),DT184-VLOOKUP($P184&amp;" | "&amp;DM$6,'Job Master'!$F$12:$I$102,4,0)-1),""),"")</f>
        <v/>
      </c>
      <c r="DP184" s="73"/>
      <c r="DQ184" s="123" t="str">
        <f t="shared" si="306"/>
        <v/>
      </c>
      <c r="DR184" s="123" t="str">
        <f t="shared" si="307"/>
        <v/>
      </c>
      <c r="DS184" s="97" t="str">
        <f t="shared" ca="1" si="308"/>
        <v/>
      </c>
      <c r="DT184" s="70" t="str">
        <f t="shared" si="309"/>
        <v/>
      </c>
      <c r="DU184" s="90"/>
      <c r="DV184" s="123" t="str">
        <f t="shared" si="310"/>
        <v/>
      </c>
      <c r="DW184" s="123" t="str">
        <f t="shared" si="311"/>
        <v/>
      </c>
      <c r="DX184" s="132" t="str">
        <f t="shared" ref="DX184" ca="1" si="369">IF(DT184&lt;&gt;"",IF(WEEKNUM(DT184)=WEEKNUM(TODAY()),"This Week",IF(WEEKNUM(DT184)=WEEKNUM(TODAY())+1,"Next Week",IF(WEEKNUM(DT184)=WEEKNUM(TODAY())-1,"Previous Week",""))),"")</f>
        <v/>
      </c>
      <c r="DY184" s="134" t="str">
        <f t="shared" si="313"/>
        <v/>
      </c>
      <c r="DZ184" s="95"/>
      <c r="EB184" s="8" t="str">
        <f t="shared" si="319"/>
        <v/>
      </c>
      <c r="EC184" s="8" t="str">
        <f>IF(O184&lt;&gt;"",VLOOKUP(O184,'Job Master'!$N$12:$O$18,2,0),"")</f>
        <v/>
      </c>
      <c r="ED184" s="8">
        <f t="shared" si="320"/>
        <v>19.5</v>
      </c>
      <c r="EE184" s="8">
        <f t="shared" si="321"/>
        <v>6</v>
      </c>
      <c r="EF184" s="8">
        <f t="shared" si="322"/>
        <v>-1024.5</v>
      </c>
      <c r="EG184" s="8" t="str">
        <f t="shared" si="323"/>
        <v/>
      </c>
      <c r="EH184" s="8" t="str">
        <f t="shared" si="324"/>
        <v/>
      </c>
    </row>
    <row r="185" spans="2:138" x14ac:dyDescent="0.3">
      <c r="B185" s="112"/>
      <c r="C185" s="27"/>
      <c r="D185" s="7" t="str">
        <f t="shared" si="261"/>
        <v/>
      </c>
      <c r="E185" s="25"/>
      <c r="F185" s="7" t="str">
        <f t="shared" si="261"/>
        <v/>
      </c>
      <c r="G185" s="25"/>
      <c r="H185" s="7" t="str">
        <f t="shared" si="261"/>
        <v/>
      </c>
      <c r="I185" s="25"/>
      <c r="J185" s="7" t="str">
        <f t="shared" si="261"/>
        <v/>
      </c>
      <c r="K185" s="25"/>
      <c r="L185" s="7" t="str">
        <f t="shared" si="262"/>
        <v/>
      </c>
      <c r="M185" s="25"/>
      <c r="N185" s="7" t="str">
        <f t="shared" si="263"/>
        <v/>
      </c>
      <c r="O185" s="81"/>
      <c r="P185" s="81" t="str">
        <f t="shared" si="264"/>
        <v/>
      </c>
      <c r="Q185" s="81"/>
      <c r="R185" s="7" t="str">
        <f t="shared" si="265"/>
        <v/>
      </c>
      <c r="S185" s="25"/>
      <c r="T185" s="7" t="str">
        <f t="shared" si="266"/>
        <v/>
      </c>
      <c r="U185" s="25"/>
      <c r="V185" s="7" t="str">
        <f t="shared" si="267"/>
        <v/>
      </c>
      <c r="W185" s="25"/>
      <c r="X185" s="7" t="str">
        <f t="shared" si="268"/>
        <v/>
      </c>
      <c r="Y185" s="18" t="str">
        <f t="shared" si="269"/>
        <v/>
      </c>
      <c r="Z185" s="7" t="str">
        <f t="shared" si="270"/>
        <v/>
      </c>
      <c r="AA185" s="18" t="str">
        <f t="shared" si="271"/>
        <v/>
      </c>
      <c r="AB185" s="19" t="str">
        <f t="shared" si="272"/>
        <v/>
      </c>
      <c r="AC185" s="26"/>
      <c r="AD185" s="26"/>
      <c r="AE185" s="25"/>
      <c r="AF185" s="26"/>
      <c r="AG185" s="25"/>
      <c r="AH185" s="25"/>
      <c r="AI185" s="18" t="str">
        <f t="shared" si="335"/>
        <v/>
      </c>
      <c r="AJ185" s="25"/>
      <c r="AK185" s="18" t="str">
        <f t="shared" si="336"/>
        <v/>
      </c>
      <c r="AL185" s="79"/>
      <c r="AM185" s="126" t="str">
        <f t="shared" si="337"/>
        <v/>
      </c>
      <c r="AN185" s="128" t="str">
        <f>IF(AP185&lt;&gt;"",VLOOKUP($P185&amp;" | "&amp;AN$6,'Job Master'!$F$12:$J$102,5,0),"")</f>
        <v/>
      </c>
      <c r="AO185" s="19" t="str">
        <f>IF(AP185&lt;&gt;"",VLOOKUP($P185&amp;" | "&amp;AN$6,'Job Master'!$F$12:$J$102,3,0),"")</f>
        <v/>
      </c>
      <c r="AP185" s="19" t="str">
        <f>IFERROR(IF(AND(AW185&lt;&gt;"",VLOOKUP($P185&amp;" | "&amp;AN$6,'Job Master'!$F$12:$I$102,4,0)&lt;&gt;""),IF(WEEKDAY(AW185-VLOOKUP($P185&amp;" | "&amp;AN$6,'Job Master'!$F$12:$I$102,4,0))&lt;&gt;7,AW185-VLOOKUP($P185&amp;" | "&amp;AN$6,'Job Master'!$F$12:$I$102,4,0),AW185-VLOOKUP($P185&amp;" | "&amp;AN$6,'Job Master'!$F$12:$I$102,4,0)-1),""),"")</f>
        <v/>
      </c>
      <c r="AQ185" s="73"/>
      <c r="AR185" s="123" t="str">
        <f t="shared" si="273"/>
        <v/>
      </c>
      <c r="AS185" s="123" t="str">
        <f t="shared" si="274"/>
        <v/>
      </c>
      <c r="AT185" s="97" t="str">
        <f t="shared" ca="1" si="275"/>
        <v/>
      </c>
      <c r="AU185" s="98" t="str">
        <f>IF(AW185&lt;&gt;"",VLOOKUP($P185&amp;" | "&amp;AU$6,'Job Master'!$F$12:$J$102,5,0),"")</f>
        <v/>
      </c>
      <c r="AV185" s="19" t="str">
        <f>IF(AW185&lt;&gt;"",VLOOKUP($P185&amp;" | "&amp;AU$6,'Job Master'!$F$12:$J$102,3,0),"")</f>
        <v/>
      </c>
      <c r="AW185" s="19" t="str">
        <f>IFERROR(IF(AND(BD185&lt;&gt;"",VLOOKUP($P185&amp;" | "&amp;AU$6,'Job Master'!$F$12:$I$102,4,0)&lt;&gt;""),IF(WEEKDAY(BD185-VLOOKUP($P185&amp;" | "&amp;AU$6,'Job Master'!$F$12:$I$102,4,0))&lt;&gt;7,BD185-VLOOKUP($P185&amp;" | "&amp;AU$6,'Job Master'!$F$12:$I$102,4,0),BD185-VLOOKUP($P185&amp;" | "&amp;AU$6,'Job Master'!$F$12:$I$102,4,0)-1),""),"")</f>
        <v/>
      </c>
      <c r="AX185" s="73"/>
      <c r="AY185" s="123" t="str">
        <f t="shared" si="276"/>
        <v/>
      </c>
      <c r="AZ185" s="123" t="str">
        <f t="shared" si="277"/>
        <v/>
      </c>
      <c r="BA185" s="97" t="str">
        <f t="shared" ca="1" si="278"/>
        <v/>
      </c>
      <c r="BB185" s="98" t="str">
        <f>IF(BD185&lt;&gt;"",VLOOKUP($P185&amp;" | "&amp;BB$6,'Job Master'!$F$12:$J$102,5,0),"")</f>
        <v/>
      </c>
      <c r="BC185" s="19" t="str">
        <f>IF(BD185&lt;&gt;"",VLOOKUP($P185&amp;" | "&amp;BB$6,'Job Master'!$F$12:$J$102,3,0),"")</f>
        <v/>
      </c>
      <c r="BD185" s="19" t="str">
        <f>IFERROR(IF(AND(BK185&lt;&gt;"",VLOOKUP($P185&amp;" | "&amp;BB$6,'Job Master'!$F$12:$I$102,4,0)&lt;&gt;""),IF(WEEKDAY(BK185-VLOOKUP($P185&amp;" | "&amp;BB$6,'Job Master'!$F$12:$I$102,4,0))&lt;&gt;7,BK185-VLOOKUP($P185&amp;" | "&amp;BB$6,'Job Master'!$F$12:$I$102,4,0),BK185-VLOOKUP($P185&amp;" | "&amp;BB$6,'Job Master'!$F$12:$I$102,4,0)-1),""),"")</f>
        <v/>
      </c>
      <c r="BE185" s="73"/>
      <c r="BF185" s="123" t="str">
        <f t="shared" si="279"/>
        <v/>
      </c>
      <c r="BG185" s="123" t="str">
        <f t="shared" si="280"/>
        <v/>
      </c>
      <c r="BH185" s="97" t="str">
        <f t="shared" ca="1" si="281"/>
        <v/>
      </c>
      <c r="BI185" s="98" t="str">
        <f>IF(BK185&lt;&gt;"",VLOOKUP($P185&amp;" | "&amp;BI$6,'Job Master'!$F$12:$J$102,5,0),"")</f>
        <v/>
      </c>
      <c r="BJ185" s="19" t="str">
        <f>IF(BK185&lt;&gt;"",VLOOKUP($P185&amp;" | "&amp;BI$6,'Job Master'!$F$12:$J$102,3,0),"")</f>
        <v/>
      </c>
      <c r="BK185" s="19" t="str">
        <f>IFERROR(IF(AND(BR185&lt;&gt;"",VLOOKUP($P185&amp;" | "&amp;BI$6,'Job Master'!$F$12:$I$102,4,0)&lt;&gt;""),IF(WEEKDAY(BR185-VLOOKUP($P185&amp;" | "&amp;BI$6,'Job Master'!$F$12:$I$102,4,0))&lt;&gt;7,BR185-VLOOKUP($P185&amp;" | "&amp;BI$6,'Job Master'!$F$12:$I$102,4,0),BR185-VLOOKUP($P185&amp;" | "&amp;BI$6,'Job Master'!$F$12:$I$102,4,0)-1),""),"")</f>
        <v/>
      </c>
      <c r="BL185" s="73"/>
      <c r="BM185" s="123" t="str">
        <f t="shared" si="282"/>
        <v/>
      </c>
      <c r="BN185" s="123" t="str">
        <f t="shared" si="283"/>
        <v/>
      </c>
      <c r="BO185" s="97" t="str">
        <f t="shared" ca="1" si="284"/>
        <v/>
      </c>
      <c r="BP185" s="98" t="str">
        <f>IF(BR185&lt;&gt;"",VLOOKUP($P185&amp;" | "&amp;BP$6,'Job Master'!$F$12:$J$102,5,0),"")</f>
        <v/>
      </c>
      <c r="BQ185" s="19" t="str">
        <f>IF(BR185&lt;&gt;"",VLOOKUP($P185&amp;" | "&amp;BP$6,'Job Master'!$F$12:$J$102,3,0),"")</f>
        <v/>
      </c>
      <c r="BR185" s="19" t="str">
        <f>IFERROR(IF(AND(BY185&lt;&gt;"",VLOOKUP($P185&amp;" | "&amp;BP$6,'Job Master'!$F$12:$I$102,4,0)&lt;&gt;""),IF(WEEKDAY(BY185-VLOOKUP($P185&amp;" | "&amp;BP$6,'Job Master'!$F$12:$I$102,4,0))&lt;&gt;7,BY185-VLOOKUP($P185&amp;" | "&amp;BP$6,'Job Master'!$F$12:$I$102,4,0),BY185-VLOOKUP($P185&amp;" | "&amp;BP$6,'Job Master'!$F$12:$I$102,4,0)-1),""),"")</f>
        <v/>
      </c>
      <c r="BS185" s="73"/>
      <c r="BT185" s="123" t="str">
        <f t="shared" si="285"/>
        <v/>
      </c>
      <c r="BU185" s="123" t="str">
        <f t="shared" si="286"/>
        <v/>
      </c>
      <c r="BV185" s="97" t="str">
        <f t="shared" ca="1" si="287"/>
        <v/>
      </c>
      <c r="BW185" s="98" t="str">
        <f>IF(BY185&lt;&gt;"",VLOOKUP($P185&amp;" | "&amp;BW$6,'Job Master'!$F$12:$J$102,5,0),"")</f>
        <v/>
      </c>
      <c r="BX185" s="19" t="str">
        <f>IF(BY185&lt;&gt;"",VLOOKUP($P185&amp;" | "&amp;BW$6,'Job Master'!$F$12:$J$102,3,0),"")</f>
        <v/>
      </c>
      <c r="BY185" s="19" t="str">
        <f>IFERROR(IF(AND(CF185&lt;&gt;"",VLOOKUP($P185&amp;" | "&amp;BW$6,'Job Master'!$F$12:$I$102,4,0)&lt;&gt;""),IF(WEEKDAY(CF185-VLOOKUP($P185&amp;" | "&amp;BW$6,'Job Master'!$F$12:$I$102,4,0))&lt;&gt;7,CF185-VLOOKUP($P185&amp;" | "&amp;BW$6,'Job Master'!$F$12:$I$102,4,0),CF185-VLOOKUP($P185&amp;" | "&amp;BW$6,'Job Master'!$F$12:$I$102,4,0)-1),""),"")</f>
        <v/>
      </c>
      <c r="BZ185" s="73"/>
      <c r="CA185" s="123" t="str">
        <f t="shared" si="288"/>
        <v/>
      </c>
      <c r="CB185" s="123" t="str">
        <f t="shared" si="289"/>
        <v/>
      </c>
      <c r="CC185" s="97" t="str">
        <f t="shared" ca="1" si="290"/>
        <v/>
      </c>
      <c r="CD185" s="98" t="str">
        <f>IF(CF185&lt;&gt;"",VLOOKUP($P185&amp;" | "&amp;CD$6,'Job Master'!$F$12:$J$102,5,0),"")</f>
        <v/>
      </c>
      <c r="CE185" s="19" t="str">
        <f>IF(CF185&lt;&gt;"",VLOOKUP($P185&amp;" | "&amp;CD$6,'Job Master'!$F$12:$J$102,3,0),"")</f>
        <v/>
      </c>
      <c r="CF185" s="19" t="str">
        <f>IFERROR(IF(AND(CM185&lt;&gt;"",VLOOKUP($P185&amp;" | "&amp;CD$6,'Job Master'!$F$12:$I$102,4,0)&lt;&gt;""),IF(WEEKDAY(CM185-VLOOKUP($P185&amp;" | "&amp;CD$6,'Job Master'!$F$12:$I$102,4,0))&lt;&gt;7,CM185-VLOOKUP($P185&amp;" | "&amp;CD$6,'Job Master'!$F$12:$I$102,4,0),CM185-VLOOKUP($P185&amp;" | "&amp;CD$6,'Job Master'!$F$12:$I$102,4,0)-1),""),"")</f>
        <v/>
      </c>
      <c r="CG185" s="73"/>
      <c r="CH185" s="123" t="str">
        <f t="shared" si="291"/>
        <v/>
      </c>
      <c r="CI185" s="123" t="str">
        <f t="shared" si="292"/>
        <v/>
      </c>
      <c r="CJ185" s="97" t="str">
        <f t="shared" ca="1" si="293"/>
        <v/>
      </c>
      <c r="CK185" s="98" t="str">
        <f>IF(CM185&lt;&gt;"",VLOOKUP($P185&amp;" | "&amp;CK$6,'Job Master'!$F$12:$J$102,5,0),"")</f>
        <v/>
      </c>
      <c r="CL185" s="19" t="str">
        <f>IF(CM185&lt;&gt;"",VLOOKUP($P185&amp;" | "&amp;CK$6,'Job Master'!$F$12:$J$102,3,0),"")</f>
        <v/>
      </c>
      <c r="CM185" s="19" t="str">
        <f>IFERROR(IF(AND(CT185&lt;&gt;"",VLOOKUP($P185&amp;" | "&amp;CK$6,'Job Master'!$F$12:$I$102,4,0)&lt;&gt;""),IF(WEEKDAY(CT185-VLOOKUP($P185&amp;" | "&amp;CK$6,'Job Master'!$F$12:$I$102,4,0))&lt;&gt;7,CT185-VLOOKUP($P185&amp;" | "&amp;CK$6,'Job Master'!$F$12:$I$102,4,0),CT185-VLOOKUP($P185&amp;" | "&amp;CK$6,'Job Master'!$F$12:$I$102,4,0)-1),""),"")</f>
        <v/>
      </c>
      <c r="CN185" s="73"/>
      <c r="CO185" s="123" t="str">
        <f t="shared" si="294"/>
        <v/>
      </c>
      <c r="CP185" s="123" t="str">
        <f t="shared" si="295"/>
        <v/>
      </c>
      <c r="CQ185" s="97" t="str">
        <f t="shared" ca="1" si="296"/>
        <v/>
      </c>
      <c r="CR185" s="98" t="str">
        <f>IF(CT185&lt;&gt;"",VLOOKUP($P185&amp;" | "&amp;CR$6,'Job Master'!$F$12:$J$102,5,0),"")</f>
        <v/>
      </c>
      <c r="CS185" s="19" t="str">
        <f>IF(CT185&lt;&gt;"",VLOOKUP($P185&amp;" | "&amp;CR$6,'Job Master'!$F$12:$J$102,3,0),"")</f>
        <v/>
      </c>
      <c r="CT185" s="19" t="str">
        <f>IFERROR(IF(AND(DA185&lt;&gt;"",VLOOKUP($P185&amp;" | "&amp;CR$6,'Job Master'!$F$12:$I$102,4,0)&lt;&gt;""),IF(WEEKDAY(DA185-VLOOKUP($P185&amp;" | "&amp;CR$6,'Job Master'!$F$12:$I$102,4,0))&lt;&gt;7,DA185-VLOOKUP($P185&amp;" | "&amp;CR$6,'Job Master'!$F$12:$I$102,4,0),DA185-VLOOKUP($P185&amp;" | "&amp;CR$6,'Job Master'!$F$12:$I$102,4,0)-1),""),"")</f>
        <v/>
      </c>
      <c r="CU185" s="73"/>
      <c r="CV185" s="123" t="str">
        <f t="shared" si="297"/>
        <v/>
      </c>
      <c r="CW185" s="123" t="str">
        <f t="shared" si="298"/>
        <v/>
      </c>
      <c r="CX185" s="97" t="str">
        <f t="shared" ca="1" si="299"/>
        <v/>
      </c>
      <c r="CY185" s="98" t="str">
        <f>IF(DA185&lt;&gt;"",VLOOKUP($P185&amp;" | "&amp;CY$6,'Job Master'!$F$12:$J$102,5,0),"")</f>
        <v/>
      </c>
      <c r="CZ185" s="19" t="str">
        <f>IF(DA185&lt;&gt;"",VLOOKUP($P185&amp;" | "&amp;CY$6,'Job Master'!$F$12:$J$102,3,0),"")</f>
        <v/>
      </c>
      <c r="DA185" s="19" t="str">
        <f>IFERROR(IF(AND(DH185&lt;&gt;"",VLOOKUP($P185&amp;" | "&amp;CY$6,'Job Master'!$F$12:$I$102,4,0)&lt;&gt;""),IF(WEEKDAY(DH185-VLOOKUP($P185&amp;" | "&amp;CY$6,'Job Master'!$F$12:$I$102,4,0))&lt;&gt;7,DH185-VLOOKUP($P185&amp;" | "&amp;CY$6,'Job Master'!$F$12:$I$102,4,0),DH185-VLOOKUP($P185&amp;" | "&amp;CY$6,'Job Master'!$F$12:$I$102,4,0)-1),""),"")</f>
        <v/>
      </c>
      <c r="DB185" s="73"/>
      <c r="DC185" s="123" t="str">
        <f t="shared" si="300"/>
        <v/>
      </c>
      <c r="DD185" s="123" t="str">
        <f t="shared" si="301"/>
        <v/>
      </c>
      <c r="DE185" s="97" t="str">
        <f t="shared" ca="1" si="302"/>
        <v/>
      </c>
      <c r="DF185" s="98" t="str">
        <f>IF(DH185&lt;&gt;"",VLOOKUP($P185&amp;" | "&amp;DF$6,'Job Master'!$F$12:$J$102,5,0),"")</f>
        <v/>
      </c>
      <c r="DG185" s="19" t="str">
        <f>IF(DH185&lt;&gt;"",VLOOKUP($P185&amp;" | "&amp;DF$6,'Job Master'!$F$12:$J$102,3,0),"")</f>
        <v/>
      </c>
      <c r="DH185" s="19" t="str">
        <f>IFERROR(IF(AND(DO185&lt;&gt;"",VLOOKUP($P185&amp;" | "&amp;DF$6,'Job Master'!$F$12:$I$102,4,0)&lt;&gt;""),IF(WEEKDAY(DO185-VLOOKUP($P185&amp;" | "&amp;DF$6,'Job Master'!$F$12:$I$102,4,0))&lt;&gt;7,DO185-VLOOKUP($P185&amp;" | "&amp;DF$6,'Job Master'!$F$12:$I$102,4,0),DO185-VLOOKUP($P185&amp;" | "&amp;DF$6,'Job Master'!$F$12:$I$102,4,0)-1),""),"")</f>
        <v/>
      </c>
      <c r="DI185" s="73"/>
      <c r="DJ185" s="123" t="str">
        <f t="shared" si="303"/>
        <v/>
      </c>
      <c r="DK185" s="123" t="str">
        <f t="shared" si="304"/>
        <v/>
      </c>
      <c r="DL185" s="97" t="str">
        <f t="shared" ca="1" si="305"/>
        <v/>
      </c>
      <c r="DM185" s="98" t="str">
        <f>IF(DO185&lt;&gt;"",VLOOKUP($P185&amp;" | "&amp;DM$6,'Job Master'!$F$12:$J$102,5,0),"")</f>
        <v/>
      </c>
      <c r="DN185" s="19" t="str">
        <f>IF(DO185&lt;&gt;"",VLOOKUP($P185&amp;" | "&amp;DM$6,'Job Master'!$F$12:$J$102,3,0),"")</f>
        <v/>
      </c>
      <c r="DO185" s="19" t="str">
        <f>IFERROR(IF(AND(DT185&lt;&gt;"",VLOOKUP($P185&amp;" | "&amp;DM$6,'Job Master'!$F$12:$I$102,4,0)&lt;&gt;""),IF(WEEKDAY(DT185-VLOOKUP($P185&amp;" | "&amp;DM$6,'Job Master'!$F$12:$I$102,4,0))&lt;&gt;7,DT185-VLOOKUP($P185&amp;" | "&amp;DM$6,'Job Master'!$F$12:$I$102,4,0),DT185-VLOOKUP($P185&amp;" | "&amp;DM$6,'Job Master'!$F$12:$I$102,4,0)-1),""),"")</f>
        <v/>
      </c>
      <c r="DP185" s="73"/>
      <c r="DQ185" s="123" t="str">
        <f t="shared" si="306"/>
        <v/>
      </c>
      <c r="DR185" s="123" t="str">
        <f t="shared" si="307"/>
        <v/>
      </c>
      <c r="DS185" s="97" t="str">
        <f t="shared" ca="1" si="308"/>
        <v/>
      </c>
      <c r="DT185" s="70" t="str">
        <f t="shared" si="309"/>
        <v/>
      </c>
      <c r="DU185" s="90"/>
      <c r="DV185" s="123" t="str">
        <f t="shared" si="310"/>
        <v/>
      </c>
      <c r="DW185" s="123" t="str">
        <f t="shared" si="311"/>
        <v/>
      </c>
      <c r="DX185" s="132" t="str">
        <f t="shared" ref="DX185" ca="1" si="370">IF(DT185&lt;&gt;"",IF(WEEKNUM(DT185)=WEEKNUM(TODAY()),"This Week",IF(WEEKNUM(DT185)=WEEKNUM(TODAY())+1,"Next Week",IF(WEEKNUM(DT185)=WEEKNUM(TODAY())-1,"Previous Week",""))),"")</f>
        <v/>
      </c>
      <c r="DY185" s="134" t="str">
        <f t="shared" si="313"/>
        <v/>
      </c>
      <c r="DZ185" s="95"/>
      <c r="EB185" s="8" t="str">
        <f t="shared" si="319"/>
        <v/>
      </c>
      <c r="EC185" s="8" t="str">
        <f>IF(O185&lt;&gt;"",VLOOKUP(O185,'Job Master'!$N$12:$O$18,2,0),"")</f>
        <v/>
      </c>
      <c r="ED185" s="8">
        <f t="shared" si="320"/>
        <v>19.5</v>
      </c>
      <c r="EE185" s="8">
        <f t="shared" si="321"/>
        <v>6</v>
      </c>
      <c r="EF185" s="8">
        <f t="shared" si="322"/>
        <v>-1030.5</v>
      </c>
      <c r="EG185" s="8" t="str">
        <f t="shared" si="323"/>
        <v/>
      </c>
      <c r="EH185" s="8" t="str">
        <f t="shared" si="324"/>
        <v/>
      </c>
    </row>
    <row r="186" spans="2:138" x14ac:dyDescent="0.3">
      <c r="B186" s="112"/>
      <c r="C186" s="27"/>
      <c r="D186" s="7" t="str">
        <f t="shared" si="261"/>
        <v/>
      </c>
      <c r="E186" s="25"/>
      <c r="F186" s="7" t="str">
        <f t="shared" si="261"/>
        <v/>
      </c>
      <c r="G186" s="25"/>
      <c r="H186" s="7" t="str">
        <f t="shared" si="261"/>
        <v/>
      </c>
      <c r="I186" s="25"/>
      <c r="J186" s="7" t="str">
        <f t="shared" si="261"/>
        <v/>
      </c>
      <c r="K186" s="25"/>
      <c r="L186" s="7" t="str">
        <f t="shared" si="262"/>
        <v/>
      </c>
      <c r="M186" s="25"/>
      <c r="N186" s="7" t="str">
        <f t="shared" si="263"/>
        <v/>
      </c>
      <c r="O186" s="81"/>
      <c r="P186" s="81" t="str">
        <f t="shared" si="264"/>
        <v/>
      </c>
      <c r="Q186" s="81"/>
      <c r="R186" s="7" t="str">
        <f t="shared" si="265"/>
        <v/>
      </c>
      <c r="S186" s="25"/>
      <c r="T186" s="7" t="str">
        <f t="shared" si="266"/>
        <v/>
      </c>
      <c r="U186" s="25"/>
      <c r="V186" s="7" t="str">
        <f t="shared" si="267"/>
        <v/>
      </c>
      <c r="W186" s="25"/>
      <c r="X186" s="7" t="str">
        <f t="shared" si="268"/>
        <v/>
      </c>
      <c r="Y186" s="18" t="str">
        <f t="shared" si="269"/>
        <v/>
      </c>
      <c r="Z186" s="7" t="str">
        <f t="shared" si="270"/>
        <v/>
      </c>
      <c r="AA186" s="18" t="str">
        <f t="shared" si="271"/>
        <v/>
      </c>
      <c r="AB186" s="19" t="str">
        <f t="shared" si="272"/>
        <v/>
      </c>
      <c r="AC186" s="26"/>
      <c r="AD186" s="26"/>
      <c r="AE186" s="25"/>
      <c r="AF186" s="26"/>
      <c r="AG186" s="25"/>
      <c r="AH186" s="25"/>
      <c r="AI186" s="18" t="str">
        <f t="shared" si="335"/>
        <v/>
      </c>
      <c r="AJ186" s="25"/>
      <c r="AK186" s="18" t="str">
        <f t="shared" si="336"/>
        <v/>
      </c>
      <c r="AL186" s="79"/>
      <c r="AM186" s="126" t="str">
        <f t="shared" si="337"/>
        <v/>
      </c>
      <c r="AN186" s="128" t="str">
        <f>IF(AP186&lt;&gt;"",VLOOKUP($P186&amp;" | "&amp;AN$6,'Job Master'!$F$12:$J$102,5,0),"")</f>
        <v/>
      </c>
      <c r="AO186" s="19" t="str">
        <f>IF(AP186&lt;&gt;"",VLOOKUP($P186&amp;" | "&amp;AN$6,'Job Master'!$F$12:$J$102,3,0),"")</f>
        <v/>
      </c>
      <c r="AP186" s="19" t="str">
        <f>IFERROR(IF(AND(AW186&lt;&gt;"",VLOOKUP($P186&amp;" | "&amp;AN$6,'Job Master'!$F$12:$I$102,4,0)&lt;&gt;""),IF(WEEKDAY(AW186-VLOOKUP($P186&amp;" | "&amp;AN$6,'Job Master'!$F$12:$I$102,4,0))&lt;&gt;7,AW186-VLOOKUP($P186&amp;" | "&amp;AN$6,'Job Master'!$F$12:$I$102,4,0),AW186-VLOOKUP($P186&amp;" | "&amp;AN$6,'Job Master'!$F$12:$I$102,4,0)-1),""),"")</f>
        <v/>
      </c>
      <c r="AQ186" s="73"/>
      <c r="AR186" s="123" t="str">
        <f t="shared" si="273"/>
        <v/>
      </c>
      <c r="AS186" s="123" t="str">
        <f t="shared" si="274"/>
        <v/>
      </c>
      <c r="AT186" s="97" t="str">
        <f t="shared" ca="1" si="275"/>
        <v/>
      </c>
      <c r="AU186" s="98" t="str">
        <f>IF(AW186&lt;&gt;"",VLOOKUP($P186&amp;" | "&amp;AU$6,'Job Master'!$F$12:$J$102,5,0),"")</f>
        <v/>
      </c>
      <c r="AV186" s="19" t="str">
        <f>IF(AW186&lt;&gt;"",VLOOKUP($P186&amp;" | "&amp;AU$6,'Job Master'!$F$12:$J$102,3,0),"")</f>
        <v/>
      </c>
      <c r="AW186" s="19" t="str">
        <f>IFERROR(IF(AND(BD186&lt;&gt;"",VLOOKUP($P186&amp;" | "&amp;AU$6,'Job Master'!$F$12:$I$102,4,0)&lt;&gt;""),IF(WEEKDAY(BD186-VLOOKUP($P186&amp;" | "&amp;AU$6,'Job Master'!$F$12:$I$102,4,0))&lt;&gt;7,BD186-VLOOKUP($P186&amp;" | "&amp;AU$6,'Job Master'!$F$12:$I$102,4,0),BD186-VLOOKUP($P186&amp;" | "&amp;AU$6,'Job Master'!$F$12:$I$102,4,0)-1),""),"")</f>
        <v/>
      </c>
      <c r="AX186" s="73"/>
      <c r="AY186" s="123" t="str">
        <f t="shared" si="276"/>
        <v/>
      </c>
      <c r="AZ186" s="123" t="str">
        <f t="shared" si="277"/>
        <v/>
      </c>
      <c r="BA186" s="97" t="str">
        <f t="shared" ca="1" si="278"/>
        <v/>
      </c>
      <c r="BB186" s="98" t="str">
        <f>IF(BD186&lt;&gt;"",VLOOKUP($P186&amp;" | "&amp;BB$6,'Job Master'!$F$12:$J$102,5,0),"")</f>
        <v/>
      </c>
      <c r="BC186" s="19" t="str">
        <f>IF(BD186&lt;&gt;"",VLOOKUP($P186&amp;" | "&amp;BB$6,'Job Master'!$F$12:$J$102,3,0),"")</f>
        <v/>
      </c>
      <c r="BD186" s="19" t="str">
        <f>IFERROR(IF(AND(BK186&lt;&gt;"",VLOOKUP($P186&amp;" | "&amp;BB$6,'Job Master'!$F$12:$I$102,4,0)&lt;&gt;""),IF(WEEKDAY(BK186-VLOOKUP($P186&amp;" | "&amp;BB$6,'Job Master'!$F$12:$I$102,4,0))&lt;&gt;7,BK186-VLOOKUP($P186&amp;" | "&amp;BB$6,'Job Master'!$F$12:$I$102,4,0),BK186-VLOOKUP($P186&amp;" | "&amp;BB$6,'Job Master'!$F$12:$I$102,4,0)-1),""),"")</f>
        <v/>
      </c>
      <c r="BE186" s="73"/>
      <c r="BF186" s="123" t="str">
        <f t="shared" si="279"/>
        <v/>
      </c>
      <c r="BG186" s="123" t="str">
        <f t="shared" si="280"/>
        <v/>
      </c>
      <c r="BH186" s="97" t="str">
        <f t="shared" ca="1" si="281"/>
        <v/>
      </c>
      <c r="BI186" s="98" t="str">
        <f>IF(BK186&lt;&gt;"",VLOOKUP($P186&amp;" | "&amp;BI$6,'Job Master'!$F$12:$J$102,5,0),"")</f>
        <v/>
      </c>
      <c r="BJ186" s="19" t="str">
        <f>IF(BK186&lt;&gt;"",VLOOKUP($P186&amp;" | "&amp;BI$6,'Job Master'!$F$12:$J$102,3,0),"")</f>
        <v/>
      </c>
      <c r="BK186" s="19" t="str">
        <f>IFERROR(IF(AND(BR186&lt;&gt;"",VLOOKUP($P186&amp;" | "&amp;BI$6,'Job Master'!$F$12:$I$102,4,0)&lt;&gt;""),IF(WEEKDAY(BR186-VLOOKUP($P186&amp;" | "&amp;BI$6,'Job Master'!$F$12:$I$102,4,0))&lt;&gt;7,BR186-VLOOKUP($P186&amp;" | "&amp;BI$6,'Job Master'!$F$12:$I$102,4,0),BR186-VLOOKUP($P186&amp;" | "&amp;BI$6,'Job Master'!$F$12:$I$102,4,0)-1),""),"")</f>
        <v/>
      </c>
      <c r="BL186" s="73"/>
      <c r="BM186" s="123" t="str">
        <f t="shared" si="282"/>
        <v/>
      </c>
      <c r="BN186" s="123" t="str">
        <f t="shared" si="283"/>
        <v/>
      </c>
      <c r="BO186" s="97" t="str">
        <f t="shared" ca="1" si="284"/>
        <v/>
      </c>
      <c r="BP186" s="98" t="str">
        <f>IF(BR186&lt;&gt;"",VLOOKUP($P186&amp;" | "&amp;BP$6,'Job Master'!$F$12:$J$102,5,0),"")</f>
        <v/>
      </c>
      <c r="BQ186" s="19" t="str">
        <f>IF(BR186&lt;&gt;"",VLOOKUP($P186&amp;" | "&amp;BP$6,'Job Master'!$F$12:$J$102,3,0),"")</f>
        <v/>
      </c>
      <c r="BR186" s="19" t="str">
        <f>IFERROR(IF(AND(BY186&lt;&gt;"",VLOOKUP($P186&amp;" | "&amp;BP$6,'Job Master'!$F$12:$I$102,4,0)&lt;&gt;""),IF(WEEKDAY(BY186-VLOOKUP($P186&amp;" | "&amp;BP$6,'Job Master'!$F$12:$I$102,4,0))&lt;&gt;7,BY186-VLOOKUP($P186&amp;" | "&amp;BP$6,'Job Master'!$F$12:$I$102,4,0),BY186-VLOOKUP($P186&amp;" | "&amp;BP$6,'Job Master'!$F$12:$I$102,4,0)-1),""),"")</f>
        <v/>
      </c>
      <c r="BS186" s="73"/>
      <c r="BT186" s="123" t="str">
        <f t="shared" si="285"/>
        <v/>
      </c>
      <c r="BU186" s="123" t="str">
        <f t="shared" si="286"/>
        <v/>
      </c>
      <c r="BV186" s="97" t="str">
        <f t="shared" ca="1" si="287"/>
        <v/>
      </c>
      <c r="BW186" s="98" t="str">
        <f>IF(BY186&lt;&gt;"",VLOOKUP($P186&amp;" | "&amp;BW$6,'Job Master'!$F$12:$J$102,5,0),"")</f>
        <v/>
      </c>
      <c r="BX186" s="19" t="str">
        <f>IF(BY186&lt;&gt;"",VLOOKUP($P186&amp;" | "&amp;BW$6,'Job Master'!$F$12:$J$102,3,0),"")</f>
        <v/>
      </c>
      <c r="BY186" s="19" t="str">
        <f>IFERROR(IF(AND(CF186&lt;&gt;"",VLOOKUP($P186&amp;" | "&amp;BW$6,'Job Master'!$F$12:$I$102,4,0)&lt;&gt;""),IF(WEEKDAY(CF186-VLOOKUP($P186&amp;" | "&amp;BW$6,'Job Master'!$F$12:$I$102,4,0))&lt;&gt;7,CF186-VLOOKUP($P186&amp;" | "&amp;BW$6,'Job Master'!$F$12:$I$102,4,0),CF186-VLOOKUP($P186&amp;" | "&amp;BW$6,'Job Master'!$F$12:$I$102,4,0)-1),""),"")</f>
        <v/>
      </c>
      <c r="BZ186" s="73"/>
      <c r="CA186" s="123" t="str">
        <f t="shared" si="288"/>
        <v/>
      </c>
      <c r="CB186" s="123" t="str">
        <f t="shared" si="289"/>
        <v/>
      </c>
      <c r="CC186" s="97" t="str">
        <f t="shared" ca="1" si="290"/>
        <v/>
      </c>
      <c r="CD186" s="98" t="str">
        <f>IF(CF186&lt;&gt;"",VLOOKUP($P186&amp;" | "&amp;CD$6,'Job Master'!$F$12:$J$102,5,0),"")</f>
        <v/>
      </c>
      <c r="CE186" s="19" t="str">
        <f>IF(CF186&lt;&gt;"",VLOOKUP($P186&amp;" | "&amp;CD$6,'Job Master'!$F$12:$J$102,3,0),"")</f>
        <v/>
      </c>
      <c r="CF186" s="19" t="str">
        <f>IFERROR(IF(AND(CM186&lt;&gt;"",VLOOKUP($P186&amp;" | "&amp;CD$6,'Job Master'!$F$12:$I$102,4,0)&lt;&gt;""),IF(WEEKDAY(CM186-VLOOKUP($P186&amp;" | "&amp;CD$6,'Job Master'!$F$12:$I$102,4,0))&lt;&gt;7,CM186-VLOOKUP($P186&amp;" | "&amp;CD$6,'Job Master'!$F$12:$I$102,4,0),CM186-VLOOKUP($P186&amp;" | "&amp;CD$6,'Job Master'!$F$12:$I$102,4,0)-1),""),"")</f>
        <v/>
      </c>
      <c r="CG186" s="73"/>
      <c r="CH186" s="123" t="str">
        <f t="shared" si="291"/>
        <v/>
      </c>
      <c r="CI186" s="123" t="str">
        <f t="shared" si="292"/>
        <v/>
      </c>
      <c r="CJ186" s="97" t="str">
        <f t="shared" ca="1" si="293"/>
        <v/>
      </c>
      <c r="CK186" s="98" t="str">
        <f>IF(CM186&lt;&gt;"",VLOOKUP($P186&amp;" | "&amp;CK$6,'Job Master'!$F$12:$J$102,5,0),"")</f>
        <v/>
      </c>
      <c r="CL186" s="19" t="str">
        <f>IF(CM186&lt;&gt;"",VLOOKUP($P186&amp;" | "&amp;CK$6,'Job Master'!$F$12:$J$102,3,0),"")</f>
        <v/>
      </c>
      <c r="CM186" s="19" t="str">
        <f>IFERROR(IF(AND(CT186&lt;&gt;"",VLOOKUP($P186&amp;" | "&amp;CK$6,'Job Master'!$F$12:$I$102,4,0)&lt;&gt;""),IF(WEEKDAY(CT186-VLOOKUP($P186&amp;" | "&amp;CK$6,'Job Master'!$F$12:$I$102,4,0))&lt;&gt;7,CT186-VLOOKUP($P186&amp;" | "&amp;CK$6,'Job Master'!$F$12:$I$102,4,0),CT186-VLOOKUP($P186&amp;" | "&amp;CK$6,'Job Master'!$F$12:$I$102,4,0)-1),""),"")</f>
        <v/>
      </c>
      <c r="CN186" s="73"/>
      <c r="CO186" s="123" t="str">
        <f t="shared" si="294"/>
        <v/>
      </c>
      <c r="CP186" s="123" t="str">
        <f t="shared" si="295"/>
        <v/>
      </c>
      <c r="CQ186" s="97" t="str">
        <f t="shared" ca="1" si="296"/>
        <v/>
      </c>
      <c r="CR186" s="98" t="str">
        <f>IF(CT186&lt;&gt;"",VLOOKUP($P186&amp;" | "&amp;CR$6,'Job Master'!$F$12:$J$102,5,0),"")</f>
        <v/>
      </c>
      <c r="CS186" s="19" t="str">
        <f>IF(CT186&lt;&gt;"",VLOOKUP($P186&amp;" | "&amp;CR$6,'Job Master'!$F$12:$J$102,3,0),"")</f>
        <v/>
      </c>
      <c r="CT186" s="19" t="str">
        <f>IFERROR(IF(AND(DA186&lt;&gt;"",VLOOKUP($P186&amp;" | "&amp;CR$6,'Job Master'!$F$12:$I$102,4,0)&lt;&gt;""),IF(WEEKDAY(DA186-VLOOKUP($P186&amp;" | "&amp;CR$6,'Job Master'!$F$12:$I$102,4,0))&lt;&gt;7,DA186-VLOOKUP($P186&amp;" | "&amp;CR$6,'Job Master'!$F$12:$I$102,4,0),DA186-VLOOKUP($P186&amp;" | "&amp;CR$6,'Job Master'!$F$12:$I$102,4,0)-1),""),"")</f>
        <v/>
      </c>
      <c r="CU186" s="73"/>
      <c r="CV186" s="123" t="str">
        <f t="shared" si="297"/>
        <v/>
      </c>
      <c r="CW186" s="123" t="str">
        <f t="shared" si="298"/>
        <v/>
      </c>
      <c r="CX186" s="97" t="str">
        <f t="shared" ca="1" si="299"/>
        <v/>
      </c>
      <c r="CY186" s="98" t="str">
        <f>IF(DA186&lt;&gt;"",VLOOKUP($P186&amp;" | "&amp;CY$6,'Job Master'!$F$12:$J$102,5,0),"")</f>
        <v/>
      </c>
      <c r="CZ186" s="19" t="str">
        <f>IF(DA186&lt;&gt;"",VLOOKUP($P186&amp;" | "&amp;CY$6,'Job Master'!$F$12:$J$102,3,0),"")</f>
        <v/>
      </c>
      <c r="DA186" s="19" t="str">
        <f>IFERROR(IF(AND(DH186&lt;&gt;"",VLOOKUP($P186&amp;" | "&amp;CY$6,'Job Master'!$F$12:$I$102,4,0)&lt;&gt;""),IF(WEEKDAY(DH186-VLOOKUP($P186&amp;" | "&amp;CY$6,'Job Master'!$F$12:$I$102,4,0))&lt;&gt;7,DH186-VLOOKUP($P186&amp;" | "&amp;CY$6,'Job Master'!$F$12:$I$102,4,0),DH186-VLOOKUP($P186&amp;" | "&amp;CY$6,'Job Master'!$F$12:$I$102,4,0)-1),""),"")</f>
        <v/>
      </c>
      <c r="DB186" s="73"/>
      <c r="DC186" s="123" t="str">
        <f t="shared" si="300"/>
        <v/>
      </c>
      <c r="DD186" s="123" t="str">
        <f t="shared" si="301"/>
        <v/>
      </c>
      <c r="DE186" s="97" t="str">
        <f t="shared" ca="1" si="302"/>
        <v/>
      </c>
      <c r="DF186" s="98" t="str">
        <f>IF(DH186&lt;&gt;"",VLOOKUP($P186&amp;" | "&amp;DF$6,'Job Master'!$F$12:$J$102,5,0),"")</f>
        <v/>
      </c>
      <c r="DG186" s="19" t="str">
        <f>IF(DH186&lt;&gt;"",VLOOKUP($P186&amp;" | "&amp;DF$6,'Job Master'!$F$12:$J$102,3,0),"")</f>
        <v/>
      </c>
      <c r="DH186" s="19" t="str">
        <f>IFERROR(IF(AND(DO186&lt;&gt;"",VLOOKUP($P186&amp;" | "&amp;DF$6,'Job Master'!$F$12:$I$102,4,0)&lt;&gt;""),IF(WEEKDAY(DO186-VLOOKUP($P186&amp;" | "&amp;DF$6,'Job Master'!$F$12:$I$102,4,0))&lt;&gt;7,DO186-VLOOKUP($P186&amp;" | "&amp;DF$6,'Job Master'!$F$12:$I$102,4,0),DO186-VLOOKUP($P186&amp;" | "&amp;DF$6,'Job Master'!$F$12:$I$102,4,0)-1),""),"")</f>
        <v/>
      </c>
      <c r="DI186" s="73"/>
      <c r="DJ186" s="123" t="str">
        <f t="shared" si="303"/>
        <v/>
      </c>
      <c r="DK186" s="123" t="str">
        <f t="shared" si="304"/>
        <v/>
      </c>
      <c r="DL186" s="97" t="str">
        <f t="shared" ca="1" si="305"/>
        <v/>
      </c>
      <c r="DM186" s="98" t="str">
        <f>IF(DO186&lt;&gt;"",VLOOKUP($P186&amp;" | "&amp;DM$6,'Job Master'!$F$12:$J$102,5,0),"")</f>
        <v/>
      </c>
      <c r="DN186" s="19" t="str">
        <f>IF(DO186&lt;&gt;"",VLOOKUP($P186&amp;" | "&amp;DM$6,'Job Master'!$F$12:$J$102,3,0),"")</f>
        <v/>
      </c>
      <c r="DO186" s="19" t="str">
        <f>IFERROR(IF(AND(DT186&lt;&gt;"",VLOOKUP($P186&amp;" | "&amp;DM$6,'Job Master'!$F$12:$I$102,4,0)&lt;&gt;""),IF(WEEKDAY(DT186-VLOOKUP($P186&amp;" | "&amp;DM$6,'Job Master'!$F$12:$I$102,4,0))&lt;&gt;7,DT186-VLOOKUP($P186&amp;" | "&amp;DM$6,'Job Master'!$F$12:$I$102,4,0),DT186-VLOOKUP($P186&amp;" | "&amp;DM$6,'Job Master'!$F$12:$I$102,4,0)-1),""),"")</f>
        <v/>
      </c>
      <c r="DP186" s="73"/>
      <c r="DQ186" s="123" t="str">
        <f t="shared" si="306"/>
        <v/>
      </c>
      <c r="DR186" s="123" t="str">
        <f t="shared" si="307"/>
        <v/>
      </c>
      <c r="DS186" s="97" t="str">
        <f t="shared" ca="1" si="308"/>
        <v/>
      </c>
      <c r="DT186" s="70" t="str">
        <f t="shared" si="309"/>
        <v/>
      </c>
      <c r="DU186" s="90"/>
      <c r="DV186" s="123" t="str">
        <f t="shared" si="310"/>
        <v/>
      </c>
      <c r="DW186" s="123" t="str">
        <f t="shared" si="311"/>
        <v/>
      </c>
      <c r="DX186" s="132" t="str">
        <f t="shared" ref="DX186" ca="1" si="371">IF(DT186&lt;&gt;"",IF(WEEKNUM(DT186)=WEEKNUM(TODAY()),"This Week",IF(WEEKNUM(DT186)=WEEKNUM(TODAY())+1,"Next Week",IF(WEEKNUM(DT186)=WEEKNUM(TODAY())-1,"Previous Week",""))),"")</f>
        <v/>
      </c>
      <c r="DY186" s="134" t="str">
        <f t="shared" si="313"/>
        <v/>
      </c>
      <c r="DZ186" s="95"/>
      <c r="EB186" s="8" t="str">
        <f t="shared" si="319"/>
        <v/>
      </c>
      <c r="EC186" s="8" t="str">
        <f>IF(O186&lt;&gt;"",VLOOKUP(O186,'Job Master'!$N$12:$O$18,2,0),"")</f>
        <v/>
      </c>
      <c r="ED186" s="8">
        <f t="shared" si="320"/>
        <v>19.5</v>
      </c>
      <c r="EE186" s="8">
        <f t="shared" si="321"/>
        <v>6</v>
      </c>
      <c r="EF186" s="8">
        <f t="shared" si="322"/>
        <v>-1036.5</v>
      </c>
      <c r="EG186" s="8" t="str">
        <f t="shared" si="323"/>
        <v/>
      </c>
      <c r="EH186" s="8" t="str">
        <f t="shared" si="324"/>
        <v/>
      </c>
    </row>
    <row r="187" spans="2:138" x14ac:dyDescent="0.3">
      <c r="B187" s="112"/>
      <c r="C187" s="27"/>
      <c r="D187" s="7" t="str">
        <f t="shared" si="261"/>
        <v/>
      </c>
      <c r="E187" s="25"/>
      <c r="F187" s="7" t="str">
        <f t="shared" si="261"/>
        <v/>
      </c>
      <c r="G187" s="25"/>
      <c r="H187" s="7" t="str">
        <f t="shared" si="261"/>
        <v/>
      </c>
      <c r="I187" s="25"/>
      <c r="J187" s="7" t="str">
        <f t="shared" si="261"/>
        <v/>
      </c>
      <c r="K187" s="25"/>
      <c r="L187" s="7" t="str">
        <f t="shared" si="262"/>
        <v/>
      </c>
      <c r="M187" s="25"/>
      <c r="N187" s="7" t="str">
        <f t="shared" si="263"/>
        <v/>
      </c>
      <c r="O187" s="81"/>
      <c r="P187" s="81" t="str">
        <f t="shared" si="264"/>
        <v/>
      </c>
      <c r="Q187" s="81"/>
      <c r="R187" s="7" t="str">
        <f t="shared" si="265"/>
        <v/>
      </c>
      <c r="S187" s="25"/>
      <c r="T187" s="7" t="str">
        <f t="shared" si="266"/>
        <v/>
      </c>
      <c r="U187" s="25"/>
      <c r="V187" s="7" t="str">
        <f t="shared" si="267"/>
        <v/>
      </c>
      <c r="W187" s="25"/>
      <c r="X187" s="7" t="str">
        <f t="shared" si="268"/>
        <v/>
      </c>
      <c r="Y187" s="18" t="str">
        <f t="shared" si="269"/>
        <v/>
      </c>
      <c r="Z187" s="7" t="str">
        <f t="shared" si="270"/>
        <v/>
      </c>
      <c r="AA187" s="18" t="str">
        <f t="shared" si="271"/>
        <v/>
      </c>
      <c r="AB187" s="19" t="str">
        <f t="shared" si="272"/>
        <v/>
      </c>
      <c r="AC187" s="26"/>
      <c r="AD187" s="26"/>
      <c r="AE187" s="25"/>
      <c r="AF187" s="26"/>
      <c r="AG187" s="25"/>
      <c r="AH187" s="25"/>
      <c r="AI187" s="18" t="str">
        <f t="shared" si="335"/>
        <v/>
      </c>
      <c r="AJ187" s="25"/>
      <c r="AK187" s="18" t="str">
        <f t="shared" si="336"/>
        <v/>
      </c>
      <c r="AL187" s="79"/>
      <c r="AM187" s="126" t="str">
        <f t="shared" si="337"/>
        <v/>
      </c>
      <c r="AN187" s="128" t="str">
        <f>IF(AP187&lt;&gt;"",VLOOKUP($P187&amp;" | "&amp;AN$6,'Job Master'!$F$12:$J$102,5,0),"")</f>
        <v/>
      </c>
      <c r="AO187" s="19" t="str">
        <f>IF(AP187&lt;&gt;"",VLOOKUP($P187&amp;" | "&amp;AN$6,'Job Master'!$F$12:$J$102,3,0),"")</f>
        <v/>
      </c>
      <c r="AP187" s="19" t="str">
        <f>IFERROR(IF(AND(AW187&lt;&gt;"",VLOOKUP($P187&amp;" | "&amp;AN$6,'Job Master'!$F$12:$I$102,4,0)&lt;&gt;""),IF(WEEKDAY(AW187-VLOOKUP($P187&amp;" | "&amp;AN$6,'Job Master'!$F$12:$I$102,4,0))&lt;&gt;7,AW187-VLOOKUP($P187&amp;" | "&amp;AN$6,'Job Master'!$F$12:$I$102,4,0),AW187-VLOOKUP($P187&amp;" | "&amp;AN$6,'Job Master'!$F$12:$I$102,4,0)-1),""),"")</f>
        <v/>
      </c>
      <c r="AQ187" s="73"/>
      <c r="AR187" s="123" t="str">
        <f t="shared" si="273"/>
        <v/>
      </c>
      <c r="AS187" s="123" t="str">
        <f t="shared" si="274"/>
        <v/>
      </c>
      <c r="AT187" s="97" t="str">
        <f t="shared" ca="1" si="275"/>
        <v/>
      </c>
      <c r="AU187" s="98" t="str">
        <f>IF(AW187&lt;&gt;"",VLOOKUP($P187&amp;" | "&amp;AU$6,'Job Master'!$F$12:$J$102,5,0),"")</f>
        <v/>
      </c>
      <c r="AV187" s="19" t="str">
        <f>IF(AW187&lt;&gt;"",VLOOKUP($P187&amp;" | "&amp;AU$6,'Job Master'!$F$12:$J$102,3,0),"")</f>
        <v/>
      </c>
      <c r="AW187" s="19" t="str">
        <f>IFERROR(IF(AND(BD187&lt;&gt;"",VLOOKUP($P187&amp;" | "&amp;AU$6,'Job Master'!$F$12:$I$102,4,0)&lt;&gt;""),IF(WEEKDAY(BD187-VLOOKUP($P187&amp;" | "&amp;AU$6,'Job Master'!$F$12:$I$102,4,0))&lt;&gt;7,BD187-VLOOKUP($P187&amp;" | "&amp;AU$6,'Job Master'!$F$12:$I$102,4,0),BD187-VLOOKUP($P187&amp;" | "&amp;AU$6,'Job Master'!$F$12:$I$102,4,0)-1),""),"")</f>
        <v/>
      </c>
      <c r="AX187" s="73"/>
      <c r="AY187" s="123" t="str">
        <f t="shared" si="276"/>
        <v/>
      </c>
      <c r="AZ187" s="123" t="str">
        <f t="shared" si="277"/>
        <v/>
      </c>
      <c r="BA187" s="97" t="str">
        <f t="shared" ca="1" si="278"/>
        <v/>
      </c>
      <c r="BB187" s="98" t="str">
        <f>IF(BD187&lt;&gt;"",VLOOKUP($P187&amp;" | "&amp;BB$6,'Job Master'!$F$12:$J$102,5,0),"")</f>
        <v/>
      </c>
      <c r="BC187" s="19" t="str">
        <f>IF(BD187&lt;&gt;"",VLOOKUP($P187&amp;" | "&amp;BB$6,'Job Master'!$F$12:$J$102,3,0),"")</f>
        <v/>
      </c>
      <c r="BD187" s="19" t="str">
        <f>IFERROR(IF(AND(BK187&lt;&gt;"",VLOOKUP($P187&amp;" | "&amp;BB$6,'Job Master'!$F$12:$I$102,4,0)&lt;&gt;""),IF(WEEKDAY(BK187-VLOOKUP($P187&amp;" | "&amp;BB$6,'Job Master'!$F$12:$I$102,4,0))&lt;&gt;7,BK187-VLOOKUP($P187&amp;" | "&amp;BB$6,'Job Master'!$F$12:$I$102,4,0),BK187-VLOOKUP($P187&amp;" | "&amp;BB$6,'Job Master'!$F$12:$I$102,4,0)-1),""),"")</f>
        <v/>
      </c>
      <c r="BE187" s="73"/>
      <c r="BF187" s="123" t="str">
        <f t="shared" si="279"/>
        <v/>
      </c>
      <c r="BG187" s="123" t="str">
        <f t="shared" si="280"/>
        <v/>
      </c>
      <c r="BH187" s="97" t="str">
        <f t="shared" ca="1" si="281"/>
        <v/>
      </c>
      <c r="BI187" s="98" t="str">
        <f>IF(BK187&lt;&gt;"",VLOOKUP($P187&amp;" | "&amp;BI$6,'Job Master'!$F$12:$J$102,5,0),"")</f>
        <v/>
      </c>
      <c r="BJ187" s="19" t="str">
        <f>IF(BK187&lt;&gt;"",VLOOKUP($P187&amp;" | "&amp;BI$6,'Job Master'!$F$12:$J$102,3,0),"")</f>
        <v/>
      </c>
      <c r="BK187" s="19" t="str">
        <f>IFERROR(IF(AND(BR187&lt;&gt;"",VLOOKUP($P187&amp;" | "&amp;BI$6,'Job Master'!$F$12:$I$102,4,0)&lt;&gt;""),IF(WEEKDAY(BR187-VLOOKUP($P187&amp;" | "&amp;BI$6,'Job Master'!$F$12:$I$102,4,0))&lt;&gt;7,BR187-VLOOKUP($P187&amp;" | "&amp;BI$6,'Job Master'!$F$12:$I$102,4,0),BR187-VLOOKUP($P187&amp;" | "&amp;BI$6,'Job Master'!$F$12:$I$102,4,0)-1),""),"")</f>
        <v/>
      </c>
      <c r="BL187" s="73"/>
      <c r="BM187" s="123" t="str">
        <f t="shared" si="282"/>
        <v/>
      </c>
      <c r="BN187" s="123" t="str">
        <f t="shared" si="283"/>
        <v/>
      </c>
      <c r="BO187" s="97" t="str">
        <f t="shared" ca="1" si="284"/>
        <v/>
      </c>
      <c r="BP187" s="98" t="str">
        <f>IF(BR187&lt;&gt;"",VLOOKUP($P187&amp;" | "&amp;BP$6,'Job Master'!$F$12:$J$102,5,0),"")</f>
        <v/>
      </c>
      <c r="BQ187" s="19" t="str">
        <f>IF(BR187&lt;&gt;"",VLOOKUP($P187&amp;" | "&amp;BP$6,'Job Master'!$F$12:$J$102,3,0),"")</f>
        <v/>
      </c>
      <c r="BR187" s="19" t="str">
        <f>IFERROR(IF(AND(BY187&lt;&gt;"",VLOOKUP($P187&amp;" | "&amp;BP$6,'Job Master'!$F$12:$I$102,4,0)&lt;&gt;""),IF(WEEKDAY(BY187-VLOOKUP($P187&amp;" | "&amp;BP$6,'Job Master'!$F$12:$I$102,4,0))&lt;&gt;7,BY187-VLOOKUP($P187&amp;" | "&amp;BP$6,'Job Master'!$F$12:$I$102,4,0),BY187-VLOOKUP($P187&amp;" | "&amp;BP$6,'Job Master'!$F$12:$I$102,4,0)-1),""),"")</f>
        <v/>
      </c>
      <c r="BS187" s="73"/>
      <c r="BT187" s="123" t="str">
        <f t="shared" si="285"/>
        <v/>
      </c>
      <c r="BU187" s="123" t="str">
        <f t="shared" si="286"/>
        <v/>
      </c>
      <c r="BV187" s="97" t="str">
        <f t="shared" ca="1" si="287"/>
        <v/>
      </c>
      <c r="BW187" s="98" t="str">
        <f>IF(BY187&lt;&gt;"",VLOOKUP($P187&amp;" | "&amp;BW$6,'Job Master'!$F$12:$J$102,5,0),"")</f>
        <v/>
      </c>
      <c r="BX187" s="19" t="str">
        <f>IF(BY187&lt;&gt;"",VLOOKUP($P187&amp;" | "&amp;BW$6,'Job Master'!$F$12:$J$102,3,0),"")</f>
        <v/>
      </c>
      <c r="BY187" s="19" t="str">
        <f>IFERROR(IF(AND(CF187&lt;&gt;"",VLOOKUP($P187&amp;" | "&amp;BW$6,'Job Master'!$F$12:$I$102,4,0)&lt;&gt;""),IF(WEEKDAY(CF187-VLOOKUP($P187&amp;" | "&amp;BW$6,'Job Master'!$F$12:$I$102,4,0))&lt;&gt;7,CF187-VLOOKUP($P187&amp;" | "&amp;BW$6,'Job Master'!$F$12:$I$102,4,0),CF187-VLOOKUP($P187&amp;" | "&amp;BW$6,'Job Master'!$F$12:$I$102,4,0)-1),""),"")</f>
        <v/>
      </c>
      <c r="BZ187" s="73"/>
      <c r="CA187" s="123" t="str">
        <f t="shared" si="288"/>
        <v/>
      </c>
      <c r="CB187" s="123" t="str">
        <f t="shared" si="289"/>
        <v/>
      </c>
      <c r="CC187" s="97" t="str">
        <f t="shared" ca="1" si="290"/>
        <v/>
      </c>
      <c r="CD187" s="98" t="str">
        <f>IF(CF187&lt;&gt;"",VLOOKUP($P187&amp;" | "&amp;CD$6,'Job Master'!$F$12:$J$102,5,0),"")</f>
        <v/>
      </c>
      <c r="CE187" s="19" t="str">
        <f>IF(CF187&lt;&gt;"",VLOOKUP($P187&amp;" | "&amp;CD$6,'Job Master'!$F$12:$J$102,3,0),"")</f>
        <v/>
      </c>
      <c r="CF187" s="19" t="str">
        <f>IFERROR(IF(AND(CM187&lt;&gt;"",VLOOKUP($P187&amp;" | "&amp;CD$6,'Job Master'!$F$12:$I$102,4,0)&lt;&gt;""),IF(WEEKDAY(CM187-VLOOKUP($P187&amp;" | "&amp;CD$6,'Job Master'!$F$12:$I$102,4,0))&lt;&gt;7,CM187-VLOOKUP($P187&amp;" | "&amp;CD$6,'Job Master'!$F$12:$I$102,4,0),CM187-VLOOKUP($P187&amp;" | "&amp;CD$6,'Job Master'!$F$12:$I$102,4,0)-1),""),"")</f>
        <v/>
      </c>
      <c r="CG187" s="73"/>
      <c r="CH187" s="123" t="str">
        <f t="shared" si="291"/>
        <v/>
      </c>
      <c r="CI187" s="123" t="str">
        <f t="shared" si="292"/>
        <v/>
      </c>
      <c r="CJ187" s="97" t="str">
        <f t="shared" ca="1" si="293"/>
        <v/>
      </c>
      <c r="CK187" s="98" t="str">
        <f>IF(CM187&lt;&gt;"",VLOOKUP($P187&amp;" | "&amp;CK$6,'Job Master'!$F$12:$J$102,5,0),"")</f>
        <v/>
      </c>
      <c r="CL187" s="19" t="str">
        <f>IF(CM187&lt;&gt;"",VLOOKUP($P187&amp;" | "&amp;CK$6,'Job Master'!$F$12:$J$102,3,0),"")</f>
        <v/>
      </c>
      <c r="CM187" s="19" t="str">
        <f>IFERROR(IF(AND(CT187&lt;&gt;"",VLOOKUP($P187&amp;" | "&amp;CK$6,'Job Master'!$F$12:$I$102,4,0)&lt;&gt;""),IF(WEEKDAY(CT187-VLOOKUP($P187&amp;" | "&amp;CK$6,'Job Master'!$F$12:$I$102,4,0))&lt;&gt;7,CT187-VLOOKUP($P187&amp;" | "&amp;CK$6,'Job Master'!$F$12:$I$102,4,0),CT187-VLOOKUP($P187&amp;" | "&amp;CK$6,'Job Master'!$F$12:$I$102,4,0)-1),""),"")</f>
        <v/>
      </c>
      <c r="CN187" s="73"/>
      <c r="CO187" s="123" t="str">
        <f t="shared" si="294"/>
        <v/>
      </c>
      <c r="CP187" s="123" t="str">
        <f t="shared" si="295"/>
        <v/>
      </c>
      <c r="CQ187" s="97" t="str">
        <f t="shared" ca="1" si="296"/>
        <v/>
      </c>
      <c r="CR187" s="98" t="str">
        <f>IF(CT187&lt;&gt;"",VLOOKUP($P187&amp;" | "&amp;CR$6,'Job Master'!$F$12:$J$102,5,0),"")</f>
        <v/>
      </c>
      <c r="CS187" s="19" t="str">
        <f>IF(CT187&lt;&gt;"",VLOOKUP($P187&amp;" | "&amp;CR$6,'Job Master'!$F$12:$J$102,3,0),"")</f>
        <v/>
      </c>
      <c r="CT187" s="19" t="str">
        <f>IFERROR(IF(AND(DA187&lt;&gt;"",VLOOKUP($P187&amp;" | "&amp;CR$6,'Job Master'!$F$12:$I$102,4,0)&lt;&gt;""),IF(WEEKDAY(DA187-VLOOKUP($P187&amp;" | "&amp;CR$6,'Job Master'!$F$12:$I$102,4,0))&lt;&gt;7,DA187-VLOOKUP($P187&amp;" | "&amp;CR$6,'Job Master'!$F$12:$I$102,4,0),DA187-VLOOKUP($P187&amp;" | "&amp;CR$6,'Job Master'!$F$12:$I$102,4,0)-1),""),"")</f>
        <v/>
      </c>
      <c r="CU187" s="73"/>
      <c r="CV187" s="123" t="str">
        <f t="shared" si="297"/>
        <v/>
      </c>
      <c r="CW187" s="123" t="str">
        <f t="shared" si="298"/>
        <v/>
      </c>
      <c r="CX187" s="97" t="str">
        <f t="shared" ca="1" si="299"/>
        <v/>
      </c>
      <c r="CY187" s="98" t="str">
        <f>IF(DA187&lt;&gt;"",VLOOKUP($P187&amp;" | "&amp;CY$6,'Job Master'!$F$12:$J$102,5,0),"")</f>
        <v/>
      </c>
      <c r="CZ187" s="19" t="str">
        <f>IF(DA187&lt;&gt;"",VLOOKUP($P187&amp;" | "&amp;CY$6,'Job Master'!$F$12:$J$102,3,0),"")</f>
        <v/>
      </c>
      <c r="DA187" s="19" t="str">
        <f>IFERROR(IF(AND(DH187&lt;&gt;"",VLOOKUP($P187&amp;" | "&amp;CY$6,'Job Master'!$F$12:$I$102,4,0)&lt;&gt;""),IF(WEEKDAY(DH187-VLOOKUP($P187&amp;" | "&amp;CY$6,'Job Master'!$F$12:$I$102,4,0))&lt;&gt;7,DH187-VLOOKUP($P187&amp;" | "&amp;CY$6,'Job Master'!$F$12:$I$102,4,0),DH187-VLOOKUP($P187&amp;" | "&amp;CY$6,'Job Master'!$F$12:$I$102,4,0)-1),""),"")</f>
        <v/>
      </c>
      <c r="DB187" s="73"/>
      <c r="DC187" s="123" t="str">
        <f t="shared" si="300"/>
        <v/>
      </c>
      <c r="DD187" s="123" t="str">
        <f t="shared" si="301"/>
        <v/>
      </c>
      <c r="DE187" s="97" t="str">
        <f t="shared" ca="1" si="302"/>
        <v/>
      </c>
      <c r="DF187" s="98" t="str">
        <f>IF(DH187&lt;&gt;"",VLOOKUP($P187&amp;" | "&amp;DF$6,'Job Master'!$F$12:$J$102,5,0),"")</f>
        <v/>
      </c>
      <c r="DG187" s="19" t="str">
        <f>IF(DH187&lt;&gt;"",VLOOKUP($P187&amp;" | "&amp;DF$6,'Job Master'!$F$12:$J$102,3,0),"")</f>
        <v/>
      </c>
      <c r="DH187" s="19" t="str">
        <f>IFERROR(IF(AND(DO187&lt;&gt;"",VLOOKUP($P187&amp;" | "&amp;DF$6,'Job Master'!$F$12:$I$102,4,0)&lt;&gt;""),IF(WEEKDAY(DO187-VLOOKUP($P187&amp;" | "&amp;DF$6,'Job Master'!$F$12:$I$102,4,0))&lt;&gt;7,DO187-VLOOKUP($P187&amp;" | "&amp;DF$6,'Job Master'!$F$12:$I$102,4,0),DO187-VLOOKUP($P187&amp;" | "&amp;DF$6,'Job Master'!$F$12:$I$102,4,0)-1),""),"")</f>
        <v/>
      </c>
      <c r="DI187" s="73"/>
      <c r="DJ187" s="123" t="str">
        <f t="shared" si="303"/>
        <v/>
      </c>
      <c r="DK187" s="123" t="str">
        <f t="shared" si="304"/>
        <v/>
      </c>
      <c r="DL187" s="97" t="str">
        <f t="shared" ca="1" si="305"/>
        <v/>
      </c>
      <c r="DM187" s="98" t="str">
        <f>IF(DO187&lt;&gt;"",VLOOKUP($P187&amp;" | "&amp;DM$6,'Job Master'!$F$12:$J$102,5,0),"")</f>
        <v/>
      </c>
      <c r="DN187" s="19" t="str">
        <f>IF(DO187&lt;&gt;"",VLOOKUP($P187&amp;" | "&amp;DM$6,'Job Master'!$F$12:$J$102,3,0),"")</f>
        <v/>
      </c>
      <c r="DO187" s="19" t="str">
        <f>IFERROR(IF(AND(DT187&lt;&gt;"",VLOOKUP($P187&amp;" | "&amp;DM$6,'Job Master'!$F$12:$I$102,4,0)&lt;&gt;""),IF(WEEKDAY(DT187-VLOOKUP($P187&amp;" | "&amp;DM$6,'Job Master'!$F$12:$I$102,4,0))&lt;&gt;7,DT187-VLOOKUP($P187&amp;" | "&amp;DM$6,'Job Master'!$F$12:$I$102,4,0),DT187-VLOOKUP($P187&amp;" | "&amp;DM$6,'Job Master'!$F$12:$I$102,4,0)-1),""),"")</f>
        <v/>
      </c>
      <c r="DP187" s="73"/>
      <c r="DQ187" s="123" t="str">
        <f t="shared" si="306"/>
        <v/>
      </c>
      <c r="DR187" s="123" t="str">
        <f t="shared" si="307"/>
        <v/>
      </c>
      <c r="DS187" s="97" t="str">
        <f t="shared" ca="1" si="308"/>
        <v/>
      </c>
      <c r="DT187" s="70" t="str">
        <f t="shared" si="309"/>
        <v/>
      </c>
      <c r="DU187" s="90"/>
      <c r="DV187" s="123" t="str">
        <f t="shared" si="310"/>
        <v/>
      </c>
      <c r="DW187" s="123" t="str">
        <f t="shared" si="311"/>
        <v/>
      </c>
      <c r="DX187" s="132" t="str">
        <f t="shared" ref="DX187" ca="1" si="372">IF(DT187&lt;&gt;"",IF(WEEKNUM(DT187)=WEEKNUM(TODAY()),"This Week",IF(WEEKNUM(DT187)=WEEKNUM(TODAY())+1,"Next Week",IF(WEEKNUM(DT187)=WEEKNUM(TODAY())-1,"Previous Week",""))),"")</f>
        <v/>
      </c>
      <c r="DY187" s="134" t="str">
        <f t="shared" si="313"/>
        <v/>
      </c>
      <c r="DZ187" s="95"/>
      <c r="EB187" s="8" t="str">
        <f t="shared" si="319"/>
        <v/>
      </c>
      <c r="EC187" s="8" t="str">
        <f>IF(O187&lt;&gt;"",VLOOKUP(O187,'Job Master'!$N$12:$O$18,2,0),"")</f>
        <v/>
      </c>
      <c r="ED187" s="8">
        <f t="shared" si="320"/>
        <v>19.5</v>
      </c>
      <c r="EE187" s="8">
        <f t="shared" si="321"/>
        <v>6</v>
      </c>
      <c r="EF187" s="8">
        <f t="shared" si="322"/>
        <v>-1042.5</v>
      </c>
      <c r="EG187" s="8" t="str">
        <f t="shared" si="323"/>
        <v/>
      </c>
      <c r="EH187" s="8" t="str">
        <f t="shared" si="324"/>
        <v/>
      </c>
    </row>
    <row r="188" spans="2:138" x14ac:dyDescent="0.3">
      <c r="B188" s="112"/>
      <c r="C188" s="27"/>
      <c r="D188" s="7" t="str">
        <f t="shared" si="261"/>
        <v/>
      </c>
      <c r="E188" s="25"/>
      <c r="F188" s="7" t="str">
        <f t="shared" si="261"/>
        <v/>
      </c>
      <c r="G188" s="25"/>
      <c r="H188" s="7" t="str">
        <f t="shared" si="261"/>
        <v/>
      </c>
      <c r="I188" s="25"/>
      <c r="J188" s="7" t="str">
        <f t="shared" si="261"/>
        <v/>
      </c>
      <c r="K188" s="25"/>
      <c r="L188" s="7" t="str">
        <f t="shared" si="262"/>
        <v/>
      </c>
      <c r="M188" s="25"/>
      <c r="N188" s="7" t="str">
        <f t="shared" si="263"/>
        <v/>
      </c>
      <c r="O188" s="81"/>
      <c r="P188" s="81" t="str">
        <f t="shared" si="264"/>
        <v/>
      </c>
      <c r="Q188" s="81"/>
      <c r="R188" s="7" t="str">
        <f t="shared" si="265"/>
        <v/>
      </c>
      <c r="S188" s="25"/>
      <c r="T188" s="7" t="str">
        <f t="shared" si="266"/>
        <v/>
      </c>
      <c r="U188" s="25"/>
      <c r="V188" s="7" t="str">
        <f t="shared" si="267"/>
        <v/>
      </c>
      <c r="W188" s="25"/>
      <c r="X188" s="7" t="str">
        <f t="shared" si="268"/>
        <v/>
      </c>
      <c r="Y188" s="18" t="str">
        <f t="shared" si="269"/>
        <v/>
      </c>
      <c r="Z188" s="7" t="str">
        <f t="shared" si="270"/>
        <v/>
      </c>
      <c r="AA188" s="18" t="str">
        <f t="shared" si="271"/>
        <v/>
      </c>
      <c r="AB188" s="19" t="str">
        <f t="shared" si="272"/>
        <v/>
      </c>
      <c r="AC188" s="26"/>
      <c r="AD188" s="26"/>
      <c r="AE188" s="25"/>
      <c r="AF188" s="26"/>
      <c r="AG188" s="25"/>
      <c r="AH188" s="25"/>
      <c r="AI188" s="18" t="str">
        <f t="shared" si="335"/>
        <v/>
      </c>
      <c r="AJ188" s="25"/>
      <c r="AK188" s="18" t="str">
        <f t="shared" si="336"/>
        <v/>
      </c>
      <c r="AL188" s="79"/>
      <c r="AM188" s="126" t="str">
        <f t="shared" si="337"/>
        <v/>
      </c>
      <c r="AN188" s="128" t="str">
        <f>IF(AP188&lt;&gt;"",VLOOKUP($P188&amp;" | "&amp;AN$6,'Job Master'!$F$12:$J$102,5,0),"")</f>
        <v/>
      </c>
      <c r="AO188" s="19" t="str">
        <f>IF(AP188&lt;&gt;"",VLOOKUP($P188&amp;" | "&amp;AN$6,'Job Master'!$F$12:$J$102,3,0),"")</f>
        <v/>
      </c>
      <c r="AP188" s="19" t="str">
        <f>IFERROR(IF(AND(AW188&lt;&gt;"",VLOOKUP($P188&amp;" | "&amp;AN$6,'Job Master'!$F$12:$I$102,4,0)&lt;&gt;""),IF(WEEKDAY(AW188-VLOOKUP($P188&amp;" | "&amp;AN$6,'Job Master'!$F$12:$I$102,4,0))&lt;&gt;7,AW188-VLOOKUP($P188&amp;" | "&amp;AN$6,'Job Master'!$F$12:$I$102,4,0),AW188-VLOOKUP($P188&amp;" | "&amp;AN$6,'Job Master'!$F$12:$I$102,4,0)-1),""),"")</f>
        <v/>
      </c>
      <c r="AQ188" s="73"/>
      <c r="AR188" s="123" t="str">
        <f t="shared" si="273"/>
        <v/>
      </c>
      <c r="AS188" s="123" t="str">
        <f t="shared" si="274"/>
        <v/>
      </c>
      <c r="AT188" s="97" t="str">
        <f t="shared" ca="1" si="275"/>
        <v/>
      </c>
      <c r="AU188" s="98" t="str">
        <f>IF(AW188&lt;&gt;"",VLOOKUP($P188&amp;" | "&amp;AU$6,'Job Master'!$F$12:$J$102,5,0),"")</f>
        <v/>
      </c>
      <c r="AV188" s="19" t="str">
        <f>IF(AW188&lt;&gt;"",VLOOKUP($P188&amp;" | "&amp;AU$6,'Job Master'!$F$12:$J$102,3,0),"")</f>
        <v/>
      </c>
      <c r="AW188" s="19" t="str">
        <f>IFERROR(IF(AND(BD188&lt;&gt;"",VLOOKUP($P188&amp;" | "&amp;AU$6,'Job Master'!$F$12:$I$102,4,0)&lt;&gt;""),IF(WEEKDAY(BD188-VLOOKUP($P188&amp;" | "&amp;AU$6,'Job Master'!$F$12:$I$102,4,0))&lt;&gt;7,BD188-VLOOKUP($P188&amp;" | "&amp;AU$6,'Job Master'!$F$12:$I$102,4,0),BD188-VLOOKUP($P188&amp;" | "&amp;AU$6,'Job Master'!$F$12:$I$102,4,0)-1),""),"")</f>
        <v/>
      </c>
      <c r="AX188" s="73"/>
      <c r="AY188" s="123" t="str">
        <f t="shared" si="276"/>
        <v/>
      </c>
      <c r="AZ188" s="123" t="str">
        <f t="shared" si="277"/>
        <v/>
      </c>
      <c r="BA188" s="97" t="str">
        <f t="shared" ca="1" si="278"/>
        <v/>
      </c>
      <c r="BB188" s="98" t="str">
        <f>IF(BD188&lt;&gt;"",VLOOKUP($P188&amp;" | "&amp;BB$6,'Job Master'!$F$12:$J$102,5,0),"")</f>
        <v/>
      </c>
      <c r="BC188" s="19" t="str">
        <f>IF(BD188&lt;&gt;"",VLOOKUP($P188&amp;" | "&amp;BB$6,'Job Master'!$F$12:$J$102,3,0),"")</f>
        <v/>
      </c>
      <c r="BD188" s="19" t="str">
        <f>IFERROR(IF(AND(BK188&lt;&gt;"",VLOOKUP($P188&amp;" | "&amp;BB$6,'Job Master'!$F$12:$I$102,4,0)&lt;&gt;""),IF(WEEKDAY(BK188-VLOOKUP($P188&amp;" | "&amp;BB$6,'Job Master'!$F$12:$I$102,4,0))&lt;&gt;7,BK188-VLOOKUP($P188&amp;" | "&amp;BB$6,'Job Master'!$F$12:$I$102,4,0),BK188-VLOOKUP($P188&amp;" | "&amp;BB$6,'Job Master'!$F$12:$I$102,4,0)-1),""),"")</f>
        <v/>
      </c>
      <c r="BE188" s="73"/>
      <c r="BF188" s="123" t="str">
        <f t="shared" si="279"/>
        <v/>
      </c>
      <c r="BG188" s="123" t="str">
        <f t="shared" si="280"/>
        <v/>
      </c>
      <c r="BH188" s="97" t="str">
        <f t="shared" ca="1" si="281"/>
        <v/>
      </c>
      <c r="BI188" s="98" t="str">
        <f>IF(BK188&lt;&gt;"",VLOOKUP($P188&amp;" | "&amp;BI$6,'Job Master'!$F$12:$J$102,5,0),"")</f>
        <v/>
      </c>
      <c r="BJ188" s="19" t="str">
        <f>IF(BK188&lt;&gt;"",VLOOKUP($P188&amp;" | "&amp;BI$6,'Job Master'!$F$12:$J$102,3,0),"")</f>
        <v/>
      </c>
      <c r="BK188" s="19" t="str">
        <f>IFERROR(IF(AND(BR188&lt;&gt;"",VLOOKUP($P188&amp;" | "&amp;BI$6,'Job Master'!$F$12:$I$102,4,0)&lt;&gt;""),IF(WEEKDAY(BR188-VLOOKUP($P188&amp;" | "&amp;BI$6,'Job Master'!$F$12:$I$102,4,0))&lt;&gt;7,BR188-VLOOKUP($P188&amp;" | "&amp;BI$6,'Job Master'!$F$12:$I$102,4,0),BR188-VLOOKUP($P188&amp;" | "&amp;BI$6,'Job Master'!$F$12:$I$102,4,0)-1),""),"")</f>
        <v/>
      </c>
      <c r="BL188" s="73"/>
      <c r="BM188" s="123" t="str">
        <f t="shared" si="282"/>
        <v/>
      </c>
      <c r="BN188" s="123" t="str">
        <f t="shared" si="283"/>
        <v/>
      </c>
      <c r="BO188" s="97" t="str">
        <f t="shared" ca="1" si="284"/>
        <v/>
      </c>
      <c r="BP188" s="98" t="str">
        <f>IF(BR188&lt;&gt;"",VLOOKUP($P188&amp;" | "&amp;BP$6,'Job Master'!$F$12:$J$102,5,0),"")</f>
        <v/>
      </c>
      <c r="BQ188" s="19" t="str">
        <f>IF(BR188&lt;&gt;"",VLOOKUP($P188&amp;" | "&amp;BP$6,'Job Master'!$F$12:$J$102,3,0),"")</f>
        <v/>
      </c>
      <c r="BR188" s="19" t="str">
        <f>IFERROR(IF(AND(BY188&lt;&gt;"",VLOOKUP($P188&amp;" | "&amp;BP$6,'Job Master'!$F$12:$I$102,4,0)&lt;&gt;""),IF(WEEKDAY(BY188-VLOOKUP($P188&amp;" | "&amp;BP$6,'Job Master'!$F$12:$I$102,4,0))&lt;&gt;7,BY188-VLOOKUP($P188&amp;" | "&amp;BP$6,'Job Master'!$F$12:$I$102,4,0),BY188-VLOOKUP($P188&amp;" | "&amp;BP$6,'Job Master'!$F$12:$I$102,4,0)-1),""),"")</f>
        <v/>
      </c>
      <c r="BS188" s="73"/>
      <c r="BT188" s="123" t="str">
        <f t="shared" si="285"/>
        <v/>
      </c>
      <c r="BU188" s="123" t="str">
        <f t="shared" si="286"/>
        <v/>
      </c>
      <c r="BV188" s="97" t="str">
        <f t="shared" ca="1" si="287"/>
        <v/>
      </c>
      <c r="BW188" s="98" t="str">
        <f>IF(BY188&lt;&gt;"",VLOOKUP($P188&amp;" | "&amp;BW$6,'Job Master'!$F$12:$J$102,5,0),"")</f>
        <v/>
      </c>
      <c r="BX188" s="19" t="str">
        <f>IF(BY188&lt;&gt;"",VLOOKUP($P188&amp;" | "&amp;BW$6,'Job Master'!$F$12:$J$102,3,0),"")</f>
        <v/>
      </c>
      <c r="BY188" s="19" t="str">
        <f>IFERROR(IF(AND(CF188&lt;&gt;"",VLOOKUP($P188&amp;" | "&amp;BW$6,'Job Master'!$F$12:$I$102,4,0)&lt;&gt;""),IF(WEEKDAY(CF188-VLOOKUP($P188&amp;" | "&amp;BW$6,'Job Master'!$F$12:$I$102,4,0))&lt;&gt;7,CF188-VLOOKUP($P188&amp;" | "&amp;BW$6,'Job Master'!$F$12:$I$102,4,0),CF188-VLOOKUP($P188&amp;" | "&amp;BW$6,'Job Master'!$F$12:$I$102,4,0)-1),""),"")</f>
        <v/>
      </c>
      <c r="BZ188" s="73"/>
      <c r="CA188" s="123" t="str">
        <f t="shared" si="288"/>
        <v/>
      </c>
      <c r="CB188" s="123" t="str">
        <f t="shared" si="289"/>
        <v/>
      </c>
      <c r="CC188" s="97" t="str">
        <f t="shared" ca="1" si="290"/>
        <v/>
      </c>
      <c r="CD188" s="98" t="str">
        <f>IF(CF188&lt;&gt;"",VLOOKUP($P188&amp;" | "&amp;CD$6,'Job Master'!$F$12:$J$102,5,0),"")</f>
        <v/>
      </c>
      <c r="CE188" s="19" t="str">
        <f>IF(CF188&lt;&gt;"",VLOOKUP($P188&amp;" | "&amp;CD$6,'Job Master'!$F$12:$J$102,3,0),"")</f>
        <v/>
      </c>
      <c r="CF188" s="19" t="str">
        <f>IFERROR(IF(AND(CM188&lt;&gt;"",VLOOKUP($P188&amp;" | "&amp;CD$6,'Job Master'!$F$12:$I$102,4,0)&lt;&gt;""),IF(WEEKDAY(CM188-VLOOKUP($P188&amp;" | "&amp;CD$6,'Job Master'!$F$12:$I$102,4,0))&lt;&gt;7,CM188-VLOOKUP($P188&amp;" | "&amp;CD$6,'Job Master'!$F$12:$I$102,4,0),CM188-VLOOKUP($P188&amp;" | "&amp;CD$6,'Job Master'!$F$12:$I$102,4,0)-1),""),"")</f>
        <v/>
      </c>
      <c r="CG188" s="73"/>
      <c r="CH188" s="123" t="str">
        <f t="shared" si="291"/>
        <v/>
      </c>
      <c r="CI188" s="123" t="str">
        <f t="shared" si="292"/>
        <v/>
      </c>
      <c r="CJ188" s="97" t="str">
        <f t="shared" ca="1" si="293"/>
        <v/>
      </c>
      <c r="CK188" s="98" t="str">
        <f>IF(CM188&lt;&gt;"",VLOOKUP($P188&amp;" | "&amp;CK$6,'Job Master'!$F$12:$J$102,5,0),"")</f>
        <v/>
      </c>
      <c r="CL188" s="19" t="str">
        <f>IF(CM188&lt;&gt;"",VLOOKUP($P188&amp;" | "&amp;CK$6,'Job Master'!$F$12:$J$102,3,0),"")</f>
        <v/>
      </c>
      <c r="CM188" s="19" t="str">
        <f>IFERROR(IF(AND(CT188&lt;&gt;"",VLOOKUP($P188&amp;" | "&amp;CK$6,'Job Master'!$F$12:$I$102,4,0)&lt;&gt;""),IF(WEEKDAY(CT188-VLOOKUP($P188&amp;" | "&amp;CK$6,'Job Master'!$F$12:$I$102,4,0))&lt;&gt;7,CT188-VLOOKUP($P188&amp;" | "&amp;CK$6,'Job Master'!$F$12:$I$102,4,0),CT188-VLOOKUP($P188&amp;" | "&amp;CK$6,'Job Master'!$F$12:$I$102,4,0)-1),""),"")</f>
        <v/>
      </c>
      <c r="CN188" s="73"/>
      <c r="CO188" s="123" t="str">
        <f t="shared" si="294"/>
        <v/>
      </c>
      <c r="CP188" s="123" t="str">
        <f t="shared" si="295"/>
        <v/>
      </c>
      <c r="CQ188" s="97" t="str">
        <f t="shared" ca="1" si="296"/>
        <v/>
      </c>
      <c r="CR188" s="98" t="str">
        <f>IF(CT188&lt;&gt;"",VLOOKUP($P188&amp;" | "&amp;CR$6,'Job Master'!$F$12:$J$102,5,0),"")</f>
        <v/>
      </c>
      <c r="CS188" s="19" t="str">
        <f>IF(CT188&lt;&gt;"",VLOOKUP($P188&amp;" | "&amp;CR$6,'Job Master'!$F$12:$J$102,3,0),"")</f>
        <v/>
      </c>
      <c r="CT188" s="19" t="str">
        <f>IFERROR(IF(AND(DA188&lt;&gt;"",VLOOKUP($P188&amp;" | "&amp;CR$6,'Job Master'!$F$12:$I$102,4,0)&lt;&gt;""),IF(WEEKDAY(DA188-VLOOKUP($P188&amp;" | "&amp;CR$6,'Job Master'!$F$12:$I$102,4,0))&lt;&gt;7,DA188-VLOOKUP($P188&amp;" | "&amp;CR$6,'Job Master'!$F$12:$I$102,4,0),DA188-VLOOKUP($P188&amp;" | "&amp;CR$6,'Job Master'!$F$12:$I$102,4,0)-1),""),"")</f>
        <v/>
      </c>
      <c r="CU188" s="73"/>
      <c r="CV188" s="123" t="str">
        <f t="shared" si="297"/>
        <v/>
      </c>
      <c r="CW188" s="123" t="str">
        <f t="shared" si="298"/>
        <v/>
      </c>
      <c r="CX188" s="97" t="str">
        <f t="shared" ca="1" si="299"/>
        <v/>
      </c>
      <c r="CY188" s="98" t="str">
        <f>IF(DA188&lt;&gt;"",VLOOKUP($P188&amp;" | "&amp;CY$6,'Job Master'!$F$12:$J$102,5,0),"")</f>
        <v/>
      </c>
      <c r="CZ188" s="19" t="str">
        <f>IF(DA188&lt;&gt;"",VLOOKUP($P188&amp;" | "&amp;CY$6,'Job Master'!$F$12:$J$102,3,0),"")</f>
        <v/>
      </c>
      <c r="DA188" s="19" t="str">
        <f>IFERROR(IF(AND(DH188&lt;&gt;"",VLOOKUP($P188&amp;" | "&amp;CY$6,'Job Master'!$F$12:$I$102,4,0)&lt;&gt;""),IF(WEEKDAY(DH188-VLOOKUP($P188&amp;" | "&amp;CY$6,'Job Master'!$F$12:$I$102,4,0))&lt;&gt;7,DH188-VLOOKUP($P188&amp;" | "&amp;CY$6,'Job Master'!$F$12:$I$102,4,0),DH188-VLOOKUP($P188&amp;" | "&amp;CY$6,'Job Master'!$F$12:$I$102,4,0)-1),""),"")</f>
        <v/>
      </c>
      <c r="DB188" s="73"/>
      <c r="DC188" s="123" t="str">
        <f t="shared" si="300"/>
        <v/>
      </c>
      <c r="DD188" s="123" t="str">
        <f t="shared" si="301"/>
        <v/>
      </c>
      <c r="DE188" s="97" t="str">
        <f t="shared" ca="1" si="302"/>
        <v/>
      </c>
      <c r="DF188" s="98" t="str">
        <f>IF(DH188&lt;&gt;"",VLOOKUP($P188&amp;" | "&amp;DF$6,'Job Master'!$F$12:$J$102,5,0),"")</f>
        <v/>
      </c>
      <c r="DG188" s="19" t="str">
        <f>IF(DH188&lt;&gt;"",VLOOKUP($P188&amp;" | "&amp;DF$6,'Job Master'!$F$12:$J$102,3,0),"")</f>
        <v/>
      </c>
      <c r="DH188" s="19" t="str">
        <f>IFERROR(IF(AND(DO188&lt;&gt;"",VLOOKUP($P188&amp;" | "&amp;DF$6,'Job Master'!$F$12:$I$102,4,0)&lt;&gt;""),IF(WEEKDAY(DO188-VLOOKUP($P188&amp;" | "&amp;DF$6,'Job Master'!$F$12:$I$102,4,0))&lt;&gt;7,DO188-VLOOKUP($P188&amp;" | "&amp;DF$6,'Job Master'!$F$12:$I$102,4,0),DO188-VLOOKUP($P188&amp;" | "&amp;DF$6,'Job Master'!$F$12:$I$102,4,0)-1),""),"")</f>
        <v/>
      </c>
      <c r="DI188" s="73"/>
      <c r="DJ188" s="123" t="str">
        <f t="shared" si="303"/>
        <v/>
      </c>
      <c r="DK188" s="123" t="str">
        <f t="shared" si="304"/>
        <v/>
      </c>
      <c r="DL188" s="97" t="str">
        <f t="shared" ca="1" si="305"/>
        <v/>
      </c>
      <c r="DM188" s="98" t="str">
        <f>IF(DO188&lt;&gt;"",VLOOKUP($P188&amp;" | "&amp;DM$6,'Job Master'!$F$12:$J$102,5,0),"")</f>
        <v/>
      </c>
      <c r="DN188" s="19" t="str">
        <f>IF(DO188&lt;&gt;"",VLOOKUP($P188&amp;" | "&amp;DM$6,'Job Master'!$F$12:$J$102,3,0),"")</f>
        <v/>
      </c>
      <c r="DO188" s="19" t="str">
        <f>IFERROR(IF(AND(DT188&lt;&gt;"",VLOOKUP($P188&amp;" | "&amp;DM$6,'Job Master'!$F$12:$I$102,4,0)&lt;&gt;""),IF(WEEKDAY(DT188-VLOOKUP($P188&amp;" | "&amp;DM$6,'Job Master'!$F$12:$I$102,4,0))&lt;&gt;7,DT188-VLOOKUP($P188&amp;" | "&amp;DM$6,'Job Master'!$F$12:$I$102,4,0),DT188-VLOOKUP($P188&amp;" | "&amp;DM$6,'Job Master'!$F$12:$I$102,4,0)-1),""),"")</f>
        <v/>
      </c>
      <c r="DP188" s="73"/>
      <c r="DQ188" s="123" t="str">
        <f t="shared" si="306"/>
        <v/>
      </c>
      <c r="DR188" s="123" t="str">
        <f t="shared" si="307"/>
        <v/>
      </c>
      <c r="DS188" s="97" t="str">
        <f t="shared" ca="1" si="308"/>
        <v/>
      </c>
      <c r="DT188" s="70" t="str">
        <f t="shared" si="309"/>
        <v/>
      </c>
      <c r="DU188" s="90"/>
      <c r="DV188" s="123" t="str">
        <f t="shared" si="310"/>
        <v/>
      </c>
      <c r="DW188" s="123" t="str">
        <f t="shared" si="311"/>
        <v/>
      </c>
      <c r="DX188" s="132" t="str">
        <f t="shared" ref="DX188" ca="1" si="373">IF(DT188&lt;&gt;"",IF(WEEKNUM(DT188)=WEEKNUM(TODAY()),"This Week",IF(WEEKNUM(DT188)=WEEKNUM(TODAY())+1,"Next Week",IF(WEEKNUM(DT188)=WEEKNUM(TODAY())-1,"Previous Week",""))),"")</f>
        <v/>
      </c>
      <c r="DY188" s="134" t="str">
        <f t="shared" si="313"/>
        <v/>
      </c>
      <c r="DZ188" s="95"/>
      <c r="EB188" s="8" t="str">
        <f t="shared" si="319"/>
        <v/>
      </c>
      <c r="EC188" s="8" t="str">
        <f>IF(O188&lt;&gt;"",VLOOKUP(O188,'Job Master'!$N$12:$O$18,2,0),"")</f>
        <v/>
      </c>
      <c r="ED188" s="8">
        <f t="shared" si="320"/>
        <v>19.5</v>
      </c>
      <c r="EE188" s="8">
        <f t="shared" si="321"/>
        <v>6</v>
      </c>
      <c r="EF188" s="8">
        <f t="shared" si="322"/>
        <v>-1048.5</v>
      </c>
      <c r="EG188" s="8" t="str">
        <f t="shared" si="323"/>
        <v/>
      </c>
      <c r="EH188" s="8" t="str">
        <f t="shared" si="324"/>
        <v/>
      </c>
    </row>
    <row r="189" spans="2:138" x14ac:dyDescent="0.3">
      <c r="B189" s="112"/>
      <c r="C189" s="27"/>
      <c r="D189" s="7" t="str">
        <f t="shared" si="261"/>
        <v/>
      </c>
      <c r="E189" s="25"/>
      <c r="F189" s="7" t="str">
        <f t="shared" si="261"/>
        <v/>
      </c>
      <c r="G189" s="25"/>
      <c r="H189" s="7" t="str">
        <f t="shared" si="261"/>
        <v/>
      </c>
      <c r="I189" s="25"/>
      <c r="J189" s="7" t="str">
        <f t="shared" si="261"/>
        <v/>
      </c>
      <c r="K189" s="25"/>
      <c r="L189" s="7" t="str">
        <f t="shared" si="262"/>
        <v/>
      </c>
      <c r="M189" s="25"/>
      <c r="N189" s="7" t="str">
        <f t="shared" si="263"/>
        <v/>
      </c>
      <c r="O189" s="81"/>
      <c r="P189" s="81" t="str">
        <f t="shared" si="264"/>
        <v/>
      </c>
      <c r="Q189" s="81"/>
      <c r="R189" s="7" t="str">
        <f t="shared" si="265"/>
        <v/>
      </c>
      <c r="S189" s="25"/>
      <c r="T189" s="7" t="str">
        <f t="shared" si="266"/>
        <v/>
      </c>
      <c r="U189" s="25"/>
      <c r="V189" s="7" t="str">
        <f t="shared" si="267"/>
        <v/>
      </c>
      <c r="W189" s="25"/>
      <c r="X189" s="7" t="str">
        <f t="shared" si="268"/>
        <v/>
      </c>
      <c r="Y189" s="18" t="str">
        <f t="shared" si="269"/>
        <v/>
      </c>
      <c r="Z189" s="7" t="str">
        <f t="shared" si="270"/>
        <v/>
      </c>
      <c r="AA189" s="18" t="str">
        <f t="shared" si="271"/>
        <v/>
      </c>
      <c r="AB189" s="19" t="str">
        <f t="shared" si="272"/>
        <v/>
      </c>
      <c r="AC189" s="26"/>
      <c r="AD189" s="26"/>
      <c r="AE189" s="25"/>
      <c r="AF189" s="26"/>
      <c r="AG189" s="25"/>
      <c r="AH189" s="25"/>
      <c r="AI189" s="18" t="str">
        <f t="shared" si="335"/>
        <v/>
      </c>
      <c r="AJ189" s="25"/>
      <c r="AK189" s="18" t="str">
        <f t="shared" si="336"/>
        <v/>
      </c>
      <c r="AL189" s="79"/>
      <c r="AM189" s="126" t="str">
        <f t="shared" si="337"/>
        <v/>
      </c>
      <c r="AN189" s="128" t="str">
        <f>IF(AP189&lt;&gt;"",VLOOKUP($P189&amp;" | "&amp;AN$6,'Job Master'!$F$12:$J$102,5,0),"")</f>
        <v/>
      </c>
      <c r="AO189" s="19" t="str">
        <f>IF(AP189&lt;&gt;"",VLOOKUP($P189&amp;" | "&amp;AN$6,'Job Master'!$F$12:$J$102,3,0),"")</f>
        <v/>
      </c>
      <c r="AP189" s="19" t="str">
        <f>IFERROR(IF(AND(AW189&lt;&gt;"",VLOOKUP($P189&amp;" | "&amp;AN$6,'Job Master'!$F$12:$I$102,4,0)&lt;&gt;""),IF(WEEKDAY(AW189-VLOOKUP($P189&amp;" | "&amp;AN$6,'Job Master'!$F$12:$I$102,4,0))&lt;&gt;7,AW189-VLOOKUP($P189&amp;" | "&amp;AN$6,'Job Master'!$F$12:$I$102,4,0),AW189-VLOOKUP($P189&amp;" | "&amp;AN$6,'Job Master'!$F$12:$I$102,4,0)-1),""),"")</f>
        <v/>
      </c>
      <c r="AQ189" s="73"/>
      <c r="AR189" s="123" t="str">
        <f t="shared" si="273"/>
        <v/>
      </c>
      <c r="AS189" s="123" t="str">
        <f t="shared" si="274"/>
        <v/>
      </c>
      <c r="AT189" s="97" t="str">
        <f t="shared" ca="1" si="275"/>
        <v/>
      </c>
      <c r="AU189" s="98" t="str">
        <f>IF(AW189&lt;&gt;"",VLOOKUP($P189&amp;" | "&amp;AU$6,'Job Master'!$F$12:$J$102,5,0),"")</f>
        <v/>
      </c>
      <c r="AV189" s="19" t="str">
        <f>IF(AW189&lt;&gt;"",VLOOKUP($P189&amp;" | "&amp;AU$6,'Job Master'!$F$12:$J$102,3,0),"")</f>
        <v/>
      </c>
      <c r="AW189" s="19" t="str">
        <f>IFERROR(IF(AND(BD189&lt;&gt;"",VLOOKUP($P189&amp;" | "&amp;AU$6,'Job Master'!$F$12:$I$102,4,0)&lt;&gt;""),IF(WEEKDAY(BD189-VLOOKUP($P189&amp;" | "&amp;AU$6,'Job Master'!$F$12:$I$102,4,0))&lt;&gt;7,BD189-VLOOKUP($P189&amp;" | "&amp;AU$6,'Job Master'!$F$12:$I$102,4,0),BD189-VLOOKUP($P189&amp;" | "&amp;AU$6,'Job Master'!$F$12:$I$102,4,0)-1),""),"")</f>
        <v/>
      </c>
      <c r="AX189" s="73"/>
      <c r="AY189" s="123" t="str">
        <f t="shared" si="276"/>
        <v/>
      </c>
      <c r="AZ189" s="123" t="str">
        <f t="shared" si="277"/>
        <v/>
      </c>
      <c r="BA189" s="97" t="str">
        <f t="shared" ca="1" si="278"/>
        <v/>
      </c>
      <c r="BB189" s="98" t="str">
        <f>IF(BD189&lt;&gt;"",VLOOKUP($P189&amp;" | "&amp;BB$6,'Job Master'!$F$12:$J$102,5,0),"")</f>
        <v/>
      </c>
      <c r="BC189" s="19" t="str">
        <f>IF(BD189&lt;&gt;"",VLOOKUP($P189&amp;" | "&amp;BB$6,'Job Master'!$F$12:$J$102,3,0),"")</f>
        <v/>
      </c>
      <c r="BD189" s="19" t="str">
        <f>IFERROR(IF(AND(BK189&lt;&gt;"",VLOOKUP($P189&amp;" | "&amp;BB$6,'Job Master'!$F$12:$I$102,4,0)&lt;&gt;""),IF(WEEKDAY(BK189-VLOOKUP($P189&amp;" | "&amp;BB$6,'Job Master'!$F$12:$I$102,4,0))&lt;&gt;7,BK189-VLOOKUP($P189&amp;" | "&amp;BB$6,'Job Master'!$F$12:$I$102,4,0),BK189-VLOOKUP($P189&amp;" | "&amp;BB$6,'Job Master'!$F$12:$I$102,4,0)-1),""),"")</f>
        <v/>
      </c>
      <c r="BE189" s="73"/>
      <c r="BF189" s="123" t="str">
        <f t="shared" si="279"/>
        <v/>
      </c>
      <c r="BG189" s="123" t="str">
        <f t="shared" si="280"/>
        <v/>
      </c>
      <c r="BH189" s="97" t="str">
        <f t="shared" ca="1" si="281"/>
        <v/>
      </c>
      <c r="BI189" s="98" t="str">
        <f>IF(BK189&lt;&gt;"",VLOOKUP($P189&amp;" | "&amp;BI$6,'Job Master'!$F$12:$J$102,5,0),"")</f>
        <v/>
      </c>
      <c r="BJ189" s="19" t="str">
        <f>IF(BK189&lt;&gt;"",VLOOKUP($P189&amp;" | "&amp;BI$6,'Job Master'!$F$12:$J$102,3,0),"")</f>
        <v/>
      </c>
      <c r="BK189" s="19" t="str">
        <f>IFERROR(IF(AND(BR189&lt;&gt;"",VLOOKUP($P189&amp;" | "&amp;BI$6,'Job Master'!$F$12:$I$102,4,0)&lt;&gt;""),IF(WEEKDAY(BR189-VLOOKUP($P189&amp;" | "&amp;BI$6,'Job Master'!$F$12:$I$102,4,0))&lt;&gt;7,BR189-VLOOKUP($P189&amp;" | "&amp;BI$6,'Job Master'!$F$12:$I$102,4,0),BR189-VLOOKUP($P189&amp;" | "&amp;BI$6,'Job Master'!$F$12:$I$102,4,0)-1),""),"")</f>
        <v/>
      </c>
      <c r="BL189" s="73"/>
      <c r="BM189" s="123" t="str">
        <f t="shared" si="282"/>
        <v/>
      </c>
      <c r="BN189" s="123" t="str">
        <f t="shared" si="283"/>
        <v/>
      </c>
      <c r="BO189" s="97" t="str">
        <f t="shared" ca="1" si="284"/>
        <v/>
      </c>
      <c r="BP189" s="98" t="str">
        <f>IF(BR189&lt;&gt;"",VLOOKUP($P189&amp;" | "&amp;BP$6,'Job Master'!$F$12:$J$102,5,0),"")</f>
        <v/>
      </c>
      <c r="BQ189" s="19" t="str">
        <f>IF(BR189&lt;&gt;"",VLOOKUP($P189&amp;" | "&amp;BP$6,'Job Master'!$F$12:$J$102,3,0),"")</f>
        <v/>
      </c>
      <c r="BR189" s="19" t="str">
        <f>IFERROR(IF(AND(BY189&lt;&gt;"",VLOOKUP($P189&amp;" | "&amp;BP$6,'Job Master'!$F$12:$I$102,4,0)&lt;&gt;""),IF(WEEKDAY(BY189-VLOOKUP($P189&amp;" | "&amp;BP$6,'Job Master'!$F$12:$I$102,4,0))&lt;&gt;7,BY189-VLOOKUP($P189&amp;" | "&amp;BP$6,'Job Master'!$F$12:$I$102,4,0),BY189-VLOOKUP($P189&amp;" | "&amp;BP$6,'Job Master'!$F$12:$I$102,4,0)-1),""),"")</f>
        <v/>
      </c>
      <c r="BS189" s="73"/>
      <c r="BT189" s="123" t="str">
        <f t="shared" si="285"/>
        <v/>
      </c>
      <c r="BU189" s="123" t="str">
        <f t="shared" si="286"/>
        <v/>
      </c>
      <c r="BV189" s="97" t="str">
        <f t="shared" ca="1" si="287"/>
        <v/>
      </c>
      <c r="BW189" s="98" t="str">
        <f>IF(BY189&lt;&gt;"",VLOOKUP($P189&amp;" | "&amp;BW$6,'Job Master'!$F$12:$J$102,5,0),"")</f>
        <v/>
      </c>
      <c r="BX189" s="19" t="str">
        <f>IF(BY189&lt;&gt;"",VLOOKUP($P189&amp;" | "&amp;BW$6,'Job Master'!$F$12:$J$102,3,0),"")</f>
        <v/>
      </c>
      <c r="BY189" s="19" t="str">
        <f>IFERROR(IF(AND(CF189&lt;&gt;"",VLOOKUP($P189&amp;" | "&amp;BW$6,'Job Master'!$F$12:$I$102,4,0)&lt;&gt;""),IF(WEEKDAY(CF189-VLOOKUP($P189&amp;" | "&amp;BW$6,'Job Master'!$F$12:$I$102,4,0))&lt;&gt;7,CF189-VLOOKUP($P189&amp;" | "&amp;BW$6,'Job Master'!$F$12:$I$102,4,0),CF189-VLOOKUP($P189&amp;" | "&amp;BW$6,'Job Master'!$F$12:$I$102,4,0)-1),""),"")</f>
        <v/>
      </c>
      <c r="BZ189" s="73"/>
      <c r="CA189" s="123" t="str">
        <f t="shared" si="288"/>
        <v/>
      </c>
      <c r="CB189" s="123" t="str">
        <f t="shared" si="289"/>
        <v/>
      </c>
      <c r="CC189" s="97" t="str">
        <f t="shared" ca="1" si="290"/>
        <v/>
      </c>
      <c r="CD189" s="98" t="str">
        <f>IF(CF189&lt;&gt;"",VLOOKUP($P189&amp;" | "&amp;CD$6,'Job Master'!$F$12:$J$102,5,0),"")</f>
        <v/>
      </c>
      <c r="CE189" s="19" t="str">
        <f>IF(CF189&lt;&gt;"",VLOOKUP($P189&amp;" | "&amp;CD$6,'Job Master'!$F$12:$J$102,3,0),"")</f>
        <v/>
      </c>
      <c r="CF189" s="19" t="str">
        <f>IFERROR(IF(AND(CM189&lt;&gt;"",VLOOKUP($P189&amp;" | "&amp;CD$6,'Job Master'!$F$12:$I$102,4,0)&lt;&gt;""),IF(WEEKDAY(CM189-VLOOKUP($P189&amp;" | "&amp;CD$6,'Job Master'!$F$12:$I$102,4,0))&lt;&gt;7,CM189-VLOOKUP($P189&amp;" | "&amp;CD$6,'Job Master'!$F$12:$I$102,4,0),CM189-VLOOKUP($P189&amp;" | "&amp;CD$6,'Job Master'!$F$12:$I$102,4,0)-1),""),"")</f>
        <v/>
      </c>
      <c r="CG189" s="73"/>
      <c r="CH189" s="123" t="str">
        <f t="shared" si="291"/>
        <v/>
      </c>
      <c r="CI189" s="123" t="str">
        <f t="shared" si="292"/>
        <v/>
      </c>
      <c r="CJ189" s="97" t="str">
        <f t="shared" ca="1" si="293"/>
        <v/>
      </c>
      <c r="CK189" s="98" t="str">
        <f>IF(CM189&lt;&gt;"",VLOOKUP($P189&amp;" | "&amp;CK$6,'Job Master'!$F$12:$J$102,5,0),"")</f>
        <v/>
      </c>
      <c r="CL189" s="19" t="str">
        <f>IF(CM189&lt;&gt;"",VLOOKUP($P189&amp;" | "&amp;CK$6,'Job Master'!$F$12:$J$102,3,0),"")</f>
        <v/>
      </c>
      <c r="CM189" s="19" t="str">
        <f>IFERROR(IF(AND(CT189&lt;&gt;"",VLOOKUP($P189&amp;" | "&amp;CK$6,'Job Master'!$F$12:$I$102,4,0)&lt;&gt;""),IF(WEEKDAY(CT189-VLOOKUP($P189&amp;" | "&amp;CK$6,'Job Master'!$F$12:$I$102,4,0))&lt;&gt;7,CT189-VLOOKUP($P189&amp;" | "&amp;CK$6,'Job Master'!$F$12:$I$102,4,0),CT189-VLOOKUP($P189&amp;" | "&amp;CK$6,'Job Master'!$F$12:$I$102,4,0)-1),""),"")</f>
        <v/>
      </c>
      <c r="CN189" s="73"/>
      <c r="CO189" s="123" t="str">
        <f t="shared" si="294"/>
        <v/>
      </c>
      <c r="CP189" s="123" t="str">
        <f t="shared" si="295"/>
        <v/>
      </c>
      <c r="CQ189" s="97" t="str">
        <f t="shared" ca="1" si="296"/>
        <v/>
      </c>
      <c r="CR189" s="98" t="str">
        <f>IF(CT189&lt;&gt;"",VLOOKUP($P189&amp;" | "&amp;CR$6,'Job Master'!$F$12:$J$102,5,0),"")</f>
        <v/>
      </c>
      <c r="CS189" s="19" t="str">
        <f>IF(CT189&lt;&gt;"",VLOOKUP($P189&amp;" | "&amp;CR$6,'Job Master'!$F$12:$J$102,3,0),"")</f>
        <v/>
      </c>
      <c r="CT189" s="19" t="str">
        <f>IFERROR(IF(AND(DA189&lt;&gt;"",VLOOKUP($P189&amp;" | "&amp;CR$6,'Job Master'!$F$12:$I$102,4,0)&lt;&gt;""),IF(WEEKDAY(DA189-VLOOKUP($P189&amp;" | "&amp;CR$6,'Job Master'!$F$12:$I$102,4,0))&lt;&gt;7,DA189-VLOOKUP($P189&amp;" | "&amp;CR$6,'Job Master'!$F$12:$I$102,4,0),DA189-VLOOKUP($P189&amp;" | "&amp;CR$6,'Job Master'!$F$12:$I$102,4,0)-1),""),"")</f>
        <v/>
      </c>
      <c r="CU189" s="73"/>
      <c r="CV189" s="123" t="str">
        <f t="shared" si="297"/>
        <v/>
      </c>
      <c r="CW189" s="123" t="str">
        <f t="shared" si="298"/>
        <v/>
      </c>
      <c r="CX189" s="97" t="str">
        <f t="shared" ca="1" si="299"/>
        <v/>
      </c>
      <c r="CY189" s="98" t="str">
        <f>IF(DA189&lt;&gt;"",VLOOKUP($P189&amp;" | "&amp;CY$6,'Job Master'!$F$12:$J$102,5,0),"")</f>
        <v/>
      </c>
      <c r="CZ189" s="19" t="str">
        <f>IF(DA189&lt;&gt;"",VLOOKUP($P189&amp;" | "&amp;CY$6,'Job Master'!$F$12:$J$102,3,0),"")</f>
        <v/>
      </c>
      <c r="DA189" s="19" t="str">
        <f>IFERROR(IF(AND(DH189&lt;&gt;"",VLOOKUP($P189&amp;" | "&amp;CY$6,'Job Master'!$F$12:$I$102,4,0)&lt;&gt;""),IF(WEEKDAY(DH189-VLOOKUP($P189&amp;" | "&amp;CY$6,'Job Master'!$F$12:$I$102,4,0))&lt;&gt;7,DH189-VLOOKUP($P189&amp;" | "&amp;CY$6,'Job Master'!$F$12:$I$102,4,0),DH189-VLOOKUP($P189&amp;" | "&amp;CY$6,'Job Master'!$F$12:$I$102,4,0)-1),""),"")</f>
        <v/>
      </c>
      <c r="DB189" s="73"/>
      <c r="DC189" s="123" t="str">
        <f t="shared" si="300"/>
        <v/>
      </c>
      <c r="DD189" s="123" t="str">
        <f t="shared" si="301"/>
        <v/>
      </c>
      <c r="DE189" s="97" t="str">
        <f t="shared" ca="1" si="302"/>
        <v/>
      </c>
      <c r="DF189" s="98" t="str">
        <f>IF(DH189&lt;&gt;"",VLOOKUP($P189&amp;" | "&amp;DF$6,'Job Master'!$F$12:$J$102,5,0),"")</f>
        <v/>
      </c>
      <c r="DG189" s="19" t="str">
        <f>IF(DH189&lt;&gt;"",VLOOKUP($P189&amp;" | "&amp;DF$6,'Job Master'!$F$12:$J$102,3,0),"")</f>
        <v/>
      </c>
      <c r="DH189" s="19" t="str">
        <f>IFERROR(IF(AND(DO189&lt;&gt;"",VLOOKUP($P189&amp;" | "&amp;DF$6,'Job Master'!$F$12:$I$102,4,0)&lt;&gt;""),IF(WEEKDAY(DO189-VLOOKUP($P189&amp;" | "&amp;DF$6,'Job Master'!$F$12:$I$102,4,0))&lt;&gt;7,DO189-VLOOKUP($P189&amp;" | "&amp;DF$6,'Job Master'!$F$12:$I$102,4,0),DO189-VLOOKUP($P189&amp;" | "&amp;DF$6,'Job Master'!$F$12:$I$102,4,0)-1),""),"")</f>
        <v/>
      </c>
      <c r="DI189" s="73"/>
      <c r="DJ189" s="123" t="str">
        <f t="shared" si="303"/>
        <v/>
      </c>
      <c r="DK189" s="123" t="str">
        <f t="shared" si="304"/>
        <v/>
      </c>
      <c r="DL189" s="97" t="str">
        <f t="shared" ca="1" si="305"/>
        <v/>
      </c>
      <c r="DM189" s="98" t="str">
        <f>IF(DO189&lt;&gt;"",VLOOKUP($P189&amp;" | "&amp;DM$6,'Job Master'!$F$12:$J$102,5,0),"")</f>
        <v/>
      </c>
      <c r="DN189" s="19" t="str">
        <f>IF(DO189&lt;&gt;"",VLOOKUP($P189&amp;" | "&amp;DM$6,'Job Master'!$F$12:$J$102,3,0),"")</f>
        <v/>
      </c>
      <c r="DO189" s="19" t="str">
        <f>IFERROR(IF(AND(DT189&lt;&gt;"",VLOOKUP($P189&amp;" | "&amp;DM$6,'Job Master'!$F$12:$I$102,4,0)&lt;&gt;""),IF(WEEKDAY(DT189-VLOOKUP($P189&amp;" | "&amp;DM$6,'Job Master'!$F$12:$I$102,4,0))&lt;&gt;7,DT189-VLOOKUP($P189&amp;" | "&amp;DM$6,'Job Master'!$F$12:$I$102,4,0),DT189-VLOOKUP($P189&amp;" | "&amp;DM$6,'Job Master'!$F$12:$I$102,4,0)-1),""),"")</f>
        <v/>
      </c>
      <c r="DP189" s="73"/>
      <c r="DQ189" s="123" t="str">
        <f t="shared" si="306"/>
        <v/>
      </c>
      <c r="DR189" s="123" t="str">
        <f t="shared" si="307"/>
        <v/>
      </c>
      <c r="DS189" s="97" t="str">
        <f t="shared" ca="1" si="308"/>
        <v/>
      </c>
      <c r="DT189" s="70" t="str">
        <f t="shared" si="309"/>
        <v/>
      </c>
      <c r="DU189" s="90"/>
      <c r="DV189" s="123" t="str">
        <f t="shared" si="310"/>
        <v/>
      </c>
      <c r="DW189" s="123" t="str">
        <f t="shared" si="311"/>
        <v/>
      </c>
      <c r="DX189" s="132" t="str">
        <f t="shared" ref="DX189" ca="1" si="374">IF(DT189&lt;&gt;"",IF(WEEKNUM(DT189)=WEEKNUM(TODAY()),"This Week",IF(WEEKNUM(DT189)=WEEKNUM(TODAY())+1,"Next Week",IF(WEEKNUM(DT189)=WEEKNUM(TODAY())-1,"Previous Week",""))),"")</f>
        <v/>
      </c>
      <c r="DY189" s="134" t="str">
        <f t="shared" si="313"/>
        <v/>
      </c>
      <c r="DZ189" s="95"/>
      <c r="EB189" s="8" t="str">
        <f t="shared" si="319"/>
        <v/>
      </c>
      <c r="EC189" s="8" t="str">
        <f>IF(O189&lt;&gt;"",VLOOKUP(O189,'Job Master'!$N$12:$O$18,2,0),"")</f>
        <v/>
      </c>
      <c r="ED189" s="8">
        <f t="shared" si="320"/>
        <v>19.5</v>
      </c>
      <c r="EE189" s="8">
        <f t="shared" si="321"/>
        <v>6</v>
      </c>
      <c r="EF189" s="8">
        <f t="shared" si="322"/>
        <v>-1054.5</v>
      </c>
      <c r="EG189" s="8" t="str">
        <f t="shared" si="323"/>
        <v/>
      </c>
      <c r="EH189" s="8" t="str">
        <f t="shared" si="324"/>
        <v/>
      </c>
    </row>
    <row r="190" spans="2:138" x14ac:dyDescent="0.3">
      <c r="B190" s="112"/>
      <c r="C190" s="27"/>
      <c r="D190" s="7" t="str">
        <f t="shared" si="261"/>
        <v/>
      </c>
      <c r="E190" s="25"/>
      <c r="F190" s="7" t="str">
        <f t="shared" si="261"/>
        <v/>
      </c>
      <c r="G190" s="25"/>
      <c r="H190" s="7" t="str">
        <f t="shared" si="261"/>
        <v/>
      </c>
      <c r="I190" s="25"/>
      <c r="J190" s="7" t="str">
        <f t="shared" si="261"/>
        <v/>
      </c>
      <c r="K190" s="25"/>
      <c r="L190" s="7" t="str">
        <f t="shared" si="262"/>
        <v/>
      </c>
      <c r="M190" s="25"/>
      <c r="N190" s="7" t="str">
        <f t="shared" si="263"/>
        <v/>
      </c>
      <c r="O190" s="81"/>
      <c r="P190" s="81" t="str">
        <f t="shared" si="264"/>
        <v/>
      </c>
      <c r="Q190" s="81"/>
      <c r="R190" s="7" t="str">
        <f t="shared" si="265"/>
        <v/>
      </c>
      <c r="S190" s="25"/>
      <c r="T190" s="7" t="str">
        <f t="shared" si="266"/>
        <v/>
      </c>
      <c r="U190" s="25"/>
      <c r="V190" s="7" t="str">
        <f t="shared" si="267"/>
        <v/>
      </c>
      <c r="W190" s="25"/>
      <c r="X190" s="7" t="str">
        <f t="shared" si="268"/>
        <v/>
      </c>
      <c r="Y190" s="18" t="str">
        <f t="shared" si="269"/>
        <v/>
      </c>
      <c r="Z190" s="7" t="str">
        <f t="shared" si="270"/>
        <v/>
      </c>
      <c r="AA190" s="18" t="str">
        <f t="shared" si="271"/>
        <v/>
      </c>
      <c r="AB190" s="19" t="str">
        <f t="shared" si="272"/>
        <v/>
      </c>
      <c r="AC190" s="26"/>
      <c r="AD190" s="26"/>
      <c r="AE190" s="25"/>
      <c r="AF190" s="26"/>
      <c r="AG190" s="25"/>
      <c r="AH190" s="25"/>
      <c r="AI190" s="18" t="str">
        <f t="shared" si="335"/>
        <v/>
      </c>
      <c r="AJ190" s="25"/>
      <c r="AK190" s="18" t="str">
        <f t="shared" si="336"/>
        <v/>
      </c>
      <c r="AL190" s="79"/>
      <c r="AM190" s="126" t="str">
        <f t="shared" si="337"/>
        <v/>
      </c>
      <c r="AN190" s="128" t="str">
        <f>IF(AP190&lt;&gt;"",VLOOKUP($P190&amp;" | "&amp;AN$6,'Job Master'!$F$12:$J$102,5,0),"")</f>
        <v/>
      </c>
      <c r="AO190" s="19" t="str">
        <f>IF(AP190&lt;&gt;"",VLOOKUP($P190&amp;" | "&amp;AN$6,'Job Master'!$F$12:$J$102,3,0),"")</f>
        <v/>
      </c>
      <c r="AP190" s="19" t="str">
        <f>IFERROR(IF(AND(AW190&lt;&gt;"",VLOOKUP($P190&amp;" | "&amp;AN$6,'Job Master'!$F$12:$I$102,4,0)&lt;&gt;""),IF(WEEKDAY(AW190-VLOOKUP($P190&amp;" | "&amp;AN$6,'Job Master'!$F$12:$I$102,4,0))&lt;&gt;7,AW190-VLOOKUP($P190&amp;" | "&amp;AN$6,'Job Master'!$F$12:$I$102,4,0),AW190-VLOOKUP($P190&amp;" | "&amp;AN$6,'Job Master'!$F$12:$I$102,4,0)-1),""),"")</f>
        <v/>
      </c>
      <c r="AQ190" s="73"/>
      <c r="AR190" s="123" t="str">
        <f t="shared" si="273"/>
        <v/>
      </c>
      <c r="AS190" s="123" t="str">
        <f t="shared" si="274"/>
        <v/>
      </c>
      <c r="AT190" s="97" t="str">
        <f t="shared" ca="1" si="275"/>
        <v/>
      </c>
      <c r="AU190" s="98" t="str">
        <f>IF(AW190&lt;&gt;"",VLOOKUP($P190&amp;" | "&amp;AU$6,'Job Master'!$F$12:$J$102,5,0),"")</f>
        <v/>
      </c>
      <c r="AV190" s="19" t="str">
        <f>IF(AW190&lt;&gt;"",VLOOKUP($P190&amp;" | "&amp;AU$6,'Job Master'!$F$12:$J$102,3,0),"")</f>
        <v/>
      </c>
      <c r="AW190" s="19" t="str">
        <f>IFERROR(IF(AND(BD190&lt;&gt;"",VLOOKUP($P190&amp;" | "&amp;AU$6,'Job Master'!$F$12:$I$102,4,0)&lt;&gt;""),IF(WEEKDAY(BD190-VLOOKUP($P190&amp;" | "&amp;AU$6,'Job Master'!$F$12:$I$102,4,0))&lt;&gt;7,BD190-VLOOKUP($P190&amp;" | "&amp;AU$6,'Job Master'!$F$12:$I$102,4,0),BD190-VLOOKUP($P190&amp;" | "&amp;AU$6,'Job Master'!$F$12:$I$102,4,0)-1),""),"")</f>
        <v/>
      </c>
      <c r="AX190" s="73"/>
      <c r="AY190" s="123" t="str">
        <f t="shared" si="276"/>
        <v/>
      </c>
      <c r="AZ190" s="123" t="str">
        <f t="shared" si="277"/>
        <v/>
      </c>
      <c r="BA190" s="97" t="str">
        <f t="shared" ca="1" si="278"/>
        <v/>
      </c>
      <c r="BB190" s="98" t="str">
        <f>IF(BD190&lt;&gt;"",VLOOKUP($P190&amp;" | "&amp;BB$6,'Job Master'!$F$12:$J$102,5,0),"")</f>
        <v/>
      </c>
      <c r="BC190" s="19" t="str">
        <f>IF(BD190&lt;&gt;"",VLOOKUP($P190&amp;" | "&amp;BB$6,'Job Master'!$F$12:$J$102,3,0),"")</f>
        <v/>
      </c>
      <c r="BD190" s="19" t="str">
        <f>IFERROR(IF(AND(BK190&lt;&gt;"",VLOOKUP($P190&amp;" | "&amp;BB$6,'Job Master'!$F$12:$I$102,4,0)&lt;&gt;""),IF(WEEKDAY(BK190-VLOOKUP($P190&amp;" | "&amp;BB$6,'Job Master'!$F$12:$I$102,4,0))&lt;&gt;7,BK190-VLOOKUP($P190&amp;" | "&amp;BB$6,'Job Master'!$F$12:$I$102,4,0),BK190-VLOOKUP($P190&amp;" | "&amp;BB$6,'Job Master'!$F$12:$I$102,4,0)-1),""),"")</f>
        <v/>
      </c>
      <c r="BE190" s="73"/>
      <c r="BF190" s="123" t="str">
        <f t="shared" si="279"/>
        <v/>
      </c>
      <c r="BG190" s="123" t="str">
        <f t="shared" si="280"/>
        <v/>
      </c>
      <c r="BH190" s="97" t="str">
        <f t="shared" ca="1" si="281"/>
        <v/>
      </c>
      <c r="BI190" s="98" t="str">
        <f>IF(BK190&lt;&gt;"",VLOOKUP($P190&amp;" | "&amp;BI$6,'Job Master'!$F$12:$J$102,5,0),"")</f>
        <v/>
      </c>
      <c r="BJ190" s="19" t="str">
        <f>IF(BK190&lt;&gt;"",VLOOKUP($P190&amp;" | "&amp;BI$6,'Job Master'!$F$12:$J$102,3,0),"")</f>
        <v/>
      </c>
      <c r="BK190" s="19" t="str">
        <f>IFERROR(IF(AND(BR190&lt;&gt;"",VLOOKUP($P190&amp;" | "&amp;BI$6,'Job Master'!$F$12:$I$102,4,0)&lt;&gt;""),IF(WEEKDAY(BR190-VLOOKUP($P190&amp;" | "&amp;BI$6,'Job Master'!$F$12:$I$102,4,0))&lt;&gt;7,BR190-VLOOKUP($P190&amp;" | "&amp;BI$6,'Job Master'!$F$12:$I$102,4,0),BR190-VLOOKUP($P190&amp;" | "&amp;BI$6,'Job Master'!$F$12:$I$102,4,0)-1),""),"")</f>
        <v/>
      </c>
      <c r="BL190" s="73"/>
      <c r="BM190" s="123" t="str">
        <f t="shared" si="282"/>
        <v/>
      </c>
      <c r="BN190" s="123" t="str">
        <f t="shared" si="283"/>
        <v/>
      </c>
      <c r="BO190" s="97" t="str">
        <f t="shared" ca="1" si="284"/>
        <v/>
      </c>
      <c r="BP190" s="98" t="str">
        <f>IF(BR190&lt;&gt;"",VLOOKUP($P190&amp;" | "&amp;BP$6,'Job Master'!$F$12:$J$102,5,0),"")</f>
        <v/>
      </c>
      <c r="BQ190" s="19" t="str">
        <f>IF(BR190&lt;&gt;"",VLOOKUP($P190&amp;" | "&amp;BP$6,'Job Master'!$F$12:$J$102,3,0),"")</f>
        <v/>
      </c>
      <c r="BR190" s="19" t="str">
        <f>IFERROR(IF(AND(BY190&lt;&gt;"",VLOOKUP($P190&amp;" | "&amp;BP$6,'Job Master'!$F$12:$I$102,4,0)&lt;&gt;""),IF(WEEKDAY(BY190-VLOOKUP($P190&amp;" | "&amp;BP$6,'Job Master'!$F$12:$I$102,4,0))&lt;&gt;7,BY190-VLOOKUP($P190&amp;" | "&amp;BP$6,'Job Master'!$F$12:$I$102,4,0),BY190-VLOOKUP($P190&amp;" | "&amp;BP$6,'Job Master'!$F$12:$I$102,4,0)-1),""),"")</f>
        <v/>
      </c>
      <c r="BS190" s="73"/>
      <c r="BT190" s="123" t="str">
        <f t="shared" si="285"/>
        <v/>
      </c>
      <c r="BU190" s="123" t="str">
        <f t="shared" si="286"/>
        <v/>
      </c>
      <c r="BV190" s="97" t="str">
        <f t="shared" ca="1" si="287"/>
        <v/>
      </c>
      <c r="BW190" s="98" t="str">
        <f>IF(BY190&lt;&gt;"",VLOOKUP($P190&amp;" | "&amp;BW$6,'Job Master'!$F$12:$J$102,5,0),"")</f>
        <v/>
      </c>
      <c r="BX190" s="19" t="str">
        <f>IF(BY190&lt;&gt;"",VLOOKUP($P190&amp;" | "&amp;BW$6,'Job Master'!$F$12:$J$102,3,0),"")</f>
        <v/>
      </c>
      <c r="BY190" s="19" t="str">
        <f>IFERROR(IF(AND(CF190&lt;&gt;"",VLOOKUP($P190&amp;" | "&amp;BW$6,'Job Master'!$F$12:$I$102,4,0)&lt;&gt;""),IF(WEEKDAY(CF190-VLOOKUP($P190&amp;" | "&amp;BW$6,'Job Master'!$F$12:$I$102,4,0))&lt;&gt;7,CF190-VLOOKUP($P190&amp;" | "&amp;BW$6,'Job Master'!$F$12:$I$102,4,0),CF190-VLOOKUP($P190&amp;" | "&amp;BW$6,'Job Master'!$F$12:$I$102,4,0)-1),""),"")</f>
        <v/>
      </c>
      <c r="BZ190" s="73"/>
      <c r="CA190" s="123" t="str">
        <f t="shared" si="288"/>
        <v/>
      </c>
      <c r="CB190" s="123" t="str">
        <f t="shared" si="289"/>
        <v/>
      </c>
      <c r="CC190" s="97" t="str">
        <f t="shared" ca="1" si="290"/>
        <v/>
      </c>
      <c r="CD190" s="98" t="str">
        <f>IF(CF190&lt;&gt;"",VLOOKUP($P190&amp;" | "&amp;CD$6,'Job Master'!$F$12:$J$102,5,0),"")</f>
        <v/>
      </c>
      <c r="CE190" s="19" t="str">
        <f>IF(CF190&lt;&gt;"",VLOOKUP($P190&amp;" | "&amp;CD$6,'Job Master'!$F$12:$J$102,3,0),"")</f>
        <v/>
      </c>
      <c r="CF190" s="19" t="str">
        <f>IFERROR(IF(AND(CM190&lt;&gt;"",VLOOKUP($P190&amp;" | "&amp;CD$6,'Job Master'!$F$12:$I$102,4,0)&lt;&gt;""),IF(WEEKDAY(CM190-VLOOKUP($P190&amp;" | "&amp;CD$6,'Job Master'!$F$12:$I$102,4,0))&lt;&gt;7,CM190-VLOOKUP($P190&amp;" | "&amp;CD$6,'Job Master'!$F$12:$I$102,4,0),CM190-VLOOKUP($P190&amp;" | "&amp;CD$6,'Job Master'!$F$12:$I$102,4,0)-1),""),"")</f>
        <v/>
      </c>
      <c r="CG190" s="73"/>
      <c r="CH190" s="123" t="str">
        <f t="shared" si="291"/>
        <v/>
      </c>
      <c r="CI190" s="123" t="str">
        <f t="shared" si="292"/>
        <v/>
      </c>
      <c r="CJ190" s="97" t="str">
        <f t="shared" ca="1" si="293"/>
        <v/>
      </c>
      <c r="CK190" s="98" t="str">
        <f>IF(CM190&lt;&gt;"",VLOOKUP($P190&amp;" | "&amp;CK$6,'Job Master'!$F$12:$J$102,5,0),"")</f>
        <v/>
      </c>
      <c r="CL190" s="19" t="str">
        <f>IF(CM190&lt;&gt;"",VLOOKUP($P190&amp;" | "&amp;CK$6,'Job Master'!$F$12:$J$102,3,0),"")</f>
        <v/>
      </c>
      <c r="CM190" s="19" t="str">
        <f>IFERROR(IF(AND(CT190&lt;&gt;"",VLOOKUP($P190&amp;" | "&amp;CK$6,'Job Master'!$F$12:$I$102,4,0)&lt;&gt;""),IF(WEEKDAY(CT190-VLOOKUP($P190&amp;" | "&amp;CK$6,'Job Master'!$F$12:$I$102,4,0))&lt;&gt;7,CT190-VLOOKUP($P190&amp;" | "&amp;CK$6,'Job Master'!$F$12:$I$102,4,0),CT190-VLOOKUP($P190&amp;" | "&amp;CK$6,'Job Master'!$F$12:$I$102,4,0)-1),""),"")</f>
        <v/>
      </c>
      <c r="CN190" s="73"/>
      <c r="CO190" s="123" t="str">
        <f t="shared" si="294"/>
        <v/>
      </c>
      <c r="CP190" s="123" t="str">
        <f t="shared" si="295"/>
        <v/>
      </c>
      <c r="CQ190" s="97" t="str">
        <f t="shared" ca="1" si="296"/>
        <v/>
      </c>
      <c r="CR190" s="98" t="str">
        <f>IF(CT190&lt;&gt;"",VLOOKUP($P190&amp;" | "&amp;CR$6,'Job Master'!$F$12:$J$102,5,0),"")</f>
        <v/>
      </c>
      <c r="CS190" s="19" t="str">
        <f>IF(CT190&lt;&gt;"",VLOOKUP($P190&amp;" | "&amp;CR$6,'Job Master'!$F$12:$J$102,3,0),"")</f>
        <v/>
      </c>
      <c r="CT190" s="19" t="str">
        <f>IFERROR(IF(AND(DA190&lt;&gt;"",VLOOKUP($P190&amp;" | "&amp;CR$6,'Job Master'!$F$12:$I$102,4,0)&lt;&gt;""),IF(WEEKDAY(DA190-VLOOKUP($P190&amp;" | "&amp;CR$6,'Job Master'!$F$12:$I$102,4,0))&lt;&gt;7,DA190-VLOOKUP($P190&amp;" | "&amp;CR$6,'Job Master'!$F$12:$I$102,4,0),DA190-VLOOKUP($P190&amp;" | "&amp;CR$6,'Job Master'!$F$12:$I$102,4,0)-1),""),"")</f>
        <v/>
      </c>
      <c r="CU190" s="73"/>
      <c r="CV190" s="123" t="str">
        <f t="shared" si="297"/>
        <v/>
      </c>
      <c r="CW190" s="123" t="str">
        <f t="shared" si="298"/>
        <v/>
      </c>
      <c r="CX190" s="97" t="str">
        <f t="shared" ca="1" si="299"/>
        <v/>
      </c>
      <c r="CY190" s="98" t="str">
        <f>IF(DA190&lt;&gt;"",VLOOKUP($P190&amp;" | "&amp;CY$6,'Job Master'!$F$12:$J$102,5,0),"")</f>
        <v/>
      </c>
      <c r="CZ190" s="19" t="str">
        <f>IF(DA190&lt;&gt;"",VLOOKUP($P190&amp;" | "&amp;CY$6,'Job Master'!$F$12:$J$102,3,0),"")</f>
        <v/>
      </c>
      <c r="DA190" s="19" t="str">
        <f>IFERROR(IF(AND(DH190&lt;&gt;"",VLOOKUP($P190&amp;" | "&amp;CY$6,'Job Master'!$F$12:$I$102,4,0)&lt;&gt;""),IF(WEEKDAY(DH190-VLOOKUP($P190&amp;" | "&amp;CY$6,'Job Master'!$F$12:$I$102,4,0))&lt;&gt;7,DH190-VLOOKUP($P190&amp;" | "&amp;CY$6,'Job Master'!$F$12:$I$102,4,0),DH190-VLOOKUP($P190&amp;" | "&amp;CY$6,'Job Master'!$F$12:$I$102,4,0)-1),""),"")</f>
        <v/>
      </c>
      <c r="DB190" s="73"/>
      <c r="DC190" s="123" t="str">
        <f t="shared" si="300"/>
        <v/>
      </c>
      <c r="DD190" s="123" t="str">
        <f t="shared" si="301"/>
        <v/>
      </c>
      <c r="DE190" s="97" t="str">
        <f t="shared" ca="1" si="302"/>
        <v/>
      </c>
      <c r="DF190" s="98" t="str">
        <f>IF(DH190&lt;&gt;"",VLOOKUP($P190&amp;" | "&amp;DF$6,'Job Master'!$F$12:$J$102,5,0),"")</f>
        <v/>
      </c>
      <c r="DG190" s="19" t="str">
        <f>IF(DH190&lt;&gt;"",VLOOKUP($P190&amp;" | "&amp;DF$6,'Job Master'!$F$12:$J$102,3,0),"")</f>
        <v/>
      </c>
      <c r="DH190" s="19" t="str">
        <f>IFERROR(IF(AND(DO190&lt;&gt;"",VLOOKUP($P190&amp;" | "&amp;DF$6,'Job Master'!$F$12:$I$102,4,0)&lt;&gt;""),IF(WEEKDAY(DO190-VLOOKUP($P190&amp;" | "&amp;DF$6,'Job Master'!$F$12:$I$102,4,0))&lt;&gt;7,DO190-VLOOKUP($P190&amp;" | "&amp;DF$6,'Job Master'!$F$12:$I$102,4,0),DO190-VLOOKUP($P190&amp;" | "&amp;DF$6,'Job Master'!$F$12:$I$102,4,0)-1),""),"")</f>
        <v/>
      </c>
      <c r="DI190" s="73"/>
      <c r="DJ190" s="123" t="str">
        <f t="shared" si="303"/>
        <v/>
      </c>
      <c r="DK190" s="123" t="str">
        <f t="shared" si="304"/>
        <v/>
      </c>
      <c r="DL190" s="97" t="str">
        <f t="shared" ca="1" si="305"/>
        <v/>
      </c>
      <c r="DM190" s="98" t="str">
        <f>IF(DO190&lt;&gt;"",VLOOKUP($P190&amp;" | "&amp;DM$6,'Job Master'!$F$12:$J$102,5,0),"")</f>
        <v/>
      </c>
      <c r="DN190" s="19" t="str">
        <f>IF(DO190&lt;&gt;"",VLOOKUP($P190&amp;" | "&amp;DM$6,'Job Master'!$F$12:$J$102,3,0),"")</f>
        <v/>
      </c>
      <c r="DO190" s="19" t="str">
        <f>IFERROR(IF(AND(DT190&lt;&gt;"",VLOOKUP($P190&amp;" | "&amp;DM$6,'Job Master'!$F$12:$I$102,4,0)&lt;&gt;""),IF(WEEKDAY(DT190-VLOOKUP($P190&amp;" | "&amp;DM$6,'Job Master'!$F$12:$I$102,4,0))&lt;&gt;7,DT190-VLOOKUP($P190&amp;" | "&amp;DM$6,'Job Master'!$F$12:$I$102,4,0),DT190-VLOOKUP($P190&amp;" | "&amp;DM$6,'Job Master'!$F$12:$I$102,4,0)-1),""),"")</f>
        <v/>
      </c>
      <c r="DP190" s="73"/>
      <c r="DQ190" s="123" t="str">
        <f t="shared" si="306"/>
        <v/>
      </c>
      <c r="DR190" s="123" t="str">
        <f t="shared" si="307"/>
        <v/>
      </c>
      <c r="DS190" s="97" t="str">
        <f t="shared" ca="1" si="308"/>
        <v/>
      </c>
      <c r="DT190" s="70" t="str">
        <f t="shared" si="309"/>
        <v/>
      </c>
      <c r="DU190" s="90"/>
      <c r="DV190" s="123" t="str">
        <f t="shared" si="310"/>
        <v/>
      </c>
      <c r="DW190" s="123" t="str">
        <f t="shared" si="311"/>
        <v/>
      </c>
      <c r="DX190" s="132" t="str">
        <f t="shared" ref="DX190" ca="1" si="375">IF(DT190&lt;&gt;"",IF(WEEKNUM(DT190)=WEEKNUM(TODAY()),"This Week",IF(WEEKNUM(DT190)=WEEKNUM(TODAY())+1,"Next Week",IF(WEEKNUM(DT190)=WEEKNUM(TODAY())-1,"Previous Week",""))),"")</f>
        <v/>
      </c>
      <c r="DY190" s="134" t="str">
        <f t="shared" si="313"/>
        <v/>
      </c>
      <c r="DZ190" s="95"/>
      <c r="EB190" s="8" t="str">
        <f t="shared" si="319"/>
        <v/>
      </c>
      <c r="EC190" s="8" t="str">
        <f>IF(O190&lt;&gt;"",VLOOKUP(O190,'Job Master'!$N$12:$O$18,2,0),"")</f>
        <v/>
      </c>
      <c r="ED190" s="8">
        <f t="shared" si="320"/>
        <v>19.5</v>
      </c>
      <c r="EE190" s="8">
        <f t="shared" si="321"/>
        <v>6</v>
      </c>
      <c r="EF190" s="8">
        <f t="shared" si="322"/>
        <v>-1060.5</v>
      </c>
      <c r="EG190" s="8" t="str">
        <f t="shared" si="323"/>
        <v/>
      </c>
      <c r="EH190" s="8" t="str">
        <f t="shared" si="324"/>
        <v/>
      </c>
    </row>
    <row r="191" spans="2:138" x14ac:dyDescent="0.3">
      <c r="B191" s="112"/>
      <c r="C191" s="27"/>
      <c r="D191" s="7" t="str">
        <f t="shared" si="261"/>
        <v/>
      </c>
      <c r="E191" s="25"/>
      <c r="F191" s="7" t="str">
        <f t="shared" si="261"/>
        <v/>
      </c>
      <c r="G191" s="25"/>
      <c r="H191" s="7" t="str">
        <f t="shared" si="261"/>
        <v/>
      </c>
      <c r="I191" s="25"/>
      <c r="J191" s="7" t="str">
        <f t="shared" si="261"/>
        <v/>
      </c>
      <c r="K191" s="25"/>
      <c r="L191" s="7" t="str">
        <f t="shared" si="262"/>
        <v/>
      </c>
      <c r="M191" s="25"/>
      <c r="N191" s="7" t="str">
        <f t="shared" si="263"/>
        <v/>
      </c>
      <c r="O191" s="81"/>
      <c r="P191" s="81" t="str">
        <f t="shared" si="264"/>
        <v/>
      </c>
      <c r="Q191" s="81"/>
      <c r="R191" s="7" t="str">
        <f t="shared" si="265"/>
        <v/>
      </c>
      <c r="S191" s="25"/>
      <c r="T191" s="7" t="str">
        <f t="shared" si="266"/>
        <v/>
      </c>
      <c r="U191" s="25"/>
      <c r="V191" s="7" t="str">
        <f t="shared" si="267"/>
        <v/>
      </c>
      <c r="W191" s="25"/>
      <c r="X191" s="7" t="str">
        <f t="shared" si="268"/>
        <v/>
      </c>
      <c r="Y191" s="18" t="str">
        <f t="shared" si="269"/>
        <v/>
      </c>
      <c r="Z191" s="7" t="str">
        <f t="shared" si="270"/>
        <v/>
      </c>
      <c r="AA191" s="18" t="str">
        <f t="shared" si="271"/>
        <v/>
      </c>
      <c r="AB191" s="19" t="str">
        <f t="shared" si="272"/>
        <v/>
      </c>
      <c r="AC191" s="26"/>
      <c r="AD191" s="26"/>
      <c r="AE191" s="25"/>
      <c r="AF191" s="26"/>
      <c r="AG191" s="25"/>
      <c r="AH191" s="25"/>
      <c r="AI191" s="18" t="str">
        <f t="shared" si="335"/>
        <v/>
      </c>
      <c r="AJ191" s="25"/>
      <c r="AK191" s="18" t="str">
        <f t="shared" si="336"/>
        <v/>
      </c>
      <c r="AL191" s="79"/>
      <c r="AM191" s="126" t="str">
        <f t="shared" si="337"/>
        <v/>
      </c>
      <c r="AN191" s="128" t="str">
        <f>IF(AP191&lt;&gt;"",VLOOKUP($P191&amp;" | "&amp;AN$6,'Job Master'!$F$12:$J$102,5,0),"")</f>
        <v/>
      </c>
      <c r="AO191" s="19" t="str">
        <f>IF(AP191&lt;&gt;"",VLOOKUP($P191&amp;" | "&amp;AN$6,'Job Master'!$F$12:$J$102,3,0),"")</f>
        <v/>
      </c>
      <c r="AP191" s="19" t="str">
        <f>IFERROR(IF(AND(AW191&lt;&gt;"",VLOOKUP($P191&amp;" | "&amp;AN$6,'Job Master'!$F$12:$I$102,4,0)&lt;&gt;""),IF(WEEKDAY(AW191-VLOOKUP($P191&amp;" | "&amp;AN$6,'Job Master'!$F$12:$I$102,4,0))&lt;&gt;7,AW191-VLOOKUP($P191&amp;" | "&amp;AN$6,'Job Master'!$F$12:$I$102,4,0),AW191-VLOOKUP($P191&amp;" | "&amp;AN$6,'Job Master'!$F$12:$I$102,4,0)-1),""),"")</f>
        <v/>
      </c>
      <c r="AQ191" s="73"/>
      <c r="AR191" s="123" t="str">
        <f t="shared" si="273"/>
        <v/>
      </c>
      <c r="AS191" s="123" t="str">
        <f t="shared" si="274"/>
        <v/>
      </c>
      <c r="AT191" s="97" t="str">
        <f t="shared" ca="1" si="275"/>
        <v/>
      </c>
      <c r="AU191" s="98" t="str">
        <f>IF(AW191&lt;&gt;"",VLOOKUP($P191&amp;" | "&amp;AU$6,'Job Master'!$F$12:$J$102,5,0),"")</f>
        <v/>
      </c>
      <c r="AV191" s="19" t="str">
        <f>IF(AW191&lt;&gt;"",VLOOKUP($P191&amp;" | "&amp;AU$6,'Job Master'!$F$12:$J$102,3,0),"")</f>
        <v/>
      </c>
      <c r="AW191" s="19" t="str">
        <f>IFERROR(IF(AND(BD191&lt;&gt;"",VLOOKUP($P191&amp;" | "&amp;AU$6,'Job Master'!$F$12:$I$102,4,0)&lt;&gt;""),IF(WEEKDAY(BD191-VLOOKUP($P191&amp;" | "&amp;AU$6,'Job Master'!$F$12:$I$102,4,0))&lt;&gt;7,BD191-VLOOKUP($P191&amp;" | "&amp;AU$6,'Job Master'!$F$12:$I$102,4,0),BD191-VLOOKUP($P191&amp;" | "&amp;AU$6,'Job Master'!$F$12:$I$102,4,0)-1),""),"")</f>
        <v/>
      </c>
      <c r="AX191" s="73"/>
      <c r="AY191" s="123" t="str">
        <f t="shared" si="276"/>
        <v/>
      </c>
      <c r="AZ191" s="123" t="str">
        <f t="shared" si="277"/>
        <v/>
      </c>
      <c r="BA191" s="97" t="str">
        <f t="shared" ca="1" si="278"/>
        <v/>
      </c>
      <c r="BB191" s="98" t="str">
        <f>IF(BD191&lt;&gt;"",VLOOKUP($P191&amp;" | "&amp;BB$6,'Job Master'!$F$12:$J$102,5,0),"")</f>
        <v/>
      </c>
      <c r="BC191" s="19" t="str">
        <f>IF(BD191&lt;&gt;"",VLOOKUP($P191&amp;" | "&amp;BB$6,'Job Master'!$F$12:$J$102,3,0),"")</f>
        <v/>
      </c>
      <c r="BD191" s="19" t="str">
        <f>IFERROR(IF(AND(BK191&lt;&gt;"",VLOOKUP($P191&amp;" | "&amp;BB$6,'Job Master'!$F$12:$I$102,4,0)&lt;&gt;""),IF(WEEKDAY(BK191-VLOOKUP($P191&amp;" | "&amp;BB$6,'Job Master'!$F$12:$I$102,4,0))&lt;&gt;7,BK191-VLOOKUP($P191&amp;" | "&amp;BB$6,'Job Master'!$F$12:$I$102,4,0),BK191-VLOOKUP($P191&amp;" | "&amp;BB$6,'Job Master'!$F$12:$I$102,4,0)-1),""),"")</f>
        <v/>
      </c>
      <c r="BE191" s="73"/>
      <c r="BF191" s="123" t="str">
        <f t="shared" si="279"/>
        <v/>
      </c>
      <c r="BG191" s="123" t="str">
        <f t="shared" si="280"/>
        <v/>
      </c>
      <c r="BH191" s="97" t="str">
        <f t="shared" ca="1" si="281"/>
        <v/>
      </c>
      <c r="BI191" s="98" t="str">
        <f>IF(BK191&lt;&gt;"",VLOOKUP($P191&amp;" | "&amp;BI$6,'Job Master'!$F$12:$J$102,5,0),"")</f>
        <v/>
      </c>
      <c r="BJ191" s="19" t="str">
        <f>IF(BK191&lt;&gt;"",VLOOKUP($P191&amp;" | "&amp;BI$6,'Job Master'!$F$12:$J$102,3,0),"")</f>
        <v/>
      </c>
      <c r="BK191" s="19" t="str">
        <f>IFERROR(IF(AND(BR191&lt;&gt;"",VLOOKUP($P191&amp;" | "&amp;BI$6,'Job Master'!$F$12:$I$102,4,0)&lt;&gt;""),IF(WEEKDAY(BR191-VLOOKUP($P191&amp;" | "&amp;BI$6,'Job Master'!$F$12:$I$102,4,0))&lt;&gt;7,BR191-VLOOKUP($P191&amp;" | "&amp;BI$6,'Job Master'!$F$12:$I$102,4,0),BR191-VLOOKUP($P191&amp;" | "&amp;BI$6,'Job Master'!$F$12:$I$102,4,0)-1),""),"")</f>
        <v/>
      </c>
      <c r="BL191" s="73"/>
      <c r="BM191" s="123" t="str">
        <f t="shared" si="282"/>
        <v/>
      </c>
      <c r="BN191" s="123" t="str">
        <f t="shared" si="283"/>
        <v/>
      </c>
      <c r="BO191" s="97" t="str">
        <f t="shared" ca="1" si="284"/>
        <v/>
      </c>
      <c r="BP191" s="98" t="str">
        <f>IF(BR191&lt;&gt;"",VLOOKUP($P191&amp;" | "&amp;BP$6,'Job Master'!$F$12:$J$102,5,0),"")</f>
        <v/>
      </c>
      <c r="BQ191" s="19" t="str">
        <f>IF(BR191&lt;&gt;"",VLOOKUP($P191&amp;" | "&amp;BP$6,'Job Master'!$F$12:$J$102,3,0),"")</f>
        <v/>
      </c>
      <c r="BR191" s="19" t="str">
        <f>IFERROR(IF(AND(BY191&lt;&gt;"",VLOOKUP($P191&amp;" | "&amp;BP$6,'Job Master'!$F$12:$I$102,4,0)&lt;&gt;""),IF(WEEKDAY(BY191-VLOOKUP($P191&amp;" | "&amp;BP$6,'Job Master'!$F$12:$I$102,4,0))&lt;&gt;7,BY191-VLOOKUP($P191&amp;" | "&amp;BP$6,'Job Master'!$F$12:$I$102,4,0),BY191-VLOOKUP($P191&amp;" | "&amp;BP$6,'Job Master'!$F$12:$I$102,4,0)-1),""),"")</f>
        <v/>
      </c>
      <c r="BS191" s="73"/>
      <c r="BT191" s="123" t="str">
        <f t="shared" si="285"/>
        <v/>
      </c>
      <c r="BU191" s="123" t="str">
        <f t="shared" si="286"/>
        <v/>
      </c>
      <c r="BV191" s="97" t="str">
        <f t="shared" ca="1" si="287"/>
        <v/>
      </c>
      <c r="BW191" s="98" t="str">
        <f>IF(BY191&lt;&gt;"",VLOOKUP($P191&amp;" | "&amp;BW$6,'Job Master'!$F$12:$J$102,5,0),"")</f>
        <v/>
      </c>
      <c r="BX191" s="19" t="str">
        <f>IF(BY191&lt;&gt;"",VLOOKUP($P191&amp;" | "&amp;BW$6,'Job Master'!$F$12:$J$102,3,0),"")</f>
        <v/>
      </c>
      <c r="BY191" s="19" t="str">
        <f>IFERROR(IF(AND(CF191&lt;&gt;"",VLOOKUP($P191&amp;" | "&amp;BW$6,'Job Master'!$F$12:$I$102,4,0)&lt;&gt;""),IF(WEEKDAY(CF191-VLOOKUP($P191&amp;" | "&amp;BW$6,'Job Master'!$F$12:$I$102,4,0))&lt;&gt;7,CF191-VLOOKUP($P191&amp;" | "&amp;BW$6,'Job Master'!$F$12:$I$102,4,0),CF191-VLOOKUP($P191&amp;" | "&amp;BW$6,'Job Master'!$F$12:$I$102,4,0)-1),""),"")</f>
        <v/>
      </c>
      <c r="BZ191" s="73"/>
      <c r="CA191" s="123" t="str">
        <f t="shared" si="288"/>
        <v/>
      </c>
      <c r="CB191" s="123" t="str">
        <f t="shared" si="289"/>
        <v/>
      </c>
      <c r="CC191" s="97" t="str">
        <f t="shared" ca="1" si="290"/>
        <v/>
      </c>
      <c r="CD191" s="98" t="str">
        <f>IF(CF191&lt;&gt;"",VLOOKUP($P191&amp;" | "&amp;CD$6,'Job Master'!$F$12:$J$102,5,0),"")</f>
        <v/>
      </c>
      <c r="CE191" s="19" t="str">
        <f>IF(CF191&lt;&gt;"",VLOOKUP($P191&amp;" | "&amp;CD$6,'Job Master'!$F$12:$J$102,3,0),"")</f>
        <v/>
      </c>
      <c r="CF191" s="19" t="str">
        <f>IFERROR(IF(AND(CM191&lt;&gt;"",VLOOKUP($P191&amp;" | "&amp;CD$6,'Job Master'!$F$12:$I$102,4,0)&lt;&gt;""),IF(WEEKDAY(CM191-VLOOKUP($P191&amp;" | "&amp;CD$6,'Job Master'!$F$12:$I$102,4,0))&lt;&gt;7,CM191-VLOOKUP($P191&amp;" | "&amp;CD$6,'Job Master'!$F$12:$I$102,4,0),CM191-VLOOKUP($P191&amp;" | "&amp;CD$6,'Job Master'!$F$12:$I$102,4,0)-1),""),"")</f>
        <v/>
      </c>
      <c r="CG191" s="73"/>
      <c r="CH191" s="123" t="str">
        <f t="shared" si="291"/>
        <v/>
      </c>
      <c r="CI191" s="123" t="str">
        <f t="shared" si="292"/>
        <v/>
      </c>
      <c r="CJ191" s="97" t="str">
        <f t="shared" ca="1" si="293"/>
        <v/>
      </c>
      <c r="CK191" s="98" t="str">
        <f>IF(CM191&lt;&gt;"",VLOOKUP($P191&amp;" | "&amp;CK$6,'Job Master'!$F$12:$J$102,5,0),"")</f>
        <v/>
      </c>
      <c r="CL191" s="19" t="str">
        <f>IF(CM191&lt;&gt;"",VLOOKUP($P191&amp;" | "&amp;CK$6,'Job Master'!$F$12:$J$102,3,0),"")</f>
        <v/>
      </c>
      <c r="CM191" s="19" t="str">
        <f>IFERROR(IF(AND(CT191&lt;&gt;"",VLOOKUP($P191&amp;" | "&amp;CK$6,'Job Master'!$F$12:$I$102,4,0)&lt;&gt;""),IF(WEEKDAY(CT191-VLOOKUP($P191&amp;" | "&amp;CK$6,'Job Master'!$F$12:$I$102,4,0))&lt;&gt;7,CT191-VLOOKUP($P191&amp;" | "&amp;CK$6,'Job Master'!$F$12:$I$102,4,0),CT191-VLOOKUP($P191&amp;" | "&amp;CK$6,'Job Master'!$F$12:$I$102,4,0)-1),""),"")</f>
        <v/>
      </c>
      <c r="CN191" s="73"/>
      <c r="CO191" s="123" t="str">
        <f t="shared" si="294"/>
        <v/>
      </c>
      <c r="CP191" s="123" t="str">
        <f t="shared" si="295"/>
        <v/>
      </c>
      <c r="CQ191" s="97" t="str">
        <f t="shared" ca="1" si="296"/>
        <v/>
      </c>
      <c r="CR191" s="98" t="str">
        <f>IF(CT191&lt;&gt;"",VLOOKUP($P191&amp;" | "&amp;CR$6,'Job Master'!$F$12:$J$102,5,0),"")</f>
        <v/>
      </c>
      <c r="CS191" s="19" t="str">
        <f>IF(CT191&lt;&gt;"",VLOOKUP($P191&amp;" | "&amp;CR$6,'Job Master'!$F$12:$J$102,3,0),"")</f>
        <v/>
      </c>
      <c r="CT191" s="19" t="str">
        <f>IFERROR(IF(AND(DA191&lt;&gt;"",VLOOKUP($P191&amp;" | "&amp;CR$6,'Job Master'!$F$12:$I$102,4,0)&lt;&gt;""),IF(WEEKDAY(DA191-VLOOKUP($P191&amp;" | "&amp;CR$6,'Job Master'!$F$12:$I$102,4,0))&lt;&gt;7,DA191-VLOOKUP($P191&amp;" | "&amp;CR$6,'Job Master'!$F$12:$I$102,4,0),DA191-VLOOKUP($P191&amp;" | "&amp;CR$6,'Job Master'!$F$12:$I$102,4,0)-1),""),"")</f>
        <v/>
      </c>
      <c r="CU191" s="73"/>
      <c r="CV191" s="123" t="str">
        <f t="shared" si="297"/>
        <v/>
      </c>
      <c r="CW191" s="123" t="str">
        <f t="shared" si="298"/>
        <v/>
      </c>
      <c r="CX191" s="97" t="str">
        <f t="shared" ca="1" si="299"/>
        <v/>
      </c>
      <c r="CY191" s="98" t="str">
        <f>IF(DA191&lt;&gt;"",VLOOKUP($P191&amp;" | "&amp;CY$6,'Job Master'!$F$12:$J$102,5,0),"")</f>
        <v/>
      </c>
      <c r="CZ191" s="19" t="str">
        <f>IF(DA191&lt;&gt;"",VLOOKUP($P191&amp;" | "&amp;CY$6,'Job Master'!$F$12:$J$102,3,0),"")</f>
        <v/>
      </c>
      <c r="DA191" s="19" t="str">
        <f>IFERROR(IF(AND(DH191&lt;&gt;"",VLOOKUP($P191&amp;" | "&amp;CY$6,'Job Master'!$F$12:$I$102,4,0)&lt;&gt;""),IF(WEEKDAY(DH191-VLOOKUP($P191&amp;" | "&amp;CY$6,'Job Master'!$F$12:$I$102,4,0))&lt;&gt;7,DH191-VLOOKUP($P191&amp;" | "&amp;CY$6,'Job Master'!$F$12:$I$102,4,0),DH191-VLOOKUP($P191&amp;" | "&amp;CY$6,'Job Master'!$F$12:$I$102,4,0)-1),""),"")</f>
        <v/>
      </c>
      <c r="DB191" s="73"/>
      <c r="DC191" s="123" t="str">
        <f t="shared" si="300"/>
        <v/>
      </c>
      <c r="DD191" s="123" t="str">
        <f t="shared" si="301"/>
        <v/>
      </c>
      <c r="DE191" s="97" t="str">
        <f t="shared" ca="1" si="302"/>
        <v/>
      </c>
      <c r="DF191" s="98" t="str">
        <f>IF(DH191&lt;&gt;"",VLOOKUP($P191&amp;" | "&amp;DF$6,'Job Master'!$F$12:$J$102,5,0),"")</f>
        <v/>
      </c>
      <c r="DG191" s="19" t="str">
        <f>IF(DH191&lt;&gt;"",VLOOKUP($P191&amp;" | "&amp;DF$6,'Job Master'!$F$12:$J$102,3,0),"")</f>
        <v/>
      </c>
      <c r="DH191" s="19" t="str">
        <f>IFERROR(IF(AND(DO191&lt;&gt;"",VLOOKUP($P191&amp;" | "&amp;DF$6,'Job Master'!$F$12:$I$102,4,0)&lt;&gt;""),IF(WEEKDAY(DO191-VLOOKUP($P191&amp;" | "&amp;DF$6,'Job Master'!$F$12:$I$102,4,0))&lt;&gt;7,DO191-VLOOKUP($P191&amp;" | "&amp;DF$6,'Job Master'!$F$12:$I$102,4,0),DO191-VLOOKUP($P191&amp;" | "&amp;DF$6,'Job Master'!$F$12:$I$102,4,0)-1),""),"")</f>
        <v/>
      </c>
      <c r="DI191" s="73"/>
      <c r="DJ191" s="123" t="str">
        <f t="shared" si="303"/>
        <v/>
      </c>
      <c r="DK191" s="123" t="str">
        <f t="shared" si="304"/>
        <v/>
      </c>
      <c r="DL191" s="97" t="str">
        <f t="shared" ca="1" si="305"/>
        <v/>
      </c>
      <c r="DM191" s="98" t="str">
        <f>IF(DO191&lt;&gt;"",VLOOKUP($P191&amp;" | "&amp;DM$6,'Job Master'!$F$12:$J$102,5,0),"")</f>
        <v/>
      </c>
      <c r="DN191" s="19" t="str">
        <f>IF(DO191&lt;&gt;"",VLOOKUP($P191&amp;" | "&amp;DM$6,'Job Master'!$F$12:$J$102,3,0),"")</f>
        <v/>
      </c>
      <c r="DO191" s="19" t="str">
        <f>IFERROR(IF(AND(DT191&lt;&gt;"",VLOOKUP($P191&amp;" | "&amp;DM$6,'Job Master'!$F$12:$I$102,4,0)&lt;&gt;""),IF(WEEKDAY(DT191-VLOOKUP($P191&amp;" | "&amp;DM$6,'Job Master'!$F$12:$I$102,4,0))&lt;&gt;7,DT191-VLOOKUP($P191&amp;" | "&amp;DM$6,'Job Master'!$F$12:$I$102,4,0),DT191-VLOOKUP($P191&amp;" | "&amp;DM$6,'Job Master'!$F$12:$I$102,4,0)-1),""),"")</f>
        <v/>
      </c>
      <c r="DP191" s="73"/>
      <c r="DQ191" s="123" t="str">
        <f t="shared" si="306"/>
        <v/>
      </c>
      <c r="DR191" s="123" t="str">
        <f t="shared" si="307"/>
        <v/>
      </c>
      <c r="DS191" s="97" t="str">
        <f t="shared" ca="1" si="308"/>
        <v/>
      </c>
      <c r="DT191" s="70" t="str">
        <f t="shared" si="309"/>
        <v/>
      </c>
      <c r="DU191" s="90"/>
      <c r="DV191" s="123" t="str">
        <f t="shared" si="310"/>
        <v/>
      </c>
      <c r="DW191" s="123" t="str">
        <f t="shared" si="311"/>
        <v/>
      </c>
      <c r="DX191" s="132" t="str">
        <f t="shared" ref="DX191" ca="1" si="376">IF(DT191&lt;&gt;"",IF(WEEKNUM(DT191)=WEEKNUM(TODAY()),"This Week",IF(WEEKNUM(DT191)=WEEKNUM(TODAY())+1,"Next Week",IF(WEEKNUM(DT191)=WEEKNUM(TODAY())-1,"Previous Week",""))),"")</f>
        <v/>
      </c>
      <c r="DY191" s="134" t="str">
        <f t="shared" si="313"/>
        <v/>
      </c>
      <c r="DZ191" s="95"/>
      <c r="EB191" s="8" t="str">
        <f t="shared" si="319"/>
        <v/>
      </c>
      <c r="EC191" s="8" t="str">
        <f>IF(O191&lt;&gt;"",VLOOKUP(O191,'Job Master'!$N$12:$O$18,2,0),"")</f>
        <v/>
      </c>
      <c r="ED191" s="8">
        <f t="shared" si="320"/>
        <v>19.5</v>
      </c>
      <c r="EE191" s="8">
        <f t="shared" si="321"/>
        <v>6</v>
      </c>
      <c r="EF191" s="8">
        <f t="shared" si="322"/>
        <v>-1066.5</v>
      </c>
      <c r="EG191" s="8" t="str">
        <f t="shared" si="323"/>
        <v/>
      </c>
      <c r="EH191" s="8" t="str">
        <f t="shared" si="324"/>
        <v/>
      </c>
    </row>
    <row r="192" spans="2:138" x14ac:dyDescent="0.3">
      <c r="B192" s="112"/>
      <c r="C192" s="27"/>
      <c r="D192" s="7" t="str">
        <f t="shared" si="261"/>
        <v/>
      </c>
      <c r="E192" s="25"/>
      <c r="F192" s="7" t="str">
        <f t="shared" si="261"/>
        <v/>
      </c>
      <c r="G192" s="25"/>
      <c r="H192" s="7" t="str">
        <f t="shared" si="261"/>
        <v/>
      </c>
      <c r="I192" s="25"/>
      <c r="J192" s="7" t="str">
        <f t="shared" si="261"/>
        <v/>
      </c>
      <c r="K192" s="25"/>
      <c r="L192" s="7" t="str">
        <f t="shared" si="262"/>
        <v/>
      </c>
      <c r="M192" s="25"/>
      <c r="N192" s="7" t="str">
        <f t="shared" si="263"/>
        <v/>
      </c>
      <c r="O192" s="81"/>
      <c r="P192" s="81" t="str">
        <f t="shared" si="264"/>
        <v/>
      </c>
      <c r="Q192" s="81"/>
      <c r="R192" s="7" t="str">
        <f t="shared" si="265"/>
        <v/>
      </c>
      <c r="S192" s="25"/>
      <c r="T192" s="7" t="str">
        <f t="shared" si="266"/>
        <v/>
      </c>
      <c r="U192" s="25"/>
      <c r="V192" s="7" t="str">
        <f t="shared" si="267"/>
        <v/>
      </c>
      <c r="W192" s="25"/>
      <c r="X192" s="7" t="str">
        <f t="shared" si="268"/>
        <v/>
      </c>
      <c r="Y192" s="18" t="str">
        <f t="shared" si="269"/>
        <v/>
      </c>
      <c r="Z192" s="7" t="str">
        <f t="shared" si="270"/>
        <v/>
      </c>
      <c r="AA192" s="18" t="str">
        <f t="shared" si="271"/>
        <v/>
      </c>
      <c r="AB192" s="19" t="str">
        <f t="shared" si="272"/>
        <v/>
      </c>
      <c r="AC192" s="26"/>
      <c r="AD192" s="26"/>
      <c r="AE192" s="25"/>
      <c r="AF192" s="26"/>
      <c r="AG192" s="25"/>
      <c r="AH192" s="25"/>
      <c r="AI192" s="18" t="str">
        <f t="shared" si="335"/>
        <v/>
      </c>
      <c r="AJ192" s="25"/>
      <c r="AK192" s="18" t="str">
        <f t="shared" si="336"/>
        <v/>
      </c>
      <c r="AL192" s="79"/>
      <c r="AM192" s="126" t="str">
        <f t="shared" si="337"/>
        <v/>
      </c>
      <c r="AN192" s="128" t="str">
        <f>IF(AP192&lt;&gt;"",VLOOKUP($P192&amp;" | "&amp;AN$6,'Job Master'!$F$12:$J$102,5,0),"")</f>
        <v/>
      </c>
      <c r="AO192" s="19" t="str">
        <f>IF(AP192&lt;&gt;"",VLOOKUP($P192&amp;" | "&amp;AN$6,'Job Master'!$F$12:$J$102,3,0),"")</f>
        <v/>
      </c>
      <c r="AP192" s="19" t="str">
        <f>IFERROR(IF(AND(AW192&lt;&gt;"",VLOOKUP($P192&amp;" | "&amp;AN$6,'Job Master'!$F$12:$I$102,4,0)&lt;&gt;""),IF(WEEKDAY(AW192-VLOOKUP($P192&amp;" | "&amp;AN$6,'Job Master'!$F$12:$I$102,4,0))&lt;&gt;7,AW192-VLOOKUP($P192&amp;" | "&amp;AN$6,'Job Master'!$F$12:$I$102,4,0),AW192-VLOOKUP($P192&amp;" | "&amp;AN$6,'Job Master'!$F$12:$I$102,4,0)-1),""),"")</f>
        <v/>
      </c>
      <c r="AQ192" s="73"/>
      <c r="AR192" s="123" t="str">
        <f t="shared" si="273"/>
        <v/>
      </c>
      <c r="AS192" s="123" t="str">
        <f t="shared" si="274"/>
        <v/>
      </c>
      <c r="AT192" s="97" t="str">
        <f t="shared" ca="1" si="275"/>
        <v/>
      </c>
      <c r="AU192" s="98" t="str">
        <f>IF(AW192&lt;&gt;"",VLOOKUP($P192&amp;" | "&amp;AU$6,'Job Master'!$F$12:$J$102,5,0),"")</f>
        <v/>
      </c>
      <c r="AV192" s="19" t="str">
        <f>IF(AW192&lt;&gt;"",VLOOKUP($P192&amp;" | "&amp;AU$6,'Job Master'!$F$12:$J$102,3,0),"")</f>
        <v/>
      </c>
      <c r="AW192" s="19" t="str">
        <f>IFERROR(IF(AND(BD192&lt;&gt;"",VLOOKUP($P192&amp;" | "&amp;AU$6,'Job Master'!$F$12:$I$102,4,0)&lt;&gt;""),IF(WEEKDAY(BD192-VLOOKUP($P192&amp;" | "&amp;AU$6,'Job Master'!$F$12:$I$102,4,0))&lt;&gt;7,BD192-VLOOKUP($P192&amp;" | "&amp;AU$6,'Job Master'!$F$12:$I$102,4,0),BD192-VLOOKUP($P192&amp;" | "&amp;AU$6,'Job Master'!$F$12:$I$102,4,0)-1),""),"")</f>
        <v/>
      </c>
      <c r="AX192" s="73"/>
      <c r="AY192" s="123" t="str">
        <f t="shared" si="276"/>
        <v/>
      </c>
      <c r="AZ192" s="123" t="str">
        <f t="shared" si="277"/>
        <v/>
      </c>
      <c r="BA192" s="97" t="str">
        <f t="shared" ca="1" si="278"/>
        <v/>
      </c>
      <c r="BB192" s="98" t="str">
        <f>IF(BD192&lt;&gt;"",VLOOKUP($P192&amp;" | "&amp;BB$6,'Job Master'!$F$12:$J$102,5,0),"")</f>
        <v/>
      </c>
      <c r="BC192" s="19" t="str">
        <f>IF(BD192&lt;&gt;"",VLOOKUP($P192&amp;" | "&amp;BB$6,'Job Master'!$F$12:$J$102,3,0),"")</f>
        <v/>
      </c>
      <c r="BD192" s="19" t="str">
        <f>IFERROR(IF(AND(BK192&lt;&gt;"",VLOOKUP($P192&amp;" | "&amp;BB$6,'Job Master'!$F$12:$I$102,4,0)&lt;&gt;""),IF(WEEKDAY(BK192-VLOOKUP($P192&amp;" | "&amp;BB$6,'Job Master'!$F$12:$I$102,4,0))&lt;&gt;7,BK192-VLOOKUP($P192&amp;" | "&amp;BB$6,'Job Master'!$F$12:$I$102,4,0),BK192-VLOOKUP($P192&amp;" | "&amp;BB$6,'Job Master'!$F$12:$I$102,4,0)-1),""),"")</f>
        <v/>
      </c>
      <c r="BE192" s="73"/>
      <c r="BF192" s="123" t="str">
        <f t="shared" si="279"/>
        <v/>
      </c>
      <c r="BG192" s="123" t="str">
        <f t="shared" si="280"/>
        <v/>
      </c>
      <c r="BH192" s="97" t="str">
        <f t="shared" ca="1" si="281"/>
        <v/>
      </c>
      <c r="BI192" s="98" t="str">
        <f>IF(BK192&lt;&gt;"",VLOOKUP($P192&amp;" | "&amp;BI$6,'Job Master'!$F$12:$J$102,5,0),"")</f>
        <v/>
      </c>
      <c r="BJ192" s="19" t="str">
        <f>IF(BK192&lt;&gt;"",VLOOKUP($P192&amp;" | "&amp;BI$6,'Job Master'!$F$12:$J$102,3,0),"")</f>
        <v/>
      </c>
      <c r="BK192" s="19" t="str">
        <f>IFERROR(IF(AND(BR192&lt;&gt;"",VLOOKUP($P192&amp;" | "&amp;BI$6,'Job Master'!$F$12:$I$102,4,0)&lt;&gt;""),IF(WEEKDAY(BR192-VLOOKUP($P192&amp;" | "&amp;BI$6,'Job Master'!$F$12:$I$102,4,0))&lt;&gt;7,BR192-VLOOKUP($P192&amp;" | "&amp;BI$6,'Job Master'!$F$12:$I$102,4,0),BR192-VLOOKUP($P192&amp;" | "&amp;BI$6,'Job Master'!$F$12:$I$102,4,0)-1),""),"")</f>
        <v/>
      </c>
      <c r="BL192" s="73"/>
      <c r="BM192" s="123" t="str">
        <f t="shared" si="282"/>
        <v/>
      </c>
      <c r="BN192" s="123" t="str">
        <f t="shared" si="283"/>
        <v/>
      </c>
      <c r="BO192" s="97" t="str">
        <f t="shared" ca="1" si="284"/>
        <v/>
      </c>
      <c r="BP192" s="98" t="str">
        <f>IF(BR192&lt;&gt;"",VLOOKUP($P192&amp;" | "&amp;BP$6,'Job Master'!$F$12:$J$102,5,0),"")</f>
        <v/>
      </c>
      <c r="BQ192" s="19" t="str">
        <f>IF(BR192&lt;&gt;"",VLOOKUP($P192&amp;" | "&amp;BP$6,'Job Master'!$F$12:$J$102,3,0),"")</f>
        <v/>
      </c>
      <c r="BR192" s="19" t="str">
        <f>IFERROR(IF(AND(BY192&lt;&gt;"",VLOOKUP($P192&amp;" | "&amp;BP$6,'Job Master'!$F$12:$I$102,4,0)&lt;&gt;""),IF(WEEKDAY(BY192-VLOOKUP($P192&amp;" | "&amp;BP$6,'Job Master'!$F$12:$I$102,4,0))&lt;&gt;7,BY192-VLOOKUP($P192&amp;" | "&amp;BP$6,'Job Master'!$F$12:$I$102,4,0),BY192-VLOOKUP($P192&amp;" | "&amp;BP$6,'Job Master'!$F$12:$I$102,4,0)-1),""),"")</f>
        <v/>
      </c>
      <c r="BS192" s="73"/>
      <c r="BT192" s="123" t="str">
        <f t="shared" si="285"/>
        <v/>
      </c>
      <c r="BU192" s="123" t="str">
        <f t="shared" si="286"/>
        <v/>
      </c>
      <c r="BV192" s="97" t="str">
        <f t="shared" ca="1" si="287"/>
        <v/>
      </c>
      <c r="BW192" s="98" t="str">
        <f>IF(BY192&lt;&gt;"",VLOOKUP($P192&amp;" | "&amp;BW$6,'Job Master'!$F$12:$J$102,5,0),"")</f>
        <v/>
      </c>
      <c r="BX192" s="19" t="str">
        <f>IF(BY192&lt;&gt;"",VLOOKUP($P192&amp;" | "&amp;BW$6,'Job Master'!$F$12:$J$102,3,0),"")</f>
        <v/>
      </c>
      <c r="BY192" s="19" t="str">
        <f>IFERROR(IF(AND(CF192&lt;&gt;"",VLOOKUP($P192&amp;" | "&amp;BW$6,'Job Master'!$F$12:$I$102,4,0)&lt;&gt;""),IF(WEEKDAY(CF192-VLOOKUP($P192&amp;" | "&amp;BW$6,'Job Master'!$F$12:$I$102,4,0))&lt;&gt;7,CF192-VLOOKUP($P192&amp;" | "&amp;BW$6,'Job Master'!$F$12:$I$102,4,0),CF192-VLOOKUP($P192&amp;" | "&amp;BW$6,'Job Master'!$F$12:$I$102,4,0)-1),""),"")</f>
        <v/>
      </c>
      <c r="BZ192" s="73"/>
      <c r="CA192" s="123" t="str">
        <f t="shared" si="288"/>
        <v/>
      </c>
      <c r="CB192" s="123" t="str">
        <f t="shared" si="289"/>
        <v/>
      </c>
      <c r="CC192" s="97" t="str">
        <f t="shared" ca="1" si="290"/>
        <v/>
      </c>
      <c r="CD192" s="98" t="str">
        <f>IF(CF192&lt;&gt;"",VLOOKUP($P192&amp;" | "&amp;CD$6,'Job Master'!$F$12:$J$102,5,0),"")</f>
        <v/>
      </c>
      <c r="CE192" s="19" t="str">
        <f>IF(CF192&lt;&gt;"",VLOOKUP($P192&amp;" | "&amp;CD$6,'Job Master'!$F$12:$J$102,3,0),"")</f>
        <v/>
      </c>
      <c r="CF192" s="19" t="str">
        <f>IFERROR(IF(AND(CM192&lt;&gt;"",VLOOKUP($P192&amp;" | "&amp;CD$6,'Job Master'!$F$12:$I$102,4,0)&lt;&gt;""),IF(WEEKDAY(CM192-VLOOKUP($P192&amp;" | "&amp;CD$6,'Job Master'!$F$12:$I$102,4,0))&lt;&gt;7,CM192-VLOOKUP($P192&amp;" | "&amp;CD$6,'Job Master'!$F$12:$I$102,4,0),CM192-VLOOKUP($P192&amp;" | "&amp;CD$6,'Job Master'!$F$12:$I$102,4,0)-1),""),"")</f>
        <v/>
      </c>
      <c r="CG192" s="73"/>
      <c r="CH192" s="123" t="str">
        <f t="shared" si="291"/>
        <v/>
      </c>
      <c r="CI192" s="123" t="str">
        <f t="shared" si="292"/>
        <v/>
      </c>
      <c r="CJ192" s="97" t="str">
        <f t="shared" ca="1" si="293"/>
        <v/>
      </c>
      <c r="CK192" s="98" t="str">
        <f>IF(CM192&lt;&gt;"",VLOOKUP($P192&amp;" | "&amp;CK$6,'Job Master'!$F$12:$J$102,5,0),"")</f>
        <v/>
      </c>
      <c r="CL192" s="19" t="str">
        <f>IF(CM192&lt;&gt;"",VLOOKUP($P192&amp;" | "&amp;CK$6,'Job Master'!$F$12:$J$102,3,0),"")</f>
        <v/>
      </c>
      <c r="CM192" s="19" t="str">
        <f>IFERROR(IF(AND(CT192&lt;&gt;"",VLOOKUP($P192&amp;" | "&amp;CK$6,'Job Master'!$F$12:$I$102,4,0)&lt;&gt;""),IF(WEEKDAY(CT192-VLOOKUP($P192&amp;" | "&amp;CK$6,'Job Master'!$F$12:$I$102,4,0))&lt;&gt;7,CT192-VLOOKUP($P192&amp;" | "&amp;CK$6,'Job Master'!$F$12:$I$102,4,0),CT192-VLOOKUP($P192&amp;" | "&amp;CK$6,'Job Master'!$F$12:$I$102,4,0)-1),""),"")</f>
        <v/>
      </c>
      <c r="CN192" s="73"/>
      <c r="CO192" s="123" t="str">
        <f t="shared" si="294"/>
        <v/>
      </c>
      <c r="CP192" s="123" t="str">
        <f t="shared" si="295"/>
        <v/>
      </c>
      <c r="CQ192" s="97" t="str">
        <f t="shared" ca="1" si="296"/>
        <v/>
      </c>
      <c r="CR192" s="98" t="str">
        <f>IF(CT192&lt;&gt;"",VLOOKUP($P192&amp;" | "&amp;CR$6,'Job Master'!$F$12:$J$102,5,0),"")</f>
        <v/>
      </c>
      <c r="CS192" s="19" t="str">
        <f>IF(CT192&lt;&gt;"",VLOOKUP($P192&amp;" | "&amp;CR$6,'Job Master'!$F$12:$J$102,3,0),"")</f>
        <v/>
      </c>
      <c r="CT192" s="19" t="str">
        <f>IFERROR(IF(AND(DA192&lt;&gt;"",VLOOKUP($P192&amp;" | "&amp;CR$6,'Job Master'!$F$12:$I$102,4,0)&lt;&gt;""),IF(WEEKDAY(DA192-VLOOKUP($P192&amp;" | "&amp;CR$6,'Job Master'!$F$12:$I$102,4,0))&lt;&gt;7,DA192-VLOOKUP($P192&amp;" | "&amp;CR$6,'Job Master'!$F$12:$I$102,4,0),DA192-VLOOKUP($P192&amp;" | "&amp;CR$6,'Job Master'!$F$12:$I$102,4,0)-1),""),"")</f>
        <v/>
      </c>
      <c r="CU192" s="73"/>
      <c r="CV192" s="123" t="str">
        <f t="shared" si="297"/>
        <v/>
      </c>
      <c r="CW192" s="123" t="str">
        <f t="shared" si="298"/>
        <v/>
      </c>
      <c r="CX192" s="97" t="str">
        <f t="shared" ca="1" si="299"/>
        <v/>
      </c>
      <c r="CY192" s="98" t="str">
        <f>IF(DA192&lt;&gt;"",VLOOKUP($P192&amp;" | "&amp;CY$6,'Job Master'!$F$12:$J$102,5,0),"")</f>
        <v/>
      </c>
      <c r="CZ192" s="19" t="str">
        <f>IF(DA192&lt;&gt;"",VLOOKUP($P192&amp;" | "&amp;CY$6,'Job Master'!$F$12:$J$102,3,0),"")</f>
        <v/>
      </c>
      <c r="DA192" s="19" t="str">
        <f>IFERROR(IF(AND(DH192&lt;&gt;"",VLOOKUP($P192&amp;" | "&amp;CY$6,'Job Master'!$F$12:$I$102,4,0)&lt;&gt;""),IF(WEEKDAY(DH192-VLOOKUP($P192&amp;" | "&amp;CY$6,'Job Master'!$F$12:$I$102,4,0))&lt;&gt;7,DH192-VLOOKUP($P192&amp;" | "&amp;CY$6,'Job Master'!$F$12:$I$102,4,0),DH192-VLOOKUP($P192&amp;" | "&amp;CY$6,'Job Master'!$F$12:$I$102,4,0)-1),""),"")</f>
        <v/>
      </c>
      <c r="DB192" s="73"/>
      <c r="DC192" s="123" t="str">
        <f t="shared" si="300"/>
        <v/>
      </c>
      <c r="DD192" s="123" t="str">
        <f t="shared" si="301"/>
        <v/>
      </c>
      <c r="DE192" s="97" t="str">
        <f t="shared" ca="1" si="302"/>
        <v/>
      </c>
      <c r="DF192" s="98" t="str">
        <f>IF(DH192&lt;&gt;"",VLOOKUP($P192&amp;" | "&amp;DF$6,'Job Master'!$F$12:$J$102,5,0),"")</f>
        <v/>
      </c>
      <c r="DG192" s="19" t="str">
        <f>IF(DH192&lt;&gt;"",VLOOKUP($P192&amp;" | "&amp;DF$6,'Job Master'!$F$12:$J$102,3,0),"")</f>
        <v/>
      </c>
      <c r="DH192" s="19" t="str">
        <f>IFERROR(IF(AND(DO192&lt;&gt;"",VLOOKUP($P192&amp;" | "&amp;DF$6,'Job Master'!$F$12:$I$102,4,0)&lt;&gt;""),IF(WEEKDAY(DO192-VLOOKUP($P192&amp;" | "&amp;DF$6,'Job Master'!$F$12:$I$102,4,0))&lt;&gt;7,DO192-VLOOKUP($P192&amp;" | "&amp;DF$6,'Job Master'!$F$12:$I$102,4,0),DO192-VLOOKUP($P192&amp;" | "&amp;DF$6,'Job Master'!$F$12:$I$102,4,0)-1),""),"")</f>
        <v/>
      </c>
      <c r="DI192" s="73"/>
      <c r="DJ192" s="123" t="str">
        <f t="shared" si="303"/>
        <v/>
      </c>
      <c r="DK192" s="123" t="str">
        <f t="shared" si="304"/>
        <v/>
      </c>
      <c r="DL192" s="97" t="str">
        <f t="shared" ca="1" si="305"/>
        <v/>
      </c>
      <c r="DM192" s="98" t="str">
        <f>IF(DO192&lt;&gt;"",VLOOKUP($P192&amp;" | "&amp;DM$6,'Job Master'!$F$12:$J$102,5,0),"")</f>
        <v/>
      </c>
      <c r="DN192" s="19" t="str">
        <f>IF(DO192&lt;&gt;"",VLOOKUP($P192&amp;" | "&amp;DM$6,'Job Master'!$F$12:$J$102,3,0),"")</f>
        <v/>
      </c>
      <c r="DO192" s="19" t="str">
        <f>IFERROR(IF(AND(DT192&lt;&gt;"",VLOOKUP($P192&amp;" | "&amp;DM$6,'Job Master'!$F$12:$I$102,4,0)&lt;&gt;""),IF(WEEKDAY(DT192-VLOOKUP($P192&amp;" | "&amp;DM$6,'Job Master'!$F$12:$I$102,4,0))&lt;&gt;7,DT192-VLOOKUP($P192&amp;" | "&amp;DM$6,'Job Master'!$F$12:$I$102,4,0),DT192-VLOOKUP($P192&amp;" | "&amp;DM$6,'Job Master'!$F$12:$I$102,4,0)-1),""),"")</f>
        <v/>
      </c>
      <c r="DP192" s="73"/>
      <c r="DQ192" s="123" t="str">
        <f t="shared" si="306"/>
        <v/>
      </c>
      <c r="DR192" s="123" t="str">
        <f t="shared" si="307"/>
        <v/>
      </c>
      <c r="DS192" s="97" t="str">
        <f t="shared" ca="1" si="308"/>
        <v/>
      </c>
      <c r="DT192" s="70" t="str">
        <f t="shared" si="309"/>
        <v/>
      </c>
      <c r="DU192" s="90"/>
      <c r="DV192" s="123" t="str">
        <f t="shared" si="310"/>
        <v/>
      </c>
      <c r="DW192" s="123" t="str">
        <f t="shared" si="311"/>
        <v/>
      </c>
      <c r="DX192" s="132" t="str">
        <f t="shared" ref="DX192" ca="1" si="377">IF(DT192&lt;&gt;"",IF(WEEKNUM(DT192)=WEEKNUM(TODAY()),"This Week",IF(WEEKNUM(DT192)=WEEKNUM(TODAY())+1,"Next Week",IF(WEEKNUM(DT192)=WEEKNUM(TODAY())-1,"Previous Week",""))),"")</f>
        <v/>
      </c>
      <c r="DY192" s="134" t="str">
        <f t="shared" si="313"/>
        <v/>
      </c>
      <c r="DZ192" s="95"/>
      <c r="EB192" s="8" t="str">
        <f t="shared" si="319"/>
        <v/>
      </c>
      <c r="EC192" s="8" t="str">
        <f>IF(O192&lt;&gt;"",VLOOKUP(O192,'Job Master'!$N$12:$O$18,2,0),"")</f>
        <v/>
      </c>
      <c r="ED192" s="8">
        <f t="shared" si="320"/>
        <v>19.5</v>
      </c>
      <c r="EE192" s="8">
        <f t="shared" si="321"/>
        <v>6</v>
      </c>
      <c r="EF192" s="8">
        <f t="shared" si="322"/>
        <v>-1072.5</v>
      </c>
      <c r="EG192" s="8" t="str">
        <f t="shared" si="323"/>
        <v/>
      </c>
      <c r="EH192" s="8" t="str">
        <f t="shared" si="324"/>
        <v/>
      </c>
    </row>
    <row r="193" spans="2:138" x14ac:dyDescent="0.3">
      <c r="B193" s="112"/>
      <c r="C193" s="27"/>
      <c r="D193" s="7" t="str">
        <f t="shared" si="261"/>
        <v/>
      </c>
      <c r="E193" s="25"/>
      <c r="F193" s="7" t="str">
        <f t="shared" si="261"/>
        <v/>
      </c>
      <c r="G193" s="25"/>
      <c r="H193" s="7" t="str">
        <f t="shared" si="261"/>
        <v/>
      </c>
      <c r="I193" s="25"/>
      <c r="J193" s="7" t="str">
        <f t="shared" si="261"/>
        <v/>
      </c>
      <c r="K193" s="25"/>
      <c r="L193" s="7" t="str">
        <f t="shared" si="262"/>
        <v/>
      </c>
      <c r="M193" s="25"/>
      <c r="N193" s="7" t="str">
        <f t="shared" si="263"/>
        <v/>
      </c>
      <c r="O193" s="81"/>
      <c r="P193" s="81" t="str">
        <f t="shared" si="264"/>
        <v/>
      </c>
      <c r="Q193" s="81"/>
      <c r="R193" s="7" t="str">
        <f t="shared" si="265"/>
        <v/>
      </c>
      <c r="S193" s="25"/>
      <c r="T193" s="7" t="str">
        <f t="shared" si="266"/>
        <v/>
      </c>
      <c r="U193" s="25"/>
      <c r="V193" s="7" t="str">
        <f t="shared" si="267"/>
        <v/>
      </c>
      <c r="W193" s="25"/>
      <c r="X193" s="7" t="str">
        <f t="shared" si="268"/>
        <v/>
      </c>
      <c r="Y193" s="18" t="str">
        <f t="shared" si="269"/>
        <v/>
      </c>
      <c r="Z193" s="7" t="str">
        <f t="shared" si="270"/>
        <v/>
      </c>
      <c r="AA193" s="18" t="str">
        <f t="shared" si="271"/>
        <v/>
      </c>
      <c r="AB193" s="19" t="str">
        <f t="shared" si="272"/>
        <v/>
      </c>
      <c r="AC193" s="26"/>
      <c r="AD193" s="26"/>
      <c r="AE193" s="25"/>
      <c r="AF193" s="26"/>
      <c r="AG193" s="25"/>
      <c r="AH193" s="25"/>
      <c r="AI193" s="18" t="str">
        <f t="shared" si="335"/>
        <v/>
      </c>
      <c r="AJ193" s="25"/>
      <c r="AK193" s="18" t="str">
        <f t="shared" si="336"/>
        <v/>
      </c>
      <c r="AL193" s="79"/>
      <c r="AM193" s="126" t="str">
        <f t="shared" si="337"/>
        <v/>
      </c>
      <c r="AN193" s="128" t="str">
        <f>IF(AP193&lt;&gt;"",VLOOKUP($P193&amp;" | "&amp;AN$6,'Job Master'!$F$12:$J$102,5,0),"")</f>
        <v/>
      </c>
      <c r="AO193" s="19" t="str">
        <f>IF(AP193&lt;&gt;"",VLOOKUP($P193&amp;" | "&amp;AN$6,'Job Master'!$F$12:$J$102,3,0),"")</f>
        <v/>
      </c>
      <c r="AP193" s="19" t="str">
        <f>IFERROR(IF(AND(AW193&lt;&gt;"",VLOOKUP($P193&amp;" | "&amp;AN$6,'Job Master'!$F$12:$I$102,4,0)&lt;&gt;""),IF(WEEKDAY(AW193-VLOOKUP($P193&amp;" | "&amp;AN$6,'Job Master'!$F$12:$I$102,4,0))&lt;&gt;7,AW193-VLOOKUP($P193&amp;" | "&amp;AN$6,'Job Master'!$F$12:$I$102,4,0),AW193-VLOOKUP($P193&amp;" | "&amp;AN$6,'Job Master'!$F$12:$I$102,4,0)-1),""),"")</f>
        <v/>
      </c>
      <c r="AQ193" s="73"/>
      <c r="AR193" s="123" t="str">
        <f t="shared" si="273"/>
        <v/>
      </c>
      <c r="AS193" s="123" t="str">
        <f t="shared" si="274"/>
        <v/>
      </c>
      <c r="AT193" s="97" t="str">
        <f t="shared" ca="1" si="275"/>
        <v/>
      </c>
      <c r="AU193" s="98" t="str">
        <f>IF(AW193&lt;&gt;"",VLOOKUP($P193&amp;" | "&amp;AU$6,'Job Master'!$F$12:$J$102,5,0),"")</f>
        <v/>
      </c>
      <c r="AV193" s="19" t="str">
        <f>IF(AW193&lt;&gt;"",VLOOKUP($P193&amp;" | "&amp;AU$6,'Job Master'!$F$12:$J$102,3,0),"")</f>
        <v/>
      </c>
      <c r="AW193" s="19" t="str">
        <f>IFERROR(IF(AND(BD193&lt;&gt;"",VLOOKUP($P193&amp;" | "&amp;AU$6,'Job Master'!$F$12:$I$102,4,0)&lt;&gt;""),IF(WEEKDAY(BD193-VLOOKUP($P193&amp;" | "&amp;AU$6,'Job Master'!$F$12:$I$102,4,0))&lt;&gt;7,BD193-VLOOKUP($P193&amp;" | "&amp;AU$6,'Job Master'!$F$12:$I$102,4,0),BD193-VLOOKUP($P193&amp;" | "&amp;AU$6,'Job Master'!$F$12:$I$102,4,0)-1),""),"")</f>
        <v/>
      </c>
      <c r="AX193" s="73"/>
      <c r="AY193" s="123" t="str">
        <f t="shared" si="276"/>
        <v/>
      </c>
      <c r="AZ193" s="123" t="str">
        <f t="shared" si="277"/>
        <v/>
      </c>
      <c r="BA193" s="97" t="str">
        <f t="shared" ca="1" si="278"/>
        <v/>
      </c>
      <c r="BB193" s="98" t="str">
        <f>IF(BD193&lt;&gt;"",VLOOKUP($P193&amp;" | "&amp;BB$6,'Job Master'!$F$12:$J$102,5,0),"")</f>
        <v/>
      </c>
      <c r="BC193" s="19" t="str">
        <f>IF(BD193&lt;&gt;"",VLOOKUP($P193&amp;" | "&amp;BB$6,'Job Master'!$F$12:$J$102,3,0),"")</f>
        <v/>
      </c>
      <c r="BD193" s="19" t="str">
        <f>IFERROR(IF(AND(BK193&lt;&gt;"",VLOOKUP($P193&amp;" | "&amp;BB$6,'Job Master'!$F$12:$I$102,4,0)&lt;&gt;""),IF(WEEKDAY(BK193-VLOOKUP($P193&amp;" | "&amp;BB$6,'Job Master'!$F$12:$I$102,4,0))&lt;&gt;7,BK193-VLOOKUP($P193&amp;" | "&amp;BB$6,'Job Master'!$F$12:$I$102,4,0),BK193-VLOOKUP($P193&amp;" | "&amp;BB$6,'Job Master'!$F$12:$I$102,4,0)-1),""),"")</f>
        <v/>
      </c>
      <c r="BE193" s="73"/>
      <c r="BF193" s="123" t="str">
        <f t="shared" si="279"/>
        <v/>
      </c>
      <c r="BG193" s="123" t="str">
        <f t="shared" si="280"/>
        <v/>
      </c>
      <c r="BH193" s="97" t="str">
        <f t="shared" ca="1" si="281"/>
        <v/>
      </c>
      <c r="BI193" s="98" t="str">
        <f>IF(BK193&lt;&gt;"",VLOOKUP($P193&amp;" | "&amp;BI$6,'Job Master'!$F$12:$J$102,5,0),"")</f>
        <v/>
      </c>
      <c r="BJ193" s="19" t="str">
        <f>IF(BK193&lt;&gt;"",VLOOKUP($P193&amp;" | "&amp;BI$6,'Job Master'!$F$12:$J$102,3,0),"")</f>
        <v/>
      </c>
      <c r="BK193" s="19" t="str">
        <f>IFERROR(IF(AND(BR193&lt;&gt;"",VLOOKUP($P193&amp;" | "&amp;BI$6,'Job Master'!$F$12:$I$102,4,0)&lt;&gt;""),IF(WEEKDAY(BR193-VLOOKUP($P193&amp;" | "&amp;BI$6,'Job Master'!$F$12:$I$102,4,0))&lt;&gt;7,BR193-VLOOKUP($P193&amp;" | "&amp;BI$6,'Job Master'!$F$12:$I$102,4,0),BR193-VLOOKUP($P193&amp;" | "&amp;BI$6,'Job Master'!$F$12:$I$102,4,0)-1),""),"")</f>
        <v/>
      </c>
      <c r="BL193" s="73"/>
      <c r="BM193" s="123" t="str">
        <f t="shared" si="282"/>
        <v/>
      </c>
      <c r="BN193" s="123" t="str">
        <f t="shared" si="283"/>
        <v/>
      </c>
      <c r="BO193" s="97" t="str">
        <f t="shared" ca="1" si="284"/>
        <v/>
      </c>
      <c r="BP193" s="98" t="str">
        <f>IF(BR193&lt;&gt;"",VLOOKUP($P193&amp;" | "&amp;BP$6,'Job Master'!$F$12:$J$102,5,0),"")</f>
        <v/>
      </c>
      <c r="BQ193" s="19" t="str">
        <f>IF(BR193&lt;&gt;"",VLOOKUP($P193&amp;" | "&amp;BP$6,'Job Master'!$F$12:$J$102,3,0),"")</f>
        <v/>
      </c>
      <c r="BR193" s="19" t="str">
        <f>IFERROR(IF(AND(BY193&lt;&gt;"",VLOOKUP($P193&amp;" | "&amp;BP$6,'Job Master'!$F$12:$I$102,4,0)&lt;&gt;""),IF(WEEKDAY(BY193-VLOOKUP($P193&amp;" | "&amp;BP$6,'Job Master'!$F$12:$I$102,4,0))&lt;&gt;7,BY193-VLOOKUP($P193&amp;" | "&amp;BP$6,'Job Master'!$F$12:$I$102,4,0),BY193-VLOOKUP($P193&amp;" | "&amp;BP$6,'Job Master'!$F$12:$I$102,4,0)-1),""),"")</f>
        <v/>
      </c>
      <c r="BS193" s="73"/>
      <c r="BT193" s="123" t="str">
        <f t="shared" si="285"/>
        <v/>
      </c>
      <c r="BU193" s="123" t="str">
        <f t="shared" si="286"/>
        <v/>
      </c>
      <c r="BV193" s="97" t="str">
        <f t="shared" ca="1" si="287"/>
        <v/>
      </c>
      <c r="BW193" s="98" t="str">
        <f>IF(BY193&lt;&gt;"",VLOOKUP($P193&amp;" | "&amp;BW$6,'Job Master'!$F$12:$J$102,5,0),"")</f>
        <v/>
      </c>
      <c r="BX193" s="19" t="str">
        <f>IF(BY193&lt;&gt;"",VLOOKUP($P193&amp;" | "&amp;BW$6,'Job Master'!$F$12:$J$102,3,0),"")</f>
        <v/>
      </c>
      <c r="BY193" s="19" t="str">
        <f>IFERROR(IF(AND(CF193&lt;&gt;"",VLOOKUP($P193&amp;" | "&amp;BW$6,'Job Master'!$F$12:$I$102,4,0)&lt;&gt;""),IF(WEEKDAY(CF193-VLOOKUP($P193&amp;" | "&amp;BW$6,'Job Master'!$F$12:$I$102,4,0))&lt;&gt;7,CF193-VLOOKUP($P193&amp;" | "&amp;BW$6,'Job Master'!$F$12:$I$102,4,0),CF193-VLOOKUP($P193&amp;" | "&amp;BW$6,'Job Master'!$F$12:$I$102,4,0)-1),""),"")</f>
        <v/>
      </c>
      <c r="BZ193" s="73"/>
      <c r="CA193" s="123" t="str">
        <f t="shared" si="288"/>
        <v/>
      </c>
      <c r="CB193" s="123" t="str">
        <f t="shared" si="289"/>
        <v/>
      </c>
      <c r="CC193" s="97" t="str">
        <f t="shared" ca="1" si="290"/>
        <v/>
      </c>
      <c r="CD193" s="98" t="str">
        <f>IF(CF193&lt;&gt;"",VLOOKUP($P193&amp;" | "&amp;CD$6,'Job Master'!$F$12:$J$102,5,0),"")</f>
        <v/>
      </c>
      <c r="CE193" s="19" t="str">
        <f>IF(CF193&lt;&gt;"",VLOOKUP($P193&amp;" | "&amp;CD$6,'Job Master'!$F$12:$J$102,3,0),"")</f>
        <v/>
      </c>
      <c r="CF193" s="19" t="str">
        <f>IFERROR(IF(AND(CM193&lt;&gt;"",VLOOKUP($P193&amp;" | "&amp;CD$6,'Job Master'!$F$12:$I$102,4,0)&lt;&gt;""),IF(WEEKDAY(CM193-VLOOKUP($P193&amp;" | "&amp;CD$6,'Job Master'!$F$12:$I$102,4,0))&lt;&gt;7,CM193-VLOOKUP($P193&amp;" | "&amp;CD$6,'Job Master'!$F$12:$I$102,4,0),CM193-VLOOKUP($P193&amp;" | "&amp;CD$6,'Job Master'!$F$12:$I$102,4,0)-1),""),"")</f>
        <v/>
      </c>
      <c r="CG193" s="73"/>
      <c r="CH193" s="123" t="str">
        <f t="shared" si="291"/>
        <v/>
      </c>
      <c r="CI193" s="123" t="str">
        <f t="shared" si="292"/>
        <v/>
      </c>
      <c r="CJ193" s="97" t="str">
        <f t="shared" ca="1" si="293"/>
        <v/>
      </c>
      <c r="CK193" s="98" t="str">
        <f>IF(CM193&lt;&gt;"",VLOOKUP($P193&amp;" | "&amp;CK$6,'Job Master'!$F$12:$J$102,5,0),"")</f>
        <v/>
      </c>
      <c r="CL193" s="19" t="str">
        <f>IF(CM193&lt;&gt;"",VLOOKUP($P193&amp;" | "&amp;CK$6,'Job Master'!$F$12:$J$102,3,0),"")</f>
        <v/>
      </c>
      <c r="CM193" s="19" t="str">
        <f>IFERROR(IF(AND(CT193&lt;&gt;"",VLOOKUP($P193&amp;" | "&amp;CK$6,'Job Master'!$F$12:$I$102,4,0)&lt;&gt;""),IF(WEEKDAY(CT193-VLOOKUP($P193&amp;" | "&amp;CK$6,'Job Master'!$F$12:$I$102,4,0))&lt;&gt;7,CT193-VLOOKUP($P193&amp;" | "&amp;CK$6,'Job Master'!$F$12:$I$102,4,0),CT193-VLOOKUP($P193&amp;" | "&amp;CK$6,'Job Master'!$F$12:$I$102,4,0)-1),""),"")</f>
        <v/>
      </c>
      <c r="CN193" s="73"/>
      <c r="CO193" s="123" t="str">
        <f t="shared" si="294"/>
        <v/>
      </c>
      <c r="CP193" s="123" t="str">
        <f t="shared" si="295"/>
        <v/>
      </c>
      <c r="CQ193" s="97" t="str">
        <f t="shared" ca="1" si="296"/>
        <v/>
      </c>
      <c r="CR193" s="98" t="str">
        <f>IF(CT193&lt;&gt;"",VLOOKUP($P193&amp;" | "&amp;CR$6,'Job Master'!$F$12:$J$102,5,0),"")</f>
        <v/>
      </c>
      <c r="CS193" s="19" t="str">
        <f>IF(CT193&lt;&gt;"",VLOOKUP($P193&amp;" | "&amp;CR$6,'Job Master'!$F$12:$J$102,3,0),"")</f>
        <v/>
      </c>
      <c r="CT193" s="19" t="str">
        <f>IFERROR(IF(AND(DA193&lt;&gt;"",VLOOKUP($P193&amp;" | "&amp;CR$6,'Job Master'!$F$12:$I$102,4,0)&lt;&gt;""),IF(WEEKDAY(DA193-VLOOKUP($P193&amp;" | "&amp;CR$6,'Job Master'!$F$12:$I$102,4,0))&lt;&gt;7,DA193-VLOOKUP($P193&amp;" | "&amp;CR$6,'Job Master'!$F$12:$I$102,4,0),DA193-VLOOKUP($P193&amp;" | "&amp;CR$6,'Job Master'!$F$12:$I$102,4,0)-1),""),"")</f>
        <v/>
      </c>
      <c r="CU193" s="73"/>
      <c r="CV193" s="123" t="str">
        <f t="shared" si="297"/>
        <v/>
      </c>
      <c r="CW193" s="123" t="str">
        <f t="shared" si="298"/>
        <v/>
      </c>
      <c r="CX193" s="97" t="str">
        <f t="shared" ca="1" si="299"/>
        <v/>
      </c>
      <c r="CY193" s="98" t="str">
        <f>IF(DA193&lt;&gt;"",VLOOKUP($P193&amp;" | "&amp;CY$6,'Job Master'!$F$12:$J$102,5,0),"")</f>
        <v/>
      </c>
      <c r="CZ193" s="19" t="str">
        <f>IF(DA193&lt;&gt;"",VLOOKUP($P193&amp;" | "&amp;CY$6,'Job Master'!$F$12:$J$102,3,0),"")</f>
        <v/>
      </c>
      <c r="DA193" s="19" t="str">
        <f>IFERROR(IF(AND(DH193&lt;&gt;"",VLOOKUP($P193&amp;" | "&amp;CY$6,'Job Master'!$F$12:$I$102,4,0)&lt;&gt;""),IF(WEEKDAY(DH193-VLOOKUP($P193&amp;" | "&amp;CY$6,'Job Master'!$F$12:$I$102,4,0))&lt;&gt;7,DH193-VLOOKUP($P193&amp;" | "&amp;CY$6,'Job Master'!$F$12:$I$102,4,0),DH193-VLOOKUP($P193&amp;" | "&amp;CY$6,'Job Master'!$F$12:$I$102,4,0)-1),""),"")</f>
        <v/>
      </c>
      <c r="DB193" s="73"/>
      <c r="DC193" s="123" t="str">
        <f t="shared" si="300"/>
        <v/>
      </c>
      <c r="DD193" s="123" t="str">
        <f t="shared" si="301"/>
        <v/>
      </c>
      <c r="DE193" s="97" t="str">
        <f t="shared" ca="1" si="302"/>
        <v/>
      </c>
      <c r="DF193" s="98" t="str">
        <f>IF(DH193&lt;&gt;"",VLOOKUP($P193&amp;" | "&amp;DF$6,'Job Master'!$F$12:$J$102,5,0),"")</f>
        <v/>
      </c>
      <c r="DG193" s="19" t="str">
        <f>IF(DH193&lt;&gt;"",VLOOKUP($P193&amp;" | "&amp;DF$6,'Job Master'!$F$12:$J$102,3,0),"")</f>
        <v/>
      </c>
      <c r="DH193" s="19" t="str">
        <f>IFERROR(IF(AND(DO193&lt;&gt;"",VLOOKUP($P193&amp;" | "&amp;DF$6,'Job Master'!$F$12:$I$102,4,0)&lt;&gt;""),IF(WEEKDAY(DO193-VLOOKUP($P193&amp;" | "&amp;DF$6,'Job Master'!$F$12:$I$102,4,0))&lt;&gt;7,DO193-VLOOKUP($P193&amp;" | "&amp;DF$6,'Job Master'!$F$12:$I$102,4,0),DO193-VLOOKUP($P193&amp;" | "&amp;DF$6,'Job Master'!$F$12:$I$102,4,0)-1),""),"")</f>
        <v/>
      </c>
      <c r="DI193" s="73"/>
      <c r="DJ193" s="123" t="str">
        <f t="shared" si="303"/>
        <v/>
      </c>
      <c r="DK193" s="123" t="str">
        <f t="shared" si="304"/>
        <v/>
      </c>
      <c r="DL193" s="97" t="str">
        <f t="shared" ca="1" si="305"/>
        <v/>
      </c>
      <c r="DM193" s="98" t="str">
        <f>IF(DO193&lt;&gt;"",VLOOKUP($P193&amp;" | "&amp;DM$6,'Job Master'!$F$12:$J$102,5,0),"")</f>
        <v/>
      </c>
      <c r="DN193" s="19" t="str">
        <f>IF(DO193&lt;&gt;"",VLOOKUP($P193&amp;" | "&amp;DM$6,'Job Master'!$F$12:$J$102,3,0),"")</f>
        <v/>
      </c>
      <c r="DO193" s="19" t="str">
        <f>IFERROR(IF(AND(DT193&lt;&gt;"",VLOOKUP($P193&amp;" | "&amp;DM$6,'Job Master'!$F$12:$I$102,4,0)&lt;&gt;""),IF(WEEKDAY(DT193-VLOOKUP($P193&amp;" | "&amp;DM$6,'Job Master'!$F$12:$I$102,4,0))&lt;&gt;7,DT193-VLOOKUP($P193&amp;" | "&amp;DM$6,'Job Master'!$F$12:$I$102,4,0),DT193-VLOOKUP($P193&amp;" | "&amp;DM$6,'Job Master'!$F$12:$I$102,4,0)-1),""),"")</f>
        <v/>
      </c>
      <c r="DP193" s="73"/>
      <c r="DQ193" s="123" t="str">
        <f t="shared" si="306"/>
        <v/>
      </c>
      <c r="DR193" s="123" t="str">
        <f t="shared" si="307"/>
        <v/>
      </c>
      <c r="DS193" s="97" t="str">
        <f t="shared" ca="1" si="308"/>
        <v/>
      </c>
      <c r="DT193" s="70" t="str">
        <f t="shared" si="309"/>
        <v/>
      </c>
      <c r="DU193" s="90"/>
      <c r="DV193" s="123" t="str">
        <f t="shared" si="310"/>
        <v/>
      </c>
      <c r="DW193" s="123" t="str">
        <f t="shared" si="311"/>
        <v/>
      </c>
      <c r="DX193" s="132" t="str">
        <f t="shared" ref="DX193" ca="1" si="378">IF(DT193&lt;&gt;"",IF(WEEKNUM(DT193)=WEEKNUM(TODAY()),"This Week",IF(WEEKNUM(DT193)=WEEKNUM(TODAY())+1,"Next Week",IF(WEEKNUM(DT193)=WEEKNUM(TODAY())-1,"Previous Week",""))),"")</f>
        <v/>
      </c>
      <c r="DY193" s="134" t="str">
        <f t="shared" si="313"/>
        <v/>
      </c>
      <c r="DZ193" s="95"/>
      <c r="EB193" s="8" t="str">
        <f t="shared" si="319"/>
        <v/>
      </c>
      <c r="EC193" s="8" t="str">
        <f>IF(O193&lt;&gt;"",VLOOKUP(O193,'Job Master'!$N$12:$O$18,2,0),"")</f>
        <v/>
      </c>
      <c r="ED193" s="8">
        <f t="shared" si="320"/>
        <v>19.5</v>
      </c>
      <c r="EE193" s="8">
        <f t="shared" si="321"/>
        <v>6</v>
      </c>
      <c r="EF193" s="8">
        <f t="shared" si="322"/>
        <v>-1078.5</v>
      </c>
      <c r="EG193" s="8" t="str">
        <f t="shared" si="323"/>
        <v/>
      </c>
      <c r="EH193" s="8" t="str">
        <f t="shared" si="324"/>
        <v/>
      </c>
    </row>
    <row r="194" spans="2:138" x14ac:dyDescent="0.3">
      <c r="B194" s="112"/>
      <c r="C194" s="27"/>
      <c r="D194" s="7" t="str">
        <f t="shared" si="261"/>
        <v/>
      </c>
      <c r="E194" s="25"/>
      <c r="F194" s="7" t="str">
        <f t="shared" si="261"/>
        <v/>
      </c>
      <c r="G194" s="25"/>
      <c r="H194" s="7" t="str">
        <f t="shared" si="261"/>
        <v/>
      </c>
      <c r="I194" s="25"/>
      <c r="J194" s="7" t="str">
        <f t="shared" si="261"/>
        <v/>
      </c>
      <c r="K194" s="25"/>
      <c r="L194" s="7" t="str">
        <f t="shared" si="262"/>
        <v/>
      </c>
      <c r="M194" s="25"/>
      <c r="N194" s="7" t="str">
        <f t="shared" si="263"/>
        <v/>
      </c>
      <c r="O194" s="81"/>
      <c r="P194" s="81" t="str">
        <f t="shared" si="264"/>
        <v/>
      </c>
      <c r="Q194" s="81"/>
      <c r="R194" s="7" t="str">
        <f t="shared" si="265"/>
        <v/>
      </c>
      <c r="S194" s="25"/>
      <c r="T194" s="7" t="str">
        <f t="shared" si="266"/>
        <v/>
      </c>
      <c r="U194" s="25"/>
      <c r="V194" s="7" t="str">
        <f t="shared" si="267"/>
        <v/>
      </c>
      <c r="W194" s="25"/>
      <c r="X194" s="7" t="str">
        <f t="shared" si="268"/>
        <v/>
      </c>
      <c r="Y194" s="18" t="str">
        <f t="shared" si="269"/>
        <v/>
      </c>
      <c r="Z194" s="7" t="str">
        <f t="shared" si="270"/>
        <v/>
      </c>
      <c r="AA194" s="18" t="str">
        <f t="shared" si="271"/>
        <v/>
      </c>
      <c r="AB194" s="19" t="str">
        <f t="shared" si="272"/>
        <v/>
      </c>
      <c r="AC194" s="26"/>
      <c r="AD194" s="26"/>
      <c r="AE194" s="25"/>
      <c r="AF194" s="26"/>
      <c r="AG194" s="25"/>
      <c r="AH194" s="25"/>
      <c r="AI194" s="18" t="str">
        <f t="shared" si="335"/>
        <v/>
      </c>
      <c r="AJ194" s="25"/>
      <c r="AK194" s="18" t="str">
        <f t="shared" si="336"/>
        <v/>
      </c>
      <c r="AL194" s="79"/>
      <c r="AM194" s="126" t="str">
        <f t="shared" si="337"/>
        <v/>
      </c>
      <c r="AN194" s="128" t="str">
        <f>IF(AP194&lt;&gt;"",VLOOKUP($P194&amp;" | "&amp;AN$6,'Job Master'!$F$12:$J$102,5,0),"")</f>
        <v/>
      </c>
      <c r="AO194" s="19" t="str">
        <f>IF(AP194&lt;&gt;"",VLOOKUP($P194&amp;" | "&amp;AN$6,'Job Master'!$F$12:$J$102,3,0),"")</f>
        <v/>
      </c>
      <c r="AP194" s="19" t="str">
        <f>IFERROR(IF(AND(AW194&lt;&gt;"",VLOOKUP($P194&amp;" | "&amp;AN$6,'Job Master'!$F$12:$I$102,4,0)&lt;&gt;""),IF(WEEKDAY(AW194-VLOOKUP($P194&amp;" | "&amp;AN$6,'Job Master'!$F$12:$I$102,4,0))&lt;&gt;7,AW194-VLOOKUP($P194&amp;" | "&amp;AN$6,'Job Master'!$F$12:$I$102,4,0),AW194-VLOOKUP($P194&amp;" | "&amp;AN$6,'Job Master'!$F$12:$I$102,4,0)-1),""),"")</f>
        <v/>
      </c>
      <c r="AQ194" s="73"/>
      <c r="AR194" s="123" t="str">
        <f t="shared" si="273"/>
        <v/>
      </c>
      <c r="AS194" s="123" t="str">
        <f t="shared" si="274"/>
        <v/>
      </c>
      <c r="AT194" s="97" t="str">
        <f t="shared" ca="1" si="275"/>
        <v/>
      </c>
      <c r="AU194" s="98" t="str">
        <f>IF(AW194&lt;&gt;"",VLOOKUP($P194&amp;" | "&amp;AU$6,'Job Master'!$F$12:$J$102,5,0),"")</f>
        <v/>
      </c>
      <c r="AV194" s="19" t="str">
        <f>IF(AW194&lt;&gt;"",VLOOKUP($P194&amp;" | "&amp;AU$6,'Job Master'!$F$12:$J$102,3,0),"")</f>
        <v/>
      </c>
      <c r="AW194" s="19" t="str">
        <f>IFERROR(IF(AND(BD194&lt;&gt;"",VLOOKUP($P194&amp;" | "&amp;AU$6,'Job Master'!$F$12:$I$102,4,0)&lt;&gt;""),IF(WEEKDAY(BD194-VLOOKUP($P194&amp;" | "&amp;AU$6,'Job Master'!$F$12:$I$102,4,0))&lt;&gt;7,BD194-VLOOKUP($P194&amp;" | "&amp;AU$6,'Job Master'!$F$12:$I$102,4,0),BD194-VLOOKUP($P194&amp;" | "&amp;AU$6,'Job Master'!$F$12:$I$102,4,0)-1),""),"")</f>
        <v/>
      </c>
      <c r="AX194" s="73"/>
      <c r="AY194" s="123" t="str">
        <f t="shared" si="276"/>
        <v/>
      </c>
      <c r="AZ194" s="123" t="str">
        <f t="shared" si="277"/>
        <v/>
      </c>
      <c r="BA194" s="97" t="str">
        <f t="shared" ca="1" si="278"/>
        <v/>
      </c>
      <c r="BB194" s="98" t="str">
        <f>IF(BD194&lt;&gt;"",VLOOKUP($P194&amp;" | "&amp;BB$6,'Job Master'!$F$12:$J$102,5,0),"")</f>
        <v/>
      </c>
      <c r="BC194" s="19" t="str">
        <f>IF(BD194&lt;&gt;"",VLOOKUP($P194&amp;" | "&amp;BB$6,'Job Master'!$F$12:$J$102,3,0),"")</f>
        <v/>
      </c>
      <c r="BD194" s="19" t="str">
        <f>IFERROR(IF(AND(BK194&lt;&gt;"",VLOOKUP($P194&amp;" | "&amp;BB$6,'Job Master'!$F$12:$I$102,4,0)&lt;&gt;""),IF(WEEKDAY(BK194-VLOOKUP($P194&amp;" | "&amp;BB$6,'Job Master'!$F$12:$I$102,4,0))&lt;&gt;7,BK194-VLOOKUP($P194&amp;" | "&amp;BB$6,'Job Master'!$F$12:$I$102,4,0),BK194-VLOOKUP($P194&amp;" | "&amp;BB$6,'Job Master'!$F$12:$I$102,4,0)-1),""),"")</f>
        <v/>
      </c>
      <c r="BE194" s="73"/>
      <c r="BF194" s="123" t="str">
        <f t="shared" si="279"/>
        <v/>
      </c>
      <c r="BG194" s="123" t="str">
        <f t="shared" si="280"/>
        <v/>
      </c>
      <c r="BH194" s="97" t="str">
        <f t="shared" ca="1" si="281"/>
        <v/>
      </c>
      <c r="BI194" s="98" t="str">
        <f>IF(BK194&lt;&gt;"",VLOOKUP($P194&amp;" | "&amp;BI$6,'Job Master'!$F$12:$J$102,5,0),"")</f>
        <v/>
      </c>
      <c r="BJ194" s="19" t="str">
        <f>IF(BK194&lt;&gt;"",VLOOKUP($P194&amp;" | "&amp;BI$6,'Job Master'!$F$12:$J$102,3,0),"")</f>
        <v/>
      </c>
      <c r="BK194" s="19" t="str">
        <f>IFERROR(IF(AND(BR194&lt;&gt;"",VLOOKUP($P194&amp;" | "&amp;BI$6,'Job Master'!$F$12:$I$102,4,0)&lt;&gt;""),IF(WEEKDAY(BR194-VLOOKUP($P194&amp;" | "&amp;BI$6,'Job Master'!$F$12:$I$102,4,0))&lt;&gt;7,BR194-VLOOKUP($P194&amp;" | "&amp;BI$6,'Job Master'!$F$12:$I$102,4,0),BR194-VLOOKUP($P194&amp;" | "&amp;BI$6,'Job Master'!$F$12:$I$102,4,0)-1),""),"")</f>
        <v/>
      </c>
      <c r="BL194" s="73"/>
      <c r="BM194" s="123" t="str">
        <f t="shared" si="282"/>
        <v/>
      </c>
      <c r="BN194" s="123" t="str">
        <f t="shared" si="283"/>
        <v/>
      </c>
      <c r="BO194" s="97" t="str">
        <f t="shared" ca="1" si="284"/>
        <v/>
      </c>
      <c r="BP194" s="98" t="str">
        <f>IF(BR194&lt;&gt;"",VLOOKUP($P194&amp;" | "&amp;BP$6,'Job Master'!$F$12:$J$102,5,0),"")</f>
        <v/>
      </c>
      <c r="BQ194" s="19" t="str">
        <f>IF(BR194&lt;&gt;"",VLOOKUP($P194&amp;" | "&amp;BP$6,'Job Master'!$F$12:$J$102,3,0),"")</f>
        <v/>
      </c>
      <c r="BR194" s="19" t="str">
        <f>IFERROR(IF(AND(BY194&lt;&gt;"",VLOOKUP($P194&amp;" | "&amp;BP$6,'Job Master'!$F$12:$I$102,4,0)&lt;&gt;""),IF(WEEKDAY(BY194-VLOOKUP($P194&amp;" | "&amp;BP$6,'Job Master'!$F$12:$I$102,4,0))&lt;&gt;7,BY194-VLOOKUP($P194&amp;" | "&amp;BP$6,'Job Master'!$F$12:$I$102,4,0),BY194-VLOOKUP($P194&amp;" | "&amp;BP$6,'Job Master'!$F$12:$I$102,4,0)-1),""),"")</f>
        <v/>
      </c>
      <c r="BS194" s="73"/>
      <c r="BT194" s="123" t="str">
        <f t="shared" si="285"/>
        <v/>
      </c>
      <c r="BU194" s="123" t="str">
        <f t="shared" si="286"/>
        <v/>
      </c>
      <c r="BV194" s="97" t="str">
        <f t="shared" ca="1" si="287"/>
        <v/>
      </c>
      <c r="BW194" s="98" t="str">
        <f>IF(BY194&lt;&gt;"",VLOOKUP($P194&amp;" | "&amp;BW$6,'Job Master'!$F$12:$J$102,5,0),"")</f>
        <v/>
      </c>
      <c r="BX194" s="19" t="str">
        <f>IF(BY194&lt;&gt;"",VLOOKUP($P194&amp;" | "&amp;BW$6,'Job Master'!$F$12:$J$102,3,0),"")</f>
        <v/>
      </c>
      <c r="BY194" s="19" t="str">
        <f>IFERROR(IF(AND(CF194&lt;&gt;"",VLOOKUP($P194&amp;" | "&amp;BW$6,'Job Master'!$F$12:$I$102,4,0)&lt;&gt;""),IF(WEEKDAY(CF194-VLOOKUP($P194&amp;" | "&amp;BW$6,'Job Master'!$F$12:$I$102,4,0))&lt;&gt;7,CF194-VLOOKUP($P194&amp;" | "&amp;BW$6,'Job Master'!$F$12:$I$102,4,0),CF194-VLOOKUP($P194&amp;" | "&amp;BW$6,'Job Master'!$F$12:$I$102,4,0)-1),""),"")</f>
        <v/>
      </c>
      <c r="BZ194" s="73"/>
      <c r="CA194" s="123" t="str">
        <f t="shared" si="288"/>
        <v/>
      </c>
      <c r="CB194" s="123" t="str">
        <f t="shared" si="289"/>
        <v/>
      </c>
      <c r="CC194" s="97" t="str">
        <f t="shared" ca="1" si="290"/>
        <v/>
      </c>
      <c r="CD194" s="98" t="str">
        <f>IF(CF194&lt;&gt;"",VLOOKUP($P194&amp;" | "&amp;CD$6,'Job Master'!$F$12:$J$102,5,0),"")</f>
        <v/>
      </c>
      <c r="CE194" s="19" t="str">
        <f>IF(CF194&lt;&gt;"",VLOOKUP($P194&amp;" | "&amp;CD$6,'Job Master'!$F$12:$J$102,3,0),"")</f>
        <v/>
      </c>
      <c r="CF194" s="19" t="str">
        <f>IFERROR(IF(AND(CM194&lt;&gt;"",VLOOKUP($P194&amp;" | "&amp;CD$6,'Job Master'!$F$12:$I$102,4,0)&lt;&gt;""),IF(WEEKDAY(CM194-VLOOKUP($P194&amp;" | "&amp;CD$6,'Job Master'!$F$12:$I$102,4,0))&lt;&gt;7,CM194-VLOOKUP($P194&amp;" | "&amp;CD$6,'Job Master'!$F$12:$I$102,4,0),CM194-VLOOKUP($P194&amp;" | "&amp;CD$6,'Job Master'!$F$12:$I$102,4,0)-1),""),"")</f>
        <v/>
      </c>
      <c r="CG194" s="73"/>
      <c r="CH194" s="123" t="str">
        <f t="shared" si="291"/>
        <v/>
      </c>
      <c r="CI194" s="123" t="str">
        <f t="shared" si="292"/>
        <v/>
      </c>
      <c r="CJ194" s="97" t="str">
        <f t="shared" ca="1" si="293"/>
        <v/>
      </c>
      <c r="CK194" s="98" t="str">
        <f>IF(CM194&lt;&gt;"",VLOOKUP($P194&amp;" | "&amp;CK$6,'Job Master'!$F$12:$J$102,5,0),"")</f>
        <v/>
      </c>
      <c r="CL194" s="19" t="str">
        <f>IF(CM194&lt;&gt;"",VLOOKUP($P194&amp;" | "&amp;CK$6,'Job Master'!$F$12:$J$102,3,0),"")</f>
        <v/>
      </c>
      <c r="CM194" s="19" t="str">
        <f>IFERROR(IF(AND(CT194&lt;&gt;"",VLOOKUP($P194&amp;" | "&amp;CK$6,'Job Master'!$F$12:$I$102,4,0)&lt;&gt;""),IF(WEEKDAY(CT194-VLOOKUP($P194&amp;" | "&amp;CK$6,'Job Master'!$F$12:$I$102,4,0))&lt;&gt;7,CT194-VLOOKUP($P194&amp;" | "&amp;CK$6,'Job Master'!$F$12:$I$102,4,0),CT194-VLOOKUP($P194&amp;" | "&amp;CK$6,'Job Master'!$F$12:$I$102,4,0)-1),""),"")</f>
        <v/>
      </c>
      <c r="CN194" s="73"/>
      <c r="CO194" s="123" t="str">
        <f t="shared" si="294"/>
        <v/>
      </c>
      <c r="CP194" s="123" t="str">
        <f t="shared" si="295"/>
        <v/>
      </c>
      <c r="CQ194" s="97" t="str">
        <f t="shared" ca="1" si="296"/>
        <v/>
      </c>
      <c r="CR194" s="98" t="str">
        <f>IF(CT194&lt;&gt;"",VLOOKUP($P194&amp;" | "&amp;CR$6,'Job Master'!$F$12:$J$102,5,0),"")</f>
        <v/>
      </c>
      <c r="CS194" s="19" t="str">
        <f>IF(CT194&lt;&gt;"",VLOOKUP($P194&amp;" | "&amp;CR$6,'Job Master'!$F$12:$J$102,3,0),"")</f>
        <v/>
      </c>
      <c r="CT194" s="19" t="str">
        <f>IFERROR(IF(AND(DA194&lt;&gt;"",VLOOKUP($P194&amp;" | "&amp;CR$6,'Job Master'!$F$12:$I$102,4,0)&lt;&gt;""),IF(WEEKDAY(DA194-VLOOKUP($P194&amp;" | "&amp;CR$6,'Job Master'!$F$12:$I$102,4,0))&lt;&gt;7,DA194-VLOOKUP($P194&amp;" | "&amp;CR$6,'Job Master'!$F$12:$I$102,4,0),DA194-VLOOKUP($P194&amp;" | "&amp;CR$6,'Job Master'!$F$12:$I$102,4,0)-1),""),"")</f>
        <v/>
      </c>
      <c r="CU194" s="73"/>
      <c r="CV194" s="123" t="str">
        <f t="shared" si="297"/>
        <v/>
      </c>
      <c r="CW194" s="123" t="str">
        <f t="shared" si="298"/>
        <v/>
      </c>
      <c r="CX194" s="97" t="str">
        <f t="shared" ca="1" si="299"/>
        <v/>
      </c>
      <c r="CY194" s="98" t="str">
        <f>IF(DA194&lt;&gt;"",VLOOKUP($P194&amp;" | "&amp;CY$6,'Job Master'!$F$12:$J$102,5,0),"")</f>
        <v/>
      </c>
      <c r="CZ194" s="19" t="str">
        <f>IF(DA194&lt;&gt;"",VLOOKUP($P194&amp;" | "&amp;CY$6,'Job Master'!$F$12:$J$102,3,0),"")</f>
        <v/>
      </c>
      <c r="DA194" s="19" t="str">
        <f>IFERROR(IF(AND(DH194&lt;&gt;"",VLOOKUP($P194&amp;" | "&amp;CY$6,'Job Master'!$F$12:$I$102,4,0)&lt;&gt;""),IF(WEEKDAY(DH194-VLOOKUP($P194&amp;" | "&amp;CY$6,'Job Master'!$F$12:$I$102,4,0))&lt;&gt;7,DH194-VLOOKUP($P194&amp;" | "&amp;CY$6,'Job Master'!$F$12:$I$102,4,0),DH194-VLOOKUP($P194&amp;" | "&amp;CY$6,'Job Master'!$F$12:$I$102,4,0)-1),""),"")</f>
        <v/>
      </c>
      <c r="DB194" s="73"/>
      <c r="DC194" s="123" t="str">
        <f t="shared" si="300"/>
        <v/>
      </c>
      <c r="DD194" s="123" t="str">
        <f t="shared" si="301"/>
        <v/>
      </c>
      <c r="DE194" s="97" t="str">
        <f t="shared" ca="1" si="302"/>
        <v/>
      </c>
      <c r="DF194" s="98" t="str">
        <f>IF(DH194&lt;&gt;"",VLOOKUP($P194&amp;" | "&amp;DF$6,'Job Master'!$F$12:$J$102,5,0),"")</f>
        <v/>
      </c>
      <c r="DG194" s="19" t="str">
        <f>IF(DH194&lt;&gt;"",VLOOKUP($P194&amp;" | "&amp;DF$6,'Job Master'!$F$12:$J$102,3,0),"")</f>
        <v/>
      </c>
      <c r="DH194" s="19" t="str">
        <f>IFERROR(IF(AND(DO194&lt;&gt;"",VLOOKUP($P194&amp;" | "&amp;DF$6,'Job Master'!$F$12:$I$102,4,0)&lt;&gt;""),IF(WEEKDAY(DO194-VLOOKUP($P194&amp;" | "&amp;DF$6,'Job Master'!$F$12:$I$102,4,0))&lt;&gt;7,DO194-VLOOKUP($P194&amp;" | "&amp;DF$6,'Job Master'!$F$12:$I$102,4,0),DO194-VLOOKUP($P194&amp;" | "&amp;DF$6,'Job Master'!$F$12:$I$102,4,0)-1),""),"")</f>
        <v/>
      </c>
      <c r="DI194" s="73"/>
      <c r="DJ194" s="123" t="str">
        <f t="shared" si="303"/>
        <v/>
      </c>
      <c r="DK194" s="123" t="str">
        <f t="shared" si="304"/>
        <v/>
      </c>
      <c r="DL194" s="97" t="str">
        <f t="shared" ca="1" si="305"/>
        <v/>
      </c>
      <c r="DM194" s="98" t="str">
        <f>IF(DO194&lt;&gt;"",VLOOKUP($P194&amp;" | "&amp;DM$6,'Job Master'!$F$12:$J$102,5,0),"")</f>
        <v/>
      </c>
      <c r="DN194" s="19" t="str">
        <f>IF(DO194&lt;&gt;"",VLOOKUP($P194&amp;" | "&amp;DM$6,'Job Master'!$F$12:$J$102,3,0),"")</f>
        <v/>
      </c>
      <c r="DO194" s="19" t="str">
        <f>IFERROR(IF(AND(DT194&lt;&gt;"",VLOOKUP($P194&amp;" | "&amp;DM$6,'Job Master'!$F$12:$I$102,4,0)&lt;&gt;""),IF(WEEKDAY(DT194-VLOOKUP($P194&amp;" | "&amp;DM$6,'Job Master'!$F$12:$I$102,4,0))&lt;&gt;7,DT194-VLOOKUP($P194&amp;" | "&amp;DM$6,'Job Master'!$F$12:$I$102,4,0),DT194-VLOOKUP($P194&amp;" | "&amp;DM$6,'Job Master'!$F$12:$I$102,4,0)-1),""),"")</f>
        <v/>
      </c>
      <c r="DP194" s="73"/>
      <c r="DQ194" s="123" t="str">
        <f t="shared" si="306"/>
        <v/>
      </c>
      <c r="DR194" s="123" t="str">
        <f t="shared" si="307"/>
        <v/>
      </c>
      <c r="DS194" s="97" t="str">
        <f t="shared" ca="1" si="308"/>
        <v/>
      </c>
      <c r="DT194" s="70" t="str">
        <f t="shared" si="309"/>
        <v/>
      </c>
      <c r="DU194" s="90"/>
      <c r="DV194" s="123" t="str">
        <f t="shared" si="310"/>
        <v/>
      </c>
      <c r="DW194" s="123" t="str">
        <f t="shared" si="311"/>
        <v/>
      </c>
      <c r="DX194" s="132" t="str">
        <f t="shared" ref="DX194" ca="1" si="379">IF(DT194&lt;&gt;"",IF(WEEKNUM(DT194)=WEEKNUM(TODAY()),"This Week",IF(WEEKNUM(DT194)=WEEKNUM(TODAY())+1,"Next Week",IF(WEEKNUM(DT194)=WEEKNUM(TODAY())-1,"Previous Week",""))),"")</f>
        <v/>
      </c>
      <c r="DY194" s="134" t="str">
        <f t="shared" si="313"/>
        <v/>
      </c>
      <c r="DZ194" s="95"/>
      <c r="EB194" s="8" t="str">
        <f t="shared" si="319"/>
        <v/>
      </c>
      <c r="EC194" s="8" t="str">
        <f>IF(O194&lt;&gt;"",VLOOKUP(O194,'Job Master'!$N$12:$O$18,2,0),"")</f>
        <v/>
      </c>
      <c r="ED194" s="8">
        <f t="shared" si="320"/>
        <v>19.5</v>
      </c>
      <c r="EE194" s="8">
        <f t="shared" si="321"/>
        <v>6</v>
      </c>
      <c r="EF194" s="8">
        <f t="shared" si="322"/>
        <v>-1084.5</v>
      </c>
      <c r="EG194" s="8" t="str">
        <f t="shared" si="323"/>
        <v/>
      </c>
      <c r="EH194" s="8" t="str">
        <f t="shared" si="324"/>
        <v/>
      </c>
    </row>
    <row r="195" spans="2:138" x14ac:dyDescent="0.3">
      <c r="B195" s="112"/>
      <c r="C195" s="27"/>
      <c r="D195" s="7" t="str">
        <f t="shared" si="261"/>
        <v/>
      </c>
      <c r="E195" s="25"/>
      <c r="F195" s="7" t="str">
        <f t="shared" si="261"/>
        <v/>
      </c>
      <c r="G195" s="25"/>
      <c r="H195" s="7" t="str">
        <f t="shared" si="261"/>
        <v/>
      </c>
      <c r="I195" s="25"/>
      <c r="J195" s="7" t="str">
        <f t="shared" si="261"/>
        <v/>
      </c>
      <c r="K195" s="25"/>
      <c r="L195" s="7" t="str">
        <f t="shared" si="262"/>
        <v/>
      </c>
      <c r="M195" s="25"/>
      <c r="N195" s="7" t="str">
        <f t="shared" si="263"/>
        <v/>
      </c>
      <c r="O195" s="81"/>
      <c r="P195" s="81" t="str">
        <f t="shared" si="264"/>
        <v/>
      </c>
      <c r="Q195" s="81"/>
      <c r="R195" s="7" t="str">
        <f t="shared" si="265"/>
        <v/>
      </c>
      <c r="S195" s="25"/>
      <c r="T195" s="7" t="str">
        <f t="shared" si="266"/>
        <v/>
      </c>
      <c r="U195" s="25"/>
      <c r="V195" s="7" t="str">
        <f t="shared" si="267"/>
        <v/>
      </c>
      <c r="W195" s="25"/>
      <c r="X195" s="7" t="str">
        <f t="shared" si="268"/>
        <v/>
      </c>
      <c r="Y195" s="18" t="str">
        <f t="shared" si="269"/>
        <v/>
      </c>
      <c r="Z195" s="7" t="str">
        <f t="shared" si="270"/>
        <v/>
      </c>
      <c r="AA195" s="18" t="str">
        <f t="shared" si="271"/>
        <v/>
      </c>
      <c r="AB195" s="19" t="str">
        <f t="shared" si="272"/>
        <v/>
      </c>
      <c r="AC195" s="26"/>
      <c r="AD195" s="26"/>
      <c r="AE195" s="25"/>
      <c r="AF195" s="26"/>
      <c r="AG195" s="25"/>
      <c r="AH195" s="25"/>
      <c r="AI195" s="18" t="str">
        <f t="shared" si="335"/>
        <v/>
      </c>
      <c r="AJ195" s="25"/>
      <c r="AK195" s="18" t="str">
        <f t="shared" si="336"/>
        <v/>
      </c>
      <c r="AL195" s="79"/>
      <c r="AM195" s="126" t="str">
        <f t="shared" si="337"/>
        <v/>
      </c>
      <c r="AN195" s="128" t="str">
        <f>IF(AP195&lt;&gt;"",VLOOKUP($P195&amp;" | "&amp;AN$6,'Job Master'!$F$12:$J$102,5,0),"")</f>
        <v/>
      </c>
      <c r="AO195" s="19" t="str">
        <f>IF(AP195&lt;&gt;"",VLOOKUP($P195&amp;" | "&amp;AN$6,'Job Master'!$F$12:$J$102,3,0),"")</f>
        <v/>
      </c>
      <c r="AP195" s="19" t="str">
        <f>IFERROR(IF(AND(AW195&lt;&gt;"",VLOOKUP($P195&amp;" | "&amp;AN$6,'Job Master'!$F$12:$I$102,4,0)&lt;&gt;""),IF(WEEKDAY(AW195-VLOOKUP($P195&amp;" | "&amp;AN$6,'Job Master'!$F$12:$I$102,4,0))&lt;&gt;7,AW195-VLOOKUP($P195&amp;" | "&amp;AN$6,'Job Master'!$F$12:$I$102,4,0),AW195-VLOOKUP($P195&amp;" | "&amp;AN$6,'Job Master'!$F$12:$I$102,4,0)-1),""),"")</f>
        <v/>
      </c>
      <c r="AQ195" s="73"/>
      <c r="AR195" s="123" t="str">
        <f t="shared" si="273"/>
        <v/>
      </c>
      <c r="AS195" s="123" t="str">
        <f t="shared" si="274"/>
        <v/>
      </c>
      <c r="AT195" s="97" t="str">
        <f t="shared" ca="1" si="275"/>
        <v/>
      </c>
      <c r="AU195" s="98" t="str">
        <f>IF(AW195&lt;&gt;"",VLOOKUP($P195&amp;" | "&amp;AU$6,'Job Master'!$F$12:$J$102,5,0),"")</f>
        <v/>
      </c>
      <c r="AV195" s="19" t="str">
        <f>IF(AW195&lt;&gt;"",VLOOKUP($P195&amp;" | "&amp;AU$6,'Job Master'!$F$12:$J$102,3,0),"")</f>
        <v/>
      </c>
      <c r="AW195" s="19" t="str">
        <f>IFERROR(IF(AND(BD195&lt;&gt;"",VLOOKUP($P195&amp;" | "&amp;AU$6,'Job Master'!$F$12:$I$102,4,0)&lt;&gt;""),IF(WEEKDAY(BD195-VLOOKUP($P195&amp;" | "&amp;AU$6,'Job Master'!$F$12:$I$102,4,0))&lt;&gt;7,BD195-VLOOKUP($P195&amp;" | "&amp;AU$6,'Job Master'!$F$12:$I$102,4,0),BD195-VLOOKUP($P195&amp;" | "&amp;AU$6,'Job Master'!$F$12:$I$102,4,0)-1),""),"")</f>
        <v/>
      </c>
      <c r="AX195" s="73"/>
      <c r="AY195" s="123" t="str">
        <f t="shared" si="276"/>
        <v/>
      </c>
      <c r="AZ195" s="123" t="str">
        <f t="shared" si="277"/>
        <v/>
      </c>
      <c r="BA195" s="97" t="str">
        <f t="shared" ca="1" si="278"/>
        <v/>
      </c>
      <c r="BB195" s="98" t="str">
        <f>IF(BD195&lt;&gt;"",VLOOKUP($P195&amp;" | "&amp;BB$6,'Job Master'!$F$12:$J$102,5,0),"")</f>
        <v/>
      </c>
      <c r="BC195" s="19" t="str">
        <f>IF(BD195&lt;&gt;"",VLOOKUP($P195&amp;" | "&amp;BB$6,'Job Master'!$F$12:$J$102,3,0),"")</f>
        <v/>
      </c>
      <c r="BD195" s="19" t="str">
        <f>IFERROR(IF(AND(BK195&lt;&gt;"",VLOOKUP($P195&amp;" | "&amp;BB$6,'Job Master'!$F$12:$I$102,4,0)&lt;&gt;""),IF(WEEKDAY(BK195-VLOOKUP($P195&amp;" | "&amp;BB$6,'Job Master'!$F$12:$I$102,4,0))&lt;&gt;7,BK195-VLOOKUP($P195&amp;" | "&amp;BB$6,'Job Master'!$F$12:$I$102,4,0),BK195-VLOOKUP($P195&amp;" | "&amp;BB$6,'Job Master'!$F$12:$I$102,4,0)-1),""),"")</f>
        <v/>
      </c>
      <c r="BE195" s="73"/>
      <c r="BF195" s="123" t="str">
        <f t="shared" si="279"/>
        <v/>
      </c>
      <c r="BG195" s="123" t="str">
        <f t="shared" si="280"/>
        <v/>
      </c>
      <c r="BH195" s="97" t="str">
        <f t="shared" ca="1" si="281"/>
        <v/>
      </c>
      <c r="BI195" s="98" t="str">
        <f>IF(BK195&lt;&gt;"",VLOOKUP($P195&amp;" | "&amp;BI$6,'Job Master'!$F$12:$J$102,5,0),"")</f>
        <v/>
      </c>
      <c r="BJ195" s="19" t="str">
        <f>IF(BK195&lt;&gt;"",VLOOKUP($P195&amp;" | "&amp;BI$6,'Job Master'!$F$12:$J$102,3,0),"")</f>
        <v/>
      </c>
      <c r="BK195" s="19" t="str">
        <f>IFERROR(IF(AND(BR195&lt;&gt;"",VLOOKUP($P195&amp;" | "&amp;BI$6,'Job Master'!$F$12:$I$102,4,0)&lt;&gt;""),IF(WEEKDAY(BR195-VLOOKUP($P195&amp;" | "&amp;BI$6,'Job Master'!$F$12:$I$102,4,0))&lt;&gt;7,BR195-VLOOKUP($P195&amp;" | "&amp;BI$6,'Job Master'!$F$12:$I$102,4,0),BR195-VLOOKUP($P195&amp;" | "&amp;BI$6,'Job Master'!$F$12:$I$102,4,0)-1),""),"")</f>
        <v/>
      </c>
      <c r="BL195" s="73"/>
      <c r="BM195" s="123" t="str">
        <f t="shared" si="282"/>
        <v/>
      </c>
      <c r="BN195" s="123" t="str">
        <f t="shared" si="283"/>
        <v/>
      </c>
      <c r="BO195" s="97" t="str">
        <f t="shared" ca="1" si="284"/>
        <v/>
      </c>
      <c r="BP195" s="98" t="str">
        <f>IF(BR195&lt;&gt;"",VLOOKUP($P195&amp;" | "&amp;BP$6,'Job Master'!$F$12:$J$102,5,0),"")</f>
        <v/>
      </c>
      <c r="BQ195" s="19" t="str">
        <f>IF(BR195&lt;&gt;"",VLOOKUP($P195&amp;" | "&amp;BP$6,'Job Master'!$F$12:$J$102,3,0),"")</f>
        <v/>
      </c>
      <c r="BR195" s="19" t="str">
        <f>IFERROR(IF(AND(BY195&lt;&gt;"",VLOOKUP($P195&amp;" | "&amp;BP$6,'Job Master'!$F$12:$I$102,4,0)&lt;&gt;""),IF(WEEKDAY(BY195-VLOOKUP($P195&amp;" | "&amp;BP$6,'Job Master'!$F$12:$I$102,4,0))&lt;&gt;7,BY195-VLOOKUP($P195&amp;" | "&amp;BP$6,'Job Master'!$F$12:$I$102,4,0),BY195-VLOOKUP($P195&amp;" | "&amp;BP$6,'Job Master'!$F$12:$I$102,4,0)-1),""),"")</f>
        <v/>
      </c>
      <c r="BS195" s="73"/>
      <c r="BT195" s="123" t="str">
        <f t="shared" si="285"/>
        <v/>
      </c>
      <c r="BU195" s="123" t="str">
        <f t="shared" si="286"/>
        <v/>
      </c>
      <c r="BV195" s="97" t="str">
        <f t="shared" ca="1" si="287"/>
        <v/>
      </c>
      <c r="BW195" s="98" t="str">
        <f>IF(BY195&lt;&gt;"",VLOOKUP($P195&amp;" | "&amp;BW$6,'Job Master'!$F$12:$J$102,5,0),"")</f>
        <v/>
      </c>
      <c r="BX195" s="19" t="str">
        <f>IF(BY195&lt;&gt;"",VLOOKUP($P195&amp;" | "&amp;BW$6,'Job Master'!$F$12:$J$102,3,0),"")</f>
        <v/>
      </c>
      <c r="BY195" s="19" t="str">
        <f>IFERROR(IF(AND(CF195&lt;&gt;"",VLOOKUP($P195&amp;" | "&amp;BW$6,'Job Master'!$F$12:$I$102,4,0)&lt;&gt;""),IF(WEEKDAY(CF195-VLOOKUP($P195&amp;" | "&amp;BW$6,'Job Master'!$F$12:$I$102,4,0))&lt;&gt;7,CF195-VLOOKUP($P195&amp;" | "&amp;BW$6,'Job Master'!$F$12:$I$102,4,0),CF195-VLOOKUP($P195&amp;" | "&amp;BW$6,'Job Master'!$F$12:$I$102,4,0)-1),""),"")</f>
        <v/>
      </c>
      <c r="BZ195" s="73"/>
      <c r="CA195" s="123" t="str">
        <f t="shared" si="288"/>
        <v/>
      </c>
      <c r="CB195" s="123" t="str">
        <f t="shared" si="289"/>
        <v/>
      </c>
      <c r="CC195" s="97" t="str">
        <f t="shared" ca="1" si="290"/>
        <v/>
      </c>
      <c r="CD195" s="98" t="str">
        <f>IF(CF195&lt;&gt;"",VLOOKUP($P195&amp;" | "&amp;CD$6,'Job Master'!$F$12:$J$102,5,0),"")</f>
        <v/>
      </c>
      <c r="CE195" s="19" t="str">
        <f>IF(CF195&lt;&gt;"",VLOOKUP($P195&amp;" | "&amp;CD$6,'Job Master'!$F$12:$J$102,3,0),"")</f>
        <v/>
      </c>
      <c r="CF195" s="19" t="str">
        <f>IFERROR(IF(AND(CM195&lt;&gt;"",VLOOKUP($P195&amp;" | "&amp;CD$6,'Job Master'!$F$12:$I$102,4,0)&lt;&gt;""),IF(WEEKDAY(CM195-VLOOKUP($P195&amp;" | "&amp;CD$6,'Job Master'!$F$12:$I$102,4,0))&lt;&gt;7,CM195-VLOOKUP($P195&amp;" | "&amp;CD$6,'Job Master'!$F$12:$I$102,4,0),CM195-VLOOKUP($P195&amp;" | "&amp;CD$6,'Job Master'!$F$12:$I$102,4,0)-1),""),"")</f>
        <v/>
      </c>
      <c r="CG195" s="73"/>
      <c r="CH195" s="123" t="str">
        <f t="shared" si="291"/>
        <v/>
      </c>
      <c r="CI195" s="123" t="str">
        <f t="shared" si="292"/>
        <v/>
      </c>
      <c r="CJ195" s="97" t="str">
        <f t="shared" ca="1" si="293"/>
        <v/>
      </c>
      <c r="CK195" s="98" t="str">
        <f>IF(CM195&lt;&gt;"",VLOOKUP($P195&amp;" | "&amp;CK$6,'Job Master'!$F$12:$J$102,5,0),"")</f>
        <v/>
      </c>
      <c r="CL195" s="19" t="str">
        <f>IF(CM195&lt;&gt;"",VLOOKUP($P195&amp;" | "&amp;CK$6,'Job Master'!$F$12:$J$102,3,0),"")</f>
        <v/>
      </c>
      <c r="CM195" s="19" t="str">
        <f>IFERROR(IF(AND(CT195&lt;&gt;"",VLOOKUP($P195&amp;" | "&amp;CK$6,'Job Master'!$F$12:$I$102,4,0)&lt;&gt;""),IF(WEEKDAY(CT195-VLOOKUP($P195&amp;" | "&amp;CK$6,'Job Master'!$F$12:$I$102,4,0))&lt;&gt;7,CT195-VLOOKUP($P195&amp;" | "&amp;CK$6,'Job Master'!$F$12:$I$102,4,0),CT195-VLOOKUP($P195&amp;" | "&amp;CK$6,'Job Master'!$F$12:$I$102,4,0)-1),""),"")</f>
        <v/>
      </c>
      <c r="CN195" s="73"/>
      <c r="CO195" s="123" t="str">
        <f t="shared" si="294"/>
        <v/>
      </c>
      <c r="CP195" s="123" t="str">
        <f t="shared" si="295"/>
        <v/>
      </c>
      <c r="CQ195" s="97" t="str">
        <f t="shared" ca="1" si="296"/>
        <v/>
      </c>
      <c r="CR195" s="98" t="str">
        <f>IF(CT195&lt;&gt;"",VLOOKUP($P195&amp;" | "&amp;CR$6,'Job Master'!$F$12:$J$102,5,0),"")</f>
        <v/>
      </c>
      <c r="CS195" s="19" t="str">
        <f>IF(CT195&lt;&gt;"",VLOOKUP($P195&amp;" | "&amp;CR$6,'Job Master'!$F$12:$J$102,3,0),"")</f>
        <v/>
      </c>
      <c r="CT195" s="19" t="str">
        <f>IFERROR(IF(AND(DA195&lt;&gt;"",VLOOKUP($P195&amp;" | "&amp;CR$6,'Job Master'!$F$12:$I$102,4,0)&lt;&gt;""),IF(WEEKDAY(DA195-VLOOKUP($P195&amp;" | "&amp;CR$6,'Job Master'!$F$12:$I$102,4,0))&lt;&gt;7,DA195-VLOOKUP($P195&amp;" | "&amp;CR$6,'Job Master'!$F$12:$I$102,4,0),DA195-VLOOKUP($P195&amp;" | "&amp;CR$6,'Job Master'!$F$12:$I$102,4,0)-1),""),"")</f>
        <v/>
      </c>
      <c r="CU195" s="73"/>
      <c r="CV195" s="123" t="str">
        <f t="shared" si="297"/>
        <v/>
      </c>
      <c r="CW195" s="123" t="str">
        <f t="shared" si="298"/>
        <v/>
      </c>
      <c r="CX195" s="97" t="str">
        <f t="shared" ca="1" si="299"/>
        <v/>
      </c>
      <c r="CY195" s="98" t="str">
        <f>IF(DA195&lt;&gt;"",VLOOKUP($P195&amp;" | "&amp;CY$6,'Job Master'!$F$12:$J$102,5,0),"")</f>
        <v/>
      </c>
      <c r="CZ195" s="19" t="str">
        <f>IF(DA195&lt;&gt;"",VLOOKUP($P195&amp;" | "&amp;CY$6,'Job Master'!$F$12:$J$102,3,0),"")</f>
        <v/>
      </c>
      <c r="DA195" s="19" t="str">
        <f>IFERROR(IF(AND(DH195&lt;&gt;"",VLOOKUP($P195&amp;" | "&amp;CY$6,'Job Master'!$F$12:$I$102,4,0)&lt;&gt;""),IF(WEEKDAY(DH195-VLOOKUP($P195&amp;" | "&amp;CY$6,'Job Master'!$F$12:$I$102,4,0))&lt;&gt;7,DH195-VLOOKUP($P195&amp;" | "&amp;CY$6,'Job Master'!$F$12:$I$102,4,0),DH195-VLOOKUP($P195&amp;" | "&amp;CY$6,'Job Master'!$F$12:$I$102,4,0)-1),""),"")</f>
        <v/>
      </c>
      <c r="DB195" s="73"/>
      <c r="DC195" s="123" t="str">
        <f t="shared" si="300"/>
        <v/>
      </c>
      <c r="DD195" s="123" t="str">
        <f t="shared" si="301"/>
        <v/>
      </c>
      <c r="DE195" s="97" t="str">
        <f t="shared" ca="1" si="302"/>
        <v/>
      </c>
      <c r="DF195" s="98" t="str">
        <f>IF(DH195&lt;&gt;"",VLOOKUP($P195&amp;" | "&amp;DF$6,'Job Master'!$F$12:$J$102,5,0),"")</f>
        <v/>
      </c>
      <c r="DG195" s="19" t="str">
        <f>IF(DH195&lt;&gt;"",VLOOKUP($P195&amp;" | "&amp;DF$6,'Job Master'!$F$12:$J$102,3,0),"")</f>
        <v/>
      </c>
      <c r="DH195" s="19" t="str">
        <f>IFERROR(IF(AND(DO195&lt;&gt;"",VLOOKUP($P195&amp;" | "&amp;DF$6,'Job Master'!$F$12:$I$102,4,0)&lt;&gt;""),IF(WEEKDAY(DO195-VLOOKUP($P195&amp;" | "&amp;DF$6,'Job Master'!$F$12:$I$102,4,0))&lt;&gt;7,DO195-VLOOKUP($P195&amp;" | "&amp;DF$6,'Job Master'!$F$12:$I$102,4,0),DO195-VLOOKUP($P195&amp;" | "&amp;DF$6,'Job Master'!$F$12:$I$102,4,0)-1),""),"")</f>
        <v/>
      </c>
      <c r="DI195" s="73"/>
      <c r="DJ195" s="123" t="str">
        <f t="shared" si="303"/>
        <v/>
      </c>
      <c r="DK195" s="123" t="str">
        <f t="shared" si="304"/>
        <v/>
      </c>
      <c r="DL195" s="97" t="str">
        <f t="shared" ca="1" si="305"/>
        <v/>
      </c>
      <c r="DM195" s="98" t="str">
        <f>IF(DO195&lt;&gt;"",VLOOKUP($P195&amp;" | "&amp;DM$6,'Job Master'!$F$12:$J$102,5,0),"")</f>
        <v/>
      </c>
      <c r="DN195" s="19" t="str">
        <f>IF(DO195&lt;&gt;"",VLOOKUP($P195&amp;" | "&amp;DM$6,'Job Master'!$F$12:$J$102,3,0),"")</f>
        <v/>
      </c>
      <c r="DO195" s="19" t="str">
        <f>IFERROR(IF(AND(DT195&lt;&gt;"",VLOOKUP($P195&amp;" | "&amp;DM$6,'Job Master'!$F$12:$I$102,4,0)&lt;&gt;""),IF(WEEKDAY(DT195-VLOOKUP($P195&amp;" | "&amp;DM$6,'Job Master'!$F$12:$I$102,4,0))&lt;&gt;7,DT195-VLOOKUP($P195&amp;" | "&amp;DM$6,'Job Master'!$F$12:$I$102,4,0),DT195-VLOOKUP($P195&amp;" | "&amp;DM$6,'Job Master'!$F$12:$I$102,4,0)-1),""),"")</f>
        <v/>
      </c>
      <c r="DP195" s="73"/>
      <c r="DQ195" s="123" t="str">
        <f t="shared" si="306"/>
        <v/>
      </c>
      <c r="DR195" s="123" t="str">
        <f t="shared" si="307"/>
        <v/>
      </c>
      <c r="DS195" s="97" t="str">
        <f t="shared" ca="1" si="308"/>
        <v/>
      </c>
      <c r="DT195" s="70" t="str">
        <f t="shared" si="309"/>
        <v/>
      </c>
      <c r="DU195" s="90"/>
      <c r="DV195" s="123" t="str">
        <f t="shared" si="310"/>
        <v/>
      </c>
      <c r="DW195" s="123" t="str">
        <f t="shared" si="311"/>
        <v/>
      </c>
      <c r="DX195" s="132" t="str">
        <f t="shared" ref="DX195" ca="1" si="380">IF(DT195&lt;&gt;"",IF(WEEKNUM(DT195)=WEEKNUM(TODAY()),"This Week",IF(WEEKNUM(DT195)=WEEKNUM(TODAY())+1,"Next Week",IF(WEEKNUM(DT195)=WEEKNUM(TODAY())-1,"Previous Week",""))),"")</f>
        <v/>
      </c>
      <c r="DY195" s="134" t="str">
        <f t="shared" si="313"/>
        <v/>
      </c>
      <c r="DZ195" s="95"/>
      <c r="EB195" s="8" t="str">
        <f t="shared" si="319"/>
        <v/>
      </c>
      <c r="EC195" s="8" t="str">
        <f>IF(O195&lt;&gt;"",VLOOKUP(O195,'Job Master'!$N$12:$O$18,2,0),"")</f>
        <v/>
      </c>
      <c r="ED195" s="8">
        <f t="shared" si="320"/>
        <v>19.5</v>
      </c>
      <c r="EE195" s="8">
        <f t="shared" si="321"/>
        <v>6</v>
      </c>
      <c r="EF195" s="8">
        <f t="shared" si="322"/>
        <v>-1090.5</v>
      </c>
      <c r="EG195" s="8" t="str">
        <f t="shared" si="323"/>
        <v/>
      </c>
      <c r="EH195" s="8" t="str">
        <f t="shared" si="324"/>
        <v/>
      </c>
    </row>
    <row r="196" spans="2:138" x14ac:dyDescent="0.3">
      <c r="B196" s="112"/>
      <c r="C196" s="27"/>
      <c r="D196" s="7" t="str">
        <f t="shared" si="261"/>
        <v/>
      </c>
      <c r="E196" s="25"/>
      <c r="F196" s="7" t="str">
        <f t="shared" si="261"/>
        <v/>
      </c>
      <c r="G196" s="25"/>
      <c r="H196" s="7" t="str">
        <f t="shared" si="261"/>
        <v/>
      </c>
      <c r="I196" s="25"/>
      <c r="J196" s="7" t="str">
        <f t="shared" si="261"/>
        <v/>
      </c>
      <c r="K196" s="25"/>
      <c r="L196" s="7" t="str">
        <f t="shared" si="262"/>
        <v/>
      </c>
      <c r="M196" s="25"/>
      <c r="N196" s="7" t="str">
        <f t="shared" si="263"/>
        <v/>
      </c>
      <c r="O196" s="81"/>
      <c r="P196" s="81" t="str">
        <f t="shared" si="264"/>
        <v/>
      </c>
      <c r="Q196" s="81"/>
      <c r="R196" s="7" t="str">
        <f t="shared" si="265"/>
        <v/>
      </c>
      <c r="S196" s="25"/>
      <c r="T196" s="7" t="str">
        <f t="shared" si="266"/>
        <v/>
      </c>
      <c r="U196" s="25"/>
      <c r="V196" s="7" t="str">
        <f t="shared" si="267"/>
        <v/>
      </c>
      <c r="W196" s="25"/>
      <c r="X196" s="7" t="str">
        <f t="shared" si="268"/>
        <v/>
      </c>
      <c r="Y196" s="18" t="str">
        <f t="shared" si="269"/>
        <v/>
      </c>
      <c r="Z196" s="7" t="str">
        <f t="shared" si="270"/>
        <v/>
      </c>
      <c r="AA196" s="18" t="str">
        <f t="shared" si="271"/>
        <v/>
      </c>
      <c r="AB196" s="19" t="str">
        <f t="shared" si="272"/>
        <v/>
      </c>
      <c r="AC196" s="26"/>
      <c r="AD196" s="26"/>
      <c r="AE196" s="25"/>
      <c r="AF196" s="26"/>
      <c r="AG196" s="25"/>
      <c r="AH196" s="25"/>
      <c r="AI196" s="18" t="str">
        <f t="shared" si="335"/>
        <v/>
      </c>
      <c r="AJ196" s="25"/>
      <c r="AK196" s="18" t="str">
        <f t="shared" si="336"/>
        <v/>
      </c>
      <c r="AL196" s="79"/>
      <c r="AM196" s="126" t="str">
        <f t="shared" si="337"/>
        <v/>
      </c>
      <c r="AN196" s="128" t="str">
        <f>IF(AP196&lt;&gt;"",VLOOKUP($P196&amp;" | "&amp;AN$6,'Job Master'!$F$12:$J$102,5,0),"")</f>
        <v/>
      </c>
      <c r="AO196" s="19" t="str">
        <f>IF(AP196&lt;&gt;"",VLOOKUP($P196&amp;" | "&amp;AN$6,'Job Master'!$F$12:$J$102,3,0),"")</f>
        <v/>
      </c>
      <c r="AP196" s="19" t="str">
        <f>IFERROR(IF(AND(AW196&lt;&gt;"",VLOOKUP($P196&amp;" | "&amp;AN$6,'Job Master'!$F$12:$I$102,4,0)&lt;&gt;""),IF(WEEKDAY(AW196-VLOOKUP($P196&amp;" | "&amp;AN$6,'Job Master'!$F$12:$I$102,4,0))&lt;&gt;7,AW196-VLOOKUP($P196&amp;" | "&amp;AN$6,'Job Master'!$F$12:$I$102,4,0),AW196-VLOOKUP($P196&amp;" | "&amp;AN$6,'Job Master'!$F$12:$I$102,4,0)-1),""),"")</f>
        <v/>
      </c>
      <c r="AQ196" s="73"/>
      <c r="AR196" s="123" t="str">
        <f t="shared" si="273"/>
        <v/>
      </c>
      <c r="AS196" s="123" t="str">
        <f t="shared" si="274"/>
        <v/>
      </c>
      <c r="AT196" s="97" t="str">
        <f t="shared" ca="1" si="275"/>
        <v/>
      </c>
      <c r="AU196" s="98" t="str">
        <f>IF(AW196&lt;&gt;"",VLOOKUP($P196&amp;" | "&amp;AU$6,'Job Master'!$F$12:$J$102,5,0),"")</f>
        <v/>
      </c>
      <c r="AV196" s="19" t="str">
        <f>IF(AW196&lt;&gt;"",VLOOKUP($P196&amp;" | "&amp;AU$6,'Job Master'!$F$12:$J$102,3,0),"")</f>
        <v/>
      </c>
      <c r="AW196" s="19" t="str">
        <f>IFERROR(IF(AND(BD196&lt;&gt;"",VLOOKUP($P196&amp;" | "&amp;AU$6,'Job Master'!$F$12:$I$102,4,0)&lt;&gt;""),IF(WEEKDAY(BD196-VLOOKUP($P196&amp;" | "&amp;AU$6,'Job Master'!$F$12:$I$102,4,0))&lt;&gt;7,BD196-VLOOKUP($P196&amp;" | "&amp;AU$6,'Job Master'!$F$12:$I$102,4,0),BD196-VLOOKUP($P196&amp;" | "&amp;AU$6,'Job Master'!$F$12:$I$102,4,0)-1),""),"")</f>
        <v/>
      </c>
      <c r="AX196" s="73"/>
      <c r="AY196" s="123" t="str">
        <f t="shared" si="276"/>
        <v/>
      </c>
      <c r="AZ196" s="123" t="str">
        <f t="shared" si="277"/>
        <v/>
      </c>
      <c r="BA196" s="97" t="str">
        <f t="shared" ca="1" si="278"/>
        <v/>
      </c>
      <c r="BB196" s="98" t="str">
        <f>IF(BD196&lt;&gt;"",VLOOKUP($P196&amp;" | "&amp;BB$6,'Job Master'!$F$12:$J$102,5,0),"")</f>
        <v/>
      </c>
      <c r="BC196" s="19" t="str">
        <f>IF(BD196&lt;&gt;"",VLOOKUP($P196&amp;" | "&amp;BB$6,'Job Master'!$F$12:$J$102,3,0),"")</f>
        <v/>
      </c>
      <c r="BD196" s="19" t="str">
        <f>IFERROR(IF(AND(BK196&lt;&gt;"",VLOOKUP($P196&amp;" | "&amp;BB$6,'Job Master'!$F$12:$I$102,4,0)&lt;&gt;""),IF(WEEKDAY(BK196-VLOOKUP($P196&amp;" | "&amp;BB$6,'Job Master'!$F$12:$I$102,4,0))&lt;&gt;7,BK196-VLOOKUP($P196&amp;" | "&amp;BB$6,'Job Master'!$F$12:$I$102,4,0),BK196-VLOOKUP($P196&amp;" | "&amp;BB$6,'Job Master'!$F$12:$I$102,4,0)-1),""),"")</f>
        <v/>
      </c>
      <c r="BE196" s="73"/>
      <c r="BF196" s="123" t="str">
        <f t="shared" si="279"/>
        <v/>
      </c>
      <c r="BG196" s="123" t="str">
        <f t="shared" si="280"/>
        <v/>
      </c>
      <c r="BH196" s="97" t="str">
        <f t="shared" ca="1" si="281"/>
        <v/>
      </c>
      <c r="BI196" s="98" t="str">
        <f>IF(BK196&lt;&gt;"",VLOOKUP($P196&amp;" | "&amp;BI$6,'Job Master'!$F$12:$J$102,5,0),"")</f>
        <v/>
      </c>
      <c r="BJ196" s="19" t="str">
        <f>IF(BK196&lt;&gt;"",VLOOKUP($P196&amp;" | "&amp;BI$6,'Job Master'!$F$12:$J$102,3,0),"")</f>
        <v/>
      </c>
      <c r="BK196" s="19" t="str">
        <f>IFERROR(IF(AND(BR196&lt;&gt;"",VLOOKUP($P196&amp;" | "&amp;BI$6,'Job Master'!$F$12:$I$102,4,0)&lt;&gt;""),IF(WEEKDAY(BR196-VLOOKUP($P196&amp;" | "&amp;BI$6,'Job Master'!$F$12:$I$102,4,0))&lt;&gt;7,BR196-VLOOKUP($P196&amp;" | "&amp;BI$6,'Job Master'!$F$12:$I$102,4,0),BR196-VLOOKUP($P196&amp;" | "&amp;BI$6,'Job Master'!$F$12:$I$102,4,0)-1),""),"")</f>
        <v/>
      </c>
      <c r="BL196" s="73"/>
      <c r="BM196" s="123" t="str">
        <f t="shared" si="282"/>
        <v/>
      </c>
      <c r="BN196" s="123" t="str">
        <f t="shared" si="283"/>
        <v/>
      </c>
      <c r="BO196" s="97" t="str">
        <f t="shared" ca="1" si="284"/>
        <v/>
      </c>
      <c r="BP196" s="98" t="str">
        <f>IF(BR196&lt;&gt;"",VLOOKUP($P196&amp;" | "&amp;BP$6,'Job Master'!$F$12:$J$102,5,0),"")</f>
        <v/>
      </c>
      <c r="BQ196" s="19" t="str">
        <f>IF(BR196&lt;&gt;"",VLOOKUP($P196&amp;" | "&amp;BP$6,'Job Master'!$F$12:$J$102,3,0),"")</f>
        <v/>
      </c>
      <c r="BR196" s="19" t="str">
        <f>IFERROR(IF(AND(BY196&lt;&gt;"",VLOOKUP($P196&amp;" | "&amp;BP$6,'Job Master'!$F$12:$I$102,4,0)&lt;&gt;""),IF(WEEKDAY(BY196-VLOOKUP($P196&amp;" | "&amp;BP$6,'Job Master'!$F$12:$I$102,4,0))&lt;&gt;7,BY196-VLOOKUP($P196&amp;" | "&amp;BP$6,'Job Master'!$F$12:$I$102,4,0),BY196-VLOOKUP($P196&amp;" | "&amp;BP$6,'Job Master'!$F$12:$I$102,4,0)-1),""),"")</f>
        <v/>
      </c>
      <c r="BS196" s="73"/>
      <c r="BT196" s="123" t="str">
        <f t="shared" si="285"/>
        <v/>
      </c>
      <c r="BU196" s="123" t="str">
        <f t="shared" si="286"/>
        <v/>
      </c>
      <c r="BV196" s="97" t="str">
        <f t="shared" ca="1" si="287"/>
        <v/>
      </c>
      <c r="BW196" s="98" t="str">
        <f>IF(BY196&lt;&gt;"",VLOOKUP($P196&amp;" | "&amp;BW$6,'Job Master'!$F$12:$J$102,5,0),"")</f>
        <v/>
      </c>
      <c r="BX196" s="19" t="str">
        <f>IF(BY196&lt;&gt;"",VLOOKUP($P196&amp;" | "&amp;BW$6,'Job Master'!$F$12:$J$102,3,0),"")</f>
        <v/>
      </c>
      <c r="BY196" s="19" t="str">
        <f>IFERROR(IF(AND(CF196&lt;&gt;"",VLOOKUP($P196&amp;" | "&amp;BW$6,'Job Master'!$F$12:$I$102,4,0)&lt;&gt;""),IF(WEEKDAY(CF196-VLOOKUP($P196&amp;" | "&amp;BW$6,'Job Master'!$F$12:$I$102,4,0))&lt;&gt;7,CF196-VLOOKUP($P196&amp;" | "&amp;BW$6,'Job Master'!$F$12:$I$102,4,0),CF196-VLOOKUP($P196&amp;" | "&amp;BW$6,'Job Master'!$F$12:$I$102,4,0)-1),""),"")</f>
        <v/>
      </c>
      <c r="BZ196" s="73"/>
      <c r="CA196" s="123" t="str">
        <f t="shared" si="288"/>
        <v/>
      </c>
      <c r="CB196" s="123" t="str">
        <f t="shared" si="289"/>
        <v/>
      </c>
      <c r="CC196" s="97" t="str">
        <f t="shared" ca="1" si="290"/>
        <v/>
      </c>
      <c r="CD196" s="98" t="str">
        <f>IF(CF196&lt;&gt;"",VLOOKUP($P196&amp;" | "&amp;CD$6,'Job Master'!$F$12:$J$102,5,0),"")</f>
        <v/>
      </c>
      <c r="CE196" s="19" t="str">
        <f>IF(CF196&lt;&gt;"",VLOOKUP($P196&amp;" | "&amp;CD$6,'Job Master'!$F$12:$J$102,3,0),"")</f>
        <v/>
      </c>
      <c r="CF196" s="19" t="str">
        <f>IFERROR(IF(AND(CM196&lt;&gt;"",VLOOKUP($P196&amp;" | "&amp;CD$6,'Job Master'!$F$12:$I$102,4,0)&lt;&gt;""),IF(WEEKDAY(CM196-VLOOKUP($P196&amp;" | "&amp;CD$6,'Job Master'!$F$12:$I$102,4,0))&lt;&gt;7,CM196-VLOOKUP($P196&amp;" | "&amp;CD$6,'Job Master'!$F$12:$I$102,4,0),CM196-VLOOKUP($P196&amp;" | "&amp;CD$6,'Job Master'!$F$12:$I$102,4,0)-1),""),"")</f>
        <v/>
      </c>
      <c r="CG196" s="73"/>
      <c r="CH196" s="123" t="str">
        <f t="shared" si="291"/>
        <v/>
      </c>
      <c r="CI196" s="123" t="str">
        <f t="shared" si="292"/>
        <v/>
      </c>
      <c r="CJ196" s="97" t="str">
        <f t="shared" ca="1" si="293"/>
        <v/>
      </c>
      <c r="CK196" s="98" t="str">
        <f>IF(CM196&lt;&gt;"",VLOOKUP($P196&amp;" | "&amp;CK$6,'Job Master'!$F$12:$J$102,5,0),"")</f>
        <v/>
      </c>
      <c r="CL196" s="19" t="str">
        <f>IF(CM196&lt;&gt;"",VLOOKUP($P196&amp;" | "&amp;CK$6,'Job Master'!$F$12:$J$102,3,0),"")</f>
        <v/>
      </c>
      <c r="CM196" s="19" t="str">
        <f>IFERROR(IF(AND(CT196&lt;&gt;"",VLOOKUP($P196&amp;" | "&amp;CK$6,'Job Master'!$F$12:$I$102,4,0)&lt;&gt;""),IF(WEEKDAY(CT196-VLOOKUP($P196&amp;" | "&amp;CK$6,'Job Master'!$F$12:$I$102,4,0))&lt;&gt;7,CT196-VLOOKUP($P196&amp;" | "&amp;CK$6,'Job Master'!$F$12:$I$102,4,0),CT196-VLOOKUP($P196&amp;" | "&amp;CK$6,'Job Master'!$F$12:$I$102,4,0)-1),""),"")</f>
        <v/>
      </c>
      <c r="CN196" s="73"/>
      <c r="CO196" s="123" t="str">
        <f t="shared" si="294"/>
        <v/>
      </c>
      <c r="CP196" s="123" t="str">
        <f t="shared" si="295"/>
        <v/>
      </c>
      <c r="CQ196" s="97" t="str">
        <f t="shared" ca="1" si="296"/>
        <v/>
      </c>
      <c r="CR196" s="98" t="str">
        <f>IF(CT196&lt;&gt;"",VLOOKUP($P196&amp;" | "&amp;CR$6,'Job Master'!$F$12:$J$102,5,0),"")</f>
        <v/>
      </c>
      <c r="CS196" s="19" t="str">
        <f>IF(CT196&lt;&gt;"",VLOOKUP($P196&amp;" | "&amp;CR$6,'Job Master'!$F$12:$J$102,3,0),"")</f>
        <v/>
      </c>
      <c r="CT196" s="19" t="str">
        <f>IFERROR(IF(AND(DA196&lt;&gt;"",VLOOKUP($P196&amp;" | "&amp;CR$6,'Job Master'!$F$12:$I$102,4,0)&lt;&gt;""),IF(WEEKDAY(DA196-VLOOKUP($P196&amp;" | "&amp;CR$6,'Job Master'!$F$12:$I$102,4,0))&lt;&gt;7,DA196-VLOOKUP($P196&amp;" | "&amp;CR$6,'Job Master'!$F$12:$I$102,4,0),DA196-VLOOKUP($P196&amp;" | "&amp;CR$6,'Job Master'!$F$12:$I$102,4,0)-1),""),"")</f>
        <v/>
      </c>
      <c r="CU196" s="73"/>
      <c r="CV196" s="123" t="str">
        <f t="shared" si="297"/>
        <v/>
      </c>
      <c r="CW196" s="123" t="str">
        <f t="shared" si="298"/>
        <v/>
      </c>
      <c r="CX196" s="97" t="str">
        <f t="shared" ca="1" si="299"/>
        <v/>
      </c>
      <c r="CY196" s="98" t="str">
        <f>IF(DA196&lt;&gt;"",VLOOKUP($P196&amp;" | "&amp;CY$6,'Job Master'!$F$12:$J$102,5,0),"")</f>
        <v/>
      </c>
      <c r="CZ196" s="19" t="str">
        <f>IF(DA196&lt;&gt;"",VLOOKUP($P196&amp;" | "&amp;CY$6,'Job Master'!$F$12:$J$102,3,0),"")</f>
        <v/>
      </c>
      <c r="DA196" s="19" t="str">
        <f>IFERROR(IF(AND(DH196&lt;&gt;"",VLOOKUP($P196&amp;" | "&amp;CY$6,'Job Master'!$F$12:$I$102,4,0)&lt;&gt;""),IF(WEEKDAY(DH196-VLOOKUP($P196&amp;" | "&amp;CY$6,'Job Master'!$F$12:$I$102,4,0))&lt;&gt;7,DH196-VLOOKUP($P196&amp;" | "&amp;CY$6,'Job Master'!$F$12:$I$102,4,0),DH196-VLOOKUP($P196&amp;" | "&amp;CY$6,'Job Master'!$F$12:$I$102,4,0)-1),""),"")</f>
        <v/>
      </c>
      <c r="DB196" s="73"/>
      <c r="DC196" s="123" t="str">
        <f t="shared" si="300"/>
        <v/>
      </c>
      <c r="DD196" s="123" t="str">
        <f t="shared" si="301"/>
        <v/>
      </c>
      <c r="DE196" s="97" t="str">
        <f t="shared" ca="1" si="302"/>
        <v/>
      </c>
      <c r="DF196" s="98" t="str">
        <f>IF(DH196&lt;&gt;"",VLOOKUP($P196&amp;" | "&amp;DF$6,'Job Master'!$F$12:$J$102,5,0),"")</f>
        <v/>
      </c>
      <c r="DG196" s="19" t="str">
        <f>IF(DH196&lt;&gt;"",VLOOKUP($P196&amp;" | "&amp;DF$6,'Job Master'!$F$12:$J$102,3,0),"")</f>
        <v/>
      </c>
      <c r="DH196" s="19" t="str">
        <f>IFERROR(IF(AND(DO196&lt;&gt;"",VLOOKUP($P196&amp;" | "&amp;DF$6,'Job Master'!$F$12:$I$102,4,0)&lt;&gt;""),IF(WEEKDAY(DO196-VLOOKUP($P196&amp;" | "&amp;DF$6,'Job Master'!$F$12:$I$102,4,0))&lt;&gt;7,DO196-VLOOKUP($P196&amp;" | "&amp;DF$6,'Job Master'!$F$12:$I$102,4,0),DO196-VLOOKUP($P196&amp;" | "&amp;DF$6,'Job Master'!$F$12:$I$102,4,0)-1),""),"")</f>
        <v/>
      </c>
      <c r="DI196" s="73"/>
      <c r="DJ196" s="123" t="str">
        <f t="shared" si="303"/>
        <v/>
      </c>
      <c r="DK196" s="123" t="str">
        <f t="shared" si="304"/>
        <v/>
      </c>
      <c r="DL196" s="97" t="str">
        <f t="shared" ca="1" si="305"/>
        <v/>
      </c>
      <c r="DM196" s="98" t="str">
        <f>IF(DO196&lt;&gt;"",VLOOKUP($P196&amp;" | "&amp;DM$6,'Job Master'!$F$12:$J$102,5,0),"")</f>
        <v/>
      </c>
      <c r="DN196" s="19" t="str">
        <f>IF(DO196&lt;&gt;"",VLOOKUP($P196&amp;" | "&amp;DM$6,'Job Master'!$F$12:$J$102,3,0),"")</f>
        <v/>
      </c>
      <c r="DO196" s="19" t="str">
        <f>IFERROR(IF(AND(DT196&lt;&gt;"",VLOOKUP($P196&amp;" | "&amp;DM$6,'Job Master'!$F$12:$I$102,4,0)&lt;&gt;""),IF(WEEKDAY(DT196-VLOOKUP($P196&amp;" | "&amp;DM$6,'Job Master'!$F$12:$I$102,4,0))&lt;&gt;7,DT196-VLOOKUP($P196&amp;" | "&amp;DM$6,'Job Master'!$F$12:$I$102,4,0),DT196-VLOOKUP($P196&amp;" | "&amp;DM$6,'Job Master'!$F$12:$I$102,4,0)-1),""),"")</f>
        <v/>
      </c>
      <c r="DP196" s="73"/>
      <c r="DQ196" s="123" t="str">
        <f t="shared" si="306"/>
        <v/>
      </c>
      <c r="DR196" s="123" t="str">
        <f t="shared" si="307"/>
        <v/>
      </c>
      <c r="DS196" s="97" t="str">
        <f t="shared" ca="1" si="308"/>
        <v/>
      </c>
      <c r="DT196" s="70" t="str">
        <f t="shared" si="309"/>
        <v/>
      </c>
      <c r="DU196" s="90"/>
      <c r="DV196" s="123" t="str">
        <f t="shared" si="310"/>
        <v/>
      </c>
      <c r="DW196" s="123" t="str">
        <f t="shared" si="311"/>
        <v/>
      </c>
      <c r="DX196" s="132" t="str">
        <f t="shared" ref="DX196" ca="1" si="381">IF(DT196&lt;&gt;"",IF(WEEKNUM(DT196)=WEEKNUM(TODAY()),"This Week",IF(WEEKNUM(DT196)=WEEKNUM(TODAY())+1,"Next Week",IF(WEEKNUM(DT196)=WEEKNUM(TODAY())-1,"Previous Week",""))),"")</f>
        <v/>
      </c>
      <c r="DY196" s="134" t="str">
        <f t="shared" si="313"/>
        <v/>
      </c>
      <c r="DZ196" s="95"/>
      <c r="EB196" s="8" t="str">
        <f t="shared" si="319"/>
        <v/>
      </c>
      <c r="EC196" s="8" t="str">
        <f>IF(O196&lt;&gt;"",VLOOKUP(O196,'Job Master'!$N$12:$O$18,2,0),"")</f>
        <v/>
      </c>
      <c r="ED196" s="8">
        <f t="shared" si="320"/>
        <v>19.5</v>
      </c>
      <c r="EE196" s="8">
        <f t="shared" si="321"/>
        <v>6</v>
      </c>
      <c r="EF196" s="8">
        <f t="shared" si="322"/>
        <v>-1096.5</v>
      </c>
      <c r="EG196" s="8" t="str">
        <f t="shared" si="323"/>
        <v/>
      </c>
      <c r="EH196" s="8" t="str">
        <f t="shared" si="324"/>
        <v/>
      </c>
    </row>
    <row r="197" spans="2:138" x14ac:dyDescent="0.3">
      <c r="B197" s="112"/>
      <c r="C197" s="27"/>
      <c r="D197" s="7" t="str">
        <f t="shared" si="261"/>
        <v/>
      </c>
      <c r="E197" s="25"/>
      <c r="F197" s="7" t="str">
        <f t="shared" si="261"/>
        <v/>
      </c>
      <c r="G197" s="25"/>
      <c r="H197" s="7" t="str">
        <f t="shared" si="261"/>
        <v/>
      </c>
      <c r="I197" s="25"/>
      <c r="J197" s="7" t="str">
        <f t="shared" si="261"/>
        <v/>
      </c>
      <c r="K197" s="25"/>
      <c r="L197" s="7" t="str">
        <f t="shared" si="262"/>
        <v/>
      </c>
      <c r="M197" s="25"/>
      <c r="N197" s="7" t="str">
        <f t="shared" si="263"/>
        <v/>
      </c>
      <c r="O197" s="81"/>
      <c r="P197" s="81" t="str">
        <f t="shared" si="264"/>
        <v/>
      </c>
      <c r="Q197" s="81"/>
      <c r="R197" s="7" t="str">
        <f t="shared" si="265"/>
        <v/>
      </c>
      <c r="S197" s="25"/>
      <c r="T197" s="7" t="str">
        <f t="shared" si="266"/>
        <v/>
      </c>
      <c r="U197" s="25"/>
      <c r="V197" s="7" t="str">
        <f t="shared" si="267"/>
        <v/>
      </c>
      <c r="W197" s="25"/>
      <c r="X197" s="7" t="str">
        <f t="shared" si="268"/>
        <v/>
      </c>
      <c r="Y197" s="18" t="str">
        <f t="shared" si="269"/>
        <v/>
      </c>
      <c r="Z197" s="7" t="str">
        <f t="shared" si="270"/>
        <v/>
      </c>
      <c r="AA197" s="18" t="str">
        <f t="shared" si="271"/>
        <v/>
      </c>
      <c r="AB197" s="19" t="str">
        <f t="shared" si="272"/>
        <v/>
      </c>
      <c r="AC197" s="26"/>
      <c r="AD197" s="26"/>
      <c r="AE197" s="25"/>
      <c r="AF197" s="26"/>
      <c r="AG197" s="25"/>
      <c r="AH197" s="25"/>
      <c r="AI197" s="18" t="str">
        <f t="shared" si="335"/>
        <v/>
      </c>
      <c r="AJ197" s="25"/>
      <c r="AK197" s="18" t="str">
        <f t="shared" si="336"/>
        <v/>
      </c>
      <c r="AL197" s="79"/>
      <c r="AM197" s="126" t="str">
        <f t="shared" si="337"/>
        <v/>
      </c>
      <c r="AN197" s="128" t="str">
        <f>IF(AP197&lt;&gt;"",VLOOKUP($P197&amp;" | "&amp;AN$6,'Job Master'!$F$12:$J$102,5,0),"")</f>
        <v/>
      </c>
      <c r="AO197" s="19" t="str">
        <f>IF(AP197&lt;&gt;"",VLOOKUP($P197&amp;" | "&amp;AN$6,'Job Master'!$F$12:$J$102,3,0),"")</f>
        <v/>
      </c>
      <c r="AP197" s="19" t="str">
        <f>IFERROR(IF(AND(AW197&lt;&gt;"",VLOOKUP($P197&amp;" | "&amp;AN$6,'Job Master'!$F$12:$I$102,4,0)&lt;&gt;""),IF(WEEKDAY(AW197-VLOOKUP($P197&amp;" | "&amp;AN$6,'Job Master'!$F$12:$I$102,4,0))&lt;&gt;7,AW197-VLOOKUP($P197&amp;" | "&amp;AN$6,'Job Master'!$F$12:$I$102,4,0),AW197-VLOOKUP($P197&amp;" | "&amp;AN$6,'Job Master'!$F$12:$I$102,4,0)-1),""),"")</f>
        <v/>
      </c>
      <c r="AQ197" s="73"/>
      <c r="AR197" s="123" t="str">
        <f t="shared" si="273"/>
        <v/>
      </c>
      <c r="AS197" s="123" t="str">
        <f t="shared" si="274"/>
        <v/>
      </c>
      <c r="AT197" s="97" t="str">
        <f t="shared" ca="1" si="275"/>
        <v/>
      </c>
      <c r="AU197" s="98" t="str">
        <f>IF(AW197&lt;&gt;"",VLOOKUP($P197&amp;" | "&amp;AU$6,'Job Master'!$F$12:$J$102,5,0),"")</f>
        <v/>
      </c>
      <c r="AV197" s="19" t="str">
        <f>IF(AW197&lt;&gt;"",VLOOKUP($P197&amp;" | "&amp;AU$6,'Job Master'!$F$12:$J$102,3,0),"")</f>
        <v/>
      </c>
      <c r="AW197" s="19" t="str">
        <f>IFERROR(IF(AND(BD197&lt;&gt;"",VLOOKUP($P197&amp;" | "&amp;AU$6,'Job Master'!$F$12:$I$102,4,0)&lt;&gt;""),IF(WEEKDAY(BD197-VLOOKUP($P197&amp;" | "&amp;AU$6,'Job Master'!$F$12:$I$102,4,0))&lt;&gt;7,BD197-VLOOKUP($P197&amp;" | "&amp;AU$6,'Job Master'!$F$12:$I$102,4,0),BD197-VLOOKUP($P197&amp;" | "&amp;AU$6,'Job Master'!$F$12:$I$102,4,0)-1),""),"")</f>
        <v/>
      </c>
      <c r="AX197" s="73"/>
      <c r="AY197" s="123" t="str">
        <f t="shared" si="276"/>
        <v/>
      </c>
      <c r="AZ197" s="123" t="str">
        <f t="shared" si="277"/>
        <v/>
      </c>
      <c r="BA197" s="97" t="str">
        <f t="shared" ca="1" si="278"/>
        <v/>
      </c>
      <c r="BB197" s="98" t="str">
        <f>IF(BD197&lt;&gt;"",VLOOKUP($P197&amp;" | "&amp;BB$6,'Job Master'!$F$12:$J$102,5,0),"")</f>
        <v/>
      </c>
      <c r="BC197" s="19" t="str">
        <f>IF(BD197&lt;&gt;"",VLOOKUP($P197&amp;" | "&amp;BB$6,'Job Master'!$F$12:$J$102,3,0),"")</f>
        <v/>
      </c>
      <c r="BD197" s="19" t="str">
        <f>IFERROR(IF(AND(BK197&lt;&gt;"",VLOOKUP($P197&amp;" | "&amp;BB$6,'Job Master'!$F$12:$I$102,4,0)&lt;&gt;""),IF(WEEKDAY(BK197-VLOOKUP($P197&amp;" | "&amp;BB$6,'Job Master'!$F$12:$I$102,4,0))&lt;&gt;7,BK197-VLOOKUP($P197&amp;" | "&amp;BB$6,'Job Master'!$F$12:$I$102,4,0),BK197-VLOOKUP($P197&amp;" | "&amp;BB$6,'Job Master'!$F$12:$I$102,4,0)-1),""),"")</f>
        <v/>
      </c>
      <c r="BE197" s="73"/>
      <c r="BF197" s="123" t="str">
        <f t="shared" si="279"/>
        <v/>
      </c>
      <c r="BG197" s="123" t="str">
        <f t="shared" si="280"/>
        <v/>
      </c>
      <c r="BH197" s="97" t="str">
        <f t="shared" ca="1" si="281"/>
        <v/>
      </c>
      <c r="BI197" s="98" t="str">
        <f>IF(BK197&lt;&gt;"",VLOOKUP($P197&amp;" | "&amp;BI$6,'Job Master'!$F$12:$J$102,5,0),"")</f>
        <v/>
      </c>
      <c r="BJ197" s="19" t="str">
        <f>IF(BK197&lt;&gt;"",VLOOKUP($P197&amp;" | "&amp;BI$6,'Job Master'!$F$12:$J$102,3,0),"")</f>
        <v/>
      </c>
      <c r="BK197" s="19" t="str">
        <f>IFERROR(IF(AND(BR197&lt;&gt;"",VLOOKUP($P197&amp;" | "&amp;BI$6,'Job Master'!$F$12:$I$102,4,0)&lt;&gt;""),IF(WEEKDAY(BR197-VLOOKUP($P197&amp;" | "&amp;BI$6,'Job Master'!$F$12:$I$102,4,0))&lt;&gt;7,BR197-VLOOKUP($P197&amp;" | "&amp;BI$6,'Job Master'!$F$12:$I$102,4,0),BR197-VLOOKUP($P197&amp;" | "&amp;BI$6,'Job Master'!$F$12:$I$102,4,0)-1),""),"")</f>
        <v/>
      </c>
      <c r="BL197" s="73"/>
      <c r="BM197" s="123" t="str">
        <f t="shared" si="282"/>
        <v/>
      </c>
      <c r="BN197" s="123" t="str">
        <f t="shared" si="283"/>
        <v/>
      </c>
      <c r="BO197" s="97" t="str">
        <f t="shared" ca="1" si="284"/>
        <v/>
      </c>
      <c r="BP197" s="98" t="str">
        <f>IF(BR197&lt;&gt;"",VLOOKUP($P197&amp;" | "&amp;BP$6,'Job Master'!$F$12:$J$102,5,0),"")</f>
        <v/>
      </c>
      <c r="BQ197" s="19" t="str">
        <f>IF(BR197&lt;&gt;"",VLOOKUP($P197&amp;" | "&amp;BP$6,'Job Master'!$F$12:$J$102,3,0),"")</f>
        <v/>
      </c>
      <c r="BR197" s="19" t="str">
        <f>IFERROR(IF(AND(BY197&lt;&gt;"",VLOOKUP($P197&amp;" | "&amp;BP$6,'Job Master'!$F$12:$I$102,4,0)&lt;&gt;""),IF(WEEKDAY(BY197-VLOOKUP($P197&amp;" | "&amp;BP$6,'Job Master'!$F$12:$I$102,4,0))&lt;&gt;7,BY197-VLOOKUP($P197&amp;" | "&amp;BP$6,'Job Master'!$F$12:$I$102,4,0),BY197-VLOOKUP($P197&amp;" | "&amp;BP$6,'Job Master'!$F$12:$I$102,4,0)-1),""),"")</f>
        <v/>
      </c>
      <c r="BS197" s="73"/>
      <c r="BT197" s="123" t="str">
        <f t="shared" si="285"/>
        <v/>
      </c>
      <c r="BU197" s="123" t="str">
        <f t="shared" si="286"/>
        <v/>
      </c>
      <c r="BV197" s="97" t="str">
        <f t="shared" ca="1" si="287"/>
        <v/>
      </c>
      <c r="BW197" s="98" t="str">
        <f>IF(BY197&lt;&gt;"",VLOOKUP($P197&amp;" | "&amp;BW$6,'Job Master'!$F$12:$J$102,5,0),"")</f>
        <v/>
      </c>
      <c r="BX197" s="19" t="str">
        <f>IF(BY197&lt;&gt;"",VLOOKUP($P197&amp;" | "&amp;BW$6,'Job Master'!$F$12:$J$102,3,0),"")</f>
        <v/>
      </c>
      <c r="BY197" s="19" t="str">
        <f>IFERROR(IF(AND(CF197&lt;&gt;"",VLOOKUP($P197&amp;" | "&amp;BW$6,'Job Master'!$F$12:$I$102,4,0)&lt;&gt;""),IF(WEEKDAY(CF197-VLOOKUP($P197&amp;" | "&amp;BW$6,'Job Master'!$F$12:$I$102,4,0))&lt;&gt;7,CF197-VLOOKUP($P197&amp;" | "&amp;BW$6,'Job Master'!$F$12:$I$102,4,0),CF197-VLOOKUP($P197&amp;" | "&amp;BW$6,'Job Master'!$F$12:$I$102,4,0)-1),""),"")</f>
        <v/>
      </c>
      <c r="BZ197" s="73"/>
      <c r="CA197" s="123" t="str">
        <f t="shared" si="288"/>
        <v/>
      </c>
      <c r="CB197" s="123" t="str">
        <f t="shared" si="289"/>
        <v/>
      </c>
      <c r="CC197" s="97" t="str">
        <f t="shared" ca="1" si="290"/>
        <v/>
      </c>
      <c r="CD197" s="98" t="str">
        <f>IF(CF197&lt;&gt;"",VLOOKUP($P197&amp;" | "&amp;CD$6,'Job Master'!$F$12:$J$102,5,0),"")</f>
        <v/>
      </c>
      <c r="CE197" s="19" t="str">
        <f>IF(CF197&lt;&gt;"",VLOOKUP($P197&amp;" | "&amp;CD$6,'Job Master'!$F$12:$J$102,3,0),"")</f>
        <v/>
      </c>
      <c r="CF197" s="19" t="str">
        <f>IFERROR(IF(AND(CM197&lt;&gt;"",VLOOKUP($P197&amp;" | "&amp;CD$6,'Job Master'!$F$12:$I$102,4,0)&lt;&gt;""),IF(WEEKDAY(CM197-VLOOKUP($P197&amp;" | "&amp;CD$6,'Job Master'!$F$12:$I$102,4,0))&lt;&gt;7,CM197-VLOOKUP($P197&amp;" | "&amp;CD$6,'Job Master'!$F$12:$I$102,4,0),CM197-VLOOKUP($P197&amp;" | "&amp;CD$6,'Job Master'!$F$12:$I$102,4,0)-1),""),"")</f>
        <v/>
      </c>
      <c r="CG197" s="73"/>
      <c r="CH197" s="123" t="str">
        <f t="shared" si="291"/>
        <v/>
      </c>
      <c r="CI197" s="123" t="str">
        <f t="shared" si="292"/>
        <v/>
      </c>
      <c r="CJ197" s="97" t="str">
        <f t="shared" ca="1" si="293"/>
        <v/>
      </c>
      <c r="CK197" s="98" t="str">
        <f>IF(CM197&lt;&gt;"",VLOOKUP($P197&amp;" | "&amp;CK$6,'Job Master'!$F$12:$J$102,5,0),"")</f>
        <v/>
      </c>
      <c r="CL197" s="19" t="str">
        <f>IF(CM197&lt;&gt;"",VLOOKUP($P197&amp;" | "&amp;CK$6,'Job Master'!$F$12:$J$102,3,0),"")</f>
        <v/>
      </c>
      <c r="CM197" s="19" t="str">
        <f>IFERROR(IF(AND(CT197&lt;&gt;"",VLOOKUP($P197&amp;" | "&amp;CK$6,'Job Master'!$F$12:$I$102,4,0)&lt;&gt;""),IF(WEEKDAY(CT197-VLOOKUP($P197&amp;" | "&amp;CK$6,'Job Master'!$F$12:$I$102,4,0))&lt;&gt;7,CT197-VLOOKUP($P197&amp;" | "&amp;CK$6,'Job Master'!$F$12:$I$102,4,0),CT197-VLOOKUP($P197&amp;" | "&amp;CK$6,'Job Master'!$F$12:$I$102,4,0)-1),""),"")</f>
        <v/>
      </c>
      <c r="CN197" s="73"/>
      <c r="CO197" s="123" t="str">
        <f t="shared" si="294"/>
        <v/>
      </c>
      <c r="CP197" s="123" t="str">
        <f t="shared" si="295"/>
        <v/>
      </c>
      <c r="CQ197" s="97" t="str">
        <f t="shared" ca="1" si="296"/>
        <v/>
      </c>
      <c r="CR197" s="98" t="str">
        <f>IF(CT197&lt;&gt;"",VLOOKUP($P197&amp;" | "&amp;CR$6,'Job Master'!$F$12:$J$102,5,0),"")</f>
        <v/>
      </c>
      <c r="CS197" s="19" t="str">
        <f>IF(CT197&lt;&gt;"",VLOOKUP($P197&amp;" | "&amp;CR$6,'Job Master'!$F$12:$J$102,3,0),"")</f>
        <v/>
      </c>
      <c r="CT197" s="19" t="str">
        <f>IFERROR(IF(AND(DA197&lt;&gt;"",VLOOKUP($P197&amp;" | "&amp;CR$6,'Job Master'!$F$12:$I$102,4,0)&lt;&gt;""),IF(WEEKDAY(DA197-VLOOKUP($P197&amp;" | "&amp;CR$6,'Job Master'!$F$12:$I$102,4,0))&lt;&gt;7,DA197-VLOOKUP($P197&amp;" | "&amp;CR$6,'Job Master'!$F$12:$I$102,4,0),DA197-VLOOKUP($P197&amp;" | "&amp;CR$6,'Job Master'!$F$12:$I$102,4,0)-1),""),"")</f>
        <v/>
      </c>
      <c r="CU197" s="73"/>
      <c r="CV197" s="123" t="str">
        <f t="shared" si="297"/>
        <v/>
      </c>
      <c r="CW197" s="123" t="str">
        <f t="shared" si="298"/>
        <v/>
      </c>
      <c r="CX197" s="97" t="str">
        <f t="shared" ca="1" si="299"/>
        <v/>
      </c>
      <c r="CY197" s="98" t="str">
        <f>IF(DA197&lt;&gt;"",VLOOKUP($P197&amp;" | "&amp;CY$6,'Job Master'!$F$12:$J$102,5,0),"")</f>
        <v/>
      </c>
      <c r="CZ197" s="19" t="str">
        <f>IF(DA197&lt;&gt;"",VLOOKUP($P197&amp;" | "&amp;CY$6,'Job Master'!$F$12:$J$102,3,0),"")</f>
        <v/>
      </c>
      <c r="DA197" s="19" t="str">
        <f>IFERROR(IF(AND(DH197&lt;&gt;"",VLOOKUP($P197&amp;" | "&amp;CY$6,'Job Master'!$F$12:$I$102,4,0)&lt;&gt;""),IF(WEEKDAY(DH197-VLOOKUP($P197&amp;" | "&amp;CY$6,'Job Master'!$F$12:$I$102,4,0))&lt;&gt;7,DH197-VLOOKUP($P197&amp;" | "&amp;CY$6,'Job Master'!$F$12:$I$102,4,0),DH197-VLOOKUP($P197&amp;" | "&amp;CY$6,'Job Master'!$F$12:$I$102,4,0)-1),""),"")</f>
        <v/>
      </c>
      <c r="DB197" s="73"/>
      <c r="DC197" s="123" t="str">
        <f t="shared" si="300"/>
        <v/>
      </c>
      <c r="DD197" s="123" t="str">
        <f t="shared" si="301"/>
        <v/>
      </c>
      <c r="DE197" s="97" t="str">
        <f t="shared" ca="1" si="302"/>
        <v/>
      </c>
      <c r="DF197" s="98" t="str">
        <f>IF(DH197&lt;&gt;"",VLOOKUP($P197&amp;" | "&amp;DF$6,'Job Master'!$F$12:$J$102,5,0),"")</f>
        <v/>
      </c>
      <c r="DG197" s="19" t="str">
        <f>IF(DH197&lt;&gt;"",VLOOKUP($P197&amp;" | "&amp;DF$6,'Job Master'!$F$12:$J$102,3,0),"")</f>
        <v/>
      </c>
      <c r="DH197" s="19" t="str">
        <f>IFERROR(IF(AND(DO197&lt;&gt;"",VLOOKUP($P197&amp;" | "&amp;DF$6,'Job Master'!$F$12:$I$102,4,0)&lt;&gt;""),IF(WEEKDAY(DO197-VLOOKUP($P197&amp;" | "&amp;DF$6,'Job Master'!$F$12:$I$102,4,0))&lt;&gt;7,DO197-VLOOKUP($P197&amp;" | "&amp;DF$6,'Job Master'!$F$12:$I$102,4,0),DO197-VLOOKUP($P197&amp;" | "&amp;DF$6,'Job Master'!$F$12:$I$102,4,0)-1),""),"")</f>
        <v/>
      </c>
      <c r="DI197" s="73"/>
      <c r="DJ197" s="123" t="str">
        <f t="shared" si="303"/>
        <v/>
      </c>
      <c r="DK197" s="123" t="str">
        <f t="shared" si="304"/>
        <v/>
      </c>
      <c r="DL197" s="97" t="str">
        <f t="shared" ca="1" si="305"/>
        <v/>
      </c>
      <c r="DM197" s="98" t="str">
        <f>IF(DO197&lt;&gt;"",VLOOKUP($P197&amp;" | "&amp;DM$6,'Job Master'!$F$12:$J$102,5,0),"")</f>
        <v/>
      </c>
      <c r="DN197" s="19" t="str">
        <f>IF(DO197&lt;&gt;"",VLOOKUP($P197&amp;" | "&amp;DM$6,'Job Master'!$F$12:$J$102,3,0),"")</f>
        <v/>
      </c>
      <c r="DO197" s="19" t="str">
        <f>IFERROR(IF(AND(DT197&lt;&gt;"",VLOOKUP($P197&amp;" | "&amp;DM$6,'Job Master'!$F$12:$I$102,4,0)&lt;&gt;""),IF(WEEKDAY(DT197-VLOOKUP($P197&amp;" | "&amp;DM$6,'Job Master'!$F$12:$I$102,4,0))&lt;&gt;7,DT197-VLOOKUP($P197&amp;" | "&amp;DM$6,'Job Master'!$F$12:$I$102,4,0),DT197-VLOOKUP($P197&amp;" | "&amp;DM$6,'Job Master'!$F$12:$I$102,4,0)-1),""),"")</f>
        <v/>
      </c>
      <c r="DP197" s="73"/>
      <c r="DQ197" s="123" t="str">
        <f t="shared" si="306"/>
        <v/>
      </c>
      <c r="DR197" s="123" t="str">
        <f t="shared" si="307"/>
        <v/>
      </c>
      <c r="DS197" s="97" t="str">
        <f t="shared" ca="1" si="308"/>
        <v/>
      </c>
      <c r="DT197" s="70" t="str">
        <f t="shared" si="309"/>
        <v/>
      </c>
      <c r="DU197" s="90"/>
      <c r="DV197" s="123" t="str">
        <f t="shared" si="310"/>
        <v/>
      </c>
      <c r="DW197" s="123" t="str">
        <f t="shared" si="311"/>
        <v/>
      </c>
      <c r="DX197" s="132" t="str">
        <f t="shared" ref="DX197" ca="1" si="382">IF(DT197&lt;&gt;"",IF(WEEKNUM(DT197)=WEEKNUM(TODAY()),"This Week",IF(WEEKNUM(DT197)=WEEKNUM(TODAY())+1,"Next Week",IF(WEEKNUM(DT197)=WEEKNUM(TODAY())-1,"Previous Week",""))),"")</f>
        <v/>
      </c>
      <c r="DY197" s="134" t="str">
        <f t="shared" si="313"/>
        <v/>
      </c>
      <c r="DZ197" s="95"/>
      <c r="EB197" s="8" t="str">
        <f t="shared" si="319"/>
        <v/>
      </c>
      <c r="EC197" s="8" t="str">
        <f>IF(O197&lt;&gt;"",VLOOKUP(O197,'Job Master'!$N$12:$O$18,2,0),"")</f>
        <v/>
      </c>
      <c r="ED197" s="8">
        <f t="shared" si="320"/>
        <v>19.5</v>
      </c>
      <c r="EE197" s="8">
        <f t="shared" si="321"/>
        <v>6</v>
      </c>
      <c r="EF197" s="8">
        <f t="shared" si="322"/>
        <v>-1102.5</v>
      </c>
      <c r="EG197" s="8" t="str">
        <f t="shared" si="323"/>
        <v/>
      </c>
      <c r="EH197" s="8" t="str">
        <f t="shared" si="324"/>
        <v/>
      </c>
    </row>
    <row r="198" spans="2:138" x14ac:dyDescent="0.3">
      <c r="B198" s="112"/>
      <c r="C198" s="27"/>
      <c r="D198" s="7" t="str">
        <f t="shared" si="261"/>
        <v/>
      </c>
      <c r="E198" s="25"/>
      <c r="F198" s="7" t="str">
        <f t="shared" si="261"/>
        <v/>
      </c>
      <c r="G198" s="25"/>
      <c r="H198" s="7" t="str">
        <f t="shared" si="261"/>
        <v/>
      </c>
      <c r="I198" s="25"/>
      <c r="J198" s="7" t="str">
        <f t="shared" si="261"/>
        <v/>
      </c>
      <c r="K198" s="25"/>
      <c r="L198" s="7" t="str">
        <f t="shared" si="262"/>
        <v/>
      </c>
      <c r="M198" s="25"/>
      <c r="N198" s="7" t="str">
        <f t="shared" si="263"/>
        <v/>
      </c>
      <c r="O198" s="81"/>
      <c r="P198" s="81" t="str">
        <f t="shared" si="264"/>
        <v/>
      </c>
      <c r="Q198" s="81"/>
      <c r="R198" s="7" t="str">
        <f t="shared" si="265"/>
        <v/>
      </c>
      <c r="S198" s="25"/>
      <c r="T198" s="7" t="str">
        <f t="shared" si="266"/>
        <v/>
      </c>
      <c r="U198" s="25"/>
      <c r="V198" s="7" t="str">
        <f t="shared" si="267"/>
        <v/>
      </c>
      <c r="W198" s="25"/>
      <c r="X198" s="7" t="str">
        <f t="shared" si="268"/>
        <v/>
      </c>
      <c r="Y198" s="18" t="str">
        <f t="shared" si="269"/>
        <v/>
      </c>
      <c r="Z198" s="7" t="str">
        <f t="shared" si="270"/>
        <v/>
      </c>
      <c r="AA198" s="18" t="str">
        <f t="shared" si="271"/>
        <v/>
      </c>
      <c r="AB198" s="19" t="str">
        <f t="shared" si="272"/>
        <v/>
      </c>
      <c r="AC198" s="26"/>
      <c r="AD198" s="26"/>
      <c r="AE198" s="25"/>
      <c r="AF198" s="26"/>
      <c r="AG198" s="25"/>
      <c r="AH198" s="25"/>
      <c r="AI198" s="18" t="str">
        <f t="shared" si="335"/>
        <v/>
      </c>
      <c r="AJ198" s="25"/>
      <c r="AK198" s="18" t="str">
        <f t="shared" si="336"/>
        <v/>
      </c>
      <c r="AL198" s="79"/>
      <c r="AM198" s="126" t="str">
        <f t="shared" si="337"/>
        <v/>
      </c>
      <c r="AN198" s="128" t="str">
        <f>IF(AP198&lt;&gt;"",VLOOKUP($P198&amp;" | "&amp;AN$6,'Job Master'!$F$12:$J$102,5,0),"")</f>
        <v/>
      </c>
      <c r="AO198" s="19" t="str">
        <f>IF(AP198&lt;&gt;"",VLOOKUP($P198&amp;" | "&amp;AN$6,'Job Master'!$F$12:$J$102,3,0),"")</f>
        <v/>
      </c>
      <c r="AP198" s="19" t="str">
        <f>IFERROR(IF(AND(AW198&lt;&gt;"",VLOOKUP($P198&amp;" | "&amp;AN$6,'Job Master'!$F$12:$I$102,4,0)&lt;&gt;""),IF(WEEKDAY(AW198-VLOOKUP($P198&amp;" | "&amp;AN$6,'Job Master'!$F$12:$I$102,4,0))&lt;&gt;7,AW198-VLOOKUP($P198&amp;" | "&amp;AN$6,'Job Master'!$F$12:$I$102,4,0),AW198-VLOOKUP($P198&amp;" | "&amp;AN$6,'Job Master'!$F$12:$I$102,4,0)-1),""),"")</f>
        <v/>
      </c>
      <c r="AQ198" s="73"/>
      <c r="AR198" s="123" t="str">
        <f t="shared" si="273"/>
        <v/>
      </c>
      <c r="AS198" s="123" t="str">
        <f t="shared" si="274"/>
        <v/>
      </c>
      <c r="AT198" s="97" t="str">
        <f t="shared" ca="1" si="275"/>
        <v/>
      </c>
      <c r="AU198" s="98" t="str">
        <f>IF(AW198&lt;&gt;"",VLOOKUP($P198&amp;" | "&amp;AU$6,'Job Master'!$F$12:$J$102,5,0),"")</f>
        <v/>
      </c>
      <c r="AV198" s="19" t="str">
        <f>IF(AW198&lt;&gt;"",VLOOKUP($P198&amp;" | "&amp;AU$6,'Job Master'!$F$12:$J$102,3,0),"")</f>
        <v/>
      </c>
      <c r="AW198" s="19" t="str">
        <f>IFERROR(IF(AND(BD198&lt;&gt;"",VLOOKUP($P198&amp;" | "&amp;AU$6,'Job Master'!$F$12:$I$102,4,0)&lt;&gt;""),IF(WEEKDAY(BD198-VLOOKUP($P198&amp;" | "&amp;AU$6,'Job Master'!$F$12:$I$102,4,0))&lt;&gt;7,BD198-VLOOKUP($P198&amp;" | "&amp;AU$6,'Job Master'!$F$12:$I$102,4,0),BD198-VLOOKUP($P198&amp;" | "&amp;AU$6,'Job Master'!$F$12:$I$102,4,0)-1),""),"")</f>
        <v/>
      </c>
      <c r="AX198" s="73"/>
      <c r="AY198" s="123" t="str">
        <f t="shared" si="276"/>
        <v/>
      </c>
      <c r="AZ198" s="123" t="str">
        <f t="shared" si="277"/>
        <v/>
      </c>
      <c r="BA198" s="97" t="str">
        <f t="shared" ca="1" si="278"/>
        <v/>
      </c>
      <c r="BB198" s="98" t="str">
        <f>IF(BD198&lt;&gt;"",VLOOKUP($P198&amp;" | "&amp;BB$6,'Job Master'!$F$12:$J$102,5,0),"")</f>
        <v/>
      </c>
      <c r="BC198" s="19" t="str">
        <f>IF(BD198&lt;&gt;"",VLOOKUP($P198&amp;" | "&amp;BB$6,'Job Master'!$F$12:$J$102,3,0),"")</f>
        <v/>
      </c>
      <c r="BD198" s="19" t="str">
        <f>IFERROR(IF(AND(BK198&lt;&gt;"",VLOOKUP($P198&amp;" | "&amp;BB$6,'Job Master'!$F$12:$I$102,4,0)&lt;&gt;""),IF(WEEKDAY(BK198-VLOOKUP($P198&amp;" | "&amp;BB$6,'Job Master'!$F$12:$I$102,4,0))&lt;&gt;7,BK198-VLOOKUP($P198&amp;" | "&amp;BB$6,'Job Master'!$F$12:$I$102,4,0),BK198-VLOOKUP($P198&amp;" | "&amp;BB$6,'Job Master'!$F$12:$I$102,4,0)-1),""),"")</f>
        <v/>
      </c>
      <c r="BE198" s="73"/>
      <c r="BF198" s="123" t="str">
        <f t="shared" si="279"/>
        <v/>
      </c>
      <c r="BG198" s="123" t="str">
        <f t="shared" si="280"/>
        <v/>
      </c>
      <c r="BH198" s="97" t="str">
        <f t="shared" ca="1" si="281"/>
        <v/>
      </c>
      <c r="BI198" s="98" t="str">
        <f>IF(BK198&lt;&gt;"",VLOOKUP($P198&amp;" | "&amp;BI$6,'Job Master'!$F$12:$J$102,5,0),"")</f>
        <v/>
      </c>
      <c r="BJ198" s="19" t="str">
        <f>IF(BK198&lt;&gt;"",VLOOKUP($P198&amp;" | "&amp;BI$6,'Job Master'!$F$12:$J$102,3,0),"")</f>
        <v/>
      </c>
      <c r="BK198" s="19" t="str">
        <f>IFERROR(IF(AND(BR198&lt;&gt;"",VLOOKUP($P198&amp;" | "&amp;BI$6,'Job Master'!$F$12:$I$102,4,0)&lt;&gt;""),IF(WEEKDAY(BR198-VLOOKUP($P198&amp;" | "&amp;BI$6,'Job Master'!$F$12:$I$102,4,0))&lt;&gt;7,BR198-VLOOKUP($P198&amp;" | "&amp;BI$6,'Job Master'!$F$12:$I$102,4,0),BR198-VLOOKUP($P198&amp;" | "&amp;BI$6,'Job Master'!$F$12:$I$102,4,0)-1),""),"")</f>
        <v/>
      </c>
      <c r="BL198" s="73"/>
      <c r="BM198" s="123" t="str">
        <f t="shared" si="282"/>
        <v/>
      </c>
      <c r="BN198" s="123" t="str">
        <f t="shared" si="283"/>
        <v/>
      </c>
      <c r="BO198" s="97" t="str">
        <f t="shared" ca="1" si="284"/>
        <v/>
      </c>
      <c r="BP198" s="98" t="str">
        <f>IF(BR198&lt;&gt;"",VLOOKUP($P198&amp;" | "&amp;BP$6,'Job Master'!$F$12:$J$102,5,0),"")</f>
        <v/>
      </c>
      <c r="BQ198" s="19" t="str">
        <f>IF(BR198&lt;&gt;"",VLOOKUP($P198&amp;" | "&amp;BP$6,'Job Master'!$F$12:$J$102,3,0),"")</f>
        <v/>
      </c>
      <c r="BR198" s="19" t="str">
        <f>IFERROR(IF(AND(BY198&lt;&gt;"",VLOOKUP($P198&amp;" | "&amp;BP$6,'Job Master'!$F$12:$I$102,4,0)&lt;&gt;""),IF(WEEKDAY(BY198-VLOOKUP($P198&amp;" | "&amp;BP$6,'Job Master'!$F$12:$I$102,4,0))&lt;&gt;7,BY198-VLOOKUP($P198&amp;" | "&amp;BP$6,'Job Master'!$F$12:$I$102,4,0),BY198-VLOOKUP($P198&amp;" | "&amp;BP$6,'Job Master'!$F$12:$I$102,4,0)-1),""),"")</f>
        <v/>
      </c>
      <c r="BS198" s="73"/>
      <c r="BT198" s="123" t="str">
        <f t="shared" si="285"/>
        <v/>
      </c>
      <c r="BU198" s="123" t="str">
        <f t="shared" si="286"/>
        <v/>
      </c>
      <c r="BV198" s="97" t="str">
        <f t="shared" ca="1" si="287"/>
        <v/>
      </c>
      <c r="BW198" s="98" t="str">
        <f>IF(BY198&lt;&gt;"",VLOOKUP($P198&amp;" | "&amp;BW$6,'Job Master'!$F$12:$J$102,5,0),"")</f>
        <v/>
      </c>
      <c r="BX198" s="19" t="str">
        <f>IF(BY198&lt;&gt;"",VLOOKUP($P198&amp;" | "&amp;BW$6,'Job Master'!$F$12:$J$102,3,0),"")</f>
        <v/>
      </c>
      <c r="BY198" s="19" t="str">
        <f>IFERROR(IF(AND(CF198&lt;&gt;"",VLOOKUP($P198&amp;" | "&amp;BW$6,'Job Master'!$F$12:$I$102,4,0)&lt;&gt;""),IF(WEEKDAY(CF198-VLOOKUP($P198&amp;" | "&amp;BW$6,'Job Master'!$F$12:$I$102,4,0))&lt;&gt;7,CF198-VLOOKUP($P198&amp;" | "&amp;BW$6,'Job Master'!$F$12:$I$102,4,0),CF198-VLOOKUP($P198&amp;" | "&amp;BW$6,'Job Master'!$F$12:$I$102,4,0)-1),""),"")</f>
        <v/>
      </c>
      <c r="BZ198" s="73"/>
      <c r="CA198" s="123" t="str">
        <f t="shared" si="288"/>
        <v/>
      </c>
      <c r="CB198" s="123" t="str">
        <f t="shared" si="289"/>
        <v/>
      </c>
      <c r="CC198" s="97" t="str">
        <f t="shared" ca="1" si="290"/>
        <v/>
      </c>
      <c r="CD198" s="98" t="str">
        <f>IF(CF198&lt;&gt;"",VLOOKUP($P198&amp;" | "&amp;CD$6,'Job Master'!$F$12:$J$102,5,0),"")</f>
        <v/>
      </c>
      <c r="CE198" s="19" t="str">
        <f>IF(CF198&lt;&gt;"",VLOOKUP($P198&amp;" | "&amp;CD$6,'Job Master'!$F$12:$J$102,3,0),"")</f>
        <v/>
      </c>
      <c r="CF198" s="19" t="str">
        <f>IFERROR(IF(AND(CM198&lt;&gt;"",VLOOKUP($P198&amp;" | "&amp;CD$6,'Job Master'!$F$12:$I$102,4,0)&lt;&gt;""),IF(WEEKDAY(CM198-VLOOKUP($P198&amp;" | "&amp;CD$6,'Job Master'!$F$12:$I$102,4,0))&lt;&gt;7,CM198-VLOOKUP($P198&amp;" | "&amp;CD$6,'Job Master'!$F$12:$I$102,4,0),CM198-VLOOKUP($P198&amp;" | "&amp;CD$6,'Job Master'!$F$12:$I$102,4,0)-1),""),"")</f>
        <v/>
      </c>
      <c r="CG198" s="73"/>
      <c r="CH198" s="123" t="str">
        <f t="shared" si="291"/>
        <v/>
      </c>
      <c r="CI198" s="123" t="str">
        <f t="shared" si="292"/>
        <v/>
      </c>
      <c r="CJ198" s="97" t="str">
        <f t="shared" ca="1" si="293"/>
        <v/>
      </c>
      <c r="CK198" s="98" t="str">
        <f>IF(CM198&lt;&gt;"",VLOOKUP($P198&amp;" | "&amp;CK$6,'Job Master'!$F$12:$J$102,5,0),"")</f>
        <v/>
      </c>
      <c r="CL198" s="19" t="str">
        <f>IF(CM198&lt;&gt;"",VLOOKUP($P198&amp;" | "&amp;CK$6,'Job Master'!$F$12:$J$102,3,0),"")</f>
        <v/>
      </c>
      <c r="CM198" s="19" t="str">
        <f>IFERROR(IF(AND(CT198&lt;&gt;"",VLOOKUP($P198&amp;" | "&amp;CK$6,'Job Master'!$F$12:$I$102,4,0)&lt;&gt;""),IF(WEEKDAY(CT198-VLOOKUP($P198&amp;" | "&amp;CK$6,'Job Master'!$F$12:$I$102,4,0))&lt;&gt;7,CT198-VLOOKUP($P198&amp;" | "&amp;CK$6,'Job Master'!$F$12:$I$102,4,0),CT198-VLOOKUP($P198&amp;" | "&amp;CK$6,'Job Master'!$F$12:$I$102,4,0)-1),""),"")</f>
        <v/>
      </c>
      <c r="CN198" s="73"/>
      <c r="CO198" s="123" t="str">
        <f t="shared" si="294"/>
        <v/>
      </c>
      <c r="CP198" s="123" t="str">
        <f t="shared" si="295"/>
        <v/>
      </c>
      <c r="CQ198" s="97" t="str">
        <f t="shared" ca="1" si="296"/>
        <v/>
      </c>
      <c r="CR198" s="98" t="str">
        <f>IF(CT198&lt;&gt;"",VLOOKUP($P198&amp;" | "&amp;CR$6,'Job Master'!$F$12:$J$102,5,0),"")</f>
        <v/>
      </c>
      <c r="CS198" s="19" t="str">
        <f>IF(CT198&lt;&gt;"",VLOOKUP($P198&amp;" | "&amp;CR$6,'Job Master'!$F$12:$J$102,3,0),"")</f>
        <v/>
      </c>
      <c r="CT198" s="19" t="str">
        <f>IFERROR(IF(AND(DA198&lt;&gt;"",VLOOKUP($P198&amp;" | "&amp;CR$6,'Job Master'!$F$12:$I$102,4,0)&lt;&gt;""),IF(WEEKDAY(DA198-VLOOKUP($P198&amp;" | "&amp;CR$6,'Job Master'!$F$12:$I$102,4,0))&lt;&gt;7,DA198-VLOOKUP($P198&amp;" | "&amp;CR$6,'Job Master'!$F$12:$I$102,4,0),DA198-VLOOKUP($P198&amp;" | "&amp;CR$6,'Job Master'!$F$12:$I$102,4,0)-1),""),"")</f>
        <v/>
      </c>
      <c r="CU198" s="73"/>
      <c r="CV198" s="123" t="str">
        <f t="shared" si="297"/>
        <v/>
      </c>
      <c r="CW198" s="123" t="str">
        <f t="shared" si="298"/>
        <v/>
      </c>
      <c r="CX198" s="97" t="str">
        <f t="shared" ca="1" si="299"/>
        <v/>
      </c>
      <c r="CY198" s="98" t="str">
        <f>IF(DA198&lt;&gt;"",VLOOKUP($P198&amp;" | "&amp;CY$6,'Job Master'!$F$12:$J$102,5,0),"")</f>
        <v/>
      </c>
      <c r="CZ198" s="19" t="str">
        <f>IF(DA198&lt;&gt;"",VLOOKUP($P198&amp;" | "&amp;CY$6,'Job Master'!$F$12:$J$102,3,0),"")</f>
        <v/>
      </c>
      <c r="DA198" s="19" t="str">
        <f>IFERROR(IF(AND(DH198&lt;&gt;"",VLOOKUP($P198&amp;" | "&amp;CY$6,'Job Master'!$F$12:$I$102,4,0)&lt;&gt;""),IF(WEEKDAY(DH198-VLOOKUP($P198&amp;" | "&amp;CY$6,'Job Master'!$F$12:$I$102,4,0))&lt;&gt;7,DH198-VLOOKUP($P198&amp;" | "&amp;CY$6,'Job Master'!$F$12:$I$102,4,0),DH198-VLOOKUP($P198&amp;" | "&amp;CY$6,'Job Master'!$F$12:$I$102,4,0)-1),""),"")</f>
        <v/>
      </c>
      <c r="DB198" s="73"/>
      <c r="DC198" s="123" t="str">
        <f t="shared" si="300"/>
        <v/>
      </c>
      <c r="DD198" s="123" t="str">
        <f t="shared" si="301"/>
        <v/>
      </c>
      <c r="DE198" s="97" t="str">
        <f t="shared" ca="1" si="302"/>
        <v/>
      </c>
      <c r="DF198" s="98" t="str">
        <f>IF(DH198&lt;&gt;"",VLOOKUP($P198&amp;" | "&amp;DF$6,'Job Master'!$F$12:$J$102,5,0),"")</f>
        <v/>
      </c>
      <c r="DG198" s="19" t="str">
        <f>IF(DH198&lt;&gt;"",VLOOKUP($P198&amp;" | "&amp;DF$6,'Job Master'!$F$12:$J$102,3,0),"")</f>
        <v/>
      </c>
      <c r="DH198" s="19" t="str">
        <f>IFERROR(IF(AND(DO198&lt;&gt;"",VLOOKUP($P198&amp;" | "&amp;DF$6,'Job Master'!$F$12:$I$102,4,0)&lt;&gt;""),IF(WEEKDAY(DO198-VLOOKUP($P198&amp;" | "&amp;DF$6,'Job Master'!$F$12:$I$102,4,0))&lt;&gt;7,DO198-VLOOKUP($P198&amp;" | "&amp;DF$6,'Job Master'!$F$12:$I$102,4,0),DO198-VLOOKUP($P198&amp;" | "&amp;DF$6,'Job Master'!$F$12:$I$102,4,0)-1),""),"")</f>
        <v/>
      </c>
      <c r="DI198" s="73"/>
      <c r="DJ198" s="123" t="str">
        <f t="shared" si="303"/>
        <v/>
      </c>
      <c r="DK198" s="123" t="str">
        <f t="shared" si="304"/>
        <v/>
      </c>
      <c r="DL198" s="97" t="str">
        <f t="shared" ca="1" si="305"/>
        <v/>
      </c>
      <c r="DM198" s="98" t="str">
        <f>IF(DO198&lt;&gt;"",VLOOKUP($P198&amp;" | "&amp;DM$6,'Job Master'!$F$12:$J$102,5,0),"")</f>
        <v/>
      </c>
      <c r="DN198" s="19" t="str">
        <f>IF(DO198&lt;&gt;"",VLOOKUP($P198&amp;" | "&amp;DM$6,'Job Master'!$F$12:$J$102,3,0),"")</f>
        <v/>
      </c>
      <c r="DO198" s="19" t="str">
        <f>IFERROR(IF(AND(DT198&lt;&gt;"",VLOOKUP($P198&amp;" | "&amp;DM$6,'Job Master'!$F$12:$I$102,4,0)&lt;&gt;""),IF(WEEKDAY(DT198-VLOOKUP($P198&amp;" | "&amp;DM$6,'Job Master'!$F$12:$I$102,4,0))&lt;&gt;7,DT198-VLOOKUP($P198&amp;" | "&amp;DM$6,'Job Master'!$F$12:$I$102,4,0),DT198-VLOOKUP($P198&amp;" | "&amp;DM$6,'Job Master'!$F$12:$I$102,4,0)-1),""),"")</f>
        <v/>
      </c>
      <c r="DP198" s="73"/>
      <c r="DQ198" s="123" t="str">
        <f t="shared" si="306"/>
        <v/>
      </c>
      <c r="DR198" s="123" t="str">
        <f t="shared" si="307"/>
        <v/>
      </c>
      <c r="DS198" s="97" t="str">
        <f t="shared" ca="1" si="308"/>
        <v/>
      </c>
      <c r="DT198" s="70" t="str">
        <f t="shared" si="309"/>
        <v/>
      </c>
      <c r="DU198" s="90"/>
      <c r="DV198" s="123" t="str">
        <f t="shared" si="310"/>
        <v/>
      </c>
      <c r="DW198" s="123" t="str">
        <f t="shared" si="311"/>
        <v/>
      </c>
      <c r="DX198" s="132" t="str">
        <f t="shared" ref="DX198" ca="1" si="383">IF(DT198&lt;&gt;"",IF(WEEKNUM(DT198)=WEEKNUM(TODAY()),"This Week",IF(WEEKNUM(DT198)=WEEKNUM(TODAY())+1,"Next Week",IF(WEEKNUM(DT198)=WEEKNUM(TODAY())-1,"Previous Week",""))),"")</f>
        <v/>
      </c>
      <c r="DY198" s="134" t="str">
        <f t="shared" si="313"/>
        <v/>
      </c>
      <c r="DZ198" s="95"/>
      <c r="EB198" s="8" t="str">
        <f t="shared" si="319"/>
        <v/>
      </c>
      <c r="EC198" s="8" t="str">
        <f>IF(O198&lt;&gt;"",VLOOKUP(O198,'Job Master'!$N$12:$O$18,2,0),"")</f>
        <v/>
      </c>
      <c r="ED198" s="8">
        <f t="shared" si="320"/>
        <v>19.5</v>
      </c>
      <c r="EE198" s="8">
        <f t="shared" si="321"/>
        <v>6</v>
      </c>
      <c r="EF198" s="8">
        <f t="shared" si="322"/>
        <v>-1108.5</v>
      </c>
      <c r="EG198" s="8" t="str">
        <f t="shared" si="323"/>
        <v/>
      </c>
      <c r="EH198" s="8" t="str">
        <f t="shared" si="324"/>
        <v/>
      </c>
    </row>
    <row r="199" spans="2:138" x14ac:dyDescent="0.3">
      <c r="B199" s="112"/>
      <c r="C199" s="27"/>
      <c r="D199" s="7" t="str">
        <f t="shared" si="261"/>
        <v/>
      </c>
      <c r="E199" s="25"/>
      <c r="F199" s="7" t="str">
        <f t="shared" si="261"/>
        <v/>
      </c>
      <c r="G199" s="25"/>
      <c r="H199" s="7" t="str">
        <f t="shared" si="261"/>
        <v/>
      </c>
      <c r="I199" s="25"/>
      <c r="J199" s="7" t="str">
        <f t="shared" si="261"/>
        <v/>
      </c>
      <c r="K199" s="25"/>
      <c r="L199" s="7" t="str">
        <f t="shared" si="262"/>
        <v/>
      </c>
      <c r="M199" s="25"/>
      <c r="N199" s="7" t="str">
        <f t="shared" si="263"/>
        <v/>
      </c>
      <c r="O199" s="81"/>
      <c r="P199" s="81" t="str">
        <f t="shared" si="264"/>
        <v/>
      </c>
      <c r="Q199" s="81"/>
      <c r="R199" s="7" t="str">
        <f t="shared" si="265"/>
        <v/>
      </c>
      <c r="S199" s="25"/>
      <c r="T199" s="7" t="str">
        <f t="shared" si="266"/>
        <v/>
      </c>
      <c r="U199" s="25"/>
      <c r="V199" s="7" t="str">
        <f t="shared" si="267"/>
        <v/>
      </c>
      <c r="W199" s="25"/>
      <c r="X199" s="7" t="str">
        <f t="shared" si="268"/>
        <v/>
      </c>
      <c r="Y199" s="18" t="str">
        <f t="shared" si="269"/>
        <v/>
      </c>
      <c r="Z199" s="7" t="str">
        <f t="shared" si="270"/>
        <v/>
      </c>
      <c r="AA199" s="18" t="str">
        <f t="shared" si="271"/>
        <v/>
      </c>
      <c r="AB199" s="19" t="str">
        <f t="shared" si="272"/>
        <v/>
      </c>
      <c r="AC199" s="26"/>
      <c r="AD199" s="26"/>
      <c r="AE199" s="25"/>
      <c r="AF199" s="26"/>
      <c r="AG199" s="25"/>
      <c r="AH199" s="25"/>
      <c r="AI199" s="18" t="str">
        <f t="shared" si="335"/>
        <v/>
      </c>
      <c r="AJ199" s="25"/>
      <c r="AK199" s="18" t="str">
        <f t="shared" si="336"/>
        <v/>
      </c>
      <c r="AL199" s="79"/>
      <c r="AM199" s="126" t="str">
        <f t="shared" si="337"/>
        <v/>
      </c>
      <c r="AN199" s="128" t="str">
        <f>IF(AP199&lt;&gt;"",VLOOKUP($P199&amp;" | "&amp;AN$6,'Job Master'!$F$12:$J$102,5,0),"")</f>
        <v/>
      </c>
      <c r="AO199" s="19" t="str">
        <f>IF(AP199&lt;&gt;"",VLOOKUP($P199&amp;" | "&amp;AN$6,'Job Master'!$F$12:$J$102,3,0),"")</f>
        <v/>
      </c>
      <c r="AP199" s="19" t="str">
        <f>IFERROR(IF(AND(AW199&lt;&gt;"",VLOOKUP($P199&amp;" | "&amp;AN$6,'Job Master'!$F$12:$I$102,4,0)&lt;&gt;""),IF(WEEKDAY(AW199-VLOOKUP($P199&amp;" | "&amp;AN$6,'Job Master'!$F$12:$I$102,4,0))&lt;&gt;7,AW199-VLOOKUP($P199&amp;" | "&amp;AN$6,'Job Master'!$F$12:$I$102,4,0),AW199-VLOOKUP($P199&amp;" | "&amp;AN$6,'Job Master'!$F$12:$I$102,4,0)-1),""),"")</f>
        <v/>
      </c>
      <c r="AQ199" s="73"/>
      <c r="AR199" s="123" t="str">
        <f t="shared" si="273"/>
        <v/>
      </c>
      <c r="AS199" s="123" t="str">
        <f t="shared" si="274"/>
        <v/>
      </c>
      <c r="AT199" s="97" t="str">
        <f t="shared" ca="1" si="275"/>
        <v/>
      </c>
      <c r="AU199" s="98" t="str">
        <f>IF(AW199&lt;&gt;"",VLOOKUP($P199&amp;" | "&amp;AU$6,'Job Master'!$F$12:$J$102,5,0),"")</f>
        <v/>
      </c>
      <c r="AV199" s="19" t="str">
        <f>IF(AW199&lt;&gt;"",VLOOKUP($P199&amp;" | "&amp;AU$6,'Job Master'!$F$12:$J$102,3,0),"")</f>
        <v/>
      </c>
      <c r="AW199" s="19" t="str">
        <f>IFERROR(IF(AND(BD199&lt;&gt;"",VLOOKUP($P199&amp;" | "&amp;AU$6,'Job Master'!$F$12:$I$102,4,0)&lt;&gt;""),IF(WEEKDAY(BD199-VLOOKUP($P199&amp;" | "&amp;AU$6,'Job Master'!$F$12:$I$102,4,0))&lt;&gt;7,BD199-VLOOKUP($P199&amp;" | "&amp;AU$6,'Job Master'!$F$12:$I$102,4,0),BD199-VLOOKUP($P199&amp;" | "&amp;AU$6,'Job Master'!$F$12:$I$102,4,0)-1),""),"")</f>
        <v/>
      </c>
      <c r="AX199" s="73"/>
      <c r="AY199" s="123" t="str">
        <f t="shared" si="276"/>
        <v/>
      </c>
      <c r="AZ199" s="123" t="str">
        <f t="shared" si="277"/>
        <v/>
      </c>
      <c r="BA199" s="97" t="str">
        <f t="shared" ca="1" si="278"/>
        <v/>
      </c>
      <c r="BB199" s="98" t="str">
        <f>IF(BD199&lt;&gt;"",VLOOKUP($P199&amp;" | "&amp;BB$6,'Job Master'!$F$12:$J$102,5,0),"")</f>
        <v/>
      </c>
      <c r="BC199" s="19" t="str">
        <f>IF(BD199&lt;&gt;"",VLOOKUP($P199&amp;" | "&amp;BB$6,'Job Master'!$F$12:$J$102,3,0),"")</f>
        <v/>
      </c>
      <c r="BD199" s="19" t="str">
        <f>IFERROR(IF(AND(BK199&lt;&gt;"",VLOOKUP($P199&amp;" | "&amp;BB$6,'Job Master'!$F$12:$I$102,4,0)&lt;&gt;""),IF(WEEKDAY(BK199-VLOOKUP($P199&amp;" | "&amp;BB$6,'Job Master'!$F$12:$I$102,4,0))&lt;&gt;7,BK199-VLOOKUP($P199&amp;" | "&amp;BB$6,'Job Master'!$F$12:$I$102,4,0),BK199-VLOOKUP($P199&amp;" | "&amp;BB$6,'Job Master'!$F$12:$I$102,4,0)-1),""),"")</f>
        <v/>
      </c>
      <c r="BE199" s="73"/>
      <c r="BF199" s="123" t="str">
        <f t="shared" si="279"/>
        <v/>
      </c>
      <c r="BG199" s="123" t="str">
        <f t="shared" si="280"/>
        <v/>
      </c>
      <c r="BH199" s="97" t="str">
        <f t="shared" ca="1" si="281"/>
        <v/>
      </c>
      <c r="BI199" s="98" t="str">
        <f>IF(BK199&lt;&gt;"",VLOOKUP($P199&amp;" | "&amp;BI$6,'Job Master'!$F$12:$J$102,5,0),"")</f>
        <v/>
      </c>
      <c r="BJ199" s="19" t="str">
        <f>IF(BK199&lt;&gt;"",VLOOKUP($P199&amp;" | "&amp;BI$6,'Job Master'!$F$12:$J$102,3,0),"")</f>
        <v/>
      </c>
      <c r="BK199" s="19" t="str">
        <f>IFERROR(IF(AND(BR199&lt;&gt;"",VLOOKUP($P199&amp;" | "&amp;BI$6,'Job Master'!$F$12:$I$102,4,0)&lt;&gt;""),IF(WEEKDAY(BR199-VLOOKUP($P199&amp;" | "&amp;BI$6,'Job Master'!$F$12:$I$102,4,0))&lt;&gt;7,BR199-VLOOKUP($P199&amp;" | "&amp;BI$6,'Job Master'!$F$12:$I$102,4,0),BR199-VLOOKUP($P199&amp;" | "&amp;BI$6,'Job Master'!$F$12:$I$102,4,0)-1),""),"")</f>
        <v/>
      </c>
      <c r="BL199" s="73"/>
      <c r="BM199" s="123" t="str">
        <f t="shared" si="282"/>
        <v/>
      </c>
      <c r="BN199" s="123" t="str">
        <f t="shared" si="283"/>
        <v/>
      </c>
      <c r="BO199" s="97" t="str">
        <f t="shared" ca="1" si="284"/>
        <v/>
      </c>
      <c r="BP199" s="98" t="str">
        <f>IF(BR199&lt;&gt;"",VLOOKUP($P199&amp;" | "&amp;BP$6,'Job Master'!$F$12:$J$102,5,0),"")</f>
        <v/>
      </c>
      <c r="BQ199" s="19" t="str">
        <f>IF(BR199&lt;&gt;"",VLOOKUP($P199&amp;" | "&amp;BP$6,'Job Master'!$F$12:$J$102,3,0),"")</f>
        <v/>
      </c>
      <c r="BR199" s="19" t="str">
        <f>IFERROR(IF(AND(BY199&lt;&gt;"",VLOOKUP($P199&amp;" | "&amp;BP$6,'Job Master'!$F$12:$I$102,4,0)&lt;&gt;""),IF(WEEKDAY(BY199-VLOOKUP($P199&amp;" | "&amp;BP$6,'Job Master'!$F$12:$I$102,4,0))&lt;&gt;7,BY199-VLOOKUP($P199&amp;" | "&amp;BP$6,'Job Master'!$F$12:$I$102,4,0),BY199-VLOOKUP($P199&amp;" | "&amp;BP$6,'Job Master'!$F$12:$I$102,4,0)-1),""),"")</f>
        <v/>
      </c>
      <c r="BS199" s="73"/>
      <c r="BT199" s="123" t="str">
        <f t="shared" si="285"/>
        <v/>
      </c>
      <c r="BU199" s="123" t="str">
        <f t="shared" si="286"/>
        <v/>
      </c>
      <c r="BV199" s="97" t="str">
        <f t="shared" ca="1" si="287"/>
        <v/>
      </c>
      <c r="BW199" s="98" t="str">
        <f>IF(BY199&lt;&gt;"",VLOOKUP($P199&amp;" | "&amp;BW$6,'Job Master'!$F$12:$J$102,5,0),"")</f>
        <v/>
      </c>
      <c r="BX199" s="19" t="str">
        <f>IF(BY199&lt;&gt;"",VLOOKUP($P199&amp;" | "&amp;BW$6,'Job Master'!$F$12:$J$102,3,0),"")</f>
        <v/>
      </c>
      <c r="BY199" s="19" t="str">
        <f>IFERROR(IF(AND(CF199&lt;&gt;"",VLOOKUP($P199&amp;" | "&amp;BW$6,'Job Master'!$F$12:$I$102,4,0)&lt;&gt;""),IF(WEEKDAY(CF199-VLOOKUP($P199&amp;" | "&amp;BW$6,'Job Master'!$F$12:$I$102,4,0))&lt;&gt;7,CF199-VLOOKUP($P199&amp;" | "&amp;BW$6,'Job Master'!$F$12:$I$102,4,0),CF199-VLOOKUP($P199&amp;" | "&amp;BW$6,'Job Master'!$F$12:$I$102,4,0)-1),""),"")</f>
        <v/>
      </c>
      <c r="BZ199" s="73"/>
      <c r="CA199" s="123" t="str">
        <f t="shared" si="288"/>
        <v/>
      </c>
      <c r="CB199" s="123" t="str">
        <f t="shared" si="289"/>
        <v/>
      </c>
      <c r="CC199" s="97" t="str">
        <f t="shared" ca="1" si="290"/>
        <v/>
      </c>
      <c r="CD199" s="98" t="str">
        <f>IF(CF199&lt;&gt;"",VLOOKUP($P199&amp;" | "&amp;CD$6,'Job Master'!$F$12:$J$102,5,0),"")</f>
        <v/>
      </c>
      <c r="CE199" s="19" t="str">
        <f>IF(CF199&lt;&gt;"",VLOOKUP($P199&amp;" | "&amp;CD$6,'Job Master'!$F$12:$J$102,3,0),"")</f>
        <v/>
      </c>
      <c r="CF199" s="19" t="str">
        <f>IFERROR(IF(AND(CM199&lt;&gt;"",VLOOKUP($P199&amp;" | "&amp;CD$6,'Job Master'!$F$12:$I$102,4,0)&lt;&gt;""),IF(WEEKDAY(CM199-VLOOKUP($P199&amp;" | "&amp;CD$6,'Job Master'!$F$12:$I$102,4,0))&lt;&gt;7,CM199-VLOOKUP($P199&amp;" | "&amp;CD$6,'Job Master'!$F$12:$I$102,4,0),CM199-VLOOKUP($P199&amp;" | "&amp;CD$6,'Job Master'!$F$12:$I$102,4,0)-1),""),"")</f>
        <v/>
      </c>
      <c r="CG199" s="73"/>
      <c r="CH199" s="123" t="str">
        <f t="shared" si="291"/>
        <v/>
      </c>
      <c r="CI199" s="123" t="str">
        <f t="shared" si="292"/>
        <v/>
      </c>
      <c r="CJ199" s="97" t="str">
        <f t="shared" ca="1" si="293"/>
        <v/>
      </c>
      <c r="CK199" s="98" t="str">
        <f>IF(CM199&lt;&gt;"",VLOOKUP($P199&amp;" | "&amp;CK$6,'Job Master'!$F$12:$J$102,5,0),"")</f>
        <v/>
      </c>
      <c r="CL199" s="19" t="str">
        <f>IF(CM199&lt;&gt;"",VLOOKUP($P199&amp;" | "&amp;CK$6,'Job Master'!$F$12:$J$102,3,0),"")</f>
        <v/>
      </c>
      <c r="CM199" s="19" t="str">
        <f>IFERROR(IF(AND(CT199&lt;&gt;"",VLOOKUP($P199&amp;" | "&amp;CK$6,'Job Master'!$F$12:$I$102,4,0)&lt;&gt;""),IF(WEEKDAY(CT199-VLOOKUP($P199&amp;" | "&amp;CK$6,'Job Master'!$F$12:$I$102,4,0))&lt;&gt;7,CT199-VLOOKUP($P199&amp;" | "&amp;CK$6,'Job Master'!$F$12:$I$102,4,0),CT199-VLOOKUP($P199&amp;" | "&amp;CK$6,'Job Master'!$F$12:$I$102,4,0)-1),""),"")</f>
        <v/>
      </c>
      <c r="CN199" s="73"/>
      <c r="CO199" s="123" t="str">
        <f t="shared" si="294"/>
        <v/>
      </c>
      <c r="CP199" s="123" t="str">
        <f t="shared" si="295"/>
        <v/>
      </c>
      <c r="CQ199" s="97" t="str">
        <f t="shared" ca="1" si="296"/>
        <v/>
      </c>
      <c r="CR199" s="98" t="str">
        <f>IF(CT199&lt;&gt;"",VLOOKUP($P199&amp;" | "&amp;CR$6,'Job Master'!$F$12:$J$102,5,0),"")</f>
        <v/>
      </c>
      <c r="CS199" s="19" t="str">
        <f>IF(CT199&lt;&gt;"",VLOOKUP($P199&amp;" | "&amp;CR$6,'Job Master'!$F$12:$J$102,3,0),"")</f>
        <v/>
      </c>
      <c r="CT199" s="19" t="str">
        <f>IFERROR(IF(AND(DA199&lt;&gt;"",VLOOKUP($P199&amp;" | "&amp;CR$6,'Job Master'!$F$12:$I$102,4,0)&lt;&gt;""),IF(WEEKDAY(DA199-VLOOKUP($P199&amp;" | "&amp;CR$6,'Job Master'!$F$12:$I$102,4,0))&lt;&gt;7,DA199-VLOOKUP($P199&amp;" | "&amp;CR$6,'Job Master'!$F$12:$I$102,4,0),DA199-VLOOKUP($P199&amp;" | "&amp;CR$6,'Job Master'!$F$12:$I$102,4,0)-1),""),"")</f>
        <v/>
      </c>
      <c r="CU199" s="73"/>
      <c r="CV199" s="123" t="str">
        <f t="shared" si="297"/>
        <v/>
      </c>
      <c r="CW199" s="123" t="str">
        <f t="shared" si="298"/>
        <v/>
      </c>
      <c r="CX199" s="97" t="str">
        <f t="shared" ca="1" si="299"/>
        <v/>
      </c>
      <c r="CY199" s="98" t="str">
        <f>IF(DA199&lt;&gt;"",VLOOKUP($P199&amp;" | "&amp;CY$6,'Job Master'!$F$12:$J$102,5,0),"")</f>
        <v/>
      </c>
      <c r="CZ199" s="19" t="str">
        <f>IF(DA199&lt;&gt;"",VLOOKUP($P199&amp;" | "&amp;CY$6,'Job Master'!$F$12:$J$102,3,0),"")</f>
        <v/>
      </c>
      <c r="DA199" s="19" t="str">
        <f>IFERROR(IF(AND(DH199&lt;&gt;"",VLOOKUP($P199&amp;" | "&amp;CY$6,'Job Master'!$F$12:$I$102,4,0)&lt;&gt;""),IF(WEEKDAY(DH199-VLOOKUP($P199&amp;" | "&amp;CY$6,'Job Master'!$F$12:$I$102,4,0))&lt;&gt;7,DH199-VLOOKUP($P199&amp;" | "&amp;CY$6,'Job Master'!$F$12:$I$102,4,0),DH199-VLOOKUP($P199&amp;" | "&amp;CY$6,'Job Master'!$F$12:$I$102,4,0)-1),""),"")</f>
        <v/>
      </c>
      <c r="DB199" s="73"/>
      <c r="DC199" s="123" t="str">
        <f t="shared" si="300"/>
        <v/>
      </c>
      <c r="DD199" s="123" t="str">
        <f t="shared" si="301"/>
        <v/>
      </c>
      <c r="DE199" s="97" t="str">
        <f t="shared" ca="1" si="302"/>
        <v/>
      </c>
      <c r="DF199" s="98" t="str">
        <f>IF(DH199&lt;&gt;"",VLOOKUP($P199&amp;" | "&amp;DF$6,'Job Master'!$F$12:$J$102,5,0),"")</f>
        <v/>
      </c>
      <c r="DG199" s="19" t="str">
        <f>IF(DH199&lt;&gt;"",VLOOKUP($P199&amp;" | "&amp;DF$6,'Job Master'!$F$12:$J$102,3,0),"")</f>
        <v/>
      </c>
      <c r="DH199" s="19" t="str">
        <f>IFERROR(IF(AND(DO199&lt;&gt;"",VLOOKUP($P199&amp;" | "&amp;DF$6,'Job Master'!$F$12:$I$102,4,0)&lt;&gt;""),IF(WEEKDAY(DO199-VLOOKUP($P199&amp;" | "&amp;DF$6,'Job Master'!$F$12:$I$102,4,0))&lt;&gt;7,DO199-VLOOKUP($P199&amp;" | "&amp;DF$6,'Job Master'!$F$12:$I$102,4,0),DO199-VLOOKUP($P199&amp;" | "&amp;DF$6,'Job Master'!$F$12:$I$102,4,0)-1),""),"")</f>
        <v/>
      </c>
      <c r="DI199" s="73"/>
      <c r="DJ199" s="123" t="str">
        <f t="shared" si="303"/>
        <v/>
      </c>
      <c r="DK199" s="123" t="str">
        <f t="shared" si="304"/>
        <v/>
      </c>
      <c r="DL199" s="97" t="str">
        <f t="shared" ca="1" si="305"/>
        <v/>
      </c>
      <c r="DM199" s="98" t="str">
        <f>IF(DO199&lt;&gt;"",VLOOKUP($P199&amp;" | "&amp;DM$6,'Job Master'!$F$12:$J$102,5,0),"")</f>
        <v/>
      </c>
      <c r="DN199" s="19" t="str">
        <f>IF(DO199&lt;&gt;"",VLOOKUP($P199&amp;" | "&amp;DM$6,'Job Master'!$F$12:$J$102,3,0),"")</f>
        <v/>
      </c>
      <c r="DO199" s="19" t="str">
        <f>IFERROR(IF(AND(DT199&lt;&gt;"",VLOOKUP($P199&amp;" | "&amp;DM$6,'Job Master'!$F$12:$I$102,4,0)&lt;&gt;""),IF(WEEKDAY(DT199-VLOOKUP($P199&amp;" | "&amp;DM$6,'Job Master'!$F$12:$I$102,4,0))&lt;&gt;7,DT199-VLOOKUP($P199&amp;" | "&amp;DM$6,'Job Master'!$F$12:$I$102,4,0),DT199-VLOOKUP($P199&amp;" | "&amp;DM$6,'Job Master'!$F$12:$I$102,4,0)-1),""),"")</f>
        <v/>
      </c>
      <c r="DP199" s="73"/>
      <c r="DQ199" s="123" t="str">
        <f t="shared" si="306"/>
        <v/>
      </c>
      <c r="DR199" s="123" t="str">
        <f t="shared" si="307"/>
        <v/>
      </c>
      <c r="DS199" s="97" t="str">
        <f t="shared" ca="1" si="308"/>
        <v/>
      </c>
      <c r="DT199" s="70" t="str">
        <f t="shared" si="309"/>
        <v/>
      </c>
      <c r="DU199" s="90"/>
      <c r="DV199" s="123" t="str">
        <f t="shared" si="310"/>
        <v/>
      </c>
      <c r="DW199" s="123" t="str">
        <f t="shared" si="311"/>
        <v/>
      </c>
      <c r="DX199" s="132" t="str">
        <f t="shared" ref="DX199" ca="1" si="384">IF(DT199&lt;&gt;"",IF(WEEKNUM(DT199)=WEEKNUM(TODAY()),"This Week",IF(WEEKNUM(DT199)=WEEKNUM(TODAY())+1,"Next Week",IF(WEEKNUM(DT199)=WEEKNUM(TODAY())-1,"Previous Week",""))),"")</f>
        <v/>
      </c>
      <c r="DY199" s="134" t="str">
        <f t="shared" si="313"/>
        <v/>
      </c>
      <c r="DZ199" s="95"/>
      <c r="EB199" s="8" t="str">
        <f t="shared" si="319"/>
        <v/>
      </c>
      <c r="EC199" s="8" t="str">
        <f>IF(O199&lt;&gt;"",VLOOKUP(O199,'Job Master'!$N$12:$O$18,2,0),"")</f>
        <v/>
      </c>
      <c r="ED199" s="8">
        <f t="shared" si="320"/>
        <v>19.5</v>
      </c>
      <c r="EE199" s="8">
        <f t="shared" si="321"/>
        <v>6</v>
      </c>
      <c r="EF199" s="8">
        <f t="shared" si="322"/>
        <v>-1114.5</v>
      </c>
      <c r="EG199" s="8" t="str">
        <f t="shared" si="323"/>
        <v/>
      </c>
      <c r="EH199" s="8" t="str">
        <f t="shared" si="324"/>
        <v/>
      </c>
    </row>
    <row r="200" spans="2:138" x14ac:dyDescent="0.3">
      <c r="B200" s="112"/>
      <c r="C200" s="27"/>
      <c r="D200" s="7" t="str">
        <f t="shared" si="261"/>
        <v/>
      </c>
      <c r="E200" s="25"/>
      <c r="F200" s="7" t="str">
        <f t="shared" si="261"/>
        <v/>
      </c>
      <c r="G200" s="25"/>
      <c r="H200" s="7" t="str">
        <f t="shared" si="261"/>
        <v/>
      </c>
      <c r="I200" s="25"/>
      <c r="J200" s="7" t="str">
        <f t="shared" ref="J200" si="385">IF(IF(I200&lt;&gt;"",I200,IF($AA200&lt;&gt;"",J199,""))&lt;&gt;0,IF(I200&lt;&gt;"",I200,IF($AA200&lt;&gt;"",J199,"")),"")</f>
        <v/>
      </c>
      <c r="K200" s="25"/>
      <c r="L200" s="7" t="str">
        <f t="shared" si="262"/>
        <v/>
      </c>
      <c r="M200" s="25"/>
      <c r="N200" s="7" t="str">
        <f t="shared" si="263"/>
        <v/>
      </c>
      <c r="O200" s="81"/>
      <c r="P200" s="81" t="str">
        <f t="shared" si="264"/>
        <v/>
      </c>
      <c r="Q200" s="81"/>
      <c r="R200" s="7" t="str">
        <f t="shared" si="265"/>
        <v/>
      </c>
      <c r="S200" s="25"/>
      <c r="T200" s="7" t="str">
        <f t="shared" si="266"/>
        <v/>
      </c>
      <c r="U200" s="25"/>
      <c r="V200" s="7" t="str">
        <f t="shared" si="267"/>
        <v/>
      </c>
      <c r="W200" s="25"/>
      <c r="X200" s="7" t="str">
        <f t="shared" si="268"/>
        <v/>
      </c>
      <c r="Y200" s="18" t="str">
        <f t="shared" si="269"/>
        <v/>
      </c>
      <c r="Z200" s="7" t="str">
        <f t="shared" si="270"/>
        <v/>
      </c>
      <c r="AA200" s="18" t="str">
        <f t="shared" si="271"/>
        <v/>
      </c>
      <c r="AB200" s="19" t="str">
        <f t="shared" si="272"/>
        <v/>
      </c>
      <c r="AC200" s="26"/>
      <c r="AD200" s="26"/>
      <c r="AE200" s="25"/>
      <c r="AF200" s="26"/>
      <c r="AG200" s="25"/>
      <c r="AH200" s="25"/>
      <c r="AI200" s="18" t="str">
        <f t="shared" si="335"/>
        <v/>
      </c>
      <c r="AJ200" s="25"/>
      <c r="AK200" s="18" t="str">
        <f t="shared" si="336"/>
        <v/>
      </c>
      <c r="AL200" s="79"/>
      <c r="AM200" s="126" t="str">
        <f t="shared" si="337"/>
        <v/>
      </c>
      <c r="AN200" s="128" t="str">
        <f>IF(AP200&lt;&gt;"",VLOOKUP($P200&amp;" | "&amp;AN$6,'Job Master'!$F$12:$J$102,5,0),"")</f>
        <v/>
      </c>
      <c r="AO200" s="19" t="str">
        <f>IF(AP200&lt;&gt;"",VLOOKUP($P200&amp;" | "&amp;AN$6,'Job Master'!$F$12:$J$102,3,0),"")</f>
        <v/>
      </c>
      <c r="AP200" s="19" t="str">
        <f>IFERROR(IF(AND(AW200&lt;&gt;"",VLOOKUP($P200&amp;" | "&amp;AN$6,'Job Master'!$F$12:$I$102,4,0)&lt;&gt;""),IF(WEEKDAY(AW200-VLOOKUP($P200&amp;" | "&amp;AN$6,'Job Master'!$F$12:$I$102,4,0))&lt;&gt;7,AW200-VLOOKUP($P200&amp;" | "&amp;AN$6,'Job Master'!$F$12:$I$102,4,0),AW200-VLOOKUP($P200&amp;" | "&amp;AN$6,'Job Master'!$F$12:$I$102,4,0)-1),""),"")</f>
        <v/>
      </c>
      <c r="AQ200" s="73"/>
      <c r="AR200" s="123" t="str">
        <f t="shared" si="273"/>
        <v/>
      </c>
      <c r="AS200" s="123" t="str">
        <f t="shared" si="274"/>
        <v/>
      </c>
      <c r="AT200" s="97" t="str">
        <f t="shared" ca="1" si="275"/>
        <v/>
      </c>
      <c r="AU200" s="98" t="str">
        <f>IF(AW200&lt;&gt;"",VLOOKUP($P200&amp;" | "&amp;AU$6,'Job Master'!$F$12:$J$102,5,0),"")</f>
        <v/>
      </c>
      <c r="AV200" s="19" t="str">
        <f>IF(AW200&lt;&gt;"",VLOOKUP($P200&amp;" | "&amp;AU$6,'Job Master'!$F$12:$J$102,3,0),"")</f>
        <v/>
      </c>
      <c r="AW200" s="19" t="str">
        <f>IFERROR(IF(AND(BD200&lt;&gt;"",VLOOKUP($P200&amp;" | "&amp;AU$6,'Job Master'!$F$12:$I$102,4,0)&lt;&gt;""),IF(WEEKDAY(BD200-VLOOKUP($P200&amp;" | "&amp;AU$6,'Job Master'!$F$12:$I$102,4,0))&lt;&gt;7,BD200-VLOOKUP($P200&amp;" | "&amp;AU$6,'Job Master'!$F$12:$I$102,4,0),BD200-VLOOKUP($P200&amp;" | "&amp;AU$6,'Job Master'!$F$12:$I$102,4,0)-1),""),"")</f>
        <v/>
      </c>
      <c r="AX200" s="73"/>
      <c r="AY200" s="123" t="str">
        <f t="shared" si="276"/>
        <v/>
      </c>
      <c r="AZ200" s="123" t="str">
        <f t="shared" si="277"/>
        <v/>
      </c>
      <c r="BA200" s="97" t="str">
        <f t="shared" ca="1" si="278"/>
        <v/>
      </c>
      <c r="BB200" s="98" t="str">
        <f>IF(BD200&lt;&gt;"",VLOOKUP($P200&amp;" | "&amp;BB$6,'Job Master'!$F$12:$J$102,5,0),"")</f>
        <v/>
      </c>
      <c r="BC200" s="19" t="str">
        <f>IF(BD200&lt;&gt;"",VLOOKUP($P200&amp;" | "&amp;BB$6,'Job Master'!$F$12:$J$102,3,0),"")</f>
        <v/>
      </c>
      <c r="BD200" s="19" t="str">
        <f>IFERROR(IF(AND(BK200&lt;&gt;"",VLOOKUP($P200&amp;" | "&amp;BB$6,'Job Master'!$F$12:$I$102,4,0)&lt;&gt;""),IF(WEEKDAY(BK200-VLOOKUP($P200&amp;" | "&amp;BB$6,'Job Master'!$F$12:$I$102,4,0))&lt;&gt;7,BK200-VLOOKUP($P200&amp;" | "&amp;BB$6,'Job Master'!$F$12:$I$102,4,0),BK200-VLOOKUP($P200&amp;" | "&amp;BB$6,'Job Master'!$F$12:$I$102,4,0)-1),""),"")</f>
        <v/>
      </c>
      <c r="BE200" s="73"/>
      <c r="BF200" s="123" t="str">
        <f t="shared" si="279"/>
        <v/>
      </c>
      <c r="BG200" s="123" t="str">
        <f t="shared" si="280"/>
        <v/>
      </c>
      <c r="BH200" s="97" t="str">
        <f t="shared" ca="1" si="281"/>
        <v/>
      </c>
      <c r="BI200" s="98" t="str">
        <f>IF(BK200&lt;&gt;"",VLOOKUP($P200&amp;" | "&amp;BI$6,'Job Master'!$F$12:$J$102,5,0),"")</f>
        <v/>
      </c>
      <c r="BJ200" s="19" t="str">
        <f>IF(BK200&lt;&gt;"",VLOOKUP($P200&amp;" | "&amp;BI$6,'Job Master'!$F$12:$J$102,3,0),"")</f>
        <v/>
      </c>
      <c r="BK200" s="19" t="str">
        <f>IFERROR(IF(AND(BR200&lt;&gt;"",VLOOKUP($P200&amp;" | "&amp;BI$6,'Job Master'!$F$12:$I$102,4,0)&lt;&gt;""),IF(WEEKDAY(BR200-VLOOKUP($P200&amp;" | "&amp;BI$6,'Job Master'!$F$12:$I$102,4,0))&lt;&gt;7,BR200-VLOOKUP($P200&amp;" | "&amp;BI$6,'Job Master'!$F$12:$I$102,4,0),BR200-VLOOKUP($P200&amp;" | "&amp;BI$6,'Job Master'!$F$12:$I$102,4,0)-1),""),"")</f>
        <v/>
      </c>
      <c r="BL200" s="73"/>
      <c r="BM200" s="123" t="str">
        <f t="shared" si="282"/>
        <v/>
      </c>
      <c r="BN200" s="123" t="str">
        <f t="shared" si="283"/>
        <v/>
      </c>
      <c r="BO200" s="97" t="str">
        <f t="shared" ca="1" si="284"/>
        <v/>
      </c>
      <c r="BP200" s="98" t="str">
        <f>IF(BR200&lt;&gt;"",VLOOKUP($P200&amp;" | "&amp;BP$6,'Job Master'!$F$12:$J$102,5,0),"")</f>
        <v/>
      </c>
      <c r="BQ200" s="19" t="str">
        <f>IF(BR200&lt;&gt;"",VLOOKUP($P200&amp;" | "&amp;BP$6,'Job Master'!$F$12:$J$102,3,0),"")</f>
        <v/>
      </c>
      <c r="BR200" s="19" t="str">
        <f>IFERROR(IF(AND(BY200&lt;&gt;"",VLOOKUP($P200&amp;" | "&amp;BP$6,'Job Master'!$F$12:$I$102,4,0)&lt;&gt;""),IF(WEEKDAY(BY200-VLOOKUP($P200&amp;" | "&amp;BP$6,'Job Master'!$F$12:$I$102,4,0))&lt;&gt;7,BY200-VLOOKUP($P200&amp;" | "&amp;BP$6,'Job Master'!$F$12:$I$102,4,0),BY200-VLOOKUP($P200&amp;" | "&amp;BP$6,'Job Master'!$F$12:$I$102,4,0)-1),""),"")</f>
        <v/>
      </c>
      <c r="BS200" s="73"/>
      <c r="BT200" s="123" t="str">
        <f t="shared" si="285"/>
        <v/>
      </c>
      <c r="BU200" s="123" t="str">
        <f t="shared" si="286"/>
        <v/>
      </c>
      <c r="BV200" s="97" t="str">
        <f t="shared" ca="1" si="287"/>
        <v/>
      </c>
      <c r="BW200" s="98" t="str">
        <f>IF(BY200&lt;&gt;"",VLOOKUP($P200&amp;" | "&amp;BW$6,'Job Master'!$F$12:$J$102,5,0),"")</f>
        <v/>
      </c>
      <c r="BX200" s="19" t="str">
        <f>IF(BY200&lt;&gt;"",VLOOKUP($P200&amp;" | "&amp;BW$6,'Job Master'!$F$12:$J$102,3,0),"")</f>
        <v/>
      </c>
      <c r="BY200" s="19" t="str">
        <f>IFERROR(IF(AND(CF200&lt;&gt;"",VLOOKUP($P200&amp;" | "&amp;BW$6,'Job Master'!$F$12:$I$102,4,0)&lt;&gt;""),IF(WEEKDAY(CF200-VLOOKUP($P200&amp;" | "&amp;BW$6,'Job Master'!$F$12:$I$102,4,0))&lt;&gt;7,CF200-VLOOKUP($P200&amp;" | "&amp;BW$6,'Job Master'!$F$12:$I$102,4,0),CF200-VLOOKUP($P200&amp;" | "&amp;BW$6,'Job Master'!$F$12:$I$102,4,0)-1),""),"")</f>
        <v/>
      </c>
      <c r="BZ200" s="73"/>
      <c r="CA200" s="123" t="str">
        <f t="shared" si="288"/>
        <v/>
      </c>
      <c r="CB200" s="123" t="str">
        <f t="shared" si="289"/>
        <v/>
      </c>
      <c r="CC200" s="97" t="str">
        <f t="shared" ca="1" si="290"/>
        <v/>
      </c>
      <c r="CD200" s="98" t="str">
        <f>IF(CF200&lt;&gt;"",VLOOKUP($P200&amp;" | "&amp;CD$6,'Job Master'!$F$12:$J$102,5,0),"")</f>
        <v/>
      </c>
      <c r="CE200" s="19" t="str">
        <f>IF(CF200&lt;&gt;"",VLOOKUP($P200&amp;" | "&amp;CD$6,'Job Master'!$F$12:$J$102,3,0),"")</f>
        <v/>
      </c>
      <c r="CF200" s="19" t="str">
        <f>IFERROR(IF(AND(CM200&lt;&gt;"",VLOOKUP($P200&amp;" | "&amp;CD$6,'Job Master'!$F$12:$I$102,4,0)&lt;&gt;""),IF(WEEKDAY(CM200-VLOOKUP($P200&amp;" | "&amp;CD$6,'Job Master'!$F$12:$I$102,4,0))&lt;&gt;7,CM200-VLOOKUP($P200&amp;" | "&amp;CD$6,'Job Master'!$F$12:$I$102,4,0),CM200-VLOOKUP($P200&amp;" | "&amp;CD$6,'Job Master'!$F$12:$I$102,4,0)-1),""),"")</f>
        <v/>
      </c>
      <c r="CG200" s="73"/>
      <c r="CH200" s="123" t="str">
        <f t="shared" si="291"/>
        <v/>
      </c>
      <c r="CI200" s="123" t="str">
        <f t="shared" si="292"/>
        <v/>
      </c>
      <c r="CJ200" s="97" t="str">
        <f t="shared" ca="1" si="293"/>
        <v/>
      </c>
      <c r="CK200" s="98" t="str">
        <f>IF(CM200&lt;&gt;"",VLOOKUP($P200&amp;" | "&amp;CK$6,'Job Master'!$F$12:$J$102,5,0),"")</f>
        <v/>
      </c>
      <c r="CL200" s="19" t="str">
        <f>IF(CM200&lt;&gt;"",VLOOKUP($P200&amp;" | "&amp;CK$6,'Job Master'!$F$12:$J$102,3,0),"")</f>
        <v/>
      </c>
      <c r="CM200" s="19" t="str">
        <f>IFERROR(IF(AND(CT200&lt;&gt;"",VLOOKUP($P200&amp;" | "&amp;CK$6,'Job Master'!$F$12:$I$102,4,0)&lt;&gt;""),IF(WEEKDAY(CT200-VLOOKUP($P200&amp;" | "&amp;CK$6,'Job Master'!$F$12:$I$102,4,0))&lt;&gt;7,CT200-VLOOKUP($P200&amp;" | "&amp;CK$6,'Job Master'!$F$12:$I$102,4,0),CT200-VLOOKUP($P200&amp;" | "&amp;CK$6,'Job Master'!$F$12:$I$102,4,0)-1),""),"")</f>
        <v/>
      </c>
      <c r="CN200" s="73"/>
      <c r="CO200" s="123" t="str">
        <f t="shared" si="294"/>
        <v/>
      </c>
      <c r="CP200" s="123" t="str">
        <f t="shared" si="295"/>
        <v/>
      </c>
      <c r="CQ200" s="97" t="str">
        <f t="shared" ca="1" si="296"/>
        <v/>
      </c>
      <c r="CR200" s="98" t="str">
        <f>IF(CT200&lt;&gt;"",VLOOKUP($P200&amp;" | "&amp;CR$6,'Job Master'!$F$12:$J$102,5,0),"")</f>
        <v/>
      </c>
      <c r="CS200" s="19" t="str">
        <f>IF(CT200&lt;&gt;"",VLOOKUP($P200&amp;" | "&amp;CR$6,'Job Master'!$F$12:$J$102,3,0),"")</f>
        <v/>
      </c>
      <c r="CT200" s="19" t="str">
        <f>IFERROR(IF(AND(DA200&lt;&gt;"",VLOOKUP($P200&amp;" | "&amp;CR$6,'Job Master'!$F$12:$I$102,4,0)&lt;&gt;""),IF(WEEKDAY(DA200-VLOOKUP($P200&amp;" | "&amp;CR$6,'Job Master'!$F$12:$I$102,4,0))&lt;&gt;7,DA200-VLOOKUP($P200&amp;" | "&amp;CR$6,'Job Master'!$F$12:$I$102,4,0),DA200-VLOOKUP($P200&amp;" | "&amp;CR$6,'Job Master'!$F$12:$I$102,4,0)-1),""),"")</f>
        <v/>
      </c>
      <c r="CU200" s="73"/>
      <c r="CV200" s="123" t="str">
        <f t="shared" si="297"/>
        <v/>
      </c>
      <c r="CW200" s="123" t="str">
        <f t="shared" si="298"/>
        <v/>
      </c>
      <c r="CX200" s="97" t="str">
        <f t="shared" ca="1" si="299"/>
        <v/>
      </c>
      <c r="CY200" s="98" t="str">
        <f>IF(DA200&lt;&gt;"",VLOOKUP($P200&amp;" | "&amp;CY$6,'Job Master'!$F$12:$J$102,5,0),"")</f>
        <v/>
      </c>
      <c r="CZ200" s="19" t="str">
        <f>IF(DA200&lt;&gt;"",VLOOKUP($P200&amp;" | "&amp;CY$6,'Job Master'!$F$12:$J$102,3,0),"")</f>
        <v/>
      </c>
      <c r="DA200" s="19" t="str">
        <f>IFERROR(IF(AND(DH200&lt;&gt;"",VLOOKUP($P200&amp;" | "&amp;CY$6,'Job Master'!$F$12:$I$102,4,0)&lt;&gt;""),IF(WEEKDAY(DH200-VLOOKUP($P200&amp;" | "&amp;CY$6,'Job Master'!$F$12:$I$102,4,0))&lt;&gt;7,DH200-VLOOKUP($P200&amp;" | "&amp;CY$6,'Job Master'!$F$12:$I$102,4,0),DH200-VLOOKUP($P200&amp;" | "&amp;CY$6,'Job Master'!$F$12:$I$102,4,0)-1),""),"")</f>
        <v/>
      </c>
      <c r="DB200" s="73"/>
      <c r="DC200" s="123" t="str">
        <f t="shared" si="300"/>
        <v/>
      </c>
      <c r="DD200" s="123" t="str">
        <f t="shared" si="301"/>
        <v/>
      </c>
      <c r="DE200" s="97" t="str">
        <f t="shared" ca="1" si="302"/>
        <v/>
      </c>
      <c r="DF200" s="98" t="str">
        <f>IF(DH200&lt;&gt;"",VLOOKUP($P200&amp;" | "&amp;DF$6,'Job Master'!$F$12:$J$102,5,0),"")</f>
        <v/>
      </c>
      <c r="DG200" s="19" t="str">
        <f>IF(DH200&lt;&gt;"",VLOOKUP($P200&amp;" | "&amp;DF$6,'Job Master'!$F$12:$J$102,3,0),"")</f>
        <v/>
      </c>
      <c r="DH200" s="19" t="str">
        <f>IFERROR(IF(AND(DO200&lt;&gt;"",VLOOKUP($P200&amp;" | "&amp;DF$6,'Job Master'!$F$12:$I$102,4,0)&lt;&gt;""),IF(WEEKDAY(DO200-VLOOKUP($P200&amp;" | "&amp;DF$6,'Job Master'!$F$12:$I$102,4,0))&lt;&gt;7,DO200-VLOOKUP($P200&amp;" | "&amp;DF$6,'Job Master'!$F$12:$I$102,4,0),DO200-VLOOKUP($P200&amp;" | "&amp;DF$6,'Job Master'!$F$12:$I$102,4,0)-1),""),"")</f>
        <v/>
      </c>
      <c r="DI200" s="73"/>
      <c r="DJ200" s="123" t="str">
        <f t="shared" si="303"/>
        <v/>
      </c>
      <c r="DK200" s="123" t="str">
        <f t="shared" si="304"/>
        <v/>
      </c>
      <c r="DL200" s="97" t="str">
        <f t="shared" ca="1" si="305"/>
        <v/>
      </c>
      <c r="DM200" s="98" t="str">
        <f>IF(DO200&lt;&gt;"",VLOOKUP($P200&amp;" | "&amp;DM$6,'Job Master'!$F$12:$J$102,5,0),"")</f>
        <v/>
      </c>
      <c r="DN200" s="19" t="str">
        <f>IF(DO200&lt;&gt;"",VLOOKUP($P200&amp;" | "&amp;DM$6,'Job Master'!$F$12:$J$102,3,0),"")</f>
        <v/>
      </c>
      <c r="DO200" s="19" t="str">
        <f>IFERROR(IF(AND(DT200&lt;&gt;"",VLOOKUP($P200&amp;" | "&amp;DM$6,'Job Master'!$F$12:$I$102,4,0)&lt;&gt;""),IF(WEEKDAY(DT200-VLOOKUP($P200&amp;" | "&amp;DM$6,'Job Master'!$F$12:$I$102,4,0))&lt;&gt;7,DT200-VLOOKUP($P200&amp;" | "&amp;DM$6,'Job Master'!$F$12:$I$102,4,0),DT200-VLOOKUP($P200&amp;" | "&amp;DM$6,'Job Master'!$F$12:$I$102,4,0)-1),""),"")</f>
        <v/>
      </c>
      <c r="DP200" s="73"/>
      <c r="DQ200" s="123" t="str">
        <f t="shared" si="306"/>
        <v/>
      </c>
      <c r="DR200" s="123" t="str">
        <f t="shared" si="307"/>
        <v/>
      </c>
      <c r="DS200" s="97" t="str">
        <f t="shared" ca="1" si="308"/>
        <v/>
      </c>
      <c r="DT200" s="70" t="str">
        <f t="shared" si="309"/>
        <v/>
      </c>
      <c r="DU200" s="90"/>
      <c r="DV200" s="123" t="str">
        <f t="shared" si="310"/>
        <v/>
      </c>
      <c r="DW200" s="123" t="str">
        <f t="shared" si="311"/>
        <v/>
      </c>
      <c r="DX200" s="132" t="str">
        <f t="shared" ref="DX200" ca="1" si="386">IF(DT200&lt;&gt;"",IF(WEEKNUM(DT200)=WEEKNUM(TODAY()),"This Week",IF(WEEKNUM(DT200)=WEEKNUM(TODAY())+1,"Next Week",IF(WEEKNUM(DT200)=WEEKNUM(TODAY())-1,"Previous Week",""))),"")</f>
        <v/>
      </c>
      <c r="DY200" s="134" t="str">
        <f t="shared" si="313"/>
        <v/>
      </c>
      <c r="DZ200" s="95"/>
      <c r="EB200" s="8" t="str">
        <f t="shared" si="319"/>
        <v/>
      </c>
      <c r="EC200" s="8" t="str">
        <f>IF(O200&lt;&gt;"",VLOOKUP(O200,'Job Master'!$N$12:$O$18,2,0),"")</f>
        <v/>
      </c>
      <c r="ED200" s="8">
        <f t="shared" si="320"/>
        <v>19.5</v>
      </c>
      <c r="EE200" s="8">
        <f t="shared" si="321"/>
        <v>6</v>
      </c>
      <c r="EF200" s="8">
        <f t="shared" si="322"/>
        <v>-1120.5</v>
      </c>
      <c r="EG200" s="8" t="str">
        <f t="shared" si="323"/>
        <v/>
      </c>
      <c r="EH200" s="8" t="str">
        <f t="shared" si="324"/>
        <v/>
      </c>
    </row>
    <row r="201" spans="2:138" x14ac:dyDescent="0.3">
      <c r="B201" s="112"/>
      <c r="C201" s="27"/>
      <c r="D201" s="7" t="str">
        <f t="shared" ref="D201:J264" si="387">IF(IF(C201&lt;&gt;"",C201,IF($AA201&lt;&gt;"",D200,""))&lt;&gt;0,IF(C201&lt;&gt;"",C201,IF($AA201&lt;&gt;"",D200,"")),"")</f>
        <v/>
      </c>
      <c r="E201" s="25"/>
      <c r="F201" s="7" t="str">
        <f t="shared" si="387"/>
        <v/>
      </c>
      <c r="G201" s="25"/>
      <c r="H201" s="7" t="str">
        <f t="shared" si="387"/>
        <v/>
      </c>
      <c r="I201" s="25"/>
      <c r="J201" s="7" t="str">
        <f t="shared" si="387"/>
        <v/>
      </c>
      <c r="K201" s="25"/>
      <c r="L201" s="7" t="str">
        <f t="shared" ref="L201:L264" si="388">IF(IF(K201&lt;&gt;"",K201,IF($AA201&lt;&gt;"",L200,""))&lt;&gt;0,IF(K201&lt;&gt;"",K201,IF($AA201&lt;&gt;"",L200,"")),"")</f>
        <v/>
      </c>
      <c r="M201" s="25"/>
      <c r="N201" s="7" t="str">
        <f t="shared" ref="N201:N264" si="389">IF(IF(M201&lt;&gt;"",M201,IF($AA201&lt;&gt;"",N200,""))&lt;&gt;0,IF(M201&lt;&gt;"",M201,IF($AA201&lt;&gt;"",N200,"")),"")</f>
        <v/>
      </c>
      <c r="O201" s="81"/>
      <c r="P201" s="81" t="str">
        <f t="shared" ref="P201:P264" si="390">IF(IF(O201&lt;&gt;"",O201,IF($AA201&lt;&gt;"",P200,""))&lt;&gt;0,IF(O201&lt;&gt;"",O201,IF($AA201&lt;&gt;"",P200,"")),"")</f>
        <v/>
      </c>
      <c r="Q201" s="81"/>
      <c r="R201" s="7" t="str">
        <f t="shared" ref="R201:R264" si="391">IF(IF(Q201&lt;&gt;"",Q201,IF($AA201&lt;&gt;"",R200,""))&lt;&gt;0,IF(Q201&lt;&gt;"",Q201,IF($AA201&lt;&gt;"",R200,"")),"")</f>
        <v/>
      </c>
      <c r="S201" s="25"/>
      <c r="T201" s="7" t="str">
        <f t="shared" ref="T201:T264" si="392">IF(IF(S201&lt;&gt;"",S201,IF($AA201&lt;&gt;"",T200,""))&lt;&gt;0,IF(S201&lt;&gt;"",S201,IF($AA201&lt;&gt;"",T200,"")),"")</f>
        <v/>
      </c>
      <c r="U201" s="25"/>
      <c r="V201" s="7" t="str">
        <f t="shared" ref="V201:V264" si="393">IF(IF(U201&lt;&gt;"",U201,IF($AA201&lt;&gt;"",V200,""))&lt;&gt;0,IF(U201&lt;&gt;"",U201,IF($AA201&lt;&gt;"",V200,"")),"")</f>
        <v/>
      </c>
      <c r="W201" s="25"/>
      <c r="X201" s="7" t="str">
        <f t="shared" ref="X201:X264" si="394">IF(IF(W201&lt;&gt;"",W201,IF($AA201&lt;&gt;"",X200,""))&lt;&gt;0,IF(W201&lt;&gt;"",W201,IF($AA201&lt;&gt;"",X200,"")),"")</f>
        <v/>
      </c>
      <c r="Y201" s="18" t="str">
        <f t="shared" ref="Y201:Y264" si="395">IF(AND(W201&lt;&gt;"",U201&lt;&gt;""),U201*W201,"")</f>
        <v/>
      </c>
      <c r="Z201" s="7" t="str">
        <f t="shared" ref="Z201:Z264" si="396">IF(IF(Y201&lt;&gt;"",Y201,IF($AA201&lt;&gt;"",Z200,""))&lt;&gt;0,IF(Y201&lt;&gt;"",Y201,IF($AA201&lt;&gt;"",Z200,"")),"")</f>
        <v/>
      </c>
      <c r="AA201" s="18" t="str">
        <f t="shared" ref="AA201:AA264" si="397">IF(EH201&lt;&gt;"",EH201,"")</f>
        <v/>
      </c>
      <c r="AB201" s="19" t="str">
        <f t="shared" ref="AB201:AB264" si="398">IF(AA201&lt;&gt;"",IF(WEEKDAY(IF(AF201&lt;&gt;"",AF201,IF(AD201&lt;&gt;"",AD201,IF(AC201&lt;&gt;"",AC201,IF(AND(AC201="",AD201="",AF201="",AA201&lt;&gt;""),AB200-1,"")))))&lt;&gt;7,IF(AF201&lt;&gt;"",AF201,IF(AD201&lt;&gt;"",AD201,IF(AC201&lt;&gt;"",AC201,IF(AND(AC201="",AD201="",AF201="",AA201&lt;&gt;""),AB200-1,"")))),IF(AF201&lt;&gt;"",AF201,IF(AD201&lt;&gt;"",AD201,IF(AC201&lt;&gt;"",AC201,IF(AND(AC201="",AD201="",AF201="",AA201&lt;&gt;""),AB200-1,""))))-1),"")</f>
        <v/>
      </c>
      <c r="AC201" s="26"/>
      <c r="AD201" s="26"/>
      <c r="AE201" s="25"/>
      <c r="AF201" s="26"/>
      <c r="AG201" s="25"/>
      <c r="AH201" s="25"/>
      <c r="AI201" s="18" t="str">
        <f t="shared" si="335"/>
        <v/>
      </c>
      <c r="AJ201" s="25"/>
      <c r="AK201" s="18" t="str">
        <f t="shared" si="336"/>
        <v/>
      </c>
      <c r="AL201" s="79"/>
      <c r="AM201" s="126" t="str">
        <f t="shared" si="337"/>
        <v/>
      </c>
      <c r="AN201" s="128" t="str">
        <f>IF(AP201&lt;&gt;"",VLOOKUP($P201&amp;" | "&amp;AN$6,'Job Master'!$F$12:$J$102,5,0),"")</f>
        <v/>
      </c>
      <c r="AO201" s="19" t="str">
        <f>IF(AP201&lt;&gt;"",VLOOKUP($P201&amp;" | "&amp;AN$6,'Job Master'!$F$12:$J$102,3,0),"")</f>
        <v/>
      </c>
      <c r="AP201" s="19" t="str">
        <f>IFERROR(IF(AND(AW201&lt;&gt;"",VLOOKUP($P201&amp;" | "&amp;AN$6,'Job Master'!$F$12:$I$102,4,0)&lt;&gt;""),IF(WEEKDAY(AW201-VLOOKUP($P201&amp;" | "&amp;AN$6,'Job Master'!$F$12:$I$102,4,0))&lt;&gt;7,AW201-VLOOKUP($P201&amp;" | "&amp;AN$6,'Job Master'!$F$12:$I$102,4,0),AW201-VLOOKUP($P201&amp;" | "&amp;AN$6,'Job Master'!$F$12:$I$102,4,0)-1),""),"")</f>
        <v/>
      </c>
      <c r="AQ201" s="73"/>
      <c r="AR201" s="123" t="str">
        <f t="shared" ref="AR201:AR264" si="399">IF(AP201&lt;&gt;"",MONTH(AP201),"")</f>
        <v/>
      </c>
      <c r="AS201" s="123" t="str">
        <f t="shared" ref="AS201:AS264" si="400">IF(AND(AQ201&lt;&gt;"",AP201&lt;&gt;""),IF(AQ201&gt;AP201,"Delayed",IF(AQ201=AP201,"On Time",IF(AQ201&lt;AP201,"In Advance"))),"")</f>
        <v/>
      </c>
      <c r="AT201" s="97" t="str">
        <f t="shared" ref="AT201:AT264" ca="1" si="401">IF(AP201&lt;&gt;"",IF(WEEKNUM(AP201)=WEEKNUM(TODAY()),"This Week",IF(WEEKNUM(AP201)=WEEKNUM(TODAY())+1,"Next Week",IF(WEEKNUM(AP201)=WEEKNUM(TODAY())-1,"Previous Week",""))),"")</f>
        <v/>
      </c>
      <c r="AU201" s="98" t="str">
        <f>IF(AW201&lt;&gt;"",VLOOKUP($P201&amp;" | "&amp;AU$6,'Job Master'!$F$12:$J$102,5,0),"")</f>
        <v/>
      </c>
      <c r="AV201" s="19" t="str">
        <f>IF(AW201&lt;&gt;"",VLOOKUP($P201&amp;" | "&amp;AU$6,'Job Master'!$F$12:$J$102,3,0),"")</f>
        <v/>
      </c>
      <c r="AW201" s="19" t="str">
        <f>IFERROR(IF(AND(BD201&lt;&gt;"",VLOOKUP($P201&amp;" | "&amp;AU$6,'Job Master'!$F$12:$I$102,4,0)&lt;&gt;""),IF(WEEKDAY(BD201-VLOOKUP($P201&amp;" | "&amp;AU$6,'Job Master'!$F$12:$I$102,4,0))&lt;&gt;7,BD201-VLOOKUP($P201&amp;" | "&amp;AU$6,'Job Master'!$F$12:$I$102,4,0),BD201-VLOOKUP($P201&amp;" | "&amp;AU$6,'Job Master'!$F$12:$I$102,4,0)-1),""),"")</f>
        <v/>
      </c>
      <c r="AX201" s="73"/>
      <c r="AY201" s="123" t="str">
        <f t="shared" ref="AY201:AY264" si="402">IF(AW201&lt;&gt;"",MONTH(AW201),"")</f>
        <v/>
      </c>
      <c r="AZ201" s="123" t="str">
        <f t="shared" ref="AZ201:AZ264" si="403">IF(AND(AX201&lt;&gt;"",AW201&lt;&gt;""),IF(AX201&gt;AW201,"Delayed",IF(AX201=AW201,"On Time",IF(AX201&lt;AW201,"In Advance"))),"")</f>
        <v/>
      </c>
      <c r="BA201" s="97" t="str">
        <f t="shared" ref="BA201:BA264" ca="1" si="404">IF(AW201&lt;&gt;"",IF(WEEKNUM(AW201)=WEEKNUM(TODAY()),"This Week",IF(WEEKNUM(AW201)=WEEKNUM(TODAY())+1,"Next Week",IF(WEEKNUM(AW201)=WEEKNUM(TODAY())-1,"Previous Week",""))),"")</f>
        <v/>
      </c>
      <c r="BB201" s="98" t="str">
        <f>IF(BD201&lt;&gt;"",VLOOKUP($P201&amp;" | "&amp;BB$6,'Job Master'!$F$12:$J$102,5,0),"")</f>
        <v/>
      </c>
      <c r="BC201" s="19" t="str">
        <f>IF(BD201&lt;&gt;"",VLOOKUP($P201&amp;" | "&amp;BB$6,'Job Master'!$F$12:$J$102,3,0),"")</f>
        <v/>
      </c>
      <c r="BD201" s="19" t="str">
        <f>IFERROR(IF(AND(BK201&lt;&gt;"",VLOOKUP($P201&amp;" | "&amp;BB$6,'Job Master'!$F$12:$I$102,4,0)&lt;&gt;""),IF(WEEKDAY(BK201-VLOOKUP($P201&amp;" | "&amp;BB$6,'Job Master'!$F$12:$I$102,4,0))&lt;&gt;7,BK201-VLOOKUP($P201&amp;" | "&amp;BB$6,'Job Master'!$F$12:$I$102,4,0),BK201-VLOOKUP($P201&amp;" | "&amp;BB$6,'Job Master'!$F$12:$I$102,4,0)-1),""),"")</f>
        <v/>
      </c>
      <c r="BE201" s="73"/>
      <c r="BF201" s="123" t="str">
        <f t="shared" ref="BF201:BF264" si="405">IF(BD201&lt;&gt;"",MONTH(BD201),"")</f>
        <v/>
      </c>
      <c r="BG201" s="123" t="str">
        <f t="shared" ref="BG201:BG264" si="406">IF(AND(BE201&lt;&gt;"",BD201&lt;&gt;""),IF(BE201&gt;BD201,"Delayed",IF(BE201=BD201,"On Time",IF(BE201&lt;BD201,"In Advance"))),"")</f>
        <v/>
      </c>
      <c r="BH201" s="97" t="str">
        <f t="shared" ref="BH201:BH264" ca="1" si="407">IF(BD201&lt;&gt;"",IF(WEEKNUM(BD201)=WEEKNUM(TODAY()),"This Week",IF(WEEKNUM(BD201)=WEEKNUM(TODAY())+1,"Next Week",IF(WEEKNUM(BD201)=WEEKNUM(TODAY())-1,"Previous Week",""))),"")</f>
        <v/>
      </c>
      <c r="BI201" s="98" t="str">
        <f>IF(BK201&lt;&gt;"",VLOOKUP($P201&amp;" | "&amp;BI$6,'Job Master'!$F$12:$J$102,5,0),"")</f>
        <v/>
      </c>
      <c r="BJ201" s="19" t="str">
        <f>IF(BK201&lt;&gt;"",VLOOKUP($P201&amp;" | "&amp;BI$6,'Job Master'!$F$12:$J$102,3,0),"")</f>
        <v/>
      </c>
      <c r="BK201" s="19" t="str">
        <f>IFERROR(IF(AND(BR201&lt;&gt;"",VLOOKUP($P201&amp;" | "&amp;BI$6,'Job Master'!$F$12:$I$102,4,0)&lt;&gt;""),IF(WEEKDAY(BR201-VLOOKUP($P201&amp;" | "&amp;BI$6,'Job Master'!$F$12:$I$102,4,0))&lt;&gt;7,BR201-VLOOKUP($P201&amp;" | "&amp;BI$6,'Job Master'!$F$12:$I$102,4,0),BR201-VLOOKUP($P201&amp;" | "&amp;BI$6,'Job Master'!$F$12:$I$102,4,0)-1),""),"")</f>
        <v/>
      </c>
      <c r="BL201" s="73"/>
      <c r="BM201" s="123" t="str">
        <f t="shared" ref="BM201:BM264" si="408">IF(BK201&lt;&gt;"",MONTH(BK201),"")</f>
        <v/>
      </c>
      <c r="BN201" s="123" t="str">
        <f t="shared" ref="BN201:BN264" si="409">IF(AND(BL201&lt;&gt;"",BK201&lt;&gt;""),IF(BL201&gt;BK201,"Delayed",IF(BL201=BK201,"On Time",IF(BL201&lt;BK201,"In Advance"))),"")</f>
        <v/>
      </c>
      <c r="BO201" s="97" t="str">
        <f t="shared" ref="BO201:BO264" ca="1" si="410">IF(BK201&lt;&gt;"",IF(WEEKNUM(BK201)=WEEKNUM(TODAY()),"This Week",IF(WEEKNUM(BK201)=WEEKNUM(TODAY())+1,"Next Week",IF(WEEKNUM(BK201)=WEEKNUM(TODAY())-1,"Previous Week",""))),"")</f>
        <v/>
      </c>
      <c r="BP201" s="98" t="str">
        <f>IF(BR201&lt;&gt;"",VLOOKUP($P201&amp;" | "&amp;BP$6,'Job Master'!$F$12:$J$102,5,0),"")</f>
        <v/>
      </c>
      <c r="BQ201" s="19" t="str">
        <f>IF(BR201&lt;&gt;"",VLOOKUP($P201&amp;" | "&amp;BP$6,'Job Master'!$F$12:$J$102,3,0),"")</f>
        <v/>
      </c>
      <c r="BR201" s="19" t="str">
        <f>IFERROR(IF(AND(BY201&lt;&gt;"",VLOOKUP($P201&amp;" | "&amp;BP$6,'Job Master'!$F$12:$I$102,4,0)&lt;&gt;""),IF(WEEKDAY(BY201-VLOOKUP($P201&amp;" | "&amp;BP$6,'Job Master'!$F$12:$I$102,4,0))&lt;&gt;7,BY201-VLOOKUP($P201&amp;" | "&amp;BP$6,'Job Master'!$F$12:$I$102,4,0),BY201-VLOOKUP($P201&amp;" | "&amp;BP$6,'Job Master'!$F$12:$I$102,4,0)-1),""),"")</f>
        <v/>
      </c>
      <c r="BS201" s="73"/>
      <c r="BT201" s="123" t="str">
        <f t="shared" ref="BT201:BT264" si="411">IF(BR201&lt;&gt;"",MONTH(BR201),"")</f>
        <v/>
      </c>
      <c r="BU201" s="123" t="str">
        <f t="shared" ref="BU201:BU264" si="412">IF(AND(BS201&lt;&gt;"",BR201&lt;&gt;""),IF(BS201&gt;BR201,"Delayed",IF(BS201=BR201,"On Time",IF(BS201&lt;BR201,"In Advance"))),"")</f>
        <v/>
      </c>
      <c r="BV201" s="97" t="str">
        <f t="shared" ref="BV201:BV264" ca="1" si="413">IF(BR201&lt;&gt;"",IF(WEEKNUM(BR201)=WEEKNUM(TODAY()),"This Week",IF(WEEKNUM(BR201)=WEEKNUM(TODAY())+1,"Next Week",IF(WEEKNUM(BR201)=WEEKNUM(TODAY())-1,"Previous Week",""))),"")</f>
        <v/>
      </c>
      <c r="BW201" s="98" t="str">
        <f>IF(BY201&lt;&gt;"",VLOOKUP($P201&amp;" | "&amp;BW$6,'Job Master'!$F$12:$J$102,5,0),"")</f>
        <v/>
      </c>
      <c r="BX201" s="19" t="str">
        <f>IF(BY201&lt;&gt;"",VLOOKUP($P201&amp;" | "&amp;BW$6,'Job Master'!$F$12:$J$102,3,0),"")</f>
        <v/>
      </c>
      <c r="BY201" s="19" t="str">
        <f>IFERROR(IF(AND(CF201&lt;&gt;"",VLOOKUP($P201&amp;" | "&amp;BW$6,'Job Master'!$F$12:$I$102,4,0)&lt;&gt;""),IF(WEEKDAY(CF201-VLOOKUP($P201&amp;" | "&amp;BW$6,'Job Master'!$F$12:$I$102,4,0))&lt;&gt;7,CF201-VLOOKUP($P201&amp;" | "&amp;BW$6,'Job Master'!$F$12:$I$102,4,0),CF201-VLOOKUP($P201&amp;" | "&amp;BW$6,'Job Master'!$F$12:$I$102,4,0)-1),""),"")</f>
        <v/>
      </c>
      <c r="BZ201" s="73"/>
      <c r="CA201" s="123" t="str">
        <f t="shared" ref="CA201:CA264" si="414">IF(BY201&lt;&gt;"",MONTH(BY201),"")</f>
        <v/>
      </c>
      <c r="CB201" s="123" t="str">
        <f t="shared" ref="CB201:CB264" si="415">IF(AND(BZ201&lt;&gt;"",BY201&lt;&gt;""),IF(BZ201&gt;BY201,"Delayed",IF(BZ201=BY201,"On Time",IF(BZ201&lt;BY201,"In Advance"))),"")</f>
        <v/>
      </c>
      <c r="CC201" s="97" t="str">
        <f t="shared" ref="CC201:CC264" ca="1" si="416">IF(BY201&lt;&gt;"",IF(WEEKNUM(BY201)=WEEKNUM(TODAY()),"This Week",IF(WEEKNUM(BY201)=WEEKNUM(TODAY())+1,"Next Week",IF(WEEKNUM(BY201)=WEEKNUM(TODAY())-1,"Previous Week",""))),"")</f>
        <v/>
      </c>
      <c r="CD201" s="98" t="str">
        <f>IF(CF201&lt;&gt;"",VLOOKUP($P201&amp;" | "&amp;CD$6,'Job Master'!$F$12:$J$102,5,0),"")</f>
        <v/>
      </c>
      <c r="CE201" s="19" t="str">
        <f>IF(CF201&lt;&gt;"",VLOOKUP($P201&amp;" | "&amp;CD$6,'Job Master'!$F$12:$J$102,3,0),"")</f>
        <v/>
      </c>
      <c r="CF201" s="19" t="str">
        <f>IFERROR(IF(AND(CM201&lt;&gt;"",VLOOKUP($P201&amp;" | "&amp;CD$6,'Job Master'!$F$12:$I$102,4,0)&lt;&gt;""),IF(WEEKDAY(CM201-VLOOKUP($P201&amp;" | "&amp;CD$6,'Job Master'!$F$12:$I$102,4,0))&lt;&gt;7,CM201-VLOOKUP($P201&amp;" | "&amp;CD$6,'Job Master'!$F$12:$I$102,4,0),CM201-VLOOKUP($P201&amp;" | "&amp;CD$6,'Job Master'!$F$12:$I$102,4,0)-1),""),"")</f>
        <v/>
      </c>
      <c r="CG201" s="73"/>
      <c r="CH201" s="123" t="str">
        <f t="shared" ref="CH201:CH264" si="417">IF(CF201&lt;&gt;"",MONTH(CF201),"")</f>
        <v/>
      </c>
      <c r="CI201" s="123" t="str">
        <f t="shared" ref="CI201:CI264" si="418">IF(AND(CG201&lt;&gt;"",CF201&lt;&gt;""),IF(CG201&gt;CF201,"Delayed",IF(CG201=CF201,"On Time",IF(CG201&lt;CF201,"In Advance"))),"")</f>
        <v/>
      </c>
      <c r="CJ201" s="97" t="str">
        <f t="shared" ref="CJ201:CJ264" ca="1" si="419">IF(CF201&lt;&gt;"",IF(WEEKNUM(CF201)=WEEKNUM(TODAY()),"This Week",IF(WEEKNUM(CF201)=WEEKNUM(TODAY())+1,"Next Week",IF(WEEKNUM(CF201)=WEEKNUM(TODAY())-1,"Previous Week",""))),"")</f>
        <v/>
      </c>
      <c r="CK201" s="98" t="str">
        <f>IF(CM201&lt;&gt;"",VLOOKUP($P201&amp;" | "&amp;CK$6,'Job Master'!$F$12:$J$102,5,0),"")</f>
        <v/>
      </c>
      <c r="CL201" s="19" t="str">
        <f>IF(CM201&lt;&gt;"",VLOOKUP($P201&amp;" | "&amp;CK$6,'Job Master'!$F$12:$J$102,3,0),"")</f>
        <v/>
      </c>
      <c r="CM201" s="19" t="str">
        <f>IFERROR(IF(AND(CT201&lt;&gt;"",VLOOKUP($P201&amp;" | "&amp;CK$6,'Job Master'!$F$12:$I$102,4,0)&lt;&gt;""),IF(WEEKDAY(CT201-VLOOKUP($P201&amp;" | "&amp;CK$6,'Job Master'!$F$12:$I$102,4,0))&lt;&gt;7,CT201-VLOOKUP($P201&amp;" | "&amp;CK$6,'Job Master'!$F$12:$I$102,4,0),CT201-VLOOKUP($P201&amp;" | "&amp;CK$6,'Job Master'!$F$12:$I$102,4,0)-1),""),"")</f>
        <v/>
      </c>
      <c r="CN201" s="73"/>
      <c r="CO201" s="123" t="str">
        <f t="shared" ref="CO201:CO264" si="420">IF(CM201&lt;&gt;"",MONTH(CM201),"")</f>
        <v/>
      </c>
      <c r="CP201" s="123" t="str">
        <f t="shared" ref="CP201:CP264" si="421">IF(AND(CN201&lt;&gt;"",CM201&lt;&gt;""),IF(CN201&gt;CM201,"Delayed",IF(CN201=CM201,"On Time",IF(CN201&lt;CM201,"In Advance"))),"")</f>
        <v/>
      </c>
      <c r="CQ201" s="97" t="str">
        <f t="shared" ref="CQ201:CQ264" ca="1" si="422">IF(CM201&lt;&gt;"",IF(WEEKNUM(CM201)=WEEKNUM(TODAY()),"This Week",IF(WEEKNUM(CM201)=WEEKNUM(TODAY())+1,"Next Week",IF(WEEKNUM(CM201)=WEEKNUM(TODAY())-1,"Previous Week",""))),"")</f>
        <v/>
      </c>
      <c r="CR201" s="98" t="str">
        <f>IF(CT201&lt;&gt;"",VLOOKUP($P201&amp;" | "&amp;CR$6,'Job Master'!$F$12:$J$102,5,0),"")</f>
        <v/>
      </c>
      <c r="CS201" s="19" t="str">
        <f>IF(CT201&lt;&gt;"",VLOOKUP($P201&amp;" | "&amp;CR$6,'Job Master'!$F$12:$J$102,3,0),"")</f>
        <v/>
      </c>
      <c r="CT201" s="19" t="str">
        <f>IFERROR(IF(AND(DA201&lt;&gt;"",VLOOKUP($P201&amp;" | "&amp;CR$6,'Job Master'!$F$12:$I$102,4,0)&lt;&gt;""),IF(WEEKDAY(DA201-VLOOKUP($P201&amp;" | "&amp;CR$6,'Job Master'!$F$12:$I$102,4,0))&lt;&gt;7,DA201-VLOOKUP($P201&amp;" | "&amp;CR$6,'Job Master'!$F$12:$I$102,4,0),DA201-VLOOKUP($P201&amp;" | "&amp;CR$6,'Job Master'!$F$12:$I$102,4,0)-1),""),"")</f>
        <v/>
      </c>
      <c r="CU201" s="73"/>
      <c r="CV201" s="123" t="str">
        <f t="shared" ref="CV201:CV264" si="423">IF(CT201&lt;&gt;"",MONTH(CT201),"")</f>
        <v/>
      </c>
      <c r="CW201" s="123" t="str">
        <f t="shared" ref="CW201:CW264" si="424">IF(AND(CU201&lt;&gt;"",CT201&lt;&gt;""),IF(CU201&gt;CT201,"Delayed",IF(CU201=CT201,"On Time",IF(CU201&lt;CT201,"In Advance"))),"")</f>
        <v/>
      </c>
      <c r="CX201" s="97" t="str">
        <f t="shared" ref="CX201:CX264" ca="1" si="425">IF(CT201&lt;&gt;"",IF(WEEKNUM(CT201)=WEEKNUM(TODAY()),"This Week",IF(WEEKNUM(CT201)=WEEKNUM(TODAY())+1,"Next Week",IF(WEEKNUM(CT201)=WEEKNUM(TODAY())-1,"Previous Week",""))),"")</f>
        <v/>
      </c>
      <c r="CY201" s="98" t="str">
        <f>IF(DA201&lt;&gt;"",VLOOKUP($P201&amp;" | "&amp;CY$6,'Job Master'!$F$12:$J$102,5,0),"")</f>
        <v/>
      </c>
      <c r="CZ201" s="19" t="str">
        <f>IF(DA201&lt;&gt;"",VLOOKUP($P201&amp;" | "&amp;CY$6,'Job Master'!$F$12:$J$102,3,0),"")</f>
        <v/>
      </c>
      <c r="DA201" s="19" t="str">
        <f>IFERROR(IF(AND(DH201&lt;&gt;"",VLOOKUP($P201&amp;" | "&amp;CY$6,'Job Master'!$F$12:$I$102,4,0)&lt;&gt;""),IF(WEEKDAY(DH201-VLOOKUP($P201&amp;" | "&amp;CY$6,'Job Master'!$F$12:$I$102,4,0))&lt;&gt;7,DH201-VLOOKUP($P201&amp;" | "&amp;CY$6,'Job Master'!$F$12:$I$102,4,0),DH201-VLOOKUP($P201&amp;" | "&amp;CY$6,'Job Master'!$F$12:$I$102,4,0)-1),""),"")</f>
        <v/>
      </c>
      <c r="DB201" s="73"/>
      <c r="DC201" s="123" t="str">
        <f t="shared" ref="DC201:DC264" si="426">IF(DA201&lt;&gt;"",MONTH(DA201),"")</f>
        <v/>
      </c>
      <c r="DD201" s="123" t="str">
        <f t="shared" ref="DD201:DD264" si="427">IF(AND(DB201&lt;&gt;"",DA201&lt;&gt;""),IF(DB201&gt;DA201,"Delayed",IF(DB201=DA201,"On Time",IF(DB201&lt;DA201,"In Advance"))),"")</f>
        <v/>
      </c>
      <c r="DE201" s="97" t="str">
        <f t="shared" ref="DE201:DE264" ca="1" si="428">IF(DA201&lt;&gt;"",IF(WEEKNUM(DA201)=WEEKNUM(TODAY()),"This Week",IF(WEEKNUM(DA201)=WEEKNUM(TODAY())+1,"Next Week",IF(WEEKNUM(DA201)=WEEKNUM(TODAY())-1,"Previous Week",""))),"")</f>
        <v/>
      </c>
      <c r="DF201" s="98" t="str">
        <f>IF(DH201&lt;&gt;"",VLOOKUP($P201&amp;" | "&amp;DF$6,'Job Master'!$F$12:$J$102,5,0),"")</f>
        <v/>
      </c>
      <c r="DG201" s="19" t="str">
        <f>IF(DH201&lt;&gt;"",VLOOKUP($P201&amp;" | "&amp;DF$6,'Job Master'!$F$12:$J$102,3,0),"")</f>
        <v/>
      </c>
      <c r="DH201" s="19" t="str">
        <f>IFERROR(IF(AND(DO201&lt;&gt;"",VLOOKUP($P201&amp;" | "&amp;DF$6,'Job Master'!$F$12:$I$102,4,0)&lt;&gt;""),IF(WEEKDAY(DO201-VLOOKUP($P201&amp;" | "&amp;DF$6,'Job Master'!$F$12:$I$102,4,0))&lt;&gt;7,DO201-VLOOKUP($P201&amp;" | "&amp;DF$6,'Job Master'!$F$12:$I$102,4,0),DO201-VLOOKUP($P201&amp;" | "&amp;DF$6,'Job Master'!$F$12:$I$102,4,0)-1),""),"")</f>
        <v/>
      </c>
      <c r="DI201" s="73"/>
      <c r="DJ201" s="123" t="str">
        <f t="shared" ref="DJ201:DJ264" si="429">IF(DH201&lt;&gt;"",MONTH(DH201),"")</f>
        <v/>
      </c>
      <c r="DK201" s="123" t="str">
        <f t="shared" ref="DK201:DK264" si="430">IF(AND(DI201&lt;&gt;"",DH201&lt;&gt;""),IF(DI201&gt;DH201,"Delayed",IF(DI201=DH201,"On Time",IF(DI201&lt;DH201,"In Advance"))),"")</f>
        <v/>
      </c>
      <c r="DL201" s="97" t="str">
        <f t="shared" ref="DL201:DL264" ca="1" si="431">IF(DH201&lt;&gt;"",IF(WEEKNUM(DH201)=WEEKNUM(TODAY()),"This Week",IF(WEEKNUM(DH201)=WEEKNUM(TODAY())+1,"Next Week",IF(WEEKNUM(DH201)=WEEKNUM(TODAY())-1,"Previous Week",""))),"")</f>
        <v/>
      </c>
      <c r="DM201" s="98" t="str">
        <f>IF(DO201&lt;&gt;"",VLOOKUP($P201&amp;" | "&amp;DM$6,'Job Master'!$F$12:$J$102,5,0),"")</f>
        <v/>
      </c>
      <c r="DN201" s="19" t="str">
        <f>IF(DO201&lt;&gt;"",VLOOKUP($P201&amp;" | "&amp;DM$6,'Job Master'!$F$12:$J$102,3,0),"")</f>
        <v/>
      </c>
      <c r="DO201" s="19" t="str">
        <f>IFERROR(IF(AND(DT201&lt;&gt;"",VLOOKUP($P201&amp;" | "&amp;DM$6,'Job Master'!$F$12:$I$102,4,0)&lt;&gt;""),IF(WEEKDAY(DT201-VLOOKUP($P201&amp;" | "&amp;DM$6,'Job Master'!$F$12:$I$102,4,0))&lt;&gt;7,DT201-VLOOKUP($P201&amp;" | "&amp;DM$6,'Job Master'!$F$12:$I$102,4,0),DT201-VLOOKUP($P201&amp;" | "&amp;DM$6,'Job Master'!$F$12:$I$102,4,0)-1),""),"")</f>
        <v/>
      </c>
      <c r="DP201" s="73"/>
      <c r="DQ201" s="123" t="str">
        <f t="shared" ref="DQ201:DQ264" si="432">IF(DO201&lt;&gt;"",MONTH(DO201),"")</f>
        <v/>
      </c>
      <c r="DR201" s="123" t="str">
        <f t="shared" ref="DR201:DR264" si="433">IF(AND(DP201&lt;&gt;"",DO201&lt;&gt;""),IF(DP201&gt;DO201,"Delayed",IF(DP201=DO201,"On Time",IF(DP201&lt;DO201,"In Advance"))),"")</f>
        <v/>
      </c>
      <c r="DS201" s="97" t="str">
        <f t="shared" ref="DS201:DS264" ca="1" si="434">IF(DO201&lt;&gt;"",IF(WEEKNUM(DO201)=WEEKNUM(TODAY()),"This Week",IF(WEEKNUM(DO201)=WEEKNUM(TODAY())+1,"Next Week",IF(WEEKNUM(DO201)=WEEKNUM(TODAY())-1,"Previous Week",""))),"")</f>
        <v/>
      </c>
      <c r="DT201" s="70" t="str">
        <f t="shared" ref="DT201:DT264" si="435">IF(AB201&lt;&gt;"",AB201,"")</f>
        <v/>
      </c>
      <c r="DU201" s="90"/>
      <c r="DV201" s="123" t="str">
        <f t="shared" ref="DV201:DV264" si="436">IF(DT201&lt;&gt;"",MONTH(DT201),"")</f>
        <v/>
      </c>
      <c r="DW201" s="123" t="str">
        <f t="shared" ref="DW201:DW264" si="437">IF(AND(DU201&lt;&gt;"",DT201&lt;&gt;""),IF(DU201&gt;DT201,"Delayed",IF(DU201=DT201,"On Time",IF(DU201&lt;DT201,"In Advance"))),"")</f>
        <v/>
      </c>
      <c r="DX201" s="132" t="str">
        <f t="shared" ref="DX201" ca="1" si="438">IF(DT201&lt;&gt;"",IF(WEEKNUM(DT201)=WEEKNUM(TODAY()),"This Week",IF(WEEKNUM(DT201)=WEEKNUM(TODAY())+1,"Next Week",IF(WEEKNUM(DT201)=WEEKNUM(TODAY())-1,"Previous Week",""))),"")</f>
        <v/>
      </c>
      <c r="DY201" s="134" t="str">
        <f t="shared" ref="DY201:DY264" si="439">IF(AND(DT201&lt;&gt;"",DU201&lt;&gt;""),DU201-DT201,"")</f>
        <v/>
      </c>
      <c r="DZ201" s="95"/>
      <c r="EB201" s="8" t="str">
        <f t="shared" si="319"/>
        <v/>
      </c>
      <c r="EC201" s="8" t="str">
        <f>IF(O201&lt;&gt;"",VLOOKUP(O201,'Job Master'!$N$12:$O$18,2,0),"")</f>
        <v/>
      </c>
      <c r="ED201" s="8">
        <f t="shared" si="320"/>
        <v>19.5</v>
      </c>
      <c r="EE201" s="8">
        <f t="shared" si="321"/>
        <v>6</v>
      </c>
      <c r="EF201" s="8">
        <f t="shared" si="322"/>
        <v>-1126.5</v>
      </c>
      <c r="EG201" s="8" t="str">
        <f t="shared" si="323"/>
        <v/>
      </c>
      <c r="EH201" s="8" t="str">
        <f t="shared" si="324"/>
        <v/>
      </c>
    </row>
    <row r="202" spans="2:138" x14ac:dyDescent="0.3">
      <c r="B202" s="112"/>
      <c r="C202" s="27"/>
      <c r="D202" s="7" t="str">
        <f t="shared" si="387"/>
        <v/>
      </c>
      <c r="E202" s="25"/>
      <c r="F202" s="7" t="str">
        <f t="shared" si="387"/>
        <v/>
      </c>
      <c r="G202" s="25"/>
      <c r="H202" s="7" t="str">
        <f t="shared" si="387"/>
        <v/>
      </c>
      <c r="I202" s="25"/>
      <c r="J202" s="7" t="str">
        <f t="shared" si="387"/>
        <v/>
      </c>
      <c r="K202" s="25"/>
      <c r="L202" s="7" t="str">
        <f t="shared" si="388"/>
        <v/>
      </c>
      <c r="M202" s="25"/>
      <c r="N202" s="7" t="str">
        <f t="shared" si="389"/>
        <v/>
      </c>
      <c r="O202" s="81"/>
      <c r="P202" s="81" t="str">
        <f t="shared" si="390"/>
        <v/>
      </c>
      <c r="Q202" s="81"/>
      <c r="R202" s="7" t="str">
        <f t="shared" si="391"/>
        <v/>
      </c>
      <c r="S202" s="25"/>
      <c r="T202" s="7" t="str">
        <f t="shared" si="392"/>
        <v/>
      </c>
      <c r="U202" s="25"/>
      <c r="V202" s="7" t="str">
        <f t="shared" si="393"/>
        <v/>
      </c>
      <c r="W202" s="25"/>
      <c r="X202" s="7" t="str">
        <f t="shared" si="394"/>
        <v/>
      </c>
      <c r="Y202" s="18" t="str">
        <f t="shared" si="395"/>
        <v/>
      </c>
      <c r="Z202" s="7" t="str">
        <f t="shared" si="396"/>
        <v/>
      </c>
      <c r="AA202" s="18" t="str">
        <f t="shared" si="397"/>
        <v/>
      </c>
      <c r="AB202" s="19" t="str">
        <f t="shared" si="398"/>
        <v/>
      </c>
      <c r="AC202" s="26"/>
      <c r="AD202" s="26"/>
      <c r="AE202" s="25"/>
      <c r="AF202" s="26"/>
      <c r="AG202" s="25"/>
      <c r="AH202" s="25"/>
      <c r="AI202" s="18" t="str">
        <f t="shared" si="335"/>
        <v/>
      </c>
      <c r="AJ202" s="25"/>
      <c r="AK202" s="18" t="str">
        <f t="shared" si="336"/>
        <v/>
      </c>
      <c r="AL202" s="79"/>
      <c r="AM202" s="126" t="str">
        <f t="shared" si="337"/>
        <v/>
      </c>
      <c r="AN202" s="128" t="str">
        <f>IF(AP202&lt;&gt;"",VLOOKUP($P202&amp;" | "&amp;AN$6,'Job Master'!$F$12:$J$102,5,0),"")</f>
        <v/>
      </c>
      <c r="AO202" s="19" t="str">
        <f>IF(AP202&lt;&gt;"",VLOOKUP($P202&amp;" | "&amp;AN$6,'Job Master'!$F$12:$J$102,3,0),"")</f>
        <v/>
      </c>
      <c r="AP202" s="19" t="str">
        <f>IFERROR(IF(AND(AW202&lt;&gt;"",VLOOKUP($P202&amp;" | "&amp;AN$6,'Job Master'!$F$12:$I$102,4,0)&lt;&gt;""),IF(WEEKDAY(AW202-VLOOKUP($P202&amp;" | "&amp;AN$6,'Job Master'!$F$12:$I$102,4,0))&lt;&gt;7,AW202-VLOOKUP($P202&amp;" | "&amp;AN$6,'Job Master'!$F$12:$I$102,4,0),AW202-VLOOKUP($P202&amp;" | "&amp;AN$6,'Job Master'!$F$12:$I$102,4,0)-1),""),"")</f>
        <v/>
      </c>
      <c r="AQ202" s="73"/>
      <c r="AR202" s="123" t="str">
        <f t="shared" si="399"/>
        <v/>
      </c>
      <c r="AS202" s="123" t="str">
        <f t="shared" si="400"/>
        <v/>
      </c>
      <c r="AT202" s="97" t="str">
        <f t="shared" ca="1" si="401"/>
        <v/>
      </c>
      <c r="AU202" s="98" t="str">
        <f>IF(AW202&lt;&gt;"",VLOOKUP($P202&amp;" | "&amp;AU$6,'Job Master'!$F$12:$J$102,5,0),"")</f>
        <v/>
      </c>
      <c r="AV202" s="19" t="str">
        <f>IF(AW202&lt;&gt;"",VLOOKUP($P202&amp;" | "&amp;AU$6,'Job Master'!$F$12:$J$102,3,0),"")</f>
        <v/>
      </c>
      <c r="AW202" s="19" t="str">
        <f>IFERROR(IF(AND(BD202&lt;&gt;"",VLOOKUP($P202&amp;" | "&amp;AU$6,'Job Master'!$F$12:$I$102,4,0)&lt;&gt;""),IF(WEEKDAY(BD202-VLOOKUP($P202&amp;" | "&amp;AU$6,'Job Master'!$F$12:$I$102,4,0))&lt;&gt;7,BD202-VLOOKUP($P202&amp;" | "&amp;AU$6,'Job Master'!$F$12:$I$102,4,0),BD202-VLOOKUP($P202&amp;" | "&amp;AU$6,'Job Master'!$F$12:$I$102,4,0)-1),""),"")</f>
        <v/>
      </c>
      <c r="AX202" s="73"/>
      <c r="AY202" s="123" t="str">
        <f t="shared" si="402"/>
        <v/>
      </c>
      <c r="AZ202" s="123" t="str">
        <f t="shared" si="403"/>
        <v/>
      </c>
      <c r="BA202" s="97" t="str">
        <f t="shared" ca="1" si="404"/>
        <v/>
      </c>
      <c r="BB202" s="98" t="str">
        <f>IF(BD202&lt;&gt;"",VLOOKUP($P202&amp;" | "&amp;BB$6,'Job Master'!$F$12:$J$102,5,0),"")</f>
        <v/>
      </c>
      <c r="BC202" s="19" t="str">
        <f>IF(BD202&lt;&gt;"",VLOOKUP($P202&amp;" | "&amp;BB$6,'Job Master'!$F$12:$J$102,3,0),"")</f>
        <v/>
      </c>
      <c r="BD202" s="19" t="str">
        <f>IFERROR(IF(AND(BK202&lt;&gt;"",VLOOKUP($P202&amp;" | "&amp;BB$6,'Job Master'!$F$12:$I$102,4,0)&lt;&gt;""),IF(WEEKDAY(BK202-VLOOKUP($P202&amp;" | "&amp;BB$6,'Job Master'!$F$12:$I$102,4,0))&lt;&gt;7,BK202-VLOOKUP($P202&amp;" | "&amp;BB$6,'Job Master'!$F$12:$I$102,4,0),BK202-VLOOKUP($P202&amp;" | "&amp;BB$6,'Job Master'!$F$12:$I$102,4,0)-1),""),"")</f>
        <v/>
      </c>
      <c r="BE202" s="73"/>
      <c r="BF202" s="123" t="str">
        <f t="shared" si="405"/>
        <v/>
      </c>
      <c r="BG202" s="123" t="str">
        <f t="shared" si="406"/>
        <v/>
      </c>
      <c r="BH202" s="97" t="str">
        <f t="shared" ca="1" si="407"/>
        <v/>
      </c>
      <c r="BI202" s="98" t="str">
        <f>IF(BK202&lt;&gt;"",VLOOKUP($P202&amp;" | "&amp;BI$6,'Job Master'!$F$12:$J$102,5,0),"")</f>
        <v/>
      </c>
      <c r="BJ202" s="19" t="str">
        <f>IF(BK202&lt;&gt;"",VLOOKUP($P202&amp;" | "&amp;BI$6,'Job Master'!$F$12:$J$102,3,0),"")</f>
        <v/>
      </c>
      <c r="BK202" s="19" t="str">
        <f>IFERROR(IF(AND(BR202&lt;&gt;"",VLOOKUP($P202&amp;" | "&amp;BI$6,'Job Master'!$F$12:$I$102,4,0)&lt;&gt;""),IF(WEEKDAY(BR202-VLOOKUP($P202&amp;" | "&amp;BI$6,'Job Master'!$F$12:$I$102,4,0))&lt;&gt;7,BR202-VLOOKUP($P202&amp;" | "&amp;BI$6,'Job Master'!$F$12:$I$102,4,0),BR202-VLOOKUP($P202&amp;" | "&amp;BI$6,'Job Master'!$F$12:$I$102,4,0)-1),""),"")</f>
        <v/>
      </c>
      <c r="BL202" s="73"/>
      <c r="BM202" s="123" t="str">
        <f t="shared" si="408"/>
        <v/>
      </c>
      <c r="BN202" s="123" t="str">
        <f t="shared" si="409"/>
        <v/>
      </c>
      <c r="BO202" s="97" t="str">
        <f t="shared" ca="1" si="410"/>
        <v/>
      </c>
      <c r="BP202" s="98" t="str">
        <f>IF(BR202&lt;&gt;"",VLOOKUP($P202&amp;" | "&amp;BP$6,'Job Master'!$F$12:$J$102,5,0),"")</f>
        <v/>
      </c>
      <c r="BQ202" s="19" t="str">
        <f>IF(BR202&lt;&gt;"",VLOOKUP($P202&amp;" | "&amp;BP$6,'Job Master'!$F$12:$J$102,3,0),"")</f>
        <v/>
      </c>
      <c r="BR202" s="19" t="str">
        <f>IFERROR(IF(AND(BY202&lt;&gt;"",VLOOKUP($P202&amp;" | "&amp;BP$6,'Job Master'!$F$12:$I$102,4,0)&lt;&gt;""),IF(WEEKDAY(BY202-VLOOKUP($P202&amp;" | "&amp;BP$6,'Job Master'!$F$12:$I$102,4,0))&lt;&gt;7,BY202-VLOOKUP($P202&amp;" | "&amp;BP$6,'Job Master'!$F$12:$I$102,4,0),BY202-VLOOKUP($P202&amp;" | "&amp;BP$6,'Job Master'!$F$12:$I$102,4,0)-1),""),"")</f>
        <v/>
      </c>
      <c r="BS202" s="73"/>
      <c r="BT202" s="123" t="str">
        <f t="shared" si="411"/>
        <v/>
      </c>
      <c r="BU202" s="123" t="str">
        <f t="shared" si="412"/>
        <v/>
      </c>
      <c r="BV202" s="97" t="str">
        <f t="shared" ca="1" si="413"/>
        <v/>
      </c>
      <c r="BW202" s="98" t="str">
        <f>IF(BY202&lt;&gt;"",VLOOKUP($P202&amp;" | "&amp;BW$6,'Job Master'!$F$12:$J$102,5,0),"")</f>
        <v/>
      </c>
      <c r="BX202" s="19" t="str">
        <f>IF(BY202&lt;&gt;"",VLOOKUP($P202&amp;" | "&amp;BW$6,'Job Master'!$F$12:$J$102,3,0),"")</f>
        <v/>
      </c>
      <c r="BY202" s="19" t="str">
        <f>IFERROR(IF(AND(CF202&lt;&gt;"",VLOOKUP($P202&amp;" | "&amp;BW$6,'Job Master'!$F$12:$I$102,4,0)&lt;&gt;""),IF(WEEKDAY(CF202-VLOOKUP($P202&amp;" | "&amp;BW$6,'Job Master'!$F$12:$I$102,4,0))&lt;&gt;7,CF202-VLOOKUP($P202&amp;" | "&amp;BW$6,'Job Master'!$F$12:$I$102,4,0),CF202-VLOOKUP($P202&amp;" | "&amp;BW$6,'Job Master'!$F$12:$I$102,4,0)-1),""),"")</f>
        <v/>
      </c>
      <c r="BZ202" s="73"/>
      <c r="CA202" s="123" t="str">
        <f t="shared" si="414"/>
        <v/>
      </c>
      <c r="CB202" s="123" t="str">
        <f t="shared" si="415"/>
        <v/>
      </c>
      <c r="CC202" s="97" t="str">
        <f t="shared" ca="1" si="416"/>
        <v/>
      </c>
      <c r="CD202" s="98" t="str">
        <f>IF(CF202&lt;&gt;"",VLOOKUP($P202&amp;" | "&amp;CD$6,'Job Master'!$F$12:$J$102,5,0),"")</f>
        <v/>
      </c>
      <c r="CE202" s="19" t="str">
        <f>IF(CF202&lt;&gt;"",VLOOKUP($P202&amp;" | "&amp;CD$6,'Job Master'!$F$12:$J$102,3,0),"")</f>
        <v/>
      </c>
      <c r="CF202" s="19" t="str">
        <f>IFERROR(IF(AND(CM202&lt;&gt;"",VLOOKUP($P202&amp;" | "&amp;CD$6,'Job Master'!$F$12:$I$102,4,0)&lt;&gt;""),IF(WEEKDAY(CM202-VLOOKUP($P202&amp;" | "&amp;CD$6,'Job Master'!$F$12:$I$102,4,0))&lt;&gt;7,CM202-VLOOKUP($P202&amp;" | "&amp;CD$6,'Job Master'!$F$12:$I$102,4,0),CM202-VLOOKUP($P202&amp;" | "&amp;CD$6,'Job Master'!$F$12:$I$102,4,0)-1),""),"")</f>
        <v/>
      </c>
      <c r="CG202" s="73"/>
      <c r="CH202" s="123" t="str">
        <f t="shared" si="417"/>
        <v/>
      </c>
      <c r="CI202" s="123" t="str">
        <f t="shared" si="418"/>
        <v/>
      </c>
      <c r="CJ202" s="97" t="str">
        <f t="shared" ca="1" si="419"/>
        <v/>
      </c>
      <c r="CK202" s="98" t="str">
        <f>IF(CM202&lt;&gt;"",VLOOKUP($P202&amp;" | "&amp;CK$6,'Job Master'!$F$12:$J$102,5,0),"")</f>
        <v/>
      </c>
      <c r="CL202" s="19" t="str">
        <f>IF(CM202&lt;&gt;"",VLOOKUP($P202&amp;" | "&amp;CK$6,'Job Master'!$F$12:$J$102,3,0),"")</f>
        <v/>
      </c>
      <c r="CM202" s="19" t="str">
        <f>IFERROR(IF(AND(CT202&lt;&gt;"",VLOOKUP($P202&amp;" | "&amp;CK$6,'Job Master'!$F$12:$I$102,4,0)&lt;&gt;""),IF(WEEKDAY(CT202-VLOOKUP($P202&amp;" | "&amp;CK$6,'Job Master'!$F$12:$I$102,4,0))&lt;&gt;7,CT202-VLOOKUP($P202&amp;" | "&amp;CK$6,'Job Master'!$F$12:$I$102,4,0),CT202-VLOOKUP($P202&amp;" | "&amp;CK$6,'Job Master'!$F$12:$I$102,4,0)-1),""),"")</f>
        <v/>
      </c>
      <c r="CN202" s="73"/>
      <c r="CO202" s="123" t="str">
        <f t="shared" si="420"/>
        <v/>
      </c>
      <c r="CP202" s="123" t="str">
        <f t="shared" si="421"/>
        <v/>
      </c>
      <c r="CQ202" s="97" t="str">
        <f t="shared" ca="1" si="422"/>
        <v/>
      </c>
      <c r="CR202" s="98" t="str">
        <f>IF(CT202&lt;&gt;"",VLOOKUP($P202&amp;" | "&amp;CR$6,'Job Master'!$F$12:$J$102,5,0),"")</f>
        <v/>
      </c>
      <c r="CS202" s="19" t="str">
        <f>IF(CT202&lt;&gt;"",VLOOKUP($P202&amp;" | "&amp;CR$6,'Job Master'!$F$12:$J$102,3,0),"")</f>
        <v/>
      </c>
      <c r="CT202" s="19" t="str">
        <f>IFERROR(IF(AND(DA202&lt;&gt;"",VLOOKUP($P202&amp;" | "&amp;CR$6,'Job Master'!$F$12:$I$102,4,0)&lt;&gt;""),IF(WEEKDAY(DA202-VLOOKUP($P202&amp;" | "&amp;CR$6,'Job Master'!$F$12:$I$102,4,0))&lt;&gt;7,DA202-VLOOKUP($P202&amp;" | "&amp;CR$6,'Job Master'!$F$12:$I$102,4,0),DA202-VLOOKUP($P202&amp;" | "&amp;CR$6,'Job Master'!$F$12:$I$102,4,0)-1),""),"")</f>
        <v/>
      </c>
      <c r="CU202" s="73"/>
      <c r="CV202" s="123" t="str">
        <f t="shared" si="423"/>
        <v/>
      </c>
      <c r="CW202" s="123" t="str">
        <f t="shared" si="424"/>
        <v/>
      </c>
      <c r="CX202" s="97" t="str">
        <f t="shared" ca="1" si="425"/>
        <v/>
      </c>
      <c r="CY202" s="98" t="str">
        <f>IF(DA202&lt;&gt;"",VLOOKUP($P202&amp;" | "&amp;CY$6,'Job Master'!$F$12:$J$102,5,0),"")</f>
        <v/>
      </c>
      <c r="CZ202" s="19" t="str">
        <f>IF(DA202&lt;&gt;"",VLOOKUP($P202&amp;" | "&amp;CY$6,'Job Master'!$F$12:$J$102,3,0),"")</f>
        <v/>
      </c>
      <c r="DA202" s="19" t="str">
        <f>IFERROR(IF(AND(DH202&lt;&gt;"",VLOOKUP($P202&amp;" | "&amp;CY$6,'Job Master'!$F$12:$I$102,4,0)&lt;&gt;""),IF(WEEKDAY(DH202-VLOOKUP($P202&amp;" | "&amp;CY$6,'Job Master'!$F$12:$I$102,4,0))&lt;&gt;7,DH202-VLOOKUP($P202&amp;" | "&amp;CY$6,'Job Master'!$F$12:$I$102,4,0),DH202-VLOOKUP($P202&amp;" | "&amp;CY$6,'Job Master'!$F$12:$I$102,4,0)-1),""),"")</f>
        <v/>
      </c>
      <c r="DB202" s="73"/>
      <c r="DC202" s="123" t="str">
        <f t="shared" si="426"/>
        <v/>
      </c>
      <c r="DD202" s="123" t="str">
        <f t="shared" si="427"/>
        <v/>
      </c>
      <c r="DE202" s="97" t="str">
        <f t="shared" ca="1" si="428"/>
        <v/>
      </c>
      <c r="DF202" s="98" t="str">
        <f>IF(DH202&lt;&gt;"",VLOOKUP($P202&amp;" | "&amp;DF$6,'Job Master'!$F$12:$J$102,5,0),"")</f>
        <v/>
      </c>
      <c r="DG202" s="19" t="str">
        <f>IF(DH202&lt;&gt;"",VLOOKUP($P202&amp;" | "&amp;DF$6,'Job Master'!$F$12:$J$102,3,0),"")</f>
        <v/>
      </c>
      <c r="DH202" s="19" t="str">
        <f>IFERROR(IF(AND(DO202&lt;&gt;"",VLOOKUP($P202&amp;" | "&amp;DF$6,'Job Master'!$F$12:$I$102,4,0)&lt;&gt;""),IF(WEEKDAY(DO202-VLOOKUP($P202&amp;" | "&amp;DF$6,'Job Master'!$F$12:$I$102,4,0))&lt;&gt;7,DO202-VLOOKUP($P202&amp;" | "&amp;DF$6,'Job Master'!$F$12:$I$102,4,0),DO202-VLOOKUP($P202&amp;" | "&amp;DF$6,'Job Master'!$F$12:$I$102,4,0)-1),""),"")</f>
        <v/>
      </c>
      <c r="DI202" s="73"/>
      <c r="DJ202" s="123" t="str">
        <f t="shared" si="429"/>
        <v/>
      </c>
      <c r="DK202" s="123" t="str">
        <f t="shared" si="430"/>
        <v/>
      </c>
      <c r="DL202" s="97" t="str">
        <f t="shared" ca="1" si="431"/>
        <v/>
      </c>
      <c r="DM202" s="98" t="str">
        <f>IF(DO202&lt;&gt;"",VLOOKUP($P202&amp;" | "&amp;DM$6,'Job Master'!$F$12:$J$102,5,0),"")</f>
        <v/>
      </c>
      <c r="DN202" s="19" t="str">
        <f>IF(DO202&lt;&gt;"",VLOOKUP($P202&amp;" | "&amp;DM$6,'Job Master'!$F$12:$J$102,3,0),"")</f>
        <v/>
      </c>
      <c r="DO202" s="19" t="str">
        <f>IFERROR(IF(AND(DT202&lt;&gt;"",VLOOKUP($P202&amp;" | "&amp;DM$6,'Job Master'!$F$12:$I$102,4,0)&lt;&gt;""),IF(WEEKDAY(DT202-VLOOKUP($P202&amp;" | "&amp;DM$6,'Job Master'!$F$12:$I$102,4,0))&lt;&gt;7,DT202-VLOOKUP($P202&amp;" | "&amp;DM$6,'Job Master'!$F$12:$I$102,4,0),DT202-VLOOKUP($P202&amp;" | "&amp;DM$6,'Job Master'!$F$12:$I$102,4,0)-1),""),"")</f>
        <v/>
      </c>
      <c r="DP202" s="73"/>
      <c r="DQ202" s="123" t="str">
        <f t="shared" si="432"/>
        <v/>
      </c>
      <c r="DR202" s="123" t="str">
        <f t="shared" si="433"/>
        <v/>
      </c>
      <c r="DS202" s="97" t="str">
        <f t="shared" ca="1" si="434"/>
        <v/>
      </c>
      <c r="DT202" s="70" t="str">
        <f t="shared" si="435"/>
        <v/>
      </c>
      <c r="DU202" s="90"/>
      <c r="DV202" s="123" t="str">
        <f t="shared" si="436"/>
        <v/>
      </c>
      <c r="DW202" s="123" t="str">
        <f t="shared" si="437"/>
        <v/>
      </c>
      <c r="DX202" s="132" t="str">
        <f t="shared" ref="DX202" ca="1" si="440">IF(DT202&lt;&gt;"",IF(WEEKNUM(DT202)=WEEKNUM(TODAY()),"This Week",IF(WEEKNUM(DT202)=WEEKNUM(TODAY())+1,"Next Week",IF(WEEKNUM(DT202)=WEEKNUM(TODAY())-1,"Previous Week",""))),"")</f>
        <v/>
      </c>
      <c r="DY202" s="134" t="str">
        <f t="shared" si="439"/>
        <v/>
      </c>
      <c r="DZ202" s="95"/>
      <c r="EB202" s="8" t="str">
        <f t="shared" si="319"/>
        <v/>
      </c>
      <c r="EC202" s="8" t="str">
        <f>IF(O202&lt;&gt;"",VLOOKUP(O202,'Job Master'!$N$12:$O$18,2,0),"")</f>
        <v/>
      </c>
      <c r="ED202" s="8">
        <f t="shared" si="320"/>
        <v>19.5</v>
      </c>
      <c r="EE202" s="8">
        <f t="shared" si="321"/>
        <v>6</v>
      </c>
      <c r="EF202" s="8">
        <f t="shared" si="322"/>
        <v>-1132.5</v>
      </c>
      <c r="EG202" s="8" t="str">
        <f t="shared" si="323"/>
        <v/>
      </c>
      <c r="EH202" s="8" t="str">
        <f t="shared" si="324"/>
        <v/>
      </c>
    </row>
    <row r="203" spans="2:138" x14ac:dyDescent="0.3">
      <c r="B203" s="112"/>
      <c r="C203" s="27"/>
      <c r="D203" s="7" t="str">
        <f t="shared" si="387"/>
        <v/>
      </c>
      <c r="E203" s="25"/>
      <c r="F203" s="7" t="str">
        <f t="shared" si="387"/>
        <v/>
      </c>
      <c r="G203" s="25"/>
      <c r="H203" s="7" t="str">
        <f t="shared" si="387"/>
        <v/>
      </c>
      <c r="I203" s="25"/>
      <c r="J203" s="7" t="str">
        <f t="shared" si="387"/>
        <v/>
      </c>
      <c r="K203" s="25"/>
      <c r="L203" s="7" t="str">
        <f t="shared" si="388"/>
        <v/>
      </c>
      <c r="M203" s="25"/>
      <c r="N203" s="7" t="str">
        <f t="shared" si="389"/>
        <v/>
      </c>
      <c r="O203" s="81"/>
      <c r="P203" s="81" t="str">
        <f t="shared" si="390"/>
        <v/>
      </c>
      <c r="Q203" s="81"/>
      <c r="R203" s="7" t="str">
        <f t="shared" si="391"/>
        <v/>
      </c>
      <c r="S203" s="25"/>
      <c r="T203" s="7" t="str">
        <f t="shared" si="392"/>
        <v/>
      </c>
      <c r="U203" s="25"/>
      <c r="V203" s="7" t="str">
        <f t="shared" si="393"/>
        <v/>
      </c>
      <c r="W203" s="25"/>
      <c r="X203" s="7" t="str">
        <f t="shared" si="394"/>
        <v/>
      </c>
      <c r="Y203" s="18" t="str">
        <f t="shared" si="395"/>
        <v/>
      </c>
      <c r="Z203" s="7" t="str">
        <f t="shared" si="396"/>
        <v/>
      </c>
      <c r="AA203" s="18" t="str">
        <f t="shared" si="397"/>
        <v/>
      </c>
      <c r="AB203" s="19" t="str">
        <f t="shared" si="398"/>
        <v/>
      </c>
      <c r="AC203" s="26"/>
      <c r="AD203" s="26"/>
      <c r="AE203" s="25"/>
      <c r="AF203" s="26"/>
      <c r="AG203" s="25"/>
      <c r="AH203" s="25"/>
      <c r="AI203" s="18" t="str">
        <f t="shared" si="335"/>
        <v/>
      </c>
      <c r="AJ203" s="25"/>
      <c r="AK203" s="18" t="str">
        <f t="shared" si="336"/>
        <v/>
      </c>
      <c r="AL203" s="79"/>
      <c r="AM203" s="126" t="str">
        <f t="shared" si="337"/>
        <v/>
      </c>
      <c r="AN203" s="128" t="str">
        <f>IF(AP203&lt;&gt;"",VLOOKUP($P203&amp;" | "&amp;AN$6,'Job Master'!$F$12:$J$102,5,0),"")</f>
        <v/>
      </c>
      <c r="AO203" s="19" t="str">
        <f>IF(AP203&lt;&gt;"",VLOOKUP($P203&amp;" | "&amp;AN$6,'Job Master'!$F$12:$J$102,3,0),"")</f>
        <v/>
      </c>
      <c r="AP203" s="19" t="str">
        <f>IFERROR(IF(AND(AW203&lt;&gt;"",VLOOKUP($P203&amp;" | "&amp;AN$6,'Job Master'!$F$12:$I$102,4,0)&lt;&gt;""),IF(WEEKDAY(AW203-VLOOKUP($P203&amp;" | "&amp;AN$6,'Job Master'!$F$12:$I$102,4,0))&lt;&gt;7,AW203-VLOOKUP($P203&amp;" | "&amp;AN$6,'Job Master'!$F$12:$I$102,4,0),AW203-VLOOKUP($P203&amp;" | "&amp;AN$6,'Job Master'!$F$12:$I$102,4,0)-1),""),"")</f>
        <v/>
      </c>
      <c r="AQ203" s="73"/>
      <c r="AR203" s="123" t="str">
        <f t="shared" si="399"/>
        <v/>
      </c>
      <c r="AS203" s="123" t="str">
        <f t="shared" si="400"/>
        <v/>
      </c>
      <c r="AT203" s="97" t="str">
        <f t="shared" ca="1" si="401"/>
        <v/>
      </c>
      <c r="AU203" s="98" t="str">
        <f>IF(AW203&lt;&gt;"",VLOOKUP($P203&amp;" | "&amp;AU$6,'Job Master'!$F$12:$J$102,5,0),"")</f>
        <v/>
      </c>
      <c r="AV203" s="19" t="str">
        <f>IF(AW203&lt;&gt;"",VLOOKUP($P203&amp;" | "&amp;AU$6,'Job Master'!$F$12:$J$102,3,0),"")</f>
        <v/>
      </c>
      <c r="AW203" s="19" t="str">
        <f>IFERROR(IF(AND(BD203&lt;&gt;"",VLOOKUP($P203&amp;" | "&amp;AU$6,'Job Master'!$F$12:$I$102,4,0)&lt;&gt;""),IF(WEEKDAY(BD203-VLOOKUP($P203&amp;" | "&amp;AU$6,'Job Master'!$F$12:$I$102,4,0))&lt;&gt;7,BD203-VLOOKUP($P203&amp;" | "&amp;AU$6,'Job Master'!$F$12:$I$102,4,0),BD203-VLOOKUP($P203&amp;" | "&amp;AU$6,'Job Master'!$F$12:$I$102,4,0)-1),""),"")</f>
        <v/>
      </c>
      <c r="AX203" s="73"/>
      <c r="AY203" s="123" t="str">
        <f t="shared" si="402"/>
        <v/>
      </c>
      <c r="AZ203" s="123" t="str">
        <f t="shared" si="403"/>
        <v/>
      </c>
      <c r="BA203" s="97" t="str">
        <f t="shared" ca="1" si="404"/>
        <v/>
      </c>
      <c r="BB203" s="98" t="str">
        <f>IF(BD203&lt;&gt;"",VLOOKUP($P203&amp;" | "&amp;BB$6,'Job Master'!$F$12:$J$102,5,0),"")</f>
        <v/>
      </c>
      <c r="BC203" s="19" t="str">
        <f>IF(BD203&lt;&gt;"",VLOOKUP($P203&amp;" | "&amp;BB$6,'Job Master'!$F$12:$J$102,3,0),"")</f>
        <v/>
      </c>
      <c r="BD203" s="19" t="str">
        <f>IFERROR(IF(AND(BK203&lt;&gt;"",VLOOKUP($P203&amp;" | "&amp;BB$6,'Job Master'!$F$12:$I$102,4,0)&lt;&gt;""),IF(WEEKDAY(BK203-VLOOKUP($P203&amp;" | "&amp;BB$6,'Job Master'!$F$12:$I$102,4,0))&lt;&gt;7,BK203-VLOOKUP($P203&amp;" | "&amp;BB$6,'Job Master'!$F$12:$I$102,4,0),BK203-VLOOKUP($P203&amp;" | "&amp;BB$6,'Job Master'!$F$12:$I$102,4,0)-1),""),"")</f>
        <v/>
      </c>
      <c r="BE203" s="73"/>
      <c r="BF203" s="123" t="str">
        <f t="shared" si="405"/>
        <v/>
      </c>
      <c r="BG203" s="123" t="str">
        <f t="shared" si="406"/>
        <v/>
      </c>
      <c r="BH203" s="97" t="str">
        <f t="shared" ca="1" si="407"/>
        <v/>
      </c>
      <c r="BI203" s="98" t="str">
        <f>IF(BK203&lt;&gt;"",VLOOKUP($P203&amp;" | "&amp;BI$6,'Job Master'!$F$12:$J$102,5,0),"")</f>
        <v/>
      </c>
      <c r="BJ203" s="19" t="str">
        <f>IF(BK203&lt;&gt;"",VLOOKUP($P203&amp;" | "&amp;BI$6,'Job Master'!$F$12:$J$102,3,0),"")</f>
        <v/>
      </c>
      <c r="BK203" s="19" t="str">
        <f>IFERROR(IF(AND(BR203&lt;&gt;"",VLOOKUP($P203&amp;" | "&amp;BI$6,'Job Master'!$F$12:$I$102,4,0)&lt;&gt;""),IF(WEEKDAY(BR203-VLOOKUP($P203&amp;" | "&amp;BI$6,'Job Master'!$F$12:$I$102,4,0))&lt;&gt;7,BR203-VLOOKUP($P203&amp;" | "&amp;BI$6,'Job Master'!$F$12:$I$102,4,0),BR203-VLOOKUP($P203&amp;" | "&amp;BI$6,'Job Master'!$F$12:$I$102,4,0)-1),""),"")</f>
        <v/>
      </c>
      <c r="BL203" s="73"/>
      <c r="BM203" s="123" t="str">
        <f t="shared" si="408"/>
        <v/>
      </c>
      <c r="BN203" s="123" t="str">
        <f t="shared" si="409"/>
        <v/>
      </c>
      <c r="BO203" s="97" t="str">
        <f t="shared" ca="1" si="410"/>
        <v/>
      </c>
      <c r="BP203" s="98" t="str">
        <f>IF(BR203&lt;&gt;"",VLOOKUP($P203&amp;" | "&amp;BP$6,'Job Master'!$F$12:$J$102,5,0),"")</f>
        <v/>
      </c>
      <c r="BQ203" s="19" t="str">
        <f>IF(BR203&lt;&gt;"",VLOOKUP($P203&amp;" | "&amp;BP$6,'Job Master'!$F$12:$J$102,3,0),"")</f>
        <v/>
      </c>
      <c r="BR203" s="19" t="str">
        <f>IFERROR(IF(AND(BY203&lt;&gt;"",VLOOKUP($P203&amp;" | "&amp;BP$6,'Job Master'!$F$12:$I$102,4,0)&lt;&gt;""),IF(WEEKDAY(BY203-VLOOKUP($P203&amp;" | "&amp;BP$6,'Job Master'!$F$12:$I$102,4,0))&lt;&gt;7,BY203-VLOOKUP($P203&amp;" | "&amp;BP$6,'Job Master'!$F$12:$I$102,4,0),BY203-VLOOKUP($P203&amp;" | "&amp;BP$6,'Job Master'!$F$12:$I$102,4,0)-1),""),"")</f>
        <v/>
      </c>
      <c r="BS203" s="73"/>
      <c r="BT203" s="123" t="str">
        <f t="shared" si="411"/>
        <v/>
      </c>
      <c r="BU203" s="123" t="str">
        <f t="shared" si="412"/>
        <v/>
      </c>
      <c r="BV203" s="97" t="str">
        <f t="shared" ca="1" si="413"/>
        <v/>
      </c>
      <c r="BW203" s="98" t="str">
        <f>IF(BY203&lt;&gt;"",VLOOKUP($P203&amp;" | "&amp;BW$6,'Job Master'!$F$12:$J$102,5,0),"")</f>
        <v/>
      </c>
      <c r="BX203" s="19" t="str">
        <f>IF(BY203&lt;&gt;"",VLOOKUP($P203&amp;" | "&amp;BW$6,'Job Master'!$F$12:$J$102,3,0),"")</f>
        <v/>
      </c>
      <c r="BY203" s="19" t="str">
        <f>IFERROR(IF(AND(CF203&lt;&gt;"",VLOOKUP($P203&amp;" | "&amp;BW$6,'Job Master'!$F$12:$I$102,4,0)&lt;&gt;""),IF(WEEKDAY(CF203-VLOOKUP($P203&amp;" | "&amp;BW$6,'Job Master'!$F$12:$I$102,4,0))&lt;&gt;7,CF203-VLOOKUP($P203&amp;" | "&amp;BW$6,'Job Master'!$F$12:$I$102,4,0),CF203-VLOOKUP($P203&amp;" | "&amp;BW$6,'Job Master'!$F$12:$I$102,4,0)-1),""),"")</f>
        <v/>
      </c>
      <c r="BZ203" s="73"/>
      <c r="CA203" s="123" t="str">
        <f t="shared" si="414"/>
        <v/>
      </c>
      <c r="CB203" s="123" t="str">
        <f t="shared" si="415"/>
        <v/>
      </c>
      <c r="CC203" s="97" t="str">
        <f t="shared" ca="1" si="416"/>
        <v/>
      </c>
      <c r="CD203" s="98" t="str">
        <f>IF(CF203&lt;&gt;"",VLOOKUP($P203&amp;" | "&amp;CD$6,'Job Master'!$F$12:$J$102,5,0),"")</f>
        <v/>
      </c>
      <c r="CE203" s="19" t="str">
        <f>IF(CF203&lt;&gt;"",VLOOKUP($P203&amp;" | "&amp;CD$6,'Job Master'!$F$12:$J$102,3,0),"")</f>
        <v/>
      </c>
      <c r="CF203" s="19" t="str">
        <f>IFERROR(IF(AND(CM203&lt;&gt;"",VLOOKUP($P203&amp;" | "&amp;CD$6,'Job Master'!$F$12:$I$102,4,0)&lt;&gt;""),IF(WEEKDAY(CM203-VLOOKUP($P203&amp;" | "&amp;CD$6,'Job Master'!$F$12:$I$102,4,0))&lt;&gt;7,CM203-VLOOKUP($P203&amp;" | "&amp;CD$6,'Job Master'!$F$12:$I$102,4,0),CM203-VLOOKUP($P203&amp;" | "&amp;CD$6,'Job Master'!$F$12:$I$102,4,0)-1),""),"")</f>
        <v/>
      </c>
      <c r="CG203" s="73"/>
      <c r="CH203" s="123" t="str">
        <f t="shared" si="417"/>
        <v/>
      </c>
      <c r="CI203" s="123" t="str">
        <f t="shared" si="418"/>
        <v/>
      </c>
      <c r="CJ203" s="97" t="str">
        <f t="shared" ca="1" si="419"/>
        <v/>
      </c>
      <c r="CK203" s="98" t="str">
        <f>IF(CM203&lt;&gt;"",VLOOKUP($P203&amp;" | "&amp;CK$6,'Job Master'!$F$12:$J$102,5,0),"")</f>
        <v/>
      </c>
      <c r="CL203" s="19" t="str">
        <f>IF(CM203&lt;&gt;"",VLOOKUP($P203&amp;" | "&amp;CK$6,'Job Master'!$F$12:$J$102,3,0),"")</f>
        <v/>
      </c>
      <c r="CM203" s="19" t="str">
        <f>IFERROR(IF(AND(CT203&lt;&gt;"",VLOOKUP($P203&amp;" | "&amp;CK$6,'Job Master'!$F$12:$I$102,4,0)&lt;&gt;""),IF(WEEKDAY(CT203-VLOOKUP($P203&amp;" | "&amp;CK$6,'Job Master'!$F$12:$I$102,4,0))&lt;&gt;7,CT203-VLOOKUP($P203&amp;" | "&amp;CK$6,'Job Master'!$F$12:$I$102,4,0),CT203-VLOOKUP($P203&amp;" | "&amp;CK$6,'Job Master'!$F$12:$I$102,4,0)-1),""),"")</f>
        <v/>
      </c>
      <c r="CN203" s="73"/>
      <c r="CO203" s="123" t="str">
        <f t="shared" si="420"/>
        <v/>
      </c>
      <c r="CP203" s="123" t="str">
        <f t="shared" si="421"/>
        <v/>
      </c>
      <c r="CQ203" s="97" t="str">
        <f t="shared" ca="1" si="422"/>
        <v/>
      </c>
      <c r="CR203" s="98" t="str">
        <f>IF(CT203&lt;&gt;"",VLOOKUP($P203&amp;" | "&amp;CR$6,'Job Master'!$F$12:$J$102,5,0),"")</f>
        <v/>
      </c>
      <c r="CS203" s="19" t="str">
        <f>IF(CT203&lt;&gt;"",VLOOKUP($P203&amp;" | "&amp;CR$6,'Job Master'!$F$12:$J$102,3,0),"")</f>
        <v/>
      </c>
      <c r="CT203" s="19" t="str">
        <f>IFERROR(IF(AND(DA203&lt;&gt;"",VLOOKUP($P203&amp;" | "&amp;CR$6,'Job Master'!$F$12:$I$102,4,0)&lt;&gt;""),IF(WEEKDAY(DA203-VLOOKUP($P203&amp;" | "&amp;CR$6,'Job Master'!$F$12:$I$102,4,0))&lt;&gt;7,DA203-VLOOKUP($P203&amp;" | "&amp;CR$6,'Job Master'!$F$12:$I$102,4,0),DA203-VLOOKUP($P203&amp;" | "&amp;CR$6,'Job Master'!$F$12:$I$102,4,0)-1),""),"")</f>
        <v/>
      </c>
      <c r="CU203" s="73"/>
      <c r="CV203" s="123" t="str">
        <f t="shared" si="423"/>
        <v/>
      </c>
      <c r="CW203" s="123" t="str">
        <f t="shared" si="424"/>
        <v/>
      </c>
      <c r="CX203" s="97" t="str">
        <f t="shared" ca="1" si="425"/>
        <v/>
      </c>
      <c r="CY203" s="98" t="str">
        <f>IF(DA203&lt;&gt;"",VLOOKUP($P203&amp;" | "&amp;CY$6,'Job Master'!$F$12:$J$102,5,0),"")</f>
        <v/>
      </c>
      <c r="CZ203" s="19" t="str">
        <f>IF(DA203&lt;&gt;"",VLOOKUP($P203&amp;" | "&amp;CY$6,'Job Master'!$F$12:$J$102,3,0),"")</f>
        <v/>
      </c>
      <c r="DA203" s="19" t="str">
        <f>IFERROR(IF(AND(DH203&lt;&gt;"",VLOOKUP($P203&amp;" | "&amp;CY$6,'Job Master'!$F$12:$I$102,4,0)&lt;&gt;""),IF(WEEKDAY(DH203-VLOOKUP($P203&amp;" | "&amp;CY$6,'Job Master'!$F$12:$I$102,4,0))&lt;&gt;7,DH203-VLOOKUP($P203&amp;" | "&amp;CY$6,'Job Master'!$F$12:$I$102,4,0),DH203-VLOOKUP($P203&amp;" | "&amp;CY$6,'Job Master'!$F$12:$I$102,4,0)-1),""),"")</f>
        <v/>
      </c>
      <c r="DB203" s="73"/>
      <c r="DC203" s="123" t="str">
        <f t="shared" si="426"/>
        <v/>
      </c>
      <c r="DD203" s="123" t="str">
        <f t="shared" si="427"/>
        <v/>
      </c>
      <c r="DE203" s="97" t="str">
        <f t="shared" ca="1" si="428"/>
        <v/>
      </c>
      <c r="DF203" s="98" t="str">
        <f>IF(DH203&lt;&gt;"",VLOOKUP($P203&amp;" | "&amp;DF$6,'Job Master'!$F$12:$J$102,5,0),"")</f>
        <v/>
      </c>
      <c r="DG203" s="19" t="str">
        <f>IF(DH203&lt;&gt;"",VLOOKUP($P203&amp;" | "&amp;DF$6,'Job Master'!$F$12:$J$102,3,0),"")</f>
        <v/>
      </c>
      <c r="DH203" s="19" t="str">
        <f>IFERROR(IF(AND(DO203&lt;&gt;"",VLOOKUP($P203&amp;" | "&amp;DF$6,'Job Master'!$F$12:$I$102,4,0)&lt;&gt;""),IF(WEEKDAY(DO203-VLOOKUP($P203&amp;" | "&amp;DF$6,'Job Master'!$F$12:$I$102,4,0))&lt;&gt;7,DO203-VLOOKUP($P203&amp;" | "&amp;DF$6,'Job Master'!$F$12:$I$102,4,0),DO203-VLOOKUP($P203&amp;" | "&amp;DF$6,'Job Master'!$F$12:$I$102,4,0)-1),""),"")</f>
        <v/>
      </c>
      <c r="DI203" s="73"/>
      <c r="DJ203" s="123" t="str">
        <f t="shared" si="429"/>
        <v/>
      </c>
      <c r="DK203" s="123" t="str">
        <f t="shared" si="430"/>
        <v/>
      </c>
      <c r="DL203" s="97" t="str">
        <f t="shared" ca="1" si="431"/>
        <v/>
      </c>
      <c r="DM203" s="98" t="str">
        <f>IF(DO203&lt;&gt;"",VLOOKUP($P203&amp;" | "&amp;DM$6,'Job Master'!$F$12:$J$102,5,0),"")</f>
        <v/>
      </c>
      <c r="DN203" s="19" t="str">
        <f>IF(DO203&lt;&gt;"",VLOOKUP($P203&amp;" | "&amp;DM$6,'Job Master'!$F$12:$J$102,3,0),"")</f>
        <v/>
      </c>
      <c r="DO203" s="19" t="str">
        <f>IFERROR(IF(AND(DT203&lt;&gt;"",VLOOKUP($P203&amp;" | "&amp;DM$6,'Job Master'!$F$12:$I$102,4,0)&lt;&gt;""),IF(WEEKDAY(DT203-VLOOKUP($P203&amp;" | "&amp;DM$6,'Job Master'!$F$12:$I$102,4,0))&lt;&gt;7,DT203-VLOOKUP($P203&amp;" | "&amp;DM$6,'Job Master'!$F$12:$I$102,4,0),DT203-VLOOKUP($P203&amp;" | "&amp;DM$6,'Job Master'!$F$12:$I$102,4,0)-1),""),"")</f>
        <v/>
      </c>
      <c r="DP203" s="73"/>
      <c r="DQ203" s="123" t="str">
        <f t="shared" si="432"/>
        <v/>
      </c>
      <c r="DR203" s="123" t="str">
        <f t="shared" si="433"/>
        <v/>
      </c>
      <c r="DS203" s="97" t="str">
        <f t="shared" ca="1" si="434"/>
        <v/>
      </c>
      <c r="DT203" s="70" t="str">
        <f t="shared" si="435"/>
        <v/>
      </c>
      <c r="DU203" s="90"/>
      <c r="DV203" s="123" t="str">
        <f t="shared" si="436"/>
        <v/>
      </c>
      <c r="DW203" s="123" t="str">
        <f t="shared" si="437"/>
        <v/>
      </c>
      <c r="DX203" s="132" t="str">
        <f t="shared" ref="DX203" ca="1" si="441">IF(DT203&lt;&gt;"",IF(WEEKNUM(DT203)=WEEKNUM(TODAY()),"This Week",IF(WEEKNUM(DT203)=WEEKNUM(TODAY())+1,"Next Week",IF(WEEKNUM(DT203)=WEEKNUM(TODAY())-1,"Previous Week",""))),"")</f>
        <v/>
      </c>
      <c r="DY203" s="134" t="str">
        <f t="shared" si="439"/>
        <v/>
      </c>
      <c r="DZ203" s="95"/>
      <c r="EB203" s="8" t="str">
        <f t="shared" si="319"/>
        <v/>
      </c>
      <c r="EC203" s="8" t="str">
        <f>IF(O203&lt;&gt;"",VLOOKUP(O203,'Job Master'!$N$12:$O$18,2,0),"")</f>
        <v/>
      </c>
      <c r="ED203" s="8">
        <f t="shared" si="320"/>
        <v>19.5</v>
      </c>
      <c r="EE203" s="8">
        <f t="shared" si="321"/>
        <v>6</v>
      </c>
      <c r="EF203" s="8">
        <f t="shared" si="322"/>
        <v>-1138.5</v>
      </c>
      <c r="EG203" s="8" t="str">
        <f t="shared" si="323"/>
        <v/>
      </c>
      <c r="EH203" s="8" t="str">
        <f t="shared" si="324"/>
        <v/>
      </c>
    </row>
    <row r="204" spans="2:138" x14ac:dyDescent="0.3">
      <c r="B204" s="112"/>
      <c r="C204" s="27"/>
      <c r="D204" s="7" t="str">
        <f t="shared" si="387"/>
        <v/>
      </c>
      <c r="E204" s="25"/>
      <c r="F204" s="7" t="str">
        <f t="shared" si="387"/>
        <v/>
      </c>
      <c r="G204" s="25"/>
      <c r="H204" s="7" t="str">
        <f t="shared" si="387"/>
        <v/>
      </c>
      <c r="I204" s="25"/>
      <c r="J204" s="7" t="str">
        <f t="shared" si="387"/>
        <v/>
      </c>
      <c r="K204" s="25"/>
      <c r="L204" s="7" t="str">
        <f t="shared" si="388"/>
        <v/>
      </c>
      <c r="M204" s="25"/>
      <c r="N204" s="7" t="str">
        <f t="shared" si="389"/>
        <v/>
      </c>
      <c r="O204" s="81"/>
      <c r="P204" s="81" t="str">
        <f t="shared" si="390"/>
        <v/>
      </c>
      <c r="Q204" s="81"/>
      <c r="R204" s="7" t="str">
        <f t="shared" si="391"/>
        <v/>
      </c>
      <c r="S204" s="25"/>
      <c r="T204" s="7" t="str">
        <f t="shared" si="392"/>
        <v/>
      </c>
      <c r="U204" s="25"/>
      <c r="V204" s="7" t="str">
        <f t="shared" si="393"/>
        <v/>
      </c>
      <c r="W204" s="25"/>
      <c r="X204" s="7" t="str">
        <f t="shared" si="394"/>
        <v/>
      </c>
      <c r="Y204" s="18" t="str">
        <f t="shared" si="395"/>
        <v/>
      </c>
      <c r="Z204" s="7" t="str">
        <f t="shared" si="396"/>
        <v/>
      </c>
      <c r="AA204" s="18" t="str">
        <f t="shared" si="397"/>
        <v/>
      </c>
      <c r="AB204" s="19" t="str">
        <f t="shared" si="398"/>
        <v/>
      </c>
      <c r="AC204" s="26"/>
      <c r="AD204" s="26"/>
      <c r="AE204" s="25"/>
      <c r="AF204" s="26"/>
      <c r="AG204" s="25"/>
      <c r="AH204" s="25"/>
      <c r="AI204" s="18" t="str">
        <f t="shared" si="335"/>
        <v/>
      </c>
      <c r="AJ204" s="25"/>
      <c r="AK204" s="18" t="str">
        <f t="shared" si="336"/>
        <v/>
      </c>
      <c r="AL204" s="79"/>
      <c r="AM204" s="126" t="str">
        <f t="shared" si="337"/>
        <v/>
      </c>
      <c r="AN204" s="128" t="str">
        <f>IF(AP204&lt;&gt;"",VLOOKUP($P204&amp;" | "&amp;AN$6,'Job Master'!$F$12:$J$102,5,0),"")</f>
        <v/>
      </c>
      <c r="AO204" s="19" t="str">
        <f>IF(AP204&lt;&gt;"",VLOOKUP($P204&amp;" | "&amp;AN$6,'Job Master'!$F$12:$J$102,3,0),"")</f>
        <v/>
      </c>
      <c r="AP204" s="19" t="str">
        <f>IFERROR(IF(AND(AW204&lt;&gt;"",VLOOKUP($P204&amp;" | "&amp;AN$6,'Job Master'!$F$12:$I$102,4,0)&lt;&gt;""),IF(WEEKDAY(AW204-VLOOKUP($P204&amp;" | "&amp;AN$6,'Job Master'!$F$12:$I$102,4,0))&lt;&gt;7,AW204-VLOOKUP($P204&amp;" | "&amp;AN$6,'Job Master'!$F$12:$I$102,4,0),AW204-VLOOKUP($P204&amp;" | "&amp;AN$6,'Job Master'!$F$12:$I$102,4,0)-1),""),"")</f>
        <v/>
      </c>
      <c r="AQ204" s="73"/>
      <c r="AR204" s="123" t="str">
        <f t="shared" si="399"/>
        <v/>
      </c>
      <c r="AS204" s="123" t="str">
        <f t="shared" si="400"/>
        <v/>
      </c>
      <c r="AT204" s="97" t="str">
        <f t="shared" ca="1" si="401"/>
        <v/>
      </c>
      <c r="AU204" s="98" t="str">
        <f>IF(AW204&lt;&gt;"",VLOOKUP($P204&amp;" | "&amp;AU$6,'Job Master'!$F$12:$J$102,5,0),"")</f>
        <v/>
      </c>
      <c r="AV204" s="19" t="str">
        <f>IF(AW204&lt;&gt;"",VLOOKUP($P204&amp;" | "&amp;AU$6,'Job Master'!$F$12:$J$102,3,0),"")</f>
        <v/>
      </c>
      <c r="AW204" s="19" t="str">
        <f>IFERROR(IF(AND(BD204&lt;&gt;"",VLOOKUP($P204&amp;" | "&amp;AU$6,'Job Master'!$F$12:$I$102,4,0)&lt;&gt;""),IF(WEEKDAY(BD204-VLOOKUP($P204&amp;" | "&amp;AU$6,'Job Master'!$F$12:$I$102,4,0))&lt;&gt;7,BD204-VLOOKUP($P204&amp;" | "&amp;AU$6,'Job Master'!$F$12:$I$102,4,0),BD204-VLOOKUP($P204&amp;" | "&amp;AU$6,'Job Master'!$F$12:$I$102,4,0)-1),""),"")</f>
        <v/>
      </c>
      <c r="AX204" s="73"/>
      <c r="AY204" s="123" t="str">
        <f t="shared" si="402"/>
        <v/>
      </c>
      <c r="AZ204" s="123" t="str">
        <f t="shared" si="403"/>
        <v/>
      </c>
      <c r="BA204" s="97" t="str">
        <f t="shared" ca="1" si="404"/>
        <v/>
      </c>
      <c r="BB204" s="98" t="str">
        <f>IF(BD204&lt;&gt;"",VLOOKUP($P204&amp;" | "&amp;BB$6,'Job Master'!$F$12:$J$102,5,0),"")</f>
        <v/>
      </c>
      <c r="BC204" s="19" t="str">
        <f>IF(BD204&lt;&gt;"",VLOOKUP($P204&amp;" | "&amp;BB$6,'Job Master'!$F$12:$J$102,3,0),"")</f>
        <v/>
      </c>
      <c r="BD204" s="19" t="str">
        <f>IFERROR(IF(AND(BK204&lt;&gt;"",VLOOKUP($P204&amp;" | "&amp;BB$6,'Job Master'!$F$12:$I$102,4,0)&lt;&gt;""),IF(WEEKDAY(BK204-VLOOKUP($P204&amp;" | "&amp;BB$6,'Job Master'!$F$12:$I$102,4,0))&lt;&gt;7,BK204-VLOOKUP($P204&amp;" | "&amp;BB$6,'Job Master'!$F$12:$I$102,4,0),BK204-VLOOKUP($P204&amp;" | "&amp;BB$6,'Job Master'!$F$12:$I$102,4,0)-1),""),"")</f>
        <v/>
      </c>
      <c r="BE204" s="73"/>
      <c r="BF204" s="123" t="str">
        <f t="shared" si="405"/>
        <v/>
      </c>
      <c r="BG204" s="123" t="str">
        <f t="shared" si="406"/>
        <v/>
      </c>
      <c r="BH204" s="97" t="str">
        <f t="shared" ca="1" si="407"/>
        <v/>
      </c>
      <c r="BI204" s="98" t="str">
        <f>IF(BK204&lt;&gt;"",VLOOKUP($P204&amp;" | "&amp;BI$6,'Job Master'!$F$12:$J$102,5,0),"")</f>
        <v/>
      </c>
      <c r="BJ204" s="19" t="str">
        <f>IF(BK204&lt;&gt;"",VLOOKUP($P204&amp;" | "&amp;BI$6,'Job Master'!$F$12:$J$102,3,0),"")</f>
        <v/>
      </c>
      <c r="BK204" s="19" t="str">
        <f>IFERROR(IF(AND(BR204&lt;&gt;"",VLOOKUP($P204&amp;" | "&amp;BI$6,'Job Master'!$F$12:$I$102,4,0)&lt;&gt;""),IF(WEEKDAY(BR204-VLOOKUP($P204&amp;" | "&amp;BI$6,'Job Master'!$F$12:$I$102,4,0))&lt;&gt;7,BR204-VLOOKUP($P204&amp;" | "&amp;BI$6,'Job Master'!$F$12:$I$102,4,0),BR204-VLOOKUP($P204&amp;" | "&amp;BI$6,'Job Master'!$F$12:$I$102,4,0)-1),""),"")</f>
        <v/>
      </c>
      <c r="BL204" s="73"/>
      <c r="BM204" s="123" t="str">
        <f t="shared" si="408"/>
        <v/>
      </c>
      <c r="BN204" s="123" t="str">
        <f t="shared" si="409"/>
        <v/>
      </c>
      <c r="BO204" s="97" t="str">
        <f t="shared" ca="1" si="410"/>
        <v/>
      </c>
      <c r="BP204" s="98" t="str">
        <f>IF(BR204&lt;&gt;"",VLOOKUP($P204&amp;" | "&amp;BP$6,'Job Master'!$F$12:$J$102,5,0),"")</f>
        <v/>
      </c>
      <c r="BQ204" s="19" t="str">
        <f>IF(BR204&lt;&gt;"",VLOOKUP($P204&amp;" | "&amp;BP$6,'Job Master'!$F$12:$J$102,3,0),"")</f>
        <v/>
      </c>
      <c r="BR204" s="19" t="str">
        <f>IFERROR(IF(AND(BY204&lt;&gt;"",VLOOKUP($P204&amp;" | "&amp;BP$6,'Job Master'!$F$12:$I$102,4,0)&lt;&gt;""),IF(WEEKDAY(BY204-VLOOKUP($P204&amp;" | "&amp;BP$6,'Job Master'!$F$12:$I$102,4,0))&lt;&gt;7,BY204-VLOOKUP($P204&amp;" | "&amp;BP$6,'Job Master'!$F$12:$I$102,4,0),BY204-VLOOKUP($P204&amp;" | "&amp;BP$6,'Job Master'!$F$12:$I$102,4,0)-1),""),"")</f>
        <v/>
      </c>
      <c r="BS204" s="73"/>
      <c r="BT204" s="123" t="str">
        <f t="shared" si="411"/>
        <v/>
      </c>
      <c r="BU204" s="123" t="str">
        <f t="shared" si="412"/>
        <v/>
      </c>
      <c r="BV204" s="97" t="str">
        <f t="shared" ca="1" si="413"/>
        <v/>
      </c>
      <c r="BW204" s="98" t="str">
        <f>IF(BY204&lt;&gt;"",VLOOKUP($P204&amp;" | "&amp;BW$6,'Job Master'!$F$12:$J$102,5,0),"")</f>
        <v/>
      </c>
      <c r="BX204" s="19" t="str">
        <f>IF(BY204&lt;&gt;"",VLOOKUP($P204&amp;" | "&amp;BW$6,'Job Master'!$F$12:$J$102,3,0),"")</f>
        <v/>
      </c>
      <c r="BY204" s="19" t="str">
        <f>IFERROR(IF(AND(CF204&lt;&gt;"",VLOOKUP($P204&amp;" | "&amp;BW$6,'Job Master'!$F$12:$I$102,4,0)&lt;&gt;""),IF(WEEKDAY(CF204-VLOOKUP($P204&amp;" | "&amp;BW$6,'Job Master'!$F$12:$I$102,4,0))&lt;&gt;7,CF204-VLOOKUP($P204&amp;" | "&amp;BW$6,'Job Master'!$F$12:$I$102,4,0),CF204-VLOOKUP($P204&amp;" | "&amp;BW$6,'Job Master'!$F$12:$I$102,4,0)-1),""),"")</f>
        <v/>
      </c>
      <c r="BZ204" s="73"/>
      <c r="CA204" s="123" t="str">
        <f t="shared" si="414"/>
        <v/>
      </c>
      <c r="CB204" s="123" t="str">
        <f t="shared" si="415"/>
        <v/>
      </c>
      <c r="CC204" s="97" t="str">
        <f t="shared" ca="1" si="416"/>
        <v/>
      </c>
      <c r="CD204" s="98" t="str">
        <f>IF(CF204&lt;&gt;"",VLOOKUP($P204&amp;" | "&amp;CD$6,'Job Master'!$F$12:$J$102,5,0),"")</f>
        <v/>
      </c>
      <c r="CE204" s="19" t="str">
        <f>IF(CF204&lt;&gt;"",VLOOKUP($P204&amp;" | "&amp;CD$6,'Job Master'!$F$12:$J$102,3,0),"")</f>
        <v/>
      </c>
      <c r="CF204" s="19" t="str">
        <f>IFERROR(IF(AND(CM204&lt;&gt;"",VLOOKUP($P204&amp;" | "&amp;CD$6,'Job Master'!$F$12:$I$102,4,0)&lt;&gt;""),IF(WEEKDAY(CM204-VLOOKUP($P204&amp;" | "&amp;CD$6,'Job Master'!$F$12:$I$102,4,0))&lt;&gt;7,CM204-VLOOKUP($P204&amp;" | "&amp;CD$6,'Job Master'!$F$12:$I$102,4,0),CM204-VLOOKUP($P204&amp;" | "&amp;CD$6,'Job Master'!$F$12:$I$102,4,0)-1),""),"")</f>
        <v/>
      </c>
      <c r="CG204" s="73"/>
      <c r="CH204" s="123" t="str">
        <f t="shared" si="417"/>
        <v/>
      </c>
      <c r="CI204" s="123" t="str">
        <f t="shared" si="418"/>
        <v/>
      </c>
      <c r="CJ204" s="97" t="str">
        <f t="shared" ca="1" si="419"/>
        <v/>
      </c>
      <c r="CK204" s="98" t="str">
        <f>IF(CM204&lt;&gt;"",VLOOKUP($P204&amp;" | "&amp;CK$6,'Job Master'!$F$12:$J$102,5,0),"")</f>
        <v/>
      </c>
      <c r="CL204" s="19" t="str">
        <f>IF(CM204&lt;&gt;"",VLOOKUP($P204&amp;" | "&amp;CK$6,'Job Master'!$F$12:$J$102,3,0),"")</f>
        <v/>
      </c>
      <c r="CM204" s="19" t="str">
        <f>IFERROR(IF(AND(CT204&lt;&gt;"",VLOOKUP($P204&amp;" | "&amp;CK$6,'Job Master'!$F$12:$I$102,4,0)&lt;&gt;""),IF(WEEKDAY(CT204-VLOOKUP($P204&amp;" | "&amp;CK$6,'Job Master'!$F$12:$I$102,4,0))&lt;&gt;7,CT204-VLOOKUP($P204&amp;" | "&amp;CK$6,'Job Master'!$F$12:$I$102,4,0),CT204-VLOOKUP($P204&amp;" | "&amp;CK$6,'Job Master'!$F$12:$I$102,4,0)-1),""),"")</f>
        <v/>
      </c>
      <c r="CN204" s="73"/>
      <c r="CO204" s="123" t="str">
        <f t="shared" si="420"/>
        <v/>
      </c>
      <c r="CP204" s="123" t="str">
        <f t="shared" si="421"/>
        <v/>
      </c>
      <c r="CQ204" s="97" t="str">
        <f t="shared" ca="1" si="422"/>
        <v/>
      </c>
      <c r="CR204" s="98" t="str">
        <f>IF(CT204&lt;&gt;"",VLOOKUP($P204&amp;" | "&amp;CR$6,'Job Master'!$F$12:$J$102,5,0),"")</f>
        <v/>
      </c>
      <c r="CS204" s="19" t="str">
        <f>IF(CT204&lt;&gt;"",VLOOKUP($P204&amp;" | "&amp;CR$6,'Job Master'!$F$12:$J$102,3,0),"")</f>
        <v/>
      </c>
      <c r="CT204" s="19" t="str">
        <f>IFERROR(IF(AND(DA204&lt;&gt;"",VLOOKUP($P204&amp;" | "&amp;CR$6,'Job Master'!$F$12:$I$102,4,0)&lt;&gt;""),IF(WEEKDAY(DA204-VLOOKUP($P204&amp;" | "&amp;CR$6,'Job Master'!$F$12:$I$102,4,0))&lt;&gt;7,DA204-VLOOKUP($P204&amp;" | "&amp;CR$6,'Job Master'!$F$12:$I$102,4,0),DA204-VLOOKUP($P204&amp;" | "&amp;CR$6,'Job Master'!$F$12:$I$102,4,0)-1),""),"")</f>
        <v/>
      </c>
      <c r="CU204" s="73"/>
      <c r="CV204" s="123" t="str">
        <f t="shared" si="423"/>
        <v/>
      </c>
      <c r="CW204" s="123" t="str">
        <f t="shared" si="424"/>
        <v/>
      </c>
      <c r="CX204" s="97" t="str">
        <f t="shared" ca="1" si="425"/>
        <v/>
      </c>
      <c r="CY204" s="98" t="str">
        <f>IF(DA204&lt;&gt;"",VLOOKUP($P204&amp;" | "&amp;CY$6,'Job Master'!$F$12:$J$102,5,0),"")</f>
        <v/>
      </c>
      <c r="CZ204" s="19" t="str">
        <f>IF(DA204&lt;&gt;"",VLOOKUP($P204&amp;" | "&amp;CY$6,'Job Master'!$F$12:$J$102,3,0),"")</f>
        <v/>
      </c>
      <c r="DA204" s="19" t="str">
        <f>IFERROR(IF(AND(DH204&lt;&gt;"",VLOOKUP($P204&amp;" | "&amp;CY$6,'Job Master'!$F$12:$I$102,4,0)&lt;&gt;""),IF(WEEKDAY(DH204-VLOOKUP($P204&amp;" | "&amp;CY$6,'Job Master'!$F$12:$I$102,4,0))&lt;&gt;7,DH204-VLOOKUP($P204&amp;" | "&amp;CY$6,'Job Master'!$F$12:$I$102,4,0),DH204-VLOOKUP($P204&amp;" | "&amp;CY$6,'Job Master'!$F$12:$I$102,4,0)-1),""),"")</f>
        <v/>
      </c>
      <c r="DB204" s="73"/>
      <c r="DC204" s="123" t="str">
        <f t="shared" si="426"/>
        <v/>
      </c>
      <c r="DD204" s="123" t="str">
        <f t="shared" si="427"/>
        <v/>
      </c>
      <c r="DE204" s="97" t="str">
        <f t="shared" ca="1" si="428"/>
        <v/>
      </c>
      <c r="DF204" s="98" t="str">
        <f>IF(DH204&lt;&gt;"",VLOOKUP($P204&amp;" | "&amp;DF$6,'Job Master'!$F$12:$J$102,5,0),"")</f>
        <v/>
      </c>
      <c r="DG204" s="19" t="str">
        <f>IF(DH204&lt;&gt;"",VLOOKUP($P204&amp;" | "&amp;DF$6,'Job Master'!$F$12:$J$102,3,0),"")</f>
        <v/>
      </c>
      <c r="DH204" s="19" t="str">
        <f>IFERROR(IF(AND(DO204&lt;&gt;"",VLOOKUP($P204&amp;" | "&amp;DF$6,'Job Master'!$F$12:$I$102,4,0)&lt;&gt;""),IF(WEEKDAY(DO204-VLOOKUP($P204&amp;" | "&amp;DF$6,'Job Master'!$F$12:$I$102,4,0))&lt;&gt;7,DO204-VLOOKUP($P204&amp;" | "&amp;DF$6,'Job Master'!$F$12:$I$102,4,0),DO204-VLOOKUP($P204&amp;" | "&amp;DF$6,'Job Master'!$F$12:$I$102,4,0)-1),""),"")</f>
        <v/>
      </c>
      <c r="DI204" s="73"/>
      <c r="DJ204" s="123" t="str">
        <f t="shared" si="429"/>
        <v/>
      </c>
      <c r="DK204" s="123" t="str">
        <f t="shared" si="430"/>
        <v/>
      </c>
      <c r="DL204" s="97" t="str">
        <f t="shared" ca="1" si="431"/>
        <v/>
      </c>
      <c r="DM204" s="98" t="str">
        <f>IF(DO204&lt;&gt;"",VLOOKUP($P204&amp;" | "&amp;DM$6,'Job Master'!$F$12:$J$102,5,0),"")</f>
        <v/>
      </c>
      <c r="DN204" s="19" t="str">
        <f>IF(DO204&lt;&gt;"",VLOOKUP($P204&amp;" | "&amp;DM$6,'Job Master'!$F$12:$J$102,3,0),"")</f>
        <v/>
      </c>
      <c r="DO204" s="19" t="str">
        <f>IFERROR(IF(AND(DT204&lt;&gt;"",VLOOKUP($P204&amp;" | "&amp;DM$6,'Job Master'!$F$12:$I$102,4,0)&lt;&gt;""),IF(WEEKDAY(DT204-VLOOKUP($P204&amp;" | "&amp;DM$6,'Job Master'!$F$12:$I$102,4,0))&lt;&gt;7,DT204-VLOOKUP($P204&amp;" | "&amp;DM$6,'Job Master'!$F$12:$I$102,4,0),DT204-VLOOKUP($P204&amp;" | "&amp;DM$6,'Job Master'!$F$12:$I$102,4,0)-1),""),"")</f>
        <v/>
      </c>
      <c r="DP204" s="73"/>
      <c r="DQ204" s="123" t="str">
        <f t="shared" si="432"/>
        <v/>
      </c>
      <c r="DR204" s="123" t="str">
        <f t="shared" si="433"/>
        <v/>
      </c>
      <c r="DS204" s="97" t="str">
        <f t="shared" ca="1" si="434"/>
        <v/>
      </c>
      <c r="DT204" s="70" t="str">
        <f t="shared" si="435"/>
        <v/>
      </c>
      <c r="DU204" s="90"/>
      <c r="DV204" s="123" t="str">
        <f t="shared" si="436"/>
        <v/>
      </c>
      <c r="DW204" s="123" t="str">
        <f t="shared" si="437"/>
        <v/>
      </c>
      <c r="DX204" s="132" t="str">
        <f t="shared" ref="DX204" ca="1" si="442">IF(DT204&lt;&gt;"",IF(WEEKNUM(DT204)=WEEKNUM(TODAY()),"This Week",IF(WEEKNUM(DT204)=WEEKNUM(TODAY())+1,"Next Week",IF(WEEKNUM(DT204)=WEEKNUM(TODAY())-1,"Previous Week",""))),"")</f>
        <v/>
      </c>
      <c r="DY204" s="134" t="str">
        <f t="shared" si="439"/>
        <v/>
      </c>
      <c r="DZ204" s="95"/>
      <c r="EB204" s="8" t="str">
        <f t="shared" si="319"/>
        <v/>
      </c>
      <c r="EC204" s="8" t="str">
        <f>IF(O204&lt;&gt;"",VLOOKUP(O204,'Job Master'!$N$12:$O$18,2,0),"")</f>
        <v/>
      </c>
      <c r="ED204" s="8">
        <f t="shared" si="320"/>
        <v>19.5</v>
      </c>
      <c r="EE204" s="8">
        <f t="shared" si="321"/>
        <v>6</v>
      </c>
      <c r="EF204" s="8">
        <f t="shared" si="322"/>
        <v>-1144.5</v>
      </c>
      <c r="EG204" s="8" t="str">
        <f t="shared" si="323"/>
        <v/>
      </c>
      <c r="EH204" s="8" t="str">
        <f t="shared" si="324"/>
        <v/>
      </c>
    </row>
    <row r="205" spans="2:138" x14ac:dyDescent="0.3">
      <c r="B205" s="112"/>
      <c r="C205" s="27"/>
      <c r="D205" s="7" t="str">
        <f t="shared" si="387"/>
        <v/>
      </c>
      <c r="E205" s="25"/>
      <c r="F205" s="7" t="str">
        <f t="shared" si="387"/>
        <v/>
      </c>
      <c r="G205" s="25"/>
      <c r="H205" s="7" t="str">
        <f t="shared" si="387"/>
        <v/>
      </c>
      <c r="I205" s="25"/>
      <c r="J205" s="7" t="str">
        <f t="shared" si="387"/>
        <v/>
      </c>
      <c r="K205" s="25"/>
      <c r="L205" s="7" t="str">
        <f t="shared" si="388"/>
        <v/>
      </c>
      <c r="M205" s="25"/>
      <c r="N205" s="7" t="str">
        <f t="shared" si="389"/>
        <v/>
      </c>
      <c r="O205" s="81"/>
      <c r="P205" s="81" t="str">
        <f t="shared" si="390"/>
        <v/>
      </c>
      <c r="Q205" s="81"/>
      <c r="R205" s="7" t="str">
        <f t="shared" si="391"/>
        <v/>
      </c>
      <c r="S205" s="25"/>
      <c r="T205" s="7" t="str">
        <f t="shared" si="392"/>
        <v/>
      </c>
      <c r="U205" s="25"/>
      <c r="V205" s="7" t="str">
        <f t="shared" si="393"/>
        <v/>
      </c>
      <c r="W205" s="25"/>
      <c r="X205" s="7" t="str">
        <f t="shared" si="394"/>
        <v/>
      </c>
      <c r="Y205" s="18" t="str">
        <f t="shared" si="395"/>
        <v/>
      </c>
      <c r="Z205" s="7" t="str">
        <f t="shared" si="396"/>
        <v/>
      </c>
      <c r="AA205" s="18" t="str">
        <f t="shared" si="397"/>
        <v/>
      </c>
      <c r="AB205" s="19" t="str">
        <f t="shared" si="398"/>
        <v/>
      </c>
      <c r="AC205" s="26"/>
      <c r="AD205" s="26"/>
      <c r="AE205" s="25"/>
      <c r="AF205" s="26"/>
      <c r="AG205" s="25"/>
      <c r="AH205" s="25"/>
      <c r="AI205" s="18" t="str">
        <f t="shared" si="335"/>
        <v/>
      </c>
      <c r="AJ205" s="25"/>
      <c r="AK205" s="18" t="str">
        <f t="shared" si="336"/>
        <v/>
      </c>
      <c r="AL205" s="79"/>
      <c r="AM205" s="126" t="str">
        <f t="shared" si="337"/>
        <v/>
      </c>
      <c r="AN205" s="128" t="str">
        <f>IF(AP205&lt;&gt;"",VLOOKUP($P205&amp;" | "&amp;AN$6,'Job Master'!$F$12:$J$102,5,0),"")</f>
        <v/>
      </c>
      <c r="AO205" s="19" t="str">
        <f>IF(AP205&lt;&gt;"",VLOOKUP($P205&amp;" | "&amp;AN$6,'Job Master'!$F$12:$J$102,3,0),"")</f>
        <v/>
      </c>
      <c r="AP205" s="19" t="str">
        <f>IFERROR(IF(AND(AW205&lt;&gt;"",VLOOKUP($P205&amp;" | "&amp;AN$6,'Job Master'!$F$12:$I$102,4,0)&lt;&gt;""),IF(WEEKDAY(AW205-VLOOKUP($P205&amp;" | "&amp;AN$6,'Job Master'!$F$12:$I$102,4,0))&lt;&gt;7,AW205-VLOOKUP($P205&amp;" | "&amp;AN$6,'Job Master'!$F$12:$I$102,4,0),AW205-VLOOKUP($P205&amp;" | "&amp;AN$6,'Job Master'!$F$12:$I$102,4,0)-1),""),"")</f>
        <v/>
      </c>
      <c r="AQ205" s="73"/>
      <c r="AR205" s="123" t="str">
        <f t="shared" si="399"/>
        <v/>
      </c>
      <c r="AS205" s="123" t="str">
        <f t="shared" si="400"/>
        <v/>
      </c>
      <c r="AT205" s="97" t="str">
        <f t="shared" ca="1" si="401"/>
        <v/>
      </c>
      <c r="AU205" s="98" t="str">
        <f>IF(AW205&lt;&gt;"",VLOOKUP($P205&amp;" | "&amp;AU$6,'Job Master'!$F$12:$J$102,5,0),"")</f>
        <v/>
      </c>
      <c r="AV205" s="19" t="str">
        <f>IF(AW205&lt;&gt;"",VLOOKUP($P205&amp;" | "&amp;AU$6,'Job Master'!$F$12:$J$102,3,0),"")</f>
        <v/>
      </c>
      <c r="AW205" s="19" t="str">
        <f>IFERROR(IF(AND(BD205&lt;&gt;"",VLOOKUP($P205&amp;" | "&amp;AU$6,'Job Master'!$F$12:$I$102,4,0)&lt;&gt;""),IF(WEEKDAY(BD205-VLOOKUP($P205&amp;" | "&amp;AU$6,'Job Master'!$F$12:$I$102,4,0))&lt;&gt;7,BD205-VLOOKUP($P205&amp;" | "&amp;AU$6,'Job Master'!$F$12:$I$102,4,0),BD205-VLOOKUP($P205&amp;" | "&amp;AU$6,'Job Master'!$F$12:$I$102,4,0)-1),""),"")</f>
        <v/>
      </c>
      <c r="AX205" s="73"/>
      <c r="AY205" s="123" t="str">
        <f t="shared" si="402"/>
        <v/>
      </c>
      <c r="AZ205" s="123" t="str">
        <f t="shared" si="403"/>
        <v/>
      </c>
      <c r="BA205" s="97" t="str">
        <f t="shared" ca="1" si="404"/>
        <v/>
      </c>
      <c r="BB205" s="98" t="str">
        <f>IF(BD205&lt;&gt;"",VLOOKUP($P205&amp;" | "&amp;BB$6,'Job Master'!$F$12:$J$102,5,0),"")</f>
        <v/>
      </c>
      <c r="BC205" s="19" t="str">
        <f>IF(BD205&lt;&gt;"",VLOOKUP($P205&amp;" | "&amp;BB$6,'Job Master'!$F$12:$J$102,3,0),"")</f>
        <v/>
      </c>
      <c r="BD205" s="19" t="str">
        <f>IFERROR(IF(AND(BK205&lt;&gt;"",VLOOKUP($P205&amp;" | "&amp;BB$6,'Job Master'!$F$12:$I$102,4,0)&lt;&gt;""),IF(WEEKDAY(BK205-VLOOKUP($P205&amp;" | "&amp;BB$6,'Job Master'!$F$12:$I$102,4,0))&lt;&gt;7,BK205-VLOOKUP($P205&amp;" | "&amp;BB$6,'Job Master'!$F$12:$I$102,4,0),BK205-VLOOKUP($P205&amp;" | "&amp;BB$6,'Job Master'!$F$12:$I$102,4,0)-1),""),"")</f>
        <v/>
      </c>
      <c r="BE205" s="73"/>
      <c r="BF205" s="123" t="str">
        <f t="shared" si="405"/>
        <v/>
      </c>
      <c r="BG205" s="123" t="str">
        <f t="shared" si="406"/>
        <v/>
      </c>
      <c r="BH205" s="97" t="str">
        <f t="shared" ca="1" si="407"/>
        <v/>
      </c>
      <c r="BI205" s="98" t="str">
        <f>IF(BK205&lt;&gt;"",VLOOKUP($P205&amp;" | "&amp;BI$6,'Job Master'!$F$12:$J$102,5,0),"")</f>
        <v/>
      </c>
      <c r="BJ205" s="19" t="str">
        <f>IF(BK205&lt;&gt;"",VLOOKUP($P205&amp;" | "&amp;BI$6,'Job Master'!$F$12:$J$102,3,0),"")</f>
        <v/>
      </c>
      <c r="BK205" s="19" t="str">
        <f>IFERROR(IF(AND(BR205&lt;&gt;"",VLOOKUP($P205&amp;" | "&amp;BI$6,'Job Master'!$F$12:$I$102,4,0)&lt;&gt;""),IF(WEEKDAY(BR205-VLOOKUP($P205&amp;" | "&amp;BI$6,'Job Master'!$F$12:$I$102,4,0))&lt;&gt;7,BR205-VLOOKUP($P205&amp;" | "&amp;BI$6,'Job Master'!$F$12:$I$102,4,0),BR205-VLOOKUP($P205&amp;" | "&amp;BI$6,'Job Master'!$F$12:$I$102,4,0)-1),""),"")</f>
        <v/>
      </c>
      <c r="BL205" s="73"/>
      <c r="BM205" s="123" t="str">
        <f t="shared" si="408"/>
        <v/>
      </c>
      <c r="BN205" s="123" t="str">
        <f t="shared" si="409"/>
        <v/>
      </c>
      <c r="BO205" s="97" t="str">
        <f t="shared" ca="1" si="410"/>
        <v/>
      </c>
      <c r="BP205" s="98" t="str">
        <f>IF(BR205&lt;&gt;"",VLOOKUP($P205&amp;" | "&amp;BP$6,'Job Master'!$F$12:$J$102,5,0),"")</f>
        <v/>
      </c>
      <c r="BQ205" s="19" t="str">
        <f>IF(BR205&lt;&gt;"",VLOOKUP($P205&amp;" | "&amp;BP$6,'Job Master'!$F$12:$J$102,3,0),"")</f>
        <v/>
      </c>
      <c r="BR205" s="19" t="str">
        <f>IFERROR(IF(AND(BY205&lt;&gt;"",VLOOKUP($P205&amp;" | "&amp;BP$6,'Job Master'!$F$12:$I$102,4,0)&lt;&gt;""),IF(WEEKDAY(BY205-VLOOKUP($P205&amp;" | "&amp;BP$6,'Job Master'!$F$12:$I$102,4,0))&lt;&gt;7,BY205-VLOOKUP($P205&amp;" | "&amp;BP$6,'Job Master'!$F$12:$I$102,4,0),BY205-VLOOKUP($P205&amp;" | "&amp;BP$6,'Job Master'!$F$12:$I$102,4,0)-1),""),"")</f>
        <v/>
      </c>
      <c r="BS205" s="73"/>
      <c r="BT205" s="123" t="str">
        <f t="shared" si="411"/>
        <v/>
      </c>
      <c r="BU205" s="123" t="str">
        <f t="shared" si="412"/>
        <v/>
      </c>
      <c r="BV205" s="97" t="str">
        <f t="shared" ca="1" si="413"/>
        <v/>
      </c>
      <c r="BW205" s="98" t="str">
        <f>IF(BY205&lt;&gt;"",VLOOKUP($P205&amp;" | "&amp;BW$6,'Job Master'!$F$12:$J$102,5,0),"")</f>
        <v/>
      </c>
      <c r="BX205" s="19" t="str">
        <f>IF(BY205&lt;&gt;"",VLOOKUP($P205&amp;" | "&amp;BW$6,'Job Master'!$F$12:$J$102,3,0),"")</f>
        <v/>
      </c>
      <c r="BY205" s="19" t="str">
        <f>IFERROR(IF(AND(CF205&lt;&gt;"",VLOOKUP($P205&amp;" | "&amp;BW$6,'Job Master'!$F$12:$I$102,4,0)&lt;&gt;""),IF(WEEKDAY(CF205-VLOOKUP($P205&amp;" | "&amp;BW$6,'Job Master'!$F$12:$I$102,4,0))&lt;&gt;7,CF205-VLOOKUP($P205&amp;" | "&amp;BW$6,'Job Master'!$F$12:$I$102,4,0),CF205-VLOOKUP($P205&amp;" | "&amp;BW$6,'Job Master'!$F$12:$I$102,4,0)-1),""),"")</f>
        <v/>
      </c>
      <c r="BZ205" s="73"/>
      <c r="CA205" s="123" t="str">
        <f t="shared" si="414"/>
        <v/>
      </c>
      <c r="CB205" s="123" t="str">
        <f t="shared" si="415"/>
        <v/>
      </c>
      <c r="CC205" s="97" t="str">
        <f t="shared" ca="1" si="416"/>
        <v/>
      </c>
      <c r="CD205" s="98" t="str">
        <f>IF(CF205&lt;&gt;"",VLOOKUP($P205&amp;" | "&amp;CD$6,'Job Master'!$F$12:$J$102,5,0),"")</f>
        <v/>
      </c>
      <c r="CE205" s="19" t="str">
        <f>IF(CF205&lt;&gt;"",VLOOKUP($P205&amp;" | "&amp;CD$6,'Job Master'!$F$12:$J$102,3,0),"")</f>
        <v/>
      </c>
      <c r="CF205" s="19" t="str">
        <f>IFERROR(IF(AND(CM205&lt;&gt;"",VLOOKUP($P205&amp;" | "&amp;CD$6,'Job Master'!$F$12:$I$102,4,0)&lt;&gt;""),IF(WEEKDAY(CM205-VLOOKUP($P205&amp;" | "&amp;CD$6,'Job Master'!$F$12:$I$102,4,0))&lt;&gt;7,CM205-VLOOKUP($P205&amp;" | "&amp;CD$6,'Job Master'!$F$12:$I$102,4,0),CM205-VLOOKUP($P205&amp;" | "&amp;CD$6,'Job Master'!$F$12:$I$102,4,0)-1),""),"")</f>
        <v/>
      </c>
      <c r="CG205" s="73"/>
      <c r="CH205" s="123" t="str">
        <f t="shared" si="417"/>
        <v/>
      </c>
      <c r="CI205" s="123" t="str">
        <f t="shared" si="418"/>
        <v/>
      </c>
      <c r="CJ205" s="97" t="str">
        <f t="shared" ca="1" si="419"/>
        <v/>
      </c>
      <c r="CK205" s="98" t="str">
        <f>IF(CM205&lt;&gt;"",VLOOKUP($P205&amp;" | "&amp;CK$6,'Job Master'!$F$12:$J$102,5,0),"")</f>
        <v/>
      </c>
      <c r="CL205" s="19" t="str">
        <f>IF(CM205&lt;&gt;"",VLOOKUP($P205&amp;" | "&amp;CK$6,'Job Master'!$F$12:$J$102,3,0),"")</f>
        <v/>
      </c>
      <c r="CM205" s="19" t="str">
        <f>IFERROR(IF(AND(CT205&lt;&gt;"",VLOOKUP($P205&amp;" | "&amp;CK$6,'Job Master'!$F$12:$I$102,4,0)&lt;&gt;""),IF(WEEKDAY(CT205-VLOOKUP($P205&amp;" | "&amp;CK$6,'Job Master'!$F$12:$I$102,4,0))&lt;&gt;7,CT205-VLOOKUP($P205&amp;" | "&amp;CK$6,'Job Master'!$F$12:$I$102,4,0),CT205-VLOOKUP($P205&amp;" | "&amp;CK$6,'Job Master'!$F$12:$I$102,4,0)-1),""),"")</f>
        <v/>
      </c>
      <c r="CN205" s="73"/>
      <c r="CO205" s="123" t="str">
        <f t="shared" si="420"/>
        <v/>
      </c>
      <c r="CP205" s="123" t="str">
        <f t="shared" si="421"/>
        <v/>
      </c>
      <c r="CQ205" s="97" t="str">
        <f t="shared" ca="1" si="422"/>
        <v/>
      </c>
      <c r="CR205" s="98" t="str">
        <f>IF(CT205&lt;&gt;"",VLOOKUP($P205&amp;" | "&amp;CR$6,'Job Master'!$F$12:$J$102,5,0),"")</f>
        <v/>
      </c>
      <c r="CS205" s="19" t="str">
        <f>IF(CT205&lt;&gt;"",VLOOKUP($P205&amp;" | "&amp;CR$6,'Job Master'!$F$12:$J$102,3,0),"")</f>
        <v/>
      </c>
      <c r="CT205" s="19" t="str">
        <f>IFERROR(IF(AND(DA205&lt;&gt;"",VLOOKUP($P205&amp;" | "&amp;CR$6,'Job Master'!$F$12:$I$102,4,0)&lt;&gt;""),IF(WEEKDAY(DA205-VLOOKUP($P205&amp;" | "&amp;CR$6,'Job Master'!$F$12:$I$102,4,0))&lt;&gt;7,DA205-VLOOKUP($P205&amp;" | "&amp;CR$6,'Job Master'!$F$12:$I$102,4,0),DA205-VLOOKUP($P205&amp;" | "&amp;CR$6,'Job Master'!$F$12:$I$102,4,0)-1),""),"")</f>
        <v/>
      </c>
      <c r="CU205" s="73"/>
      <c r="CV205" s="123" t="str">
        <f t="shared" si="423"/>
        <v/>
      </c>
      <c r="CW205" s="123" t="str">
        <f t="shared" si="424"/>
        <v/>
      </c>
      <c r="CX205" s="97" t="str">
        <f t="shared" ca="1" si="425"/>
        <v/>
      </c>
      <c r="CY205" s="98" t="str">
        <f>IF(DA205&lt;&gt;"",VLOOKUP($P205&amp;" | "&amp;CY$6,'Job Master'!$F$12:$J$102,5,0),"")</f>
        <v/>
      </c>
      <c r="CZ205" s="19" t="str">
        <f>IF(DA205&lt;&gt;"",VLOOKUP($P205&amp;" | "&amp;CY$6,'Job Master'!$F$12:$J$102,3,0),"")</f>
        <v/>
      </c>
      <c r="DA205" s="19" t="str">
        <f>IFERROR(IF(AND(DH205&lt;&gt;"",VLOOKUP($P205&amp;" | "&amp;CY$6,'Job Master'!$F$12:$I$102,4,0)&lt;&gt;""),IF(WEEKDAY(DH205-VLOOKUP($P205&amp;" | "&amp;CY$6,'Job Master'!$F$12:$I$102,4,0))&lt;&gt;7,DH205-VLOOKUP($P205&amp;" | "&amp;CY$6,'Job Master'!$F$12:$I$102,4,0),DH205-VLOOKUP($P205&amp;" | "&amp;CY$6,'Job Master'!$F$12:$I$102,4,0)-1),""),"")</f>
        <v/>
      </c>
      <c r="DB205" s="73"/>
      <c r="DC205" s="123" t="str">
        <f t="shared" si="426"/>
        <v/>
      </c>
      <c r="DD205" s="123" t="str">
        <f t="shared" si="427"/>
        <v/>
      </c>
      <c r="DE205" s="97" t="str">
        <f t="shared" ca="1" si="428"/>
        <v/>
      </c>
      <c r="DF205" s="98" t="str">
        <f>IF(DH205&lt;&gt;"",VLOOKUP($P205&amp;" | "&amp;DF$6,'Job Master'!$F$12:$J$102,5,0),"")</f>
        <v/>
      </c>
      <c r="DG205" s="19" t="str">
        <f>IF(DH205&lt;&gt;"",VLOOKUP($P205&amp;" | "&amp;DF$6,'Job Master'!$F$12:$J$102,3,0),"")</f>
        <v/>
      </c>
      <c r="DH205" s="19" t="str">
        <f>IFERROR(IF(AND(DO205&lt;&gt;"",VLOOKUP($P205&amp;" | "&amp;DF$6,'Job Master'!$F$12:$I$102,4,0)&lt;&gt;""),IF(WEEKDAY(DO205-VLOOKUP($P205&amp;" | "&amp;DF$6,'Job Master'!$F$12:$I$102,4,0))&lt;&gt;7,DO205-VLOOKUP($P205&amp;" | "&amp;DF$6,'Job Master'!$F$12:$I$102,4,0),DO205-VLOOKUP($P205&amp;" | "&amp;DF$6,'Job Master'!$F$12:$I$102,4,0)-1),""),"")</f>
        <v/>
      </c>
      <c r="DI205" s="73"/>
      <c r="DJ205" s="123" t="str">
        <f t="shared" si="429"/>
        <v/>
      </c>
      <c r="DK205" s="123" t="str">
        <f t="shared" si="430"/>
        <v/>
      </c>
      <c r="DL205" s="97" t="str">
        <f t="shared" ca="1" si="431"/>
        <v/>
      </c>
      <c r="DM205" s="98" t="str">
        <f>IF(DO205&lt;&gt;"",VLOOKUP($P205&amp;" | "&amp;DM$6,'Job Master'!$F$12:$J$102,5,0),"")</f>
        <v/>
      </c>
      <c r="DN205" s="19" t="str">
        <f>IF(DO205&lt;&gt;"",VLOOKUP($P205&amp;" | "&amp;DM$6,'Job Master'!$F$12:$J$102,3,0),"")</f>
        <v/>
      </c>
      <c r="DO205" s="19" t="str">
        <f>IFERROR(IF(AND(DT205&lt;&gt;"",VLOOKUP($P205&amp;" | "&amp;DM$6,'Job Master'!$F$12:$I$102,4,0)&lt;&gt;""),IF(WEEKDAY(DT205-VLOOKUP($P205&amp;" | "&amp;DM$6,'Job Master'!$F$12:$I$102,4,0))&lt;&gt;7,DT205-VLOOKUP($P205&amp;" | "&amp;DM$6,'Job Master'!$F$12:$I$102,4,0),DT205-VLOOKUP($P205&amp;" | "&amp;DM$6,'Job Master'!$F$12:$I$102,4,0)-1),""),"")</f>
        <v/>
      </c>
      <c r="DP205" s="73"/>
      <c r="DQ205" s="123" t="str">
        <f t="shared" si="432"/>
        <v/>
      </c>
      <c r="DR205" s="123" t="str">
        <f t="shared" si="433"/>
        <v/>
      </c>
      <c r="DS205" s="97" t="str">
        <f t="shared" ca="1" si="434"/>
        <v/>
      </c>
      <c r="DT205" s="70" t="str">
        <f t="shared" si="435"/>
        <v/>
      </c>
      <c r="DU205" s="90"/>
      <c r="DV205" s="123" t="str">
        <f t="shared" si="436"/>
        <v/>
      </c>
      <c r="DW205" s="123" t="str">
        <f t="shared" si="437"/>
        <v/>
      </c>
      <c r="DX205" s="132" t="str">
        <f t="shared" ref="DX205" ca="1" si="443">IF(DT205&lt;&gt;"",IF(WEEKNUM(DT205)=WEEKNUM(TODAY()),"This Week",IF(WEEKNUM(DT205)=WEEKNUM(TODAY())+1,"Next Week",IF(WEEKNUM(DT205)=WEEKNUM(TODAY())-1,"Previous Week",""))),"")</f>
        <v/>
      </c>
      <c r="DY205" s="134" t="str">
        <f t="shared" si="439"/>
        <v/>
      </c>
      <c r="DZ205" s="95"/>
      <c r="EB205" s="8" t="str">
        <f t="shared" si="319"/>
        <v/>
      </c>
      <c r="EC205" s="8" t="str">
        <f>IF(O205&lt;&gt;"",VLOOKUP(O205,'Job Master'!$N$12:$O$18,2,0),"")</f>
        <v/>
      </c>
      <c r="ED205" s="8">
        <f t="shared" si="320"/>
        <v>19.5</v>
      </c>
      <c r="EE205" s="8">
        <f t="shared" si="321"/>
        <v>6</v>
      </c>
      <c r="EF205" s="8">
        <f t="shared" si="322"/>
        <v>-1150.5</v>
      </c>
      <c r="EG205" s="8" t="str">
        <f t="shared" si="323"/>
        <v/>
      </c>
      <c r="EH205" s="8" t="str">
        <f t="shared" si="324"/>
        <v/>
      </c>
    </row>
    <row r="206" spans="2:138" x14ac:dyDescent="0.3">
      <c r="B206" s="112"/>
      <c r="C206" s="27"/>
      <c r="D206" s="7" t="str">
        <f t="shared" si="387"/>
        <v/>
      </c>
      <c r="E206" s="25"/>
      <c r="F206" s="7" t="str">
        <f t="shared" si="387"/>
        <v/>
      </c>
      <c r="G206" s="25"/>
      <c r="H206" s="7" t="str">
        <f t="shared" si="387"/>
        <v/>
      </c>
      <c r="I206" s="25"/>
      <c r="J206" s="7" t="str">
        <f t="shared" si="387"/>
        <v/>
      </c>
      <c r="K206" s="25"/>
      <c r="L206" s="7" t="str">
        <f t="shared" si="388"/>
        <v/>
      </c>
      <c r="M206" s="25"/>
      <c r="N206" s="7" t="str">
        <f t="shared" si="389"/>
        <v/>
      </c>
      <c r="O206" s="81"/>
      <c r="P206" s="81" t="str">
        <f t="shared" si="390"/>
        <v/>
      </c>
      <c r="Q206" s="81"/>
      <c r="R206" s="7" t="str">
        <f t="shared" si="391"/>
        <v/>
      </c>
      <c r="S206" s="25"/>
      <c r="T206" s="7" t="str">
        <f t="shared" si="392"/>
        <v/>
      </c>
      <c r="U206" s="25"/>
      <c r="V206" s="7" t="str">
        <f t="shared" si="393"/>
        <v/>
      </c>
      <c r="W206" s="25"/>
      <c r="X206" s="7" t="str">
        <f t="shared" si="394"/>
        <v/>
      </c>
      <c r="Y206" s="18" t="str">
        <f t="shared" si="395"/>
        <v/>
      </c>
      <c r="Z206" s="7" t="str">
        <f t="shared" si="396"/>
        <v/>
      </c>
      <c r="AA206" s="18" t="str">
        <f t="shared" si="397"/>
        <v/>
      </c>
      <c r="AB206" s="19" t="str">
        <f t="shared" si="398"/>
        <v/>
      </c>
      <c r="AC206" s="26"/>
      <c r="AD206" s="26"/>
      <c r="AE206" s="25"/>
      <c r="AF206" s="26"/>
      <c r="AG206" s="25"/>
      <c r="AH206" s="25"/>
      <c r="AI206" s="18" t="str">
        <f t="shared" si="335"/>
        <v/>
      </c>
      <c r="AJ206" s="25"/>
      <c r="AK206" s="18" t="str">
        <f t="shared" si="336"/>
        <v/>
      </c>
      <c r="AL206" s="79"/>
      <c r="AM206" s="126" t="str">
        <f t="shared" si="337"/>
        <v/>
      </c>
      <c r="AN206" s="128" t="str">
        <f>IF(AP206&lt;&gt;"",VLOOKUP($P206&amp;" | "&amp;AN$6,'Job Master'!$F$12:$J$102,5,0),"")</f>
        <v/>
      </c>
      <c r="AO206" s="19" t="str">
        <f>IF(AP206&lt;&gt;"",VLOOKUP($P206&amp;" | "&amp;AN$6,'Job Master'!$F$12:$J$102,3,0),"")</f>
        <v/>
      </c>
      <c r="AP206" s="19" t="str">
        <f>IFERROR(IF(AND(AW206&lt;&gt;"",VLOOKUP($P206&amp;" | "&amp;AN$6,'Job Master'!$F$12:$I$102,4,0)&lt;&gt;""),IF(WEEKDAY(AW206-VLOOKUP($P206&amp;" | "&amp;AN$6,'Job Master'!$F$12:$I$102,4,0))&lt;&gt;7,AW206-VLOOKUP($P206&amp;" | "&amp;AN$6,'Job Master'!$F$12:$I$102,4,0),AW206-VLOOKUP($P206&amp;" | "&amp;AN$6,'Job Master'!$F$12:$I$102,4,0)-1),""),"")</f>
        <v/>
      </c>
      <c r="AQ206" s="73"/>
      <c r="AR206" s="123" t="str">
        <f t="shared" si="399"/>
        <v/>
      </c>
      <c r="AS206" s="123" t="str">
        <f t="shared" si="400"/>
        <v/>
      </c>
      <c r="AT206" s="97" t="str">
        <f t="shared" ca="1" si="401"/>
        <v/>
      </c>
      <c r="AU206" s="98" t="str">
        <f>IF(AW206&lt;&gt;"",VLOOKUP($P206&amp;" | "&amp;AU$6,'Job Master'!$F$12:$J$102,5,0),"")</f>
        <v/>
      </c>
      <c r="AV206" s="19" t="str">
        <f>IF(AW206&lt;&gt;"",VLOOKUP($P206&amp;" | "&amp;AU$6,'Job Master'!$F$12:$J$102,3,0),"")</f>
        <v/>
      </c>
      <c r="AW206" s="19" t="str">
        <f>IFERROR(IF(AND(BD206&lt;&gt;"",VLOOKUP($P206&amp;" | "&amp;AU$6,'Job Master'!$F$12:$I$102,4,0)&lt;&gt;""),IF(WEEKDAY(BD206-VLOOKUP($P206&amp;" | "&amp;AU$6,'Job Master'!$F$12:$I$102,4,0))&lt;&gt;7,BD206-VLOOKUP($P206&amp;" | "&amp;AU$6,'Job Master'!$F$12:$I$102,4,0),BD206-VLOOKUP($P206&amp;" | "&amp;AU$6,'Job Master'!$F$12:$I$102,4,0)-1),""),"")</f>
        <v/>
      </c>
      <c r="AX206" s="73"/>
      <c r="AY206" s="123" t="str">
        <f t="shared" si="402"/>
        <v/>
      </c>
      <c r="AZ206" s="123" t="str">
        <f t="shared" si="403"/>
        <v/>
      </c>
      <c r="BA206" s="97" t="str">
        <f t="shared" ca="1" si="404"/>
        <v/>
      </c>
      <c r="BB206" s="98" t="str">
        <f>IF(BD206&lt;&gt;"",VLOOKUP($P206&amp;" | "&amp;BB$6,'Job Master'!$F$12:$J$102,5,0),"")</f>
        <v/>
      </c>
      <c r="BC206" s="19" t="str">
        <f>IF(BD206&lt;&gt;"",VLOOKUP($P206&amp;" | "&amp;BB$6,'Job Master'!$F$12:$J$102,3,0),"")</f>
        <v/>
      </c>
      <c r="BD206" s="19" t="str">
        <f>IFERROR(IF(AND(BK206&lt;&gt;"",VLOOKUP($P206&amp;" | "&amp;BB$6,'Job Master'!$F$12:$I$102,4,0)&lt;&gt;""),IF(WEEKDAY(BK206-VLOOKUP($P206&amp;" | "&amp;BB$6,'Job Master'!$F$12:$I$102,4,0))&lt;&gt;7,BK206-VLOOKUP($P206&amp;" | "&amp;BB$6,'Job Master'!$F$12:$I$102,4,0),BK206-VLOOKUP($P206&amp;" | "&amp;BB$6,'Job Master'!$F$12:$I$102,4,0)-1),""),"")</f>
        <v/>
      </c>
      <c r="BE206" s="73"/>
      <c r="BF206" s="123" t="str">
        <f t="shared" si="405"/>
        <v/>
      </c>
      <c r="BG206" s="123" t="str">
        <f t="shared" si="406"/>
        <v/>
      </c>
      <c r="BH206" s="97" t="str">
        <f t="shared" ca="1" si="407"/>
        <v/>
      </c>
      <c r="BI206" s="98" t="str">
        <f>IF(BK206&lt;&gt;"",VLOOKUP($P206&amp;" | "&amp;BI$6,'Job Master'!$F$12:$J$102,5,0),"")</f>
        <v/>
      </c>
      <c r="BJ206" s="19" t="str">
        <f>IF(BK206&lt;&gt;"",VLOOKUP($P206&amp;" | "&amp;BI$6,'Job Master'!$F$12:$J$102,3,0),"")</f>
        <v/>
      </c>
      <c r="BK206" s="19" t="str">
        <f>IFERROR(IF(AND(BR206&lt;&gt;"",VLOOKUP($P206&amp;" | "&amp;BI$6,'Job Master'!$F$12:$I$102,4,0)&lt;&gt;""),IF(WEEKDAY(BR206-VLOOKUP($P206&amp;" | "&amp;BI$6,'Job Master'!$F$12:$I$102,4,0))&lt;&gt;7,BR206-VLOOKUP($P206&amp;" | "&amp;BI$6,'Job Master'!$F$12:$I$102,4,0),BR206-VLOOKUP($P206&amp;" | "&amp;BI$6,'Job Master'!$F$12:$I$102,4,0)-1),""),"")</f>
        <v/>
      </c>
      <c r="BL206" s="73"/>
      <c r="BM206" s="123" t="str">
        <f t="shared" si="408"/>
        <v/>
      </c>
      <c r="BN206" s="123" t="str">
        <f t="shared" si="409"/>
        <v/>
      </c>
      <c r="BO206" s="97" t="str">
        <f t="shared" ca="1" si="410"/>
        <v/>
      </c>
      <c r="BP206" s="98" t="str">
        <f>IF(BR206&lt;&gt;"",VLOOKUP($P206&amp;" | "&amp;BP$6,'Job Master'!$F$12:$J$102,5,0),"")</f>
        <v/>
      </c>
      <c r="BQ206" s="19" t="str">
        <f>IF(BR206&lt;&gt;"",VLOOKUP($P206&amp;" | "&amp;BP$6,'Job Master'!$F$12:$J$102,3,0),"")</f>
        <v/>
      </c>
      <c r="BR206" s="19" t="str">
        <f>IFERROR(IF(AND(BY206&lt;&gt;"",VLOOKUP($P206&amp;" | "&amp;BP$6,'Job Master'!$F$12:$I$102,4,0)&lt;&gt;""),IF(WEEKDAY(BY206-VLOOKUP($P206&amp;" | "&amp;BP$6,'Job Master'!$F$12:$I$102,4,0))&lt;&gt;7,BY206-VLOOKUP($P206&amp;" | "&amp;BP$6,'Job Master'!$F$12:$I$102,4,0),BY206-VLOOKUP($P206&amp;" | "&amp;BP$6,'Job Master'!$F$12:$I$102,4,0)-1),""),"")</f>
        <v/>
      </c>
      <c r="BS206" s="73"/>
      <c r="BT206" s="123" t="str">
        <f t="shared" si="411"/>
        <v/>
      </c>
      <c r="BU206" s="123" t="str">
        <f t="shared" si="412"/>
        <v/>
      </c>
      <c r="BV206" s="97" t="str">
        <f t="shared" ca="1" si="413"/>
        <v/>
      </c>
      <c r="BW206" s="98" t="str">
        <f>IF(BY206&lt;&gt;"",VLOOKUP($P206&amp;" | "&amp;BW$6,'Job Master'!$F$12:$J$102,5,0),"")</f>
        <v/>
      </c>
      <c r="BX206" s="19" t="str">
        <f>IF(BY206&lt;&gt;"",VLOOKUP($P206&amp;" | "&amp;BW$6,'Job Master'!$F$12:$J$102,3,0),"")</f>
        <v/>
      </c>
      <c r="BY206" s="19" t="str">
        <f>IFERROR(IF(AND(CF206&lt;&gt;"",VLOOKUP($P206&amp;" | "&amp;BW$6,'Job Master'!$F$12:$I$102,4,0)&lt;&gt;""),IF(WEEKDAY(CF206-VLOOKUP($P206&amp;" | "&amp;BW$6,'Job Master'!$F$12:$I$102,4,0))&lt;&gt;7,CF206-VLOOKUP($P206&amp;" | "&amp;BW$6,'Job Master'!$F$12:$I$102,4,0),CF206-VLOOKUP($P206&amp;" | "&amp;BW$6,'Job Master'!$F$12:$I$102,4,0)-1),""),"")</f>
        <v/>
      </c>
      <c r="BZ206" s="73"/>
      <c r="CA206" s="123" t="str">
        <f t="shared" si="414"/>
        <v/>
      </c>
      <c r="CB206" s="123" t="str">
        <f t="shared" si="415"/>
        <v/>
      </c>
      <c r="CC206" s="97" t="str">
        <f t="shared" ca="1" si="416"/>
        <v/>
      </c>
      <c r="CD206" s="98" t="str">
        <f>IF(CF206&lt;&gt;"",VLOOKUP($P206&amp;" | "&amp;CD$6,'Job Master'!$F$12:$J$102,5,0),"")</f>
        <v/>
      </c>
      <c r="CE206" s="19" t="str">
        <f>IF(CF206&lt;&gt;"",VLOOKUP($P206&amp;" | "&amp;CD$6,'Job Master'!$F$12:$J$102,3,0),"")</f>
        <v/>
      </c>
      <c r="CF206" s="19" t="str">
        <f>IFERROR(IF(AND(CM206&lt;&gt;"",VLOOKUP($P206&amp;" | "&amp;CD$6,'Job Master'!$F$12:$I$102,4,0)&lt;&gt;""),IF(WEEKDAY(CM206-VLOOKUP($P206&amp;" | "&amp;CD$6,'Job Master'!$F$12:$I$102,4,0))&lt;&gt;7,CM206-VLOOKUP($P206&amp;" | "&amp;CD$6,'Job Master'!$F$12:$I$102,4,0),CM206-VLOOKUP($P206&amp;" | "&amp;CD$6,'Job Master'!$F$12:$I$102,4,0)-1),""),"")</f>
        <v/>
      </c>
      <c r="CG206" s="73"/>
      <c r="CH206" s="123" t="str">
        <f t="shared" si="417"/>
        <v/>
      </c>
      <c r="CI206" s="123" t="str">
        <f t="shared" si="418"/>
        <v/>
      </c>
      <c r="CJ206" s="97" t="str">
        <f t="shared" ca="1" si="419"/>
        <v/>
      </c>
      <c r="CK206" s="98" t="str">
        <f>IF(CM206&lt;&gt;"",VLOOKUP($P206&amp;" | "&amp;CK$6,'Job Master'!$F$12:$J$102,5,0),"")</f>
        <v/>
      </c>
      <c r="CL206" s="19" t="str">
        <f>IF(CM206&lt;&gt;"",VLOOKUP($P206&amp;" | "&amp;CK$6,'Job Master'!$F$12:$J$102,3,0),"")</f>
        <v/>
      </c>
      <c r="CM206" s="19" t="str">
        <f>IFERROR(IF(AND(CT206&lt;&gt;"",VLOOKUP($P206&amp;" | "&amp;CK$6,'Job Master'!$F$12:$I$102,4,0)&lt;&gt;""),IF(WEEKDAY(CT206-VLOOKUP($P206&amp;" | "&amp;CK$6,'Job Master'!$F$12:$I$102,4,0))&lt;&gt;7,CT206-VLOOKUP($P206&amp;" | "&amp;CK$6,'Job Master'!$F$12:$I$102,4,0),CT206-VLOOKUP($P206&amp;" | "&amp;CK$6,'Job Master'!$F$12:$I$102,4,0)-1),""),"")</f>
        <v/>
      </c>
      <c r="CN206" s="73"/>
      <c r="CO206" s="123" t="str">
        <f t="shared" si="420"/>
        <v/>
      </c>
      <c r="CP206" s="123" t="str">
        <f t="shared" si="421"/>
        <v/>
      </c>
      <c r="CQ206" s="97" t="str">
        <f t="shared" ca="1" si="422"/>
        <v/>
      </c>
      <c r="CR206" s="98" t="str">
        <f>IF(CT206&lt;&gt;"",VLOOKUP($P206&amp;" | "&amp;CR$6,'Job Master'!$F$12:$J$102,5,0),"")</f>
        <v/>
      </c>
      <c r="CS206" s="19" t="str">
        <f>IF(CT206&lt;&gt;"",VLOOKUP($P206&amp;" | "&amp;CR$6,'Job Master'!$F$12:$J$102,3,0),"")</f>
        <v/>
      </c>
      <c r="CT206" s="19" t="str">
        <f>IFERROR(IF(AND(DA206&lt;&gt;"",VLOOKUP($P206&amp;" | "&amp;CR$6,'Job Master'!$F$12:$I$102,4,0)&lt;&gt;""),IF(WEEKDAY(DA206-VLOOKUP($P206&amp;" | "&amp;CR$6,'Job Master'!$F$12:$I$102,4,0))&lt;&gt;7,DA206-VLOOKUP($P206&amp;" | "&amp;CR$6,'Job Master'!$F$12:$I$102,4,0),DA206-VLOOKUP($P206&amp;" | "&amp;CR$6,'Job Master'!$F$12:$I$102,4,0)-1),""),"")</f>
        <v/>
      </c>
      <c r="CU206" s="73"/>
      <c r="CV206" s="123" t="str">
        <f t="shared" si="423"/>
        <v/>
      </c>
      <c r="CW206" s="123" t="str">
        <f t="shared" si="424"/>
        <v/>
      </c>
      <c r="CX206" s="97" t="str">
        <f t="shared" ca="1" si="425"/>
        <v/>
      </c>
      <c r="CY206" s="98" t="str">
        <f>IF(DA206&lt;&gt;"",VLOOKUP($P206&amp;" | "&amp;CY$6,'Job Master'!$F$12:$J$102,5,0),"")</f>
        <v/>
      </c>
      <c r="CZ206" s="19" t="str">
        <f>IF(DA206&lt;&gt;"",VLOOKUP($P206&amp;" | "&amp;CY$6,'Job Master'!$F$12:$J$102,3,0),"")</f>
        <v/>
      </c>
      <c r="DA206" s="19" t="str">
        <f>IFERROR(IF(AND(DH206&lt;&gt;"",VLOOKUP($P206&amp;" | "&amp;CY$6,'Job Master'!$F$12:$I$102,4,0)&lt;&gt;""),IF(WEEKDAY(DH206-VLOOKUP($P206&amp;" | "&amp;CY$6,'Job Master'!$F$12:$I$102,4,0))&lt;&gt;7,DH206-VLOOKUP($P206&amp;" | "&amp;CY$6,'Job Master'!$F$12:$I$102,4,0),DH206-VLOOKUP($P206&amp;" | "&amp;CY$6,'Job Master'!$F$12:$I$102,4,0)-1),""),"")</f>
        <v/>
      </c>
      <c r="DB206" s="73"/>
      <c r="DC206" s="123" t="str">
        <f t="shared" si="426"/>
        <v/>
      </c>
      <c r="DD206" s="123" t="str">
        <f t="shared" si="427"/>
        <v/>
      </c>
      <c r="DE206" s="97" t="str">
        <f t="shared" ca="1" si="428"/>
        <v/>
      </c>
      <c r="DF206" s="98" t="str">
        <f>IF(DH206&lt;&gt;"",VLOOKUP($P206&amp;" | "&amp;DF$6,'Job Master'!$F$12:$J$102,5,0),"")</f>
        <v/>
      </c>
      <c r="DG206" s="19" t="str">
        <f>IF(DH206&lt;&gt;"",VLOOKUP($P206&amp;" | "&amp;DF$6,'Job Master'!$F$12:$J$102,3,0),"")</f>
        <v/>
      </c>
      <c r="DH206" s="19" t="str">
        <f>IFERROR(IF(AND(DO206&lt;&gt;"",VLOOKUP($P206&amp;" | "&amp;DF$6,'Job Master'!$F$12:$I$102,4,0)&lt;&gt;""),IF(WEEKDAY(DO206-VLOOKUP($P206&amp;" | "&amp;DF$6,'Job Master'!$F$12:$I$102,4,0))&lt;&gt;7,DO206-VLOOKUP($P206&amp;" | "&amp;DF$6,'Job Master'!$F$12:$I$102,4,0),DO206-VLOOKUP($P206&amp;" | "&amp;DF$6,'Job Master'!$F$12:$I$102,4,0)-1),""),"")</f>
        <v/>
      </c>
      <c r="DI206" s="73"/>
      <c r="DJ206" s="123" t="str">
        <f t="shared" si="429"/>
        <v/>
      </c>
      <c r="DK206" s="123" t="str">
        <f t="shared" si="430"/>
        <v/>
      </c>
      <c r="DL206" s="97" t="str">
        <f t="shared" ca="1" si="431"/>
        <v/>
      </c>
      <c r="DM206" s="98" t="str">
        <f>IF(DO206&lt;&gt;"",VLOOKUP($P206&amp;" | "&amp;DM$6,'Job Master'!$F$12:$J$102,5,0),"")</f>
        <v/>
      </c>
      <c r="DN206" s="19" t="str">
        <f>IF(DO206&lt;&gt;"",VLOOKUP($P206&amp;" | "&amp;DM$6,'Job Master'!$F$12:$J$102,3,0),"")</f>
        <v/>
      </c>
      <c r="DO206" s="19" t="str">
        <f>IFERROR(IF(AND(DT206&lt;&gt;"",VLOOKUP($P206&amp;" | "&amp;DM$6,'Job Master'!$F$12:$I$102,4,0)&lt;&gt;""),IF(WEEKDAY(DT206-VLOOKUP($P206&amp;" | "&amp;DM$6,'Job Master'!$F$12:$I$102,4,0))&lt;&gt;7,DT206-VLOOKUP($P206&amp;" | "&amp;DM$6,'Job Master'!$F$12:$I$102,4,0),DT206-VLOOKUP($P206&amp;" | "&amp;DM$6,'Job Master'!$F$12:$I$102,4,0)-1),""),"")</f>
        <v/>
      </c>
      <c r="DP206" s="73"/>
      <c r="DQ206" s="123" t="str">
        <f t="shared" si="432"/>
        <v/>
      </c>
      <c r="DR206" s="123" t="str">
        <f t="shared" si="433"/>
        <v/>
      </c>
      <c r="DS206" s="97" t="str">
        <f t="shared" ca="1" si="434"/>
        <v/>
      </c>
      <c r="DT206" s="70" t="str">
        <f t="shared" si="435"/>
        <v/>
      </c>
      <c r="DU206" s="90"/>
      <c r="DV206" s="123" t="str">
        <f t="shared" si="436"/>
        <v/>
      </c>
      <c r="DW206" s="123" t="str">
        <f t="shared" si="437"/>
        <v/>
      </c>
      <c r="DX206" s="132" t="str">
        <f t="shared" ref="DX206" ca="1" si="444">IF(DT206&lt;&gt;"",IF(WEEKNUM(DT206)=WEEKNUM(TODAY()),"This Week",IF(WEEKNUM(DT206)=WEEKNUM(TODAY())+1,"Next Week",IF(WEEKNUM(DT206)=WEEKNUM(TODAY())-1,"Previous Week",""))),"")</f>
        <v/>
      </c>
      <c r="DY206" s="134" t="str">
        <f t="shared" si="439"/>
        <v/>
      </c>
      <c r="DZ206" s="95"/>
      <c r="EB206" s="8" t="str">
        <f t="shared" ref="EB206:EB269" si="445">IF(Y206&lt;&gt;"",Y206,"")</f>
        <v/>
      </c>
      <c r="EC206" s="8" t="str">
        <f>IF(O206&lt;&gt;"",VLOOKUP(O206,'Job Master'!$N$12:$O$18,2,0),"")</f>
        <v/>
      </c>
      <c r="ED206" s="8">
        <f t="shared" ref="ED206:ED269" si="446">IF(EC206&lt;&gt;"",IF(EF206&gt;EC206,EB206,MOD(EB206,EC206)),ED205)</f>
        <v>19.5</v>
      </c>
      <c r="EE206" s="8">
        <f t="shared" ref="EE206:EE269" si="447">IF(EC206&lt;&gt;"",EC206,IF(EE205&lt;&gt;"",EE205,""))</f>
        <v>6</v>
      </c>
      <c r="EF206" s="8">
        <f t="shared" ref="EF206:EF269" si="448">IF(EC206&lt;&gt;"",EB206,IF(EF205&lt;&gt;"",EF205-EE206,""))</f>
        <v>-1156.5</v>
      </c>
      <c r="EG206" s="8" t="str">
        <f t="shared" ref="EG206:EG269" si="449">IF(EF205&lt;&gt;0,IF(EF206&gt;0,EF206,""),IF(EF206&lt;&gt;"",IF(EF206&gt;0,EF206,""),""))</f>
        <v/>
      </c>
      <c r="EH206" s="8" t="str">
        <f t="shared" ref="EH206:EH269" si="450">IF(EG206&lt;&gt;"",IF(EG206&gt;=EE206,EE206,MOD(ED206,EE206)),"")</f>
        <v/>
      </c>
    </row>
    <row r="207" spans="2:138" x14ac:dyDescent="0.3">
      <c r="B207" s="112"/>
      <c r="C207" s="27"/>
      <c r="D207" s="7" t="str">
        <f t="shared" si="387"/>
        <v/>
      </c>
      <c r="E207" s="25"/>
      <c r="F207" s="7" t="str">
        <f t="shared" si="387"/>
        <v/>
      </c>
      <c r="G207" s="25"/>
      <c r="H207" s="7" t="str">
        <f t="shared" si="387"/>
        <v/>
      </c>
      <c r="I207" s="25"/>
      <c r="J207" s="7" t="str">
        <f t="shared" si="387"/>
        <v/>
      </c>
      <c r="K207" s="25"/>
      <c r="L207" s="7" t="str">
        <f t="shared" si="388"/>
        <v/>
      </c>
      <c r="M207" s="25"/>
      <c r="N207" s="7" t="str">
        <f t="shared" si="389"/>
        <v/>
      </c>
      <c r="O207" s="81"/>
      <c r="P207" s="81" t="str">
        <f t="shared" si="390"/>
        <v/>
      </c>
      <c r="Q207" s="81"/>
      <c r="R207" s="7" t="str">
        <f t="shared" si="391"/>
        <v/>
      </c>
      <c r="S207" s="25"/>
      <c r="T207" s="7" t="str">
        <f t="shared" si="392"/>
        <v/>
      </c>
      <c r="U207" s="25"/>
      <c r="V207" s="7" t="str">
        <f t="shared" si="393"/>
        <v/>
      </c>
      <c r="W207" s="25"/>
      <c r="X207" s="7" t="str">
        <f t="shared" si="394"/>
        <v/>
      </c>
      <c r="Y207" s="18" t="str">
        <f t="shared" si="395"/>
        <v/>
      </c>
      <c r="Z207" s="7" t="str">
        <f t="shared" si="396"/>
        <v/>
      </c>
      <c r="AA207" s="18" t="str">
        <f t="shared" si="397"/>
        <v/>
      </c>
      <c r="AB207" s="19" t="str">
        <f t="shared" si="398"/>
        <v/>
      </c>
      <c r="AC207" s="26"/>
      <c r="AD207" s="26"/>
      <c r="AE207" s="25"/>
      <c r="AF207" s="26"/>
      <c r="AG207" s="25"/>
      <c r="AH207" s="25"/>
      <c r="AI207" s="18" t="str">
        <f t="shared" si="335"/>
        <v/>
      </c>
      <c r="AJ207" s="25"/>
      <c r="AK207" s="18" t="str">
        <f t="shared" si="336"/>
        <v/>
      </c>
      <c r="AL207" s="79"/>
      <c r="AM207" s="126" t="str">
        <f t="shared" si="337"/>
        <v/>
      </c>
      <c r="AN207" s="128" t="str">
        <f>IF(AP207&lt;&gt;"",VLOOKUP($P207&amp;" | "&amp;AN$6,'Job Master'!$F$12:$J$102,5,0),"")</f>
        <v/>
      </c>
      <c r="AO207" s="19" t="str">
        <f>IF(AP207&lt;&gt;"",VLOOKUP($P207&amp;" | "&amp;AN$6,'Job Master'!$F$12:$J$102,3,0),"")</f>
        <v/>
      </c>
      <c r="AP207" s="19" t="str">
        <f>IFERROR(IF(AND(AW207&lt;&gt;"",VLOOKUP($P207&amp;" | "&amp;AN$6,'Job Master'!$F$12:$I$102,4,0)&lt;&gt;""),IF(WEEKDAY(AW207-VLOOKUP($P207&amp;" | "&amp;AN$6,'Job Master'!$F$12:$I$102,4,0))&lt;&gt;7,AW207-VLOOKUP($P207&amp;" | "&amp;AN$6,'Job Master'!$F$12:$I$102,4,0),AW207-VLOOKUP($P207&amp;" | "&amp;AN$6,'Job Master'!$F$12:$I$102,4,0)-1),""),"")</f>
        <v/>
      </c>
      <c r="AQ207" s="73"/>
      <c r="AR207" s="123" t="str">
        <f t="shared" si="399"/>
        <v/>
      </c>
      <c r="AS207" s="123" t="str">
        <f t="shared" si="400"/>
        <v/>
      </c>
      <c r="AT207" s="97" t="str">
        <f t="shared" ca="1" si="401"/>
        <v/>
      </c>
      <c r="AU207" s="98" t="str">
        <f>IF(AW207&lt;&gt;"",VLOOKUP($P207&amp;" | "&amp;AU$6,'Job Master'!$F$12:$J$102,5,0),"")</f>
        <v/>
      </c>
      <c r="AV207" s="19" t="str">
        <f>IF(AW207&lt;&gt;"",VLOOKUP($P207&amp;" | "&amp;AU$6,'Job Master'!$F$12:$J$102,3,0),"")</f>
        <v/>
      </c>
      <c r="AW207" s="19" t="str">
        <f>IFERROR(IF(AND(BD207&lt;&gt;"",VLOOKUP($P207&amp;" | "&amp;AU$6,'Job Master'!$F$12:$I$102,4,0)&lt;&gt;""),IF(WEEKDAY(BD207-VLOOKUP($P207&amp;" | "&amp;AU$6,'Job Master'!$F$12:$I$102,4,0))&lt;&gt;7,BD207-VLOOKUP($P207&amp;" | "&amp;AU$6,'Job Master'!$F$12:$I$102,4,0),BD207-VLOOKUP($P207&amp;" | "&amp;AU$6,'Job Master'!$F$12:$I$102,4,0)-1),""),"")</f>
        <v/>
      </c>
      <c r="AX207" s="73"/>
      <c r="AY207" s="123" t="str">
        <f t="shared" si="402"/>
        <v/>
      </c>
      <c r="AZ207" s="123" t="str">
        <f t="shared" si="403"/>
        <v/>
      </c>
      <c r="BA207" s="97" t="str">
        <f t="shared" ca="1" si="404"/>
        <v/>
      </c>
      <c r="BB207" s="98" t="str">
        <f>IF(BD207&lt;&gt;"",VLOOKUP($P207&amp;" | "&amp;BB$6,'Job Master'!$F$12:$J$102,5,0),"")</f>
        <v/>
      </c>
      <c r="BC207" s="19" t="str">
        <f>IF(BD207&lt;&gt;"",VLOOKUP($P207&amp;" | "&amp;BB$6,'Job Master'!$F$12:$J$102,3,0),"")</f>
        <v/>
      </c>
      <c r="BD207" s="19" t="str">
        <f>IFERROR(IF(AND(BK207&lt;&gt;"",VLOOKUP($P207&amp;" | "&amp;BB$6,'Job Master'!$F$12:$I$102,4,0)&lt;&gt;""),IF(WEEKDAY(BK207-VLOOKUP($P207&amp;" | "&amp;BB$6,'Job Master'!$F$12:$I$102,4,0))&lt;&gt;7,BK207-VLOOKUP($P207&amp;" | "&amp;BB$6,'Job Master'!$F$12:$I$102,4,0),BK207-VLOOKUP($P207&amp;" | "&amp;BB$6,'Job Master'!$F$12:$I$102,4,0)-1),""),"")</f>
        <v/>
      </c>
      <c r="BE207" s="73"/>
      <c r="BF207" s="123" t="str">
        <f t="shared" si="405"/>
        <v/>
      </c>
      <c r="BG207" s="123" t="str">
        <f t="shared" si="406"/>
        <v/>
      </c>
      <c r="BH207" s="97" t="str">
        <f t="shared" ca="1" si="407"/>
        <v/>
      </c>
      <c r="BI207" s="98" t="str">
        <f>IF(BK207&lt;&gt;"",VLOOKUP($P207&amp;" | "&amp;BI$6,'Job Master'!$F$12:$J$102,5,0),"")</f>
        <v/>
      </c>
      <c r="BJ207" s="19" t="str">
        <f>IF(BK207&lt;&gt;"",VLOOKUP($P207&amp;" | "&amp;BI$6,'Job Master'!$F$12:$J$102,3,0),"")</f>
        <v/>
      </c>
      <c r="BK207" s="19" t="str">
        <f>IFERROR(IF(AND(BR207&lt;&gt;"",VLOOKUP($P207&amp;" | "&amp;BI$6,'Job Master'!$F$12:$I$102,4,0)&lt;&gt;""),IF(WEEKDAY(BR207-VLOOKUP($P207&amp;" | "&amp;BI$6,'Job Master'!$F$12:$I$102,4,0))&lt;&gt;7,BR207-VLOOKUP($P207&amp;" | "&amp;BI$6,'Job Master'!$F$12:$I$102,4,0),BR207-VLOOKUP($P207&amp;" | "&amp;BI$6,'Job Master'!$F$12:$I$102,4,0)-1),""),"")</f>
        <v/>
      </c>
      <c r="BL207" s="73"/>
      <c r="BM207" s="123" t="str">
        <f t="shared" si="408"/>
        <v/>
      </c>
      <c r="BN207" s="123" t="str">
        <f t="shared" si="409"/>
        <v/>
      </c>
      <c r="BO207" s="97" t="str">
        <f t="shared" ca="1" si="410"/>
        <v/>
      </c>
      <c r="BP207" s="98" t="str">
        <f>IF(BR207&lt;&gt;"",VLOOKUP($P207&amp;" | "&amp;BP$6,'Job Master'!$F$12:$J$102,5,0),"")</f>
        <v/>
      </c>
      <c r="BQ207" s="19" t="str">
        <f>IF(BR207&lt;&gt;"",VLOOKUP($P207&amp;" | "&amp;BP$6,'Job Master'!$F$12:$J$102,3,0),"")</f>
        <v/>
      </c>
      <c r="BR207" s="19" t="str">
        <f>IFERROR(IF(AND(BY207&lt;&gt;"",VLOOKUP($P207&amp;" | "&amp;BP$6,'Job Master'!$F$12:$I$102,4,0)&lt;&gt;""),IF(WEEKDAY(BY207-VLOOKUP($P207&amp;" | "&amp;BP$6,'Job Master'!$F$12:$I$102,4,0))&lt;&gt;7,BY207-VLOOKUP($P207&amp;" | "&amp;BP$6,'Job Master'!$F$12:$I$102,4,0),BY207-VLOOKUP($P207&amp;" | "&amp;BP$6,'Job Master'!$F$12:$I$102,4,0)-1),""),"")</f>
        <v/>
      </c>
      <c r="BS207" s="73"/>
      <c r="BT207" s="123" t="str">
        <f t="shared" si="411"/>
        <v/>
      </c>
      <c r="BU207" s="123" t="str">
        <f t="shared" si="412"/>
        <v/>
      </c>
      <c r="BV207" s="97" t="str">
        <f t="shared" ca="1" si="413"/>
        <v/>
      </c>
      <c r="BW207" s="98" t="str">
        <f>IF(BY207&lt;&gt;"",VLOOKUP($P207&amp;" | "&amp;BW$6,'Job Master'!$F$12:$J$102,5,0),"")</f>
        <v/>
      </c>
      <c r="BX207" s="19" t="str">
        <f>IF(BY207&lt;&gt;"",VLOOKUP($P207&amp;" | "&amp;BW$6,'Job Master'!$F$12:$J$102,3,0),"")</f>
        <v/>
      </c>
      <c r="BY207" s="19" t="str">
        <f>IFERROR(IF(AND(CF207&lt;&gt;"",VLOOKUP($P207&amp;" | "&amp;BW$6,'Job Master'!$F$12:$I$102,4,0)&lt;&gt;""),IF(WEEKDAY(CF207-VLOOKUP($P207&amp;" | "&amp;BW$6,'Job Master'!$F$12:$I$102,4,0))&lt;&gt;7,CF207-VLOOKUP($P207&amp;" | "&amp;BW$6,'Job Master'!$F$12:$I$102,4,0),CF207-VLOOKUP($P207&amp;" | "&amp;BW$6,'Job Master'!$F$12:$I$102,4,0)-1),""),"")</f>
        <v/>
      </c>
      <c r="BZ207" s="73"/>
      <c r="CA207" s="123" t="str">
        <f t="shared" si="414"/>
        <v/>
      </c>
      <c r="CB207" s="123" t="str">
        <f t="shared" si="415"/>
        <v/>
      </c>
      <c r="CC207" s="97" t="str">
        <f t="shared" ca="1" si="416"/>
        <v/>
      </c>
      <c r="CD207" s="98" t="str">
        <f>IF(CF207&lt;&gt;"",VLOOKUP($P207&amp;" | "&amp;CD$6,'Job Master'!$F$12:$J$102,5,0),"")</f>
        <v/>
      </c>
      <c r="CE207" s="19" t="str">
        <f>IF(CF207&lt;&gt;"",VLOOKUP($P207&amp;" | "&amp;CD$6,'Job Master'!$F$12:$J$102,3,0),"")</f>
        <v/>
      </c>
      <c r="CF207" s="19" t="str">
        <f>IFERROR(IF(AND(CM207&lt;&gt;"",VLOOKUP($P207&amp;" | "&amp;CD$6,'Job Master'!$F$12:$I$102,4,0)&lt;&gt;""),IF(WEEKDAY(CM207-VLOOKUP($P207&amp;" | "&amp;CD$6,'Job Master'!$F$12:$I$102,4,0))&lt;&gt;7,CM207-VLOOKUP($P207&amp;" | "&amp;CD$6,'Job Master'!$F$12:$I$102,4,0),CM207-VLOOKUP($P207&amp;" | "&amp;CD$6,'Job Master'!$F$12:$I$102,4,0)-1),""),"")</f>
        <v/>
      </c>
      <c r="CG207" s="73"/>
      <c r="CH207" s="123" t="str">
        <f t="shared" si="417"/>
        <v/>
      </c>
      <c r="CI207" s="123" t="str">
        <f t="shared" si="418"/>
        <v/>
      </c>
      <c r="CJ207" s="97" t="str">
        <f t="shared" ca="1" si="419"/>
        <v/>
      </c>
      <c r="CK207" s="98" t="str">
        <f>IF(CM207&lt;&gt;"",VLOOKUP($P207&amp;" | "&amp;CK$6,'Job Master'!$F$12:$J$102,5,0),"")</f>
        <v/>
      </c>
      <c r="CL207" s="19" t="str">
        <f>IF(CM207&lt;&gt;"",VLOOKUP($P207&amp;" | "&amp;CK$6,'Job Master'!$F$12:$J$102,3,0),"")</f>
        <v/>
      </c>
      <c r="CM207" s="19" t="str">
        <f>IFERROR(IF(AND(CT207&lt;&gt;"",VLOOKUP($P207&amp;" | "&amp;CK$6,'Job Master'!$F$12:$I$102,4,0)&lt;&gt;""),IF(WEEKDAY(CT207-VLOOKUP($P207&amp;" | "&amp;CK$6,'Job Master'!$F$12:$I$102,4,0))&lt;&gt;7,CT207-VLOOKUP($P207&amp;" | "&amp;CK$6,'Job Master'!$F$12:$I$102,4,0),CT207-VLOOKUP($P207&amp;" | "&amp;CK$6,'Job Master'!$F$12:$I$102,4,0)-1),""),"")</f>
        <v/>
      </c>
      <c r="CN207" s="73"/>
      <c r="CO207" s="123" t="str">
        <f t="shared" si="420"/>
        <v/>
      </c>
      <c r="CP207" s="123" t="str">
        <f t="shared" si="421"/>
        <v/>
      </c>
      <c r="CQ207" s="97" t="str">
        <f t="shared" ca="1" si="422"/>
        <v/>
      </c>
      <c r="CR207" s="98" t="str">
        <f>IF(CT207&lt;&gt;"",VLOOKUP($P207&amp;" | "&amp;CR$6,'Job Master'!$F$12:$J$102,5,0),"")</f>
        <v/>
      </c>
      <c r="CS207" s="19" t="str">
        <f>IF(CT207&lt;&gt;"",VLOOKUP($P207&amp;" | "&amp;CR$6,'Job Master'!$F$12:$J$102,3,0),"")</f>
        <v/>
      </c>
      <c r="CT207" s="19" t="str">
        <f>IFERROR(IF(AND(DA207&lt;&gt;"",VLOOKUP($P207&amp;" | "&amp;CR$6,'Job Master'!$F$12:$I$102,4,0)&lt;&gt;""),IF(WEEKDAY(DA207-VLOOKUP($P207&amp;" | "&amp;CR$6,'Job Master'!$F$12:$I$102,4,0))&lt;&gt;7,DA207-VLOOKUP($P207&amp;" | "&amp;CR$6,'Job Master'!$F$12:$I$102,4,0),DA207-VLOOKUP($P207&amp;" | "&amp;CR$6,'Job Master'!$F$12:$I$102,4,0)-1),""),"")</f>
        <v/>
      </c>
      <c r="CU207" s="73"/>
      <c r="CV207" s="123" t="str">
        <f t="shared" si="423"/>
        <v/>
      </c>
      <c r="CW207" s="123" t="str">
        <f t="shared" si="424"/>
        <v/>
      </c>
      <c r="CX207" s="97" t="str">
        <f t="shared" ca="1" si="425"/>
        <v/>
      </c>
      <c r="CY207" s="98" t="str">
        <f>IF(DA207&lt;&gt;"",VLOOKUP($P207&amp;" | "&amp;CY$6,'Job Master'!$F$12:$J$102,5,0),"")</f>
        <v/>
      </c>
      <c r="CZ207" s="19" t="str">
        <f>IF(DA207&lt;&gt;"",VLOOKUP($P207&amp;" | "&amp;CY$6,'Job Master'!$F$12:$J$102,3,0),"")</f>
        <v/>
      </c>
      <c r="DA207" s="19" t="str">
        <f>IFERROR(IF(AND(DH207&lt;&gt;"",VLOOKUP($P207&amp;" | "&amp;CY$6,'Job Master'!$F$12:$I$102,4,0)&lt;&gt;""),IF(WEEKDAY(DH207-VLOOKUP($P207&amp;" | "&amp;CY$6,'Job Master'!$F$12:$I$102,4,0))&lt;&gt;7,DH207-VLOOKUP($P207&amp;" | "&amp;CY$6,'Job Master'!$F$12:$I$102,4,0),DH207-VLOOKUP($P207&amp;" | "&amp;CY$6,'Job Master'!$F$12:$I$102,4,0)-1),""),"")</f>
        <v/>
      </c>
      <c r="DB207" s="73"/>
      <c r="DC207" s="123" t="str">
        <f t="shared" si="426"/>
        <v/>
      </c>
      <c r="DD207" s="123" t="str">
        <f t="shared" si="427"/>
        <v/>
      </c>
      <c r="DE207" s="97" t="str">
        <f t="shared" ca="1" si="428"/>
        <v/>
      </c>
      <c r="DF207" s="98" t="str">
        <f>IF(DH207&lt;&gt;"",VLOOKUP($P207&amp;" | "&amp;DF$6,'Job Master'!$F$12:$J$102,5,0),"")</f>
        <v/>
      </c>
      <c r="DG207" s="19" t="str">
        <f>IF(DH207&lt;&gt;"",VLOOKUP($P207&amp;" | "&amp;DF$6,'Job Master'!$F$12:$J$102,3,0),"")</f>
        <v/>
      </c>
      <c r="DH207" s="19" t="str">
        <f>IFERROR(IF(AND(DO207&lt;&gt;"",VLOOKUP($P207&amp;" | "&amp;DF$6,'Job Master'!$F$12:$I$102,4,0)&lt;&gt;""),IF(WEEKDAY(DO207-VLOOKUP($P207&amp;" | "&amp;DF$6,'Job Master'!$F$12:$I$102,4,0))&lt;&gt;7,DO207-VLOOKUP($P207&amp;" | "&amp;DF$6,'Job Master'!$F$12:$I$102,4,0),DO207-VLOOKUP($P207&amp;" | "&amp;DF$6,'Job Master'!$F$12:$I$102,4,0)-1),""),"")</f>
        <v/>
      </c>
      <c r="DI207" s="73"/>
      <c r="DJ207" s="123" t="str">
        <f t="shared" si="429"/>
        <v/>
      </c>
      <c r="DK207" s="123" t="str">
        <f t="shared" si="430"/>
        <v/>
      </c>
      <c r="DL207" s="97" t="str">
        <f t="shared" ca="1" si="431"/>
        <v/>
      </c>
      <c r="DM207" s="98" t="str">
        <f>IF(DO207&lt;&gt;"",VLOOKUP($P207&amp;" | "&amp;DM$6,'Job Master'!$F$12:$J$102,5,0),"")</f>
        <v/>
      </c>
      <c r="DN207" s="19" t="str">
        <f>IF(DO207&lt;&gt;"",VLOOKUP($P207&amp;" | "&amp;DM$6,'Job Master'!$F$12:$J$102,3,0),"")</f>
        <v/>
      </c>
      <c r="DO207" s="19" t="str">
        <f>IFERROR(IF(AND(DT207&lt;&gt;"",VLOOKUP($P207&amp;" | "&amp;DM$6,'Job Master'!$F$12:$I$102,4,0)&lt;&gt;""),IF(WEEKDAY(DT207-VLOOKUP($P207&amp;" | "&amp;DM$6,'Job Master'!$F$12:$I$102,4,0))&lt;&gt;7,DT207-VLOOKUP($P207&amp;" | "&amp;DM$6,'Job Master'!$F$12:$I$102,4,0),DT207-VLOOKUP($P207&amp;" | "&amp;DM$6,'Job Master'!$F$12:$I$102,4,0)-1),""),"")</f>
        <v/>
      </c>
      <c r="DP207" s="73"/>
      <c r="DQ207" s="123" t="str">
        <f t="shared" si="432"/>
        <v/>
      </c>
      <c r="DR207" s="123" t="str">
        <f t="shared" si="433"/>
        <v/>
      </c>
      <c r="DS207" s="97" t="str">
        <f t="shared" ca="1" si="434"/>
        <v/>
      </c>
      <c r="DT207" s="70" t="str">
        <f t="shared" si="435"/>
        <v/>
      </c>
      <c r="DU207" s="90"/>
      <c r="DV207" s="123" t="str">
        <f t="shared" si="436"/>
        <v/>
      </c>
      <c r="DW207" s="123" t="str">
        <f t="shared" si="437"/>
        <v/>
      </c>
      <c r="DX207" s="132" t="str">
        <f t="shared" ref="DX207" ca="1" si="451">IF(DT207&lt;&gt;"",IF(WEEKNUM(DT207)=WEEKNUM(TODAY()),"This Week",IF(WEEKNUM(DT207)=WEEKNUM(TODAY())+1,"Next Week",IF(WEEKNUM(DT207)=WEEKNUM(TODAY())-1,"Previous Week",""))),"")</f>
        <v/>
      </c>
      <c r="DY207" s="134" t="str">
        <f t="shared" si="439"/>
        <v/>
      </c>
      <c r="DZ207" s="95"/>
      <c r="EB207" s="8" t="str">
        <f t="shared" si="445"/>
        <v/>
      </c>
      <c r="EC207" s="8" t="str">
        <f>IF(O207&lt;&gt;"",VLOOKUP(O207,'Job Master'!$N$12:$O$18,2,0),"")</f>
        <v/>
      </c>
      <c r="ED207" s="8">
        <f t="shared" si="446"/>
        <v>19.5</v>
      </c>
      <c r="EE207" s="8">
        <f t="shared" si="447"/>
        <v>6</v>
      </c>
      <c r="EF207" s="8">
        <f t="shared" si="448"/>
        <v>-1162.5</v>
      </c>
      <c r="EG207" s="8" t="str">
        <f t="shared" si="449"/>
        <v/>
      </c>
      <c r="EH207" s="8" t="str">
        <f t="shared" si="450"/>
        <v/>
      </c>
    </row>
    <row r="208" spans="2:138" x14ac:dyDescent="0.3">
      <c r="B208" s="112"/>
      <c r="C208" s="27"/>
      <c r="D208" s="7" t="str">
        <f t="shared" si="387"/>
        <v/>
      </c>
      <c r="E208" s="25"/>
      <c r="F208" s="7" t="str">
        <f t="shared" si="387"/>
        <v/>
      </c>
      <c r="G208" s="25"/>
      <c r="H208" s="7" t="str">
        <f t="shared" si="387"/>
        <v/>
      </c>
      <c r="I208" s="25"/>
      <c r="J208" s="7" t="str">
        <f t="shared" si="387"/>
        <v/>
      </c>
      <c r="K208" s="25"/>
      <c r="L208" s="7" t="str">
        <f t="shared" si="388"/>
        <v/>
      </c>
      <c r="M208" s="25"/>
      <c r="N208" s="7" t="str">
        <f t="shared" si="389"/>
        <v/>
      </c>
      <c r="O208" s="81"/>
      <c r="P208" s="81" t="str">
        <f t="shared" si="390"/>
        <v/>
      </c>
      <c r="Q208" s="81"/>
      <c r="R208" s="7" t="str">
        <f t="shared" si="391"/>
        <v/>
      </c>
      <c r="S208" s="25"/>
      <c r="T208" s="7" t="str">
        <f t="shared" si="392"/>
        <v/>
      </c>
      <c r="U208" s="25"/>
      <c r="V208" s="7" t="str">
        <f t="shared" si="393"/>
        <v/>
      </c>
      <c r="W208" s="25"/>
      <c r="X208" s="7" t="str">
        <f t="shared" si="394"/>
        <v/>
      </c>
      <c r="Y208" s="18" t="str">
        <f t="shared" si="395"/>
        <v/>
      </c>
      <c r="Z208" s="7" t="str">
        <f t="shared" si="396"/>
        <v/>
      </c>
      <c r="AA208" s="18" t="str">
        <f t="shared" si="397"/>
        <v/>
      </c>
      <c r="AB208" s="19" t="str">
        <f t="shared" si="398"/>
        <v/>
      </c>
      <c r="AC208" s="26"/>
      <c r="AD208" s="26"/>
      <c r="AE208" s="25"/>
      <c r="AF208" s="26"/>
      <c r="AG208" s="25"/>
      <c r="AH208" s="25"/>
      <c r="AI208" s="18" t="str">
        <f t="shared" si="335"/>
        <v/>
      </c>
      <c r="AJ208" s="25"/>
      <c r="AK208" s="18" t="str">
        <f t="shared" si="336"/>
        <v/>
      </c>
      <c r="AL208" s="79"/>
      <c r="AM208" s="126" t="str">
        <f t="shared" si="337"/>
        <v/>
      </c>
      <c r="AN208" s="128" t="str">
        <f>IF(AP208&lt;&gt;"",VLOOKUP($P208&amp;" | "&amp;AN$6,'Job Master'!$F$12:$J$102,5,0),"")</f>
        <v/>
      </c>
      <c r="AO208" s="19" t="str">
        <f>IF(AP208&lt;&gt;"",VLOOKUP($P208&amp;" | "&amp;AN$6,'Job Master'!$F$12:$J$102,3,0),"")</f>
        <v/>
      </c>
      <c r="AP208" s="19" t="str">
        <f>IFERROR(IF(AND(AW208&lt;&gt;"",VLOOKUP($P208&amp;" | "&amp;AN$6,'Job Master'!$F$12:$I$102,4,0)&lt;&gt;""),IF(WEEKDAY(AW208-VLOOKUP($P208&amp;" | "&amp;AN$6,'Job Master'!$F$12:$I$102,4,0))&lt;&gt;7,AW208-VLOOKUP($P208&amp;" | "&amp;AN$6,'Job Master'!$F$12:$I$102,4,0),AW208-VLOOKUP($P208&amp;" | "&amp;AN$6,'Job Master'!$F$12:$I$102,4,0)-1),""),"")</f>
        <v/>
      </c>
      <c r="AQ208" s="73"/>
      <c r="AR208" s="123" t="str">
        <f t="shared" si="399"/>
        <v/>
      </c>
      <c r="AS208" s="123" t="str">
        <f t="shared" si="400"/>
        <v/>
      </c>
      <c r="AT208" s="97" t="str">
        <f t="shared" ca="1" si="401"/>
        <v/>
      </c>
      <c r="AU208" s="98" t="str">
        <f>IF(AW208&lt;&gt;"",VLOOKUP($P208&amp;" | "&amp;AU$6,'Job Master'!$F$12:$J$102,5,0),"")</f>
        <v/>
      </c>
      <c r="AV208" s="19" t="str">
        <f>IF(AW208&lt;&gt;"",VLOOKUP($P208&amp;" | "&amp;AU$6,'Job Master'!$F$12:$J$102,3,0),"")</f>
        <v/>
      </c>
      <c r="AW208" s="19" t="str">
        <f>IFERROR(IF(AND(BD208&lt;&gt;"",VLOOKUP($P208&amp;" | "&amp;AU$6,'Job Master'!$F$12:$I$102,4,0)&lt;&gt;""),IF(WEEKDAY(BD208-VLOOKUP($P208&amp;" | "&amp;AU$6,'Job Master'!$F$12:$I$102,4,0))&lt;&gt;7,BD208-VLOOKUP($P208&amp;" | "&amp;AU$6,'Job Master'!$F$12:$I$102,4,0),BD208-VLOOKUP($P208&amp;" | "&amp;AU$6,'Job Master'!$F$12:$I$102,4,0)-1),""),"")</f>
        <v/>
      </c>
      <c r="AX208" s="73"/>
      <c r="AY208" s="123" t="str">
        <f t="shared" si="402"/>
        <v/>
      </c>
      <c r="AZ208" s="123" t="str">
        <f t="shared" si="403"/>
        <v/>
      </c>
      <c r="BA208" s="97" t="str">
        <f t="shared" ca="1" si="404"/>
        <v/>
      </c>
      <c r="BB208" s="98" t="str">
        <f>IF(BD208&lt;&gt;"",VLOOKUP($P208&amp;" | "&amp;BB$6,'Job Master'!$F$12:$J$102,5,0),"")</f>
        <v/>
      </c>
      <c r="BC208" s="19" t="str">
        <f>IF(BD208&lt;&gt;"",VLOOKUP($P208&amp;" | "&amp;BB$6,'Job Master'!$F$12:$J$102,3,0),"")</f>
        <v/>
      </c>
      <c r="BD208" s="19" t="str">
        <f>IFERROR(IF(AND(BK208&lt;&gt;"",VLOOKUP($P208&amp;" | "&amp;BB$6,'Job Master'!$F$12:$I$102,4,0)&lt;&gt;""),IF(WEEKDAY(BK208-VLOOKUP($P208&amp;" | "&amp;BB$6,'Job Master'!$F$12:$I$102,4,0))&lt;&gt;7,BK208-VLOOKUP($P208&amp;" | "&amp;BB$6,'Job Master'!$F$12:$I$102,4,0),BK208-VLOOKUP($P208&amp;" | "&amp;BB$6,'Job Master'!$F$12:$I$102,4,0)-1),""),"")</f>
        <v/>
      </c>
      <c r="BE208" s="73"/>
      <c r="BF208" s="123" t="str">
        <f t="shared" si="405"/>
        <v/>
      </c>
      <c r="BG208" s="123" t="str">
        <f t="shared" si="406"/>
        <v/>
      </c>
      <c r="BH208" s="97" t="str">
        <f t="shared" ca="1" si="407"/>
        <v/>
      </c>
      <c r="BI208" s="98" t="str">
        <f>IF(BK208&lt;&gt;"",VLOOKUP($P208&amp;" | "&amp;BI$6,'Job Master'!$F$12:$J$102,5,0),"")</f>
        <v/>
      </c>
      <c r="BJ208" s="19" t="str">
        <f>IF(BK208&lt;&gt;"",VLOOKUP($P208&amp;" | "&amp;BI$6,'Job Master'!$F$12:$J$102,3,0),"")</f>
        <v/>
      </c>
      <c r="BK208" s="19" t="str">
        <f>IFERROR(IF(AND(BR208&lt;&gt;"",VLOOKUP($P208&amp;" | "&amp;BI$6,'Job Master'!$F$12:$I$102,4,0)&lt;&gt;""),IF(WEEKDAY(BR208-VLOOKUP($P208&amp;" | "&amp;BI$6,'Job Master'!$F$12:$I$102,4,0))&lt;&gt;7,BR208-VLOOKUP($P208&amp;" | "&amp;BI$6,'Job Master'!$F$12:$I$102,4,0),BR208-VLOOKUP($P208&amp;" | "&amp;BI$6,'Job Master'!$F$12:$I$102,4,0)-1),""),"")</f>
        <v/>
      </c>
      <c r="BL208" s="73"/>
      <c r="BM208" s="123" t="str">
        <f t="shared" si="408"/>
        <v/>
      </c>
      <c r="BN208" s="123" t="str">
        <f t="shared" si="409"/>
        <v/>
      </c>
      <c r="BO208" s="97" t="str">
        <f t="shared" ca="1" si="410"/>
        <v/>
      </c>
      <c r="BP208" s="98" t="str">
        <f>IF(BR208&lt;&gt;"",VLOOKUP($P208&amp;" | "&amp;BP$6,'Job Master'!$F$12:$J$102,5,0),"")</f>
        <v/>
      </c>
      <c r="BQ208" s="19" t="str">
        <f>IF(BR208&lt;&gt;"",VLOOKUP($P208&amp;" | "&amp;BP$6,'Job Master'!$F$12:$J$102,3,0),"")</f>
        <v/>
      </c>
      <c r="BR208" s="19" t="str">
        <f>IFERROR(IF(AND(BY208&lt;&gt;"",VLOOKUP($P208&amp;" | "&amp;BP$6,'Job Master'!$F$12:$I$102,4,0)&lt;&gt;""),IF(WEEKDAY(BY208-VLOOKUP($P208&amp;" | "&amp;BP$6,'Job Master'!$F$12:$I$102,4,0))&lt;&gt;7,BY208-VLOOKUP($P208&amp;" | "&amp;BP$6,'Job Master'!$F$12:$I$102,4,0),BY208-VLOOKUP($P208&amp;" | "&amp;BP$6,'Job Master'!$F$12:$I$102,4,0)-1),""),"")</f>
        <v/>
      </c>
      <c r="BS208" s="73"/>
      <c r="BT208" s="123" t="str">
        <f t="shared" si="411"/>
        <v/>
      </c>
      <c r="BU208" s="123" t="str">
        <f t="shared" si="412"/>
        <v/>
      </c>
      <c r="BV208" s="97" t="str">
        <f t="shared" ca="1" si="413"/>
        <v/>
      </c>
      <c r="BW208" s="98" t="str">
        <f>IF(BY208&lt;&gt;"",VLOOKUP($P208&amp;" | "&amp;BW$6,'Job Master'!$F$12:$J$102,5,0),"")</f>
        <v/>
      </c>
      <c r="BX208" s="19" t="str">
        <f>IF(BY208&lt;&gt;"",VLOOKUP($P208&amp;" | "&amp;BW$6,'Job Master'!$F$12:$J$102,3,0),"")</f>
        <v/>
      </c>
      <c r="BY208" s="19" t="str">
        <f>IFERROR(IF(AND(CF208&lt;&gt;"",VLOOKUP($P208&amp;" | "&amp;BW$6,'Job Master'!$F$12:$I$102,4,0)&lt;&gt;""),IF(WEEKDAY(CF208-VLOOKUP($P208&amp;" | "&amp;BW$6,'Job Master'!$F$12:$I$102,4,0))&lt;&gt;7,CF208-VLOOKUP($P208&amp;" | "&amp;BW$6,'Job Master'!$F$12:$I$102,4,0),CF208-VLOOKUP($P208&amp;" | "&amp;BW$6,'Job Master'!$F$12:$I$102,4,0)-1),""),"")</f>
        <v/>
      </c>
      <c r="BZ208" s="73"/>
      <c r="CA208" s="123" t="str">
        <f t="shared" si="414"/>
        <v/>
      </c>
      <c r="CB208" s="123" t="str">
        <f t="shared" si="415"/>
        <v/>
      </c>
      <c r="CC208" s="97" t="str">
        <f t="shared" ca="1" si="416"/>
        <v/>
      </c>
      <c r="CD208" s="98" t="str">
        <f>IF(CF208&lt;&gt;"",VLOOKUP($P208&amp;" | "&amp;CD$6,'Job Master'!$F$12:$J$102,5,0),"")</f>
        <v/>
      </c>
      <c r="CE208" s="19" t="str">
        <f>IF(CF208&lt;&gt;"",VLOOKUP($P208&amp;" | "&amp;CD$6,'Job Master'!$F$12:$J$102,3,0),"")</f>
        <v/>
      </c>
      <c r="CF208" s="19" t="str">
        <f>IFERROR(IF(AND(CM208&lt;&gt;"",VLOOKUP($P208&amp;" | "&amp;CD$6,'Job Master'!$F$12:$I$102,4,0)&lt;&gt;""),IF(WEEKDAY(CM208-VLOOKUP($P208&amp;" | "&amp;CD$6,'Job Master'!$F$12:$I$102,4,0))&lt;&gt;7,CM208-VLOOKUP($P208&amp;" | "&amp;CD$6,'Job Master'!$F$12:$I$102,4,0),CM208-VLOOKUP($P208&amp;" | "&amp;CD$6,'Job Master'!$F$12:$I$102,4,0)-1),""),"")</f>
        <v/>
      </c>
      <c r="CG208" s="73"/>
      <c r="CH208" s="123" t="str">
        <f t="shared" si="417"/>
        <v/>
      </c>
      <c r="CI208" s="123" t="str">
        <f t="shared" si="418"/>
        <v/>
      </c>
      <c r="CJ208" s="97" t="str">
        <f t="shared" ca="1" si="419"/>
        <v/>
      </c>
      <c r="CK208" s="98" t="str">
        <f>IF(CM208&lt;&gt;"",VLOOKUP($P208&amp;" | "&amp;CK$6,'Job Master'!$F$12:$J$102,5,0),"")</f>
        <v/>
      </c>
      <c r="CL208" s="19" t="str">
        <f>IF(CM208&lt;&gt;"",VLOOKUP($P208&amp;" | "&amp;CK$6,'Job Master'!$F$12:$J$102,3,0),"")</f>
        <v/>
      </c>
      <c r="CM208" s="19" t="str">
        <f>IFERROR(IF(AND(CT208&lt;&gt;"",VLOOKUP($P208&amp;" | "&amp;CK$6,'Job Master'!$F$12:$I$102,4,0)&lt;&gt;""),IF(WEEKDAY(CT208-VLOOKUP($P208&amp;" | "&amp;CK$6,'Job Master'!$F$12:$I$102,4,0))&lt;&gt;7,CT208-VLOOKUP($P208&amp;" | "&amp;CK$6,'Job Master'!$F$12:$I$102,4,0),CT208-VLOOKUP($P208&amp;" | "&amp;CK$6,'Job Master'!$F$12:$I$102,4,0)-1),""),"")</f>
        <v/>
      </c>
      <c r="CN208" s="73"/>
      <c r="CO208" s="123" t="str">
        <f t="shared" si="420"/>
        <v/>
      </c>
      <c r="CP208" s="123" t="str">
        <f t="shared" si="421"/>
        <v/>
      </c>
      <c r="CQ208" s="97" t="str">
        <f t="shared" ca="1" si="422"/>
        <v/>
      </c>
      <c r="CR208" s="98" t="str">
        <f>IF(CT208&lt;&gt;"",VLOOKUP($P208&amp;" | "&amp;CR$6,'Job Master'!$F$12:$J$102,5,0),"")</f>
        <v/>
      </c>
      <c r="CS208" s="19" t="str">
        <f>IF(CT208&lt;&gt;"",VLOOKUP($P208&amp;" | "&amp;CR$6,'Job Master'!$F$12:$J$102,3,0),"")</f>
        <v/>
      </c>
      <c r="CT208" s="19" t="str">
        <f>IFERROR(IF(AND(DA208&lt;&gt;"",VLOOKUP($P208&amp;" | "&amp;CR$6,'Job Master'!$F$12:$I$102,4,0)&lt;&gt;""),IF(WEEKDAY(DA208-VLOOKUP($P208&amp;" | "&amp;CR$6,'Job Master'!$F$12:$I$102,4,0))&lt;&gt;7,DA208-VLOOKUP($P208&amp;" | "&amp;CR$6,'Job Master'!$F$12:$I$102,4,0),DA208-VLOOKUP($P208&amp;" | "&amp;CR$6,'Job Master'!$F$12:$I$102,4,0)-1),""),"")</f>
        <v/>
      </c>
      <c r="CU208" s="73"/>
      <c r="CV208" s="123" t="str">
        <f t="shared" si="423"/>
        <v/>
      </c>
      <c r="CW208" s="123" t="str">
        <f t="shared" si="424"/>
        <v/>
      </c>
      <c r="CX208" s="97" t="str">
        <f t="shared" ca="1" si="425"/>
        <v/>
      </c>
      <c r="CY208" s="98" t="str">
        <f>IF(DA208&lt;&gt;"",VLOOKUP($P208&amp;" | "&amp;CY$6,'Job Master'!$F$12:$J$102,5,0),"")</f>
        <v/>
      </c>
      <c r="CZ208" s="19" t="str">
        <f>IF(DA208&lt;&gt;"",VLOOKUP($P208&amp;" | "&amp;CY$6,'Job Master'!$F$12:$J$102,3,0),"")</f>
        <v/>
      </c>
      <c r="DA208" s="19" t="str">
        <f>IFERROR(IF(AND(DH208&lt;&gt;"",VLOOKUP($P208&amp;" | "&amp;CY$6,'Job Master'!$F$12:$I$102,4,0)&lt;&gt;""),IF(WEEKDAY(DH208-VLOOKUP($P208&amp;" | "&amp;CY$6,'Job Master'!$F$12:$I$102,4,0))&lt;&gt;7,DH208-VLOOKUP($P208&amp;" | "&amp;CY$6,'Job Master'!$F$12:$I$102,4,0),DH208-VLOOKUP($P208&amp;" | "&amp;CY$6,'Job Master'!$F$12:$I$102,4,0)-1),""),"")</f>
        <v/>
      </c>
      <c r="DB208" s="73"/>
      <c r="DC208" s="123" t="str">
        <f t="shared" si="426"/>
        <v/>
      </c>
      <c r="DD208" s="123" t="str">
        <f t="shared" si="427"/>
        <v/>
      </c>
      <c r="DE208" s="97" t="str">
        <f t="shared" ca="1" si="428"/>
        <v/>
      </c>
      <c r="DF208" s="98" t="str">
        <f>IF(DH208&lt;&gt;"",VLOOKUP($P208&amp;" | "&amp;DF$6,'Job Master'!$F$12:$J$102,5,0),"")</f>
        <v/>
      </c>
      <c r="DG208" s="19" t="str">
        <f>IF(DH208&lt;&gt;"",VLOOKUP($P208&amp;" | "&amp;DF$6,'Job Master'!$F$12:$J$102,3,0),"")</f>
        <v/>
      </c>
      <c r="DH208" s="19" t="str">
        <f>IFERROR(IF(AND(DO208&lt;&gt;"",VLOOKUP($P208&amp;" | "&amp;DF$6,'Job Master'!$F$12:$I$102,4,0)&lt;&gt;""),IF(WEEKDAY(DO208-VLOOKUP($P208&amp;" | "&amp;DF$6,'Job Master'!$F$12:$I$102,4,0))&lt;&gt;7,DO208-VLOOKUP($P208&amp;" | "&amp;DF$6,'Job Master'!$F$12:$I$102,4,0),DO208-VLOOKUP($P208&amp;" | "&amp;DF$6,'Job Master'!$F$12:$I$102,4,0)-1),""),"")</f>
        <v/>
      </c>
      <c r="DI208" s="73"/>
      <c r="DJ208" s="123" t="str">
        <f t="shared" si="429"/>
        <v/>
      </c>
      <c r="DK208" s="123" t="str">
        <f t="shared" si="430"/>
        <v/>
      </c>
      <c r="DL208" s="97" t="str">
        <f t="shared" ca="1" si="431"/>
        <v/>
      </c>
      <c r="DM208" s="98" t="str">
        <f>IF(DO208&lt;&gt;"",VLOOKUP($P208&amp;" | "&amp;DM$6,'Job Master'!$F$12:$J$102,5,0),"")</f>
        <v/>
      </c>
      <c r="DN208" s="19" t="str">
        <f>IF(DO208&lt;&gt;"",VLOOKUP($P208&amp;" | "&amp;DM$6,'Job Master'!$F$12:$J$102,3,0),"")</f>
        <v/>
      </c>
      <c r="DO208" s="19" t="str">
        <f>IFERROR(IF(AND(DT208&lt;&gt;"",VLOOKUP($P208&amp;" | "&amp;DM$6,'Job Master'!$F$12:$I$102,4,0)&lt;&gt;""),IF(WEEKDAY(DT208-VLOOKUP($P208&amp;" | "&amp;DM$6,'Job Master'!$F$12:$I$102,4,0))&lt;&gt;7,DT208-VLOOKUP($P208&amp;" | "&amp;DM$6,'Job Master'!$F$12:$I$102,4,0),DT208-VLOOKUP($P208&amp;" | "&amp;DM$6,'Job Master'!$F$12:$I$102,4,0)-1),""),"")</f>
        <v/>
      </c>
      <c r="DP208" s="73"/>
      <c r="DQ208" s="123" t="str">
        <f t="shared" si="432"/>
        <v/>
      </c>
      <c r="DR208" s="123" t="str">
        <f t="shared" si="433"/>
        <v/>
      </c>
      <c r="DS208" s="97" t="str">
        <f t="shared" ca="1" si="434"/>
        <v/>
      </c>
      <c r="DT208" s="70" t="str">
        <f t="shared" si="435"/>
        <v/>
      </c>
      <c r="DU208" s="90"/>
      <c r="DV208" s="123" t="str">
        <f t="shared" si="436"/>
        <v/>
      </c>
      <c r="DW208" s="123" t="str">
        <f t="shared" si="437"/>
        <v/>
      </c>
      <c r="DX208" s="132" t="str">
        <f t="shared" ref="DX208" ca="1" si="452">IF(DT208&lt;&gt;"",IF(WEEKNUM(DT208)=WEEKNUM(TODAY()),"This Week",IF(WEEKNUM(DT208)=WEEKNUM(TODAY())+1,"Next Week",IF(WEEKNUM(DT208)=WEEKNUM(TODAY())-1,"Previous Week",""))),"")</f>
        <v/>
      </c>
      <c r="DY208" s="134" t="str">
        <f t="shared" si="439"/>
        <v/>
      </c>
      <c r="DZ208" s="95"/>
      <c r="EB208" s="8" t="str">
        <f t="shared" si="445"/>
        <v/>
      </c>
      <c r="EC208" s="8" t="str">
        <f>IF(O208&lt;&gt;"",VLOOKUP(O208,'Job Master'!$N$12:$O$18,2,0),"")</f>
        <v/>
      </c>
      <c r="ED208" s="8">
        <f t="shared" si="446"/>
        <v>19.5</v>
      </c>
      <c r="EE208" s="8">
        <f t="shared" si="447"/>
        <v>6</v>
      </c>
      <c r="EF208" s="8">
        <f t="shared" si="448"/>
        <v>-1168.5</v>
      </c>
      <c r="EG208" s="8" t="str">
        <f t="shared" si="449"/>
        <v/>
      </c>
      <c r="EH208" s="8" t="str">
        <f t="shared" si="450"/>
        <v/>
      </c>
    </row>
    <row r="209" spans="2:138" x14ac:dyDescent="0.3">
      <c r="B209" s="112"/>
      <c r="C209" s="27"/>
      <c r="D209" s="7" t="str">
        <f t="shared" si="387"/>
        <v/>
      </c>
      <c r="E209" s="25"/>
      <c r="F209" s="7" t="str">
        <f t="shared" si="387"/>
        <v/>
      </c>
      <c r="G209" s="25"/>
      <c r="H209" s="7" t="str">
        <f t="shared" si="387"/>
        <v/>
      </c>
      <c r="I209" s="25"/>
      <c r="J209" s="7" t="str">
        <f t="shared" si="387"/>
        <v/>
      </c>
      <c r="K209" s="25"/>
      <c r="L209" s="7" t="str">
        <f t="shared" si="388"/>
        <v/>
      </c>
      <c r="M209" s="25"/>
      <c r="N209" s="7" t="str">
        <f t="shared" si="389"/>
        <v/>
      </c>
      <c r="O209" s="81"/>
      <c r="P209" s="81" t="str">
        <f t="shared" si="390"/>
        <v/>
      </c>
      <c r="Q209" s="81"/>
      <c r="R209" s="7" t="str">
        <f t="shared" si="391"/>
        <v/>
      </c>
      <c r="S209" s="25"/>
      <c r="T209" s="7" t="str">
        <f t="shared" si="392"/>
        <v/>
      </c>
      <c r="U209" s="25"/>
      <c r="V209" s="7" t="str">
        <f t="shared" si="393"/>
        <v/>
      </c>
      <c r="W209" s="25"/>
      <c r="X209" s="7" t="str">
        <f t="shared" si="394"/>
        <v/>
      </c>
      <c r="Y209" s="18" t="str">
        <f t="shared" si="395"/>
        <v/>
      </c>
      <c r="Z209" s="7" t="str">
        <f t="shared" si="396"/>
        <v/>
      </c>
      <c r="AA209" s="18" t="str">
        <f t="shared" si="397"/>
        <v/>
      </c>
      <c r="AB209" s="19" t="str">
        <f t="shared" si="398"/>
        <v/>
      </c>
      <c r="AC209" s="26"/>
      <c r="AD209" s="26"/>
      <c r="AE209" s="25"/>
      <c r="AF209" s="26"/>
      <c r="AG209" s="25"/>
      <c r="AH209" s="25"/>
      <c r="AI209" s="18" t="str">
        <f t="shared" si="335"/>
        <v/>
      </c>
      <c r="AJ209" s="25"/>
      <c r="AK209" s="18" t="str">
        <f t="shared" si="336"/>
        <v/>
      </c>
      <c r="AL209" s="79"/>
      <c r="AM209" s="126" t="str">
        <f t="shared" si="337"/>
        <v/>
      </c>
      <c r="AN209" s="128" t="str">
        <f>IF(AP209&lt;&gt;"",VLOOKUP($P209&amp;" | "&amp;AN$6,'Job Master'!$F$12:$J$102,5,0),"")</f>
        <v/>
      </c>
      <c r="AO209" s="19" t="str">
        <f>IF(AP209&lt;&gt;"",VLOOKUP($P209&amp;" | "&amp;AN$6,'Job Master'!$F$12:$J$102,3,0),"")</f>
        <v/>
      </c>
      <c r="AP209" s="19" t="str">
        <f>IFERROR(IF(AND(AW209&lt;&gt;"",VLOOKUP($P209&amp;" | "&amp;AN$6,'Job Master'!$F$12:$I$102,4,0)&lt;&gt;""),IF(WEEKDAY(AW209-VLOOKUP($P209&amp;" | "&amp;AN$6,'Job Master'!$F$12:$I$102,4,0))&lt;&gt;7,AW209-VLOOKUP($P209&amp;" | "&amp;AN$6,'Job Master'!$F$12:$I$102,4,0),AW209-VLOOKUP($P209&amp;" | "&amp;AN$6,'Job Master'!$F$12:$I$102,4,0)-1),""),"")</f>
        <v/>
      </c>
      <c r="AQ209" s="73"/>
      <c r="AR209" s="123" t="str">
        <f t="shared" si="399"/>
        <v/>
      </c>
      <c r="AS209" s="123" t="str">
        <f t="shared" si="400"/>
        <v/>
      </c>
      <c r="AT209" s="97" t="str">
        <f t="shared" ca="1" si="401"/>
        <v/>
      </c>
      <c r="AU209" s="98" t="str">
        <f>IF(AW209&lt;&gt;"",VLOOKUP($P209&amp;" | "&amp;AU$6,'Job Master'!$F$12:$J$102,5,0),"")</f>
        <v/>
      </c>
      <c r="AV209" s="19" t="str">
        <f>IF(AW209&lt;&gt;"",VLOOKUP($P209&amp;" | "&amp;AU$6,'Job Master'!$F$12:$J$102,3,0),"")</f>
        <v/>
      </c>
      <c r="AW209" s="19" t="str">
        <f>IFERROR(IF(AND(BD209&lt;&gt;"",VLOOKUP($P209&amp;" | "&amp;AU$6,'Job Master'!$F$12:$I$102,4,0)&lt;&gt;""),IF(WEEKDAY(BD209-VLOOKUP($P209&amp;" | "&amp;AU$6,'Job Master'!$F$12:$I$102,4,0))&lt;&gt;7,BD209-VLOOKUP($P209&amp;" | "&amp;AU$6,'Job Master'!$F$12:$I$102,4,0),BD209-VLOOKUP($P209&amp;" | "&amp;AU$6,'Job Master'!$F$12:$I$102,4,0)-1),""),"")</f>
        <v/>
      </c>
      <c r="AX209" s="73"/>
      <c r="AY209" s="123" t="str">
        <f t="shared" si="402"/>
        <v/>
      </c>
      <c r="AZ209" s="123" t="str">
        <f t="shared" si="403"/>
        <v/>
      </c>
      <c r="BA209" s="97" t="str">
        <f t="shared" ca="1" si="404"/>
        <v/>
      </c>
      <c r="BB209" s="98" t="str">
        <f>IF(BD209&lt;&gt;"",VLOOKUP($P209&amp;" | "&amp;BB$6,'Job Master'!$F$12:$J$102,5,0),"")</f>
        <v/>
      </c>
      <c r="BC209" s="19" t="str">
        <f>IF(BD209&lt;&gt;"",VLOOKUP($P209&amp;" | "&amp;BB$6,'Job Master'!$F$12:$J$102,3,0),"")</f>
        <v/>
      </c>
      <c r="BD209" s="19" t="str">
        <f>IFERROR(IF(AND(BK209&lt;&gt;"",VLOOKUP($P209&amp;" | "&amp;BB$6,'Job Master'!$F$12:$I$102,4,0)&lt;&gt;""),IF(WEEKDAY(BK209-VLOOKUP($P209&amp;" | "&amp;BB$6,'Job Master'!$F$12:$I$102,4,0))&lt;&gt;7,BK209-VLOOKUP($P209&amp;" | "&amp;BB$6,'Job Master'!$F$12:$I$102,4,0),BK209-VLOOKUP($P209&amp;" | "&amp;BB$6,'Job Master'!$F$12:$I$102,4,0)-1),""),"")</f>
        <v/>
      </c>
      <c r="BE209" s="73"/>
      <c r="BF209" s="123" t="str">
        <f t="shared" si="405"/>
        <v/>
      </c>
      <c r="BG209" s="123" t="str">
        <f t="shared" si="406"/>
        <v/>
      </c>
      <c r="BH209" s="97" t="str">
        <f t="shared" ca="1" si="407"/>
        <v/>
      </c>
      <c r="BI209" s="98" t="str">
        <f>IF(BK209&lt;&gt;"",VLOOKUP($P209&amp;" | "&amp;BI$6,'Job Master'!$F$12:$J$102,5,0),"")</f>
        <v/>
      </c>
      <c r="BJ209" s="19" t="str">
        <f>IF(BK209&lt;&gt;"",VLOOKUP($P209&amp;" | "&amp;BI$6,'Job Master'!$F$12:$J$102,3,0),"")</f>
        <v/>
      </c>
      <c r="BK209" s="19" t="str">
        <f>IFERROR(IF(AND(BR209&lt;&gt;"",VLOOKUP($P209&amp;" | "&amp;BI$6,'Job Master'!$F$12:$I$102,4,0)&lt;&gt;""),IF(WEEKDAY(BR209-VLOOKUP($P209&amp;" | "&amp;BI$6,'Job Master'!$F$12:$I$102,4,0))&lt;&gt;7,BR209-VLOOKUP($P209&amp;" | "&amp;BI$6,'Job Master'!$F$12:$I$102,4,0),BR209-VLOOKUP($P209&amp;" | "&amp;BI$6,'Job Master'!$F$12:$I$102,4,0)-1),""),"")</f>
        <v/>
      </c>
      <c r="BL209" s="73"/>
      <c r="BM209" s="123" t="str">
        <f t="shared" si="408"/>
        <v/>
      </c>
      <c r="BN209" s="123" t="str">
        <f t="shared" si="409"/>
        <v/>
      </c>
      <c r="BO209" s="97" t="str">
        <f t="shared" ca="1" si="410"/>
        <v/>
      </c>
      <c r="BP209" s="98" t="str">
        <f>IF(BR209&lt;&gt;"",VLOOKUP($P209&amp;" | "&amp;BP$6,'Job Master'!$F$12:$J$102,5,0),"")</f>
        <v/>
      </c>
      <c r="BQ209" s="19" t="str">
        <f>IF(BR209&lt;&gt;"",VLOOKUP($P209&amp;" | "&amp;BP$6,'Job Master'!$F$12:$J$102,3,0),"")</f>
        <v/>
      </c>
      <c r="BR209" s="19" t="str">
        <f>IFERROR(IF(AND(BY209&lt;&gt;"",VLOOKUP($P209&amp;" | "&amp;BP$6,'Job Master'!$F$12:$I$102,4,0)&lt;&gt;""),IF(WEEKDAY(BY209-VLOOKUP($P209&amp;" | "&amp;BP$6,'Job Master'!$F$12:$I$102,4,0))&lt;&gt;7,BY209-VLOOKUP($P209&amp;" | "&amp;BP$6,'Job Master'!$F$12:$I$102,4,0),BY209-VLOOKUP($P209&amp;" | "&amp;BP$6,'Job Master'!$F$12:$I$102,4,0)-1),""),"")</f>
        <v/>
      </c>
      <c r="BS209" s="73"/>
      <c r="BT209" s="123" t="str">
        <f t="shared" si="411"/>
        <v/>
      </c>
      <c r="BU209" s="123" t="str">
        <f t="shared" si="412"/>
        <v/>
      </c>
      <c r="BV209" s="97" t="str">
        <f t="shared" ca="1" si="413"/>
        <v/>
      </c>
      <c r="BW209" s="98" t="str">
        <f>IF(BY209&lt;&gt;"",VLOOKUP($P209&amp;" | "&amp;BW$6,'Job Master'!$F$12:$J$102,5,0),"")</f>
        <v/>
      </c>
      <c r="BX209" s="19" t="str">
        <f>IF(BY209&lt;&gt;"",VLOOKUP($P209&amp;" | "&amp;BW$6,'Job Master'!$F$12:$J$102,3,0),"")</f>
        <v/>
      </c>
      <c r="BY209" s="19" t="str">
        <f>IFERROR(IF(AND(CF209&lt;&gt;"",VLOOKUP($P209&amp;" | "&amp;BW$6,'Job Master'!$F$12:$I$102,4,0)&lt;&gt;""),IF(WEEKDAY(CF209-VLOOKUP($P209&amp;" | "&amp;BW$6,'Job Master'!$F$12:$I$102,4,0))&lt;&gt;7,CF209-VLOOKUP($P209&amp;" | "&amp;BW$6,'Job Master'!$F$12:$I$102,4,0),CF209-VLOOKUP($P209&amp;" | "&amp;BW$6,'Job Master'!$F$12:$I$102,4,0)-1),""),"")</f>
        <v/>
      </c>
      <c r="BZ209" s="73"/>
      <c r="CA209" s="123" t="str">
        <f t="shared" si="414"/>
        <v/>
      </c>
      <c r="CB209" s="123" t="str">
        <f t="shared" si="415"/>
        <v/>
      </c>
      <c r="CC209" s="97" t="str">
        <f t="shared" ca="1" si="416"/>
        <v/>
      </c>
      <c r="CD209" s="98" t="str">
        <f>IF(CF209&lt;&gt;"",VLOOKUP($P209&amp;" | "&amp;CD$6,'Job Master'!$F$12:$J$102,5,0),"")</f>
        <v/>
      </c>
      <c r="CE209" s="19" t="str">
        <f>IF(CF209&lt;&gt;"",VLOOKUP($P209&amp;" | "&amp;CD$6,'Job Master'!$F$12:$J$102,3,0),"")</f>
        <v/>
      </c>
      <c r="CF209" s="19" t="str">
        <f>IFERROR(IF(AND(CM209&lt;&gt;"",VLOOKUP($P209&amp;" | "&amp;CD$6,'Job Master'!$F$12:$I$102,4,0)&lt;&gt;""),IF(WEEKDAY(CM209-VLOOKUP($P209&amp;" | "&amp;CD$6,'Job Master'!$F$12:$I$102,4,0))&lt;&gt;7,CM209-VLOOKUP($P209&amp;" | "&amp;CD$6,'Job Master'!$F$12:$I$102,4,0),CM209-VLOOKUP($P209&amp;" | "&amp;CD$6,'Job Master'!$F$12:$I$102,4,0)-1),""),"")</f>
        <v/>
      </c>
      <c r="CG209" s="73"/>
      <c r="CH209" s="123" t="str">
        <f t="shared" si="417"/>
        <v/>
      </c>
      <c r="CI209" s="123" t="str">
        <f t="shared" si="418"/>
        <v/>
      </c>
      <c r="CJ209" s="97" t="str">
        <f t="shared" ca="1" si="419"/>
        <v/>
      </c>
      <c r="CK209" s="98" t="str">
        <f>IF(CM209&lt;&gt;"",VLOOKUP($P209&amp;" | "&amp;CK$6,'Job Master'!$F$12:$J$102,5,0),"")</f>
        <v/>
      </c>
      <c r="CL209" s="19" t="str">
        <f>IF(CM209&lt;&gt;"",VLOOKUP($P209&amp;" | "&amp;CK$6,'Job Master'!$F$12:$J$102,3,0),"")</f>
        <v/>
      </c>
      <c r="CM209" s="19" t="str">
        <f>IFERROR(IF(AND(CT209&lt;&gt;"",VLOOKUP($P209&amp;" | "&amp;CK$6,'Job Master'!$F$12:$I$102,4,0)&lt;&gt;""),IF(WEEKDAY(CT209-VLOOKUP($P209&amp;" | "&amp;CK$6,'Job Master'!$F$12:$I$102,4,0))&lt;&gt;7,CT209-VLOOKUP($P209&amp;" | "&amp;CK$6,'Job Master'!$F$12:$I$102,4,0),CT209-VLOOKUP($P209&amp;" | "&amp;CK$6,'Job Master'!$F$12:$I$102,4,0)-1),""),"")</f>
        <v/>
      </c>
      <c r="CN209" s="73"/>
      <c r="CO209" s="123" t="str">
        <f t="shared" si="420"/>
        <v/>
      </c>
      <c r="CP209" s="123" t="str">
        <f t="shared" si="421"/>
        <v/>
      </c>
      <c r="CQ209" s="97" t="str">
        <f t="shared" ca="1" si="422"/>
        <v/>
      </c>
      <c r="CR209" s="98" t="str">
        <f>IF(CT209&lt;&gt;"",VLOOKUP($P209&amp;" | "&amp;CR$6,'Job Master'!$F$12:$J$102,5,0),"")</f>
        <v/>
      </c>
      <c r="CS209" s="19" t="str">
        <f>IF(CT209&lt;&gt;"",VLOOKUP($P209&amp;" | "&amp;CR$6,'Job Master'!$F$12:$J$102,3,0),"")</f>
        <v/>
      </c>
      <c r="CT209" s="19" t="str">
        <f>IFERROR(IF(AND(DA209&lt;&gt;"",VLOOKUP($P209&amp;" | "&amp;CR$6,'Job Master'!$F$12:$I$102,4,0)&lt;&gt;""),IF(WEEKDAY(DA209-VLOOKUP($P209&amp;" | "&amp;CR$6,'Job Master'!$F$12:$I$102,4,0))&lt;&gt;7,DA209-VLOOKUP($P209&amp;" | "&amp;CR$6,'Job Master'!$F$12:$I$102,4,0),DA209-VLOOKUP($P209&amp;" | "&amp;CR$6,'Job Master'!$F$12:$I$102,4,0)-1),""),"")</f>
        <v/>
      </c>
      <c r="CU209" s="73"/>
      <c r="CV209" s="123" t="str">
        <f t="shared" si="423"/>
        <v/>
      </c>
      <c r="CW209" s="123" t="str">
        <f t="shared" si="424"/>
        <v/>
      </c>
      <c r="CX209" s="97" t="str">
        <f t="shared" ca="1" si="425"/>
        <v/>
      </c>
      <c r="CY209" s="98" t="str">
        <f>IF(DA209&lt;&gt;"",VLOOKUP($P209&amp;" | "&amp;CY$6,'Job Master'!$F$12:$J$102,5,0),"")</f>
        <v/>
      </c>
      <c r="CZ209" s="19" t="str">
        <f>IF(DA209&lt;&gt;"",VLOOKUP($P209&amp;" | "&amp;CY$6,'Job Master'!$F$12:$J$102,3,0),"")</f>
        <v/>
      </c>
      <c r="DA209" s="19" t="str">
        <f>IFERROR(IF(AND(DH209&lt;&gt;"",VLOOKUP($P209&amp;" | "&amp;CY$6,'Job Master'!$F$12:$I$102,4,0)&lt;&gt;""),IF(WEEKDAY(DH209-VLOOKUP($P209&amp;" | "&amp;CY$6,'Job Master'!$F$12:$I$102,4,0))&lt;&gt;7,DH209-VLOOKUP($P209&amp;" | "&amp;CY$6,'Job Master'!$F$12:$I$102,4,0),DH209-VLOOKUP($P209&amp;" | "&amp;CY$6,'Job Master'!$F$12:$I$102,4,0)-1),""),"")</f>
        <v/>
      </c>
      <c r="DB209" s="73"/>
      <c r="DC209" s="123" t="str">
        <f t="shared" si="426"/>
        <v/>
      </c>
      <c r="DD209" s="123" t="str">
        <f t="shared" si="427"/>
        <v/>
      </c>
      <c r="DE209" s="97" t="str">
        <f t="shared" ca="1" si="428"/>
        <v/>
      </c>
      <c r="DF209" s="98" t="str">
        <f>IF(DH209&lt;&gt;"",VLOOKUP($P209&amp;" | "&amp;DF$6,'Job Master'!$F$12:$J$102,5,0),"")</f>
        <v/>
      </c>
      <c r="DG209" s="19" t="str">
        <f>IF(DH209&lt;&gt;"",VLOOKUP($P209&amp;" | "&amp;DF$6,'Job Master'!$F$12:$J$102,3,0),"")</f>
        <v/>
      </c>
      <c r="DH209" s="19" t="str">
        <f>IFERROR(IF(AND(DO209&lt;&gt;"",VLOOKUP($P209&amp;" | "&amp;DF$6,'Job Master'!$F$12:$I$102,4,0)&lt;&gt;""),IF(WEEKDAY(DO209-VLOOKUP($P209&amp;" | "&amp;DF$6,'Job Master'!$F$12:$I$102,4,0))&lt;&gt;7,DO209-VLOOKUP($P209&amp;" | "&amp;DF$6,'Job Master'!$F$12:$I$102,4,0),DO209-VLOOKUP($P209&amp;" | "&amp;DF$6,'Job Master'!$F$12:$I$102,4,0)-1),""),"")</f>
        <v/>
      </c>
      <c r="DI209" s="73"/>
      <c r="DJ209" s="123" t="str">
        <f t="shared" si="429"/>
        <v/>
      </c>
      <c r="DK209" s="123" t="str">
        <f t="shared" si="430"/>
        <v/>
      </c>
      <c r="DL209" s="97" t="str">
        <f t="shared" ca="1" si="431"/>
        <v/>
      </c>
      <c r="DM209" s="98" t="str">
        <f>IF(DO209&lt;&gt;"",VLOOKUP($P209&amp;" | "&amp;DM$6,'Job Master'!$F$12:$J$102,5,0),"")</f>
        <v/>
      </c>
      <c r="DN209" s="19" t="str">
        <f>IF(DO209&lt;&gt;"",VLOOKUP($P209&amp;" | "&amp;DM$6,'Job Master'!$F$12:$J$102,3,0),"")</f>
        <v/>
      </c>
      <c r="DO209" s="19" t="str">
        <f>IFERROR(IF(AND(DT209&lt;&gt;"",VLOOKUP($P209&amp;" | "&amp;DM$6,'Job Master'!$F$12:$I$102,4,0)&lt;&gt;""),IF(WEEKDAY(DT209-VLOOKUP($P209&amp;" | "&amp;DM$6,'Job Master'!$F$12:$I$102,4,0))&lt;&gt;7,DT209-VLOOKUP($P209&amp;" | "&amp;DM$6,'Job Master'!$F$12:$I$102,4,0),DT209-VLOOKUP($P209&amp;" | "&amp;DM$6,'Job Master'!$F$12:$I$102,4,0)-1),""),"")</f>
        <v/>
      </c>
      <c r="DP209" s="73"/>
      <c r="DQ209" s="123" t="str">
        <f t="shared" si="432"/>
        <v/>
      </c>
      <c r="DR209" s="123" t="str">
        <f t="shared" si="433"/>
        <v/>
      </c>
      <c r="DS209" s="97" t="str">
        <f t="shared" ca="1" si="434"/>
        <v/>
      </c>
      <c r="DT209" s="70" t="str">
        <f t="shared" si="435"/>
        <v/>
      </c>
      <c r="DU209" s="90"/>
      <c r="DV209" s="123" t="str">
        <f t="shared" si="436"/>
        <v/>
      </c>
      <c r="DW209" s="123" t="str">
        <f t="shared" si="437"/>
        <v/>
      </c>
      <c r="DX209" s="132" t="str">
        <f t="shared" ref="DX209" ca="1" si="453">IF(DT209&lt;&gt;"",IF(WEEKNUM(DT209)=WEEKNUM(TODAY()),"This Week",IF(WEEKNUM(DT209)=WEEKNUM(TODAY())+1,"Next Week",IF(WEEKNUM(DT209)=WEEKNUM(TODAY())-1,"Previous Week",""))),"")</f>
        <v/>
      </c>
      <c r="DY209" s="134" t="str">
        <f t="shared" si="439"/>
        <v/>
      </c>
      <c r="DZ209" s="95"/>
      <c r="EB209" s="8" t="str">
        <f t="shared" si="445"/>
        <v/>
      </c>
      <c r="EC209" s="8" t="str">
        <f>IF(O209&lt;&gt;"",VLOOKUP(O209,'Job Master'!$N$12:$O$18,2,0),"")</f>
        <v/>
      </c>
      <c r="ED209" s="8">
        <f t="shared" si="446"/>
        <v>19.5</v>
      </c>
      <c r="EE209" s="8">
        <f t="shared" si="447"/>
        <v>6</v>
      </c>
      <c r="EF209" s="8">
        <f t="shared" si="448"/>
        <v>-1174.5</v>
      </c>
      <c r="EG209" s="8" t="str">
        <f t="shared" si="449"/>
        <v/>
      </c>
      <c r="EH209" s="8" t="str">
        <f t="shared" si="450"/>
        <v/>
      </c>
    </row>
    <row r="210" spans="2:138" x14ac:dyDescent="0.3">
      <c r="B210" s="112"/>
      <c r="C210" s="27"/>
      <c r="D210" s="7" t="str">
        <f t="shared" si="387"/>
        <v/>
      </c>
      <c r="E210" s="25"/>
      <c r="F210" s="7" t="str">
        <f t="shared" si="387"/>
        <v/>
      </c>
      <c r="G210" s="25"/>
      <c r="H210" s="7" t="str">
        <f t="shared" si="387"/>
        <v/>
      </c>
      <c r="I210" s="25"/>
      <c r="J210" s="7" t="str">
        <f t="shared" si="387"/>
        <v/>
      </c>
      <c r="K210" s="25"/>
      <c r="L210" s="7" t="str">
        <f t="shared" si="388"/>
        <v/>
      </c>
      <c r="M210" s="25"/>
      <c r="N210" s="7" t="str">
        <f t="shared" si="389"/>
        <v/>
      </c>
      <c r="O210" s="81"/>
      <c r="P210" s="81" t="str">
        <f t="shared" si="390"/>
        <v/>
      </c>
      <c r="Q210" s="81"/>
      <c r="R210" s="7" t="str">
        <f t="shared" si="391"/>
        <v/>
      </c>
      <c r="S210" s="25"/>
      <c r="T210" s="7" t="str">
        <f t="shared" si="392"/>
        <v/>
      </c>
      <c r="U210" s="25"/>
      <c r="V210" s="7" t="str">
        <f t="shared" si="393"/>
        <v/>
      </c>
      <c r="W210" s="25"/>
      <c r="X210" s="7" t="str">
        <f t="shared" si="394"/>
        <v/>
      </c>
      <c r="Y210" s="18" t="str">
        <f t="shared" si="395"/>
        <v/>
      </c>
      <c r="Z210" s="7" t="str">
        <f t="shared" si="396"/>
        <v/>
      </c>
      <c r="AA210" s="18" t="str">
        <f t="shared" si="397"/>
        <v/>
      </c>
      <c r="AB210" s="19" t="str">
        <f t="shared" si="398"/>
        <v/>
      </c>
      <c r="AC210" s="26"/>
      <c r="AD210" s="26"/>
      <c r="AE210" s="25"/>
      <c r="AF210" s="26"/>
      <c r="AG210" s="25"/>
      <c r="AH210" s="25"/>
      <c r="AI210" s="18" t="str">
        <f t="shared" si="335"/>
        <v/>
      </c>
      <c r="AJ210" s="25"/>
      <c r="AK210" s="18" t="str">
        <f t="shared" si="336"/>
        <v/>
      </c>
      <c r="AL210" s="79"/>
      <c r="AM210" s="126" t="str">
        <f t="shared" si="337"/>
        <v/>
      </c>
      <c r="AN210" s="128" t="str">
        <f>IF(AP210&lt;&gt;"",VLOOKUP($P210&amp;" | "&amp;AN$6,'Job Master'!$F$12:$J$102,5,0),"")</f>
        <v/>
      </c>
      <c r="AO210" s="19" t="str">
        <f>IF(AP210&lt;&gt;"",VLOOKUP($P210&amp;" | "&amp;AN$6,'Job Master'!$F$12:$J$102,3,0),"")</f>
        <v/>
      </c>
      <c r="AP210" s="19" t="str">
        <f>IFERROR(IF(AND(AW210&lt;&gt;"",VLOOKUP($P210&amp;" | "&amp;AN$6,'Job Master'!$F$12:$I$102,4,0)&lt;&gt;""),IF(WEEKDAY(AW210-VLOOKUP($P210&amp;" | "&amp;AN$6,'Job Master'!$F$12:$I$102,4,0))&lt;&gt;7,AW210-VLOOKUP($P210&amp;" | "&amp;AN$6,'Job Master'!$F$12:$I$102,4,0),AW210-VLOOKUP($P210&amp;" | "&amp;AN$6,'Job Master'!$F$12:$I$102,4,0)-1),""),"")</f>
        <v/>
      </c>
      <c r="AQ210" s="73"/>
      <c r="AR210" s="123" t="str">
        <f t="shared" si="399"/>
        <v/>
      </c>
      <c r="AS210" s="123" t="str">
        <f t="shared" si="400"/>
        <v/>
      </c>
      <c r="AT210" s="97" t="str">
        <f t="shared" ca="1" si="401"/>
        <v/>
      </c>
      <c r="AU210" s="98" t="str">
        <f>IF(AW210&lt;&gt;"",VLOOKUP($P210&amp;" | "&amp;AU$6,'Job Master'!$F$12:$J$102,5,0),"")</f>
        <v/>
      </c>
      <c r="AV210" s="19" t="str">
        <f>IF(AW210&lt;&gt;"",VLOOKUP($P210&amp;" | "&amp;AU$6,'Job Master'!$F$12:$J$102,3,0),"")</f>
        <v/>
      </c>
      <c r="AW210" s="19" t="str">
        <f>IFERROR(IF(AND(BD210&lt;&gt;"",VLOOKUP($P210&amp;" | "&amp;AU$6,'Job Master'!$F$12:$I$102,4,0)&lt;&gt;""),IF(WEEKDAY(BD210-VLOOKUP($P210&amp;" | "&amp;AU$6,'Job Master'!$F$12:$I$102,4,0))&lt;&gt;7,BD210-VLOOKUP($P210&amp;" | "&amp;AU$6,'Job Master'!$F$12:$I$102,4,0),BD210-VLOOKUP($P210&amp;" | "&amp;AU$6,'Job Master'!$F$12:$I$102,4,0)-1),""),"")</f>
        <v/>
      </c>
      <c r="AX210" s="73"/>
      <c r="AY210" s="123" t="str">
        <f t="shared" si="402"/>
        <v/>
      </c>
      <c r="AZ210" s="123" t="str">
        <f t="shared" si="403"/>
        <v/>
      </c>
      <c r="BA210" s="97" t="str">
        <f t="shared" ca="1" si="404"/>
        <v/>
      </c>
      <c r="BB210" s="98" t="str">
        <f>IF(BD210&lt;&gt;"",VLOOKUP($P210&amp;" | "&amp;BB$6,'Job Master'!$F$12:$J$102,5,0),"")</f>
        <v/>
      </c>
      <c r="BC210" s="19" t="str">
        <f>IF(BD210&lt;&gt;"",VLOOKUP($P210&amp;" | "&amp;BB$6,'Job Master'!$F$12:$J$102,3,0),"")</f>
        <v/>
      </c>
      <c r="BD210" s="19" t="str">
        <f>IFERROR(IF(AND(BK210&lt;&gt;"",VLOOKUP($P210&amp;" | "&amp;BB$6,'Job Master'!$F$12:$I$102,4,0)&lt;&gt;""),IF(WEEKDAY(BK210-VLOOKUP($P210&amp;" | "&amp;BB$6,'Job Master'!$F$12:$I$102,4,0))&lt;&gt;7,BK210-VLOOKUP($P210&amp;" | "&amp;BB$6,'Job Master'!$F$12:$I$102,4,0),BK210-VLOOKUP($P210&amp;" | "&amp;BB$6,'Job Master'!$F$12:$I$102,4,0)-1),""),"")</f>
        <v/>
      </c>
      <c r="BE210" s="73"/>
      <c r="BF210" s="123" t="str">
        <f t="shared" si="405"/>
        <v/>
      </c>
      <c r="BG210" s="123" t="str">
        <f t="shared" si="406"/>
        <v/>
      </c>
      <c r="BH210" s="97" t="str">
        <f t="shared" ca="1" si="407"/>
        <v/>
      </c>
      <c r="BI210" s="98" t="str">
        <f>IF(BK210&lt;&gt;"",VLOOKUP($P210&amp;" | "&amp;BI$6,'Job Master'!$F$12:$J$102,5,0),"")</f>
        <v/>
      </c>
      <c r="BJ210" s="19" t="str">
        <f>IF(BK210&lt;&gt;"",VLOOKUP($P210&amp;" | "&amp;BI$6,'Job Master'!$F$12:$J$102,3,0),"")</f>
        <v/>
      </c>
      <c r="BK210" s="19" t="str">
        <f>IFERROR(IF(AND(BR210&lt;&gt;"",VLOOKUP($P210&amp;" | "&amp;BI$6,'Job Master'!$F$12:$I$102,4,0)&lt;&gt;""),IF(WEEKDAY(BR210-VLOOKUP($P210&amp;" | "&amp;BI$6,'Job Master'!$F$12:$I$102,4,0))&lt;&gt;7,BR210-VLOOKUP($P210&amp;" | "&amp;BI$6,'Job Master'!$F$12:$I$102,4,0),BR210-VLOOKUP($P210&amp;" | "&amp;BI$6,'Job Master'!$F$12:$I$102,4,0)-1),""),"")</f>
        <v/>
      </c>
      <c r="BL210" s="73"/>
      <c r="BM210" s="123" t="str">
        <f t="shared" si="408"/>
        <v/>
      </c>
      <c r="BN210" s="123" t="str">
        <f t="shared" si="409"/>
        <v/>
      </c>
      <c r="BO210" s="97" t="str">
        <f t="shared" ca="1" si="410"/>
        <v/>
      </c>
      <c r="BP210" s="98" t="str">
        <f>IF(BR210&lt;&gt;"",VLOOKUP($P210&amp;" | "&amp;BP$6,'Job Master'!$F$12:$J$102,5,0),"")</f>
        <v/>
      </c>
      <c r="BQ210" s="19" t="str">
        <f>IF(BR210&lt;&gt;"",VLOOKUP($P210&amp;" | "&amp;BP$6,'Job Master'!$F$12:$J$102,3,0),"")</f>
        <v/>
      </c>
      <c r="BR210" s="19" t="str">
        <f>IFERROR(IF(AND(BY210&lt;&gt;"",VLOOKUP($P210&amp;" | "&amp;BP$6,'Job Master'!$F$12:$I$102,4,0)&lt;&gt;""),IF(WEEKDAY(BY210-VLOOKUP($P210&amp;" | "&amp;BP$6,'Job Master'!$F$12:$I$102,4,0))&lt;&gt;7,BY210-VLOOKUP($P210&amp;" | "&amp;BP$6,'Job Master'!$F$12:$I$102,4,0),BY210-VLOOKUP($P210&amp;" | "&amp;BP$6,'Job Master'!$F$12:$I$102,4,0)-1),""),"")</f>
        <v/>
      </c>
      <c r="BS210" s="73"/>
      <c r="BT210" s="123" t="str">
        <f t="shared" si="411"/>
        <v/>
      </c>
      <c r="BU210" s="123" t="str">
        <f t="shared" si="412"/>
        <v/>
      </c>
      <c r="BV210" s="97" t="str">
        <f t="shared" ca="1" si="413"/>
        <v/>
      </c>
      <c r="BW210" s="98" t="str">
        <f>IF(BY210&lt;&gt;"",VLOOKUP($P210&amp;" | "&amp;BW$6,'Job Master'!$F$12:$J$102,5,0),"")</f>
        <v/>
      </c>
      <c r="BX210" s="19" t="str">
        <f>IF(BY210&lt;&gt;"",VLOOKUP($P210&amp;" | "&amp;BW$6,'Job Master'!$F$12:$J$102,3,0),"")</f>
        <v/>
      </c>
      <c r="BY210" s="19" t="str">
        <f>IFERROR(IF(AND(CF210&lt;&gt;"",VLOOKUP($P210&amp;" | "&amp;BW$6,'Job Master'!$F$12:$I$102,4,0)&lt;&gt;""),IF(WEEKDAY(CF210-VLOOKUP($P210&amp;" | "&amp;BW$6,'Job Master'!$F$12:$I$102,4,0))&lt;&gt;7,CF210-VLOOKUP($P210&amp;" | "&amp;BW$6,'Job Master'!$F$12:$I$102,4,0),CF210-VLOOKUP($P210&amp;" | "&amp;BW$6,'Job Master'!$F$12:$I$102,4,0)-1),""),"")</f>
        <v/>
      </c>
      <c r="BZ210" s="73"/>
      <c r="CA210" s="123" t="str">
        <f t="shared" si="414"/>
        <v/>
      </c>
      <c r="CB210" s="123" t="str">
        <f t="shared" si="415"/>
        <v/>
      </c>
      <c r="CC210" s="97" t="str">
        <f t="shared" ca="1" si="416"/>
        <v/>
      </c>
      <c r="CD210" s="98" t="str">
        <f>IF(CF210&lt;&gt;"",VLOOKUP($P210&amp;" | "&amp;CD$6,'Job Master'!$F$12:$J$102,5,0),"")</f>
        <v/>
      </c>
      <c r="CE210" s="19" t="str">
        <f>IF(CF210&lt;&gt;"",VLOOKUP($P210&amp;" | "&amp;CD$6,'Job Master'!$F$12:$J$102,3,0),"")</f>
        <v/>
      </c>
      <c r="CF210" s="19" t="str">
        <f>IFERROR(IF(AND(CM210&lt;&gt;"",VLOOKUP($P210&amp;" | "&amp;CD$6,'Job Master'!$F$12:$I$102,4,0)&lt;&gt;""),IF(WEEKDAY(CM210-VLOOKUP($P210&amp;" | "&amp;CD$6,'Job Master'!$F$12:$I$102,4,0))&lt;&gt;7,CM210-VLOOKUP($P210&amp;" | "&amp;CD$6,'Job Master'!$F$12:$I$102,4,0),CM210-VLOOKUP($P210&amp;" | "&amp;CD$6,'Job Master'!$F$12:$I$102,4,0)-1),""),"")</f>
        <v/>
      </c>
      <c r="CG210" s="73"/>
      <c r="CH210" s="123" t="str">
        <f t="shared" si="417"/>
        <v/>
      </c>
      <c r="CI210" s="123" t="str">
        <f t="shared" si="418"/>
        <v/>
      </c>
      <c r="CJ210" s="97" t="str">
        <f t="shared" ca="1" si="419"/>
        <v/>
      </c>
      <c r="CK210" s="98" t="str">
        <f>IF(CM210&lt;&gt;"",VLOOKUP($P210&amp;" | "&amp;CK$6,'Job Master'!$F$12:$J$102,5,0),"")</f>
        <v/>
      </c>
      <c r="CL210" s="19" t="str">
        <f>IF(CM210&lt;&gt;"",VLOOKUP($P210&amp;" | "&amp;CK$6,'Job Master'!$F$12:$J$102,3,0),"")</f>
        <v/>
      </c>
      <c r="CM210" s="19" t="str">
        <f>IFERROR(IF(AND(CT210&lt;&gt;"",VLOOKUP($P210&amp;" | "&amp;CK$6,'Job Master'!$F$12:$I$102,4,0)&lt;&gt;""),IF(WEEKDAY(CT210-VLOOKUP($P210&amp;" | "&amp;CK$6,'Job Master'!$F$12:$I$102,4,0))&lt;&gt;7,CT210-VLOOKUP($P210&amp;" | "&amp;CK$6,'Job Master'!$F$12:$I$102,4,0),CT210-VLOOKUP($P210&amp;" | "&amp;CK$6,'Job Master'!$F$12:$I$102,4,0)-1),""),"")</f>
        <v/>
      </c>
      <c r="CN210" s="73"/>
      <c r="CO210" s="123" t="str">
        <f t="shared" si="420"/>
        <v/>
      </c>
      <c r="CP210" s="123" t="str">
        <f t="shared" si="421"/>
        <v/>
      </c>
      <c r="CQ210" s="97" t="str">
        <f t="shared" ca="1" si="422"/>
        <v/>
      </c>
      <c r="CR210" s="98" t="str">
        <f>IF(CT210&lt;&gt;"",VLOOKUP($P210&amp;" | "&amp;CR$6,'Job Master'!$F$12:$J$102,5,0),"")</f>
        <v/>
      </c>
      <c r="CS210" s="19" t="str">
        <f>IF(CT210&lt;&gt;"",VLOOKUP($P210&amp;" | "&amp;CR$6,'Job Master'!$F$12:$J$102,3,0),"")</f>
        <v/>
      </c>
      <c r="CT210" s="19" t="str">
        <f>IFERROR(IF(AND(DA210&lt;&gt;"",VLOOKUP($P210&amp;" | "&amp;CR$6,'Job Master'!$F$12:$I$102,4,0)&lt;&gt;""),IF(WEEKDAY(DA210-VLOOKUP($P210&amp;" | "&amp;CR$6,'Job Master'!$F$12:$I$102,4,0))&lt;&gt;7,DA210-VLOOKUP($P210&amp;" | "&amp;CR$6,'Job Master'!$F$12:$I$102,4,0),DA210-VLOOKUP($P210&amp;" | "&amp;CR$6,'Job Master'!$F$12:$I$102,4,0)-1),""),"")</f>
        <v/>
      </c>
      <c r="CU210" s="73"/>
      <c r="CV210" s="123" t="str">
        <f t="shared" si="423"/>
        <v/>
      </c>
      <c r="CW210" s="123" t="str">
        <f t="shared" si="424"/>
        <v/>
      </c>
      <c r="CX210" s="97" t="str">
        <f t="shared" ca="1" si="425"/>
        <v/>
      </c>
      <c r="CY210" s="98" t="str">
        <f>IF(DA210&lt;&gt;"",VLOOKUP($P210&amp;" | "&amp;CY$6,'Job Master'!$F$12:$J$102,5,0),"")</f>
        <v/>
      </c>
      <c r="CZ210" s="19" t="str">
        <f>IF(DA210&lt;&gt;"",VLOOKUP($P210&amp;" | "&amp;CY$6,'Job Master'!$F$12:$J$102,3,0),"")</f>
        <v/>
      </c>
      <c r="DA210" s="19" t="str">
        <f>IFERROR(IF(AND(DH210&lt;&gt;"",VLOOKUP($P210&amp;" | "&amp;CY$6,'Job Master'!$F$12:$I$102,4,0)&lt;&gt;""),IF(WEEKDAY(DH210-VLOOKUP($P210&amp;" | "&amp;CY$6,'Job Master'!$F$12:$I$102,4,0))&lt;&gt;7,DH210-VLOOKUP($P210&amp;" | "&amp;CY$6,'Job Master'!$F$12:$I$102,4,0),DH210-VLOOKUP($P210&amp;" | "&amp;CY$6,'Job Master'!$F$12:$I$102,4,0)-1),""),"")</f>
        <v/>
      </c>
      <c r="DB210" s="73"/>
      <c r="DC210" s="123" t="str">
        <f t="shared" si="426"/>
        <v/>
      </c>
      <c r="DD210" s="123" t="str">
        <f t="shared" si="427"/>
        <v/>
      </c>
      <c r="DE210" s="97" t="str">
        <f t="shared" ca="1" si="428"/>
        <v/>
      </c>
      <c r="DF210" s="98" t="str">
        <f>IF(DH210&lt;&gt;"",VLOOKUP($P210&amp;" | "&amp;DF$6,'Job Master'!$F$12:$J$102,5,0),"")</f>
        <v/>
      </c>
      <c r="DG210" s="19" t="str">
        <f>IF(DH210&lt;&gt;"",VLOOKUP($P210&amp;" | "&amp;DF$6,'Job Master'!$F$12:$J$102,3,0),"")</f>
        <v/>
      </c>
      <c r="DH210" s="19" t="str">
        <f>IFERROR(IF(AND(DO210&lt;&gt;"",VLOOKUP($P210&amp;" | "&amp;DF$6,'Job Master'!$F$12:$I$102,4,0)&lt;&gt;""),IF(WEEKDAY(DO210-VLOOKUP($P210&amp;" | "&amp;DF$6,'Job Master'!$F$12:$I$102,4,0))&lt;&gt;7,DO210-VLOOKUP($P210&amp;" | "&amp;DF$6,'Job Master'!$F$12:$I$102,4,0),DO210-VLOOKUP($P210&amp;" | "&amp;DF$6,'Job Master'!$F$12:$I$102,4,0)-1),""),"")</f>
        <v/>
      </c>
      <c r="DI210" s="73"/>
      <c r="DJ210" s="123" t="str">
        <f t="shared" si="429"/>
        <v/>
      </c>
      <c r="DK210" s="123" t="str">
        <f t="shared" si="430"/>
        <v/>
      </c>
      <c r="DL210" s="97" t="str">
        <f t="shared" ca="1" si="431"/>
        <v/>
      </c>
      <c r="DM210" s="98" t="str">
        <f>IF(DO210&lt;&gt;"",VLOOKUP($P210&amp;" | "&amp;DM$6,'Job Master'!$F$12:$J$102,5,0),"")</f>
        <v/>
      </c>
      <c r="DN210" s="19" t="str">
        <f>IF(DO210&lt;&gt;"",VLOOKUP($P210&amp;" | "&amp;DM$6,'Job Master'!$F$12:$J$102,3,0),"")</f>
        <v/>
      </c>
      <c r="DO210" s="19" t="str">
        <f>IFERROR(IF(AND(DT210&lt;&gt;"",VLOOKUP($P210&amp;" | "&amp;DM$6,'Job Master'!$F$12:$I$102,4,0)&lt;&gt;""),IF(WEEKDAY(DT210-VLOOKUP($P210&amp;" | "&amp;DM$6,'Job Master'!$F$12:$I$102,4,0))&lt;&gt;7,DT210-VLOOKUP($P210&amp;" | "&amp;DM$6,'Job Master'!$F$12:$I$102,4,0),DT210-VLOOKUP($P210&amp;" | "&amp;DM$6,'Job Master'!$F$12:$I$102,4,0)-1),""),"")</f>
        <v/>
      </c>
      <c r="DP210" s="73"/>
      <c r="DQ210" s="123" t="str">
        <f t="shared" si="432"/>
        <v/>
      </c>
      <c r="DR210" s="123" t="str">
        <f t="shared" si="433"/>
        <v/>
      </c>
      <c r="DS210" s="97" t="str">
        <f t="shared" ca="1" si="434"/>
        <v/>
      </c>
      <c r="DT210" s="70" t="str">
        <f t="shared" si="435"/>
        <v/>
      </c>
      <c r="DU210" s="90"/>
      <c r="DV210" s="123" t="str">
        <f t="shared" si="436"/>
        <v/>
      </c>
      <c r="DW210" s="123" t="str">
        <f t="shared" si="437"/>
        <v/>
      </c>
      <c r="DX210" s="132" t="str">
        <f t="shared" ref="DX210" ca="1" si="454">IF(DT210&lt;&gt;"",IF(WEEKNUM(DT210)=WEEKNUM(TODAY()),"This Week",IF(WEEKNUM(DT210)=WEEKNUM(TODAY())+1,"Next Week",IF(WEEKNUM(DT210)=WEEKNUM(TODAY())-1,"Previous Week",""))),"")</f>
        <v/>
      </c>
      <c r="DY210" s="134" t="str">
        <f t="shared" si="439"/>
        <v/>
      </c>
      <c r="DZ210" s="95"/>
      <c r="EB210" s="8" t="str">
        <f t="shared" si="445"/>
        <v/>
      </c>
      <c r="EC210" s="8" t="str">
        <f>IF(O210&lt;&gt;"",VLOOKUP(O210,'Job Master'!$N$12:$O$18,2,0),"")</f>
        <v/>
      </c>
      <c r="ED210" s="8">
        <f t="shared" si="446"/>
        <v>19.5</v>
      </c>
      <c r="EE210" s="8">
        <f t="shared" si="447"/>
        <v>6</v>
      </c>
      <c r="EF210" s="8">
        <f t="shared" si="448"/>
        <v>-1180.5</v>
      </c>
      <c r="EG210" s="8" t="str">
        <f t="shared" si="449"/>
        <v/>
      </c>
      <c r="EH210" s="8" t="str">
        <f t="shared" si="450"/>
        <v/>
      </c>
    </row>
    <row r="211" spans="2:138" x14ac:dyDescent="0.3">
      <c r="B211" s="112"/>
      <c r="C211" s="27"/>
      <c r="D211" s="7" t="str">
        <f t="shared" si="387"/>
        <v/>
      </c>
      <c r="E211" s="25"/>
      <c r="F211" s="7" t="str">
        <f t="shared" si="387"/>
        <v/>
      </c>
      <c r="G211" s="25"/>
      <c r="H211" s="7" t="str">
        <f t="shared" si="387"/>
        <v/>
      </c>
      <c r="I211" s="25"/>
      <c r="J211" s="7" t="str">
        <f t="shared" si="387"/>
        <v/>
      </c>
      <c r="K211" s="25"/>
      <c r="L211" s="7" t="str">
        <f t="shared" si="388"/>
        <v/>
      </c>
      <c r="M211" s="25"/>
      <c r="N211" s="7" t="str">
        <f t="shared" si="389"/>
        <v/>
      </c>
      <c r="O211" s="81"/>
      <c r="P211" s="81" t="str">
        <f t="shared" si="390"/>
        <v/>
      </c>
      <c r="Q211" s="81"/>
      <c r="R211" s="7" t="str">
        <f t="shared" si="391"/>
        <v/>
      </c>
      <c r="S211" s="25"/>
      <c r="T211" s="7" t="str">
        <f t="shared" si="392"/>
        <v/>
      </c>
      <c r="U211" s="25"/>
      <c r="V211" s="7" t="str">
        <f t="shared" si="393"/>
        <v/>
      </c>
      <c r="W211" s="25"/>
      <c r="X211" s="7" t="str">
        <f t="shared" si="394"/>
        <v/>
      </c>
      <c r="Y211" s="18" t="str">
        <f t="shared" si="395"/>
        <v/>
      </c>
      <c r="Z211" s="7" t="str">
        <f t="shared" si="396"/>
        <v/>
      </c>
      <c r="AA211" s="18" t="str">
        <f t="shared" si="397"/>
        <v/>
      </c>
      <c r="AB211" s="19" t="str">
        <f t="shared" si="398"/>
        <v/>
      </c>
      <c r="AC211" s="26"/>
      <c r="AD211" s="26"/>
      <c r="AE211" s="25"/>
      <c r="AF211" s="26"/>
      <c r="AG211" s="25"/>
      <c r="AH211" s="25"/>
      <c r="AI211" s="18" t="str">
        <f t="shared" si="335"/>
        <v/>
      </c>
      <c r="AJ211" s="25"/>
      <c r="AK211" s="18" t="str">
        <f t="shared" si="336"/>
        <v/>
      </c>
      <c r="AL211" s="79"/>
      <c r="AM211" s="126" t="str">
        <f t="shared" si="337"/>
        <v/>
      </c>
      <c r="AN211" s="128" t="str">
        <f>IF(AP211&lt;&gt;"",VLOOKUP($P211&amp;" | "&amp;AN$6,'Job Master'!$F$12:$J$102,5,0),"")</f>
        <v/>
      </c>
      <c r="AO211" s="19" t="str">
        <f>IF(AP211&lt;&gt;"",VLOOKUP($P211&amp;" | "&amp;AN$6,'Job Master'!$F$12:$J$102,3,0),"")</f>
        <v/>
      </c>
      <c r="AP211" s="19" t="str">
        <f>IFERROR(IF(AND(AW211&lt;&gt;"",VLOOKUP($P211&amp;" | "&amp;AN$6,'Job Master'!$F$12:$I$102,4,0)&lt;&gt;""),IF(WEEKDAY(AW211-VLOOKUP($P211&amp;" | "&amp;AN$6,'Job Master'!$F$12:$I$102,4,0))&lt;&gt;7,AW211-VLOOKUP($P211&amp;" | "&amp;AN$6,'Job Master'!$F$12:$I$102,4,0),AW211-VLOOKUP($P211&amp;" | "&amp;AN$6,'Job Master'!$F$12:$I$102,4,0)-1),""),"")</f>
        <v/>
      </c>
      <c r="AQ211" s="73"/>
      <c r="AR211" s="123" t="str">
        <f t="shared" si="399"/>
        <v/>
      </c>
      <c r="AS211" s="123" t="str">
        <f t="shared" si="400"/>
        <v/>
      </c>
      <c r="AT211" s="97" t="str">
        <f t="shared" ca="1" si="401"/>
        <v/>
      </c>
      <c r="AU211" s="98" t="str">
        <f>IF(AW211&lt;&gt;"",VLOOKUP($P211&amp;" | "&amp;AU$6,'Job Master'!$F$12:$J$102,5,0),"")</f>
        <v/>
      </c>
      <c r="AV211" s="19" t="str">
        <f>IF(AW211&lt;&gt;"",VLOOKUP($P211&amp;" | "&amp;AU$6,'Job Master'!$F$12:$J$102,3,0),"")</f>
        <v/>
      </c>
      <c r="AW211" s="19" t="str">
        <f>IFERROR(IF(AND(BD211&lt;&gt;"",VLOOKUP($P211&amp;" | "&amp;AU$6,'Job Master'!$F$12:$I$102,4,0)&lt;&gt;""),IF(WEEKDAY(BD211-VLOOKUP($P211&amp;" | "&amp;AU$6,'Job Master'!$F$12:$I$102,4,0))&lt;&gt;7,BD211-VLOOKUP($P211&amp;" | "&amp;AU$6,'Job Master'!$F$12:$I$102,4,0),BD211-VLOOKUP($P211&amp;" | "&amp;AU$6,'Job Master'!$F$12:$I$102,4,0)-1),""),"")</f>
        <v/>
      </c>
      <c r="AX211" s="73"/>
      <c r="AY211" s="123" t="str">
        <f t="shared" si="402"/>
        <v/>
      </c>
      <c r="AZ211" s="123" t="str">
        <f t="shared" si="403"/>
        <v/>
      </c>
      <c r="BA211" s="97" t="str">
        <f t="shared" ca="1" si="404"/>
        <v/>
      </c>
      <c r="BB211" s="98" t="str">
        <f>IF(BD211&lt;&gt;"",VLOOKUP($P211&amp;" | "&amp;BB$6,'Job Master'!$F$12:$J$102,5,0),"")</f>
        <v/>
      </c>
      <c r="BC211" s="19" t="str">
        <f>IF(BD211&lt;&gt;"",VLOOKUP($P211&amp;" | "&amp;BB$6,'Job Master'!$F$12:$J$102,3,0),"")</f>
        <v/>
      </c>
      <c r="BD211" s="19" t="str">
        <f>IFERROR(IF(AND(BK211&lt;&gt;"",VLOOKUP($P211&amp;" | "&amp;BB$6,'Job Master'!$F$12:$I$102,4,0)&lt;&gt;""),IF(WEEKDAY(BK211-VLOOKUP($P211&amp;" | "&amp;BB$6,'Job Master'!$F$12:$I$102,4,0))&lt;&gt;7,BK211-VLOOKUP($P211&amp;" | "&amp;BB$6,'Job Master'!$F$12:$I$102,4,0),BK211-VLOOKUP($P211&amp;" | "&amp;BB$6,'Job Master'!$F$12:$I$102,4,0)-1),""),"")</f>
        <v/>
      </c>
      <c r="BE211" s="73"/>
      <c r="BF211" s="123" t="str">
        <f t="shared" si="405"/>
        <v/>
      </c>
      <c r="BG211" s="123" t="str">
        <f t="shared" si="406"/>
        <v/>
      </c>
      <c r="BH211" s="97" t="str">
        <f t="shared" ca="1" si="407"/>
        <v/>
      </c>
      <c r="BI211" s="98" t="str">
        <f>IF(BK211&lt;&gt;"",VLOOKUP($P211&amp;" | "&amp;BI$6,'Job Master'!$F$12:$J$102,5,0),"")</f>
        <v/>
      </c>
      <c r="BJ211" s="19" t="str">
        <f>IF(BK211&lt;&gt;"",VLOOKUP($P211&amp;" | "&amp;BI$6,'Job Master'!$F$12:$J$102,3,0),"")</f>
        <v/>
      </c>
      <c r="BK211" s="19" t="str">
        <f>IFERROR(IF(AND(BR211&lt;&gt;"",VLOOKUP($P211&amp;" | "&amp;BI$6,'Job Master'!$F$12:$I$102,4,0)&lt;&gt;""),IF(WEEKDAY(BR211-VLOOKUP($P211&amp;" | "&amp;BI$6,'Job Master'!$F$12:$I$102,4,0))&lt;&gt;7,BR211-VLOOKUP($P211&amp;" | "&amp;BI$6,'Job Master'!$F$12:$I$102,4,0),BR211-VLOOKUP($P211&amp;" | "&amp;BI$6,'Job Master'!$F$12:$I$102,4,0)-1),""),"")</f>
        <v/>
      </c>
      <c r="BL211" s="73"/>
      <c r="BM211" s="123" t="str">
        <f t="shared" si="408"/>
        <v/>
      </c>
      <c r="BN211" s="123" t="str">
        <f t="shared" si="409"/>
        <v/>
      </c>
      <c r="BO211" s="97" t="str">
        <f t="shared" ca="1" si="410"/>
        <v/>
      </c>
      <c r="BP211" s="98" t="str">
        <f>IF(BR211&lt;&gt;"",VLOOKUP($P211&amp;" | "&amp;BP$6,'Job Master'!$F$12:$J$102,5,0),"")</f>
        <v/>
      </c>
      <c r="BQ211" s="19" t="str">
        <f>IF(BR211&lt;&gt;"",VLOOKUP($P211&amp;" | "&amp;BP$6,'Job Master'!$F$12:$J$102,3,0),"")</f>
        <v/>
      </c>
      <c r="BR211" s="19" t="str">
        <f>IFERROR(IF(AND(BY211&lt;&gt;"",VLOOKUP($P211&amp;" | "&amp;BP$6,'Job Master'!$F$12:$I$102,4,0)&lt;&gt;""),IF(WEEKDAY(BY211-VLOOKUP($P211&amp;" | "&amp;BP$6,'Job Master'!$F$12:$I$102,4,0))&lt;&gt;7,BY211-VLOOKUP($P211&amp;" | "&amp;BP$6,'Job Master'!$F$12:$I$102,4,0),BY211-VLOOKUP($P211&amp;" | "&amp;BP$6,'Job Master'!$F$12:$I$102,4,0)-1),""),"")</f>
        <v/>
      </c>
      <c r="BS211" s="73"/>
      <c r="BT211" s="123" t="str">
        <f t="shared" si="411"/>
        <v/>
      </c>
      <c r="BU211" s="123" t="str">
        <f t="shared" si="412"/>
        <v/>
      </c>
      <c r="BV211" s="97" t="str">
        <f t="shared" ca="1" si="413"/>
        <v/>
      </c>
      <c r="BW211" s="98" t="str">
        <f>IF(BY211&lt;&gt;"",VLOOKUP($P211&amp;" | "&amp;BW$6,'Job Master'!$F$12:$J$102,5,0),"")</f>
        <v/>
      </c>
      <c r="BX211" s="19" t="str">
        <f>IF(BY211&lt;&gt;"",VLOOKUP($P211&amp;" | "&amp;BW$6,'Job Master'!$F$12:$J$102,3,0),"")</f>
        <v/>
      </c>
      <c r="BY211" s="19" t="str">
        <f>IFERROR(IF(AND(CF211&lt;&gt;"",VLOOKUP($P211&amp;" | "&amp;BW$6,'Job Master'!$F$12:$I$102,4,0)&lt;&gt;""),IF(WEEKDAY(CF211-VLOOKUP($P211&amp;" | "&amp;BW$6,'Job Master'!$F$12:$I$102,4,0))&lt;&gt;7,CF211-VLOOKUP($P211&amp;" | "&amp;BW$6,'Job Master'!$F$12:$I$102,4,0),CF211-VLOOKUP($P211&amp;" | "&amp;BW$6,'Job Master'!$F$12:$I$102,4,0)-1),""),"")</f>
        <v/>
      </c>
      <c r="BZ211" s="73"/>
      <c r="CA211" s="123" t="str">
        <f t="shared" si="414"/>
        <v/>
      </c>
      <c r="CB211" s="123" t="str">
        <f t="shared" si="415"/>
        <v/>
      </c>
      <c r="CC211" s="97" t="str">
        <f t="shared" ca="1" si="416"/>
        <v/>
      </c>
      <c r="CD211" s="98" t="str">
        <f>IF(CF211&lt;&gt;"",VLOOKUP($P211&amp;" | "&amp;CD$6,'Job Master'!$F$12:$J$102,5,0),"")</f>
        <v/>
      </c>
      <c r="CE211" s="19" t="str">
        <f>IF(CF211&lt;&gt;"",VLOOKUP($P211&amp;" | "&amp;CD$6,'Job Master'!$F$12:$J$102,3,0),"")</f>
        <v/>
      </c>
      <c r="CF211" s="19" t="str">
        <f>IFERROR(IF(AND(CM211&lt;&gt;"",VLOOKUP($P211&amp;" | "&amp;CD$6,'Job Master'!$F$12:$I$102,4,0)&lt;&gt;""),IF(WEEKDAY(CM211-VLOOKUP($P211&amp;" | "&amp;CD$6,'Job Master'!$F$12:$I$102,4,0))&lt;&gt;7,CM211-VLOOKUP($P211&amp;" | "&amp;CD$6,'Job Master'!$F$12:$I$102,4,0),CM211-VLOOKUP($P211&amp;" | "&amp;CD$6,'Job Master'!$F$12:$I$102,4,0)-1),""),"")</f>
        <v/>
      </c>
      <c r="CG211" s="73"/>
      <c r="CH211" s="123" t="str">
        <f t="shared" si="417"/>
        <v/>
      </c>
      <c r="CI211" s="123" t="str">
        <f t="shared" si="418"/>
        <v/>
      </c>
      <c r="CJ211" s="97" t="str">
        <f t="shared" ca="1" si="419"/>
        <v/>
      </c>
      <c r="CK211" s="98" t="str">
        <f>IF(CM211&lt;&gt;"",VLOOKUP($P211&amp;" | "&amp;CK$6,'Job Master'!$F$12:$J$102,5,0),"")</f>
        <v/>
      </c>
      <c r="CL211" s="19" t="str">
        <f>IF(CM211&lt;&gt;"",VLOOKUP($P211&amp;" | "&amp;CK$6,'Job Master'!$F$12:$J$102,3,0),"")</f>
        <v/>
      </c>
      <c r="CM211" s="19" t="str">
        <f>IFERROR(IF(AND(CT211&lt;&gt;"",VLOOKUP($P211&amp;" | "&amp;CK$6,'Job Master'!$F$12:$I$102,4,0)&lt;&gt;""),IF(WEEKDAY(CT211-VLOOKUP($P211&amp;" | "&amp;CK$6,'Job Master'!$F$12:$I$102,4,0))&lt;&gt;7,CT211-VLOOKUP($P211&amp;" | "&amp;CK$6,'Job Master'!$F$12:$I$102,4,0),CT211-VLOOKUP($P211&amp;" | "&amp;CK$6,'Job Master'!$F$12:$I$102,4,0)-1),""),"")</f>
        <v/>
      </c>
      <c r="CN211" s="73"/>
      <c r="CO211" s="123" t="str">
        <f t="shared" si="420"/>
        <v/>
      </c>
      <c r="CP211" s="123" t="str">
        <f t="shared" si="421"/>
        <v/>
      </c>
      <c r="CQ211" s="97" t="str">
        <f t="shared" ca="1" si="422"/>
        <v/>
      </c>
      <c r="CR211" s="98" t="str">
        <f>IF(CT211&lt;&gt;"",VLOOKUP($P211&amp;" | "&amp;CR$6,'Job Master'!$F$12:$J$102,5,0),"")</f>
        <v/>
      </c>
      <c r="CS211" s="19" t="str">
        <f>IF(CT211&lt;&gt;"",VLOOKUP($P211&amp;" | "&amp;CR$6,'Job Master'!$F$12:$J$102,3,0),"")</f>
        <v/>
      </c>
      <c r="CT211" s="19" t="str">
        <f>IFERROR(IF(AND(DA211&lt;&gt;"",VLOOKUP($P211&amp;" | "&amp;CR$6,'Job Master'!$F$12:$I$102,4,0)&lt;&gt;""),IF(WEEKDAY(DA211-VLOOKUP($P211&amp;" | "&amp;CR$6,'Job Master'!$F$12:$I$102,4,0))&lt;&gt;7,DA211-VLOOKUP($P211&amp;" | "&amp;CR$6,'Job Master'!$F$12:$I$102,4,0),DA211-VLOOKUP($P211&amp;" | "&amp;CR$6,'Job Master'!$F$12:$I$102,4,0)-1),""),"")</f>
        <v/>
      </c>
      <c r="CU211" s="73"/>
      <c r="CV211" s="123" t="str">
        <f t="shared" si="423"/>
        <v/>
      </c>
      <c r="CW211" s="123" t="str">
        <f t="shared" si="424"/>
        <v/>
      </c>
      <c r="CX211" s="97" t="str">
        <f t="shared" ca="1" si="425"/>
        <v/>
      </c>
      <c r="CY211" s="98" t="str">
        <f>IF(DA211&lt;&gt;"",VLOOKUP($P211&amp;" | "&amp;CY$6,'Job Master'!$F$12:$J$102,5,0),"")</f>
        <v/>
      </c>
      <c r="CZ211" s="19" t="str">
        <f>IF(DA211&lt;&gt;"",VLOOKUP($P211&amp;" | "&amp;CY$6,'Job Master'!$F$12:$J$102,3,0),"")</f>
        <v/>
      </c>
      <c r="DA211" s="19" t="str">
        <f>IFERROR(IF(AND(DH211&lt;&gt;"",VLOOKUP($P211&amp;" | "&amp;CY$6,'Job Master'!$F$12:$I$102,4,0)&lt;&gt;""),IF(WEEKDAY(DH211-VLOOKUP($P211&amp;" | "&amp;CY$6,'Job Master'!$F$12:$I$102,4,0))&lt;&gt;7,DH211-VLOOKUP($P211&amp;" | "&amp;CY$6,'Job Master'!$F$12:$I$102,4,0),DH211-VLOOKUP($P211&amp;" | "&amp;CY$6,'Job Master'!$F$12:$I$102,4,0)-1),""),"")</f>
        <v/>
      </c>
      <c r="DB211" s="73"/>
      <c r="DC211" s="123" t="str">
        <f t="shared" si="426"/>
        <v/>
      </c>
      <c r="DD211" s="123" t="str">
        <f t="shared" si="427"/>
        <v/>
      </c>
      <c r="DE211" s="97" t="str">
        <f t="shared" ca="1" si="428"/>
        <v/>
      </c>
      <c r="DF211" s="98" t="str">
        <f>IF(DH211&lt;&gt;"",VLOOKUP($P211&amp;" | "&amp;DF$6,'Job Master'!$F$12:$J$102,5,0),"")</f>
        <v/>
      </c>
      <c r="DG211" s="19" t="str">
        <f>IF(DH211&lt;&gt;"",VLOOKUP($P211&amp;" | "&amp;DF$6,'Job Master'!$F$12:$J$102,3,0),"")</f>
        <v/>
      </c>
      <c r="DH211" s="19" t="str">
        <f>IFERROR(IF(AND(DO211&lt;&gt;"",VLOOKUP($P211&amp;" | "&amp;DF$6,'Job Master'!$F$12:$I$102,4,0)&lt;&gt;""),IF(WEEKDAY(DO211-VLOOKUP($P211&amp;" | "&amp;DF$6,'Job Master'!$F$12:$I$102,4,0))&lt;&gt;7,DO211-VLOOKUP($P211&amp;" | "&amp;DF$6,'Job Master'!$F$12:$I$102,4,0),DO211-VLOOKUP($P211&amp;" | "&amp;DF$6,'Job Master'!$F$12:$I$102,4,0)-1),""),"")</f>
        <v/>
      </c>
      <c r="DI211" s="73"/>
      <c r="DJ211" s="123" t="str">
        <f t="shared" si="429"/>
        <v/>
      </c>
      <c r="DK211" s="123" t="str">
        <f t="shared" si="430"/>
        <v/>
      </c>
      <c r="DL211" s="97" t="str">
        <f t="shared" ca="1" si="431"/>
        <v/>
      </c>
      <c r="DM211" s="98" t="str">
        <f>IF(DO211&lt;&gt;"",VLOOKUP($P211&amp;" | "&amp;DM$6,'Job Master'!$F$12:$J$102,5,0),"")</f>
        <v/>
      </c>
      <c r="DN211" s="19" t="str">
        <f>IF(DO211&lt;&gt;"",VLOOKUP($P211&amp;" | "&amp;DM$6,'Job Master'!$F$12:$J$102,3,0),"")</f>
        <v/>
      </c>
      <c r="DO211" s="19" t="str">
        <f>IFERROR(IF(AND(DT211&lt;&gt;"",VLOOKUP($P211&amp;" | "&amp;DM$6,'Job Master'!$F$12:$I$102,4,0)&lt;&gt;""),IF(WEEKDAY(DT211-VLOOKUP($P211&amp;" | "&amp;DM$6,'Job Master'!$F$12:$I$102,4,0))&lt;&gt;7,DT211-VLOOKUP($P211&amp;" | "&amp;DM$6,'Job Master'!$F$12:$I$102,4,0),DT211-VLOOKUP($P211&amp;" | "&amp;DM$6,'Job Master'!$F$12:$I$102,4,0)-1),""),"")</f>
        <v/>
      </c>
      <c r="DP211" s="73"/>
      <c r="DQ211" s="123" t="str">
        <f t="shared" si="432"/>
        <v/>
      </c>
      <c r="DR211" s="123" t="str">
        <f t="shared" si="433"/>
        <v/>
      </c>
      <c r="DS211" s="97" t="str">
        <f t="shared" ca="1" si="434"/>
        <v/>
      </c>
      <c r="DT211" s="70" t="str">
        <f t="shared" si="435"/>
        <v/>
      </c>
      <c r="DU211" s="90"/>
      <c r="DV211" s="123" t="str">
        <f t="shared" si="436"/>
        <v/>
      </c>
      <c r="DW211" s="123" t="str">
        <f t="shared" si="437"/>
        <v/>
      </c>
      <c r="DX211" s="132" t="str">
        <f t="shared" ref="DX211" ca="1" si="455">IF(DT211&lt;&gt;"",IF(WEEKNUM(DT211)=WEEKNUM(TODAY()),"This Week",IF(WEEKNUM(DT211)=WEEKNUM(TODAY())+1,"Next Week",IF(WEEKNUM(DT211)=WEEKNUM(TODAY())-1,"Previous Week",""))),"")</f>
        <v/>
      </c>
      <c r="DY211" s="134" t="str">
        <f t="shared" si="439"/>
        <v/>
      </c>
      <c r="DZ211" s="95"/>
      <c r="EB211" s="8" t="str">
        <f t="shared" si="445"/>
        <v/>
      </c>
      <c r="EC211" s="8" t="str">
        <f>IF(O211&lt;&gt;"",VLOOKUP(O211,'Job Master'!$N$12:$O$18,2,0),"")</f>
        <v/>
      </c>
      <c r="ED211" s="8">
        <f t="shared" si="446"/>
        <v>19.5</v>
      </c>
      <c r="EE211" s="8">
        <f t="shared" si="447"/>
        <v>6</v>
      </c>
      <c r="EF211" s="8">
        <f t="shared" si="448"/>
        <v>-1186.5</v>
      </c>
      <c r="EG211" s="8" t="str">
        <f t="shared" si="449"/>
        <v/>
      </c>
      <c r="EH211" s="8" t="str">
        <f t="shared" si="450"/>
        <v/>
      </c>
    </row>
    <row r="212" spans="2:138" x14ac:dyDescent="0.3">
      <c r="B212" s="112"/>
      <c r="C212" s="27"/>
      <c r="D212" s="7" t="str">
        <f t="shared" si="387"/>
        <v/>
      </c>
      <c r="E212" s="25"/>
      <c r="F212" s="7" t="str">
        <f t="shared" si="387"/>
        <v/>
      </c>
      <c r="G212" s="25"/>
      <c r="H212" s="7" t="str">
        <f t="shared" si="387"/>
        <v/>
      </c>
      <c r="I212" s="25"/>
      <c r="J212" s="7" t="str">
        <f t="shared" si="387"/>
        <v/>
      </c>
      <c r="K212" s="25"/>
      <c r="L212" s="7" t="str">
        <f t="shared" si="388"/>
        <v/>
      </c>
      <c r="M212" s="25"/>
      <c r="N212" s="7" t="str">
        <f t="shared" si="389"/>
        <v/>
      </c>
      <c r="O212" s="81"/>
      <c r="P212" s="81" t="str">
        <f t="shared" si="390"/>
        <v/>
      </c>
      <c r="Q212" s="81"/>
      <c r="R212" s="7" t="str">
        <f t="shared" si="391"/>
        <v/>
      </c>
      <c r="S212" s="25"/>
      <c r="T212" s="7" t="str">
        <f t="shared" si="392"/>
        <v/>
      </c>
      <c r="U212" s="25"/>
      <c r="V212" s="7" t="str">
        <f t="shared" si="393"/>
        <v/>
      </c>
      <c r="W212" s="25"/>
      <c r="X212" s="7" t="str">
        <f t="shared" si="394"/>
        <v/>
      </c>
      <c r="Y212" s="18" t="str">
        <f t="shared" si="395"/>
        <v/>
      </c>
      <c r="Z212" s="7" t="str">
        <f t="shared" si="396"/>
        <v/>
      </c>
      <c r="AA212" s="18" t="str">
        <f t="shared" si="397"/>
        <v/>
      </c>
      <c r="AB212" s="19" t="str">
        <f t="shared" si="398"/>
        <v/>
      </c>
      <c r="AC212" s="26"/>
      <c r="AD212" s="26"/>
      <c r="AE212" s="25"/>
      <c r="AF212" s="26"/>
      <c r="AG212" s="25"/>
      <c r="AH212" s="25"/>
      <c r="AI212" s="18" t="str">
        <f t="shared" si="335"/>
        <v/>
      </c>
      <c r="AJ212" s="25"/>
      <c r="AK212" s="18" t="str">
        <f t="shared" si="336"/>
        <v/>
      </c>
      <c r="AL212" s="79"/>
      <c r="AM212" s="126" t="str">
        <f t="shared" si="337"/>
        <v/>
      </c>
      <c r="AN212" s="128" t="str">
        <f>IF(AP212&lt;&gt;"",VLOOKUP($P212&amp;" | "&amp;AN$6,'Job Master'!$F$12:$J$102,5,0),"")</f>
        <v/>
      </c>
      <c r="AO212" s="19" t="str">
        <f>IF(AP212&lt;&gt;"",VLOOKUP($P212&amp;" | "&amp;AN$6,'Job Master'!$F$12:$J$102,3,0),"")</f>
        <v/>
      </c>
      <c r="AP212" s="19" t="str">
        <f>IFERROR(IF(AND(AW212&lt;&gt;"",VLOOKUP($P212&amp;" | "&amp;AN$6,'Job Master'!$F$12:$I$102,4,0)&lt;&gt;""),IF(WEEKDAY(AW212-VLOOKUP($P212&amp;" | "&amp;AN$6,'Job Master'!$F$12:$I$102,4,0))&lt;&gt;7,AW212-VLOOKUP($P212&amp;" | "&amp;AN$6,'Job Master'!$F$12:$I$102,4,0),AW212-VLOOKUP($P212&amp;" | "&amp;AN$6,'Job Master'!$F$12:$I$102,4,0)-1),""),"")</f>
        <v/>
      </c>
      <c r="AQ212" s="73"/>
      <c r="AR212" s="123" t="str">
        <f t="shared" si="399"/>
        <v/>
      </c>
      <c r="AS212" s="123" t="str">
        <f t="shared" si="400"/>
        <v/>
      </c>
      <c r="AT212" s="97" t="str">
        <f t="shared" ca="1" si="401"/>
        <v/>
      </c>
      <c r="AU212" s="98" t="str">
        <f>IF(AW212&lt;&gt;"",VLOOKUP($P212&amp;" | "&amp;AU$6,'Job Master'!$F$12:$J$102,5,0),"")</f>
        <v/>
      </c>
      <c r="AV212" s="19" t="str">
        <f>IF(AW212&lt;&gt;"",VLOOKUP($P212&amp;" | "&amp;AU$6,'Job Master'!$F$12:$J$102,3,0),"")</f>
        <v/>
      </c>
      <c r="AW212" s="19" t="str">
        <f>IFERROR(IF(AND(BD212&lt;&gt;"",VLOOKUP($P212&amp;" | "&amp;AU$6,'Job Master'!$F$12:$I$102,4,0)&lt;&gt;""),IF(WEEKDAY(BD212-VLOOKUP($P212&amp;" | "&amp;AU$6,'Job Master'!$F$12:$I$102,4,0))&lt;&gt;7,BD212-VLOOKUP($P212&amp;" | "&amp;AU$6,'Job Master'!$F$12:$I$102,4,0),BD212-VLOOKUP($P212&amp;" | "&amp;AU$6,'Job Master'!$F$12:$I$102,4,0)-1),""),"")</f>
        <v/>
      </c>
      <c r="AX212" s="73"/>
      <c r="AY212" s="123" t="str">
        <f t="shared" si="402"/>
        <v/>
      </c>
      <c r="AZ212" s="123" t="str">
        <f t="shared" si="403"/>
        <v/>
      </c>
      <c r="BA212" s="97" t="str">
        <f t="shared" ca="1" si="404"/>
        <v/>
      </c>
      <c r="BB212" s="98" t="str">
        <f>IF(BD212&lt;&gt;"",VLOOKUP($P212&amp;" | "&amp;BB$6,'Job Master'!$F$12:$J$102,5,0),"")</f>
        <v/>
      </c>
      <c r="BC212" s="19" t="str">
        <f>IF(BD212&lt;&gt;"",VLOOKUP($P212&amp;" | "&amp;BB$6,'Job Master'!$F$12:$J$102,3,0),"")</f>
        <v/>
      </c>
      <c r="BD212" s="19" t="str">
        <f>IFERROR(IF(AND(BK212&lt;&gt;"",VLOOKUP($P212&amp;" | "&amp;BB$6,'Job Master'!$F$12:$I$102,4,0)&lt;&gt;""),IF(WEEKDAY(BK212-VLOOKUP($P212&amp;" | "&amp;BB$6,'Job Master'!$F$12:$I$102,4,0))&lt;&gt;7,BK212-VLOOKUP($P212&amp;" | "&amp;BB$6,'Job Master'!$F$12:$I$102,4,0),BK212-VLOOKUP($P212&amp;" | "&amp;BB$6,'Job Master'!$F$12:$I$102,4,0)-1),""),"")</f>
        <v/>
      </c>
      <c r="BE212" s="73"/>
      <c r="BF212" s="123" t="str">
        <f t="shared" si="405"/>
        <v/>
      </c>
      <c r="BG212" s="123" t="str">
        <f t="shared" si="406"/>
        <v/>
      </c>
      <c r="BH212" s="97" t="str">
        <f t="shared" ca="1" si="407"/>
        <v/>
      </c>
      <c r="BI212" s="98" t="str">
        <f>IF(BK212&lt;&gt;"",VLOOKUP($P212&amp;" | "&amp;BI$6,'Job Master'!$F$12:$J$102,5,0),"")</f>
        <v/>
      </c>
      <c r="BJ212" s="19" t="str">
        <f>IF(BK212&lt;&gt;"",VLOOKUP($P212&amp;" | "&amp;BI$6,'Job Master'!$F$12:$J$102,3,0),"")</f>
        <v/>
      </c>
      <c r="BK212" s="19" t="str">
        <f>IFERROR(IF(AND(BR212&lt;&gt;"",VLOOKUP($P212&amp;" | "&amp;BI$6,'Job Master'!$F$12:$I$102,4,0)&lt;&gt;""),IF(WEEKDAY(BR212-VLOOKUP($P212&amp;" | "&amp;BI$6,'Job Master'!$F$12:$I$102,4,0))&lt;&gt;7,BR212-VLOOKUP($P212&amp;" | "&amp;BI$6,'Job Master'!$F$12:$I$102,4,0),BR212-VLOOKUP($P212&amp;" | "&amp;BI$6,'Job Master'!$F$12:$I$102,4,0)-1),""),"")</f>
        <v/>
      </c>
      <c r="BL212" s="73"/>
      <c r="BM212" s="123" t="str">
        <f t="shared" si="408"/>
        <v/>
      </c>
      <c r="BN212" s="123" t="str">
        <f t="shared" si="409"/>
        <v/>
      </c>
      <c r="BO212" s="97" t="str">
        <f t="shared" ca="1" si="410"/>
        <v/>
      </c>
      <c r="BP212" s="98" t="str">
        <f>IF(BR212&lt;&gt;"",VLOOKUP($P212&amp;" | "&amp;BP$6,'Job Master'!$F$12:$J$102,5,0),"")</f>
        <v/>
      </c>
      <c r="BQ212" s="19" t="str">
        <f>IF(BR212&lt;&gt;"",VLOOKUP($P212&amp;" | "&amp;BP$6,'Job Master'!$F$12:$J$102,3,0),"")</f>
        <v/>
      </c>
      <c r="BR212" s="19" t="str">
        <f>IFERROR(IF(AND(BY212&lt;&gt;"",VLOOKUP($P212&amp;" | "&amp;BP$6,'Job Master'!$F$12:$I$102,4,0)&lt;&gt;""),IF(WEEKDAY(BY212-VLOOKUP($P212&amp;" | "&amp;BP$6,'Job Master'!$F$12:$I$102,4,0))&lt;&gt;7,BY212-VLOOKUP($P212&amp;" | "&amp;BP$6,'Job Master'!$F$12:$I$102,4,0),BY212-VLOOKUP($P212&amp;" | "&amp;BP$6,'Job Master'!$F$12:$I$102,4,0)-1),""),"")</f>
        <v/>
      </c>
      <c r="BS212" s="73"/>
      <c r="BT212" s="123" t="str">
        <f t="shared" si="411"/>
        <v/>
      </c>
      <c r="BU212" s="123" t="str">
        <f t="shared" si="412"/>
        <v/>
      </c>
      <c r="BV212" s="97" t="str">
        <f t="shared" ca="1" si="413"/>
        <v/>
      </c>
      <c r="BW212" s="98" t="str">
        <f>IF(BY212&lt;&gt;"",VLOOKUP($P212&amp;" | "&amp;BW$6,'Job Master'!$F$12:$J$102,5,0),"")</f>
        <v/>
      </c>
      <c r="BX212" s="19" t="str">
        <f>IF(BY212&lt;&gt;"",VLOOKUP($P212&amp;" | "&amp;BW$6,'Job Master'!$F$12:$J$102,3,0),"")</f>
        <v/>
      </c>
      <c r="BY212" s="19" t="str">
        <f>IFERROR(IF(AND(CF212&lt;&gt;"",VLOOKUP($P212&amp;" | "&amp;BW$6,'Job Master'!$F$12:$I$102,4,0)&lt;&gt;""),IF(WEEKDAY(CF212-VLOOKUP($P212&amp;" | "&amp;BW$6,'Job Master'!$F$12:$I$102,4,0))&lt;&gt;7,CF212-VLOOKUP($P212&amp;" | "&amp;BW$6,'Job Master'!$F$12:$I$102,4,0),CF212-VLOOKUP($P212&amp;" | "&amp;BW$6,'Job Master'!$F$12:$I$102,4,0)-1),""),"")</f>
        <v/>
      </c>
      <c r="BZ212" s="73"/>
      <c r="CA212" s="123" t="str">
        <f t="shared" si="414"/>
        <v/>
      </c>
      <c r="CB212" s="123" t="str">
        <f t="shared" si="415"/>
        <v/>
      </c>
      <c r="CC212" s="97" t="str">
        <f t="shared" ca="1" si="416"/>
        <v/>
      </c>
      <c r="CD212" s="98" t="str">
        <f>IF(CF212&lt;&gt;"",VLOOKUP($P212&amp;" | "&amp;CD$6,'Job Master'!$F$12:$J$102,5,0),"")</f>
        <v/>
      </c>
      <c r="CE212" s="19" t="str">
        <f>IF(CF212&lt;&gt;"",VLOOKUP($P212&amp;" | "&amp;CD$6,'Job Master'!$F$12:$J$102,3,0),"")</f>
        <v/>
      </c>
      <c r="CF212" s="19" t="str">
        <f>IFERROR(IF(AND(CM212&lt;&gt;"",VLOOKUP($P212&amp;" | "&amp;CD$6,'Job Master'!$F$12:$I$102,4,0)&lt;&gt;""),IF(WEEKDAY(CM212-VLOOKUP($P212&amp;" | "&amp;CD$6,'Job Master'!$F$12:$I$102,4,0))&lt;&gt;7,CM212-VLOOKUP($P212&amp;" | "&amp;CD$6,'Job Master'!$F$12:$I$102,4,0),CM212-VLOOKUP($P212&amp;" | "&amp;CD$6,'Job Master'!$F$12:$I$102,4,0)-1),""),"")</f>
        <v/>
      </c>
      <c r="CG212" s="73"/>
      <c r="CH212" s="123" t="str">
        <f t="shared" si="417"/>
        <v/>
      </c>
      <c r="CI212" s="123" t="str">
        <f t="shared" si="418"/>
        <v/>
      </c>
      <c r="CJ212" s="97" t="str">
        <f t="shared" ca="1" si="419"/>
        <v/>
      </c>
      <c r="CK212" s="98" t="str">
        <f>IF(CM212&lt;&gt;"",VLOOKUP($P212&amp;" | "&amp;CK$6,'Job Master'!$F$12:$J$102,5,0),"")</f>
        <v/>
      </c>
      <c r="CL212" s="19" t="str">
        <f>IF(CM212&lt;&gt;"",VLOOKUP($P212&amp;" | "&amp;CK$6,'Job Master'!$F$12:$J$102,3,0),"")</f>
        <v/>
      </c>
      <c r="CM212" s="19" t="str">
        <f>IFERROR(IF(AND(CT212&lt;&gt;"",VLOOKUP($P212&amp;" | "&amp;CK$6,'Job Master'!$F$12:$I$102,4,0)&lt;&gt;""),IF(WEEKDAY(CT212-VLOOKUP($P212&amp;" | "&amp;CK$6,'Job Master'!$F$12:$I$102,4,0))&lt;&gt;7,CT212-VLOOKUP($P212&amp;" | "&amp;CK$6,'Job Master'!$F$12:$I$102,4,0),CT212-VLOOKUP($P212&amp;" | "&amp;CK$6,'Job Master'!$F$12:$I$102,4,0)-1),""),"")</f>
        <v/>
      </c>
      <c r="CN212" s="73"/>
      <c r="CO212" s="123" t="str">
        <f t="shared" si="420"/>
        <v/>
      </c>
      <c r="CP212" s="123" t="str">
        <f t="shared" si="421"/>
        <v/>
      </c>
      <c r="CQ212" s="97" t="str">
        <f t="shared" ca="1" si="422"/>
        <v/>
      </c>
      <c r="CR212" s="98" t="str">
        <f>IF(CT212&lt;&gt;"",VLOOKUP($P212&amp;" | "&amp;CR$6,'Job Master'!$F$12:$J$102,5,0),"")</f>
        <v/>
      </c>
      <c r="CS212" s="19" t="str">
        <f>IF(CT212&lt;&gt;"",VLOOKUP($P212&amp;" | "&amp;CR$6,'Job Master'!$F$12:$J$102,3,0),"")</f>
        <v/>
      </c>
      <c r="CT212" s="19" t="str">
        <f>IFERROR(IF(AND(DA212&lt;&gt;"",VLOOKUP($P212&amp;" | "&amp;CR$6,'Job Master'!$F$12:$I$102,4,0)&lt;&gt;""),IF(WEEKDAY(DA212-VLOOKUP($P212&amp;" | "&amp;CR$6,'Job Master'!$F$12:$I$102,4,0))&lt;&gt;7,DA212-VLOOKUP($P212&amp;" | "&amp;CR$6,'Job Master'!$F$12:$I$102,4,0),DA212-VLOOKUP($P212&amp;" | "&amp;CR$6,'Job Master'!$F$12:$I$102,4,0)-1),""),"")</f>
        <v/>
      </c>
      <c r="CU212" s="73"/>
      <c r="CV212" s="123" t="str">
        <f t="shared" si="423"/>
        <v/>
      </c>
      <c r="CW212" s="123" t="str">
        <f t="shared" si="424"/>
        <v/>
      </c>
      <c r="CX212" s="97" t="str">
        <f t="shared" ca="1" si="425"/>
        <v/>
      </c>
      <c r="CY212" s="98" t="str">
        <f>IF(DA212&lt;&gt;"",VLOOKUP($P212&amp;" | "&amp;CY$6,'Job Master'!$F$12:$J$102,5,0),"")</f>
        <v/>
      </c>
      <c r="CZ212" s="19" t="str">
        <f>IF(DA212&lt;&gt;"",VLOOKUP($P212&amp;" | "&amp;CY$6,'Job Master'!$F$12:$J$102,3,0),"")</f>
        <v/>
      </c>
      <c r="DA212" s="19" t="str">
        <f>IFERROR(IF(AND(DH212&lt;&gt;"",VLOOKUP($P212&amp;" | "&amp;CY$6,'Job Master'!$F$12:$I$102,4,0)&lt;&gt;""),IF(WEEKDAY(DH212-VLOOKUP($P212&amp;" | "&amp;CY$6,'Job Master'!$F$12:$I$102,4,0))&lt;&gt;7,DH212-VLOOKUP($P212&amp;" | "&amp;CY$6,'Job Master'!$F$12:$I$102,4,0),DH212-VLOOKUP($P212&amp;" | "&amp;CY$6,'Job Master'!$F$12:$I$102,4,0)-1),""),"")</f>
        <v/>
      </c>
      <c r="DB212" s="73"/>
      <c r="DC212" s="123" t="str">
        <f t="shared" si="426"/>
        <v/>
      </c>
      <c r="DD212" s="123" t="str">
        <f t="shared" si="427"/>
        <v/>
      </c>
      <c r="DE212" s="97" t="str">
        <f t="shared" ca="1" si="428"/>
        <v/>
      </c>
      <c r="DF212" s="98" t="str">
        <f>IF(DH212&lt;&gt;"",VLOOKUP($P212&amp;" | "&amp;DF$6,'Job Master'!$F$12:$J$102,5,0),"")</f>
        <v/>
      </c>
      <c r="DG212" s="19" t="str">
        <f>IF(DH212&lt;&gt;"",VLOOKUP($P212&amp;" | "&amp;DF$6,'Job Master'!$F$12:$J$102,3,0),"")</f>
        <v/>
      </c>
      <c r="DH212" s="19" t="str">
        <f>IFERROR(IF(AND(DO212&lt;&gt;"",VLOOKUP($P212&amp;" | "&amp;DF$6,'Job Master'!$F$12:$I$102,4,0)&lt;&gt;""),IF(WEEKDAY(DO212-VLOOKUP($P212&amp;" | "&amp;DF$6,'Job Master'!$F$12:$I$102,4,0))&lt;&gt;7,DO212-VLOOKUP($P212&amp;" | "&amp;DF$6,'Job Master'!$F$12:$I$102,4,0),DO212-VLOOKUP($P212&amp;" | "&amp;DF$6,'Job Master'!$F$12:$I$102,4,0)-1),""),"")</f>
        <v/>
      </c>
      <c r="DI212" s="73"/>
      <c r="DJ212" s="123" t="str">
        <f t="shared" si="429"/>
        <v/>
      </c>
      <c r="DK212" s="123" t="str">
        <f t="shared" si="430"/>
        <v/>
      </c>
      <c r="DL212" s="97" t="str">
        <f t="shared" ca="1" si="431"/>
        <v/>
      </c>
      <c r="DM212" s="98" t="str">
        <f>IF(DO212&lt;&gt;"",VLOOKUP($P212&amp;" | "&amp;DM$6,'Job Master'!$F$12:$J$102,5,0),"")</f>
        <v/>
      </c>
      <c r="DN212" s="19" t="str">
        <f>IF(DO212&lt;&gt;"",VLOOKUP($P212&amp;" | "&amp;DM$6,'Job Master'!$F$12:$J$102,3,0),"")</f>
        <v/>
      </c>
      <c r="DO212" s="19" t="str">
        <f>IFERROR(IF(AND(DT212&lt;&gt;"",VLOOKUP($P212&amp;" | "&amp;DM$6,'Job Master'!$F$12:$I$102,4,0)&lt;&gt;""),IF(WEEKDAY(DT212-VLOOKUP($P212&amp;" | "&amp;DM$6,'Job Master'!$F$12:$I$102,4,0))&lt;&gt;7,DT212-VLOOKUP($P212&amp;" | "&amp;DM$6,'Job Master'!$F$12:$I$102,4,0),DT212-VLOOKUP($P212&amp;" | "&amp;DM$6,'Job Master'!$F$12:$I$102,4,0)-1),""),"")</f>
        <v/>
      </c>
      <c r="DP212" s="73"/>
      <c r="DQ212" s="123" t="str">
        <f t="shared" si="432"/>
        <v/>
      </c>
      <c r="DR212" s="123" t="str">
        <f t="shared" si="433"/>
        <v/>
      </c>
      <c r="DS212" s="97" t="str">
        <f t="shared" ca="1" si="434"/>
        <v/>
      </c>
      <c r="DT212" s="70" t="str">
        <f t="shared" si="435"/>
        <v/>
      </c>
      <c r="DU212" s="90"/>
      <c r="DV212" s="123" t="str">
        <f t="shared" si="436"/>
        <v/>
      </c>
      <c r="DW212" s="123" t="str">
        <f t="shared" si="437"/>
        <v/>
      </c>
      <c r="DX212" s="132" t="str">
        <f t="shared" ref="DX212" ca="1" si="456">IF(DT212&lt;&gt;"",IF(WEEKNUM(DT212)=WEEKNUM(TODAY()),"This Week",IF(WEEKNUM(DT212)=WEEKNUM(TODAY())+1,"Next Week",IF(WEEKNUM(DT212)=WEEKNUM(TODAY())-1,"Previous Week",""))),"")</f>
        <v/>
      </c>
      <c r="DY212" s="134" t="str">
        <f t="shared" si="439"/>
        <v/>
      </c>
      <c r="DZ212" s="95"/>
      <c r="EB212" s="8" t="str">
        <f t="shared" si="445"/>
        <v/>
      </c>
      <c r="EC212" s="8" t="str">
        <f>IF(O212&lt;&gt;"",VLOOKUP(O212,'Job Master'!$N$12:$O$18,2,0),"")</f>
        <v/>
      </c>
      <c r="ED212" s="8">
        <f t="shared" si="446"/>
        <v>19.5</v>
      </c>
      <c r="EE212" s="8">
        <f t="shared" si="447"/>
        <v>6</v>
      </c>
      <c r="EF212" s="8">
        <f t="shared" si="448"/>
        <v>-1192.5</v>
      </c>
      <c r="EG212" s="8" t="str">
        <f t="shared" si="449"/>
        <v/>
      </c>
      <c r="EH212" s="8" t="str">
        <f t="shared" si="450"/>
        <v/>
      </c>
    </row>
    <row r="213" spans="2:138" x14ac:dyDescent="0.3">
      <c r="B213" s="112"/>
      <c r="C213" s="27"/>
      <c r="D213" s="7" t="str">
        <f t="shared" si="387"/>
        <v/>
      </c>
      <c r="E213" s="25"/>
      <c r="F213" s="7" t="str">
        <f t="shared" si="387"/>
        <v/>
      </c>
      <c r="G213" s="25"/>
      <c r="H213" s="7" t="str">
        <f t="shared" si="387"/>
        <v/>
      </c>
      <c r="I213" s="25"/>
      <c r="J213" s="7" t="str">
        <f t="shared" si="387"/>
        <v/>
      </c>
      <c r="K213" s="25"/>
      <c r="L213" s="7" t="str">
        <f t="shared" si="388"/>
        <v/>
      </c>
      <c r="M213" s="25"/>
      <c r="N213" s="7" t="str">
        <f t="shared" si="389"/>
        <v/>
      </c>
      <c r="O213" s="81"/>
      <c r="P213" s="81" t="str">
        <f t="shared" si="390"/>
        <v/>
      </c>
      <c r="Q213" s="81"/>
      <c r="R213" s="7" t="str">
        <f t="shared" si="391"/>
        <v/>
      </c>
      <c r="S213" s="25"/>
      <c r="T213" s="7" t="str">
        <f t="shared" si="392"/>
        <v/>
      </c>
      <c r="U213" s="25"/>
      <c r="V213" s="7" t="str">
        <f t="shared" si="393"/>
        <v/>
      </c>
      <c r="W213" s="25"/>
      <c r="X213" s="7" t="str">
        <f t="shared" si="394"/>
        <v/>
      </c>
      <c r="Y213" s="18" t="str">
        <f t="shared" si="395"/>
        <v/>
      </c>
      <c r="Z213" s="7" t="str">
        <f t="shared" si="396"/>
        <v/>
      </c>
      <c r="AA213" s="18" t="str">
        <f t="shared" si="397"/>
        <v/>
      </c>
      <c r="AB213" s="19" t="str">
        <f t="shared" si="398"/>
        <v/>
      </c>
      <c r="AC213" s="26"/>
      <c r="AD213" s="26"/>
      <c r="AE213" s="25"/>
      <c r="AF213" s="26"/>
      <c r="AG213" s="25"/>
      <c r="AH213" s="25"/>
      <c r="AI213" s="18" t="str">
        <f t="shared" si="335"/>
        <v/>
      </c>
      <c r="AJ213" s="25"/>
      <c r="AK213" s="18" t="str">
        <f t="shared" si="336"/>
        <v/>
      </c>
      <c r="AL213" s="79"/>
      <c r="AM213" s="126" t="str">
        <f t="shared" si="337"/>
        <v/>
      </c>
      <c r="AN213" s="128" t="str">
        <f>IF(AP213&lt;&gt;"",VLOOKUP($P213&amp;" | "&amp;AN$6,'Job Master'!$F$12:$J$102,5,0),"")</f>
        <v/>
      </c>
      <c r="AO213" s="19" t="str">
        <f>IF(AP213&lt;&gt;"",VLOOKUP($P213&amp;" | "&amp;AN$6,'Job Master'!$F$12:$J$102,3,0),"")</f>
        <v/>
      </c>
      <c r="AP213" s="19" t="str">
        <f>IFERROR(IF(AND(AW213&lt;&gt;"",VLOOKUP($P213&amp;" | "&amp;AN$6,'Job Master'!$F$12:$I$102,4,0)&lt;&gt;""),IF(WEEKDAY(AW213-VLOOKUP($P213&amp;" | "&amp;AN$6,'Job Master'!$F$12:$I$102,4,0))&lt;&gt;7,AW213-VLOOKUP($P213&amp;" | "&amp;AN$6,'Job Master'!$F$12:$I$102,4,0),AW213-VLOOKUP($P213&amp;" | "&amp;AN$6,'Job Master'!$F$12:$I$102,4,0)-1),""),"")</f>
        <v/>
      </c>
      <c r="AQ213" s="73"/>
      <c r="AR213" s="123" t="str">
        <f t="shared" si="399"/>
        <v/>
      </c>
      <c r="AS213" s="123" t="str">
        <f t="shared" si="400"/>
        <v/>
      </c>
      <c r="AT213" s="97" t="str">
        <f t="shared" ca="1" si="401"/>
        <v/>
      </c>
      <c r="AU213" s="98" t="str">
        <f>IF(AW213&lt;&gt;"",VLOOKUP($P213&amp;" | "&amp;AU$6,'Job Master'!$F$12:$J$102,5,0),"")</f>
        <v/>
      </c>
      <c r="AV213" s="19" t="str">
        <f>IF(AW213&lt;&gt;"",VLOOKUP($P213&amp;" | "&amp;AU$6,'Job Master'!$F$12:$J$102,3,0),"")</f>
        <v/>
      </c>
      <c r="AW213" s="19" t="str">
        <f>IFERROR(IF(AND(BD213&lt;&gt;"",VLOOKUP($P213&amp;" | "&amp;AU$6,'Job Master'!$F$12:$I$102,4,0)&lt;&gt;""),IF(WEEKDAY(BD213-VLOOKUP($P213&amp;" | "&amp;AU$6,'Job Master'!$F$12:$I$102,4,0))&lt;&gt;7,BD213-VLOOKUP($P213&amp;" | "&amp;AU$6,'Job Master'!$F$12:$I$102,4,0),BD213-VLOOKUP($P213&amp;" | "&amp;AU$6,'Job Master'!$F$12:$I$102,4,0)-1),""),"")</f>
        <v/>
      </c>
      <c r="AX213" s="73"/>
      <c r="AY213" s="123" t="str">
        <f t="shared" si="402"/>
        <v/>
      </c>
      <c r="AZ213" s="123" t="str">
        <f t="shared" si="403"/>
        <v/>
      </c>
      <c r="BA213" s="97" t="str">
        <f t="shared" ca="1" si="404"/>
        <v/>
      </c>
      <c r="BB213" s="98" t="str">
        <f>IF(BD213&lt;&gt;"",VLOOKUP($P213&amp;" | "&amp;BB$6,'Job Master'!$F$12:$J$102,5,0),"")</f>
        <v/>
      </c>
      <c r="BC213" s="19" t="str">
        <f>IF(BD213&lt;&gt;"",VLOOKUP($P213&amp;" | "&amp;BB$6,'Job Master'!$F$12:$J$102,3,0),"")</f>
        <v/>
      </c>
      <c r="BD213" s="19" t="str">
        <f>IFERROR(IF(AND(BK213&lt;&gt;"",VLOOKUP($P213&amp;" | "&amp;BB$6,'Job Master'!$F$12:$I$102,4,0)&lt;&gt;""),IF(WEEKDAY(BK213-VLOOKUP($P213&amp;" | "&amp;BB$6,'Job Master'!$F$12:$I$102,4,0))&lt;&gt;7,BK213-VLOOKUP($P213&amp;" | "&amp;BB$6,'Job Master'!$F$12:$I$102,4,0),BK213-VLOOKUP($P213&amp;" | "&amp;BB$6,'Job Master'!$F$12:$I$102,4,0)-1),""),"")</f>
        <v/>
      </c>
      <c r="BE213" s="73"/>
      <c r="BF213" s="123" t="str">
        <f t="shared" si="405"/>
        <v/>
      </c>
      <c r="BG213" s="123" t="str">
        <f t="shared" si="406"/>
        <v/>
      </c>
      <c r="BH213" s="97" t="str">
        <f t="shared" ca="1" si="407"/>
        <v/>
      </c>
      <c r="BI213" s="98" t="str">
        <f>IF(BK213&lt;&gt;"",VLOOKUP($P213&amp;" | "&amp;BI$6,'Job Master'!$F$12:$J$102,5,0),"")</f>
        <v/>
      </c>
      <c r="BJ213" s="19" t="str">
        <f>IF(BK213&lt;&gt;"",VLOOKUP($P213&amp;" | "&amp;BI$6,'Job Master'!$F$12:$J$102,3,0),"")</f>
        <v/>
      </c>
      <c r="BK213" s="19" t="str">
        <f>IFERROR(IF(AND(BR213&lt;&gt;"",VLOOKUP($P213&amp;" | "&amp;BI$6,'Job Master'!$F$12:$I$102,4,0)&lt;&gt;""),IF(WEEKDAY(BR213-VLOOKUP($P213&amp;" | "&amp;BI$6,'Job Master'!$F$12:$I$102,4,0))&lt;&gt;7,BR213-VLOOKUP($P213&amp;" | "&amp;BI$6,'Job Master'!$F$12:$I$102,4,0),BR213-VLOOKUP($P213&amp;" | "&amp;BI$6,'Job Master'!$F$12:$I$102,4,0)-1),""),"")</f>
        <v/>
      </c>
      <c r="BL213" s="73"/>
      <c r="BM213" s="123" t="str">
        <f t="shared" si="408"/>
        <v/>
      </c>
      <c r="BN213" s="123" t="str">
        <f t="shared" si="409"/>
        <v/>
      </c>
      <c r="BO213" s="97" t="str">
        <f t="shared" ca="1" si="410"/>
        <v/>
      </c>
      <c r="BP213" s="98" t="str">
        <f>IF(BR213&lt;&gt;"",VLOOKUP($P213&amp;" | "&amp;BP$6,'Job Master'!$F$12:$J$102,5,0),"")</f>
        <v/>
      </c>
      <c r="BQ213" s="19" t="str">
        <f>IF(BR213&lt;&gt;"",VLOOKUP($P213&amp;" | "&amp;BP$6,'Job Master'!$F$12:$J$102,3,0),"")</f>
        <v/>
      </c>
      <c r="BR213" s="19" t="str">
        <f>IFERROR(IF(AND(BY213&lt;&gt;"",VLOOKUP($P213&amp;" | "&amp;BP$6,'Job Master'!$F$12:$I$102,4,0)&lt;&gt;""),IF(WEEKDAY(BY213-VLOOKUP($P213&amp;" | "&amp;BP$6,'Job Master'!$F$12:$I$102,4,0))&lt;&gt;7,BY213-VLOOKUP($P213&amp;" | "&amp;BP$6,'Job Master'!$F$12:$I$102,4,0),BY213-VLOOKUP($P213&amp;" | "&amp;BP$6,'Job Master'!$F$12:$I$102,4,0)-1),""),"")</f>
        <v/>
      </c>
      <c r="BS213" s="73"/>
      <c r="BT213" s="123" t="str">
        <f t="shared" si="411"/>
        <v/>
      </c>
      <c r="BU213" s="123" t="str">
        <f t="shared" si="412"/>
        <v/>
      </c>
      <c r="BV213" s="97" t="str">
        <f t="shared" ca="1" si="413"/>
        <v/>
      </c>
      <c r="BW213" s="98" t="str">
        <f>IF(BY213&lt;&gt;"",VLOOKUP($P213&amp;" | "&amp;BW$6,'Job Master'!$F$12:$J$102,5,0),"")</f>
        <v/>
      </c>
      <c r="BX213" s="19" t="str">
        <f>IF(BY213&lt;&gt;"",VLOOKUP($P213&amp;" | "&amp;BW$6,'Job Master'!$F$12:$J$102,3,0),"")</f>
        <v/>
      </c>
      <c r="BY213" s="19" t="str">
        <f>IFERROR(IF(AND(CF213&lt;&gt;"",VLOOKUP($P213&amp;" | "&amp;BW$6,'Job Master'!$F$12:$I$102,4,0)&lt;&gt;""),IF(WEEKDAY(CF213-VLOOKUP($P213&amp;" | "&amp;BW$6,'Job Master'!$F$12:$I$102,4,0))&lt;&gt;7,CF213-VLOOKUP($P213&amp;" | "&amp;BW$6,'Job Master'!$F$12:$I$102,4,0),CF213-VLOOKUP($P213&amp;" | "&amp;BW$6,'Job Master'!$F$12:$I$102,4,0)-1),""),"")</f>
        <v/>
      </c>
      <c r="BZ213" s="73"/>
      <c r="CA213" s="123" t="str">
        <f t="shared" si="414"/>
        <v/>
      </c>
      <c r="CB213" s="123" t="str">
        <f t="shared" si="415"/>
        <v/>
      </c>
      <c r="CC213" s="97" t="str">
        <f t="shared" ca="1" si="416"/>
        <v/>
      </c>
      <c r="CD213" s="98" t="str">
        <f>IF(CF213&lt;&gt;"",VLOOKUP($P213&amp;" | "&amp;CD$6,'Job Master'!$F$12:$J$102,5,0),"")</f>
        <v/>
      </c>
      <c r="CE213" s="19" t="str">
        <f>IF(CF213&lt;&gt;"",VLOOKUP($P213&amp;" | "&amp;CD$6,'Job Master'!$F$12:$J$102,3,0),"")</f>
        <v/>
      </c>
      <c r="CF213" s="19" t="str">
        <f>IFERROR(IF(AND(CM213&lt;&gt;"",VLOOKUP($P213&amp;" | "&amp;CD$6,'Job Master'!$F$12:$I$102,4,0)&lt;&gt;""),IF(WEEKDAY(CM213-VLOOKUP($P213&amp;" | "&amp;CD$6,'Job Master'!$F$12:$I$102,4,0))&lt;&gt;7,CM213-VLOOKUP($P213&amp;" | "&amp;CD$6,'Job Master'!$F$12:$I$102,4,0),CM213-VLOOKUP($P213&amp;" | "&amp;CD$6,'Job Master'!$F$12:$I$102,4,0)-1),""),"")</f>
        <v/>
      </c>
      <c r="CG213" s="73"/>
      <c r="CH213" s="123" t="str">
        <f t="shared" si="417"/>
        <v/>
      </c>
      <c r="CI213" s="123" t="str">
        <f t="shared" si="418"/>
        <v/>
      </c>
      <c r="CJ213" s="97" t="str">
        <f t="shared" ca="1" si="419"/>
        <v/>
      </c>
      <c r="CK213" s="98" t="str">
        <f>IF(CM213&lt;&gt;"",VLOOKUP($P213&amp;" | "&amp;CK$6,'Job Master'!$F$12:$J$102,5,0),"")</f>
        <v/>
      </c>
      <c r="CL213" s="19" t="str">
        <f>IF(CM213&lt;&gt;"",VLOOKUP($P213&amp;" | "&amp;CK$6,'Job Master'!$F$12:$J$102,3,0),"")</f>
        <v/>
      </c>
      <c r="CM213" s="19" t="str">
        <f>IFERROR(IF(AND(CT213&lt;&gt;"",VLOOKUP($P213&amp;" | "&amp;CK$6,'Job Master'!$F$12:$I$102,4,0)&lt;&gt;""),IF(WEEKDAY(CT213-VLOOKUP($P213&amp;" | "&amp;CK$6,'Job Master'!$F$12:$I$102,4,0))&lt;&gt;7,CT213-VLOOKUP($P213&amp;" | "&amp;CK$6,'Job Master'!$F$12:$I$102,4,0),CT213-VLOOKUP($P213&amp;" | "&amp;CK$6,'Job Master'!$F$12:$I$102,4,0)-1),""),"")</f>
        <v/>
      </c>
      <c r="CN213" s="73"/>
      <c r="CO213" s="123" t="str">
        <f t="shared" si="420"/>
        <v/>
      </c>
      <c r="CP213" s="123" t="str">
        <f t="shared" si="421"/>
        <v/>
      </c>
      <c r="CQ213" s="97" t="str">
        <f t="shared" ca="1" si="422"/>
        <v/>
      </c>
      <c r="CR213" s="98" t="str">
        <f>IF(CT213&lt;&gt;"",VLOOKUP($P213&amp;" | "&amp;CR$6,'Job Master'!$F$12:$J$102,5,0),"")</f>
        <v/>
      </c>
      <c r="CS213" s="19" t="str">
        <f>IF(CT213&lt;&gt;"",VLOOKUP($P213&amp;" | "&amp;CR$6,'Job Master'!$F$12:$J$102,3,0),"")</f>
        <v/>
      </c>
      <c r="CT213" s="19" t="str">
        <f>IFERROR(IF(AND(DA213&lt;&gt;"",VLOOKUP($P213&amp;" | "&amp;CR$6,'Job Master'!$F$12:$I$102,4,0)&lt;&gt;""),IF(WEEKDAY(DA213-VLOOKUP($P213&amp;" | "&amp;CR$6,'Job Master'!$F$12:$I$102,4,0))&lt;&gt;7,DA213-VLOOKUP($P213&amp;" | "&amp;CR$6,'Job Master'!$F$12:$I$102,4,0),DA213-VLOOKUP($P213&amp;" | "&amp;CR$6,'Job Master'!$F$12:$I$102,4,0)-1),""),"")</f>
        <v/>
      </c>
      <c r="CU213" s="73"/>
      <c r="CV213" s="123" t="str">
        <f t="shared" si="423"/>
        <v/>
      </c>
      <c r="CW213" s="123" t="str">
        <f t="shared" si="424"/>
        <v/>
      </c>
      <c r="CX213" s="97" t="str">
        <f t="shared" ca="1" si="425"/>
        <v/>
      </c>
      <c r="CY213" s="98" t="str">
        <f>IF(DA213&lt;&gt;"",VLOOKUP($P213&amp;" | "&amp;CY$6,'Job Master'!$F$12:$J$102,5,0),"")</f>
        <v/>
      </c>
      <c r="CZ213" s="19" t="str">
        <f>IF(DA213&lt;&gt;"",VLOOKUP($P213&amp;" | "&amp;CY$6,'Job Master'!$F$12:$J$102,3,0),"")</f>
        <v/>
      </c>
      <c r="DA213" s="19" t="str">
        <f>IFERROR(IF(AND(DH213&lt;&gt;"",VLOOKUP($P213&amp;" | "&amp;CY$6,'Job Master'!$F$12:$I$102,4,0)&lt;&gt;""),IF(WEEKDAY(DH213-VLOOKUP($P213&amp;" | "&amp;CY$6,'Job Master'!$F$12:$I$102,4,0))&lt;&gt;7,DH213-VLOOKUP($P213&amp;" | "&amp;CY$6,'Job Master'!$F$12:$I$102,4,0),DH213-VLOOKUP($P213&amp;" | "&amp;CY$6,'Job Master'!$F$12:$I$102,4,0)-1),""),"")</f>
        <v/>
      </c>
      <c r="DB213" s="73"/>
      <c r="DC213" s="123" t="str">
        <f t="shared" si="426"/>
        <v/>
      </c>
      <c r="DD213" s="123" t="str">
        <f t="shared" si="427"/>
        <v/>
      </c>
      <c r="DE213" s="97" t="str">
        <f t="shared" ca="1" si="428"/>
        <v/>
      </c>
      <c r="DF213" s="98" t="str">
        <f>IF(DH213&lt;&gt;"",VLOOKUP($P213&amp;" | "&amp;DF$6,'Job Master'!$F$12:$J$102,5,0),"")</f>
        <v/>
      </c>
      <c r="DG213" s="19" t="str">
        <f>IF(DH213&lt;&gt;"",VLOOKUP($P213&amp;" | "&amp;DF$6,'Job Master'!$F$12:$J$102,3,0),"")</f>
        <v/>
      </c>
      <c r="DH213" s="19" t="str">
        <f>IFERROR(IF(AND(DO213&lt;&gt;"",VLOOKUP($P213&amp;" | "&amp;DF$6,'Job Master'!$F$12:$I$102,4,0)&lt;&gt;""),IF(WEEKDAY(DO213-VLOOKUP($P213&amp;" | "&amp;DF$6,'Job Master'!$F$12:$I$102,4,0))&lt;&gt;7,DO213-VLOOKUP($P213&amp;" | "&amp;DF$6,'Job Master'!$F$12:$I$102,4,0),DO213-VLOOKUP($P213&amp;" | "&amp;DF$6,'Job Master'!$F$12:$I$102,4,0)-1),""),"")</f>
        <v/>
      </c>
      <c r="DI213" s="73"/>
      <c r="DJ213" s="123" t="str">
        <f t="shared" si="429"/>
        <v/>
      </c>
      <c r="DK213" s="123" t="str">
        <f t="shared" si="430"/>
        <v/>
      </c>
      <c r="DL213" s="97" t="str">
        <f t="shared" ca="1" si="431"/>
        <v/>
      </c>
      <c r="DM213" s="98" t="str">
        <f>IF(DO213&lt;&gt;"",VLOOKUP($P213&amp;" | "&amp;DM$6,'Job Master'!$F$12:$J$102,5,0),"")</f>
        <v/>
      </c>
      <c r="DN213" s="19" t="str">
        <f>IF(DO213&lt;&gt;"",VLOOKUP($P213&amp;" | "&amp;DM$6,'Job Master'!$F$12:$J$102,3,0),"")</f>
        <v/>
      </c>
      <c r="DO213" s="19" t="str">
        <f>IFERROR(IF(AND(DT213&lt;&gt;"",VLOOKUP($P213&amp;" | "&amp;DM$6,'Job Master'!$F$12:$I$102,4,0)&lt;&gt;""),IF(WEEKDAY(DT213-VLOOKUP($P213&amp;" | "&amp;DM$6,'Job Master'!$F$12:$I$102,4,0))&lt;&gt;7,DT213-VLOOKUP($P213&amp;" | "&amp;DM$6,'Job Master'!$F$12:$I$102,4,0),DT213-VLOOKUP($P213&amp;" | "&amp;DM$6,'Job Master'!$F$12:$I$102,4,0)-1),""),"")</f>
        <v/>
      </c>
      <c r="DP213" s="73"/>
      <c r="DQ213" s="123" t="str">
        <f t="shared" si="432"/>
        <v/>
      </c>
      <c r="DR213" s="123" t="str">
        <f t="shared" si="433"/>
        <v/>
      </c>
      <c r="DS213" s="97" t="str">
        <f t="shared" ca="1" si="434"/>
        <v/>
      </c>
      <c r="DT213" s="70" t="str">
        <f t="shared" si="435"/>
        <v/>
      </c>
      <c r="DU213" s="90"/>
      <c r="DV213" s="123" t="str">
        <f t="shared" si="436"/>
        <v/>
      </c>
      <c r="DW213" s="123" t="str">
        <f t="shared" si="437"/>
        <v/>
      </c>
      <c r="DX213" s="132" t="str">
        <f t="shared" ref="DX213" ca="1" si="457">IF(DT213&lt;&gt;"",IF(WEEKNUM(DT213)=WEEKNUM(TODAY()),"This Week",IF(WEEKNUM(DT213)=WEEKNUM(TODAY())+1,"Next Week",IF(WEEKNUM(DT213)=WEEKNUM(TODAY())-1,"Previous Week",""))),"")</f>
        <v/>
      </c>
      <c r="DY213" s="134" t="str">
        <f t="shared" si="439"/>
        <v/>
      </c>
      <c r="DZ213" s="95"/>
      <c r="EB213" s="8" t="str">
        <f t="shared" si="445"/>
        <v/>
      </c>
      <c r="EC213" s="8" t="str">
        <f>IF(O213&lt;&gt;"",VLOOKUP(O213,'Job Master'!$N$12:$O$18,2,0),"")</f>
        <v/>
      </c>
      <c r="ED213" s="8">
        <f t="shared" si="446"/>
        <v>19.5</v>
      </c>
      <c r="EE213" s="8">
        <f t="shared" si="447"/>
        <v>6</v>
      </c>
      <c r="EF213" s="8">
        <f t="shared" si="448"/>
        <v>-1198.5</v>
      </c>
      <c r="EG213" s="8" t="str">
        <f t="shared" si="449"/>
        <v/>
      </c>
      <c r="EH213" s="8" t="str">
        <f t="shared" si="450"/>
        <v/>
      </c>
    </row>
    <row r="214" spans="2:138" x14ac:dyDescent="0.3">
      <c r="B214" s="112"/>
      <c r="C214" s="27"/>
      <c r="D214" s="7" t="str">
        <f t="shared" si="387"/>
        <v/>
      </c>
      <c r="E214" s="25"/>
      <c r="F214" s="7" t="str">
        <f t="shared" si="387"/>
        <v/>
      </c>
      <c r="G214" s="25"/>
      <c r="H214" s="7" t="str">
        <f t="shared" si="387"/>
        <v/>
      </c>
      <c r="I214" s="25"/>
      <c r="J214" s="7" t="str">
        <f t="shared" si="387"/>
        <v/>
      </c>
      <c r="K214" s="25"/>
      <c r="L214" s="7" t="str">
        <f t="shared" si="388"/>
        <v/>
      </c>
      <c r="M214" s="25"/>
      <c r="N214" s="7" t="str">
        <f t="shared" si="389"/>
        <v/>
      </c>
      <c r="O214" s="81"/>
      <c r="P214" s="81" t="str">
        <f t="shared" si="390"/>
        <v/>
      </c>
      <c r="Q214" s="81"/>
      <c r="R214" s="7" t="str">
        <f t="shared" si="391"/>
        <v/>
      </c>
      <c r="S214" s="25"/>
      <c r="T214" s="7" t="str">
        <f t="shared" si="392"/>
        <v/>
      </c>
      <c r="U214" s="25"/>
      <c r="V214" s="7" t="str">
        <f t="shared" si="393"/>
        <v/>
      </c>
      <c r="W214" s="25"/>
      <c r="X214" s="7" t="str">
        <f t="shared" si="394"/>
        <v/>
      </c>
      <c r="Y214" s="18" t="str">
        <f t="shared" si="395"/>
        <v/>
      </c>
      <c r="Z214" s="7" t="str">
        <f t="shared" si="396"/>
        <v/>
      </c>
      <c r="AA214" s="18" t="str">
        <f t="shared" si="397"/>
        <v/>
      </c>
      <c r="AB214" s="19" t="str">
        <f t="shared" si="398"/>
        <v/>
      </c>
      <c r="AC214" s="26"/>
      <c r="AD214" s="26"/>
      <c r="AE214" s="25"/>
      <c r="AF214" s="26"/>
      <c r="AG214" s="25"/>
      <c r="AH214" s="25"/>
      <c r="AI214" s="18" t="str">
        <f t="shared" si="335"/>
        <v/>
      </c>
      <c r="AJ214" s="25"/>
      <c r="AK214" s="18" t="str">
        <f t="shared" si="336"/>
        <v/>
      </c>
      <c r="AL214" s="79"/>
      <c r="AM214" s="126" t="str">
        <f t="shared" si="337"/>
        <v/>
      </c>
      <c r="AN214" s="128" t="str">
        <f>IF(AP214&lt;&gt;"",VLOOKUP($P214&amp;" | "&amp;AN$6,'Job Master'!$F$12:$J$102,5,0),"")</f>
        <v/>
      </c>
      <c r="AO214" s="19" t="str">
        <f>IF(AP214&lt;&gt;"",VLOOKUP($P214&amp;" | "&amp;AN$6,'Job Master'!$F$12:$J$102,3,0),"")</f>
        <v/>
      </c>
      <c r="AP214" s="19" t="str">
        <f>IFERROR(IF(AND(AW214&lt;&gt;"",VLOOKUP($P214&amp;" | "&amp;AN$6,'Job Master'!$F$12:$I$102,4,0)&lt;&gt;""),IF(WEEKDAY(AW214-VLOOKUP($P214&amp;" | "&amp;AN$6,'Job Master'!$F$12:$I$102,4,0))&lt;&gt;7,AW214-VLOOKUP($P214&amp;" | "&amp;AN$6,'Job Master'!$F$12:$I$102,4,0),AW214-VLOOKUP($P214&amp;" | "&amp;AN$6,'Job Master'!$F$12:$I$102,4,0)-1),""),"")</f>
        <v/>
      </c>
      <c r="AQ214" s="73"/>
      <c r="AR214" s="123" t="str">
        <f t="shared" si="399"/>
        <v/>
      </c>
      <c r="AS214" s="123" t="str">
        <f t="shared" si="400"/>
        <v/>
      </c>
      <c r="AT214" s="97" t="str">
        <f t="shared" ca="1" si="401"/>
        <v/>
      </c>
      <c r="AU214" s="98" t="str">
        <f>IF(AW214&lt;&gt;"",VLOOKUP($P214&amp;" | "&amp;AU$6,'Job Master'!$F$12:$J$102,5,0),"")</f>
        <v/>
      </c>
      <c r="AV214" s="19" t="str">
        <f>IF(AW214&lt;&gt;"",VLOOKUP($P214&amp;" | "&amp;AU$6,'Job Master'!$F$12:$J$102,3,0),"")</f>
        <v/>
      </c>
      <c r="AW214" s="19" t="str">
        <f>IFERROR(IF(AND(BD214&lt;&gt;"",VLOOKUP($P214&amp;" | "&amp;AU$6,'Job Master'!$F$12:$I$102,4,0)&lt;&gt;""),IF(WEEKDAY(BD214-VLOOKUP($P214&amp;" | "&amp;AU$6,'Job Master'!$F$12:$I$102,4,0))&lt;&gt;7,BD214-VLOOKUP($P214&amp;" | "&amp;AU$6,'Job Master'!$F$12:$I$102,4,0),BD214-VLOOKUP($P214&amp;" | "&amp;AU$6,'Job Master'!$F$12:$I$102,4,0)-1),""),"")</f>
        <v/>
      </c>
      <c r="AX214" s="73"/>
      <c r="AY214" s="123" t="str">
        <f t="shared" si="402"/>
        <v/>
      </c>
      <c r="AZ214" s="123" t="str">
        <f t="shared" si="403"/>
        <v/>
      </c>
      <c r="BA214" s="97" t="str">
        <f t="shared" ca="1" si="404"/>
        <v/>
      </c>
      <c r="BB214" s="98" t="str">
        <f>IF(BD214&lt;&gt;"",VLOOKUP($P214&amp;" | "&amp;BB$6,'Job Master'!$F$12:$J$102,5,0),"")</f>
        <v/>
      </c>
      <c r="BC214" s="19" t="str">
        <f>IF(BD214&lt;&gt;"",VLOOKUP($P214&amp;" | "&amp;BB$6,'Job Master'!$F$12:$J$102,3,0),"")</f>
        <v/>
      </c>
      <c r="BD214" s="19" t="str">
        <f>IFERROR(IF(AND(BK214&lt;&gt;"",VLOOKUP($P214&amp;" | "&amp;BB$6,'Job Master'!$F$12:$I$102,4,0)&lt;&gt;""),IF(WEEKDAY(BK214-VLOOKUP($P214&amp;" | "&amp;BB$6,'Job Master'!$F$12:$I$102,4,0))&lt;&gt;7,BK214-VLOOKUP($P214&amp;" | "&amp;BB$6,'Job Master'!$F$12:$I$102,4,0),BK214-VLOOKUP($P214&amp;" | "&amp;BB$6,'Job Master'!$F$12:$I$102,4,0)-1),""),"")</f>
        <v/>
      </c>
      <c r="BE214" s="73"/>
      <c r="BF214" s="123" t="str">
        <f t="shared" si="405"/>
        <v/>
      </c>
      <c r="BG214" s="123" t="str">
        <f t="shared" si="406"/>
        <v/>
      </c>
      <c r="BH214" s="97" t="str">
        <f t="shared" ca="1" si="407"/>
        <v/>
      </c>
      <c r="BI214" s="98" t="str">
        <f>IF(BK214&lt;&gt;"",VLOOKUP($P214&amp;" | "&amp;BI$6,'Job Master'!$F$12:$J$102,5,0),"")</f>
        <v/>
      </c>
      <c r="BJ214" s="19" t="str">
        <f>IF(BK214&lt;&gt;"",VLOOKUP($P214&amp;" | "&amp;BI$6,'Job Master'!$F$12:$J$102,3,0),"")</f>
        <v/>
      </c>
      <c r="BK214" s="19" t="str">
        <f>IFERROR(IF(AND(BR214&lt;&gt;"",VLOOKUP($P214&amp;" | "&amp;BI$6,'Job Master'!$F$12:$I$102,4,0)&lt;&gt;""),IF(WEEKDAY(BR214-VLOOKUP($P214&amp;" | "&amp;BI$6,'Job Master'!$F$12:$I$102,4,0))&lt;&gt;7,BR214-VLOOKUP($P214&amp;" | "&amp;BI$6,'Job Master'!$F$12:$I$102,4,0),BR214-VLOOKUP($P214&amp;" | "&amp;BI$6,'Job Master'!$F$12:$I$102,4,0)-1),""),"")</f>
        <v/>
      </c>
      <c r="BL214" s="73"/>
      <c r="BM214" s="123" t="str">
        <f t="shared" si="408"/>
        <v/>
      </c>
      <c r="BN214" s="123" t="str">
        <f t="shared" si="409"/>
        <v/>
      </c>
      <c r="BO214" s="97" t="str">
        <f t="shared" ca="1" si="410"/>
        <v/>
      </c>
      <c r="BP214" s="98" t="str">
        <f>IF(BR214&lt;&gt;"",VLOOKUP($P214&amp;" | "&amp;BP$6,'Job Master'!$F$12:$J$102,5,0),"")</f>
        <v/>
      </c>
      <c r="BQ214" s="19" t="str">
        <f>IF(BR214&lt;&gt;"",VLOOKUP($P214&amp;" | "&amp;BP$6,'Job Master'!$F$12:$J$102,3,0),"")</f>
        <v/>
      </c>
      <c r="BR214" s="19" t="str">
        <f>IFERROR(IF(AND(BY214&lt;&gt;"",VLOOKUP($P214&amp;" | "&amp;BP$6,'Job Master'!$F$12:$I$102,4,0)&lt;&gt;""),IF(WEEKDAY(BY214-VLOOKUP($P214&amp;" | "&amp;BP$6,'Job Master'!$F$12:$I$102,4,0))&lt;&gt;7,BY214-VLOOKUP($P214&amp;" | "&amp;BP$6,'Job Master'!$F$12:$I$102,4,0),BY214-VLOOKUP($P214&amp;" | "&amp;BP$6,'Job Master'!$F$12:$I$102,4,0)-1),""),"")</f>
        <v/>
      </c>
      <c r="BS214" s="73"/>
      <c r="BT214" s="123" t="str">
        <f t="shared" si="411"/>
        <v/>
      </c>
      <c r="BU214" s="123" t="str">
        <f t="shared" si="412"/>
        <v/>
      </c>
      <c r="BV214" s="97" t="str">
        <f t="shared" ca="1" si="413"/>
        <v/>
      </c>
      <c r="BW214" s="98" t="str">
        <f>IF(BY214&lt;&gt;"",VLOOKUP($P214&amp;" | "&amp;BW$6,'Job Master'!$F$12:$J$102,5,0),"")</f>
        <v/>
      </c>
      <c r="BX214" s="19" t="str">
        <f>IF(BY214&lt;&gt;"",VLOOKUP($P214&amp;" | "&amp;BW$6,'Job Master'!$F$12:$J$102,3,0),"")</f>
        <v/>
      </c>
      <c r="BY214" s="19" t="str">
        <f>IFERROR(IF(AND(CF214&lt;&gt;"",VLOOKUP($P214&amp;" | "&amp;BW$6,'Job Master'!$F$12:$I$102,4,0)&lt;&gt;""),IF(WEEKDAY(CF214-VLOOKUP($P214&amp;" | "&amp;BW$6,'Job Master'!$F$12:$I$102,4,0))&lt;&gt;7,CF214-VLOOKUP($P214&amp;" | "&amp;BW$6,'Job Master'!$F$12:$I$102,4,0),CF214-VLOOKUP($P214&amp;" | "&amp;BW$6,'Job Master'!$F$12:$I$102,4,0)-1),""),"")</f>
        <v/>
      </c>
      <c r="BZ214" s="73"/>
      <c r="CA214" s="123" t="str">
        <f t="shared" si="414"/>
        <v/>
      </c>
      <c r="CB214" s="123" t="str">
        <f t="shared" si="415"/>
        <v/>
      </c>
      <c r="CC214" s="97" t="str">
        <f t="shared" ca="1" si="416"/>
        <v/>
      </c>
      <c r="CD214" s="98" t="str">
        <f>IF(CF214&lt;&gt;"",VLOOKUP($P214&amp;" | "&amp;CD$6,'Job Master'!$F$12:$J$102,5,0),"")</f>
        <v/>
      </c>
      <c r="CE214" s="19" t="str">
        <f>IF(CF214&lt;&gt;"",VLOOKUP($P214&amp;" | "&amp;CD$6,'Job Master'!$F$12:$J$102,3,0),"")</f>
        <v/>
      </c>
      <c r="CF214" s="19" t="str">
        <f>IFERROR(IF(AND(CM214&lt;&gt;"",VLOOKUP($P214&amp;" | "&amp;CD$6,'Job Master'!$F$12:$I$102,4,0)&lt;&gt;""),IF(WEEKDAY(CM214-VLOOKUP($P214&amp;" | "&amp;CD$6,'Job Master'!$F$12:$I$102,4,0))&lt;&gt;7,CM214-VLOOKUP($P214&amp;" | "&amp;CD$6,'Job Master'!$F$12:$I$102,4,0),CM214-VLOOKUP($P214&amp;" | "&amp;CD$6,'Job Master'!$F$12:$I$102,4,0)-1),""),"")</f>
        <v/>
      </c>
      <c r="CG214" s="73"/>
      <c r="CH214" s="123" t="str">
        <f t="shared" si="417"/>
        <v/>
      </c>
      <c r="CI214" s="123" t="str">
        <f t="shared" si="418"/>
        <v/>
      </c>
      <c r="CJ214" s="97" t="str">
        <f t="shared" ca="1" si="419"/>
        <v/>
      </c>
      <c r="CK214" s="98" t="str">
        <f>IF(CM214&lt;&gt;"",VLOOKUP($P214&amp;" | "&amp;CK$6,'Job Master'!$F$12:$J$102,5,0),"")</f>
        <v/>
      </c>
      <c r="CL214" s="19" t="str">
        <f>IF(CM214&lt;&gt;"",VLOOKUP($P214&amp;" | "&amp;CK$6,'Job Master'!$F$12:$J$102,3,0),"")</f>
        <v/>
      </c>
      <c r="CM214" s="19" t="str">
        <f>IFERROR(IF(AND(CT214&lt;&gt;"",VLOOKUP($P214&amp;" | "&amp;CK$6,'Job Master'!$F$12:$I$102,4,0)&lt;&gt;""),IF(WEEKDAY(CT214-VLOOKUP($P214&amp;" | "&amp;CK$6,'Job Master'!$F$12:$I$102,4,0))&lt;&gt;7,CT214-VLOOKUP($P214&amp;" | "&amp;CK$6,'Job Master'!$F$12:$I$102,4,0),CT214-VLOOKUP($P214&amp;" | "&amp;CK$6,'Job Master'!$F$12:$I$102,4,0)-1),""),"")</f>
        <v/>
      </c>
      <c r="CN214" s="73"/>
      <c r="CO214" s="123" t="str">
        <f t="shared" si="420"/>
        <v/>
      </c>
      <c r="CP214" s="123" t="str">
        <f t="shared" si="421"/>
        <v/>
      </c>
      <c r="CQ214" s="97" t="str">
        <f t="shared" ca="1" si="422"/>
        <v/>
      </c>
      <c r="CR214" s="98" t="str">
        <f>IF(CT214&lt;&gt;"",VLOOKUP($P214&amp;" | "&amp;CR$6,'Job Master'!$F$12:$J$102,5,0),"")</f>
        <v/>
      </c>
      <c r="CS214" s="19" t="str">
        <f>IF(CT214&lt;&gt;"",VLOOKUP($P214&amp;" | "&amp;CR$6,'Job Master'!$F$12:$J$102,3,0),"")</f>
        <v/>
      </c>
      <c r="CT214" s="19" t="str">
        <f>IFERROR(IF(AND(DA214&lt;&gt;"",VLOOKUP($P214&amp;" | "&amp;CR$6,'Job Master'!$F$12:$I$102,4,0)&lt;&gt;""),IF(WEEKDAY(DA214-VLOOKUP($P214&amp;" | "&amp;CR$6,'Job Master'!$F$12:$I$102,4,0))&lt;&gt;7,DA214-VLOOKUP($P214&amp;" | "&amp;CR$6,'Job Master'!$F$12:$I$102,4,0),DA214-VLOOKUP($P214&amp;" | "&amp;CR$6,'Job Master'!$F$12:$I$102,4,0)-1),""),"")</f>
        <v/>
      </c>
      <c r="CU214" s="73"/>
      <c r="CV214" s="123" t="str">
        <f t="shared" si="423"/>
        <v/>
      </c>
      <c r="CW214" s="123" t="str">
        <f t="shared" si="424"/>
        <v/>
      </c>
      <c r="CX214" s="97" t="str">
        <f t="shared" ca="1" si="425"/>
        <v/>
      </c>
      <c r="CY214" s="98" t="str">
        <f>IF(DA214&lt;&gt;"",VLOOKUP($P214&amp;" | "&amp;CY$6,'Job Master'!$F$12:$J$102,5,0),"")</f>
        <v/>
      </c>
      <c r="CZ214" s="19" t="str">
        <f>IF(DA214&lt;&gt;"",VLOOKUP($P214&amp;" | "&amp;CY$6,'Job Master'!$F$12:$J$102,3,0),"")</f>
        <v/>
      </c>
      <c r="DA214" s="19" t="str">
        <f>IFERROR(IF(AND(DH214&lt;&gt;"",VLOOKUP($P214&amp;" | "&amp;CY$6,'Job Master'!$F$12:$I$102,4,0)&lt;&gt;""),IF(WEEKDAY(DH214-VLOOKUP($P214&amp;" | "&amp;CY$6,'Job Master'!$F$12:$I$102,4,0))&lt;&gt;7,DH214-VLOOKUP($P214&amp;" | "&amp;CY$6,'Job Master'!$F$12:$I$102,4,0),DH214-VLOOKUP($P214&amp;" | "&amp;CY$6,'Job Master'!$F$12:$I$102,4,0)-1),""),"")</f>
        <v/>
      </c>
      <c r="DB214" s="73"/>
      <c r="DC214" s="123" t="str">
        <f t="shared" si="426"/>
        <v/>
      </c>
      <c r="DD214" s="123" t="str">
        <f t="shared" si="427"/>
        <v/>
      </c>
      <c r="DE214" s="97" t="str">
        <f t="shared" ca="1" si="428"/>
        <v/>
      </c>
      <c r="DF214" s="98" t="str">
        <f>IF(DH214&lt;&gt;"",VLOOKUP($P214&amp;" | "&amp;DF$6,'Job Master'!$F$12:$J$102,5,0),"")</f>
        <v/>
      </c>
      <c r="DG214" s="19" t="str">
        <f>IF(DH214&lt;&gt;"",VLOOKUP($P214&amp;" | "&amp;DF$6,'Job Master'!$F$12:$J$102,3,0),"")</f>
        <v/>
      </c>
      <c r="DH214" s="19" t="str">
        <f>IFERROR(IF(AND(DO214&lt;&gt;"",VLOOKUP($P214&amp;" | "&amp;DF$6,'Job Master'!$F$12:$I$102,4,0)&lt;&gt;""),IF(WEEKDAY(DO214-VLOOKUP($P214&amp;" | "&amp;DF$6,'Job Master'!$F$12:$I$102,4,0))&lt;&gt;7,DO214-VLOOKUP($P214&amp;" | "&amp;DF$6,'Job Master'!$F$12:$I$102,4,0),DO214-VLOOKUP($P214&amp;" | "&amp;DF$6,'Job Master'!$F$12:$I$102,4,0)-1),""),"")</f>
        <v/>
      </c>
      <c r="DI214" s="73"/>
      <c r="DJ214" s="123" t="str">
        <f t="shared" si="429"/>
        <v/>
      </c>
      <c r="DK214" s="123" t="str">
        <f t="shared" si="430"/>
        <v/>
      </c>
      <c r="DL214" s="97" t="str">
        <f t="shared" ca="1" si="431"/>
        <v/>
      </c>
      <c r="DM214" s="98" t="str">
        <f>IF(DO214&lt;&gt;"",VLOOKUP($P214&amp;" | "&amp;DM$6,'Job Master'!$F$12:$J$102,5,0),"")</f>
        <v/>
      </c>
      <c r="DN214" s="19" t="str">
        <f>IF(DO214&lt;&gt;"",VLOOKUP($P214&amp;" | "&amp;DM$6,'Job Master'!$F$12:$J$102,3,0),"")</f>
        <v/>
      </c>
      <c r="DO214" s="19" t="str">
        <f>IFERROR(IF(AND(DT214&lt;&gt;"",VLOOKUP($P214&amp;" | "&amp;DM$6,'Job Master'!$F$12:$I$102,4,0)&lt;&gt;""),IF(WEEKDAY(DT214-VLOOKUP($P214&amp;" | "&amp;DM$6,'Job Master'!$F$12:$I$102,4,0))&lt;&gt;7,DT214-VLOOKUP($P214&amp;" | "&amp;DM$6,'Job Master'!$F$12:$I$102,4,0),DT214-VLOOKUP($P214&amp;" | "&amp;DM$6,'Job Master'!$F$12:$I$102,4,0)-1),""),"")</f>
        <v/>
      </c>
      <c r="DP214" s="73"/>
      <c r="DQ214" s="123" t="str">
        <f t="shared" si="432"/>
        <v/>
      </c>
      <c r="DR214" s="123" t="str">
        <f t="shared" si="433"/>
        <v/>
      </c>
      <c r="DS214" s="97" t="str">
        <f t="shared" ca="1" si="434"/>
        <v/>
      </c>
      <c r="DT214" s="70" t="str">
        <f t="shared" si="435"/>
        <v/>
      </c>
      <c r="DU214" s="90"/>
      <c r="DV214" s="123" t="str">
        <f t="shared" si="436"/>
        <v/>
      </c>
      <c r="DW214" s="123" t="str">
        <f t="shared" si="437"/>
        <v/>
      </c>
      <c r="DX214" s="132" t="str">
        <f t="shared" ref="DX214" ca="1" si="458">IF(DT214&lt;&gt;"",IF(WEEKNUM(DT214)=WEEKNUM(TODAY()),"This Week",IF(WEEKNUM(DT214)=WEEKNUM(TODAY())+1,"Next Week",IF(WEEKNUM(DT214)=WEEKNUM(TODAY())-1,"Previous Week",""))),"")</f>
        <v/>
      </c>
      <c r="DY214" s="134" t="str">
        <f t="shared" si="439"/>
        <v/>
      </c>
      <c r="DZ214" s="95"/>
      <c r="EB214" s="8" t="str">
        <f t="shared" si="445"/>
        <v/>
      </c>
      <c r="EC214" s="8" t="str">
        <f>IF(O214&lt;&gt;"",VLOOKUP(O214,'Job Master'!$N$12:$O$18,2,0),"")</f>
        <v/>
      </c>
      <c r="ED214" s="8">
        <f t="shared" si="446"/>
        <v>19.5</v>
      </c>
      <c r="EE214" s="8">
        <f t="shared" si="447"/>
        <v>6</v>
      </c>
      <c r="EF214" s="8">
        <f t="shared" si="448"/>
        <v>-1204.5</v>
      </c>
      <c r="EG214" s="8" t="str">
        <f t="shared" si="449"/>
        <v/>
      </c>
      <c r="EH214" s="8" t="str">
        <f t="shared" si="450"/>
        <v/>
      </c>
    </row>
    <row r="215" spans="2:138" x14ac:dyDescent="0.3">
      <c r="B215" s="112"/>
      <c r="C215" s="27"/>
      <c r="D215" s="7" t="str">
        <f t="shared" si="387"/>
        <v/>
      </c>
      <c r="E215" s="25"/>
      <c r="F215" s="7" t="str">
        <f t="shared" si="387"/>
        <v/>
      </c>
      <c r="G215" s="25"/>
      <c r="H215" s="7" t="str">
        <f t="shared" si="387"/>
        <v/>
      </c>
      <c r="I215" s="25"/>
      <c r="J215" s="7" t="str">
        <f t="shared" si="387"/>
        <v/>
      </c>
      <c r="K215" s="25"/>
      <c r="L215" s="7" t="str">
        <f t="shared" si="388"/>
        <v/>
      </c>
      <c r="M215" s="25"/>
      <c r="N215" s="7" t="str">
        <f t="shared" si="389"/>
        <v/>
      </c>
      <c r="O215" s="81"/>
      <c r="P215" s="81" t="str">
        <f t="shared" si="390"/>
        <v/>
      </c>
      <c r="Q215" s="81"/>
      <c r="R215" s="7" t="str">
        <f t="shared" si="391"/>
        <v/>
      </c>
      <c r="S215" s="25"/>
      <c r="T215" s="7" t="str">
        <f t="shared" si="392"/>
        <v/>
      </c>
      <c r="U215" s="25"/>
      <c r="V215" s="7" t="str">
        <f t="shared" si="393"/>
        <v/>
      </c>
      <c r="W215" s="25"/>
      <c r="X215" s="7" t="str">
        <f t="shared" si="394"/>
        <v/>
      </c>
      <c r="Y215" s="18" t="str">
        <f t="shared" si="395"/>
        <v/>
      </c>
      <c r="Z215" s="7" t="str">
        <f t="shared" si="396"/>
        <v/>
      </c>
      <c r="AA215" s="18" t="str">
        <f t="shared" si="397"/>
        <v/>
      </c>
      <c r="AB215" s="19" t="str">
        <f t="shared" si="398"/>
        <v/>
      </c>
      <c r="AC215" s="26"/>
      <c r="AD215" s="26"/>
      <c r="AE215" s="25"/>
      <c r="AF215" s="26"/>
      <c r="AG215" s="25"/>
      <c r="AH215" s="25"/>
      <c r="AI215" s="18" t="str">
        <f t="shared" si="335"/>
        <v/>
      </c>
      <c r="AJ215" s="25"/>
      <c r="AK215" s="18" t="str">
        <f t="shared" si="336"/>
        <v/>
      </c>
      <c r="AL215" s="79"/>
      <c r="AM215" s="126" t="str">
        <f t="shared" si="337"/>
        <v/>
      </c>
      <c r="AN215" s="128" t="str">
        <f>IF(AP215&lt;&gt;"",VLOOKUP($P215&amp;" | "&amp;AN$6,'Job Master'!$F$12:$J$102,5,0),"")</f>
        <v/>
      </c>
      <c r="AO215" s="19" t="str">
        <f>IF(AP215&lt;&gt;"",VLOOKUP($P215&amp;" | "&amp;AN$6,'Job Master'!$F$12:$J$102,3,0),"")</f>
        <v/>
      </c>
      <c r="AP215" s="19" t="str">
        <f>IFERROR(IF(AND(AW215&lt;&gt;"",VLOOKUP($P215&amp;" | "&amp;AN$6,'Job Master'!$F$12:$I$102,4,0)&lt;&gt;""),IF(WEEKDAY(AW215-VLOOKUP($P215&amp;" | "&amp;AN$6,'Job Master'!$F$12:$I$102,4,0))&lt;&gt;7,AW215-VLOOKUP($P215&amp;" | "&amp;AN$6,'Job Master'!$F$12:$I$102,4,0),AW215-VLOOKUP($P215&amp;" | "&amp;AN$6,'Job Master'!$F$12:$I$102,4,0)-1),""),"")</f>
        <v/>
      </c>
      <c r="AQ215" s="73"/>
      <c r="AR215" s="123" t="str">
        <f t="shared" si="399"/>
        <v/>
      </c>
      <c r="AS215" s="123" t="str">
        <f t="shared" si="400"/>
        <v/>
      </c>
      <c r="AT215" s="97" t="str">
        <f t="shared" ca="1" si="401"/>
        <v/>
      </c>
      <c r="AU215" s="98" t="str">
        <f>IF(AW215&lt;&gt;"",VLOOKUP($P215&amp;" | "&amp;AU$6,'Job Master'!$F$12:$J$102,5,0),"")</f>
        <v/>
      </c>
      <c r="AV215" s="19" t="str">
        <f>IF(AW215&lt;&gt;"",VLOOKUP($P215&amp;" | "&amp;AU$6,'Job Master'!$F$12:$J$102,3,0),"")</f>
        <v/>
      </c>
      <c r="AW215" s="19" t="str">
        <f>IFERROR(IF(AND(BD215&lt;&gt;"",VLOOKUP($P215&amp;" | "&amp;AU$6,'Job Master'!$F$12:$I$102,4,0)&lt;&gt;""),IF(WEEKDAY(BD215-VLOOKUP($P215&amp;" | "&amp;AU$6,'Job Master'!$F$12:$I$102,4,0))&lt;&gt;7,BD215-VLOOKUP($P215&amp;" | "&amp;AU$6,'Job Master'!$F$12:$I$102,4,0),BD215-VLOOKUP($P215&amp;" | "&amp;AU$6,'Job Master'!$F$12:$I$102,4,0)-1),""),"")</f>
        <v/>
      </c>
      <c r="AX215" s="73"/>
      <c r="AY215" s="123" t="str">
        <f t="shared" si="402"/>
        <v/>
      </c>
      <c r="AZ215" s="123" t="str">
        <f t="shared" si="403"/>
        <v/>
      </c>
      <c r="BA215" s="97" t="str">
        <f t="shared" ca="1" si="404"/>
        <v/>
      </c>
      <c r="BB215" s="98" t="str">
        <f>IF(BD215&lt;&gt;"",VLOOKUP($P215&amp;" | "&amp;BB$6,'Job Master'!$F$12:$J$102,5,0),"")</f>
        <v/>
      </c>
      <c r="BC215" s="19" t="str">
        <f>IF(BD215&lt;&gt;"",VLOOKUP($P215&amp;" | "&amp;BB$6,'Job Master'!$F$12:$J$102,3,0),"")</f>
        <v/>
      </c>
      <c r="BD215" s="19" t="str">
        <f>IFERROR(IF(AND(BK215&lt;&gt;"",VLOOKUP($P215&amp;" | "&amp;BB$6,'Job Master'!$F$12:$I$102,4,0)&lt;&gt;""),IF(WEEKDAY(BK215-VLOOKUP($P215&amp;" | "&amp;BB$6,'Job Master'!$F$12:$I$102,4,0))&lt;&gt;7,BK215-VLOOKUP($P215&amp;" | "&amp;BB$6,'Job Master'!$F$12:$I$102,4,0),BK215-VLOOKUP($P215&amp;" | "&amp;BB$6,'Job Master'!$F$12:$I$102,4,0)-1),""),"")</f>
        <v/>
      </c>
      <c r="BE215" s="73"/>
      <c r="BF215" s="123" t="str">
        <f t="shared" si="405"/>
        <v/>
      </c>
      <c r="BG215" s="123" t="str">
        <f t="shared" si="406"/>
        <v/>
      </c>
      <c r="BH215" s="97" t="str">
        <f t="shared" ca="1" si="407"/>
        <v/>
      </c>
      <c r="BI215" s="98" t="str">
        <f>IF(BK215&lt;&gt;"",VLOOKUP($P215&amp;" | "&amp;BI$6,'Job Master'!$F$12:$J$102,5,0),"")</f>
        <v/>
      </c>
      <c r="BJ215" s="19" t="str">
        <f>IF(BK215&lt;&gt;"",VLOOKUP($P215&amp;" | "&amp;BI$6,'Job Master'!$F$12:$J$102,3,0),"")</f>
        <v/>
      </c>
      <c r="BK215" s="19" t="str">
        <f>IFERROR(IF(AND(BR215&lt;&gt;"",VLOOKUP($P215&amp;" | "&amp;BI$6,'Job Master'!$F$12:$I$102,4,0)&lt;&gt;""),IF(WEEKDAY(BR215-VLOOKUP($P215&amp;" | "&amp;BI$6,'Job Master'!$F$12:$I$102,4,0))&lt;&gt;7,BR215-VLOOKUP($P215&amp;" | "&amp;BI$6,'Job Master'!$F$12:$I$102,4,0),BR215-VLOOKUP($P215&amp;" | "&amp;BI$6,'Job Master'!$F$12:$I$102,4,0)-1),""),"")</f>
        <v/>
      </c>
      <c r="BL215" s="73"/>
      <c r="BM215" s="123" t="str">
        <f t="shared" si="408"/>
        <v/>
      </c>
      <c r="BN215" s="123" t="str">
        <f t="shared" si="409"/>
        <v/>
      </c>
      <c r="BO215" s="97" t="str">
        <f t="shared" ca="1" si="410"/>
        <v/>
      </c>
      <c r="BP215" s="98" t="str">
        <f>IF(BR215&lt;&gt;"",VLOOKUP($P215&amp;" | "&amp;BP$6,'Job Master'!$F$12:$J$102,5,0),"")</f>
        <v/>
      </c>
      <c r="BQ215" s="19" t="str">
        <f>IF(BR215&lt;&gt;"",VLOOKUP($P215&amp;" | "&amp;BP$6,'Job Master'!$F$12:$J$102,3,0),"")</f>
        <v/>
      </c>
      <c r="BR215" s="19" t="str">
        <f>IFERROR(IF(AND(BY215&lt;&gt;"",VLOOKUP($P215&amp;" | "&amp;BP$6,'Job Master'!$F$12:$I$102,4,0)&lt;&gt;""),IF(WEEKDAY(BY215-VLOOKUP($P215&amp;" | "&amp;BP$6,'Job Master'!$F$12:$I$102,4,0))&lt;&gt;7,BY215-VLOOKUP($P215&amp;" | "&amp;BP$6,'Job Master'!$F$12:$I$102,4,0),BY215-VLOOKUP($P215&amp;" | "&amp;BP$6,'Job Master'!$F$12:$I$102,4,0)-1),""),"")</f>
        <v/>
      </c>
      <c r="BS215" s="73"/>
      <c r="BT215" s="123" t="str">
        <f t="shared" si="411"/>
        <v/>
      </c>
      <c r="BU215" s="123" t="str">
        <f t="shared" si="412"/>
        <v/>
      </c>
      <c r="BV215" s="97" t="str">
        <f t="shared" ca="1" si="413"/>
        <v/>
      </c>
      <c r="BW215" s="98" t="str">
        <f>IF(BY215&lt;&gt;"",VLOOKUP($P215&amp;" | "&amp;BW$6,'Job Master'!$F$12:$J$102,5,0),"")</f>
        <v/>
      </c>
      <c r="BX215" s="19" t="str">
        <f>IF(BY215&lt;&gt;"",VLOOKUP($P215&amp;" | "&amp;BW$6,'Job Master'!$F$12:$J$102,3,0),"")</f>
        <v/>
      </c>
      <c r="BY215" s="19" t="str">
        <f>IFERROR(IF(AND(CF215&lt;&gt;"",VLOOKUP($P215&amp;" | "&amp;BW$6,'Job Master'!$F$12:$I$102,4,0)&lt;&gt;""),IF(WEEKDAY(CF215-VLOOKUP($P215&amp;" | "&amp;BW$6,'Job Master'!$F$12:$I$102,4,0))&lt;&gt;7,CF215-VLOOKUP($P215&amp;" | "&amp;BW$6,'Job Master'!$F$12:$I$102,4,0),CF215-VLOOKUP($P215&amp;" | "&amp;BW$6,'Job Master'!$F$12:$I$102,4,0)-1),""),"")</f>
        <v/>
      </c>
      <c r="BZ215" s="73"/>
      <c r="CA215" s="123" t="str">
        <f t="shared" si="414"/>
        <v/>
      </c>
      <c r="CB215" s="123" t="str">
        <f t="shared" si="415"/>
        <v/>
      </c>
      <c r="CC215" s="97" t="str">
        <f t="shared" ca="1" si="416"/>
        <v/>
      </c>
      <c r="CD215" s="98" t="str">
        <f>IF(CF215&lt;&gt;"",VLOOKUP($P215&amp;" | "&amp;CD$6,'Job Master'!$F$12:$J$102,5,0),"")</f>
        <v/>
      </c>
      <c r="CE215" s="19" t="str">
        <f>IF(CF215&lt;&gt;"",VLOOKUP($P215&amp;" | "&amp;CD$6,'Job Master'!$F$12:$J$102,3,0),"")</f>
        <v/>
      </c>
      <c r="CF215" s="19" t="str">
        <f>IFERROR(IF(AND(CM215&lt;&gt;"",VLOOKUP($P215&amp;" | "&amp;CD$6,'Job Master'!$F$12:$I$102,4,0)&lt;&gt;""),IF(WEEKDAY(CM215-VLOOKUP($P215&amp;" | "&amp;CD$6,'Job Master'!$F$12:$I$102,4,0))&lt;&gt;7,CM215-VLOOKUP($P215&amp;" | "&amp;CD$6,'Job Master'!$F$12:$I$102,4,0),CM215-VLOOKUP($P215&amp;" | "&amp;CD$6,'Job Master'!$F$12:$I$102,4,0)-1),""),"")</f>
        <v/>
      </c>
      <c r="CG215" s="73"/>
      <c r="CH215" s="123" t="str">
        <f t="shared" si="417"/>
        <v/>
      </c>
      <c r="CI215" s="123" t="str">
        <f t="shared" si="418"/>
        <v/>
      </c>
      <c r="CJ215" s="97" t="str">
        <f t="shared" ca="1" si="419"/>
        <v/>
      </c>
      <c r="CK215" s="98" t="str">
        <f>IF(CM215&lt;&gt;"",VLOOKUP($P215&amp;" | "&amp;CK$6,'Job Master'!$F$12:$J$102,5,0),"")</f>
        <v/>
      </c>
      <c r="CL215" s="19" t="str">
        <f>IF(CM215&lt;&gt;"",VLOOKUP($P215&amp;" | "&amp;CK$6,'Job Master'!$F$12:$J$102,3,0),"")</f>
        <v/>
      </c>
      <c r="CM215" s="19" t="str">
        <f>IFERROR(IF(AND(CT215&lt;&gt;"",VLOOKUP($P215&amp;" | "&amp;CK$6,'Job Master'!$F$12:$I$102,4,0)&lt;&gt;""),IF(WEEKDAY(CT215-VLOOKUP($P215&amp;" | "&amp;CK$6,'Job Master'!$F$12:$I$102,4,0))&lt;&gt;7,CT215-VLOOKUP($P215&amp;" | "&amp;CK$6,'Job Master'!$F$12:$I$102,4,0),CT215-VLOOKUP($P215&amp;" | "&amp;CK$6,'Job Master'!$F$12:$I$102,4,0)-1),""),"")</f>
        <v/>
      </c>
      <c r="CN215" s="73"/>
      <c r="CO215" s="123" t="str">
        <f t="shared" si="420"/>
        <v/>
      </c>
      <c r="CP215" s="123" t="str">
        <f t="shared" si="421"/>
        <v/>
      </c>
      <c r="CQ215" s="97" t="str">
        <f t="shared" ca="1" si="422"/>
        <v/>
      </c>
      <c r="CR215" s="98" t="str">
        <f>IF(CT215&lt;&gt;"",VLOOKUP($P215&amp;" | "&amp;CR$6,'Job Master'!$F$12:$J$102,5,0),"")</f>
        <v/>
      </c>
      <c r="CS215" s="19" t="str">
        <f>IF(CT215&lt;&gt;"",VLOOKUP($P215&amp;" | "&amp;CR$6,'Job Master'!$F$12:$J$102,3,0),"")</f>
        <v/>
      </c>
      <c r="CT215" s="19" t="str">
        <f>IFERROR(IF(AND(DA215&lt;&gt;"",VLOOKUP($P215&amp;" | "&amp;CR$6,'Job Master'!$F$12:$I$102,4,0)&lt;&gt;""),IF(WEEKDAY(DA215-VLOOKUP($P215&amp;" | "&amp;CR$6,'Job Master'!$F$12:$I$102,4,0))&lt;&gt;7,DA215-VLOOKUP($P215&amp;" | "&amp;CR$6,'Job Master'!$F$12:$I$102,4,0),DA215-VLOOKUP($P215&amp;" | "&amp;CR$6,'Job Master'!$F$12:$I$102,4,0)-1),""),"")</f>
        <v/>
      </c>
      <c r="CU215" s="73"/>
      <c r="CV215" s="123" t="str">
        <f t="shared" si="423"/>
        <v/>
      </c>
      <c r="CW215" s="123" t="str">
        <f t="shared" si="424"/>
        <v/>
      </c>
      <c r="CX215" s="97" t="str">
        <f t="shared" ca="1" si="425"/>
        <v/>
      </c>
      <c r="CY215" s="98" t="str">
        <f>IF(DA215&lt;&gt;"",VLOOKUP($P215&amp;" | "&amp;CY$6,'Job Master'!$F$12:$J$102,5,0),"")</f>
        <v/>
      </c>
      <c r="CZ215" s="19" t="str">
        <f>IF(DA215&lt;&gt;"",VLOOKUP($P215&amp;" | "&amp;CY$6,'Job Master'!$F$12:$J$102,3,0),"")</f>
        <v/>
      </c>
      <c r="DA215" s="19" t="str">
        <f>IFERROR(IF(AND(DH215&lt;&gt;"",VLOOKUP($P215&amp;" | "&amp;CY$6,'Job Master'!$F$12:$I$102,4,0)&lt;&gt;""),IF(WEEKDAY(DH215-VLOOKUP($P215&amp;" | "&amp;CY$6,'Job Master'!$F$12:$I$102,4,0))&lt;&gt;7,DH215-VLOOKUP($P215&amp;" | "&amp;CY$6,'Job Master'!$F$12:$I$102,4,0),DH215-VLOOKUP($P215&amp;" | "&amp;CY$6,'Job Master'!$F$12:$I$102,4,0)-1),""),"")</f>
        <v/>
      </c>
      <c r="DB215" s="73"/>
      <c r="DC215" s="123" t="str">
        <f t="shared" si="426"/>
        <v/>
      </c>
      <c r="DD215" s="123" t="str">
        <f t="shared" si="427"/>
        <v/>
      </c>
      <c r="DE215" s="97" t="str">
        <f t="shared" ca="1" si="428"/>
        <v/>
      </c>
      <c r="DF215" s="98" t="str">
        <f>IF(DH215&lt;&gt;"",VLOOKUP($P215&amp;" | "&amp;DF$6,'Job Master'!$F$12:$J$102,5,0),"")</f>
        <v/>
      </c>
      <c r="DG215" s="19" t="str">
        <f>IF(DH215&lt;&gt;"",VLOOKUP($P215&amp;" | "&amp;DF$6,'Job Master'!$F$12:$J$102,3,0),"")</f>
        <v/>
      </c>
      <c r="DH215" s="19" t="str">
        <f>IFERROR(IF(AND(DO215&lt;&gt;"",VLOOKUP($P215&amp;" | "&amp;DF$6,'Job Master'!$F$12:$I$102,4,0)&lt;&gt;""),IF(WEEKDAY(DO215-VLOOKUP($P215&amp;" | "&amp;DF$6,'Job Master'!$F$12:$I$102,4,0))&lt;&gt;7,DO215-VLOOKUP($P215&amp;" | "&amp;DF$6,'Job Master'!$F$12:$I$102,4,0),DO215-VLOOKUP($P215&amp;" | "&amp;DF$6,'Job Master'!$F$12:$I$102,4,0)-1),""),"")</f>
        <v/>
      </c>
      <c r="DI215" s="73"/>
      <c r="DJ215" s="123" t="str">
        <f t="shared" si="429"/>
        <v/>
      </c>
      <c r="DK215" s="123" t="str">
        <f t="shared" si="430"/>
        <v/>
      </c>
      <c r="DL215" s="97" t="str">
        <f t="shared" ca="1" si="431"/>
        <v/>
      </c>
      <c r="DM215" s="98" t="str">
        <f>IF(DO215&lt;&gt;"",VLOOKUP($P215&amp;" | "&amp;DM$6,'Job Master'!$F$12:$J$102,5,0),"")</f>
        <v/>
      </c>
      <c r="DN215" s="19" t="str">
        <f>IF(DO215&lt;&gt;"",VLOOKUP($P215&amp;" | "&amp;DM$6,'Job Master'!$F$12:$J$102,3,0),"")</f>
        <v/>
      </c>
      <c r="DO215" s="19" t="str">
        <f>IFERROR(IF(AND(DT215&lt;&gt;"",VLOOKUP($P215&amp;" | "&amp;DM$6,'Job Master'!$F$12:$I$102,4,0)&lt;&gt;""),IF(WEEKDAY(DT215-VLOOKUP($P215&amp;" | "&amp;DM$6,'Job Master'!$F$12:$I$102,4,0))&lt;&gt;7,DT215-VLOOKUP($P215&amp;" | "&amp;DM$6,'Job Master'!$F$12:$I$102,4,0),DT215-VLOOKUP($P215&amp;" | "&amp;DM$6,'Job Master'!$F$12:$I$102,4,0)-1),""),"")</f>
        <v/>
      </c>
      <c r="DP215" s="73"/>
      <c r="DQ215" s="123" t="str">
        <f t="shared" si="432"/>
        <v/>
      </c>
      <c r="DR215" s="123" t="str">
        <f t="shared" si="433"/>
        <v/>
      </c>
      <c r="DS215" s="97" t="str">
        <f t="shared" ca="1" si="434"/>
        <v/>
      </c>
      <c r="DT215" s="70" t="str">
        <f t="shared" si="435"/>
        <v/>
      </c>
      <c r="DU215" s="90"/>
      <c r="DV215" s="123" t="str">
        <f t="shared" si="436"/>
        <v/>
      </c>
      <c r="DW215" s="123" t="str">
        <f t="shared" si="437"/>
        <v/>
      </c>
      <c r="DX215" s="132" t="str">
        <f t="shared" ref="DX215" ca="1" si="459">IF(DT215&lt;&gt;"",IF(WEEKNUM(DT215)=WEEKNUM(TODAY()),"This Week",IF(WEEKNUM(DT215)=WEEKNUM(TODAY())+1,"Next Week",IF(WEEKNUM(DT215)=WEEKNUM(TODAY())-1,"Previous Week",""))),"")</f>
        <v/>
      </c>
      <c r="DY215" s="134" t="str">
        <f t="shared" si="439"/>
        <v/>
      </c>
      <c r="DZ215" s="95"/>
      <c r="EB215" s="8" t="str">
        <f t="shared" si="445"/>
        <v/>
      </c>
      <c r="EC215" s="8" t="str">
        <f>IF(O215&lt;&gt;"",VLOOKUP(O215,'Job Master'!$N$12:$O$18,2,0),"")</f>
        <v/>
      </c>
      <c r="ED215" s="8">
        <f t="shared" si="446"/>
        <v>19.5</v>
      </c>
      <c r="EE215" s="8">
        <f t="shared" si="447"/>
        <v>6</v>
      </c>
      <c r="EF215" s="8">
        <f t="shared" si="448"/>
        <v>-1210.5</v>
      </c>
      <c r="EG215" s="8" t="str">
        <f t="shared" si="449"/>
        <v/>
      </c>
      <c r="EH215" s="8" t="str">
        <f t="shared" si="450"/>
        <v/>
      </c>
    </row>
    <row r="216" spans="2:138" x14ac:dyDescent="0.3">
      <c r="B216" s="112"/>
      <c r="C216" s="27"/>
      <c r="D216" s="7" t="str">
        <f t="shared" si="387"/>
        <v/>
      </c>
      <c r="E216" s="25"/>
      <c r="F216" s="7" t="str">
        <f t="shared" si="387"/>
        <v/>
      </c>
      <c r="G216" s="25"/>
      <c r="H216" s="7" t="str">
        <f t="shared" si="387"/>
        <v/>
      </c>
      <c r="I216" s="25"/>
      <c r="J216" s="7" t="str">
        <f t="shared" si="387"/>
        <v/>
      </c>
      <c r="K216" s="25"/>
      <c r="L216" s="7" t="str">
        <f t="shared" si="388"/>
        <v/>
      </c>
      <c r="M216" s="25"/>
      <c r="N216" s="7" t="str">
        <f t="shared" si="389"/>
        <v/>
      </c>
      <c r="O216" s="81"/>
      <c r="P216" s="81" t="str">
        <f t="shared" si="390"/>
        <v/>
      </c>
      <c r="Q216" s="81"/>
      <c r="R216" s="7" t="str">
        <f t="shared" si="391"/>
        <v/>
      </c>
      <c r="S216" s="25"/>
      <c r="T216" s="7" t="str">
        <f t="shared" si="392"/>
        <v/>
      </c>
      <c r="U216" s="25"/>
      <c r="V216" s="7" t="str">
        <f t="shared" si="393"/>
        <v/>
      </c>
      <c r="W216" s="25"/>
      <c r="X216" s="7" t="str">
        <f t="shared" si="394"/>
        <v/>
      </c>
      <c r="Y216" s="18" t="str">
        <f t="shared" si="395"/>
        <v/>
      </c>
      <c r="Z216" s="7" t="str">
        <f t="shared" si="396"/>
        <v/>
      </c>
      <c r="AA216" s="18" t="str">
        <f t="shared" si="397"/>
        <v/>
      </c>
      <c r="AB216" s="19" t="str">
        <f t="shared" si="398"/>
        <v/>
      </c>
      <c r="AC216" s="26"/>
      <c r="AD216" s="26"/>
      <c r="AE216" s="25"/>
      <c r="AF216" s="26"/>
      <c r="AG216" s="25"/>
      <c r="AH216" s="25"/>
      <c r="AI216" s="18" t="str">
        <f t="shared" si="335"/>
        <v/>
      </c>
      <c r="AJ216" s="25"/>
      <c r="AK216" s="18" t="str">
        <f t="shared" si="336"/>
        <v/>
      </c>
      <c r="AL216" s="79"/>
      <c r="AM216" s="126" t="str">
        <f t="shared" si="337"/>
        <v/>
      </c>
      <c r="AN216" s="128" t="str">
        <f>IF(AP216&lt;&gt;"",VLOOKUP($P216&amp;" | "&amp;AN$6,'Job Master'!$F$12:$J$102,5,0),"")</f>
        <v/>
      </c>
      <c r="AO216" s="19" t="str">
        <f>IF(AP216&lt;&gt;"",VLOOKUP($P216&amp;" | "&amp;AN$6,'Job Master'!$F$12:$J$102,3,0),"")</f>
        <v/>
      </c>
      <c r="AP216" s="19" t="str">
        <f>IFERROR(IF(AND(AW216&lt;&gt;"",VLOOKUP($P216&amp;" | "&amp;AN$6,'Job Master'!$F$12:$I$102,4,0)&lt;&gt;""),IF(WEEKDAY(AW216-VLOOKUP($P216&amp;" | "&amp;AN$6,'Job Master'!$F$12:$I$102,4,0))&lt;&gt;7,AW216-VLOOKUP($P216&amp;" | "&amp;AN$6,'Job Master'!$F$12:$I$102,4,0),AW216-VLOOKUP($P216&amp;" | "&amp;AN$6,'Job Master'!$F$12:$I$102,4,0)-1),""),"")</f>
        <v/>
      </c>
      <c r="AQ216" s="73"/>
      <c r="AR216" s="123" t="str">
        <f t="shared" si="399"/>
        <v/>
      </c>
      <c r="AS216" s="123" t="str">
        <f t="shared" si="400"/>
        <v/>
      </c>
      <c r="AT216" s="97" t="str">
        <f t="shared" ca="1" si="401"/>
        <v/>
      </c>
      <c r="AU216" s="98" t="str">
        <f>IF(AW216&lt;&gt;"",VLOOKUP($P216&amp;" | "&amp;AU$6,'Job Master'!$F$12:$J$102,5,0),"")</f>
        <v/>
      </c>
      <c r="AV216" s="19" t="str">
        <f>IF(AW216&lt;&gt;"",VLOOKUP($P216&amp;" | "&amp;AU$6,'Job Master'!$F$12:$J$102,3,0),"")</f>
        <v/>
      </c>
      <c r="AW216" s="19" t="str">
        <f>IFERROR(IF(AND(BD216&lt;&gt;"",VLOOKUP($P216&amp;" | "&amp;AU$6,'Job Master'!$F$12:$I$102,4,0)&lt;&gt;""),IF(WEEKDAY(BD216-VLOOKUP($P216&amp;" | "&amp;AU$6,'Job Master'!$F$12:$I$102,4,0))&lt;&gt;7,BD216-VLOOKUP($P216&amp;" | "&amp;AU$6,'Job Master'!$F$12:$I$102,4,0),BD216-VLOOKUP($P216&amp;" | "&amp;AU$6,'Job Master'!$F$12:$I$102,4,0)-1),""),"")</f>
        <v/>
      </c>
      <c r="AX216" s="73"/>
      <c r="AY216" s="123" t="str">
        <f t="shared" si="402"/>
        <v/>
      </c>
      <c r="AZ216" s="123" t="str">
        <f t="shared" si="403"/>
        <v/>
      </c>
      <c r="BA216" s="97" t="str">
        <f t="shared" ca="1" si="404"/>
        <v/>
      </c>
      <c r="BB216" s="98" t="str">
        <f>IF(BD216&lt;&gt;"",VLOOKUP($P216&amp;" | "&amp;BB$6,'Job Master'!$F$12:$J$102,5,0),"")</f>
        <v/>
      </c>
      <c r="BC216" s="19" t="str">
        <f>IF(BD216&lt;&gt;"",VLOOKUP($P216&amp;" | "&amp;BB$6,'Job Master'!$F$12:$J$102,3,0),"")</f>
        <v/>
      </c>
      <c r="BD216" s="19" t="str">
        <f>IFERROR(IF(AND(BK216&lt;&gt;"",VLOOKUP($P216&amp;" | "&amp;BB$6,'Job Master'!$F$12:$I$102,4,0)&lt;&gt;""),IF(WEEKDAY(BK216-VLOOKUP($P216&amp;" | "&amp;BB$6,'Job Master'!$F$12:$I$102,4,0))&lt;&gt;7,BK216-VLOOKUP($P216&amp;" | "&amp;BB$6,'Job Master'!$F$12:$I$102,4,0),BK216-VLOOKUP($P216&amp;" | "&amp;BB$6,'Job Master'!$F$12:$I$102,4,0)-1),""),"")</f>
        <v/>
      </c>
      <c r="BE216" s="73"/>
      <c r="BF216" s="123" t="str">
        <f t="shared" si="405"/>
        <v/>
      </c>
      <c r="BG216" s="123" t="str">
        <f t="shared" si="406"/>
        <v/>
      </c>
      <c r="BH216" s="97" t="str">
        <f t="shared" ca="1" si="407"/>
        <v/>
      </c>
      <c r="BI216" s="98" t="str">
        <f>IF(BK216&lt;&gt;"",VLOOKUP($P216&amp;" | "&amp;BI$6,'Job Master'!$F$12:$J$102,5,0),"")</f>
        <v/>
      </c>
      <c r="BJ216" s="19" t="str">
        <f>IF(BK216&lt;&gt;"",VLOOKUP($P216&amp;" | "&amp;BI$6,'Job Master'!$F$12:$J$102,3,0),"")</f>
        <v/>
      </c>
      <c r="BK216" s="19" t="str">
        <f>IFERROR(IF(AND(BR216&lt;&gt;"",VLOOKUP($P216&amp;" | "&amp;BI$6,'Job Master'!$F$12:$I$102,4,0)&lt;&gt;""),IF(WEEKDAY(BR216-VLOOKUP($P216&amp;" | "&amp;BI$6,'Job Master'!$F$12:$I$102,4,0))&lt;&gt;7,BR216-VLOOKUP($P216&amp;" | "&amp;BI$6,'Job Master'!$F$12:$I$102,4,0),BR216-VLOOKUP($P216&amp;" | "&amp;BI$6,'Job Master'!$F$12:$I$102,4,0)-1),""),"")</f>
        <v/>
      </c>
      <c r="BL216" s="73"/>
      <c r="BM216" s="123" t="str">
        <f t="shared" si="408"/>
        <v/>
      </c>
      <c r="BN216" s="123" t="str">
        <f t="shared" si="409"/>
        <v/>
      </c>
      <c r="BO216" s="97" t="str">
        <f t="shared" ca="1" si="410"/>
        <v/>
      </c>
      <c r="BP216" s="98" t="str">
        <f>IF(BR216&lt;&gt;"",VLOOKUP($P216&amp;" | "&amp;BP$6,'Job Master'!$F$12:$J$102,5,0),"")</f>
        <v/>
      </c>
      <c r="BQ216" s="19" t="str">
        <f>IF(BR216&lt;&gt;"",VLOOKUP($P216&amp;" | "&amp;BP$6,'Job Master'!$F$12:$J$102,3,0),"")</f>
        <v/>
      </c>
      <c r="BR216" s="19" t="str">
        <f>IFERROR(IF(AND(BY216&lt;&gt;"",VLOOKUP($P216&amp;" | "&amp;BP$6,'Job Master'!$F$12:$I$102,4,0)&lt;&gt;""),IF(WEEKDAY(BY216-VLOOKUP($P216&amp;" | "&amp;BP$6,'Job Master'!$F$12:$I$102,4,0))&lt;&gt;7,BY216-VLOOKUP($P216&amp;" | "&amp;BP$6,'Job Master'!$F$12:$I$102,4,0),BY216-VLOOKUP($P216&amp;" | "&amp;BP$6,'Job Master'!$F$12:$I$102,4,0)-1),""),"")</f>
        <v/>
      </c>
      <c r="BS216" s="73"/>
      <c r="BT216" s="123" t="str">
        <f t="shared" si="411"/>
        <v/>
      </c>
      <c r="BU216" s="123" t="str">
        <f t="shared" si="412"/>
        <v/>
      </c>
      <c r="BV216" s="97" t="str">
        <f t="shared" ca="1" si="413"/>
        <v/>
      </c>
      <c r="BW216" s="98" t="str">
        <f>IF(BY216&lt;&gt;"",VLOOKUP($P216&amp;" | "&amp;BW$6,'Job Master'!$F$12:$J$102,5,0),"")</f>
        <v/>
      </c>
      <c r="BX216" s="19" t="str">
        <f>IF(BY216&lt;&gt;"",VLOOKUP($P216&amp;" | "&amp;BW$6,'Job Master'!$F$12:$J$102,3,0),"")</f>
        <v/>
      </c>
      <c r="BY216" s="19" t="str">
        <f>IFERROR(IF(AND(CF216&lt;&gt;"",VLOOKUP($P216&amp;" | "&amp;BW$6,'Job Master'!$F$12:$I$102,4,0)&lt;&gt;""),IF(WEEKDAY(CF216-VLOOKUP($P216&amp;" | "&amp;BW$6,'Job Master'!$F$12:$I$102,4,0))&lt;&gt;7,CF216-VLOOKUP($P216&amp;" | "&amp;BW$6,'Job Master'!$F$12:$I$102,4,0),CF216-VLOOKUP($P216&amp;" | "&amp;BW$6,'Job Master'!$F$12:$I$102,4,0)-1),""),"")</f>
        <v/>
      </c>
      <c r="BZ216" s="73"/>
      <c r="CA216" s="123" t="str">
        <f t="shared" si="414"/>
        <v/>
      </c>
      <c r="CB216" s="123" t="str">
        <f t="shared" si="415"/>
        <v/>
      </c>
      <c r="CC216" s="97" t="str">
        <f t="shared" ca="1" si="416"/>
        <v/>
      </c>
      <c r="CD216" s="98" t="str">
        <f>IF(CF216&lt;&gt;"",VLOOKUP($P216&amp;" | "&amp;CD$6,'Job Master'!$F$12:$J$102,5,0),"")</f>
        <v/>
      </c>
      <c r="CE216" s="19" t="str">
        <f>IF(CF216&lt;&gt;"",VLOOKUP($P216&amp;" | "&amp;CD$6,'Job Master'!$F$12:$J$102,3,0),"")</f>
        <v/>
      </c>
      <c r="CF216" s="19" t="str">
        <f>IFERROR(IF(AND(CM216&lt;&gt;"",VLOOKUP($P216&amp;" | "&amp;CD$6,'Job Master'!$F$12:$I$102,4,0)&lt;&gt;""),IF(WEEKDAY(CM216-VLOOKUP($P216&amp;" | "&amp;CD$6,'Job Master'!$F$12:$I$102,4,0))&lt;&gt;7,CM216-VLOOKUP($P216&amp;" | "&amp;CD$6,'Job Master'!$F$12:$I$102,4,0),CM216-VLOOKUP($P216&amp;" | "&amp;CD$6,'Job Master'!$F$12:$I$102,4,0)-1),""),"")</f>
        <v/>
      </c>
      <c r="CG216" s="73"/>
      <c r="CH216" s="123" t="str">
        <f t="shared" si="417"/>
        <v/>
      </c>
      <c r="CI216" s="123" t="str">
        <f t="shared" si="418"/>
        <v/>
      </c>
      <c r="CJ216" s="97" t="str">
        <f t="shared" ca="1" si="419"/>
        <v/>
      </c>
      <c r="CK216" s="98" t="str">
        <f>IF(CM216&lt;&gt;"",VLOOKUP($P216&amp;" | "&amp;CK$6,'Job Master'!$F$12:$J$102,5,0),"")</f>
        <v/>
      </c>
      <c r="CL216" s="19" t="str">
        <f>IF(CM216&lt;&gt;"",VLOOKUP($P216&amp;" | "&amp;CK$6,'Job Master'!$F$12:$J$102,3,0),"")</f>
        <v/>
      </c>
      <c r="CM216" s="19" t="str">
        <f>IFERROR(IF(AND(CT216&lt;&gt;"",VLOOKUP($P216&amp;" | "&amp;CK$6,'Job Master'!$F$12:$I$102,4,0)&lt;&gt;""),IF(WEEKDAY(CT216-VLOOKUP($P216&amp;" | "&amp;CK$6,'Job Master'!$F$12:$I$102,4,0))&lt;&gt;7,CT216-VLOOKUP($P216&amp;" | "&amp;CK$6,'Job Master'!$F$12:$I$102,4,0),CT216-VLOOKUP($P216&amp;" | "&amp;CK$6,'Job Master'!$F$12:$I$102,4,0)-1),""),"")</f>
        <v/>
      </c>
      <c r="CN216" s="73"/>
      <c r="CO216" s="123" t="str">
        <f t="shared" si="420"/>
        <v/>
      </c>
      <c r="CP216" s="123" t="str">
        <f t="shared" si="421"/>
        <v/>
      </c>
      <c r="CQ216" s="97" t="str">
        <f t="shared" ca="1" si="422"/>
        <v/>
      </c>
      <c r="CR216" s="98" t="str">
        <f>IF(CT216&lt;&gt;"",VLOOKUP($P216&amp;" | "&amp;CR$6,'Job Master'!$F$12:$J$102,5,0),"")</f>
        <v/>
      </c>
      <c r="CS216" s="19" t="str">
        <f>IF(CT216&lt;&gt;"",VLOOKUP($P216&amp;" | "&amp;CR$6,'Job Master'!$F$12:$J$102,3,0),"")</f>
        <v/>
      </c>
      <c r="CT216" s="19" t="str">
        <f>IFERROR(IF(AND(DA216&lt;&gt;"",VLOOKUP($P216&amp;" | "&amp;CR$6,'Job Master'!$F$12:$I$102,4,0)&lt;&gt;""),IF(WEEKDAY(DA216-VLOOKUP($P216&amp;" | "&amp;CR$6,'Job Master'!$F$12:$I$102,4,0))&lt;&gt;7,DA216-VLOOKUP($P216&amp;" | "&amp;CR$6,'Job Master'!$F$12:$I$102,4,0),DA216-VLOOKUP($P216&amp;" | "&amp;CR$6,'Job Master'!$F$12:$I$102,4,0)-1),""),"")</f>
        <v/>
      </c>
      <c r="CU216" s="73"/>
      <c r="CV216" s="123" t="str">
        <f t="shared" si="423"/>
        <v/>
      </c>
      <c r="CW216" s="123" t="str">
        <f t="shared" si="424"/>
        <v/>
      </c>
      <c r="CX216" s="97" t="str">
        <f t="shared" ca="1" si="425"/>
        <v/>
      </c>
      <c r="CY216" s="98" t="str">
        <f>IF(DA216&lt;&gt;"",VLOOKUP($P216&amp;" | "&amp;CY$6,'Job Master'!$F$12:$J$102,5,0),"")</f>
        <v/>
      </c>
      <c r="CZ216" s="19" t="str">
        <f>IF(DA216&lt;&gt;"",VLOOKUP($P216&amp;" | "&amp;CY$6,'Job Master'!$F$12:$J$102,3,0),"")</f>
        <v/>
      </c>
      <c r="DA216" s="19" t="str">
        <f>IFERROR(IF(AND(DH216&lt;&gt;"",VLOOKUP($P216&amp;" | "&amp;CY$6,'Job Master'!$F$12:$I$102,4,0)&lt;&gt;""),IF(WEEKDAY(DH216-VLOOKUP($P216&amp;" | "&amp;CY$6,'Job Master'!$F$12:$I$102,4,0))&lt;&gt;7,DH216-VLOOKUP($P216&amp;" | "&amp;CY$6,'Job Master'!$F$12:$I$102,4,0),DH216-VLOOKUP($P216&amp;" | "&amp;CY$6,'Job Master'!$F$12:$I$102,4,0)-1),""),"")</f>
        <v/>
      </c>
      <c r="DB216" s="73"/>
      <c r="DC216" s="123" t="str">
        <f t="shared" si="426"/>
        <v/>
      </c>
      <c r="DD216" s="123" t="str">
        <f t="shared" si="427"/>
        <v/>
      </c>
      <c r="DE216" s="97" t="str">
        <f t="shared" ca="1" si="428"/>
        <v/>
      </c>
      <c r="DF216" s="98" t="str">
        <f>IF(DH216&lt;&gt;"",VLOOKUP($P216&amp;" | "&amp;DF$6,'Job Master'!$F$12:$J$102,5,0),"")</f>
        <v/>
      </c>
      <c r="DG216" s="19" t="str">
        <f>IF(DH216&lt;&gt;"",VLOOKUP($P216&amp;" | "&amp;DF$6,'Job Master'!$F$12:$J$102,3,0),"")</f>
        <v/>
      </c>
      <c r="DH216" s="19" t="str">
        <f>IFERROR(IF(AND(DO216&lt;&gt;"",VLOOKUP($P216&amp;" | "&amp;DF$6,'Job Master'!$F$12:$I$102,4,0)&lt;&gt;""),IF(WEEKDAY(DO216-VLOOKUP($P216&amp;" | "&amp;DF$6,'Job Master'!$F$12:$I$102,4,0))&lt;&gt;7,DO216-VLOOKUP($P216&amp;" | "&amp;DF$6,'Job Master'!$F$12:$I$102,4,0),DO216-VLOOKUP($P216&amp;" | "&amp;DF$6,'Job Master'!$F$12:$I$102,4,0)-1),""),"")</f>
        <v/>
      </c>
      <c r="DI216" s="73"/>
      <c r="DJ216" s="123" t="str">
        <f t="shared" si="429"/>
        <v/>
      </c>
      <c r="DK216" s="123" t="str">
        <f t="shared" si="430"/>
        <v/>
      </c>
      <c r="DL216" s="97" t="str">
        <f t="shared" ca="1" si="431"/>
        <v/>
      </c>
      <c r="DM216" s="98" t="str">
        <f>IF(DO216&lt;&gt;"",VLOOKUP($P216&amp;" | "&amp;DM$6,'Job Master'!$F$12:$J$102,5,0),"")</f>
        <v/>
      </c>
      <c r="DN216" s="19" t="str">
        <f>IF(DO216&lt;&gt;"",VLOOKUP($P216&amp;" | "&amp;DM$6,'Job Master'!$F$12:$J$102,3,0),"")</f>
        <v/>
      </c>
      <c r="DO216" s="19" t="str">
        <f>IFERROR(IF(AND(DT216&lt;&gt;"",VLOOKUP($P216&amp;" | "&amp;DM$6,'Job Master'!$F$12:$I$102,4,0)&lt;&gt;""),IF(WEEKDAY(DT216-VLOOKUP($P216&amp;" | "&amp;DM$6,'Job Master'!$F$12:$I$102,4,0))&lt;&gt;7,DT216-VLOOKUP($P216&amp;" | "&amp;DM$6,'Job Master'!$F$12:$I$102,4,0),DT216-VLOOKUP($P216&amp;" | "&amp;DM$6,'Job Master'!$F$12:$I$102,4,0)-1),""),"")</f>
        <v/>
      </c>
      <c r="DP216" s="73"/>
      <c r="DQ216" s="123" t="str">
        <f t="shared" si="432"/>
        <v/>
      </c>
      <c r="DR216" s="123" t="str">
        <f t="shared" si="433"/>
        <v/>
      </c>
      <c r="DS216" s="97" t="str">
        <f t="shared" ca="1" si="434"/>
        <v/>
      </c>
      <c r="DT216" s="70" t="str">
        <f t="shared" si="435"/>
        <v/>
      </c>
      <c r="DU216" s="90"/>
      <c r="DV216" s="123" t="str">
        <f t="shared" si="436"/>
        <v/>
      </c>
      <c r="DW216" s="123" t="str">
        <f t="shared" si="437"/>
        <v/>
      </c>
      <c r="DX216" s="132" t="str">
        <f t="shared" ref="DX216" ca="1" si="460">IF(DT216&lt;&gt;"",IF(WEEKNUM(DT216)=WEEKNUM(TODAY()),"This Week",IF(WEEKNUM(DT216)=WEEKNUM(TODAY())+1,"Next Week",IF(WEEKNUM(DT216)=WEEKNUM(TODAY())-1,"Previous Week",""))),"")</f>
        <v/>
      </c>
      <c r="DY216" s="134" t="str">
        <f t="shared" si="439"/>
        <v/>
      </c>
      <c r="DZ216" s="95"/>
      <c r="EB216" s="8" t="str">
        <f t="shared" si="445"/>
        <v/>
      </c>
      <c r="EC216" s="8" t="str">
        <f>IF(O216&lt;&gt;"",VLOOKUP(O216,'Job Master'!$N$12:$O$18,2,0),"")</f>
        <v/>
      </c>
      <c r="ED216" s="8">
        <f t="shared" si="446"/>
        <v>19.5</v>
      </c>
      <c r="EE216" s="8">
        <f t="shared" si="447"/>
        <v>6</v>
      </c>
      <c r="EF216" s="8">
        <f t="shared" si="448"/>
        <v>-1216.5</v>
      </c>
      <c r="EG216" s="8" t="str">
        <f t="shared" si="449"/>
        <v/>
      </c>
      <c r="EH216" s="8" t="str">
        <f t="shared" si="450"/>
        <v/>
      </c>
    </row>
    <row r="217" spans="2:138" x14ac:dyDescent="0.3">
      <c r="B217" s="112"/>
      <c r="C217" s="27"/>
      <c r="D217" s="7" t="str">
        <f t="shared" si="387"/>
        <v/>
      </c>
      <c r="E217" s="25"/>
      <c r="F217" s="7" t="str">
        <f t="shared" si="387"/>
        <v/>
      </c>
      <c r="G217" s="25"/>
      <c r="H217" s="7" t="str">
        <f t="shared" si="387"/>
        <v/>
      </c>
      <c r="I217" s="25"/>
      <c r="J217" s="7" t="str">
        <f t="shared" si="387"/>
        <v/>
      </c>
      <c r="K217" s="25"/>
      <c r="L217" s="7" t="str">
        <f t="shared" si="388"/>
        <v/>
      </c>
      <c r="M217" s="25"/>
      <c r="N217" s="7" t="str">
        <f t="shared" si="389"/>
        <v/>
      </c>
      <c r="O217" s="81"/>
      <c r="P217" s="81" t="str">
        <f t="shared" si="390"/>
        <v/>
      </c>
      <c r="Q217" s="81"/>
      <c r="R217" s="7" t="str">
        <f t="shared" si="391"/>
        <v/>
      </c>
      <c r="S217" s="25"/>
      <c r="T217" s="7" t="str">
        <f t="shared" si="392"/>
        <v/>
      </c>
      <c r="U217" s="25"/>
      <c r="V217" s="7" t="str">
        <f t="shared" si="393"/>
        <v/>
      </c>
      <c r="W217" s="25"/>
      <c r="X217" s="7" t="str">
        <f t="shared" si="394"/>
        <v/>
      </c>
      <c r="Y217" s="18" t="str">
        <f t="shared" si="395"/>
        <v/>
      </c>
      <c r="Z217" s="7" t="str">
        <f t="shared" si="396"/>
        <v/>
      </c>
      <c r="AA217" s="18" t="str">
        <f t="shared" si="397"/>
        <v/>
      </c>
      <c r="AB217" s="19" t="str">
        <f t="shared" si="398"/>
        <v/>
      </c>
      <c r="AC217" s="26"/>
      <c r="AD217" s="26"/>
      <c r="AE217" s="25"/>
      <c r="AF217" s="26"/>
      <c r="AG217" s="25"/>
      <c r="AH217" s="25"/>
      <c r="AI217" s="18" t="str">
        <f t="shared" ref="AI217:AI280" si="461">IF(IF(AH217&lt;&gt;"",AH217,IF($AA217&lt;&gt;"",AI216,""))&lt;&gt;0,IF(AH217&lt;&gt;"",AH217,IF($AA217&lt;&gt;"",AI216,"")),"")</f>
        <v/>
      </c>
      <c r="AJ217" s="25"/>
      <c r="AK217" s="18" t="str">
        <f t="shared" ref="AK217:AK280" si="462">IF(IF(AJ217&lt;&gt;"",AJ217,IF($AA217&lt;&gt;"",AK216,""))&lt;&gt;0,IF(AJ217&lt;&gt;"",AJ217,IF($AA217&lt;&gt;"",AK216,"")),"")</f>
        <v/>
      </c>
      <c r="AL217" s="79"/>
      <c r="AM217" s="126" t="str">
        <f t="shared" ref="AM217:AM280" si="463">IF(IF(AL217&lt;&gt;"",AL217,IF($AA217&lt;&gt;"",AM216,""))&lt;&gt;0,IF(AL217&lt;&gt;"",AL217,IF($AA217&lt;&gt;"",AM216,"")),"")</f>
        <v/>
      </c>
      <c r="AN217" s="128" t="str">
        <f>IF(AP217&lt;&gt;"",VLOOKUP($P217&amp;" | "&amp;AN$6,'Job Master'!$F$12:$J$102,5,0),"")</f>
        <v/>
      </c>
      <c r="AO217" s="19" t="str">
        <f>IF(AP217&lt;&gt;"",VLOOKUP($P217&amp;" | "&amp;AN$6,'Job Master'!$F$12:$J$102,3,0),"")</f>
        <v/>
      </c>
      <c r="AP217" s="19" t="str">
        <f>IFERROR(IF(AND(AW217&lt;&gt;"",VLOOKUP($P217&amp;" | "&amp;AN$6,'Job Master'!$F$12:$I$102,4,0)&lt;&gt;""),IF(WEEKDAY(AW217-VLOOKUP($P217&amp;" | "&amp;AN$6,'Job Master'!$F$12:$I$102,4,0))&lt;&gt;7,AW217-VLOOKUP($P217&amp;" | "&amp;AN$6,'Job Master'!$F$12:$I$102,4,0),AW217-VLOOKUP($P217&amp;" | "&amp;AN$6,'Job Master'!$F$12:$I$102,4,0)-1),""),"")</f>
        <v/>
      </c>
      <c r="AQ217" s="73"/>
      <c r="AR217" s="123" t="str">
        <f t="shared" si="399"/>
        <v/>
      </c>
      <c r="AS217" s="123" t="str">
        <f t="shared" si="400"/>
        <v/>
      </c>
      <c r="AT217" s="97" t="str">
        <f t="shared" ca="1" si="401"/>
        <v/>
      </c>
      <c r="AU217" s="98" t="str">
        <f>IF(AW217&lt;&gt;"",VLOOKUP($P217&amp;" | "&amp;AU$6,'Job Master'!$F$12:$J$102,5,0),"")</f>
        <v/>
      </c>
      <c r="AV217" s="19" t="str">
        <f>IF(AW217&lt;&gt;"",VLOOKUP($P217&amp;" | "&amp;AU$6,'Job Master'!$F$12:$J$102,3,0),"")</f>
        <v/>
      </c>
      <c r="AW217" s="19" t="str">
        <f>IFERROR(IF(AND(BD217&lt;&gt;"",VLOOKUP($P217&amp;" | "&amp;AU$6,'Job Master'!$F$12:$I$102,4,0)&lt;&gt;""),IF(WEEKDAY(BD217-VLOOKUP($P217&amp;" | "&amp;AU$6,'Job Master'!$F$12:$I$102,4,0))&lt;&gt;7,BD217-VLOOKUP($P217&amp;" | "&amp;AU$6,'Job Master'!$F$12:$I$102,4,0),BD217-VLOOKUP($P217&amp;" | "&amp;AU$6,'Job Master'!$F$12:$I$102,4,0)-1),""),"")</f>
        <v/>
      </c>
      <c r="AX217" s="73"/>
      <c r="AY217" s="123" t="str">
        <f t="shared" si="402"/>
        <v/>
      </c>
      <c r="AZ217" s="123" t="str">
        <f t="shared" si="403"/>
        <v/>
      </c>
      <c r="BA217" s="97" t="str">
        <f t="shared" ca="1" si="404"/>
        <v/>
      </c>
      <c r="BB217" s="98" t="str">
        <f>IF(BD217&lt;&gt;"",VLOOKUP($P217&amp;" | "&amp;BB$6,'Job Master'!$F$12:$J$102,5,0),"")</f>
        <v/>
      </c>
      <c r="BC217" s="19" t="str">
        <f>IF(BD217&lt;&gt;"",VLOOKUP($P217&amp;" | "&amp;BB$6,'Job Master'!$F$12:$J$102,3,0),"")</f>
        <v/>
      </c>
      <c r="BD217" s="19" t="str">
        <f>IFERROR(IF(AND(BK217&lt;&gt;"",VLOOKUP($P217&amp;" | "&amp;BB$6,'Job Master'!$F$12:$I$102,4,0)&lt;&gt;""),IF(WEEKDAY(BK217-VLOOKUP($P217&amp;" | "&amp;BB$6,'Job Master'!$F$12:$I$102,4,0))&lt;&gt;7,BK217-VLOOKUP($P217&amp;" | "&amp;BB$6,'Job Master'!$F$12:$I$102,4,0),BK217-VLOOKUP($P217&amp;" | "&amp;BB$6,'Job Master'!$F$12:$I$102,4,0)-1),""),"")</f>
        <v/>
      </c>
      <c r="BE217" s="73"/>
      <c r="BF217" s="123" t="str">
        <f t="shared" si="405"/>
        <v/>
      </c>
      <c r="BG217" s="123" t="str">
        <f t="shared" si="406"/>
        <v/>
      </c>
      <c r="BH217" s="97" t="str">
        <f t="shared" ca="1" si="407"/>
        <v/>
      </c>
      <c r="BI217" s="98" t="str">
        <f>IF(BK217&lt;&gt;"",VLOOKUP($P217&amp;" | "&amp;BI$6,'Job Master'!$F$12:$J$102,5,0),"")</f>
        <v/>
      </c>
      <c r="BJ217" s="19" t="str">
        <f>IF(BK217&lt;&gt;"",VLOOKUP($P217&amp;" | "&amp;BI$6,'Job Master'!$F$12:$J$102,3,0),"")</f>
        <v/>
      </c>
      <c r="BK217" s="19" t="str">
        <f>IFERROR(IF(AND(BR217&lt;&gt;"",VLOOKUP($P217&amp;" | "&amp;BI$6,'Job Master'!$F$12:$I$102,4,0)&lt;&gt;""),IF(WEEKDAY(BR217-VLOOKUP($P217&amp;" | "&amp;BI$6,'Job Master'!$F$12:$I$102,4,0))&lt;&gt;7,BR217-VLOOKUP($P217&amp;" | "&amp;BI$6,'Job Master'!$F$12:$I$102,4,0),BR217-VLOOKUP($P217&amp;" | "&amp;BI$6,'Job Master'!$F$12:$I$102,4,0)-1),""),"")</f>
        <v/>
      </c>
      <c r="BL217" s="73"/>
      <c r="BM217" s="123" t="str">
        <f t="shared" si="408"/>
        <v/>
      </c>
      <c r="BN217" s="123" t="str">
        <f t="shared" si="409"/>
        <v/>
      </c>
      <c r="BO217" s="97" t="str">
        <f t="shared" ca="1" si="410"/>
        <v/>
      </c>
      <c r="BP217" s="98" t="str">
        <f>IF(BR217&lt;&gt;"",VLOOKUP($P217&amp;" | "&amp;BP$6,'Job Master'!$F$12:$J$102,5,0),"")</f>
        <v/>
      </c>
      <c r="BQ217" s="19" t="str">
        <f>IF(BR217&lt;&gt;"",VLOOKUP($P217&amp;" | "&amp;BP$6,'Job Master'!$F$12:$J$102,3,0),"")</f>
        <v/>
      </c>
      <c r="BR217" s="19" t="str">
        <f>IFERROR(IF(AND(BY217&lt;&gt;"",VLOOKUP($P217&amp;" | "&amp;BP$6,'Job Master'!$F$12:$I$102,4,0)&lt;&gt;""),IF(WEEKDAY(BY217-VLOOKUP($P217&amp;" | "&amp;BP$6,'Job Master'!$F$12:$I$102,4,0))&lt;&gt;7,BY217-VLOOKUP($P217&amp;" | "&amp;BP$6,'Job Master'!$F$12:$I$102,4,0),BY217-VLOOKUP($P217&amp;" | "&amp;BP$6,'Job Master'!$F$12:$I$102,4,0)-1),""),"")</f>
        <v/>
      </c>
      <c r="BS217" s="73"/>
      <c r="BT217" s="123" t="str">
        <f t="shared" si="411"/>
        <v/>
      </c>
      <c r="BU217" s="123" t="str">
        <f t="shared" si="412"/>
        <v/>
      </c>
      <c r="BV217" s="97" t="str">
        <f t="shared" ca="1" si="413"/>
        <v/>
      </c>
      <c r="BW217" s="98" t="str">
        <f>IF(BY217&lt;&gt;"",VLOOKUP($P217&amp;" | "&amp;BW$6,'Job Master'!$F$12:$J$102,5,0),"")</f>
        <v/>
      </c>
      <c r="BX217" s="19" t="str">
        <f>IF(BY217&lt;&gt;"",VLOOKUP($P217&amp;" | "&amp;BW$6,'Job Master'!$F$12:$J$102,3,0),"")</f>
        <v/>
      </c>
      <c r="BY217" s="19" t="str">
        <f>IFERROR(IF(AND(CF217&lt;&gt;"",VLOOKUP($P217&amp;" | "&amp;BW$6,'Job Master'!$F$12:$I$102,4,0)&lt;&gt;""),IF(WEEKDAY(CF217-VLOOKUP($P217&amp;" | "&amp;BW$6,'Job Master'!$F$12:$I$102,4,0))&lt;&gt;7,CF217-VLOOKUP($P217&amp;" | "&amp;BW$6,'Job Master'!$F$12:$I$102,4,0),CF217-VLOOKUP($P217&amp;" | "&amp;BW$6,'Job Master'!$F$12:$I$102,4,0)-1),""),"")</f>
        <v/>
      </c>
      <c r="BZ217" s="73"/>
      <c r="CA217" s="123" t="str">
        <f t="shared" si="414"/>
        <v/>
      </c>
      <c r="CB217" s="123" t="str">
        <f t="shared" si="415"/>
        <v/>
      </c>
      <c r="CC217" s="97" t="str">
        <f t="shared" ca="1" si="416"/>
        <v/>
      </c>
      <c r="CD217" s="98" t="str">
        <f>IF(CF217&lt;&gt;"",VLOOKUP($P217&amp;" | "&amp;CD$6,'Job Master'!$F$12:$J$102,5,0),"")</f>
        <v/>
      </c>
      <c r="CE217" s="19" t="str">
        <f>IF(CF217&lt;&gt;"",VLOOKUP($P217&amp;" | "&amp;CD$6,'Job Master'!$F$12:$J$102,3,0),"")</f>
        <v/>
      </c>
      <c r="CF217" s="19" t="str">
        <f>IFERROR(IF(AND(CM217&lt;&gt;"",VLOOKUP($P217&amp;" | "&amp;CD$6,'Job Master'!$F$12:$I$102,4,0)&lt;&gt;""),IF(WEEKDAY(CM217-VLOOKUP($P217&amp;" | "&amp;CD$6,'Job Master'!$F$12:$I$102,4,0))&lt;&gt;7,CM217-VLOOKUP($P217&amp;" | "&amp;CD$6,'Job Master'!$F$12:$I$102,4,0),CM217-VLOOKUP($P217&amp;" | "&amp;CD$6,'Job Master'!$F$12:$I$102,4,0)-1),""),"")</f>
        <v/>
      </c>
      <c r="CG217" s="73"/>
      <c r="CH217" s="123" t="str">
        <f t="shared" si="417"/>
        <v/>
      </c>
      <c r="CI217" s="123" t="str">
        <f t="shared" si="418"/>
        <v/>
      </c>
      <c r="CJ217" s="97" t="str">
        <f t="shared" ca="1" si="419"/>
        <v/>
      </c>
      <c r="CK217" s="98" t="str">
        <f>IF(CM217&lt;&gt;"",VLOOKUP($P217&amp;" | "&amp;CK$6,'Job Master'!$F$12:$J$102,5,0),"")</f>
        <v/>
      </c>
      <c r="CL217" s="19" t="str">
        <f>IF(CM217&lt;&gt;"",VLOOKUP($P217&amp;" | "&amp;CK$6,'Job Master'!$F$12:$J$102,3,0),"")</f>
        <v/>
      </c>
      <c r="CM217" s="19" t="str">
        <f>IFERROR(IF(AND(CT217&lt;&gt;"",VLOOKUP($P217&amp;" | "&amp;CK$6,'Job Master'!$F$12:$I$102,4,0)&lt;&gt;""),IF(WEEKDAY(CT217-VLOOKUP($P217&amp;" | "&amp;CK$6,'Job Master'!$F$12:$I$102,4,0))&lt;&gt;7,CT217-VLOOKUP($P217&amp;" | "&amp;CK$6,'Job Master'!$F$12:$I$102,4,0),CT217-VLOOKUP($P217&amp;" | "&amp;CK$6,'Job Master'!$F$12:$I$102,4,0)-1),""),"")</f>
        <v/>
      </c>
      <c r="CN217" s="73"/>
      <c r="CO217" s="123" t="str">
        <f t="shared" si="420"/>
        <v/>
      </c>
      <c r="CP217" s="123" t="str">
        <f t="shared" si="421"/>
        <v/>
      </c>
      <c r="CQ217" s="97" t="str">
        <f t="shared" ca="1" si="422"/>
        <v/>
      </c>
      <c r="CR217" s="98" t="str">
        <f>IF(CT217&lt;&gt;"",VLOOKUP($P217&amp;" | "&amp;CR$6,'Job Master'!$F$12:$J$102,5,0),"")</f>
        <v/>
      </c>
      <c r="CS217" s="19" t="str">
        <f>IF(CT217&lt;&gt;"",VLOOKUP($P217&amp;" | "&amp;CR$6,'Job Master'!$F$12:$J$102,3,0),"")</f>
        <v/>
      </c>
      <c r="CT217" s="19" t="str">
        <f>IFERROR(IF(AND(DA217&lt;&gt;"",VLOOKUP($P217&amp;" | "&amp;CR$6,'Job Master'!$F$12:$I$102,4,0)&lt;&gt;""),IF(WEEKDAY(DA217-VLOOKUP($P217&amp;" | "&amp;CR$6,'Job Master'!$F$12:$I$102,4,0))&lt;&gt;7,DA217-VLOOKUP($P217&amp;" | "&amp;CR$6,'Job Master'!$F$12:$I$102,4,0),DA217-VLOOKUP($P217&amp;" | "&amp;CR$6,'Job Master'!$F$12:$I$102,4,0)-1),""),"")</f>
        <v/>
      </c>
      <c r="CU217" s="73"/>
      <c r="CV217" s="123" t="str">
        <f t="shared" si="423"/>
        <v/>
      </c>
      <c r="CW217" s="123" t="str">
        <f t="shared" si="424"/>
        <v/>
      </c>
      <c r="CX217" s="97" t="str">
        <f t="shared" ca="1" si="425"/>
        <v/>
      </c>
      <c r="CY217" s="98" t="str">
        <f>IF(DA217&lt;&gt;"",VLOOKUP($P217&amp;" | "&amp;CY$6,'Job Master'!$F$12:$J$102,5,0),"")</f>
        <v/>
      </c>
      <c r="CZ217" s="19" t="str">
        <f>IF(DA217&lt;&gt;"",VLOOKUP($P217&amp;" | "&amp;CY$6,'Job Master'!$F$12:$J$102,3,0),"")</f>
        <v/>
      </c>
      <c r="DA217" s="19" t="str">
        <f>IFERROR(IF(AND(DH217&lt;&gt;"",VLOOKUP($P217&amp;" | "&amp;CY$6,'Job Master'!$F$12:$I$102,4,0)&lt;&gt;""),IF(WEEKDAY(DH217-VLOOKUP($P217&amp;" | "&amp;CY$6,'Job Master'!$F$12:$I$102,4,0))&lt;&gt;7,DH217-VLOOKUP($P217&amp;" | "&amp;CY$6,'Job Master'!$F$12:$I$102,4,0),DH217-VLOOKUP($P217&amp;" | "&amp;CY$6,'Job Master'!$F$12:$I$102,4,0)-1),""),"")</f>
        <v/>
      </c>
      <c r="DB217" s="73"/>
      <c r="DC217" s="123" t="str">
        <f t="shared" si="426"/>
        <v/>
      </c>
      <c r="DD217" s="123" t="str">
        <f t="shared" si="427"/>
        <v/>
      </c>
      <c r="DE217" s="97" t="str">
        <f t="shared" ca="1" si="428"/>
        <v/>
      </c>
      <c r="DF217" s="98" t="str">
        <f>IF(DH217&lt;&gt;"",VLOOKUP($P217&amp;" | "&amp;DF$6,'Job Master'!$F$12:$J$102,5,0),"")</f>
        <v/>
      </c>
      <c r="DG217" s="19" t="str">
        <f>IF(DH217&lt;&gt;"",VLOOKUP($P217&amp;" | "&amp;DF$6,'Job Master'!$F$12:$J$102,3,0),"")</f>
        <v/>
      </c>
      <c r="DH217" s="19" t="str">
        <f>IFERROR(IF(AND(DO217&lt;&gt;"",VLOOKUP($P217&amp;" | "&amp;DF$6,'Job Master'!$F$12:$I$102,4,0)&lt;&gt;""),IF(WEEKDAY(DO217-VLOOKUP($P217&amp;" | "&amp;DF$6,'Job Master'!$F$12:$I$102,4,0))&lt;&gt;7,DO217-VLOOKUP($P217&amp;" | "&amp;DF$6,'Job Master'!$F$12:$I$102,4,0),DO217-VLOOKUP($P217&amp;" | "&amp;DF$6,'Job Master'!$F$12:$I$102,4,0)-1),""),"")</f>
        <v/>
      </c>
      <c r="DI217" s="73"/>
      <c r="DJ217" s="123" t="str">
        <f t="shared" si="429"/>
        <v/>
      </c>
      <c r="DK217" s="123" t="str">
        <f t="shared" si="430"/>
        <v/>
      </c>
      <c r="DL217" s="97" t="str">
        <f t="shared" ca="1" si="431"/>
        <v/>
      </c>
      <c r="DM217" s="98" t="str">
        <f>IF(DO217&lt;&gt;"",VLOOKUP($P217&amp;" | "&amp;DM$6,'Job Master'!$F$12:$J$102,5,0),"")</f>
        <v/>
      </c>
      <c r="DN217" s="19" t="str">
        <f>IF(DO217&lt;&gt;"",VLOOKUP($P217&amp;" | "&amp;DM$6,'Job Master'!$F$12:$J$102,3,0),"")</f>
        <v/>
      </c>
      <c r="DO217" s="19" t="str">
        <f>IFERROR(IF(AND(DT217&lt;&gt;"",VLOOKUP($P217&amp;" | "&amp;DM$6,'Job Master'!$F$12:$I$102,4,0)&lt;&gt;""),IF(WEEKDAY(DT217-VLOOKUP($P217&amp;" | "&amp;DM$6,'Job Master'!$F$12:$I$102,4,0))&lt;&gt;7,DT217-VLOOKUP($P217&amp;" | "&amp;DM$6,'Job Master'!$F$12:$I$102,4,0),DT217-VLOOKUP($P217&amp;" | "&amp;DM$6,'Job Master'!$F$12:$I$102,4,0)-1),""),"")</f>
        <v/>
      </c>
      <c r="DP217" s="73"/>
      <c r="DQ217" s="123" t="str">
        <f t="shared" si="432"/>
        <v/>
      </c>
      <c r="DR217" s="123" t="str">
        <f t="shared" si="433"/>
        <v/>
      </c>
      <c r="DS217" s="97" t="str">
        <f t="shared" ca="1" si="434"/>
        <v/>
      </c>
      <c r="DT217" s="70" t="str">
        <f t="shared" si="435"/>
        <v/>
      </c>
      <c r="DU217" s="90"/>
      <c r="DV217" s="123" t="str">
        <f t="shared" si="436"/>
        <v/>
      </c>
      <c r="DW217" s="123" t="str">
        <f t="shared" si="437"/>
        <v/>
      </c>
      <c r="DX217" s="132" t="str">
        <f t="shared" ref="DX217" ca="1" si="464">IF(DT217&lt;&gt;"",IF(WEEKNUM(DT217)=WEEKNUM(TODAY()),"This Week",IF(WEEKNUM(DT217)=WEEKNUM(TODAY())+1,"Next Week",IF(WEEKNUM(DT217)=WEEKNUM(TODAY())-1,"Previous Week",""))),"")</f>
        <v/>
      </c>
      <c r="DY217" s="134" t="str">
        <f t="shared" si="439"/>
        <v/>
      </c>
      <c r="DZ217" s="95"/>
      <c r="EB217" s="8" t="str">
        <f t="shared" si="445"/>
        <v/>
      </c>
      <c r="EC217" s="8" t="str">
        <f>IF(O217&lt;&gt;"",VLOOKUP(O217,'Job Master'!$N$12:$O$18,2,0),"")</f>
        <v/>
      </c>
      <c r="ED217" s="8">
        <f t="shared" si="446"/>
        <v>19.5</v>
      </c>
      <c r="EE217" s="8">
        <f t="shared" si="447"/>
        <v>6</v>
      </c>
      <c r="EF217" s="8">
        <f t="shared" si="448"/>
        <v>-1222.5</v>
      </c>
      <c r="EG217" s="8" t="str">
        <f t="shared" si="449"/>
        <v/>
      </c>
      <c r="EH217" s="8" t="str">
        <f t="shared" si="450"/>
        <v/>
      </c>
    </row>
    <row r="218" spans="2:138" x14ac:dyDescent="0.3">
      <c r="B218" s="112"/>
      <c r="C218" s="27"/>
      <c r="D218" s="7" t="str">
        <f t="shared" si="387"/>
        <v/>
      </c>
      <c r="E218" s="25"/>
      <c r="F218" s="7" t="str">
        <f t="shared" si="387"/>
        <v/>
      </c>
      <c r="G218" s="25"/>
      <c r="H218" s="7" t="str">
        <f t="shared" si="387"/>
        <v/>
      </c>
      <c r="I218" s="25"/>
      <c r="J218" s="7" t="str">
        <f t="shared" si="387"/>
        <v/>
      </c>
      <c r="K218" s="25"/>
      <c r="L218" s="7" t="str">
        <f t="shared" si="388"/>
        <v/>
      </c>
      <c r="M218" s="25"/>
      <c r="N218" s="7" t="str">
        <f t="shared" si="389"/>
        <v/>
      </c>
      <c r="O218" s="81"/>
      <c r="P218" s="81" t="str">
        <f t="shared" si="390"/>
        <v/>
      </c>
      <c r="Q218" s="81"/>
      <c r="R218" s="7" t="str">
        <f t="shared" si="391"/>
        <v/>
      </c>
      <c r="S218" s="25"/>
      <c r="T218" s="7" t="str">
        <f t="shared" si="392"/>
        <v/>
      </c>
      <c r="U218" s="25"/>
      <c r="V218" s="7" t="str">
        <f t="shared" si="393"/>
        <v/>
      </c>
      <c r="W218" s="25"/>
      <c r="X218" s="7" t="str">
        <f t="shared" si="394"/>
        <v/>
      </c>
      <c r="Y218" s="18" t="str">
        <f t="shared" si="395"/>
        <v/>
      </c>
      <c r="Z218" s="7" t="str">
        <f t="shared" si="396"/>
        <v/>
      </c>
      <c r="AA218" s="18" t="str">
        <f t="shared" si="397"/>
        <v/>
      </c>
      <c r="AB218" s="19" t="str">
        <f t="shared" si="398"/>
        <v/>
      </c>
      <c r="AC218" s="26"/>
      <c r="AD218" s="26"/>
      <c r="AE218" s="25"/>
      <c r="AF218" s="26"/>
      <c r="AG218" s="25"/>
      <c r="AH218" s="25"/>
      <c r="AI218" s="18" t="str">
        <f t="shared" si="461"/>
        <v/>
      </c>
      <c r="AJ218" s="25"/>
      <c r="AK218" s="18" t="str">
        <f t="shared" si="462"/>
        <v/>
      </c>
      <c r="AL218" s="79"/>
      <c r="AM218" s="126" t="str">
        <f t="shared" si="463"/>
        <v/>
      </c>
      <c r="AN218" s="128" t="str">
        <f>IF(AP218&lt;&gt;"",VLOOKUP($P218&amp;" | "&amp;AN$6,'Job Master'!$F$12:$J$102,5,0),"")</f>
        <v/>
      </c>
      <c r="AO218" s="19" t="str">
        <f>IF(AP218&lt;&gt;"",VLOOKUP($P218&amp;" | "&amp;AN$6,'Job Master'!$F$12:$J$102,3,0),"")</f>
        <v/>
      </c>
      <c r="AP218" s="19" t="str">
        <f>IFERROR(IF(AND(AW218&lt;&gt;"",VLOOKUP($P218&amp;" | "&amp;AN$6,'Job Master'!$F$12:$I$102,4,0)&lt;&gt;""),IF(WEEKDAY(AW218-VLOOKUP($P218&amp;" | "&amp;AN$6,'Job Master'!$F$12:$I$102,4,0))&lt;&gt;7,AW218-VLOOKUP($P218&amp;" | "&amp;AN$6,'Job Master'!$F$12:$I$102,4,0),AW218-VLOOKUP($P218&amp;" | "&amp;AN$6,'Job Master'!$F$12:$I$102,4,0)-1),""),"")</f>
        <v/>
      </c>
      <c r="AQ218" s="73"/>
      <c r="AR218" s="123" t="str">
        <f t="shared" si="399"/>
        <v/>
      </c>
      <c r="AS218" s="123" t="str">
        <f t="shared" si="400"/>
        <v/>
      </c>
      <c r="AT218" s="97" t="str">
        <f t="shared" ca="1" si="401"/>
        <v/>
      </c>
      <c r="AU218" s="98" t="str">
        <f>IF(AW218&lt;&gt;"",VLOOKUP($P218&amp;" | "&amp;AU$6,'Job Master'!$F$12:$J$102,5,0),"")</f>
        <v/>
      </c>
      <c r="AV218" s="19" t="str">
        <f>IF(AW218&lt;&gt;"",VLOOKUP($P218&amp;" | "&amp;AU$6,'Job Master'!$F$12:$J$102,3,0),"")</f>
        <v/>
      </c>
      <c r="AW218" s="19" t="str">
        <f>IFERROR(IF(AND(BD218&lt;&gt;"",VLOOKUP($P218&amp;" | "&amp;AU$6,'Job Master'!$F$12:$I$102,4,0)&lt;&gt;""),IF(WEEKDAY(BD218-VLOOKUP($P218&amp;" | "&amp;AU$6,'Job Master'!$F$12:$I$102,4,0))&lt;&gt;7,BD218-VLOOKUP($P218&amp;" | "&amp;AU$6,'Job Master'!$F$12:$I$102,4,0),BD218-VLOOKUP($P218&amp;" | "&amp;AU$6,'Job Master'!$F$12:$I$102,4,0)-1),""),"")</f>
        <v/>
      </c>
      <c r="AX218" s="73"/>
      <c r="AY218" s="123" t="str">
        <f t="shared" si="402"/>
        <v/>
      </c>
      <c r="AZ218" s="123" t="str">
        <f t="shared" si="403"/>
        <v/>
      </c>
      <c r="BA218" s="97" t="str">
        <f t="shared" ca="1" si="404"/>
        <v/>
      </c>
      <c r="BB218" s="98" t="str">
        <f>IF(BD218&lt;&gt;"",VLOOKUP($P218&amp;" | "&amp;BB$6,'Job Master'!$F$12:$J$102,5,0),"")</f>
        <v/>
      </c>
      <c r="BC218" s="19" t="str">
        <f>IF(BD218&lt;&gt;"",VLOOKUP($P218&amp;" | "&amp;BB$6,'Job Master'!$F$12:$J$102,3,0),"")</f>
        <v/>
      </c>
      <c r="BD218" s="19" t="str">
        <f>IFERROR(IF(AND(BK218&lt;&gt;"",VLOOKUP($P218&amp;" | "&amp;BB$6,'Job Master'!$F$12:$I$102,4,0)&lt;&gt;""),IF(WEEKDAY(BK218-VLOOKUP($P218&amp;" | "&amp;BB$6,'Job Master'!$F$12:$I$102,4,0))&lt;&gt;7,BK218-VLOOKUP($P218&amp;" | "&amp;BB$6,'Job Master'!$F$12:$I$102,4,0),BK218-VLOOKUP($P218&amp;" | "&amp;BB$6,'Job Master'!$F$12:$I$102,4,0)-1),""),"")</f>
        <v/>
      </c>
      <c r="BE218" s="73"/>
      <c r="BF218" s="123" t="str">
        <f t="shared" si="405"/>
        <v/>
      </c>
      <c r="BG218" s="123" t="str">
        <f t="shared" si="406"/>
        <v/>
      </c>
      <c r="BH218" s="97" t="str">
        <f t="shared" ca="1" si="407"/>
        <v/>
      </c>
      <c r="BI218" s="98" t="str">
        <f>IF(BK218&lt;&gt;"",VLOOKUP($P218&amp;" | "&amp;BI$6,'Job Master'!$F$12:$J$102,5,0),"")</f>
        <v/>
      </c>
      <c r="BJ218" s="19" t="str">
        <f>IF(BK218&lt;&gt;"",VLOOKUP($P218&amp;" | "&amp;BI$6,'Job Master'!$F$12:$J$102,3,0),"")</f>
        <v/>
      </c>
      <c r="BK218" s="19" t="str">
        <f>IFERROR(IF(AND(BR218&lt;&gt;"",VLOOKUP($P218&amp;" | "&amp;BI$6,'Job Master'!$F$12:$I$102,4,0)&lt;&gt;""),IF(WEEKDAY(BR218-VLOOKUP($P218&amp;" | "&amp;BI$6,'Job Master'!$F$12:$I$102,4,0))&lt;&gt;7,BR218-VLOOKUP($P218&amp;" | "&amp;BI$6,'Job Master'!$F$12:$I$102,4,0),BR218-VLOOKUP($P218&amp;" | "&amp;BI$6,'Job Master'!$F$12:$I$102,4,0)-1),""),"")</f>
        <v/>
      </c>
      <c r="BL218" s="73"/>
      <c r="BM218" s="123" t="str">
        <f t="shared" si="408"/>
        <v/>
      </c>
      <c r="BN218" s="123" t="str">
        <f t="shared" si="409"/>
        <v/>
      </c>
      <c r="BO218" s="97" t="str">
        <f t="shared" ca="1" si="410"/>
        <v/>
      </c>
      <c r="BP218" s="98" t="str">
        <f>IF(BR218&lt;&gt;"",VLOOKUP($P218&amp;" | "&amp;BP$6,'Job Master'!$F$12:$J$102,5,0),"")</f>
        <v/>
      </c>
      <c r="BQ218" s="19" t="str">
        <f>IF(BR218&lt;&gt;"",VLOOKUP($P218&amp;" | "&amp;BP$6,'Job Master'!$F$12:$J$102,3,0),"")</f>
        <v/>
      </c>
      <c r="BR218" s="19" t="str">
        <f>IFERROR(IF(AND(BY218&lt;&gt;"",VLOOKUP($P218&amp;" | "&amp;BP$6,'Job Master'!$F$12:$I$102,4,0)&lt;&gt;""),IF(WEEKDAY(BY218-VLOOKUP($P218&amp;" | "&amp;BP$6,'Job Master'!$F$12:$I$102,4,0))&lt;&gt;7,BY218-VLOOKUP($P218&amp;" | "&amp;BP$6,'Job Master'!$F$12:$I$102,4,0),BY218-VLOOKUP($P218&amp;" | "&amp;BP$6,'Job Master'!$F$12:$I$102,4,0)-1),""),"")</f>
        <v/>
      </c>
      <c r="BS218" s="73"/>
      <c r="BT218" s="123" t="str">
        <f t="shared" si="411"/>
        <v/>
      </c>
      <c r="BU218" s="123" t="str">
        <f t="shared" si="412"/>
        <v/>
      </c>
      <c r="BV218" s="97" t="str">
        <f t="shared" ca="1" si="413"/>
        <v/>
      </c>
      <c r="BW218" s="98" t="str">
        <f>IF(BY218&lt;&gt;"",VLOOKUP($P218&amp;" | "&amp;BW$6,'Job Master'!$F$12:$J$102,5,0),"")</f>
        <v/>
      </c>
      <c r="BX218" s="19" t="str">
        <f>IF(BY218&lt;&gt;"",VLOOKUP($P218&amp;" | "&amp;BW$6,'Job Master'!$F$12:$J$102,3,0),"")</f>
        <v/>
      </c>
      <c r="BY218" s="19" t="str">
        <f>IFERROR(IF(AND(CF218&lt;&gt;"",VLOOKUP($P218&amp;" | "&amp;BW$6,'Job Master'!$F$12:$I$102,4,0)&lt;&gt;""),IF(WEEKDAY(CF218-VLOOKUP($P218&amp;" | "&amp;BW$6,'Job Master'!$F$12:$I$102,4,0))&lt;&gt;7,CF218-VLOOKUP($P218&amp;" | "&amp;BW$6,'Job Master'!$F$12:$I$102,4,0),CF218-VLOOKUP($P218&amp;" | "&amp;BW$6,'Job Master'!$F$12:$I$102,4,0)-1),""),"")</f>
        <v/>
      </c>
      <c r="BZ218" s="73"/>
      <c r="CA218" s="123" t="str">
        <f t="shared" si="414"/>
        <v/>
      </c>
      <c r="CB218" s="123" t="str">
        <f t="shared" si="415"/>
        <v/>
      </c>
      <c r="CC218" s="97" t="str">
        <f t="shared" ca="1" si="416"/>
        <v/>
      </c>
      <c r="CD218" s="98" t="str">
        <f>IF(CF218&lt;&gt;"",VLOOKUP($P218&amp;" | "&amp;CD$6,'Job Master'!$F$12:$J$102,5,0),"")</f>
        <v/>
      </c>
      <c r="CE218" s="19" t="str">
        <f>IF(CF218&lt;&gt;"",VLOOKUP($P218&amp;" | "&amp;CD$6,'Job Master'!$F$12:$J$102,3,0),"")</f>
        <v/>
      </c>
      <c r="CF218" s="19" t="str">
        <f>IFERROR(IF(AND(CM218&lt;&gt;"",VLOOKUP($P218&amp;" | "&amp;CD$6,'Job Master'!$F$12:$I$102,4,0)&lt;&gt;""),IF(WEEKDAY(CM218-VLOOKUP($P218&amp;" | "&amp;CD$6,'Job Master'!$F$12:$I$102,4,0))&lt;&gt;7,CM218-VLOOKUP($P218&amp;" | "&amp;CD$6,'Job Master'!$F$12:$I$102,4,0),CM218-VLOOKUP($P218&amp;" | "&amp;CD$6,'Job Master'!$F$12:$I$102,4,0)-1),""),"")</f>
        <v/>
      </c>
      <c r="CG218" s="73"/>
      <c r="CH218" s="123" t="str">
        <f t="shared" si="417"/>
        <v/>
      </c>
      <c r="CI218" s="123" t="str">
        <f t="shared" si="418"/>
        <v/>
      </c>
      <c r="CJ218" s="97" t="str">
        <f t="shared" ca="1" si="419"/>
        <v/>
      </c>
      <c r="CK218" s="98" t="str">
        <f>IF(CM218&lt;&gt;"",VLOOKUP($P218&amp;" | "&amp;CK$6,'Job Master'!$F$12:$J$102,5,0),"")</f>
        <v/>
      </c>
      <c r="CL218" s="19" t="str">
        <f>IF(CM218&lt;&gt;"",VLOOKUP($P218&amp;" | "&amp;CK$6,'Job Master'!$F$12:$J$102,3,0),"")</f>
        <v/>
      </c>
      <c r="CM218" s="19" t="str">
        <f>IFERROR(IF(AND(CT218&lt;&gt;"",VLOOKUP($P218&amp;" | "&amp;CK$6,'Job Master'!$F$12:$I$102,4,0)&lt;&gt;""),IF(WEEKDAY(CT218-VLOOKUP($P218&amp;" | "&amp;CK$6,'Job Master'!$F$12:$I$102,4,0))&lt;&gt;7,CT218-VLOOKUP($P218&amp;" | "&amp;CK$6,'Job Master'!$F$12:$I$102,4,0),CT218-VLOOKUP($P218&amp;" | "&amp;CK$6,'Job Master'!$F$12:$I$102,4,0)-1),""),"")</f>
        <v/>
      </c>
      <c r="CN218" s="73"/>
      <c r="CO218" s="123" t="str">
        <f t="shared" si="420"/>
        <v/>
      </c>
      <c r="CP218" s="123" t="str">
        <f t="shared" si="421"/>
        <v/>
      </c>
      <c r="CQ218" s="97" t="str">
        <f t="shared" ca="1" si="422"/>
        <v/>
      </c>
      <c r="CR218" s="98" t="str">
        <f>IF(CT218&lt;&gt;"",VLOOKUP($P218&amp;" | "&amp;CR$6,'Job Master'!$F$12:$J$102,5,0),"")</f>
        <v/>
      </c>
      <c r="CS218" s="19" t="str">
        <f>IF(CT218&lt;&gt;"",VLOOKUP($P218&amp;" | "&amp;CR$6,'Job Master'!$F$12:$J$102,3,0),"")</f>
        <v/>
      </c>
      <c r="CT218" s="19" t="str">
        <f>IFERROR(IF(AND(DA218&lt;&gt;"",VLOOKUP($P218&amp;" | "&amp;CR$6,'Job Master'!$F$12:$I$102,4,0)&lt;&gt;""),IF(WEEKDAY(DA218-VLOOKUP($P218&amp;" | "&amp;CR$6,'Job Master'!$F$12:$I$102,4,0))&lt;&gt;7,DA218-VLOOKUP($P218&amp;" | "&amp;CR$6,'Job Master'!$F$12:$I$102,4,0),DA218-VLOOKUP($P218&amp;" | "&amp;CR$6,'Job Master'!$F$12:$I$102,4,0)-1),""),"")</f>
        <v/>
      </c>
      <c r="CU218" s="73"/>
      <c r="CV218" s="123" t="str">
        <f t="shared" si="423"/>
        <v/>
      </c>
      <c r="CW218" s="123" t="str">
        <f t="shared" si="424"/>
        <v/>
      </c>
      <c r="CX218" s="97" t="str">
        <f t="shared" ca="1" si="425"/>
        <v/>
      </c>
      <c r="CY218" s="98" t="str">
        <f>IF(DA218&lt;&gt;"",VLOOKUP($P218&amp;" | "&amp;CY$6,'Job Master'!$F$12:$J$102,5,0),"")</f>
        <v/>
      </c>
      <c r="CZ218" s="19" t="str">
        <f>IF(DA218&lt;&gt;"",VLOOKUP($P218&amp;" | "&amp;CY$6,'Job Master'!$F$12:$J$102,3,0),"")</f>
        <v/>
      </c>
      <c r="DA218" s="19" t="str">
        <f>IFERROR(IF(AND(DH218&lt;&gt;"",VLOOKUP($P218&amp;" | "&amp;CY$6,'Job Master'!$F$12:$I$102,4,0)&lt;&gt;""),IF(WEEKDAY(DH218-VLOOKUP($P218&amp;" | "&amp;CY$6,'Job Master'!$F$12:$I$102,4,0))&lt;&gt;7,DH218-VLOOKUP($P218&amp;" | "&amp;CY$6,'Job Master'!$F$12:$I$102,4,0),DH218-VLOOKUP($P218&amp;" | "&amp;CY$6,'Job Master'!$F$12:$I$102,4,0)-1),""),"")</f>
        <v/>
      </c>
      <c r="DB218" s="73"/>
      <c r="DC218" s="123" t="str">
        <f t="shared" si="426"/>
        <v/>
      </c>
      <c r="DD218" s="123" t="str">
        <f t="shared" si="427"/>
        <v/>
      </c>
      <c r="DE218" s="97" t="str">
        <f t="shared" ca="1" si="428"/>
        <v/>
      </c>
      <c r="DF218" s="98" t="str">
        <f>IF(DH218&lt;&gt;"",VLOOKUP($P218&amp;" | "&amp;DF$6,'Job Master'!$F$12:$J$102,5,0),"")</f>
        <v/>
      </c>
      <c r="DG218" s="19" t="str">
        <f>IF(DH218&lt;&gt;"",VLOOKUP($P218&amp;" | "&amp;DF$6,'Job Master'!$F$12:$J$102,3,0),"")</f>
        <v/>
      </c>
      <c r="DH218" s="19" t="str">
        <f>IFERROR(IF(AND(DO218&lt;&gt;"",VLOOKUP($P218&amp;" | "&amp;DF$6,'Job Master'!$F$12:$I$102,4,0)&lt;&gt;""),IF(WEEKDAY(DO218-VLOOKUP($P218&amp;" | "&amp;DF$6,'Job Master'!$F$12:$I$102,4,0))&lt;&gt;7,DO218-VLOOKUP($P218&amp;" | "&amp;DF$6,'Job Master'!$F$12:$I$102,4,0),DO218-VLOOKUP($P218&amp;" | "&amp;DF$6,'Job Master'!$F$12:$I$102,4,0)-1),""),"")</f>
        <v/>
      </c>
      <c r="DI218" s="73"/>
      <c r="DJ218" s="123" t="str">
        <f t="shared" si="429"/>
        <v/>
      </c>
      <c r="DK218" s="123" t="str">
        <f t="shared" si="430"/>
        <v/>
      </c>
      <c r="DL218" s="97" t="str">
        <f t="shared" ca="1" si="431"/>
        <v/>
      </c>
      <c r="DM218" s="98" t="str">
        <f>IF(DO218&lt;&gt;"",VLOOKUP($P218&amp;" | "&amp;DM$6,'Job Master'!$F$12:$J$102,5,0),"")</f>
        <v/>
      </c>
      <c r="DN218" s="19" t="str">
        <f>IF(DO218&lt;&gt;"",VLOOKUP($P218&amp;" | "&amp;DM$6,'Job Master'!$F$12:$J$102,3,0),"")</f>
        <v/>
      </c>
      <c r="DO218" s="19" t="str">
        <f>IFERROR(IF(AND(DT218&lt;&gt;"",VLOOKUP($P218&amp;" | "&amp;DM$6,'Job Master'!$F$12:$I$102,4,0)&lt;&gt;""),IF(WEEKDAY(DT218-VLOOKUP($P218&amp;" | "&amp;DM$6,'Job Master'!$F$12:$I$102,4,0))&lt;&gt;7,DT218-VLOOKUP($P218&amp;" | "&amp;DM$6,'Job Master'!$F$12:$I$102,4,0),DT218-VLOOKUP($P218&amp;" | "&amp;DM$6,'Job Master'!$F$12:$I$102,4,0)-1),""),"")</f>
        <v/>
      </c>
      <c r="DP218" s="73"/>
      <c r="DQ218" s="123" t="str">
        <f t="shared" si="432"/>
        <v/>
      </c>
      <c r="DR218" s="123" t="str">
        <f t="shared" si="433"/>
        <v/>
      </c>
      <c r="DS218" s="97" t="str">
        <f t="shared" ca="1" si="434"/>
        <v/>
      </c>
      <c r="DT218" s="70" t="str">
        <f t="shared" si="435"/>
        <v/>
      </c>
      <c r="DU218" s="90"/>
      <c r="DV218" s="123" t="str">
        <f t="shared" si="436"/>
        <v/>
      </c>
      <c r="DW218" s="123" t="str">
        <f t="shared" si="437"/>
        <v/>
      </c>
      <c r="DX218" s="132" t="str">
        <f t="shared" ref="DX218" ca="1" si="465">IF(DT218&lt;&gt;"",IF(WEEKNUM(DT218)=WEEKNUM(TODAY()),"This Week",IF(WEEKNUM(DT218)=WEEKNUM(TODAY())+1,"Next Week",IF(WEEKNUM(DT218)=WEEKNUM(TODAY())-1,"Previous Week",""))),"")</f>
        <v/>
      </c>
      <c r="DY218" s="134" t="str">
        <f t="shared" si="439"/>
        <v/>
      </c>
      <c r="DZ218" s="95"/>
      <c r="EB218" s="8" t="str">
        <f t="shared" si="445"/>
        <v/>
      </c>
      <c r="EC218" s="8" t="str">
        <f>IF(O218&lt;&gt;"",VLOOKUP(O218,'Job Master'!$N$12:$O$18,2,0),"")</f>
        <v/>
      </c>
      <c r="ED218" s="8">
        <f t="shared" si="446"/>
        <v>19.5</v>
      </c>
      <c r="EE218" s="8">
        <f t="shared" si="447"/>
        <v>6</v>
      </c>
      <c r="EF218" s="8">
        <f t="shared" si="448"/>
        <v>-1228.5</v>
      </c>
      <c r="EG218" s="8" t="str">
        <f t="shared" si="449"/>
        <v/>
      </c>
      <c r="EH218" s="8" t="str">
        <f t="shared" si="450"/>
        <v/>
      </c>
    </row>
    <row r="219" spans="2:138" x14ac:dyDescent="0.3">
      <c r="B219" s="112"/>
      <c r="C219" s="27"/>
      <c r="D219" s="7" t="str">
        <f t="shared" si="387"/>
        <v/>
      </c>
      <c r="E219" s="25"/>
      <c r="F219" s="7" t="str">
        <f t="shared" si="387"/>
        <v/>
      </c>
      <c r="G219" s="25"/>
      <c r="H219" s="7" t="str">
        <f t="shared" si="387"/>
        <v/>
      </c>
      <c r="I219" s="25"/>
      <c r="J219" s="7" t="str">
        <f t="shared" si="387"/>
        <v/>
      </c>
      <c r="K219" s="25"/>
      <c r="L219" s="7" t="str">
        <f t="shared" si="388"/>
        <v/>
      </c>
      <c r="M219" s="25"/>
      <c r="N219" s="7" t="str">
        <f t="shared" si="389"/>
        <v/>
      </c>
      <c r="O219" s="81"/>
      <c r="P219" s="81" t="str">
        <f t="shared" si="390"/>
        <v/>
      </c>
      <c r="Q219" s="81"/>
      <c r="R219" s="7" t="str">
        <f t="shared" si="391"/>
        <v/>
      </c>
      <c r="S219" s="25"/>
      <c r="T219" s="7" t="str">
        <f t="shared" si="392"/>
        <v/>
      </c>
      <c r="U219" s="25"/>
      <c r="V219" s="7" t="str">
        <f t="shared" si="393"/>
        <v/>
      </c>
      <c r="W219" s="25"/>
      <c r="X219" s="7" t="str">
        <f t="shared" si="394"/>
        <v/>
      </c>
      <c r="Y219" s="18" t="str">
        <f t="shared" si="395"/>
        <v/>
      </c>
      <c r="Z219" s="7" t="str">
        <f t="shared" si="396"/>
        <v/>
      </c>
      <c r="AA219" s="18" t="str">
        <f t="shared" si="397"/>
        <v/>
      </c>
      <c r="AB219" s="19" t="str">
        <f t="shared" si="398"/>
        <v/>
      </c>
      <c r="AC219" s="26"/>
      <c r="AD219" s="26"/>
      <c r="AE219" s="25"/>
      <c r="AF219" s="26"/>
      <c r="AG219" s="25"/>
      <c r="AH219" s="25"/>
      <c r="AI219" s="18" t="str">
        <f t="shared" si="461"/>
        <v/>
      </c>
      <c r="AJ219" s="25"/>
      <c r="AK219" s="18" t="str">
        <f t="shared" si="462"/>
        <v/>
      </c>
      <c r="AL219" s="79"/>
      <c r="AM219" s="126" t="str">
        <f t="shared" si="463"/>
        <v/>
      </c>
      <c r="AN219" s="128" t="str">
        <f>IF(AP219&lt;&gt;"",VLOOKUP($P219&amp;" | "&amp;AN$6,'Job Master'!$F$12:$J$102,5,0),"")</f>
        <v/>
      </c>
      <c r="AO219" s="19" t="str">
        <f>IF(AP219&lt;&gt;"",VLOOKUP($P219&amp;" | "&amp;AN$6,'Job Master'!$F$12:$J$102,3,0),"")</f>
        <v/>
      </c>
      <c r="AP219" s="19" t="str">
        <f>IFERROR(IF(AND(AW219&lt;&gt;"",VLOOKUP($P219&amp;" | "&amp;AN$6,'Job Master'!$F$12:$I$102,4,0)&lt;&gt;""),IF(WEEKDAY(AW219-VLOOKUP($P219&amp;" | "&amp;AN$6,'Job Master'!$F$12:$I$102,4,0))&lt;&gt;7,AW219-VLOOKUP($P219&amp;" | "&amp;AN$6,'Job Master'!$F$12:$I$102,4,0),AW219-VLOOKUP($P219&amp;" | "&amp;AN$6,'Job Master'!$F$12:$I$102,4,0)-1),""),"")</f>
        <v/>
      </c>
      <c r="AQ219" s="73"/>
      <c r="AR219" s="123" t="str">
        <f t="shared" si="399"/>
        <v/>
      </c>
      <c r="AS219" s="123" t="str">
        <f t="shared" si="400"/>
        <v/>
      </c>
      <c r="AT219" s="97" t="str">
        <f t="shared" ca="1" si="401"/>
        <v/>
      </c>
      <c r="AU219" s="98" t="str">
        <f>IF(AW219&lt;&gt;"",VLOOKUP($P219&amp;" | "&amp;AU$6,'Job Master'!$F$12:$J$102,5,0),"")</f>
        <v/>
      </c>
      <c r="AV219" s="19" t="str">
        <f>IF(AW219&lt;&gt;"",VLOOKUP($P219&amp;" | "&amp;AU$6,'Job Master'!$F$12:$J$102,3,0),"")</f>
        <v/>
      </c>
      <c r="AW219" s="19" t="str">
        <f>IFERROR(IF(AND(BD219&lt;&gt;"",VLOOKUP($P219&amp;" | "&amp;AU$6,'Job Master'!$F$12:$I$102,4,0)&lt;&gt;""),IF(WEEKDAY(BD219-VLOOKUP($P219&amp;" | "&amp;AU$6,'Job Master'!$F$12:$I$102,4,0))&lt;&gt;7,BD219-VLOOKUP($P219&amp;" | "&amp;AU$6,'Job Master'!$F$12:$I$102,4,0),BD219-VLOOKUP($P219&amp;" | "&amp;AU$6,'Job Master'!$F$12:$I$102,4,0)-1),""),"")</f>
        <v/>
      </c>
      <c r="AX219" s="73"/>
      <c r="AY219" s="123" t="str">
        <f t="shared" si="402"/>
        <v/>
      </c>
      <c r="AZ219" s="123" t="str">
        <f t="shared" si="403"/>
        <v/>
      </c>
      <c r="BA219" s="97" t="str">
        <f t="shared" ca="1" si="404"/>
        <v/>
      </c>
      <c r="BB219" s="98" t="str">
        <f>IF(BD219&lt;&gt;"",VLOOKUP($P219&amp;" | "&amp;BB$6,'Job Master'!$F$12:$J$102,5,0),"")</f>
        <v/>
      </c>
      <c r="BC219" s="19" t="str">
        <f>IF(BD219&lt;&gt;"",VLOOKUP($P219&amp;" | "&amp;BB$6,'Job Master'!$F$12:$J$102,3,0),"")</f>
        <v/>
      </c>
      <c r="BD219" s="19" t="str">
        <f>IFERROR(IF(AND(BK219&lt;&gt;"",VLOOKUP($P219&amp;" | "&amp;BB$6,'Job Master'!$F$12:$I$102,4,0)&lt;&gt;""),IF(WEEKDAY(BK219-VLOOKUP($P219&amp;" | "&amp;BB$6,'Job Master'!$F$12:$I$102,4,0))&lt;&gt;7,BK219-VLOOKUP($P219&amp;" | "&amp;BB$6,'Job Master'!$F$12:$I$102,4,0),BK219-VLOOKUP($P219&amp;" | "&amp;BB$6,'Job Master'!$F$12:$I$102,4,0)-1),""),"")</f>
        <v/>
      </c>
      <c r="BE219" s="73"/>
      <c r="BF219" s="123" t="str">
        <f t="shared" si="405"/>
        <v/>
      </c>
      <c r="BG219" s="123" t="str">
        <f t="shared" si="406"/>
        <v/>
      </c>
      <c r="BH219" s="97" t="str">
        <f t="shared" ca="1" si="407"/>
        <v/>
      </c>
      <c r="BI219" s="98" t="str">
        <f>IF(BK219&lt;&gt;"",VLOOKUP($P219&amp;" | "&amp;BI$6,'Job Master'!$F$12:$J$102,5,0),"")</f>
        <v/>
      </c>
      <c r="BJ219" s="19" t="str">
        <f>IF(BK219&lt;&gt;"",VLOOKUP($P219&amp;" | "&amp;BI$6,'Job Master'!$F$12:$J$102,3,0),"")</f>
        <v/>
      </c>
      <c r="BK219" s="19" t="str">
        <f>IFERROR(IF(AND(BR219&lt;&gt;"",VLOOKUP($P219&amp;" | "&amp;BI$6,'Job Master'!$F$12:$I$102,4,0)&lt;&gt;""),IF(WEEKDAY(BR219-VLOOKUP($P219&amp;" | "&amp;BI$6,'Job Master'!$F$12:$I$102,4,0))&lt;&gt;7,BR219-VLOOKUP($P219&amp;" | "&amp;BI$6,'Job Master'!$F$12:$I$102,4,0),BR219-VLOOKUP($P219&amp;" | "&amp;BI$6,'Job Master'!$F$12:$I$102,4,0)-1),""),"")</f>
        <v/>
      </c>
      <c r="BL219" s="73"/>
      <c r="BM219" s="123" t="str">
        <f t="shared" si="408"/>
        <v/>
      </c>
      <c r="BN219" s="123" t="str">
        <f t="shared" si="409"/>
        <v/>
      </c>
      <c r="BO219" s="97" t="str">
        <f t="shared" ca="1" si="410"/>
        <v/>
      </c>
      <c r="BP219" s="98" t="str">
        <f>IF(BR219&lt;&gt;"",VLOOKUP($P219&amp;" | "&amp;BP$6,'Job Master'!$F$12:$J$102,5,0),"")</f>
        <v/>
      </c>
      <c r="BQ219" s="19" t="str">
        <f>IF(BR219&lt;&gt;"",VLOOKUP($P219&amp;" | "&amp;BP$6,'Job Master'!$F$12:$J$102,3,0),"")</f>
        <v/>
      </c>
      <c r="BR219" s="19" t="str">
        <f>IFERROR(IF(AND(BY219&lt;&gt;"",VLOOKUP($P219&amp;" | "&amp;BP$6,'Job Master'!$F$12:$I$102,4,0)&lt;&gt;""),IF(WEEKDAY(BY219-VLOOKUP($P219&amp;" | "&amp;BP$6,'Job Master'!$F$12:$I$102,4,0))&lt;&gt;7,BY219-VLOOKUP($P219&amp;" | "&amp;BP$6,'Job Master'!$F$12:$I$102,4,0),BY219-VLOOKUP($P219&amp;" | "&amp;BP$6,'Job Master'!$F$12:$I$102,4,0)-1),""),"")</f>
        <v/>
      </c>
      <c r="BS219" s="73"/>
      <c r="BT219" s="123" t="str">
        <f t="shared" si="411"/>
        <v/>
      </c>
      <c r="BU219" s="123" t="str">
        <f t="shared" si="412"/>
        <v/>
      </c>
      <c r="BV219" s="97" t="str">
        <f t="shared" ca="1" si="413"/>
        <v/>
      </c>
      <c r="BW219" s="98" t="str">
        <f>IF(BY219&lt;&gt;"",VLOOKUP($P219&amp;" | "&amp;BW$6,'Job Master'!$F$12:$J$102,5,0),"")</f>
        <v/>
      </c>
      <c r="BX219" s="19" t="str">
        <f>IF(BY219&lt;&gt;"",VLOOKUP($P219&amp;" | "&amp;BW$6,'Job Master'!$F$12:$J$102,3,0),"")</f>
        <v/>
      </c>
      <c r="BY219" s="19" t="str">
        <f>IFERROR(IF(AND(CF219&lt;&gt;"",VLOOKUP($P219&amp;" | "&amp;BW$6,'Job Master'!$F$12:$I$102,4,0)&lt;&gt;""),IF(WEEKDAY(CF219-VLOOKUP($P219&amp;" | "&amp;BW$6,'Job Master'!$F$12:$I$102,4,0))&lt;&gt;7,CF219-VLOOKUP($P219&amp;" | "&amp;BW$6,'Job Master'!$F$12:$I$102,4,0),CF219-VLOOKUP($P219&amp;" | "&amp;BW$6,'Job Master'!$F$12:$I$102,4,0)-1),""),"")</f>
        <v/>
      </c>
      <c r="BZ219" s="73"/>
      <c r="CA219" s="123" t="str">
        <f t="shared" si="414"/>
        <v/>
      </c>
      <c r="CB219" s="123" t="str">
        <f t="shared" si="415"/>
        <v/>
      </c>
      <c r="CC219" s="97" t="str">
        <f t="shared" ca="1" si="416"/>
        <v/>
      </c>
      <c r="CD219" s="98" t="str">
        <f>IF(CF219&lt;&gt;"",VLOOKUP($P219&amp;" | "&amp;CD$6,'Job Master'!$F$12:$J$102,5,0),"")</f>
        <v/>
      </c>
      <c r="CE219" s="19" t="str">
        <f>IF(CF219&lt;&gt;"",VLOOKUP($P219&amp;" | "&amp;CD$6,'Job Master'!$F$12:$J$102,3,0),"")</f>
        <v/>
      </c>
      <c r="CF219" s="19" t="str">
        <f>IFERROR(IF(AND(CM219&lt;&gt;"",VLOOKUP($P219&amp;" | "&amp;CD$6,'Job Master'!$F$12:$I$102,4,0)&lt;&gt;""),IF(WEEKDAY(CM219-VLOOKUP($P219&amp;" | "&amp;CD$6,'Job Master'!$F$12:$I$102,4,0))&lt;&gt;7,CM219-VLOOKUP($P219&amp;" | "&amp;CD$6,'Job Master'!$F$12:$I$102,4,0),CM219-VLOOKUP($P219&amp;" | "&amp;CD$6,'Job Master'!$F$12:$I$102,4,0)-1),""),"")</f>
        <v/>
      </c>
      <c r="CG219" s="73"/>
      <c r="CH219" s="123" t="str">
        <f t="shared" si="417"/>
        <v/>
      </c>
      <c r="CI219" s="123" t="str">
        <f t="shared" si="418"/>
        <v/>
      </c>
      <c r="CJ219" s="97" t="str">
        <f t="shared" ca="1" si="419"/>
        <v/>
      </c>
      <c r="CK219" s="98" t="str">
        <f>IF(CM219&lt;&gt;"",VLOOKUP($P219&amp;" | "&amp;CK$6,'Job Master'!$F$12:$J$102,5,0),"")</f>
        <v/>
      </c>
      <c r="CL219" s="19" t="str">
        <f>IF(CM219&lt;&gt;"",VLOOKUP($P219&amp;" | "&amp;CK$6,'Job Master'!$F$12:$J$102,3,0),"")</f>
        <v/>
      </c>
      <c r="CM219" s="19" t="str">
        <f>IFERROR(IF(AND(CT219&lt;&gt;"",VLOOKUP($P219&amp;" | "&amp;CK$6,'Job Master'!$F$12:$I$102,4,0)&lt;&gt;""),IF(WEEKDAY(CT219-VLOOKUP($P219&amp;" | "&amp;CK$6,'Job Master'!$F$12:$I$102,4,0))&lt;&gt;7,CT219-VLOOKUP($P219&amp;" | "&amp;CK$6,'Job Master'!$F$12:$I$102,4,0),CT219-VLOOKUP($P219&amp;" | "&amp;CK$6,'Job Master'!$F$12:$I$102,4,0)-1),""),"")</f>
        <v/>
      </c>
      <c r="CN219" s="73"/>
      <c r="CO219" s="123" t="str">
        <f t="shared" si="420"/>
        <v/>
      </c>
      <c r="CP219" s="123" t="str">
        <f t="shared" si="421"/>
        <v/>
      </c>
      <c r="CQ219" s="97" t="str">
        <f t="shared" ca="1" si="422"/>
        <v/>
      </c>
      <c r="CR219" s="98" t="str">
        <f>IF(CT219&lt;&gt;"",VLOOKUP($P219&amp;" | "&amp;CR$6,'Job Master'!$F$12:$J$102,5,0),"")</f>
        <v/>
      </c>
      <c r="CS219" s="19" t="str">
        <f>IF(CT219&lt;&gt;"",VLOOKUP($P219&amp;" | "&amp;CR$6,'Job Master'!$F$12:$J$102,3,0),"")</f>
        <v/>
      </c>
      <c r="CT219" s="19" t="str">
        <f>IFERROR(IF(AND(DA219&lt;&gt;"",VLOOKUP($P219&amp;" | "&amp;CR$6,'Job Master'!$F$12:$I$102,4,0)&lt;&gt;""),IF(WEEKDAY(DA219-VLOOKUP($P219&amp;" | "&amp;CR$6,'Job Master'!$F$12:$I$102,4,0))&lt;&gt;7,DA219-VLOOKUP($P219&amp;" | "&amp;CR$6,'Job Master'!$F$12:$I$102,4,0),DA219-VLOOKUP($P219&amp;" | "&amp;CR$6,'Job Master'!$F$12:$I$102,4,0)-1),""),"")</f>
        <v/>
      </c>
      <c r="CU219" s="73"/>
      <c r="CV219" s="123" t="str">
        <f t="shared" si="423"/>
        <v/>
      </c>
      <c r="CW219" s="123" t="str">
        <f t="shared" si="424"/>
        <v/>
      </c>
      <c r="CX219" s="97" t="str">
        <f t="shared" ca="1" si="425"/>
        <v/>
      </c>
      <c r="CY219" s="98" t="str">
        <f>IF(DA219&lt;&gt;"",VLOOKUP($P219&amp;" | "&amp;CY$6,'Job Master'!$F$12:$J$102,5,0),"")</f>
        <v/>
      </c>
      <c r="CZ219" s="19" t="str">
        <f>IF(DA219&lt;&gt;"",VLOOKUP($P219&amp;" | "&amp;CY$6,'Job Master'!$F$12:$J$102,3,0),"")</f>
        <v/>
      </c>
      <c r="DA219" s="19" t="str">
        <f>IFERROR(IF(AND(DH219&lt;&gt;"",VLOOKUP($P219&amp;" | "&amp;CY$6,'Job Master'!$F$12:$I$102,4,0)&lt;&gt;""),IF(WEEKDAY(DH219-VLOOKUP($P219&amp;" | "&amp;CY$6,'Job Master'!$F$12:$I$102,4,0))&lt;&gt;7,DH219-VLOOKUP($P219&amp;" | "&amp;CY$6,'Job Master'!$F$12:$I$102,4,0),DH219-VLOOKUP($P219&amp;" | "&amp;CY$6,'Job Master'!$F$12:$I$102,4,0)-1),""),"")</f>
        <v/>
      </c>
      <c r="DB219" s="73"/>
      <c r="DC219" s="123" t="str">
        <f t="shared" si="426"/>
        <v/>
      </c>
      <c r="DD219" s="123" t="str">
        <f t="shared" si="427"/>
        <v/>
      </c>
      <c r="DE219" s="97" t="str">
        <f t="shared" ca="1" si="428"/>
        <v/>
      </c>
      <c r="DF219" s="98" t="str">
        <f>IF(DH219&lt;&gt;"",VLOOKUP($P219&amp;" | "&amp;DF$6,'Job Master'!$F$12:$J$102,5,0),"")</f>
        <v/>
      </c>
      <c r="DG219" s="19" t="str">
        <f>IF(DH219&lt;&gt;"",VLOOKUP($P219&amp;" | "&amp;DF$6,'Job Master'!$F$12:$J$102,3,0),"")</f>
        <v/>
      </c>
      <c r="DH219" s="19" t="str">
        <f>IFERROR(IF(AND(DO219&lt;&gt;"",VLOOKUP($P219&amp;" | "&amp;DF$6,'Job Master'!$F$12:$I$102,4,0)&lt;&gt;""),IF(WEEKDAY(DO219-VLOOKUP($P219&amp;" | "&amp;DF$6,'Job Master'!$F$12:$I$102,4,0))&lt;&gt;7,DO219-VLOOKUP($P219&amp;" | "&amp;DF$6,'Job Master'!$F$12:$I$102,4,0),DO219-VLOOKUP($P219&amp;" | "&amp;DF$6,'Job Master'!$F$12:$I$102,4,0)-1),""),"")</f>
        <v/>
      </c>
      <c r="DI219" s="73"/>
      <c r="DJ219" s="123" t="str">
        <f t="shared" si="429"/>
        <v/>
      </c>
      <c r="DK219" s="123" t="str">
        <f t="shared" si="430"/>
        <v/>
      </c>
      <c r="DL219" s="97" t="str">
        <f t="shared" ca="1" si="431"/>
        <v/>
      </c>
      <c r="DM219" s="98" t="str">
        <f>IF(DO219&lt;&gt;"",VLOOKUP($P219&amp;" | "&amp;DM$6,'Job Master'!$F$12:$J$102,5,0),"")</f>
        <v/>
      </c>
      <c r="DN219" s="19" t="str">
        <f>IF(DO219&lt;&gt;"",VLOOKUP($P219&amp;" | "&amp;DM$6,'Job Master'!$F$12:$J$102,3,0),"")</f>
        <v/>
      </c>
      <c r="DO219" s="19" t="str">
        <f>IFERROR(IF(AND(DT219&lt;&gt;"",VLOOKUP($P219&amp;" | "&amp;DM$6,'Job Master'!$F$12:$I$102,4,0)&lt;&gt;""),IF(WEEKDAY(DT219-VLOOKUP($P219&amp;" | "&amp;DM$6,'Job Master'!$F$12:$I$102,4,0))&lt;&gt;7,DT219-VLOOKUP($P219&amp;" | "&amp;DM$6,'Job Master'!$F$12:$I$102,4,0),DT219-VLOOKUP($P219&amp;" | "&amp;DM$6,'Job Master'!$F$12:$I$102,4,0)-1),""),"")</f>
        <v/>
      </c>
      <c r="DP219" s="73"/>
      <c r="DQ219" s="123" t="str">
        <f t="shared" si="432"/>
        <v/>
      </c>
      <c r="DR219" s="123" t="str">
        <f t="shared" si="433"/>
        <v/>
      </c>
      <c r="DS219" s="97" t="str">
        <f t="shared" ca="1" si="434"/>
        <v/>
      </c>
      <c r="DT219" s="70" t="str">
        <f t="shared" si="435"/>
        <v/>
      </c>
      <c r="DU219" s="90"/>
      <c r="DV219" s="123" t="str">
        <f t="shared" si="436"/>
        <v/>
      </c>
      <c r="DW219" s="123" t="str">
        <f t="shared" si="437"/>
        <v/>
      </c>
      <c r="DX219" s="132" t="str">
        <f t="shared" ref="DX219" ca="1" si="466">IF(DT219&lt;&gt;"",IF(WEEKNUM(DT219)=WEEKNUM(TODAY()),"This Week",IF(WEEKNUM(DT219)=WEEKNUM(TODAY())+1,"Next Week",IF(WEEKNUM(DT219)=WEEKNUM(TODAY())-1,"Previous Week",""))),"")</f>
        <v/>
      </c>
      <c r="DY219" s="134" t="str">
        <f t="shared" si="439"/>
        <v/>
      </c>
      <c r="DZ219" s="95"/>
      <c r="EB219" s="8" t="str">
        <f t="shared" si="445"/>
        <v/>
      </c>
      <c r="EC219" s="8" t="str">
        <f>IF(O219&lt;&gt;"",VLOOKUP(O219,'Job Master'!$N$12:$O$18,2,0),"")</f>
        <v/>
      </c>
      <c r="ED219" s="8">
        <f t="shared" si="446"/>
        <v>19.5</v>
      </c>
      <c r="EE219" s="8">
        <f t="shared" si="447"/>
        <v>6</v>
      </c>
      <c r="EF219" s="8">
        <f t="shared" si="448"/>
        <v>-1234.5</v>
      </c>
      <c r="EG219" s="8" t="str">
        <f t="shared" si="449"/>
        <v/>
      </c>
      <c r="EH219" s="8" t="str">
        <f t="shared" si="450"/>
        <v/>
      </c>
    </row>
    <row r="220" spans="2:138" x14ac:dyDescent="0.3">
      <c r="B220" s="112"/>
      <c r="C220" s="27"/>
      <c r="D220" s="7" t="str">
        <f t="shared" si="387"/>
        <v/>
      </c>
      <c r="E220" s="25"/>
      <c r="F220" s="7" t="str">
        <f t="shared" si="387"/>
        <v/>
      </c>
      <c r="G220" s="25"/>
      <c r="H220" s="7" t="str">
        <f t="shared" si="387"/>
        <v/>
      </c>
      <c r="I220" s="25"/>
      <c r="J220" s="7" t="str">
        <f t="shared" si="387"/>
        <v/>
      </c>
      <c r="K220" s="25"/>
      <c r="L220" s="7" t="str">
        <f t="shared" si="388"/>
        <v/>
      </c>
      <c r="M220" s="25"/>
      <c r="N220" s="7" t="str">
        <f t="shared" si="389"/>
        <v/>
      </c>
      <c r="O220" s="81"/>
      <c r="P220" s="81" t="str">
        <f t="shared" si="390"/>
        <v/>
      </c>
      <c r="Q220" s="81"/>
      <c r="R220" s="7" t="str">
        <f t="shared" si="391"/>
        <v/>
      </c>
      <c r="S220" s="25"/>
      <c r="T220" s="7" t="str">
        <f t="shared" si="392"/>
        <v/>
      </c>
      <c r="U220" s="25"/>
      <c r="V220" s="7" t="str">
        <f t="shared" si="393"/>
        <v/>
      </c>
      <c r="W220" s="25"/>
      <c r="X220" s="7" t="str">
        <f t="shared" si="394"/>
        <v/>
      </c>
      <c r="Y220" s="18" t="str">
        <f t="shared" si="395"/>
        <v/>
      </c>
      <c r="Z220" s="7" t="str">
        <f t="shared" si="396"/>
        <v/>
      </c>
      <c r="AA220" s="18" t="str">
        <f t="shared" si="397"/>
        <v/>
      </c>
      <c r="AB220" s="19" t="str">
        <f t="shared" si="398"/>
        <v/>
      </c>
      <c r="AC220" s="26"/>
      <c r="AD220" s="26"/>
      <c r="AE220" s="25"/>
      <c r="AF220" s="26"/>
      <c r="AG220" s="25"/>
      <c r="AH220" s="25"/>
      <c r="AI220" s="18" t="str">
        <f t="shared" si="461"/>
        <v/>
      </c>
      <c r="AJ220" s="25"/>
      <c r="AK220" s="18" t="str">
        <f t="shared" si="462"/>
        <v/>
      </c>
      <c r="AL220" s="79"/>
      <c r="AM220" s="126" t="str">
        <f t="shared" si="463"/>
        <v/>
      </c>
      <c r="AN220" s="128" t="str">
        <f>IF(AP220&lt;&gt;"",VLOOKUP($P220&amp;" | "&amp;AN$6,'Job Master'!$F$12:$J$102,5,0),"")</f>
        <v/>
      </c>
      <c r="AO220" s="19" t="str">
        <f>IF(AP220&lt;&gt;"",VLOOKUP($P220&amp;" | "&amp;AN$6,'Job Master'!$F$12:$J$102,3,0),"")</f>
        <v/>
      </c>
      <c r="AP220" s="19" t="str">
        <f>IFERROR(IF(AND(AW220&lt;&gt;"",VLOOKUP($P220&amp;" | "&amp;AN$6,'Job Master'!$F$12:$I$102,4,0)&lt;&gt;""),IF(WEEKDAY(AW220-VLOOKUP($P220&amp;" | "&amp;AN$6,'Job Master'!$F$12:$I$102,4,0))&lt;&gt;7,AW220-VLOOKUP($P220&amp;" | "&amp;AN$6,'Job Master'!$F$12:$I$102,4,0),AW220-VLOOKUP($P220&amp;" | "&amp;AN$6,'Job Master'!$F$12:$I$102,4,0)-1),""),"")</f>
        <v/>
      </c>
      <c r="AQ220" s="73"/>
      <c r="AR220" s="123" t="str">
        <f t="shared" si="399"/>
        <v/>
      </c>
      <c r="AS220" s="123" t="str">
        <f t="shared" si="400"/>
        <v/>
      </c>
      <c r="AT220" s="97" t="str">
        <f t="shared" ca="1" si="401"/>
        <v/>
      </c>
      <c r="AU220" s="98" t="str">
        <f>IF(AW220&lt;&gt;"",VLOOKUP($P220&amp;" | "&amp;AU$6,'Job Master'!$F$12:$J$102,5,0),"")</f>
        <v/>
      </c>
      <c r="AV220" s="19" t="str">
        <f>IF(AW220&lt;&gt;"",VLOOKUP($P220&amp;" | "&amp;AU$6,'Job Master'!$F$12:$J$102,3,0),"")</f>
        <v/>
      </c>
      <c r="AW220" s="19" t="str">
        <f>IFERROR(IF(AND(BD220&lt;&gt;"",VLOOKUP($P220&amp;" | "&amp;AU$6,'Job Master'!$F$12:$I$102,4,0)&lt;&gt;""),IF(WEEKDAY(BD220-VLOOKUP($P220&amp;" | "&amp;AU$6,'Job Master'!$F$12:$I$102,4,0))&lt;&gt;7,BD220-VLOOKUP($P220&amp;" | "&amp;AU$6,'Job Master'!$F$12:$I$102,4,0),BD220-VLOOKUP($P220&amp;" | "&amp;AU$6,'Job Master'!$F$12:$I$102,4,0)-1),""),"")</f>
        <v/>
      </c>
      <c r="AX220" s="73"/>
      <c r="AY220" s="123" t="str">
        <f t="shared" si="402"/>
        <v/>
      </c>
      <c r="AZ220" s="123" t="str">
        <f t="shared" si="403"/>
        <v/>
      </c>
      <c r="BA220" s="97" t="str">
        <f t="shared" ca="1" si="404"/>
        <v/>
      </c>
      <c r="BB220" s="98" t="str">
        <f>IF(BD220&lt;&gt;"",VLOOKUP($P220&amp;" | "&amp;BB$6,'Job Master'!$F$12:$J$102,5,0),"")</f>
        <v/>
      </c>
      <c r="BC220" s="19" t="str">
        <f>IF(BD220&lt;&gt;"",VLOOKUP($P220&amp;" | "&amp;BB$6,'Job Master'!$F$12:$J$102,3,0),"")</f>
        <v/>
      </c>
      <c r="BD220" s="19" t="str">
        <f>IFERROR(IF(AND(BK220&lt;&gt;"",VLOOKUP($P220&amp;" | "&amp;BB$6,'Job Master'!$F$12:$I$102,4,0)&lt;&gt;""),IF(WEEKDAY(BK220-VLOOKUP($P220&amp;" | "&amp;BB$6,'Job Master'!$F$12:$I$102,4,0))&lt;&gt;7,BK220-VLOOKUP($P220&amp;" | "&amp;BB$6,'Job Master'!$F$12:$I$102,4,0),BK220-VLOOKUP($P220&amp;" | "&amp;BB$6,'Job Master'!$F$12:$I$102,4,0)-1),""),"")</f>
        <v/>
      </c>
      <c r="BE220" s="73"/>
      <c r="BF220" s="123" t="str">
        <f t="shared" si="405"/>
        <v/>
      </c>
      <c r="BG220" s="123" t="str">
        <f t="shared" si="406"/>
        <v/>
      </c>
      <c r="BH220" s="97" t="str">
        <f t="shared" ca="1" si="407"/>
        <v/>
      </c>
      <c r="BI220" s="98" t="str">
        <f>IF(BK220&lt;&gt;"",VLOOKUP($P220&amp;" | "&amp;BI$6,'Job Master'!$F$12:$J$102,5,0),"")</f>
        <v/>
      </c>
      <c r="BJ220" s="19" t="str">
        <f>IF(BK220&lt;&gt;"",VLOOKUP($P220&amp;" | "&amp;BI$6,'Job Master'!$F$12:$J$102,3,0),"")</f>
        <v/>
      </c>
      <c r="BK220" s="19" t="str">
        <f>IFERROR(IF(AND(BR220&lt;&gt;"",VLOOKUP($P220&amp;" | "&amp;BI$6,'Job Master'!$F$12:$I$102,4,0)&lt;&gt;""),IF(WEEKDAY(BR220-VLOOKUP($P220&amp;" | "&amp;BI$6,'Job Master'!$F$12:$I$102,4,0))&lt;&gt;7,BR220-VLOOKUP($P220&amp;" | "&amp;BI$6,'Job Master'!$F$12:$I$102,4,0),BR220-VLOOKUP($P220&amp;" | "&amp;BI$6,'Job Master'!$F$12:$I$102,4,0)-1),""),"")</f>
        <v/>
      </c>
      <c r="BL220" s="73"/>
      <c r="BM220" s="123" t="str">
        <f t="shared" si="408"/>
        <v/>
      </c>
      <c r="BN220" s="123" t="str">
        <f t="shared" si="409"/>
        <v/>
      </c>
      <c r="BO220" s="97" t="str">
        <f t="shared" ca="1" si="410"/>
        <v/>
      </c>
      <c r="BP220" s="98" t="str">
        <f>IF(BR220&lt;&gt;"",VLOOKUP($P220&amp;" | "&amp;BP$6,'Job Master'!$F$12:$J$102,5,0),"")</f>
        <v/>
      </c>
      <c r="BQ220" s="19" t="str">
        <f>IF(BR220&lt;&gt;"",VLOOKUP($P220&amp;" | "&amp;BP$6,'Job Master'!$F$12:$J$102,3,0),"")</f>
        <v/>
      </c>
      <c r="BR220" s="19" t="str">
        <f>IFERROR(IF(AND(BY220&lt;&gt;"",VLOOKUP($P220&amp;" | "&amp;BP$6,'Job Master'!$F$12:$I$102,4,0)&lt;&gt;""),IF(WEEKDAY(BY220-VLOOKUP($P220&amp;" | "&amp;BP$6,'Job Master'!$F$12:$I$102,4,0))&lt;&gt;7,BY220-VLOOKUP($P220&amp;" | "&amp;BP$6,'Job Master'!$F$12:$I$102,4,0),BY220-VLOOKUP($P220&amp;" | "&amp;BP$6,'Job Master'!$F$12:$I$102,4,0)-1),""),"")</f>
        <v/>
      </c>
      <c r="BS220" s="73"/>
      <c r="BT220" s="123" t="str">
        <f t="shared" si="411"/>
        <v/>
      </c>
      <c r="BU220" s="123" t="str">
        <f t="shared" si="412"/>
        <v/>
      </c>
      <c r="BV220" s="97" t="str">
        <f t="shared" ca="1" si="413"/>
        <v/>
      </c>
      <c r="BW220" s="98" t="str">
        <f>IF(BY220&lt;&gt;"",VLOOKUP($P220&amp;" | "&amp;BW$6,'Job Master'!$F$12:$J$102,5,0),"")</f>
        <v/>
      </c>
      <c r="BX220" s="19" t="str">
        <f>IF(BY220&lt;&gt;"",VLOOKUP($P220&amp;" | "&amp;BW$6,'Job Master'!$F$12:$J$102,3,0),"")</f>
        <v/>
      </c>
      <c r="BY220" s="19" t="str">
        <f>IFERROR(IF(AND(CF220&lt;&gt;"",VLOOKUP($P220&amp;" | "&amp;BW$6,'Job Master'!$F$12:$I$102,4,0)&lt;&gt;""),IF(WEEKDAY(CF220-VLOOKUP($P220&amp;" | "&amp;BW$6,'Job Master'!$F$12:$I$102,4,0))&lt;&gt;7,CF220-VLOOKUP($P220&amp;" | "&amp;BW$6,'Job Master'!$F$12:$I$102,4,0),CF220-VLOOKUP($P220&amp;" | "&amp;BW$6,'Job Master'!$F$12:$I$102,4,0)-1),""),"")</f>
        <v/>
      </c>
      <c r="BZ220" s="73"/>
      <c r="CA220" s="123" t="str">
        <f t="shared" si="414"/>
        <v/>
      </c>
      <c r="CB220" s="123" t="str">
        <f t="shared" si="415"/>
        <v/>
      </c>
      <c r="CC220" s="97" t="str">
        <f t="shared" ca="1" si="416"/>
        <v/>
      </c>
      <c r="CD220" s="98" t="str">
        <f>IF(CF220&lt;&gt;"",VLOOKUP($P220&amp;" | "&amp;CD$6,'Job Master'!$F$12:$J$102,5,0),"")</f>
        <v/>
      </c>
      <c r="CE220" s="19" t="str">
        <f>IF(CF220&lt;&gt;"",VLOOKUP($P220&amp;" | "&amp;CD$6,'Job Master'!$F$12:$J$102,3,0),"")</f>
        <v/>
      </c>
      <c r="CF220" s="19" t="str">
        <f>IFERROR(IF(AND(CM220&lt;&gt;"",VLOOKUP($P220&amp;" | "&amp;CD$6,'Job Master'!$F$12:$I$102,4,0)&lt;&gt;""),IF(WEEKDAY(CM220-VLOOKUP($P220&amp;" | "&amp;CD$6,'Job Master'!$F$12:$I$102,4,0))&lt;&gt;7,CM220-VLOOKUP($P220&amp;" | "&amp;CD$6,'Job Master'!$F$12:$I$102,4,0),CM220-VLOOKUP($P220&amp;" | "&amp;CD$6,'Job Master'!$F$12:$I$102,4,0)-1),""),"")</f>
        <v/>
      </c>
      <c r="CG220" s="73"/>
      <c r="CH220" s="123" t="str">
        <f t="shared" si="417"/>
        <v/>
      </c>
      <c r="CI220" s="123" t="str">
        <f t="shared" si="418"/>
        <v/>
      </c>
      <c r="CJ220" s="97" t="str">
        <f t="shared" ca="1" si="419"/>
        <v/>
      </c>
      <c r="CK220" s="98" t="str">
        <f>IF(CM220&lt;&gt;"",VLOOKUP($P220&amp;" | "&amp;CK$6,'Job Master'!$F$12:$J$102,5,0),"")</f>
        <v/>
      </c>
      <c r="CL220" s="19" t="str">
        <f>IF(CM220&lt;&gt;"",VLOOKUP($P220&amp;" | "&amp;CK$6,'Job Master'!$F$12:$J$102,3,0),"")</f>
        <v/>
      </c>
      <c r="CM220" s="19" t="str">
        <f>IFERROR(IF(AND(CT220&lt;&gt;"",VLOOKUP($P220&amp;" | "&amp;CK$6,'Job Master'!$F$12:$I$102,4,0)&lt;&gt;""),IF(WEEKDAY(CT220-VLOOKUP($P220&amp;" | "&amp;CK$6,'Job Master'!$F$12:$I$102,4,0))&lt;&gt;7,CT220-VLOOKUP($P220&amp;" | "&amp;CK$6,'Job Master'!$F$12:$I$102,4,0),CT220-VLOOKUP($P220&amp;" | "&amp;CK$6,'Job Master'!$F$12:$I$102,4,0)-1),""),"")</f>
        <v/>
      </c>
      <c r="CN220" s="73"/>
      <c r="CO220" s="123" t="str">
        <f t="shared" si="420"/>
        <v/>
      </c>
      <c r="CP220" s="123" t="str">
        <f t="shared" si="421"/>
        <v/>
      </c>
      <c r="CQ220" s="97" t="str">
        <f t="shared" ca="1" si="422"/>
        <v/>
      </c>
      <c r="CR220" s="98" t="str">
        <f>IF(CT220&lt;&gt;"",VLOOKUP($P220&amp;" | "&amp;CR$6,'Job Master'!$F$12:$J$102,5,0),"")</f>
        <v/>
      </c>
      <c r="CS220" s="19" t="str">
        <f>IF(CT220&lt;&gt;"",VLOOKUP($P220&amp;" | "&amp;CR$6,'Job Master'!$F$12:$J$102,3,0),"")</f>
        <v/>
      </c>
      <c r="CT220" s="19" t="str">
        <f>IFERROR(IF(AND(DA220&lt;&gt;"",VLOOKUP($P220&amp;" | "&amp;CR$6,'Job Master'!$F$12:$I$102,4,0)&lt;&gt;""),IF(WEEKDAY(DA220-VLOOKUP($P220&amp;" | "&amp;CR$6,'Job Master'!$F$12:$I$102,4,0))&lt;&gt;7,DA220-VLOOKUP($P220&amp;" | "&amp;CR$6,'Job Master'!$F$12:$I$102,4,0),DA220-VLOOKUP($P220&amp;" | "&amp;CR$6,'Job Master'!$F$12:$I$102,4,0)-1),""),"")</f>
        <v/>
      </c>
      <c r="CU220" s="73"/>
      <c r="CV220" s="123" t="str">
        <f t="shared" si="423"/>
        <v/>
      </c>
      <c r="CW220" s="123" t="str">
        <f t="shared" si="424"/>
        <v/>
      </c>
      <c r="CX220" s="97" t="str">
        <f t="shared" ca="1" si="425"/>
        <v/>
      </c>
      <c r="CY220" s="98" t="str">
        <f>IF(DA220&lt;&gt;"",VLOOKUP($P220&amp;" | "&amp;CY$6,'Job Master'!$F$12:$J$102,5,0),"")</f>
        <v/>
      </c>
      <c r="CZ220" s="19" t="str">
        <f>IF(DA220&lt;&gt;"",VLOOKUP($P220&amp;" | "&amp;CY$6,'Job Master'!$F$12:$J$102,3,0),"")</f>
        <v/>
      </c>
      <c r="DA220" s="19" t="str">
        <f>IFERROR(IF(AND(DH220&lt;&gt;"",VLOOKUP($P220&amp;" | "&amp;CY$6,'Job Master'!$F$12:$I$102,4,0)&lt;&gt;""),IF(WEEKDAY(DH220-VLOOKUP($P220&amp;" | "&amp;CY$6,'Job Master'!$F$12:$I$102,4,0))&lt;&gt;7,DH220-VLOOKUP($P220&amp;" | "&amp;CY$6,'Job Master'!$F$12:$I$102,4,0),DH220-VLOOKUP($P220&amp;" | "&amp;CY$6,'Job Master'!$F$12:$I$102,4,0)-1),""),"")</f>
        <v/>
      </c>
      <c r="DB220" s="73"/>
      <c r="DC220" s="123" t="str">
        <f t="shared" si="426"/>
        <v/>
      </c>
      <c r="DD220" s="123" t="str">
        <f t="shared" si="427"/>
        <v/>
      </c>
      <c r="DE220" s="97" t="str">
        <f t="shared" ca="1" si="428"/>
        <v/>
      </c>
      <c r="DF220" s="98" t="str">
        <f>IF(DH220&lt;&gt;"",VLOOKUP($P220&amp;" | "&amp;DF$6,'Job Master'!$F$12:$J$102,5,0),"")</f>
        <v/>
      </c>
      <c r="DG220" s="19" t="str">
        <f>IF(DH220&lt;&gt;"",VLOOKUP($P220&amp;" | "&amp;DF$6,'Job Master'!$F$12:$J$102,3,0),"")</f>
        <v/>
      </c>
      <c r="DH220" s="19" t="str">
        <f>IFERROR(IF(AND(DO220&lt;&gt;"",VLOOKUP($P220&amp;" | "&amp;DF$6,'Job Master'!$F$12:$I$102,4,0)&lt;&gt;""),IF(WEEKDAY(DO220-VLOOKUP($P220&amp;" | "&amp;DF$6,'Job Master'!$F$12:$I$102,4,0))&lt;&gt;7,DO220-VLOOKUP($P220&amp;" | "&amp;DF$6,'Job Master'!$F$12:$I$102,4,0),DO220-VLOOKUP($P220&amp;" | "&amp;DF$6,'Job Master'!$F$12:$I$102,4,0)-1),""),"")</f>
        <v/>
      </c>
      <c r="DI220" s="73"/>
      <c r="DJ220" s="123" t="str">
        <f t="shared" si="429"/>
        <v/>
      </c>
      <c r="DK220" s="123" t="str">
        <f t="shared" si="430"/>
        <v/>
      </c>
      <c r="DL220" s="97" t="str">
        <f t="shared" ca="1" si="431"/>
        <v/>
      </c>
      <c r="DM220" s="98" t="str">
        <f>IF(DO220&lt;&gt;"",VLOOKUP($P220&amp;" | "&amp;DM$6,'Job Master'!$F$12:$J$102,5,0),"")</f>
        <v/>
      </c>
      <c r="DN220" s="19" t="str">
        <f>IF(DO220&lt;&gt;"",VLOOKUP($P220&amp;" | "&amp;DM$6,'Job Master'!$F$12:$J$102,3,0),"")</f>
        <v/>
      </c>
      <c r="DO220" s="19" t="str">
        <f>IFERROR(IF(AND(DT220&lt;&gt;"",VLOOKUP($P220&amp;" | "&amp;DM$6,'Job Master'!$F$12:$I$102,4,0)&lt;&gt;""),IF(WEEKDAY(DT220-VLOOKUP($P220&amp;" | "&amp;DM$6,'Job Master'!$F$12:$I$102,4,0))&lt;&gt;7,DT220-VLOOKUP($P220&amp;" | "&amp;DM$6,'Job Master'!$F$12:$I$102,4,0),DT220-VLOOKUP($P220&amp;" | "&amp;DM$6,'Job Master'!$F$12:$I$102,4,0)-1),""),"")</f>
        <v/>
      </c>
      <c r="DP220" s="73"/>
      <c r="DQ220" s="123" t="str">
        <f t="shared" si="432"/>
        <v/>
      </c>
      <c r="DR220" s="123" t="str">
        <f t="shared" si="433"/>
        <v/>
      </c>
      <c r="DS220" s="97" t="str">
        <f t="shared" ca="1" si="434"/>
        <v/>
      </c>
      <c r="DT220" s="70" t="str">
        <f t="shared" si="435"/>
        <v/>
      </c>
      <c r="DU220" s="90"/>
      <c r="DV220" s="123" t="str">
        <f t="shared" si="436"/>
        <v/>
      </c>
      <c r="DW220" s="123" t="str">
        <f t="shared" si="437"/>
        <v/>
      </c>
      <c r="DX220" s="132" t="str">
        <f t="shared" ref="DX220" ca="1" si="467">IF(DT220&lt;&gt;"",IF(WEEKNUM(DT220)=WEEKNUM(TODAY()),"This Week",IF(WEEKNUM(DT220)=WEEKNUM(TODAY())+1,"Next Week",IF(WEEKNUM(DT220)=WEEKNUM(TODAY())-1,"Previous Week",""))),"")</f>
        <v/>
      </c>
      <c r="DY220" s="134" t="str">
        <f t="shared" si="439"/>
        <v/>
      </c>
      <c r="DZ220" s="95"/>
      <c r="EB220" s="8" t="str">
        <f t="shared" si="445"/>
        <v/>
      </c>
      <c r="EC220" s="8" t="str">
        <f>IF(O220&lt;&gt;"",VLOOKUP(O220,'Job Master'!$N$12:$O$18,2,0),"")</f>
        <v/>
      </c>
      <c r="ED220" s="8">
        <f t="shared" si="446"/>
        <v>19.5</v>
      </c>
      <c r="EE220" s="8">
        <f t="shared" si="447"/>
        <v>6</v>
      </c>
      <c r="EF220" s="8">
        <f t="shared" si="448"/>
        <v>-1240.5</v>
      </c>
      <c r="EG220" s="8" t="str">
        <f t="shared" si="449"/>
        <v/>
      </c>
      <c r="EH220" s="8" t="str">
        <f t="shared" si="450"/>
        <v/>
      </c>
    </row>
    <row r="221" spans="2:138" x14ac:dyDescent="0.3">
      <c r="B221" s="112"/>
      <c r="C221" s="27"/>
      <c r="D221" s="7" t="str">
        <f t="shared" si="387"/>
        <v/>
      </c>
      <c r="E221" s="25"/>
      <c r="F221" s="7" t="str">
        <f t="shared" si="387"/>
        <v/>
      </c>
      <c r="G221" s="25"/>
      <c r="H221" s="7" t="str">
        <f t="shared" si="387"/>
        <v/>
      </c>
      <c r="I221" s="25"/>
      <c r="J221" s="7" t="str">
        <f t="shared" si="387"/>
        <v/>
      </c>
      <c r="K221" s="25"/>
      <c r="L221" s="7" t="str">
        <f t="shared" si="388"/>
        <v/>
      </c>
      <c r="M221" s="25"/>
      <c r="N221" s="7" t="str">
        <f t="shared" si="389"/>
        <v/>
      </c>
      <c r="O221" s="81"/>
      <c r="P221" s="81" t="str">
        <f t="shared" si="390"/>
        <v/>
      </c>
      <c r="Q221" s="81"/>
      <c r="R221" s="7" t="str">
        <f t="shared" si="391"/>
        <v/>
      </c>
      <c r="S221" s="25"/>
      <c r="T221" s="7" t="str">
        <f t="shared" si="392"/>
        <v/>
      </c>
      <c r="U221" s="25"/>
      <c r="V221" s="7" t="str">
        <f t="shared" si="393"/>
        <v/>
      </c>
      <c r="W221" s="25"/>
      <c r="X221" s="7" t="str">
        <f t="shared" si="394"/>
        <v/>
      </c>
      <c r="Y221" s="18" t="str">
        <f t="shared" si="395"/>
        <v/>
      </c>
      <c r="Z221" s="7" t="str">
        <f t="shared" si="396"/>
        <v/>
      </c>
      <c r="AA221" s="18" t="str">
        <f t="shared" si="397"/>
        <v/>
      </c>
      <c r="AB221" s="19" t="str">
        <f t="shared" si="398"/>
        <v/>
      </c>
      <c r="AC221" s="26"/>
      <c r="AD221" s="26"/>
      <c r="AE221" s="25"/>
      <c r="AF221" s="26"/>
      <c r="AG221" s="25"/>
      <c r="AH221" s="25"/>
      <c r="AI221" s="18" t="str">
        <f t="shared" si="461"/>
        <v/>
      </c>
      <c r="AJ221" s="25"/>
      <c r="AK221" s="18" t="str">
        <f t="shared" si="462"/>
        <v/>
      </c>
      <c r="AL221" s="79"/>
      <c r="AM221" s="126" t="str">
        <f t="shared" si="463"/>
        <v/>
      </c>
      <c r="AN221" s="128" t="str">
        <f>IF(AP221&lt;&gt;"",VLOOKUP($P221&amp;" | "&amp;AN$6,'Job Master'!$F$12:$J$102,5,0),"")</f>
        <v/>
      </c>
      <c r="AO221" s="19" t="str">
        <f>IF(AP221&lt;&gt;"",VLOOKUP($P221&amp;" | "&amp;AN$6,'Job Master'!$F$12:$J$102,3,0),"")</f>
        <v/>
      </c>
      <c r="AP221" s="19" t="str">
        <f>IFERROR(IF(AND(AW221&lt;&gt;"",VLOOKUP($P221&amp;" | "&amp;AN$6,'Job Master'!$F$12:$I$102,4,0)&lt;&gt;""),IF(WEEKDAY(AW221-VLOOKUP($P221&amp;" | "&amp;AN$6,'Job Master'!$F$12:$I$102,4,0))&lt;&gt;7,AW221-VLOOKUP($P221&amp;" | "&amp;AN$6,'Job Master'!$F$12:$I$102,4,0),AW221-VLOOKUP($P221&amp;" | "&amp;AN$6,'Job Master'!$F$12:$I$102,4,0)-1),""),"")</f>
        <v/>
      </c>
      <c r="AQ221" s="73"/>
      <c r="AR221" s="123" t="str">
        <f t="shared" si="399"/>
        <v/>
      </c>
      <c r="AS221" s="123" t="str">
        <f t="shared" si="400"/>
        <v/>
      </c>
      <c r="AT221" s="97" t="str">
        <f t="shared" ca="1" si="401"/>
        <v/>
      </c>
      <c r="AU221" s="98" t="str">
        <f>IF(AW221&lt;&gt;"",VLOOKUP($P221&amp;" | "&amp;AU$6,'Job Master'!$F$12:$J$102,5,0),"")</f>
        <v/>
      </c>
      <c r="AV221" s="19" t="str">
        <f>IF(AW221&lt;&gt;"",VLOOKUP($P221&amp;" | "&amp;AU$6,'Job Master'!$F$12:$J$102,3,0),"")</f>
        <v/>
      </c>
      <c r="AW221" s="19" t="str">
        <f>IFERROR(IF(AND(BD221&lt;&gt;"",VLOOKUP($P221&amp;" | "&amp;AU$6,'Job Master'!$F$12:$I$102,4,0)&lt;&gt;""),IF(WEEKDAY(BD221-VLOOKUP($P221&amp;" | "&amp;AU$6,'Job Master'!$F$12:$I$102,4,0))&lt;&gt;7,BD221-VLOOKUP($P221&amp;" | "&amp;AU$6,'Job Master'!$F$12:$I$102,4,0),BD221-VLOOKUP($P221&amp;" | "&amp;AU$6,'Job Master'!$F$12:$I$102,4,0)-1),""),"")</f>
        <v/>
      </c>
      <c r="AX221" s="73"/>
      <c r="AY221" s="123" t="str">
        <f t="shared" si="402"/>
        <v/>
      </c>
      <c r="AZ221" s="123" t="str">
        <f t="shared" si="403"/>
        <v/>
      </c>
      <c r="BA221" s="97" t="str">
        <f t="shared" ca="1" si="404"/>
        <v/>
      </c>
      <c r="BB221" s="98" t="str">
        <f>IF(BD221&lt;&gt;"",VLOOKUP($P221&amp;" | "&amp;BB$6,'Job Master'!$F$12:$J$102,5,0),"")</f>
        <v/>
      </c>
      <c r="BC221" s="19" t="str">
        <f>IF(BD221&lt;&gt;"",VLOOKUP($P221&amp;" | "&amp;BB$6,'Job Master'!$F$12:$J$102,3,0),"")</f>
        <v/>
      </c>
      <c r="BD221" s="19" t="str">
        <f>IFERROR(IF(AND(BK221&lt;&gt;"",VLOOKUP($P221&amp;" | "&amp;BB$6,'Job Master'!$F$12:$I$102,4,0)&lt;&gt;""),IF(WEEKDAY(BK221-VLOOKUP($P221&amp;" | "&amp;BB$6,'Job Master'!$F$12:$I$102,4,0))&lt;&gt;7,BK221-VLOOKUP($P221&amp;" | "&amp;BB$6,'Job Master'!$F$12:$I$102,4,0),BK221-VLOOKUP($P221&amp;" | "&amp;BB$6,'Job Master'!$F$12:$I$102,4,0)-1),""),"")</f>
        <v/>
      </c>
      <c r="BE221" s="73"/>
      <c r="BF221" s="123" t="str">
        <f t="shared" si="405"/>
        <v/>
      </c>
      <c r="BG221" s="123" t="str">
        <f t="shared" si="406"/>
        <v/>
      </c>
      <c r="BH221" s="97" t="str">
        <f t="shared" ca="1" si="407"/>
        <v/>
      </c>
      <c r="BI221" s="98" t="str">
        <f>IF(BK221&lt;&gt;"",VLOOKUP($P221&amp;" | "&amp;BI$6,'Job Master'!$F$12:$J$102,5,0),"")</f>
        <v/>
      </c>
      <c r="BJ221" s="19" t="str">
        <f>IF(BK221&lt;&gt;"",VLOOKUP($P221&amp;" | "&amp;BI$6,'Job Master'!$F$12:$J$102,3,0),"")</f>
        <v/>
      </c>
      <c r="BK221" s="19" t="str">
        <f>IFERROR(IF(AND(BR221&lt;&gt;"",VLOOKUP($P221&amp;" | "&amp;BI$6,'Job Master'!$F$12:$I$102,4,0)&lt;&gt;""),IF(WEEKDAY(BR221-VLOOKUP($P221&amp;" | "&amp;BI$6,'Job Master'!$F$12:$I$102,4,0))&lt;&gt;7,BR221-VLOOKUP($P221&amp;" | "&amp;BI$6,'Job Master'!$F$12:$I$102,4,0),BR221-VLOOKUP($P221&amp;" | "&amp;BI$6,'Job Master'!$F$12:$I$102,4,0)-1),""),"")</f>
        <v/>
      </c>
      <c r="BL221" s="73"/>
      <c r="BM221" s="123" t="str">
        <f t="shared" si="408"/>
        <v/>
      </c>
      <c r="BN221" s="123" t="str">
        <f t="shared" si="409"/>
        <v/>
      </c>
      <c r="BO221" s="97" t="str">
        <f t="shared" ca="1" si="410"/>
        <v/>
      </c>
      <c r="BP221" s="98" t="str">
        <f>IF(BR221&lt;&gt;"",VLOOKUP($P221&amp;" | "&amp;BP$6,'Job Master'!$F$12:$J$102,5,0),"")</f>
        <v/>
      </c>
      <c r="BQ221" s="19" t="str">
        <f>IF(BR221&lt;&gt;"",VLOOKUP($P221&amp;" | "&amp;BP$6,'Job Master'!$F$12:$J$102,3,0),"")</f>
        <v/>
      </c>
      <c r="BR221" s="19" t="str">
        <f>IFERROR(IF(AND(BY221&lt;&gt;"",VLOOKUP($P221&amp;" | "&amp;BP$6,'Job Master'!$F$12:$I$102,4,0)&lt;&gt;""),IF(WEEKDAY(BY221-VLOOKUP($P221&amp;" | "&amp;BP$6,'Job Master'!$F$12:$I$102,4,0))&lt;&gt;7,BY221-VLOOKUP($P221&amp;" | "&amp;BP$6,'Job Master'!$F$12:$I$102,4,0),BY221-VLOOKUP($P221&amp;" | "&amp;BP$6,'Job Master'!$F$12:$I$102,4,0)-1),""),"")</f>
        <v/>
      </c>
      <c r="BS221" s="73"/>
      <c r="BT221" s="123" t="str">
        <f t="shared" si="411"/>
        <v/>
      </c>
      <c r="BU221" s="123" t="str">
        <f t="shared" si="412"/>
        <v/>
      </c>
      <c r="BV221" s="97" t="str">
        <f t="shared" ca="1" si="413"/>
        <v/>
      </c>
      <c r="BW221" s="98" t="str">
        <f>IF(BY221&lt;&gt;"",VLOOKUP($P221&amp;" | "&amp;BW$6,'Job Master'!$F$12:$J$102,5,0),"")</f>
        <v/>
      </c>
      <c r="BX221" s="19" t="str">
        <f>IF(BY221&lt;&gt;"",VLOOKUP($P221&amp;" | "&amp;BW$6,'Job Master'!$F$12:$J$102,3,0),"")</f>
        <v/>
      </c>
      <c r="BY221" s="19" t="str">
        <f>IFERROR(IF(AND(CF221&lt;&gt;"",VLOOKUP($P221&amp;" | "&amp;BW$6,'Job Master'!$F$12:$I$102,4,0)&lt;&gt;""),IF(WEEKDAY(CF221-VLOOKUP($P221&amp;" | "&amp;BW$6,'Job Master'!$F$12:$I$102,4,0))&lt;&gt;7,CF221-VLOOKUP($P221&amp;" | "&amp;BW$6,'Job Master'!$F$12:$I$102,4,0),CF221-VLOOKUP($P221&amp;" | "&amp;BW$6,'Job Master'!$F$12:$I$102,4,0)-1),""),"")</f>
        <v/>
      </c>
      <c r="BZ221" s="73"/>
      <c r="CA221" s="123" t="str">
        <f t="shared" si="414"/>
        <v/>
      </c>
      <c r="CB221" s="123" t="str">
        <f t="shared" si="415"/>
        <v/>
      </c>
      <c r="CC221" s="97" t="str">
        <f t="shared" ca="1" si="416"/>
        <v/>
      </c>
      <c r="CD221" s="98" t="str">
        <f>IF(CF221&lt;&gt;"",VLOOKUP($P221&amp;" | "&amp;CD$6,'Job Master'!$F$12:$J$102,5,0),"")</f>
        <v/>
      </c>
      <c r="CE221" s="19" t="str">
        <f>IF(CF221&lt;&gt;"",VLOOKUP($P221&amp;" | "&amp;CD$6,'Job Master'!$F$12:$J$102,3,0),"")</f>
        <v/>
      </c>
      <c r="CF221" s="19" t="str">
        <f>IFERROR(IF(AND(CM221&lt;&gt;"",VLOOKUP($P221&amp;" | "&amp;CD$6,'Job Master'!$F$12:$I$102,4,0)&lt;&gt;""),IF(WEEKDAY(CM221-VLOOKUP($P221&amp;" | "&amp;CD$6,'Job Master'!$F$12:$I$102,4,0))&lt;&gt;7,CM221-VLOOKUP($P221&amp;" | "&amp;CD$6,'Job Master'!$F$12:$I$102,4,0),CM221-VLOOKUP($P221&amp;" | "&amp;CD$6,'Job Master'!$F$12:$I$102,4,0)-1),""),"")</f>
        <v/>
      </c>
      <c r="CG221" s="73"/>
      <c r="CH221" s="123" t="str">
        <f t="shared" si="417"/>
        <v/>
      </c>
      <c r="CI221" s="123" t="str">
        <f t="shared" si="418"/>
        <v/>
      </c>
      <c r="CJ221" s="97" t="str">
        <f t="shared" ca="1" si="419"/>
        <v/>
      </c>
      <c r="CK221" s="98" t="str">
        <f>IF(CM221&lt;&gt;"",VLOOKUP($P221&amp;" | "&amp;CK$6,'Job Master'!$F$12:$J$102,5,0),"")</f>
        <v/>
      </c>
      <c r="CL221" s="19" t="str">
        <f>IF(CM221&lt;&gt;"",VLOOKUP($P221&amp;" | "&amp;CK$6,'Job Master'!$F$12:$J$102,3,0),"")</f>
        <v/>
      </c>
      <c r="CM221" s="19" t="str">
        <f>IFERROR(IF(AND(CT221&lt;&gt;"",VLOOKUP($P221&amp;" | "&amp;CK$6,'Job Master'!$F$12:$I$102,4,0)&lt;&gt;""),IF(WEEKDAY(CT221-VLOOKUP($P221&amp;" | "&amp;CK$6,'Job Master'!$F$12:$I$102,4,0))&lt;&gt;7,CT221-VLOOKUP($P221&amp;" | "&amp;CK$6,'Job Master'!$F$12:$I$102,4,0),CT221-VLOOKUP($P221&amp;" | "&amp;CK$6,'Job Master'!$F$12:$I$102,4,0)-1),""),"")</f>
        <v/>
      </c>
      <c r="CN221" s="73"/>
      <c r="CO221" s="123" t="str">
        <f t="shared" si="420"/>
        <v/>
      </c>
      <c r="CP221" s="123" t="str">
        <f t="shared" si="421"/>
        <v/>
      </c>
      <c r="CQ221" s="97" t="str">
        <f t="shared" ca="1" si="422"/>
        <v/>
      </c>
      <c r="CR221" s="98" t="str">
        <f>IF(CT221&lt;&gt;"",VLOOKUP($P221&amp;" | "&amp;CR$6,'Job Master'!$F$12:$J$102,5,0),"")</f>
        <v/>
      </c>
      <c r="CS221" s="19" t="str">
        <f>IF(CT221&lt;&gt;"",VLOOKUP($P221&amp;" | "&amp;CR$6,'Job Master'!$F$12:$J$102,3,0),"")</f>
        <v/>
      </c>
      <c r="CT221" s="19" t="str">
        <f>IFERROR(IF(AND(DA221&lt;&gt;"",VLOOKUP($P221&amp;" | "&amp;CR$6,'Job Master'!$F$12:$I$102,4,0)&lt;&gt;""),IF(WEEKDAY(DA221-VLOOKUP($P221&amp;" | "&amp;CR$6,'Job Master'!$F$12:$I$102,4,0))&lt;&gt;7,DA221-VLOOKUP($P221&amp;" | "&amp;CR$6,'Job Master'!$F$12:$I$102,4,0),DA221-VLOOKUP($P221&amp;" | "&amp;CR$6,'Job Master'!$F$12:$I$102,4,0)-1),""),"")</f>
        <v/>
      </c>
      <c r="CU221" s="73"/>
      <c r="CV221" s="123" t="str">
        <f t="shared" si="423"/>
        <v/>
      </c>
      <c r="CW221" s="123" t="str">
        <f t="shared" si="424"/>
        <v/>
      </c>
      <c r="CX221" s="97" t="str">
        <f t="shared" ca="1" si="425"/>
        <v/>
      </c>
      <c r="CY221" s="98" t="str">
        <f>IF(DA221&lt;&gt;"",VLOOKUP($P221&amp;" | "&amp;CY$6,'Job Master'!$F$12:$J$102,5,0),"")</f>
        <v/>
      </c>
      <c r="CZ221" s="19" t="str">
        <f>IF(DA221&lt;&gt;"",VLOOKUP($P221&amp;" | "&amp;CY$6,'Job Master'!$F$12:$J$102,3,0),"")</f>
        <v/>
      </c>
      <c r="DA221" s="19" t="str">
        <f>IFERROR(IF(AND(DH221&lt;&gt;"",VLOOKUP($P221&amp;" | "&amp;CY$6,'Job Master'!$F$12:$I$102,4,0)&lt;&gt;""),IF(WEEKDAY(DH221-VLOOKUP($P221&amp;" | "&amp;CY$6,'Job Master'!$F$12:$I$102,4,0))&lt;&gt;7,DH221-VLOOKUP($P221&amp;" | "&amp;CY$6,'Job Master'!$F$12:$I$102,4,0),DH221-VLOOKUP($P221&amp;" | "&amp;CY$6,'Job Master'!$F$12:$I$102,4,0)-1),""),"")</f>
        <v/>
      </c>
      <c r="DB221" s="73"/>
      <c r="DC221" s="123" t="str">
        <f t="shared" si="426"/>
        <v/>
      </c>
      <c r="DD221" s="123" t="str">
        <f t="shared" si="427"/>
        <v/>
      </c>
      <c r="DE221" s="97" t="str">
        <f t="shared" ca="1" si="428"/>
        <v/>
      </c>
      <c r="DF221" s="98" t="str">
        <f>IF(DH221&lt;&gt;"",VLOOKUP($P221&amp;" | "&amp;DF$6,'Job Master'!$F$12:$J$102,5,0),"")</f>
        <v/>
      </c>
      <c r="DG221" s="19" t="str">
        <f>IF(DH221&lt;&gt;"",VLOOKUP($P221&amp;" | "&amp;DF$6,'Job Master'!$F$12:$J$102,3,0),"")</f>
        <v/>
      </c>
      <c r="DH221" s="19" t="str">
        <f>IFERROR(IF(AND(DO221&lt;&gt;"",VLOOKUP($P221&amp;" | "&amp;DF$6,'Job Master'!$F$12:$I$102,4,0)&lt;&gt;""),IF(WEEKDAY(DO221-VLOOKUP($P221&amp;" | "&amp;DF$6,'Job Master'!$F$12:$I$102,4,0))&lt;&gt;7,DO221-VLOOKUP($P221&amp;" | "&amp;DF$6,'Job Master'!$F$12:$I$102,4,0),DO221-VLOOKUP($P221&amp;" | "&amp;DF$6,'Job Master'!$F$12:$I$102,4,0)-1),""),"")</f>
        <v/>
      </c>
      <c r="DI221" s="73"/>
      <c r="DJ221" s="123" t="str">
        <f t="shared" si="429"/>
        <v/>
      </c>
      <c r="DK221" s="123" t="str">
        <f t="shared" si="430"/>
        <v/>
      </c>
      <c r="DL221" s="97" t="str">
        <f t="shared" ca="1" si="431"/>
        <v/>
      </c>
      <c r="DM221" s="98" t="str">
        <f>IF(DO221&lt;&gt;"",VLOOKUP($P221&amp;" | "&amp;DM$6,'Job Master'!$F$12:$J$102,5,0),"")</f>
        <v/>
      </c>
      <c r="DN221" s="19" t="str">
        <f>IF(DO221&lt;&gt;"",VLOOKUP($P221&amp;" | "&amp;DM$6,'Job Master'!$F$12:$J$102,3,0),"")</f>
        <v/>
      </c>
      <c r="DO221" s="19" t="str">
        <f>IFERROR(IF(AND(DT221&lt;&gt;"",VLOOKUP($P221&amp;" | "&amp;DM$6,'Job Master'!$F$12:$I$102,4,0)&lt;&gt;""),IF(WEEKDAY(DT221-VLOOKUP($P221&amp;" | "&amp;DM$6,'Job Master'!$F$12:$I$102,4,0))&lt;&gt;7,DT221-VLOOKUP($P221&amp;" | "&amp;DM$6,'Job Master'!$F$12:$I$102,4,0),DT221-VLOOKUP($P221&amp;" | "&amp;DM$6,'Job Master'!$F$12:$I$102,4,0)-1),""),"")</f>
        <v/>
      </c>
      <c r="DP221" s="73"/>
      <c r="DQ221" s="123" t="str">
        <f t="shared" si="432"/>
        <v/>
      </c>
      <c r="DR221" s="123" t="str">
        <f t="shared" si="433"/>
        <v/>
      </c>
      <c r="DS221" s="97" t="str">
        <f t="shared" ca="1" si="434"/>
        <v/>
      </c>
      <c r="DT221" s="70" t="str">
        <f t="shared" si="435"/>
        <v/>
      </c>
      <c r="DU221" s="90"/>
      <c r="DV221" s="123" t="str">
        <f t="shared" si="436"/>
        <v/>
      </c>
      <c r="DW221" s="123" t="str">
        <f t="shared" si="437"/>
        <v/>
      </c>
      <c r="DX221" s="132" t="str">
        <f t="shared" ref="DX221" ca="1" si="468">IF(DT221&lt;&gt;"",IF(WEEKNUM(DT221)=WEEKNUM(TODAY()),"This Week",IF(WEEKNUM(DT221)=WEEKNUM(TODAY())+1,"Next Week",IF(WEEKNUM(DT221)=WEEKNUM(TODAY())-1,"Previous Week",""))),"")</f>
        <v/>
      </c>
      <c r="DY221" s="134" t="str">
        <f t="shared" si="439"/>
        <v/>
      </c>
      <c r="DZ221" s="95"/>
      <c r="EB221" s="8" t="str">
        <f t="shared" si="445"/>
        <v/>
      </c>
      <c r="EC221" s="8" t="str">
        <f>IF(O221&lt;&gt;"",VLOOKUP(O221,'Job Master'!$N$12:$O$18,2,0),"")</f>
        <v/>
      </c>
      <c r="ED221" s="8">
        <f t="shared" si="446"/>
        <v>19.5</v>
      </c>
      <c r="EE221" s="8">
        <f t="shared" si="447"/>
        <v>6</v>
      </c>
      <c r="EF221" s="8">
        <f t="shared" si="448"/>
        <v>-1246.5</v>
      </c>
      <c r="EG221" s="8" t="str">
        <f t="shared" si="449"/>
        <v/>
      </c>
      <c r="EH221" s="8" t="str">
        <f t="shared" si="450"/>
        <v/>
      </c>
    </row>
    <row r="222" spans="2:138" x14ac:dyDescent="0.3">
      <c r="B222" s="112"/>
      <c r="C222" s="27"/>
      <c r="D222" s="7" t="str">
        <f t="shared" si="387"/>
        <v/>
      </c>
      <c r="E222" s="25"/>
      <c r="F222" s="7" t="str">
        <f t="shared" si="387"/>
        <v/>
      </c>
      <c r="G222" s="25"/>
      <c r="H222" s="7" t="str">
        <f t="shared" si="387"/>
        <v/>
      </c>
      <c r="I222" s="25"/>
      <c r="J222" s="7" t="str">
        <f t="shared" si="387"/>
        <v/>
      </c>
      <c r="K222" s="25"/>
      <c r="L222" s="7" t="str">
        <f t="shared" si="388"/>
        <v/>
      </c>
      <c r="M222" s="25"/>
      <c r="N222" s="7" t="str">
        <f t="shared" si="389"/>
        <v/>
      </c>
      <c r="O222" s="81"/>
      <c r="P222" s="81" t="str">
        <f t="shared" si="390"/>
        <v/>
      </c>
      <c r="Q222" s="81"/>
      <c r="R222" s="7" t="str">
        <f t="shared" si="391"/>
        <v/>
      </c>
      <c r="S222" s="25"/>
      <c r="T222" s="7" t="str">
        <f t="shared" si="392"/>
        <v/>
      </c>
      <c r="U222" s="25"/>
      <c r="V222" s="7" t="str">
        <f t="shared" si="393"/>
        <v/>
      </c>
      <c r="W222" s="25"/>
      <c r="X222" s="7" t="str">
        <f t="shared" si="394"/>
        <v/>
      </c>
      <c r="Y222" s="18" t="str">
        <f t="shared" si="395"/>
        <v/>
      </c>
      <c r="Z222" s="7" t="str">
        <f t="shared" si="396"/>
        <v/>
      </c>
      <c r="AA222" s="18" t="str">
        <f t="shared" si="397"/>
        <v/>
      </c>
      <c r="AB222" s="19" t="str">
        <f t="shared" si="398"/>
        <v/>
      </c>
      <c r="AC222" s="26"/>
      <c r="AD222" s="26"/>
      <c r="AE222" s="25"/>
      <c r="AF222" s="26"/>
      <c r="AG222" s="25"/>
      <c r="AH222" s="25"/>
      <c r="AI222" s="18" t="str">
        <f t="shared" si="461"/>
        <v/>
      </c>
      <c r="AJ222" s="25"/>
      <c r="AK222" s="18" t="str">
        <f t="shared" si="462"/>
        <v/>
      </c>
      <c r="AL222" s="79"/>
      <c r="AM222" s="126" t="str">
        <f t="shared" si="463"/>
        <v/>
      </c>
      <c r="AN222" s="128" t="str">
        <f>IF(AP222&lt;&gt;"",VLOOKUP($P222&amp;" | "&amp;AN$6,'Job Master'!$F$12:$J$102,5,0),"")</f>
        <v/>
      </c>
      <c r="AO222" s="19" t="str">
        <f>IF(AP222&lt;&gt;"",VLOOKUP($P222&amp;" | "&amp;AN$6,'Job Master'!$F$12:$J$102,3,0),"")</f>
        <v/>
      </c>
      <c r="AP222" s="19" t="str">
        <f>IFERROR(IF(AND(AW222&lt;&gt;"",VLOOKUP($P222&amp;" | "&amp;AN$6,'Job Master'!$F$12:$I$102,4,0)&lt;&gt;""),IF(WEEKDAY(AW222-VLOOKUP($P222&amp;" | "&amp;AN$6,'Job Master'!$F$12:$I$102,4,0))&lt;&gt;7,AW222-VLOOKUP($P222&amp;" | "&amp;AN$6,'Job Master'!$F$12:$I$102,4,0),AW222-VLOOKUP($P222&amp;" | "&amp;AN$6,'Job Master'!$F$12:$I$102,4,0)-1),""),"")</f>
        <v/>
      </c>
      <c r="AQ222" s="73"/>
      <c r="AR222" s="123" t="str">
        <f t="shared" si="399"/>
        <v/>
      </c>
      <c r="AS222" s="123" t="str">
        <f t="shared" si="400"/>
        <v/>
      </c>
      <c r="AT222" s="97" t="str">
        <f t="shared" ca="1" si="401"/>
        <v/>
      </c>
      <c r="AU222" s="98" t="str">
        <f>IF(AW222&lt;&gt;"",VLOOKUP($P222&amp;" | "&amp;AU$6,'Job Master'!$F$12:$J$102,5,0),"")</f>
        <v/>
      </c>
      <c r="AV222" s="19" t="str">
        <f>IF(AW222&lt;&gt;"",VLOOKUP($P222&amp;" | "&amp;AU$6,'Job Master'!$F$12:$J$102,3,0),"")</f>
        <v/>
      </c>
      <c r="AW222" s="19" t="str">
        <f>IFERROR(IF(AND(BD222&lt;&gt;"",VLOOKUP($P222&amp;" | "&amp;AU$6,'Job Master'!$F$12:$I$102,4,0)&lt;&gt;""),IF(WEEKDAY(BD222-VLOOKUP($P222&amp;" | "&amp;AU$6,'Job Master'!$F$12:$I$102,4,0))&lt;&gt;7,BD222-VLOOKUP($P222&amp;" | "&amp;AU$6,'Job Master'!$F$12:$I$102,4,0),BD222-VLOOKUP($P222&amp;" | "&amp;AU$6,'Job Master'!$F$12:$I$102,4,0)-1),""),"")</f>
        <v/>
      </c>
      <c r="AX222" s="73"/>
      <c r="AY222" s="123" t="str">
        <f t="shared" si="402"/>
        <v/>
      </c>
      <c r="AZ222" s="123" t="str">
        <f t="shared" si="403"/>
        <v/>
      </c>
      <c r="BA222" s="97" t="str">
        <f t="shared" ca="1" si="404"/>
        <v/>
      </c>
      <c r="BB222" s="98" t="str">
        <f>IF(BD222&lt;&gt;"",VLOOKUP($P222&amp;" | "&amp;BB$6,'Job Master'!$F$12:$J$102,5,0),"")</f>
        <v/>
      </c>
      <c r="BC222" s="19" t="str">
        <f>IF(BD222&lt;&gt;"",VLOOKUP($P222&amp;" | "&amp;BB$6,'Job Master'!$F$12:$J$102,3,0),"")</f>
        <v/>
      </c>
      <c r="BD222" s="19" t="str">
        <f>IFERROR(IF(AND(BK222&lt;&gt;"",VLOOKUP($P222&amp;" | "&amp;BB$6,'Job Master'!$F$12:$I$102,4,0)&lt;&gt;""),IF(WEEKDAY(BK222-VLOOKUP($P222&amp;" | "&amp;BB$6,'Job Master'!$F$12:$I$102,4,0))&lt;&gt;7,BK222-VLOOKUP($P222&amp;" | "&amp;BB$6,'Job Master'!$F$12:$I$102,4,0),BK222-VLOOKUP($P222&amp;" | "&amp;BB$6,'Job Master'!$F$12:$I$102,4,0)-1),""),"")</f>
        <v/>
      </c>
      <c r="BE222" s="73"/>
      <c r="BF222" s="123" t="str">
        <f t="shared" si="405"/>
        <v/>
      </c>
      <c r="BG222" s="123" t="str">
        <f t="shared" si="406"/>
        <v/>
      </c>
      <c r="BH222" s="97" t="str">
        <f t="shared" ca="1" si="407"/>
        <v/>
      </c>
      <c r="BI222" s="98" t="str">
        <f>IF(BK222&lt;&gt;"",VLOOKUP($P222&amp;" | "&amp;BI$6,'Job Master'!$F$12:$J$102,5,0),"")</f>
        <v/>
      </c>
      <c r="BJ222" s="19" t="str">
        <f>IF(BK222&lt;&gt;"",VLOOKUP($P222&amp;" | "&amp;BI$6,'Job Master'!$F$12:$J$102,3,0),"")</f>
        <v/>
      </c>
      <c r="BK222" s="19" t="str">
        <f>IFERROR(IF(AND(BR222&lt;&gt;"",VLOOKUP($P222&amp;" | "&amp;BI$6,'Job Master'!$F$12:$I$102,4,0)&lt;&gt;""),IF(WEEKDAY(BR222-VLOOKUP($P222&amp;" | "&amp;BI$6,'Job Master'!$F$12:$I$102,4,0))&lt;&gt;7,BR222-VLOOKUP($P222&amp;" | "&amp;BI$6,'Job Master'!$F$12:$I$102,4,0),BR222-VLOOKUP($P222&amp;" | "&amp;BI$6,'Job Master'!$F$12:$I$102,4,0)-1),""),"")</f>
        <v/>
      </c>
      <c r="BL222" s="73"/>
      <c r="BM222" s="123" t="str">
        <f t="shared" si="408"/>
        <v/>
      </c>
      <c r="BN222" s="123" t="str">
        <f t="shared" si="409"/>
        <v/>
      </c>
      <c r="BO222" s="97" t="str">
        <f t="shared" ca="1" si="410"/>
        <v/>
      </c>
      <c r="BP222" s="98" t="str">
        <f>IF(BR222&lt;&gt;"",VLOOKUP($P222&amp;" | "&amp;BP$6,'Job Master'!$F$12:$J$102,5,0),"")</f>
        <v/>
      </c>
      <c r="BQ222" s="19" t="str">
        <f>IF(BR222&lt;&gt;"",VLOOKUP($P222&amp;" | "&amp;BP$6,'Job Master'!$F$12:$J$102,3,0),"")</f>
        <v/>
      </c>
      <c r="BR222" s="19" t="str">
        <f>IFERROR(IF(AND(BY222&lt;&gt;"",VLOOKUP($P222&amp;" | "&amp;BP$6,'Job Master'!$F$12:$I$102,4,0)&lt;&gt;""),IF(WEEKDAY(BY222-VLOOKUP($P222&amp;" | "&amp;BP$6,'Job Master'!$F$12:$I$102,4,0))&lt;&gt;7,BY222-VLOOKUP($P222&amp;" | "&amp;BP$6,'Job Master'!$F$12:$I$102,4,0),BY222-VLOOKUP($P222&amp;" | "&amp;BP$6,'Job Master'!$F$12:$I$102,4,0)-1),""),"")</f>
        <v/>
      </c>
      <c r="BS222" s="73"/>
      <c r="BT222" s="123" t="str">
        <f t="shared" si="411"/>
        <v/>
      </c>
      <c r="BU222" s="123" t="str">
        <f t="shared" si="412"/>
        <v/>
      </c>
      <c r="BV222" s="97" t="str">
        <f t="shared" ca="1" si="413"/>
        <v/>
      </c>
      <c r="BW222" s="98" t="str">
        <f>IF(BY222&lt;&gt;"",VLOOKUP($P222&amp;" | "&amp;BW$6,'Job Master'!$F$12:$J$102,5,0),"")</f>
        <v/>
      </c>
      <c r="BX222" s="19" t="str">
        <f>IF(BY222&lt;&gt;"",VLOOKUP($P222&amp;" | "&amp;BW$6,'Job Master'!$F$12:$J$102,3,0),"")</f>
        <v/>
      </c>
      <c r="BY222" s="19" t="str">
        <f>IFERROR(IF(AND(CF222&lt;&gt;"",VLOOKUP($P222&amp;" | "&amp;BW$6,'Job Master'!$F$12:$I$102,4,0)&lt;&gt;""),IF(WEEKDAY(CF222-VLOOKUP($P222&amp;" | "&amp;BW$6,'Job Master'!$F$12:$I$102,4,0))&lt;&gt;7,CF222-VLOOKUP($P222&amp;" | "&amp;BW$6,'Job Master'!$F$12:$I$102,4,0),CF222-VLOOKUP($P222&amp;" | "&amp;BW$6,'Job Master'!$F$12:$I$102,4,0)-1),""),"")</f>
        <v/>
      </c>
      <c r="BZ222" s="73"/>
      <c r="CA222" s="123" t="str">
        <f t="shared" si="414"/>
        <v/>
      </c>
      <c r="CB222" s="123" t="str">
        <f t="shared" si="415"/>
        <v/>
      </c>
      <c r="CC222" s="97" t="str">
        <f t="shared" ca="1" si="416"/>
        <v/>
      </c>
      <c r="CD222" s="98" t="str">
        <f>IF(CF222&lt;&gt;"",VLOOKUP($P222&amp;" | "&amp;CD$6,'Job Master'!$F$12:$J$102,5,0),"")</f>
        <v/>
      </c>
      <c r="CE222" s="19" t="str">
        <f>IF(CF222&lt;&gt;"",VLOOKUP($P222&amp;" | "&amp;CD$6,'Job Master'!$F$12:$J$102,3,0),"")</f>
        <v/>
      </c>
      <c r="CF222" s="19" t="str">
        <f>IFERROR(IF(AND(CM222&lt;&gt;"",VLOOKUP($P222&amp;" | "&amp;CD$6,'Job Master'!$F$12:$I$102,4,0)&lt;&gt;""),IF(WEEKDAY(CM222-VLOOKUP($P222&amp;" | "&amp;CD$6,'Job Master'!$F$12:$I$102,4,0))&lt;&gt;7,CM222-VLOOKUP($P222&amp;" | "&amp;CD$6,'Job Master'!$F$12:$I$102,4,0),CM222-VLOOKUP($P222&amp;" | "&amp;CD$6,'Job Master'!$F$12:$I$102,4,0)-1),""),"")</f>
        <v/>
      </c>
      <c r="CG222" s="73"/>
      <c r="CH222" s="123" t="str">
        <f t="shared" si="417"/>
        <v/>
      </c>
      <c r="CI222" s="123" t="str">
        <f t="shared" si="418"/>
        <v/>
      </c>
      <c r="CJ222" s="97" t="str">
        <f t="shared" ca="1" si="419"/>
        <v/>
      </c>
      <c r="CK222" s="98" t="str">
        <f>IF(CM222&lt;&gt;"",VLOOKUP($P222&amp;" | "&amp;CK$6,'Job Master'!$F$12:$J$102,5,0),"")</f>
        <v/>
      </c>
      <c r="CL222" s="19" t="str">
        <f>IF(CM222&lt;&gt;"",VLOOKUP($P222&amp;" | "&amp;CK$6,'Job Master'!$F$12:$J$102,3,0),"")</f>
        <v/>
      </c>
      <c r="CM222" s="19" t="str">
        <f>IFERROR(IF(AND(CT222&lt;&gt;"",VLOOKUP($P222&amp;" | "&amp;CK$6,'Job Master'!$F$12:$I$102,4,0)&lt;&gt;""),IF(WEEKDAY(CT222-VLOOKUP($P222&amp;" | "&amp;CK$6,'Job Master'!$F$12:$I$102,4,0))&lt;&gt;7,CT222-VLOOKUP($P222&amp;" | "&amp;CK$6,'Job Master'!$F$12:$I$102,4,0),CT222-VLOOKUP($P222&amp;" | "&amp;CK$6,'Job Master'!$F$12:$I$102,4,0)-1),""),"")</f>
        <v/>
      </c>
      <c r="CN222" s="73"/>
      <c r="CO222" s="123" t="str">
        <f t="shared" si="420"/>
        <v/>
      </c>
      <c r="CP222" s="123" t="str">
        <f t="shared" si="421"/>
        <v/>
      </c>
      <c r="CQ222" s="97" t="str">
        <f t="shared" ca="1" si="422"/>
        <v/>
      </c>
      <c r="CR222" s="98" t="str">
        <f>IF(CT222&lt;&gt;"",VLOOKUP($P222&amp;" | "&amp;CR$6,'Job Master'!$F$12:$J$102,5,0),"")</f>
        <v/>
      </c>
      <c r="CS222" s="19" t="str">
        <f>IF(CT222&lt;&gt;"",VLOOKUP($P222&amp;" | "&amp;CR$6,'Job Master'!$F$12:$J$102,3,0),"")</f>
        <v/>
      </c>
      <c r="CT222" s="19" t="str">
        <f>IFERROR(IF(AND(DA222&lt;&gt;"",VLOOKUP($P222&amp;" | "&amp;CR$6,'Job Master'!$F$12:$I$102,4,0)&lt;&gt;""),IF(WEEKDAY(DA222-VLOOKUP($P222&amp;" | "&amp;CR$6,'Job Master'!$F$12:$I$102,4,0))&lt;&gt;7,DA222-VLOOKUP($P222&amp;" | "&amp;CR$6,'Job Master'!$F$12:$I$102,4,0),DA222-VLOOKUP($P222&amp;" | "&amp;CR$6,'Job Master'!$F$12:$I$102,4,0)-1),""),"")</f>
        <v/>
      </c>
      <c r="CU222" s="73"/>
      <c r="CV222" s="123" t="str">
        <f t="shared" si="423"/>
        <v/>
      </c>
      <c r="CW222" s="123" t="str">
        <f t="shared" si="424"/>
        <v/>
      </c>
      <c r="CX222" s="97" t="str">
        <f t="shared" ca="1" si="425"/>
        <v/>
      </c>
      <c r="CY222" s="98" t="str">
        <f>IF(DA222&lt;&gt;"",VLOOKUP($P222&amp;" | "&amp;CY$6,'Job Master'!$F$12:$J$102,5,0),"")</f>
        <v/>
      </c>
      <c r="CZ222" s="19" t="str">
        <f>IF(DA222&lt;&gt;"",VLOOKUP($P222&amp;" | "&amp;CY$6,'Job Master'!$F$12:$J$102,3,0),"")</f>
        <v/>
      </c>
      <c r="DA222" s="19" t="str">
        <f>IFERROR(IF(AND(DH222&lt;&gt;"",VLOOKUP($P222&amp;" | "&amp;CY$6,'Job Master'!$F$12:$I$102,4,0)&lt;&gt;""),IF(WEEKDAY(DH222-VLOOKUP($P222&amp;" | "&amp;CY$6,'Job Master'!$F$12:$I$102,4,0))&lt;&gt;7,DH222-VLOOKUP($P222&amp;" | "&amp;CY$6,'Job Master'!$F$12:$I$102,4,0),DH222-VLOOKUP($P222&amp;" | "&amp;CY$6,'Job Master'!$F$12:$I$102,4,0)-1),""),"")</f>
        <v/>
      </c>
      <c r="DB222" s="73"/>
      <c r="DC222" s="123" t="str">
        <f t="shared" si="426"/>
        <v/>
      </c>
      <c r="DD222" s="123" t="str">
        <f t="shared" si="427"/>
        <v/>
      </c>
      <c r="DE222" s="97" t="str">
        <f t="shared" ca="1" si="428"/>
        <v/>
      </c>
      <c r="DF222" s="98" t="str">
        <f>IF(DH222&lt;&gt;"",VLOOKUP($P222&amp;" | "&amp;DF$6,'Job Master'!$F$12:$J$102,5,0),"")</f>
        <v/>
      </c>
      <c r="DG222" s="19" t="str">
        <f>IF(DH222&lt;&gt;"",VLOOKUP($P222&amp;" | "&amp;DF$6,'Job Master'!$F$12:$J$102,3,0),"")</f>
        <v/>
      </c>
      <c r="DH222" s="19" t="str">
        <f>IFERROR(IF(AND(DO222&lt;&gt;"",VLOOKUP($P222&amp;" | "&amp;DF$6,'Job Master'!$F$12:$I$102,4,0)&lt;&gt;""),IF(WEEKDAY(DO222-VLOOKUP($P222&amp;" | "&amp;DF$6,'Job Master'!$F$12:$I$102,4,0))&lt;&gt;7,DO222-VLOOKUP($P222&amp;" | "&amp;DF$6,'Job Master'!$F$12:$I$102,4,0),DO222-VLOOKUP($P222&amp;" | "&amp;DF$6,'Job Master'!$F$12:$I$102,4,0)-1),""),"")</f>
        <v/>
      </c>
      <c r="DI222" s="73"/>
      <c r="DJ222" s="123" t="str">
        <f t="shared" si="429"/>
        <v/>
      </c>
      <c r="DK222" s="123" t="str">
        <f t="shared" si="430"/>
        <v/>
      </c>
      <c r="DL222" s="97" t="str">
        <f t="shared" ca="1" si="431"/>
        <v/>
      </c>
      <c r="DM222" s="98" t="str">
        <f>IF(DO222&lt;&gt;"",VLOOKUP($P222&amp;" | "&amp;DM$6,'Job Master'!$F$12:$J$102,5,0),"")</f>
        <v/>
      </c>
      <c r="DN222" s="19" t="str">
        <f>IF(DO222&lt;&gt;"",VLOOKUP($P222&amp;" | "&amp;DM$6,'Job Master'!$F$12:$J$102,3,0),"")</f>
        <v/>
      </c>
      <c r="DO222" s="19" t="str">
        <f>IFERROR(IF(AND(DT222&lt;&gt;"",VLOOKUP($P222&amp;" | "&amp;DM$6,'Job Master'!$F$12:$I$102,4,0)&lt;&gt;""),IF(WEEKDAY(DT222-VLOOKUP($P222&amp;" | "&amp;DM$6,'Job Master'!$F$12:$I$102,4,0))&lt;&gt;7,DT222-VLOOKUP($P222&amp;" | "&amp;DM$6,'Job Master'!$F$12:$I$102,4,0),DT222-VLOOKUP($P222&amp;" | "&amp;DM$6,'Job Master'!$F$12:$I$102,4,0)-1),""),"")</f>
        <v/>
      </c>
      <c r="DP222" s="73"/>
      <c r="DQ222" s="123" t="str">
        <f t="shared" si="432"/>
        <v/>
      </c>
      <c r="DR222" s="123" t="str">
        <f t="shared" si="433"/>
        <v/>
      </c>
      <c r="DS222" s="97" t="str">
        <f t="shared" ca="1" si="434"/>
        <v/>
      </c>
      <c r="DT222" s="70" t="str">
        <f t="shared" si="435"/>
        <v/>
      </c>
      <c r="DU222" s="90"/>
      <c r="DV222" s="123" t="str">
        <f t="shared" si="436"/>
        <v/>
      </c>
      <c r="DW222" s="123" t="str">
        <f t="shared" si="437"/>
        <v/>
      </c>
      <c r="DX222" s="132" t="str">
        <f t="shared" ref="DX222" ca="1" si="469">IF(DT222&lt;&gt;"",IF(WEEKNUM(DT222)=WEEKNUM(TODAY()),"This Week",IF(WEEKNUM(DT222)=WEEKNUM(TODAY())+1,"Next Week",IF(WEEKNUM(DT222)=WEEKNUM(TODAY())-1,"Previous Week",""))),"")</f>
        <v/>
      </c>
      <c r="DY222" s="134" t="str">
        <f t="shared" si="439"/>
        <v/>
      </c>
      <c r="DZ222" s="95"/>
      <c r="EB222" s="8" t="str">
        <f t="shared" si="445"/>
        <v/>
      </c>
      <c r="EC222" s="8" t="str">
        <f>IF(O222&lt;&gt;"",VLOOKUP(O222,'Job Master'!$N$12:$O$18,2,0),"")</f>
        <v/>
      </c>
      <c r="ED222" s="8">
        <f t="shared" si="446"/>
        <v>19.5</v>
      </c>
      <c r="EE222" s="8">
        <f t="shared" si="447"/>
        <v>6</v>
      </c>
      <c r="EF222" s="8">
        <f t="shared" si="448"/>
        <v>-1252.5</v>
      </c>
      <c r="EG222" s="8" t="str">
        <f t="shared" si="449"/>
        <v/>
      </c>
      <c r="EH222" s="8" t="str">
        <f t="shared" si="450"/>
        <v/>
      </c>
    </row>
    <row r="223" spans="2:138" x14ac:dyDescent="0.3">
      <c r="B223" s="112"/>
      <c r="C223" s="27"/>
      <c r="D223" s="7" t="str">
        <f t="shared" si="387"/>
        <v/>
      </c>
      <c r="E223" s="25"/>
      <c r="F223" s="7" t="str">
        <f t="shared" si="387"/>
        <v/>
      </c>
      <c r="G223" s="25"/>
      <c r="H223" s="7" t="str">
        <f t="shared" si="387"/>
        <v/>
      </c>
      <c r="I223" s="25"/>
      <c r="J223" s="7" t="str">
        <f t="shared" si="387"/>
        <v/>
      </c>
      <c r="K223" s="25"/>
      <c r="L223" s="7" t="str">
        <f t="shared" si="388"/>
        <v/>
      </c>
      <c r="M223" s="25"/>
      <c r="N223" s="7" t="str">
        <f t="shared" si="389"/>
        <v/>
      </c>
      <c r="O223" s="81"/>
      <c r="P223" s="81" t="str">
        <f t="shared" si="390"/>
        <v/>
      </c>
      <c r="Q223" s="81"/>
      <c r="R223" s="7" t="str">
        <f t="shared" si="391"/>
        <v/>
      </c>
      <c r="S223" s="25"/>
      <c r="T223" s="7" t="str">
        <f t="shared" si="392"/>
        <v/>
      </c>
      <c r="U223" s="25"/>
      <c r="V223" s="7" t="str">
        <f t="shared" si="393"/>
        <v/>
      </c>
      <c r="W223" s="25"/>
      <c r="X223" s="7" t="str">
        <f t="shared" si="394"/>
        <v/>
      </c>
      <c r="Y223" s="18" t="str">
        <f t="shared" si="395"/>
        <v/>
      </c>
      <c r="Z223" s="7" t="str">
        <f t="shared" si="396"/>
        <v/>
      </c>
      <c r="AA223" s="18" t="str">
        <f t="shared" si="397"/>
        <v/>
      </c>
      <c r="AB223" s="19" t="str">
        <f t="shared" si="398"/>
        <v/>
      </c>
      <c r="AC223" s="26"/>
      <c r="AD223" s="26"/>
      <c r="AE223" s="25"/>
      <c r="AF223" s="26"/>
      <c r="AG223" s="25"/>
      <c r="AH223" s="25"/>
      <c r="AI223" s="18" t="str">
        <f t="shared" si="461"/>
        <v/>
      </c>
      <c r="AJ223" s="25"/>
      <c r="AK223" s="18" t="str">
        <f t="shared" si="462"/>
        <v/>
      </c>
      <c r="AL223" s="79"/>
      <c r="AM223" s="126" t="str">
        <f t="shared" si="463"/>
        <v/>
      </c>
      <c r="AN223" s="128" t="str">
        <f>IF(AP223&lt;&gt;"",VLOOKUP($P223&amp;" | "&amp;AN$6,'Job Master'!$F$12:$J$102,5,0),"")</f>
        <v/>
      </c>
      <c r="AO223" s="19" t="str">
        <f>IF(AP223&lt;&gt;"",VLOOKUP($P223&amp;" | "&amp;AN$6,'Job Master'!$F$12:$J$102,3,0),"")</f>
        <v/>
      </c>
      <c r="AP223" s="19" t="str">
        <f>IFERROR(IF(AND(AW223&lt;&gt;"",VLOOKUP($P223&amp;" | "&amp;AN$6,'Job Master'!$F$12:$I$102,4,0)&lt;&gt;""),IF(WEEKDAY(AW223-VLOOKUP($P223&amp;" | "&amp;AN$6,'Job Master'!$F$12:$I$102,4,0))&lt;&gt;7,AW223-VLOOKUP($P223&amp;" | "&amp;AN$6,'Job Master'!$F$12:$I$102,4,0),AW223-VLOOKUP($P223&amp;" | "&amp;AN$6,'Job Master'!$F$12:$I$102,4,0)-1),""),"")</f>
        <v/>
      </c>
      <c r="AQ223" s="73"/>
      <c r="AR223" s="123" t="str">
        <f t="shared" si="399"/>
        <v/>
      </c>
      <c r="AS223" s="123" t="str">
        <f t="shared" si="400"/>
        <v/>
      </c>
      <c r="AT223" s="97" t="str">
        <f t="shared" ca="1" si="401"/>
        <v/>
      </c>
      <c r="AU223" s="98" t="str">
        <f>IF(AW223&lt;&gt;"",VLOOKUP($P223&amp;" | "&amp;AU$6,'Job Master'!$F$12:$J$102,5,0),"")</f>
        <v/>
      </c>
      <c r="AV223" s="19" t="str">
        <f>IF(AW223&lt;&gt;"",VLOOKUP($P223&amp;" | "&amp;AU$6,'Job Master'!$F$12:$J$102,3,0),"")</f>
        <v/>
      </c>
      <c r="AW223" s="19" t="str">
        <f>IFERROR(IF(AND(BD223&lt;&gt;"",VLOOKUP($P223&amp;" | "&amp;AU$6,'Job Master'!$F$12:$I$102,4,0)&lt;&gt;""),IF(WEEKDAY(BD223-VLOOKUP($P223&amp;" | "&amp;AU$6,'Job Master'!$F$12:$I$102,4,0))&lt;&gt;7,BD223-VLOOKUP($P223&amp;" | "&amp;AU$6,'Job Master'!$F$12:$I$102,4,0),BD223-VLOOKUP($P223&amp;" | "&amp;AU$6,'Job Master'!$F$12:$I$102,4,0)-1),""),"")</f>
        <v/>
      </c>
      <c r="AX223" s="73"/>
      <c r="AY223" s="123" t="str">
        <f t="shared" si="402"/>
        <v/>
      </c>
      <c r="AZ223" s="123" t="str">
        <f t="shared" si="403"/>
        <v/>
      </c>
      <c r="BA223" s="97" t="str">
        <f t="shared" ca="1" si="404"/>
        <v/>
      </c>
      <c r="BB223" s="98" t="str">
        <f>IF(BD223&lt;&gt;"",VLOOKUP($P223&amp;" | "&amp;BB$6,'Job Master'!$F$12:$J$102,5,0),"")</f>
        <v/>
      </c>
      <c r="BC223" s="19" t="str">
        <f>IF(BD223&lt;&gt;"",VLOOKUP($P223&amp;" | "&amp;BB$6,'Job Master'!$F$12:$J$102,3,0),"")</f>
        <v/>
      </c>
      <c r="BD223" s="19" t="str">
        <f>IFERROR(IF(AND(BK223&lt;&gt;"",VLOOKUP($P223&amp;" | "&amp;BB$6,'Job Master'!$F$12:$I$102,4,0)&lt;&gt;""),IF(WEEKDAY(BK223-VLOOKUP($P223&amp;" | "&amp;BB$6,'Job Master'!$F$12:$I$102,4,0))&lt;&gt;7,BK223-VLOOKUP($P223&amp;" | "&amp;BB$6,'Job Master'!$F$12:$I$102,4,0),BK223-VLOOKUP($P223&amp;" | "&amp;BB$6,'Job Master'!$F$12:$I$102,4,0)-1),""),"")</f>
        <v/>
      </c>
      <c r="BE223" s="73"/>
      <c r="BF223" s="123" t="str">
        <f t="shared" si="405"/>
        <v/>
      </c>
      <c r="BG223" s="123" t="str">
        <f t="shared" si="406"/>
        <v/>
      </c>
      <c r="BH223" s="97" t="str">
        <f t="shared" ca="1" si="407"/>
        <v/>
      </c>
      <c r="BI223" s="98" t="str">
        <f>IF(BK223&lt;&gt;"",VLOOKUP($P223&amp;" | "&amp;BI$6,'Job Master'!$F$12:$J$102,5,0),"")</f>
        <v/>
      </c>
      <c r="BJ223" s="19" t="str">
        <f>IF(BK223&lt;&gt;"",VLOOKUP($P223&amp;" | "&amp;BI$6,'Job Master'!$F$12:$J$102,3,0),"")</f>
        <v/>
      </c>
      <c r="BK223" s="19" t="str">
        <f>IFERROR(IF(AND(BR223&lt;&gt;"",VLOOKUP($P223&amp;" | "&amp;BI$6,'Job Master'!$F$12:$I$102,4,0)&lt;&gt;""),IF(WEEKDAY(BR223-VLOOKUP($P223&amp;" | "&amp;BI$6,'Job Master'!$F$12:$I$102,4,0))&lt;&gt;7,BR223-VLOOKUP($P223&amp;" | "&amp;BI$6,'Job Master'!$F$12:$I$102,4,0),BR223-VLOOKUP($P223&amp;" | "&amp;BI$6,'Job Master'!$F$12:$I$102,4,0)-1),""),"")</f>
        <v/>
      </c>
      <c r="BL223" s="73"/>
      <c r="BM223" s="123" t="str">
        <f t="shared" si="408"/>
        <v/>
      </c>
      <c r="BN223" s="123" t="str">
        <f t="shared" si="409"/>
        <v/>
      </c>
      <c r="BO223" s="97" t="str">
        <f t="shared" ca="1" si="410"/>
        <v/>
      </c>
      <c r="BP223" s="98" t="str">
        <f>IF(BR223&lt;&gt;"",VLOOKUP($P223&amp;" | "&amp;BP$6,'Job Master'!$F$12:$J$102,5,0),"")</f>
        <v/>
      </c>
      <c r="BQ223" s="19" t="str">
        <f>IF(BR223&lt;&gt;"",VLOOKUP($P223&amp;" | "&amp;BP$6,'Job Master'!$F$12:$J$102,3,0),"")</f>
        <v/>
      </c>
      <c r="BR223" s="19" t="str">
        <f>IFERROR(IF(AND(BY223&lt;&gt;"",VLOOKUP($P223&amp;" | "&amp;BP$6,'Job Master'!$F$12:$I$102,4,0)&lt;&gt;""),IF(WEEKDAY(BY223-VLOOKUP($P223&amp;" | "&amp;BP$6,'Job Master'!$F$12:$I$102,4,0))&lt;&gt;7,BY223-VLOOKUP($P223&amp;" | "&amp;BP$6,'Job Master'!$F$12:$I$102,4,0),BY223-VLOOKUP($P223&amp;" | "&amp;BP$6,'Job Master'!$F$12:$I$102,4,0)-1),""),"")</f>
        <v/>
      </c>
      <c r="BS223" s="73"/>
      <c r="BT223" s="123" t="str">
        <f t="shared" si="411"/>
        <v/>
      </c>
      <c r="BU223" s="123" t="str">
        <f t="shared" si="412"/>
        <v/>
      </c>
      <c r="BV223" s="97" t="str">
        <f t="shared" ca="1" si="413"/>
        <v/>
      </c>
      <c r="BW223" s="98" t="str">
        <f>IF(BY223&lt;&gt;"",VLOOKUP($P223&amp;" | "&amp;BW$6,'Job Master'!$F$12:$J$102,5,0),"")</f>
        <v/>
      </c>
      <c r="BX223" s="19" t="str">
        <f>IF(BY223&lt;&gt;"",VLOOKUP($P223&amp;" | "&amp;BW$6,'Job Master'!$F$12:$J$102,3,0),"")</f>
        <v/>
      </c>
      <c r="BY223" s="19" t="str">
        <f>IFERROR(IF(AND(CF223&lt;&gt;"",VLOOKUP($P223&amp;" | "&amp;BW$6,'Job Master'!$F$12:$I$102,4,0)&lt;&gt;""),IF(WEEKDAY(CF223-VLOOKUP($P223&amp;" | "&amp;BW$6,'Job Master'!$F$12:$I$102,4,0))&lt;&gt;7,CF223-VLOOKUP($P223&amp;" | "&amp;BW$6,'Job Master'!$F$12:$I$102,4,0),CF223-VLOOKUP($P223&amp;" | "&amp;BW$6,'Job Master'!$F$12:$I$102,4,0)-1),""),"")</f>
        <v/>
      </c>
      <c r="BZ223" s="73"/>
      <c r="CA223" s="123" t="str">
        <f t="shared" si="414"/>
        <v/>
      </c>
      <c r="CB223" s="123" t="str">
        <f t="shared" si="415"/>
        <v/>
      </c>
      <c r="CC223" s="97" t="str">
        <f t="shared" ca="1" si="416"/>
        <v/>
      </c>
      <c r="CD223" s="98" t="str">
        <f>IF(CF223&lt;&gt;"",VLOOKUP($P223&amp;" | "&amp;CD$6,'Job Master'!$F$12:$J$102,5,0),"")</f>
        <v/>
      </c>
      <c r="CE223" s="19" t="str">
        <f>IF(CF223&lt;&gt;"",VLOOKUP($P223&amp;" | "&amp;CD$6,'Job Master'!$F$12:$J$102,3,0),"")</f>
        <v/>
      </c>
      <c r="CF223" s="19" t="str">
        <f>IFERROR(IF(AND(CM223&lt;&gt;"",VLOOKUP($P223&amp;" | "&amp;CD$6,'Job Master'!$F$12:$I$102,4,0)&lt;&gt;""),IF(WEEKDAY(CM223-VLOOKUP($P223&amp;" | "&amp;CD$6,'Job Master'!$F$12:$I$102,4,0))&lt;&gt;7,CM223-VLOOKUP($P223&amp;" | "&amp;CD$6,'Job Master'!$F$12:$I$102,4,0),CM223-VLOOKUP($P223&amp;" | "&amp;CD$6,'Job Master'!$F$12:$I$102,4,0)-1),""),"")</f>
        <v/>
      </c>
      <c r="CG223" s="73"/>
      <c r="CH223" s="123" t="str">
        <f t="shared" si="417"/>
        <v/>
      </c>
      <c r="CI223" s="123" t="str">
        <f t="shared" si="418"/>
        <v/>
      </c>
      <c r="CJ223" s="97" t="str">
        <f t="shared" ca="1" si="419"/>
        <v/>
      </c>
      <c r="CK223" s="98" t="str">
        <f>IF(CM223&lt;&gt;"",VLOOKUP($P223&amp;" | "&amp;CK$6,'Job Master'!$F$12:$J$102,5,0),"")</f>
        <v/>
      </c>
      <c r="CL223" s="19" t="str">
        <f>IF(CM223&lt;&gt;"",VLOOKUP($P223&amp;" | "&amp;CK$6,'Job Master'!$F$12:$J$102,3,0),"")</f>
        <v/>
      </c>
      <c r="CM223" s="19" t="str">
        <f>IFERROR(IF(AND(CT223&lt;&gt;"",VLOOKUP($P223&amp;" | "&amp;CK$6,'Job Master'!$F$12:$I$102,4,0)&lt;&gt;""),IF(WEEKDAY(CT223-VLOOKUP($P223&amp;" | "&amp;CK$6,'Job Master'!$F$12:$I$102,4,0))&lt;&gt;7,CT223-VLOOKUP($P223&amp;" | "&amp;CK$6,'Job Master'!$F$12:$I$102,4,0),CT223-VLOOKUP($P223&amp;" | "&amp;CK$6,'Job Master'!$F$12:$I$102,4,0)-1),""),"")</f>
        <v/>
      </c>
      <c r="CN223" s="73"/>
      <c r="CO223" s="123" t="str">
        <f t="shared" si="420"/>
        <v/>
      </c>
      <c r="CP223" s="123" t="str">
        <f t="shared" si="421"/>
        <v/>
      </c>
      <c r="CQ223" s="97" t="str">
        <f t="shared" ca="1" si="422"/>
        <v/>
      </c>
      <c r="CR223" s="98" t="str">
        <f>IF(CT223&lt;&gt;"",VLOOKUP($P223&amp;" | "&amp;CR$6,'Job Master'!$F$12:$J$102,5,0),"")</f>
        <v/>
      </c>
      <c r="CS223" s="19" t="str">
        <f>IF(CT223&lt;&gt;"",VLOOKUP($P223&amp;" | "&amp;CR$6,'Job Master'!$F$12:$J$102,3,0),"")</f>
        <v/>
      </c>
      <c r="CT223" s="19" t="str">
        <f>IFERROR(IF(AND(DA223&lt;&gt;"",VLOOKUP($P223&amp;" | "&amp;CR$6,'Job Master'!$F$12:$I$102,4,0)&lt;&gt;""),IF(WEEKDAY(DA223-VLOOKUP($P223&amp;" | "&amp;CR$6,'Job Master'!$F$12:$I$102,4,0))&lt;&gt;7,DA223-VLOOKUP($P223&amp;" | "&amp;CR$6,'Job Master'!$F$12:$I$102,4,0),DA223-VLOOKUP($P223&amp;" | "&amp;CR$6,'Job Master'!$F$12:$I$102,4,0)-1),""),"")</f>
        <v/>
      </c>
      <c r="CU223" s="73"/>
      <c r="CV223" s="123" t="str">
        <f t="shared" si="423"/>
        <v/>
      </c>
      <c r="CW223" s="123" t="str">
        <f t="shared" si="424"/>
        <v/>
      </c>
      <c r="CX223" s="97" t="str">
        <f t="shared" ca="1" si="425"/>
        <v/>
      </c>
      <c r="CY223" s="98" t="str">
        <f>IF(DA223&lt;&gt;"",VLOOKUP($P223&amp;" | "&amp;CY$6,'Job Master'!$F$12:$J$102,5,0),"")</f>
        <v/>
      </c>
      <c r="CZ223" s="19" t="str">
        <f>IF(DA223&lt;&gt;"",VLOOKUP($P223&amp;" | "&amp;CY$6,'Job Master'!$F$12:$J$102,3,0),"")</f>
        <v/>
      </c>
      <c r="DA223" s="19" t="str">
        <f>IFERROR(IF(AND(DH223&lt;&gt;"",VLOOKUP($P223&amp;" | "&amp;CY$6,'Job Master'!$F$12:$I$102,4,0)&lt;&gt;""),IF(WEEKDAY(DH223-VLOOKUP($P223&amp;" | "&amp;CY$6,'Job Master'!$F$12:$I$102,4,0))&lt;&gt;7,DH223-VLOOKUP($P223&amp;" | "&amp;CY$6,'Job Master'!$F$12:$I$102,4,0),DH223-VLOOKUP($P223&amp;" | "&amp;CY$6,'Job Master'!$F$12:$I$102,4,0)-1),""),"")</f>
        <v/>
      </c>
      <c r="DB223" s="73"/>
      <c r="DC223" s="123" t="str">
        <f t="shared" si="426"/>
        <v/>
      </c>
      <c r="DD223" s="123" t="str">
        <f t="shared" si="427"/>
        <v/>
      </c>
      <c r="DE223" s="97" t="str">
        <f t="shared" ca="1" si="428"/>
        <v/>
      </c>
      <c r="DF223" s="98" t="str">
        <f>IF(DH223&lt;&gt;"",VLOOKUP($P223&amp;" | "&amp;DF$6,'Job Master'!$F$12:$J$102,5,0),"")</f>
        <v/>
      </c>
      <c r="DG223" s="19" t="str">
        <f>IF(DH223&lt;&gt;"",VLOOKUP($P223&amp;" | "&amp;DF$6,'Job Master'!$F$12:$J$102,3,0),"")</f>
        <v/>
      </c>
      <c r="DH223" s="19" t="str">
        <f>IFERROR(IF(AND(DO223&lt;&gt;"",VLOOKUP($P223&amp;" | "&amp;DF$6,'Job Master'!$F$12:$I$102,4,0)&lt;&gt;""),IF(WEEKDAY(DO223-VLOOKUP($P223&amp;" | "&amp;DF$6,'Job Master'!$F$12:$I$102,4,0))&lt;&gt;7,DO223-VLOOKUP($P223&amp;" | "&amp;DF$6,'Job Master'!$F$12:$I$102,4,0),DO223-VLOOKUP($P223&amp;" | "&amp;DF$6,'Job Master'!$F$12:$I$102,4,0)-1),""),"")</f>
        <v/>
      </c>
      <c r="DI223" s="73"/>
      <c r="DJ223" s="123" t="str">
        <f t="shared" si="429"/>
        <v/>
      </c>
      <c r="DK223" s="123" t="str">
        <f t="shared" si="430"/>
        <v/>
      </c>
      <c r="DL223" s="97" t="str">
        <f t="shared" ca="1" si="431"/>
        <v/>
      </c>
      <c r="DM223" s="98" t="str">
        <f>IF(DO223&lt;&gt;"",VLOOKUP($P223&amp;" | "&amp;DM$6,'Job Master'!$F$12:$J$102,5,0),"")</f>
        <v/>
      </c>
      <c r="DN223" s="19" t="str">
        <f>IF(DO223&lt;&gt;"",VLOOKUP($P223&amp;" | "&amp;DM$6,'Job Master'!$F$12:$J$102,3,0),"")</f>
        <v/>
      </c>
      <c r="DO223" s="19" t="str">
        <f>IFERROR(IF(AND(DT223&lt;&gt;"",VLOOKUP($P223&amp;" | "&amp;DM$6,'Job Master'!$F$12:$I$102,4,0)&lt;&gt;""),IF(WEEKDAY(DT223-VLOOKUP($P223&amp;" | "&amp;DM$6,'Job Master'!$F$12:$I$102,4,0))&lt;&gt;7,DT223-VLOOKUP($P223&amp;" | "&amp;DM$6,'Job Master'!$F$12:$I$102,4,0),DT223-VLOOKUP($P223&amp;" | "&amp;DM$6,'Job Master'!$F$12:$I$102,4,0)-1),""),"")</f>
        <v/>
      </c>
      <c r="DP223" s="73"/>
      <c r="DQ223" s="123" t="str">
        <f t="shared" si="432"/>
        <v/>
      </c>
      <c r="DR223" s="123" t="str">
        <f t="shared" si="433"/>
        <v/>
      </c>
      <c r="DS223" s="97" t="str">
        <f t="shared" ca="1" si="434"/>
        <v/>
      </c>
      <c r="DT223" s="70" t="str">
        <f t="shared" si="435"/>
        <v/>
      </c>
      <c r="DU223" s="90"/>
      <c r="DV223" s="123" t="str">
        <f t="shared" si="436"/>
        <v/>
      </c>
      <c r="DW223" s="123" t="str">
        <f t="shared" si="437"/>
        <v/>
      </c>
      <c r="DX223" s="132" t="str">
        <f t="shared" ref="DX223" ca="1" si="470">IF(DT223&lt;&gt;"",IF(WEEKNUM(DT223)=WEEKNUM(TODAY()),"This Week",IF(WEEKNUM(DT223)=WEEKNUM(TODAY())+1,"Next Week",IF(WEEKNUM(DT223)=WEEKNUM(TODAY())-1,"Previous Week",""))),"")</f>
        <v/>
      </c>
      <c r="DY223" s="134" t="str">
        <f t="shared" si="439"/>
        <v/>
      </c>
      <c r="DZ223" s="95"/>
      <c r="EB223" s="8" t="str">
        <f t="shared" si="445"/>
        <v/>
      </c>
      <c r="EC223" s="8" t="str">
        <f>IF(O223&lt;&gt;"",VLOOKUP(O223,'Job Master'!$N$12:$O$18,2,0),"")</f>
        <v/>
      </c>
      <c r="ED223" s="8">
        <f t="shared" si="446"/>
        <v>19.5</v>
      </c>
      <c r="EE223" s="8">
        <f t="shared" si="447"/>
        <v>6</v>
      </c>
      <c r="EF223" s="8">
        <f t="shared" si="448"/>
        <v>-1258.5</v>
      </c>
      <c r="EG223" s="8" t="str">
        <f t="shared" si="449"/>
        <v/>
      </c>
      <c r="EH223" s="8" t="str">
        <f t="shared" si="450"/>
        <v/>
      </c>
    </row>
    <row r="224" spans="2:138" x14ac:dyDescent="0.3">
      <c r="B224" s="112"/>
      <c r="C224" s="27"/>
      <c r="D224" s="7" t="str">
        <f t="shared" si="387"/>
        <v/>
      </c>
      <c r="E224" s="25"/>
      <c r="F224" s="7" t="str">
        <f t="shared" si="387"/>
        <v/>
      </c>
      <c r="G224" s="25"/>
      <c r="H224" s="7" t="str">
        <f t="shared" si="387"/>
        <v/>
      </c>
      <c r="I224" s="25"/>
      <c r="J224" s="7" t="str">
        <f t="shared" si="387"/>
        <v/>
      </c>
      <c r="K224" s="25"/>
      <c r="L224" s="7" t="str">
        <f t="shared" si="388"/>
        <v/>
      </c>
      <c r="M224" s="25"/>
      <c r="N224" s="7" t="str">
        <f t="shared" si="389"/>
        <v/>
      </c>
      <c r="O224" s="81"/>
      <c r="P224" s="81" t="str">
        <f t="shared" si="390"/>
        <v/>
      </c>
      <c r="Q224" s="81"/>
      <c r="R224" s="7" t="str">
        <f t="shared" si="391"/>
        <v/>
      </c>
      <c r="S224" s="25"/>
      <c r="T224" s="7" t="str">
        <f t="shared" si="392"/>
        <v/>
      </c>
      <c r="U224" s="25"/>
      <c r="V224" s="7" t="str">
        <f t="shared" si="393"/>
        <v/>
      </c>
      <c r="W224" s="25"/>
      <c r="X224" s="7" t="str">
        <f t="shared" si="394"/>
        <v/>
      </c>
      <c r="Y224" s="18" t="str">
        <f t="shared" si="395"/>
        <v/>
      </c>
      <c r="Z224" s="7" t="str">
        <f t="shared" si="396"/>
        <v/>
      </c>
      <c r="AA224" s="18" t="str">
        <f t="shared" si="397"/>
        <v/>
      </c>
      <c r="AB224" s="19" t="str">
        <f t="shared" si="398"/>
        <v/>
      </c>
      <c r="AC224" s="26"/>
      <c r="AD224" s="26"/>
      <c r="AE224" s="25"/>
      <c r="AF224" s="26"/>
      <c r="AG224" s="25"/>
      <c r="AH224" s="25"/>
      <c r="AI224" s="18" t="str">
        <f t="shared" si="461"/>
        <v/>
      </c>
      <c r="AJ224" s="25"/>
      <c r="AK224" s="18" t="str">
        <f t="shared" si="462"/>
        <v/>
      </c>
      <c r="AL224" s="79"/>
      <c r="AM224" s="126" t="str">
        <f t="shared" si="463"/>
        <v/>
      </c>
      <c r="AN224" s="128" t="str">
        <f>IF(AP224&lt;&gt;"",VLOOKUP($P224&amp;" | "&amp;AN$6,'Job Master'!$F$12:$J$102,5,0),"")</f>
        <v/>
      </c>
      <c r="AO224" s="19" t="str">
        <f>IF(AP224&lt;&gt;"",VLOOKUP($P224&amp;" | "&amp;AN$6,'Job Master'!$F$12:$J$102,3,0),"")</f>
        <v/>
      </c>
      <c r="AP224" s="19" t="str">
        <f>IFERROR(IF(AND(AW224&lt;&gt;"",VLOOKUP($P224&amp;" | "&amp;AN$6,'Job Master'!$F$12:$I$102,4,0)&lt;&gt;""),IF(WEEKDAY(AW224-VLOOKUP($P224&amp;" | "&amp;AN$6,'Job Master'!$F$12:$I$102,4,0))&lt;&gt;7,AW224-VLOOKUP($P224&amp;" | "&amp;AN$6,'Job Master'!$F$12:$I$102,4,0),AW224-VLOOKUP($P224&amp;" | "&amp;AN$6,'Job Master'!$F$12:$I$102,4,0)-1),""),"")</f>
        <v/>
      </c>
      <c r="AQ224" s="73"/>
      <c r="AR224" s="123" t="str">
        <f t="shared" si="399"/>
        <v/>
      </c>
      <c r="AS224" s="123" t="str">
        <f t="shared" si="400"/>
        <v/>
      </c>
      <c r="AT224" s="97" t="str">
        <f t="shared" ca="1" si="401"/>
        <v/>
      </c>
      <c r="AU224" s="98" t="str">
        <f>IF(AW224&lt;&gt;"",VLOOKUP($P224&amp;" | "&amp;AU$6,'Job Master'!$F$12:$J$102,5,0),"")</f>
        <v/>
      </c>
      <c r="AV224" s="19" t="str">
        <f>IF(AW224&lt;&gt;"",VLOOKUP($P224&amp;" | "&amp;AU$6,'Job Master'!$F$12:$J$102,3,0),"")</f>
        <v/>
      </c>
      <c r="AW224" s="19" t="str">
        <f>IFERROR(IF(AND(BD224&lt;&gt;"",VLOOKUP($P224&amp;" | "&amp;AU$6,'Job Master'!$F$12:$I$102,4,0)&lt;&gt;""),IF(WEEKDAY(BD224-VLOOKUP($P224&amp;" | "&amp;AU$6,'Job Master'!$F$12:$I$102,4,0))&lt;&gt;7,BD224-VLOOKUP($P224&amp;" | "&amp;AU$6,'Job Master'!$F$12:$I$102,4,0),BD224-VLOOKUP($P224&amp;" | "&amp;AU$6,'Job Master'!$F$12:$I$102,4,0)-1),""),"")</f>
        <v/>
      </c>
      <c r="AX224" s="73"/>
      <c r="AY224" s="123" t="str">
        <f t="shared" si="402"/>
        <v/>
      </c>
      <c r="AZ224" s="123" t="str">
        <f t="shared" si="403"/>
        <v/>
      </c>
      <c r="BA224" s="97" t="str">
        <f t="shared" ca="1" si="404"/>
        <v/>
      </c>
      <c r="BB224" s="98" t="str">
        <f>IF(BD224&lt;&gt;"",VLOOKUP($P224&amp;" | "&amp;BB$6,'Job Master'!$F$12:$J$102,5,0),"")</f>
        <v/>
      </c>
      <c r="BC224" s="19" t="str">
        <f>IF(BD224&lt;&gt;"",VLOOKUP($P224&amp;" | "&amp;BB$6,'Job Master'!$F$12:$J$102,3,0),"")</f>
        <v/>
      </c>
      <c r="BD224" s="19" t="str">
        <f>IFERROR(IF(AND(BK224&lt;&gt;"",VLOOKUP($P224&amp;" | "&amp;BB$6,'Job Master'!$F$12:$I$102,4,0)&lt;&gt;""),IF(WEEKDAY(BK224-VLOOKUP($P224&amp;" | "&amp;BB$6,'Job Master'!$F$12:$I$102,4,0))&lt;&gt;7,BK224-VLOOKUP($P224&amp;" | "&amp;BB$6,'Job Master'!$F$12:$I$102,4,0),BK224-VLOOKUP($P224&amp;" | "&amp;BB$6,'Job Master'!$F$12:$I$102,4,0)-1),""),"")</f>
        <v/>
      </c>
      <c r="BE224" s="73"/>
      <c r="BF224" s="123" t="str">
        <f t="shared" si="405"/>
        <v/>
      </c>
      <c r="BG224" s="123" t="str">
        <f t="shared" si="406"/>
        <v/>
      </c>
      <c r="BH224" s="97" t="str">
        <f t="shared" ca="1" si="407"/>
        <v/>
      </c>
      <c r="BI224" s="98" t="str">
        <f>IF(BK224&lt;&gt;"",VLOOKUP($P224&amp;" | "&amp;BI$6,'Job Master'!$F$12:$J$102,5,0),"")</f>
        <v/>
      </c>
      <c r="BJ224" s="19" t="str">
        <f>IF(BK224&lt;&gt;"",VLOOKUP($P224&amp;" | "&amp;BI$6,'Job Master'!$F$12:$J$102,3,0),"")</f>
        <v/>
      </c>
      <c r="BK224" s="19" t="str">
        <f>IFERROR(IF(AND(BR224&lt;&gt;"",VLOOKUP($P224&amp;" | "&amp;BI$6,'Job Master'!$F$12:$I$102,4,0)&lt;&gt;""),IF(WEEKDAY(BR224-VLOOKUP($P224&amp;" | "&amp;BI$6,'Job Master'!$F$12:$I$102,4,0))&lt;&gt;7,BR224-VLOOKUP($P224&amp;" | "&amp;BI$6,'Job Master'!$F$12:$I$102,4,0),BR224-VLOOKUP($P224&amp;" | "&amp;BI$6,'Job Master'!$F$12:$I$102,4,0)-1),""),"")</f>
        <v/>
      </c>
      <c r="BL224" s="73"/>
      <c r="BM224" s="123" t="str">
        <f t="shared" si="408"/>
        <v/>
      </c>
      <c r="BN224" s="123" t="str">
        <f t="shared" si="409"/>
        <v/>
      </c>
      <c r="BO224" s="97" t="str">
        <f t="shared" ca="1" si="410"/>
        <v/>
      </c>
      <c r="BP224" s="98" t="str">
        <f>IF(BR224&lt;&gt;"",VLOOKUP($P224&amp;" | "&amp;BP$6,'Job Master'!$F$12:$J$102,5,0),"")</f>
        <v/>
      </c>
      <c r="BQ224" s="19" t="str">
        <f>IF(BR224&lt;&gt;"",VLOOKUP($P224&amp;" | "&amp;BP$6,'Job Master'!$F$12:$J$102,3,0),"")</f>
        <v/>
      </c>
      <c r="BR224" s="19" t="str">
        <f>IFERROR(IF(AND(BY224&lt;&gt;"",VLOOKUP($P224&amp;" | "&amp;BP$6,'Job Master'!$F$12:$I$102,4,0)&lt;&gt;""),IF(WEEKDAY(BY224-VLOOKUP($P224&amp;" | "&amp;BP$6,'Job Master'!$F$12:$I$102,4,0))&lt;&gt;7,BY224-VLOOKUP($P224&amp;" | "&amp;BP$6,'Job Master'!$F$12:$I$102,4,0),BY224-VLOOKUP($P224&amp;" | "&amp;BP$6,'Job Master'!$F$12:$I$102,4,0)-1),""),"")</f>
        <v/>
      </c>
      <c r="BS224" s="73"/>
      <c r="BT224" s="123" t="str">
        <f t="shared" si="411"/>
        <v/>
      </c>
      <c r="BU224" s="123" t="str">
        <f t="shared" si="412"/>
        <v/>
      </c>
      <c r="BV224" s="97" t="str">
        <f t="shared" ca="1" si="413"/>
        <v/>
      </c>
      <c r="BW224" s="98" t="str">
        <f>IF(BY224&lt;&gt;"",VLOOKUP($P224&amp;" | "&amp;BW$6,'Job Master'!$F$12:$J$102,5,0),"")</f>
        <v/>
      </c>
      <c r="BX224" s="19" t="str">
        <f>IF(BY224&lt;&gt;"",VLOOKUP($P224&amp;" | "&amp;BW$6,'Job Master'!$F$12:$J$102,3,0),"")</f>
        <v/>
      </c>
      <c r="BY224" s="19" t="str">
        <f>IFERROR(IF(AND(CF224&lt;&gt;"",VLOOKUP($P224&amp;" | "&amp;BW$6,'Job Master'!$F$12:$I$102,4,0)&lt;&gt;""),IF(WEEKDAY(CF224-VLOOKUP($P224&amp;" | "&amp;BW$6,'Job Master'!$F$12:$I$102,4,0))&lt;&gt;7,CF224-VLOOKUP($P224&amp;" | "&amp;BW$6,'Job Master'!$F$12:$I$102,4,0),CF224-VLOOKUP($P224&amp;" | "&amp;BW$6,'Job Master'!$F$12:$I$102,4,0)-1),""),"")</f>
        <v/>
      </c>
      <c r="BZ224" s="73"/>
      <c r="CA224" s="123" t="str">
        <f t="shared" si="414"/>
        <v/>
      </c>
      <c r="CB224" s="123" t="str">
        <f t="shared" si="415"/>
        <v/>
      </c>
      <c r="CC224" s="97" t="str">
        <f t="shared" ca="1" si="416"/>
        <v/>
      </c>
      <c r="CD224" s="98" t="str">
        <f>IF(CF224&lt;&gt;"",VLOOKUP($P224&amp;" | "&amp;CD$6,'Job Master'!$F$12:$J$102,5,0),"")</f>
        <v/>
      </c>
      <c r="CE224" s="19" t="str">
        <f>IF(CF224&lt;&gt;"",VLOOKUP($P224&amp;" | "&amp;CD$6,'Job Master'!$F$12:$J$102,3,0),"")</f>
        <v/>
      </c>
      <c r="CF224" s="19" t="str">
        <f>IFERROR(IF(AND(CM224&lt;&gt;"",VLOOKUP($P224&amp;" | "&amp;CD$6,'Job Master'!$F$12:$I$102,4,0)&lt;&gt;""),IF(WEEKDAY(CM224-VLOOKUP($P224&amp;" | "&amp;CD$6,'Job Master'!$F$12:$I$102,4,0))&lt;&gt;7,CM224-VLOOKUP($P224&amp;" | "&amp;CD$6,'Job Master'!$F$12:$I$102,4,0),CM224-VLOOKUP($P224&amp;" | "&amp;CD$6,'Job Master'!$F$12:$I$102,4,0)-1),""),"")</f>
        <v/>
      </c>
      <c r="CG224" s="73"/>
      <c r="CH224" s="123" t="str">
        <f t="shared" si="417"/>
        <v/>
      </c>
      <c r="CI224" s="123" t="str">
        <f t="shared" si="418"/>
        <v/>
      </c>
      <c r="CJ224" s="97" t="str">
        <f t="shared" ca="1" si="419"/>
        <v/>
      </c>
      <c r="CK224" s="98" t="str">
        <f>IF(CM224&lt;&gt;"",VLOOKUP($P224&amp;" | "&amp;CK$6,'Job Master'!$F$12:$J$102,5,0),"")</f>
        <v/>
      </c>
      <c r="CL224" s="19" t="str">
        <f>IF(CM224&lt;&gt;"",VLOOKUP($P224&amp;" | "&amp;CK$6,'Job Master'!$F$12:$J$102,3,0),"")</f>
        <v/>
      </c>
      <c r="CM224" s="19" t="str">
        <f>IFERROR(IF(AND(CT224&lt;&gt;"",VLOOKUP($P224&amp;" | "&amp;CK$6,'Job Master'!$F$12:$I$102,4,0)&lt;&gt;""),IF(WEEKDAY(CT224-VLOOKUP($P224&amp;" | "&amp;CK$6,'Job Master'!$F$12:$I$102,4,0))&lt;&gt;7,CT224-VLOOKUP($P224&amp;" | "&amp;CK$6,'Job Master'!$F$12:$I$102,4,0),CT224-VLOOKUP($P224&amp;" | "&amp;CK$6,'Job Master'!$F$12:$I$102,4,0)-1),""),"")</f>
        <v/>
      </c>
      <c r="CN224" s="73"/>
      <c r="CO224" s="123" t="str">
        <f t="shared" si="420"/>
        <v/>
      </c>
      <c r="CP224" s="123" t="str">
        <f t="shared" si="421"/>
        <v/>
      </c>
      <c r="CQ224" s="97" t="str">
        <f t="shared" ca="1" si="422"/>
        <v/>
      </c>
      <c r="CR224" s="98" t="str">
        <f>IF(CT224&lt;&gt;"",VLOOKUP($P224&amp;" | "&amp;CR$6,'Job Master'!$F$12:$J$102,5,0),"")</f>
        <v/>
      </c>
      <c r="CS224" s="19" t="str">
        <f>IF(CT224&lt;&gt;"",VLOOKUP($P224&amp;" | "&amp;CR$6,'Job Master'!$F$12:$J$102,3,0),"")</f>
        <v/>
      </c>
      <c r="CT224" s="19" t="str">
        <f>IFERROR(IF(AND(DA224&lt;&gt;"",VLOOKUP($P224&amp;" | "&amp;CR$6,'Job Master'!$F$12:$I$102,4,0)&lt;&gt;""),IF(WEEKDAY(DA224-VLOOKUP($P224&amp;" | "&amp;CR$6,'Job Master'!$F$12:$I$102,4,0))&lt;&gt;7,DA224-VLOOKUP($P224&amp;" | "&amp;CR$6,'Job Master'!$F$12:$I$102,4,0),DA224-VLOOKUP($P224&amp;" | "&amp;CR$6,'Job Master'!$F$12:$I$102,4,0)-1),""),"")</f>
        <v/>
      </c>
      <c r="CU224" s="73"/>
      <c r="CV224" s="123" t="str">
        <f t="shared" si="423"/>
        <v/>
      </c>
      <c r="CW224" s="123" t="str">
        <f t="shared" si="424"/>
        <v/>
      </c>
      <c r="CX224" s="97" t="str">
        <f t="shared" ca="1" si="425"/>
        <v/>
      </c>
      <c r="CY224" s="98" t="str">
        <f>IF(DA224&lt;&gt;"",VLOOKUP($P224&amp;" | "&amp;CY$6,'Job Master'!$F$12:$J$102,5,0),"")</f>
        <v/>
      </c>
      <c r="CZ224" s="19" t="str">
        <f>IF(DA224&lt;&gt;"",VLOOKUP($P224&amp;" | "&amp;CY$6,'Job Master'!$F$12:$J$102,3,0),"")</f>
        <v/>
      </c>
      <c r="DA224" s="19" t="str">
        <f>IFERROR(IF(AND(DH224&lt;&gt;"",VLOOKUP($P224&amp;" | "&amp;CY$6,'Job Master'!$F$12:$I$102,4,0)&lt;&gt;""),IF(WEEKDAY(DH224-VLOOKUP($P224&amp;" | "&amp;CY$6,'Job Master'!$F$12:$I$102,4,0))&lt;&gt;7,DH224-VLOOKUP($P224&amp;" | "&amp;CY$6,'Job Master'!$F$12:$I$102,4,0),DH224-VLOOKUP($P224&amp;" | "&amp;CY$6,'Job Master'!$F$12:$I$102,4,0)-1),""),"")</f>
        <v/>
      </c>
      <c r="DB224" s="73"/>
      <c r="DC224" s="123" t="str">
        <f t="shared" si="426"/>
        <v/>
      </c>
      <c r="DD224" s="123" t="str">
        <f t="shared" si="427"/>
        <v/>
      </c>
      <c r="DE224" s="97" t="str">
        <f t="shared" ca="1" si="428"/>
        <v/>
      </c>
      <c r="DF224" s="98" t="str">
        <f>IF(DH224&lt;&gt;"",VLOOKUP($P224&amp;" | "&amp;DF$6,'Job Master'!$F$12:$J$102,5,0),"")</f>
        <v/>
      </c>
      <c r="DG224" s="19" t="str">
        <f>IF(DH224&lt;&gt;"",VLOOKUP($P224&amp;" | "&amp;DF$6,'Job Master'!$F$12:$J$102,3,0),"")</f>
        <v/>
      </c>
      <c r="DH224" s="19" t="str">
        <f>IFERROR(IF(AND(DO224&lt;&gt;"",VLOOKUP($P224&amp;" | "&amp;DF$6,'Job Master'!$F$12:$I$102,4,0)&lt;&gt;""),IF(WEEKDAY(DO224-VLOOKUP($P224&amp;" | "&amp;DF$6,'Job Master'!$F$12:$I$102,4,0))&lt;&gt;7,DO224-VLOOKUP($P224&amp;" | "&amp;DF$6,'Job Master'!$F$12:$I$102,4,0),DO224-VLOOKUP($P224&amp;" | "&amp;DF$6,'Job Master'!$F$12:$I$102,4,0)-1),""),"")</f>
        <v/>
      </c>
      <c r="DI224" s="73"/>
      <c r="DJ224" s="123" t="str">
        <f t="shared" si="429"/>
        <v/>
      </c>
      <c r="DK224" s="123" t="str">
        <f t="shared" si="430"/>
        <v/>
      </c>
      <c r="DL224" s="97" t="str">
        <f t="shared" ca="1" si="431"/>
        <v/>
      </c>
      <c r="DM224" s="98" t="str">
        <f>IF(DO224&lt;&gt;"",VLOOKUP($P224&amp;" | "&amp;DM$6,'Job Master'!$F$12:$J$102,5,0),"")</f>
        <v/>
      </c>
      <c r="DN224" s="19" t="str">
        <f>IF(DO224&lt;&gt;"",VLOOKUP($P224&amp;" | "&amp;DM$6,'Job Master'!$F$12:$J$102,3,0),"")</f>
        <v/>
      </c>
      <c r="DO224" s="19" t="str">
        <f>IFERROR(IF(AND(DT224&lt;&gt;"",VLOOKUP($P224&amp;" | "&amp;DM$6,'Job Master'!$F$12:$I$102,4,0)&lt;&gt;""),IF(WEEKDAY(DT224-VLOOKUP($P224&amp;" | "&amp;DM$6,'Job Master'!$F$12:$I$102,4,0))&lt;&gt;7,DT224-VLOOKUP($P224&amp;" | "&amp;DM$6,'Job Master'!$F$12:$I$102,4,0),DT224-VLOOKUP($P224&amp;" | "&amp;DM$6,'Job Master'!$F$12:$I$102,4,0)-1),""),"")</f>
        <v/>
      </c>
      <c r="DP224" s="73"/>
      <c r="DQ224" s="123" t="str">
        <f t="shared" si="432"/>
        <v/>
      </c>
      <c r="DR224" s="123" t="str">
        <f t="shared" si="433"/>
        <v/>
      </c>
      <c r="DS224" s="97" t="str">
        <f t="shared" ca="1" si="434"/>
        <v/>
      </c>
      <c r="DT224" s="70" t="str">
        <f t="shared" si="435"/>
        <v/>
      </c>
      <c r="DU224" s="90"/>
      <c r="DV224" s="123" t="str">
        <f t="shared" si="436"/>
        <v/>
      </c>
      <c r="DW224" s="123" t="str">
        <f t="shared" si="437"/>
        <v/>
      </c>
      <c r="DX224" s="132" t="str">
        <f t="shared" ref="DX224" ca="1" si="471">IF(DT224&lt;&gt;"",IF(WEEKNUM(DT224)=WEEKNUM(TODAY()),"This Week",IF(WEEKNUM(DT224)=WEEKNUM(TODAY())+1,"Next Week",IF(WEEKNUM(DT224)=WEEKNUM(TODAY())-1,"Previous Week",""))),"")</f>
        <v/>
      </c>
      <c r="DY224" s="134" t="str">
        <f t="shared" si="439"/>
        <v/>
      </c>
      <c r="DZ224" s="95"/>
      <c r="EB224" s="8" t="str">
        <f t="shared" si="445"/>
        <v/>
      </c>
      <c r="EC224" s="8" t="str">
        <f>IF(O224&lt;&gt;"",VLOOKUP(O224,'Job Master'!$N$12:$O$18,2,0),"")</f>
        <v/>
      </c>
      <c r="ED224" s="8">
        <f t="shared" si="446"/>
        <v>19.5</v>
      </c>
      <c r="EE224" s="8">
        <f t="shared" si="447"/>
        <v>6</v>
      </c>
      <c r="EF224" s="8">
        <f t="shared" si="448"/>
        <v>-1264.5</v>
      </c>
      <c r="EG224" s="8" t="str">
        <f t="shared" si="449"/>
        <v/>
      </c>
      <c r="EH224" s="8" t="str">
        <f t="shared" si="450"/>
        <v/>
      </c>
    </row>
    <row r="225" spans="2:138" x14ac:dyDescent="0.3">
      <c r="B225" s="112"/>
      <c r="C225" s="27"/>
      <c r="D225" s="7" t="str">
        <f t="shared" si="387"/>
        <v/>
      </c>
      <c r="E225" s="25"/>
      <c r="F225" s="7" t="str">
        <f t="shared" si="387"/>
        <v/>
      </c>
      <c r="G225" s="25"/>
      <c r="H225" s="7" t="str">
        <f t="shared" si="387"/>
        <v/>
      </c>
      <c r="I225" s="25"/>
      <c r="J225" s="7" t="str">
        <f t="shared" si="387"/>
        <v/>
      </c>
      <c r="K225" s="25"/>
      <c r="L225" s="7" t="str">
        <f t="shared" si="388"/>
        <v/>
      </c>
      <c r="M225" s="25"/>
      <c r="N225" s="7" t="str">
        <f t="shared" si="389"/>
        <v/>
      </c>
      <c r="O225" s="81"/>
      <c r="P225" s="81" t="str">
        <f t="shared" si="390"/>
        <v/>
      </c>
      <c r="Q225" s="81"/>
      <c r="R225" s="7" t="str">
        <f t="shared" si="391"/>
        <v/>
      </c>
      <c r="S225" s="25"/>
      <c r="T225" s="7" t="str">
        <f t="shared" si="392"/>
        <v/>
      </c>
      <c r="U225" s="25"/>
      <c r="V225" s="7" t="str">
        <f t="shared" si="393"/>
        <v/>
      </c>
      <c r="W225" s="25"/>
      <c r="X225" s="7" t="str">
        <f t="shared" si="394"/>
        <v/>
      </c>
      <c r="Y225" s="18" t="str">
        <f t="shared" si="395"/>
        <v/>
      </c>
      <c r="Z225" s="7" t="str">
        <f t="shared" si="396"/>
        <v/>
      </c>
      <c r="AA225" s="18" t="str">
        <f t="shared" si="397"/>
        <v/>
      </c>
      <c r="AB225" s="19" t="str">
        <f t="shared" si="398"/>
        <v/>
      </c>
      <c r="AC225" s="26"/>
      <c r="AD225" s="26"/>
      <c r="AE225" s="25"/>
      <c r="AF225" s="26"/>
      <c r="AG225" s="25"/>
      <c r="AH225" s="25"/>
      <c r="AI225" s="18" t="str">
        <f t="shared" si="461"/>
        <v/>
      </c>
      <c r="AJ225" s="25"/>
      <c r="AK225" s="18" t="str">
        <f t="shared" si="462"/>
        <v/>
      </c>
      <c r="AL225" s="79"/>
      <c r="AM225" s="126" t="str">
        <f t="shared" si="463"/>
        <v/>
      </c>
      <c r="AN225" s="128" t="str">
        <f>IF(AP225&lt;&gt;"",VLOOKUP($P225&amp;" | "&amp;AN$6,'Job Master'!$F$12:$J$102,5,0),"")</f>
        <v/>
      </c>
      <c r="AO225" s="19" t="str">
        <f>IF(AP225&lt;&gt;"",VLOOKUP($P225&amp;" | "&amp;AN$6,'Job Master'!$F$12:$J$102,3,0),"")</f>
        <v/>
      </c>
      <c r="AP225" s="19" t="str">
        <f>IFERROR(IF(AND(AW225&lt;&gt;"",VLOOKUP($P225&amp;" | "&amp;AN$6,'Job Master'!$F$12:$I$102,4,0)&lt;&gt;""),IF(WEEKDAY(AW225-VLOOKUP($P225&amp;" | "&amp;AN$6,'Job Master'!$F$12:$I$102,4,0))&lt;&gt;7,AW225-VLOOKUP($P225&amp;" | "&amp;AN$6,'Job Master'!$F$12:$I$102,4,0),AW225-VLOOKUP($P225&amp;" | "&amp;AN$6,'Job Master'!$F$12:$I$102,4,0)-1),""),"")</f>
        <v/>
      </c>
      <c r="AQ225" s="73"/>
      <c r="AR225" s="123" t="str">
        <f t="shared" si="399"/>
        <v/>
      </c>
      <c r="AS225" s="123" t="str">
        <f t="shared" si="400"/>
        <v/>
      </c>
      <c r="AT225" s="97" t="str">
        <f t="shared" ca="1" si="401"/>
        <v/>
      </c>
      <c r="AU225" s="98" t="str">
        <f>IF(AW225&lt;&gt;"",VLOOKUP($P225&amp;" | "&amp;AU$6,'Job Master'!$F$12:$J$102,5,0),"")</f>
        <v/>
      </c>
      <c r="AV225" s="19" t="str">
        <f>IF(AW225&lt;&gt;"",VLOOKUP($P225&amp;" | "&amp;AU$6,'Job Master'!$F$12:$J$102,3,0),"")</f>
        <v/>
      </c>
      <c r="AW225" s="19" t="str">
        <f>IFERROR(IF(AND(BD225&lt;&gt;"",VLOOKUP($P225&amp;" | "&amp;AU$6,'Job Master'!$F$12:$I$102,4,0)&lt;&gt;""),IF(WEEKDAY(BD225-VLOOKUP($P225&amp;" | "&amp;AU$6,'Job Master'!$F$12:$I$102,4,0))&lt;&gt;7,BD225-VLOOKUP($P225&amp;" | "&amp;AU$6,'Job Master'!$F$12:$I$102,4,0),BD225-VLOOKUP($P225&amp;" | "&amp;AU$6,'Job Master'!$F$12:$I$102,4,0)-1),""),"")</f>
        <v/>
      </c>
      <c r="AX225" s="73"/>
      <c r="AY225" s="123" t="str">
        <f t="shared" si="402"/>
        <v/>
      </c>
      <c r="AZ225" s="123" t="str">
        <f t="shared" si="403"/>
        <v/>
      </c>
      <c r="BA225" s="97" t="str">
        <f t="shared" ca="1" si="404"/>
        <v/>
      </c>
      <c r="BB225" s="98" t="str">
        <f>IF(BD225&lt;&gt;"",VLOOKUP($P225&amp;" | "&amp;BB$6,'Job Master'!$F$12:$J$102,5,0),"")</f>
        <v/>
      </c>
      <c r="BC225" s="19" t="str">
        <f>IF(BD225&lt;&gt;"",VLOOKUP($P225&amp;" | "&amp;BB$6,'Job Master'!$F$12:$J$102,3,0),"")</f>
        <v/>
      </c>
      <c r="BD225" s="19" t="str">
        <f>IFERROR(IF(AND(BK225&lt;&gt;"",VLOOKUP($P225&amp;" | "&amp;BB$6,'Job Master'!$F$12:$I$102,4,0)&lt;&gt;""),IF(WEEKDAY(BK225-VLOOKUP($P225&amp;" | "&amp;BB$6,'Job Master'!$F$12:$I$102,4,0))&lt;&gt;7,BK225-VLOOKUP($P225&amp;" | "&amp;BB$6,'Job Master'!$F$12:$I$102,4,0),BK225-VLOOKUP($P225&amp;" | "&amp;BB$6,'Job Master'!$F$12:$I$102,4,0)-1),""),"")</f>
        <v/>
      </c>
      <c r="BE225" s="73"/>
      <c r="BF225" s="123" t="str">
        <f t="shared" si="405"/>
        <v/>
      </c>
      <c r="BG225" s="123" t="str">
        <f t="shared" si="406"/>
        <v/>
      </c>
      <c r="BH225" s="97" t="str">
        <f t="shared" ca="1" si="407"/>
        <v/>
      </c>
      <c r="BI225" s="98" t="str">
        <f>IF(BK225&lt;&gt;"",VLOOKUP($P225&amp;" | "&amp;BI$6,'Job Master'!$F$12:$J$102,5,0),"")</f>
        <v/>
      </c>
      <c r="BJ225" s="19" t="str">
        <f>IF(BK225&lt;&gt;"",VLOOKUP($P225&amp;" | "&amp;BI$6,'Job Master'!$F$12:$J$102,3,0),"")</f>
        <v/>
      </c>
      <c r="BK225" s="19" t="str">
        <f>IFERROR(IF(AND(BR225&lt;&gt;"",VLOOKUP($P225&amp;" | "&amp;BI$6,'Job Master'!$F$12:$I$102,4,0)&lt;&gt;""),IF(WEEKDAY(BR225-VLOOKUP($P225&amp;" | "&amp;BI$6,'Job Master'!$F$12:$I$102,4,0))&lt;&gt;7,BR225-VLOOKUP($P225&amp;" | "&amp;BI$6,'Job Master'!$F$12:$I$102,4,0),BR225-VLOOKUP($P225&amp;" | "&amp;BI$6,'Job Master'!$F$12:$I$102,4,0)-1),""),"")</f>
        <v/>
      </c>
      <c r="BL225" s="73"/>
      <c r="BM225" s="123" t="str">
        <f t="shared" si="408"/>
        <v/>
      </c>
      <c r="BN225" s="123" t="str">
        <f t="shared" si="409"/>
        <v/>
      </c>
      <c r="BO225" s="97" t="str">
        <f t="shared" ca="1" si="410"/>
        <v/>
      </c>
      <c r="BP225" s="98" t="str">
        <f>IF(BR225&lt;&gt;"",VLOOKUP($P225&amp;" | "&amp;BP$6,'Job Master'!$F$12:$J$102,5,0),"")</f>
        <v/>
      </c>
      <c r="BQ225" s="19" t="str">
        <f>IF(BR225&lt;&gt;"",VLOOKUP($P225&amp;" | "&amp;BP$6,'Job Master'!$F$12:$J$102,3,0),"")</f>
        <v/>
      </c>
      <c r="BR225" s="19" t="str">
        <f>IFERROR(IF(AND(BY225&lt;&gt;"",VLOOKUP($P225&amp;" | "&amp;BP$6,'Job Master'!$F$12:$I$102,4,0)&lt;&gt;""),IF(WEEKDAY(BY225-VLOOKUP($P225&amp;" | "&amp;BP$6,'Job Master'!$F$12:$I$102,4,0))&lt;&gt;7,BY225-VLOOKUP($P225&amp;" | "&amp;BP$6,'Job Master'!$F$12:$I$102,4,0),BY225-VLOOKUP($P225&amp;" | "&amp;BP$6,'Job Master'!$F$12:$I$102,4,0)-1),""),"")</f>
        <v/>
      </c>
      <c r="BS225" s="73"/>
      <c r="BT225" s="123" t="str">
        <f t="shared" si="411"/>
        <v/>
      </c>
      <c r="BU225" s="123" t="str">
        <f t="shared" si="412"/>
        <v/>
      </c>
      <c r="BV225" s="97" t="str">
        <f t="shared" ca="1" si="413"/>
        <v/>
      </c>
      <c r="BW225" s="98" t="str">
        <f>IF(BY225&lt;&gt;"",VLOOKUP($P225&amp;" | "&amp;BW$6,'Job Master'!$F$12:$J$102,5,0),"")</f>
        <v/>
      </c>
      <c r="BX225" s="19" t="str">
        <f>IF(BY225&lt;&gt;"",VLOOKUP($P225&amp;" | "&amp;BW$6,'Job Master'!$F$12:$J$102,3,0),"")</f>
        <v/>
      </c>
      <c r="BY225" s="19" t="str">
        <f>IFERROR(IF(AND(CF225&lt;&gt;"",VLOOKUP($P225&amp;" | "&amp;BW$6,'Job Master'!$F$12:$I$102,4,0)&lt;&gt;""),IF(WEEKDAY(CF225-VLOOKUP($P225&amp;" | "&amp;BW$6,'Job Master'!$F$12:$I$102,4,0))&lt;&gt;7,CF225-VLOOKUP($P225&amp;" | "&amp;BW$6,'Job Master'!$F$12:$I$102,4,0),CF225-VLOOKUP($P225&amp;" | "&amp;BW$6,'Job Master'!$F$12:$I$102,4,0)-1),""),"")</f>
        <v/>
      </c>
      <c r="BZ225" s="73"/>
      <c r="CA225" s="123" t="str">
        <f t="shared" si="414"/>
        <v/>
      </c>
      <c r="CB225" s="123" t="str">
        <f t="shared" si="415"/>
        <v/>
      </c>
      <c r="CC225" s="97" t="str">
        <f t="shared" ca="1" si="416"/>
        <v/>
      </c>
      <c r="CD225" s="98" t="str">
        <f>IF(CF225&lt;&gt;"",VLOOKUP($P225&amp;" | "&amp;CD$6,'Job Master'!$F$12:$J$102,5,0),"")</f>
        <v/>
      </c>
      <c r="CE225" s="19" t="str">
        <f>IF(CF225&lt;&gt;"",VLOOKUP($P225&amp;" | "&amp;CD$6,'Job Master'!$F$12:$J$102,3,0),"")</f>
        <v/>
      </c>
      <c r="CF225" s="19" t="str">
        <f>IFERROR(IF(AND(CM225&lt;&gt;"",VLOOKUP($P225&amp;" | "&amp;CD$6,'Job Master'!$F$12:$I$102,4,0)&lt;&gt;""),IF(WEEKDAY(CM225-VLOOKUP($P225&amp;" | "&amp;CD$6,'Job Master'!$F$12:$I$102,4,0))&lt;&gt;7,CM225-VLOOKUP($P225&amp;" | "&amp;CD$6,'Job Master'!$F$12:$I$102,4,0),CM225-VLOOKUP($P225&amp;" | "&amp;CD$6,'Job Master'!$F$12:$I$102,4,0)-1),""),"")</f>
        <v/>
      </c>
      <c r="CG225" s="73"/>
      <c r="CH225" s="123" t="str">
        <f t="shared" si="417"/>
        <v/>
      </c>
      <c r="CI225" s="123" t="str">
        <f t="shared" si="418"/>
        <v/>
      </c>
      <c r="CJ225" s="97" t="str">
        <f t="shared" ca="1" si="419"/>
        <v/>
      </c>
      <c r="CK225" s="98" t="str">
        <f>IF(CM225&lt;&gt;"",VLOOKUP($P225&amp;" | "&amp;CK$6,'Job Master'!$F$12:$J$102,5,0),"")</f>
        <v/>
      </c>
      <c r="CL225" s="19" t="str">
        <f>IF(CM225&lt;&gt;"",VLOOKUP($P225&amp;" | "&amp;CK$6,'Job Master'!$F$12:$J$102,3,0),"")</f>
        <v/>
      </c>
      <c r="CM225" s="19" t="str">
        <f>IFERROR(IF(AND(CT225&lt;&gt;"",VLOOKUP($P225&amp;" | "&amp;CK$6,'Job Master'!$F$12:$I$102,4,0)&lt;&gt;""),IF(WEEKDAY(CT225-VLOOKUP($P225&amp;" | "&amp;CK$6,'Job Master'!$F$12:$I$102,4,0))&lt;&gt;7,CT225-VLOOKUP($P225&amp;" | "&amp;CK$6,'Job Master'!$F$12:$I$102,4,0),CT225-VLOOKUP($P225&amp;" | "&amp;CK$6,'Job Master'!$F$12:$I$102,4,0)-1),""),"")</f>
        <v/>
      </c>
      <c r="CN225" s="73"/>
      <c r="CO225" s="123" t="str">
        <f t="shared" si="420"/>
        <v/>
      </c>
      <c r="CP225" s="123" t="str">
        <f t="shared" si="421"/>
        <v/>
      </c>
      <c r="CQ225" s="97" t="str">
        <f t="shared" ca="1" si="422"/>
        <v/>
      </c>
      <c r="CR225" s="98" t="str">
        <f>IF(CT225&lt;&gt;"",VLOOKUP($P225&amp;" | "&amp;CR$6,'Job Master'!$F$12:$J$102,5,0),"")</f>
        <v/>
      </c>
      <c r="CS225" s="19" t="str">
        <f>IF(CT225&lt;&gt;"",VLOOKUP($P225&amp;" | "&amp;CR$6,'Job Master'!$F$12:$J$102,3,0),"")</f>
        <v/>
      </c>
      <c r="CT225" s="19" t="str">
        <f>IFERROR(IF(AND(DA225&lt;&gt;"",VLOOKUP($P225&amp;" | "&amp;CR$6,'Job Master'!$F$12:$I$102,4,0)&lt;&gt;""),IF(WEEKDAY(DA225-VLOOKUP($P225&amp;" | "&amp;CR$6,'Job Master'!$F$12:$I$102,4,0))&lt;&gt;7,DA225-VLOOKUP($P225&amp;" | "&amp;CR$6,'Job Master'!$F$12:$I$102,4,0),DA225-VLOOKUP($P225&amp;" | "&amp;CR$6,'Job Master'!$F$12:$I$102,4,0)-1),""),"")</f>
        <v/>
      </c>
      <c r="CU225" s="73"/>
      <c r="CV225" s="123" t="str">
        <f t="shared" si="423"/>
        <v/>
      </c>
      <c r="CW225" s="123" t="str">
        <f t="shared" si="424"/>
        <v/>
      </c>
      <c r="CX225" s="97" t="str">
        <f t="shared" ca="1" si="425"/>
        <v/>
      </c>
      <c r="CY225" s="98" t="str">
        <f>IF(DA225&lt;&gt;"",VLOOKUP($P225&amp;" | "&amp;CY$6,'Job Master'!$F$12:$J$102,5,0),"")</f>
        <v/>
      </c>
      <c r="CZ225" s="19" t="str">
        <f>IF(DA225&lt;&gt;"",VLOOKUP($P225&amp;" | "&amp;CY$6,'Job Master'!$F$12:$J$102,3,0),"")</f>
        <v/>
      </c>
      <c r="DA225" s="19" t="str">
        <f>IFERROR(IF(AND(DH225&lt;&gt;"",VLOOKUP($P225&amp;" | "&amp;CY$6,'Job Master'!$F$12:$I$102,4,0)&lt;&gt;""),IF(WEEKDAY(DH225-VLOOKUP($P225&amp;" | "&amp;CY$6,'Job Master'!$F$12:$I$102,4,0))&lt;&gt;7,DH225-VLOOKUP($P225&amp;" | "&amp;CY$6,'Job Master'!$F$12:$I$102,4,0),DH225-VLOOKUP($P225&amp;" | "&amp;CY$6,'Job Master'!$F$12:$I$102,4,0)-1),""),"")</f>
        <v/>
      </c>
      <c r="DB225" s="73"/>
      <c r="DC225" s="123" t="str">
        <f t="shared" si="426"/>
        <v/>
      </c>
      <c r="DD225" s="123" t="str">
        <f t="shared" si="427"/>
        <v/>
      </c>
      <c r="DE225" s="97" t="str">
        <f t="shared" ca="1" si="428"/>
        <v/>
      </c>
      <c r="DF225" s="98" t="str">
        <f>IF(DH225&lt;&gt;"",VLOOKUP($P225&amp;" | "&amp;DF$6,'Job Master'!$F$12:$J$102,5,0),"")</f>
        <v/>
      </c>
      <c r="DG225" s="19" t="str">
        <f>IF(DH225&lt;&gt;"",VLOOKUP($P225&amp;" | "&amp;DF$6,'Job Master'!$F$12:$J$102,3,0),"")</f>
        <v/>
      </c>
      <c r="DH225" s="19" t="str">
        <f>IFERROR(IF(AND(DO225&lt;&gt;"",VLOOKUP($P225&amp;" | "&amp;DF$6,'Job Master'!$F$12:$I$102,4,0)&lt;&gt;""),IF(WEEKDAY(DO225-VLOOKUP($P225&amp;" | "&amp;DF$6,'Job Master'!$F$12:$I$102,4,0))&lt;&gt;7,DO225-VLOOKUP($P225&amp;" | "&amp;DF$6,'Job Master'!$F$12:$I$102,4,0),DO225-VLOOKUP($P225&amp;" | "&amp;DF$6,'Job Master'!$F$12:$I$102,4,0)-1),""),"")</f>
        <v/>
      </c>
      <c r="DI225" s="73"/>
      <c r="DJ225" s="123" t="str">
        <f t="shared" si="429"/>
        <v/>
      </c>
      <c r="DK225" s="123" t="str">
        <f t="shared" si="430"/>
        <v/>
      </c>
      <c r="DL225" s="97" t="str">
        <f t="shared" ca="1" si="431"/>
        <v/>
      </c>
      <c r="DM225" s="98" t="str">
        <f>IF(DO225&lt;&gt;"",VLOOKUP($P225&amp;" | "&amp;DM$6,'Job Master'!$F$12:$J$102,5,0),"")</f>
        <v/>
      </c>
      <c r="DN225" s="19" t="str">
        <f>IF(DO225&lt;&gt;"",VLOOKUP($P225&amp;" | "&amp;DM$6,'Job Master'!$F$12:$J$102,3,0),"")</f>
        <v/>
      </c>
      <c r="DO225" s="19" t="str">
        <f>IFERROR(IF(AND(DT225&lt;&gt;"",VLOOKUP($P225&amp;" | "&amp;DM$6,'Job Master'!$F$12:$I$102,4,0)&lt;&gt;""),IF(WEEKDAY(DT225-VLOOKUP($P225&amp;" | "&amp;DM$6,'Job Master'!$F$12:$I$102,4,0))&lt;&gt;7,DT225-VLOOKUP($P225&amp;" | "&amp;DM$6,'Job Master'!$F$12:$I$102,4,0),DT225-VLOOKUP($P225&amp;" | "&amp;DM$6,'Job Master'!$F$12:$I$102,4,0)-1),""),"")</f>
        <v/>
      </c>
      <c r="DP225" s="73"/>
      <c r="DQ225" s="123" t="str">
        <f t="shared" si="432"/>
        <v/>
      </c>
      <c r="DR225" s="123" t="str">
        <f t="shared" si="433"/>
        <v/>
      </c>
      <c r="DS225" s="97" t="str">
        <f t="shared" ca="1" si="434"/>
        <v/>
      </c>
      <c r="DT225" s="70" t="str">
        <f t="shared" si="435"/>
        <v/>
      </c>
      <c r="DU225" s="90"/>
      <c r="DV225" s="123" t="str">
        <f t="shared" si="436"/>
        <v/>
      </c>
      <c r="DW225" s="123" t="str">
        <f t="shared" si="437"/>
        <v/>
      </c>
      <c r="DX225" s="132" t="str">
        <f t="shared" ref="DX225" ca="1" si="472">IF(DT225&lt;&gt;"",IF(WEEKNUM(DT225)=WEEKNUM(TODAY()),"This Week",IF(WEEKNUM(DT225)=WEEKNUM(TODAY())+1,"Next Week",IF(WEEKNUM(DT225)=WEEKNUM(TODAY())-1,"Previous Week",""))),"")</f>
        <v/>
      </c>
      <c r="DY225" s="134" t="str">
        <f t="shared" si="439"/>
        <v/>
      </c>
      <c r="DZ225" s="95"/>
      <c r="EB225" s="8" t="str">
        <f t="shared" si="445"/>
        <v/>
      </c>
      <c r="EC225" s="8" t="str">
        <f>IF(O225&lt;&gt;"",VLOOKUP(O225,'Job Master'!$N$12:$O$18,2,0),"")</f>
        <v/>
      </c>
      <c r="ED225" s="8">
        <f t="shared" si="446"/>
        <v>19.5</v>
      </c>
      <c r="EE225" s="8">
        <f t="shared" si="447"/>
        <v>6</v>
      </c>
      <c r="EF225" s="8">
        <f t="shared" si="448"/>
        <v>-1270.5</v>
      </c>
      <c r="EG225" s="8" t="str">
        <f t="shared" si="449"/>
        <v/>
      </c>
      <c r="EH225" s="8" t="str">
        <f t="shared" si="450"/>
        <v/>
      </c>
    </row>
    <row r="226" spans="2:138" x14ac:dyDescent="0.3">
      <c r="B226" s="112"/>
      <c r="C226" s="27"/>
      <c r="D226" s="7" t="str">
        <f t="shared" si="387"/>
        <v/>
      </c>
      <c r="E226" s="25"/>
      <c r="F226" s="7" t="str">
        <f t="shared" si="387"/>
        <v/>
      </c>
      <c r="G226" s="25"/>
      <c r="H226" s="7" t="str">
        <f t="shared" si="387"/>
        <v/>
      </c>
      <c r="I226" s="25"/>
      <c r="J226" s="7" t="str">
        <f t="shared" si="387"/>
        <v/>
      </c>
      <c r="K226" s="25"/>
      <c r="L226" s="7" t="str">
        <f t="shared" si="388"/>
        <v/>
      </c>
      <c r="M226" s="25"/>
      <c r="N226" s="7" t="str">
        <f t="shared" si="389"/>
        <v/>
      </c>
      <c r="O226" s="81"/>
      <c r="P226" s="81" t="str">
        <f t="shared" si="390"/>
        <v/>
      </c>
      <c r="Q226" s="81"/>
      <c r="R226" s="7" t="str">
        <f t="shared" si="391"/>
        <v/>
      </c>
      <c r="S226" s="25"/>
      <c r="T226" s="7" t="str">
        <f t="shared" si="392"/>
        <v/>
      </c>
      <c r="U226" s="25"/>
      <c r="V226" s="7" t="str">
        <f t="shared" si="393"/>
        <v/>
      </c>
      <c r="W226" s="25"/>
      <c r="X226" s="7" t="str">
        <f t="shared" si="394"/>
        <v/>
      </c>
      <c r="Y226" s="18" t="str">
        <f t="shared" si="395"/>
        <v/>
      </c>
      <c r="Z226" s="7" t="str">
        <f t="shared" si="396"/>
        <v/>
      </c>
      <c r="AA226" s="18" t="str">
        <f t="shared" si="397"/>
        <v/>
      </c>
      <c r="AB226" s="19" t="str">
        <f t="shared" si="398"/>
        <v/>
      </c>
      <c r="AC226" s="26"/>
      <c r="AD226" s="26"/>
      <c r="AE226" s="25"/>
      <c r="AF226" s="26"/>
      <c r="AG226" s="25"/>
      <c r="AH226" s="25"/>
      <c r="AI226" s="18" t="str">
        <f t="shared" si="461"/>
        <v/>
      </c>
      <c r="AJ226" s="25"/>
      <c r="AK226" s="18" t="str">
        <f t="shared" si="462"/>
        <v/>
      </c>
      <c r="AL226" s="79"/>
      <c r="AM226" s="126" t="str">
        <f t="shared" si="463"/>
        <v/>
      </c>
      <c r="AN226" s="128" t="str">
        <f>IF(AP226&lt;&gt;"",VLOOKUP($P226&amp;" | "&amp;AN$6,'Job Master'!$F$12:$J$102,5,0),"")</f>
        <v/>
      </c>
      <c r="AO226" s="19" t="str">
        <f>IF(AP226&lt;&gt;"",VLOOKUP($P226&amp;" | "&amp;AN$6,'Job Master'!$F$12:$J$102,3,0),"")</f>
        <v/>
      </c>
      <c r="AP226" s="19" t="str">
        <f>IFERROR(IF(AND(AW226&lt;&gt;"",VLOOKUP($P226&amp;" | "&amp;AN$6,'Job Master'!$F$12:$I$102,4,0)&lt;&gt;""),IF(WEEKDAY(AW226-VLOOKUP($P226&amp;" | "&amp;AN$6,'Job Master'!$F$12:$I$102,4,0))&lt;&gt;7,AW226-VLOOKUP($P226&amp;" | "&amp;AN$6,'Job Master'!$F$12:$I$102,4,0),AW226-VLOOKUP($P226&amp;" | "&amp;AN$6,'Job Master'!$F$12:$I$102,4,0)-1),""),"")</f>
        <v/>
      </c>
      <c r="AQ226" s="73"/>
      <c r="AR226" s="123" t="str">
        <f t="shared" si="399"/>
        <v/>
      </c>
      <c r="AS226" s="123" t="str">
        <f t="shared" si="400"/>
        <v/>
      </c>
      <c r="AT226" s="97" t="str">
        <f t="shared" ca="1" si="401"/>
        <v/>
      </c>
      <c r="AU226" s="98" t="str">
        <f>IF(AW226&lt;&gt;"",VLOOKUP($P226&amp;" | "&amp;AU$6,'Job Master'!$F$12:$J$102,5,0),"")</f>
        <v/>
      </c>
      <c r="AV226" s="19" t="str">
        <f>IF(AW226&lt;&gt;"",VLOOKUP($P226&amp;" | "&amp;AU$6,'Job Master'!$F$12:$J$102,3,0),"")</f>
        <v/>
      </c>
      <c r="AW226" s="19" t="str">
        <f>IFERROR(IF(AND(BD226&lt;&gt;"",VLOOKUP($P226&amp;" | "&amp;AU$6,'Job Master'!$F$12:$I$102,4,0)&lt;&gt;""),IF(WEEKDAY(BD226-VLOOKUP($P226&amp;" | "&amp;AU$6,'Job Master'!$F$12:$I$102,4,0))&lt;&gt;7,BD226-VLOOKUP($P226&amp;" | "&amp;AU$6,'Job Master'!$F$12:$I$102,4,0),BD226-VLOOKUP($P226&amp;" | "&amp;AU$6,'Job Master'!$F$12:$I$102,4,0)-1),""),"")</f>
        <v/>
      </c>
      <c r="AX226" s="73"/>
      <c r="AY226" s="123" t="str">
        <f t="shared" si="402"/>
        <v/>
      </c>
      <c r="AZ226" s="123" t="str">
        <f t="shared" si="403"/>
        <v/>
      </c>
      <c r="BA226" s="97" t="str">
        <f t="shared" ca="1" si="404"/>
        <v/>
      </c>
      <c r="BB226" s="98" t="str">
        <f>IF(BD226&lt;&gt;"",VLOOKUP($P226&amp;" | "&amp;BB$6,'Job Master'!$F$12:$J$102,5,0),"")</f>
        <v/>
      </c>
      <c r="BC226" s="19" t="str">
        <f>IF(BD226&lt;&gt;"",VLOOKUP($P226&amp;" | "&amp;BB$6,'Job Master'!$F$12:$J$102,3,0),"")</f>
        <v/>
      </c>
      <c r="BD226" s="19" t="str">
        <f>IFERROR(IF(AND(BK226&lt;&gt;"",VLOOKUP($P226&amp;" | "&amp;BB$6,'Job Master'!$F$12:$I$102,4,0)&lt;&gt;""),IF(WEEKDAY(BK226-VLOOKUP($P226&amp;" | "&amp;BB$6,'Job Master'!$F$12:$I$102,4,0))&lt;&gt;7,BK226-VLOOKUP($P226&amp;" | "&amp;BB$6,'Job Master'!$F$12:$I$102,4,0),BK226-VLOOKUP($P226&amp;" | "&amp;BB$6,'Job Master'!$F$12:$I$102,4,0)-1),""),"")</f>
        <v/>
      </c>
      <c r="BE226" s="73"/>
      <c r="BF226" s="123" t="str">
        <f t="shared" si="405"/>
        <v/>
      </c>
      <c r="BG226" s="123" t="str">
        <f t="shared" si="406"/>
        <v/>
      </c>
      <c r="BH226" s="97" t="str">
        <f t="shared" ca="1" si="407"/>
        <v/>
      </c>
      <c r="BI226" s="98" t="str">
        <f>IF(BK226&lt;&gt;"",VLOOKUP($P226&amp;" | "&amp;BI$6,'Job Master'!$F$12:$J$102,5,0),"")</f>
        <v/>
      </c>
      <c r="BJ226" s="19" t="str">
        <f>IF(BK226&lt;&gt;"",VLOOKUP($P226&amp;" | "&amp;BI$6,'Job Master'!$F$12:$J$102,3,0),"")</f>
        <v/>
      </c>
      <c r="BK226" s="19" t="str">
        <f>IFERROR(IF(AND(BR226&lt;&gt;"",VLOOKUP($P226&amp;" | "&amp;BI$6,'Job Master'!$F$12:$I$102,4,0)&lt;&gt;""),IF(WEEKDAY(BR226-VLOOKUP($P226&amp;" | "&amp;BI$6,'Job Master'!$F$12:$I$102,4,0))&lt;&gt;7,BR226-VLOOKUP($P226&amp;" | "&amp;BI$6,'Job Master'!$F$12:$I$102,4,0),BR226-VLOOKUP($P226&amp;" | "&amp;BI$6,'Job Master'!$F$12:$I$102,4,0)-1),""),"")</f>
        <v/>
      </c>
      <c r="BL226" s="73"/>
      <c r="BM226" s="123" t="str">
        <f t="shared" si="408"/>
        <v/>
      </c>
      <c r="BN226" s="123" t="str">
        <f t="shared" si="409"/>
        <v/>
      </c>
      <c r="BO226" s="97" t="str">
        <f t="shared" ca="1" si="410"/>
        <v/>
      </c>
      <c r="BP226" s="98" t="str">
        <f>IF(BR226&lt;&gt;"",VLOOKUP($P226&amp;" | "&amp;BP$6,'Job Master'!$F$12:$J$102,5,0),"")</f>
        <v/>
      </c>
      <c r="BQ226" s="19" t="str">
        <f>IF(BR226&lt;&gt;"",VLOOKUP($P226&amp;" | "&amp;BP$6,'Job Master'!$F$12:$J$102,3,0),"")</f>
        <v/>
      </c>
      <c r="BR226" s="19" t="str">
        <f>IFERROR(IF(AND(BY226&lt;&gt;"",VLOOKUP($P226&amp;" | "&amp;BP$6,'Job Master'!$F$12:$I$102,4,0)&lt;&gt;""),IF(WEEKDAY(BY226-VLOOKUP($P226&amp;" | "&amp;BP$6,'Job Master'!$F$12:$I$102,4,0))&lt;&gt;7,BY226-VLOOKUP($P226&amp;" | "&amp;BP$6,'Job Master'!$F$12:$I$102,4,0),BY226-VLOOKUP($P226&amp;" | "&amp;BP$6,'Job Master'!$F$12:$I$102,4,0)-1),""),"")</f>
        <v/>
      </c>
      <c r="BS226" s="73"/>
      <c r="BT226" s="123" t="str">
        <f t="shared" si="411"/>
        <v/>
      </c>
      <c r="BU226" s="123" t="str">
        <f t="shared" si="412"/>
        <v/>
      </c>
      <c r="BV226" s="97" t="str">
        <f t="shared" ca="1" si="413"/>
        <v/>
      </c>
      <c r="BW226" s="98" t="str">
        <f>IF(BY226&lt;&gt;"",VLOOKUP($P226&amp;" | "&amp;BW$6,'Job Master'!$F$12:$J$102,5,0),"")</f>
        <v/>
      </c>
      <c r="BX226" s="19" t="str">
        <f>IF(BY226&lt;&gt;"",VLOOKUP($P226&amp;" | "&amp;BW$6,'Job Master'!$F$12:$J$102,3,0),"")</f>
        <v/>
      </c>
      <c r="BY226" s="19" t="str">
        <f>IFERROR(IF(AND(CF226&lt;&gt;"",VLOOKUP($P226&amp;" | "&amp;BW$6,'Job Master'!$F$12:$I$102,4,0)&lt;&gt;""),IF(WEEKDAY(CF226-VLOOKUP($P226&amp;" | "&amp;BW$6,'Job Master'!$F$12:$I$102,4,0))&lt;&gt;7,CF226-VLOOKUP($P226&amp;" | "&amp;BW$6,'Job Master'!$F$12:$I$102,4,0),CF226-VLOOKUP($P226&amp;" | "&amp;BW$6,'Job Master'!$F$12:$I$102,4,0)-1),""),"")</f>
        <v/>
      </c>
      <c r="BZ226" s="73"/>
      <c r="CA226" s="123" t="str">
        <f t="shared" si="414"/>
        <v/>
      </c>
      <c r="CB226" s="123" t="str">
        <f t="shared" si="415"/>
        <v/>
      </c>
      <c r="CC226" s="97" t="str">
        <f t="shared" ca="1" si="416"/>
        <v/>
      </c>
      <c r="CD226" s="98" t="str">
        <f>IF(CF226&lt;&gt;"",VLOOKUP($P226&amp;" | "&amp;CD$6,'Job Master'!$F$12:$J$102,5,0),"")</f>
        <v/>
      </c>
      <c r="CE226" s="19" t="str">
        <f>IF(CF226&lt;&gt;"",VLOOKUP($P226&amp;" | "&amp;CD$6,'Job Master'!$F$12:$J$102,3,0),"")</f>
        <v/>
      </c>
      <c r="CF226" s="19" t="str">
        <f>IFERROR(IF(AND(CM226&lt;&gt;"",VLOOKUP($P226&amp;" | "&amp;CD$6,'Job Master'!$F$12:$I$102,4,0)&lt;&gt;""),IF(WEEKDAY(CM226-VLOOKUP($P226&amp;" | "&amp;CD$6,'Job Master'!$F$12:$I$102,4,0))&lt;&gt;7,CM226-VLOOKUP($P226&amp;" | "&amp;CD$6,'Job Master'!$F$12:$I$102,4,0),CM226-VLOOKUP($P226&amp;" | "&amp;CD$6,'Job Master'!$F$12:$I$102,4,0)-1),""),"")</f>
        <v/>
      </c>
      <c r="CG226" s="73"/>
      <c r="CH226" s="123" t="str">
        <f t="shared" si="417"/>
        <v/>
      </c>
      <c r="CI226" s="123" t="str">
        <f t="shared" si="418"/>
        <v/>
      </c>
      <c r="CJ226" s="97" t="str">
        <f t="shared" ca="1" si="419"/>
        <v/>
      </c>
      <c r="CK226" s="98" t="str">
        <f>IF(CM226&lt;&gt;"",VLOOKUP($P226&amp;" | "&amp;CK$6,'Job Master'!$F$12:$J$102,5,0),"")</f>
        <v/>
      </c>
      <c r="CL226" s="19" t="str">
        <f>IF(CM226&lt;&gt;"",VLOOKUP($P226&amp;" | "&amp;CK$6,'Job Master'!$F$12:$J$102,3,0),"")</f>
        <v/>
      </c>
      <c r="CM226" s="19" t="str">
        <f>IFERROR(IF(AND(CT226&lt;&gt;"",VLOOKUP($P226&amp;" | "&amp;CK$6,'Job Master'!$F$12:$I$102,4,0)&lt;&gt;""),IF(WEEKDAY(CT226-VLOOKUP($P226&amp;" | "&amp;CK$6,'Job Master'!$F$12:$I$102,4,0))&lt;&gt;7,CT226-VLOOKUP($P226&amp;" | "&amp;CK$6,'Job Master'!$F$12:$I$102,4,0),CT226-VLOOKUP($P226&amp;" | "&amp;CK$6,'Job Master'!$F$12:$I$102,4,0)-1),""),"")</f>
        <v/>
      </c>
      <c r="CN226" s="73"/>
      <c r="CO226" s="123" t="str">
        <f t="shared" si="420"/>
        <v/>
      </c>
      <c r="CP226" s="123" t="str">
        <f t="shared" si="421"/>
        <v/>
      </c>
      <c r="CQ226" s="97" t="str">
        <f t="shared" ca="1" si="422"/>
        <v/>
      </c>
      <c r="CR226" s="98" t="str">
        <f>IF(CT226&lt;&gt;"",VLOOKUP($P226&amp;" | "&amp;CR$6,'Job Master'!$F$12:$J$102,5,0),"")</f>
        <v/>
      </c>
      <c r="CS226" s="19" t="str">
        <f>IF(CT226&lt;&gt;"",VLOOKUP($P226&amp;" | "&amp;CR$6,'Job Master'!$F$12:$J$102,3,0),"")</f>
        <v/>
      </c>
      <c r="CT226" s="19" t="str">
        <f>IFERROR(IF(AND(DA226&lt;&gt;"",VLOOKUP($P226&amp;" | "&amp;CR$6,'Job Master'!$F$12:$I$102,4,0)&lt;&gt;""),IF(WEEKDAY(DA226-VLOOKUP($P226&amp;" | "&amp;CR$6,'Job Master'!$F$12:$I$102,4,0))&lt;&gt;7,DA226-VLOOKUP($P226&amp;" | "&amp;CR$6,'Job Master'!$F$12:$I$102,4,0),DA226-VLOOKUP($P226&amp;" | "&amp;CR$6,'Job Master'!$F$12:$I$102,4,0)-1),""),"")</f>
        <v/>
      </c>
      <c r="CU226" s="73"/>
      <c r="CV226" s="123" t="str">
        <f t="shared" si="423"/>
        <v/>
      </c>
      <c r="CW226" s="123" t="str">
        <f t="shared" si="424"/>
        <v/>
      </c>
      <c r="CX226" s="97" t="str">
        <f t="shared" ca="1" si="425"/>
        <v/>
      </c>
      <c r="CY226" s="98" t="str">
        <f>IF(DA226&lt;&gt;"",VLOOKUP($P226&amp;" | "&amp;CY$6,'Job Master'!$F$12:$J$102,5,0),"")</f>
        <v/>
      </c>
      <c r="CZ226" s="19" t="str">
        <f>IF(DA226&lt;&gt;"",VLOOKUP($P226&amp;" | "&amp;CY$6,'Job Master'!$F$12:$J$102,3,0),"")</f>
        <v/>
      </c>
      <c r="DA226" s="19" t="str">
        <f>IFERROR(IF(AND(DH226&lt;&gt;"",VLOOKUP($P226&amp;" | "&amp;CY$6,'Job Master'!$F$12:$I$102,4,0)&lt;&gt;""),IF(WEEKDAY(DH226-VLOOKUP($P226&amp;" | "&amp;CY$6,'Job Master'!$F$12:$I$102,4,0))&lt;&gt;7,DH226-VLOOKUP($P226&amp;" | "&amp;CY$6,'Job Master'!$F$12:$I$102,4,0),DH226-VLOOKUP($P226&amp;" | "&amp;CY$6,'Job Master'!$F$12:$I$102,4,0)-1),""),"")</f>
        <v/>
      </c>
      <c r="DB226" s="73"/>
      <c r="DC226" s="123" t="str">
        <f t="shared" si="426"/>
        <v/>
      </c>
      <c r="DD226" s="123" t="str">
        <f t="shared" si="427"/>
        <v/>
      </c>
      <c r="DE226" s="97" t="str">
        <f t="shared" ca="1" si="428"/>
        <v/>
      </c>
      <c r="DF226" s="98" t="str">
        <f>IF(DH226&lt;&gt;"",VLOOKUP($P226&amp;" | "&amp;DF$6,'Job Master'!$F$12:$J$102,5,0),"")</f>
        <v/>
      </c>
      <c r="DG226" s="19" t="str">
        <f>IF(DH226&lt;&gt;"",VLOOKUP($P226&amp;" | "&amp;DF$6,'Job Master'!$F$12:$J$102,3,0),"")</f>
        <v/>
      </c>
      <c r="DH226" s="19" t="str">
        <f>IFERROR(IF(AND(DO226&lt;&gt;"",VLOOKUP($P226&amp;" | "&amp;DF$6,'Job Master'!$F$12:$I$102,4,0)&lt;&gt;""),IF(WEEKDAY(DO226-VLOOKUP($P226&amp;" | "&amp;DF$6,'Job Master'!$F$12:$I$102,4,0))&lt;&gt;7,DO226-VLOOKUP($P226&amp;" | "&amp;DF$6,'Job Master'!$F$12:$I$102,4,0),DO226-VLOOKUP($P226&amp;" | "&amp;DF$6,'Job Master'!$F$12:$I$102,4,0)-1),""),"")</f>
        <v/>
      </c>
      <c r="DI226" s="73"/>
      <c r="DJ226" s="123" t="str">
        <f t="shared" si="429"/>
        <v/>
      </c>
      <c r="DK226" s="123" t="str">
        <f t="shared" si="430"/>
        <v/>
      </c>
      <c r="DL226" s="97" t="str">
        <f t="shared" ca="1" si="431"/>
        <v/>
      </c>
      <c r="DM226" s="98" t="str">
        <f>IF(DO226&lt;&gt;"",VLOOKUP($P226&amp;" | "&amp;DM$6,'Job Master'!$F$12:$J$102,5,0),"")</f>
        <v/>
      </c>
      <c r="DN226" s="19" t="str">
        <f>IF(DO226&lt;&gt;"",VLOOKUP($P226&amp;" | "&amp;DM$6,'Job Master'!$F$12:$J$102,3,0),"")</f>
        <v/>
      </c>
      <c r="DO226" s="19" t="str">
        <f>IFERROR(IF(AND(DT226&lt;&gt;"",VLOOKUP($P226&amp;" | "&amp;DM$6,'Job Master'!$F$12:$I$102,4,0)&lt;&gt;""),IF(WEEKDAY(DT226-VLOOKUP($P226&amp;" | "&amp;DM$6,'Job Master'!$F$12:$I$102,4,0))&lt;&gt;7,DT226-VLOOKUP($P226&amp;" | "&amp;DM$6,'Job Master'!$F$12:$I$102,4,0),DT226-VLOOKUP($P226&amp;" | "&amp;DM$6,'Job Master'!$F$12:$I$102,4,0)-1),""),"")</f>
        <v/>
      </c>
      <c r="DP226" s="73"/>
      <c r="DQ226" s="123" t="str">
        <f t="shared" si="432"/>
        <v/>
      </c>
      <c r="DR226" s="123" t="str">
        <f t="shared" si="433"/>
        <v/>
      </c>
      <c r="DS226" s="97" t="str">
        <f t="shared" ca="1" si="434"/>
        <v/>
      </c>
      <c r="DT226" s="70" t="str">
        <f t="shared" si="435"/>
        <v/>
      </c>
      <c r="DU226" s="90"/>
      <c r="DV226" s="123" t="str">
        <f t="shared" si="436"/>
        <v/>
      </c>
      <c r="DW226" s="123" t="str">
        <f t="shared" si="437"/>
        <v/>
      </c>
      <c r="DX226" s="132" t="str">
        <f t="shared" ref="DX226" ca="1" si="473">IF(DT226&lt;&gt;"",IF(WEEKNUM(DT226)=WEEKNUM(TODAY()),"This Week",IF(WEEKNUM(DT226)=WEEKNUM(TODAY())+1,"Next Week",IF(WEEKNUM(DT226)=WEEKNUM(TODAY())-1,"Previous Week",""))),"")</f>
        <v/>
      </c>
      <c r="DY226" s="134" t="str">
        <f t="shared" si="439"/>
        <v/>
      </c>
      <c r="DZ226" s="95"/>
      <c r="EB226" s="8" t="str">
        <f t="shared" si="445"/>
        <v/>
      </c>
      <c r="EC226" s="8" t="str">
        <f>IF(O226&lt;&gt;"",VLOOKUP(O226,'Job Master'!$N$12:$O$18,2,0),"")</f>
        <v/>
      </c>
      <c r="ED226" s="8">
        <f t="shared" si="446"/>
        <v>19.5</v>
      </c>
      <c r="EE226" s="8">
        <f t="shared" si="447"/>
        <v>6</v>
      </c>
      <c r="EF226" s="8">
        <f t="shared" si="448"/>
        <v>-1276.5</v>
      </c>
      <c r="EG226" s="8" t="str">
        <f t="shared" si="449"/>
        <v/>
      </c>
      <c r="EH226" s="8" t="str">
        <f t="shared" si="450"/>
        <v/>
      </c>
    </row>
    <row r="227" spans="2:138" x14ac:dyDescent="0.3">
      <c r="B227" s="112"/>
      <c r="C227" s="27"/>
      <c r="D227" s="7" t="str">
        <f t="shared" si="387"/>
        <v/>
      </c>
      <c r="E227" s="25"/>
      <c r="F227" s="7" t="str">
        <f t="shared" si="387"/>
        <v/>
      </c>
      <c r="G227" s="25"/>
      <c r="H227" s="7" t="str">
        <f t="shared" si="387"/>
        <v/>
      </c>
      <c r="I227" s="25"/>
      <c r="J227" s="7" t="str">
        <f t="shared" si="387"/>
        <v/>
      </c>
      <c r="K227" s="25"/>
      <c r="L227" s="7" t="str">
        <f t="shared" si="388"/>
        <v/>
      </c>
      <c r="M227" s="25"/>
      <c r="N227" s="7" t="str">
        <f t="shared" si="389"/>
        <v/>
      </c>
      <c r="O227" s="81"/>
      <c r="P227" s="81" t="str">
        <f t="shared" si="390"/>
        <v/>
      </c>
      <c r="Q227" s="81"/>
      <c r="R227" s="7" t="str">
        <f t="shared" si="391"/>
        <v/>
      </c>
      <c r="S227" s="25"/>
      <c r="T227" s="7" t="str">
        <f t="shared" si="392"/>
        <v/>
      </c>
      <c r="U227" s="25"/>
      <c r="V227" s="7" t="str">
        <f t="shared" si="393"/>
        <v/>
      </c>
      <c r="W227" s="25"/>
      <c r="X227" s="7" t="str">
        <f t="shared" si="394"/>
        <v/>
      </c>
      <c r="Y227" s="18" t="str">
        <f t="shared" si="395"/>
        <v/>
      </c>
      <c r="Z227" s="7" t="str">
        <f t="shared" si="396"/>
        <v/>
      </c>
      <c r="AA227" s="18" t="str">
        <f t="shared" si="397"/>
        <v/>
      </c>
      <c r="AB227" s="19" t="str">
        <f t="shared" si="398"/>
        <v/>
      </c>
      <c r="AC227" s="26"/>
      <c r="AD227" s="26"/>
      <c r="AE227" s="25"/>
      <c r="AF227" s="26"/>
      <c r="AG227" s="25"/>
      <c r="AH227" s="25"/>
      <c r="AI227" s="18" t="str">
        <f t="shared" si="461"/>
        <v/>
      </c>
      <c r="AJ227" s="25"/>
      <c r="AK227" s="18" t="str">
        <f t="shared" si="462"/>
        <v/>
      </c>
      <c r="AL227" s="79"/>
      <c r="AM227" s="126" t="str">
        <f t="shared" si="463"/>
        <v/>
      </c>
      <c r="AN227" s="128" t="str">
        <f>IF(AP227&lt;&gt;"",VLOOKUP($P227&amp;" | "&amp;AN$6,'Job Master'!$F$12:$J$102,5,0),"")</f>
        <v/>
      </c>
      <c r="AO227" s="19" t="str">
        <f>IF(AP227&lt;&gt;"",VLOOKUP($P227&amp;" | "&amp;AN$6,'Job Master'!$F$12:$J$102,3,0),"")</f>
        <v/>
      </c>
      <c r="AP227" s="19" t="str">
        <f>IFERROR(IF(AND(AW227&lt;&gt;"",VLOOKUP($P227&amp;" | "&amp;AN$6,'Job Master'!$F$12:$I$102,4,0)&lt;&gt;""),IF(WEEKDAY(AW227-VLOOKUP($P227&amp;" | "&amp;AN$6,'Job Master'!$F$12:$I$102,4,0))&lt;&gt;7,AW227-VLOOKUP($P227&amp;" | "&amp;AN$6,'Job Master'!$F$12:$I$102,4,0),AW227-VLOOKUP($P227&amp;" | "&amp;AN$6,'Job Master'!$F$12:$I$102,4,0)-1),""),"")</f>
        <v/>
      </c>
      <c r="AQ227" s="73"/>
      <c r="AR227" s="123" t="str">
        <f t="shared" si="399"/>
        <v/>
      </c>
      <c r="AS227" s="123" t="str">
        <f t="shared" si="400"/>
        <v/>
      </c>
      <c r="AT227" s="97" t="str">
        <f t="shared" ca="1" si="401"/>
        <v/>
      </c>
      <c r="AU227" s="98" t="str">
        <f>IF(AW227&lt;&gt;"",VLOOKUP($P227&amp;" | "&amp;AU$6,'Job Master'!$F$12:$J$102,5,0),"")</f>
        <v/>
      </c>
      <c r="AV227" s="19" t="str">
        <f>IF(AW227&lt;&gt;"",VLOOKUP($P227&amp;" | "&amp;AU$6,'Job Master'!$F$12:$J$102,3,0),"")</f>
        <v/>
      </c>
      <c r="AW227" s="19" t="str">
        <f>IFERROR(IF(AND(BD227&lt;&gt;"",VLOOKUP($P227&amp;" | "&amp;AU$6,'Job Master'!$F$12:$I$102,4,0)&lt;&gt;""),IF(WEEKDAY(BD227-VLOOKUP($P227&amp;" | "&amp;AU$6,'Job Master'!$F$12:$I$102,4,0))&lt;&gt;7,BD227-VLOOKUP($P227&amp;" | "&amp;AU$6,'Job Master'!$F$12:$I$102,4,0),BD227-VLOOKUP($P227&amp;" | "&amp;AU$6,'Job Master'!$F$12:$I$102,4,0)-1),""),"")</f>
        <v/>
      </c>
      <c r="AX227" s="73"/>
      <c r="AY227" s="123" t="str">
        <f t="shared" si="402"/>
        <v/>
      </c>
      <c r="AZ227" s="123" t="str">
        <f t="shared" si="403"/>
        <v/>
      </c>
      <c r="BA227" s="97" t="str">
        <f t="shared" ca="1" si="404"/>
        <v/>
      </c>
      <c r="BB227" s="98" t="str">
        <f>IF(BD227&lt;&gt;"",VLOOKUP($P227&amp;" | "&amp;BB$6,'Job Master'!$F$12:$J$102,5,0),"")</f>
        <v/>
      </c>
      <c r="BC227" s="19" t="str">
        <f>IF(BD227&lt;&gt;"",VLOOKUP($P227&amp;" | "&amp;BB$6,'Job Master'!$F$12:$J$102,3,0),"")</f>
        <v/>
      </c>
      <c r="BD227" s="19" t="str">
        <f>IFERROR(IF(AND(BK227&lt;&gt;"",VLOOKUP($P227&amp;" | "&amp;BB$6,'Job Master'!$F$12:$I$102,4,0)&lt;&gt;""),IF(WEEKDAY(BK227-VLOOKUP($P227&amp;" | "&amp;BB$6,'Job Master'!$F$12:$I$102,4,0))&lt;&gt;7,BK227-VLOOKUP($P227&amp;" | "&amp;BB$6,'Job Master'!$F$12:$I$102,4,0),BK227-VLOOKUP($P227&amp;" | "&amp;BB$6,'Job Master'!$F$12:$I$102,4,0)-1),""),"")</f>
        <v/>
      </c>
      <c r="BE227" s="73"/>
      <c r="BF227" s="123" t="str">
        <f t="shared" si="405"/>
        <v/>
      </c>
      <c r="BG227" s="123" t="str">
        <f t="shared" si="406"/>
        <v/>
      </c>
      <c r="BH227" s="97" t="str">
        <f t="shared" ca="1" si="407"/>
        <v/>
      </c>
      <c r="BI227" s="98" t="str">
        <f>IF(BK227&lt;&gt;"",VLOOKUP($P227&amp;" | "&amp;BI$6,'Job Master'!$F$12:$J$102,5,0),"")</f>
        <v/>
      </c>
      <c r="BJ227" s="19" t="str">
        <f>IF(BK227&lt;&gt;"",VLOOKUP($P227&amp;" | "&amp;BI$6,'Job Master'!$F$12:$J$102,3,0),"")</f>
        <v/>
      </c>
      <c r="BK227" s="19" t="str">
        <f>IFERROR(IF(AND(BR227&lt;&gt;"",VLOOKUP($P227&amp;" | "&amp;BI$6,'Job Master'!$F$12:$I$102,4,0)&lt;&gt;""),IF(WEEKDAY(BR227-VLOOKUP($P227&amp;" | "&amp;BI$6,'Job Master'!$F$12:$I$102,4,0))&lt;&gt;7,BR227-VLOOKUP($P227&amp;" | "&amp;BI$6,'Job Master'!$F$12:$I$102,4,0),BR227-VLOOKUP($P227&amp;" | "&amp;BI$6,'Job Master'!$F$12:$I$102,4,0)-1),""),"")</f>
        <v/>
      </c>
      <c r="BL227" s="73"/>
      <c r="BM227" s="123" t="str">
        <f t="shared" si="408"/>
        <v/>
      </c>
      <c r="BN227" s="123" t="str">
        <f t="shared" si="409"/>
        <v/>
      </c>
      <c r="BO227" s="97" t="str">
        <f t="shared" ca="1" si="410"/>
        <v/>
      </c>
      <c r="BP227" s="98" t="str">
        <f>IF(BR227&lt;&gt;"",VLOOKUP($P227&amp;" | "&amp;BP$6,'Job Master'!$F$12:$J$102,5,0),"")</f>
        <v/>
      </c>
      <c r="BQ227" s="19" t="str">
        <f>IF(BR227&lt;&gt;"",VLOOKUP($P227&amp;" | "&amp;BP$6,'Job Master'!$F$12:$J$102,3,0),"")</f>
        <v/>
      </c>
      <c r="BR227" s="19" t="str">
        <f>IFERROR(IF(AND(BY227&lt;&gt;"",VLOOKUP($P227&amp;" | "&amp;BP$6,'Job Master'!$F$12:$I$102,4,0)&lt;&gt;""),IF(WEEKDAY(BY227-VLOOKUP($P227&amp;" | "&amp;BP$6,'Job Master'!$F$12:$I$102,4,0))&lt;&gt;7,BY227-VLOOKUP($P227&amp;" | "&amp;BP$6,'Job Master'!$F$12:$I$102,4,0),BY227-VLOOKUP($P227&amp;" | "&amp;BP$6,'Job Master'!$F$12:$I$102,4,0)-1),""),"")</f>
        <v/>
      </c>
      <c r="BS227" s="73"/>
      <c r="BT227" s="123" t="str">
        <f t="shared" si="411"/>
        <v/>
      </c>
      <c r="BU227" s="123" t="str">
        <f t="shared" si="412"/>
        <v/>
      </c>
      <c r="BV227" s="97" t="str">
        <f t="shared" ca="1" si="413"/>
        <v/>
      </c>
      <c r="BW227" s="98" t="str">
        <f>IF(BY227&lt;&gt;"",VLOOKUP($P227&amp;" | "&amp;BW$6,'Job Master'!$F$12:$J$102,5,0),"")</f>
        <v/>
      </c>
      <c r="BX227" s="19" t="str">
        <f>IF(BY227&lt;&gt;"",VLOOKUP($P227&amp;" | "&amp;BW$6,'Job Master'!$F$12:$J$102,3,0),"")</f>
        <v/>
      </c>
      <c r="BY227" s="19" t="str">
        <f>IFERROR(IF(AND(CF227&lt;&gt;"",VLOOKUP($P227&amp;" | "&amp;BW$6,'Job Master'!$F$12:$I$102,4,0)&lt;&gt;""),IF(WEEKDAY(CF227-VLOOKUP($P227&amp;" | "&amp;BW$6,'Job Master'!$F$12:$I$102,4,0))&lt;&gt;7,CF227-VLOOKUP($P227&amp;" | "&amp;BW$6,'Job Master'!$F$12:$I$102,4,0),CF227-VLOOKUP($P227&amp;" | "&amp;BW$6,'Job Master'!$F$12:$I$102,4,0)-1),""),"")</f>
        <v/>
      </c>
      <c r="BZ227" s="73"/>
      <c r="CA227" s="123" t="str">
        <f t="shared" si="414"/>
        <v/>
      </c>
      <c r="CB227" s="123" t="str">
        <f t="shared" si="415"/>
        <v/>
      </c>
      <c r="CC227" s="97" t="str">
        <f t="shared" ca="1" si="416"/>
        <v/>
      </c>
      <c r="CD227" s="98" t="str">
        <f>IF(CF227&lt;&gt;"",VLOOKUP($P227&amp;" | "&amp;CD$6,'Job Master'!$F$12:$J$102,5,0),"")</f>
        <v/>
      </c>
      <c r="CE227" s="19" t="str">
        <f>IF(CF227&lt;&gt;"",VLOOKUP($P227&amp;" | "&amp;CD$6,'Job Master'!$F$12:$J$102,3,0),"")</f>
        <v/>
      </c>
      <c r="CF227" s="19" t="str">
        <f>IFERROR(IF(AND(CM227&lt;&gt;"",VLOOKUP($P227&amp;" | "&amp;CD$6,'Job Master'!$F$12:$I$102,4,0)&lt;&gt;""),IF(WEEKDAY(CM227-VLOOKUP($P227&amp;" | "&amp;CD$6,'Job Master'!$F$12:$I$102,4,0))&lt;&gt;7,CM227-VLOOKUP($P227&amp;" | "&amp;CD$6,'Job Master'!$F$12:$I$102,4,0),CM227-VLOOKUP($P227&amp;" | "&amp;CD$6,'Job Master'!$F$12:$I$102,4,0)-1),""),"")</f>
        <v/>
      </c>
      <c r="CG227" s="73"/>
      <c r="CH227" s="123" t="str">
        <f t="shared" si="417"/>
        <v/>
      </c>
      <c r="CI227" s="123" t="str">
        <f t="shared" si="418"/>
        <v/>
      </c>
      <c r="CJ227" s="97" t="str">
        <f t="shared" ca="1" si="419"/>
        <v/>
      </c>
      <c r="CK227" s="98" t="str">
        <f>IF(CM227&lt;&gt;"",VLOOKUP($P227&amp;" | "&amp;CK$6,'Job Master'!$F$12:$J$102,5,0),"")</f>
        <v/>
      </c>
      <c r="CL227" s="19" t="str">
        <f>IF(CM227&lt;&gt;"",VLOOKUP($P227&amp;" | "&amp;CK$6,'Job Master'!$F$12:$J$102,3,0),"")</f>
        <v/>
      </c>
      <c r="CM227" s="19" t="str">
        <f>IFERROR(IF(AND(CT227&lt;&gt;"",VLOOKUP($P227&amp;" | "&amp;CK$6,'Job Master'!$F$12:$I$102,4,0)&lt;&gt;""),IF(WEEKDAY(CT227-VLOOKUP($P227&amp;" | "&amp;CK$6,'Job Master'!$F$12:$I$102,4,0))&lt;&gt;7,CT227-VLOOKUP($P227&amp;" | "&amp;CK$6,'Job Master'!$F$12:$I$102,4,0),CT227-VLOOKUP($P227&amp;" | "&amp;CK$6,'Job Master'!$F$12:$I$102,4,0)-1),""),"")</f>
        <v/>
      </c>
      <c r="CN227" s="73"/>
      <c r="CO227" s="123" t="str">
        <f t="shared" si="420"/>
        <v/>
      </c>
      <c r="CP227" s="123" t="str">
        <f t="shared" si="421"/>
        <v/>
      </c>
      <c r="CQ227" s="97" t="str">
        <f t="shared" ca="1" si="422"/>
        <v/>
      </c>
      <c r="CR227" s="98" t="str">
        <f>IF(CT227&lt;&gt;"",VLOOKUP($P227&amp;" | "&amp;CR$6,'Job Master'!$F$12:$J$102,5,0),"")</f>
        <v/>
      </c>
      <c r="CS227" s="19" t="str">
        <f>IF(CT227&lt;&gt;"",VLOOKUP($P227&amp;" | "&amp;CR$6,'Job Master'!$F$12:$J$102,3,0),"")</f>
        <v/>
      </c>
      <c r="CT227" s="19" t="str">
        <f>IFERROR(IF(AND(DA227&lt;&gt;"",VLOOKUP($P227&amp;" | "&amp;CR$6,'Job Master'!$F$12:$I$102,4,0)&lt;&gt;""),IF(WEEKDAY(DA227-VLOOKUP($P227&amp;" | "&amp;CR$6,'Job Master'!$F$12:$I$102,4,0))&lt;&gt;7,DA227-VLOOKUP($P227&amp;" | "&amp;CR$6,'Job Master'!$F$12:$I$102,4,0),DA227-VLOOKUP($P227&amp;" | "&amp;CR$6,'Job Master'!$F$12:$I$102,4,0)-1),""),"")</f>
        <v/>
      </c>
      <c r="CU227" s="73"/>
      <c r="CV227" s="123" t="str">
        <f t="shared" si="423"/>
        <v/>
      </c>
      <c r="CW227" s="123" t="str">
        <f t="shared" si="424"/>
        <v/>
      </c>
      <c r="CX227" s="97" t="str">
        <f t="shared" ca="1" si="425"/>
        <v/>
      </c>
      <c r="CY227" s="98" t="str">
        <f>IF(DA227&lt;&gt;"",VLOOKUP($P227&amp;" | "&amp;CY$6,'Job Master'!$F$12:$J$102,5,0),"")</f>
        <v/>
      </c>
      <c r="CZ227" s="19" t="str">
        <f>IF(DA227&lt;&gt;"",VLOOKUP($P227&amp;" | "&amp;CY$6,'Job Master'!$F$12:$J$102,3,0),"")</f>
        <v/>
      </c>
      <c r="DA227" s="19" t="str">
        <f>IFERROR(IF(AND(DH227&lt;&gt;"",VLOOKUP($P227&amp;" | "&amp;CY$6,'Job Master'!$F$12:$I$102,4,0)&lt;&gt;""),IF(WEEKDAY(DH227-VLOOKUP($P227&amp;" | "&amp;CY$6,'Job Master'!$F$12:$I$102,4,0))&lt;&gt;7,DH227-VLOOKUP($P227&amp;" | "&amp;CY$6,'Job Master'!$F$12:$I$102,4,0),DH227-VLOOKUP($P227&amp;" | "&amp;CY$6,'Job Master'!$F$12:$I$102,4,0)-1),""),"")</f>
        <v/>
      </c>
      <c r="DB227" s="73"/>
      <c r="DC227" s="123" t="str">
        <f t="shared" si="426"/>
        <v/>
      </c>
      <c r="DD227" s="123" t="str">
        <f t="shared" si="427"/>
        <v/>
      </c>
      <c r="DE227" s="97" t="str">
        <f t="shared" ca="1" si="428"/>
        <v/>
      </c>
      <c r="DF227" s="98" t="str">
        <f>IF(DH227&lt;&gt;"",VLOOKUP($P227&amp;" | "&amp;DF$6,'Job Master'!$F$12:$J$102,5,0),"")</f>
        <v/>
      </c>
      <c r="DG227" s="19" t="str">
        <f>IF(DH227&lt;&gt;"",VLOOKUP($P227&amp;" | "&amp;DF$6,'Job Master'!$F$12:$J$102,3,0),"")</f>
        <v/>
      </c>
      <c r="DH227" s="19" t="str">
        <f>IFERROR(IF(AND(DO227&lt;&gt;"",VLOOKUP($P227&amp;" | "&amp;DF$6,'Job Master'!$F$12:$I$102,4,0)&lt;&gt;""),IF(WEEKDAY(DO227-VLOOKUP($P227&amp;" | "&amp;DF$6,'Job Master'!$F$12:$I$102,4,0))&lt;&gt;7,DO227-VLOOKUP($P227&amp;" | "&amp;DF$6,'Job Master'!$F$12:$I$102,4,0),DO227-VLOOKUP($P227&amp;" | "&amp;DF$6,'Job Master'!$F$12:$I$102,4,0)-1),""),"")</f>
        <v/>
      </c>
      <c r="DI227" s="73"/>
      <c r="DJ227" s="123" t="str">
        <f t="shared" si="429"/>
        <v/>
      </c>
      <c r="DK227" s="123" t="str">
        <f t="shared" si="430"/>
        <v/>
      </c>
      <c r="DL227" s="97" t="str">
        <f t="shared" ca="1" si="431"/>
        <v/>
      </c>
      <c r="DM227" s="98" t="str">
        <f>IF(DO227&lt;&gt;"",VLOOKUP($P227&amp;" | "&amp;DM$6,'Job Master'!$F$12:$J$102,5,0),"")</f>
        <v/>
      </c>
      <c r="DN227" s="19" t="str">
        <f>IF(DO227&lt;&gt;"",VLOOKUP($P227&amp;" | "&amp;DM$6,'Job Master'!$F$12:$J$102,3,0),"")</f>
        <v/>
      </c>
      <c r="DO227" s="19" t="str">
        <f>IFERROR(IF(AND(DT227&lt;&gt;"",VLOOKUP($P227&amp;" | "&amp;DM$6,'Job Master'!$F$12:$I$102,4,0)&lt;&gt;""),IF(WEEKDAY(DT227-VLOOKUP($P227&amp;" | "&amp;DM$6,'Job Master'!$F$12:$I$102,4,0))&lt;&gt;7,DT227-VLOOKUP($P227&amp;" | "&amp;DM$6,'Job Master'!$F$12:$I$102,4,0),DT227-VLOOKUP($P227&amp;" | "&amp;DM$6,'Job Master'!$F$12:$I$102,4,0)-1),""),"")</f>
        <v/>
      </c>
      <c r="DP227" s="73"/>
      <c r="DQ227" s="123" t="str">
        <f t="shared" si="432"/>
        <v/>
      </c>
      <c r="DR227" s="123" t="str">
        <f t="shared" si="433"/>
        <v/>
      </c>
      <c r="DS227" s="97" t="str">
        <f t="shared" ca="1" si="434"/>
        <v/>
      </c>
      <c r="DT227" s="70" t="str">
        <f t="shared" si="435"/>
        <v/>
      </c>
      <c r="DU227" s="90"/>
      <c r="DV227" s="123" t="str">
        <f t="shared" si="436"/>
        <v/>
      </c>
      <c r="DW227" s="123" t="str">
        <f t="shared" si="437"/>
        <v/>
      </c>
      <c r="DX227" s="132" t="str">
        <f t="shared" ref="DX227" ca="1" si="474">IF(DT227&lt;&gt;"",IF(WEEKNUM(DT227)=WEEKNUM(TODAY()),"This Week",IF(WEEKNUM(DT227)=WEEKNUM(TODAY())+1,"Next Week",IF(WEEKNUM(DT227)=WEEKNUM(TODAY())-1,"Previous Week",""))),"")</f>
        <v/>
      </c>
      <c r="DY227" s="134" t="str">
        <f t="shared" si="439"/>
        <v/>
      </c>
      <c r="DZ227" s="95"/>
      <c r="EB227" s="8" t="str">
        <f t="shared" si="445"/>
        <v/>
      </c>
      <c r="EC227" s="8" t="str">
        <f>IF(O227&lt;&gt;"",VLOOKUP(O227,'Job Master'!$N$12:$O$18,2,0),"")</f>
        <v/>
      </c>
      <c r="ED227" s="8">
        <f t="shared" si="446"/>
        <v>19.5</v>
      </c>
      <c r="EE227" s="8">
        <f t="shared" si="447"/>
        <v>6</v>
      </c>
      <c r="EF227" s="8">
        <f t="shared" si="448"/>
        <v>-1282.5</v>
      </c>
      <c r="EG227" s="8" t="str">
        <f t="shared" si="449"/>
        <v/>
      </c>
      <c r="EH227" s="8" t="str">
        <f t="shared" si="450"/>
        <v/>
      </c>
    </row>
    <row r="228" spans="2:138" x14ac:dyDescent="0.3">
      <c r="B228" s="112"/>
      <c r="C228" s="27"/>
      <c r="D228" s="7" t="str">
        <f t="shared" si="387"/>
        <v/>
      </c>
      <c r="E228" s="25"/>
      <c r="F228" s="7" t="str">
        <f t="shared" si="387"/>
        <v/>
      </c>
      <c r="G228" s="25"/>
      <c r="H228" s="7" t="str">
        <f t="shared" si="387"/>
        <v/>
      </c>
      <c r="I228" s="25"/>
      <c r="J228" s="7" t="str">
        <f t="shared" si="387"/>
        <v/>
      </c>
      <c r="K228" s="25"/>
      <c r="L228" s="7" t="str">
        <f t="shared" si="388"/>
        <v/>
      </c>
      <c r="M228" s="25"/>
      <c r="N228" s="7" t="str">
        <f t="shared" si="389"/>
        <v/>
      </c>
      <c r="O228" s="81"/>
      <c r="P228" s="81" t="str">
        <f t="shared" si="390"/>
        <v/>
      </c>
      <c r="Q228" s="81"/>
      <c r="R228" s="7" t="str">
        <f t="shared" si="391"/>
        <v/>
      </c>
      <c r="S228" s="25"/>
      <c r="T228" s="7" t="str">
        <f t="shared" si="392"/>
        <v/>
      </c>
      <c r="U228" s="25"/>
      <c r="V228" s="7" t="str">
        <f t="shared" si="393"/>
        <v/>
      </c>
      <c r="W228" s="25"/>
      <c r="X228" s="7" t="str">
        <f t="shared" si="394"/>
        <v/>
      </c>
      <c r="Y228" s="18" t="str">
        <f t="shared" si="395"/>
        <v/>
      </c>
      <c r="Z228" s="7" t="str">
        <f t="shared" si="396"/>
        <v/>
      </c>
      <c r="AA228" s="18" t="str">
        <f t="shared" si="397"/>
        <v/>
      </c>
      <c r="AB228" s="19" t="str">
        <f t="shared" si="398"/>
        <v/>
      </c>
      <c r="AC228" s="26"/>
      <c r="AD228" s="26"/>
      <c r="AE228" s="25"/>
      <c r="AF228" s="26"/>
      <c r="AG228" s="25"/>
      <c r="AH228" s="25"/>
      <c r="AI228" s="18" t="str">
        <f t="shared" si="461"/>
        <v/>
      </c>
      <c r="AJ228" s="25"/>
      <c r="AK228" s="18" t="str">
        <f t="shared" si="462"/>
        <v/>
      </c>
      <c r="AL228" s="79"/>
      <c r="AM228" s="126" t="str">
        <f t="shared" si="463"/>
        <v/>
      </c>
      <c r="AN228" s="128" t="str">
        <f>IF(AP228&lt;&gt;"",VLOOKUP($P228&amp;" | "&amp;AN$6,'Job Master'!$F$12:$J$102,5,0),"")</f>
        <v/>
      </c>
      <c r="AO228" s="19" t="str">
        <f>IF(AP228&lt;&gt;"",VLOOKUP($P228&amp;" | "&amp;AN$6,'Job Master'!$F$12:$J$102,3,0),"")</f>
        <v/>
      </c>
      <c r="AP228" s="19" t="str">
        <f>IFERROR(IF(AND(AW228&lt;&gt;"",VLOOKUP($P228&amp;" | "&amp;AN$6,'Job Master'!$F$12:$I$102,4,0)&lt;&gt;""),IF(WEEKDAY(AW228-VLOOKUP($P228&amp;" | "&amp;AN$6,'Job Master'!$F$12:$I$102,4,0))&lt;&gt;7,AW228-VLOOKUP($P228&amp;" | "&amp;AN$6,'Job Master'!$F$12:$I$102,4,0),AW228-VLOOKUP($P228&amp;" | "&amp;AN$6,'Job Master'!$F$12:$I$102,4,0)-1),""),"")</f>
        <v/>
      </c>
      <c r="AQ228" s="73"/>
      <c r="AR228" s="123" t="str">
        <f t="shared" si="399"/>
        <v/>
      </c>
      <c r="AS228" s="123" t="str">
        <f t="shared" si="400"/>
        <v/>
      </c>
      <c r="AT228" s="97" t="str">
        <f t="shared" ca="1" si="401"/>
        <v/>
      </c>
      <c r="AU228" s="98" t="str">
        <f>IF(AW228&lt;&gt;"",VLOOKUP($P228&amp;" | "&amp;AU$6,'Job Master'!$F$12:$J$102,5,0),"")</f>
        <v/>
      </c>
      <c r="AV228" s="19" t="str">
        <f>IF(AW228&lt;&gt;"",VLOOKUP($P228&amp;" | "&amp;AU$6,'Job Master'!$F$12:$J$102,3,0),"")</f>
        <v/>
      </c>
      <c r="AW228" s="19" t="str">
        <f>IFERROR(IF(AND(BD228&lt;&gt;"",VLOOKUP($P228&amp;" | "&amp;AU$6,'Job Master'!$F$12:$I$102,4,0)&lt;&gt;""),IF(WEEKDAY(BD228-VLOOKUP($P228&amp;" | "&amp;AU$6,'Job Master'!$F$12:$I$102,4,0))&lt;&gt;7,BD228-VLOOKUP($P228&amp;" | "&amp;AU$6,'Job Master'!$F$12:$I$102,4,0),BD228-VLOOKUP($P228&amp;" | "&amp;AU$6,'Job Master'!$F$12:$I$102,4,0)-1),""),"")</f>
        <v/>
      </c>
      <c r="AX228" s="73"/>
      <c r="AY228" s="123" t="str">
        <f t="shared" si="402"/>
        <v/>
      </c>
      <c r="AZ228" s="123" t="str">
        <f t="shared" si="403"/>
        <v/>
      </c>
      <c r="BA228" s="97" t="str">
        <f t="shared" ca="1" si="404"/>
        <v/>
      </c>
      <c r="BB228" s="98" t="str">
        <f>IF(BD228&lt;&gt;"",VLOOKUP($P228&amp;" | "&amp;BB$6,'Job Master'!$F$12:$J$102,5,0),"")</f>
        <v/>
      </c>
      <c r="BC228" s="19" t="str">
        <f>IF(BD228&lt;&gt;"",VLOOKUP($P228&amp;" | "&amp;BB$6,'Job Master'!$F$12:$J$102,3,0),"")</f>
        <v/>
      </c>
      <c r="BD228" s="19" t="str">
        <f>IFERROR(IF(AND(BK228&lt;&gt;"",VLOOKUP($P228&amp;" | "&amp;BB$6,'Job Master'!$F$12:$I$102,4,0)&lt;&gt;""),IF(WEEKDAY(BK228-VLOOKUP($P228&amp;" | "&amp;BB$6,'Job Master'!$F$12:$I$102,4,0))&lt;&gt;7,BK228-VLOOKUP($P228&amp;" | "&amp;BB$6,'Job Master'!$F$12:$I$102,4,0),BK228-VLOOKUP($P228&amp;" | "&amp;BB$6,'Job Master'!$F$12:$I$102,4,0)-1),""),"")</f>
        <v/>
      </c>
      <c r="BE228" s="73"/>
      <c r="BF228" s="123" t="str">
        <f t="shared" si="405"/>
        <v/>
      </c>
      <c r="BG228" s="123" t="str">
        <f t="shared" si="406"/>
        <v/>
      </c>
      <c r="BH228" s="97" t="str">
        <f t="shared" ca="1" si="407"/>
        <v/>
      </c>
      <c r="BI228" s="98" t="str">
        <f>IF(BK228&lt;&gt;"",VLOOKUP($P228&amp;" | "&amp;BI$6,'Job Master'!$F$12:$J$102,5,0),"")</f>
        <v/>
      </c>
      <c r="BJ228" s="19" t="str">
        <f>IF(BK228&lt;&gt;"",VLOOKUP($P228&amp;" | "&amp;BI$6,'Job Master'!$F$12:$J$102,3,0),"")</f>
        <v/>
      </c>
      <c r="BK228" s="19" t="str">
        <f>IFERROR(IF(AND(BR228&lt;&gt;"",VLOOKUP($P228&amp;" | "&amp;BI$6,'Job Master'!$F$12:$I$102,4,0)&lt;&gt;""),IF(WEEKDAY(BR228-VLOOKUP($P228&amp;" | "&amp;BI$6,'Job Master'!$F$12:$I$102,4,0))&lt;&gt;7,BR228-VLOOKUP($P228&amp;" | "&amp;BI$6,'Job Master'!$F$12:$I$102,4,0),BR228-VLOOKUP($P228&amp;" | "&amp;BI$6,'Job Master'!$F$12:$I$102,4,0)-1),""),"")</f>
        <v/>
      </c>
      <c r="BL228" s="73"/>
      <c r="BM228" s="123" t="str">
        <f t="shared" si="408"/>
        <v/>
      </c>
      <c r="BN228" s="123" t="str">
        <f t="shared" si="409"/>
        <v/>
      </c>
      <c r="BO228" s="97" t="str">
        <f t="shared" ca="1" si="410"/>
        <v/>
      </c>
      <c r="BP228" s="98" t="str">
        <f>IF(BR228&lt;&gt;"",VLOOKUP($P228&amp;" | "&amp;BP$6,'Job Master'!$F$12:$J$102,5,0),"")</f>
        <v/>
      </c>
      <c r="BQ228" s="19" t="str">
        <f>IF(BR228&lt;&gt;"",VLOOKUP($P228&amp;" | "&amp;BP$6,'Job Master'!$F$12:$J$102,3,0),"")</f>
        <v/>
      </c>
      <c r="BR228" s="19" t="str">
        <f>IFERROR(IF(AND(BY228&lt;&gt;"",VLOOKUP($P228&amp;" | "&amp;BP$6,'Job Master'!$F$12:$I$102,4,0)&lt;&gt;""),IF(WEEKDAY(BY228-VLOOKUP($P228&amp;" | "&amp;BP$6,'Job Master'!$F$12:$I$102,4,0))&lt;&gt;7,BY228-VLOOKUP($P228&amp;" | "&amp;BP$6,'Job Master'!$F$12:$I$102,4,0),BY228-VLOOKUP($P228&amp;" | "&amp;BP$6,'Job Master'!$F$12:$I$102,4,0)-1),""),"")</f>
        <v/>
      </c>
      <c r="BS228" s="73"/>
      <c r="BT228" s="123" t="str">
        <f t="shared" si="411"/>
        <v/>
      </c>
      <c r="BU228" s="123" t="str">
        <f t="shared" si="412"/>
        <v/>
      </c>
      <c r="BV228" s="97" t="str">
        <f t="shared" ca="1" si="413"/>
        <v/>
      </c>
      <c r="BW228" s="98" t="str">
        <f>IF(BY228&lt;&gt;"",VLOOKUP($P228&amp;" | "&amp;BW$6,'Job Master'!$F$12:$J$102,5,0),"")</f>
        <v/>
      </c>
      <c r="BX228" s="19" t="str">
        <f>IF(BY228&lt;&gt;"",VLOOKUP($P228&amp;" | "&amp;BW$6,'Job Master'!$F$12:$J$102,3,0),"")</f>
        <v/>
      </c>
      <c r="BY228" s="19" t="str">
        <f>IFERROR(IF(AND(CF228&lt;&gt;"",VLOOKUP($P228&amp;" | "&amp;BW$6,'Job Master'!$F$12:$I$102,4,0)&lt;&gt;""),IF(WEEKDAY(CF228-VLOOKUP($P228&amp;" | "&amp;BW$6,'Job Master'!$F$12:$I$102,4,0))&lt;&gt;7,CF228-VLOOKUP($P228&amp;" | "&amp;BW$6,'Job Master'!$F$12:$I$102,4,0),CF228-VLOOKUP($P228&amp;" | "&amp;BW$6,'Job Master'!$F$12:$I$102,4,0)-1),""),"")</f>
        <v/>
      </c>
      <c r="BZ228" s="73"/>
      <c r="CA228" s="123" t="str">
        <f t="shared" si="414"/>
        <v/>
      </c>
      <c r="CB228" s="123" t="str">
        <f t="shared" si="415"/>
        <v/>
      </c>
      <c r="CC228" s="97" t="str">
        <f t="shared" ca="1" si="416"/>
        <v/>
      </c>
      <c r="CD228" s="98" t="str">
        <f>IF(CF228&lt;&gt;"",VLOOKUP($P228&amp;" | "&amp;CD$6,'Job Master'!$F$12:$J$102,5,0),"")</f>
        <v/>
      </c>
      <c r="CE228" s="19" t="str">
        <f>IF(CF228&lt;&gt;"",VLOOKUP($P228&amp;" | "&amp;CD$6,'Job Master'!$F$12:$J$102,3,0),"")</f>
        <v/>
      </c>
      <c r="CF228" s="19" t="str">
        <f>IFERROR(IF(AND(CM228&lt;&gt;"",VLOOKUP($P228&amp;" | "&amp;CD$6,'Job Master'!$F$12:$I$102,4,0)&lt;&gt;""),IF(WEEKDAY(CM228-VLOOKUP($P228&amp;" | "&amp;CD$6,'Job Master'!$F$12:$I$102,4,0))&lt;&gt;7,CM228-VLOOKUP($P228&amp;" | "&amp;CD$6,'Job Master'!$F$12:$I$102,4,0),CM228-VLOOKUP($P228&amp;" | "&amp;CD$6,'Job Master'!$F$12:$I$102,4,0)-1),""),"")</f>
        <v/>
      </c>
      <c r="CG228" s="73"/>
      <c r="CH228" s="123" t="str">
        <f t="shared" si="417"/>
        <v/>
      </c>
      <c r="CI228" s="123" t="str">
        <f t="shared" si="418"/>
        <v/>
      </c>
      <c r="CJ228" s="97" t="str">
        <f t="shared" ca="1" si="419"/>
        <v/>
      </c>
      <c r="CK228" s="98" t="str">
        <f>IF(CM228&lt;&gt;"",VLOOKUP($P228&amp;" | "&amp;CK$6,'Job Master'!$F$12:$J$102,5,0),"")</f>
        <v/>
      </c>
      <c r="CL228" s="19" t="str">
        <f>IF(CM228&lt;&gt;"",VLOOKUP($P228&amp;" | "&amp;CK$6,'Job Master'!$F$12:$J$102,3,0),"")</f>
        <v/>
      </c>
      <c r="CM228" s="19" t="str">
        <f>IFERROR(IF(AND(CT228&lt;&gt;"",VLOOKUP($P228&amp;" | "&amp;CK$6,'Job Master'!$F$12:$I$102,4,0)&lt;&gt;""),IF(WEEKDAY(CT228-VLOOKUP($P228&amp;" | "&amp;CK$6,'Job Master'!$F$12:$I$102,4,0))&lt;&gt;7,CT228-VLOOKUP($P228&amp;" | "&amp;CK$6,'Job Master'!$F$12:$I$102,4,0),CT228-VLOOKUP($P228&amp;" | "&amp;CK$6,'Job Master'!$F$12:$I$102,4,0)-1),""),"")</f>
        <v/>
      </c>
      <c r="CN228" s="73"/>
      <c r="CO228" s="123" t="str">
        <f t="shared" si="420"/>
        <v/>
      </c>
      <c r="CP228" s="123" t="str">
        <f t="shared" si="421"/>
        <v/>
      </c>
      <c r="CQ228" s="97" t="str">
        <f t="shared" ca="1" si="422"/>
        <v/>
      </c>
      <c r="CR228" s="98" t="str">
        <f>IF(CT228&lt;&gt;"",VLOOKUP($P228&amp;" | "&amp;CR$6,'Job Master'!$F$12:$J$102,5,0),"")</f>
        <v/>
      </c>
      <c r="CS228" s="19" t="str">
        <f>IF(CT228&lt;&gt;"",VLOOKUP($P228&amp;" | "&amp;CR$6,'Job Master'!$F$12:$J$102,3,0),"")</f>
        <v/>
      </c>
      <c r="CT228" s="19" t="str">
        <f>IFERROR(IF(AND(DA228&lt;&gt;"",VLOOKUP($P228&amp;" | "&amp;CR$6,'Job Master'!$F$12:$I$102,4,0)&lt;&gt;""),IF(WEEKDAY(DA228-VLOOKUP($P228&amp;" | "&amp;CR$6,'Job Master'!$F$12:$I$102,4,0))&lt;&gt;7,DA228-VLOOKUP($P228&amp;" | "&amp;CR$6,'Job Master'!$F$12:$I$102,4,0),DA228-VLOOKUP($P228&amp;" | "&amp;CR$6,'Job Master'!$F$12:$I$102,4,0)-1),""),"")</f>
        <v/>
      </c>
      <c r="CU228" s="73"/>
      <c r="CV228" s="123" t="str">
        <f t="shared" si="423"/>
        <v/>
      </c>
      <c r="CW228" s="123" t="str">
        <f t="shared" si="424"/>
        <v/>
      </c>
      <c r="CX228" s="97" t="str">
        <f t="shared" ca="1" si="425"/>
        <v/>
      </c>
      <c r="CY228" s="98" t="str">
        <f>IF(DA228&lt;&gt;"",VLOOKUP($P228&amp;" | "&amp;CY$6,'Job Master'!$F$12:$J$102,5,0),"")</f>
        <v/>
      </c>
      <c r="CZ228" s="19" t="str">
        <f>IF(DA228&lt;&gt;"",VLOOKUP($P228&amp;" | "&amp;CY$6,'Job Master'!$F$12:$J$102,3,0),"")</f>
        <v/>
      </c>
      <c r="DA228" s="19" t="str">
        <f>IFERROR(IF(AND(DH228&lt;&gt;"",VLOOKUP($P228&amp;" | "&amp;CY$6,'Job Master'!$F$12:$I$102,4,0)&lt;&gt;""),IF(WEEKDAY(DH228-VLOOKUP($P228&amp;" | "&amp;CY$6,'Job Master'!$F$12:$I$102,4,0))&lt;&gt;7,DH228-VLOOKUP($P228&amp;" | "&amp;CY$6,'Job Master'!$F$12:$I$102,4,0),DH228-VLOOKUP($P228&amp;" | "&amp;CY$6,'Job Master'!$F$12:$I$102,4,0)-1),""),"")</f>
        <v/>
      </c>
      <c r="DB228" s="73"/>
      <c r="DC228" s="123" t="str">
        <f t="shared" si="426"/>
        <v/>
      </c>
      <c r="DD228" s="123" t="str">
        <f t="shared" si="427"/>
        <v/>
      </c>
      <c r="DE228" s="97" t="str">
        <f t="shared" ca="1" si="428"/>
        <v/>
      </c>
      <c r="DF228" s="98" t="str">
        <f>IF(DH228&lt;&gt;"",VLOOKUP($P228&amp;" | "&amp;DF$6,'Job Master'!$F$12:$J$102,5,0),"")</f>
        <v/>
      </c>
      <c r="DG228" s="19" t="str">
        <f>IF(DH228&lt;&gt;"",VLOOKUP($P228&amp;" | "&amp;DF$6,'Job Master'!$F$12:$J$102,3,0),"")</f>
        <v/>
      </c>
      <c r="DH228" s="19" t="str">
        <f>IFERROR(IF(AND(DO228&lt;&gt;"",VLOOKUP($P228&amp;" | "&amp;DF$6,'Job Master'!$F$12:$I$102,4,0)&lt;&gt;""),IF(WEEKDAY(DO228-VLOOKUP($P228&amp;" | "&amp;DF$6,'Job Master'!$F$12:$I$102,4,0))&lt;&gt;7,DO228-VLOOKUP($P228&amp;" | "&amp;DF$6,'Job Master'!$F$12:$I$102,4,0),DO228-VLOOKUP($P228&amp;" | "&amp;DF$6,'Job Master'!$F$12:$I$102,4,0)-1),""),"")</f>
        <v/>
      </c>
      <c r="DI228" s="73"/>
      <c r="DJ228" s="123" t="str">
        <f t="shared" si="429"/>
        <v/>
      </c>
      <c r="DK228" s="123" t="str">
        <f t="shared" si="430"/>
        <v/>
      </c>
      <c r="DL228" s="97" t="str">
        <f t="shared" ca="1" si="431"/>
        <v/>
      </c>
      <c r="DM228" s="98" t="str">
        <f>IF(DO228&lt;&gt;"",VLOOKUP($P228&amp;" | "&amp;DM$6,'Job Master'!$F$12:$J$102,5,0),"")</f>
        <v/>
      </c>
      <c r="DN228" s="19" t="str">
        <f>IF(DO228&lt;&gt;"",VLOOKUP($P228&amp;" | "&amp;DM$6,'Job Master'!$F$12:$J$102,3,0),"")</f>
        <v/>
      </c>
      <c r="DO228" s="19" t="str">
        <f>IFERROR(IF(AND(DT228&lt;&gt;"",VLOOKUP($P228&amp;" | "&amp;DM$6,'Job Master'!$F$12:$I$102,4,0)&lt;&gt;""),IF(WEEKDAY(DT228-VLOOKUP($P228&amp;" | "&amp;DM$6,'Job Master'!$F$12:$I$102,4,0))&lt;&gt;7,DT228-VLOOKUP($P228&amp;" | "&amp;DM$6,'Job Master'!$F$12:$I$102,4,0),DT228-VLOOKUP($P228&amp;" | "&amp;DM$6,'Job Master'!$F$12:$I$102,4,0)-1),""),"")</f>
        <v/>
      </c>
      <c r="DP228" s="73"/>
      <c r="DQ228" s="123" t="str">
        <f t="shared" si="432"/>
        <v/>
      </c>
      <c r="DR228" s="123" t="str">
        <f t="shared" si="433"/>
        <v/>
      </c>
      <c r="DS228" s="97" t="str">
        <f t="shared" ca="1" si="434"/>
        <v/>
      </c>
      <c r="DT228" s="70" t="str">
        <f t="shared" si="435"/>
        <v/>
      </c>
      <c r="DU228" s="90"/>
      <c r="DV228" s="123" t="str">
        <f t="shared" si="436"/>
        <v/>
      </c>
      <c r="DW228" s="123" t="str">
        <f t="shared" si="437"/>
        <v/>
      </c>
      <c r="DX228" s="132" t="str">
        <f t="shared" ref="DX228" ca="1" si="475">IF(DT228&lt;&gt;"",IF(WEEKNUM(DT228)=WEEKNUM(TODAY()),"This Week",IF(WEEKNUM(DT228)=WEEKNUM(TODAY())+1,"Next Week",IF(WEEKNUM(DT228)=WEEKNUM(TODAY())-1,"Previous Week",""))),"")</f>
        <v/>
      </c>
      <c r="DY228" s="134" t="str">
        <f t="shared" si="439"/>
        <v/>
      </c>
      <c r="DZ228" s="95"/>
      <c r="EB228" s="8" t="str">
        <f t="shared" si="445"/>
        <v/>
      </c>
      <c r="EC228" s="8" t="str">
        <f>IF(O228&lt;&gt;"",VLOOKUP(O228,'Job Master'!$N$12:$O$18,2,0),"")</f>
        <v/>
      </c>
      <c r="ED228" s="8">
        <f t="shared" si="446"/>
        <v>19.5</v>
      </c>
      <c r="EE228" s="8">
        <f t="shared" si="447"/>
        <v>6</v>
      </c>
      <c r="EF228" s="8">
        <f t="shared" si="448"/>
        <v>-1288.5</v>
      </c>
      <c r="EG228" s="8" t="str">
        <f t="shared" si="449"/>
        <v/>
      </c>
      <c r="EH228" s="8" t="str">
        <f t="shared" si="450"/>
        <v/>
      </c>
    </row>
    <row r="229" spans="2:138" x14ac:dyDescent="0.3">
      <c r="B229" s="112"/>
      <c r="C229" s="27"/>
      <c r="D229" s="7" t="str">
        <f t="shared" si="387"/>
        <v/>
      </c>
      <c r="E229" s="25"/>
      <c r="F229" s="7" t="str">
        <f t="shared" si="387"/>
        <v/>
      </c>
      <c r="G229" s="25"/>
      <c r="H229" s="7" t="str">
        <f t="shared" si="387"/>
        <v/>
      </c>
      <c r="I229" s="25"/>
      <c r="J229" s="7" t="str">
        <f t="shared" si="387"/>
        <v/>
      </c>
      <c r="K229" s="25"/>
      <c r="L229" s="7" t="str">
        <f t="shared" si="388"/>
        <v/>
      </c>
      <c r="M229" s="25"/>
      <c r="N229" s="7" t="str">
        <f t="shared" si="389"/>
        <v/>
      </c>
      <c r="O229" s="81"/>
      <c r="P229" s="81" t="str">
        <f t="shared" si="390"/>
        <v/>
      </c>
      <c r="Q229" s="81"/>
      <c r="R229" s="7" t="str">
        <f t="shared" si="391"/>
        <v/>
      </c>
      <c r="S229" s="25"/>
      <c r="T229" s="7" t="str">
        <f t="shared" si="392"/>
        <v/>
      </c>
      <c r="U229" s="25"/>
      <c r="V229" s="7" t="str">
        <f t="shared" si="393"/>
        <v/>
      </c>
      <c r="W229" s="25"/>
      <c r="X229" s="7" t="str">
        <f t="shared" si="394"/>
        <v/>
      </c>
      <c r="Y229" s="18" t="str">
        <f t="shared" si="395"/>
        <v/>
      </c>
      <c r="Z229" s="7" t="str">
        <f t="shared" si="396"/>
        <v/>
      </c>
      <c r="AA229" s="18" t="str">
        <f t="shared" si="397"/>
        <v/>
      </c>
      <c r="AB229" s="19" t="str">
        <f t="shared" si="398"/>
        <v/>
      </c>
      <c r="AC229" s="26"/>
      <c r="AD229" s="26"/>
      <c r="AE229" s="25"/>
      <c r="AF229" s="26"/>
      <c r="AG229" s="25"/>
      <c r="AH229" s="25"/>
      <c r="AI229" s="18" t="str">
        <f t="shared" si="461"/>
        <v/>
      </c>
      <c r="AJ229" s="25"/>
      <c r="AK229" s="18" t="str">
        <f t="shared" si="462"/>
        <v/>
      </c>
      <c r="AL229" s="79"/>
      <c r="AM229" s="126" t="str">
        <f t="shared" si="463"/>
        <v/>
      </c>
      <c r="AN229" s="128" t="str">
        <f>IF(AP229&lt;&gt;"",VLOOKUP($P229&amp;" | "&amp;AN$6,'Job Master'!$F$12:$J$102,5,0),"")</f>
        <v/>
      </c>
      <c r="AO229" s="19" t="str">
        <f>IF(AP229&lt;&gt;"",VLOOKUP($P229&amp;" | "&amp;AN$6,'Job Master'!$F$12:$J$102,3,0),"")</f>
        <v/>
      </c>
      <c r="AP229" s="19" t="str">
        <f>IFERROR(IF(AND(AW229&lt;&gt;"",VLOOKUP($P229&amp;" | "&amp;AN$6,'Job Master'!$F$12:$I$102,4,0)&lt;&gt;""),IF(WEEKDAY(AW229-VLOOKUP($P229&amp;" | "&amp;AN$6,'Job Master'!$F$12:$I$102,4,0))&lt;&gt;7,AW229-VLOOKUP($P229&amp;" | "&amp;AN$6,'Job Master'!$F$12:$I$102,4,0),AW229-VLOOKUP($P229&amp;" | "&amp;AN$6,'Job Master'!$F$12:$I$102,4,0)-1),""),"")</f>
        <v/>
      </c>
      <c r="AQ229" s="73"/>
      <c r="AR229" s="123" t="str">
        <f t="shared" si="399"/>
        <v/>
      </c>
      <c r="AS229" s="123" t="str">
        <f t="shared" si="400"/>
        <v/>
      </c>
      <c r="AT229" s="97" t="str">
        <f t="shared" ca="1" si="401"/>
        <v/>
      </c>
      <c r="AU229" s="98" t="str">
        <f>IF(AW229&lt;&gt;"",VLOOKUP($P229&amp;" | "&amp;AU$6,'Job Master'!$F$12:$J$102,5,0),"")</f>
        <v/>
      </c>
      <c r="AV229" s="19" t="str">
        <f>IF(AW229&lt;&gt;"",VLOOKUP($P229&amp;" | "&amp;AU$6,'Job Master'!$F$12:$J$102,3,0),"")</f>
        <v/>
      </c>
      <c r="AW229" s="19" t="str">
        <f>IFERROR(IF(AND(BD229&lt;&gt;"",VLOOKUP($P229&amp;" | "&amp;AU$6,'Job Master'!$F$12:$I$102,4,0)&lt;&gt;""),IF(WEEKDAY(BD229-VLOOKUP($P229&amp;" | "&amp;AU$6,'Job Master'!$F$12:$I$102,4,0))&lt;&gt;7,BD229-VLOOKUP($P229&amp;" | "&amp;AU$6,'Job Master'!$F$12:$I$102,4,0),BD229-VLOOKUP($P229&amp;" | "&amp;AU$6,'Job Master'!$F$12:$I$102,4,0)-1),""),"")</f>
        <v/>
      </c>
      <c r="AX229" s="73"/>
      <c r="AY229" s="123" t="str">
        <f t="shared" si="402"/>
        <v/>
      </c>
      <c r="AZ229" s="123" t="str">
        <f t="shared" si="403"/>
        <v/>
      </c>
      <c r="BA229" s="97" t="str">
        <f t="shared" ca="1" si="404"/>
        <v/>
      </c>
      <c r="BB229" s="98" t="str">
        <f>IF(BD229&lt;&gt;"",VLOOKUP($P229&amp;" | "&amp;BB$6,'Job Master'!$F$12:$J$102,5,0),"")</f>
        <v/>
      </c>
      <c r="BC229" s="19" t="str">
        <f>IF(BD229&lt;&gt;"",VLOOKUP($P229&amp;" | "&amp;BB$6,'Job Master'!$F$12:$J$102,3,0),"")</f>
        <v/>
      </c>
      <c r="BD229" s="19" t="str">
        <f>IFERROR(IF(AND(BK229&lt;&gt;"",VLOOKUP($P229&amp;" | "&amp;BB$6,'Job Master'!$F$12:$I$102,4,0)&lt;&gt;""),IF(WEEKDAY(BK229-VLOOKUP($P229&amp;" | "&amp;BB$6,'Job Master'!$F$12:$I$102,4,0))&lt;&gt;7,BK229-VLOOKUP($P229&amp;" | "&amp;BB$6,'Job Master'!$F$12:$I$102,4,0),BK229-VLOOKUP($P229&amp;" | "&amp;BB$6,'Job Master'!$F$12:$I$102,4,0)-1),""),"")</f>
        <v/>
      </c>
      <c r="BE229" s="73"/>
      <c r="BF229" s="123" t="str">
        <f t="shared" si="405"/>
        <v/>
      </c>
      <c r="BG229" s="123" t="str">
        <f t="shared" si="406"/>
        <v/>
      </c>
      <c r="BH229" s="97" t="str">
        <f t="shared" ca="1" si="407"/>
        <v/>
      </c>
      <c r="BI229" s="98" t="str">
        <f>IF(BK229&lt;&gt;"",VLOOKUP($P229&amp;" | "&amp;BI$6,'Job Master'!$F$12:$J$102,5,0),"")</f>
        <v/>
      </c>
      <c r="BJ229" s="19" t="str">
        <f>IF(BK229&lt;&gt;"",VLOOKUP($P229&amp;" | "&amp;BI$6,'Job Master'!$F$12:$J$102,3,0),"")</f>
        <v/>
      </c>
      <c r="BK229" s="19" t="str">
        <f>IFERROR(IF(AND(BR229&lt;&gt;"",VLOOKUP($P229&amp;" | "&amp;BI$6,'Job Master'!$F$12:$I$102,4,0)&lt;&gt;""),IF(WEEKDAY(BR229-VLOOKUP($P229&amp;" | "&amp;BI$6,'Job Master'!$F$12:$I$102,4,0))&lt;&gt;7,BR229-VLOOKUP($P229&amp;" | "&amp;BI$6,'Job Master'!$F$12:$I$102,4,0),BR229-VLOOKUP($P229&amp;" | "&amp;BI$6,'Job Master'!$F$12:$I$102,4,0)-1),""),"")</f>
        <v/>
      </c>
      <c r="BL229" s="73"/>
      <c r="BM229" s="123" t="str">
        <f t="shared" si="408"/>
        <v/>
      </c>
      <c r="BN229" s="123" t="str">
        <f t="shared" si="409"/>
        <v/>
      </c>
      <c r="BO229" s="97" t="str">
        <f t="shared" ca="1" si="410"/>
        <v/>
      </c>
      <c r="BP229" s="98" t="str">
        <f>IF(BR229&lt;&gt;"",VLOOKUP($P229&amp;" | "&amp;BP$6,'Job Master'!$F$12:$J$102,5,0),"")</f>
        <v/>
      </c>
      <c r="BQ229" s="19" t="str">
        <f>IF(BR229&lt;&gt;"",VLOOKUP($P229&amp;" | "&amp;BP$6,'Job Master'!$F$12:$J$102,3,0),"")</f>
        <v/>
      </c>
      <c r="BR229" s="19" t="str">
        <f>IFERROR(IF(AND(BY229&lt;&gt;"",VLOOKUP($P229&amp;" | "&amp;BP$6,'Job Master'!$F$12:$I$102,4,0)&lt;&gt;""),IF(WEEKDAY(BY229-VLOOKUP($P229&amp;" | "&amp;BP$6,'Job Master'!$F$12:$I$102,4,0))&lt;&gt;7,BY229-VLOOKUP($P229&amp;" | "&amp;BP$6,'Job Master'!$F$12:$I$102,4,0),BY229-VLOOKUP($P229&amp;" | "&amp;BP$6,'Job Master'!$F$12:$I$102,4,0)-1),""),"")</f>
        <v/>
      </c>
      <c r="BS229" s="73"/>
      <c r="BT229" s="123" t="str">
        <f t="shared" si="411"/>
        <v/>
      </c>
      <c r="BU229" s="123" t="str">
        <f t="shared" si="412"/>
        <v/>
      </c>
      <c r="BV229" s="97" t="str">
        <f t="shared" ca="1" si="413"/>
        <v/>
      </c>
      <c r="BW229" s="98" t="str">
        <f>IF(BY229&lt;&gt;"",VLOOKUP($P229&amp;" | "&amp;BW$6,'Job Master'!$F$12:$J$102,5,0),"")</f>
        <v/>
      </c>
      <c r="BX229" s="19" t="str">
        <f>IF(BY229&lt;&gt;"",VLOOKUP($P229&amp;" | "&amp;BW$6,'Job Master'!$F$12:$J$102,3,0),"")</f>
        <v/>
      </c>
      <c r="BY229" s="19" t="str">
        <f>IFERROR(IF(AND(CF229&lt;&gt;"",VLOOKUP($P229&amp;" | "&amp;BW$6,'Job Master'!$F$12:$I$102,4,0)&lt;&gt;""),IF(WEEKDAY(CF229-VLOOKUP($P229&amp;" | "&amp;BW$6,'Job Master'!$F$12:$I$102,4,0))&lt;&gt;7,CF229-VLOOKUP($P229&amp;" | "&amp;BW$6,'Job Master'!$F$12:$I$102,4,0),CF229-VLOOKUP($P229&amp;" | "&amp;BW$6,'Job Master'!$F$12:$I$102,4,0)-1),""),"")</f>
        <v/>
      </c>
      <c r="BZ229" s="73"/>
      <c r="CA229" s="123" t="str">
        <f t="shared" si="414"/>
        <v/>
      </c>
      <c r="CB229" s="123" t="str">
        <f t="shared" si="415"/>
        <v/>
      </c>
      <c r="CC229" s="97" t="str">
        <f t="shared" ca="1" si="416"/>
        <v/>
      </c>
      <c r="CD229" s="98" t="str">
        <f>IF(CF229&lt;&gt;"",VLOOKUP($P229&amp;" | "&amp;CD$6,'Job Master'!$F$12:$J$102,5,0),"")</f>
        <v/>
      </c>
      <c r="CE229" s="19" t="str">
        <f>IF(CF229&lt;&gt;"",VLOOKUP($P229&amp;" | "&amp;CD$6,'Job Master'!$F$12:$J$102,3,0),"")</f>
        <v/>
      </c>
      <c r="CF229" s="19" t="str">
        <f>IFERROR(IF(AND(CM229&lt;&gt;"",VLOOKUP($P229&amp;" | "&amp;CD$6,'Job Master'!$F$12:$I$102,4,0)&lt;&gt;""),IF(WEEKDAY(CM229-VLOOKUP($P229&amp;" | "&amp;CD$6,'Job Master'!$F$12:$I$102,4,0))&lt;&gt;7,CM229-VLOOKUP($P229&amp;" | "&amp;CD$6,'Job Master'!$F$12:$I$102,4,0),CM229-VLOOKUP($P229&amp;" | "&amp;CD$6,'Job Master'!$F$12:$I$102,4,0)-1),""),"")</f>
        <v/>
      </c>
      <c r="CG229" s="73"/>
      <c r="CH229" s="123" t="str">
        <f t="shared" si="417"/>
        <v/>
      </c>
      <c r="CI229" s="123" t="str">
        <f t="shared" si="418"/>
        <v/>
      </c>
      <c r="CJ229" s="97" t="str">
        <f t="shared" ca="1" si="419"/>
        <v/>
      </c>
      <c r="CK229" s="98" t="str">
        <f>IF(CM229&lt;&gt;"",VLOOKUP($P229&amp;" | "&amp;CK$6,'Job Master'!$F$12:$J$102,5,0),"")</f>
        <v/>
      </c>
      <c r="CL229" s="19" t="str">
        <f>IF(CM229&lt;&gt;"",VLOOKUP($P229&amp;" | "&amp;CK$6,'Job Master'!$F$12:$J$102,3,0),"")</f>
        <v/>
      </c>
      <c r="CM229" s="19" t="str">
        <f>IFERROR(IF(AND(CT229&lt;&gt;"",VLOOKUP($P229&amp;" | "&amp;CK$6,'Job Master'!$F$12:$I$102,4,0)&lt;&gt;""),IF(WEEKDAY(CT229-VLOOKUP($P229&amp;" | "&amp;CK$6,'Job Master'!$F$12:$I$102,4,0))&lt;&gt;7,CT229-VLOOKUP($P229&amp;" | "&amp;CK$6,'Job Master'!$F$12:$I$102,4,0),CT229-VLOOKUP($P229&amp;" | "&amp;CK$6,'Job Master'!$F$12:$I$102,4,0)-1),""),"")</f>
        <v/>
      </c>
      <c r="CN229" s="73"/>
      <c r="CO229" s="123" t="str">
        <f t="shared" si="420"/>
        <v/>
      </c>
      <c r="CP229" s="123" t="str">
        <f t="shared" si="421"/>
        <v/>
      </c>
      <c r="CQ229" s="97" t="str">
        <f t="shared" ca="1" si="422"/>
        <v/>
      </c>
      <c r="CR229" s="98" t="str">
        <f>IF(CT229&lt;&gt;"",VLOOKUP($P229&amp;" | "&amp;CR$6,'Job Master'!$F$12:$J$102,5,0),"")</f>
        <v/>
      </c>
      <c r="CS229" s="19" t="str">
        <f>IF(CT229&lt;&gt;"",VLOOKUP($P229&amp;" | "&amp;CR$6,'Job Master'!$F$12:$J$102,3,0),"")</f>
        <v/>
      </c>
      <c r="CT229" s="19" t="str">
        <f>IFERROR(IF(AND(DA229&lt;&gt;"",VLOOKUP($P229&amp;" | "&amp;CR$6,'Job Master'!$F$12:$I$102,4,0)&lt;&gt;""),IF(WEEKDAY(DA229-VLOOKUP($P229&amp;" | "&amp;CR$6,'Job Master'!$F$12:$I$102,4,0))&lt;&gt;7,DA229-VLOOKUP($P229&amp;" | "&amp;CR$6,'Job Master'!$F$12:$I$102,4,0),DA229-VLOOKUP($P229&amp;" | "&amp;CR$6,'Job Master'!$F$12:$I$102,4,0)-1),""),"")</f>
        <v/>
      </c>
      <c r="CU229" s="73"/>
      <c r="CV229" s="123" t="str">
        <f t="shared" si="423"/>
        <v/>
      </c>
      <c r="CW229" s="123" t="str">
        <f t="shared" si="424"/>
        <v/>
      </c>
      <c r="CX229" s="97" t="str">
        <f t="shared" ca="1" si="425"/>
        <v/>
      </c>
      <c r="CY229" s="98" t="str">
        <f>IF(DA229&lt;&gt;"",VLOOKUP($P229&amp;" | "&amp;CY$6,'Job Master'!$F$12:$J$102,5,0),"")</f>
        <v/>
      </c>
      <c r="CZ229" s="19" t="str">
        <f>IF(DA229&lt;&gt;"",VLOOKUP($P229&amp;" | "&amp;CY$6,'Job Master'!$F$12:$J$102,3,0),"")</f>
        <v/>
      </c>
      <c r="DA229" s="19" t="str">
        <f>IFERROR(IF(AND(DH229&lt;&gt;"",VLOOKUP($P229&amp;" | "&amp;CY$6,'Job Master'!$F$12:$I$102,4,0)&lt;&gt;""),IF(WEEKDAY(DH229-VLOOKUP($P229&amp;" | "&amp;CY$6,'Job Master'!$F$12:$I$102,4,0))&lt;&gt;7,DH229-VLOOKUP($P229&amp;" | "&amp;CY$6,'Job Master'!$F$12:$I$102,4,0),DH229-VLOOKUP($P229&amp;" | "&amp;CY$6,'Job Master'!$F$12:$I$102,4,0)-1),""),"")</f>
        <v/>
      </c>
      <c r="DB229" s="73"/>
      <c r="DC229" s="123" t="str">
        <f t="shared" si="426"/>
        <v/>
      </c>
      <c r="DD229" s="123" t="str">
        <f t="shared" si="427"/>
        <v/>
      </c>
      <c r="DE229" s="97" t="str">
        <f t="shared" ca="1" si="428"/>
        <v/>
      </c>
      <c r="DF229" s="98" t="str">
        <f>IF(DH229&lt;&gt;"",VLOOKUP($P229&amp;" | "&amp;DF$6,'Job Master'!$F$12:$J$102,5,0),"")</f>
        <v/>
      </c>
      <c r="DG229" s="19" t="str">
        <f>IF(DH229&lt;&gt;"",VLOOKUP($P229&amp;" | "&amp;DF$6,'Job Master'!$F$12:$J$102,3,0),"")</f>
        <v/>
      </c>
      <c r="DH229" s="19" t="str">
        <f>IFERROR(IF(AND(DO229&lt;&gt;"",VLOOKUP($P229&amp;" | "&amp;DF$6,'Job Master'!$F$12:$I$102,4,0)&lt;&gt;""),IF(WEEKDAY(DO229-VLOOKUP($P229&amp;" | "&amp;DF$6,'Job Master'!$F$12:$I$102,4,0))&lt;&gt;7,DO229-VLOOKUP($P229&amp;" | "&amp;DF$6,'Job Master'!$F$12:$I$102,4,0),DO229-VLOOKUP($P229&amp;" | "&amp;DF$6,'Job Master'!$F$12:$I$102,4,0)-1),""),"")</f>
        <v/>
      </c>
      <c r="DI229" s="73"/>
      <c r="DJ229" s="123" t="str">
        <f t="shared" si="429"/>
        <v/>
      </c>
      <c r="DK229" s="123" t="str">
        <f t="shared" si="430"/>
        <v/>
      </c>
      <c r="DL229" s="97" t="str">
        <f t="shared" ca="1" si="431"/>
        <v/>
      </c>
      <c r="DM229" s="98" t="str">
        <f>IF(DO229&lt;&gt;"",VLOOKUP($P229&amp;" | "&amp;DM$6,'Job Master'!$F$12:$J$102,5,0),"")</f>
        <v/>
      </c>
      <c r="DN229" s="19" t="str">
        <f>IF(DO229&lt;&gt;"",VLOOKUP($P229&amp;" | "&amp;DM$6,'Job Master'!$F$12:$J$102,3,0),"")</f>
        <v/>
      </c>
      <c r="DO229" s="19" t="str">
        <f>IFERROR(IF(AND(DT229&lt;&gt;"",VLOOKUP($P229&amp;" | "&amp;DM$6,'Job Master'!$F$12:$I$102,4,0)&lt;&gt;""),IF(WEEKDAY(DT229-VLOOKUP($P229&amp;" | "&amp;DM$6,'Job Master'!$F$12:$I$102,4,0))&lt;&gt;7,DT229-VLOOKUP($P229&amp;" | "&amp;DM$6,'Job Master'!$F$12:$I$102,4,0),DT229-VLOOKUP($P229&amp;" | "&amp;DM$6,'Job Master'!$F$12:$I$102,4,0)-1),""),"")</f>
        <v/>
      </c>
      <c r="DP229" s="73"/>
      <c r="DQ229" s="123" t="str">
        <f t="shared" si="432"/>
        <v/>
      </c>
      <c r="DR229" s="123" t="str">
        <f t="shared" si="433"/>
        <v/>
      </c>
      <c r="DS229" s="97" t="str">
        <f t="shared" ca="1" si="434"/>
        <v/>
      </c>
      <c r="DT229" s="70" t="str">
        <f t="shared" si="435"/>
        <v/>
      </c>
      <c r="DU229" s="90"/>
      <c r="DV229" s="123" t="str">
        <f t="shared" si="436"/>
        <v/>
      </c>
      <c r="DW229" s="123" t="str">
        <f t="shared" si="437"/>
        <v/>
      </c>
      <c r="DX229" s="132" t="str">
        <f t="shared" ref="DX229" ca="1" si="476">IF(DT229&lt;&gt;"",IF(WEEKNUM(DT229)=WEEKNUM(TODAY()),"This Week",IF(WEEKNUM(DT229)=WEEKNUM(TODAY())+1,"Next Week",IF(WEEKNUM(DT229)=WEEKNUM(TODAY())-1,"Previous Week",""))),"")</f>
        <v/>
      </c>
      <c r="DY229" s="134" t="str">
        <f t="shared" si="439"/>
        <v/>
      </c>
      <c r="DZ229" s="95"/>
      <c r="EB229" s="8" t="str">
        <f t="shared" si="445"/>
        <v/>
      </c>
      <c r="EC229" s="8" t="str">
        <f>IF(O229&lt;&gt;"",VLOOKUP(O229,'Job Master'!$N$12:$O$18,2,0),"")</f>
        <v/>
      </c>
      <c r="ED229" s="8">
        <f t="shared" si="446"/>
        <v>19.5</v>
      </c>
      <c r="EE229" s="8">
        <f t="shared" si="447"/>
        <v>6</v>
      </c>
      <c r="EF229" s="8">
        <f t="shared" si="448"/>
        <v>-1294.5</v>
      </c>
      <c r="EG229" s="8" t="str">
        <f t="shared" si="449"/>
        <v/>
      </c>
      <c r="EH229" s="8" t="str">
        <f t="shared" si="450"/>
        <v/>
      </c>
    </row>
    <row r="230" spans="2:138" x14ac:dyDescent="0.3">
      <c r="B230" s="112"/>
      <c r="C230" s="27"/>
      <c r="D230" s="7" t="str">
        <f t="shared" si="387"/>
        <v/>
      </c>
      <c r="E230" s="25"/>
      <c r="F230" s="7" t="str">
        <f t="shared" si="387"/>
        <v/>
      </c>
      <c r="G230" s="25"/>
      <c r="H230" s="7" t="str">
        <f t="shared" si="387"/>
        <v/>
      </c>
      <c r="I230" s="25"/>
      <c r="J230" s="7" t="str">
        <f t="shared" si="387"/>
        <v/>
      </c>
      <c r="K230" s="25"/>
      <c r="L230" s="7" t="str">
        <f t="shared" si="388"/>
        <v/>
      </c>
      <c r="M230" s="25"/>
      <c r="N230" s="7" t="str">
        <f t="shared" si="389"/>
        <v/>
      </c>
      <c r="O230" s="81"/>
      <c r="P230" s="81" t="str">
        <f t="shared" si="390"/>
        <v/>
      </c>
      <c r="Q230" s="81"/>
      <c r="R230" s="7" t="str">
        <f t="shared" si="391"/>
        <v/>
      </c>
      <c r="S230" s="25"/>
      <c r="T230" s="7" t="str">
        <f t="shared" si="392"/>
        <v/>
      </c>
      <c r="U230" s="25"/>
      <c r="V230" s="7" t="str">
        <f t="shared" si="393"/>
        <v/>
      </c>
      <c r="W230" s="25"/>
      <c r="X230" s="7" t="str">
        <f t="shared" si="394"/>
        <v/>
      </c>
      <c r="Y230" s="18" t="str">
        <f t="shared" si="395"/>
        <v/>
      </c>
      <c r="Z230" s="7" t="str">
        <f t="shared" si="396"/>
        <v/>
      </c>
      <c r="AA230" s="18" t="str">
        <f t="shared" si="397"/>
        <v/>
      </c>
      <c r="AB230" s="19" t="str">
        <f t="shared" si="398"/>
        <v/>
      </c>
      <c r="AC230" s="26"/>
      <c r="AD230" s="26"/>
      <c r="AE230" s="25"/>
      <c r="AF230" s="26"/>
      <c r="AG230" s="25"/>
      <c r="AH230" s="25"/>
      <c r="AI230" s="18" t="str">
        <f t="shared" si="461"/>
        <v/>
      </c>
      <c r="AJ230" s="25"/>
      <c r="AK230" s="18" t="str">
        <f t="shared" si="462"/>
        <v/>
      </c>
      <c r="AL230" s="79"/>
      <c r="AM230" s="126" t="str">
        <f t="shared" si="463"/>
        <v/>
      </c>
      <c r="AN230" s="128" t="str">
        <f>IF(AP230&lt;&gt;"",VLOOKUP($P230&amp;" | "&amp;AN$6,'Job Master'!$F$12:$J$102,5,0),"")</f>
        <v/>
      </c>
      <c r="AO230" s="19" t="str">
        <f>IF(AP230&lt;&gt;"",VLOOKUP($P230&amp;" | "&amp;AN$6,'Job Master'!$F$12:$J$102,3,0),"")</f>
        <v/>
      </c>
      <c r="AP230" s="19" t="str">
        <f>IFERROR(IF(AND(AW230&lt;&gt;"",VLOOKUP($P230&amp;" | "&amp;AN$6,'Job Master'!$F$12:$I$102,4,0)&lt;&gt;""),IF(WEEKDAY(AW230-VLOOKUP($P230&amp;" | "&amp;AN$6,'Job Master'!$F$12:$I$102,4,0))&lt;&gt;7,AW230-VLOOKUP($P230&amp;" | "&amp;AN$6,'Job Master'!$F$12:$I$102,4,0),AW230-VLOOKUP($P230&amp;" | "&amp;AN$6,'Job Master'!$F$12:$I$102,4,0)-1),""),"")</f>
        <v/>
      </c>
      <c r="AQ230" s="73"/>
      <c r="AR230" s="123" t="str">
        <f t="shared" si="399"/>
        <v/>
      </c>
      <c r="AS230" s="123" t="str">
        <f t="shared" si="400"/>
        <v/>
      </c>
      <c r="AT230" s="97" t="str">
        <f t="shared" ca="1" si="401"/>
        <v/>
      </c>
      <c r="AU230" s="98" t="str">
        <f>IF(AW230&lt;&gt;"",VLOOKUP($P230&amp;" | "&amp;AU$6,'Job Master'!$F$12:$J$102,5,0),"")</f>
        <v/>
      </c>
      <c r="AV230" s="19" t="str">
        <f>IF(AW230&lt;&gt;"",VLOOKUP($P230&amp;" | "&amp;AU$6,'Job Master'!$F$12:$J$102,3,0),"")</f>
        <v/>
      </c>
      <c r="AW230" s="19" t="str">
        <f>IFERROR(IF(AND(BD230&lt;&gt;"",VLOOKUP($P230&amp;" | "&amp;AU$6,'Job Master'!$F$12:$I$102,4,0)&lt;&gt;""),IF(WEEKDAY(BD230-VLOOKUP($P230&amp;" | "&amp;AU$6,'Job Master'!$F$12:$I$102,4,0))&lt;&gt;7,BD230-VLOOKUP($P230&amp;" | "&amp;AU$6,'Job Master'!$F$12:$I$102,4,0),BD230-VLOOKUP($P230&amp;" | "&amp;AU$6,'Job Master'!$F$12:$I$102,4,0)-1),""),"")</f>
        <v/>
      </c>
      <c r="AX230" s="73"/>
      <c r="AY230" s="123" t="str">
        <f t="shared" si="402"/>
        <v/>
      </c>
      <c r="AZ230" s="123" t="str">
        <f t="shared" si="403"/>
        <v/>
      </c>
      <c r="BA230" s="97" t="str">
        <f t="shared" ca="1" si="404"/>
        <v/>
      </c>
      <c r="BB230" s="98" t="str">
        <f>IF(BD230&lt;&gt;"",VLOOKUP($P230&amp;" | "&amp;BB$6,'Job Master'!$F$12:$J$102,5,0),"")</f>
        <v/>
      </c>
      <c r="BC230" s="19" t="str">
        <f>IF(BD230&lt;&gt;"",VLOOKUP($P230&amp;" | "&amp;BB$6,'Job Master'!$F$12:$J$102,3,0),"")</f>
        <v/>
      </c>
      <c r="BD230" s="19" t="str">
        <f>IFERROR(IF(AND(BK230&lt;&gt;"",VLOOKUP($P230&amp;" | "&amp;BB$6,'Job Master'!$F$12:$I$102,4,0)&lt;&gt;""),IF(WEEKDAY(BK230-VLOOKUP($P230&amp;" | "&amp;BB$6,'Job Master'!$F$12:$I$102,4,0))&lt;&gt;7,BK230-VLOOKUP($P230&amp;" | "&amp;BB$6,'Job Master'!$F$12:$I$102,4,0),BK230-VLOOKUP($P230&amp;" | "&amp;BB$6,'Job Master'!$F$12:$I$102,4,0)-1),""),"")</f>
        <v/>
      </c>
      <c r="BE230" s="73"/>
      <c r="BF230" s="123" t="str">
        <f t="shared" si="405"/>
        <v/>
      </c>
      <c r="BG230" s="123" t="str">
        <f t="shared" si="406"/>
        <v/>
      </c>
      <c r="BH230" s="97" t="str">
        <f t="shared" ca="1" si="407"/>
        <v/>
      </c>
      <c r="BI230" s="98" t="str">
        <f>IF(BK230&lt;&gt;"",VLOOKUP($P230&amp;" | "&amp;BI$6,'Job Master'!$F$12:$J$102,5,0),"")</f>
        <v/>
      </c>
      <c r="BJ230" s="19" t="str">
        <f>IF(BK230&lt;&gt;"",VLOOKUP($P230&amp;" | "&amp;BI$6,'Job Master'!$F$12:$J$102,3,0),"")</f>
        <v/>
      </c>
      <c r="BK230" s="19" t="str">
        <f>IFERROR(IF(AND(BR230&lt;&gt;"",VLOOKUP($P230&amp;" | "&amp;BI$6,'Job Master'!$F$12:$I$102,4,0)&lt;&gt;""),IF(WEEKDAY(BR230-VLOOKUP($P230&amp;" | "&amp;BI$6,'Job Master'!$F$12:$I$102,4,0))&lt;&gt;7,BR230-VLOOKUP($P230&amp;" | "&amp;BI$6,'Job Master'!$F$12:$I$102,4,0),BR230-VLOOKUP($P230&amp;" | "&amp;BI$6,'Job Master'!$F$12:$I$102,4,0)-1),""),"")</f>
        <v/>
      </c>
      <c r="BL230" s="73"/>
      <c r="BM230" s="123" t="str">
        <f t="shared" si="408"/>
        <v/>
      </c>
      <c r="BN230" s="123" t="str">
        <f t="shared" si="409"/>
        <v/>
      </c>
      <c r="BO230" s="97" t="str">
        <f t="shared" ca="1" si="410"/>
        <v/>
      </c>
      <c r="BP230" s="98" t="str">
        <f>IF(BR230&lt;&gt;"",VLOOKUP($P230&amp;" | "&amp;BP$6,'Job Master'!$F$12:$J$102,5,0),"")</f>
        <v/>
      </c>
      <c r="BQ230" s="19" t="str">
        <f>IF(BR230&lt;&gt;"",VLOOKUP($P230&amp;" | "&amp;BP$6,'Job Master'!$F$12:$J$102,3,0),"")</f>
        <v/>
      </c>
      <c r="BR230" s="19" t="str">
        <f>IFERROR(IF(AND(BY230&lt;&gt;"",VLOOKUP($P230&amp;" | "&amp;BP$6,'Job Master'!$F$12:$I$102,4,0)&lt;&gt;""),IF(WEEKDAY(BY230-VLOOKUP($P230&amp;" | "&amp;BP$6,'Job Master'!$F$12:$I$102,4,0))&lt;&gt;7,BY230-VLOOKUP($P230&amp;" | "&amp;BP$6,'Job Master'!$F$12:$I$102,4,0),BY230-VLOOKUP($P230&amp;" | "&amp;BP$6,'Job Master'!$F$12:$I$102,4,0)-1),""),"")</f>
        <v/>
      </c>
      <c r="BS230" s="73"/>
      <c r="BT230" s="123" t="str">
        <f t="shared" si="411"/>
        <v/>
      </c>
      <c r="BU230" s="123" t="str">
        <f t="shared" si="412"/>
        <v/>
      </c>
      <c r="BV230" s="97" t="str">
        <f t="shared" ca="1" si="413"/>
        <v/>
      </c>
      <c r="BW230" s="98" t="str">
        <f>IF(BY230&lt;&gt;"",VLOOKUP($P230&amp;" | "&amp;BW$6,'Job Master'!$F$12:$J$102,5,0),"")</f>
        <v/>
      </c>
      <c r="BX230" s="19" t="str">
        <f>IF(BY230&lt;&gt;"",VLOOKUP($P230&amp;" | "&amp;BW$6,'Job Master'!$F$12:$J$102,3,0),"")</f>
        <v/>
      </c>
      <c r="BY230" s="19" t="str">
        <f>IFERROR(IF(AND(CF230&lt;&gt;"",VLOOKUP($P230&amp;" | "&amp;BW$6,'Job Master'!$F$12:$I$102,4,0)&lt;&gt;""),IF(WEEKDAY(CF230-VLOOKUP($P230&amp;" | "&amp;BW$6,'Job Master'!$F$12:$I$102,4,0))&lt;&gt;7,CF230-VLOOKUP($P230&amp;" | "&amp;BW$6,'Job Master'!$F$12:$I$102,4,0),CF230-VLOOKUP($P230&amp;" | "&amp;BW$6,'Job Master'!$F$12:$I$102,4,0)-1),""),"")</f>
        <v/>
      </c>
      <c r="BZ230" s="73"/>
      <c r="CA230" s="123" t="str">
        <f t="shared" si="414"/>
        <v/>
      </c>
      <c r="CB230" s="123" t="str">
        <f t="shared" si="415"/>
        <v/>
      </c>
      <c r="CC230" s="97" t="str">
        <f t="shared" ca="1" si="416"/>
        <v/>
      </c>
      <c r="CD230" s="98" t="str">
        <f>IF(CF230&lt;&gt;"",VLOOKUP($P230&amp;" | "&amp;CD$6,'Job Master'!$F$12:$J$102,5,0),"")</f>
        <v/>
      </c>
      <c r="CE230" s="19" t="str">
        <f>IF(CF230&lt;&gt;"",VLOOKUP($P230&amp;" | "&amp;CD$6,'Job Master'!$F$12:$J$102,3,0),"")</f>
        <v/>
      </c>
      <c r="CF230" s="19" t="str">
        <f>IFERROR(IF(AND(CM230&lt;&gt;"",VLOOKUP($P230&amp;" | "&amp;CD$6,'Job Master'!$F$12:$I$102,4,0)&lt;&gt;""),IF(WEEKDAY(CM230-VLOOKUP($P230&amp;" | "&amp;CD$6,'Job Master'!$F$12:$I$102,4,0))&lt;&gt;7,CM230-VLOOKUP($P230&amp;" | "&amp;CD$6,'Job Master'!$F$12:$I$102,4,0),CM230-VLOOKUP($P230&amp;" | "&amp;CD$6,'Job Master'!$F$12:$I$102,4,0)-1),""),"")</f>
        <v/>
      </c>
      <c r="CG230" s="73"/>
      <c r="CH230" s="123" t="str">
        <f t="shared" si="417"/>
        <v/>
      </c>
      <c r="CI230" s="123" t="str">
        <f t="shared" si="418"/>
        <v/>
      </c>
      <c r="CJ230" s="97" t="str">
        <f t="shared" ca="1" si="419"/>
        <v/>
      </c>
      <c r="CK230" s="98" t="str">
        <f>IF(CM230&lt;&gt;"",VLOOKUP($P230&amp;" | "&amp;CK$6,'Job Master'!$F$12:$J$102,5,0),"")</f>
        <v/>
      </c>
      <c r="CL230" s="19" t="str">
        <f>IF(CM230&lt;&gt;"",VLOOKUP($P230&amp;" | "&amp;CK$6,'Job Master'!$F$12:$J$102,3,0),"")</f>
        <v/>
      </c>
      <c r="CM230" s="19" t="str">
        <f>IFERROR(IF(AND(CT230&lt;&gt;"",VLOOKUP($P230&amp;" | "&amp;CK$6,'Job Master'!$F$12:$I$102,4,0)&lt;&gt;""),IF(WEEKDAY(CT230-VLOOKUP($P230&amp;" | "&amp;CK$6,'Job Master'!$F$12:$I$102,4,0))&lt;&gt;7,CT230-VLOOKUP($P230&amp;" | "&amp;CK$6,'Job Master'!$F$12:$I$102,4,0),CT230-VLOOKUP($P230&amp;" | "&amp;CK$6,'Job Master'!$F$12:$I$102,4,0)-1),""),"")</f>
        <v/>
      </c>
      <c r="CN230" s="73"/>
      <c r="CO230" s="123" t="str">
        <f t="shared" si="420"/>
        <v/>
      </c>
      <c r="CP230" s="123" t="str">
        <f t="shared" si="421"/>
        <v/>
      </c>
      <c r="CQ230" s="97" t="str">
        <f t="shared" ca="1" si="422"/>
        <v/>
      </c>
      <c r="CR230" s="98" t="str">
        <f>IF(CT230&lt;&gt;"",VLOOKUP($P230&amp;" | "&amp;CR$6,'Job Master'!$F$12:$J$102,5,0),"")</f>
        <v/>
      </c>
      <c r="CS230" s="19" t="str">
        <f>IF(CT230&lt;&gt;"",VLOOKUP($P230&amp;" | "&amp;CR$6,'Job Master'!$F$12:$J$102,3,0),"")</f>
        <v/>
      </c>
      <c r="CT230" s="19" t="str">
        <f>IFERROR(IF(AND(DA230&lt;&gt;"",VLOOKUP($P230&amp;" | "&amp;CR$6,'Job Master'!$F$12:$I$102,4,0)&lt;&gt;""),IF(WEEKDAY(DA230-VLOOKUP($P230&amp;" | "&amp;CR$6,'Job Master'!$F$12:$I$102,4,0))&lt;&gt;7,DA230-VLOOKUP($P230&amp;" | "&amp;CR$6,'Job Master'!$F$12:$I$102,4,0),DA230-VLOOKUP($P230&amp;" | "&amp;CR$6,'Job Master'!$F$12:$I$102,4,0)-1),""),"")</f>
        <v/>
      </c>
      <c r="CU230" s="73"/>
      <c r="CV230" s="123" t="str">
        <f t="shared" si="423"/>
        <v/>
      </c>
      <c r="CW230" s="123" t="str">
        <f t="shared" si="424"/>
        <v/>
      </c>
      <c r="CX230" s="97" t="str">
        <f t="shared" ca="1" si="425"/>
        <v/>
      </c>
      <c r="CY230" s="98" t="str">
        <f>IF(DA230&lt;&gt;"",VLOOKUP($P230&amp;" | "&amp;CY$6,'Job Master'!$F$12:$J$102,5,0),"")</f>
        <v/>
      </c>
      <c r="CZ230" s="19" t="str">
        <f>IF(DA230&lt;&gt;"",VLOOKUP($P230&amp;" | "&amp;CY$6,'Job Master'!$F$12:$J$102,3,0),"")</f>
        <v/>
      </c>
      <c r="DA230" s="19" t="str">
        <f>IFERROR(IF(AND(DH230&lt;&gt;"",VLOOKUP($P230&amp;" | "&amp;CY$6,'Job Master'!$F$12:$I$102,4,0)&lt;&gt;""),IF(WEEKDAY(DH230-VLOOKUP($P230&amp;" | "&amp;CY$6,'Job Master'!$F$12:$I$102,4,0))&lt;&gt;7,DH230-VLOOKUP($P230&amp;" | "&amp;CY$6,'Job Master'!$F$12:$I$102,4,0),DH230-VLOOKUP($P230&amp;" | "&amp;CY$6,'Job Master'!$F$12:$I$102,4,0)-1),""),"")</f>
        <v/>
      </c>
      <c r="DB230" s="73"/>
      <c r="DC230" s="123" t="str">
        <f t="shared" si="426"/>
        <v/>
      </c>
      <c r="DD230" s="123" t="str">
        <f t="shared" si="427"/>
        <v/>
      </c>
      <c r="DE230" s="97" t="str">
        <f t="shared" ca="1" si="428"/>
        <v/>
      </c>
      <c r="DF230" s="98" t="str">
        <f>IF(DH230&lt;&gt;"",VLOOKUP($P230&amp;" | "&amp;DF$6,'Job Master'!$F$12:$J$102,5,0),"")</f>
        <v/>
      </c>
      <c r="DG230" s="19" t="str">
        <f>IF(DH230&lt;&gt;"",VLOOKUP($P230&amp;" | "&amp;DF$6,'Job Master'!$F$12:$J$102,3,0),"")</f>
        <v/>
      </c>
      <c r="DH230" s="19" t="str">
        <f>IFERROR(IF(AND(DO230&lt;&gt;"",VLOOKUP($P230&amp;" | "&amp;DF$6,'Job Master'!$F$12:$I$102,4,0)&lt;&gt;""),IF(WEEKDAY(DO230-VLOOKUP($P230&amp;" | "&amp;DF$6,'Job Master'!$F$12:$I$102,4,0))&lt;&gt;7,DO230-VLOOKUP($P230&amp;" | "&amp;DF$6,'Job Master'!$F$12:$I$102,4,0),DO230-VLOOKUP($P230&amp;" | "&amp;DF$6,'Job Master'!$F$12:$I$102,4,0)-1),""),"")</f>
        <v/>
      </c>
      <c r="DI230" s="73"/>
      <c r="DJ230" s="123" t="str">
        <f t="shared" si="429"/>
        <v/>
      </c>
      <c r="DK230" s="123" t="str">
        <f t="shared" si="430"/>
        <v/>
      </c>
      <c r="DL230" s="97" t="str">
        <f t="shared" ca="1" si="431"/>
        <v/>
      </c>
      <c r="DM230" s="98" t="str">
        <f>IF(DO230&lt;&gt;"",VLOOKUP($P230&amp;" | "&amp;DM$6,'Job Master'!$F$12:$J$102,5,0),"")</f>
        <v/>
      </c>
      <c r="DN230" s="19" t="str">
        <f>IF(DO230&lt;&gt;"",VLOOKUP($P230&amp;" | "&amp;DM$6,'Job Master'!$F$12:$J$102,3,0),"")</f>
        <v/>
      </c>
      <c r="DO230" s="19" t="str">
        <f>IFERROR(IF(AND(DT230&lt;&gt;"",VLOOKUP($P230&amp;" | "&amp;DM$6,'Job Master'!$F$12:$I$102,4,0)&lt;&gt;""),IF(WEEKDAY(DT230-VLOOKUP($P230&amp;" | "&amp;DM$6,'Job Master'!$F$12:$I$102,4,0))&lt;&gt;7,DT230-VLOOKUP($P230&amp;" | "&amp;DM$6,'Job Master'!$F$12:$I$102,4,0),DT230-VLOOKUP($P230&amp;" | "&amp;DM$6,'Job Master'!$F$12:$I$102,4,0)-1),""),"")</f>
        <v/>
      </c>
      <c r="DP230" s="73"/>
      <c r="DQ230" s="123" t="str">
        <f t="shared" si="432"/>
        <v/>
      </c>
      <c r="DR230" s="123" t="str">
        <f t="shared" si="433"/>
        <v/>
      </c>
      <c r="DS230" s="97" t="str">
        <f t="shared" ca="1" si="434"/>
        <v/>
      </c>
      <c r="DT230" s="70" t="str">
        <f t="shared" si="435"/>
        <v/>
      </c>
      <c r="DU230" s="90"/>
      <c r="DV230" s="123" t="str">
        <f t="shared" si="436"/>
        <v/>
      </c>
      <c r="DW230" s="123" t="str">
        <f t="shared" si="437"/>
        <v/>
      </c>
      <c r="DX230" s="132" t="str">
        <f t="shared" ref="DX230" ca="1" si="477">IF(DT230&lt;&gt;"",IF(WEEKNUM(DT230)=WEEKNUM(TODAY()),"This Week",IF(WEEKNUM(DT230)=WEEKNUM(TODAY())+1,"Next Week",IF(WEEKNUM(DT230)=WEEKNUM(TODAY())-1,"Previous Week",""))),"")</f>
        <v/>
      </c>
      <c r="DY230" s="134" t="str">
        <f t="shared" si="439"/>
        <v/>
      </c>
      <c r="DZ230" s="95"/>
      <c r="EB230" s="8" t="str">
        <f t="shared" si="445"/>
        <v/>
      </c>
      <c r="EC230" s="8" t="str">
        <f>IF(O230&lt;&gt;"",VLOOKUP(O230,'Job Master'!$N$12:$O$18,2,0),"")</f>
        <v/>
      </c>
      <c r="ED230" s="8">
        <f t="shared" si="446"/>
        <v>19.5</v>
      </c>
      <c r="EE230" s="8">
        <f t="shared" si="447"/>
        <v>6</v>
      </c>
      <c r="EF230" s="8">
        <f t="shared" si="448"/>
        <v>-1300.5</v>
      </c>
      <c r="EG230" s="8" t="str">
        <f t="shared" si="449"/>
        <v/>
      </c>
      <c r="EH230" s="8" t="str">
        <f t="shared" si="450"/>
        <v/>
      </c>
    </row>
    <row r="231" spans="2:138" x14ac:dyDescent="0.3">
      <c r="B231" s="112"/>
      <c r="C231" s="27"/>
      <c r="D231" s="7" t="str">
        <f t="shared" si="387"/>
        <v/>
      </c>
      <c r="E231" s="25"/>
      <c r="F231" s="7" t="str">
        <f t="shared" si="387"/>
        <v/>
      </c>
      <c r="G231" s="25"/>
      <c r="H231" s="7" t="str">
        <f t="shared" si="387"/>
        <v/>
      </c>
      <c r="I231" s="25"/>
      <c r="J231" s="7" t="str">
        <f t="shared" si="387"/>
        <v/>
      </c>
      <c r="K231" s="25"/>
      <c r="L231" s="7" t="str">
        <f t="shared" si="388"/>
        <v/>
      </c>
      <c r="M231" s="25"/>
      <c r="N231" s="7" t="str">
        <f t="shared" si="389"/>
        <v/>
      </c>
      <c r="O231" s="81"/>
      <c r="P231" s="81" t="str">
        <f t="shared" si="390"/>
        <v/>
      </c>
      <c r="Q231" s="81"/>
      <c r="R231" s="7" t="str">
        <f t="shared" si="391"/>
        <v/>
      </c>
      <c r="S231" s="25"/>
      <c r="T231" s="7" t="str">
        <f t="shared" si="392"/>
        <v/>
      </c>
      <c r="U231" s="25"/>
      <c r="V231" s="7" t="str">
        <f t="shared" si="393"/>
        <v/>
      </c>
      <c r="W231" s="25"/>
      <c r="X231" s="7" t="str">
        <f t="shared" si="394"/>
        <v/>
      </c>
      <c r="Y231" s="18" t="str">
        <f t="shared" si="395"/>
        <v/>
      </c>
      <c r="Z231" s="7" t="str">
        <f t="shared" si="396"/>
        <v/>
      </c>
      <c r="AA231" s="18" t="str">
        <f t="shared" si="397"/>
        <v/>
      </c>
      <c r="AB231" s="19" t="str">
        <f t="shared" si="398"/>
        <v/>
      </c>
      <c r="AC231" s="26"/>
      <c r="AD231" s="26"/>
      <c r="AE231" s="25"/>
      <c r="AF231" s="26"/>
      <c r="AG231" s="25"/>
      <c r="AH231" s="25"/>
      <c r="AI231" s="18" t="str">
        <f t="shared" si="461"/>
        <v/>
      </c>
      <c r="AJ231" s="25"/>
      <c r="AK231" s="18" t="str">
        <f t="shared" si="462"/>
        <v/>
      </c>
      <c r="AL231" s="79"/>
      <c r="AM231" s="126" t="str">
        <f t="shared" si="463"/>
        <v/>
      </c>
      <c r="AN231" s="128" t="str">
        <f>IF(AP231&lt;&gt;"",VLOOKUP($P231&amp;" | "&amp;AN$6,'Job Master'!$F$12:$J$102,5,0),"")</f>
        <v/>
      </c>
      <c r="AO231" s="19" t="str">
        <f>IF(AP231&lt;&gt;"",VLOOKUP($P231&amp;" | "&amp;AN$6,'Job Master'!$F$12:$J$102,3,0),"")</f>
        <v/>
      </c>
      <c r="AP231" s="19" t="str">
        <f>IFERROR(IF(AND(AW231&lt;&gt;"",VLOOKUP($P231&amp;" | "&amp;AN$6,'Job Master'!$F$12:$I$102,4,0)&lt;&gt;""),IF(WEEKDAY(AW231-VLOOKUP($P231&amp;" | "&amp;AN$6,'Job Master'!$F$12:$I$102,4,0))&lt;&gt;7,AW231-VLOOKUP($P231&amp;" | "&amp;AN$6,'Job Master'!$F$12:$I$102,4,0),AW231-VLOOKUP($P231&amp;" | "&amp;AN$6,'Job Master'!$F$12:$I$102,4,0)-1),""),"")</f>
        <v/>
      </c>
      <c r="AQ231" s="73"/>
      <c r="AR231" s="123" t="str">
        <f t="shared" si="399"/>
        <v/>
      </c>
      <c r="AS231" s="123" t="str">
        <f t="shared" si="400"/>
        <v/>
      </c>
      <c r="AT231" s="97" t="str">
        <f t="shared" ca="1" si="401"/>
        <v/>
      </c>
      <c r="AU231" s="98" t="str">
        <f>IF(AW231&lt;&gt;"",VLOOKUP($P231&amp;" | "&amp;AU$6,'Job Master'!$F$12:$J$102,5,0),"")</f>
        <v/>
      </c>
      <c r="AV231" s="19" t="str">
        <f>IF(AW231&lt;&gt;"",VLOOKUP($P231&amp;" | "&amp;AU$6,'Job Master'!$F$12:$J$102,3,0),"")</f>
        <v/>
      </c>
      <c r="AW231" s="19" t="str">
        <f>IFERROR(IF(AND(BD231&lt;&gt;"",VLOOKUP($P231&amp;" | "&amp;AU$6,'Job Master'!$F$12:$I$102,4,0)&lt;&gt;""),IF(WEEKDAY(BD231-VLOOKUP($P231&amp;" | "&amp;AU$6,'Job Master'!$F$12:$I$102,4,0))&lt;&gt;7,BD231-VLOOKUP($P231&amp;" | "&amp;AU$6,'Job Master'!$F$12:$I$102,4,0),BD231-VLOOKUP($P231&amp;" | "&amp;AU$6,'Job Master'!$F$12:$I$102,4,0)-1),""),"")</f>
        <v/>
      </c>
      <c r="AX231" s="73"/>
      <c r="AY231" s="123" t="str">
        <f t="shared" si="402"/>
        <v/>
      </c>
      <c r="AZ231" s="123" t="str">
        <f t="shared" si="403"/>
        <v/>
      </c>
      <c r="BA231" s="97" t="str">
        <f t="shared" ca="1" si="404"/>
        <v/>
      </c>
      <c r="BB231" s="98" t="str">
        <f>IF(BD231&lt;&gt;"",VLOOKUP($P231&amp;" | "&amp;BB$6,'Job Master'!$F$12:$J$102,5,0),"")</f>
        <v/>
      </c>
      <c r="BC231" s="19" t="str">
        <f>IF(BD231&lt;&gt;"",VLOOKUP($P231&amp;" | "&amp;BB$6,'Job Master'!$F$12:$J$102,3,0),"")</f>
        <v/>
      </c>
      <c r="BD231" s="19" t="str">
        <f>IFERROR(IF(AND(BK231&lt;&gt;"",VLOOKUP($P231&amp;" | "&amp;BB$6,'Job Master'!$F$12:$I$102,4,0)&lt;&gt;""),IF(WEEKDAY(BK231-VLOOKUP($P231&amp;" | "&amp;BB$6,'Job Master'!$F$12:$I$102,4,0))&lt;&gt;7,BK231-VLOOKUP($P231&amp;" | "&amp;BB$6,'Job Master'!$F$12:$I$102,4,0),BK231-VLOOKUP($P231&amp;" | "&amp;BB$6,'Job Master'!$F$12:$I$102,4,0)-1),""),"")</f>
        <v/>
      </c>
      <c r="BE231" s="73"/>
      <c r="BF231" s="123" t="str">
        <f t="shared" si="405"/>
        <v/>
      </c>
      <c r="BG231" s="123" t="str">
        <f t="shared" si="406"/>
        <v/>
      </c>
      <c r="BH231" s="97" t="str">
        <f t="shared" ca="1" si="407"/>
        <v/>
      </c>
      <c r="BI231" s="98" t="str">
        <f>IF(BK231&lt;&gt;"",VLOOKUP($P231&amp;" | "&amp;BI$6,'Job Master'!$F$12:$J$102,5,0),"")</f>
        <v/>
      </c>
      <c r="BJ231" s="19" t="str">
        <f>IF(BK231&lt;&gt;"",VLOOKUP($P231&amp;" | "&amp;BI$6,'Job Master'!$F$12:$J$102,3,0),"")</f>
        <v/>
      </c>
      <c r="BK231" s="19" t="str">
        <f>IFERROR(IF(AND(BR231&lt;&gt;"",VLOOKUP($P231&amp;" | "&amp;BI$6,'Job Master'!$F$12:$I$102,4,0)&lt;&gt;""),IF(WEEKDAY(BR231-VLOOKUP($P231&amp;" | "&amp;BI$6,'Job Master'!$F$12:$I$102,4,0))&lt;&gt;7,BR231-VLOOKUP($P231&amp;" | "&amp;BI$6,'Job Master'!$F$12:$I$102,4,0),BR231-VLOOKUP($P231&amp;" | "&amp;BI$6,'Job Master'!$F$12:$I$102,4,0)-1),""),"")</f>
        <v/>
      </c>
      <c r="BL231" s="73"/>
      <c r="BM231" s="123" t="str">
        <f t="shared" si="408"/>
        <v/>
      </c>
      <c r="BN231" s="123" t="str">
        <f t="shared" si="409"/>
        <v/>
      </c>
      <c r="BO231" s="97" t="str">
        <f t="shared" ca="1" si="410"/>
        <v/>
      </c>
      <c r="BP231" s="98" t="str">
        <f>IF(BR231&lt;&gt;"",VLOOKUP($P231&amp;" | "&amp;BP$6,'Job Master'!$F$12:$J$102,5,0),"")</f>
        <v/>
      </c>
      <c r="BQ231" s="19" t="str">
        <f>IF(BR231&lt;&gt;"",VLOOKUP($P231&amp;" | "&amp;BP$6,'Job Master'!$F$12:$J$102,3,0),"")</f>
        <v/>
      </c>
      <c r="BR231" s="19" t="str">
        <f>IFERROR(IF(AND(BY231&lt;&gt;"",VLOOKUP($P231&amp;" | "&amp;BP$6,'Job Master'!$F$12:$I$102,4,0)&lt;&gt;""),IF(WEEKDAY(BY231-VLOOKUP($P231&amp;" | "&amp;BP$6,'Job Master'!$F$12:$I$102,4,0))&lt;&gt;7,BY231-VLOOKUP($P231&amp;" | "&amp;BP$6,'Job Master'!$F$12:$I$102,4,0),BY231-VLOOKUP($P231&amp;" | "&amp;BP$6,'Job Master'!$F$12:$I$102,4,0)-1),""),"")</f>
        <v/>
      </c>
      <c r="BS231" s="73"/>
      <c r="BT231" s="123" t="str">
        <f t="shared" si="411"/>
        <v/>
      </c>
      <c r="BU231" s="123" t="str">
        <f t="shared" si="412"/>
        <v/>
      </c>
      <c r="BV231" s="97" t="str">
        <f t="shared" ca="1" si="413"/>
        <v/>
      </c>
      <c r="BW231" s="98" t="str">
        <f>IF(BY231&lt;&gt;"",VLOOKUP($P231&amp;" | "&amp;BW$6,'Job Master'!$F$12:$J$102,5,0),"")</f>
        <v/>
      </c>
      <c r="BX231" s="19" t="str">
        <f>IF(BY231&lt;&gt;"",VLOOKUP($P231&amp;" | "&amp;BW$6,'Job Master'!$F$12:$J$102,3,0),"")</f>
        <v/>
      </c>
      <c r="BY231" s="19" t="str">
        <f>IFERROR(IF(AND(CF231&lt;&gt;"",VLOOKUP($P231&amp;" | "&amp;BW$6,'Job Master'!$F$12:$I$102,4,0)&lt;&gt;""),IF(WEEKDAY(CF231-VLOOKUP($P231&amp;" | "&amp;BW$6,'Job Master'!$F$12:$I$102,4,0))&lt;&gt;7,CF231-VLOOKUP($P231&amp;" | "&amp;BW$6,'Job Master'!$F$12:$I$102,4,0),CF231-VLOOKUP($P231&amp;" | "&amp;BW$6,'Job Master'!$F$12:$I$102,4,0)-1),""),"")</f>
        <v/>
      </c>
      <c r="BZ231" s="73"/>
      <c r="CA231" s="123" t="str">
        <f t="shared" si="414"/>
        <v/>
      </c>
      <c r="CB231" s="123" t="str">
        <f t="shared" si="415"/>
        <v/>
      </c>
      <c r="CC231" s="97" t="str">
        <f t="shared" ca="1" si="416"/>
        <v/>
      </c>
      <c r="CD231" s="98" t="str">
        <f>IF(CF231&lt;&gt;"",VLOOKUP($P231&amp;" | "&amp;CD$6,'Job Master'!$F$12:$J$102,5,0),"")</f>
        <v/>
      </c>
      <c r="CE231" s="19" t="str">
        <f>IF(CF231&lt;&gt;"",VLOOKUP($P231&amp;" | "&amp;CD$6,'Job Master'!$F$12:$J$102,3,0),"")</f>
        <v/>
      </c>
      <c r="CF231" s="19" t="str">
        <f>IFERROR(IF(AND(CM231&lt;&gt;"",VLOOKUP($P231&amp;" | "&amp;CD$6,'Job Master'!$F$12:$I$102,4,0)&lt;&gt;""),IF(WEEKDAY(CM231-VLOOKUP($P231&amp;" | "&amp;CD$6,'Job Master'!$F$12:$I$102,4,0))&lt;&gt;7,CM231-VLOOKUP($P231&amp;" | "&amp;CD$6,'Job Master'!$F$12:$I$102,4,0),CM231-VLOOKUP($P231&amp;" | "&amp;CD$6,'Job Master'!$F$12:$I$102,4,0)-1),""),"")</f>
        <v/>
      </c>
      <c r="CG231" s="73"/>
      <c r="CH231" s="123" t="str">
        <f t="shared" si="417"/>
        <v/>
      </c>
      <c r="CI231" s="123" t="str">
        <f t="shared" si="418"/>
        <v/>
      </c>
      <c r="CJ231" s="97" t="str">
        <f t="shared" ca="1" si="419"/>
        <v/>
      </c>
      <c r="CK231" s="98" t="str">
        <f>IF(CM231&lt;&gt;"",VLOOKUP($P231&amp;" | "&amp;CK$6,'Job Master'!$F$12:$J$102,5,0),"")</f>
        <v/>
      </c>
      <c r="CL231" s="19" t="str">
        <f>IF(CM231&lt;&gt;"",VLOOKUP($P231&amp;" | "&amp;CK$6,'Job Master'!$F$12:$J$102,3,0),"")</f>
        <v/>
      </c>
      <c r="CM231" s="19" t="str">
        <f>IFERROR(IF(AND(CT231&lt;&gt;"",VLOOKUP($P231&amp;" | "&amp;CK$6,'Job Master'!$F$12:$I$102,4,0)&lt;&gt;""),IF(WEEKDAY(CT231-VLOOKUP($P231&amp;" | "&amp;CK$6,'Job Master'!$F$12:$I$102,4,0))&lt;&gt;7,CT231-VLOOKUP($P231&amp;" | "&amp;CK$6,'Job Master'!$F$12:$I$102,4,0),CT231-VLOOKUP($P231&amp;" | "&amp;CK$6,'Job Master'!$F$12:$I$102,4,0)-1),""),"")</f>
        <v/>
      </c>
      <c r="CN231" s="73"/>
      <c r="CO231" s="123" t="str">
        <f t="shared" si="420"/>
        <v/>
      </c>
      <c r="CP231" s="123" t="str">
        <f t="shared" si="421"/>
        <v/>
      </c>
      <c r="CQ231" s="97" t="str">
        <f t="shared" ca="1" si="422"/>
        <v/>
      </c>
      <c r="CR231" s="98" t="str">
        <f>IF(CT231&lt;&gt;"",VLOOKUP($P231&amp;" | "&amp;CR$6,'Job Master'!$F$12:$J$102,5,0),"")</f>
        <v/>
      </c>
      <c r="CS231" s="19" t="str">
        <f>IF(CT231&lt;&gt;"",VLOOKUP($P231&amp;" | "&amp;CR$6,'Job Master'!$F$12:$J$102,3,0),"")</f>
        <v/>
      </c>
      <c r="CT231" s="19" t="str">
        <f>IFERROR(IF(AND(DA231&lt;&gt;"",VLOOKUP($P231&amp;" | "&amp;CR$6,'Job Master'!$F$12:$I$102,4,0)&lt;&gt;""),IF(WEEKDAY(DA231-VLOOKUP($P231&amp;" | "&amp;CR$6,'Job Master'!$F$12:$I$102,4,0))&lt;&gt;7,DA231-VLOOKUP($P231&amp;" | "&amp;CR$6,'Job Master'!$F$12:$I$102,4,0),DA231-VLOOKUP($P231&amp;" | "&amp;CR$6,'Job Master'!$F$12:$I$102,4,0)-1),""),"")</f>
        <v/>
      </c>
      <c r="CU231" s="73"/>
      <c r="CV231" s="123" t="str">
        <f t="shared" si="423"/>
        <v/>
      </c>
      <c r="CW231" s="123" t="str">
        <f t="shared" si="424"/>
        <v/>
      </c>
      <c r="CX231" s="97" t="str">
        <f t="shared" ca="1" si="425"/>
        <v/>
      </c>
      <c r="CY231" s="98" t="str">
        <f>IF(DA231&lt;&gt;"",VLOOKUP($P231&amp;" | "&amp;CY$6,'Job Master'!$F$12:$J$102,5,0),"")</f>
        <v/>
      </c>
      <c r="CZ231" s="19" t="str">
        <f>IF(DA231&lt;&gt;"",VLOOKUP($P231&amp;" | "&amp;CY$6,'Job Master'!$F$12:$J$102,3,0),"")</f>
        <v/>
      </c>
      <c r="DA231" s="19" t="str">
        <f>IFERROR(IF(AND(DH231&lt;&gt;"",VLOOKUP($P231&amp;" | "&amp;CY$6,'Job Master'!$F$12:$I$102,4,0)&lt;&gt;""),IF(WEEKDAY(DH231-VLOOKUP($P231&amp;" | "&amp;CY$6,'Job Master'!$F$12:$I$102,4,0))&lt;&gt;7,DH231-VLOOKUP($P231&amp;" | "&amp;CY$6,'Job Master'!$F$12:$I$102,4,0),DH231-VLOOKUP($P231&amp;" | "&amp;CY$6,'Job Master'!$F$12:$I$102,4,0)-1),""),"")</f>
        <v/>
      </c>
      <c r="DB231" s="73"/>
      <c r="DC231" s="123" t="str">
        <f t="shared" si="426"/>
        <v/>
      </c>
      <c r="DD231" s="123" t="str">
        <f t="shared" si="427"/>
        <v/>
      </c>
      <c r="DE231" s="97" t="str">
        <f t="shared" ca="1" si="428"/>
        <v/>
      </c>
      <c r="DF231" s="98" t="str">
        <f>IF(DH231&lt;&gt;"",VLOOKUP($P231&amp;" | "&amp;DF$6,'Job Master'!$F$12:$J$102,5,0),"")</f>
        <v/>
      </c>
      <c r="DG231" s="19" t="str">
        <f>IF(DH231&lt;&gt;"",VLOOKUP($P231&amp;" | "&amp;DF$6,'Job Master'!$F$12:$J$102,3,0),"")</f>
        <v/>
      </c>
      <c r="DH231" s="19" t="str">
        <f>IFERROR(IF(AND(DO231&lt;&gt;"",VLOOKUP($P231&amp;" | "&amp;DF$6,'Job Master'!$F$12:$I$102,4,0)&lt;&gt;""),IF(WEEKDAY(DO231-VLOOKUP($P231&amp;" | "&amp;DF$6,'Job Master'!$F$12:$I$102,4,0))&lt;&gt;7,DO231-VLOOKUP($P231&amp;" | "&amp;DF$6,'Job Master'!$F$12:$I$102,4,0),DO231-VLOOKUP($P231&amp;" | "&amp;DF$6,'Job Master'!$F$12:$I$102,4,0)-1),""),"")</f>
        <v/>
      </c>
      <c r="DI231" s="73"/>
      <c r="DJ231" s="123" t="str">
        <f t="shared" si="429"/>
        <v/>
      </c>
      <c r="DK231" s="123" t="str">
        <f t="shared" si="430"/>
        <v/>
      </c>
      <c r="DL231" s="97" t="str">
        <f t="shared" ca="1" si="431"/>
        <v/>
      </c>
      <c r="DM231" s="98" t="str">
        <f>IF(DO231&lt;&gt;"",VLOOKUP($P231&amp;" | "&amp;DM$6,'Job Master'!$F$12:$J$102,5,0),"")</f>
        <v/>
      </c>
      <c r="DN231" s="19" t="str">
        <f>IF(DO231&lt;&gt;"",VLOOKUP($P231&amp;" | "&amp;DM$6,'Job Master'!$F$12:$J$102,3,0),"")</f>
        <v/>
      </c>
      <c r="DO231" s="19" t="str">
        <f>IFERROR(IF(AND(DT231&lt;&gt;"",VLOOKUP($P231&amp;" | "&amp;DM$6,'Job Master'!$F$12:$I$102,4,0)&lt;&gt;""),IF(WEEKDAY(DT231-VLOOKUP($P231&amp;" | "&amp;DM$6,'Job Master'!$F$12:$I$102,4,0))&lt;&gt;7,DT231-VLOOKUP($P231&amp;" | "&amp;DM$6,'Job Master'!$F$12:$I$102,4,0),DT231-VLOOKUP($P231&amp;" | "&amp;DM$6,'Job Master'!$F$12:$I$102,4,0)-1),""),"")</f>
        <v/>
      </c>
      <c r="DP231" s="73"/>
      <c r="DQ231" s="123" t="str">
        <f t="shared" si="432"/>
        <v/>
      </c>
      <c r="DR231" s="123" t="str">
        <f t="shared" si="433"/>
        <v/>
      </c>
      <c r="DS231" s="97" t="str">
        <f t="shared" ca="1" si="434"/>
        <v/>
      </c>
      <c r="DT231" s="70" t="str">
        <f t="shared" si="435"/>
        <v/>
      </c>
      <c r="DU231" s="90"/>
      <c r="DV231" s="123" t="str">
        <f t="shared" si="436"/>
        <v/>
      </c>
      <c r="DW231" s="123" t="str">
        <f t="shared" si="437"/>
        <v/>
      </c>
      <c r="DX231" s="132" t="str">
        <f t="shared" ref="DX231" ca="1" si="478">IF(DT231&lt;&gt;"",IF(WEEKNUM(DT231)=WEEKNUM(TODAY()),"This Week",IF(WEEKNUM(DT231)=WEEKNUM(TODAY())+1,"Next Week",IF(WEEKNUM(DT231)=WEEKNUM(TODAY())-1,"Previous Week",""))),"")</f>
        <v/>
      </c>
      <c r="DY231" s="134" t="str">
        <f t="shared" si="439"/>
        <v/>
      </c>
      <c r="DZ231" s="95"/>
      <c r="EB231" s="8" t="str">
        <f t="shared" si="445"/>
        <v/>
      </c>
      <c r="EC231" s="8" t="str">
        <f>IF(O231&lt;&gt;"",VLOOKUP(O231,'Job Master'!$N$12:$O$18,2,0),"")</f>
        <v/>
      </c>
      <c r="ED231" s="8">
        <f t="shared" si="446"/>
        <v>19.5</v>
      </c>
      <c r="EE231" s="8">
        <f t="shared" si="447"/>
        <v>6</v>
      </c>
      <c r="EF231" s="8">
        <f t="shared" si="448"/>
        <v>-1306.5</v>
      </c>
      <c r="EG231" s="8" t="str">
        <f t="shared" si="449"/>
        <v/>
      </c>
      <c r="EH231" s="8" t="str">
        <f t="shared" si="450"/>
        <v/>
      </c>
    </row>
    <row r="232" spans="2:138" x14ac:dyDescent="0.3">
      <c r="B232" s="112"/>
      <c r="C232" s="27"/>
      <c r="D232" s="7" t="str">
        <f t="shared" si="387"/>
        <v/>
      </c>
      <c r="E232" s="25"/>
      <c r="F232" s="7" t="str">
        <f t="shared" si="387"/>
        <v/>
      </c>
      <c r="G232" s="25"/>
      <c r="H232" s="7" t="str">
        <f t="shared" si="387"/>
        <v/>
      </c>
      <c r="I232" s="25"/>
      <c r="J232" s="7" t="str">
        <f t="shared" si="387"/>
        <v/>
      </c>
      <c r="K232" s="25"/>
      <c r="L232" s="7" t="str">
        <f t="shared" si="388"/>
        <v/>
      </c>
      <c r="M232" s="25"/>
      <c r="N232" s="7" t="str">
        <f t="shared" si="389"/>
        <v/>
      </c>
      <c r="O232" s="81"/>
      <c r="P232" s="81" t="str">
        <f t="shared" si="390"/>
        <v/>
      </c>
      <c r="Q232" s="81"/>
      <c r="R232" s="7" t="str">
        <f t="shared" si="391"/>
        <v/>
      </c>
      <c r="S232" s="25"/>
      <c r="T232" s="7" t="str">
        <f t="shared" si="392"/>
        <v/>
      </c>
      <c r="U232" s="25"/>
      <c r="V232" s="7" t="str">
        <f t="shared" si="393"/>
        <v/>
      </c>
      <c r="W232" s="25"/>
      <c r="X232" s="7" t="str">
        <f t="shared" si="394"/>
        <v/>
      </c>
      <c r="Y232" s="18" t="str">
        <f t="shared" si="395"/>
        <v/>
      </c>
      <c r="Z232" s="7" t="str">
        <f t="shared" si="396"/>
        <v/>
      </c>
      <c r="AA232" s="18" t="str">
        <f t="shared" si="397"/>
        <v/>
      </c>
      <c r="AB232" s="19" t="str">
        <f t="shared" si="398"/>
        <v/>
      </c>
      <c r="AC232" s="26"/>
      <c r="AD232" s="26"/>
      <c r="AE232" s="25"/>
      <c r="AF232" s="26"/>
      <c r="AG232" s="25"/>
      <c r="AH232" s="25"/>
      <c r="AI232" s="18" t="str">
        <f t="shared" si="461"/>
        <v/>
      </c>
      <c r="AJ232" s="25"/>
      <c r="AK232" s="18" t="str">
        <f t="shared" si="462"/>
        <v/>
      </c>
      <c r="AL232" s="79"/>
      <c r="AM232" s="126" t="str">
        <f t="shared" si="463"/>
        <v/>
      </c>
      <c r="AN232" s="128" t="str">
        <f>IF(AP232&lt;&gt;"",VLOOKUP($P232&amp;" | "&amp;AN$6,'Job Master'!$F$12:$J$102,5,0),"")</f>
        <v/>
      </c>
      <c r="AO232" s="19" t="str">
        <f>IF(AP232&lt;&gt;"",VLOOKUP($P232&amp;" | "&amp;AN$6,'Job Master'!$F$12:$J$102,3,0),"")</f>
        <v/>
      </c>
      <c r="AP232" s="19" t="str">
        <f>IFERROR(IF(AND(AW232&lt;&gt;"",VLOOKUP($P232&amp;" | "&amp;AN$6,'Job Master'!$F$12:$I$102,4,0)&lt;&gt;""),IF(WEEKDAY(AW232-VLOOKUP($P232&amp;" | "&amp;AN$6,'Job Master'!$F$12:$I$102,4,0))&lt;&gt;7,AW232-VLOOKUP($P232&amp;" | "&amp;AN$6,'Job Master'!$F$12:$I$102,4,0),AW232-VLOOKUP($P232&amp;" | "&amp;AN$6,'Job Master'!$F$12:$I$102,4,0)-1),""),"")</f>
        <v/>
      </c>
      <c r="AQ232" s="73"/>
      <c r="AR232" s="123" t="str">
        <f t="shared" si="399"/>
        <v/>
      </c>
      <c r="AS232" s="123" t="str">
        <f t="shared" si="400"/>
        <v/>
      </c>
      <c r="AT232" s="97" t="str">
        <f t="shared" ca="1" si="401"/>
        <v/>
      </c>
      <c r="AU232" s="98" t="str">
        <f>IF(AW232&lt;&gt;"",VLOOKUP($P232&amp;" | "&amp;AU$6,'Job Master'!$F$12:$J$102,5,0),"")</f>
        <v/>
      </c>
      <c r="AV232" s="19" t="str">
        <f>IF(AW232&lt;&gt;"",VLOOKUP($P232&amp;" | "&amp;AU$6,'Job Master'!$F$12:$J$102,3,0),"")</f>
        <v/>
      </c>
      <c r="AW232" s="19" t="str">
        <f>IFERROR(IF(AND(BD232&lt;&gt;"",VLOOKUP($P232&amp;" | "&amp;AU$6,'Job Master'!$F$12:$I$102,4,0)&lt;&gt;""),IF(WEEKDAY(BD232-VLOOKUP($P232&amp;" | "&amp;AU$6,'Job Master'!$F$12:$I$102,4,0))&lt;&gt;7,BD232-VLOOKUP($P232&amp;" | "&amp;AU$6,'Job Master'!$F$12:$I$102,4,0),BD232-VLOOKUP($P232&amp;" | "&amp;AU$6,'Job Master'!$F$12:$I$102,4,0)-1),""),"")</f>
        <v/>
      </c>
      <c r="AX232" s="73"/>
      <c r="AY232" s="123" t="str">
        <f t="shared" si="402"/>
        <v/>
      </c>
      <c r="AZ232" s="123" t="str">
        <f t="shared" si="403"/>
        <v/>
      </c>
      <c r="BA232" s="97" t="str">
        <f t="shared" ca="1" si="404"/>
        <v/>
      </c>
      <c r="BB232" s="98" t="str">
        <f>IF(BD232&lt;&gt;"",VLOOKUP($P232&amp;" | "&amp;BB$6,'Job Master'!$F$12:$J$102,5,0),"")</f>
        <v/>
      </c>
      <c r="BC232" s="19" t="str">
        <f>IF(BD232&lt;&gt;"",VLOOKUP($P232&amp;" | "&amp;BB$6,'Job Master'!$F$12:$J$102,3,0),"")</f>
        <v/>
      </c>
      <c r="BD232" s="19" t="str">
        <f>IFERROR(IF(AND(BK232&lt;&gt;"",VLOOKUP($P232&amp;" | "&amp;BB$6,'Job Master'!$F$12:$I$102,4,0)&lt;&gt;""),IF(WEEKDAY(BK232-VLOOKUP($P232&amp;" | "&amp;BB$6,'Job Master'!$F$12:$I$102,4,0))&lt;&gt;7,BK232-VLOOKUP($P232&amp;" | "&amp;BB$6,'Job Master'!$F$12:$I$102,4,0),BK232-VLOOKUP($P232&amp;" | "&amp;BB$6,'Job Master'!$F$12:$I$102,4,0)-1),""),"")</f>
        <v/>
      </c>
      <c r="BE232" s="73"/>
      <c r="BF232" s="123" t="str">
        <f t="shared" si="405"/>
        <v/>
      </c>
      <c r="BG232" s="123" t="str">
        <f t="shared" si="406"/>
        <v/>
      </c>
      <c r="BH232" s="97" t="str">
        <f t="shared" ca="1" si="407"/>
        <v/>
      </c>
      <c r="BI232" s="98" t="str">
        <f>IF(BK232&lt;&gt;"",VLOOKUP($P232&amp;" | "&amp;BI$6,'Job Master'!$F$12:$J$102,5,0),"")</f>
        <v/>
      </c>
      <c r="BJ232" s="19" t="str">
        <f>IF(BK232&lt;&gt;"",VLOOKUP($P232&amp;" | "&amp;BI$6,'Job Master'!$F$12:$J$102,3,0),"")</f>
        <v/>
      </c>
      <c r="BK232" s="19" t="str">
        <f>IFERROR(IF(AND(BR232&lt;&gt;"",VLOOKUP($P232&amp;" | "&amp;BI$6,'Job Master'!$F$12:$I$102,4,0)&lt;&gt;""),IF(WEEKDAY(BR232-VLOOKUP($P232&amp;" | "&amp;BI$6,'Job Master'!$F$12:$I$102,4,0))&lt;&gt;7,BR232-VLOOKUP($P232&amp;" | "&amp;BI$6,'Job Master'!$F$12:$I$102,4,0),BR232-VLOOKUP($P232&amp;" | "&amp;BI$6,'Job Master'!$F$12:$I$102,4,0)-1),""),"")</f>
        <v/>
      </c>
      <c r="BL232" s="73"/>
      <c r="BM232" s="123" t="str">
        <f t="shared" si="408"/>
        <v/>
      </c>
      <c r="BN232" s="123" t="str">
        <f t="shared" si="409"/>
        <v/>
      </c>
      <c r="BO232" s="97" t="str">
        <f t="shared" ca="1" si="410"/>
        <v/>
      </c>
      <c r="BP232" s="98" t="str">
        <f>IF(BR232&lt;&gt;"",VLOOKUP($P232&amp;" | "&amp;BP$6,'Job Master'!$F$12:$J$102,5,0),"")</f>
        <v/>
      </c>
      <c r="BQ232" s="19" t="str">
        <f>IF(BR232&lt;&gt;"",VLOOKUP($P232&amp;" | "&amp;BP$6,'Job Master'!$F$12:$J$102,3,0),"")</f>
        <v/>
      </c>
      <c r="BR232" s="19" t="str">
        <f>IFERROR(IF(AND(BY232&lt;&gt;"",VLOOKUP($P232&amp;" | "&amp;BP$6,'Job Master'!$F$12:$I$102,4,0)&lt;&gt;""),IF(WEEKDAY(BY232-VLOOKUP($P232&amp;" | "&amp;BP$6,'Job Master'!$F$12:$I$102,4,0))&lt;&gt;7,BY232-VLOOKUP($P232&amp;" | "&amp;BP$6,'Job Master'!$F$12:$I$102,4,0),BY232-VLOOKUP($P232&amp;" | "&amp;BP$6,'Job Master'!$F$12:$I$102,4,0)-1),""),"")</f>
        <v/>
      </c>
      <c r="BS232" s="73"/>
      <c r="BT232" s="123" t="str">
        <f t="shared" si="411"/>
        <v/>
      </c>
      <c r="BU232" s="123" t="str">
        <f t="shared" si="412"/>
        <v/>
      </c>
      <c r="BV232" s="97" t="str">
        <f t="shared" ca="1" si="413"/>
        <v/>
      </c>
      <c r="BW232" s="98" t="str">
        <f>IF(BY232&lt;&gt;"",VLOOKUP($P232&amp;" | "&amp;BW$6,'Job Master'!$F$12:$J$102,5,0),"")</f>
        <v/>
      </c>
      <c r="BX232" s="19" t="str">
        <f>IF(BY232&lt;&gt;"",VLOOKUP($P232&amp;" | "&amp;BW$6,'Job Master'!$F$12:$J$102,3,0),"")</f>
        <v/>
      </c>
      <c r="BY232" s="19" t="str">
        <f>IFERROR(IF(AND(CF232&lt;&gt;"",VLOOKUP($P232&amp;" | "&amp;BW$6,'Job Master'!$F$12:$I$102,4,0)&lt;&gt;""),IF(WEEKDAY(CF232-VLOOKUP($P232&amp;" | "&amp;BW$6,'Job Master'!$F$12:$I$102,4,0))&lt;&gt;7,CF232-VLOOKUP($P232&amp;" | "&amp;BW$6,'Job Master'!$F$12:$I$102,4,0),CF232-VLOOKUP($P232&amp;" | "&amp;BW$6,'Job Master'!$F$12:$I$102,4,0)-1),""),"")</f>
        <v/>
      </c>
      <c r="BZ232" s="73"/>
      <c r="CA232" s="123" t="str">
        <f t="shared" si="414"/>
        <v/>
      </c>
      <c r="CB232" s="123" t="str">
        <f t="shared" si="415"/>
        <v/>
      </c>
      <c r="CC232" s="97" t="str">
        <f t="shared" ca="1" si="416"/>
        <v/>
      </c>
      <c r="CD232" s="98" t="str">
        <f>IF(CF232&lt;&gt;"",VLOOKUP($P232&amp;" | "&amp;CD$6,'Job Master'!$F$12:$J$102,5,0),"")</f>
        <v/>
      </c>
      <c r="CE232" s="19" t="str">
        <f>IF(CF232&lt;&gt;"",VLOOKUP($P232&amp;" | "&amp;CD$6,'Job Master'!$F$12:$J$102,3,0),"")</f>
        <v/>
      </c>
      <c r="CF232" s="19" t="str">
        <f>IFERROR(IF(AND(CM232&lt;&gt;"",VLOOKUP($P232&amp;" | "&amp;CD$6,'Job Master'!$F$12:$I$102,4,0)&lt;&gt;""),IF(WEEKDAY(CM232-VLOOKUP($P232&amp;" | "&amp;CD$6,'Job Master'!$F$12:$I$102,4,0))&lt;&gt;7,CM232-VLOOKUP($P232&amp;" | "&amp;CD$6,'Job Master'!$F$12:$I$102,4,0),CM232-VLOOKUP($P232&amp;" | "&amp;CD$6,'Job Master'!$F$12:$I$102,4,0)-1),""),"")</f>
        <v/>
      </c>
      <c r="CG232" s="73"/>
      <c r="CH232" s="123" t="str">
        <f t="shared" si="417"/>
        <v/>
      </c>
      <c r="CI232" s="123" t="str">
        <f t="shared" si="418"/>
        <v/>
      </c>
      <c r="CJ232" s="97" t="str">
        <f t="shared" ca="1" si="419"/>
        <v/>
      </c>
      <c r="CK232" s="98" t="str">
        <f>IF(CM232&lt;&gt;"",VLOOKUP($P232&amp;" | "&amp;CK$6,'Job Master'!$F$12:$J$102,5,0),"")</f>
        <v/>
      </c>
      <c r="CL232" s="19" t="str">
        <f>IF(CM232&lt;&gt;"",VLOOKUP($P232&amp;" | "&amp;CK$6,'Job Master'!$F$12:$J$102,3,0),"")</f>
        <v/>
      </c>
      <c r="CM232" s="19" t="str">
        <f>IFERROR(IF(AND(CT232&lt;&gt;"",VLOOKUP($P232&amp;" | "&amp;CK$6,'Job Master'!$F$12:$I$102,4,0)&lt;&gt;""),IF(WEEKDAY(CT232-VLOOKUP($P232&amp;" | "&amp;CK$6,'Job Master'!$F$12:$I$102,4,0))&lt;&gt;7,CT232-VLOOKUP($P232&amp;" | "&amp;CK$6,'Job Master'!$F$12:$I$102,4,0),CT232-VLOOKUP($P232&amp;" | "&amp;CK$6,'Job Master'!$F$12:$I$102,4,0)-1),""),"")</f>
        <v/>
      </c>
      <c r="CN232" s="73"/>
      <c r="CO232" s="123" t="str">
        <f t="shared" si="420"/>
        <v/>
      </c>
      <c r="CP232" s="123" t="str">
        <f t="shared" si="421"/>
        <v/>
      </c>
      <c r="CQ232" s="97" t="str">
        <f t="shared" ca="1" si="422"/>
        <v/>
      </c>
      <c r="CR232" s="98" t="str">
        <f>IF(CT232&lt;&gt;"",VLOOKUP($P232&amp;" | "&amp;CR$6,'Job Master'!$F$12:$J$102,5,0),"")</f>
        <v/>
      </c>
      <c r="CS232" s="19" t="str">
        <f>IF(CT232&lt;&gt;"",VLOOKUP($P232&amp;" | "&amp;CR$6,'Job Master'!$F$12:$J$102,3,0),"")</f>
        <v/>
      </c>
      <c r="CT232" s="19" t="str">
        <f>IFERROR(IF(AND(DA232&lt;&gt;"",VLOOKUP($P232&amp;" | "&amp;CR$6,'Job Master'!$F$12:$I$102,4,0)&lt;&gt;""),IF(WEEKDAY(DA232-VLOOKUP($P232&amp;" | "&amp;CR$6,'Job Master'!$F$12:$I$102,4,0))&lt;&gt;7,DA232-VLOOKUP($P232&amp;" | "&amp;CR$6,'Job Master'!$F$12:$I$102,4,0),DA232-VLOOKUP($P232&amp;" | "&amp;CR$6,'Job Master'!$F$12:$I$102,4,0)-1),""),"")</f>
        <v/>
      </c>
      <c r="CU232" s="73"/>
      <c r="CV232" s="123" t="str">
        <f t="shared" si="423"/>
        <v/>
      </c>
      <c r="CW232" s="123" t="str">
        <f t="shared" si="424"/>
        <v/>
      </c>
      <c r="CX232" s="97" t="str">
        <f t="shared" ca="1" si="425"/>
        <v/>
      </c>
      <c r="CY232" s="98" t="str">
        <f>IF(DA232&lt;&gt;"",VLOOKUP($P232&amp;" | "&amp;CY$6,'Job Master'!$F$12:$J$102,5,0),"")</f>
        <v/>
      </c>
      <c r="CZ232" s="19" t="str">
        <f>IF(DA232&lt;&gt;"",VLOOKUP($P232&amp;" | "&amp;CY$6,'Job Master'!$F$12:$J$102,3,0),"")</f>
        <v/>
      </c>
      <c r="DA232" s="19" t="str">
        <f>IFERROR(IF(AND(DH232&lt;&gt;"",VLOOKUP($P232&amp;" | "&amp;CY$6,'Job Master'!$F$12:$I$102,4,0)&lt;&gt;""),IF(WEEKDAY(DH232-VLOOKUP($P232&amp;" | "&amp;CY$6,'Job Master'!$F$12:$I$102,4,0))&lt;&gt;7,DH232-VLOOKUP($P232&amp;" | "&amp;CY$6,'Job Master'!$F$12:$I$102,4,0),DH232-VLOOKUP($P232&amp;" | "&amp;CY$6,'Job Master'!$F$12:$I$102,4,0)-1),""),"")</f>
        <v/>
      </c>
      <c r="DB232" s="73"/>
      <c r="DC232" s="123" t="str">
        <f t="shared" si="426"/>
        <v/>
      </c>
      <c r="DD232" s="123" t="str">
        <f t="shared" si="427"/>
        <v/>
      </c>
      <c r="DE232" s="97" t="str">
        <f t="shared" ca="1" si="428"/>
        <v/>
      </c>
      <c r="DF232" s="98" t="str">
        <f>IF(DH232&lt;&gt;"",VLOOKUP($P232&amp;" | "&amp;DF$6,'Job Master'!$F$12:$J$102,5,0),"")</f>
        <v/>
      </c>
      <c r="DG232" s="19" t="str">
        <f>IF(DH232&lt;&gt;"",VLOOKUP($P232&amp;" | "&amp;DF$6,'Job Master'!$F$12:$J$102,3,0),"")</f>
        <v/>
      </c>
      <c r="DH232" s="19" t="str">
        <f>IFERROR(IF(AND(DO232&lt;&gt;"",VLOOKUP($P232&amp;" | "&amp;DF$6,'Job Master'!$F$12:$I$102,4,0)&lt;&gt;""),IF(WEEKDAY(DO232-VLOOKUP($P232&amp;" | "&amp;DF$6,'Job Master'!$F$12:$I$102,4,0))&lt;&gt;7,DO232-VLOOKUP($P232&amp;" | "&amp;DF$6,'Job Master'!$F$12:$I$102,4,0),DO232-VLOOKUP($P232&amp;" | "&amp;DF$6,'Job Master'!$F$12:$I$102,4,0)-1),""),"")</f>
        <v/>
      </c>
      <c r="DI232" s="73"/>
      <c r="DJ232" s="123" t="str">
        <f t="shared" si="429"/>
        <v/>
      </c>
      <c r="DK232" s="123" t="str">
        <f t="shared" si="430"/>
        <v/>
      </c>
      <c r="DL232" s="97" t="str">
        <f t="shared" ca="1" si="431"/>
        <v/>
      </c>
      <c r="DM232" s="98" t="str">
        <f>IF(DO232&lt;&gt;"",VLOOKUP($P232&amp;" | "&amp;DM$6,'Job Master'!$F$12:$J$102,5,0),"")</f>
        <v/>
      </c>
      <c r="DN232" s="19" t="str">
        <f>IF(DO232&lt;&gt;"",VLOOKUP($P232&amp;" | "&amp;DM$6,'Job Master'!$F$12:$J$102,3,0),"")</f>
        <v/>
      </c>
      <c r="DO232" s="19" t="str">
        <f>IFERROR(IF(AND(DT232&lt;&gt;"",VLOOKUP($P232&amp;" | "&amp;DM$6,'Job Master'!$F$12:$I$102,4,0)&lt;&gt;""),IF(WEEKDAY(DT232-VLOOKUP($P232&amp;" | "&amp;DM$6,'Job Master'!$F$12:$I$102,4,0))&lt;&gt;7,DT232-VLOOKUP($P232&amp;" | "&amp;DM$6,'Job Master'!$F$12:$I$102,4,0),DT232-VLOOKUP($P232&amp;" | "&amp;DM$6,'Job Master'!$F$12:$I$102,4,0)-1),""),"")</f>
        <v/>
      </c>
      <c r="DP232" s="73"/>
      <c r="DQ232" s="123" t="str">
        <f t="shared" si="432"/>
        <v/>
      </c>
      <c r="DR232" s="123" t="str">
        <f t="shared" si="433"/>
        <v/>
      </c>
      <c r="DS232" s="97" t="str">
        <f t="shared" ca="1" si="434"/>
        <v/>
      </c>
      <c r="DT232" s="70" t="str">
        <f t="shared" si="435"/>
        <v/>
      </c>
      <c r="DU232" s="90"/>
      <c r="DV232" s="123" t="str">
        <f t="shared" si="436"/>
        <v/>
      </c>
      <c r="DW232" s="123" t="str">
        <f t="shared" si="437"/>
        <v/>
      </c>
      <c r="DX232" s="132" t="str">
        <f t="shared" ref="DX232" ca="1" si="479">IF(DT232&lt;&gt;"",IF(WEEKNUM(DT232)=WEEKNUM(TODAY()),"This Week",IF(WEEKNUM(DT232)=WEEKNUM(TODAY())+1,"Next Week",IF(WEEKNUM(DT232)=WEEKNUM(TODAY())-1,"Previous Week",""))),"")</f>
        <v/>
      </c>
      <c r="DY232" s="134" t="str">
        <f t="shared" si="439"/>
        <v/>
      </c>
      <c r="DZ232" s="95"/>
      <c r="EB232" s="8" t="str">
        <f t="shared" si="445"/>
        <v/>
      </c>
      <c r="EC232" s="8" t="str">
        <f>IF(O232&lt;&gt;"",VLOOKUP(O232,'Job Master'!$N$12:$O$18,2,0),"")</f>
        <v/>
      </c>
      <c r="ED232" s="8">
        <f t="shared" si="446"/>
        <v>19.5</v>
      </c>
      <c r="EE232" s="8">
        <f t="shared" si="447"/>
        <v>6</v>
      </c>
      <c r="EF232" s="8">
        <f t="shared" si="448"/>
        <v>-1312.5</v>
      </c>
      <c r="EG232" s="8" t="str">
        <f t="shared" si="449"/>
        <v/>
      </c>
      <c r="EH232" s="8" t="str">
        <f t="shared" si="450"/>
        <v/>
      </c>
    </row>
    <row r="233" spans="2:138" x14ac:dyDescent="0.3">
      <c r="B233" s="112"/>
      <c r="C233" s="27"/>
      <c r="D233" s="7" t="str">
        <f t="shared" si="387"/>
        <v/>
      </c>
      <c r="E233" s="25"/>
      <c r="F233" s="7" t="str">
        <f t="shared" si="387"/>
        <v/>
      </c>
      <c r="G233" s="25"/>
      <c r="H233" s="7" t="str">
        <f t="shared" si="387"/>
        <v/>
      </c>
      <c r="I233" s="25"/>
      <c r="J233" s="7" t="str">
        <f t="shared" si="387"/>
        <v/>
      </c>
      <c r="K233" s="25"/>
      <c r="L233" s="7" t="str">
        <f t="shared" si="388"/>
        <v/>
      </c>
      <c r="M233" s="25"/>
      <c r="N233" s="7" t="str">
        <f t="shared" si="389"/>
        <v/>
      </c>
      <c r="O233" s="81"/>
      <c r="P233" s="81" t="str">
        <f t="shared" si="390"/>
        <v/>
      </c>
      <c r="Q233" s="81"/>
      <c r="R233" s="7" t="str">
        <f t="shared" si="391"/>
        <v/>
      </c>
      <c r="S233" s="25"/>
      <c r="T233" s="7" t="str">
        <f t="shared" si="392"/>
        <v/>
      </c>
      <c r="U233" s="25"/>
      <c r="V233" s="7" t="str">
        <f t="shared" si="393"/>
        <v/>
      </c>
      <c r="W233" s="25"/>
      <c r="X233" s="7" t="str">
        <f t="shared" si="394"/>
        <v/>
      </c>
      <c r="Y233" s="18" t="str">
        <f t="shared" si="395"/>
        <v/>
      </c>
      <c r="Z233" s="7" t="str">
        <f t="shared" si="396"/>
        <v/>
      </c>
      <c r="AA233" s="18" t="str">
        <f t="shared" si="397"/>
        <v/>
      </c>
      <c r="AB233" s="19" t="str">
        <f t="shared" si="398"/>
        <v/>
      </c>
      <c r="AC233" s="26"/>
      <c r="AD233" s="26"/>
      <c r="AE233" s="25"/>
      <c r="AF233" s="26"/>
      <c r="AG233" s="25"/>
      <c r="AH233" s="25"/>
      <c r="AI233" s="18" t="str">
        <f t="shared" si="461"/>
        <v/>
      </c>
      <c r="AJ233" s="25"/>
      <c r="AK233" s="18" t="str">
        <f t="shared" si="462"/>
        <v/>
      </c>
      <c r="AL233" s="79"/>
      <c r="AM233" s="126" t="str">
        <f t="shared" si="463"/>
        <v/>
      </c>
      <c r="AN233" s="128" t="str">
        <f>IF(AP233&lt;&gt;"",VLOOKUP($P233&amp;" | "&amp;AN$6,'Job Master'!$F$12:$J$102,5,0),"")</f>
        <v/>
      </c>
      <c r="AO233" s="19" t="str">
        <f>IF(AP233&lt;&gt;"",VLOOKUP($P233&amp;" | "&amp;AN$6,'Job Master'!$F$12:$J$102,3,0),"")</f>
        <v/>
      </c>
      <c r="AP233" s="19" t="str">
        <f>IFERROR(IF(AND(AW233&lt;&gt;"",VLOOKUP($P233&amp;" | "&amp;AN$6,'Job Master'!$F$12:$I$102,4,0)&lt;&gt;""),IF(WEEKDAY(AW233-VLOOKUP($P233&amp;" | "&amp;AN$6,'Job Master'!$F$12:$I$102,4,0))&lt;&gt;7,AW233-VLOOKUP($P233&amp;" | "&amp;AN$6,'Job Master'!$F$12:$I$102,4,0),AW233-VLOOKUP($P233&amp;" | "&amp;AN$6,'Job Master'!$F$12:$I$102,4,0)-1),""),"")</f>
        <v/>
      </c>
      <c r="AQ233" s="73"/>
      <c r="AR233" s="123" t="str">
        <f t="shared" si="399"/>
        <v/>
      </c>
      <c r="AS233" s="123" t="str">
        <f t="shared" si="400"/>
        <v/>
      </c>
      <c r="AT233" s="97" t="str">
        <f t="shared" ca="1" si="401"/>
        <v/>
      </c>
      <c r="AU233" s="98" t="str">
        <f>IF(AW233&lt;&gt;"",VLOOKUP($P233&amp;" | "&amp;AU$6,'Job Master'!$F$12:$J$102,5,0),"")</f>
        <v/>
      </c>
      <c r="AV233" s="19" t="str">
        <f>IF(AW233&lt;&gt;"",VLOOKUP($P233&amp;" | "&amp;AU$6,'Job Master'!$F$12:$J$102,3,0),"")</f>
        <v/>
      </c>
      <c r="AW233" s="19" t="str">
        <f>IFERROR(IF(AND(BD233&lt;&gt;"",VLOOKUP($P233&amp;" | "&amp;AU$6,'Job Master'!$F$12:$I$102,4,0)&lt;&gt;""),IF(WEEKDAY(BD233-VLOOKUP($P233&amp;" | "&amp;AU$6,'Job Master'!$F$12:$I$102,4,0))&lt;&gt;7,BD233-VLOOKUP($P233&amp;" | "&amp;AU$6,'Job Master'!$F$12:$I$102,4,0),BD233-VLOOKUP($P233&amp;" | "&amp;AU$6,'Job Master'!$F$12:$I$102,4,0)-1),""),"")</f>
        <v/>
      </c>
      <c r="AX233" s="73"/>
      <c r="AY233" s="123" t="str">
        <f t="shared" si="402"/>
        <v/>
      </c>
      <c r="AZ233" s="123" t="str">
        <f t="shared" si="403"/>
        <v/>
      </c>
      <c r="BA233" s="97" t="str">
        <f t="shared" ca="1" si="404"/>
        <v/>
      </c>
      <c r="BB233" s="98" t="str">
        <f>IF(BD233&lt;&gt;"",VLOOKUP($P233&amp;" | "&amp;BB$6,'Job Master'!$F$12:$J$102,5,0),"")</f>
        <v/>
      </c>
      <c r="BC233" s="19" t="str">
        <f>IF(BD233&lt;&gt;"",VLOOKUP($P233&amp;" | "&amp;BB$6,'Job Master'!$F$12:$J$102,3,0),"")</f>
        <v/>
      </c>
      <c r="BD233" s="19" t="str">
        <f>IFERROR(IF(AND(BK233&lt;&gt;"",VLOOKUP($P233&amp;" | "&amp;BB$6,'Job Master'!$F$12:$I$102,4,0)&lt;&gt;""),IF(WEEKDAY(BK233-VLOOKUP($P233&amp;" | "&amp;BB$6,'Job Master'!$F$12:$I$102,4,0))&lt;&gt;7,BK233-VLOOKUP($P233&amp;" | "&amp;BB$6,'Job Master'!$F$12:$I$102,4,0),BK233-VLOOKUP($P233&amp;" | "&amp;BB$6,'Job Master'!$F$12:$I$102,4,0)-1),""),"")</f>
        <v/>
      </c>
      <c r="BE233" s="73"/>
      <c r="BF233" s="123" t="str">
        <f t="shared" si="405"/>
        <v/>
      </c>
      <c r="BG233" s="123" t="str">
        <f t="shared" si="406"/>
        <v/>
      </c>
      <c r="BH233" s="97" t="str">
        <f t="shared" ca="1" si="407"/>
        <v/>
      </c>
      <c r="BI233" s="98" t="str">
        <f>IF(BK233&lt;&gt;"",VLOOKUP($P233&amp;" | "&amp;BI$6,'Job Master'!$F$12:$J$102,5,0),"")</f>
        <v/>
      </c>
      <c r="BJ233" s="19" t="str">
        <f>IF(BK233&lt;&gt;"",VLOOKUP($P233&amp;" | "&amp;BI$6,'Job Master'!$F$12:$J$102,3,0),"")</f>
        <v/>
      </c>
      <c r="BK233" s="19" t="str">
        <f>IFERROR(IF(AND(BR233&lt;&gt;"",VLOOKUP($P233&amp;" | "&amp;BI$6,'Job Master'!$F$12:$I$102,4,0)&lt;&gt;""),IF(WEEKDAY(BR233-VLOOKUP($P233&amp;" | "&amp;BI$6,'Job Master'!$F$12:$I$102,4,0))&lt;&gt;7,BR233-VLOOKUP($P233&amp;" | "&amp;BI$6,'Job Master'!$F$12:$I$102,4,0),BR233-VLOOKUP($P233&amp;" | "&amp;BI$6,'Job Master'!$F$12:$I$102,4,0)-1),""),"")</f>
        <v/>
      </c>
      <c r="BL233" s="73"/>
      <c r="BM233" s="123" t="str">
        <f t="shared" si="408"/>
        <v/>
      </c>
      <c r="BN233" s="123" t="str">
        <f t="shared" si="409"/>
        <v/>
      </c>
      <c r="BO233" s="97" t="str">
        <f t="shared" ca="1" si="410"/>
        <v/>
      </c>
      <c r="BP233" s="98" t="str">
        <f>IF(BR233&lt;&gt;"",VLOOKUP($P233&amp;" | "&amp;BP$6,'Job Master'!$F$12:$J$102,5,0),"")</f>
        <v/>
      </c>
      <c r="BQ233" s="19" t="str">
        <f>IF(BR233&lt;&gt;"",VLOOKUP($P233&amp;" | "&amp;BP$6,'Job Master'!$F$12:$J$102,3,0),"")</f>
        <v/>
      </c>
      <c r="BR233" s="19" t="str">
        <f>IFERROR(IF(AND(BY233&lt;&gt;"",VLOOKUP($P233&amp;" | "&amp;BP$6,'Job Master'!$F$12:$I$102,4,0)&lt;&gt;""),IF(WEEKDAY(BY233-VLOOKUP($P233&amp;" | "&amp;BP$6,'Job Master'!$F$12:$I$102,4,0))&lt;&gt;7,BY233-VLOOKUP($P233&amp;" | "&amp;BP$6,'Job Master'!$F$12:$I$102,4,0),BY233-VLOOKUP($P233&amp;" | "&amp;BP$6,'Job Master'!$F$12:$I$102,4,0)-1),""),"")</f>
        <v/>
      </c>
      <c r="BS233" s="73"/>
      <c r="BT233" s="123" t="str">
        <f t="shared" si="411"/>
        <v/>
      </c>
      <c r="BU233" s="123" t="str">
        <f t="shared" si="412"/>
        <v/>
      </c>
      <c r="BV233" s="97" t="str">
        <f t="shared" ca="1" si="413"/>
        <v/>
      </c>
      <c r="BW233" s="98" t="str">
        <f>IF(BY233&lt;&gt;"",VLOOKUP($P233&amp;" | "&amp;BW$6,'Job Master'!$F$12:$J$102,5,0),"")</f>
        <v/>
      </c>
      <c r="BX233" s="19" t="str">
        <f>IF(BY233&lt;&gt;"",VLOOKUP($P233&amp;" | "&amp;BW$6,'Job Master'!$F$12:$J$102,3,0),"")</f>
        <v/>
      </c>
      <c r="BY233" s="19" t="str">
        <f>IFERROR(IF(AND(CF233&lt;&gt;"",VLOOKUP($P233&amp;" | "&amp;BW$6,'Job Master'!$F$12:$I$102,4,0)&lt;&gt;""),IF(WEEKDAY(CF233-VLOOKUP($P233&amp;" | "&amp;BW$6,'Job Master'!$F$12:$I$102,4,0))&lt;&gt;7,CF233-VLOOKUP($P233&amp;" | "&amp;BW$6,'Job Master'!$F$12:$I$102,4,0),CF233-VLOOKUP($P233&amp;" | "&amp;BW$6,'Job Master'!$F$12:$I$102,4,0)-1),""),"")</f>
        <v/>
      </c>
      <c r="BZ233" s="73"/>
      <c r="CA233" s="123" t="str">
        <f t="shared" si="414"/>
        <v/>
      </c>
      <c r="CB233" s="123" t="str">
        <f t="shared" si="415"/>
        <v/>
      </c>
      <c r="CC233" s="97" t="str">
        <f t="shared" ca="1" si="416"/>
        <v/>
      </c>
      <c r="CD233" s="98" t="str">
        <f>IF(CF233&lt;&gt;"",VLOOKUP($P233&amp;" | "&amp;CD$6,'Job Master'!$F$12:$J$102,5,0),"")</f>
        <v/>
      </c>
      <c r="CE233" s="19" t="str">
        <f>IF(CF233&lt;&gt;"",VLOOKUP($P233&amp;" | "&amp;CD$6,'Job Master'!$F$12:$J$102,3,0),"")</f>
        <v/>
      </c>
      <c r="CF233" s="19" t="str">
        <f>IFERROR(IF(AND(CM233&lt;&gt;"",VLOOKUP($P233&amp;" | "&amp;CD$6,'Job Master'!$F$12:$I$102,4,0)&lt;&gt;""),IF(WEEKDAY(CM233-VLOOKUP($P233&amp;" | "&amp;CD$6,'Job Master'!$F$12:$I$102,4,0))&lt;&gt;7,CM233-VLOOKUP($P233&amp;" | "&amp;CD$6,'Job Master'!$F$12:$I$102,4,0),CM233-VLOOKUP($P233&amp;" | "&amp;CD$6,'Job Master'!$F$12:$I$102,4,0)-1),""),"")</f>
        <v/>
      </c>
      <c r="CG233" s="73"/>
      <c r="CH233" s="123" t="str">
        <f t="shared" si="417"/>
        <v/>
      </c>
      <c r="CI233" s="123" t="str">
        <f t="shared" si="418"/>
        <v/>
      </c>
      <c r="CJ233" s="97" t="str">
        <f t="shared" ca="1" si="419"/>
        <v/>
      </c>
      <c r="CK233" s="98" t="str">
        <f>IF(CM233&lt;&gt;"",VLOOKUP($P233&amp;" | "&amp;CK$6,'Job Master'!$F$12:$J$102,5,0),"")</f>
        <v/>
      </c>
      <c r="CL233" s="19" t="str">
        <f>IF(CM233&lt;&gt;"",VLOOKUP($P233&amp;" | "&amp;CK$6,'Job Master'!$F$12:$J$102,3,0),"")</f>
        <v/>
      </c>
      <c r="CM233" s="19" t="str">
        <f>IFERROR(IF(AND(CT233&lt;&gt;"",VLOOKUP($P233&amp;" | "&amp;CK$6,'Job Master'!$F$12:$I$102,4,0)&lt;&gt;""),IF(WEEKDAY(CT233-VLOOKUP($P233&amp;" | "&amp;CK$6,'Job Master'!$F$12:$I$102,4,0))&lt;&gt;7,CT233-VLOOKUP($P233&amp;" | "&amp;CK$6,'Job Master'!$F$12:$I$102,4,0),CT233-VLOOKUP($P233&amp;" | "&amp;CK$6,'Job Master'!$F$12:$I$102,4,0)-1),""),"")</f>
        <v/>
      </c>
      <c r="CN233" s="73"/>
      <c r="CO233" s="123" t="str">
        <f t="shared" si="420"/>
        <v/>
      </c>
      <c r="CP233" s="123" t="str">
        <f t="shared" si="421"/>
        <v/>
      </c>
      <c r="CQ233" s="97" t="str">
        <f t="shared" ca="1" si="422"/>
        <v/>
      </c>
      <c r="CR233" s="98" t="str">
        <f>IF(CT233&lt;&gt;"",VLOOKUP($P233&amp;" | "&amp;CR$6,'Job Master'!$F$12:$J$102,5,0),"")</f>
        <v/>
      </c>
      <c r="CS233" s="19" t="str">
        <f>IF(CT233&lt;&gt;"",VLOOKUP($P233&amp;" | "&amp;CR$6,'Job Master'!$F$12:$J$102,3,0),"")</f>
        <v/>
      </c>
      <c r="CT233" s="19" t="str">
        <f>IFERROR(IF(AND(DA233&lt;&gt;"",VLOOKUP($P233&amp;" | "&amp;CR$6,'Job Master'!$F$12:$I$102,4,0)&lt;&gt;""),IF(WEEKDAY(DA233-VLOOKUP($P233&amp;" | "&amp;CR$6,'Job Master'!$F$12:$I$102,4,0))&lt;&gt;7,DA233-VLOOKUP($P233&amp;" | "&amp;CR$6,'Job Master'!$F$12:$I$102,4,0),DA233-VLOOKUP($P233&amp;" | "&amp;CR$6,'Job Master'!$F$12:$I$102,4,0)-1),""),"")</f>
        <v/>
      </c>
      <c r="CU233" s="73"/>
      <c r="CV233" s="123" t="str">
        <f t="shared" si="423"/>
        <v/>
      </c>
      <c r="CW233" s="123" t="str">
        <f t="shared" si="424"/>
        <v/>
      </c>
      <c r="CX233" s="97" t="str">
        <f t="shared" ca="1" si="425"/>
        <v/>
      </c>
      <c r="CY233" s="98" t="str">
        <f>IF(DA233&lt;&gt;"",VLOOKUP($P233&amp;" | "&amp;CY$6,'Job Master'!$F$12:$J$102,5,0),"")</f>
        <v/>
      </c>
      <c r="CZ233" s="19" t="str">
        <f>IF(DA233&lt;&gt;"",VLOOKUP($P233&amp;" | "&amp;CY$6,'Job Master'!$F$12:$J$102,3,0),"")</f>
        <v/>
      </c>
      <c r="DA233" s="19" t="str">
        <f>IFERROR(IF(AND(DH233&lt;&gt;"",VLOOKUP($P233&amp;" | "&amp;CY$6,'Job Master'!$F$12:$I$102,4,0)&lt;&gt;""),IF(WEEKDAY(DH233-VLOOKUP($P233&amp;" | "&amp;CY$6,'Job Master'!$F$12:$I$102,4,0))&lt;&gt;7,DH233-VLOOKUP($P233&amp;" | "&amp;CY$6,'Job Master'!$F$12:$I$102,4,0),DH233-VLOOKUP($P233&amp;" | "&amp;CY$6,'Job Master'!$F$12:$I$102,4,0)-1),""),"")</f>
        <v/>
      </c>
      <c r="DB233" s="73"/>
      <c r="DC233" s="123" t="str">
        <f t="shared" si="426"/>
        <v/>
      </c>
      <c r="DD233" s="123" t="str">
        <f t="shared" si="427"/>
        <v/>
      </c>
      <c r="DE233" s="97" t="str">
        <f t="shared" ca="1" si="428"/>
        <v/>
      </c>
      <c r="DF233" s="98" t="str">
        <f>IF(DH233&lt;&gt;"",VLOOKUP($P233&amp;" | "&amp;DF$6,'Job Master'!$F$12:$J$102,5,0),"")</f>
        <v/>
      </c>
      <c r="DG233" s="19" t="str">
        <f>IF(DH233&lt;&gt;"",VLOOKUP($P233&amp;" | "&amp;DF$6,'Job Master'!$F$12:$J$102,3,0),"")</f>
        <v/>
      </c>
      <c r="DH233" s="19" t="str">
        <f>IFERROR(IF(AND(DO233&lt;&gt;"",VLOOKUP($P233&amp;" | "&amp;DF$6,'Job Master'!$F$12:$I$102,4,0)&lt;&gt;""),IF(WEEKDAY(DO233-VLOOKUP($P233&amp;" | "&amp;DF$6,'Job Master'!$F$12:$I$102,4,0))&lt;&gt;7,DO233-VLOOKUP($P233&amp;" | "&amp;DF$6,'Job Master'!$F$12:$I$102,4,0),DO233-VLOOKUP($P233&amp;" | "&amp;DF$6,'Job Master'!$F$12:$I$102,4,0)-1),""),"")</f>
        <v/>
      </c>
      <c r="DI233" s="73"/>
      <c r="DJ233" s="123" t="str">
        <f t="shared" si="429"/>
        <v/>
      </c>
      <c r="DK233" s="123" t="str">
        <f t="shared" si="430"/>
        <v/>
      </c>
      <c r="DL233" s="97" t="str">
        <f t="shared" ca="1" si="431"/>
        <v/>
      </c>
      <c r="DM233" s="98" t="str">
        <f>IF(DO233&lt;&gt;"",VLOOKUP($P233&amp;" | "&amp;DM$6,'Job Master'!$F$12:$J$102,5,0),"")</f>
        <v/>
      </c>
      <c r="DN233" s="19" t="str">
        <f>IF(DO233&lt;&gt;"",VLOOKUP($P233&amp;" | "&amp;DM$6,'Job Master'!$F$12:$J$102,3,0),"")</f>
        <v/>
      </c>
      <c r="DO233" s="19" t="str">
        <f>IFERROR(IF(AND(DT233&lt;&gt;"",VLOOKUP($P233&amp;" | "&amp;DM$6,'Job Master'!$F$12:$I$102,4,0)&lt;&gt;""),IF(WEEKDAY(DT233-VLOOKUP($P233&amp;" | "&amp;DM$6,'Job Master'!$F$12:$I$102,4,0))&lt;&gt;7,DT233-VLOOKUP($P233&amp;" | "&amp;DM$6,'Job Master'!$F$12:$I$102,4,0),DT233-VLOOKUP($P233&amp;" | "&amp;DM$6,'Job Master'!$F$12:$I$102,4,0)-1),""),"")</f>
        <v/>
      </c>
      <c r="DP233" s="73"/>
      <c r="DQ233" s="123" t="str">
        <f t="shared" si="432"/>
        <v/>
      </c>
      <c r="DR233" s="123" t="str">
        <f t="shared" si="433"/>
        <v/>
      </c>
      <c r="DS233" s="97" t="str">
        <f t="shared" ca="1" si="434"/>
        <v/>
      </c>
      <c r="DT233" s="70" t="str">
        <f t="shared" si="435"/>
        <v/>
      </c>
      <c r="DU233" s="90"/>
      <c r="DV233" s="123" t="str">
        <f t="shared" si="436"/>
        <v/>
      </c>
      <c r="DW233" s="123" t="str">
        <f t="shared" si="437"/>
        <v/>
      </c>
      <c r="DX233" s="132" t="str">
        <f t="shared" ref="DX233" ca="1" si="480">IF(DT233&lt;&gt;"",IF(WEEKNUM(DT233)=WEEKNUM(TODAY()),"This Week",IF(WEEKNUM(DT233)=WEEKNUM(TODAY())+1,"Next Week",IF(WEEKNUM(DT233)=WEEKNUM(TODAY())-1,"Previous Week",""))),"")</f>
        <v/>
      </c>
      <c r="DY233" s="134" t="str">
        <f t="shared" si="439"/>
        <v/>
      </c>
      <c r="DZ233" s="95"/>
      <c r="EB233" s="8" t="str">
        <f t="shared" si="445"/>
        <v/>
      </c>
      <c r="EC233" s="8" t="str">
        <f>IF(O233&lt;&gt;"",VLOOKUP(O233,'Job Master'!$N$12:$O$18,2,0),"")</f>
        <v/>
      </c>
      <c r="ED233" s="8">
        <f t="shared" si="446"/>
        <v>19.5</v>
      </c>
      <c r="EE233" s="8">
        <f t="shared" si="447"/>
        <v>6</v>
      </c>
      <c r="EF233" s="8">
        <f t="shared" si="448"/>
        <v>-1318.5</v>
      </c>
      <c r="EG233" s="8" t="str">
        <f t="shared" si="449"/>
        <v/>
      </c>
      <c r="EH233" s="8" t="str">
        <f t="shared" si="450"/>
        <v/>
      </c>
    </row>
    <row r="234" spans="2:138" x14ac:dyDescent="0.3">
      <c r="B234" s="112"/>
      <c r="C234" s="27"/>
      <c r="D234" s="7" t="str">
        <f t="shared" si="387"/>
        <v/>
      </c>
      <c r="E234" s="25"/>
      <c r="F234" s="7" t="str">
        <f t="shared" si="387"/>
        <v/>
      </c>
      <c r="G234" s="25"/>
      <c r="H234" s="7" t="str">
        <f t="shared" si="387"/>
        <v/>
      </c>
      <c r="I234" s="25"/>
      <c r="J234" s="7" t="str">
        <f t="shared" si="387"/>
        <v/>
      </c>
      <c r="K234" s="25"/>
      <c r="L234" s="7" t="str">
        <f t="shared" si="388"/>
        <v/>
      </c>
      <c r="M234" s="25"/>
      <c r="N234" s="7" t="str">
        <f t="shared" si="389"/>
        <v/>
      </c>
      <c r="O234" s="81"/>
      <c r="P234" s="81" t="str">
        <f t="shared" si="390"/>
        <v/>
      </c>
      <c r="Q234" s="81"/>
      <c r="R234" s="7" t="str">
        <f t="shared" si="391"/>
        <v/>
      </c>
      <c r="S234" s="25"/>
      <c r="T234" s="7" t="str">
        <f t="shared" si="392"/>
        <v/>
      </c>
      <c r="U234" s="25"/>
      <c r="V234" s="7" t="str">
        <f t="shared" si="393"/>
        <v/>
      </c>
      <c r="W234" s="25"/>
      <c r="X234" s="7" t="str">
        <f t="shared" si="394"/>
        <v/>
      </c>
      <c r="Y234" s="18" t="str">
        <f t="shared" si="395"/>
        <v/>
      </c>
      <c r="Z234" s="7" t="str">
        <f t="shared" si="396"/>
        <v/>
      </c>
      <c r="AA234" s="18" t="str">
        <f t="shared" si="397"/>
        <v/>
      </c>
      <c r="AB234" s="19" t="str">
        <f t="shared" si="398"/>
        <v/>
      </c>
      <c r="AC234" s="26"/>
      <c r="AD234" s="26"/>
      <c r="AE234" s="25"/>
      <c r="AF234" s="26"/>
      <c r="AG234" s="25"/>
      <c r="AH234" s="25"/>
      <c r="AI234" s="18" t="str">
        <f t="shared" si="461"/>
        <v/>
      </c>
      <c r="AJ234" s="25"/>
      <c r="AK234" s="18" t="str">
        <f t="shared" si="462"/>
        <v/>
      </c>
      <c r="AL234" s="79"/>
      <c r="AM234" s="126" t="str">
        <f t="shared" si="463"/>
        <v/>
      </c>
      <c r="AN234" s="128" t="str">
        <f>IF(AP234&lt;&gt;"",VLOOKUP($P234&amp;" | "&amp;AN$6,'Job Master'!$F$12:$J$102,5,0),"")</f>
        <v/>
      </c>
      <c r="AO234" s="19" t="str">
        <f>IF(AP234&lt;&gt;"",VLOOKUP($P234&amp;" | "&amp;AN$6,'Job Master'!$F$12:$J$102,3,0),"")</f>
        <v/>
      </c>
      <c r="AP234" s="19" t="str">
        <f>IFERROR(IF(AND(AW234&lt;&gt;"",VLOOKUP($P234&amp;" | "&amp;AN$6,'Job Master'!$F$12:$I$102,4,0)&lt;&gt;""),IF(WEEKDAY(AW234-VLOOKUP($P234&amp;" | "&amp;AN$6,'Job Master'!$F$12:$I$102,4,0))&lt;&gt;7,AW234-VLOOKUP($P234&amp;" | "&amp;AN$6,'Job Master'!$F$12:$I$102,4,0),AW234-VLOOKUP($P234&amp;" | "&amp;AN$6,'Job Master'!$F$12:$I$102,4,0)-1),""),"")</f>
        <v/>
      </c>
      <c r="AQ234" s="73"/>
      <c r="AR234" s="123" t="str">
        <f t="shared" si="399"/>
        <v/>
      </c>
      <c r="AS234" s="123" t="str">
        <f t="shared" si="400"/>
        <v/>
      </c>
      <c r="AT234" s="97" t="str">
        <f t="shared" ca="1" si="401"/>
        <v/>
      </c>
      <c r="AU234" s="98" t="str">
        <f>IF(AW234&lt;&gt;"",VLOOKUP($P234&amp;" | "&amp;AU$6,'Job Master'!$F$12:$J$102,5,0),"")</f>
        <v/>
      </c>
      <c r="AV234" s="19" t="str">
        <f>IF(AW234&lt;&gt;"",VLOOKUP($P234&amp;" | "&amp;AU$6,'Job Master'!$F$12:$J$102,3,0),"")</f>
        <v/>
      </c>
      <c r="AW234" s="19" t="str">
        <f>IFERROR(IF(AND(BD234&lt;&gt;"",VLOOKUP($P234&amp;" | "&amp;AU$6,'Job Master'!$F$12:$I$102,4,0)&lt;&gt;""),IF(WEEKDAY(BD234-VLOOKUP($P234&amp;" | "&amp;AU$6,'Job Master'!$F$12:$I$102,4,0))&lt;&gt;7,BD234-VLOOKUP($P234&amp;" | "&amp;AU$6,'Job Master'!$F$12:$I$102,4,0),BD234-VLOOKUP($P234&amp;" | "&amp;AU$6,'Job Master'!$F$12:$I$102,4,0)-1),""),"")</f>
        <v/>
      </c>
      <c r="AX234" s="73"/>
      <c r="AY234" s="123" t="str">
        <f t="shared" si="402"/>
        <v/>
      </c>
      <c r="AZ234" s="123" t="str">
        <f t="shared" si="403"/>
        <v/>
      </c>
      <c r="BA234" s="97" t="str">
        <f t="shared" ca="1" si="404"/>
        <v/>
      </c>
      <c r="BB234" s="98" t="str">
        <f>IF(BD234&lt;&gt;"",VLOOKUP($P234&amp;" | "&amp;BB$6,'Job Master'!$F$12:$J$102,5,0),"")</f>
        <v/>
      </c>
      <c r="BC234" s="19" t="str">
        <f>IF(BD234&lt;&gt;"",VLOOKUP($P234&amp;" | "&amp;BB$6,'Job Master'!$F$12:$J$102,3,0),"")</f>
        <v/>
      </c>
      <c r="BD234" s="19" t="str">
        <f>IFERROR(IF(AND(BK234&lt;&gt;"",VLOOKUP($P234&amp;" | "&amp;BB$6,'Job Master'!$F$12:$I$102,4,0)&lt;&gt;""),IF(WEEKDAY(BK234-VLOOKUP($P234&amp;" | "&amp;BB$6,'Job Master'!$F$12:$I$102,4,0))&lt;&gt;7,BK234-VLOOKUP($P234&amp;" | "&amp;BB$6,'Job Master'!$F$12:$I$102,4,0),BK234-VLOOKUP($P234&amp;" | "&amp;BB$6,'Job Master'!$F$12:$I$102,4,0)-1),""),"")</f>
        <v/>
      </c>
      <c r="BE234" s="73"/>
      <c r="BF234" s="123" t="str">
        <f t="shared" si="405"/>
        <v/>
      </c>
      <c r="BG234" s="123" t="str">
        <f t="shared" si="406"/>
        <v/>
      </c>
      <c r="BH234" s="97" t="str">
        <f t="shared" ca="1" si="407"/>
        <v/>
      </c>
      <c r="BI234" s="98" t="str">
        <f>IF(BK234&lt;&gt;"",VLOOKUP($P234&amp;" | "&amp;BI$6,'Job Master'!$F$12:$J$102,5,0),"")</f>
        <v/>
      </c>
      <c r="BJ234" s="19" t="str">
        <f>IF(BK234&lt;&gt;"",VLOOKUP($P234&amp;" | "&amp;BI$6,'Job Master'!$F$12:$J$102,3,0),"")</f>
        <v/>
      </c>
      <c r="BK234" s="19" t="str">
        <f>IFERROR(IF(AND(BR234&lt;&gt;"",VLOOKUP($P234&amp;" | "&amp;BI$6,'Job Master'!$F$12:$I$102,4,0)&lt;&gt;""),IF(WEEKDAY(BR234-VLOOKUP($P234&amp;" | "&amp;BI$6,'Job Master'!$F$12:$I$102,4,0))&lt;&gt;7,BR234-VLOOKUP($P234&amp;" | "&amp;BI$6,'Job Master'!$F$12:$I$102,4,0),BR234-VLOOKUP($P234&amp;" | "&amp;BI$6,'Job Master'!$F$12:$I$102,4,0)-1),""),"")</f>
        <v/>
      </c>
      <c r="BL234" s="73"/>
      <c r="BM234" s="123" t="str">
        <f t="shared" si="408"/>
        <v/>
      </c>
      <c r="BN234" s="123" t="str">
        <f t="shared" si="409"/>
        <v/>
      </c>
      <c r="BO234" s="97" t="str">
        <f t="shared" ca="1" si="410"/>
        <v/>
      </c>
      <c r="BP234" s="98" t="str">
        <f>IF(BR234&lt;&gt;"",VLOOKUP($P234&amp;" | "&amp;BP$6,'Job Master'!$F$12:$J$102,5,0),"")</f>
        <v/>
      </c>
      <c r="BQ234" s="19" t="str">
        <f>IF(BR234&lt;&gt;"",VLOOKUP($P234&amp;" | "&amp;BP$6,'Job Master'!$F$12:$J$102,3,0),"")</f>
        <v/>
      </c>
      <c r="BR234" s="19" t="str">
        <f>IFERROR(IF(AND(BY234&lt;&gt;"",VLOOKUP($P234&amp;" | "&amp;BP$6,'Job Master'!$F$12:$I$102,4,0)&lt;&gt;""),IF(WEEKDAY(BY234-VLOOKUP($P234&amp;" | "&amp;BP$6,'Job Master'!$F$12:$I$102,4,0))&lt;&gt;7,BY234-VLOOKUP($P234&amp;" | "&amp;BP$6,'Job Master'!$F$12:$I$102,4,0),BY234-VLOOKUP($P234&amp;" | "&amp;BP$6,'Job Master'!$F$12:$I$102,4,0)-1),""),"")</f>
        <v/>
      </c>
      <c r="BS234" s="73"/>
      <c r="BT234" s="123" t="str">
        <f t="shared" si="411"/>
        <v/>
      </c>
      <c r="BU234" s="123" t="str">
        <f t="shared" si="412"/>
        <v/>
      </c>
      <c r="BV234" s="97" t="str">
        <f t="shared" ca="1" si="413"/>
        <v/>
      </c>
      <c r="BW234" s="98" t="str">
        <f>IF(BY234&lt;&gt;"",VLOOKUP($P234&amp;" | "&amp;BW$6,'Job Master'!$F$12:$J$102,5,0),"")</f>
        <v/>
      </c>
      <c r="BX234" s="19" t="str">
        <f>IF(BY234&lt;&gt;"",VLOOKUP($P234&amp;" | "&amp;BW$6,'Job Master'!$F$12:$J$102,3,0),"")</f>
        <v/>
      </c>
      <c r="BY234" s="19" t="str">
        <f>IFERROR(IF(AND(CF234&lt;&gt;"",VLOOKUP($P234&amp;" | "&amp;BW$6,'Job Master'!$F$12:$I$102,4,0)&lt;&gt;""),IF(WEEKDAY(CF234-VLOOKUP($P234&amp;" | "&amp;BW$6,'Job Master'!$F$12:$I$102,4,0))&lt;&gt;7,CF234-VLOOKUP($P234&amp;" | "&amp;BW$6,'Job Master'!$F$12:$I$102,4,0),CF234-VLOOKUP($P234&amp;" | "&amp;BW$6,'Job Master'!$F$12:$I$102,4,0)-1),""),"")</f>
        <v/>
      </c>
      <c r="BZ234" s="73"/>
      <c r="CA234" s="123" t="str">
        <f t="shared" si="414"/>
        <v/>
      </c>
      <c r="CB234" s="123" t="str">
        <f t="shared" si="415"/>
        <v/>
      </c>
      <c r="CC234" s="97" t="str">
        <f t="shared" ca="1" si="416"/>
        <v/>
      </c>
      <c r="CD234" s="98" t="str">
        <f>IF(CF234&lt;&gt;"",VLOOKUP($P234&amp;" | "&amp;CD$6,'Job Master'!$F$12:$J$102,5,0),"")</f>
        <v/>
      </c>
      <c r="CE234" s="19" t="str">
        <f>IF(CF234&lt;&gt;"",VLOOKUP($P234&amp;" | "&amp;CD$6,'Job Master'!$F$12:$J$102,3,0),"")</f>
        <v/>
      </c>
      <c r="CF234" s="19" t="str">
        <f>IFERROR(IF(AND(CM234&lt;&gt;"",VLOOKUP($P234&amp;" | "&amp;CD$6,'Job Master'!$F$12:$I$102,4,0)&lt;&gt;""),IF(WEEKDAY(CM234-VLOOKUP($P234&amp;" | "&amp;CD$6,'Job Master'!$F$12:$I$102,4,0))&lt;&gt;7,CM234-VLOOKUP($P234&amp;" | "&amp;CD$6,'Job Master'!$F$12:$I$102,4,0),CM234-VLOOKUP($P234&amp;" | "&amp;CD$6,'Job Master'!$F$12:$I$102,4,0)-1),""),"")</f>
        <v/>
      </c>
      <c r="CG234" s="73"/>
      <c r="CH234" s="123" t="str">
        <f t="shared" si="417"/>
        <v/>
      </c>
      <c r="CI234" s="123" t="str">
        <f t="shared" si="418"/>
        <v/>
      </c>
      <c r="CJ234" s="97" t="str">
        <f t="shared" ca="1" si="419"/>
        <v/>
      </c>
      <c r="CK234" s="98" t="str">
        <f>IF(CM234&lt;&gt;"",VLOOKUP($P234&amp;" | "&amp;CK$6,'Job Master'!$F$12:$J$102,5,0),"")</f>
        <v/>
      </c>
      <c r="CL234" s="19" t="str">
        <f>IF(CM234&lt;&gt;"",VLOOKUP($P234&amp;" | "&amp;CK$6,'Job Master'!$F$12:$J$102,3,0),"")</f>
        <v/>
      </c>
      <c r="CM234" s="19" t="str">
        <f>IFERROR(IF(AND(CT234&lt;&gt;"",VLOOKUP($P234&amp;" | "&amp;CK$6,'Job Master'!$F$12:$I$102,4,0)&lt;&gt;""),IF(WEEKDAY(CT234-VLOOKUP($P234&amp;" | "&amp;CK$6,'Job Master'!$F$12:$I$102,4,0))&lt;&gt;7,CT234-VLOOKUP($P234&amp;" | "&amp;CK$6,'Job Master'!$F$12:$I$102,4,0),CT234-VLOOKUP($P234&amp;" | "&amp;CK$6,'Job Master'!$F$12:$I$102,4,0)-1),""),"")</f>
        <v/>
      </c>
      <c r="CN234" s="73"/>
      <c r="CO234" s="123" t="str">
        <f t="shared" si="420"/>
        <v/>
      </c>
      <c r="CP234" s="123" t="str">
        <f t="shared" si="421"/>
        <v/>
      </c>
      <c r="CQ234" s="97" t="str">
        <f t="shared" ca="1" si="422"/>
        <v/>
      </c>
      <c r="CR234" s="98" t="str">
        <f>IF(CT234&lt;&gt;"",VLOOKUP($P234&amp;" | "&amp;CR$6,'Job Master'!$F$12:$J$102,5,0),"")</f>
        <v/>
      </c>
      <c r="CS234" s="19" t="str">
        <f>IF(CT234&lt;&gt;"",VLOOKUP($P234&amp;" | "&amp;CR$6,'Job Master'!$F$12:$J$102,3,0),"")</f>
        <v/>
      </c>
      <c r="CT234" s="19" t="str">
        <f>IFERROR(IF(AND(DA234&lt;&gt;"",VLOOKUP($P234&amp;" | "&amp;CR$6,'Job Master'!$F$12:$I$102,4,0)&lt;&gt;""),IF(WEEKDAY(DA234-VLOOKUP($P234&amp;" | "&amp;CR$6,'Job Master'!$F$12:$I$102,4,0))&lt;&gt;7,DA234-VLOOKUP($P234&amp;" | "&amp;CR$6,'Job Master'!$F$12:$I$102,4,0),DA234-VLOOKUP($P234&amp;" | "&amp;CR$6,'Job Master'!$F$12:$I$102,4,0)-1),""),"")</f>
        <v/>
      </c>
      <c r="CU234" s="73"/>
      <c r="CV234" s="123" t="str">
        <f t="shared" si="423"/>
        <v/>
      </c>
      <c r="CW234" s="123" t="str">
        <f t="shared" si="424"/>
        <v/>
      </c>
      <c r="CX234" s="97" t="str">
        <f t="shared" ca="1" si="425"/>
        <v/>
      </c>
      <c r="CY234" s="98" t="str">
        <f>IF(DA234&lt;&gt;"",VLOOKUP($P234&amp;" | "&amp;CY$6,'Job Master'!$F$12:$J$102,5,0),"")</f>
        <v/>
      </c>
      <c r="CZ234" s="19" t="str">
        <f>IF(DA234&lt;&gt;"",VLOOKUP($P234&amp;" | "&amp;CY$6,'Job Master'!$F$12:$J$102,3,0),"")</f>
        <v/>
      </c>
      <c r="DA234" s="19" t="str">
        <f>IFERROR(IF(AND(DH234&lt;&gt;"",VLOOKUP($P234&amp;" | "&amp;CY$6,'Job Master'!$F$12:$I$102,4,0)&lt;&gt;""),IF(WEEKDAY(DH234-VLOOKUP($P234&amp;" | "&amp;CY$6,'Job Master'!$F$12:$I$102,4,0))&lt;&gt;7,DH234-VLOOKUP($P234&amp;" | "&amp;CY$6,'Job Master'!$F$12:$I$102,4,0),DH234-VLOOKUP($P234&amp;" | "&amp;CY$6,'Job Master'!$F$12:$I$102,4,0)-1),""),"")</f>
        <v/>
      </c>
      <c r="DB234" s="73"/>
      <c r="DC234" s="123" t="str">
        <f t="shared" si="426"/>
        <v/>
      </c>
      <c r="DD234" s="123" t="str">
        <f t="shared" si="427"/>
        <v/>
      </c>
      <c r="DE234" s="97" t="str">
        <f t="shared" ca="1" si="428"/>
        <v/>
      </c>
      <c r="DF234" s="98" t="str">
        <f>IF(DH234&lt;&gt;"",VLOOKUP($P234&amp;" | "&amp;DF$6,'Job Master'!$F$12:$J$102,5,0),"")</f>
        <v/>
      </c>
      <c r="DG234" s="19" t="str">
        <f>IF(DH234&lt;&gt;"",VLOOKUP($P234&amp;" | "&amp;DF$6,'Job Master'!$F$12:$J$102,3,0),"")</f>
        <v/>
      </c>
      <c r="DH234" s="19" t="str">
        <f>IFERROR(IF(AND(DO234&lt;&gt;"",VLOOKUP($P234&amp;" | "&amp;DF$6,'Job Master'!$F$12:$I$102,4,0)&lt;&gt;""),IF(WEEKDAY(DO234-VLOOKUP($P234&amp;" | "&amp;DF$6,'Job Master'!$F$12:$I$102,4,0))&lt;&gt;7,DO234-VLOOKUP($P234&amp;" | "&amp;DF$6,'Job Master'!$F$12:$I$102,4,0),DO234-VLOOKUP($P234&amp;" | "&amp;DF$6,'Job Master'!$F$12:$I$102,4,0)-1),""),"")</f>
        <v/>
      </c>
      <c r="DI234" s="73"/>
      <c r="DJ234" s="123" t="str">
        <f t="shared" si="429"/>
        <v/>
      </c>
      <c r="DK234" s="123" t="str">
        <f t="shared" si="430"/>
        <v/>
      </c>
      <c r="DL234" s="97" t="str">
        <f t="shared" ca="1" si="431"/>
        <v/>
      </c>
      <c r="DM234" s="98" t="str">
        <f>IF(DO234&lt;&gt;"",VLOOKUP($P234&amp;" | "&amp;DM$6,'Job Master'!$F$12:$J$102,5,0),"")</f>
        <v/>
      </c>
      <c r="DN234" s="19" t="str">
        <f>IF(DO234&lt;&gt;"",VLOOKUP($P234&amp;" | "&amp;DM$6,'Job Master'!$F$12:$J$102,3,0),"")</f>
        <v/>
      </c>
      <c r="DO234" s="19" t="str">
        <f>IFERROR(IF(AND(DT234&lt;&gt;"",VLOOKUP($P234&amp;" | "&amp;DM$6,'Job Master'!$F$12:$I$102,4,0)&lt;&gt;""),IF(WEEKDAY(DT234-VLOOKUP($P234&amp;" | "&amp;DM$6,'Job Master'!$F$12:$I$102,4,0))&lt;&gt;7,DT234-VLOOKUP($P234&amp;" | "&amp;DM$6,'Job Master'!$F$12:$I$102,4,0),DT234-VLOOKUP($P234&amp;" | "&amp;DM$6,'Job Master'!$F$12:$I$102,4,0)-1),""),"")</f>
        <v/>
      </c>
      <c r="DP234" s="73"/>
      <c r="DQ234" s="123" t="str">
        <f t="shared" si="432"/>
        <v/>
      </c>
      <c r="DR234" s="123" t="str">
        <f t="shared" si="433"/>
        <v/>
      </c>
      <c r="DS234" s="97" t="str">
        <f t="shared" ca="1" si="434"/>
        <v/>
      </c>
      <c r="DT234" s="70" t="str">
        <f t="shared" si="435"/>
        <v/>
      </c>
      <c r="DU234" s="90"/>
      <c r="DV234" s="123" t="str">
        <f t="shared" si="436"/>
        <v/>
      </c>
      <c r="DW234" s="123" t="str">
        <f t="shared" si="437"/>
        <v/>
      </c>
      <c r="DX234" s="132" t="str">
        <f t="shared" ref="DX234" ca="1" si="481">IF(DT234&lt;&gt;"",IF(WEEKNUM(DT234)=WEEKNUM(TODAY()),"This Week",IF(WEEKNUM(DT234)=WEEKNUM(TODAY())+1,"Next Week",IF(WEEKNUM(DT234)=WEEKNUM(TODAY())-1,"Previous Week",""))),"")</f>
        <v/>
      </c>
      <c r="DY234" s="134" t="str">
        <f t="shared" si="439"/>
        <v/>
      </c>
      <c r="DZ234" s="95"/>
      <c r="EB234" s="8" t="str">
        <f t="shared" si="445"/>
        <v/>
      </c>
      <c r="EC234" s="8" t="str">
        <f>IF(O234&lt;&gt;"",VLOOKUP(O234,'Job Master'!$N$12:$O$18,2,0),"")</f>
        <v/>
      </c>
      <c r="ED234" s="8">
        <f t="shared" si="446"/>
        <v>19.5</v>
      </c>
      <c r="EE234" s="8">
        <f t="shared" si="447"/>
        <v>6</v>
      </c>
      <c r="EF234" s="8">
        <f t="shared" si="448"/>
        <v>-1324.5</v>
      </c>
      <c r="EG234" s="8" t="str">
        <f t="shared" si="449"/>
        <v/>
      </c>
      <c r="EH234" s="8" t="str">
        <f t="shared" si="450"/>
        <v/>
      </c>
    </row>
    <row r="235" spans="2:138" x14ac:dyDescent="0.3">
      <c r="B235" s="112"/>
      <c r="C235" s="27"/>
      <c r="D235" s="7" t="str">
        <f t="shared" si="387"/>
        <v/>
      </c>
      <c r="E235" s="25"/>
      <c r="F235" s="7" t="str">
        <f t="shared" si="387"/>
        <v/>
      </c>
      <c r="G235" s="25"/>
      <c r="H235" s="7" t="str">
        <f t="shared" si="387"/>
        <v/>
      </c>
      <c r="I235" s="25"/>
      <c r="J235" s="7" t="str">
        <f t="shared" si="387"/>
        <v/>
      </c>
      <c r="K235" s="25"/>
      <c r="L235" s="7" t="str">
        <f t="shared" si="388"/>
        <v/>
      </c>
      <c r="M235" s="25"/>
      <c r="N235" s="7" t="str">
        <f t="shared" si="389"/>
        <v/>
      </c>
      <c r="O235" s="81"/>
      <c r="P235" s="81" t="str">
        <f t="shared" si="390"/>
        <v/>
      </c>
      <c r="Q235" s="81"/>
      <c r="R235" s="7" t="str">
        <f t="shared" si="391"/>
        <v/>
      </c>
      <c r="S235" s="25"/>
      <c r="T235" s="7" t="str">
        <f t="shared" si="392"/>
        <v/>
      </c>
      <c r="U235" s="25"/>
      <c r="V235" s="7" t="str">
        <f t="shared" si="393"/>
        <v/>
      </c>
      <c r="W235" s="25"/>
      <c r="X235" s="7" t="str">
        <f t="shared" si="394"/>
        <v/>
      </c>
      <c r="Y235" s="18" t="str">
        <f t="shared" si="395"/>
        <v/>
      </c>
      <c r="Z235" s="7" t="str">
        <f t="shared" si="396"/>
        <v/>
      </c>
      <c r="AA235" s="18" t="str">
        <f t="shared" si="397"/>
        <v/>
      </c>
      <c r="AB235" s="19" t="str">
        <f t="shared" si="398"/>
        <v/>
      </c>
      <c r="AC235" s="26"/>
      <c r="AD235" s="26"/>
      <c r="AE235" s="25"/>
      <c r="AF235" s="26"/>
      <c r="AG235" s="25"/>
      <c r="AH235" s="25"/>
      <c r="AI235" s="18" t="str">
        <f t="shared" si="461"/>
        <v/>
      </c>
      <c r="AJ235" s="25"/>
      <c r="AK235" s="18" t="str">
        <f t="shared" si="462"/>
        <v/>
      </c>
      <c r="AL235" s="79"/>
      <c r="AM235" s="126" t="str">
        <f t="shared" si="463"/>
        <v/>
      </c>
      <c r="AN235" s="128" t="str">
        <f>IF(AP235&lt;&gt;"",VLOOKUP($P235&amp;" | "&amp;AN$6,'Job Master'!$F$12:$J$102,5,0),"")</f>
        <v/>
      </c>
      <c r="AO235" s="19" t="str">
        <f>IF(AP235&lt;&gt;"",VLOOKUP($P235&amp;" | "&amp;AN$6,'Job Master'!$F$12:$J$102,3,0),"")</f>
        <v/>
      </c>
      <c r="AP235" s="19" t="str">
        <f>IFERROR(IF(AND(AW235&lt;&gt;"",VLOOKUP($P235&amp;" | "&amp;AN$6,'Job Master'!$F$12:$I$102,4,0)&lt;&gt;""),IF(WEEKDAY(AW235-VLOOKUP($P235&amp;" | "&amp;AN$6,'Job Master'!$F$12:$I$102,4,0))&lt;&gt;7,AW235-VLOOKUP($P235&amp;" | "&amp;AN$6,'Job Master'!$F$12:$I$102,4,0),AW235-VLOOKUP($P235&amp;" | "&amp;AN$6,'Job Master'!$F$12:$I$102,4,0)-1),""),"")</f>
        <v/>
      </c>
      <c r="AQ235" s="73"/>
      <c r="AR235" s="123" t="str">
        <f t="shared" si="399"/>
        <v/>
      </c>
      <c r="AS235" s="123" t="str">
        <f t="shared" si="400"/>
        <v/>
      </c>
      <c r="AT235" s="97" t="str">
        <f t="shared" ca="1" si="401"/>
        <v/>
      </c>
      <c r="AU235" s="98" t="str">
        <f>IF(AW235&lt;&gt;"",VLOOKUP($P235&amp;" | "&amp;AU$6,'Job Master'!$F$12:$J$102,5,0),"")</f>
        <v/>
      </c>
      <c r="AV235" s="19" t="str">
        <f>IF(AW235&lt;&gt;"",VLOOKUP($P235&amp;" | "&amp;AU$6,'Job Master'!$F$12:$J$102,3,0),"")</f>
        <v/>
      </c>
      <c r="AW235" s="19" t="str">
        <f>IFERROR(IF(AND(BD235&lt;&gt;"",VLOOKUP($P235&amp;" | "&amp;AU$6,'Job Master'!$F$12:$I$102,4,0)&lt;&gt;""),IF(WEEKDAY(BD235-VLOOKUP($P235&amp;" | "&amp;AU$6,'Job Master'!$F$12:$I$102,4,0))&lt;&gt;7,BD235-VLOOKUP($P235&amp;" | "&amp;AU$6,'Job Master'!$F$12:$I$102,4,0),BD235-VLOOKUP($P235&amp;" | "&amp;AU$6,'Job Master'!$F$12:$I$102,4,0)-1),""),"")</f>
        <v/>
      </c>
      <c r="AX235" s="73"/>
      <c r="AY235" s="123" t="str">
        <f t="shared" si="402"/>
        <v/>
      </c>
      <c r="AZ235" s="123" t="str">
        <f t="shared" si="403"/>
        <v/>
      </c>
      <c r="BA235" s="97" t="str">
        <f t="shared" ca="1" si="404"/>
        <v/>
      </c>
      <c r="BB235" s="98" t="str">
        <f>IF(BD235&lt;&gt;"",VLOOKUP($P235&amp;" | "&amp;BB$6,'Job Master'!$F$12:$J$102,5,0),"")</f>
        <v/>
      </c>
      <c r="BC235" s="19" t="str">
        <f>IF(BD235&lt;&gt;"",VLOOKUP($P235&amp;" | "&amp;BB$6,'Job Master'!$F$12:$J$102,3,0),"")</f>
        <v/>
      </c>
      <c r="BD235" s="19" t="str">
        <f>IFERROR(IF(AND(BK235&lt;&gt;"",VLOOKUP($P235&amp;" | "&amp;BB$6,'Job Master'!$F$12:$I$102,4,0)&lt;&gt;""),IF(WEEKDAY(BK235-VLOOKUP($P235&amp;" | "&amp;BB$6,'Job Master'!$F$12:$I$102,4,0))&lt;&gt;7,BK235-VLOOKUP($P235&amp;" | "&amp;BB$6,'Job Master'!$F$12:$I$102,4,0),BK235-VLOOKUP($P235&amp;" | "&amp;BB$6,'Job Master'!$F$12:$I$102,4,0)-1),""),"")</f>
        <v/>
      </c>
      <c r="BE235" s="73"/>
      <c r="BF235" s="123" t="str">
        <f t="shared" si="405"/>
        <v/>
      </c>
      <c r="BG235" s="123" t="str">
        <f t="shared" si="406"/>
        <v/>
      </c>
      <c r="BH235" s="97" t="str">
        <f t="shared" ca="1" si="407"/>
        <v/>
      </c>
      <c r="BI235" s="98" t="str">
        <f>IF(BK235&lt;&gt;"",VLOOKUP($P235&amp;" | "&amp;BI$6,'Job Master'!$F$12:$J$102,5,0),"")</f>
        <v/>
      </c>
      <c r="BJ235" s="19" t="str">
        <f>IF(BK235&lt;&gt;"",VLOOKUP($P235&amp;" | "&amp;BI$6,'Job Master'!$F$12:$J$102,3,0),"")</f>
        <v/>
      </c>
      <c r="BK235" s="19" t="str">
        <f>IFERROR(IF(AND(BR235&lt;&gt;"",VLOOKUP($P235&amp;" | "&amp;BI$6,'Job Master'!$F$12:$I$102,4,0)&lt;&gt;""),IF(WEEKDAY(BR235-VLOOKUP($P235&amp;" | "&amp;BI$6,'Job Master'!$F$12:$I$102,4,0))&lt;&gt;7,BR235-VLOOKUP($P235&amp;" | "&amp;BI$6,'Job Master'!$F$12:$I$102,4,0),BR235-VLOOKUP($P235&amp;" | "&amp;BI$6,'Job Master'!$F$12:$I$102,4,0)-1),""),"")</f>
        <v/>
      </c>
      <c r="BL235" s="73"/>
      <c r="BM235" s="123" t="str">
        <f t="shared" si="408"/>
        <v/>
      </c>
      <c r="BN235" s="123" t="str">
        <f t="shared" si="409"/>
        <v/>
      </c>
      <c r="BO235" s="97" t="str">
        <f t="shared" ca="1" si="410"/>
        <v/>
      </c>
      <c r="BP235" s="98" t="str">
        <f>IF(BR235&lt;&gt;"",VLOOKUP($P235&amp;" | "&amp;BP$6,'Job Master'!$F$12:$J$102,5,0),"")</f>
        <v/>
      </c>
      <c r="BQ235" s="19" t="str">
        <f>IF(BR235&lt;&gt;"",VLOOKUP($P235&amp;" | "&amp;BP$6,'Job Master'!$F$12:$J$102,3,0),"")</f>
        <v/>
      </c>
      <c r="BR235" s="19" t="str">
        <f>IFERROR(IF(AND(BY235&lt;&gt;"",VLOOKUP($P235&amp;" | "&amp;BP$6,'Job Master'!$F$12:$I$102,4,0)&lt;&gt;""),IF(WEEKDAY(BY235-VLOOKUP($P235&amp;" | "&amp;BP$6,'Job Master'!$F$12:$I$102,4,0))&lt;&gt;7,BY235-VLOOKUP($P235&amp;" | "&amp;BP$6,'Job Master'!$F$12:$I$102,4,0),BY235-VLOOKUP($P235&amp;" | "&amp;BP$6,'Job Master'!$F$12:$I$102,4,0)-1),""),"")</f>
        <v/>
      </c>
      <c r="BS235" s="73"/>
      <c r="BT235" s="123" t="str">
        <f t="shared" si="411"/>
        <v/>
      </c>
      <c r="BU235" s="123" t="str">
        <f t="shared" si="412"/>
        <v/>
      </c>
      <c r="BV235" s="97" t="str">
        <f t="shared" ca="1" si="413"/>
        <v/>
      </c>
      <c r="BW235" s="98" t="str">
        <f>IF(BY235&lt;&gt;"",VLOOKUP($P235&amp;" | "&amp;BW$6,'Job Master'!$F$12:$J$102,5,0),"")</f>
        <v/>
      </c>
      <c r="BX235" s="19" t="str">
        <f>IF(BY235&lt;&gt;"",VLOOKUP($P235&amp;" | "&amp;BW$6,'Job Master'!$F$12:$J$102,3,0),"")</f>
        <v/>
      </c>
      <c r="BY235" s="19" t="str">
        <f>IFERROR(IF(AND(CF235&lt;&gt;"",VLOOKUP($P235&amp;" | "&amp;BW$6,'Job Master'!$F$12:$I$102,4,0)&lt;&gt;""),IF(WEEKDAY(CF235-VLOOKUP($P235&amp;" | "&amp;BW$6,'Job Master'!$F$12:$I$102,4,0))&lt;&gt;7,CF235-VLOOKUP($P235&amp;" | "&amp;BW$6,'Job Master'!$F$12:$I$102,4,0),CF235-VLOOKUP($P235&amp;" | "&amp;BW$6,'Job Master'!$F$12:$I$102,4,0)-1),""),"")</f>
        <v/>
      </c>
      <c r="BZ235" s="73"/>
      <c r="CA235" s="123" t="str">
        <f t="shared" si="414"/>
        <v/>
      </c>
      <c r="CB235" s="123" t="str">
        <f t="shared" si="415"/>
        <v/>
      </c>
      <c r="CC235" s="97" t="str">
        <f t="shared" ca="1" si="416"/>
        <v/>
      </c>
      <c r="CD235" s="98" t="str">
        <f>IF(CF235&lt;&gt;"",VLOOKUP($P235&amp;" | "&amp;CD$6,'Job Master'!$F$12:$J$102,5,0),"")</f>
        <v/>
      </c>
      <c r="CE235" s="19" t="str">
        <f>IF(CF235&lt;&gt;"",VLOOKUP($P235&amp;" | "&amp;CD$6,'Job Master'!$F$12:$J$102,3,0),"")</f>
        <v/>
      </c>
      <c r="CF235" s="19" t="str">
        <f>IFERROR(IF(AND(CM235&lt;&gt;"",VLOOKUP($P235&amp;" | "&amp;CD$6,'Job Master'!$F$12:$I$102,4,0)&lt;&gt;""),IF(WEEKDAY(CM235-VLOOKUP($P235&amp;" | "&amp;CD$6,'Job Master'!$F$12:$I$102,4,0))&lt;&gt;7,CM235-VLOOKUP($P235&amp;" | "&amp;CD$6,'Job Master'!$F$12:$I$102,4,0),CM235-VLOOKUP($P235&amp;" | "&amp;CD$6,'Job Master'!$F$12:$I$102,4,0)-1),""),"")</f>
        <v/>
      </c>
      <c r="CG235" s="73"/>
      <c r="CH235" s="123" t="str">
        <f t="shared" si="417"/>
        <v/>
      </c>
      <c r="CI235" s="123" t="str">
        <f t="shared" si="418"/>
        <v/>
      </c>
      <c r="CJ235" s="97" t="str">
        <f t="shared" ca="1" si="419"/>
        <v/>
      </c>
      <c r="CK235" s="98" t="str">
        <f>IF(CM235&lt;&gt;"",VLOOKUP($P235&amp;" | "&amp;CK$6,'Job Master'!$F$12:$J$102,5,0),"")</f>
        <v/>
      </c>
      <c r="CL235" s="19" t="str">
        <f>IF(CM235&lt;&gt;"",VLOOKUP($P235&amp;" | "&amp;CK$6,'Job Master'!$F$12:$J$102,3,0),"")</f>
        <v/>
      </c>
      <c r="CM235" s="19" t="str">
        <f>IFERROR(IF(AND(CT235&lt;&gt;"",VLOOKUP($P235&amp;" | "&amp;CK$6,'Job Master'!$F$12:$I$102,4,0)&lt;&gt;""),IF(WEEKDAY(CT235-VLOOKUP($P235&amp;" | "&amp;CK$6,'Job Master'!$F$12:$I$102,4,0))&lt;&gt;7,CT235-VLOOKUP($P235&amp;" | "&amp;CK$6,'Job Master'!$F$12:$I$102,4,0),CT235-VLOOKUP($P235&amp;" | "&amp;CK$6,'Job Master'!$F$12:$I$102,4,0)-1),""),"")</f>
        <v/>
      </c>
      <c r="CN235" s="73"/>
      <c r="CO235" s="123" t="str">
        <f t="shared" si="420"/>
        <v/>
      </c>
      <c r="CP235" s="123" t="str">
        <f t="shared" si="421"/>
        <v/>
      </c>
      <c r="CQ235" s="97" t="str">
        <f t="shared" ca="1" si="422"/>
        <v/>
      </c>
      <c r="CR235" s="98" t="str">
        <f>IF(CT235&lt;&gt;"",VLOOKUP($P235&amp;" | "&amp;CR$6,'Job Master'!$F$12:$J$102,5,0),"")</f>
        <v/>
      </c>
      <c r="CS235" s="19" t="str">
        <f>IF(CT235&lt;&gt;"",VLOOKUP($P235&amp;" | "&amp;CR$6,'Job Master'!$F$12:$J$102,3,0),"")</f>
        <v/>
      </c>
      <c r="CT235" s="19" t="str">
        <f>IFERROR(IF(AND(DA235&lt;&gt;"",VLOOKUP($P235&amp;" | "&amp;CR$6,'Job Master'!$F$12:$I$102,4,0)&lt;&gt;""),IF(WEEKDAY(DA235-VLOOKUP($P235&amp;" | "&amp;CR$6,'Job Master'!$F$12:$I$102,4,0))&lt;&gt;7,DA235-VLOOKUP($P235&amp;" | "&amp;CR$6,'Job Master'!$F$12:$I$102,4,0),DA235-VLOOKUP($P235&amp;" | "&amp;CR$6,'Job Master'!$F$12:$I$102,4,0)-1),""),"")</f>
        <v/>
      </c>
      <c r="CU235" s="73"/>
      <c r="CV235" s="123" t="str">
        <f t="shared" si="423"/>
        <v/>
      </c>
      <c r="CW235" s="123" t="str">
        <f t="shared" si="424"/>
        <v/>
      </c>
      <c r="CX235" s="97" t="str">
        <f t="shared" ca="1" si="425"/>
        <v/>
      </c>
      <c r="CY235" s="98" t="str">
        <f>IF(DA235&lt;&gt;"",VLOOKUP($P235&amp;" | "&amp;CY$6,'Job Master'!$F$12:$J$102,5,0),"")</f>
        <v/>
      </c>
      <c r="CZ235" s="19" t="str">
        <f>IF(DA235&lt;&gt;"",VLOOKUP($P235&amp;" | "&amp;CY$6,'Job Master'!$F$12:$J$102,3,0),"")</f>
        <v/>
      </c>
      <c r="DA235" s="19" t="str">
        <f>IFERROR(IF(AND(DH235&lt;&gt;"",VLOOKUP($P235&amp;" | "&amp;CY$6,'Job Master'!$F$12:$I$102,4,0)&lt;&gt;""),IF(WEEKDAY(DH235-VLOOKUP($P235&amp;" | "&amp;CY$6,'Job Master'!$F$12:$I$102,4,0))&lt;&gt;7,DH235-VLOOKUP($P235&amp;" | "&amp;CY$6,'Job Master'!$F$12:$I$102,4,0),DH235-VLOOKUP($P235&amp;" | "&amp;CY$6,'Job Master'!$F$12:$I$102,4,0)-1),""),"")</f>
        <v/>
      </c>
      <c r="DB235" s="73"/>
      <c r="DC235" s="123" t="str">
        <f t="shared" si="426"/>
        <v/>
      </c>
      <c r="DD235" s="123" t="str">
        <f t="shared" si="427"/>
        <v/>
      </c>
      <c r="DE235" s="97" t="str">
        <f t="shared" ca="1" si="428"/>
        <v/>
      </c>
      <c r="DF235" s="98" t="str">
        <f>IF(DH235&lt;&gt;"",VLOOKUP($P235&amp;" | "&amp;DF$6,'Job Master'!$F$12:$J$102,5,0),"")</f>
        <v/>
      </c>
      <c r="DG235" s="19" t="str">
        <f>IF(DH235&lt;&gt;"",VLOOKUP($P235&amp;" | "&amp;DF$6,'Job Master'!$F$12:$J$102,3,0),"")</f>
        <v/>
      </c>
      <c r="DH235" s="19" t="str">
        <f>IFERROR(IF(AND(DO235&lt;&gt;"",VLOOKUP($P235&amp;" | "&amp;DF$6,'Job Master'!$F$12:$I$102,4,0)&lt;&gt;""),IF(WEEKDAY(DO235-VLOOKUP($P235&amp;" | "&amp;DF$6,'Job Master'!$F$12:$I$102,4,0))&lt;&gt;7,DO235-VLOOKUP($P235&amp;" | "&amp;DF$6,'Job Master'!$F$12:$I$102,4,0),DO235-VLOOKUP($P235&amp;" | "&amp;DF$6,'Job Master'!$F$12:$I$102,4,0)-1),""),"")</f>
        <v/>
      </c>
      <c r="DI235" s="73"/>
      <c r="DJ235" s="123" t="str">
        <f t="shared" si="429"/>
        <v/>
      </c>
      <c r="DK235" s="123" t="str">
        <f t="shared" si="430"/>
        <v/>
      </c>
      <c r="DL235" s="97" t="str">
        <f t="shared" ca="1" si="431"/>
        <v/>
      </c>
      <c r="DM235" s="98" t="str">
        <f>IF(DO235&lt;&gt;"",VLOOKUP($P235&amp;" | "&amp;DM$6,'Job Master'!$F$12:$J$102,5,0),"")</f>
        <v/>
      </c>
      <c r="DN235" s="19" t="str">
        <f>IF(DO235&lt;&gt;"",VLOOKUP($P235&amp;" | "&amp;DM$6,'Job Master'!$F$12:$J$102,3,0),"")</f>
        <v/>
      </c>
      <c r="DO235" s="19" t="str">
        <f>IFERROR(IF(AND(DT235&lt;&gt;"",VLOOKUP($P235&amp;" | "&amp;DM$6,'Job Master'!$F$12:$I$102,4,0)&lt;&gt;""),IF(WEEKDAY(DT235-VLOOKUP($P235&amp;" | "&amp;DM$6,'Job Master'!$F$12:$I$102,4,0))&lt;&gt;7,DT235-VLOOKUP($P235&amp;" | "&amp;DM$6,'Job Master'!$F$12:$I$102,4,0),DT235-VLOOKUP($P235&amp;" | "&amp;DM$6,'Job Master'!$F$12:$I$102,4,0)-1),""),"")</f>
        <v/>
      </c>
      <c r="DP235" s="73"/>
      <c r="DQ235" s="123" t="str">
        <f t="shared" si="432"/>
        <v/>
      </c>
      <c r="DR235" s="123" t="str">
        <f t="shared" si="433"/>
        <v/>
      </c>
      <c r="DS235" s="97" t="str">
        <f t="shared" ca="1" si="434"/>
        <v/>
      </c>
      <c r="DT235" s="70" t="str">
        <f t="shared" si="435"/>
        <v/>
      </c>
      <c r="DU235" s="90"/>
      <c r="DV235" s="123" t="str">
        <f t="shared" si="436"/>
        <v/>
      </c>
      <c r="DW235" s="123" t="str">
        <f t="shared" si="437"/>
        <v/>
      </c>
      <c r="DX235" s="132" t="str">
        <f t="shared" ref="DX235" ca="1" si="482">IF(DT235&lt;&gt;"",IF(WEEKNUM(DT235)=WEEKNUM(TODAY()),"This Week",IF(WEEKNUM(DT235)=WEEKNUM(TODAY())+1,"Next Week",IF(WEEKNUM(DT235)=WEEKNUM(TODAY())-1,"Previous Week",""))),"")</f>
        <v/>
      </c>
      <c r="DY235" s="134" t="str">
        <f t="shared" si="439"/>
        <v/>
      </c>
      <c r="DZ235" s="95"/>
      <c r="EB235" s="8" t="str">
        <f t="shared" si="445"/>
        <v/>
      </c>
      <c r="EC235" s="8" t="str">
        <f>IF(O235&lt;&gt;"",VLOOKUP(O235,'Job Master'!$N$12:$O$18,2,0),"")</f>
        <v/>
      </c>
      <c r="ED235" s="8">
        <f t="shared" si="446"/>
        <v>19.5</v>
      </c>
      <c r="EE235" s="8">
        <f t="shared" si="447"/>
        <v>6</v>
      </c>
      <c r="EF235" s="8">
        <f t="shared" si="448"/>
        <v>-1330.5</v>
      </c>
      <c r="EG235" s="8" t="str">
        <f t="shared" si="449"/>
        <v/>
      </c>
      <c r="EH235" s="8" t="str">
        <f t="shared" si="450"/>
        <v/>
      </c>
    </row>
    <row r="236" spans="2:138" x14ac:dyDescent="0.3">
      <c r="B236" s="112"/>
      <c r="C236" s="27"/>
      <c r="D236" s="7" t="str">
        <f t="shared" si="387"/>
        <v/>
      </c>
      <c r="E236" s="25"/>
      <c r="F236" s="7" t="str">
        <f t="shared" si="387"/>
        <v/>
      </c>
      <c r="G236" s="25"/>
      <c r="H236" s="7" t="str">
        <f t="shared" si="387"/>
        <v/>
      </c>
      <c r="I236" s="25"/>
      <c r="J236" s="7" t="str">
        <f t="shared" si="387"/>
        <v/>
      </c>
      <c r="K236" s="25"/>
      <c r="L236" s="7" t="str">
        <f t="shared" si="388"/>
        <v/>
      </c>
      <c r="M236" s="25"/>
      <c r="N236" s="7" t="str">
        <f t="shared" si="389"/>
        <v/>
      </c>
      <c r="O236" s="81"/>
      <c r="P236" s="81" t="str">
        <f t="shared" si="390"/>
        <v/>
      </c>
      <c r="Q236" s="81"/>
      <c r="R236" s="7" t="str">
        <f t="shared" si="391"/>
        <v/>
      </c>
      <c r="S236" s="25"/>
      <c r="T236" s="7" t="str">
        <f t="shared" si="392"/>
        <v/>
      </c>
      <c r="U236" s="25"/>
      <c r="V236" s="7" t="str">
        <f t="shared" si="393"/>
        <v/>
      </c>
      <c r="W236" s="25"/>
      <c r="X236" s="7" t="str">
        <f t="shared" si="394"/>
        <v/>
      </c>
      <c r="Y236" s="18" t="str">
        <f t="shared" si="395"/>
        <v/>
      </c>
      <c r="Z236" s="7" t="str">
        <f t="shared" si="396"/>
        <v/>
      </c>
      <c r="AA236" s="18" t="str">
        <f t="shared" si="397"/>
        <v/>
      </c>
      <c r="AB236" s="19" t="str">
        <f t="shared" si="398"/>
        <v/>
      </c>
      <c r="AC236" s="26"/>
      <c r="AD236" s="26"/>
      <c r="AE236" s="25"/>
      <c r="AF236" s="26"/>
      <c r="AG236" s="25"/>
      <c r="AH236" s="25"/>
      <c r="AI236" s="18" t="str">
        <f t="shared" si="461"/>
        <v/>
      </c>
      <c r="AJ236" s="25"/>
      <c r="AK236" s="18" t="str">
        <f t="shared" si="462"/>
        <v/>
      </c>
      <c r="AL236" s="79"/>
      <c r="AM236" s="126" t="str">
        <f t="shared" si="463"/>
        <v/>
      </c>
      <c r="AN236" s="128" t="str">
        <f>IF(AP236&lt;&gt;"",VLOOKUP($P236&amp;" | "&amp;AN$6,'Job Master'!$F$12:$J$102,5,0),"")</f>
        <v/>
      </c>
      <c r="AO236" s="19" t="str">
        <f>IF(AP236&lt;&gt;"",VLOOKUP($P236&amp;" | "&amp;AN$6,'Job Master'!$F$12:$J$102,3,0),"")</f>
        <v/>
      </c>
      <c r="AP236" s="19" t="str">
        <f>IFERROR(IF(AND(AW236&lt;&gt;"",VLOOKUP($P236&amp;" | "&amp;AN$6,'Job Master'!$F$12:$I$102,4,0)&lt;&gt;""),IF(WEEKDAY(AW236-VLOOKUP($P236&amp;" | "&amp;AN$6,'Job Master'!$F$12:$I$102,4,0))&lt;&gt;7,AW236-VLOOKUP($P236&amp;" | "&amp;AN$6,'Job Master'!$F$12:$I$102,4,0),AW236-VLOOKUP($P236&amp;" | "&amp;AN$6,'Job Master'!$F$12:$I$102,4,0)-1),""),"")</f>
        <v/>
      </c>
      <c r="AQ236" s="73"/>
      <c r="AR236" s="123" t="str">
        <f t="shared" si="399"/>
        <v/>
      </c>
      <c r="AS236" s="123" t="str">
        <f t="shared" si="400"/>
        <v/>
      </c>
      <c r="AT236" s="97" t="str">
        <f t="shared" ca="1" si="401"/>
        <v/>
      </c>
      <c r="AU236" s="98" t="str">
        <f>IF(AW236&lt;&gt;"",VLOOKUP($P236&amp;" | "&amp;AU$6,'Job Master'!$F$12:$J$102,5,0),"")</f>
        <v/>
      </c>
      <c r="AV236" s="19" t="str">
        <f>IF(AW236&lt;&gt;"",VLOOKUP($P236&amp;" | "&amp;AU$6,'Job Master'!$F$12:$J$102,3,0),"")</f>
        <v/>
      </c>
      <c r="AW236" s="19" t="str">
        <f>IFERROR(IF(AND(BD236&lt;&gt;"",VLOOKUP($P236&amp;" | "&amp;AU$6,'Job Master'!$F$12:$I$102,4,0)&lt;&gt;""),IF(WEEKDAY(BD236-VLOOKUP($P236&amp;" | "&amp;AU$6,'Job Master'!$F$12:$I$102,4,0))&lt;&gt;7,BD236-VLOOKUP($P236&amp;" | "&amp;AU$6,'Job Master'!$F$12:$I$102,4,0),BD236-VLOOKUP($P236&amp;" | "&amp;AU$6,'Job Master'!$F$12:$I$102,4,0)-1),""),"")</f>
        <v/>
      </c>
      <c r="AX236" s="73"/>
      <c r="AY236" s="123" t="str">
        <f t="shared" si="402"/>
        <v/>
      </c>
      <c r="AZ236" s="123" t="str">
        <f t="shared" si="403"/>
        <v/>
      </c>
      <c r="BA236" s="97" t="str">
        <f t="shared" ca="1" si="404"/>
        <v/>
      </c>
      <c r="BB236" s="98" t="str">
        <f>IF(BD236&lt;&gt;"",VLOOKUP($P236&amp;" | "&amp;BB$6,'Job Master'!$F$12:$J$102,5,0),"")</f>
        <v/>
      </c>
      <c r="BC236" s="19" t="str">
        <f>IF(BD236&lt;&gt;"",VLOOKUP($P236&amp;" | "&amp;BB$6,'Job Master'!$F$12:$J$102,3,0),"")</f>
        <v/>
      </c>
      <c r="BD236" s="19" t="str">
        <f>IFERROR(IF(AND(BK236&lt;&gt;"",VLOOKUP($P236&amp;" | "&amp;BB$6,'Job Master'!$F$12:$I$102,4,0)&lt;&gt;""),IF(WEEKDAY(BK236-VLOOKUP($P236&amp;" | "&amp;BB$6,'Job Master'!$F$12:$I$102,4,0))&lt;&gt;7,BK236-VLOOKUP($P236&amp;" | "&amp;BB$6,'Job Master'!$F$12:$I$102,4,0),BK236-VLOOKUP($P236&amp;" | "&amp;BB$6,'Job Master'!$F$12:$I$102,4,0)-1),""),"")</f>
        <v/>
      </c>
      <c r="BE236" s="73"/>
      <c r="BF236" s="123" t="str">
        <f t="shared" si="405"/>
        <v/>
      </c>
      <c r="BG236" s="123" t="str">
        <f t="shared" si="406"/>
        <v/>
      </c>
      <c r="BH236" s="97" t="str">
        <f t="shared" ca="1" si="407"/>
        <v/>
      </c>
      <c r="BI236" s="98" t="str">
        <f>IF(BK236&lt;&gt;"",VLOOKUP($P236&amp;" | "&amp;BI$6,'Job Master'!$F$12:$J$102,5,0),"")</f>
        <v/>
      </c>
      <c r="BJ236" s="19" t="str">
        <f>IF(BK236&lt;&gt;"",VLOOKUP($P236&amp;" | "&amp;BI$6,'Job Master'!$F$12:$J$102,3,0),"")</f>
        <v/>
      </c>
      <c r="BK236" s="19" t="str">
        <f>IFERROR(IF(AND(BR236&lt;&gt;"",VLOOKUP($P236&amp;" | "&amp;BI$6,'Job Master'!$F$12:$I$102,4,0)&lt;&gt;""),IF(WEEKDAY(BR236-VLOOKUP($P236&amp;" | "&amp;BI$6,'Job Master'!$F$12:$I$102,4,0))&lt;&gt;7,BR236-VLOOKUP($P236&amp;" | "&amp;BI$6,'Job Master'!$F$12:$I$102,4,0),BR236-VLOOKUP($P236&amp;" | "&amp;BI$6,'Job Master'!$F$12:$I$102,4,0)-1),""),"")</f>
        <v/>
      </c>
      <c r="BL236" s="73"/>
      <c r="BM236" s="123" t="str">
        <f t="shared" si="408"/>
        <v/>
      </c>
      <c r="BN236" s="123" t="str">
        <f t="shared" si="409"/>
        <v/>
      </c>
      <c r="BO236" s="97" t="str">
        <f t="shared" ca="1" si="410"/>
        <v/>
      </c>
      <c r="BP236" s="98" t="str">
        <f>IF(BR236&lt;&gt;"",VLOOKUP($P236&amp;" | "&amp;BP$6,'Job Master'!$F$12:$J$102,5,0),"")</f>
        <v/>
      </c>
      <c r="BQ236" s="19" t="str">
        <f>IF(BR236&lt;&gt;"",VLOOKUP($P236&amp;" | "&amp;BP$6,'Job Master'!$F$12:$J$102,3,0),"")</f>
        <v/>
      </c>
      <c r="BR236" s="19" t="str">
        <f>IFERROR(IF(AND(BY236&lt;&gt;"",VLOOKUP($P236&amp;" | "&amp;BP$6,'Job Master'!$F$12:$I$102,4,0)&lt;&gt;""),IF(WEEKDAY(BY236-VLOOKUP($P236&amp;" | "&amp;BP$6,'Job Master'!$F$12:$I$102,4,0))&lt;&gt;7,BY236-VLOOKUP($P236&amp;" | "&amp;BP$6,'Job Master'!$F$12:$I$102,4,0),BY236-VLOOKUP($P236&amp;" | "&amp;BP$6,'Job Master'!$F$12:$I$102,4,0)-1),""),"")</f>
        <v/>
      </c>
      <c r="BS236" s="73"/>
      <c r="BT236" s="123" t="str">
        <f t="shared" si="411"/>
        <v/>
      </c>
      <c r="BU236" s="123" t="str">
        <f t="shared" si="412"/>
        <v/>
      </c>
      <c r="BV236" s="97" t="str">
        <f t="shared" ca="1" si="413"/>
        <v/>
      </c>
      <c r="BW236" s="98" t="str">
        <f>IF(BY236&lt;&gt;"",VLOOKUP($P236&amp;" | "&amp;BW$6,'Job Master'!$F$12:$J$102,5,0),"")</f>
        <v/>
      </c>
      <c r="BX236" s="19" t="str">
        <f>IF(BY236&lt;&gt;"",VLOOKUP($P236&amp;" | "&amp;BW$6,'Job Master'!$F$12:$J$102,3,0),"")</f>
        <v/>
      </c>
      <c r="BY236" s="19" t="str">
        <f>IFERROR(IF(AND(CF236&lt;&gt;"",VLOOKUP($P236&amp;" | "&amp;BW$6,'Job Master'!$F$12:$I$102,4,0)&lt;&gt;""),IF(WEEKDAY(CF236-VLOOKUP($P236&amp;" | "&amp;BW$6,'Job Master'!$F$12:$I$102,4,0))&lt;&gt;7,CF236-VLOOKUP($P236&amp;" | "&amp;BW$6,'Job Master'!$F$12:$I$102,4,0),CF236-VLOOKUP($P236&amp;" | "&amp;BW$6,'Job Master'!$F$12:$I$102,4,0)-1),""),"")</f>
        <v/>
      </c>
      <c r="BZ236" s="73"/>
      <c r="CA236" s="123" t="str">
        <f t="shared" si="414"/>
        <v/>
      </c>
      <c r="CB236" s="123" t="str">
        <f t="shared" si="415"/>
        <v/>
      </c>
      <c r="CC236" s="97" t="str">
        <f t="shared" ca="1" si="416"/>
        <v/>
      </c>
      <c r="CD236" s="98" t="str">
        <f>IF(CF236&lt;&gt;"",VLOOKUP($P236&amp;" | "&amp;CD$6,'Job Master'!$F$12:$J$102,5,0),"")</f>
        <v/>
      </c>
      <c r="CE236" s="19" t="str">
        <f>IF(CF236&lt;&gt;"",VLOOKUP($P236&amp;" | "&amp;CD$6,'Job Master'!$F$12:$J$102,3,0),"")</f>
        <v/>
      </c>
      <c r="CF236" s="19" t="str">
        <f>IFERROR(IF(AND(CM236&lt;&gt;"",VLOOKUP($P236&amp;" | "&amp;CD$6,'Job Master'!$F$12:$I$102,4,0)&lt;&gt;""),IF(WEEKDAY(CM236-VLOOKUP($P236&amp;" | "&amp;CD$6,'Job Master'!$F$12:$I$102,4,0))&lt;&gt;7,CM236-VLOOKUP($P236&amp;" | "&amp;CD$6,'Job Master'!$F$12:$I$102,4,0),CM236-VLOOKUP($P236&amp;" | "&amp;CD$6,'Job Master'!$F$12:$I$102,4,0)-1),""),"")</f>
        <v/>
      </c>
      <c r="CG236" s="73"/>
      <c r="CH236" s="123" t="str">
        <f t="shared" si="417"/>
        <v/>
      </c>
      <c r="CI236" s="123" t="str">
        <f t="shared" si="418"/>
        <v/>
      </c>
      <c r="CJ236" s="97" t="str">
        <f t="shared" ca="1" si="419"/>
        <v/>
      </c>
      <c r="CK236" s="98" t="str">
        <f>IF(CM236&lt;&gt;"",VLOOKUP($P236&amp;" | "&amp;CK$6,'Job Master'!$F$12:$J$102,5,0),"")</f>
        <v/>
      </c>
      <c r="CL236" s="19" t="str">
        <f>IF(CM236&lt;&gt;"",VLOOKUP($P236&amp;" | "&amp;CK$6,'Job Master'!$F$12:$J$102,3,0),"")</f>
        <v/>
      </c>
      <c r="CM236" s="19" t="str">
        <f>IFERROR(IF(AND(CT236&lt;&gt;"",VLOOKUP($P236&amp;" | "&amp;CK$6,'Job Master'!$F$12:$I$102,4,0)&lt;&gt;""),IF(WEEKDAY(CT236-VLOOKUP($P236&amp;" | "&amp;CK$6,'Job Master'!$F$12:$I$102,4,0))&lt;&gt;7,CT236-VLOOKUP($P236&amp;" | "&amp;CK$6,'Job Master'!$F$12:$I$102,4,0),CT236-VLOOKUP($P236&amp;" | "&amp;CK$6,'Job Master'!$F$12:$I$102,4,0)-1),""),"")</f>
        <v/>
      </c>
      <c r="CN236" s="73"/>
      <c r="CO236" s="123" t="str">
        <f t="shared" si="420"/>
        <v/>
      </c>
      <c r="CP236" s="123" t="str">
        <f t="shared" si="421"/>
        <v/>
      </c>
      <c r="CQ236" s="97" t="str">
        <f t="shared" ca="1" si="422"/>
        <v/>
      </c>
      <c r="CR236" s="98" t="str">
        <f>IF(CT236&lt;&gt;"",VLOOKUP($P236&amp;" | "&amp;CR$6,'Job Master'!$F$12:$J$102,5,0),"")</f>
        <v/>
      </c>
      <c r="CS236" s="19" t="str">
        <f>IF(CT236&lt;&gt;"",VLOOKUP($P236&amp;" | "&amp;CR$6,'Job Master'!$F$12:$J$102,3,0),"")</f>
        <v/>
      </c>
      <c r="CT236" s="19" t="str">
        <f>IFERROR(IF(AND(DA236&lt;&gt;"",VLOOKUP($P236&amp;" | "&amp;CR$6,'Job Master'!$F$12:$I$102,4,0)&lt;&gt;""),IF(WEEKDAY(DA236-VLOOKUP($P236&amp;" | "&amp;CR$6,'Job Master'!$F$12:$I$102,4,0))&lt;&gt;7,DA236-VLOOKUP($P236&amp;" | "&amp;CR$6,'Job Master'!$F$12:$I$102,4,0),DA236-VLOOKUP($P236&amp;" | "&amp;CR$6,'Job Master'!$F$12:$I$102,4,0)-1),""),"")</f>
        <v/>
      </c>
      <c r="CU236" s="73"/>
      <c r="CV236" s="123" t="str">
        <f t="shared" si="423"/>
        <v/>
      </c>
      <c r="CW236" s="123" t="str">
        <f t="shared" si="424"/>
        <v/>
      </c>
      <c r="CX236" s="97" t="str">
        <f t="shared" ca="1" si="425"/>
        <v/>
      </c>
      <c r="CY236" s="98" t="str">
        <f>IF(DA236&lt;&gt;"",VLOOKUP($P236&amp;" | "&amp;CY$6,'Job Master'!$F$12:$J$102,5,0),"")</f>
        <v/>
      </c>
      <c r="CZ236" s="19" t="str">
        <f>IF(DA236&lt;&gt;"",VLOOKUP($P236&amp;" | "&amp;CY$6,'Job Master'!$F$12:$J$102,3,0),"")</f>
        <v/>
      </c>
      <c r="DA236" s="19" t="str">
        <f>IFERROR(IF(AND(DH236&lt;&gt;"",VLOOKUP($P236&amp;" | "&amp;CY$6,'Job Master'!$F$12:$I$102,4,0)&lt;&gt;""),IF(WEEKDAY(DH236-VLOOKUP($P236&amp;" | "&amp;CY$6,'Job Master'!$F$12:$I$102,4,0))&lt;&gt;7,DH236-VLOOKUP($P236&amp;" | "&amp;CY$6,'Job Master'!$F$12:$I$102,4,0),DH236-VLOOKUP($P236&amp;" | "&amp;CY$6,'Job Master'!$F$12:$I$102,4,0)-1),""),"")</f>
        <v/>
      </c>
      <c r="DB236" s="73"/>
      <c r="DC236" s="123" t="str">
        <f t="shared" si="426"/>
        <v/>
      </c>
      <c r="DD236" s="123" t="str">
        <f t="shared" si="427"/>
        <v/>
      </c>
      <c r="DE236" s="97" t="str">
        <f t="shared" ca="1" si="428"/>
        <v/>
      </c>
      <c r="DF236" s="98" t="str">
        <f>IF(DH236&lt;&gt;"",VLOOKUP($P236&amp;" | "&amp;DF$6,'Job Master'!$F$12:$J$102,5,0),"")</f>
        <v/>
      </c>
      <c r="DG236" s="19" t="str">
        <f>IF(DH236&lt;&gt;"",VLOOKUP($P236&amp;" | "&amp;DF$6,'Job Master'!$F$12:$J$102,3,0),"")</f>
        <v/>
      </c>
      <c r="DH236" s="19" t="str">
        <f>IFERROR(IF(AND(DO236&lt;&gt;"",VLOOKUP($P236&amp;" | "&amp;DF$6,'Job Master'!$F$12:$I$102,4,0)&lt;&gt;""),IF(WEEKDAY(DO236-VLOOKUP($P236&amp;" | "&amp;DF$6,'Job Master'!$F$12:$I$102,4,0))&lt;&gt;7,DO236-VLOOKUP($P236&amp;" | "&amp;DF$6,'Job Master'!$F$12:$I$102,4,0),DO236-VLOOKUP($P236&amp;" | "&amp;DF$6,'Job Master'!$F$12:$I$102,4,0)-1),""),"")</f>
        <v/>
      </c>
      <c r="DI236" s="73"/>
      <c r="DJ236" s="123" t="str">
        <f t="shared" si="429"/>
        <v/>
      </c>
      <c r="DK236" s="123" t="str">
        <f t="shared" si="430"/>
        <v/>
      </c>
      <c r="DL236" s="97" t="str">
        <f t="shared" ca="1" si="431"/>
        <v/>
      </c>
      <c r="DM236" s="98" t="str">
        <f>IF(DO236&lt;&gt;"",VLOOKUP($P236&amp;" | "&amp;DM$6,'Job Master'!$F$12:$J$102,5,0),"")</f>
        <v/>
      </c>
      <c r="DN236" s="19" t="str">
        <f>IF(DO236&lt;&gt;"",VLOOKUP($P236&amp;" | "&amp;DM$6,'Job Master'!$F$12:$J$102,3,0),"")</f>
        <v/>
      </c>
      <c r="DO236" s="19" t="str">
        <f>IFERROR(IF(AND(DT236&lt;&gt;"",VLOOKUP($P236&amp;" | "&amp;DM$6,'Job Master'!$F$12:$I$102,4,0)&lt;&gt;""),IF(WEEKDAY(DT236-VLOOKUP($P236&amp;" | "&amp;DM$6,'Job Master'!$F$12:$I$102,4,0))&lt;&gt;7,DT236-VLOOKUP($P236&amp;" | "&amp;DM$6,'Job Master'!$F$12:$I$102,4,0),DT236-VLOOKUP($P236&amp;" | "&amp;DM$6,'Job Master'!$F$12:$I$102,4,0)-1),""),"")</f>
        <v/>
      </c>
      <c r="DP236" s="73"/>
      <c r="DQ236" s="123" t="str">
        <f t="shared" si="432"/>
        <v/>
      </c>
      <c r="DR236" s="123" t="str">
        <f t="shared" si="433"/>
        <v/>
      </c>
      <c r="DS236" s="97" t="str">
        <f t="shared" ca="1" si="434"/>
        <v/>
      </c>
      <c r="DT236" s="70" t="str">
        <f t="shared" si="435"/>
        <v/>
      </c>
      <c r="DU236" s="90"/>
      <c r="DV236" s="123" t="str">
        <f t="shared" si="436"/>
        <v/>
      </c>
      <c r="DW236" s="123" t="str">
        <f t="shared" si="437"/>
        <v/>
      </c>
      <c r="DX236" s="132" t="str">
        <f t="shared" ref="DX236" ca="1" si="483">IF(DT236&lt;&gt;"",IF(WEEKNUM(DT236)=WEEKNUM(TODAY()),"This Week",IF(WEEKNUM(DT236)=WEEKNUM(TODAY())+1,"Next Week",IF(WEEKNUM(DT236)=WEEKNUM(TODAY())-1,"Previous Week",""))),"")</f>
        <v/>
      </c>
      <c r="DY236" s="134" t="str">
        <f t="shared" si="439"/>
        <v/>
      </c>
      <c r="DZ236" s="95"/>
      <c r="EB236" s="8" t="str">
        <f t="shared" si="445"/>
        <v/>
      </c>
      <c r="EC236" s="8" t="str">
        <f>IF(O236&lt;&gt;"",VLOOKUP(O236,'Job Master'!$N$12:$O$18,2,0),"")</f>
        <v/>
      </c>
      <c r="ED236" s="8">
        <f t="shared" si="446"/>
        <v>19.5</v>
      </c>
      <c r="EE236" s="8">
        <f t="shared" si="447"/>
        <v>6</v>
      </c>
      <c r="EF236" s="8">
        <f t="shared" si="448"/>
        <v>-1336.5</v>
      </c>
      <c r="EG236" s="8" t="str">
        <f t="shared" si="449"/>
        <v/>
      </c>
      <c r="EH236" s="8" t="str">
        <f t="shared" si="450"/>
        <v/>
      </c>
    </row>
    <row r="237" spans="2:138" x14ac:dyDescent="0.3">
      <c r="B237" s="112"/>
      <c r="C237" s="27"/>
      <c r="D237" s="7" t="str">
        <f t="shared" si="387"/>
        <v/>
      </c>
      <c r="E237" s="25"/>
      <c r="F237" s="7" t="str">
        <f t="shared" si="387"/>
        <v/>
      </c>
      <c r="G237" s="25"/>
      <c r="H237" s="7" t="str">
        <f t="shared" si="387"/>
        <v/>
      </c>
      <c r="I237" s="25"/>
      <c r="J237" s="7" t="str">
        <f t="shared" si="387"/>
        <v/>
      </c>
      <c r="K237" s="25"/>
      <c r="L237" s="7" t="str">
        <f t="shared" si="388"/>
        <v/>
      </c>
      <c r="M237" s="25"/>
      <c r="N237" s="7" t="str">
        <f t="shared" si="389"/>
        <v/>
      </c>
      <c r="O237" s="81"/>
      <c r="P237" s="81" t="str">
        <f t="shared" si="390"/>
        <v/>
      </c>
      <c r="Q237" s="81"/>
      <c r="R237" s="7" t="str">
        <f t="shared" si="391"/>
        <v/>
      </c>
      <c r="S237" s="25"/>
      <c r="T237" s="7" t="str">
        <f t="shared" si="392"/>
        <v/>
      </c>
      <c r="U237" s="25"/>
      <c r="V237" s="7" t="str">
        <f t="shared" si="393"/>
        <v/>
      </c>
      <c r="W237" s="25"/>
      <c r="X237" s="7" t="str">
        <f t="shared" si="394"/>
        <v/>
      </c>
      <c r="Y237" s="18" t="str">
        <f t="shared" si="395"/>
        <v/>
      </c>
      <c r="Z237" s="7" t="str">
        <f t="shared" si="396"/>
        <v/>
      </c>
      <c r="AA237" s="18" t="str">
        <f t="shared" si="397"/>
        <v/>
      </c>
      <c r="AB237" s="19" t="str">
        <f t="shared" si="398"/>
        <v/>
      </c>
      <c r="AC237" s="26"/>
      <c r="AD237" s="26"/>
      <c r="AE237" s="25"/>
      <c r="AF237" s="26"/>
      <c r="AG237" s="25"/>
      <c r="AH237" s="25"/>
      <c r="AI237" s="18" t="str">
        <f t="shared" si="461"/>
        <v/>
      </c>
      <c r="AJ237" s="25"/>
      <c r="AK237" s="18" t="str">
        <f t="shared" si="462"/>
        <v/>
      </c>
      <c r="AL237" s="79"/>
      <c r="AM237" s="126" t="str">
        <f t="shared" si="463"/>
        <v/>
      </c>
      <c r="AN237" s="128" t="str">
        <f>IF(AP237&lt;&gt;"",VLOOKUP($P237&amp;" | "&amp;AN$6,'Job Master'!$F$12:$J$102,5,0),"")</f>
        <v/>
      </c>
      <c r="AO237" s="19" t="str">
        <f>IF(AP237&lt;&gt;"",VLOOKUP($P237&amp;" | "&amp;AN$6,'Job Master'!$F$12:$J$102,3,0),"")</f>
        <v/>
      </c>
      <c r="AP237" s="19" t="str">
        <f>IFERROR(IF(AND(AW237&lt;&gt;"",VLOOKUP($P237&amp;" | "&amp;AN$6,'Job Master'!$F$12:$I$102,4,0)&lt;&gt;""),IF(WEEKDAY(AW237-VLOOKUP($P237&amp;" | "&amp;AN$6,'Job Master'!$F$12:$I$102,4,0))&lt;&gt;7,AW237-VLOOKUP($P237&amp;" | "&amp;AN$6,'Job Master'!$F$12:$I$102,4,0),AW237-VLOOKUP($P237&amp;" | "&amp;AN$6,'Job Master'!$F$12:$I$102,4,0)-1),""),"")</f>
        <v/>
      </c>
      <c r="AQ237" s="73"/>
      <c r="AR237" s="123" t="str">
        <f t="shared" si="399"/>
        <v/>
      </c>
      <c r="AS237" s="123" t="str">
        <f t="shared" si="400"/>
        <v/>
      </c>
      <c r="AT237" s="97" t="str">
        <f t="shared" ca="1" si="401"/>
        <v/>
      </c>
      <c r="AU237" s="98" t="str">
        <f>IF(AW237&lt;&gt;"",VLOOKUP($P237&amp;" | "&amp;AU$6,'Job Master'!$F$12:$J$102,5,0),"")</f>
        <v/>
      </c>
      <c r="AV237" s="19" t="str">
        <f>IF(AW237&lt;&gt;"",VLOOKUP($P237&amp;" | "&amp;AU$6,'Job Master'!$F$12:$J$102,3,0),"")</f>
        <v/>
      </c>
      <c r="AW237" s="19" t="str">
        <f>IFERROR(IF(AND(BD237&lt;&gt;"",VLOOKUP($P237&amp;" | "&amp;AU$6,'Job Master'!$F$12:$I$102,4,0)&lt;&gt;""),IF(WEEKDAY(BD237-VLOOKUP($P237&amp;" | "&amp;AU$6,'Job Master'!$F$12:$I$102,4,0))&lt;&gt;7,BD237-VLOOKUP($P237&amp;" | "&amp;AU$6,'Job Master'!$F$12:$I$102,4,0),BD237-VLOOKUP($P237&amp;" | "&amp;AU$6,'Job Master'!$F$12:$I$102,4,0)-1),""),"")</f>
        <v/>
      </c>
      <c r="AX237" s="73"/>
      <c r="AY237" s="123" t="str">
        <f t="shared" si="402"/>
        <v/>
      </c>
      <c r="AZ237" s="123" t="str">
        <f t="shared" si="403"/>
        <v/>
      </c>
      <c r="BA237" s="97" t="str">
        <f t="shared" ca="1" si="404"/>
        <v/>
      </c>
      <c r="BB237" s="98" t="str">
        <f>IF(BD237&lt;&gt;"",VLOOKUP($P237&amp;" | "&amp;BB$6,'Job Master'!$F$12:$J$102,5,0),"")</f>
        <v/>
      </c>
      <c r="BC237" s="19" t="str">
        <f>IF(BD237&lt;&gt;"",VLOOKUP($P237&amp;" | "&amp;BB$6,'Job Master'!$F$12:$J$102,3,0),"")</f>
        <v/>
      </c>
      <c r="BD237" s="19" t="str">
        <f>IFERROR(IF(AND(BK237&lt;&gt;"",VLOOKUP($P237&amp;" | "&amp;BB$6,'Job Master'!$F$12:$I$102,4,0)&lt;&gt;""),IF(WEEKDAY(BK237-VLOOKUP($P237&amp;" | "&amp;BB$6,'Job Master'!$F$12:$I$102,4,0))&lt;&gt;7,BK237-VLOOKUP($P237&amp;" | "&amp;BB$6,'Job Master'!$F$12:$I$102,4,0),BK237-VLOOKUP($P237&amp;" | "&amp;BB$6,'Job Master'!$F$12:$I$102,4,0)-1),""),"")</f>
        <v/>
      </c>
      <c r="BE237" s="73"/>
      <c r="BF237" s="123" t="str">
        <f t="shared" si="405"/>
        <v/>
      </c>
      <c r="BG237" s="123" t="str">
        <f t="shared" si="406"/>
        <v/>
      </c>
      <c r="BH237" s="97" t="str">
        <f t="shared" ca="1" si="407"/>
        <v/>
      </c>
      <c r="BI237" s="98" t="str">
        <f>IF(BK237&lt;&gt;"",VLOOKUP($P237&amp;" | "&amp;BI$6,'Job Master'!$F$12:$J$102,5,0),"")</f>
        <v/>
      </c>
      <c r="BJ237" s="19" t="str">
        <f>IF(BK237&lt;&gt;"",VLOOKUP($P237&amp;" | "&amp;BI$6,'Job Master'!$F$12:$J$102,3,0),"")</f>
        <v/>
      </c>
      <c r="BK237" s="19" t="str">
        <f>IFERROR(IF(AND(BR237&lt;&gt;"",VLOOKUP($P237&amp;" | "&amp;BI$6,'Job Master'!$F$12:$I$102,4,0)&lt;&gt;""),IF(WEEKDAY(BR237-VLOOKUP($P237&amp;" | "&amp;BI$6,'Job Master'!$F$12:$I$102,4,0))&lt;&gt;7,BR237-VLOOKUP($P237&amp;" | "&amp;BI$6,'Job Master'!$F$12:$I$102,4,0),BR237-VLOOKUP($P237&amp;" | "&amp;BI$6,'Job Master'!$F$12:$I$102,4,0)-1),""),"")</f>
        <v/>
      </c>
      <c r="BL237" s="73"/>
      <c r="BM237" s="123" t="str">
        <f t="shared" si="408"/>
        <v/>
      </c>
      <c r="BN237" s="123" t="str">
        <f t="shared" si="409"/>
        <v/>
      </c>
      <c r="BO237" s="97" t="str">
        <f t="shared" ca="1" si="410"/>
        <v/>
      </c>
      <c r="BP237" s="98" t="str">
        <f>IF(BR237&lt;&gt;"",VLOOKUP($P237&amp;" | "&amp;BP$6,'Job Master'!$F$12:$J$102,5,0),"")</f>
        <v/>
      </c>
      <c r="BQ237" s="19" t="str">
        <f>IF(BR237&lt;&gt;"",VLOOKUP($P237&amp;" | "&amp;BP$6,'Job Master'!$F$12:$J$102,3,0),"")</f>
        <v/>
      </c>
      <c r="BR237" s="19" t="str">
        <f>IFERROR(IF(AND(BY237&lt;&gt;"",VLOOKUP($P237&amp;" | "&amp;BP$6,'Job Master'!$F$12:$I$102,4,0)&lt;&gt;""),IF(WEEKDAY(BY237-VLOOKUP($P237&amp;" | "&amp;BP$6,'Job Master'!$F$12:$I$102,4,0))&lt;&gt;7,BY237-VLOOKUP($P237&amp;" | "&amp;BP$6,'Job Master'!$F$12:$I$102,4,0),BY237-VLOOKUP($P237&amp;" | "&amp;BP$6,'Job Master'!$F$12:$I$102,4,0)-1),""),"")</f>
        <v/>
      </c>
      <c r="BS237" s="73"/>
      <c r="BT237" s="123" t="str">
        <f t="shared" si="411"/>
        <v/>
      </c>
      <c r="BU237" s="123" t="str">
        <f t="shared" si="412"/>
        <v/>
      </c>
      <c r="BV237" s="97" t="str">
        <f t="shared" ca="1" si="413"/>
        <v/>
      </c>
      <c r="BW237" s="98" t="str">
        <f>IF(BY237&lt;&gt;"",VLOOKUP($P237&amp;" | "&amp;BW$6,'Job Master'!$F$12:$J$102,5,0),"")</f>
        <v/>
      </c>
      <c r="BX237" s="19" t="str">
        <f>IF(BY237&lt;&gt;"",VLOOKUP($P237&amp;" | "&amp;BW$6,'Job Master'!$F$12:$J$102,3,0),"")</f>
        <v/>
      </c>
      <c r="BY237" s="19" t="str">
        <f>IFERROR(IF(AND(CF237&lt;&gt;"",VLOOKUP($P237&amp;" | "&amp;BW$6,'Job Master'!$F$12:$I$102,4,0)&lt;&gt;""),IF(WEEKDAY(CF237-VLOOKUP($P237&amp;" | "&amp;BW$6,'Job Master'!$F$12:$I$102,4,0))&lt;&gt;7,CF237-VLOOKUP($P237&amp;" | "&amp;BW$6,'Job Master'!$F$12:$I$102,4,0),CF237-VLOOKUP($P237&amp;" | "&amp;BW$6,'Job Master'!$F$12:$I$102,4,0)-1),""),"")</f>
        <v/>
      </c>
      <c r="BZ237" s="73"/>
      <c r="CA237" s="123" t="str">
        <f t="shared" si="414"/>
        <v/>
      </c>
      <c r="CB237" s="123" t="str">
        <f t="shared" si="415"/>
        <v/>
      </c>
      <c r="CC237" s="97" t="str">
        <f t="shared" ca="1" si="416"/>
        <v/>
      </c>
      <c r="CD237" s="98" t="str">
        <f>IF(CF237&lt;&gt;"",VLOOKUP($P237&amp;" | "&amp;CD$6,'Job Master'!$F$12:$J$102,5,0),"")</f>
        <v/>
      </c>
      <c r="CE237" s="19" t="str">
        <f>IF(CF237&lt;&gt;"",VLOOKUP($P237&amp;" | "&amp;CD$6,'Job Master'!$F$12:$J$102,3,0),"")</f>
        <v/>
      </c>
      <c r="CF237" s="19" t="str">
        <f>IFERROR(IF(AND(CM237&lt;&gt;"",VLOOKUP($P237&amp;" | "&amp;CD$6,'Job Master'!$F$12:$I$102,4,0)&lt;&gt;""),IF(WEEKDAY(CM237-VLOOKUP($P237&amp;" | "&amp;CD$6,'Job Master'!$F$12:$I$102,4,0))&lt;&gt;7,CM237-VLOOKUP($P237&amp;" | "&amp;CD$6,'Job Master'!$F$12:$I$102,4,0),CM237-VLOOKUP($P237&amp;" | "&amp;CD$6,'Job Master'!$F$12:$I$102,4,0)-1),""),"")</f>
        <v/>
      </c>
      <c r="CG237" s="73"/>
      <c r="CH237" s="123" t="str">
        <f t="shared" si="417"/>
        <v/>
      </c>
      <c r="CI237" s="123" t="str">
        <f t="shared" si="418"/>
        <v/>
      </c>
      <c r="CJ237" s="97" t="str">
        <f t="shared" ca="1" si="419"/>
        <v/>
      </c>
      <c r="CK237" s="98" t="str">
        <f>IF(CM237&lt;&gt;"",VLOOKUP($P237&amp;" | "&amp;CK$6,'Job Master'!$F$12:$J$102,5,0),"")</f>
        <v/>
      </c>
      <c r="CL237" s="19" t="str">
        <f>IF(CM237&lt;&gt;"",VLOOKUP($P237&amp;" | "&amp;CK$6,'Job Master'!$F$12:$J$102,3,0),"")</f>
        <v/>
      </c>
      <c r="CM237" s="19" t="str">
        <f>IFERROR(IF(AND(CT237&lt;&gt;"",VLOOKUP($P237&amp;" | "&amp;CK$6,'Job Master'!$F$12:$I$102,4,0)&lt;&gt;""),IF(WEEKDAY(CT237-VLOOKUP($P237&amp;" | "&amp;CK$6,'Job Master'!$F$12:$I$102,4,0))&lt;&gt;7,CT237-VLOOKUP($P237&amp;" | "&amp;CK$6,'Job Master'!$F$12:$I$102,4,0),CT237-VLOOKUP($P237&amp;" | "&amp;CK$6,'Job Master'!$F$12:$I$102,4,0)-1),""),"")</f>
        <v/>
      </c>
      <c r="CN237" s="73"/>
      <c r="CO237" s="123" t="str">
        <f t="shared" si="420"/>
        <v/>
      </c>
      <c r="CP237" s="123" t="str">
        <f t="shared" si="421"/>
        <v/>
      </c>
      <c r="CQ237" s="97" t="str">
        <f t="shared" ca="1" si="422"/>
        <v/>
      </c>
      <c r="CR237" s="98" t="str">
        <f>IF(CT237&lt;&gt;"",VLOOKUP($P237&amp;" | "&amp;CR$6,'Job Master'!$F$12:$J$102,5,0),"")</f>
        <v/>
      </c>
      <c r="CS237" s="19" t="str">
        <f>IF(CT237&lt;&gt;"",VLOOKUP($P237&amp;" | "&amp;CR$6,'Job Master'!$F$12:$J$102,3,0),"")</f>
        <v/>
      </c>
      <c r="CT237" s="19" t="str">
        <f>IFERROR(IF(AND(DA237&lt;&gt;"",VLOOKUP($P237&amp;" | "&amp;CR$6,'Job Master'!$F$12:$I$102,4,0)&lt;&gt;""),IF(WEEKDAY(DA237-VLOOKUP($P237&amp;" | "&amp;CR$6,'Job Master'!$F$12:$I$102,4,0))&lt;&gt;7,DA237-VLOOKUP($P237&amp;" | "&amp;CR$6,'Job Master'!$F$12:$I$102,4,0),DA237-VLOOKUP($P237&amp;" | "&amp;CR$6,'Job Master'!$F$12:$I$102,4,0)-1),""),"")</f>
        <v/>
      </c>
      <c r="CU237" s="73"/>
      <c r="CV237" s="123" t="str">
        <f t="shared" si="423"/>
        <v/>
      </c>
      <c r="CW237" s="123" t="str">
        <f t="shared" si="424"/>
        <v/>
      </c>
      <c r="CX237" s="97" t="str">
        <f t="shared" ca="1" si="425"/>
        <v/>
      </c>
      <c r="CY237" s="98" t="str">
        <f>IF(DA237&lt;&gt;"",VLOOKUP($P237&amp;" | "&amp;CY$6,'Job Master'!$F$12:$J$102,5,0),"")</f>
        <v/>
      </c>
      <c r="CZ237" s="19" t="str">
        <f>IF(DA237&lt;&gt;"",VLOOKUP($P237&amp;" | "&amp;CY$6,'Job Master'!$F$12:$J$102,3,0),"")</f>
        <v/>
      </c>
      <c r="DA237" s="19" t="str">
        <f>IFERROR(IF(AND(DH237&lt;&gt;"",VLOOKUP($P237&amp;" | "&amp;CY$6,'Job Master'!$F$12:$I$102,4,0)&lt;&gt;""),IF(WEEKDAY(DH237-VLOOKUP($P237&amp;" | "&amp;CY$6,'Job Master'!$F$12:$I$102,4,0))&lt;&gt;7,DH237-VLOOKUP($P237&amp;" | "&amp;CY$6,'Job Master'!$F$12:$I$102,4,0),DH237-VLOOKUP($P237&amp;" | "&amp;CY$6,'Job Master'!$F$12:$I$102,4,0)-1),""),"")</f>
        <v/>
      </c>
      <c r="DB237" s="73"/>
      <c r="DC237" s="123" t="str">
        <f t="shared" si="426"/>
        <v/>
      </c>
      <c r="DD237" s="123" t="str">
        <f t="shared" si="427"/>
        <v/>
      </c>
      <c r="DE237" s="97" t="str">
        <f t="shared" ca="1" si="428"/>
        <v/>
      </c>
      <c r="DF237" s="98" t="str">
        <f>IF(DH237&lt;&gt;"",VLOOKUP($P237&amp;" | "&amp;DF$6,'Job Master'!$F$12:$J$102,5,0),"")</f>
        <v/>
      </c>
      <c r="DG237" s="19" t="str">
        <f>IF(DH237&lt;&gt;"",VLOOKUP($P237&amp;" | "&amp;DF$6,'Job Master'!$F$12:$J$102,3,0),"")</f>
        <v/>
      </c>
      <c r="DH237" s="19" t="str">
        <f>IFERROR(IF(AND(DO237&lt;&gt;"",VLOOKUP($P237&amp;" | "&amp;DF$6,'Job Master'!$F$12:$I$102,4,0)&lt;&gt;""),IF(WEEKDAY(DO237-VLOOKUP($P237&amp;" | "&amp;DF$6,'Job Master'!$F$12:$I$102,4,0))&lt;&gt;7,DO237-VLOOKUP($P237&amp;" | "&amp;DF$6,'Job Master'!$F$12:$I$102,4,0),DO237-VLOOKUP($P237&amp;" | "&amp;DF$6,'Job Master'!$F$12:$I$102,4,0)-1),""),"")</f>
        <v/>
      </c>
      <c r="DI237" s="73"/>
      <c r="DJ237" s="123" t="str">
        <f t="shared" si="429"/>
        <v/>
      </c>
      <c r="DK237" s="123" t="str">
        <f t="shared" si="430"/>
        <v/>
      </c>
      <c r="DL237" s="97" t="str">
        <f t="shared" ca="1" si="431"/>
        <v/>
      </c>
      <c r="DM237" s="98" t="str">
        <f>IF(DO237&lt;&gt;"",VLOOKUP($P237&amp;" | "&amp;DM$6,'Job Master'!$F$12:$J$102,5,0),"")</f>
        <v/>
      </c>
      <c r="DN237" s="19" t="str">
        <f>IF(DO237&lt;&gt;"",VLOOKUP($P237&amp;" | "&amp;DM$6,'Job Master'!$F$12:$J$102,3,0),"")</f>
        <v/>
      </c>
      <c r="DO237" s="19" t="str">
        <f>IFERROR(IF(AND(DT237&lt;&gt;"",VLOOKUP($P237&amp;" | "&amp;DM$6,'Job Master'!$F$12:$I$102,4,0)&lt;&gt;""),IF(WEEKDAY(DT237-VLOOKUP($P237&amp;" | "&amp;DM$6,'Job Master'!$F$12:$I$102,4,0))&lt;&gt;7,DT237-VLOOKUP($P237&amp;" | "&amp;DM$6,'Job Master'!$F$12:$I$102,4,0),DT237-VLOOKUP($P237&amp;" | "&amp;DM$6,'Job Master'!$F$12:$I$102,4,0)-1),""),"")</f>
        <v/>
      </c>
      <c r="DP237" s="73"/>
      <c r="DQ237" s="123" t="str">
        <f t="shared" si="432"/>
        <v/>
      </c>
      <c r="DR237" s="123" t="str">
        <f t="shared" si="433"/>
        <v/>
      </c>
      <c r="DS237" s="97" t="str">
        <f t="shared" ca="1" si="434"/>
        <v/>
      </c>
      <c r="DT237" s="70" t="str">
        <f t="shared" si="435"/>
        <v/>
      </c>
      <c r="DU237" s="90"/>
      <c r="DV237" s="123" t="str">
        <f t="shared" si="436"/>
        <v/>
      </c>
      <c r="DW237" s="123" t="str">
        <f t="shared" si="437"/>
        <v/>
      </c>
      <c r="DX237" s="132" t="str">
        <f t="shared" ref="DX237" ca="1" si="484">IF(DT237&lt;&gt;"",IF(WEEKNUM(DT237)=WEEKNUM(TODAY()),"This Week",IF(WEEKNUM(DT237)=WEEKNUM(TODAY())+1,"Next Week",IF(WEEKNUM(DT237)=WEEKNUM(TODAY())-1,"Previous Week",""))),"")</f>
        <v/>
      </c>
      <c r="DY237" s="134" t="str">
        <f t="shared" si="439"/>
        <v/>
      </c>
      <c r="DZ237" s="95"/>
      <c r="EB237" s="8" t="str">
        <f t="shared" si="445"/>
        <v/>
      </c>
      <c r="EC237" s="8" t="str">
        <f>IF(O237&lt;&gt;"",VLOOKUP(O237,'Job Master'!$N$12:$O$18,2,0),"")</f>
        <v/>
      </c>
      <c r="ED237" s="8">
        <f t="shared" si="446"/>
        <v>19.5</v>
      </c>
      <c r="EE237" s="8">
        <f t="shared" si="447"/>
        <v>6</v>
      </c>
      <c r="EF237" s="8">
        <f t="shared" si="448"/>
        <v>-1342.5</v>
      </c>
      <c r="EG237" s="8" t="str">
        <f t="shared" si="449"/>
        <v/>
      </c>
      <c r="EH237" s="8" t="str">
        <f t="shared" si="450"/>
        <v/>
      </c>
    </row>
    <row r="238" spans="2:138" x14ac:dyDescent="0.3">
      <c r="B238" s="112"/>
      <c r="C238" s="27"/>
      <c r="D238" s="7" t="str">
        <f t="shared" si="387"/>
        <v/>
      </c>
      <c r="E238" s="25"/>
      <c r="F238" s="7" t="str">
        <f t="shared" si="387"/>
        <v/>
      </c>
      <c r="G238" s="25"/>
      <c r="H238" s="7" t="str">
        <f t="shared" si="387"/>
        <v/>
      </c>
      <c r="I238" s="25"/>
      <c r="J238" s="7" t="str">
        <f t="shared" si="387"/>
        <v/>
      </c>
      <c r="K238" s="25"/>
      <c r="L238" s="7" t="str">
        <f t="shared" si="388"/>
        <v/>
      </c>
      <c r="M238" s="25"/>
      <c r="N238" s="7" t="str">
        <f t="shared" si="389"/>
        <v/>
      </c>
      <c r="O238" s="81"/>
      <c r="P238" s="81" t="str">
        <f t="shared" si="390"/>
        <v/>
      </c>
      <c r="Q238" s="81"/>
      <c r="R238" s="7" t="str">
        <f t="shared" si="391"/>
        <v/>
      </c>
      <c r="S238" s="25"/>
      <c r="T238" s="7" t="str">
        <f t="shared" si="392"/>
        <v/>
      </c>
      <c r="U238" s="25"/>
      <c r="V238" s="7" t="str">
        <f t="shared" si="393"/>
        <v/>
      </c>
      <c r="W238" s="25"/>
      <c r="X238" s="7" t="str">
        <f t="shared" si="394"/>
        <v/>
      </c>
      <c r="Y238" s="18" t="str">
        <f t="shared" si="395"/>
        <v/>
      </c>
      <c r="Z238" s="7" t="str">
        <f t="shared" si="396"/>
        <v/>
      </c>
      <c r="AA238" s="18" t="str">
        <f t="shared" si="397"/>
        <v/>
      </c>
      <c r="AB238" s="19" t="str">
        <f t="shared" si="398"/>
        <v/>
      </c>
      <c r="AC238" s="26"/>
      <c r="AD238" s="26"/>
      <c r="AE238" s="25"/>
      <c r="AF238" s="26"/>
      <c r="AG238" s="25"/>
      <c r="AH238" s="25"/>
      <c r="AI238" s="18" t="str">
        <f t="shared" si="461"/>
        <v/>
      </c>
      <c r="AJ238" s="25"/>
      <c r="AK238" s="18" t="str">
        <f t="shared" si="462"/>
        <v/>
      </c>
      <c r="AL238" s="79"/>
      <c r="AM238" s="126" t="str">
        <f t="shared" si="463"/>
        <v/>
      </c>
      <c r="AN238" s="128" t="str">
        <f>IF(AP238&lt;&gt;"",VLOOKUP($P238&amp;" | "&amp;AN$6,'Job Master'!$F$12:$J$102,5,0),"")</f>
        <v/>
      </c>
      <c r="AO238" s="19" t="str">
        <f>IF(AP238&lt;&gt;"",VLOOKUP($P238&amp;" | "&amp;AN$6,'Job Master'!$F$12:$J$102,3,0),"")</f>
        <v/>
      </c>
      <c r="AP238" s="19" t="str">
        <f>IFERROR(IF(AND(AW238&lt;&gt;"",VLOOKUP($P238&amp;" | "&amp;AN$6,'Job Master'!$F$12:$I$102,4,0)&lt;&gt;""),IF(WEEKDAY(AW238-VLOOKUP($P238&amp;" | "&amp;AN$6,'Job Master'!$F$12:$I$102,4,0))&lt;&gt;7,AW238-VLOOKUP($P238&amp;" | "&amp;AN$6,'Job Master'!$F$12:$I$102,4,0),AW238-VLOOKUP($P238&amp;" | "&amp;AN$6,'Job Master'!$F$12:$I$102,4,0)-1),""),"")</f>
        <v/>
      </c>
      <c r="AQ238" s="73"/>
      <c r="AR238" s="123" t="str">
        <f t="shared" si="399"/>
        <v/>
      </c>
      <c r="AS238" s="123" t="str">
        <f t="shared" si="400"/>
        <v/>
      </c>
      <c r="AT238" s="97" t="str">
        <f t="shared" ca="1" si="401"/>
        <v/>
      </c>
      <c r="AU238" s="98" t="str">
        <f>IF(AW238&lt;&gt;"",VLOOKUP($P238&amp;" | "&amp;AU$6,'Job Master'!$F$12:$J$102,5,0),"")</f>
        <v/>
      </c>
      <c r="AV238" s="19" t="str">
        <f>IF(AW238&lt;&gt;"",VLOOKUP($P238&amp;" | "&amp;AU$6,'Job Master'!$F$12:$J$102,3,0),"")</f>
        <v/>
      </c>
      <c r="AW238" s="19" t="str">
        <f>IFERROR(IF(AND(BD238&lt;&gt;"",VLOOKUP($P238&amp;" | "&amp;AU$6,'Job Master'!$F$12:$I$102,4,0)&lt;&gt;""),IF(WEEKDAY(BD238-VLOOKUP($P238&amp;" | "&amp;AU$6,'Job Master'!$F$12:$I$102,4,0))&lt;&gt;7,BD238-VLOOKUP($P238&amp;" | "&amp;AU$6,'Job Master'!$F$12:$I$102,4,0),BD238-VLOOKUP($P238&amp;" | "&amp;AU$6,'Job Master'!$F$12:$I$102,4,0)-1),""),"")</f>
        <v/>
      </c>
      <c r="AX238" s="73"/>
      <c r="AY238" s="123" t="str">
        <f t="shared" si="402"/>
        <v/>
      </c>
      <c r="AZ238" s="123" t="str">
        <f t="shared" si="403"/>
        <v/>
      </c>
      <c r="BA238" s="97" t="str">
        <f t="shared" ca="1" si="404"/>
        <v/>
      </c>
      <c r="BB238" s="98" t="str">
        <f>IF(BD238&lt;&gt;"",VLOOKUP($P238&amp;" | "&amp;BB$6,'Job Master'!$F$12:$J$102,5,0),"")</f>
        <v/>
      </c>
      <c r="BC238" s="19" t="str">
        <f>IF(BD238&lt;&gt;"",VLOOKUP($P238&amp;" | "&amp;BB$6,'Job Master'!$F$12:$J$102,3,0),"")</f>
        <v/>
      </c>
      <c r="BD238" s="19" t="str">
        <f>IFERROR(IF(AND(BK238&lt;&gt;"",VLOOKUP($P238&amp;" | "&amp;BB$6,'Job Master'!$F$12:$I$102,4,0)&lt;&gt;""),IF(WEEKDAY(BK238-VLOOKUP($P238&amp;" | "&amp;BB$6,'Job Master'!$F$12:$I$102,4,0))&lt;&gt;7,BK238-VLOOKUP($P238&amp;" | "&amp;BB$6,'Job Master'!$F$12:$I$102,4,0),BK238-VLOOKUP($P238&amp;" | "&amp;BB$6,'Job Master'!$F$12:$I$102,4,0)-1),""),"")</f>
        <v/>
      </c>
      <c r="BE238" s="73"/>
      <c r="BF238" s="123" t="str">
        <f t="shared" si="405"/>
        <v/>
      </c>
      <c r="BG238" s="123" t="str">
        <f t="shared" si="406"/>
        <v/>
      </c>
      <c r="BH238" s="97" t="str">
        <f t="shared" ca="1" si="407"/>
        <v/>
      </c>
      <c r="BI238" s="98" t="str">
        <f>IF(BK238&lt;&gt;"",VLOOKUP($P238&amp;" | "&amp;BI$6,'Job Master'!$F$12:$J$102,5,0),"")</f>
        <v/>
      </c>
      <c r="BJ238" s="19" t="str">
        <f>IF(BK238&lt;&gt;"",VLOOKUP($P238&amp;" | "&amp;BI$6,'Job Master'!$F$12:$J$102,3,0),"")</f>
        <v/>
      </c>
      <c r="BK238" s="19" t="str">
        <f>IFERROR(IF(AND(BR238&lt;&gt;"",VLOOKUP($P238&amp;" | "&amp;BI$6,'Job Master'!$F$12:$I$102,4,0)&lt;&gt;""),IF(WEEKDAY(BR238-VLOOKUP($P238&amp;" | "&amp;BI$6,'Job Master'!$F$12:$I$102,4,0))&lt;&gt;7,BR238-VLOOKUP($P238&amp;" | "&amp;BI$6,'Job Master'!$F$12:$I$102,4,0),BR238-VLOOKUP($P238&amp;" | "&amp;BI$6,'Job Master'!$F$12:$I$102,4,0)-1),""),"")</f>
        <v/>
      </c>
      <c r="BL238" s="73"/>
      <c r="BM238" s="123" t="str">
        <f t="shared" si="408"/>
        <v/>
      </c>
      <c r="BN238" s="123" t="str">
        <f t="shared" si="409"/>
        <v/>
      </c>
      <c r="BO238" s="97" t="str">
        <f t="shared" ca="1" si="410"/>
        <v/>
      </c>
      <c r="BP238" s="98" t="str">
        <f>IF(BR238&lt;&gt;"",VLOOKUP($P238&amp;" | "&amp;BP$6,'Job Master'!$F$12:$J$102,5,0),"")</f>
        <v/>
      </c>
      <c r="BQ238" s="19" t="str">
        <f>IF(BR238&lt;&gt;"",VLOOKUP($P238&amp;" | "&amp;BP$6,'Job Master'!$F$12:$J$102,3,0),"")</f>
        <v/>
      </c>
      <c r="BR238" s="19" t="str">
        <f>IFERROR(IF(AND(BY238&lt;&gt;"",VLOOKUP($P238&amp;" | "&amp;BP$6,'Job Master'!$F$12:$I$102,4,0)&lt;&gt;""),IF(WEEKDAY(BY238-VLOOKUP($P238&amp;" | "&amp;BP$6,'Job Master'!$F$12:$I$102,4,0))&lt;&gt;7,BY238-VLOOKUP($P238&amp;" | "&amp;BP$6,'Job Master'!$F$12:$I$102,4,0),BY238-VLOOKUP($P238&amp;" | "&amp;BP$6,'Job Master'!$F$12:$I$102,4,0)-1),""),"")</f>
        <v/>
      </c>
      <c r="BS238" s="73"/>
      <c r="BT238" s="123" t="str">
        <f t="shared" si="411"/>
        <v/>
      </c>
      <c r="BU238" s="123" t="str">
        <f t="shared" si="412"/>
        <v/>
      </c>
      <c r="BV238" s="97" t="str">
        <f t="shared" ca="1" si="413"/>
        <v/>
      </c>
      <c r="BW238" s="98" t="str">
        <f>IF(BY238&lt;&gt;"",VLOOKUP($P238&amp;" | "&amp;BW$6,'Job Master'!$F$12:$J$102,5,0),"")</f>
        <v/>
      </c>
      <c r="BX238" s="19" t="str">
        <f>IF(BY238&lt;&gt;"",VLOOKUP($P238&amp;" | "&amp;BW$6,'Job Master'!$F$12:$J$102,3,0),"")</f>
        <v/>
      </c>
      <c r="BY238" s="19" t="str">
        <f>IFERROR(IF(AND(CF238&lt;&gt;"",VLOOKUP($P238&amp;" | "&amp;BW$6,'Job Master'!$F$12:$I$102,4,0)&lt;&gt;""),IF(WEEKDAY(CF238-VLOOKUP($P238&amp;" | "&amp;BW$6,'Job Master'!$F$12:$I$102,4,0))&lt;&gt;7,CF238-VLOOKUP($P238&amp;" | "&amp;BW$6,'Job Master'!$F$12:$I$102,4,0),CF238-VLOOKUP($P238&amp;" | "&amp;BW$6,'Job Master'!$F$12:$I$102,4,0)-1),""),"")</f>
        <v/>
      </c>
      <c r="BZ238" s="73"/>
      <c r="CA238" s="123" t="str">
        <f t="shared" si="414"/>
        <v/>
      </c>
      <c r="CB238" s="123" t="str">
        <f t="shared" si="415"/>
        <v/>
      </c>
      <c r="CC238" s="97" t="str">
        <f t="shared" ca="1" si="416"/>
        <v/>
      </c>
      <c r="CD238" s="98" t="str">
        <f>IF(CF238&lt;&gt;"",VLOOKUP($P238&amp;" | "&amp;CD$6,'Job Master'!$F$12:$J$102,5,0),"")</f>
        <v/>
      </c>
      <c r="CE238" s="19" t="str">
        <f>IF(CF238&lt;&gt;"",VLOOKUP($P238&amp;" | "&amp;CD$6,'Job Master'!$F$12:$J$102,3,0),"")</f>
        <v/>
      </c>
      <c r="CF238" s="19" t="str">
        <f>IFERROR(IF(AND(CM238&lt;&gt;"",VLOOKUP($P238&amp;" | "&amp;CD$6,'Job Master'!$F$12:$I$102,4,0)&lt;&gt;""),IF(WEEKDAY(CM238-VLOOKUP($P238&amp;" | "&amp;CD$6,'Job Master'!$F$12:$I$102,4,0))&lt;&gt;7,CM238-VLOOKUP($P238&amp;" | "&amp;CD$6,'Job Master'!$F$12:$I$102,4,0),CM238-VLOOKUP($P238&amp;" | "&amp;CD$6,'Job Master'!$F$12:$I$102,4,0)-1),""),"")</f>
        <v/>
      </c>
      <c r="CG238" s="73"/>
      <c r="CH238" s="123" t="str">
        <f t="shared" si="417"/>
        <v/>
      </c>
      <c r="CI238" s="123" t="str">
        <f t="shared" si="418"/>
        <v/>
      </c>
      <c r="CJ238" s="97" t="str">
        <f t="shared" ca="1" si="419"/>
        <v/>
      </c>
      <c r="CK238" s="98" t="str">
        <f>IF(CM238&lt;&gt;"",VLOOKUP($P238&amp;" | "&amp;CK$6,'Job Master'!$F$12:$J$102,5,0),"")</f>
        <v/>
      </c>
      <c r="CL238" s="19" t="str">
        <f>IF(CM238&lt;&gt;"",VLOOKUP($P238&amp;" | "&amp;CK$6,'Job Master'!$F$12:$J$102,3,0),"")</f>
        <v/>
      </c>
      <c r="CM238" s="19" t="str">
        <f>IFERROR(IF(AND(CT238&lt;&gt;"",VLOOKUP($P238&amp;" | "&amp;CK$6,'Job Master'!$F$12:$I$102,4,0)&lt;&gt;""),IF(WEEKDAY(CT238-VLOOKUP($P238&amp;" | "&amp;CK$6,'Job Master'!$F$12:$I$102,4,0))&lt;&gt;7,CT238-VLOOKUP($P238&amp;" | "&amp;CK$6,'Job Master'!$F$12:$I$102,4,0),CT238-VLOOKUP($P238&amp;" | "&amp;CK$6,'Job Master'!$F$12:$I$102,4,0)-1),""),"")</f>
        <v/>
      </c>
      <c r="CN238" s="73"/>
      <c r="CO238" s="123" t="str">
        <f t="shared" si="420"/>
        <v/>
      </c>
      <c r="CP238" s="123" t="str">
        <f t="shared" si="421"/>
        <v/>
      </c>
      <c r="CQ238" s="97" t="str">
        <f t="shared" ca="1" si="422"/>
        <v/>
      </c>
      <c r="CR238" s="98" t="str">
        <f>IF(CT238&lt;&gt;"",VLOOKUP($P238&amp;" | "&amp;CR$6,'Job Master'!$F$12:$J$102,5,0),"")</f>
        <v/>
      </c>
      <c r="CS238" s="19" t="str">
        <f>IF(CT238&lt;&gt;"",VLOOKUP($P238&amp;" | "&amp;CR$6,'Job Master'!$F$12:$J$102,3,0),"")</f>
        <v/>
      </c>
      <c r="CT238" s="19" t="str">
        <f>IFERROR(IF(AND(DA238&lt;&gt;"",VLOOKUP($P238&amp;" | "&amp;CR$6,'Job Master'!$F$12:$I$102,4,0)&lt;&gt;""),IF(WEEKDAY(DA238-VLOOKUP($P238&amp;" | "&amp;CR$6,'Job Master'!$F$12:$I$102,4,0))&lt;&gt;7,DA238-VLOOKUP($P238&amp;" | "&amp;CR$6,'Job Master'!$F$12:$I$102,4,0),DA238-VLOOKUP($P238&amp;" | "&amp;CR$6,'Job Master'!$F$12:$I$102,4,0)-1),""),"")</f>
        <v/>
      </c>
      <c r="CU238" s="73"/>
      <c r="CV238" s="123" t="str">
        <f t="shared" si="423"/>
        <v/>
      </c>
      <c r="CW238" s="123" t="str">
        <f t="shared" si="424"/>
        <v/>
      </c>
      <c r="CX238" s="97" t="str">
        <f t="shared" ca="1" si="425"/>
        <v/>
      </c>
      <c r="CY238" s="98" t="str">
        <f>IF(DA238&lt;&gt;"",VLOOKUP($P238&amp;" | "&amp;CY$6,'Job Master'!$F$12:$J$102,5,0),"")</f>
        <v/>
      </c>
      <c r="CZ238" s="19" t="str">
        <f>IF(DA238&lt;&gt;"",VLOOKUP($P238&amp;" | "&amp;CY$6,'Job Master'!$F$12:$J$102,3,0),"")</f>
        <v/>
      </c>
      <c r="DA238" s="19" t="str">
        <f>IFERROR(IF(AND(DH238&lt;&gt;"",VLOOKUP($P238&amp;" | "&amp;CY$6,'Job Master'!$F$12:$I$102,4,0)&lt;&gt;""),IF(WEEKDAY(DH238-VLOOKUP($P238&amp;" | "&amp;CY$6,'Job Master'!$F$12:$I$102,4,0))&lt;&gt;7,DH238-VLOOKUP($P238&amp;" | "&amp;CY$6,'Job Master'!$F$12:$I$102,4,0),DH238-VLOOKUP($P238&amp;" | "&amp;CY$6,'Job Master'!$F$12:$I$102,4,0)-1),""),"")</f>
        <v/>
      </c>
      <c r="DB238" s="73"/>
      <c r="DC238" s="123" t="str">
        <f t="shared" si="426"/>
        <v/>
      </c>
      <c r="DD238" s="123" t="str">
        <f t="shared" si="427"/>
        <v/>
      </c>
      <c r="DE238" s="97" t="str">
        <f t="shared" ca="1" si="428"/>
        <v/>
      </c>
      <c r="DF238" s="98" t="str">
        <f>IF(DH238&lt;&gt;"",VLOOKUP($P238&amp;" | "&amp;DF$6,'Job Master'!$F$12:$J$102,5,0),"")</f>
        <v/>
      </c>
      <c r="DG238" s="19" t="str">
        <f>IF(DH238&lt;&gt;"",VLOOKUP($P238&amp;" | "&amp;DF$6,'Job Master'!$F$12:$J$102,3,0),"")</f>
        <v/>
      </c>
      <c r="DH238" s="19" t="str">
        <f>IFERROR(IF(AND(DO238&lt;&gt;"",VLOOKUP($P238&amp;" | "&amp;DF$6,'Job Master'!$F$12:$I$102,4,0)&lt;&gt;""),IF(WEEKDAY(DO238-VLOOKUP($P238&amp;" | "&amp;DF$6,'Job Master'!$F$12:$I$102,4,0))&lt;&gt;7,DO238-VLOOKUP($P238&amp;" | "&amp;DF$6,'Job Master'!$F$12:$I$102,4,0),DO238-VLOOKUP($P238&amp;" | "&amp;DF$6,'Job Master'!$F$12:$I$102,4,0)-1),""),"")</f>
        <v/>
      </c>
      <c r="DI238" s="73"/>
      <c r="DJ238" s="123" t="str">
        <f t="shared" si="429"/>
        <v/>
      </c>
      <c r="DK238" s="123" t="str">
        <f t="shared" si="430"/>
        <v/>
      </c>
      <c r="DL238" s="97" t="str">
        <f t="shared" ca="1" si="431"/>
        <v/>
      </c>
      <c r="DM238" s="98" t="str">
        <f>IF(DO238&lt;&gt;"",VLOOKUP($P238&amp;" | "&amp;DM$6,'Job Master'!$F$12:$J$102,5,0),"")</f>
        <v/>
      </c>
      <c r="DN238" s="19" t="str">
        <f>IF(DO238&lt;&gt;"",VLOOKUP($P238&amp;" | "&amp;DM$6,'Job Master'!$F$12:$J$102,3,0),"")</f>
        <v/>
      </c>
      <c r="DO238" s="19" t="str">
        <f>IFERROR(IF(AND(DT238&lt;&gt;"",VLOOKUP($P238&amp;" | "&amp;DM$6,'Job Master'!$F$12:$I$102,4,0)&lt;&gt;""),IF(WEEKDAY(DT238-VLOOKUP($P238&amp;" | "&amp;DM$6,'Job Master'!$F$12:$I$102,4,0))&lt;&gt;7,DT238-VLOOKUP($P238&amp;" | "&amp;DM$6,'Job Master'!$F$12:$I$102,4,0),DT238-VLOOKUP($P238&amp;" | "&amp;DM$6,'Job Master'!$F$12:$I$102,4,0)-1),""),"")</f>
        <v/>
      </c>
      <c r="DP238" s="73"/>
      <c r="DQ238" s="123" t="str">
        <f t="shared" si="432"/>
        <v/>
      </c>
      <c r="DR238" s="123" t="str">
        <f t="shared" si="433"/>
        <v/>
      </c>
      <c r="DS238" s="97" t="str">
        <f t="shared" ca="1" si="434"/>
        <v/>
      </c>
      <c r="DT238" s="70" t="str">
        <f t="shared" si="435"/>
        <v/>
      </c>
      <c r="DU238" s="90"/>
      <c r="DV238" s="123" t="str">
        <f t="shared" si="436"/>
        <v/>
      </c>
      <c r="DW238" s="123" t="str">
        <f t="shared" si="437"/>
        <v/>
      </c>
      <c r="DX238" s="132" t="str">
        <f t="shared" ref="DX238" ca="1" si="485">IF(DT238&lt;&gt;"",IF(WEEKNUM(DT238)=WEEKNUM(TODAY()),"This Week",IF(WEEKNUM(DT238)=WEEKNUM(TODAY())+1,"Next Week",IF(WEEKNUM(DT238)=WEEKNUM(TODAY())-1,"Previous Week",""))),"")</f>
        <v/>
      </c>
      <c r="DY238" s="134" t="str">
        <f t="shared" si="439"/>
        <v/>
      </c>
      <c r="DZ238" s="95"/>
      <c r="EB238" s="8" t="str">
        <f t="shared" si="445"/>
        <v/>
      </c>
      <c r="EC238" s="8" t="str">
        <f>IF(O238&lt;&gt;"",VLOOKUP(O238,'Job Master'!$N$12:$O$18,2,0),"")</f>
        <v/>
      </c>
      <c r="ED238" s="8">
        <f t="shared" si="446"/>
        <v>19.5</v>
      </c>
      <c r="EE238" s="8">
        <f t="shared" si="447"/>
        <v>6</v>
      </c>
      <c r="EF238" s="8">
        <f t="shared" si="448"/>
        <v>-1348.5</v>
      </c>
      <c r="EG238" s="8" t="str">
        <f t="shared" si="449"/>
        <v/>
      </c>
      <c r="EH238" s="8" t="str">
        <f t="shared" si="450"/>
        <v/>
      </c>
    </row>
    <row r="239" spans="2:138" x14ac:dyDescent="0.3">
      <c r="B239" s="112"/>
      <c r="C239" s="27"/>
      <c r="D239" s="7" t="str">
        <f t="shared" si="387"/>
        <v/>
      </c>
      <c r="E239" s="25"/>
      <c r="F239" s="7" t="str">
        <f t="shared" si="387"/>
        <v/>
      </c>
      <c r="G239" s="25"/>
      <c r="H239" s="7" t="str">
        <f t="shared" si="387"/>
        <v/>
      </c>
      <c r="I239" s="25"/>
      <c r="J239" s="7" t="str">
        <f t="shared" si="387"/>
        <v/>
      </c>
      <c r="K239" s="25"/>
      <c r="L239" s="7" t="str">
        <f t="shared" si="388"/>
        <v/>
      </c>
      <c r="M239" s="25"/>
      <c r="N239" s="7" t="str">
        <f t="shared" si="389"/>
        <v/>
      </c>
      <c r="O239" s="81"/>
      <c r="P239" s="81" t="str">
        <f t="shared" si="390"/>
        <v/>
      </c>
      <c r="Q239" s="81"/>
      <c r="R239" s="7" t="str">
        <f t="shared" si="391"/>
        <v/>
      </c>
      <c r="S239" s="25"/>
      <c r="T239" s="7" t="str">
        <f t="shared" si="392"/>
        <v/>
      </c>
      <c r="U239" s="25"/>
      <c r="V239" s="7" t="str">
        <f t="shared" si="393"/>
        <v/>
      </c>
      <c r="W239" s="25"/>
      <c r="X239" s="7" t="str">
        <f t="shared" si="394"/>
        <v/>
      </c>
      <c r="Y239" s="18" t="str">
        <f t="shared" si="395"/>
        <v/>
      </c>
      <c r="Z239" s="7" t="str">
        <f t="shared" si="396"/>
        <v/>
      </c>
      <c r="AA239" s="18" t="str">
        <f t="shared" si="397"/>
        <v/>
      </c>
      <c r="AB239" s="19" t="str">
        <f t="shared" si="398"/>
        <v/>
      </c>
      <c r="AC239" s="26"/>
      <c r="AD239" s="26"/>
      <c r="AE239" s="25"/>
      <c r="AF239" s="26"/>
      <c r="AG239" s="25"/>
      <c r="AH239" s="25"/>
      <c r="AI239" s="18" t="str">
        <f t="shared" si="461"/>
        <v/>
      </c>
      <c r="AJ239" s="25"/>
      <c r="AK239" s="18" t="str">
        <f t="shared" si="462"/>
        <v/>
      </c>
      <c r="AL239" s="79"/>
      <c r="AM239" s="126" t="str">
        <f t="shared" si="463"/>
        <v/>
      </c>
      <c r="AN239" s="128" t="str">
        <f>IF(AP239&lt;&gt;"",VLOOKUP($P239&amp;" | "&amp;AN$6,'Job Master'!$F$12:$J$102,5,0),"")</f>
        <v/>
      </c>
      <c r="AO239" s="19" t="str">
        <f>IF(AP239&lt;&gt;"",VLOOKUP($P239&amp;" | "&amp;AN$6,'Job Master'!$F$12:$J$102,3,0),"")</f>
        <v/>
      </c>
      <c r="AP239" s="19" t="str">
        <f>IFERROR(IF(AND(AW239&lt;&gt;"",VLOOKUP($P239&amp;" | "&amp;AN$6,'Job Master'!$F$12:$I$102,4,0)&lt;&gt;""),IF(WEEKDAY(AW239-VLOOKUP($P239&amp;" | "&amp;AN$6,'Job Master'!$F$12:$I$102,4,0))&lt;&gt;7,AW239-VLOOKUP($P239&amp;" | "&amp;AN$6,'Job Master'!$F$12:$I$102,4,0),AW239-VLOOKUP($P239&amp;" | "&amp;AN$6,'Job Master'!$F$12:$I$102,4,0)-1),""),"")</f>
        <v/>
      </c>
      <c r="AQ239" s="73"/>
      <c r="AR239" s="123" t="str">
        <f t="shared" si="399"/>
        <v/>
      </c>
      <c r="AS239" s="123" t="str">
        <f t="shared" si="400"/>
        <v/>
      </c>
      <c r="AT239" s="97" t="str">
        <f t="shared" ca="1" si="401"/>
        <v/>
      </c>
      <c r="AU239" s="98" t="str">
        <f>IF(AW239&lt;&gt;"",VLOOKUP($P239&amp;" | "&amp;AU$6,'Job Master'!$F$12:$J$102,5,0),"")</f>
        <v/>
      </c>
      <c r="AV239" s="19" t="str">
        <f>IF(AW239&lt;&gt;"",VLOOKUP($P239&amp;" | "&amp;AU$6,'Job Master'!$F$12:$J$102,3,0),"")</f>
        <v/>
      </c>
      <c r="AW239" s="19" t="str">
        <f>IFERROR(IF(AND(BD239&lt;&gt;"",VLOOKUP($P239&amp;" | "&amp;AU$6,'Job Master'!$F$12:$I$102,4,0)&lt;&gt;""),IF(WEEKDAY(BD239-VLOOKUP($P239&amp;" | "&amp;AU$6,'Job Master'!$F$12:$I$102,4,0))&lt;&gt;7,BD239-VLOOKUP($P239&amp;" | "&amp;AU$6,'Job Master'!$F$12:$I$102,4,0),BD239-VLOOKUP($P239&amp;" | "&amp;AU$6,'Job Master'!$F$12:$I$102,4,0)-1),""),"")</f>
        <v/>
      </c>
      <c r="AX239" s="73"/>
      <c r="AY239" s="123" t="str">
        <f t="shared" si="402"/>
        <v/>
      </c>
      <c r="AZ239" s="123" t="str">
        <f t="shared" si="403"/>
        <v/>
      </c>
      <c r="BA239" s="97" t="str">
        <f t="shared" ca="1" si="404"/>
        <v/>
      </c>
      <c r="BB239" s="98" t="str">
        <f>IF(BD239&lt;&gt;"",VLOOKUP($P239&amp;" | "&amp;BB$6,'Job Master'!$F$12:$J$102,5,0),"")</f>
        <v/>
      </c>
      <c r="BC239" s="19" t="str">
        <f>IF(BD239&lt;&gt;"",VLOOKUP($P239&amp;" | "&amp;BB$6,'Job Master'!$F$12:$J$102,3,0),"")</f>
        <v/>
      </c>
      <c r="BD239" s="19" t="str">
        <f>IFERROR(IF(AND(BK239&lt;&gt;"",VLOOKUP($P239&amp;" | "&amp;BB$6,'Job Master'!$F$12:$I$102,4,0)&lt;&gt;""),IF(WEEKDAY(BK239-VLOOKUP($P239&amp;" | "&amp;BB$6,'Job Master'!$F$12:$I$102,4,0))&lt;&gt;7,BK239-VLOOKUP($P239&amp;" | "&amp;BB$6,'Job Master'!$F$12:$I$102,4,0),BK239-VLOOKUP($P239&amp;" | "&amp;BB$6,'Job Master'!$F$12:$I$102,4,0)-1),""),"")</f>
        <v/>
      </c>
      <c r="BE239" s="73"/>
      <c r="BF239" s="123" t="str">
        <f t="shared" si="405"/>
        <v/>
      </c>
      <c r="BG239" s="123" t="str">
        <f t="shared" si="406"/>
        <v/>
      </c>
      <c r="BH239" s="97" t="str">
        <f t="shared" ca="1" si="407"/>
        <v/>
      </c>
      <c r="BI239" s="98" t="str">
        <f>IF(BK239&lt;&gt;"",VLOOKUP($P239&amp;" | "&amp;BI$6,'Job Master'!$F$12:$J$102,5,0),"")</f>
        <v/>
      </c>
      <c r="BJ239" s="19" t="str">
        <f>IF(BK239&lt;&gt;"",VLOOKUP($P239&amp;" | "&amp;BI$6,'Job Master'!$F$12:$J$102,3,0),"")</f>
        <v/>
      </c>
      <c r="BK239" s="19" t="str">
        <f>IFERROR(IF(AND(BR239&lt;&gt;"",VLOOKUP($P239&amp;" | "&amp;BI$6,'Job Master'!$F$12:$I$102,4,0)&lt;&gt;""),IF(WEEKDAY(BR239-VLOOKUP($P239&amp;" | "&amp;BI$6,'Job Master'!$F$12:$I$102,4,0))&lt;&gt;7,BR239-VLOOKUP($P239&amp;" | "&amp;BI$6,'Job Master'!$F$12:$I$102,4,0),BR239-VLOOKUP($P239&amp;" | "&amp;BI$6,'Job Master'!$F$12:$I$102,4,0)-1),""),"")</f>
        <v/>
      </c>
      <c r="BL239" s="73"/>
      <c r="BM239" s="123" t="str">
        <f t="shared" si="408"/>
        <v/>
      </c>
      <c r="BN239" s="123" t="str">
        <f t="shared" si="409"/>
        <v/>
      </c>
      <c r="BO239" s="97" t="str">
        <f t="shared" ca="1" si="410"/>
        <v/>
      </c>
      <c r="BP239" s="98" t="str">
        <f>IF(BR239&lt;&gt;"",VLOOKUP($P239&amp;" | "&amp;BP$6,'Job Master'!$F$12:$J$102,5,0),"")</f>
        <v/>
      </c>
      <c r="BQ239" s="19" t="str">
        <f>IF(BR239&lt;&gt;"",VLOOKUP($P239&amp;" | "&amp;BP$6,'Job Master'!$F$12:$J$102,3,0),"")</f>
        <v/>
      </c>
      <c r="BR239" s="19" t="str">
        <f>IFERROR(IF(AND(BY239&lt;&gt;"",VLOOKUP($P239&amp;" | "&amp;BP$6,'Job Master'!$F$12:$I$102,4,0)&lt;&gt;""),IF(WEEKDAY(BY239-VLOOKUP($P239&amp;" | "&amp;BP$6,'Job Master'!$F$12:$I$102,4,0))&lt;&gt;7,BY239-VLOOKUP($P239&amp;" | "&amp;BP$6,'Job Master'!$F$12:$I$102,4,0),BY239-VLOOKUP($P239&amp;" | "&amp;BP$6,'Job Master'!$F$12:$I$102,4,0)-1),""),"")</f>
        <v/>
      </c>
      <c r="BS239" s="73"/>
      <c r="BT239" s="123" t="str">
        <f t="shared" si="411"/>
        <v/>
      </c>
      <c r="BU239" s="123" t="str">
        <f t="shared" si="412"/>
        <v/>
      </c>
      <c r="BV239" s="97" t="str">
        <f t="shared" ca="1" si="413"/>
        <v/>
      </c>
      <c r="BW239" s="98" t="str">
        <f>IF(BY239&lt;&gt;"",VLOOKUP($P239&amp;" | "&amp;BW$6,'Job Master'!$F$12:$J$102,5,0),"")</f>
        <v/>
      </c>
      <c r="BX239" s="19" t="str">
        <f>IF(BY239&lt;&gt;"",VLOOKUP($P239&amp;" | "&amp;BW$6,'Job Master'!$F$12:$J$102,3,0),"")</f>
        <v/>
      </c>
      <c r="BY239" s="19" t="str">
        <f>IFERROR(IF(AND(CF239&lt;&gt;"",VLOOKUP($P239&amp;" | "&amp;BW$6,'Job Master'!$F$12:$I$102,4,0)&lt;&gt;""),IF(WEEKDAY(CF239-VLOOKUP($P239&amp;" | "&amp;BW$6,'Job Master'!$F$12:$I$102,4,0))&lt;&gt;7,CF239-VLOOKUP($P239&amp;" | "&amp;BW$6,'Job Master'!$F$12:$I$102,4,0),CF239-VLOOKUP($P239&amp;" | "&amp;BW$6,'Job Master'!$F$12:$I$102,4,0)-1),""),"")</f>
        <v/>
      </c>
      <c r="BZ239" s="73"/>
      <c r="CA239" s="123" t="str">
        <f t="shared" si="414"/>
        <v/>
      </c>
      <c r="CB239" s="123" t="str">
        <f t="shared" si="415"/>
        <v/>
      </c>
      <c r="CC239" s="97" t="str">
        <f t="shared" ca="1" si="416"/>
        <v/>
      </c>
      <c r="CD239" s="98" t="str">
        <f>IF(CF239&lt;&gt;"",VLOOKUP($P239&amp;" | "&amp;CD$6,'Job Master'!$F$12:$J$102,5,0),"")</f>
        <v/>
      </c>
      <c r="CE239" s="19" t="str">
        <f>IF(CF239&lt;&gt;"",VLOOKUP($P239&amp;" | "&amp;CD$6,'Job Master'!$F$12:$J$102,3,0),"")</f>
        <v/>
      </c>
      <c r="CF239" s="19" t="str">
        <f>IFERROR(IF(AND(CM239&lt;&gt;"",VLOOKUP($P239&amp;" | "&amp;CD$6,'Job Master'!$F$12:$I$102,4,0)&lt;&gt;""),IF(WEEKDAY(CM239-VLOOKUP($P239&amp;" | "&amp;CD$6,'Job Master'!$F$12:$I$102,4,0))&lt;&gt;7,CM239-VLOOKUP($P239&amp;" | "&amp;CD$6,'Job Master'!$F$12:$I$102,4,0),CM239-VLOOKUP($P239&amp;" | "&amp;CD$6,'Job Master'!$F$12:$I$102,4,0)-1),""),"")</f>
        <v/>
      </c>
      <c r="CG239" s="73"/>
      <c r="CH239" s="123" t="str">
        <f t="shared" si="417"/>
        <v/>
      </c>
      <c r="CI239" s="123" t="str">
        <f t="shared" si="418"/>
        <v/>
      </c>
      <c r="CJ239" s="97" t="str">
        <f t="shared" ca="1" si="419"/>
        <v/>
      </c>
      <c r="CK239" s="98" t="str">
        <f>IF(CM239&lt;&gt;"",VLOOKUP($P239&amp;" | "&amp;CK$6,'Job Master'!$F$12:$J$102,5,0),"")</f>
        <v/>
      </c>
      <c r="CL239" s="19" t="str">
        <f>IF(CM239&lt;&gt;"",VLOOKUP($P239&amp;" | "&amp;CK$6,'Job Master'!$F$12:$J$102,3,0),"")</f>
        <v/>
      </c>
      <c r="CM239" s="19" t="str">
        <f>IFERROR(IF(AND(CT239&lt;&gt;"",VLOOKUP($P239&amp;" | "&amp;CK$6,'Job Master'!$F$12:$I$102,4,0)&lt;&gt;""),IF(WEEKDAY(CT239-VLOOKUP($P239&amp;" | "&amp;CK$6,'Job Master'!$F$12:$I$102,4,0))&lt;&gt;7,CT239-VLOOKUP($P239&amp;" | "&amp;CK$6,'Job Master'!$F$12:$I$102,4,0),CT239-VLOOKUP($P239&amp;" | "&amp;CK$6,'Job Master'!$F$12:$I$102,4,0)-1),""),"")</f>
        <v/>
      </c>
      <c r="CN239" s="73"/>
      <c r="CO239" s="123" t="str">
        <f t="shared" si="420"/>
        <v/>
      </c>
      <c r="CP239" s="123" t="str">
        <f t="shared" si="421"/>
        <v/>
      </c>
      <c r="CQ239" s="97" t="str">
        <f t="shared" ca="1" si="422"/>
        <v/>
      </c>
      <c r="CR239" s="98" t="str">
        <f>IF(CT239&lt;&gt;"",VLOOKUP($P239&amp;" | "&amp;CR$6,'Job Master'!$F$12:$J$102,5,0),"")</f>
        <v/>
      </c>
      <c r="CS239" s="19" t="str">
        <f>IF(CT239&lt;&gt;"",VLOOKUP($P239&amp;" | "&amp;CR$6,'Job Master'!$F$12:$J$102,3,0),"")</f>
        <v/>
      </c>
      <c r="CT239" s="19" t="str">
        <f>IFERROR(IF(AND(DA239&lt;&gt;"",VLOOKUP($P239&amp;" | "&amp;CR$6,'Job Master'!$F$12:$I$102,4,0)&lt;&gt;""),IF(WEEKDAY(DA239-VLOOKUP($P239&amp;" | "&amp;CR$6,'Job Master'!$F$12:$I$102,4,0))&lt;&gt;7,DA239-VLOOKUP($P239&amp;" | "&amp;CR$6,'Job Master'!$F$12:$I$102,4,0),DA239-VLOOKUP($P239&amp;" | "&amp;CR$6,'Job Master'!$F$12:$I$102,4,0)-1),""),"")</f>
        <v/>
      </c>
      <c r="CU239" s="73"/>
      <c r="CV239" s="123" t="str">
        <f t="shared" si="423"/>
        <v/>
      </c>
      <c r="CW239" s="123" t="str">
        <f t="shared" si="424"/>
        <v/>
      </c>
      <c r="CX239" s="97" t="str">
        <f t="shared" ca="1" si="425"/>
        <v/>
      </c>
      <c r="CY239" s="98" t="str">
        <f>IF(DA239&lt;&gt;"",VLOOKUP($P239&amp;" | "&amp;CY$6,'Job Master'!$F$12:$J$102,5,0),"")</f>
        <v/>
      </c>
      <c r="CZ239" s="19" t="str">
        <f>IF(DA239&lt;&gt;"",VLOOKUP($P239&amp;" | "&amp;CY$6,'Job Master'!$F$12:$J$102,3,0),"")</f>
        <v/>
      </c>
      <c r="DA239" s="19" t="str">
        <f>IFERROR(IF(AND(DH239&lt;&gt;"",VLOOKUP($P239&amp;" | "&amp;CY$6,'Job Master'!$F$12:$I$102,4,0)&lt;&gt;""),IF(WEEKDAY(DH239-VLOOKUP($P239&amp;" | "&amp;CY$6,'Job Master'!$F$12:$I$102,4,0))&lt;&gt;7,DH239-VLOOKUP($P239&amp;" | "&amp;CY$6,'Job Master'!$F$12:$I$102,4,0),DH239-VLOOKUP($P239&amp;" | "&amp;CY$6,'Job Master'!$F$12:$I$102,4,0)-1),""),"")</f>
        <v/>
      </c>
      <c r="DB239" s="73"/>
      <c r="DC239" s="123" t="str">
        <f t="shared" si="426"/>
        <v/>
      </c>
      <c r="DD239" s="123" t="str">
        <f t="shared" si="427"/>
        <v/>
      </c>
      <c r="DE239" s="97" t="str">
        <f t="shared" ca="1" si="428"/>
        <v/>
      </c>
      <c r="DF239" s="98" t="str">
        <f>IF(DH239&lt;&gt;"",VLOOKUP($P239&amp;" | "&amp;DF$6,'Job Master'!$F$12:$J$102,5,0),"")</f>
        <v/>
      </c>
      <c r="DG239" s="19" t="str">
        <f>IF(DH239&lt;&gt;"",VLOOKUP($P239&amp;" | "&amp;DF$6,'Job Master'!$F$12:$J$102,3,0),"")</f>
        <v/>
      </c>
      <c r="DH239" s="19" t="str">
        <f>IFERROR(IF(AND(DO239&lt;&gt;"",VLOOKUP($P239&amp;" | "&amp;DF$6,'Job Master'!$F$12:$I$102,4,0)&lt;&gt;""),IF(WEEKDAY(DO239-VLOOKUP($P239&amp;" | "&amp;DF$6,'Job Master'!$F$12:$I$102,4,0))&lt;&gt;7,DO239-VLOOKUP($P239&amp;" | "&amp;DF$6,'Job Master'!$F$12:$I$102,4,0),DO239-VLOOKUP($P239&amp;" | "&amp;DF$6,'Job Master'!$F$12:$I$102,4,0)-1),""),"")</f>
        <v/>
      </c>
      <c r="DI239" s="73"/>
      <c r="DJ239" s="123" t="str">
        <f t="shared" si="429"/>
        <v/>
      </c>
      <c r="DK239" s="123" t="str">
        <f t="shared" si="430"/>
        <v/>
      </c>
      <c r="DL239" s="97" t="str">
        <f t="shared" ca="1" si="431"/>
        <v/>
      </c>
      <c r="DM239" s="98" t="str">
        <f>IF(DO239&lt;&gt;"",VLOOKUP($P239&amp;" | "&amp;DM$6,'Job Master'!$F$12:$J$102,5,0),"")</f>
        <v/>
      </c>
      <c r="DN239" s="19" t="str">
        <f>IF(DO239&lt;&gt;"",VLOOKUP($P239&amp;" | "&amp;DM$6,'Job Master'!$F$12:$J$102,3,0),"")</f>
        <v/>
      </c>
      <c r="DO239" s="19" t="str">
        <f>IFERROR(IF(AND(DT239&lt;&gt;"",VLOOKUP($P239&amp;" | "&amp;DM$6,'Job Master'!$F$12:$I$102,4,0)&lt;&gt;""),IF(WEEKDAY(DT239-VLOOKUP($P239&amp;" | "&amp;DM$6,'Job Master'!$F$12:$I$102,4,0))&lt;&gt;7,DT239-VLOOKUP($P239&amp;" | "&amp;DM$6,'Job Master'!$F$12:$I$102,4,0),DT239-VLOOKUP($P239&amp;" | "&amp;DM$6,'Job Master'!$F$12:$I$102,4,0)-1),""),"")</f>
        <v/>
      </c>
      <c r="DP239" s="73"/>
      <c r="DQ239" s="123" t="str">
        <f t="shared" si="432"/>
        <v/>
      </c>
      <c r="DR239" s="123" t="str">
        <f t="shared" si="433"/>
        <v/>
      </c>
      <c r="DS239" s="97" t="str">
        <f t="shared" ca="1" si="434"/>
        <v/>
      </c>
      <c r="DT239" s="70" t="str">
        <f t="shared" si="435"/>
        <v/>
      </c>
      <c r="DU239" s="90"/>
      <c r="DV239" s="123" t="str">
        <f t="shared" si="436"/>
        <v/>
      </c>
      <c r="DW239" s="123" t="str">
        <f t="shared" si="437"/>
        <v/>
      </c>
      <c r="DX239" s="132" t="str">
        <f t="shared" ref="DX239" ca="1" si="486">IF(DT239&lt;&gt;"",IF(WEEKNUM(DT239)=WEEKNUM(TODAY()),"This Week",IF(WEEKNUM(DT239)=WEEKNUM(TODAY())+1,"Next Week",IF(WEEKNUM(DT239)=WEEKNUM(TODAY())-1,"Previous Week",""))),"")</f>
        <v/>
      </c>
      <c r="DY239" s="134" t="str">
        <f t="shared" si="439"/>
        <v/>
      </c>
      <c r="DZ239" s="95"/>
      <c r="EB239" s="8" t="str">
        <f t="shared" si="445"/>
        <v/>
      </c>
      <c r="EC239" s="8" t="str">
        <f>IF(O239&lt;&gt;"",VLOOKUP(O239,'Job Master'!$N$12:$O$18,2,0),"")</f>
        <v/>
      </c>
      <c r="ED239" s="8">
        <f t="shared" si="446"/>
        <v>19.5</v>
      </c>
      <c r="EE239" s="8">
        <f t="shared" si="447"/>
        <v>6</v>
      </c>
      <c r="EF239" s="8">
        <f t="shared" si="448"/>
        <v>-1354.5</v>
      </c>
      <c r="EG239" s="8" t="str">
        <f t="shared" si="449"/>
        <v/>
      </c>
      <c r="EH239" s="8" t="str">
        <f t="shared" si="450"/>
        <v/>
      </c>
    </row>
    <row r="240" spans="2:138" x14ac:dyDescent="0.3">
      <c r="B240" s="112"/>
      <c r="C240" s="27"/>
      <c r="D240" s="7" t="str">
        <f t="shared" si="387"/>
        <v/>
      </c>
      <c r="E240" s="25"/>
      <c r="F240" s="7" t="str">
        <f t="shared" si="387"/>
        <v/>
      </c>
      <c r="G240" s="25"/>
      <c r="H240" s="7" t="str">
        <f t="shared" si="387"/>
        <v/>
      </c>
      <c r="I240" s="25"/>
      <c r="J240" s="7" t="str">
        <f t="shared" si="387"/>
        <v/>
      </c>
      <c r="K240" s="25"/>
      <c r="L240" s="7" t="str">
        <f t="shared" si="388"/>
        <v/>
      </c>
      <c r="M240" s="25"/>
      <c r="N240" s="7" t="str">
        <f t="shared" si="389"/>
        <v/>
      </c>
      <c r="O240" s="81"/>
      <c r="P240" s="81" t="str">
        <f t="shared" si="390"/>
        <v/>
      </c>
      <c r="Q240" s="81"/>
      <c r="R240" s="7" t="str">
        <f t="shared" si="391"/>
        <v/>
      </c>
      <c r="S240" s="25"/>
      <c r="T240" s="7" t="str">
        <f t="shared" si="392"/>
        <v/>
      </c>
      <c r="U240" s="25"/>
      <c r="V240" s="7" t="str">
        <f t="shared" si="393"/>
        <v/>
      </c>
      <c r="W240" s="25"/>
      <c r="X240" s="7" t="str">
        <f t="shared" si="394"/>
        <v/>
      </c>
      <c r="Y240" s="18" t="str">
        <f t="shared" si="395"/>
        <v/>
      </c>
      <c r="Z240" s="7" t="str">
        <f t="shared" si="396"/>
        <v/>
      </c>
      <c r="AA240" s="18" t="str">
        <f t="shared" si="397"/>
        <v/>
      </c>
      <c r="AB240" s="19" t="str">
        <f t="shared" si="398"/>
        <v/>
      </c>
      <c r="AC240" s="26"/>
      <c r="AD240" s="26"/>
      <c r="AE240" s="25"/>
      <c r="AF240" s="26"/>
      <c r="AG240" s="25"/>
      <c r="AH240" s="25"/>
      <c r="AI240" s="18" t="str">
        <f t="shared" si="461"/>
        <v/>
      </c>
      <c r="AJ240" s="25"/>
      <c r="AK240" s="18" t="str">
        <f t="shared" si="462"/>
        <v/>
      </c>
      <c r="AL240" s="79"/>
      <c r="AM240" s="126" t="str">
        <f t="shared" si="463"/>
        <v/>
      </c>
      <c r="AN240" s="128" t="str">
        <f>IF(AP240&lt;&gt;"",VLOOKUP($P240&amp;" | "&amp;AN$6,'Job Master'!$F$12:$J$102,5,0),"")</f>
        <v/>
      </c>
      <c r="AO240" s="19" t="str">
        <f>IF(AP240&lt;&gt;"",VLOOKUP($P240&amp;" | "&amp;AN$6,'Job Master'!$F$12:$J$102,3,0),"")</f>
        <v/>
      </c>
      <c r="AP240" s="19" t="str">
        <f>IFERROR(IF(AND(AW240&lt;&gt;"",VLOOKUP($P240&amp;" | "&amp;AN$6,'Job Master'!$F$12:$I$102,4,0)&lt;&gt;""),IF(WEEKDAY(AW240-VLOOKUP($P240&amp;" | "&amp;AN$6,'Job Master'!$F$12:$I$102,4,0))&lt;&gt;7,AW240-VLOOKUP($P240&amp;" | "&amp;AN$6,'Job Master'!$F$12:$I$102,4,0),AW240-VLOOKUP($P240&amp;" | "&amp;AN$6,'Job Master'!$F$12:$I$102,4,0)-1),""),"")</f>
        <v/>
      </c>
      <c r="AQ240" s="73"/>
      <c r="AR240" s="123" t="str">
        <f t="shared" si="399"/>
        <v/>
      </c>
      <c r="AS240" s="123" t="str">
        <f t="shared" si="400"/>
        <v/>
      </c>
      <c r="AT240" s="97" t="str">
        <f t="shared" ca="1" si="401"/>
        <v/>
      </c>
      <c r="AU240" s="98" t="str">
        <f>IF(AW240&lt;&gt;"",VLOOKUP($P240&amp;" | "&amp;AU$6,'Job Master'!$F$12:$J$102,5,0),"")</f>
        <v/>
      </c>
      <c r="AV240" s="19" t="str">
        <f>IF(AW240&lt;&gt;"",VLOOKUP($P240&amp;" | "&amp;AU$6,'Job Master'!$F$12:$J$102,3,0),"")</f>
        <v/>
      </c>
      <c r="AW240" s="19" t="str">
        <f>IFERROR(IF(AND(BD240&lt;&gt;"",VLOOKUP($P240&amp;" | "&amp;AU$6,'Job Master'!$F$12:$I$102,4,0)&lt;&gt;""),IF(WEEKDAY(BD240-VLOOKUP($P240&amp;" | "&amp;AU$6,'Job Master'!$F$12:$I$102,4,0))&lt;&gt;7,BD240-VLOOKUP($P240&amp;" | "&amp;AU$6,'Job Master'!$F$12:$I$102,4,0),BD240-VLOOKUP($P240&amp;" | "&amp;AU$6,'Job Master'!$F$12:$I$102,4,0)-1),""),"")</f>
        <v/>
      </c>
      <c r="AX240" s="73"/>
      <c r="AY240" s="123" t="str">
        <f t="shared" si="402"/>
        <v/>
      </c>
      <c r="AZ240" s="123" t="str">
        <f t="shared" si="403"/>
        <v/>
      </c>
      <c r="BA240" s="97" t="str">
        <f t="shared" ca="1" si="404"/>
        <v/>
      </c>
      <c r="BB240" s="98" t="str">
        <f>IF(BD240&lt;&gt;"",VLOOKUP($P240&amp;" | "&amp;BB$6,'Job Master'!$F$12:$J$102,5,0),"")</f>
        <v/>
      </c>
      <c r="BC240" s="19" t="str">
        <f>IF(BD240&lt;&gt;"",VLOOKUP($P240&amp;" | "&amp;BB$6,'Job Master'!$F$12:$J$102,3,0),"")</f>
        <v/>
      </c>
      <c r="BD240" s="19" t="str">
        <f>IFERROR(IF(AND(BK240&lt;&gt;"",VLOOKUP($P240&amp;" | "&amp;BB$6,'Job Master'!$F$12:$I$102,4,0)&lt;&gt;""),IF(WEEKDAY(BK240-VLOOKUP($P240&amp;" | "&amp;BB$6,'Job Master'!$F$12:$I$102,4,0))&lt;&gt;7,BK240-VLOOKUP($P240&amp;" | "&amp;BB$6,'Job Master'!$F$12:$I$102,4,0),BK240-VLOOKUP($P240&amp;" | "&amp;BB$6,'Job Master'!$F$12:$I$102,4,0)-1),""),"")</f>
        <v/>
      </c>
      <c r="BE240" s="73"/>
      <c r="BF240" s="123" t="str">
        <f t="shared" si="405"/>
        <v/>
      </c>
      <c r="BG240" s="123" t="str">
        <f t="shared" si="406"/>
        <v/>
      </c>
      <c r="BH240" s="97" t="str">
        <f t="shared" ca="1" si="407"/>
        <v/>
      </c>
      <c r="BI240" s="98" t="str">
        <f>IF(BK240&lt;&gt;"",VLOOKUP($P240&amp;" | "&amp;BI$6,'Job Master'!$F$12:$J$102,5,0),"")</f>
        <v/>
      </c>
      <c r="BJ240" s="19" t="str">
        <f>IF(BK240&lt;&gt;"",VLOOKUP($P240&amp;" | "&amp;BI$6,'Job Master'!$F$12:$J$102,3,0),"")</f>
        <v/>
      </c>
      <c r="BK240" s="19" t="str">
        <f>IFERROR(IF(AND(BR240&lt;&gt;"",VLOOKUP($P240&amp;" | "&amp;BI$6,'Job Master'!$F$12:$I$102,4,0)&lt;&gt;""),IF(WEEKDAY(BR240-VLOOKUP($P240&amp;" | "&amp;BI$6,'Job Master'!$F$12:$I$102,4,0))&lt;&gt;7,BR240-VLOOKUP($P240&amp;" | "&amp;BI$6,'Job Master'!$F$12:$I$102,4,0),BR240-VLOOKUP($P240&amp;" | "&amp;BI$6,'Job Master'!$F$12:$I$102,4,0)-1),""),"")</f>
        <v/>
      </c>
      <c r="BL240" s="73"/>
      <c r="BM240" s="123" t="str">
        <f t="shared" si="408"/>
        <v/>
      </c>
      <c r="BN240" s="123" t="str">
        <f t="shared" si="409"/>
        <v/>
      </c>
      <c r="BO240" s="97" t="str">
        <f t="shared" ca="1" si="410"/>
        <v/>
      </c>
      <c r="BP240" s="98" t="str">
        <f>IF(BR240&lt;&gt;"",VLOOKUP($P240&amp;" | "&amp;BP$6,'Job Master'!$F$12:$J$102,5,0),"")</f>
        <v/>
      </c>
      <c r="BQ240" s="19" t="str">
        <f>IF(BR240&lt;&gt;"",VLOOKUP($P240&amp;" | "&amp;BP$6,'Job Master'!$F$12:$J$102,3,0),"")</f>
        <v/>
      </c>
      <c r="BR240" s="19" t="str">
        <f>IFERROR(IF(AND(BY240&lt;&gt;"",VLOOKUP($P240&amp;" | "&amp;BP$6,'Job Master'!$F$12:$I$102,4,0)&lt;&gt;""),IF(WEEKDAY(BY240-VLOOKUP($P240&amp;" | "&amp;BP$6,'Job Master'!$F$12:$I$102,4,0))&lt;&gt;7,BY240-VLOOKUP($P240&amp;" | "&amp;BP$6,'Job Master'!$F$12:$I$102,4,0),BY240-VLOOKUP($P240&amp;" | "&amp;BP$6,'Job Master'!$F$12:$I$102,4,0)-1),""),"")</f>
        <v/>
      </c>
      <c r="BS240" s="73"/>
      <c r="BT240" s="123" t="str">
        <f t="shared" si="411"/>
        <v/>
      </c>
      <c r="BU240" s="123" t="str">
        <f t="shared" si="412"/>
        <v/>
      </c>
      <c r="BV240" s="97" t="str">
        <f t="shared" ca="1" si="413"/>
        <v/>
      </c>
      <c r="BW240" s="98" t="str">
        <f>IF(BY240&lt;&gt;"",VLOOKUP($P240&amp;" | "&amp;BW$6,'Job Master'!$F$12:$J$102,5,0),"")</f>
        <v/>
      </c>
      <c r="BX240" s="19" t="str">
        <f>IF(BY240&lt;&gt;"",VLOOKUP($P240&amp;" | "&amp;BW$6,'Job Master'!$F$12:$J$102,3,0),"")</f>
        <v/>
      </c>
      <c r="BY240" s="19" t="str">
        <f>IFERROR(IF(AND(CF240&lt;&gt;"",VLOOKUP($P240&amp;" | "&amp;BW$6,'Job Master'!$F$12:$I$102,4,0)&lt;&gt;""),IF(WEEKDAY(CF240-VLOOKUP($P240&amp;" | "&amp;BW$6,'Job Master'!$F$12:$I$102,4,0))&lt;&gt;7,CF240-VLOOKUP($P240&amp;" | "&amp;BW$6,'Job Master'!$F$12:$I$102,4,0),CF240-VLOOKUP($P240&amp;" | "&amp;BW$6,'Job Master'!$F$12:$I$102,4,0)-1),""),"")</f>
        <v/>
      </c>
      <c r="BZ240" s="73"/>
      <c r="CA240" s="123" t="str">
        <f t="shared" si="414"/>
        <v/>
      </c>
      <c r="CB240" s="123" t="str">
        <f t="shared" si="415"/>
        <v/>
      </c>
      <c r="CC240" s="97" t="str">
        <f t="shared" ca="1" si="416"/>
        <v/>
      </c>
      <c r="CD240" s="98" t="str">
        <f>IF(CF240&lt;&gt;"",VLOOKUP($P240&amp;" | "&amp;CD$6,'Job Master'!$F$12:$J$102,5,0),"")</f>
        <v/>
      </c>
      <c r="CE240" s="19" t="str">
        <f>IF(CF240&lt;&gt;"",VLOOKUP($P240&amp;" | "&amp;CD$6,'Job Master'!$F$12:$J$102,3,0),"")</f>
        <v/>
      </c>
      <c r="CF240" s="19" t="str">
        <f>IFERROR(IF(AND(CM240&lt;&gt;"",VLOOKUP($P240&amp;" | "&amp;CD$6,'Job Master'!$F$12:$I$102,4,0)&lt;&gt;""),IF(WEEKDAY(CM240-VLOOKUP($P240&amp;" | "&amp;CD$6,'Job Master'!$F$12:$I$102,4,0))&lt;&gt;7,CM240-VLOOKUP($P240&amp;" | "&amp;CD$6,'Job Master'!$F$12:$I$102,4,0),CM240-VLOOKUP($P240&amp;" | "&amp;CD$6,'Job Master'!$F$12:$I$102,4,0)-1),""),"")</f>
        <v/>
      </c>
      <c r="CG240" s="73"/>
      <c r="CH240" s="123" t="str">
        <f t="shared" si="417"/>
        <v/>
      </c>
      <c r="CI240" s="123" t="str">
        <f t="shared" si="418"/>
        <v/>
      </c>
      <c r="CJ240" s="97" t="str">
        <f t="shared" ca="1" si="419"/>
        <v/>
      </c>
      <c r="CK240" s="98" t="str">
        <f>IF(CM240&lt;&gt;"",VLOOKUP($P240&amp;" | "&amp;CK$6,'Job Master'!$F$12:$J$102,5,0),"")</f>
        <v/>
      </c>
      <c r="CL240" s="19" t="str">
        <f>IF(CM240&lt;&gt;"",VLOOKUP($P240&amp;" | "&amp;CK$6,'Job Master'!$F$12:$J$102,3,0),"")</f>
        <v/>
      </c>
      <c r="CM240" s="19" t="str">
        <f>IFERROR(IF(AND(CT240&lt;&gt;"",VLOOKUP($P240&amp;" | "&amp;CK$6,'Job Master'!$F$12:$I$102,4,0)&lt;&gt;""),IF(WEEKDAY(CT240-VLOOKUP($P240&amp;" | "&amp;CK$6,'Job Master'!$F$12:$I$102,4,0))&lt;&gt;7,CT240-VLOOKUP($P240&amp;" | "&amp;CK$6,'Job Master'!$F$12:$I$102,4,0),CT240-VLOOKUP($P240&amp;" | "&amp;CK$6,'Job Master'!$F$12:$I$102,4,0)-1),""),"")</f>
        <v/>
      </c>
      <c r="CN240" s="73"/>
      <c r="CO240" s="123" t="str">
        <f t="shared" si="420"/>
        <v/>
      </c>
      <c r="CP240" s="123" t="str">
        <f t="shared" si="421"/>
        <v/>
      </c>
      <c r="CQ240" s="97" t="str">
        <f t="shared" ca="1" si="422"/>
        <v/>
      </c>
      <c r="CR240" s="98" t="str">
        <f>IF(CT240&lt;&gt;"",VLOOKUP($P240&amp;" | "&amp;CR$6,'Job Master'!$F$12:$J$102,5,0),"")</f>
        <v/>
      </c>
      <c r="CS240" s="19" t="str">
        <f>IF(CT240&lt;&gt;"",VLOOKUP($P240&amp;" | "&amp;CR$6,'Job Master'!$F$12:$J$102,3,0),"")</f>
        <v/>
      </c>
      <c r="CT240" s="19" t="str">
        <f>IFERROR(IF(AND(DA240&lt;&gt;"",VLOOKUP($P240&amp;" | "&amp;CR$6,'Job Master'!$F$12:$I$102,4,0)&lt;&gt;""),IF(WEEKDAY(DA240-VLOOKUP($P240&amp;" | "&amp;CR$6,'Job Master'!$F$12:$I$102,4,0))&lt;&gt;7,DA240-VLOOKUP($P240&amp;" | "&amp;CR$6,'Job Master'!$F$12:$I$102,4,0),DA240-VLOOKUP($P240&amp;" | "&amp;CR$6,'Job Master'!$F$12:$I$102,4,0)-1),""),"")</f>
        <v/>
      </c>
      <c r="CU240" s="73"/>
      <c r="CV240" s="123" t="str">
        <f t="shared" si="423"/>
        <v/>
      </c>
      <c r="CW240" s="123" t="str">
        <f t="shared" si="424"/>
        <v/>
      </c>
      <c r="CX240" s="97" t="str">
        <f t="shared" ca="1" si="425"/>
        <v/>
      </c>
      <c r="CY240" s="98" t="str">
        <f>IF(DA240&lt;&gt;"",VLOOKUP($P240&amp;" | "&amp;CY$6,'Job Master'!$F$12:$J$102,5,0),"")</f>
        <v/>
      </c>
      <c r="CZ240" s="19" t="str">
        <f>IF(DA240&lt;&gt;"",VLOOKUP($P240&amp;" | "&amp;CY$6,'Job Master'!$F$12:$J$102,3,0),"")</f>
        <v/>
      </c>
      <c r="DA240" s="19" t="str">
        <f>IFERROR(IF(AND(DH240&lt;&gt;"",VLOOKUP($P240&amp;" | "&amp;CY$6,'Job Master'!$F$12:$I$102,4,0)&lt;&gt;""),IF(WEEKDAY(DH240-VLOOKUP($P240&amp;" | "&amp;CY$6,'Job Master'!$F$12:$I$102,4,0))&lt;&gt;7,DH240-VLOOKUP($P240&amp;" | "&amp;CY$6,'Job Master'!$F$12:$I$102,4,0),DH240-VLOOKUP($P240&amp;" | "&amp;CY$6,'Job Master'!$F$12:$I$102,4,0)-1),""),"")</f>
        <v/>
      </c>
      <c r="DB240" s="73"/>
      <c r="DC240" s="123" t="str">
        <f t="shared" si="426"/>
        <v/>
      </c>
      <c r="DD240" s="123" t="str">
        <f t="shared" si="427"/>
        <v/>
      </c>
      <c r="DE240" s="97" t="str">
        <f t="shared" ca="1" si="428"/>
        <v/>
      </c>
      <c r="DF240" s="98" t="str">
        <f>IF(DH240&lt;&gt;"",VLOOKUP($P240&amp;" | "&amp;DF$6,'Job Master'!$F$12:$J$102,5,0),"")</f>
        <v/>
      </c>
      <c r="DG240" s="19" t="str">
        <f>IF(DH240&lt;&gt;"",VLOOKUP($P240&amp;" | "&amp;DF$6,'Job Master'!$F$12:$J$102,3,0),"")</f>
        <v/>
      </c>
      <c r="DH240" s="19" t="str">
        <f>IFERROR(IF(AND(DO240&lt;&gt;"",VLOOKUP($P240&amp;" | "&amp;DF$6,'Job Master'!$F$12:$I$102,4,0)&lt;&gt;""),IF(WEEKDAY(DO240-VLOOKUP($P240&amp;" | "&amp;DF$6,'Job Master'!$F$12:$I$102,4,0))&lt;&gt;7,DO240-VLOOKUP($P240&amp;" | "&amp;DF$6,'Job Master'!$F$12:$I$102,4,0),DO240-VLOOKUP($P240&amp;" | "&amp;DF$6,'Job Master'!$F$12:$I$102,4,0)-1),""),"")</f>
        <v/>
      </c>
      <c r="DI240" s="73"/>
      <c r="DJ240" s="123" t="str">
        <f t="shared" si="429"/>
        <v/>
      </c>
      <c r="DK240" s="123" t="str">
        <f t="shared" si="430"/>
        <v/>
      </c>
      <c r="DL240" s="97" t="str">
        <f t="shared" ca="1" si="431"/>
        <v/>
      </c>
      <c r="DM240" s="98" t="str">
        <f>IF(DO240&lt;&gt;"",VLOOKUP($P240&amp;" | "&amp;DM$6,'Job Master'!$F$12:$J$102,5,0),"")</f>
        <v/>
      </c>
      <c r="DN240" s="19" t="str">
        <f>IF(DO240&lt;&gt;"",VLOOKUP($P240&amp;" | "&amp;DM$6,'Job Master'!$F$12:$J$102,3,0),"")</f>
        <v/>
      </c>
      <c r="DO240" s="19" t="str">
        <f>IFERROR(IF(AND(DT240&lt;&gt;"",VLOOKUP($P240&amp;" | "&amp;DM$6,'Job Master'!$F$12:$I$102,4,0)&lt;&gt;""),IF(WEEKDAY(DT240-VLOOKUP($P240&amp;" | "&amp;DM$6,'Job Master'!$F$12:$I$102,4,0))&lt;&gt;7,DT240-VLOOKUP($P240&amp;" | "&amp;DM$6,'Job Master'!$F$12:$I$102,4,0),DT240-VLOOKUP($P240&amp;" | "&amp;DM$6,'Job Master'!$F$12:$I$102,4,0)-1),""),"")</f>
        <v/>
      </c>
      <c r="DP240" s="73"/>
      <c r="DQ240" s="123" t="str">
        <f t="shared" si="432"/>
        <v/>
      </c>
      <c r="DR240" s="123" t="str">
        <f t="shared" si="433"/>
        <v/>
      </c>
      <c r="DS240" s="97" t="str">
        <f t="shared" ca="1" si="434"/>
        <v/>
      </c>
      <c r="DT240" s="70" t="str">
        <f t="shared" si="435"/>
        <v/>
      </c>
      <c r="DU240" s="90"/>
      <c r="DV240" s="123" t="str">
        <f t="shared" si="436"/>
        <v/>
      </c>
      <c r="DW240" s="123" t="str">
        <f t="shared" si="437"/>
        <v/>
      </c>
      <c r="DX240" s="132" t="str">
        <f t="shared" ref="DX240" ca="1" si="487">IF(DT240&lt;&gt;"",IF(WEEKNUM(DT240)=WEEKNUM(TODAY()),"This Week",IF(WEEKNUM(DT240)=WEEKNUM(TODAY())+1,"Next Week",IF(WEEKNUM(DT240)=WEEKNUM(TODAY())-1,"Previous Week",""))),"")</f>
        <v/>
      </c>
      <c r="DY240" s="134" t="str">
        <f t="shared" si="439"/>
        <v/>
      </c>
      <c r="DZ240" s="95"/>
      <c r="EB240" s="8" t="str">
        <f t="shared" si="445"/>
        <v/>
      </c>
      <c r="EC240" s="8" t="str">
        <f>IF(O240&lt;&gt;"",VLOOKUP(O240,'Job Master'!$N$12:$O$18,2,0),"")</f>
        <v/>
      </c>
      <c r="ED240" s="8">
        <f t="shared" si="446"/>
        <v>19.5</v>
      </c>
      <c r="EE240" s="8">
        <f t="shared" si="447"/>
        <v>6</v>
      </c>
      <c r="EF240" s="8">
        <f t="shared" si="448"/>
        <v>-1360.5</v>
      </c>
      <c r="EG240" s="8" t="str">
        <f t="shared" si="449"/>
        <v/>
      </c>
      <c r="EH240" s="8" t="str">
        <f t="shared" si="450"/>
        <v/>
      </c>
    </row>
    <row r="241" spans="2:138" x14ac:dyDescent="0.3">
      <c r="B241" s="112"/>
      <c r="C241" s="27"/>
      <c r="D241" s="7" t="str">
        <f t="shared" si="387"/>
        <v/>
      </c>
      <c r="E241" s="25"/>
      <c r="F241" s="7" t="str">
        <f t="shared" si="387"/>
        <v/>
      </c>
      <c r="G241" s="25"/>
      <c r="H241" s="7" t="str">
        <f t="shared" si="387"/>
        <v/>
      </c>
      <c r="I241" s="25"/>
      <c r="J241" s="7" t="str">
        <f t="shared" si="387"/>
        <v/>
      </c>
      <c r="K241" s="25"/>
      <c r="L241" s="7" t="str">
        <f t="shared" si="388"/>
        <v/>
      </c>
      <c r="M241" s="25"/>
      <c r="N241" s="7" t="str">
        <f t="shared" si="389"/>
        <v/>
      </c>
      <c r="O241" s="81"/>
      <c r="P241" s="81" t="str">
        <f t="shared" si="390"/>
        <v/>
      </c>
      <c r="Q241" s="81"/>
      <c r="R241" s="7" t="str">
        <f t="shared" si="391"/>
        <v/>
      </c>
      <c r="S241" s="25"/>
      <c r="T241" s="7" t="str">
        <f t="shared" si="392"/>
        <v/>
      </c>
      <c r="U241" s="25"/>
      <c r="V241" s="7" t="str">
        <f t="shared" si="393"/>
        <v/>
      </c>
      <c r="W241" s="25"/>
      <c r="X241" s="7" t="str">
        <f t="shared" si="394"/>
        <v/>
      </c>
      <c r="Y241" s="18" t="str">
        <f t="shared" si="395"/>
        <v/>
      </c>
      <c r="Z241" s="7" t="str">
        <f t="shared" si="396"/>
        <v/>
      </c>
      <c r="AA241" s="18" t="str">
        <f t="shared" si="397"/>
        <v/>
      </c>
      <c r="AB241" s="19" t="str">
        <f t="shared" si="398"/>
        <v/>
      </c>
      <c r="AC241" s="26"/>
      <c r="AD241" s="26"/>
      <c r="AE241" s="25"/>
      <c r="AF241" s="26"/>
      <c r="AG241" s="25"/>
      <c r="AH241" s="25"/>
      <c r="AI241" s="18" t="str">
        <f t="shared" si="461"/>
        <v/>
      </c>
      <c r="AJ241" s="25"/>
      <c r="AK241" s="18" t="str">
        <f t="shared" si="462"/>
        <v/>
      </c>
      <c r="AL241" s="79"/>
      <c r="AM241" s="126" t="str">
        <f t="shared" si="463"/>
        <v/>
      </c>
      <c r="AN241" s="128" t="str">
        <f>IF(AP241&lt;&gt;"",VLOOKUP($P241&amp;" | "&amp;AN$6,'Job Master'!$F$12:$J$102,5,0),"")</f>
        <v/>
      </c>
      <c r="AO241" s="19" t="str">
        <f>IF(AP241&lt;&gt;"",VLOOKUP($P241&amp;" | "&amp;AN$6,'Job Master'!$F$12:$J$102,3,0),"")</f>
        <v/>
      </c>
      <c r="AP241" s="19" t="str">
        <f>IFERROR(IF(AND(AW241&lt;&gt;"",VLOOKUP($P241&amp;" | "&amp;AN$6,'Job Master'!$F$12:$I$102,4,0)&lt;&gt;""),IF(WEEKDAY(AW241-VLOOKUP($P241&amp;" | "&amp;AN$6,'Job Master'!$F$12:$I$102,4,0))&lt;&gt;7,AW241-VLOOKUP($P241&amp;" | "&amp;AN$6,'Job Master'!$F$12:$I$102,4,0),AW241-VLOOKUP($P241&amp;" | "&amp;AN$6,'Job Master'!$F$12:$I$102,4,0)-1),""),"")</f>
        <v/>
      </c>
      <c r="AQ241" s="73"/>
      <c r="AR241" s="123" t="str">
        <f t="shared" si="399"/>
        <v/>
      </c>
      <c r="AS241" s="123" t="str">
        <f t="shared" si="400"/>
        <v/>
      </c>
      <c r="AT241" s="97" t="str">
        <f t="shared" ca="1" si="401"/>
        <v/>
      </c>
      <c r="AU241" s="98" t="str">
        <f>IF(AW241&lt;&gt;"",VLOOKUP($P241&amp;" | "&amp;AU$6,'Job Master'!$F$12:$J$102,5,0),"")</f>
        <v/>
      </c>
      <c r="AV241" s="19" t="str">
        <f>IF(AW241&lt;&gt;"",VLOOKUP($P241&amp;" | "&amp;AU$6,'Job Master'!$F$12:$J$102,3,0),"")</f>
        <v/>
      </c>
      <c r="AW241" s="19" t="str">
        <f>IFERROR(IF(AND(BD241&lt;&gt;"",VLOOKUP($P241&amp;" | "&amp;AU$6,'Job Master'!$F$12:$I$102,4,0)&lt;&gt;""),IF(WEEKDAY(BD241-VLOOKUP($P241&amp;" | "&amp;AU$6,'Job Master'!$F$12:$I$102,4,0))&lt;&gt;7,BD241-VLOOKUP($P241&amp;" | "&amp;AU$6,'Job Master'!$F$12:$I$102,4,0),BD241-VLOOKUP($P241&amp;" | "&amp;AU$6,'Job Master'!$F$12:$I$102,4,0)-1),""),"")</f>
        <v/>
      </c>
      <c r="AX241" s="73"/>
      <c r="AY241" s="123" t="str">
        <f t="shared" si="402"/>
        <v/>
      </c>
      <c r="AZ241" s="123" t="str">
        <f t="shared" si="403"/>
        <v/>
      </c>
      <c r="BA241" s="97" t="str">
        <f t="shared" ca="1" si="404"/>
        <v/>
      </c>
      <c r="BB241" s="98" t="str">
        <f>IF(BD241&lt;&gt;"",VLOOKUP($P241&amp;" | "&amp;BB$6,'Job Master'!$F$12:$J$102,5,0),"")</f>
        <v/>
      </c>
      <c r="BC241" s="19" t="str">
        <f>IF(BD241&lt;&gt;"",VLOOKUP($P241&amp;" | "&amp;BB$6,'Job Master'!$F$12:$J$102,3,0),"")</f>
        <v/>
      </c>
      <c r="BD241" s="19" t="str">
        <f>IFERROR(IF(AND(BK241&lt;&gt;"",VLOOKUP($P241&amp;" | "&amp;BB$6,'Job Master'!$F$12:$I$102,4,0)&lt;&gt;""),IF(WEEKDAY(BK241-VLOOKUP($P241&amp;" | "&amp;BB$6,'Job Master'!$F$12:$I$102,4,0))&lt;&gt;7,BK241-VLOOKUP($P241&amp;" | "&amp;BB$6,'Job Master'!$F$12:$I$102,4,0),BK241-VLOOKUP($P241&amp;" | "&amp;BB$6,'Job Master'!$F$12:$I$102,4,0)-1),""),"")</f>
        <v/>
      </c>
      <c r="BE241" s="73"/>
      <c r="BF241" s="123" t="str">
        <f t="shared" si="405"/>
        <v/>
      </c>
      <c r="BG241" s="123" t="str">
        <f t="shared" si="406"/>
        <v/>
      </c>
      <c r="BH241" s="97" t="str">
        <f t="shared" ca="1" si="407"/>
        <v/>
      </c>
      <c r="BI241" s="98" t="str">
        <f>IF(BK241&lt;&gt;"",VLOOKUP($P241&amp;" | "&amp;BI$6,'Job Master'!$F$12:$J$102,5,0),"")</f>
        <v/>
      </c>
      <c r="BJ241" s="19" t="str">
        <f>IF(BK241&lt;&gt;"",VLOOKUP($P241&amp;" | "&amp;BI$6,'Job Master'!$F$12:$J$102,3,0),"")</f>
        <v/>
      </c>
      <c r="BK241" s="19" t="str">
        <f>IFERROR(IF(AND(BR241&lt;&gt;"",VLOOKUP($P241&amp;" | "&amp;BI$6,'Job Master'!$F$12:$I$102,4,0)&lt;&gt;""),IF(WEEKDAY(BR241-VLOOKUP($P241&amp;" | "&amp;BI$6,'Job Master'!$F$12:$I$102,4,0))&lt;&gt;7,BR241-VLOOKUP($P241&amp;" | "&amp;BI$6,'Job Master'!$F$12:$I$102,4,0),BR241-VLOOKUP($P241&amp;" | "&amp;BI$6,'Job Master'!$F$12:$I$102,4,0)-1),""),"")</f>
        <v/>
      </c>
      <c r="BL241" s="73"/>
      <c r="BM241" s="123" t="str">
        <f t="shared" si="408"/>
        <v/>
      </c>
      <c r="BN241" s="123" t="str">
        <f t="shared" si="409"/>
        <v/>
      </c>
      <c r="BO241" s="97" t="str">
        <f t="shared" ca="1" si="410"/>
        <v/>
      </c>
      <c r="BP241" s="98" t="str">
        <f>IF(BR241&lt;&gt;"",VLOOKUP($P241&amp;" | "&amp;BP$6,'Job Master'!$F$12:$J$102,5,0),"")</f>
        <v/>
      </c>
      <c r="BQ241" s="19" t="str">
        <f>IF(BR241&lt;&gt;"",VLOOKUP($P241&amp;" | "&amp;BP$6,'Job Master'!$F$12:$J$102,3,0),"")</f>
        <v/>
      </c>
      <c r="BR241" s="19" t="str">
        <f>IFERROR(IF(AND(BY241&lt;&gt;"",VLOOKUP($P241&amp;" | "&amp;BP$6,'Job Master'!$F$12:$I$102,4,0)&lt;&gt;""),IF(WEEKDAY(BY241-VLOOKUP($P241&amp;" | "&amp;BP$6,'Job Master'!$F$12:$I$102,4,0))&lt;&gt;7,BY241-VLOOKUP($P241&amp;" | "&amp;BP$6,'Job Master'!$F$12:$I$102,4,0),BY241-VLOOKUP($P241&amp;" | "&amp;BP$6,'Job Master'!$F$12:$I$102,4,0)-1),""),"")</f>
        <v/>
      </c>
      <c r="BS241" s="73"/>
      <c r="BT241" s="123" t="str">
        <f t="shared" si="411"/>
        <v/>
      </c>
      <c r="BU241" s="123" t="str">
        <f t="shared" si="412"/>
        <v/>
      </c>
      <c r="BV241" s="97" t="str">
        <f t="shared" ca="1" si="413"/>
        <v/>
      </c>
      <c r="BW241" s="98" t="str">
        <f>IF(BY241&lt;&gt;"",VLOOKUP($P241&amp;" | "&amp;BW$6,'Job Master'!$F$12:$J$102,5,0),"")</f>
        <v/>
      </c>
      <c r="BX241" s="19" t="str">
        <f>IF(BY241&lt;&gt;"",VLOOKUP($P241&amp;" | "&amp;BW$6,'Job Master'!$F$12:$J$102,3,0),"")</f>
        <v/>
      </c>
      <c r="BY241" s="19" t="str">
        <f>IFERROR(IF(AND(CF241&lt;&gt;"",VLOOKUP($P241&amp;" | "&amp;BW$6,'Job Master'!$F$12:$I$102,4,0)&lt;&gt;""),IF(WEEKDAY(CF241-VLOOKUP($P241&amp;" | "&amp;BW$6,'Job Master'!$F$12:$I$102,4,0))&lt;&gt;7,CF241-VLOOKUP($P241&amp;" | "&amp;BW$6,'Job Master'!$F$12:$I$102,4,0),CF241-VLOOKUP($P241&amp;" | "&amp;BW$6,'Job Master'!$F$12:$I$102,4,0)-1),""),"")</f>
        <v/>
      </c>
      <c r="BZ241" s="73"/>
      <c r="CA241" s="123" t="str">
        <f t="shared" si="414"/>
        <v/>
      </c>
      <c r="CB241" s="123" t="str">
        <f t="shared" si="415"/>
        <v/>
      </c>
      <c r="CC241" s="97" t="str">
        <f t="shared" ca="1" si="416"/>
        <v/>
      </c>
      <c r="CD241" s="98" t="str">
        <f>IF(CF241&lt;&gt;"",VLOOKUP($P241&amp;" | "&amp;CD$6,'Job Master'!$F$12:$J$102,5,0),"")</f>
        <v/>
      </c>
      <c r="CE241" s="19" t="str">
        <f>IF(CF241&lt;&gt;"",VLOOKUP($P241&amp;" | "&amp;CD$6,'Job Master'!$F$12:$J$102,3,0),"")</f>
        <v/>
      </c>
      <c r="CF241" s="19" t="str">
        <f>IFERROR(IF(AND(CM241&lt;&gt;"",VLOOKUP($P241&amp;" | "&amp;CD$6,'Job Master'!$F$12:$I$102,4,0)&lt;&gt;""),IF(WEEKDAY(CM241-VLOOKUP($P241&amp;" | "&amp;CD$6,'Job Master'!$F$12:$I$102,4,0))&lt;&gt;7,CM241-VLOOKUP($P241&amp;" | "&amp;CD$6,'Job Master'!$F$12:$I$102,4,0),CM241-VLOOKUP($P241&amp;" | "&amp;CD$6,'Job Master'!$F$12:$I$102,4,0)-1),""),"")</f>
        <v/>
      </c>
      <c r="CG241" s="73"/>
      <c r="CH241" s="123" t="str">
        <f t="shared" si="417"/>
        <v/>
      </c>
      <c r="CI241" s="123" t="str">
        <f t="shared" si="418"/>
        <v/>
      </c>
      <c r="CJ241" s="97" t="str">
        <f t="shared" ca="1" si="419"/>
        <v/>
      </c>
      <c r="CK241" s="98" t="str">
        <f>IF(CM241&lt;&gt;"",VLOOKUP($P241&amp;" | "&amp;CK$6,'Job Master'!$F$12:$J$102,5,0),"")</f>
        <v/>
      </c>
      <c r="CL241" s="19" t="str">
        <f>IF(CM241&lt;&gt;"",VLOOKUP($P241&amp;" | "&amp;CK$6,'Job Master'!$F$12:$J$102,3,0),"")</f>
        <v/>
      </c>
      <c r="CM241" s="19" t="str">
        <f>IFERROR(IF(AND(CT241&lt;&gt;"",VLOOKUP($P241&amp;" | "&amp;CK$6,'Job Master'!$F$12:$I$102,4,0)&lt;&gt;""),IF(WEEKDAY(CT241-VLOOKUP($P241&amp;" | "&amp;CK$6,'Job Master'!$F$12:$I$102,4,0))&lt;&gt;7,CT241-VLOOKUP($P241&amp;" | "&amp;CK$6,'Job Master'!$F$12:$I$102,4,0),CT241-VLOOKUP($P241&amp;" | "&amp;CK$6,'Job Master'!$F$12:$I$102,4,0)-1),""),"")</f>
        <v/>
      </c>
      <c r="CN241" s="73"/>
      <c r="CO241" s="123" t="str">
        <f t="shared" si="420"/>
        <v/>
      </c>
      <c r="CP241" s="123" t="str">
        <f t="shared" si="421"/>
        <v/>
      </c>
      <c r="CQ241" s="97" t="str">
        <f t="shared" ca="1" si="422"/>
        <v/>
      </c>
      <c r="CR241" s="98" t="str">
        <f>IF(CT241&lt;&gt;"",VLOOKUP($P241&amp;" | "&amp;CR$6,'Job Master'!$F$12:$J$102,5,0),"")</f>
        <v/>
      </c>
      <c r="CS241" s="19" t="str">
        <f>IF(CT241&lt;&gt;"",VLOOKUP($P241&amp;" | "&amp;CR$6,'Job Master'!$F$12:$J$102,3,0),"")</f>
        <v/>
      </c>
      <c r="CT241" s="19" t="str">
        <f>IFERROR(IF(AND(DA241&lt;&gt;"",VLOOKUP($P241&amp;" | "&amp;CR$6,'Job Master'!$F$12:$I$102,4,0)&lt;&gt;""),IF(WEEKDAY(DA241-VLOOKUP($P241&amp;" | "&amp;CR$6,'Job Master'!$F$12:$I$102,4,0))&lt;&gt;7,DA241-VLOOKUP($P241&amp;" | "&amp;CR$6,'Job Master'!$F$12:$I$102,4,0),DA241-VLOOKUP($P241&amp;" | "&amp;CR$6,'Job Master'!$F$12:$I$102,4,0)-1),""),"")</f>
        <v/>
      </c>
      <c r="CU241" s="73"/>
      <c r="CV241" s="123" t="str">
        <f t="shared" si="423"/>
        <v/>
      </c>
      <c r="CW241" s="123" t="str">
        <f t="shared" si="424"/>
        <v/>
      </c>
      <c r="CX241" s="97" t="str">
        <f t="shared" ca="1" si="425"/>
        <v/>
      </c>
      <c r="CY241" s="98" t="str">
        <f>IF(DA241&lt;&gt;"",VLOOKUP($P241&amp;" | "&amp;CY$6,'Job Master'!$F$12:$J$102,5,0),"")</f>
        <v/>
      </c>
      <c r="CZ241" s="19" t="str">
        <f>IF(DA241&lt;&gt;"",VLOOKUP($P241&amp;" | "&amp;CY$6,'Job Master'!$F$12:$J$102,3,0),"")</f>
        <v/>
      </c>
      <c r="DA241" s="19" t="str">
        <f>IFERROR(IF(AND(DH241&lt;&gt;"",VLOOKUP($P241&amp;" | "&amp;CY$6,'Job Master'!$F$12:$I$102,4,0)&lt;&gt;""),IF(WEEKDAY(DH241-VLOOKUP($P241&amp;" | "&amp;CY$6,'Job Master'!$F$12:$I$102,4,0))&lt;&gt;7,DH241-VLOOKUP($P241&amp;" | "&amp;CY$6,'Job Master'!$F$12:$I$102,4,0),DH241-VLOOKUP($P241&amp;" | "&amp;CY$6,'Job Master'!$F$12:$I$102,4,0)-1),""),"")</f>
        <v/>
      </c>
      <c r="DB241" s="73"/>
      <c r="DC241" s="123" t="str">
        <f t="shared" si="426"/>
        <v/>
      </c>
      <c r="DD241" s="123" t="str">
        <f t="shared" si="427"/>
        <v/>
      </c>
      <c r="DE241" s="97" t="str">
        <f t="shared" ca="1" si="428"/>
        <v/>
      </c>
      <c r="DF241" s="98" t="str">
        <f>IF(DH241&lt;&gt;"",VLOOKUP($P241&amp;" | "&amp;DF$6,'Job Master'!$F$12:$J$102,5,0),"")</f>
        <v/>
      </c>
      <c r="DG241" s="19" t="str">
        <f>IF(DH241&lt;&gt;"",VLOOKUP($P241&amp;" | "&amp;DF$6,'Job Master'!$F$12:$J$102,3,0),"")</f>
        <v/>
      </c>
      <c r="DH241" s="19" t="str">
        <f>IFERROR(IF(AND(DO241&lt;&gt;"",VLOOKUP($P241&amp;" | "&amp;DF$6,'Job Master'!$F$12:$I$102,4,0)&lt;&gt;""),IF(WEEKDAY(DO241-VLOOKUP($P241&amp;" | "&amp;DF$6,'Job Master'!$F$12:$I$102,4,0))&lt;&gt;7,DO241-VLOOKUP($P241&amp;" | "&amp;DF$6,'Job Master'!$F$12:$I$102,4,0),DO241-VLOOKUP($P241&amp;" | "&amp;DF$6,'Job Master'!$F$12:$I$102,4,0)-1),""),"")</f>
        <v/>
      </c>
      <c r="DI241" s="73"/>
      <c r="DJ241" s="123" t="str">
        <f t="shared" si="429"/>
        <v/>
      </c>
      <c r="DK241" s="123" t="str">
        <f t="shared" si="430"/>
        <v/>
      </c>
      <c r="DL241" s="97" t="str">
        <f t="shared" ca="1" si="431"/>
        <v/>
      </c>
      <c r="DM241" s="98" t="str">
        <f>IF(DO241&lt;&gt;"",VLOOKUP($P241&amp;" | "&amp;DM$6,'Job Master'!$F$12:$J$102,5,0),"")</f>
        <v/>
      </c>
      <c r="DN241" s="19" t="str">
        <f>IF(DO241&lt;&gt;"",VLOOKUP($P241&amp;" | "&amp;DM$6,'Job Master'!$F$12:$J$102,3,0),"")</f>
        <v/>
      </c>
      <c r="DO241" s="19" t="str">
        <f>IFERROR(IF(AND(DT241&lt;&gt;"",VLOOKUP($P241&amp;" | "&amp;DM$6,'Job Master'!$F$12:$I$102,4,0)&lt;&gt;""),IF(WEEKDAY(DT241-VLOOKUP($P241&amp;" | "&amp;DM$6,'Job Master'!$F$12:$I$102,4,0))&lt;&gt;7,DT241-VLOOKUP($P241&amp;" | "&amp;DM$6,'Job Master'!$F$12:$I$102,4,0),DT241-VLOOKUP($P241&amp;" | "&amp;DM$6,'Job Master'!$F$12:$I$102,4,0)-1),""),"")</f>
        <v/>
      </c>
      <c r="DP241" s="73"/>
      <c r="DQ241" s="123" t="str">
        <f t="shared" si="432"/>
        <v/>
      </c>
      <c r="DR241" s="123" t="str">
        <f t="shared" si="433"/>
        <v/>
      </c>
      <c r="DS241" s="97" t="str">
        <f t="shared" ca="1" si="434"/>
        <v/>
      </c>
      <c r="DT241" s="70" t="str">
        <f t="shared" si="435"/>
        <v/>
      </c>
      <c r="DU241" s="90"/>
      <c r="DV241" s="123" t="str">
        <f t="shared" si="436"/>
        <v/>
      </c>
      <c r="DW241" s="123" t="str">
        <f t="shared" si="437"/>
        <v/>
      </c>
      <c r="DX241" s="132" t="str">
        <f t="shared" ref="DX241" ca="1" si="488">IF(DT241&lt;&gt;"",IF(WEEKNUM(DT241)=WEEKNUM(TODAY()),"This Week",IF(WEEKNUM(DT241)=WEEKNUM(TODAY())+1,"Next Week",IF(WEEKNUM(DT241)=WEEKNUM(TODAY())-1,"Previous Week",""))),"")</f>
        <v/>
      </c>
      <c r="DY241" s="134" t="str">
        <f t="shared" si="439"/>
        <v/>
      </c>
      <c r="DZ241" s="95"/>
      <c r="EB241" s="8" t="str">
        <f t="shared" si="445"/>
        <v/>
      </c>
      <c r="EC241" s="8" t="str">
        <f>IF(O241&lt;&gt;"",VLOOKUP(O241,'Job Master'!$N$12:$O$18,2,0),"")</f>
        <v/>
      </c>
      <c r="ED241" s="8">
        <f t="shared" si="446"/>
        <v>19.5</v>
      </c>
      <c r="EE241" s="8">
        <f t="shared" si="447"/>
        <v>6</v>
      </c>
      <c r="EF241" s="8">
        <f t="shared" si="448"/>
        <v>-1366.5</v>
      </c>
      <c r="EG241" s="8" t="str">
        <f t="shared" si="449"/>
        <v/>
      </c>
      <c r="EH241" s="8" t="str">
        <f t="shared" si="450"/>
        <v/>
      </c>
    </row>
    <row r="242" spans="2:138" x14ac:dyDescent="0.3">
      <c r="B242" s="112"/>
      <c r="C242" s="27"/>
      <c r="D242" s="7" t="str">
        <f t="shared" si="387"/>
        <v/>
      </c>
      <c r="E242" s="25"/>
      <c r="F242" s="7" t="str">
        <f t="shared" si="387"/>
        <v/>
      </c>
      <c r="G242" s="25"/>
      <c r="H242" s="7" t="str">
        <f t="shared" si="387"/>
        <v/>
      </c>
      <c r="I242" s="25"/>
      <c r="J242" s="7" t="str">
        <f t="shared" si="387"/>
        <v/>
      </c>
      <c r="K242" s="25"/>
      <c r="L242" s="7" t="str">
        <f t="shared" si="388"/>
        <v/>
      </c>
      <c r="M242" s="25"/>
      <c r="N242" s="7" t="str">
        <f t="shared" si="389"/>
        <v/>
      </c>
      <c r="O242" s="81"/>
      <c r="P242" s="81" t="str">
        <f t="shared" si="390"/>
        <v/>
      </c>
      <c r="Q242" s="81"/>
      <c r="R242" s="7" t="str">
        <f t="shared" si="391"/>
        <v/>
      </c>
      <c r="S242" s="25"/>
      <c r="T242" s="7" t="str">
        <f t="shared" si="392"/>
        <v/>
      </c>
      <c r="U242" s="25"/>
      <c r="V242" s="7" t="str">
        <f t="shared" si="393"/>
        <v/>
      </c>
      <c r="W242" s="25"/>
      <c r="X242" s="7" t="str">
        <f t="shared" si="394"/>
        <v/>
      </c>
      <c r="Y242" s="18" t="str">
        <f t="shared" si="395"/>
        <v/>
      </c>
      <c r="Z242" s="7" t="str">
        <f t="shared" si="396"/>
        <v/>
      </c>
      <c r="AA242" s="18" t="str">
        <f t="shared" si="397"/>
        <v/>
      </c>
      <c r="AB242" s="19" t="str">
        <f t="shared" si="398"/>
        <v/>
      </c>
      <c r="AC242" s="26"/>
      <c r="AD242" s="26"/>
      <c r="AE242" s="25"/>
      <c r="AF242" s="26"/>
      <c r="AG242" s="25"/>
      <c r="AH242" s="25"/>
      <c r="AI242" s="18" t="str">
        <f t="shared" si="461"/>
        <v/>
      </c>
      <c r="AJ242" s="25"/>
      <c r="AK242" s="18" t="str">
        <f t="shared" si="462"/>
        <v/>
      </c>
      <c r="AL242" s="79"/>
      <c r="AM242" s="126" t="str">
        <f t="shared" si="463"/>
        <v/>
      </c>
      <c r="AN242" s="128" t="str">
        <f>IF(AP242&lt;&gt;"",VLOOKUP($P242&amp;" | "&amp;AN$6,'Job Master'!$F$12:$J$102,5,0),"")</f>
        <v/>
      </c>
      <c r="AO242" s="19" t="str">
        <f>IF(AP242&lt;&gt;"",VLOOKUP($P242&amp;" | "&amp;AN$6,'Job Master'!$F$12:$J$102,3,0),"")</f>
        <v/>
      </c>
      <c r="AP242" s="19" t="str">
        <f>IFERROR(IF(AND(AW242&lt;&gt;"",VLOOKUP($P242&amp;" | "&amp;AN$6,'Job Master'!$F$12:$I$102,4,0)&lt;&gt;""),IF(WEEKDAY(AW242-VLOOKUP($P242&amp;" | "&amp;AN$6,'Job Master'!$F$12:$I$102,4,0))&lt;&gt;7,AW242-VLOOKUP($P242&amp;" | "&amp;AN$6,'Job Master'!$F$12:$I$102,4,0),AW242-VLOOKUP($P242&amp;" | "&amp;AN$6,'Job Master'!$F$12:$I$102,4,0)-1),""),"")</f>
        <v/>
      </c>
      <c r="AQ242" s="73"/>
      <c r="AR242" s="123" t="str">
        <f t="shared" si="399"/>
        <v/>
      </c>
      <c r="AS242" s="123" t="str">
        <f t="shared" si="400"/>
        <v/>
      </c>
      <c r="AT242" s="97" t="str">
        <f t="shared" ca="1" si="401"/>
        <v/>
      </c>
      <c r="AU242" s="98" t="str">
        <f>IF(AW242&lt;&gt;"",VLOOKUP($P242&amp;" | "&amp;AU$6,'Job Master'!$F$12:$J$102,5,0),"")</f>
        <v/>
      </c>
      <c r="AV242" s="19" t="str">
        <f>IF(AW242&lt;&gt;"",VLOOKUP($P242&amp;" | "&amp;AU$6,'Job Master'!$F$12:$J$102,3,0),"")</f>
        <v/>
      </c>
      <c r="AW242" s="19" t="str">
        <f>IFERROR(IF(AND(BD242&lt;&gt;"",VLOOKUP($P242&amp;" | "&amp;AU$6,'Job Master'!$F$12:$I$102,4,0)&lt;&gt;""),IF(WEEKDAY(BD242-VLOOKUP($P242&amp;" | "&amp;AU$6,'Job Master'!$F$12:$I$102,4,0))&lt;&gt;7,BD242-VLOOKUP($P242&amp;" | "&amp;AU$6,'Job Master'!$F$12:$I$102,4,0),BD242-VLOOKUP($P242&amp;" | "&amp;AU$6,'Job Master'!$F$12:$I$102,4,0)-1),""),"")</f>
        <v/>
      </c>
      <c r="AX242" s="73"/>
      <c r="AY242" s="123" t="str">
        <f t="shared" si="402"/>
        <v/>
      </c>
      <c r="AZ242" s="123" t="str">
        <f t="shared" si="403"/>
        <v/>
      </c>
      <c r="BA242" s="97" t="str">
        <f t="shared" ca="1" si="404"/>
        <v/>
      </c>
      <c r="BB242" s="98" t="str">
        <f>IF(BD242&lt;&gt;"",VLOOKUP($P242&amp;" | "&amp;BB$6,'Job Master'!$F$12:$J$102,5,0),"")</f>
        <v/>
      </c>
      <c r="BC242" s="19" t="str">
        <f>IF(BD242&lt;&gt;"",VLOOKUP($P242&amp;" | "&amp;BB$6,'Job Master'!$F$12:$J$102,3,0),"")</f>
        <v/>
      </c>
      <c r="BD242" s="19" t="str">
        <f>IFERROR(IF(AND(BK242&lt;&gt;"",VLOOKUP($P242&amp;" | "&amp;BB$6,'Job Master'!$F$12:$I$102,4,0)&lt;&gt;""),IF(WEEKDAY(BK242-VLOOKUP($P242&amp;" | "&amp;BB$6,'Job Master'!$F$12:$I$102,4,0))&lt;&gt;7,BK242-VLOOKUP($P242&amp;" | "&amp;BB$6,'Job Master'!$F$12:$I$102,4,0),BK242-VLOOKUP($P242&amp;" | "&amp;BB$6,'Job Master'!$F$12:$I$102,4,0)-1),""),"")</f>
        <v/>
      </c>
      <c r="BE242" s="73"/>
      <c r="BF242" s="123" t="str">
        <f t="shared" si="405"/>
        <v/>
      </c>
      <c r="BG242" s="123" t="str">
        <f t="shared" si="406"/>
        <v/>
      </c>
      <c r="BH242" s="97" t="str">
        <f t="shared" ca="1" si="407"/>
        <v/>
      </c>
      <c r="BI242" s="98" t="str">
        <f>IF(BK242&lt;&gt;"",VLOOKUP($P242&amp;" | "&amp;BI$6,'Job Master'!$F$12:$J$102,5,0),"")</f>
        <v/>
      </c>
      <c r="BJ242" s="19" t="str">
        <f>IF(BK242&lt;&gt;"",VLOOKUP($P242&amp;" | "&amp;BI$6,'Job Master'!$F$12:$J$102,3,0),"")</f>
        <v/>
      </c>
      <c r="BK242" s="19" t="str">
        <f>IFERROR(IF(AND(BR242&lt;&gt;"",VLOOKUP($P242&amp;" | "&amp;BI$6,'Job Master'!$F$12:$I$102,4,0)&lt;&gt;""),IF(WEEKDAY(BR242-VLOOKUP($P242&amp;" | "&amp;BI$6,'Job Master'!$F$12:$I$102,4,0))&lt;&gt;7,BR242-VLOOKUP($P242&amp;" | "&amp;BI$6,'Job Master'!$F$12:$I$102,4,0),BR242-VLOOKUP($P242&amp;" | "&amp;BI$6,'Job Master'!$F$12:$I$102,4,0)-1),""),"")</f>
        <v/>
      </c>
      <c r="BL242" s="73"/>
      <c r="BM242" s="123" t="str">
        <f t="shared" si="408"/>
        <v/>
      </c>
      <c r="BN242" s="123" t="str">
        <f t="shared" si="409"/>
        <v/>
      </c>
      <c r="BO242" s="97" t="str">
        <f t="shared" ca="1" si="410"/>
        <v/>
      </c>
      <c r="BP242" s="98" t="str">
        <f>IF(BR242&lt;&gt;"",VLOOKUP($P242&amp;" | "&amp;BP$6,'Job Master'!$F$12:$J$102,5,0),"")</f>
        <v/>
      </c>
      <c r="BQ242" s="19" t="str">
        <f>IF(BR242&lt;&gt;"",VLOOKUP($P242&amp;" | "&amp;BP$6,'Job Master'!$F$12:$J$102,3,0),"")</f>
        <v/>
      </c>
      <c r="BR242" s="19" t="str">
        <f>IFERROR(IF(AND(BY242&lt;&gt;"",VLOOKUP($P242&amp;" | "&amp;BP$6,'Job Master'!$F$12:$I$102,4,0)&lt;&gt;""),IF(WEEKDAY(BY242-VLOOKUP($P242&amp;" | "&amp;BP$6,'Job Master'!$F$12:$I$102,4,0))&lt;&gt;7,BY242-VLOOKUP($P242&amp;" | "&amp;BP$6,'Job Master'!$F$12:$I$102,4,0),BY242-VLOOKUP($P242&amp;" | "&amp;BP$6,'Job Master'!$F$12:$I$102,4,0)-1),""),"")</f>
        <v/>
      </c>
      <c r="BS242" s="73"/>
      <c r="BT242" s="123" t="str">
        <f t="shared" si="411"/>
        <v/>
      </c>
      <c r="BU242" s="123" t="str">
        <f t="shared" si="412"/>
        <v/>
      </c>
      <c r="BV242" s="97" t="str">
        <f t="shared" ca="1" si="413"/>
        <v/>
      </c>
      <c r="BW242" s="98" t="str">
        <f>IF(BY242&lt;&gt;"",VLOOKUP($P242&amp;" | "&amp;BW$6,'Job Master'!$F$12:$J$102,5,0),"")</f>
        <v/>
      </c>
      <c r="BX242" s="19" t="str">
        <f>IF(BY242&lt;&gt;"",VLOOKUP($P242&amp;" | "&amp;BW$6,'Job Master'!$F$12:$J$102,3,0),"")</f>
        <v/>
      </c>
      <c r="BY242" s="19" t="str">
        <f>IFERROR(IF(AND(CF242&lt;&gt;"",VLOOKUP($P242&amp;" | "&amp;BW$6,'Job Master'!$F$12:$I$102,4,0)&lt;&gt;""),IF(WEEKDAY(CF242-VLOOKUP($P242&amp;" | "&amp;BW$6,'Job Master'!$F$12:$I$102,4,0))&lt;&gt;7,CF242-VLOOKUP($P242&amp;" | "&amp;BW$6,'Job Master'!$F$12:$I$102,4,0),CF242-VLOOKUP($P242&amp;" | "&amp;BW$6,'Job Master'!$F$12:$I$102,4,0)-1),""),"")</f>
        <v/>
      </c>
      <c r="BZ242" s="73"/>
      <c r="CA242" s="123" t="str">
        <f t="shared" si="414"/>
        <v/>
      </c>
      <c r="CB242" s="123" t="str">
        <f t="shared" si="415"/>
        <v/>
      </c>
      <c r="CC242" s="97" t="str">
        <f t="shared" ca="1" si="416"/>
        <v/>
      </c>
      <c r="CD242" s="98" t="str">
        <f>IF(CF242&lt;&gt;"",VLOOKUP($P242&amp;" | "&amp;CD$6,'Job Master'!$F$12:$J$102,5,0),"")</f>
        <v/>
      </c>
      <c r="CE242" s="19" t="str">
        <f>IF(CF242&lt;&gt;"",VLOOKUP($P242&amp;" | "&amp;CD$6,'Job Master'!$F$12:$J$102,3,0),"")</f>
        <v/>
      </c>
      <c r="CF242" s="19" t="str">
        <f>IFERROR(IF(AND(CM242&lt;&gt;"",VLOOKUP($P242&amp;" | "&amp;CD$6,'Job Master'!$F$12:$I$102,4,0)&lt;&gt;""),IF(WEEKDAY(CM242-VLOOKUP($P242&amp;" | "&amp;CD$6,'Job Master'!$F$12:$I$102,4,0))&lt;&gt;7,CM242-VLOOKUP($P242&amp;" | "&amp;CD$6,'Job Master'!$F$12:$I$102,4,0),CM242-VLOOKUP($P242&amp;" | "&amp;CD$6,'Job Master'!$F$12:$I$102,4,0)-1),""),"")</f>
        <v/>
      </c>
      <c r="CG242" s="73"/>
      <c r="CH242" s="123" t="str">
        <f t="shared" si="417"/>
        <v/>
      </c>
      <c r="CI242" s="123" t="str">
        <f t="shared" si="418"/>
        <v/>
      </c>
      <c r="CJ242" s="97" t="str">
        <f t="shared" ca="1" si="419"/>
        <v/>
      </c>
      <c r="CK242" s="98" t="str">
        <f>IF(CM242&lt;&gt;"",VLOOKUP($P242&amp;" | "&amp;CK$6,'Job Master'!$F$12:$J$102,5,0),"")</f>
        <v/>
      </c>
      <c r="CL242" s="19" t="str">
        <f>IF(CM242&lt;&gt;"",VLOOKUP($P242&amp;" | "&amp;CK$6,'Job Master'!$F$12:$J$102,3,0),"")</f>
        <v/>
      </c>
      <c r="CM242" s="19" t="str">
        <f>IFERROR(IF(AND(CT242&lt;&gt;"",VLOOKUP($P242&amp;" | "&amp;CK$6,'Job Master'!$F$12:$I$102,4,0)&lt;&gt;""),IF(WEEKDAY(CT242-VLOOKUP($P242&amp;" | "&amp;CK$6,'Job Master'!$F$12:$I$102,4,0))&lt;&gt;7,CT242-VLOOKUP($P242&amp;" | "&amp;CK$6,'Job Master'!$F$12:$I$102,4,0),CT242-VLOOKUP($P242&amp;" | "&amp;CK$6,'Job Master'!$F$12:$I$102,4,0)-1),""),"")</f>
        <v/>
      </c>
      <c r="CN242" s="73"/>
      <c r="CO242" s="123" t="str">
        <f t="shared" si="420"/>
        <v/>
      </c>
      <c r="CP242" s="123" t="str">
        <f t="shared" si="421"/>
        <v/>
      </c>
      <c r="CQ242" s="97" t="str">
        <f t="shared" ca="1" si="422"/>
        <v/>
      </c>
      <c r="CR242" s="98" t="str">
        <f>IF(CT242&lt;&gt;"",VLOOKUP($P242&amp;" | "&amp;CR$6,'Job Master'!$F$12:$J$102,5,0),"")</f>
        <v/>
      </c>
      <c r="CS242" s="19" t="str">
        <f>IF(CT242&lt;&gt;"",VLOOKUP($P242&amp;" | "&amp;CR$6,'Job Master'!$F$12:$J$102,3,0),"")</f>
        <v/>
      </c>
      <c r="CT242" s="19" t="str">
        <f>IFERROR(IF(AND(DA242&lt;&gt;"",VLOOKUP($P242&amp;" | "&amp;CR$6,'Job Master'!$F$12:$I$102,4,0)&lt;&gt;""),IF(WEEKDAY(DA242-VLOOKUP($P242&amp;" | "&amp;CR$6,'Job Master'!$F$12:$I$102,4,0))&lt;&gt;7,DA242-VLOOKUP($P242&amp;" | "&amp;CR$6,'Job Master'!$F$12:$I$102,4,0),DA242-VLOOKUP($P242&amp;" | "&amp;CR$6,'Job Master'!$F$12:$I$102,4,0)-1),""),"")</f>
        <v/>
      </c>
      <c r="CU242" s="73"/>
      <c r="CV242" s="123" t="str">
        <f t="shared" si="423"/>
        <v/>
      </c>
      <c r="CW242" s="123" t="str">
        <f t="shared" si="424"/>
        <v/>
      </c>
      <c r="CX242" s="97" t="str">
        <f t="shared" ca="1" si="425"/>
        <v/>
      </c>
      <c r="CY242" s="98" t="str">
        <f>IF(DA242&lt;&gt;"",VLOOKUP($P242&amp;" | "&amp;CY$6,'Job Master'!$F$12:$J$102,5,0),"")</f>
        <v/>
      </c>
      <c r="CZ242" s="19" t="str">
        <f>IF(DA242&lt;&gt;"",VLOOKUP($P242&amp;" | "&amp;CY$6,'Job Master'!$F$12:$J$102,3,0),"")</f>
        <v/>
      </c>
      <c r="DA242" s="19" t="str">
        <f>IFERROR(IF(AND(DH242&lt;&gt;"",VLOOKUP($P242&amp;" | "&amp;CY$6,'Job Master'!$F$12:$I$102,4,0)&lt;&gt;""),IF(WEEKDAY(DH242-VLOOKUP($P242&amp;" | "&amp;CY$6,'Job Master'!$F$12:$I$102,4,0))&lt;&gt;7,DH242-VLOOKUP($P242&amp;" | "&amp;CY$6,'Job Master'!$F$12:$I$102,4,0),DH242-VLOOKUP($P242&amp;" | "&amp;CY$6,'Job Master'!$F$12:$I$102,4,0)-1),""),"")</f>
        <v/>
      </c>
      <c r="DB242" s="73"/>
      <c r="DC242" s="123" t="str">
        <f t="shared" si="426"/>
        <v/>
      </c>
      <c r="DD242" s="123" t="str">
        <f t="shared" si="427"/>
        <v/>
      </c>
      <c r="DE242" s="97" t="str">
        <f t="shared" ca="1" si="428"/>
        <v/>
      </c>
      <c r="DF242" s="98" t="str">
        <f>IF(DH242&lt;&gt;"",VLOOKUP($P242&amp;" | "&amp;DF$6,'Job Master'!$F$12:$J$102,5,0),"")</f>
        <v/>
      </c>
      <c r="DG242" s="19" t="str">
        <f>IF(DH242&lt;&gt;"",VLOOKUP($P242&amp;" | "&amp;DF$6,'Job Master'!$F$12:$J$102,3,0),"")</f>
        <v/>
      </c>
      <c r="DH242" s="19" t="str">
        <f>IFERROR(IF(AND(DO242&lt;&gt;"",VLOOKUP($P242&amp;" | "&amp;DF$6,'Job Master'!$F$12:$I$102,4,0)&lt;&gt;""),IF(WEEKDAY(DO242-VLOOKUP($P242&amp;" | "&amp;DF$6,'Job Master'!$F$12:$I$102,4,0))&lt;&gt;7,DO242-VLOOKUP($P242&amp;" | "&amp;DF$6,'Job Master'!$F$12:$I$102,4,0),DO242-VLOOKUP($P242&amp;" | "&amp;DF$6,'Job Master'!$F$12:$I$102,4,0)-1),""),"")</f>
        <v/>
      </c>
      <c r="DI242" s="73"/>
      <c r="DJ242" s="123" t="str">
        <f t="shared" si="429"/>
        <v/>
      </c>
      <c r="DK242" s="123" t="str">
        <f t="shared" si="430"/>
        <v/>
      </c>
      <c r="DL242" s="97" t="str">
        <f t="shared" ca="1" si="431"/>
        <v/>
      </c>
      <c r="DM242" s="98" t="str">
        <f>IF(DO242&lt;&gt;"",VLOOKUP($P242&amp;" | "&amp;DM$6,'Job Master'!$F$12:$J$102,5,0),"")</f>
        <v/>
      </c>
      <c r="DN242" s="19" t="str">
        <f>IF(DO242&lt;&gt;"",VLOOKUP($P242&amp;" | "&amp;DM$6,'Job Master'!$F$12:$J$102,3,0),"")</f>
        <v/>
      </c>
      <c r="DO242" s="19" t="str">
        <f>IFERROR(IF(AND(DT242&lt;&gt;"",VLOOKUP($P242&amp;" | "&amp;DM$6,'Job Master'!$F$12:$I$102,4,0)&lt;&gt;""),IF(WEEKDAY(DT242-VLOOKUP($P242&amp;" | "&amp;DM$6,'Job Master'!$F$12:$I$102,4,0))&lt;&gt;7,DT242-VLOOKUP($P242&amp;" | "&amp;DM$6,'Job Master'!$F$12:$I$102,4,0),DT242-VLOOKUP($P242&amp;" | "&amp;DM$6,'Job Master'!$F$12:$I$102,4,0)-1),""),"")</f>
        <v/>
      </c>
      <c r="DP242" s="73"/>
      <c r="DQ242" s="123" t="str">
        <f t="shared" si="432"/>
        <v/>
      </c>
      <c r="DR242" s="123" t="str">
        <f t="shared" si="433"/>
        <v/>
      </c>
      <c r="DS242" s="97" t="str">
        <f t="shared" ca="1" si="434"/>
        <v/>
      </c>
      <c r="DT242" s="70" t="str">
        <f t="shared" si="435"/>
        <v/>
      </c>
      <c r="DU242" s="90"/>
      <c r="DV242" s="123" t="str">
        <f t="shared" si="436"/>
        <v/>
      </c>
      <c r="DW242" s="123" t="str">
        <f t="shared" si="437"/>
        <v/>
      </c>
      <c r="DX242" s="132" t="str">
        <f t="shared" ref="DX242" ca="1" si="489">IF(DT242&lt;&gt;"",IF(WEEKNUM(DT242)=WEEKNUM(TODAY()),"This Week",IF(WEEKNUM(DT242)=WEEKNUM(TODAY())+1,"Next Week",IF(WEEKNUM(DT242)=WEEKNUM(TODAY())-1,"Previous Week",""))),"")</f>
        <v/>
      </c>
      <c r="DY242" s="134" t="str">
        <f t="shared" si="439"/>
        <v/>
      </c>
      <c r="DZ242" s="95"/>
      <c r="EB242" s="8" t="str">
        <f t="shared" si="445"/>
        <v/>
      </c>
      <c r="EC242" s="8" t="str">
        <f>IF(O242&lt;&gt;"",VLOOKUP(O242,'Job Master'!$N$12:$O$18,2,0),"")</f>
        <v/>
      </c>
      <c r="ED242" s="8">
        <f t="shared" si="446"/>
        <v>19.5</v>
      </c>
      <c r="EE242" s="8">
        <f t="shared" si="447"/>
        <v>6</v>
      </c>
      <c r="EF242" s="8">
        <f t="shared" si="448"/>
        <v>-1372.5</v>
      </c>
      <c r="EG242" s="8" t="str">
        <f t="shared" si="449"/>
        <v/>
      </c>
      <c r="EH242" s="8" t="str">
        <f t="shared" si="450"/>
        <v/>
      </c>
    </row>
    <row r="243" spans="2:138" x14ac:dyDescent="0.3">
      <c r="B243" s="112"/>
      <c r="C243" s="27"/>
      <c r="D243" s="7" t="str">
        <f t="shared" si="387"/>
        <v/>
      </c>
      <c r="E243" s="25"/>
      <c r="F243" s="7" t="str">
        <f t="shared" si="387"/>
        <v/>
      </c>
      <c r="G243" s="25"/>
      <c r="H243" s="7" t="str">
        <f t="shared" si="387"/>
        <v/>
      </c>
      <c r="I243" s="25"/>
      <c r="J243" s="7" t="str">
        <f t="shared" si="387"/>
        <v/>
      </c>
      <c r="K243" s="25"/>
      <c r="L243" s="7" t="str">
        <f t="shared" si="388"/>
        <v/>
      </c>
      <c r="M243" s="25"/>
      <c r="N243" s="7" t="str">
        <f t="shared" si="389"/>
        <v/>
      </c>
      <c r="O243" s="81"/>
      <c r="P243" s="81" t="str">
        <f t="shared" si="390"/>
        <v/>
      </c>
      <c r="Q243" s="81"/>
      <c r="R243" s="7" t="str">
        <f t="shared" si="391"/>
        <v/>
      </c>
      <c r="S243" s="25"/>
      <c r="T243" s="7" t="str">
        <f t="shared" si="392"/>
        <v/>
      </c>
      <c r="U243" s="25"/>
      <c r="V243" s="7" t="str">
        <f t="shared" si="393"/>
        <v/>
      </c>
      <c r="W243" s="25"/>
      <c r="X243" s="7" t="str">
        <f t="shared" si="394"/>
        <v/>
      </c>
      <c r="Y243" s="18" t="str">
        <f t="shared" si="395"/>
        <v/>
      </c>
      <c r="Z243" s="7" t="str">
        <f t="shared" si="396"/>
        <v/>
      </c>
      <c r="AA243" s="18" t="str">
        <f t="shared" si="397"/>
        <v/>
      </c>
      <c r="AB243" s="19" t="str">
        <f t="shared" si="398"/>
        <v/>
      </c>
      <c r="AC243" s="26"/>
      <c r="AD243" s="26"/>
      <c r="AE243" s="25"/>
      <c r="AF243" s="26"/>
      <c r="AG243" s="25"/>
      <c r="AH243" s="25"/>
      <c r="AI243" s="18" t="str">
        <f t="shared" si="461"/>
        <v/>
      </c>
      <c r="AJ243" s="25"/>
      <c r="AK243" s="18" t="str">
        <f t="shared" si="462"/>
        <v/>
      </c>
      <c r="AL243" s="79"/>
      <c r="AM243" s="126" t="str">
        <f t="shared" si="463"/>
        <v/>
      </c>
      <c r="AN243" s="128" t="str">
        <f>IF(AP243&lt;&gt;"",VLOOKUP($P243&amp;" | "&amp;AN$6,'Job Master'!$F$12:$J$102,5,0),"")</f>
        <v/>
      </c>
      <c r="AO243" s="19" t="str">
        <f>IF(AP243&lt;&gt;"",VLOOKUP($P243&amp;" | "&amp;AN$6,'Job Master'!$F$12:$J$102,3,0),"")</f>
        <v/>
      </c>
      <c r="AP243" s="19" t="str">
        <f>IFERROR(IF(AND(AW243&lt;&gt;"",VLOOKUP($P243&amp;" | "&amp;AN$6,'Job Master'!$F$12:$I$102,4,0)&lt;&gt;""),IF(WEEKDAY(AW243-VLOOKUP($P243&amp;" | "&amp;AN$6,'Job Master'!$F$12:$I$102,4,0))&lt;&gt;7,AW243-VLOOKUP($P243&amp;" | "&amp;AN$6,'Job Master'!$F$12:$I$102,4,0),AW243-VLOOKUP($P243&amp;" | "&amp;AN$6,'Job Master'!$F$12:$I$102,4,0)-1),""),"")</f>
        <v/>
      </c>
      <c r="AQ243" s="73"/>
      <c r="AR243" s="123" t="str">
        <f t="shared" si="399"/>
        <v/>
      </c>
      <c r="AS243" s="123" t="str">
        <f t="shared" si="400"/>
        <v/>
      </c>
      <c r="AT243" s="97" t="str">
        <f t="shared" ca="1" si="401"/>
        <v/>
      </c>
      <c r="AU243" s="98" t="str">
        <f>IF(AW243&lt;&gt;"",VLOOKUP($P243&amp;" | "&amp;AU$6,'Job Master'!$F$12:$J$102,5,0),"")</f>
        <v/>
      </c>
      <c r="AV243" s="19" t="str">
        <f>IF(AW243&lt;&gt;"",VLOOKUP($P243&amp;" | "&amp;AU$6,'Job Master'!$F$12:$J$102,3,0),"")</f>
        <v/>
      </c>
      <c r="AW243" s="19" t="str">
        <f>IFERROR(IF(AND(BD243&lt;&gt;"",VLOOKUP($P243&amp;" | "&amp;AU$6,'Job Master'!$F$12:$I$102,4,0)&lt;&gt;""),IF(WEEKDAY(BD243-VLOOKUP($P243&amp;" | "&amp;AU$6,'Job Master'!$F$12:$I$102,4,0))&lt;&gt;7,BD243-VLOOKUP($P243&amp;" | "&amp;AU$6,'Job Master'!$F$12:$I$102,4,0),BD243-VLOOKUP($P243&amp;" | "&amp;AU$6,'Job Master'!$F$12:$I$102,4,0)-1),""),"")</f>
        <v/>
      </c>
      <c r="AX243" s="73"/>
      <c r="AY243" s="123" t="str">
        <f t="shared" si="402"/>
        <v/>
      </c>
      <c r="AZ243" s="123" t="str">
        <f t="shared" si="403"/>
        <v/>
      </c>
      <c r="BA243" s="97" t="str">
        <f t="shared" ca="1" si="404"/>
        <v/>
      </c>
      <c r="BB243" s="98" t="str">
        <f>IF(BD243&lt;&gt;"",VLOOKUP($P243&amp;" | "&amp;BB$6,'Job Master'!$F$12:$J$102,5,0),"")</f>
        <v/>
      </c>
      <c r="BC243" s="19" t="str">
        <f>IF(BD243&lt;&gt;"",VLOOKUP($P243&amp;" | "&amp;BB$6,'Job Master'!$F$12:$J$102,3,0),"")</f>
        <v/>
      </c>
      <c r="BD243" s="19" t="str">
        <f>IFERROR(IF(AND(BK243&lt;&gt;"",VLOOKUP($P243&amp;" | "&amp;BB$6,'Job Master'!$F$12:$I$102,4,0)&lt;&gt;""),IF(WEEKDAY(BK243-VLOOKUP($P243&amp;" | "&amp;BB$6,'Job Master'!$F$12:$I$102,4,0))&lt;&gt;7,BK243-VLOOKUP($P243&amp;" | "&amp;BB$6,'Job Master'!$F$12:$I$102,4,0),BK243-VLOOKUP($P243&amp;" | "&amp;BB$6,'Job Master'!$F$12:$I$102,4,0)-1),""),"")</f>
        <v/>
      </c>
      <c r="BE243" s="73"/>
      <c r="BF243" s="123" t="str">
        <f t="shared" si="405"/>
        <v/>
      </c>
      <c r="BG243" s="123" t="str">
        <f t="shared" si="406"/>
        <v/>
      </c>
      <c r="BH243" s="97" t="str">
        <f t="shared" ca="1" si="407"/>
        <v/>
      </c>
      <c r="BI243" s="98" t="str">
        <f>IF(BK243&lt;&gt;"",VLOOKUP($P243&amp;" | "&amp;BI$6,'Job Master'!$F$12:$J$102,5,0),"")</f>
        <v/>
      </c>
      <c r="BJ243" s="19" t="str">
        <f>IF(BK243&lt;&gt;"",VLOOKUP($P243&amp;" | "&amp;BI$6,'Job Master'!$F$12:$J$102,3,0),"")</f>
        <v/>
      </c>
      <c r="BK243" s="19" t="str">
        <f>IFERROR(IF(AND(BR243&lt;&gt;"",VLOOKUP($P243&amp;" | "&amp;BI$6,'Job Master'!$F$12:$I$102,4,0)&lt;&gt;""),IF(WEEKDAY(BR243-VLOOKUP($P243&amp;" | "&amp;BI$6,'Job Master'!$F$12:$I$102,4,0))&lt;&gt;7,BR243-VLOOKUP($P243&amp;" | "&amp;BI$6,'Job Master'!$F$12:$I$102,4,0),BR243-VLOOKUP($P243&amp;" | "&amp;BI$6,'Job Master'!$F$12:$I$102,4,0)-1),""),"")</f>
        <v/>
      </c>
      <c r="BL243" s="73"/>
      <c r="BM243" s="123" t="str">
        <f t="shared" si="408"/>
        <v/>
      </c>
      <c r="BN243" s="123" t="str">
        <f t="shared" si="409"/>
        <v/>
      </c>
      <c r="BO243" s="97" t="str">
        <f t="shared" ca="1" si="410"/>
        <v/>
      </c>
      <c r="BP243" s="98" t="str">
        <f>IF(BR243&lt;&gt;"",VLOOKUP($P243&amp;" | "&amp;BP$6,'Job Master'!$F$12:$J$102,5,0),"")</f>
        <v/>
      </c>
      <c r="BQ243" s="19" t="str">
        <f>IF(BR243&lt;&gt;"",VLOOKUP($P243&amp;" | "&amp;BP$6,'Job Master'!$F$12:$J$102,3,0),"")</f>
        <v/>
      </c>
      <c r="BR243" s="19" t="str">
        <f>IFERROR(IF(AND(BY243&lt;&gt;"",VLOOKUP($P243&amp;" | "&amp;BP$6,'Job Master'!$F$12:$I$102,4,0)&lt;&gt;""),IF(WEEKDAY(BY243-VLOOKUP($P243&amp;" | "&amp;BP$6,'Job Master'!$F$12:$I$102,4,0))&lt;&gt;7,BY243-VLOOKUP($P243&amp;" | "&amp;BP$6,'Job Master'!$F$12:$I$102,4,0),BY243-VLOOKUP($P243&amp;" | "&amp;BP$6,'Job Master'!$F$12:$I$102,4,0)-1),""),"")</f>
        <v/>
      </c>
      <c r="BS243" s="73"/>
      <c r="BT243" s="123" t="str">
        <f t="shared" si="411"/>
        <v/>
      </c>
      <c r="BU243" s="123" t="str">
        <f t="shared" si="412"/>
        <v/>
      </c>
      <c r="BV243" s="97" t="str">
        <f t="shared" ca="1" si="413"/>
        <v/>
      </c>
      <c r="BW243" s="98" t="str">
        <f>IF(BY243&lt;&gt;"",VLOOKUP($P243&amp;" | "&amp;BW$6,'Job Master'!$F$12:$J$102,5,0),"")</f>
        <v/>
      </c>
      <c r="BX243" s="19" t="str">
        <f>IF(BY243&lt;&gt;"",VLOOKUP($P243&amp;" | "&amp;BW$6,'Job Master'!$F$12:$J$102,3,0),"")</f>
        <v/>
      </c>
      <c r="BY243" s="19" t="str">
        <f>IFERROR(IF(AND(CF243&lt;&gt;"",VLOOKUP($P243&amp;" | "&amp;BW$6,'Job Master'!$F$12:$I$102,4,0)&lt;&gt;""),IF(WEEKDAY(CF243-VLOOKUP($P243&amp;" | "&amp;BW$6,'Job Master'!$F$12:$I$102,4,0))&lt;&gt;7,CF243-VLOOKUP($P243&amp;" | "&amp;BW$6,'Job Master'!$F$12:$I$102,4,0),CF243-VLOOKUP($P243&amp;" | "&amp;BW$6,'Job Master'!$F$12:$I$102,4,0)-1),""),"")</f>
        <v/>
      </c>
      <c r="BZ243" s="73"/>
      <c r="CA243" s="123" t="str">
        <f t="shared" si="414"/>
        <v/>
      </c>
      <c r="CB243" s="123" t="str">
        <f t="shared" si="415"/>
        <v/>
      </c>
      <c r="CC243" s="97" t="str">
        <f t="shared" ca="1" si="416"/>
        <v/>
      </c>
      <c r="CD243" s="98" t="str">
        <f>IF(CF243&lt;&gt;"",VLOOKUP($P243&amp;" | "&amp;CD$6,'Job Master'!$F$12:$J$102,5,0),"")</f>
        <v/>
      </c>
      <c r="CE243" s="19" t="str">
        <f>IF(CF243&lt;&gt;"",VLOOKUP($P243&amp;" | "&amp;CD$6,'Job Master'!$F$12:$J$102,3,0),"")</f>
        <v/>
      </c>
      <c r="CF243" s="19" t="str">
        <f>IFERROR(IF(AND(CM243&lt;&gt;"",VLOOKUP($P243&amp;" | "&amp;CD$6,'Job Master'!$F$12:$I$102,4,0)&lt;&gt;""),IF(WEEKDAY(CM243-VLOOKUP($P243&amp;" | "&amp;CD$6,'Job Master'!$F$12:$I$102,4,0))&lt;&gt;7,CM243-VLOOKUP($P243&amp;" | "&amp;CD$6,'Job Master'!$F$12:$I$102,4,0),CM243-VLOOKUP($P243&amp;" | "&amp;CD$6,'Job Master'!$F$12:$I$102,4,0)-1),""),"")</f>
        <v/>
      </c>
      <c r="CG243" s="73"/>
      <c r="CH243" s="123" t="str">
        <f t="shared" si="417"/>
        <v/>
      </c>
      <c r="CI243" s="123" t="str">
        <f t="shared" si="418"/>
        <v/>
      </c>
      <c r="CJ243" s="97" t="str">
        <f t="shared" ca="1" si="419"/>
        <v/>
      </c>
      <c r="CK243" s="98" t="str">
        <f>IF(CM243&lt;&gt;"",VLOOKUP($P243&amp;" | "&amp;CK$6,'Job Master'!$F$12:$J$102,5,0),"")</f>
        <v/>
      </c>
      <c r="CL243" s="19" t="str">
        <f>IF(CM243&lt;&gt;"",VLOOKUP($P243&amp;" | "&amp;CK$6,'Job Master'!$F$12:$J$102,3,0),"")</f>
        <v/>
      </c>
      <c r="CM243" s="19" t="str">
        <f>IFERROR(IF(AND(CT243&lt;&gt;"",VLOOKUP($P243&amp;" | "&amp;CK$6,'Job Master'!$F$12:$I$102,4,0)&lt;&gt;""),IF(WEEKDAY(CT243-VLOOKUP($P243&amp;" | "&amp;CK$6,'Job Master'!$F$12:$I$102,4,0))&lt;&gt;7,CT243-VLOOKUP($P243&amp;" | "&amp;CK$6,'Job Master'!$F$12:$I$102,4,0),CT243-VLOOKUP($P243&amp;" | "&amp;CK$6,'Job Master'!$F$12:$I$102,4,0)-1),""),"")</f>
        <v/>
      </c>
      <c r="CN243" s="73"/>
      <c r="CO243" s="123" t="str">
        <f t="shared" si="420"/>
        <v/>
      </c>
      <c r="CP243" s="123" t="str">
        <f t="shared" si="421"/>
        <v/>
      </c>
      <c r="CQ243" s="97" t="str">
        <f t="shared" ca="1" si="422"/>
        <v/>
      </c>
      <c r="CR243" s="98" t="str">
        <f>IF(CT243&lt;&gt;"",VLOOKUP($P243&amp;" | "&amp;CR$6,'Job Master'!$F$12:$J$102,5,0),"")</f>
        <v/>
      </c>
      <c r="CS243" s="19" t="str">
        <f>IF(CT243&lt;&gt;"",VLOOKUP($P243&amp;" | "&amp;CR$6,'Job Master'!$F$12:$J$102,3,0),"")</f>
        <v/>
      </c>
      <c r="CT243" s="19" t="str">
        <f>IFERROR(IF(AND(DA243&lt;&gt;"",VLOOKUP($P243&amp;" | "&amp;CR$6,'Job Master'!$F$12:$I$102,4,0)&lt;&gt;""),IF(WEEKDAY(DA243-VLOOKUP($P243&amp;" | "&amp;CR$6,'Job Master'!$F$12:$I$102,4,0))&lt;&gt;7,DA243-VLOOKUP($P243&amp;" | "&amp;CR$6,'Job Master'!$F$12:$I$102,4,0),DA243-VLOOKUP($P243&amp;" | "&amp;CR$6,'Job Master'!$F$12:$I$102,4,0)-1),""),"")</f>
        <v/>
      </c>
      <c r="CU243" s="73"/>
      <c r="CV243" s="123" t="str">
        <f t="shared" si="423"/>
        <v/>
      </c>
      <c r="CW243" s="123" t="str">
        <f t="shared" si="424"/>
        <v/>
      </c>
      <c r="CX243" s="97" t="str">
        <f t="shared" ca="1" si="425"/>
        <v/>
      </c>
      <c r="CY243" s="98" t="str">
        <f>IF(DA243&lt;&gt;"",VLOOKUP($P243&amp;" | "&amp;CY$6,'Job Master'!$F$12:$J$102,5,0),"")</f>
        <v/>
      </c>
      <c r="CZ243" s="19" t="str">
        <f>IF(DA243&lt;&gt;"",VLOOKUP($P243&amp;" | "&amp;CY$6,'Job Master'!$F$12:$J$102,3,0),"")</f>
        <v/>
      </c>
      <c r="DA243" s="19" t="str">
        <f>IFERROR(IF(AND(DH243&lt;&gt;"",VLOOKUP($P243&amp;" | "&amp;CY$6,'Job Master'!$F$12:$I$102,4,0)&lt;&gt;""),IF(WEEKDAY(DH243-VLOOKUP($P243&amp;" | "&amp;CY$6,'Job Master'!$F$12:$I$102,4,0))&lt;&gt;7,DH243-VLOOKUP($P243&amp;" | "&amp;CY$6,'Job Master'!$F$12:$I$102,4,0),DH243-VLOOKUP($P243&amp;" | "&amp;CY$6,'Job Master'!$F$12:$I$102,4,0)-1),""),"")</f>
        <v/>
      </c>
      <c r="DB243" s="73"/>
      <c r="DC243" s="123" t="str">
        <f t="shared" si="426"/>
        <v/>
      </c>
      <c r="DD243" s="123" t="str">
        <f t="shared" si="427"/>
        <v/>
      </c>
      <c r="DE243" s="97" t="str">
        <f t="shared" ca="1" si="428"/>
        <v/>
      </c>
      <c r="DF243" s="98" t="str">
        <f>IF(DH243&lt;&gt;"",VLOOKUP($P243&amp;" | "&amp;DF$6,'Job Master'!$F$12:$J$102,5,0),"")</f>
        <v/>
      </c>
      <c r="DG243" s="19" t="str">
        <f>IF(DH243&lt;&gt;"",VLOOKUP($P243&amp;" | "&amp;DF$6,'Job Master'!$F$12:$J$102,3,0),"")</f>
        <v/>
      </c>
      <c r="DH243" s="19" t="str">
        <f>IFERROR(IF(AND(DO243&lt;&gt;"",VLOOKUP($P243&amp;" | "&amp;DF$6,'Job Master'!$F$12:$I$102,4,0)&lt;&gt;""),IF(WEEKDAY(DO243-VLOOKUP($P243&amp;" | "&amp;DF$6,'Job Master'!$F$12:$I$102,4,0))&lt;&gt;7,DO243-VLOOKUP($P243&amp;" | "&amp;DF$6,'Job Master'!$F$12:$I$102,4,0),DO243-VLOOKUP($P243&amp;" | "&amp;DF$6,'Job Master'!$F$12:$I$102,4,0)-1),""),"")</f>
        <v/>
      </c>
      <c r="DI243" s="73"/>
      <c r="DJ243" s="123" t="str">
        <f t="shared" si="429"/>
        <v/>
      </c>
      <c r="DK243" s="123" t="str">
        <f t="shared" si="430"/>
        <v/>
      </c>
      <c r="DL243" s="97" t="str">
        <f t="shared" ca="1" si="431"/>
        <v/>
      </c>
      <c r="DM243" s="98" t="str">
        <f>IF(DO243&lt;&gt;"",VLOOKUP($P243&amp;" | "&amp;DM$6,'Job Master'!$F$12:$J$102,5,0),"")</f>
        <v/>
      </c>
      <c r="DN243" s="19" t="str">
        <f>IF(DO243&lt;&gt;"",VLOOKUP($P243&amp;" | "&amp;DM$6,'Job Master'!$F$12:$J$102,3,0),"")</f>
        <v/>
      </c>
      <c r="DO243" s="19" t="str">
        <f>IFERROR(IF(AND(DT243&lt;&gt;"",VLOOKUP($P243&amp;" | "&amp;DM$6,'Job Master'!$F$12:$I$102,4,0)&lt;&gt;""),IF(WEEKDAY(DT243-VLOOKUP($P243&amp;" | "&amp;DM$6,'Job Master'!$F$12:$I$102,4,0))&lt;&gt;7,DT243-VLOOKUP($P243&amp;" | "&amp;DM$6,'Job Master'!$F$12:$I$102,4,0),DT243-VLOOKUP($P243&amp;" | "&amp;DM$6,'Job Master'!$F$12:$I$102,4,0)-1),""),"")</f>
        <v/>
      </c>
      <c r="DP243" s="73"/>
      <c r="DQ243" s="123" t="str">
        <f t="shared" si="432"/>
        <v/>
      </c>
      <c r="DR243" s="123" t="str">
        <f t="shared" si="433"/>
        <v/>
      </c>
      <c r="DS243" s="97" t="str">
        <f t="shared" ca="1" si="434"/>
        <v/>
      </c>
      <c r="DT243" s="70" t="str">
        <f t="shared" si="435"/>
        <v/>
      </c>
      <c r="DU243" s="90"/>
      <c r="DV243" s="123" t="str">
        <f t="shared" si="436"/>
        <v/>
      </c>
      <c r="DW243" s="123" t="str">
        <f t="shared" si="437"/>
        <v/>
      </c>
      <c r="DX243" s="132" t="str">
        <f t="shared" ref="DX243" ca="1" si="490">IF(DT243&lt;&gt;"",IF(WEEKNUM(DT243)=WEEKNUM(TODAY()),"This Week",IF(WEEKNUM(DT243)=WEEKNUM(TODAY())+1,"Next Week",IF(WEEKNUM(DT243)=WEEKNUM(TODAY())-1,"Previous Week",""))),"")</f>
        <v/>
      </c>
      <c r="DY243" s="134" t="str">
        <f t="shared" si="439"/>
        <v/>
      </c>
      <c r="DZ243" s="95"/>
      <c r="EB243" s="8" t="str">
        <f t="shared" si="445"/>
        <v/>
      </c>
      <c r="EC243" s="8" t="str">
        <f>IF(O243&lt;&gt;"",VLOOKUP(O243,'Job Master'!$N$12:$O$18,2,0),"")</f>
        <v/>
      </c>
      <c r="ED243" s="8">
        <f t="shared" si="446"/>
        <v>19.5</v>
      </c>
      <c r="EE243" s="8">
        <f t="shared" si="447"/>
        <v>6</v>
      </c>
      <c r="EF243" s="8">
        <f t="shared" si="448"/>
        <v>-1378.5</v>
      </c>
      <c r="EG243" s="8" t="str">
        <f t="shared" si="449"/>
        <v/>
      </c>
      <c r="EH243" s="8" t="str">
        <f t="shared" si="450"/>
        <v/>
      </c>
    </row>
    <row r="244" spans="2:138" x14ac:dyDescent="0.3">
      <c r="B244" s="112"/>
      <c r="C244" s="27"/>
      <c r="D244" s="7" t="str">
        <f t="shared" si="387"/>
        <v/>
      </c>
      <c r="E244" s="25"/>
      <c r="F244" s="7" t="str">
        <f t="shared" si="387"/>
        <v/>
      </c>
      <c r="G244" s="25"/>
      <c r="H244" s="7" t="str">
        <f t="shared" si="387"/>
        <v/>
      </c>
      <c r="I244" s="25"/>
      <c r="J244" s="7" t="str">
        <f t="shared" si="387"/>
        <v/>
      </c>
      <c r="K244" s="25"/>
      <c r="L244" s="7" t="str">
        <f t="shared" si="388"/>
        <v/>
      </c>
      <c r="M244" s="25"/>
      <c r="N244" s="7" t="str">
        <f t="shared" si="389"/>
        <v/>
      </c>
      <c r="O244" s="81"/>
      <c r="P244" s="81" t="str">
        <f t="shared" si="390"/>
        <v/>
      </c>
      <c r="Q244" s="81"/>
      <c r="R244" s="7" t="str">
        <f t="shared" si="391"/>
        <v/>
      </c>
      <c r="S244" s="25"/>
      <c r="T244" s="7" t="str">
        <f t="shared" si="392"/>
        <v/>
      </c>
      <c r="U244" s="25"/>
      <c r="V244" s="7" t="str">
        <f t="shared" si="393"/>
        <v/>
      </c>
      <c r="W244" s="25"/>
      <c r="X244" s="7" t="str">
        <f t="shared" si="394"/>
        <v/>
      </c>
      <c r="Y244" s="18" t="str">
        <f t="shared" si="395"/>
        <v/>
      </c>
      <c r="Z244" s="7" t="str">
        <f t="shared" si="396"/>
        <v/>
      </c>
      <c r="AA244" s="18" t="str">
        <f t="shared" si="397"/>
        <v/>
      </c>
      <c r="AB244" s="19" t="str">
        <f t="shared" si="398"/>
        <v/>
      </c>
      <c r="AC244" s="26"/>
      <c r="AD244" s="26"/>
      <c r="AE244" s="25"/>
      <c r="AF244" s="26"/>
      <c r="AG244" s="25"/>
      <c r="AH244" s="25"/>
      <c r="AI244" s="18" t="str">
        <f t="shared" si="461"/>
        <v/>
      </c>
      <c r="AJ244" s="25"/>
      <c r="AK244" s="18" t="str">
        <f t="shared" si="462"/>
        <v/>
      </c>
      <c r="AL244" s="79"/>
      <c r="AM244" s="126" t="str">
        <f t="shared" si="463"/>
        <v/>
      </c>
      <c r="AN244" s="128" t="str">
        <f>IF(AP244&lt;&gt;"",VLOOKUP($P244&amp;" | "&amp;AN$6,'Job Master'!$F$12:$J$102,5,0),"")</f>
        <v/>
      </c>
      <c r="AO244" s="19" t="str">
        <f>IF(AP244&lt;&gt;"",VLOOKUP($P244&amp;" | "&amp;AN$6,'Job Master'!$F$12:$J$102,3,0),"")</f>
        <v/>
      </c>
      <c r="AP244" s="19" t="str">
        <f>IFERROR(IF(AND(AW244&lt;&gt;"",VLOOKUP($P244&amp;" | "&amp;AN$6,'Job Master'!$F$12:$I$102,4,0)&lt;&gt;""),IF(WEEKDAY(AW244-VLOOKUP($P244&amp;" | "&amp;AN$6,'Job Master'!$F$12:$I$102,4,0))&lt;&gt;7,AW244-VLOOKUP($P244&amp;" | "&amp;AN$6,'Job Master'!$F$12:$I$102,4,0),AW244-VLOOKUP($P244&amp;" | "&amp;AN$6,'Job Master'!$F$12:$I$102,4,0)-1),""),"")</f>
        <v/>
      </c>
      <c r="AQ244" s="73"/>
      <c r="AR244" s="123" t="str">
        <f t="shared" si="399"/>
        <v/>
      </c>
      <c r="AS244" s="123" t="str">
        <f t="shared" si="400"/>
        <v/>
      </c>
      <c r="AT244" s="97" t="str">
        <f t="shared" ca="1" si="401"/>
        <v/>
      </c>
      <c r="AU244" s="98" t="str">
        <f>IF(AW244&lt;&gt;"",VLOOKUP($P244&amp;" | "&amp;AU$6,'Job Master'!$F$12:$J$102,5,0),"")</f>
        <v/>
      </c>
      <c r="AV244" s="19" t="str">
        <f>IF(AW244&lt;&gt;"",VLOOKUP($P244&amp;" | "&amp;AU$6,'Job Master'!$F$12:$J$102,3,0),"")</f>
        <v/>
      </c>
      <c r="AW244" s="19" t="str">
        <f>IFERROR(IF(AND(BD244&lt;&gt;"",VLOOKUP($P244&amp;" | "&amp;AU$6,'Job Master'!$F$12:$I$102,4,0)&lt;&gt;""),IF(WEEKDAY(BD244-VLOOKUP($P244&amp;" | "&amp;AU$6,'Job Master'!$F$12:$I$102,4,0))&lt;&gt;7,BD244-VLOOKUP($P244&amp;" | "&amp;AU$6,'Job Master'!$F$12:$I$102,4,0),BD244-VLOOKUP($P244&amp;" | "&amp;AU$6,'Job Master'!$F$12:$I$102,4,0)-1),""),"")</f>
        <v/>
      </c>
      <c r="AX244" s="73"/>
      <c r="AY244" s="123" t="str">
        <f t="shared" si="402"/>
        <v/>
      </c>
      <c r="AZ244" s="123" t="str">
        <f t="shared" si="403"/>
        <v/>
      </c>
      <c r="BA244" s="97" t="str">
        <f t="shared" ca="1" si="404"/>
        <v/>
      </c>
      <c r="BB244" s="98" t="str">
        <f>IF(BD244&lt;&gt;"",VLOOKUP($P244&amp;" | "&amp;BB$6,'Job Master'!$F$12:$J$102,5,0),"")</f>
        <v/>
      </c>
      <c r="BC244" s="19" t="str">
        <f>IF(BD244&lt;&gt;"",VLOOKUP($P244&amp;" | "&amp;BB$6,'Job Master'!$F$12:$J$102,3,0),"")</f>
        <v/>
      </c>
      <c r="BD244" s="19" t="str">
        <f>IFERROR(IF(AND(BK244&lt;&gt;"",VLOOKUP($P244&amp;" | "&amp;BB$6,'Job Master'!$F$12:$I$102,4,0)&lt;&gt;""),IF(WEEKDAY(BK244-VLOOKUP($P244&amp;" | "&amp;BB$6,'Job Master'!$F$12:$I$102,4,0))&lt;&gt;7,BK244-VLOOKUP($P244&amp;" | "&amp;BB$6,'Job Master'!$F$12:$I$102,4,0),BK244-VLOOKUP($P244&amp;" | "&amp;BB$6,'Job Master'!$F$12:$I$102,4,0)-1),""),"")</f>
        <v/>
      </c>
      <c r="BE244" s="73"/>
      <c r="BF244" s="123" t="str">
        <f t="shared" si="405"/>
        <v/>
      </c>
      <c r="BG244" s="123" t="str">
        <f t="shared" si="406"/>
        <v/>
      </c>
      <c r="BH244" s="97" t="str">
        <f t="shared" ca="1" si="407"/>
        <v/>
      </c>
      <c r="BI244" s="98" t="str">
        <f>IF(BK244&lt;&gt;"",VLOOKUP($P244&amp;" | "&amp;BI$6,'Job Master'!$F$12:$J$102,5,0),"")</f>
        <v/>
      </c>
      <c r="BJ244" s="19" t="str">
        <f>IF(BK244&lt;&gt;"",VLOOKUP($P244&amp;" | "&amp;BI$6,'Job Master'!$F$12:$J$102,3,0),"")</f>
        <v/>
      </c>
      <c r="BK244" s="19" t="str">
        <f>IFERROR(IF(AND(BR244&lt;&gt;"",VLOOKUP($P244&amp;" | "&amp;BI$6,'Job Master'!$F$12:$I$102,4,0)&lt;&gt;""),IF(WEEKDAY(BR244-VLOOKUP($P244&amp;" | "&amp;BI$6,'Job Master'!$F$12:$I$102,4,0))&lt;&gt;7,BR244-VLOOKUP($P244&amp;" | "&amp;BI$6,'Job Master'!$F$12:$I$102,4,0),BR244-VLOOKUP($P244&amp;" | "&amp;BI$6,'Job Master'!$F$12:$I$102,4,0)-1),""),"")</f>
        <v/>
      </c>
      <c r="BL244" s="73"/>
      <c r="BM244" s="123" t="str">
        <f t="shared" si="408"/>
        <v/>
      </c>
      <c r="BN244" s="123" t="str">
        <f t="shared" si="409"/>
        <v/>
      </c>
      <c r="BO244" s="97" t="str">
        <f t="shared" ca="1" si="410"/>
        <v/>
      </c>
      <c r="BP244" s="98" t="str">
        <f>IF(BR244&lt;&gt;"",VLOOKUP($P244&amp;" | "&amp;BP$6,'Job Master'!$F$12:$J$102,5,0),"")</f>
        <v/>
      </c>
      <c r="BQ244" s="19" t="str">
        <f>IF(BR244&lt;&gt;"",VLOOKUP($P244&amp;" | "&amp;BP$6,'Job Master'!$F$12:$J$102,3,0),"")</f>
        <v/>
      </c>
      <c r="BR244" s="19" t="str">
        <f>IFERROR(IF(AND(BY244&lt;&gt;"",VLOOKUP($P244&amp;" | "&amp;BP$6,'Job Master'!$F$12:$I$102,4,0)&lt;&gt;""),IF(WEEKDAY(BY244-VLOOKUP($P244&amp;" | "&amp;BP$6,'Job Master'!$F$12:$I$102,4,0))&lt;&gt;7,BY244-VLOOKUP($P244&amp;" | "&amp;BP$6,'Job Master'!$F$12:$I$102,4,0),BY244-VLOOKUP($P244&amp;" | "&amp;BP$6,'Job Master'!$F$12:$I$102,4,0)-1),""),"")</f>
        <v/>
      </c>
      <c r="BS244" s="73"/>
      <c r="BT244" s="123" t="str">
        <f t="shared" si="411"/>
        <v/>
      </c>
      <c r="BU244" s="123" t="str">
        <f t="shared" si="412"/>
        <v/>
      </c>
      <c r="BV244" s="97" t="str">
        <f t="shared" ca="1" si="413"/>
        <v/>
      </c>
      <c r="BW244" s="98" t="str">
        <f>IF(BY244&lt;&gt;"",VLOOKUP($P244&amp;" | "&amp;BW$6,'Job Master'!$F$12:$J$102,5,0),"")</f>
        <v/>
      </c>
      <c r="BX244" s="19" t="str">
        <f>IF(BY244&lt;&gt;"",VLOOKUP($P244&amp;" | "&amp;BW$6,'Job Master'!$F$12:$J$102,3,0),"")</f>
        <v/>
      </c>
      <c r="BY244" s="19" t="str">
        <f>IFERROR(IF(AND(CF244&lt;&gt;"",VLOOKUP($P244&amp;" | "&amp;BW$6,'Job Master'!$F$12:$I$102,4,0)&lt;&gt;""),IF(WEEKDAY(CF244-VLOOKUP($P244&amp;" | "&amp;BW$6,'Job Master'!$F$12:$I$102,4,0))&lt;&gt;7,CF244-VLOOKUP($P244&amp;" | "&amp;BW$6,'Job Master'!$F$12:$I$102,4,0),CF244-VLOOKUP($P244&amp;" | "&amp;BW$6,'Job Master'!$F$12:$I$102,4,0)-1),""),"")</f>
        <v/>
      </c>
      <c r="BZ244" s="73"/>
      <c r="CA244" s="123" t="str">
        <f t="shared" si="414"/>
        <v/>
      </c>
      <c r="CB244" s="123" t="str">
        <f t="shared" si="415"/>
        <v/>
      </c>
      <c r="CC244" s="97" t="str">
        <f t="shared" ca="1" si="416"/>
        <v/>
      </c>
      <c r="CD244" s="98" t="str">
        <f>IF(CF244&lt;&gt;"",VLOOKUP($P244&amp;" | "&amp;CD$6,'Job Master'!$F$12:$J$102,5,0),"")</f>
        <v/>
      </c>
      <c r="CE244" s="19" t="str">
        <f>IF(CF244&lt;&gt;"",VLOOKUP($P244&amp;" | "&amp;CD$6,'Job Master'!$F$12:$J$102,3,0),"")</f>
        <v/>
      </c>
      <c r="CF244" s="19" t="str">
        <f>IFERROR(IF(AND(CM244&lt;&gt;"",VLOOKUP($P244&amp;" | "&amp;CD$6,'Job Master'!$F$12:$I$102,4,0)&lt;&gt;""),IF(WEEKDAY(CM244-VLOOKUP($P244&amp;" | "&amp;CD$6,'Job Master'!$F$12:$I$102,4,0))&lt;&gt;7,CM244-VLOOKUP($P244&amp;" | "&amp;CD$6,'Job Master'!$F$12:$I$102,4,0),CM244-VLOOKUP($P244&amp;" | "&amp;CD$6,'Job Master'!$F$12:$I$102,4,0)-1),""),"")</f>
        <v/>
      </c>
      <c r="CG244" s="73"/>
      <c r="CH244" s="123" t="str">
        <f t="shared" si="417"/>
        <v/>
      </c>
      <c r="CI244" s="123" t="str">
        <f t="shared" si="418"/>
        <v/>
      </c>
      <c r="CJ244" s="97" t="str">
        <f t="shared" ca="1" si="419"/>
        <v/>
      </c>
      <c r="CK244" s="98" t="str">
        <f>IF(CM244&lt;&gt;"",VLOOKUP($P244&amp;" | "&amp;CK$6,'Job Master'!$F$12:$J$102,5,0),"")</f>
        <v/>
      </c>
      <c r="CL244" s="19" t="str">
        <f>IF(CM244&lt;&gt;"",VLOOKUP($P244&amp;" | "&amp;CK$6,'Job Master'!$F$12:$J$102,3,0),"")</f>
        <v/>
      </c>
      <c r="CM244" s="19" t="str">
        <f>IFERROR(IF(AND(CT244&lt;&gt;"",VLOOKUP($P244&amp;" | "&amp;CK$6,'Job Master'!$F$12:$I$102,4,0)&lt;&gt;""),IF(WEEKDAY(CT244-VLOOKUP($P244&amp;" | "&amp;CK$6,'Job Master'!$F$12:$I$102,4,0))&lt;&gt;7,CT244-VLOOKUP($P244&amp;" | "&amp;CK$6,'Job Master'!$F$12:$I$102,4,0),CT244-VLOOKUP($P244&amp;" | "&amp;CK$6,'Job Master'!$F$12:$I$102,4,0)-1),""),"")</f>
        <v/>
      </c>
      <c r="CN244" s="73"/>
      <c r="CO244" s="123" t="str">
        <f t="shared" si="420"/>
        <v/>
      </c>
      <c r="CP244" s="123" t="str">
        <f t="shared" si="421"/>
        <v/>
      </c>
      <c r="CQ244" s="97" t="str">
        <f t="shared" ca="1" si="422"/>
        <v/>
      </c>
      <c r="CR244" s="98" t="str">
        <f>IF(CT244&lt;&gt;"",VLOOKUP($P244&amp;" | "&amp;CR$6,'Job Master'!$F$12:$J$102,5,0),"")</f>
        <v/>
      </c>
      <c r="CS244" s="19" t="str">
        <f>IF(CT244&lt;&gt;"",VLOOKUP($P244&amp;" | "&amp;CR$6,'Job Master'!$F$12:$J$102,3,0),"")</f>
        <v/>
      </c>
      <c r="CT244" s="19" t="str">
        <f>IFERROR(IF(AND(DA244&lt;&gt;"",VLOOKUP($P244&amp;" | "&amp;CR$6,'Job Master'!$F$12:$I$102,4,0)&lt;&gt;""),IF(WEEKDAY(DA244-VLOOKUP($P244&amp;" | "&amp;CR$6,'Job Master'!$F$12:$I$102,4,0))&lt;&gt;7,DA244-VLOOKUP($P244&amp;" | "&amp;CR$6,'Job Master'!$F$12:$I$102,4,0),DA244-VLOOKUP($P244&amp;" | "&amp;CR$6,'Job Master'!$F$12:$I$102,4,0)-1),""),"")</f>
        <v/>
      </c>
      <c r="CU244" s="73"/>
      <c r="CV244" s="123" t="str">
        <f t="shared" si="423"/>
        <v/>
      </c>
      <c r="CW244" s="123" t="str">
        <f t="shared" si="424"/>
        <v/>
      </c>
      <c r="CX244" s="97" t="str">
        <f t="shared" ca="1" si="425"/>
        <v/>
      </c>
      <c r="CY244" s="98" t="str">
        <f>IF(DA244&lt;&gt;"",VLOOKUP($P244&amp;" | "&amp;CY$6,'Job Master'!$F$12:$J$102,5,0),"")</f>
        <v/>
      </c>
      <c r="CZ244" s="19" t="str">
        <f>IF(DA244&lt;&gt;"",VLOOKUP($P244&amp;" | "&amp;CY$6,'Job Master'!$F$12:$J$102,3,0),"")</f>
        <v/>
      </c>
      <c r="DA244" s="19" t="str">
        <f>IFERROR(IF(AND(DH244&lt;&gt;"",VLOOKUP($P244&amp;" | "&amp;CY$6,'Job Master'!$F$12:$I$102,4,0)&lt;&gt;""),IF(WEEKDAY(DH244-VLOOKUP($P244&amp;" | "&amp;CY$6,'Job Master'!$F$12:$I$102,4,0))&lt;&gt;7,DH244-VLOOKUP($P244&amp;" | "&amp;CY$6,'Job Master'!$F$12:$I$102,4,0),DH244-VLOOKUP($P244&amp;" | "&amp;CY$6,'Job Master'!$F$12:$I$102,4,0)-1),""),"")</f>
        <v/>
      </c>
      <c r="DB244" s="73"/>
      <c r="DC244" s="123" t="str">
        <f t="shared" si="426"/>
        <v/>
      </c>
      <c r="DD244" s="123" t="str">
        <f t="shared" si="427"/>
        <v/>
      </c>
      <c r="DE244" s="97" t="str">
        <f t="shared" ca="1" si="428"/>
        <v/>
      </c>
      <c r="DF244" s="98" t="str">
        <f>IF(DH244&lt;&gt;"",VLOOKUP($P244&amp;" | "&amp;DF$6,'Job Master'!$F$12:$J$102,5,0),"")</f>
        <v/>
      </c>
      <c r="DG244" s="19" t="str">
        <f>IF(DH244&lt;&gt;"",VLOOKUP($P244&amp;" | "&amp;DF$6,'Job Master'!$F$12:$J$102,3,0),"")</f>
        <v/>
      </c>
      <c r="DH244" s="19" t="str">
        <f>IFERROR(IF(AND(DO244&lt;&gt;"",VLOOKUP($P244&amp;" | "&amp;DF$6,'Job Master'!$F$12:$I$102,4,0)&lt;&gt;""),IF(WEEKDAY(DO244-VLOOKUP($P244&amp;" | "&amp;DF$6,'Job Master'!$F$12:$I$102,4,0))&lt;&gt;7,DO244-VLOOKUP($P244&amp;" | "&amp;DF$6,'Job Master'!$F$12:$I$102,4,0),DO244-VLOOKUP($P244&amp;" | "&amp;DF$6,'Job Master'!$F$12:$I$102,4,0)-1),""),"")</f>
        <v/>
      </c>
      <c r="DI244" s="73"/>
      <c r="DJ244" s="123" t="str">
        <f t="shared" si="429"/>
        <v/>
      </c>
      <c r="DK244" s="123" t="str">
        <f t="shared" si="430"/>
        <v/>
      </c>
      <c r="DL244" s="97" t="str">
        <f t="shared" ca="1" si="431"/>
        <v/>
      </c>
      <c r="DM244" s="98" t="str">
        <f>IF(DO244&lt;&gt;"",VLOOKUP($P244&amp;" | "&amp;DM$6,'Job Master'!$F$12:$J$102,5,0),"")</f>
        <v/>
      </c>
      <c r="DN244" s="19" t="str">
        <f>IF(DO244&lt;&gt;"",VLOOKUP($P244&amp;" | "&amp;DM$6,'Job Master'!$F$12:$J$102,3,0),"")</f>
        <v/>
      </c>
      <c r="DO244" s="19" t="str">
        <f>IFERROR(IF(AND(DT244&lt;&gt;"",VLOOKUP($P244&amp;" | "&amp;DM$6,'Job Master'!$F$12:$I$102,4,0)&lt;&gt;""),IF(WEEKDAY(DT244-VLOOKUP($P244&amp;" | "&amp;DM$6,'Job Master'!$F$12:$I$102,4,0))&lt;&gt;7,DT244-VLOOKUP($P244&amp;" | "&amp;DM$6,'Job Master'!$F$12:$I$102,4,0),DT244-VLOOKUP($P244&amp;" | "&amp;DM$6,'Job Master'!$F$12:$I$102,4,0)-1),""),"")</f>
        <v/>
      </c>
      <c r="DP244" s="73"/>
      <c r="DQ244" s="123" t="str">
        <f t="shared" si="432"/>
        <v/>
      </c>
      <c r="DR244" s="123" t="str">
        <f t="shared" si="433"/>
        <v/>
      </c>
      <c r="DS244" s="97" t="str">
        <f t="shared" ca="1" si="434"/>
        <v/>
      </c>
      <c r="DT244" s="70" t="str">
        <f t="shared" si="435"/>
        <v/>
      </c>
      <c r="DU244" s="90"/>
      <c r="DV244" s="123" t="str">
        <f t="shared" si="436"/>
        <v/>
      </c>
      <c r="DW244" s="123" t="str">
        <f t="shared" si="437"/>
        <v/>
      </c>
      <c r="DX244" s="132" t="str">
        <f t="shared" ref="DX244" ca="1" si="491">IF(DT244&lt;&gt;"",IF(WEEKNUM(DT244)=WEEKNUM(TODAY()),"This Week",IF(WEEKNUM(DT244)=WEEKNUM(TODAY())+1,"Next Week",IF(WEEKNUM(DT244)=WEEKNUM(TODAY())-1,"Previous Week",""))),"")</f>
        <v/>
      </c>
      <c r="DY244" s="134" t="str">
        <f t="shared" si="439"/>
        <v/>
      </c>
      <c r="DZ244" s="95"/>
      <c r="EB244" s="8" t="str">
        <f t="shared" si="445"/>
        <v/>
      </c>
      <c r="EC244" s="8" t="str">
        <f>IF(O244&lt;&gt;"",VLOOKUP(O244,'Job Master'!$N$12:$O$18,2,0),"")</f>
        <v/>
      </c>
      <c r="ED244" s="8">
        <f t="shared" si="446"/>
        <v>19.5</v>
      </c>
      <c r="EE244" s="8">
        <f t="shared" si="447"/>
        <v>6</v>
      </c>
      <c r="EF244" s="8">
        <f t="shared" si="448"/>
        <v>-1384.5</v>
      </c>
      <c r="EG244" s="8" t="str">
        <f t="shared" si="449"/>
        <v/>
      </c>
      <c r="EH244" s="8" t="str">
        <f t="shared" si="450"/>
        <v/>
      </c>
    </row>
    <row r="245" spans="2:138" x14ac:dyDescent="0.3">
      <c r="B245" s="112"/>
      <c r="C245" s="27"/>
      <c r="D245" s="7" t="str">
        <f t="shared" si="387"/>
        <v/>
      </c>
      <c r="E245" s="25"/>
      <c r="F245" s="7" t="str">
        <f t="shared" si="387"/>
        <v/>
      </c>
      <c r="G245" s="25"/>
      <c r="H245" s="7" t="str">
        <f t="shared" si="387"/>
        <v/>
      </c>
      <c r="I245" s="25"/>
      <c r="J245" s="7" t="str">
        <f t="shared" si="387"/>
        <v/>
      </c>
      <c r="K245" s="25"/>
      <c r="L245" s="7" t="str">
        <f t="shared" si="388"/>
        <v/>
      </c>
      <c r="M245" s="25"/>
      <c r="N245" s="7" t="str">
        <f t="shared" si="389"/>
        <v/>
      </c>
      <c r="O245" s="81"/>
      <c r="P245" s="81" t="str">
        <f t="shared" si="390"/>
        <v/>
      </c>
      <c r="Q245" s="81"/>
      <c r="R245" s="7" t="str">
        <f t="shared" si="391"/>
        <v/>
      </c>
      <c r="S245" s="25"/>
      <c r="T245" s="7" t="str">
        <f t="shared" si="392"/>
        <v/>
      </c>
      <c r="U245" s="25"/>
      <c r="V245" s="7" t="str">
        <f t="shared" si="393"/>
        <v/>
      </c>
      <c r="W245" s="25"/>
      <c r="X245" s="7" t="str">
        <f t="shared" si="394"/>
        <v/>
      </c>
      <c r="Y245" s="18" t="str">
        <f t="shared" si="395"/>
        <v/>
      </c>
      <c r="Z245" s="7" t="str">
        <f t="shared" si="396"/>
        <v/>
      </c>
      <c r="AA245" s="18" t="str">
        <f t="shared" si="397"/>
        <v/>
      </c>
      <c r="AB245" s="19" t="str">
        <f t="shared" si="398"/>
        <v/>
      </c>
      <c r="AC245" s="26"/>
      <c r="AD245" s="26"/>
      <c r="AE245" s="25"/>
      <c r="AF245" s="26"/>
      <c r="AG245" s="25"/>
      <c r="AH245" s="25"/>
      <c r="AI245" s="18" t="str">
        <f t="shared" si="461"/>
        <v/>
      </c>
      <c r="AJ245" s="25"/>
      <c r="AK245" s="18" t="str">
        <f t="shared" si="462"/>
        <v/>
      </c>
      <c r="AL245" s="79"/>
      <c r="AM245" s="126" t="str">
        <f t="shared" si="463"/>
        <v/>
      </c>
      <c r="AN245" s="128" t="str">
        <f>IF(AP245&lt;&gt;"",VLOOKUP($P245&amp;" | "&amp;AN$6,'Job Master'!$F$12:$J$102,5,0),"")</f>
        <v/>
      </c>
      <c r="AO245" s="19" t="str">
        <f>IF(AP245&lt;&gt;"",VLOOKUP($P245&amp;" | "&amp;AN$6,'Job Master'!$F$12:$J$102,3,0),"")</f>
        <v/>
      </c>
      <c r="AP245" s="19" t="str">
        <f>IFERROR(IF(AND(AW245&lt;&gt;"",VLOOKUP($P245&amp;" | "&amp;AN$6,'Job Master'!$F$12:$I$102,4,0)&lt;&gt;""),IF(WEEKDAY(AW245-VLOOKUP($P245&amp;" | "&amp;AN$6,'Job Master'!$F$12:$I$102,4,0))&lt;&gt;7,AW245-VLOOKUP($P245&amp;" | "&amp;AN$6,'Job Master'!$F$12:$I$102,4,0),AW245-VLOOKUP($P245&amp;" | "&amp;AN$6,'Job Master'!$F$12:$I$102,4,0)-1),""),"")</f>
        <v/>
      </c>
      <c r="AQ245" s="73"/>
      <c r="AR245" s="123" t="str">
        <f t="shared" si="399"/>
        <v/>
      </c>
      <c r="AS245" s="123" t="str">
        <f t="shared" si="400"/>
        <v/>
      </c>
      <c r="AT245" s="97" t="str">
        <f t="shared" ca="1" si="401"/>
        <v/>
      </c>
      <c r="AU245" s="98" t="str">
        <f>IF(AW245&lt;&gt;"",VLOOKUP($P245&amp;" | "&amp;AU$6,'Job Master'!$F$12:$J$102,5,0),"")</f>
        <v/>
      </c>
      <c r="AV245" s="19" t="str">
        <f>IF(AW245&lt;&gt;"",VLOOKUP($P245&amp;" | "&amp;AU$6,'Job Master'!$F$12:$J$102,3,0),"")</f>
        <v/>
      </c>
      <c r="AW245" s="19" t="str">
        <f>IFERROR(IF(AND(BD245&lt;&gt;"",VLOOKUP($P245&amp;" | "&amp;AU$6,'Job Master'!$F$12:$I$102,4,0)&lt;&gt;""),IF(WEEKDAY(BD245-VLOOKUP($P245&amp;" | "&amp;AU$6,'Job Master'!$F$12:$I$102,4,0))&lt;&gt;7,BD245-VLOOKUP($P245&amp;" | "&amp;AU$6,'Job Master'!$F$12:$I$102,4,0),BD245-VLOOKUP($P245&amp;" | "&amp;AU$6,'Job Master'!$F$12:$I$102,4,0)-1),""),"")</f>
        <v/>
      </c>
      <c r="AX245" s="73"/>
      <c r="AY245" s="123" t="str">
        <f t="shared" si="402"/>
        <v/>
      </c>
      <c r="AZ245" s="123" t="str">
        <f t="shared" si="403"/>
        <v/>
      </c>
      <c r="BA245" s="97" t="str">
        <f t="shared" ca="1" si="404"/>
        <v/>
      </c>
      <c r="BB245" s="98" t="str">
        <f>IF(BD245&lt;&gt;"",VLOOKUP($P245&amp;" | "&amp;BB$6,'Job Master'!$F$12:$J$102,5,0),"")</f>
        <v/>
      </c>
      <c r="BC245" s="19" t="str">
        <f>IF(BD245&lt;&gt;"",VLOOKUP($P245&amp;" | "&amp;BB$6,'Job Master'!$F$12:$J$102,3,0),"")</f>
        <v/>
      </c>
      <c r="BD245" s="19" t="str">
        <f>IFERROR(IF(AND(BK245&lt;&gt;"",VLOOKUP($P245&amp;" | "&amp;BB$6,'Job Master'!$F$12:$I$102,4,0)&lt;&gt;""),IF(WEEKDAY(BK245-VLOOKUP($P245&amp;" | "&amp;BB$6,'Job Master'!$F$12:$I$102,4,0))&lt;&gt;7,BK245-VLOOKUP($P245&amp;" | "&amp;BB$6,'Job Master'!$F$12:$I$102,4,0),BK245-VLOOKUP($P245&amp;" | "&amp;BB$6,'Job Master'!$F$12:$I$102,4,0)-1),""),"")</f>
        <v/>
      </c>
      <c r="BE245" s="73"/>
      <c r="BF245" s="123" t="str">
        <f t="shared" si="405"/>
        <v/>
      </c>
      <c r="BG245" s="123" t="str">
        <f t="shared" si="406"/>
        <v/>
      </c>
      <c r="BH245" s="97" t="str">
        <f t="shared" ca="1" si="407"/>
        <v/>
      </c>
      <c r="BI245" s="98" t="str">
        <f>IF(BK245&lt;&gt;"",VLOOKUP($P245&amp;" | "&amp;BI$6,'Job Master'!$F$12:$J$102,5,0),"")</f>
        <v/>
      </c>
      <c r="BJ245" s="19" t="str">
        <f>IF(BK245&lt;&gt;"",VLOOKUP($P245&amp;" | "&amp;BI$6,'Job Master'!$F$12:$J$102,3,0),"")</f>
        <v/>
      </c>
      <c r="BK245" s="19" t="str">
        <f>IFERROR(IF(AND(BR245&lt;&gt;"",VLOOKUP($P245&amp;" | "&amp;BI$6,'Job Master'!$F$12:$I$102,4,0)&lt;&gt;""),IF(WEEKDAY(BR245-VLOOKUP($P245&amp;" | "&amp;BI$6,'Job Master'!$F$12:$I$102,4,0))&lt;&gt;7,BR245-VLOOKUP($P245&amp;" | "&amp;BI$6,'Job Master'!$F$12:$I$102,4,0),BR245-VLOOKUP($P245&amp;" | "&amp;BI$6,'Job Master'!$F$12:$I$102,4,0)-1),""),"")</f>
        <v/>
      </c>
      <c r="BL245" s="73"/>
      <c r="BM245" s="123" t="str">
        <f t="shared" si="408"/>
        <v/>
      </c>
      <c r="BN245" s="123" t="str">
        <f t="shared" si="409"/>
        <v/>
      </c>
      <c r="BO245" s="97" t="str">
        <f t="shared" ca="1" si="410"/>
        <v/>
      </c>
      <c r="BP245" s="98" t="str">
        <f>IF(BR245&lt;&gt;"",VLOOKUP($P245&amp;" | "&amp;BP$6,'Job Master'!$F$12:$J$102,5,0),"")</f>
        <v/>
      </c>
      <c r="BQ245" s="19" t="str">
        <f>IF(BR245&lt;&gt;"",VLOOKUP($P245&amp;" | "&amp;BP$6,'Job Master'!$F$12:$J$102,3,0),"")</f>
        <v/>
      </c>
      <c r="BR245" s="19" t="str">
        <f>IFERROR(IF(AND(BY245&lt;&gt;"",VLOOKUP($P245&amp;" | "&amp;BP$6,'Job Master'!$F$12:$I$102,4,0)&lt;&gt;""),IF(WEEKDAY(BY245-VLOOKUP($P245&amp;" | "&amp;BP$6,'Job Master'!$F$12:$I$102,4,0))&lt;&gt;7,BY245-VLOOKUP($P245&amp;" | "&amp;BP$6,'Job Master'!$F$12:$I$102,4,0),BY245-VLOOKUP($P245&amp;" | "&amp;BP$6,'Job Master'!$F$12:$I$102,4,0)-1),""),"")</f>
        <v/>
      </c>
      <c r="BS245" s="73"/>
      <c r="BT245" s="123" t="str">
        <f t="shared" si="411"/>
        <v/>
      </c>
      <c r="BU245" s="123" t="str">
        <f t="shared" si="412"/>
        <v/>
      </c>
      <c r="BV245" s="97" t="str">
        <f t="shared" ca="1" si="413"/>
        <v/>
      </c>
      <c r="BW245" s="98" t="str">
        <f>IF(BY245&lt;&gt;"",VLOOKUP($P245&amp;" | "&amp;BW$6,'Job Master'!$F$12:$J$102,5,0),"")</f>
        <v/>
      </c>
      <c r="BX245" s="19" t="str">
        <f>IF(BY245&lt;&gt;"",VLOOKUP($P245&amp;" | "&amp;BW$6,'Job Master'!$F$12:$J$102,3,0),"")</f>
        <v/>
      </c>
      <c r="BY245" s="19" t="str">
        <f>IFERROR(IF(AND(CF245&lt;&gt;"",VLOOKUP($P245&amp;" | "&amp;BW$6,'Job Master'!$F$12:$I$102,4,0)&lt;&gt;""),IF(WEEKDAY(CF245-VLOOKUP($P245&amp;" | "&amp;BW$6,'Job Master'!$F$12:$I$102,4,0))&lt;&gt;7,CF245-VLOOKUP($P245&amp;" | "&amp;BW$6,'Job Master'!$F$12:$I$102,4,0),CF245-VLOOKUP($P245&amp;" | "&amp;BW$6,'Job Master'!$F$12:$I$102,4,0)-1),""),"")</f>
        <v/>
      </c>
      <c r="BZ245" s="73"/>
      <c r="CA245" s="123" t="str">
        <f t="shared" si="414"/>
        <v/>
      </c>
      <c r="CB245" s="123" t="str">
        <f t="shared" si="415"/>
        <v/>
      </c>
      <c r="CC245" s="97" t="str">
        <f t="shared" ca="1" si="416"/>
        <v/>
      </c>
      <c r="CD245" s="98" t="str">
        <f>IF(CF245&lt;&gt;"",VLOOKUP($P245&amp;" | "&amp;CD$6,'Job Master'!$F$12:$J$102,5,0),"")</f>
        <v/>
      </c>
      <c r="CE245" s="19" t="str">
        <f>IF(CF245&lt;&gt;"",VLOOKUP($P245&amp;" | "&amp;CD$6,'Job Master'!$F$12:$J$102,3,0),"")</f>
        <v/>
      </c>
      <c r="CF245" s="19" t="str">
        <f>IFERROR(IF(AND(CM245&lt;&gt;"",VLOOKUP($P245&amp;" | "&amp;CD$6,'Job Master'!$F$12:$I$102,4,0)&lt;&gt;""),IF(WEEKDAY(CM245-VLOOKUP($P245&amp;" | "&amp;CD$6,'Job Master'!$F$12:$I$102,4,0))&lt;&gt;7,CM245-VLOOKUP($P245&amp;" | "&amp;CD$6,'Job Master'!$F$12:$I$102,4,0),CM245-VLOOKUP($P245&amp;" | "&amp;CD$6,'Job Master'!$F$12:$I$102,4,0)-1),""),"")</f>
        <v/>
      </c>
      <c r="CG245" s="73"/>
      <c r="CH245" s="123" t="str">
        <f t="shared" si="417"/>
        <v/>
      </c>
      <c r="CI245" s="123" t="str">
        <f t="shared" si="418"/>
        <v/>
      </c>
      <c r="CJ245" s="97" t="str">
        <f t="shared" ca="1" si="419"/>
        <v/>
      </c>
      <c r="CK245" s="98" t="str">
        <f>IF(CM245&lt;&gt;"",VLOOKUP($P245&amp;" | "&amp;CK$6,'Job Master'!$F$12:$J$102,5,0),"")</f>
        <v/>
      </c>
      <c r="CL245" s="19" t="str">
        <f>IF(CM245&lt;&gt;"",VLOOKUP($P245&amp;" | "&amp;CK$6,'Job Master'!$F$12:$J$102,3,0),"")</f>
        <v/>
      </c>
      <c r="CM245" s="19" t="str">
        <f>IFERROR(IF(AND(CT245&lt;&gt;"",VLOOKUP($P245&amp;" | "&amp;CK$6,'Job Master'!$F$12:$I$102,4,0)&lt;&gt;""),IF(WEEKDAY(CT245-VLOOKUP($P245&amp;" | "&amp;CK$6,'Job Master'!$F$12:$I$102,4,0))&lt;&gt;7,CT245-VLOOKUP($P245&amp;" | "&amp;CK$6,'Job Master'!$F$12:$I$102,4,0),CT245-VLOOKUP($P245&amp;" | "&amp;CK$6,'Job Master'!$F$12:$I$102,4,0)-1),""),"")</f>
        <v/>
      </c>
      <c r="CN245" s="73"/>
      <c r="CO245" s="123" t="str">
        <f t="shared" si="420"/>
        <v/>
      </c>
      <c r="CP245" s="123" t="str">
        <f t="shared" si="421"/>
        <v/>
      </c>
      <c r="CQ245" s="97" t="str">
        <f t="shared" ca="1" si="422"/>
        <v/>
      </c>
      <c r="CR245" s="98" t="str">
        <f>IF(CT245&lt;&gt;"",VLOOKUP($P245&amp;" | "&amp;CR$6,'Job Master'!$F$12:$J$102,5,0),"")</f>
        <v/>
      </c>
      <c r="CS245" s="19" t="str">
        <f>IF(CT245&lt;&gt;"",VLOOKUP($P245&amp;" | "&amp;CR$6,'Job Master'!$F$12:$J$102,3,0),"")</f>
        <v/>
      </c>
      <c r="CT245" s="19" t="str">
        <f>IFERROR(IF(AND(DA245&lt;&gt;"",VLOOKUP($P245&amp;" | "&amp;CR$6,'Job Master'!$F$12:$I$102,4,0)&lt;&gt;""),IF(WEEKDAY(DA245-VLOOKUP($P245&amp;" | "&amp;CR$6,'Job Master'!$F$12:$I$102,4,0))&lt;&gt;7,DA245-VLOOKUP($P245&amp;" | "&amp;CR$6,'Job Master'!$F$12:$I$102,4,0),DA245-VLOOKUP($P245&amp;" | "&amp;CR$6,'Job Master'!$F$12:$I$102,4,0)-1),""),"")</f>
        <v/>
      </c>
      <c r="CU245" s="73"/>
      <c r="CV245" s="123" t="str">
        <f t="shared" si="423"/>
        <v/>
      </c>
      <c r="CW245" s="123" t="str">
        <f t="shared" si="424"/>
        <v/>
      </c>
      <c r="CX245" s="97" t="str">
        <f t="shared" ca="1" si="425"/>
        <v/>
      </c>
      <c r="CY245" s="98" t="str">
        <f>IF(DA245&lt;&gt;"",VLOOKUP($P245&amp;" | "&amp;CY$6,'Job Master'!$F$12:$J$102,5,0),"")</f>
        <v/>
      </c>
      <c r="CZ245" s="19" t="str">
        <f>IF(DA245&lt;&gt;"",VLOOKUP($P245&amp;" | "&amp;CY$6,'Job Master'!$F$12:$J$102,3,0),"")</f>
        <v/>
      </c>
      <c r="DA245" s="19" t="str">
        <f>IFERROR(IF(AND(DH245&lt;&gt;"",VLOOKUP($P245&amp;" | "&amp;CY$6,'Job Master'!$F$12:$I$102,4,0)&lt;&gt;""),IF(WEEKDAY(DH245-VLOOKUP($P245&amp;" | "&amp;CY$6,'Job Master'!$F$12:$I$102,4,0))&lt;&gt;7,DH245-VLOOKUP($P245&amp;" | "&amp;CY$6,'Job Master'!$F$12:$I$102,4,0),DH245-VLOOKUP($P245&amp;" | "&amp;CY$6,'Job Master'!$F$12:$I$102,4,0)-1),""),"")</f>
        <v/>
      </c>
      <c r="DB245" s="73"/>
      <c r="DC245" s="123" t="str">
        <f t="shared" si="426"/>
        <v/>
      </c>
      <c r="DD245" s="123" t="str">
        <f t="shared" si="427"/>
        <v/>
      </c>
      <c r="DE245" s="97" t="str">
        <f t="shared" ca="1" si="428"/>
        <v/>
      </c>
      <c r="DF245" s="98" t="str">
        <f>IF(DH245&lt;&gt;"",VLOOKUP($P245&amp;" | "&amp;DF$6,'Job Master'!$F$12:$J$102,5,0),"")</f>
        <v/>
      </c>
      <c r="DG245" s="19" t="str">
        <f>IF(DH245&lt;&gt;"",VLOOKUP($P245&amp;" | "&amp;DF$6,'Job Master'!$F$12:$J$102,3,0),"")</f>
        <v/>
      </c>
      <c r="DH245" s="19" t="str">
        <f>IFERROR(IF(AND(DO245&lt;&gt;"",VLOOKUP($P245&amp;" | "&amp;DF$6,'Job Master'!$F$12:$I$102,4,0)&lt;&gt;""),IF(WEEKDAY(DO245-VLOOKUP($P245&amp;" | "&amp;DF$6,'Job Master'!$F$12:$I$102,4,0))&lt;&gt;7,DO245-VLOOKUP($P245&amp;" | "&amp;DF$6,'Job Master'!$F$12:$I$102,4,0),DO245-VLOOKUP($P245&amp;" | "&amp;DF$6,'Job Master'!$F$12:$I$102,4,0)-1),""),"")</f>
        <v/>
      </c>
      <c r="DI245" s="73"/>
      <c r="DJ245" s="123" t="str">
        <f t="shared" si="429"/>
        <v/>
      </c>
      <c r="DK245" s="123" t="str">
        <f t="shared" si="430"/>
        <v/>
      </c>
      <c r="DL245" s="97" t="str">
        <f t="shared" ca="1" si="431"/>
        <v/>
      </c>
      <c r="DM245" s="98" t="str">
        <f>IF(DO245&lt;&gt;"",VLOOKUP($P245&amp;" | "&amp;DM$6,'Job Master'!$F$12:$J$102,5,0),"")</f>
        <v/>
      </c>
      <c r="DN245" s="19" t="str">
        <f>IF(DO245&lt;&gt;"",VLOOKUP($P245&amp;" | "&amp;DM$6,'Job Master'!$F$12:$J$102,3,0),"")</f>
        <v/>
      </c>
      <c r="DO245" s="19" t="str">
        <f>IFERROR(IF(AND(DT245&lt;&gt;"",VLOOKUP($P245&amp;" | "&amp;DM$6,'Job Master'!$F$12:$I$102,4,0)&lt;&gt;""),IF(WEEKDAY(DT245-VLOOKUP($P245&amp;" | "&amp;DM$6,'Job Master'!$F$12:$I$102,4,0))&lt;&gt;7,DT245-VLOOKUP($P245&amp;" | "&amp;DM$6,'Job Master'!$F$12:$I$102,4,0),DT245-VLOOKUP($P245&amp;" | "&amp;DM$6,'Job Master'!$F$12:$I$102,4,0)-1),""),"")</f>
        <v/>
      </c>
      <c r="DP245" s="73"/>
      <c r="DQ245" s="123" t="str">
        <f t="shared" si="432"/>
        <v/>
      </c>
      <c r="DR245" s="123" t="str">
        <f t="shared" si="433"/>
        <v/>
      </c>
      <c r="DS245" s="97" t="str">
        <f t="shared" ca="1" si="434"/>
        <v/>
      </c>
      <c r="DT245" s="70" t="str">
        <f t="shared" si="435"/>
        <v/>
      </c>
      <c r="DU245" s="90"/>
      <c r="DV245" s="123" t="str">
        <f t="shared" si="436"/>
        <v/>
      </c>
      <c r="DW245" s="123" t="str">
        <f t="shared" si="437"/>
        <v/>
      </c>
      <c r="DX245" s="132" t="str">
        <f t="shared" ref="DX245" ca="1" si="492">IF(DT245&lt;&gt;"",IF(WEEKNUM(DT245)=WEEKNUM(TODAY()),"This Week",IF(WEEKNUM(DT245)=WEEKNUM(TODAY())+1,"Next Week",IF(WEEKNUM(DT245)=WEEKNUM(TODAY())-1,"Previous Week",""))),"")</f>
        <v/>
      </c>
      <c r="DY245" s="134" t="str">
        <f t="shared" si="439"/>
        <v/>
      </c>
      <c r="DZ245" s="95"/>
      <c r="EB245" s="8" t="str">
        <f t="shared" si="445"/>
        <v/>
      </c>
      <c r="EC245" s="8" t="str">
        <f>IF(O245&lt;&gt;"",VLOOKUP(O245,'Job Master'!$N$12:$O$18,2,0),"")</f>
        <v/>
      </c>
      <c r="ED245" s="8">
        <f t="shared" si="446"/>
        <v>19.5</v>
      </c>
      <c r="EE245" s="8">
        <f t="shared" si="447"/>
        <v>6</v>
      </c>
      <c r="EF245" s="8">
        <f t="shared" si="448"/>
        <v>-1390.5</v>
      </c>
      <c r="EG245" s="8" t="str">
        <f t="shared" si="449"/>
        <v/>
      </c>
      <c r="EH245" s="8" t="str">
        <f t="shared" si="450"/>
        <v/>
      </c>
    </row>
    <row r="246" spans="2:138" x14ac:dyDescent="0.3">
      <c r="B246" s="112"/>
      <c r="C246" s="27"/>
      <c r="D246" s="7" t="str">
        <f t="shared" si="387"/>
        <v/>
      </c>
      <c r="E246" s="25"/>
      <c r="F246" s="7" t="str">
        <f t="shared" si="387"/>
        <v/>
      </c>
      <c r="G246" s="25"/>
      <c r="H246" s="7" t="str">
        <f t="shared" si="387"/>
        <v/>
      </c>
      <c r="I246" s="25"/>
      <c r="J246" s="7" t="str">
        <f t="shared" si="387"/>
        <v/>
      </c>
      <c r="K246" s="25"/>
      <c r="L246" s="7" t="str">
        <f t="shared" si="388"/>
        <v/>
      </c>
      <c r="M246" s="25"/>
      <c r="N246" s="7" t="str">
        <f t="shared" si="389"/>
        <v/>
      </c>
      <c r="O246" s="81"/>
      <c r="P246" s="81" t="str">
        <f t="shared" si="390"/>
        <v/>
      </c>
      <c r="Q246" s="81"/>
      <c r="R246" s="7" t="str">
        <f t="shared" si="391"/>
        <v/>
      </c>
      <c r="S246" s="25"/>
      <c r="T246" s="7" t="str">
        <f t="shared" si="392"/>
        <v/>
      </c>
      <c r="U246" s="25"/>
      <c r="V246" s="7" t="str">
        <f t="shared" si="393"/>
        <v/>
      </c>
      <c r="W246" s="25"/>
      <c r="X246" s="7" t="str">
        <f t="shared" si="394"/>
        <v/>
      </c>
      <c r="Y246" s="18" t="str">
        <f t="shared" si="395"/>
        <v/>
      </c>
      <c r="Z246" s="7" t="str">
        <f t="shared" si="396"/>
        <v/>
      </c>
      <c r="AA246" s="18" t="str">
        <f t="shared" si="397"/>
        <v/>
      </c>
      <c r="AB246" s="19" t="str">
        <f t="shared" si="398"/>
        <v/>
      </c>
      <c r="AC246" s="26"/>
      <c r="AD246" s="26"/>
      <c r="AE246" s="25"/>
      <c r="AF246" s="26"/>
      <c r="AG246" s="25"/>
      <c r="AH246" s="25"/>
      <c r="AI246" s="18" t="str">
        <f t="shared" si="461"/>
        <v/>
      </c>
      <c r="AJ246" s="25"/>
      <c r="AK246" s="18" t="str">
        <f t="shared" si="462"/>
        <v/>
      </c>
      <c r="AL246" s="79"/>
      <c r="AM246" s="126" t="str">
        <f t="shared" si="463"/>
        <v/>
      </c>
      <c r="AN246" s="128" t="str">
        <f>IF(AP246&lt;&gt;"",VLOOKUP($P246&amp;" | "&amp;AN$6,'Job Master'!$F$12:$J$102,5,0),"")</f>
        <v/>
      </c>
      <c r="AO246" s="19" t="str">
        <f>IF(AP246&lt;&gt;"",VLOOKUP($P246&amp;" | "&amp;AN$6,'Job Master'!$F$12:$J$102,3,0),"")</f>
        <v/>
      </c>
      <c r="AP246" s="19" t="str">
        <f>IFERROR(IF(AND(AW246&lt;&gt;"",VLOOKUP($P246&amp;" | "&amp;AN$6,'Job Master'!$F$12:$I$102,4,0)&lt;&gt;""),IF(WEEKDAY(AW246-VLOOKUP($P246&amp;" | "&amp;AN$6,'Job Master'!$F$12:$I$102,4,0))&lt;&gt;7,AW246-VLOOKUP($P246&amp;" | "&amp;AN$6,'Job Master'!$F$12:$I$102,4,0),AW246-VLOOKUP($P246&amp;" | "&amp;AN$6,'Job Master'!$F$12:$I$102,4,0)-1),""),"")</f>
        <v/>
      </c>
      <c r="AQ246" s="73"/>
      <c r="AR246" s="123" t="str">
        <f t="shared" si="399"/>
        <v/>
      </c>
      <c r="AS246" s="123" t="str">
        <f t="shared" si="400"/>
        <v/>
      </c>
      <c r="AT246" s="97" t="str">
        <f t="shared" ca="1" si="401"/>
        <v/>
      </c>
      <c r="AU246" s="98" t="str">
        <f>IF(AW246&lt;&gt;"",VLOOKUP($P246&amp;" | "&amp;AU$6,'Job Master'!$F$12:$J$102,5,0),"")</f>
        <v/>
      </c>
      <c r="AV246" s="19" t="str">
        <f>IF(AW246&lt;&gt;"",VLOOKUP($P246&amp;" | "&amp;AU$6,'Job Master'!$F$12:$J$102,3,0),"")</f>
        <v/>
      </c>
      <c r="AW246" s="19" t="str">
        <f>IFERROR(IF(AND(BD246&lt;&gt;"",VLOOKUP($P246&amp;" | "&amp;AU$6,'Job Master'!$F$12:$I$102,4,0)&lt;&gt;""),IF(WEEKDAY(BD246-VLOOKUP($P246&amp;" | "&amp;AU$6,'Job Master'!$F$12:$I$102,4,0))&lt;&gt;7,BD246-VLOOKUP($P246&amp;" | "&amp;AU$6,'Job Master'!$F$12:$I$102,4,0),BD246-VLOOKUP($P246&amp;" | "&amp;AU$6,'Job Master'!$F$12:$I$102,4,0)-1),""),"")</f>
        <v/>
      </c>
      <c r="AX246" s="73"/>
      <c r="AY246" s="123" t="str">
        <f t="shared" si="402"/>
        <v/>
      </c>
      <c r="AZ246" s="123" t="str">
        <f t="shared" si="403"/>
        <v/>
      </c>
      <c r="BA246" s="97" t="str">
        <f t="shared" ca="1" si="404"/>
        <v/>
      </c>
      <c r="BB246" s="98" t="str">
        <f>IF(BD246&lt;&gt;"",VLOOKUP($P246&amp;" | "&amp;BB$6,'Job Master'!$F$12:$J$102,5,0),"")</f>
        <v/>
      </c>
      <c r="BC246" s="19" t="str">
        <f>IF(BD246&lt;&gt;"",VLOOKUP($P246&amp;" | "&amp;BB$6,'Job Master'!$F$12:$J$102,3,0),"")</f>
        <v/>
      </c>
      <c r="BD246" s="19" t="str">
        <f>IFERROR(IF(AND(BK246&lt;&gt;"",VLOOKUP($P246&amp;" | "&amp;BB$6,'Job Master'!$F$12:$I$102,4,0)&lt;&gt;""),IF(WEEKDAY(BK246-VLOOKUP($P246&amp;" | "&amp;BB$6,'Job Master'!$F$12:$I$102,4,0))&lt;&gt;7,BK246-VLOOKUP($P246&amp;" | "&amp;BB$6,'Job Master'!$F$12:$I$102,4,0),BK246-VLOOKUP($P246&amp;" | "&amp;BB$6,'Job Master'!$F$12:$I$102,4,0)-1),""),"")</f>
        <v/>
      </c>
      <c r="BE246" s="73"/>
      <c r="BF246" s="123" t="str">
        <f t="shared" si="405"/>
        <v/>
      </c>
      <c r="BG246" s="123" t="str">
        <f t="shared" si="406"/>
        <v/>
      </c>
      <c r="BH246" s="97" t="str">
        <f t="shared" ca="1" si="407"/>
        <v/>
      </c>
      <c r="BI246" s="98" t="str">
        <f>IF(BK246&lt;&gt;"",VLOOKUP($P246&amp;" | "&amp;BI$6,'Job Master'!$F$12:$J$102,5,0),"")</f>
        <v/>
      </c>
      <c r="BJ246" s="19" t="str">
        <f>IF(BK246&lt;&gt;"",VLOOKUP($P246&amp;" | "&amp;BI$6,'Job Master'!$F$12:$J$102,3,0),"")</f>
        <v/>
      </c>
      <c r="BK246" s="19" t="str">
        <f>IFERROR(IF(AND(BR246&lt;&gt;"",VLOOKUP($P246&amp;" | "&amp;BI$6,'Job Master'!$F$12:$I$102,4,0)&lt;&gt;""),IF(WEEKDAY(BR246-VLOOKUP($P246&amp;" | "&amp;BI$6,'Job Master'!$F$12:$I$102,4,0))&lt;&gt;7,BR246-VLOOKUP($P246&amp;" | "&amp;BI$6,'Job Master'!$F$12:$I$102,4,0),BR246-VLOOKUP($P246&amp;" | "&amp;BI$6,'Job Master'!$F$12:$I$102,4,0)-1),""),"")</f>
        <v/>
      </c>
      <c r="BL246" s="73"/>
      <c r="BM246" s="123" t="str">
        <f t="shared" si="408"/>
        <v/>
      </c>
      <c r="BN246" s="123" t="str">
        <f t="shared" si="409"/>
        <v/>
      </c>
      <c r="BO246" s="97" t="str">
        <f t="shared" ca="1" si="410"/>
        <v/>
      </c>
      <c r="BP246" s="98" t="str">
        <f>IF(BR246&lt;&gt;"",VLOOKUP($P246&amp;" | "&amp;BP$6,'Job Master'!$F$12:$J$102,5,0),"")</f>
        <v/>
      </c>
      <c r="BQ246" s="19" t="str">
        <f>IF(BR246&lt;&gt;"",VLOOKUP($P246&amp;" | "&amp;BP$6,'Job Master'!$F$12:$J$102,3,0),"")</f>
        <v/>
      </c>
      <c r="BR246" s="19" t="str">
        <f>IFERROR(IF(AND(BY246&lt;&gt;"",VLOOKUP($P246&amp;" | "&amp;BP$6,'Job Master'!$F$12:$I$102,4,0)&lt;&gt;""),IF(WEEKDAY(BY246-VLOOKUP($P246&amp;" | "&amp;BP$6,'Job Master'!$F$12:$I$102,4,0))&lt;&gt;7,BY246-VLOOKUP($P246&amp;" | "&amp;BP$6,'Job Master'!$F$12:$I$102,4,0),BY246-VLOOKUP($P246&amp;" | "&amp;BP$6,'Job Master'!$F$12:$I$102,4,0)-1),""),"")</f>
        <v/>
      </c>
      <c r="BS246" s="73"/>
      <c r="BT246" s="123" t="str">
        <f t="shared" si="411"/>
        <v/>
      </c>
      <c r="BU246" s="123" t="str">
        <f t="shared" si="412"/>
        <v/>
      </c>
      <c r="BV246" s="97" t="str">
        <f t="shared" ca="1" si="413"/>
        <v/>
      </c>
      <c r="BW246" s="98" t="str">
        <f>IF(BY246&lt;&gt;"",VLOOKUP($P246&amp;" | "&amp;BW$6,'Job Master'!$F$12:$J$102,5,0),"")</f>
        <v/>
      </c>
      <c r="BX246" s="19" t="str">
        <f>IF(BY246&lt;&gt;"",VLOOKUP($P246&amp;" | "&amp;BW$6,'Job Master'!$F$12:$J$102,3,0),"")</f>
        <v/>
      </c>
      <c r="BY246" s="19" t="str">
        <f>IFERROR(IF(AND(CF246&lt;&gt;"",VLOOKUP($P246&amp;" | "&amp;BW$6,'Job Master'!$F$12:$I$102,4,0)&lt;&gt;""),IF(WEEKDAY(CF246-VLOOKUP($P246&amp;" | "&amp;BW$6,'Job Master'!$F$12:$I$102,4,0))&lt;&gt;7,CF246-VLOOKUP($P246&amp;" | "&amp;BW$6,'Job Master'!$F$12:$I$102,4,0),CF246-VLOOKUP($P246&amp;" | "&amp;BW$6,'Job Master'!$F$12:$I$102,4,0)-1),""),"")</f>
        <v/>
      </c>
      <c r="BZ246" s="73"/>
      <c r="CA246" s="123" t="str">
        <f t="shared" si="414"/>
        <v/>
      </c>
      <c r="CB246" s="123" t="str">
        <f t="shared" si="415"/>
        <v/>
      </c>
      <c r="CC246" s="97" t="str">
        <f t="shared" ca="1" si="416"/>
        <v/>
      </c>
      <c r="CD246" s="98" t="str">
        <f>IF(CF246&lt;&gt;"",VLOOKUP($P246&amp;" | "&amp;CD$6,'Job Master'!$F$12:$J$102,5,0),"")</f>
        <v/>
      </c>
      <c r="CE246" s="19" t="str">
        <f>IF(CF246&lt;&gt;"",VLOOKUP($P246&amp;" | "&amp;CD$6,'Job Master'!$F$12:$J$102,3,0),"")</f>
        <v/>
      </c>
      <c r="CF246" s="19" t="str">
        <f>IFERROR(IF(AND(CM246&lt;&gt;"",VLOOKUP($P246&amp;" | "&amp;CD$6,'Job Master'!$F$12:$I$102,4,0)&lt;&gt;""),IF(WEEKDAY(CM246-VLOOKUP($P246&amp;" | "&amp;CD$6,'Job Master'!$F$12:$I$102,4,0))&lt;&gt;7,CM246-VLOOKUP($P246&amp;" | "&amp;CD$6,'Job Master'!$F$12:$I$102,4,0),CM246-VLOOKUP($P246&amp;" | "&amp;CD$6,'Job Master'!$F$12:$I$102,4,0)-1),""),"")</f>
        <v/>
      </c>
      <c r="CG246" s="73"/>
      <c r="CH246" s="123" t="str">
        <f t="shared" si="417"/>
        <v/>
      </c>
      <c r="CI246" s="123" t="str">
        <f t="shared" si="418"/>
        <v/>
      </c>
      <c r="CJ246" s="97" t="str">
        <f t="shared" ca="1" si="419"/>
        <v/>
      </c>
      <c r="CK246" s="98" t="str">
        <f>IF(CM246&lt;&gt;"",VLOOKUP($P246&amp;" | "&amp;CK$6,'Job Master'!$F$12:$J$102,5,0),"")</f>
        <v/>
      </c>
      <c r="CL246" s="19" t="str">
        <f>IF(CM246&lt;&gt;"",VLOOKUP($P246&amp;" | "&amp;CK$6,'Job Master'!$F$12:$J$102,3,0),"")</f>
        <v/>
      </c>
      <c r="CM246" s="19" t="str">
        <f>IFERROR(IF(AND(CT246&lt;&gt;"",VLOOKUP($P246&amp;" | "&amp;CK$6,'Job Master'!$F$12:$I$102,4,0)&lt;&gt;""),IF(WEEKDAY(CT246-VLOOKUP($P246&amp;" | "&amp;CK$6,'Job Master'!$F$12:$I$102,4,0))&lt;&gt;7,CT246-VLOOKUP($P246&amp;" | "&amp;CK$6,'Job Master'!$F$12:$I$102,4,0),CT246-VLOOKUP($P246&amp;" | "&amp;CK$6,'Job Master'!$F$12:$I$102,4,0)-1),""),"")</f>
        <v/>
      </c>
      <c r="CN246" s="73"/>
      <c r="CO246" s="123" t="str">
        <f t="shared" si="420"/>
        <v/>
      </c>
      <c r="CP246" s="123" t="str">
        <f t="shared" si="421"/>
        <v/>
      </c>
      <c r="CQ246" s="97" t="str">
        <f t="shared" ca="1" si="422"/>
        <v/>
      </c>
      <c r="CR246" s="98" t="str">
        <f>IF(CT246&lt;&gt;"",VLOOKUP($P246&amp;" | "&amp;CR$6,'Job Master'!$F$12:$J$102,5,0),"")</f>
        <v/>
      </c>
      <c r="CS246" s="19" t="str">
        <f>IF(CT246&lt;&gt;"",VLOOKUP($P246&amp;" | "&amp;CR$6,'Job Master'!$F$12:$J$102,3,0),"")</f>
        <v/>
      </c>
      <c r="CT246" s="19" t="str">
        <f>IFERROR(IF(AND(DA246&lt;&gt;"",VLOOKUP($P246&amp;" | "&amp;CR$6,'Job Master'!$F$12:$I$102,4,0)&lt;&gt;""),IF(WEEKDAY(DA246-VLOOKUP($P246&amp;" | "&amp;CR$6,'Job Master'!$F$12:$I$102,4,0))&lt;&gt;7,DA246-VLOOKUP($P246&amp;" | "&amp;CR$6,'Job Master'!$F$12:$I$102,4,0),DA246-VLOOKUP($P246&amp;" | "&amp;CR$6,'Job Master'!$F$12:$I$102,4,0)-1),""),"")</f>
        <v/>
      </c>
      <c r="CU246" s="73"/>
      <c r="CV246" s="123" t="str">
        <f t="shared" si="423"/>
        <v/>
      </c>
      <c r="CW246" s="123" t="str">
        <f t="shared" si="424"/>
        <v/>
      </c>
      <c r="CX246" s="97" t="str">
        <f t="shared" ca="1" si="425"/>
        <v/>
      </c>
      <c r="CY246" s="98" t="str">
        <f>IF(DA246&lt;&gt;"",VLOOKUP($P246&amp;" | "&amp;CY$6,'Job Master'!$F$12:$J$102,5,0),"")</f>
        <v/>
      </c>
      <c r="CZ246" s="19" t="str">
        <f>IF(DA246&lt;&gt;"",VLOOKUP($P246&amp;" | "&amp;CY$6,'Job Master'!$F$12:$J$102,3,0),"")</f>
        <v/>
      </c>
      <c r="DA246" s="19" t="str">
        <f>IFERROR(IF(AND(DH246&lt;&gt;"",VLOOKUP($P246&amp;" | "&amp;CY$6,'Job Master'!$F$12:$I$102,4,0)&lt;&gt;""),IF(WEEKDAY(DH246-VLOOKUP($P246&amp;" | "&amp;CY$6,'Job Master'!$F$12:$I$102,4,0))&lt;&gt;7,DH246-VLOOKUP($P246&amp;" | "&amp;CY$6,'Job Master'!$F$12:$I$102,4,0),DH246-VLOOKUP($P246&amp;" | "&amp;CY$6,'Job Master'!$F$12:$I$102,4,0)-1),""),"")</f>
        <v/>
      </c>
      <c r="DB246" s="73"/>
      <c r="DC246" s="123" t="str">
        <f t="shared" si="426"/>
        <v/>
      </c>
      <c r="DD246" s="123" t="str">
        <f t="shared" si="427"/>
        <v/>
      </c>
      <c r="DE246" s="97" t="str">
        <f t="shared" ca="1" si="428"/>
        <v/>
      </c>
      <c r="DF246" s="98" t="str">
        <f>IF(DH246&lt;&gt;"",VLOOKUP($P246&amp;" | "&amp;DF$6,'Job Master'!$F$12:$J$102,5,0),"")</f>
        <v/>
      </c>
      <c r="DG246" s="19" t="str">
        <f>IF(DH246&lt;&gt;"",VLOOKUP($P246&amp;" | "&amp;DF$6,'Job Master'!$F$12:$J$102,3,0),"")</f>
        <v/>
      </c>
      <c r="DH246" s="19" t="str">
        <f>IFERROR(IF(AND(DO246&lt;&gt;"",VLOOKUP($P246&amp;" | "&amp;DF$6,'Job Master'!$F$12:$I$102,4,0)&lt;&gt;""),IF(WEEKDAY(DO246-VLOOKUP($P246&amp;" | "&amp;DF$6,'Job Master'!$F$12:$I$102,4,0))&lt;&gt;7,DO246-VLOOKUP($P246&amp;" | "&amp;DF$6,'Job Master'!$F$12:$I$102,4,0),DO246-VLOOKUP($P246&amp;" | "&amp;DF$6,'Job Master'!$F$12:$I$102,4,0)-1),""),"")</f>
        <v/>
      </c>
      <c r="DI246" s="73"/>
      <c r="DJ246" s="123" t="str">
        <f t="shared" si="429"/>
        <v/>
      </c>
      <c r="DK246" s="123" t="str">
        <f t="shared" si="430"/>
        <v/>
      </c>
      <c r="DL246" s="97" t="str">
        <f t="shared" ca="1" si="431"/>
        <v/>
      </c>
      <c r="DM246" s="98" t="str">
        <f>IF(DO246&lt;&gt;"",VLOOKUP($P246&amp;" | "&amp;DM$6,'Job Master'!$F$12:$J$102,5,0),"")</f>
        <v/>
      </c>
      <c r="DN246" s="19" t="str">
        <f>IF(DO246&lt;&gt;"",VLOOKUP($P246&amp;" | "&amp;DM$6,'Job Master'!$F$12:$J$102,3,0),"")</f>
        <v/>
      </c>
      <c r="DO246" s="19" t="str">
        <f>IFERROR(IF(AND(DT246&lt;&gt;"",VLOOKUP($P246&amp;" | "&amp;DM$6,'Job Master'!$F$12:$I$102,4,0)&lt;&gt;""),IF(WEEKDAY(DT246-VLOOKUP($P246&amp;" | "&amp;DM$6,'Job Master'!$F$12:$I$102,4,0))&lt;&gt;7,DT246-VLOOKUP($P246&amp;" | "&amp;DM$6,'Job Master'!$F$12:$I$102,4,0),DT246-VLOOKUP($P246&amp;" | "&amp;DM$6,'Job Master'!$F$12:$I$102,4,0)-1),""),"")</f>
        <v/>
      </c>
      <c r="DP246" s="73"/>
      <c r="DQ246" s="123" t="str">
        <f t="shared" si="432"/>
        <v/>
      </c>
      <c r="DR246" s="123" t="str">
        <f t="shared" si="433"/>
        <v/>
      </c>
      <c r="DS246" s="97" t="str">
        <f t="shared" ca="1" si="434"/>
        <v/>
      </c>
      <c r="DT246" s="70" t="str">
        <f t="shared" si="435"/>
        <v/>
      </c>
      <c r="DU246" s="90"/>
      <c r="DV246" s="123" t="str">
        <f t="shared" si="436"/>
        <v/>
      </c>
      <c r="DW246" s="123" t="str">
        <f t="shared" si="437"/>
        <v/>
      </c>
      <c r="DX246" s="132" t="str">
        <f t="shared" ref="DX246" ca="1" si="493">IF(DT246&lt;&gt;"",IF(WEEKNUM(DT246)=WEEKNUM(TODAY()),"This Week",IF(WEEKNUM(DT246)=WEEKNUM(TODAY())+1,"Next Week",IF(WEEKNUM(DT246)=WEEKNUM(TODAY())-1,"Previous Week",""))),"")</f>
        <v/>
      </c>
      <c r="DY246" s="134" t="str">
        <f t="shared" si="439"/>
        <v/>
      </c>
      <c r="DZ246" s="95"/>
      <c r="EB246" s="8" t="str">
        <f t="shared" si="445"/>
        <v/>
      </c>
      <c r="EC246" s="8" t="str">
        <f>IF(O246&lt;&gt;"",VLOOKUP(O246,'Job Master'!$N$12:$O$18,2,0),"")</f>
        <v/>
      </c>
      <c r="ED246" s="8">
        <f t="shared" si="446"/>
        <v>19.5</v>
      </c>
      <c r="EE246" s="8">
        <f t="shared" si="447"/>
        <v>6</v>
      </c>
      <c r="EF246" s="8">
        <f t="shared" si="448"/>
        <v>-1396.5</v>
      </c>
      <c r="EG246" s="8" t="str">
        <f t="shared" si="449"/>
        <v/>
      </c>
      <c r="EH246" s="8" t="str">
        <f t="shared" si="450"/>
        <v/>
      </c>
    </row>
    <row r="247" spans="2:138" x14ac:dyDescent="0.3">
      <c r="B247" s="112"/>
      <c r="C247" s="27"/>
      <c r="D247" s="7" t="str">
        <f t="shared" si="387"/>
        <v/>
      </c>
      <c r="E247" s="25"/>
      <c r="F247" s="7" t="str">
        <f t="shared" si="387"/>
        <v/>
      </c>
      <c r="G247" s="25"/>
      <c r="H247" s="7" t="str">
        <f t="shared" si="387"/>
        <v/>
      </c>
      <c r="I247" s="25"/>
      <c r="J247" s="7" t="str">
        <f t="shared" si="387"/>
        <v/>
      </c>
      <c r="K247" s="25"/>
      <c r="L247" s="7" t="str">
        <f t="shared" si="388"/>
        <v/>
      </c>
      <c r="M247" s="25"/>
      <c r="N247" s="7" t="str">
        <f t="shared" si="389"/>
        <v/>
      </c>
      <c r="O247" s="81"/>
      <c r="P247" s="81" t="str">
        <f t="shared" si="390"/>
        <v/>
      </c>
      <c r="Q247" s="81"/>
      <c r="R247" s="7" t="str">
        <f t="shared" si="391"/>
        <v/>
      </c>
      <c r="S247" s="25"/>
      <c r="T247" s="7" t="str">
        <f t="shared" si="392"/>
        <v/>
      </c>
      <c r="U247" s="25"/>
      <c r="V247" s="7" t="str">
        <f t="shared" si="393"/>
        <v/>
      </c>
      <c r="W247" s="25"/>
      <c r="X247" s="7" t="str">
        <f t="shared" si="394"/>
        <v/>
      </c>
      <c r="Y247" s="18" t="str">
        <f t="shared" si="395"/>
        <v/>
      </c>
      <c r="Z247" s="7" t="str">
        <f t="shared" si="396"/>
        <v/>
      </c>
      <c r="AA247" s="18" t="str">
        <f t="shared" si="397"/>
        <v/>
      </c>
      <c r="AB247" s="19" t="str">
        <f t="shared" si="398"/>
        <v/>
      </c>
      <c r="AC247" s="26"/>
      <c r="AD247" s="26"/>
      <c r="AE247" s="25"/>
      <c r="AF247" s="26"/>
      <c r="AG247" s="25"/>
      <c r="AH247" s="25"/>
      <c r="AI247" s="18" t="str">
        <f t="shared" si="461"/>
        <v/>
      </c>
      <c r="AJ247" s="25"/>
      <c r="AK247" s="18" t="str">
        <f t="shared" si="462"/>
        <v/>
      </c>
      <c r="AL247" s="79"/>
      <c r="AM247" s="126" t="str">
        <f t="shared" si="463"/>
        <v/>
      </c>
      <c r="AN247" s="128" t="str">
        <f>IF(AP247&lt;&gt;"",VLOOKUP($P247&amp;" | "&amp;AN$6,'Job Master'!$F$12:$J$102,5,0),"")</f>
        <v/>
      </c>
      <c r="AO247" s="19" t="str">
        <f>IF(AP247&lt;&gt;"",VLOOKUP($P247&amp;" | "&amp;AN$6,'Job Master'!$F$12:$J$102,3,0),"")</f>
        <v/>
      </c>
      <c r="AP247" s="19" t="str">
        <f>IFERROR(IF(AND(AW247&lt;&gt;"",VLOOKUP($P247&amp;" | "&amp;AN$6,'Job Master'!$F$12:$I$102,4,0)&lt;&gt;""),IF(WEEKDAY(AW247-VLOOKUP($P247&amp;" | "&amp;AN$6,'Job Master'!$F$12:$I$102,4,0))&lt;&gt;7,AW247-VLOOKUP($P247&amp;" | "&amp;AN$6,'Job Master'!$F$12:$I$102,4,0),AW247-VLOOKUP($P247&amp;" | "&amp;AN$6,'Job Master'!$F$12:$I$102,4,0)-1),""),"")</f>
        <v/>
      </c>
      <c r="AQ247" s="73"/>
      <c r="AR247" s="123" t="str">
        <f t="shared" si="399"/>
        <v/>
      </c>
      <c r="AS247" s="123" t="str">
        <f t="shared" si="400"/>
        <v/>
      </c>
      <c r="AT247" s="97" t="str">
        <f t="shared" ca="1" si="401"/>
        <v/>
      </c>
      <c r="AU247" s="98" t="str">
        <f>IF(AW247&lt;&gt;"",VLOOKUP($P247&amp;" | "&amp;AU$6,'Job Master'!$F$12:$J$102,5,0),"")</f>
        <v/>
      </c>
      <c r="AV247" s="19" t="str">
        <f>IF(AW247&lt;&gt;"",VLOOKUP($P247&amp;" | "&amp;AU$6,'Job Master'!$F$12:$J$102,3,0),"")</f>
        <v/>
      </c>
      <c r="AW247" s="19" t="str">
        <f>IFERROR(IF(AND(BD247&lt;&gt;"",VLOOKUP($P247&amp;" | "&amp;AU$6,'Job Master'!$F$12:$I$102,4,0)&lt;&gt;""),IF(WEEKDAY(BD247-VLOOKUP($P247&amp;" | "&amp;AU$6,'Job Master'!$F$12:$I$102,4,0))&lt;&gt;7,BD247-VLOOKUP($P247&amp;" | "&amp;AU$6,'Job Master'!$F$12:$I$102,4,0),BD247-VLOOKUP($P247&amp;" | "&amp;AU$6,'Job Master'!$F$12:$I$102,4,0)-1),""),"")</f>
        <v/>
      </c>
      <c r="AX247" s="73"/>
      <c r="AY247" s="123" t="str">
        <f t="shared" si="402"/>
        <v/>
      </c>
      <c r="AZ247" s="123" t="str">
        <f t="shared" si="403"/>
        <v/>
      </c>
      <c r="BA247" s="97" t="str">
        <f t="shared" ca="1" si="404"/>
        <v/>
      </c>
      <c r="BB247" s="98" t="str">
        <f>IF(BD247&lt;&gt;"",VLOOKUP($P247&amp;" | "&amp;BB$6,'Job Master'!$F$12:$J$102,5,0),"")</f>
        <v/>
      </c>
      <c r="BC247" s="19" t="str">
        <f>IF(BD247&lt;&gt;"",VLOOKUP($P247&amp;" | "&amp;BB$6,'Job Master'!$F$12:$J$102,3,0),"")</f>
        <v/>
      </c>
      <c r="BD247" s="19" t="str">
        <f>IFERROR(IF(AND(BK247&lt;&gt;"",VLOOKUP($P247&amp;" | "&amp;BB$6,'Job Master'!$F$12:$I$102,4,0)&lt;&gt;""),IF(WEEKDAY(BK247-VLOOKUP($P247&amp;" | "&amp;BB$6,'Job Master'!$F$12:$I$102,4,0))&lt;&gt;7,BK247-VLOOKUP($P247&amp;" | "&amp;BB$6,'Job Master'!$F$12:$I$102,4,0),BK247-VLOOKUP($P247&amp;" | "&amp;BB$6,'Job Master'!$F$12:$I$102,4,0)-1),""),"")</f>
        <v/>
      </c>
      <c r="BE247" s="73"/>
      <c r="BF247" s="123" t="str">
        <f t="shared" si="405"/>
        <v/>
      </c>
      <c r="BG247" s="123" t="str">
        <f t="shared" si="406"/>
        <v/>
      </c>
      <c r="BH247" s="97" t="str">
        <f t="shared" ca="1" si="407"/>
        <v/>
      </c>
      <c r="BI247" s="98" t="str">
        <f>IF(BK247&lt;&gt;"",VLOOKUP($P247&amp;" | "&amp;BI$6,'Job Master'!$F$12:$J$102,5,0),"")</f>
        <v/>
      </c>
      <c r="BJ247" s="19" t="str">
        <f>IF(BK247&lt;&gt;"",VLOOKUP($P247&amp;" | "&amp;BI$6,'Job Master'!$F$12:$J$102,3,0),"")</f>
        <v/>
      </c>
      <c r="BK247" s="19" t="str">
        <f>IFERROR(IF(AND(BR247&lt;&gt;"",VLOOKUP($P247&amp;" | "&amp;BI$6,'Job Master'!$F$12:$I$102,4,0)&lt;&gt;""),IF(WEEKDAY(BR247-VLOOKUP($P247&amp;" | "&amp;BI$6,'Job Master'!$F$12:$I$102,4,0))&lt;&gt;7,BR247-VLOOKUP($P247&amp;" | "&amp;BI$6,'Job Master'!$F$12:$I$102,4,0),BR247-VLOOKUP($P247&amp;" | "&amp;BI$6,'Job Master'!$F$12:$I$102,4,0)-1),""),"")</f>
        <v/>
      </c>
      <c r="BL247" s="73"/>
      <c r="BM247" s="123" t="str">
        <f t="shared" si="408"/>
        <v/>
      </c>
      <c r="BN247" s="123" t="str">
        <f t="shared" si="409"/>
        <v/>
      </c>
      <c r="BO247" s="97" t="str">
        <f t="shared" ca="1" si="410"/>
        <v/>
      </c>
      <c r="BP247" s="98" t="str">
        <f>IF(BR247&lt;&gt;"",VLOOKUP($P247&amp;" | "&amp;BP$6,'Job Master'!$F$12:$J$102,5,0),"")</f>
        <v/>
      </c>
      <c r="BQ247" s="19" t="str">
        <f>IF(BR247&lt;&gt;"",VLOOKUP($P247&amp;" | "&amp;BP$6,'Job Master'!$F$12:$J$102,3,0),"")</f>
        <v/>
      </c>
      <c r="BR247" s="19" t="str">
        <f>IFERROR(IF(AND(BY247&lt;&gt;"",VLOOKUP($P247&amp;" | "&amp;BP$6,'Job Master'!$F$12:$I$102,4,0)&lt;&gt;""),IF(WEEKDAY(BY247-VLOOKUP($P247&amp;" | "&amp;BP$6,'Job Master'!$F$12:$I$102,4,0))&lt;&gt;7,BY247-VLOOKUP($P247&amp;" | "&amp;BP$6,'Job Master'!$F$12:$I$102,4,0),BY247-VLOOKUP($P247&amp;" | "&amp;BP$6,'Job Master'!$F$12:$I$102,4,0)-1),""),"")</f>
        <v/>
      </c>
      <c r="BS247" s="73"/>
      <c r="BT247" s="123" t="str">
        <f t="shared" si="411"/>
        <v/>
      </c>
      <c r="BU247" s="123" t="str">
        <f t="shared" si="412"/>
        <v/>
      </c>
      <c r="BV247" s="97" t="str">
        <f t="shared" ca="1" si="413"/>
        <v/>
      </c>
      <c r="BW247" s="98" t="str">
        <f>IF(BY247&lt;&gt;"",VLOOKUP($P247&amp;" | "&amp;BW$6,'Job Master'!$F$12:$J$102,5,0),"")</f>
        <v/>
      </c>
      <c r="BX247" s="19" t="str">
        <f>IF(BY247&lt;&gt;"",VLOOKUP($P247&amp;" | "&amp;BW$6,'Job Master'!$F$12:$J$102,3,0),"")</f>
        <v/>
      </c>
      <c r="BY247" s="19" t="str">
        <f>IFERROR(IF(AND(CF247&lt;&gt;"",VLOOKUP($P247&amp;" | "&amp;BW$6,'Job Master'!$F$12:$I$102,4,0)&lt;&gt;""),IF(WEEKDAY(CF247-VLOOKUP($P247&amp;" | "&amp;BW$6,'Job Master'!$F$12:$I$102,4,0))&lt;&gt;7,CF247-VLOOKUP($P247&amp;" | "&amp;BW$6,'Job Master'!$F$12:$I$102,4,0),CF247-VLOOKUP($P247&amp;" | "&amp;BW$6,'Job Master'!$F$12:$I$102,4,0)-1),""),"")</f>
        <v/>
      </c>
      <c r="BZ247" s="73"/>
      <c r="CA247" s="123" t="str">
        <f t="shared" si="414"/>
        <v/>
      </c>
      <c r="CB247" s="123" t="str">
        <f t="shared" si="415"/>
        <v/>
      </c>
      <c r="CC247" s="97" t="str">
        <f t="shared" ca="1" si="416"/>
        <v/>
      </c>
      <c r="CD247" s="98" t="str">
        <f>IF(CF247&lt;&gt;"",VLOOKUP($P247&amp;" | "&amp;CD$6,'Job Master'!$F$12:$J$102,5,0),"")</f>
        <v/>
      </c>
      <c r="CE247" s="19" t="str">
        <f>IF(CF247&lt;&gt;"",VLOOKUP($P247&amp;" | "&amp;CD$6,'Job Master'!$F$12:$J$102,3,0),"")</f>
        <v/>
      </c>
      <c r="CF247" s="19" t="str">
        <f>IFERROR(IF(AND(CM247&lt;&gt;"",VLOOKUP($P247&amp;" | "&amp;CD$6,'Job Master'!$F$12:$I$102,4,0)&lt;&gt;""),IF(WEEKDAY(CM247-VLOOKUP($P247&amp;" | "&amp;CD$6,'Job Master'!$F$12:$I$102,4,0))&lt;&gt;7,CM247-VLOOKUP($P247&amp;" | "&amp;CD$6,'Job Master'!$F$12:$I$102,4,0),CM247-VLOOKUP($P247&amp;" | "&amp;CD$6,'Job Master'!$F$12:$I$102,4,0)-1),""),"")</f>
        <v/>
      </c>
      <c r="CG247" s="73"/>
      <c r="CH247" s="123" t="str">
        <f t="shared" si="417"/>
        <v/>
      </c>
      <c r="CI247" s="123" t="str">
        <f t="shared" si="418"/>
        <v/>
      </c>
      <c r="CJ247" s="97" t="str">
        <f t="shared" ca="1" si="419"/>
        <v/>
      </c>
      <c r="CK247" s="98" t="str">
        <f>IF(CM247&lt;&gt;"",VLOOKUP($P247&amp;" | "&amp;CK$6,'Job Master'!$F$12:$J$102,5,0),"")</f>
        <v/>
      </c>
      <c r="CL247" s="19" t="str">
        <f>IF(CM247&lt;&gt;"",VLOOKUP($P247&amp;" | "&amp;CK$6,'Job Master'!$F$12:$J$102,3,0),"")</f>
        <v/>
      </c>
      <c r="CM247" s="19" t="str">
        <f>IFERROR(IF(AND(CT247&lt;&gt;"",VLOOKUP($P247&amp;" | "&amp;CK$6,'Job Master'!$F$12:$I$102,4,0)&lt;&gt;""),IF(WEEKDAY(CT247-VLOOKUP($P247&amp;" | "&amp;CK$6,'Job Master'!$F$12:$I$102,4,0))&lt;&gt;7,CT247-VLOOKUP($P247&amp;" | "&amp;CK$6,'Job Master'!$F$12:$I$102,4,0),CT247-VLOOKUP($P247&amp;" | "&amp;CK$6,'Job Master'!$F$12:$I$102,4,0)-1),""),"")</f>
        <v/>
      </c>
      <c r="CN247" s="73"/>
      <c r="CO247" s="123" t="str">
        <f t="shared" si="420"/>
        <v/>
      </c>
      <c r="CP247" s="123" t="str">
        <f t="shared" si="421"/>
        <v/>
      </c>
      <c r="CQ247" s="97" t="str">
        <f t="shared" ca="1" si="422"/>
        <v/>
      </c>
      <c r="CR247" s="98" t="str">
        <f>IF(CT247&lt;&gt;"",VLOOKUP($P247&amp;" | "&amp;CR$6,'Job Master'!$F$12:$J$102,5,0),"")</f>
        <v/>
      </c>
      <c r="CS247" s="19" t="str">
        <f>IF(CT247&lt;&gt;"",VLOOKUP($P247&amp;" | "&amp;CR$6,'Job Master'!$F$12:$J$102,3,0),"")</f>
        <v/>
      </c>
      <c r="CT247" s="19" t="str">
        <f>IFERROR(IF(AND(DA247&lt;&gt;"",VLOOKUP($P247&amp;" | "&amp;CR$6,'Job Master'!$F$12:$I$102,4,0)&lt;&gt;""),IF(WEEKDAY(DA247-VLOOKUP($P247&amp;" | "&amp;CR$6,'Job Master'!$F$12:$I$102,4,0))&lt;&gt;7,DA247-VLOOKUP($P247&amp;" | "&amp;CR$6,'Job Master'!$F$12:$I$102,4,0),DA247-VLOOKUP($P247&amp;" | "&amp;CR$6,'Job Master'!$F$12:$I$102,4,0)-1),""),"")</f>
        <v/>
      </c>
      <c r="CU247" s="73"/>
      <c r="CV247" s="123" t="str">
        <f t="shared" si="423"/>
        <v/>
      </c>
      <c r="CW247" s="123" t="str">
        <f t="shared" si="424"/>
        <v/>
      </c>
      <c r="CX247" s="97" t="str">
        <f t="shared" ca="1" si="425"/>
        <v/>
      </c>
      <c r="CY247" s="98" t="str">
        <f>IF(DA247&lt;&gt;"",VLOOKUP($P247&amp;" | "&amp;CY$6,'Job Master'!$F$12:$J$102,5,0),"")</f>
        <v/>
      </c>
      <c r="CZ247" s="19" t="str">
        <f>IF(DA247&lt;&gt;"",VLOOKUP($P247&amp;" | "&amp;CY$6,'Job Master'!$F$12:$J$102,3,0),"")</f>
        <v/>
      </c>
      <c r="DA247" s="19" t="str">
        <f>IFERROR(IF(AND(DH247&lt;&gt;"",VLOOKUP($P247&amp;" | "&amp;CY$6,'Job Master'!$F$12:$I$102,4,0)&lt;&gt;""),IF(WEEKDAY(DH247-VLOOKUP($P247&amp;" | "&amp;CY$6,'Job Master'!$F$12:$I$102,4,0))&lt;&gt;7,DH247-VLOOKUP($P247&amp;" | "&amp;CY$6,'Job Master'!$F$12:$I$102,4,0),DH247-VLOOKUP($P247&amp;" | "&amp;CY$6,'Job Master'!$F$12:$I$102,4,0)-1),""),"")</f>
        <v/>
      </c>
      <c r="DB247" s="73"/>
      <c r="DC247" s="123" t="str">
        <f t="shared" si="426"/>
        <v/>
      </c>
      <c r="DD247" s="123" t="str">
        <f t="shared" si="427"/>
        <v/>
      </c>
      <c r="DE247" s="97" t="str">
        <f t="shared" ca="1" si="428"/>
        <v/>
      </c>
      <c r="DF247" s="98" t="str">
        <f>IF(DH247&lt;&gt;"",VLOOKUP($P247&amp;" | "&amp;DF$6,'Job Master'!$F$12:$J$102,5,0),"")</f>
        <v/>
      </c>
      <c r="DG247" s="19" t="str">
        <f>IF(DH247&lt;&gt;"",VLOOKUP($P247&amp;" | "&amp;DF$6,'Job Master'!$F$12:$J$102,3,0),"")</f>
        <v/>
      </c>
      <c r="DH247" s="19" t="str">
        <f>IFERROR(IF(AND(DO247&lt;&gt;"",VLOOKUP($P247&amp;" | "&amp;DF$6,'Job Master'!$F$12:$I$102,4,0)&lt;&gt;""),IF(WEEKDAY(DO247-VLOOKUP($P247&amp;" | "&amp;DF$6,'Job Master'!$F$12:$I$102,4,0))&lt;&gt;7,DO247-VLOOKUP($P247&amp;" | "&amp;DF$6,'Job Master'!$F$12:$I$102,4,0),DO247-VLOOKUP($P247&amp;" | "&amp;DF$6,'Job Master'!$F$12:$I$102,4,0)-1),""),"")</f>
        <v/>
      </c>
      <c r="DI247" s="73"/>
      <c r="DJ247" s="123" t="str">
        <f t="shared" si="429"/>
        <v/>
      </c>
      <c r="DK247" s="123" t="str">
        <f t="shared" si="430"/>
        <v/>
      </c>
      <c r="DL247" s="97" t="str">
        <f t="shared" ca="1" si="431"/>
        <v/>
      </c>
      <c r="DM247" s="98" t="str">
        <f>IF(DO247&lt;&gt;"",VLOOKUP($P247&amp;" | "&amp;DM$6,'Job Master'!$F$12:$J$102,5,0),"")</f>
        <v/>
      </c>
      <c r="DN247" s="19" t="str">
        <f>IF(DO247&lt;&gt;"",VLOOKUP($P247&amp;" | "&amp;DM$6,'Job Master'!$F$12:$J$102,3,0),"")</f>
        <v/>
      </c>
      <c r="DO247" s="19" t="str">
        <f>IFERROR(IF(AND(DT247&lt;&gt;"",VLOOKUP($P247&amp;" | "&amp;DM$6,'Job Master'!$F$12:$I$102,4,0)&lt;&gt;""),IF(WEEKDAY(DT247-VLOOKUP($P247&amp;" | "&amp;DM$6,'Job Master'!$F$12:$I$102,4,0))&lt;&gt;7,DT247-VLOOKUP($P247&amp;" | "&amp;DM$6,'Job Master'!$F$12:$I$102,4,0),DT247-VLOOKUP($P247&amp;" | "&amp;DM$6,'Job Master'!$F$12:$I$102,4,0)-1),""),"")</f>
        <v/>
      </c>
      <c r="DP247" s="73"/>
      <c r="DQ247" s="123" t="str">
        <f t="shared" si="432"/>
        <v/>
      </c>
      <c r="DR247" s="123" t="str">
        <f t="shared" si="433"/>
        <v/>
      </c>
      <c r="DS247" s="97" t="str">
        <f t="shared" ca="1" si="434"/>
        <v/>
      </c>
      <c r="DT247" s="70" t="str">
        <f t="shared" si="435"/>
        <v/>
      </c>
      <c r="DU247" s="90"/>
      <c r="DV247" s="123" t="str">
        <f t="shared" si="436"/>
        <v/>
      </c>
      <c r="DW247" s="123" t="str">
        <f t="shared" si="437"/>
        <v/>
      </c>
      <c r="DX247" s="132" t="str">
        <f t="shared" ref="DX247" ca="1" si="494">IF(DT247&lt;&gt;"",IF(WEEKNUM(DT247)=WEEKNUM(TODAY()),"This Week",IF(WEEKNUM(DT247)=WEEKNUM(TODAY())+1,"Next Week",IF(WEEKNUM(DT247)=WEEKNUM(TODAY())-1,"Previous Week",""))),"")</f>
        <v/>
      </c>
      <c r="DY247" s="134" t="str">
        <f t="shared" si="439"/>
        <v/>
      </c>
      <c r="DZ247" s="95"/>
      <c r="EB247" s="8" t="str">
        <f t="shared" si="445"/>
        <v/>
      </c>
      <c r="EC247" s="8" t="str">
        <f>IF(O247&lt;&gt;"",VLOOKUP(O247,'Job Master'!$N$12:$O$18,2,0),"")</f>
        <v/>
      </c>
      <c r="ED247" s="8">
        <f t="shared" si="446"/>
        <v>19.5</v>
      </c>
      <c r="EE247" s="8">
        <f t="shared" si="447"/>
        <v>6</v>
      </c>
      <c r="EF247" s="8">
        <f t="shared" si="448"/>
        <v>-1402.5</v>
      </c>
      <c r="EG247" s="8" t="str">
        <f t="shared" si="449"/>
        <v/>
      </c>
      <c r="EH247" s="8" t="str">
        <f t="shared" si="450"/>
        <v/>
      </c>
    </row>
    <row r="248" spans="2:138" x14ac:dyDescent="0.3">
      <c r="B248" s="112"/>
      <c r="C248" s="27"/>
      <c r="D248" s="7" t="str">
        <f t="shared" si="387"/>
        <v/>
      </c>
      <c r="E248" s="25"/>
      <c r="F248" s="7" t="str">
        <f t="shared" si="387"/>
        <v/>
      </c>
      <c r="G248" s="25"/>
      <c r="H248" s="7" t="str">
        <f t="shared" si="387"/>
        <v/>
      </c>
      <c r="I248" s="25"/>
      <c r="J248" s="7" t="str">
        <f t="shared" si="387"/>
        <v/>
      </c>
      <c r="K248" s="25"/>
      <c r="L248" s="7" t="str">
        <f t="shared" si="388"/>
        <v/>
      </c>
      <c r="M248" s="25"/>
      <c r="N248" s="7" t="str">
        <f t="shared" si="389"/>
        <v/>
      </c>
      <c r="O248" s="81"/>
      <c r="P248" s="81" t="str">
        <f t="shared" si="390"/>
        <v/>
      </c>
      <c r="Q248" s="81"/>
      <c r="R248" s="7" t="str">
        <f t="shared" si="391"/>
        <v/>
      </c>
      <c r="S248" s="25"/>
      <c r="T248" s="7" t="str">
        <f t="shared" si="392"/>
        <v/>
      </c>
      <c r="U248" s="25"/>
      <c r="V248" s="7" t="str">
        <f t="shared" si="393"/>
        <v/>
      </c>
      <c r="W248" s="25"/>
      <c r="X248" s="7" t="str">
        <f t="shared" si="394"/>
        <v/>
      </c>
      <c r="Y248" s="18" t="str">
        <f t="shared" si="395"/>
        <v/>
      </c>
      <c r="Z248" s="7" t="str">
        <f t="shared" si="396"/>
        <v/>
      </c>
      <c r="AA248" s="18" t="str">
        <f t="shared" si="397"/>
        <v/>
      </c>
      <c r="AB248" s="19" t="str">
        <f t="shared" si="398"/>
        <v/>
      </c>
      <c r="AC248" s="26"/>
      <c r="AD248" s="26"/>
      <c r="AE248" s="25"/>
      <c r="AF248" s="26"/>
      <c r="AG248" s="25"/>
      <c r="AH248" s="25"/>
      <c r="AI248" s="18" t="str">
        <f t="shared" si="461"/>
        <v/>
      </c>
      <c r="AJ248" s="25"/>
      <c r="AK248" s="18" t="str">
        <f t="shared" si="462"/>
        <v/>
      </c>
      <c r="AL248" s="79"/>
      <c r="AM248" s="126" t="str">
        <f t="shared" si="463"/>
        <v/>
      </c>
      <c r="AN248" s="128" t="str">
        <f>IF(AP248&lt;&gt;"",VLOOKUP($P248&amp;" | "&amp;AN$6,'Job Master'!$F$12:$J$102,5,0),"")</f>
        <v/>
      </c>
      <c r="AO248" s="19" t="str">
        <f>IF(AP248&lt;&gt;"",VLOOKUP($P248&amp;" | "&amp;AN$6,'Job Master'!$F$12:$J$102,3,0),"")</f>
        <v/>
      </c>
      <c r="AP248" s="19" t="str">
        <f>IFERROR(IF(AND(AW248&lt;&gt;"",VLOOKUP($P248&amp;" | "&amp;AN$6,'Job Master'!$F$12:$I$102,4,0)&lt;&gt;""),IF(WEEKDAY(AW248-VLOOKUP($P248&amp;" | "&amp;AN$6,'Job Master'!$F$12:$I$102,4,0))&lt;&gt;7,AW248-VLOOKUP($P248&amp;" | "&amp;AN$6,'Job Master'!$F$12:$I$102,4,0),AW248-VLOOKUP($P248&amp;" | "&amp;AN$6,'Job Master'!$F$12:$I$102,4,0)-1),""),"")</f>
        <v/>
      </c>
      <c r="AQ248" s="73"/>
      <c r="AR248" s="123" t="str">
        <f t="shared" si="399"/>
        <v/>
      </c>
      <c r="AS248" s="123" t="str">
        <f t="shared" si="400"/>
        <v/>
      </c>
      <c r="AT248" s="97" t="str">
        <f t="shared" ca="1" si="401"/>
        <v/>
      </c>
      <c r="AU248" s="98" t="str">
        <f>IF(AW248&lt;&gt;"",VLOOKUP($P248&amp;" | "&amp;AU$6,'Job Master'!$F$12:$J$102,5,0),"")</f>
        <v/>
      </c>
      <c r="AV248" s="19" t="str">
        <f>IF(AW248&lt;&gt;"",VLOOKUP($P248&amp;" | "&amp;AU$6,'Job Master'!$F$12:$J$102,3,0),"")</f>
        <v/>
      </c>
      <c r="AW248" s="19" t="str">
        <f>IFERROR(IF(AND(BD248&lt;&gt;"",VLOOKUP($P248&amp;" | "&amp;AU$6,'Job Master'!$F$12:$I$102,4,0)&lt;&gt;""),IF(WEEKDAY(BD248-VLOOKUP($P248&amp;" | "&amp;AU$6,'Job Master'!$F$12:$I$102,4,0))&lt;&gt;7,BD248-VLOOKUP($P248&amp;" | "&amp;AU$6,'Job Master'!$F$12:$I$102,4,0),BD248-VLOOKUP($P248&amp;" | "&amp;AU$6,'Job Master'!$F$12:$I$102,4,0)-1),""),"")</f>
        <v/>
      </c>
      <c r="AX248" s="73"/>
      <c r="AY248" s="123" t="str">
        <f t="shared" si="402"/>
        <v/>
      </c>
      <c r="AZ248" s="123" t="str">
        <f t="shared" si="403"/>
        <v/>
      </c>
      <c r="BA248" s="97" t="str">
        <f t="shared" ca="1" si="404"/>
        <v/>
      </c>
      <c r="BB248" s="98" t="str">
        <f>IF(BD248&lt;&gt;"",VLOOKUP($P248&amp;" | "&amp;BB$6,'Job Master'!$F$12:$J$102,5,0),"")</f>
        <v/>
      </c>
      <c r="BC248" s="19" t="str">
        <f>IF(BD248&lt;&gt;"",VLOOKUP($P248&amp;" | "&amp;BB$6,'Job Master'!$F$12:$J$102,3,0),"")</f>
        <v/>
      </c>
      <c r="BD248" s="19" t="str">
        <f>IFERROR(IF(AND(BK248&lt;&gt;"",VLOOKUP($P248&amp;" | "&amp;BB$6,'Job Master'!$F$12:$I$102,4,0)&lt;&gt;""),IF(WEEKDAY(BK248-VLOOKUP($P248&amp;" | "&amp;BB$6,'Job Master'!$F$12:$I$102,4,0))&lt;&gt;7,BK248-VLOOKUP($P248&amp;" | "&amp;BB$6,'Job Master'!$F$12:$I$102,4,0),BK248-VLOOKUP($P248&amp;" | "&amp;BB$6,'Job Master'!$F$12:$I$102,4,0)-1),""),"")</f>
        <v/>
      </c>
      <c r="BE248" s="73"/>
      <c r="BF248" s="123" t="str">
        <f t="shared" si="405"/>
        <v/>
      </c>
      <c r="BG248" s="123" t="str">
        <f t="shared" si="406"/>
        <v/>
      </c>
      <c r="BH248" s="97" t="str">
        <f t="shared" ca="1" si="407"/>
        <v/>
      </c>
      <c r="BI248" s="98" t="str">
        <f>IF(BK248&lt;&gt;"",VLOOKUP($P248&amp;" | "&amp;BI$6,'Job Master'!$F$12:$J$102,5,0),"")</f>
        <v/>
      </c>
      <c r="BJ248" s="19" t="str">
        <f>IF(BK248&lt;&gt;"",VLOOKUP($P248&amp;" | "&amp;BI$6,'Job Master'!$F$12:$J$102,3,0),"")</f>
        <v/>
      </c>
      <c r="BK248" s="19" t="str">
        <f>IFERROR(IF(AND(BR248&lt;&gt;"",VLOOKUP($P248&amp;" | "&amp;BI$6,'Job Master'!$F$12:$I$102,4,0)&lt;&gt;""),IF(WEEKDAY(BR248-VLOOKUP($P248&amp;" | "&amp;BI$6,'Job Master'!$F$12:$I$102,4,0))&lt;&gt;7,BR248-VLOOKUP($P248&amp;" | "&amp;BI$6,'Job Master'!$F$12:$I$102,4,0),BR248-VLOOKUP($P248&amp;" | "&amp;BI$6,'Job Master'!$F$12:$I$102,4,0)-1),""),"")</f>
        <v/>
      </c>
      <c r="BL248" s="73"/>
      <c r="BM248" s="123" t="str">
        <f t="shared" si="408"/>
        <v/>
      </c>
      <c r="BN248" s="123" t="str">
        <f t="shared" si="409"/>
        <v/>
      </c>
      <c r="BO248" s="97" t="str">
        <f t="shared" ca="1" si="410"/>
        <v/>
      </c>
      <c r="BP248" s="98" t="str">
        <f>IF(BR248&lt;&gt;"",VLOOKUP($P248&amp;" | "&amp;BP$6,'Job Master'!$F$12:$J$102,5,0),"")</f>
        <v/>
      </c>
      <c r="BQ248" s="19" t="str">
        <f>IF(BR248&lt;&gt;"",VLOOKUP($P248&amp;" | "&amp;BP$6,'Job Master'!$F$12:$J$102,3,0),"")</f>
        <v/>
      </c>
      <c r="BR248" s="19" t="str">
        <f>IFERROR(IF(AND(BY248&lt;&gt;"",VLOOKUP($P248&amp;" | "&amp;BP$6,'Job Master'!$F$12:$I$102,4,0)&lt;&gt;""),IF(WEEKDAY(BY248-VLOOKUP($P248&amp;" | "&amp;BP$6,'Job Master'!$F$12:$I$102,4,0))&lt;&gt;7,BY248-VLOOKUP($P248&amp;" | "&amp;BP$6,'Job Master'!$F$12:$I$102,4,0),BY248-VLOOKUP($P248&amp;" | "&amp;BP$6,'Job Master'!$F$12:$I$102,4,0)-1),""),"")</f>
        <v/>
      </c>
      <c r="BS248" s="73"/>
      <c r="BT248" s="123" t="str">
        <f t="shared" si="411"/>
        <v/>
      </c>
      <c r="BU248" s="123" t="str">
        <f t="shared" si="412"/>
        <v/>
      </c>
      <c r="BV248" s="97" t="str">
        <f t="shared" ca="1" si="413"/>
        <v/>
      </c>
      <c r="BW248" s="98" t="str">
        <f>IF(BY248&lt;&gt;"",VLOOKUP($P248&amp;" | "&amp;BW$6,'Job Master'!$F$12:$J$102,5,0),"")</f>
        <v/>
      </c>
      <c r="BX248" s="19" t="str">
        <f>IF(BY248&lt;&gt;"",VLOOKUP($P248&amp;" | "&amp;BW$6,'Job Master'!$F$12:$J$102,3,0),"")</f>
        <v/>
      </c>
      <c r="BY248" s="19" t="str">
        <f>IFERROR(IF(AND(CF248&lt;&gt;"",VLOOKUP($P248&amp;" | "&amp;BW$6,'Job Master'!$F$12:$I$102,4,0)&lt;&gt;""),IF(WEEKDAY(CF248-VLOOKUP($P248&amp;" | "&amp;BW$6,'Job Master'!$F$12:$I$102,4,0))&lt;&gt;7,CF248-VLOOKUP($P248&amp;" | "&amp;BW$6,'Job Master'!$F$12:$I$102,4,0),CF248-VLOOKUP($P248&amp;" | "&amp;BW$6,'Job Master'!$F$12:$I$102,4,0)-1),""),"")</f>
        <v/>
      </c>
      <c r="BZ248" s="73"/>
      <c r="CA248" s="123" t="str">
        <f t="shared" si="414"/>
        <v/>
      </c>
      <c r="CB248" s="123" t="str">
        <f t="shared" si="415"/>
        <v/>
      </c>
      <c r="CC248" s="97" t="str">
        <f t="shared" ca="1" si="416"/>
        <v/>
      </c>
      <c r="CD248" s="98" t="str">
        <f>IF(CF248&lt;&gt;"",VLOOKUP($P248&amp;" | "&amp;CD$6,'Job Master'!$F$12:$J$102,5,0),"")</f>
        <v/>
      </c>
      <c r="CE248" s="19" t="str">
        <f>IF(CF248&lt;&gt;"",VLOOKUP($P248&amp;" | "&amp;CD$6,'Job Master'!$F$12:$J$102,3,0),"")</f>
        <v/>
      </c>
      <c r="CF248" s="19" t="str">
        <f>IFERROR(IF(AND(CM248&lt;&gt;"",VLOOKUP($P248&amp;" | "&amp;CD$6,'Job Master'!$F$12:$I$102,4,0)&lt;&gt;""),IF(WEEKDAY(CM248-VLOOKUP($P248&amp;" | "&amp;CD$6,'Job Master'!$F$12:$I$102,4,0))&lt;&gt;7,CM248-VLOOKUP($P248&amp;" | "&amp;CD$6,'Job Master'!$F$12:$I$102,4,0),CM248-VLOOKUP($P248&amp;" | "&amp;CD$6,'Job Master'!$F$12:$I$102,4,0)-1),""),"")</f>
        <v/>
      </c>
      <c r="CG248" s="73"/>
      <c r="CH248" s="123" t="str">
        <f t="shared" si="417"/>
        <v/>
      </c>
      <c r="CI248" s="123" t="str">
        <f t="shared" si="418"/>
        <v/>
      </c>
      <c r="CJ248" s="97" t="str">
        <f t="shared" ca="1" si="419"/>
        <v/>
      </c>
      <c r="CK248" s="98" t="str">
        <f>IF(CM248&lt;&gt;"",VLOOKUP($P248&amp;" | "&amp;CK$6,'Job Master'!$F$12:$J$102,5,0),"")</f>
        <v/>
      </c>
      <c r="CL248" s="19" t="str">
        <f>IF(CM248&lt;&gt;"",VLOOKUP($P248&amp;" | "&amp;CK$6,'Job Master'!$F$12:$J$102,3,0),"")</f>
        <v/>
      </c>
      <c r="CM248" s="19" t="str">
        <f>IFERROR(IF(AND(CT248&lt;&gt;"",VLOOKUP($P248&amp;" | "&amp;CK$6,'Job Master'!$F$12:$I$102,4,0)&lt;&gt;""),IF(WEEKDAY(CT248-VLOOKUP($P248&amp;" | "&amp;CK$6,'Job Master'!$F$12:$I$102,4,0))&lt;&gt;7,CT248-VLOOKUP($P248&amp;" | "&amp;CK$6,'Job Master'!$F$12:$I$102,4,0),CT248-VLOOKUP($P248&amp;" | "&amp;CK$6,'Job Master'!$F$12:$I$102,4,0)-1),""),"")</f>
        <v/>
      </c>
      <c r="CN248" s="73"/>
      <c r="CO248" s="123" t="str">
        <f t="shared" si="420"/>
        <v/>
      </c>
      <c r="CP248" s="123" t="str">
        <f t="shared" si="421"/>
        <v/>
      </c>
      <c r="CQ248" s="97" t="str">
        <f t="shared" ca="1" si="422"/>
        <v/>
      </c>
      <c r="CR248" s="98" t="str">
        <f>IF(CT248&lt;&gt;"",VLOOKUP($P248&amp;" | "&amp;CR$6,'Job Master'!$F$12:$J$102,5,0),"")</f>
        <v/>
      </c>
      <c r="CS248" s="19" t="str">
        <f>IF(CT248&lt;&gt;"",VLOOKUP($P248&amp;" | "&amp;CR$6,'Job Master'!$F$12:$J$102,3,0),"")</f>
        <v/>
      </c>
      <c r="CT248" s="19" t="str">
        <f>IFERROR(IF(AND(DA248&lt;&gt;"",VLOOKUP($P248&amp;" | "&amp;CR$6,'Job Master'!$F$12:$I$102,4,0)&lt;&gt;""),IF(WEEKDAY(DA248-VLOOKUP($P248&amp;" | "&amp;CR$6,'Job Master'!$F$12:$I$102,4,0))&lt;&gt;7,DA248-VLOOKUP($P248&amp;" | "&amp;CR$6,'Job Master'!$F$12:$I$102,4,0),DA248-VLOOKUP($P248&amp;" | "&amp;CR$6,'Job Master'!$F$12:$I$102,4,0)-1),""),"")</f>
        <v/>
      </c>
      <c r="CU248" s="73"/>
      <c r="CV248" s="123" t="str">
        <f t="shared" si="423"/>
        <v/>
      </c>
      <c r="CW248" s="123" t="str">
        <f t="shared" si="424"/>
        <v/>
      </c>
      <c r="CX248" s="97" t="str">
        <f t="shared" ca="1" si="425"/>
        <v/>
      </c>
      <c r="CY248" s="98" t="str">
        <f>IF(DA248&lt;&gt;"",VLOOKUP($P248&amp;" | "&amp;CY$6,'Job Master'!$F$12:$J$102,5,0),"")</f>
        <v/>
      </c>
      <c r="CZ248" s="19" t="str">
        <f>IF(DA248&lt;&gt;"",VLOOKUP($P248&amp;" | "&amp;CY$6,'Job Master'!$F$12:$J$102,3,0),"")</f>
        <v/>
      </c>
      <c r="DA248" s="19" t="str">
        <f>IFERROR(IF(AND(DH248&lt;&gt;"",VLOOKUP($P248&amp;" | "&amp;CY$6,'Job Master'!$F$12:$I$102,4,0)&lt;&gt;""),IF(WEEKDAY(DH248-VLOOKUP($P248&amp;" | "&amp;CY$6,'Job Master'!$F$12:$I$102,4,0))&lt;&gt;7,DH248-VLOOKUP($P248&amp;" | "&amp;CY$6,'Job Master'!$F$12:$I$102,4,0),DH248-VLOOKUP($P248&amp;" | "&amp;CY$6,'Job Master'!$F$12:$I$102,4,0)-1),""),"")</f>
        <v/>
      </c>
      <c r="DB248" s="73"/>
      <c r="DC248" s="123" t="str">
        <f t="shared" si="426"/>
        <v/>
      </c>
      <c r="DD248" s="123" t="str">
        <f t="shared" si="427"/>
        <v/>
      </c>
      <c r="DE248" s="97" t="str">
        <f t="shared" ca="1" si="428"/>
        <v/>
      </c>
      <c r="DF248" s="98" t="str">
        <f>IF(DH248&lt;&gt;"",VLOOKUP($P248&amp;" | "&amp;DF$6,'Job Master'!$F$12:$J$102,5,0),"")</f>
        <v/>
      </c>
      <c r="DG248" s="19" t="str">
        <f>IF(DH248&lt;&gt;"",VLOOKUP($P248&amp;" | "&amp;DF$6,'Job Master'!$F$12:$J$102,3,0),"")</f>
        <v/>
      </c>
      <c r="DH248" s="19" t="str">
        <f>IFERROR(IF(AND(DO248&lt;&gt;"",VLOOKUP($P248&amp;" | "&amp;DF$6,'Job Master'!$F$12:$I$102,4,0)&lt;&gt;""),IF(WEEKDAY(DO248-VLOOKUP($P248&amp;" | "&amp;DF$6,'Job Master'!$F$12:$I$102,4,0))&lt;&gt;7,DO248-VLOOKUP($P248&amp;" | "&amp;DF$6,'Job Master'!$F$12:$I$102,4,0),DO248-VLOOKUP($P248&amp;" | "&amp;DF$6,'Job Master'!$F$12:$I$102,4,0)-1),""),"")</f>
        <v/>
      </c>
      <c r="DI248" s="73"/>
      <c r="DJ248" s="123" t="str">
        <f t="shared" si="429"/>
        <v/>
      </c>
      <c r="DK248" s="123" t="str">
        <f t="shared" si="430"/>
        <v/>
      </c>
      <c r="DL248" s="97" t="str">
        <f t="shared" ca="1" si="431"/>
        <v/>
      </c>
      <c r="DM248" s="98" t="str">
        <f>IF(DO248&lt;&gt;"",VLOOKUP($P248&amp;" | "&amp;DM$6,'Job Master'!$F$12:$J$102,5,0),"")</f>
        <v/>
      </c>
      <c r="DN248" s="19" t="str">
        <f>IF(DO248&lt;&gt;"",VLOOKUP($P248&amp;" | "&amp;DM$6,'Job Master'!$F$12:$J$102,3,0),"")</f>
        <v/>
      </c>
      <c r="DO248" s="19" t="str">
        <f>IFERROR(IF(AND(DT248&lt;&gt;"",VLOOKUP($P248&amp;" | "&amp;DM$6,'Job Master'!$F$12:$I$102,4,0)&lt;&gt;""),IF(WEEKDAY(DT248-VLOOKUP($P248&amp;" | "&amp;DM$6,'Job Master'!$F$12:$I$102,4,0))&lt;&gt;7,DT248-VLOOKUP($P248&amp;" | "&amp;DM$6,'Job Master'!$F$12:$I$102,4,0),DT248-VLOOKUP($P248&amp;" | "&amp;DM$6,'Job Master'!$F$12:$I$102,4,0)-1),""),"")</f>
        <v/>
      </c>
      <c r="DP248" s="73"/>
      <c r="DQ248" s="123" t="str">
        <f t="shared" si="432"/>
        <v/>
      </c>
      <c r="DR248" s="123" t="str">
        <f t="shared" si="433"/>
        <v/>
      </c>
      <c r="DS248" s="97" t="str">
        <f t="shared" ca="1" si="434"/>
        <v/>
      </c>
      <c r="DT248" s="70" t="str">
        <f t="shared" si="435"/>
        <v/>
      </c>
      <c r="DU248" s="90"/>
      <c r="DV248" s="123" t="str">
        <f t="shared" si="436"/>
        <v/>
      </c>
      <c r="DW248" s="123" t="str">
        <f t="shared" si="437"/>
        <v/>
      </c>
      <c r="DX248" s="132" t="str">
        <f t="shared" ref="DX248" ca="1" si="495">IF(DT248&lt;&gt;"",IF(WEEKNUM(DT248)=WEEKNUM(TODAY()),"This Week",IF(WEEKNUM(DT248)=WEEKNUM(TODAY())+1,"Next Week",IF(WEEKNUM(DT248)=WEEKNUM(TODAY())-1,"Previous Week",""))),"")</f>
        <v/>
      </c>
      <c r="DY248" s="134" t="str">
        <f t="shared" si="439"/>
        <v/>
      </c>
      <c r="DZ248" s="95"/>
      <c r="EB248" s="8" t="str">
        <f t="shared" si="445"/>
        <v/>
      </c>
      <c r="EC248" s="8" t="str">
        <f>IF(O248&lt;&gt;"",VLOOKUP(O248,'Job Master'!$N$12:$O$18,2,0),"")</f>
        <v/>
      </c>
      <c r="ED248" s="8">
        <f t="shared" si="446"/>
        <v>19.5</v>
      </c>
      <c r="EE248" s="8">
        <f t="shared" si="447"/>
        <v>6</v>
      </c>
      <c r="EF248" s="8">
        <f t="shared" si="448"/>
        <v>-1408.5</v>
      </c>
      <c r="EG248" s="8" t="str">
        <f t="shared" si="449"/>
        <v/>
      </c>
      <c r="EH248" s="8" t="str">
        <f t="shared" si="450"/>
        <v/>
      </c>
    </row>
    <row r="249" spans="2:138" x14ac:dyDescent="0.3">
      <c r="B249" s="112"/>
      <c r="C249" s="27"/>
      <c r="D249" s="7" t="str">
        <f t="shared" si="387"/>
        <v/>
      </c>
      <c r="E249" s="25"/>
      <c r="F249" s="7" t="str">
        <f t="shared" si="387"/>
        <v/>
      </c>
      <c r="G249" s="25"/>
      <c r="H249" s="7" t="str">
        <f t="shared" si="387"/>
        <v/>
      </c>
      <c r="I249" s="25"/>
      <c r="J249" s="7" t="str">
        <f t="shared" si="387"/>
        <v/>
      </c>
      <c r="K249" s="25"/>
      <c r="L249" s="7" t="str">
        <f t="shared" si="388"/>
        <v/>
      </c>
      <c r="M249" s="25"/>
      <c r="N249" s="7" t="str">
        <f t="shared" si="389"/>
        <v/>
      </c>
      <c r="O249" s="81"/>
      <c r="P249" s="81" t="str">
        <f t="shared" si="390"/>
        <v/>
      </c>
      <c r="Q249" s="81"/>
      <c r="R249" s="7" t="str">
        <f t="shared" si="391"/>
        <v/>
      </c>
      <c r="S249" s="25"/>
      <c r="T249" s="7" t="str">
        <f t="shared" si="392"/>
        <v/>
      </c>
      <c r="U249" s="25"/>
      <c r="V249" s="7" t="str">
        <f t="shared" si="393"/>
        <v/>
      </c>
      <c r="W249" s="25"/>
      <c r="X249" s="7" t="str">
        <f t="shared" si="394"/>
        <v/>
      </c>
      <c r="Y249" s="18" t="str">
        <f t="shared" si="395"/>
        <v/>
      </c>
      <c r="Z249" s="7" t="str">
        <f t="shared" si="396"/>
        <v/>
      </c>
      <c r="AA249" s="18" t="str">
        <f t="shared" si="397"/>
        <v/>
      </c>
      <c r="AB249" s="19" t="str">
        <f t="shared" si="398"/>
        <v/>
      </c>
      <c r="AC249" s="26"/>
      <c r="AD249" s="26"/>
      <c r="AE249" s="25"/>
      <c r="AF249" s="26"/>
      <c r="AG249" s="25"/>
      <c r="AH249" s="25"/>
      <c r="AI249" s="18" t="str">
        <f t="shared" si="461"/>
        <v/>
      </c>
      <c r="AJ249" s="25"/>
      <c r="AK249" s="18" t="str">
        <f t="shared" si="462"/>
        <v/>
      </c>
      <c r="AL249" s="79"/>
      <c r="AM249" s="126" t="str">
        <f t="shared" si="463"/>
        <v/>
      </c>
      <c r="AN249" s="128" t="str">
        <f>IF(AP249&lt;&gt;"",VLOOKUP($P249&amp;" | "&amp;AN$6,'Job Master'!$F$12:$J$102,5,0),"")</f>
        <v/>
      </c>
      <c r="AO249" s="19" t="str">
        <f>IF(AP249&lt;&gt;"",VLOOKUP($P249&amp;" | "&amp;AN$6,'Job Master'!$F$12:$J$102,3,0),"")</f>
        <v/>
      </c>
      <c r="AP249" s="19" t="str">
        <f>IFERROR(IF(AND(AW249&lt;&gt;"",VLOOKUP($P249&amp;" | "&amp;AN$6,'Job Master'!$F$12:$I$102,4,0)&lt;&gt;""),IF(WEEKDAY(AW249-VLOOKUP($P249&amp;" | "&amp;AN$6,'Job Master'!$F$12:$I$102,4,0))&lt;&gt;7,AW249-VLOOKUP($P249&amp;" | "&amp;AN$6,'Job Master'!$F$12:$I$102,4,0),AW249-VLOOKUP($P249&amp;" | "&amp;AN$6,'Job Master'!$F$12:$I$102,4,0)-1),""),"")</f>
        <v/>
      </c>
      <c r="AQ249" s="73"/>
      <c r="AR249" s="123" t="str">
        <f t="shared" si="399"/>
        <v/>
      </c>
      <c r="AS249" s="123" t="str">
        <f t="shared" si="400"/>
        <v/>
      </c>
      <c r="AT249" s="97" t="str">
        <f t="shared" ca="1" si="401"/>
        <v/>
      </c>
      <c r="AU249" s="98" t="str">
        <f>IF(AW249&lt;&gt;"",VLOOKUP($P249&amp;" | "&amp;AU$6,'Job Master'!$F$12:$J$102,5,0),"")</f>
        <v/>
      </c>
      <c r="AV249" s="19" t="str">
        <f>IF(AW249&lt;&gt;"",VLOOKUP($P249&amp;" | "&amp;AU$6,'Job Master'!$F$12:$J$102,3,0),"")</f>
        <v/>
      </c>
      <c r="AW249" s="19" t="str">
        <f>IFERROR(IF(AND(BD249&lt;&gt;"",VLOOKUP($P249&amp;" | "&amp;AU$6,'Job Master'!$F$12:$I$102,4,0)&lt;&gt;""),IF(WEEKDAY(BD249-VLOOKUP($P249&amp;" | "&amp;AU$6,'Job Master'!$F$12:$I$102,4,0))&lt;&gt;7,BD249-VLOOKUP($P249&amp;" | "&amp;AU$6,'Job Master'!$F$12:$I$102,4,0),BD249-VLOOKUP($P249&amp;" | "&amp;AU$6,'Job Master'!$F$12:$I$102,4,0)-1),""),"")</f>
        <v/>
      </c>
      <c r="AX249" s="73"/>
      <c r="AY249" s="123" t="str">
        <f t="shared" si="402"/>
        <v/>
      </c>
      <c r="AZ249" s="123" t="str">
        <f t="shared" si="403"/>
        <v/>
      </c>
      <c r="BA249" s="97" t="str">
        <f t="shared" ca="1" si="404"/>
        <v/>
      </c>
      <c r="BB249" s="98" t="str">
        <f>IF(BD249&lt;&gt;"",VLOOKUP($P249&amp;" | "&amp;BB$6,'Job Master'!$F$12:$J$102,5,0),"")</f>
        <v/>
      </c>
      <c r="BC249" s="19" t="str">
        <f>IF(BD249&lt;&gt;"",VLOOKUP($P249&amp;" | "&amp;BB$6,'Job Master'!$F$12:$J$102,3,0),"")</f>
        <v/>
      </c>
      <c r="BD249" s="19" t="str">
        <f>IFERROR(IF(AND(BK249&lt;&gt;"",VLOOKUP($P249&amp;" | "&amp;BB$6,'Job Master'!$F$12:$I$102,4,0)&lt;&gt;""),IF(WEEKDAY(BK249-VLOOKUP($P249&amp;" | "&amp;BB$6,'Job Master'!$F$12:$I$102,4,0))&lt;&gt;7,BK249-VLOOKUP($P249&amp;" | "&amp;BB$6,'Job Master'!$F$12:$I$102,4,0),BK249-VLOOKUP($P249&amp;" | "&amp;BB$6,'Job Master'!$F$12:$I$102,4,0)-1),""),"")</f>
        <v/>
      </c>
      <c r="BE249" s="73"/>
      <c r="BF249" s="123" t="str">
        <f t="shared" si="405"/>
        <v/>
      </c>
      <c r="BG249" s="123" t="str">
        <f t="shared" si="406"/>
        <v/>
      </c>
      <c r="BH249" s="97" t="str">
        <f t="shared" ca="1" si="407"/>
        <v/>
      </c>
      <c r="BI249" s="98" t="str">
        <f>IF(BK249&lt;&gt;"",VLOOKUP($P249&amp;" | "&amp;BI$6,'Job Master'!$F$12:$J$102,5,0),"")</f>
        <v/>
      </c>
      <c r="BJ249" s="19" t="str">
        <f>IF(BK249&lt;&gt;"",VLOOKUP($P249&amp;" | "&amp;BI$6,'Job Master'!$F$12:$J$102,3,0),"")</f>
        <v/>
      </c>
      <c r="BK249" s="19" t="str">
        <f>IFERROR(IF(AND(BR249&lt;&gt;"",VLOOKUP($P249&amp;" | "&amp;BI$6,'Job Master'!$F$12:$I$102,4,0)&lt;&gt;""),IF(WEEKDAY(BR249-VLOOKUP($P249&amp;" | "&amp;BI$6,'Job Master'!$F$12:$I$102,4,0))&lt;&gt;7,BR249-VLOOKUP($P249&amp;" | "&amp;BI$6,'Job Master'!$F$12:$I$102,4,0),BR249-VLOOKUP($P249&amp;" | "&amp;BI$6,'Job Master'!$F$12:$I$102,4,0)-1),""),"")</f>
        <v/>
      </c>
      <c r="BL249" s="73"/>
      <c r="BM249" s="123" t="str">
        <f t="shared" si="408"/>
        <v/>
      </c>
      <c r="BN249" s="123" t="str">
        <f t="shared" si="409"/>
        <v/>
      </c>
      <c r="BO249" s="97" t="str">
        <f t="shared" ca="1" si="410"/>
        <v/>
      </c>
      <c r="BP249" s="98" t="str">
        <f>IF(BR249&lt;&gt;"",VLOOKUP($P249&amp;" | "&amp;BP$6,'Job Master'!$F$12:$J$102,5,0),"")</f>
        <v/>
      </c>
      <c r="BQ249" s="19" t="str">
        <f>IF(BR249&lt;&gt;"",VLOOKUP($P249&amp;" | "&amp;BP$6,'Job Master'!$F$12:$J$102,3,0),"")</f>
        <v/>
      </c>
      <c r="BR249" s="19" t="str">
        <f>IFERROR(IF(AND(BY249&lt;&gt;"",VLOOKUP($P249&amp;" | "&amp;BP$6,'Job Master'!$F$12:$I$102,4,0)&lt;&gt;""),IF(WEEKDAY(BY249-VLOOKUP($P249&amp;" | "&amp;BP$6,'Job Master'!$F$12:$I$102,4,0))&lt;&gt;7,BY249-VLOOKUP($P249&amp;" | "&amp;BP$6,'Job Master'!$F$12:$I$102,4,0),BY249-VLOOKUP($P249&amp;" | "&amp;BP$6,'Job Master'!$F$12:$I$102,4,0)-1),""),"")</f>
        <v/>
      </c>
      <c r="BS249" s="73"/>
      <c r="BT249" s="123" t="str">
        <f t="shared" si="411"/>
        <v/>
      </c>
      <c r="BU249" s="123" t="str">
        <f t="shared" si="412"/>
        <v/>
      </c>
      <c r="BV249" s="97" t="str">
        <f t="shared" ca="1" si="413"/>
        <v/>
      </c>
      <c r="BW249" s="98" t="str">
        <f>IF(BY249&lt;&gt;"",VLOOKUP($P249&amp;" | "&amp;BW$6,'Job Master'!$F$12:$J$102,5,0),"")</f>
        <v/>
      </c>
      <c r="BX249" s="19" t="str">
        <f>IF(BY249&lt;&gt;"",VLOOKUP($P249&amp;" | "&amp;BW$6,'Job Master'!$F$12:$J$102,3,0),"")</f>
        <v/>
      </c>
      <c r="BY249" s="19" t="str">
        <f>IFERROR(IF(AND(CF249&lt;&gt;"",VLOOKUP($P249&amp;" | "&amp;BW$6,'Job Master'!$F$12:$I$102,4,0)&lt;&gt;""),IF(WEEKDAY(CF249-VLOOKUP($P249&amp;" | "&amp;BW$6,'Job Master'!$F$12:$I$102,4,0))&lt;&gt;7,CF249-VLOOKUP($P249&amp;" | "&amp;BW$6,'Job Master'!$F$12:$I$102,4,0),CF249-VLOOKUP($P249&amp;" | "&amp;BW$6,'Job Master'!$F$12:$I$102,4,0)-1),""),"")</f>
        <v/>
      </c>
      <c r="BZ249" s="73"/>
      <c r="CA249" s="123" t="str">
        <f t="shared" si="414"/>
        <v/>
      </c>
      <c r="CB249" s="123" t="str">
        <f t="shared" si="415"/>
        <v/>
      </c>
      <c r="CC249" s="97" t="str">
        <f t="shared" ca="1" si="416"/>
        <v/>
      </c>
      <c r="CD249" s="98" t="str">
        <f>IF(CF249&lt;&gt;"",VLOOKUP($P249&amp;" | "&amp;CD$6,'Job Master'!$F$12:$J$102,5,0),"")</f>
        <v/>
      </c>
      <c r="CE249" s="19" t="str">
        <f>IF(CF249&lt;&gt;"",VLOOKUP($P249&amp;" | "&amp;CD$6,'Job Master'!$F$12:$J$102,3,0),"")</f>
        <v/>
      </c>
      <c r="CF249" s="19" t="str">
        <f>IFERROR(IF(AND(CM249&lt;&gt;"",VLOOKUP($P249&amp;" | "&amp;CD$6,'Job Master'!$F$12:$I$102,4,0)&lt;&gt;""),IF(WEEKDAY(CM249-VLOOKUP($P249&amp;" | "&amp;CD$6,'Job Master'!$F$12:$I$102,4,0))&lt;&gt;7,CM249-VLOOKUP($P249&amp;" | "&amp;CD$6,'Job Master'!$F$12:$I$102,4,0),CM249-VLOOKUP($P249&amp;" | "&amp;CD$6,'Job Master'!$F$12:$I$102,4,0)-1),""),"")</f>
        <v/>
      </c>
      <c r="CG249" s="73"/>
      <c r="CH249" s="123" t="str">
        <f t="shared" si="417"/>
        <v/>
      </c>
      <c r="CI249" s="123" t="str">
        <f t="shared" si="418"/>
        <v/>
      </c>
      <c r="CJ249" s="97" t="str">
        <f t="shared" ca="1" si="419"/>
        <v/>
      </c>
      <c r="CK249" s="98" t="str">
        <f>IF(CM249&lt;&gt;"",VLOOKUP($P249&amp;" | "&amp;CK$6,'Job Master'!$F$12:$J$102,5,0),"")</f>
        <v/>
      </c>
      <c r="CL249" s="19" t="str">
        <f>IF(CM249&lt;&gt;"",VLOOKUP($P249&amp;" | "&amp;CK$6,'Job Master'!$F$12:$J$102,3,0),"")</f>
        <v/>
      </c>
      <c r="CM249" s="19" t="str">
        <f>IFERROR(IF(AND(CT249&lt;&gt;"",VLOOKUP($P249&amp;" | "&amp;CK$6,'Job Master'!$F$12:$I$102,4,0)&lt;&gt;""),IF(WEEKDAY(CT249-VLOOKUP($P249&amp;" | "&amp;CK$6,'Job Master'!$F$12:$I$102,4,0))&lt;&gt;7,CT249-VLOOKUP($P249&amp;" | "&amp;CK$6,'Job Master'!$F$12:$I$102,4,0),CT249-VLOOKUP($P249&amp;" | "&amp;CK$6,'Job Master'!$F$12:$I$102,4,0)-1),""),"")</f>
        <v/>
      </c>
      <c r="CN249" s="73"/>
      <c r="CO249" s="123" t="str">
        <f t="shared" si="420"/>
        <v/>
      </c>
      <c r="CP249" s="123" t="str">
        <f t="shared" si="421"/>
        <v/>
      </c>
      <c r="CQ249" s="97" t="str">
        <f t="shared" ca="1" si="422"/>
        <v/>
      </c>
      <c r="CR249" s="98" t="str">
        <f>IF(CT249&lt;&gt;"",VLOOKUP($P249&amp;" | "&amp;CR$6,'Job Master'!$F$12:$J$102,5,0),"")</f>
        <v/>
      </c>
      <c r="CS249" s="19" t="str">
        <f>IF(CT249&lt;&gt;"",VLOOKUP($P249&amp;" | "&amp;CR$6,'Job Master'!$F$12:$J$102,3,0),"")</f>
        <v/>
      </c>
      <c r="CT249" s="19" t="str">
        <f>IFERROR(IF(AND(DA249&lt;&gt;"",VLOOKUP($P249&amp;" | "&amp;CR$6,'Job Master'!$F$12:$I$102,4,0)&lt;&gt;""),IF(WEEKDAY(DA249-VLOOKUP($P249&amp;" | "&amp;CR$6,'Job Master'!$F$12:$I$102,4,0))&lt;&gt;7,DA249-VLOOKUP($P249&amp;" | "&amp;CR$6,'Job Master'!$F$12:$I$102,4,0),DA249-VLOOKUP($P249&amp;" | "&amp;CR$6,'Job Master'!$F$12:$I$102,4,0)-1),""),"")</f>
        <v/>
      </c>
      <c r="CU249" s="73"/>
      <c r="CV249" s="123" t="str">
        <f t="shared" si="423"/>
        <v/>
      </c>
      <c r="CW249" s="123" t="str">
        <f t="shared" si="424"/>
        <v/>
      </c>
      <c r="CX249" s="97" t="str">
        <f t="shared" ca="1" si="425"/>
        <v/>
      </c>
      <c r="CY249" s="98" t="str">
        <f>IF(DA249&lt;&gt;"",VLOOKUP($P249&amp;" | "&amp;CY$6,'Job Master'!$F$12:$J$102,5,0),"")</f>
        <v/>
      </c>
      <c r="CZ249" s="19" t="str">
        <f>IF(DA249&lt;&gt;"",VLOOKUP($P249&amp;" | "&amp;CY$6,'Job Master'!$F$12:$J$102,3,0),"")</f>
        <v/>
      </c>
      <c r="DA249" s="19" t="str">
        <f>IFERROR(IF(AND(DH249&lt;&gt;"",VLOOKUP($P249&amp;" | "&amp;CY$6,'Job Master'!$F$12:$I$102,4,0)&lt;&gt;""),IF(WEEKDAY(DH249-VLOOKUP($P249&amp;" | "&amp;CY$6,'Job Master'!$F$12:$I$102,4,0))&lt;&gt;7,DH249-VLOOKUP($P249&amp;" | "&amp;CY$6,'Job Master'!$F$12:$I$102,4,0),DH249-VLOOKUP($P249&amp;" | "&amp;CY$6,'Job Master'!$F$12:$I$102,4,0)-1),""),"")</f>
        <v/>
      </c>
      <c r="DB249" s="73"/>
      <c r="DC249" s="123" t="str">
        <f t="shared" si="426"/>
        <v/>
      </c>
      <c r="DD249" s="123" t="str">
        <f t="shared" si="427"/>
        <v/>
      </c>
      <c r="DE249" s="97" t="str">
        <f t="shared" ca="1" si="428"/>
        <v/>
      </c>
      <c r="DF249" s="98" t="str">
        <f>IF(DH249&lt;&gt;"",VLOOKUP($P249&amp;" | "&amp;DF$6,'Job Master'!$F$12:$J$102,5,0),"")</f>
        <v/>
      </c>
      <c r="DG249" s="19" t="str">
        <f>IF(DH249&lt;&gt;"",VLOOKUP($P249&amp;" | "&amp;DF$6,'Job Master'!$F$12:$J$102,3,0),"")</f>
        <v/>
      </c>
      <c r="DH249" s="19" t="str">
        <f>IFERROR(IF(AND(DO249&lt;&gt;"",VLOOKUP($P249&amp;" | "&amp;DF$6,'Job Master'!$F$12:$I$102,4,0)&lt;&gt;""),IF(WEEKDAY(DO249-VLOOKUP($P249&amp;" | "&amp;DF$6,'Job Master'!$F$12:$I$102,4,0))&lt;&gt;7,DO249-VLOOKUP($P249&amp;" | "&amp;DF$6,'Job Master'!$F$12:$I$102,4,0),DO249-VLOOKUP($P249&amp;" | "&amp;DF$6,'Job Master'!$F$12:$I$102,4,0)-1),""),"")</f>
        <v/>
      </c>
      <c r="DI249" s="73"/>
      <c r="DJ249" s="123" t="str">
        <f t="shared" si="429"/>
        <v/>
      </c>
      <c r="DK249" s="123" t="str">
        <f t="shared" si="430"/>
        <v/>
      </c>
      <c r="DL249" s="97" t="str">
        <f t="shared" ca="1" si="431"/>
        <v/>
      </c>
      <c r="DM249" s="98" t="str">
        <f>IF(DO249&lt;&gt;"",VLOOKUP($P249&amp;" | "&amp;DM$6,'Job Master'!$F$12:$J$102,5,0),"")</f>
        <v/>
      </c>
      <c r="DN249" s="19" t="str">
        <f>IF(DO249&lt;&gt;"",VLOOKUP($P249&amp;" | "&amp;DM$6,'Job Master'!$F$12:$J$102,3,0),"")</f>
        <v/>
      </c>
      <c r="DO249" s="19" t="str">
        <f>IFERROR(IF(AND(DT249&lt;&gt;"",VLOOKUP($P249&amp;" | "&amp;DM$6,'Job Master'!$F$12:$I$102,4,0)&lt;&gt;""),IF(WEEKDAY(DT249-VLOOKUP($P249&amp;" | "&amp;DM$6,'Job Master'!$F$12:$I$102,4,0))&lt;&gt;7,DT249-VLOOKUP($P249&amp;" | "&amp;DM$6,'Job Master'!$F$12:$I$102,4,0),DT249-VLOOKUP($P249&amp;" | "&amp;DM$6,'Job Master'!$F$12:$I$102,4,0)-1),""),"")</f>
        <v/>
      </c>
      <c r="DP249" s="73"/>
      <c r="DQ249" s="123" t="str">
        <f t="shared" si="432"/>
        <v/>
      </c>
      <c r="DR249" s="123" t="str">
        <f t="shared" si="433"/>
        <v/>
      </c>
      <c r="DS249" s="97" t="str">
        <f t="shared" ca="1" si="434"/>
        <v/>
      </c>
      <c r="DT249" s="70" t="str">
        <f t="shared" si="435"/>
        <v/>
      </c>
      <c r="DU249" s="90"/>
      <c r="DV249" s="123" t="str">
        <f t="shared" si="436"/>
        <v/>
      </c>
      <c r="DW249" s="123" t="str">
        <f t="shared" si="437"/>
        <v/>
      </c>
      <c r="DX249" s="132" t="str">
        <f t="shared" ref="DX249" ca="1" si="496">IF(DT249&lt;&gt;"",IF(WEEKNUM(DT249)=WEEKNUM(TODAY()),"This Week",IF(WEEKNUM(DT249)=WEEKNUM(TODAY())+1,"Next Week",IF(WEEKNUM(DT249)=WEEKNUM(TODAY())-1,"Previous Week",""))),"")</f>
        <v/>
      </c>
      <c r="DY249" s="134" t="str">
        <f t="shared" si="439"/>
        <v/>
      </c>
      <c r="DZ249" s="95"/>
      <c r="EB249" s="8" t="str">
        <f t="shared" si="445"/>
        <v/>
      </c>
      <c r="EC249" s="8" t="str">
        <f>IF(O249&lt;&gt;"",VLOOKUP(O249,'Job Master'!$N$12:$O$18,2,0),"")</f>
        <v/>
      </c>
      <c r="ED249" s="8">
        <f t="shared" si="446"/>
        <v>19.5</v>
      </c>
      <c r="EE249" s="8">
        <f t="shared" si="447"/>
        <v>6</v>
      </c>
      <c r="EF249" s="8">
        <f t="shared" si="448"/>
        <v>-1414.5</v>
      </c>
      <c r="EG249" s="8" t="str">
        <f t="shared" si="449"/>
        <v/>
      </c>
      <c r="EH249" s="8" t="str">
        <f t="shared" si="450"/>
        <v/>
      </c>
    </row>
    <row r="250" spans="2:138" x14ac:dyDescent="0.3">
      <c r="B250" s="112"/>
      <c r="C250" s="27"/>
      <c r="D250" s="7" t="str">
        <f t="shared" si="387"/>
        <v/>
      </c>
      <c r="E250" s="25"/>
      <c r="F250" s="7" t="str">
        <f t="shared" si="387"/>
        <v/>
      </c>
      <c r="G250" s="25"/>
      <c r="H250" s="7" t="str">
        <f t="shared" si="387"/>
        <v/>
      </c>
      <c r="I250" s="25"/>
      <c r="J250" s="7" t="str">
        <f t="shared" si="387"/>
        <v/>
      </c>
      <c r="K250" s="25"/>
      <c r="L250" s="7" t="str">
        <f t="shared" si="388"/>
        <v/>
      </c>
      <c r="M250" s="25"/>
      <c r="N250" s="7" t="str">
        <f t="shared" si="389"/>
        <v/>
      </c>
      <c r="O250" s="81"/>
      <c r="P250" s="81" t="str">
        <f t="shared" si="390"/>
        <v/>
      </c>
      <c r="Q250" s="81"/>
      <c r="R250" s="7" t="str">
        <f t="shared" si="391"/>
        <v/>
      </c>
      <c r="S250" s="25"/>
      <c r="T250" s="7" t="str">
        <f t="shared" si="392"/>
        <v/>
      </c>
      <c r="U250" s="25"/>
      <c r="V250" s="7" t="str">
        <f t="shared" si="393"/>
        <v/>
      </c>
      <c r="W250" s="25"/>
      <c r="X250" s="7" t="str">
        <f t="shared" si="394"/>
        <v/>
      </c>
      <c r="Y250" s="18" t="str">
        <f t="shared" si="395"/>
        <v/>
      </c>
      <c r="Z250" s="7" t="str">
        <f t="shared" si="396"/>
        <v/>
      </c>
      <c r="AA250" s="18" t="str">
        <f t="shared" si="397"/>
        <v/>
      </c>
      <c r="AB250" s="19" t="str">
        <f t="shared" si="398"/>
        <v/>
      </c>
      <c r="AC250" s="26"/>
      <c r="AD250" s="26"/>
      <c r="AE250" s="25"/>
      <c r="AF250" s="26"/>
      <c r="AG250" s="25"/>
      <c r="AH250" s="25"/>
      <c r="AI250" s="18" t="str">
        <f t="shared" si="461"/>
        <v/>
      </c>
      <c r="AJ250" s="25"/>
      <c r="AK250" s="18" t="str">
        <f t="shared" si="462"/>
        <v/>
      </c>
      <c r="AL250" s="79"/>
      <c r="AM250" s="126" t="str">
        <f t="shared" si="463"/>
        <v/>
      </c>
      <c r="AN250" s="128" t="str">
        <f>IF(AP250&lt;&gt;"",VLOOKUP($P250&amp;" | "&amp;AN$6,'Job Master'!$F$12:$J$102,5,0),"")</f>
        <v/>
      </c>
      <c r="AO250" s="19" t="str">
        <f>IF(AP250&lt;&gt;"",VLOOKUP($P250&amp;" | "&amp;AN$6,'Job Master'!$F$12:$J$102,3,0),"")</f>
        <v/>
      </c>
      <c r="AP250" s="19" t="str">
        <f>IFERROR(IF(AND(AW250&lt;&gt;"",VLOOKUP($P250&amp;" | "&amp;AN$6,'Job Master'!$F$12:$I$102,4,0)&lt;&gt;""),IF(WEEKDAY(AW250-VLOOKUP($P250&amp;" | "&amp;AN$6,'Job Master'!$F$12:$I$102,4,0))&lt;&gt;7,AW250-VLOOKUP($P250&amp;" | "&amp;AN$6,'Job Master'!$F$12:$I$102,4,0),AW250-VLOOKUP($P250&amp;" | "&amp;AN$6,'Job Master'!$F$12:$I$102,4,0)-1),""),"")</f>
        <v/>
      </c>
      <c r="AQ250" s="73"/>
      <c r="AR250" s="123" t="str">
        <f t="shared" si="399"/>
        <v/>
      </c>
      <c r="AS250" s="123" t="str">
        <f t="shared" si="400"/>
        <v/>
      </c>
      <c r="AT250" s="97" t="str">
        <f t="shared" ca="1" si="401"/>
        <v/>
      </c>
      <c r="AU250" s="98" t="str">
        <f>IF(AW250&lt;&gt;"",VLOOKUP($P250&amp;" | "&amp;AU$6,'Job Master'!$F$12:$J$102,5,0),"")</f>
        <v/>
      </c>
      <c r="AV250" s="19" t="str">
        <f>IF(AW250&lt;&gt;"",VLOOKUP($P250&amp;" | "&amp;AU$6,'Job Master'!$F$12:$J$102,3,0),"")</f>
        <v/>
      </c>
      <c r="AW250" s="19" t="str">
        <f>IFERROR(IF(AND(BD250&lt;&gt;"",VLOOKUP($P250&amp;" | "&amp;AU$6,'Job Master'!$F$12:$I$102,4,0)&lt;&gt;""),IF(WEEKDAY(BD250-VLOOKUP($P250&amp;" | "&amp;AU$6,'Job Master'!$F$12:$I$102,4,0))&lt;&gt;7,BD250-VLOOKUP($P250&amp;" | "&amp;AU$6,'Job Master'!$F$12:$I$102,4,0),BD250-VLOOKUP($P250&amp;" | "&amp;AU$6,'Job Master'!$F$12:$I$102,4,0)-1),""),"")</f>
        <v/>
      </c>
      <c r="AX250" s="73"/>
      <c r="AY250" s="123" t="str">
        <f t="shared" si="402"/>
        <v/>
      </c>
      <c r="AZ250" s="123" t="str">
        <f t="shared" si="403"/>
        <v/>
      </c>
      <c r="BA250" s="97" t="str">
        <f t="shared" ca="1" si="404"/>
        <v/>
      </c>
      <c r="BB250" s="98" t="str">
        <f>IF(BD250&lt;&gt;"",VLOOKUP($P250&amp;" | "&amp;BB$6,'Job Master'!$F$12:$J$102,5,0),"")</f>
        <v/>
      </c>
      <c r="BC250" s="19" t="str">
        <f>IF(BD250&lt;&gt;"",VLOOKUP($P250&amp;" | "&amp;BB$6,'Job Master'!$F$12:$J$102,3,0),"")</f>
        <v/>
      </c>
      <c r="BD250" s="19" t="str">
        <f>IFERROR(IF(AND(BK250&lt;&gt;"",VLOOKUP($P250&amp;" | "&amp;BB$6,'Job Master'!$F$12:$I$102,4,0)&lt;&gt;""),IF(WEEKDAY(BK250-VLOOKUP($P250&amp;" | "&amp;BB$6,'Job Master'!$F$12:$I$102,4,0))&lt;&gt;7,BK250-VLOOKUP($P250&amp;" | "&amp;BB$6,'Job Master'!$F$12:$I$102,4,0),BK250-VLOOKUP($P250&amp;" | "&amp;BB$6,'Job Master'!$F$12:$I$102,4,0)-1),""),"")</f>
        <v/>
      </c>
      <c r="BE250" s="73"/>
      <c r="BF250" s="123" t="str">
        <f t="shared" si="405"/>
        <v/>
      </c>
      <c r="BG250" s="123" t="str">
        <f t="shared" si="406"/>
        <v/>
      </c>
      <c r="BH250" s="97" t="str">
        <f t="shared" ca="1" si="407"/>
        <v/>
      </c>
      <c r="BI250" s="98" t="str">
        <f>IF(BK250&lt;&gt;"",VLOOKUP($P250&amp;" | "&amp;BI$6,'Job Master'!$F$12:$J$102,5,0),"")</f>
        <v/>
      </c>
      <c r="BJ250" s="19" t="str">
        <f>IF(BK250&lt;&gt;"",VLOOKUP($P250&amp;" | "&amp;BI$6,'Job Master'!$F$12:$J$102,3,0),"")</f>
        <v/>
      </c>
      <c r="BK250" s="19" t="str">
        <f>IFERROR(IF(AND(BR250&lt;&gt;"",VLOOKUP($P250&amp;" | "&amp;BI$6,'Job Master'!$F$12:$I$102,4,0)&lt;&gt;""),IF(WEEKDAY(BR250-VLOOKUP($P250&amp;" | "&amp;BI$6,'Job Master'!$F$12:$I$102,4,0))&lt;&gt;7,BR250-VLOOKUP($P250&amp;" | "&amp;BI$6,'Job Master'!$F$12:$I$102,4,0),BR250-VLOOKUP($P250&amp;" | "&amp;BI$6,'Job Master'!$F$12:$I$102,4,0)-1),""),"")</f>
        <v/>
      </c>
      <c r="BL250" s="73"/>
      <c r="BM250" s="123" t="str">
        <f t="shared" si="408"/>
        <v/>
      </c>
      <c r="BN250" s="123" t="str">
        <f t="shared" si="409"/>
        <v/>
      </c>
      <c r="BO250" s="97" t="str">
        <f t="shared" ca="1" si="410"/>
        <v/>
      </c>
      <c r="BP250" s="98" t="str">
        <f>IF(BR250&lt;&gt;"",VLOOKUP($P250&amp;" | "&amp;BP$6,'Job Master'!$F$12:$J$102,5,0),"")</f>
        <v/>
      </c>
      <c r="BQ250" s="19" t="str">
        <f>IF(BR250&lt;&gt;"",VLOOKUP($P250&amp;" | "&amp;BP$6,'Job Master'!$F$12:$J$102,3,0),"")</f>
        <v/>
      </c>
      <c r="BR250" s="19" t="str">
        <f>IFERROR(IF(AND(BY250&lt;&gt;"",VLOOKUP($P250&amp;" | "&amp;BP$6,'Job Master'!$F$12:$I$102,4,0)&lt;&gt;""),IF(WEEKDAY(BY250-VLOOKUP($P250&amp;" | "&amp;BP$6,'Job Master'!$F$12:$I$102,4,0))&lt;&gt;7,BY250-VLOOKUP($P250&amp;" | "&amp;BP$6,'Job Master'!$F$12:$I$102,4,0),BY250-VLOOKUP($P250&amp;" | "&amp;BP$6,'Job Master'!$F$12:$I$102,4,0)-1),""),"")</f>
        <v/>
      </c>
      <c r="BS250" s="73"/>
      <c r="BT250" s="123" t="str">
        <f t="shared" si="411"/>
        <v/>
      </c>
      <c r="BU250" s="123" t="str">
        <f t="shared" si="412"/>
        <v/>
      </c>
      <c r="BV250" s="97" t="str">
        <f t="shared" ca="1" si="413"/>
        <v/>
      </c>
      <c r="BW250" s="98" t="str">
        <f>IF(BY250&lt;&gt;"",VLOOKUP($P250&amp;" | "&amp;BW$6,'Job Master'!$F$12:$J$102,5,0),"")</f>
        <v/>
      </c>
      <c r="BX250" s="19" t="str">
        <f>IF(BY250&lt;&gt;"",VLOOKUP($P250&amp;" | "&amp;BW$6,'Job Master'!$F$12:$J$102,3,0),"")</f>
        <v/>
      </c>
      <c r="BY250" s="19" t="str">
        <f>IFERROR(IF(AND(CF250&lt;&gt;"",VLOOKUP($P250&amp;" | "&amp;BW$6,'Job Master'!$F$12:$I$102,4,0)&lt;&gt;""),IF(WEEKDAY(CF250-VLOOKUP($P250&amp;" | "&amp;BW$6,'Job Master'!$F$12:$I$102,4,0))&lt;&gt;7,CF250-VLOOKUP($P250&amp;" | "&amp;BW$6,'Job Master'!$F$12:$I$102,4,0),CF250-VLOOKUP($P250&amp;" | "&amp;BW$6,'Job Master'!$F$12:$I$102,4,0)-1),""),"")</f>
        <v/>
      </c>
      <c r="BZ250" s="73"/>
      <c r="CA250" s="123" t="str">
        <f t="shared" si="414"/>
        <v/>
      </c>
      <c r="CB250" s="123" t="str">
        <f t="shared" si="415"/>
        <v/>
      </c>
      <c r="CC250" s="97" t="str">
        <f t="shared" ca="1" si="416"/>
        <v/>
      </c>
      <c r="CD250" s="98" t="str">
        <f>IF(CF250&lt;&gt;"",VLOOKUP($P250&amp;" | "&amp;CD$6,'Job Master'!$F$12:$J$102,5,0),"")</f>
        <v/>
      </c>
      <c r="CE250" s="19" t="str">
        <f>IF(CF250&lt;&gt;"",VLOOKUP($P250&amp;" | "&amp;CD$6,'Job Master'!$F$12:$J$102,3,0),"")</f>
        <v/>
      </c>
      <c r="CF250" s="19" t="str">
        <f>IFERROR(IF(AND(CM250&lt;&gt;"",VLOOKUP($P250&amp;" | "&amp;CD$6,'Job Master'!$F$12:$I$102,4,0)&lt;&gt;""),IF(WEEKDAY(CM250-VLOOKUP($P250&amp;" | "&amp;CD$6,'Job Master'!$F$12:$I$102,4,0))&lt;&gt;7,CM250-VLOOKUP($P250&amp;" | "&amp;CD$6,'Job Master'!$F$12:$I$102,4,0),CM250-VLOOKUP($P250&amp;" | "&amp;CD$6,'Job Master'!$F$12:$I$102,4,0)-1),""),"")</f>
        <v/>
      </c>
      <c r="CG250" s="73"/>
      <c r="CH250" s="123" t="str">
        <f t="shared" si="417"/>
        <v/>
      </c>
      <c r="CI250" s="123" t="str">
        <f t="shared" si="418"/>
        <v/>
      </c>
      <c r="CJ250" s="97" t="str">
        <f t="shared" ca="1" si="419"/>
        <v/>
      </c>
      <c r="CK250" s="98" t="str">
        <f>IF(CM250&lt;&gt;"",VLOOKUP($P250&amp;" | "&amp;CK$6,'Job Master'!$F$12:$J$102,5,0),"")</f>
        <v/>
      </c>
      <c r="CL250" s="19" t="str">
        <f>IF(CM250&lt;&gt;"",VLOOKUP($P250&amp;" | "&amp;CK$6,'Job Master'!$F$12:$J$102,3,0),"")</f>
        <v/>
      </c>
      <c r="CM250" s="19" t="str">
        <f>IFERROR(IF(AND(CT250&lt;&gt;"",VLOOKUP($P250&amp;" | "&amp;CK$6,'Job Master'!$F$12:$I$102,4,0)&lt;&gt;""),IF(WEEKDAY(CT250-VLOOKUP($P250&amp;" | "&amp;CK$6,'Job Master'!$F$12:$I$102,4,0))&lt;&gt;7,CT250-VLOOKUP($P250&amp;" | "&amp;CK$6,'Job Master'!$F$12:$I$102,4,0),CT250-VLOOKUP($P250&amp;" | "&amp;CK$6,'Job Master'!$F$12:$I$102,4,0)-1),""),"")</f>
        <v/>
      </c>
      <c r="CN250" s="73"/>
      <c r="CO250" s="123" t="str">
        <f t="shared" si="420"/>
        <v/>
      </c>
      <c r="CP250" s="123" t="str">
        <f t="shared" si="421"/>
        <v/>
      </c>
      <c r="CQ250" s="97" t="str">
        <f t="shared" ca="1" si="422"/>
        <v/>
      </c>
      <c r="CR250" s="98" t="str">
        <f>IF(CT250&lt;&gt;"",VLOOKUP($P250&amp;" | "&amp;CR$6,'Job Master'!$F$12:$J$102,5,0),"")</f>
        <v/>
      </c>
      <c r="CS250" s="19" t="str">
        <f>IF(CT250&lt;&gt;"",VLOOKUP($P250&amp;" | "&amp;CR$6,'Job Master'!$F$12:$J$102,3,0),"")</f>
        <v/>
      </c>
      <c r="CT250" s="19" t="str">
        <f>IFERROR(IF(AND(DA250&lt;&gt;"",VLOOKUP($P250&amp;" | "&amp;CR$6,'Job Master'!$F$12:$I$102,4,0)&lt;&gt;""),IF(WEEKDAY(DA250-VLOOKUP($P250&amp;" | "&amp;CR$6,'Job Master'!$F$12:$I$102,4,0))&lt;&gt;7,DA250-VLOOKUP($P250&amp;" | "&amp;CR$6,'Job Master'!$F$12:$I$102,4,0),DA250-VLOOKUP($P250&amp;" | "&amp;CR$6,'Job Master'!$F$12:$I$102,4,0)-1),""),"")</f>
        <v/>
      </c>
      <c r="CU250" s="73"/>
      <c r="CV250" s="123" t="str">
        <f t="shared" si="423"/>
        <v/>
      </c>
      <c r="CW250" s="123" t="str">
        <f t="shared" si="424"/>
        <v/>
      </c>
      <c r="CX250" s="97" t="str">
        <f t="shared" ca="1" si="425"/>
        <v/>
      </c>
      <c r="CY250" s="98" t="str">
        <f>IF(DA250&lt;&gt;"",VLOOKUP($P250&amp;" | "&amp;CY$6,'Job Master'!$F$12:$J$102,5,0),"")</f>
        <v/>
      </c>
      <c r="CZ250" s="19" t="str">
        <f>IF(DA250&lt;&gt;"",VLOOKUP($P250&amp;" | "&amp;CY$6,'Job Master'!$F$12:$J$102,3,0),"")</f>
        <v/>
      </c>
      <c r="DA250" s="19" t="str">
        <f>IFERROR(IF(AND(DH250&lt;&gt;"",VLOOKUP($P250&amp;" | "&amp;CY$6,'Job Master'!$F$12:$I$102,4,0)&lt;&gt;""),IF(WEEKDAY(DH250-VLOOKUP($P250&amp;" | "&amp;CY$6,'Job Master'!$F$12:$I$102,4,0))&lt;&gt;7,DH250-VLOOKUP($P250&amp;" | "&amp;CY$6,'Job Master'!$F$12:$I$102,4,0),DH250-VLOOKUP($P250&amp;" | "&amp;CY$6,'Job Master'!$F$12:$I$102,4,0)-1),""),"")</f>
        <v/>
      </c>
      <c r="DB250" s="73"/>
      <c r="DC250" s="123" t="str">
        <f t="shared" si="426"/>
        <v/>
      </c>
      <c r="DD250" s="123" t="str">
        <f t="shared" si="427"/>
        <v/>
      </c>
      <c r="DE250" s="97" t="str">
        <f t="shared" ca="1" si="428"/>
        <v/>
      </c>
      <c r="DF250" s="98" t="str">
        <f>IF(DH250&lt;&gt;"",VLOOKUP($P250&amp;" | "&amp;DF$6,'Job Master'!$F$12:$J$102,5,0),"")</f>
        <v/>
      </c>
      <c r="DG250" s="19" t="str">
        <f>IF(DH250&lt;&gt;"",VLOOKUP($P250&amp;" | "&amp;DF$6,'Job Master'!$F$12:$J$102,3,0),"")</f>
        <v/>
      </c>
      <c r="DH250" s="19" t="str">
        <f>IFERROR(IF(AND(DO250&lt;&gt;"",VLOOKUP($P250&amp;" | "&amp;DF$6,'Job Master'!$F$12:$I$102,4,0)&lt;&gt;""),IF(WEEKDAY(DO250-VLOOKUP($P250&amp;" | "&amp;DF$6,'Job Master'!$F$12:$I$102,4,0))&lt;&gt;7,DO250-VLOOKUP($P250&amp;" | "&amp;DF$6,'Job Master'!$F$12:$I$102,4,0),DO250-VLOOKUP($P250&amp;" | "&amp;DF$6,'Job Master'!$F$12:$I$102,4,0)-1),""),"")</f>
        <v/>
      </c>
      <c r="DI250" s="73"/>
      <c r="DJ250" s="123" t="str">
        <f t="shared" si="429"/>
        <v/>
      </c>
      <c r="DK250" s="123" t="str">
        <f t="shared" si="430"/>
        <v/>
      </c>
      <c r="DL250" s="97" t="str">
        <f t="shared" ca="1" si="431"/>
        <v/>
      </c>
      <c r="DM250" s="98" t="str">
        <f>IF(DO250&lt;&gt;"",VLOOKUP($P250&amp;" | "&amp;DM$6,'Job Master'!$F$12:$J$102,5,0),"")</f>
        <v/>
      </c>
      <c r="DN250" s="19" t="str">
        <f>IF(DO250&lt;&gt;"",VLOOKUP($P250&amp;" | "&amp;DM$6,'Job Master'!$F$12:$J$102,3,0),"")</f>
        <v/>
      </c>
      <c r="DO250" s="19" t="str">
        <f>IFERROR(IF(AND(DT250&lt;&gt;"",VLOOKUP($P250&amp;" | "&amp;DM$6,'Job Master'!$F$12:$I$102,4,0)&lt;&gt;""),IF(WEEKDAY(DT250-VLOOKUP($P250&amp;" | "&amp;DM$6,'Job Master'!$F$12:$I$102,4,0))&lt;&gt;7,DT250-VLOOKUP($P250&amp;" | "&amp;DM$6,'Job Master'!$F$12:$I$102,4,0),DT250-VLOOKUP($P250&amp;" | "&amp;DM$6,'Job Master'!$F$12:$I$102,4,0)-1),""),"")</f>
        <v/>
      </c>
      <c r="DP250" s="73"/>
      <c r="DQ250" s="123" t="str">
        <f t="shared" si="432"/>
        <v/>
      </c>
      <c r="DR250" s="123" t="str">
        <f t="shared" si="433"/>
        <v/>
      </c>
      <c r="DS250" s="97" t="str">
        <f t="shared" ca="1" si="434"/>
        <v/>
      </c>
      <c r="DT250" s="70" t="str">
        <f t="shared" si="435"/>
        <v/>
      </c>
      <c r="DU250" s="90"/>
      <c r="DV250" s="123" t="str">
        <f t="shared" si="436"/>
        <v/>
      </c>
      <c r="DW250" s="123" t="str">
        <f t="shared" si="437"/>
        <v/>
      </c>
      <c r="DX250" s="132" t="str">
        <f t="shared" ref="DX250" ca="1" si="497">IF(DT250&lt;&gt;"",IF(WEEKNUM(DT250)=WEEKNUM(TODAY()),"This Week",IF(WEEKNUM(DT250)=WEEKNUM(TODAY())+1,"Next Week",IF(WEEKNUM(DT250)=WEEKNUM(TODAY())-1,"Previous Week",""))),"")</f>
        <v/>
      </c>
      <c r="DY250" s="134" t="str">
        <f t="shared" si="439"/>
        <v/>
      </c>
      <c r="DZ250" s="95"/>
      <c r="EB250" s="8" t="str">
        <f t="shared" si="445"/>
        <v/>
      </c>
      <c r="EC250" s="8" t="str">
        <f>IF(O250&lt;&gt;"",VLOOKUP(O250,'Job Master'!$N$12:$O$18,2,0),"")</f>
        <v/>
      </c>
      <c r="ED250" s="8">
        <f t="shared" si="446"/>
        <v>19.5</v>
      </c>
      <c r="EE250" s="8">
        <f t="shared" si="447"/>
        <v>6</v>
      </c>
      <c r="EF250" s="8">
        <f t="shared" si="448"/>
        <v>-1420.5</v>
      </c>
      <c r="EG250" s="8" t="str">
        <f t="shared" si="449"/>
        <v/>
      </c>
      <c r="EH250" s="8" t="str">
        <f t="shared" si="450"/>
        <v/>
      </c>
    </row>
    <row r="251" spans="2:138" x14ac:dyDescent="0.3">
      <c r="B251" s="112"/>
      <c r="C251" s="27"/>
      <c r="D251" s="7" t="str">
        <f t="shared" si="387"/>
        <v/>
      </c>
      <c r="E251" s="25"/>
      <c r="F251" s="7" t="str">
        <f t="shared" si="387"/>
        <v/>
      </c>
      <c r="G251" s="25"/>
      <c r="H251" s="7" t="str">
        <f t="shared" si="387"/>
        <v/>
      </c>
      <c r="I251" s="25"/>
      <c r="J251" s="7" t="str">
        <f t="shared" si="387"/>
        <v/>
      </c>
      <c r="K251" s="25"/>
      <c r="L251" s="7" t="str">
        <f t="shared" si="388"/>
        <v/>
      </c>
      <c r="M251" s="25"/>
      <c r="N251" s="7" t="str">
        <f t="shared" si="389"/>
        <v/>
      </c>
      <c r="O251" s="81"/>
      <c r="P251" s="81" t="str">
        <f t="shared" si="390"/>
        <v/>
      </c>
      <c r="Q251" s="81"/>
      <c r="R251" s="7" t="str">
        <f t="shared" si="391"/>
        <v/>
      </c>
      <c r="S251" s="25"/>
      <c r="T251" s="7" t="str">
        <f t="shared" si="392"/>
        <v/>
      </c>
      <c r="U251" s="25"/>
      <c r="V251" s="7" t="str">
        <f t="shared" si="393"/>
        <v/>
      </c>
      <c r="W251" s="25"/>
      <c r="X251" s="7" t="str">
        <f t="shared" si="394"/>
        <v/>
      </c>
      <c r="Y251" s="18" t="str">
        <f t="shared" si="395"/>
        <v/>
      </c>
      <c r="Z251" s="7" t="str">
        <f t="shared" si="396"/>
        <v/>
      </c>
      <c r="AA251" s="18" t="str">
        <f t="shared" si="397"/>
        <v/>
      </c>
      <c r="AB251" s="19" t="str">
        <f t="shared" si="398"/>
        <v/>
      </c>
      <c r="AC251" s="26"/>
      <c r="AD251" s="26"/>
      <c r="AE251" s="25"/>
      <c r="AF251" s="26"/>
      <c r="AG251" s="25"/>
      <c r="AH251" s="25"/>
      <c r="AI251" s="18" t="str">
        <f t="shared" si="461"/>
        <v/>
      </c>
      <c r="AJ251" s="25"/>
      <c r="AK251" s="18" t="str">
        <f t="shared" si="462"/>
        <v/>
      </c>
      <c r="AL251" s="79"/>
      <c r="AM251" s="126" t="str">
        <f t="shared" si="463"/>
        <v/>
      </c>
      <c r="AN251" s="128" t="str">
        <f>IF(AP251&lt;&gt;"",VLOOKUP($P251&amp;" | "&amp;AN$6,'Job Master'!$F$12:$J$102,5,0),"")</f>
        <v/>
      </c>
      <c r="AO251" s="19" t="str">
        <f>IF(AP251&lt;&gt;"",VLOOKUP($P251&amp;" | "&amp;AN$6,'Job Master'!$F$12:$J$102,3,0),"")</f>
        <v/>
      </c>
      <c r="AP251" s="19" t="str">
        <f>IFERROR(IF(AND(AW251&lt;&gt;"",VLOOKUP($P251&amp;" | "&amp;AN$6,'Job Master'!$F$12:$I$102,4,0)&lt;&gt;""),IF(WEEKDAY(AW251-VLOOKUP($P251&amp;" | "&amp;AN$6,'Job Master'!$F$12:$I$102,4,0))&lt;&gt;7,AW251-VLOOKUP($P251&amp;" | "&amp;AN$6,'Job Master'!$F$12:$I$102,4,0),AW251-VLOOKUP($P251&amp;" | "&amp;AN$6,'Job Master'!$F$12:$I$102,4,0)-1),""),"")</f>
        <v/>
      </c>
      <c r="AQ251" s="73"/>
      <c r="AR251" s="123" t="str">
        <f t="shared" si="399"/>
        <v/>
      </c>
      <c r="AS251" s="123" t="str">
        <f t="shared" si="400"/>
        <v/>
      </c>
      <c r="AT251" s="97" t="str">
        <f t="shared" ca="1" si="401"/>
        <v/>
      </c>
      <c r="AU251" s="98" t="str">
        <f>IF(AW251&lt;&gt;"",VLOOKUP($P251&amp;" | "&amp;AU$6,'Job Master'!$F$12:$J$102,5,0),"")</f>
        <v/>
      </c>
      <c r="AV251" s="19" t="str">
        <f>IF(AW251&lt;&gt;"",VLOOKUP($P251&amp;" | "&amp;AU$6,'Job Master'!$F$12:$J$102,3,0),"")</f>
        <v/>
      </c>
      <c r="AW251" s="19" t="str">
        <f>IFERROR(IF(AND(BD251&lt;&gt;"",VLOOKUP($P251&amp;" | "&amp;AU$6,'Job Master'!$F$12:$I$102,4,0)&lt;&gt;""),IF(WEEKDAY(BD251-VLOOKUP($P251&amp;" | "&amp;AU$6,'Job Master'!$F$12:$I$102,4,0))&lt;&gt;7,BD251-VLOOKUP($P251&amp;" | "&amp;AU$6,'Job Master'!$F$12:$I$102,4,0),BD251-VLOOKUP($P251&amp;" | "&amp;AU$6,'Job Master'!$F$12:$I$102,4,0)-1),""),"")</f>
        <v/>
      </c>
      <c r="AX251" s="73"/>
      <c r="AY251" s="123" t="str">
        <f t="shared" si="402"/>
        <v/>
      </c>
      <c r="AZ251" s="123" t="str">
        <f t="shared" si="403"/>
        <v/>
      </c>
      <c r="BA251" s="97" t="str">
        <f t="shared" ca="1" si="404"/>
        <v/>
      </c>
      <c r="BB251" s="98" t="str">
        <f>IF(BD251&lt;&gt;"",VLOOKUP($P251&amp;" | "&amp;BB$6,'Job Master'!$F$12:$J$102,5,0),"")</f>
        <v/>
      </c>
      <c r="BC251" s="19" t="str">
        <f>IF(BD251&lt;&gt;"",VLOOKUP($P251&amp;" | "&amp;BB$6,'Job Master'!$F$12:$J$102,3,0),"")</f>
        <v/>
      </c>
      <c r="BD251" s="19" t="str">
        <f>IFERROR(IF(AND(BK251&lt;&gt;"",VLOOKUP($P251&amp;" | "&amp;BB$6,'Job Master'!$F$12:$I$102,4,0)&lt;&gt;""),IF(WEEKDAY(BK251-VLOOKUP($P251&amp;" | "&amp;BB$6,'Job Master'!$F$12:$I$102,4,0))&lt;&gt;7,BK251-VLOOKUP($P251&amp;" | "&amp;BB$6,'Job Master'!$F$12:$I$102,4,0),BK251-VLOOKUP($P251&amp;" | "&amp;BB$6,'Job Master'!$F$12:$I$102,4,0)-1),""),"")</f>
        <v/>
      </c>
      <c r="BE251" s="73"/>
      <c r="BF251" s="123" t="str">
        <f t="shared" si="405"/>
        <v/>
      </c>
      <c r="BG251" s="123" t="str">
        <f t="shared" si="406"/>
        <v/>
      </c>
      <c r="BH251" s="97" t="str">
        <f t="shared" ca="1" si="407"/>
        <v/>
      </c>
      <c r="BI251" s="98" t="str">
        <f>IF(BK251&lt;&gt;"",VLOOKUP($P251&amp;" | "&amp;BI$6,'Job Master'!$F$12:$J$102,5,0),"")</f>
        <v/>
      </c>
      <c r="BJ251" s="19" t="str">
        <f>IF(BK251&lt;&gt;"",VLOOKUP($P251&amp;" | "&amp;BI$6,'Job Master'!$F$12:$J$102,3,0),"")</f>
        <v/>
      </c>
      <c r="BK251" s="19" t="str">
        <f>IFERROR(IF(AND(BR251&lt;&gt;"",VLOOKUP($P251&amp;" | "&amp;BI$6,'Job Master'!$F$12:$I$102,4,0)&lt;&gt;""),IF(WEEKDAY(BR251-VLOOKUP($P251&amp;" | "&amp;BI$6,'Job Master'!$F$12:$I$102,4,0))&lt;&gt;7,BR251-VLOOKUP($P251&amp;" | "&amp;BI$6,'Job Master'!$F$12:$I$102,4,0),BR251-VLOOKUP($P251&amp;" | "&amp;BI$6,'Job Master'!$F$12:$I$102,4,0)-1),""),"")</f>
        <v/>
      </c>
      <c r="BL251" s="73"/>
      <c r="BM251" s="123" t="str">
        <f t="shared" si="408"/>
        <v/>
      </c>
      <c r="BN251" s="123" t="str">
        <f t="shared" si="409"/>
        <v/>
      </c>
      <c r="BO251" s="97" t="str">
        <f t="shared" ca="1" si="410"/>
        <v/>
      </c>
      <c r="BP251" s="98" t="str">
        <f>IF(BR251&lt;&gt;"",VLOOKUP($P251&amp;" | "&amp;BP$6,'Job Master'!$F$12:$J$102,5,0),"")</f>
        <v/>
      </c>
      <c r="BQ251" s="19" t="str">
        <f>IF(BR251&lt;&gt;"",VLOOKUP($P251&amp;" | "&amp;BP$6,'Job Master'!$F$12:$J$102,3,0),"")</f>
        <v/>
      </c>
      <c r="BR251" s="19" t="str">
        <f>IFERROR(IF(AND(BY251&lt;&gt;"",VLOOKUP($P251&amp;" | "&amp;BP$6,'Job Master'!$F$12:$I$102,4,0)&lt;&gt;""),IF(WEEKDAY(BY251-VLOOKUP($P251&amp;" | "&amp;BP$6,'Job Master'!$F$12:$I$102,4,0))&lt;&gt;7,BY251-VLOOKUP($P251&amp;" | "&amp;BP$6,'Job Master'!$F$12:$I$102,4,0),BY251-VLOOKUP($P251&amp;" | "&amp;BP$6,'Job Master'!$F$12:$I$102,4,0)-1),""),"")</f>
        <v/>
      </c>
      <c r="BS251" s="73"/>
      <c r="BT251" s="123" t="str">
        <f t="shared" si="411"/>
        <v/>
      </c>
      <c r="BU251" s="123" t="str">
        <f t="shared" si="412"/>
        <v/>
      </c>
      <c r="BV251" s="97" t="str">
        <f t="shared" ca="1" si="413"/>
        <v/>
      </c>
      <c r="BW251" s="98" t="str">
        <f>IF(BY251&lt;&gt;"",VLOOKUP($P251&amp;" | "&amp;BW$6,'Job Master'!$F$12:$J$102,5,0),"")</f>
        <v/>
      </c>
      <c r="BX251" s="19" t="str">
        <f>IF(BY251&lt;&gt;"",VLOOKUP($P251&amp;" | "&amp;BW$6,'Job Master'!$F$12:$J$102,3,0),"")</f>
        <v/>
      </c>
      <c r="BY251" s="19" t="str">
        <f>IFERROR(IF(AND(CF251&lt;&gt;"",VLOOKUP($P251&amp;" | "&amp;BW$6,'Job Master'!$F$12:$I$102,4,0)&lt;&gt;""),IF(WEEKDAY(CF251-VLOOKUP($P251&amp;" | "&amp;BW$6,'Job Master'!$F$12:$I$102,4,0))&lt;&gt;7,CF251-VLOOKUP($P251&amp;" | "&amp;BW$6,'Job Master'!$F$12:$I$102,4,0),CF251-VLOOKUP($P251&amp;" | "&amp;BW$6,'Job Master'!$F$12:$I$102,4,0)-1),""),"")</f>
        <v/>
      </c>
      <c r="BZ251" s="73"/>
      <c r="CA251" s="123" t="str">
        <f t="shared" si="414"/>
        <v/>
      </c>
      <c r="CB251" s="123" t="str">
        <f t="shared" si="415"/>
        <v/>
      </c>
      <c r="CC251" s="97" t="str">
        <f t="shared" ca="1" si="416"/>
        <v/>
      </c>
      <c r="CD251" s="98" t="str">
        <f>IF(CF251&lt;&gt;"",VLOOKUP($P251&amp;" | "&amp;CD$6,'Job Master'!$F$12:$J$102,5,0),"")</f>
        <v/>
      </c>
      <c r="CE251" s="19" t="str">
        <f>IF(CF251&lt;&gt;"",VLOOKUP($P251&amp;" | "&amp;CD$6,'Job Master'!$F$12:$J$102,3,0),"")</f>
        <v/>
      </c>
      <c r="CF251" s="19" t="str">
        <f>IFERROR(IF(AND(CM251&lt;&gt;"",VLOOKUP($P251&amp;" | "&amp;CD$6,'Job Master'!$F$12:$I$102,4,0)&lt;&gt;""),IF(WEEKDAY(CM251-VLOOKUP($P251&amp;" | "&amp;CD$6,'Job Master'!$F$12:$I$102,4,0))&lt;&gt;7,CM251-VLOOKUP($P251&amp;" | "&amp;CD$6,'Job Master'!$F$12:$I$102,4,0),CM251-VLOOKUP($P251&amp;" | "&amp;CD$6,'Job Master'!$F$12:$I$102,4,0)-1),""),"")</f>
        <v/>
      </c>
      <c r="CG251" s="73"/>
      <c r="CH251" s="123" t="str">
        <f t="shared" si="417"/>
        <v/>
      </c>
      <c r="CI251" s="123" t="str">
        <f t="shared" si="418"/>
        <v/>
      </c>
      <c r="CJ251" s="97" t="str">
        <f t="shared" ca="1" si="419"/>
        <v/>
      </c>
      <c r="CK251" s="98" t="str">
        <f>IF(CM251&lt;&gt;"",VLOOKUP($P251&amp;" | "&amp;CK$6,'Job Master'!$F$12:$J$102,5,0),"")</f>
        <v/>
      </c>
      <c r="CL251" s="19" t="str">
        <f>IF(CM251&lt;&gt;"",VLOOKUP($P251&amp;" | "&amp;CK$6,'Job Master'!$F$12:$J$102,3,0),"")</f>
        <v/>
      </c>
      <c r="CM251" s="19" t="str">
        <f>IFERROR(IF(AND(CT251&lt;&gt;"",VLOOKUP($P251&amp;" | "&amp;CK$6,'Job Master'!$F$12:$I$102,4,0)&lt;&gt;""),IF(WEEKDAY(CT251-VLOOKUP($P251&amp;" | "&amp;CK$6,'Job Master'!$F$12:$I$102,4,0))&lt;&gt;7,CT251-VLOOKUP($P251&amp;" | "&amp;CK$6,'Job Master'!$F$12:$I$102,4,0),CT251-VLOOKUP($P251&amp;" | "&amp;CK$6,'Job Master'!$F$12:$I$102,4,0)-1),""),"")</f>
        <v/>
      </c>
      <c r="CN251" s="73"/>
      <c r="CO251" s="123" t="str">
        <f t="shared" si="420"/>
        <v/>
      </c>
      <c r="CP251" s="123" t="str">
        <f t="shared" si="421"/>
        <v/>
      </c>
      <c r="CQ251" s="97" t="str">
        <f t="shared" ca="1" si="422"/>
        <v/>
      </c>
      <c r="CR251" s="98" t="str">
        <f>IF(CT251&lt;&gt;"",VLOOKUP($P251&amp;" | "&amp;CR$6,'Job Master'!$F$12:$J$102,5,0),"")</f>
        <v/>
      </c>
      <c r="CS251" s="19" t="str">
        <f>IF(CT251&lt;&gt;"",VLOOKUP($P251&amp;" | "&amp;CR$6,'Job Master'!$F$12:$J$102,3,0),"")</f>
        <v/>
      </c>
      <c r="CT251" s="19" t="str">
        <f>IFERROR(IF(AND(DA251&lt;&gt;"",VLOOKUP($P251&amp;" | "&amp;CR$6,'Job Master'!$F$12:$I$102,4,0)&lt;&gt;""),IF(WEEKDAY(DA251-VLOOKUP($P251&amp;" | "&amp;CR$6,'Job Master'!$F$12:$I$102,4,0))&lt;&gt;7,DA251-VLOOKUP($P251&amp;" | "&amp;CR$6,'Job Master'!$F$12:$I$102,4,0),DA251-VLOOKUP($P251&amp;" | "&amp;CR$6,'Job Master'!$F$12:$I$102,4,0)-1),""),"")</f>
        <v/>
      </c>
      <c r="CU251" s="73"/>
      <c r="CV251" s="123" t="str">
        <f t="shared" si="423"/>
        <v/>
      </c>
      <c r="CW251" s="123" t="str">
        <f t="shared" si="424"/>
        <v/>
      </c>
      <c r="CX251" s="97" t="str">
        <f t="shared" ca="1" si="425"/>
        <v/>
      </c>
      <c r="CY251" s="98" t="str">
        <f>IF(DA251&lt;&gt;"",VLOOKUP($P251&amp;" | "&amp;CY$6,'Job Master'!$F$12:$J$102,5,0),"")</f>
        <v/>
      </c>
      <c r="CZ251" s="19" t="str">
        <f>IF(DA251&lt;&gt;"",VLOOKUP($P251&amp;" | "&amp;CY$6,'Job Master'!$F$12:$J$102,3,0),"")</f>
        <v/>
      </c>
      <c r="DA251" s="19" t="str">
        <f>IFERROR(IF(AND(DH251&lt;&gt;"",VLOOKUP($P251&amp;" | "&amp;CY$6,'Job Master'!$F$12:$I$102,4,0)&lt;&gt;""),IF(WEEKDAY(DH251-VLOOKUP($P251&amp;" | "&amp;CY$6,'Job Master'!$F$12:$I$102,4,0))&lt;&gt;7,DH251-VLOOKUP($P251&amp;" | "&amp;CY$6,'Job Master'!$F$12:$I$102,4,0),DH251-VLOOKUP($P251&amp;" | "&amp;CY$6,'Job Master'!$F$12:$I$102,4,0)-1),""),"")</f>
        <v/>
      </c>
      <c r="DB251" s="73"/>
      <c r="DC251" s="123" t="str">
        <f t="shared" si="426"/>
        <v/>
      </c>
      <c r="DD251" s="123" t="str">
        <f t="shared" si="427"/>
        <v/>
      </c>
      <c r="DE251" s="97" t="str">
        <f t="shared" ca="1" si="428"/>
        <v/>
      </c>
      <c r="DF251" s="98" t="str">
        <f>IF(DH251&lt;&gt;"",VLOOKUP($P251&amp;" | "&amp;DF$6,'Job Master'!$F$12:$J$102,5,0),"")</f>
        <v/>
      </c>
      <c r="DG251" s="19" t="str">
        <f>IF(DH251&lt;&gt;"",VLOOKUP($P251&amp;" | "&amp;DF$6,'Job Master'!$F$12:$J$102,3,0),"")</f>
        <v/>
      </c>
      <c r="DH251" s="19" t="str">
        <f>IFERROR(IF(AND(DO251&lt;&gt;"",VLOOKUP($P251&amp;" | "&amp;DF$6,'Job Master'!$F$12:$I$102,4,0)&lt;&gt;""),IF(WEEKDAY(DO251-VLOOKUP($P251&amp;" | "&amp;DF$6,'Job Master'!$F$12:$I$102,4,0))&lt;&gt;7,DO251-VLOOKUP($P251&amp;" | "&amp;DF$6,'Job Master'!$F$12:$I$102,4,0),DO251-VLOOKUP($P251&amp;" | "&amp;DF$6,'Job Master'!$F$12:$I$102,4,0)-1),""),"")</f>
        <v/>
      </c>
      <c r="DI251" s="73"/>
      <c r="DJ251" s="123" t="str">
        <f t="shared" si="429"/>
        <v/>
      </c>
      <c r="DK251" s="123" t="str">
        <f t="shared" si="430"/>
        <v/>
      </c>
      <c r="DL251" s="97" t="str">
        <f t="shared" ca="1" si="431"/>
        <v/>
      </c>
      <c r="DM251" s="98" t="str">
        <f>IF(DO251&lt;&gt;"",VLOOKUP($P251&amp;" | "&amp;DM$6,'Job Master'!$F$12:$J$102,5,0),"")</f>
        <v/>
      </c>
      <c r="DN251" s="19" t="str">
        <f>IF(DO251&lt;&gt;"",VLOOKUP($P251&amp;" | "&amp;DM$6,'Job Master'!$F$12:$J$102,3,0),"")</f>
        <v/>
      </c>
      <c r="DO251" s="19" t="str">
        <f>IFERROR(IF(AND(DT251&lt;&gt;"",VLOOKUP($P251&amp;" | "&amp;DM$6,'Job Master'!$F$12:$I$102,4,0)&lt;&gt;""),IF(WEEKDAY(DT251-VLOOKUP($P251&amp;" | "&amp;DM$6,'Job Master'!$F$12:$I$102,4,0))&lt;&gt;7,DT251-VLOOKUP($P251&amp;" | "&amp;DM$6,'Job Master'!$F$12:$I$102,4,0),DT251-VLOOKUP($P251&amp;" | "&amp;DM$6,'Job Master'!$F$12:$I$102,4,0)-1),""),"")</f>
        <v/>
      </c>
      <c r="DP251" s="73"/>
      <c r="DQ251" s="123" t="str">
        <f t="shared" si="432"/>
        <v/>
      </c>
      <c r="DR251" s="123" t="str">
        <f t="shared" si="433"/>
        <v/>
      </c>
      <c r="DS251" s="97" t="str">
        <f t="shared" ca="1" si="434"/>
        <v/>
      </c>
      <c r="DT251" s="70" t="str">
        <f t="shared" si="435"/>
        <v/>
      </c>
      <c r="DU251" s="90"/>
      <c r="DV251" s="123" t="str">
        <f t="shared" si="436"/>
        <v/>
      </c>
      <c r="DW251" s="123" t="str">
        <f t="shared" si="437"/>
        <v/>
      </c>
      <c r="DX251" s="132" t="str">
        <f t="shared" ref="DX251" ca="1" si="498">IF(DT251&lt;&gt;"",IF(WEEKNUM(DT251)=WEEKNUM(TODAY()),"This Week",IF(WEEKNUM(DT251)=WEEKNUM(TODAY())+1,"Next Week",IF(WEEKNUM(DT251)=WEEKNUM(TODAY())-1,"Previous Week",""))),"")</f>
        <v/>
      </c>
      <c r="DY251" s="134" t="str">
        <f t="shared" si="439"/>
        <v/>
      </c>
      <c r="DZ251" s="95"/>
      <c r="EB251" s="8" t="str">
        <f t="shared" si="445"/>
        <v/>
      </c>
      <c r="EC251" s="8" t="str">
        <f>IF(O251&lt;&gt;"",VLOOKUP(O251,'Job Master'!$N$12:$O$18,2,0),"")</f>
        <v/>
      </c>
      <c r="ED251" s="8">
        <f t="shared" si="446"/>
        <v>19.5</v>
      </c>
      <c r="EE251" s="8">
        <f t="shared" si="447"/>
        <v>6</v>
      </c>
      <c r="EF251" s="8">
        <f t="shared" si="448"/>
        <v>-1426.5</v>
      </c>
      <c r="EG251" s="8" t="str">
        <f t="shared" si="449"/>
        <v/>
      </c>
      <c r="EH251" s="8" t="str">
        <f t="shared" si="450"/>
        <v/>
      </c>
    </row>
    <row r="252" spans="2:138" x14ac:dyDescent="0.3">
      <c r="B252" s="112"/>
      <c r="C252" s="27"/>
      <c r="D252" s="7" t="str">
        <f t="shared" si="387"/>
        <v/>
      </c>
      <c r="E252" s="25"/>
      <c r="F252" s="7" t="str">
        <f t="shared" si="387"/>
        <v/>
      </c>
      <c r="G252" s="25"/>
      <c r="H252" s="7" t="str">
        <f t="shared" si="387"/>
        <v/>
      </c>
      <c r="I252" s="25"/>
      <c r="J252" s="7" t="str">
        <f t="shared" si="387"/>
        <v/>
      </c>
      <c r="K252" s="25"/>
      <c r="L252" s="7" t="str">
        <f t="shared" si="388"/>
        <v/>
      </c>
      <c r="M252" s="25"/>
      <c r="N252" s="7" t="str">
        <f t="shared" si="389"/>
        <v/>
      </c>
      <c r="O252" s="81"/>
      <c r="P252" s="81" t="str">
        <f t="shared" si="390"/>
        <v/>
      </c>
      <c r="Q252" s="81"/>
      <c r="R252" s="7" t="str">
        <f t="shared" si="391"/>
        <v/>
      </c>
      <c r="S252" s="25"/>
      <c r="T252" s="7" t="str">
        <f t="shared" si="392"/>
        <v/>
      </c>
      <c r="U252" s="25"/>
      <c r="V252" s="7" t="str">
        <f t="shared" si="393"/>
        <v/>
      </c>
      <c r="W252" s="25"/>
      <c r="X252" s="7" t="str">
        <f t="shared" si="394"/>
        <v/>
      </c>
      <c r="Y252" s="18" t="str">
        <f t="shared" si="395"/>
        <v/>
      </c>
      <c r="Z252" s="7" t="str">
        <f t="shared" si="396"/>
        <v/>
      </c>
      <c r="AA252" s="18" t="str">
        <f t="shared" si="397"/>
        <v/>
      </c>
      <c r="AB252" s="19" t="str">
        <f t="shared" si="398"/>
        <v/>
      </c>
      <c r="AC252" s="26"/>
      <c r="AD252" s="26"/>
      <c r="AE252" s="25"/>
      <c r="AF252" s="26"/>
      <c r="AG252" s="25"/>
      <c r="AH252" s="25"/>
      <c r="AI252" s="18" t="str">
        <f t="shared" si="461"/>
        <v/>
      </c>
      <c r="AJ252" s="25"/>
      <c r="AK252" s="18" t="str">
        <f t="shared" si="462"/>
        <v/>
      </c>
      <c r="AL252" s="79"/>
      <c r="AM252" s="126" t="str">
        <f t="shared" si="463"/>
        <v/>
      </c>
      <c r="AN252" s="128" t="str">
        <f>IF(AP252&lt;&gt;"",VLOOKUP($P252&amp;" | "&amp;AN$6,'Job Master'!$F$12:$J$102,5,0),"")</f>
        <v/>
      </c>
      <c r="AO252" s="19" t="str">
        <f>IF(AP252&lt;&gt;"",VLOOKUP($P252&amp;" | "&amp;AN$6,'Job Master'!$F$12:$J$102,3,0),"")</f>
        <v/>
      </c>
      <c r="AP252" s="19" t="str">
        <f>IFERROR(IF(AND(AW252&lt;&gt;"",VLOOKUP($P252&amp;" | "&amp;AN$6,'Job Master'!$F$12:$I$102,4,0)&lt;&gt;""),IF(WEEKDAY(AW252-VLOOKUP($P252&amp;" | "&amp;AN$6,'Job Master'!$F$12:$I$102,4,0))&lt;&gt;7,AW252-VLOOKUP($P252&amp;" | "&amp;AN$6,'Job Master'!$F$12:$I$102,4,0),AW252-VLOOKUP($P252&amp;" | "&amp;AN$6,'Job Master'!$F$12:$I$102,4,0)-1),""),"")</f>
        <v/>
      </c>
      <c r="AQ252" s="73"/>
      <c r="AR252" s="123" t="str">
        <f t="shared" si="399"/>
        <v/>
      </c>
      <c r="AS252" s="123" t="str">
        <f t="shared" si="400"/>
        <v/>
      </c>
      <c r="AT252" s="97" t="str">
        <f t="shared" ca="1" si="401"/>
        <v/>
      </c>
      <c r="AU252" s="98" t="str">
        <f>IF(AW252&lt;&gt;"",VLOOKUP($P252&amp;" | "&amp;AU$6,'Job Master'!$F$12:$J$102,5,0),"")</f>
        <v/>
      </c>
      <c r="AV252" s="19" t="str">
        <f>IF(AW252&lt;&gt;"",VLOOKUP($P252&amp;" | "&amp;AU$6,'Job Master'!$F$12:$J$102,3,0),"")</f>
        <v/>
      </c>
      <c r="AW252" s="19" t="str">
        <f>IFERROR(IF(AND(BD252&lt;&gt;"",VLOOKUP($P252&amp;" | "&amp;AU$6,'Job Master'!$F$12:$I$102,4,0)&lt;&gt;""),IF(WEEKDAY(BD252-VLOOKUP($P252&amp;" | "&amp;AU$6,'Job Master'!$F$12:$I$102,4,0))&lt;&gt;7,BD252-VLOOKUP($P252&amp;" | "&amp;AU$6,'Job Master'!$F$12:$I$102,4,0),BD252-VLOOKUP($P252&amp;" | "&amp;AU$6,'Job Master'!$F$12:$I$102,4,0)-1),""),"")</f>
        <v/>
      </c>
      <c r="AX252" s="73"/>
      <c r="AY252" s="123" t="str">
        <f t="shared" si="402"/>
        <v/>
      </c>
      <c r="AZ252" s="123" t="str">
        <f t="shared" si="403"/>
        <v/>
      </c>
      <c r="BA252" s="97" t="str">
        <f t="shared" ca="1" si="404"/>
        <v/>
      </c>
      <c r="BB252" s="98" t="str">
        <f>IF(BD252&lt;&gt;"",VLOOKUP($P252&amp;" | "&amp;BB$6,'Job Master'!$F$12:$J$102,5,0),"")</f>
        <v/>
      </c>
      <c r="BC252" s="19" t="str">
        <f>IF(BD252&lt;&gt;"",VLOOKUP($P252&amp;" | "&amp;BB$6,'Job Master'!$F$12:$J$102,3,0),"")</f>
        <v/>
      </c>
      <c r="BD252" s="19" t="str">
        <f>IFERROR(IF(AND(BK252&lt;&gt;"",VLOOKUP($P252&amp;" | "&amp;BB$6,'Job Master'!$F$12:$I$102,4,0)&lt;&gt;""),IF(WEEKDAY(BK252-VLOOKUP($P252&amp;" | "&amp;BB$6,'Job Master'!$F$12:$I$102,4,0))&lt;&gt;7,BK252-VLOOKUP($P252&amp;" | "&amp;BB$6,'Job Master'!$F$12:$I$102,4,0),BK252-VLOOKUP($P252&amp;" | "&amp;BB$6,'Job Master'!$F$12:$I$102,4,0)-1),""),"")</f>
        <v/>
      </c>
      <c r="BE252" s="73"/>
      <c r="BF252" s="123" t="str">
        <f t="shared" si="405"/>
        <v/>
      </c>
      <c r="BG252" s="123" t="str">
        <f t="shared" si="406"/>
        <v/>
      </c>
      <c r="BH252" s="97" t="str">
        <f t="shared" ca="1" si="407"/>
        <v/>
      </c>
      <c r="BI252" s="98" t="str">
        <f>IF(BK252&lt;&gt;"",VLOOKUP($P252&amp;" | "&amp;BI$6,'Job Master'!$F$12:$J$102,5,0),"")</f>
        <v/>
      </c>
      <c r="BJ252" s="19" t="str">
        <f>IF(BK252&lt;&gt;"",VLOOKUP($P252&amp;" | "&amp;BI$6,'Job Master'!$F$12:$J$102,3,0),"")</f>
        <v/>
      </c>
      <c r="BK252" s="19" t="str">
        <f>IFERROR(IF(AND(BR252&lt;&gt;"",VLOOKUP($P252&amp;" | "&amp;BI$6,'Job Master'!$F$12:$I$102,4,0)&lt;&gt;""),IF(WEEKDAY(BR252-VLOOKUP($P252&amp;" | "&amp;BI$6,'Job Master'!$F$12:$I$102,4,0))&lt;&gt;7,BR252-VLOOKUP($P252&amp;" | "&amp;BI$6,'Job Master'!$F$12:$I$102,4,0),BR252-VLOOKUP($P252&amp;" | "&amp;BI$6,'Job Master'!$F$12:$I$102,4,0)-1),""),"")</f>
        <v/>
      </c>
      <c r="BL252" s="73"/>
      <c r="BM252" s="123" t="str">
        <f t="shared" si="408"/>
        <v/>
      </c>
      <c r="BN252" s="123" t="str">
        <f t="shared" si="409"/>
        <v/>
      </c>
      <c r="BO252" s="97" t="str">
        <f t="shared" ca="1" si="410"/>
        <v/>
      </c>
      <c r="BP252" s="98" t="str">
        <f>IF(BR252&lt;&gt;"",VLOOKUP($P252&amp;" | "&amp;BP$6,'Job Master'!$F$12:$J$102,5,0),"")</f>
        <v/>
      </c>
      <c r="BQ252" s="19" t="str">
        <f>IF(BR252&lt;&gt;"",VLOOKUP($P252&amp;" | "&amp;BP$6,'Job Master'!$F$12:$J$102,3,0),"")</f>
        <v/>
      </c>
      <c r="BR252" s="19" t="str">
        <f>IFERROR(IF(AND(BY252&lt;&gt;"",VLOOKUP($P252&amp;" | "&amp;BP$6,'Job Master'!$F$12:$I$102,4,0)&lt;&gt;""),IF(WEEKDAY(BY252-VLOOKUP($P252&amp;" | "&amp;BP$6,'Job Master'!$F$12:$I$102,4,0))&lt;&gt;7,BY252-VLOOKUP($P252&amp;" | "&amp;BP$6,'Job Master'!$F$12:$I$102,4,0),BY252-VLOOKUP($P252&amp;" | "&amp;BP$6,'Job Master'!$F$12:$I$102,4,0)-1),""),"")</f>
        <v/>
      </c>
      <c r="BS252" s="73"/>
      <c r="BT252" s="123" t="str">
        <f t="shared" si="411"/>
        <v/>
      </c>
      <c r="BU252" s="123" t="str">
        <f t="shared" si="412"/>
        <v/>
      </c>
      <c r="BV252" s="97" t="str">
        <f t="shared" ca="1" si="413"/>
        <v/>
      </c>
      <c r="BW252" s="98" t="str">
        <f>IF(BY252&lt;&gt;"",VLOOKUP($P252&amp;" | "&amp;BW$6,'Job Master'!$F$12:$J$102,5,0),"")</f>
        <v/>
      </c>
      <c r="BX252" s="19" t="str">
        <f>IF(BY252&lt;&gt;"",VLOOKUP($P252&amp;" | "&amp;BW$6,'Job Master'!$F$12:$J$102,3,0),"")</f>
        <v/>
      </c>
      <c r="BY252" s="19" t="str">
        <f>IFERROR(IF(AND(CF252&lt;&gt;"",VLOOKUP($P252&amp;" | "&amp;BW$6,'Job Master'!$F$12:$I$102,4,0)&lt;&gt;""),IF(WEEKDAY(CF252-VLOOKUP($P252&amp;" | "&amp;BW$6,'Job Master'!$F$12:$I$102,4,0))&lt;&gt;7,CF252-VLOOKUP($P252&amp;" | "&amp;BW$6,'Job Master'!$F$12:$I$102,4,0),CF252-VLOOKUP($P252&amp;" | "&amp;BW$6,'Job Master'!$F$12:$I$102,4,0)-1),""),"")</f>
        <v/>
      </c>
      <c r="BZ252" s="73"/>
      <c r="CA252" s="123" t="str">
        <f t="shared" si="414"/>
        <v/>
      </c>
      <c r="CB252" s="123" t="str">
        <f t="shared" si="415"/>
        <v/>
      </c>
      <c r="CC252" s="97" t="str">
        <f t="shared" ca="1" si="416"/>
        <v/>
      </c>
      <c r="CD252" s="98" t="str">
        <f>IF(CF252&lt;&gt;"",VLOOKUP($P252&amp;" | "&amp;CD$6,'Job Master'!$F$12:$J$102,5,0),"")</f>
        <v/>
      </c>
      <c r="CE252" s="19" t="str">
        <f>IF(CF252&lt;&gt;"",VLOOKUP($P252&amp;" | "&amp;CD$6,'Job Master'!$F$12:$J$102,3,0),"")</f>
        <v/>
      </c>
      <c r="CF252" s="19" t="str">
        <f>IFERROR(IF(AND(CM252&lt;&gt;"",VLOOKUP($P252&amp;" | "&amp;CD$6,'Job Master'!$F$12:$I$102,4,0)&lt;&gt;""),IF(WEEKDAY(CM252-VLOOKUP($P252&amp;" | "&amp;CD$6,'Job Master'!$F$12:$I$102,4,0))&lt;&gt;7,CM252-VLOOKUP($P252&amp;" | "&amp;CD$6,'Job Master'!$F$12:$I$102,4,0),CM252-VLOOKUP($P252&amp;" | "&amp;CD$6,'Job Master'!$F$12:$I$102,4,0)-1),""),"")</f>
        <v/>
      </c>
      <c r="CG252" s="73"/>
      <c r="CH252" s="123" t="str">
        <f t="shared" si="417"/>
        <v/>
      </c>
      <c r="CI252" s="123" t="str">
        <f t="shared" si="418"/>
        <v/>
      </c>
      <c r="CJ252" s="97" t="str">
        <f t="shared" ca="1" si="419"/>
        <v/>
      </c>
      <c r="CK252" s="98" t="str">
        <f>IF(CM252&lt;&gt;"",VLOOKUP($P252&amp;" | "&amp;CK$6,'Job Master'!$F$12:$J$102,5,0),"")</f>
        <v/>
      </c>
      <c r="CL252" s="19" t="str">
        <f>IF(CM252&lt;&gt;"",VLOOKUP($P252&amp;" | "&amp;CK$6,'Job Master'!$F$12:$J$102,3,0),"")</f>
        <v/>
      </c>
      <c r="CM252" s="19" t="str">
        <f>IFERROR(IF(AND(CT252&lt;&gt;"",VLOOKUP($P252&amp;" | "&amp;CK$6,'Job Master'!$F$12:$I$102,4,0)&lt;&gt;""),IF(WEEKDAY(CT252-VLOOKUP($P252&amp;" | "&amp;CK$6,'Job Master'!$F$12:$I$102,4,0))&lt;&gt;7,CT252-VLOOKUP($P252&amp;" | "&amp;CK$6,'Job Master'!$F$12:$I$102,4,0),CT252-VLOOKUP($P252&amp;" | "&amp;CK$6,'Job Master'!$F$12:$I$102,4,0)-1),""),"")</f>
        <v/>
      </c>
      <c r="CN252" s="73"/>
      <c r="CO252" s="123" t="str">
        <f t="shared" si="420"/>
        <v/>
      </c>
      <c r="CP252" s="123" t="str">
        <f t="shared" si="421"/>
        <v/>
      </c>
      <c r="CQ252" s="97" t="str">
        <f t="shared" ca="1" si="422"/>
        <v/>
      </c>
      <c r="CR252" s="98" t="str">
        <f>IF(CT252&lt;&gt;"",VLOOKUP($P252&amp;" | "&amp;CR$6,'Job Master'!$F$12:$J$102,5,0),"")</f>
        <v/>
      </c>
      <c r="CS252" s="19" t="str">
        <f>IF(CT252&lt;&gt;"",VLOOKUP($P252&amp;" | "&amp;CR$6,'Job Master'!$F$12:$J$102,3,0),"")</f>
        <v/>
      </c>
      <c r="CT252" s="19" t="str">
        <f>IFERROR(IF(AND(DA252&lt;&gt;"",VLOOKUP($P252&amp;" | "&amp;CR$6,'Job Master'!$F$12:$I$102,4,0)&lt;&gt;""),IF(WEEKDAY(DA252-VLOOKUP($P252&amp;" | "&amp;CR$6,'Job Master'!$F$12:$I$102,4,0))&lt;&gt;7,DA252-VLOOKUP($P252&amp;" | "&amp;CR$6,'Job Master'!$F$12:$I$102,4,0),DA252-VLOOKUP($P252&amp;" | "&amp;CR$6,'Job Master'!$F$12:$I$102,4,0)-1),""),"")</f>
        <v/>
      </c>
      <c r="CU252" s="73"/>
      <c r="CV252" s="123" t="str">
        <f t="shared" si="423"/>
        <v/>
      </c>
      <c r="CW252" s="123" t="str">
        <f t="shared" si="424"/>
        <v/>
      </c>
      <c r="CX252" s="97" t="str">
        <f t="shared" ca="1" si="425"/>
        <v/>
      </c>
      <c r="CY252" s="98" t="str">
        <f>IF(DA252&lt;&gt;"",VLOOKUP($P252&amp;" | "&amp;CY$6,'Job Master'!$F$12:$J$102,5,0),"")</f>
        <v/>
      </c>
      <c r="CZ252" s="19" t="str">
        <f>IF(DA252&lt;&gt;"",VLOOKUP($P252&amp;" | "&amp;CY$6,'Job Master'!$F$12:$J$102,3,0),"")</f>
        <v/>
      </c>
      <c r="DA252" s="19" t="str">
        <f>IFERROR(IF(AND(DH252&lt;&gt;"",VLOOKUP($P252&amp;" | "&amp;CY$6,'Job Master'!$F$12:$I$102,4,0)&lt;&gt;""),IF(WEEKDAY(DH252-VLOOKUP($P252&amp;" | "&amp;CY$6,'Job Master'!$F$12:$I$102,4,0))&lt;&gt;7,DH252-VLOOKUP($P252&amp;" | "&amp;CY$6,'Job Master'!$F$12:$I$102,4,0),DH252-VLOOKUP($P252&amp;" | "&amp;CY$6,'Job Master'!$F$12:$I$102,4,0)-1),""),"")</f>
        <v/>
      </c>
      <c r="DB252" s="73"/>
      <c r="DC252" s="123" t="str">
        <f t="shared" si="426"/>
        <v/>
      </c>
      <c r="DD252" s="123" t="str">
        <f t="shared" si="427"/>
        <v/>
      </c>
      <c r="DE252" s="97" t="str">
        <f t="shared" ca="1" si="428"/>
        <v/>
      </c>
      <c r="DF252" s="98" t="str">
        <f>IF(DH252&lt;&gt;"",VLOOKUP($P252&amp;" | "&amp;DF$6,'Job Master'!$F$12:$J$102,5,0),"")</f>
        <v/>
      </c>
      <c r="DG252" s="19" t="str">
        <f>IF(DH252&lt;&gt;"",VLOOKUP($P252&amp;" | "&amp;DF$6,'Job Master'!$F$12:$J$102,3,0),"")</f>
        <v/>
      </c>
      <c r="DH252" s="19" t="str">
        <f>IFERROR(IF(AND(DO252&lt;&gt;"",VLOOKUP($P252&amp;" | "&amp;DF$6,'Job Master'!$F$12:$I$102,4,0)&lt;&gt;""),IF(WEEKDAY(DO252-VLOOKUP($P252&amp;" | "&amp;DF$6,'Job Master'!$F$12:$I$102,4,0))&lt;&gt;7,DO252-VLOOKUP($P252&amp;" | "&amp;DF$6,'Job Master'!$F$12:$I$102,4,0),DO252-VLOOKUP($P252&amp;" | "&amp;DF$6,'Job Master'!$F$12:$I$102,4,0)-1),""),"")</f>
        <v/>
      </c>
      <c r="DI252" s="73"/>
      <c r="DJ252" s="123" t="str">
        <f t="shared" si="429"/>
        <v/>
      </c>
      <c r="DK252" s="123" t="str">
        <f t="shared" si="430"/>
        <v/>
      </c>
      <c r="DL252" s="97" t="str">
        <f t="shared" ca="1" si="431"/>
        <v/>
      </c>
      <c r="DM252" s="98" t="str">
        <f>IF(DO252&lt;&gt;"",VLOOKUP($P252&amp;" | "&amp;DM$6,'Job Master'!$F$12:$J$102,5,0),"")</f>
        <v/>
      </c>
      <c r="DN252" s="19" t="str">
        <f>IF(DO252&lt;&gt;"",VLOOKUP($P252&amp;" | "&amp;DM$6,'Job Master'!$F$12:$J$102,3,0),"")</f>
        <v/>
      </c>
      <c r="DO252" s="19" t="str">
        <f>IFERROR(IF(AND(DT252&lt;&gt;"",VLOOKUP($P252&amp;" | "&amp;DM$6,'Job Master'!$F$12:$I$102,4,0)&lt;&gt;""),IF(WEEKDAY(DT252-VLOOKUP($P252&amp;" | "&amp;DM$6,'Job Master'!$F$12:$I$102,4,0))&lt;&gt;7,DT252-VLOOKUP($P252&amp;" | "&amp;DM$6,'Job Master'!$F$12:$I$102,4,0),DT252-VLOOKUP($P252&amp;" | "&amp;DM$6,'Job Master'!$F$12:$I$102,4,0)-1),""),"")</f>
        <v/>
      </c>
      <c r="DP252" s="73"/>
      <c r="DQ252" s="123" t="str">
        <f t="shared" si="432"/>
        <v/>
      </c>
      <c r="DR252" s="123" t="str">
        <f t="shared" si="433"/>
        <v/>
      </c>
      <c r="DS252" s="97" t="str">
        <f t="shared" ca="1" si="434"/>
        <v/>
      </c>
      <c r="DT252" s="70" t="str">
        <f t="shared" si="435"/>
        <v/>
      </c>
      <c r="DU252" s="90"/>
      <c r="DV252" s="123" t="str">
        <f t="shared" si="436"/>
        <v/>
      </c>
      <c r="DW252" s="123" t="str">
        <f t="shared" si="437"/>
        <v/>
      </c>
      <c r="DX252" s="132" t="str">
        <f t="shared" ref="DX252" ca="1" si="499">IF(DT252&lt;&gt;"",IF(WEEKNUM(DT252)=WEEKNUM(TODAY()),"This Week",IF(WEEKNUM(DT252)=WEEKNUM(TODAY())+1,"Next Week",IF(WEEKNUM(DT252)=WEEKNUM(TODAY())-1,"Previous Week",""))),"")</f>
        <v/>
      </c>
      <c r="DY252" s="134" t="str">
        <f t="shared" si="439"/>
        <v/>
      </c>
      <c r="DZ252" s="95"/>
      <c r="EB252" s="8" t="str">
        <f t="shared" si="445"/>
        <v/>
      </c>
      <c r="EC252" s="8" t="str">
        <f>IF(O252&lt;&gt;"",VLOOKUP(O252,'Job Master'!$N$12:$O$18,2,0),"")</f>
        <v/>
      </c>
      <c r="ED252" s="8">
        <f t="shared" si="446"/>
        <v>19.5</v>
      </c>
      <c r="EE252" s="8">
        <f t="shared" si="447"/>
        <v>6</v>
      </c>
      <c r="EF252" s="8">
        <f t="shared" si="448"/>
        <v>-1432.5</v>
      </c>
      <c r="EG252" s="8" t="str">
        <f t="shared" si="449"/>
        <v/>
      </c>
      <c r="EH252" s="8" t="str">
        <f t="shared" si="450"/>
        <v/>
      </c>
    </row>
    <row r="253" spans="2:138" x14ac:dyDescent="0.3">
      <c r="B253" s="112"/>
      <c r="C253" s="27"/>
      <c r="D253" s="7" t="str">
        <f t="shared" si="387"/>
        <v/>
      </c>
      <c r="E253" s="25"/>
      <c r="F253" s="7" t="str">
        <f t="shared" si="387"/>
        <v/>
      </c>
      <c r="G253" s="25"/>
      <c r="H253" s="7" t="str">
        <f t="shared" si="387"/>
        <v/>
      </c>
      <c r="I253" s="25"/>
      <c r="J253" s="7" t="str">
        <f t="shared" si="387"/>
        <v/>
      </c>
      <c r="K253" s="25"/>
      <c r="L253" s="7" t="str">
        <f t="shared" si="388"/>
        <v/>
      </c>
      <c r="M253" s="25"/>
      <c r="N253" s="7" t="str">
        <f t="shared" si="389"/>
        <v/>
      </c>
      <c r="O253" s="81"/>
      <c r="P253" s="81" t="str">
        <f t="shared" si="390"/>
        <v/>
      </c>
      <c r="Q253" s="81"/>
      <c r="R253" s="7" t="str">
        <f t="shared" si="391"/>
        <v/>
      </c>
      <c r="S253" s="25"/>
      <c r="T253" s="7" t="str">
        <f t="shared" si="392"/>
        <v/>
      </c>
      <c r="U253" s="25"/>
      <c r="V253" s="7" t="str">
        <f t="shared" si="393"/>
        <v/>
      </c>
      <c r="W253" s="25"/>
      <c r="X253" s="7" t="str">
        <f t="shared" si="394"/>
        <v/>
      </c>
      <c r="Y253" s="18" t="str">
        <f t="shared" si="395"/>
        <v/>
      </c>
      <c r="Z253" s="7" t="str">
        <f t="shared" si="396"/>
        <v/>
      </c>
      <c r="AA253" s="18" t="str">
        <f t="shared" si="397"/>
        <v/>
      </c>
      <c r="AB253" s="19" t="str">
        <f t="shared" si="398"/>
        <v/>
      </c>
      <c r="AC253" s="26"/>
      <c r="AD253" s="26"/>
      <c r="AE253" s="25"/>
      <c r="AF253" s="26"/>
      <c r="AG253" s="25"/>
      <c r="AH253" s="25"/>
      <c r="AI253" s="18" t="str">
        <f t="shared" si="461"/>
        <v/>
      </c>
      <c r="AJ253" s="25"/>
      <c r="AK253" s="18" t="str">
        <f t="shared" si="462"/>
        <v/>
      </c>
      <c r="AL253" s="79"/>
      <c r="AM253" s="126" t="str">
        <f t="shared" si="463"/>
        <v/>
      </c>
      <c r="AN253" s="128" t="str">
        <f>IF(AP253&lt;&gt;"",VLOOKUP($P253&amp;" | "&amp;AN$6,'Job Master'!$F$12:$J$102,5,0),"")</f>
        <v/>
      </c>
      <c r="AO253" s="19" t="str">
        <f>IF(AP253&lt;&gt;"",VLOOKUP($P253&amp;" | "&amp;AN$6,'Job Master'!$F$12:$J$102,3,0),"")</f>
        <v/>
      </c>
      <c r="AP253" s="19" t="str">
        <f>IFERROR(IF(AND(AW253&lt;&gt;"",VLOOKUP($P253&amp;" | "&amp;AN$6,'Job Master'!$F$12:$I$102,4,0)&lt;&gt;""),IF(WEEKDAY(AW253-VLOOKUP($P253&amp;" | "&amp;AN$6,'Job Master'!$F$12:$I$102,4,0))&lt;&gt;7,AW253-VLOOKUP($P253&amp;" | "&amp;AN$6,'Job Master'!$F$12:$I$102,4,0),AW253-VLOOKUP($P253&amp;" | "&amp;AN$6,'Job Master'!$F$12:$I$102,4,0)-1),""),"")</f>
        <v/>
      </c>
      <c r="AQ253" s="73"/>
      <c r="AR253" s="123" t="str">
        <f t="shared" si="399"/>
        <v/>
      </c>
      <c r="AS253" s="123" t="str">
        <f t="shared" si="400"/>
        <v/>
      </c>
      <c r="AT253" s="97" t="str">
        <f t="shared" ca="1" si="401"/>
        <v/>
      </c>
      <c r="AU253" s="98" t="str">
        <f>IF(AW253&lt;&gt;"",VLOOKUP($P253&amp;" | "&amp;AU$6,'Job Master'!$F$12:$J$102,5,0),"")</f>
        <v/>
      </c>
      <c r="AV253" s="19" t="str">
        <f>IF(AW253&lt;&gt;"",VLOOKUP($P253&amp;" | "&amp;AU$6,'Job Master'!$F$12:$J$102,3,0),"")</f>
        <v/>
      </c>
      <c r="AW253" s="19" t="str">
        <f>IFERROR(IF(AND(BD253&lt;&gt;"",VLOOKUP($P253&amp;" | "&amp;AU$6,'Job Master'!$F$12:$I$102,4,0)&lt;&gt;""),IF(WEEKDAY(BD253-VLOOKUP($P253&amp;" | "&amp;AU$6,'Job Master'!$F$12:$I$102,4,0))&lt;&gt;7,BD253-VLOOKUP($P253&amp;" | "&amp;AU$6,'Job Master'!$F$12:$I$102,4,0),BD253-VLOOKUP($P253&amp;" | "&amp;AU$6,'Job Master'!$F$12:$I$102,4,0)-1),""),"")</f>
        <v/>
      </c>
      <c r="AX253" s="73"/>
      <c r="AY253" s="123" t="str">
        <f t="shared" si="402"/>
        <v/>
      </c>
      <c r="AZ253" s="123" t="str">
        <f t="shared" si="403"/>
        <v/>
      </c>
      <c r="BA253" s="97" t="str">
        <f t="shared" ca="1" si="404"/>
        <v/>
      </c>
      <c r="BB253" s="98" t="str">
        <f>IF(BD253&lt;&gt;"",VLOOKUP($P253&amp;" | "&amp;BB$6,'Job Master'!$F$12:$J$102,5,0),"")</f>
        <v/>
      </c>
      <c r="BC253" s="19" t="str">
        <f>IF(BD253&lt;&gt;"",VLOOKUP($P253&amp;" | "&amp;BB$6,'Job Master'!$F$12:$J$102,3,0),"")</f>
        <v/>
      </c>
      <c r="BD253" s="19" t="str">
        <f>IFERROR(IF(AND(BK253&lt;&gt;"",VLOOKUP($P253&amp;" | "&amp;BB$6,'Job Master'!$F$12:$I$102,4,0)&lt;&gt;""),IF(WEEKDAY(BK253-VLOOKUP($P253&amp;" | "&amp;BB$6,'Job Master'!$F$12:$I$102,4,0))&lt;&gt;7,BK253-VLOOKUP($P253&amp;" | "&amp;BB$6,'Job Master'!$F$12:$I$102,4,0),BK253-VLOOKUP($P253&amp;" | "&amp;BB$6,'Job Master'!$F$12:$I$102,4,0)-1),""),"")</f>
        <v/>
      </c>
      <c r="BE253" s="73"/>
      <c r="BF253" s="123" t="str">
        <f t="shared" si="405"/>
        <v/>
      </c>
      <c r="BG253" s="123" t="str">
        <f t="shared" si="406"/>
        <v/>
      </c>
      <c r="BH253" s="97" t="str">
        <f t="shared" ca="1" si="407"/>
        <v/>
      </c>
      <c r="BI253" s="98" t="str">
        <f>IF(BK253&lt;&gt;"",VLOOKUP($P253&amp;" | "&amp;BI$6,'Job Master'!$F$12:$J$102,5,0),"")</f>
        <v/>
      </c>
      <c r="BJ253" s="19" t="str">
        <f>IF(BK253&lt;&gt;"",VLOOKUP($P253&amp;" | "&amp;BI$6,'Job Master'!$F$12:$J$102,3,0),"")</f>
        <v/>
      </c>
      <c r="BK253" s="19" t="str">
        <f>IFERROR(IF(AND(BR253&lt;&gt;"",VLOOKUP($P253&amp;" | "&amp;BI$6,'Job Master'!$F$12:$I$102,4,0)&lt;&gt;""),IF(WEEKDAY(BR253-VLOOKUP($P253&amp;" | "&amp;BI$6,'Job Master'!$F$12:$I$102,4,0))&lt;&gt;7,BR253-VLOOKUP($P253&amp;" | "&amp;BI$6,'Job Master'!$F$12:$I$102,4,0),BR253-VLOOKUP($P253&amp;" | "&amp;BI$6,'Job Master'!$F$12:$I$102,4,0)-1),""),"")</f>
        <v/>
      </c>
      <c r="BL253" s="73"/>
      <c r="BM253" s="123" t="str">
        <f t="shared" si="408"/>
        <v/>
      </c>
      <c r="BN253" s="123" t="str">
        <f t="shared" si="409"/>
        <v/>
      </c>
      <c r="BO253" s="97" t="str">
        <f t="shared" ca="1" si="410"/>
        <v/>
      </c>
      <c r="BP253" s="98" t="str">
        <f>IF(BR253&lt;&gt;"",VLOOKUP($P253&amp;" | "&amp;BP$6,'Job Master'!$F$12:$J$102,5,0),"")</f>
        <v/>
      </c>
      <c r="BQ253" s="19" t="str">
        <f>IF(BR253&lt;&gt;"",VLOOKUP($P253&amp;" | "&amp;BP$6,'Job Master'!$F$12:$J$102,3,0),"")</f>
        <v/>
      </c>
      <c r="BR253" s="19" t="str">
        <f>IFERROR(IF(AND(BY253&lt;&gt;"",VLOOKUP($P253&amp;" | "&amp;BP$6,'Job Master'!$F$12:$I$102,4,0)&lt;&gt;""),IF(WEEKDAY(BY253-VLOOKUP($P253&amp;" | "&amp;BP$6,'Job Master'!$F$12:$I$102,4,0))&lt;&gt;7,BY253-VLOOKUP($P253&amp;" | "&amp;BP$6,'Job Master'!$F$12:$I$102,4,0),BY253-VLOOKUP($P253&amp;" | "&amp;BP$6,'Job Master'!$F$12:$I$102,4,0)-1),""),"")</f>
        <v/>
      </c>
      <c r="BS253" s="73"/>
      <c r="BT253" s="123" t="str">
        <f t="shared" si="411"/>
        <v/>
      </c>
      <c r="BU253" s="123" t="str">
        <f t="shared" si="412"/>
        <v/>
      </c>
      <c r="BV253" s="97" t="str">
        <f t="shared" ca="1" si="413"/>
        <v/>
      </c>
      <c r="BW253" s="98" t="str">
        <f>IF(BY253&lt;&gt;"",VLOOKUP($P253&amp;" | "&amp;BW$6,'Job Master'!$F$12:$J$102,5,0),"")</f>
        <v/>
      </c>
      <c r="BX253" s="19" t="str">
        <f>IF(BY253&lt;&gt;"",VLOOKUP($P253&amp;" | "&amp;BW$6,'Job Master'!$F$12:$J$102,3,0),"")</f>
        <v/>
      </c>
      <c r="BY253" s="19" t="str">
        <f>IFERROR(IF(AND(CF253&lt;&gt;"",VLOOKUP($P253&amp;" | "&amp;BW$6,'Job Master'!$F$12:$I$102,4,0)&lt;&gt;""),IF(WEEKDAY(CF253-VLOOKUP($P253&amp;" | "&amp;BW$6,'Job Master'!$F$12:$I$102,4,0))&lt;&gt;7,CF253-VLOOKUP($P253&amp;" | "&amp;BW$6,'Job Master'!$F$12:$I$102,4,0),CF253-VLOOKUP($P253&amp;" | "&amp;BW$6,'Job Master'!$F$12:$I$102,4,0)-1),""),"")</f>
        <v/>
      </c>
      <c r="BZ253" s="73"/>
      <c r="CA253" s="123" t="str">
        <f t="shared" si="414"/>
        <v/>
      </c>
      <c r="CB253" s="123" t="str">
        <f t="shared" si="415"/>
        <v/>
      </c>
      <c r="CC253" s="97" t="str">
        <f t="shared" ca="1" si="416"/>
        <v/>
      </c>
      <c r="CD253" s="98" t="str">
        <f>IF(CF253&lt;&gt;"",VLOOKUP($P253&amp;" | "&amp;CD$6,'Job Master'!$F$12:$J$102,5,0),"")</f>
        <v/>
      </c>
      <c r="CE253" s="19" t="str">
        <f>IF(CF253&lt;&gt;"",VLOOKUP($P253&amp;" | "&amp;CD$6,'Job Master'!$F$12:$J$102,3,0),"")</f>
        <v/>
      </c>
      <c r="CF253" s="19" t="str">
        <f>IFERROR(IF(AND(CM253&lt;&gt;"",VLOOKUP($P253&amp;" | "&amp;CD$6,'Job Master'!$F$12:$I$102,4,0)&lt;&gt;""),IF(WEEKDAY(CM253-VLOOKUP($P253&amp;" | "&amp;CD$6,'Job Master'!$F$12:$I$102,4,0))&lt;&gt;7,CM253-VLOOKUP($P253&amp;" | "&amp;CD$6,'Job Master'!$F$12:$I$102,4,0),CM253-VLOOKUP($P253&amp;" | "&amp;CD$6,'Job Master'!$F$12:$I$102,4,0)-1),""),"")</f>
        <v/>
      </c>
      <c r="CG253" s="73"/>
      <c r="CH253" s="123" t="str">
        <f t="shared" si="417"/>
        <v/>
      </c>
      <c r="CI253" s="123" t="str">
        <f t="shared" si="418"/>
        <v/>
      </c>
      <c r="CJ253" s="97" t="str">
        <f t="shared" ca="1" si="419"/>
        <v/>
      </c>
      <c r="CK253" s="98" t="str">
        <f>IF(CM253&lt;&gt;"",VLOOKUP($P253&amp;" | "&amp;CK$6,'Job Master'!$F$12:$J$102,5,0),"")</f>
        <v/>
      </c>
      <c r="CL253" s="19" t="str">
        <f>IF(CM253&lt;&gt;"",VLOOKUP($P253&amp;" | "&amp;CK$6,'Job Master'!$F$12:$J$102,3,0),"")</f>
        <v/>
      </c>
      <c r="CM253" s="19" t="str">
        <f>IFERROR(IF(AND(CT253&lt;&gt;"",VLOOKUP($P253&amp;" | "&amp;CK$6,'Job Master'!$F$12:$I$102,4,0)&lt;&gt;""),IF(WEEKDAY(CT253-VLOOKUP($P253&amp;" | "&amp;CK$6,'Job Master'!$F$12:$I$102,4,0))&lt;&gt;7,CT253-VLOOKUP($P253&amp;" | "&amp;CK$6,'Job Master'!$F$12:$I$102,4,0),CT253-VLOOKUP($P253&amp;" | "&amp;CK$6,'Job Master'!$F$12:$I$102,4,0)-1),""),"")</f>
        <v/>
      </c>
      <c r="CN253" s="73"/>
      <c r="CO253" s="123" t="str">
        <f t="shared" si="420"/>
        <v/>
      </c>
      <c r="CP253" s="123" t="str">
        <f t="shared" si="421"/>
        <v/>
      </c>
      <c r="CQ253" s="97" t="str">
        <f t="shared" ca="1" si="422"/>
        <v/>
      </c>
      <c r="CR253" s="98" t="str">
        <f>IF(CT253&lt;&gt;"",VLOOKUP($P253&amp;" | "&amp;CR$6,'Job Master'!$F$12:$J$102,5,0),"")</f>
        <v/>
      </c>
      <c r="CS253" s="19" t="str">
        <f>IF(CT253&lt;&gt;"",VLOOKUP($P253&amp;" | "&amp;CR$6,'Job Master'!$F$12:$J$102,3,0),"")</f>
        <v/>
      </c>
      <c r="CT253" s="19" t="str">
        <f>IFERROR(IF(AND(DA253&lt;&gt;"",VLOOKUP($P253&amp;" | "&amp;CR$6,'Job Master'!$F$12:$I$102,4,0)&lt;&gt;""),IF(WEEKDAY(DA253-VLOOKUP($P253&amp;" | "&amp;CR$6,'Job Master'!$F$12:$I$102,4,0))&lt;&gt;7,DA253-VLOOKUP($P253&amp;" | "&amp;CR$6,'Job Master'!$F$12:$I$102,4,0),DA253-VLOOKUP($P253&amp;" | "&amp;CR$6,'Job Master'!$F$12:$I$102,4,0)-1),""),"")</f>
        <v/>
      </c>
      <c r="CU253" s="73"/>
      <c r="CV253" s="123" t="str">
        <f t="shared" si="423"/>
        <v/>
      </c>
      <c r="CW253" s="123" t="str">
        <f t="shared" si="424"/>
        <v/>
      </c>
      <c r="CX253" s="97" t="str">
        <f t="shared" ca="1" si="425"/>
        <v/>
      </c>
      <c r="CY253" s="98" t="str">
        <f>IF(DA253&lt;&gt;"",VLOOKUP($P253&amp;" | "&amp;CY$6,'Job Master'!$F$12:$J$102,5,0),"")</f>
        <v/>
      </c>
      <c r="CZ253" s="19" t="str">
        <f>IF(DA253&lt;&gt;"",VLOOKUP($P253&amp;" | "&amp;CY$6,'Job Master'!$F$12:$J$102,3,0),"")</f>
        <v/>
      </c>
      <c r="DA253" s="19" t="str">
        <f>IFERROR(IF(AND(DH253&lt;&gt;"",VLOOKUP($P253&amp;" | "&amp;CY$6,'Job Master'!$F$12:$I$102,4,0)&lt;&gt;""),IF(WEEKDAY(DH253-VLOOKUP($P253&amp;" | "&amp;CY$6,'Job Master'!$F$12:$I$102,4,0))&lt;&gt;7,DH253-VLOOKUP($P253&amp;" | "&amp;CY$6,'Job Master'!$F$12:$I$102,4,0),DH253-VLOOKUP($P253&amp;" | "&amp;CY$6,'Job Master'!$F$12:$I$102,4,0)-1),""),"")</f>
        <v/>
      </c>
      <c r="DB253" s="73"/>
      <c r="DC253" s="123" t="str">
        <f t="shared" si="426"/>
        <v/>
      </c>
      <c r="DD253" s="123" t="str">
        <f t="shared" si="427"/>
        <v/>
      </c>
      <c r="DE253" s="97" t="str">
        <f t="shared" ca="1" si="428"/>
        <v/>
      </c>
      <c r="DF253" s="98" t="str">
        <f>IF(DH253&lt;&gt;"",VLOOKUP($P253&amp;" | "&amp;DF$6,'Job Master'!$F$12:$J$102,5,0),"")</f>
        <v/>
      </c>
      <c r="DG253" s="19" t="str">
        <f>IF(DH253&lt;&gt;"",VLOOKUP($P253&amp;" | "&amp;DF$6,'Job Master'!$F$12:$J$102,3,0),"")</f>
        <v/>
      </c>
      <c r="DH253" s="19" t="str">
        <f>IFERROR(IF(AND(DO253&lt;&gt;"",VLOOKUP($P253&amp;" | "&amp;DF$6,'Job Master'!$F$12:$I$102,4,0)&lt;&gt;""),IF(WEEKDAY(DO253-VLOOKUP($P253&amp;" | "&amp;DF$6,'Job Master'!$F$12:$I$102,4,0))&lt;&gt;7,DO253-VLOOKUP($P253&amp;" | "&amp;DF$6,'Job Master'!$F$12:$I$102,4,0),DO253-VLOOKUP($P253&amp;" | "&amp;DF$6,'Job Master'!$F$12:$I$102,4,0)-1),""),"")</f>
        <v/>
      </c>
      <c r="DI253" s="73"/>
      <c r="DJ253" s="123" t="str">
        <f t="shared" si="429"/>
        <v/>
      </c>
      <c r="DK253" s="123" t="str">
        <f t="shared" si="430"/>
        <v/>
      </c>
      <c r="DL253" s="97" t="str">
        <f t="shared" ca="1" si="431"/>
        <v/>
      </c>
      <c r="DM253" s="98" t="str">
        <f>IF(DO253&lt;&gt;"",VLOOKUP($P253&amp;" | "&amp;DM$6,'Job Master'!$F$12:$J$102,5,0),"")</f>
        <v/>
      </c>
      <c r="DN253" s="19" t="str">
        <f>IF(DO253&lt;&gt;"",VLOOKUP($P253&amp;" | "&amp;DM$6,'Job Master'!$F$12:$J$102,3,0),"")</f>
        <v/>
      </c>
      <c r="DO253" s="19" t="str">
        <f>IFERROR(IF(AND(DT253&lt;&gt;"",VLOOKUP($P253&amp;" | "&amp;DM$6,'Job Master'!$F$12:$I$102,4,0)&lt;&gt;""),IF(WEEKDAY(DT253-VLOOKUP($P253&amp;" | "&amp;DM$6,'Job Master'!$F$12:$I$102,4,0))&lt;&gt;7,DT253-VLOOKUP($P253&amp;" | "&amp;DM$6,'Job Master'!$F$12:$I$102,4,0),DT253-VLOOKUP($P253&amp;" | "&amp;DM$6,'Job Master'!$F$12:$I$102,4,0)-1),""),"")</f>
        <v/>
      </c>
      <c r="DP253" s="73"/>
      <c r="DQ253" s="123" t="str">
        <f t="shared" si="432"/>
        <v/>
      </c>
      <c r="DR253" s="123" t="str">
        <f t="shared" si="433"/>
        <v/>
      </c>
      <c r="DS253" s="97" t="str">
        <f t="shared" ca="1" si="434"/>
        <v/>
      </c>
      <c r="DT253" s="70" t="str">
        <f t="shared" si="435"/>
        <v/>
      </c>
      <c r="DU253" s="90"/>
      <c r="DV253" s="123" t="str">
        <f t="shared" si="436"/>
        <v/>
      </c>
      <c r="DW253" s="123" t="str">
        <f t="shared" si="437"/>
        <v/>
      </c>
      <c r="DX253" s="132" t="str">
        <f t="shared" ref="DX253" ca="1" si="500">IF(DT253&lt;&gt;"",IF(WEEKNUM(DT253)=WEEKNUM(TODAY()),"This Week",IF(WEEKNUM(DT253)=WEEKNUM(TODAY())+1,"Next Week",IF(WEEKNUM(DT253)=WEEKNUM(TODAY())-1,"Previous Week",""))),"")</f>
        <v/>
      </c>
      <c r="DY253" s="134" t="str">
        <f t="shared" si="439"/>
        <v/>
      </c>
      <c r="DZ253" s="95"/>
      <c r="EB253" s="8" t="str">
        <f t="shared" si="445"/>
        <v/>
      </c>
      <c r="EC253" s="8" t="str">
        <f>IF(O253&lt;&gt;"",VLOOKUP(O253,'Job Master'!$N$12:$O$18,2,0),"")</f>
        <v/>
      </c>
      <c r="ED253" s="8">
        <f t="shared" si="446"/>
        <v>19.5</v>
      </c>
      <c r="EE253" s="8">
        <f t="shared" si="447"/>
        <v>6</v>
      </c>
      <c r="EF253" s="8">
        <f t="shared" si="448"/>
        <v>-1438.5</v>
      </c>
      <c r="EG253" s="8" t="str">
        <f t="shared" si="449"/>
        <v/>
      </c>
      <c r="EH253" s="8" t="str">
        <f t="shared" si="450"/>
        <v/>
      </c>
    </row>
    <row r="254" spans="2:138" x14ac:dyDescent="0.3">
      <c r="B254" s="112"/>
      <c r="C254" s="27"/>
      <c r="D254" s="7" t="str">
        <f t="shared" si="387"/>
        <v/>
      </c>
      <c r="E254" s="25"/>
      <c r="F254" s="7" t="str">
        <f t="shared" si="387"/>
        <v/>
      </c>
      <c r="G254" s="25"/>
      <c r="H254" s="7" t="str">
        <f t="shared" si="387"/>
        <v/>
      </c>
      <c r="I254" s="25"/>
      <c r="J254" s="7" t="str">
        <f t="shared" si="387"/>
        <v/>
      </c>
      <c r="K254" s="25"/>
      <c r="L254" s="7" t="str">
        <f t="shared" si="388"/>
        <v/>
      </c>
      <c r="M254" s="25"/>
      <c r="N254" s="7" t="str">
        <f t="shared" si="389"/>
        <v/>
      </c>
      <c r="O254" s="81"/>
      <c r="P254" s="81" t="str">
        <f t="shared" si="390"/>
        <v/>
      </c>
      <c r="Q254" s="81"/>
      <c r="R254" s="7" t="str">
        <f t="shared" si="391"/>
        <v/>
      </c>
      <c r="S254" s="25"/>
      <c r="T254" s="7" t="str">
        <f t="shared" si="392"/>
        <v/>
      </c>
      <c r="U254" s="25"/>
      <c r="V254" s="7" t="str">
        <f t="shared" si="393"/>
        <v/>
      </c>
      <c r="W254" s="25"/>
      <c r="X254" s="7" t="str">
        <f t="shared" si="394"/>
        <v/>
      </c>
      <c r="Y254" s="18" t="str">
        <f t="shared" si="395"/>
        <v/>
      </c>
      <c r="Z254" s="7" t="str">
        <f t="shared" si="396"/>
        <v/>
      </c>
      <c r="AA254" s="18" t="str">
        <f t="shared" si="397"/>
        <v/>
      </c>
      <c r="AB254" s="19" t="str">
        <f t="shared" si="398"/>
        <v/>
      </c>
      <c r="AC254" s="26"/>
      <c r="AD254" s="26"/>
      <c r="AE254" s="25"/>
      <c r="AF254" s="26"/>
      <c r="AG254" s="25"/>
      <c r="AH254" s="25"/>
      <c r="AI254" s="18" t="str">
        <f t="shared" si="461"/>
        <v/>
      </c>
      <c r="AJ254" s="25"/>
      <c r="AK254" s="18" t="str">
        <f t="shared" si="462"/>
        <v/>
      </c>
      <c r="AL254" s="79"/>
      <c r="AM254" s="126" t="str">
        <f t="shared" si="463"/>
        <v/>
      </c>
      <c r="AN254" s="128" t="str">
        <f>IF(AP254&lt;&gt;"",VLOOKUP($P254&amp;" | "&amp;AN$6,'Job Master'!$F$12:$J$102,5,0),"")</f>
        <v/>
      </c>
      <c r="AO254" s="19" t="str">
        <f>IF(AP254&lt;&gt;"",VLOOKUP($P254&amp;" | "&amp;AN$6,'Job Master'!$F$12:$J$102,3,0),"")</f>
        <v/>
      </c>
      <c r="AP254" s="19" t="str">
        <f>IFERROR(IF(AND(AW254&lt;&gt;"",VLOOKUP($P254&amp;" | "&amp;AN$6,'Job Master'!$F$12:$I$102,4,0)&lt;&gt;""),IF(WEEKDAY(AW254-VLOOKUP($P254&amp;" | "&amp;AN$6,'Job Master'!$F$12:$I$102,4,0))&lt;&gt;7,AW254-VLOOKUP($P254&amp;" | "&amp;AN$6,'Job Master'!$F$12:$I$102,4,0),AW254-VLOOKUP($P254&amp;" | "&amp;AN$6,'Job Master'!$F$12:$I$102,4,0)-1),""),"")</f>
        <v/>
      </c>
      <c r="AQ254" s="73"/>
      <c r="AR254" s="123" t="str">
        <f t="shared" si="399"/>
        <v/>
      </c>
      <c r="AS254" s="123" t="str">
        <f t="shared" si="400"/>
        <v/>
      </c>
      <c r="AT254" s="97" t="str">
        <f t="shared" ca="1" si="401"/>
        <v/>
      </c>
      <c r="AU254" s="98" t="str">
        <f>IF(AW254&lt;&gt;"",VLOOKUP($P254&amp;" | "&amp;AU$6,'Job Master'!$F$12:$J$102,5,0),"")</f>
        <v/>
      </c>
      <c r="AV254" s="19" t="str">
        <f>IF(AW254&lt;&gt;"",VLOOKUP($P254&amp;" | "&amp;AU$6,'Job Master'!$F$12:$J$102,3,0),"")</f>
        <v/>
      </c>
      <c r="AW254" s="19" t="str">
        <f>IFERROR(IF(AND(BD254&lt;&gt;"",VLOOKUP($P254&amp;" | "&amp;AU$6,'Job Master'!$F$12:$I$102,4,0)&lt;&gt;""),IF(WEEKDAY(BD254-VLOOKUP($P254&amp;" | "&amp;AU$6,'Job Master'!$F$12:$I$102,4,0))&lt;&gt;7,BD254-VLOOKUP($P254&amp;" | "&amp;AU$6,'Job Master'!$F$12:$I$102,4,0),BD254-VLOOKUP($P254&amp;" | "&amp;AU$6,'Job Master'!$F$12:$I$102,4,0)-1),""),"")</f>
        <v/>
      </c>
      <c r="AX254" s="73"/>
      <c r="AY254" s="123" t="str">
        <f t="shared" si="402"/>
        <v/>
      </c>
      <c r="AZ254" s="123" t="str">
        <f t="shared" si="403"/>
        <v/>
      </c>
      <c r="BA254" s="97" t="str">
        <f t="shared" ca="1" si="404"/>
        <v/>
      </c>
      <c r="BB254" s="98" t="str">
        <f>IF(BD254&lt;&gt;"",VLOOKUP($P254&amp;" | "&amp;BB$6,'Job Master'!$F$12:$J$102,5,0),"")</f>
        <v/>
      </c>
      <c r="BC254" s="19" t="str">
        <f>IF(BD254&lt;&gt;"",VLOOKUP($P254&amp;" | "&amp;BB$6,'Job Master'!$F$12:$J$102,3,0),"")</f>
        <v/>
      </c>
      <c r="BD254" s="19" t="str">
        <f>IFERROR(IF(AND(BK254&lt;&gt;"",VLOOKUP($P254&amp;" | "&amp;BB$6,'Job Master'!$F$12:$I$102,4,0)&lt;&gt;""),IF(WEEKDAY(BK254-VLOOKUP($P254&amp;" | "&amp;BB$6,'Job Master'!$F$12:$I$102,4,0))&lt;&gt;7,BK254-VLOOKUP($P254&amp;" | "&amp;BB$6,'Job Master'!$F$12:$I$102,4,0),BK254-VLOOKUP($P254&amp;" | "&amp;BB$6,'Job Master'!$F$12:$I$102,4,0)-1),""),"")</f>
        <v/>
      </c>
      <c r="BE254" s="73"/>
      <c r="BF254" s="123" t="str">
        <f t="shared" si="405"/>
        <v/>
      </c>
      <c r="BG254" s="123" t="str">
        <f t="shared" si="406"/>
        <v/>
      </c>
      <c r="BH254" s="97" t="str">
        <f t="shared" ca="1" si="407"/>
        <v/>
      </c>
      <c r="BI254" s="98" t="str">
        <f>IF(BK254&lt;&gt;"",VLOOKUP($P254&amp;" | "&amp;BI$6,'Job Master'!$F$12:$J$102,5,0),"")</f>
        <v/>
      </c>
      <c r="BJ254" s="19" t="str">
        <f>IF(BK254&lt;&gt;"",VLOOKUP($P254&amp;" | "&amp;BI$6,'Job Master'!$F$12:$J$102,3,0),"")</f>
        <v/>
      </c>
      <c r="BK254" s="19" t="str">
        <f>IFERROR(IF(AND(BR254&lt;&gt;"",VLOOKUP($P254&amp;" | "&amp;BI$6,'Job Master'!$F$12:$I$102,4,0)&lt;&gt;""),IF(WEEKDAY(BR254-VLOOKUP($P254&amp;" | "&amp;BI$6,'Job Master'!$F$12:$I$102,4,0))&lt;&gt;7,BR254-VLOOKUP($P254&amp;" | "&amp;BI$6,'Job Master'!$F$12:$I$102,4,0),BR254-VLOOKUP($P254&amp;" | "&amp;BI$6,'Job Master'!$F$12:$I$102,4,0)-1),""),"")</f>
        <v/>
      </c>
      <c r="BL254" s="73"/>
      <c r="BM254" s="123" t="str">
        <f t="shared" si="408"/>
        <v/>
      </c>
      <c r="BN254" s="123" t="str">
        <f t="shared" si="409"/>
        <v/>
      </c>
      <c r="BO254" s="97" t="str">
        <f t="shared" ca="1" si="410"/>
        <v/>
      </c>
      <c r="BP254" s="98" t="str">
        <f>IF(BR254&lt;&gt;"",VLOOKUP($P254&amp;" | "&amp;BP$6,'Job Master'!$F$12:$J$102,5,0),"")</f>
        <v/>
      </c>
      <c r="BQ254" s="19" t="str">
        <f>IF(BR254&lt;&gt;"",VLOOKUP($P254&amp;" | "&amp;BP$6,'Job Master'!$F$12:$J$102,3,0),"")</f>
        <v/>
      </c>
      <c r="BR254" s="19" t="str">
        <f>IFERROR(IF(AND(BY254&lt;&gt;"",VLOOKUP($P254&amp;" | "&amp;BP$6,'Job Master'!$F$12:$I$102,4,0)&lt;&gt;""),IF(WEEKDAY(BY254-VLOOKUP($P254&amp;" | "&amp;BP$6,'Job Master'!$F$12:$I$102,4,0))&lt;&gt;7,BY254-VLOOKUP($P254&amp;" | "&amp;BP$6,'Job Master'!$F$12:$I$102,4,0),BY254-VLOOKUP($P254&amp;" | "&amp;BP$6,'Job Master'!$F$12:$I$102,4,0)-1),""),"")</f>
        <v/>
      </c>
      <c r="BS254" s="73"/>
      <c r="BT254" s="123" t="str">
        <f t="shared" si="411"/>
        <v/>
      </c>
      <c r="BU254" s="123" t="str">
        <f t="shared" si="412"/>
        <v/>
      </c>
      <c r="BV254" s="97" t="str">
        <f t="shared" ca="1" si="413"/>
        <v/>
      </c>
      <c r="BW254" s="98" t="str">
        <f>IF(BY254&lt;&gt;"",VLOOKUP($P254&amp;" | "&amp;BW$6,'Job Master'!$F$12:$J$102,5,0),"")</f>
        <v/>
      </c>
      <c r="BX254" s="19" t="str">
        <f>IF(BY254&lt;&gt;"",VLOOKUP($P254&amp;" | "&amp;BW$6,'Job Master'!$F$12:$J$102,3,0),"")</f>
        <v/>
      </c>
      <c r="BY254" s="19" t="str">
        <f>IFERROR(IF(AND(CF254&lt;&gt;"",VLOOKUP($P254&amp;" | "&amp;BW$6,'Job Master'!$F$12:$I$102,4,0)&lt;&gt;""),IF(WEEKDAY(CF254-VLOOKUP($P254&amp;" | "&amp;BW$6,'Job Master'!$F$12:$I$102,4,0))&lt;&gt;7,CF254-VLOOKUP($P254&amp;" | "&amp;BW$6,'Job Master'!$F$12:$I$102,4,0),CF254-VLOOKUP($P254&amp;" | "&amp;BW$6,'Job Master'!$F$12:$I$102,4,0)-1),""),"")</f>
        <v/>
      </c>
      <c r="BZ254" s="73"/>
      <c r="CA254" s="123" t="str">
        <f t="shared" si="414"/>
        <v/>
      </c>
      <c r="CB254" s="123" t="str">
        <f t="shared" si="415"/>
        <v/>
      </c>
      <c r="CC254" s="97" t="str">
        <f t="shared" ca="1" si="416"/>
        <v/>
      </c>
      <c r="CD254" s="98" t="str">
        <f>IF(CF254&lt;&gt;"",VLOOKUP($P254&amp;" | "&amp;CD$6,'Job Master'!$F$12:$J$102,5,0),"")</f>
        <v/>
      </c>
      <c r="CE254" s="19" t="str">
        <f>IF(CF254&lt;&gt;"",VLOOKUP($P254&amp;" | "&amp;CD$6,'Job Master'!$F$12:$J$102,3,0),"")</f>
        <v/>
      </c>
      <c r="CF254" s="19" t="str">
        <f>IFERROR(IF(AND(CM254&lt;&gt;"",VLOOKUP($P254&amp;" | "&amp;CD$6,'Job Master'!$F$12:$I$102,4,0)&lt;&gt;""),IF(WEEKDAY(CM254-VLOOKUP($P254&amp;" | "&amp;CD$6,'Job Master'!$F$12:$I$102,4,0))&lt;&gt;7,CM254-VLOOKUP($P254&amp;" | "&amp;CD$6,'Job Master'!$F$12:$I$102,4,0),CM254-VLOOKUP($P254&amp;" | "&amp;CD$6,'Job Master'!$F$12:$I$102,4,0)-1),""),"")</f>
        <v/>
      </c>
      <c r="CG254" s="73"/>
      <c r="CH254" s="123" t="str">
        <f t="shared" si="417"/>
        <v/>
      </c>
      <c r="CI254" s="123" t="str">
        <f t="shared" si="418"/>
        <v/>
      </c>
      <c r="CJ254" s="97" t="str">
        <f t="shared" ca="1" si="419"/>
        <v/>
      </c>
      <c r="CK254" s="98" t="str">
        <f>IF(CM254&lt;&gt;"",VLOOKUP($P254&amp;" | "&amp;CK$6,'Job Master'!$F$12:$J$102,5,0),"")</f>
        <v/>
      </c>
      <c r="CL254" s="19" t="str">
        <f>IF(CM254&lt;&gt;"",VLOOKUP($P254&amp;" | "&amp;CK$6,'Job Master'!$F$12:$J$102,3,0),"")</f>
        <v/>
      </c>
      <c r="CM254" s="19" t="str">
        <f>IFERROR(IF(AND(CT254&lt;&gt;"",VLOOKUP($P254&amp;" | "&amp;CK$6,'Job Master'!$F$12:$I$102,4,0)&lt;&gt;""),IF(WEEKDAY(CT254-VLOOKUP($P254&amp;" | "&amp;CK$6,'Job Master'!$F$12:$I$102,4,0))&lt;&gt;7,CT254-VLOOKUP($P254&amp;" | "&amp;CK$6,'Job Master'!$F$12:$I$102,4,0),CT254-VLOOKUP($P254&amp;" | "&amp;CK$6,'Job Master'!$F$12:$I$102,4,0)-1),""),"")</f>
        <v/>
      </c>
      <c r="CN254" s="73"/>
      <c r="CO254" s="123" t="str">
        <f t="shared" si="420"/>
        <v/>
      </c>
      <c r="CP254" s="123" t="str">
        <f t="shared" si="421"/>
        <v/>
      </c>
      <c r="CQ254" s="97" t="str">
        <f t="shared" ca="1" si="422"/>
        <v/>
      </c>
      <c r="CR254" s="98" t="str">
        <f>IF(CT254&lt;&gt;"",VLOOKUP($P254&amp;" | "&amp;CR$6,'Job Master'!$F$12:$J$102,5,0),"")</f>
        <v/>
      </c>
      <c r="CS254" s="19" t="str">
        <f>IF(CT254&lt;&gt;"",VLOOKUP($P254&amp;" | "&amp;CR$6,'Job Master'!$F$12:$J$102,3,0),"")</f>
        <v/>
      </c>
      <c r="CT254" s="19" t="str">
        <f>IFERROR(IF(AND(DA254&lt;&gt;"",VLOOKUP($P254&amp;" | "&amp;CR$6,'Job Master'!$F$12:$I$102,4,0)&lt;&gt;""),IF(WEEKDAY(DA254-VLOOKUP($P254&amp;" | "&amp;CR$6,'Job Master'!$F$12:$I$102,4,0))&lt;&gt;7,DA254-VLOOKUP($P254&amp;" | "&amp;CR$6,'Job Master'!$F$12:$I$102,4,0),DA254-VLOOKUP($P254&amp;" | "&amp;CR$6,'Job Master'!$F$12:$I$102,4,0)-1),""),"")</f>
        <v/>
      </c>
      <c r="CU254" s="73"/>
      <c r="CV254" s="123" t="str">
        <f t="shared" si="423"/>
        <v/>
      </c>
      <c r="CW254" s="123" t="str">
        <f t="shared" si="424"/>
        <v/>
      </c>
      <c r="CX254" s="97" t="str">
        <f t="shared" ca="1" si="425"/>
        <v/>
      </c>
      <c r="CY254" s="98" t="str">
        <f>IF(DA254&lt;&gt;"",VLOOKUP($P254&amp;" | "&amp;CY$6,'Job Master'!$F$12:$J$102,5,0),"")</f>
        <v/>
      </c>
      <c r="CZ254" s="19" t="str">
        <f>IF(DA254&lt;&gt;"",VLOOKUP($P254&amp;" | "&amp;CY$6,'Job Master'!$F$12:$J$102,3,0),"")</f>
        <v/>
      </c>
      <c r="DA254" s="19" t="str">
        <f>IFERROR(IF(AND(DH254&lt;&gt;"",VLOOKUP($P254&amp;" | "&amp;CY$6,'Job Master'!$F$12:$I$102,4,0)&lt;&gt;""),IF(WEEKDAY(DH254-VLOOKUP($P254&amp;" | "&amp;CY$6,'Job Master'!$F$12:$I$102,4,0))&lt;&gt;7,DH254-VLOOKUP($P254&amp;" | "&amp;CY$6,'Job Master'!$F$12:$I$102,4,0),DH254-VLOOKUP($P254&amp;" | "&amp;CY$6,'Job Master'!$F$12:$I$102,4,0)-1),""),"")</f>
        <v/>
      </c>
      <c r="DB254" s="73"/>
      <c r="DC254" s="123" t="str">
        <f t="shared" si="426"/>
        <v/>
      </c>
      <c r="DD254" s="123" t="str">
        <f t="shared" si="427"/>
        <v/>
      </c>
      <c r="DE254" s="97" t="str">
        <f t="shared" ca="1" si="428"/>
        <v/>
      </c>
      <c r="DF254" s="98" t="str">
        <f>IF(DH254&lt;&gt;"",VLOOKUP($P254&amp;" | "&amp;DF$6,'Job Master'!$F$12:$J$102,5,0),"")</f>
        <v/>
      </c>
      <c r="DG254" s="19" t="str">
        <f>IF(DH254&lt;&gt;"",VLOOKUP($P254&amp;" | "&amp;DF$6,'Job Master'!$F$12:$J$102,3,0),"")</f>
        <v/>
      </c>
      <c r="DH254" s="19" t="str">
        <f>IFERROR(IF(AND(DO254&lt;&gt;"",VLOOKUP($P254&amp;" | "&amp;DF$6,'Job Master'!$F$12:$I$102,4,0)&lt;&gt;""),IF(WEEKDAY(DO254-VLOOKUP($P254&amp;" | "&amp;DF$6,'Job Master'!$F$12:$I$102,4,0))&lt;&gt;7,DO254-VLOOKUP($P254&amp;" | "&amp;DF$6,'Job Master'!$F$12:$I$102,4,0),DO254-VLOOKUP($P254&amp;" | "&amp;DF$6,'Job Master'!$F$12:$I$102,4,0)-1),""),"")</f>
        <v/>
      </c>
      <c r="DI254" s="73"/>
      <c r="DJ254" s="123" t="str">
        <f t="shared" si="429"/>
        <v/>
      </c>
      <c r="DK254" s="123" t="str">
        <f t="shared" si="430"/>
        <v/>
      </c>
      <c r="DL254" s="97" t="str">
        <f t="shared" ca="1" si="431"/>
        <v/>
      </c>
      <c r="DM254" s="98" t="str">
        <f>IF(DO254&lt;&gt;"",VLOOKUP($P254&amp;" | "&amp;DM$6,'Job Master'!$F$12:$J$102,5,0),"")</f>
        <v/>
      </c>
      <c r="DN254" s="19" t="str">
        <f>IF(DO254&lt;&gt;"",VLOOKUP($P254&amp;" | "&amp;DM$6,'Job Master'!$F$12:$J$102,3,0),"")</f>
        <v/>
      </c>
      <c r="DO254" s="19" t="str">
        <f>IFERROR(IF(AND(DT254&lt;&gt;"",VLOOKUP($P254&amp;" | "&amp;DM$6,'Job Master'!$F$12:$I$102,4,0)&lt;&gt;""),IF(WEEKDAY(DT254-VLOOKUP($P254&amp;" | "&amp;DM$6,'Job Master'!$F$12:$I$102,4,0))&lt;&gt;7,DT254-VLOOKUP($P254&amp;" | "&amp;DM$6,'Job Master'!$F$12:$I$102,4,0),DT254-VLOOKUP($P254&amp;" | "&amp;DM$6,'Job Master'!$F$12:$I$102,4,0)-1),""),"")</f>
        <v/>
      </c>
      <c r="DP254" s="73"/>
      <c r="DQ254" s="123" t="str">
        <f t="shared" si="432"/>
        <v/>
      </c>
      <c r="DR254" s="123" t="str">
        <f t="shared" si="433"/>
        <v/>
      </c>
      <c r="DS254" s="97" t="str">
        <f t="shared" ca="1" si="434"/>
        <v/>
      </c>
      <c r="DT254" s="70" t="str">
        <f t="shared" si="435"/>
        <v/>
      </c>
      <c r="DU254" s="90"/>
      <c r="DV254" s="123" t="str">
        <f t="shared" si="436"/>
        <v/>
      </c>
      <c r="DW254" s="123" t="str">
        <f t="shared" si="437"/>
        <v/>
      </c>
      <c r="DX254" s="132" t="str">
        <f t="shared" ref="DX254" ca="1" si="501">IF(DT254&lt;&gt;"",IF(WEEKNUM(DT254)=WEEKNUM(TODAY()),"This Week",IF(WEEKNUM(DT254)=WEEKNUM(TODAY())+1,"Next Week",IF(WEEKNUM(DT254)=WEEKNUM(TODAY())-1,"Previous Week",""))),"")</f>
        <v/>
      </c>
      <c r="DY254" s="134" t="str">
        <f t="shared" si="439"/>
        <v/>
      </c>
      <c r="DZ254" s="95"/>
      <c r="EB254" s="8" t="str">
        <f t="shared" si="445"/>
        <v/>
      </c>
      <c r="EC254" s="8" t="str">
        <f>IF(O254&lt;&gt;"",VLOOKUP(O254,'Job Master'!$N$12:$O$18,2,0),"")</f>
        <v/>
      </c>
      <c r="ED254" s="8">
        <f t="shared" si="446"/>
        <v>19.5</v>
      </c>
      <c r="EE254" s="8">
        <f t="shared" si="447"/>
        <v>6</v>
      </c>
      <c r="EF254" s="8">
        <f t="shared" si="448"/>
        <v>-1444.5</v>
      </c>
      <c r="EG254" s="8" t="str">
        <f t="shared" si="449"/>
        <v/>
      </c>
      <c r="EH254" s="8" t="str">
        <f t="shared" si="450"/>
        <v/>
      </c>
    </row>
    <row r="255" spans="2:138" x14ac:dyDescent="0.3">
      <c r="B255" s="112"/>
      <c r="C255" s="27"/>
      <c r="D255" s="7" t="str">
        <f t="shared" si="387"/>
        <v/>
      </c>
      <c r="E255" s="25"/>
      <c r="F255" s="7" t="str">
        <f t="shared" si="387"/>
        <v/>
      </c>
      <c r="G255" s="25"/>
      <c r="H255" s="7" t="str">
        <f t="shared" si="387"/>
        <v/>
      </c>
      <c r="I255" s="25"/>
      <c r="J255" s="7" t="str">
        <f t="shared" si="387"/>
        <v/>
      </c>
      <c r="K255" s="25"/>
      <c r="L255" s="7" t="str">
        <f t="shared" si="388"/>
        <v/>
      </c>
      <c r="M255" s="25"/>
      <c r="N255" s="7" t="str">
        <f t="shared" si="389"/>
        <v/>
      </c>
      <c r="O255" s="81"/>
      <c r="P255" s="81" t="str">
        <f t="shared" si="390"/>
        <v/>
      </c>
      <c r="Q255" s="81"/>
      <c r="R255" s="7" t="str">
        <f t="shared" si="391"/>
        <v/>
      </c>
      <c r="S255" s="25"/>
      <c r="T255" s="7" t="str">
        <f t="shared" si="392"/>
        <v/>
      </c>
      <c r="U255" s="25"/>
      <c r="V255" s="7" t="str">
        <f t="shared" si="393"/>
        <v/>
      </c>
      <c r="W255" s="25"/>
      <c r="X255" s="7" t="str">
        <f t="shared" si="394"/>
        <v/>
      </c>
      <c r="Y255" s="18" t="str">
        <f t="shared" si="395"/>
        <v/>
      </c>
      <c r="Z255" s="7" t="str">
        <f t="shared" si="396"/>
        <v/>
      </c>
      <c r="AA255" s="18" t="str">
        <f t="shared" si="397"/>
        <v/>
      </c>
      <c r="AB255" s="19" t="str">
        <f t="shared" si="398"/>
        <v/>
      </c>
      <c r="AC255" s="26"/>
      <c r="AD255" s="26"/>
      <c r="AE255" s="25"/>
      <c r="AF255" s="26"/>
      <c r="AG255" s="25"/>
      <c r="AH255" s="25"/>
      <c r="AI255" s="18" t="str">
        <f t="shared" si="461"/>
        <v/>
      </c>
      <c r="AJ255" s="25"/>
      <c r="AK255" s="18" t="str">
        <f t="shared" si="462"/>
        <v/>
      </c>
      <c r="AL255" s="79"/>
      <c r="AM255" s="126" t="str">
        <f t="shared" si="463"/>
        <v/>
      </c>
      <c r="AN255" s="128" t="str">
        <f>IF(AP255&lt;&gt;"",VLOOKUP($P255&amp;" | "&amp;AN$6,'Job Master'!$F$12:$J$102,5,0),"")</f>
        <v/>
      </c>
      <c r="AO255" s="19" t="str">
        <f>IF(AP255&lt;&gt;"",VLOOKUP($P255&amp;" | "&amp;AN$6,'Job Master'!$F$12:$J$102,3,0),"")</f>
        <v/>
      </c>
      <c r="AP255" s="19" t="str">
        <f>IFERROR(IF(AND(AW255&lt;&gt;"",VLOOKUP($P255&amp;" | "&amp;AN$6,'Job Master'!$F$12:$I$102,4,0)&lt;&gt;""),IF(WEEKDAY(AW255-VLOOKUP($P255&amp;" | "&amp;AN$6,'Job Master'!$F$12:$I$102,4,0))&lt;&gt;7,AW255-VLOOKUP($P255&amp;" | "&amp;AN$6,'Job Master'!$F$12:$I$102,4,0),AW255-VLOOKUP($P255&amp;" | "&amp;AN$6,'Job Master'!$F$12:$I$102,4,0)-1),""),"")</f>
        <v/>
      </c>
      <c r="AQ255" s="73"/>
      <c r="AR255" s="123" t="str">
        <f t="shared" si="399"/>
        <v/>
      </c>
      <c r="AS255" s="123" t="str">
        <f t="shared" si="400"/>
        <v/>
      </c>
      <c r="AT255" s="97" t="str">
        <f t="shared" ca="1" si="401"/>
        <v/>
      </c>
      <c r="AU255" s="98" t="str">
        <f>IF(AW255&lt;&gt;"",VLOOKUP($P255&amp;" | "&amp;AU$6,'Job Master'!$F$12:$J$102,5,0),"")</f>
        <v/>
      </c>
      <c r="AV255" s="19" t="str">
        <f>IF(AW255&lt;&gt;"",VLOOKUP($P255&amp;" | "&amp;AU$6,'Job Master'!$F$12:$J$102,3,0),"")</f>
        <v/>
      </c>
      <c r="AW255" s="19" t="str">
        <f>IFERROR(IF(AND(BD255&lt;&gt;"",VLOOKUP($P255&amp;" | "&amp;AU$6,'Job Master'!$F$12:$I$102,4,0)&lt;&gt;""),IF(WEEKDAY(BD255-VLOOKUP($P255&amp;" | "&amp;AU$6,'Job Master'!$F$12:$I$102,4,0))&lt;&gt;7,BD255-VLOOKUP($P255&amp;" | "&amp;AU$6,'Job Master'!$F$12:$I$102,4,0),BD255-VLOOKUP($P255&amp;" | "&amp;AU$6,'Job Master'!$F$12:$I$102,4,0)-1),""),"")</f>
        <v/>
      </c>
      <c r="AX255" s="73"/>
      <c r="AY255" s="123" t="str">
        <f t="shared" si="402"/>
        <v/>
      </c>
      <c r="AZ255" s="123" t="str">
        <f t="shared" si="403"/>
        <v/>
      </c>
      <c r="BA255" s="97" t="str">
        <f t="shared" ca="1" si="404"/>
        <v/>
      </c>
      <c r="BB255" s="98" t="str">
        <f>IF(BD255&lt;&gt;"",VLOOKUP($P255&amp;" | "&amp;BB$6,'Job Master'!$F$12:$J$102,5,0),"")</f>
        <v/>
      </c>
      <c r="BC255" s="19" t="str">
        <f>IF(BD255&lt;&gt;"",VLOOKUP($P255&amp;" | "&amp;BB$6,'Job Master'!$F$12:$J$102,3,0),"")</f>
        <v/>
      </c>
      <c r="BD255" s="19" t="str">
        <f>IFERROR(IF(AND(BK255&lt;&gt;"",VLOOKUP($P255&amp;" | "&amp;BB$6,'Job Master'!$F$12:$I$102,4,0)&lt;&gt;""),IF(WEEKDAY(BK255-VLOOKUP($P255&amp;" | "&amp;BB$6,'Job Master'!$F$12:$I$102,4,0))&lt;&gt;7,BK255-VLOOKUP($P255&amp;" | "&amp;BB$6,'Job Master'!$F$12:$I$102,4,0),BK255-VLOOKUP($P255&amp;" | "&amp;BB$6,'Job Master'!$F$12:$I$102,4,0)-1),""),"")</f>
        <v/>
      </c>
      <c r="BE255" s="73"/>
      <c r="BF255" s="123" t="str">
        <f t="shared" si="405"/>
        <v/>
      </c>
      <c r="BG255" s="123" t="str">
        <f t="shared" si="406"/>
        <v/>
      </c>
      <c r="BH255" s="97" t="str">
        <f t="shared" ca="1" si="407"/>
        <v/>
      </c>
      <c r="BI255" s="98" t="str">
        <f>IF(BK255&lt;&gt;"",VLOOKUP($P255&amp;" | "&amp;BI$6,'Job Master'!$F$12:$J$102,5,0),"")</f>
        <v/>
      </c>
      <c r="BJ255" s="19" t="str">
        <f>IF(BK255&lt;&gt;"",VLOOKUP($P255&amp;" | "&amp;BI$6,'Job Master'!$F$12:$J$102,3,0),"")</f>
        <v/>
      </c>
      <c r="BK255" s="19" t="str">
        <f>IFERROR(IF(AND(BR255&lt;&gt;"",VLOOKUP($P255&amp;" | "&amp;BI$6,'Job Master'!$F$12:$I$102,4,0)&lt;&gt;""),IF(WEEKDAY(BR255-VLOOKUP($P255&amp;" | "&amp;BI$6,'Job Master'!$F$12:$I$102,4,0))&lt;&gt;7,BR255-VLOOKUP($P255&amp;" | "&amp;BI$6,'Job Master'!$F$12:$I$102,4,0),BR255-VLOOKUP($P255&amp;" | "&amp;BI$6,'Job Master'!$F$12:$I$102,4,0)-1),""),"")</f>
        <v/>
      </c>
      <c r="BL255" s="73"/>
      <c r="BM255" s="123" t="str">
        <f t="shared" si="408"/>
        <v/>
      </c>
      <c r="BN255" s="123" t="str">
        <f t="shared" si="409"/>
        <v/>
      </c>
      <c r="BO255" s="97" t="str">
        <f t="shared" ca="1" si="410"/>
        <v/>
      </c>
      <c r="BP255" s="98" t="str">
        <f>IF(BR255&lt;&gt;"",VLOOKUP($P255&amp;" | "&amp;BP$6,'Job Master'!$F$12:$J$102,5,0),"")</f>
        <v/>
      </c>
      <c r="BQ255" s="19" t="str">
        <f>IF(BR255&lt;&gt;"",VLOOKUP($P255&amp;" | "&amp;BP$6,'Job Master'!$F$12:$J$102,3,0),"")</f>
        <v/>
      </c>
      <c r="BR255" s="19" t="str">
        <f>IFERROR(IF(AND(BY255&lt;&gt;"",VLOOKUP($P255&amp;" | "&amp;BP$6,'Job Master'!$F$12:$I$102,4,0)&lt;&gt;""),IF(WEEKDAY(BY255-VLOOKUP($P255&amp;" | "&amp;BP$6,'Job Master'!$F$12:$I$102,4,0))&lt;&gt;7,BY255-VLOOKUP($P255&amp;" | "&amp;BP$6,'Job Master'!$F$12:$I$102,4,0),BY255-VLOOKUP($P255&amp;" | "&amp;BP$6,'Job Master'!$F$12:$I$102,4,0)-1),""),"")</f>
        <v/>
      </c>
      <c r="BS255" s="73"/>
      <c r="BT255" s="123" t="str">
        <f t="shared" si="411"/>
        <v/>
      </c>
      <c r="BU255" s="123" t="str">
        <f t="shared" si="412"/>
        <v/>
      </c>
      <c r="BV255" s="97" t="str">
        <f t="shared" ca="1" si="413"/>
        <v/>
      </c>
      <c r="BW255" s="98" t="str">
        <f>IF(BY255&lt;&gt;"",VLOOKUP($P255&amp;" | "&amp;BW$6,'Job Master'!$F$12:$J$102,5,0),"")</f>
        <v/>
      </c>
      <c r="BX255" s="19" t="str">
        <f>IF(BY255&lt;&gt;"",VLOOKUP($P255&amp;" | "&amp;BW$6,'Job Master'!$F$12:$J$102,3,0),"")</f>
        <v/>
      </c>
      <c r="BY255" s="19" t="str">
        <f>IFERROR(IF(AND(CF255&lt;&gt;"",VLOOKUP($P255&amp;" | "&amp;BW$6,'Job Master'!$F$12:$I$102,4,0)&lt;&gt;""),IF(WEEKDAY(CF255-VLOOKUP($P255&amp;" | "&amp;BW$6,'Job Master'!$F$12:$I$102,4,0))&lt;&gt;7,CF255-VLOOKUP($P255&amp;" | "&amp;BW$6,'Job Master'!$F$12:$I$102,4,0),CF255-VLOOKUP($P255&amp;" | "&amp;BW$6,'Job Master'!$F$12:$I$102,4,0)-1),""),"")</f>
        <v/>
      </c>
      <c r="BZ255" s="73"/>
      <c r="CA255" s="123" t="str">
        <f t="shared" si="414"/>
        <v/>
      </c>
      <c r="CB255" s="123" t="str">
        <f t="shared" si="415"/>
        <v/>
      </c>
      <c r="CC255" s="97" t="str">
        <f t="shared" ca="1" si="416"/>
        <v/>
      </c>
      <c r="CD255" s="98" t="str">
        <f>IF(CF255&lt;&gt;"",VLOOKUP($P255&amp;" | "&amp;CD$6,'Job Master'!$F$12:$J$102,5,0),"")</f>
        <v/>
      </c>
      <c r="CE255" s="19" t="str">
        <f>IF(CF255&lt;&gt;"",VLOOKUP($P255&amp;" | "&amp;CD$6,'Job Master'!$F$12:$J$102,3,0),"")</f>
        <v/>
      </c>
      <c r="CF255" s="19" t="str">
        <f>IFERROR(IF(AND(CM255&lt;&gt;"",VLOOKUP($P255&amp;" | "&amp;CD$6,'Job Master'!$F$12:$I$102,4,0)&lt;&gt;""),IF(WEEKDAY(CM255-VLOOKUP($P255&amp;" | "&amp;CD$6,'Job Master'!$F$12:$I$102,4,0))&lt;&gt;7,CM255-VLOOKUP($P255&amp;" | "&amp;CD$6,'Job Master'!$F$12:$I$102,4,0),CM255-VLOOKUP($P255&amp;" | "&amp;CD$6,'Job Master'!$F$12:$I$102,4,0)-1),""),"")</f>
        <v/>
      </c>
      <c r="CG255" s="73"/>
      <c r="CH255" s="123" t="str">
        <f t="shared" si="417"/>
        <v/>
      </c>
      <c r="CI255" s="123" t="str">
        <f t="shared" si="418"/>
        <v/>
      </c>
      <c r="CJ255" s="97" t="str">
        <f t="shared" ca="1" si="419"/>
        <v/>
      </c>
      <c r="CK255" s="98" t="str">
        <f>IF(CM255&lt;&gt;"",VLOOKUP($P255&amp;" | "&amp;CK$6,'Job Master'!$F$12:$J$102,5,0),"")</f>
        <v/>
      </c>
      <c r="CL255" s="19" t="str">
        <f>IF(CM255&lt;&gt;"",VLOOKUP($P255&amp;" | "&amp;CK$6,'Job Master'!$F$12:$J$102,3,0),"")</f>
        <v/>
      </c>
      <c r="CM255" s="19" t="str">
        <f>IFERROR(IF(AND(CT255&lt;&gt;"",VLOOKUP($P255&amp;" | "&amp;CK$6,'Job Master'!$F$12:$I$102,4,0)&lt;&gt;""),IF(WEEKDAY(CT255-VLOOKUP($P255&amp;" | "&amp;CK$6,'Job Master'!$F$12:$I$102,4,0))&lt;&gt;7,CT255-VLOOKUP($P255&amp;" | "&amp;CK$6,'Job Master'!$F$12:$I$102,4,0),CT255-VLOOKUP($P255&amp;" | "&amp;CK$6,'Job Master'!$F$12:$I$102,4,0)-1),""),"")</f>
        <v/>
      </c>
      <c r="CN255" s="73"/>
      <c r="CO255" s="123" t="str">
        <f t="shared" si="420"/>
        <v/>
      </c>
      <c r="CP255" s="123" t="str">
        <f t="shared" si="421"/>
        <v/>
      </c>
      <c r="CQ255" s="97" t="str">
        <f t="shared" ca="1" si="422"/>
        <v/>
      </c>
      <c r="CR255" s="98" t="str">
        <f>IF(CT255&lt;&gt;"",VLOOKUP($P255&amp;" | "&amp;CR$6,'Job Master'!$F$12:$J$102,5,0),"")</f>
        <v/>
      </c>
      <c r="CS255" s="19" t="str">
        <f>IF(CT255&lt;&gt;"",VLOOKUP($P255&amp;" | "&amp;CR$6,'Job Master'!$F$12:$J$102,3,0),"")</f>
        <v/>
      </c>
      <c r="CT255" s="19" t="str">
        <f>IFERROR(IF(AND(DA255&lt;&gt;"",VLOOKUP($P255&amp;" | "&amp;CR$6,'Job Master'!$F$12:$I$102,4,0)&lt;&gt;""),IF(WEEKDAY(DA255-VLOOKUP($P255&amp;" | "&amp;CR$6,'Job Master'!$F$12:$I$102,4,0))&lt;&gt;7,DA255-VLOOKUP($P255&amp;" | "&amp;CR$6,'Job Master'!$F$12:$I$102,4,0),DA255-VLOOKUP($P255&amp;" | "&amp;CR$6,'Job Master'!$F$12:$I$102,4,0)-1),""),"")</f>
        <v/>
      </c>
      <c r="CU255" s="73"/>
      <c r="CV255" s="123" t="str">
        <f t="shared" si="423"/>
        <v/>
      </c>
      <c r="CW255" s="123" t="str">
        <f t="shared" si="424"/>
        <v/>
      </c>
      <c r="CX255" s="97" t="str">
        <f t="shared" ca="1" si="425"/>
        <v/>
      </c>
      <c r="CY255" s="98" t="str">
        <f>IF(DA255&lt;&gt;"",VLOOKUP($P255&amp;" | "&amp;CY$6,'Job Master'!$F$12:$J$102,5,0),"")</f>
        <v/>
      </c>
      <c r="CZ255" s="19" t="str">
        <f>IF(DA255&lt;&gt;"",VLOOKUP($P255&amp;" | "&amp;CY$6,'Job Master'!$F$12:$J$102,3,0),"")</f>
        <v/>
      </c>
      <c r="DA255" s="19" t="str">
        <f>IFERROR(IF(AND(DH255&lt;&gt;"",VLOOKUP($P255&amp;" | "&amp;CY$6,'Job Master'!$F$12:$I$102,4,0)&lt;&gt;""),IF(WEEKDAY(DH255-VLOOKUP($P255&amp;" | "&amp;CY$6,'Job Master'!$F$12:$I$102,4,0))&lt;&gt;7,DH255-VLOOKUP($P255&amp;" | "&amp;CY$6,'Job Master'!$F$12:$I$102,4,0),DH255-VLOOKUP($P255&amp;" | "&amp;CY$6,'Job Master'!$F$12:$I$102,4,0)-1),""),"")</f>
        <v/>
      </c>
      <c r="DB255" s="73"/>
      <c r="DC255" s="123" t="str">
        <f t="shared" si="426"/>
        <v/>
      </c>
      <c r="DD255" s="123" t="str">
        <f t="shared" si="427"/>
        <v/>
      </c>
      <c r="DE255" s="97" t="str">
        <f t="shared" ca="1" si="428"/>
        <v/>
      </c>
      <c r="DF255" s="98" t="str">
        <f>IF(DH255&lt;&gt;"",VLOOKUP($P255&amp;" | "&amp;DF$6,'Job Master'!$F$12:$J$102,5,0),"")</f>
        <v/>
      </c>
      <c r="DG255" s="19" t="str">
        <f>IF(DH255&lt;&gt;"",VLOOKUP($P255&amp;" | "&amp;DF$6,'Job Master'!$F$12:$J$102,3,0),"")</f>
        <v/>
      </c>
      <c r="DH255" s="19" t="str">
        <f>IFERROR(IF(AND(DO255&lt;&gt;"",VLOOKUP($P255&amp;" | "&amp;DF$6,'Job Master'!$F$12:$I$102,4,0)&lt;&gt;""),IF(WEEKDAY(DO255-VLOOKUP($P255&amp;" | "&amp;DF$6,'Job Master'!$F$12:$I$102,4,0))&lt;&gt;7,DO255-VLOOKUP($P255&amp;" | "&amp;DF$6,'Job Master'!$F$12:$I$102,4,0),DO255-VLOOKUP($P255&amp;" | "&amp;DF$6,'Job Master'!$F$12:$I$102,4,0)-1),""),"")</f>
        <v/>
      </c>
      <c r="DI255" s="73"/>
      <c r="DJ255" s="123" t="str">
        <f t="shared" si="429"/>
        <v/>
      </c>
      <c r="DK255" s="123" t="str">
        <f t="shared" si="430"/>
        <v/>
      </c>
      <c r="DL255" s="97" t="str">
        <f t="shared" ca="1" si="431"/>
        <v/>
      </c>
      <c r="DM255" s="98" t="str">
        <f>IF(DO255&lt;&gt;"",VLOOKUP($P255&amp;" | "&amp;DM$6,'Job Master'!$F$12:$J$102,5,0),"")</f>
        <v/>
      </c>
      <c r="DN255" s="19" t="str">
        <f>IF(DO255&lt;&gt;"",VLOOKUP($P255&amp;" | "&amp;DM$6,'Job Master'!$F$12:$J$102,3,0),"")</f>
        <v/>
      </c>
      <c r="DO255" s="19" t="str">
        <f>IFERROR(IF(AND(DT255&lt;&gt;"",VLOOKUP($P255&amp;" | "&amp;DM$6,'Job Master'!$F$12:$I$102,4,0)&lt;&gt;""),IF(WEEKDAY(DT255-VLOOKUP($P255&amp;" | "&amp;DM$6,'Job Master'!$F$12:$I$102,4,0))&lt;&gt;7,DT255-VLOOKUP($P255&amp;" | "&amp;DM$6,'Job Master'!$F$12:$I$102,4,0),DT255-VLOOKUP($P255&amp;" | "&amp;DM$6,'Job Master'!$F$12:$I$102,4,0)-1),""),"")</f>
        <v/>
      </c>
      <c r="DP255" s="73"/>
      <c r="DQ255" s="123" t="str">
        <f t="shared" si="432"/>
        <v/>
      </c>
      <c r="DR255" s="123" t="str">
        <f t="shared" si="433"/>
        <v/>
      </c>
      <c r="DS255" s="97" t="str">
        <f t="shared" ca="1" si="434"/>
        <v/>
      </c>
      <c r="DT255" s="70" t="str">
        <f t="shared" si="435"/>
        <v/>
      </c>
      <c r="DU255" s="90"/>
      <c r="DV255" s="123" t="str">
        <f t="shared" si="436"/>
        <v/>
      </c>
      <c r="DW255" s="123" t="str">
        <f t="shared" si="437"/>
        <v/>
      </c>
      <c r="DX255" s="132" t="str">
        <f t="shared" ref="DX255" ca="1" si="502">IF(DT255&lt;&gt;"",IF(WEEKNUM(DT255)=WEEKNUM(TODAY()),"This Week",IF(WEEKNUM(DT255)=WEEKNUM(TODAY())+1,"Next Week",IF(WEEKNUM(DT255)=WEEKNUM(TODAY())-1,"Previous Week",""))),"")</f>
        <v/>
      </c>
      <c r="DY255" s="134" t="str">
        <f t="shared" si="439"/>
        <v/>
      </c>
      <c r="DZ255" s="95"/>
      <c r="EB255" s="8" t="str">
        <f t="shared" si="445"/>
        <v/>
      </c>
      <c r="EC255" s="8" t="str">
        <f>IF(O255&lt;&gt;"",VLOOKUP(O255,'Job Master'!$N$12:$O$18,2,0),"")</f>
        <v/>
      </c>
      <c r="ED255" s="8">
        <f t="shared" si="446"/>
        <v>19.5</v>
      </c>
      <c r="EE255" s="8">
        <f t="shared" si="447"/>
        <v>6</v>
      </c>
      <c r="EF255" s="8">
        <f t="shared" si="448"/>
        <v>-1450.5</v>
      </c>
      <c r="EG255" s="8" t="str">
        <f t="shared" si="449"/>
        <v/>
      </c>
      <c r="EH255" s="8" t="str">
        <f t="shared" si="450"/>
        <v/>
      </c>
    </row>
    <row r="256" spans="2:138" x14ac:dyDescent="0.3">
      <c r="B256" s="112"/>
      <c r="C256" s="27"/>
      <c r="D256" s="7" t="str">
        <f t="shared" si="387"/>
        <v/>
      </c>
      <c r="E256" s="25"/>
      <c r="F256" s="7" t="str">
        <f t="shared" si="387"/>
        <v/>
      </c>
      <c r="G256" s="25"/>
      <c r="H256" s="7" t="str">
        <f t="shared" si="387"/>
        <v/>
      </c>
      <c r="I256" s="25"/>
      <c r="J256" s="7" t="str">
        <f t="shared" si="387"/>
        <v/>
      </c>
      <c r="K256" s="25"/>
      <c r="L256" s="7" t="str">
        <f t="shared" si="388"/>
        <v/>
      </c>
      <c r="M256" s="25"/>
      <c r="N256" s="7" t="str">
        <f t="shared" si="389"/>
        <v/>
      </c>
      <c r="O256" s="81"/>
      <c r="P256" s="81" t="str">
        <f t="shared" si="390"/>
        <v/>
      </c>
      <c r="Q256" s="81"/>
      <c r="R256" s="7" t="str">
        <f t="shared" si="391"/>
        <v/>
      </c>
      <c r="S256" s="25"/>
      <c r="T256" s="7" t="str">
        <f t="shared" si="392"/>
        <v/>
      </c>
      <c r="U256" s="25"/>
      <c r="V256" s="7" t="str">
        <f t="shared" si="393"/>
        <v/>
      </c>
      <c r="W256" s="25"/>
      <c r="X256" s="7" t="str">
        <f t="shared" si="394"/>
        <v/>
      </c>
      <c r="Y256" s="18" t="str">
        <f t="shared" si="395"/>
        <v/>
      </c>
      <c r="Z256" s="7" t="str">
        <f t="shared" si="396"/>
        <v/>
      </c>
      <c r="AA256" s="18" t="str">
        <f t="shared" si="397"/>
        <v/>
      </c>
      <c r="AB256" s="19" t="str">
        <f t="shared" si="398"/>
        <v/>
      </c>
      <c r="AC256" s="26"/>
      <c r="AD256" s="26"/>
      <c r="AE256" s="25"/>
      <c r="AF256" s="26"/>
      <c r="AG256" s="25"/>
      <c r="AH256" s="25"/>
      <c r="AI256" s="18" t="str">
        <f t="shared" si="461"/>
        <v/>
      </c>
      <c r="AJ256" s="25"/>
      <c r="AK256" s="18" t="str">
        <f t="shared" si="462"/>
        <v/>
      </c>
      <c r="AL256" s="79"/>
      <c r="AM256" s="126" t="str">
        <f t="shared" si="463"/>
        <v/>
      </c>
      <c r="AN256" s="128" t="str">
        <f>IF(AP256&lt;&gt;"",VLOOKUP($P256&amp;" | "&amp;AN$6,'Job Master'!$F$12:$J$102,5,0),"")</f>
        <v/>
      </c>
      <c r="AO256" s="19" t="str">
        <f>IF(AP256&lt;&gt;"",VLOOKUP($P256&amp;" | "&amp;AN$6,'Job Master'!$F$12:$J$102,3,0),"")</f>
        <v/>
      </c>
      <c r="AP256" s="19" t="str">
        <f>IFERROR(IF(AND(AW256&lt;&gt;"",VLOOKUP($P256&amp;" | "&amp;AN$6,'Job Master'!$F$12:$I$102,4,0)&lt;&gt;""),IF(WEEKDAY(AW256-VLOOKUP($P256&amp;" | "&amp;AN$6,'Job Master'!$F$12:$I$102,4,0))&lt;&gt;7,AW256-VLOOKUP($P256&amp;" | "&amp;AN$6,'Job Master'!$F$12:$I$102,4,0),AW256-VLOOKUP($P256&amp;" | "&amp;AN$6,'Job Master'!$F$12:$I$102,4,0)-1),""),"")</f>
        <v/>
      </c>
      <c r="AQ256" s="73"/>
      <c r="AR256" s="123" t="str">
        <f t="shared" si="399"/>
        <v/>
      </c>
      <c r="AS256" s="123" t="str">
        <f t="shared" si="400"/>
        <v/>
      </c>
      <c r="AT256" s="97" t="str">
        <f t="shared" ca="1" si="401"/>
        <v/>
      </c>
      <c r="AU256" s="98" t="str">
        <f>IF(AW256&lt;&gt;"",VLOOKUP($P256&amp;" | "&amp;AU$6,'Job Master'!$F$12:$J$102,5,0),"")</f>
        <v/>
      </c>
      <c r="AV256" s="19" t="str">
        <f>IF(AW256&lt;&gt;"",VLOOKUP($P256&amp;" | "&amp;AU$6,'Job Master'!$F$12:$J$102,3,0),"")</f>
        <v/>
      </c>
      <c r="AW256" s="19" t="str">
        <f>IFERROR(IF(AND(BD256&lt;&gt;"",VLOOKUP($P256&amp;" | "&amp;AU$6,'Job Master'!$F$12:$I$102,4,0)&lt;&gt;""),IF(WEEKDAY(BD256-VLOOKUP($P256&amp;" | "&amp;AU$6,'Job Master'!$F$12:$I$102,4,0))&lt;&gt;7,BD256-VLOOKUP($P256&amp;" | "&amp;AU$6,'Job Master'!$F$12:$I$102,4,0),BD256-VLOOKUP($P256&amp;" | "&amp;AU$6,'Job Master'!$F$12:$I$102,4,0)-1),""),"")</f>
        <v/>
      </c>
      <c r="AX256" s="73"/>
      <c r="AY256" s="123" t="str">
        <f t="shared" si="402"/>
        <v/>
      </c>
      <c r="AZ256" s="123" t="str">
        <f t="shared" si="403"/>
        <v/>
      </c>
      <c r="BA256" s="97" t="str">
        <f t="shared" ca="1" si="404"/>
        <v/>
      </c>
      <c r="BB256" s="98" t="str">
        <f>IF(BD256&lt;&gt;"",VLOOKUP($P256&amp;" | "&amp;BB$6,'Job Master'!$F$12:$J$102,5,0),"")</f>
        <v/>
      </c>
      <c r="BC256" s="19" t="str">
        <f>IF(BD256&lt;&gt;"",VLOOKUP($P256&amp;" | "&amp;BB$6,'Job Master'!$F$12:$J$102,3,0),"")</f>
        <v/>
      </c>
      <c r="BD256" s="19" t="str">
        <f>IFERROR(IF(AND(BK256&lt;&gt;"",VLOOKUP($P256&amp;" | "&amp;BB$6,'Job Master'!$F$12:$I$102,4,0)&lt;&gt;""),IF(WEEKDAY(BK256-VLOOKUP($P256&amp;" | "&amp;BB$6,'Job Master'!$F$12:$I$102,4,0))&lt;&gt;7,BK256-VLOOKUP($P256&amp;" | "&amp;BB$6,'Job Master'!$F$12:$I$102,4,0),BK256-VLOOKUP($P256&amp;" | "&amp;BB$6,'Job Master'!$F$12:$I$102,4,0)-1),""),"")</f>
        <v/>
      </c>
      <c r="BE256" s="73"/>
      <c r="BF256" s="123" t="str">
        <f t="shared" si="405"/>
        <v/>
      </c>
      <c r="BG256" s="123" t="str">
        <f t="shared" si="406"/>
        <v/>
      </c>
      <c r="BH256" s="97" t="str">
        <f t="shared" ca="1" si="407"/>
        <v/>
      </c>
      <c r="BI256" s="98" t="str">
        <f>IF(BK256&lt;&gt;"",VLOOKUP($P256&amp;" | "&amp;BI$6,'Job Master'!$F$12:$J$102,5,0),"")</f>
        <v/>
      </c>
      <c r="BJ256" s="19" t="str">
        <f>IF(BK256&lt;&gt;"",VLOOKUP($P256&amp;" | "&amp;BI$6,'Job Master'!$F$12:$J$102,3,0),"")</f>
        <v/>
      </c>
      <c r="BK256" s="19" t="str">
        <f>IFERROR(IF(AND(BR256&lt;&gt;"",VLOOKUP($P256&amp;" | "&amp;BI$6,'Job Master'!$F$12:$I$102,4,0)&lt;&gt;""),IF(WEEKDAY(BR256-VLOOKUP($P256&amp;" | "&amp;BI$6,'Job Master'!$F$12:$I$102,4,0))&lt;&gt;7,BR256-VLOOKUP($P256&amp;" | "&amp;BI$6,'Job Master'!$F$12:$I$102,4,0),BR256-VLOOKUP($P256&amp;" | "&amp;BI$6,'Job Master'!$F$12:$I$102,4,0)-1),""),"")</f>
        <v/>
      </c>
      <c r="BL256" s="73"/>
      <c r="BM256" s="123" t="str">
        <f t="shared" si="408"/>
        <v/>
      </c>
      <c r="BN256" s="123" t="str">
        <f t="shared" si="409"/>
        <v/>
      </c>
      <c r="BO256" s="97" t="str">
        <f t="shared" ca="1" si="410"/>
        <v/>
      </c>
      <c r="BP256" s="98" t="str">
        <f>IF(BR256&lt;&gt;"",VLOOKUP($P256&amp;" | "&amp;BP$6,'Job Master'!$F$12:$J$102,5,0),"")</f>
        <v/>
      </c>
      <c r="BQ256" s="19" t="str">
        <f>IF(BR256&lt;&gt;"",VLOOKUP($P256&amp;" | "&amp;BP$6,'Job Master'!$F$12:$J$102,3,0),"")</f>
        <v/>
      </c>
      <c r="BR256" s="19" t="str">
        <f>IFERROR(IF(AND(BY256&lt;&gt;"",VLOOKUP($P256&amp;" | "&amp;BP$6,'Job Master'!$F$12:$I$102,4,0)&lt;&gt;""),IF(WEEKDAY(BY256-VLOOKUP($P256&amp;" | "&amp;BP$6,'Job Master'!$F$12:$I$102,4,0))&lt;&gt;7,BY256-VLOOKUP($P256&amp;" | "&amp;BP$6,'Job Master'!$F$12:$I$102,4,0),BY256-VLOOKUP($P256&amp;" | "&amp;BP$6,'Job Master'!$F$12:$I$102,4,0)-1),""),"")</f>
        <v/>
      </c>
      <c r="BS256" s="73"/>
      <c r="BT256" s="123" t="str">
        <f t="shared" si="411"/>
        <v/>
      </c>
      <c r="BU256" s="123" t="str">
        <f t="shared" si="412"/>
        <v/>
      </c>
      <c r="BV256" s="97" t="str">
        <f t="shared" ca="1" si="413"/>
        <v/>
      </c>
      <c r="BW256" s="98" t="str">
        <f>IF(BY256&lt;&gt;"",VLOOKUP($P256&amp;" | "&amp;BW$6,'Job Master'!$F$12:$J$102,5,0),"")</f>
        <v/>
      </c>
      <c r="BX256" s="19" t="str">
        <f>IF(BY256&lt;&gt;"",VLOOKUP($P256&amp;" | "&amp;BW$6,'Job Master'!$F$12:$J$102,3,0),"")</f>
        <v/>
      </c>
      <c r="BY256" s="19" t="str">
        <f>IFERROR(IF(AND(CF256&lt;&gt;"",VLOOKUP($P256&amp;" | "&amp;BW$6,'Job Master'!$F$12:$I$102,4,0)&lt;&gt;""),IF(WEEKDAY(CF256-VLOOKUP($P256&amp;" | "&amp;BW$6,'Job Master'!$F$12:$I$102,4,0))&lt;&gt;7,CF256-VLOOKUP($P256&amp;" | "&amp;BW$6,'Job Master'!$F$12:$I$102,4,0),CF256-VLOOKUP($P256&amp;" | "&amp;BW$6,'Job Master'!$F$12:$I$102,4,0)-1),""),"")</f>
        <v/>
      </c>
      <c r="BZ256" s="73"/>
      <c r="CA256" s="123" t="str">
        <f t="shared" si="414"/>
        <v/>
      </c>
      <c r="CB256" s="123" t="str">
        <f t="shared" si="415"/>
        <v/>
      </c>
      <c r="CC256" s="97" t="str">
        <f t="shared" ca="1" si="416"/>
        <v/>
      </c>
      <c r="CD256" s="98" t="str">
        <f>IF(CF256&lt;&gt;"",VLOOKUP($P256&amp;" | "&amp;CD$6,'Job Master'!$F$12:$J$102,5,0),"")</f>
        <v/>
      </c>
      <c r="CE256" s="19" t="str">
        <f>IF(CF256&lt;&gt;"",VLOOKUP($P256&amp;" | "&amp;CD$6,'Job Master'!$F$12:$J$102,3,0),"")</f>
        <v/>
      </c>
      <c r="CF256" s="19" t="str">
        <f>IFERROR(IF(AND(CM256&lt;&gt;"",VLOOKUP($P256&amp;" | "&amp;CD$6,'Job Master'!$F$12:$I$102,4,0)&lt;&gt;""),IF(WEEKDAY(CM256-VLOOKUP($P256&amp;" | "&amp;CD$6,'Job Master'!$F$12:$I$102,4,0))&lt;&gt;7,CM256-VLOOKUP($P256&amp;" | "&amp;CD$6,'Job Master'!$F$12:$I$102,4,0),CM256-VLOOKUP($P256&amp;" | "&amp;CD$6,'Job Master'!$F$12:$I$102,4,0)-1),""),"")</f>
        <v/>
      </c>
      <c r="CG256" s="73"/>
      <c r="CH256" s="123" t="str">
        <f t="shared" si="417"/>
        <v/>
      </c>
      <c r="CI256" s="123" t="str">
        <f t="shared" si="418"/>
        <v/>
      </c>
      <c r="CJ256" s="97" t="str">
        <f t="shared" ca="1" si="419"/>
        <v/>
      </c>
      <c r="CK256" s="98" t="str">
        <f>IF(CM256&lt;&gt;"",VLOOKUP($P256&amp;" | "&amp;CK$6,'Job Master'!$F$12:$J$102,5,0),"")</f>
        <v/>
      </c>
      <c r="CL256" s="19" t="str">
        <f>IF(CM256&lt;&gt;"",VLOOKUP($P256&amp;" | "&amp;CK$6,'Job Master'!$F$12:$J$102,3,0),"")</f>
        <v/>
      </c>
      <c r="CM256" s="19" t="str">
        <f>IFERROR(IF(AND(CT256&lt;&gt;"",VLOOKUP($P256&amp;" | "&amp;CK$6,'Job Master'!$F$12:$I$102,4,0)&lt;&gt;""),IF(WEEKDAY(CT256-VLOOKUP($P256&amp;" | "&amp;CK$6,'Job Master'!$F$12:$I$102,4,0))&lt;&gt;7,CT256-VLOOKUP($P256&amp;" | "&amp;CK$6,'Job Master'!$F$12:$I$102,4,0),CT256-VLOOKUP($P256&amp;" | "&amp;CK$6,'Job Master'!$F$12:$I$102,4,0)-1),""),"")</f>
        <v/>
      </c>
      <c r="CN256" s="73"/>
      <c r="CO256" s="123" t="str">
        <f t="shared" si="420"/>
        <v/>
      </c>
      <c r="CP256" s="123" t="str">
        <f t="shared" si="421"/>
        <v/>
      </c>
      <c r="CQ256" s="97" t="str">
        <f t="shared" ca="1" si="422"/>
        <v/>
      </c>
      <c r="CR256" s="98" t="str">
        <f>IF(CT256&lt;&gt;"",VLOOKUP($P256&amp;" | "&amp;CR$6,'Job Master'!$F$12:$J$102,5,0),"")</f>
        <v/>
      </c>
      <c r="CS256" s="19" t="str">
        <f>IF(CT256&lt;&gt;"",VLOOKUP($P256&amp;" | "&amp;CR$6,'Job Master'!$F$12:$J$102,3,0),"")</f>
        <v/>
      </c>
      <c r="CT256" s="19" t="str">
        <f>IFERROR(IF(AND(DA256&lt;&gt;"",VLOOKUP($P256&amp;" | "&amp;CR$6,'Job Master'!$F$12:$I$102,4,0)&lt;&gt;""),IF(WEEKDAY(DA256-VLOOKUP($P256&amp;" | "&amp;CR$6,'Job Master'!$F$12:$I$102,4,0))&lt;&gt;7,DA256-VLOOKUP($P256&amp;" | "&amp;CR$6,'Job Master'!$F$12:$I$102,4,0),DA256-VLOOKUP($P256&amp;" | "&amp;CR$6,'Job Master'!$F$12:$I$102,4,0)-1),""),"")</f>
        <v/>
      </c>
      <c r="CU256" s="73"/>
      <c r="CV256" s="123" t="str">
        <f t="shared" si="423"/>
        <v/>
      </c>
      <c r="CW256" s="123" t="str">
        <f t="shared" si="424"/>
        <v/>
      </c>
      <c r="CX256" s="97" t="str">
        <f t="shared" ca="1" si="425"/>
        <v/>
      </c>
      <c r="CY256" s="98" t="str">
        <f>IF(DA256&lt;&gt;"",VLOOKUP($P256&amp;" | "&amp;CY$6,'Job Master'!$F$12:$J$102,5,0),"")</f>
        <v/>
      </c>
      <c r="CZ256" s="19" t="str">
        <f>IF(DA256&lt;&gt;"",VLOOKUP($P256&amp;" | "&amp;CY$6,'Job Master'!$F$12:$J$102,3,0),"")</f>
        <v/>
      </c>
      <c r="DA256" s="19" t="str">
        <f>IFERROR(IF(AND(DH256&lt;&gt;"",VLOOKUP($P256&amp;" | "&amp;CY$6,'Job Master'!$F$12:$I$102,4,0)&lt;&gt;""),IF(WEEKDAY(DH256-VLOOKUP($P256&amp;" | "&amp;CY$6,'Job Master'!$F$12:$I$102,4,0))&lt;&gt;7,DH256-VLOOKUP($P256&amp;" | "&amp;CY$6,'Job Master'!$F$12:$I$102,4,0),DH256-VLOOKUP($P256&amp;" | "&amp;CY$6,'Job Master'!$F$12:$I$102,4,0)-1),""),"")</f>
        <v/>
      </c>
      <c r="DB256" s="73"/>
      <c r="DC256" s="123" t="str">
        <f t="shared" si="426"/>
        <v/>
      </c>
      <c r="DD256" s="123" t="str">
        <f t="shared" si="427"/>
        <v/>
      </c>
      <c r="DE256" s="97" t="str">
        <f t="shared" ca="1" si="428"/>
        <v/>
      </c>
      <c r="DF256" s="98" t="str">
        <f>IF(DH256&lt;&gt;"",VLOOKUP($P256&amp;" | "&amp;DF$6,'Job Master'!$F$12:$J$102,5,0),"")</f>
        <v/>
      </c>
      <c r="DG256" s="19" t="str">
        <f>IF(DH256&lt;&gt;"",VLOOKUP($P256&amp;" | "&amp;DF$6,'Job Master'!$F$12:$J$102,3,0),"")</f>
        <v/>
      </c>
      <c r="DH256" s="19" t="str">
        <f>IFERROR(IF(AND(DO256&lt;&gt;"",VLOOKUP($P256&amp;" | "&amp;DF$6,'Job Master'!$F$12:$I$102,4,0)&lt;&gt;""),IF(WEEKDAY(DO256-VLOOKUP($P256&amp;" | "&amp;DF$6,'Job Master'!$F$12:$I$102,4,0))&lt;&gt;7,DO256-VLOOKUP($P256&amp;" | "&amp;DF$6,'Job Master'!$F$12:$I$102,4,0),DO256-VLOOKUP($P256&amp;" | "&amp;DF$6,'Job Master'!$F$12:$I$102,4,0)-1),""),"")</f>
        <v/>
      </c>
      <c r="DI256" s="73"/>
      <c r="DJ256" s="123" t="str">
        <f t="shared" si="429"/>
        <v/>
      </c>
      <c r="DK256" s="123" t="str">
        <f t="shared" si="430"/>
        <v/>
      </c>
      <c r="DL256" s="97" t="str">
        <f t="shared" ca="1" si="431"/>
        <v/>
      </c>
      <c r="DM256" s="98" t="str">
        <f>IF(DO256&lt;&gt;"",VLOOKUP($P256&amp;" | "&amp;DM$6,'Job Master'!$F$12:$J$102,5,0),"")</f>
        <v/>
      </c>
      <c r="DN256" s="19" t="str">
        <f>IF(DO256&lt;&gt;"",VLOOKUP($P256&amp;" | "&amp;DM$6,'Job Master'!$F$12:$J$102,3,0),"")</f>
        <v/>
      </c>
      <c r="DO256" s="19" t="str">
        <f>IFERROR(IF(AND(DT256&lt;&gt;"",VLOOKUP($P256&amp;" | "&amp;DM$6,'Job Master'!$F$12:$I$102,4,0)&lt;&gt;""),IF(WEEKDAY(DT256-VLOOKUP($P256&amp;" | "&amp;DM$6,'Job Master'!$F$12:$I$102,4,0))&lt;&gt;7,DT256-VLOOKUP($P256&amp;" | "&amp;DM$6,'Job Master'!$F$12:$I$102,4,0),DT256-VLOOKUP($P256&amp;" | "&amp;DM$6,'Job Master'!$F$12:$I$102,4,0)-1),""),"")</f>
        <v/>
      </c>
      <c r="DP256" s="73"/>
      <c r="DQ256" s="123" t="str">
        <f t="shared" si="432"/>
        <v/>
      </c>
      <c r="DR256" s="123" t="str">
        <f t="shared" si="433"/>
        <v/>
      </c>
      <c r="DS256" s="97" t="str">
        <f t="shared" ca="1" si="434"/>
        <v/>
      </c>
      <c r="DT256" s="70" t="str">
        <f t="shared" si="435"/>
        <v/>
      </c>
      <c r="DU256" s="90"/>
      <c r="DV256" s="123" t="str">
        <f t="shared" si="436"/>
        <v/>
      </c>
      <c r="DW256" s="123" t="str">
        <f t="shared" si="437"/>
        <v/>
      </c>
      <c r="DX256" s="132" t="str">
        <f t="shared" ref="DX256" ca="1" si="503">IF(DT256&lt;&gt;"",IF(WEEKNUM(DT256)=WEEKNUM(TODAY()),"This Week",IF(WEEKNUM(DT256)=WEEKNUM(TODAY())+1,"Next Week",IF(WEEKNUM(DT256)=WEEKNUM(TODAY())-1,"Previous Week",""))),"")</f>
        <v/>
      </c>
      <c r="DY256" s="134" t="str">
        <f t="shared" si="439"/>
        <v/>
      </c>
      <c r="DZ256" s="95"/>
      <c r="EB256" s="8" t="str">
        <f t="shared" si="445"/>
        <v/>
      </c>
      <c r="EC256" s="8" t="str">
        <f>IF(O256&lt;&gt;"",VLOOKUP(O256,'Job Master'!$N$12:$O$18,2,0),"")</f>
        <v/>
      </c>
      <c r="ED256" s="8">
        <f t="shared" si="446"/>
        <v>19.5</v>
      </c>
      <c r="EE256" s="8">
        <f t="shared" si="447"/>
        <v>6</v>
      </c>
      <c r="EF256" s="8">
        <f t="shared" si="448"/>
        <v>-1456.5</v>
      </c>
      <c r="EG256" s="8" t="str">
        <f t="shared" si="449"/>
        <v/>
      </c>
      <c r="EH256" s="8" t="str">
        <f t="shared" si="450"/>
        <v/>
      </c>
    </row>
    <row r="257" spans="2:138" x14ac:dyDescent="0.3">
      <c r="B257" s="112"/>
      <c r="C257" s="27"/>
      <c r="D257" s="7" t="str">
        <f t="shared" si="387"/>
        <v/>
      </c>
      <c r="E257" s="25"/>
      <c r="F257" s="7" t="str">
        <f t="shared" si="387"/>
        <v/>
      </c>
      <c r="G257" s="25"/>
      <c r="H257" s="7" t="str">
        <f t="shared" si="387"/>
        <v/>
      </c>
      <c r="I257" s="25"/>
      <c r="J257" s="7" t="str">
        <f t="shared" si="387"/>
        <v/>
      </c>
      <c r="K257" s="25"/>
      <c r="L257" s="7" t="str">
        <f t="shared" si="388"/>
        <v/>
      </c>
      <c r="M257" s="25"/>
      <c r="N257" s="7" t="str">
        <f t="shared" si="389"/>
        <v/>
      </c>
      <c r="O257" s="81"/>
      <c r="P257" s="81" t="str">
        <f t="shared" si="390"/>
        <v/>
      </c>
      <c r="Q257" s="81"/>
      <c r="R257" s="7" t="str">
        <f t="shared" si="391"/>
        <v/>
      </c>
      <c r="S257" s="25"/>
      <c r="T257" s="7" t="str">
        <f t="shared" si="392"/>
        <v/>
      </c>
      <c r="U257" s="25"/>
      <c r="V257" s="7" t="str">
        <f t="shared" si="393"/>
        <v/>
      </c>
      <c r="W257" s="25"/>
      <c r="X257" s="7" t="str">
        <f t="shared" si="394"/>
        <v/>
      </c>
      <c r="Y257" s="18" t="str">
        <f t="shared" si="395"/>
        <v/>
      </c>
      <c r="Z257" s="7" t="str">
        <f t="shared" si="396"/>
        <v/>
      </c>
      <c r="AA257" s="18" t="str">
        <f t="shared" si="397"/>
        <v/>
      </c>
      <c r="AB257" s="19" t="str">
        <f t="shared" si="398"/>
        <v/>
      </c>
      <c r="AC257" s="26"/>
      <c r="AD257" s="26"/>
      <c r="AE257" s="25"/>
      <c r="AF257" s="26"/>
      <c r="AG257" s="25"/>
      <c r="AH257" s="25"/>
      <c r="AI257" s="18" t="str">
        <f t="shared" si="461"/>
        <v/>
      </c>
      <c r="AJ257" s="25"/>
      <c r="AK257" s="18" t="str">
        <f t="shared" si="462"/>
        <v/>
      </c>
      <c r="AL257" s="79"/>
      <c r="AM257" s="126" t="str">
        <f t="shared" si="463"/>
        <v/>
      </c>
      <c r="AN257" s="128" t="str">
        <f>IF(AP257&lt;&gt;"",VLOOKUP($P257&amp;" | "&amp;AN$6,'Job Master'!$F$12:$J$102,5,0),"")</f>
        <v/>
      </c>
      <c r="AO257" s="19" t="str">
        <f>IF(AP257&lt;&gt;"",VLOOKUP($P257&amp;" | "&amp;AN$6,'Job Master'!$F$12:$J$102,3,0),"")</f>
        <v/>
      </c>
      <c r="AP257" s="19" t="str">
        <f>IFERROR(IF(AND(AW257&lt;&gt;"",VLOOKUP($P257&amp;" | "&amp;AN$6,'Job Master'!$F$12:$I$102,4,0)&lt;&gt;""),IF(WEEKDAY(AW257-VLOOKUP($P257&amp;" | "&amp;AN$6,'Job Master'!$F$12:$I$102,4,0))&lt;&gt;7,AW257-VLOOKUP($P257&amp;" | "&amp;AN$6,'Job Master'!$F$12:$I$102,4,0),AW257-VLOOKUP($P257&amp;" | "&amp;AN$6,'Job Master'!$F$12:$I$102,4,0)-1),""),"")</f>
        <v/>
      </c>
      <c r="AQ257" s="73"/>
      <c r="AR257" s="123" t="str">
        <f t="shared" si="399"/>
        <v/>
      </c>
      <c r="AS257" s="123" t="str">
        <f t="shared" si="400"/>
        <v/>
      </c>
      <c r="AT257" s="97" t="str">
        <f t="shared" ca="1" si="401"/>
        <v/>
      </c>
      <c r="AU257" s="98" t="str">
        <f>IF(AW257&lt;&gt;"",VLOOKUP($P257&amp;" | "&amp;AU$6,'Job Master'!$F$12:$J$102,5,0),"")</f>
        <v/>
      </c>
      <c r="AV257" s="19" t="str">
        <f>IF(AW257&lt;&gt;"",VLOOKUP($P257&amp;" | "&amp;AU$6,'Job Master'!$F$12:$J$102,3,0),"")</f>
        <v/>
      </c>
      <c r="AW257" s="19" t="str">
        <f>IFERROR(IF(AND(BD257&lt;&gt;"",VLOOKUP($P257&amp;" | "&amp;AU$6,'Job Master'!$F$12:$I$102,4,0)&lt;&gt;""),IF(WEEKDAY(BD257-VLOOKUP($P257&amp;" | "&amp;AU$6,'Job Master'!$F$12:$I$102,4,0))&lt;&gt;7,BD257-VLOOKUP($P257&amp;" | "&amp;AU$6,'Job Master'!$F$12:$I$102,4,0),BD257-VLOOKUP($P257&amp;" | "&amp;AU$6,'Job Master'!$F$12:$I$102,4,0)-1),""),"")</f>
        <v/>
      </c>
      <c r="AX257" s="73"/>
      <c r="AY257" s="123" t="str">
        <f t="shared" si="402"/>
        <v/>
      </c>
      <c r="AZ257" s="123" t="str">
        <f t="shared" si="403"/>
        <v/>
      </c>
      <c r="BA257" s="97" t="str">
        <f t="shared" ca="1" si="404"/>
        <v/>
      </c>
      <c r="BB257" s="98" t="str">
        <f>IF(BD257&lt;&gt;"",VLOOKUP($P257&amp;" | "&amp;BB$6,'Job Master'!$F$12:$J$102,5,0),"")</f>
        <v/>
      </c>
      <c r="BC257" s="19" t="str">
        <f>IF(BD257&lt;&gt;"",VLOOKUP($P257&amp;" | "&amp;BB$6,'Job Master'!$F$12:$J$102,3,0),"")</f>
        <v/>
      </c>
      <c r="BD257" s="19" t="str">
        <f>IFERROR(IF(AND(BK257&lt;&gt;"",VLOOKUP($P257&amp;" | "&amp;BB$6,'Job Master'!$F$12:$I$102,4,0)&lt;&gt;""),IF(WEEKDAY(BK257-VLOOKUP($P257&amp;" | "&amp;BB$6,'Job Master'!$F$12:$I$102,4,0))&lt;&gt;7,BK257-VLOOKUP($P257&amp;" | "&amp;BB$6,'Job Master'!$F$12:$I$102,4,0),BK257-VLOOKUP($P257&amp;" | "&amp;BB$6,'Job Master'!$F$12:$I$102,4,0)-1),""),"")</f>
        <v/>
      </c>
      <c r="BE257" s="73"/>
      <c r="BF257" s="123" t="str">
        <f t="shared" si="405"/>
        <v/>
      </c>
      <c r="BG257" s="123" t="str">
        <f t="shared" si="406"/>
        <v/>
      </c>
      <c r="BH257" s="97" t="str">
        <f t="shared" ca="1" si="407"/>
        <v/>
      </c>
      <c r="BI257" s="98" t="str">
        <f>IF(BK257&lt;&gt;"",VLOOKUP($P257&amp;" | "&amp;BI$6,'Job Master'!$F$12:$J$102,5,0),"")</f>
        <v/>
      </c>
      <c r="BJ257" s="19" t="str">
        <f>IF(BK257&lt;&gt;"",VLOOKUP($P257&amp;" | "&amp;BI$6,'Job Master'!$F$12:$J$102,3,0),"")</f>
        <v/>
      </c>
      <c r="BK257" s="19" t="str">
        <f>IFERROR(IF(AND(BR257&lt;&gt;"",VLOOKUP($P257&amp;" | "&amp;BI$6,'Job Master'!$F$12:$I$102,4,0)&lt;&gt;""),IF(WEEKDAY(BR257-VLOOKUP($P257&amp;" | "&amp;BI$6,'Job Master'!$F$12:$I$102,4,0))&lt;&gt;7,BR257-VLOOKUP($P257&amp;" | "&amp;BI$6,'Job Master'!$F$12:$I$102,4,0),BR257-VLOOKUP($P257&amp;" | "&amp;BI$6,'Job Master'!$F$12:$I$102,4,0)-1),""),"")</f>
        <v/>
      </c>
      <c r="BL257" s="73"/>
      <c r="BM257" s="123" t="str">
        <f t="shared" si="408"/>
        <v/>
      </c>
      <c r="BN257" s="123" t="str">
        <f t="shared" si="409"/>
        <v/>
      </c>
      <c r="BO257" s="97" t="str">
        <f t="shared" ca="1" si="410"/>
        <v/>
      </c>
      <c r="BP257" s="98" t="str">
        <f>IF(BR257&lt;&gt;"",VLOOKUP($P257&amp;" | "&amp;BP$6,'Job Master'!$F$12:$J$102,5,0),"")</f>
        <v/>
      </c>
      <c r="BQ257" s="19" t="str">
        <f>IF(BR257&lt;&gt;"",VLOOKUP($P257&amp;" | "&amp;BP$6,'Job Master'!$F$12:$J$102,3,0),"")</f>
        <v/>
      </c>
      <c r="BR257" s="19" t="str">
        <f>IFERROR(IF(AND(BY257&lt;&gt;"",VLOOKUP($P257&amp;" | "&amp;BP$6,'Job Master'!$F$12:$I$102,4,0)&lt;&gt;""),IF(WEEKDAY(BY257-VLOOKUP($P257&amp;" | "&amp;BP$6,'Job Master'!$F$12:$I$102,4,0))&lt;&gt;7,BY257-VLOOKUP($P257&amp;" | "&amp;BP$6,'Job Master'!$F$12:$I$102,4,0),BY257-VLOOKUP($P257&amp;" | "&amp;BP$6,'Job Master'!$F$12:$I$102,4,0)-1),""),"")</f>
        <v/>
      </c>
      <c r="BS257" s="73"/>
      <c r="BT257" s="123" t="str">
        <f t="shared" si="411"/>
        <v/>
      </c>
      <c r="BU257" s="123" t="str">
        <f t="shared" si="412"/>
        <v/>
      </c>
      <c r="BV257" s="97" t="str">
        <f t="shared" ca="1" si="413"/>
        <v/>
      </c>
      <c r="BW257" s="98" t="str">
        <f>IF(BY257&lt;&gt;"",VLOOKUP($P257&amp;" | "&amp;BW$6,'Job Master'!$F$12:$J$102,5,0),"")</f>
        <v/>
      </c>
      <c r="BX257" s="19" t="str">
        <f>IF(BY257&lt;&gt;"",VLOOKUP($P257&amp;" | "&amp;BW$6,'Job Master'!$F$12:$J$102,3,0),"")</f>
        <v/>
      </c>
      <c r="BY257" s="19" t="str">
        <f>IFERROR(IF(AND(CF257&lt;&gt;"",VLOOKUP($P257&amp;" | "&amp;BW$6,'Job Master'!$F$12:$I$102,4,0)&lt;&gt;""),IF(WEEKDAY(CF257-VLOOKUP($P257&amp;" | "&amp;BW$6,'Job Master'!$F$12:$I$102,4,0))&lt;&gt;7,CF257-VLOOKUP($P257&amp;" | "&amp;BW$6,'Job Master'!$F$12:$I$102,4,0),CF257-VLOOKUP($P257&amp;" | "&amp;BW$6,'Job Master'!$F$12:$I$102,4,0)-1),""),"")</f>
        <v/>
      </c>
      <c r="BZ257" s="73"/>
      <c r="CA257" s="123" t="str">
        <f t="shared" si="414"/>
        <v/>
      </c>
      <c r="CB257" s="123" t="str">
        <f t="shared" si="415"/>
        <v/>
      </c>
      <c r="CC257" s="97" t="str">
        <f t="shared" ca="1" si="416"/>
        <v/>
      </c>
      <c r="CD257" s="98" t="str">
        <f>IF(CF257&lt;&gt;"",VLOOKUP($P257&amp;" | "&amp;CD$6,'Job Master'!$F$12:$J$102,5,0),"")</f>
        <v/>
      </c>
      <c r="CE257" s="19" t="str">
        <f>IF(CF257&lt;&gt;"",VLOOKUP($P257&amp;" | "&amp;CD$6,'Job Master'!$F$12:$J$102,3,0),"")</f>
        <v/>
      </c>
      <c r="CF257" s="19" t="str">
        <f>IFERROR(IF(AND(CM257&lt;&gt;"",VLOOKUP($P257&amp;" | "&amp;CD$6,'Job Master'!$F$12:$I$102,4,0)&lt;&gt;""),IF(WEEKDAY(CM257-VLOOKUP($P257&amp;" | "&amp;CD$6,'Job Master'!$F$12:$I$102,4,0))&lt;&gt;7,CM257-VLOOKUP($P257&amp;" | "&amp;CD$6,'Job Master'!$F$12:$I$102,4,0),CM257-VLOOKUP($P257&amp;" | "&amp;CD$6,'Job Master'!$F$12:$I$102,4,0)-1),""),"")</f>
        <v/>
      </c>
      <c r="CG257" s="73"/>
      <c r="CH257" s="123" t="str">
        <f t="shared" si="417"/>
        <v/>
      </c>
      <c r="CI257" s="123" t="str">
        <f t="shared" si="418"/>
        <v/>
      </c>
      <c r="CJ257" s="97" t="str">
        <f t="shared" ca="1" si="419"/>
        <v/>
      </c>
      <c r="CK257" s="98" t="str">
        <f>IF(CM257&lt;&gt;"",VLOOKUP($P257&amp;" | "&amp;CK$6,'Job Master'!$F$12:$J$102,5,0),"")</f>
        <v/>
      </c>
      <c r="CL257" s="19" t="str">
        <f>IF(CM257&lt;&gt;"",VLOOKUP($P257&amp;" | "&amp;CK$6,'Job Master'!$F$12:$J$102,3,0),"")</f>
        <v/>
      </c>
      <c r="CM257" s="19" t="str">
        <f>IFERROR(IF(AND(CT257&lt;&gt;"",VLOOKUP($P257&amp;" | "&amp;CK$6,'Job Master'!$F$12:$I$102,4,0)&lt;&gt;""),IF(WEEKDAY(CT257-VLOOKUP($P257&amp;" | "&amp;CK$6,'Job Master'!$F$12:$I$102,4,0))&lt;&gt;7,CT257-VLOOKUP($P257&amp;" | "&amp;CK$6,'Job Master'!$F$12:$I$102,4,0),CT257-VLOOKUP($P257&amp;" | "&amp;CK$6,'Job Master'!$F$12:$I$102,4,0)-1),""),"")</f>
        <v/>
      </c>
      <c r="CN257" s="73"/>
      <c r="CO257" s="123" t="str">
        <f t="shared" si="420"/>
        <v/>
      </c>
      <c r="CP257" s="123" t="str">
        <f t="shared" si="421"/>
        <v/>
      </c>
      <c r="CQ257" s="97" t="str">
        <f t="shared" ca="1" si="422"/>
        <v/>
      </c>
      <c r="CR257" s="98" t="str">
        <f>IF(CT257&lt;&gt;"",VLOOKUP($P257&amp;" | "&amp;CR$6,'Job Master'!$F$12:$J$102,5,0),"")</f>
        <v/>
      </c>
      <c r="CS257" s="19" t="str">
        <f>IF(CT257&lt;&gt;"",VLOOKUP($P257&amp;" | "&amp;CR$6,'Job Master'!$F$12:$J$102,3,0),"")</f>
        <v/>
      </c>
      <c r="CT257" s="19" t="str">
        <f>IFERROR(IF(AND(DA257&lt;&gt;"",VLOOKUP($P257&amp;" | "&amp;CR$6,'Job Master'!$F$12:$I$102,4,0)&lt;&gt;""),IF(WEEKDAY(DA257-VLOOKUP($P257&amp;" | "&amp;CR$6,'Job Master'!$F$12:$I$102,4,0))&lt;&gt;7,DA257-VLOOKUP($P257&amp;" | "&amp;CR$6,'Job Master'!$F$12:$I$102,4,0),DA257-VLOOKUP($P257&amp;" | "&amp;CR$6,'Job Master'!$F$12:$I$102,4,0)-1),""),"")</f>
        <v/>
      </c>
      <c r="CU257" s="73"/>
      <c r="CV257" s="123" t="str">
        <f t="shared" si="423"/>
        <v/>
      </c>
      <c r="CW257" s="123" t="str">
        <f t="shared" si="424"/>
        <v/>
      </c>
      <c r="CX257" s="97" t="str">
        <f t="shared" ca="1" si="425"/>
        <v/>
      </c>
      <c r="CY257" s="98" t="str">
        <f>IF(DA257&lt;&gt;"",VLOOKUP($P257&amp;" | "&amp;CY$6,'Job Master'!$F$12:$J$102,5,0),"")</f>
        <v/>
      </c>
      <c r="CZ257" s="19" t="str">
        <f>IF(DA257&lt;&gt;"",VLOOKUP($P257&amp;" | "&amp;CY$6,'Job Master'!$F$12:$J$102,3,0),"")</f>
        <v/>
      </c>
      <c r="DA257" s="19" t="str">
        <f>IFERROR(IF(AND(DH257&lt;&gt;"",VLOOKUP($P257&amp;" | "&amp;CY$6,'Job Master'!$F$12:$I$102,4,0)&lt;&gt;""),IF(WEEKDAY(DH257-VLOOKUP($P257&amp;" | "&amp;CY$6,'Job Master'!$F$12:$I$102,4,0))&lt;&gt;7,DH257-VLOOKUP($P257&amp;" | "&amp;CY$6,'Job Master'!$F$12:$I$102,4,0),DH257-VLOOKUP($P257&amp;" | "&amp;CY$6,'Job Master'!$F$12:$I$102,4,0)-1),""),"")</f>
        <v/>
      </c>
      <c r="DB257" s="73"/>
      <c r="DC257" s="123" t="str">
        <f t="shared" si="426"/>
        <v/>
      </c>
      <c r="DD257" s="123" t="str">
        <f t="shared" si="427"/>
        <v/>
      </c>
      <c r="DE257" s="97" t="str">
        <f t="shared" ca="1" si="428"/>
        <v/>
      </c>
      <c r="DF257" s="98" t="str">
        <f>IF(DH257&lt;&gt;"",VLOOKUP($P257&amp;" | "&amp;DF$6,'Job Master'!$F$12:$J$102,5,0),"")</f>
        <v/>
      </c>
      <c r="DG257" s="19" t="str">
        <f>IF(DH257&lt;&gt;"",VLOOKUP($P257&amp;" | "&amp;DF$6,'Job Master'!$F$12:$J$102,3,0),"")</f>
        <v/>
      </c>
      <c r="DH257" s="19" t="str">
        <f>IFERROR(IF(AND(DO257&lt;&gt;"",VLOOKUP($P257&amp;" | "&amp;DF$6,'Job Master'!$F$12:$I$102,4,0)&lt;&gt;""),IF(WEEKDAY(DO257-VLOOKUP($P257&amp;" | "&amp;DF$6,'Job Master'!$F$12:$I$102,4,0))&lt;&gt;7,DO257-VLOOKUP($P257&amp;" | "&amp;DF$6,'Job Master'!$F$12:$I$102,4,0),DO257-VLOOKUP($P257&amp;" | "&amp;DF$6,'Job Master'!$F$12:$I$102,4,0)-1),""),"")</f>
        <v/>
      </c>
      <c r="DI257" s="73"/>
      <c r="DJ257" s="123" t="str">
        <f t="shared" si="429"/>
        <v/>
      </c>
      <c r="DK257" s="123" t="str">
        <f t="shared" si="430"/>
        <v/>
      </c>
      <c r="DL257" s="97" t="str">
        <f t="shared" ca="1" si="431"/>
        <v/>
      </c>
      <c r="DM257" s="98" t="str">
        <f>IF(DO257&lt;&gt;"",VLOOKUP($P257&amp;" | "&amp;DM$6,'Job Master'!$F$12:$J$102,5,0),"")</f>
        <v/>
      </c>
      <c r="DN257" s="19" t="str">
        <f>IF(DO257&lt;&gt;"",VLOOKUP($P257&amp;" | "&amp;DM$6,'Job Master'!$F$12:$J$102,3,0),"")</f>
        <v/>
      </c>
      <c r="DO257" s="19" t="str">
        <f>IFERROR(IF(AND(DT257&lt;&gt;"",VLOOKUP($P257&amp;" | "&amp;DM$6,'Job Master'!$F$12:$I$102,4,0)&lt;&gt;""),IF(WEEKDAY(DT257-VLOOKUP($P257&amp;" | "&amp;DM$6,'Job Master'!$F$12:$I$102,4,0))&lt;&gt;7,DT257-VLOOKUP($P257&amp;" | "&amp;DM$6,'Job Master'!$F$12:$I$102,4,0),DT257-VLOOKUP($P257&amp;" | "&amp;DM$6,'Job Master'!$F$12:$I$102,4,0)-1),""),"")</f>
        <v/>
      </c>
      <c r="DP257" s="73"/>
      <c r="DQ257" s="123" t="str">
        <f t="shared" si="432"/>
        <v/>
      </c>
      <c r="DR257" s="123" t="str">
        <f t="shared" si="433"/>
        <v/>
      </c>
      <c r="DS257" s="97" t="str">
        <f t="shared" ca="1" si="434"/>
        <v/>
      </c>
      <c r="DT257" s="70" t="str">
        <f t="shared" si="435"/>
        <v/>
      </c>
      <c r="DU257" s="90"/>
      <c r="DV257" s="123" t="str">
        <f t="shared" si="436"/>
        <v/>
      </c>
      <c r="DW257" s="123" t="str">
        <f t="shared" si="437"/>
        <v/>
      </c>
      <c r="DX257" s="132" t="str">
        <f t="shared" ref="DX257" ca="1" si="504">IF(DT257&lt;&gt;"",IF(WEEKNUM(DT257)=WEEKNUM(TODAY()),"This Week",IF(WEEKNUM(DT257)=WEEKNUM(TODAY())+1,"Next Week",IF(WEEKNUM(DT257)=WEEKNUM(TODAY())-1,"Previous Week",""))),"")</f>
        <v/>
      </c>
      <c r="DY257" s="134" t="str">
        <f t="shared" si="439"/>
        <v/>
      </c>
      <c r="DZ257" s="95"/>
      <c r="EB257" s="8" t="str">
        <f t="shared" si="445"/>
        <v/>
      </c>
      <c r="EC257" s="8" t="str">
        <f>IF(O257&lt;&gt;"",VLOOKUP(O257,'Job Master'!$N$12:$O$18,2,0),"")</f>
        <v/>
      </c>
      <c r="ED257" s="8">
        <f t="shared" si="446"/>
        <v>19.5</v>
      </c>
      <c r="EE257" s="8">
        <f t="shared" si="447"/>
        <v>6</v>
      </c>
      <c r="EF257" s="8">
        <f t="shared" si="448"/>
        <v>-1462.5</v>
      </c>
      <c r="EG257" s="8" t="str">
        <f t="shared" si="449"/>
        <v/>
      </c>
      <c r="EH257" s="8" t="str">
        <f t="shared" si="450"/>
        <v/>
      </c>
    </row>
    <row r="258" spans="2:138" x14ac:dyDescent="0.3">
      <c r="B258" s="112"/>
      <c r="C258" s="27"/>
      <c r="D258" s="7" t="str">
        <f t="shared" si="387"/>
        <v/>
      </c>
      <c r="E258" s="25"/>
      <c r="F258" s="7" t="str">
        <f t="shared" si="387"/>
        <v/>
      </c>
      <c r="G258" s="25"/>
      <c r="H258" s="7" t="str">
        <f t="shared" si="387"/>
        <v/>
      </c>
      <c r="I258" s="25"/>
      <c r="J258" s="7" t="str">
        <f t="shared" si="387"/>
        <v/>
      </c>
      <c r="K258" s="25"/>
      <c r="L258" s="7" t="str">
        <f t="shared" si="388"/>
        <v/>
      </c>
      <c r="M258" s="25"/>
      <c r="N258" s="7" t="str">
        <f t="shared" si="389"/>
        <v/>
      </c>
      <c r="O258" s="81"/>
      <c r="P258" s="81" t="str">
        <f t="shared" si="390"/>
        <v/>
      </c>
      <c r="Q258" s="81"/>
      <c r="R258" s="7" t="str">
        <f t="shared" si="391"/>
        <v/>
      </c>
      <c r="S258" s="25"/>
      <c r="T258" s="7" t="str">
        <f t="shared" si="392"/>
        <v/>
      </c>
      <c r="U258" s="25"/>
      <c r="V258" s="7" t="str">
        <f t="shared" si="393"/>
        <v/>
      </c>
      <c r="W258" s="25"/>
      <c r="X258" s="7" t="str">
        <f t="shared" si="394"/>
        <v/>
      </c>
      <c r="Y258" s="18" t="str">
        <f t="shared" si="395"/>
        <v/>
      </c>
      <c r="Z258" s="7" t="str">
        <f t="shared" si="396"/>
        <v/>
      </c>
      <c r="AA258" s="18" t="str">
        <f t="shared" si="397"/>
        <v/>
      </c>
      <c r="AB258" s="19" t="str">
        <f t="shared" si="398"/>
        <v/>
      </c>
      <c r="AC258" s="26"/>
      <c r="AD258" s="26"/>
      <c r="AE258" s="25"/>
      <c r="AF258" s="26"/>
      <c r="AG258" s="25"/>
      <c r="AH258" s="25"/>
      <c r="AI258" s="18" t="str">
        <f t="shared" si="461"/>
        <v/>
      </c>
      <c r="AJ258" s="25"/>
      <c r="AK258" s="18" t="str">
        <f t="shared" si="462"/>
        <v/>
      </c>
      <c r="AL258" s="79"/>
      <c r="AM258" s="126" t="str">
        <f t="shared" si="463"/>
        <v/>
      </c>
      <c r="AN258" s="128" t="str">
        <f>IF(AP258&lt;&gt;"",VLOOKUP($P258&amp;" | "&amp;AN$6,'Job Master'!$F$12:$J$102,5,0),"")</f>
        <v/>
      </c>
      <c r="AO258" s="19" t="str">
        <f>IF(AP258&lt;&gt;"",VLOOKUP($P258&amp;" | "&amp;AN$6,'Job Master'!$F$12:$J$102,3,0),"")</f>
        <v/>
      </c>
      <c r="AP258" s="19" t="str">
        <f>IFERROR(IF(AND(AW258&lt;&gt;"",VLOOKUP($P258&amp;" | "&amp;AN$6,'Job Master'!$F$12:$I$102,4,0)&lt;&gt;""),IF(WEEKDAY(AW258-VLOOKUP($P258&amp;" | "&amp;AN$6,'Job Master'!$F$12:$I$102,4,0))&lt;&gt;7,AW258-VLOOKUP($P258&amp;" | "&amp;AN$6,'Job Master'!$F$12:$I$102,4,0),AW258-VLOOKUP($P258&amp;" | "&amp;AN$6,'Job Master'!$F$12:$I$102,4,0)-1),""),"")</f>
        <v/>
      </c>
      <c r="AQ258" s="73"/>
      <c r="AR258" s="123" t="str">
        <f t="shared" si="399"/>
        <v/>
      </c>
      <c r="AS258" s="123" t="str">
        <f t="shared" si="400"/>
        <v/>
      </c>
      <c r="AT258" s="97" t="str">
        <f t="shared" ca="1" si="401"/>
        <v/>
      </c>
      <c r="AU258" s="98" t="str">
        <f>IF(AW258&lt;&gt;"",VLOOKUP($P258&amp;" | "&amp;AU$6,'Job Master'!$F$12:$J$102,5,0),"")</f>
        <v/>
      </c>
      <c r="AV258" s="19" t="str">
        <f>IF(AW258&lt;&gt;"",VLOOKUP($P258&amp;" | "&amp;AU$6,'Job Master'!$F$12:$J$102,3,0),"")</f>
        <v/>
      </c>
      <c r="AW258" s="19" t="str">
        <f>IFERROR(IF(AND(BD258&lt;&gt;"",VLOOKUP($P258&amp;" | "&amp;AU$6,'Job Master'!$F$12:$I$102,4,0)&lt;&gt;""),IF(WEEKDAY(BD258-VLOOKUP($P258&amp;" | "&amp;AU$6,'Job Master'!$F$12:$I$102,4,0))&lt;&gt;7,BD258-VLOOKUP($P258&amp;" | "&amp;AU$6,'Job Master'!$F$12:$I$102,4,0),BD258-VLOOKUP($P258&amp;" | "&amp;AU$6,'Job Master'!$F$12:$I$102,4,0)-1),""),"")</f>
        <v/>
      </c>
      <c r="AX258" s="73"/>
      <c r="AY258" s="123" t="str">
        <f t="shared" si="402"/>
        <v/>
      </c>
      <c r="AZ258" s="123" t="str">
        <f t="shared" si="403"/>
        <v/>
      </c>
      <c r="BA258" s="97" t="str">
        <f t="shared" ca="1" si="404"/>
        <v/>
      </c>
      <c r="BB258" s="98" t="str">
        <f>IF(BD258&lt;&gt;"",VLOOKUP($P258&amp;" | "&amp;BB$6,'Job Master'!$F$12:$J$102,5,0),"")</f>
        <v/>
      </c>
      <c r="BC258" s="19" t="str">
        <f>IF(BD258&lt;&gt;"",VLOOKUP($P258&amp;" | "&amp;BB$6,'Job Master'!$F$12:$J$102,3,0),"")</f>
        <v/>
      </c>
      <c r="BD258" s="19" t="str">
        <f>IFERROR(IF(AND(BK258&lt;&gt;"",VLOOKUP($P258&amp;" | "&amp;BB$6,'Job Master'!$F$12:$I$102,4,0)&lt;&gt;""),IF(WEEKDAY(BK258-VLOOKUP($P258&amp;" | "&amp;BB$6,'Job Master'!$F$12:$I$102,4,0))&lt;&gt;7,BK258-VLOOKUP($P258&amp;" | "&amp;BB$6,'Job Master'!$F$12:$I$102,4,0),BK258-VLOOKUP($P258&amp;" | "&amp;BB$6,'Job Master'!$F$12:$I$102,4,0)-1),""),"")</f>
        <v/>
      </c>
      <c r="BE258" s="73"/>
      <c r="BF258" s="123" t="str">
        <f t="shared" si="405"/>
        <v/>
      </c>
      <c r="BG258" s="123" t="str">
        <f t="shared" si="406"/>
        <v/>
      </c>
      <c r="BH258" s="97" t="str">
        <f t="shared" ca="1" si="407"/>
        <v/>
      </c>
      <c r="BI258" s="98" t="str">
        <f>IF(BK258&lt;&gt;"",VLOOKUP($P258&amp;" | "&amp;BI$6,'Job Master'!$F$12:$J$102,5,0),"")</f>
        <v/>
      </c>
      <c r="BJ258" s="19" t="str">
        <f>IF(BK258&lt;&gt;"",VLOOKUP($P258&amp;" | "&amp;BI$6,'Job Master'!$F$12:$J$102,3,0),"")</f>
        <v/>
      </c>
      <c r="BK258" s="19" t="str">
        <f>IFERROR(IF(AND(BR258&lt;&gt;"",VLOOKUP($P258&amp;" | "&amp;BI$6,'Job Master'!$F$12:$I$102,4,0)&lt;&gt;""),IF(WEEKDAY(BR258-VLOOKUP($P258&amp;" | "&amp;BI$6,'Job Master'!$F$12:$I$102,4,0))&lt;&gt;7,BR258-VLOOKUP($P258&amp;" | "&amp;BI$6,'Job Master'!$F$12:$I$102,4,0),BR258-VLOOKUP($P258&amp;" | "&amp;BI$6,'Job Master'!$F$12:$I$102,4,0)-1),""),"")</f>
        <v/>
      </c>
      <c r="BL258" s="73"/>
      <c r="BM258" s="123" t="str">
        <f t="shared" si="408"/>
        <v/>
      </c>
      <c r="BN258" s="123" t="str">
        <f t="shared" si="409"/>
        <v/>
      </c>
      <c r="BO258" s="97" t="str">
        <f t="shared" ca="1" si="410"/>
        <v/>
      </c>
      <c r="BP258" s="98" t="str">
        <f>IF(BR258&lt;&gt;"",VLOOKUP($P258&amp;" | "&amp;BP$6,'Job Master'!$F$12:$J$102,5,0),"")</f>
        <v/>
      </c>
      <c r="BQ258" s="19" t="str">
        <f>IF(BR258&lt;&gt;"",VLOOKUP($P258&amp;" | "&amp;BP$6,'Job Master'!$F$12:$J$102,3,0),"")</f>
        <v/>
      </c>
      <c r="BR258" s="19" t="str">
        <f>IFERROR(IF(AND(BY258&lt;&gt;"",VLOOKUP($P258&amp;" | "&amp;BP$6,'Job Master'!$F$12:$I$102,4,0)&lt;&gt;""),IF(WEEKDAY(BY258-VLOOKUP($P258&amp;" | "&amp;BP$6,'Job Master'!$F$12:$I$102,4,0))&lt;&gt;7,BY258-VLOOKUP($P258&amp;" | "&amp;BP$6,'Job Master'!$F$12:$I$102,4,0),BY258-VLOOKUP($P258&amp;" | "&amp;BP$6,'Job Master'!$F$12:$I$102,4,0)-1),""),"")</f>
        <v/>
      </c>
      <c r="BS258" s="73"/>
      <c r="BT258" s="123" t="str">
        <f t="shared" si="411"/>
        <v/>
      </c>
      <c r="BU258" s="123" t="str">
        <f t="shared" si="412"/>
        <v/>
      </c>
      <c r="BV258" s="97" t="str">
        <f t="shared" ca="1" si="413"/>
        <v/>
      </c>
      <c r="BW258" s="98" t="str">
        <f>IF(BY258&lt;&gt;"",VLOOKUP($P258&amp;" | "&amp;BW$6,'Job Master'!$F$12:$J$102,5,0),"")</f>
        <v/>
      </c>
      <c r="BX258" s="19" t="str">
        <f>IF(BY258&lt;&gt;"",VLOOKUP($P258&amp;" | "&amp;BW$6,'Job Master'!$F$12:$J$102,3,0),"")</f>
        <v/>
      </c>
      <c r="BY258" s="19" t="str">
        <f>IFERROR(IF(AND(CF258&lt;&gt;"",VLOOKUP($P258&amp;" | "&amp;BW$6,'Job Master'!$F$12:$I$102,4,0)&lt;&gt;""),IF(WEEKDAY(CF258-VLOOKUP($P258&amp;" | "&amp;BW$6,'Job Master'!$F$12:$I$102,4,0))&lt;&gt;7,CF258-VLOOKUP($P258&amp;" | "&amp;BW$6,'Job Master'!$F$12:$I$102,4,0),CF258-VLOOKUP($P258&amp;" | "&amp;BW$6,'Job Master'!$F$12:$I$102,4,0)-1),""),"")</f>
        <v/>
      </c>
      <c r="BZ258" s="73"/>
      <c r="CA258" s="123" t="str">
        <f t="shared" si="414"/>
        <v/>
      </c>
      <c r="CB258" s="123" t="str">
        <f t="shared" si="415"/>
        <v/>
      </c>
      <c r="CC258" s="97" t="str">
        <f t="shared" ca="1" si="416"/>
        <v/>
      </c>
      <c r="CD258" s="98" t="str">
        <f>IF(CF258&lt;&gt;"",VLOOKUP($P258&amp;" | "&amp;CD$6,'Job Master'!$F$12:$J$102,5,0),"")</f>
        <v/>
      </c>
      <c r="CE258" s="19" t="str">
        <f>IF(CF258&lt;&gt;"",VLOOKUP($P258&amp;" | "&amp;CD$6,'Job Master'!$F$12:$J$102,3,0),"")</f>
        <v/>
      </c>
      <c r="CF258" s="19" t="str">
        <f>IFERROR(IF(AND(CM258&lt;&gt;"",VLOOKUP($P258&amp;" | "&amp;CD$6,'Job Master'!$F$12:$I$102,4,0)&lt;&gt;""),IF(WEEKDAY(CM258-VLOOKUP($P258&amp;" | "&amp;CD$6,'Job Master'!$F$12:$I$102,4,0))&lt;&gt;7,CM258-VLOOKUP($P258&amp;" | "&amp;CD$6,'Job Master'!$F$12:$I$102,4,0),CM258-VLOOKUP($P258&amp;" | "&amp;CD$6,'Job Master'!$F$12:$I$102,4,0)-1),""),"")</f>
        <v/>
      </c>
      <c r="CG258" s="73"/>
      <c r="CH258" s="123" t="str">
        <f t="shared" si="417"/>
        <v/>
      </c>
      <c r="CI258" s="123" t="str">
        <f t="shared" si="418"/>
        <v/>
      </c>
      <c r="CJ258" s="97" t="str">
        <f t="shared" ca="1" si="419"/>
        <v/>
      </c>
      <c r="CK258" s="98" t="str">
        <f>IF(CM258&lt;&gt;"",VLOOKUP($P258&amp;" | "&amp;CK$6,'Job Master'!$F$12:$J$102,5,0),"")</f>
        <v/>
      </c>
      <c r="CL258" s="19" t="str">
        <f>IF(CM258&lt;&gt;"",VLOOKUP($P258&amp;" | "&amp;CK$6,'Job Master'!$F$12:$J$102,3,0),"")</f>
        <v/>
      </c>
      <c r="CM258" s="19" t="str">
        <f>IFERROR(IF(AND(CT258&lt;&gt;"",VLOOKUP($P258&amp;" | "&amp;CK$6,'Job Master'!$F$12:$I$102,4,0)&lt;&gt;""),IF(WEEKDAY(CT258-VLOOKUP($P258&amp;" | "&amp;CK$6,'Job Master'!$F$12:$I$102,4,0))&lt;&gt;7,CT258-VLOOKUP($P258&amp;" | "&amp;CK$6,'Job Master'!$F$12:$I$102,4,0),CT258-VLOOKUP($P258&amp;" | "&amp;CK$6,'Job Master'!$F$12:$I$102,4,0)-1),""),"")</f>
        <v/>
      </c>
      <c r="CN258" s="73"/>
      <c r="CO258" s="123" t="str">
        <f t="shared" si="420"/>
        <v/>
      </c>
      <c r="CP258" s="123" t="str">
        <f t="shared" si="421"/>
        <v/>
      </c>
      <c r="CQ258" s="97" t="str">
        <f t="shared" ca="1" si="422"/>
        <v/>
      </c>
      <c r="CR258" s="98" t="str">
        <f>IF(CT258&lt;&gt;"",VLOOKUP($P258&amp;" | "&amp;CR$6,'Job Master'!$F$12:$J$102,5,0),"")</f>
        <v/>
      </c>
      <c r="CS258" s="19" t="str">
        <f>IF(CT258&lt;&gt;"",VLOOKUP($P258&amp;" | "&amp;CR$6,'Job Master'!$F$12:$J$102,3,0),"")</f>
        <v/>
      </c>
      <c r="CT258" s="19" t="str">
        <f>IFERROR(IF(AND(DA258&lt;&gt;"",VLOOKUP($P258&amp;" | "&amp;CR$6,'Job Master'!$F$12:$I$102,4,0)&lt;&gt;""),IF(WEEKDAY(DA258-VLOOKUP($P258&amp;" | "&amp;CR$6,'Job Master'!$F$12:$I$102,4,0))&lt;&gt;7,DA258-VLOOKUP($P258&amp;" | "&amp;CR$6,'Job Master'!$F$12:$I$102,4,0),DA258-VLOOKUP($P258&amp;" | "&amp;CR$6,'Job Master'!$F$12:$I$102,4,0)-1),""),"")</f>
        <v/>
      </c>
      <c r="CU258" s="73"/>
      <c r="CV258" s="123" t="str">
        <f t="shared" si="423"/>
        <v/>
      </c>
      <c r="CW258" s="123" t="str">
        <f t="shared" si="424"/>
        <v/>
      </c>
      <c r="CX258" s="97" t="str">
        <f t="shared" ca="1" si="425"/>
        <v/>
      </c>
      <c r="CY258" s="98" t="str">
        <f>IF(DA258&lt;&gt;"",VLOOKUP($P258&amp;" | "&amp;CY$6,'Job Master'!$F$12:$J$102,5,0),"")</f>
        <v/>
      </c>
      <c r="CZ258" s="19" t="str">
        <f>IF(DA258&lt;&gt;"",VLOOKUP($P258&amp;" | "&amp;CY$6,'Job Master'!$F$12:$J$102,3,0),"")</f>
        <v/>
      </c>
      <c r="DA258" s="19" t="str">
        <f>IFERROR(IF(AND(DH258&lt;&gt;"",VLOOKUP($P258&amp;" | "&amp;CY$6,'Job Master'!$F$12:$I$102,4,0)&lt;&gt;""),IF(WEEKDAY(DH258-VLOOKUP($P258&amp;" | "&amp;CY$6,'Job Master'!$F$12:$I$102,4,0))&lt;&gt;7,DH258-VLOOKUP($P258&amp;" | "&amp;CY$6,'Job Master'!$F$12:$I$102,4,0),DH258-VLOOKUP($P258&amp;" | "&amp;CY$6,'Job Master'!$F$12:$I$102,4,0)-1),""),"")</f>
        <v/>
      </c>
      <c r="DB258" s="73"/>
      <c r="DC258" s="123" t="str">
        <f t="shared" si="426"/>
        <v/>
      </c>
      <c r="DD258" s="123" t="str">
        <f t="shared" si="427"/>
        <v/>
      </c>
      <c r="DE258" s="97" t="str">
        <f t="shared" ca="1" si="428"/>
        <v/>
      </c>
      <c r="DF258" s="98" t="str">
        <f>IF(DH258&lt;&gt;"",VLOOKUP($P258&amp;" | "&amp;DF$6,'Job Master'!$F$12:$J$102,5,0),"")</f>
        <v/>
      </c>
      <c r="DG258" s="19" t="str">
        <f>IF(DH258&lt;&gt;"",VLOOKUP($P258&amp;" | "&amp;DF$6,'Job Master'!$F$12:$J$102,3,0),"")</f>
        <v/>
      </c>
      <c r="DH258" s="19" t="str">
        <f>IFERROR(IF(AND(DO258&lt;&gt;"",VLOOKUP($P258&amp;" | "&amp;DF$6,'Job Master'!$F$12:$I$102,4,0)&lt;&gt;""),IF(WEEKDAY(DO258-VLOOKUP($P258&amp;" | "&amp;DF$6,'Job Master'!$F$12:$I$102,4,0))&lt;&gt;7,DO258-VLOOKUP($P258&amp;" | "&amp;DF$6,'Job Master'!$F$12:$I$102,4,0),DO258-VLOOKUP($P258&amp;" | "&amp;DF$6,'Job Master'!$F$12:$I$102,4,0)-1),""),"")</f>
        <v/>
      </c>
      <c r="DI258" s="73"/>
      <c r="DJ258" s="123" t="str">
        <f t="shared" si="429"/>
        <v/>
      </c>
      <c r="DK258" s="123" t="str">
        <f t="shared" si="430"/>
        <v/>
      </c>
      <c r="DL258" s="97" t="str">
        <f t="shared" ca="1" si="431"/>
        <v/>
      </c>
      <c r="DM258" s="98" t="str">
        <f>IF(DO258&lt;&gt;"",VLOOKUP($P258&amp;" | "&amp;DM$6,'Job Master'!$F$12:$J$102,5,0),"")</f>
        <v/>
      </c>
      <c r="DN258" s="19" t="str">
        <f>IF(DO258&lt;&gt;"",VLOOKUP($P258&amp;" | "&amp;DM$6,'Job Master'!$F$12:$J$102,3,0),"")</f>
        <v/>
      </c>
      <c r="DO258" s="19" t="str">
        <f>IFERROR(IF(AND(DT258&lt;&gt;"",VLOOKUP($P258&amp;" | "&amp;DM$6,'Job Master'!$F$12:$I$102,4,0)&lt;&gt;""),IF(WEEKDAY(DT258-VLOOKUP($P258&amp;" | "&amp;DM$6,'Job Master'!$F$12:$I$102,4,0))&lt;&gt;7,DT258-VLOOKUP($P258&amp;" | "&amp;DM$6,'Job Master'!$F$12:$I$102,4,0),DT258-VLOOKUP($P258&amp;" | "&amp;DM$6,'Job Master'!$F$12:$I$102,4,0)-1),""),"")</f>
        <v/>
      </c>
      <c r="DP258" s="73"/>
      <c r="DQ258" s="123" t="str">
        <f t="shared" si="432"/>
        <v/>
      </c>
      <c r="DR258" s="123" t="str">
        <f t="shared" si="433"/>
        <v/>
      </c>
      <c r="DS258" s="97" t="str">
        <f t="shared" ca="1" si="434"/>
        <v/>
      </c>
      <c r="DT258" s="70" t="str">
        <f t="shared" si="435"/>
        <v/>
      </c>
      <c r="DU258" s="90"/>
      <c r="DV258" s="123" t="str">
        <f t="shared" si="436"/>
        <v/>
      </c>
      <c r="DW258" s="123" t="str">
        <f t="shared" si="437"/>
        <v/>
      </c>
      <c r="DX258" s="132" t="str">
        <f t="shared" ref="DX258" ca="1" si="505">IF(DT258&lt;&gt;"",IF(WEEKNUM(DT258)=WEEKNUM(TODAY()),"This Week",IF(WEEKNUM(DT258)=WEEKNUM(TODAY())+1,"Next Week",IF(WEEKNUM(DT258)=WEEKNUM(TODAY())-1,"Previous Week",""))),"")</f>
        <v/>
      </c>
      <c r="DY258" s="134" t="str">
        <f t="shared" si="439"/>
        <v/>
      </c>
      <c r="DZ258" s="95"/>
      <c r="EB258" s="8" t="str">
        <f t="shared" si="445"/>
        <v/>
      </c>
      <c r="EC258" s="8" t="str">
        <f>IF(O258&lt;&gt;"",VLOOKUP(O258,'Job Master'!$N$12:$O$18,2,0),"")</f>
        <v/>
      </c>
      <c r="ED258" s="8">
        <f t="shared" si="446"/>
        <v>19.5</v>
      </c>
      <c r="EE258" s="8">
        <f t="shared" si="447"/>
        <v>6</v>
      </c>
      <c r="EF258" s="8">
        <f t="shared" si="448"/>
        <v>-1468.5</v>
      </c>
      <c r="EG258" s="8" t="str">
        <f t="shared" si="449"/>
        <v/>
      </c>
      <c r="EH258" s="8" t="str">
        <f t="shared" si="450"/>
        <v/>
      </c>
    </row>
    <row r="259" spans="2:138" x14ac:dyDescent="0.3">
      <c r="B259" s="112"/>
      <c r="C259" s="27"/>
      <c r="D259" s="7" t="str">
        <f t="shared" si="387"/>
        <v/>
      </c>
      <c r="E259" s="25"/>
      <c r="F259" s="7" t="str">
        <f t="shared" si="387"/>
        <v/>
      </c>
      <c r="G259" s="25"/>
      <c r="H259" s="7" t="str">
        <f t="shared" si="387"/>
        <v/>
      </c>
      <c r="I259" s="25"/>
      <c r="J259" s="7" t="str">
        <f t="shared" si="387"/>
        <v/>
      </c>
      <c r="K259" s="25"/>
      <c r="L259" s="7" t="str">
        <f t="shared" si="388"/>
        <v/>
      </c>
      <c r="M259" s="25"/>
      <c r="N259" s="7" t="str">
        <f t="shared" si="389"/>
        <v/>
      </c>
      <c r="O259" s="81"/>
      <c r="P259" s="81" t="str">
        <f t="shared" si="390"/>
        <v/>
      </c>
      <c r="Q259" s="81"/>
      <c r="R259" s="7" t="str">
        <f t="shared" si="391"/>
        <v/>
      </c>
      <c r="S259" s="25"/>
      <c r="T259" s="7" t="str">
        <f t="shared" si="392"/>
        <v/>
      </c>
      <c r="U259" s="25"/>
      <c r="V259" s="7" t="str">
        <f t="shared" si="393"/>
        <v/>
      </c>
      <c r="W259" s="25"/>
      <c r="X259" s="7" t="str">
        <f t="shared" si="394"/>
        <v/>
      </c>
      <c r="Y259" s="18" t="str">
        <f t="shared" si="395"/>
        <v/>
      </c>
      <c r="Z259" s="7" t="str">
        <f t="shared" si="396"/>
        <v/>
      </c>
      <c r="AA259" s="18" t="str">
        <f t="shared" si="397"/>
        <v/>
      </c>
      <c r="AB259" s="19" t="str">
        <f t="shared" si="398"/>
        <v/>
      </c>
      <c r="AC259" s="26"/>
      <c r="AD259" s="26"/>
      <c r="AE259" s="25"/>
      <c r="AF259" s="26"/>
      <c r="AG259" s="25"/>
      <c r="AH259" s="25"/>
      <c r="AI259" s="18" t="str">
        <f t="shared" si="461"/>
        <v/>
      </c>
      <c r="AJ259" s="25"/>
      <c r="AK259" s="18" t="str">
        <f t="shared" si="462"/>
        <v/>
      </c>
      <c r="AL259" s="79"/>
      <c r="AM259" s="126" t="str">
        <f t="shared" si="463"/>
        <v/>
      </c>
      <c r="AN259" s="128" t="str">
        <f>IF(AP259&lt;&gt;"",VLOOKUP($P259&amp;" | "&amp;AN$6,'Job Master'!$F$12:$J$102,5,0),"")</f>
        <v/>
      </c>
      <c r="AO259" s="19" t="str">
        <f>IF(AP259&lt;&gt;"",VLOOKUP($P259&amp;" | "&amp;AN$6,'Job Master'!$F$12:$J$102,3,0),"")</f>
        <v/>
      </c>
      <c r="AP259" s="19" t="str">
        <f>IFERROR(IF(AND(AW259&lt;&gt;"",VLOOKUP($P259&amp;" | "&amp;AN$6,'Job Master'!$F$12:$I$102,4,0)&lt;&gt;""),IF(WEEKDAY(AW259-VLOOKUP($P259&amp;" | "&amp;AN$6,'Job Master'!$F$12:$I$102,4,0))&lt;&gt;7,AW259-VLOOKUP($P259&amp;" | "&amp;AN$6,'Job Master'!$F$12:$I$102,4,0),AW259-VLOOKUP($P259&amp;" | "&amp;AN$6,'Job Master'!$F$12:$I$102,4,0)-1),""),"")</f>
        <v/>
      </c>
      <c r="AQ259" s="73"/>
      <c r="AR259" s="123" t="str">
        <f t="shared" si="399"/>
        <v/>
      </c>
      <c r="AS259" s="123" t="str">
        <f t="shared" si="400"/>
        <v/>
      </c>
      <c r="AT259" s="97" t="str">
        <f t="shared" ca="1" si="401"/>
        <v/>
      </c>
      <c r="AU259" s="98" t="str">
        <f>IF(AW259&lt;&gt;"",VLOOKUP($P259&amp;" | "&amp;AU$6,'Job Master'!$F$12:$J$102,5,0),"")</f>
        <v/>
      </c>
      <c r="AV259" s="19" t="str">
        <f>IF(AW259&lt;&gt;"",VLOOKUP($P259&amp;" | "&amp;AU$6,'Job Master'!$F$12:$J$102,3,0),"")</f>
        <v/>
      </c>
      <c r="AW259" s="19" t="str">
        <f>IFERROR(IF(AND(BD259&lt;&gt;"",VLOOKUP($P259&amp;" | "&amp;AU$6,'Job Master'!$F$12:$I$102,4,0)&lt;&gt;""),IF(WEEKDAY(BD259-VLOOKUP($P259&amp;" | "&amp;AU$6,'Job Master'!$F$12:$I$102,4,0))&lt;&gt;7,BD259-VLOOKUP($P259&amp;" | "&amp;AU$6,'Job Master'!$F$12:$I$102,4,0),BD259-VLOOKUP($P259&amp;" | "&amp;AU$6,'Job Master'!$F$12:$I$102,4,0)-1),""),"")</f>
        <v/>
      </c>
      <c r="AX259" s="73"/>
      <c r="AY259" s="123" t="str">
        <f t="shared" si="402"/>
        <v/>
      </c>
      <c r="AZ259" s="123" t="str">
        <f t="shared" si="403"/>
        <v/>
      </c>
      <c r="BA259" s="97" t="str">
        <f t="shared" ca="1" si="404"/>
        <v/>
      </c>
      <c r="BB259" s="98" t="str">
        <f>IF(BD259&lt;&gt;"",VLOOKUP($P259&amp;" | "&amp;BB$6,'Job Master'!$F$12:$J$102,5,0),"")</f>
        <v/>
      </c>
      <c r="BC259" s="19" t="str">
        <f>IF(BD259&lt;&gt;"",VLOOKUP($P259&amp;" | "&amp;BB$6,'Job Master'!$F$12:$J$102,3,0),"")</f>
        <v/>
      </c>
      <c r="BD259" s="19" t="str">
        <f>IFERROR(IF(AND(BK259&lt;&gt;"",VLOOKUP($P259&amp;" | "&amp;BB$6,'Job Master'!$F$12:$I$102,4,0)&lt;&gt;""),IF(WEEKDAY(BK259-VLOOKUP($P259&amp;" | "&amp;BB$6,'Job Master'!$F$12:$I$102,4,0))&lt;&gt;7,BK259-VLOOKUP($P259&amp;" | "&amp;BB$6,'Job Master'!$F$12:$I$102,4,0),BK259-VLOOKUP($P259&amp;" | "&amp;BB$6,'Job Master'!$F$12:$I$102,4,0)-1),""),"")</f>
        <v/>
      </c>
      <c r="BE259" s="73"/>
      <c r="BF259" s="123" t="str">
        <f t="shared" si="405"/>
        <v/>
      </c>
      <c r="BG259" s="123" t="str">
        <f t="shared" si="406"/>
        <v/>
      </c>
      <c r="BH259" s="97" t="str">
        <f t="shared" ca="1" si="407"/>
        <v/>
      </c>
      <c r="BI259" s="98" t="str">
        <f>IF(BK259&lt;&gt;"",VLOOKUP($P259&amp;" | "&amp;BI$6,'Job Master'!$F$12:$J$102,5,0),"")</f>
        <v/>
      </c>
      <c r="BJ259" s="19" t="str">
        <f>IF(BK259&lt;&gt;"",VLOOKUP($P259&amp;" | "&amp;BI$6,'Job Master'!$F$12:$J$102,3,0),"")</f>
        <v/>
      </c>
      <c r="BK259" s="19" t="str">
        <f>IFERROR(IF(AND(BR259&lt;&gt;"",VLOOKUP($P259&amp;" | "&amp;BI$6,'Job Master'!$F$12:$I$102,4,0)&lt;&gt;""),IF(WEEKDAY(BR259-VLOOKUP($P259&amp;" | "&amp;BI$6,'Job Master'!$F$12:$I$102,4,0))&lt;&gt;7,BR259-VLOOKUP($P259&amp;" | "&amp;BI$6,'Job Master'!$F$12:$I$102,4,0),BR259-VLOOKUP($P259&amp;" | "&amp;BI$6,'Job Master'!$F$12:$I$102,4,0)-1),""),"")</f>
        <v/>
      </c>
      <c r="BL259" s="73"/>
      <c r="BM259" s="123" t="str">
        <f t="shared" si="408"/>
        <v/>
      </c>
      <c r="BN259" s="123" t="str">
        <f t="shared" si="409"/>
        <v/>
      </c>
      <c r="BO259" s="97" t="str">
        <f t="shared" ca="1" si="410"/>
        <v/>
      </c>
      <c r="BP259" s="98" t="str">
        <f>IF(BR259&lt;&gt;"",VLOOKUP($P259&amp;" | "&amp;BP$6,'Job Master'!$F$12:$J$102,5,0),"")</f>
        <v/>
      </c>
      <c r="BQ259" s="19" t="str">
        <f>IF(BR259&lt;&gt;"",VLOOKUP($P259&amp;" | "&amp;BP$6,'Job Master'!$F$12:$J$102,3,0),"")</f>
        <v/>
      </c>
      <c r="BR259" s="19" t="str">
        <f>IFERROR(IF(AND(BY259&lt;&gt;"",VLOOKUP($P259&amp;" | "&amp;BP$6,'Job Master'!$F$12:$I$102,4,0)&lt;&gt;""),IF(WEEKDAY(BY259-VLOOKUP($P259&amp;" | "&amp;BP$6,'Job Master'!$F$12:$I$102,4,0))&lt;&gt;7,BY259-VLOOKUP($P259&amp;" | "&amp;BP$6,'Job Master'!$F$12:$I$102,4,0),BY259-VLOOKUP($P259&amp;" | "&amp;BP$6,'Job Master'!$F$12:$I$102,4,0)-1),""),"")</f>
        <v/>
      </c>
      <c r="BS259" s="73"/>
      <c r="BT259" s="123" t="str">
        <f t="shared" si="411"/>
        <v/>
      </c>
      <c r="BU259" s="123" t="str">
        <f t="shared" si="412"/>
        <v/>
      </c>
      <c r="BV259" s="97" t="str">
        <f t="shared" ca="1" si="413"/>
        <v/>
      </c>
      <c r="BW259" s="98" t="str">
        <f>IF(BY259&lt;&gt;"",VLOOKUP($P259&amp;" | "&amp;BW$6,'Job Master'!$F$12:$J$102,5,0),"")</f>
        <v/>
      </c>
      <c r="BX259" s="19" t="str">
        <f>IF(BY259&lt;&gt;"",VLOOKUP($P259&amp;" | "&amp;BW$6,'Job Master'!$F$12:$J$102,3,0),"")</f>
        <v/>
      </c>
      <c r="BY259" s="19" t="str">
        <f>IFERROR(IF(AND(CF259&lt;&gt;"",VLOOKUP($P259&amp;" | "&amp;BW$6,'Job Master'!$F$12:$I$102,4,0)&lt;&gt;""),IF(WEEKDAY(CF259-VLOOKUP($P259&amp;" | "&amp;BW$6,'Job Master'!$F$12:$I$102,4,0))&lt;&gt;7,CF259-VLOOKUP($P259&amp;" | "&amp;BW$6,'Job Master'!$F$12:$I$102,4,0),CF259-VLOOKUP($P259&amp;" | "&amp;BW$6,'Job Master'!$F$12:$I$102,4,0)-1),""),"")</f>
        <v/>
      </c>
      <c r="BZ259" s="73"/>
      <c r="CA259" s="123" t="str">
        <f t="shared" si="414"/>
        <v/>
      </c>
      <c r="CB259" s="123" t="str">
        <f t="shared" si="415"/>
        <v/>
      </c>
      <c r="CC259" s="97" t="str">
        <f t="shared" ca="1" si="416"/>
        <v/>
      </c>
      <c r="CD259" s="98" t="str">
        <f>IF(CF259&lt;&gt;"",VLOOKUP($P259&amp;" | "&amp;CD$6,'Job Master'!$F$12:$J$102,5,0),"")</f>
        <v/>
      </c>
      <c r="CE259" s="19" t="str">
        <f>IF(CF259&lt;&gt;"",VLOOKUP($P259&amp;" | "&amp;CD$6,'Job Master'!$F$12:$J$102,3,0),"")</f>
        <v/>
      </c>
      <c r="CF259" s="19" t="str">
        <f>IFERROR(IF(AND(CM259&lt;&gt;"",VLOOKUP($P259&amp;" | "&amp;CD$6,'Job Master'!$F$12:$I$102,4,0)&lt;&gt;""),IF(WEEKDAY(CM259-VLOOKUP($P259&amp;" | "&amp;CD$6,'Job Master'!$F$12:$I$102,4,0))&lt;&gt;7,CM259-VLOOKUP($P259&amp;" | "&amp;CD$6,'Job Master'!$F$12:$I$102,4,0),CM259-VLOOKUP($P259&amp;" | "&amp;CD$6,'Job Master'!$F$12:$I$102,4,0)-1),""),"")</f>
        <v/>
      </c>
      <c r="CG259" s="73"/>
      <c r="CH259" s="123" t="str">
        <f t="shared" si="417"/>
        <v/>
      </c>
      <c r="CI259" s="123" t="str">
        <f t="shared" si="418"/>
        <v/>
      </c>
      <c r="CJ259" s="97" t="str">
        <f t="shared" ca="1" si="419"/>
        <v/>
      </c>
      <c r="CK259" s="98" t="str">
        <f>IF(CM259&lt;&gt;"",VLOOKUP($P259&amp;" | "&amp;CK$6,'Job Master'!$F$12:$J$102,5,0),"")</f>
        <v/>
      </c>
      <c r="CL259" s="19" t="str">
        <f>IF(CM259&lt;&gt;"",VLOOKUP($P259&amp;" | "&amp;CK$6,'Job Master'!$F$12:$J$102,3,0),"")</f>
        <v/>
      </c>
      <c r="CM259" s="19" t="str">
        <f>IFERROR(IF(AND(CT259&lt;&gt;"",VLOOKUP($P259&amp;" | "&amp;CK$6,'Job Master'!$F$12:$I$102,4,0)&lt;&gt;""),IF(WEEKDAY(CT259-VLOOKUP($P259&amp;" | "&amp;CK$6,'Job Master'!$F$12:$I$102,4,0))&lt;&gt;7,CT259-VLOOKUP($P259&amp;" | "&amp;CK$6,'Job Master'!$F$12:$I$102,4,0),CT259-VLOOKUP($P259&amp;" | "&amp;CK$6,'Job Master'!$F$12:$I$102,4,0)-1),""),"")</f>
        <v/>
      </c>
      <c r="CN259" s="73"/>
      <c r="CO259" s="123" t="str">
        <f t="shared" si="420"/>
        <v/>
      </c>
      <c r="CP259" s="123" t="str">
        <f t="shared" si="421"/>
        <v/>
      </c>
      <c r="CQ259" s="97" t="str">
        <f t="shared" ca="1" si="422"/>
        <v/>
      </c>
      <c r="CR259" s="98" t="str">
        <f>IF(CT259&lt;&gt;"",VLOOKUP($P259&amp;" | "&amp;CR$6,'Job Master'!$F$12:$J$102,5,0),"")</f>
        <v/>
      </c>
      <c r="CS259" s="19" t="str">
        <f>IF(CT259&lt;&gt;"",VLOOKUP($P259&amp;" | "&amp;CR$6,'Job Master'!$F$12:$J$102,3,0),"")</f>
        <v/>
      </c>
      <c r="CT259" s="19" t="str">
        <f>IFERROR(IF(AND(DA259&lt;&gt;"",VLOOKUP($P259&amp;" | "&amp;CR$6,'Job Master'!$F$12:$I$102,4,0)&lt;&gt;""),IF(WEEKDAY(DA259-VLOOKUP($P259&amp;" | "&amp;CR$6,'Job Master'!$F$12:$I$102,4,0))&lt;&gt;7,DA259-VLOOKUP($P259&amp;" | "&amp;CR$6,'Job Master'!$F$12:$I$102,4,0),DA259-VLOOKUP($P259&amp;" | "&amp;CR$6,'Job Master'!$F$12:$I$102,4,0)-1),""),"")</f>
        <v/>
      </c>
      <c r="CU259" s="73"/>
      <c r="CV259" s="123" t="str">
        <f t="shared" si="423"/>
        <v/>
      </c>
      <c r="CW259" s="123" t="str">
        <f t="shared" si="424"/>
        <v/>
      </c>
      <c r="CX259" s="97" t="str">
        <f t="shared" ca="1" si="425"/>
        <v/>
      </c>
      <c r="CY259" s="98" t="str">
        <f>IF(DA259&lt;&gt;"",VLOOKUP($P259&amp;" | "&amp;CY$6,'Job Master'!$F$12:$J$102,5,0),"")</f>
        <v/>
      </c>
      <c r="CZ259" s="19" t="str">
        <f>IF(DA259&lt;&gt;"",VLOOKUP($P259&amp;" | "&amp;CY$6,'Job Master'!$F$12:$J$102,3,0),"")</f>
        <v/>
      </c>
      <c r="DA259" s="19" t="str">
        <f>IFERROR(IF(AND(DH259&lt;&gt;"",VLOOKUP($P259&amp;" | "&amp;CY$6,'Job Master'!$F$12:$I$102,4,0)&lt;&gt;""),IF(WEEKDAY(DH259-VLOOKUP($P259&amp;" | "&amp;CY$6,'Job Master'!$F$12:$I$102,4,0))&lt;&gt;7,DH259-VLOOKUP($P259&amp;" | "&amp;CY$6,'Job Master'!$F$12:$I$102,4,0),DH259-VLOOKUP($P259&amp;" | "&amp;CY$6,'Job Master'!$F$12:$I$102,4,0)-1),""),"")</f>
        <v/>
      </c>
      <c r="DB259" s="73"/>
      <c r="DC259" s="123" t="str">
        <f t="shared" si="426"/>
        <v/>
      </c>
      <c r="DD259" s="123" t="str">
        <f t="shared" si="427"/>
        <v/>
      </c>
      <c r="DE259" s="97" t="str">
        <f t="shared" ca="1" si="428"/>
        <v/>
      </c>
      <c r="DF259" s="98" t="str">
        <f>IF(DH259&lt;&gt;"",VLOOKUP($P259&amp;" | "&amp;DF$6,'Job Master'!$F$12:$J$102,5,0),"")</f>
        <v/>
      </c>
      <c r="DG259" s="19" t="str">
        <f>IF(DH259&lt;&gt;"",VLOOKUP($P259&amp;" | "&amp;DF$6,'Job Master'!$F$12:$J$102,3,0),"")</f>
        <v/>
      </c>
      <c r="DH259" s="19" t="str">
        <f>IFERROR(IF(AND(DO259&lt;&gt;"",VLOOKUP($P259&amp;" | "&amp;DF$6,'Job Master'!$F$12:$I$102,4,0)&lt;&gt;""),IF(WEEKDAY(DO259-VLOOKUP($P259&amp;" | "&amp;DF$6,'Job Master'!$F$12:$I$102,4,0))&lt;&gt;7,DO259-VLOOKUP($P259&amp;" | "&amp;DF$6,'Job Master'!$F$12:$I$102,4,0),DO259-VLOOKUP($P259&amp;" | "&amp;DF$6,'Job Master'!$F$12:$I$102,4,0)-1),""),"")</f>
        <v/>
      </c>
      <c r="DI259" s="73"/>
      <c r="DJ259" s="123" t="str">
        <f t="shared" si="429"/>
        <v/>
      </c>
      <c r="DK259" s="123" t="str">
        <f t="shared" si="430"/>
        <v/>
      </c>
      <c r="DL259" s="97" t="str">
        <f t="shared" ca="1" si="431"/>
        <v/>
      </c>
      <c r="DM259" s="98" t="str">
        <f>IF(DO259&lt;&gt;"",VLOOKUP($P259&amp;" | "&amp;DM$6,'Job Master'!$F$12:$J$102,5,0),"")</f>
        <v/>
      </c>
      <c r="DN259" s="19" t="str">
        <f>IF(DO259&lt;&gt;"",VLOOKUP($P259&amp;" | "&amp;DM$6,'Job Master'!$F$12:$J$102,3,0),"")</f>
        <v/>
      </c>
      <c r="DO259" s="19" t="str">
        <f>IFERROR(IF(AND(DT259&lt;&gt;"",VLOOKUP($P259&amp;" | "&amp;DM$6,'Job Master'!$F$12:$I$102,4,0)&lt;&gt;""),IF(WEEKDAY(DT259-VLOOKUP($P259&amp;" | "&amp;DM$6,'Job Master'!$F$12:$I$102,4,0))&lt;&gt;7,DT259-VLOOKUP($P259&amp;" | "&amp;DM$6,'Job Master'!$F$12:$I$102,4,0),DT259-VLOOKUP($P259&amp;" | "&amp;DM$6,'Job Master'!$F$12:$I$102,4,0)-1),""),"")</f>
        <v/>
      </c>
      <c r="DP259" s="73"/>
      <c r="DQ259" s="123" t="str">
        <f t="shared" si="432"/>
        <v/>
      </c>
      <c r="DR259" s="123" t="str">
        <f t="shared" si="433"/>
        <v/>
      </c>
      <c r="DS259" s="97" t="str">
        <f t="shared" ca="1" si="434"/>
        <v/>
      </c>
      <c r="DT259" s="70" t="str">
        <f t="shared" si="435"/>
        <v/>
      </c>
      <c r="DU259" s="90"/>
      <c r="DV259" s="123" t="str">
        <f t="shared" si="436"/>
        <v/>
      </c>
      <c r="DW259" s="123" t="str">
        <f t="shared" si="437"/>
        <v/>
      </c>
      <c r="DX259" s="132" t="str">
        <f t="shared" ref="DX259" ca="1" si="506">IF(DT259&lt;&gt;"",IF(WEEKNUM(DT259)=WEEKNUM(TODAY()),"This Week",IF(WEEKNUM(DT259)=WEEKNUM(TODAY())+1,"Next Week",IF(WEEKNUM(DT259)=WEEKNUM(TODAY())-1,"Previous Week",""))),"")</f>
        <v/>
      </c>
      <c r="DY259" s="134" t="str">
        <f t="shared" si="439"/>
        <v/>
      </c>
      <c r="DZ259" s="95"/>
      <c r="EB259" s="8" t="str">
        <f t="shared" si="445"/>
        <v/>
      </c>
      <c r="EC259" s="8" t="str">
        <f>IF(O259&lt;&gt;"",VLOOKUP(O259,'Job Master'!$N$12:$O$18,2,0),"")</f>
        <v/>
      </c>
      <c r="ED259" s="8">
        <f t="shared" si="446"/>
        <v>19.5</v>
      </c>
      <c r="EE259" s="8">
        <f t="shared" si="447"/>
        <v>6</v>
      </c>
      <c r="EF259" s="8">
        <f t="shared" si="448"/>
        <v>-1474.5</v>
      </c>
      <c r="EG259" s="8" t="str">
        <f t="shared" si="449"/>
        <v/>
      </c>
      <c r="EH259" s="8" t="str">
        <f t="shared" si="450"/>
        <v/>
      </c>
    </row>
    <row r="260" spans="2:138" x14ac:dyDescent="0.3">
      <c r="B260" s="112"/>
      <c r="C260" s="27"/>
      <c r="D260" s="7" t="str">
        <f t="shared" si="387"/>
        <v/>
      </c>
      <c r="E260" s="25"/>
      <c r="F260" s="7" t="str">
        <f t="shared" si="387"/>
        <v/>
      </c>
      <c r="G260" s="25"/>
      <c r="H260" s="7" t="str">
        <f t="shared" si="387"/>
        <v/>
      </c>
      <c r="I260" s="25"/>
      <c r="J260" s="7" t="str">
        <f t="shared" si="387"/>
        <v/>
      </c>
      <c r="K260" s="25"/>
      <c r="L260" s="7" t="str">
        <f t="shared" si="388"/>
        <v/>
      </c>
      <c r="M260" s="25"/>
      <c r="N260" s="7" t="str">
        <f t="shared" si="389"/>
        <v/>
      </c>
      <c r="O260" s="81"/>
      <c r="P260" s="81" t="str">
        <f t="shared" si="390"/>
        <v/>
      </c>
      <c r="Q260" s="81"/>
      <c r="R260" s="7" t="str">
        <f t="shared" si="391"/>
        <v/>
      </c>
      <c r="S260" s="25"/>
      <c r="T260" s="7" t="str">
        <f t="shared" si="392"/>
        <v/>
      </c>
      <c r="U260" s="25"/>
      <c r="V260" s="7" t="str">
        <f t="shared" si="393"/>
        <v/>
      </c>
      <c r="W260" s="25"/>
      <c r="X260" s="7" t="str">
        <f t="shared" si="394"/>
        <v/>
      </c>
      <c r="Y260" s="18" t="str">
        <f t="shared" si="395"/>
        <v/>
      </c>
      <c r="Z260" s="7" t="str">
        <f t="shared" si="396"/>
        <v/>
      </c>
      <c r="AA260" s="18" t="str">
        <f t="shared" si="397"/>
        <v/>
      </c>
      <c r="AB260" s="19" t="str">
        <f t="shared" si="398"/>
        <v/>
      </c>
      <c r="AC260" s="26"/>
      <c r="AD260" s="26"/>
      <c r="AE260" s="25"/>
      <c r="AF260" s="26"/>
      <c r="AG260" s="25"/>
      <c r="AH260" s="25"/>
      <c r="AI260" s="18" t="str">
        <f t="shared" si="461"/>
        <v/>
      </c>
      <c r="AJ260" s="25"/>
      <c r="AK260" s="18" t="str">
        <f t="shared" si="462"/>
        <v/>
      </c>
      <c r="AL260" s="79"/>
      <c r="AM260" s="126" t="str">
        <f t="shared" si="463"/>
        <v/>
      </c>
      <c r="AN260" s="128" t="str">
        <f>IF(AP260&lt;&gt;"",VLOOKUP($P260&amp;" | "&amp;AN$6,'Job Master'!$F$12:$J$102,5,0),"")</f>
        <v/>
      </c>
      <c r="AO260" s="19" t="str">
        <f>IF(AP260&lt;&gt;"",VLOOKUP($P260&amp;" | "&amp;AN$6,'Job Master'!$F$12:$J$102,3,0),"")</f>
        <v/>
      </c>
      <c r="AP260" s="19" t="str">
        <f>IFERROR(IF(AND(AW260&lt;&gt;"",VLOOKUP($P260&amp;" | "&amp;AN$6,'Job Master'!$F$12:$I$102,4,0)&lt;&gt;""),IF(WEEKDAY(AW260-VLOOKUP($P260&amp;" | "&amp;AN$6,'Job Master'!$F$12:$I$102,4,0))&lt;&gt;7,AW260-VLOOKUP($P260&amp;" | "&amp;AN$6,'Job Master'!$F$12:$I$102,4,0),AW260-VLOOKUP($P260&amp;" | "&amp;AN$6,'Job Master'!$F$12:$I$102,4,0)-1),""),"")</f>
        <v/>
      </c>
      <c r="AQ260" s="73"/>
      <c r="AR260" s="123" t="str">
        <f t="shared" si="399"/>
        <v/>
      </c>
      <c r="AS260" s="123" t="str">
        <f t="shared" si="400"/>
        <v/>
      </c>
      <c r="AT260" s="97" t="str">
        <f t="shared" ca="1" si="401"/>
        <v/>
      </c>
      <c r="AU260" s="98" t="str">
        <f>IF(AW260&lt;&gt;"",VLOOKUP($P260&amp;" | "&amp;AU$6,'Job Master'!$F$12:$J$102,5,0),"")</f>
        <v/>
      </c>
      <c r="AV260" s="19" t="str">
        <f>IF(AW260&lt;&gt;"",VLOOKUP($P260&amp;" | "&amp;AU$6,'Job Master'!$F$12:$J$102,3,0),"")</f>
        <v/>
      </c>
      <c r="AW260" s="19" t="str">
        <f>IFERROR(IF(AND(BD260&lt;&gt;"",VLOOKUP($P260&amp;" | "&amp;AU$6,'Job Master'!$F$12:$I$102,4,0)&lt;&gt;""),IF(WEEKDAY(BD260-VLOOKUP($P260&amp;" | "&amp;AU$6,'Job Master'!$F$12:$I$102,4,0))&lt;&gt;7,BD260-VLOOKUP($P260&amp;" | "&amp;AU$6,'Job Master'!$F$12:$I$102,4,0),BD260-VLOOKUP($P260&amp;" | "&amp;AU$6,'Job Master'!$F$12:$I$102,4,0)-1),""),"")</f>
        <v/>
      </c>
      <c r="AX260" s="73"/>
      <c r="AY260" s="123" t="str">
        <f t="shared" si="402"/>
        <v/>
      </c>
      <c r="AZ260" s="123" t="str">
        <f t="shared" si="403"/>
        <v/>
      </c>
      <c r="BA260" s="97" t="str">
        <f t="shared" ca="1" si="404"/>
        <v/>
      </c>
      <c r="BB260" s="98" t="str">
        <f>IF(BD260&lt;&gt;"",VLOOKUP($P260&amp;" | "&amp;BB$6,'Job Master'!$F$12:$J$102,5,0),"")</f>
        <v/>
      </c>
      <c r="BC260" s="19" t="str">
        <f>IF(BD260&lt;&gt;"",VLOOKUP($P260&amp;" | "&amp;BB$6,'Job Master'!$F$12:$J$102,3,0),"")</f>
        <v/>
      </c>
      <c r="BD260" s="19" t="str">
        <f>IFERROR(IF(AND(BK260&lt;&gt;"",VLOOKUP($P260&amp;" | "&amp;BB$6,'Job Master'!$F$12:$I$102,4,0)&lt;&gt;""),IF(WEEKDAY(BK260-VLOOKUP($P260&amp;" | "&amp;BB$6,'Job Master'!$F$12:$I$102,4,0))&lt;&gt;7,BK260-VLOOKUP($P260&amp;" | "&amp;BB$6,'Job Master'!$F$12:$I$102,4,0),BK260-VLOOKUP($P260&amp;" | "&amp;BB$6,'Job Master'!$F$12:$I$102,4,0)-1),""),"")</f>
        <v/>
      </c>
      <c r="BE260" s="73"/>
      <c r="BF260" s="123" t="str">
        <f t="shared" si="405"/>
        <v/>
      </c>
      <c r="BG260" s="123" t="str">
        <f t="shared" si="406"/>
        <v/>
      </c>
      <c r="BH260" s="97" t="str">
        <f t="shared" ca="1" si="407"/>
        <v/>
      </c>
      <c r="BI260" s="98" t="str">
        <f>IF(BK260&lt;&gt;"",VLOOKUP($P260&amp;" | "&amp;BI$6,'Job Master'!$F$12:$J$102,5,0),"")</f>
        <v/>
      </c>
      <c r="BJ260" s="19" t="str">
        <f>IF(BK260&lt;&gt;"",VLOOKUP($P260&amp;" | "&amp;BI$6,'Job Master'!$F$12:$J$102,3,0),"")</f>
        <v/>
      </c>
      <c r="BK260" s="19" t="str">
        <f>IFERROR(IF(AND(BR260&lt;&gt;"",VLOOKUP($P260&amp;" | "&amp;BI$6,'Job Master'!$F$12:$I$102,4,0)&lt;&gt;""),IF(WEEKDAY(BR260-VLOOKUP($P260&amp;" | "&amp;BI$6,'Job Master'!$F$12:$I$102,4,0))&lt;&gt;7,BR260-VLOOKUP($P260&amp;" | "&amp;BI$6,'Job Master'!$F$12:$I$102,4,0),BR260-VLOOKUP($P260&amp;" | "&amp;BI$6,'Job Master'!$F$12:$I$102,4,0)-1),""),"")</f>
        <v/>
      </c>
      <c r="BL260" s="73"/>
      <c r="BM260" s="123" t="str">
        <f t="shared" si="408"/>
        <v/>
      </c>
      <c r="BN260" s="123" t="str">
        <f t="shared" si="409"/>
        <v/>
      </c>
      <c r="BO260" s="97" t="str">
        <f t="shared" ca="1" si="410"/>
        <v/>
      </c>
      <c r="BP260" s="98" t="str">
        <f>IF(BR260&lt;&gt;"",VLOOKUP($P260&amp;" | "&amp;BP$6,'Job Master'!$F$12:$J$102,5,0),"")</f>
        <v/>
      </c>
      <c r="BQ260" s="19" t="str">
        <f>IF(BR260&lt;&gt;"",VLOOKUP($P260&amp;" | "&amp;BP$6,'Job Master'!$F$12:$J$102,3,0),"")</f>
        <v/>
      </c>
      <c r="BR260" s="19" t="str">
        <f>IFERROR(IF(AND(BY260&lt;&gt;"",VLOOKUP($P260&amp;" | "&amp;BP$6,'Job Master'!$F$12:$I$102,4,0)&lt;&gt;""),IF(WEEKDAY(BY260-VLOOKUP($P260&amp;" | "&amp;BP$6,'Job Master'!$F$12:$I$102,4,0))&lt;&gt;7,BY260-VLOOKUP($P260&amp;" | "&amp;BP$6,'Job Master'!$F$12:$I$102,4,0),BY260-VLOOKUP($P260&amp;" | "&amp;BP$6,'Job Master'!$F$12:$I$102,4,0)-1),""),"")</f>
        <v/>
      </c>
      <c r="BS260" s="73"/>
      <c r="BT260" s="123" t="str">
        <f t="shared" si="411"/>
        <v/>
      </c>
      <c r="BU260" s="123" t="str">
        <f t="shared" si="412"/>
        <v/>
      </c>
      <c r="BV260" s="97" t="str">
        <f t="shared" ca="1" si="413"/>
        <v/>
      </c>
      <c r="BW260" s="98" t="str">
        <f>IF(BY260&lt;&gt;"",VLOOKUP($P260&amp;" | "&amp;BW$6,'Job Master'!$F$12:$J$102,5,0),"")</f>
        <v/>
      </c>
      <c r="BX260" s="19" t="str">
        <f>IF(BY260&lt;&gt;"",VLOOKUP($P260&amp;" | "&amp;BW$6,'Job Master'!$F$12:$J$102,3,0),"")</f>
        <v/>
      </c>
      <c r="BY260" s="19" t="str">
        <f>IFERROR(IF(AND(CF260&lt;&gt;"",VLOOKUP($P260&amp;" | "&amp;BW$6,'Job Master'!$F$12:$I$102,4,0)&lt;&gt;""),IF(WEEKDAY(CF260-VLOOKUP($P260&amp;" | "&amp;BW$6,'Job Master'!$F$12:$I$102,4,0))&lt;&gt;7,CF260-VLOOKUP($P260&amp;" | "&amp;BW$6,'Job Master'!$F$12:$I$102,4,0),CF260-VLOOKUP($P260&amp;" | "&amp;BW$6,'Job Master'!$F$12:$I$102,4,0)-1),""),"")</f>
        <v/>
      </c>
      <c r="BZ260" s="73"/>
      <c r="CA260" s="123" t="str">
        <f t="shared" si="414"/>
        <v/>
      </c>
      <c r="CB260" s="123" t="str">
        <f t="shared" si="415"/>
        <v/>
      </c>
      <c r="CC260" s="97" t="str">
        <f t="shared" ca="1" si="416"/>
        <v/>
      </c>
      <c r="CD260" s="98" t="str">
        <f>IF(CF260&lt;&gt;"",VLOOKUP($P260&amp;" | "&amp;CD$6,'Job Master'!$F$12:$J$102,5,0),"")</f>
        <v/>
      </c>
      <c r="CE260" s="19" t="str">
        <f>IF(CF260&lt;&gt;"",VLOOKUP($P260&amp;" | "&amp;CD$6,'Job Master'!$F$12:$J$102,3,0),"")</f>
        <v/>
      </c>
      <c r="CF260" s="19" t="str">
        <f>IFERROR(IF(AND(CM260&lt;&gt;"",VLOOKUP($P260&amp;" | "&amp;CD$6,'Job Master'!$F$12:$I$102,4,0)&lt;&gt;""),IF(WEEKDAY(CM260-VLOOKUP($P260&amp;" | "&amp;CD$6,'Job Master'!$F$12:$I$102,4,0))&lt;&gt;7,CM260-VLOOKUP($P260&amp;" | "&amp;CD$6,'Job Master'!$F$12:$I$102,4,0),CM260-VLOOKUP($P260&amp;" | "&amp;CD$6,'Job Master'!$F$12:$I$102,4,0)-1),""),"")</f>
        <v/>
      </c>
      <c r="CG260" s="73"/>
      <c r="CH260" s="123" t="str">
        <f t="shared" si="417"/>
        <v/>
      </c>
      <c r="CI260" s="123" t="str">
        <f t="shared" si="418"/>
        <v/>
      </c>
      <c r="CJ260" s="97" t="str">
        <f t="shared" ca="1" si="419"/>
        <v/>
      </c>
      <c r="CK260" s="98" t="str">
        <f>IF(CM260&lt;&gt;"",VLOOKUP($P260&amp;" | "&amp;CK$6,'Job Master'!$F$12:$J$102,5,0),"")</f>
        <v/>
      </c>
      <c r="CL260" s="19" t="str">
        <f>IF(CM260&lt;&gt;"",VLOOKUP($P260&amp;" | "&amp;CK$6,'Job Master'!$F$12:$J$102,3,0),"")</f>
        <v/>
      </c>
      <c r="CM260" s="19" t="str">
        <f>IFERROR(IF(AND(CT260&lt;&gt;"",VLOOKUP($P260&amp;" | "&amp;CK$6,'Job Master'!$F$12:$I$102,4,0)&lt;&gt;""),IF(WEEKDAY(CT260-VLOOKUP($P260&amp;" | "&amp;CK$6,'Job Master'!$F$12:$I$102,4,0))&lt;&gt;7,CT260-VLOOKUP($P260&amp;" | "&amp;CK$6,'Job Master'!$F$12:$I$102,4,0),CT260-VLOOKUP($P260&amp;" | "&amp;CK$6,'Job Master'!$F$12:$I$102,4,0)-1),""),"")</f>
        <v/>
      </c>
      <c r="CN260" s="73"/>
      <c r="CO260" s="123" t="str">
        <f t="shared" si="420"/>
        <v/>
      </c>
      <c r="CP260" s="123" t="str">
        <f t="shared" si="421"/>
        <v/>
      </c>
      <c r="CQ260" s="97" t="str">
        <f t="shared" ca="1" si="422"/>
        <v/>
      </c>
      <c r="CR260" s="98" t="str">
        <f>IF(CT260&lt;&gt;"",VLOOKUP($P260&amp;" | "&amp;CR$6,'Job Master'!$F$12:$J$102,5,0),"")</f>
        <v/>
      </c>
      <c r="CS260" s="19" t="str">
        <f>IF(CT260&lt;&gt;"",VLOOKUP($P260&amp;" | "&amp;CR$6,'Job Master'!$F$12:$J$102,3,0),"")</f>
        <v/>
      </c>
      <c r="CT260" s="19" t="str">
        <f>IFERROR(IF(AND(DA260&lt;&gt;"",VLOOKUP($P260&amp;" | "&amp;CR$6,'Job Master'!$F$12:$I$102,4,0)&lt;&gt;""),IF(WEEKDAY(DA260-VLOOKUP($P260&amp;" | "&amp;CR$6,'Job Master'!$F$12:$I$102,4,0))&lt;&gt;7,DA260-VLOOKUP($P260&amp;" | "&amp;CR$6,'Job Master'!$F$12:$I$102,4,0),DA260-VLOOKUP($P260&amp;" | "&amp;CR$6,'Job Master'!$F$12:$I$102,4,0)-1),""),"")</f>
        <v/>
      </c>
      <c r="CU260" s="73"/>
      <c r="CV260" s="123" t="str">
        <f t="shared" si="423"/>
        <v/>
      </c>
      <c r="CW260" s="123" t="str">
        <f t="shared" si="424"/>
        <v/>
      </c>
      <c r="CX260" s="97" t="str">
        <f t="shared" ca="1" si="425"/>
        <v/>
      </c>
      <c r="CY260" s="98" t="str">
        <f>IF(DA260&lt;&gt;"",VLOOKUP($P260&amp;" | "&amp;CY$6,'Job Master'!$F$12:$J$102,5,0),"")</f>
        <v/>
      </c>
      <c r="CZ260" s="19" t="str">
        <f>IF(DA260&lt;&gt;"",VLOOKUP($P260&amp;" | "&amp;CY$6,'Job Master'!$F$12:$J$102,3,0),"")</f>
        <v/>
      </c>
      <c r="DA260" s="19" t="str">
        <f>IFERROR(IF(AND(DH260&lt;&gt;"",VLOOKUP($P260&amp;" | "&amp;CY$6,'Job Master'!$F$12:$I$102,4,0)&lt;&gt;""),IF(WEEKDAY(DH260-VLOOKUP($P260&amp;" | "&amp;CY$6,'Job Master'!$F$12:$I$102,4,0))&lt;&gt;7,DH260-VLOOKUP($P260&amp;" | "&amp;CY$6,'Job Master'!$F$12:$I$102,4,0),DH260-VLOOKUP($P260&amp;" | "&amp;CY$6,'Job Master'!$F$12:$I$102,4,0)-1),""),"")</f>
        <v/>
      </c>
      <c r="DB260" s="73"/>
      <c r="DC260" s="123" t="str">
        <f t="shared" si="426"/>
        <v/>
      </c>
      <c r="DD260" s="123" t="str">
        <f t="shared" si="427"/>
        <v/>
      </c>
      <c r="DE260" s="97" t="str">
        <f t="shared" ca="1" si="428"/>
        <v/>
      </c>
      <c r="DF260" s="98" t="str">
        <f>IF(DH260&lt;&gt;"",VLOOKUP($P260&amp;" | "&amp;DF$6,'Job Master'!$F$12:$J$102,5,0),"")</f>
        <v/>
      </c>
      <c r="DG260" s="19" t="str">
        <f>IF(DH260&lt;&gt;"",VLOOKUP($P260&amp;" | "&amp;DF$6,'Job Master'!$F$12:$J$102,3,0),"")</f>
        <v/>
      </c>
      <c r="DH260" s="19" t="str">
        <f>IFERROR(IF(AND(DO260&lt;&gt;"",VLOOKUP($P260&amp;" | "&amp;DF$6,'Job Master'!$F$12:$I$102,4,0)&lt;&gt;""),IF(WEEKDAY(DO260-VLOOKUP($P260&amp;" | "&amp;DF$6,'Job Master'!$F$12:$I$102,4,0))&lt;&gt;7,DO260-VLOOKUP($P260&amp;" | "&amp;DF$6,'Job Master'!$F$12:$I$102,4,0),DO260-VLOOKUP($P260&amp;" | "&amp;DF$6,'Job Master'!$F$12:$I$102,4,0)-1),""),"")</f>
        <v/>
      </c>
      <c r="DI260" s="73"/>
      <c r="DJ260" s="123" t="str">
        <f t="shared" si="429"/>
        <v/>
      </c>
      <c r="DK260" s="123" t="str">
        <f t="shared" si="430"/>
        <v/>
      </c>
      <c r="DL260" s="97" t="str">
        <f t="shared" ca="1" si="431"/>
        <v/>
      </c>
      <c r="DM260" s="98" t="str">
        <f>IF(DO260&lt;&gt;"",VLOOKUP($P260&amp;" | "&amp;DM$6,'Job Master'!$F$12:$J$102,5,0),"")</f>
        <v/>
      </c>
      <c r="DN260" s="19" t="str">
        <f>IF(DO260&lt;&gt;"",VLOOKUP($P260&amp;" | "&amp;DM$6,'Job Master'!$F$12:$J$102,3,0),"")</f>
        <v/>
      </c>
      <c r="DO260" s="19" t="str">
        <f>IFERROR(IF(AND(DT260&lt;&gt;"",VLOOKUP($P260&amp;" | "&amp;DM$6,'Job Master'!$F$12:$I$102,4,0)&lt;&gt;""),IF(WEEKDAY(DT260-VLOOKUP($P260&amp;" | "&amp;DM$6,'Job Master'!$F$12:$I$102,4,0))&lt;&gt;7,DT260-VLOOKUP($P260&amp;" | "&amp;DM$6,'Job Master'!$F$12:$I$102,4,0),DT260-VLOOKUP($P260&amp;" | "&amp;DM$6,'Job Master'!$F$12:$I$102,4,0)-1),""),"")</f>
        <v/>
      </c>
      <c r="DP260" s="73"/>
      <c r="DQ260" s="123" t="str">
        <f t="shared" si="432"/>
        <v/>
      </c>
      <c r="DR260" s="123" t="str">
        <f t="shared" si="433"/>
        <v/>
      </c>
      <c r="DS260" s="97" t="str">
        <f t="shared" ca="1" si="434"/>
        <v/>
      </c>
      <c r="DT260" s="70" t="str">
        <f t="shared" si="435"/>
        <v/>
      </c>
      <c r="DU260" s="90"/>
      <c r="DV260" s="123" t="str">
        <f t="shared" si="436"/>
        <v/>
      </c>
      <c r="DW260" s="123" t="str">
        <f t="shared" si="437"/>
        <v/>
      </c>
      <c r="DX260" s="132" t="str">
        <f t="shared" ref="DX260" ca="1" si="507">IF(DT260&lt;&gt;"",IF(WEEKNUM(DT260)=WEEKNUM(TODAY()),"This Week",IF(WEEKNUM(DT260)=WEEKNUM(TODAY())+1,"Next Week",IF(WEEKNUM(DT260)=WEEKNUM(TODAY())-1,"Previous Week",""))),"")</f>
        <v/>
      </c>
      <c r="DY260" s="134" t="str">
        <f t="shared" si="439"/>
        <v/>
      </c>
      <c r="DZ260" s="95"/>
      <c r="EB260" s="8" t="str">
        <f t="shared" si="445"/>
        <v/>
      </c>
      <c r="EC260" s="8" t="str">
        <f>IF(O260&lt;&gt;"",VLOOKUP(O260,'Job Master'!$N$12:$O$18,2,0),"")</f>
        <v/>
      </c>
      <c r="ED260" s="8">
        <f t="shared" si="446"/>
        <v>19.5</v>
      </c>
      <c r="EE260" s="8">
        <f t="shared" si="447"/>
        <v>6</v>
      </c>
      <c r="EF260" s="8">
        <f t="shared" si="448"/>
        <v>-1480.5</v>
      </c>
      <c r="EG260" s="8" t="str">
        <f t="shared" si="449"/>
        <v/>
      </c>
      <c r="EH260" s="8" t="str">
        <f t="shared" si="450"/>
        <v/>
      </c>
    </row>
    <row r="261" spans="2:138" x14ac:dyDescent="0.3">
      <c r="B261" s="112"/>
      <c r="C261" s="27"/>
      <c r="D261" s="7" t="str">
        <f t="shared" si="387"/>
        <v/>
      </c>
      <c r="E261" s="25"/>
      <c r="F261" s="7" t="str">
        <f t="shared" si="387"/>
        <v/>
      </c>
      <c r="G261" s="25"/>
      <c r="H261" s="7" t="str">
        <f t="shared" si="387"/>
        <v/>
      </c>
      <c r="I261" s="25"/>
      <c r="J261" s="7" t="str">
        <f t="shared" si="387"/>
        <v/>
      </c>
      <c r="K261" s="25"/>
      <c r="L261" s="7" t="str">
        <f t="shared" si="388"/>
        <v/>
      </c>
      <c r="M261" s="25"/>
      <c r="N261" s="7" t="str">
        <f t="shared" si="389"/>
        <v/>
      </c>
      <c r="O261" s="81"/>
      <c r="P261" s="81" t="str">
        <f t="shared" si="390"/>
        <v/>
      </c>
      <c r="Q261" s="81"/>
      <c r="R261" s="7" t="str">
        <f t="shared" si="391"/>
        <v/>
      </c>
      <c r="S261" s="25"/>
      <c r="T261" s="7" t="str">
        <f t="shared" si="392"/>
        <v/>
      </c>
      <c r="U261" s="25"/>
      <c r="V261" s="7" t="str">
        <f t="shared" si="393"/>
        <v/>
      </c>
      <c r="W261" s="25"/>
      <c r="X261" s="7" t="str">
        <f t="shared" si="394"/>
        <v/>
      </c>
      <c r="Y261" s="18" t="str">
        <f t="shared" si="395"/>
        <v/>
      </c>
      <c r="Z261" s="7" t="str">
        <f t="shared" si="396"/>
        <v/>
      </c>
      <c r="AA261" s="18" t="str">
        <f t="shared" si="397"/>
        <v/>
      </c>
      <c r="AB261" s="19" t="str">
        <f t="shared" si="398"/>
        <v/>
      </c>
      <c r="AC261" s="26"/>
      <c r="AD261" s="26"/>
      <c r="AE261" s="25"/>
      <c r="AF261" s="26"/>
      <c r="AG261" s="25"/>
      <c r="AH261" s="25"/>
      <c r="AI261" s="18" t="str">
        <f t="shared" si="461"/>
        <v/>
      </c>
      <c r="AJ261" s="25"/>
      <c r="AK261" s="18" t="str">
        <f t="shared" si="462"/>
        <v/>
      </c>
      <c r="AL261" s="79"/>
      <c r="AM261" s="126" t="str">
        <f t="shared" si="463"/>
        <v/>
      </c>
      <c r="AN261" s="128" t="str">
        <f>IF(AP261&lt;&gt;"",VLOOKUP($P261&amp;" | "&amp;AN$6,'Job Master'!$F$12:$J$102,5,0),"")</f>
        <v/>
      </c>
      <c r="AO261" s="19" t="str">
        <f>IF(AP261&lt;&gt;"",VLOOKUP($P261&amp;" | "&amp;AN$6,'Job Master'!$F$12:$J$102,3,0),"")</f>
        <v/>
      </c>
      <c r="AP261" s="19" t="str">
        <f>IFERROR(IF(AND(AW261&lt;&gt;"",VLOOKUP($P261&amp;" | "&amp;AN$6,'Job Master'!$F$12:$I$102,4,0)&lt;&gt;""),IF(WEEKDAY(AW261-VLOOKUP($P261&amp;" | "&amp;AN$6,'Job Master'!$F$12:$I$102,4,0))&lt;&gt;7,AW261-VLOOKUP($P261&amp;" | "&amp;AN$6,'Job Master'!$F$12:$I$102,4,0),AW261-VLOOKUP($P261&amp;" | "&amp;AN$6,'Job Master'!$F$12:$I$102,4,0)-1),""),"")</f>
        <v/>
      </c>
      <c r="AQ261" s="73"/>
      <c r="AR261" s="123" t="str">
        <f t="shared" si="399"/>
        <v/>
      </c>
      <c r="AS261" s="123" t="str">
        <f t="shared" si="400"/>
        <v/>
      </c>
      <c r="AT261" s="97" t="str">
        <f t="shared" ca="1" si="401"/>
        <v/>
      </c>
      <c r="AU261" s="98" t="str">
        <f>IF(AW261&lt;&gt;"",VLOOKUP($P261&amp;" | "&amp;AU$6,'Job Master'!$F$12:$J$102,5,0),"")</f>
        <v/>
      </c>
      <c r="AV261" s="19" t="str">
        <f>IF(AW261&lt;&gt;"",VLOOKUP($P261&amp;" | "&amp;AU$6,'Job Master'!$F$12:$J$102,3,0),"")</f>
        <v/>
      </c>
      <c r="AW261" s="19" t="str">
        <f>IFERROR(IF(AND(BD261&lt;&gt;"",VLOOKUP($P261&amp;" | "&amp;AU$6,'Job Master'!$F$12:$I$102,4,0)&lt;&gt;""),IF(WEEKDAY(BD261-VLOOKUP($P261&amp;" | "&amp;AU$6,'Job Master'!$F$12:$I$102,4,0))&lt;&gt;7,BD261-VLOOKUP($P261&amp;" | "&amp;AU$6,'Job Master'!$F$12:$I$102,4,0),BD261-VLOOKUP($P261&amp;" | "&amp;AU$6,'Job Master'!$F$12:$I$102,4,0)-1),""),"")</f>
        <v/>
      </c>
      <c r="AX261" s="73"/>
      <c r="AY261" s="123" t="str">
        <f t="shared" si="402"/>
        <v/>
      </c>
      <c r="AZ261" s="123" t="str">
        <f t="shared" si="403"/>
        <v/>
      </c>
      <c r="BA261" s="97" t="str">
        <f t="shared" ca="1" si="404"/>
        <v/>
      </c>
      <c r="BB261" s="98" t="str">
        <f>IF(BD261&lt;&gt;"",VLOOKUP($P261&amp;" | "&amp;BB$6,'Job Master'!$F$12:$J$102,5,0),"")</f>
        <v/>
      </c>
      <c r="BC261" s="19" t="str">
        <f>IF(BD261&lt;&gt;"",VLOOKUP($P261&amp;" | "&amp;BB$6,'Job Master'!$F$12:$J$102,3,0),"")</f>
        <v/>
      </c>
      <c r="BD261" s="19" t="str">
        <f>IFERROR(IF(AND(BK261&lt;&gt;"",VLOOKUP($P261&amp;" | "&amp;BB$6,'Job Master'!$F$12:$I$102,4,0)&lt;&gt;""),IF(WEEKDAY(BK261-VLOOKUP($P261&amp;" | "&amp;BB$6,'Job Master'!$F$12:$I$102,4,0))&lt;&gt;7,BK261-VLOOKUP($P261&amp;" | "&amp;BB$6,'Job Master'!$F$12:$I$102,4,0),BK261-VLOOKUP($P261&amp;" | "&amp;BB$6,'Job Master'!$F$12:$I$102,4,0)-1),""),"")</f>
        <v/>
      </c>
      <c r="BE261" s="73"/>
      <c r="BF261" s="123" t="str">
        <f t="shared" si="405"/>
        <v/>
      </c>
      <c r="BG261" s="123" t="str">
        <f t="shared" si="406"/>
        <v/>
      </c>
      <c r="BH261" s="97" t="str">
        <f t="shared" ca="1" si="407"/>
        <v/>
      </c>
      <c r="BI261" s="98" t="str">
        <f>IF(BK261&lt;&gt;"",VLOOKUP($P261&amp;" | "&amp;BI$6,'Job Master'!$F$12:$J$102,5,0),"")</f>
        <v/>
      </c>
      <c r="BJ261" s="19" t="str">
        <f>IF(BK261&lt;&gt;"",VLOOKUP($P261&amp;" | "&amp;BI$6,'Job Master'!$F$12:$J$102,3,0),"")</f>
        <v/>
      </c>
      <c r="BK261" s="19" t="str">
        <f>IFERROR(IF(AND(BR261&lt;&gt;"",VLOOKUP($P261&amp;" | "&amp;BI$6,'Job Master'!$F$12:$I$102,4,0)&lt;&gt;""),IF(WEEKDAY(BR261-VLOOKUP($P261&amp;" | "&amp;BI$6,'Job Master'!$F$12:$I$102,4,0))&lt;&gt;7,BR261-VLOOKUP($P261&amp;" | "&amp;BI$6,'Job Master'!$F$12:$I$102,4,0),BR261-VLOOKUP($P261&amp;" | "&amp;BI$6,'Job Master'!$F$12:$I$102,4,0)-1),""),"")</f>
        <v/>
      </c>
      <c r="BL261" s="73"/>
      <c r="BM261" s="123" t="str">
        <f t="shared" si="408"/>
        <v/>
      </c>
      <c r="BN261" s="123" t="str">
        <f t="shared" si="409"/>
        <v/>
      </c>
      <c r="BO261" s="97" t="str">
        <f t="shared" ca="1" si="410"/>
        <v/>
      </c>
      <c r="BP261" s="98" t="str">
        <f>IF(BR261&lt;&gt;"",VLOOKUP($P261&amp;" | "&amp;BP$6,'Job Master'!$F$12:$J$102,5,0),"")</f>
        <v/>
      </c>
      <c r="BQ261" s="19" t="str">
        <f>IF(BR261&lt;&gt;"",VLOOKUP($P261&amp;" | "&amp;BP$6,'Job Master'!$F$12:$J$102,3,0),"")</f>
        <v/>
      </c>
      <c r="BR261" s="19" t="str">
        <f>IFERROR(IF(AND(BY261&lt;&gt;"",VLOOKUP($P261&amp;" | "&amp;BP$6,'Job Master'!$F$12:$I$102,4,0)&lt;&gt;""),IF(WEEKDAY(BY261-VLOOKUP($P261&amp;" | "&amp;BP$6,'Job Master'!$F$12:$I$102,4,0))&lt;&gt;7,BY261-VLOOKUP($P261&amp;" | "&amp;BP$6,'Job Master'!$F$12:$I$102,4,0),BY261-VLOOKUP($P261&amp;" | "&amp;BP$6,'Job Master'!$F$12:$I$102,4,0)-1),""),"")</f>
        <v/>
      </c>
      <c r="BS261" s="73"/>
      <c r="BT261" s="123" t="str">
        <f t="shared" si="411"/>
        <v/>
      </c>
      <c r="BU261" s="123" t="str">
        <f t="shared" si="412"/>
        <v/>
      </c>
      <c r="BV261" s="97" t="str">
        <f t="shared" ca="1" si="413"/>
        <v/>
      </c>
      <c r="BW261" s="98" t="str">
        <f>IF(BY261&lt;&gt;"",VLOOKUP($P261&amp;" | "&amp;BW$6,'Job Master'!$F$12:$J$102,5,0),"")</f>
        <v/>
      </c>
      <c r="BX261" s="19" t="str">
        <f>IF(BY261&lt;&gt;"",VLOOKUP($P261&amp;" | "&amp;BW$6,'Job Master'!$F$12:$J$102,3,0),"")</f>
        <v/>
      </c>
      <c r="BY261" s="19" t="str">
        <f>IFERROR(IF(AND(CF261&lt;&gt;"",VLOOKUP($P261&amp;" | "&amp;BW$6,'Job Master'!$F$12:$I$102,4,0)&lt;&gt;""),IF(WEEKDAY(CF261-VLOOKUP($P261&amp;" | "&amp;BW$6,'Job Master'!$F$12:$I$102,4,0))&lt;&gt;7,CF261-VLOOKUP($P261&amp;" | "&amp;BW$6,'Job Master'!$F$12:$I$102,4,0),CF261-VLOOKUP($P261&amp;" | "&amp;BW$6,'Job Master'!$F$12:$I$102,4,0)-1),""),"")</f>
        <v/>
      </c>
      <c r="BZ261" s="73"/>
      <c r="CA261" s="123" t="str">
        <f t="shared" si="414"/>
        <v/>
      </c>
      <c r="CB261" s="123" t="str">
        <f t="shared" si="415"/>
        <v/>
      </c>
      <c r="CC261" s="97" t="str">
        <f t="shared" ca="1" si="416"/>
        <v/>
      </c>
      <c r="CD261" s="98" t="str">
        <f>IF(CF261&lt;&gt;"",VLOOKUP($P261&amp;" | "&amp;CD$6,'Job Master'!$F$12:$J$102,5,0),"")</f>
        <v/>
      </c>
      <c r="CE261" s="19" t="str">
        <f>IF(CF261&lt;&gt;"",VLOOKUP($P261&amp;" | "&amp;CD$6,'Job Master'!$F$12:$J$102,3,0),"")</f>
        <v/>
      </c>
      <c r="CF261" s="19" t="str">
        <f>IFERROR(IF(AND(CM261&lt;&gt;"",VLOOKUP($P261&amp;" | "&amp;CD$6,'Job Master'!$F$12:$I$102,4,0)&lt;&gt;""),IF(WEEKDAY(CM261-VLOOKUP($P261&amp;" | "&amp;CD$6,'Job Master'!$F$12:$I$102,4,0))&lt;&gt;7,CM261-VLOOKUP($P261&amp;" | "&amp;CD$6,'Job Master'!$F$12:$I$102,4,0),CM261-VLOOKUP($P261&amp;" | "&amp;CD$6,'Job Master'!$F$12:$I$102,4,0)-1),""),"")</f>
        <v/>
      </c>
      <c r="CG261" s="73"/>
      <c r="CH261" s="123" t="str">
        <f t="shared" si="417"/>
        <v/>
      </c>
      <c r="CI261" s="123" t="str">
        <f t="shared" si="418"/>
        <v/>
      </c>
      <c r="CJ261" s="97" t="str">
        <f t="shared" ca="1" si="419"/>
        <v/>
      </c>
      <c r="CK261" s="98" t="str">
        <f>IF(CM261&lt;&gt;"",VLOOKUP($P261&amp;" | "&amp;CK$6,'Job Master'!$F$12:$J$102,5,0),"")</f>
        <v/>
      </c>
      <c r="CL261" s="19" t="str">
        <f>IF(CM261&lt;&gt;"",VLOOKUP($P261&amp;" | "&amp;CK$6,'Job Master'!$F$12:$J$102,3,0),"")</f>
        <v/>
      </c>
      <c r="CM261" s="19" t="str">
        <f>IFERROR(IF(AND(CT261&lt;&gt;"",VLOOKUP($P261&amp;" | "&amp;CK$6,'Job Master'!$F$12:$I$102,4,0)&lt;&gt;""),IF(WEEKDAY(CT261-VLOOKUP($P261&amp;" | "&amp;CK$6,'Job Master'!$F$12:$I$102,4,0))&lt;&gt;7,CT261-VLOOKUP($P261&amp;" | "&amp;CK$6,'Job Master'!$F$12:$I$102,4,0),CT261-VLOOKUP($P261&amp;" | "&amp;CK$6,'Job Master'!$F$12:$I$102,4,0)-1),""),"")</f>
        <v/>
      </c>
      <c r="CN261" s="73"/>
      <c r="CO261" s="123" t="str">
        <f t="shared" si="420"/>
        <v/>
      </c>
      <c r="CP261" s="123" t="str">
        <f t="shared" si="421"/>
        <v/>
      </c>
      <c r="CQ261" s="97" t="str">
        <f t="shared" ca="1" si="422"/>
        <v/>
      </c>
      <c r="CR261" s="98" t="str">
        <f>IF(CT261&lt;&gt;"",VLOOKUP($P261&amp;" | "&amp;CR$6,'Job Master'!$F$12:$J$102,5,0),"")</f>
        <v/>
      </c>
      <c r="CS261" s="19" t="str">
        <f>IF(CT261&lt;&gt;"",VLOOKUP($P261&amp;" | "&amp;CR$6,'Job Master'!$F$12:$J$102,3,0),"")</f>
        <v/>
      </c>
      <c r="CT261" s="19" t="str">
        <f>IFERROR(IF(AND(DA261&lt;&gt;"",VLOOKUP($P261&amp;" | "&amp;CR$6,'Job Master'!$F$12:$I$102,4,0)&lt;&gt;""),IF(WEEKDAY(DA261-VLOOKUP($P261&amp;" | "&amp;CR$6,'Job Master'!$F$12:$I$102,4,0))&lt;&gt;7,DA261-VLOOKUP($P261&amp;" | "&amp;CR$6,'Job Master'!$F$12:$I$102,4,0),DA261-VLOOKUP($P261&amp;" | "&amp;CR$6,'Job Master'!$F$12:$I$102,4,0)-1),""),"")</f>
        <v/>
      </c>
      <c r="CU261" s="73"/>
      <c r="CV261" s="123" t="str">
        <f t="shared" si="423"/>
        <v/>
      </c>
      <c r="CW261" s="123" t="str">
        <f t="shared" si="424"/>
        <v/>
      </c>
      <c r="CX261" s="97" t="str">
        <f t="shared" ca="1" si="425"/>
        <v/>
      </c>
      <c r="CY261" s="98" t="str">
        <f>IF(DA261&lt;&gt;"",VLOOKUP($P261&amp;" | "&amp;CY$6,'Job Master'!$F$12:$J$102,5,0),"")</f>
        <v/>
      </c>
      <c r="CZ261" s="19" t="str">
        <f>IF(DA261&lt;&gt;"",VLOOKUP($P261&amp;" | "&amp;CY$6,'Job Master'!$F$12:$J$102,3,0),"")</f>
        <v/>
      </c>
      <c r="DA261" s="19" t="str">
        <f>IFERROR(IF(AND(DH261&lt;&gt;"",VLOOKUP($P261&amp;" | "&amp;CY$6,'Job Master'!$F$12:$I$102,4,0)&lt;&gt;""),IF(WEEKDAY(DH261-VLOOKUP($P261&amp;" | "&amp;CY$6,'Job Master'!$F$12:$I$102,4,0))&lt;&gt;7,DH261-VLOOKUP($P261&amp;" | "&amp;CY$6,'Job Master'!$F$12:$I$102,4,0),DH261-VLOOKUP($P261&amp;" | "&amp;CY$6,'Job Master'!$F$12:$I$102,4,0)-1),""),"")</f>
        <v/>
      </c>
      <c r="DB261" s="73"/>
      <c r="DC261" s="123" t="str">
        <f t="shared" si="426"/>
        <v/>
      </c>
      <c r="DD261" s="123" t="str">
        <f t="shared" si="427"/>
        <v/>
      </c>
      <c r="DE261" s="97" t="str">
        <f t="shared" ca="1" si="428"/>
        <v/>
      </c>
      <c r="DF261" s="98" t="str">
        <f>IF(DH261&lt;&gt;"",VLOOKUP($P261&amp;" | "&amp;DF$6,'Job Master'!$F$12:$J$102,5,0),"")</f>
        <v/>
      </c>
      <c r="DG261" s="19" t="str">
        <f>IF(DH261&lt;&gt;"",VLOOKUP($P261&amp;" | "&amp;DF$6,'Job Master'!$F$12:$J$102,3,0),"")</f>
        <v/>
      </c>
      <c r="DH261" s="19" t="str">
        <f>IFERROR(IF(AND(DO261&lt;&gt;"",VLOOKUP($P261&amp;" | "&amp;DF$6,'Job Master'!$F$12:$I$102,4,0)&lt;&gt;""),IF(WEEKDAY(DO261-VLOOKUP($P261&amp;" | "&amp;DF$6,'Job Master'!$F$12:$I$102,4,0))&lt;&gt;7,DO261-VLOOKUP($P261&amp;" | "&amp;DF$6,'Job Master'!$F$12:$I$102,4,0),DO261-VLOOKUP($P261&amp;" | "&amp;DF$6,'Job Master'!$F$12:$I$102,4,0)-1),""),"")</f>
        <v/>
      </c>
      <c r="DI261" s="73"/>
      <c r="DJ261" s="123" t="str">
        <f t="shared" si="429"/>
        <v/>
      </c>
      <c r="DK261" s="123" t="str">
        <f t="shared" si="430"/>
        <v/>
      </c>
      <c r="DL261" s="97" t="str">
        <f t="shared" ca="1" si="431"/>
        <v/>
      </c>
      <c r="DM261" s="98" t="str">
        <f>IF(DO261&lt;&gt;"",VLOOKUP($P261&amp;" | "&amp;DM$6,'Job Master'!$F$12:$J$102,5,0),"")</f>
        <v/>
      </c>
      <c r="DN261" s="19" t="str">
        <f>IF(DO261&lt;&gt;"",VLOOKUP($P261&amp;" | "&amp;DM$6,'Job Master'!$F$12:$J$102,3,0),"")</f>
        <v/>
      </c>
      <c r="DO261" s="19" t="str">
        <f>IFERROR(IF(AND(DT261&lt;&gt;"",VLOOKUP($P261&amp;" | "&amp;DM$6,'Job Master'!$F$12:$I$102,4,0)&lt;&gt;""),IF(WEEKDAY(DT261-VLOOKUP($P261&amp;" | "&amp;DM$6,'Job Master'!$F$12:$I$102,4,0))&lt;&gt;7,DT261-VLOOKUP($P261&amp;" | "&amp;DM$6,'Job Master'!$F$12:$I$102,4,0),DT261-VLOOKUP($P261&amp;" | "&amp;DM$6,'Job Master'!$F$12:$I$102,4,0)-1),""),"")</f>
        <v/>
      </c>
      <c r="DP261" s="73"/>
      <c r="DQ261" s="123" t="str">
        <f t="shared" si="432"/>
        <v/>
      </c>
      <c r="DR261" s="123" t="str">
        <f t="shared" si="433"/>
        <v/>
      </c>
      <c r="DS261" s="97" t="str">
        <f t="shared" ca="1" si="434"/>
        <v/>
      </c>
      <c r="DT261" s="70" t="str">
        <f t="shared" si="435"/>
        <v/>
      </c>
      <c r="DU261" s="90"/>
      <c r="DV261" s="123" t="str">
        <f t="shared" si="436"/>
        <v/>
      </c>
      <c r="DW261" s="123" t="str">
        <f t="shared" si="437"/>
        <v/>
      </c>
      <c r="DX261" s="132" t="str">
        <f t="shared" ref="DX261" ca="1" si="508">IF(DT261&lt;&gt;"",IF(WEEKNUM(DT261)=WEEKNUM(TODAY()),"This Week",IF(WEEKNUM(DT261)=WEEKNUM(TODAY())+1,"Next Week",IF(WEEKNUM(DT261)=WEEKNUM(TODAY())-1,"Previous Week",""))),"")</f>
        <v/>
      </c>
      <c r="DY261" s="134" t="str">
        <f t="shared" si="439"/>
        <v/>
      </c>
      <c r="DZ261" s="95"/>
      <c r="EB261" s="8" t="str">
        <f t="shared" si="445"/>
        <v/>
      </c>
      <c r="EC261" s="8" t="str">
        <f>IF(O261&lt;&gt;"",VLOOKUP(O261,'Job Master'!$N$12:$O$18,2,0),"")</f>
        <v/>
      </c>
      <c r="ED261" s="8">
        <f t="shared" si="446"/>
        <v>19.5</v>
      </c>
      <c r="EE261" s="8">
        <f t="shared" si="447"/>
        <v>6</v>
      </c>
      <c r="EF261" s="8">
        <f t="shared" si="448"/>
        <v>-1486.5</v>
      </c>
      <c r="EG261" s="8" t="str">
        <f t="shared" si="449"/>
        <v/>
      </c>
      <c r="EH261" s="8" t="str">
        <f t="shared" si="450"/>
        <v/>
      </c>
    </row>
    <row r="262" spans="2:138" x14ac:dyDescent="0.3">
      <c r="B262" s="112"/>
      <c r="C262" s="27"/>
      <c r="D262" s="7" t="str">
        <f t="shared" si="387"/>
        <v/>
      </c>
      <c r="E262" s="25"/>
      <c r="F262" s="7" t="str">
        <f t="shared" si="387"/>
        <v/>
      </c>
      <c r="G262" s="25"/>
      <c r="H262" s="7" t="str">
        <f t="shared" si="387"/>
        <v/>
      </c>
      <c r="I262" s="25"/>
      <c r="J262" s="7" t="str">
        <f t="shared" si="387"/>
        <v/>
      </c>
      <c r="K262" s="25"/>
      <c r="L262" s="7" t="str">
        <f t="shared" si="388"/>
        <v/>
      </c>
      <c r="M262" s="25"/>
      <c r="N262" s="7" t="str">
        <f t="shared" si="389"/>
        <v/>
      </c>
      <c r="O262" s="81"/>
      <c r="P262" s="81" t="str">
        <f t="shared" si="390"/>
        <v/>
      </c>
      <c r="Q262" s="81"/>
      <c r="R262" s="7" t="str">
        <f t="shared" si="391"/>
        <v/>
      </c>
      <c r="S262" s="25"/>
      <c r="T262" s="7" t="str">
        <f t="shared" si="392"/>
        <v/>
      </c>
      <c r="U262" s="25"/>
      <c r="V262" s="7" t="str">
        <f t="shared" si="393"/>
        <v/>
      </c>
      <c r="W262" s="25"/>
      <c r="X262" s="7" t="str">
        <f t="shared" si="394"/>
        <v/>
      </c>
      <c r="Y262" s="18" t="str">
        <f t="shared" si="395"/>
        <v/>
      </c>
      <c r="Z262" s="7" t="str">
        <f t="shared" si="396"/>
        <v/>
      </c>
      <c r="AA262" s="18" t="str">
        <f t="shared" si="397"/>
        <v/>
      </c>
      <c r="AB262" s="19" t="str">
        <f t="shared" si="398"/>
        <v/>
      </c>
      <c r="AC262" s="26"/>
      <c r="AD262" s="26"/>
      <c r="AE262" s="25"/>
      <c r="AF262" s="26"/>
      <c r="AG262" s="25"/>
      <c r="AH262" s="25"/>
      <c r="AI262" s="18" t="str">
        <f t="shared" si="461"/>
        <v/>
      </c>
      <c r="AJ262" s="25"/>
      <c r="AK262" s="18" t="str">
        <f t="shared" si="462"/>
        <v/>
      </c>
      <c r="AL262" s="79"/>
      <c r="AM262" s="126" t="str">
        <f t="shared" si="463"/>
        <v/>
      </c>
      <c r="AN262" s="128" t="str">
        <f>IF(AP262&lt;&gt;"",VLOOKUP($P262&amp;" | "&amp;AN$6,'Job Master'!$F$12:$J$102,5,0),"")</f>
        <v/>
      </c>
      <c r="AO262" s="19" t="str">
        <f>IF(AP262&lt;&gt;"",VLOOKUP($P262&amp;" | "&amp;AN$6,'Job Master'!$F$12:$J$102,3,0),"")</f>
        <v/>
      </c>
      <c r="AP262" s="19" t="str">
        <f>IFERROR(IF(AND(AW262&lt;&gt;"",VLOOKUP($P262&amp;" | "&amp;AN$6,'Job Master'!$F$12:$I$102,4,0)&lt;&gt;""),IF(WEEKDAY(AW262-VLOOKUP($P262&amp;" | "&amp;AN$6,'Job Master'!$F$12:$I$102,4,0))&lt;&gt;7,AW262-VLOOKUP($P262&amp;" | "&amp;AN$6,'Job Master'!$F$12:$I$102,4,0),AW262-VLOOKUP($P262&amp;" | "&amp;AN$6,'Job Master'!$F$12:$I$102,4,0)-1),""),"")</f>
        <v/>
      </c>
      <c r="AQ262" s="73"/>
      <c r="AR262" s="123" t="str">
        <f t="shared" si="399"/>
        <v/>
      </c>
      <c r="AS262" s="123" t="str">
        <f t="shared" si="400"/>
        <v/>
      </c>
      <c r="AT262" s="97" t="str">
        <f t="shared" ca="1" si="401"/>
        <v/>
      </c>
      <c r="AU262" s="98" t="str">
        <f>IF(AW262&lt;&gt;"",VLOOKUP($P262&amp;" | "&amp;AU$6,'Job Master'!$F$12:$J$102,5,0),"")</f>
        <v/>
      </c>
      <c r="AV262" s="19" t="str">
        <f>IF(AW262&lt;&gt;"",VLOOKUP($P262&amp;" | "&amp;AU$6,'Job Master'!$F$12:$J$102,3,0),"")</f>
        <v/>
      </c>
      <c r="AW262" s="19" t="str">
        <f>IFERROR(IF(AND(BD262&lt;&gt;"",VLOOKUP($P262&amp;" | "&amp;AU$6,'Job Master'!$F$12:$I$102,4,0)&lt;&gt;""),IF(WEEKDAY(BD262-VLOOKUP($P262&amp;" | "&amp;AU$6,'Job Master'!$F$12:$I$102,4,0))&lt;&gt;7,BD262-VLOOKUP($P262&amp;" | "&amp;AU$6,'Job Master'!$F$12:$I$102,4,0),BD262-VLOOKUP($P262&amp;" | "&amp;AU$6,'Job Master'!$F$12:$I$102,4,0)-1),""),"")</f>
        <v/>
      </c>
      <c r="AX262" s="73"/>
      <c r="AY262" s="123" t="str">
        <f t="shared" si="402"/>
        <v/>
      </c>
      <c r="AZ262" s="123" t="str">
        <f t="shared" si="403"/>
        <v/>
      </c>
      <c r="BA262" s="97" t="str">
        <f t="shared" ca="1" si="404"/>
        <v/>
      </c>
      <c r="BB262" s="98" t="str">
        <f>IF(BD262&lt;&gt;"",VLOOKUP($P262&amp;" | "&amp;BB$6,'Job Master'!$F$12:$J$102,5,0),"")</f>
        <v/>
      </c>
      <c r="BC262" s="19" t="str">
        <f>IF(BD262&lt;&gt;"",VLOOKUP($P262&amp;" | "&amp;BB$6,'Job Master'!$F$12:$J$102,3,0),"")</f>
        <v/>
      </c>
      <c r="BD262" s="19" t="str">
        <f>IFERROR(IF(AND(BK262&lt;&gt;"",VLOOKUP($P262&amp;" | "&amp;BB$6,'Job Master'!$F$12:$I$102,4,0)&lt;&gt;""),IF(WEEKDAY(BK262-VLOOKUP($P262&amp;" | "&amp;BB$6,'Job Master'!$F$12:$I$102,4,0))&lt;&gt;7,BK262-VLOOKUP($P262&amp;" | "&amp;BB$6,'Job Master'!$F$12:$I$102,4,0),BK262-VLOOKUP($P262&amp;" | "&amp;BB$6,'Job Master'!$F$12:$I$102,4,0)-1),""),"")</f>
        <v/>
      </c>
      <c r="BE262" s="73"/>
      <c r="BF262" s="123" t="str">
        <f t="shared" si="405"/>
        <v/>
      </c>
      <c r="BG262" s="123" t="str">
        <f t="shared" si="406"/>
        <v/>
      </c>
      <c r="BH262" s="97" t="str">
        <f t="shared" ca="1" si="407"/>
        <v/>
      </c>
      <c r="BI262" s="98" t="str">
        <f>IF(BK262&lt;&gt;"",VLOOKUP($P262&amp;" | "&amp;BI$6,'Job Master'!$F$12:$J$102,5,0),"")</f>
        <v/>
      </c>
      <c r="BJ262" s="19" t="str">
        <f>IF(BK262&lt;&gt;"",VLOOKUP($P262&amp;" | "&amp;BI$6,'Job Master'!$F$12:$J$102,3,0),"")</f>
        <v/>
      </c>
      <c r="BK262" s="19" t="str">
        <f>IFERROR(IF(AND(BR262&lt;&gt;"",VLOOKUP($P262&amp;" | "&amp;BI$6,'Job Master'!$F$12:$I$102,4,0)&lt;&gt;""),IF(WEEKDAY(BR262-VLOOKUP($P262&amp;" | "&amp;BI$6,'Job Master'!$F$12:$I$102,4,0))&lt;&gt;7,BR262-VLOOKUP($P262&amp;" | "&amp;BI$6,'Job Master'!$F$12:$I$102,4,0),BR262-VLOOKUP($P262&amp;" | "&amp;BI$6,'Job Master'!$F$12:$I$102,4,0)-1),""),"")</f>
        <v/>
      </c>
      <c r="BL262" s="73"/>
      <c r="BM262" s="123" t="str">
        <f t="shared" si="408"/>
        <v/>
      </c>
      <c r="BN262" s="123" t="str">
        <f t="shared" si="409"/>
        <v/>
      </c>
      <c r="BO262" s="97" t="str">
        <f t="shared" ca="1" si="410"/>
        <v/>
      </c>
      <c r="BP262" s="98" t="str">
        <f>IF(BR262&lt;&gt;"",VLOOKUP($P262&amp;" | "&amp;BP$6,'Job Master'!$F$12:$J$102,5,0),"")</f>
        <v/>
      </c>
      <c r="BQ262" s="19" t="str">
        <f>IF(BR262&lt;&gt;"",VLOOKUP($P262&amp;" | "&amp;BP$6,'Job Master'!$F$12:$J$102,3,0),"")</f>
        <v/>
      </c>
      <c r="BR262" s="19" t="str">
        <f>IFERROR(IF(AND(BY262&lt;&gt;"",VLOOKUP($P262&amp;" | "&amp;BP$6,'Job Master'!$F$12:$I$102,4,0)&lt;&gt;""),IF(WEEKDAY(BY262-VLOOKUP($P262&amp;" | "&amp;BP$6,'Job Master'!$F$12:$I$102,4,0))&lt;&gt;7,BY262-VLOOKUP($P262&amp;" | "&amp;BP$6,'Job Master'!$F$12:$I$102,4,0),BY262-VLOOKUP($P262&amp;" | "&amp;BP$6,'Job Master'!$F$12:$I$102,4,0)-1),""),"")</f>
        <v/>
      </c>
      <c r="BS262" s="73"/>
      <c r="BT262" s="123" t="str">
        <f t="shared" si="411"/>
        <v/>
      </c>
      <c r="BU262" s="123" t="str">
        <f t="shared" si="412"/>
        <v/>
      </c>
      <c r="BV262" s="97" t="str">
        <f t="shared" ca="1" si="413"/>
        <v/>
      </c>
      <c r="BW262" s="98" t="str">
        <f>IF(BY262&lt;&gt;"",VLOOKUP($P262&amp;" | "&amp;BW$6,'Job Master'!$F$12:$J$102,5,0),"")</f>
        <v/>
      </c>
      <c r="BX262" s="19" t="str">
        <f>IF(BY262&lt;&gt;"",VLOOKUP($P262&amp;" | "&amp;BW$6,'Job Master'!$F$12:$J$102,3,0),"")</f>
        <v/>
      </c>
      <c r="BY262" s="19" t="str">
        <f>IFERROR(IF(AND(CF262&lt;&gt;"",VLOOKUP($P262&amp;" | "&amp;BW$6,'Job Master'!$F$12:$I$102,4,0)&lt;&gt;""),IF(WEEKDAY(CF262-VLOOKUP($P262&amp;" | "&amp;BW$6,'Job Master'!$F$12:$I$102,4,0))&lt;&gt;7,CF262-VLOOKUP($P262&amp;" | "&amp;BW$6,'Job Master'!$F$12:$I$102,4,0),CF262-VLOOKUP($P262&amp;" | "&amp;BW$6,'Job Master'!$F$12:$I$102,4,0)-1),""),"")</f>
        <v/>
      </c>
      <c r="BZ262" s="73"/>
      <c r="CA262" s="123" t="str">
        <f t="shared" si="414"/>
        <v/>
      </c>
      <c r="CB262" s="123" t="str">
        <f t="shared" si="415"/>
        <v/>
      </c>
      <c r="CC262" s="97" t="str">
        <f t="shared" ca="1" si="416"/>
        <v/>
      </c>
      <c r="CD262" s="98" t="str">
        <f>IF(CF262&lt;&gt;"",VLOOKUP($P262&amp;" | "&amp;CD$6,'Job Master'!$F$12:$J$102,5,0),"")</f>
        <v/>
      </c>
      <c r="CE262" s="19" t="str">
        <f>IF(CF262&lt;&gt;"",VLOOKUP($P262&amp;" | "&amp;CD$6,'Job Master'!$F$12:$J$102,3,0),"")</f>
        <v/>
      </c>
      <c r="CF262" s="19" t="str">
        <f>IFERROR(IF(AND(CM262&lt;&gt;"",VLOOKUP($P262&amp;" | "&amp;CD$6,'Job Master'!$F$12:$I$102,4,0)&lt;&gt;""),IF(WEEKDAY(CM262-VLOOKUP($P262&amp;" | "&amp;CD$6,'Job Master'!$F$12:$I$102,4,0))&lt;&gt;7,CM262-VLOOKUP($P262&amp;" | "&amp;CD$6,'Job Master'!$F$12:$I$102,4,0),CM262-VLOOKUP($P262&amp;" | "&amp;CD$6,'Job Master'!$F$12:$I$102,4,0)-1),""),"")</f>
        <v/>
      </c>
      <c r="CG262" s="73"/>
      <c r="CH262" s="123" t="str">
        <f t="shared" si="417"/>
        <v/>
      </c>
      <c r="CI262" s="123" t="str">
        <f t="shared" si="418"/>
        <v/>
      </c>
      <c r="CJ262" s="97" t="str">
        <f t="shared" ca="1" si="419"/>
        <v/>
      </c>
      <c r="CK262" s="98" t="str">
        <f>IF(CM262&lt;&gt;"",VLOOKUP($P262&amp;" | "&amp;CK$6,'Job Master'!$F$12:$J$102,5,0),"")</f>
        <v/>
      </c>
      <c r="CL262" s="19" t="str">
        <f>IF(CM262&lt;&gt;"",VLOOKUP($P262&amp;" | "&amp;CK$6,'Job Master'!$F$12:$J$102,3,0),"")</f>
        <v/>
      </c>
      <c r="CM262" s="19" t="str">
        <f>IFERROR(IF(AND(CT262&lt;&gt;"",VLOOKUP($P262&amp;" | "&amp;CK$6,'Job Master'!$F$12:$I$102,4,0)&lt;&gt;""),IF(WEEKDAY(CT262-VLOOKUP($P262&amp;" | "&amp;CK$6,'Job Master'!$F$12:$I$102,4,0))&lt;&gt;7,CT262-VLOOKUP($P262&amp;" | "&amp;CK$6,'Job Master'!$F$12:$I$102,4,0),CT262-VLOOKUP($P262&amp;" | "&amp;CK$6,'Job Master'!$F$12:$I$102,4,0)-1),""),"")</f>
        <v/>
      </c>
      <c r="CN262" s="73"/>
      <c r="CO262" s="123" t="str">
        <f t="shared" si="420"/>
        <v/>
      </c>
      <c r="CP262" s="123" t="str">
        <f t="shared" si="421"/>
        <v/>
      </c>
      <c r="CQ262" s="97" t="str">
        <f t="shared" ca="1" si="422"/>
        <v/>
      </c>
      <c r="CR262" s="98" t="str">
        <f>IF(CT262&lt;&gt;"",VLOOKUP($P262&amp;" | "&amp;CR$6,'Job Master'!$F$12:$J$102,5,0),"")</f>
        <v/>
      </c>
      <c r="CS262" s="19" t="str">
        <f>IF(CT262&lt;&gt;"",VLOOKUP($P262&amp;" | "&amp;CR$6,'Job Master'!$F$12:$J$102,3,0),"")</f>
        <v/>
      </c>
      <c r="CT262" s="19" t="str">
        <f>IFERROR(IF(AND(DA262&lt;&gt;"",VLOOKUP($P262&amp;" | "&amp;CR$6,'Job Master'!$F$12:$I$102,4,0)&lt;&gt;""),IF(WEEKDAY(DA262-VLOOKUP($P262&amp;" | "&amp;CR$6,'Job Master'!$F$12:$I$102,4,0))&lt;&gt;7,DA262-VLOOKUP($P262&amp;" | "&amp;CR$6,'Job Master'!$F$12:$I$102,4,0),DA262-VLOOKUP($P262&amp;" | "&amp;CR$6,'Job Master'!$F$12:$I$102,4,0)-1),""),"")</f>
        <v/>
      </c>
      <c r="CU262" s="73"/>
      <c r="CV262" s="123" t="str">
        <f t="shared" si="423"/>
        <v/>
      </c>
      <c r="CW262" s="123" t="str">
        <f t="shared" si="424"/>
        <v/>
      </c>
      <c r="CX262" s="97" t="str">
        <f t="shared" ca="1" si="425"/>
        <v/>
      </c>
      <c r="CY262" s="98" t="str">
        <f>IF(DA262&lt;&gt;"",VLOOKUP($P262&amp;" | "&amp;CY$6,'Job Master'!$F$12:$J$102,5,0),"")</f>
        <v/>
      </c>
      <c r="CZ262" s="19" t="str">
        <f>IF(DA262&lt;&gt;"",VLOOKUP($P262&amp;" | "&amp;CY$6,'Job Master'!$F$12:$J$102,3,0),"")</f>
        <v/>
      </c>
      <c r="DA262" s="19" t="str">
        <f>IFERROR(IF(AND(DH262&lt;&gt;"",VLOOKUP($P262&amp;" | "&amp;CY$6,'Job Master'!$F$12:$I$102,4,0)&lt;&gt;""),IF(WEEKDAY(DH262-VLOOKUP($P262&amp;" | "&amp;CY$6,'Job Master'!$F$12:$I$102,4,0))&lt;&gt;7,DH262-VLOOKUP($P262&amp;" | "&amp;CY$6,'Job Master'!$F$12:$I$102,4,0),DH262-VLOOKUP($P262&amp;" | "&amp;CY$6,'Job Master'!$F$12:$I$102,4,0)-1),""),"")</f>
        <v/>
      </c>
      <c r="DB262" s="73"/>
      <c r="DC262" s="123" t="str">
        <f t="shared" si="426"/>
        <v/>
      </c>
      <c r="DD262" s="123" t="str">
        <f t="shared" si="427"/>
        <v/>
      </c>
      <c r="DE262" s="97" t="str">
        <f t="shared" ca="1" si="428"/>
        <v/>
      </c>
      <c r="DF262" s="98" t="str">
        <f>IF(DH262&lt;&gt;"",VLOOKUP($P262&amp;" | "&amp;DF$6,'Job Master'!$F$12:$J$102,5,0),"")</f>
        <v/>
      </c>
      <c r="DG262" s="19" t="str">
        <f>IF(DH262&lt;&gt;"",VLOOKUP($P262&amp;" | "&amp;DF$6,'Job Master'!$F$12:$J$102,3,0),"")</f>
        <v/>
      </c>
      <c r="DH262" s="19" t="str">
        <f>IFERROR(IF(AND(DO262&lt;&gt;"",VLOOKUP($P262&amp;" | "&amp;DF$6,'Job Master'!$F$12:$I$102,4,0)&lt;&gt;""),IF(WEEKDAY(DO262-VLOOKUP($P262&amp;" | "&amp;DF$6,'Job Master'!$F$12:$I$102,4,0))&lt;&gt;7,DO262-VLOOKUP($P262&amp;" | "&amp;DF$6,'Job Master'!$F$12:$I$102,4,0),DO262-VLOOKUP($P262&amp;" | "&amp;DF$6,'Job Master'!$F$12:$I$102,4,0)-1),""),"")</f>
        <v/>
      </c>
      <c r="DI262" s="73"/>
      <c r="DJ262" s="123" t="str">
        <f t="shared" si="429"/>
        <v/>
      </c>
      <c r="DK262" s="123" t="str">
        <f t="shared" si="430"/>
        <v/>
      </c>
      <c r="DL262" s="97" t="str">
        <f t="shared" ca="1" si="431"/>
        <v/>
      </c>
      <c r="DM262" s="98" t="str">
        <f>IF(DO262&lt;&gt;"",VLOOKUP($P262&amp;" | "&amp;DM$6,'Job Master'!$F$12:$J$102,5,0),"")</f>
        <v/>
      </c>
      <c r="DN262" s="19" t="str">
        <f>IF(DO262&lt;&gt;"",VLOOKUP($P262&amp;" | "&amp;DM$6,'Job Master'!$F$12:$J$102,3,0),"")</f>
        <v/>
      </c>
      <c r="DO262" s="19" t="str">
        <f>IFERROR(IF(AND(DT262&lt;&gt;"",VLOOKUP($P262&amp;" | "&amp;DM$6,'Job Master'!$F$12:$I$102,4,0)&lt;&gt;""),IF(WEEKDAY(DT262-VLOOKUP($P262&amp;" | "&amp;DM$6,'Job Master'!$F$12:$I$102,4,0))&lt;&gt;7,DT262-VLOOKUP($P262&amp;" | "&amp;DM$6,'Job Master'!$F$12:$I$102,4,0),DT262-VLOOKUP($P262&amp;" | "&amp;DM$6,'Job Master'!$F$12:$I$102,4,0)-1),""),"")</f>
        <v/>
      </c>
      <c r="DP262" s="73"/>
      <c r="DQ262" s="123" t="str">
        <f t="shared" si="432"/>
        <v/>
      </c>
      <c r="DR262" s="123" t="str">
        <f t="shared" si="433"/>
        <v/>
      </c>
      <c r="DS262" s="97" t="str">
        <f t="shared" ca="1" si="434"/>
        <v/>
      </c>
      <c r="DT262" s="70" t="str">
        <f t="shared" si="435"/>
        <v/>
      </c>
      <c r="DU262" s="90"/>
      <c r="DV262" s="123" t="str">
        <f t="shared" si="436"/>
        <v/>
      </c>
      <c r="DW262" s="123" t="str">
        <f t="shared" si="437"/>
        <v/>
      </c>
      <c r="DX262" s="132" t="str">
        <f t="shared" ref="DX262" ca="1" si="509">IF(DT262&lt;&gt;"",IF(WEEKNUM(DT262)=WEEKNUM(TODAY()),"This Week",IF(WEEKNUM(DT262)=WEEKNUM(TODAY())+1,"Next Week",IF(WEEKNUM(DT262)=WEEKNUM(TODAY())-1,"Previous Week",""))),"")</f>
        <v/>
      </c>
      <c r="DY262" s="134" t="str">
        <f t="shared" si="439"/>
        <v/>
      </c>
      <c r="DZ262" s="95"/>
      <c r="EB262" s="8" t="str">
        <f t="shared" si="445"/>
        <v/>
      </c>
      <c r="EC262" s="8" t="str">
        <f>IF(O262&lt;&gt;"",VLOOKUP(O262,'Job Master'!$N$12:$O$18,2,0),"")</f>
        <v/>
      </c>
      <c r="ED262" s="8">
        <f t="shared" si="446"/>
        <v>19.5</v>
      </c>
      <c r="EE262" s="8">
        <f t="shared" si="447"/>
        <v>6</v>
      </c>
      <c r="EF262" s="8">
        <f t="shared" si="448"/>
        <v>-1492.5</v>
      </c>
      <c r="EG262" s="8" t="str">
        <f t="shared" si="449"/>
        <v/>
      </c>
      <c r="EH262" s="8" t="str">
        <f t="shared" si="450"/>
        <v/>
      </c>
    </row>
    <row r="263" spans="2:138" x14ac:dyDescent="0.3">
      <c r="B263" s="112"/>
      <c r="C263" s="27"/>
      <c r="D263" s="7" t="str">
        <f t="shared" si="387"/>
        <v/>
      </c>
      <c r="E263" s="25"/>
      <c r="F263" s="7" t="str">
        <f t="shared" si="387"/>
        <v/>
      </c>
      <c r="G263" s="25"/>
      <c r="H263" s="7" t="str">
        <f t="shared" si="387"/>
        <v/>
      </c>
      <c r="I263" s="25"/>
      <c r="J263" s="7" t="str">
        <f t="shared" si="387"/>
        <v/>
      </c>
      <c r="K263" s="25"/>
      <c r="L263" s="7" t="str">
        <f t="shared" si="388"/>
        <v/>
      </c>
      <c r="M263" s="25"/>
      <c r="N263" s="7" t="str">
        <f t="shared" si="389"/>
        <v/>
      </c>
      <c r="O263" s="81"/>
      <c r="P263" s="81" t="str">
        <f t="shared" si="390"/>
        <v/>
      </c>
      <c r="Q263" s="81"/>
      <c r="R263" s="7" t="str">
        <f t="shared" si="391"/>
        <v/>
      </c>
      <c r="S263" s="25"/>
      <c r="T263" s="7" t="str">
        <f t="shared" si="392"/>
        <v/>
      </c>
      <c r="U263" s="25"/>
      <c r="V263" s="7" t="str">
        <f t="shared" si="393"/>
        <v/>
      </c>
      <c r="W263" s="25"/>
      <c r="X263" s="7" t="str">
        <f t="shared" si="394"/>
        <v/>
      </c>
      <c r="Y263" s="18" t="str">
        <f t="shared" si="395"/>
        <v/>
      </c>
      <c r="Z263" s="7" t="str">
        <f t="shared" si="396"/>
        <v/>
      </c>
      <c r="AA263" s="18" t="str">
        <f t="shared" si="397"/>
        <v/>
      </c>
      <c r="AB263" s="19" t="str">
        <f t="shared" si="398"/>
        <v/>
      </c>
      <c r="AC263" s="26"/>
      <c r="AD263" s="26"/>
      <c r="AE263" s="25"/>
      <c r="AF263" s="26"/>
      <c r="AG263" s="25"/>
      <c r="AH263" s="25"/>
      <c r="AI263" s="18" t="str">
        <f t="shared" si="461"/>
        <v/>
      </c>
      <c r="AJ263" s="25"/>
      <c r="AK263" s="18" t="str">
        <f t="shared" si="462"/>
        <v/>
      </c>
      <c r="AL263" s="79"/>
      <c r="AM263" s="126" t="str">
        <f t="shared" si="463"/>
        <v/>
      </c>
      <c r="AN263" s="128" t="str">
        <f>IF(AP263&lt;&gt;"",VLOOKUP($P263&amp;" | "&amp;AN$6,'Job Master'!$F$12:$J$102,5,0),"")</f>
        <v/>
      </c>
      <c r="AO263" s="19" t="str">
        <f>IF(AP263&lt;&gt;"",VLOOKUP($P263&amp;" | "&amp;AN$6,'Job Master'!$F$12:$J$102,3,0),"")</f>
        <v/>
      </c>
      <c r="AP263" s="19" t="str">
        <f>IFERROR(IF(AND(AW263&lt;&gt;"",VLOOKUP($P263&amp;" | "&amp;AN$6,'Job Master'!$F$12:$I$102,4,0)&lt;&gt;""),IF(WEEKDAY(AW263-VLOOKUP($P263&amp;" | "&amp;AN$6,'Job Master'!$F$12:$I$102,4,0))&lt;&gt;7,AW263-VLOOKUP($P263&amp;" | "&amp;AN$6,'Job Master'!$F$12:$I$102,4,0),AW263-VLOOKUP($P263&amp;" | "&amp;AN$6,'Job Master'!$F$12:$I$102,4,0)-1),""),"")</f>
        <v/>
      </c>
      <c r="AQ263" s="73"/>
      <c r="AR263" s="123" t="str">
        <f t="shared" si="399"/>
        <v/>
      </c>
      <c r="AS263" s="123" t="str">
        <f t="shared" si="400"/>
        <v/>
      </c>
      <c r="AT263" s="97" t="str">
        <f t="shared" ca="1" si="401"/>
        <v/>
      </c>
      <c r="AU263" s="98" t="str">
        <f>IF(AW263&lt;&gt;"",VLOOKUP($P263&amp;" | "&amp;AU$6,'Job Master'!$F$12:$J$102,5,0),"")</f>
        <v/>
      </c>
      <c r="AV263" s="19" t="str">
        <f>IF(AW263&lt;&gt;"",VLOOKUP($P263&amp;" | "&amp;AU$6,'Job Master'!$F$12:$J$102,3,0),"")</f>
        <v/>
      </c>
      <c r="AW263" s="19" t="str">
        <f>IFERROR(IF(AND(BD263&lt;&gt;"",VLOOKUP($P263&amp;" | "&amp;AU$6,'Job Master'!$F$12:$I$102,4,0)&lt;&gt;""),IF(WEEKDAY(BD263-VLOOKUP($P263&amp;" | "&amp;AU$6,'Job Master'!$F$12:$I$102,4,0))&lt;&gt;7,BD263-VLOOKUP($P263&amp;" | "&amp;AU$6,'Job Master'!$F$12:$I$102,4,0),BD263-VLOOKUP($P263&amp;" | "&amp;AU$6,'Job Master'!$F$12:$I$102,4,0)-1),""),"")</f>
        <v/>
      </c>
      <c r="AX263" s="73"/>
      <c r="AY263" s="123" t="str">
        <f t="shared" si="402"/>
        <v/>
      </c>
      <c r="AZ263" s="123" t="str">
        <f t="shared" si="403"/>
        <v/>
      </c>
      <c r="BA263" s="97" t="str">
        <f t="shared" ca="1" si="404"/>
        <v/>
      </c>
      <c r="BB263" s="98" t="str">
        <f>IF(BD263&lt;&gt;"",VLOOKUP($P263&amp;" | "&amp;BB$6,'Job Master'!$F$12:$J$102,5,0),"")</f>
        <v/>
      </c>
      <c r="BC263" s="19" t="str">
        <f>IF(BD263&lt;&gt;"",VLOOKUP($P263&amp;" | "&amp;BB$6,'Job Master'!$F$12:$J$102,3,0),"")</f>
        <v/>
      </c>
      <c r="BD263" s="19" t="str">
        <f>IFERROR(IF(AND(BK263&lt;&gt;"",VLOOKUP($P263&amp;" | "&amp;BB$6,'Job Master'!$F$12:$I$102,4,0)&lt;&gt;""),IF(WEEKDAY(BK263-VLOOKUP($P263&amp;" | "&amp;BB$6,'Job Master'!$F$12:$I$102,4,0))&lt;&gt;7,BK263-VLOOKUP($P263&amp;" | "&amp;BB$6,'Job Master'!$F$12:$I$102,4,0),BK263-VLOOKUP($P263&amp;" | "&amp;BB$6,'Job Master'!$F$12:$I$102,4,0)-1),""),"")</f>
        <v/>
      </c>
      <c r="BE263" s="73"/>
      <c r="BF263" s="123" t="str">
        <f t="shared" si="405"/>
        <v/>
      </c>
      <c r="BG263" s="123" t="str">
        <f t="shared" si="406"/>
        <v/>
      </c>
      <c r="BH263" s="97" t="str">
        <f t="shared" ca="1" si="407"/>
        <v/>
      </c>
      <c r="BI263" s="98" t="str">
        <f>IF(BK263&lt;&gt;"",VLOOKUP($P263&amp;" | "&amp;BI$6,'Job Master'!$F$12:$J$102,5,0),"")</f>
        <v/>
      </c>
      <c r="BJ263" s="19" t="str">
        <f>IF(BK263&lt;&gt;"",VLOOKUP($P263&amp;" | "&amp;BI$6,'Job Master'!$F$12:$J$102,3,0),"")</f>
        <v/>
      </c>
      <c r="BK263" s="19" t="str">
        <f>IFERROR(IF(AND(BR263&lt;&gt;"",VLOOKUP($P263&amp;" | "&amp;BI$6,'Job Master'!$F$12:$I$102,4,0)&lt;&gt;""),IF(WEEKDAY(BR263-VLOOKUP($P263&amp;" | "&amp;BI$6,'Job Master'!$F$12:$I$102,4,0))&lt;&gt;7,BR263-VLOOKUP($P263&amp;" | "&amp;BI$6,'Job Master'!$F$12:$I$102,4,0),BR263-VLOOKUP($P263&amp;" | "&amp;BI$6,'Job Master'!$F$12:$I$102,4,0)-1),""),"")</f>
        <v/>
      </c>
      <c r="BL263" s="73"/>
      <c r="BM263" s="123" t="str">
        <f t="shared" si="408"/>
        <v/>
      </c>
      <c r="BN263" s="123" t="str">
        <f t="shared" si="409"/>
        <v/>
      </c>
      <c r="BO263" s="97" t="str">
        <f t="shared" ca="1" si="410"/>
        <v/>
      </c>
      <c r="BP263" s="98" t="str">
        <f>IF(BR263&lt;&gt;"",VLOOKUP($P263&amp;" | "&amp;BP$6,'Job Master'!$F$12:$J$102,5,0),"")</f>
        <v/>
      </c>
      <c r="BQ263" s="19" t="str">
        <f>IF(BR263&lt;&gt;"",VLOOKUP($P263&amp;" | "&amp;BP$6,'Job Master'!$F$12:$J$102,3,0),"")</f>
        <v/>
      </c>
      <c r="BR263" s="19" t="str">
        <f>IFERROR(IF(AND(BY263&lt;&gt;"",VLOOKUP($P263&amp;" | "&amp;BP$6,'Job Master'!$F$12:$I$102,4,0)&lt;&gt;""),IF(WEEKDAY(BY263-VLOOKUP($P263&amp;" | "&amp;BP$6,'Job Master'!$F$12:$I$102,4,0))&lt;&gt;7,BY263-VLOOKUP($P263&amp;" | "&amp;BP$6,'Job Master'!$F$12:$I$102,4,0),BY263-VLOOKUP($P263&amp;" | "&amp;BP$6,'Job Master'!$F$12:$I$102,4,0)-1),""),"")</f>
        <v/>
      </c>
      <c r="BS263" s="73"/>
      <c r="BT263" s="123" t="str">
        <f t="shared" si="411"/>
        <v/>
      </c>
      <c r="BU263" s="123" t="str">
        <f t="shared" si="412"/>
        <v/>
      </c>
      <c r="BV263" s="97" t="str">
        <f t="shared" ca="1" si="413"/>
        <v/>
      </c>
      <c r="BW263" s="98" t="str">
        <f>IF(BY263&lt;&gt;"",VLOOKUP($P263&amp;" | "&amp;BW$6,'Job Master'!$F$12:$J$102,5,0),"")</f>
        <v/>
      </c>
      <c r="BX263" s="19" t="str">
        <f>IF(BY263&lt;&gt;"",VLOOKUP($P263&amp;" | "&amp;BW$6,'Job Master'!$F$12:$J$102,3,0),"")</f>
        <v/>
      </c>
      <c r="BY263" s="19" t="str">
        <f>IFERROR(IF(AND(CF263&lt;&gt;"",VLOOKUP($P263&amp;" | "&amp;BW$6,'Job Master'!$F$12:$I$102,4,0)&lt;&gt;""),IF(WEEKDAY(CF263-VLOOKUP($P263&amp;" | "&amp;BW$6,'Job Master'!$F$12:$I$102,4,0))&lt;&gt;7,CF263-VLOOKUP($P263&amp;" | "&amp;BW$6,'Job Master'!$F$12:$I$102,4,0),CF263-VLOOKUP($P263&amp;" | "&amp;BW$6,'Job Master'!$F$12:$I$102,4,0)-1),""),"")</f>
        <v/>
      </c>
      <c r="BZ263" s="73"/>
      <c r="CA263" s="123" t="str">
        <f t="shared" si="414"/>
        <v/>
      </c>
      <c r="CB263" s="123" t="str">
        <f t="shared" si="415"/>
        <v/>
      </c>
      <c r="CC263" s="97" t="str">
        <f t="shared" ca="1" si="416"/>
        <v/>
      </c>
      <c r="CD263" s="98" t="str">
        <f>IF(CF263&lt;&gt;"",VLOOKUP($P263&amp;" | "&amp;CD$6,'Job Master'!$F$12:$J$102,5,0),"")</f>
        <v/>
      </c>
      <c r="CE263" s="19" t="str">
        <f>IF(CF263&lt;&gt;"",VLOOKUP($P263&amp;" | "&amp;CD$6,'Job Master'!$F$12:$J$102,3,0),"")</f>
        <v/>
      </c>
      <c r="CF263" s="19" t="str">
        <f>IFERROR(IF(AND(CM263&lt;&gt;"",VLOOKUP($P263&amp;" | "&amp;CD$6,'Job Master'!$F$12:$I$102,4,0)&lt;&gt;""),IF(WEEKDAY(CM263-VLOOKUP($P263&amp;" | "&amp;CD$6,'Job Master'!$F$12:$I$102,4,0))&lt;&gt;7,CM263-VLOOKUP($P263&amp;" | "&amp;CD$6,'Job Master'!$F$12:$I$102,4,0),CM263-VLOOKUP($P263&amp;" | "&amp;CD$6,'Job Master'!$F$12:$I$102,4,0)-1),""),"")</f>
        <v/>
      </c>
      <c r="CG263" s="73"/>
      <c r="CH263" s="123" t="str">
        <f t="shared" si="417"/>
        <v/>
      </c>
      <c r="CI263" s="123" t="str">
        <f t="shared" si="418"/>
        <v/>
      </c>
      <c r="CJ263" s="97" t="str">
        <f t="shared" ca="1" si="419"/>
        <v/>
      </c>
      <c r="CK263" s="98" t="str">
        <f>IF(CM263&lt;&gt;"",VLOOKUP($P263&amp;" | "&amp;CK$6,'Job Master'!$F$12:$J$102,5,0),"")</f>
        <v/>
      </c>
      <c r="CL263" s="19" t="str">
        <f>IF(CM263&lt;&gt;"",VLOOKUP($P263&amp;" | "&amp;CK$6,'Job Master'!$F$12:$J$102,3,0),"")</f>
        <v/>
      </c>
      <c r="CM263" s="19" t="str">
        <f>IFERROR(IF(AND(CT263&lt;&gt;"",VLOOKUP($P263&amp;" | "&amp;CK$6,'Job Master'!$F$12:$I$102,4,0)&lt;&gt;""),IF(WEEKDAY(CT263-VLOOKUP($P263&amp;" | "&amp;CK$6,'Job Master'!$F$12:$I$102,4,0))&lt;&gt;7,CT263-VLOOKUP($P263&amp;" | "&amp;CK$6,'Job Master'!$F$12:$I$102,4,0),CT263-VLOOKUP($P263&amp;" | "&amp;CK$6,'Job Master'!$F$12:$I$102,4,0)-1),""),"")</f>
        <v/>
      </c>
      <c r="CN263" s="73"/>
      <c r="CO263" s="123" t="str">
        <f t="shared" si="420"/>
        <v/>
      </c>
      <c r="CP263" s="123" t="str">
        <f t="shared" si="421"/>
        <v/>
      </c>
      <c r="CQ263" s="97" t="str">
        <f t="shared" ca="1" si="422"/>
        <v/>
      </c>
      <c r="CR263" s="98" t="str">
        <f>IF(CT263&lt;&gt;"",VLOOKUP($P263&amp;" | "&amp;CR$6,'Job Master'!$F$12:$J$102,5,0),"")</f>
        <v/>
      </c>
      <c r="CS263" s="19" t="str">
        <f>IF(CT263&lt;&gt;"",VLOOKUP($P263&amp;" | "&amp;CR$6,'Job Master'!$F$12:$J$102,3,0),"")</f>
        <v/>
      </c>
      <c r="CT263" s="19" t="str">
        <f>IFERROR(IF(AND(DA263&lt;&gt;"",VLOOKUP($P263&amp;" | "&amp;CR$6,'Job Master'!$F$12:$I$102,4,0)&lt;&gt;""),IF(WEEKDAY(DA263-VLOOKUP($P263&amp;" | "&amp;CR$6,'Job Master'!$F$12:$I$102,4,0))&lt;&gt;7,DA263-VLOOKUP($P263&amp;" | "&amp;CR$6,'Job Master'!$F$12:$I$102,4,0),DA263-VLOOKUP($P263&amp;" | "&amp;CR$6,'Job Master'!$F$12:$I$102,4,0)-1),""),"")</f>
        <v/>
      </c>
      <c r="CU263" s="73"/>
      <c r="CV263" s="123" t="str">
        <f t="shared" si="423"/>
        <v/>
      </c>
      <c r="CW263" s="123" t="str">
        <f t="shared" si="424"/>
        <v/>
      </c>
      <c r="CX263" s="97" t="str">
        <f t="shared" ca="1" si="425"/>
        <v/>
      </c>
      <c r="CY263" s="98" t="str">
        <f>IF(DA263&lt;&gt;"",VLOOKUP($P263&amp;" | "&amp;CY$6,'Job Master'!$F$12:$J$102,5,0),"")</f>
        <v/>
      </c>
      <c r="CZ263" s="19" t="str">
        <f>IF(DA263&lt;&gt;"",VLOOKUP($P263&amp;" | "&amp;CY$6,'Job Master'!$F$12:$J$102,3,0),"")</f>
        <v/>
      </c>
      <c r="DA263" s="19" t="str">
        <f>IFERROR(IF(AND(DH263&lt;&gt;"",VLOOKUP($P263&amp;" | "&amp;CY$6,'Job Master'!$F$12:$I$102,4,0)&lt;&gt;""),IF(WEEKDAY(DH263-VLOOKUP($P263&amp;" | "&amp;CY$6,'Job Master'!$F$12:$I$102,4,0))&lt;&gt;7,DH263-VLOOKUP($P263&amp;" | "&amp;CY$6,'Job Master'!$F$12:$I$102,4,0),DH263-VLOOKUP($P263&amp;" | "&amp;CY$6,'Job Master'!$F$12:$I$102,4,0)-1),""),"")</f>
        <v/>
      </c>
      <c r="DB263" s="73"/>
      <c r="DC263" s="123" t="str">
        <f t="shared" si="426"/>
        <v/>
      </c>
      <c r="DD263" s="123" t="str">
        <f t="shared" si="427"/>
        <v/>
      </c>
      <c r="DE263" s="97" t="str">
        <f t="shared" ca="1" si="428"/>
        <v/>
      </c>
      <c r="DF263" s="98" t="str">
        <f>IF(DH263&lt;&gt;"",VLOOKUP($P263&amp;" | "&amp;DF$6,'Job Master'!$F$12:$J$102,5,0),"")</f>
        <v/>
      </c>
      <c r="DG263" s="19" t="str">
        <f>IF(DH263&lt;&gt;"",VLOOKUP($P263&amp;" | "&amp;DF$6,'Job Master'!$F$12:$J$102,3,0),"")</f>
        <v/>
      </c>
      <c r="DH263" s="19" t="str">
        <f>IFERROR(IF(AND(DO263&lt;&gt;"",VLOOKUP($P263&amp;" | "&amp;DF$6,'Job Master'!$F$12:$I$102,4,0)&lt;&gt;""),IF(WEEKDAY(DO263-VLOOKUP($P263&amp;" | "&amp;DF$6,'Job Master'!$F$12:$I$102,4,0))&lt;&gt;7,DO263-VLOOKUP($P263&amp;" | "&amp;DF$6,'Job Master'!$F$12:$I$102,4,0),DO263-VLOOKUP($P263&amp;" | "&amp;DF$6,'Job Master'!$F$12:$I$102,4,0)-1),""),"")</f>
        <v/>
      </c>
      <c r="DI263" s="73"/>
      <c r="DJ263" s="123" t="str">
        <f t="shared" si="429"/>
        <v/>
      </c>
      <c r="DK263" s="123" t="str">
        <f t="shared" si="430"/>
        <v/>
      </c>
      <c r="DL263" s="97" t="str">
        <f t="shared" ca="1" si="431"/>
        <v/>
      </c>
      <c r="DM263" s="98" t="str">
        <f>IF(DO263&lt;&gt;"",VLOOKUP($P263&amp;" | "&amp;DM$6,'Job Master'!$F$12:$J$102,5,0),"")</f>
        <v/>
      </c>
      <c r="DN263" s="19" t="str">
        <f>IF(DO263&lt;&gt;"",VLOOKUP($P263&amp;" | "&amp;DM$6,'Job Master'!$F$12:$J$102,3,0),"")</f>
        <v/>
      </c>
      <c r="DO263" s="19" t="str">
        <f>IFERROR(IF(AND(DT263&lt;&gt;"",VLOOKUP($P263&amp;" | "&amp;DM$6,'Job Master'!$F$12:$I$102,4,0)&lt;&gt;""),IF(WEEKDAY(DT263-VLOOKUP($P263&amp;" | "&amp;DM$6,'Job Master'!$F$12:$I$102,4,0))&lt;&gt;7,DT263-VLOOKUP($P263&amp;" | "&amp;DM$6,'Job Master'!$F$12:$I$102,4,0),DT263-VLOOKUP($P263&amp;" | "&amp;DM$6,'Job Master'!$F$12:$I$102,4,0)-1),""),"")</f>
        <v/>
      </c>
      <c r="DP263" s="73"/>
      <c r="DQ263" s="123" t="str">
        <f t="shared" si="432"/>
        <v/>
      </c>
      <c r="DR263" s="123" t="str">
        <f t="shared" si="433"/>
        <v/>
      </c>
      <c r="DS263" s="97" t="str">
        <f t="shared" ca="1" si="434"/>
        <v/>
      </c>
      <c r="DT263" s="70" t="str">
        <f t="shared" si="435"/>
        <v/>
      </c>
      <c r="DU263" s="90"/>
      <c r="DV263" s="123" t="str">
        <f t="shared" si="436"/>
        <v/>
      </c>
      <c r="DW263" s="123" t="str">
        <f t="shared" si="437"/>
        <v/>
      </c>
      <c r="DX263" s="132" t="str">
        <f t="shared" ref="DX263" ca="1" si="510">IF(DT263&lt;&gt;"",IF(WEEKNUM(DT263)=WEEKNUM(TODAY()),"This Week",IF(WEEKNUM(DT263)=WEEKNUM(TODAY())+1,"Next Week",IF(WEEKNUM(DT263)=WEEKNUM(TODAY())-1,"Previous Week",""))),"")</f>
        <v/>
      </c>
      <c r="DY263" s="134" t="str">
        <f t="shared" si="439"/>
        <v/>
      </c>
      <c r="DZ263" s="95"/>
      <c r="EB263" s="8" t="str">
        <f t="shared" si="445"/>
        <v/>
      </c>
      <c r="EC263" s="8" t="str">
        <f>IF(O263&lt;&gt;"",VLOOKUP(O263,'Job Master'!$N$12:$O$18,2,0),"")</f>
        <v/>
      </c>
      <c r="ED263" s="8">
        <f t="shared" si="446"/>
        <v>19.5</v>
      </c>
      <c r="EE263" s="8">
        <f t="shared" si="447"/>
        <v>6</v>
      </c>
      <c r="EF263" s="8">
        <f t="shared" si="448"/>
        <v>-1498.5</v>
      </c>
      <c r="EG263" s="8" t="str">
        <f t="shared" si="449"/>
        <v/>
      </c>
      <c r="EH263" s="8" t="str">
        <f t="shared" si="450"/>
        <v/>
      </c>
    </row>
    <row r="264" spans="2:138" x14ac:dyDescent="0.3">
      <c r="B264" s="112"/>
      <c r="C264" s="27"/>
      <c r="D264" s="7" t="str">
        <f t="shared" si="387"/>
        <v/>
      </c>
      <c r="E264" s="25"/>
      <c r="F264" s="7" t="str">
        <f t="shared" si="387"/>
        <v/>
      </c>
      <c r="G264" s="25"/>
      <c r="H264" s="7" t="str">
        <f t="shared" si="387"/>
        <v/>
      </c>
      <c r="I264" s="25"/>
      <c r="J264" s="7" t="str">
        <f t="shared" ref="J264" si="511">IF(IF(I264&lt;&gt;"",I264,IF($AA264&lt;&gt;"",J263,""))&lt;&gt;0,IF(I264&lt;&gt;"",I264,IF($AA264&lt;&gt;"",J263,"")),"")</f>
        <v/>
      </c>
      <c r="K264" s="25"/>
      <c r="L264" s="7" t="str">
        <f t="shared" si="388"/>
        <v/>
      </c>
      <c r="M264" s="25"/>
      <c r="N264" s="7" t="str">
        <f t="shared" si="389"/>
        <v/>
      </c>
      <c r="O264" s="81"/>
      <c r="P264" s="81" t="str">
        <f t="shared" si="390"/>
        <v/>
      </c>
      <c r="Q264" s="81"/>
      <c r="R264" s="7" t="str">
        <f t="shared" si="391"/>
        <v/>
      </c>
      <c r="S264" s="25"/>
      <c r="T264" s="7" t="str">
        <f t="shared" si="392"/>
        <v/>
      </c>
      <c r="U264" s="25"/>
      <c r="V264" s="7" t="str">
        <f t="shared" si="393"/>
        <v/>
      </c>
      <c r="W264" s="25"/>
      <c r="X264" s="7" t="str">
        <f t="shared" si="394"/>
        <v/>
      </c>
      <c r="Y264" s="18" t="str">
        <f t="shared" si="395"/>
        <v/>
      </c>
      <c r="Z264" s="7" t="str">
        <f t="shared" si="396"/>
        <v/>
      </c>
      <c r="AA264" s="18" t="str">
        <f t="shared" si="397"/>
        <v/>
      </c>
      <c r="AB264" s="19" t="str">
        <f t="shared" si="398"/>
        <v/>
      </c>
      <c r="AC264" s="26"/>
      <c r="AD264" s="26"/>
      <c r="AE264" s="25"/>
      <c r="AF264" s="26"/>
      <c r="AG264" s="25"/>
      <c r="AH264" s="25"/>
      <c r="AI264" s="18" t="str">
        <f t="shared" si="461"/>
        <v/>
      </c>
      <c r="AJ264" s="25"/>
      <c r="AK264" s="18" t="str">
        <f t="shared" si="462"/>
        <v/>
      </c>
      <c r="AL264" s="79"/>
      <c r="AM264" s="126" t="str">
        <f t="shared" si="463"/>
        <v/>
      </c>
      <c r="AN264" s="128" t="str">
        <f>IF(AP264&lt;&gt;"",VLOOKUP($P264&amp;" | "&amp;AN$6,'Job Master'!$F$12:$J$102,5,0),"")</f>
        <v/>
      </c>
      <c r="AO264" s="19" t="str">
        <f>IF(AP264&lt;&gt;"",VLOOKUP($P264&amp;" | "&amp;AN$6,'Job Master'!$F$12:$J$102,3,0),"")</f>
        <v/>
      </c>
      <c r="AP264" s="19" t="str">
        <f>IFERROR(IF(AND(AW264&lt;&gt;"",VLOOKUP($P264&amp;" | "&amp;AN$6,'Job Master'!$F$12:$I$102,4,0)&lt;&gt;""),IF(WEEKDAY(AW264-VLOOKUP($P264&amp;" | "&amp;AN$6,'Job Master'!$F$12:$I$102,4,0))&lt;&gt;7,AW264-VLOOKUP($P264&amp;" | "&amp;AN$6,'Job Master'!$F$12:$I$102,4,0),AW264-VLOOKUP($P264&amp;" | "&amp;AN$6,'Job Master'!$F$12:$I$102,4,0)-1),""),"")</f>
        <v/>
      </c>
      <c r="AQ264" s="73"/>
      <c r="AR264" s="123" t="str">
        <f t="shared" si="399"/>
        <v/>
      </c>
      <c r="AS264" s="123" t="str">
        <f t="shared" si="400"/>
        <v/>
      </c>
      <c r="AT264" s="97" t="str">
        <f t="shared" ca="1" si="401"/>
        <v/>
      </c>
      <c r="AU264" s="98" t="str">
        <f>IF(AW264&lt;&gt;"",VLOOKUP($P264&amp;" | "&amp;AU$6,'Job Master'!$F$12:$J$102,5,0),"")</f>
        <v/>
      </c>
      <c r="AV264" s="19" t="str">
        <f>IF(AW264&lt;&gt;"",VLOOKUP($P264&amp;" | "&amp;AU$6,'Job Master'!$F$12:$J$102,3,0),"")</f>
        <v/>
      </c>
      <c r="AW264" s="19" t="str">
        <f>IFERROR(IF(AND(BD264&lt;&gt;"",VLOOKUP($P264&amp;" | "&amp;AU$6,'Job Master'!$F$12:$I$102,4,0)&lt;&gt;""),IF(WEEKDAY(BD264-VLOOKUP($P264&amp;" | "&amp;AU$6,'Job Master'!$F$12:$I$102,4,0))&lt;&gt;7,BD264-VLOOKUP($P264&amp;" | "&amp;AU$6,'Job Master'!$F$12:$I$102,4,0),BD264-VLOOKUP($P264&amp;" | "&amp;AU$6,'Job Master'!$F$12:$I$102,4,0)-1),""),"")</f>
        <v/>
      </c>
      <c r="AX264" s="73"/>
      <c r="AY264" s="123" t="str">
        <f t="shared" si="402"/>
        <v/>
      </c>
      <c r="AZ264" s="123" t="str">
        <f t="shared" si="403"/>
        <v/>
      </c>
      <c r="BA264" s="97" t="str">
        <f t="shared" ca="1" si="404"/>
        <v/>
      </c>
      <c r="BB264" s="98" t="str">
        <f>IF(BD264&lt;&gt;"",VLOOKUP($P264&amp;" | "&amp;BB$6,'Job Master'!$F$12:$J$102,5,0),"")</f>
        <v/>
      </c>
      <c r="BC264" s="19" t="str">
        <f>IF(BD264&lt;&gt;"",VLOOKUP($P264&amp;" | "&amp;BB$6,'Job Master'!$F$12:$J$102,3,0),"")</f>
        <v/>
      </c>
      <c r="BD264" s="19" t="str">
        <f>IFERROR(IF(AND(BK264&lt;&gt;"",VLOOKUP($P264&amp;" | "&amp;BB$6,'Job Master'!$F$12:$I$102,4,0)&lt;&gt;""),IF(WEEKDAY(BK264-VLOOKUP($P264&amp;" | "&amp;BB$6,'Job Master'!$F$12:$I$102,4,0))&lt;&gt;7,BK264-VLOOKUP($P264&amp;" | "&amp;BB$6,'Job Master'!$F$12:$I$102,4,0),BK264-VLOOKUP($P264&amp;" | "&amp;BB$6,'Job Master'!$F$12:$I$102,4,0)-1),""),"")</f>
        <v/>
      </c>
      <c r="BE264" s="73"/>
      <c r="BF264" s="123" t="str">
        <f t="shared" si="405"/>
        <v/>
      </c>
      <c r="BG264" s="123" t="str">
        <f t="shared" si="406"/>
        <v/>
      </c>
      <c r="BH264" s="97" t="str">
        <f t="shared" ca="1" si="407"/>
        <v/>
      </c>
      <c r="BI264" s="98" t="str">
        <f>IF(BK264&lt;&gt;"",VLOOKUP($P264&amp;" | "&amp;BI$6,'Job Master'!$F$12:$J$102,5,0),"")</f>
        <v/>
      </c>
      <c r="BJ264" s="19" t="str">
        <f>IF(BK264&lt;&gt;"",VLOOKUP($P264&amp;" | "&amp;BI$6,'Job Master'!$F$12:$J$102,3,0),"")</f>
        <v/>
      </c>
      <c r="BK264" s="19" t="str">
        <f>IFERROR(IF(AND(BR264&lt;&gt;"",VLOOKUP($P264&amp;" | "&amp;BI$6,'Job Master'!$F$12:$I$102,4,0)&lt;&gt;""),IF(WEEKDAY(BR264-VLOOKUP($P264&amp;" | "&amp;BI$6,'Job Master'!$F$12:$I$102,4,0))&lt;&gt;7,BR264-VLOOKUP($P264&amp;" | "&amp;BI$6,'Job Master'!$F$12:$I$102,4,0),BR264-VLOOKUP($P264&amp;" | "&amp;BI$6,'Job Master'!$F$12:$I$102,4,0)-1),""),"")</f>
        <v/>
      </c>
      <c r="BL264" s="73"/>
      <c r="BM264" s="123" t="str">
        <f t="shared" si="408"/>
        <v/>
      </c>
      <c r="BN264" s="123" t="str">
        <f t="shared" si="409"/>
        <v/>
      </c>
      <c r="BO264" s="97" t="str">
        <f t="shared" ca="1" si="410"/>
        <v/>
      </c>
      <c r="BP264" s="98" t="str">
        <f>IF(BR264&lt;&gt;"",VLOOKUP($P264&amp;" | "&amp;BP$6,'Job Master'!$F$12:$J$102,5,0),"")</f>
        <v/>
      </c>
      <c r="BQ264" s="19" t="str">
        <f>IF(BR264&lt;&gt;"",VLOOKUP($P264&amp;" | "&amp;BP$6,'Job Master'!$F$12:$J$102,3,0),"")</f>
        <v/>
      </c>
      <c r="BR264" s="19" t="str">
        <f>IFERROR(IF(AND(BY264&lt;&gt;"",VLOOKUP($P264&amp;" | "&amp;BP$6,'Job Master'!$F$12:$I$102,4,0)&lt;&gt;""),IF(WEEKDAY(BY264-VLOOKUP($P264&amp;" | "&amp;BP$6,'Job Master'!$F$12:$I$102,4,0))&lt;&gt;7,BY264-VLOOKUP($P264&amp;" | "&amp;BP$6,'Job Master'!$F$12:$I$102,4,0),BY264-VLOOKUP($P264&amp;" | "&amp;BP$6,'Job Master'!$F$12:$I$102,4,0)-1),""),"")</f>
        <v/>
      </c>
      <c r="BS264" s="73"/>
      <c r="BT264" s="123" t="str">
        <f t="shared" si="411"/>
        <v/>
      </c>
      <c r="BU264" s="123" t="str">
        <f t="shared" si="412"/>
        <v/>
      </c>
      <c r="BV264" s="97" t="str">
        <f t="shared" ca="1" si="413"/>
        <v/>
      </c>
      <c r="BW264" s="98" t="str">
        <f>IF(BY264&lt;&gt;"",VLOOKUP($P264&amp;" | "&amp;BW$6,'Job Master'!$F$12:$J$102,5,0),"")</f>
        <v/>
      </c>
      <c r="BX264" s="19" t="str">
        <f>IF(BY264&lt;&gt;"",VLOOKUP($P264&amp;" | "&amp;BW$6,'Job Master'!$F$12:$J$102,3,0),"")</f>
        <v/>
      </c>
      <c r="BY264" s="19" t="str">
        <f>IFERROR(IF(AND(CF264&lt;&gt;"",VLOOKUP($P264&amp;" | "&amp;BW$6,'Job Master'!$F$12:$I$102,4,0)&lt;&gt;""),IF(WEEKDAY(CF264-VLOOKUP($P264&amp;" | "&amp;BW$6,'Job Master'!$F$12:$I$102,4,0))&lt;&gt;7,CF264-VLOOKUP($P264&amp;" | "&amp;BW$6,'Job Master'!$F$12:$I$102,4,0),CF264-VLOOKUP($P264&amp;" | "&amp;BW$6,'Job Master'!$F$12:$I$102,4,0)-1),""),"")</f>
        <v/>
      </c>
      <c r="BZ264" s="73"/>
      <c r="CA264" s="123" t="str">
        <f t="shared" si="414"/>
        <v/>
      </c>
      <c r="CB264" s="123" t="str">
        <f t="shared" si="415"/>
        <v/>
      </c>
      <c r="CC264" s="97" t="str">
        <f t="shared" ca="1" si="416"/>
        <v/>
      </c>
      <c r="CD264" s="98" t="str">
        <f>IF(CF264&lt;&gt;"",VLOOKUP($P264&amp;" | "&amp;CD$6,'Job Master'!$F$12:$J$102,5,0),"")</f>
        <v/>
      </c>
      <c r="CE264" s="19" t="str">
        <f>IF(CF264&lt;&gt;"",VLOOKUP($P264&amp;" | "&amp;CD$6,'Job Master'!$F$12:$J$102,3,0),"")</f>
        <v/>
      </c>
      <c r="CF264" s="19" t="str">
        <f>IFERROR(IF(AND(CM264&lt;&gt;"",VLOOKUP($P264&amp;" | "&amp;CD$6,'Job Master'!$F$12:$I$102,4,0)&lt;&gt;""),IF(WEEKDAY(CM264-VLOOKUP($P264&amp;" | "&amp;CD$6,'Job Master'!$F$12:$I$102,4,0))&lt;&gt;7,CM264-VLOOKUP($P264&amp;" | "&amp;CD$6,'Job Master'!$F$12:$I$102,4,0),CM264-VLOOKUP($P264&amp;" | "&amp;CD$6,'Job Master'!$F$12:$I$102,4,0)-1),""),"")</f>
        <v/>
      </c>
      <c r="CG264" s="73"/>
      <c r="CH264" s="123" t="str">
        <f t="shared" si="417"/>
        <v/>
      </c>
      <c r="CI264" s="123" t="str">
        <f t="shared" si="418"/>
        <v/>
      </c>
      <c r="CJ264" s="97" t="str">
        <f t="shared" ca="1" si="419"/>
        <v/>
      </c>
      <c r="CK264" s="98" t="str">
        <f>IF(CM264&lt;&gt;"",VLOOKUP($P264&amp;" | "&amp;CK$6,'Job Master'!$F$12:$J$102,5,0),"")</f>
        <v/>
      </c>
      <c r="CL264" s="19" t="str">
        <f>IF(CM264&lt;&gt;"",VLOOKUP($P264&amp;" | "&amp;CK$6,'Job Master'!$F$12:$J$102,3,0),"")</f>
        <v/>
      </c>
      <c r="CM264" s="19" t="str">
        <f>IFERROR(IF(AND(CT264&lt;&gt;"",VLOOKUP($P264&amp;" | "&amp;CK$6,'Job Master'!$F$12:$I$102,4,0)&lt;&gt;""),IF(WEEKDAY(CT264-VLOOKUP($P264&amp;" | "&amp;CK$6,'Job Master'!$F$12:$I$102,4,0))&lt;&gt;7,CT264-VLOOKUP($P264&amp;" | "&amp;CK$6,'Job Master'!$F$12:$I$102,4,0),CT264-VLOOKUP($P264&amp;" | "&amp;CK$6,'Job Master'!$F$12:$I$102,4,0)-1),""),"")</f>
        <v/>
      </c>
      <c r="CN264" s="73"/>
      <c r="CO264" s="123" t="str">
        <f t="shared" si="420"/>
        <v/>
      </c>
      <c r="CP264" s="123" t="str">
        <f t="shared" si="421"/>
        <v/>
      </c>
      <c r="CQ264" s="97" t="str">
        <f t="shared" ca="1" si="422"/>
        <v/>
      </c>
      <c r="CR264" s="98" t="str">
        <f>IF(CT264&lt;&gt;"",VLOOKUP($P264&amp;" | "&amp;CR$6,'Job Master'!$F$12:$J$102,5,0),"")</f>
        <v/>
      </c>
      <c r="CS264" s="19" t="str">
        <f>IF(CT264&lt;&gt;"",VLOOKUP($P264&amp;" | "&amp;CR$6,'Job Master'!$F$12:$J$102,3,0),"")</f>
        <v/>
      </c>
      <c r="CT264" s="19" t="str">
        <f>IFERROR(IF(AND(DA264&lt;&gt;"",VLOOKUP($P264&amp;" | "&amp;CR$6,'Job Master'!$F$12:$I$102,4,0)&lt;&gt;""),IF(WEEKDAY(DA264-VLOOKUP($P264&amp;" | "&amp;CR$6,'Job Master'!$F$12:$I$102,4,0))&lt;&gt;7,DA264-VLOOKUP($P264&amp;" | "&amp;CR$6,'Job Master'!$F$12:$I$102,4,0),DA264-VLOOKUP($P264&amp;" | "&amp;CR$6,'Job Master'!$F$12:$I$102,4,0)-1),""),"")</f>
        <v/>
      </c>
      <c r="CU264" s="73"/>
      <c r="CV264" s="123" t="str">
        <f t="shared" si="423"/>
        <v/>
      </c>
      <c r="CW264" s="123" t="str">
        <f t="shared" si="424"/>
        <v/>
      </c>
      <c r="CX264" s="97" t="str">
        <f t="shared" ca="1" si="425"/>
        <v/>
      </c>
      <c r="CY264" s="98" t="str">
        <f>IF(DA264&lt;&gt;"",VLOOKUP($P264&amp;" | "&amp;CY$6,'Job Master'!$F$12:$J$102,5,0),"")</f>
        <v/>
      </c>
      <c r="CZ264" s="19" t="str">
        <f>IF(DA264&lt;&gt;"",VLOOKUP($P264&amp;" | "&amp;CY$6,'Job Master'!$F$12:$J$102,3,0),"")</f>
        <v/>
      </c>
      <c r="DA264" s="19" t="str">
        <f>IFERROR(IF(AND(DH264&lt;&gt;"",VLOOKUP($P264&amp;" | "&amp;CY$6,'Job Master'!$F$12:$I$102,4,0)&lt;&gt;""),IF(WEEKDAY(DH264-VLOOKUP($P264&amp;" | "&amp;CY$6,'Job Master'!$F$12:$I$102,4,0))&lt;&gt;7,DH264-VLOOKUP($P264&amp;" | "&amp;CY$6,'Job Master'!$F$12:$I$102,4,0),DH264-VLOOKUP($P264&amp;" | "&amp;CY$6,'Job Master'!$F$12:$I$102,4,0)-1),""),"")</f>
        <v/>
      </c>
      <c r="DB264" s="73"/>
      <c r="DC264" s="123" t="str">
        <f t="shared" si="426"/>
        <v/>
      </c>
      <c r="DD264" s="123" t="str">
        <f t="shared" si="427"/>
        <v/>
      </c>
      <c r="DE264" s="97" t="str">
        <f t="shared" ca="1" si="428"/>
        <v/>
      </c>
      <c r="DF264" s="98" t="str">
        <f>IF(DH264&lt;&gt;"",VLOOKUP($P264&amp;" | "&amp;DF$6,'Job Master'!$F$12:$J$102,5,0),"")</f>
        <v/>
      </c>
      <c r="DG264" s="19" t="str">
        <f>IF(DH264&lt;&gt;"",VLOOKUP($P264&amp;" | "&amp;DF$6,'Job Master'!$F$12:$J$102,3,0),"")</f>
        <v/>
      </c>
      <c r="DH264" s="19" t="str">
        <f>IFERROR(IF(AND(DO264&lt;&gt;"",VLOOKUP($P264&amp;" | "&amp;DF$6,'Job Master'!$F$12:$I$102,4,0)&lt;&gt;""),IF(WEEKDAY(DO264-VLOOKUP($P264&amp;" | "&amp;DF$6,'Job Master'!$F$12:$I$102,4,0))&lt;&gt;7,DO264-VLOOKUP($P264&amp;" | "&amp;DF$6,'Job Master'!$F$12:$I$102,4,0),DO264-VLOOKUP($P264&amp;" | "&amp;DF$6,'Job Master'!$F$12:$I$102,4,0)-1),""),"")</f>
        <v/>
      </c>
      <c r="DI264" s="73"/>
      <c r="DJ264" s="123" t="str">
        <f t="shared" si="429"/>
        <v/>
      </c>
      <c r="DK264" s="123" t="str">
        <f t="shared" si="430"/>
        <v/>
      </c>
      <c r="DL264" s="97" t="str">
        <f t="shared" ca="1" si="431"/>
        <v/>
      </c>
      <c r="DM264" s="98" t="str">
        <f>IF(DO264&lt;&gt;"",VLOOKUP($P264&amp;" | "&amp;DM$6,'Job Master'!$F$12:$J$102,5,0),"")</f>
        <v/>
      </c>
      <c r="DN264" s="19" t="str">
        <f>IF(DO264&lt;&gt;"",VLOOKUP($P264&amp;" | "&amp;DM$6,'Job Master'!$F$12:$J$102,3,0),"")</f>
        <v/>
      </c>
      <c r="DO264" s="19" t="str">
        <f>IFERROR(IF(AND(DT264&lt;&gt;"",VLOOKUP($P264&amp;" | "&amp;DM$6,'Job Master'!$F$12:$I$102,4,0)&lt;&gt;""),IF(WEEKDAY(DT264-VLOOKUP($P264&amp;" | "&amp;DM$6,'Job Master'!$F$12:$I$102,4,0))&lt;&gt;7,DT264-VLOOKUP($P264&amp;" | "&amp;DM$6,'Job Master'!$F$12:$I$102,4,0),DT264-VLOOKUP($P264&amp;" | "&amp;DM$6,'Job Master'!$F$12:$I$102,4,0)-1),""),"")</f>
        <v/>
      </c>
      <c r="DP264" s="73"/>
      <c r="DQ264" s="123" t="str">
        <f t="shared" si="432"/>
        <v/>
      </c>
      <c r="DR264" s="123" t="str">
        <f t="shared" si="433"/>
        <v/>
      </c>
      <c r="DS264" s="97" t="str">
        <f t="shared" ca="1" si="434"/>
        <v/>
      </c>
      <c r="DT264" s="70" t="str">
        <f t="shared" si="435"/>
        <v/>
      </c>
      <c r="DU264" s="90"/>
      <c r="DV264" s="123" t="str">
        <f t="shared" si="436"/>
        <v/>
      </c>
      <c r="DW264" s="123" t="str">
        <f t="shared" si="437"/>
        <v/>
      </c>
      <c r="DX264" s="132" t="str">
        <f t="shared" ref="DX264" ca="1" si="512">IF(DT264&lt;&gt;"",IF(WEEKNUM(DT264)=WEEKNUM(TODAY()),"This Week",IF(WEEKNUM(DT264)=WEEKNUM(TODAY())+1,"Next Week",IF(WEEKNUM(DT264)=WEEKNUM(TODAY())-1,"Previous Week",""))),"")</f>
        <v/>
      </c>
      <c r="DY264" s="134" t="str">
        <f t="shared" si="439"/>
        <v/>
      </c>
      <c r="DZ264" s="95"/>
      <c r="EB264" s="8" t="str">
        <f t="shared" si="445"/>
        <v/>
      </c>
      <c r="EC264" s="8" t="str">
        <f>IF(O264&lt;&gt;"",VLOOKUP(O264,'Job Master'!$N$12:$O$18,2,0),"")</f>
        <v/>
      </c>
      <c r="ED264" s="8">
        <f t="shared" si="446"/>
        <v>19.5</v>
      </c>
      <c r="EE264" s="8">
        <f t="shared" si="447"/>
        <v>6</v>
      </c>
      <c r="EF264" s="8">
        <f t="shared" si="448"/>
        <v>-1504.5</v>
      </c>
      <c r="EG264" s="8" t="str">
        <f t="shared" si="449"/>
        <v/>
      </c>
      <c r="EH264" s="8" t="str">
        <f t="shared" si="450"/>
        <v/>
      </c>
    </row>
    <row r="265" spans="2:138" x14ac:dyDescent="0.3">
      <c r="B265" s="112"/>
      <c r="C265" s="27"/>
      <c r="D265" s="7" t="str">
        <f t="shared" ref="D265:J328" si="513">IF(IF(C265&lt;&gt;"",C265,IF($AA265&lt;&gt;"",D264,""))&lt;&gt;0,IF(C265&lt;&gt;"",C265,IF($AA265&lt;&gt;"",D264,"")),"")</f>
        <v/>
      </c>
      <c r="E265" s="25"/>
      <c r="F265" s="7" t="str">
        <f t="shared" si="513"/>
        <v/>
      </c>
      <c r="G265" s="25"/>
      <c r="H265" s="7" t="str">
        <f t="shared" si="513"/>
        <v/>
      </c>
      <c r="I265" s="25"/>
      <c r="J265" s="7" t="str">
        <f t="shared" si="513"/>
        <v/>
      </c>
      <c r="K265" s="25"/>
      <c r="L265" s="7" t="str">
        <f t="shared" ref="L265:L328" si="514">IF(IF(K265&lt;&gt;"",K265,IF($AA265&lt;&gt;"",L264,""))&lt;&gt;0,IF(K265&lt;&gt;"",K265,IF($AA265&lt;&gt;"",L264,"")),"")</f>
        <v/>
      </c>
      <c r="M265" s="25"/>
      <c r="N265" s="7" t="str">
        <f t="shared" ref="N265:N328" si="515">IF(IF(M265&lt;&gt;"",M265,IF($AA265&lt;&gt;"",N264,""))&lt;&gt;0,IF(M265&lt;&gt;"",M265,IF($AA265&lt;&gt;"",N264,"")),"")</f>
        <v/>
      </c>
      <c r="O265" s="81"/>
      <c r="P265" s="81" t="str">
        <f t="shared" ref="P265:P328" si="516">IF(IF(O265&lt;&gt;"",O265,IF($AA265&lt;&gt;"",P264,""))&lt;&gt;0,IF(O265&lt;&gt;"",O265,IF($AA265&lt;&gt;"",P264,"")),"")</f>
        <v/>
      </c>
      <c r="Q265" s="81"/>
      <c r="R265" s="7" t="str">
        <f t="shared" ref="R265:R328" si="517">IF(IF(Q265&lt;&gt;"",Q265,IF($AA265&lt;&gt;"",R264,""))&lt;&gt;0,IF(Q265&lt;&gt;"",Q265,IF($AA265&lt;&gt;"",R264,"")),"")</f>
        <v/>
      </c>
      <c r="S265" s="25"/>
      <c r="T265" s="7" t="str">
        <f t="shared" ref="T265:T328" si="518">IF(IF(S265&lt;&gt;"",S265,IF($AA265&lt;&gt;"",T264,""))&lt;&gt;0,IF(S265&lt;&gt;"",S265,IF($AA265&lt;&gt;"",T264,"")),"")</f>
        <v/>
      </c>
      <c r="U265" s="25"/>
      <c r="V265" s="7" t="str">
        <f t="shared" ref="V265:V328" si="519">IF(IF(U265&lt;&gt;"",U265,IF($AA265&lt;&gt;"",V264,""))&lt;&gt;0,IF(U265&lt;&gt;"",U265,IF($AA265&lt;&gt;"",V264,"")),"")</f>
        <v/>
      </c>
      <c r="W265" s="25"/>
      <c r="X265" s="7" t="str">
        <f t="shared" ref="X265:X328" si="520">IF(IF(W265&lt;&gt;"",W265,IF($AA265&lt;&gt;"",X264,""))&lt;&gt;0,IF(W265&lt;&gt;"",W265,IF($AA265&lt;&gt;"",X264,"")),"")</f>
        <v/>
      </c>
      <c r="Y265" s="18" t="str">
        <f t="shared" ref="Y265:Y328" si="521">IF(AND(W265&lt;&gt;"",U265&lt;&gt;""),U265*W265,"")</f>
        <v/>
      </c>
      <c r="Z265" s="7" t="str">
        <f t="shared" ref="Z265:Z328" si="522">IF(IF(Y265&lt;&gt;"",Y265,IF($AA265&lt;&gt;"",Z264,""))&lt;&gt;0,IF(Y265&lt;&gt;"",Y265,IF($AA265&lt;&gt;"",Z264,"")),"")</f>
        <v/>
      </c>
      <c r="AA265" s="18" t="str">
        <f t="shared" ref="AA265:AA328" si="523">IF(EH265&lt;&gt;"",EH265,"")</f>
        <v/>
      </c>
      <c r="AB265" s="19" t="str">
        <f t="shared" ref="AB265:AB328" si="524">IF(AA265&lt;&gt;"",IF(WEEKDAY(IF(AF265&lt;&gt;"",AF265,IF(AD265&lt;&gt;"",AD265,IF(AC265&lt;&gt;"",AC265,IF(AND(AC265="",AD265="",AF265="",AA265&lt;&gt;""),AB264-1,"")))))&lt;&gt;7,IF(AF265&lt;&gt;"",AF265,IF(AD265&lt;&gt;"",AD265,IF(AC265&lt;&gt;"",AC265,IF(AND(AC265="",AD265="",AF265="",AA265&lt;&gt;""),AB264-1,"")))),IF(AF265&lt;&gt;"",AF265,IF(AD265&lt;&gt;"",AD265,IF(AC265&lt;&gt;"",AC265,IF(AND(AC265="",AD265="",AF265="",AA265&lt;&gt;""),AB264-1,""))))-1),"")</f>
        <v/>
      </c>
      <c r="AC265" s="26"/>
      <c r="AD265" s="26"/>
      <c r="AE265" s="25"/>
      <c r="AF265" s="26"/>
      <c r="AG265" s="25"/>
      <c r="AH265" s="25"/>
      <c r="AI265" s="18" t="str">
        <f t="shared" si="461"/>
        <v/>
      </c>
      <c r="AJ265" s="25"/>
      <c r="AK265" s="18" t="str">
        <f t="shared" si="462"/>
        <v/>
      </c>
      <c r="AL265" s="79"/>
      <c r="AM265" s="126" t="str">
        <f t="shared" si="463"/>
        <v/>
      </c>
      <c r="AN265" s="128" t="str">
        <f>IF(AP265&lt;&gt;"",VLOOKUP($P265&amp;" | "&amp;AN$6,'Job Master'!$F$12:$J$102,5,0),"")</f>
        <v/>
      </c>
      <c r="AO265" s="19" t="str">
        <f>IF(AP265&lt;&gt;"",VLOOKUP($P265&amp;" | "&amp;AN$6,'Job Master'!$F$12:$J$102,3,0),"")</f>
        <v/>
      </c>
      <c r="AP265" s="19" t="str">
        <f>IFERROR(IF(AND(AW265&lt;&gt;"",VLOOKUP($P265&amp;" | "&amp;AN$6,'Job Master'!$F$12:$I$102,4,0)&lt;&gt;""),IF(WEEKDAY(AW265-VLOOKUP($P265&amp;" | "&amp;AN$6,'Job Master'!$F$12:$I$102,4,0))&lt;&gt;7,AW265-VLOOKUP($P265&amp;" | "&amp;AN$6,'Job Master'!$F$12:$I$102,4,0),AW265-VLOOKUP($P265&amp;" | "&amp;AN$6,'Job Master'!$F$12:$I$102,4,0)-1),""),"")</f>
        <v/>
      </c>
      <c r="AQ265" s="73"/>
      <c r="AR265" s="123" t="str">
        <f t="shared" ref="AR265:AR328" si="525">IF(AP265&lt;&gt;"",MONTH(AP265),"")</f>
        <v/>
      </c>
      <c r="AS265" s="123" t="str">
        <f t="shared" ref="AS265:AS328" si="526">IF(AND(AQ265&lt;&gt;"",AP265&lt;&gt;""),IF(AQ265&gt;AP265,"Delayed",IF(AQ265=AP265,"On Time",IF(AQ265&lt;AP265,"In Advance"))),"")</f>
        <v/>
      </c>
      <c r="AT265" s="97" t="str">
        <f t="shared" ref="AT265:AT328" ca="1" si="527">IF(AP265&lt;&gt;"",IF(WEEKNUM(AP265)=WEEKNUM(TODAY()),"This Week",IF(WEEKNUM(AP265)=WEEKNUM(TODAY())+1,"Next Week",IF(WEEKNUM(AP265)=WEEKNUM(TODAY())-1,"Previous Week",""))),"")</f>
        <v/>
      </c>
      <c r="AU265" s="98" t="str">
        <f>IF(AW265&lt;&gt;"",VLOOKUP($P265&amp;" | "&amp;AU$6,'Job Master'!$F$12:$J$102,5,0),"")</f>
        <v/>
      </c>
      <c r="AV265" s="19" t="str">
        <f>IF(AW265&lt;&gt;"",VLOOKUP($P265&amp;" | "&amp;AU$6,'Job Master'!$F$12:$J$102,3,0),"")</f>
        <v/>
      </c>
      <c r="AW265" s="19" t="str">
        <f>IFERROR(IF(AND(BD265&lt;&gt;"",VLOOKUP($P265&amp;" | "&amp;AU$6,'Job Master'!$F$12:$I$102,4,0)&lt;&gt;""),IF(WEEKDAY(BD265-VLOOKUP($P265&amp;" | "&amp;AU$6,'Job Master'!$F$12:$I$102,4,0))&lt;&gt;7,BD265-VLOOKUP($P265&amp;" | "&amp;AU$6,'Job Master'!$F$12:$I$102,4,0),BD265-VLOOKUP($P265&amp;" | "&amp;AU$6,'Job Master'!$F$12:$I$102,4,0)-1),""),"")</f>
        <v/>
      </c>
      <c r="AX265" s="73"/>
      <c r="AY265" s="123" t="str">
        <f t="shared" ref="AY265:AY328" si="528">IF(AW265&lt;&gt;"",MONTH(AW265),"")</f>
        <v/>
      </c>
      <c r="AZ265" s="123" t="str">
        <f t="shared" ref="AZ265:AZ328" si="529">IF(AND(AX265&lt;&gt;"",AW265&lt;&gt;""),IF(AX265&gt;AW265,"Delayed",IF(AX265=AW265,"On Time",IF(AX265&lt;AW265,"In Advance"))),"")</f>
        <v/>
      </c>
      <c r="BA265" s="97" t="str">
        <f t="shared" ref="BA265:BA328" ca="1" si="530">IF(AW265&lt;&gt;"",IF(WEEKNUM(AW265)=WEEKNUM(TODAY()),"This Week",IF(WEEKNUM(AW265)=WEEKNUM(TODAY())+1,"Next Week",IF(WEEKNUM(AW265)=WEEKNUM(TODAY())-1,"Previous Week",""))),"")</f>
        <v/>
      </c>
      <c r="BB265" s="98" t="str">
        <f>IF(BD265&lt;&gt;"",VLOOKUP($P265&amp;" | "&amp;BB$6,'Job Master'!$F$12:$J$102,5,0),"")</f>
        <v/>
      </c>
      <c r="BC265" s="19" t="str">
        <f>IF(BD265&lt;&gt;"",VLOOKUP($P265&amp;" | "&amp;BB$6,'Job Master'!$F$12:$J$102,3,0),"")</f>
        <v/>
      </c>
      <c r="BD265" s="19" t="str">
        <f>IFERROR(IF(AND(BK265&lt;&gt;"",VLOOKUP($P265&amp;" | "&amp;BB$6,'Job Master'!$F$12:$I$102,4,0)&lt;&gt;""),IF(WEEKDAY(BK265-VLOOKUP($P265&amp;" | "&amp;BB$6,'Job Master'!$F$12:$I$102,4,0))&lt;&gt;7,BK265-VLOOKUP($P265&amp;" | "&amp;BB$6,'Job Master'!$F$12:$I$102,4,0),BK265-VLOOKUP($P265&amp;" | "&amp;BB$6,'Job Master'!$F$12:$I$102,4,0)-1),""),"")</f>
        <v/>
      </c>
      <c r="BE265" s="73"/>
      <c r="BF265" s="123" t="str">
        <f t="shared" ref="BF265:BF328" si="531">IF(BD265&lt;&gt;"",MONTH(BD265),"")</f>
        <v/>
      </c>
      <c r="BG265" s="123" t="str">
        <f t="shared" ref="BG265:BG328" si="532">IF(AND(BE265&lt;&gt;"",BD265&lt;&gt;""),IF(BE265&gt;BD265,"Delayed",IF(BE265=BD265,"On Time",IF(BE265&lt;BD265,"In Advance"))),"")</f>
        <v/>
      </c>
      <c r="BH265" s="97" t="str">
        <f t="shared" ref="BH265:BH328" ca="1" si="533">IF(BD265&lt;&gt;"",IF(WEEKNUM(BD265)=WEEKNUM(TODAY()),"This Week",IF(WEEKNUM(BD265)=WEEKNUM(TODAY())+1,"Next Week",IF(WEEKNUM(BD265)=WEEKNUM(TODAY())-1,"Previous Week",""))),"")</f>
        <v/>
      </c>
      <c r="BI265" s="98" t="str">
        <f>IF(BK265&lt;&gt;"",VLOOKUP($P265&amp;" | "&amp;BI$6,'Job Master'!$F$12:$J$102,5,0),"")</f>
        <v/>
      </c>
      <c r="BJ265" s="19" t="str">
        <f>IF(BK265&lt;&gt;"",VLOOKUP($P265&amp;" | "&amp;BI$6,'Job Master'!$F$12:$J$102,3,0),"")</f>
        <v/>
      </c>
      <c r="BK265" s="19" t="str">
        <f>IFERROR(IF(AND(BR265&lt;&gt;"",VLOOKUP($P265&amp;" | "&amp;BI$6,'Job Master'!$F$12:$I$102,4,0)&lt;&gt;""),IF(WEEKDAY(BR265-VLOOKUP($P265&amp;" | "&amp;BI$6,'Job Master'!$F$12:$I$102,4,0))&lt;&gt;7,BR265-VLOOKUP($P265&amp;" | "&amp;BI$6,'Job Master'!$F$12:$I$102,4,0),BR265-VLOOKUP($P265&amp;" | "&amp;BI$6,'Job Master'!$F$12:$I$102,4,0)-1),""),"")</f>
        <v/>
      </c>
      <c r="BL265" s="73"/>
      <c r="BM265" s="123" t="str">
        <f t="shared" ref="BM265:BM328" si="534">IF(BK265&lt;&gt;"",MONTH(BK265),"")</f>
        <v/>
      </c>
      <c r="BN265" s="123" t="str">
        <f t="shared" ref="BN265:BN328" si="535">IF(AND(BL265&lt;&gt;"",BK265&lt;&gt;""),IF(BL265&gt;BK265,"Delayed",IF(BL265=BK265,"On Time",IF(BL265&lt;BK265,"In Advance"))),"")</f>
        <v/>
      </c>
      <c r="BO265" s="97" t="str">
        <f t="shared" ref="BO265:BO328" ca="1" si="536">IF(BK265&lt;&gt;"",IF(WEEKNUM(BK265)=WEEKNUM(TODAY()),"This Week",IF(WEEKNUM(BK265)=WEEKNUM(TODAY())+1,"Next Week",IF(WEEKNUM(BK265)=WEEKNUM(TODAY())-1,"Previous Week",""))),"")</f>
        <v/>
      </c>
      <c r="BP265" s="98" t="str">
        <f>IF(BR265&lt;&gt;"",VLOOKUP($P265&amp;" | "&amp;BP$6,'Job Master'!$F$12:$J$102,5,0),"")</f>
        <v/>
      </c>
      <c r="BQ265" s="19" t="str">
        <f>IF(BR265&lt;&gt;"",VLOOKUP($P265&amp;" | "&amp;BP$6,'Job Master'!$F$12:$J$102,3,0),"")</f>
        <v/>
      </c>
      <c r="BR265" s="19" t="str">
        <f>IFERROR(IF(AND(BY265&lt;&gt;"",VLOOKUP($P265&amp;" | "&amp;BP$6,'Job Master'!$F$12:$I$102,4,0)&lt;&gt;""),IF(WEEKDAY(BY265-VLOOKUP($P265&amp;" | "&amp;BP$6,'Job Master'!$F$12:$I$102,4,0))&lt;&gt;7,BY265-VLOOKUP($P265&amp;" | "&amp;BP$6,'Job Master'!$F$12:$I$102,4,0),BY265-VLOOKUP($P265&amp;" | "&amp;BP$6,'Job Master'!$F$12:$I$102,4,0)-1),""),"")</f>
        <v/>
      </c>
      <c r="BS265" s="73"/>
      <c r="BT265" s="123" t="str">
        <f t="shared" ref="BT265:BT328" si="537">IF(BR265&lt;&gt;"",MONTH(BR265),"")</f>
        <v/>
      </c>
      <c r="BU265" s="123" t="str">
        <f t="shared" ref="BU265:BU328" si="538">IF(AND(BS265&lt;&gt;"",BR265&lt;&gt;""),IF(BS265&gt;BR265,"Delayed",IF(BS265=BR265,"On Time",IF(BS265&lt;BR265,"In Advance"))),"")</f>
        <v/>
      </c>
      <c r="BV265" s="97" t="str">
        <f t="shared" ref="BV265:BV328" ca="1" si="539">IF(BR265&lt;&gt;"",IF(WEEKNUM(BR265)=WEEKNUM(TODAY()),"This Week",IF(WEEKNUM(BR265)=WEEKNUM(TODAY())+1,"Next Week",IF(WEEKNUM(BR265)=WEEKNUM(TODAY())-1,"Previous Week",""))),"")</f>
        <v/>
      </c>
      <c r="BW265" s="98" t="str">
        <f>IF(BY265&lt;&gt;"",VLOOKUP($P265&amp;" | "&amp;BW$6,'Job Master'!$F$12:$J$102,5,0),"")</f>
        <v/>
      </c>
      <c r="BX265" s="19" t="str">
        <f>IF(BY265&lt;&gt;"",VLOOKUP($P265&amp;" | "&amp;BW$6,'Job Master'!$F$12:$J$102,3,0),"")</f>
        <v/>
      </c>
      <c r="BY265" s="19" t="str">
        <f>IFERROR(IF(AND(CF265&lt;&gt;"",VLOOKUP($P265&amp;" | "&amp;BW$6,'Job Master'!$F$12:$I$102,4,0)&lt;&gt;""),IF(WEEKDAY(CF265-VLOOKUP($P265&amp;" | "&amp;BW$6,'Job Master'!$F$12:$I$102,4,0))&lt;&gt;7,CF265-VLOOKUP($P265&amp;" | "&amp;BW$6,'Job Master'!$F$12:$I$102,4,0),CF265-VLOOKUP($P265&amp;" | "&amp;BW$6,'Job Master'!$F$12:$I$102,4,0)-1),""),"")</f>
        <v/>
      </c>
      <c r="BZ265" s="73"/>
      <c r="CA265" s="123" t="str">
        <f t="shared" ref="CA265:CA328" si="540">IF(BY265&lt;&gt;"",MONTH(BY265),"")</f>
        <v/>
      </c>
      <c r="CB265" s="123" t="str">
        <f t="shared" ref="CB265:CB328" si="541">IF(AND(BZ265&lt;&gt;"",BY265&lt;&gt;""),IF(BZ265&gt;BY265,"Delayed",IF(BZ265=BY265,"On Time",IF(BZ265&lt;BY265,"In Advance"))),"")</f>
        <v/>
      </c>
      <c r="CC265" s="97" t="str">
        <f t="shared" ref="CC265:CC328" ca="1" si="542">IF(BY265&lt;&gt;"",IF(WEEKNUM(BY265)=WEEKNUM(TODAY()),"This Week",IF(WEEKNUM(BY265)=WEEKNUM(TODAY())+1,"Next Week",IF(WEEKNUM(BY265)=WEEKNUM(TODAY())-1,"Previous Week",""))),"")</f>
        <v/>
      </c>
      <c r="CD265" s="98" t="str">
        <f>IF(CF265&lt;&gt;"",VLOOKUP($P265&amp;" | "&amp;CD$6,'Job Master'!$F$12:$J$102,5,0),"")</f>
        <v/>
      </c>
      <c r="CE265" s="19" t="str">
        <f>IF(CF265&lt;&gt;"",VLOOKUP($P265&amp;" | "&amp;CD$6,'Job Master'!$F$12:$J$102,3,0),"")</f>
        <v/>
      </c>
      <c r="CF265" s="19" t="str">
        <f>IFERROR(IF(AND(CM265&lt;&gt;"",VLOOKUP($P265&amp;" | "&amp;CD$6,'Job Master'!$F$12:$I$102,4,0)&lt;&gt;""),IF(WEEKDAY(CM265-VLOOKUP($P265&amp;" | "&amp;CD$6,'Job Master'!$F$12:$I$102,4,0))&lt;&gt;7,CM265-VLOOKUP($P265&amp;" | "&amp;CD$6,'Job Master'!$F$12:$I$102,4,0),CM265-VLOOKUP($P265&amp;" | "&amp;CD$6,'Job Master'!$F$12:$I$102,4,0)-1),""),"")</f>
        <v/>
      </c>
      <c r="CG265" s="73"/>
      <c r="CH265" s="123" t="str">
        <f t="shared" ref="CH265:CH328" si="543">IF(CF265&lt;&gt;"",MONTH(CF265),"")</f>
        <v/>
      </c>
      <c r="CI265" s="123" t="str">
        <f t="shared" ref="CI265:CI328" si="544">IF(AND(CG265&lt;&gt;"",CF265&lt;&gt;""),IF(CG265&gt;CF265,"Delayed",IF(CG265=CF265,"On Time",IF(CG265&lt;CF265,"In Advance"))),"")</f>
        <v/>
      </c>
      <c r="CJ265" s="97" t="str">
        <f t="shared" ref="CJ265:CJ328" ca="1" si="545">IF(CF265&lt;&gt;"",IF(WEEKNUM(CF265)=WEEKNUM(TODAY()),"This Week",IF(WEEKNUM(CF265)=WEEKNUM(TODAY())+1,"Next Week",IF(WEEKNUM(CF265)=WEEKNUM(TODAY())-1,"Previous Week",""))),"")</f>
        <v/>
      </c>
      <c r="CK265" s="98" t="str">
        <f>IF(CM265&lt;&gt;"",VLOOKUP($P265&amp;" | "&amp;CK$6,'Job Master'!$F$12:$J$102,5,0),"")</f>
        <v/>
      </c>
      <c r="CL265" s="19" t="str">
        <f>IF(CM265&lt;&gt;"",VLOOKUP($P265&amp;" | "&amp;CK$6,'Job Master'!$F$12:$J$102,3,0),"")</f>
        <v/>
      </c>
      <c r="CM265" s="19" t="str">
        <f>IFERROR(IF(AND(CT265&lt;&gt;"",VLOOKUP($P265&amp;" | "&amp;CK$6,'Job Master'!$F$12:$I$102,4,0)&lt;&gt;""),IF(WEEKDAY(CT265-VLOOKUP($P265&amp;" | "&amp;CK$6,'Job Master'!$F$12:$I$102,4,0))&lt;&gt;7,CT265-VLOOKUP($P265&amp;" | "&amp;CK$6,'Job Master'!$F$12:$I$102,4,0),CT265-VLOOKUP($P265&amp;" | "&amp;CK$6,'Job Master'!$F$12:$I$102,4,0)-1),""),"")</f>
        <v/>
      </c>
      <c r="CN265" s="73"/>
      <c r="CO265" s="123" t="str">
        <f t="shared" ref="CO265:CO328" si="546">IF(CM265&lt;&gt;"",MONTH(CM265),"")</f>
        <v/>
      </c>
      <c r="CP265" s="123" t="str">
        <f t="shared" ref="CP265:CP328" si="547">IF(AND(CN265&lt;&gt;"",CM265&lt;&gt;""),IF(CN265&gt;CM265,"Delayed",IF(CN265=CM265,"On Time",IF(CN265&lt;CM265,"In Advance"))),"")</f>
        <v/>
      </c>
      <c r="CQ265" s="97" t="str">
        <f t="shared" ref="CQ265:CQ328" ca="1" si="548">IF(CM265&lt;&gt;"",IF(WEEKNUM(CM265)=WEEKNUM(TODAY()),"This Week",IF(WEEKNUM(CM265)=WEEKNUM(TODAY())+1,"Next Week",IF(WEEKNUM(CM265)=WEEKNUM(TODAY())-1,"Previous Week",""))),"")</f>
        <v/>
      </c>
      <c r="CR265" s="98" t="str">
        <f>IF(CT265&lt;&gt;"",VLOOKUP($P265&amp;" | "&amp;CR$6,'Job Master'!$F$12:$J$102,5,0),"")</f>
        <v/>
      </c>
      <c r="CS265" s="19" t="str">
        <f>IF(CT265&lt;&gt;"",VLOOKUP($P265&amp;" | "&amp;CR$6,'Job Master'!$F$12:$J$102,3,0),"")</f>
        <v/>
      </c>
      <c r="CT265" s="19" t="str">
        <f>IFERROR(IF(AND(DA265&lt;&gt;"",VLOOKUP($P265&amp;" | "&amp;CR$6,'Job Master'!$F$12:$I$102,4,0)&lt;&gt;""),IF(WEEKDAY(DA265-VLOOKUP($P265&amp;" | "&amp;CR$6,'Job Master'!$F$12:$I$102,4,0))&lt;&gt;7,DA265-VLOOKUP($P265&amp;" | "&amp;CR$6,'Job Master'!$F$12:$I$102,4,0),DA265-VLOOKUP($P265&amp;" | "&amp;CR$6,'Job Master'!$F$12:$I$102,4,0)-1),""),"")</f>
        <v/>
      </c>
      <c r="CU265" s="73"/>
      <c r="CV265" s="123" t="str">
        <f t="shared" ref="CV265:CV328" si="549">IF(CT265&lt;&gt;"",MONTH(CT265),"")</f>
        <v/>
      </c>
      <c r="CW265" s="123" t="str">
        <f t="shared" ref="CW265:CW328" si="550">IF(AND(CU265&lt;&gt;"",CT265&lt;&gt;""),IF(CU265&gt;CT265,"Delayed",IF(CU265=CT265,"On Time",IF(CU265&lt;CT265,"In Advance"))),"")</f>
        <v/>
      </c>
      <c r="CX265" s="97" t="str">
        <f t="shared" ref="CX265:CX328" ca="1" si="551">IF(CT265&lt;&gt;"",IF(WEEKNUM(CT265)=WEEKNUM(TODAY()),"This Week",IF(WEEKNUM(CT265)=WEEKNUM(TODAY())+1,"Next Week",IF(WEEKNUM(CT265)=WEEKNUM(TODAY())-1,"Previous Week",""))),"")</f>
        <v/>
      </c>
      <c r="CY265" s="98" t="str">
        <f>IF(DA265&lt;&gt;"",VLOOKUP($P265&amp;" | "&amp;CY$6,'Job Master'!$F$12:$J$102,5,0),"")</f>
        <v/>
      </c>
      <c r="CZ265" s="19" t="str">
        <f>IF(DA265&lt;&gt;"",VLOOKUP($P265&amp;" | "&amp;CY$6,'Job Master'!$F$12:$J$102,3,0),"")</f>
        <v/>
      </c>
      <c r="DA265" s="19" t="str">
        <f>IFERROR(IF(AND(DH265&lt;&gt;"",VLOOKUP($P265&amp;" | "&amp;CY$6,'Job Master'!$F$12:$I$102,4,0)&lt;&gt;""),IF(WEEKDAY(DH265-VLOOKUP($P265&amp;" | "&amp;CY$6,'Job Master'!$F$12:$I$102,4,0))&lt;&gt;7,DH265-VLOOKUP($P265&amp;" | "&amp;CY$6,'Job Master'!$F$12:$I$102,4,0),DH265-VLOOKUP($P265&amp;" | "&amp;CY$6,'Job Master'!$F$12:$I$102,4,0)-1),""),"")</f>
        <v/>
      </c>
      <c r="DB265" s="73"/>
      <c r="DC265" s="123" t="str">
        <f t="shared" ref="DC265:DC328" si="552">IF(DA265&lt;&gt;"",MONTH(DA265),"")</f>
        <v/>
      </c>
      <c r="DD265" s="123" t="str">
        <f t="shared" ref="DD265:DD328" si="553">IF(AND(DB265&lt;&gt;"",DA265&lt;&gt;""),IF(DB265&gt;DA265,"Delayed",IF(DB265=DA265,"On Time",IF(DB265&lt;DA265,"In Advance"))),"")</f>
        <v/>
      </c>
      <c r="DE265" s="97" t="str">
        <f t="shared" ref="DE265:DE328" ca="1" si="554">IF(DA265&lt;&gt;"",IF(WEEKNUM(DA265)=WEEKNUM(TODAY()),"This Week",IF(WEEKNUM(DA265)=WEEKNUM(TODAY())+1,"Next Week",IF(WEEKNUM(DA265)=WEEKNUM(TODAY())-1,"Previous Week",""))),"")</f>
        <v/>
      </c>
      <c r="DF265" s="98" t="str">
        <f>IF(DH265&lt;&gt;"",VLOOKUP($P265&amp;" | "&amp;DF$6,'Job Master'!$F$12:$J$102,5,0),"")</f>
        <v/>
      </c>
      <c r="DG265" s="19" t="str">
        <f>IF(DH265&lt;&gt;"",VLOOKUP($P265&amp;" | "&amp;DF$6,'Job Master'!$F$12:$J$102,3,0),"")</f>
        <v/>
      </c>
      <c r="DH265" s="19" t="str">
        <f>IFERROR(IF(AND(DO265&lt;&gt;"",VLOOKUP($P265&amp;" | "&amp;DF$6,'Job Master'!$F$12:$I$102,4,0)&lt;&gt;""),IF(WEEKDAY(DO265-VLOOKUP($P265&amp;" | "&amp;DF$6,'Job Master'!$F$12:$I$102,4,0))&lt;&gt;7,DO265-VLOOKUP($P265&amp;" | "&amp;DF$6,'Job Master'!$F$12:$I$102,4,0),DO265-VLOOKUP($P265&amp;" | "&amp;DF$6,'Job Master'!$F$12:$I$102,4,0)-1),""),"")</f>
        <v/>
      </c>
      <c r="DI265" s="73"/>
      <c r="DJ265" s="123" t="str">
        <f t="shared" ref="DJ265:DJ328" si="555">IF(DH265&lt;&gt;"",MONTH(DH265),"")</f>
        <v/>
      </c>
      <c r="DK265" s="123" t="str">
        <f t="shared" ref="DK265:DK328" si="556">IF(AND(DI265&lt;&gt;"",DH265&lt;&gt;""),IF(DI265&gt;DH265,"Delayed",IF(DI265=DH265,"On Time",IF(DI265&lt;DH265,"In Advance"))),"")</f>
        <v/>
      </c>
      <c r="DL265" s="97" t="str">
        <f t="shared" ref="DL265:DL328" ca="1" si="557">IF(DH265&lt;&gt;"",IF(WEEKNUM(DH265)=WEEKNUM(TODAY()),"This Week",IF(WEEKNUM(DH265)=WEEKNUM(TODAY())+1,"Next Week",IF(WEEKNUM(DH265)=WEEKNUM(TODAY())-1,"Previous Week",""))),"")</f>
        <v/>
      </c>
      <c r="DM265" s="98" t="str">
        <f>IF(DO265&lt;&gt;"",VLOOKUP($P265&amp;" | "&amp;DM$6,'Job Master'!$F$12:$J$102,5,0),"")</f>
        <v/>
      </c>
      <c r="DN265" s="19" t="str">
        <f>IF(DO265&lt;&gt;"",VLOOKUP($P265&amp;" | "&amp;DM$6,'Job Master'!$F$12:$J$102,3,0),"")</f>
        <v/>
      </c>
      <c r="DO265" s="19" t="str">
        <f>IFERROR(IF(AND(DT265&lt;&gt;"",VLOOKUP($P265&amp;" | "&amp;DM$6,'Job Master'!$F$12:$I$102,4,0)&lt;&gt;""),IF(WEEKDAY(DT265-VLOOKUP($P265&amp;" | "&amp;DM$6,'Job Master'!$F$12:$I$102,4,0))&lt;&gt;7,DT265-VLOOKUP($P265&amp;" | "&amp;DM$6,'Job Master'!$F$12:$I$102,4,0),DT265-VLOOKUP($P265&amp;" | "&amp;DM$6,'Job Master'!$F$12:$I$102,4,0)-1),""),"")</f>
        <v/>
      </c>
      <c r="DP265" s="73"/>
      <c r="DQ265" s="123" t="str">
        <f t="shared" ref="DQ265:DQ328" si="558">IF(DO265&lt;&gt;"",MONTH(DO265),"")</f>
        <v/>
      </c>
      <c r="DR265" s="123" t="str">
        <f t="shared" ref="DR265:DR328" si="559">IF(AND(DP265&lt;&gt;"",DO265&lt;&gt;""),IF(DP265&gt;DO265,"Delayed",IF(DP265=DO265,"On Time",IF(DP265&lt;DO265,"In Advance"))),"")</f>
        <v/>
      </c>
      <c r="DS265" s="97" t="str">
        <f t="shared" ref="DS265:DS328" ca="1" si="560">IF(DO265&lt;&gt;"",IF(WEEKNUM(DO265)=WEEKNUM(TODAY()),"This Week",IF(WEEKNUM(DO265)=WEEKNUM(TODAY())+1,"Next Week",IF(WEEKNUM(DO265)=WEEKNUM(TODAY())-1,"Previous Week",""))),"")</f>
        <v/>
      </c>
      <c r="DT265" s="70" t="str">
        <f t="shared" ref="DT265:DT328" si="561">IF(AB265&lt;&gt;"",AB265,"")</f>
        <v/>
      </c>
      <c r="DU265" s="90"/>
      <c r="DV265" s="123" t="str">
        <f t="shared" ref="DV265:DV328" si="562">IF(DT265&lt;&gt;"",MONTH(DT265),"")</f>
        <v/>
      </c>
      <c r="DW265" s="123" t="str">
        <f t="shared" ref="DW265:DW328" si="563">IF(AND(DU265&lt;&gt;"",DT265&lt;&gt;""),IF(DU265&gt;DT265,"Delayed",IF(DU265=DT265,"On Time",IF(DU265&lt;DT265,"In Advance"))),"")</f>
        <v/>
      </c>
      <c r="DX265" s="132" t="str">
        <f t="shared" ref="DX265" ca="1" si="564">IF(DT265&lt;&gt;"",IF(WEEKNUM(DT265)=WEEKNUM(TODAY()),"This Week",IF(WEEKNUM(DT265)=WEEKNUM(TODAY())+1,"Next Week",IF(WEEKNUM(DT265)=WEEKNUM(TODAY())-1,"Previous Week",""))),"")</f>
        <v/>
      </c>
      <c r="DY265" s="134" t="str">
        <f t="shared" ref="DY265:DY328" si="565">IF(AND(DT265&lt;&gt;"",DU265&lt;&gt;""),DU265-DT265,"")</f>
        <v/>
      </c>
      <c r="DZ265" s="95"/>
      <c r="EB265" s="8" t="str">
        <f t="shared" si="445"/>
        <v/>
      </c>
      <c r="EC265" s="8" t="str">
        <f>IF(O265&lt;&gt;"",VLOOKUP(O265,'Job Master'!$N$12:$O$18,2,0),"")</f>
        <v/>
      </c>
      <c r="ED265" s="8">
        <f t="shared" si="446"/>
        <v>19.5</v>
      </c>
      <c r="EE265" s="8">
        <f t="shared" si="447"/>
        <v>6</v>
      </c>
      <c r="EF265" s="8">
        <f t="shared" si="448"/>
        <v>-1510.5</v>
      </c>
      <c r="EG265" s="8" t="str">
        <f t="shared" si="449"/>
        <v/>
      </c>
      <c r="EH265" s="8" t="str">
        <f t="shared" si="450"/>
        <v/>
      </c>
    </row>
    <row r="266" spans="2:138" x14ac:dyDescent="0.3">
      <c r="B266" s="112"/>
      <c r="C266" s="27"/>
      <c r="D266" s="7" t="str">
        <f t="shared" si="513"/>
        <v/>
      </c>
      <c r="E266" s="25"/>
      <c r="F266" s="7" t="str">
        <f t="shared" si="513"/>
        <v/>
      </c>
      <c r="G266" s="25"/>
      <c r="H266" s="7" t="str">
        <f t="shared" si="513"/>
        <v/>
      </c>
      <c r="I266" s="25"/>
      <c r="J266" s="7" t="str">
        <f t="shared" si="513"/>
        <v/>
      </c>
      <c r="K266" s="25"/>
      <c r="L266" s="7" t="str">
        <f t="shared" si="514"/>
        <v/>
      </c>
      <c r="M266" s="25"/>
      <c r="N266" s="7" t="str">
        <f t="shared" si="515"/>
        <v/>
      </c>
      <c r="O266" s="81"/>
      <c r="P266" s="81" t="str">
        <f t="shared" si="516"/>
        <v/>
      </c>
      <c r="Q266" s="81"/>
      <c r="R266" s="7" t="str">
        <f t="shared" si="517"/>
        <v/>
      </c>
      <c r="S266" s="25"/>
      <c r="T266" s="7" t="str">
        <f t="shared" si="518"/>
        <v/>
      </c>
      <c r="U266" s="25"/>
      <c r="V266" s="7" t="str">
        <f t="shared" si="519"/>
        <v/>
      </c>
      <c r="W266" s="25"/>
      <c r="X266" s="7" t="str">
        <f t="shared" si="520"/>
        <v/>
      </c>
      <c r="Y266" s="18" t="str">
        <f t="shared" si="521"/>
        <v/>
      </c>
      <c r="Z266" s="7" t="str">
        <f t="shared" si="522"/>
        <v/>
      </c>
      <c r="AA266" s="18" t="str">
        <f t="shared" si="523"/>
        <v/>
      </c>
      <c r="AB266" s="19" t="str">
        <f t="shared" si="524"/>
        <v/>
      </c>
      <c r="AC266" s="26"/>
      <c r="AD266" s="26"/>
      <c r="AE266" s="25"/>
      <c r="AF266" s="26"/>
      <c r="AG266" s="25"/>
      <c r="AH266" s="25"/>
      <c r="AI266" s="18" t="str">
        <f t="shared" si="461"/>
        <v/>
      </c>
      <c r="AJ266" s="25"/>
      <c r="AK266" s="18" t="str">
        <f t="shared" si="462"/>
        <v/>
      </c>
      <c r="AL266" s="79"/>
      <c r="AM266" s="126" t="str">
        <f t="shared" si="463"/>
        <v/>
      </c>
      <c r="AN266" s="128" t="str">
        <f>IF(AP266&lt;&gt;"",VLOOKUP($P266&amp;" | "&amp;AN$6,'Job Master'!$F$12:$J$102,5,0),"")</f>
        <v/>
      </c>
      <c r="AO266" s="19" t="str">
        <f>IF(AP266&lt;&gt;"",VLOOKUP($P266&amp;" | "&amp;AN$6,'Job Master'!$F$12:$J$102,3,0),"")</f>
        <v/>
      </c>
      <c r="AP266" s="19" t="str">
        <f>IFERROR(IF(AND(AW266&lt;&gt;"",VLOOKUP($P266&amp;" | "&amp;AN$6,'Job Master'!$F$12:$I$102,4,0)&lt;&gt;""),IF(WEEKDAY(AW266-VLOOKUP($P266&amp;" | "&amp;AN$6,'Job Master'!$F$12:$I$102,4,0))&lt;&gt;7,AW266-VLOOKUP($P266&amp;" | "&amp;AN$6,'Job Master'!$F$12:$I$102,4,0),AW266-VLOOKUP($P266&amp;" | "&amp;AN$6,'Job Master'!$F$12:$I$102,4,0)-1),""),"")</f>
        <v/>
      </c>
      <c r="AQ266" s="73"/>
      <c r="AR266" s="123" t="str">
        <f t="shared" si="525"/>
        <v/>
      </c>
      <c r="AS266" s="123" t="str">
        <f t="shared" si="526"/>
        <v/>
      </c>
      <c r="AT266" s="97" t="str">
        <f t="shared" ca="1" si="527"/>
        <v/>
      </c>
      <c r="AU266" s="98" t="str">
        <f>IF(AW266&lt;&gt;"",VLOOKUP($P266&amp;" | "&amp;AU$6,'Job Master'!$F$12:$J$102,5,0),"")</f>
        <v/>
      </c>
      <c r="AV266" s="19" t="str">
        <f>IF(AW266&lt;&gt;"",VLOOKUP($P266&amp;" | "&amp;AU$6,'Job Master'!$F$12:$J$102,3,0),"")</f>
        <v/>
      </c>
      <c r="AW266" s="19" t="str">
        <f>IFERROR(IF(AND(BD266&lt;&gt;"",VLOOKUP($P266&amp;" | "&amp;AU$6,'Job Master'!$F$12:$I$102,4,0)&lt;&gt;""),IF(WEEKDAY(BD266-VLOOKUP($P266&amp;" | "&amp;AU$6,'Job Master'!$F$12:$I$102,4,0))&lt;&gt;7,BD266-VLOOKUP($P266&amp;" | "&amp;AU$6,'Job Master'!$F$12:$I$102,4,0),BD266-VLOOKUP($P266&amp;" | "&amp;AU$6,'Job Master'!$F$12:$I$102,4,0)-1),""),"")</f>
        <v/>
      </c>
      <c r="AX266" s="73"/>
      <c r="AY266" s="123" t="str">
        <f t="shared" si="528"/>
        <v/>
      </c>
      <c r="AZ266" s="123" t="str">
        <f t="shared" si="529"/>
        <v/>
      </c>
      <c r="BA266" s="97" t="str">
        <f t="shared" ca="1" si="530"/>
        <v/>
      </c>
      <c r="BB266" s="98" t="str">
        <f>IF(BD266&lt;&gt;"",VLOOKUP($P266&amp;" | "&amp;BB$6,'Job Master'!$F$12:$J$102,5,0),"")</f>
        <v/>
      </c>
      <c r="BC266" s="19" t="str">
        <f>IF(BD266&lt;&gt;"",VLOOKUP($P266&amp;" | "&amp;BB$6,'Job Master'!$F$12:$J$102,3,0),"")</f>
        <v/>
      </c>
      <c r="BD266" s="19" t="str">
        <f>IFERROR(IF(AND(BK266&lt;&gt;"",VLOOKUP($P266&amp;" | "&amp;BB$6,'Job Master'!$F$12:$I$102,4,0)&lt;&gt;""),IF(WEEKDAY(BK266-VLOOKUP($P266&amp;" | "&amp;BB$6,'Job Master'!$F$12:$I$102,4,0))&lt;&gt;7,BK266-VLOOKUP($P266&amp;" | "&amp;BB$6,'Job Master'!$F$12:$I$102,4,0),BK266-VLOOKUP($P266&amp;" | "&amp;BB$6,'Job Master'!$F$12:$I$102,4,0)-1),""),"")</f>
        <v/>
      </c>
      <c r="BE266" s="73"/>
      <c r="BF266" s="123" t="str">
        <f t="shared" si="531"/>
        <v/>
      </c>
      <c r="BG266" s="123" t="str">
        <f t="shared" si="532"/>
        <v/>
      </c>
      <c r="BH266" s="97" t="str">
        <f t="shared" ca="1" si="533"/>
        <v/>
      </c>
      <c r="BI266" s="98" t="str">
        <f>IF(BK266&lt;&gt;"",VLOOKUP($P266&amp;" | "&amp;BI$6,'Job Master'!$F$12:$J$102,5,0),"")</f>
        <v/>
      </c>
      <c r="BJ266" s="19" t="str">
        <f>IF(BK266&lt;&gt;"",VLOOKUP($P266&amp;" | "&amp;BI$6,'Job Master'!$F$12:$J$102,3,0),"")</f>
        <v/>
      </c>
      <c r="BK266" s="19" t="str">
        <f>IFERROR(IF(AND(BR266&lt;&gt;"",VLOOKUP($P266&amp;" | "&amp;BI$6,'Job Master'!$F$12:$I$102,4,0)&lt;&gt;""),IF(WEEKDAY(BR266-VLOOKUP($P266&amp;" | "&amp;BI$6,'Job Master'!$F$12:$I$102,4,0))&lt;&gt;7,BR266-VLOOKUP($P266&amp;" | "&amp;BI$6,'Job Master'!$F$12:$I$102,4,0),BR266-VLOOKUP($P266&amp;" | "&amp;BI$6,'Job Master'!$F$12:$I$102,4,0)-1),""),"")</f>
        <v/>
      </c>
      <c r="BL266" s="73"/>
      <c r="BM266" s="123" t="str">
        <f t="shared" si="534"/>
        <v/>
      </c>
      <c r="BN266" s="123" t="str">
        <f t="shared" si="535"/>
        <v/>
      </c>
      <c r="BO266" s="97" t="str">
        <f t="shared" ca="1" si="536"/>
        <v/>
      </c>
      <c r="BP266" s="98" t="str">
        <f>IF(BR266&lt;&gt;"",VLOOKUP($P266&amp;" | "&amp;BP$6,'Job Master'!$F$12:$J$102,5,0),"")</f>
        <v/>
      </c>
      <c r="BQ266" s="19" t="str">
        <f>IF(BR266&lt;&gt;"",VLOOKUP($P266&amp;" | "&amp;BP$6,'Job Master'!$F$12:$J$102,3,0),"")</f>
        <v/>
      </c>
      <c r="BR266" s="19" t="str">
        <f>IFERROR(IF(AND(BY266&lt;&gt;"",VLOOKUP($P266&amp;" | "&amp;BP$6,'Job Master'!$F$12:$I$102,4,0)&lt;&gt;""),IF(WEEKDAY(BY266-VLOOKUP($P266&amp;" | "&amp;BP$6,'Job Master'!$F$12:$I$102,4,0))&lt;&gt;7,BY266-VLOOKUP($P266&amp;" | "&amp;BP$6,'Job Master'!$F$12:$I$102,4,0),BY266-VLOOKUP($P266&amp;" | "&amp;BP$6,'Job Master'!$F$12:$I$102,4,0)-1),""),"")</f>
        <v/>
      </c>
      <c r="BS266" s="73"/>
      <c r="BT266" s="123" t="str">
        <f t="shared" si="537"/>
        <v/>
      </c>
      <c r="BU266" s="123" t="str">
        <f t="shared" si="538"/>
        <v/>
      </c>
      <c r="BV266" s="97" t="str">
        <f t="shared" ca="1" si="539"/>
        <v/>
      </c>
      <c r="BW266" s="98" t="str">
        <f>IF(BY266&lt;&gt;"",VLOOKUP($P266&amp;" | "&amp;BW$6,'Job Master'!$F$12:$J$102,5,0),"")</f>
        <v/>
      </c>
      <c r="BX266" s="19" t="str">
        <f>IF(BY266&lt;&gt;"",VLOOKUP($P266&amp;" | "&amp;BW$6,'Job Master'!$F$12:$J$102,3,0),"")</f>
        <v/>
      </c>
      <c r="BY266" s="19" t="str">
        <f>IFERROR(IF(AND(CF266&lt;&gt;"",VLOOKUP($P266&amp;" | "&amp;BW$6,'Job Master'!$F$12:$I$102,4,0)&lt;&gt;""),IF(WEEKDAY(CF266-VLOOKUP($P266&amp;" | "&amp;BW$6,'Job Master'!$F$12:$I$102,4,0))&lt;&gt;7,CF266-VLOOKUP($P266&amp;" | "&amp;BW$6,'Job Master'!$F$12:$I$102,4,0),CF266-VLOOKUP($P266&amp;" | "&amp;BW$6,'Job Master'!$F$12:$I$102,4,0)-1),""),"")</f>
        <v/>
      </c>
      <c r="BZ266" s="73"/>
      <c r="CA266" s="123" t="str">
        <f t="shared" si="540"/>
        <v/>
      </c>
      <c r="CB266" s="123" t="str">
        <f t="shared" si="541"/>
        <v/>
      </c>
      <c r="CC266" s="97" t="str">
        <f t="shared" ca="1" si="542"/>
        <v/>
      </c>
      <c r="CD266" s="98" t="str">
        <f>IF(CF266&lt;&gt;"",VLOOKUP($P266&amp;" | "&amp;CD$6,'Job Master'!$F$12:$J$102,5,0),"")</f>
        <v/>
      </c>
      <c r="CE266" s="19" t="str">
        <f>IF(CF266&lt;&gt;"",VLOOKUP($P266&amp;" | "&amp;CD$6,'Job Master'!$F$12:$J$102,3,0),"")</f>
        <v/>
      </c>
      <c r="CF266" s="19" t="str">
        <f>IFERROR(IF(AND(CM266&lt;&gt;"",VLOOKUP($P266&amp;" | "&amp;CD$6,'Job Master'!$F$12:$I$102,4,0)&lt;&gt;""),IF(WEEKDAY(CM266-VLOOKUP($P266&amp;" | "&amp;CD$6,'Job Master'!$F$12:$I$102,4,0))&lt;&gt;7,CM266-VLOOKUP($P266&amp;" | "&amp;CD$6,'Job Master'!$F$12:$I$102,4,0),CM266-VLOOKUP($P266&amp;" | "&amp;CD$6,'Job Master'!$F$12:$I$102,4,0)-1),""),"")</f>
        <v/>
      </c>
      <c r="CG266" s="73"/>
      <c r="CH266" s="123" t="str">
        <f t="shared" si="543"/>
        <v/>
      </c>
      <c r="CI266" s="123" t="str">
        <f t="shared" si="544"/>
        <v/>
      </c>
      <c r="CJ266" s="97" t="str">
        <f t="shared" ca="1" si="545"/>
        <v/>
      </c>
      <c r="CK266" s="98" t="str">
        <f>IF(CM266&lt;&gt;"",VLOOKUP($P266&amp;" | "&amp;CK$6,'Job Master'!$F$12:$J$102,5,0),"")</f>
        <v/>
      </c>
      <c r="CL266" s="19" t="str">
        <f>IF(CM266&lt;&gt;"",VLOOKUP($P266&amp;" | "&amp;CK$6,'Job Master'!$F$12:$J$102,3,0),"")</f>
        <v/>
      </c>
      <c r="CM266" s="19" t="str">
        <f>IFERROR(IF(AND(CT266&lt;&gt;"",VLOOKUP($P266&amp;" | "&amp;CK$6,'Job Master'!$F$12:$I$102,4,0)&lt;&gt;""),IF(WEEKDAY(CT266-VLOOKUP($P266&amp;" | "&amp;CK$6,'Job Master'!$F$12:$I$102,4,0))&lt;&gt;7,CT266-VLOOKUP($P266&amp;" | "&amp;CK$6,'Job Master'!$F$12:$I$102,4,0),CT266-VLOOKUP($P266&amp;" | "&amp;CK$6,'Job Master'!$F$12:$I$102,4,0)-1),""),"")</f>
        <v/>
      </c>
      <c r="CN266" s="73"/>
      <c r="CO266" s="123" t="str">
        <f t="shared" si="546"/>
        <v/>
      </c>
      <c r="CP266" s="123" t="str">
        <f t="shared" si="547"/>
        <v/>
      </c>
      <c r="CQ266" s="97" t="str">
        <f t="shared" ca="1" si="548"/>
        <v/>
      </c>
      <c r="CR266" s="98" t="str">
        <f>IF(CT266&lt;&gt;"",VLOOKUP($P266&amp;" | "&amp;CR$6,'Job Master'!$F$12:$J$102,5,0),"")</f>
        <v/>
      </c>
      <c r="CS266" s="19" t="str">
        <f>IF(CT266&lt;&gt;"",VLOOKUP($P266&amp;" | "&amp;CR$6,'Job Master'!$F$12:$J$102,3,0),"")</f>
        <v/>
      </c>
      <c r="CT266" s="19" t="str">
        <f>IFERROR(IF(AND(DA266&lt;&gt;"",VLOOKUP($P266&amp;" | "&amp;CR$6,'Job Master'!$F$12:$I$102,4,0)&lt;&gt;""),IF(WEEKDAY(DA266-VLOOKUP($P266&amp;" | "&amp;CR$6,'Job Master'!$F$12:$I$102,4,0))&lt;&gt;7,DA266-VLOOKUP($P266&amp;" | "&amp;CR$6,'Job Master'!$F$12:$I$102,4,0),DA266-VLOOKUP($P266&amp;" | "&amp;CR$6,'Job Master'!$F$12:$I$102,4,0)-1),""),"")</f>
        <v/>
      </c>
      <c r="CU266" s="73"/>
      <c r="CV266" s="123" t="str">
        <f t="shared" si="549"/>
        <v/>
      </c>
      <c r="CW266" s="123" t="str">
        <f t="shared" si="550"/>
        <v/>
      </c>
      <c r="CX266" s="97" t="str">
        <f t="shared" ca="1" si="551"/>
        <v/>
      </c>
      <c r="CY266" s="98" t="str">
        <f>IF(DA266&lt;&gt;"",VLOOKUP($P266&amp;" | "&amp;CY$6,'Job Master'!$F$12:$J$102,5,0),"")</f>
        <v/>
      </c>
      <c r="CZ266" s="19" t="str">
        <f>IF(DA266&lt;&gt;"",VLOOKUP($P266&amp;" | "&amp;CY$6,'Job Master'!$F$12:$J$102,3,0),"")</f>
        <v/>
      </c>
      <c r="DA266" s="19" t="str">
        <f>IFERROR(IF(AND(DH266&lt;&gt;"",VLOOKUP($P266&amp;" | "&amp;CY$6,'Job Master'!$F$12:$I$102,4,0)&lt;&gt;""),IF(WEEKDAY(DH266-VLOOKUP($P266&amp;" | "&amp;CY$6,'Job Master'!$F$12:$I$102,4,0))&lt;&gt;7,DH266-VLOOKUP($P266&amp;" | "&amp;CY$6,'Job Master'!$F$12:$I$102,4,0),DH266-VLOOKUP($P266&amp;" | "&amp;CY$6,'Job Master'!$F$12:$I$102,4,0)-1),""),"")</f>
        <v/>
      </c>
      <c r="DB266" s="73"/>
      <c r="DC266" s="123" t="str">
        <f t="shared" si="552"/>
        <v/>
      </c>
      <c r="DD266" s="123" t="str">
        <f t="shared" si="553"/>
        <v/>
      </c>
      <c r="DE266" s="97" t="str">
        <f t="shared" ca="1" si="554"/>
        <v/>
      </c>
      <c r="DF266" s="98" t="str">
        <f>IF(DH266&lt;&gt;"",VLOOKUP($P266&amp;" | "&amp;DF$6,'Job Master'!$F$12:$J$102,5,0),"")</f>
        <v/>
      </c>
      <c r="DG266" s="19" t="str">
        <f>IF(DH266&lt;&gt;"",VLOOKUP($P266&amp;" | "&amp;DF$6,'Job Master'!$F$12:$J$102,3,0),"")</f>
        <v/>
      </c>
      <c r="DH266" s="19" t="str">
        <f>IFERROR(IF(AND(DO266&lt;&gt;"",VLOOKUP($P266&amp;" | "&amp;DF$6,'Job Master'!$F$12:$I$102,4,0)&lt;&gt;""),IF(WEEKDAY(DO266-VLOOKUP($P266&amp;" | "&amp;DF$6,'Job Master'!$F$12:$I$102,4,0))&lt;&gt;7,DO266-VLOOKUP($P266&amp;" | "&amp;DF$6,'Job Master'!$F$12:$I$102,4,0),DO266-VLOOKUP($P266&amp;" | "&amp;DF$6,'Job Master'!$F$12:$I$102,4,0)-1),""),"")</f>
        <v/>
      </c>
      <c r="DI266" s="73"/>
      <c r="DJ266" s="123" t="str">
        <f t="shared" si="555"/>
        <v/>
      </c>
      <c r="DK266" s="123" t="str">
        <f t="shared" si="556"/>
        <v/>
      </c>
      <c r="DL266" s="97" t="str">
        <f t="shared" ca="1" si="557"/>
        <v/>
      </c>
      <c r="DM266" s="98" t="str">
        <f>IF(DO266&lt;&gt;"",VLOOKUP($P266&amp;" | "&amp;DM$6,'Job Master'!$F$12:$J$102,5,0),"")</f>
        <v/>
      </c>
      <c r="DN266" s="19" t="str">
        <f>IF(DO266&lt;&gt;"",VLOOKUP($P266&amp;" | "&amp;DM$6,'Job Master'!$F$12:$J$102,3,0),"")</f>
        <v/>
      </c>
      <c r="DO266" s="19" t="str">
        <f>IFERROR(IF(AND(DT266&lt;&gt;"",VLOOKUP($P266&amp;" | "&amp;DM$6,'Job Master'!$F$12:$I$102,4,0)&lt;&gt;""),IF(WEEKDAY(DT266-VLOOKUP($P266&amp;" | "&amp;DM$6,'Job Master'!$F$12:$I$102,4,0))&lt;&gt;7,DT266-VLOOKUP($P266&amp;" | "&amp;DM$6,'Job Master'!$F$12:$I$102,4,0),DT266-VLOOKUP($P266&amp;" | "&amp;DM$6,'Job Master'!$F$12:$I$102,4,0)-1),""),"")</f>
        <v/>
      </c>
      <c r="DP266" s="73"/>
      <c r="DQ266" s="123" t="str">
        <f t="shared" si="558"/>
        <v/>
      </c>
      <c r="DR266" s="123" t="str">
        <f t="shared" si="559"/>
        <v/>
      </c>
      <c r="DS266" s="97" t="str">
        <f t="shared" ca="1" si="560"/>
        <v/>
      </c>
      <c r="DT266" s="70" t="str">
        <f t="shared" si="561"/>
        <v/>
      </c>
      <c r="DU266" s="90"/>
      <c r="DV266" s="123" t="str">
        <f t="shared" si="562"/>
        <v/>
      </c>
      <c r="DW266" s="123" t="str">
        <f t="shared" si="563"/>
        <v/>
      </c>
      <c r="DX266" s="132" t="str">
        <f t="shared" ref="DX266" ca="1" si="566">IF(DT266&lt;&gt;"",IF(WEEKNUM(DT266)=WEEKNUM(TODAY()),"This Week",IF(WEEKNUM(DT266)=WEEKNUM(TODAY())+1,"Next Week",IF(WEEKNUM(DT266)=WEEKNUM(TODAY())-1,"Previous Week",""))),"")</f>
        <v/>
      </c>
      <c r="DY266" s="134" t="str">
        <f t="shared" si="565"/>
        <v/>
      </c>
      <c r="DZ266" s="95"/>
      <c r="EB266" s="8" t="str">
        <f t="shared" si="445"/>
        <v/>
      </c>
      <c r="EC266" s="8" t="str">
        <f>IF(O266&lt;&gt;"",VLOOKUP(O266,'Job Master'!$N$12:$O$18,2,0),"")</f>
        <v/>
      </c>
      <c r="ED266" s="8">
        <f t="shared" si="446"/>
        <v>19.5</v>
      </c>
      <c r="EE266" s="8">
        <f t="shared" si="447"/>
        <v>6</v>
      </c>
      <c r="EF266" s="8">
        <f t="shared" si="448"/>
        <v>-1516.5</v>
      </c>
      <c r="EG266" s="8" t="str">
        <f t="shared" si="449"/>
        <v/>
      </c>
      <c r="EH266" s="8" t="str">
        <f t="shared" si="450"/>
        <v/>
      </c>
    </row>
    <row r="267" spans="2:138" x14ac:dyDescent="0.3">
      <c r="B267" s="112"/>
      <c r="C267" s="27"/>
      <c r="D267" s="7" t="str">
        <f t="shared" si="513"/>
        <v/>
      </c>
      <c r="E267" s="25"/>
      <c r="F267" s="7" t="str">
        <f t="shared" si="513"/>
        <v/>
      </c>
      <c r="G267" s="25"/>
      <c r="H267" s="7" t="str">
        <f t="shared" si="513"/>
        <v/>
      </c>
      <c r="I267" s="25"/>
      <c r="J267" s="7" t="str">
        <f t="shared" si="513"/>
        <v/>
      </c>
      <c r="K267" s="25"/>
      <c r="L267" s="7" t="str">
        <f t="shared" si="514"/>
        <v/>
      </c>
      <c r="M267" s="25"/>
      <c r="N267" s="7" t="str">
        <f t="shared" si="515"/>
        <v/>
      </c>
      <c r="O267" s="81"/>
      <c r="P267" s="81" t="str">
        <f t="shared" si="516"/>
        <v/>
      </c>
      <c r="Q267" s="81"/>
      <c r="R267" s="7" t="str">
        <f t="shared" si="517"/>
        <v/>
      </c>
      <c r="S267" s="25"/>
      <c r="T267" s="7" t="str">
        <f t="shared" si="518"/>
        <v/>
      </c>
      <c r="U267" s="25"/>
      <c r="V267" s="7" t="str">
        <f t="shared" si="519"/>
        <v/>
      </c>
      <c r="W267" s="25"/>
      <c r="X267" s="7" t="str">
        <f t="shared" si="520"/>
        <v/>
      </c>
      <c r="Y267" s="18" t="str">
        <f t="shared" si="521"/>
        <v/>
      </c>
      <c r="Z267" s="7" t="str">
        <f t="shared" si="522"/>
        <v/>
      </c>
      <c r="AA267" s="18" t="str">
        <f t="shared" si="523"/>
        <v/>
      </c>
      <c r="AB267" s="19" t="str">
        <f t="shared" si="524"/>
        <v/>
      </c>
      <c r="AC267" s="26"/>
      <c r="AD267" s="26"/>
      <c r="AE267" s="25"/>
      <c r="AF267" s="26"/>
      <c r="AG267" s="25"/>
      <c r="AH267" s="25"/>
      <c r="AI267" s="18" t="str">
        <f t="shared" si="461"/>
        <v/>
      </c>
      <c r="AJ267" s="25"/>
      <c r="AK267" s="18" t="str">
        <f t="shared" si="462"/>
        <v/>
      </c>
      <c r="AL267" s="79"/>
      <c r="AM267" s="126" t="str">
        <f t="shared" si="463"/>
        <v/>
      </c>
      <c r="AN267" s="128" t="str">
        <f>IF(AP267&lt;&gt;"",VLOOKUP($P267&amp;" | "&amp;AN$6,'Job Master'!$F$12:$J$102,5,0),"")</f>
        <v/>
      </c>
      <c r="AO267" s="19" t="str">
        <f>IF(AP267&lt;&gt;"",VLOOKUP($P267&amp;" | "&amp;AN$6,'Job Master'!$F$12:$J$102,3,0),"")</f>
        <v/>
      </c>
      <c r="AP267" s="19" t="str">
        <f>IFERROR(IF(AND(AW267&lt;&gt;"",VLOOKUP($P267&amp;" | "&amp;AN$6,'Job Master'!$F$12:$I$102,4,0)&lt;&gt;""),IF(WEEKDAY(AW267-VLOOKUP($P267&amp;" | "&amp;AN$6,'Job Master'!$F$12:$I$102,4,0))&lt;&gt;7,AW267-VLOOKUP($P267&amp;" | "&amp;AN$6,'Job Master'!$F$12:$I$102,4,0),AW267-VLOOKUP($P267&amp;" | "&amp;AN$6,'Job Master'!$F$12:$I$102,4,0)-1),""),"")</f>
        <v/>
      </c>
      <c r="AQ267" s="73"/>
      <c r="AR267" s="123" t="str">
        <f t="shared" si="525"/>
        <v/>
      </c>
      <c r="AS267" s="123" t="str">
        <f t="shared" si="526"/>
        <v/>
      </c>
      <c r="AT267" s="97" t="str">
        <f t="shared" ca="1" si="527"/>
        <v/>
      </c>
      <c r="AU267" s="98" t="str">
        <f>IF(AW267&lt;&gt;"",VLOOKUP($P267&amp;" | "&amp;AU$6,'Job Master'!$F$12:$J$102,5,0),"")</f>
        <v/>
      </c>
      <c r="AV267" s="19" t="str">
        <f>IF(AW267&lt;&gt;"",VLOOKUP($P267&amp;" | "&amp;AU$6,'Job Master'!$F$12:$J$102,3,0),"")</f>
        <v/>
      </c>
      <c r="AW267" s="19" t="str">
        <f>IFERROR(IF(AND(BD267&lt;&gt;"",VLOOKUP($P267&amp;" | "&amp;AU$6,'Job Master'!$F$12:$I$102,4,0)&lt;&gt;""),IF(WEEKDAY(BD267-VLOOKUP($P267&amp;" | "&amp;AU$6,'Job Master'!$F$12:$I$102,4,0))&lt;&gt;7,BD267-VLOOKUP($P267&amp;" | "&amp;AU$6,'Job Master'!$F$12:$I$102,4,0),BD267-VLOOKUP($P267&amp;" | "&amp;AU$6,'Job Master'!$F$12:$I$102,4,0)-1),""),"")</f>
        <v/>
      </c>
      <c r="AX267" s="73"/>
      <c r="AY267" s="123" t="str">
        <f t="shared" si="528"/>
        <v/>
      </c>
      <c r="AZ267" s="123" t="str">
        <f t="shared" si="529"/>
        <v/>
      </c>
      <c r="BA267" s="97" t="str">
        <f t="shared" ca="1" si="530"/>
        <v/>
      </c>
      <c r="BB267" s="98" t="str">
        <f>IF(BD267&lt;&gt;"",VLOOKUP($P267&amp;" | "&amp;BB$6,'Job Master'!$F$12:$J$102,5,0),"")</f>
        <v/>
      </c>
      <c r="BC267" s="19" t="str">
        <f>IF(BD267&lt;&gt;"",VLOOKUP($P267&amp;" | "&amp;BB$6,'Job Master'!$F$12:$J$102,3,0),"")</f>
        <v/>
      </c>
      <c r="BD267" s="19" t="str">
        <f>IFERROR(IF(AND(BK267&lt;&gt;"",VLOOKUP($P267&amp;" | "&amp;BB$6,'Job Master'!$F$12:$I$102,4,0)&lt;&gt;""),IF(WEEKDAY(BK267-VLOOKUP($P267&amp;" | "&amp;BB$6,'Job Master'!$F$12:$I$102,4,0))&lt;&gt;7,BK267-VLOOKUP($P267&amp;" | "&amp;BB$6,'Job Master'!$F$12:$I$102,4,0),BK267-VLOOKUP($P267&amp;" | "&amp;BB$6,'Job Master'!$F$12:$I$102,4,0)-1),""),"")</f>
        <v/>
      </c>
      <c r="BE267" s="73"/>
      <c r="BF267" s="123" t="str">
        <f t="shared" si="531"/>
        <v/>
      </c>
      <c r="BG267" s="123" t="str">
        <f t="shared" si="532"/>
        <v/>
      </c>
      <c r="BH267" s="97" t="str">
        <f t="shared" ca="1" si="533"/>
        <v/>
      </c>
      <c r="BI267" s="98" t="str">
        <f>IF(BK267&lt;&gt;"",VLOOKUP($P267&amp;" | "&amp;BI$6,'Job Master'!$F$12:$J$102,5,0),"")</f>
        <v/>
      </c>
      <c r="BJ267" s="19" t="str">
        <f>IF(BK267&lt;&gt;"",VLOOKUP($P267&amp;" | "&amp;BI$6,'Job Master'!$F$12:$J$102,3,0),"")</f>
        <v/>
      </c>
      <c r="BK267" s="19" t="str">
        <f>IFERROR(IF(AND(BR267&lt;&gt;"",VLOOKUP($P267&amp;" | "&amp;BI$6,'Job Master'!$F$12:$I$102,4,0)&lt;&gt;""),IF(WEEKDAY(BR267-VLOOKUP($P267&amp;" | "&amp;BI$6,'Job Master'!$F$12:$I$102,4,0))&lt;&gt;7,BR267-VLOOKUP($P267&amp;" | "&amp;BI$6,'Job Master'!$F$12:$I$102,4,0),BR267-VLOOKUP($P267&amp;" | "&amp;BI$6,'Job Master'!$F$12:$I$102,4,0)-1),""),"")</f>
        <v/>
      </c>
      <c r="BL267" s="73"/>
      <c r="BM267" s="123" t="str">
        <f t="shared" si="534"/>
        <v/>
      </c>
      <c r="BN267" s="123" t="str">
        <f t="shared" si="535"/>
        <v/>
      </c>
      <c r="BO267" s="97" t="str">
        <f t="shared" ca="1" si="536"/>
        <v/>
      </c>
      <c r="BP267" s="98" t="str">
        <f>IF(BR267&lt;&gt;"",VLOOKUP($P267&amp;" | "&amp;BP$6,'Job Master'!$F$12:$J$102,5,0),"")</f>
        <v/>
      </c>
      <c r="BQ267" s="19" t="str">
        <f>IF(BR267&lt;&gt;"",VLOOKUP($P267&amp;" | "&amp;BP$6,'Job Master'!$F$12:$J$102,3,0),"")</f>
        <v/>
      </c>
      <c r="BR267" s="19" t="str">
        <f>IFERROR(IF(AND(BY267&lt;&gt;"",VLOOKUP($P267&amp;" | "&amp;BP$6,'Job Master'!$F$12:$I$102,4,0)&lt;&gt;""),IF(WEEKDAY(BY267-VLOOKUP($P267&amp;" | "&amp;BP$6,'Job Master'!$F$12:$I$102,4,0))&lt;&gt;7,BY267-VLOOKUP($P267&amp;" | "&amp;BP$6,'Job Master'!$F$12:$I$102,4,0),BY267-VLOOKUP($P267&amp;" | "&amp;BP$6,'Job Master'!$F$12:$I$102,4,0)-1),""),"")</f>
        <v/>
      </c>
      <c r="BS267" s="73"/>
      <c r="BT267" s="123" t="str">
        <f t="shared" si="537"/>
        <v/>
      </c>
      <c r="BU267" s="123" t="str">
        <f t="shared" si="538"/>
        <v/>
      </c>
      <c r="BV267" s="97" t="str">
        <f t="shared" ca="1" si="539"/>
        <v/>
      </c>
      <c r="BW267" s="98" t="str">
        <f>IF(BY267&lt;&gt;"",VLOOKUP($P267&amp;" | "&amp;BW$6,'Job Master'!$F$12:$J$102,5,0),"")</f>
        <v/>
      </c>
      <c r="BX267" s="19" t="str">
        <f>IF(BY267&lt;&gt;"",VLOOKUP($P267&amp;" | "&amp;BW$6,'Job Master'!$F$12:$J$102,3,0),"")</f>
        <v/>
      </c>
      <c r="BY267" s="19" t="str">
        <f>IFERROR(IF(AND(CF267&lt;&gt;"",VLOOKUP($P267&amp;" | "&amp;BW$6,'Job Master'!$F$12:$I$102,4,0)&lt;&gt;""),IF(WEEKDAY(CF267-VLOOKUP($P267&amp;" | "&amp;BW$6,'Job Master'!$F$12:$I$102,4,0))&lt;&gt;7,CF267-VLOOKUP($P267&amp;" | "&amp;BW$6,'Job Master'!$F$12:$I$102,4,0),CF267-VLOOKUP($P267&amp;" | "&amp;BW$6,'Job Master'!$F$12:$I$102,4,0)-1),""),"")</f>
        <v/>
      </c>
      <c r="BZ267" s="73"/>
      <c r="CA267" s="123" t="str">
        <f t="shared" si="540"/>
        <v/>
      </c>
      <c r="CB267" s="123" t="str">
        <f t="shared" si="541"/>
        <v/>
      </c>
      <c r="CC267" s="97" t="str">
        <f t="shared" ca="1" si="542"/>
        <v/>
      </c>
      <c r="CD267" s="98" t="str">
        <f>IF(CF267&lt;&gt;"",VLOOKUP($P267&amp;" | "&amp;CD$6,'Job Master'!$F$12:$J$102,5,0),"")</f>
        <v/>
      </c>
      <c r="CE267" s="19" t="str">
        <f>IF(CF267&lt;&gt;"",VLOOKUP($P267&amp;" | "&amp;CD$6,'Job Master'!$F$12:$J$102,3,0),"")</f>
        <v/>
      </c>
      <c r="CF267" s="19" t="str">
        <f>IFERROR(IF(AND(CM267&lt;&gt;"",VLOOKUP($P267&amp;" | "&amp;CD$6,'Job Master'!$F$12:$I$102,4,0)&lt;&gt;""),IF(WEEKDAY(CM267-VLOOKUP($P267&amp;" | "&amp;CD$6,'Job Master'!$F$12:$I$102,4,0))&lt;&gt;7,CM267-VLOOKUP($P267&amp;" | "&amp;CD$6,'Job Master'!$F$12:$I$102,4,0),CM267-VLOOKUP($P267&amp;" | "&amp;CD$6,'Job Master'!$F$12:$I$102,4,0)-1),""),"")</f>
        <v/>
      </c>
      <c r="CG267" s="73"/>
      <c r="CH267" s="123" t="str">
        <f t="shared" si="543"/>
        <v/>
      </c>
      <c r="CI267" s="123" t="str">
        <f t="shared" si="544"/>
        <v/>
      </c>
      <c r="CJ267" s="97" t="str">
        <f t="shared" ca="1" si="545"/>
        <v/>
      </c>
      <c r="CK267" s="98" t="str">
        <f>IF(CM267&lt;&gt;"",VLOOKUP($P267&amp;" | "&amp;CK$6,'Job Master'!$F$12:$J$102,5,0),"")</f>
        <v/>
      </c>
      <c r="CL267" s="19" t="str">
        <f>IF(CM267&lt;&gt;"",VLOOKUP($P267&amp;" | "&amp;CK$6,'Job Master'!$F$12:$J$102,3,0),"")</f>
        <v/>
      </c>
      <c r="CM267" s="19" t="str">
        <f>IFERROR(IF(AND(CT267&lt;&gt;"",VLOOKUP($P267&amp;" | "&amp;CK$6,'Job Master'!$F$12:$I$102,4,0)&lt;&gt;""),IF(WEEKDAY(CT267-VLOOKUP($P267&amp;" | "&amp;CK$6,'Job Master'!$F$12:$I$102,4,0))&lt;&gt;7,CT267-VLOOKUP($P267&amp;" | "&amp;CK$6,'Job Master'!$F$12:$I$102,4,0),CT267-VLOOKUP($P267&amp;" | "&amp;CK$6,'Job Master'!$F$12:$I$102,4,0)-1),""),"")</f>
        <v/>
      </c>
      <c r="CN267" s="73"/>
      <c r="CO267" s="123" t="str">
        <f t="shared" si="546"/>
        <v/>
      </c>
      <c r="CP267" s="123" t="str">
        <f t="shared" si="547"/>
        <v/>
      </c>
      <c r="CQ267" s="97" t="str">
        <f t="shared" ca="1" si="548"/>
        <v/>
      </c>
      <c r="CR267" s="98" t="str">
        <f>IF(CT267&lt;&gt;"",VLOOKUP($P267&amp;" | "&amp;CR$6,'Job Master'!$F$12:$J$102,5,0),"")</f>
        <v/>
      </c>
      <c r="CS267" s="19" t="str">
        <f>IF(CT267&lt;&gt;"",VLOOKUP($P267&amp;" | "&amp;CR$6,'Job Master'!$F$12:$J$102,3,0),"")</f>
        <v/>
      </c>
      <c r="CT267" s="19" t="str">
        <f>IFERROR(IF(AND(DA267&lt;&gt;"",VLOOKUP($P267&amp;" | "&amp;CR$6,'Job Master'!$F$12:$I$102,4,0)&lt;&gt;""),IF(WEEKDAY(DA267-VLOOKUP($P267&amp;" | "&amp;CR$6,'Job Master'!$F$12:$I$102,4,0))&lt;&gt;7,DA267-VLOOKUP($P267&amp;" | "&amp;CR$6,'Job Master'!$F$12:$I$102,4,0),DA267-VLOOKUP($P267&amp;" | "&amp;CR$6,'Job Master'!$F$12:$I$102,4,0)-1),""),"")</f>
        <v/>
      </c>
      <c r="CU267" s="73"/>
      <c r="CV267" s="123" t="str">
        <f t="shared" si="549"/>
        <v/>
      </c>
      <c r="CW267" s="123" t="str">
        <f t="shared" si="550"/>
        <v/>
      </c>
      <c r="CX267" s="97" t="str">
        <f t="shared" ca="1" si="551"/>
        <v/>
      </c>
      <c r="CY267" s="98" t="str">
        <f>IF(DA267&lt;&gt;"",VLOOKUP($P267&amp;" | "&amp;CY$6,'Job Master'!$F$12:$J$102,5,0),"")</f>
        <v/>
      </c>
      <c r="CZ267" s="19" t="str">
        <f>IF(DA267&lt;&gt;"",VLOOKUP($P267&amp;" | "&amp;CY$6,'Job Master'!$F$12:$J$102,3,0),"")</f>
        <v/>
      </c>
      <c r="DA267" s="19" t="str">
        <f>IFERROR(IF(AND(DH267&lt;&gt;"",VLOOKUP($P267&amp;" | "&amp;CY$6,'Job Master'!$F$12:$I$102,4,0)&lt;&gt;""),IF(WEEKDAY(DH267-VLOOKUP($P267&amp;" | "&amp;CY$6,'Job Master'!$F$12:$I$102,4,0))&lt;&gt;7,DH267-VLOOKUP($P267&amp;" | "&amp;CY$6,'Job Master'!$F$12:$I$102,4,0),DH267-VLOOKUP($P267&amp;" | "&amp;CY$6,'Job Master'!$F$12:$I$102,4,0)-1),""),"")</f>
        <v/>
      </c>
      <c r="DB267" s="73"/>
      <c r="DC267" s="123" t="str">
        <f t="shared" si="552"/>
        <v/>
      </c>
      <c r="DD267" s="123" t="str">
        <f t="shared" si="553"/>
        <v/>
      </c>
      <c r="DE267" s="97" t="str">
        <f t="shared" ca="1" si="554"/>
        <v/>
      </c>
      <c r="DF267" s="98" t="str">
        <f>IF(DH267&lt;&gt;"",VLOOKUP($P267&amp;" | "&amp;DF$6,'Job Master'!$F$12:$J$102,5,0),"")</f>
        <v/>
      </c>
      <c r="DG267" s="19" t="str">
        <f>IF(DH267&lt;&gt;"",VLOOKUP($P267&amp;" | "&amp;DF$6,'Job Master'!$F$12:$J$102,3,0),"")</f>
        <v/>
      </c>
      <c r="DH267" s="19" t="str">
        <f>IFERROR(IF(AND(DO267&lt;&gt;"",VLOOKUP($P267&amp;" | "&amp;DF$6,'Job Master'!$F$12:$I$102,4,0)&lt;&gt;""),IF(WEEKDAY(DO267-VLOOKUP($P267&amp;" | "&amp;DF$6,'Job Master'!$F$12:$I$102,4,0))&lt;&gt;7,DO267-VLOOKUP($P267&amp;" | "&amp;DF$6,'Job Master'!$F$12:$I$102,4,0),DO267-VLOOKUP($P267&amp;" | "&amp;DF$6,'Job Master'!$F$12:$I$102,4,0)-1),""),"")</f>
        <v/>
      </c>
      <c r="DI267" s="73"/>
      <c r="DJ267" s="123" t="str">
        <f t="shared" si="555"/>
        <v/>
      </c>
      <c r="DK267" s="123" t="str">
        <f t="shared" si="556"/>
        <v/>
      </c>
      <c r="DL267" s="97" t="str">
        <f t="shared" ca="1" si="557"/>
        <v/>
      </c>
      <c r="DM267" s="98" t="str">
        <f>IF(DO267&lt;&gt;"",VLOOKUP($P267&amp;" | "&amp;DM$6,'Job Master'!$F$12:$J$102,5,0),"")</f>
        <v/>
      </c>
      <c r="DN267" s="19" t="str">
        <f>IF(DO267&lt;&gt;"",VLOOKUP($P267&amp;" | "&amp;DM$6,'Job Master'!$F$12:$J$102,3,0),"")</f>
        <v/>
      </c>
      <c r="DO267" s="19" t="str">
        <f>IFERROR(IF(AND(DT267&lt;&gt;"",VLOOKUP($P267&amp;" | "&amp;DM$6,'Job Master'!$F$12:$I$102,4,0)&lt;&gt;""),IF(WEEKDAY(DT267-VLOOKUP($P267&amp;" | "&amp;DM$6,'Job Master'!$F$12:$I$102,4,0))&lt;&gt;7,DT267-VLOOKUP($P267&amp;" | "&amp;DM$6,'Job Master'!$F$12:$I$102,4,0),DT267-VLOOKUP($P267&amp;" | "&amp;DM$6,'Job Master'!$F$12:$I$102,4,0)-1),""),"")</f>
        <v/>
      </c>
      <c r="DP267" s="73"/>
      <c r="DQ267" s="123" t="str">
        <f t="shared" si="558"/>
        <v/>
      </c>
      <c r="DR267" s="123" t="str">
        <f t="shared" si="559"/>
        <v/>
      </c>
      <c r="DS267" s="97" t="str">
        <f t="shared" ca="1" si="560"/>
        <v/>
      </c>
      <c r="DT267" s="70" t="str">
        <f t="shared" si="561"/>
        <v/>
      </c>
      <c r="DU267" s="90"/>
      <c r="DV267" s="123" t="str">
        <f t="shared" si="562"/>
        <v/>
      </c>
      <c r="DW267" s="123" t="str">
        <f t="shared" si="563"/>
        <v/>
      </c>
      <c r="DX267" s="132" t="str">
        <f t="shared" ref="DX267" ca="1" si="567">IF(DT267&lt;&gt;"",IF(WEEKNUM(DT267)=WEEKNUM(TODAY()),"This Week",IF(WEEKNUM(DT267)=WEEKNUM(TODAY())+1,"Next Week",IF(WEEKNUM(DT267)=WEEKNUM(TODAY())-1,"Previous Week",""))),"")</f>
        <v/>
      </c>
      <c r="DY267" s="134" t="str">
        <f t="shared" si="565"/>
        <v/>
      </c>
      <c r="DZ267" s="95"/>
      <c r="EB267" s="8" t="str">
        <f t="shared" si="445"/>
        <v/>
      </c>
      <c r="EC267" s="8" t="str">
        <f>IF(O267&lt;&gt;"",VLOOKUP(O267,'Job Master'!$N$12:$O$18,2,0),"")</f>
        <v/>
      </c>
      <c r="ED267" s="8">
        <f t="shared" si="446"/>
        <v>19.5</v>
      </c>
      <c r="EE267" s="8">
        <f t="shared" si="447"/>
        <v>6</v>
      </c>
      <c r="EF267" s="8">
        <f t="shared" si="448"/>
        <v>-1522.5</v>
      </c>
      <c r="EG267" s="8" t="str">
        <f t="shared" si="449"/>
        <v/>
      </c>
      <c r="EH267" s="8" t="str">
        <f t="shared" si="450"/>
        <v/>
      </c>
    </row>
    <row r="268" spans="2:138" x14ac:dyDescent="0.3">
      <c r="B268" s="112"/>
      <c r="C268" s="27"/>
      <c r="D268" s="7" t="str">
        <f t="shared" si="513"/>
        <v/>
      </c>
      <c r="E268" s="25"/>
      <c r="F268" s="7" t="str">
        <f t="shared" si="513"/>
        <v/>
      </c>
      <c r="G268" s="25"/>
      <c r="H268" s="7" t="str">
        <f t="shared" si="513"/>
        <v/>
      </c>
      <c r="I268" s="25"/>
      <c r="J268" s="7" t="str">
        <f t="shared" si="513"/>
        <v/>
      </c>
      <c r="K268" s="25"/>
      <c r="L268" s="7" t="str">
        <f t="shared" si="514"/>
        <v/>
      </c>
      <c r="M268" s="25"/>
      <c r="N268" s="7" t="str">
        <f t="shared" si="515"/>
        <v/>
      </c>
      <c r="O268" s="81"/>
      <c r="P268" s="81" t="str">
        <f t="shared" si="516"/>
        <v/>
      </c>
      <c r="Q268" s="81"/>
      <c r="R268" s="7" t="str">
        <f t="shared" si="517"/>
        <v/>
      </c>
      <c r="S268" s="25"/>
      <c r="T268" s="7" t="str">
        <f t="shared" si="518"/>
        <v/>
      </c>
      <c r="U268" s="25"/>
      <c r="V268" s="7" t="str">
        <f t="shared" si="519"/>
        <v/>
      </c>
      <c r="W268" s="25"/>
      <c r="X268" s="7" t="str">
        <f t="shared" si="520"/>
        <v/>
      </c>
      <c r="Y268" s="18" t="str">
        <f t="shared" si="521"/>
        <v/>
      </c>
      <c r="Z268" s="7" t="str">
        <f t="shared" si="522"/>
        <v/>
      </c>
      <c r="AA268" s="18" t="str">
        <f t="shared" si="523"/>
        <v/>
      </c>
      <c r="AB268" s="19" t="str">
        <f t="shared" si="524"/>
        <v/>
      </c>
      <c r="AC268" s="26"/>
      <c r="AD268" s="26"/>
      <c r="AE268" s="25"/>
      <c r="AF268" s="26"/>
      <c r="AG268" s="25"/>
      <c r="AH268" s="25"/>
      <c r="AI268" s="18" t="str">
        <f t="shared" si="461"/>
        <v/>
      </c>
      <c r="AJ268" s="25"/>
      <c r="AK268" s="18" t="str">
        <f t="shared" si="462"/>
        <v/>
      </c>
      <c r="AL268" s="79"/>
      <c r="AM268" s="126" t="str">
        <f t="shared" si="463"/>
        <v/>
      </c>
      <c r="AN268" s="128" t="str">
        <f>IF(AP268&lt;&gt;"",VLOOKUP($P268&amp;" | "&amp;AN$6,'Job Master'!$F$12:$J$102,5,0),"")</f>
        <v/>
      </c>
      <c r="AO268" s="19" t="str">
        <f>IF(AP268&lt;&gt;"",VLOOKUP($P268&amp;" | "&amp;AN$6,'Job Master'!$F$12:$J$102,3,0),"")</f>
        <v/>
      </c>
      <c r="AP268" s="19" t="str">
        <f>IFERROR(IF(AND(AW268&lt;&gt;"",VLOOKUP($P268&amp;" | "&amp;AN$6,'Job Master'!$F$12:$I$102,4,0)&lt;&gt;""),IF(WEEKDAY(AW268-VLOOKUP($P268&amp;" | "&amp;AN$6,'Job Master'!$F$12:$I$102,4,0))&lt;&gt;7,AW268-VLOOKUP($P268&amp;" | "&amp;AN$6,'Job Master'!$F$12:$I$102,4,0),AW268-VLOOKUP($P268&amp;" | "&amp;AN$6,'Job Master'!$F$12:$I$102,4,0)-1),""),"")</f>
        <v/>
      </c>
      <c r="AQ268" s="73"/>
      <c r="AR268" s="123" t="str">
        <f t="shared" si="525"/>
        <v/>
      </c>
      <c r="AS268" s="123" t="str">
        <f t="shared" si="526"/>
        <v/>
      </c>
      <c r="AT268" s="97" t="str">
        <f t="shared" ca="1" si="527"/>
        <v/>
      </c>
      <c r="AU268" s="98" t="str">
        <f>IF(AW268&lt;&gt;"",VLOOKUP($P268&amp;" | "&amp;AU$6,'Job Master'!$F$12:$J$102,5,0),"")</f>
        <v/>
      </c>
      <c r="AV268" s="19" t="str">
        <f>IF(AW268&lt;&gt;"",VLOOKUP($P268&amp;" | "&amp;AU$6,'Job Master'!$F$12:$J$102,3,0),"")</f>
        <v/>
      </c>
      <c r="AW268" s="19" t="str">
        <f>IFERROR(IF(AND(BD268&lt;&gt;"",VLOOKUP($P268&amp;" | "&amp;AU$6,'Job Master'!$F$12:$I$102,4,0)&lt;&gt;""),IF(WEEKDAY(BD268-VLOOKUP($P268&amp;" | "&amp;AU$6,'Job Master'!$F$12:$I$102,4,0))&lt;&gt;7,BD268-VLOOKUP($P268&amp;" | "&amp;AU$6,'Job Master'!$F$12:$I$102,4,0),BD268-VLOOKUP($P268&amp;" | "&amp;AU$6,'Job Master'!$F$12:$I$102,4,0)-1),""),"")</f>
        <v/>
      </c>
      <c r="AX268" s="73"/>
      <c r="AY268" s="123" t="str">
        <f t="shared" si="528"/>
        <v/>
      </c>
      <c r="AZ268" s="123" t="str">
        <f t="shared" si="529"/>
        <v/>
      </c>
      <c r="BA268" s="97" t="str">
        <f t="shared" ca="1" si="530"/>
        <v/>
      </c>
      <c r="BB268" s="98" t="str">
        <f>IF(BD268&lt;&gt;"",VLOOKUP($P268&amp;" | "&amp;BB$6,'Job Master'!$F$12:$J$102,5,0),"")</f>
        <v/>
      </c>
      <c r="BC268" s="19" t="str">
        <f>IF(BD268&lt;&gt;"",VLOOKUP($P268&amp;" | "&amp;BB$6,'Job Master'!$F$12:$J$102,3,0),"")</f>
        <v/>
      </c>
      <c r="BD268" s="19" t="str">
        <f>IFERROR(IF(AND(BK268&lt;&gt;"",VLOOKUP($P268&amp;" | "&amp;BB$6,'Job Master'!$F$12:$I$102,4,0)&lt;&gt;""),IF(WEEKDAY(BK268-VLOOKUP($P268&amp;" | "&amp;BB$6,'Job Master'!$F$12:$I$102,4,0))&lt;&gt;7,BK268-VLOOKUP($P268&amp;" | "&amp;BB$6,'Job Master'!$F$12:$I$102,4,0),BK268-VLOOKUP($P268&amp;" | "&amp;BB$6,'Job Master'!$F$12:$I$102,4,0)-1),""),"")</f>
        <v/>
      </c>
      <c r="BE268" s="73"/>
      <c r="BF268" s="123" t="str">
        <f t="shared" si="531"/>
        <v/>
      </c>
      <c r="BG268" s="123" t="str">
        <f t="shared" si="532"/>
        <v/>
      </c>
      <c r="BH268" s="97" t="str">
        <f t="shared" ca="1" si="533"/>
        <v/>
      </c>
      <c r="BI268" s="98" t="str">
        <f>IF(BK268&lt;&gt;"",VLOOKUP($P268&amp;" | "&amp;BI$6,'Job Master'!$F$12:$J$102,5,0),"")</f>
        <v/>
      </c>
      <c r="BJ268" s="19" t="str">
        <f>IF(BK268&lt;&gt;"",VLOOKUP($P268&amp;" | "&amp;BI$6,'Job Master'!$F$12:$J$102,3,0),"")</f>
        <v/>
      </c>
      <c r="BK268" s="19" t="str">
        <f>IFERROR(IF(AND(BR268&lt;&gt;"",VLOOKUP($P268&amp;" | "&amp;BI$6,'Job Master'!$F$12:$I$102,4,0)&lt;&gt;""),IF(WEEKDAY(BR268-VLOOKUP($P268&amp;" | "&amp;BI$6,'Job Master'!$F$12:$I$102,4,0))&lt;&gt;7,BR268-VLOOKUP($P268&amp;" | "&amp;BI$6,'Job Master'!$F$12:$I$102,4,0),BR268-VLOOKUP($P268&amp;" | "&amp;BI$6,'Job Master'!$F$12:$I$102,4,0)-1),""),"")</f>
        <v/>
      </c>
      <c r="BL268" s="73"/>
      <c r="BM268" s="123" t="str">
        <f t="shared" si="534"/>
        <v/>
      </c>
      <c r="BN268" s="123" t="str">
        <f t="shared" si="535"/>
        <v/>
      </c>
      <c r="BO268" s="97" t="str">
        <f t="shared" ca="1" si="536"/>
        <v/>
      </c>
      <c r="BP268" s="98" t="str">
        <f>IF(BR268&lt;&gt;"",VLOOKUP($P268&amp;" | "&amp;BP$6,'Job Master'!$F$12:$J$102,5,0),"")</f>
        <v/>
      </c>
      <c r="BQ268" s="19" t="str">
        <f>IF(BR268&lt;&gt;"",VLOOKUP($P268&amp;" | "&amp;BP$6,'Job Master'!$F$12:$J$102,3,0),"")</f>
        <v/>
      </c>
      <c r="BR268" s="19" t="str">
        <f>IFERROR(IF(AND(BY268&lt;&gt;"",VLOOKUP($P268&amp;" | "&amp;BP$6,'Job Master'!$F$12:$I$102,4,0)&lt;&gt;""),IF(WEEKDAY(BY268-VLOOKUP($P268&amp;" | "&amp;BP$6,'Job Master'!$F$12:$I$102,4,0))&lt;&gt;7,BY268-VLOOKUP($P268&amp;" | "&amp;BP$6,'Job Master'!$F$12:$I$102,4,0),BY268-VLOOKUP($P268&amp;" | "&amp;BP$6,'Job Master'!$F$12:$I$102,4,0)-1),""),"")</f>
        <v/>
      </c>
      <c r="BS268" s="73"/>
      <c r="BT268" s="123" t="str">
        <f t="shared" si="537"/>
        <v/>
      </c>
      <c r="BU268" s="123" t="str">
        <f t="shared" si="538"/>
        <v/>
      </c>
      <c r="BV268" s="97" t="str">
        <f t="shared" ca="1" si="539"/>
        <v/>
      </c>
      <c r="BW268" s="98" t="str">
        <f>IF(BY268&lt;&gt;"",VLOOKUP($P268&amp;" | "&amp;BW$6,'Job Master'!$F$12:$J$102,5,0),"")</f>
        <v/>
      </c>
      <c r="BX268" s="19" t="str">
        <f>IF(BY268&lt;&gt;"",VLOOKUP($P268&amp;" | "&amp;BW$6,'Job Master'!$F$12:$J$102,3,0),"")</f>
        <v/>
      </c>
      <c r="BY268" s="19" t="str">
        <f>IFERROR(IF(AND(CF268&lt;&gt;"",VLOOKUP($P268&amp;" | "&amp;BW$6,'Job Master'!$F$12:$I$102,4,0)&lt;&gt;""),IF(WEEKDAY(CF268-VLOOKUP($P268&amp;" | "&amp;BW$6,'Job Master'!$F$12:$I$102,4,0))&lt;&gt;7,CF268-VLOOKUP($P268&amp;" | "&amp;BW$6,'Job Master'!$F$12:$I$102,4,0),CF268-VLOOKUP($P268&amp;" | "&amp;BW$6,'Job Master'!$F$12:$I$102,4,0)-1),""),"")</f>
        <v/>
      </c>
      <c r="BZ268" s="73"/>
      <c r="CA268" s="123" t="str">
        <f t="shared" si="540"/>
        <v/>
      </c>
      <c r="CB268" s="123" t="str">
        <f t="shared" si="541"/>
        <v/>
      </c>
      <c r="CC268" s="97" t="str">
        <f t="shared" ca="1" si="542"/>
        <v/>
      </c>
      <c r="CD268" s="98" t="str">
        <f>IF(CF268&lt;&gt;"",VLOOKUP($P268&amp;" | "&amp;CD$6,'Job Master'!$F$12:$J$102,5,0),"")</f>
        <v/>
      </c>
      <c r="CE268" s="19" t="str">
        <f>IF(CF268&lt;&gt;"",VLOOKUP($P268&amp;" | "&amp;CD$6,'Job Master'!$F$12:$J$102,3,0),"")</f>
        <v/>
      </c>
      <c r="CF268" s="19" t="str">
        <f>IFERROR(IF(AND(CM268&lt;&gt;"",VLOOKUP($P268&amp;" | "&amp;CD$6,'Job Master'!$F$12:$I$102,4,0)&lt;&gt;""),IF(WEEKDAY(CM268-VLOOKUP($P268&amp;" | "&amp;CD$6,'Job Master'!$F$12:$I$102,4,0))&lt;&gt;7,CM268-VLOOKUP($P268&amp;" | "&amp;CD$6,'Job Master'!$F$12:$I$102,4,0),CM268-VLOOKUP($P268&amp;" | "&amp;CD$6,'Job Master'!$F$12:$I$102,4,0)-1),""),"")</f>
        <v/>
      </c>
      <c r="CG268" s="73"/>
      <c r="CH268" s="123" t="str">
        <f t="shared" si="543"/>
        <v/>
      </c>
      <c r="CI268" s="123" t="str">
        <f t="shared" si="544"/>
        <v/>
      </c>
      <c r="CJ268" s="97" t="str">
        <f t="shared" ca="1" si="545"/>
        <v/>
      </c>
      <c r="CK268" s="98" t="str">
        <f>IF(CM268&lt;&gt;"",VLOOKUP($P268&amp;" | "&amp;CK$6,'Job Master'!$F$12:$J$102,5,0),"")</f>
        <v/>
      </c>
      <c r="CL268" s="19" t="str">
        <f>IF(CM268&lt;&gt;"",VLOOKUP($P268&amp;" | "&amp;CK$6,'Job Master'!$F$12:$J$102,3,0),"")</f>
        <v/>
      </c>
      <c r="CM268" s="19" t="str">
        <f>IFERROR(IF(AND(CT268&lt;&gt;"",VLOOKUP($P268&amp;" | "&amp;CK$6,'Job Master'!$F$12:$I$102,4,0)&lt;&gt;""),IF(WEEKDAY(CT268-VLOOKUP($P268&amp;" | "&amp;CK$6,'Job Master'!$F$12:$I$102,4,0))&lt;&gt;7,CT268-VLOOKUP($P268&amp;" | "&amp;CK$6,'Job Master'!$F$12:$I$102,4,0),CT268-VLOOKUP($P268&amp;" | "&amp;CK$6,'Job Master'!$F$12:$I$102,4,0)-1),""),"")</f>
        <v/>
      </c>
      <c r="CN268" s="73"/>
      <c r="CO268" s="123" t="str">
        <f t="shared" si="546"/>
        <v/>
      </c>
      <c r="CP268" s="123" t="str">
        <f t="shared" si="547"/>
        <v/>
      </c>
      <c r="CQ268" s="97" t="str">
        <f t="shared" ca="1" si="548"/>
        <v/>
      </c>
      <c r="CR268" s="98" t="str">
        <f>IF(CT268&lt;&gt;"",VLOOKUP($P268&amp;" | "&amp;CR$6,'Job Master'!$F$12:$J$102,5,0),"")</f>
        <v/>
      </c>
      <c r="CS268" s="19" t="str">
        <f>IF(CT268&lt;&gt;"",VLOOKUP($P268&amp;" | "&amp;CR$6,'Job Master'!$F$12:$J$102,3,0),"")</f>
        <v/>
      </c>
      <c r="CT268" s="19" t="str">
        <f>IFERROR(IF(AND(DA268&lt;&gt;"",VLOOKUP($P268&amp;" | "&amp;CR$6,'Job Master'!$F$12:$I$102,4,0)&lt;&gt;""),IF(WEEKDAY(DA268-VLOOKUP($P268&amp;" | "&amp;CR$6,'Job Master'!$F$12:$I$102,4,0))&lt;&gt;7,DA268-VLOOKUP($P268&amp;" | "&amp;CR$6,'Job Master'!$F$12:$I$102,4,0),DA268-VLOOKUP($P268&amp;" | "&amp;CR$6,'Job Master'!$F$12:$I$102,4,0)-1),""),"")</f>
        <v/>
      </c>
      <c r="CU268" s="73"/>
      <c r="CV268" s="123" t="str">
        <f t="shared" si="549"/>
        <v/>
      </c>
      <c r="CW268" s="123" t="str">
        <f t="shared" si="550"/>
        <v/>
      </c>
      <c r="CX268" s="97" t="str">
        <f t="shared" ca="1" si="551"/>
        <v/>
      </c>
      <c r="CY268" s="98" t="str">
        <f>IF(DA268&lt;&gt;"",VLOOKUP($P268&amp;" | "&amp;CY$6,'Job Master'!$F$12:$J$102,5,0),"")</f>
        <v/>
      </c>
      <c r="CZ268" s="19" t="str">
        <f>IF(DA268&lt;&gt;"",VLOOKUP($P268&amp;" | "&amp;CY$6,'Job Master'!$F$12:$J$102,3,0),"")</f>
        <v/>
      </c>
      <c r="DA268" s="19" t="str">
        <f>IFERROR(IF(AND(DH268&lt;&gt;"",VLOOKUP($P268&amp;" | "&amp;CY$6,'Job Master'!$F$12:$I$102,4,0)&lt;&gt;""),IF(WEEKDAY(DH268-VLOOKUP($P268&amp;" | "&amp;CY$6,'Job Master'!$F$12:$I$102,4,0))&lt;&gt;7,DH268-VLOOKUP($P268&amp;" | "&amp;CY$6,'Job Master'!$F$12:$I$102,4,0),DH268-VLOOKUP($P268&amp;" | "&amp;CY$6,'Job Master'!$F$12:$I$102,4,0)-1),""),"")</f>
        <v/>
      </c>
      <c r="DB268" s="73"/>
      <c r="DC268" s="123" t="str">
        <f t="shared" si="552"/>
        <v/>
      </c>
      <c r="DD268" s="123" t="str">
        <f t="shared" si="553"/>
        <v/>
      </c>
      <c r="DE268" s="97" t="str">
        <f t="shared" ca="1" si="554"/>
        <v/>
      </c>
      <c r="DF268" s="98" t="str">
        <f>IF(DH268&lt;&gt;"",VLOOKUP($P268&amp;" | "&amp;DF$6,'Job Master'!$F$12:$J$102,5,0),"")</f>
        <v/>
      </c>
      <c r="DG268" s="19" t="str">
        <f>IF(DH268&lt;&gt;"",VLOOKUP($P268&amp;" | "&amp;DF$6,'Job Master'!$F$12:$J$102,3,0),"")</f>
        <v/>
      </c>
      <c r="DH268" s="19" t="str">
        <f>IFERROR(IF(AND(DO268&lt;&gt;"",VLOOKUP($P268&amp;" | "&amp;DF$6,'Job Master'!$F$12:$I$102,4,0)&lt;&gt;""),IF(WEEKDAY(DO268-VLOOKUP($P268&amp;" | "&amp;DF$6,'Job Master'!$F$12:$I$102,4,0))&lt;&gt;7,DO268-VLOOKUP($P268&amp;" | "&amp;DF$6,'Job Master'!$F$12:$I$102,4,0),DO268-VLOOKUP($P268&amp;" | "&amp;DF$6,'Job Master'!$F$12:$I$102,4,0)-1),""),"")</f>
        <v/>
      </c>
      <c r="DI268" s="73"/>
      <c r="DJ268" s="123" t="str">
        <f t="shared" si="555"/>
        <v/>
      </c>
      <c r="DK268" s="123" t="str">
        <f t="shared" si="556"/>
        <v/>
      </c>
      <c r="DL268" s="97" t="str">
        <f t="shared" ca="1" si="557"/>
        <v/>
      </c>
      <c r="DM268" s="98" t="str">
        <f>IF(DO268&lt;&gt;"",VLOOKUP($P268&amp;" | "&amp;DM$6,'Job Master'!$F$12:$J$102,5,0),"")</f>
        <v/>
      </c>
      <c r="DN268" s="19" t="str">
        <f>IF(DO268&lt;&gt;"",VLOOKUP($P268&amp;" | "&amp;DM$6,'Job Master'!$F$12:$J$102,3,0),"")</f>
        <v/>
      </c>
      <c r="DO268" s="19" t="str">
        <f>IFERROR(IF(AND(DT268&lt;&gt;"",VLOOKUP($P268&amp;" | "&amp;DM$6,'Job Master'!$F$12:$I$102,4,0)&lt;&gt;""),IF(WEEKDAY(DT268-VLOOKUP($P268&amp;" | "&amp;DM$6,'Job Master'!$F$12:$I$102,4,0))&lt;&gt;7,DT268-VLOOKUP($P268&amp;" | "&amp;DM$6,'Job Master'!$F$12:$I$102,4,0),DT268-VLOOKUP($P268&amp;" | "&amp;DM$6,'Job Master'!$F$12:$I$102,4,0)-1),""),"")</f>
        <v/>
      </c>
      <c r="DP268" s="73"/>
      <c r="DQ268" s="123" t="str">
        <f t="shared" si="558"/>
        <v/>
      </c>
      <c r="DR268" s="123" t="str">
        <f t="shared" si="559"/>
        <v/>
      </c>
      <c r="DS268" s="97" t="str">
        <f t="shared" ca="1" si="560"/>
        <v/>
      </c>
      <c r="DT268" s="70" t="str">
        <f t="shared" si="561"/>
        <v/>
      </c>
      <c r="DU268" s="90"/>
      <c r="DV268" s="123" t="str">
        <f t="shared" si="562"/>
        <v/>
      </c>
      <c r="DW268" s="123" t="str">
        <f t="shared" si="563"/>
        <v/>
      </c>
      <c r="DX268" s="132" t="str">
        <f t="shared" ref="DX268" ca="1" si="568">IF(DT268&lt;&gt;"",IF(WEEKNUM(DT268)=WEEKNUM(TODAY()),"This Week",IF(WEEKNUM(DT268)=WEEKNUM(TODAY())+1,"Next Week",IF(WEEKNUM(DT268)=WEEKNUM(TODAY())-1,"Previous Week",""))),"")</f>
        <v/>
      </c>
      <c r="DY268" s="134" t="str">
        <f t="shared" si="565"/>
        <v/>
      </c>
      <c r="DZ268" s="95"/>
      <c r="EB268" s="8" t="str">
        <f t="shared" si="445"/>
        <v/>
      </c>
      <c r="EC268" s="8" t="str">
        <f>IF(O268&lt;&gt;"",VLOOKUP(O268,'Job Master'!$N$12:$O$18,2,0),"")</f>
        <v/>
      </c>
      <c r="ED268" s="8">
        <f t="shared" si="446"/>
        <v>19.5</v>
      </c>
      <c r="EE268" s="8">
        <f t="shared" si="447"/>
        <v>6</v>
      </c>
      <c r="EF268" s="8">
        <f t="shared" si="448"/>
        <v>-1528.5</v>
      </c>
      <c r="EG268" s="8" t="str">
        <f t="shared" si="449"/>
        <v/>
      </c>
      <c r="EH268" s="8" t="str">
        <f t="shared" si="450"/>
        <v/>
      </c>
    </row>
    <row r="269" spans="2:138" x14ac:dyDescent="0.3">
      <c r="B269" s="112"/>
      <c r="C269" s="27"/>
      <c r="D269" s="7" t="str">
        <f t="shared" si="513"/>
        <v/>
      </c>
      <c r="E269" s="25"/>
      <c r="F269" s="7" t="str">
        <f t="shared" si="513"/>
        <v/>
      </c>
      <c r="G269" s="25"/>
      <c r="H269" s="7" t="str">
        <f t="shared" si="513"/>
        <v/>
      </c>
      <c r="I269" s="25"/>
      <c r="J269" s="7" t="str">
        <f t="shared" si="513"/>
        <v/>
      </c>
      <c r="K269" s="25"/>
      <c r="L269" s="7" t="str">
        <f t="shared" si="514"/>
        <v/>
      </c>
      <c r="M269" s="25"/>
      <c r="N269" s="7" t="str">
        <f t="shared" si="515"/>
        <v/>
      </c>
      <c r="O269" s="81"/>
      <c r="P269" s="81" t="str">
        <f t="shared" si="516"/>
        <v/>
      </c>
      <c r="Q269" s="81"/>
      <c r="R269" s="7" t="str">
        <f t="shared" si="517"/>
        <v/>
      </c>
      <c r="S269" s="25"/>
      <c r="T269" s="7" t="str">
        <f t="shared" si="518"/>
        <v/>
      </c>
      <c r="U269" s="25"/>
      <c r="V269" s="7" t="str">
        <f t="shared" si="519"/>
        <v/>
      </c>
      <c r="W269" s="25"/>
      <c r="X269" s="7" t="str">
        <f t="shared" si="520"/>
        <v/>
      </c>
      <c r="Y269" s="18" t="str">
        <f t="shared" si="521"/>
        <v/>
      </c>
      <c r="Z269" s="7" t="str">
        <f t="shared" si="522"/>
        <v/>
      </c>
      <c r="AA269" s="18" t="str">
        <f t="shared" si="523"/>
        <v/>
      </c>
      <c r="AB269" s="19" t="str">
        <f t="shared" si="524"/>
        <v/>
      </c>
      <c r="AC269" s="26"/>
      <c r="AD269" s="26"/>
      <c r="AE269" s="25"/>
      <c r="AF269" s="26"/>
      <c r="AG269" s="25"/>
      <c r="AH269" s="25"/>
      <c r="AI269" s="18" t="str">
        <f t="shared" si="461"/>
        <v/>
      </c>
      <c r="AJ269" s="25"/>
      <c r="AK269" s="18" t="str">
        <f t="shared" si="462"/>
        <v/>
      </c>
      <c r="AL269" s="79"/>
      <c r="AM269" s="126" t="str">
        <f t="shared" si="463"/>
        <v/>
      </c>
      <c r="AN269" s="128" t="str">
        <f>IF(AP269&lt;&gt;"",VLOOKUP($P269&amp;" | "&amp;AN$6,'Job Master'!$F$12:$J$102,5,0),"")</f>
        <v/>
      </c>
      <c r="AO269" s="19" t="str">
        <f>IF(AP269&lt;&gt;"",VLOOKUP($P269&amp;" | "&amp;AN$6,'Job Master'!$F$12:$J$102,3,0),"")</f>
        <v/>
      </c>
      <c r="AP269" s="19" t="str">
        <f>IFERROR(IF(AND(AW269&lt;&gt;"",VLOOKUP($P269&amp;" | "&amp;AN$6,'Job Master'!$F$12:$I$102,4,0)&lt;&gt;""),IF(WEEKDAY(AW269-VLOOKUP($P269&amp;" | "&amp;AN$6,'Job Master'!$F$12:$I$102,4,0))&lt;&gt;7,AW269-VLOOKUP($P269&amp;" | "&amp;AN$6,'Job Master'!$F$12:$I$102,4,0),AW269-VLOOKUP($P269&amp;" | "&amp;AN$6,'Job Master'!$F$12:$I$102,4,0)-1),""),"")</f>
        <v/>
      </c>
      <c r="AQ269" s="73"/>
      <c r="AR269" s="123" t="str">
        <f t="shared" si="525"/>
        <v/>
      </c>
      <c r="AS269" s="123" t="str">
        <f t="shared" si="526"/>
        <v/>
      </c>
      <c r="AT269" s="97" t="str">
        <f t="shared" ca="1" si="527"/>
        <v/>
      </c>
      <c r="AU269" s="98" t="str">
        <f>IF(AW269&lt;&gt;"",VLOOKUP($P269&amp;" | "&amp;AU$6,'Job Master'!$F$12:$J$102,5,0),"")</f>
        <v/>
      </c>
      <c r="AV269" s="19" t="str">
        <f>IF(AW269&lt;&gt;"",VLOOKUP($P269&amp;" | "&amp;AU$6,'Job Master'!$F$12:$J$102,3,0),"")</f>
        <v/>
      </c>
      <c r="AW269" s="19" t="str">
        <f>IFERROR(IF(AND(BD269&lt;&gt;"",VLOOKUP($P269&amp;" | "&amp;AU$6,'Job Master'!$F$12:$I$102,4,0)&lt;&gt;""),IF(WEEKDAY(BD269-VLOOKUP($P269&amp;" | "&amp;AU$6,'Job Master'!$F$12:$I$102,4,0))&lt;&gt;7,BD269-VLOOKUP($P269&amp;" | "&amp;AU$6,'Job Master'!$F$12:$I$102,4,0),BD269-VLOOKUP($P269&amp;" | "&amp;AU$6,'Job Master'!$F$12:$I$102,4,0)-1),""),"")</f>
        <v/>
      </c>
      <c r="AX269" s="73"/>
      <c r="AY269" s="123" t="str">
        <f t="shared" si="528"/>
        <v/>
      </c>
      <c r="AZ269" s="123" t="str">
        <f t="shared" si="529"/>
        <v/>
      </c>
      <c r="BA269" s="97" t="str">
        <f t="shared" ca="1" si="530"/>
        <v/>
      </c>
      <c r="BB269" s="98" t="str">
        <f>IF(BD269&lt;&gt;"",VLOOKUP($P269&amp;" | "&amp;BB$6,'Job Master'!$F$12:$J$102,5,0),"")</f>
        <v/>
      </c>
      <c r="BC269" s="19" t="str">
        <f>IF(BD269&lt;&gt;"",VLOOKUP($P269&amp;" | "&amp;BB$6,'Job Master'!$F$12:$J$102,3,0),"")</f>
        <v/>
      </c>
      <c r="BD269" s="19" t="str">
        <f>IFERROR(IF(AND(BK269&lt;&gt;"",VLOOKUP($P269&amp;" | "&amp;BB$6,'Job Master'!$F$12:$I$102,4,0)&lt;&gt;""),IF(WEEKDAY(BK269-VLOOKUP($P269&amp;" | "&amp;BB$6,'Job Master'!$F$12:$I$102,4,0))&lt;&gt;7,BK269-VLOOKUP($P269&amp;" | "&amp;BB$6,'Job Master'!$F$12:$I$102,4,0),BK269-VLOOKUP($P269&amp;" | "&amp;BB$6,'Job Master'!$F$12:$I$102,4,0)-1),""),"")</f>
        <v/>
      </c>
      <c r="BE269" s="73"/>
      <c r="BF269" s="123" t="str">
        <f t="shared" si="531"/>
        <v/>
      </c>
      <c r="BG269" s="123" t="str">
        <f t="shared" si="532"/>
        <v/>
      </c>
      <c r="BH269" s="97" t="str">
        <f t="shared" ca="1" si="533"/>
        <v/>
      </c>
      <c r="BI269" s="98" t="str">
        <f>IF(BK269&lt;&gt;"",VLOOKUP($P269&amp;" | "&amp;BI$6,'Job Master'!$F$12:$J$102,5,0),"")</f>
        <v/>
      </c>
      <c r="BJ269" s="19" t="str">
        <f>IF(BK269&lt;&gt;"",VLOOKUP($P269&amp;" | "&amp;BI$6,'Job Master'!$F$12:$J$102,3,0),"")</f>
        <v/>
      </c>
      <c r="BK269" s="19" t="str">
        <f>IFERROR(IF(AND(BR269&lt;&gt;"",VLOOKUP($P269&amp;" | "&amp;BI$6,'Job Master'!$F$12:$I$102,4,0)&lt;&gt;""),IF(WEEKDAY(BR269-VLOOKUP($P269&amp;" | "&amp;BI$6,'Job Master'!$F$12:$I$102,4,0))&lt;&gt;7,BR269-VLOOKUP($P269&amp;" | "&amp;BI$6,'Job Master'!$F$12:$I$102,4,0),BR269-VLOOKUP($P269&amp;" | "&amp;BI$6,'Job Master'!$F$12:$I$102,4,0)-1),""),"")</f>
        <v/>
      </c>
      <c r="BL269" s="73"/>
      <c r="BM269" s="123" t="str">
        <f t="shared" si="534"/>
        <v/>
      </c>
      <c r="BN269" s="123" t="str">
        <f t="shared" si="535"/>
        <v/>
      </c>
      <c r="BO269" s="97" t="str">
        <f t="shared" ca="1" si="536"/>
        <v/>
      </c>
      <c r="BP269" s="98" t="str">
        <f>IF(BR269&lt;&gt;"",VLOOKUP($P269&amp;" | "&amp;BP$6,'Job Master'!$F$12:$J$102,5,0),"")</f>
        <v/>
      </c>
      <c r="BQ269" s="19" t="str">
        <f>IF(BR269&lt;&gt;"",VLOOKUP($P269&amp;" | "&amp;BP$6,'Job Master'!$F$12:$J$102,3,0),"")</f>
        <v/>
      </c>
      <c r="BR269" s="19" t="str">
        <f>IFERROR(IF(AND(BY269&lt;&gt;"",VLOOKUP($P269&amp;" | "&amp;BP$6,'Job Master'!$F$12:$I$102,4,0)&lt;&gt;""),IF(WEEKDAY(BY269-VLOOKUP($P269&amp;" | "&amp;BP$6,'Job Master'!$F$12:$I$102,4,0))&lt;&gt;7,BY269-VLOOKUP($P269&amp;" | "&amp;BP$6,'Job Master'!$F$12:$I$102,4,0),BY269-VLOOKUP($P269&amp;" | "&amp;BP$6,'Job Master'!$F$12:$I$102,4,0)-1),""),"")</f>
        <v/>
      </c>
      <c r="BS269" s="73"/>
      <c r="BT269" s="123" t="str">
        <f t="shared" si="537"/>
        <v/>
      </c>
      <c r="BU269" s="123" t="str">
        <f t="shared" si="538"/>
        <v/>
      </c>
      <c r="BV269" s="97" t="str">
        <f t="shared" ca="1" si="539"/>
        <v/>
      </c>
      <c r="BW269" s="98" t="str">
        <f>IF(BY269&lt;&gt;"",VLOOKUP($P269&amp;" | "&amp;BW$6,'Job Master'!$F$12:$J$102,5,0),"")</f>
        <v/>
      </c>
      <c r="BX269" s="19" t="str">
        <f>IF(BY269&lt;&gt;"",VLOOKUP($P269&amp;" | "&amp;BW$6,'Job Master'!$F$12:$J$102,3,0),"")</f>
        <v/>
      </c>
      <c r="BY269" s="19" t="str">
        <f>IFERROR(IF(AND(CF269&lt;&gt;"",VLOOKUP($P269&amp;" | "&amp;BW$6,'Job Master'!$F$12:$I$102,4,0)&lt;&gt;""),IF(WEEKDAY(CF269-VLOOKUP($P269&amp;" | "&amp;BW$6,'Job Master'!$F$12:$I$102,4,0))&lt;&gt;7,CF269-VLOOKUP($P269&amp;" | "&amp;BW$6,'Job Master'!$F$12:$I$102,4,0),CF269-VLOOKUP($P269&amp;" | "&amp;BW$6,'Job Master'!$F$12:$I$102,4,0)-1),""),"")</f>
        <v/>
      </c>
      <c r="BZ269" s="73"/>
      <c r="CA269" s="123" t="str">
        <f t="shared" si="540"/>
        <v/>
      </c>
      <c r="CB269" s="123" t="str">
        <f t="shared" si="541"/>
        <v/>
      </c>
      <c r="CC269" s="97" t="str">
        <f t="shared" ca="1" si="542"/>
        <v/>
      </c>
      <c r="CD269" s="98" t="str">
        <f>IF(CF269&lt;&gt;"",VLOOKUP($P269&amp;" | "&amp;CD$6,'Job Master'!$F$12:$J$102,5,0),"")</f>
        <v/>
      </c>
      <c r="CE269" s="19" t="str">
        <f>IF(CF269&lt;&gt;"",VLOOKUP($P269&amp;" | "&amp;CD$6,'Job Master'!$F$12:$J$102,3,0),"")</f>
        <v/>
      </c>
      <c r="CF269" s="19" t="str">
        <f>IFERROR(IF(AND(CM269&lt;&gt;"",VLOOKUP($P269&amp;" | "&amp;CD$6,'Job Master'!$F$12:$I$102,4,0)&lt;&gt;""),IF(WEEKDAY(CM269-VLOOKUP($P269&amp;" | "&amp;CD$6,'Job Master'!$F$12:$I$102,4,0))&lt;&gt;7,CM269-VLOOKUP($P269&amp;" | "&amp;CD$6,'Job Master'!$F$12:$I$102,4,0),CM269-VLOOKUP($P269&amp;" | "&amp;CD$6,'Job Master'!$F$12:$I$102,4,0)-1),""),"")</f>
        <v/>
      </c>
      <c r="CG269" s="73"/>
      <c r="CH269" s="123" t="str">
        <f t="shared" si="543"/>
        <v/>
      </c>
      <c r="CI269" s="123" t="str">
        <f t="shared" si="544"/>
        <v/>
      </c>
      <c r="CJ269" s="97" t="str">
        <f t="shared" ca="1" si="545"/>
        <v/>
      </c>
      <c r="CK269" s="98" t="str">
        <f>IF(CM269&lt;&gt;"",VLOOKUP($P269&amp;" | "&amp;CK$6,'Job Master'!$F$12:$J$102,5,0),"")</f>
        <v/>
      </c>
      <c r="CL269" s="19" t="str">
        <f>IF(CM269&lt;&gt;"",VLOOKUP($P269&amp;" | "&amp;CK$6,'Job Master'!$F$12:$J$102,3,0),"")</f>
        <v/>
      </c>
      <c r="CM269" s="19" t="str">
        <f>IFERROR(IF(AND(CT269&lt;&gt;"",VLOOKUP($P269&amp;" | "&amp;CK$6,'Job Master'!$F$12:$I$102,4,0)&lt;&gt;""),IF(WEEKDAY(CT269-VLOOKUP($P269&amp;" | "&amp;CK$6,'Job Master'!$F$12:$I$102,4,0))&lt;&gt;7,CT269-VLOOKUP($P269&amp;" | "&amp;CK$6,'Job Master'!$F$12:$I$102,4,0),CT269-VLOOKUP($P269&amp;" | "&amp;CK$6,'Job Master'!$F$12:$I$102,4,0)-1),""),"")</f>
        <v/>
      </c>
      <c r="CN269" s="73"/>
      <c r="CO269" s="123" t="str">
        <f t="shared" si="546"/>
        <v/>
      </c>
      <c r="CP269" s="123" t="str">
        <f t="shared" si="547"/>
        <v/>
      </c>
      <c r="CQ269" s="97" t="str">
        <f t="shared" ca="1" si="548"/>
        <v/>
      </c>
      <c r="CR269" s="98" t="str">
        <f>IF(CT269&lt;&gt;"",VLOOKUP($P269&amp;" | "&amp;CR$6,'Job Master'!$F$12:$J$102,5,0),"")</f>
        <v/>
      </c>
      <c r="CS269" s="19" t="str">
        <f>IF(CT269&lt;&gt;"",VLOOKUP($P269&amp;" | "&amp;CR$6,'Job Master'!$F$12:$J$102,3,0),"")</f>
        <v/>
      </c>
      <c r="CT269" s="19" t="str">
        <f>IFERROR(IF(AND(DA269&lt;&gt;"",VLOOKUP($P269&amp;" | "&amp;CR$6,'Job Master'!$F$12:$I$102,4,0)&lt;&gt;""),IF(WEEKDAY(DA269-VLOOKUP($P269&amp;" | "&amp;CR$6,'Job Master'!$F$12:$I$102,4,0))&lt;&gt;7,DA269-VLOOKUP($P269&amp;" | "&amp;CR$6,'Job Master'!$F$12:$I$102,4,0),DA269-VLOOKUP($P269&amp;" | "&amp;CR$6,'Job Master'!$F$12:$I$102,4,0)-1),""),"")</f>
        <v/>
      </c>
      <c r="CU269" s="73"/>
      <c r="CV269" s="123" t="str">
        <f t="shared" si="549"/>
        <v/>
      </c>
      <c r="CW269" s="123" t="str">
        <f t="shared" si="550"/>
        <v/>
      </c>
      <c r="CX269" s="97" t="str">
        <f t="shared" ca="1" si="551"/>
        <v/>
      </c>
      <c r="CY269" s="98" t="str">
        <f>IF(DA269&lt;&gt;"",VLOOKUP($P269&amp;" | "&amp;CY$6,'Job Master'!$F$12:$J$102,5,0),"")</f>
        <v/>
      </c>
      <c r="CZ269" s="19" t="str">
        <f>IF(DA269&lt;&gt;"",VLOOKUP($P269&amp;" | "&amp;CY$6,'Job Master'!$F$12:$J$102,3,0),"")</f>
        <v/>
      </c>
      <c r="DA269" s="19" t="str">
        <f>IFERROR(IF(AND(DH269&lt;&gt;"",VLOOKUP($P269&amp;" | "&amp;CY$6,'Job Master'!$F$12:$I$102,4,0)&lt;&gt;""),IF(WEEKDAY(DH269-VLOOKUP($P269&amp;" | "&amp;CY$6,'Job Master'!$F$12:$I$102,4,0))&lt;&gt;7,DH269-VLOOKUP($P269&amp;" | "&amp;CY$6,'Job Master'!$F$12:$I$102,4,0),DH269-VLOOKUP($P269&amp;" | "&amp;CY$6,'Job Master'!$F$12:$I$102,4,0)-1),""),"")</f>
        <v/>
      </c>
      <c r="DB269" s="73"/>
      <c r="DC269" s="123" t="str">
        <f t="shared" si="552"/>
        <v/>
      </c>
      <c r="DD269" s="123" t="str">
        <f t="shared" si="553"/>
        <v/>
      </c>
      <c r="DE269" s="97" t="str">
        <f t="shared" ca="1" si="554"/>
        <v/>
      </c>
      <c r="DF269" s="98" t="str">
        <f>IF(DH269&lt;&gt;"",VLOOKUP($P269&amp;" | "&amp;DF$6,'Job Master'!$F$12:$J$102,5,0),"")</f>
        <v/>
      </c>
      <c r="DG269" s="19" t="str">
        <f>IF(DH269&lt;&gt;"",VLOOKUP($P269&amp;" | "&amp;DF$6,'Job Master'!$F$12:$J$102,3,0),"")</f>
        <v/>
      </c>
      <c r="DH269" s="19" t="str">
        <f>IFERROR(IF(AND(DO269&lt;&gt;"",VLOOKUP($P269&amp;" | "&amp;DF$6,'Job Master'!$F$12:$I$102,4,0)&lt;&gt;""),IF(WEEKDAY(DO269-VLOOKUP($P269&amp;" | "&amp;DF$6,'Job Master'!$F$12:$I$102,4,0))&lt;&gt;7,DO269-VLOOKUP($P269&amp;" | "&amp;DF$6,'Job Master'!$F$12:$I$102,4,0),DO269-VLOOKUP($P269&amp;" | "&amp;DF$6,'Job Master'!$F$12:$I$102,4,0)-1),""),"")</f>
        <v/>
      </c>
      <c r="DI269" s="73"/>
      <c r="DJ269" s="123" t="str">
        <f t="shared" si="555"/>
        <v/>
      </c>
      <c r="DK269" s="123" t="str">
        <f t="shared" si="556"/>
        <v/>
      </c>
      <c r="DL269" s="97" t="str">
        <f t="shared" ca="1" si="557"/>
        <v/>
      </c>
      <c r="DM269" s="98" t="str">
        <f>IF(DO269&lt;&gt;"",VLOOKUP($P269&amp;" | "&amp;DM$6,'Job Master'!$F$12:$J$102,5,0),"")</f>
        <v/>
      </c>
      <c r="DN269" s="19" t="str">
        <f>IF(DO269&lt;&gt;"",VLOOKUP($P269&amp;" | "&amp;DM$6,'Job Master'!$F$12:$J$102,3,0),"")</f>
        <v/>
      </c>
      <c r="DO269" s="19" t="str">
        <f>IFERROR(IF(AND(DT269&lt;&gt;"",VLOOKUP($P269&amp;" | "&amp;DM$6,'Job Master'!$F$12:$I$102,4,0)&lt;&gt;""),IF(WEEKDAY(DT269-VLOOKUP($P269&amp;" | "&amp;DM$6,'Job Master'!$F$12:$I$102,4,0))&lt;&gt;7,DT269-VLOOKUP($P269&amp;" | "&amp;DM$6,'Job Master'!$F$12:$I$102,4,0),DT269-VLOOKUP($P269&amp;" | "&amp;DM$6,'Job Master'!$F$12:$I$102,4,0)-1),""),"")</f>
        <v/>
      </c>
      <c r="DP269" s="73"/>
      <c r="DQ269" s="123" t="str">
        <f t="shared" si="558"/>
        <v/>
      </c>
      <c r="DR269" s="123" t="str">
        <f t="shared" si="559"/>
        <v/>
      </c>
      <c r="DS269" s="97" t="str">
        <f t="shared" ca="1" si="560"/>
        <v/>
      </c>
      <c r="DT269" s="70" t="str">
        <f t="shared" si="561"/>
        <v/>
      </c>
      <c r="DU269" s="90"/>
      <c r="DV269" s="123" t="str">
        <f t="shared" si="562"/>
        <v/>
      </c>
      <c r="DW269" s="123" t="str">
        <f t="shared" si="563"/>
        <v/>
      </c>
      <c r="DX269" s="132" t="str">
        <f t="shared" ref="DX269" ca="1" si="569">IF(DT269&lt;&gt;"",IF(WEEKNUM(DT269)=WEEKNUM(TODAY()),"This Week",IF(WEEKNUM(DT269)=WEEKNUM(TODAY())+1,"Next Week",IF(WEEKNUM(DT269)=WEEKNUM(TODAY())-1,"Previous Week",""))),"")</f>
        <v/>
      </c>
      <c r="DY269" s="134" t="str">
        <f t="shared" si="565"/>
        <v/>
      </c>
      <c r="DZ269" s="95"/>
      <c r="EB269" s="8" t="str">
        <f t="shared" si="445"/>
        <v/>
      </c>
      <c r="EC269" s="8" t="str">
        <f>IF(O269&lt;&gt;"",VLOOKUP(O269,'Job Master'!$N$12:$O$18,2,0),"")</f>
        <v/>
      </c>
      <c r="ED269" s="8">
        <f t="shared" si="446"/>
        <v>19.5</v>
      </c>
      <c r="EE269" s="8">
        <f t="shared" si="447"/>
        <v>6</v>
      </c>
      <c r="EF269" s="8">
        <f t="shared" si="448"/>
        <v>-1534.5</v>
      </c>
      <c r="EG269" s="8" t="str">
        <f t="shared" si="449"/>
        <v/>
      </c>
      <c r="EH269" s="8" t="str">
        <f t="shared" si="450"/>
        <v/>
      </c>
    </row>
    <row r="270" spans="2:138" x14ac:dyDescent="0.3">
      <c r="B270" s="112"/>
      <c r="C270" s="27"/>
      <c r="D270" s="7" t="str">
        <f t="shared" si="513"/>
        <v/>
      </c>
      <c r="E270" s="25"/>
      <c r="F270" s="7" t="str">
        <f t="shared" si="513"/>
        <v/>
      </c>
      <c r="G270" s="25"/>
      <c r="H270" s="7" t="str">
        <f t="shared" si="513"/>
        <v/>
      </c>
      <c r="I270" s="25"/>
      <c r="J270" s="7" t="str">
        <f t="shared" si="513"/>
        <v/>
      </c>
      <c r="K270" s="25"/>
      <c r="L270" s="7" t="str">
        <f t="shared" si="514"/>
        <v/>
      </c>
      <c r="M270" s="25"/>
      <c r="N270" s="7" t="str">
        <f t="shared" si="515"/>
        <v/>
      </c>
      <c r="O270" s="81"/>
      <c r="P270" s="81" t="str">
        <f t="shared" si="516"/>
        <v/>
      </c>
      <c r="Q270" s="81"/>
      <c r="R270" s="7" t="str">
        <f t="shared" si="517"/>
        <v/>
      </c>
      <c r="S270" s="25"/>
      <c r="T270" s="7" t="str">
        <f t="shared" si="518"/>
        <v/>
      </c>
      <c r="U270" s="25"/>
      <c r="V270" s="7" t="str">
        <f t="shared" si="519"/>
        <v/>
      </c>
      <c r="W270" s="25"/>
      <c r="X270" s="7" t="str">
        <f t="shared" si="520"/>
        <v/>
      </c>
      <c r="Y270" s="18" t="str">
        <f t="shared" si="521"/>
        <v/>
      </c>
      <c r="Z270" s="7" t="str">
        <f t="shared" si="522"/>
        <v/>
      </c>
      <c r="AA270" s="18" t="str">
        <f t="shared" si="523"/>
        <v/>
      </c>
      <c r="AB270" s="19" t="str">
        <f t="shared" si="524"/>
        <v/>
      </c>
      <c r="AC270" s="26"/>
      <c r="AD270" s="26"/>
      <c r="AE270" s="25"/>
      <c r="AF270" s="26"/>
      <c r="AG270" s="25"/>
      <c r="AH270" s="25"/>
      <c r="AI270" s="18" t="str">
        <f t="shared" si="461"/>
        <v/>
      </c>
      <c r="AJ270" s="25"/>
      <c r="AK270" s="18" t="str">
        <f t="shared" si="462"/>
        <v/>
      </c>
      <c r="AL270" s="79"/>
      <c r="AM270" s="126" t="str">
        <f t="shared" si="463"/>
        <v/>
      </c>
      <c r="AN270" s="128" t="str">
        <f>IF(AP270&lt;&gt;"",VLOOKUP($P270&amp;" | "&amp;AN$6,'Job Master'!$F$12:$J$102,5,0),"")</f>
        <v/>
      </c>
      <c r="AO270" s="19" t="str">
        <f>IF(AP270&lt;&gt;"",VLOOKUP($P270&amp;" | "&amp;AN$6,'Job Master'!$F$12:$J$102,3,0),"")</f>
        <v/>
      </c>
      <c r="AP270" s="19" t="str">
        <f>IFERROR(IF(AND(AW270&lt;&gt;"",VLOOKUP($P270&amp;" | "&amp;AN$6,'Job Master'!$F$12:$I$102,4,0)&lt;&gt;""),IF(WEEKDAY(AW270-VLOOKUP($P270&amp;" | "&amp;AN$6,'Job Master'!$F$12:$I$102,4,0))&lt;&gt;7,AW270-VLOOKUP($P270&amp;" | "&amp;AN$6,'Job Master'!$F$12:$I$102,4,0),AW270-VLOOKUP($P270&amp;" | "&amp;AN$6,'Job Master'!$F$12:$I$102,4,0)-1),""),"")</f>
        <v/>
      </c>
      <c r="AQ270" s="73"/>
      <c r="AR270" s="123" t="str">
        <f t="shared" si="525"/>
        <v/>
      </c>
      <c r="AS270" s="123" t="str">
        <f t="shared" si="526"/>
        <v/>
      </c>
      <c r="AT270" s="97" t="str">
        <f t="shared" ca="1" si="527"/>
        <v/>
      </c>
      <c r="AU270" s="98" t="str">
        <f>IF(AW270&lt;&gt;"",VLOOKUP($P270&amp;" | "&amp;AU$6,'Job Master'!$F$12:$J$102,5,0),"")</f>
        <v/>
      </c>
      <c r="AV270" s="19" t="str">
        <f>IF(AW270&lt;&gt;"",VLOOKUP($P270&amp;" | "&amp;AU$6,'Job Master'!$F$12:$J$102,3,0),"")</f>
        <v/>
      </c>
      <c r="AW270" s="19" t="str">
        <f>IFERROR(IF(AND(BD270&lt;&gt;"",VLOOKUP($P270&amp;" | "&amp;AU$6,'Job Master'!$F$12:$I$102,4,0)&lt;&gt;""),IF(WEEKDAY(BD270-VLOOKUP($P270&amp;" | "&amp;AU$6,'Job Master'!$F$12:$I$102,4,0))&lt;&gt;7,BD270-VLOOKUP($P270&amp;" | "&amp;AU$6,'Job Master'!$F$12:$I$102,4,0),BD270-VLOOKUP($P270&amp;" | "&amp;AU$6,'Job Master'!$F$12:$I$102,4,0)-1),""),"")</f>
        <v/>
      </c>
      <c r="AX270" s="73"/>
      <c r="AY270" s="123" t="str">
        <f t="shared" si="528"/>
        <v/>
      </c>
      <c r="AZ270" s="123" t="str">
        <f t="shared" si="529"/>
        <v/>
      </c>
      <c r="BA270" s="97" t="str">
        <f t="shared" ca="1" si="530"/>
        <v/>
      </c>
      <c r="BB270" s="98" t="str">
        <f>IF(BD270&lt;&gt;"",VLOOKUP($P270&amp;" | "&amp;BB$6,'Job Master'!$F$12:$J$102,5,0),"")</f>
        <v/>
      </c>
      <c r="BC270" s="19" t="str">
        <f>IF(BD270&lt;&gt;"",VLOOKUP($P270&amp;" | "&amp;BB$6,'Job Master'!$F$12:$J$102,3,0),"")</f>
        <v/>
      </c>
      <c r="BD270" s="19" t="str">
        <f>IFERROR(IF(AND(BK270&lt;&gt;"",VLOOKUP($P270&amp;" | "&amp;BB$6,'Job Master'!$F$12:$I$102,4,0)&lt;&gt;""),IF(WEEKDAY(BK270-VLOOKUP($P270&amp;" | "&amp;BB$6,'Job Master'!$F$12:$I$102,4,0))&lt;&gt;7,BK270-VLOOKUP($P270&amp;" | "&amp;BB$6,'Job Master'!$F$12:$I$102,4,0),BK270-VLOOKUP($P270&amp;" | "&amp;BB$6,'Job Master'!$F$12:$I$102,4,0)-1),""),"")</f>
        <v/>
      </c>
      <c r="BE270" s="73"/>
      <c r="BF270" s="123" t="str">
        <f t="shared" si="531"/>
        <v/>
      </c>
      <c r="BG270" s="123" t="str">
        <f t="shared" si="532"/>
        <v/>
      </c>
      <c r="BH270" s="97" t="str">
        <f t="shared" ca="1" si="533"/>
        <v/>
      </c>
      <c r="BI270" s="98" t="str">
        <f>IF(BK270&lt;&gt;"",VLOOKUP($P270&amp;" | "&amp;BI$6,'Job Master'!$F$12:$J$102,5,0),"")</f>
        <v/>
      </c>
      <c r="BJ270" s="19" t="str">
        <f>IF(BK270&lt;&gt;"",VLOOKUP($P270&amp;" | "&amp;BI$6,'Job Master'!$F$12:$J$102,3,0),"")</f>
        <v/>
      </c>
      <c r="BK270" s="19" t="str">
        <f>IFERROR(IF(AND(BR270&lt;&gt;"",VLOOKUP($P270&amp;" | "&amp;BI$6,'Job Master'!$F$12:$I$102,4,0)&lt;&gt;""),IF(WEEKDAY(BR270-VLOOKUP($P270&amp;" | "&amp;BI$6,'Job Master'!$F$12:$I$102,4,0))&lt;&gt;7,BR270-VLOOKUP($P270&amp;" | "&amp;BI$6,'Job Master'!$F$12:$I$102,4,0),BR270-VLOOKUP($P270&amp;" | "&amp;BI$6,'Job Master'!$F$12:$I$102,4,0)-1),""),"")</f>
        <v/>
      </c>
      <c r="BL270" s="73"/>
      <c r="BM270" s="123" t="str">
        <f t="shared" si="534"/>
        <v/>
      </c>
      <c r="BN270" s="123" t="str">
        <f t="shared" si="535"/>
        <v/>
      </c>
      <c r="BO270" s="97" t="str">
        <f t="shared" ca="1" si="536"/>
        <v/>
      </c>
      <c r="BP270" s="98" t="str">
        <f>IF(BR270&lt;&gt;"",VLOOKUP($P270&amp;" | "&amp;BP$6,'Job Master'!$F$12:$J$102,5,0),"")</f>
        <v/>
      </c>
      <c r="BQ270" s="19" t="str">
        <f>IF(BR270&lt;&gt;"",VLOOKUP($P270&amp;" | "&amp;BP$6,'Job Master'!$F$12:$J$102,3,0),"")</f>
        <v/>
      </c>
      <c r="BR270" s="19" t="str">
        <f>IFERROR(IF(AND(BY270&lt;&gt;"",VLOOKUP($P270&amp;" | "&amp;BP$6,'Job Master'!$F$12:$I$102,4,0)&lt;&gt;""),IF(WEEKDAY(BY270-VLOOKUP($P270&amp;" | "&amp;BP$6,'Job Master'!$F$12:$I$102,4,0))&lt;&gt;7,BY270-VLOOKUP($P270&amp;" | "&amp;BP$6,'Job Master'!$F$12:$I$102,4,0),BY270-VLOOKUP($P270&amp;" | "&amp;BP$6,'Job Master'!$F$12:$I$102,4,0)-1),""),"")</f>
        <v/>
      </c>
      <c r="BS270" s="73"/>
      <c r="BT270" s="123" t="str">
        <f t="shared" si="537"/>
        <v/>
      </c>
      <c r="BU270" s="123" t="str">
        <f t="shared" si="538"/>
        <v/>
      </c>
      <c r="BV270" s="97" t="str">
        <f t="shared" ca="1" si="539"/>
        <v/>
      </c>
      <c r="BW270" s="98" t="str">
        <f>IF(BY270&lt;&gt;"",VLOOKUP($P270&amp;" | "&amp;BW$6,'Job Master'!$F$12:$J$102,5,0),"")</f>
        <v/>
      </c>
      <c r="BX270" s="19" t="str">
        <f>IF(BY270&lt;&gt;"",VLOOKUP($P270&amp;" | "&amp;BW$6,'Job Master'!$F$12:$J$102,3,0),"")</f>
        <v/>
      </c>
      <c r="BY270" s="19" t="str">
        <f>IFERROR(IF(AND(CF270&lt;&gt;"",VLOOKUP($P270&amp;" | "&amp;BW$6,'Job Master'!$F$12:$I$102,4,0)&lt;&gt;""),IF(WEEKDAY(CF270-VLOOKUP($P270&amp;" | "&amp;BW$6,'Job Master'!$F$12:$I$102,4,0))&lt;&gt;7,CF270-VLOOKUP($P270&amp;" | "&amp;BW$6,'Job Master'!$F$12:$I$102,4,0),CF270-VLOOKUP($P270&amp;" | "&amp;BW$6,'Job Master'!$F$12:$I$102,4,0)-1),""),"")</f>
        <v/>
      </c>
      <c r="BZ270" s="73"/>
      <c r="CA270" s="123" t="str">
        <f t="shared" si="540"/>
        <v/>
      </c>
      <c r="CB270" s="123" t="str">
        <f t="shared" si="541"/>
        <v/>
      </c>
      <c r="CC270" s="97" t="str">
        <f t="shared" ca="1" si="542"/>
        <v/>
      </c>
      <c r="CD270" s="98" t="str">
        <f>IF(CF270&lt;&gt;"",VLOOKUP($P270&amp;" | "&amp;CD$6,'Job Master'!$F$12:$J$102,5,0),"")</f>
        <v/>
      </c>
      <c r="CE270" s="19" t="str">
        <f>IF(CF270&lt;&gt;"",VLOOKUP($P270&amp;" | "&amp;CD$6,'Job Master'!$F$12:$J$102,3,0),"")</f>
        <v/>
      </c>
      <c r="CF270" s="19" t="str">
        <f>IFERROR(IF(AND(CM270&lt;&gt;"",VLOOKUP($P270&amp;" | "&amp;CD$6,'Job Master'!$F$12:$I$102,4,0)&lt;&gt;""),IF(WEEKDAY(CM270-VLOOKUP($P270&amp;" | "&amp;CD$6,'Job Master'!$F$12:$I$102,4,0))&lt;&gt;7,CM270-VLOOKUP($P270&amp;" | "&amp;CD$6,'Job Master'!$F$12:$I$102,4,0),CM270-VLOOKUP($P270&amp;" | "&amp;CD$6,'Job Master'!$F$12:$I$102,4,0)-1),""),"")</f>
        <v/>
      </c>
      <c r="CG270" s="73"/>
      <c r="CH270" s="123" t="str">
        <f t="shared" si="543"/>
        <v/>
      </c>
      <c r="CI270" s="123" t="str">
        <f t="shared" si="544"/>
        <v/>
      </c>
      <c r="CJ270" s="97" t="str">
        <f t="shared" ca="1" si="545"/>
        <v/>
      </c>
      <c r="CK270" s="98" t="str">
        <f>IF(CM270&lt;&gt;"",VLOOKUP($P270&amp;" | "&amp;CK$6,'Job Master'!$F$12:$J$102,5,0),"")</f>
        <v/>
      </c>
      <c r="CL270" s="19" t="str">
        <f>IF(CM270&lt;&gt;"",VLOOKUP($P270&amp;" | "&amp;CK$6,'Job Master'!$F$12:$J$102,3,0),"")</f>
        <v/>
      </c>
      <c r="CM270" s="19" t="str">
        <f>IFERROR(IF(AND(CT270&lt;&gt;"",VLOOKUP($P270&amp;" | "&amp;CK$6,'Job Master'!$F$12:$I$102,4,0)&lt;&gt;""),IF(WEEKDAY(CT270-VLOOKUP($P270&amp;" | "&amp;CK$6,'Job Master'!$F$12:$I$102,4,0))&lt;&gt;7,CT270-VLOOKUP($P270&amp;" | "&amp;CK$6,'Job Master'!$F$12:$I$102,4,0),CT270-VLOOKUP($P270&amp;" | "&amp;CK$6,'Job Master'!$F$12:$I$102,4,0)-1),""),"")</f>
        <v/>
      </c>
      <c r="CN270" s="73"/>
      <c r="CO270" s="123" t="str">
        <f t="shared" si="546"/>
        <v/>
      </c>
      <c r="CP270" s="123" t="str">
        <f t="shared" si="547"/>
        <v/>
      </c>
      <c r="CQ270" s="97" t="str">
        <f t="shared" ca="1" si="548"/>
        <v/>
      </c>
      <c r="CR270" s="98" t="str">
        <f>IF(CT270&lt;&gt;"",VLOOKUP($P270&amp;" | "&amp;CR$6,'Job Master'!$F$12:$J$102,5,0),"")</f>
        <v/>
      </c>
      <c r="CS270" s="19" t="str">
        <f>IF(CT270&lt;&gt;"",VLOOKUP($P270&amp;" | "&amp;CR$6,'Job Master'!$F$12:$J$102,3,0),"")</f>
        <v/>
      </c>
      <c r="CT270" s="19" t="str">
        <f>IFERROR(IF(AND(DA270&lt;&gt;"",VLOOKUP($P270&amp;" | "&amp;CR$6,'Job Master'!$F$12:$I$102,4,0)&lt;&gt;""),IF(WEEKDAY(DA270-VLOOKUP($P270&amp;" | "&amp;CR$6,'Job Master'!$F$12:$I$102,4,0))&lt;&gt;7,DA270-VLOOKUP($P270&amp;" | "&amp;CR$6,'Job Master'!$F$12:$I$102,4,0),DA270-VLOOKUP($P270&amp;" | "&amp;CR$6,'Job Master'!$F$12:$I$102,4,0)-1),""),"")</f>
        <v/>
      </c>
      <c r="CU270" s="73"/>
      <c r="CV270" s="123" t="str">
        <f t="shared" si="549"/>
        <v/>
      </c>
      <c r="CW270" s="123" t="str">
        <f t="shared" si="550"/>
        <v/>
      </c>
      <c r="CX270" s="97" t="str">
        <f t="shared" ca="1" si="551"/>
        <v/>
      </c>
      <c r="CY270" s="98" t="str">
        <f>IF(DA270&lt;&gt;"",VLOOKUP($P270&amp;" | "&amp;CY$6,'Job Master'!$F$12:$J$102,5,0),"")</f>
        <v/>
      </c>
      <c r="CZ270" s="19" t="str">
        <f>IF(DA270&lt;&gt;"",VLOOKUP($P270&amp;" | "&amp;CY$6,'Job Master'!$F$12:$J$102,3,0),"")</f>
        <v/>
      </c>
      <c r="DA270" s="19" t="str">
        <f>IFERROR(IF(AND(DH270&lt;&gt;"",VLOOKUP($P270&amp;" | "&amp;CY$6,'Job Master'!$F$12:$I$102,4,0)&lt;&gt;""),IF(WEEKDAY(DH270-VLOOKUP($P270&amp;" | "&amp;CY$6,'Job Master'!$F$12:$I$102,4,0))&lt;&gt;7,DH270-VLOOKUP($P270&amp;" | "&amp;CY$6,'Job Master'!$F$12:$I$102,4,0),DH270-VLOOKUP($P270&amp;" | "&amp;CY$6,'Job Master'!$F$12:$I$102,4,0)-1),""),"")</f>
        <v/>
      </c>
      <c r="DB270" s="73"/>
      <c r="DC270" s="123" t="str">
        <f t="shared" si="552"/>
        <v/>
      </c>
      <c r="DD270" s="123" t="str">
        <f t="shared" si="553"/>
        <v/>
      </c>
      <c r="DE270" s="97" t="str">
        <f t="shared" ca="1" si="554"/>
        <v/>
      </c>
      <c r="DF270" s="98" t="str">
        <f>IF(DH270&lt;&gt;"",VLOOKUP($P270&amp;" | "&amp;DF$6,'Job Master'!$F$12:$J$102,5,0),"")</f>
        <v/>
      </c>
      <c r="DG270" s="19" t="str">
        <f>IF(DH270&lt;&gt;"",VLOOKUP($P270&amp;" | "&amp;DF$6,'Job Master'!$F$12:$J$102,3,0),"")</f>
        <v/>
      </c>
      <c r="DH270" s="19" t="str">
        <f>IFERROR(IF(AND(DO270&lt;&gt;"",VLOOKUP($P270&amp;" | "&amp;DF$6,'Job Master'!$F$12:$I$102,4,0)&lt;&gt;""),IF(WEEKDAY(DO270-VLOOKUP($P270&amp;" | "&amp;DF$6,'Job Master'!$F$12:$I$102,4,0))&lt;&gt;7,DO270-VLOOKUP($P270&amp;" | "&amp;DF$6,'Job Master'!$F$12:$I$102,4,0),DO270-VLOOKUP($P270&amp;" | "&amp;DF$6,'Job Master'!$F$12:$I$102,4,0)-1),""),"")</f>
        <v/>
      </c>
      <c r="DI270" s="73"/>
      <c r="DJ270" s="123" t="str">
        <f t="shared" si="555"/>
        <v/>
      </c>
      <c r="DK270" s="123" t="str">
        <f t="shared" si="556"/>
        <v/>
      </c>
      <c r="DL270" s="97" t="str">
        <f t="shared" ca="1" si="557"/>
        <v/>
      </c>
      <c r="DM270" s="98" t="str">
        <f>IF(DO270&lt;&gt;"",VLOOKUP($P270&amp;" | "&amp;DM$6,'Job Master'!$F$12:$J$102,5,0),"")</f>
        <v/>
      </c>
      <c r="DN270" s="19" t="str">
        <f>IF(DO270&lt;&gt;"",VLOOKUP($P270&amp;" | "&amp;DM$6,'Job Master'!$F$12:$J$102,3,0),"")</f>
        <v/>
      </c>
      <c r="DO270" s="19" t="str">
        <f>IFERROR(IF(AND(DT270&lt;&gt;"",VLOOKUP($P270&amp;" | "&amp;DM$6,'Job Master'!$F$12:$I$102,4,0)&lt;&gt;""),IF(WEEKDAY(DT270-VLOOKUP($P270&amp;" | "&amp;DM$6,'Job Master'!$F$12:$I$102,4,0))&lt;&gt;7,DT270-VLOOKUP($P270&amp;" | "&amp;DM$6,'Job Master'!$F$12:$I$102,4,0),DT270-VLOOKUP($P270&amp;" | "&amp;DM$6,'Job Master'!$F$12:$I$102,4,0)-1),""),"")</f>
        <v/>
      </c>
      <c r="DP270" s="73"/>
      <c r="DQ270" s="123" t="str">
        <f t="shared" si="558"/>
        <v/>
      </c>
      <c r="DR270" s="123" t="str">
        <f t="shared" si="559"/>
        <v/>
      </c>
      <c r="DS270" s="97" t="str">
        <f t="shared" ca="1" si="560"/>
        <v/>
      </c>
      <c r="DT270" s="70" t="str">
        <f t="shared" si="561"/>
        <v/>
      </c>
      <c r="DU270" s="90"/>
      <c r="DV270" s="123" t="str">
        <f t="shared" si="562"/>
        <v/>
      </c>
      <c r="DW270" s="123" t="str">
        <f t="shared" si="563"/>
        <v/>
      </c>
      <c r="DX270" s="132" t="str">
        <f t="shared" ref="DX270" ca="1" si="570">IF(DT270&lt;&gt;"",IF(WEEKNUM(DT270)=WEEKNUM(TODAY()),"This Week",IF(WEEKNUM(DT270)=WEEKNUM(TODAY())+1,"Next Week",IF(WEEKNUM(DT270)=WEEKNUM(TODAY())-1,"Previous Week",""))),"")</f>
        <v/>
      </c>
      <c r="DY270" s="134" t="str">
        <f t="shared" si="565"/>
        <v/>
      </c>
      <c r="DZ270" s="95"/>
      <c r="EB270" s="8" t="str">
        <f t="shared" ref="EB270:EB333" si="571">IF(Y270&lt;&gt;"",Y270,"")</f>
        <v/>
      </c>
      <c r="EC270" s="8" t="str">
        <f>IF(O270&lt;&gt;"",VLOOKUP(O270,'Job Master'!$N$12:$O$18,2,0),"")</f>
        <v/>
      </c>
      <c r="ED270" s="8">
        <f t="shared" ref="ED270:ED333" si="572">IF(EC270&lt;&gt;"",IF(EF270&gt;EC270,EB270,MOD(EB270,EC270)),ED269)</f>
        <v>19.5</v>
      </c>
      <c r="EE270" s="8">
        <f t="shared" ref="EE270:EE333" si="573">IF(EC270&lt;&gt;"",EC270,IF(EE269&lt;&gt;"",EE269,""))</f>
        <v>6</v>
      </c>
      <c r="EF270" s="8">
        <f t="shared" ref="EF270:EF333" si="574">IF(EC270&lt;&gt;"",EB270,IF(EF269&lt;&gt;"",EF269-EE270,""))</f>
        <v>-1540.5</v>
      </c>
      <c r="EG270" s="8" t="str">
        <f t="shared" ref="EG270:EG333" si="575">IF(EF269&lt;&gt;0,IF(EF270&gt;0,EF270,""),IF(EF270&lt;&gt;"",IF(EF270&gt;0,EF270,""),""))</f>
        <v/>
      </c>
      <c r="EH270" s="8" t="str">
        <f t="shared" ref="EH270:EH333" si="576">IF(EG270&lt;&gt;"",IF(EG270&gt;=EE270,EE270,MOD(ED270,EE270)),"")</f>
        <v/>
      </c>
    </row>
    <row r="271" spans="2:138" x14ac:dyDescent="0.3">
      <c r="B271" s="112"/>
      <c r="C271" s="27"/>
      <c r="D271" s="7" t="str">
        <f t="shared" si="513"/>
        <v/>
      </c>
      <c r="E271" s="25"/>
      <c r="F271" s="7" t="str">
        <f t="shared" si="513"/>
        <v/>
      </c>
      <c r="G271" s="25"/>
      <c r="H271" s="7" t="str">
        <f t="shared" si="513"/>
        <v/>
      </c>
      <c r="I271" s="25"/>
      <c r="J271" s="7" t="str">
        <f t="shared" si="513"/>
        <v/>
      </c>
      <c r="K271" s="25"/>
      <c r="L271" s="7" t="str">
        <f t="shared" si="514"/>
        <v/>
      </c>
      <c r="M271" s="25"/>
      <c r="N271" s="7" t="str">
        <f t="shared" si="515"/>
        <v/>
      </c>
      <c r="O271" s="81"/>
      <c r="P271" s="81" t="str">
        <f t="shared" si="516"/>
        <v/>
      </c>
      <c r="Q271" s="81"/>
      <c r="R271" s="7" t="str">
        <f t="shared" si="517"/>
        <v/>
      </c>
      <c r="S271" s="25"/>
      <c r="T271" s="7" t="str">
        <f t="shared" si="518"/>
        <v/>
      </c>
      <c r="U271" s="25"/>
      <c r="V271" s="7" t="str">
        <f t="shared" si="519"/>
        <v/>
      </c>
      <c r="W271" s="25"/>
      <c r="X271" s="7" t="str">
        <f t="shared" si="520"/>
        <v/>
      </c>
      <c r="Y271" s="18" t="str">
        <f t="shared" si="521"/>
        <v/>
      </c>
      <c r="Z271" s="7" t="str">
        <f t="shared" si="522"/>
        <v/>
      </c>
      <c r="AA271" s="18" t="str">
        <f t="shared" si="523"/>
        <v/>
      </c>
      <c r="AB271" s="19" t="str">
        <f t="shared" si="524"/>
        <v/>
      </c>
      <c r="AC271" s="26"/>
      <c r="AD271" s="26"/>
      <c r="AE271" s="25"/>
      <c r="AF271" s="26"/>
      <c r="AG271" s="25"/>
      <c r="AH271" s="25"/>
      <c r="AI271" s="18" t="str">
        <f t="shared" si="461"/>
        <v/>
      </c>
      <c r="AJ271" s="25"/>
      <c r="AK271" s="18" t="str">
        <f t="shared" si="462"/>
        <v/>
      </c>
      <c r="AL271" s="79"/>
      <c r="AM271" s="126" t="str">
        <f t="shared" si="463"/>
        <v/>
      </c>
      <c r="AN271" s="128" t="str">
        <f>IF(AP271&lt;&gt;"",VLOOKUP($P271&amp;" | "&amp;AN$6,'Job Master'!$F$12:$J$102,5,0),"")</f>
        <v/>
      </c>
      <c r="AO271" s="19" t="str">
        <f>IF(AP271&lt;&gt;"",VLOOKUP($P271&amp;" | "&amp;AN$6,'Job Master'!$F$12:$J$102,3,0),"")</f>
        <v/>
      </c>
      <c r="AP271" s="19" t="str">
        <f>IFERROR(IF(AND(AW271&lt;&gt;"",VLOOKUP($P271&amp;" | "&amp;AN$6,'Job Master'!$F$12:$I$102,4,0)&lt;&gt;""),IF(WEEKDAY(AW271-VLOOKUP($P271&amp;" | "&amp;AN$6,'Job Master'!$F$12:$I$102,4,0))&lt;&gt;7,AW271-VLOOKUP($P271&amp;" | "&amp;AN$6,'Job Master'!$F$12:$I$102,4,0),AW271-VLOOKUP($P271&amp;" | "&amp;AN$6,'Job Master'!$F$12:$I$102,4,0)-1),""),"")</f>
        <v/>
      </c>
      <c r="AQ271" s="73"/>
      <c r="AR271" s="123" t="str">
        <f t="shared" si="525"/>
        <v/>
      </c>
      <c r="AS271" s="123" t="str">
        <f t="shared" si="526"/>
        <v/>
      </c>
      <c r="AT271" s="97" t="str">
        <f t="shared" ca="1" si="527"/>
        <v/>
      </c>
      <c r="AU271" s="98" t="str">
        <f>IF(AW271&lt;&gt;"",VLOOKUP($P271&amp;" | "&amp;AU$6,'Job Master'!$F$12:$J$102,5,0),"")</f>
        <v/>
      </c>
      <c r="AV271" s="19" t="str">
        <f>IF(AW271&lt;&gt;"",VLOOKUP($P271&amp;" | "&amp;AU$6,'Job Master'!$F$12:$J$102,3,0),"")</f>
        <v/>
      </c>
      <c r="AW271" s="19" t="str">
        <f>IFERROR(IF(AND(BD271&lt;&gt;"",VLOOKUP($P271&amp;" | "&amp;AU$6,'Job Master'!$F$12:$I$102,4,0)&lt;&gt;""),IF(WEEKDAY(BD271-VLOOKUP($P271&amp;" | "&amp;AU$6,'Job Master'!$F$12:$I$102,4,0))&lt;&gt;7,BD271-VLOOKUP($P271&amp;" | "&amp;AU$6,'Job Master'!$F$12:$I$102,4,0),BD271-VLOOKUP($P271&amp;" | "&amp;AU$6,'Job Master'!$F$12:$I$102,4,0)-1),""),"")</f>
        <v/>
      </c>
      <c r="AX271" s="73"/>
      <c r="AY271" s="123" t="str">
        <f t="shared" si="528"/>
        <v/>
      </c>
      <c r="AZ271" s="123" t="str">
        <f t="shared" si="529"/>
        <v/>
      </c>
      <c r="BA271" s="97" t="str">
        <f t="shared" ca="1" si="530"/>
        <v/>
      </c>
      <c r="BB271" s="98" t="str">
        <f>IF(BD271&lt;&gt;"",VLOOKUP($P271&amp;" | "&amp;BB$6,'Job Master'!$F$12:$J$102,5,0),"")</f>
        <v/>
      </c>
      <c r="BC271" s="19" t="str">
        <f>IF(BD271&lt;&gt;"",VLOOKUP($P271&amp;" | "&amp;BB$6,'Job Master'!$F$12:$J$102,3,0),"")</f>
        <v/>
      </c>
      <c r="BD271" s="19" t="str">
        <f>IFERROR(IF(AND(BK271&lt;&gt;"",VLOOKUP($P271&amp;" | "&amp;BB$6,'Job Master'!$F$12:$I$102,4,0)&lt;&gt;""),IF(WEEKDAY(BK271-VLOOKUP($P271&amp;" | "&amp;BB$6,'Job Master'!$F$12:$I$102,4,0))&lt;&gt;7,BK271-VLOOKUP($P271&amp;" | "&amp;BB$6,'Job Master'!$F$12:$I$102,4,0),BK271-VLOOKUP($P271&amp;" | "&amp;BB$6,'Job Master'!$F$12:$I$102,4,0)-1),""),"")</f>
        <v/>
      </c>
      <c r="BE271" s="73"/>
      <c r="BF271" s="123" t="str">
        <f t="shared" si="531"/>
        <v/>
      </c>
      <c r="BG271" s="123" t="str">
        <f t="shared" si="532"/>
        <v/>
      </c>
      <c r="BH271" s="97" t="str">
        <f t="shared" ca="1" si="533"/>
        <v/>
      </c>
      <c r="BI271" s="98" t="str">
        <f>IF(BK271&lt;&gt;"",VLOOKUP($P271&amp;" | "&amp;BI$6,'Job Master'!$F$12:$J$102,5,0),"")</f>
        <v/>
      </c>
      <c r="BJ271" s="19" t="str">
        <f>IF(BK271&lt;&gt;"",VLOOKUP($P271&amp;" | "&amp;BI$6,'Job Master'!$F$12:$J$102,3,0),"")</f>
        <v/>
      </c>
      <c r="BK271" s="19" t="str">
        <f>IFERROR(IF(AND(BR271&lt;&gt;"",VLOOKUP($P271&amp;" | "&amp;BI$6,'Job Master'!$F$12:$I$102,4,0)&lt;&gt;""),IF(WEEKDAY(BR271-VLOOKUP($P271&amp;" | "&amp;BI$6,'Job Master'!$F$12:$I$102,4,0))&lt;&gt;7,BR271-VLOOKUP($P271&amp;" | "&amp;BI$6,'Job Master'!$F$12:$I$102,4,0),BR271-VLOOKUP($P271&amp;" | "&amp;BI$6,'Job Master'!$F$12:$I$102,4,0)-1),""),"")</f>
        <v/>
      </c>
      <c r="BL271" s="73"/>
      <c r="BM271" s="123" t="str">
        <f t="shared" si="534"/>
        <v/>
      </c>
      <c r="BN271" s="123" t="str">
        <f t="shared" si="535"/>
        <v/>
      </c>
      <c r="BO271" s="97" t="str">
        <f t="shared" ca="1" si="536"/>
        <v/>
      </c>
      <c r="BP271" s="98" t="str">
        <f>IF(BR271&lt;&gt;"",VLOOKUP($P271&amp;" | "&amp;BP$6,'Job Master'!$F$12:$J$102,5,0),"")</f>
        <v/>
      </c>
      <c r="BQ271" s="19" t="str">
        <f>IF(BR271&lt;&gt;"",VLOOKUP($P271&amp;" | "&amp;BP$6,'Job Master'!$F$12:$J$102,3,0),"")</f>
        <v/>
      </c>
      <c r="BR271" s="19" t="str">
        <f>IFERROR(IF(AND(BY271&lt;&gt;"",VLOOKUP($P271&amp;" | "&amp;BP$6,'Job Master'!$F$12:$I$102,4,0)&lt;&gt;""),IF(WEEKDAY(BY271-VLOOKUP($P271&amp;" | "&amp;BP$6,'Job Master'!$F$12:$I$102,4,0))&lt;&gt;7,BY271-VLOOKUP($P271&amp;" | "&amp;BP$6,'Job Master'!$F$12:$I$102,4,0),BY271-VLOOKUP($P271&amp;" | "&amp;BP$6,'Job Master'!$F$12:$I$102,4,0)-1),""),"")</f>
        <v/>
      </c>
      <c r="BS271" s="73"/>
      <c r="BT271" s="123" t="str">
        <f t="shared" si="537"/>
        <v/>
      </c>
      <c r="BU271" s="123" t="str">
        <f t="shared" si="538"/>
        <v/>
      </c>
      <c r="BV271" s="97" t="str">
        <f t="shared" ca="1" si="539"/>
        <v/>
      </c>
      <c r="BW271" s="98" t="str">
        <f>IF(BY271&lt;&gt;"",VLOOKUP($P271&amp;" | "&amp;BW$6,'Job Master'!$F$12:$J$102,5,0),"")</f>
        <v/>
      </c>
      <c r="BX271" s="19" t="str">
        <f>IF(BY271&lt;&gt;"",VLOOKUP($P271&amp;" | "&amp;BW$6,'Job Master'!$F$12:$J$102,3,0),"")</f>
        <v/>
      </c>
      <c r="BY271" s="19" t="str">
        <f>IFERROR(IF(AND(CF271&lt;&gt;"",VLOOKUP($P271&amp;" | "&amp;BW$6,'Job Master'!$F$12:$I$102,4,0)&lt;&gt;""),IF(WEEKDAY(CF271-VLOOKUP($P271&amp;" | "&amp;BW$6,'Job Master'!$F$12:$I$102,4,0))&lt;&gt;7,CF271-VLOOKUP($P271&amp;" | "&amp;BW$6,'Job Master'!$F$12:$I$102,4,0),CF271-VLOOKUP($P271&amp;" | "&amp;BW$6,'Job Master'!$F$12:$I$102,4,0)-1),""),"")</f>
        <v/>
      </c>
      <c r="BZ271" s="73"/>
      <c r="CA271" s="123" t="str">
        <f t="shared" si="540"/>
        <v/>
      </c>
      <c r="CB271" s="123" t="str">
        <f t="shared" si="541"/>
        <v/>
      </c>
      <c r="CC271" s="97" t="str">
        <f t="shared" ca="1" si="542"/>
        <v/>
      </c>
      <c r="CD271" s="98" t="str">
        <f>IF(CF271&lt;&gt;"",VLOOKUP($P271&amp;" | "&amp;CD$6,'Job Master'!$F$12:$J$102,5,0),"")</f>
        <v/>
      </c>
      <c r="CE271" s="19" t="str">
        <f>IF(CF271&lt;&gt;"",VLOOKUP($P271&amp;" | "&amp;CD$6,'Job Master'!$F$12:$J$102,3,0),"")</f>
        <v/>
      </c>
      <c r="CF271" s="19" t="str">
        <f>IFERROR(IF(AND(CM271&lt;&gt;"",VLOOKUP($P271&amp;" | "&amp;CD$6,'Job Master'!$F$12:$I$102,4,0)&lt;&gt;""),IF(WEEKDAY(CM271-VLOOKUP($P271&amp;" | "&amp;CD$6,'Job Master'!$F$12:$I$102,4,0))&lt;&gt;7,CM271-VLOOKUP($P271&amp;" | "&amp;CD$6,'Job Master'!$F$12:$I$102,4,0),CM271-VLOOKUP($P271&amp;" | "&amp;CD$6,'Job Master'!$F$12:$I$102,4,0)-1),""),"")</f>
        <v/>
      </c>
      <c r="CG271" s="73"/>
      <c r="CH271" s="123" t="str">
        <f t="shared" si="543"/>
        <v/>
      </c>
      <c r="CI271" s="123" t="str">
        <f t="shared" si="544"/>
        <v/>
      </c>
      <c r="CJ271" s="97" t="str">
        <f t="shared" ca="1" si="545"/>
        <v/>
      </c>
      <c r="CK271" s="98" t="str">
        <f>IF(CM271&lt;&gt;"",VLOOKUP($P271&amp;" | "&amp;CK$6,'Job Master'!$F$12:$J$102,5,0),"")</f>
        <v/>
      </c>
      <c r="CL271" s="19" t="str">
        <f>IF(CM271&lt;&gt;"",VLOOKUP($P271&amp;" | "&amp;CK$6,'Job Master'!$F$12:$J$102,3,0),"")</f>
        <v/>
      </c>
      <c r="CM271" s="19" t="str">
        <f>IFERROR(IF(AND(CT271&lt;&gt;"",VLOOKUP($P271&amp;" | "&amp;CK$6,'Job Master'!$F$12:$I$102,4,0)&lt;&gt;""),IF(WEEKDAY(CT271-VLOOKUP($P271&amp;" | "&amp;CK$6,'Job Master'!$F$12:$I$102,4,0))&lt;&gt;7,CT271-VLOOKUP($P271&amp;" | "&amp;CK$6,'Job Master'!$F$12:$I$102,4,0),CT271-VLOOKUP($P271&amp;" | "&amp;CK$6,'Job Master'!$F$12:$I$102,4,0)-1),""),"")</f>
        <v/>
      </c>
      <c r="CN271" s="73"/>
      <c r="CO271" s="123" t="str">
        <f t="shared" si="546"/>
        <v/>
      </c>
      <c r="CP271" s="123" t="str">
        <f t="shared" si="547"/>
        <v/>
      </c>
      <c r="CQ271" s="97" t="str">
        <f t="shared" ca="1" si="548"/>
        <v/>
      </c>
      <c r="CR271" s="98" t="str">
        <f>IF(CT271&lt;&gt;"",VLOOKUP($P271&amp;" | "&amp;CR$6,'Job Master'!$F$12:$J$102,5,0),"")</f>
        <v/>
      </c>
      <c r="CS271" s="19" t="str">
        <f>IF(CT271&lt;&gt;"",VLOOKUP($P271&amp;" | "&amp;CR$6,'Job Master'!$F$12:$J$102,3,0),"")</f>
        <v/>
      </c>
      <c r="CT271" s="19" t="str">
        <f>IFERROR(IF(AND(DA271&lt;&gt;"",VLOOKUP($P271&amp;" | "&amp;CR$6,'Job Master'!$F$12:$I$102,4,0)&lt;&gt;""),IF(WEEKDAY(DA271-VLOOKUP($P271&amp;" | "&amp;CR$6,'Job Master'!$F$12:$I$102,4,0))&lt;&gt;7,DA271-VLOOKUP($P271&amp;" | "&amp;CR$6,'Job Master'!$F$12:$I$102,4,0),DA271-VLOOKUP($P271&amp;" | "&amp;CR$6,'Job Master'!$F$12:$I$102,4,0)-1),""),"")</f>
        <v/>
      </c>
      <c r="CU271" s="73"/>
      <c r="CV271" s="123" t="str">
        <f t="shared" si="549"/>
        <v/>
      </c>
      <c r="CW271" s="123" t="str">
        <f t="shared" si="550"/>
        <v/>
      </c>
      <c r="CX271" s="97" t="str">
        <f t="shared" ca="1" si="551"/>
        <v/>
      </c>
      <c r="CY271" s="98" t="str">
        <f>IF(DA271&lt;&gt;"",VLOOKUP($P271&amp;" | "&amp;CY$6,'Job Master'!$F$12:$J$102,5,0),"")</f>
        <v/>
      </c>
      <c r="CZ271" s="19" t="str">
        <f>IF(DA271&lt;&gt;"",VLOOKUP($P271&amp;" | "&amp;CY$6,'Job Master'!$F$12:$J$102,3,0),"")</f>
        <v/>
      </c>
      <c r="DA271" s="19" t="str">
        <f>IFERROR(IF(AND(DH271&lt;&gt;"",VLOOKUP($P271&amp;" | "&amp;CY$6,'Job Master'!$F$12:$I$102,4,0)&lt;&gt;""),IF(WEEKDAY(DH271-VLOOKUP($P271&amp;" | "&amp;CY$6,'Job Master'!$F$12:$I$102,4,0))&lt;&gt;7,DH271-VLOOKUP($P271&amp;" | "&amp;CY$6,'Job Master'!$F$12:$I$102,4,0),DH271-VLOOKUP($P271&amp;" | "&amp;CY$6,'Job Master'!$F$12:$I$102,4,0)-1),""),"")</f>
        <v/>
      </c>
      <c r="DB271" s="73"/>
      <c r="DC271" s="123" t="str">
        <f t="shared" si="552"/>
        <v/>
      </c>
      <c r="DD271" s="123" t="str">
        <f t="shared" si="553"/>
        <v/>
      </c>
      <c r="DE271" s="97" t="str">
        <f t="shared" ca="1" si="554"/>
        <v/>
      </c>
      <c r="DF271" s="98" t="str">
        <f>IF(DH271&lt;&gt;"",VLOOKUP($P271&amp;" | "&amp;DF$6,'Job Master'!$F$12:$J$102,5,0),"")</f>
        <v/>
      </c>
      <c r="DG271" s="19" t="str">
        <f>IF(DH271&lt;&gt;"",VLOOKUP($P271&amp;" | "&amp;DF$6,'Job Master'!$F$12:$J$102,3,0),"")</f>
        <v/>
      </c>
      <c r="DH271" s="19" t="str">
        <f>IFERROR(IF(AND(DO271&lt;&gt;"",VLOOKUP($P271&amp;" | "&amp;DF$6,'Job Master'!$F$12:$I$102,4,0)&lt;&gt;""),IF(WEEKDAY(DO271-VLOOKUP($P271&amp;" | "&amp;DF$6,'Job Master'!$F$12:$I$102,4,0))&lt;&gt;7,DO271-VLOOKUP($P271&amp;" | "&amp;DF$6,'Job Master'!$F$12:$I$102,4,0),DO271-VLOOKUP($P271&amp;" | "&amp;DF$6,'Job Master'!$F$12:$I$102,4,0)-1),""),"")</f>
        <v/>
      </c>
      <c r="DI271" s="73"/>
      <c r="DJ271" s="123" t="str">
        <f t="shared" si="555"/>
        <v/>
      </c>
      <c r="DK271" s="123" t="str">
        <f t="shared" si="556"/>
        <v/>
      </c>
      <c r="DL271" s="97" t="str">
        <f t="shared" ca="1" si="557"/>
        <v/>
      </c>
      <c r="DM271" s="98" t="str">
        <f>IF(DO271&lt;&gt;"",VLOOKUP($P271&amp;" | "&amp;DM$6,'Job Master'!$F$12:$J$102,5,0),"")</f>
        <v/>
      </c>
      <c r="DN271" s="19" t="str">
        <f>IF(DO271&lt;&gt;"",VLOOKUP($P271&amp;" | "&amp;DM$6,'Job Master'!$F$12:$J$102,3,0),"")</f>
        <v/>
      </c>
      <c r="DO271" s="19" t="str">
        <f>IFERROR(IF(AND(DT271&lt;&gt;"",VLOOKUP($P271&amp;" | "&amp;DM$6,'Job Master'!$F$12:$I$102,4,0)&lt;&gt;""),IF(WEEKDAY(DT271-VLOOKUP($P271&amp;" | "&amp;DM$6,'Job Master'!$F$12:$I$102,4,0))&lt;&gt;7,DT271-VLOOKUP($P271&amp;" | "&amp;DM$6,'Job Master'!$F$12:$I$102,4,0),DT271-VLOOKUP($P271&amp;" | "&amp;DM$6,'Job Master'!$F$12:$I$102,4,0)-1),""),"")</f>
        <v/>
      </c>
      <c r="DP271" s="73"/>
      <c r="DQ271" s="123" t="str">
        <f t="shared" si="558"/>
        <v/>
      </c>
      <c r="DR271" s="123" t="str">
        <f t="shared" si="559"/>
        <v/>
      </c>
      <c r="DS271" s="97" t="str">
        <f t="shared" ca="1" si="560"/>
        <v/>
      </c>
      <c r="DT271" s="70" t="str">
        <f t="shared" si="561"/>
        <v/>
      </c>
      <c r="DU271" s="90"/>
      <c r="DV271" s="123" t="str">
        <f t="shared" si="562"/>
        <v/>
      </c>
      <c r="DW271" s="123" t="str">
        <f t="shared" si="563"/>
        <v/>
      </c>
      <c r="DX271" s="132" t="str">
        <f t="shared" ref="DX271" ca="1" si="577">IF(DT271&lt;&gt;"",IF(WEEKNUM(DT271)=WEEKNUM(TODAY()),"This Week",IF(WEEKNUM(DT271)=WEEKNUM(TODAY())+1,"Next Week",IF(WEEKNUM(DT271)=WEEKNUM(TODAY())-1,"Previous Week",""))),"")</f>
        <v/>
      </c>
      <c r="DY271" s="134" t="str">
        <f t="shared" si="565"/>
        <v/>
      </c>
      <c r="DZ271" s="95"/>
      <c r="EB271" s="8" t="str">
        <f t="shared" si="571"/>
        <v/>
      </c>
      <c r="EC271" s="8" t="str">
        <f>IF(O271&lt;&gt;"",VLOOKUP(O271,'Job Master'!$N$12:$O$18,2,0),"")</f>
        <v/>
      </c>
      <c r="ED271" s="8">
        <f t="shared" si="572"/>
        <v>19.5</v>
      </c>
      <c r="EE271" s="8">
        <f t="shared" si="573"/>
        <v>6</v>
      </c>
      <c r="EF271" s="8">
        <f t="shared" si="574"/>
        <v>-1546.5</v>
      </c>
      <c r="EG271" s="8" t="str">
        <f t="shared" si="575"/>
        <v/>
      </c>
      <c r="EH271" s="8" t="str">
        <f t="shared" si="576"/>
        <v/>
      </c>
    </row>
    <row r="272" spans="2:138" x14ac:dyDescent="0.3">
      <c r="B272" s="112"/>
      <c r="C272" s="27"/>
      <c r="D272" s="7" t="str">
        <f t="shared" si="513"/>
        <v/>
      </c>
      <c r="E272" s="25"/>
      <c r="F272" s="7" t="str">
        <f t="shared" si="513"/>
        <v/>
      </c>
      <c r="G272" s="25"/>
      <c r="H272" s="7" t="str">
        <f t="shared" si="513"/>
        <v/>
      </c>
      <c r="I272" s="25"/>
      <c r="J272" s="7" t="str">
        <f t="shared" si="513"/>
        <v/>
      </c>
      <c r="K272" s="25"/>
      <c r="L272" s="7" t="str">
        <f t="shared" si="514"/>
        <v/>
      </c>
      <c r="M272" s="25"/>
      <c r="N272" s="7" t="str">
        <f t="shared" si="515"/>
        <v/>
      </c>
      <c r="O272" s="81"/>
      <c r="P272" s="81" t="str">
        <f t="shared" si="516"/>
        <v/>
      </c>
      <c r="Q272" s="81"/>
      <c r="R272" s="7" t="str">
        <f t="shared" si="517"/>
        <v/>
      </c>
      <c r="S272" s="25"/>
      <c r="T272" s="7" t="str">
        <f t="shared" si="518"/>
        <v/>
      </c>
      <c r="U272" s="25"/>
      <c r="V272" s="7" t="str">
        <f t="shared" si="519"/>
        <v/>
      </c>
      <c r="W272" s="25"/>
      <c r="X272" s="7" t="str">
        <f t="shared" si="520"/>
        <v/>
      </c>
      <c r="Y272" s="18" t="str">
        <f t="shared" si="521"/>
        <v/>
      </c>
      <c r="Z272" s="7" t="str">
        <f t="shared" si="522"/>
        <v/>
      </c>
      <c r="AA272" s="18" t="str">
        <f t="shared" si="523"/>
        <v/>
      </c>
      <c r="AB272" s="19" t="str">
        <f t="shared" si="524"/>
        <v/>
      </c>
      <c r="AC272" s="26"/>
      <c r="AD272" s="26"/>
      <c r="AE272" s="25"/>
      <c r="AF272" s="26"/>
      <c r="AG272" s="25"/>
      <c r="AH272" s="25"/>
      <c r="AI272" s="18" t="str">
        <f t="shared" si="461"/>
        <v/>
      </c>
      <c r="AJ272" s="25"/>
      <c r="AK272" s="18" t="str">
        <f t="shared" si="462"/>
        <v/>
      </c>
      <c r="AL272" s="79"/>
      <c r="AM272" s="126" t="str">
        <f t="shared" si="463"/>
        <v/>
      </c>
      <c r="AN272" s="128" t="str">
        <f>IF(AP272&lt;&gt;"",VLOOKUP($P272&amp;" | "&amp;AN$6,'Job Master'!$F$12:$J$102,5,0),"")</f>
        <v/>
      </c>
      <c r="AO272" s="19" t="str">
        <f>IF(AP272&lt;&gt;"",VLOOKUP($P272&amp;" | "&amp;AN$6,'Job Master'!$F$12:$J$102,3,0),"")</f>
        <v/>
      </c>
      <c r="AP272" s="19" t="str">
        <f>IFERROR(IF(AND(AW272&lt;&gt;"",VLOOKUP($P272&amp;" | "&amp;AN$6,'Job Master'!$F$12:$I$102,4,0)&lt;&gt;""),IF(WEEKDAY(AW272-VLOOKUP($P272&amp;" | "&amp;AN$6,'Job Master'!$F$12:$I$102,4,0))&lt;&gt;7,AW272-VLOOKUP($P272&amp;" | "&amp;AN$6,'Job Master'!$F$12:$I$102,4,0),AW272-VLOOKUP($P272&amp;" | "&amp;AN$6,'Job Master'!$F$12:$I$102,4,0)-1),""),"")</f>
        <v/>
      </c>
      <c r="AQ272" s="73"/>
      <c r="AR272" s="123" t="str">
        <f t="shared" si="525"/>
        <v/>
      </c>
      <c r="AS272" s="123" t="str">
        <f t="shared" si="526"/>
        <v/>
      </c>
      <c r="AT272" s="97" t="str">
        <f t="shared" ca="1" si="527"/>
        <v/>
      </c>
      <c r="AU272" s="98" t="str">
        <f>IF(AW272&lt;&gt;"",VLOOKUP($P272&amp;" | "&amp;AU$6,'Job Master'!$F$12:$J$102,5,0),"")</f>
        <v/>
      </c>
      <c r="AV272" s="19" t="str">
        <f>IF(AW272&lt;&gt;"",VLOOKUP($P272&amp;" | "&amp;AU$6,'Job Master'!$F$12:$J$102,3,0),"")</f>
        <v/>
      </c>
      <c r="AW272" s="19" t="str">
        <f>IFERROR(IF(AND(BD272&lt;&gt;"",VLOOKUP($P272&amp;" | "&amp;AU$6,'Job Master'!$F$12:$I$102,4,0)&lt;&gt;""),IF(WEEKDAY(BD272-VLOOKUP($P272&amp;" | "&amp;AU$6,'Job Master'!$F$12:$I$102,4,0))&lt;&gt;7,BD272-VLOOKUP($P272&amp;" | "&amp;AU$6,'Job Master'!$F$12:$I$102,4,0),BD272-VLOOKUP($P272&amp;" | "&amp;AU$6,'Job Master'!$F$12:$I$102,4,0)-1),""),"")</f>
        <v/>
      </c>
      <c r="AX272" s="73"/>
      <c r="AY272" s="123" t="str">
        <f t="shared" si="528"/>
        <v/>
      </c>
      <c r="AZ272" s="123" t="str">
        <f t="shared" si="529"/>
        <v/>
      </c>
      <c r="BA272" s="97" t="str">
        <f t="shared" ca="1" si="530"/>
        <v/>
      </c>
      <c r="BB272" s="98" t="str">
        <f>IF(BD272&lt;&gt;"",VLOOKUP($P272&amp;" | "&amp;BB$6,'Job Master'!$F$12:$J$102,5,0),"")</f>
        <v/>
      </c>
      <c r="BC272" s="19" t="str">
        <f>IF(BD272&lt;&gt;"",VLOOKUP($P272&amp;" | "&amp;BB$6,'Job Master'!$F$12:$J$102,3,0),"")</f>
        <v/>
      </c>
      <c r="BD272" s="19" t="str">
        <f>IFERROR(IF(AND(BK272&lt;&gt;"",VLOOKUP($P272&amp;" | "&amp;BB$6,'Job Master'!$F$12:$I$102,4,0)&lt;&gt;""),IF(WEEKDAY(BK272-VLOOKUP($P272&amp;" | "&amp;BB$6,'Job Master'!$F$12:$I$102,4,0))&lt;&gt;7,BK272-VLOOKUP($P272&amp;" | "&amp;BB$6,'Job Master'!$F$12:$I$102,4,0),BK272-VLOOKUP($P272&amp;" | "&amp;BB$6,'Job Master'!$F$12:$I$102,4,0)-1),""),"")</f>
        <v/>
      </c>
      <c r="BE272" s="73"/>
      <c r="BF272" s="123" t="str">
        <f t="shared" si="531"/>
        <v/>
      </c>
      <c r="BG272" s="123" t="str">
        <f t="shared" si="532"/>
        <v/>
      </c>
      <c r="BH272" s="97" t="str">
        <f t="shared" ca="1" si="533"/>
        <v/>
      </c>
      <c r="BI272" s="98" t="str">
        <f>IF(BK272&lt;&gt;"",VLOOKUP($P272&amp;" | "&amp;BI$6,'Job Master'!$F$12:$J$102,5,0),"")</f>
        <v/>
      </c>
      <c r="BJ272" s="19" t="str">
        <f>IF(BK272&lt;&gt;"",VLOOKUP($P272&amp;" | "&amp;BI$6,'Job Master'!$F$12:$J$102,3,0),"")</f>
        <v/>
      </c>
      <c r="BK272" s="19" t="str">
        <f>IFERROR(IF(AND(BR272&lt;&gt;"",VLOOKUP($P272&amp;" | "&amp;BI$6,'Job Master'!$F$12:$I$102,4,0)&lt;&gt;""),IF(WEEKDAY(BR272-VLOOKUP($P272&amp;" | "&amp;BI$6,'Job Master'!$F$12:$I$102,4,0))&lt;&gt;7,BR272-VLOOKUP($P272&amp;" | "&amp;BI$6,'Job Master'!$F$12:$I$102,4,0),BR272-VLOOKUP($P272&amp;" | "&amp;BI$6,'Job Master'!$F$12:$I$102,4,0)-1),""),"")</f>
        <v/>
      </c>
      <c r="BL272" s="73"/>
      <c r="BM272" s="123" t="str">
        <f t="shared" si="534"/>
        <v/>
      </c>
      <c r="BN272" s="123" t="str">
        <f t="shared" si="535"/>
        <v/>
      </c>
      <c r="BO272" s="97" t="str">
        <f t="shared" ca="1" si="536"/>
        <v/>
      </c>
      <c r="BP272" s="98" t="str">
        <f>IF(BR272&lt;&gt;"",VLOOKUP($P272&amp;" | "&amp;BP$6,'Job Master'!$F$12:$J$102,5,0),"")</f>
        <v/>
      </c>
      <c r="BQ272" s="19" t="str">
        <f>IF(BR272&lt;&gt;"",VLOOKUP($P272&amp;" | "&amp;BP$6,'Job Master'!$F$12:$J$102,3,0),"")</f>
        <v/>
      </c>
      <c r="BR272" s="19" t="str">
        <f>IFERROR(IF(AND(BY272&lt;&gt;"",VLOOKUP($P272&amp;" | "&amp;BP$6,'Job Master'!$F$12:$I$102,4,0)&lt;&gt;""),IF(WEEKDAY(BY272-VLOOKUP($P272&amp;" | "&amp;BP$6,'Job Master'!$F$12:$I$102,4,0))&lt;&gt;7,BY272-VLOOKUP($P272&amp;" | "&amp;BP$6,'Job Master'!$F$12:$I$102,4,0),BY272-VLOOKUP($P272&amp;" | "&amp;BP$6,'Job Master'!$F$12:$I$102,4,0)-1),""),"")</f>
        <v/>
      </c>
      <c r="BS272" s="73"/>
      <c r="BT272" s="123" t="str">
        <f t="shared" si="537"/>
        <v/>
      </c>
      <c r="BU272" s="123" t="str">
        <f t="shared" si="538"/>
        <v/>
      </c>
      <c r="BV272" s="97" t="str">
        <f t="shared" ca="1" si="539"/>
        <v/>
      </c>
      <c r="BW272" s="98" t="str">
        <f>IF(BY272&lt;&gt;"",VLOOKUP($P272&amp;" | "&amp;BW$6,'Job Master'!$F$12:$J$102,5,0),"")</f>
        <v/>
      </c>
      <c r="BX272" s="19" t="str">
        <f>IF(BY272&lt;&gt;"",VLOOKUP($P272&amp;" | "&amp;BW$6,'Job Master'!$F$12:$J$102,3,0),"")</f>
        <v/>
      </c>
      <c r="BY272" s="19" t="str">
        <f>IFERROR(IF(AND(CF272&lt;&gt;"",VLOOKUP($P272&amp;" | "&amp;BW$6,'Job Master'!$F$12:$I$102,4,0)&lt;&gt;""),IF(WEEKDAY(CF272-VLOOKUP($P272&amp;" | "&amp;BW$6,'Job Master'!$F$12:$I$102,4,0))&lt;&gt;7,CF272-VLOOKUP($P272&amp;" | "&amp;BW$6,'Job Master'!$F$12:$I$102,4,0),CF272-VLOOKUP($P272&amp;" | "&amp;BW$6,'Job Master'!$F$12:$I$102,4,0)-1),""),"")</f>
        <v/>
      </c>
      <c r="BZ272" s="73"/>
      <c r="CA272" s="123" t="str">
        <f t="shared" si="540"/>
        <v/>
      </c>
      <c r="CB272" s="123" t="str">
        <f t="shared" si="541"/>
        <v/>
      </c>
      <c r="CC272" s="97" t="str">
        <f t="shared" ca="1" si="542"/>
        <v/>
      </c>
      <c r="CD272" s="98" t="str">
        <f>IF(CF272&lt;&gt;"",VLOOKUP($P272&amp;" | "&amp;CD$6,'Job Master'!$F$12:$J$102,5,0),"")</f>
        <v/>
      </c>
      <c r="CE272" s="19" t="str">
        <f>IF(CF272&lt;&gt;"",VLOOKUP($P272&amp;" | "&amp;CD$6,'Job Master'!$F$12:$J$102,3,0),"")</f>
        <v/>
      </c>
      <c r="CF272" s="19" t="str">
        <f>IFERROR(IF(AND(CM272&lt;&gt;"",VLOOKUP($P272&amp;" | "&amp;CD$6,'Job Master'!$F$12:$I$102,4,0)&lt;&gt;""),IF(WEEKDAY(CM272-VLOOKUP($P272&amp;" | "&amp;CD$6,'Job Master'!$F$12:$I$102,4,0))&lt;&gt;7,CM272-VLOOKUP($P272&amp;" | "&amp;CD$6,'Job Master'!$F$12:$I$102,4,0),CM272-VLOOKUP($P272&amp;" | "&amp;CD$6,'Job Master'!$F$12:$I$102,4,0)-1),""),"")</f>
        <v/>
      </c>
      <c r="CG272" s="73"/>
      <c r="CH272" s="123" t="str">
        <f t="shared" si="543"/>
        <v/>
      </c>
      <c r="CI272" s="123" t="str">
        <f t="shared" si="544"/>
        <v/>
      </c>
      <c r="CJ272" s="97" t="str">
        <f t="shared" ca="1" si="545"/>
        <v/>
      </c>
      <c r="CK272" s="98" t="str">
        <f>IF(CM272&lt;&gt;"",VLOOKUP($P272&amp;" | "&amp;CK$6,'Job Master'!$F$12:$J$102,5,0),"")</f>
        <v/>
      </c>
      <c r="CL272" s="19" t="str">
        <f>IF(CM272&lt;&gt;"",VLOOKUP($P272&amp;" | "&amp;CK$6,'Job Master'!$F$12:$J$102,3,0),"")</f>
        <v/>
      </c>
      <c r="CM272" s="19" t="str">
        <f>IFERROR(IF(AND(CT272&lt;&gt;"",VLOOKUP($P272&amp;" | "&amp;CK$6,'Job Master'!$F$12:$I$102,4,0)&lt;&gt;""),IF(WEEKDAY(CT272-VLOOKUP($P272&amp;" | "&amp;CK$6,'Job Master'!$F$12:$I$102,4,0))&lt;&gt;7,CT272-VLOOKUP($P272&amp;" | "&amp;CK$6,'Job Master'!$F$12:$I$102,4,0),CT272-VLOOKUP($P272&amp;" | "&amp;CK$6,'Job Master'!$F$12:$I$102,4,0)-1),""),"")</f>
        <v/>
      </c>
      <c r="CN272" s="73"/>
      <c r="CO272" s="123" t="str">
        <f t="shared" si="546"/>
        <v/>
      </c>
      <c r="CP272" s="123" t="str">
        <f t="shared" si="547"/>
        <v/>
      </c>
      <c r="CQ272" s="97" t="str">
        <f t="shared" ca="1" si="548"/>
        <v/>
      </c>
      <c r="CR272" s="98" t="str">
        <f>IF(CT272&lt;&gt;"",VLOOKUP($P272&amp;" | "&amp;CR$6,'Job Master'!$F$12:$J$102,5,0),"")</f>
        <v/>
      </c>
      <c r="CS272" s="19" t="str">
        <f>IF(CT272&lt;&gt;"",VLOOKUP($P272&amp;" | "&amp;CR$6,'Job Master'!$F$12:$J$102,3,0),"")</f>
        <v/>
      </c>
      <c r="CT272" s="19" t="str">
        <f>IFERROR(IF(AND(DA272&lt;&gt;"",VLOOKUP($P272&amp;" | "&amp;CR$6,'Job Master'!$F$12:$I$102,4,0)&lt;&gt;""),IF(WEEKDAY(DA272-VLOOKUP($P272&amp;" | "&amp;CR$6,'Job Master'!$F$12:$I$102,4,0))&lt;&gt;7,DA272-VLOOKUP($P272&amp;" | "&amp;CR$6,'Job Master'!$F$12:$I$102,4,0),DA272-VLOOKUP($P272&amp;" | "&amp;CR$6,'Job Master'!$F$12:$I$102,4,0)-1),""),"")</f>
        <v/>
      </c>
      <c r="CU272" s="73"/>
      <c r="CV272" s="123" t="str">
        <f t="shared" si="549"/>
        <v/>
      </c>
      <c r="CW272" s="123" t="str">
        <f t="shared" si="550"/>
        <v/>
      </c>
      <c r="CX272" s="97" t="str">
        <f t="shared" ca="1" si="551"/>
        <v/>
      </c>
      <c r="CY272" s="98" t="str">
        <f>IF(DA272&lt;&gt;"",VLOOKUP($P272&amp;" | "&amp;CY$6,'Job Master'!$F$12:$J$102,5,0),"")</f>
        <v/>
      </c>
      <c r="CZ272" s="19" t="str">
        <f>IF(DA272&lt;&gt;"",VLOOKUP($P272&amp;" | "&amp;CY$6,'Job Master'!$F$12:$J$102,3,0),"")</f>
        <v/>
      </c>
      <c r="DA272" s="19" t="str">
        <f>IFERROR(IF(AND(DH272&lt;&gt;"",VLOOKUP($P272&amp;" | "&amp;CY$6,'Job Master'!$F$12:$I$102,4,0)&lt;&gt;""),IF(WEEKDAY(DH272-VLOOKUP($P272&amp;" | "&amp;CY$6,'Job Master'!$F$12:$I$102,4,0))&lt;&gt;7,DH272-VLOOKUP($P272&amp;" | "&amp;CY$6,'Job Master'!$F$12:$I$102,4,0),DH272-VLOOKUP($P272&amp;" | "&amp;CY$6,'Job Master'!$F$12:$I$102,4,0)-1),""),"")</f>
        <v/>
      </c>
      <c r="DB272" s="73"/>
      <c r="DC272" s="123" t="str">
        <f t="shared" si="552"/>
        <v/>
      </c>
      <c r="DD272" s="123" t="str">
        <f t="shared" si="553"/>
        <v/>
      </c>
      <c r="DE272" s="97" t="str">
        <f t="shared" ca="1" si="554"/>
        <v/>
      </c>
      <c r="DF272" s="98" t="str">
        <f>IF(DH272&lt;&gt;"",VLOOKUP($P272&amp;" | "&amp;DF$6,'Job Master'!$F$12:$J$102,5,0),"")</f>
        <v/>
      </c>
      <c r="DG272" s="19" t="str">
        <f>IF(DH272&lt;&gt;"",VLOOKUP($P272&amp;" | "&amp;DF$6,'Job Master'!$F$12:$J$102,3,0),"")</f>
        <v/>
      </c>
      <c r="DH272" s="19" t="str">
        <f>IFERROR(IF(AND(DO272&lt;&gt;"",VLOOKUP($P272&amp;" | "&amp;DF$6,'Job Master'!$F$12:$I$102,4,0)&lt;&gt;""),IF(WEEKDAY(DO272-VLOOKUP($P272&amp;" | "&amp;DF$6,'Job Master'!$F$12:$I$102,4,0))&lt;&gt;7,DO272-VLOOKUP($P272&amp;" | "&amp;DF$6,'Job Master'!$F$12:$I$102,4,0),DO272-VLOOKUP($P272&amp;" | "&amp;DF$6,'Job Master'!$F$12:$I$102,4,0)-1),""),"")</f>
        <v/>
      </c>
      <c r="DI272" s="73"/>
      <c r="DJ272" s="123" t="str">
        <f t="shared" si="555"/>
        <v/>
      </c>
      <c r="DK272" s="123" t="str">
        <f t="shared" si="556"/>
        <v/>
      </c>
      <c r="DL272" s="97" t="str">
        <f t="shared" ca="1" si="557"/>
        <v/>
      </c>
      <c r="DM272" s="98" t="str">
        <f>IF(DO272&lt;&gt;"",VLOOKUP($P272&amp;" | "&amp;DM$6,'Job Master'!$F$12:$J$102,5,0),"")</f>
        <v/>
      </c>
      <c r="DN272" s="19" t="str">
        <f>IF(DO272&lt;&gt;"",VLOOKUP($P272&amp;" | "&amp;DM$6,'Job Master'!$F$12:$J$102,3,0),"")</f>
        <v/>
      </c>
      <c r="DO272" s="19" t="str">
        <f>IFERROR(IF(AND(DT272&lt;&gt;"",VLOOKUP($P272&amp;" | "&amp;DM$6,'Job Master'!$F$12:$I$102,4,0)&lt;&gt;""),IF(WEEKDAY(DT272-VLOOKUP($P272&amp;" | "&amp;DM$6,'Job Master'!$F$12:$I$102,4,0))&lt;&gt;7,DT272-VLOOKUP($P272&amp;" | "&amp;DM$6,'Job Master'!$F$12:$I$102,4,0),DT272-VLOOKUP($P272&amp;" | "&amp;DM$6,'Job Master'!$F$12:$I$102,4,0)-1),""),"")</f>
        <v/>
      </c>
      <c r="DP272" s="73"/>
      <c r="DQ272" s="123" t="str">
        <f t="shared" si="558"/>
        <v/>
      </c>
      <c r="DR272" s="123" t="str">
        <f t="shared" si="559"/>
        <v/>
      </c>
      <c r="DS272" s="97" t="str">
        <f t="shared" ca="1" si="560"/>
        <v/>
      </c>
      <c r="DT272" s="70" t="str">
        <f t="shared" si="561"/>
        <v/>
      </c>
      <c r="DU272" s="90"/>
      <c r="DV272" s="123" t="str">
        <f t="shared" si="562"/>
        <v/>
      </c>
      <c r="DW272" s="123" t="str">
        <f t="shared" si="563"/>
        <v/>
      </c>
      <c r="DX272" s="132" t="str">
        <f t="shared" ref="DX272" ca="1" si="578">IF(DT272&lt;&gt;"",IF(WEEKNUM(DT272)=WEEKNUM(TODAY()),"This Week",IF(WEEKNUM(DT272)=WEEKNUM(TODAY())+1,"Next Week",IF(WEEKNUM(DT272)=WEEKNUM(TODAY())-1,"Previous Week",""))),"")</f>
        <v/>
      </c>
      <c r="DY272" s="134" t="str">
        <f t="shared" si="565"/>
        <v/>
      </c>
      <c r="DZ272" s="95"/>
      <c r="EB272" s="8" t="str">
        <f t="shared" si="571"/>
        <v/>
      </c>
      <c r="EC272" s="8" t="str">
        <f>IF(O272&lt;&gt;"",VLOOKUP(O272,'Job Master'!$N$12:$O$18,2,0),"")</f>
        <v/>
      </c>
      <c r="ED272" s="8">
        <f t="shared" si="572"/>
        <v>19.5</v>
      </c>
      <c r="EE272" s="8">
        <f t="shared" si="573"/>
        <v>6</v>
      </c>
      <c r="EF272" s="8">
        <f t="shared" si="574"/>
        <v>-1552.5</v>
      </c>
      <c r="EG272" s="8" t="str">
        <f t="shared" si="575"/>
        <v/>
      </c>
      <c r="EH272" s="8" t="str">
        <f t="shared" si="576"/>
        <v/>
      </c>
    </row>
    <row r="273" spans="2:138" x14ac:dyDescent="0.3">
      <c r="B273" s="112"/>
      <c r="C273" s="27"/>
      <c r="D273" s="7" t="str">
        <f t="shared" si="513"/>
        <v/>
      </c>
      <c r="E273" s="25"/>
      <c r="F273" s="7" t="str">
        <f t="shared" si="513"/>
        <v/>
      </c>
      <c r="G273" s="25"/>
      <c r="H273" s="7" t="str">
        <f t="shared" si="513"/>
        <v/>
      </c>
      <c r="I273" s="25"/>
      <c r="J273" s="7" t="str">
        <f t="shared" si="513"/>
        <v/>
      </c>
      <c r="K273" s="25"/>
      <c r="L273" s="7" t="str">
        <f t="shared" si="514"/>
        <v/>
      </c>
      <c r="M273" s="25"/>
      <c r="N273" s="7" t="str">
        <f t="shared" si="515"/>
        <v/>
      </c>
      <c r="O273" s="81"/>
      <c r="P273" s="81" t="str">
        <f t="shared" si="516"/>
        <v/>
      </c>
      <c r="Q273" s="81"/>
      <c r="R273" s="7" t="str">
        <f t="shared" si="517"/>
        <v/>
      </c>
      <c r="S273" s="25"/>
      <c r="T273" s="7" t="str">
        <f t="shared" si="518"/>
        <v/>
      </c>
      <c r="U273" s="25"/>
      <c r="V273" s="7" t="str">
        <f t="shared" si="519"/>
        <v/>
      </c>
      <c r="W273" s="25"/>
      <c r="X273" s="7" t="str">
        <f t="shared" si="520"/>
        <v/>
      </c>
      <c r="Y273" s="18" t="str">
        <f t="shared" si="521"/>
        <v/>
      </c>
      <c r="Z273" s="7" t="str">
        <f t="shared" si="522"/>
        <v/>
      </c>
      <c r="AA273" s="18" t="str">
        <f t="shared" si="523"/>
        <v/>
      </c>
      <c r="AB273" s="19" t="str">
        <f t="shared" si="524"/>
        <v/>
      </c>
      <c r="AC273" s="26"/>
      <c r="AD273" s="26"/>
      <c r="AE273" s="25"/>
      <c r="AF273" s="26"/>
      <c r="AG273" s="25"/>
      <c r="AH273" s="25"/>
      <c r="AI273" s="18" t="str">
        <f t="shared" si="461"/>
        <v/>
      </c>
      <c r="AJ273" s="25"/>
      <c r="AK273" s="18" t="str">
        <f t="shared" si="462"/>
        <v/>
      </c>
      <c r="AL273" s="79"/>
      <c r="AM273" s="126" t="str">
        <f t="shared" si="463"/>
        <v/>
      </c>
      <c r="AN273" s="128" t="str">
        <f>IF(AP273&lt;&gt;"",VLOOKUP($P273&amp;" | "&amp;AN$6,'Job Master'!$F$12:$J$102,5,0),"")</f>
        <v/>
      </c>
      <c r="AO273" s="19" t="str">
        <f>IF(AP273&lt;&gt;"",VLOOKUP($P273&amp;" | "&amp;AN$6,'Job Master'!$F$12:$J$102,3,0),"")</f>
        <v/>
      </c>
      <c r="AP273" s="19" t="str">
        <f>IFERROR(IF(AND(AW273&lt;&gt;"",VLOOKUP($P273&amp;" | "&amp;AN$6,'Job Master'!$F$12:$I$102,4,0)&lt;&gt;""),IF(WEEKDAY(AW273-VLOOKUP($P273&amp;" | "&amp;AN$6,'Job Master'!$F$12:$I$102,4,0))&lt;&gt;7,AW273-VLOOKUP($P273&amp;" | "&amp;AN$6,'Job Master'!$F$12:$I$102,4,0),AW273-VLOOKUP($P273&amp;" | "&amp;AN$6,'Job Master'!$F$12:$I$102,4,0)-1),""),"")</f>
        <v/>
      </c>
      <c r="AQ273" s="73"/>
      <c r="AR273" s="123" t="str">
        <f t="shared" si="525"/>
        <v/>
      </c>
      <c r="AS273" s="123" t="str">
        <f t="shared" si="526"/>
        <v/>
      </c>
      <c r="AT273" s="97" t="str">
        <f t="shared" ca="1" si="527"/>
        <v/>
      </c>
      <c r="AU273" s="98" t="str">
        <f>IF(AW273&lt;&gt;"",VLOOKUP($P273&amp;" | "&amp;AU$6,'Job Master'!$F$12:$J$102,5,0),"")</f>
        <v/>
      </c>
      <c r="AV273" s="19" t="str">
        <f>IF(AW273&lt;&gt;"",VLOOKUP($P273&amp;" | "&amp;AU$6,'Job Master'!$F$12:$J$102,3,0),"")</f>
        <v/>
      </c>
      <c r="AW273" s="19" t="str">
        <f>IFERROR(IF(AND(BD273&lt;&gt;"",VLOOKUP($P273&amp;" | "&amp;AU$6,'Job Master'!$F$12:$I$102,4,0)&lt;&gt;""),IF(WEEKDAY(BD273-VLOOKUP($P273&amp;" | "&amp;AU$6,'Job Master'!$F$12:$I$102,4,0))&lt;&gt;7,BD273-VLOOKUP($P273&amp;" | "&amp;AU$6,'Job Master'!$F$12:$I$102,4,0),BD273-VLOOKUP($P273&amp;" | "&amp;AU$6,'Job Master'!$F$12:$I$102,4,0)-1),""),"")</f>
        <v/>
      </c>
      <c r="AX273" s="73"/>
      <c r="AY273" s="123" t="str">
        <f t="shared" si="528"/>
        <v/>
      </c>
      <c r="AZ273" s="123" t="str">
        <f t="shared" si="529"/>
        <v/>
      </c>
      <c r="BA273" s="97" t="str">
        <f t="shared" ca="1" si="530"/>
        <v/>
      </c>
      <c r="BB273" s="98" t="str">
        <f>IF(BD273&lt;&gt;"",VLOOKUP($P273&amp;" | "&amp;BB$6,'Job Master'!$F$12:$J$102,5,0),"")</f>
        <v/>
      </c>
      <c r="BC273" s="19" t="str">
        <f>IF(BD273&lt;&gt;"",VLOOKUP($P273&amp;" | "&amp;BB$6,'Job Master'!$F$12:$J$102,3,0),"")</f>
        <v/>
      </c>
      <c r="BD273" s="19" t="str">
        <f>IFERROR(IF(AND(BK273&lt;&gt;"",VLOOKUP($P273&amp;" | "&amp;BB$6,'Job Master'!$F$12:$I$102,4,0)&lt;&gt;""),IF(WEEKDAY(BK273-VLOOKUP($P273&amp;" | "&amp;BB$6,'Job Master'!$F$12:$I$102,4,0))&lt;&gt;7,BK273-VLOOKUP($P273&amp;" | "&amp;BB$6,'Job Master'!$F$12:$I$102,4,0),BK273-VLOOKUP($P273&amp;" | "&amp;BB$6,'Job Master'!$F$12:$I$102,4,0)-1),""),"")</f>
        <v/>
      </c>
      <c r="BE273" s="73"/>
      <c r="BF273" s="123" t="str">
        <f t="shared" si="531"/>
        <v/>
      </c>
      <c r="BG273" s="123" t="str">
        <f t="shared" si="532"/>
        <v/>
      </c>
      <c r="BH273" s="97" t="str">
        <f t="shared" ca="1" si="533"/>
        <v/>
      </c>
      <c r="BI273" s="98" t="str">
        <f>IF(BK273&lt;&gt;"",VLOOKUP($P273&amp;" | "&amp;BI$6,'Job Master'!$F$12:$J$102,5,0),"")</f>
        <v/>
      </c>
      <c r="BJ273" s="19" t="str">
        <f>IF(BK273&lt;&gt;"",VLOOKUP($P273&amp;" | "&amp;BI$6,'Job Master'!$F$12:$J$102,3,0),"")</f>
        <v/>
      </c>
      <c r="BK273" s="19" t="str">
        <f>IFERROR(IF(AND(BR273&lt;&gt;"",VLOOKUP($P273&amp;" | "&amp;BI$6,'Job Master'!$F$12:$I$102,4,0)&lt;&gt;""),IF(WEEKDAY(BR273-VLOOKUP($P273&amp;" | "&amp;BI$6,'Job Master'!$F$12:$I$102,4,0))&lt;&gt;7,BR273-VLOOKUP($P273&amp;" | "&amp;BI$6,'Job Master'!$F$12:$I$102,4,0),BR273-VLOOKUP($P273&amp;" | "&amp;BI$6,'Job Master'!$F$12:$I$102,4,0)-1),""),"")</f>
        <v/>
      </c>
      <c r="BL273" s="73"/>
      <c r="BM273" s="123" t="str">
        <f t="shared" si="534"/>
        <v/>
      </c>
      <c r="BN273" s="123" t="str">
        <f t="shared" si="535"/>
        <v/>
      </c>
      <c r="BO273" s="97" t="str">
        <f t="shared" ca="1" si="536"/>
        <v/>
      </c>
      <c r="BP273" s="98" t="str">
        <f>IF(BR273&lt;&gt;"",VLOOKUP($P273&amp;" | "&amp;BP$6,'Job Master'!$F$12:$J$102,5,0),"")</f>
        <v/>
      </c>
      <c r="BQ273" s="19" t="str">
        <f>IF(BR273&lt;&gt;"",VLOOKUP($P273&amp;" | "&amp;BP$6,'Job Master'!$F$12:$J$102,3,0),"")</f>
        <v/>
      </c>
      <c r="BR273" s="19" t="str">
        <f>IFERROR(IF(AND(BY273&lt;&gt;"",VLOOKUP($P273&amp;" | "&amp;BP$6,'Job Master'!$F$12:$I$102,4,0)&lt;&gt;""),IF(WEEKDAY(BY273-VLOOKUP($P273&amp;" | "&amp;BP$6,'Job Master'!$F$12:$I$102,4,0))&lt;&gt;7,BY273-VLOOKUP($P273&amp;" | "&amp;BP$6,'Job Master'!$F$12:$I$102,4,0),BY273-VLOOKUP($P273&amp;" | "&amp;BP$6,'Job Master'!$F$12:$I$102,4,0)-1),""),"")</f>
        <v/>
      </c>
      <c r="BS273" s="73"/>
      <c r="BT273" s="123" t="str">
        <f t="shared" si="537"/>
        <v/>
      </c>
      <c r="BU273" s="123" t="str">
        <f t="shared" si="538"/>
        <v/>
      </c>
      <c r="BV273" s="97" t="str">
        <f t="shared" ca="1" si="539"/>
        <v/>
      </c>
      <c r="BW273" s="98" t="str">
        <f>IF(BY273&lt;&gt;"",VLOOKUP($P273&amp;" | "&amp;BW$6,'Job Master'!$F$12:$J$102,5,0),"")</f>
        <v/>
      </c>
      <c r="BX273" s="19" t="str">
        <f>IF(BY273&lt;&gt;"",VLOOKUP($P273&amp;" | "&amp;BW$6,'Job Master'!$F$12:$J$102,3,0),"")</f>
        <v/>
      </c>
      <c r="BY273" s="19" t="str">
        <f>IFERROR(IF(AND(CF273&lt;&gt;"",VLOOKUP($P273&amp;" | "&amp;BW$6,'Job Master'!$F$12:$I$102,4,0)&lt;&gt;""),IF(WEEKDAY(CF273-VLOOKUP($P273&amp;" | "&amp;BW$6,'Job Master'!$F$12:$I$102,4,0))&lt;&gt;7,CF273-VLOOKUP($P273&amp;" | "&amp;BW$6,'Job Master'!$F$12:$I$102,4,0),CF273-VLOOKUP($P273&amp;" | "&amp;BW$6,'Job Master'!$F$12:$I$102,4,0)-1),""),"")</f>
        <v/>
      </c>
      <c r="BZ273" s="73"/>
      <c r="CA273" s="123" t="str">
        <f t="shared" si="540"/>
        <v/>
      </c>
      <c r="CB273" s="123" t="str">
        <f t="shared" si="541"/>
        <v/>
      </c>
      <c r="CC273" s="97" t="str">
        <f t="shared" ca="1" si="542"/>
        <v/>
      </c>
      <c r="CD273" s="98" t="str">
        <f>IF(CF273&lt;&gt;"",VLOOKUP($P273&amp;" | "&amp;CD$6,'Job Master'!$F$12:$J$102,5,0),"")</f>
        <v/>
      </c>
      <c r="CE273" s="19" t="str">
        <f>IF(CF273&lt;&gt;"",VLOOKUP($P273&amp;" | "&amp;CD$6,'Job Master'!$F$12:$J$102,3,0),"")</f>
        <v/>
      </c>
      <c r="CF273" s="19" t="str">
        <f>IFERROR(IF(AND(CM273&lt;&gt;"",VLOOKUP($P273&amp;" | "&amp;CD$6,'Job Master'!$F$12:$I$102,4,0)&lt;&gt;""),IF(WEEKDAY(CM273-VLOOKUP($P273&amp;" | "&amp;CD$6,'Job Master'!$F$12:$I$102,4,0))&lt;&gt;7,CM273-VLOOKUP($P273&amp;" | "&amp;CD$6,'Job Master'!$F$12:$I$102,4,0),CM273-VLOOKUP($P273&amp;" | "&amp;CD$6,'Job Master'!$F$12:$I$102,4,0)-1),""),"")</f>
        <v/>
      </c>
      <c r="CG273" s="73"/>
      <c r="CH273" s="123" t="str">
        <f t="shared" si="543"/>
        <v/>
      </c>
      <c r="CI273" s="123" t="str">
        <f t="shared" si="544"/>
        <v/>
      </c>
      <c r="CJ273" s="97" t="str">
        <f t="shared" ca="1" si="545"/>
        <v/>
      </c>
      <c r="CK273" s="98" t="str">
        <f>IF(CM273&lt;&gt;"",VLOOKUP($P273&amp;" | "&amp;CK$6,'Job Master'!$F$12:$J$102,5,0),"")</f>
        <v/>
      </c>
      <c r="CL273" s="19" t="str">
        <f>IF(CM273&lt;&gt;"",VLOOKUP($P273&amp;" | "&amp;CK$6,'Job Master'!$F$12:$J$102,3,0),"")</f>
        <v/>
      </c>
      <c r="CM273" s="19" t="str">
        <f>IFERROR(IF(AND(CT273&lt;&gt;"",VLOOKUP($P273&amp;" | "&amp;CK$6,'Job Master'!$F$12:$I$102,4,0)&lt;&gt;""),IF(WEEKDAY(CT273-VLOOKUP($P273&amp;" | "&amp;CK$6,'Job Master'!$F$12:$I$102,4,0))&lt;&gt;7,CT273-VLOOKUP($P273&amp;" | "&amp;CK$6,'Job Master'!$F$12:$I$102,4,0),CT273-VLOOKUP($P273&amp;" | "&amp;CK$6,'Job Master'!$F$12:$I$102,4,0)-1),""),"")</f>
        <v/>
      </c>
      <c r="CN273" s="73"/>
      <c r="CO273" s="123" t="str">
        <f t="shared" si="546"/>
        <v/>
      </c>
      <c r="CP273" s="123" t="str">
        <f t="shared" si="547"/>
        <v/>
      </c>
      <c r="CQ273" s="97" t="str">
        <f t="shared" ca="1" si="548"/>
        <v/>
      </c>
      <c r="CR273" s="98" t="str">
        <f>IF(CT273&lt;&gt;"",VLOOKUP($P273&amp;" | "&amp;CR$6,'Job Master'!$F$12:$J$102,5,0),"")</f>
        <v/>
      </c>
      <c r="CS273" s="19" t="str">
        <f>IF(CT273&lt;&gt;"",VLOOKUP($P273&amp;" | "&amp;CR$6,'Job Master'!$F$12:$J$102,3,0),"")</f>
        <v/>
      </c>
      <c r="CT273" s="19" t="str">
        <f>IFERROR(IF(AND(DA273&lt;&gt;"",VLOOKUP($P273&amp;" | "&amp;CR$6,'Job Master'!$F$12:$I$102,4,0)&lt;&gt;""),IF(WEEKDAY(DA273-VLOOKUP($P273&amp;" | "&amp;CR$6,'Job Master'!$F$12:$I$102,4,0))&lt;&gt;7,DA273-VLOOKUP($P273&amp;" | "&amp;CR$6,'Job Master'!$F$12:$I$102,4,0),DA273-VLOOKUP($P273&amp;" | "&amp;CR$6,'Job Master'!$F$12:$I$102,4,0)-1),""),"")</f>
        <v/>
      </c>
      <c r="CU273" s="73"/>
      <c r="CV273" s="123" t="str">
        <f t="shared" si="549"/>
        <v/>
      </c>
      <c r="CW273" s="123" t="str">
        <f t="shared" si="550"/>
        <v/>
      </c>
      <c r="CX273" s="97" t="str">
        <f t="shared" ca="1" si="551"/>
        <v/>
      </c>
      <c r="CY273" s="98" t="str">
        <f>IF(DA273&lt;&gt;"",VLOOKUP($P273&amp;" | "&amp;CY$6,'Job Master'!$F$12:$J$102,5,0),"")</f>
        <v/>
      </c>
      <c r="CZ273" s="19" t="str">
        <f>IF(DA273&lt;&gt;"",VLOOKUP($P273&amp;" | "&amp;CY$6,'Job Master'!$F$12:$J$102,3,0),"")</f>
        <v/>
      </c>
      <c r="DA273" s="19" t="str">
        <f>IFERROR(IF(AND(DH273&lt;&gt;"",VLOOKUP($P273&amp;" | "&amp;CY$6,'Job Master'!$F$12:$I$102,4,0)&lt;&gt;""),IF(WEEKDAY(DH273-VLOOKUP($P273&amp;" | "&amp;CY$6,'Job Master'!$F$12:$I$102,4,0))&lt;&gt;7,DH273-VLOOKUP($P273&amp;" | "&amp;CY$6,'Job Master'!$F$12:$I$102,4,0),DH273-VLOOKUP($P273&amp;" | "&amp;CY$6,'Job Master'!$F$12:$I$102,4,0)-1),""),"")</f>
        <v/>
      </c>
      <c r="DB273" s="73"/>
      <c r="DC273" s="123" t="str">
        <f t="shared" si="552"/>
        <v/>
      </c>
      <c r="DD273" s="123" t="str">
        <f t="shared" si="553"/>
        <v/>
      </c>
      <c r="DE273" s="97" t="str">
        <f t="shared" ca="1" si="554"/>
        <v/>
      </c>
      <c r="DF273" s="98" t="str">
        <f>IF(DH273&lt;&gt;"",VLOOKUP($P273&amp;" | "&amp;DF$6,'Job Master'!$F$12:$J$102,5,0),"")</f>
        <v/>
      </c>
      <c r="DG273" s="19" t="str">
        <f>IF(DH273&lt;&gt;"",VLOOKUP($P273&amp;" | "&amp;DF$6,'Job Master'!$F$12:$J$102,3,0),"")</f>
        <v/>
      </c>
      <c r="DH273" s="19" t="str">
        <f>IFERROR(IF(AND(DO273&lt;&gt;"",VLOOKUP($P273&amp;" | "&amp;DF$6,'Job Master'!$F$12:$I$102,4,0)&lt;&gt;""),IF(WEEKDAY(DO273-VLOOKUP($P273&amp;" | "&amp;DF$6,'Job Master'!$F$12:$I$102,4,0))&lt;&gt;7,DO273-VLOOKUP($P273&amp;" | "&amp;DF$6,'Job Master'!$F$12:$I$102,4,0),DO273-VLOOKUP($P273&amp;" | "&amp;DF$6,'Job Master'!$F$12:$I$102,4,0)-1),""),"")</f>
        <v/>
      </c>
      <c r="DI273" s="73"/>
      <c r="DJ273" s="123" t="str">
        <f t="shared" si="555"/>
        <v/>
      </c>
      <c r="DK273" s="123" t="str">
        <f t="shared" si="556"/>
        <v/>
      </c>
      <c r="DL273" s="97" t="str">
        <f t="shared" ca="1" si="557"/>
        <v/>
      </c>
      <c r="DM273" s="98" t="str">
        <f>IF(DO273&lt;&gt;"",VLOOKUP($P273&amp;" | "&amp;DM$6,'Job Master'!$F$12:$J$102,5,0),"")</f>
        <v/>
      </c>
      <c r="DN273" s="19" t="str">
        <f>IF(DO273&lt;&gt;"",VLOOKUP($P273&amp;" | "&amp;DM$6,'Job Master'!$F$12:$J$102,3,0),"")</f>
        <v/>
      </c>
      <c r="DO273" s="19" t="str">
        <f>IFERROR(IF(AND(DT273&lt;&gt;"",VLOOKUP($P273&amp;" | "&amp;DM$6,'Job Master'!$F$12:$I$102,4,0)&lt;&gt;""),IF(WEEKDAY(DT273-VLOOKUP($P273&amp;" | "&amp;DM$6,'Job Master'!$F$12:$I$102,4,0))&lt;&gt;7,DT273-VLOOKUP($P273&amp;" | "&amp;DM$6,'Job Master'!$F$12:$I$102,4,0),DT273-VLOOKUP($P273&amp;" | "&amp;DM$6,'Job Master'!$F$12:$I$102,4,0)-1),""),"")</f>
        <v/>
      </c>
      <c r="DP273" s="73"/>
      <c r="DQ273" s="123" t="str">
        <f t="shared" si="558"/>
        <v/>
      </c>
      <c r="DR273" s="123" t="str">
        <f t="shared" si="559"/>
        <v/>
      </c>
      <c r="DS273" s="97" t="str">
        <f t="shared" ca="1" si="560"/>
        <v/>
      </c>
      <c r="DT273" s="70" t="str">
        <f t="shared" si="561"/>
        <v/>
      </c>
      <c r="DU273" s="90"/>
      <c r="DV273" s="123" t="str">
        <f t="shared" si="562"/>
        <v/>
      </c>
      <c r="DW273" s="123" t="str">
        <f t="shared" si="563"/>
        <v/>
      </c>
      <c r="DX273" s="132" t="str">
        <f t="shared" ref="DX273" ca="1" si="579">IF(DT273&lt;&gt;"",IF(WEEKNUM(DT273)=WEEKNUM(TODAY()),"This Week",IF(WEEKNUM(DT273)=WEEKNUM(TODAY())+1,"Next Week",IF(WEEKNUM(DT273)=WEEKNUM(TODAY())-1,"Previous Week",""))),"")</f>
        <v/>
      </c>
      <c r="DY273" s="134" t="str">
        <f t="shared" si="565"/>
        <v/>
      </c>
      <c r="DZ273" s="95"/>
      <c r="EB273" s="8" t="str">
        <f t="shared" si="571"/>
        <v/>
      </c>
      <c r="EC273" s="8" t="str">
        <f>IF(O273&lt;&gt;"",VLOOKUP(O273,'Job Master'!$N$12:$O$18,2,0),"")</f>
        <v/>
      </c>
      <c r="ED273" s="8">
        <f t="shared" si="572"/>
        <v>19.5</v>
      </c>
      <c r="EE273" s="8">
        <f t="shared" si="573"/>
        <v>6</v>
      </c>
      <c r="EF273" s="8">
        <f t="shared" si="574"/>
        <v>-1558.5</v>
      </c>
      <c r="EG273" s="8" t="str">
        <f t="shared" si="575"/>
        <v/>
      </c>
      <c r="EH273" s="8" t="str">
        <f t="shared" si="576"/>
        <v/>
      </c>
    </row>
    <row r="274" spans="2:138" x14ac:dyDescent="0.3">
      <c r="B274" s="112"/>
      <c r="C274" s="27"/>
      <c r="D274" s="7" t="str">
        <f t="shared" si="513"/>
        <v/>
      </c>
      <c r="E274" s="25"/>
      <c r="F274" s="7" t="str">
        <f t="shared" si="513"/>
        <v/>
      </c>
      <c r="G274" s="25"/>
      <c r="H274" s="7" t="str">
        <f t="shared" si="513"/>
        <v/>
      </c>
      <c r="I274" s="25"/>
      <c r="J274" s="7" t="str">
        <f t="shared" si="513"/>
        <v/>
      </c>
      <c r="K274" s="25"/>
      <c r="L274" s="7" t="str">
        <f t="shared" si="514"/>
        <v/>
      </c>
      <c r="M274" s="25"/>
      <c r="N274" s="7" t="str">
        <f t="shared" si="515"/>
        <v/>
      </c>
      <c r="O274" s="81"/>
      <c r="P274" s="81" t="str">
        <f t="shared" si="516"/>
        <v/>
      </c>
      <c r="Q274" s="81"/>
      <c r="R274" s="7" t="str">
        <f t="shared" si="517"/>
        <v/>
      </c>
      <c r="S274" s="25"/>
      <c r="T274" s="7" t="str">
        <f t="shared" si="518"/>
        <v/>
      </c>
      <c r="U274" s="25"/>
      <c r="V274" s="7" t="str">
        <f t="shared" si="519"/>
        <v/>
      </c>
      <c r="W274" s="25"/>
      <c r="X274" s="7" t="str">
        <f t="shared" si="520"/>
        <v/>
      </c>
      <c r="Y274" s="18" t="str">
        <f t="shared" si="521"/>
        <v/>
      </c>
      <c r="Z274" s="7" t="str">
        <f t="shared" si="522"/>
        <v/>
      </c>
      <c r="AA274" s="18" t="str">
        <f t="shared" si="523"/>
        <v/>
      </c>
      <c r="AB274" s="19" t="str">
        <f t="shared" si="524"/>
        <v/>
      </c>
      <c r="AC274" s="26"/>
      <c r="AD274" s="26"/>
      <c r="AE274" s="25"/>
      <c r="AF274" s="26"/>
      <c r="AG274" s="25"/>
      <c r="AH274" s="25"/>
      <c r="AI274" s="18" t="str">
        <f t="shared" si="461"/>
        <v/>
      </c>
      <c r="AJ274" s="25"/>
      <c r="AK274" s="18" t="str">
        <f t="shared" si="462"/>
        <v/>
      </c>
      <c r="AL274" s="79"/>
      <c r="AM274" s="126" t="str">
        <f t="shared" si="463"/>
        <v/>
      </c>
      <c r="AN274" s="128" t="str">
        <f>IF(AP274&lt;&gt;"",VLOOKUP($P274&amp;" | "&amp;AN$6,'Job Master'!$F$12:$J$102,5,0),"")</f>
        <v/>
      </c>
      <c r="AO274" s="19" t="str">
        <f>IF(AP274&lt;&gt;"",VLOOKUP($P274&amp;" | "&amp;AN$6,'Job Master'!$F$12:$J$102,3,0),"")</f>
        <v/>
      </c>
      <c r="AP274" s="19" t="str">
        <f>IFERROR(IF(AND(AW274&lt;&gt;"",VLOOKUP($P274&amp;" | "&amp;AN$6,'Job Master'!$F$12:$I$102,4,0)&lt;&gt;""),IF(WEEKDAY(AW274-VLOOKUP($P274&amp;" | "&amp;AN$6,'Job Master'!$F$12:$I$102,4,0))&lt;&gt;7,AW274-VLOOKUP($P274&amp;" | "&amp;AN$6,'Job Master'!$F$12:$I$102,4,0),AW274-VLOOKUP($P274&amp;" | "&amp;AN$6,'Job Master'!$F$12:$I$102,4,0)-1),""),"")</f>
        <v/>
      </c>
      <c r="AQ274" s="73"/>
      <c r="AR274" s="123" t="str">
        <f t="shared" si="525"/>
        <v/>
      </c>
      <c r="AS274" s="123" t="str">
        <f t="shared" si="526"/>
        <v/>
      </c>
      <c r="AT274" s="97" t="str">
        <f t="shared" ca="1" si="527"/>
        <v/>
      </c>
      <c r="AU274" s="98" t="str">
        <f>IF(AW274&lt;&gt;"",VLOOKUP($P274&amp;" | "&amp;AU$6,'Job Master'!$F$12:$J$102,5,0),"")</f>
        <v/>
      </c>
      <c r="AV274" s="19" t="str">
        <f>IF(AW274&lt;&gt;"",VLOOKUP($P274&amp;" | "&amp;AU$6,'Job Master'!$F$12:$J$102,3,0),"")</f>
        <v/>
      </c>
      <c r="AW274" s="19" t="str">
        <f>IFERROR(IF(AND(BD274&lt;&gt;"",VLOOKUP($P274&amp;" | "&amp;AU$6,'Job Master'!$F$12:$I$102,4,0)&lt;&gt;""),IF(WEEKDAY(BD274-VLOOKUP($P274&amp;" | "&amp;AU$6,'Job Master'!$F$12:$I$102,4,0))&lt;&gt;7,BD274-VLOOKUP($P274&amp;" | "&amp;AU$6,'Job Master'!$F$12:$I$102,4,0),BD274-VLOOKUP($P274&amp;" | "&amp;AU$6,'Job Master'!$F$12:$I$102,4,0)-1),""),"")</f>
        <v/>
      </c>
      <c r="AX274" s="73"/>
      <c r="AY274" s="123" t="str">
        <f t="shared" si="528"/>
        <v/>
      </c>
      <c r="AZ274" s="123" t="str">
        <f t="shared" si="529"/>
        <v/>
      </c>
      <c r="BA274" s="97" t="str">
        <f t="shared" ca="1" si="530"/>
        <v/>
      </c>
      <c r="BB274" s="98" t="str">
        <f>IF(BD274&lt;&gt;"",VLOOKUP($P274&amp;" | "&amp;BB$6,'Job Master'!$F$12:$J$102,5,0),"")</f>
        <v/>
      </c>
      <c r="BC274" s="19" t="str">
        <f>IF(BD274&lt;&gt;"",VLOOKUP($P274&amp;" | "&amp;BB$6,'Job Master'!$F$12:$J$102,3,0),"")</f>
        <v/>
      </c>
      <c r="BD274" s="19" t="str">
        <f>IFERROR(IF(AND(BK274&lt;&gt;"",VLOOKUP($P274&amp;" | "&amp;BB$6,'Job Master'!$F$12:$I$102,4,0)&lt;&gt;""),IF(WEEKDAY(BK274-VLOOKUP($P274&amp;" | "&amp;BB$6,'Job Master'!$F$12:$I$102,4,0))&lt;&gt;7,BK274-VLOOKUP($P274&amp;" | "&amp;BB$6,'Job Master'!$F$12:$I$102,4,0),BK274-VLOOKUP($P274&amp;" | "&amp;BB$6,'Job Master'!$F$12:$I$102,4,0)-1),""),"")</f>
        <v/>
      </c>
      <c r="BE274" s="73"/>
      <c r="BF274" s="123" t="str">
        <f t="shared" si="531"/>
        <v/>
      </c>
      <c r="BG274" s="123" t="str">
        <f t="shared" si="532"/>
        <v/>
      </c>
      <c r="BH274" s="97" t="str">
        <f t="shared" ca="1" si="533"/>
        <v/>
      </c>
      <c r="BI274" s="98" t="str">
        <f>IF(BK274&lt;&gt;"",VLOOKUP($P274&amp;" | "&amp;BI$6,'Job Master'!$F$12:$J$102,5,0),"")</f>
        <v/>
      </c>
      <c r="BJ274" s="19" t="str">
        <f>IF(BK274&lt;&gt;"",VLOOKUP($P274&amp;" | "&amp;BI$6,'Job Master'!$F$12:$J$102,3,0),"")</f>
        <v/>
      </c>
      <c r="BK274" s="19" t="str">
        <f>IFERROR(IF(AND(BR274&lt;&gt;"",VLOOKUP($P274&amp;" | "&amp;BI$6,'Job Master'!$F$12:$I$102,4,0)&lt;&gt;""),IF(WEEKDAY(BR274-VLOOKUP($P274&amp;" | "&amp;BI$6,'Job Master'!$F$12:$I$102,4,0))&lt;&gt;7,BR274-VLOOKUP($P274&amp;" | "&amp;BI$6,'Job Master'!$F$12:$I$102,4,0),BR274-VLOOKUP($P274&amp;" | "&amp;BI$6,'Job Master'!$F$12:$I$102,4,0)-1),""),"")</f>
        <v/>
      </c>
      <c r="BL274" s="73"/>
      <c r="BM274" s="123" t="str">
        <f t="shared" si="534"/>
        <v/>
      </c>
      <c r="BN274" s="123" t="str">
        <f t="shared" si="535"/>
        <v/>
      </c>
      <c r="BO274" s="97" t="str">
        <f t="shared" ca="1" si="536"/>
        <v/>
      </c>
      <c r="BP274" s="98" t="str">
        <f>IF(BR274&lt;&gt;"",VLOOKUP($P274&amp;" | "&amp;BP$6,'Job Master'!$F$12:$J$102,5,0),"")</f>
        <v/>
      </c>
      <c r="BQ274" s="19" t="str">
        <f>IF(BR274&lt;&gt;"",VLOOKUP($P274&amp;" | "&amp;BP$6,'Job Master'!$F$12:$J$102,3,0),"")</f>
        <v/>
      </c>
      <c r="BR274" s="19" t="str">
        <f>IFERROR(IF(AND(BY274&lt;&gt;"",VLOOKUP($P274&amp;" | "&amp;BP$6,'Job Master'!$F$12:$I$102,4,0)&lt;&gt;""),IF(WEEKDAY(BY274-VLOOKUP($P274&amp;" | "&amp;BP$6,'Job Master'!$F$12:$I$102,4,0))&lt;&gt;7,BY274-VLOOKUP($P274&amp;" | "&amp;BP$6,'Job Master'!$F$12:$I$102,4,0),BY274-VLOOKUP($P274&amp;" | "&amp;BP$6,'Job Master'!$F$12:$I$102,4,0)-1),""),"")</f>
        <v/>
      </c>
      <c r="BS274" s="73"/>
      <c r="BT274" s="123" t="str">
        <f t="shared" si="537"/>
        <v/>
      </c>
      <c r="BU274" s="123" t="str">
        <f t="shared" si="538"/>
        <v/>
      </c>
      <c r="BV274" s="97" t="str">
        <f t="shared" ca="1" si="539"/>
        <v/>
      </c>
      <c r="BW274" s="98" t="str">
        <f>IF(BY274&lt;&gt;"",VLOOKUP($P274&amp;" | "&amp;BW$6,'Job Master'!$F$12:$J$102,5,0),"")</f>
        <v/>
      </c>
      <c r="BX274" s="19" t="str">
        <f>IF(BY274&lt;&gt;"",VLOOKUP($P274&amp;" | "&amp;BW$6,'Job Master'!$F$12:$J$102,3,0),"")</f>
        <v/>
      </c>
      <c r="BY274" s="19" t="str">
        <f>IFERROR(IF(AND(CF274&lt;&gt;"",VLOOKUP($P274&amp;" | "&amp;BW$6,'Job Master'!$F$12:$I$102,4,0)&lt;&gt;""),IF(WEEKDAY(CF274-VLOOKUP($P274&amp;" | "&amp;BW$6,'Job Master'!$F$12:$I$102,4,0))&lt;&gt;7,CF274-VLOOKUP($P274&amp;" | "&amp;BW$6,'Job Master'!$F$12:$I$102,4,0),CF274-VLOOKUP($P274&amp;" | "&amp;BW$6,'Job Master'!$F$12:$I$102,4,0)-1),""),"")</f>
        <v/>
      </c>
      <c r="BZ274" s="73"/>
      <c r="CA274" s="123" t="str">
        <f t="shared" si="540"/>
        <v/>
      </c>
      <c r="CB274" s="123" t="str">
        <f t="shared" si="541"/>
        <v/>
      </c>
      <c r="CC274" s="97" t="str">
        <f t="shared" ca="1" si="542"/>
        <v/>
      </c>
      <c r="CD274" s="98" t="str">
        <f>IF(CF274&lt;&gt;"",VLOOKUP($P274&amp;" | "&amp;CD$6,'Job Master'!$F$12:$J$102,5,0),"")</f>
        <v/>
      </c>
      <c r="CE274" s="19" t="str">
        <f>IF(CF274&lt;&gt;"",VLOOKUP($P274&amp;" | "&amp;CD$6,'Job Master'!$F$12:$J$102,3,0),"")</f>
        <v/>
      </c>
      <c r="CF274" s="19" t="str">
        <f>IFERROR(IF(AND(CM274&lt;&gt;"",VLOOKUP($P274&amp;" | "&amp;CD$6,'Job Master'!$F$12:$I$102,4,0)&lt;&gt;""),IF(WEEKDAY(CM274-VLOOKUP($P274&amp;" | "&amp;CD$6,'Job Master'!$F$12:$I$102,4,0))&lt;&gt;7,CM274-VLOOKUP($P274&amp;" | "&amp;CD$6,'Job Master'!$F$12:$I$102,4,0),CM274-VLOOKUP($P274&amp;" | "&amp;CD$6,'Job Master'!$F$12:$I$102,4,0)-1),""),"")</f>
        <v/>
      </c>
      <c r="CG274" s="73"/>
      <c r="CH274" s="123" t="str">
        <f t="shared" si="543"/>
        <v/>
      </c>
      <c r="CI274" s="123" t="str">
        <f t="shared" si="544"/>
        <v/>
      </c>
      <c r="CJ274" s="97" t="str">
        <f t="shared" ca="1" si="545"/>
        <v/>
      </c>
      <c r="CK274" s="98" t="str">
        <f>IF(CM274&lt;&gt;"",VLOOKUP($P274&amp;" | "&amp;CK$6,'Job Master'!$F$12:$J$102,5,0),"")</f>
        <v/>
      </c>
      <c r="CL274" s="19" t="str">
        <f>IF(CM274&lt;&gt;"",VLOOKUP($P274&amp;" | "&amp;CK$6,'Job Master'!$F$12:$J$102,3,0),"")</f>
        <v/>
      </c>
      <c r="CM274" s="19" t="str">
        <f>IFERROR(IF(AND(CT274&lt;&gt;"",VLOOKUP($P274&amp;" | "&amp;CK$6,'Job Master'!$F$12:$I$102,4,0)&lt;&gt;""),IF(WEEKDAY(CT274-VLOOKUP($P274&amp;" | "&amp;CK$6,'Job Master'!$F$12:$I$102,4,0))&lt;&gt;7,CT274-VLOOKUP($P274&amp;" | "&amp;CK$6,'Job Master'!$F$12:$I$102,4,0),CT274-VLOOKUP($P274&amp;" | "&amp;CK$6,'Job Master'!$F$12:$I$102,4,0)-1),""),"")</f>
        <v/>
      </c>
      <c r="CN274" s="73"/>
      <c r="CO274" s="123" t="str">
        <f t="shared" si="546"/>
        <v/>
      </c>
      <c r="CP274" s="123" t="str">
        <f t="shared" si="547"/>
        <v/>
      </c>
      <c r="CQ274" s="97" t="str">
        <f t="shared" ca="1" si="548"/>
        <v/>
      </c>
      <c r="CR274" s="98" t="str">
        <f>IF(CT274&lt;&gt;"",VLOOKUP($P274&amp;" | "&amp;CR$6,'Job Master'!$F$12:$J$102,5,0),"")</f>
        <v/>
      </c>
      <c r="CS274" s="19" t="str">
        <f>IF(CT274&lt;&gt;"",VLOOKUP($P274&amp;" | "&amp;CR$6,'Job Master'!$F$12:$J$102,3,0),"")</f>
        <v/>
      </c>
      <c r="CT274" s="19" t="str">
        <f>IFERROR(IF(AND(DA274&lt;&gt;"",VLOOKUP($P274&amp;" | "&amp;CR$6,'Job Master'!$F$12:$I$102,4,0)&lt;&gt;""),IF(WEEKDAY(DA274-VLOOKUP($P274&amp;" | "&amp;CR$6,'Job Master'!$F$12:$I$102,4,0))&lt;&gt;7,DA274-VLOOKUP($P274&amp;" | "&amp;CR$6,'Job Master'!$F$12:$I$102,4,0),DA274-VLOOKUP($P274&amp;" | "&amp;CR$6,'Job Master'!$F$12:$I$102,4,0)-1),""),"")</f>
        <v/>
      </c>
      <c r="CU274" s="73"/>
      <c r="CV274" s="123" t="str">
        <f t="shared" si="549"/>
        <v/>
      </c>
      <c r="CW274" s="123" t="str">
        <f t="shared" si="550"/>
        <v/>
      </c>
      <c r="CX274" s="97" t="str">
        <f t="shared" ca="1" si="551"/>
        <v/>
      </c>
      <c r="CY274" s="98" t="str">
        <f>IF(DA274&lt;&gt;"",VLOOKUP($P274&amp;" | "&amp;CY$6,'Job Master'!$F$12:$J$102,5,0),"")</f>
        <v/>
      </c>
      <c r="CZ274" s="19" t="str">
        <f>IF(DA274&lt;&gt;"",VLOOKUP($P274&amp;" | "&amp;CY$6,'Job Master'!$F$12:$J$102,3,0),"")</f>
        <v/>
      </c>
      <c r="DA274" s="19" t="str">
        <f>IFERROR(IF(AND(DH274&lt;&gt;"",VLOOKUP($P274&amp;" | "&amp;CY$6,'Job Master'!$F$12:$I$102,4,0)&lt;&gt;""),IF(WEEKDAY(DH274-VLOOKUP($P274&amp;" | "&amp;CY$6,'Job Master'!$F$12:$I$102,4,0))&lt;&gt;7,DH274-VLOOKUP($P274&amp;" | "&amp;CY$6,'Job Master'!$F$12:$I$102,4,0),DH274-VLOOKUP($P274&amp;" | "&amp;CY$6,'Job Master'!$F$12:$I$102,4,0)-1),""),"")</f>
        <v/>
      </c>
      <c r="DB274" s="73"/>
      <c r="DC274" s="123" t="str">
        <f t="shared" si="552"/>
        <v/>
      </c>
      <c r="DD274" s="123" t="str">
        <f t="shared" si="553"/>
        <v/>
      </c>
      <c r="DE274" s="97" t="str">
        <f t="shared" ca="1" si="554"/>
        <v/>
      </c>
      <c r="DF274" s="98" t="str">
        <f>IF(DH274&lt;&gt;"",VLOOKUP($P274&amp;" | "&amp;DF$6,'Job Master'!$F$12:$J$102,5,0),"")</f>
        <v/>
      </c>
      <c r="DG274" s="19" t="str">
        <f>IF(DH274&lt;&gt;"",VLOOKUP($P274&amp;" | "&amp;DF$6,'Job Master'!$F$12:$J$102,3,0),"")</f>
        <v/>
      </c>
      <c r="DH274" s="19" t="str">
        <f>IFERROR(IF(AND(DO274&lt;&gt;"",VLOOKUP($P274&amp;" | "&amp;DF$6,'Job Master'!$F$12:$I$102,4,0)&lt;&gt;""),IF(WEEKDAY(DO274-VLOOKUP($P274&amp;" | "&amp;DF$6,'Job Master'!$F$12:$I$102,4,0))&lt;&gt;7,DO274-VLOOKUP($P274&amp;" | "&amp;DF$6,'Job Master'!$F$12:$I$102,4,0),DO274-VLOOKUP($P274&amp;" | "&amp;DF$6,'Job Master'!$F$12:$I$102,4,0)-1),""),"")</f>
        <v/>
      </c>
      <c r="DI274" s="73"/>
      <c r="DJ274" s="123" t="str">
        <f t="shared" si="555"/>
        <v/>
      </c>
      <c r="DK274" s="123" t="str">
        <f t="shared" si="556"/>
        <v/>
      </c>
      <c r="DL274" s="97" t="str">
        <f t="shared" ca="1" si="557"/>
        <v/>
      </c>
      <c r="DM274" s="98" t="str">
        <f>IF(DO274&lt;&gt;"",VLOOKUP($P274&amp;" | "&amp;DM$6,'Job Master'!$F$12:$J$102,5,0),"")</f>
        <v/>
      </c>
      <c r="DN274" s="19" t="str">
        <f>IF(DO274&lt;&gt;"",VLOOKUP($P274&amp;" | "&amp;DM$6,'Job Master'!$F$12:$J$102,3,0),"")</f>
        <v/>
      </c>
      <c r="DO274" s="19" t="str">
        <f>IFERROR(IF(AND(DT274&lt;&gt;"",VLOOKUP($P274&amp;" | "&amp;DM$6,'Job Master'!$F$12:$I$102,4,0)&lt;&gt;""),IF(WEEKDAY(DT274-VLOOKUP($P274&amp;" | "&amp;DM$6,'Job Master'!$F$12:$I$102,4,0))&lt;&gt;7,DT274-VLOOKUP($P274&amp;" | "&amp;DM$6,'Job Master'!$F$12:$I$102,4,0),DT274-VLOOKUP($P274&amp;" | "&amp;DM$6,'Job Master'!$F$12:$I$102,4,0)-1),""),"")</f>
        <v/>
      </c>
      <c r="DP274" s="73"/>
      <c r="DQ274" s="123" t="str">
        <f t="shared" si="558"/>
        <v/>
      </c>
      <c r="DR274" s="123" t="str">
        <f t="shared" si="559"/>
        <v/>
      </c>
      <c r="DS274" s="97" t="str">
        <f t="shared" ca="1" si="560"/>
        <v/>
      </c>
      <c r="DT274" s="70" t="str">
        <f t="shared" si="561"/>
        <v/>
      </c>
      <c r="DU274" s="90"/>
      <c r="DV274" s="123" t="str">
        <f t="shared" si="562"/>
        <v/>
      </c>
      <c r="DW274" s="123" t="str">
        <f t="shared" si="563"/>
        <v/>
      </c>
      <c r="DX274" s="132" t="str">
        <f t="shared" ref="DX274" ca="1" si="580">IF(DT274&lt;&gt;"",IF(WEEKNUM(DT274)=WEEKNUM(TODAY()),"This Week",IF(WEEKNUM(DT274)=WEEKNUM(TODAY())+1,"Next Week",IF(WEEKNUM(DT274)=WEEKNUM(TODAY())-1,"Previous Week",""))),"")</f>
        <v/>
      </c>
      <c r="DY274" s="134" t="str">
        <f t="shared" si="565"/>
        <v/>
      </c>
      <c r="DZ274" s="95"/>
      <c r="EB274" s="8" t="str">
        <f t="shared" si="571"/>
        <v/>
      </c>
      <c r="EC274" s="8" t="str">
        <f>IF(O274&lt;&gt;"",VLOOKUP(O274,'Job Master'!$N$12:$O$18,2,0),"")</f>
        <v/>
      </c>
      <c r="ED274" s="8">
        <f t="shared" si="572"/>
        <v>19.5</v>
      </c>
      <c r="EE274" s="8">
        <f t="shared" si="573"/>
        <v>6</v>
      </c>
      <c r="EF274" s="8">
        <f t="shared" si="574"/>
        <v>-1564.5</v>
      </c>
      <c r="EG274" s="8" t="str">
        <f t="shared" si="575"/>
        <v/>
      </c>
      <c r="EH274" s="8" t="str">
        <f t="shared" si="576"/>
        <v/>
      </c>
    </row>
    <row r="275" spans="2:138" x14ac:dyDescent="0.3">
      <c r="B275" s="112"/>
      <c r="C275" s="27"/>
      <c r="D275" s="7" t="str">
        <f t="shared" si="513"/>
        <v/>
      </c>
      <c r="E275" s="25"/>
      <c r="F275" s="7" t="str">
        <f t="shared" si="513"/>
        <v/>
      </c>
      <c r="G275" s="25"/>
      <c r="H275" s="7" t="str">
        <f t="shared" si="513"/>
        <v/>
      </c>
      <c r="I275" s="25"/>
      <c r="J275" s="7" t="str">
        <f t="shared" si="513"/>
        <v/>
      </c>
      <c r="K275" s="25"/>
      <c r="L275" s="7" t="str">
        <f t="shared" si="514"/>
        <v/>
      </c>
      <c r="M275" s="25"/>
      <c r="N275" s="7" t="str">
        <f t="shared" si="515"/>
        <v/>
      </c>
      <c r="O275" s="81"/>
      <c r="P275" s="81" t="str">
        <f t="shared" si="516"/>
        <v/>
      </c>
      <c r="Q275" s="81"/>
      <c r="R275" s="7" t="str">
        <f t="shared" si="517"/>
        <v/>
      </c>
      <c r="S275" s="25"/>
      <c r="T275" s="7" t="str">
        <f t="shared" si="518"/>
        <v/>
      </c>
      <c r="U275" s="25"/>
      <c r="V275" s="7" t="str">
        <f t="shared" si="519"/>
        <v/>
      </c>
      <c r="W275" s="25"/>
      <c r="X275" s="7" t="str">
        <f t="shared" si="520"/>
        <v/>
      </c>
      <c r="Y275" s="18" t="str">
        <f t="shared" si="521"/>
        <v/>
      </c>
      <c r="Z275" s="7" t="str">
        <f t="shared" si="522"/>
        <v/>
      </c>
      <c r="AA275" s="18" t="str">
        <f t="shared" si="523"/>
        <v/>
      </c>
      <c r="AB275" s="19" t="str">
        <f t="shared" si="524"/>
        <v/>
      </c>
      <c r="AC275" s="26"/>
      <c r="AD275" s="26"/>
      <c r="AE275" s="25"/>
      <c r="AF275" s="26"/>
      <c r="AG275" s="25"/>
      <c r="AH275" s="25"/>
      <c r="AI275" s="18" t="str">
        <f t="shared" si="461"/>
        <v/>
      </c>
      <c r="AJ275" s="25"/>
      <c r="AK275" s="18" t="str">
        <f t="shared" si="462"/>
        <v/>
      </c>
      <c r="AL275" s="79"/>
      <c r="AM275" s="126" t="str">
        <f t="shared" si="463"/>
        <v/>
      </c>
      <c r="AN275" s="128" t="str">
        <f>IF(AP275&lt;&gt;"",VLOOKUP($P275&amp;" | "&amp;AN$6,'Job Master'!$F$12:$J$102,5,0),"")</f>
        <v/>
      </c>
      <c r="AO275" s="19" t="str">
        <f>IF(AP275&lt;&gt;"",VLOOKUP($P275&amp;" | "&amp;AN$6,'Job Master'!$F$12:$J$102,3,0),"")</f>
        <v/>
      </c>
      <c r="AP275" s="19" t="str">
        <f>IFERROR(IF(AND(AW275&lt;&gt;"",VLOOKUP($P275&amp;" | "&amp;AN$6,'Job Master'!$F$12:$I$102,4,0)&lt;&gt;""),IF(WEEKDAY(AW275-VLOOKUP($P275&amp;" | "&amp;AN$6,'Job Master'!$F$12:$I$102,4,0))&lt;&gt;7,AW275-VLOOKUP($P275&amp;" | "&amp;AN$6,'Job Master'!$F$12:$I$102,4,0),AW275-VLOOKUP($P275&amp;" | "&amp;AN$6,'Job Master'!$F$12:$I$102,4,0)-1),""),"")</f>
        <v/>
      </c>
      <c r="AQ275" s="73"/>
      <c r="AR275" s="123" t="str">
        <f t="shared" si="525"/>
        <v/>
      </c>
      <c r="AS275" s="123" t="str">
        <f t="shared" si="526"/>
        <v/>
      </c>
      <c r="AT275" s="97" t="str">
        <f t="shared" ca="1" si="527"/>
        <v/>
      </c>
      <c r="AU275" s="98" t="str">
        <f>IF(AW275&lt;&gt;"",VLOOKUP($P275&amp;" | "&amp;AU$6,'Job Master'!$F$12:$J$102,5,0),"")</f>
        <v/>
      </c>
      <c r="AV275" s="19" t="str">
        <f>IF(AW275&lt;&gt;"",VLOOKUP($P275&amp;" | "&amp;AU$6,'Job Master'!$F$12:$J$102,3,0),"")</f>
        <v/>
      </c>
      <c r="AW275" s="19" t="str">
        <f>IFERROR(IF(AND(BD275&lt;&gt;"",VLOOKUP($P275&amp;" | "&amp;AU$6,'Job Master'!$F$12:$I$102,4,0)&lt;&gt;""),IF(WEEKDAY(BD275-VLOOKUP($P275&amp;" | "&amp;AU$6,'Job Master'!$F$12:$I$102,4,0))&lt;&gt;7,BD275-VLOOKUP($P275&amp;" | "&amp;AU$6,'Job Master'!$F$12:$I$102,4,0),BD275-VLOOKUP($P275&amp;" | "&amp;AU$6,'Job Master'!$F$12:$I$102,4,0)-1),""),"")</f>
        <v/>
      </c>
      <c r="AX275" s="73"/>
      <c r="AY275" s="123" t="str">
        <f t="shared" si="528"/>
        <v/>
      </c>
      <c r="AZ275" s="123" t="str">
        <f t="shared" si="529"/>
        <v/>
      </c>
      <c r="BA275" s="97" t="str">
        <f t="shared" ca="1" si="530"/>
        <v/>
      </c>
      <c r="BB275" s="98" t="str">
        <f>IF(BD275&lt;&gt;"",VLOOKUP($P275&amp;" | "&amp;BB$6,'Job Master'!$F$12:$J$102,5,0),"")</f>
        <v/>
      </c>
      <c r="BC275" s="19" t="str">
        <f>IF(BD275&lt;&gt;"",VLOOKUP($P275&amp;" | "&amp;BB$6,'Job Master'!$F$12:$J$102,3,0),"")</f>
        <v/>
      </c>
      <c r="BD275" s="19" t="str">
        <f>IFERROR(IF(AND(BK275&lt;&gt;"",VLOOKUP($P275&amp;" | "&amp;BB$6,'Job Master'!$F$12:$I$102,4,0)&lt;&gt;""),IF(WEEKDAY(BK275-VLOOKUP($P275&amp;" | "&amp;BB$6,'Job Master'!$F$12:$I$102,4,0))&lt;&gt;7,BK275-VLOOKUP($P275&amp;" | "&amp;BB$6,'Job Master'!$F$12:$I$102,4,0),BK275-VLOOKUP($P275&amp;" | "&amp;BB$6,'Job Master'!$F$12:$I$102,4,0)-1),""),"")</f>
        <v/>
      </c>
      <c r="BE275" s="73"/>
      <c r="BF275" s="123" t="str">
        <f t="shared" si="531"/>
        <v/>
      </c>
      <c r="BG275" s="123" t="str">
        <f t="shared" si="532"/>
        <v/>
      </c>
      <c r="BH275" s="97" t="str">
        <f t="shared" ca="1" si="533"/>
        <v/>
      </c>
      <c r="BI275" s="98" t="str">
        <f>IF(BK275&lt;&gt;"",VLOOKUP($P275&amp;" | "&amp;BI$6,'Job Master'!$F$12:$J$102,5,0),"")</f>
        <v/>
      </c>
      <c r="BJ275" s="19" t="str">
        <f>IF(BK275&lt;&gt;"",VLOOKUP($P275&amp;" | "&amp;BI$6,'Job Master'!$F$12:$J$102,3,0),"")</f>
        <v/>
      </c>
      <c r="BK275" s="19" t="str">
        <f>IFERROR(IF(AND(BR275&lt;&gt;"",VLOOKUP($P275&amp;" | "&amp;BI$6,'Job Master'!$F$12:$I$102,4,0)&lt;&gt;""),IF(WEEKDAY(BR275-VLOOKUP($P275&amp;" | "&amp;BI$6,'Job Master'!$F$12:$I$102,4,0))&lt;&gt;7,BR275-VLOOKUP($P275&amp;" | "&amp;BI$6,'Job Master'!$F$12:$I$102,4,0),BR275-VLOOKUP($P275&amp;" | "&amp;BI$6,'Job Master'!$F$12:$I$102,4,0)-1),""),"")</f>
        <v/>
      </c>
      <c r="BL275" s="73"/>
      <c r="BM275" s="123" t="str">
        <f t="shared" si="534"/>
        <v/>
      </c>
      <c r="BN275" s="123" t="str">
        <f t="shared" si="535"/>
        <v/>
      </c>
      <c r="BO275" s="97" t="str">
        <f t="shared" ca="1" si="536"/>
        <v/>
      </c>
      <c r="BP275" s="98" t="str">
        <f>IF(BR275&lt;&gt;"",VLOOKUP($P275&amp;" | "&amp;BP$6,'Job Master'!$F$12:$J$102,5,0),"")</f>
        <v/>
      </c>
      <c r="BQ275" s="19" t="str">
        <f>IF(BR275&lt;&gt;"",VLOOKUP($P275&amp;" | "&amp;BP$6,'Job Master'!$F$12:$J$102,3,0),"")</f>
        <v/>
      </c>
      <c r="BR275" s="19" t="str">
        <f>IFERROR(IF(AND(BY275&lt;&gt;"",VLOOKUP($P275&amp;" | "&amp;BP$6,'Job Master'!$F$12:$I$102,4,0)&lt;&gt;""),IF(WEEKDAY(BY275-VLOOKUP($P275&amp;" | "&amp;BP$6,'Job Master'!$F$12:$I$102,4,0))&lt;&gt;7,BY275-VLOOKUP($P275&amp;" | "&amp;BP$6,'Job Master'!$F$12:$I$102,4,0),BY275-VLOOKUP($P275&amp;" | "&amp;BP$6,'Job Master'!$F$12:$I$102,4,0)-1),""),"")</f>
        <v/>
      </c>
      <c r="BS275" s="73"/>
      <c r="BT275" s="123" t="str">
        <f t="shared" si="537"/>
        <v/>
      </c>
      <c r="BU275" s="123" t="str">
        <f t="shared" si="538"/>
        <v/>
      </c>
      <c r="BV275" s="97" t="str">
        <f t="shared" ca="1" si="539"/>
        <v/>
      </c>
      <c r="BW275" s="98" t="str">
        <f>IF(BY275&lt;&gt;"",VLOOKUP($P275&amp;" | "&amp;BW$6,'Job Master'!$F$12:$J$102,5,0),"")</f>
        <v/>
      </c>
      <c r="BX275" s="19" t="str">
        <f>IF(BY275&lt;&gt;"",VLOOKUP($P275&amp;" | "&amp;BW$6,'Job Master'!$F$12:$J$102,3,0),"")</f>
        <v/>
      </c>
      <c r="BY275" s="19" t="str">
        <f>IFERROR(IF(AND(CF275&lt;&gt;"",VLOOKUP($P275&amp;" | "&amp;BW$6,'Job Master'!$F$12:$I$102,4,0)&lt;&gt;""),IF(WEEKDAY(CF275-VLOOKUP($P275&amp;" | "&amp;BW$6,'Job Master'!$F$12:$I$102,4,0))&lt;&gt;7,CF275-VLOOKUP($P275&amp;" | "&amp;BW$6,'Job Master'!$F$12:$I$102,4,0),CF275-VLOOKUP($P275&amp;" | "&amp;BW$6,'Job Master'!$F$12:$I$102,4,0)-1),""),"")</f>
        <v/>
      </c>
      <c r="BZ275" s="73"/>
      <c r="CA275" s="123" t="str">
        <f t="shared" si="540"/>
        <v/>
      </c>
      <c r="CB275" s="123" t="str">
        <f t="shared" si="541"/>
        <v/>
      </c>
      <c r="CC275" s="97" t="str">
        <f t="shared" ca="1" si="542"/>
        <v/>
      </c>
      <c r="CD275" s="98" t="str">
        <f>IF(CF275&lt;&gt;"",VLOOKUP($P275&amp;" | "&amp;CD$6,'Job Master'!$F$12:$J$102,5,0),"")</f>
        <v/>
      </c>
      <c r="CE275" s="19" t="str">
        <f>IF(CF275&lt;&gt;"",VLOOKUP($P275&amp;" | "&amp;CD$6,'Job Master'!$F$12:$J$102,3,0),"")</f>
        <v/>
      </c>
      <c r="CF275" s="19" t="str">
        <f>IFERROR(IF(AND(CM275&lt;&gt;"",VLOOKUP($P275&amp;" | "&amp;CD$6,'Job Master'!$F$12:$I$102,4,0)&lt;&gt;""),IF(WEEKDAY(CM275-VLOOKUP($P275&amp;" | "&amp;CD$6,'Job Master'!$F$12:$I$102,4,0))&lt;&gt;7,CM275-VLOOKUP($P275&amp;" | "&amp;CD$6,'Job Master'!$F$12:$I$102,4,0),CM275-VLOOKUP($P275&amp;" | "&amp;CD$6,'Job Master'!$F$12:$I$102,4,0)-1),""),"")</f>
        <v/>
      </c>
      <c r="CG275" s="73"/>
      <c r="CH275" s="123" t="str">
        <f t="shared" si="543"/>
        <v/>
      </c>
      <c r="CI275" s="123" t="str">
        <f t="shared" si="544"/>
        <v/>
      </c>
      <c r="CJ275" s="97" t="str">
        <f t="shared" ca="1" si="545"/>
        <v/>
      </c>
      <c r="CK275" s="98" t="str">
        <f>IF(CM275&lt;&gt;"",VLOOKUP($P275&amp;" | "&amp;CK$6,'Job Master'!$F$12:$J$102,5,0),"")</f>
        <v/>
      </c>
      <c r="CL275" s="19" t="str">
        <f>IF(CM275&lt;&gt;"",VLOOKUP($P275&amp;" | "&amp;CK$6,'Job Master'!$F$12:$J$102,3,0),"")</f>
        <v/>
      </c>
      <c r="CM275" s="19" t="str">
        <f>IFERROR(IF(AND(CT275&lt;&gt;"",VLOOKUP($P275&amp;" | "&amp;CK$6,'Job Master'!$F$12:$I$102,4,0)&lt;&gt;""),IF(WEEKDAY(CT275-VLOOKUP($P275&amp;" | "&amp;CK$6,'Job Master'!$F$12:$I$102,4,0))&lt;&gt;7,CT275-VLOOKUP($P275&amp;" | "&amp;CK$6,'Job Master'!$F$12:$I$102,4,0),CT275-VLOOKUP($P275&amp;" | "&amp;CK$6,'Job Master'!$F$12:$I$102,4,0)-1),""),"")</f>
        <v/>
      </c>
      <c r="CN275" s="73"/>
      <c r="CO275" s="123" t="str">
        <f t="shared" si="546"/>
        <v/>
      </c>
      <c r="CP275" s="123" t="str">
        <f t="shared" si="547"/>
        <v/>
      </c>
      <c r="CQ275" s="97" t="str">
        <f t="shared" ca="1" si="548"/>
        <v/>
      </c>
      <c r="CR275" s="98" t="str">
        <f>IF(CT275&lt;&gt;"",VLOOKUP($P275&amp;" | "&amp;CR$6,'Job Master'!$F$12:$J$102,5,0),"")</f>
        <v/>
      </c>
      <c r="CS275" s="19" t="str">
        <f>IF(CT275&lt;&gt;"",VLOOKUP($P275&amp;" | "&amp;CR$6,'Job Master'!$F$12:$J$102,3,0),"")</f>
        <v/>
      </c>
      <c r="CT275" s="19" t="str">
        <f>IFERROR(IF(AND(DA275&lt;&gt;"",VLOOKUP($P275&amp;" | "&amp;CR$6,'Job Master'!$F$12:$I$102,4,0)&lt;&gt;""),IF(WEEKDAY(DA275-VLOOKUP($P275&amp;" | "&amp;CR$6,'Job Master'!$F$12:$I$102,4,0))&lt;&gt;7,DA275-VLOOKUP($P275&amp;" | "&amp;CR$6,'Job Master'!$F$12:$I$102,4,0),DA275-VLOOKUP($P275&amp;" | "&amp;CR$6,'Job Master'!$F$12:$I$102,4,0)-1),""),"")</f>
        <v/>
      </c>
      <c r="CU275" s="73"/>
      <c r="CV275" s="123" t="str">
        <f t="shared" si="549"/>
        <v/>
      </c>
      <c r="CW275" s="123" t="str">
        <f t="shared" si="550"/>
        <v/>
      </c>
      <c r="CX275" s="97" t="str">
        <f t="shared" ca="1" si="551"/>
        <v/>
      </c>
      <c r="CY275" s="98" t="str">
        <f>IF(DA275&lt;&gt;"",VLOOKUP($P275&amp;" | "&amp;CY$6,'Job Master'!$F$12:$J$102,5,0),"")</f>
        <v/>
      </c>
      <c r="CZ275" s="19" t="str">
        <f>IF(DA275&lt;&gt;"",VLOOKUP($P275&amp;" | "&amp;CY$6,'Job Master'!$F$12:$J$102,3,0),"")</f>
        <v/>
      </c>
      <c r="DA275" s="19" t="str">
        <f>IFERROR(IF(AND(DH275&lt;&gt;"",VLOOKUP($P275&amp;" | "&amp;CY$6,'Job Master'!$F$12:$I$102,4,0)&lt;&gt;""),IF(WEEKDAY(DH275-VLOOKUP($P275&amp;" | "&amp;CY$6,'Job Master'!$F$12:$I$102,4,0))&lt;&gt;7,DH275-VLOOKUP($P275&amp;" | "&amp;CY$6,'Job Master'!$F$12:$I$102,4,0),DH275-VLOOKUP($P275&amp;" | "&amp;CY$6,'Job Master'!$F$12:$I$102,4,0)-1),""),"")</f>
        <v/>
      </c>
      <c r="DB275" s="73"/>
      <c r="DC275" s="123" t="str">
        <f t="shared" si="552"/>
        <v/>
      </c>
      <c r="DD275" s="123" t="str">
        <f t="shared" si="553"/>
        <v/>
      </c>
      <c r="DE275" s="97" t="str">
        <f t="shared" ca="1" si="554"/>
        <v/>
      </c>
      <c r="DF275" s="98" t="str">
        <f>IF(DH275&lt;&gt;"",VLOOKUP($P275&amp;" | "&amp;DF$6,'Job Master'!$F$12:$J$102,5,0),"")</f>
        <v/>
      </c>
      <c r="DG275" s="19" t="str">
        <f>IF(DH275&lt;&gt;"",VLOOKUP($P275&amp;" | "&amp;DF$6,'Job Master'!$F$12:$J$102,3,0),"")</f>
        <v/>
      </c>
      <c r="DH275" s="19" t="str">
        <f>IFERROR(IF(AND(DO275&lt;&gt;"",VLOOKUP($P275&amp;" | "&amp;DF$6,'Job Master'!$F$12:$I$102,4,0)&lt;&gt;""),IF(WEEKDAY(DO275-VLOOKUP($P275&amp;" | "&amp;DF$6,'Job Master'!$F$12:$I$102,4,0))&lt;&gt;7,DO275-VLOOKUP($P275&amp;" | "&amp;DF$6,'Job Master'!$F$12:$I$102,4,0),DO275-VLOOKUP($P275&amp;" | "&amp;DF$6,'Job Master'!$F$12:$I$102,4,0)-1),""),"")</f>
        <v/>
      </c>
      <c r="DI275" s="73"/>
      <c r="DJ275" s="123" t="str">
        <f t="shared" si="555"/>
        <v/>
      </c>
      <c r="DK275" s="123" t="str">
        <f t="shared" si="556"/>
        <v/>
      </c>
      <c r="DL275" s="97" t="str">
        <f t="shared" ca="1" si="557"/>
        <v/>
      </c>
      <c r="DM275" s="98" t="str">
        <f>IF(DO275&lt;&gt;"",VLOOKUP($P275&amp;" | "&amp;DM$6,'Job Master'!$F$12:$J$102,5,0),"")</f>
        <v/>
      </c>
      <c r="DN275" s="19" t="str">
        <f>IF(DO275&lt;&gt;"",VLOOKUP($P275&amp;" | "&amp;DM$6,'Job Master'!$F$12:$J$102,3,0),"")</f>
        <v/>
      </c>
      <c r="DO275" s="19" t="str">
        <f>IFERROR(IF(AND(DT275&lt;&gt;"",VLOOKUP($P275&amp;" | "&amp;DM$6,'Job Master'!$F$12:$I$102,4,0)&lt;&gt;""),IF(WEEKDAY(DT275-VLOOKUP($P275&amp;" | "&amp;DM$6,'Job Master'!$F$12:$I$102,4,0))&lt;&gt;7,DT275-VLOOKUP($P275&amp;" | "&amp;DM$6,'Job Master'!$F$12:$I$102,4,0),DT275-VLOOKUP($P275&amp;" | "&amp;DM$6,'Job Master'!$F$12:$I$102,4,0)-1),""),"")</f>
        <v/>
      </c>
      <c r="DP275" s="73"/>
      <c r="DQ275" s="123" t="str">
        <f t="shared" si="558"/>
        <v/>
      </c>
      <c r="DR275" s="123" t="str">
        <f t="shared" si="559"/>
        <v/>
      </c>
      <c r="DS275" s="97" t="str">
        <f t="shared" ca="1" si="560"/>
        <v/>
      </c>
      <c r="DT275" s="70" t="str">
        <f t="shared" si="561"/>
        <v/>
      </c>
      <c r="DU275" s="90"/>
      <c r="DV275" s="123" t="str">
        <f t="shared" si="562"/>
        <v/>
      </c>
      <c r="DW275" s="123" t="str">
        <f t="shared" si="563"/>
        <v/>
      </c>
      <c r="DX275" s="132" t="str">
        <f t="shared" ref="DX275" ca="1" si="581">IF(DT275&lt;&gt;"",IF(WEEKNUM(DT275)=WEEKNUM(TODAY()),"This Week",IF(WEEKNUM(DT275)=WEEKNUM(TODAY())+1,"Next Week",IF(WEEKNUM(DT275)=WEEKNUM(TODAY())-1,"Previous Week",""))),"")</f>
        <v/>
      </c>
      <c r="DY275" s="134" t="str">
        <f t="shared" si="565"/>
        <v/>
      </c>
      <c r="DZ275" s="95"/>
      <c r="EB275" s="8" t="str">
        <f t="shared" si="571"/>
        <v/>
      </c>
      <c r="EC275" s="8" t="str">
        <f>IF(O275&lt;&gt;"",VLOOKUP(O275,'Job Master'!$N$12:$O$18,2,0),"")</f>
        <v/>
      </c>
      <c r="ED275" s="8">
        <f t="shared" si="572"/>
        <v>19.5</v>
      </c>
      <c r="EE275" s="8">
        <f t="shared" si="573"/>
        <v>6</v>
      </c>
      <c r="EF275" s="8">
        <f t="shared" si="574"/>
        <v>-1570.5</v>
      </c>
      <c r="EG275" s="8" t="str">
        <f t="shared" si="575"/>
        <v/>
      </c>
      <c r="EH275" s="8" t="str">
        <f t="shared" si="576"/>
        <v/>
      </c>
    </row>
    <row r="276" spans="2:138" x14ac:dyDescent="0.3">
      <c r="B276" s="112"/>
      <c r="C276" s="27"/>
      <c r="D276" s="7" t="str">
        <f t="shared" si="513"/>
        <v/>
      </c>
      <c r="E276" s="25"/>
      <c r="F276" s="7" t="str">
        <f t="shared" si="513"/>
        <v/>
      </c>
      <c r="G276" s="25"/>
      <c r="H276" s="7" t="str">
        <f t="shared" si="513"/>
        <v/>
      </c>
      <c r="I276" s="25"/>
      <c r="J276" s="7" t="str">
        <f t="shared" si="513"/>
        <v/>
      </c>
      <c r="K276" s="25"/>
      <c r="L276" s="7" t="str">
        <f t="shared" si="514"/>
        <v/>
      </c>
      <c r="M276" s="25"/>
      <c r="N276" s="7" t="str">
        <f t="shared" si="515"/>
        <v/>
      </c>
      <c r="O276" s="81"/>
      <c r="P276" s="81" t="str">
        <f t="shared" si="516"/>
        <v/>
      </c>
      <c r="Q276" s="81"/>
      <c r="R276" s="7" t="str">
        <f t="shared" si="517"/>
        <v/>
      </c>
      <c r="S276" s="25"/>
      <c r="T276" s="7" t="str">
        <f t="shared" si="518"/>
        <v/>
      </c>
      <c r="U276" s="25"/>
      <c r="V276" s="7" t="str">
        <f t="shared" si="519"/>
        <v/>
      </c>
      <c r="W276" s="25"/>
      <c r="X276" s="7" t="str">
        <f t="shared" si="520"/>
        <v/>
      </c>
      <c r="Y276" s="18" t="str">
        <f t="shared" si="521"/>
        <v/>
      </c>
      <c r="Z276" s="7" t="str">
        <f t="shared" si="522"/>
        <v/>
      </c>
      <c r="AA276" s="18" t="str">
        <f t="shared" si="523"/>
        <v/>
      </c>
      <c r="AB276" s="19" t="str">
        <f t="shared" si="524"/>
        <v/>
      </c>
      <c r="AC276" s="26"/>
      <c r="AD276" s="26"/>
      <c r="AE276" s="25"/>
      <c r="AF276" s="26"/>
      <c r="AG276" s="25"/>
      <c r="AH276" s="25"/>
      <c r="AI276" s="18" t="str">
        <f t="shared" si="461"/>
        <v/>
      </c>
      <c r="AJ276" s="25"/>
      <c r="AK276" s="18" t="str">
        <f t="shared" si="462"/>
        <v/>
      </c>
      <c r="AL276" s="79"/>
      <c r="AM276" s="126" t="str">
        <f t="shared" si="463"/>
        <v/>
      </c>
      <c r="AN276" s="128" t="str">
        <f>IF(AP276&lt;&gt;"",VLOOKUP($P276&amp;" | "&amp;AN$6,'Job Master'!$F$12:$J$102,5,0),"")</f>
        <v/>
      </c>
      <c r="AO276" s="19" t="str">
        <f>IF(AP276&lt;&gt;"",VLOOKUP($P276&amp;" | "&amp;AN$6,'Job Master'!$F$12:$J$102,3,0),"")</f>
        <v/>
      </c>
      <c r="AP276" s="19" t="str">
        <f>IFERROR(IF(AND(AW276&lt;&gt;"",VLOOKUP($P276&amp;" | "&amp;AN$6,'Job Master'!$F$12:$I$102,4,0)&lt;&gt;""),IF(WEEKDAY(AW276-VLOOKUP($P276&amp;" | "&amp;AN$6,'Job Master'!$F$12:$I$102,4,0))&lt;&gt;7,AW276-VLOOKUP($P276&amp;" | "&amp;AN$6,'Job Master'!$F$12:$I$102,4,0),AW276-VLOOKUP($P276&amp;" | "&amp;AN$6,'Job Master'!$F$12:$I$102,4,0)-1),""),"")</f>
        <v/>
      </c>
      <c r="AQ276" s="73"/>
      <c r="AR276" s="123" t="str">
        <f t="shared" si="525"/>
        <v/>
      </c>
      <c r="AS276" s="123" t="str">
        <f t="shared" si="526"/>
        <v/>
      </c>
      <c r="AT276" s="97" t="str">
        <f t="shared" ca="1" si="527"/>
        <v/>
      </c>
      <c r="AU276" s="98" t="str">
        <f>IF(AW276&lt;&gt;"",VLOOKUP($P276&amp;" | "&amp;AU$6,'Job Master'!$F$12:$J$102,5,0),"")</f>
        <v/>
      </c>
      <c r="AV276" s="19" t="str">
        <f>IF(AW276&lt;&gt;"",VLOOKUP($P276&amp;" | "&amp;AU$6,'Job Master'!$F$12:$J$102,3,0),"")</f>
        <v/>
      </c>
      <c r="AW276" s="19" t="str">
        <f>IFERROR(IF(AND(BD276&lt;&gt;"",VLOOKUP($P276&amp;" | "&amp;AU$6,'Job Master'!$F$12:$I$102,4,0)&lt;&gt;""),IF(WEEKDAY(BD276-VLOOKUP($P276&amp;" | "&amp;AU$6,'Job Master'!$F$12:$I$102,4,0))&lt;&gt;7,BD276-VLOOKUP($P276&amp;" | "&amp;AU$6,'Job Master'!$F$12:$I$102,4,0),BD276-VLOOKUP($P276&amp;" | "&amp;AU$6,'Job Master'!$F$12:$I$102,4,0)-1),""),"")</f>
        <v/>
      </c>
      <c r="AX276" s="73"/>
      <c r="AY276" s="123" t="str">
        <f t="shared" si="528"/>
        <v/>
      </c>
      <c r="AZ276" s="123" t="str">
        <f t="shared" si="529"/>
        <v/>
      </c>
      <c r="BA276" s="97" t="str">
        <f t="shared" ca="1" si="530"/>
        <v/>
      </c>
      <c r="BB276" s="98" t="str">
        <f>IF(BD276&lt;&gt;"",VLOOKUP($P276&amp;" | "&amp;BB$6,'Job Master'!$F$12:$J$102,5,0),"")</f>
        <v/>
      </c>
      <c r="BC276" s="19" t="str">
        <f>IF(BD276&lt;&gt;"",VLOOKUP($P276&amp;" | "&amp;BB$6,'Job Master'!$F$12:$J$102,3,0),"")</f>
        <v/>
      </c>
      <c r="BD276" s="19" t="str">
        <f>IFERROR(IF(AND(BK276&lt;&gt;"",VLOOKUP($P276&amp;" | "&amp;BB$6,'Job Master'!$F$12:$I$102,4,0)&lt;&gt;""),IF(WEEKDAY(BK276-VLOOKUP($P276&amp;" | "&amp;BB$6,'Job Master'!$F$12:$I$102,4,0))&lt;&gt;7,BK276-VLOOKUP($P276&amp;" | "&amp;BB$6,'Job Master'!$F$12:$I$102,4,0),BK276-VLOOKUP($P276&amp;" | "&amp;BB$6,'Job Master'!$F$12:$I$102,4,0)-1),""),"")</f>
        <v/>
      </c>
      <c r="BE276" s="73"/>
      <c r="BF276" s="123" t="str">
        <f t="shared" si="531"/>
        <v/>
      </c>
      <c r="BG276" s="123" t="str">
        <f t="shared" si="532"/>
        <v/>
      </c>
      <c r="BH276" s="97" t="str">
        <f t="shared" ca="1" si="533"/>
        <v/>
      </c>
      <c r="BI276" s="98" t="str">
        <f>IF(BK276&lt;&gt;"",VLOOKUP($P276&amp;" | "&amp;BI$6,'Job Master'!$F$12:$J$102,5,0),"")</f>
        <v/>
      </c>
      <c r="BJ276" s="19" t="str">
        <f>IF(BK276&lt;&gt;"",VLOOKUP($P276&amp;" | "&amp;BI$6,'Job Master'!$F$12:$J$102,3,0),"")</f>
        <v/>
      </c>
      <c r="BK276" s="19" t="str">
        <f>IFERROR(IF(AND(BR276&lt;&gt;"",VLOOKUP($P276&amp;" | "&amp;BI$6,'Job Master'!$F$12:$I$102,4,0)&lt;&gt;""),IF(WEEKDAY(BR276-VLOOKUP($P276&amp;" | "&amp;BI$6,'Job Master'!$F$12:$I$102,4,0))&lt;&gt;7,BR276-VLOOKUP($P276&amp;" | "&amp;BI$6,'Job Master'!$F$12:$I$102,4,0),BR276-VLOOKUP($P276&amp;" | "&amp;BI$6,'Job Master'!$F$12:$I$102,4,0)-1),""),"")</f>
        <v/>
      </c>
      <c r="BL276" s="73"/>
      <c r="BM276" s="123" t="str">
        <f t="shared" si="534"/>
        <v/>
      </c>
      <c r="BN276" s="123" t="str">
        <f t="shared" si="535"/>
        <v/>
      </c>
      <c r="BO276" s="97" t="str">
        <f t="shared" ca="1" si="536"/>
        <v/>
      </c>
      <c r="BP276" s="98" t="str">
        <f>IF(BR276&lt;&gt;"",VLOOKUP($P276&amp;" | "&amp;BP$6,'Job Master'!$F$12:$J$102,5,0),"")</f>
        <v/>
      </c>
      <c r="BQ276" s="19" t="str">
        <f>IF(BR276&lt;&gt;"",VLOOKUP($P276&amp;" | "&amp;BP$6,'Job Master'!$F$12:$J$102,3,0),"")</f>
        <v/>
      </c>
      <c r="BR276" s="19" t="str">
        <f>IFERROR(IF(AND(BY276&lt;&gt;"",VLOOKUP($P276&amp;" | "&amp;BP$6,'Job Master'!$F$12:$I$102,4,0)&lt;&gt;""),IF(WEEKDAY(BY276-VLOOKUP($P276&amp;" | "&amp;BP$6,'Job Master'!$F$12:$I$102,4,0))&lt;&gt;7,BY276-VLOOKUP($P276&amp;" | "&amp;BP$6,'Job Master'!$F$12:$I$102,4,0),BY276-VLOOKUP($P276&amp;" | "&amp;BP$6,'Job Master'!$F$12:$I$102,4,0)-1),""),"")</f>
        <v/>
      </c>
      <c r="BS276" s="73"/>
      <c r="BT276" s="123" t="str">
        <f t="shared" si="537"/>
        <v/>
      </c>
      <c r="BU276" s="123" t="str">
        <f t="shared" si="538"/>
        <v/>
      </c>
      <c r="BV276" s="97" t="str">
        <f t="shared" ca="1" si="539"/>
        <v/>
      </c>
      <c r="BW276" s="98" t="str">
        <f>IF(BY276&lt;&gt;"",VLOOKUP($P276&amp;" | "&amp;BW$6,'Job Master'!$F$12:$J$102,5,0),"")</f>
        <v/>
      </c>
      <c r="BX276" s="19" t="str">
        <f>IF(BY276&lt;&gt;"",VLOOKUP($P276&amp;" | "&amp;BW$6,'Job Master'!$F$12:$J$102,3,0),"")</f>
        <v/>
      </c>
      <c r="BY276" s="19" t="str">
        <f>IFERROR(IF(AND(CF276&lt;&gt;"",VLOOKUP($P276&amp;" | "&amp;BW$6,'Job Master'!$F$12:$I$102,4,0)&lt;&gt;""),IF(WEEKDAY(CF276-VLOOKUP($P276&amp;" | "&amp;BW$6,'Job Master'!$F$12:$I$102,4,0))&lt;&gt;7,CF276-VLOOKUP($P276&amp;" | "&amp;BW$6,'Job Master'!$F$12:$I$102,4,0),CF276-VLOOKUP($P276&amp;" | "&amp;BW$6,'Job Master'!$F$12:$I$102,4,0)-1),""),"")</f>
        <v/>
      </c>
      <c r="BZ276" s="73"/>
      <c r="CA276" s="123" t="str">
        <f t="shared" si="540"/>
        <v/>
      </c>
      <c r="CB276" s="123" t="str">
        <f t="shared" si="541"/>
        <v/>
      </c>
      <c r="CC276" s="97" t="str">
        <f t="shared" ca="1" si="542"/>
        <v/>
      </c>
      <c r="CD276" s="98" t="str">
        <f>IF(CF276&lt;&gt;"",VLOOKUP($P276&amp;" | "&amp;CD$6,'Job Master'!$F$12:$J$102,5,0),"")</f>
        <v/>
      </c>
      <c r="CE276" s="19" t="str">
        <f>IF(CF276&lt;&gt;"",VLOOKUP($P276&amp;" | "&amp;CD$6,'Job Master'!$F$12:$J$102,3,0),"")</f>
        <v/>
      </c>
      <c r="CF276" s="19" t="str">
        <f>IFERROR(IF(AND(CM276&lt;&gt;"",VLOOKUP($P276&amp;" | "&amp;CD$6,'Job Master'!$F$12:$I$102,4,0)&lt;&gt;""),IF(WEEKDAY(CM276-VLOOKUP($P276&amp;" | "&amp;CD$6,'Job Master'!$F$12:$I$102,4,0))&lt;&gt;7,CM276-VLOOKUP($P276&amp;" | "&amp;CD$6,'Job Master'!$F$12:$I$102,4,0),CM276-VLOOKUP($P276&amp;" | "&amp;CD$6,'Job Master'!$F$12:$I$102,4,0)-1),""),"")</f>
        <v/>
      </c>
      <c r="CG276" s="73"/>
      <c r="CH276" s="123" t="str">
        <f t="shared" si="543"/>
        <v/>
      </c>
      <c r="CI276" s="123" t="str">
        <f t="shared" si="544"/>
        <v/>
      </c>
      <c r="CJ276" s="97" t="str">
        <f t="shared" ca="1" si="545"/>
        <v/>
      </c>
      <c r="CK276" s="98" t="str">
        <f>IF(CM276&lt;&gt;"",VLOOKUP($P276&amp;" | "&amp;CK$6,'Job Master'!$F$12:$J$102,5,0),"")</f>
        <v/>
      </c>
      <c r="CL276" s="19" t="str">
        <f>IF(CM276&lt;&gt;"",VLOOKUP($P276&amp;" | "&amp;CK$6,'Job Master'!$F$12:$J$102,3,0),"")</f>
        <v/>
      </c>
      <c r="CM276" s="19" t="str">
        <f>IFERROR(IF(AND(CT276&lt;&gt;"",VLOOKUP($P276&amp;" | "&amp;CK$6,'Job Master'!$F$12:$I$102,4,0)&lt;&gt;""),IF(WEEKDAY(CT276-VLOOKUP($P276&amp;" | "&amp;CK$6,'Job Master'!$F$12:$I$102,4,0))&lt;&gt;7,CT276-VLOOKUP($P276&amp;" | "&amp;CK$6,'Job Master'!$F$12:$I$102,4,0),CT276-VLOOKUP($P276&amp;" | "&amp;CK$6,'Job Master'!$F$12:$I$102,4,0)-1),""),"")</f>
        <v/>
      </c>
      <c r="CN276" s="73"/>
      <c r="CO276" s="123" t="str">
        <f t="shared" si="546"/>
        <v/>
      </c>
      <c r="CP276" s="123" t="str">
        <f t="shared" si="547"/>
        <v/>
      </c>
      <c r="CQ276" s="97" t="str">
        <f t="shared" ca="1" si="548"/>
        <v/>
      </c>
      <c r="CR276" s="98" t="str">
        <f>IF(CT276&lt;&gt;"",VLOOKUP($P276&amp;" | "&amp;CR$6,'Job Master'!$F$12:$J$102,5,0),"")</f>
        <v/>
      </c>
      <c r="CS276" s="19" t="str">
        <f>IF(CT276&lt;&gt;"",VLOOKUP($P276&amp;" | "&amp;CR$6,'Job Master'!$F$12:$J$102,3,0),"")</f>
        <v/>
      </c>
      <c r="CT276" s="19" t="str">
        <f>IFERROR(IF(AND(DA276&lt;&gt;"",VLOOKUP($P276&amp;" | "&amp;CR$6,'Job Master'!$F$12:$I$102,4,0)&lt;&gt;""),IF(WEEKDAY(DA276-VLOOKUP($P276&amp;" | "&amp;CR$6,'Job Master'!$F$12:$I$102,4,0))&lt;&gt;7,DA276-VLOOKUP($P276&amp;" | "&amp;CR$6,'Job Master'!$F$12:$I$102,4,0),DA276-VLOOKUP($P276&amp;" | "&amp;CR$6,'Job Master'!$F$12:$I$102,4,0)-1),""),"")</f>
        <v/>
      </c>
      <c r="CU276" s="73"/>
      <c r="CV276" s="123" t="str">
        <f t="shared" si="549"/>
        <v/>
      </c>
      <c r="CW276" s="123" t="str">
        <f t="shared" si="550"/>
        <v/>
      </c>
      <c r="CX276" s="97" t="str">
        <f t="shared" ca="1" si="551"/>
        <v/>
      </c>
      <c r="CY276" s="98" t="str">
        <f>IF(DA276&lt;&gt;"",VLOOKUP($P276&amp;" | "&amp;CY$6,'Job Master'!$F$12:$J$102,5,0),"")</f>
        <v/>
      </c>
      <c r="CZ276" s="19" t="str">
        <f>IF(DA276&lt;&gt;"",VLOOKUP($P276&amp;" | "&amp;CY$6,'Job Master'!$F$12:$J$102,3,0),"")</f>
        <v/>
      </c>
      <c r="DA276" s="19" t="str">
        <f>IFERROR(IF(AND(DH276&lt;&gt;"",VLOOKUP($P276&amp;" | "&amp;CY$6,'Job Master'!$F$12:$I$102,4,0)&lt;&gt;""),IF(WEEKDAY(DH276-VLOOKUP($P276&amp;" | "&amp;CY$6,'Job Master'!$F$12:$I$102,4,0))&lt;&gt;7,DH276-VLOOKUP($P276&amp;" | "&amp;CY$6,'Job Master'!$F$12:$I$102,4,0),DH276-VLOOKUP($P276&amp;" | "&amp;CY$6,'Job Master'!$F$12:$I$102,4,0)-1),""),"")</f>
        <v/>
      </c>
      <c r="DB276" s="73"/>
      <c r="DC276" s="123" t="str">
        <f t="shared" si="552"/>
        <v/>
      </c>
      <c r="DD276" s="123" t="str">
        <f t="shared" si="553"/>
        <v/>
      </c>
      <c r="DE276" s="97" t="str">
        <f t="shared" ca="1" si="554"/>
        <v/>
      </c>
      <c r="DF276" s="98" t="str">
        <f>IF(DH276&lt;&gt;"",VLOOKUP($P276&amp;" | "&amp;DF$6,'Job Master'!$F$12:$J$102,5,0),"")</f>
        <v/>
      </c>
      <c r="DG276" s="19" t="str">
        <f>IF(DH276&lt;&gt;"",VLOOKUP($P276&amp;" | "&amp;DF$6,'Job Master'!$F$12:$J$102,3,0),"")</f>
        <v/>
      </c>
      <c r="DH276" s="19" t="str">
        <f>IFERROR(IF(AND(DO276&lt;&gt;"",VLOOKUP($P276&amp;" | "&amp;DF$6,'Job Master'!$F$12:$I$102,4,0)&lt;&gt;""),IF(WEEKDAY(DO276-VLOOKUP($P276&amp;" | "&amp;DF$6,'Job Master'!$F$12:$I$102,4,0))&lt;&gt;7,DO276-VLOOKUP($P276&amp;" | "&amp;DF$6,'Job Master'!$F$12:$I$102,4,0),DO276-VLOOKUP($P276&amp;" | "&amp;DF$6,'Job Master'!$F$12:$I$102,4,0)-1),""),"")</f>
        <v/>
      </c>
      <c r="DI276" s="73"/>
      <c r="DJ276" s="123" t="str">
        <f t="shared" si="555"/>
        <v/>
      </c>
      <c r="DK276" s="123" t="str">
        <f t="shared" si="556"/>
        <v/>
      </c>
      <c r="DL276" s="97" t="str">
        <f t="shared" ca="1" si="557"/>
        <v/>
      </c>
      <c r="DM276" s="98" t="str">
        <f>IF(DO276&lt;&gt;"",VLOOKUP($P276&amp;" | "&amp;DM$6,'Job Master'!$F$12:$J$102,5,0),"")</f>
        <v/>
      </c>
      <c r="DN276" s="19" t="str">
        <f>IF(DO276&lt;&gt;"",VLOOKUP($P276&amp;" | "&amp;DM$6,'Job Master'!$F$12:$J$102,3,0),"")</f>
        <v/>
      </c>
      <c r="DO276" s="19" t="str">
        <f>IFERROR(IF(AND(DT276&lt;&gt;"",VLOOKUP($P276&amp;" | "&amp;DM$6,'Job Master'!$F$12:$I$102,4,0)&lt;&gt;""),IF(WEEKDAY(DT276-VLOOKUP($P276&amp;" | "&amp;DM$6,'Job Master'!$F$12:$I$102,4,0))&lt;&gt;7,DT276-VLOOKUP($P276&amp;" | "&amp;DM$6,'Job Master'!$F$12:$I$102,4,0),DT276-VLOOKUP($P276&amp;" | "&amp;DM$6,'Job Master'!$F$12:$I$102,4,0)-1),""),"")</f>
        <v/>
      </c>
      <c r="DP276" s="73"/>
      <c r="DQ276" s="123" t="str">
        <f t="shared" si="558"/>
        <v/>
      </c>
      <c r="DR276" s="123" t="str">
        <f t="shared" si="559"/>
        <v/>
      </c>
      <c r="DS276" s="97" t="str">
        <f t="shared" ca="1" si="560"/>
        <v/>
      </c>
      <c r="DT276" s="70" t="str">
        <f t="shared" si="561"/>
        <v/>
      </c>
      <c r="DU276" s="90"/>
      <c r="DV276" s="123" t="str">
        <f t="shared" si="562"/>
        <v/>
      </c>
      <c r="DW276" s="123" t="str">
        <f t="shared" si="563"/>
        <v/>
      </c>
      <c r="DX276" s="132" t="str">
        <f t="shared" ref="DX276" ca="1" si="582">IF(DT276&lt;&gt;"",IF(WEEKNUM(DT276)=WEEKNUM(TODAY()),"This Week",IF(WEEKNUM(DT276)=WEEKNUM(TODAY())+1,"Next Week",IF(WEEKNUM(DT276)=WEEKNUM(TODAY())-1,"Previous Week",""))),"")</f>
        <v/>
      </c>
      <c r="DY276" s="134" t="str">
        <f t="shared" si="565"/>
        <v/>
      </c>
      <c r="DZ276" s="95"/>
      <c r="EB276" s="8" t="str">
        <f t="shared" si="571"/>
        <v/>
      </c>
      <c r="EC276" s="8" t="str">
        <f>IF(O276&lt;&gt;"",VLOOKUP(O276,'Job Master'!$N$12:$O$18,2,0),"")</f>
        <v/>
      </c>
      <c r="ED276" s="8">
        <f t="shared" si="572"/>
        <v>19.5</v>
      </c>
      <c r="EE276" s="8">
        <f t="shared" si="573"/>
        <v>6</v>
      </c>
      <c r="EF276" s="8">
        <f t="shared" si="574"/>
        <v>-1576.5</v>
      </c>
      <c r="EG276" s="8" t="str">
        <f t="shared" si="575"/>
        <v/>
      </c>
      <c r="EH276" s="8" t="str">
        <f t="shared" si="576"/>
        <v/>
      </c>
    </row>
    <row r="277" spans="2:138" x14ac:dyDescent="0.3">
      <c r="B277" s="112"/>
      <c r="C277" s="27"/>
      <c r="D277" s="7" t="str">
        <f t="shared" si="513"/>
        <v/>
      </c>
      <c r="E277" s="25"/>
      <c r="F277" s="7" t="str">
        <f t="shared" si="513"/>
        <v/>
      </c>
      <c r="G277" s="25"/>
      <c r="H277" s="7" t="str">
        <f t="shared" si="513"/>
        <v/>
      </c>
      <c r="I277" s="25"/>
      <c r="J277" s="7" t="str">
        <f t="shared" si="513"/>
        <v/>
      </c>
      <c r="K277" s="25"/>
      <c r="L277" s="7" t="str">
        <f t="shared" si="514"/>
        <v/>
      </c>
      <c r="M277" s="25"/>
      <c r="N277" s="7" t="str">
        <f t="shared" si="515"/>
        <v/>
      </c>
      <c r="O277" s="81"/>
      <c r="P277" s="81" t="str">
        <f t="shared" si="516"/>
        <v/>
      </c>
      <c r="Q277" s="81"/>
      <c r="R277" s="7" t="str">
        <f t="shared" si="517"/>
        <v/>
      </c>
      <c r="S277" s="25"/>
      <c r="T277" s="7" t="str">
        <f t="shared" si="518"/>
        <v/>
      </c>
      <c r="U277" s="25"/>
      <c r="V277" s="7" t="str">
        <f t="shared" si="519"/>
        <v/>
      </c>
      <c r="W277" s="25"/>
      <c r="X277" s="7" t="str">
        <f t="shared" si="520"/>
        <v/>
      </c>
      <c r="Y277" s="18" t="str">
        <f t="shared" si="521"/>
        <v/>
      </c>
      <c r="Z277" s="7" t="str">
        <f t="shared" si="522"/>
        <v/>
      </c>
      <c r="AA277" s="18" t="str">
        <f t="shared" si="523"/>
        <v/>
      </c>
      <c r="AB277" s="19" t="str">
        <f t="shared" si="524"/>
        <v/>
      </c>
      <c r="AC277" s="26"/>
      <c r="AD277" s="26"/>
      <c r="AE277" s="25"/>
      <c r="AF277" s="26"/>
      <c r="AG277" s="25"/>
      <c r="AH277" s="25"/>
      <c r="AI277" s="18" t="str">
        <f t="shared" si="461"/>
        <v/>
      </c>
      <c r="AJ277" s="25"/>
      <c r="AK277" s="18" t="str">
        <f t="shared" si="462"/>
        <v/>
      </c>
      <c r="AL277" s="79"/>
      <c r="AM277" s="126" t="str">
        <f t="shared" si="463"/>
        <v/>
      </c>
      <c r="AN277" s="128" t="str">
        <f>IF(AP277&lt;&gt;"",VLOOKUP($P277&amp;" | "&amp;AN$6,'Job Master'!$F$12:$J$102,5,0),"")</f>
        <v/>
      </c>
      <c r="AO277" s="19" t="str">
        <f>IF(AP277&lt;&gt;"",VLOOKUP($P277&amp;" | "&amp;AN$6,'Job Master'!$F$12:$J$102,3,0),"")</f>
        <v/>
      </c>
      <c r="AP277" s="19" t="str">
        <f>IFERROR(IF(AND(AW277&lt;&gt;"",VLOOKUP($P277&amp;" | "&amp;AN$6,'Job Master'!$F$12:$I$102,4,0)&lt;&gt;""),IF(WEEKDAY(AW277-VLOOKUP($P277&amp;" | "&amp;AN$6,'Job Master'!$F$12:$I$102,4,0))&lt;&gt;7,AW277-VLOOKUP($P277&amp;" | "&amp;AN$6,'Job Master'!$F$12:$I$102,4,0),AW277-VLOOKUP($P277&amp;" | "&amp;AN$6,'Job Master'!$F$12:$I$102,4,0)-1),""),"")</f>
        <v/>
      </c>
      <c r="AQ277" s="73"/>
      <c r="AR277" s="123" t="str">
        <f t="shared" si="525"/>
        <v/>
      </c>
      <c r="AS277" s="123" t="str">
        <f t="shared" si="526"/>
        <v/>
      </c>
      <c r="AT277" s="97" t="str">
        <f t="shared" ca="1" si="527"/>
        <v/>
      </c>
      <c r="AU277" s="98" t="str">
        <f>IF(AW277&lt;&gt;"",VLOOKUP($P277&amp;" | "&amp;AU$6,'Job Master'!$F$12:$J$102,5,0),"")</f>
        <v/>
      </c>
      <c r="AV277" s="19" t="str">
        <f>IF(AW277&lt;&gt;"",VLOOKUP($P277&amp;" | "&amp;AU$6,'Job Master'!$F$12:$J$102,3,0),"")</f>
        <v/>
      </c>
      <c r="AW277" s="19" t="str">
        <f>IFERROR(IF(AND(BD277&lt;&gt;"",VLOOKUP($P277&amp;" | "&amp;AU$6,'Job Master'!$F$12:$I$102,4,0)&lt;&gt;""),IF(WEEKDAY(BD277-VLOOKUP($P277&amp;" | "&amp;AU$6,'Job Master'!$F$12:$I$102,4,0))&lt;&gt;7,BD277-VLOOKUP($P277&amp;" | "&amp;AU$6,'Job Master'!$F$12:$I$102,4,0),BD277-VLOOKUP($P277&amp;" | "&amp;AU$6,'Job Master'!$F$12:$I$102,4,0)-1),""),"")</f>
        <v/>
      </c>
      <c r="AX277" s="73"/>
      <c r="AY277" s="123" t="str">
        <f t="shared" si="528"/>
        <v/>
      </c>
      <c r="AZ277" s="123" t="str">
        <f t="shared" si="529"/>
        <v/>
      </c>
      <c r="BA277" s="97" t="str">
        <f t="shared" ca="1" si="530"/>
        <v/>
      </c>
      <c r="BB277" s="98" t="str">
        <f>IF(BD277&lt;&gt;"",VLOOKUP($P277&amp;" | "&amp;BB$6,'Job Master'!$F$12:$J$102,5,0),"")</f>
        <v/>
      </c>
      <c r="BC277" s="19" t="str">
        <f>IF(BD277&lt;&gt;"",VLOOKUP($P277&amp;" | "&amp;BB$6,'Job Master'!$F$12:$J$102,3,0),"")</f>
        <v/>
      </c>
      <c r="BD277" s="19" t="str">
        <f>IFERROR(IF(AND(BK277&lt;&gt;"",VLOOKUP($P277&amp;" | "&amp;BB$6,'Job Master'!$F$12:$I$102,4,0)&lt;&gt;""),IF(WEEKDAY(BK277-VLOOKUP($P277&amp;" | "&amp;BB$6,'Job Master'!$F$12:$I$102,4,0))&lt;&gt;7,BK277-VLOOKUP($P277&amp;" | "&amp;BB$6,'Job Master'!$F$12:$I$102,4,0),BK277-VLOOKUP($P277&amp;" | "&amp;BB$6,'Job Master'!$F$12:$I$102,4,0)-1),""),"")</f>
        <v/>
      </c>
      <c r="BE277" s="73"/>
      <c r="BF277" s="123" t="str">
        <f t="shared" si="531"/>
        <v/>
      </c>
      <c r="BG277" s="123" t="str">
        <f t="shared" si="532"/>
        <v/>
      </c>
      <c r="BH277" s="97" t="str">
        <f t="shared" ca="1" si="533"/>
        <v/>
      </c>
      <c r="BI277" s="98" t="str">
        <f>IF(BK277&lt;&gt;"",VLOOKUP($P277&amp;" | "&amp;BI$6,'Job Master'!$F$12:$J$102,5,0),"")</f>
        <v/>
      </c>
      <c r="BJ277" s="19" t="str">
        <f>IF(BK277&lt;&gt;"",VLOOKUP($P277&amp;" | "&amp;BI$6,'Job Master'!$F$12:$J$102,3,0),"")</f>
        <v/>
      </c>
      <c r="BK277" s="19" t="str">
        <f>IFERROR(IF(AND(BR277&lt;&gt;"",VLOOKUP($P277&amp;" | "&amp;BI$6,'Job Master'!$F$12:$I$102,4,0)&lt;&gt;""),IF(WEEKDAY(BR277-VLOOKUP($P277&amp;" | "&amp;BI$6,'Job Master'!$F$12:$I$102,4,0))&lt;&gt;7,BR277-VLOOKUP($P277&amp;" | "&amp;BI$6,'Job Master'!$F$12:$I$102,4,0),BR277-VLOOKUP($P277&amp;" | "&amp;BI$6,'Job Master'!$F$12:$I$102,4,0)-1),""),"")</f>
        <v/>
      </c>
      <c r="BL277" s="73"/>
      <c r="BM277" s="123" t="str">
        <f t="shared" si="534"/>
        <v/>
      </c>
      <c r="BN277" s="123" t="str">
        <f t="shared" si="535"/>
        <v/>
      </c>
      <c r="BO277" s="97" t="str">
        <f t="shared" ca="1" si="536"/>
        <v/>
      </c>
      <c r="BP277" s="98" t="str">
        <f>IF(BR277&lt;&gt;"",VLOOKUP($P277&amp;" | "&amp;BP$6,'Job Master'!$F$12:$J$102,5,0),"")</f>
        <v/>
      </c>
      <c r="BQ277" s="19" t="str">
        <f>IF(BR277&lt;&gt;"",VLOOKUP($P277&amp;" | "&amp;BP$6,'Job Master'!$F$12:$J$102,3,0),"")</f>
        <v/>
      </c>
      <c r="BR277" s="19" t="str">
        <f>IFERROR(IF(AND(BY277&lt;&gt;"",VLOOKUP($P277&amp;" | "&amp;BP$6,'Job Master'!$F$12:$I$102,4,0)&lt;&gt;""),IF(WEEKDAY(BY277-VLOOKUP($P277&amp;" | "&amp;BP$6,'Job Master'!$F$12:$I$102,4,0))&lt;&gt;7,BY277-VLOOKUP($P277&amp;" | "&amp;BP$6,'Job Master'!$F$12:$I$102,4,0),BY277-VLOOKUP($P277&amp;" | "&amp;BP$6,'Job Master'!$F$12:$I$102,4,0)-1),""),"")</f>
        <v/>
      </c>
      <c r="BS277" s="73"/>
      <c r="BT277" s="123" t="str">
        <f t="shared" si="537"/>
        <v/>
      </c>
      <c r="BU277" s="123" t="str">
        <f t="shared" si="538"/>
        <v/>
      </c>
      <c r="BV277" s="97" t="str">
        <f t="shared" ca="1" si="539"/>
        <v/>
      </c>
      <c r="BW277" s="98" t="str">
        <f>IF(BY277&lt;&gt;"",VLOOKUP($P277&amp;" | "&amp;BW$6,'Job Master'!$F$12:$J$102,5,0),"")</f>
        <v/>
      </c>
      <c r="BX277" s="19" t="str">
        <f>IF(BY277&lt;&gt;"",VLOOKUP($P277&amp;" | "&amp;BW$6,'Job Master'!$F$12:$J$102,3,0),"")</f>
        <v/>
      </c>
      <c r="BY277" s="19" t="str">
        <f>IFERROR(IF(AND(CF277&lt;&gt;"",VLOOKUP($P277&amp;" | "&amp;BW$6,'Job Master'!$F$12:$I$102,4,0)&lt;&gt;""),IF(WEEKDAY(CF277-VLOOKUP($P277&amp;" | "&amp;BW$6,'Job Master'!$F$12:$I$102,4,0))&lt;&gt;7,CF277-VLOOKUP($P277&amp;" | "&amp;BW$6,'Job Master'!$F$12:$I$102,4,0),CF277-VLOOKUP($P277&amp;" | "&amp;BW$6,'Job Master'!$F$12:$I$102,4,0)-1),""),"")</f>
        <v/>
      </c>
      <c r="BZ277" s="73"/>
      <c r="CA277" s="123" t="str">
        <f t="shared" si="540"/>
        <v/>
      </c>
      <c r="CB277" s="123" t="str">
        <f t="shared" si="541"/>
        <v/>
      </c>
      <c r="CC277" s="97" t="str">
        <f t="shared" ca="1" si="542"/>
        <v/>
      </c>
      <c r="CD277" s="98" t="str">
        <f>IF(CF277&lt;&gt;"",VLOOKUP($P277&amp;" | "&amp;CD$6,'Job Master'!$F$12:$J$102,5,0),"")</f>
        <v/>
      </c>
      <c r="CE277" s="19" t="str">
        <f>IF(CF277&lt;&gt;"",VLOOKUP($P277&amp;" | "&amp;CD$6,'Job Master'!$F$12:$J$102,3,0),"")</f>
        <v/>
      </c>
      <c r="CF277" s="19" t="str">
        <f>IFERROR(IF(AND(CM277&lt;&gt;"",VLOOKUP($P277&amp;" | "&amp;CD$6,'Job Master'!$F$12:$I$102,4,0)&lt;&gt;""),IF(WEEKDAY(CM277-VLOOKUP($P277&amp;" | "&amp;CD$6,'Job Master'!$F$12:$I$102,4,0))&lt;&gt;7,CM277-VLOOKUP($P277&amp;" | "&amp;CD$6,'Job Master'!$F$12:$I$102,4,0),CM277-VLOOKUP($P277&amp;" | "&amp;CD$6,'Job Master'!$F$12:$I$102,4,0)-1),""),"")</f>
        <v/>
      </c>
      <c r="CG277" s="73"/>
      <c r="CH277" s="123" t="str">
        <f t="shared" si="543"/>
        <v/>
      </c>
      <c r="CI277" s="123" t="str">
        <f t="shared" si="544"/>
        <v/>
      </c>
      <c r="CJ277" s="97" t="str">
        <f t="shared" ca="1" si="545"/>
        <v/>
      </c>
      <c r="CK277" s="98" t="str">
        <f>IF(CM277&lt;&gt;"",VLOOKUP($P277&amp;" | "&amp;CK$6,'Job Master'!$F$12:$J$102,5,0),"")</f>
        <v/>
      </c>
      <c r="CL277" s="19" t="str">
        <f>IF(CM277&lt;&gt;"",VLOOKUP($P277&amp;" | "&amp;CK$6,'Job Master'!$F$12:$J$102,3,0),"")</f>
        <v/>
      </c>
      <c r="CM277" s="19" t="str">
        <f>IFERROR(IF(AND(CT277&lt;&gt;"",VLOOKUP($P277&amp;" | "&amp;CK$6,'Job Master'!$F$12:$I$102,4,0)&lt;&gt;""),IF(WEEKDAY(CT277-VLOOKUP($P277&amp;" | "&amp;CK$6,'Job Master'!$F$12:$I$102,4,0))&lt;&gt;7,CT277-VLOOKUP($P277&amp;" | "&amp;CK$6,'Job Master'!$F$12:$I$102,4,0),CT277-VLOOKUP($P277&amp;" | "&amp;CK$6,'Job Master'!$F$12:$I$102,4,0)-1),""),"")</f>
        <v/>
      </c>
      <c r="CN277" s="73"/>
      <c r="CO277" s="123" t="str">
        <f t="shared" si="546"/>
        <v/>
      </c>
      <c r="CP277" s="123" t="str">
        <f t="shared" si="547"/>
        <v/>
      </c>
      <c r="CQ277" s="97" t="str">
        <f t="shared" ca="1" si="548"/>
        <v/>
      </c>
      <c r="CR277" s="98" t="str">
        <f>IF(CT277&lt;&gt;"",VLOOKUP($P277&amp;" | "&amp;CR$6,'Job Master'!$F$12:$J$102,5,0),"")</f>
        <v/>
      </c>
      <c r="CS277" s="19" t="str">
        <f>IF(CT277&lt;&gt;"",VLOOKUP($P277&amp;" | "&amp;CR$6,'Job Master'!$F$12:$J$102,3,0),"")</f>
        <v/>
      </c>
      <c r="CT277" s="19" t="str">
        <f>IFERROR(IF(AND(DA277&lt;&gt;"",VLOOKUP($P277&amp;" | "&amp;CR$6,'Job Master'!$F$12:$I$102,4,0)&lt;&gt;""),IF(WEEKDAY(DA277-VLOOKUP($P277&amp;" | "&amp;CR$6,'Job Master'!$F$12:$I$102,4,0))&lt;&gt;7,DA277-VLOOKUP($P277&amp;" | "&amp;CR$6,'Job Master'!$F$12:$I$102,4,0),DA277-VLOOKUP($P277&amp;" | "&amp;CR$6,'Job Master'!$F$12:$I$102,4,0)-1),""),"")</f>
        <v/>
      </c>
      <c r="CU277" s="73"/>
      <c r="CV277" s="123" t="str">
        <f t="shared" si="549"/>
        <v/>
      </c>
      <c r="CW277" s="123" t="str">
        <f t="shared" si="550"/>
        <v/>
      </c>
      <c r="CX277" s="97" t="str">
        <f t="shared" ca="1" si="551"/>
        <v/>
      </c>
      <c r="CY277" s="98" t="str">
        <f>IF(DA277&lt;&gt;"",VLOOKUP($P277&amp;" | "&amp;CY$6,'Job Master'!$F$12:$J$102,5,0),"")</f>
        <v/>
      </c>
      <c r="CZ277" s="19" t="str">
        <f>IF(DA277&lt;&gt;"",VLOOKUP($P277&amp;" | "&amp;CY$6,'Job Master'!$F$12:$J$102,3,0),"")</f>
        <v/>
      </c>
      <c r="DA277" s="19" t="str">
        <f>IFERROR(IF(AND(DH277&lt;&gt;"",VLOOKUP($P277&amp;" | "&amp;CY$6,'Job Master'!$F$12:$I$102,4,0)&lt;&gt;""),IF(WEEKDAY(DH277-VLOOKUP($P277&amp;" | "&amp;CY$6,'Job Master'!$F$12:$I$102,4,0))&lt;&gt;7,DH277-VLOOKUP($P277&amp;" | "&amp;CY$6,'Job Master'!$F$12:$I$102,4,0),DH277-VLOOKUP($P277&amp;" | "&amp;CY$6,'Job Master'!$F$12:$I$102,4,0)-1),""),"")</f>
        <v/>
      </c>
      <c r="DB277" s="73"/>
      <c r="DC277" s="123" t="str">
        <f t="shared" si="552"/>
        <v/>
      </c>
      <c r="DD277" s="123" t="str">
        <f t="shared" si="553"/>
        <v/>
      </c>
      <c r="DE277" s="97" t="str">
        <f t="shared" ca="1" si="554"/>
        <v/>
      </c>
      <c r="DF277" s="98" t="str">
        <f>IF(DH277&lt;&gt;"",VLOOKUP($P277&amp;" | "&amp;DF$6,'Job Master'!$F$12:$J$102,5,0),"")</f>
        <v/>
      </c>
      <c r="DG277" s="19" t="str">
        <f>IF(DH277&lt;&gt;"",VLOOKUP($P277&amp;" | "&amp;DF$6,'Job Master'!$F$12:$J$102,3,0),"")</f>
        <v/>
      </c>
      <c r="DH277" s="19" t="str">
        <f>IFERROR(IF(AND(DO277&lt;&gt;"",VLOOKUP($P277&amp;" | "&amp;DF$6,'Job Master'!$F$12:$I$102,4,0)&lt;&gt;""),IF(WEEKDAY(DO277-VLOOKUP($P277&amp;" | "&amp;DF$6,'Job Master'!$F$12:$I$102,4,0))&lt;&gt;7,DO277-VLOOKUP($P277&amp;" | "&amp;DF$6,'Job Master'!$F$12:$I$102,4,0),DO277-VLOOKUP($P277&amp;" | "&amp;DF$6,'Job Master'!$F$12:$I$102,4,0)-1),""),"")</f>
        <v/>
      </c>
      <c r="DI277" s="73"/>
      <c r="DJ277" s="123" t="str">
        <f t="shared" si="555"/>
        <v/>
      </c>
      <c r="DK277" s="123" t="str">
        <f t="shared" si="556"/>
        <v/>
      </c>
      <c r="DL277" s="97" t="str">
        <f t="shared" ca="1" si="557"/>
        <v/>
      </c>
      <c r="DM277" s="98" t="str">
        <f>IF(DO277&lt;&gt;"",VLOOKUP($P277&amp;" | "&amp;DM$6,'Job Master'!$F$12:$J$102,5,0),"")</f>
        <v/>
      </c>
      <c r="DN277" s="19" t="str">
        <f>IF(DO277&lt;&gt;"",VLOOKUP($P277&amp;" | "&amp;DM$6,'Job Master'!$F$12:$J$102,3,0),"")</f>
        <v/>
      </c>
      <c r="DO277" s="19" t="str">
        <f>IFERROR(IF(AND(DT277&lt;&gt;"",VLOOKUP($P277&amp;" | "&amp;DM$6,'Job Master'!$F$12:$I$102,4,0)&lt;&gt;""),IF(WEEKDAY(DT277-VLOOKUP($P277&amp;" | "&amp;DM$6,'Job Master'!$F$12:$I$102,4,0))&lt;&gt;7,DT277-VLOOKUP($P277&amp;" | "&amp;DM$6,'Job Master'!$F$12:$I$102,4,0),DT277-VLOOKUP($P277&amp;" | "&amp;DM$6,'Job Master'!$F$12:$I$102,4,0)-1),""),"")</f>
        <v/>
      </c>
      <c r="DP277" s="73"/>
      <c r="DQ277" s="123" t="str">
        <f t="shared" si="558"/>
        <v/>
      </c>
      <c r="DR277" s="123" t="str">
        <f t="shared" si="559"/>
        <v/>
      </c>
      <c r="DS277" s="97" t="str">
        <f t="shared" ca="1" si="560"/>
        <v/>
      </c>
      <c r="DT277" s="70" t="str">
        <f t="shared" si="561"/>
        <v/>
      </c>
      <c r="DU277" s="90"/>
      <c r="DV277" s="123" t="str">
        <f t="shared" si="562"/>
        <v/>
      </c>
      <c r="DW277" s="123" t="str">
        <f t="shared" si="563"/>
        <v/>
      </c>
      <c r="DX277" s="132" t="str">
        <f t="shared" ref="DX277" ca="1" si="583">IF(DT277&lt;&gt;"",IF(WEEKNUM(DT277)=WEEKNUM(TODAY()),"This Week",IF(WEEKNUM(DT277)=WEEKNUM(TODAY())+1,"Next Week",IF(WEEKNUM(DT277)=WEEKNUM(TODAY())-1,"Previous Week",""))),"")</f>
        <v/>
      </c>
      <c r="DY277" s="134" t="str">
        <f t="shared" si="565"/>
        <v/>
      </c>
      <c r="DZ277" s="95"/>
      <c r="EB277" s="8" t="str">
        <f t="shared" si="571"/>
        <v/>
      </c>
      <c r="EC277" s="8" t="str">
        <f>IF(O277&lt;&gt;"",VLOOKUP(O277,'Job Master'!$N$12:$O$18,2,0),"")</f>
        <v/>
      </c>
      <c r="ED277" s="8">
        <f t="shared" si="572"/>
        <v>19.5</v>
      </c>
      <c r="EE277" s="8">
        <f t="shared" si="573"/>
        <v>6</v>
      </c>
      <c r="EF277" s="8">
        <f t="shared" si="574"/>
        <v>-1582.5</v>
      </c>
      <c r="EG277" s="8" t="str">
        <f t="shared" si="575"/>
        <v/>
      </c>
      <c r="EH277" s="8" t="str">
        <f t="shared" si="576"/>
        <v/>
      </c>
    </row>
    <row r="278" spans="2:138" x14ac:dyDescent="0.3">
      <c r="B278" s="112"/>
      <c r="C278" s="27"/>
      <c r="D278" s="7" t="str">
        <f t="shared" si="513"/>
        <v/>
      </c>
      <c r="E278" s="25"/>
      <c r="F278" s="7" t="str">
        <f t="shared" si="513"/>
        <v/>
      </c>
      <c r="G278" s="25"/>
      <c r="H278" s="7" t="str">
        <f t="shared" si="513"/>
        <v/>
      </c>
      <c r="I278" s="25"/>
      <c r="J278" s="7" t="str">
        <f t="shared" si="513"/>
        <v/>
      </c>
      <c r="K278" s="25"/>
      <c r="L278" s="7" t="str">
        <f t="shared" si="514"/>
        <v/>
      </c>
      <c r="M278" s="25"/>
      <c r="N278" s="7" t="str">
        <f t="shared" si="515"/>
        <v/>
      </c>
      <c r="O278" s="81"/>
      <c r="P278" s="81" t="str">
        <f t="shared" si="516"/>
        <v/>
      </c>
      <c r="Q278" s="81"/>
      <c r="R278" s="7" t="str">
        <f t="shared" si="517"/>
        <v/>
      </c>
      <c r="S278" s="25"/>
      <c r="T278" s="7" t="str">
        <f t="shared" si="518"/>
        <v/>
      </c>
      <c r="U278" s="25"/>
      <c r="V278" s="7" t="str">
        <f t="shared" si="519"/>
        <v/>
      </c>
      <c r="W278" s="25"/>
      <c r="X278" s="7" t="str">
        <f t="shared" si="520"/>
        <v/>
      </c>
      <c r="Y278" s="18" t="str">
        <f t="shared" si="521"/>
        <v/>
      </c>
      <c r="Z278" s="7" t="str">
        <f t="shared" si="522"/>
        <v/>
      </c>
      <c r="AA278" s="18" t="str">
        <f t="shared" si="523"/>
        <v/>
      </c>
      <c r="AB278" s="19" t="str">
        <f t="shared" si="524"/>
        <v/>
      </c>
      <c r="AC278" s="26"/>
      <c r="AD278" s="26"/>
      <c r="AE278" s="25"/>
      <c r="AF278" s="26"/>
      <c r="AG278" s="25"/>
      <c r="AH278" s="25"/>
      <c r="AI278" s="18" t="str">
        <f t="shared" si="461"/>
        <v/>
      </c>
      <c r="AJ278" s="25"/>
      <c r="AK278" s="18" t="str">
        <f t="shared" si="462"/>
        <v/>
      </c>
      <c r="AL278" s="79"/>
      <c r="AM278" s="126" t="str">
        <f t="shared" si="463"/>
        <v/>
      </c>
      <c r="AN278" s="128" t="str">
        <f>IF(AP278&lt;&gt;"",VLOOKUP($P278&amp;" | "&amp;AN$6,'Job Master'!$F$12:$J$102,5,0),"")</f>
        <v/>
      </c>
      <c r="AO278" s="19" t="str">
        <f>IF(AP278&lt;&gt;"",VLOOKUP($P278&amp;" | "&amp;AN$6,'Job Master'!$F$12:$J$102,3,0),"")</f>
        <v/>
      </c>
      <c r="AP278" s="19" t="str">
        <f>IFERROR(IF(AND(AW278&lt;&gt;"",VLOOKUP($P278&amp;" | "&amp;AN$6,'Job Master'!$F$12:$I$102,4,0)&lt;&gt;""),IF(WEEKDAY(AW278-VLOOKUP($P278&amp;" | "&amp;AN$6,'Job Master'!$F$12:$I$102,4,0))&lt;&gt;7,AW278-VLOOKUP($P278&amp;" | "&amp;AN$6,'Job Master'!$F$12:$I$102,4,0),AW278-VLOOKUP($P278&amp;" | "&amp;AN$6,'Job Master'!$F$12:$I$102,4,0)-1),""),"")</f>
        <v/>
      </c>
      <c r="AQ278" s="73"/>
      <c r="AR278" s="123" t="str">
        <f t="shared" si="525"/>
        <v/>
      </c>
      <c r="AS278" s="123" t="str">
        <f t="shared" si="526"/>
        <v/>
      </c>
      <c r="AT278" s="97" t="str">
        <f t="shared" ca="1" si="527"/>
        <v/>
      </c>
      <c r="AU278" s="98" t="str">
        <f>IF(AW278&lt;&gt;"",VLOOKUP($P278&amp;" | "&amp;AU$6,'Job Master'!$F$12:$J$102,5,0),"")</f>
        <v/>
      </c>
      <c r="AV278" s="19" t="str">
        <f>IF(AW278&lt;&gt;"",VLOOKUP($P278&amp;" | "&amp;AU$6,'Job Master'!$F$12:$J$102,3,0),"")</f>
        <v/>
      </c>
      <c r="AW278" s="19" t="str">
        <f>IFERROR(IF(AND(BD278&lt;&gt;"",VLOOKUP($P278&amp;" | "&amp;AU$6,'Job Master'!$F$12:$I$102,4,0)&lt;&gt;""),IF(WEEKDAY(BD278-VLOOKUP($P278&amp;" | "&amp;AU$6,'Job Master'!$F$12:$I$102,4,0))&lt;&gt;7,BD278-VLOOKUP($P278&amp;" | "&amp;AU$6,'Job Master'!$F$12:$I$102,4,0),BD278-VLOOKUP($P278&amp;" | "&amp;AU$6,'Job Master'!$F$12:$I$102,4,0)-1),""),"")</f>
        <v/>
      </c>
      <c r="AX278" s="73"/>
      <c r="AY278" s="123" t="str">
        <f t="shared" si="528"/>
        <v/>
      </c>
      <c r="AZ278" s="123" t="str">
        <f t="shared" si="529"/>
        <v/>
      </c>
      <c r="BA278" s="97" t="str">
        <f t="shared" ca="1" si="530"/>
        <v/>
      </c>
      <c r="BB278" s="98" t="str">
        <f>IF(BD278&lt;&gt;"",VLOOKUP($P278&amp;" | "&amp;BB$6,'Job Master'!$F$12:$J$102,5,0),"")</f>
        <v/>
      </c>
      <c r="BC278" s="19" t="str">
        <f>IF(BD278&lt;&gt;"",VLOOKUP($P278&amp;" | "&amp;BB$6,'Job Master'!$F$12:$J$102,3,0),"")</f>
        <v/>
      </c>
      <c r="BD278" s="19" t="str">
        <f>IFERROR(IF(AND(BK278&lt;&gt;"",VLOOKUP($P278&amp;" | "&amp;BB$6,'Job Master'!$F$12:$I$102,4,0)&lt;&gt;""),IF(WEEKDAY(BK278-VLOOKUP($P278&amp;" | "&amp;BB$6,'Job Master'!$F$12:$I$102,4,0))&lt;&gt;7,BK278-VLOOKUP($P278&amp;" | "&amp;BB$6,'Job Master'!$F$12:$I$102,4,0),BK278-VLOOKUP($P278&amp;" | "&amp;BB$6,'Job Master'!$F$12:$I$102,4,0)-1),""),"")</f>
        <v/>
      </c>
      <c r="BE278" s="73"/>
      <c r="BF278" s="123" t="str">
        <f t="shared" si="531"/>
        <v/>
      </c>
      <c r="BG278" s="123" t="str">
        <f t="shared" si="532"/>
        <v/>
      </c>
      <c r="BH278" s="97" t="str">
        <f t="shared" ca="1" si="533"/>
        <v/>
      </c>
      <c r="BI278" s="98" t="str">
        <f>IF(BK278&lt;&gt;"",VLOOKUP($P278&amp;" | "&amp;BI$6,'Job Master'!$F$12:$J$102,5,0),"")</f>
        <v/>
      </c>
      <c r="BJ278" s="19" t="str">
        <f>IF(BK278&lt;&gt;"",VLOOKUP($P278&amp;" | "&amp;BI$6,'Job Master'!$F$12:$J$102,3,0),"")</f>
        <v/>
      </c>
      <c r="BK278" s="19" t="str">
        <f>IFERROR(IF(AND(BR278&lt;&gt;"",VLOOKUP($P278&amp;" | "&amp;BI$6,'Job Master'!$F$12:$I$102,4,0)&lt;&gt;""),IF(WEEKDAY(BR278-VLOOKUP($P278&amp;" | "&amp;BI$6,'Job Master'!$F$12:$I$102,4,0))&lt;&gt;7,BR278-VLOOKUP($P278&amp;" | "&amp;BI$6,'Job Master'!$F$12:$I$102,4,0),BR278-VLOOKUP($P278&amp;" | "&amp;BI$6,'Job Master'!$F$12:$I$102,4,0)-1),""),"")</f>
        <v/>
      </c>
      <c r="BL278" s="73"/>
      <c r="BM278" s="123" t="str">
        <f t="shared" si="534"/>
        <v/>
      </c>
      <c r="BN278" s="123" t="str">
        <f t="shared" si="535"/>
        <v/>
      </c>
      <c r="BO278" s="97" t="str">
        <f t="shared" ca="1" si="536"/>
        <v/>
      </c>
      <c r="BP278" s="98" t="str">
        <f>IF(BR278&lt;&gt;"",VLOOKUP($P278&amp;" | "&amp;BP$6,'Job Master'!$F$12:$J$102,5,0),"")</f>
        <v/>
      </c>
      <c r="BQ278" s="19" t="str">
        <f>IF(BR278&lt;&gt;"",VLOOKUP($P278&amp;" | "&amp;BP$6,'Job Master'!$F$12:$J$102,3,0),"")</f>
        <v/>
      </c>
      <c r="BR278" s="19" t="str">
        <f>IFERROR(IF(AND(BY278&lt;&gt;"",VLOOKUP($P278&amp;" | "&amp;BP$6,'Job Master'!$F$12:$I$102,4,0)&lt;&gt;""),IF(WEEKDAY(BY278-VLOOKUP($P278&amp;" | "&amp;BP$6,'Job Master'!$F$12:$I$102,4,0))&lt;&gt;7,BY278-VLOOKUP($P278&amp;" | "&amp;BP$6,'Job Master'!$F$12:$I$102,4,0),BY278-VLOOKUP($P278&amp;" | "&amp;BP$6,'Job Master'!$F$12:$I$102,4,0)-1),""),"")</f>
        <v/>
      </c>
      <c r="BS278" s="73"/>
      <c r="BT278" s="123" t="str">
        <f t="shared" si="537"/>
        <v/>
      </c>
      <c r="BU278" s="123" t="str">
        <f t="shared" si="538"/>
        <v/>
      </c>
      <c r="BV278" s="97" t="str">
        <f t="shared" ca="1" si="539"/>
        <v/>
      </c>
      <c r="BW278" s="98" t="str">
        <f>IF(BY278&lt;&gt;"",VLOOKUP($P278&amp;" | "&amp;BW$6,'Job Master'!$F$12:$J$102,5,0),"")</f>
        <v/>
      </c>
      <c r="BX278" s="19" t="str">
        <f>IF(BY278&lt;&gt;"",VLOOKUP($P278&amp;" | "&amp;BW$6,'Job Master'!$F$12:$J$102,3,0),"")</f>
        <v/>
      </c>
      <c r="BY278" s="19" t="str">
        <f>IFERROR(IF(AND(CF278&lt;&gt;"",VLOOKUP($P278&amp;" | "&amp;BW$6,'Job Master'!$F$12:$I$102,4,0)&lt;&gt;""),IF(WEEKDAY(CF278-VLOOKUP($P278&amp;" | "&amp;BW$6,'Job Master'!$F$12:$I$102,4,0))&lt;&gt;7,CF278-VLOOKUP($P278&amp;" | "&amp;BW$6,'Job Master'!$F$12:$I$102,4,0),CF278-VLOOKUP($P278&amp;" | "&amp;BW$6,'Job Master'!$F$12:$I$102,4,0)-1),""),"")</f>
        <v/>
      </c>
      <c r="BZ278" s="73"/>
      <c r="CA278" s="123" t="str">
        <f t="shared" si="540"/>
        <v/>
      </c>
      <c r="CB278" s="123" t="str">
        <f t="shared" si="541"/>
        <v/>
      </c>
      <c r="CC278" s="97" t="str">
        <f t="shared" ca="1" si="542"/>
        <v/>
      </c>
      <c r="CD278" s="98" t="str">
        <f>IF(CF278&lt;&gt;"",VLOOKUP($P278&amp;" | "&amp;CD$6,'Job Master'!$F$12:$J$102,5,0),"")</f>
        <v/>
      </c>
      <c r="CE278" s="19" t="str">
        <f>IF(CF278&lt;&gt;"",VLOOKUP($P278&amp;" | "&amp;CD$6,'Job Master'!$F$12:$J$102,3,0),"")</f>
        <v/>
      </c>
      <c r="CF278" s="19" t="str">
        <f>IFERROR(IF(AND(CM278&lt;&gt;"",VLOOKUP($P278&amp;" | "&amp;CD$6,'Job Master'!$F$12:$I$102,4,0)&lt;&gt;""),IF(WEEKDAY(CM278-VLOOKUP($P278&amp;" | "&amp;CD$6,'Job Master'!$F$12:$I$102,4,0))&lt;&gt;7,CM278-VLOOKUP($P278&amp;" | "&amp;CD$6,'Job Master'!$F$12:$I$102,4,0),CM278-VLOOKUP($P278&amp;" | "&amp;CD$6,'Job Master'!$F$12:$I$102,4,0)-1),""),"")</f>
        <v/>
      </c>
      <c r="CG278" s="73"/>
      <c r="CH278" s="123" t="str">
        <f t="shared" si="543"/>
        <v/>
      </c>
      <c r="CI278" s="123" t="str">
        <f t="shared" si="544"/>
        <v/>
      </c>
      <c r="CJ278" s="97" t="str">
        <f t="shared" ca="1" si="545"/>
        <v/>
      </c>
      <c r="CK278" s="98" t="str">
        <f>IF(CM278&lt;&gt;"",VLOOKUP($P278&amp;" | "&amp;CK$6,'Job Master'!$F$12:$J$102,5,0),"")</f>
        <v/>
      </c>
      <c r="CL278" s="19" t="str">
        <f>IF(CM278&lt;&gt;"",VLOOKUP($P278&amp;" | "&amp;CK$6,'Job Master'!$F$12:$J$102,3,0),"")</f>
        <v/>
      </c>
      <c r="CM278" s="19" t="str">
        <f>IFERROR(IF(AND(CT278&lt;&gt;"",VLOOKUP($P278&amp;" | "&amp;CK$6,'Job Master'!$F$12:$I$102,4,0)&lt;&gt;""),IF(WEEKDAY(CT278-VLOOKUP($P278&amp;" | "&amp;CK$6,'Job Master'!$F$12:$I$102,4,0))&lt;&gt;7,CT278-VLOOKUP($P278&amp;" | "&amp;CK$6,'Job Master'!$F$12:$I$102,4,0),CT278-VLOOKUP($P278&amp;" | "&amp;CK$6,'Job Master'!$F$12:$I$102,4,0)-1),""),"")</f>
        <v/>
      </c>
      <c r="CN278" s="73"/>
      <c r="CO278" s="123" t="str">
        <f t="shared" si="546"/>
        <v/>
      </c>
      <c r="CP278" s="123" t="str">
        <f t="shared" si="547"/>
        <v/>
      </c>
      <c r="CQ278" s="97" t="str">
        <f t="shared" ca="1" si="548"/>
        <v/>
      </c>
      <c r="CR278" s="98" t="str">
        <f>IF(CT278&lt;&gt;"",VLOOKUP($P278&amp;" | "&amp;CR$6,'Job Master'!$F$12:$J$102,5,0),"")</f>
        <v/>
      </c>
      <c r="CS278" s="19" t="str">
        <f>IF(CT278&lt;&gt;"",VLOOKUP($P278&amp;" | "&amp;CR$6,'Job Master'!$F$12:$J$102,3,0),"")</f>
        <v/>
      </c>
      <c r="CT278" s="19" t="str">
        <f>IFERROR(IF(AND(DA278&lt;&gt;"",VLOOKUP($P278&amp;" | "&amp;CR$6,'Job Master'!$F$12:$I$102,4,0)&lt;&gt;""),IF(WEEKDAY(DA278-VLOOKUP($P278&amp;" | "&amp;CR$6,'Job Master'!$F$12:$I$102,4,0))&lt;&gt;7,DA278-VLOOKUP($P278&amp;" | "&amp;CR$6,'Job Master'!$F$12:$I$102,4,0),DA278-VLOOKUP($P278&amp;" | "&amp;CR$6,'Job Master'!$F$12:$I$102,4,0)-1),""),"")</f>
        <v/>
      </c>
      <c r="CU278" s="73"/>
      <c r="CV278" s="123" t="str">
        <f t="shared" si="549"/>
        <v/>
      </c>
      <c r="CW278" s="123" t="str">
        <f t="shared" si="550"/>
        <v/>
      </c>
      <c r="CX278" s="97" t="str">
        <f t="shared" ca="1" si="551"/>
        <v/>
      </c>
      <c r="CY278" s="98" t="str">
        <f>IF(DA278&lt;&gt;"",VLOOKUP($P278&amp;" | "&amp;CY$6,'Job Master'!$F$12:$J$102,5,0),"")</f>
        <v/>
      </c>
      <c r="CZ278" s="19" t="str">
        <f>IF(DA278&lt;&gt;"",VLOOKUP($P278&amp;" | "&amp;CY$6,'Job Master'!$F$12:$J$102,3,0),"")</f>
        <v/>
      </c>
      <c r="DA278" s="19" t="str">
        <f>IFERROR(IF(AND(DH278&lt;&gt;"",VLOOKUP($P278&amp;" | "&amp;CY$6,'Job Master'!$F$12:$I$102,4,0)&lt;&gt;""),IF(WEEKDAY(DH278-VLOOKUP($P278&amp;" | "&amp;CY$6,'Job Master'!$F$12:$I$102,4,0))&lt;&gt;7,DH278-VLOOKUP($P278&amp;" | "&amp;CY$6,'Job Master'!$F$12:$I$102,4,0),DH278-VLOOKUP($P278&amp;" | "&amp;CY$6,'Job Master'!$F$12:$I$102,4,0)-1),""),"")</f>
        <v/>
      </c>
      <c r="DB278" s="73"/>
      <c r="DC278" s="123" t="str">
        <f t="shared" si="552"/>
        <v/>
      </c>
      <c r="DD278" s="123" t="str">
        <f t="shared" si="553"/>
        <v/>
      </c>
      <c r="DE278" s="97" t="str">
        <f t="shared" ca="1" si="554"/>
        <v/>
      </c>
      <c r="DF278" s="98" t="str">
        <f>IF(DH278&lt;&gt;"",VLOOKUP($P278&amp;" | "&amp;DF$6,'Job Master'!$F$12:$J$102,5,0),"")</f>
        <v/>
      </c>
      <c r="DG278" s="19" t="str">
        <f>IF(DH278&lt;&gt;"",VLOOKUP($P278&amp;" | "&amp;DF$6,'Job Master'!$F$12:$J$102,3,0),"")</f>
        <v/>
      </c>
      <c r="DH278" s="19" t="str">
        <f>IFERROR(IF(AND(DO278&lt;&gt;"",VLOOKUP($P278&amp;" | "&amp;DF$6,'Job Master'!$F$12:$I$102,4,0)&lt;&gt;""),IF(WEEKDAY(DO278-VLOOKUP($P278&amp;" | "&amp;DF$6,'Job Master'!$F$12:$I$102,4,0))&lt;&gt;7,DO278-VLOOKUP($P278&amp;" | "&amp;DF$6,'Job Master'!$F$12:$I$102,4,0),DO278-VLOOKUP($P278&amp;" | "&amp;DF$6,'Job Master'!$F$12:$I$102,4,0)-1),""),"")</f>
        <v/>
      </c>
      <c r="DI278" s="73"/>
      <c r="DJ278" s="123" t="str">
        <f t="shared" si="555"/>
        <v/>
      </c>
      <c r="DK278" s="123" t="str">
        <f t="shared" si="556"/>
        <v/>
      </c>
      <c r="DL278" s="97" t="str">
        <f t="shared" ca="1" si="557"/>
        <v/>
      </c>
      <c r="DM278" s="98" t="str">
        <f>IF(DO278&lt;&gt;"",VLOOKUP($P278&amp;" | "&amp;DM$6,'Job Master'!$F$12:$J$102,5,0),"")</f>
        <v/>
      </c>
      <c r="DN278" s="19" t="str">
        <f>IF(DO278&lt;&gt;"",VLOOKUP($P278&amp;" | "&amp;DM$6,'Job Master'!$F$12:$J$102,3,0),"")</f>
        <v/>
      </c>
      <c r="DO278" s="19" t="str">
        <f>IFERROR(IF(AND(DT278&lt;&gt;"",VLOOKUP($P278&amp;" | "&amp;DM$6,'Job Master'!$F$12:$I$102,4,0)&lt;&gt;""),IF(WEEKDAY(DT278-VLOOKUP($P278&amp;" | "&amp;DM$6,'Job Master'!$F$12:$I$102,4,0))&lt;&gt;7,DT278-VLOOKUP($P278&amp;" | "&amp;DM$6,'Job Master'!$F$12:$I$102,4,0),DT278-VLOOKUP($P278&amp;" | "&amp;DM$6,'Job Master'!$F$12:$I$102,4,0)-1),""),"")</f>
        <v/>
      </c>
      <c r="DP278" s="73"/>
      <c r="DQ278" s="123" t="str">
        <f t="shared" si="558"/>
        <v/>
      </c>
      <c r="DR278" s="123" t="str">
        <f t="shared" si="559"/>
        <v/>
      </c>
      <c r="DS278" s="97" t="str">
        <f t="shared" ca="1" si="560"/>
        <v/>
      </c>
      <c r="DT278" s="70" t="str">
        <f t="shared" si="561"/>
        <v/>
      </c>
      <c r="DU278" s="90"/>
      <c r="DV278" s="123" t="str">
        <f t="shared" si="562"/>
        <v/>
      </c>
      <c r="DW278" s="123" t="str">
        <f t="shared" si="563"/>
        <v/>
      </c>
      <c r="DX278" s="132" t="str">
        <f t="shared" ref="DX278" ca="1" si="584">IF(DT278&lt;&gt;"",IF(WEEKNUM(DT278)=WEEKNUM(TODAY()),"This Week",IF(WEEKNUM(DT278)=WEEKNUM(TODAY())+1,"Next Week",IF(WEEKNUM(DT278)=WEEKNUM(TODAY())-1,"Previous Week",""))),"")</f>
        <v/>
      </c>
      <c r="DY278" s="134" t="str">
        <f t="shared" si="565"/>
        <v/>
      </c>
      <c r="DZ278" s="95"/>
      <c r="EB278" s="8" t="str">
        <f t="shared" si="571"/>
        <v/>
      </c>
      <c r="EC278" s="8" t="str">
        <f>IF(O278&lt;&gt;"",VLOOKUP(O278,'Job Master'!$N$12:$O$18,2,0),"")</f>
        <v/>
      </c>
      <c r="ED278" s="8">
        <f t="shared" si="572"/>
        <v>19.5</v>
      </c>
      <c r="EE278" s="8">
        <f t="shared" si="573"/>
        <v>6</v>
      </c>
      <c r="EF278" s="8">
        <f t="shared" si="574"/>
        <v>-1588.5</v>
      </c>
      <c r="EG278" s="8" t="str">
        <f t="shared" si="575"/>
        <v/>
      </c>
      <c r="EH278" s="8" t="str">
        <f t="shared" si="576"/>
        <v/>
      </c>
    </row>
    <row r="279" spans="2:138" x14ac:dyDescent="0.3">
      <c r="B279" s="112"/>
      <c r="C279" s="27"/>
      <c r="D279" s="7" t="str">
        <f t="shared" si="513"/>
        <v/>
      </c>
      <c r="E279" s="25"/>
      <c r="F279" s="7" t="str">
        <f t="shared" si="513"/>
        <v/>
      </c>
      <c r="G279" s="25"/>
      <c r="H279" s="7" t="str">
        <f t="shared" si="513"/>
        <v/>
      </c>
      <c r="I279" s="25"/>
      <c r="J279" s="7" t="str">
        <f t="shared" si="513"/>
        <v/>
      </c>
      <c r="K279" s="25"/>
      <c r="L279" s="7" t="str">
        <f t="shared" si="514"/>
        <v/>
      </c>
      <c r="M279" s="25"/>
      <c r="N279" s="7" t="str">
        <f t="shared" si="515"/>
        <v/>
      </c>
      <c r="O279" s="81"/>
      <c r="P279" s="81" t="str">
        <f t="shared" si="516"/>
        <v/>
      </c>
      <c r="Q279" s="81"/>
      <c r="R279" s="7" t="str">
        <f t="shared" si="517"/>
        <v/>
      </c>
      <c r="S279" s="25"/>
      <c r="T279" s="7" t="str">
        <f t="shared" si="518"/>
        <v/>
      </c>
      <c r="U279" s="25"/>
      <c r="V279" s="7" t="str">
        <f t="shared" si="519"/>
        <v/>
      </c>
      <c r="W279" s="25"/>
      <c r="X279" s="7" t="str">
        <f t="shared" si="520"/>
        <v/>
      </c>
      <c r="Y279" s="18" t="str">
        <f t="shared" si="521"/>
        <v/>
      </c>
      <c r="Z279" s="7" t="str">
        <f t="shared" si="522"/>
        <v/>
      </c>
      <c r="AA279" s="18" t="str">
        <f t="shared" si="523"/>
        <v/>
      </c>
      <c r="AB279" s="19" t="str">
        <f t="shared" si="524"/>
        <v/>
      </c>
      <c r="AC279" s="26"/>
      <c r="AD279" s="26"/>
      <c r="AE279" s="25"/>
      <c r="AF279" s="26"/>
      <c r="AG279" s="25"/>
      <c r="AH279" s="25"/>
      <c r="AI279" s="18" t="str">
        <f t="shared" si="461"/>
        <v/>
      </c>
      <c r="AJ279" s="25"/>
      <c r="AK279" s="18" t="str">
        <f t="shared" si="462"/>
        <v/>
      </c>
      <c r="AL279" s="79"/>
      <c r="AM279" s="126" t="str">
        <f t="shared" si="463"/>
        <v/>
      </c>
      <c r="AN279" s="128" t="str">
        <f>IF(AP279&lt;&gt;"",VLOOKUP($P279&amp;" | "&amp;AN$6,'Job Master'!$F$12:$J$102,5,0),"")</f>
        <v/>
      </c>
      <c r="AO279" s="19" t="str">
        <f>IF(AP279&lt;&gt;"",VLOOKUP($P279&amp;" | "&amp;AN$6,'Job Master'!$F$12:$J$102,3,0),"")</f>
        <v/>
      </c>
      <c r="AP279" s="19" t="str">
        <f>IFERROR(IF(AND(AW279&lt;&gt;"",VLOOKUP($P279&amp;" | "&amp;AN$6,'Job Master'!$F$12:$I$102,4,0)&lt;&gt;""),IF(WEEKDAY(AW279-VLOOKUP($P279&amp;" | "&amp;AN$6,'Job Master'!$F$12:$I$102,4,0))&lt;&gt;7,AW279-VLOOKUP($P279&amp;" | "&amp;AN$6,'Job Master'!$F$12:$I$102,4,0),AW279-VLOOKUP($P279&amp;" | "&amp;AN$6,'Job Master'!$F$12:$I$102,4,0)-1),""),"")</f>
        <v/>
      </c>
      <c r="AQ279" s="73"/>
      <c r="AR279" s="123" t="str">
        <f t="shared" si="525"/>
        <v/>
      </c>
      <c r="AS279" s="123" t="str">
        <f t="shared" si="526"/>
        <v/>
      </c>
      <c r="AT279" s="97" t="str">
        <f t="shared" ca="1" si="527"/>
        <v/>
      </c>
      <c r="AU279" s="98" t="str">
        <f>IF(AW279&lt;&gt;"",VLOOKUP($P279&amp;" | "&amp;AU$6,'Job Master'!$F$12:$J$102,5,0),"")</f>
        <v/>
      </c>
      <c r="AV279" s="19" t="str">
        <f>IF(AW279&lt;&gt;"",VLOOKUP($P279&amp;" | "&amp;AU$6,'Job Master'!$F$12:$J$102,3,0),"")</f>
        <v/>
      </c>
      <c r="AW279" s="19" t="str">
        <f>IFERROR(IF(AND(BD279&lt;&gt;"",VLOOKUP($P279&amp;" | "&amp;AU$6,'Job Master'!$F$12:$I$102,4,0)&lt;&gt;""),IF(WEEKDAY(BD279-VLOOKUP($P279&amp;" | "&amp;AU$6,'Job Master'!$F$12:$I$102,4,0))&lt;&gt;7,BD279-VLOOKUP($P279&amp;" | "&amp;AU$6,'Job Master'!$F$12:$I$102,4,0),BD279-VLOOKUP($P279&amp;" | "&amp;AU$6,'Job Master'!$F$12:$I$102,4,0)-1),""),"")</f>
        <v/>
      </c>
      <c r="AX279" s="73"/>
      <c r="AY279" s="123" t="str">
        <f t="shared" si="528"/>
        <v/>
      </c>
      <c r="AZ279" s="123" t="str">
        <f t="shared" si="529"/>
        <v/>
      </c>
      <c r="BA279" s="97" t="str">
        <f t="shared" ca="1" si="530"/>
        <v/>
      </c>
      <c r="BB279" s="98" t="str">
        <f>IF(BD279&lt;&gt;"",VLOOKUP($P279&amp;" | "&amp;BB$6,'Job Master'!$F$12:$J$102,5,0),"")</f>
        <v/>
      </c>
      <c r="BC279" s="19" t="str">
        <f>IF(BD279&lt;&gt;"",VLOOKUP($P279&amp;" | "&amp;BB$6,'Job Master'!$F$12:$J$102,3,0),"")</f>
        <v/>
      </c>
      <c r="BD279" s="19" t="str">
        <f>IFERROR(IF(AND(BK279&lt;&gt;"",VLOOKUP($P279&amp;" | "&amp;BB$6,'Job Master'!$F$12:$I$102,4,0)&lt;&gt;""),IF(WEEKDAY(BK279-VLOOKUP($P279&amp;" | "&amp;BB$6,'Job Master'!$F$12:$I$102,4,0))&lt;&gt;7,BK279-VLOOKUP($P279&amp;" | "&amp;BB$6,'Job Master'!$F$12:$I$102,4,0),BK279-VLOOKUP($P279&amp;" | "&amp;BB$6,'Job Master'!$F$12:$I$102,4,0)-1),""),"")</f>
        <v/>
      </c>
      <c r="BE279" s="73"/>
      <c r="BF279" s="123" t="str">
        <f t="shared" si="531"/>
        <v/>
      </c>
      <c r="BG279" s="123" t="str">
        <f t="shared" si="532"/>
        <v/>
      </c>
      <c r="BH279" s="97" t="str">
        <f t="shared" ca="1" si="533"/>
        <v/>
      </c>
      <c r="BI279" s="98" t="str">
        <f>IF(BK279&lt;&gt;"",VLOOKUP($P279&amp;" | "&amp;BI$6,'Job Master'!$F$12:$J$102,5,0),"")</f>
        <v/>
      </c>
      <c r="BJ279" s="19" t="str">
        <f>IF(BK279&lt;&gt;"",VLOOKUP($P279&amp;" | "&amp;BI$6,'Job Master'!$F$12:$J$102,3,0),"")</f>
        <v/>
      </c>
      <c r="BK279" s="19" t="str">
        <f>IFERROR(IF(AND(BR279&lt;&gt;"",VLOOKUP($P279&amp;" | "&amp;BI$6,'Job Master'!$F$12:$I$102,4,0)&lt;&gt;""),IF(WEEKDAY(BR279-VLOOKUP($P279&amp;" | "&amp;BI$6,'Job Master'!$F$12:$I$102,4,0))&lt;&gt;7,BR279-VLOOKUP($P279&amp;" | "&amp;BI$6,'Job Master'!$F$12:$I$102,4,0),BR279-VLOOKUP($P279&amp;" | "&amp;BI$6,'Job Master'!$F$12:$I$102,4,0)-1),""),"")</f>
        <v/>
      </c>
      <c r="BL279" s="73"/>
      <c r="BM279" s="123" t="str">
        <f t="shared" si="534"/>
        <v/>
      </c>
      <c r="BN279" s="123" t="str">
        <f t="shared" si="535"/>
        <v/>
      </c>
      <c r="BO279" s="97" t="str">
        <f t="shared" ca="1" si="536"/>
        <v/>
      </c>
      <c r="BP279" s="98" t="str">
        <f>IF(BR279&lt;&gt;"",VLOOKUP($P279&amp;" | "&amp;BP$6,'Job Master'!$F$12:$J$102,5,0),"")</f>
        <v/>
      </c>
      <c r="BQ279" s="19" t="str">
        <f>IF(BR279&lt;&gt;"",VLOOKUP($P279&amp;" | "&amp;BP$6,'Job Master'!$F$12:$J$102,3,0),"")</f>
        <v/>
      </c>
      <c r="BR279" s="19" t="str">
        <f>IFERROR(IF(AND(BY279&lt;&gt;"",VLOOKUP($P279&amp;" | "&amp;BP$6,'Job Master'!$F$12:$I$102,4,0)&lt;&gt;""),IF(WEEKDAY(BY279-VLOOKUP($P279&amp;" | "&amp;BP$6,'Job Master'!$F$12:$I$102,4,0))&lt;&gt;7,BY279-VLOOKUP($P279&amp;" | "&amp;BP$6,'Job Master'!$F$12:$I$102,4,0),BY279-VLOOKUP($P279&amp;" | "&amp;BP$6,'Job Master'!$F$12:$I$102,4,0)-1),""),"")</f>
        <v/>
      </c>
      <c r="BS279" s="73"/>
      <c r="BT279" s="123" t="str">
        <f t="shared" si="537"/>
        <v/>
      </c>
      <c r="BU279" s="123" t="str">
        <f t="shared" si="538"/>
        <v/>
      </c>
      <c r="BV279" s="97" t="str">
        <f t="shared" ca="1" si="539"/>
        <v/>
      </c>
      <c r="BW279" s="98" t="str">
        <f>IF(BY279&lt;&gt;"",VLOOKUP($P279&amp;" | "&amp;BW$6,'Job Master'!$F$12:$J$102,5,0),"")</f>
        <v/>
      </c>
      <c r="BX279" s="19" t="str">
        <f>IF(BY279&lt;&gt;"",VLOOKUP($P279&amp;" | "&amp;BW$6,'Job Master'!$F$12:$J$102,3,0),"")</f>
        <v/>
      </c>
      <c r="BY279" s="19" t="str">
        <f>IFERROR(IF(AND(CF279&lt;&gt;"",VLOOKUP($P279&amp;" | "&amp;BW$6,'Job Master'!$F$12:$I$102,4,0)&lt;&gt;""),IF(WEEKDAY(CF279-VLOOKUP($P279&amp;" | "&amp;BW$6,'Job Master'!$F$12:$I$102,4,0))&lt;&gt;7,CF279-VLOOKUP($P279&amp;" | "&amp;BW$6,'Job Master'!$F$12:$I$102,4,0),CF279-VLOOKUP($P279&amp;" | "&amp;BW$6,'Job Master'!$F$12:$I$102,4,0)-1),""),"")</f>
        <v/>
      </c>
      <c r="BZ279" s="73"/>
      <c r="CA279" s="123" t="str">
        <f t="shared" si="540"/>
        <v/>
      </c>
      <c r="CB279" s="123" t="str">
        <f t="shared" si="541"/>
        <v/>
      </c>
      <c r="CC279" s="97" t="str">
        <f t="shared" ca="1" si="542"/>
        <v/>
      </c>
      <c r="CD279" s="98" t="str">
        <f>IF(CF279&lt;&gt;"",VLOOKUP($P279&amp;" | "&amp;CD$6,'Job Master'!$F$12:$J$102,5,0),"")</f>
        <v/>
      </c>
      <c r="CE279" s="19" t="str">
        <f>IF(CF279&lt;&gt;"",VLOOKUP($P279&amp;" | "&amp;CD$6,'Job Master'!$F$12:$J$102,3,0),"")</f>
        <v/>
      </c>
      <c r="CF279" s="19" t="str">
        <f>IFERROR(IF(AND(CM279&lt;&gt;"",VLOOKUP($P279&amp;" | "&amp;CD$6,'Job Master'!$F$12:$I$102,4,0)&lt;&gt;""),IF(WEEKDAY(CM279-VLOOKUP($P279&amp;" | "&amp;CD$6,'Job Master'!$F$12:$I$102,4,0))&lt;&gt;7,CM279-VLOOKUP($P279&amp;" | "&amp;CD$6,'Job Master'!$F$12:$I$102,4,0),CM279-VLOOKUP($P279&amp;" | "&amp;CD$6,'Job Master'!$F$12:$I$102,4,0)-1),""),"")</f>
        <v/>
      </c>
      <c r="CG279" s="73"/>
      <c r="CH279" s="123" t="str">
        <f t="shared" si="543"/>
        <v/>
      </c>
      <c r="CI279" s="123" t="str">
        <f t="shared" si="544"/>
        <v/>
      </c>
      <c r="CJ279" s="97" t="str">
        <f t="shared" ca="1" si="545"/>
        <v/>
      </c>
      <c r="CK279" s="98" t="str">
        <f>IF(CM279&lt;&gt;"",VLOOKUP($P279&amp;" | "&amp;CK$6,'Job Master'!$F$12:$J$102,5,0),"")</f>
        <v/>
      </c>
      <c r="CL279" s="19" t="str">
        <f>IF(CM279&lt;&gt;"",VLOOKUP($P279&amp;" | "&amp;CK$6,'Job Master'!$F$12:$J$102,3,0),"")</f>
        <v/>
      </c>
      <c r="CM279" s="19" t="str">
        <f>IFERROR(IF(AND(CT279&lt;&gt;"",VLOOKUP($P279&amp;" | "&amp;CK$6,'Job Master'!$F$12:$I$102,4,0)&lt;&gt;""),IF(WEEKDAY(CT279-VLOOKUP($P279&amp;" | "&amp;CK$6,'Job Master'!$F$12:$I$102,4,0))&lt;&gt;7,CT279-VLOOKUP($P279&amp;" | "&amp;CK$6,'Job Master'!$F$12:$I$102,4,0),CT279-VLOOKUP($P279&amp;" | "&amp;CK$6,'Job Master'!$F$12:$I$102,4,0)-1),""),"")</f>
        <v/>
      </c>
      <c r="CN279" s="73"/>
      <c r="CO279" s="123" t="str">
        <f t="shared" si="546"/>
        <v/>
      </c>
      <c r="CP279" s="123" t="str">
        <f t="shared" si="547"/>
        <v/>
      </c>
      <c r="CQ279" s="97" t="str">
        <f t="shared" ca="1" si="548"/>
        <v/>
      </c>
      <c r="CR279" s="98" t="str">
        <f>IF(CT279&lt;&gt;"",VLOOKUP($P279&amp;" | "&amp;CR$6,'Job Master'!$F$12:$J$102,5,0),"")</f>
        <v/>
      </c>
      <c r="CS279" s="19" t="str">
        <f>IF(CT279&lt;&gt;"",VLOOKUP($P279&amp;" | "&amp;CR$6,'Job Master'!$F$12:$J$102,3,0),"")</f>
        <v/>
      </c>
      <c r="CT279" s="19" t="str">
        <f>IFERROR(IF(AND(DA279&lt;&gt;"",VLOOKUP($P279&amp;" | "&amp;CR$6,'Job Master'!$F$12:$I$102,4,0)&lt;&gt;""),IF(WEEKDAY(DA279-VLOOKUP($P279&amp;" | "&amp;CR$6,'Job Master'!$F$12:$I$102,4,0))&lt;&gt;7,DA279-VLOOKUP($P279&amp;" | "&amp;CR$6,'Job Master'!$F$12:$I$102,4,0),DA279-VLOOKUP($P279&amp;" | "&amp;CR$6,'Job Master'!$F$12:$I$102,4,0)-1),""),"")</f>
        <v/>
      </c>
      <c r="CU279" s="73"/>
      <c r="CV279" s="123" t="str">
        <f t="shared" si="549"/>
        <v/>
      </c>
      <c r="CW279" s="123" t="str">
        <f t="shared" si="550"/>
        <v/>
      </c>
      <c r="CX279" s="97" t="str">
        <f t="shared" ca="1" si="551"/>
        <v/>
      </c>
      <c r="CY279" s="98" t="str">
        <f>IF(DA279&lt;&gt;"",VLOOKUP($P279&amp;" | "&amp;CY$6,'Job Master'!$F$12:$J$102,5,0),"")</f>
        <v/>
      </c>
      <c r="CZ279" s="19" t="str">
        <f>IF(DA279&lt;&gt;"",VLOOKUP($P279&amp;" | "&amp;CY$6,'Job Master'!$F$12:$J$102,3,0),"")</f>
        <v/>
      </c>
      <c r="DA279" s="19" t="str">
        <f>IFERROR(IF(AND(DH279&lt;&gt;"",VLOOKUP($P279&amp;" | "&amp;CY$6,'Job Master'!$F$12:$I$102,4,0)&lt;&gt;""),IF(WEEKDAY(DH279-VLOOKUP($P279&amp;" | "&amp;CY$6,'Job Master'!$F$12:$I$102,4,0))&lt;&gt;7,DH279-VLOOKUP($P279&amp;" | "&amp;CY$6,'Job Master'!$F$12:$I$102,4,0),DH279-VLOOKUP($P279&amp;" | "&amp;CY$6,'Job Master'!$F$12:$I$102,4,0)-1),""),"")</f>
        <v/>
      </c>
      <c r="DB279" s="73"/>
      <c r="DC279" s="123" t="str">
        <f t="shared" si="552"/>
        <v/>
      </c>
      <c r="DD279" s="123" t="str">
        <f t="shared" si="553"/>
        <v/>
      </c>
      <c r="DE279" s="97" t="str">
        <f t="shared" ca="1" si="554"/>
        <v/>
      </c>
      <c r="DF279" s="98" t="str">
        <f>IF(DH279&lt;&gt;"",VLOOKUP($P279&amp;" | "&amp;DF$6,'Job Master'!$F$12:$J$102,5,0),"")</f>
        <v/>
      </c>
      <c r="DG279" s="19" t="str">
        <f>IF(DH279&lt;&gt;"",VLOOKUP($P279&amp;" | "&amp;DF$6,'Job Master'!$F$12:$J$102,3,0),"")</f>
        <v/>
      </c>
      <c r="DH279" s="19" t="str">
        <f>IFERROR(IF(AND(DO279&lt;&gt;"",VLOOKUP($P279&amp;" | "&amp;DF$6,'Job Master'!$F$12:$I$102,4,0)&lt;&gt;""),IF(WEEKDAY(DO279-VLOOKUP($P279&amp;" | "&amp;DF$6,'Job Master'!$F$12:$I$102,4,0))&lt;&gt;7,DO279-VLOOKUP($P279&amp;" | "&amp;DF$6,'Job Master'!$F$12:$I$102,4,0),DO279-VLOOKUP($P279&amp;" | "&amp;DF$6,'Job Master'!$F$12:$I$102,4,0)-1),""),"")</f>
        <v/>
      </c>
      <c r="DI279" s="73"/>
      <c r="DJ279" s="123" t="str">
        <f t="shared" si="555"/>
        <v/>
      </c>
      <c r="DK279" s="123" t="str">
        <f t="shared" si="556"/>
        <v/>
      </c>
      <c r="DL279" s="97" t="str">
        <f t="shared" ca="1" si="557"/>
        <v/>
      </c>
      <c r="DM279" s="98" t="str">
        <f>IF(DO279&lt;&gt;"",VLOOKUP($P279&amp;" | "&amp;DM$6,'Job Master'!$F$12:$J$102,5,0),"")</f>
        <v/>
      </c>
      <c r="DN279" s="19" t="str">
        <f>IF(DO279&lt;&gt;"",VLOOKUP($P279&amp;" | "&amp;DM$6,'Job Master'!$F$12:$J$102,3,0),"")</f>
        <v/>
      </c>
      <c r="DO279" s="19" t="str">
        <f>IFERROR(IF(AND(DT279&lt;&gt;"",VLOOKUP($P279&amp;" | "&amp;DM$6,'Job Master'!$F$12:$I$102,4,0)&lt;&gt;""),IF(WEEKDAY(DT279-VLOOKUP($P279&amp;" | "&amp;DM$6,'Job Master'!$F$12:$I$102,4,0))&lt;&gt;7,DT279-VLOOKUP($P279&amp;" | "&amp;DM$6,'Job Master'!$F$12:$I$102,4,0),DT279-VLOOKUP($P279&amp;" | "&amp;DM$6,'Job Master'!$F$12:$I$102,4,0)-1),""),"")</f>
        <v/>
      </c>
      <c r="DP279" s="73"/>
      <c r="DQ279" s="123" t="str">
        <f t="shared" si="558"/>
        <v/>
      </c>
      <c r="DR279" s="123" t="str">
        <f t="shared" si="559"/>
        <v/>
      </c>
      <c r="DS279" s="97" t="str">
        <f t="shared" ca="1" si="560"/>
        <v/>
      </c>
      <c r="DT279" s="70" t="str">
        <f t="shared" si="561"/>
        <v/>
      </c>
      <c r="DU279" s="90"/>
      <c r="DV279" s="123" t="str">
        <f t="shared" si="562"/>
        <v/>
      </c>
      <c r="DW279" s="123" t="str">
        <f t="shared" si="563"/>
        <v/>
      </c>
      <c r="DX279" s="132" t="str">
        <f t="shared" ref="DX279" ca="1" si="585">IF(DT279&lt;&gt;"",IF(WEEKNUM(DT279)=WEEKNUM(TODAY()),"This Week",IF(WEEKNUM(DT279)=WEEKNUM(TODAY())+1,"Next Week",IF(WEEKNUM(DT279)=WEEKNUM(TODAY())-1,"Previous Week",""))),"")</f>
        <v/>
      </c>
      <c r="DY279" s="134" t="str">
        <f t="shared" si="565"/>
        <v/>
      </c>
      <c r="DZ279" s="95"/>
      <c r="EB279" s="8" t="str">
        <f t="shared" si="571"/>
        <v/>
      </c>
      <c r="EC279" s="8" t="str">
        <f>IF(O279&lt;&gt;"",VLOOKUP(O279,'Job Master'!$N$12:$O$18,2,0),"")</f>
        <v/>
      </c>
      <c r="ED279" s="8">
        <f t="shared" si="572"/>
        <v>19.5</v>
      </c>
      <c r="EE279" s="8">
        <f t="shared" si="573"/>
        <v>6</v>
      </c>
      <c r="EF279" s="8">
        <f t="shared" si="574"/>
        <v>-1594.5</v>
      </c>
      <c r="EG279" s="8" t="str">
        <f t="shared" si="575"/>
        <v/>
      </c>
      <c r="EH279" s="8" t="str">
        <f t="shared" si="576"/>
        <v/>
      </c>
    </row>
    <row r="280" spans="2:138" x14ac:dyDescent="0.3">
      <c r="B280" s="112"/>
      <c r="C280" s="27"/>
      <c r="D280" s="7" t="str">
        <f t="shared" si="513"/>
        <v/>
      </c>
      <c r="E280" s="25"/>
      <c r="F280" s="7" t="str">
        <f t="shared" si="513"/>
        <v/>
      </c>
      <c r="G280" s="25"/>
      <c r="H280" s="7" t="str">
        <f t="shared" si="513"/>
        <v/>
      </c>
      <c r="I280" s="25"/>
      <c r="J280" s="7" t="str">
        <f t="shared" si="513"/>
        <v/>
      </c>
      <c r="K280" s="25"/>
      <c r="L280" s="7" t="str">
        <f t="shared" si="514"/>
        <v/>
      </c>
      <c r="M280" s="25"/>
      <c r="N280" s="7" t="str">
        <f t="shared" si="515"/>
        <v/>
      </c>
      <c r="O280" s="81"/>
      <c r="P280" s="81" t="str">
        <f t="shared" si="516"/>
        <v/>
      </c>
      <c r="Q280" s="81"/>
      <c r="R280" s="7" t="str">
        <f t="shared" si="517"/>
        <v/>
      </c>
      <c r="S280" s="25"/>
      <c r="T280" s="7" t="str">
        <f t="shared" si="518"/>
        <v/>
      </c>
      <c r="U280" s="25"/>
      <c r="V280" s="7" t="str">
        <f t="shared" si="519"/>
        <v/>
      </c>
      <c r="W280" s="25"/>
      <c r="X280" s="7" t="str">
        <f t="shared" si="520"/>
        <v/>
      </c>
      <c r="Y280" s="18" t="str">
        <f t="shared" si="521"/>
        <v/>
      </c>
      <c r="Z280" s="7" t="str">
        <f t="shared" si="522"/>
        <v/>
      </c>
      <c r="AA280" s="18" t="str">
        <f t="shared" si="523"/>
        <v/>
      </c>
      <c r="AB280" s="19" t="str">
        <f t="shared" si="524"/>
        <v/>
      </c>
      <c r="AC280" s="26"/>
      <c r="AD280" s="26"/>
      <c r="AE280" s="25"/>
      <c r="AF280" s="26"/>
      <c r="AG280" s="25"/>
      <c r="AH280" s="25"/>
      <c r="AI280" s="18" t="str">
        <f t="shared" si="461"/>
        <v/>
      </c>
      <c r="AJ280" s="25"/>
      <c r="AK280" s="18" t="str">
        <f t="shared" si="462"/>
        <v/>
      </c>
      <c r="AL280" s="79"/>
      <c r="AM280" s="126" t="str">
        <f t="shared" si="463"/>
        <v/>
      </c>
      <c r="AN280" s="128" t="str">
        <f>IF(AP280&lt;&gt;"",VLOOKUP($P280&amp;" | "&amp;AN$6,'Job Master'!$F$12:$J$102,5,0),"")</f>
        <v/>
      </c>
      <c r="AO280" s="19" t="str">
        <f>IF(AP280&lt;&gt;"",VLOOKUP($P280&amp;" | "&amp;AN$6,'Job Master'!$F$12:$J$102,3,0),"")</f>
        <v/>
      </c>
      <c r="AP280" s="19" t="str">
        <f>IFERROR(IF(AND(AW280&lt;&gt;"",VLOOKUP($P280&amp;" | "&amp;AN$6,'Job Master'!$F$12:$I$102,4,0)&lt;&gt;""),IF(WEEKDAY(AW280-VLOOKUP($P280&amp;" | "&amp;AN$6,'Job Master'!$F$12:$I$102,4,0))&lt;&gt;7,AW280-VLOOKUP($P280&amp;" | "&amp;AN$6,'Job Master'!$F$12:$I$102,4,0),AW280-VLOOKUP($P280&amp;" | "&amp;AN$6,'Job Master'!$F$12:$I$102,4,0)-1),""),"")</f>
        <v/>
      </c>
      <c r="AQ280" s="73"/>
      <c r="AR280" s="123" t="str">
        <f t="shared" si="525"/>
        <v/>
      </c>
      <c r="AS280" s="123" t="str">
        <f t="shared" si="526"/>
        <v/>
      </c>
      <c r="AT280" s="97" t="str">
        <f t="shared" ca="1" si="527"/>
        <v/>
      </c>
      <c r="AU280" s="98" t="str">
        <f>IF(AW280&lt;&gt;"",VLOOKUP($P280&amp;" | "&amp;AU$6,'Job Master'!$F$12:$J$102,5,0),"")</f>
        <v/>
      </c>
      <c r="AV280" s="19" t="str">
        <f>IF(AW280&lt;&gt;"",VLOOKUP($P280&amp;" | "&amp;AU$6,'Job Master'!$F$12:$J$102,3,0),"")</f>
        <v/>
      </c>
      <c r="AW280" s="19" t="str">
        <f>IFERROR(IF(AND(BD280&lt;&gt;"",VLOOKUP($P280&amp;" | "&amp;AU$6,'Job Master'!$F$12:$I$102,4,0)&lt;&gt;""),IF(WEEKDAY(BD280-VLOOKUP($P280&amp;" | "&amp;AU$6,'Job Master'!$F$12:$I$102,4,0))&lt;&gt;7,BD280-VLOOKUP($P280&amp;" | "&amp;AU$6,'Job Master'!$F$12:$I$102,4,0),BD280-VLOOKUP($P280&amp;" | "&amp;AU$6,'Job Master'!$F$12:$I$102,4,0)-1),""),"")</f>
        <v/>
      </c>
      <c r="AX280" s="73"/>
      <c r="AY280" s="123" t="str">
        <f t="shared" si="528"/>
        <v/>
      </c>
      <c r="AZ280" s="123" t="str">
        <f t="shared" si="529"/>
        <v/>
      </c>
      <c r="BA280" s="97" t="str">
        <f t="shared" ca="1" si="530"/>
        <v/>
      </c>
      <c r="BB280" s="98" t="str">
        <f>IF(BD280&lt;&gt;"",VLOOKUP($P280&amp;" | "&amp;BB$6,'Job Master'!$F$12:$J$102,5,0),"")</f>
        <v/>
      </c>
      <c r="BC280" s="19" t="str">
        <f>IF(BD280&lt;&gt;"",VLOOKUP($P280&amp;" | "&amp;BB$6,'Job Master'!$F$12:$J$102,3,0),"")</f>
        <v/>
      </c>
      <c r="BD280" s="19" t="str">
        <f>IFERROR(IF(AND(BK280&lt;&gt;"",VLOOKUP($P280&amp;" | "&amp;BB$6,'Job Master'!$F$12:$I$102,4,0)&lt;&gt;""),IF(WEEKDAY(BK280-VLOOKUP($P280&amp;" | "&amp;BB$6,'Job Master'!$F$12:$I$102,4,0))&lt;&gt;7,BK280-VLOOKUP($P280&amp;" | "&amp;BB$6,'Job Master'!$F$12:$I$102,4,0),BK280-VLOOKUP($P280&amp;" | "&amp;BB$6,'Job Master'!$F$12:$I$102,4,0)-1),""),"")</f>
        <v/>
      </c>
      <c r="BE280" s="73"/>
      <c r="BF280" s="123" t="str">
        <f t="shared" si="531"/>
        <v/>
      </c>
      <c r="BG280" s="123" t="str">
        <f t="shared" si="532"/>
        <v/>
      </c>
      <c r="BH280" s="97" t="str">
        <f t="shared" ca="1" si="533"/>
        <v/>
      </c>
      <c r="BI280" s="98" t="str">
        <f>IF(BK280&lt;&gt;"",VLOOKUP($P280&amp;" | "&amp;BI$6,'Job Master'!$F$12:$J$102,5,0),"")</f>
        <v/>
      </c>
      <c r="BJ280" s="19" t="str">
        <f>IF(BK280&lt;&gt;"",VLOOKUP($P280&amp;" | "&amp;BI$6,'Job Master'!$F$12:$J$102,3,0),"")</f>
        <v/>
      </c>
      <c r="BK280" s="19" t="str">
        <f>IFERROR(IF(AND(BR280&lt;&gt;"",VLOOKUP($P280&amp;" | "&amp;BI$6,'Job Master'!$F$12:$I$102,4,0)&lt;&gt;""),IF(WEEKDAY(BR280-VLOOKUP($P280&amp;" | "&amp;BI$6,'Job Master'!$F$12:$I$102,4,0))&lt;&gt;7,BR280-VLOOKUP($P280&amp;" | "&amp;BI$6,'Job Master'!$F$12:$I$102,4,0),BR280-VLOOKUP($P280&amp;" | "&amp;BI$6,'Job Master'!$F$12:$I$102,4,0)-1),""),"")</f>
        <v/>
      </c>
      <c r="BL280" s="73"/>
      <c r="BM280" s="123" t="str">
        <f t="shared" si="534"/>
        <v/>
      </c>
      <c r="BN280" s="123" t="str">
        <f t="shared" si="535"/>
        <v/>
      </c>
      <c r="BO280" s="97" t="str">
        <f t="shared" ca="1" si="536"/>
        <v/>
      </c>
      <c r="BP280" s="98" t="str">
        <f>IF(BR280&lt;&gt;"",VLOOKUP($P280&amp;" | "&amp;BP$6,'Job Master'!$F$12:$J$102,5,0),"")</f>
        <v/>
      </c>
      <c r="BQ280" s="19" t="str">
        <f>IF(BR280&lt;&gt;"",VLOOKUP($P280&amp;" | "&amp;BP$6,'Job Master'!$F$12:$J$102,3,0),"")</f>
        <v/>
      </c>
      <c r="BR280" s="19" t="str">
        <f>IFERROR(IF(AND(BY280&lt;&gt;"",VLOOKUP($P280&amp;" | "&amp;BP$6,'Job Master'!$F$12:$I$102,4,0)&lt;&gt;""),IF(WEEKDAY(BY280-VLOOKUP($P280&amp;" | "&amp;BP$6,'Job Master'!$F$12:$I$102,4,0))&lt;&gt;7,BY280-VLOOKUP($P280&amp;" | "&amp;BP$6,'Job Master'!$F$12:$I$102,4,0),BY280-VLOOKUP($P280&amp;" | "&amp;BP$6,'Job Master'!$F$12:$I$102,4,0)-1),""),"")</f>
        <v/>
      </c>
      <c r="BS280" s="73"/>
      <c r="BT280" s="123" t="str">
        <f t="shared" si="537"/>
        <v/>
      </c>
      <c r="BU280" s="123" t="str">
        <f t="shared" si="538"/>
        <v/>
      </c>
      <c r="BV280" s="97" t="str">
        <f t="shared" ca="1" si="539"/>
        <v/>
      </c>
      <c r="BW280" s="98" t="str">
        <f>IF(BY280&lt;&gt;"",VLOOKUP($P280&amp;" | "&amp;BW$6,'Job Master'!$F$12:$J$102,5,0),"")</f>
        <v/>
      </c>
      <c r="BX280" s="19" t="str">
        <f>IF(BY280&lt;&gt;"",VLOOKUP($P280&amp;" | "&amp;BW$6,'Job Master'!$F$12:$J$102,3,0),"")</f>
        <v/>
      </c>
      <c r="BY280" s="19" t="str">
        <f>IFERROR(IF(AND(CF280&lt;&gt;"",VLOOKUP($P280&amp;" | "&amp;BW$6,'Job Master'!$F$12:$I$102,4,0)&lt;&gt;""),IF(WEEKDAY(CF280-VLOOKUP($P280&amp;" | "&amp;BW$6,'Job Master'!$F$12:$I$102,4,0))&lt;&gt;7,CF280-VLOOKUP($P280&amp;" | "&amp;BW$6,'Job Master'!$F$12:$I$102,4,0),CF280-VLOOKUP($P280&amp;" | "&amp;BW$6,'Job Master'!$F$12:$I$102,4,0)-1),""),"")</f>
        <v/>
      </c>
      <c r="BZ280" s="73"/>
      <c r="CA280" s="123" t="str">
        <f t="shared" si="540"/>
        <v/>
      </c>
      <c r="CB280" s="123" t="str">
        <f t="shared" si="541"/>
        <v/>
      </c>
      <c r="CC280" s="97" t="str">
        <f t="shared" ca="1" si="542"/>
        <v/>
      </c>
      <c r="CD280" s="98" t="str">
        <f>IF(CF280&lt;&gt;"",VLOOKUP($P280&amp;" | "&amp;CD$6,'Job Master'!$F$12:$J$102,5,0),"")</f>
        <v/>
      </c>
      <c r="CE280" s="19" t="str">
        <f>IF(CF280&lt;&gt;"",VLOOKUP($P280&amp;" | "&amp;CD$6,'Job Master'!$F$12:$J$102,3,0),"")</f>
        <v/>
      </c>
      <c r="CF280" s="19" t="str">
        <f>IFERROR(IF(AND(CM280&lt;&gt;"",VLOOKUP($P280&amp;" | "&amp;CD$6,'Job Master'!$F$12:$I$102,4,0)&lt;&gt;""),IF(WEEKDAY(CM280-VLOOKUP($P280&amp;" | "&amp;CD$6,'Job Master'!$F$12:$I$102,4,0))&lt;&gt;7,CM280-VLOOKUP($P280&amp;" | "&amp;CD$6,'Job Master'!$F$12:$I$102,4,0),CM280-VLOOKUP($P280&amp;" | "&amp;CD$6,'Job Master'!$F$12:$I$102,4,0)-1),""),"")</f>
        <v/>
      </c>
      <c r="CG280" s="73"/>
      <c r="CH280" s="123" t="str">
        <f t="shared" si="543"/>
        <v/>
      </c>
      <c r="CI280" s="123" t="str">
        <f t="shared" si="544"/>
        <v/>
      </c>
      <c r="CJ280" s="97" t="str">
        <f t="shared" ca="1" si="545"/>
        <v/>
      </c>
      <c r="CK280" s="98" t="str">
        <f>IF(CM280&lt;&gt;"",VLOOKUP($P280&amp;" | "&amp;CK$6,'Job Master'!$F$12:$J$102,5,0),"")</f>
        <v/>
      </c>
      <c r="CL280" s="19" t="str">
        <f>IF(CM280&lt;&gt;"",VLOOKUP($P280&amp;" | "&amp;CK$6,'Job Master'!$F$12:$J$102,3,0),"")</f>
        <v/>
      </c>
      <c r="CM280" s="19" t="str">
        <f>IFERROR(IF(AND(CT280&lt;&gt;"",VLOOKUP($P280&amp;" | "&amp;CK$6,'Job Master'!$F$12:$I$102,4,0)&lt;&gt;""),IF(WEEKDAY(CT280-VLOOKUP($P280&amp;" | "&amp;CK$6,'Job Master'!$F$12:$I$102,4,0))&lt;&gt;7,CT280-VLOOKUP($P280&amp;" | "&amp;CK$6,'Job Master'!$F$12:$I$102,4,0),CT280-VLOOKUP($P280&amp;" | "&amp;CK$6,'Job Master'!$F$12:$I$102,4,0)-1),""),"")</f>
        <v/>
      </c>
      <c r="CN280" s="73"/>
      <c r="CO280" s="123" t="str">
        <f t="shared" si="546"/>
        <v/>
      </c>
      <c r="CP280" s="123" t="str">
        <f t="shared" si="547"/>
        <v/>
      </c>
      <c r="CQ280" s="97" t="str">
        <f t="shared" ca="1" si="548"/>
        <v/>
      </c>
      <c r="CR280" s="98" t="str">
        <f>IF(CT280&lt;&gt;"",VLOOKUP($P280&amp;" | "&amp;CR$6,'Job Master'!$F$12:$J$102,5,0),"")</f>
        <v/>
      </c>
      <c r="CS280" s="19" t="str">
        <f>IF(CT280&lt;&gt;"",VLOOKUP($P280&amp;" | "&amp;CR$6,'Job Master'!$F$12:$J$102,3,0),"")</f>
        <v/>
      </c>
      <c r="CT280" s="19" t="str">
        <f>IFERROR(IF(AND(DA280&lt;&gt;"",VLOOKUP($P280&amp;" | "&amp;CR$6,'Job Master'!$F$12:$I$102,4,0)&lt;&gt;""),IF(WEEKDAY(DA280-VLOOKUP($P280&amp;" | "&amp;CR$6,'Job Master'!$F$12:$I$102,4,0))&lt;&gt;7,DA280-VLOOKUP($P280&amp;" | "&amp;CR$6,'Job Master'!$F$12:$I$102,4,0),DA280-VLOOKUP($P280&amp;" | "&amp;CR$6,'Job Master'!$F$12:$I$102,4,0)-1),""),"")</f>
        <v/>
      </c>
      <c r="CU280" s="73"/>
      <c r="CV280" s="123" t="str">
        <f t="shared" si="549"/>
        <v/>
      </c>
      <c r="CW280" s="123" t="str">
        <f t="shared" si="550"/>
        <v/>
      </c>
      <c r="CX280" s="97" t="str">
        <f t="shared" ca="1" si="551"/>
        <v/>
      </c>
      <c r="CY280" s="98" t="str">
        <f>IF(DA280&lt;&gt;"",VLOOKUP($P280&amp;" | "&amp;CY$6,'Job Master'!$F$12:$J$102,5,0),"")</f>
        <v/>
      </c>
      <c r="CZ280" s="19" t="str">
        <f>IF(DA280&lt;&gt;"",VLOOKUP($P280&amp;" | "&amp;CY$6,'Job Master'!$F$12:$J$102,3,0),"")</f>
        <v/>
      </c>
      <c r="DA280" s="19" t="str">
        <f>IFERROR(IF(AND(DH280&lt;&gt;"",VLOOKUP($P280&amp;" | "&amp;CY$6,'Job Master'!$F$12:$I$102,4,0)&lt;&gt;""),IF(WEEKDAY(DH280-VLOOKUP($P280&amp;" | "&amp;CY$6,'Job Master'!$F$12:$I$102,4,0))&lt;&gt;7,DH280-VLOOKUP($P280&amp;" | "&amp;CY$6,'Job Master'!$F$12:$I$102,4,0),DH280-VLOOKUP($P280&amp;" | "&amp;CY$6,'Job Master'!$F$12:$I$102,4,0)-1),""),"")</f>
        <v/>
      </c>
      <c r="DB280" s="73"/>
      <c r="DC280" s="123" t="str">
        <f t="shared" si="552"/>
        <v/>
      </c>
      <c r="DD280" s="123" t="str">
        <f t="shared" si="553"/>
        <v/>
      </c>
      <c r="DE280" s="97" t="str">
        <f t="shared" ca="1" si="554"/>
        <v/>
      </c>
      <c r="DF280" s="98" t="str">
        <f>IF(DH280&lt;&gt;"",VLOOKUP($P280&amp;" | "&amp;DF$6,'Job Master'!$F$12:$J$102,5,0),"")</f>
        <v/>
      </c>
      <c r="DG280" s="19" t="str">
        <f>IF(DH280&lt;&gt;"",VLOOKUP($P280&amp;" | "&amp;DF$6,'Job Master'!$F$12:$J$102,3,0),"")</f>
        <v/>
      </c>
      <c r="DH280" s="19" t="str">
        <f>IFERROR(IF(AND(DO280&lt;&gt;"",VLOOKUP($P280&amp;" | "&amp;DF$6,'Job Master'!$F$12:$I$102,4,0)&lt;&gt;""),IF(WEEKDAY(DO280-VLOOKUP($P280&amp;" | "&amp;DF$6,'Job Master'!$F$12:$I$102,4,0))&lt;&gt;7,DO280-VLOOKUP($P280&amp;" | "&amp;DF$6,'Job Master'!$F$12:$I$102,4,0),DO280-VLOOKUP($P280&amp;" | "&amp;DF$6,'Job Master'!$F$12:$I$102,4,0)-1),""),"")</f>
        <v/>
      </c>
      <c r="DI280" s="73"/>
      <c r="DJ280" s="123" t="str">
        <f t="shared" si="555"/>
        <v/>
      </c>
      <c r="DK280" s="123" t="str">
        <f t="shared" si="556"/>
        <v/>
      </c>
      <c r="DL280" s="97" t="str">
        <f t="shared" ca="1" si="557"/>
        <v/>
      </c>
      <c r="DM280" s="98" t="str">
        <f>IF(DO280&lt;&gt;"",VLOOKUP($P280&amp;" | "&amp;DM$6,'Job Master'!$F$12:$J$102,5,0),"")</f>
        <v/>
      </c>
      <c r="DN280" s="19" t="str">
        <f>IF(DO280&lt;&gt;"",VLOOKUP($P280&amp;" | "&amp;DM$6,'Job Master'!$F$12:$J$102,3,0),"")</f>
        <v/>
      </c>
      <c r="DO280" s="19" t="str">
        <f>IFERROR(IF(AND(DT280&lt;&gt;"",VLOOKUP($P280&amp;" | "&amp;DM$6,'Job Master'!$F$12:$I$102,4,0)&lt;&gt;""),IF(WEEKDAY(DT280-VLOOKUP($P280&amp;" | "&amp;DM$6,'Job Master'!$F$12:$I$102,4,0))&lt;&gt;7,DT280-VLOOKUP($P280&amp;" | "&amp;DM$6,'Job Master'!$F$12:$I$102,4,0),DT280-VLOOKUP($P280&amp;" | "&amp;DM$6,'Job Master'!$F$12:$I$102,4,0)-1),""),"")</f>
        <v/>
      </c>
      <c r="DP280" s="73"/>
      <c r="DQ280" s="123" t="str">
        <f t="shared" si="558"/>
        <v/>
      </c>
      <c r="DR280" s="123" t="str">
        <f t="shared" si="559"/>
        <v/>
      </c>
      <c r="DS280" s="97" t="str">
        <f t="shared" ca="1" si="560"/>
        <v/>
      </c>
      <c r="DT280" s="70" t="str">
        <f t="shared" si="561"/>
        <v/>
      </c>
      <c r="DU280" s="90"/>
      <c r="DV280" s="123" t="str">
        <f t="shared" si="562"/>
        <v/>
      </c>
      <c r="DW280" s="123" t="str">
        <f t="shared" si="563"/>
        <v/>
      </c>
      <c r="DX280" s="132" t="str">
        <f t="shared" ref="DX280" ca="1" si="586">IF(DT280&lt;&gt;"",IF(WEEKNUM(DT280)=WEEKNUM(TODAY()),"This Week",IF(WEEKNUM(DT280)=WEEKNUM(TODAY())+1,"Next Week",IF(WEEKNUM(DT280)=WEEKNUM(TODAY())-1,"Previous Week",""))),"")</f>
        <v/>
      </c>
      <c r="DY280" s="134" t="str">
        <f t="shared" si="565"/>
        <v/>
      </c>
      <c r="DZ280" s="95"/>
      <c r="EB280" s="8" t="str">
        <f t="shared" si="571"/>
        <v/>
      </c>
      <c r="EC280" s="8" t="str">
        <f>IF(O280&lt;&gt;"",VLOOKUP(O280,'Job Master'!$N$12:$O$18,2,0),"")</f>
        <v/>
      </c>
      <c r="ED280" s="8">
        <f t="shared" si="572"/>
        <v>19.5</v>
      </c>
      <c r="EE280" s="8">
        <f t="shared" si="573"/>
        <v>6</v>
      </c>
      <c r="EF280" s="8">
        <f t="shared" si="574"/>
        <v>-1600.5</v>
      </c>
      <c r="EG280" s="8" t="str">
        <f t="shared" si="575"/>
        <v/>
      </c>
      <c r="EH280" s="8" t="str">
        <f t="shared" si="576"/>
        <v/>
      </c>
    </row>
    <row r="281" spans="2:138" x14ac:dyDescent="0.3">
      <c r="B281" s="112"/>
      <c r="C281" s="27"/>
      <c r="D281" s="7" t="str">
        <f t="shared" si="513"/>
        <v/>
      </c>
      <c r="E281" s="25"/>
      <c r="F281" s="7" t="str">
        <f t="shared" si="513"/>
        <v/>
      </c>
      <c r="G281" s="25"/>
      <c r="H281" s="7" t="str">
        <f t="shared" si="513"/>
        <v/>
      </c>
      <c r="I281" s="25"/>
      <c r="J281" s="7" t="str">
        <f t="shared" si="513"/>
        <v/>
      </c>
      <c r="K281" s="25"/>
      <c r="L281" s="7" t="str">
        <f t="shared" si="514"/>
        <v/>
      </c>
      <c r="M281" s="25"/>
      <c r="N281" s="7" t="str">
        <f t="shared" si="515"/>
        <v/>
      </c>
      <c r="O281" s="81"/>
      <c r="P281" s="81" t="str">
        <f t="shared" si="516"/>
        <v/>
      </c>
      <c r="Q281" s="81"/>
      <c r="R281" s="7" t="str">
        <f t="shared" si="517"/>
        <v/>
      </c>
      <c r="S281" s="25"/>
      <c r="T281" s="7" t="str">
        <f t="shared" si="518"/>
        <v/>
      </c>
      <c r="U281" s="25"/>
      <c r="V281" s="7" t="str">
        <f t="shared" si="519"/>
        <v/>
      </c>
      <c r="W281" s="25"/>
      <c r="X281" s="7" t="str">
        <f t="shared" si="520"/>
        <v/>
      </c>
      <c r="Y281" s="18" t="str">
        <f t="shared" si="521"/>
        <v/>
      </c>
      <c r="Z281" s="7" t="str">
        <f t="shared" si="522"/>
        <v/>
      </c>
      <c r="AA281" s="18" t="str">
        <f t="shared" si="523"/>
        <v/>
      </c>
      <c r="AB281" s="19" t="str">
        <f t="shared" si="524"/>
        <v/>
      </c>
      <c r="AC281" s="26"/>
      <c r="AD281" s="26"/>
      <c r="AE281" s="25"/>
      <c r="AF281" s="26"/>
      <c r="AG281" s="25"/>
      <c r="AH281" s="25"/>
      <c r="AI281" s="18" t="str">
        <f t="shared" ref="AI281:AI344" si="587">IF(IF(AH281&lt;&gt;"",AH281,IF($AA281&lt;&gt;"",AI280,""))&lt;&gt;0,IF(AH281&lt;&gt;"",AH281,IF($AA281&lt;&gt;"",AI280,"")),"")</f>
        <v/>
      </c>
      <c r="AJ281" s="25"/>
      <c r="AK281" s="18" t="str">
        <f t="shared" ref="AK281:AK344" si="588">IF(IF(AJ281&lt;&gt;"",AJ281,IF($AA281&lt;&gt;"",AK280,""))&lt;&gt;0,IF(AJ281&lt;&gt;"",AJ281,IF($AA281&lt;&gt;"",AK280,"")),"")</f>
        <v/>
      </c>
      <c r="AL281" s="79"/>
      <c r="AM281" s="126" t="str">
        <f t="shared" ref="AM281:AM344" si="589">IF(IF(AL281&lt;&gt;"",AL281,IF($AA281&lt;&gt;"",AM280,""))&lt;&gt;0,IF(AL281&lt;&gt;"",AL281,IF($AA281&lt;&gt;"",AM280,"")),"")</f>
        <v/>
      </c>
      <c r="AN281" s="128" t="str">
        <f>IF(AP281&lt;&gt;"",VLOOKUP($P281&amp;" | "&amp;AN$6,'Job Master'!$F$12:$J$102,5,0),"")</f>
        <v/>
      </c>
      <c r="AO281" s="19" t="str">
        <f>IF(AP281&lt;&gt;"",VLOOKUP($P281&amp;" | "&amp;AN$6,'Job Master'!$F$12:$J$102,3,0),"")</f>
        <v/>
      </c>
      <c r="AP281" s="19" t="str">
        <f>IFERROR(IF(AND(AW281&lt;&gt;"",VLOOKUP($P281&amp;" | "&amp;AN$6,'Job Master'!$F$12:$I$102,4,0)&lt;&gt;""),IF(WEEKDAY(AW281-VLOOKUP($P281&amp;" | "&amp;AN$6,'Job Master'!$F$12:$I$102,4,0))&lt;&gt;7,AW281-VLOOKUP($P281&amp;" | "&amp;AN$6,'Job Master'!$F$12:$I$102,4,0),AW281-VLOOKUP($P281&amp;" | "&amp;AN$6,'Job Master'!$F$12:$I$102,4,0)-1),""),"")</f>
        <v/>
      </c>
      <c r="AQ281" s="73"/>
      <c r="AR281" s="123" t="str">
        <f t="shared" si="525"/>
        <v/>
      </c>
      <c r="AS281" s="123" t="str">
        <f t="shared" si="526"/>
        <v/>
      </c>
      <c r="AT281" s="97" t="str">
        <f t="shared" ca="1" si="527"/>
        <v/>
      </c>
      <c r="AU281" s="98" t="str">
        <f>IF(AW281&lt;&gt;"",VLOOKUP($P281&amp;" | "&amp;AU$6,'Job Master'!$F$12:$J$102,5,0),"")</f>
        <v/>
      </c>
      <c r="AV281" s="19" t="str">
        <f>IF(AW281&lt;&gt;"",VLOOKUP($P281&amp;" | "&amp;AU$6,'Job Master'!$F$12:$J$102,3,0),"")</f>
        <v/>
      </c>
      <c r="AW281" s="19" t="str">
        <f>IFERROR(IF(AND(BD281&lt;&gt;"",VLOOKUP($P281&amp;" | "&amp;AU$6,'Job Master'!$F$12:$I$102,4,0)&lt;&gt;""),IF(WEEKDAY(BD281-VLOOKUP($P281&amp;" | "&amp;AU$6,'Job Master'!$F$12:$I$102,4,0))&lt;&gt;7,BD281-VLOOKUP($P281&amp;" | "&amp;AU$6,'Job Master'!$F$12:$I$102,4,0),BD281-VLOOKUP($P281&amp;" | "&amp;AU$6,'Job Master'!$F$12:$I$102,4,0)-1),""),"")</f>
        <v/>
      </c>
      <c r="AX281" s="73"/>
      <c r="AY281" s="123" t="str">
        <f t="shared" si="528"/>
        <v/>
      </c>
      <c r="AZ281" s="123" t="str">
        <f t="shared" si="529"/>
        <v/>
      </c>
      <c r="BA281" s="97" t="str">
        <f t="shared" ca="1" si="530"/>
        <v/>
      </c>
      <c r="BB281" s="98" t="str">
        <f>IF(BD281&lt;&gt;"",VLOOKUP($P281&amp;" | "&amp;BB$6,'Job Master'!$F$12:$J$102,5,0),"")</f>
        <v/>
      </c>
      <c r="BC281" s="19" t="str">
        <f>IF(BD281&lt;&gt;"",VLOOKUP($P281&amp;" | "&amp;BB$6,'Job Master'!$F$12:$J$102,3,0),"")</f>
        <v/>
      </c>
      <c r="BD281" s="19" t="str">
        <f>IFERROR(IF(AND(BK281&lt;&gt;"",VLOOKUP($P281&amp;" | "&amp;BB$6,'Job Master'!$F$12:$I$102,4,0)&lt;&gt;""),IF(WEEKDAY(BK281-VLOOKUP($P281&amp;" | "&amp;BB$6,'Job Master'!$F$12:$I$102,4,0))&lt;&gt;7,BK281-VLOOKUP($P281&amp;" | "&amp;BB$6,'Job Master'!$F$12:$I$102,4,0),BK281-VLOOKUP($P281&amp;" | "&amp;BB$6,'Job Master'!$F$12:$I$102,4,0)-1),""),"")</f>
        <v/>
      </c>
      <c r="BE281" s="73"/>
      <c r="BF281" s="123" t="str">
        <f t="shared" si="531"/>
        <v/>
      </c>
      <c r="BG281" s="123" t="str">
        <f t="shared" si="532"/>
        <v/>
      </c>
      <c r="BH281" s="97" t="str">
        <f t="shared" ca="1" si="533"/>
        <v/>
      </c>
      <c r="BI281" s="98" t="str">
        <f>IF(BK281&lt;&gt;"",VLOOKUP($P281&amp;" | "&amp;BI$6,'Job Master'!$F$12:$J$102,5,0),"")</f>
        <v/>
      </c>
      <c r="BJ281" s="19" t="str">
        <f>IF(BK281&lt;&gt;"",VLOOKUP($P281&amp;" | "&amp;BI$6,'Job Master'!$F$12:$J$102,3,0),"")</f>
        <v/>
      </c>
      <c r="BK281" s="19" t="str">
        <f>IFERROR(IF(AND(BR281&lt;&gt;"",VLOOKUP($P281&amp;" | "&amp;BI$6,'Job Master'!$F$12:$I$102,4,0)&lt;&gt;""),IF(WEEKDAY(BR281-VLOOKUP($P281&amp;" | "&amp;BI$6,'Job Master'!$F$12:$I$102,4,0))&lt;&gt;7,BR281-VLOOKUP($P281&amp;" | "&amp;BI$6,'Job Master'!$F$12:$I$102,4,0),BR281-VLOOKUP($P281&amp;" | "&amp;BI$6,'Job Master'!$F$12:$I$102,4,0)-1),""),"")</f>
        <v/>
      </c>
      <c r="BL281" s="73"/>
      <c r="BM281" s="123" t="str">
        <f t="shared" si="534"/>
        <v/>
      </c>
      <c r="BN281" s="123" t="str">
        <f t="shared" si="535"/>
        <v/>
      </c>
      <c r="BO281" s="97" t="str">
        <f t="shared" ca="1" si="536"/>
        <v/>
      </c>
      <c r="BP281" s="98" t="str">
        <f>IF(BR281&lt;&gt;"",VLOOKUP($P281&amp;" | "&amp;BP$6,'Job Master'!$F$12:$J$102,5,0),"")</f>
        <v/>
      </c>
      <c r="BQ281" s="19" t="str">
        <f>IF(BR281&lt;&gt;"",VLOOKUP($P281&amp;" | "&amp;BP$6,'Job Master'!$F$12:$J$102,3,0),"")</f>
        <v/>
      </c>
      <c r="BR281" s="19" t="str">
        <f>IFERROR(IF(AND(BY281&lt;&gt;"",VLOOKUP($P281&amp;" | "&amp;BP$6,'Job Master'!$F$12:$I$102,4,0)&lt;&gt;""),IF(WEEKDAY(BY281-VLOOKUP($P281&amp;" | "&amp;BP$6,'Job Master'!$F$12:$I$102,4,0))&lt;&gt;7,BY281-VLOOKUP($P281&amp;" | "&amp;BP$6,'Job Master'!$F$12:$I$102,4,0),BY281-VLOOKUP($P281&amp;" | "&amp;BP$6,'Job Master'!$F$12:$I$102,4,0)-1),""),"")</f>
        <v/>
      </c>
      <c r="BS281" s="73"/>
      <c r="BT281" s="123" t="str">
        <f t="shared" si="537"/>
        <v/>
      </c>
      <c r="BU281" s="123" t="str">
        <f t="shared" si="538"/>
        <v/>
      </c>
      <c r="BV281" s="97" t="str">
        <f t="shared" ca="1" si="539"/>
        <v/>
      </c>
      <c r="BW281" s="98" t="str">
        <f>IF(BY281&lt;&gt;"",VLOOKUP($P281&amp;" | "&amp;BW$6,'Job Master'!$F$12:$J$102,5,0),"")</f>
        <v/>
      </c>
      <c r="BX281" s="19" t="str">
        <f>IF(BY281&lt;&gt;"",VLOOKUP($P281&amp;" | "&amp;BW$6,'Job Master'!$F$12:$J$102,3,0),"")</f>
        <v/>
      </c>
      <c r="BY281" s="19" t="str">
        <f>IFERROR(IF(AND(CF281&lt;&gt;"",VLOOKUP($P281&amp;" | "&amp;BW$6,'Job Master'!$F$12:$I$102,4,0)&lt;&gt;""),IF(WEEKDAY(CF281-VLOOKUP($P281&amp;" | "&amp;BW$6,'Job Master'!$F$12:$I$102,4,0))&lt;&gt;7,CF281-VLOOKUP($P281&amp;" | "&amp;BW$6,'Job Master'!$F$12:$I$102,4,0),CF281-VLOOKUP($P281&amp;" | "&amp;BW$6,'Job Master'!$F$12:$I$102,4,0)-1),""),"")</f>
        <v/>
      </c>
      <c r="BZ281" s="73"/>
      <c r="CA281" s="123" t="str">
        <f t="shared" si="540"/>
        <v/>
      </c>
      <c r="CB281" s="123" t="str">
        <f t="shared" si="541"/>
        <v/>
      </c>
      <c r="CC281" s="97" t="str">
        <f t="shared" ca="1" si="542"/>
        <v/>
      </c>
      <c r="CD281" s="98" t="str">
        <f>IF(CF281&lt;&gt;"",VLOOKUP($P281&amp;" | "&amp;CD$6,'Job Master'!$F$12:$J$102,5,0),"")</f>
        <v/>
      </c>
      <c r="CE281" s="19" t="str">
        <f>IF(CF281&lt;&gt;"",VLOOKUP($P281&amp;" | "&amp;CD$6,'Job Master'!$F$12:$J$102,3,0),"")</f>
        <v/>
      </c>
      <c r="CF281" s="19" t="str">
        <f>IFERROR(IF(AND(CM281&lt;&gt;"",VLOOKUP($P281&amp;" | "&amp;CD$6,'Job Master'!$F$12:$I$102,4,0)&lt;&gt;""),IF(WEEKDAY(CM281-VLOOKUP($P281&amp;" | "&amp;CD$6,'Job Master'!$F$12:$I$102,4,0))&lt;&gt;7,CM281-VLOOKUP($P281&amp;" | "&amp;CD$6,'Job Master'!$F$12:$I$102,4,0),CM281-VLOOKUP($P281&amp;" | "&amp;CD$6,'Job Master'!$F$12:$I$102,4,0)-1),""),"")</f>
        <v/>
      </c>
      <c r="CG281" s="73"/>
      <c r="CH281" s="123" t="str">
        <f t="shared" si="543"/>
        <v/>
      </c>
      <c r="CI281" s="123" t="str">
        <f t="shared" si="544"/>
        <v/>
      </c>
      <c r="CJ281" s="97" t="str">
        <f t="shared" ca="1" si="545"/>
        <v/>
      </c>
      <c r="CK281" s="98" t="str">
        <f>IF(CM281&lt;&gt;"",VLOOKUP($P281&amp;" | "&amp;CK$6,'Job Master'!$F$12:$J$102,5,0),"")</f>
        <v/>
      </c>
      <c r="CL281" s="19" t="str">
        <f>IF(CM281&lt;&gt;"",VLOOKUP($P281&amp;" | "&amp;CK$6,'Job Master'!$F$12:$J$102,3,0),"")</f>
        <v/>
      </c>
      <c r="CM281" s="19" t="str">
        <f>IFERROR(IF(AND(CT281&lt;&gt;"",VLOOKUP($P281&amp;" | "&amp;CK$6,'Job Master'!$F$12:$I$102,4,0)&lt;&gt;""),IF(WEEKDAY(CT281-VLOOKUP($P281&amp;" | "&amp;CK$6,'Job Master'!$F$12:$I$102,4,0))&lt;&gt;7,CT281-VLOOKUP($P281&amp;" | "&amp;CK$6,'Job Master'!$F$12:$I$102,4,0),CT281-VLOOKUP($P281&amp;" | "&amp;CK$6,'Job Master'!$F$12:$I$102,4,0)-1),""),"")</f>
        <v/>
      </c>
      <c r="CN281" s="73"/>
      <c r="CO281" s="123" t="str">
        <f t="shared" si="546"/>
        <v/>
      </c>
      <c r="CP281" s="123" t="str">
        <f t="shared" si="547"/>
        <v/>
      </c>
      <c r="CQ281" s="97" t="str">
        <f t="shared" ca="1" si="548"/>
        <v/>
      </c>
      <c r="CR281" s="98" t="str">
        <f>IF(CT281&lt;&gt;"",VLOOKUP($P281&amp;" | "&amp;CR$6,'Job Master'!$F$12:$J$102,5,0),"")</f>
        <v/>
      </c>
      <c r="CS281" s="19" t="str">
        <f>IF(CT281&lt;&gt;"",VLOOKUP($P281&amp;" | "&amp;CR$6,'Job Master'!$F$12:$J$102,3,0),"")</f>
        <v/>
      </c>
      <c r="CT281" s="19" t="str">
        <f>IFERROR(IF(AND(DA281&lt;&gt;"",VLOOKUP($P281&amp;" | "&amp;CR$6,'Job Master'!$F$12:$I$102,4,0)&lt;&gt;""),IF(WEEKDAY(DA281-VLOOKUP($P281&amp;" | "&amp;CR$6,'Job Master'!$F$12:$I$102,4,0))&lt;&gt;7,DA281-VLOOKUP($P281&amp;" | "&amp;CR$6,'Job Master'!$F$12:$I$102,4,0),DA281-VLOOKUP($P281&amp;" | "&amp;CR$6,'Job Master'!$F$12:$I$102,4,0)-1),""),"")</f>
        <v/>
      </c>
      <c r="CU281" s="73"/>
      <c r="CV281" s="123" t="str">
        <f t="shared" si="549"/>
        <v/>
      </c>
      <c r="CW281" s="123" t="str">
        <f t="shared" si="550"/>
        <v/>
      </c>
      <c r="CX281" s="97" t="str">
        <f t="shared" ca="1" si="551"/>
        <v/>
      </c>
      <c r="CY281" s="98" t="str">
        <f>IF(DA281&lt;&gt;"",VLOOKUP($P281&amp;" | "&amp;CY$6,'Job Master'!$F$12:$J$102,5,0),"")</f>
        <v/>
      </c>
      <c r="CZ281" s="19" t="str">
        <f>IF(DA281&lt;&gt;"",VLOOKUP($P281&amp;" | "&amp;CY$6,'Job Master'!$F$12:$J$102,3,0),"")</f>
        <v/>
      </c>
      <c r="DA281" s="19" t="str">
        <f>IFERROR(IF(AND(DH281&lt;&gt;"",VLOOKUP($P281&amp;" | "&amp;CY$6,'Job Master'!$F$12:$I$102,4,0)&lt;&gt;""),IF(WEEKDAY(DH281-VLOOKUP($P281&amp;" | "&amp;CY$6,'Job Master'!$F$12:$I$102,4,0))&lt;&gt;7,DH281-VLOOKUP($P281&amp;" | "&amp;CY$6,'Job Master'!$F$12:$I$102,4,0),DH281-VLOOKUP($P281&amp;" | "&amp;CY$6,'Job Master'!$F$12:$I$102,4,0)-1),""),"")</f>
        <v/>
      </c>
      <c r="DB281" s="73"/>
      <c r="DC281" s="123" t="str">
        <f t="shared" si="552"/>
        <v/>
      </c>
      <c r="DD281" s="123" t="str">
        <f t="shared" si="553"/>
        <v/>
      </c>
      <c r="DE281" s="97" t="str">
        <f t="shared" ca="1" si="554"/>
        <v/>
      </c>
      <c r="DF281" s="98" t="str">
        <f>IF(DH281&lt;&gt;"",VLOOKUP($P281&amp;" | "&amp;DF$6,'Job Master'!$F$12:$J$102,5,0),"")</f>
        <v/>
      </c>
      <c r="DG281" s="19" t="str">
        <f>IF(DH281&lt;&gt;"",VLOOKUP($P281&amp;" | "&amp;DF$6,'Job Master'!$F$12:$J$102,3,0),"")</f>
        <v/>
      </c>
      <c r="DH281" s="19" t="str">
        <f>IFERROR(IF(AND(DO281&lt;&gt;"",VLOOKUP($P281&amp;" | "&amp;DF$6,'Job Master'!$F$12:$I$102,4,0)&lt;&gt;""),IF(WEEKDAY(DO281-VLOOKUP($P281&amp;" | "&amp;DF$6,'Job Master'!$F$12:$I$102,4,0))&lt;&gt;7,DO281-VLOOKUP($P281&amp;" | "&amp;DF$6,'Job Master'!$F$12:$I$102,4,0),DO281-VLOOKUP($P281&amp;" | "&amp;DF$6,'Job Master'!$F$12:$I$102,4,0)-1),""),"")</f>
        <v/>
      </c>
      <c r="DI281" s="73"/>
      <c r="DJ281" s="123" t="str">
        <f t="shared" si="555"/>
        <v/>
      </c>
      <c r="DK281" s="123" t="str">
        <f t="shared" si="556"/>
        <v/>
      </c>
      <c r="DL281" s="97" t="str">
        <f t="shared" ca="1" si="557"/>
        <v/>
      </c>
      <c r="DM281" s="98" t="str">
        <f>IF(DO281&lt;&gt;"",VLOOKUP($P281&amp;" | "&amp;DM$6,'Job Master'!$F$12:$J$102,5,0),"")</f>
        <v/>
      </c>
      <c r="DN281" s="19" t="str">
        <f>IF(DO281&lt;&gt;"",VLOOKUP($P281&amp;" | "&amp;DM$6,'Job Master'!$F$12:$J$102,3,0),"")</f>
        <v/>
      </c>
      <c r="DO281" s="19" t="str">
        <f>IFERROR(IF(AND(DT281&lt;&gt;"",VLOOKUP($P281&amp;" | "&amp;DM$6,'Job Master'!$F$12:$I$102,4,0)&lt;&gt;""),IF(WEEKDAY(DT281-VLOOKUP($P281&amp;" | "&amp;DM$6,'Job Master'!$F$12:$I$102,4,0))&lt;&gt;7,DT281-VLOOKUP($P281&amp;" | "&amp;DM$6,'Job Master'!$F$12:$I$102,4,0),DT281-VLOOKUP($P281&amp;" | "&amp;DM$6,'Job Master'!$F$12:$I$102,4,0)-1),""),"")</f>
        <v/>
      </c>
      <c r="DP281" s="73"/>
      <c r="DQ281" s="123" t="str">
        <f t="shared" si="558"/>
        <v/>
      </c>
      <c r="DR281" s="123" t="str">
        <f t="shared" si="559"/>
        <v/>
      </c>
      <c r="DS281" s="97" t="str">
        <f t="shared" ca="1" si="560"/>
        <v/>
      </c>
      <c r="DT281" s="70" t="str">
        <f t="shared" si="561"/>
        <v/>
      </c>
      <c r="DU281" s="90"/>
      <c r="DV281" s="123" t="str">
        <f t="shared" si="562"/>
        <v/>
      </c>
      <c r="DW281" s="123" t="str">
        <f t="shared" si="563"/>
        <v/>
      </c>
      <c r="DX281" s="132" t="str">
        <f t="shared" ref="DX281" ca="1" si="590">IF(DT281&lt;&gt;"",IF(WEEKNUM(DT281)=WEEKNUM(TODAY()),"This Week",IF(WEEKNUM(DT281)=WEEKNUM(TODAY())+1,"Next Week",IF(WEEKNUM(DT281)=WEEKNUM(TODAY())-1,"Previous Week",""))),"")</f>
        <v/>
      </c>
      <c r="DY281" s="134" t="str">
        <f t="shared" si="565"/>
        <v/>
      </c>
      <c r="DZ281" s="95"/>
      <c r="EB281" s="8" t="str">
        <f t="shared" si="571"/>
        <v/>
      </c>
      <c r="EC281" s="8" t="str">
        <f>IF(O281&lt;&gt;"",VLOOKUP(O281,'Job Master'!$N$12:$O$18,2,0),"")</f>
        <v/>
      </c>
      <c r="ED281" s="8">
        <f t="shared" si="572"/>
        <v>19.5</v>
      </c>
      <c r="EE281" s="8">
        <f t="shared" si="573"/>
        <v>6</v>
      </c>
      <c r="EF281" s="8">
        <f t="shared" si="574"/>
        <v>-1606.5</v>
      </c>
      <c r="EG281" s="8" t="str">
        <f t="shared" si="575"/>
        <v/>
      </c>
      <c r="EH281" s="8" t="str">
        <f t="shared" si="576"/>
        <v/>
      </c>
    </row>
    <row r="282" spans="2:138" x14ac:dyDescent="0.3">
      <c r="B282" s="112"/>
      <c r="C282" s="27"/>
      <c r="D282" s="7" t="str">
        <f t="shared" si="513"/>
        <v/>
      </c>
      <c r="E282" s="25"/>
      <c r="F282" s="7" t="str">
        <f t="shared" si="513"/>
        <v/>
      </c>
      <c r="G282" s="25"/>
      <c r="H282" s="7" t="str">
        <f t="shared" si="513"/>
        <v/>
      </c>
      <c r="I282" s="25"/>
      <c r="J282" s="7" t="str">
        <f t="shared" si="513"/>
        <v/>
      </c>
      <c r="K282" s="25"/>
      <c r="L282" s="7" t="str">
        <f t="shared" si="514"/>
        <v/>
      </c>
      <c r="M282" s="25"/>
      <c r="N282" s="7" t="str">
        <f t="shared" si="515"/>
        <v/>
      </c>
      <c r="O282" s="81"/>
      <c r="P282" s="81" t="str">
        <f t="shared" si="516"/>
        <v/>
      </c>
      <c r="Q282" s="81"/>
      <c r="R282" s="7" t="str">
        <f t="shared" si="517"/>
        <v/>
      </c>
      <c r="S282" s="25"/>
      <c r="T282" s="7" t="str">
        <f t="shared" si="518"/>
        <v/>
      </c>
      <c r="U282" s="25"/>
      <c r="V282" s="7" t="str">
        <f t="shared" si="519"/>
        <v/>
      </c>
      <c r="W282" s="25"/>
      <c r="X282" s="7" t="str">
        <f t="shared" si="520"/>
        <v/>
      </c>
      <c r="Y282" s="18" t="str">
        <f t="shared" si="521"/>
        <v/>
      </c>
      <c r="Z282" s="7" t="str">
        <f t="shared" si="522"/>
        <v/>
      </c>
      <c r="AA282" s="18" t="str">
        <f t="shared" si="523"/>
        <v/>
      </c>
      <c r="AB282" s="19" t="str">
        <f t="shared" si="524"/>
        <v/>
      </c>
      <c r="AC282" s="26"/>
      <c r="AD282" s="26"/>
      <c r="AE282" s="25"/>
      <c r="AF282" s="26"/>
      <c r="AG282" s="25"/>
      <c r="AH282" s="25"/>
      <c r="AI282" s="18" t="str">
        <f t="shared" si="587"/>
        <v/>
      </c>
      <c r="AJ282" s="25"/>
      <c r="AK282" s="18" t="str">
        <f t="shared" si="588"/>
        <v/>
      </c>
      <c r="AL282" s="79"/>
      <c r="AM282" s="126" t="str">
        <f t="shared" si="589"/>
        <v/>
      </c>
      <c r="AN282" s="128" t="str">
        <f>IF(AP282&lt;&gt;"",VLOOKUP($P282&amp;" | "&amp;AN$6,'Job Master'!$F$12:$J$102,5,0),"")</f>
        <v/>
      </c>
      <c r="AO282" s="19" t="str">
        <f>IF(AP282&lt;&gt;"",VLOOKUP($P282&amp;" | "&amp;AN$6,'Job Master'!$F$12:$J$102,3,0),"")</f>
        <v/>
      </c>
      <c r="AP282" s="19" t="str">
        <f>IFERROR(IF(AND(AW282&lt;&gt;"",VLOOKUP($P282&amp;" | "&amp;AN$6,'Job Master'!$F$12:$I$102,4,0)&lt;&gt;""),IF(WEEKDAY(AW282-VLOOKUP($P282&amp;" | "&amp;AN$6,'Job Master'!$F$12:$I$102,4,0))&lt;&gt;7,AW282-VLOOKUP($P282&amp;" | "&amp;AN$6,'Job Master'!$F$12:$I$102,4,0),AW282-VLOOKUP($P282&amp;" | "&amp;AN$6,'Job Master'!$F$12:$I$102,4,0)-1),""),"")</f>
        <v/>
      </c>
      <c r="AQ282" s="73"/>
      <c r="AR282" s="123" t="str">
        <f t="shared" si="525"/>
        <v/>
      </c>
      <c r="AS282" s="123" t="str">
        <f t="shared" si="526"/>
        <v/>
      </c>
      <c r="AT282" s="97" t="str">
        <f t="shared" ca="1" si="527"/>
        <v/>
      </c>
      <c r="AU282" s="98" t="str">
        <f>IF(AW282&lt;&gt;"",VLOOKUP($P282&amp;" | "&amp;AU$6,'Job Master'!$F$12:$J$102,5,0),"")</f>
        <v/>
      </c>
      <c r="AV282" s="19" t="str">
        <f>IF(AW282&lt;&gt;"",VLOOKUP($P282&amp;" | "&amp;AU$6,'Job Master'!$F$12:$J$102,3,0),"")</f>
        <v/>
      </c>
      <c r="AW282" s="19" t="str">
        <f>IFERROR(IF(AND(BD282&lt;&gt;"",VLOOKUP($P282&amp;" | "&amp;AU$6,'Job Master'!$F$12:$I$102,4,0)&lt;&gt;""),IF(WEEKDAY(BD282-VLOOKUP($P282&amp;" | "&amp;AU$6,'Job Master'!$F$12:$I$102,4,0))&lt;&gt;7,BD282-VLOOKUP($P282&amp;" | "&amp;AU$6,'Job Master'!$F$12:$I$102,4,0),BD282-VLOOKUP($P282&amp;" | "&amp;AU$6,'Job Master'!$F$12:$I$102,4,0)-1),""),"")</f>
        <v/>
      </c>
      <c r="AX282" s="73"/>
      <c r="AY282" s="123" t="str">
        <f t="shared" si="528"/>
        <v/>
      </c>
      <c r="AZ282" s="123" t="str">
        <f t="shared" si="529"/>
        <v/>
      </c>
      <c r="BA282" s="97" t="str">
        <f t="shared" ca="1" si="530"/>
        <v/>
      </c>
      <c r="BB282" s="98" t="str">
        <f>IF(BD282&lt;&gt;"",VLOOKUP($P282&amp;" | "&amp;BB$6,'Job Master'!$F$12:$J$102,5,0),"")</f>
        <v/>
      </c>
      <c r="BC282" s="19" t="str">
        <f>IF(BD282&lt;&gt;"",VLOOKUP($P282&amp;" | "&amp;BB$6,'Job Master'!$F$12:$J$102,3,0),"")</f>
        <v/>
      </c>
      <c r="BD282" s="19" t="str">
        <f>IFERROR(IF(AND(BK282&lt;&gt;"",VLOOKUP($P282&amp;" | "&amp;BB$6,'Job Master'!$F$12:$I$102,4,0)&lt;&gt;""),IF(WEEKDAY(BK282-VLOOKUP($P282&amp;" | "&amp;BB$6,'Job Master'!$F$12:$I$102,4,0))&lt;&gt;7,BK282-VLOOKUP($P282&amp;" | "&amp;BB$6,'Job Master'!$F$12:$I$102,4,0),BK282-VLOOKUP($P282&amp;" | "&amp;BB$6,'Job Master'!$F$12:$I$102,4,0)-1),""),"")</f>
        <v/>
      </c>
      <c r="BE282" s="73"/>
      <c r="BF282" s="123" t="str">
        <f t="shared" si="531"/>
        <v/>
      </c>
      <c r="BG282" s="123" t="str">
        <f t="shared" si="532"/>
        <v/>
      </c>
      <c r="BH282" s="97" t="str">
        <f t="shared" ca="1" si="533"/>
        <v/>
      </c>
      <c r="BI282" s="98" t="str">
        <f>IF(BK282&lt;&gt;"",VLOOKUP($P282&amp;" | "&amp;BI$6,'Job Master'!$F$12:$J$102,5,0),"")</f>
        <v/>
      </c>
      <c r="BJ282" s="19" t="str">
        <f>IF(BK282&lt;&gt;"",VLOOKUP($P282&amp;" | "&amp;BI$6,'Job Master'!$F$12:$J$102,3,0),"")</f>
        <v/>
      </c>
      <c r="BK282" s="19" t="str">
        <f>IFERROR(IF(AND(BR282&lt;&gt;"",VLOOKUP($P282&amp;" | "&amp;BI$6,'Job Master'!$F$12:$I$102,4,0)&lt;&gt;""),IF(WEEKDAY(BR282-VLOOKUP($P282&amp;" | "&amp;BI$6,'Job Master'!$F$12:$I$102,4,0))&lt;&gt;7,BR282-VLOOKUP($P282&amp;" | "&amp;BI$6,'Job Master'!$F$12:$I$102,4,0),BR282-VLOOKUP($P282&amp;" | "&amp;BI$6,'Job Master'!$F$12:$I$102,4,0)-1),""),"")</f>
        <v/>
      </c>
      <c r="BL282" s="73"/>
      <c r="BM282" s="123" t="str">
        <f t="shared" si="534"/>
        <v/>
      </c>
      <c r="BN282" s="123" t="str">
        <f t="shared" si="535"/>
        <v/>
      </c>
      <c r="BO282" s="97" t="str">
        <f t="shared" ca="1" si="536"/>
        <v/>
      </c>
      <c r="BP282" s="98" t="str">
        <f>IF(BR282&lt;&gt;"",VLOOKUP($P282&amp;" | "&amp;BP$6,'Job Master'!$F$12:$J$102,5,0),"")</f>
        <v/>
      </c>
      <c r="BQ282" s="19" t="str">
        <f>IF(BR282&lt;&gt;"",VLOOKUP($P282&amp;" | "&amp;BP$6,'Job Master'!$F$12:$J$102,3,0),"")</f>
        <v/>
      </c>
      <c r="BR282" s="19" t="str">
        <f>IFERROR(IF(AND(BY282&lt;&gt;"",VLOOKUP($P282&amp;" | "&amp;BP$6,'Job Master'!$F$12:$I$102,4,0)&lt;&gt;""),IF(WEEKDAY(BY282-VLOOKUP($P282&amp;" | "&amp;BP$6,'Job Master'!$F$12:$I$102,4,0))&lt;&gt;7,BY282-VLOOKUP($P282&amp;" | "&amp;BP$6,'Job Master'!$F$12:$I$102,4,0),BY282-VLOOKUP($P282&amp;" | "&amp;BP$6,'Job Master'!$F$12:$I$102,4,0)-1),""),"")</f>
        <v/>
      </c>
      <c r="BS282" s="73"/>
      <c r="BT282" s="123" t="str">
        <f t="shared" si="537"/>
        <v/>
      </c>
      <c r="BU282" s="123" t="str">
        <f t="shared" si="538"/>
        <v/>
      </c>
      <c r="BV282" s="97" t="str">
        <f t="shared" ca="1" si="539"/>
        <v/>
      </c>
      <c r="BW282" s="98" t="str">
        <f>IF(BY282&lt;&gt;"",VLOOKUP($P282&amp;" | "&amp;BW$6,'Job Master'!$F$12:$J$102,5,0),"")</f>
        <v/>
      </c>
      <c r="BX282" s="19" t="str">
        <f>IF(BY282&lt;&gt;"",VLOOKUP($P282&amp;" | "&amp;BW$6,'Job Master'!$F$12:$J$102,3,0),"")</f>
        <v/>
      </c>
      <c r="BY282" s="19" t="str">
        <f>IFERROR(IF(AND(CF282&lt;&gt;"",VLOOKUP($P282&amp;" | "&amp;BW$6,'Job Master'!$F$12:$I$102,4,0)&lt;&gt;""),IF(WEEKDAY(CF282-VLOOKUP($P282&amp;" | "&amp;BW$6,'Job Master'!$F$12:$I$102,4,0))&lt;&gt;7,CF282-VLOOKUP($P282&amp;" | "&amp;BW$6,'Job Master'!$F$12:$I$102,4,0),CF282-VLOOKUP($P282&amp;" | "&amp;BW$6,'Job Master'!$F$12:$I$102,4,0)-1),""),"")</f>
        <v/>
      </c>
      <c r="BZ282" s="73"/>
      <c r="CA282" s="123" t="str">
        <f t="shared" si="540"/>
        <v/>
      </c>
      <c r="CB282" s="123" t="str">
        <f t="shared" si="541"/>
        <v/>
      </c>
      <c r="CC282" s="97" t="str">
        <f t="shared" ca="1" si="542"/>
        <v/>
      </c>
      <c r="CD282" s="98" t="str">
        <f>IF(CF282&lt;&gt;"",VLOOKUP($P282&amp;" | "&amp;CD$6,'Job Master'!$F$12:$J$102,5,0),"")</f>
        <v/>
      </c>
      <c r="CE282" s="19" t="str">
        <f>IF(CF282&lt;&gt;"",VLOOKUP($P282&amp;" | "&amp;CD$6,'Job Master'!$F$12:$J$102,3,0),"")</f>
        <v/>
      </c>
      <c r="CF282" s="19" t="str">
        <f>IFERROR(IF(AND(CM282&lt;&gt;"",VLOOKUP($P282&amp;" | "&amp;CD$6,'Job Master'!$F$12:$I$102,4,0)&lt;&gt;""),IF(WEEKDAY(CM282-VLOOKUP($P282&amp;" | "&amp;CD$6,'Job Master'!$F$12:$I$102,4,0))&lt;&gt;7,CM282-VLOOKUP($P282&amp;" | "&amp;CD$6,'Job Master'!$F$12:$I$102,4,0),CM282-VLOOKUP($P282&amp;" | "&amp;CD$6,'Job Master'!$F$12:$I$102,4,0)-1),""),"")</f>
        <v/>
      </c>
      <c r="CG282" s="73"/>
      <c r="CH282" s="123" t="str">
        <f t="shared" si="543"/>
        <v/>
      </c>
      <c r="CI282" s="123" t="str">
        <f t="shared" si="544"/>
        <v/>
      </c>
      <c r="CJ282" s="97" t="str">
        <f t="shared" ca="1" si="545"/>
        <v/>
      </c>
      <c r="CK282" s="98" t="str">
        <f>IF(CM282&lt;&gt;"",VLOOKUP($P282&amp;" | "&amp;CK$6,'Job Master'!$F$12:$J$102,5,0),"")</f>
        <v/>
      </c>
      <c r="CL282" s="19" t="str">
        <f>IF(CM282&lt;&gt;"",VLOOKUP($P282&amp;" | "&amp;CK$6,'Job Master'!$F$12:$J$102,3,0),"")</f>
        <v/>
      </c>
      <c r="CM282" s="19" t="str">
        <f>IFERROR(IF(AND(CT282&lt;&gt;"",VLOOKUP($P282&amp;" | "&amp;CK$6,'Job Master'!$F$12:$I$102,4,0)&lt;&gt;""),IF(WEEKDAY(CT282-VLOOKUP($P282&amp;" | "&amp;CK$6,'Job Master'!$F$12:$I$102,4,0))&lt;&gt;7,CT282-VLOOKUP($P282&amp;" | "&amp;CK$6,'Job Master'!$F$12:$I$102,4,0),CT282-VLOOKUP($P282&amp;" | "&amp;CK$6,'Job Master'!$F$12:$I$102,4,0)-1),""),"")</f>
        <v/>
      </c>
      <c r="CN282" s="73"/>
      <c r="CO282" s="123" t="str">
        <f t="shared" si="546"/>
        <v/>
      </c>
      <c r="CP282" s="123" t="str">
        <f t="shared" si="547"/>
        <v/>
      </c>
      <c r="CQ282" s="97" t="str">
        <f t="shared" ca="1" si="548"/>
        <v/>
      </c>
      <c r="CR282" s="98" t="str">
        <f>IF(CT282&lt;&gt;"",VLOOKUP($P282&amp;" | "&amp;CR$6,'Job Master'!$F$12:$J$102,5,0),"")</f>
        <v/>
      </c>
      <c r="CS282" s="19" t="str">
        <f>IF(CT282&lt;&gt;"",VLOOKUP($P282&amp;" | "&amp;CR$6,'Job Master'!$F$12:$J$102,3,0),"")</f>
        <v/>
      </c>
      <c r="CT282" s="19" t="str">
        <f>IFERROR(IF(AND(DA282&lt;&gt;"",VLOOKUP($P282&amp;" | "&amp;CR$6,'Job Master'!$F$12:$I$102,4,0)&lt;&gt;""),IF(WEEKDAY(DA282-VLOOKUP($P282&amp;" | "&amp;CR$6,'Job Master'!$F$12:$I$102,4,0))&lt;&gt;7,DA282-VLOOKUP($P282&amp;" | "&amp;CR$6,'Job Master'!$F$12:$I$102,4,0),DA282-VLOOKUP($P282&amp;" | "&amp;CR$6,'Job Master'!$F$12:$I$102,4,0)-1),""),"")</f>
        <v/>
      </c>
      <c r="CU282" s="73"/>
      <c r="CV282" s="123" t="str">
        <f t="shared" si="549"/>
        <v/>
      </c>
      <c r="CW282" s="123" t="str">
        <f t="shared" si="550"/>
        <v/>
      </c>
      <c r="CX282" s="97" t="str">
        <f t="shared" ca="1" si="551"/>
        <v/>
      </c>
      <c r="CY282" s="98" t="str">
        <f>IF(DA282&lt;&gt;"",VLOOKUP($P282&amp;" | "&amp;CY$6,'Job Master'!$F$12:$J$102,5,0),"")</f>
        <v/>
      </c>
      <c r="CZ282" s="19" t="str">
        <f>IF(DA282&lt;&gt;"",VLOOKUP($P282&amp;" | "&amp;CY$6,'Job Master'!$F$12:$J$102,3,0),"")</f>
        <v/>
      </c>
      <c r="DA282" s="19" t="str">
        <f>IFERROR(IF(AND(DH282&lt;&gt;"",VLOOKUP($P282&amp;" | "&amp;CY$6,'Job Master'!$F$12:$I$102,4,0)&lt;&gt;""),IF(WEEKDAY(DH282-VLOOKUP($P282&amp;" | "&amp;CY$6,'Job Master'!$F$12:$I$102,4,0))&lt;&gt;7,DH282-VLOOKUP($P282&amp;" | "&amp;CY$6,'Job Master'!$F$12:$I$102,4,0),DH282-VLOOKUP($P282&amp;" | "&amp;CY$6,'Job Master'!$F$12:$I$102,4,0)-1),""),"")</f>
        <v/>
      </c>
      <c r="DB282" s="73"/>
      <c r="DC282" s="123" t="str">
        <f t="shared" si="552"/>
        <v/>
      </c>
      <c r="DD282" s="123" t="str">
        <f t="shared" si="553"/>
        <v/>
      </c>
      <c r="DE282" s="97" t="str">
        <f t="shared" ca="1" si="554"/>
        <v/>
      </c>
      <c r="DF282" s="98" t="str">
        <f>IF(DH282&lt;&gt;"",VLOOKUP($P282&amp;" | "&amp;DF$6,'Job Master'!$F$12:$J$102,5,0),"")</f>
        <v/>
      </c>
      <c r="DG282" s="19" t="str">
        <f>IF(DH282&lt;&gt;"",VLOOKUP($P282&amp;" | "&amp;DF$6,'Job Master'!$F$12:$J$102,3,0),"")</f>
        <v/>
      </c>
      <c r="DH282" s="19" t="str">
        <f>IFERROR(IF(AND(DO282&lt;&gt;"",VLOOKUP($P282&amp;" | "&amp;DF$6,'Job Master'!$F$12:$I$102,4,0)&lt;&gt;""),IF(WEEKDAY(DO282-VLOOKUP($P282&amp;" | "&amp;DF$6,'Job Master'!$F$12:$I$102,4,0))&lt;&gt;7,DO282-VLOOKUP($P282&amp;" | "&amp;DF$6,'Job Master'!$F$12:$I$102,4,0),DO282-VLOOKUP($P282&amp;" | "&amp;DF$6,'Job Master'!$F$12:$I$102,4,0)-1),""),"")</f>
        <v/>
      </c>
      <c r="DI282" s="73"/>
      <c r="DJ282" s="123" t="str">
        <f t="shared" si="555"/>
        <v/>
      </c>
      <c r="DK282" s="123" t="str">
        <f t="shared" si="556"/>
        <v/>
      </c>
      <c r="DL282" s="97" t="str">
        <f t="shared" ca="1" si="557"/>
        <v/>
      </c>
      <c r="DM282" s="98" t="str">
        <f>IF(DO282&lt;&gt;"",VLOOKUP($P282&amp;" | "&amp;DM$6,'Job Master'!$F$12:$J$102,5,0),"")</f>
        <v/>
      </c>
      <c r="DN282" s="19" t="str">
        <f>IF(DO282&lt;&gt;"",VLOOKUP($P282&amp;" | "&amp;DM$6,'Job Master'!$F$12:$J$102,3,0),"")</f>
        <v/>
      </c>
      <c r="DO282" s="19" t="str">
        <f>IFERROR(IF(AND(DT282&lt;&gt;"",VLOOKUP($P282&amp;" | "&amp;DM$6,'Job Master'!$F$12:$I$102,4,0)&lt;&gt;""),IF(WEEKDAY(DT282-VLOOKUP($P282&amp;" | "&amp;DM$6,'Job Master'!$F$12:$I$102,4,0))&lt;&gt;7,DT282-VLOOKUP($P282&amp;" | "&amp;DM$6,'Job Master'!$F$12:$I$102,4,0),DT282-VLOOKUP($P282&amp;" | "&amp;DM$6,'Job Master'!$F$12:$I$102,4,0)-1),""),"")</f>
        <v/>
      </c>
      <c r="DP282" s="73"/>
      <c r="DQ282" s="123" t="str">
        <f t="shared" si="558"/>
        <v/>
      </c>
      <c r="DR282" s="123" t="str">
        <f t="shared" si="559"/>
        <v/>
      </c>
      <c r="DS282" s="97" t="str">
        <f t="shared" ca="1" si="560"/>
        <v/>
      </c>
      <c r="DT282" s="70" t="str">
        <f t="shared" si="561"/>
        <v/>
      </c>
      <c r="DU282" s="90"/>
      <c r="DV282" s="123" t="str">
        <f t="shared" si="562"/>
        <v/>
      </c>
      <c r="DW282" s="123" t="str">
        <f t="shared" si="563"/>
        <v/>
      </c>
      <c r="DX282" s="132" t="str">
        <f t="shared" ref="DX282" ca="1" si="591">IF(DT282&lt;&gt;"",IF(WEEKNUM(DT282)=WEEKNUM(TODAY()),"This Week",IF(WEEKNUM(DT282)=WEEKNUM(TODAY())+1,"Next Week",IF(WEEKNUM(DT282)=WEEKNUM(TODAY())-1,"Previous Week",""))),"")</f>
        <v/>
      </c>
      <c r="DY282" s="134" t="str">
        <f t="shared" si="565"/>
        <v/>
      </c>
      <c r="DZ282" s="95"/>
      <c r="EB282" s="8" t="str">
        <f t="shared" si="571"/>
        <v/>
      </c>
      <c r="EC282" s="8" t="str">
        <f>IF(O282&lt;&gt;"",VLOOKUP(O282,'Job Master'!$N$12:$O$18,2,0),"")</f>
        <v/>
      </c>
      <c r="ED282" s="8">
        <f t="shared" si="572"/>
        <v>19.5</v>
      </c>
      <c r="EE282" s="8">
        <f t="shared" si="573"/>
        <v>6</v>
      </c>
      <c r="EF282" s="8">
        <f t="shared" si="574"/>
        <v>-1612.5</v>
      </c>
      <c r="EG282" s="8" t="str">
        <f t="shared" si="575"/>
        <v/>
      </c>
      <c r="EH282" s="8" t="str">
        <f t="shared" si="576"/>
        <v/>
      </c>
    </row>
    <row r="283" spans="2:138" x14ac:dyDescent="0.3">
      <c r="B283" s="112"/>
      <c r="C283" s="27"/>
      <c r="D283" s="7" t="str">
        <f t="shared" si="513"/>
        <v/>
      </c>
      <c r="E283" s="25"/>
      <c r="F283" s="7" t="str">
        <f t="shared" si="513"/>
        <v/>
      </c>
      <c r="G283" s="25"/>
      <c r="H283" s="7" t="str">
        <f t="shared" si="513"/>
        <v/>
      </c>
      <c r="I283" s="25"/>
      <c r="J283" s="7" t="str">
        <f t="shared" si="513"/>
        <v/>
      </c>
      <c r="K283" s="25"/>
      <c r="L283" s="7" t="str">
        <f t="shared" si="514"/>
        <v/>
      </c>
      <c r="M283" s="25"/>
      <c r="N283" s="7" t="str">
        <f t="shared" si="515"/>
        <v/>
      </c>
      <c r="O283" s="81"/>
      <c r="P283" s="81" t="str">
        <f t="shared" si="516"/>
        <v/>
      </c>
      <c r="Q283" s="81"/>
      <c r="R283" s="7" t="str">
        <f t="shared" si="517"/>
        <v/>
      </c>
      <c r="S283" s="25"/>
      <c r="T283" s="7" t="str">
        <f t="shared" si="518"/>
        <v/>
      </c>
      <c r="U283" s="25"/>
      <c r="V283" s="7" t="str">
        <f t="shared" si="519"/>
        <v/>
      </c>
      <c r="W283" s="25"/>
      <c r="X283" s="7" t="str">
        <f t="shared" si="520"/>
        <v/>
      </c>
      <c r="Y283" s="18" t="str">
        <f t="shared" si="521"/>
        <v/>
      </c>
      <c r="Z283" s="7" t="str">
        <f t="shared" si="522"/>
        <v/>
      </c>
      <c r="AA283" s="18" t="str">
        <f t="shared" si="523"/>
        <v/>
      </c>
      <c r="AB283" s="19" t="str">
        <f t="shared" si="524"/>
        <v/>
      </c>
      <c r="AC283" s="26"/>
      <c r="AD283" s="26"/>
      <c r="AE283" s="25"/>
      <c r="AF283" s="26"/>
      <c r="AG283" s="25"/>
      <c r="AH283" s="25"/>
      <c r="AI283" s="18" t="str">
        <f t="shared" si="587"/>
        <v/>
      </c>
      <c r="AJ283" s="25"/>
      <c r="AK283" s="18" t="str">
        <f t="shared" si="588"/>
        <v/>
      </c>
      <c r="AL283" s="79"/>
      <c r="AM283" s="126" t="str">
        <f t="shared" si="589"/>
        <v/>
      </c>
      <c r="AN283" s="128" t="str">
        <f>IF(AP283&lt;&gt;"",VLOOKUP($P283&amp;" | "&amp;AN$6,'Job Master'!$F$12:$J$102,5,0),"")</f>
        <v/>
      </c>
      <c r="AO283" s="19" t="str">
        <f>IF(AP283&lt;&gt;"",VLOOKUP($P283&amp;" | "&amp;AN$6,'Job Master'!$F$12:$J$102,3,0),"")</f>
        <v/>
      </c>
      <c r="AP283" s="19" t="str">
        <f>IFERROR(IF(AND(AW283&lt;&gt;"",VLOOKUP($P283&amp;" | "&amp;AN$6,'Job Master'!$F$12:$I$102,4,0)&lt;&gt;""),IF(WEEKDAY(AW283-VLOOKUP($P283&amp;" | "&amp;AN$6,'Job Master'!$F$12:$I$102,4,0))&lt;&gt;7,AW283-VLOOKUP($P283&amp;" | "&amp;AN$6,'Job Master'!$F$12:$I$102,4,0),AW283-VLOOKUP($P283&amp;" | "&amp;AN$6,'Job Master'!$F$12:$I$102,4,0)-1),""),"")</f>
        <v/>
      </c>
      <c r="AQ283" s="73"/>
      <c r="AR283" s="123" t="str">
        <f t="shared" si="525"/>
        <v/>
      </c>
      <c r="AS283" s="123" t="str">
        <f t="shared" si="526"/>
        <v/>
      </c>
      <c r="AT283" s="97" t="str">
        <f t="shared" ca="1" si="527"/>
        <v/>
      </c>
      <c r="AU283" s="98" t="str">
        <f>IF(AW283&lt;&gt;"",VLOOKUP($P283&amp;" | "&amp;AU$6,'Job Master'!$F$12:$J$102,5,0),"")</f>
        <v/>
      </c>
      <c r="AV283" s="19" t="str">
        <f>IF(AW283&lt;&gt;"",VLOOKUP($P283&amp;" | "&amp;AU$6,'Job Master'!$F$12:$J$102,3,0),"")</f>
        <v/>
      </c>
      <c r="AW283" s="19" t="str">
        <f>IFERROR(IF(AND(BD283&lt;&gt;"",VLOOKUP($P283&amp;" | "&amp;AU$6,'Job Master'!$F$12:$I$102,4,0)&lt;&gt;""),IF(WEEKDAY(BD283-VLOOKUP($P283&amp;" | "&amp;AU$6,'Job Master'!$F$12:$I$102,4,0))&lt;&gt;7,BD283-VLOOKUP($P283&amp;" | "&amp;AU$6,'Job Master'!$F$12:$I$102,4,0),BD283-VLOOKUP($P283&amp;" | "&amp;AU$6,'Job Master'!$F$12:$I$102,4,0)-1),""),"")</f>
        <v/>
      </c>
      <c r="AX283" s="73"/>
      <c r="AY283" s="123" t="str">
        <f t="shared" si="528"/>
        <v/>
      </c>
      <c r="AZ283" s="123" t="str">
        <f t="shared" si="529"/>
        <v/>
      </c>
      <c r="BA283" s="97" t="str">
        <f t="shared" ca="1" si="530"/>
        <v/>
      </c>
      <c r="BB283" s="98" t="str">
        <f>IF(BD283&lt;&gt;"",VLOOKUP($P283&amp;" | "&amp;BB$6,'Job Master'!$F$12:$J$102,5,0),"")</f>
        <v/>
      </c>
      <c r="BC283" s="19" t="str">
        <f>IF(BD283&lt;&gt;"",VLOOKUP($P283&amp;" | "&amp;BB$6,'Job Master'!$F$12:$J$102,3,0),"")</f>
        <v/>
      </c>
      <c r="BD283" s="19" t="str">
        <f>IFERROR(IF(AND(BK283&lt;&gt;"",VLOOKUP($P283&amp;" | "&amp;BB$6,'Job Master'!$F$12:$I$102,4,0)&lt;&gt;""),IF(WEEKDAY(BK283-VLOOKUP($P283&amp;" | "&amp;BB$6,'Job Master'!$F$12:$I$102,4,0))&lt;&gt;7,BK283-VLOOKUP($P283&amp;" | "&amp;BB$6,'Job Master'!$F$12:$I$102,4,0),BK283-VLOOKUP($P283&amp;" | "&amp;BB$6,'Job Master'!$F$12:$I$102,4,0)-1),""),"")</f>
        <v/>
      </c>
      <c r="BE283" s="73"/>
      <c r="BF283" s="123" t="str">
        <f t="shared" si="531"/>
        <v/>
      </c>
      <c r="BG283" s="123" t="str">
        <f t="shared" si="532"/>
        <v/>
      </c>
      <c r="BH283" s="97" t="str">
        <f t="shared" ca="1" si="533"/>
        <v/>
      </c>
      <c r="BI283" s="98" t="str">
        <f>IF(BK283&lt;&gt;"",VLOOKUP($P283&amp;" | "&amp;BI$6,'Job Master'!$F$12:$J$102,5,0),"")</f>
        <v/>
      </c>
      <c r="BJ283" s="19" t="str">
        <f>IF(BK283&lt;&gt;"",VLOOKUP($P283&amp;" | "&amp;BI$6,'Job Master'!$F$12:$J$102,3,0),"")</f>
        <v/>
      </c>
      <c r="BK283" s="19" t="str">
        <f>IFERROR(IF(AND(BR283&lt;&gt;"",VLOOKUP($P283&amp;" | "&amp;BI$6,'Job Master'!$F$12:$I$102,4,0)&lt;&gt;""),IF(WEEKDAY(BR283-VLOOKUP($P283&amp;" | "&amp;BI$6,'Job Master'!$F$12:$I$102,4,0))&lt;&gt;7,BR283-VLOOKUP($P283&amp;" | "&amp;BI$6,'Job Master'!$F$12:$I$102,4,0),BR283-VLOOKUP($P283&amp;" | "&amp;BI$6,'Job Master'!$F$12:$I$102,4,0)-1),""),"")</f>
        <v/>
      </c>
      <c r="BL283" s="73"/>
      <c r="BM283" s="123" t="str">
        <f t="shared" si="534"/>
        <v/>
      </c>
      <c r="BN283" s="123" t="str">
        <f t="shared" si="535"/>
        <v/>
      </c>
      <c r="BO283" s="97" t="str">
        <f t="shared" ca="1" si="536"/>
        <v/>
      </c>
      <c r="BP283" s="98" t="str">
        <f>IF(BR283&lt;&gt;"",VLOOKUP($P283&amp;" | "&amp;BP$6,'Job Master'!$F$12:$J$102,5,0),"")</f>
        <v/>
      </c>
      <c r="BQ283" s="19" t="str">
        <f>IF(BR283&lt;&gt;"",VLOOKUP($P283&amp;" | "&amp;BP$6,'Job Master'!$F$12:$J$102,3,0),"")</f>
        <v/>
      </c>
      <c r="BR283" s="19" t="str">
        <f>IFERROR(IF(AND(BY283&lt;&gt;"",VLOOKUP($P283&amp;" | "&amp;BP$6,'Job Master'!$F$12:$I$102,4,0)&lt;&gt;""),IF(WEEKDAY(BY283-VLOOKUP($P283&amp;" | "&amp;BP$6,'Job Master'!$F$12:$I$102,4,0))&lt;&gt;7,BY283-VLOOKUP($P283&amp;" | "&amp;BP$6,'Job Master'!$F$12:$I$102,4,0),BY283-VLOOKUP($P283&amp;" | "&amp;BP$6,'Job Master'!$F$12:$I$102,4,0)-1),""),"")</f>
        <v/>
      </c>
      <c r="BS283" s="73"/>
      <c r="BT283" s="123" t="str">
        <f t="shared" si="537"/>
        <v/>
      </c>
      <c r="BU283" s="123" t="str">
        <f t="shared" si="538"/>
        <v/>
      </c>
      <c r="BV283" s="97" t="str">
        <f t="shared" ca="1" si="539"/>
        <v/>
      </c>
      <c r="BW283" s="98" t="str">
        <f>IF(BY283&lt;&gt;"",VLOOKUP($P283&amp;" | "&amp;BW$6,'Job Master'!$F$12:$J$102,5,0),"")</f>
        <v/>
      </c>
      <c r="BX283" s="19" t="str">
        <f>IF(BY283&lt;&gt;"",VLOOKUP($P283&amp;" | "&amp;BW$6,'Job Master'!$F$12:$J$102,3,0),"")</f>
        <v/>
      </c>
      <c r="BY283" s="19" t="str">
        <f>IFERROR(IF(AND(CF283&lt;&gt;"",VLOOKUP($P283&amp;" | "&amp;BW$6,'Job Master'!$F$12:$I$102,4,0)&lt;&gt;""),IF(WEEKDAY(CF283-VLOOKUP($P283&amp;" | "&amp;BW$6,'Job Master'!$F$12:$I$102,4,0))&lt;&gt;7,CF283-VLOOKUP($P283&amp;" | "&amp;BW$6,'Job Master'!$F$12:$I$102,4,0),CF283-VLOOKUP($P283&amp;" | "&amp;BW$6,'Job Master'!$F$12:$I$102,4,0)-1),""),"")</f>
        <v/>
      </c>
      <c r="BZ283" s="73"/>
      <c r="CA283" s="123" t="str">
        <f t="shared" si="540"/>
        <v/>
      </c>
      <c r="CB283" s="123" t="str">
        <f t="shared" si="541"/>
        <v/>
      </c>
      <c r="CC283" s="97" t="str">
        <f t="shared" ca="1" si="542"/>
        <v/>
      </c>
      <c r="CD283" s="98" t="str">
        <f>IF(CF283&lt;&gt;"",VLOOKUP($P283&amp;" | "&amp;CD$6,'Job Master'!$F$12:$J$102,5,0),"")</f>
        <v/>
      </c>
      <c r="CE283" s="19" t="str">
        <f>IF(CF283&lt;&gt;"",VLOOKUP($P283&amp;" | "&amp;CD$6,'Job Master'!$F$12:$J$102,3,0),"")</f>
        <v/>
      </c>
      <c r="CF283" s="19" t="str">
        <f>IFERROR(IF(AND(CM283&lt;&gt;"",VLOOKUP($P283&amp;" | "&amp;CD$6,'Job Master'!$F$12:$I$102,4,0)&lt;&gt;""),IF(WEEKDAY(CM283-VLOOKUP($P283&amp;" | "&amp;CD$6,'Job Master'!$F$12:$I$102,4,0))&lt;&gt;7,CM283-VLOOKUP($P283&amp;" | "&amp;CD$6,'Job Master'!$F$12:$I$102,4,0),CM283-VLOOKUP($P283&amp;" | "&amp;CD$6,'Job Master'!$F$12:$I$102,4,0)-1),""),"")</f>
        <v/>
      </c>
      <c r="CG283" s="73"/>
      <c r="CH283" s="123" t="str">
        <f t="shared" si="543"/>
        <v/>
      </c>
      <c r="CI283" s="123" t="str">
        <f t="shared" si="544"/>
        <v/>
      </c>
      <c r="CJ283" s="97" t="str">
        <f t="shared" ca="1" si="545"/>
        <v/>
      </c>
      <c r="CK283" s="98" t="str">
        <f>IF(CM283&lt;&gt;"",VLOOKUP($P283&amp;" | "&amp;CK$6,'Job Master'!$F$12:$J$102,5,0),"")</f>
        <v/>
      </c>
      <c r="CL283" s="19" t="str">
        <f>IF(CM283&lt;&gt;"",VLOOKUP($P283&amp;" | "&amp;CK$6,'Job Master'!$F$12:$J$102,3,0),"")</f>
        <v/>
      </c>
      <c r="CM283" s="19" t="str">
        <f>IFERROR(IF(AND(CT283&lt;&gt;"",VLOOKUP($P283&amp;" | "&amp;CK$6,'Job Master'!$F$12:$I$102,4,0)&lt;&gt;""),IF(WEEKDAY(CT283-VLOOKUP($P283&amp;" | "&amp;CK$6,'Job Master'!$F$12:$I$102,4,0))&lt;&gt;7,CT283-VLOOKUP($P283&amp;" | "&amp;CK$6,'Job Master'!$F$12:$I$102,4,0),CT283-VLOOKUP($P283&amp;" | "&amp;CK$6,'Job Master'!$F$12:$I$102,4,0)-1),""),"")</f>
        <v/>
      </c>
      <c r="CN283" s="73"/>
      <c r="CO283" s="123" t="str">
        <f t="shared" si="546"/>
        <v/>
      </c>
      <c r="CP283" s="123" t="str">
        <f t="shared" si="547"/>
        <v/>
      </c>
      <c r="CQ283" s="97" t="str">
        <f t="shared" ca="1" si="548"/>
        <v/>
      </c>
      <c r="CR283" s="98" t="str">
        <f>IF(CT283&lt;&gt;"",VLOOKUP($P283&amp;" | "&amp;CR$6,'Job Master'!$F$12:$J$102,5,0),"")</f>
        <v/>
      </c>
      <c r="CS283" s="19" t="str">
        <f>IF(CT283&lt;&gt;"",VLOOKUP($P283&amp;" | "&amp;CR$6,'Job Master'!$F$12:$J$102,3,0),"")</f>
        <v/>
      </c>
      <c r="CT283" s="19" t="str">
        <f>IFERROR(IF(AND(DA283&lt;&gt;"",VLOOKUP($P283&amp;" | "&amp;CR$6,'Job Master'!$F$12:$I$102,4,0)&lt;&gt;""),IF(WEEKDAY(DA283-VLOOKUP($P283&amp;" | "&amp;CR$6,'Job Master'!$F$12:$I$102,4,0))&lt;&gt;7,DA283-VLOOKUP($P283&amp;" | "&amp;CR$6,'Job Master'!$F$12:$I$102,4,0),DA283-VLOOKUP($P283&amp;" | "&amp;CR$6,'Job Master'!$F$12:$I$102,4,0)-1),""),"")</f>
        <v/>
      </c>
      <c r="CU283" s="73"/>
      <c r="CV283" s="123" t="str">
        <f t="shared" si="549"/>
        <v/>
      </c>
      <c r="CW283" s="123" t="str">
        <f t="shared" si="550"/>
        <v/>
      </c>
      <c r="CX283" s="97" t="str">
        <f t="shared" ca="1" si="551"/>
        <v/>
      </c>
      <c r="CY283" s="98" t="str">
        <f>IF(DA283&lt;&gt;"",VLOOKUP($P283&amp;" | "&amp;CY$6,'Job Master'!$F$12:$J$102,5,0),"")</f>
        <v/>
      </c>
      <c r="CZ283" s="19" t="str">
        <f>IF(DA283&lt;&gt;"",VLOOKUP($P283&amp;" | "&amp;CY$6,'Job Master'!$F$12:$J$102,3,0),"")</f>
        <v/>
      </c>
      <c r="DA283" s="19" t="str">
        <f>IFERROR(IF(AND(DH283&lt;&gt;"",VLOOKUP($P283&amp;" | "&amp;CY$6,'Job Master'!$F$12:$I$102,4,0)&lt;&gt;""),IF(WEEKDAY(DH283-VLOOKUP($P283&amp;" | "&amp;CY$6,'Job Master'!$F$12:$I$102,4,0))&lt;&gt;7,DH283-VLOOKUP($P283&amp;" | "&amp;CY$6,'Job Master'!$F$12:$I$102,4,0),DH283-VLOOKUP($P283&amp;" | "&amp;CY$6,'Job Master'!$F$12:$I$102,4,0)-1),""),"")</f>
        <v/>
      </c>
      <c r="DB283" s="73"/>
      <c r="DC283" s="123" t="str">
        <f t="shared" si="552"/>
        <v/>
      </c>
      <c r="DD283" s="123" t="str">
        <f t="shared" si="553"/>
        <v/>
      </c>
      <c r="DE283" s="97" t="str">
        <f t="shared" ca="1" si="554"/>
        <v/>
      </c>
      <c r="DF283" s="98" t="str">
        <f>IF(DH283&lt;&gt;"",VLOOKUP($P283&amp;" | "&amp;DF$6,'Job Master'!$F$12:$J$102,5,0),"")</f>
        <v/>
      </c>
      <c r="DG283" s="19" t="str">
        <f>IF(DH283&lt;&gt;"",VLOOKUP($P283&amp;" | "&amp;DF$6,'Job Master'!$F$12:$J$102,3,0),"")</f>
        <v/>
      </c>
      <c r="DH283" s="19" t="str">
        <f>IFERROR(IF(AND(DO283&lt;&gt;"",VLOOKUP($P283&amp;" | "&amp;DF$6,'Job Master'!$F$12:$I$102,4,0)&lt;&gt;""),IF(WEEKDAY(DO283-VLOOKUP($P283&amp;" | "&amp;DF$6,'Job Master'!$F$12:$I$102,4,0))&lt;&gt;7,DO283-VLOOKUP($P283&amp;" | "&amp;DF$6,'Job Master'!$F$12:$I$102,4,0),DO283-VLOOKUP($P283&amp;" | "&amp;DF$6,'Job Master'!$F$12:$I$102,4,0)-1),""),"")</f>
        <v/>
      </c>
      <c r="DI283" s="73"/>
      <c r="DJ283" s="123" t="str">
        <f t="shared" si="555"/>
        <v/>
      </c>
      <c r="DK283" s="123" t="str">
        <f t="shared" si="556"/>
        <v/>
      </c>
      <c r="DL283" s="97" t="str">
        <f t="shared" ca="1" si="557"/>
        <v/>
      </c>
      <c r="DM283" s="98" t="str">
        <f>IF(DO283&lt;&gt;"",VLOOKUP($P283&amp;" | "&amp;DM$6,'Job Master'!$F$12:$J$102,5,0),"")</f>
        <v/>
      </c>
      <c r="DN283" s="19" t="str">
        <f>IF(DO283&lt;&gt;"",VLOOKUP($P283&amp;" | "&amp;DM$6,'Job Master'!$F$12:$J$102,3,0),"")</f>
        <v/>
      </c>
      <c r="DO283" s="19" t="str">
        <f>IFERROR(IF(AND(DT283&lt;&gt;"",VLOOKUP($P283&amp;" | "&amp;DM$6,'Job Master'!$F$12:$I$102,4,0)&lt;&gt;""),IF(WEEKDAY(DT283-VLOOKUP($P283&amp;" | "&amp;DM$6,'Job Master'!$F$12:$I$102,4,0))&lt;&gt;7,DT283-VLOOKUP($P283&amp;" | "&amp;DM$6,'Job Master'!$F$12:$I$102,4,0),DT283-VLOOKUP($P283&amp;" | "&amp;DM$6,'Job Master'!$F$12:$I$102,4,0)-1),""),"")</f>
        <v/>
      </c>
      <c r="DP283" s="73"/>
      <c r="DQ283" s="123" t="str">
        <f t="shared" si="558"/>
        <v/>
      </c>
      <c r="DR283" s="123" t="str">
        <f t="shared" si="559"/>
        <v/>
      </c>
      <c r="DS283" s="97" t="str">
        <f t="shared" ca="1" si="560"/>
        <v/>
      </c>
      <c r="DT283" s="70" t="str">
        <f t="shared" si="561"/>
        <v/>
      </c>
      <c r="DU283" s="90"/>
      <c r="DV283" s="123" t="str">
        <f t="shared" si="562"/>
        <v/>
      </c>
      <c r="DW283" s="123" t="str">
        <f t="shared" si="563"/>
        <v/>
      </c>
      <c r="DX283" s="132" t="str">
        <f t="shared" ref="DX283" ca="1" si="592">IF(DT283&lt;&gt;"",IF(WEEKNUM(DT283)=WEEKNUM(TODAY()),"This Week",IF(WEEKNUM(DT283)=WEEKNUM(TODAY())+1,"Next Week",IF(WEEKNUM(DT283)=WEEKNUM(TODAY())-1,"Previous Week",""))),"")</f>
        <v/>
      </c>
      <c r="DY283" s="134" t="str">
        <f t="shared" si="565"/>
        <v/>
      </c>
      <c r="DZ283" s="95"/>
      <c r="EB283" s="8" t="str">
        <f t="shared" si="571"/>
        <v/>
      </c>
      <c r="EC283" s="8" t="str">
        <f>IF(O283&lt;&gt;"",VLOOKUP(O283,'Job Master'!$N$12:$O$18,2,0),"")</f>
        <v/>
      </c>
      <c r="ED283" s="8">
        <f t="shared" si="572"/>
        <v>19.5</v>
      </c>
      <c r="EE283" s="8">
        <f t="shared" si="573"/>
        <v>6</v>
      </c>
      <c r="EF283" s="8">
        <f t="shared" si="574"/>
        <v>-1618.5</v>
      </c>
      <c r="EG283" s="8" t="str">
        <f t="shared" si="575"/>
        <v/>
      </c>
      <c r="EH283" s="8" t="str">
        <f t="shared" si="576"/>
        <v/>
      </c>
    </row>
    <row r="284" spans="2:138" x14ac:dyDescent="0.3">
      <c r="B284" s="112"/>
      <c r="C284" s="27"/>
      <c r="D284" s="7" t="str">
        <f t="shared" si="513"/>
        <v/>
      </c>
      <c r="E284" s="25"/>
      <c r="F284" s="7" t="str">
        <f t="shared" si="513"/>
        <v/>
      </c>
      <c r="G284" s="25"/>
      <c r="H284" s="7" t="str">
        <f t="shared" si="513"/>
        <v/>
      </c>
      <c r="I284" s="25"/>
      <c r="J284" s="7" t="str">
        <f t="shared" si="513"/>
        <v/>
      </c>
      <c r="K284" s="25"/>
      <c r="L284" s="7" t="str">
        <f t="shared" si="514"/>
        <v/>
      </c>
      <c r="M284" s="25"/>
      <c r="N284" s="7" t="str">
        <f t="shared" si="515"/>
        <v/>
      </c>
      <c r="O284" s="81"/>
      <c r="P284" s="81" t="str">
        <f t="shared" si="516"/>
        <v/>
      </c>
      <c r="Q284" s="81"/>
      <c r="R284" s="7" t="str">
        <f t="shared" si="517"/>
        <v/>
      </c>
      <c r="S284" s="25"/>
      <c r="T284" s="7" t="str">
        <f t="shared" si="518"/>
        <v/>
      </c>
      <c r="U284" s="25"/>
      <c r="V284" s="7" t="str">
        <f t="shared" si="519"/>
        <v/>
      </c>
      <c r="W284" s="25"/>
      <c r="X284" s="7" t="str">
        <f t="shared" si="520"/>
        <v/>
      </c>
      <c r="Y284" s="18" t="str">
        <f t="shared" si="521"/>
        <v/>
      </c>
      <c r="Z284" s="7" t="str">
        <f t="shared" si="522"/>
        <v/>
      </c>
      <c r="AA284" s="18" t="str">
        <f t="shared" si="523"/>
        <v/>
      </c>
      <c r="AB284" s="19" t="str">
        <f t="shared" si="524"/>
        <v/>
      </c>
      <c r="AC284" s="26"/>
      <c r="AD284" s="26"/>
      <c r="AE284" s="25"/>
      <c r="AF284" s="26"/>
      <c r="AG284" s="25"/>
      <c r="AH284" s="25"/>
      <c r="AI284" s="18" t="str">
        <f t="shared" si="587"/>
        <v/>
      </c>
      <c r="AJ284" s="25"/>
      <c r="AK284" s="18" t="str">
        <f t="shared" si="588"/>
        <v/>
      </c>
      <c r="AL284" s="79"/>
      <c r="AM284" s="126" t="str">
        <f t="shared" si="589"/>
        <v/>
      </c>
      <c r="AN284" s="128" t="str">
        <f>IF(AP284&lt;&gt;"",VLOOKUP($P284&amp;" | "&amp;AN$6,'Job Master'!$F$12:$J$102,5,0),"")</f>
        <v/>
      </c>
      <c r="AO284" s="19" t="str">
        <f>IF(AP284&lt;&gt;"",VLOOKUP($P284&amp;" | "&amp;AN$6,'Job Master'!$F$12:$J$102,3,0),"")</f>
        <v/>
      </c>
      <c r="AP284" s="19" t="str">
        <f>IFERROR(IF(AND(AW284&lt;&gt;"",VLOOKUP($P284&amp;" | "&amp;AN$6,'Job Master'!$F$12:$I$102,4,0)&lt;&gt;""),IF(WEEKDAY(AW284-VLOOKUP($P284&amp;" | "&amp;AN$6,'Job Master'!$F$12:$I$102,4,0))&lt;&gt;7,AW284-VLOOKUP($P284&amp;" | "&amp;AN$6,'Job Master'!$F$12:$I$102,4,0),AW284-VLOOKUP($P284&amp;" | "&amp;AN$6,'Job Master'!$F$12:$I$102,4,0)-1),""),"")</f>
        <v/>
      </c>
      <c r="AQ284" s="73"/>
      <c r="AR284" s="123" t="str">
        <f t="shared" si="525"/>
        <v/>
      </c>
      <c r="AS284" s="123" t="str">
        <f t="shared" si="526"/>
        <v/>
      </c>
      <c r="AT284" s="97" t="str">
        <f t="shared" ca="1" si="527"/>
        <v/>
      </c>
      <c r="AU284" s="98" t="str">
        <f>IF(AW284&lt;&gt;"",VLOOKUP($P284&amp;" | "&amp;AU$6,'Job Master'!$F$12:$J$102,5,0),"")</f>
        <v/>
      </c>
      <c r="AV284" s="19" t="str">
        <f>IF(AW284&lt;&gt;"",VLOOKUP($P284&amp;" | "&amp;AU$6,'Job Master'!$F$12:$J$102,3,0),"")</f>
        <v/>
      </c>
      <c r="AW284" s="19" t="str">
        <f>IFERROR(IF(AND(BD284&lt;&gt;"",VLOOKUP($P284&amp;" | "&amp;AU$6,'Job Master'!$F$12:$I$102,4,0)&lt;&gt;""),IF(WEEKDAY(BD284-VLOOKUP($P284&amp;" | "&amp;AU$6,'Job Master'!$F$12:$I$102,4,0))&lt;&gt;7,BD284-VLOOKUP($P284&amp;" | "&amp;AU$6,'Job Master'!$F$12:$I$102,4,0),BD284-VLOOKUP($P284&amp;" | "&amp;AU$6,'Job Master'!$F$12:$I$102,4,0)-1),""),"")</f>
        <v/>
      </c>
      <c r="AX284" s="73"/>
      <c r="AY284" s="123" t="str">
        <f t="shared" si="528"/>
        <v/>
      </c>
      <c r="AZ284" s="123" t="str">
        <f t="shared" si="529"/>
        <v/>
      </c>
      <c r="BA284" s="97" t="str">
        <f t="shared" ca="1" si="530"/>
        <v/>
      </c>
      <c r="BB284" s="98" t="str">
        <f>IF(BD284&lt;&gt;"",VLOOKUP($P284&amp;" | "&amp;BB$6,'Job Master'!$F$12:$J$102,5,0),"")</f>
        <v/>
      </c>
      <c r="BC284" s="19" t="str">
        <f>IF(BD284&lt;&gt;"",VLOOKUP($P284&amp;" | "&amp;BB$6,'Job Master'!$F$12:$J$102,3,0),"")</f>
        <v/>
      </c>
      <c r="BD284" s="19" t="str">
        <f>IFERROR(IF(AND(BK284&lt;&gt;"",VLOOKUP($P284&amp;" | "&amp;BB$6,'Job Master'!$F$12:$I$102,4,0)&lt;&gt;""),IF(WEEKDAY(BK284-VLOOKUP($P284&amp;" | "&amp;BB$6,'Job Master'!$F$12:$I$102,4,0))&lt;&gt;7,BK284-VLOOKUP($P284&amp;" | "&amp;BB$6,'Job Master'!$F$12:$I$102,4,0),BK284-VLOOKUP($P284&amp;" | "&amp;BB$6,'Job Master'!$F$12:$I$102,4,0)-1),""),"")</f>
        <v/>
      </c>
      <c r="BE284" s="73"/>
      <c r="BF284" s="123" t="str">
        <f t="shared" si="531"/>
        <v/>
      </c>
      <c r="BG284" s="123" t="str">
        <f t="shared" si="532"/>
        <v/>
      </c>
      <c r="BH284" s="97" t="str">
        <f t="shared" ca="1" si="533"/>
        <v/>
      </c>
      <c r="BI284" s="98" t="str">
        <f>IF(BK284&lt;&gt;"",VLOOKUP($P284&amp;" | "&amp;BI$6,'Job Master'!$F$12:$J$102,5,0),"")</f>
        <v/>
      </c>
      <c r="BJ284" s="19" t="str">
        <f>IF(BK284&lt;&gt;"",VLOOKUP($P284&amp;" | "&amp;BI$6,'Job Master'!$F$12:$J$102,3,0),"")</f>
        <v/>
      </c>
      <c r="BK284" s="19" t="str">
        <f>IFERROR(IF(AND(BR284&lt;&gt;"",VLOOKUP($P284&amp;" | "&amp;BI$6,'Job Master'!$F$12:$I$102,4,0)&lt;&gt;""),IF(WEEKDAY(BR284-VLOOKUP($P284&amp;" | "&amp;BI$6,'Job Master'!$F$12:$I$102,4,0))&lt;&gt;7,BR284-VLOOKUP($P284&amp;" | "&amp;BI$6,'Job Master'!$F$12:$I$102,4,0),BR284-VLOOKUP($P284&amp;" | "&amp;BI$6,'Job Master'!$F$12:$I$102,4,0)-1),""),"")</f>
        <v/>
      </c>
      <c r="BL284" s="73"/>
      <c r="BM284" s="123" t="str">
        <f t="shared" si="534"/>
        <v/>
      </c>
      <c r="BN284" s="123" t="str">
        <f t="shared" si="535"/>
        <v/>
      </c>
      <c r="BO284" s="97" t="str">
        <f t="shared" ca="1" si="536"/>
        <v/>
      </c>
      <c r="BP284" s="98" t="str">
        <f>IF(BR284&lt;&gt;"",VLOOKUP($P284&amp;" | "&amp;BP$6,'Job Master'!$F$12:$J$102,5,0),"")</f>
        <v/>
      </c>
      <c r="BQ284" s="19" t="str">
        <f>IF(BR284&lt;&gt;"",VLOOKUP($P284&amp;" | "&amp;BP$6,'Job Master'!$F$12:$J$102,3,0),"")</f>
        <v/>
      </c>
      <c r="BR284" s="19" t="str">
        <f>IFERROR(IF(AND(BY284&lt;&gt;"",VLOOKUP($P284&amp;" | "&amp;BP$6,'Job Master'!$F$12:$I$102,4,0)&lt;&gt;""),IF(WEEKDAY(BY284-VLOOKUP($P284&amp;" | "&amp;BP$6,'Job Master'!$F$12:$I$102,4,0))&lt;&gt;7,BY284-VLOOKUP($P284&amp;" | "&amp;BP$6,'Job Master'!$F$12:$I$102,4,0),BY284-VLOOKUP($P284&amp;" | "&amp;BP$6,'Job Master'!$F$12:$I$102,4,0)-1),""),"")</f>
        <v/>
      </c>
      <c r="BS284" s="73"/>
      <c r="BT284" s="123" t="str">
        <f t="shared" si="537"/>
        <v/>
      </c>
      <c r="BU284" s="123" t="str">
        <f t="shared" si="538"/>
        <v/>
      </c>
      <c r="BV284" s="97" t="str">
        <f t="shared" ca="1" si="539"/>
        <v/>
      </c>
      <c r="BW284" s="98" t="str">
        <f>IF(BY284&lt;&gt;"",VLOOKUP($P284&amp;" | "&amp;BW$6,'Job Master'!$F$12:$J$102,5,0),"")</f>
        <v/>
      </c>
      <c r="BX284" s="19" t="str">
        <f>IF(BY284&lt;&gt;"",VLOOKUP($P284&amp;" | "&amp;BW$6,'Job Master'!$F$12:$J$102,3,0),"")</f>
        <v/>
      </c>
      <c r="BY284" s="19" t="str">
        <f>IFERROR(IF(AND(CF284&lt;&gt;"",VLOOKUP($P284&amp;" | "&amp;BW$6,'Job Master'!$F$12:$I$102,4,0)&lt;&gt;""),IF(WEEKDAY(CF284-VLOOKUP($P284&amp;" | "&amp;BW$6,'Job Master'!$F$12:$I$102,4,0))&lt;&gt;7,CF284-VLOOKUP($P284&amp;" | "&amp;BW$6,'Job Master'!$F$12:$I$102,4,0),CF284-VLOOKUP($P284&amp;" | "&amp;BW$6,'Job Master'!$F$12:$I$102,4,0)-1),""),"")</f>
        <v/>
      </c>
      <c r="BZ284" s="73"/>
      <c r="CA284" s="123" t="str">
        <f t="shared" si="540"/>
        <v/>
      </c>
      <c r="CB284" s="123" t="str">
        <f t="shared" si="541"/>
        <v/>
      </c>
      <c r="CC284" s="97" t="str">
        <f t="shared" ca="1" si="542"/>
        <v/>
      </c>
      <c r="CD284" s="98" t="str">
        <f>IF(CF284&lt;&gt;"",VLOOKUP($P284&amp;" | "&amp;CD$6,'Job Master'!$F$12:$J$102,5,0),"")</f>
        <v/>
      </c>
      <c r="CE284" s="19" t="str">
        <f>IF(CF284&lt;&gt;"",VLOOKUP($P284&amp;" | "&amp;CD$6,'Job Master'!$F$12:$J$102,3,0),"")</f>
        <v/>
      </c>
      <c r="CF284" s="19" t="str">
        <f>IFERROR(IF(AND(CM284&lt;&gt;"",VLOOKUP($P284&amp;" | "&amp;CD$6,'Job Master'!$F$12:$I$102,4,0)&lt;&gt;""),IF(WEEKDAY(CM284-VLOOKUP($P284&amp;" | "&amp;CD$6,'Job Master'!$F$12:$I$102,4,0))&lt;&gt;7,CM284-VLOOKUP($P284&amp;" | "&amp;CD$6,'Job Master'!$F$12:$I$102,4,0),CM284-VLOOKUP($P284&amp;" | "&amp;CD$6,'Job Master'!$F$12:$I$102,4,0)-1),""),"")</f>
        <v/>
      </c>
      <c r="CG284" s="73"/>
      <c r="CH284" s="123" t="str">
        <f t="shared" si="543"/>
        <v/>
      </c>
      <c r="CI284" s="123" t="str">
        <f t="shared" si="544"/>
        <v/>
      </c>
      <c r="CJ284" s="97" t="str">
        <f t="shared" ca="1" si="545"/>
        <v/>
      </c>
      <c r="CK284" s="98" t="str">
        <f>IF(CM284&lt;&gt;"",VLOOKUP($P284&amp;" | "&amp;CK$6,'Job Master'!$F$12:$J$102,5,0),"")</f>
        <v/>
      </c>
      <c r="CL284" s="19" t="str">
        <f>IF(CM284&lt;&gt;"",VLOOKUP($P284&amp;" | "&amp;CK$6,'Job Master'!$F$12:$J$102,3,0),"")</f>
        <v/>
      </c>
      <c r="CM284" s="19" t="str">
        <f>IFERROR(IF(AND(CT284&lt;&gt;"",VLOOKUP($P284&amp;" | "&amp;CK$6,'Job Master'!$F$12:$I$102,4,0)&lt;&gt;""),IF(WEEKDAY(CT284-VLOOKUP($P284&amp;" | "&amp;CK$6,'Job Master'!$F$12:$I$102,4,0))&lt;&gt;7,CT284-VLOOKUP($P284&amp;" | "&amp;CK$6,'Job Master'!$F$12:$I$102,4,0),CT284-VLOOKUP($P284&amp;" | "&amp;CK$6,'Job Master'!$F$12:$I$102,4,0)-1),""),"")</f>
        <v/>
      </c>
      <c r="CN284" s="73"/>
      <c r="CO284" s="123" t="str">
        <f t="shared" si="546"/>
        <v/>
      </c>
      <c r="CP284" s="123" t="str">
        <f t="shared" si="547"/>
        <v/>
      </c>
      <c r="CQ284" s="97" t="str">
        <f t="shared" ca="1" si="548"/>
        <v/>
      </c>
      <c r="CR284" s="98" t="str">
        <f>IF(CT284&lt;&gt;"",VLOOKUP($P284&amp;" | "&amp;CR$6,'Job Master'!$F$12:$J$102,5,0),"")</f>
        <v/>
      </c>
      <c r="CS284" s="19" t="str">
        <f>IF(CT284&lt;&gt;"",VLOOKUP($P284&amp;" | "&amp;CR$6,'Job Master'!$F$12:$J$102,3,0),"")</f>
        <v/>
      </c>
      <c r="CT284" s="19" t="str">
        <f>IFERROR(IF(AND(DA284&lt;&gt;"",VLOOKUP($P284&amp;" | "&amp;CR$6,'Job Master'!$F$12:$I$102,4,0)&lt;&gt;""),IF(WEEKDAY(DA284-VLOOKUP($P284&amp;" | "&amp;CR$6,'Job Master'!$F$12:$I$102,4,0))&lt;&gt;7,DA284-VLOOKUP($P284&amp;" | "&amp;CR$6,'Job Master'!$F$12:$I$102,4,0),DA284-VLOOKUP($P284&amp;" | "&amp;CR$6,'Job Master'!$F$12:$I$102,4,0)-1),""),"")</f>
        <v/>
      </c>
      <c r="CU284" s="73"/>
      <c r="CV284" s="123" t="str">
        <f t="shared" si="549"/>
        <v/>
      </c>
      <c r="CW284" s="123" t="str">
        <f t="shared" si="550"/>
        <v/>
      </c>
      <c r="CX284" s="97" t="str">
        <f t="shared" ca="1" si="551"/>
        <v/>
      </c>
      <c r="CY284" s="98" t="str">
        <f>IF(DA284&lt;&gt;"",VLOOKUP($P284&amp;" | "&amp;CY$6,'Job Master'!$F$12:$J$102,5,0),"")</f>
        <v/>
      </c>
      <c r="CZ284" s="19" t="str">
        <f>IF(DA284&lt;&gt;"",VLOOKUP($P284&amp;" | "&amp;CY$6,'Job Master'!$F$12:$J$102,3,0),"")</f>
        <v/>
      </c>
      <c r="DA284" s="19" t="str">
        <f>IFERROR(IF(AND(DH284&lt;&gt;"",VLOOKUP($P284&amp;" | "&amp;CY$6,'Job Master'!$F$12:$I$102,4,0)&lt;&gt;""),IF(WEEKDAY(DH284-VLOOKUP($P284&amp;" | "&amp;CY$6,'Job Master'!$F$12:$I$102,4,0))&lt;&gt;7,DH284-VLOOKUP($P284&amp;" | "&amp;CY$6,'Job Master'!$F$12:$I$102,4,0),DH284-VLOOKUP($P284&amp;" | "&amp;CY$6,'Job Master'!$F$12:$I$102,4,0)-1),""),"")</f>
        <v/>
      </c>
      <c r="DB284" s="73"/>
      <c r="DC284" s="123" t="str">
        <f t="shared" si="552"/>
        <v/>
      </c>
      <c r="DD284" s="123" t="str">
        <f t="shared" si="553"/>
        <v/>
      </c>
      <c r="DE284" s="97" t="str">
        <f t="shared" ca="1" si="554"/>
        <v/>
      </c>
      <c r="DF284" s="98" t="str">
        <f>IF(DH284&lt;&gt;"",VLOOKUP($P284&amp;" | "&amp;DF$6,'Job Master'!$F$12:$J$102,5,0),"")</f>
        <v/>
      </c>
      <c r="DG284" s="19" t="str">
        <f>IF(DH284&lt;&gt;"",VLOOKUP($P284&amp;" | "&amp;DF$6,'Job Master'!$F$12:$J$102,3,0),"")</f>
        <v/>
      </c>
      <c r="DH284" s="19" t="str">
        <f>IFERROR(IF(AND(DO284&lt;&gt;"",VLOOKUP($P284&amp;" | "&amp;DF$6,'Job Master'!$F$12:$I$102,4,0)&lt;&gt;""),IF(WEEKDAY(DO284-VLOOKUP($P284&amp;" | "&amp;DF$6,'Job Master'!$F$12:$I$102,4,0))&lt;&gt;7,DO284-VLOOKUP($P284&amp;" | "&amp;DF$6,'Job Master'!$F$12:$I$102,4,0),DO284-VLOOKUP($P284&amp;" | "&amp;DF$6,'Job Master'!$F$12:$I$102,4,0)-1),""),"")</f>
        <v/>
      </c>
      <c r="DI284" s="73"/>
      <c r="DJ284" s="123" t="str">
        <f t="shared" si="555"/>
        <v/>
      </c>
      <c r="DK284" s="123" t="str">
        <f t="shared" si="556"/>
        <v/>
      </c>
      <c r="DL284" s="97" t="str">
        <f t="shared" ca="1" si="557"/>
        <v/>
      </c>
      <c r="DM284" s="98" t="str">
        <f>IF(DO284&lt;&gt;"",VLOOKUP($P284&amp;" | "&amp;DM$6,'Job Master'!$F$12:$J$102,5,0),"")</f>
        <v/>
      </c>
      <c r="DN284" s="19" t="str">
        <f>IF(DO284&lt;&gt;"",VLOOKUP($P284&amp;" | "&amp;DM$6,'Job Master'!$F$12:$J$102,3,0),"")</f>
        <v/>
      </c>
      <c r="DO284" s="19" t="str">
        <f>IFERROR(IF(AND(DT284&lt;&gt;"",VLOOKUP($P284&amp;" | "&amp;DM$6,'Job Master'!$F$12:$I$102,4,0)&lt;&gt;""),IF(WEEKDAY(DT284-VLOOKUP($P284&amp;" | "&amp;DM$6,'Job Master'!$F$12:$I$102,4,0))&lt;&gt;7,DT284-VLOOKUP($P284&amp;" | "&amp;DM$6,'Job Master'!$F$12:$I$102,4,0),DT284-VLOOKUP($P284&amp;" | "&amp;DM$6,'Job Master'!$F$12:$I$102,4,0)-1),""),"")</f>
        <v/>
      </c>
      <c r="DP284" s="73"/>
      <c r="DQ284" s="123" t="str">
        <f t="shared" si="558"/>
        <v/>
      </c>
      <c r="DR284" s="123" t="str">
        <f t="shared" si="559"/>
        <v/>
      </c>
      <c r="DS284" s="97" t="str">
        <f t="shared" ca="1" si="560"/>
        <v/>
      </c>
      <c r="DT284" s="70" t="str">
        <f t="shared" si="561"/>
        <v/>
      </c>
      <c r="DU284" s="90"/>
      <c r="DV284" s="123" t="str">
        <f t="shared" si="562"/>
        <v/>
      </c>
      <c r="DW284" s="123" t="str">
        <f t="shared" si="563"/>
        <v/>
      </c>
      <c r="DX284" s="132" t="str">
        <f t="shared" ref="DX284" ca="1" si="593">IF(DT284&lt;&gt;"",IF(WEEKNUM(DT284)=WEEKNUM(TODAY()),"This Week",IF(WEEKNUM(DT284)=WEEKNUM(TODAY())+1,"Next Week",IF(WEEKNUM(DT284)=WEEKNUM(TODAY())-1,"Previous Week",""))),"")</f>
        <v/>
      </c>
      <c r="DY284" s="134" t="str">
        <f t="shared" si="565"/>
        <v/>
      </c>
      <c r="DZ284" s="95"/>
      <c r="EB284" s="8" t="str">
        <f t="shared" si="571"/>
        <v/>
      </c>
      <c r="EC284" s="8" t="str">
        <f>IF(O284&lt;&gt;"",VLOOKUP(O284,'Job Master'!$N$12:$O$18,2,0),"")</f>
        <v/>
      </c>
      <c r="ED284" s="8">
        <f t="shared" si="572"/>
        <v>19.5</v>
      </c>
      <c r="EE284" s="8">
        <f t="shared" si="573"/>
        <v>6</v>
      </c>
      <c r="EF284" s="8">
        <f t="shared" si="574"/>
        <v>-1624.5</v>
      </c>
      <c r="EG284" s="8" t="str">
        <f t="shared" si="575"/>
        <v/>
      </c>
      <c r="EH284" s="8" t="str">
        <f t="shared" si="576"/>
        <v/>
      </c>
    </row>
    <row r="285" spans="2:138" x14ac:dyDescent="0.3">
      <c r="B285" s="112"/>
      <c r="C285" s="27"/>
      <c r="D285" s="7" t="str">
        <f t="shared" si="513"/>
        <v/>
      </c>
      <c r="E285" s="25"/>
      <c r="F285" s="7" t="str">
        <f t="shared" si="513"/>
        <v/>
      </c>
      <c r="G285" s="25"/>
      <c r="H285" s="7" t="str">
        <f t="shared" si="513"/>
        <v/>
      </c>
      <c r="I285" s="25"/>
      <c r="J285" s="7" t="str">
        <f t="shared" si="513"/>
        <v/>
      </c>
      <c r="K285" s="25"/>
      <c r="L285" s="7" t="str">
        <f t="shared" si="514"/>
        <v/>
      </c>
      <c r="M285" s="25"/>
      <c r="N285" s="7" t="str">
        <f t="shared" si="515"/>
        <v/>
      </c>
      <c r="O285" s="81"/>
      <c r="P285" s="81" t="str">
        <f t="shared" si="516"/>
        <v/>
      </c>
      <c r="Q285" s="81"/>
      <c r="R285" s="7" t="str">
        <f t="shared" si="517"/>
        <v/>
      </c>
      <c r="S285" s="25"/>
      <c r="T285" s="7" t="str">
        <f t="shared" si="518"/>
        <v/>
      </c>
      <c r="U285" s="25"/>
      <c r="V285" s="7" t="str">
        <f t="shared" si="519"/>
        <v/>
      </c>
      <c r="W285" s="25"/>
      <c r="X285" s="7" t="str">
        <f t="shared" si="520"/>
        <v/>
      </c>
      <c r="Y285" s="18" t="str">
        <f t="shared" si="521"/>
        <v/>
      </c>
      <c r="Z285" s="7" t="str">
        <f t="shared" si="522"/>
        <v/>
      </c>
      <c r="AA285" s="18" t="str">
        <f t="shared" si="523"/>
        <v/>
      </c>
      <c r="AB285" s="19" t="str">
        <f t="shared" si="524"/>
        <v/>
      </c>
      <c r="AC285" s="26"/>
      <c r="AD285" s="26"/>
      <c r="AE285" s="25"/>
      <c r="AF285" s="26"/>
      <c r="AG285" s="25"/>
      <c r="AH285" s="25"/>
      <c r="AI285" s="18" t="str">
        <f t="shared" si="587"/>
        <v/>
      </c>
      <c r="AJ285" s="25"/>
      <c r="AK285" s="18" t="str">
        <f t="shared" si="588"/>
        <v/>
      </c>
      <c r="AL285" s="79"/>
      <c r="AM285" s="126" t="str">
        <f t="shared" si="589"/>
        <v/>
      </c>
      <c r="AN285" s="128" t="str">
        <f>IF(AP285&lt;&gt;"",VLOOKUP($P285&amp;" | "&amp;AN$6,'Job Master'!$F$12:$J$102,5,0),"")</f>
        <v/>
      </c>
      <c r="AO285" s="19" t="str">
        <f>IF(AP285&lt;&gt;"",VLOOKUP($P285&amp;" | "&amp;AN$6,'Job Master'!$F$12:$J$102,3,0),"")</f>
        <v/>
      </c>
      <c r="AP285" s="19" t="str">
        <f>IFERROR(IF(AND(AW285&lt;&gt;"",VLOOKUP($P285&amp;" | "&amp;AN$6,'Job Master'!$F$12:$I$102,4,0)&lt;&gt;""),IF(WEEKDAY(AW285-VLOOKUP($P285&amp;" | "&amp;AN$6,'Job Master'!$F$12:$I$102,4,0))&lt;&gt;7,AW285-VLOOKUP($P285&amp;" | "&amp;AN$6,'Job Master'!$F$12:$I$102,4,0),AW285-VLOOKUP($P285&amp;" | "&amp;AN$6,'Job Master'!$F$12:$I$102,4,0)-1),""),"")</f>
        <v/>
      </c>
      <c r="AQ285" s="73"/>
      <c r="AR285" s="123" t="str">
        <f t="shared" si="525"/>
        <v/>
      </c>
      <c r="AS285" s="123" t="str">
        <f t="shared" si="526"/>
        <v/>
      </c>
      <c r="AT285" s="97" t="str">
        <f t="shared" ca="1" si="527"/>
        <v/>
      </c>
      <c r="AU285" s="98" t="str">
        <f>IF(AW285&lt;&gt;"",VLOOKUP($P285&amp;" | "&amp;AU$6,'Job Master'!$F$12:$J$102,5,0),"")</f>
        <v/>
      </c>
      <c r="AV285" s="19" t="str">
        <f>IF(AW285&lt;&gt;"",VLOOKUP($P285&amp;" | "&amp;AU$6,'Job Master'!$F$12:$J$102,3,0),"")</f>
        <v/>
      </c>
      <c r="AW285" s="19" t="str">
        <f>IFERROR(IF(AND(BD285&lt;&gt;"",VLOOKUP($P285&amp;" | "&amp;AU$6,'Job Master'!$F$12:$I$102,4,0)&lt;&gt;""),IF(WEEKDAY(BD285-VLOOKUP($P285&amp;" | "&amp;AU$6,'Job Master'!$F$12:$I$102,4,0))&lt;&gt;7,BD285-VLOOKUP($P285&amp;" | "&amp;AU$6,'Job Master'!$F$12:$I$102,4,0),BD285-VLOOKUP($P285&amp;" | "&amp;AU$6,'Job Master'!$F$12:$I$102,4,0)-1),""),"")</f>
        <v/>
      </c>
      <c r="AX285" s="73"/>
      <c r="AY285" s="123" t="str">
        <f t="shared" si="528"/>
        <v/>
      </c>
      <c r="AZ285" s="123" t="str">
        <f t="shared" si="529"/>
        <v/>
      </c>
      <c r="BA285" s="97" t="str">
        <f t="shared" ca="1" si="530"/>
        <v/>
      </c>
      <c r="BB285" s="98" t="str">
        <f>IF(BD285&lt;&gt;"",VLOOKUP($P285&amp;" | "&amp;BB$6,'Job Master'!$F$12:$J$102,5,0),"")</f>
        <v/>
      </c>
      <c r="BC285" s="19" t="str">
        <f>IF(BD285&lt;&gt;"",VLOOKUP($P285&amp;" | "&amp;BB$6,'Job Master'!$F$12:$J$102,3,0),"")</f>
        <v/>
      </c>
      <c r="BD285" s="19" t="str">
        <f>IFERROR(IF(AND(BK285&lt;&gt;"",VLOOKUP($P285&amp;" | "&amp;BB$6,'Job Master'!$F$12:$I$102,4,0)&lt;&gt;""),IF(WEEKDAY(BK285-VLOOKUP($P285&amp;" | "&amp;BB$6,'Job Master'!$F$12:$I$102,4,0))&lt;&gt;7,BK285-VLOOKUP($P285&amp;" | "&amp;BB$6,'Job Master'!$F$12:$I$102,4,0),BK285-VLOOKUP($P285&amp;" | "&amp;BB$6,'Job Master'!$F$12:$I$102,4,0)-1),""),"")</f>
        <v/>
      </c>
      <c r="BE285" s="73"/>
      <c r="BF285" s="123" t="str">
        <f t="shared" si="531"/>
        <v/>
      </c>
      <c r="BG285" s="123" t="str">
        <f t="shared" si="532"/>
        <v/>
      </c>
      <c r="BH285" s="97" t="str">
        <f t="shared" ca="1" si="533"/>
        <v/>
      </c>
      <c r="BI285" s="98" t="str">
        <f>IF(BK285&lt;&gt;"",VLOOKUP($P285&amp;" | "&amp;BI$6,'Job Master'!$F$12:$J$102,5,0),"")</f>
        <v/>
      </c>
      <c r="BJ285" s="19" t="str">
        <f>IF(BK285&lt;&gt;"",VLOOKUP($P285&amp;" | "&amp;BI$6,'Job Master'!$F$12:$J$102,3,0),"")</f>
        <v/>
      </c>
      <c r="BK285" s="19" t="str">
        <f>IFERROR(IF(AND(BR285&lt;&gt;"",VLOOKUP($P285&amp;" | "&amp;BI$6,'Job Master'!$F$12:$I$102,4,0)&lt;&gt;""),IF(WEEKDAY(BR285-VLOOKUP($P285&amp;" | "&amp;BI$6,'Job Master'!$F$12:$I$102,4,0))&lt;&gt;7,BR285-VLOOKUP($P285&amp;" | "&amp;BI$6,'Job Master'!$F$12:$I$102,4,0),BR285-VLOOKUP($P285&amp;" | "&amp;BI$6,'Job Master'!$F$12:$I$102,4,0)-1),""),"")</f>
        <v/>
      </c>
      <c r="BL285" s="73"/>
      <c r="BM285" s="123" t="str">
        <f t="shared" si="534"/>
        <v/>
      </c>
      <c r="BN285" s="123" t="str">
        <f t="shared" si="535"/>
        <v/>
      </c>
      <c r="BO285" s="97" t="str">
        <f t="shared" ca="1" si="536"/>
        <v/>
      </c>
      <c r="BP285" s="98" t="str">
        <f>IF(BR285&lt;&gt;"",VLOOKUP($P285&amp;" | "&amp;BP$6,'Job Master'!$F$12:$J$102,5,0),"")</f>
        <v/>
      </c>
      <c r="BQ285" s="19" t="str">
        <f>IF(BR285&lt;&gt;"",VLOOKUP($P285&amp;" | "&amp;BP$6,'Job Master'!$F$12:$J$102,3,0),"")</f>
        <v/>
      </c>
      <c r="BR285" s="19" t="str">
        <f>IFERROR(IF(AND(BY285&lt;&gt;"",VLOOKUP($P285&amp;" | "&amp;BP$6,'Job Master'!$F$12:$I$102,4,0)&lt;&gt;""),IF(WEEKDAY(BY285-VLOOKUP($P285&amp;" | "&amp;BP$6,'Job Master'!$F$12:$I$102,4,0))&lt;&gt;7,BY285-VLOOKUP($P285&amp;" | "&amp;BP$6,'Job Master'!$F$12:$I$102,4,0),BY285-VLOOKUP($P285&amp;" | "&amp;BP$6,'Job Master'!$F$12:$I$102,4,0)-1),""),"")</f>
        <v/>
      </c>
      <c r="BS285" s="73"/>
      <c r="BT285" s="123" t="str">
        <f t="shared" si="537"/>
        <v/>
      </c>
      <c r="BU285" s="123" t="str">
        <f t="shared" si="538"/>
        <v/>
      </c>
      <c r="BV285" s="97" t="str">
        <f t="shared" ca="1" si="539"/>
        <v/>
      </c>
      <c r="BW285" s="98" t="str">
        <f>IF(BY285&lt;&gt;"",VLOOKUP($P285&amp;" | "&amp;BW$6,'Job Master'!$F$12:$J$102,5,0),"")</f>
        <v/>
      </c>
      <c r="BX285" s="19" t="str">
        <f>IF(BY285&lt;&gt;"",VLOOKUP($P285&amp;" | "&amp;BW$6,'Job Master'!$F$12:$J$102,3,0),"")</f>
        <v/>
      </c>
      <c r="BY285" s="19" t="str">
        <f>IFERROR(IF(AND(CF285&lt;&gt;"",VLOOKUP($P285&amp;" | "&amp;BW$6,'Job Master'!$F$12:$I$102,4,0)&lt;&gt;""),IF(WEEKDAY(CF285-VLOOKUP($P285&amp;" | "&amp;BW$6,'Job Master'!$F$12:$I$102,4,0))&lt;&gt;7,CF285-VLOOKUP($P285&amp;" | "&amp;BW$6,'Job Master'!$F$12:$I$102,4,0),CF285-VLOOKUP($P285&amp;" | "&amp;BW$6,'Job Master'!$F$12:$I$102,4,0)-1),""),"")</f>
        <v/>
      </c>
      <c r="BZ285" s="73"/>
      <c r="CA285" s="123" t="str">
        <f t="shared" si="540"/>
        <v/>
      </c>
      <c r="CB285" s="123" t="str">
        <f t="shared" si="541"/>
        <v/>
      </c>
      <c r="CC285" s="97" t="str">
        <f t="shared" ca="1" si="542"/>
        <v/>
      </c>
      <c r="CD285" s="98" t="str">
        <f>IF(CF285&lt;&gt;"",VLOOKUP($P285&amp;" | "&amp;CD$6,'Job Master'!$F$12:$J$102,5,0),"")</f>
        <v/>
      </c>
      <c r="CE285" s="19" t="str">
        <f>IF(CF285&lt;&gt;"",VLOOKUP($P285&amp;" | "&amp;CD$6,'Job Master'!$F$12:$J$102,3,0),"")</f>
        <v/>
      </c>
      <c r="CF285" s="19" t="str">
        <f>IFERROR(IF(AND(CM285&lt;&gt;"",VLOOKUP($P285&amp;" | "&amp;CD$6,'Job Master'!$F$12:$I$102,4,0)&lt;&gt;""),IF(WEEKDAY(CM285-VLOOKUP($P285&amp;" | "&amp;CD$6,'Job Master'!$F$12:$I$102,4,0))&lt;&gt;7,CM285-VLOOKUP($P285&amp;" | "&amp;CD$6,'Job Master'!$F$12:$I$102,4,0),CM285-VLOOKUP($P285&amp;" | "&amp;CD$6,'Job Master'!$F$12:$I$102,4,0)-1),""),"")</f>
        <v/>
      </c>
      <c r="CG285" s="73"/>
      <c r="CH285" s="123" t="str">
        <f t="shared" si="543"/>
        <v/>
      </c>
      <c r="CI285" s="123" t="str">
        <f t="shared" si="544"/>
        <v/>
      </c>
      <c r="CJ285" s="97" t="str">
        <f t="shared" ca="1" si="545"/>
        <v/>
      </c>
      <c r="CK285" s="98" t="str">
        <f>IF(CM285&lt;&gt;"",VLOOKUP($P285&amp;" | "&amp;CK$6,'Job Master'!$F$12:$J$102,5,0),"")</f>
        <v/>
      </c>
      <c r="CL285" s="19" t="str">
        <f>IF(CM285&lt;&gt;"",VLOOKUP($P285&amp;" | "&amp;CK$6,'Job Master'!$F$12:$J$102,3,0),"")</f>
        <v/>
      </c>
      <c r="CM285" s="19" t="str">
        <f>IFERROR(IF(AND(CT285&lt;&gt;"",VLOOKUP($P285&amp;" | "&amp;CK$6,'Job Master'!$F$12:$I$102,4,0)&lt;&gt;""),IF(WEEKDAY(CT285-VLOOKUP($P285&amp;" | "&amp;CK$6,'Job Master'!$F$12:$I$102,4,0))&lt;&gt;7,CT285-VLOOKUP($P285&amp;" | "&amp;CK$6,'Job Master'!$F$12:$I$102,4,0),CT285-VLOOKUP($P285&amp;" | "&amp;CK$6,'Job Master'!$F$12:$I$102,4,0)-1),""),"")</f>
        <v/>
      </c>
      <c r="CN285" s="73"/>
      <c r="CO285" s="123" t="str">
        <f t="shared" si="546"/>
        <v/>
      </c>
      <c r="CP285" s="123" t="str">
        <f t="shared" si="547"/>
        <v/>
      </c>
      <c r="CQ285" s="97" t="str">
        <f t="shared" ca="1" si="548"/>
        <v/>
      </c>
      <c r="CR285" s="98" t="str">
        <f>IF(CT285&lt;&gt;"",VLOOKUP($P285&amp;" | "&amp;CR$6,'Job Master'!$F$12:$J$102,5,0),"")</f>
        <v/>
      </c>
      <c r="CS285" s="19" t="str">
        <f>IF(CT285&lt;&gt;"",VLOOKUP($P285&amp;" | "&amp;CR$6,'Job Master'!$F$12:$J$102,3,0),"")</f>
        <v/>
      </c>
      <c r="CT285" s="19" t="str">
        <f>IFERROR(IF(AND(DA285&lt;&gt;"",VLOOKUP($P285&amp;" | "&amp;CR$6,'Job Master'!$F$12:$I$102,4,0)&lt;&gt;""),IF(WEEKDAY(DA285-VLOOKUP($P285&amp;" | "&amp;CR$6,'Job Master'!$F$12:$I$102,4,0))&lt;&gt;7,DA285-VLOOKUP($P285&amp;" | "&amp;CR$6,'Job Master'!$F$12:$I$102,4,0),DA285-VLOOKUP($P285&amp;" | "&amp;CR$6,'Job Master'!$F$12:$I$102,4,0)-1),""),"")</f>
        <v/>
      </c>
      <c r="CU285" s="73"/>
      <c r="CV285" s="123" t="str">
        <f t="shared" si="549"/>
        <v/>
      </c>
      <c r="CW285" s="123" t="str">
        <f t="shared" si="550"/>
        <v/>
      </c>
      <c r="CX285" s="97" t="str">
        <f t="shared" ca="1" si="551"/>
        <v/>
      </c>
      <c r="CY285" s="98" t="str">
        <f>IF(DA285&lt;&gt;"",VLOOKUP($P285&amp;" | "&amp;CY$6,'Job Master'!$F$12:$J$102,5,0),"")</f>
        <v/>
      </c>
      <c r="CZ285" s="19" t="str">
        <f>IF(DA285&lt;&gt;"",VLOOKUP($P285&amp;" | "&amp;CY$6,'Job Master'!$F$12:$J$102,3,0),"")</f>
        <v/>
      </c>
      <c r="DA285" s="19" t="str">
        <f>IFERROR(IF(AND(DH285&lt;&gt;"",VLOOKUP($P285&amp;" | "&amp;CY$6,'Job Master'!$F$12:$I$102,4,0)&lt;&gt;""),IF(WEEKDAY(DH285-VLOOKUP($P285&amp;" | "&amp;CY$6,'Job Master'!$F$12:$I$102,4,0))&lt;&gt;7,DH285-VLOOKUP($P285&amp;" | "&amp;CY$6,'Job Master'!$F$12:$I$102,4,0),DH285-VLOOKUP($P285&amp;" | "&amp;CY$6,'Job Master'!$F$12:$I$102,4,0)-1),""),"")</f>
        <v/>
      </c>
      <c r="DB285" s="73"/>
      <c r="DC285" s="123" t="str">
        <f t="shared" si="552"/>
        <v/>
      </c>
      <c r="DD285" s="123" t="str">
        <f t="shared" si="553"/>
        <v/>
      </c>
      <c r="DE285" s="97" t="str">
        <f t="shared" ca="1" si="554"/>
        <v/>
      </c>
      <c r="DF285" s="98" t="str">
        <f>IF(DH285&lt;&gt;"",VLOOKUP($P285&amp;" | "&amp;DF$6,'Job Master'!$F$12:$J$102,5,0),"")</f>
        <v/>
      </c>
      <c r="DG285" s="19" t="str">
        <f>IF(DH285&lt;&gt;"",VLOOKUP($P285&amp;" | "&amp;DF$6,'Job Master'!$F$12:$J$102,3,0),"")</f>
        <v/>
      </c>
      <c r="DH285" s="19" t="str">
        <f>IFERROR(IF(AND(DO285&lt;&gt;"",VLOOKUP($P285&amp;" | "&amp;DF$6,'Job Master'!$F$12:$I$102,4,0)&lt;&gt;""),IF(WEEKDAY(DO285-VLOOKUP($P285&amp;" | "&amp;DF$6,'Job Master'!$F$12:$I$102,4,0))&lt;&gt;7,DO285-VLOOKUP($P285&amp;" | "&amp;DF$6,'Job Master'!$F$12:$I$102,4,0),DO285-VLOOKUP($P285&amp;" | "&amp;DF$6,'Job Master'!$F$12:$I$102,4,0)-1),""),"")</f>
        <v/>
      </c>
      <c r="DI285" s="73"/>
      <c r="DJ285" s="123" t="str">
        <f t="shared" si="555"/>
        <v/>
      </c>
      <c r="DK285" s="123" t="str">
        <f t="shared" si="556"/>
        <v/>
      </c>
      <c r="DL285" s="97" t="str">
        <f t="shared" ca="1" si="557"/>
        <v/>
      </c>
      <c r="DM285" s="98" t="str">
        <f>IF(DO285&lt;&gt;"",VLOOKUP($P285&amp;" | "&amp;DM$6,'Job Master'!$F$12:$J$102,5,0),"")</f>
        <v/>
      </c>
      <c r="DN285" s="19" t="str">
        <f>IF(DO285&lt;&gt;"",VLOOKUP($P285&amp;" | "&amp;DM$6,'Job Master'!$F$12:$J$102,3,0),"")</f>
        <v/>
      </c>
      <c r="DO285" s="19" t="str">
        <f>IFERROR(IF(AND(DT285&lt;&gt;"",VLOOKUP($P285&amp;" | "&amp;DM$6,'Job Master'!$F$12:$I$102,4,0)&lt;&gt;""),IF(WEEKDAY(DT285-VLOOKUP($P285&amp;" | "&amp;DM$6,'Job Master'!$F$12:$I$102,4,0))&lt;&gt;7,DT285-VLOOKUP($P285&amp;" | "&amp;DM$6,'Job Master'!$F$12:$I$102,4,0),DT285-VLOOKUP($P285&amp;" | "&amp;DM$6,'Job Master'!$F$12:$I$102,4,0)-1),""),"")</f>
        <v/>
      </c>
      <c r="DP285" s="73"/>
      <c r="DQ285" s="123" t="str">
        <f t="shared" si="558"/>
        <v/>
      </c>
      <c r="DR285" s="123" t="str">
        <f t="shared" si="559"/>
        <v/>
      </c>
      <c r="DS285" s="97" t="str">
        <f t="shared" ca="1" si="560"/>
        <v/>
      </c>
      <c r="DT285" s="70" t="str">
        <f t="shared" si="561"/>
        <v/>
      </c>
      <c r="DU285" s="90"/>
      <c r="DV285" s="123" t="str">
        <f t="shared" si="562"/>
        <v/>
      </c>
      <c r="DW285" s="123" t="str">
        <f t="shared" si="563"/>
        <v/>
      </c>
      <c r="DX285" s="132" t="str">
        <f t="shared" ref="DX285" ca="1" si="594">IF(DT285&lt;&gt;"",IF(WEEKNUM(DT285)=WEEKNUM(TODAY()),"This Week",IF(WEEKNUM(DT285)=WEEKNUM(TODAY())+1,"Next Week",IF(WEEKNUM(DT285)=WEEKNUM(TODAY())-1,"Previous Week",""))),"")</f>
        <v/>
      </c>
      <c r="DY285" s="134" t="str">
        <f t="shared" si="565"/>
        <v/>
      </c>
      <c r="DZ285" s="95"/>
      <c r="EB285" s="8" t="str">
        <f t="shared" si="571"/>
        <v/>
      </c>
      <c r="EC285" s="8" t="str">
        <f>IF(O285&lt;&gt;"",VLOOKUP(O285,'Job Master'!$N$12:$O$18,2,0),"")</f>
        <v/>
      </c>
      <c r="ED285" s="8">
        <f t="shared" si="572"/>
        <v>19.5</v>
      </c>
      <c r="EE285" s="8">
        <f t="shared" si="573"/>
        <v>6</v>
      </c>
      <c r="EF285" s="8">
        <f t="shared" si="574"/>
        <v>-1630.5</v>
      </c>
      <c r="EG285" s="8" t="str">
        <f t="shared" si="575"/>
        <v/>
      </c>
      <c r="EH285" s="8" t="str">
        <f t="shared" si="576"/>
        <v/>
      </c>
    </row>
    <row r="286" spans="2:138" x14ac:dyDescent="0.3">
      <c r="B286" s="112"/>
      <c r="C286" s="27"/>
      <c r="D286" s="7" t="str">
        <f t="shared" si="513"/>
        <v/>
      </c>
      <c r="E286" s="25"/>
      <c r="F286" s="7" t="str">
        <f t="shared" si="513"/>
        <v/>
      </c>
      <c r="G286" s="25"/>
      <c r="H286" s="7" t="str">
        <f t="shared" si="513"/>
        <v/>
      </c>
      <c r="I286" s="25"/>
      <c r="J286" s="7" t="str">
        <f t="shared" si="513"/>
        <v/>
      </c>
      <c r="K286" s="25"/>
      <c r="L286" s="7" t="str">
        <f t="shared" si="514"/>
        <v/>
      </c>
      <c r="M286" s="25"/>
      <c r="N286" s="7" t="str">
        <f t="shared" si="515"/>
        <v/>
      </c>
      <c r="O286" s="81"/>
      <c r="P286" s="81" t="str">
        <f t="shared" si="516"/>
        <v/>
      </c>
      <c r="Q286" s="81"/>
      <c r="R286" s="7" t="str">
        <f t="shared" si="517"/>
        <v/>
      </c>
      <c r="S286" s="25"/>
      <c r="T286" s="7" t="str">
        <f t="shared" si="518"/>
        <v/>
      </c>
      <c r="U286" s="25"/>
      <c r="V286" s="7" t="str">
        <f t="shared" si="519"/>
        <v/>
      </c>
      <c r="W286" s="25"/>
      <c r="X286" s="7" t="str">
        <f t="shared" si="520"/>
        <v/>
      </c>
      <c r="Y286" s="18" t="str">
        <f t="shared" si="521"/>
        <v/>
      </c>
      <c r="Z286" s="7" t="str">
        <f t="shared" si="522"/>
        <v/>
      </c>
      <c r="AA286" s="18" t="str">
        <f t="shared" si="523"/>
        <v/>
      </c>
      <c r="AB286" s="19" t="str">
        <f t="shared" si="524"/>
        <v/>
      </c>
      <c r="AC286" s="26"/>
      <c r="AD286" s="26"/>
      <c r="AE286" s="25"/>
      <c r="AF286" s="26"/>
      <c r="AG286" s="25"/>
      <c r="AH286" s="25"/>
      <c r="AI286" s="18" t="str">
        <f t="shared" si="587"/>
        <v/>
      </c>
      <c r="AJ286" s="25"/>
      <c r="AK286" s="18" t="str">
        <f t="shared" si="588"/>
        <v/>
      </c>
      <c r="AL286" s="79"/>
      <c r="AM286" s="126" t="str">
        <f t="shared" si="589"/>
        <v/>
      </c>
      <c r="AN286" s="128" t="str">
        <f>IF(AP286&lt;&gt;"",VLOOKUP($P286&amp;" | "&amp;AN$6,'Job Master'!$F$12:$J$102,5,0),"")</f>
        <v/>
      </c>
      <c r="AO286" s="19" t="str">
        <f>IF(AP286&lt;&gt;"",VLOOKUP($P286&amp;" | "&amp;AN$6,'Job Master'!$F$12:$J$102,3,0),"")</f>
        <v/>
      </c>
      <c r="AP286" s="19" t="str">
        <f>IFERROR(IF(AND(AW286&lt;&gt;"",VLOOKUP($P286&amp;" | "&amp;AN$6,'Job Master'!$F$12:$I$102,4,0)&lt;&gt;""),IF(WEEKDAY(AW286-VLOOKUP($P286&amp;" | "&amp;AN$6,'Job Master'!$F$12:$I$102,4,0))&lt;&gt;7,AW286-VLOOKUP($P286&amp;" | "&amp;AN$6,'Job Master'!$F$12:$I$102,4,0),AW286-VLOOKUP($P286&amp;" | "&amp;AN$6,'Job Master'!$F$12:$I$102,4,0)-1),""),"")</f>
        <v/>
      </c>
      <c r="AQ286" s="73"/>
      <c r="AR286" s="123" t="str">
        <f t="shared" si="525"/>
        <v/>
      </c>
      <c r="AS286" s="123" t="str">
        <f t="shared" si="526"/>
        <v/>
      </c>
      <c r="AT286" s="97" t="str">
        <f t="shared" ca="1" si="527"/>
        <v/>
      </c>
      <c r="AU286" s="98" t="str">
        <f>IF(AW286&lt;&gt;"",VLOOKUP($P286&amp;" | "&amp;AU$6,'Job Master'!$F$12:$J$102,5,0),"")</f>
        <v/>
      </c>
      <c r="AV286" s="19" t="str">
        <f>IF(AW286&lt;&gt;"",VLOOKUP($P286&amp;" | "&amp;AU$6,'Job Master'!$F$12:$J$102,3,0),"")</f>
        <v/>
      </c>
      <c r="AW286" s="19" t="str">
        <f>IFERROR(IF(AND(BD286&lt;&gt;"",VLOOKUP($P286&amp;" | "&amp;AU$6,'Job Master'!$F$12:$I$102,4,0)&lt;&gt;""),IF(WEEKDAY(BD286-VLOOKUP($P286&amp;" | "&amp;AU$6,'Job Master'!$F$12:$I$102,4,0))&lt;&gt;7,BD286-VLOOKUP($P286&amp;" | "&amp;AU$6,'Job Master'!$F$12:$I$102,4,0),BD286-VLOOKUP($P286&amp;" | "&amp;AU$6,'Job Master'!$F$12:$I$102,4,0)-1),""),"")</f>
        <v/>
      </c>
      <c r="AX286" s="73"/>
      <c r="AY286" s="123" t="str">
        <f t="shared" si="528"/>
        <v/>
      </c>
      <c r="AZ286" s="123" t="str">
        <f t="shared" si="529"/>
        <v/>
      </c>
      <c r="BA286" s="97" t="str">
        <f t="shared" ca="1" si="530"/>
        <v/>
      </c>
      <c r="BB286" s="98" t="str">
        <f>IF(BD286&lt;&gt;"",VLOOKUP($P286&amp;" | "&amp;BB$6,'Job Master'!$F$12:$J$102,5,0),"")</f>
        <v/>
      </c>
      <c r="BC286" s="19" t="str">
        <f>IF(BD286&lt;&gt;"",VLOOKUP($P286&amp;" | "&amp;BB$6,'Job Master'!$F$12:$J$102,3,0),"")</f>
        <v/>
      </c>
      <c r="BD286" s="19" t="str">
        <f>IFERROR(IF(AND(BK286&lt;&gt;"",VLOOKUP($P286&amp;" | "&amp;BB$6,'Job Master'!$F$12:$I$102,4,0)&lt;&gt;""),IF(WEEKDAY(BK286-VLOOKUP($P286&amp;" | "&amp;BB$6,'Job Master'!$F$12:$I$102,4,0))&lt;&gt;7,BK286-VLOOKUP($P286&amp;" | "&amp;BB$6,'Job Master'!$F$12:$I$102,4,0),BK286-VLOOKUP($P286&amp;" | "&amp;BB$6,'Job Master'!$F$12:$I$102,4,0)-1),""),"")</f>
        <v/>
      </c>
      <c r="BE286" s="73"/>
      <c r="BF286" s="123" t="str">
        <f t="shared" si="531"/>
        <v/>
      </c>
      <c r="BG286" s="123" t="str">
        <f t="shared" si="532"/>
        <v/>
      </c>
      <c r="BH286" s="97" t="str">
        <f t="shared" ca="1" si="533"/>
        <v/>
      </c>
      <c r="BI286" s="98" t="str">
        <f>IF(BK286&lt;&gt;"",VLOOKUP($P286&amp;" | "&amp;BI$6,'Job Master'!$F$12:$J$102,5,0),"")</f>
        <v/>
      </c>
      <c r="BJ286" s="19" t="str">
        <f>IF(BK286&lt;&gt;"",VLOOKUP($P286&amp;" | "&amp;BI$6,'Job Master'!$F$12:$J$102,3,0),"")</f>
        <v/>
      </c>
      <c r="BK286" s="19" t="str">
        <f>IFERROR(IF(AND(BR286&lt;&gt;"",VLOOKUP($P286&amp;" | "&amp;BI$6,'Job Master'!$F$12:$I$102,4,0)&lt;&gt;""),IF(WEEKDAY(BR286-VLOOKUP($P286&amp;" | "&amp;BI$6,'Job Master'!$F$12:$I$102,4,0))&lt;&gt;7,BR286-VLOOKUP($P286&amp;" | "&amp;BI$6,'Job Master'!$F$12:$I$102,4,0),BR286-VLOOKUP($P286&amp;" | "&amp;BI$6,'Job Master'!$F$12:$I$102,4,0)-1),""),"")</f>
        <v/>
      </c>
      <c r="BL286" s="73"/>
      <c r="BM286" s="123" t="str">
        <f t="shared" si="534"/>
        <v/>
      </c>
      <c r="BN286" s="123" t="str">
        <f t="shared" si="535"/>
        <v/>
      </c>
      <c r="BO286" s="97" t="str">
        <f t="shared" ca="1" si="536"/>
        <v/>
      </c>
      <c r="BP286" s="98" t="str">
        <f>IF(BR286&lt;&gt;"",VLOOKUP($P286&amp;" | "&amp;BP$6,'Job Master'!$F$12:$J$102,5,0),"")</f>
        <v/>
      </c>
      <c r="BQ286" s="19" t="str">
        <f>IF(BR286&lt;&gt;"",VLOOKUP($P286&amp;" | "&amp;BP$6,'Job Master'!$F$12:$J$102,3,0),"")</f>
        <v/>
      </c>
      <c r="BR286" s="19" t="str">
        <f>IFERROR(IF(AND(BY286&lt;&gt;"",VLOOKUP($P286&amp;" | "&amp;BP$6,'Job Master'!$F$12:$I$102,4,0)&lt;&gt;""),IF(WEEKDAY(BY286-VLOOKUP($P286&amp;" | "&amp;BP$6,'Job Master'!$F$12:$I$102,4,0))&lt;&gt;7,BY286-VLOOKUP($P286&amp;" | "&amp;BP$6,'Job Master'!$F$12:$I$102,4,0),BY286-VLOOKUP($P286&amp;" | "&amp;BP$6,'Job Master'!$F$12:$I$102,4,0)-1),""),"")</f>
        <v/>
      </c>
      <c r="BS286" s="73"/>
      <c r="BT286" s="123" t="str">
        <f t="shared" si="537"/>
        <v/>
      </c>
      <c r="BU286" s="123" t="str">
        <f t="shared" si="538"/>
        <v/>
      </c>
      <c r="BV286" s="97" t="str">
        <f t="shared" ca="1" si="539"/>
        <v/>
      </c>
      <c r="BW286" s="98" t="str">
        <f>IF(BY286&lt;&gt;"",VLOOKUP($P286&amp;" | "&amp;BW$6,'Job Master'!$F$12:$J$102,5,0),"")</f>
        <v/>
      </c>
      <c r="BX286" s="19" t="str">
        <f>IF(BY286&lt;&gt;"",VLOOKUP($P286&amp;" | "&amp;BW$6,'Job Master'!$F$12:$J$102,3,0),"")</f>
        <v/>
      </c>
      <c r="BY286" s="19" t="str">
        <f>IFERROR(IF(AND(CF286&lt;&gt;"",VLOOKUP($P286&amp;" | "&amp;BW$6,'Job Master'!$F$12:$I$102,4,0)&lt;&gt;""),IF(WEEKDAY(CF286-VLOOKUP($P286&amp;" | "&amp;BW$6,'Job Master'!$F$12:$I$102,4,0))&lt;&gt;7,CF286-VLOOKUP($P286&amp;" | "&amp;BW$6,'Job Master'!$F$12:$I$102,4,0),CF286-VLOOKUP($P286&amp;" | "&amp;BW$6,'Job Master'!$F$12:$I$102,4,0)-1),""),"")</f>
        <v/>
      </c>
      <c r="BZ286" s="73"/>
      <c r="CA286" s="123" t="str">
        <f t="shared" si="540"/>
        <v/>
      </c>
      <c r="CB286" s="123" t="str">
        <f t="shared" si="541"/>
        <v/>
      </c>
      <c r="CC286" s="97" t="str">
        <f t="shared" ca="1" si="542"/>
        <v/>
      </c>
      <c r="CD286" s="98" t="str">
        <f>IF(CF286&lt;&gt;"",VLOOKUP($P286&amp;" | "&amp;CD$6,'Job Master'!$F$12:$J$102,5,0),"")</f>
        <v/>
      </c>
      <c r="CE286" s="19" t="str">
        <f>IF(CF286&lt;&gt;"",VLOOKUP($P286&amp;" | "&amp;CD$6,'Job Master'!$F$12:$J$102,3,0),"")</f>
        <v/>
      </c>
      <c r="CF286" s="19" t="str">
        <f>IFERROR(IF(AND(CM286&lt;&gt;"",VLOOKUP($P286&amp;" | "&amp;CD$6,'Job Master'!$F$12:$I$102,4,0)&lt;&gt;""),IF(WEEKDAY(CM286-VLOOKUP($P286&amp;" | "&amp;CD$6,'Job Master'!$F$12:$I$102,4,0))&lt;&gt;7,CM286-VLOOKUP($P286&amp;" | "&amp;CD$6,'Job Master'!$F$12:$I$102,4,0),CM286-VLOOKUP($P286&amp;" | "&amp;CD$6,'Job Master'!$F$12:$I$102,4,0)-1),""),"")</f>
        <v/>
      </c>
      <c r="CG286" s="73"/>
      <c r="CH286" s="123" t="str">
        <f t="shared" si="543"/>
        <v/>
      </c>
      <c r="CI286" s="123" t="str">
        <f t="shared" si="544"/>
        <v/>
      </c>
      <c r="CJ286" s="97" t="str">
        <f t="shared" ca="1" si="545"/>
        <v/>
      </c>
      <c r="CK286" s="98" t="str">
        <f>IF(CM286&lt;&gt;"",VLOOKUP($P286&amp;" | "&amp;CK$6,'Job Master'!$F$12:$J$102,5,0),"")</f>
        <v/>
      </c>
      <c r="CL286" s="19" t="str">
        <f>IF(CM286&lt;&gt;"",VLOOKUP($P286&amp;" | "&amp;CK$6,'Job Master'!$F$12:$J$102,3,0),"")</f>
        <v/>
      </c>
      <c r="CM286" s="19" t="str">
        <f>IFERROR(IF(AND(CT286&lt;&gt;"",VLOOKUP($P286&amp;" | "&amp;CK$6,'Job Master'!$F$12:$I$102,4,0)&lt;&gt;""),IF(WEEKDAY(CT286-VLOOKUP($P286&amp;" | "&amp;CK$6,'Job Master'!$F$12:$I$102,4,0))&lt;&gt;7,CT286-VLOOKUP($P286&amp;" | "&amp;CK$6,'Job Master'!$F$12:$I$102,4,0),CT286-VLOOKUP($P286&amp;" | "&amp;CK$6,'Job Master'!$F$12:$I$102,4,0)-1),""),"")</f>
        <v/>
      </c>
      <c r="CN286" s="73"/>
      <c r="CO286" s="123" t="str">
        <f t="shared" si="546"/>
        <v/>
      </c>
      <c r="CP286" s="123" t="str">
        <f t="shared" si="547"/>
        <v/>
      </c>
      <c r="CQ286" s="97" t="str">
        <f t="shared" ca="1" si="548"/>
        <v/>
      </c>
      <c r="CR286" s="98" t="str">
        <f>IF(CT286&lt;&gt;"",VLOOKUP($P286&amp;" | "&amp;CR$6,'Job Master'!$F$12:$J$102,5,0),"")</f>
        <v/>
      </c>
      <c r="CS286" s="19" t="str">
        <f>IF(CT286&lt;&gt;"",VLOOKUP($P286&amp;" | "&amp;CR$6,'Job Master'!$F$12:$J$102,3,0),"")</f>
        <v/>
      </c>
      <c r="CT286" s="19" t="str">
        <f>IFERROR(IF(AND(DA286&lt;&gt;"",VLOOKUP($P286&amp;" | "&amp;CR$6,'Job Master'!$F$12:$I$102,4,0)&lt;&gt;""),IF(WEEKDAY(DA286-VLOOKUP($P286&amp;" | "&amp;CR$6,'Job Master'!$F$12:$I$102,4,0))&lt;&gt;7,DA286-VLOOKUP($P286&amp;" | "&amp;CR$6,'Job Master'!$F$12:$I$102,4,0),DA286-VLOOKUP($P286&amp;" | "&amp;CR$6,'Job Master'!$F$12:$I$102,4,0)-1),""),"")</f>
        <v/>
      </c>
      <c r="CU286" s="73"/>
      <c r="CV286" s="123" t="str">
        <f t="shared" si="549"/>
        <v/>
      </c>
      <c r="CW286" s="123" t="str">
        <f t="shared" si="550"/>
        <v/>
      </c>
      <c r="CX286" s="97" t="str">
        <f t="shared" ca="1" si="551"/>
        <v/>
      </c>
      <c r="CY286" s="98" t="str">
        <f>IF(DA286&lt;&gt;"",VLOOKUP($P286&amp;" | "&amp;CY$6,'Job Master'!$F$12:$J$102,5,0),"")</f>
        <v/>
      </c>
      <c r="CZ286" s="19" t="str">
        <f>IF(DA286&lt;&gt;"",VLOOKUP($P286&amp;" | "&amp;CY$6,'Job Master'!$F$12:$J$102,3,0),"")</f>
        <v/>
      </c>
      <c r="DA286" s="19" t="str">
        <f>IFERROR(IF(AND(DH286&lt;&gt;"",VLOOKUP($P286&amp;" | "&amp;CY$6,'Job Master'!$F$12:$I$102,4,0)&lt;&gt;""),IF(WEEKDAY(DH286-VLOOKUP($P286&amp;" | "&amp;CY$6,'Job Master'!$F$12:$I$102,4,0))&lt;&gt;7,DH286-VLOOKUP($P286&amp;" | "&amp;CY$6,'Job Master'!$F$12:$I$102,4,0),DH286-VLOOKUP($P286&amp;" | "&amp;CY$6,'Job Master'!$F$12:$I$102,4,0)-1),""),"")</f>
        <v/>
      </c>
      <c r="DB286" s="73"/>
      <c r="DC286" s="123" t="str">
        <f t="shared" si="552"/>
        <v/>
      </c>
      <c r="DD286" s="123" t="str">
        <f t="shared" si="553"/>
        <v/>
      </c>
      <c r="DE286" s="97" t="str">
        <f t="shared" ca="1" si="554"/>
        <v/>
      </c>
      <c r="DF286" s="98" t="str">
        <f>IF(DH286&lt;&gt;"",VLOOKUP($P286&amp;" | "&amp;DF$6,'Job Master'!$F$12:$J$102,5,0),"")</f>
        <v/>
      </c>
      <c r="DG286" s="19" t="str">
        <f>IF(DH286&lt;&gt;"",VLOOKUP($P286&amp;" | "&amp;DF$6,'Job Master'!$F$12:$J$102,3,0),"")</f>
        <v/>
      </c>
      <c r="DH286" s="19" t="str">
        <f>IFERROR(IF(AND(DO286&lt;&gt;"",VLOOKUP($P286&amp;" | "&amp;DF$6,'Job Master'!$F$12:$I$102,4,0)&lt;&gt;""),IF(WEEKDAY(DO286-VLOOKUP($P286&amp;" | "&amp;DF$6,'Job Master'!$F$12:$I$102,4,0))&lt;&gt;7,DO286-VLOOKUP($P286&amp;" | "&amp;DF$6,'Job Master'!$F$12:$I$102,4,0),DO286-VLOOKUP($P286&amp;" | "&amp;DF$6,'Job Master'!$F$12:$I$102,4,0)-1),""),"")</f>
        <v/>
      </c>
      <c r="DI286" s="73"/>
      <c r="DJ286" s="123" t="str">
        <f t="shared" si="555"/>
        <v/>
      </c>
      <c r="DK286" s="123" t="str">
        <f t="shared" si="556"/>
        <v/>
      </c>
      <c r="DL286" s="97" t="str">
        <f t="shared" ca="1" si="557"/>
        <v/>
      </c>
      <c r="DM286" s="98" t="str">
        <f>IF(DO286&lt;&gt;"",VLOOKUP($P286&amp;" | "&amp;DM$6,'Job Master'!$F$12:$J$102,5,0),"")</f>
        <v/>
      </c>
      <c r="DN286" s="19" t="str">
        <f>IF(DO286&lt;&gt;"",VLOOKUP($P286&amp;" | "&amp;DM$6,'Job Master'!$F$12:$J$102,3,0),"")</f>
        <v/>
      </c>
      <c r="DO286" s="19" t="str">
        <f>IFERROR(IF(AND(DT286&lt;&gt;"",VLOOKUP($P286&amp;" | "&amp;DM$6,'Job Master'!$F$12:$I$102,4,0)&lt;&gt;""),IF(WEEKDAY(DT286-VLOOKUP($P286&amp;" | "&amp;DM$6,'Job Master'!$F$12:$I$102,4,0))&lt;&gt;7,DT286-VLOOKUP($P286&amp;" | "&amp;DM$6,'Job Master'!$F$12:$I$102,4,0),DT286-VLOOKUP($P286&amp;" | "&amp;DM$6,'Job Master'!$F$12:$I$102,4,0)-1),""),"")</f>
        <v/>
      </c>
      <c r="DP286" s="73"/>
      <c r="DQ286" s="123" t="str">
        <f t="shared" si="558"/>
        <v/>
      </c>
      <c r="DR286" s="123" t="str">
        <f t="shared" si="559"/>
        <v/>
      </c>
      <c r="DS286" s="97" t="str">
        <f t="shared" ca="1" si="560"/>
        <v/>
      </c>
      <c r="DT286" s="70" t="str">
        <f t="shared" si="561"/>
        <v/>
      </c>
      <c r="DU286" s="90"/>
      <c r="DV286" s="123" t="str">
        <f t="shared" si="562"/>
        <v/>
      </c>
      <c r="DW286" s="123" t="str">
        <f t="shared" si="563"/>
        <v/>
      </c>
      <c r="DX286" s="132" t="str">
        <f t="shared" ref="DX286" ca="1" si="595">IF(DT286&lt;&gt;"",IF(WEEKNUM(DT286)=WEEKNUM(TODAY()),"This Week",IF(WEEKNUM(DT286)=WEEKNUM(TODAY())+1,"Next Week",IF(WEEKNUM(DT286)=WEEKNUM(TODAY())-1,"Previous Week",""))),"")</f>
        <v/>
      </c>
      <c r="DY286" s="134" t="str">
        <f t="shared" si="565"/>
        <v/>
      </c>
      <c r="DZ286" s="95"/>
      <c r="EB286" s="8" t="str">
        <f t="shared" si="571"/>
        <v/>
      </c>
      <c r="EC286" s="8" t="str">
        <f>IF(O286&lt;&gt;"",VLOOKUP(O286,'Job Master'!$N$12:$O$18,2,0),"")</f>
        <v/>
      </c>
      <c r="ED286" s="8">
        <f t="shared" si="572"/>
        <v>19.5</v>
      </c>
      <c r="EE286" s="8">
        <f t="shared" si="573"/>
        <v>6</v>
      </c>
      <c r="EF286" s="8">
        <f t="shared" si="574"/>
        <v>-1636.5</v>
      </c>
      <c r="EG286" s="8" t="str">
        <f t="shared" si="575"/>
        <v/>
      </c>
      <c r="EH286" s="8" t="str">
        <f t="shared" si="576"/>
        <v/>
      </c>
    </row>
    <row r="287" spans="2:138" x14ac:dyDescent="0.3">
      <c r="B287" s="112"/>
      <c r="C287" s="27"/>
      <c r="D287" s="7" t="str">
        <f t="shared" si="513"/>
        <v/>
      </c>
      <c r="E287" s="25"/>
      <c r="F287" s="7" t="str">
        <f t="shared" si="513"/>
        <v/>
      </c>
      <c r="G287" s="25"/>
      <c r="H287" s="7" t="str">
        <f t="shared" si="513"/>
        <v/>
      </c>
      <c r="I287" s="25"/>
      <c r="J287" s="7" t="str">
        <f t="shared" si="513"/>
        <v/>
      </c>
      <c r="K287" s="25"/>
      <c r="L287" s="7" t="str">
        <f t="shared" si="514"/>
        <v/>
      </c>
      <c r="M287" s="25"/>
      <c r="N287" s="7" t="str">
        <f t="shared" si="515"/>
        <v/>
      </c>
      <c r="O287" s="81"/>
      <c r="P287" s="81" t="str">
        <f t="shared" si="516"/>
        <v/>
      </c>
      <c r="Q287" s="81"/>
      <c r="R287" s="7" t="str">
        <f t="shared" si="517"/>
        <v/>
      </c>
      <c r="S287" s="25"/>
      <c r="T287" s="7" t="str">
        <f t="shared" si="518"/>
        <v/>
      </c>
      <c r="U287" s="25"/>
      <c r="V287" s="7" t="str">
        <f t="shared" si="519"/>
        <v/>
      </c>
      <c r="W287" s="25"/>
      <c r="X287" s="7" t="str">
        <f t="shared" si="520"/>
        <v/>
      </c>
      <c r="Y287" s="18" t="str">
        <f t="shared" si="521"/>
        <v/>
      </c>
      <c r="Z287" s="7" t="str">
        <f t="shared" si="522"/>
        <v/>
      </c>
      <c r="AA287" s="18" t="str">
        <f t="shared" si="523"/>
        <v/>
      </c>
      <c r="AB287" s="19" t="str">
        <f t="shared" si="524"/>
        <v/>
      </c>
      <c r="AC287" s="26"/>
      <c r="AD287" s="26"/>
      <c r="AE287" s="25"/>
      <c r="AF287" s="26"/>
      <c r="AG287" s="25"/>
      <c r="AH287" s="25"/>
      <c r="AI287" s="18" t="str">
        <f t="shared" si="587"/>
        <v/>
      </c>
      <c r="AJ287" s="25"/>
      <c r="AK287" s="18" t="str">
        <f t="shared" si="588"/>
        <v/>
      </c>
      <c r="AL287" s="79"/>
      <c r="AM287" s="126" t="str">
        <f t="shared" si="589"/>
        <v/>
      </c>
      <c r="AN287" s="128" t="str">
        <f>IF(AP287&lt;&gt;"",VLOOKUP($P287&amp;" | "&amp;AN$6,'Job Master'!$F$12:$J$102,5,0),"")</f>
        <v/>
      </c>
      <c r="AO287" s="19" t="str">
        <f>IF(AP287&lt;&gt;"",VLOOKUP($P287&amp;" | "&amp;AN$6,'Job Master'!$F$12:$J$102,3,0),"")</f>
        <v/>
      </c>
      <c r="AP287" s="19" t="str">
        <f>IFERROR(IF(AND(AW287&lt;&gt;"",VLOOKUP($P287&amp;" | "&amp;AN$6,'Job Master'!$F$12:$I$102,4,0)&lt;&gt;""),IF(WEEKDAY(AW287-VLOOKUP($P287&amp;" | "&amp;AN$6,'Job Master'!$F$12:$I$102,4,0))&lt;&gt;7,AW287-VLOOKUP($P287&amp;" | "&amp;AN$6,'Job Master'!$F$12:$I$102,4,0),AW287-VLOOKUP($P287&amp;" | "&amp;AN$6,'Job Master'!$F$12:$I$102,4,0)-1),""),"")</f>
        <v/>
      </c>
      <c r="AQ287" s="73"/>
      <c r="AR287" s="123" t="str">
        <f t="shared" si="525"/>
        <v/>
      </c>
      <c r="AS287" s="123" t="str">
        <f t="shared" si="526"/>
        <v/>
      </c>
      <c r="AT287" s="97" t="str">
        <f t="shared" ca="1" si="527"/>
        <v/>
      </c>
      <c r="AU287" s="98" t="str">
        <f>IF(AW287&lt;&gt;"",VLOOKUP($P287&amp;" | "&amp;AU$6,'Job Master'!$F$12:$J$102,5,0),"")</f>
        <v/>
      </c>
      <c r="AV287" s="19" t="str">
        <f>IF(AW287&lt;&gt;"",VLOOKUP($P287&amp;" | "&amp;AU$6,'Job Master'!$F$12:$J$102,3,0),"")</f>
        <v/>
      </c>
      <c r="AW287" s="19" t="str">
        <f>IFERROR(IF(AND(BD287&lt;&gt;"",VLOOKUP($P287&amp;" | "&amp;AU$6,'Job Master'!$F$12:$I$102,4,0)&lt;&gt;""),IF(WEEKDAY(BD287-VLOOKUP($P287&amp;" | "&amp;AU$6,'Job Master'!$F$12:$I$102,4,0))&lt;&gt;7,BD287-VLOOKUP($P287&amp;" | "&amp;AU$6,'Job Master'!$F$12:$I$102,4,0),BD287-VLOOKUP($P287&amp;" | "&amp;AU$6,'Job Master'!$F$12:$I$102,4,0)-1),""),"")</f>
        <v/>
      </c>
      <c r="AX287" s="73"/>
      <c r="AY287" s="123" t="str">
        <f t="shared" si="528"/>
        <v/>
      </c>
      <c r="AZ287" s="123" t="str">
        <f t="shared" si="529"/>
        <v/>
      </c>
      <c r="BA287" s="97" t="str">
        <f t="shared" ca="1" si="530"/>
        <v/>
      </c>
      <c r="BB287" s="98" t="str">
        <f>IF(BD287&lt;&gt;"",VLOOKUP($P287&amp;" | "&amp;BB$6,'Job Master'!$F$12:$J$102,5,0),"")</f>
        <v/>
      </c>
      <c r="BC287" s="19" t="str">
        <f>IF(BD287&lt;&gt;"",VLOOKUP($P287&amp;" | "&amp;BB$6,'Job Master'!$F$12:$J$102,3,0),"")</f>
        <v/>
      </c>
      <c r="BD287" s="19" t="str">
        <f>IFERROR(IF(AND(BK287&lt;&gt;"",VLOOKUP($P287&amp;" | "&amp;BB$6,'Job Master'!$F$12:$I$102,4,0)&lt;&gt;""),IF(WEEKDAY(BK287-VLOOKUP($P287&amp;" | "&amp;BB$6,'Job Master'!$F$12:$I$102,4,0))&lt;&gt;7,BK287-VLOOKUP($P287&amp;" | "&amp;BB$6,'Job Master'!$F$12:$I$102,4,0),BK287-VLOOKUP($P287&amp;" | "&amp;BB$6,'Job Master'!$F$12:$I$102,4,0)-1),""),"")</f>
        <v/>
      </c>
      <c r="BE287" s="73"/>
      <c r="BF287" s="123" t="str">
        <f t="shared" si="531"/>
        <v/>
      </c>
      <c r="BG287" s="123" t="str">
        <f t="shared" si="532"/>
        <v/>
      </c>
      <c r="BH287" s="97" t="str">
        <f t="shared" ca="1" si="533"/>
        <v/>
      </c>
      <c r="BI287" s="98" t="str">
        <f>IF(BK287&lt;&gt;"",VLOOKUP($P287&amp;" | "&amp;BI$6,'Job Master'!$F$12:$J$102,5,0),"")</f>
        <v/>
      </c>
      <c r="BJ287" s="19" t="str">
        <f>IF(BK287&lt;&gt;"",VLOOKUP($P287&amp;" | "&amp;BI$6,'Job Master'!$F$12:$J$102,3,0),"")</f>
        <v/>
      </c>
      <c r="BK287" s="19" t="str">
        <f>IFERROR(IF(AND(BR287&lt;&gt;"",VLOOKUP($P287&amp;" | "&amp;BI$6,'Job Master'!$F$12:$I$102,4,0)&lt;&gt;""),IF(WEEKDAY(BR287-VLOOKUP($P287&amp;" | "&amp;BI$6,'Job Master'!$F$12:$I$102,4,0))&lt;&gt;7,BR287-VLOOKUP($P287&amp;" | "&amp;BI$6,'Job Master'!$F$12:$I$102,4,0),BR287-VLOOKUP($P287&amp;" | "&amp;BI$6,'Job Master'!$F$12:$I$102,4,0)-1),""),"")</f>
        <v/>
      </c>
      <c r="BL287" s="73"/>
      <c r="BM287" s="123" t="str">
        <f t="shared" si="534"/>
        <v/>
      </c>
      <c r="BN287" s="123" t="str">
        <f t="shared" si="535"/>
        <v/>
      </c>
      <c r="BO287" s="97" t="str">
        <f t="shared" ca="1" si="536"/>
        <v/>
      </c>
      <c r="BP287" s="98" t="str">
        <f>IF(BR287&lt;&gt;"",VLOOKUP($P287&amp;" | "&amp;BP$6,'Job Master'!$F$12:$J$102,5,0),"")</f>
        <v/>
      </c>
      <c r="BQ287" s="19" t="str">
        <f>IF(BR287&lt;&gt;"",VLOOKUP($P287&amp;" | "&amp;BP$6,'Job Master'!$F$12:$J$102,3,0),"")</f>
        <v/>
      </c>
      <c r="BR287" s="19" t="str">
        <f>IFERROR(IF(AND(BY287&lt;&gt;"",VLOOKUP($P287&amp;" | "&amp;BP$6,'Job Master'!$F$12:$I$102,4,0)&lt;&gt;""),IF(WEEKDAY(BY287-VLOOKUP($P287&amp;" | "&amp;BP$6,'Job Master'!$F$12:$I$102,4,0))&lt;&gt;7,BY287-VLOOKUP($P287&amp;" | "&amp;BP$6,'Job Master'!$F$12:$I$102,4,0),BY287-VLOOKUP($P287&amp;" | "&amp;BP$6,'Job Master'!$F$12:$I$102,4,0)-1),""),"")</f>
        <v/>
      </c>
      <c r="BS287" s="73"/>
      <c r="BT287" s="123" t="str">
        <f t="shared" si="537"/>
        <v/>
      </c>
      <c r="BU287" s="123" t="str">
        <f t="shared" si="538"/>
        <v/>
      </c>
      <c r="BV287" s="97" t="str">
        <f t="shared" ca="1" si="539"/>
        <v/>
      </c>
      <c r="BW287" s="98" t="str">
        <f>IF(BY287&lt;&gt;"",VLOOKUP($P287&amp;" | "&amp;BW$6,'Job Master'!$F$12:$J$102,5,0),"")</f>
        <v/>
      </c>
      <c r="BX287" s="19" t="str">
        <f>IF(BY287&lt;&gt;"",VLOOKUP($P287&amp;" | "&amp;BW$6,'Job Master'!$F$12:$J$102,3,0),"")</f>
        <v/>
      </c>
      <c r="BY287" s="19" t="str">
        <f>IFERROR(IF(AND(CF287&lt;&gt;"",VLOOKUP($P287&amp;" | "&amp;BW$6,'Job Master'!$F$12:$I$102,4,0)&lt;&gt;""),IF(WEEKDAY(CF287-VLOOKUP($P287&amp;" | "&amp;BW$6,'Job Master'!$F$12:$I$102,4,0))&lt;&gt;7,CF287-VLOOKUP($P287&amp;" | "&amp;BW$6,'Job Master'!$F$12:$I$102,4,0),CF287-VLOOKUP($P287&amp;" | "&amp;BW$6,'Job Master'!$F$12:$I$102,4,0)-1),""),"")</f>
        <v/>
      </c>
      <c r="BZ287" s="73"/>
      <c r="CA287" s="123" t="str">
        <f t="shared" si="540"/>
        <v/>
      </c>
      <c r="CB287" s="123" t="str">
        <f t="shared" si="541"/>
        <v/>
      </c>
      <c r="CC287" s="97" t="str">
        <f t="shared" ca="1" si="542"/>
        <v/>
      </c>
      <c r="CD287" s="98" t="str">
        <f>IF(CF287&lt;&gt;"",VLOOKUP($P287&amp;" | "&amp;CD$6,'Job Master'!$F$12:$J$102,5,0),"")</f>
        <v/>
      </c>
      <c r="CE287" s="19" t="str">
        <f>IF(CF287&lt;&gt;"",VLOOKUP($P287&amp;" | "&amp;CD$6,'Job Master'!$F$12:$J$102,3,0),"")</f>
        <v/>
      </c>
      <c r="CF287" s="19" t="str">
        <f>IFERROR(IF(AND(CM287&lt;&gt;"",VLOOKUP($P287&amp;" | "&amp;CD$6,'Job Master'!$F$12:$I$102,4,0)&lt;&gt;""),IF(WEEKDAY(CM287-VLOOKUP($P287&amp;" | "&amp;CD$6,'Job Master'!$F$12:$I$102,4,0))&lt;&gt;7,CM287-VLOOKUP($P287&amp;" | "&amp;CD$6,'Job Master'!$F$12:$I$102,4,0),CM287-VLOOKUP($P287&amp;" | "&amp;CD$6,'Job Master'!$F$12:$I$102,4,0)-1),""),"")</f>
        <v/>
      </c>
      <c r="CG287" s="73"/>
      <c r="CH287" s="123" t="str">
        <f t="shared" si="543"/>
        <v/>
      </c>
      <c r="CI287" s="123" t="str">
        <f t="shared" si="544"/>
        <v/>
      </c>
      <c r="CJ287" s="97" t="str">
        <f t="shared" ca="1" si="545"/>
        <v/>
      </c>
      <c r="CK287" s="98" t="str">
        <f>IF(CM287&lt;&gt;"",VLOOKUP($P287&amp;" | "&amp;CK$6,'Job Master'!$F$12:$J$102,5,0),"")</f>
        <v/>
      </c>
      <c r="CL287" s="19" t="str">
        <f>IF(CM287&lt;&gt;"",VLOOKUP($P287&amp;" | "&amp;CK$6,'Job Master'!$F$12:$J$102,3,0),"")</f>
        <v/>
      </c>
      <c r="CM287" s="19" t="str">
        <f>IFERROR(IF(AND(CT287&lt;&gt;"",VLOOKUP($P287&amp;" | "&amp;CK$6,'Job Master'!$F$12:$I$102,4,0)&lt;&gt;""),IF(WEEKDAY(CT287-VLOOKUP($P287&amp;" | "&amp;CK$6,'Job Master'!$F$12:$I$102,4,0))&lt;&gt;7,CT287-VLOOKUP($P287&amp;" | "&amp;CK$6,'Job Master'!$F$12:$I$102,4,0),CT287-VLOOKUP($P287&amp;" | "&amp;CK$6,'Job Master'!$F$12:$I$102,4,0)-1),""),"")</f>
        <v/>
      </c>
      <c r="CN287" s="73"/>
      <c r="CO287" s="123" t="str">
        <f t="shared" si="546"/>
        <v/>
      </c>
      <c r="CP287" s="123" t="str">
        <f t="shared" si="547"/>
        <v/>
      </c>
      <c r="CQ287" s="97" t="str">
        <f t="shared" ca="1" si="548"/>
        <v/>
      </c>
      <c r="CR287" s="98" t="str">
        <f>IF(CT287&lt;&gt;"",VLOOKUP($P287&amp;" | "&amp;CR$6,'Job Master'!$F$12:$J$102,5,0),"")</f>
        <v/>
      </c>
      <c r="CS287" s="19" t="str">
        <f>IF(CT287&lt;&gt;"",VLOOKUP($P287&amp;" | "&amp;CR$6,'Job Master'!$F$12:$J$102,3,0),"")</f>
        <v/>
      </c>
      <c r="CT287" s="19" t="str">
        <f>IFERROR(IF(AND(DA287&lt;&gt;"",VLOOKUP($P287&amp;" | "&amp;CR$6,'Job Master'!$F$12:$I$102,4,0)&lt;&gt;""),IF(WEEKDAY(DA287-VLOOKUP($P287&amp;" | "&amp;CR$6,'Job Master'!$F$12:$I$102,4,0))&lt;&gt;7,DA287-VLOOKUP($P287&amp;" | "&amp;CR$6,'Job Master'!$F$12:$I$102,4,0),DA287-VLOOKUP($P287&amp;" | "&amp;CR$6,'Job Master'!$F$12:$I$102,4,0)-1),""),"")</f>
        <v/>
      </c>
      <c r="CU287" s="73"/>
      <c r="CV287" s="123" t="str">
        <f t="shared" si="549"/>
        <v/>
      </c>
      <c r="CW287" s="123" t="str">
        <f t="shared" si="550"/>
        <v/>
      </c>
      <c r="CX287" s="97" t="str">
        <f t="shared" ca="1" si="551"/>
        <v/>
      </c>
      <c r="CY287" s="98" t="str">
        <f>IF(DA287&lt;&gt;"",VLOOKUP($P287&amp;" | "&amp;CY$6,'Job Master'!$F$12:$J$102,5,0),"")</f>
        <v/>
      </c>
      <c r="CZ287" s="19" t="str">
        <f>IF(DA287&lt;&gt;"",VLOOKUP($P287&amp;" | "&amp;CY$6,'Job Master'!$F$12:$J$102,3,0),"")</f>
        <v/>
      </c>
      <c r="DA287" s="19" t="str">
        <f>IFERROR(IF(AND(DH287&lt;&gt;"",VLOOKUP($P287&amp;" | "&amp;CY$6,'Job Master'!$F$12:$I$102,4,0)&lt;&gt;""),IF(WEEKDAY(DH287-VLOOKUP($P287&amp;" | "&amp;CY$6,'Job Master'!$F$12:$I$102,4,0))&lt;&gt;7,DH287-VLOOKUP($P287&amp;" | "&amp;CY$6,'Job Master'!$F$12:$I$102,4,0),DH287-VLOOKUP($P287&amp;" | "&amp;CY$6,'Job Master'!$F$12:$I$102,4,0)-1),""),"")</f>
        <v/>
      </c>
      <c r="DB287" s="73"/>
      <c r="DC287" s="123" t="str">
        <f t="shared" si="552"/>
        <v/>
      </c>
      <c r="DD287" s="123" t="str">
        <f t="shared" si="553"/>
        <v/>
      </c>
      <c r="DE287" s="97" t="str">
        <f t="shared" ca="1" si="554"/>
        <v/>
      </c>
      <c r="DF287" s="98" t="str">
        <f>IF(DH287&lt;&gt;"",VLOOKUP($P287&amp;" | "&amp;DF$6,'Job Master'!$F$12:$J$102,5,0),"")</f>
        <v/>
      </c>
      <c r="DG287" s="19" t="str">
        <f>IF(DH287&lt;&gt;"",VLOOKUP($P287&amp;" | "&amp;DF$6,'Job Master'!$F$12:$J$102,3,0),"")</f>
        <v/>
      </c>
      <c r="DH287" s="19" t="str">
        <f>IFERROR(IF(AND(DO287&lt;&gt;"",VLOOKUP($P287&amp;" | "&amp;DF$6,'Job Master'!$F$12:$I$102,4,0)&lt;&gt;""),IF(WEEKDAY(DO287-VLOOKUP($P287&amp;" | "&amp;DF$6,'Job Master'!$F$12:$I$102,4,0))&lt;&gt;7,DO287-VLOOKUP($P287&amp;" | "&amp;DF$6,'Job Master'!$F$12:$I$102,4,0),DO287-VLOOKUP($P287&amp;" | "&amp;DF$6,'Job Master'!$F$12:$I$102,4,0)-1),""),"")</f>
        <v/>
      </c>
      <c r="DI287" s="73"/>
      <c r="DJ287" s="123" t="str">
        <f t="shared" si="555"/>
        <v/>
      </c>
      <c r="DK287" s="123" t="str">
        <f t="shared" si="556"/>
        <v/>
      </c>
      <c r="DL287" s="97" t="str">
        <f t="shared" ca="1" si="557"/>
        <v/>
      </c>
      <c r="DM287" s="98" t="str">
        <f>IF(DO287&lt;&gt;"",VLOOKUP($P287&amp;" | "&amp;DM$6,'Job Master'!$F$12:$J$102,5,0),"")</f>
        <v/>
      </c>
      <c r="DN287" s="19" t="str">
        <f>IF(DO287&lt;&gt;"",VLOOKUP($P287&amp;" | "&amp;DM$6,'Job Master'!$F$12:$J$102,3,0),"")</f>
        <v/>
      </c>
      <c r="DO287" s="19" t="str">
        <f>IFERROR(IF(AND(DT287&lt;&gt;"",VLOOKUP($P287&amp;" | "&amp;DM$6,'Job Master'!$F$12:$I$102,4,0)&lt;&gt;""),IF(WEEKDAY(DT287-VLOOKUP($P287&amp;" | "&amp;DM$6,'Job Master'!$F$12:$I$102,4,0))&lt;&gt;7,DT287-VLOOKUP($P287&amp;" | "&amp;DM$6,'Job Master'!$F$12:$I$102,4,0),DT287-VLOOKUP($P287&amp;" | "&amp;DM$6,'Job Master'!$F$12:$I$102,4,0)-1),""),"")</f>
        <v/>
      </c>
      <c r="DP287" s="73"/>
      <c r="DQ287" s="123" t="str">
        <f t="shared" si="558"/>
        <v/>
      </c>
      <c r="DR287" s="123" t="str">
        <f t="shared" si="559"/>
        <v/>
      </c>
      <c r="DS287" s="97" t="str">
        <f t="shared" ca="1" si="560"/>
        <v/>
      </c>
      <c r="DT287" s="70" t="str">
        <f t="shared" si="561"/>
        <v/>
      </c>
      <c r="DU287" s="90"/>
      <c r="DV287" s="123" t="str">
        <f t="shared" si="562"/>
        <v/>
      </c>
      <c r="DW287" s="123" t="str">
        <f t="shared" si="563"/>
        <v/>
      </c>
      <c r="DX287" s="132" t="str">
        <f t="shared" ref="DX287" ca="1" si="596">IF(DT287&lt;&gt;"",IF(WEEKNUM(DT287)=WEEKNUM(TODAY()),"This Week",IF(WEEKNUM(DT287)=WEEKNUM(TODAY())+1,"Next Week",IF(WEEKNUM(DT287)=WEEKNUM(TODAY())-1,"Previous Week",""))),"")</f>
        <v/>
      </c>
      <c r="DY287" s="134" t="str">
        <f t="shared" si="565"/>
        <v/>
      </c>
      <c r="DZ287" s="95"/>
      <c r="EB287" s="8" t="str">
        <f t="shared" si="571"/>
        <v/>
      </c>
      <c r="EC287" s="8" t="str">
        <f>IF(O287&lt;&gt;"",VLOOKUP(O287,'Job Master'!$N$12:$O$18,2,0),"")</f>
        <v/>
      </c>
      <c r="ED287" s="8">
        <f t="shared" si="572"/>
        <v>19.5</v>
      </c>
      <c r="EE287" s="8">
        <f t="shared" si="573"/>
        <v>6</v>
      </c>
      <c r="EF287" s="8">
        <f t="shared" si="574"/>
        <v>-1642.5</v>
      </c>
      <c r="EG287" s="8" t="str">
        <f t="shared" si="575"/>
        <v/>
      </c>
      <c r="EH287" s="8" t="str">
        <f t="shared" si="576"/>
        <v/>
      </c>
    </row>
    <row r="288" spans="2:138" x14ac:dyDescent="0.3">
      <c r="B288" s="112"/>
      <c r="C288" s="27"/>
      <c r="D288" s="7" t="str">
        <f t="shared" si="513"/>
        <v/>
      </c>
      <c r="E288" s="25"/>
      <c r="F288" s="7" t="str">
        <f t="shared" si="513"/>
        <v/>
      </c>
      <c r="G288" s="25"/>
      <c r="H288" s="7" t="str">
        <f t="shared" si="513"/>
        <v/>
      </c>
      <c r="I288" s="25"/>
      <c r="J288" s="7" t="str">
        <f t="shared" si="513"/>
        <v/>
      </c>
      <c r="K288" s="25"/>
      <c r="L288" s="7" t="str">
        <f t="shared" si="514"/>
        <v/>
      </c>
      <c r="M288" s="25"/>
      <c r="N288" s="7" t="str">
        <f t="shared" si="515"/>
        <v/>
      </c>
      <c r="O288" s="81"/>
      <c r="P288" s="81" t="str">
        <f t="shared" si="516"/>
        <v/>
      </c>
      <c r="Q288" s="81"/>
      <c r="R288" s="7" t="str">
        <f t="shared" si="517"/>
        <v/>
      </c>
      <c r="S288" s="25"/>
      <c r="T288" s="7" t="str">
        <f t="shared" si="518"/>
        <v/>
      </c>
      <c r="U288" s="25"/>
      <c r="V288" s="7" t="str">
        <f t="shared" si="519"/>
        <v/>
      </c>
      <c r="W288" s="25"/>
      <c r="X288" s="7" t="str">
        <f t="shared" si="520"/>
        <v/>
      </c>
      <c r="Y288" s="18" t="str">
        <f t="shared" si="521"/>
        <v/>
      </c>
      <c r="Z288" s="7" t="str">
        <f t="shared" si="522"/>
        <v/>
      </c>
      <c r="AA288" s="18" t="str">
        <f t="shared" si="523"/>
        <v/>
      </c>
      <c r="AB288" s="19" t="str">
        <f t="shared" si="524"/>
        <v/>
      </c>
      <c r="AC288" s="26"/>
      <c r="AD288" s="26"/>
      <c r="AE288" s="25"/>
      <c r="AF288" s="26"/>
      <c r="AG288" s="25"/>
      <c r="AH288" s="25"/>
      <c r="AI288" s="18" t="str">
        <f t="shared" si="587"/>
        <v/>
      </c>
      <c r="AJ288" s="25"/>
      <c r="AK288" s="18" t="str">
        <f t="shared" si="588"/>
        <v/>
      </c>
      <c r="AL288" s="79"/>
      <c r="AM288" s="126" t="str">
        <f t="shared" si="589"/>
        <v/>
      </c>
      <c r="AN288" s="128" t="str">
        <f>IF(AP288&lt;&gt;"",VLOOKUP($P288&amp;" | "&amp;AN$6,'Job Master'!$F$12:$J$102,5,0),"")</f>
        <v/>
      </c>
      <c r="AO288" s="19" t="str">
        <f>IF(AP288&lt;&gt;"",VLOOKUP($P288&amp;" | "&amp;AN$6,'Job Master'!$F$12:$J$102,3,0),"")</f>
        <v/>
      </c>
      <c r="AP288" s="19" t="str">
        <f>IFERROR(IF(AND(AW288&lt;&gt;"",VLOOKUP($P288&amp;" | "&amp;AN$6,'Job Master'!$F$12:$I$102,4,0)&lt;&gt;""),IF(WEEKDAY(AW288-VLOOKUP($P288&amp;" | "&amp;AN$6,'Job Master'!$F$12:$I$102,4,0))&lt;&gt;7,AW288-VLOOKUP($P288&amp;" | "&amp;AN$6,'Job Master'!$F$12:$I$102,4,0),AW288-VLOOKUP($P288&amp;" | "&amp;AN$6,'Job Master'!$F$12:$I$102,4,0)-1),""),"")</f>
        <v/>
      </c>
      <c r="AQ288" s="73"/>
      <c r="AR288" s="123" t="str">
        <f t="shared" si="525"/>
        <v/>
      </c>
      <c r="AS288" s="123" t="str">
        <f t="shared" si="526"/>
        <v/>
      </c>
      <c r="AT288" s="97" t="str">
        <f t="shared" ca="1" si="527"/>
        <v/>
      </c>
      <c r="AU288" s="98" t="str">
        <f>IF(AW288&lt;&gt;"",VLOOKUP($P288&amp;" | "&amp;AU$6,'Job Master'!$F$12:$J$102,5,0),"")</f>
        <v/>
      </c>
      <c r="AV288" s="19" t="str">
        <f>IF(AW288&lt;&gt;"",VLOOKUP($P288&amp;" | "&amp;AU$6,'Job Master'!$F$12:$J$102,3,0),"")</f>
        <v/>
      </c>
      <c r="AW288" s="19" t="str">
        <f>IFERROR(IF(AND(BD288&lt;&gt;"",VLOOKUP($P288&amp;" | "&amp;AU$6,'Job Master'!$F$12:$I$102,4,0)&lt;&gt;""),IF(WEEKDAY(BD288-VLOOKUP($P288&amp;" | "&amp;AU$6,'Job Master'!$F$12:$I$102,4,0))&lt;&gt;7,BD288-VLOOKUP($P288&amp;" | "&amp;AU$6,'Job Master'!$F$12:$I$102,4,0),BD288-VLOOKUP($P288&amp;" | "&amp;AU$6,'Job Master'!$F$12:$I$102,4,0)-1),""),"")</f>
        <v/>
      </c>
      <c r="AX288" s="73"/>
      <c r="AY288" s="123" t="str">
        <f t="shared" si="528"/>
        <v/>
      </c>
      <c r="AZ288" s="123" t="str">
        <f t="shared" si="529"/>
        <v/>
      </c>
      <c r="BA288" s="97" t="str">
        <f t="shared" ca="1" si="530"/>
        <v/>
      </c>
      <c r="BB288" s="98" t="str">
        <f>IF(BD288&lt;&gt;"",VLOOKUP($P288&amp;" | "&amp;BB$6,'Job Master'!$F$12:$J$102,5,0),"")</f>
        <v/>
      </c>
      <c r="BC288" s="19" t="str">
        <f>IF(BD288&lt;&gt;"",VLOOKUP($P288&amp;" | "&amp;BB$6,'Job Master'!$F$12:$J$102,3,0),"")</f>
        <v/>
      </c>
      <c r="BD288" s="19" t="str">
        <f>IFERROR(IF(AND(BK288&lt;&gt;"",VLOOKUP($P288&amp;" | "&amp;BB$6,'Job Master'!$F$12:$I$102,4,0)&lt;&gt;""),IF(WEEKDAY(BK288-VLOOKUP($P288&amp;" | "&amp;BB$6,'Job Master'!$F$12:$I$102,4,0))&lt;&gt;7,BK288-VLOOKUP($P288&amp;" | "&amp;BB$6,'Job Master'!$F$12:$I$102,4,0),BK288-VLOOKUP($P288&amp;" | "&amp;BB$6,'Job Master'!$F$12:$I$102,4,0)-1),""),"")</f>
        <v/>
      </c>
      <c r="BE288" s="73"/>
      <c r="BF288" s="123" t="str">
        <f t="shared" si="531"/>
        <v/>
      </c>
      <c r="BG288" s="123" t="str">
        <f t="shared" si="532"/>
        <v/>
      </c>
      <c r="BH288" s="97" t="str">
        <f t="shared" ca="1" si="533"/>
        <v/>
      </c>
      <c r="BI288" s="98" t="str">
        <f>IF(BK288&lt;&gt;"",VLOOKUP($P288&amp;" | "&amp;BI$6,'Job Master'!$F$12:$J$102,5,0),"")</f>
        <v/>
      </c>
      <c r="BJ288" s="19" t="str">
        <f>IF(BK288&lt;&gt;"",VLOOKUP($P288&amp;" | "&amp;BI$6,'Job Master'!$F$12:$J$102,3,0),"")</f>
        <v/>
      </c>
      <c r="BK288" s="19" t="str">
        <f>IFERROR(IF(AND(BR288&lt;&gt;"",VLOOKUP($P288&amp;" | "&amp;BI$6,'Job Master'!$F$12:$I$102,4,0)&lt;&gt;""),IF(WEEKDAY(BR288-VLOOKUP($P288&amp;" | "&amp;BI$6,'Job Master'!$F$12:$I$102,4,0))&lt;&gt;7,BR288-VLOOKUP($P288&amp;" | "&amp;BI$6,'Job Master'!$F$12:$I$102,4,0),BR288-VLOOKUP($P288&amp;" | "&amp;BI$6,'Job Master'!$F$12:$I$102,4,0)-1),""),"")</f>
        <v/>
      </c>
      <c r="BL288" s="73"/>
      <c r="BM288" s="123" t="str">
        <f t="shared" si="534"/>
        <v/>
      </c>
      <c r="BN288" s="123" t="str">
        <f t="shared" si="535"/>
        <v/>
      </c>
      <c r="BO288" s="97" t="str">
        <f t="shared" ca="1" si="536"/>
        <v/>
      </c>
      <c r="BP288" s="98" t="str">
        <f>IF(BR288&lt;&gt;"",VLOOKUP($P288&amp;" | "&amp;BP$6,'Job Master'!$F$12:$J$102,5,0),"")</f>
        <v/>
      </c>
      <c r="BQ288" s="19" t="str">
        <f>IF(BR288&lt;&gt;"",VLOOKUP($P288&amp;" | "&amp;BP$6,'Job Master'!$F$12:$J$102,3,0),"")</f>
        <v/>
      </c>
      <c r="BR288" s="19" t="str">
        <f>IFERROR(IF(AND(BY288&lt;&gt;"",VLOOKUP($P288&amp;" | "&amp;BP$6,'Job Master'!$F$12:$I$102,4,0)&lt;&gt;""),IF(WEEKDAY(BY288-VLOOKUP($P288&amp;" | "&amp;BP$6,'Job Master'!$F$12:$I$102,4,0))&lt;&gt;7,BY288-VLOOKUP($P288&amp;" | "&amp;BP$6,'Job Master'!$F$12:$I$102,4,0),BY288-VLOOKUP($P288&amp;" | "&amp;BP$6,'Job Master'!$F$12:$I$102,4,0)-1),""),"")</f>
        <v/>
      </c>
      <c r="BS288" s="73"/>
      <c r="BT288" s="123" t="str">
        <f t="shared" si="537"/>
        <v/>
      </c>
      <c r="BU288" s="123" t="str">
        <f t="shared" si="538"/>
        <v/>
      </c>
      <c r="BV288" s="97" t="str">
        <f t="shared" ca="1" si="539"/>
        <v/>
      </c>
      <c r="BW288" s="98" t="str">
        <f>IF(BY288&lt;&gt;"",VLOOKUP($P288&amp;" | "&amp;BW$6,'Job Master'!$F$12:$J$102,5,0),"")</f>
        <v/>
      </c>
      <c r="BX288" s="19" t="str">
        <f>IF(BY288&lt;&gt;"",VLOOKUP($P288&amp;" | "&amp;BW$6,'Job Master'!$F$12:$J$102,3,0),"")</f>
        <v/>
      </c>
      <c r="BY288" s="19" t="str">
        <f>IFERROR(IF(AND(CF288&lt;&gt;"",VLOOKUP($P288&amp;" | "&amp;BW$6,'Job Master'!$F$12:$I$102,4,0)&lt;&gt;""),IF(WEEKDAY(CF288-VLOOKUP($P288&amp;" | "&amp;BW$6,'Job Master'!$F$12:$I$102,4,0))&lt;&gt;7,CF288-VLOOKUP($P288&amp;" | "&amp;BW$6,'Job Master'!$F$12:$I$102,4,0),CF288-VLOOKUP($P288&amp;" | "&amp;BW$6,'Job Master'!$F$12:$I$102,4,0)-1),""),"")</f>
        <v/>
      </c>
      <c r="BZ288" s="73"/>
      <c r="CA288" s="123" t="str">
        <f t="shared" si="540"/>
        <v/>
      </c>
      <c r="CB288" s="123" t="str">
        <f t="shared" si="541"/>
        <v/>
      </c>
      <c r="CC288" s="97" t="str">
        <f t="shared" ca="1" si="542"/>
        <v/>
      </c>
      <c r="CD288" s="98" t="str">
        <f>IF(CF288&lt;&gt;"",VLOOKUP($P288&amp;" | "&amp;CD$6,'Job Master'!$F$12:$J$102,5,0),"")</f>
        <v/>
      </c>
      <c r="CE288" s="19" t="str">
        <f>IF(CF288&lt;&gt;"",VLOOKUP($P288&amp;" | "&amp;CD$6,'Job Master'!$F$12:$J$102,3,0),"")</f>
        <v/>
      </c>
      <c r="CF288" s="19" t="str">
        <f>IFERROR(IF(AND(CM288&lt;&gt;"",VLOOKUP($P288&amp;" | "&amp;CD$6,'Job Master'!$F$12:$I$102,4,0)&lt;&gt;""),IF(WEEKDAY(CM288-VLOOKUP($P288&amp;" | "&amp;CD$6,'Job Master'!$F$12:$I$102,4,0))&lt;&gt;7,CM288-VLOOKUP($P288&amp;" | "&amp;CD$6,'Job Master'!$F$12:$I$102,4,0),CM288-VLOOKUP($P288&amp;" | "&amp;CD$6,'Job Master'!$F$12:$I$102,4,0)-1),""),"")</f>
        <v/>
      </c>
      <c r="CG288" s="73"/>
      <c r="CH288" s="123" t="str">
        <f t="shared" si="543"/>
        <v/>
      </c>
      <c r="CI288" s="123" t="str">
        <f t="shared" si="544"/>
        <v/>
      </c>
      <c r="CJ288" s="97" t="str">
        <f t="shared" ca="1" si="545"/>
        <v/>
      </c>
      <c r="CK288" s="98" t="str">
        <f>IF(CM288&lt;&gt;"",VLOOKUP($P288&amp;" | "&amp;CK$6,'Job Master'!$F$12:$J$102,5,0),"")</f>
        <v/>
      </c>
      <c r="CL288" s="19" t="str">
        <f>IF(CM288&lt;&gt;"",VLOOKUP($P288&amp;" | "&amp;CK$6,'Job Master'!$F$12:$J$102,3,0),"")</f>
        <v/>
      </c>
      <c r="CM288" s="19" t="str">
        <f>IFERROR(IF(AND(CT288&lt;&gt;"",VLOOKUP($P288&amp;" | "&amp;CK$6,'Job Master'!$F$12:$I$102,4,0)&lt;&gt;""),IF(WEEKDAY(CT288-VLOOKUP($P288&amp;" | "&amp;CK$6,'Job Master'!$F$12:$I$102,4,0))&lt;&gt;7,CT288-VLOOKUP($P288&amp;" | "&amp;CK$6,'Job Master'!$F$12:$I$102,4,0),CT288-VLOOKUP($P288&amp;" | "&amp;CK$6,'Job Master'!$F$12:$I$102,4,0)-1),""),"")</f>
        <v/>
      </c>
      <c r="CN288" s="73"/>
      <c r="CO288" s="123" t="str">
        <f t="shared" si="546"/>
        <v/>
      </c>
      <c r="CP288" s="123" t="str">
        <f t="shared" si="547"/>
        <v/>
      </c>
      <c r="CQ288" s="97" t="str">
        <f t="shared" ca="1" si="548"/>
        <v/>
      </c>
      <c r="CR288" s="98" t="str">
        <f>IF(CT288&lt;&gt;"",VLOOKUP($P288&amp;" | "&amp;CR$6,'Job Master'!$F$12:$J$102,5,0),"")</f>
        <v/>
      </c>
      <c r="CS288" s="19" t="str">
        <f>IF(CT288&lt;&gt;"",VLOOKUP($P288&amp;" | "&amp;CR$6,'Job Master'!$F$12:$J$102,3,0),"")</f>
        <v/>
      </c>
      <c r="CT288" s="19" t="str">
        <f>IFERROR(IF(AND(DA288&lt;&gt;"",VLOOKUP($P288&amp;" | "&amp;CR$6,'Job Master'!$F$12:$I$102,4,0)&lt;&gt;""),IF(WEEKDAY(DA288-VLOOKUP($P288&amp;" | "&amp;CR$6,'Job Master'!$F$12:$I$102,4,0))&lt;&gt;7,DA288-VLOOKUP($P288&amp;" | "&amp;CR$6,'Job Master'!$F$12:$I$102,4,0),DA288-VLOOKUP($P288&amp;" | "&amp;CR$6,'Job Master'!$F$12:$I$102,4,0)-1),""),"")</f>
        <v/>
      </c>
      <c r="CU288" s="73"/>
      <c r="CV288" s="123" t="str">
        <f t="shared" si="549"/>
        <v/>
      </c>
      <c r="CW288" s="123" t="str">
        <f t="shared" si="550"/>
        <v/>
      </c>
      <c r="CX288" s="97" t="str">
        <f t="shared" ca="1" si="551"/>
        <v/>
      </c>
      <c r="CY288" s="98" t="str">
        <f>IF(DA288&lt;&gt;"",VLOOKUP($P288&amp;" | "&amp;CY$6,'Job Master'!$F$12:$J$102,5,0),"")</f>
        <v/>
      </c>
      <c r="CZ288" s="19" t="str">
        <f>IF(DA288&lt;&gt;"",VLOOKUP($P288&amp;" | "&amp;CY$6,'Job Master'!$F$12:$J$102,3,0),"")</f>
        <v/>
      </c>
      <c r="DA288" s="19" t="str">
        <f>IFERROR(IF(AND(DH288&lt;&gt;"",VLOOKUP($P288&amp;" | "&amp;CY$6,'Job Master'!$F$12:$I$102,4,0)&lt;&gt;""),IF(WEEKDAY(DH288-VLOOKUP($P288&amp;" | "&amp;CY$6,'Job Master'!$F$12:$I$102,4,0))&lt;&gt;7,DH288-VLOOKUP($P288&amp;" | "&amp;CY$6,'Job Master'!$F$12:$I$102,4,0),DH288-VLOOKUP($P288&amp;" | "&amp;CY$6,'Job Master'!$F$12:$I$102,4,0)-1),""),"")</f>
        <v/>
      </c>
      <c r="DB288" s="73"/>
      <c r="DC288" s="123" t="str">
        <f t="shared" si="552"/>
        <v/>
      </c>
      <c r="DD288" s="123" t="str">
        <f t="shared" si="553"/>
        <v/>
      </c>
      <c r="DE288" s="97" t="str">
        <f t="shared" ca="1" si="554"/>
        <v/>
      </c>
      <c r="DF288" s="98" t="str">
        <f>IF(DH288&lt;&gt;"",VLOOKUP($P288&amp;" | "&amp;DF$6,'Job Master'!$F$12:$J$102,5,0),"")</f>
        <v/>
      </c>
      <c r="DG288" s="19" t="str">
        <f>IF(DH288&lt;&gt;"",VLOOKUP($P288&amp;" | "&amp;DF$6,'Job Master'!$F$12:$J$102,3,0),"")</f>
        <v/>
      </c>
      <c r="DH288" s="19" t="str">
        <f>IFERROR(IF(AND(DO288&lt;&gt;"",VLOOKUP($P288&amp;" | "&amp;DF$6,'Job Master'!$F$12:$I$102,4,0)&lt;&gt;""),IF(WEEKDAY(DO288-VLOOKUP($P288&amp;" | "&amp;DF$6,'Job Master'!$F$12:$I$102,4,0))&lt;&gt;7,DO288-VLOOKUP($P288&amp;" | "&amp;DF$6,'Job Master'!$F$12:$I$102,4,0),DO288-VLOOKUP($P288&amp;" | "&amp;DF$6,'Job Master'!$F$12:$I$102,4,0)-1),""),"")</f>
        <v/>
      </c>
      <c r="DI288" s="73"/>
      <c r="DJ288" s="123" t="str">
        <f t="shared" si="555"/>
        <v/>
      </c>
      <c r="DK288" s="123" t="str">
        <f t="shared" si="556"/>
        <v/>
      </c>
      <c r="DL288" s="97" t="str">
        <f t="shared" ca="1" si="557"/>
        <v/>
      </c>
      <c r="DM288" s="98" t="str">
        <f>IF(DO288&lt;&gt;"",VLOOKUP($P288&amp;" | "&amp;DM$6,'Job Master'!$F$12:$J$102,5,0),"")</f>
        <v/>
      </c>
      <c r="DN288" s="19" t="str">
        <f>IF(DO288&lt;&gt;"",VLOOKUP($P288&amp;" | "&amp;DM$6,'Job Master'!$F$12:$J$102,3,0),"")</f>
        <v/>
      </c>
      <c r="DO288" s="19" t="str">
        <f>IFERROR(IF(AND(DT288&lt;&gt;"",VLOOKUP($P288&amp;" | "&amp;DM$6,'Job Master'!$F$12:$I$102,4,0)&lt;&gt;""),IF(WEEKDAY(DT288-VLOOKUP($P288&amp;" | "&amp;DM$6,'Job Master'!$F$12:$I$102,4,0))&lt;&gt;7,DT288-VLOOKUP($P288&amp;" | "&amp;DM$6,'Job Master'!$F$12:$I$102,4,0),DT288-VLOOKUP($P288&amp;" | "&amp;DM$6,'Job Master'!$F$12:$I$102,4,0)-1),""),"")</f>
        <v/>
      </c>
      <c r="DP288" s="73"/>
      <c r="DQ288" s="123" t="str">
        <f t="shared" si="558"/>
        <v/>
      </c>
      <c r="DR288" s="123" t="str">
        <f t="shared" si="559"/>
        <v/>
      </c>
      <c r="DS288" s="97" t="str">
        <f t="shared" ca="1" si="560"/>
        <v/>
      </c>
      <c r="DT288" s="70" t="str">
        <f t="shared" si="561"/>
        <v/>
      </c>
      <c r="DU288" s="90"/>
      <c r="DV288" s="123" t="str">
        <f t="shared" si="562"/>
        <v/>
      </c>
      <c r="DW288" s="123" t="str">
        <f t="shared" si="563"/>
        <v/>
      </c>
      <c r="DX288" s="132" t="str">
        <f t="shared" ref="DX288" ca="1" si="597">IF(DT288&lt;&gt;"",IF(WEEKNUM(DT288)=WEEKNUM(TODAY()),"This Week",IF(WEEKNUM(DT288)=WEEKNUM(TODAY())+1,"Next Week",IF(WEEKNUM(DT288)=WEEKNUM(TODAY())-1,"Previous Week",""))),"")</f>
        <v/>
      </c>
      <c r="DY288" s="134" t="str">
        <f t="shared" si="565"/>
        <v/>
      </c>
      <c r="DZ288" s="95"/>
      <c r="EB288" s="8" t="str">
        <f t="shared" si="571"/>
        <v/>
      </c>
      <c r="EC288" s="8" t="str">
        <f>IF(O288&lt;&gt;"",VLOOKUP(O288,'Job Master'!$N$12:$O$18,2,0),"")</f>
        <v/>
      </c>
      <c r="ED288" s="8">
        <f t="shared" si="572"/>
        <v>19.5</v>
      </c>
      <c r="EE288" s="8">
        <f t="shared" si="573"/>
        <v>6</v>
      </c>
      <c r="EF288" s="8">
        <f t="shared" si="574"/>
        <v>-1648.5</v>
      </c>
      <c r="EG288" s="8" t="str">
        <f t="shared" si="575"/>
        <v/>
      </c>
      <c r="EH288" s="8" t="str">
        <f t="shared" si="576"/>
        <v/>
      </c>
    </row>
    <row r="289" spans="2:138" x14ac:dyDescent="0.3">
      <c r="B289" s="112"/>
      <c r="C289" s="27"/>
      <c r="D289" s="7" t="str">
        <f t="shared" si="513"/>
        <v/>
      </c>
      <c r="E289" s="25"/>
      <c r="F289" s="7" t="str">
        <f t="shared" si="513"/>
        <v/>
      </c>
      <c r="G289" s="25"/>
      <c r="H289" s="7" t="str">
        <f t="shared" si="513"/>
        <v/>
      </c>
      <c r="I289" s="25"/>
      <c r="J289" s="7" t="str">
        <f t="shared" si="513"/>
        <v/>
      </c>
      <c r="K289" s="25"/>
      <c r="L289" s="7" t="str">
        <f t="shared" si="514"/>
        <v/>
      </c>
      <c r="M289" s="25"/>
      <c r="N289" s="7" t="str">
        <f t="shared" si="515"/>
        <v/>
      </c>
      <c r="O289" s="81"/>
      <c r="P289" s="81" t="str">
        <f t="shared" si="516"/>
        <v/>
      </c>
      <c r="Q289" s="81"/>
      <c r="R289" s="7" t="str">
        <f t="shared" si="517"/>
        <v/>
      </c>
      <c r="S289" s="25"/>
      <c r="T289" s="7" t="str">
        <f t="shared" si="518"/>
        <v/>
      </c>
      <c r="U289" s="25"/>
      <c r="V289" s="7" t="str">
        <f t="shared" si="519"/>
        <v/>
      </c>
      <c r="W289" s="25"/>
      <c r="X289" s="7" t="str">
        <f t="shared" si="520"/>
        <v/>
      </c>
      <c r="Y289" s="18" t="str">
        <f t="shared" si="521"/>
        <v/>
      </c>
      <c r="Z289" s="7" t="str">
        <f t="shared" si="522"/>
        <v/>
      </c>
      <c r="AA289" s="18" t="str">
        <f t="shared" si="523"/>
        <v/>
      </c>
      <c r="AB289" s="19" t="str">
        <f t="shared" si="524"/>
        <v/>
      </c>
      <c r="AC289" s="26"/>
      <c r="AD289" s="26"/>
      <c r="AE289" s="25"/>
      <c r="AF289" s="26"/>
      <c r="AG289" s="25"/>
      <c r="AH289" s="25"/>
      <c r="AI289" s="18" t="str">
        <f t="shared" si="587"/>
        <v/>
      </c>
      <c r="AJ289" s="25"/>
      <c r="AK289" s="18" t="str">
        <f t="shared" si="588"/>
        <v/>
      </c>
      <c r="AL289" s="79"/>
      <c r="AM289" s="126" t="str">
        <f t="shared" si="589"/>
        <v/>
      </c>
      <c r="AN289" s="128" t="str">
        <f>IF(AP289&lt;&gt;"",VLOOKUP($P289&amp;" | "&amp;AN$6,'Job Master'!$F$12:$J$102,5,0),"")</f>
        <v/>
      </c>
      <c r="AO289" s="19" t="str">
        <f>IF(AP289&lt;&gt;"",VLOOKUP($P289&amp;" | "&amp;AN$6,'Job Master'!$F$12:$J$102,3,0),"")</f>
        <v/>
      </c>
      <c r="AP289" s="19" t="str">
        <f>IFERROR(IF(AND(AW289&lt;&gt;"",VLOOKUP($P289&amp;" | "&amp;AN$6,'Job Master'!$F$12:$I$102,4,0)&lt;&gt;""),IF(WEEKDAY(AW289-VLOOKUP($P289&amp;" | "&amp;AN$6,'Job Master'!$F$12:$I$102,4,0))&lt;&gt;7,AW289-VLOOKUP($P289&amp;" | "&amp;AN$6,'Job Master'!$F$12:$I$102,4,0),AW289-VLOOKUP($P289&amp;" | "&amp;AN$6,'Job Master'!$F$12:$I$102,4,0)-1),""),"")</f>
        <v/>
      </c>
      <c r="AQ289" s="73"/>
      <c r="AR289" s="123" t="str">
        <f t="shared" si="525"/>
        <v/>
      </c>
      <c r="AS289" s="123" t="str">
        <f t="shared" si="526"/>
        <v/>
      </c>
      <c r="AT289" s="97" t="str">
        <f t="shared" ca="1" si="527"/>
        <v/>
      </c>
      <c r="AU289" s="98" t="str">
        <f>IF(AW289&lt;&gt;"",VLOOKUP($P289&amp;" | "&amp;AU$6,'Job Master'!$F$12:$J$102,5,0),"")</f>
        <v/>
      </c>
      <c r="AV289" s="19" t="str">
        <f>IF(AW289&lt;&gt;"",VLOOKUP($P289&amp;" | "&amp;AU$6,'Job Master'!$F$12:$J$102,3,0),"")</f>
        <v/>
      </c>
      <c r="AW289" s="19" t="str">
        <f>IFERROR(IF(AND(BD289&lt;&gt;"",VLOOKUP($P289&amp;" | "&amp;AU$6,'Job Master'!$F$12:$I$102,4,0)&lt;&gt;""),IF(WEEKDAY(BD289-VLOOKUP($P289&amp;" | "&amp;AU$6,'Job Master'!$F$12:$I$102,4,0))&lt;&gt;7,BD289-VLOOKUP($P289&amp;" | "&amp;AU$6,'Job Master'!$F$12:$I$102,4,0),BD289-VLOOKUP($P289&amp;" | "&amp;AU$6,'Job Master'!$F$12:$I$102,4,0)-1),""),"")</f>
        <v/>
      </c>
      <c r="AX289" s="73"/>
      <c r="AY289" s="123" t="str">
        <f t="shared" si="528"/>
        <v/>
      </c>
      <c r="AZ289" s="123" t="str">
        <f t="shared" si="529"/>
        <v/>
      </c>
      <c r="BA289" s="97" t="str">
        <f t="shared" ca="1" si="530"/>
        <v/>
      </c>
      <c r="BB289" s="98" t="str">
        <f>IF(BD289&lt;&gt;"",VLOOKUP($P289&amp;" | "&amp;BB$6,'Job Master'!$F$12:$J$102,5,0),"")</f>
        <v/>
      </c>
      <c r="BC289" s="19" t="str">
        <f>IF(BD289&lt;&gt;"",VLOOKUP($P289&amp;" | "&amp;BB$6,'Job Master'!$F$12:$J$102,3,0),"")</f>
        <v/>
      </c>
      <c r="BD289" s="19" t="str">
        <f>IFERROR(IF(AND(BK289&lt;&gt;"",VLOOKUP($P289&amp;" | "&amp;BB$6,'Job Master'!$F$12:$I$102,4,0)&lt;&gt;""),IF(WEEKDAY(BK289-VLOOKUP($P289&amp;" | "&amp;BB$6,'Job Master'!$F$12:$I$102,4,0))&lt;&gt;7,BK289-VLOOKUP($P289&amp;" | "&amp;BB$6,'Job Master'!$F$12:$I$102,4,0),BK289-VLOOKUP($P289&amp;" | "&amp;BB$6,'Job Master'!$F$12:$I$102,4,0)-1),""),"")</f>
        <v/>
      </c>
      <c r="BE289" s="73"/>
      <c r="BF289" s="123" t="str">
        <f t="shared" si="531"/>
        <v/>
      </c>
      <c r="BG289" s="123" t="str">
        <f t="shared" si="532"/>
        <v/>
      </c>
      <c r="BH289" s="97" t="str">
        <f t="shared" ca="1" si="533"/>
        <v/>
      </c>
      <c r="BI289" s="98" t="str">
        <f>IF(BK289&lt;&gt;"",VLOOKUP($P289&amp;" | "&amp;BI$6,'Job Master'!$F$12:$J$102,5,0),"")</f>
        <v/>
      </c>
      <c r="BJ289" s="19" t="str">
        <f>IF(BK289&lt;&gt;"",VLOOKUP($P289&amp;" | "&amp;BI$6,'Job Master'!$F$12:$J$102,3,0),"")</f>
        <v/>
      </c>
      <c r="BK289" s="19" t="str">
        <f>IFERROR(IF(AND(BR289&lt;&gt;"",VLOOKUP($P289&amp;" | "&amp;BI$6,'Job Master'!$F$12:$I$102,4,0)&lt;&gt;""),IF(WEEKDAY(BR289-VLOOKUP($P289&amp;" | "&amp;BI$6,'Job Master'!$F$12:$I$102,4,0))&lt;&gt;7,BR289-VLOOKUP($P289&amp;" | "&amp;BI$6,'Job Master'!$F$12:$I$102,4,0),BR289-VLOOKUP($P289&amp;" | "&amp;BI$6,'Job Master'!$F$12:$I$102,4,0)-1),""),"")</f>
        <v/>
      </c>
      <c r="BL289" s="73"/>
      <c r="BM289" s="123" t="str">
        <f t="shared" si="534"/>
        <v/>
      </c>
      <c r="BN289" s="123" t="str">
        <f t="shared" si="535"/>
        <v/>
      </c>
      <c r="BO289" s="97" t="str">
        <f t="shared" ca="1" si="536"/>
        <v/>
      </c>
      <c r="BP289" s="98" t="str">
        <f>IF(BR289&lt;&gt;"",VLOOKUP($P289&amp;" | "&amp;BP$6,'Job Master'!$F$12:$J$102,5,0),"")</f>
        <v/>
      </c>
      <c r="BQ289" s="19" t="str">
        <f>IF(BR289&lt;&gt;"",VLOOKUP($P289&amp;" | "&amp;BP$6,'Job Master'!$F$12:$J$102,3,0),"")</f>
        <v/>
      </c>
      <c r="BR289" s="19" t="str">
        <f>IFERROR(IF(AND(BY289&lt;&gt;"",VLOOKUP($P289&amp;" | "&amp;BP$6,'Job Master'!$F$12:$I$102,4,0)&lt;&gt;""),IF(WEEKDAY(BY289-VLOOKUP($P289&amp;" | "&amp;BP$6,'Job Master'!$F$12:$I$102,4,0))&lt;&gt;7,BY289-VLOOKUP($P289&amp;" | "&amp;BP$6,'Job Master'!$F$12:$I$102,4,0),BY289-VLOOKUP($P289&amp;" | "&amp;BP$6,'Job Master'!$F$12:$I$102,4,0)-1),""),"")</f>
        <v/>
      </c>
      <c r="BS289" s="73"/>
      <c r="BT289" s="123" t="str">
        <f t="shared" si="537"/>
        <v/>
      </c>
      <c r="BU289" s="123" t="str">
        <f t="shared" si="538"/>
        <v/>
      </c>
      <c r="BV289" s="97" t="str">
        <f t="shared" ca="1" si="539"/>
        <v/>
      </c>
      <c r="BW289" s="98" t="str">
        <f>IF(BY289&lt;&gt;"",VLOOKUP($P289&amp;" | "&amp;BW$6,'Job Master'!$F$12:$J$102,5,0),"")</f>
        <v/>
      </c>
      <c r="BX289" s="19" t="str">
        <f>IF(BY289&lt;&gt;"",VLOOKUP($P289&amp;" | "&amp;BW$6,'Job Master'!$F$12:$J$102,3,0),"")</f>
        <v/>
      </c>
      <c r="BY289" s="19" t="str">
        <f>IFERROR(IF(AND(CF289&lt;&gt;"",VLOOKUP($P289&amp;" | "&amp;BW$6,'Job Master'!$F$12:$I$102,4,0)&lt;&gt;""),IF(WEEKDAY(CF289-VLOOKUP($P289&amp;" | "&amp;BW$6,'Job Master'!$F$12:$I$102,4,0))&lt;&gt;7,CF289-VLOOKUP($P289&amp;" | "&amp;BW$6,'Job Master'!$F$12:$I$102,4,0),CF289-VLOOKUP($P289&amp;" | "&amp;BW$6,'Job Master'!$F$12:$I$102,4,0)-1),""),"")</f>
        <v/>
      </c>
      <c r="BZ289" s="73"/>
      <c r="CA289" s="123" t="str">
        <f t="shared" si="540"/>
        <v/>
      </c>
      <c r="CB289" s="123" t="str">
        <f t="shared" si="541"/>
        <v/>
      </c>
      <c r="CC289" s="97" t="str">
        <f t="shared" ca="1" si="542"/>
        <v/>
      </c>
      <c r="CD289" s="98" t="str">
        <f>IF(CF289&lt;&gt;"",VLOOKUP($P289&amp;" | "&amp;CD$6,'Job Master'!$F$12:$J$102,5,0),"")</f>
        <v/>
      </c>
      <c r="CE289" s="19" t="str">
        <f>IF(CF289&lt;&gt;"",VLOOKUP($P289&amp;" | "&amp;CD$6,'Job Master'!$F$12:$J$102,3,0),"")</f>
        <v/>
      </c>
      <c r="CF289" s="19" t="str">
        <f>IFERROR(IF(AND(CM289&lt;&gt;"",VLOOKUP($P289&amp;" | "&amp;CD$6,'Job Master'!$F$12:$I$102,4,0)&lt;&gt;""),IF(WEEKDAY(CM289-VLOOKUP($P289&amp;" | "&amp;CD$6,'Job Master'!$F$12:$I$102,4,0))&lt;&gt;7,CM289-VLOOKUP($P289&amp;" | "&amp;CD$6,'Job Master'!$F$12:$I$102,4,0),CM289-VLOOKUP($P289&amp;" | "&amp;CD$6,'Job Master'!$F$12:$I$102,4,0)-1),""),"")</f>
        <v/>
      </c>
      <c r="CG289" s="73"/>
      <c r="CH289" s="123" t="str">
        <f t="shared" si="543"/>
        <v/>
      </c>
      <c r="CI289" s="123" t="str">
        <f t="shared" si="544"/>
        <v/>
      </c>
      <c r="CJ289" s="97" t="str">
        <f t="shared" ca="1" si="545"/>
        <v/>
      </c>
      <c r="CK289" s="98" t="str">
        <f>IF(CM289&lt;&gt;"",VLOOKUP($P289&amp;" | "&amp;CK$6,'Job Master'!$F$12:$J$102,5,0),"")</f>
        <v/>
      </c>
      <c r="CL289" s="19" t="str">
        <f>IF(CM289&lt;&gt;"",VLOOKUP($P289&amp;" | "&amp;CK$6,'Job Master'!$F$12:$J$102,3,0),"")</f>
        <v/>
      </c>
      <c r="CM289" s="19" t="str">
        <f>IFERROR(IF(AND(CT289&lt;&gt;"",VLOOKUP($P289&amp;" | "&amp;CK$6,'Job Master'!$F$12:$I$102,4,0)&lt;&gt;""),IF(WEEKDAY(CT289-VLOOKUP($P289&amp;" | "&amp;CK$6,'Job Master'!$F$12:$I$102,4,0))&lt;&gt;7,CT289-VLOOKUP($P289&amp;" | "&amp;CK$6,'Job Master'!$F$12:$I$102,4,0),CT289-VLOOKUP($P289&amp;" | "&amp;CK$6,'Job Master'!$F$12:$I$102,4,0)-1),""),"")</f>
        <v/>
      </c>
      <c r="CN289" s="73"/>
      <c r="CO289" s="123" t="str">
        <f t="shared" si="546"/>
        <v/>
      </c>
      <c r="CP289" s="123" t="str">
        <f t="shared" si="547"/>
        <v/>
      </c>
      <c r="CQ289" s="97" t="str">
        <f t="shared" ca="1" si="548"/>
        <v/>
      </c>
      <c r="CR289" s="98" t="str">
        <f>IF(CT289&lt;&gt;"",VLOOKUP($P289&amp;" | "&amp;CR$6,'Job Master'!$F$12:$J$102,5,0),"")</f>
        <v/>
      </c>
      <c r="CS289" s="19" t="str">
        <f>IF(CT289&lt;&gt;"",VLOOKUP($P289&amp;" | "&amp;CR$6,'Job Master'!$F$12:$J$102,3,0),"")</f>
        <v/>
      </c>
      <c r="CT289" s="19" t="str">
        <f>IFERROR(IF(AND(DA289&lt;&gt;"",VLOOKUP($P289&amp;" | "&amp;CR$6,'Job Master'!$F$12:$I$102,4,0)&lt;&gt;""),IF(WEEKDAY(DA289-VLOOKUP($P289&amp;" | "&amp;CR$6,'Job Master'!$F$12:$I$102,4,0))&lt;&gt;7,DA289-VLOOKUP($P289&amp;" | "&amp;CR$6,'Job Master'!$F$12:$I$102,4,0),DA289-VLOOKUP($P289&amp;" | "&amp;CR$6,'Job Master'!$F$12:$I$102,4,0)-1),""),"")</f>
        <v/>
      </c>
      <c r="CU289" s="73"/>
      <c r="CV289" s="123" t="str">
        <f t="shared" si="549"/>
        <v/>
      </c>
      <c r="CW289" s="123" t="str">
        <f t="shared" si="550"/>
        <v/>
      </c>
      <c r="CX289" s="97" t="str">
        <f t="shared" ca="1" si="551"/>
        <v/>
      </c>
      <c r="CY289" s="98" t="str">
        <f>IF(DA289&lt;&gt;"",VLOOKUP($P289&amp;" | "&amp;CY$6,'Job Master'!$F$12:$J$102,5,0),"")</f>
        <v/>
      </c>
      <c r="CZ289" s="19" t="str">
        <f>IF(DA289&lt;&gt;"",VLOOKUP($P289&amp;" | "&amp;CY$6,'Job Master'!$F$12:$J$102,3,0),"")</f>
        <v/>
      </c>
      <c r="DA289" s="19" t="str">
        <f>IFERROR(IF(AND(DH289&lt;&gt;"",VLOOKUP($P289&amp;" | "&amp;CY$6,'Job Master'!$F$12:$I$102,4,0)&lt;&gt;""),IF(WEEKDAY(DH289-VLOOKUP($P289&amp;" | "&amp;CY$6,'Job Master'!$F$12:$I$102,4,0))&lt;&gt;7,DH289-VLOOKUP($P289&amp;" | "&amp;CY$6,'Job Master'!$F$12:$I$102,4,0),DH289-VLOOKUP($P289&amp;" | "&amp;CY$6,'Job Master'!$F$12:$I$102,4,0)-1),""),"")</f>
        <v/>
      </c>
      <c r="DB289" s="73"/>
      <c r="DC289" s="123" t="str">
        <f t="shared" si="552"/>
        <v/>
      </c>
      <c r="DD289" s="123" t="str">
        <f t="shared" si="553"/>
        <v/>
      </c>
      <c r="DE289" s="97" t="str">
        <f t="shared" ca="1" si="554"/>
        <v/>
      </c>
      <c r="DF289" s="98" t="str">
        <f>IF(DH289&lt;&gt;"",VLOOKUP($P289&amp;" | "&amp;DF$6,'Job Master'!$F$12:$J$102,5,0),"")</f>
        <v/>
      </c>
      <c r="DG289" s="19" t="str">
        <f>IF(DH289&lt;&gt;"",VLOOKUP($P289&amp;" | "&amp;DF$6,'Job Master'!$F$12:$J$102,3,0),"")</f>
        <v/>
      </c>
      <c r="DH289" s="19" t="str">
        <f>IFERROR(IF(AND(DO289&lt;&gt;"",VLOOKUP($P289&amp;" | "&amp;DF$6,'Job Master'!$F$12:$I$102,4,0)&lt;&gt;""),IF(WEEKDAY(DO289-VLOOKUP($P289&amp;" | "&amp;DF$6,'Job Master'!$F$12:$I$102,4,0))&lt;&gt;7,DO289-VLOOKUP($P289&amp;" | "&amp;DF$6,'Job Master'!$F$12:$I$102,4,0),DO289-VLOOKUP($P289&amp;" | "&amp;DF$6,'Job Master'!$F$12:$I$102,4,0)-1),""),"")</f>
        <v/>
      </c>
      <c r="DI289" s="73"/>
      <c r="DJ289" s="123" t="str">
        <f t="shared" si="555"/>
        <v/>
      </c>
      <c r="DK289" s="123" t="str">
        <f t="shared" si="556"/>
        <v/>
      </c>
      <c r="DL289" s="97" t="str">
        <f t="shared" ca="1" si="557"/>
        <v/>
      </c>
      <c r="DM289" s="98" t="str">
        <f>IF(DO289&lt;&gt;"",VLOOKUP($P289&amp;" | "&amp;DM$6,'Job Master'!$F$12:$J$102,5,0),"")</f>
        <v/>
      </c>
      <c r="DN289" s="19" t="str">
        <f>IF(DO289&lt;&gt;"",VLOOKUP($P289&amp;" | "&amp;DM$6,'Job Master'!$F$12:$J$102,3,0),"")</f>
        <v/>
      </c>
      <c r="DO289" s="19" t="str">
        <f>IFERROR(IF(AND(DT289&lt;&gt;"",VLOOKUP($P289&amp;" | "&amp;DM$6,'Job Master'!$F$12:$I$102,4,0)&lt;&gt;""),IF(WEEKDAY(DT289-VLOOKUP($P289&amp;" | "&amp;DM$6,'Job Master'!$F$12:$I$102,4,0))&lt;&gt;7,DT289-VLOOKUP($P289&amp;" | "&amp;DM$6,'Job Master'!$F$12:$I$102,4,0),DT289-VLOOKUP($P289&amp;" | "&amp;DM$6,'Job Master'!$F$12:$I$102,4,0)-1),""),"")</f>
        <v/>
      </c>
      <c r="DP289" s="73"/>
      <c r="DQ289" s="123" t="str">
        <f t="shared" si="558"/>
        <v/>
      </c>
      <c r="DR289" s="123" t="str">
        <f t="shared" si="559"/>
        <v/>
      </c>
      <c r="DS289" s="97" t="str">
        <f t="shared" ca="1" si="560"/>
        <v/>
      </c>
      <c r="DT289" s="70" t="str">
        <f t="shared" si="561"/>
        <v/>
      </c>
      <c r="DU289" s="90"/>
      <c r="DV289" s="123" t="str">
        <f t="shared" si="562"/>
        <v/>
      </c>
      <c r="DW289" s="123" t="str">
        <f t="shared" si="563"/>
        <v/>
      </c>
      <c r="DX289" s="132" t="str">
        <f t="shared" ref="DX289" ca="1" si="598">IF(DT289&lt;&gt;"",IF(WEEKNUM(DT289)=WEEKNUM(TODAY()),"This Week",IF(WEEKNUM(DT289)=WEEKNUM(TODAY())+1,"Next Week",IF(WEEKNUM(DT289)=WEEKNUM(TODAY())-1,"Previous Week",""))),"")</f>
        <v/>
      </c>
      <c r="DY289" s="134" t="str">
        <f t="shared" si="565"/>
        <v/>
      </c>
      <c r="DZ289" s="95"/>
      <c r="EB289" s="8" t="str">
        <f t="shared" si="571"/>
        <v/>
      </c>
      <c r="EC289" s="8" t="str">
        <f>IF(O289&lt;&gt;"",VLOOKUP(O289,'Job Master'!$N$12:$O$18,2,0),"")</f>
        <v/>
      </c>
      <c r="ED289" s="8">
        <f t="shared" si="572"/>
        <v>19.5</v>
      </c>
      <c r="EE289" s="8">
        <f t="shared" si="573"/>
        <v>6</v>
      </c>
      <c r="EF289" s="8">
        <f t="shared" si="574"/>
        <v>-1654.5</v>
      </c>
      <c r="EG289" s="8" t="str">
        <f t="shared" si="575"/>
        <v/>
      </c>
      <c r="EH289" s="8" t="str">
        <f t="shared" si="576"/>
        <v/>
      </c>
    </row>
    <row r="290" spans="2:138" x14ac:dyDescent="0.3">
      <c r="B290" s="112"/>
      <c r="C290" s="27"/>
      <c r="D290" s="7" t="str">
        <f t="shared" si="513"/>
        <v/>
      </c>
      <c r="E290" s="25"/>
      <c r="F290" s="7" t="str">
        <f t="shared" si="513"/>
        <v/>
      </c>
      <c r="G290" s="25"/>
      <c r="H290" s="7" t="str">
        <f t="shared" si="513"/>
        <v/>
      </c>
      <c r="I290" s="25"/>
      <c r="J290" s="7" t="str">
        <f t="shared" si="513"/>
        <v/>
      </c>
      <c r="K290" s="25"/>
      <c r="L290" s="7" t="str">
        <f t="shared" si="514"/>
        <v/>
      </c>
      <c r="M290" s="25"/>
      <c r="N290" s="7" t="str">
        <f t="shared" si="515"/>
        <v/>
      </c>
      <c r="O290" s="81"/>
      <c r="P290" s="81" t="str">
        <f t="shared" si="516"/>
        <v/>
      </c>
      <c r="Q290" s="81"/>
      <c r="R290" s="7" t="str">
        <f t="shared" si="517"/>
        <v/>
      </c>
      <c r="S290" s="25"/>
      <c r="T290" s="7" t="str">
        <f t="shared" si="518"/>
        <v/>
      </c>
      <c r="U290" s="25"/>
      <c r="V290" s="7" t="str">
        <f t="shared" si="519"/>
        <v/>
      </c>
      <c r="W290" s="25"/>
      <c r="X290" s="7" t="str">
        <f t="shared" si="520"/>
        <v/>
      </c>
      <c r="Y290" s="18" t="str">
        <f t="shared" si="521"/>
        <v/>
      </c>
      <c r="Z290" s="7" t="str">
        <f t="shared" si="522"/>
        <v/>
      </c>
      <c r="AA290" s="18" t="str">
        <f t="shared" si="523"/>
        <v/>
      </c>
      <c r="AB290" s="19" t="str">
        <f t="shared" si="524"/>
        <v/>
      </c>
      <c r="AC290" s="26"/>
      <c r="AD290" s="26"/>
      <c r="AE290" s="25"/>
      <c r="AF290" s="26"/>
      <c r="AG290" s="25"/>
      <c r="AH290" s="25"/>
      <c r="AI290" s="18" t="str">
        <f t="shared" si="587"/>
        <v/>
      </c>
      <c r="AJ290" s="25"/>
      <c r="AK290" s="18" t="str">
        <f t="shared" si="588"/>
        <v/>
      </c>
      <c r="AL290" s="79"/>
      <c r="AM290" s="126" t="str">
        <f t="shared" si="589"/>
        <v/>
      </c>
      <c r="AN290" s="128" t="str">
        <f>IF(AP290&lt;&gt;"",VLOOKUP($P290&amp;" | "&amp;AN$6,'Job Master'!$F$12:$J$102,5,0),"")</f>
        <v/>
      </c>
      <c r="AO290" s="19" t="str">
        <f>IF(AP290&lt;&gt;"",VLOOKUP($P290&amp;" | "&amp;AN$6,'Job Master'!$F$12:$J$102,3,0),"")</f>
        <v/>
      </c>
      <c r="AP290" s="19" t="str">
        <f>IFERROR(IF(AND(AW290&lt;&gt;"",VLOOKUP($P290&amp;" | "&amp;AN$6,'Job Master'!$F$12:$I$102,4,0)&lt;&gt;""),IF(WEEKDAY(AW290-VLOOKUP($P290&amp;" | "&amp;AN$6,'Job Master'!$F$12:$I$102,4,0))&lt;&gt;7,AW290-VLOOKUP($P290&amp;" | "&amp;AN$6,'Job Master'!$F$12:$I$102,4,0),AW290-VLOOKUP($P290&amp;" | "&amp;AN$6,'Job Master'!$F$12:$I$102,4,0)-1),""),"")</f>
        <v/>
      </c>
      <c r="AQ290" s="73"/>
      <c r="AR290" s="123" t="str">
        <f t="shared" si="525"/>
        <v/>
      </c>
      <c r="AS290" s="123" t="str">
        <f t="shared" si="526"/>
        <v/>
      </c>
      <c r="AT290" s="97" t="str">
        <f t="shared" ca="1" si="527"/>
        <v/>
      </c>
      <c r="AU290" s="98" t="str">
        <f>IF(AW290&lt;&gt;"",VLOOKUP($P290&amp;" | "&amp;AU$6,'Job Master'!$F$12:$J$102,5,0),"")</f>
        <v/>
      </c>
      <c r="AV290" s="19" t="str">
        <f>IF(AW290&lt;&gt;"",VLOOKUP($P290&amp;" | "&amp;AU$6,'Job Master'!$F$12:$J$102,3,0),"")</f>
        <v/>
      </c>
      <c r="AW290" s="19" t="str">
        <f>IFERROR(IF(AND(BD290&lt;&gt;"",VLOOKUP($P290&amp;" | "&amp;AU$6,'Job Master'!$F$12:$I$102,4,0)&lt;&gt;""),IF(WEEKDAY(BD290-VLOOKUP($P290&amp;" | "&amp;AU$6,'Job Master'!$F$12:$I$102,4,0))&lt;&gt;7,BD290-VLOOKUP($P290&amp;" | "&amp;AU$6,'Job Master'!$F$12:$I$102,4,0),BD290-VLOOKUP($P290&amp;" | "&amp;AU$6,'Job Master'!$F$12:$I$102,4,0)-1),""),"")</f>
        <v/>
      </c>
      <c r="AX290" s="73"/>
      <c r="AY290" s="123" t="str">
        <f t="shared" si="528"/>
        <v/>
      </c>
      <c r="AZ290" s="123" t="str">
        <f t="shared" si="529"/>
        <v/>
      </c>
      <c r="BA290" s="97" t="str">
        <f t="shared" ca="1" si="530"/>
        <v/>
      </c>
      <c r="BB290" s="98" t="str">
        <f>IF(BD290&lt;&gt;"",VLOOKUP($P290&amp;" | "&amp;BB$6,'Job Master'!$F$12:$J$102,5,0),"")</f>
        <v/>
      </c>
      <c r="BC290" s="19" t="str">
        <f>IF(BD290&lt;&gt;"",VLOOKUP($P290&amp;" | "&amp;BB$6,'Job Master'!$F$12:$J$102,3,0),"")</f>
        <v/>
      </c>
      <c r="BD290" s="19" t="str">
        <f>IFERROR(IF(AND(BK290&lt;&gt;"",VLOOKUP($P290&amp;" | "&amp;BB$6,'Job Master'!$F$12:$I$102,4,0)&lt;&gt;""),IF(WEEKDAY(BK290-VLOOKUP($P290&amp;" | "&amp;BB$6,'Job Master'!$F$12:$I$102,4,0))&lt;&gt;7,BK290-VLOOKUP($P290&amp;" | "&amp;BB$6,'Job Master'!$F$12:$I$102,4,0),BK290-VLOOKUP($P290&amp;" | "&amp;BB$6,'Job Master'!$F$12:$I$102,4,0)-1),""),"")</f>
        <v/>
      </c>
      <c r="BE290" s="73"/>
      <c r="BF290" s="123" t="str">
        <f t="shared" si="531"/>
        <v/>
      </c>
      <c r="BG290" s="123" t="str">
        <f t="shared" si="532"/>
        <v/>
      </c>
      <c r="BH290" s="97" t="str">
        <f t="shared" ca="1" si="533"/>
        <v/>
      </c>
      <c r="BI290" s="98" t="str">
        <f>IF(BK290&lt;&gt;"",VLOOKUP($P290&amp;" | "&amp;BI$6,'Job Master'!$F$12:$J$102,5,0),"")</f>
        <v/>
      </c>
      <c r="BJ290" s="19" t="str">
        <f>IF(BK290&lt;&gt;"",VLOOKUP($P290&amp;" | "&amp;BI$6,'Job Master'!$F$12:$J$102,3,0),"")</f>
        <v/>
      </c>
      <c r="BK290" s="19" t="str">
        <f>IFERROR(IF(AND(BR290&lt;&gt;"",VLOOKUP($P290&amp;" | "&amp;BI$6,'Job Master'!$F$12:$I$102,4,0)&lt;&gt;""),IF(WEEKDAY(BR290-VLOOKUP($P290&amp;" | "&amp;BI$6,'Job Master'!$F$12:$I$102,4,0))&lt;&gt;7,BR290-VLOOKUP($P290&amp;" | "&amp;BI$6,'Job Master'!$F$12:$I$102,4,0),BR290-VLOOKUP($P290&amp;" | "&amp;BI$6,'Job Master'!$F$12:$I$102,4,0)-1),""),"")</f>
        <v/>
      </c>
      <c r="BL290" s="73"/>
      <c r="BM290" s="123" t="str">
        <f t="shared" si="534"/>
        <v/>
      </c>
      <c r="BN290" s="123" t="str">
        <f t="shared" si="535"/>
        <v/>
      </c>
      <c r="BO290" s="97" t="str">
        <f t="shared" ca="1" si="536"/>
        <v/>
      </c>
      <c r="BP290" s="98" t="str">
        <f>IF(BR290&lt;&gt;"",VLOOKUP($P290&amp;" | "&amp;BP$6,'Job Master'!$F$12:$J$102,5,0),"")</f>
        <v/>
      </c>
      <c r="BQ290" s="19" t="str">
        <f>IF(BR290&lt;&gt;"",VLOOKUP($P290&amp;" | "&amp;BP$6,'Job Master'!$F$12:$J$102,3,0),"")</f>
        <v/>
      </c>
      <c r="BR290" s="19" t="str">
        <f>IFERROR(IF(AND(BY290&lt;&gt;"",VLOOKUP($P290&amp;" | "&amp;BP$6,'Job Master'!$F$12:$I$102,4,0)&lt;&gt;""),IF(WEEKDAY(BY290-VLOOKUP($P290&amp;" | "&amp;BP$6,'Job Master'!$F$12:$I$102,4,0))&lt;&gt;7,BY290-VLOOKUP($P290&amp;" | "&amp;BP$6,'Job Master'!$F$12:$I$102,4,0),BY290-VLOOKUP($P290&amp;" | "&amp;BP$6,'Job Master'!$F$12:$I$102,4,0)-1),""),"")</f>
        <v/>
      </c>
      <c r="BS290" s="73"/>
      <c r="BT290" s="123" t="str">
        <f t="shared" si="537"/>
        <v/>
      </c>
      <c r="BU290" s="123" t="str">
        <f t="shared" si="538"/>
        <v/>
      </c>
      <c r="BV290" s="97" t="str">
        <f t="shared" ca="1" si="539"/>
        <v/>
      </c>
      <c r="BW290" s="98" t="str">
        <f>IF(BY290&lt;&gt;"",VLOOKUP($P290&amp;" | "&amp;BW$6,'Job Master'!$F$12:$J$102,5,0),"")</f>
        <v/>
      </c>
      <c r="BX290" s="19" t="str">
        <f>IF(BY290&lt;&gt;"",VLOOKUP($P290&amp;" | "&amp;BW$6,'Job Master'!$F$12:$J$102,3,0),"")</f>
        <v/>
      </c>
      <c r="BY290" s="19" t="str">
        <f>IFERROR(IF(AND(CF290&lt;&gt;"",VLOOKUP($P290&amp;" | "&amp;BW$6,'Job Master'!$F$12:$I$102,4,0)&lt;&gt;""),IF(WEEKDAY(CF290-VLOOKUP($P290&amp;" | "&amp;BW$6,'Job Master'!$F$12:$I$102,4,0))&lt;&gt;7,CF290-VLOOKUP($P290&amp;" | "&amp;BW$6,'Job Master'!$F$12:$I$102,4,0),CF290-VLOOKUP($P290&amp;" | "&amp;BW$6,'Job Master'!$F$12:$I$102,4,0)-1),""),"")</f>
        <v/>
      </c>
      <c r="BZ290" s="73"/>
      <c r="CA290" s="123" t="str">
        <f t="shared" si="540"/>
        <v/>
      </c>
      <c r="CB290" s="123" t="str">
        <f t="shared" si="541"/>
        <v/>
      </c>
      <c r="CC290" s="97" t="str">
        <f t="shared" ca="1" si="542"/>
        <v/>
      </c>
      <c r="CD290" s="98" t="str">
        <f>IF(CF290&lt;&gt;"",VLOOKUP($P290&amp;" | "&amp;CD$6,'Job Master'!$F$12:$J$102,5,0),"")</f>
        <v/>
      </c>
      <c r="CE290" s="19" t="str">
        <f>IF(CF290&lt;&gt;"",VLOOKUP($P290&amp;" | "&amp;CD$6,'Job Master'!$F$12:$J$102,3,0),"")</f>
        <v/>
      </c>
      <c r="CF290" s="19" t="str">
        <f>IFERROR(IF(AND(CM290&lt;&gt;"",VLOOKUP($P290&amp;" | "&amp;CD$6,'Job Master'!$F$12:$I$102,4,0)&lt;&gt;""),IF(WEEKDAY(CM290-VLOOKUP($P290&amp;" | "&amp;CD$6,'Job Master'!$F$12:$I$102,4,0))&lt;&gt;7,CM290-VLOOKUP($P290&amp;" | "&amp;CD$6,'Job Master'!$F$12:$I$102,4,0),CM290-VLOOKUP($P290&amp;" | "&amp;CD$6,'Job Master'!$F$12:$I$102,4,0)-1),""),"")</f>
        <v/>
      </c>
      <c r="CG290" s="73"/>
      <c r="CH290" s="123" t="str">
        <f t="shared" si="543"/>
        <v/>
      </c>
      <c r="CI290" s="123" t="str">
        <f t="shared" si="544"/>
        <v/>
      </c>
      <c r="CJ290" s="97" t="str">
        <f t="shared" ca="1" si="545"/>
        <v/>
      </c>
      <c r="CK290" s="98" t="str">
        <f>IF(CM290&lt;&gt;"",VLOOKUP($P290&amp;" | "&amp;CK$6,'Job Master'!$F$12:$J$102,5,0),"")</f>
        <v/>
      </c>
      <c r="CL290" s="19" t="str">
        <f>IF(CM290&lt;&gt;"",VLOOKUP($P290&amp;" | "&amp;CK$6,'Job Master'!$F$12:$J$102,3,0),"")</f>
        <v/>
      </c>
      <c r="CM290" s="19" t="str">
        <f>IFERROR(IF(AND(CT290&lt;&gt;"",VLOOKUP($P290&amp;" | "&amp;CK$6,'Job Master'!$F$12:$I$102,4,0)&lt;&gt;""),IF(WEEKDAY(CT290-VLOOKUP($P290&amp;" | "&amp;CK$6,'Job Master'!$F$12:$I$102,4,0))&lt;&gt;7,CT290-VLOOKUP($P290&amp;" | "&amp;CK$6,'Job Master'!$F$12:$I$102,4,0),CT290-VLOOKUP($P290&amp;" | "&amp;CK$6,'Job Master'!$F$12:$I$102,4,0)-1),""),"")</f>
        <v/>
      </c>
      <c r="CN290" s="73"/>
      <c r="CO290" s="123" t="str">
        <f t="shared" si="546"/>
        <v/>
      </c>
      <c r="CP290" s="123" t="str">
        <f t="shared" si="547"/>
        <v/>
      </c>
      <c r="CQ290" s="97" t="str">
        <f t="shared" ca="1" si="548"/>
        <v/>
      </c>
      <c r="CR290" s="98" t="str">
        <f>IF(CT290&lt;&gt;"",VLOOKUP($P290&amp;" | "&amp;CR$6,'Job Master'!$F$12:$J$102,5,0),"")</f>
        <v/>
      </c>
      <c r="CS290" s="19" t="str">
        <f>IF(CT290&lt;&gt;"",VLOOKUP($P290&amp;" | "&amp;CR$6,'Job Master'!$F$12:$J$102,3,0),"")</f>
        <v/>
      </c>
      <c r="CT290" s="19" t="str">
        <f>IFERROR(IF(AND(DA290&lt;&gt;"",VLOOKUP($P290&amp;" | "&amp;CR$6,'Job Master'!$F$12:$I$102,4,0)&lt;&gt;""),IF(WEEKDAY(DA290-VLOOKUP($P290&amp;" | "&amp;CR$6,'Job Master'!$F$12:$I$102,4,0))&lt;&gt;7,DA290-VLOOKUP($P290&amp;" | "&amp;CR$6,'Job Master'!$F$12:$I$102,4,0),DA290-VLOOKUP($P290&amp;" | "&amp;CR$6,'Job Master'!$F$12:$I$102,4,0)-1),""),"")</f>
        <v/>
      </c>
      <c r="CU290" s="73"/>
      <c r="CV290" s="123" t="str">
        <f t="shared" si="549"/>
        <v/>
      </c>
      <c r="CW290" s="123" t="str">
        <f t="shared" si="550"/>
        <v/>
      </c>
      <c r="CX290" s="97" t="str">
        <f t="shared" ca="1" si="551"/>
        <v/>
      </c>
      <c r="CY290" s="98" t="str">
        <f>IF(DA290&lt;&gt;"",VLOOKUP($P290&amp;" | "&amp;CY$6,'Job Master'!$F$12:$J$102,5,0),"")</f>
        <v/>
      </c>
      <c r="CZ290" s="19" t="str">
        <f>IF(DA290&lt;&gt;"",VLOOKUP($P290&amp;" | "&amp;CY$6,'Job Master'!$F$12:$J$102,3,0),"")</f>
        <v/>
      </c>
      <c r="DA290" s="19" t="str">
        <f>IFERROR(IF(AND(DH290&lt;&gt;"",VLOOKUP($P290&amp;" | "&amp;CY$6,'Job Master'!$F$12:$I$102,4,0)&lt;&gt;""),IF(WEEKDAY(DH290-VLOOKUP($P290&amp;" | "&amp;CY$6,'Job Master'!$F$12:$I$102,4,0))&lt;&gt;7,DH290-VLOOKUP($P290&amp;" | "&amp;CY$6,'Job Master'!$F$12:$I$102,4,0),DH290-VLOOKUP($P290&amp;" | "&amp;CY$6,'Job Master'!$F$12:$I$102,4,0)-1),""),"")</f>
        <v/>
      </c>
      <c r="DB290" s="73"/>
      <c r="DC290" s="123" t="str">
        <f t="shared" si="552"/>
        <v/>
      </c>
      <c r="DD290" s="123" t="str">
        <f t="shared" si="553"/>
        <v/>
      </c>
      <c r="DE290" s="97" t="str">
        <f t="shared" ca="1" si="554"/>
        <v/>
      </c>
      <c r="DF290" s="98" t="str">
        <f>IF(DH290&lt;&gt;"",VLOOKUP($P290&amp;" | "&amp;DF$6,'Job Master'!$F$12:$J$102,5,0),"")</f>
        <v/>
      </c>
      <c r="DG290" s="19" t="str">
        <f>IF(DH290&lt;&gt;"",VLOOKUP($P290&amp;" | "&amp;DF$6,'Job Master'!$F$12:$J$102,3,0),"")</f>
        <v/>
      </c>
      <c r="DH290" s="19" t="str">
        <f>IFERROR(IF(AND(DO290&lt;&gt;"",VLOOKUP($P290&amp;" | "&amp;DF$6,'Job Master'!$F$12:$I$102,4,0)&lt;&gt;""),IF(WEEKDAY(DO290-VLOOKUP($P290&amp;" | "&amp;DF$6,'Job Master'!$F$12:$I$102,4,0))&lt;&gt;7,DO290-VLOOKUP($P290&amp;" | "&amp;DF$6,'Job Master'!$F$12:$I$102,4,0),DO290-VLOOKUP($P290&amp;" | "&amp;DF$6,'Job Master'!$F$12:$I$102,4,0)-1),""),"")</f>
        <v/>
      </c>
      <c r="DI290" s="73"/>
      <c r="DJ290" s="123" t="str">
        <f t="shared" si="555"/>
        <v/>
      </c>
      <c r="DK290" s="123" t="str">
        <f t="shared" si="556"/>
        <v/>
      </c>
      <c r="DL290" s="97" t="str">
        <f t="shared" ca="1" si="557"/>
        <v/>
      </c>
      <c r="DM290" s="98" t="str">
        <f>IF(DO290&lt;&gt;"",VLOOKUP($P290&amp;" | "&amp;DM$6,'Job Master'!$F$12:$J$102,5,0),"")</f>
        <v/>
      </c>
      <c r="DN290" s="19" t="str">
        <f>IF(DO290&lt;&gt;"",VLOOKUP($P290&amp;" | "&amp;DM$6,'Job Master'!$F$12:$J$102,3,0),"")</f>
        <v/>
      </c>
      <c r="DO290" s="19" t="str">
        <f>IFERROR(IF(AND(DT290&lt;&gt;"",VLOOKUP($P290&amp;" | "&amp;DM$6,'Job Master'!$F$12:$I$102,4,0)&lt;&gt;""),IF(WEEKDAY(DT290-VLOOKUP($P290&amp;" | "&amp;DM$6,'Job Master'!$F$12:$I$102,4,0))&lt;&gt;7,DT290-VLOOKUP($P290&amp;" | "&amp;DM$6,'Job Master'!$F$12:$I$102,4,0),DT290-VLOOKUP($P290&amp;" | "&amp;DM$6,'Job Master'!$F$12:$I$102,4,0)-1),""),"")</f>
        <v/>
      </c>
      <c r="DP290" s="73"/>
      <c r="DQ290" s="123" t="str">
        <f t="shared" si="558"/>
        <v/>
      </c>
      <c r="DR290" s="123" t="str">
        <f t="shared" si="559"/>
        <v/>
      </c>
      <c r="DS290" s="97" t="str">
        <f t="shared" ca="1" si="560"/>
        <v/>
      </c>
      <c r="DT290" s="70" t="str">
        <f t="shared" si="561"/>
        <v/>
      </c>
      <c r="DU290" s="90"/>
      <c r="DV290" s="123" t="str">
        <f t="shared" si="562"/>
        <v/>
      </c>
      <c r="DW290" s="123" t="str">
        <f t="shared" si="563"/>
        <v/>
      </c>
      <c r="DX290" s="132" t="str">
        <f t="shared" ref="DX290" ca="1" si="599">IF(DT290&lt;&gt;"",IF(WEEKNUM(DT290)=WEEKNUM(TODAY()),"This Week",IF(WEEKNUM(DT290)=WEEKNUM(TODAY())+1,"Next Week",IF(WEEKNUM(DT290)=WEEKNUM(TODAY())-1,"Previous Week",""))),"")</f>
        <v/>
      </c>
      <c r="DY290" s="134" t="str">
        <f t="shared" si="565"/>
        <v/>
      </c>
      <c r="DZ290" s="95"/>
      <c r="EB290" s="8" t="str">
        <f t="shared" si="571"/>
        <v/>
      </c>
      <c r="EC290" s="8" t="str">
        <f>IF(O290&lt;&gt;"",VLOOKUP(O290,'Job Master'!$N$12:$O$18,2,0),"")</f>
        <v/>
      </c>
      <c r="ED290" s="8">
        <f t="shared" si="572"/>
        <v>19.5</v>
      </c>
      <c r="EE290" s="8">
        <f t="shared" si="573"/>
        <v>6</v>
      </c>
      <c r="EF290" s="8">
        <f t="shared" si="574"/>
        <v>-1660.5</v>
      </c>
      <c r="EG290" s="8" t="str">
        <f t="shared" si="575"/>
        <v/>
      </c>
      <c r="EH290" s="8" t="str">
        <f t="shared" si="576"/>
        <v/>
      </c>
    </row>
    <row r="291" spans="2:138" x14ac:dyDescent="0.3">
      <c r="B291" s="112"/>
      <c r="C291" s="27"/>
      <c r="D291" s="7" t="str">
        <f t="shared" si="513"/>
        <v/>
      </c>
      <c r="E291" s="25"/>
      <c r="F291" s="7" t="str">
        <f t="shared" si="513"/>
        <v/>
      </c>
      <c r="G291" s="25"/>
      <c r="H291" s="7" t="str">
        <f t="shared" si="513"/>
        <v/>
      </c>
      <c r="I291" s="25"/>
      <c r="J291" s="7" t="str">
        <f t="shared" si="513"/>
        <v/>
      </c>
      <c r="K291" s="25"/>
      <c r="L291" s="7" t="str">
        <f t="shared" si="514"/>
        <v/>
      </c>
      <c r="M291" s="25"/>
      <c r="N291" s="7" t="str">
        <f t="shared" si="515"/>
        <v/>
      </c>
      <c r="O291" s="81"/>
      <c r="P291" s="81" t="str">
        <f t="shared" si="516"/>
        <v/>
      </c>
      <c r="Q291" s="81"/>
      <c r="R291" s="7" t="str">
        <f t="shared" si="517"/>
        <v/>
      </c>
      <c r="S291" s="25"/>
      <c r="T291" s="7" t="str">
        <f t="shared" si="518"/>
        <v/>
      </c>
      <c r="U291" s="25"/>
      <c r="V291" s="7" t="str">
        <f t="shared" si="519"/>
        <v/>
      </c>
      <c r="W291" s="25"/>
      <c r="X291" s="7" t="str">
        <f t="shared" si="520"/>
        <v/>
      </c>
      <c r="Y291" s="18" t="str">
        <f t="shared" si="521"/>
        <v/>
      </c>
      <c r="Z291" s="7" t="str">
        <f t="shared" si="522"/>
        <v/>
      </c>
      <c r="AA291" s="18" t="str">
        <f t="shared" si="523"/>
        <v/>
      </c>
      <c r="AB291" s="19" t="str">
        <f t="shared" si="524"/>
        <v/>
      </c>
      <c r="AC291" s="26"/>
      <c r="AD291" s="26"/>
      <c r="AE291" s="25"/>
      <c r="AF291" s="26"/>
      <c r="AG291" s="25"/>
      <c r="AH291" s="25"/>
      <c r="AI291" s="18" t="str">
        <f t="shared" si="587"/>
        <v/>
      </c>
      <c r="AJ291" s="25"/>
      <c r="AK291" s="18" t="str">
        <f t="shared" si="588"/>
        <v/>
      </c>
      <c r="AL291" s="79"/>
      <c r="AM291" s="126" t="str">
        <f t="shared" si="589"/>
        <v/>
      </c>
      <c r="AN291" s="128" t="str">
        <f>IF(AP291&lt;&gt;"",VLOOKUP($P291&amp;" | "&amp;AN$6,'Job Master'!$F$12:$J$102,5,0),"")</f>
        <v/>
      </c>
      <c r="AO291" s="19" t="str">
        <f>IF(AP291&lt;&gt;"",VLOOKUP($P291&amp;" | "&amp;AN$6,'Job Master'!$F$12:$J$102,3,0),"")</f>
        <v/>
      </c>
      <c r="AP291" s="19" t="str">
        <f>IFERROR(IF(AND(AW291&lt;&gt;"",VLOOKUP($P291&amp;" | "&amp;AN$6,'Job Master'!$F$12:$I$102,4,0)&lt;&gt;""),IF(WEEKDAY(AW291-VLOOKUP($P291&amp;" | "&amp;AN$6,'Job Master'!$F$12:$I$102,4,0))&lt;&gt;7,AW291-VLOOKUP($P291&amp;" | "&amp;AN$6,'Job Master'!$F$12:$I$102,4,0),AW291-VLOOKUP($P291&amp;" | "&amp;AN$6,'Job Master'!$F$12:$I$102,4,0)-1),""),"")</f>
        <v/>
      </c>
      <c r="AQ291" s="73"/>
      <c r="AR291" s="123" t="str">
        <f t="shared" si="525"/>
        <v/>
      </c>
      <c r="AS291" s="123" t="str">
        <f t="shared" si="526"/>
        <v/>
      </c>
      <c r="AT291" s="97" t="str">
        <f t="shared" ca="1" si="527"/>
        <v/>
      </c>
      <c r="AU291" s="98" t="str">
        <f>IF(AW291&lt;&gt;"",VLOOKUP($P291&amp;" | "&amp;AU$6,'Job Master'!$F$12:$J$102,5,0),"")</f>
        <v/>
      </c>
      <c r="AV291" s="19" t="str">
        <f>IF(AW291&lt;&gt;"",VLOOKUP($P291&amp;" | "&amp;AU$6,'Job Master'!$F$12:$J$102,3,0),"")</f>
        <v/>
      </c>
      <c r="AW291" s="19" t="str">
        <f>IFERROR(IF(AND(BD291&lt;&gt;"",VLOOKUP($P291&amp;" | "&amp;AU$6,'Job Master'!$F$12:$I$102,4,0)&lt;&gt;""),IF(WEEKDAY(BD291-VLOOKUP($P291&amp;" | "&amp;AU$6,'Job Master'!$F$12:$I$102,4,0))&lt;&gt;7,BD291-VLOOKUP($P291&amp;" | "&amp;AU$6,'Job Master'!$F$12:$I$102,4,0),BD291-VLOOKUP($P291&amp;" | "&amp;AU$6,'Job Master'!$F$12:$I$102,4,0)-1),""),"")</f>
        <v/>
      </c>
      <c r="AX291" s="73"/>
      <c r="AY291" s="123" t="str">
        <f t="shared" si="528"/>
        <v/>
      </c>
      <c r="AZ291" s="123" t="str">
        <f t="shared" si="529"/>
        <v/>
      </c>
      <c r="BA291" s="97" t="str">
        <f t="shared" ca="1" si="530"/>
        <v/>
      </c>
      <c r="BB291" s="98" t="str">
        <f>IF(BD291&lt;&gt;"",VLOOKUP($P291&amp;" | "&amp;BB$6,'Job Master'!$F$12:$J$102,5,0),"")</f>
        <v/>
      </c>
      <c r="BC291" s="19" t="str">
        <f>IF(BD291&lt;&gt;"",VLOOKUP($P291&amp;" | "&amp;BB$6,'Job Master'!$F$12:$J$102,3,0),"")</f>
        <v/>
      </c>
      <c r="BD291" s="19" t="str">
        <f>IFERROR(IF(AND(BK291&lt;&gt;"",VLOOKUP($P291&amp;" | "&amp;BB$6,'Job Master'!$F$12:$I$102,4,0)&lt;&gt;""),IF(WEEKDAY(BK291-VLOOKUP($P291&amp;" | "&amp;BB$6,'Job Master'!$F$12:$I$102,4,0))&lt;&gt;7,BK291-VLOOKUP($P291&amp;" | "&amp;BB$6,'Job Master'!$F$12:$I$102,4,0),BK291-VLOOKUP($P291&amp;" | "&amp;BB$6,'Job Master'!$F$12:$I$102,4,0)-1),""),"")</f>
        <v/>
      </c>
      <c r="BE291" s="73"/>
      <c r="BF291" s="123" t="str">
        <f t="shared" si="531"/>
        <v/>
      </c>
      <c r="BG291" s="123" t="str">
        <f t="shared" si="532"/>
        <v/>
      </c>
      <c r="BH291" s="97" t="str">
        <f t="shared" ca="1" si="533"/>
        <v/>
      </c>
      <c r="BI291" s="98" t="str">
        <f>IF(BK291&lt;&gt;"",VLOOKUP($P291&amp;" | "&amp;BI$6,'Job Master'!$F$12:$J$102,5,0),"")</f>
        <v/>
      </c>
      <c r="BJ291" s="19" t="str">
        <f>IF(BK291&lt;&gt;"",VLOOKUP($P291&amp;" | "&amp;BI$6,'Job Master'!$F$12:$J$102,3,0),"")</f>
        <v/>
      </c>
      <c r="BK291" s="19" t="str">
        <f>IFERROR(IF(AND(BR291&lt;&gt;"",VLOOKUP($P291&amp;" | "&amp;BI$6,'Job Master'!$F$12:$I$102,4,0)&lt;&gt;""),IF(WEEKDAY(BR291-VLOOKUP($P291&amp;" | "&amp;BI$6,'Job Master'!$F$12:$I$102,4,0))&lt;&gt;7,BR291-VLOOKUP($P291&amp;" | "&amp;BI$6,'Job Master'!$F$12:$I$102,4,0),BR291-VLOOKUP($P291&amp;" | "&amp;BI$6,'Job Master'!$F$12:$I$102,4,0)-1),""),"")</f>
        <v/>
      </c>
      <c r="BL291" s="73"/>
      <c r="BM291" s="123" t="str">
        <f t="shared" si="534"/>
        <v/>
      </c>
      <c r="BN291" s="123" t="str">
        <f t="shared" si="535"/>
        <v/>
      </c>
      <c r="BO291" s="97" t="str">
        <f t="shared" ca="1" si="536"/>
        <v/>
      </c>
      <c r="BP291" s="98" t="str">
        <f>IF(BR291&lt;&gt;"",VLOOKUP($P291&amp;" | "&amp;BP$6,'Job Master'!$F$12:$J$102,5,0),"")</f>
        <v/>
      </c>
      <c r="BQ291" s="19" t="str">
        <f>IF(BR291&lt;&gt;"",VLOOKUP($P291&amp;" | "&amp;BP$6,'Job Master'!$F$12:$J$102,3,0),"")</f>
        <v/>
      </c>
      <c r="BR291" s="19" t="str">
        <f>IFERROR(IF(AND(BY291&lt;&gt;"",VLOOKUP($P291&amp;" | "&amp;BP$6,'Job Master'!$F$12:$I$102,4,0)&lt;&gt;""),IF(WEEKDAY(BY291-VLOOKUP($P291&amp;" | "&amp;BP$6,'Job Master'!$F$12:$I$102,4,0))&lt;&gt;7,BY291-VLOOKUP($P291&amp;" | "&amp;BP$6,'Job Master'!$F$12:$I$102,4,0),BY291-VLOOKUP($P291&amp;" | "&amp;BP$6,'Job Master'!$F$12:$I$102,4,0)-1),""),"")</f>
        <v/>
      </c>
      <c r="BS291" s="73"/>
      <c r="BT291" s="123" t="str">
        <f t="shared" si="537"/>
        <v/>
      </c>
      <c r="BU291" s="123" t="str">
        <f t="shared" si="538"/>
        <v/>
      </c>
      <c r="BV291" s="97" t="str">
        <f t="shared" ca="1" si="539"/>
        <v/>
      </c>
      <c r="BW291" s="98" t="str">
        <f>IF(BY291&lt;&gt;"",VLOOKUP($P291&amp;" | "&amp;BW$6,'Job Master'!$F$12:$J$102,5,0),"")</f>
        <v/>
      </c>
      <c r="BX291" s="19" t="str">
        <f>IF(BY291&lt;&gt;"",VLOOKUP($P291&amp;" | "&amp;BW$6,'Job Master'!$F$12:$J$102,3,0),"")</f>
        <v/>
      </c>
      <c r="BY291" s="19" t="str">
        <f>IFERROR(IF(AND(CF291&lt;&gt;"",VLOOKUP($P291&amp;" | "&amp;BW$6,'Job Master'!$F$12:$I$102,4,0)&lt;&gt;""),IF(WEEKDAY(CF291-VLOOKUP($P291&amp;" | "&amp;BW$6,'Job Master'!$F$12:$I$102,4,0))&lt;&gt;7,CF291-VLOOKUP($P291&amp;" | "&amp;BW$6,'Job Master'!$F$12:$I$102,4,0),CF291-VLOOKUP($P291&amp;" | "&amp;BW$6,'Job Master'!$F$12:$I$102,4,0)-1),""),"")</f>
        <v/>
      </c>
      <c r="BZ291" s="73"/>
      <c r="CA291" s="123" t="str">
        <f t="shared" si="540"/>
        <v/>
      </c>
      <c r="CB291" s="123" t="str">
        <f t="shared" si="541"/>
        <v/>
      </c>
      <c r="CC291" s="97" t="str">
        <f t="shared" ca="1" si="542"/>
        <v/>
      </c>
      <c r="CD291" s="98" t="str">
        <f>IF(CF291&lt;&gt;"",VLOOKUP($P291&amp;" | "&amp;CD$6,'Job Master'!$F$12:$J$102,5,0),"")</f>
        <v/>
      </c>
      <c r="CE291" s="19" t="str">
        <f>IF(CF291&lt;&gt;"",VLOOKUP($P291&amp;" | "&amp;CD$6,'Job Master'!$F$12:$J$102,3,0),"")</f>
        <v/>
      </c>
      <c r="CF291" s="19" t="str">
        <f>IFERROR(IF(AND(CM291&lt;&gt;"",VLOOKUP($P291&amp;" | "&amp;CD$6,'Job Master'!$F$12:$I$102,4,0)&lt;&gt;""),IF(WEEKDAY(CM291-VLOOKUP($P291&amp;" | "&amp;CD$6,'Job Master'!$F$12:$I$102,4,0))&lt;&gt;7,CM291-VLOOKUP($P291&amp;" | "&amp;CD$6,'Job Master'!$F$12:$I$102,4,0),CM291-VLOOKUP($P291&amp;" | "&amp;CD$6,'Job Master'!$F$12:$I$102,4,0)-1),""),"")</f>
        <v/>
      </c>
      <c r="CG291" s="73"/>
      <c r="CH291" s="123" t="str">
        <f t="shared" si="543"/>
        <v/>
      </c>
      <c r="CI291" s="123" t="str">
        <f t="shared" si="544"/>
        <v/>
      </c>
      <c r="CJ291" s="97" t="str">
        <f t="shared" ca="1" si="545"/>
        <v/>
      </c>
      <c r="CK291" s="98" t="str">
        <f>IF(CM291&lt;&gt;"",VLOOKUP($P291&amp;" | "&amp;CK$6,'Job Master'!$F$12:$J$102,5,0),"")</f>
        <v/>
      </c>
      <c r="CL291" s="19" t="str">
        <f>IF(CM291&lt;&gt;"",VLOOKUP($P291&amp;" | "&amp;CK$6,'Job Master'!$F$12:$J$102,3,0),"")</f>
        <v/>
      </c>
      <c r="CM291" s="19" t="str">
        <f>IFERROR(IF(AND(CT291&lt;&gt;"",VLOOKUP($P291&amp;" | "&amp;CK$6,'Job Master'!$F$12:$I$102,4,0)&lt;&gt;""),IF(WEEKDAY(CT291-VLOOKUP($P291&amp;" | "&amp;CK$6,'Job Master'!$F$12:$I$102,4,0))&lt;&gt;7,CT291-VLOOKUP($P291&amp;" | "&amp;CK$6,'Job Master'!$F$12:$I$102,4,0),CT291-VLOOKUP($P291&amp;" | "&amp;CK$6,'Job Master'!$F$12:$I$102,4,0)-1),""),"")</f>
        <v/>
      </c>
      <c r="CN291" s="73"/>
      <c r="CO291" s="123" t="str">
        <f t="shared" si="546"/>
        <v/>
      </c>
      <c r="CP291" s="123" t="str">
        <f t="shared" si="547"/>
        <v/>
      </c>
      <c r="CQ291" s="97" t="str">
        <f t="shared" ca="1" si="548"/>
        <v/>
      </c>
      <c r="CR291" s="98" t="str">
        <f>IF(CT291&lt;&gt;"",VLOOKUP($P291&amp;" | "&amp;CR$6,'Job Master'!$F$12:$J$102,5,0),"")</f>
        <v/>
      </c>
      <c r="CS291" s="19" t="str">
        <f>IF(CT291&lt;&gt;"",VLOOKUP($P291&amp;" | "&amp;CR$6,'Job Master'!$F$12:$J$102,3,0),"")</f>
        <v/>
      </c>
      <c r="CT291" s="19" t="str">
        <f>IFERROR(IF(AND(DA291&lt;&gt;"",VLOOKUP($P291&amp;" | "&amp;CR$6,'Job Master'!$F$12:$I$102,4,0)&lt;&gt;""),IF(WEEKDAY(DA291-VLOOKUP($P291&amp;" | "&amp;CR$6,'Job Master'!$F$12:$I$102,4,0))&lt;&gt;7,DA291-VLOOKUP($P291&amp;" | "&amp;CR$6,'Job Master'!$F$12:$I$102,4,0),DA291-VLOOKUP($P291&amp;" | "&amp;CR$6,'Job Master'!$F$12:$I$102,4,0)-1),""),"")</f>
        <v/>
      </c>
      <c r="CU291" s="73"/>
      <c r="CV291" s="123" t="str">
        <f t="shared" si="549"/>
        <v/>
      </c>
      <c r="CW291" s="123" t="str">
        <f t="shared" si="550"/>
        <v/>
      </c>
      <c r="CX291" s="97" t="str">
        <f t="shared" ca="1" si="551"/>
        <v/>
      </c>
      <c r="CY291" s="98" t="str">
        <f>IF(DA291&lt;&gt;"",VLOOKUP($P291&amp;" | "&amp;CY$6,'Job Master'!$F$12:$J$102,5,0),"")</f>
        <v/>
      </c>
      <c r="CZ291" s="19" t="str">
        <f>IF(DA291&lt;&gt;"",VLOOKUP($P291&amp;" | "&amp;CY$6,'Job Master'!$F$12:$J$102,3,0),"")</f>
        <v/>
      </c>
      <c r="DA291" s="19" t="str">
        <f>IFERROR(IF(AND(DH291&lt;&gt;"",VLOOKUP($P291&amp;" | "&amp;CY$6,'Job Master'!$F$12:$I$102,4,0)&lt;&gt;""),IF(WEEKDAY(DH291-VLOOKUP($P291&amp;" | "&amp;CY$6,'Job Master'!$F$12:$I$102,4,0))&lt;&gt;7,DH291-VLOOKUP($P291&amp;" | "&amp;CY$6,'Job Master'!$F$12:$I$102,4,0),DH291-VLOOKUP($P291&amp;" | "&amp;CY$6,'Job Master'!$F$12:$I$102,4,0)-1),""),"")</f>
        <v/>
      </c>
      <c r="DB291" s="73"/>
      <c r="DC291" s="123" t="str">
        <f t="shared" si="552"/>
        <v/>
      </c>
      <c r="DD291" s="123" t="str">
        <f t="shared" si="553"/>
        <v/>
      </c>
      <c r="DE291" s="97" t="str">
        <f t="shared" ca="1" si="554"/>
        <v/>
      </c>
      <c r="DF291" s="98" t="str">
        <f>IF(DH291&lt;&gt;"",VLOOKUP($P291&amp;" | "&amp;DF$6,'Job Master'!$F$12:$J$102,5,0),"")</f>
        <v/>
      </c>
      <c r="DG291" s="19" t="str">
        <f>IF(DH291&lt;&gt;"",VLOOKUP($P291&amp;" | "&amp;DF$6,'Job Master'!$F$12:$J$102,3,0),"")</f>
        <v/>
      </c>
      <c r="DH291" s="19" t="str">
        <f>IFERROR(IF(AND(DO291&lt;&gt;"",VLOOKUP($P291&amp;" | "&amp;DF$6,'Job Master'!$F$12:$I$102,4,0)&lt;&gt;""),IF(WEEKDAY(DO291-VLOOKUP($P291&amp;" | "&amp;DF$6,'Job Master'!$F$12:$I$102,4,0))&lt;&gt;7,DO291-VLOOKUP($P291&amp;" | "&amp;DF$6,'Job Master'!$F$12:$I$102,4,0),DO291-VLOOKUP($P291&amp;" | "&amp;DF$6,'Job Master'!$F$12:$I$102,4,0)-1),""),"")</f>
        <v/>
      </c>
      <c r="DI291" s="73"/>
      <c r="DJ291" s="123" t="str">
        <f t="shared" si="555"/>
        <v/>
      </c>
      <c r="DK291" s="123" t="str">
        <f t="shared" si="556"/>
        <v/>
      </c>
      <c r="DL291" s="97" t="str">
        <f t="shared" ca="1" si="557"/>
        <v/>
      </c>
      <c r="DM291" s="98" t="str">
        <f>IF(DO291&lt;&gt;"",VLOOKUP($P291&amp;" | "&amp;DM$6,'Job Master'!$F$12:$J$102,5,0),"")</f>
        <v/>
      </c>
      <c r="DN291" s="19" t="str">
        <f>IF(DO291&lt;&gt;"",VLOOKUP($P291&amp;" | "&amp;DM$6,'Job Master'!$F$12:$J$102,3,0),"")</f>
        <v/>
      </c>
      <c r="DO291" s="19" t="str">
        <f>IFERROR(IF(AND(DT291&lt;&gt;"",VLOOKUP($P291&amp;" | "&amp;DM$6,'Job Master'!$F$12:$I$102,4,0)&lt;&gt;""),IF(WEEKDAY(DT291-VLOOKUP($P291&amp;" | "&amp;DM$6,'Job Master'!$F$12:$I$102,4,0))&lt;&gt;7,DT291-VLOOKUP($P291&amp;" | "&amp;DM$6,'Job Master'!$F$12:$I$102,4,0),DT291-VLOOKUP($P291&amp;" | "&amp;DM$6,'Job Master'!$F$12:$I$102,4,0)-1),""),"")</f>
        <v/>
      </c>
      <c r="DP291" s="73"/>
      <c r="DQ291" s="123" t="str">
        <f t="shared" si="558"/>
        <v/>
      </c>
      <c r="DR291" s="123" t="str">
        <f t="shared" si="559"/>
        <v/>
      </c>
      <c r="DS291" s="97" t="str">
        <f t="shared" ca="1" si="560"/>
        <v/>
      </c>
      <c r="DT291" s="70" t="str">
        <f t="shared" si="561"/>
        <v/>
      </c>
      <c r="DU291" s="90"/>
      <c r="DV291" s="123" t="str">
        <f t="shared" si="562"/>
        <v/>
      </c>
      <c r="DW291" s="123" t="str">
        <f t="shared" si="563"/>
        <v/>
      </c>
      <c r="DX291" s="132" t="str">
        <f t="shared" ref="DX291" ca="1" si="600">IF(DT291&lt;&gt;"",IF(WEEKNUM(DT291)=WEEKNUM(TODAY()),"This Week",IF(WEEKNUM(DT291)=WEEKNUM(TODAY())+1,"Next Week",IF(WEEKNUM(DT291)=WEEKNUM(TODAY())-1,"Previous Week",""))),"")</f>
        <v/>
      </c>
      <c r="DY291" s="134" t="str">
        <f t="shared" si="565"/>
        <v/>
      </c>
      <c r="DZ291" s="95"/>
      <c r="EB291" s="8" t="str">
        <f t="shared" si="571"/>
        <v/>
      </c>
      <c r="EC291" s="8" t="str">
        <f>IF(O291&lt;&gt;"",VLOOKUP(O291,'Job Master'!$N$12:$O$18,2,0),"")</f>
        <v/>
      </c>
      <c r="ED291" s="8">
        <f t="shared" si="572"/>
        <v>19.5</v>
      </c>
      <c r="EE291" s="8">
        <f t="shared" si="573"/>
        <v>6</v>
      </c>
      <c r="EF291" s="8">
        <f t="shared" si="574"/>
        <v>-1666.5</v>
      </c>
      <c r="EG291" s="8" t="str">
        <f t="shared" si="575"/>
        <v/>
      </c>
      <c r="EH291" s="8" t="str">
        <f t="shared" si="576"/>
        <v/>
      </c>
    </row>
    <row r="292" spans="2:138" x14ac:dyDescent="0.3">
      <c r="B292" s="112"/>
      <c r="C292" s="27"/>
      <c r="D292" s="7" t="str">
        <f t="shared" si="513"/>
        <v/>
      </c>
      <c r="E292" s="25"/>
      <c r="F292" s="7" t="str">
        <f t="shared" si="513"/>
        <v/>
      </c>
      <c r="G292" s="25"/>
      <c r="H292" s="7" t="str">
        <f t="shared" si="513"/>
        <v/>
      </c>
      <c r="I292" s="25"/>
      <c r="J292" s="7" t="str">
        <f t="shared" si="513"/>
        <v/>
      </c>
      <c r="K292" s="25"/>
      <c r="L292" s="7" t="str">
        <f t="shared" si="514"/>
        <v/>
      </c>
      <c r="M292" s="25"/>
      <c r="N292" s="7" t="str">
        <f t="shared" si="515"/>
        <v/>
      </c>
      <c r="O292" s="81"/>
      <c r="P292" s="81" t="str">
        <f t="shared" si="516"/>
        <v/>
      </c>
      <c r="Q292" s="81"/>
      <c r="R292" s="7" t="str">
        <f t="shared" si="517"/>
        <v/>
      </c>
      <c r="S292" s="25"/>
      <c r="T292" s="7" t="str">
        <f t="shared" si="518"/>
        <v/>
      </c>
      <c r="U292" s="25"/>
      <c r="V292" s="7" t="str">
        <f t="shared" si="519"/>
        <v/>
      </c>
      <c r="W292" s="25"/>
      <c r="X292" s="7" t="str">
        <f t="shared" si="520"/>
        <v/>
      </c>
      <c r="Y292" s="18" t="str">
        <f t="shared" si="521"/>
        <v/>
      </c>
      <c r="Z292" s="7" t="str">
        <f t="shared" si="522"/>
        <v/>
      </c>
      <c r="AA292" s="18" t="str">
        <f t="shared" si="523"/>
        <v/>
      </c>
      <c r="AB292" s="19" t="str">
        <f t="shared" si="524"/>
        <v/>
      </c>
      <c r="AC292" s="26"/>
      <c r="AD292" s="26"/>
      <c r="AE292" s="25"/>
      <c r="AF292" s="26"/>
      <c r="AG292" s="25"/>
      <c r="AH292" s="25"/>
      <c r="AI292" s="18" t="str">
        <f t="shared" si="587"/>
        <v/>
      </c>
      <c r="AJ292" s="25"/>
      <c r="AK292" s="18" t="str">
        <f t="shared" si="588"/>
        <v/>
      </c>
      <c r="AL292" s="79"/>
      <c r="AM292" s="126" t="str">
        <f t="shared" si="589"/>
        <v/>
      </c>
      <c r="AN292" s="128" t="str">
        <f>IF(AP292&lt;&gt;"",VLOOKUP($P292&amp;" | "&amp;AN$6,'Job Master'!$F$12:$J$102,5,0),"")</f>
        <v/>
      </c>
      <c r="AO292" s="19" t="str">
        <f>IF(AP292&lt;&gt;"",VLOOKUP($P292&amp;" | "&amp;AN$6,'Job Master'!$F$12:$J$102,3,0),"")</f>
        <v/>
      </c>
      <c r="AP292" s="19" t="str">
        <f>IFERROR(IF(AND(AW292&lt;&gt;"",VLOOKUP($P292&amp;" | "&amp;AN$6,'Job Master'!$F$12:$I$102,4,0)&lt;&gt;""),IF(WEEKDAY(AW292-VLOOKUP($P292&amp;" | "&amp;AN$6,'Job Master'!$F$12:$I$102,4,0))&lt;&gt;7,AW292-VLOOKUP($P292&amp;" | "&amp;AN$6,'Job Master'!$F$12:$I$102,4,0),AW292-VLOOKUP($P292&amp;" | "&amp;AN$6,'Job Master'!$F$12:$I$102,4,0)-1),""),"")</f>
        <v/>
      </c>
      <c r="AQ292" s="73"/>
      <c r="AR292" s="123" t="str">
        <f t="shared" si="525"/>
        <v/>
      </c>
      <c r="AS292" s="123" t="str">
        <f t="shared" si="526"/>
        <v/>
      </c>
      <c r="AT292" s="97" t="str">
        <f t="shared" ca="1" si="527"/>
        <v/>
      </c>
      <c r="AU292" s="98" t="str">
        <f>IF(AW292&lt;&gt;"",VLOOKUP($P292&amp;" | "&amp;AU$6,'Job Master'!$F$12:$J$102,5,0),"")</f>
        <v/>
      </c>
      <c r="AV292" s="19" t="str">
        <f>IF(AW292&lt;&gt;"",VLOOKUP($P292&amp;" | "&amp;AU$6,'Job Master'!$F$12:$J$102,3,0),"")</f>
        <v/>
      </c>
      <c r="AW292" s="19" t="str">
        <f>IFERROR(IF(AND(BD292&lt;&gt;"",VLOOKUP($P292&amp;" | "&amp;AU$6,'Job Master'!$F$12:$I$102,4,0)&lt;&gt;""),IF(WEEKDAY(BD292-VLOOKUP($P292&amp;" | "&amp;AU$6,'Job Master'!$F$12:$I$102,4,0))&lt;&gt;7,BD292-VLOOKUP($P292&amp;" | "&amp;AU$6,'Job Master'!$F$12:$I$102,4,0),BD292-VLOOKUP($P292&amp;" | "&amp;AU$6,'Job Master'!$F$12:$I$102,4,0)-1),""),"")</f>
        <v/>
      </c>
      <c r="AX292" s="73"/>
      <c r="AY292" s="123" t="str">
        <f t="shared" si="528"/>
        <v/>
      </c>
      <c r="AZ292" s="123" t="str">
        <f t="shared" si="529"/>
        <v/>
      </c>
      <c r="BA292" s="97" t="str">
        <f t="shared" ca="1" si="530"/>
        <v/>
      </c>
      <c r="BB292" s="98" t="str">
        <f>IF(BD292&lt;&gt;"",VLOOKUP($P292&amp;" | "&amp;BB$6,'Job Master'!$F$12:$J$102,5,0),"")</f>
        <v/>
      </c>
      <c r="BC292" s="19" t="str">
        <f>IF(BD292&lt;&gt;"",VLOOKUP($P292&amp;" | "&amp;BB$6,'Job Master'!$F$12:$J$102,3,0),"")</f>
        <v/>
      </c>
      <c r="BD292" s="19" t="str">
        <f>IFERROR(IF(AND(BK292&lt;&gt;"",VLOOKUP($P292&amp;" | "&amp;BB$6,'Job Master'!$F$12:$I$102,4,0)&lt;&gt;""),IF(WEEKDAY(BK292-VLOOKUP($P292&amp;" | "&amp;BB$6,'Job Master'!$F$12:$I$102,4,0))&lt;&gt;7,BK292-VLOOKUP($P292&amp;" | "&amp;BB$6,'Job Master'!$F$12:$I$102,4,0),BK292-VLOOKUP($P292&amp;" | "&amp;BB$6,'Job Master'!$F$12:$I$102,4,0)-1),""),"")</f>
        <v/>
      </c>
      <c r="BE292" s="73"/>
      <c r="BF292" s="123" t="str">
        <f t="shared" si="531"/>
        <v/>
      </c>
      <c r="BG292" s="123" t="str">
        <f t="shared" si="532"/>
        <v/>
      </c>
      <c r="BH292" s="97" t="str">
        <f t="shared" ca="1" si="533"/>
        <v/>
      </c>
      <c r="BI292" s="98" t="str">
        <f>IF(BK292&lt;&gt;"",VLOOKUP($P292&amp;" | "&amp;BI$6,'Job Master'!$F$12:$J$102,5,0),"")</f>
        <v/>
      </c>
      <c r="BJ292" s="19" t="str">
        <f>IF(BK292&lt;&gt;"",VLOOKUP($P292&amp;" | "&amp;BI$6,'Job Master'!$F$12:$J$102,3,0),"")</f>
        <v/>
      </c>
      <c r="BK292" s="19" t="str">
        <f>IFERROR(IF(AND(BR292&lt;&gt;"",VLOOKUP($P292&amp;" | "&amp;BI$6,'Job Master'!$F$12:$I$102,4,0)&lt;&gt;""),IF(WEEKDAY(BR292-VLOOKUP($P292&amp;" | "&amp;BI$6,'Job Master'!$F$12:$I$102,4,0))&lt;&gt;7,BR292-VLOOKUP($P292&amp;" | "&amp;BI$6,'Job Master'!$F$12:$I$102,4,0),BR292-VLOOKUP($P292&amp;" | "&amp;BI$6,'Job Master'!$F$12:$I$102,4,0)-1),""),"")</f>
        <v/>
      </c>
      <c r="BL292" s="73"/>
      <c r="BM292" s="123" t="str">
        <f t="shared" si="534"/>
        <v/>
      </c>
      <c r="BN292" s="123" t="str">
        <f t="shared" si="535"/>
        <v/>
      </c>
      <c r="BO292" s="97" t="str">
        <f t="shared" ca="1" si="536"/>
        <v/>
      </c>
      <c r="BP292" s="98" t="str">
        <f>IF(BR292&lt;&gt;"",VLOOKUP($P292&amp;" | "&amp;BP$6,'Job Master'!$F$12:$J$102,5,0),"")</f>
        <v/>
      </c>
      <c r="BQ292" s="19" t="str">
        <f>IF(BR292&lt;&gt;"",VLOOKUP($P292&amp;" | "&amp;BP$6,'Job Master'!$F$12:$J$102,3,0),"")</f>
        <v/>
      </c>
      <c r="BR292" s="19" t="str">
        <f>IFERROR(IF(AND(BY292&lt;&gt;"",VLOOKUP($P292&amp;" | "&amp;BP$6,'Job Master'!$F$12:$I$102,4,0)&lt;&gt;""),IF(WEEKDAY(BY292-VLOOKUP($P292&amp;" | "&amp;BP$6,'Job Master'!$F$12:$I$102,4,0))&lt;&gt;7,BY292-VLOOKUP($P292&amp;" | "&amp;BP$6,'Job Master'!$F$12:$I$102,4,0),BY292-VLOOKUP($P292&amp;" | "&amp;BP$6,'Job Master'!$F$12:$I$102,4,0)-1),""),"")</f>
        <v/>
      </c>
      <c r="BS292" s="73"/>
      <c r="BT292" s="123" t="str">
        <f t="shared" si="537"/>
        <v/>
      </c>
      <c r="BU292" s="123" t="str">
        <f t="shared" si="538"/>
        <v/>
      </c>
      <c r="BV292" s="97" t="str">
        <f t="shared" ca="1" si="539"/>
        <v/>
      </c>
      <c r="BW292" s="98" t="str">
        <f>IF(BY292&lt;&gt;"",VLOOKUP($P292&amp;" | "&amp;BW$6,'Job Master'!$F$12:$J$102,5,0),"")</f>
        <v/>
      </c>
      <c r="BX292" s="19" t="str">
        <f>IF(BY292&lt;&gt;"",VLOOKUP($P292&amp;" | "&amp;BW$6,'Job Master'!$F$12:$J$102,3,0),"")</f>
        <v/>
      </c>
      <c r="BY292" s="19" t="str">
        <f>IFERROR(IF(AND(CF292&lt;&gt;"",VLOOKUP($P292&amp;" | "&amp;BW$6,'Job Master'!$F$12:$I$102,4,0)&lt;&gt;""),IF(WEEKDAY(CF292-VLOOKUP($P292&amp;" | "&amp;BW$6,'Job Master'!$F$12:$I$102,4,0))&lt;&gt;7,CF292-VLOOKUP($P292&amp;" | "&amp;BW$6,'Job Master'!$F$12:$I$102,4,0),CF292-VLOOKUP($P292&amp;" | "&amp;BW$6,'Job Master'!$F$12:$I$102,4,0)-1),""),"")</f>
        <v/>
      </c>
      <c r="BZ292" s="73"/>
      <c r="CA292" s="123" t="str">
        <f t="shared" si="540"/>
        <v/>
      </c>
      <c r="CB292" s="123" t="str">
        <f t="shared" si="541"/>
        <v/>
      </c>
      <c r="CC292" s="97" t="str">
        <f t="shared" ca="1" si="542"/>
        <v/>
      </c>
      <c r="CD292" s="98" t="str">
        <f>IF(CF292&lt;&gt;"",VLOOKUP($P292&amp;" | "&amp;CD$6,'Job Master'!$F$12:$J$102,5,0),"")</f>
        <v/>
      </c>
      <c r="CE292" s="19" t="str">
        <f>IF(CF292&lt;&gt;"",VLOOKUP($P292&amp;" | "&amp;CD$6,'Job Master'!$F$12:$J$102,3,0),"")</f>
        <v/>
      </c>
      <c r="CF292" s="19" t="str">
        <f>IFERROR(IF(AND(CM292&lt;&gt;"",VLOOKUP($P292&amp;" | "&amp;CD$6,'Job Master'!$F$12:$I$102,4,0)&lt;&gt;""),IF(WEEKDAY(CM292-VLOOKUP($P292&amp;" | "&amp;CD$6,'Job Master'!$F$12:$I$102,4,0))&lt;&gt;7,CM292-VLOOKUP($P292&amp;" | "&amp;CD$6,'Job Master'!$F$12:$I$102,4,0),CM292-VLOOKUP($P292&amp;" | "&amp;CD$6,'Job Master'!$F$12:$I$102,4,0)-1),""),"")</f>
        <v/>
      </c>
      <c r="CG292" s="73"/>
      <c r="CH292" s="123" t="str">
        <f t="shared" si="543"/>
        <v/>
      </c>
      <c r="CI292" s="123" t="str">
        <f t="shared" si="544"/>
        <v/>
      </c>
      <c r="CJ292" s="97" t="str">
        <f t="shared" ca="1" si="545"/>
        <v/>
      </c>
      <c r="CK292" s="98" t="str">
        <f>IF(CM292&lt;&gt;"",VLOOKUP($P292&amp;" | "&amp;CK$6,'Job Master'!$F$12:$J$102,5,0),"")</f>
        <v/>
      </c>
      <c r="CL292" s="19" t="str">
        <f>IF(CM292&lt;&gt;"",VLOOKUP($P292&amp;" | "&amp;CK$6,'Job Master'!$F$12:$J$102,3,0),"")</f>
        <v/>
      </c>
      <c r="CM292" s="19" t="str">
        <f>IFERROR(IF(AND(CT292&lt;&gt;"",VLOOKUP($P292&amp;" | "&amp;CK$6,'Job Master'!$F$12:$I$102,4,0)&lt;&gt;""),IF(WEEKDAY(CT292-VLOOKUP($P292&amp;" | "&amp;CK$6,'Job Master'!$F$12:$I$102,4,0))&lt;&gt;7,CT292-VLOOKUP($P292&amp;" | "&amp;CK$6,'Job Master'!$F$12:$I$102,4,0),CT292-VLOOKUP($P292&amp;" | "&amp;CK$6,'Job Master'!$F$12:$I$102,4,0)-1),""),"")</f>
        <v/>
      </c>
      <c r="CN292" s="73"/>
      <c r="CO292" s="123" t="str">
        <f t="shared" si="546"/>
        <v/>
      </c>
      <c r="CP292" s="123" t="str">
        <f t="shared" si="547"/>
        <v/>
      </c>
      <c r="CQ292" s="97" t="str">
        <f t="shared" ca="1" si="548"/>
        <v/>
      </c>
      <c r="CR292" s="98" t="str">
        <f>IF(CT292&lt;&gt;"",VLOOKUP($P292&amp;" | "&amp;CR$6,'Job Master'!$F$12:$J$102,5,0),"")</f>
        <v/>
      </c>
      <c r="CS292" s="19" t="str">
        <f>IF(CT292&lt;&gt;"",VLOOKUP($P292&amp;" | "&amp;CR$6,'Job Master'!$F$12:$J$102,3,0),"")</f>
        <v/>
      </c>
      <c r="CT292" s="19" t="str">
        <f>IFERROR(IF(AND(DA292&lt;&gt;"",VLOOKUP($P292&amp;" | "&amp;CR$6,'Job Master'!$F$12:$I$102,4,0)&lt;&gt;""),IF(WEEKDAY(DA292-VLOOKUP($P292&amp;" | "&amp;CR$6,'Job Master'!$F$12:$I$102,4,0))&lt;&gt;7,DA292-VLOOKUP($P292&amp;" | "&amp;CR$6,'Job Master'!$F$12:$I$102,4,0),DA292-VLOOKUP($P292&amp;" | "&amp;CR$6,'Job Master'!$F$12:$I$102,4,0)-1),""),"")</f>
        <v/>
      </c>
      <c r="CU292" s="73"/>
      <c r="CV292" s="123" t="str">
        <f t="shared" si="549"/>
        <v/>
      </c>
      <c r="CW292" s="123" t="str">
        <f t="shared" si="550"/>
        <v/>
      </c>
      <c r="CX292" s="97" t="str">
        <f t="shared" ca="1" si="551"/>
        <v/>
      </c>
      <c r="CY292" s="98" t="str">
        <f>IF(DA292&lt;&gt;"",VLOOKUP($P292&amp;" | "&amp;CY$6,'Job Master'!$F$12:$J$102,5,0),"")</f>
        <v/>
      </c>
      <c r="CZ292" s="19" t="str">
        <f>IF(DA292&lt;&gt;"",VLOOKUP($P292&amp;" | "&amp;CY$6,'Job Master'!$F$12:$J$102,3,0),"")</f>
        <v/>
      </c>
      <c r="DA292" s="19" t="str">
        <f>IFERROR(IF(AND(DH292&lt;&gt;"",VLOOKUP($P292&amp;" | "&amp;CY$6,'Job Master'!$F$12:$I$102,4,0)&lt;&gt;""),IF(WEEKDAY(DH292-VLOOKUP($P292&amp;" | "&amp;CY$6,'Job Master'!$F$12:$I$102,4,0))&lt;&gt;7,DH292-VLOOKUP($P292&amp;" | "&amp;CY$6,'Job Master'!$F$12:$I$102,4,0),DH292-VLOOKUP($P292&amp;" | "&amp;CY$6,'Job Master'!$F$12:$I$102,4,0)-1),""),"")</f>
        <v/>
      </c>
      <c r="DB292" s="73"/>
      <c r="DC292" s="123" t="str">
        <f t="shared" si="552"/>
        <v/>
      </c>
      <c r="DD292" s="123" t="str">
        <f t="shared" si="553"/>
        <v/>
      </c>
      <c r="DE292" s="97" t="str">
        <f t="shared" ca="1" si="554"/>
        <v/>
      </c>
      <c r="DF292" s="98" t="str">
        <f>IF(DH292&lt;&gt;"",VLOOKUP($P292&amp;" | "&amp;DF$6,'Job Master'!$F$12:$J$102,5,0),"")</f>
        <v/>
      </c>
      <c r="DG292" s="19" t="str">
        <f>IF(DH292&lt;&gt;"",VLOOKUP($P292&amp;" | "&amp;DF$6,'Job Master'!$F$12:$J$102,3,0),"")</f>
        <v/>
      </c>
      <c r="DH292" s="19" t="str">
        <f>IFERROR(IF(AND(DO292&lt;&gt;"",VLOOKUP($P292&amp;" | "&amp;DF$6,'Job Master'!$F$12:$I$102,4,0)&lt;&gt;""),IF(WEEKDAY(DO292-VLOOKUP($P292&amp;" | "&amp;DF$6,'Job Master'!$F$12:$I$102,4,0))&lt;&gt;7,DO292-VLOOKUP($P292&amp;" | "&amp;DF$6,'Job Master'!$F$12:$I$102,4,0),DO292-VLOOKUP($P292&amp;" | "&amp;DF$6,'Job Master'!$F$12:$I$102,4,0)-1),""),"")</f>
        <v/>
      </c>
      <c r="DI292" s="73"/>
      <c r="DJ292" s="123" t="str">
        <f t="shared" si="555"/>
        <v/>
      </c>
      <c r="DK292" s="123" t="str">
        <f t="shared" si="556"/>
        <v/>
      </c>
      <c r="DL292" s="97" t="str">
        <f t="shared" ca="1" si="557"/>
        <v/>
      </c>
      <c r="DM292" s="98" t="str">
        <f>IF(DO292&lt;&gt;"",VLOOKUP($P292&amp;" | "&amp;DM$6,'Job Master'!$F$12:$J$102,5,0),"")</f>
        <v/>
      </c>
      <c r="DN292" s="19" t="str">
        <f>IF(DO292&lt;&gt;"",VLOOKUP($P292&amp;" | "&amp;DM$6,'Job Master'!$F$12:$J$102,3,0),"")</f>
        <v/>
      </c>
      <c r="DO292" s="19" t="str">
        <f>IFERROR(IF(AND(DT292&lt;&gt;"",VLOOKUP($P292&amp;" | "&amp;DM$6,'Job Master'!$F$12:$I$102,4,0)&lt;&gt;""),IF(WEEKDAY(DT292-VLOOKUP($P292&amp;" | "&amp;DM$6,'Job Master'!$F$12:$I$102,4,0))&lt;&gt;7,DT292-VLOOKUP($P292&amp;" | "&amp;DM$6,'Job Master'!$F$12:$I$102,4,0),DT292-VLOOKUP($P292&amp;" | "&amp;DM$6,'Job Master'!$F$12:$I$102,4,0)-1),""),"")</f>
        <v/>
      </c>
      <c r="DP292" s="73"/>
      <c r="DQ292" s="123" t="str">
        <f t="shared" si="558"/>
        <v/>
      </c>
      <c r="DR292" s="123" t="str">
        <f t="shared" si="559"/>
        <v/>
      </c>
      <c r="DS292" s="97" t="str">
        <f t="shared" ca="1" si="560"/>
        <v/>
      </c>
      <c r="DT292" s="70" t="str">
        <f t="shared" si="561"/>
        <v/>
      </c>
      <c r="DU292" s="90"/>
      <c r="DV292" s="123" t="str">
        <f t="shared" si="562"/>
        <v/>
      </c>
      <c r="DW292" s="123" t="str">
        <f t="shared" si="563"/>
        <v/>
      </c>
      <c r="DX292" s="132" t="str">
        <f t="shared" ref="DX292" ca="1" si="601">IF(DT292&lt;&gt;"",IF(WEEKNUM(DT292)=WEEKNUM(TODAY()),"This Week",IF(WEEKNUM(DT292)=WEEKNUM(TODAY())+1,"Next Week",IF(WEEKNUM(DT292)=WEEKNUM(TODAY())-1,"Previous Week",""))),"")</f>
        <v/>
      </c>
      <c r="DY292" s="134" t="str">
        <f t="shared" si="565"/>
        <v/>
      </c>
      <c r="DZ292" s="95"/>
      <c r="EB292" s="8" t="str">
        <f t="shared" si="571"/>
        <v/>
      </c>
      <c r="EC292" s="8" t="str">
        <f>IF(O292&lt;&gt;"",VLOOKUP(O292,'Job Master'!$N$12:$O$18,2,0),"")</f>
        <v/>
      </c>
      <c r="ED292" s="8">
        <f t="shared" si="572"/>
        <v>19.5</v>
      </c>
      <c r="EE292" s="8">
        <f t="shared" si="573"/>
        <v>6</v>
      </c>
      <c r="EF292" s="8">
        <f t="shared" si="574"/>
        <v>-1672.5</v>
      </c>
      <c r="EG292" s="8" t="str">
        <f t="shared" si="575"/>
        <v/>
      </c>
      <c r="EH292" s="8" t="str">
        <f t="shared" si="576"/>
        <v/>
      </c>
    </row>
    <row r="293" spans="2:138" x14ac:dyDescent="0.3">
      <c r="B293" s="112"/>
      <c r="C293" s="27"/>
      <c r="D293" s="7" t="str">
        <f t="shared" si="513"/>
        <v/>
      </c>
      <c r="E293" s="25"/>
      <c r="F293" s="7" t="str">
        <f t="shared" si="513"/>
        <v/>
      </c>
      <c r="G293" s="25"/>
      <c r="H293" s="7" t="str">
        <f t="shared" si="513"/>
        <v/>
      </c>
      <c r="I293" s="25"/>
      <c r="J293" s="7" t="str">
        <f t="shared" si="513"/>
        <v/>
      </c>
      <c r="K293" s="25"/>
      <c r="L293" s="7" t="str">
        <f t="shared" si="514"/>
        <v/>
      </c>
      <c r="M293" s="25"/>
      <c r="N293" s="7" t="str">
        <f t="shared" si="515"/>
        <v/>
      </c>
      <c r="O293" s="81"/>
      <c r="P293" s="81" t="str">
        <f t="shared" si="516"/>
        <v/>
      </c>
      <c r="Q293" s="81"/>
      <c r="R293" s="7" t="str">
        <f t="shared" si="517"/>
        <v/>
      </c>
      <c r="S293" s="25"/>
      <c r="T293" s="7" t="str">
        <f t="shared" si="518"/>
        <v/>
      </c>
      <c r="U293" s="25"/>
      <c r="V293" s="7" t="str">
        <f t="shared" si="519"/>
        <v/>
      </c>
      <c r="W293" s="25"/>
      <c r="X293" s="7" t="str">
        <f t="shared" si="520"/>
        <v/>
      </c>
      <c r="Y293" s="18" t="str">
        <f t="shared" si="521"/>
        <v/>
      </c>
      <c r="Z293" s="7" t="str">
        <f t="shared" si="522"/>
        <v/>
      </c>
      <c r="AA293" s="18" t="str">
        <f t="shared" si="523"/>
        <v/>
      </c>
      <c r="AB293" s="19" t="str">
        <f t="shared" si="524"/>
        <v/>
      </c>
      <c r="AC293" s="26"/>
      <c r="AD293" s="26"/>
      <c r="AE293" s="25"/>
      <c r="AF293" s="26"/>
      <c r="AG293" s="25"/>
      <c r="AH293" s="25"/>
      <c r="AI293" s="18" t="str">
        <f t="shared" si="587"/>
        <v/>
      </c>
      <c r="AJ293" s="25"/>
      <c r="AK293" s="18" t="str">
        <f t="shared" si="588"/>
        <v/>
      </c>
      <c r="AL293" s="79"/>
      <c r="AM293" s="126" t="str">
        <f t="shared" si="589"/>
        <v/>
      </c>
      <c r="AN293" s="128" t="str">
        <f>IF(AP293&lt;&gt;"",VLOOKUP($P293&amp;" | "&amp;AN$6,'Job Master'!$F$12:$J$102,5,0),"")</f>
        <v/>
      </c>
      <c r="AO293" s="19" t="str">
        <f>IF(AP293&lt;&gt;"",VLOOKUP($P293&amp;" | "&amp;AN$6,'Job Master'!$F$12:$J$102,3,0),"")</f>
        <v/>
      </c>
      <c r="AP293" s="19" t="str">
        <f>IFERROR(IF(AND(AW293&lt;&gt;"",VLOOKUP($P293&amp;" | "&amp;AN$6,'Job Master'!$F$12:$I$102,4,0)&lt;&gt;""),IF(WEEKDAY(AW293-VLOOKUP($P293&amp;" | "&amp;AN$6,'Job Master'!$F$12:$I$102,4,0))&lt;&gt;7,AW293-VLOOKUP($P293&amp;" | "&amp;AN$6,'Job Master'!$F$12:$I$102,4,0),AW293-VLOOKUP($P293&amp;" | "&amp;AN$6,'Job Master'!$F$12:$I$102,4,0)-1),""),"")</f>
        <v/>
      </c>
      <c r="AQ293" s="73"/>
      <c r="AR293" s="123" t="str">
        <f t="shared" si="525"/>
        <v/>
      </c>
      <c r="AS293" s="123" t="str">
        <f t="shared" si="526"/>
        <v/>
      </c>
      <c r="AT293" s="97" t="str">
        <f t="shared" ca="1" si="527"/>
        <v/>
      </c>
      <c r="AU293" s="98" t="str">
        <f>IF(AW293&lt;&gt;"",VLOOKUP($P293&amp;" | "&amp;AU$6,'Job Master'!$F$12:$J$102,5,0),"")</f>
        <v/>
      </c>
      <c r="AV293" s="19" t="str">
        <f>IF(AW293&lt;&gt;"",VLOOKUP($P293&amp;" | "&amp;AU$6,'Job Master'!$F$12:$J$102,3,0),"")</f>
        <v/>
      </c>
      <c r="AW293" s="19" t="str">
        <f>IFERROR(IF(AND(BD293&lt;&gt;"",VLOOKUP($P293&amp;" | "&amp;AU$6,'Job Master'!$F$12:$I$102,4,0)&lt;&gt;""),IF(WEEKDAY(BD293-VLOOKUP($P293&amp;" | "&amp;AU$6,'Job Master'!$F$12:$I$102,4,0))&lt;&gt;7,BD293-VLOOKUP($P293&amp;" | "&amp;AU$6,'Job Master'!$F$12:$I$102,4,0),BD293-VLOOKUP($P293&amp;" | "&amp;AU$6,'Job Master'!$F$12:$I$102,4,0)-1),""),"")</f>
        <v/>
      </c>
      <c r="AX293" s="73"/>
      <c r="AY293" s="123" t="str">
        <f t="shared" si="528"/>
        <v/>
      </c>
      <c r="AZ293" s="123" t="str">
        <f t="shared" si="529"/>
        <v/>
      </c>
      <c r="BA293" s="97" t="str">
        <f t="shared" ca="1" si="530"/>
        <v/>
      </c>
      <c r="BB293" s="98" t="str">
        <f>IF(BD293&lt;&gt;"",VLOOKUP($P293&amp;" | "&amp;BB$6,'Job Master'!$F$12:$J$102,5,0),"")</f>
        <v/>
      </c>
      <c r="BC293" s="19" t="str">
        <f>IF(BD293&lt;&gt;"",VLOOKUP($P293&amp;" | "&amp;BB$6,'Job Master'!$F$12:$J$102,3,0),"")</f>
        <v/>
      </c>
      <c r="BD293" s="19" t="str">
        <f>IFERROR(IF(AND(BK293&lt;&gt;"",VLOOKUP($P293&amp;" | "&amp;BB$6,'Job Master'!$F$12:$I$102,4,0)&lt;&gt;""),IF(WEEKDAY(BK293-VLOOKUP($P293&amp;" | "&amp;BB$6,'Job Master'!$F$12:$I$102,4,0))&lt;&gt;7,BK293-VLOOKUP($P293&amp;" | "&amp;BB$6,'Job Master'!$F$12:$I$102,4,0),BK293-VLOOKUP($P293&amp;" | "&amp;BB$6,'Job Master'!$F$12:$I$102,4,0)-1),""),"")</f>
        <v/>
      </c>
      <c r="BE293" s="73"/>
      <c r="BF293" s="123" t="str">
        <f t="shared" si="531"/>
        <v/>
      </c>
      <c r="BG293" s="123" t="str">
        <f t="shared" si="532"/>
        <v/>
      </c>
      <c r="BH293" s="97" t="str">
        <f t="shared" ca="1" si="533"/>
        <v/>
      </c>
      <c r="BI293" s="98" t="str">
        <f>IF(BK293&lt;&gt;"",VLOOKUP($P293&amp;" | "&amp;BI$6,'Job Master'!$F$12:$J$102,5,0),"")</f>
        <v/>
      </c>
      <c r="BJ293" s="19" t="str">
        <f>IF(BK293&lt;&gt;"",VLOOKUP($P293&amp;" | "&amp;BI$6,'Job Master'!$F$12:$J$102,3,0),"")</f>
        <v/>
      </c>
      <c r="BK293" s="19" t="str">
        <f>IFERROR(IF(AND(BR293&lt;&gt;"",VLOOKUP($P293&amp;" | "&amp;BI$6,'Job Master'!$F$12:$I$102,4,0)&lt;&gt;""),IF(WEEKDAY(BR293-VLOOKUP($P293&amp;" | "&amp;BI$6,'Job Master'!$F$12:$I$102,4,0))&lt;&gt;7,BR293-VLOOKUP($P293&amp;" | "&amp;BI$6,'Job Master'!$F$12:$I$102,4,0),BR293-VLOOKUP($P293&amp;" | "&amp;BI$6,'Job Master'!$F$12:$I$102,4,0)-1),""),"")</f>
        <v/>
      </c>
      <c r="BL293" s="73"/>
      <c r="BM293" s="123" t="str">
        <f t="shared" si="534"/>
        <v/>
      </c>
      <c r="BN293" s="123" t="str">
        <f t="shared" si="535"/>
        <v/>
      </c>
      <c r="BO293" s="97" t="str">
        <f t="shared" ca="1" si="536"/>
        <v/>
      </c>
      <c r="BP293" s="98" t="str">
        <f>IF(BR293&lt;&gt;"",VLOOKUP($P293&amp;" | "&amp;BP$6,'Job Master'!$F$12:$J$102,5,0),"")</f>
        <v/>
      </c>
      <c r="BQ293" s="19" t="str">
        <f>IF(BR293&lt;&gt;"",VLOOKUP($P293&amp;" | "&amp;BP$6,'Job Master'!$F$12:$J$102,3,0),"")</f>
        <v/>
      </c>
      <c r="BR293" s="19" t="str">
        <f>IFERROR(IF(AND(BY293&lt;&gt;"",VLOOKUP($P293&amp;" | "&amp;BP$6,'Job Master'!$F$12:$I$102,4,0)&lt;&gt;""),IF(WEEKDAY(BY293-VLOOKUP($P293&amp;" | "&amp;BP$6,'Job Master'!$F$12:$I$102,4,0))&lt;&gt;7,BY293-VLOOKUP($P293&amp;" | "&amp;BP$6,'Job Master'!$F$12:$I$102,4,0),BY293-VLOOKUP($P293&amp;" | "&amp;BP$6,'Job Master'!$F$12:$I$102,4,0)-1),""),"")</f>
        <v/>
      </c>
      <c r="BS293" s="73"/>
      <c r="BT293" s="123" t="str">
        <f t="shared" si="537"/>
        <v/>
      </c>
      <c r="BU293" s="123" t="str">
        <f t="shared" si="538"/>
        <v/>
      </c>
      <c r="BV293" s="97" t="str">
        <f t="shared" ca="1" si="539"/>
        <v/>
      </c>
      <c r="BW293" s="98" t="str">
        <f>IF(BY293&lt;&gt;"",VLOOKUP($P293&amp;" | "&amp;BW$6,'Job Master'!$F$12:$J$102,5,0),"")</f>
        <v/>
      </c>
      <c r="BX293" s="19" t="str">
        <f>IF(BY293&lt;&gt;"",VLOOKUP($P293&amp;" | "&amp;BW$6,'Job Master'!$F$12:$J$102,3,0),"")</f>
        <v/>
      </c>
      <c r="BY293" s="19" t="str">
        <f>IFERROR(IF(AND(CF293&lt;&gt;"",VLOOKUP($P293&amp;" | "&amp;BW$6,'Job Master'!$F$12:$I$102,4,0)&lt;&gt;""),IF(WEEKDAY(CF293-VLOOKUP($P293&amp;" | "&amp;BW$6,'Job Master'!$F$12:$I$102,4,0))&lt;&gt;7,CF293-VLOOKUP($P293&amp;" | "&amp;BW$6,'Job Master'!$F$12:$I$102,4,0),CF293-VLOOKUP($P293&amp;" | "&amp;BW$6,'Job Master'!$F$12:$I$102,4,0)-1),""),"")</f>
        <v/>
      </c>
      <c r="BZ293" s="73"/>
      <c r="CA293" s="123" t="str">
        <f t="shared" si="540"/>
        <v/>
      </c>
      <c r="CB293" s="123" t="str">
        <f t="shared" si="541"/>
        <v/>
      </c>
      <c r="CC293" s="97" t="str">
        <f t="shared" ca="1" si="542"/>
        <v/>
      </c>
      <c r="CD293" s="98" t="str">
        <f>IF(CF293&lt;&gt;"",VLOOKUP($P293&amp;" | "&amp;CD$6,'Job Master'!$F$12:$J$102,5,0),"")</f>
        <v/>
      </c>
      <c r="CE293" s="19" t="str">
        <f>IF(CF293&lt;&gt;"",VLOOKUP($P293&amp;" | "&amp;CD$6,'Job Master'!$F$12:$J$102,3,0),"")</f>
        <v/>
      </c>
      <c r="CF293" s="19" t="str">
        <f>IFERROR(IF(AND(CM293&lt;&gt;"",VLOOKUP($P293&amp;" | "&amp;CD$6,'Job Master'!$F$12:$I$102,4,0)&lt;&gt;""),IF(WEEKDAY(CM293-VLOOKUP($P293&amp;" | "&amp;CD$6,'Job Master'!$F$12:$I$102,4,0))&lt;&gt;7,CM293-VLOOKUP($P293&amp;" | "&amp;CD$6,'Job Master'!$F$12:$I$102,4,0),CM293-VLOOKUP($P293&amp;" | "&amp;CD$6,'Job Master'!$F$12:$I$102,4,0)-1),""),"")</f>
        <v/>
      </c>
      <c r="CG293" s="73"/>
      <c r="CH293" s="123" t="str">
        <f t="shared" si="543"/>
        <v/>
      </c>
      <c r="CI293" s="123" t="str">
        <f t="shared" si="544"/>
        <v/>
      </c>
      <c r="CJ293" s="97" t="str">
        <f t="shared" ca="1" si="545"/>
        <v/>
      </c>
      <c r="CK293" s="98" t="str">
        <f>IF(CM293&lt;&gt;"",VLOOKUP($P293&amp;" | "&amp;CK$6,'Job Master'!$F$12:$J$102,5,0),"")</f>
        <v/>
      </c>
      <c r="CL293" s="19" t="str">
        <f>IF(CM293&lt;&gt;"",VLOOKUP($P293&amp;" | "&amp;CK$6,'Job Master'!$F$12:$J$102,3,0),"")</f>
        <v/>
      </c>
      <c r="CM293" s="19" t="str">
        <f>IFERROR(IF(AND(CT293&lt;&gt;"",VLOOKUP($P293&amp;" | "&amp;CK$6,'Job Master'!$F$12:$I$102,4,0)&lt;&gt;""),IF(WEEKDAY(CT293-VLOOKUP($P293&amp;" | "&amp;CK$6,'Job Master'!$F$12:$I$102,4,0))&lt;&gt;7,CT293-VLOOKUP($P293&amp;" | "&amp;CK$6,'Job Master'!$F$12:$I$102,4,0),CT293-VLOOKUP($P293&amp;" | "&amp;CK$6,'Job Master'!$F$12:$I$102,4,0)-1),""),"")</f>
        <v/>
      </c>
      <c r="CN293" s="73"/>
      <c r="CO293" s="123" t="str">
        <f t="shared" si="546"/>
        <v/>
      </c>
      <c r="CP293" s="123" t="str">
        <f t="shared" si="547"/>
        <v/>
      </c>
      <c r="CQ293" s="97" t="str">
        <f t="shared" ca="1" si="548"/>
        <v/>
      </c>
      <c r="CR293" s="98" t="str">
        <f>IF(CT293&lt;&gt;"",VLOOKUP($P293&amp;" | "&amp;CR$6,'Job Master'!$F$12:$J$102,5,0),"")</f>
        <v/>
      </c>
      <c r="CS293" s="19" t="str">
        <f>IF(CT293&lt;&gt;"",VLOOKUP($P293&amp;" | "&amp;CR$6,'Job Master'!$F$12:$J$102,3,0),"")</f>
        <v/>
      </c>
      <c r="CT293" s="19" t="str">
        <f>IFERROR(IF(AND(DA293&lt;&gt;"",VLOOKUP($P293&amp;" | "&amp;CR$6,'Job Master'!$F$12:$I$102,4,0)&lt;&gt;""),IF(WEEKDAY(DA293-VLOOKUP($P293&amp;" | "&amp;CR$6,'Job Master'!$F$12:$I$102,4,0))&lt;&gt;7,DA293-VLOOKUP($P293&amp;" | "&amp;CR$6,'Job Master'!$F$12:$I$102,4,0),DA293-VLOOKUP($P293&amp;" | "&amp;CR$6,'Job Master'!$F$12:$I$102,4,0)-1),""),"")</f>
        <v/>
      </c>
      <c r="CU293" s="73"/>
      <c r="CV293" s="123" t="str">
        <f t="shared" si="549"/>
        <v/>
      </c>
      <c r="CW293" s="123" t="str">
        <f t="shared" si="550"/>
        <v/>
      </c>
      <c r="CX293" s="97" t="str">
        <f t="shared" ca="1" si="551"/>
        <v/>
      </c>
      <c r="CY293" s="98" t="str">
        <f>IF(DA293&lt;&gt;"",VLOOKUP($P293&amp;" | "&amp;CY$6,'Job Master'!$F$12:$J$102,5,0),"")</f>
        <v/>
      </c>
      <c r="CZ293" s="19" t="str">
        <f>IF(DA293&lt;&gt;"",VLOOKUP($P293&amp;" | "&amp;CY$6,'Job Master'!$F$12:$J$102,3,0),"")</f>
        <v/>
      </c>
      <c r="DA293" s="19" t="str">
        <f>IFERROR(IF(AND(DH293&lt;&gt;"",VLOOKUP($P293&amp;" | "&amp;CY$6,'Job Master'!$F$12:$I$102,4,0)&lt;&gt;""),IF(WEEKDAY(DH293-VLOOKUP($P293&amp;" | "&amp;CY$6,'Job Master'!$F$12:$I$102,4,0))&lt;&gt;7,DH293-VLOOKUP($P293&amp;" | "&amp;CY$6,'Job Master'!$F$12:$I$102,4,0),DH293-VLOOKUP($P293&amp;" | "&amp;CY$6,'Job Master'!$F$12:$I$102,4,0)-1),""),"")</f>
        <v/>
      </c>
      <c r="DB293" s="73"/>
      <c r="DC293" s="123" t="str">
        <f t="shared" si="552"/>
        <v/>
      </c>
      <c r="DD293" s="123" t="str">
        <f t="shared" si="553"/>
        <v/>
      </c>
      <c r="DE293" s="97" t="str">
        <f t="shared" ca="1" si="554"/>
        <v/>
      </c>
      <c r="DF293" s="98" t="str">
        <f>IF(DH293&lt;&gt;"",VLOOKUP($P293&amp;" | "&amp;DF$6,'Job Master'!$F$12:$J$102,5,0),"")</f>
        <v/>
      </c>
      <c r="DG293" s="19" t="str">
        <f>IF(DH293&lt;&gt;"",VLOOKUP($P293&amp;" | "&amp;DF$6,'Job Master'!$F$12:$J$102,3,0),"")</f>
        <v/>
      </c>
      <c r="DH293" s="19" t="str">
        <f>IFERROR(IF(AND(DO293&lt;&gt;"",VLOOKUP($P293&amp;" | "&amp;DF$6,'Job Master'!$F$12:$I$102,4,0)&lt;&gt;""),IF(WEEKDAY(DO293-VLOOKUP($P293&amp;" | "&amp;DF$6,'Job Master'!$F$12:$I$102,4,0))&lt;&gt;7,DO293-VLOOKUP($P293&amp;" | "&amp;DF$6,'Job Master'!$F$12:$I$102,4,0),DO293-VLOOKUP($P293&amp;" | "&amp;DF$6,'Job Master'!$F$12:$I$102,4,0)-1),""),"")</f>
        <v/>
      </c>
      <c r="DI293" s="73"/>
      <c r="DJ293" s="123" t="str">
        <f t="shared" si="555"/>
        <v/>
      </c>
      <c r="DK293" s="123" t="str">
        <f t="shared" si="556"/>
        <v/>
      </c>
      <c r="DL293" s="97" t="str">
        <f t="shared" ca="1" si="557"/>
        <v/>
      </c>
      <c r="DM293" s="98" t="str">
        <f>IF(DO293&lt;&gt;"",VLOOKUP($P293&amp;" | "&amp;DM$6,'Job Master'!$F$12:$J$102,5,0),"")</f>
        <v/>
      </c>
      <c r="DN293" s="19" t="str">
        <f>IF(DO293&lt;&gt;"",VLOOKUP($P293&amp;" | "&amp;DM$6,'Job Master'!$F$12:$J$102,3,0),"")</f>
        <v/>
      </c>
      <c r="DO293" s="19" t="str">
        <f>IFERROR(IF(AND(DT293&lt;&gt;"",VLOOKUP($P293&amp;" | "&amp;DM$6,'Job Master'!$F$12:$I$102,4,0)&lt;&gt;""),IF(WEEKDAY(DT293-VLOOKUP($P293&amp;" | "&amp;DM$6,'Job Master'!$F$12:$I$102,4,0))&lt;&gt;7,DT293-VLOOKUP($P293&amp;" | "&amp;DM$6,'Job Master'!$F$12:$I$102,4,0),DT293-VLOOKUP($P293&amp;" | "&amp;DM$6,'Job Master'!$F$12:$I$102,4,0)-1),""),"")</f>
        <v/>
      </c>
      <c r="DP293" s="73"/>
      <c r="DQ293" s="123" t="str">
        <f t="shared" si="558"/>
        <v/>
      </c>
      <c r="DR293" s="123" t="str">
        <f t="shared" si="559"/>
        <v/>
      </c>
      <c r="DS293" s="97" t="str">
        <f t="shared" ca="1" si="560"/>
        <v/>
      </c>
      <c r="DT293" s="70" t="str">
        <f t="shared" si="561"/>
        <v/>
      </c>
      <c r="DU293" s="90"/>
      <c r="DV293" s="123" t="str">
        <f t="shared" si="562"/>
        <v/>
      </c>
      <c r="DW293" s="123" t="str">
        <f t="shared" si="563"/>
        <v/>
      </c>
      <c r="DX293" s="132" t="str">
        <f t="shared" ref="DX293" ca="1" si="602">IF(DT293&lt;&gt;"",IF(WEEKNUM(DT293)=WEEKNUM(TODAY()),"This Week",IF(WEEKNUM(DT293)=WEEKNUM(TODAY())+1,"Next Week",IF(WEEKNUM(DT293)=WEEKNUM(TODAY())-1,"Previous Week",""))),"")</f>
        <v/>
      </c>
      <c r="DY293" s="134" t="str">
        <f t="shared" si="565"/>
        <v/>
      </c>
      <c r="DZ293" s="95"/>
      <c r="EB293" s="8" t="str">
        <f t="shared" si="571"/>
        <v/>
      </c>
      <c r="EC293" s="8" t="str">
        <f>IF(O293&lt;&gt;"",VLOOKUP(O293,'Job Master'!$N$12:$O$18,2,0),"")</f>
        <v/>
      </c>
      <c r="ED293" s="8">
        <f t="shared" si="572"/>
        <v>19.5</v>
      </c>
      <c r="EE293" s="8">
        <f t="shared" si="573"/>
        <v>6</v>
      </c>
      <c r="EF293" s="8">
        <f t="shared" si="574"/>
        <v>-1678.5</v>
      </c>
      <c r="EG293" s="8" t="str">
        <f t="shared" si="575"/>
        <v/>
      </c>
      <c r="EH293" s="8" t="str">
        <f t="shared" si="576"/>
        <v/>
      </c>
    </row>
    <row r="294" spans="2:138" x14ac:dyDescent="0.3">
      <c r="B294" s="112"/>
      <c r="C294" s="27"/>
      <c r="D294" s="7" t="str">
        <f t="shared" si="513"/>
        <v/>
      </c>
      <c r="E294" s="25"/>
      <c r="F294" s="7" t="str">
        <f t="shared" si="513"/>
        <v/>
      </c>
      <c r="G294" s="25"/>
      <c r="H294" s="7" t="str">
        <f t="shared" si="513"/>
        <v/>
      </c>
      <c r="I294" s="25"/>
      <c r="J294" s="7" t="str">
        <f t="shared" si="513"/>
        <v/>
      </c>
      <c r="K294" s="25"/>
      <c r="L294" s="7" t="str">
        <f t="shared" si="514"/>
        <v/>
      </c>
      <c r="M294" s="25"/>
      <c r="N294" s="7" t="str">
        <f t="shared" si="515"/>
        <v/>
      </c>
      <c r="O294" s="81"/>
      <c r="P294" s="81" t="str">
        <f t="shared" si="516"/>
        <v/>
      </c>
      <c r="Q294" s="81"/>
      <c r="R294" s="7" t="str">
        <f t="shared" si="517"/>
        <v/>
      </c>
      <c r="S294" s="25"/>
      <c r="T294" s="7" t="str">
        <f t="shared" si="518"/>
        <v/>
      </c>
      <c r="U294" s="25"/>
      <c r="V294" s="7" t="str">
        <f t="shared" si="519"/>
        <v/>
      </c>
      <c r="W294" s="25"/>
      <c r="X294" s="7" t="str">
        <f t="shared" si="520"/>
        <v/>
      </c>
      <c r="Y294" s="18" t="str">
        <f t="shared" si="521"/>
        <v/>
      </c>
      <c r="Z294" s="7" t="str">
        <f t="shared" si="522"/>
        <v/>
      </c>
      <c r="AA294" s="18" t="str">
        <f t="shared" si="523"/>
        <v/>
      </c>
      <c r="AB294" s="19" t="str">
        <f t="shared" si="524"/>
        <v/>
      </c>
      <c r="AC294" s="26"/>
      <c r="AD294" s="26"/>
      <c r="AE294" s="25"/>
      <c r="AF294" s="26"/>
      <c r="AG294" s="25"/>
      <c r="AH294" s="25"/>
      <c r="AI294" s="18" t="str">
        <f t="shared" si="587"/>
        <v/>
      </c>
      <c r="AJ294" s="25"/>
      <c r="AK294" s="18" t="str">
        <f t="shared" si="588"/>
        <v/>
      </c>
      <c r="AL294" s="79"/>
      <c r="AM294" s="126" t="str">
        <f t="shared" si="589"/>
        <v/>
      </c>
      <c r="AN294" s="128" t="str">
        <f>IF(AP294&lt;&gt;"",VLOOKUP($P294&amp;" | "&amp;AN$6,'Job Master'!$F$12:$J$102,5,0),"")</f>
        <v/>
      </c>
      <c r="AO294" s="19" t="str">
        <f>IF(AP294&lt;&gt;"",VLOOKUP($P294&amp;" | "&amp;AN$6,'Job Master'!$F$12:$J$102,3,0),"")</f>
        <v/>
      </c>
      <c r="AP294" s="19" t="str">
        <f>IFERROR(IF(AND(AW294&lt;&gt;"",VLOOKUP($P294&amp;" | "&amp;AN$6,'Job Master'!$F$12:$I$102,4,0)&lt;&gt;""),IF(WEEKDAY(AW294-VLOOKUP($P294&amp;" | "&amp;AN$6,'Job Master'!$F$12:$I$102,4,0))&lt;&gt;7,AW294-VLOOKUP($P294&amp;" | "&amp;AN$6,'Job Master'!$F$12:$I$102,4,0),AW294-VLOOKUP($P294&amp;" | "&amp;AN$6,'Job Master'!$F$12:$I$102,4,0)-1),""),"")</f>
        <v/>
      </c>
      <c r="AQ294" s="73"/>
      <c r="AR294" s="123" t="str">
        <f t="shared" si="525"/>
        <v/>
      </c>
      <c r="AS294" s="123" t="str">
        <f t="shared" si="526"/>
        <v/>
      </c>
      <c r="AT294" s="97" t="str">
        <f t="shared" ca="1" si="527"/>
        <v/>
      </c>
      <c r="AU294" s="98" t="str">
        <f>IF(AW294&lt;&gt;"",VLOOKUP($P294&amp;" | "&amp;AU$6,'Job Master'!$F$12:$J$102,5,0),"")</f>
        <v/>
      </c>
      <c r="AV294" s="19" t="str">
        <f>IF(AW294&lt;&gt;"",VLOOKUP($P294&amp;" | "&amp;AU$6,'Job Master'!$F$12:$J$102,3,0),"")</f>
        <v/>
      </c>
      <c r="AW294" s="19" t="str">
        <f>IFERROR(IF(AND(BD294&lt;&gt;"",VLOOKUP($P294&amp;" | "&amp;AU$6,'Job Master'!$F$12:$I$102,4,0)&lt;&gt;""),IF(WEEKDAY(BD294-VLOOKUP($P294&amp;" | "&amp;AU$6,'Job Master'!$F$12:$I$102,4,0))&lt;&gt;7,BD294-VLOOKUP($P294&amp;" | "&amp;AU$6,'Job Master'!$F$12:$I$102,4,0),BD294-VLOOKUP($P294&amp;" | "&amp;AU$6,'Job Master'!$F$12:$I$102,4,0)-1),""),"")</f>
        <v/>
      </c>
      <c r="AX294" s="73"/>
      <c r="AY294" s="123" t="str">
        <f t="shared" si="528"/>
        <v/>
      </c>
      <c r="AZ294" s="123" t="str">
        <f t="shared" si="529"/>
        <v/>
      </c>
      <c r="BA294" s="97" t="str">
        <f t="shared" ca="1" si="530"/>
        <v/>
      </c>
      <c r="BB294" s="98" t="str">
        <f>IF(BD294&lt;&gt;"",VLOOKUP($P294&amp;" | "&amp;BB$6,'Job Master'!$F$12:$J$102,5,0),"")</f>
        <v/>
      </c>
      <c r="BC294" s="19" t="str">
        <f>IF(BD294&lt;&gt;"",VLOOKUP($P294&amp;" | "&amp;BB$6,'Job Master'!$F$12:$J$102,3,0),"")</f>
        <v/>
      </c>
      <c r="BD294" s="19" t="str">
        <f>IFERROR(IF(AND(BK294&lt;&gt;"",VLOOKUP($P294&amp;" | "&amp;BB$6,'Job Master'!$F$12:$I$102,4,0)&lt;&gt;""),IF(WEEKDAY(BK294-VLOOKUP($P294&amp;" | "&amp;BB$6,'Job Master'!$F$12:$I$102,4,0))&lt;&gt;7,BK294-VLOOKUP($P294&amp;" | "&amp;BB$6,'Job Master'!$F$12:$I$102,4,0),BK294-VLOOKUP($P294&amp;" | "&amp;BB$6,'Job Master'!$F$12:$I$102,4,0)-1),""),"")</f>
        <v/>
      </c>
      <c r="BE294" s="73"/>
      <c r="BF294" s="123" t="str">
        <f t="shared" si="531"/>
        <v/>
      </c>
      <c r="BG294" s="123" t="str">
        <f t="shared" si="532"/>
        <v/>
      </c>
      <c r="BH294" s="97" t="str">
        <f t="shared" ca="1" si="533"/>
        <v/>
      </c>
      <c r="BI294" s="98" t="str">
        <f>IF(BK294&lt;&gt;"",VLOOKUP($P294&amp;" | "&amp;BI$6,'Job Master'!$F$12:$J$102,5,0),"")</f>
        <v/>
      </c>
      <c r="BJ294" s="19" t="str">
        <f>IF(BK294&lt;&gt;"",VLOOKUP($P294&amp;" | "&amp;BI$6,'Job Master'!$F$12:$J$102,3,0),"")</f>
        <v/>
      </c>
      <c r="BK294" s="19" t="str">
        <f>IFERROR(IF(AND(BR294&lt;&gt;"",VLOOKUP($P294&amp;" | "&amp;BI$6,'Job Master'!$F$12:$I$102,4,0)&lt;&gt;""),IF(WEEKDAY(BR294-VLOOKUP($P294&amp;" | "&amp;BI$6,'Job Master'!$F$12:$I$102,4,0))&lt;&gt;7,BR294-VLOOKUP($P294&amp;" | "&amp;BI$6,'Job Master'!$F$12:$I$102,4,0),BR294-VLOOKUP($P294&amp;" | "&amp;BI$6,'Job Master'!$F$12:$I$102,4,0)-1),""),"")</f>
        <v/>
      </c>
      <c r="BL294" s="73"/>
      <c r="BM294" s="123" t="str">
        <f t="shared" si="534"/>
        <v/>
      </c>
      <c r="BN294" s="123" t="str">
        <f t="shared" si="535"/>
        <v/>
      </c>
      <c r="BO294" s="97" t="str">
        <f t="shared" ca="1" si="536"/>
        <v/>
      </c>
      <c r="BP294" s="98" t="str">
        <f>IF(BR294&lt;&gt;"",VLOOKUP($P294&amp;" | "&amp;BP$6,'Job Master'!$F$12:$J$102,5,0),"")</f>
        <v/>
      </c>
      <c r="BQ294" s="19" t="str">
        <f>IF(BR294&lt;&gt;"",VLOOKUP($P294&amp;" | "&amp;BP$6,'Job Master'!$F$12:$J$102,3,0),"")</f>
        <v/>
      </c>
      <c r="BR294" s="19" t="str">
        <f>IFERROR(IF(AND(BY294&lt;&gt;"",VLOOKUP($P294&amp;" | "&amp;BP$6,'Job Master'!$F$12:$I$102,4,0)&lt;&gt;""),IF(WEEKDAY(BY294-VLOOKUP($P294&amp;" | "&amp;BP$6,'Job Master'!$F$12:$I$102,4,0))&lt;&gt;7,BY294-VLOOKUP($P294&amp;" | "&amp;BP$6,'Job Master'!$F$12:$I$102,4,0),BY294-VLOOKUP($P294&amp;" | "&amp;BP$6,'Job Master'!$F$12:$I$102,4,0)-1),""),"")</f>
        <v/>
      </c>
      <c r="BS294" s="73"/>
      <c r="BT294" s="123" t="str">
        <f t="shared" si="537"/>
        <v/>
      </c>
      <c r="BU294" s="123" t="str">
        <f t="shared" si="538"/>
        <v/>
      </c>
      <c r="BV294" s="97" t="str">
        <f t="shared" ca="1" si="539"/>
        <v/>
      </c>
      <c r="BW294" s="98" t="str">
        <f>IF(BY294&lt;&gt;"",VLOOKUP($P294&amp;" | "&amp;BW$6,'Job Master'!$F$12:$J$102,5,0),"")</f>
        <v/>
      </c>
      <c r="BX294" s="19" t="str">
        <f>IF(BY294&lt;&gt;"",VLOOKUP($P294&amp;" | "&amp;BW$6,'Job Master'!$F$12:$J$102,3,0),"")</f>
        <v/>
      </c>
      <c r="BY294" s="19" t="str">
        <f>IFERROR(IF(AND(CF294&lt;&gt;"",VLOOKUP($P294&amp;" | "&amp;BW$6,'Job Master'!$F$12:$I$102,4,0)&lt;&gt;""),IF(WEEKDAY(CF294-VLOOKUP($P294&amp;" | "&amp;BW$6,'Job Master'!$F$12:$I$102,4,0))&lt;&gt;7,CF294-VLOOKUP($P294&amp;" | "&amp;BW$6,'Job Master'!$F$12:$I$102,4,0),CF294-VLOOKUP($P294&amp;" | "&amp;BW$6,'Job Master'!$F$12:$I$102,4,0)-1),""),"")</f>
        <v/>
      </c>
      <c r="BZ294" s="73"/>
      <c r="CA294" s="123" t="str">
        <f t="shared" si="540"/>
        <v/>
      </c>
      <c r="CB294" s="123" t="str">
        <f t="shared" si="541"/>
        <v/>
      </c>
      <c r="CC294" s="97" t="str">
        <f t="shared" ca="1" si="542"/>
        <v/>
      </c>
      <c r="CD294" s="98" t="str">
        <f>IF(CF294&lt;&gt;"",VLOOKUP($P294&amp;" | "&amp;CD$6,'Job Master'!$F$12:$J$102,5,0),"")</f>
        <v/>
      </c>
      <c r="CE294" s="19" t="str">
        <f>IF(CF294&lt;&gt;"",VLOOKUP($P294&amp;" | "&amp;CD$6,'Job Master'!$F$12:$J$102,3,0),"")</f>
        <v/>
      </c>
      <c r="CF294" s="19" t="str">
        <f>IFERROR(IF(AND(CM294&lt;&gt;"",VLOOKUP($P294&amp;" | "&amp;CD$6,'Job Master'!$F$12:$I$102,4,0)&lt;&gt;""),IF(WEEKDAY(CM294-VLOOKUP($P294&amp;" | "&amp;CD$6,'Job Master'!$F$12:$I$102,4,0))&lt;&gt;7,CM294-VLOOKUP($P294&amp;" | "&amp;CD$6,'Job Master'!$F$12:$I$102,4,0),CM294-VLOOKUP($P294&amp;" | "&amp;CD$6,'Job Master'!$F$12:$I$102,4,0)-1),""),"")</f>
        <v/>
      </c>
      <c r="CG294" s="73"/>
      <c r="CH294" s="123" t="str">
        <f t="shared" si="543"/>
        <v/>
      </c>
      <c r="CI294" s="123" t="str">
        <f t="shared" si="544"/>
        <v/>
      </c>
      <c r="CJ294" s="97" t="str">
        <f t="shared" ca="1" si="545"/>
        <v/>
      </c>
      <c r="CK294" s="98" t="str">
        <f>IF(CM294&lt;&gt;"",VLOOKUP($P294&amp;" | "&amp;CK$6,'Job Master'!$F$12:$J$102,5,0),"")</f>
        <v/>
      </c>
      <c r="CL294" s="19" t="str">
        <f>IF(CM294&lt;&gt;"",VLOOKUP($P294&amp;" | "&amp;CK$6,'Job Master'!$F$12:$J$102,3,0),"")</f>
        <v/>
      </c>
      <c r="CM294" s="19" t="str">
        <f>IFERROR(IF(AND(CT294&lt;&gt;"",VLOOKUP($P294&amp;" | "&amp;CK$6,'Job Master'!$F$12:$I$102,4,0)&lt;&gt;""),IF(WEEKDAY(CT294-VLOOKUP($P294&amp;" | "&amp;CK$6,'Job Master'!$F$12:$I$102,4,0))&lt;&gt;7,CT294-VLOOKUP($P294&amp;" | "&amp;CK$6,'Job Master'!$F$12:$I$102,4,0),CT294-VLOOKUP($P294&amp;" | "&amp;CK$6,'Job Master'!$F$12:$I$102,4,0)-1),""),"")</f>
        <v/>
      </c>
      <c r="CN294" s="73"/>
      <c r="CO294" s="123" t="str">
        <f t="shared" si="546"/>
        <v/>
      </c>
      <c r="CP294" s="123" t="str">
        <f t="shared" si="547"/>
        <v/>
      </c>
      <c r="CQ294" s="97" t="str">
        <f t="shared" ca="1" si="548"/>
        <v/>
      </c>
      <c r="CR294" s="98" t="str">
        <f>IF(CT294&lt;&gt;"",VLOOKUP($P294&amp;" | "&amp;CR$6,'Job Master'!$F$12:$J$102,5,0),"")</f>
        <v/>
      </c>
      <c r="CS294" s="19" t="str">
        <f>IF(CT294&lt;&gt;"",VLOOKUP($P294&amp;" | "&amp;CR$6,'Job Master'!$F$12:$J$102,3,0),"")</f>
        <v/>
      </c>
      <c r="CT294" s="19" t="str">
        <f>IFERROR(IF(AND(DA294&lt;&gt;"",VLOOKUP($P294&amp;" | "&amp;CR$6,'Job Master'!$F$12:$I$102,4,0)&lt;&gt;""),IF(WEEKDAY(DA294-VLOOKUP($P294&amp;" | "&amp;CR$6,'Job Master'!$F$12:$I$102,4,0))&lt;&gt;7,DA294-VLOOKUP($P294&amp;" | "&amp;CR$6,'Job Master'!$F$12:$I$102,4,0),DA294-VLOOKUP($P294&amp;" | "&amp;CR$6,'Job Master'!$F$12:$I$102,4,0)-1),""),"")</f>
        <v/>
      </c>
      <c r="CU294" s="73"/>
      <c r="CV294" s="123" t="str">
        <f t="shared" si="549"/>
        <v/>
      </c>
      <c r="CW294" s="123" t="str">
        <f t="shared" si="550"/>
        <v/>
      </c>
      <c r="CX294" s="97" t="str">
        <f t="shared" ca="1" si="551"/>
        <v/>
      </c>
      <c r="CY294" s="98" t="str">
        <f>IF(DA294&lt;&gt;"",VLOOKUP($P294&amp;" | "&amp;CY$6,'Job Master'!$F$12:$J$102,5,0),"")</f>
        <v/>
      </c>
      <c r="CZ294" s="19" t="str">
        <f>IF(DA294&lt;&gt;"",VLOOKUP($P294&amp;" | "&amp;CY$6,'Job Master'!$F$12:$J$102,3,0),"")</f>
        <v/>
      </c>
      <c r="DA294" s="19" t="str">
        <f>IFERROR(IF(AND(DH294&lt;&gt;"",VLOOKUP($P294&amp;" | "&amp;CY$6,'Job Master'!$F$12:$I$102,4,0)&lt;&gt;""),IF(WEEKDAY(DH294-VLOOKUP($P294&amp;" | "&amp;CY$6,'Job Master'!$F$12:$I$102,4,0))&lt;&gt;7,DH294-VLOOKUP($P294&amp;" | "&amp;CY$6,'Job Master'!$F$12:$I$102,4,0),DH294-VLOOKUP($P294&amp;" | "&amp;CY$6,'Job Master'!$F$12:$I$102,4,0)-1),""),"")</f>
        <v/>
      </c>
      <c r="DB294" s="73"/>
      <c r="DC294" s="123" t="str">
        <f t="shared" si="552"/>
        <v/>
      </c>
      <c r="DD294" s="123" t="str">
        <f t="shared" si="553"/>
        <v/>
      </c>
      <c r="DE294" s="97" t="str">
        <f t="shared" ca="1" si="554"/>
        <v/>
      </c>
      <c r="DF294" s="98" t="str">
        <f>IF(DH294&lt;&gt;"",VLOOKUP($P294&amp;" | "&amp;DF$6,'Job Master'!$F$12:$J$102,5,0),"")</f>
        <v/>
      </c>
      <c r="DG294" s="19" t="str">
        <f>IF(DH294&lt;&gt;"",VLOOKUP($P294&amp;" | "&amp;DF$6,'Job Master'!$F$12:$J$102,3,0),"")</f>
        <v/>
      </c>
      <c r="DH294" s="19" t="str">
        <f>IFERROR(IF(AND(DO294&lt;&gt;"",VLOOKUP($P294&amp;" | "&amp;DF$6,'Job Master'!$F$12:$I$102,4,0)&lt;&gt;""),IF(WEEKDAY(DO294-VLOOKUP($P294&amp;" | "&amp;DF$6,'Job Master'!$F$12:$I$102,4,0))&lt;&gt;7,DO294-VLOOKUP($P294&amp;" | "&amp;DF$6,'Job Master'!$F$12:$I$102,4,0),DO294-VLOOKUP($P294&amp;" | "&amp;DF$6,'Job Master'!$F$12:$I$102,4,0)-1),""),"")</f>
        <v/>
      </c>
      <c r="DI294" s="73"/>
      <c r="DJ294" s="123" t="str">
        <f t="shared" si="555"/>
        <v/>
      </c>
      <c r="DK294" s="123" t="str">
        <f t="shared" si="556"/>
        <v/>
      </c>
      <c r="DL294" s="97" t="str">
        <f t="shared" ca="1" si="557"/>
        <v/>
      </c>
      <c r="DM294" s="98" t="str">
        <f>IF(DO294&lt;&gt;"",VLOOKUP($P294&amp;" | "&amp;DM$6,'Job Master'!$F$12:$J$102,5,0),"")</f>
        <v/>
      </c>
      <c r="DN294" s="19" t="str">
        <f>IF(DO294&lt;&gt;"",VLOOKUP($P294&amp;" | "&amp;DM$6,'Job Master'!$F$12:$J$102,3,0),"")</f>
        <v/>
      </c>
      <c r="DO294" s="19" t="str">
        <f>IFERROR(IF(AND(DT294&lt;&gt;"",VLOOKUP($P294&amp;" | "&amp;DM$6,'Job Master'!$F$12:$I$102,4,0)&lt;&gt;""),IF(WEEKDAY(DT294-VLOOKUP($P294&amp;" | "&amp;DM$6,'Job Master'!$F$12:$I$102,4,0))&lt;&gt;7,DT294-VLOOKUP($P294&amp;" | "&amp;DM$6,'Job Master'!$F$12:$I$102,4,0),DT294-VLOOKUP($P294&amp;" | "&amp;DM$6,'Job Master'!$F$12:$I$102,4,0)-1),""),"")</f>
        <v/>
      </c>
      <c r="DP294" s="73"/>
      <c r="DQ294" s="123" t="str">
        <f t="shared" si="558"/>
        <v/>
      </c>
      <c r="DR294" s="123" t="str">
        <f t="shared" si="559"/>
        <v/>
      </c>
      <c r="DS294" s="97" t="str">
        <f t="shared" ca="1" si="560"/>
        <v/>
      </c>
      <c r="DT294" s="70" t="str">
        <f t="shared" si="561"/>
        <v/>
      </c>
      <c r="DU294" s="90"/>
      <c r="DV294" s="123" t="str">
        <f t="shared" si="562"/>
        <v/>
      </c>
      <c r="DW294" s="123" t="str">
        <f t="shared" si="563"/>
        <v/>
      </c>
      <c r="DX294" s="132" t="str">
        <f t="shared" ref="DX294" ca="1" si="603">IF(DT294&lt;&gt;"",IF(WEEKNUM(DT294)=WEEKNUM(TODAY()),"This Week",IF(WEEKNUM(DT294)=WEEKNUM(TODAY())+1,"Next Week",IF(WEEKNUM(DT294)=WEEKNUM(TODAY())-1,"Previous Week",""))),"")</f>
        <v/>
      </c>
      <c r="DY294" s="134" t="str">
        <f t="shared" si="565"/>
        <v/>
      </c>
      <c r="DZ294" s="95"/>
      <c r="EB294" s="8" t="str">
        <f t="shared" si="571"/>
        <v/>
      </c>
      <c r="EC294" s="8" t="str">
        <f>IF(O294&lt;&gt;"",VLOOKUP(O294,'Job Master'!$N$12:$O$18,2,0),"")</f>
        <v/>
      </c>
      <c r="ED294" s="8">
        <f t="shared" si="572"/>
        <v>19.5</v>
      </c>
      <c r="EE294" s="8">
        <f t="shared" si="573"/>
        <v>6</v>
      </c>
      <c r="EF294" s="8">
        <f t="shared" si="574"/>
        <v>-1684.5</v>
      </c>
      <c r="EG294" s="8" t="str">
        <f t="shared" si="575"/>
        <v/>
      </c>
      <c r="EH294" s="8" t="str">
        <f t="shared" si="576"/>
        <v/>
      </c>
    </row>
    <row r="295" spans="2:138" x14ac:dyDescent="0.3">
      <c r="B295" s="112"/>
      <c r="C295" s="27"/>
      <c r="D295" s="7" t="str">
        <f t="shared" si="513"/>
        <v/>
      </c>
      <c r="E295" s="25"/>
      <c r="F295" s="7" t="str">
        <f t="shared" si="513"/>
        <v/>
      </c>
      <c r="G295" s="25"/>
      <c r="H295" s="7" t="str">
        <f t="shared" si="513"/>
        <v/>
      </c>
      <c r="I295" s="25"/>
      <c r="J295" s="7" t="str">
        <f t="shared" si="513"/>
        <v/>
      </c>
      <c r="K295" s="25"/>
      <c r="L295" s="7" t="str">
        <f t="shared" si="514"/>
        <v/>
      </c>
      <c r="M295" s="25"/>
      <c r="N295" s="7" t="str">
        <f t="shared" si="515"/>
        <v/>
      </c>
      <c r="O295" s="81"/>
      <c r="P295" s="81" t="str">
        <f t="shared" si="516"/>
        <v/>
      </c>
      <c r="Q295" s="81"/>
      <c r="R295" s="7" t="str">
        <f t="shared" si="517"/>
        <v/>
      </c>
      <c r="S295" s="25"/>
      <c r="T295" s="7" t="str">
        <f t="shared" si="518"/>
        <v/>
      </c>
      <c r="U295" s="25"/>
      <c r="V295" s="7" t="str">
        <f t="shared" si="519"/>
        <v/>
      </c>
      <c r="W295" s="25"/>
      <c r="X295" s="7" t="str">
        <f t="shared" si="520"/>
        <v/>
      </c>
      <c r="Y295" s="18" t="str">
        <f t="shared" si="521"/>
        <v/>
      </c>
      <c r="Z295" s="7" t="str">
        <f t="shared" si="522"/>
        <v/>
      </c>
      <c r="AA295" s="18" t="str">
        <f t="shared" si="523"/>
        <v/>
      </c>
      <c r="AB295" s="19" t="str">
        <f t="shared" si="524"/>
        <v/>
      </c>
      <c r="AC295" s="26"/>
      <c r="AD295" s="26"/>
      <c r="AE295" s="25"/>
      <c r="AF295" s="26"/>
      <c r="AG295" s="25"/>
      <c r="AH295" s="25"/>
      <c r="AI295" s="18" t="str">
        <f t="shared" si="587"/>
        <v/>
      </c>
      <c r="AJ295" s="25"/>
      <c r="AK295" s="18" t="str">
        <f t="shared" si="588"/>
        <v/>
      </c>
      <c r="AL295" s="79"/>
      <c r="AM295" s="126" t="str">
        <f t="shared" si="589"/>
        <v/>
      </c>
      <c r="AN295" s="128" t="str">
        <f>IF(AP295&lt;&gt;"",VLOOKUP($P295&amp;" | "&amp;AN$6,'Job Master'!$F$12:$J$102,5,0),"")</f>
        <v/>
      </c>
      <c r="AO295" s="19" t="str">
        <f>IF(AP295&lt;&gt;"",VLOOKUP($P295&amp;" | "&amp;AN$6,'Job Master'!$F$12:$J$102,3,0),"")</f>
        <v/>
      </c>
      <c r="AP295" s="19" t="str">
        <f>IFERROR(IF(AND(AW295&lt;&gt;"",VLOOKUP($P295&amp;" | "&amp;AN$6,'Job Master'!$F$12:$I$102,4,0)&lt;&gt;""),IF(WEEKDAY(AW295-VLOOKUP($P295&amp;" | "&amp;AN$6,'Job Master'!$F$12:$I$102,4,0))&lt;&gt;7,AW295-VLOOKUP($P295&amp;" | "&amp;AN$6,'Job Master'!$F$12:$I$102,4,0),AW295-VLOOKUP($P295&amp;" | "&amp;AN$6,'Job Master'!$F$12:$I$102,4,0)-1),""),"")</f>
        <v/>
      </c>
      <c r="AQ295" s="73"/>
      <c r="AR295" s="123" t="str">
        <f t="shared" si="525"/>
        <v/>
      </c>
      <c r="AS295" s="123" t="str">
        <f t="shared" si="526"/>
        <v/>
      </c>
      <c r="AT295" s="97" t="str">
        <f t="shared" ca="1" si="527"/>
        <v/>
      </c>
      <c r="AU295" s="98" t="str">
        <f>IF(AW295&lt;&gt;"",VLOOKUP($P295&amp;" | "&amp;AU$6,'Job Master'!$F$12:$J$102,5,0),"")</f>
        <v/>
      </c>
      <c r="AV295" s="19" t="str">
        <f>IF(AW295&lt;&gt;"",VLOOKUP($P295&amp;" | "&amp;AU$6,'Job Master'!$F$12:$J$102,3,0),"")</f>
        <v/>
      </c>
      <c r="AW295" s="19" t="str">
        <f>IFERROR(IF(AND(BD295&lt;&gt;"",VLOOKUP($P295&amp;" | "&amp;AU$6,'Job Master'!$F$12:$I$102,4,0)&lt;&gt;""),IF(WEEKDAY(BD295-VLOOKUP($P295&amp;" | "&amp;AU$6,'Job Master'!$F$12:$I$102,4,0))&lt;&gt;7,BD295-VLOOKUP($P295&amp;" | "&amp;AU$6,'Job Master'!$F$12:$I$102,4,0),BD295-VLOOKUP($P295&amp;" | "&amp;AU$6,'Job Master'!$F$12:$I$102,4,0)-1),""),"")</f>
        <v/>
      </c>
      <c r="AX295" s="73"/>
      <c r="AY295" s="123" t="str">
        <f t="shared" si="528"/>
        <v/>
      </c>
      <c r="AZ295" s="123" t="str">
        <f t="shared" si="529"/>
        <v/>
      </c>
      <c r="BA295" s="97" t="str">
        <f t="shared" ca="1" si="530"/>
        <v/>
      </c>
      <c r="BB295" s="98" t="str">
        <f>IF(BD295&lt;&gt;"",VLOOKUP($P295&amp;" | "&amp;BB$6,'Job Master'!$F$12:$J$102,5,0),"")</f>
        <v/>
      </c>
      <c r="BC295" s="19" t="str">
        <f>IF(BD295&lt;&gt;"",VLOOKUP($P295&amp;" | "&amp;BB$6,'Job Master'!$F$12:$J$102,3,0),"")</f>
        <v/>
      </c>
      <c r="BD295" s="19" t="str">
        <f>IFERROR(IF(AND(BK295&lt;&gt;"",VLOOKUP($P295&amp;" | "&amp;BB$6,'Job Master'!$F$12:$I$102,4,0)&lt;&gt;""),IF(WEEKDAY(BK295-VLOOKUP($P295&amp;" | "&amp;BB$6,'Job Master'!$F$12:$I$102,4,0))&lt;&gt;7,BK295-VLOOKUP($P295&amp;" | "&amp;BB$6,'Job Master'!$F$12:$I$102,4,0),BK295-VLOOKUP($P295&amp;" | "&amp;BB$6,'Job Master'!$F$12:$I$102,4,0)-1),""),"")</f>
        <v/>
      </c>
      <c r="BE295" s="73"/>
      <c r="BF295" s="123" t="str">
        <f t="shared" si="531"/>
        <v/>
      </c>
      <c r="BG295" s="123" t="str">
        <f t="shared" si="532"/>
        <v/>
      </c>
      <c r="BH295" s="97" t="str">
        <f t="shared" ca="1" si="533"/>
        <v/>
      </c>
      <c r="BI295" s="98" t="str">
        <f>IF(BK295&lt;&gt;"",VLOOKUP($P295&amp;" | "&amp;BI$6,'Job Master'!$F$12:$J$102,5,0),"")</f>
        <v/>
      </c>
      <c r="BJ295" s="19" t="str">
        <f>IF(BK295&lt;&gt;"",VLOOKUP($P295&amp;" | "&amp;BI$6,'Job Master'!$F$12:$J$102,3,0),"")</f>
        <v/>
      </c>
      <c r="BK295" s="19" t="str">
        <f>IFERROR(IF(AND(BR295&lt;&gt;"",VLOOKUP($P295&amp;" | "&amp;BI$6,'Job Master'!$F$12:$I$102,4,0)&lt;&gt;""),IF(WEEKDAY(BR295-VLOOKUP($P295&amp;" | "&amp;BI$6,'Job Master'!$F$12:$I$102,4,0))&lt;&gt;7,BR295-VLOOKUP($P295&amp;" | "&amp;BI$6,'Job Master'!$F$12:$I$102,4,0),BR295-VLOOKUP($P295&amp;" | "&amp;BI$6,'Job Master'!$F$12:$I$102,4,0)-1),""),"")</f>
        <v/>
      </c>
      <c r="BL295" s="73"/>
      <c r="BM295" s="123" t="str">
        <f t="shared" si="534"/>
        <v/>
      </c>
      <c r="BN295" s="123" t="str">
        <f t="shared" si="535"/>
        <v/>
      </c>
      <c r="BO295" s="97" t="str">
        <f t="shared" ca="1" si="536"/>
        <v/>
      </c>
      <c r="BP295" s="98" t="str">
        <f>IF(BR295&lt;&gt;"",VLOOKUP($P295&amp;" | "&amp;BP$6,'Job Master'!$F$12:$J$102,5,0),"")</f>
        <v/>
      </c>
      <c r="BQ295" s="19" t="str">
        <f>IF(BR295&lt;&gt;"",VLOOKUP($P295&amp;" | "&amp;BP$6,'Job Master'!$F$12:$J$102,3,0),"")</f>
        <v/>
      </c>
      <c r="BR295" s="19" t="str">
        <f>IFERROR(IF(AND(BY295&lt;&gt;"",VLOOKUP($P295&amp;" | "&amp;BP$6,'Job Master'!$F$12:$I$102,4,0)&lt;&gt;""),IF(WEEKDAY(BY295-VLOOKUP($P295&amp;" | "&amp;BP$6,'Job Master'!$F$12:$I$102,4,0))&lt;&gt;7,BY295-VLOOKUP($P295&amp;" | "&amp;BP$6,'Job Master'!$F$12:$I$102,4,0),BY295-VLOOKUP($P295&amp;" | "&amp;BP$6,'Job Master'!$F$12:$I$102,4,0)-1),""),"")</f>
        <v/>
      </c>
      <c r="BS295" s="73"/>
      <c r="BT295" s="123" t="str">
        <f t="shared" si="537"/>
        <v/>
      </c>
      <c r="BU295" s="123" t="str">
        <f t="shared" si="538"/>
        <v/>
      </c>
      <c r="BV295" s="97" t="str">
        <f t="shared" ca="1" si="539"/>
        <v/>
      </c>
      <c r="BW295" s="98" t="str">
        <f>IF(BY295&lt;&gt;"",VLOOKUP($P295&amp;" | "&amp;BW$6,'Job Master'!$F$12:$J$102,5,0),"")</f>
        <v/>
      </c>
      <c r="BX295" s="19" t="str">
        <f>IF(BY295&lt;&gt;"",VLOOKUP($P295&amp;" | "&amp;BW$6,'Job Master'!$F$12:$J$102,3,0),"")</f>
        <v/>
      </c>
      <c r="BY295" s="19" t="str">
        <f>IFERROR(IF(AND(CF295&lt;&gt;"",VLOOKUP($P295&amp;" | "&amp;BW$6,'Job Master'!$F$12:$I$102,4,0)&lt;&gt;""),IF(WEEKDAY(CF295-VLOOKUP($P295&amp;" | "&amp;BW$6,'Job Master'!$F$12:$I$102,4,0))&lt;&gt;7,CF295-VLOOKUP($P295&amp;" | "&amp;BW$6,'Job Master'!$F$12:$I$102,4,0),CF295-VLOOKUP($P295&amp;" | "&amp;BW$6,'Job Master'!$F$12:$I$102,4,0)-1),""),"")</f>
        <v/>
      </c>
      <c r="BZ295" s="73"/>
      <c r="CA295" s="123" t="str">
        <f t="shared" si="540"/>
        <v/>
      </c>
      <c r="CB295" s="123" t="str">
        <f t="shared" si="541"/>
        <v/>
      </c>
      <c r="CC295" s="97" t="str">
        <f t="shared" ca="1" si="542"/>
        <v/>
      </c>
      <c r="CD295" s="98" t="str">
        <f>IF(CF295&lt;&gt;"",VLOOKUP($P295&amp;" | "&amp;CD$6,'Job Master'!$F$12:$J$102,5,0),"")</f>
        <v/>
      </c>
      <c r="CE295" s="19" t="str">
        <f>IF(CF295&lt;&gt;"",VLOOKUP($P295&amp;" | "&amp;CD$6,'Job Master'!$F$12:$J$102,3,0),"")</f>
        <v/>
      </c>
      <c r="CF295" s="19" t="str">
        <f>IFERROR(IF(AND(CM295&lt;&gt;"",VLOOKUP($P295&amp;" | "&amp;CD$6,'Job Master'!$F$12:$I$102,4,0)&lt;&gt;""),IF(WEEKDAY(CM295-VLOOKUP($P295&amp;" | "&amp;CD$6,'Job Master'!$F$12:$I$102,4,0))&lt;&gt;7,CM295-VLOOKUP($P295&amp;" | "&amp;CD$6,'Job Master'!$F$12:$I$102,4,0),CM295-VLOOKUP($P295&amp;" | "&amp;CD$6,'Job Master'!$F$12:$I$102,4,0)-1),""),"")</f>
        <v/>
      </c>
      <c r="CG295" s="73"/>
      <c r="CH295" s="123" t="str">
        <f t="shared" si="543"/>
        <v/>
      </c>
      <c r="CI295" s="123" t="str">
        <f t="shared" si="544"/>
        <v/>
      </c>
      <c r="CJ295" s="97" t="str">
        <f t="shared" ca="1" si="545"/>
        <v/>
      </c>
      <c r="CK295" s="98" t="str">
        <f>IF(CM295&lt;&gt;"",VLOOKUP($P295&amp;" | "&amp;CK$6,'Job Master'!$F$12:$J$102,5,0),"")</f>
        <v/>
      </c>
      <c r="CL295" s="19" t="str">
        <f>IF(CM295&lt;&gt;"",VLOOKUP($P295&amp;" | "&amp;CK$6,'Job Master'!$F$12:$J$102,3,0),"")</f>
        <v/>
      </c>
      <c r="CM295" s="19" t="str">
        <f>IFERROR(IF(AND(CT295&lt;&gt;"",VLOOKUP($P295&amp;" | "&amp;CK$6,'Job Master'!$F$12:$I$102,4,0)&lt;&gt;""),IF(WEEKDAY(CT295-VLOOKUP($P295&amp;" | "&amp;CK$6,'Job Master'!$F$12:$I$102,4,0))&lt;&gt;7,CT295-VLOOKUP($P295&amp;" | "&amp;CK$6,'Job Master'!$F$12:$I$102,4,0),CT295-VLOOKUP($P295&amp;" | "&amp;CK$6,'Job Master'!$F$12:$I$102,4,0)-1),""),"")</f>
        <v/>
      </c>
      <c r="CN295" s="73"/>
      <c r="CO295" s="123" t="str">
        <f t="shared" si="546"/>
        <v/>
      </c>
      <c r="CP295" s="123" t="str">
        <f t="shared" si="547"/>
        <v/>
      </c>
      <c r="CQ295" s="97" t="str">
        <f t="shared" ca="1" si="548"/>
        <v/>
      </c>
      <c r="CR295" s="98" t="str">
        <f>IF(CT295&lt;&gt;"",VLOOKUP($P295&amp;" | "&amp;CR$6,'Job Master'!$F$12:$J$102,5,0),"")</f>
        <v/>
      </c>
      <c r="CS295" s="19" t="str">
        <f>IF(CT295&lt;&gt;"",VLOOKUP($P295&amp;" | "&amp;CR$6,'Job Master'!$F$12:$J$102,3,0),"")</f>
        <v/>
      </c>
      <c r="CT295" s="19" t="str">
        <f>IFERROR(IF(AND(DA295&lt;&gt;"",VLOOKUP($P295&amp;" | "&amp;CR$6,'Job Master'!$F$12:$I$102,4,0)&lt;&gt;""),IF(WEEKDAY(DA295-VLOOKUP($P295&amp;" | "&amp;CR$6,'Job Master'!$F$12:$I$102,4,0))&lt;&gt;7,DA295-VLOOKUP($P295&amp;" | "&amp;CR$6,'Job Master'!$F$12:$I$102,4,0),DA295-VLOOKUP($P295&amp;" | "&amp;CR$6,'Job Master'!$F$12:$I$102,4,0)-1),""),"")</f>
        <v/>
      </c>
      <c r="CU295" s="73"/>
      <c r="CV295" s="123" t="str">
        <f t="shared" si="549"/>
        <v/>
      </c>
      <c r="CW295" s="123" t="str">
        <f t="shared" si="550"/>
        <v/>
      </c>
      <c r="CX295" s="97" t="str">
        <f t="shared" ca="1" si="551"/>
        <v/>
      </c>
      <c r="CY295" s="98" t="str">
        <f>IF(DA295&lt;&gt;"",VLOOKUP($P295&amp;" | "&amp;CY$6,'Job Master'!$F$12:$J$102,5,0),"")</f>
        <v/>
      </c>
      <c r="CZ295" s="19" t="str">
        <f>IF(DA295&lt;&gt;"",VLOOKUP($P295&amp;" | "&amp;CY$6,'Job Master'!$F$12:$J$102,3,0),"")</f>
        <v/>
      </c>
      <c r="DA295" s="19" t="str">
        <f>IFERROR(IF(AND(DH295&lt;&gt;"",VLOOKUP($P295&amp;" | "&amp;CY$6,'Job Master'!$F$12:$I$102,4,0)&lt;&gt;""),IF(WEEKDAY(DH295-VLOOKUP($P295&amp;" | "&amp;CY$6,'Job Master'!$F$12:$I$102,4,0))&lt;&gt;7,DH295-VLOOKUP($P295&amp;" | "&amp;CY$6,'Job Master'!$F$12:$I$102,4,0),DH295-VLOOKUP($P295&amp;" | "&amp;CY$6,'Job Master'!$F$12:$I$102,4,0)-1),""),"")</f>
        <v/>
      </c>
      <c r="DB295" s="73"/>
      <c r="DC295" s="123" t="str">
        <f t="shared" si="552"/>
        <v/>
      </c>
      <c r="DD295" s="123" t="str">
        <f t="shared" si="553"/>
        <v/>
      </c>
      <c r="DE295" s="97" t="str">
        <f t="shared" ca="1" si="554"/>
        <v/>
      </c>
      <c r="DF295" s="98" t="str">
        <f>IF(DH295&lt;&gt;"",VLOOKUP($P295&amp;" | "&amp;DF$6,'Job Master'!$F$12:$J$102,5,0),"")</f>
        <v/>
      </c>
      <c r="DG295" s="19" t="str">
        <f>IF(DH295&lt;&gt;"",VLOOKUP($P295&amp;" | "&amp;DF$6,'Job Master'!$F$12:$J$102,3,0),"")</f>
        <v/>
      </c>
      <c r="DH295" s="19" t="str">
        <f>IFERROR(IF(AND(DO295&lt;&gt;"",VLOOKUP($P295&amp;" | "&amp;DF$6,'Job Master'!$F$12:$I$102,4,0)&lt;&gt;""),IF(WEEKDAY(DO295-VLOOKUP($P295&amp;" | "&amp;DF$6,'Job Master'!$F$12:$I$102,4,0))&lt;&gt;7,DO295-VLOOKUP($P295&amp;" | "&amp;DF$6,'Job Master'!$F$12:$I$102,4,0),DO295-VLOOKUP($P295&amp;" | "&amp;DF$6,'Job Master'!$F$12:$I$102,4,0)-1),""),"")</f>
        <v/>
      </c>
      <c r="DI295" s="73"/>
      <c r="DJ295" s="123" t="str">
        <f t="shared" si="555"/>
        <v/>
      </c>
      <c r="DK295" s="123" t="str">
        <f t="shared" si="556"/>
        <v/>
      </c>
      <c r="DL295" s="97" t="str">
        <f t="shared" ca="1" si="557"/>
        <v/>
      </c>
      <c r="DM295" s="98" t="str">
        <f>IF(DO295&lt;&gt;"",VLOOKUP($P295&amp;" | "&amp;DM$6,'Job Master'!$F$12:$J$102,5,0),"")</f>
        <v/>
      </c>
      <c r="DN295" s="19" t="str">
        <f>IF(DO295&lt;&gt;"",VLOOKUP($P295&amp;" | "&amp;DM$6,'Job Master'!$F$12:$J$102,3,0),"")</f>
        <v/>
      </c>
      <c r="DO295" s="19" t="str">
        <f>IFERROR(IF(AND(DT295&lt;&gt;"",VLOOKUP($P295&amp;" | "&amp;DM$6,'Job Master'!$F$12:$I$102,4,0)&lt;&gt;""),IF(WEEKDAY(DT295-VLOOKUP($P295&amp;" | "&amp;DM$6,'Job Master'!$F$12:$I$102,4,0))&lt;&gt;7,DT295-VLOOKUP($P295&amp;" | "&amp;DM$6,'Job Master'!$F$12:$I$102,4,0),DT295-VLOOKUP($P295&amp;" | "&amp;DM$6,'Job Master'!$F$12:$I$102,4,0)-1),""),"")</f>
        <v/>
      </c>
      <c r="DP295" s="73"/>
      <c r="DQ295" s="123" t="str">
        <f t="shared" si="558"/>
        <v/>
      </c>
      <c r="DR295" s="123" t="str">
        <f t="shared" si="559"/>
        <v/>
      </c>
      <c r="DS295" s="97" t="str">
        <f t="shared" ca="1" si="560"/>
        <v/>
      </c>
      <c r="DT295" s="70" t="str">
        <f t="shared" si="561"/>
        <v/>
      </c>
      <c r="DU295" s="90"/>
      <c r="DV295" s="123" t="str">
        <f t="shared" si="562"/>
        <v/>
      </c>
      <c r="DW295" s="123" t="str">
        <f t="shared" si="563"/>
        <v/>
      </c>
      <c r="DX295" s="132" t="str">
        <f t="shared" ref="DX295" ca="1" si="604">IF(DT295&lt;&gt;"",IF(WEEKNUM(DT295)=WEEKNUM(TODAY()),"This Week",IF(WEEKNUM(DT295)=WEEKNUM(TODAY())+1,"Next Week",IF(WEEKNUM(DT295)=WEEKNUM(TODAY())-1,"Previous Week",""))),"")</f>
        <v/>
      </c>
      <c r="DY295" s="134" t="str">
        <f t="shared" si="565"/>
        <v/>
      </c>
      <c r="DZ295" s="95"/>
      <c r="EB295" s="8" t="str">
        <f t="shared" si="571"/>
        <v/>
      </c>
      <c r="EC295" s="8" t="str">
        <f>IF(O295&lt;&gt;"",VLOOKUP(O295,'Job Master'!$N$12:$O$18,2,0),"")</f>
        <v/>
      </c>
      <c r="ED295" s="8">
        <f t="shared" si="572"/>
        <v>19.5</v>
      </c>
      <c r="EE295" s="8">
        <f t="shared" si="573"/>
        <v>6</v>
      </c>
      <c r="EF295" s="8">
        <f t="shared" si="574"/>
        <v>-1690.5</v>
      </c>
      <c r="EG295" s="8" t="str">
        <f t="shared" si="575"/>
        <v/>
      </c>
      <c r="EH295" s="8" t="str">
        <f t="shared" si="576"/>
        <v/>
      </c>
    </row>
    <row r="296" spans="2:138" x14ac:dyDescent="0.3">
      <c r="B296" s="112"/>
      <c r="C296" s="27"/>
      <c r="D296" s="7" t="str">
        <f t="shared" si="513"/>
        <v/>
      </c>
      <c r="E296" s="25"/>
      <c r="F296" s="7" t="str">
        <f t="shared" si="513"/>
        <v/>
      </c>
      <c r="G296" s="25"/>
      <c r="H296" s="7" t="str">
        <f t="shared" si="513"/>
        <v/>
      </c>
      <c r="I296" s="25"/>
      <c r="J296" s="7" t="str">
        <f t="shared" si="513"/>
        <v/>
      </c>
      <c r="K296" s="25"/>
      <c r="L296" s="7" t="str">
        <f t="shared" si="514"/>
        <v/>
      </c>
      <c r="M296" s="25"/>
      <c r="N296" s="7" t="str">
        <f t="shared" si="515"/>
        <v/>
      </c>
      <c r="O296" s="81"/>
      <c r="P296" s="81" t="str">
        <f t="shared" si="516"/>
        <v/>
      </c>
      <c r="Q296" s="81"/>
      <c r="R296" s="7" t="str">
        <f t="shared" si="517"/>
        <v/>
      </c>
      <c r="S296" s="25"/>
      <c r="T296" s="7" t="str">
        <f t="shared" si="518"/>
        <v/>
      </c>
      <c r="U296" s="25"/>
      <c r="V296" s="7" t="str">
        <f t="shared" si="519"/>
        <v/>
      </c>
      <c r="W296" s="25"/>
      <c r="X296" s="7" t="str">
        <f t="shared" si="520"/>
        <v/>
      </c>
      <c r="Y296" s="18" t="str">
        <f t="shared" si="521"/>
        <v/>
      </c>
      <c r="Z296" s="7" t="str">
        <f t="shared" si="522"/>
        <v/>
      </c>
      <c r="AA296" s="18" t="str">
        <f t="shared" si="523"/>
        <v/>
      </c>
      <c r="AB296" s="19" t="str">
        <f t="shared" si="524"/>
        <v/>
      </c>
      <c r="AC296" s="26"/>
      <c r="AD296" s="26"/>
      <c r="AE296" s="25"/>
      <c r="AF296" s="26"/>
      <c r="AG296" s="25"/>
      <c r="AH296" s="25"/>
      <c r="AI296" s="18" t="str">
        <f t="shared" si="587"/>
        <v/>
      </c>
      <c r="AJ296" s="25"/>
      <c r="AK296" s="18" t="str">
        <f t="shared" si="588"/>
        <v/>
      </c>
      <c r="AL296" s="79"/>
      <c r="AM296" s="126" t="str">
        <f t="shared" si="589"/>
        <v/>
      </c>
      <c r="AN296" s="128" t="str">
        <f>IF(AP296&lt;&gt;"",VLOOKUP($P296&amp;" | "&amp;AN$6,'Job Master'!$F$12:$J$102,5,0),"")</f>
        <v/>
      </c>
      <c r="AO296" s="19" t="str">
        <f>IF(AP296&lt;&gt;"",VLOOKUP($P296&amp;" | "&amp;AN$6,'Job Master'!$F$12:$J$102,3,0),"")</f>
        <v/>
      </c>
      <c r="AP296" s="19" t="str">
        <f>IFERROR(IF(AND(AW296&lt;&gt;"",VLOOKUP($P296&amp;" | "&amp;AN$6,'Job Master'!$F$12:$I$102,4,0)&lt;&gt;""),IF(WEEKDAY(AW296-VLOOKUP($P296&amp;" | "&amp;AN$6,'Job Master'!$F$12:$I$102,4,0))&lt;&gt;7,AW296-VLOOKUP($P296&amp;" | "&amp;AN$6,'Job Master'!$F$12:$I$102,4,0),AW296-VLOOKUP($P296&amp;" | "&amp;AN$6,'Job Master'!$F$12:$I$102,4,0)-1),""),"")</f>
        <v/>
      </c>
      <c r="AQ296" s="73"/>
      <c r="AR296" s="123" t="str">
        <f t="shared" si="525"/>
        <v/>
      </c>
      <c r="AS296" s="123" t="str">
        <f t="shared" si="526"/>
        <v/>
      </c>
      <c r="AT296" s="97" t="str">
        <f t="shared" ca="1" si="527"/>
        <v/>
      </c>
      <c r="AU296" s="98" t="str">
        <f>IF(AW296&lt;&gt;"",VLOOKUP($P296&amp;" | "&amp;AU$6,'Job Master'!$F$12:$J$102,5,0),"")</f>
        <v/>
      </c>
      <c r="AV296" s="19" t="str">
        <f>IF(AW296&lt;&gt;"",VLOOKUP($P296&amp;" | "&amp;AU$6,'Job Master'!$F$12:$J$102,3,0),"")</f>
        <v/>
      </c>
      <c r="AW296" s="19" t="str">
        <f>IFERROR(IF(AND(BD296&lt;&gt;"",VLOOKUP($P296&amp;" | "&amp;AU$6,'Job Master'!$F$12:$I$102,4,0)&lt;&gt;""),IF(WEEKDAY(BD296-VLOOKUP($P296&amp;" | "&amp;AU$6,'Job Master'!$F$12:$I$102,4,0))&lt;&gt;7,BD296-VLOOKUP($P296&amp;" | "&amp;AU$6,'Job Master'!$F$12:$I$102,4,0),BD296-VLOOKUP($P296&amp;" | "&amp;AU$6,'Job Master'!$F$12:$I$102,4,0)-1),""),"")</f>
        <v/>
      </c>
      <c r="AX296" s="73"/>
      <c r="AY296" s="123" t="str">
        <f t="shared" si="528"/>
        <v/>
      </c>
      <c r="AZ296" s="123" t="str">
        <f t="shared" si="529"/>
        <v/>
      </c>
      <c r="BA296" s="97" t="str">
        <f t="shared" ca="1" si="530"/>
        <v/>
      </c>
      <c r="BB296" s="98" t="str">
        <f>IF(BD296&lt;&gt;"",VLOOKUP($P296&amp;" | "&amp;BB$6,'Job Master'!$F$12:$J$102,5,0),"")</f>
        <v/>
      </c>
      <c r="BC296" s="19" t="str">
        <f>IF(BD296&lt;&gt;"",VLOOKUP($P296&amp;" | "&amp;BB$6,'Job Master'!$F$12:$J$102,3,0),"")</f>
        <v/>
      </c>
      <c r="BD296" s="19" t="str">
        <f>IFERROR(IF(AND(BK296&lt;&gt;"",VLOOKUP($P296&amp;" | "&amp;BB$6,'Job Master'!$F$12:$I$102,4,0)&lt;&gt;""),IF(WEEKDAY(BK296-VLOOKUP($P296&amp;" | "&amp;BB$6,'Job Master'!$F$12:$I$102,4,0))&lt;&gt;7,BK296-VLOOKUP($P296&amp;" | "&amp;BB$6,'Job Master'!$F$12:$I$102,4,0),BK296-VLOOKUP($P296&amp;" | "&amp;BB$6,'Job Master'!$F$12:$I$102,4,0)-1),""),"")</f>
        <v/>
      </c>
      <c r="BE296" s="73"/>
      <c r="BF296" s="123" t="str">
        <f t="shared" si="531"/>
        <v/>
      </c>
      <c r="BG296" s="123" t="str">
        <f t="shared" si="532"/>
        <v/>
      </c>
      <c r="BH296" s="97" t="str">
        <f t="shared" ca="1" si="533"/>
        <v/>
      </c>
      <c r="BI296" s="98" t="str">
        <f>IF(BK296&lt;&gt;"",VLOOKUP($P296&amp;" | "&amp;BI$6,'Job Master'!$F$12:$J$102,5,0),"")</f>
        <v/>
      </c>
      <c r="BJ296" s="19" t="str">
        <f>IF(BK296&lt;&gt;"",VLOOKUP($P296&amp;" | "&amp;BI$6,'Job Master'!$F$12:$J$102,3,0),"")</f>
        <v/>
      </c>
      <c r="BK296" s="19" t="str">
        <f>IFERROR(IF(AND(BR296&lt;&gt;"",VLOOKUP($P296&amp;" | "&amp;BI$6,'Job Master'!$F$12:$I$102,4,0)&lt;&gt;""),IF(WEEKDAY(BR296-VLOOKUP($P296&amp;" | "&amp;BI$6,'Job Master'!$F$12:$I$102,4,0))&lt;&gt;7,BR296-VLOOKUP($P296&amp;" | "&amp;BI$6,'Job Master'!$F$12:$I$102,4,0),BR296-VLOOKUP($P296&amp;" | "&amp;BI$6,'Job Master'!$F$12:$I$102,4,0)-1),""),"")</f>
        <v/>
      </c>
      <c r="BL296" s="73"/>
      <c r="BM296" s="123" t="str">
        <f t="shared" si="534"/>
        <v/>
      </c>
      <c r="BN296" s="123" t="str">
        <f t="shared" si="535"/>
        <v/>
      </c>
      <c r="BO296" s="97" t="str">
        <f t="shared" ca="1" si="536"/>
        <v/>
      </c>
      <c r="BP296" s="98" t="str">
        <f>IF(BR296&lt;&gt;"",VLOOKUP($P296&amp;" | "&amp;BP$6,'Job Master'!$F$12:$J$102,5,0),"")</f>
        <v/>
      </c>
      <c r="BQ296" s="19" t="str">
        <f>IF(BR296&lt;&gt;"",VLOOKUP($P296&amp;" | "&amp;BP$6,'Job Master'!$F$12:$J$102,3,0),"")</f>
        <v/>
      </c>
      <c r="BR296" s="19" t="str">
        <f>IFERROR(IF(AND(BY296&lt;&gt;"",VLOOKUP($P296&amp;" | "&amp;BP$6,'Job Master'!$F$12:$I$102,4,0)&lt;&gt;""),IF(WEEKDAY(BY296-VLOOKUP($P296&amp;" | "&amp;BP$6,'Job Master'!$F$12:$I$102,4,0))&lt;&gt;7,BY296-VLOOKUP($P296&amp;" | "&amp;BP$6,'Job Master'!$F$12:$I$102,4,0),BY296-VLOOKUP($P296&amp;" | "&amp;BP$6,'Job Master'!$F$12:$I$102,4,0)-1),""),"")</f>
        <v/>
      </c>
      <c r="BS296" s="73"/>
      <c r="BT296" s="123" t="str">
        <f t="shared" si="537"/>
        <v/>
      </c>
      <c r="BU296" s="123" t="str">
        <f t="shared" si="538"/>
        <v/>
      </c>
      <c r="BV296" s="97" t="str">
        <f t="shared" ca="1" si="539"/>
        <v/>
      </c>
      <c r="BW296" s="98" t="str">
        <f>IF(BY296&lt;&gt;"",VLOOKUP($P296&amp;" | "&amp;BW$6,'Job Master'!$F$12:$J$102,5,0),"")</f>
        <v/>
      </c>
      <c r="BX296" s="19" t="str">
        <f>IF(BY296&lt;&gt;"",VLOOKUP($P296&amp;" | "&amp;BW$6,'Job Master'!$F$12:$J$102,3,0),"")</f>
        <v/>
      </c>
      <c r="BY296" s="19" t="str">
        <f>IFERROR(IF(AND(CF296&lt;&gt;"",VLOOKUP($P296&amp;" | "&amp;BW$6,'Job Master'!$F$12:$I$102,4,0)&lt;&gt;""),IF(WEEKDAY(CF296-VLOOKUP($P296&amp;" | "&amp;BW$6,'Job Master'!$F$12:$I$102,4,0))&lt;&gt;7,CF296-VLOOKUP($P296&amp;" | "&amp;BW$6,'Job Master'!$F$12:$I$102,4,0),CF296-VLOOKUP($P296&amp;" | "&amp;BW$6,'Job Master'!$F$12:$I$102,4,0)-1),""),"")</f>
        <v/>
      </c>
      <c r="BZ296" s="73"/>
      <c r="CA296" s="123" t="str">
        <f t="shared" si="540"/>
        <v/>
      </c>
      <c r="CB296" s="123" t="str">
        <f t="shared" si="541"/>
        <v/>
      </c>
      <c r="CC296" s="97" t="str">
        <f t="shared" ca="1" si="542"/>
        <v/>
      </c>
      <c r="CD296" s="98" t="str">
        <f>IF(CF296&lt;&gt;"",VLOOKUP($P296&amp;" | "&amp;CD$6,'Job Master'!$F$12:$J$102,5,0),"")</f>
        <v/>
      </c>
      <c r="CE296" s="19" t="str">
        <f>IF(CF296&lt;&gt;"",VLOOKUP($P296&amp;" | "&amp;CD$6,'Job Master'!$F$12:$J$102,3,0),"")</f>
        <v/>
      </c>
      <c r="CF296" s="19" t="str">
        <f>IFERROR(IF(AND(CM296&lt;&gt;"",VLOOKUP($P296&amp;" | "&amp;CD$6,'Job Master'!$F$12:$I$102,4,0)&lt;&gt;""),IF(WEEKDAY(CM296-VLOOKUP($P296&amp;" | "&amp;CD$6,'Job Master'!$F$12:$I$102,4,0))&lt;&gt;7,CM296-VLOOKUP($P296&amp;" | "&amp;CD$6,'Job Master'!$F$12:$I$102,4,0),CM296-VLOOKUP($P296&amp;" | "&amp;CD$6,'Job Master'!$F$12:$I$102,4,0)-1),""),"")</f>
        <v/>
      </c>
      <c r="CG296" s="73"/>
      <c r="CH296" s="123" t="str">
        <f t="shared" si="543"/>
        <v/>
      </c>
      <c r="CI296" s="123" t="str">
        <f t="shared" si="544"/>
        <v/>
      </c>
      <c r="CJ296" s="97" t="str">
        <f t="shared" ca="1" si="545"/>
        <v/>
      </c>
      <c r="CK296" s="98" t="str">
        <f>IF(CM296&lt;&gt;"",VLOOKUP($P296&amp;" | "&amp;CK$6,'Job Master'!$F$12:$J$102,5,0),"")</f>
        <v/>
      </c>
      <c r="CL296" s="19" t="str">
        <f>IF(CM296&lt;&gt;"",VLOOKUP($P296&amp;" | "&amp;CK$6,'Job Master'!$F$12:$J$102,3,0),"")</f>
        <v/>
      </c>
      <c r="CM296" s="19" t="str">
        <f>IFERROR(IF(AND(CT296&lt;&gt;"",VLOOKUP($P296&amp;" | "&amp;CK$6,'Job Master'!$F$12:$I$102,4,0)&lt;&gt;""),IF(WEEKDAY(CT296-VLOOKUP($P296&amp;" | "&amp;CK$6,'Job Master'!$F$12:$I$102,4,0))&lt;&gt;7,CT296-VLOOKUP($P296&amp;" | "&amp;CK$6,'Job Master'!$F$12:$I$102,4,0),CT296-VLOOKUP($P296&amp;" | "&amp;CK$6,'Job Master'!$F$12:$I$102,4,0)-1),""),"")</f>
        <v/>
      </c>
      <c r="CN296" s="73"/>
      <c r="CO296" s="123" t="str">
        <f t="shared" si="546"/>
        <v/>
      </c>
      <c r="CP296" s="123" t="str">
        <f t="shared" si="547"/>
        <v/>
      </c>
      <c r="CQ296" s="97" t="str">
        <f t="shared" ca="1" si="548"/>
        <v/>
      </c>
      <c r="CR296" s="98" t="str">
        <f>IF(CT296&lt;&gt;"",VLOOKUP($P296&amp;" | "&amp;CR$6,'Job Master'!$F$12:$J$102,5,0),"")</f>
        <v/>
      </c>
      <c r="CS296" s="19" t="str">
        <f>IF(CT296&lt;&gt;"",VLOOKUP($P296&amp;" | "&amp;CR$6,'Job Master'!$F$12:$J$102,3,0),"")</f>
        <v/>
      </c>
      <c r="CT296" s="19" t="str">
        <f>IFERROR(IF(AND(DA296&lt;&gt;"",VLOOKUP($P296&amp;" | "&amp;CR$6,'Job Master'!$F$12:$I$102,4,0)&lt;&gt;""),IF(WEEKDAY(DA296-VLOOKUP($P296&amp;" | "&amp;CR$6,'Job Master'!$F$12:$I$102,4,0))&lt;&gt;7,DA296-VLOOKUP($P296&amp;" | "&amp;CR$6,'Job Master'!$F$12:$I$102,4,0),DA296-VLOOKUP($P296&amp;" | "&amp;CR$6,'Job Master'!$F$12:$I$102,4,0)-1),""),"")</f>
        <v/>
      </c>
      <c r="CU296" s="73"/>
      <c r="CV296" s="123" t="str">
        <f t="shared" si="549"/>
        <v/>
      </c>
      <c r="CW296" s="123" t="str">
        <f t="shared" si="550"/>
        <v/>
      </c>
      <c r="CX296" s="97" t="str">
        <f t="shared" ca="1" si="551"/>
        <v/>
      </c>
      <c r="CY296" s="98" t="str">
        <f>IF(DA296&lt;&gt;"",VLOOKUP($P296&amp;" | "&amp;CY$6,'Job Master'!$F$12:$J$102,5,0),"")</f>
        <v/>
      </c>
      <c r="CZ296" s="19" t="str">
        <f>IF(DA296&lt;&gt;"",VLOOKUP($P296&amp;" | "&amp;CY$6,'Job Master'!$F$12:$J$102,3,0),"")</f>
        <v/>
      </c>
      <c r="DA296" s="19" t="str">
        <f>IFERROR(IF(AND(DH296&lt;&gt;"",VLOOKUP($P296&amp;" | "&amp;CY$6,'Job Master'!$F$12:$I$102,4,0)&lt;&gt;""),IF(WEEKDAY(DH296-VLOOKUP($P296&amp;" | "&amp;CY$6,'Job Master'!$F$12:$I$102,4,0))&lt;&gt;7,DH296-VLOOKUP($P296&amp;" | "&amp;CY$6,'Job Master'!$F$12:$I$102,4,0),DH296-VLOOKUP($P296&amp;" | "&amp;CY$6,'Job Master'!$F$12:$I$102,4,0)-1),""),"")</f>
        <v/>
      </c>
      <c r="DB296" s="73"/>
      <c r="DC296" s="123" t="str">
        <f t="shared" si="552"/>
        <v/>
      </c>
      <c r="DD296" s="123" t="str">
        <f t="shared" si="553"/>
        <v/>
      </c>
      <c r="DE296" s="97" t="str">
        <f t="shared" ca="1" si="554"/>
        <v/>
      </c>
      <c r="DF296" s="98" t="str">
        <f>IF(DH296&lt;&gt;"",VLOOKUP($P296&amp;" | "&amp;DF$6,'Job Master'!$F$12:$J$102,5,0),"")</f>
        <v/>
      </c>
      <c r="DG296" s="19" t="str">
        <f>IF(DH296&lt;&gt;"",VLOOKUP($P296&amp;" | "&amp;DF$6,'Job Master'!$F$12:$J$102,3,0),"")</f>
        <v/>
      </c>
      <c r="DH296" s="19" t="str">
        <f>IFERROR(IF(AND(DO296&lt;&gt;"",VLOOKUP($P296&amp;" | "&amp;DF$6,'Job Master'!$F$12:$I$102,4,0)&lt;&gt;""),IF(WEEKDAY(DO296-VLOOKUP($P296&amp;" | "&amp;DF$6,'Job Master'!$F$12:$I$102,4,0))&lt;&gt;7,DO296-VLOOKUP($P296&amp;" | "&amp;DF$6,'Job Master'!$F$12:$I$102,4,0),DO296-VLOOKUP($P296&amp;" | "&amp;DF$6,'Job Master'!$F$12:$I$102,4,0)-1),""),"")</f>
        <v/>
      </c>
      <c r="DI296" s="73"/>
      <c r="DJ296" s="123" t="str">
        <f t="shared" si="555"/>
        <v/>
      </c>
      <c r="DK296" s="123" t="str">
        <f t="shared" si="556"/>
        <v/>
      </c>
      <c r="DL296" s="97" t="str">
        <f t="shared" ca="1" si="557"/>
        <v/>
      </c>
      <c r="DM296" s="98" t="str">
        <f>IF(DO296&lt;&gt;"",VLOOKUP($P296&amp;" | "&amp;DM$6,'Job Master'!$F$12:$J$102,5,0),"")</f>
        <v/>
      </c>
      <c r="DN296" s="19" t="str">
        <f>IF(DO296&lt;&gt;"",VLOOKUP($P296&amp;" | "&amp;DM$6,'Job Master'!$F$12:$J$102,3,0),"")</f>
        <v/>
      </c>
      <c r="DO296" s="19" t="str">
        <f>IFERROR(IF(AND(DT296&lt;&gt;"",VLOOKUP($P296&amp;" | "&amp;DM$6,'Job Master'!$F$12:$I$102,4,0)&lt;&gt;""),IF(WEEKDAY(DT296-VLOOKUP($P296&amp;" | "&amp;DM$6,'Job Master'!$F$12:$I$102,4,0))&lt;&gt;7,DT296-VLOOKUP($P296&amp;" | "&amp;DM$6,'Job Master'!$F$12:$I$102,4,0),DT296-VLOOKUP($P296&amp;" | "&amp;DM$6,'Job Master'!$F$12:$I$102,4,0)-1),""),"")</f>
        <v/>
      </c>
      <c r="DP296" s="73"/>
      <c r="DQ296" s="123" t="str">
        <f t="shared" si="558"/>
        <v/>
      </c>
      <c r="DR296" s="123" t="str">
        <f t="shared" si="559"/>
        <v/>
      </c>
      <c r="DS296" s="97" t="str">
        <f t="shared" ca="1" si="560"/>
        <v/>
      </c>
      <c r="DT296" s="70" t="str">
        <f t="shared" si="561"/>
        <v/>
      </c>
      <c r="DU296" s="90"/>
      <c r="DV296" s="123" t="str">
        <f t="shared" si="562"/>
        <v/>
      </c>
      <c r="DW296" s="123" t="str">
        <f t="shared" si="563"/>
        <v/>
      </c>
      <c r="DX296" s="132" t="str">
        <f t="shared" ref="DX296" ca="1" si="605">IF(DT296&lt;&gt;"",IF(WEEKNUM(DT296)=WEEKNUM(TODAY()),"This Week",IF(WEEKNUM(DT296)=WEEKNUM(TODAY())+1,"Next Week",IF(WEEKNUM(DT296)=WEEKNUM(TODAY())-1,"Previous Week",""))),"")</f>
        <v/>
      </c>
      <c r="DY296" s="134" t="str">
        <f t="shared" si="565"/>
        <v/>
      </c>
      <c r="DZ296" s="95"/>
      <c r="EB296" s="8" t="str">
        <f t="shared" si="571"/>
        <v/>
      </c>
      <c r="EC296" s="8" t="str">
        <f>IF(O296&lt;&gt;"",VLOOKUP(O296,'Job Master'!$N$12:$O$18,2,0),"")</f>
        <v/>
      </c>
      <c r="ED296" s="8">
        <f t="shared" si="572"/>
        <v>19.5</v>
      </c>
      <c r="EE296" s="8">
        <f t="shared" si="573"/>
        <v>6</v>
      </c>
      <c r="EF296" s="8">
        <f t="shared" si="574"/>
        <v>-1696.5</v>
      </c>
      <c r="EG296" s="8" t="str">
        <f t="shared" si="575"/>
        <v/>
      </c>
      <c r="EH296" s="8" t="str">
        <f t="shared" si="576"/>
        <v/>
      </c>
    </row>
    <row r="297" spans="2:138" x14ac:dyDescent="0.3">
      <c r="B297" s="112"/>
      <c r="C297" s="27"/>
      <c r="D297" s="7" t="str">
        <f t="shared" si="513"/>
        <v/>
      </c>
      <c r="E297" s="25"/>
      <c r="F297" s="7" t="str">
        <f t="shared" si="513"/>
        <v/>
      </c>
      <c r="G297" s="25"/>
      <c r="H297" s="7" t="str">
        <f t="shared" si="513"/>
        <v/>
      </c>
      <c r="I297" s="25"/>
      <c r="J297" s="7" t="str">
        <f t="shared" si="513"/>
        <v/>
      </c>
      <c r="K297" s="25"/>
      <c r="L297" s="7" t="str">
        <f t="shared" si="514"/>
        <v/>
      </c>
      <c r="M297" s="25"/>
      <c r="N297" s="7" t="str">
        <f t="shared" si="515"/>
        <v/>
      </c>
      <c r="O297" s="81"/>
      <c r="P297" s="81" t="str">
        <f t="shared" si="516"/>
        <v/>
      </c>
      <c r="Q297" s="81"/>
      <c r="R297" s="7" t="str">
        <f t="shared" si="517"/>
        <v/>
      </c>
      <c r="S297" s="25"/>
      <c r="T297" s="7" t="str">
        <f t="shared" si="518"/>
        <v/>
      </c>
      <c r="U297" s="25"/>
      <c r="V297" s="7" t="str">
        <f t="shared" si="519"/>
        <v/>
      </c>
      <c r="W297" s="25"/>
      <c r="X297" s="7" t="str">
        <f t="shared" si="520"/>
        <v/>
      </c>
      <c r="Y297" s="18" t="str">
        <f t="shared" si="521"/>
        <v/>
      </c>
      <c r="Z297" s="7" t="str">
        <f t="shared" si="522"/>
        <v/>
      </c>
      <c r="AA297" s="18" t="str">
        <f t="shared" si="523"/>
        <v/>
      </c>
      <c r="AB297" s="19" t="str">
        <f t="shared" si="524"/>
        <v/>
      </c>
      <c r="AC297" s="26"/>
      <c r="AD297" s="26"/>
      <c r="AE297" s="25"/>
      <c r="AF297" s="26"/>
      <c r="AG297" s="25"/>
      <c r="AH297" s="25"/>
      <c r="AI297" s="18" t="str">
        <f t="shared" si="587"/>
        <v/>
      </c>
      <c r="AJ297" s="25"/>
      <c r="AK297" s="18" t="str">
        <f t="shared" si="588"/>
        <v/>
      </c>
      <c r="AL297" s="79"/>
      <c r="AM297" s="126" t="str">
        <f t="shared" si="589"/>
        <v/>
      </c>
      <c r="AN297" s="128" t="str">
        <f>IF(AP297&lt;&gt;"",VLOOKUP($P297&amp;" | "&amp;AN$6,'Job Master'!$F$12:$J$102,5,0),"")</f>
        <v/>
      </c>
      <c r="AO297" s="19" t="str">
        <f>IF(AP297&lt;&gt;"",VLOOKUP($P297&amp;" | "&amp;AN$6,'Job Master'!$F$12:$J$102,3,0),"")</f>
        <v/>
      </c>
      <c r="AP297" s="19" t="str">
        <f>IFERROR(IF(AND(AW297&lt;&gt;"",VLOOKUP($P297&amp;" | "&amp;AN$6,'Job Master'!$F$12:$I$102,4,0)&lt;&gt;""),IF(WEEKDAY(AW297-VLOOKUP($P297&amp;" | "&amp;AN$6,'Job Master'!$F$12:$I$102,4,0))&lt;&gt;7,AW297-VLOOKUP($P297&amp;" | "&amp;AN$6,'Job Master'!$F$12:$I$102,4,0),AW297-VLOOKUP($P297&amp;" | "&amp;AN$6,'Job Master'!$F$12:$I$102,4,0)-1),""),"")</f>
        <v/>
      </c>
      <c r="AQ297" s="73"/>
      <c r="AR297" s="123" t="str">
        <f t="shared" si="525"/>
        <v/>
      </c>
      <c r="AS297" s="123" t="str">
        <f t="shared" si="526"/>
        <v/>
      </c>
      <c r="AT297" s="97" t="str">
        <f t="shared" ca="1" si="527"/>
        <v/>
      </c>
      <c r="AU297" s="98" t="str">
        <f>IF(AW297&lt;&gt;"",VLOOKUP($P297&amp;" | "&amp;AU$6,'Job Master'!$F$12:$J$102,5,0),"")</f>
        <v/>
      </c>
      <c r="AV297" s="19" t="str">
        <f>IF(AW297&lt;&gt;"",VLOOKUP($P297&amp;" | "&amp;AU$6,'Job Master'!$F$12:$J$102,3,0),"")</f>
        <v/>
      </c>
      <c r="AW297" s="19" t="str">
        <f>IFERROR(IF(AND(BD297&lt;&gt;"",VLOOKUP($P297&amp;" | "&amp;AU$6,'Job Master'!$F$12:$I$102,4,0)&lt;&gt;""),IF(WEEKDAY(BD297-VLOOKUP($P297&amp;" | "&amp;AU$6,'Job Master'!$F$12:$I$102,4,0))&lt;&gt;7,BD297-VLOOKUP($P297&amp;" | "&amp;AU$6,'Job Master'!$F$12:$I$102,4,0),BD297-VLOOKUP($P297&amp;" | "&amp;AU$6,'Job Master'!$F$12:$I$102,4,0)-1),""),"")</f>
        <v/>
      </c>
      <c r="AX297" s="73"/>
      <c r="AY297" s="123" t="str">
        <f t="shared" si="528"/>
        <v/>
      </c>
      <c r="AZ297" s="123" t="str">
        <f t="shared" si="529"/>
        <v/>
      </c>
      <c r="BA297" s="97" t="str">
        <f t="shared" ca="1" si="530"/>
        <v/>
      </c>
      <c r="BB297" s="98" t="str">
        <f>IF(BD297&lt;&gt;"",VLOOKUP($P297&amp;" | "&amp;BB$6,'Job Master'!$F$12:$J$102,5,0),"")</f>
        <v/>
      </c>
      <c r="BC297" s="19" t="str">
        <f>IF(BD297&lt;&gt;"",VLOOKUP($P297&amp;" | "&amp;BB$6,'Job Master'!$F$12:$J$102,3,0),"")</f>
        <v/>
      </c>
      <c r="BD297" s="19" t="str">
        <f>IFERROR(IF(AND(BK297&lt;&gt;"",VLOOKUP($P297&amp;" | "&amp;BB$6,'Job Master'!$F$12:$I$102,4,0)&lt;&gt;""),IF(WEEKDAY(BK297-VLOOKUP($P297&amp;" | "&amp;BB$6,'Job Master'!$F$12:$I$102,4,0))&lt;&gt;7,BK297-VLOOKUP($P297&amp;" | "&amp;BB$6,'Job Master'!$F$12:$I$102,4,0),BK297-VLOOKUP($P297&amp;" | "&amp;BB$6,'Job Master'!$F$12:$I$102,4,0)-1),""),"")</f>
        <v/>
      </c>
      <c r="BE297" s="73"/>
      <c r="BF297" s="123" t="str">
        <f t="shared" si="531"/>
        <v/>
      </c>
      <c r="BG297" s="123" t="str">
        <f t="shared" si="532"/>
        <v/>
      </c>
      <c r="BH297" s="97" t="str">
        <f t="shared" ca="1" si="533"/>
        <v/>
      </c>
      <c r="BI297" s="98" t="str">
        <f>IF(BK297&lt;&gt;"",VLOOKUP($P297&amp;" | "&amp;BI$6,'Job Master'!$F$12:$J$102,5,0),"")</f>
        <v/>
      </c>
      <c r="BJ297" s="19" t="str">
        <f>IF(BK297&lt;&gt;"",VLOOKUP($P297&amp;" | "&amp;BI$6,'Job Master'!$F$12:$J$102,3,0),"")</f>
        <v/>
      </c>
      <c r="BK297" s="19" t="str">
        <f>IFERROR(IF(AND(BR297&lt;&gt;"",VLOOKUP($P297&amp;" | "&amp;BI$6,'Job Master'!$F$12:$I$102,4,0)&lt;&gt;""),IF(WEEKDAY(BR297-VLOOKUP($P297&amp;" | "&amp;BI$6,'Job Master'!$F$12:$I$102,4,0))&lt;&gt;7,BR297-VLOOKUP($P297&amp;" | "&amp;BI$6,'Job Master'!$F$12:$I$102,4,0),BR297-VLOOKUP($P297&amp;" | "&amp;BI$6,'Job Master'!$F$12:$I$102,4,0)-1),""),"")</f>
        <v/>
      </c>
      <c r="BL297" s="73"/>
      <c r="BM297" s="123" t="str">
        <f t="shared" si="534"/>
        <v/>
      </c>
      <c r="BN297" s="123" t="str">
        <f t="shared" si="535"/>
        <v/>
      </c>
      <c r="BO297" s="97" t="str">
        <f t="shared" ca="1" si="536"/>
        <v/>
      </c>
      <c r="BP297" s="98" t="str">
        <f>IF(BR297&lt;&gt;"",VLOOKUP($P297&amp;" | "&amp;BP$6,'Job Master'!$F$12:$J$102,5,0),"")</f>
        <v/>
      </c>
      <c r="BQ297" s="19" t="str">
        <f>IF(BR297&lt;&gt;"",VLOOKUP($P297&amp;" | "&amp;BP$6,'Job Master'!$F$12:$J$102,3,0),"")</f>
        <v/>
      </c>
      <c r="BR297" s="19" t="str">
        <f>IFERROR(IF(AND(BY297&lt;&gt;"",VLOOKUP($P297&amp;" | "&amp;BP$6,'Job Master'!$F$12:$I$102,4,0)&lt;&gt;""),IF(WEEKDAY(BY297-VLOOKUP($P297&amp;" | "&amp;BP$6,'Job Master'!$F$12:$I$102,4,0))&lt;&gt;7,BY297-VLOOKUP($P297&amp;" | "&amp;BP$6,'Job Master'!$F$12:$I$102,4,0),BY297-VLOOKUP($P297&amp;" | "&amp;BP$6,'Job Master'!$F$12:$I$102,4,0)-1),""),"")</f>
        <v/>
      </c>
      <c r="BS297" s="73"/>
      <c r="BT297" s="123" t="str">
        <f t="shared" si="537"/>
        <v/>
      </c>
      <c r="BU297" s="123" t="str">
        <f t="shared" si="538"/>
        <v/>
      </c>
      <c r="BV297" s="97" t="str">
        <f t="shared" ca="1" si="539"/>
        <v/>
      </c>
      <c r="BW297" s="98" t="str">
        <f>IF(BY297&lt;&gt;"",VLOOKUP($P297&amp;" | "&amp;BW$6,'Job Master'!$F$12:$J$102,5,0),"")</f>
        <v/>
      </c>
      <c r="BX297" s="19" t="str">
        <f>IF(BY297&lt;&gt;"",VLOOKUP($P297&amp;" | "&amp;BW$6,'Job Master'!$F$12:$J$102,3,0),"")</f>
        <v/>
      </c>
      <c r="BY297" s="19" t="str">
        <f>IFERROR(IF(AND(CF297&lt;&gt;"",VLOOKUP($P297&amp;" | "&amp;BW$6,'Job Master'!$F$12:$I$102,4,0)&lt;&gt;""),IF(WEEKDAY(CF297-VLOOKUP($P297&amp;" | "&amp;BW$6,'Job Master'!$F$12:$I$102,4,0))&lt;&gt;7,CF297-VLOOKUP($P297&amp;" | "&amp;BW$6,'Job Master'!$F$12:$I$102,4,0),CF297-VLOOKUP($P297&amp;" | "&amp;BW$6,'Job Master'!$F$12:$I$102,4,0)-1),""),"")</f>
        <v/>
      </c>
      <c r="BZ297" s="73"/>
      <c r="CA297" s="123" t="str">
        <f t="shared" si="540"/>
        <v/>
      </c>
      <c r="CB297" s="123" t="str">
        <f t="shared" si="541"/>
        <v/>
      </c>
      <c r="CC297" s="97" t="str">
        <f t="shared" ca="1" si="542"/>
        <v/>
      </c>
      <c r="CD297" s="98" t="str">
        <f>IF(CF297&lt;&gt;"",VLOOKUP($P297&amp;" | "&amp;CD$6,'Job Master'!$F$12:$J$102,5,0),"")</f>
        <v/>
      </c>
      <c r="CE297" s="19" t="str">
        <f>IF(CF297&lt;&gt;"",VLOOKUP($P297&amp;" | "&amp;CD$6,'Job Master'!$F$12:$J$102,3,0),"")</f>
        <v/>
      </c>
      <c r="CF297" s="19" t="str">
        <f>IFERROR(IF(AND(CM297&lt;&gt;"",VLOOKUP($P297&amp;" | "&amp;CD$6,'Job Master'!$F$12:$I$102,4,0)&lt;&gt;""),IF(WEEKDAY(CM297-VLOOKUP($P297&amp;" | "&amp;CD$6,'Job Master'!$F$12:$I$102,4,0))&lt;&gt;7,CM297-VLOOKUP($P297&amp;" | "&amp;CD$6,'Job Master'!$F$12:$I$102,4,0),CM297-VLOOKUP($P297&amp;" | "&amp;CD$6,'Job Master'!$F$12:$I$102,4,0)-1),""),"")</f>
        <v/>
      </c>
      <c r="CG297" s="73"/>
      <c r="CH297" s="123" t="str">
        <f t="shared" si="543"/>
        <v/>
      </c>
      <c r="CI297" s="123" t="str">
        <f t="shared" si="544"/>
        <v/>
      </c>
      <c r="CJ297" s="97" t="str">
        <f t="shared" ca="1" si="545"/>
        <v/>
      </c>
      <c r="CK297" s="98" t="str">
        <f>IF(CM297&lt;&gt;"",VLOOKUP($P297&amp;" | "&amp;CK$6,'Job Master'!$F$12:$J$102,5,0),"")</f>
        <v/>
      </c>
      <c r="CL297" s="19" t="str">
        <f>IF(CM297&lt;&gt;"",VLOOKUP($P297&amp;" | "&amp;CK$6,'Job Master'!$F$12:$J$102,3,0),"")</f>
        <v/>
      </c>
      <c r="CM297" s="19" t="str">
        <f>IFERROR(IF(AND(CT297&lt;&gt;"",VLOOKUP($P297&amp;" | "&amp;CK$6,'Job Master'!$F$12:$I$102,4,0)&lt;&gt;""),IF(WEEKDAY(CT297-VLOOKUP($P297&amp;" | "&amp;CK$6,'Job Master'!$F$12:$I$102,4,0))&lt;&gt;7,CT297-VLOOKUP($P297&amp;" | "&amp;CK$6,'Job Master'!$F$12:$I$102,4,0),CT297-VLOOKUP($P297&amp;" | "&amp;CK$6,'Job Master'!$F$12:$I$102,4,0)-1),""),"")</f>
        <v/>
      </c>
      <c r="CN297" s="73"/>
      <c r="CO297" s="123" t="str">
        <f t="shared" si="546"/>
        <v/>
      </c>
      <c r="CP297" s="123" t="str">
        <f t="shared" si="547"/>
        <v/>
      </c>
      <c r="CQ297" s="97" t="str">
        <f t="shared" ca="1" si="548"/>
        <v/>
      </c>
      <c r="CR297" s="98" t="str">
        <f>IF(CT297&lt;&gt;"",VLOOKUP($P297&amp;" | "&amp;CR$6,'Job Master'!$F$12:$J$102,5,0),"")</f>
        <v/>
      </c>
      <c r="CS297" s="19" t="str">
        <f>IF(CT297&lt;&gt;"",VLOOKUP($P297&amp;" | "&amp;CR$6,'Job Master'!$F$12:$J$102,3,0),"")</f>
        <v/>
      </c>
      <c r="CT297" s="19" t="str">
        <f>IFERROR(IF(AND(DA297&lt;&gt;"",VLOOKUP($P297&amp;" | "&amp;CR$6,'Job Master'!$F$12:$I$102,4,0)&lt;&gt;""),IF(WEEKDAY(DA297-VLOOKUP($P297&amp;" | "&amp;CR$6,'Job Master'!$F$12:$I$102,4,0))&lt;&gt;7,DA297-VLOOKUP($P297&amp;" | "&amp;CR$6,'Job Master'!$F$12:$I$102,4,0),DA297-VLOOKUP($P297&amp;" | "&amp;CR$6,'Job Master'!$F$12:$I$102,4,0)-1),""),"")</f>
        <v/>
      </c>
      <c r="CU297" s="73"/>
      <c r="CV297" s="123" t="str">
        <f t="shared" si="549"/>
        <v/>
      </c>
      <c r="CW297" s="123" t="str">
        <f t="shared" si="550"/>
        <v/>
      </c>
      <c r="CX297" s="97" t="str">
        <f t="shared" ca="1" si="551"/>
        <v/>
      </c>
      <c r="CY297" s="98" t="str">
        <f>IF(DA297&lt;&gt;"",VLOOKUP($P297&amp;" | "&amp;CY$6,'Job Master'!$F$12:$J$102,5,0),"")</f>
        <v/>
      </c>
      <c r="CZ297" s="19" t="str">
        <f>IF(DA297&lt;&gt;"",VLOOKUP($P297&amp;" | "&amp;CY$6,'Job Master'!$F$12:$J$102,3,0),"")</f>
        <v/>
      </c>
      <c r="DA297" s="19" t="str">
        <f>IFERROR(IF(AND(DH297&lt;&gt;"",VLOOKUP($P297&amp;" | "&amp;CY$6,'Job Master'!$F$12:$I$102,4,0)&lt;&gt;""),IF(WEEKDAY(DH297-VLOOKUP($P297&amp;" | "&amp;CY$6,'Job Master'!$F$12:$I$102,4,0))&lt;&gt;7,DH297-VLOOKUP($P297&amp;" | "&amp;CY$6,'Job Master'!$F$12:$I$102,4,0),DH297-VLOOKUP($P297&amp;" | "&amp;CY$6,'Job Master'!$F$12:$I$102,4,0)-1),""),"")</f>
        <v/>
      </c>
      <c r="DB297" s="73"/>
      <c r="DC297" s="123" t="str">
        <f t="shared" si="552"/>
        <v/>
      </c>
      <c r="DD297" s="123" t="str">
        <f t="shared" si="553"/>
        <v/>
      </c>
      <c r="DE297" s="97" t="str">
        <f t="shared" ca="1" si="554"/>
        <v/>
      </c>
      <c r="DF297" s="98" t="str">
        <f>IF(DH297&lt;&gt;"",VLOOKUP($P297&amp;" | "&amp;DF$6,'Job Master'!$F$12:$J$102,5,0),"")</f>
        <v/>
      </c>
      <c r="DG297" s="19" t="str">
        <f>IF(DH297&lt;&gt;"",VLOOKUP($P297&amp;" | "&amp;DF$6,'Job Master'!$F$12:$J$102,3,0),"")</f>
        <v/>
      </c>
      <c r="DH297" s="19" t="str">
        <f>IFERROR(IF(AND(DO297&lt;&gt;"",VLOOKUP($P297&amp;" | "&amp;DF$6,'Job Master'!$F$12:$I$102,4,0)&lt;&gt;""),IF(WEEKDAY(DO297-VLOOKUP($P297&amp;" | "&amp;DF$6,'Job Master'!$F$12:$I$102,4,0))&lt;&gt;7,DO297-VLOOKUP($P297&amp;" | "&amp;DF$6,'Job Master'!$F$12:$I$102,4,0),DO297-VLOOKUP($P297&amp;" | "&amp;DF$6,'Job Master'!$F$12:$I$102,4,0)-1),""),"")</f>
        <v/>
      </c>
      <c r="DI297" s="73"/>
      <c r="DJ297" s="123" t="str">
        <f t="shared" si="555"/>
        <v/>
      </c>
      <c r="DK297" s="123" t="str">
        <f t="shared" si="556"/>
        <v/>
      </c>
      <c r="DL297" s="97" t="str">
        <f t="shared" ca="1" si="557"/>
        <v/>
      </c>
      <c r="DM297" s="98" t="str">
        <f>IF(DO297&lt;&gt;"",VLOOKUP($P297&amp;" | "&amp;DM$6,'Job Master'!$F$12:$J$102,5,0),"")</f>
        <v/>
      </c>
      <c r="DN297" s="19" t="str">
        <f>IF(DO297&lt;&gt;"",VLOOKUP($P297&amp;" | "&amp;DM$6,'Job Master'!$F$12:$J$102,3,0),"")</f>
        <v/>
      </c>
      <c r="DO297" s="19" t="str">
        <f>IFERROR(IF(AND(DT297&lt;&gt;"",VLOOKUP($P297&amp;" | "&amp;DM$6,'Job Master'!$F$12:$I$102,4,0)&lt;&gt;""),IF(WEEKDAY(DT297-VLOOKUP($P297&amp;" | "&amp;DM$6,'Job Master'!$F$12:$I$102,4,0))&lt;&gt;7,DT297-VLOOKUP($P297&amp;" | "&amp;DM$6,'Job Master'!$F$12:$I$102,4,0),DT297-VLOOKUP($P297&amp;" | "&amp;DM$6,'Job Master'!$F$12:$I$102,4,0)-1),""),"")</f>
        <v/>
      </c>
      <c r="DP297" s="73"/>
      <c r="DQ297" s="123" t="str">
        <f t="shared" si="558"/>
        <v/>
      </c>
      <c r="DR297" s="123" t="str">
        <f t="shared" si="559"/>
        <v/>
      </c>
      <c r="DS297" s="97" t="str">
        <f t="shared" ca="1" si="560"/>
        <v/>
      </c>
      <c r="DT297" s="70" t="str">
        <f t="shared" si="561"/>
        <v/>
      </c>
      <c r="DU297" s="90"/>
      <c r="DV297" s="123" t="str">
        <f t="shared" si="562"/>
        <v/>
      </c>
      <c r="DW297" s="123" t="str">
        <f t="shared" si="563"/>
        <v/>
      </c>
      <c r="DX297" s="132" t="str">
        <f t="shared" ref="DX297" ca="1" si="606">IF(DT297&lt;&gt;"",IF(WEEKNUM(DT297)=WEEKNUM(TODAY()),"This Week",IF(WEEKNUM(DT297)=WEEKNUM(TODAY())+1,"Next Week",IF(WEEKNUM(DT297)=WEEKNUM(TODAY())-1,"Previous Week",""))),"")</f>
        <v/>
      </c>
      <c r="DY297" s="134" t="str">
        <f t="shared" si="565"/>
        <v/>
      </c>
      <c r="DZ297" s="95"/>
      <c r="EB297" s="8" t="str">
        <f t="shared" si="571"/>
        <v/>
      </c>
      <c r="EC297" s="8" t="str">
        <f>IF(O297&lt;&gt;"",VLOOKUP(O297,'Job Master'!$N$12:$O$18,2,0),"")</f>
        <v/>
      </c>
      <c r="ED297" s="8">
        <f t="shared" si="572"/>
        <v>19.5</v>
      </c>
      <c r="EE297" s="8">
        <f t="shared" si="573"/>
        <v>6</v>
      </c>
      <c r="EF297" s="8">
        <f t="shared" si="574"/>
        <v>-1702.5</v>
      </c>
      <c r="EG297" s="8" t="str">
        <f t="shared" si="575"/>
        <v/>
      </c>
      <c r="EH297" s="8" t="str">
        <f t="shared" si="576"/>
        <v/>
      </c>
    </row>
    <row r="298" spans="2:138" x14ac:dyDescent="0.3">
      <c r="B298" s="112"/>
      <c r="C298" s="27"/>
      <c r="D298" s="7" t="str">
        <f t="shared" si="513"/>
        <v/>
      </c>
      <c r="E298" s="25"/>
      <c r="F298" s="7" t="str">
        <f t="shared" si="513"/>
        <v/>
      </c>
      <c r="G298" s="25"/>
      <c r="H298" s="7" t="str">
        <f t="shared" si="513"/>
        <v/>
      </c>
      <c r="I298" s="25"/>
      <c r="J298" s="7" t="str">
        <f t="shared" si="513"/>
        <v/>
      </c>
      <c r="K298" s="25"/>
      <c r="L298" s="7" t="str">
        <f t="shared" si="514"/>
        <v/>
      </c>
      <c r="M298" s="25"/>
      <c r="N298" s="7" t="str">
        <f t="shared" si="515"/>
        <v/>
      </c>
      <c r="O298" s="81"/>
      <c r="P298" s="81" t="str">
        <f t="shared" si="516"/>
        <v/>
      </c>
      <c r="Q298" s="81"/>
      <c r="R298" s="7" t="str">
        <f t="shared" si="517"/>
        <v/>
      </c>
      <c r="S298" s="25"/>
      <c r="T298" s="7" t="str">
        <f t="shared" si="518"/>
        <v/>
      </c>
      <c r="U298" s="25"/>
      <c r="V298" s="7" t="str">
        <f t="shared" si="519"/>
        <v/>
      </c>
      <c r="W298" s="25"/>
      <c r="X298" s="7" t="str">
        <f t="shared" si="520"/>
        <v/>
      </c>
      <c r="Y298" s="18" t="str">
        <f t="shared" si="521"/>
        <v/>
      </c>
      <c r="Z298" s="7" t="str">
        <f t="shared" si="522"/>
        <v/>
      </c>
      <c r="AA298" s="18" t="str">
        <f t="shared" si="523"/>
        <v/>
      </c>
      <c r="AB298" s="19" t="str">
        <f t="shared" si="524"/>
        <v/>
      </c>
      <c r="AC298" s="26"/>
      <c r="AD298" s="26"/>
      <c r="AE298" s="25"/>
      <c r="AF298" s="26"/>
      <c r="AG298" s="25"/>
      <c r="AH298" s="25"/>
      <c r="AI298" s="18" t="str">
        <f t="shared" si="587"/>
        <v/>
      </c>
      <c r="AJ298" s="25"/>
      <c r="AK298" s="18" t="str">
        <f t="shared" si="588"/>
        <v/>
      </c>
      <c r="AL298" s="79"/>
      <c r="AM298" s="126" t="str">
        <f t="shared" si="589"/>
        <v/>
      </c>
      <c r="AN298" s="128" t="str">
        <f>IF(AP298&lt;&gt;"",VLOOKUP($P298&amp;" | "&amp;AN$6,'Job Master'!$F$12:$J$102,5,0),"")</f>
        <v/>
      </c>
      <c r="AO298" s="19" t="str">
        <f>IF(AP298&lt;&gt;"",VLOOKUP($P298&amp;" | "&amp;AN$6,'Job Master'!$F$12:$J$102,3,0),"")</f>
        <v/>
      </c>
      <c r="AP298" s="19" t="str">
        <f>IFERROR(IF(AND(AW298&lt;&gt;"",VLOOKUP($P298&amp;" | "&amp;AN$6,'Job Master'!$F$12:$I$102,4,0)&lt;&gt;""),IF(WEEKDAY(AW298-VLOOKUP($P298&amp;" | "&amp;AN$6,'Job Master'!$F$12:$I$102,4,0))&lt;&gt;7,AW298-VLOOKUP($P298&amp;" | "&amp;AN$6,'Job Master'!$F$12:$I$102,4,0),AW298-VLOOKUP($P298&amp;" | "&amp;AN$6,'Job Master'!$F$12:$I$102,4,0)-1),""),"")</f>
        <v/>
      </c>
      <c r="AQ298" s="73"/>
      <c r="AR298" s="123" t="str">
        <f t="shared" si="525"/>
        <v/>
      </c>
      <c r="AS298" s="123" t="str">
        <f t="shared" si="526"/>
        <v/>
      </c>
      <c r="AT298" s="97" t="str">
        <f t="shared" ca="1" si="527"/>
        <v/>
      </c>
      <c r="AU298" s="98" t="str">
        <f>IF(AW298&lt;&gt;"",VLOOKUP($P298&amp;" | "&amp;AU$6,'Job Master'!$F$12:$J$102,5,0),"")</f>
        <v/>
      </c>
      <c r="AV298" s="19" t="str">
        <f>IF(AW298&lt;&gt;"",VLOOKUP($P298&amp;" | "&amp;AU$6,'Job Master'!$F$12:$J$102,3,0),"")</f>
        <v/>
      </c>
      <c r="AW298" s="19" t="str">
        <f>IFERROR(IF(AND(BD298&lt;&gt;"",VLOOKUP($P298&amp;" | "&amp;AU$6,'Job Master'!$F$12:$I$102,4,0)&lt;&gt;""),IF(WEEKDAY(BD298-VLOOKUP($P298&amp;" | "&amp;AU$6,'Job Master'!$F$12:$I$102,4,0))&lt;&gt;7,BD298-VLOOKUP($P298&amp;" | "&amp;AU$6,'Job Master'!$F$12:$I$102,4,0),BD298-VLOOKUP($P298&amp;" | "&amp;AU$6,'Job Master'!$F$12:$I$102,4,0)-1),""),"")</f>
        <v/>
      </c>
      <c r="AX298" s="73"/>
      <c r="AY298" s="123" t="str">
        <f t="shared" si="528"/>
        <v/>
      </c>
      <c r="AZ298" s="123" t="str">
        <f t="shared" si="529"/>
        <v/>
      </c>
      <c r="BA298" s="97" t="str">
        <f t="shared" ca="1" si="530"/>
        <v/>
      </c>
      <c r="BB298" s="98" t="str">
        <f>IF(BD298&lt;&gt;"",VLOOKUP($P298&amp;" | "&amp;BB$6,'Job Master'!$F$12:$J$102,5,0),"")</f>
        <v/>
      </c>
      <c r="BC298" s="19" t="str">
        <f>IF(BD298&lt;&gt;"",VLOOKUP($P298&amp;" | "&amp;BB$6,'Job Master'!$F$12:$J$102,3,0),"")</f>
        <v/>
      </c>
      <c r="BD298" s="19" t="str">
        <f>IFERROR(IF(AND(BK298&lt;&gt;"",VLOOKUP($P298&amp;" | "&amp;BB$6,'Job Master'!$F$12:$I$102,4,0)&lt;&gt;""),IF(WEEKDAY(BK298-VLOOKUP($P298&amp;" | "&amp;BB$6,'Job Master'!$F$12:$I$102,4,0))&lt;&gt;7,BK298-VLOOKUP($P298&amp;" | "&amp;BB$6,'Job Master'!$F$12:$I$102,4,0),BK298-VLOOKUP($P298&amp;" | "&amp;BB$6,'Job Master'!$F$12:$I$102,4,0)-1),""),"")</f>
        <v/>
      </c>
      <c r="BE298" s="73"/>
      <c r="BF298" s="123" t="str">
        <f t="shared" si="531"/>
        <v/>
      </c>
      <c r="BG298" s="123" t="str">
        <f t="shared" si="532"/>
        <v/>
      </c>
      <c r="BH298" s="97" t="str">
        <f t="shared" ca="1" si="533"/>
        <v/>
      </c>
      <c r="BI298" s="98" t="str">
        <f>IF(BK298&lt;&gt;"",VLOOKUP($P298&amp;" | "&amp;BI$6,'Job Master'!$F$12:$J$102,5,0),"")</f>
        <v/>
      </c>
      <c r="BJ298" s="19" t="str">
        <f>IF(BK298&lt;&gt;"",VLOOKUP($P298&amp;" | "&amp;BI$6,'Job Master'!$F$12:$J$102,3,0),"")</f>
        <v/>
      </c>
      <c r="BK298" s="19" t="str">
        <f>IFERROR(IF(AND(BR298&lt;&gt;"",VLOOKUP($P298&amp;" | "&amp;BI$6,'Job Master'!$F$12:$I$102,4,0)&lt;&gt;""),IF(WEEKDAY(BR298-VLOOKUP($P298&amp;" | "&amp;BI$6,'Job Master'!$F$12:$I$102,4,0))&lt;&gt;7,BR298-VLOOKUP($P298&amp;" | "&amp;BI$6,'Job Master'!$F$12:$I$102,4,0),BR298-VLOOKUP($P298&amp;" | "&amp;BI$6,'Job Master'!$F$12:$I$102,4,0)-1),""),"")</f>
        <v/>
      </c>
      <c r="BL298" s="73"/>
      <c r="BM298" s="123" t="str">
        <f t="shared" si="534"/>
        <v/>
      </c>
      <c r="BN298" s="123" t="str">
        <f t="shared" si="535"/>
        <v/>
      </c>
      <c r="BO298" s="97" t="str">
        <f t="shared" ca="1" si="536"/>
        <v/>
      </c>
      <c r="BP298" s="98" t="str">
        <f>IF(BR298&lt;&gt;"",VLOOKUP($P298&amp;" | "&amp;BP$6,'Job Master'!$F$12:$J$102,5,0),"")</f>
        <v/>
      </c>
      <c r="BQ298" s="19" t="str">
        <f>IF(BR298&lt;&gt;"",VLOOKUP($P298&amp;" | "&amp;BP$6,'Job Master'!$F$12:$J$102,3,0),"")</f>
        <v/>
      </c>
      <c r="BR298" s="19" t="str">
        <f>IFERROR(IF(AND(BY298&lt;&gt;"",VLOOKUP($P298&amp;" | "&amp;BP$6,'Job Master'!$F$12:$I$102,4,0)&lt;&gt;""),IF(WEEKDAY(BY298-VLOOKUP($P298&amp;" | "&amp;BP$6,'Job Master'!$F$12:$I$102,4,0))&lt;&gt;7,BY298-VLOOKUP($P298&amp;" | "&amp;BP$6,'Job Master'!$F$12:$I$102,4,0),BY298-VLOOKUP($P298&amp;" | "&amp;BP$6,'Job Master'!$F$12:$I$102,4,0)-1),""),"")</f>
        <v/>
      </c>
      <c r="BS298" s="73"/>
      <c r="BT298" s="123" t="str">
        <f t="shared" si="537"/>
        <v/>
      </c>
      <c r="BU298" s="123" t="str">
        <f t="shared" si="538"/>
        <v/>
      </c>
      <c r="BV298" s="97" t="str">
        <f t="shared" ca="1" si="539"/>
        <v/>
      </c>
      <c r="BW298" s="98" t="str">
        <f>IF(BY298&lt;&gt;"",VLOOKUP($P298&amp;" | "&amp;BW$6,'Job Master'!$F$12:$J$102,5,0),"")</f>
        <v/>
      </c>
      <c r="BX298" s="19" t="str">
        <f>IF(BY298&lt;&gt;"",VLOOKUP($P298&amp;" | "&amp;BW$6,'Job Master'!$F$12:$J$102,3,0),"")</f>
        <v/>
      </c>
      <c r="BY298" s="19" t="str">
        <f>IFERROR(IF(AND(CF298&lt;&gt;"",VLOOKUP($P298&amp;" | "&amp;BW$6,'Job Master'!$F$12:$I$102,4,0)&lt;&gt;""),IF(WEEKDAY(CF298-VLOOKUP($P298&amp;" | "&amp;BW$6,'Job Master'!$F$12:$I$102,4,0))&lt;&gt;7,CF298-VLOOKUP($P298&amp;" | "&amp;BW$6,'Job Master'!$F$12:$I$102,4,0),CF298-VLOOKUP($P298&amp;" | "&amp;BW$6,'Job Master'!$F$12:$I$102,4,0)-1),""),"")</f>
        <v/>
      </c>
      <c r="BZ298" s="73"/>
      <c r="CA298" s="123" t="str">
        <f t="shared" si="540"/>
        <v/>
      </c>
      <c r="CB298" s="123" t="str">
        <f t="shared" si="541"/>
        <v/>
      </c>
      <c r="CC298" s="97" t="str">
        <f t="shared" ca="1" si="542"/>
        <v/>
      </c>
      <c r="CD298" s="98" t="str">
        <f>IF(CF298&lt;&gt;"",VLOOKUP($P298&amp;" | "&amp;CD$6,'Job Master'!$F$12:$J$102,5,0),"")</f>
        <v/>
      </c>
      <c r="CE298" s="19" t="str">
        <f>IF(CF298&lt;&gt;"",VLOOKUP($P298&amp;" | "&amp;CD$6,'Job Master'!$F$12:$J$102,3,0),"")</f>
        <v/>
      </c>
      <c r="CF298" s="19" t="str">
        <f>IFERROR(IF(AND(CM298&lt;&gt;"",VLOOKUP($P298&amp;" | "&amp;CD$6,'Job Master'!$F$12:$I$102,4,0)&lt;&gt;""),IF(WEEKDAY(CM298-VLOOKUP($P298&amp;" | "&amp;CD$6,'Job Master'!$F$12:$I$102,4,0))&lt;&gt;7,CM298-VLOOKUP($P298&amp;" | "&amp;CD$6,'Job Master'!$F$12:$I$102,4,0),CM298-VLOOKUP($P298&amp;" | "&amp;CD$6,'Job Master'!$F$12:$I$102,4,0)-1),""),"")</f>
        <v/>
      </c>
      <c r="CG298" s="73"/>
      <c r="CH298" s="123" t="str">
        <f t="shared" si="543"/>
        <v/>
      </c>
      <c r="CI298" s="123" t="str">
        <f t="shared" si="544"/>
        <v/>
      </c>
      <c r="CJ298" s="97" t="str">
        <f t="shared" ca="1" si="545"/>
        <v/>
      </c>
      <c r="CK298" s="98" t="str">
        <f>IF(CM298&lt;&gt;"",VLOOKUP($P298&amp;" | "&amp;CK$6,'Job Master'!$F$12:$J$102,5,0),"")</f>
        <v/>
      </c>
      <c r="CL298" s="19" t="str">
        <f>IF(CM298&lt;&gt;"",VLOOKUP($P298&amp;" | "&amp;CK$6,'Job Master'!$F$12:$J$102,3,0),"")</f>
        <v/>
      </c>
      <c r="CM298" s="19" t="str">
        <f>IFERROR(IF(AND(CT298&lt;&gt;"",VLOOKUP($P298&amp;" | "&amp;CK$6,'Job Master'!$F$12:$I$102,4,0)&lt;&gt;""),IF(WEEKDAY(CT298-VLOOKUP($P298&amp;" | "&amp;CK$6,'Job Master'!$F$12:$I$102,4,0))&lt;&gt;7,CT298-VLOOKUP($P298&amp;" | "&amp;CK$6,'Job Master'!$F$12:$I$102,4,0),CT298-VLOOKUP($P298&amp;" | "&amp;CK$6,'Job Master'!$F$12:$I$102,4,0)-1),""),"")</f>
        <v/>
      </c>
      <c r="CN298" s="73"/>
      <c r="CO298" s="123" t="str">
        <f t="shared" si="546"/>
        <v/>
      </c>
      <c r="CP298" s="123" t="str">
        <f t="shared" si="547"/>
        <v/>
      </c>
      <c r="CQ298" s="97" t="str">
        <f t="shared" ca="1" si="548"/>
        <v/>
      </c>
      <c r="CR298" s="98" t="str">
        <f>IF(CT298&lt;&gt;"",VLOOKUP($P298&amp;" | "&amp;CR$6,'Job Master'!$F$12:$J$102,5,0),"")</f>
        <v/>
      </c>
      <c r="CS298" s="19" t="str">
        <f>IF(CT298&lt;&gt;"",VLOOKUP($P298&amp;" | "&amp;CR$6,'Job Master'!$F$12:$J$102,3,0),"")</f>
        <v/>
      </c>
      <c r="CT298" s="19" t="str">
        <f>IFERROR(IF(AND(DA298&lt;&gt;"",VLOOKUP($P298&amp;" | "&amp;CR$6,'Job Master'!$F$12:$I$102,4,0)&lt;&gt;""),IF(WEEKDAY(DA298-VLOOKUP($P298&amp;" | "&amp;CR$6,'Job Master'!$F$12:$I$102,4,0))&lt;&gt;7,DA298-VLOOKUP($P298&amp;" | "&amp;CR$6,'Job Master'!$F$12:$I$102,4,0),DA298-VLOOKUP($P298&amp;" | "&amp;CR$6,'Job Master'!$F$12:$I$102,4,0)-1),""),"")</f>
        <v/>
      </c>
      <c r="CU298" s="73"/>
      <c r="CV298" s="123" t="str">
        <f t="shared" si="549"/>
        <v/>
      </c>
      <c r="CW298" s="123" t="str">
        <f t="shared" si="550"/>
        <v/>
      </c>
      <c r="CX298" s="97" t="str">
        <f t="shared" ca="1" si="551"/>
        <v/>
      </c>
      <c r="CY298" s="98" t="str">
        <f>IF(DA298&lt;&gt;"",VLOOKUP($P298&amp;" | "&amp;CY$6,'Job Master'!$F$12:$J$102,5,0),"")</f>
        <v/>
      </c>
      <c r="CZ298" s="19" t="str">
        <f>IF(DA298&lt;&gt;"",VLOOKUP($P298&amp;" | "&amp;CY$6,'Job Master'!$F$12:$J$102,3,0),"")</f>
        <v/>
      </c>
      <c r="DA298" s="19" t="str">
        <f>IFERROR(IF(AND(DH298&lt;&gt;"",VLOOKUP($P298&amp;" | "&amp;CY$6,'Job Master'!$F$12:$I$102,4,0)&lt;&gt;""),IF(WEEKDAY(DH298-VLOOKUP($P298&amp;" | "&amp;CY$6,'Job Master'!$F$12:$I$102,4,0))&lt;&gt;7,DH298-VLOOKUP($P298&amp;" | "&amp;CY$6,'Job Master'!$F$12:$I$102,4,0),DH298-VLOOKUP($P298&amp;" | "&amp;CY$6,'Job Master'!$F$12:$I$102,4,0)-1),""),"")</f>
        <v/>
      </c>
      <c r="DB298" s="73"/>
      <c r="DC298" s="123" t="str">
        <f t="shared" si="552"/>
        <v/>
      </c>
      <c r="DD298" s="123" t="str">
        <f t="shared" si="553"/>
        <v/>
      </c>
      <c r="DE298" s="97" t="str">
        <f t="shared" ca="1" si="554"/>
        <v/>
      </c>
      <c r="DF298" s="98" t="str">
        <f>IF(DH298&lt;&gt;"",VLOOKUP($P298&amp;" | "&amp;DF$6,'Job Master'!$F$12:$J$102,5,0),"")</f>
        <v/>
      </c>
      <c r="DG298" s="19" t="str">
        <f>IF(DH298&lt;&gt;"",VLOOKUP($P298&amp;" | "&amp;DF$6,'Job Master'!$F$12:$J$102,3,0),"")</f>
        <v/>
      </c>
      <c r="DH298" s="19" t="str">
        <f>IFERROR(IF(AND(DO298&lt;&gt;"",VLOOKUP($P298&amp;" | "&amp;DF$6,'Job Master'!$F$12:$I$102,4,0)&lt;&gt;""),IF(WEEKDAY(DO298-VLOOKUP($P298&amp;" | "&amp;DF$6,'Job Master'!$F$12:$I$102,4,0))&lt;&gt;7,DO298-VLOOKUP($P298&amp;" | "&amp;DF$6,'Job Master'!$F$12:$I$102,4,0),DO298-VLOOKUP($P298&amp;" | "&amp;DF$6,'Job Master'!$F$12:$I$102,4,0)-1),""),"")</f>
        <v/>
      </c>
      <c r="DI298" s="73"/>
      <c r="DJ298" s="123" t="str">
        <f t="shared" si="555"/>
        <v/>
      </c>
      <c r="DK298" s="123" t="str">
        <f t="shared" si="556"/>
        <v/>
      </c>
      <c r="DL298" s="97" t="str">
        <f t="shared" ca="1" si="557"/>
        <v/>
      </c>
      <c r="DM298" s="98" t="str">
        <f>IF(DO298&lt;&gt;"",VLOOKUP($P298&amp;" | "&amp;DM$6,'Job Master'!$F$12:$J$102,5,0),"")</f>
        <v/>
      </c>
      <c r="DN298" s="19" t="str">
        <f>IF(DO298&lt;&gt;"",VLOOKUP($P298&amp;" | "&amp;DM$6,'Job Master'!$F$12:$J$102,3,0),"")</f>
        <v/>
      </c>
      <c r="DO298" s="19" t="str">
        <f>IFERROR(IF(AND(DT298&lt;&gt;"",VLOOKUP($P298&amp;" | "&amp;DM$6,'Job Master'!$F$12:$I$102,4,0)&lt;&gt;""),IF(WEEKDAY(DT298-VLOOKUP($P298&amp;" | "&amp;DM$6,'Job Master'!$F$12:$I$102,4,0))&lt;&gt;7,DT298-VLOOKUP($P298&amp;" | "&amp;DM$6,'Job Master'!$F$12:$I$102,4,0),DT298-VLOOKUP($P298&amp;" | "&amp;DM$6,'Job Master'!$F$12:$I$102,4,0)-1),""),"")</f>
        <v/>
      </c>
      <c r="DP298" s="73"/>
      <c r="DQ298" s="123" t="str">
        <f t="shared" si="558"/>
        <v/>
      </c>
      <c r="DR298" s="123" t="str">
        <f t="shared" si="559"/>
        <v/>
      </c>
      <c r="DS298" s="97" t="str">
        <f t="shared" ca="1" si="560"/>
        <v/>
      </c>
      <c r="DT298" s="70" t="str">
        <f t="shared" si="561"/>
        <v/>
      </c>
      <c r="DU298" s="90"/>
      <c r="DV298" s="123" t="str">
        <f t="shared" si="562"/>
        <v/>
      </c>
      <c r="DW298" s="123" t="str">
        <f t="shared" si="563"/>
        <v/>
      </c>
      <c r="DX298" s="132" t="str">
        <f t="shared" ref="DX298" ca="1" si="607">IF(DT298&lt;&gt;"",IF(WEEKNUM(DT298)=WEEKNUM(TODAY()),"This Week",IF(WEEKNUM(DT298)=WEEKNUM(TODAY())+1,"Next Week",IF(WEEKNUM(DT298)=WEEKNUM(TODAY())-1,"Previous Week",""))),"")</f>
        <v/>
      </c>
      <c r="DY298" s="134" t="str">
        <f t="shared" si="565"/>
        <v/>
      </c>
      <c r="DZ298" s="95"/>
      <c r="EB298" s="8" t="str">
        <f t="shared" si="571"/>
        <v/>
      </c>
      <c r="EC298" s="8" t="str">
        <f>IF(O298&lt;&gt;"",VLOOKUP(O298,'Job Master'!$N$12:$O$18,2,0),"")</f>
        <v/>
      </c>
      <c r="ED298" s="8">
        <f t="shared" si="572"/>
        <v>19.5</v>
      </c>
      <c r="EE298" s="8">
        <f t="shared" si="573"/>
        <v>6</v>
      </c>
      <c r="EF298" s="8">
        <f t="shared" si="574"/>
        <v>-1708.5</v>
      </c>
      <c r="EG298" s="8" t="str">
        <f t="shared" si="575"/>
        <v/>
      </c>
      <c r="EH298" s="8" t="str">
        <f t="shared" si="576"/>
        <v/>
      </c>
    </row>
    <row r="299" spans="2:138" x14ac:dyDescent="0.3">
      <c r="B299" s="112"/>
      <c r="C299" s="27"/>
      <c r="D299" s="7" t="str">
        <f t="shared" si="513"/>
        <v/>
      </c>
      <c r="E299" s="25"/>
      <c r="F299" s="7" t="str">
        <f t="shared" si="513"/>
        <v/>
      </c>
      <c r="G299" s="25"/>
      <c r="H299" s="7" t="str">
        <f t="shared" si="513"/>
        <v/>
      </c>
      <c r="I299" s="25"/>
      <c r="J299" s="7" t="str">
        <f t="shared" si="513"/>
        <v/>
      </c>
      <c r="K299" s="25"/>
      <c r="L299" s="7" t="str">
        <f t="shared" si="514"/>
        <v/>
      </c>
      <c r="M299" s="25"/>
      <c r="N299" s="7" t="str">
        <f t="shared" si="515"/>
        <v/>
      </c>
      <c r="O299" s="81"/>
      <c r="P299" s="81" t="str">
        <f t="shared" si="516"/>
        <v/>
      </c>
      <c r="Q299" s="81"/>
      <c r="R299" s="7" t="str">
        <f t="shared" si="517"/>
        <v/>
      </c>
      <c r="S299" s="25"/>
      <c r="T299" s="7" t="str">
        <f t="shared" si="518"/>
        <v/>
      </c>
      <c r="U299" s="25"/>
      <c r="V299" s="7" t="str">
        <f t="shared" si="519"/>
        <v/>
      </c>
      <c r="W299" s="25"/>
      <c r="X299" s="7" t="str">
        <f t="shared" si="520"/>
        <v/>
      </c>
      <c r="Y299" s="18" t="str">
        <f t="shared" si="521"/>
        <v/>
      </c>
      <c r="Z299" s="7" t="str">
        <f t="shared" si="522"/>
        <v/>
      </c>
      <c r="AA299" s="18" t="str">
        <f t="shared" si="523"/>
        <v/>
      </c>
      <c r="AB299" s="19" t="str">
        <f t="shared" si="524"/>
        <v/>
      </c>
      <c r="AC299" s="26"/>
      <c r="AD299" s="26"/>
      <c r="AE299" s="25"/>
      <c r="AF299" s="26"/>
      <c r="AG299" s="25"/>
      <c r="AH299" s="25"/>
      <c r="AI299" s="18" t="str">
        <f t="shared" si="587"/>
        <v/>
      </c>
      <c r="AJ299" s="25"/>
      <c r="AK299" s="18" t="str">
        <f t="shared" si="588"/>
        <v/>
      </c>
      <c r="AL299" s="79"/>
      <c r="AM299" s="126" t="str">
        <f t="shared" si="589"/>
        <v/>
      </c>
      <c r="AN299" s="128" t="str">
        <f>IF(AP299&lt;&gt;"",VLOOKUP($P299&amp;" | "&amp;AN$6,'Job Master'!$F$12:$J$102,5,0),"")</f>
        <v/>
      </c>
      <c r="AO299" s="19" t="str">
        <f>IF(AP299&lt;&gt;"",VLOOKUP($P299&amp;" | "&amp;AN$6,'Job Master'!$F$12:$J$102,3,0),"")</f>
        <v/>
      </c>
      <c r="AP299" s="19" t="str">
        <f>IFERROR(IF(AND(AW299&lt;&gt;"",VLOOKUP($P299&amp;" | "&amp;AN$6,'Job Master'!$F$12:$I$102,4,0)&lt;&gt;""),IF(WEEKDAY(AW299-VLOOKUP($P299&amp;" | "&amp;AN$6,'Job Master'!$F$12:$I$102,4,0))&lt;&gt;7,AW299-VLOOKUP($P299&amp;" | "&amp;AN$6,'Job Master'!$F$12:$I$102,4,0),AW299-VLOOKUP($P299&amp;" | "&amp;AN$6,'Job Master'!$F$12:$I$102,4,0)-1),""),"")</f>
        <v/>
      </c>
      <c r="AQ299" s="73"/>
      <c r="AR299" s="123" t="str">
        <f t="shared" si="525"/>
        <v/>
      </c>
      <c r="AS299" s="123" t="str">
        <f t="shared" si="526"/>
        <v/>
      </c>
      <c r="AT299" s="97" t="str">
        <f t="shared" ca="1" si="527"/>
        <v/>
      </c>
      <c r="AU299" s="98" t="str">
        <f>IF(AW299&lt;&gt;"",VLOOKUP($P299&amp;" | "&amp;AU$6,'Job Master'!$F$12:$J$102,5,0),"")</f>
        <v/>
      </c>
      <c r="AV299" s="19" t="str">
        <f>IF(AW299&lt;&gt;"",VLOOKUP($P299&amp;" | "&amp;AU$6,'Job Master'!$F$12:$J$102,3,0),"")</f>
        <v/>
      </c>
      <c r="AW299" s="19" t="str">
        <f>IFERROR(IF(AND(BD299&lt;&gt;"",VLOOKUP($P299&amp;" | "&amp;AU$6,'Job Master'!$F$12:$I$102,4,0)&lt;&gt;""),IF(WEEKDAY(BD299-VLOOKUP($P299&amp;" | "&amp;AU$6,'Job Master'!$F$12:$I$102,4,0))&lt;&gt;7,BD299-VLOOKUP($P299&amp;" | "&amp;AU$6,'Job Master'!$F$12:$I$102,4,0),BD299-VLOOKUP($P299&amp;" | "&amp;AU$6,'Job Master'!$F$12:$I$102,4,0)-1),""),"")</f>
        <v/>
      </c>
      <c r="AX299" s="73"/>
      <c r="AY299" s="123" t="str">
        <f t="shared" si="528"/>
        <v/>
      </c>
      <c r="AZ299" s="123" t="str">
        <f t="shared" si="529"/>
        <v/>
      </c>
      <c r="BA299" s="97" t="str">
        <f t="shared" ca="1" si="530"/>
        <v/>
      </c>
      <c r="BB299" s="98" t="str">
        <f>IF(BD299&lt;&gt;"",VLOOKUP($P299&amp;" | "&amp;BB$6,'Job Master'!$F$12:$J$102,5,0),"")</f>
        <v/>
      </c>
      <c r="BC299" s="19" t="str">
        <f>IF(BD299&lt;&gt;"",VLOOKUP($P299&amp;" | "&amp;BB$6,'Job Master'!$F$12:$J$102,3,0),"")</f>
        <v/>
      </c>
      <c r="BD299" s="19" t="str">
        <f>IFERROR(IF(AND(BK299&lt;&gt;"",VLOOKUP($P299&amp;" | "&amp;BB$6,'Job Master'!$F$12:$I$102,4,0)&lt;&gt;""),IF(WEEKDAY(BK299-VLOOKUP($P299&amp;" | "&amp;BB$6,'Job Master'!$F$12:$I$102,4,0))&lt;&gt;7,BK299-VLOOKUP($P299&amp;" | "&amp;BB$6,'Job Master'!$F$12:$I$102,4,0),BK299-VLOOKUP($P299&amp;" | "&amp;BB$6,'Job Master'!$F$12:$I$102,4,0)-1),""),"")</f>
        <v/>
      </c>
      <c r="BE299" s="73"/>
      <c r="BF299" s="123" t="str">
        <f t="shared" si="531"/>
        <v/>
      </c>
      <c r="BG299" s="123" t="str">
        <f t="shared" si="532"/>
        <v/>
      </c>
      <c r="BH299" s="97" t="str">
        <f t="shared" ca="1" si="533"/>
        <v/>
      </c>
      <c r="BI299" s="98" t="str">
        <f>IF(BK299&lt;&gt;"",VLOOKUP($P299&amp;" | "&amp;BI$6,'Job Master'!$F$12:$J$102,5,0),"")</f>
        <v/>
      </c>
      <c r="BJ299" s="19" t="str">
        <f>IF(BK299&lt;&gt;"",VLOOKUP($P299&amp;" | "&amp;BI$6,'Job Master'!$F$12:$J$102,3,0),"")</f>
        <v/>
      </c>
      <c r="BK299" s="19" t="str">
        <f>IFERROR(IF(AND(BR299&lt;&gt;"",VLOOKUP($P299&amp;" | "&amp;BI$6,'Job Master'!$F$12:$I$102,4,0)&lt;&gt;""),IF(WEEKDAY(BR299-VLOOKUP($P299&amp;" | "&amp;BI$6,'Job Master'!$F$12:$I$102,4,0))&lt;&gt;7,BR299-VLOOKUP($P299&amp;" | "&amp;BI$6,'Job Master'!$F$12:$I$102,4,0),BR299-VLOOKUP($P299&amp;" | "&amp;BI$6,'Job Master'!$F$12:$I$102,4,0)-1),""),"")</f>
        <v/>
      </c>
      <c r="BL299" s="73"/>
      <c r="BM299" s="123" t="str">
        <f t="shared" si="534"/>
        <v/>
      </c>
      <c r="BN299" s="123" t="str">
        <f t="shared" si="535"/>
        <v/>
      </c>
      <c r="BO299" s="97" t="str">
        <f t="shared" ca="1" si="536"/>
        <v/>
      </c>
      <c r="BP299" s="98" t="str">
        <f>IF(BR299&lt;&gt;"",VLOOKUP($P299&amp;" | "&amp;BP$6,'Job Master'!$F$12:$J$102,5,0),"")</f>
        <v/>
      </c>
      <c r="BQ299" s="19" t="str">
        <f>IF(BR299&lt;&gt;"",VLOOKUP($P299&amp;" | "&amp;BP$6,'Job Master'!$F$12:$J$102,3,0),"")</f>
        <v/>
      </c>
      <c r="BR299" s="19" t="str">
        <f>IFERROR(IF(AND(BY299&lt;&gt;"",VLOOKUP($P299&amp;" | "&amp;BP$6,'Job Master'!$F$12:$I$102,4,0)&lt;&gt;""),IF(WEEKDAY(BY299-VLOOKUP($P299&amp;" | "&amp;BP$6,'Job Master'!$F$12:$I$102,4,0))&lt;&gt;7,BY299-VLOOKUP($P299&amp;" | "&amp;BP$6,'Job Master'!$F$12:$I$102,4,0),BY299-VLOOKUP($P299&amp;" | "&amp;BP$6,'Job Master'!$F$12:$I$102,4,0)-1),""),"")</f>
        <v/>
      </c>
      <c r="BS299" s="73"/>
      <c r="BT299" s="123" t="str">
        <f t="shared" si="537"/>
        <v/>
      </c>
      <c r="BU299" s="123" t="str">
        <f t="shared" si="538"/>
        <v/>
      </c>
      <c r="BV299" s="97" t="str">
        <f t="shared" ca="1" si="539"/>
        <v/>
      </c>
      <c r="BW299" s="98" t="str">
        <f>IF(BY299&lt;&gt;"",VLOOKUP($P299&amp;" | "&amp;BW$6,'Job Master'!$F$12:$J$102,5,0),"")</f>
        <v/>
      </c>
      <c r="BX299" s="19" t="str">
        <f>IF(BY299&lt;&gt;"",VLOOKUP($P299&amp;" | "&amp;BW$6,'Job Master'!$F$12:$J$102,3,0),"")</f>
        <v/>
      </c>
      <c r="BY299" s="19" t="str">
        <f>IFERROR(IF(AND(CF299&lt;&gt;"",VLOOKUP($P299&amp;" | "&amp;BW$6,'Job Master'!$F$12:$I$102,4,0)&lt;&gt;""),IF(WEEKDAY(CF299-VLOOKUP($P299&amp;" | "&amp;BW$6,'Job Master'!$F$12:$I$102,4,0))&lt;&gt;7,CF299-VLOOKUP($P299&amp;" | "&amp;BW$6,'Job Master'!$F$12:$I$102,4,0),CF299-VLOOKUP($P299&amp;" | "&amp;BW$6,'Job Master'!$F$12:$I$102,4,0)-1),""),"")</f>
        <v/>
      </c>
      <c r="BZ299" s="73"/>
      <c r="CA299" s="123" t="str">
        <f t="shared" si="540"/>
        <v/>
      </c>
      <c r="CB299" s="123" t="str">
        <f t="shared" si="541"/>
        <v/>
      </c>
      <c r="CC299" s="97" t="str">
        <f t="shared" ca="1" si="542"/>
        <v/>
      </c>
      <c r="CD299" s="98" t="str">
        <f>IF(CF299&lt;&gt;"",VLOOKUP($P299&amp;" | "&amp;CD$6,'Job Master'!$F$12:$J$102,5,0),"")</f>
        <v/>
      </c>
      <c r="CE299" s="19" t="str">
        <f>IF(CF299&lt;&gt;"",VLOOKUP($P299&amp;" | "&amp;CD$6,'Job Master'!$F$12:$J$102,3,0),"")</f>
        <v/>
      </c>
      <c r="CF299" s="19" t="str">
        <f>IFERROR(IF(AND(CM299&lt;&gt;"",VLOOKUP($P299&amp;" | "&amp;CD$6,'Job Master'!$F$12:$I$102,4,0)&lt;&gt;""),IF(WEEKDAY(CM299-VLOOKUP($P299&amp;" | "&amp;CD$6,'Job Master'!$F$12:$I$102,4,0))&lt;&gt;7,CM299-VLOOKUP($P299&amp;" | "&amp;CD$6,'Job Master'!$F$12:$I$102,4,0),CM299-VLOOKUP($P299&amp;" | "&amp;CD$6,'Job Master'!$F$12:$I$102,4,0)-1),""),"")</f>
        <v/>
      </c>
      <c r="CG299" s="73"/>
      <c r="CH299" s="123" t="str">
        <f t="shared" si="543"/>
        <v/>
      </c>
      <c r="CI299" s="123" t="str">
        <f t="shared" si="544"/>
        <v/>
      </c>
      <c r="CJ299" s="97" t="str">
        <f t="shared" ca="1" si="545"/>
        <v/>
      </c>
      <c r="CK299" s="98" t="str">
        <f>IF(CM299&lt;&gt;"",VLOOKUP($P299&amp;" | "&amp;CK$6,'Job Master'!$F$12:$J$102,5,0),"")</f>
        <v/>
      </c>
      <c r="CL299" s="19" t="str">
        <f>IF(CM299&lt;&gt;"",VLOOKUP($P299&amp;" | "&amp;CK$6,'Job Master'!$F$12:$J$102,3,0),"")</f>
        <v/>
      </c>
      <c r="CM299" s="19" t="str">
        <f>IFERROR(IF(AND(CT299&lt;&gt;"",VLOOKUP($P299&amp;" | "&amp;CK$6,'Job Master'!$F$12:$I$102,4,0)&lt;&gt;""),IF(WEEKDAY(CT299-VLOOKUP($P299&amp;" | "&amp;CK$6,'Job Master'!$F$12:$I$102,4,0))&lt;&gt;7,CT299-VLOOKUP($P299&amp;" | "&amp;CK$6,'Job Master'!$F$12:$I$102,4,0),CT299-VLOOKUP($P299&amp;" | "&amp;CK$6,'Job Master'!$F$12:$I$102,4,0)-1),""),"")</f>
        <v/>
      </c>
      <c r="CN299" s="73"/>
      <c r="CO299" s="123" t="str">
        <f t="shared" si="546"/>
        <v/>
      </c>
      <c r="CP299" s="123" t="str">
        <f t="shared" si="547"/>
        <v/>
      </c>
      <c r="CQ299" s="97" t="str">
        <f t="shared" ca="1" si="548"/>
        <v/>
      </c>
      <c r="CR299" s="98" t="str">
        <f>IF(CT299&lt;&gt;"",VLOOKUP($P299&amp;" | "&amp;CR$6,'Job Master'!$F$12:$J$102,5,0),"")</f>
        <v/>
      </c>
      <c r="CS299" s="19" t="str">
        <f>IF(CT299&lt;&gt;"",VLOOKUP($P299&amp;" | "&amp;CR$6,'Job Master'!$F$12:$J$102,3,0),"")</f>
        <v/>
      </c>
      <c r="CT299" s="19" t="str">
        <f>IFERROR(IF(AND(DA299&lt;&gt;"",VLOOKUP($P299&amp;" | "&amp;CR$6,'Job Master'!$F$12:$I$102,4,0)&lt;&gt;""),IF(WEEKDAY(DA299-VLOOKUP($P299&amp;" | "&amp;CR$6,'Job Master'!$F$12:$I$102,4,0))&lt;&gt;7,DA299-VLOOKUP($P299&amp;" | "&amp;CR$6,'Job Master'!$F$12:$I$102,4,0),DA299-VLOOKUP($P299&amp;" | "&amp;CR$6,'Job Master'!$F$12:$I$102,4,0)-1),""),"")</f>
        <v/>
      </c>
      <c r="CU299" s="73"/>
      <c r="CV299" s="123" t="str">
        <f t="shared" si="549"/>
        <v/>
      </c>
      <c r="CW299" s="123" t="str">
        <f t="shared" si="550"/>
        <v/>
      </c>
      <c r="CX299" s="97" t="str">
        <f t="shared" ca="1" si="551"/>
        <v/>
      </c>
      <c r="CY299" s="98" t="str">
        <f>IF(DA299&lt;&gt;"",VLOOKUP($P299&amp;" | "&amp;CY$6,'Job Master'!$F$12:$J$102,5,0),"")</f>
        <v/>
      </c>
      <c r="CZ299" s="19" t="str">
        <f>IF(DA299&lt;&gt;"",VLOOKUP($P299&amp;" | "&amp;CY$6,'Job Master'!$F$12:$J$102,3,0),"")</f>
        <v/>
      </c>
      <c r="DA299" s="19" t="str">
        <f>IFERROR(IF(AND(DH299&lt;&gt;"",VLOOKUP($P299&amp;" | "&amp;CY$6,'Job Master'!$F$12:$I$102,4,0)&lt;&gt;""),IF(WEEKDAY(DH299-VLOOKUP($P299&amp;" | "&amp;CY$6,'Job Master'!$F$12:$I$102,4,0))&lt;&gt;7,DH299-VLOOKUP($P299&amp;" | "&amp;CY$6,'Job Master'!$F$12:$I$102,4,0),DH299-VLOOKUP($P299&amp;" | "&amp;CY$6,'Job Master'!$F$12:$I$102,4,0)-1),""),"")</f>
        <v/>
      </c>
      <c r="DB299" s="73"/>
      <c r="DC299" s="123" t="str">
        <f t="shared" si="552"/>
        <v/>
      </c>
      <c r="DD299" s="123" t="str">
        <f t="shared" si="553"/>
        <v/>
      </c>
      <c r="DE299" s="97" t="str">
        <f t="shared" ca="1" si="554"/>
        <v/>
      </c>
      <c r="DF299" s="98" t="str">
        <f>IF(DH299&lt;&gt;"",VLOOKUP($P299&amp;" | "&amp;DF$6,'Job Master'!$F$12:$J$102,5,0),"")</f>
        <v/>
      </c>
      <c r="DG299" s="19" t="str">
        <f>IF(DH299&lt;&gt;"",VLOOKUP($P299&amp;" | "&amp;DF$6,'Job Master'!$F$12:$J$102,3,0),"")</f>
        <v/>
      </c>
      <c r="DH299" s="19" t="str">
        <f>IFERROR(IF(AND(DO299&lt;&gt;"",VLOOKUP($P299&amp;" | "&amp;DF$6,'Job Master'!$F$12:$I$102,4,0)&lt;&gt;""),IF(WEEKDAY(DO299-VLOOKUP($P299&amp;" | "&amp;DF$6,'Job Master'!$F$12:$I$102,4,0))&lt;&gt;7,DO299-VLOOKUP($P299&amp;" | "&amp;DF$6,'Job Master'!$F$12:$I$102,4,0),DO299-VLOOKUP($P299&amp;" | "&amp;DF$6,'Job Master'!$F$12:$I$102,4,0)-1),""),"")</f>
        <v/>
      </c>
      <c r="DI299" s="73"/>
      <c r="DJ299" s="123" t="str">
        <f t="shared" si="555"/>
        <v/>
      </c>
      <c r="DK299" s="123" t="str">
        <f t="shared" si="556"/>
        <v/>
      </c>
      <c r="DL299" s="97" t="str">
        <f t="shared" ca="1" si="557"/>
        <v/>
      </c>
      <c r="DM299" s="98" t="str">
        <f>IF(DO299&lt;&gt;"",VLOOKUP($P299&amp;" | "&amp;DM$6,'Job Master'!$F$12:$J$102,5,0),"")</f>
        <v/>
      </c>
      <c r="DN299" s="19" t="str">
        <f>IF(DO299&lt;&gt;"",VLOOKUP($P299&amp;" | "&amp;DM$6,'Job Master'!$F$12:$J$102,3,0),"")</f>
        <v/>
      </c>
      <c r="DO299" s="19" t="str">
        <f>IFERROR(IF(AND(DT299&lt;&gt;"",VLOOKUP($P299&amp;" | "&amp;DM$6,'Job Master'!$F$12:$I$102,4,0)&lt;&gt;""),IF(WEEKDAY(DT299-VLOOKUP($P299&amp;" | "&amp;DM$6,'Job Master'!$F$12:$I$102,4,0))&lt;&gt;7,DT299-VLOOKUP($P299&amp;" | "&amp;DM$6,'Job Master'!$F$12:$I$102,4,0),DT299-VLOOKUP($P299&amp;" | "&amp;DM$6,'Job Master'!$F$12:$I$102,4,0)-1),""),"")</f>
        <v/>
      </c>
      <c r="DP299" s="73"/>
      <c r="DQ299" s="123" t="str">
        <f t="shared" si="558"/>
        <v/>
      </c>
      <c r="DR299" s="123" t="str">
        <f t="shared" si="559"/>
        <v/>
      </c>
      <c r="DS299" s="97" t="str">
        <f t="shared" ca="1" si="560"/>
        <v/>
      </c>
      <c r="DT299" s="70" t="str">
        <f t="shared" si="561"/>
        <v/>
      </c>
      <c r="DU299" s="90"/>
      <c r="DV299" s="123" t="str">
        <f t="shared" si="562"/>
        <v/>
      </c>
      <c r="DW299" s="123" t="str">
        <f t="shared" si="563"/>
        <v/>
      </c>
      <c r="DX299" s="132" t="str">
        <f t="shared" ref="DX299" ca="1" si="608">IF(DT299&lt;&gt;"",IF(WEEKNUM(DT299)=WEEKNUM(TODAY()),"This Week",IF(WEEKNUM(DT299)=WEEKNUM(TODAY())+1,"Next Week",IF(WEEKNUM(DT299)=WEEKNUM(TODAY())-1,"Previous Week",""))),"")</f>
        <v/>
      </c>
      <c r="DY299" s="134" t="str">
        <f t="shared" si="565"/>
        <v/>
      </c>
      <c r="DZ299" s="95"/>
      <c r="EB299" s="8" t="str">
        <f t="shared" si="571"/>
        <v/>
      </c>
      <c r="EC299" s="8" t="str">
        <f>IF(O299&lt;&gt;"",VLOOKUP(O299,'Job Master'!$N$12:$O$18,2,0),"")</f>
        <v/>
      </c>
      <c r="ED299" s="8">
        <f t="shared" si="572"/>
        <v>19.5</v>
      </c>
      <c r="EE299" s="8">
        <f t="shared" si="573"/>
        <v>6</v>
      </c>
      <c r="EF299" s="8">
        <f t="shared" si="574"/>
        <v>-1714.5</v>
      </c>
      <c r="EG299" s="8" t="str">
        <f t="shared" si="575"/>
        <v/>
      </c>
      <c r="EH299" s="8" t="str">
        <f t="shared" si="576"/>
        <v/>
      </c>
    </row>
    <row r="300" spans="2:138" x14ac:dyDescent="0.3">
      <c r="B300" s="112"/>
      <c r="C300" s="27"/>
      <c r="D300" s="7" t="str">
        <f t="shared" si="513"/>
        <v/>
      </c>
      <c r="E300" s="25"/>
      <c r="F300" s="7" t="str">
        <f t="shared" si="513"/>
        <v/>
      </c>
      <c r="G300" s="25"/>
      <c r="H300" s="7" t="str">
        <f t="shared" si="513"/>
        <v/>
      </c>
      <c r="I300" s="25"/>
      <c r="J300" s="7" t="str">
        <f t="shared" si="513"/>
        <v/>
      </c>
      <c r="K300" s="25"/>
      <c r="L300" s="7" t="str">
        <f t="shared" si="514"/>
        <v/>
      </c>
      <c r="M300" s="25"/>
      <c r="N300" s="7" t="str">
        <f t="shared" si="515"/>
        <v/>
      </c>
      <c r="O300" s="81"/>
      <c r="P300" s="81" t="str">
        <f t="shared" si="516"/>
        <v/>
      </c>
      <c r="Q300" s="81"/>
      <c r="R300" s="7" t="str">
        <f t="shared" si="517"/>
        <v/>
      </c>
      <c r="S300" s="25"/>
      <c r="T300" s="7" t="str">
        <f t="shared" si="518"/>
        <v/>
      </c>
      <c r="U300" s="25"/>
      <c r="V300" s="7" t="str">
        <f t="shared" si="519"/>
        <v/>
      </c>
      <c r="W300" s="25"/>
      <c r="X300" s="7" t="str">
        <f t="shared" si="520"/>
        <v/>
      </c>
      <c r="Y300" s="18" t="str">
        <f t="shared" si="521"/>
        <v/>
      </c>
      <c r="Z300" s="7" t="str">
        <f t="shared" si="522"/>
        <v/>
      </c>
      <c r="AA300" s="18" t="str">
        <f t="shared" si="523"/>
        <v/>
      </c>
      <c r="AB300" s="19" t="str">
        <f t="shared" si="524"/>
        <v/>
      </c>
      <c r="AC300" s="26"/>
      <c r="AD300" s="26"/>
      <c r="AE300" s="25"/>
      <c r="AF300" s="26"/>
      <c r="AG300" s="25"/>
      <c r="AH300" s="25"/>
      <c r="AI300" s="18" t="str">
        <f t="shared" si="587"/>
        <v/>
      </c>
      <c r="AJ300" s="25"/>
      <c r="AK300" s="18" t="str">
        <f t="shared" si="588"/>
        <v/>
      </c>
      <c r="AL300" s="79"/>
      <c r="AM300" s="126" t="str">
        <f t="shared" si="589"/>
        <v/>
      </c>
      <c r="AN300" s="128" t="str">
        <f>IF(AP300&lt;&gt;"",VLOOKUP($P300&amp;" | "&amp;AN$6,'Job Master'!$F$12:$J$102,5,0),"")</f>
        <v/>
      </c>
      <c r="AO300" s="19" t="str">
        <f>IF(AP300&lt;&gt;"",VLOOKUP($P300&amp;" | "&amp;AN$6,'Job Master'!$F$12:$J$102,3,0),"")</f>
        <v/>
      </c>
      <c r="AP300" s="19" t="str">
        <f>IFERROR(IF(AND(AW300&lt;&gt;"",VLOOKUP($P300&amp;" | "&amp;AN$6,'Job Master'!$F$12:$I$102,4,0)&lt;&gt;""),IF(WEEKDAY(AW300-VLOOKUP($P300&amp;" | "&amp;AN$6,'Job Master'!$F$12:$I$102,4,0))&lt;&gt;7,AW300-VLOOKUP($P300&amp;" | "&amp;AN$6,'Job Master'!$F$12:$I$102,4,0),AW300-VLOOKUP($P300&amp;" | "&amp;AN$6,'Job Master'!$F$12:$I$102,4,0)-1),""),"")</f>
        <v/>
      </c>
      <c r="AQ300" s="73"/>
      <c r="AR300" s="123" t="str">
        <f t="shared" si="525"/>
        <v/>
      </c>
      <c r="AS300" s="123" t="str">
        <f t="shared" si="526"/>
        <v/>
      </c>
      <c r="AT300" s="97" t="str">
        <f t="shared" ca="1" si="527"/>
        <v/>
      </c>
      <c r="AU300" s="98" t="str">
        <f>IF(AW300&lt;&gt;"",VLOOKUP($P300&amp;" | "&amp;AU$6,'Job Master'!$F$12:$J$102,5,0),"")</f>
        <v/>
      </c>
      <c r="AV300" s="19" t="str">
        <f>IF(AW300&lt;&gt;"",VLOOKUP($P300&amp;" | "&amp;AU$6,'Job Master'!$F$12:$J$102,3,0),"")</f>
        <v/>
      </c>
      <c r="AW300" s="19" t="str">
        <f>IFERROR(IF(AND(BD300&lt;&gt;"",VLOOKUP($P300&amp;" | "&amp;AU$6,'Job Master'!$F$12:$I$102,4,0)&lt;&gt;""),IF(WEEKDAY(BD300-VLOOKUP($P300&amp;" | "&amp;AU$6,'Job Master'!$F$12:$I$102,4,0))&lt;&gt;7,BD300-VLOOKUP($P300&amp;" | "&amp;AU$6,'Job Master'!$F$12:$I$102,4,0),BD300-VLOOKUP($P300&amp;" | "&amp;AU$6,'Job Master'!$F$12:$I$102,4,0)-1),""),"")</f>
        <v/>
      </c>
      <c r="AX300" s="73"/>
      <c r="AY300" s="123" t="str">
        <f t="shared" si="528"/>
        <v/>
      </c>
      <c r="AZ300" s="123" t="str">
        <f t="shared" si="529"/>
        <v/>
      </c>
      <c r="BA300" s="97" t="str">
        <f t="shared" ca="1" si="530"/>
        <v/>
      </c>
      <c r="BB300" s="98" t="str">
        <f>IF(BD300&lt;&gt;"",VLOOKUP($P300&amp;" | "&amp;BB$6,'Job Master'!$F$12:$J$102,5,0),"")</f>
        <v/>
      </c>
      <c r="BC300" s="19" t="str">
        <f>IF(BD300&lt;&gt;"",VLOOKUP($P300&amp;" | "&amp;BB$6,'Job Master'!$F$12:$J$102,3,0),"")</f>
        <v/>
      </c>
      <c r="BD300" s="19" t="str">
        <f>IFERROR(IF(AND(BK300&lt;&gt;"",VLOOKUP($P300&amp;" | "&amp;BB$6,'Job Master'!$F$12:$I$102,4,0)&lt;&gt;""),IF(WEEKDAY(BK300-VLOOKUP($P300&amp;" | "&amp;BB$6,'Job Master'!$F$12:$I$102,4,0))&lt;&gt;7,BK300-VLOOKUP($P300&amp;" | "&amp;BB$6,'Job Master'!$F$12:$I$102,4,0),BK300-VLOOKUP($P300&amp;" | "&amp;BB$6,'Job Master'!$F$12:$I$102,4,0)-1),""),"")</f>
        <v/>
      </c>
      <c r="BE300" s="73"/>
      <c r="BF300" s="123" t="str">
        <f t="shared" si="531"/>
        <v/>
      </c>
      <c r="BG300" s="123" t="str">
        <f t="shared" si="532"/>
        <v/>
      </c>
      <c r="BH300" s="97" t="str">
        <f t="shared" ca="1" si="533"/>
        <v/>
      </c>
      <c r="BI300" s="98" t="str">
        <f>IF(BK300&lt;&gt;"",VLOOKUP($P300&amp;" | "&amp;BI$6,'Job Master'!$F$12:$J$102,5,0),"")</f>
        <v/>
      </c>
      <c r="BJ300" s="19" t="str">
        <f>IF(BK300&lt;&gt;"",VLOOKUP($P300&amp;" | "&amp;BI$6,'Job Master'!$F$12:$J$102,3,0),"")</f>
        <v/>
      </c>
      <c r="BK300" s="19" t="str">
        <f>IFERROR(IF(AND(BR300&lt;&gt;"",VLOOKUP($P300&amp;" | "&amp;BI$6,'Job Master'!$F$12:$I$102,4,0)&lt;&gt;""),IF(WEEKDAY(BR300-VLOOKUP($P300&amp;" | "&amp;BI$6,'Job Master'!$F$12:$I$102,4,0))&lt;&gt;7,BR300-VLOOKUP($P300&amp;" | "&amp;BI$6,'Job Master'!$F$12:$I$102,4,0),BR300-VLOOKUP($P300&amp;" | "&amp;BI$6,'Job Master'!$F$12:$I$102,4,0)-1),""),"")</f>
        <v/>
      </c>
      <c r="BL300" s="73"/>
      <c r="BM300" s="123" t="str">
        <f t="shared" si="534"/>
        <v/>
      </c>
      <c r="BN300" s="123" t="str">
        <f t="shared" si="535"/>
        <v/>
      </c>
      <c r="BO300" s="97" t="str">
        <f t="shared" ca="1" si="536"/>
        <v/>
      </c>
      <c r="BP300" s="98" t="str">
        <f>IF(BR300&lt;&gt;"",VLOOKUP($P300&amp;" | "&amp;BP$6,'Job Master'!$F$12:$J$102,5,0),"")</f>
        <v/>
      </c>
      <c r="BQ300" s="19" t="str">
        <f>IF(BR300&lt;&gt;"",VLOOKUP($P300&amp;" | "&amp;BP$6,'Job Master'!$F$12:$J$102,3,0),"")</f>
        <v/>
      </c>
      <c r="BR300" s="19" t="str">
        <f>IFERROR(IF(AND(BY300&lt;&gt;"",VLOOKUP($P300&amp;" | "&amp;BP$6,'Job Master'!$F$12:$I$102,4,0)&lt;&gt;""),IF(WEEKDAY(BY300-VLOOKUP($P300&amp;" | "&amp;BP$6,'Job Master'!$F$12:$I$102,4,0))&lt;&gt;7,BY300-VLOOKUP($P300&amp;" | "&amp;BP$6,'Job Master'!$F$12:$I$102,4,0),BY300-VLOOKUP($P300&amp;" | "&amp;BP$6,'Job Master'!$F$12:$I$102,4,0)-1),""),"")</f>
        <v/>
      </c>
      <c r="BS300" s="73"/>
      <c r="BT300" s="123" t="str">
        <f t="shared" si="537"/>
        <v/>
      </c>
      <c r="BU300" s="123" t="str">
        <f t="shared" si="538"/>
        <v/>
      </c>
      <c r="BV300" s="97" t="str">
        <f t="shared" ca="1" si="539"/>
        <v/>
      </c>
      <c r="BW300" s="98" t="str">
        <f>IF(BY300&lt;&gt;"",VLOOKUP($P300&amp;" | "&amp;BW$6,'Job Master'!$F$12:$J$102,5,0),"")</f>
        <v/>
      </c>
      <c r="BX300" s="19" t="str">
        <f>IF(BY300&lt;&gt;"",VLOOKUP($P300&amp;" | "&amp;BW$6,'Job Master'!$F$12:$J$102,3,0),"")</f>
        <v/>
      </c>
      <c r="BY300" s="19" t="str">
        <f>IFERROR(IF(AND(CF300&lt;&gt;"",VLOOKUP($P300&amp;" | "&amp;BW$6,'Job Master'!$F$12:$I$102,4,0)&lt;&gt;""),IF(WEEKDAY(CF300-VLOOKUP($P300&amp;" | "&amp;BW$6,'Job Master'!$F$12:$I$102,4,0))&lt;&gt;7,CF300-VLOOKUP($P300&amp;" | "&amp;BW$6,'Job Master'!$F$12:$I$102,4,0),CF300-VLOOKUP($P300&amp;" | "&amp;BW$6,'Job Master'!$F$12:$I$102,4,0)-1),""),"")</f>
        <v/>
      </c>
      <c r="BZ300" s="73"/>
      <c r="CA300" s="123" t="str">
        <f t="shared" si="540"/>
        <v/>
      </c>
      <c r="CB300" s="123" t="str">
        <f t="shared" si="541"/>
        <v/>
      </c>
      <c r="CC300" s="97" t="str">
        <f t="shared" ca="1" si="542"/>
        <v/>
      </c>
      <c r="CD300" s="98" t="str">
        <f>IF(CF300&lt;&gt;"",VLOOKUP($P300&amp;" | "&amp;CD$6,'Job Master'!$F$12:$J$102,5,0),"")</f>
        <v/>
      </c>
      <c r="CE300" s="19" t="str">
        <f>IF(CF300&lt;&gt;"",VLOOKUP($P300&amp;" | "&amp;CD$6,'Job Master'!$F$12:$J$102,3,0),"")</f>
        <v/>
      </c>
      <c r="CF300" s="19" t="str">
        <f>IFERROR(IF(AND(CM300&lt;&gt;"",VLOOKUP($P300&amp;" | "&amp;CD$6,'Job Master'!$F$12:$I$102,4,0)&lt;&gt;""),IF(WEEKDAY(CM300-VLOOKUP($P300&amp;" | "&amp;CD$6,'Job Master'!$F$12:$I$102,4,0))&lt;&gt;7,CM300-VLOOKUP($P300&amp;" | "&amp;CD$6,'Job Master'!$F$12:$I$102,4,0),CM300-VLOOKUP($P300&amp;" | "&amp;CD$6,'Job Master'!$F$12:$I$102,4,0)-1),""),"")</f>
        <v/>
      </c>
      <c r="CG300" s="73"/>
      <c r="CH300" s="123" t="str">
        <f t="shared" si="543"/>
        <v/>
      </c>
      <c r="CI300" s="123" t="str">
        <f t="shared" si="544"/>
        <v/>
      </c>
      <c r="CJ300" s="97" t="str">
        <f t="shared" ca="1" si="545"/>
        <v/>
      </c>
      <c r="CK300" s="98" t="str">
        <f>IF(CM300&lt;&gt;"",VLOOKUP($P300&amp;" | "&amp;CK$6,'Job Master'!$F$12:$J$102,5,0),"")</f>
        <v/>
      </c>
      <c r="CL300" s="19" t="str">
        <f>IF(CM300&lt;&gt;"",VLOOKUP($P300&amp;" | "&amp;CK$6,'Job Master'!$F$12:$J$102,3,0),"")</f>
        <v/>
      </c>
      <c r="CM300" s="19" t="str">
        <f>IFERROR(IF(AND(CT300&lt;&gt;"",VLOOKUP($P300&amp;" | "&amp;CK$6,'Job Master'!$F$12:$I$102,4,0)&lt;&gt;""),IF(WEEKDAY(CT300-VLOOKUP($P300&amp;" | "&amp;CK$6,'Job Master'!$F$12:$I$102,4,0))&lt;&gt;7,CT300-VLOOKUP($P300&amp;" | "&amp;CK$6,'Job Master'!$F$12:$I$102,4,0),CT300-VLOOKUP($P300&amp;" | "&amp;CK$6,'Job Master'!$F$12:$I$102,4,0)-1),""),"")</f>
        <v/>
      </c>
      <c r="CN300" s="73"/>
      <c r="CO300" s="123" t="str">
        <f t="shared" si="546"/>
        <v/>
      </c>
      <c r="CP300" s="123" t="str">
        <f t="shared" si="547"/>
        <v/>
      </c>
      <c r="CQ300" s="97" t="str">
        <f t="shared" ca="1" si="548"/>
        <v/>
      </c>
      <c r="CR300" s="98" t="str">
        <f>IF(CT300&lt;&gt;"",VLOOKUP($P300&amp;" | "&amp;CR$6,'Job Master'!$F$12:$J$102,5,0),"")</f>
        <v/>
      </c>
      <c r="CS300" s="19" t="str">
        <f>IF(CT300&lt;&gt;"",VLOOKUP($P300&amp;" | "&amp;CR$6,'Job Master'!$F$12:$J$102,3,0),"")</f>
        <v/>
      </c>
      <c r="CT300" s="19" t="str">
        <f>IFERROR(IF(AND(DA300&lt;&gt;"",VLOOKUP($P300&amp;" | "&amp;CR$6,'Job Master'!$F$12:$I$102,4,0)&lt;&gt;""),IF(WEEKDAY(DA300-VLOOKUP($P300&amp;" | "&amp;CR$6,'Job Master'!$F$12:$I$102,4,0))&lt;&gt;7,DA300-VLOOKUP($P300&amp;" | "&amp;CR$6,'Job Master'!$F$12:$I$102,4,0),DA300-VLOOKUP($P300&amp;" | "&amp;CR$6,'Job Master'!$F$12:$I$102,4,0)-1),""),"")</f>
        <v/>
      </c>
      <c r="CU300" s="73"/>
      <c r="CV300" s="123" t="str">
        <f t="shared" si="549"/>
        <v/>
      </c>
      <c r="CW300" s="123" t="str">
        <f t="shared" si="550"/>
        <v/>
      </c>
      <c r="CX300" s="97" t="str">
        <f t="shared" ca="1" si="551"/>
        <v/>
      </c>
      <c r="CY300" s="98" t="str">
        <f>IF(DA300&lt;&gt;"",VLOOKUP($P300&amp;" | "&amp;CY$6,'Job Master'!$F$12:$J$102,5,0),"")</f>
        <v/>
      </c>
      <c r="CZ300" s="19" t="str">
        <f>IF(DA300&lt;&gt;"",VLOOKUP($P300&amp;" | "&amp;CY$6,'Job Master'!$F$12:$J$102,3,0),"")</f>
        <v/>
      </c>
      <c r="DA300" s="19" t="str">
        <f>IFERROR(IF(AND(DH300&lt;&gt;"",VLOOKUP($P300&amp;" | "&amp;CY$6,'Job Master'!$F$12:$I$102,4,0)&lt;&gt;""),IF(WEEKDAY(DH300-VLOOKUP($P300&amp;" | "&amp;CY$6,'Job Master'!$F$12:$I$102,4,0))&lt;&gt;7,DH300-VLOOKUP($P300&amp;" | "&amp;CY$6,'Job Master'!$F$12:$I$102,4,0),DH300-VLOOKUP($P300&amp;" | "&amp;CY$6,'Job Master'!$F$12:$I$102,4,0)-1),""),"")</f>
        <v/>
      </c>
      <c r="DB300" s="73"/>
      <c r="DC300" s="123" t="str">
        <f t="shared" si="552"/>
        <v/>
      </c>
      <c r="DD300" s="123" t="str">
        <f t="shared" si="553"/>
        <v/>
      </c>
      <c r="DE300" s="97" t="str">
        <f t="shared" ca="1" si="554"/>
        <v/>
      </c>
      <c r="DF300" s="98" t="str">
        <f>IF(DH300&lt;&gt;"",VLOOKUP($P300&amp;" | "&amp;DF$6,'Job Master'!$F$12:$J$102,5,0),"")</f>
        <v/>
      </c>
      <c r="DG300" s="19" t="str">
        <f>IF(DH300&lt;&gt;"",VLOOKUP($P300&amp;" | "&amp;DF$6,'Job Master'!$F$12:$J$102,3,0),"")</f>
        <v/>
      </c>
      <c r="DH300" s="19" t="str">
        <f>IFERROR(IF(AND(DO300&lt;&gt;"",VLOOKUP($P300&amp;" | "&amp;DF$6,'Job Master'!$F$12:$I$102,4,0)&lt;&gt;""),IF(WEEKDAY(DO300-VLOOKUP($P300&amp;" | "&amp;DF$6,'Job Master'!$F$12:$I$102,4,0))&lt;&gt;7,DO300-VLOOKUP($P300&amp;" | "&amp;DF$6,'Job Master'!$F$12:$I$102,4,0),DO300-VLOOKUP($P300&amp;" | "&amp;DF$6,'Job Master'!$F$12:$I$102,4,0)-1),""),"")</f>
        <v/>
      </c>
      <c r="DI300" s="73"/>
      <c r="DJ300" s="123" t="str">
        <f t="shared" si="555"/>
        <v/>
      </c>
      <c r="DK300" s="123" t="str">
        <f t="shared" si="556"/>
        <v/>
      </c>
      <c r="DL300" s="97" t="str">
        <f t="shared" ca="1" si="557"/>
        <v/>
      </c>
      <c r="DM300" s="98" t="str">
        <f>IF(DO300&lt;&gt;"",VLOOKUP($P300&amp;" | "&amp;DM$6,'Job Master'!$F$12:$J$102,5,0),"")</f>
        <v/>
      </c>
      <c r="DN300" s="19" t="str">
        <f>IF(DO300&lt;&gt;"",VLOOKUP($P300&amp;" | "&amp;DM$6,'Job Master'!$F$12:$J$102,3,0),"")</f>
        <v/>
      </c>
      <c r="DO300" s="19" t="str">
        <f>IFERROR(IF(AND(DT300&lt;&gt;"",VLOOKUP($P300&amp;" | "&amp;DM$6,'Job Master'!$F$12:$I$102,4,0)&lt;&gt;""),IF(WEEKDAY(DT300-VLOOKUP($P300&amp;" | "&amp;DM$6,'Job Master'!$F$12:$I$102,4,0))&lt;&gt;7,DT300-VLOOKUP($P300&amp;" | "&amp;DM$6,'Job Master'!$F$12:$I$102,4,0),DT300-VLOOKUP($P300&amp;" | "&amp;DM$6,'Job Master'!$F$12:$I$102,4,0)-1),""),"")</f>
        <v/>
      </c>
      <c r="DP300" s="73"/>
      <c r="DQ300" s="123" t="str">
        <f t="shared" si="558"/>
        <v/>
      </c>
      <c r="DR300" s="123" t="str">
        <f t="shared" si="559"/>
        <v/>
      </c>
      <c r="DS300" s="97" t="str">
        <f t="shared" ca="1" si="560"/>
        <v/>
      </c>
      <c r="DT300" s="70" t="str">
        <f t="shared" si="561"/>
        <v/>
      </c>
      <c r="DU300" s="90"/>
      <c r="DV300" s="123" t="str">
        <f t="shared" si="562"/>
        <v/>
      </c>
      <c r="DW300" s="123" t="str">
        <f t="shared" si="563"/>
        <v/>
      </c>
      <c r="DX300" s="132" t="str">
        <f t="shared" ref="DX300" ca="1" si="609">IF(DT300&lt;&gt;"",IF(WEEKNUM(DT300)=WEEKNUM(TODAY()),"This Week",IF(WEEKNUM(DT300)=WEEKNUM(TODAY())+1,"Next Week",IF(WEEKNUM(DT300)=WEEKNUM(TODAY())-1,"Previous Week",""))),"")</f>
        <v/>
      </c>
      <c r="DY300" s="134" t="str">
        <f t="shared" si="565"/>
        <v/>
      </c>
      <c r="DZ300" s="95"/>
      <c r="EB300" s="8" t="str">
        <f t="shared" si="571"/>
        <v/>
      </c>
      <c r="EC300" s="8" t="str">
        <f>IF(O300&lt;&gt;"",VLOOKUP(O300,'Job Master'!$N$12:$O$18,2,0),"")</f>
        <v/>
      </c>
      <c r="ED300" s="8">
        <f t="shared" si="572"/>
        <v>19.5</v>
      </c>
      <c r="EE300" s="8">
        <f t="shared" si="573"/>
        <v>6</v>
      </c>
      <c r="EF300" s="8">
        <f t="shared" si="574"/>
        <v>-1720.5</v>
      </c>
      <c r="EG300" s="8" t="str">
        <f t="shared" si="575"/>
        <v/>
      </c>
      <c r="EH300" s="8" t="str">
        <f t="shared" si="576"/>
        <v/>
      </c>
    </row>
    <row r="301" spans="2:138" x14ac:dyDescent="0.3">
      <c r="B301" s="112"/>
      <c r="C301" s="27"/>
      <c r="D301" s="7" t="str">
        <f t="shared" si="513"/>
        <v/>
      </c>
      <c r="E301" s="25"/>
      <c r="F301" s="7" t="str">
        <f t="shared" si="513"/>
        <v/>
      </c>
      <c r="G301" s="25"/>
      <c r="H301" s="7" t="str">
        <f t="shared" si="513"/>
        <v/>
      </c>
      <c r="I301" s="25"/>
      <c r="J301" s="7" t="str">
        <f t="shared" si="513"/>
        <v/>
      </c>
      <c r="K301" s="25"/>
      <c r="L301" s="7" t="str">
        <f t="shared" si="514"/>
        <v/>
      </c>
      <c r="M301" s="25"/>
      <c r="N301" s="7" t="str">
        <f t="shared" si="515"/>
        <v/>
      </c>
      <c r="O301" s="81"/>
      <c r="P301" s="81" t="str">
        <f t="shared" si="516"/>
        <v/>
      </c>
      <c r="Q301" s="81"/>
      <c r="R301" s="7" t="str">
        <f t="shared" si="517"/>
        <v/>
      </c>
      <c r="S301" s="25"/>
      <c r="T301" s="7" t="str">
        <f t="shared" si="518"/>
        <v/>
      </c>
      <c r="U301" s="25"/>
      <c r="V301" s="7" t="str">
        <f t="shared" si="519"/>
        <v/>
      </c>
      <c r="W301" s="25"/>
      <c r="X301" s="7" t="str">
        <f t="shared" si="520"/>
        <v/>
      </c>
      <c r="Y301" s="18" t="str">
        <f t="shared" si="521"/>
        <v/>
      </c>
      <c r="Z301" s="7" t="str">
        <f t="shared" si="522"/>
        <v/>
      </c>
      <c r="AA301" s="18" t="str">
        <f t="shared" si="523"/>
        <v/>
      </c>
      <c r="AB301" s="19" t="str">
        <f t="shared" si="524"/>
        <v/>
      </c>
      <c r="AC301" s="26"/>
      <c r="AD301" s="26"/>
      <c r="AE301" s="25"/>
      <c r="AF301" s="26"/>
      <c r="AG301" s="25"/>
      <c r="AH301" s="25"/>
      <c r="AI301" s="18" t="str">
        <f t="shared" si="587"/>
        <v/>
      </c>
      <c r="AJ301" s="25"/>
      <c r="AK301" s="18" t="str">
        <f t="shared" si="588"/>
        <v/>
      </c>
      <c r="AL301" s="79"/>
      <c r="AM301" s="126" t="str">
        <f t="shared" si="589"/>
        <v/>
      </c>
      <c r="AN301" s="128" t="str">
        <f>IF(AP301&lt;&gt;"",VLOOKUP($P301&amp;" | "&amp;AN$6,'Job Master'!$F$12:$J$102,5,0),"")</f>
        <v/>
      </c>
      <c r="AO301" s="19" t="str">
        <f>IF(AP301&lt;&gt;"",VLOOKUP($P301&amp;" | "&amp;AN$6,'Job Master'!$F$12:$J$102,3,0),"")</f>
        <v/>
      </c>
      <c r="AP301" s="19" t="str">
        <f>IFERROR(IF(AND(AW301&lt;&gt;"",VLOOKUP($P301&amp;" | "&amp;AN$6,'Job Master'!$F$12:$I$102,4,0)&lt;&gt;""),IF(WEEKDAY(AW301-VLOOKUP($P301&amp;" | "&amp;AN$6,'Job Master'!$F$12:$I$102,4,0))&lt;&gt;7,AW301-VLOOKUP($P301&amp;" | "&amp;AN$6,'Job Master'!$F$12:$I$102,4,0),AW301-VLOOKUP($P301&amp;" | "&amp;AN$6,'Job Master'!$F$12:$I$102,4,0)-1),""),"")</f>
        <v/>
      </c>
      <c r="AQ301" s="73"/>
      <c r="AR301" s="123" t="str">
        <f t="shared" si="525"/>
        <v/>
      </c>
      <c r="AS301" s="123" t="str">
        <f t="shared" si="526"/>
        <v/>
      </c>
      <c r="AT301" s="97" t="str">
        <f t="shared" ca="1" si="527"/>
        <v/>
      </c>
      <c r="AU301" s="98" t="str">
        <f>IF(AW301&lt;&gt;"",VLOOKUP($P301&amp;" | "&amp;AU$6,'Job Master'!$F$12:$J$102,5,0),"")</f>
        <v/>
      </c>
      <c r="AV301" s="19" t="str">
        <f>IF(AW301&lt;&gt;"",VLOOKUP($P301&amp;" | "&amp;AU$6,'Job Master'!$F$12:$J$102,3,0),"")</f>
        <v/>
      </c>
      <c r="AW301" s="19" t="str">
        <f>IFERROR(IF(AND(BD301&lt;&gt;"",VLOOKUP($P301&amp;" | "&amp;AU$6,'Job Master'!$F$12:$I$102,4,0)&lt;&gt;""),IF(WEEKDAY(BD301-VLOOKUP($P301&amp;" | "&amp;AU$6,'Job Master'!$F$12:$I$102,4,0))&lt;&gt;7,BD301-VLOOKUP($P301&amp;" | "&amp;AU$6,'Job Master'!$F$12:$I$102,4,0),BD301-VLOOKUP($P301&amp;" | "&amp;AU$6,'Job Master'!$F$12:$I$102,4,0)-1),""),"")</f>
        <v/>
      </c>
      <c r="AX301" s="73"/>
      <c r="AY301" s="123" t="str">
        <f t="shared" si="528"/>
        <v/>
      </c>
      <c r="AZ301" s="123" t="str">
        <f t="shared" si="529"/>
        <v/>
      </c>
      <c r="BA301" s="97" t="str">
        <f t="shared" ca="1" si="530"/>
        <v/>
      </c>
      <c r="BB301" s="98" t="str">
        <f>IF(BD301&lt;&gt;"",VLOOKUP($P301&amp;" | "&amp;BB$6,'Job Master'!$F$12:$J$102,5,0),"")</f>
        <v/>
      </c>
      <c r="BC301" s="19" t="str">
        <f>IF(BD301&lt;&gt;"",VLOOKUP($P301&amp;" | "&amp;BB$6,'Job Master'!$F$12:$J$102,3,0),"")</f>
        <v/>
      </c>
      <c r="BD301" s="19" t="str">
        <f>IFERROR(IF(AND(BK301&lt;&gt;"",VLOOKUP($P301&amp;" | "&amp;BB$6,'Job Master'!$F$12:$I$102,4,0)&lt;&gt;""),IF(WEEKDAY(BK301-VLOOKUP($P301&amp;" | "&amp;BB$6,'Job Master'!$F$12:$I$102,4,0))&lt;&gt;7,BK301-VLOOKUP($P301&amp;" | "&amp;BB$6,'Job Master'!$F$12:$I$102,4,0),BK301-VLOOKUP($P301&amp;" | "&amp;BB$6,'Job Master'!$F$12:$I$102,4,0)-1),""),"")</f>
        <v/>
      </c>
      <c r="BE301" s="73"/>
      <c r="BF301" s="123" t="str">
        <f t="shared" si="531"/>
        <v/>
      </c>
      <c r="BG301" s="123" t="str">
        <f t="shared" si="532"/>
        <v/>
      </c>
      <c r="BH301" s="97" t="str">
        <f t="shared" ca="1" si="533"/>
        <v/>
      </c>
      <c r="BI301" s="98" t="str">
        <f>IF(BK301&lt;&gt;"",VLOOKUP($P301&amp;" | "&amp;BI$6,'Job Master'!$F$12:$J$102,5,0),"")</f>
        <v/>
      </c>
      <c r="BJ301" s="19" t="str">
        <f>IF(BK301&lt;&gt;"",VLOOKUP($P301&amp;" | "&amp;BI$6,'Job Master'!$F$12:$J$102,3,0),"")</f>
        <v/>
      </c>
      <c r="BK301" s="19" t="str">
        <f>IFERROR(IF(AND(BR301&lt;&gt;"",VLOOKUP($P301&amp;" | "&amp;BI$6,'Job Master'!$F$12:$I$102,4,0)&lt;&gt;""),IF(WEEKDAY(BR301-VLOOKUP($P301&amp;" | "&amp;BI$6,'Job Master'!$F$12:$I$102,4,0))&lt;&gt;7,BR301-VLOOKUP($P301&amp;" | "&amp;BI$6,'Job Master'!$F$12:$I$102,4,0),BR301-VLOOKUP($P301&amp;" | "&amp;BI$6,'Job Master'!$F$12:$I$102,4,0)-1),""),"")</f>
        <v/>
      </c>
      <c r="BL301" s="73"/>
      <c r="BM301" s="123" t="str">
        <f t="shared" si="534"/>
        <v/>
      </c>
      <c r="BN301" s="123" t="str">
        <f t="shared" si="535"/>
        <v/>
      </c>
      <c r="BO301" s="97" t="str">
        <f t="shared" ca="1" si="536"/>
        <v/>
      </c>
      <c r="BP301" s="98" t="str">
        <f>IF(BR301&lt;&gt;"",VLOOKUP($P301&amp;" | "&amp;BP$6,'Job Master'!$F$12:$J$102,5,0),"")</f>
        <v/>
      </c>
      <c r="BQ301" s="19" t="str">
        <f>IF(BR301&lt;&gt;"",VLOOKUP($P301&amp;" | "&amp;BP$6,'Job Master'!$F$12:$J$102,3,0),"")</f>
        <v/>
      </c>
      <c r="BR301" s="19" t="str">
        <f>IFERROR(IF(AND(BY301&lt;&gt;"",VLOOKUP($P301&amp;" | "&amp;BP$6,'Job Master'!$F$12:$I$102,4,0)&lt;&gt;""),IF(WEEKDAY(BY301-VLOOKUP($P301&amp;" | "&amp;BP$6,'Job Master'!$F$12:$I$102,4,0))&lt;&gt;7,BY301-VLOOKUP($P301&amp;" | "&amp;BP$6,'Job Master'!$F$12:$I$102,4,0),BY301-VLOOKUP($P301&amp;" | "&amp;BP$6,'Job Master'!$F$12:$I$102,4,0)-1),""),"")</f>
        <v/>
      </c>
      <c r="BS301" s="73"/>
      <c r="BT301" s="123" t="str">
        <f t="shared" si="537"/>
        <v/>
      </c>
      <c r="BU301" s="123" t="str">
        <f t="shared" si="538"/>
        <v/>
      </c>
      <c r="BV301" s="97" t="str">
        <f t="shared" ca="1" si="539"/>
        <v/>
      </c>
      <c r="BW301" s="98" t="str">
        <f>IF(BY301&lt;&gt;"",VLOOKUP($P301&amp;" | "&amp;BW$6,'Job Master'!$F$12:$J$102,5,0),"")</f>
        <v/>
      </c>
      <c r="BX301" s="19" t="str">
        <f>IF(BY301&lt;&gt;"",VLOOKUP($P301&amp;" | "&amp;BW$6,'Job Master'!$F$12:$J$102,3,0),"")</f>
        <v/>
      </c>
      <c r="BY301" s="19" t="str">
        <f>IFERROR(IF(AND(CF301&lt;&gt;"",VLOOKUP($P301&amp;" | "&amp;BW$6,'Job Master'!$F$12:$I$102,4,0)&lt;&gt;""),IF(WEEKDAY(CF301-VLOOKUP($P301&amp;" | "&amp;BW$6,'Job Master'!$F$12:$I$102,4,0))&lt;&gt;7,CF301-VLOOKUP($P301&amp;" | "&amp;BW$6,'Job Master'!$F$12:$I$102,4,0),CF301-VLOOKUP($P301&amp;" | "&amp;BW$6,'Job Master'!$F$12:$I$102,4,0)-1),""),"")</f>
        <v/>
      </c>
      <c r="BZ301" s="73"/>
      <c r="CA301" s="123" t="str">
        <f t="shared" si="540"/>
        <v/>
      </c>
      <c r="CB301" s="123" t="str">
        <f t="shared" si="541"/>
        <v/>
      </c>
      <c r="CC301" s="97" t="str">
        <f t="shared" ca="1" si="542"/>
        <v/>
      </c>
      <c r="CD301" s="98" t="str">
        <f>IF(CF301&lt;&gt;"",VLOOKUP($P301&amp;" | "&amp;CD$6,'Job Master'!$F$12:$J$102,5,0),"")</f>
        <v/>
      </c>
      <c r="CE301" s="19" t="str">
        <f>IF(CF301&lt;&gt;"",VLOOKUP($P301&amp;" | "&amp;CD$6,'Job Master'!$F$12:$J$102,3,0),"")</f>
        <v/>
      </c>
      <c r="CF301" s="19" t="str">
        <f>IFERROR(IF(AND(CM301&lt;&gt;"",VLOOKUP($P301&amp;" | "&amp;CD$6,'Job Master'!$F$12:$I$102,4,0)&lt;&gt;""),IF(WEEKDAY(CM301-VLOOKUP($P301&amp;" | "&amp;CD$6,'Job Master'!$F$12:$I$102,4,0))&lt;&gt;7,CM301-VLOOKUP($P301&amp;" | "&amp;CD$6,'Job Master'!$F$12:$I$102,4,0),CM301-VLOOKUP($P301&amp;" | "&amp;CD$6,'Job Master'!$F$12:$I$102,4,0)-1),""),"")</f>
        <v/>
      </c>
      <c r="CG301" s="73"/>
      <c r="CH301" s="123" t="str">
        <f t="shared" si="543"/>
        <v/>
      </c>
      <c r="CI301" s="123" t="str">
        <f t="shared" si="544"/>
        <v/>
      </c>
      <c r="CJ301" s="97" t="str">
        <f t="shared" ca="1" si="545"/>
        <v/>
      </c>
      <c r="CK301" s="98" t="str">
        <f>IF(CM301&lt;&gt;"",VLOOKUP($P301&amp;" | "&amp;CK$6,'Job Master'!$F$12:$J$102,5,0),"")</f>
        <v/>
      </c>
      <c r="CL301" s="19" t="str">
        <f>IF(CM301&lt;&gt;"",VLOOKUP($P301&amp;" | "&amp;CK$6,'Job Master'!$F$12:$J$102,3,0),"")</f>
        <v/>
      </c>
      <c r="CM301" s="19" t="str">
        <f>IFERROR(IF(AND(CT301&lt;&gt;"",VLOOKUP($P301&amp;" | "&amp;CK$6,'Job Master'!$F$12:$I$102,4,0)&lt;&gt;""),IF(WEEKDAY(CT301-VLOOKUP($P301&amp;" | "&amp;CK$6,'Job Master'!$F$12:$I$102,4,0))&lt;&gt;7,CT301-VLOOKUP($P301&amp;" | "&amp;CK$6,'Job Master'!$F$12:$I$102,4,0),CT301-VLOOKUP($P301&amp;" | "&amp;CK$6,'Job Master'!$F$12:$I$102,4,0)-1),""),"")</f>
        <v/>
      </c>
      <c r="CN301" s="73"/>
      <c r="CO301" s="123" t="str">
        <f t="shared" si="546"/>
        <v/>
      </c>
      <c r="CP301" s="123" t="str">
        <f t="shared" si="547"/>
        <v/>
      </c>
      <c r="CQ301" s="97" t="str">
        <f t="shared" ca="1" si="548"/>
        <v/>
      </c>
      <c r="CR301" s="98" t="str">
        <f>IF(CT301&lt;&gt;"",VLOOKUP($P301&amp;" | "&amp;CR$6,'Job Master'!$F$12:$J$102,5,0),"")</f>
        <v/>
      </c>
      <c r="CS301" s="19" t="str">
        <f>IF(CT301&lt;&gt;"",VLOOKUP($P301&amp;" | "&amp;CR$6,'Job Master'!$F$12:$J$102,3,0),"")</f>
        <v/>
      </c>
      <c r="CT301" s="19" t="str">
        <f>IFERROR(IF(AND(DA301&lt;&gt;"",VLOOKUP($P301&amp;" | "&amp;CR$6,'Job Master'!$F$12:$I$102,4,0)&lt;&gt;""),IF(WEEKDAY(DA301-VLOOKUP($P301&amp;" | "&amp;CR$6,'Job Master'!$F$12:$I$102,4,0))&lt;&gt;7,DA301-VLOOKUP($P301&amp;" | "&amp;CR$6,'Job Master'!$F$12:$I$102,4,0),DA301-VLOOKUP($P301&amp;" | "&amp;CR$6,'Job Master'!$F$12:$I$102,4,0)-1),""),"")</f>
        <v/>
      </c>
      <c r="CU301" s="73"/>
      <c r="CV301" s="123" t="str">
        <f t="shared" si="549"/>
        <v/>
      </c>
      <c r="CW301" s="123" t="str">
        <f t="shared" si="550"/>
        <v/>
      </c>
      <c r="CX301" s="97" t="str">
        <f t="shared" ca="1" si="551"/>
        <v/>
      </c>
      <c r="CY301" s="98" t="str">
        <f>IF(DA301&lt;&gt;"",VLOOKUP($P301&amp;" | "&amp;CY$6,'Job Master'!$F$12:$J$102,5,0),"")</f>
        <v/>
      </c>
      <c r="CZ301" s="19" t="str">
        <f>IF(DA301&lt;&gt;"",VLOOKUP($P301&amp;" | "&amp;CY$6,'Job Master'!$F$12:$J$102,3,0),"")</f>
        <v/>
      </c>
      <c r="DA301" s="19" t="str">
        <f>IFERROR(IF(AND(DH301&lt;&gt;"",VLOOKUP($P301&amp;" | "&amp;CY$6,'Job Master'!$F$12:$I$102,4,0)&lt;&gt;""),IF(WEEKDAY(DH301-VLOOKUP($P301&amp;" | "&amp;CY$6,'Job Master'!$F$12:$I$102,4,0))&lt;&gt;7,DH301-VLOOKUP($P301&amp;" | "&amp;CY$6,'Job Master'!$F$12:$I$102,4,0),DH301-VLOOKUP($P301&amp;" | "&amp;CY$6,'Job Master'!$F$12:$I$102,4,0)-1),""),"")</f>
        <v/>
      </c>
      <c r="DB301" s="73"/>
      <c r="DC301" s="123" t="str">
        <f t="shared" si="552"/>
        <v/>
      </c>
      <c r="DD301" s="123" t="str">
        <f t="shared" si="553"/>
        <v/>
      </c>
      <c r="DE301" s="97" t="str">
        <f t="shared" ca="1" si="554"/>
        <v/>
      </c>
      <c r="DF301" s="98" t="str">
        <f>IF(DH301&lt;&gt;"",VLOOKUP($P301&amp;" | "&amp;DF$6,'Job Master'!$F$12:$J$102,5,0),"")</f>
        <v/>
      </c>
      <c r="DG301" s="19" t="str">
        <f>IF(DH301&lt;&gt;"",VLOOKUP($P301&amp;" | "&amp;DF$6,'Job Master'!$F$12:$J$102,3,0),"")</f>
        <v/>
      </c>
      <c r="DH301" s="19" t="str">
        <f>IFERROR(IF(AND(DO301&lt;&gt;"",VLOOKUP($P301&amp;" | "&amp;DF$6,'Job Master'!$F$12:$I$102,4,0)&lt;&gt;""),IF(WEEKDAY(DO301-VLOOKUP($P301&amp;" | "&amp;DF$6,'Job Master'!$F$12:$I$102,4,0))&lt;&gt;7,DO301-VLOOKUP($P301&amp;" | "&amp;DF$6,'Job Master'!$F$12:$I$102,4,0),DO301-VLOOKUP($P301&amp;" | "&amp;DF$6,'Job Master'!$F$12:$I$102,4,0)-1),""),"")</f>
        <v/>
      </c>
      <c r="DI301" s="73"/>
      <c r="DJ301" s="123" t="str">
        <f t="shared" si="555"/>
        <v/>
      </c>
      <c r="DK301" s="123" t="str">
        <f t="shared" si="556"/>
        <v/>
      </c>
      <c r="DL301" s="97" t="str">
        <f t="shared" ca="1" si="557"/>
        <v/>
      </c>
      <c r="DM301" s="98" t="str">
        <f>IF(DO301&lt;&gt;"",VLOOKUP($P301&amp;" | "&amp;DM$6,'Job Master'!$F$12:$J$102,5,0),"")</f>
        <v/>
      </c>
      <c r="DN301" s="19" t="str">
        <f>IF(DO301&lt;&gt;"",VLOOKUP($P301&amp;" | "&amp;DM$6,'Job Master'!$F$12:$J$102,3,0),"")</f>
        <v/>
      </c>
      <c r="DO301" s="19" t="str">
        <f>IFERROR(IF(AND(DT301&lt;&gt;"",VLOOKUP($P301&amp;" | "&amp;DM$6,'Job Master'!$F$12:$I$102,4,0)&lt;&gt;""),IF(WEEKDAY(DT301-VLOOKUP($P301&amp;" | "&amp;DM$6,'Job Master'!$F$12:$I$102,4,0))&lt;&gt;7,DT301-VLOOKUP($P301&amp;" | "&amp;DM$6,'Job Master'!$F$12:$I$102,4,0),DT301-VLOOKUP($P301&amp;" | "&amp;DM$6,'Job Master'!$F$12:$I$102,4,0)-1),""),"")</f>
        <v/>
      </c>
      <c r="DP301" s="73"/>
      <c r="DQ301" s="123" t="str">
        <f t="shared" si="558"/>
        <v/>
      </c>
      <c r="DR301" s="123" t="str">
        <f t="shared" si="559"/>
        <v/>
      </c>
      <c r="DS301" s="97" t="str">
        <f t="shared" ca="1" si="560"/>
        <v/>
      </c>
      <c r="DT301" s="70" t="str">
        <f t="shared" si="561"/>
        <v/>
      </c>
      <c r="DU301" s="90"/>
      <c r="DV301" s="123" t="str">
        <f t="shared" si="562"/>
        <v/>
      </c>
      <c r="DW301" s="123" t="str">
        <f t="shared" si="563"/>
        <v/>
      </c>
      <c r="DX301" s="132" t="str">
        <f t="shared" ref="DX301" ca="1" si="610">IF(DT301&lt;&gt;"",IF(WEEKNUM(DT301)=WEEKNUM(TODAY()),"This Week",IF(WEEKNUM(DT301)=WEEKNUM(TODAY())+1,"Next Week",IF(WEEKNUM(DT301)=WEEKNUM(TODAY())-1,"Previous Week",""))),"")</f>
        <v/>
      </c>
      <c r="DY301" s="134" t="str">
        <f t="shared" si="565"/>
        <v/>
      </c>
      <c r="DZ301" s="95"/>
      <c r="EB301" s="8" t="str">
        <f t="shared" si="571"/>
        <v/>
      </c>
      <c r="EC301" s="8" t="str">
        <f>IF(O301&lt;&gt;"",VLOOKUP(O301,'Job Master'!$N$12:$O$18,2,0),"")</f>
        <v/>
      </c>
      <c r="ED301" s="8">
        <f t="shared" si="572"/>
        <v>19.5</v>
      </c>
      <c r="EE301" s="8">
        <f t="shared" si="573"/>
        <v>6</v>
      </c>
      <c r="EF301" s="8">
        <f t="shared" si="574"/>
        <v>-1726.5</v>
      </c>
      <c r="EG301" s="8" t="str">
        <f t="shared" si="575"/>
        <v/>
      </c>
      <c r="EH301" s="8" t="str">
        <f t="shared" si="576"/>
        <v/>
      </c>
    </row>
    <row r="302" spans="2:138" x14ac:dyDescent="0.3">
      <c r="B302" s="112"/>
      <c r="C302" s="27"/>
      <c r="D302" s="7" t="str">
        <f t="shared" si="513"/>
        <v/>
      </c>
      <c r="E302" s="25"/>
      <c r="F302" s="7" t="str">
        <f t="shared" si="513"/>
        <v/>
      </c>
      <c r="G302" s="25"/>
      <c r="H302" s="7" t="str">
        <f t="shared" si="513"/>
        <v/>
      </c>
      <c r="I302" s="25"/>
      <c r="J302" s="7" t="str">
        <f t="shared" si="513"/>
        <v/>
      </c>
      <c r="K302" s="25"/>
      <c r="L302" s="7" t="str">
        <f t="shared" si="514"/>
        <v/>
      </c>
      <c r="M302" s="25"/>
      <c r="N302" s="7" t="str">
        <f t="shared" si="515"/>
        <v/>
      </c>
      <c r="O302" s="81"/>
      <c r="P302" s="81" t="str">
        <f t="shared" si="516"/>
        <v/>
      </c>
      <c r="Q302" s="81"/>
      <c r="R302" s="7" t="str">
        <f t="shared" si="517"/>
        <v/>
      </c>
      <c r="S302" s="25"/>
      <c r="T302" s="7" t="str">
        <f t="shared" si="518"/>
        <v/>
      </c>
      <c r="U302" s="25"/>
      <c r="V302" s="7" t="str">
        <f t="shared" si="519"/>
        <v/>
      </c>
      <c r="W302" s="25"/>
      <c r="X302" s="7" t="str">
        <f t="shared" si="520"/>
        <v/>
      </c>
      <c r="Y302" s="18" t="str">
        <f t="shared" si="521"/>
        <v/>
      </c>
      <c r="Z302" s="7" t="str">
        <f t="shared" si="522"/>
        <v/>
      </c>
      <c r="AA302" s="18" t="str">
        <f t="shared" si="523"/>
        <v/>
      </c>
      <c r="AB302" s="19" t="str">
        <f t="shared" si="524"/>
        <v/>
      </c>
      <c r="AC302" s="26"/>
      <c r="AD302" s="26"/>
      <c r="AE302" s="25"/>
      <c r="AF302" s="26"/>
      <c r="AG302" s="25"/>
      <c r="AH302" s="25"/>
      <c r="AI302" s="18" t="str">
        <f t="shared" si="587"/>
        <v/>
      </c>
      <c r="AJ302" s="25"/>
      <c r="AK302" s="18" t="str">
        <f t="shared" si="588"/>
        <v/>
      </c>
      <c r="AL302" s="79"/>
      <c r="AM302" s="126" t="str">
        <f t="shared" si="589"/>
        <v/>
      </c>
      <c r="AN302" s="128" t="str">
        <f>IF(AP302&lt;&gt;"",VLOOKUP($P302&amp;" | "&amp;AN$6,'Job Master'!$F$12:$J$102,5,0),"")</f>
        <v/>
      </c>
      <c r="AO302" s="19" t="str">
        <f>IF(AP302&lt;&gt;"",VLOOKUP($P302&amp;" | "&amp;AN$6,'Job Master'!$F$12:$J$102,3,0),"")</f>
        <v/>
      </c>
      <c r="AP302" s="19" t="str">
        <f>IFERROR(IF(AND(AW302&lt;&gt;"",VLOOKUP($P302&amp;" | "&amp;AN$6,'Job Master'!$F$12:$I$102,4,0)&lt;&gt;""),IF(WEEKDAY(AW302-VLOOKUP($P302&amp;" | "&amp;AN$6,'Job Master'!$F$12:$I$102,4,0))&lt;&gt;7,AW302-VLOOKUP($P302&amp;" | "&amp;AN$6,'Job Master'!$F$12:$I$102,4,0),AW302-VLOOKUP($P302&amp;" | "&amp;AN$6,'Job Master'!$F$12:$I$102,4,0)-1),""),"")</f>
        <v/>
      </c>
      <c r="AQ302" s="73"/>
      <c r="AR302" s="123" t="str">
        <f t="shared" si="525"/>
        <v/>
      </c>
      <c r="AS302" s="123" t="str">
        <f t="shared" si="526"/>
        <v/>
      </c>
      <c r="AT302" s="97" t="str">
        <f t="shared" ca="1" si="527"/>
        <v/>
      </c>
      <c r="AU302" s="98" t="str">
        <f>IF(AW302&lt;&gt;"",VLOOKUP($P302&amp;" | "&amp;AU$6,'Job Master'!$F$12:$J$102,5,0),"")</f>
        <v/>
      </c>
      <c r="AV302" s="19" t="str">
        <f>IF(AW302&lt;&gt;"",VLOOKUP($P302&amp;" | "&amp;AU$6,'Job Master'!$F$12:$J$102,3,0),"")</f>
        <v/>
      </c>
      <c r="AW302" s="19" t="str">
        <f>IFERROR(IF(AND(BD302&lt;&gt;"",VLOOKUP($P302&amp;" | "&amp;AU$6,'Job Master'!$F$12:$I$102,4,0)&lt;&gt;""),IF(WEEKDAY(BD302-VLOOKUP($P302&amp;" | "&amp;AU$6,'Job Master'!$F$12:$I$102,4,0))&lt;&gt;7,BD302-VLOOKUP($P302&amp;" | "&amp;AU$6,'Job Master'!$F$12:$I$102,4,0),BD302-VLOOKUP($P302&amp;" | "&amp;AU$6,'Job Master'!$F$12:$I$102,4,0)-1),""),"")</f>
        <v/>
      </c>
      <c r="AX302" s="73"/>
      <c r="AY302" s="123" t="str">
        <f t="shared" si="528"/>
        <v/>
      </c>
      <c r="AZ302" s="123" t="str">
        <f t="shared" si="529"/>
        <v/>
      </c>
      <c r="BA302" s="97" t="str">
        <f t="shared" ca="1" si="530"/>
        <v/>
      </c>
      <c r="BB302" s="98" t="str">
        <f>IF(BD302&lt;&gt;"",VLOOKUP($P302&amp;" | "&amp;BB$6,'Job Master'!$F$12:$J$102,5,0),"")</f>
        <v/>
      </c>
      <c r="BC302" s="19" t="str">
        <f>IF(BD302&lt;&gt;"",VLOOKUP($P302&amp;" | "&amp;BB$6,'Job Master'!$F$12:$J$102,3,0),"")</f>
        <v/>
      </c>
      <c r="BD302" s="19" t="str">
        <f>IFERROR(IF(AND(BK302&lt;&gt;"",VLOOKUP($P302&amp;" | "&amp;BB$6,'Job Master'!$F$12:$I$102,4,0)&lt;&gt;""),IF(WEEKDAY(BK302-VLOOKUP($P302&amp;" | "&amp;BB$6,'Job Master'!$F$12:$I$102,4,0))&lt;&gt;7,BK302-VLOOKUP($P302&amp;" | "&amp;BB$6,'Job Master'!$F$12:$I$102,4,0),BK302-VLOOKUP($P302&amp;" | "&amp;BB$6,'Job Master'!$F$12:$I$102,4,0)-1),""),"")</f>
        <v/>
      </c>
      <c r="BE302" s="73"/>
      <c r="BF302" s="123" t="str">
        <f t="shared" si="531"/>
        <v/>
      </c>
      <c r="BG302" s="123" t="str">
        <f t="shared" si="532"/>
        <v/>
      </c>
      <c r="BH302" s="97" t="str">
        <f t="shared" ca="1" si="533"/>
        <v/>
      </c>
      <c r="BI302" s="98" t="str">
        <f>IF(BK302&lt;&gt;"",VLOOKUP($P302&amp;" | "&amp;BI$6,'Job Master'!$F$12:$J$102,5,0),"")</f>
        <v/>
      </c>
      <c r="BJ302" s="19" t="str">
        <f>IF(BK302&lt;&gt;"",VLOOKUP($P302&amp;" | "&amp;BI$6,'Job Master'!$F$12:$J$102,3,0),"")</f>
        <v/>
      </c>
      <c r="BK302" s="19" t="str">
        <f>IFERROR(IF(AND(BR302&lt;&gt;"",VLOOKUP($P302&amp;" | "&amp;BI$6,'Job Master'!$F$12:$I$102,4,0)&lt;&gt;""),IF(WEEKDAY(BR302-VLOOKUP($P302&amp;" | "&amp;BI$6,'Job Master'!$F$12:$I$102,4,0))&lt;&gt;7,BR302-VLOOKUP($P302&amp;" | "&amp;BI$6,'Job Master'!$F$12:$I$102,4,0),BR302-VLOOKUP($P302&amp;" | "&amp;BI$6,'Job Master'!$F$12:$I$102,4,0)-1),""),"")</f>
        <v/>
      </c>
      <c r="BL302" s="73"/>
      <c r="BM302" s="123" t="str">
        <f t="shared" si="534"/>
        <v/>
      </c>
      <c r="BN302" s="123" t="str">
        <f t="shared" si="535"/>
        <v/>
      </c>
      <c r="BO302" s="97" t="str">
        <f t="shared" ca="1" si="536"/>
        <v/>
      </c>
      <c r="BP302" s="98" t="str">
        <f>IF(BR302&lt;&gt;"",VLOOKUP($P302&amp;" | "&amp;BP$6,'Job Master'!$F$12:$J$102,5,0),"")</f>
        <v/>
      </c>
      <c r="BQ302" s="19" t="str">
        <f>IF(BR302&lt;&gt;"",VLOOKUP($P302&amp;" | "&amp;BP$6,'Job Master'!$F$12:$J$102,3,0),"")</f>
        <v/>
      </c>
      <c r="BR302" s="19" t="str">
        <f>IFERROR(IF(AND(BY302&lt;&gt;"",VLOOKUP($P302&amp;" | "&amp;BP$6,'Job Master'!$F$12:$I$102,4,0)&lt;&gt;""),IF(WEEKDAY(BY302-VLOOKUP($P302&amp;" | "&amp;BP$6,'Job Master'!$F$12:$I$102,4,0))&lt;&gt;7,BY302-VLOOKUP($P302&amp;" | "&amp;BP$6,'Job Master'!$F$12:$I$102,4,0),BY302-VLOOKUP($P302&amp;" | "&amp;BP$6,'Job Master'!$F$12:$I$102,4,0)-1),""),"")</f>
        <v/>
      </c>
      <c r="BS302" s="73"/>
      <c r="BT302" s="123" t="str">
        <f t="shared" si="537"/>
        <v/>
      </c>
      <c r="BU302" s="123" t="str">
        <f t="shared" si="538"/>
        <v/>
      </c>
      <c r="BV302" s="97" t="str">
        <f t="shared" ca="1" si="539"/>
        <v/>
      </c>
      <c r="BW302" s="98" t="str">
        <f>IF(BY302&lt;&gt;"",VLOOKUP($P302&amp;" | "&amp;BW$6,'Job Master'!$F$12:$J$102,5,0),"")</f>
        <v/>
      </c>
      <c r="BX302" s="19" t="str">
        <f>IF(BY302&lt;&gt;"",VLOOKUP($P302&amp;" | "&amp;BW$6,'Job Master'!$F$12:$J$102,3,0),"")</f>
        <v/>
      </c>
      <c r="BY302" s="19" t="str">
        <f>IFERROR(IF(AND(CF302&lt;&gt;"",VLOOKUP($P302&amp;" | "&amp;BW$6,'Job Master'!$F$12:$I$102,4,0)&lt;&gt;""),IF(WEEKDAY(CF302-VLOOKUP($P302&amp;" | "&amp;BW$6,'Job Master'!$F$12:$I$102,4,0))&lt;&gt;7,CF302-VLOOKUP($P302&amp;" | "&amp;BW$6,'Job Master'!$F$12:$I$102,4,0),CF302-VLOOKUP($P302&amp;" | "&amp;BW$6,'Job Master'!$F$12:$I$102,4,0)-1),""),"")</f>
        <v/>
      </c>
      <c r="BZ302" s="73"/>
      <c r="CA302" s="123" t="str">
        <f t="shared" si="540"/>
        <v/>
      </c>
      <c r="CB302" s="123" t="str">
        <f t="shared" si="541"/>
        <v/>
      </c>
      <c r="CC302" s="97" t="str">
        <f t="shared" ca="1" si="542"/>
        <v/>
      </c>
      <c r="CD302" s="98" t="str">
        <f>IF(CF302&lt;&gt;"",VLOOKUP($P302&amp;" | "&amp;CD$6,'Job Master'!$F$12:$J$102,5,0),"")</f>
        <v/>
      </c>
      <c r="CE302" s="19" t="str">
        <f>IF(CF302&lt;&gt;"",VLOOKUP($P302&amp;" | "&amp;CD$6,'Job Master'!$F$12:$J$102,3,0),"")</f>
        <v/>
      </c>
      <c r="CF302" s="19" t="str">
        <f>IFERROR(IF(AND(CM302&lt;&gt;"",VLOOKUP($P302&amp;" | "&amp;CD$6,'Job Master'!$F$12:$I$102,4,0)&lt;&gt;""),IF(WEEKDAY(CM302-VLOOKUP($P302&amp;" | "&amp;CD$6,'Job Master'!$F$12:$I$102,4,0))&lt;&gt;7,CM302-VLOOKUP($P302&amp;" | "&amp;CD$6,'Job Master'!$F$12:$I$102,4,0),CM302-VLOOKUP($P302&amp;" | "&amp;CD$6,'Job Master'!$F$12:$I$102,4,0)-1),""),"")</f>
        <v/>
      </c>
      <c r="CG302" s="73"/>
      <c r="CH302" s="123" t="str">
        <f t="shared" si="543"/>
        <v/>
      </c>
      <c r="CI302" s="123" t="str">
        <f t="shared" si="544"/>
        <v/>
      </c>
      <c r="CJ302" s="97" t="str">
        <f t="shared" ca="1" si="545"/>
        <v/>
      </c>
      <c r="CK302" s="98" t="str">
        <f>IF(CM302&lt;&gt;"",VLOOKUP($P302&amp;" | "&amp;CK$6,'Job Master'!$F$12:$J$102,5,0),"")</f>
        <v/>
      </c>
      <c r="CL302" s="19" t="str">
        <f>IF(CM302&lt;&gt;"",VLOOKUP($P302&amp;" | "&amp;CK$6,'Job Master'!$F$12:$J$102,3,0),"")</f>
        <v/>
      </c>
      <c r="CM302" s="19" t="str">
        <f>IFERROR(IF(AND(CT302&lt;&gt;"",VLOOKUP($P302&amp;" | "&amp;CK$6,'Job Master'!$F$12:$I$102,4,0)&lt;&gt;""),IF(WEEKDAY(CT302-VLOOKUP($P302&amp;" | "&amp;CK$6,'Job Master'!$F$12:$I$102,4,0))&lt;&gt;7,CT302-VLOOKUP($P302&amp;" | "&amp;CK$6,'Job Master'!$F$12:$I$102,4,0),CT302-VLOOKUP($P302&amp;" | "&amp;CK$6,'Job Master'!$F$12:$I$102,4,0)-1),""),"")</f>
        <v/>
      </c>
      <c r="CN302" s="73"/>
      <c r="CO302" s="123" t="str">
        <f t="shared" si="546"/>
        <v/>
      </c>
      <c r="CP302" s="123" t="str">
        <f t="shared" si="547"/>
        <v/>
      </c>
      <c r="CQ302" s="97" t="str">
        <f t="shared" ca="1" si="548"/>
        <v/>
      </c>
      <c r="CR302" s="98" t="str">
        <f>IF(CT302&lt;&gt;"",VLOOKUP($P302&amp;" | "&amp;CR$6,'Job Master'!$F$12:$J$102,5,0),"")</f>
        <v/>
      </c>
      <c r="CS302" s="19" t="str">
        <f>IF(CT302&lt;&gt;"",VLOOKUP($P302&amp;" | "&amp;CR$6,'Job Master'!$F$12:$J$102,3,0),"")</f>
        <v/>
      </c>
      <c r="CT302" s="19" t="str">
        <f>IFERROR(IF(AND(DA302&lt;&gt;"",VLOOKUP($P302&amp;" | "&amp;CR$6,'Job Master'!$F$12:$I$102,4,0)&lt;&gt;""),IF(WEEKDAY(DA302-VLOOKUP($P302&amp;" | "&amp;CR$6,'Job Master'!$F$12:$I$102,4,0))&lt;&gt;7,DA302-VLOOKUP($P302&amp;" | "&amp;CR$6,'Job Master'!$F$12:$I$102,4,0),DA302-VLOOKUP($P302&amp;" | "&amp;CR$6,'Job Master'!$F$12:$I$102,4,0)-1),""),"")</f>
        <v/>
      </c>
      <c r="CU302" s="73"/>
      <c r="CV302" s="123" t="str">
        <f t="shared" si="549"/>
        <v/>
      </c>
      <c r="CW302" s="123" t="str">
        <f t="shared" si="550"/>
        <v/>
      </c>
      <c r="CX302" s="97" t="str">
        <f t="shared" ca="1" si="551"/>
        <v/>
      </c>
      <c r="CY302" s="98" t="str">
        <f>IF(DA302&lt;&gt;"",VLOOKUP($P302&amp;" | "&amp;CY$6,'Job Master'!$F$12:$J$102,5,0),"")</f>
        <v/>
      </c>
      <c r="CZ302" s="19" t="str">
        <f>IF(DA302&lt;&gt;"",VLOOKUP($P302&amp;" | "&amp;CY$6,'Job Master'!$F$12:$J$102,3,0),"")</f>
        <v/>
      </c>
      <c r="DA302" s="19" t="str">
        <f>IFERROR(IF(AND(DH302&lt;&gt;"",VLOOKUP($P302&amp;" | "&amp;CY$6,'Job Master'!$F$12:$I$102,4,0)&lt;&gt;""),IF(WEEKDAY(DH302-VLOOKUP($P302&amp;" | "&amp;CY$6,'Job Master'!$F$12:$I$102,4,0))&lt;&gt;7,DH302-VLOOKUP($P302&amp;" | "&amp;CY$6,'Job Master'!$F$12:$I$102,4,0),DH302-VLOOKUP($P302&amp;" | "&amp;CY$6,'Job Master'!$F$12:$I$102,4,0)-1),""),"")</f>
        <v/>
      </c>
      <c r="DB302" s="73"/>
      <c r="DC302" s="123" t="str">
        <f t="shared" si="552"/>
        <v/>
      </c>
      <c r="DD302" s="123" t="str">
        <f t="shared" si="553"/>
        <v/>
      </c>
      <c r="DE302" s="97" t="str">
        <f t="shared" ca="1" si="554"/>
        <v/>
      </c>
      <c r="DF302" s="98" t="str">
        <f>IF(DH302&lt;&gt;"",VLOOKUP($P302&amp;" | "&amp;DF$6,'Job Master'!$F$12:$J$102,5,0),"")</f>
        <v/>
      </c>
      <c r="DG302" s="19" t="str">
        <f>IF(DH302&lt;&gt;"",VLOOKUP($P302&amp;" | "&amp;DF$6,'Job Master'!$F$12:$J$102,3,0),"")</f>
        <v/>
      </c>
      <c r="DH302" s="19" t="str">
        <f>IFERROR(IF(AND(DO302&lt;&gt;"",VLOOKUP($P302&amp;" | "&amp;DF$6,'Job Master'!$F$12:$I$102,4,0)&lt;&gt;""),IF(WEEKDAY(DO302-VLOOKUP($P302&amp;" | "&amp;DF$6,'Job Master'!$F$12:$I$102,4,0))&lt;&gt;7,DO302-VLOOKUP($P302&amp;" | "&amp;DF$6,'Job Master'!$F$12:$I$102,4,0),DO302-VLOOKUP($P302&amp;" | "&amp;DF$6,'Job Master'!$F$12:$I$102,4,0)-1),""),"")</f>
        <v/>
      </c>
      <c r="DI302" s="73"/>
      <c r="DJ302" s="123" t="str">
        <f t="shared" si="555"/>
        <v/>
      </c>
      <c r="DK302" s="123" t="str">
        <f t="shared" si="556"/>
        <v/>
      </c>
      <c r="DL302" s="97" t="str">
        <f t="shared" ca="1" si="557"/>
        <v/>
      </c>
      <c r="DM302" s="98" t="str">
        <f>IF(DO302&lt;&gt;"",VLOOKUP($P302&amp;" | "&amp;DM$6,'Job Master'!$F$12:$J$102,5,0),"")</f>
        <v/>
      </c>
      <c r="DN302" s="19" t="str">
        <f>IF(DO302&lt;&gt;"",VLOOKUP($P302&amp;" | "&amp;DM$6,'Job Master'!$F$12:$J$102,3,0),"")</f>
        <v/>
      </c>
      <c r="DO302" s="19" t="str">
        <f>IFERROR(IF(AND(DT302&lt;&gt;"",VLOOKUP($P302&amp;" | "&amp;DM$6,'Job Master'!$F$12:$I$102,4,0)&lt;&gt;""),IF(WEEKDAY(DT302-VLOOKUP($P302&amp;" | "&amp;DM$6,'Job Master'!$F$12:$I$102,4,0))&lt;&gt;7,DT302-VLOOKUP($P302&amp;" | "&amp;DM$6,'Job Master'!$F$12:$I$102,4,0),DT302-VLOOKUP($P302&amp;" | "&amp;DM$6,'Job Master'!$F$12:$I$102,4,0)-1),""),"")</f>
        <v/>
      </c>
      <c r="DP302" s="73"/>
      <c r="DQ302" s="123" t="str">
        <f t="shared" si="558"/>
        <v/>
      </c>
      <c r="DR302" s="123" t="str">
        <f t="shared" si="559"/>
        <v/>
      </c>
      <c r="DS302" s="97" t="str">
        <f t="shared" ca="1" si="560"/>
        <v/>
      </c>
      <c r="DT302" s="70" t="str">
        <f t="shared" si="561"/>
        <v/>
      </c>
      <c r="DU302" s="90"/>
      <c r="DV302" s="123" t="str">
        <f t="shared" si="562"/>
        <v/>
      </c>
      <c r="DW302" s="123" t="str">
        <f t="shared" si="563"/>
        <v/>
      </c>
      <c r="DX302" s="132" t="str">
        <f t="shared" ref="DX302" ca="1" si="611">IF(DT302&lt;&gt;"",IF(WEEKNUM(DT302)=WEEKNUM(TODAY()),"This Week",IF(WEEKNUM(DT302)=WEEKNUM(TODAY())+1,"Next Week",IF(WEEKNUM(DT302)=WEEKNUM(TODAY())-1,"Previous Week",""))),"")</f>
        <v/>
      </c>
      <c r="DY302" s="134" t="str">
        <f t="shared" si="565"/>
        <v/>
      </c>
      <c r="DZ302" s="95"/>
      <c r="EB302" s="8" t="str">
        <f t="shared" si="571"/>
        <v/>
      </c>
      <c r="EC302" s="8" t="str">
        <f>IF(O302&lt;&gt;"",VLOOKUP(O302,'Job Master'!$N$12:$O$18,2,0),"")</f>
        <v/>
      </c>
      <c r="ED302" s="8">
        <f t="shared" si="572"/>
        <v>19.5</v>
      </c>
      <c r="EE302" s="8">
        <f t="shared" si="573"/>
        <v>6</v>
      </c>
      <c r="EF302" s="8">
        <f t="shared" si="574"/>
        <v>-1732.5</v>
      </c>
      <c r="EG302" s="8" t="str">
        <f t="shared" si="575"/>
        <v/>
      </c>
      <c r="EH302" s="8" t="str">
        <f t="shared" si="576"/>
        <v/>
      </c>
    </row>
    <row r="303" spans="2:138" x14ac:dyDescent="0.3">
      <c r="B303" s="112"/>
      <c r="C303" s="27"/>
      <c r="D303" s="7" t="str">
        <f t="shared" si="513"/>
        <v/>
      </c>
      <c r="E303" s="25"/>
      <c r="F303" s="7" t="str">
        <f t="shared" si="513"/>
        <v/>
      </c>
      <c r="G303" s="25"/>
      <c r="H303" s="7" t="str">
        <f t="shared" si="513"/>
        <v/>
      </c>
      <c r="I303" s="25"/>
      <c r="J303" s="7" t="str">
        <f t="shared" si="513"/>
        <v/>
      </c>
      <c r="K303" s="25"/>
      <c r="L303" s="7" t="str">
        <f t="shared" si="514"/>
        <v/>
      </c>
      <c r="M303" s="25"/>
      <c r="N303" s="7" t="str">
        <f t="shared" si="515"/>
        <v/>
      </c>
      <c r="O303" s="81"/>
      <c r="P303" s="81" t="str">
        <f t="shared" si="516"/>
        <v/>
      </c>
      <c r="Q303" s="81"/>
      <c r="R303" s="7" t="str">
        <f t="shared" si="517"/>
        <v/>
      </c>
      <c r="S303" s="25"/>
      <c r="T303" s="7" t="str">
        <f t="shared" si="518"/>
        <v/>
      </c>
      <c r="U303" s="25"/>
      <c r="V303" s="7" t="str">
        <f t="shared" si="519"/>
        <v/>
      </c>
      <c r="W303" s="25"/>
      <c r="X303" s="7" t="str">
        <f t="shared" si="520"/>
        <v/>
      </c>
      <c r="Y303" s="18" t="str">
        <f t="shared" si="521"/>
        <v/>
      </c>
      <c r="Z303" s="7" t="str">
        <f t="shared" si="522"/>
        <v/>
      </c>
      <c r="AA303" s="18" t="str">
        <f t="shared" si="523"/>
        <v/>
      </c>
      <c r="AB303" s="19" t="str">
        <f t="shared" si="524"/>
        <v/>
      </c>
      <c r="AC303" s="26"/>
      <c r="AD303" s="26"/>
      <c r="AE303" s="25"/>
      <c r="AF303" s="26"/>
      <c r="AG303" s="25"/>
      <c r="AH303" s="25"/>
      <c r="AI303" s="18" t="str">
        <f t="shared" si="587"/>
        <v/>
      </c>
      <c r="AJ303" s="25"/>
      <c r="AK303" s="18" t="str">
        <f t="shared" si="588"/>
        <v/>
      </c>
      <c r="AL303" s="79"/>
      <c r="AM303" s="126" t="str">
        <f t="shared" si="589"/>
        <v/>
      </c>
      <c r="AN303" s="128" t="str">
        <f>IF(AP303&lt;&gt;"",VLOOKUP($P303&amp;" | "&amp;AN$6,'Job Master'!$F$12:$J$102,5,0),"")</f>
        <v/>
      </c>
      <c r="AO303" s="19" t="str">
        <f>IF(AP303&lt;&gt;"",VLOOKUP($P303&amp;" | "&amp;AN$6,'Job Master'!$F$12:$J$102,3,0),"")</f>
        <v/>
      </c>
      <c r="AP303" s="19" t="str">
        <f>IFERROR(IF(AND(AW303&lt;&gt;"",VLOOKUP($P303&amp;" | "&amp;AN$6,'Job Master'!$F$12:$I$102,4,0)&lt;&gt;""),IF(WEEKDAY(AW303-VLOOKUP($P303&amp;" | "&amp;AN$6,'Job Master'!$F$12:$I$102,4,0))&lt;&gt;7,AW303-VLOOKUP($P303&amp;" | "&amp;AN$6,'Job Master'!$F$12:$I$102,4,0),AW303-VLOOKUP($P303&amp;" | "&amp;AN$6,'Job Master'!$F$12:$I$102,4,0)-1),""),"")</f>
        <v/>
      </c>
      <c r="AQ303" s="73"/>
      <c r="AR303" s="123" t="str">
        <f t="shared" si="525"/>
        <v/>
      </c>
      <c r="AS303" s="123" t="str">
        <f t="shared" si="526"/>
        <v/>
      </c>
      <c r="AT303" s="97" t="str">
        <f t="shared" ca="1" si="527"/>
        <v/>
      </c>
      <c r="AU303" s="98" t="str">
        <f>IF(AW303&lt;&gt;"",VLOOKUP($P303&amp;" | "&amp;AU$6,'Job Master'!$F$12:$J$102,5,0),"")</f>
        <v/>
      </c>
      <c r="AV303" s="19" t="str">
        <f>IF(AW303&lt;&gt;"",VLOOKUP($P303&amp;" | "&amp;AU$6,'Job Master'!$F$12:$J$102,3,0),"")</f>
        <v/>
      </c>
      <c r="AW303" s="19" t="str">
        <f>IFERROR(IF(AND(BD303&lt;&gt;"",VLOOKUP($P303&amp;" | "&amp;AU$6,'Job Master'!$F$12:$I$102,4,0)&lt;&gt;""),IF(WEEKDAY(BD303-VLOOKUP($P303&amp;" | "&amp;AU$6,'Job Master'!$F$12:$I$102,4,0))&lt;&gt;7,BD303-VLOOKUP($P303&amp;" | "&amp;AU$6,'Job Master'!$F$12:$I$102,4,0),BD303-VLOOKUP($P303&amp;" | "&amp;AU$6,'Job Master'!$F$12:$I$102,4,0)-1),""),"")</f>
        <v/>
      </c>
      <c r="AX303" s="73"/>
      <c r="AY303" s="123" t="str">
        <f t="shared" si="528"/>
        <v/>
      </c>
      <c r="AZ303" s="123" t="str">
        <f t="shared" si="529"/>
        <v/>
      </c>
      <c r="BA303" s="97" t="str">
        <f t="shared" ca="1" si="530"/>
        <v/>
      </c>
      <c r="BB303" s="98" t="str">
        <f>IF(BD303&lt;&gt;"",VLOOKUP($P303&amp;" | "&amp;BB$6,'Job Master'!$F$12:$J$102,5,0),"")</f>
        <v/>
      </c>
      <c r="BC303" s="19" t="str">
        <f>IF(BD303&lt;&gt;"",VLOOKUP($P303&amp;" | "&amp;BB$6,'Job Master'!$F$12:$J$102,3,0),"")</f>
        <v/>
      </c>
      <c r="BD303" s="19" t="str">
        <f>IFERROR(IF(AND(BK303&lt;&gt;"",VLOOKUP($P303&amp;" | "&amp;BB$6,'Job Master'!$F$12:$I$102,4,0)&lt;&gt;""),IF(WEEKDAY(BK303-VLOOKUP($P303&amp;" | "&amp;BB$6,'Job Master'!$F$12:$I$102,4,0))&lt;&gt;7,BK303-VLOOKUP($P303&amp;" | "&amp;BB$6,'Job Master'!$F$12:$I$102,4,0),BK303-VLOOKUP($P303&amp;" | "&amp;BB$6,'Job Master'!$F$12:$I$102,4,0)-1),""),"")</f>
        <v/>
      </c>
      <c r="BE303" s="73"/>
      <c r="BF303" s="123" t="str">
        <f t="shared" si="531"/>
        <v/>
      </c>
      <c r="BG303" s="123" t="str">
        <f t="shared" si="532"/>
        <v/>
      </c>
      <c r="BH303" s="97" t="str">
        <f t="shared" ca="1" si="533"/>
        <v/>
      </c>
      <c r="BI303" s="98" t="str">
        <f>IF(BK303&lt;&gt;"",VLOOKUP($P303&amp;" | "&amp;BI$6,'Job Master'!$F$12:$J$102,5,0),"")</f>
        <v/>
      </c>
      <c r="BJ303" s="19" t="str">
        <f>IF(BK303&lt;&gt;"",VLOOKUP($P303&amp;" | "&amp;BI$6,'Job Master'!$F$12:$J$102,3,0),"")</f>
        <v/>
      </c>
      <c r="BK303" s="19" t="str">
        <f>IFERROR(IF(AND(BR303&lt;&gt;"",VLOOKUP($P303&amp;" | "&amp;BI$6,'Job Master'!$F$12:$I$102,4,0)&lt;&gt;""),IF(WEEKDAY(BR303-VLOOKUP($P303&amp;" | "&amp;BI$6,'Job Master'!$F$12:$I$102,4,0))&lt;&gt;7,BR303-VLOOKUP($P303&amp;" | "&amp;BI$6,'Job Master'!$F$12:$I$102,4,0),BR303-VLOOKUP($P303&amp;" | "&amp;BI$6,'Job Master'!$F$12:$I$102,4,0)-1),""),"")</f>
        <v/>
      </c>
      <c r="BL303" s="73"/>
      <c r="BM303" s="123" t="str">
        <f t="shared" si="534"/>
        <v/>
      </c>
      <c r="BN303" s="123" t="str">
        <f t="shared" si="535"/>
        <v/>
      </c>
      <c r="BO303" s="97" t="str">
        <f t="shared" ca="1" si="536"/>
        <v/>
      </c>
      <c r="BP303" s="98" t="str">
        <f>IF(BR303&lt;&gt;"",VLOOKUP($P303&amp;" | "&amp;BP$6,'Job Master'!$F$12:$J$102,5,0),"")</f>
        <v/>
      </c>
      <c r="BQ303" s="19" t="str">
        <f>IF(BR303&lt;&gt;"",VLOOKUP($P303&amp;" | "&amp;BP$6,'Job Master'!$F$12:$J$102,3,0),"")</f>
        <v/>
      </c>
      <c r="BR303" s="19" t="str">
        <f>IFERROR(IF(AND(BY303&lt;&gt;"",VLOOKUP($P303&amp;" | "&amp;BP$6,'Job Master'!$F$12:$I$102,4,0)&lt;&gt;""),IF(WEEKDAY(BY303-VLOOKUP($P303&amp;" | "&amp;BP$6,'Job Master'!$F$12:$I$102,4,0))&lt;&gt;7,BY303-VLOOKUP($P303&amp;" | "&amp;BP$6,'Job Master'!$F$12:$I$102,4,0),BY303-VLOOKUP($P303&amp;" | "&amp;BP$6,'Job Master'!$F$12:$I$102,4,0)-1),""),"")</f>
        <v/>
      </c>
      <c r="BS303" s="73"/>
      <c r="BT303" s="123" t="str">
        <f t="shared" si="537"/>
        <v/>
      </c>
      <c r="BU303" s="123" t="str">
        <f t="shared" si="538"/>
        <v/>
      </c>
      <c r="BV303" s="97" t="str">
        <f t="shared" ca="1" si="539"/>
        <v/>
      </c>
      <c r="BW303" s="98" t="str">
        <f>IF(BY303&lt;&gt;"",VLOOKUP($P303&amp;" | "&amp;BW$6,'Job Master'!$F$12:$J$102,5,0),"")</f>
        <v/>
      </c>
      <c r="BX303" s="19" t="str">
        <f>IF(BY303&lt;&gt;"",VLOOKUP($P303&amp;" | "&amp;BW$6,'Job Master'!$F$12:$J$102,3,0),"")</f>
        <v/>
      </c>
      <c r="BY303" s="19" t="str">
        <f>IFERROR(IF(AND(CF303&lt;&gt;"",VLOOKUP($P303&amp;" | "&amp;BW$6,'Job Master'!$F$12:$I$102,4,0)&lt;&gt;""),IF(WEEKDAY(CF303-VLOOKUP($P303&amp;" | "&amp;BW$6,'Job Master'!$F$12:$I$102,4,0))&lt;&gt;7,CF303-VLOOKUP($P303&amp;" | "&amp;BW$6,'Job Master'!$F$12:$I$102,4,0),CF303-VLOOKUP($P303&amp;" | "&amp;BW$6,'Job Master'!$F$12:$I$102,4,0)-1),""),"")</f>
        <v/>
      </c>
      <c r="BZ303" s="73"/>
      <c r="CA303" s="123" t="str">
        <f t="shared" si="540"/>
        <v/>
      </c>
      <c r="CB303" s="123" t="str">
        <f t="shared" si="541"/>
        <v/>
      </c>
      <c r="CC303" s="97" t="str">
        <f t="shared" ca="1" si="542"/>
        <v/>
      </c>
      <c r="CD303" s="98" t="str">
        <f>IF(CF303&lt;&gt;"",VLOOKUP($P303&amp;" | "&amp;CD$6,'Job Master'!$F$12:$J$102,5,0),"")</f>
        <v/>
      </c>
      <c r="CE303" s="19" t="str">
        <f>IF(CF303&lt;&gt;"",VLOOKUP($P303&amp;" | "&amp;CD$6,'Job Master'!$F$12:$J$102,3,0),"")</f>
        <v/>
      </c>
      <c r="CF303" s="19" t="str">
        <f>IFERROR(IF(AND(CM303&lt;&gt;"",VLOOKUP($P303&amp;" | "&amp;CD$6,'Job Master'!$F$12:$I$102,4,0)&lt;&gt;""),IF(WEEKDAY(CM303-VLOOKUP($P303&amp;" | "&amp;CD$6,'Job Master'!$F$12:$I$102,4,0))&lt;&gt;7,CM303-VLOOKUP($P303&amp;" | "&amp;CD$6,'Job Master'!$F$12:$I$102,4,0),CM303-VLOOKUP($P303&amp;" | "&amp;CD$6,'Job Master'!$F$12:$I$102,4,0)-1),""),"")</f>
        <v/>
      </c>
      <c r="CG303" s="73"/>
      <c r="CH303" s="123" t="str">
        <f t="shared" si="543"/>
        <v/>
      </c>
      <c r="CI303" s="123" t="str">
        <f t="shared" si="544"/>
        <v/>
      </c>
      <c r="CJ303" s="97" t="str">
        <f t="shared" ca="1" si="545"/>
        <v/>
      </c>
      <c r="CK303" s="98" t="str">
        <f>IF(CM303&lt;&gt;"",VLOOKUP($P303&amp;" | "&amp;CK$6,'Job Master'!$F$12:$J$102,5,0),"")</f>
        <v/>
      </c>
      <c r="CL303" s="19" t="str">
        <f>IF(CM303&lt;&gt;"",VLOOKUP($P303&amp;" | "&amp;CK$6,'Job Master'!$F$12:$J$102,3,0),"")</f>
        <v/>
      </c>
      <c r="CM303" s="19" t="str">
        <f>IFERROR(IF(AND(CT303&lt;&gt;"",VLOOKUP($P303&amp;" | "&amp;CK$6,'Job Master'!$F$12:$I$102,4,0)&lt;&gt;""),IF(WEEKDAY(CT303-VLOOKUP($P303&amp;" | "&amp;CK$6,'Job Master'!$F$12:$I$102,4,0))&lt;&gt;7,CT303-VLOOKUP($P303&amp;" | "&amp;CK$6,'Job Master'!$F$12:$I$102,4,0),CT303-VLOOKUP($P303&amp;" | "&amp;CK$6,'Job Master'!$F$12:$I$102,4,0)-1),""),"")</f>
        <v/>
      </c>
      <c r="CN303" s="73"/>
      <c r="CO303" s="123" t="str">
        <f t="shared" si="546"/>
        <v/>
      </c>
      <c r="CP303" s="123" t="str">
        <f t="shared" si="547"/>
        <v/>
      </c>
      <c r="CQ303" s="97" t="str">
        <f t="shared" ca="1" si="548"/>
        <v/>
      </c>
      <c r="CR303" s="98" t="str">
        <f>IF(CT303&lt;&gt;"",VLOOKUP($P303&amp;" | "&amp;CR$6,'Job Master'!$F$12:$J$102,5,0),"")</f>
        <v/>
      </c>
      <c r="CS303" s="19" t="str">
        <f>IF(CT303&lt;&gt;"",VLOOKUP($P303&amp;" | "&amp;CR$6,'Job Master'!$F$12:$J$102,3,0),"")</f>
        <v/>
      </c>
      <c r="CT303" s="19" t="str">
        <f>IFERROR(IF(AND(DA303&lt;&gt;"",VLOOKUP($P303&amp;" | "&amp;CR$6,'Job Master'!$F$12:$I$102,4,0)&lt;&gt;""),IF(WEEKDAY(DA303-VLOOKUP($P303&amp;" | "&amp;CR$6,'Job Master'!$F$12:$I$102,4,0))&lt;&gt;7,DA303-VLOOKUP($P303&amp;" | "&amp;CR$6,'Job Master'!$F$12:$I$102,4,0),DA303-VLOOKUP($P303&amp;" | "&amp;CR$6,'Job Master'!$F$12:$I$102,4,0)-1),""),"")</f>
        <v/>
      </c>
      <c r="CU303" s="73"/>
      <c r="CV303" s="123" t="str">
        <f t="shared" si="549"/>
        <v/>
      </c>
      <c r="CW303" s="123" t="str">
        <f t="shared" si="550"/>
        <v/>
      </c>
      <c r="CX303" s="97" t="str">
        <f t="shared" ca="1" si="551"/>
        <v/>
      </c>
      <c r="CY303" s="98" t="str">
        <f>IF(DA303&lt;&gt;"",VLOOKUP($P303&amp;" | "&amp;CY$6,'Job Master'!$F$12:$J$102,5,0),"")</f>
        <v/>
      </c>
      <c r="CZ303" s="19" t="str">
        <f>IF(DA303&lt;&gt;"",VLOOKUP($P303&amp;" | "&amp;CY$6,'Job Master'!$F$12:$J$102,3,0),"")</f>
        <v/>
      </c>
      <c r="DA303" s="19" t="str">
        <f>IFERROR(IF(AND(DH303&lt;&gt;"",VLOOKUP($P303&amp;" | "&amp;CY$6,'Job Master'!$F$12:$I$102,4,0)&lt;&gt;""),IF(WEEKDAY(DH303-VLOOKUP($P303&amp;" | "&amp;CY$6,'Job Master'!$F$12:$I$102,4,0))&lt;&gt;7,DH303-VLOOKUP($P303&amp;" | "&amp;CY$6,'Job Master'!$F$12:$I$102,4,0),DH303-VLOOKUP($P303&amp;" | "&amp;CY$6,'Job Master'!$F$12:$I$102,4,0)-1),""),"")</f>
        <v/>
      </c>
      <c r="DB303" s="73"/>
      <c r="DC303" s="123" t="str">
        <f t="shared" si="552"/>
        <v/>
      </c>
      <c r="DD303" s="123" t="str">
        <f t="shared" si="553"/>
        <v/>
      </c>
      <c r="DE303" s="97" t="str">
        <f t="shared" ca="1" si="554"/>
        <v/>
      </c>
      <c r="DF303" s="98" t="str">
        <f>IF(DH303&lt;&gt;"",VLOOKUP($P303&amp;" | "&amp;DF$6,'Job Master'!$F$12:$J$102,5,0),"")</f>
        <v/>
      </c>
      <c r="DG303" s="19" t="str">
        <f>IF(DH303&lt;&gt;"",VLOOKUP($P303&amp;" | "&amp;DF$6,'Job Master'!$F$12:$J$102,3,0),"")</f>
        <v/>
      </c>
      <c r="DH303" s="19" t="str">
        <f>IFERROR(IF(AND(DO303&lt;&gt;"",VLOOKUP($P303&amp;" | "&amp;DF$6,'Job Master'!$F$12:$I$102,4,0)&lt;&gt;""),IF(WEEKDAY(DO303-VLOOKUP($P303&amp;" | "&amp;DF$6,'Job Master'!$F$12:$I$102,4,0))&lt;&gt;7,DO303-VLOOKUP($P303&amp;" | "&amp;DF$6,'Job Master'!$F$12:$I$102,4,0),DO303-VLOOKUP($P303&amp;" | "&amp;DF$6,'Job Master'!$F$12:$I$102,4,0)-1),""),"")</f>
        <v/>
      </c>
      <c r="DI303" s="73"/>
      <c r="DJ303" s="123" t="str">
        <f t="shared" si="555"/>
        <v/>
      </c>
      <c r="DK303" s="123" t="str">
        <f t="shared" si="556"/>
        <v/>
      </c>
      <c r="DL303" s="97" t="str">
        <f t="shared" ca="1" si="557"/>
        <v/>
      </c>
      <c r="DM303" s="98" t="str">
        <f>IF(DO303&lt;&gt;"",VLOOKUP($P303&amp;" | "&amp;DM$6,'Job Master'!$F$12:$J$102,5,0),"")</f>
        <v/>
      </c>
      <c r="DN303" s="19" t="str">
        <f>IF(DO303&lt;&gt;"",VLOOKUP($P303&amp;" | "&amp;DM$6,'Job Master'!$F$12:$J$102,3,0),"")</f>
        <v/>
      </c>
      <c r="DO303" s="19" t="str">
        <f>IFERROR(IF(AND(DT303&lt;&gt;"",VLOOKUP($P303&amp;" | "&amp;DM$6,'Job Master'!$F$12:$I$102,4,0)&lt;&gt;""),IF(WEEKDAY(DT303-VLOOKUP($P303&amp;" | "&amp;DM$6,'Job Master'!$F$12:$I$102,4,0))&lt;&gt;7,DT303-VLOOKUP($P303&amp;" | "&amp;DM$6,'Job Master'!$F$12:$I$102,4,0),DT303-VLOOKUP($P303&amp;" | "&amp;DM$6,'Job Master'!$F$12:$I$102,4,0)-1),""),"")</f>
        <v/>
      </c>
      <c r="DP303" s="73"/>
      <c r="DQ303" s="123" t="str">
        <f t="shared" si="558"/>
        <v/>
      </c>
      <c r="DR303" s="123" t="str">
        <f t="shared" si="559"/>
        <v/>
      </c>
      <c r="DS303" s="97" t="str">
        <f t="shared" ca="1" si="560"/>
        <v/>
      </c>
      <c r="DT303" s="70" t="str">
        <f t="shared" si="561"/>
        <v/>
      </c>
      <c r="DU303" s="90"/>
      <c r="DV303" s="123" t="str">
        <f t="shared" si="562"/>
        <v/>
      </c>
      <c r="DW303" s="123" t="str">
        <f t="shared" si="563"/>
        <v/>
      </c>
      <c r="DX303" s="132" t="str">
        <f t="shared" ref="DX303" ca="1" si="612">IF(DT303&lt;&gt;"",IF(WEEKNUM(DT303)=WEEKNUM(TODAY()),"This Week",IF(WEEKNUM(DT303)=WEEKNUM(TODAY())+1,"Next Week",IF(WEEKNUM(DT303)=WEEKNUM(TODAY())-1,"Previous Week",""))),"")</f>
        <v/>
      </c>
      <c r="DY303" s="134" t="str">
        <f t="shared" si="565"/>
        <v/>
      </c>
      <c r="DZ303" s="95"/>
      <c r="EB303" s="8" t="str">
        <f t="shared" si="571"/>
        <v/>
      </c>
      <c r="EC303" s="8" t="str">
        <f>IF(O303&lt;&gt;"",VLOOKUP(O303,'Job Master'!$N$12:$O$18,2,0),"")</f>
        <v/>
      </c>
      <c r="ED303" s="8">
        <f t="shared" si="572"/>
        <v>19.5</v>
      </c>
      <c r="EE303" s="8">
        <f t="shared" si="573"/>
        <v>6</v>
      </c>
      <c r="EF303" s="8">
        <f t="shared" si="574"/>
        <v>-1738.5</v>
      </c>
      <c r="EG303" s="8" t="str">
        <f t="shared" si="575"/>
        <v/>
      </c>
      <c r="EH303" s="8" t="str">
        <f t="shared" si="576"/>
        <v/>
      </c>
    </row>
    <row r="304" spans="2:138" x14ac:dyDescent="0.3">
      <c r="B304" s="112"/>
      <c r="C304" s="27"/>
      <c r="D304" s="7" t="str">
        <f t="shared" si="513"/>
        <v/>
      </c>
      <c r="E304" s="25"/>
      <c r="F304" s="7" t="str">
        <f t="shared" si="513"/>
        <v/>
      </c>
      <c r="G304" s="25"/>
      <c r="H304" s="7" t="str">
        <f t="shared" si="513"/>
        <v/>
      </c>
      <c r="I304" s="25"/>
      <c r="J304" s="7" t="str">
        <f t="shared" si="513"/>
        <v/>
      </c>
      <c r="K304" s="25"/>
      <c r="L304" s="7" t="str">
        <f t="shared" si="514"/>
        <v/>
      </c>
      <c r="M304" s="25"/>
      <c r="N304" s="7" t="str">
        <f t="shared" si="515"/>
        <v/>
      </c>
      <c r="O304" s="81"/>
      <c r="P304" s="81" t="str">
        <f t="shared" si="516"/>
        <v/>
      </c>
      <c r="Q304" s="81"/>
      <c r="R304" s="7" t="str">
        <f t="shared" si="517"/>
        <v/>
      </c>
      <c r="S304" s="25"/>
      <c r="T304" s="7" t="str">
        <f t="shared" si="518"/>
        <v/>
      </c>
      <c r="U304" s="25"/>
      <c r="V304" s="7" t="str">
        <f t="shared" si="519"/>
        <v/>
      </c>
      <c r="W304" s="25"/>
      <c r="X304" s="7" t="str">
        <f t="shared" si="520"/>
        <v/>
      </c>
      <c r="Y304" s="18" t="str">
        <f t="shared" si="521"/>
        <v/>
      </c>
      <c r="Z304" s="7" t="str">
        <f t="shared" si="522"/>
        <v/>
      </c>
      <c r="AA304" s="18" t="str">
        <f t="shared" si="523"/>
        <v/>
      </c>
      <c r="AB304" s="19" t="str">
        <f t="shared" si="524"/>
        <v/>
      </c>
      <c r="AC304" s="26"/>
      <c r="AD304" s="26"/>
      <c r="AE304" s="25"/>
      <c r="AF304" s="26"/>
      <c r="AG304" s="25"/>
      <c r="AH304" s="25"/>
      <c r="AI304" s="18" t="str">
        <f t="shared" si="587"/>
        <v/>
      </c>
      <c r="AJ304" s="25"/>
      <c r="AK304" s="18" t="str">
        <f t="shared" si="588"/>
        <v/>
      </c>
      <c r="AL304" s="79"/>
      <c r="AM304" s="126" t="str">
        <f t="shared" si="589"/>
        <v/>
      </c>
      <c r="AN304" s="128" t="str">
        <f>IF(AP304&lt;&gt;"",VLOOKUP($P304&amp;" | "&amp;AN$6,'Job Master'!$F$12:$J$102,5,0),"")</f>
        <v/>
      </c>
      <c r="AO304" s="19" t="str">
        <f>IF(AP304&lt;&gt;"",VLOOKUP($P304&amp;" | "&amp;AN$6,'Job Master'!$F$12:$J$102,3,0),"")</f>
        <v/>
      </c>
      <c r="AP304" s="19" t="str">
        <f>IFERROR(IF(AND(AW304&lt;&gt;"",VLOOKUP($P304&amp;" | "&amp;AN$6,'Job Master'!$F$12:$I$102,4,0)&lt;&gt;""),IF(WEEKDAY(AW304-VLOOKUP($P304&amp;" | "&amp;AN$6,'Job Master'!$F$12:$I$102,4,0))&lt;&gt;7,AW304-VLOOKUP($P304&amp;" | "&amp;AN$6,'Job Master'!$F$12:$I$102,4,0),AW304-VLOOKUP($P304&amp;" | "&amp;AN$6,'Job Master'!$F$12:$I$102,4,0)-1),""),"")</f>
        <v/>
      </c>
      <c r="AQ304" s="73"/>
      <c r="AR304" s="123" t="str">
        <f t="shared" si="525"/>
        <v/>
      </c>
      <c r="AS304" s="123" t="str">
        <f t="shared" si="526"/>
        <v/>
      </c>
      <c r="AT304" s="97" t="str">
        <f t="shared" ca="1" si="527"/>
        <v/>
      </c>
      <c r="AU304" s="98" t="str">
        <f>IF(AW304&lt;&gt;"",VLOOKUP($P304&amp;" | "&amp;AU$6,'Job Master'!$F$12:$J$102,5,0),"")</f>
        <v/>
      </c>
      <c r="AV304" s="19" t="str">
        <f>IF(AW304&lt;&gt;"",VLOOKUP($P304&amp;" | "&amp;AU$6,'Job Master'!$F$12:$J$102,3,0),"")</f>
        <v/>
      </c>
      <c r="AW304" s="19" t="str">
        <f>IFERROR(IF(AND(BD304&lt;&gt;"",VLOOKUP($P304&amp;" | "&amp;AU$6,'Job Master'!$F$12:$I$102,4,0)&lt;&gt;""),IF(WEEKDAY(BD304-VLOOKUP($P304&amp;" | "&amp;AU$6,'Job Master'!$F$12:$I$102,4,0))&lt;&gt;7,BD304-VLOOKUP($P304&amp;" | "&amp;AU$6,'Job Master'!$F$12:$I$102,4,0),BD304-VLOOKUP($P304&amp;" | "&amp;AU$6,'Job Master'!$F$12:$I$102,4,0)-1),""),"")</f>
        <v/>
      </c>
      <c r="AX304" s="73"/>
      <c r="AY304" s="123" t="str">
        <f t="shared" si="528"/>
        <v/>
      </c>
      <c r="AZ304" s="123" t="str">
        <f t="shared" si="529"/>
        <v/>
      </c>
      <c r="BA304" s="97" t="str">
        <f t="shared" ca="1" si="530"/>
        <v/>
      </c>
      <c r="BB304" s="98" t="str">
        <f>IF(BD304&lt;&gt;"",VLOOKUP($P304&amp;" | "&amp;BB$6,'Job Master'!$F$12:$J$102,5,0),"")</f>
        <v/>
      </c>
      <c r="BC304" s="19" t="str">
        <f>IF(BD304&lt;&gt;"",VLOOKUP($P304&amp;" | "&amp;BB$6,'Job Master'!$F$12:$J$102,3,0),"")</f>
        <v/>
      </c>
      <c r="BD304" s="19" t="str">
        <f>IFERROR(IF(AND(BK304&lt;&gt;"",VLOOKUP($P304&amp;" | "&amp;BB$6,'Job Master'!$F$12:$I$102,4,0)&lt;&gt;""),IF(WEEKDAY(BK304-VLOOKUP($P304&amp;" | "&amp;BB$6,'Job Master'!$F$12:$I$102,4,0))&lt;&gt;7,BK304-VLOOKUP($P304&amp;" | "&amp;BB$6,'Job Master'!$F$12:$I$102,4,0),BK304-VLOOKUP($P304&amp;" | "&amp;BB$6,'Job Master'!$F$12:$I$102,4,0)-1),""),"")</f>
        <v/>
      </c>
      <c r="BE304" s="73"/>
      <c r="BF304" s="123" t="str">
        <f t="shared" si="531"/>
        <v/>
      </c>
      <c r="BG304" s="123" t="str">
        <f t="shared" si="532"/>
        <v/>
      </c>
      <c r="BH304" s="97" t="str">
        <f t="shared" ca="1" si="533"/>
        <v/>
      </c>
      <c r="BI304" s="98" t="str">
        <f>IF(BK304&lt;&gt;"",VLOOKUP($P304&amp;" | "&amp;BI$6,'Job Master'!$F$12:$J$102,5,0),"")</f>
        <v/>
      </c>
      <c r="BJ304" s="19" t="str">
        <f>IF(BK304&lt;&gt;"",VLOOKUP($P304&amp;" | "&amp;BI$6,'Job Master'!$F$12:$J$102,3,0),"")</f>
        <v/>
      </c>
      <c r="BK304" s="19" t="str">
        <f>IFERROR(IF(AND(BR304&lt;&gt;"",VLOOKUP($P304&amp;" | "&amp;BI$6,'Job Master'!$F$12:$I$102,4,0)&lt;&gt;""),IF(WEEKDAY(BR304-VLOOKUP($P304&amp;" | "&amp;BI$6,'Job Master'!$F$12:$I$102,4,0))&lt;&gt;7,BR304-VLOOKUP($P304&amp;" | "&amp;BI$6,'Job Master'!$F$12:$I$102,4,0),BR304-VLOOKUP($P304&amp;" | "&amp;BI$6,'Job Master'!$F$12:$I$102,4,0)-1),""),"")</f>
        <v/>
      </c>
      <c r="BL304" s="73"/>
      <c r="BM304" s="123" t="str">
        <f t="shared" si="534"/>
        <v/>
      </c>
      <c r="BN304" s="123" t="str">
        <f t="shared" si="535"/>
        <v/>
      </c>
      <c r="BO304" s="97" t="str">
        <f t="shared" ca="1" si="536"/>
        <v/>
      </c>
      <c r="BP304" s="98" t="str">
        <f>IF(BR304&lt;&gt;"",VLOOKUP($P304&amp;" | "&amp;BP$6,'Job Master'!$F$12:$J$102,5,0),"")</f>
        <v/>
      </c>
      <c r="BQ304" s="19" t="str">
        <f>IF(BR304&lt;&gt;"",VLOOKUP($P304&amp;" | "&amp;BP$6,'Job Master'!$F$12:$J$102,3,0),"")</f>
        <v/>
      </c>
      <c r="BR304" s="19" t="str">
        <f>IFERROR(IF(AND(BY304&lt;&gt;"",VLOOKUP($P304&amp;" | "&amp;BP$6,'Job Master'!$F$12:$I$102,4,0)&lt;&gt;""),IF(WEEKDAY(BY304-VLOOKUP($P304&amp;" | "&amp;BP$6,'Job Master'!$F$12:$I$102,4,0))&lt;&gt;7,BY304-VLOOKUP($P304&amp;" | "&amp;BP$6,'Job Master'!$F$12:$I$102,4,0),BY304-VLOOKUP($P304&amp;" | "&amp;BP$6,'Job Master'!$F$12:$I$102,4,0)-1),""),"")</f>
        <v/>
      </c>
      <c r="BS304" s="73"/>
      <c r="BT304" s="123" t="str">
        <f t="shared" si="537"/>
        <v/>
      </c>
      <c r="BU304" s="123" t="str">
        <f t="shared" si="538"/>
        <v/>
      </c>
      <c r="BV304" s="97" t="str">
        <f t="shared" ca="1" si="539"/>
        <v/>
      </c>
      <c r="BW304" s="98" t="str">
        <f>IF(BY304&lt;&gt;"",VLOOKUP($P304&amp;" | "&amp;BW$6,'Job Master'!$F$12:$J$102,5,0),"")</f>
        <v/>
      </c>
      <c r="BX304" s="19" t="str">
        <f>IF(BY304&lt;&gt;"",VLOOKUP($P304&amp;" | "&amp;BW$6,'Job Master'!$F$12:$J$102,3,0),"")</f>
        <v/>
      </c>
      <c r="BY304" s="19" t="str">
        <f>IFERROR(IF(AND(CF304&lt;&gt;"",VLOOKUP($P304&amp;" | "&amp;BW$6,'Job Master'!$F$12:$I$102,4,0)&lt;&gt;""),IF(WEEKDAY(CF304-VLOOKUP($P304&amp;" | "&amp;BW$6,'Job Master'!$F$12:$I$102,4,0))&lt;&gt;7,CF304-VLOOKUP($P304&amp;" | "&amp;BW$6,'Job Master'!$F$12:$I$102,4,0),CF304-VLOOKUP($P304&amp;" | "&amp;BW$6,'Job Master'!$F$12:$I$102,4,0)-1),""),"")</f>
        <v/>
      </c>
      <c r="BZ304" s="73"/>
      <c r="CA304" s="123" t="str">
        <f t="shared" si="540"/>
        <v/>
      </c>
      <c r="CB304" s="123" t="str">
        <f t="shared" si="541"/>
        <v/>
      </c>
      <c r="CC304" s="97" t="str">
        <f t="shared" ca="1" si="542"/>
        <v/>
      </c>
      <c r="CD304" s="98" t="str">
        <f>IF(CF304&lt;&gt;"",VLOOKUP($P304&amp;" | "&amp;CD$6,'Job Master'!$F$12:$J$102,5,0),"")</f>
        <v/>
      </c>
      <c r="CE304" s="19" t="str">
        <f>IF(CF304&lt;&gt;"",VLOOKUP($P304&amp;" | "&amp;CD$6,'Job Master'!$F$12:$J$102,3,0),"")</f>
        <v/>
      </c>
      <c r="CF304" s="19" t="str">
        <f>IFERROR(IF(AND(CM304&lt;&gt;"",VLOOKUP($P304&amp;" | "&amp;CD$6,'Job Master'!$F$12:$I$102,4,0)&lt;&gt;""),IF(WEEKDAY(CM304-VLOOKUP($P304&amp;" | "&amp;CD$6,'Job Master'!$F$12:$I$102,4,0))&lt;&gt;7,CM304-VLOOKUP($P304&amp;" | "&amp;CD$6,'Job Master'!$F$12:$I$102,4,0),CM304-VLOOKUP($P304&amp;" | "&amp;CD$6,'Job Master'!$F$12:$I$102,4,0)-1),""),"")</f>
        <v/>
      </c>
      <c r="CG304" s="73"/>
      <c r="CH304" s="123" t="str">
        <f t="shared" si="543"/>
        <v/>
      </c>
      <c r="CI304" s="123" t="str">
        <f t="shared" si="544"/>
        <v/>
      </c>
      <c r="CJ304" s="97" t="str">
        <f t="shared" ca="1" si="545"/>
        <v/>
      </c>
      <c r="CK304" s="98" t="str">
        <f>IF(CM304&lt;&gt;"",VLOOKUP($P304&amp;" | "&amp;CK$6,'Job Master'!$F$12:$J$102,5,0),"")</f>
        <v/>
      </c>
      <c r="CL304" s="19" t="str">
        <f>IF(CM304&lt;&gt;"",VLOOKUP($P304&amp;" | "&amp;CK$6,'Job Master'!$F$12:$J$102,3,0),"")</f>
        <v/>
      </c>
      <c r="CM304" s="19" t="str">
        <f>IFERROR(IF(AND(CT304&lt;&gt;"",VLOOKUP($P304&amp;" | "&amp;CK$6,'Job Master'!$F$12:$I$102,4,0)&lt;&gt;""),IF(WEEKDAY(CT304-VLOOKUP($P304&amp;" | "&amp;CK$6,'Job Master'!$F$12:$I$102,4,0))&lt;&gt;7,CT304-VLOOKUP($P304&amp;" | "&amp;CK$6,'Job Master'!$F$12:$I$102,4,0),CT304-VLOOKUP($P304&amp;" | "&amp;CK$6,'Job Master'!$F$12:$I$102,4,0)-1),""),"")</f>
        <v/>
      </c>
      <c r="CN304" s="73"/>
      <c r="CO304" s="123" t="str">
        <f t="shared" si="546"/>
        <v/>
      </c>
      <c r="CP304" s="123" t="str">
        <f t="shared" si="547"/>
        <v/>
      </c>
      <c r="CQ304" s="97" t="str">
        <f t="shared" ca="1" si="548"/>
        <v/>
      </c>
      <c r="CR304" s="98" t="str">
        <f>IF(CT304&lt;&gt;"",VLOOKUP($P304&amp;" | "&amp;CR$6,'Job Master'!$F$12:$J$102,5,0),"")</f>
        <v/>
      </c>
      <c r="CS304" s="19" t="str">
        <f>IF(CT304&lt;&gt;"",VLOOKUP($P304&amp;" | "&amp;CR$6,'Job Master'!$F$12:$J$102,3,0),"")</f>
        <v/>
      </c>
      <c r="CT304" s="19" t="str">
        <f>IFERROR(IF(AND(DA304&lt;&gt;"",VLOOKUP($P304&amp;" | "&amp;CR$6,'Job Master'!$F$12:$I$102,4,0)&lt;&gt;""),IF(WEEKDAY(DA304-VLOOKUP($P304&amp;" | "&amp;CR$6,'Job Master'!$F$12:$I$102,4,0))&lt;&gt;7,DA304-VLOOKUP($P304&amp;" | "&amp;CR$6,'Job Master'!$F$12:$I$102,4,0),DA304-VLOOKUP($P304&amp;" | "&amp;CR$6,'Job Master'!$F$12:$I$102,4,0)-1),""),"")</f>
        <v/>
      </c>
      <c r="CU304" s="73"/>
      <c r="CV304" s="123" t="str">
        <f t="shared" si="549"/>
        <v/>
      </c>
      <c r="CW304" s="123" t="str">
        <f t="shared" si="550"/>
        <v/>
      </c>
      <c r="CX304" s="97" t="str">
        <f t="shared" ca="1" si="551"/>
        <v/>
      </c>
      <c r="CY304" s="98" t="str">
        <f>IF(DA304&lt;&gt;"",VLOOKUP($P304&amp;" | "&amp;CY$6,'Job Master'!$F$12:$J$102,5,0),"")</f>
        <v/>
      </c>
      <c r="CZ304" s="19" t="str">
        <f>IF(DA304&lt;&gt;"",VLOOKUP($P304&amp;" | "&amp;CY$6,'Job Master'!$F$12:$J$102,3,0),"")</f>
        <v/>
      </c>
      <c r="DA304" s="19" t="str">
        <f>IFERROR(IF(AND(DH304&lt;&gt;"",VLOOKUP($P304&amp;" | "&amp;CY$6,'Job Master'!$F$12:$I$102,4,0)&lt;&gt;""),IF(WEEKDAY(DH304-VLOOKUP($P304&amp;" | "&amp;CY$6,'Job Master'!$F$12:$I$102,4,0))&lt;&gt;7,DH304-VLOOKUP($P304&amp;" | "&amp;CY$6,'Job Master'!$F$12:$I$102,4,0),DH304-VLOOKUP($P304&amp;" | "&amp;CY$6,'Job Master'!$F$12:$I$102,4,0)-1),""),"")</f>
        <v/>
      </c>
      <c r="DB304" s="73"/>
      <c r="DC304" s="123" t="str">
        <f t="shared" si="552"/>
        <v/>
      </c>
      <c r="DD304" s="123" t="str">
        <f t="shared" si="553"/>
        <v/>
      </c>
      <c r="DE304" s="97" t="str">
        <f t="shared" ca="1" si="554"/>
        <v/>
      </c>
      <c r="DF304" s="98" t="str">
        <f>IF(DH304&lt;&gt;"",VLOOKUP($P304&amp;" | "&amp;DF$6,'Job Master'!$F$12:$J$102,5,0),"")</f>
        <v/>
      </c>
      <c r="DG304" s="19" t="str">
        <f>IF(DH304&lt;&gt;"",VLOOKUP($P304&amp;" | "&amp;DF$6,'Job Master'!$F$12:$J$102,3,0),"")</f>
        <v/>
      </c>
      <c r="DH304" s="19" t="str">
        <f>IFERROR(IF(AND(DO304&lt;&gt;"",VLOOKUP($P304&amp;" | "&amp;DF$6,'Job Master'!$F$12:$I$102,4,0)&lt;&gt;""),IF(WEEKDAY(DO304-VLOOKUP($P304&amp;" | "&amp;DF$6,'Job Master'!$F$12:$I$102,4,0))&lt;&gt;7,DO304-VLOOKUP($P304&amp;" | "&amp;DF$6,'Job Master'!$F$12:$I$102,4,0),DO304-VLOOKUP($P304&amp;" | "&amp;DF$6,'Job Master'!$F$12:$I$102,4,0)-1),""),"")</f>
        <v/>
      </c>
      <c r="DI304" s="73"/>
      <c r="DJ304" s="123" t="str">
        <f t="shared" si="555"/>
        <v/>
      </c>
      <c r="DK304" s="123" t="str">
        <f t="shared" si="556"/>
        <v/>
      </c>
      <c r="DL304" s="97" t="str">
        <f t="shared" ca="1" si="557"/>
        <v/>
      </c>
      <c r="DM304" s="98" t="str">
        <f>IF(DO304&lt;&gt;"",VLOOKUP($P304&amp;" | "&amp;DM$6,'Job Master'!$F$12:$J$102,5,0),"")</f>
        <v/>
      </c>
      <c r="DN304" s="19" t="str">
        <f>IF(DO304&lt;&gt;"",VLOOKUP($P304&amp;" | "&amp;DM$6,'Job Master'!$F$12:$J$102,3,0),"")</f>
        <v/>
      </c>
      <c r="DO304" s="19" t="str">
        <f>IFERROR(IF(AND(DT304&lt;&gt;"",VLOOKUP($P304&amp;" | "&amp;DM$6,'Job Master'!$F$12:$I$102,4,0)&lt;&gt;""),IF(WEEKDAY(DT304-VLOOKUP($P304&amp;" | "&amp;DM$6,'Job Master'!$F$12:$I$102,4,0))&lt;&gt;7,DT304-VLOOKUP($P304&amp;" | "&amp;DM$6,'Job Master'!$F$12:$I$102,4,0),DT304-VLOOKUP($P304&amp;" | "&amp;DM$6,'Job Master'!$F$12:$I$102,4,0)-1),""),"")</f>
        <v/>
      </c>
      <c r="DP304" s="73"/>
      <c r="DQ304" s="123" t="str">
        <f t="shared" si="558"/>
        <v/>
      </c>
      <c r="DR304" s="123" t="str">
        <f t="shared" si="559"/>
        <v/>
      </c>
      <c r="DS304" s="97" t="str">
        <f t="shared" ca="1" si="560"/>
        <v/>
      </c>
      <c r="DT304" s="70" t="str">
        <f t="shared" si="561"/>
        <v/>
      </c>
      <c r="DU304" s="90"/>
      <c r="DV304" s="123" t="str">
        <f t="shared" si="562"/>
        <v/>
      </c>
      <c r="DW304" s="123" t="str">
        <f t="shared" si="563"/>
        <v/>
      </c>
      <c r="DX304" s="132" t="str">
        <f t="shared" ref="DX304" ca="1" si="613">IF(DT304&lt;&gt;"",IF(WEEKNUM(DT304)=WEEKNUM(TODAY()),"This Week",IF(WEEKNUM(DT304)=WEEKNUM(TODAY())+1,"Next Week",IF(WEEKNUM(DT304)=WEEKNUM(TODAY())-1,"Previous Week",""))),"")</f>
        <v/>
      </c>
      <c r="DY304" s="134" t="str">
        <f t="shared" si="565"/>
        <v/>
      </c>
      <c r="DZ304" s="95"/>
      <c r="EB304" s="8" t="str">
        <f t="shared" si="571"/>
        <v/>
      </c>
      <c r="EC304" s="8" t="str">
        <f>IF(O304&lt;&gt;"",VLOOKUP(O304,'Job Master'!$N$12:$O$18,2,0),"")</f>
        <v/>
      </c>
      <c r="ED304" s="8">
        <f t="shared" si="572"/>
        <v>19.5</v>
      </c>
      <c r="EE304" s="8">
        <f t="shared" si="573"/>
        <v>6</v>
      </c>
      <c r="EF304" s="8">
        <f t="shared" si="574"/>
        <v>-1744.5</v>
      </c>
      <c r="EG304" s="8" t="str">
        <f t="shared" si="575"/>
        <v/>
      </c>
      <c r="EH304" s="8" t="str">
        <f t="shared" si="576"/>
        <v/>
      </c>
    </row>
    <row r="305" spans="2:138" x14ac:dyDescent="0.3">
      <c r="B305" s="112"/>
      <c r="C305" s="27"/>
      <c r="D305" s="7" t="str">
        <f t="shared" si="513"/>
        <v/>
      </c>
      <c r="E305" s="25"/>
      <c r="F305" s="7" t="str">
        <f t="shared" si="513"/>
        <v/>
      </c>
      <c r="G305" s="25"/>
      <c r="H305" s="7" t="str">
        <f t="shared" si="513"/>
        <v/>
      </c>
      <c r="I305" s="25"/>
      <c r="J305" s="7" t="str">
        <f t="shared" si="513"/>
        <v/>
      </c>
      <c r="K305" s="25"/>
      <c r="L305" s="7" t="str">
        <f t="shared" si="514"/>
        <v/>
      </c>
      <c r="M305" s="25"/>
      <c r="N305" s="7" t="str">
        <f t="shared" si="515"/>
        <v/>
      </c>
      <c r="O305" s="81"/>
      <c r="P305" s="81" t="str">
        <f t="shared" si="516"/>
        <v/>
      </c>
      <c r="Q305" s="81"/>
      <c r="R305" s="7" t="str">
        <f t="shared" si="517"/>
        <v/>
      </c>
      <c r="S305" s="25"/>
      <c r="T305" s="7" t="str">
        <f t="shared" si="518"/>
        <v/>
      </c>
      <c r="U305" s="25"/>
      <c r="V305" s="7" t="str">
        <f t="shared" si="519"/>
        <v/>
      </c>
      <c r="W305" s="25"/>
      <c r="X305" s="7" t="str">
        <f t="shared" si="520"/>
        <v/>
      </c>
      <c r="Y305" s="18" t="str">
        <f t="shared" si="521"/>
        <v/>
      </c>
      <c r="Z305" s="7" t="str">
        <f t="shared" si="522"/>
        <v/>
      </c>
      <c r="AA305" s="18" t="str">
        <f t="shared" si="523"/>
        <v/>
      </c>
      <c r="AB305" s="19" t="str">
        <f t="shared" si="524"/>
        <v/>
      </c>
      <c r="AC305" s="26"/>
      <c r="AD305" s="26"/>
      <c r="AE305" s="25"/>
      <c r="AF305" s="26"/>
      <c r="AG305" s="25"/>
      <c r="AH305" s="25"/>
      <c r="AI305" s="18" t="str">
        <f t="shared" si="587"/>
        <v/>
      </c>
      <c r="AJ305" s="25"/>
      <c r="AK305" s="18" t="str">
        <f t="shared" si="588"/>
        <v/>
      </c>
      <c r="AL305" s="79"/>
      <c r="AM305" s="126" t="str">
        <f t="shared" si="589"/>
        <v/>
      </c>
      <c r="AN305" s="128" t="str">
        <f>IF(AP305&lt;&gt;"",VLOOKUP($P305&amp;" | "&amp;AN$6,'Job Master'!$F$12:$J$102,5,0),"")</f>
        <v/>
      </c>
      <c r="AO305" s="19" t="str">
        <f>IF(AP305&lt;&gt;"",VLOOKUP($P305&amp;" | "&amp;AN$6,'Job Master'!$F$12:$J$102,3,0),"")</f>
        <v/>
      </c>
      <c r="AP305" s="19" t="str">
        <f>IFERROR(IF(AND(AW305&lt;&gt;"",VLOOKUP($P305&amp;" | "&amp;AN$6,'Job Master'!$F$12:$I$102,4,0)&lt;&gt;""),IF(WEEKDAY(AW305-VLOOKUP($P305&amp;" | "&amp;AN$6,'Job Master'!$F$12:$I$102,4,0))&lt;&gt;7,AW305-VLOOKUP($P305&amp;" | "&amp;AN$6,'Job Master'!$F$12:$I$102,4,0),AW305-VLOOKUP($P305&amp;" | "&amp;AN$6,'Job Master'!$F$12:$I$102,4,0)-1),""),"")</f>
        <v/>
      </c>
      <c r="AQ305" s="73"/>
      <c r="AR305" s="123" t="str">
        <f t="shared" si="525"/>
        <v/>
      </c>
      <c r="AS305" s="123" t="str">
        <f t="shared" si="526"/>
        <v/>
      </c>
      <c r="AT305" s="97" t="str">
        <f t="shared" ca="1" si="527"/>
        <v/>
      </c>
      <c r="AU305" s="98" t="str">
        <f>IF(AW305&lt;&gt;"",VLOOKUP($P305&amp;" | "&amp;AU$6,'Job Master'!$F$12:$J$102,5,0),"")</f>
        <v/>
      </c>
      <c r="AV305" s="19" t="str">
        <f>IF(AW305&lt;&gt;"",VLOOKUP($P305&amp;" | "&amp;AU$6,'Job Master'!$F$12:$J$102,3,0),"")</f>
        <v/>
      </c>
      <c r="AW305" s="19" t="str">
        <f>IFERROR(IF(AND(BD305&lt;&gt;"",VLOOKUP($P305&amp;" | "&amp;AU$6,'Job Master'!$F$12:$I$102,4,0)&lt;&gt;""),IF(WEEKDAY(BD305-VLOOKUP($P305&amp;" | "&amp;AU$6,'Job Master'!$F$12:$I$102,4,0))&lt;&gt;7,BD305-VLOOKUP($P305&amp;" | "&amp;AU$6,'Job Master'!$F$12:$I$102,4,0),BD305-VLOOKUP($P305&amp;" | "&amp;AU$6,'Job Master'!$F$12:$I$102,4,0)-1),""),"")</f>
        <v/>
      </c>
      <c r="AX305" s="73"/>
      <c r="AY305" s="123" t="str">
        <f t="shared" si="528"/>
        <v/>
      </c>
      <c r="AZ305" s="123" t="str">
        <f t="shared" si="529"/>
        <v/>
      </c>
      <c r="BA305" s="97" t="str">
        <f t="shared" ca="1" si="530"/>
        <v/>
      </c>
      <c r="BB305" s="98" t="str">
        <f>IF(BD305&lt;&gt;"",VLOOKUP($P305&amp;" | "&amp;BB$6,'Job Master'!$F$12:$J$102,5,0),"")</f>
        <v/>
      </c>
      <c r="BC305" s="19" t="str">
        <f>IF(BD305&lt;&gt;"",VLOOKUP($P305&amp;" | "&amp;BB$6,'Job Master'!$F$12:$J$102,3,0),"")</f>
        <v/>
      </c>
      <c r="BD305" s="19" t="str">
        <f>IFERROR(IF(AND(BK305&lt;&gt;"",VLOOKUP($P305&amp;" | "&amp;BB$6,'Job Master'!$F$12:$I$102,4,0)&lt;&gt;""),IF(WEEKDAY(BK305-VLOOKUP($P305&amp;" | "&amp;BB$6,'Job Master'!$F$12:$I$102,4,0))&lt;&gt;7,BK305-VLOOKUP($P305&amp;" | "&amp;BB$6,'Job Master'!$F$12:$I$102,4,0),BK305-VLOOKUP($P305&amp;" | "&amp;BB$6,'Job Master'!$F$12:$I$102,4,0)-1),""),"")</f>
        <v/>
      </c>
      <c r="BE305" s="73"/>
      <c r="BF305" s="123" t="str">
        <f t="shared" si="531"/>
        <v/>
      </c>
      <c r="BG305" s="123" t="str">
        <f t="shared" si="532"/>
        <v/>
      </c>
      <c r="BH305" s="97" t="str">
        <f t="shared" ca="1" si="533"/>
        <v/>
      </c>
      <c r="BI305" s="98" t="str">
        <f>IF(BK305&lt;&gt;"",VLOOKUP($P305&amp;" | "&amp;BI$6,'Job Master'!$F$12:$J$102,5,0),"")</f>
        <v/>
      </c>
      <c r="BJ305" s="19" t="str">
        <f>IF(BK305&lt;&gt;"",VLOOKUP($P305&amp;" | "&amp;BI$6,'Job Master'!$F$12:$J$102,3,0),"")</f>
        <v/>
      </c>
      <c r="BK305" s="19" t="str">
        <f>IFERROR(IF(AND(BR305&lt;&gt;"",VLOOKUP($P305&amp;" | "&amp;BI$6,'Job Master'!$F$12:$I$102,4,0)&lt;&gt;""),IF(WEEKDAY(BR305-VLOOKUP($P305&amp;" | "&amp;BI$6,'Job Master'!$F$12:$I$102,4,0))&lt;&gt;7,BR305-VLOOKUP($P305&amp;" | "&amp;BI$6,'Job Master'!$F$12:$I$102,4,0),BR305-VLOOKUP($P305&amp;" | "&amp;BI$6,'Job Master'!$F$12:$I$102,4,0)-1),""),"")</f>
        <v/>
      </c>
      <c r="BL305" s="73"/>
      <c r="BM305" s="123" t="str">
        <f t="shared" si="534"/>
        <v/>
      </c>
      <c r="BN305" s="123" t="str">
        <f t="shared" si="535"/>
        <v/>
      </c>
      <c r="BO305" s="97" t="str">
        <f t="shared" ca="1" si="536"/>
        <v/>
      </c>
      <c r="BP305" s="98" t="str">
        <f>IF(BR305&lt;&gt;"",VLOOKUP($P305&amp;" | "&amp;BP$6,'Job Master'!$F$12:$J$102,5,0),"")</f>
        <v/>
      </c>
      <c r="BQ305" s="19" t="str">
        <f>IF(BR305&lt;&gt;"",VLOOKUP($P305&amp;" | "&amp;BP$6,'Job Master'!$F$12:$J$102,3,0),"")</f>
        <v/>
      </c>
      <c r="BR305" s="19" t="str">
        <f>IFERROR(IF(AND(BY305&lt;&gt;"",VLOOKUP($P305&amp;" | "&amp;BP$6,'Job Master'!$F$12:$I$102,4,0)&lt;&gt;""),IF(WEEKDAY(BY305-VLOOKUP($P305&amp;" | "&amp;BP$6,'Job Master'!$F$12:$I$102,4,0))&lt;&gt;7,BY305-VLOOKUP($P305&amp;" | "&amp;BP$6,'Job Master'!$F$12:$I$102,4,0),BY305-VLOOKUP($P305&amp;" | "&amp;BP$6,'Job Master'!$F$12:$I$102,4,0)-1),""),"")</f>
        <v/>
      </c>
      <c r="BS305" s="73"/>
      <c r="BT305" s="123" t="str">
        <f t="shared" si="537"/>
        <v/>
      </c>
      <c r="BU305" s="123" t="str">
        <f t="shared" si="538"/>
        <v/>
      </c>
      <c r="BV305" s="97" t="str">
        <f t="shared" ca="1" si="539"/>
        <v/>
      </c>
      <c r="BW305" s="98" t="str">
        <f>IF(BY305&lt;&gt;"",VLOOKUP($P305&amp;" | "&amp;BW$6,'Job Master'!$F$12:$J$102,5,0),"")</f>
        <v/>
      </c>
      <c r="BX305" s="19" t="str">
        <f>IF(BY305&lt;&gt;"",VLOOKUP($P305&amp;" | "&amp;BW$6,'Job Master'!$F$12:$J$102,3,0),"")</f>
        <v/>
      </c>
      <c r="BY305" s="19" t="str">
        <f>IFERROR(IF(AND(CF305&lt;&gt;"",VLOOKUP($P305&amp;" | "&amp;BW$6,'Job Master'!$F$12:$I$102,4,0)&lt;&gt;""),IF(WEEKDAY(CF305-VLOOKUP($P305&amp;" | "&amp;BW$6,'Job Master'!$F$12:$I$102,4,0))&lt;&gt;7,CF305-VLOOKUP($P305&amp;" | "&amp;BW$6,'Job Master'!$F$12:$I$102,4,0),CF305-VLOOKUP($P305&amp;" | "&amp;BW$6,'Job Master'!$F$12:$I$102,4,0)-1),""),"")</f>
        <v/>
      </c>
      <c r="BZ305" s="73"/>
      <c r="CA305" s="123" t="str">
        <f t="shared" si="540"/>
        <v/>
      </c>
      <c r="CB305" s="123" t="str">
        <f t="shared" si="541"/>
        <v/>
      </c>
      <c r="CC305" s="97" t="str">
        <f t="shared" ca="1" si="542"/>
        <v/>
      </c>
      <c r="CD305" s="98" t="str">
        <f>IF(CF305&lt;&gt;"",VLOOKUP($P305&amp;" | "&amp;CD$6,'Job Master'!$F$12:$J$102,5,0),"")</f>
        <v/>
      </c>
      <c r="CE305" s="19" t="str">
        <f>IF(CF305&lt;&gt;"",VLOOKUP($P305&amp;" | "&amp;CD$6,'Job Master'!$F$12:$J$102,3,0),"")</f>
        <v/>
      </c>
      <c r="CF305" s="19" t="str">
        <f>IFERROR(IF(AND(CM305&lt;&gt;"",VLOOKUP($P305&amp;" | "&amp;CD$6,'Job Master'!$F$12:$I$102,4,0)&lt;&gt;""),IF(WEEKDAY(CM305-VLOOKUP($P305&amp;" | "&amp;CD$6,'Job Master'!$F$12:$I$102,4,0))&lt;&gt;7,CM305-VLOOKUP($P305&amp;" | "&amp;CD$6,'Job Master'!$F$12:$I$102,4,0),CM305-VLOOKUP($P305&amp;" | "&amp;CD$6,'Job Master'!$F$12:$I$102,4,0)-1),""),"")</f>
        <v/>
      </c>
      <c r="CG305" s="73"/>
      <c r="CH305" s="123" t="str">
        <f t="shared" si="543"/>
        <v/>
      </c>
      <c r="CI305" s="123" t="str">
        <f t="shared" si="544"/>
        <v/>
      </c>
      <c r="CJ305" s="97" t="str">
        <f t="shared" ca="1" si="545"/>
        <v/>
      </c>
      <c r="CK305" s="98" t="str">
        <f>IF(CM305&lt;&gt;"",VLOOKUP($P305&amp;" | "&amp;CK$6,'Job Master'!$F$12:$J$102,5,0),"")</f>
        <v/>
      </c>
      <c r="CL305" s="19" t="str">
        <f>IF(CM305&lt;&gt;"",VLOOKUP($P305&amp;" | "&amp;CK$6,'Job Master'!$F$12:$J$102,3,0),"")</f>
        <v/>
      </c>
      <c r="CM305" s="19" t="str">
        <f>IFERROR(IF(AND(CT305&lt;&gt;"",VLOOKUP($P305&amp;" | "&amp;CK$6,'Job Master'!$F$12:$I$102,4,0)&lt;&gt;""),IF(WEEKDAY(CT305-VLOOKUP($P305&amp;" | "&amp;CK$6,'Job Master'!$F$12:$I$102,4,0))&lt;&gt;7,CT305-VLOOKUP($P305&amp;" | "&amp;CK$6,'Job Master'!$F$12:$I$102,4,0),CT305-VLOOKUP($P305&amp;" | "&amp;CK$6,'Job Master'!$F$12:$I$102,4,0)-1),""),"")</f>
        <v/>
      </c>
      <c r="CN305" s="73"/>
      <c r="CO305" s="123" t="str">
        <f t="shared" si="546"/>
        <v/>
      </c>
      <c r="CP305" s="123" t="str">
        <f t="shared" si="547"/>
        <v/>
      </c>
      <c r="CQ305" s="97" t="str">
        <f t="shared" ca="1" si="548"/>
        <v/>
      </c>
      <c r="CR305" s="98" t="str">
        <f>IF(CT305&lt;&gt;"",VLOOKUP($P305&amp;" | "&amp;CR$6,'Job Master'!$F$12:$J$102,5,0),"")</f>
        <v/>
      </c>
      <c r="CS305" s="19" t="str">
        <f>IF(CT305&lt;&gt;"",VLOOKUP($P305&amp;" | "&amp;CR$6,'Job Master'!$F$12:$J$102,3,0),"")</f>
        <v/>
      </c>
      <c r="CT305" s="19" t="str">
        <f>IFERROR(IF(AND(DA305&lt;&gt;"",VLOOKUP($P305&amp;" | "&amp;CR$6,'Job Master'!$F$12:$I$102,4,0)&lt;&gt;""),IF(WEEKDAY(DA305-VLOOKUP($P305&amp;" | "&amp;CR$6,'Job Master'!$F$12:$I$102,4,0))&lt;&gt;7,DA305-VLOOKUP($P305&amp;" | "&amp;CR$6,'Job Master'!$F$12:$I$102,4,0),DA305-VLOOKUP($P305&amp;" | "&amp;CR$6,'Job Master'!$F$12:$I$102,4,0)-1),""),"")</f>
        <v/>
      </c>
      <c r="CU305" s="73"/>
      <c r="CV305" s="123" t="str">
        <f t="shared" si="549"/>
        <v/>
      </c>
      <c r="CW305" s="123" t="str">
        <f t="shared" si="550"/>
        <v/>
      </c>
      <c r="CX305" s="97" t="str">
        <f t="shared" ca="1" si="551"/>
        <v/>
      </c>
      <c r="CY305" s="98" t="str">
        <f>IF(DA305&lt;&gt;"",VLOOKUP($P305&amp;" | "&amp;CY$6,'Job Master'!$F$12:$J$102,5,0),"")</f>
        <v/>
      </c>
      <c r="CZ305" s="19" t="str">
        <f>IF(DA305&lt;&gt;"",VLOOKUP($P305&amp;" | "&amp;CY$6,'Job Master'!$F$12:$J$102,3,0),"")</f>
        <v/>
      </c>
      <c r="DA305" s="19" t="str">
        <f>IFERROR(IF(AND(DH305&lt;&gt;"",VLOOKUP($P305&amp;" | "&amp;CY$6,'Job Master'!$F$12:$I$102,4,0)&lt;&gt;""),IF(WEEKDAY(DH305-VLOOKUP($P305&amp;" | "&amp;CY$6,'Job Master'!$F$12:$I$102,4,0))&lt;&gt;7,DH305-VLOOKUP($P305&amp;" | "&amp;CY$6,'Job Master'!$F$12:$I$102,4,0),DH305-VLOOKUP($P305&amp;" | "&amp;CY$6,'Job Master'!$F$12:$I$102,4,0)-1),""),"")</f>
        <v/>
      </c>
      <c r="DB305" s="73"/>
      <c r="DC305" s="123" t="str">
        <f t="shared" si="552"/>
        <v/>
      </c>
      <c r="DD305" s="123" t="str">
        <f t="shared" si="553"/>
        <v/>
      </c>
      <c r="DE305" s="97" t="str">
        <f t="shared" ca="1" si="554"/>
        <v/>
      </c>
      <c r="DF305" s="98" t="str">
        <f>IF(DH305&lt;&gt;"",VLOOKUP($P305&amp;" | "&amp;DF$6,'Job Master'!$F$12:$J$102,5,0),"")</f>
        <v/>
      </c>
      <c r="DG305" s="19" t="str">
        <f>IF(DH305&lt;&gt;"",VLOOKUP($P305&amp;" | "&amp;DF$6,'Job Master'!$F$12:$J$102,3,0),"")</f>
        <v/>
      </c>
      <c r="DH305" s="19" t="str">
        <f>IFERROR(IF(AND(DO305&lt;&gt;"",VLOOKUP($P305&amp;" | "&amp;DF$6,'Job Master'!$F$12:$I$102,4,0)&lt;&gt;""),IF(WEEKDAY(DO305-VLOOKUP($P305&amp;" | "&amp;DF$6,'Job Master'!$F$12:$I$102,4,0))&lt;&gt;7,DO305-VLOOKUP($P305&amp;" | "&amp;DF$6,'Job Master'!$F$12:$I$102,4,0),DO305-VLOOKUP($P305&amp;" | "&amp;DF$6,'Job Master'!$F$12:$I$102,4,0)-1),""),"")</f>
        <v/>
      </c>
      <c r="DI305" s="73"/>
      <c r="DJ305" s="123" t="str">
        <f t="shared" si="555"/>
        <v/>
      </c>
      <c r="DK305" s="123" t="str">
        <f t="shared" si="556"/>
        <v/>
      </c>
      <c r="DL305" s="97" t="str">
        <f t="shared" ca="1" si="557"/>
        <v/>
      </c>
      <c r="DM305" s="98" t="str">
        <f>IF(DO305&lt;&gt;"",VLOOKUP($P305&amp;" | "&amp;DM$6,'Job Master'!$F$12:$J$102,5,0),"")</f>
        <v/>
      </c>
      <c r="DN305" s="19" t="str">
        <f>IF(DO305&lt;&gt;"",VLOOKUP($P305&amp;" | "&amp;DM$6,'Job Master'!$F$12:$J$102,3,0),"")</f>
        <v/>
      </c>
      <c r="DO305" s="19" t="str">
        <f>IFERROR(IF(AND(DT305&lt;&gt;"",VLOOKUP($P305&amp;" | "&amp;DM$6,'Job Master'!$F$12:$I$102,4,0)&lt;&gt;""),IF(WEEKDAY(DT305-VLOOKUP($P305&amp;" | "&amp;DM$6,'Job Master'!$F$12:$I$102,4,0))&lt;&gt;7,DT305-VLOOKUP($P305&amp;" | "&amp;DM$6,'Job Master'!$F$12:$I$102,4,0),DT305-VLOOKUP($P305&amp;" | "&amp;DM$6,'Job Master'!$F$12:$I$102,4,0)-1),""),"")</f>
        <v/>
      </c>
      <c r="DP305" s="73"/>
      <c r="DQ305" s="123" t="str">
        <f t="shared" si="558"/>
        <v/>
      </c>
      <c r="DR305" s="123" t="str">
        <f t="shared" si="559"/>
        <v/>
      </c>
      <c r="DS305" s="97" t="str">
        <f t="shared" ca="1" si="560"/>
        <v/>
      </c>
      <c r="DT305" s="70" t="str">
        <f t="shared" si="561"/>
        <v/>
      </c>
      <c r="DU305" s="90"/>
      <c r="DV305" s="123" t="str">
        <f t="shared" si="562"/>
        <v/>
      </c>
      <c r="DW305" s="123" t="str">
        <f t="shared" si="563"/>
        <v/>
      </c>
      <c r="DX305" s="132" t="str">
        <f t="shared" ref="DX305" ca="1" si="614">IF(DT305&lt;&gt;"",IF(WEEKNUM(DT305)=WEEKNUM(TODAY()),"This Week",IF(WEEKNUM(DT305)=WEEKNUM(TODAY())+1,"Next Week",IF(WEEKNUM(DT305)=WEEKNUM(TODAY())-1,"Previous Week",""))),"")</f>
        <v/>
      </c>
      <c r="DY305" s="134" t="str">
        <f t="shared" si="565"/>
        <v/>
      </c>
      <c r="DZ305" s="95"/>
      <c r="EB305" s="8" t="str">
        <f t="shared" si="571"/>
        <v/>
      </c>
      <c r="EC305" s="8" t="str">
        <f>IF(O305&lt;&gt;"",VLOOKUP(O305,'Job Master'!$N$12:$O$18,2,0),"")</f>
        <v/>
      </c>
      <c r="ED305" s="8">
        <f t="shared" si="572"/>
        <v>19.5</v>
      </c>
      <c r="EE305" s="8">
        <f t="shared" si="573"/>
        <v>6</v>
      </c>
      <c r="EF305" s="8">
        <f t="shared" si="574"/>
        <v>-1750.5</v>
      </c>
      <c r="EG305" s="8" t="str">
        <f t="shared" si="575"/>
        <v/>
      </c>
      <c r="EH305" s="8" t="str">
        <f t="shared" si="576"/>
        <v/>
      </c>
    </row>
    <row r="306" spans="2:138" x14ac:dyDescent="0.3">
      <c r="B306" s="112"/>
      <c r="C306" s="27"/>
      <c r="D306" s="7" t="str">
        <f t="shared" si="513"/>
        <v/>
      </c>
      <c r="E306" s="25"/>
      <c r="F306" s="7" t="str">
        <f t="shared" si="513"/>
        <v/>
      </c>
      <c r="G306" s="25"/>
      <c r="H306" s="7" t="str">
        <f t="shared" si="513"/>
        <v/>
      </c>
      <c r="I306" s="25"/>
      <c r="J306" s="7" t="str">
        <f t="shared" si="513"/>
        <v/>
      </c>
      <c r="K306" s="25"/>
      <c r="L306" s="7" t="str">
        <f t="shared" si="514"/>
        <v/>
      </c>
      <c r="M306" s="25"/>
      <c r="N306" s="7" t="str">
        <f t="shared" si="515"/>
        <v/>
      </c>
      <c r="O306" s="81"/>
      <c r="P306" s="81" t="str">
        <f t="shared" si="516"/>
        <v/>
      </c>
      <c r="Q306" s="81"/>
      <c r="R306" s="7" t="str">
        <f t="shared" si="517"/>
        <v/>
      </c>
      <c r="S306" s="25"/>
      <c r="T306" s="7" t="str">
        <f t="shared" si="518"/>
        <v/>
      </c>
      <c r="U306" s="25"/>
      <c r="V306" s="7" t="str">
        <f t="shared" si="519"/>
        <v/>
      </c>
      <c r="W306" s="25"/>
      <c r="X306" s="7" t="str">
        <f t="shared" si="520"/>
        <v/>
      </c>
      <c r="Y306" s="18" t="str">
        <f t="shared" si="521"/>
        <v/>
      </c>
      <c r="Z306" s="7" t="str">
        <f t="shared" si="522"/>
        <v/>
      </c>
      <c r="AA306" s="18" t="str">
        <f t="shared" si="523"/>
        <v/>
      </c>
      <c r="AB306" s="19" t="str">
        <f t="shared" si="524"/>
        <v/>
      </c>
      <c r="AC306" s="26"/>
      <c r="AD306" s="26"/>
      <c r="AE306" s="25"/>
      <c r="AF306" s="26"/>
      <c r="AG306" s="25"/>
      <c r="AH306" s="25"/>
      <c r="AI306" s="18" t="str">
        <f t="shared" si="587"/>
        <v/>
      </c>
      <c r="AJ306" s="25"/>
      <c r="AK306" s="18" t="str">
        <f t="shared" si="588"/>
        <v/>
      </c>
      <c r="AL306" s="79"/>
      <c r="AM306" s="126" t="str">
        <f t="shared" si="589"/>
        <v/>
      </c>
      <c r="AN306" s="128" t="str">
        <f>IF(AP306&lt;&gt;"",VLOOKUP($P306&amp;" | "&amp;AN$6,'Job Master'!$F$12:$J$102,5,0),"")</f>
        <v/>
      </c>
      <c r="AO306" s="19" t="str">
        <f>IF(AP306&lt;&gt;"",VLOOKUP($P306&amp;" | "&amp;AN$6,'Job Master'!$F$12:$J$102,3,0),"")</f>
        <v/>
      </c>
      <c r="AP306" s="19" t="str">
        <f>IFERROR(IF(AND(AW306&lt;&gt;"",VLOOKUP($P306&amp;" | "&amp;AN$6,'Job Master'!$F$12:$I$102,4,0)&lt;&gt;""),IF(WEEKDAY(AW306-VLOOKUP($P306&amp;" | "&amp;AN$6,'Job Master'!$F$12:$I$102,4,0))&lt;&gt;7,AW306-VLOOKUP($P306&amp;" | "&amp;AN$6,'Job Master'!$F$12:$I$102,4,0),AW306-VLOOKUP($P306&amp;" | "&amp;AN$6,'Job Master'!$F$12:$I$102,4,0)-1),""),"")</f>
        <v/>
      </c>
      <c r="AQ306" s="73"/>
      <c r="AR306" s="123" t="str">
        <f t="shared" si="525"/>
        <v/>
      </c>
      <c r="AS306" s="123" t="str">
        <f t="shared" si="526"/>
        <v/>
      </c>
      <c r="AT306" s="97" t="str">
        <f t="shared" ca="1" si="527"/>
        <v/>
      </c>
      <c r="AU306" s="98" t="str">
        <f>IF(AW306&lt;&gt;"",VLOOKUP($P306&amp;" | "&amp;AU$6,'Job Master'!$F$12:$J$102,5,0),"")</f>
        <v/>
      </c>
      <c r="AV306" s="19" t="str">
        <f>IF(AW306&lt;&gt;"",VLOOKUP($P306&amp;" | "&amp;AU$6,'Job Master'!$F$12:$J$102,3,0),"")</f>
        <v/>
      </c>
      <c r="AW306" s="19" t="str">
        <f>IFERROR(IF(AND(BD306&lt;&gt;"",VLOOKUP($P306&amp;" | "&amp;AU$6,'Job Master'!$F$12:$I$102,4,0)&lt;&gt;""),IF(WEEKDAY(BD306-VLOOKUP($P306&amp;" | "&amp;AU$6,'Job Master'!$F$12:$I$102,4,0))&lt;&gt;7,BD306-VLOOKUP($P306&amp;" | "&amp;AU$6,'Job Master'!$F$12:$I$102,4,0),BD306-VLOOKUP($P306&amp;" | "&amp;AU$6,'Job Master'!$F$12:$I$102,4,0)-1),""),"")</f>
        <v/>
      </c>
      <c r="AX306" s="73"/>
      <c r="AY306" s="123" t="str">
        <f t="shared" si="528"/>
        <v/>
      </c>
      <c r="AZ306" s="123" t="str">
        <f t="shared" si="529"/>
        <v/>
      </c>
      <c r="BA306" s="97" t="str">
        <f t="shared" ca="1" si="530"/>
        <v/>
      </c>
      <c r="BB306" s="98" t="str">
        <f>IF(BD306&lt;&gt;"",VLOOKUP($P306&amp;" | "&amp;BB$6,'Job Master'!$F$12:$J$102,5,0),"")</f>
        <v/>
      </c>
      <c r="BC306" s="19" t="str">
        <f>IF(BD306&lt;&gt;"",VLOOKUP($P306&amp;" | "&amp;BB$6,'Job Master'!$F$12:$J$102,3,0),"")</f>
        <v/>
      </c>
      <c r="BD306" s="19" t="str">
        <f>IFERROR(IF(AND(BK306&lt;&gt;"",VLOOKUP($P306&amp;" | "&amp;BB$6,'Job Master'!$F$12:$I$102,4,0)&lt;&gt;""),IF(WEEKDAY(BK306-VLOOKUP($P306&amp;" | "&amp;BB$6,'Job Master'!$F$12:$I$102,4,0))&lt;&gt;7,BK306-VLOOKUP($P306&amp;" | "&amp;BB$6,'Job Master'!$F$12:$I$102,4,0),BK306-VLOOKUP($P306&amp;" | "&amp;BB$6,'Job Master'!$F$12:$I$102,4,0)-1),""),"")</f>
        <v/>
      </c>
      <c r="BE306" s="73"/>
      <c r="BF306" s="123" t="str">
        <f t="shared" si="531"/>
        <v/>
      </c>
      <c r="BG306" s="123" t="str">
        <f t="shared" si="532"/>
        <v/>
      </c>
      <c r="BH306" s="97" t="str">
        <f t="shared" ca="1" si="533"/>
        <v/>
      </c>
      <c r="BI306" s="98" t="str">
        <f>IF(BK306&lt;&gt;"",VLOOKUP($P306&amp;" | "&amp;BI$6,'Job Master'!$F$12:$J$102,5,0),"")</f>
        <v/>
      </c>
      <c r="BJ306" s="19" t="str">
        <f>IF(BK306&lt;&gt;"",VLOOKUP($P306&amp;" | "&amp;BI$6,'Job Master'!$F$12:$J$102,3,0),"")</f>
        <v/>
      </c>
      <c r="BK306" s="19" t="str">
        <f>IFERROR(IF(AND(BR306&lt;&gt;"",VLOOKUP($P306&amp;" | "&amp;BI$6,'Job Master'!$F$12:$I$102,4,0)&lt;&gt;""),IF(WEEKDAY(BR306-VLOOKUP($P306&amp;" | "&amp;BI$6,'Job Master'!$F$12:$I$102,4,0))&lt;&gt;7,BR306-VLOOKUP($P306&amp;" | "&amp;BI$6,'Job Master'!$F$12:$I$102,4,0),BR306-VLOOKUP($P306&amp;" | "&amp;BI$6,'Job Master'!$F$12:$I$102,4,0)-1),""),"")</f>
        <v/>
      </c>
      <c r="BL306" s="73"/>
      <c r="BM306" s="123" t="str">
        <f t="shared" si="534"/>
        <v/>
      </c>
      <c r="BN306" s="123" t="str">
        <f t="shared" si="535"/>
        <v/>
      </c>
      <c r="BO306" s="97" t="str">
        <f t="shared" ca="1" si="536"/>
        <v/>
      </c>
      <c r="BP306" s="98" t="str">
        <f>IF(BR306&lt;&gt;"",VLOOKUP($P306&amp;" | "&amp;BP$6,'Job Master'!$F$12:$J$102,5,0),"")</f>
        <v/>
      </c>
      <c r="BQ306" s="19" t="str">
        <f>IF(BR306&lt;&gt;"",VLOOKUP($P306&amp;" | "&amp;BP$6,'Job Master'!$F$12:$J$102,3,0),"")</f>
        <v/>
      </c>
      <c r="BR306" s="19" t="str">
        <f>IFERROR(IF(AND(BY306&lt;&gt;"",VLOOKUP($P306&amp;" | "&amp;BP$6,'Job Master'!$F$12:$I$102,4,0)&lt;&gt;""),IF(WEEKDAY(BY306-VLOOKUP($P306&amp;" | "&amp;BP$6,'Job Master'!$F$12:$I$102,4,0))&lt;&gt;7,BY306-VLOOKUP($P306&amp;" | "&amp;BP$6,'Job Master'!$F$12:$I$102,4,0),BY306-VLOOKUP($P306&amp;" | "&amp;BP$6,'Job Master'!$F$12:$I$102,4,0)-1),""),"")</f>
        <v/>
      </c>
      <c r="BS306" s="73"/>
      <c r="BT306" s="123" t="str">
        <f t="shared" si="537"/>
        <v/>
      </c>
      <c r="BU306" s="123" t="str">
        <f t="shared" si="538"/>
        <v/>
      </c>
      <c r="BV306" s="97" t="str">
        <f t="shared" ca="1" si="539"/>
        <v/>
      </c>
      <c r="BW306" s="98" t="str">
        <f>IF(BY306&lt;&gt;"",VLOOKUP($P306&amp;" | "&amp;BW$6,'Job Master'!$F$12:$J$102,5,0),"")</f>
        <v/>
      </c>
      <c r="BX306" s="19" t="str">
        <f>IF(BY306&lt;&gt;"",VLOOKUP($P306&amp;" | "&amp;BW$6,'Job Master'!$F$12:$J$102,3,0),"")</f>
        <v/>
      </c>
      <c r="BY306" s="19" t="str">
        <f>IFERROR(IF(AND(CF306&lt;&gt;"",VLOOKUP($P306&amp;" | "&amp;BW$6,'Job Master'!$F$12:$I$102,4,0)&lt;&gt;""),IF(WEEKDAY(CF306-VLOOKUP($P306&amp;" | "&amp;BW$6,'Job Master'!$F$12:$I$102,4,0))&lt;&gt;7,CF306-VLOOKUP($P306&amp;" | "&amp;BW$6,'Job Master'!$F$12:$I$102,4,0),CF306-VLOOKUP($P306&amp;" | "&amp;BW$6,'Job Master'!$F$12:$I$102,4,0)-1),""),"")</f>
        <v/>
      </c>
      <c r="BZ306" s="73"/>
      <c r="CA306" s="123" t="str">
        <f t="shared" si="540"/>
        <v/>
      </c>
      <c r="CB306" s="123" t="str">
        <f t="shared" si="541"/>
        <v/>
      </c>
      <c r="CC306" s="97" t="str">
        <f t="shared" ca="1" si="542"/>
        <v/>
      </c>
      <c r="CD306" s="98" t="str">
        <f>IF(CF306&lt;&gt;"",VLOOKUP($P306&amp;" | "&amp;CD$6,'Job Master'!$F$12:$J$102,5,0),"")</f>
        <v/>
      </c>
      <c r="CE306" s="19" t="str">
        <f>IF(CF306&lt;&gt;"",VLOOKUP($P306&amp;" | "&amp;CD$6,'Job Master'!$F$12:$J$102,3,0),"")</f>
        <v/>
      </c>
      <c r="CF306" s="19" t="str">
        <f>IFERROR(IF(AND(CM306&lt;&gt;"",VLOOKUP($P306&amp;" | "&amp;CD$6,'Job Master'!$F$12:$I$102,4,0)&lt;&gt;""),IF(WEEKDAY(CM306-VLOOKUP($P306&amp;" | "&amp;CD$6,'Job Master'!$F$12:$I$102,4,0))&lt;&gt;7,CM306-VLOOKUP($P306&amp;" | "&amp;CD$6,'Job Master'!$F$12:$I$102,4,0),CM306-VLOOKUP($P306&amp;" | "&amp;CD$6,'Job Master'!$F$12:$I$102,4,0)-1),""),"")</f>
        <v/>
      </c>
      <c r="CG306" s="73"/>
      <c r="CH306" s="123" t="str">
        <f t="shared" si="543"/>
        <v/>
      </c>
      <c r="CI306" s="123" t="str">
        <f t="shared" si="544"/>
        <v/>
      </c>
      <c r="CJ306" s="97" t="str">
        <f t="shared" ca="1" si="545"/>
        <v/>
      </c>
      <c r="CK306" s="98" t="str">
        <f>IF(CM306&lt;&gt;"",VLOOKUP($P306&amp;" | "&amp;CK$6,'Job Master'!$F$12:$J$102,5,0),"")</f>
        <v/>
      </c>
      <c r="CL306" s="19" t="str">
        <f>IF(CM306&lt;&gt;"",VLOOKUP($P306&amp;" | "&amp;CK$6,'Job Master'!$F$12:$J$102,3,0),"")</f>
        <v/>
      </c>
      <c r="CM306" s="19" t="str">
        <f>IFERROR(IF(AND(CT306&lt;&gt;"",VLOOKUP($P306&amp;" | "&amp;CK$6,'Job Master'!$F$12:$I$102,4,0)&lt;&gt;""),IF(WEEKDAY(CT306-VLOOKUP($P306&amp;" | "&amp;CK$6,'Job Master'!$F$12:$I$102,4,0))&lt;&gt;7,CT306-VLOOKUP($P306&amp;" | "&amp;CK$6,'Job Master'!$F$12:$I$102,4,0),CT306-VLOOKUP($P306&amp;" | "&amp;CK$6,'Job Master'!$F$12:$I$102,4,0)-1),""),"")</f>
        <v/>
      </c>
      <c r="CN306" s="73"/>
      <c r="CO306" s="123" t="str">
        <f t="shared" si="546"/>
        <v/>
      </c>
      <c r="CP306" s="123" t="str">
        <f t="shared" si="547"/>
        <v/>
      </c>
      <c r="CQ306" s="97" t="str">
        <f t="shared" ca="1" si="548"/>
        <v/>
      </c>
      <c r="CR306" s="98" t="str">
        <f>IF(CT306&lt;&gt;"",VLOOKUP($P306&amp;" | "&amp;CR$6,'Job Master'!$F$12:$J$102,5,0),"")</f>
        <v/>
      </c>
      <c r="CS306" s="19" t="str">
        <f>IF(CT306&lt;&gt;"",VLOOKUP($P306&amp;" | "&amp;CR$6,'Job Master'!$F$12:$J$102,3,0),"")</f>
        <v/>
      </c>
      <c r="CT306" s="19" t="str">
        <f>IFERROR(IF(AND(DA306&lt;&gt;"",VLOOKUP($P306&amp;" | "&amp;CR$6,'Job Master'!$F$12:$I$102,4,0)&lt;&gt;""),IF(WEEKDAY(DA306-VLOOKUP($P306&amp;" | "&amp;CR$6,'Job Master'!$F$12:$I$102,4,0))&lt;&gt;7,DA306-VLOOKUP($P306&amp;" | "&amp;CR$6,'Job Master'!$F$12:$I$102,4,0),DA306-VLOOKUP($P306&amp;" | "&amp;CR$6,'Job Master'!$F$12:$I$102,4,0)-1),""),"")</f>
        <v/>
      </c>
      <c r="CU306" s="73"/>
      <c r="CV306" s="123" t="str">
        <f t="shared" si="549"/>
        <v/>
      </c>
      <c r="CW306" s="123" t="str">
        <f t="shared" si="550"/>
        <v/>
      </c>
      <c r="CX306" s="97" t="str">
        <f t="shared" ca="1" si="551"/>
        <v/>
      </c>
      <c r="CY306" s="98" t="str">
        <f>IF(DA306&lt;&gt;"",VLOOKUP($P306&amp;" | "&amp;CY$6,'Job Master'!$F$12:$J$102,5,0),"")</f>
        <v/>
      </c>
      <c r="CZ306" s="19" t="str">
        <f>IF(DA306&lt;&gt;"",VLOOKUP($P306&amp;" | "&amp;CY$6,'Job Master'!$F$12:$J$102,3,0),"")</f>
        <v/>
      </c>
      <c r="DA306" s="19" t="str">
        <f>IFERROR(IF(AND(DH306&lt;&gt;"",VLOOKUP($P306&amp;" | "&amp;CY$6,'Job Master'!$F$12:$I$102,4,0)&lt;&gt;""),IF(WEEKDAY(DH306-VLOOKUP($P306&amp;" | "&amp;CY$6,'Job Master'!$F$12:$I$102,4,0))&lt;&gt;7,DH306-VLOOKUP($P306&amp;" | "&amp;CY$6,'Job Master'!$F$12:$I$102,4,0),DH306-VLOOKUP($P306&amp;" | "&amp;CY$6,'Job Master'!$F$12:$I$102,4,0)-1),""),"")</f>
        <v/>
      </c>
      <c r="DB306" s="73"/>
      <c r="DC306" s="123" t="str">
        <f t="shared" si="552"/>
        <v/>
      </c>
      <c r="DD306" s="123" t="str">
        <f t="shared" si="553"/>
        <v/>
      </c>
      <c r="DE306" s="97" t="str">
        <f t="shared" ca="1" si="554"/>
        <v/>
      </c>
      <c r="DF306" s="98" t="str">
        <f>IF(DH306&lt;&gt;"",VLOOKUP($P306&amp;" | "&amp;DF$6,'Job Master'!$F$12:$J$102,5,0),"")</f>
        <v/>
      </c>
      <c r="DG306" s="19" t="str">
        <f>IF(DH306&lt;&gt;"",VLOOKUP($P306&amp;" | "&amp;DF$6,'Job Master'!$F$12:$J$102,3,0),"")</f>
        <v/>
      </c>
      <c r="DH306" s="19" t="str">
        <f>IFERROR(IF(AND(DO306&lt;&gt;"",VLOOKUP($P306&amp;" | "&amp;DF$6,'Job Master'!$F$12:$I$102,4,0)&lt;&gt;""),IF(WEEKDAY(DO306-VLOOKUP($P306&amp;" | "&amp;DF$6,'Job Master'!$F$12:$I$102,4,0))&lt;&gt;7,DO306-VLOOKUP($P306&amp;" | "&amp;DF$6,'Job Master'!$F$12:$I$102,4,0),DO306-VLOOKUP($P306&amp;" | "&amp;DF$6,'Job Master'!$F$12:$I$102,4,0)-1),""),"")</f>
        <v/>
      </c>
      <c r="DI306" s="73"/>
      <c r="DJ306" s="123" t="str">
        <f t="shared" si="555"/>
        <v/>
      </c>
      <c r="DK306" s="123" t="str">
        <f t="shared" si="556"/>
        <v/>
      </c>
      <c r="DL306" s="97" t="str">
        <f t="shared" ca="1" si="557"/>
        <v/>
      </c>
      <c r="DM306" s="98" t="str">
        <f>IF(DO306&lt;&gt;"",VLOOKUP($P306&amp;" | "&amp;DM$6,'Job Master'!$F$12:$J$102,5,0),"")</f>
        <v/>
      </c>
      <c r="DN306" s="19" t="str">
        <f>IF(DO306&lt;&gt;"",VLOOKUP($P306&amp;" | "&amp;DM$6,'Job Master'!$F$12:$J$102,3,0),"")</f>
        <v/>
      </c>
      <c r="DO306" s="19" t="str">
        <f>IFERROR(IF(AND(DT306&lt;&gt;"",VLOOKUP($P306&amp;" | "&amp;DM$6,'Job Master'!$F$12:$I$102,4,0)&lt;&gt;""),IF(WEEKDAY(DT306-VLOOKUP($P306&amp;" | "&amp;DM$6,'Job Master'!$F$12:$I$102,4,0))&lt;&gt;7,DT306-VLOOKUP($P306&amp;" | "&amp;DM$6,'Job Master'!$F$12:$I$102,4,0),DT306-VLOOKUP($P306&amp;" | "&amp;DM$6,'Job Master'!$F$12:$I$102,4,0)-1),""),"")</f>
        <v/>
      </c>
      <c r="DP306" s="73"/>
      <c r="DQ306" s="123" t="str">
        <f t="shared" si="558"/>
        <v/>
      </c>
      <c r="DR306" s="123" t="str">
        <f t="shared" si="559"/>
        <v/>
      </c>
      <c r="DS306" s="97" t="str">
        <f t="shared" ca="1" si="560"/>
        <v/>
      </c>
      <c r="DT306" s="70" t="str">
        <f t="shared" si="561"/>
        <v/>
      </c>
      <c r="DU306" s="90"/>
      <c r="DV306" s="123" t="str">
        <f t="shared" si="562"/>
        <v/>
      </c>
      <c r="DW306" s="123" t="str">
        <f t="shared" si="563"/>
        <v/>
      </c>
      <c r="DX306" s="132" t="str">
        <f t="shared" ref="DX306" ca="1" si="615">IF(DT306&lt;&gt;"",IF(WEEKNUM(DT306)=WEEKNUM(TODAY()),"This Week",IF(WEEKNUM(DT306)=WEEKNUM(TODAY())+1,"Next Week",IF(WEEKNUM(DT306)=WEEKNUM(TODAY())-1,"Previous Week",""))),"")</f>
        <v/>
      </c>
      <c r="DY306" s="134" t="str">
        <f t="shared" si="565"/>
        <v/>
      </c>
      <c r="DZ306" s="95"/>
      <c r="EB306" s="8" t="str">
        <f t="shared" si="571"/>
        <v/>
      </c>
      <c r="EC306" s="8" t="str">
        <f>IF(O306&lt;&gt;"",VLOOKUP(O306,'Job Master'!$N$12:$O$18,2,0),"")</f>
        <v/>
      </c>
      <c r="ED306" s="8">
        <f t="shared" si="572"/>
        <v>19.5</v>
      </c>
      <c r="EE306" s="8">
        <f t="shared" si="573"/>
        <v>6</v>
      </c>
      <c r="EF306" s="8">
        <f t="shared" si="574"/>
        <v>-1756.5</v>
      </c>
      <c r="EG306" s="8" t="str">
        <f t="shared" si="575"/>
        <v/>
      </c>
      <c r="EH306" s="8" t="str">
        <f t="shared" si="576"/>
        <v/>
      </c>
    </row>
    <row r="307" spans="2:138" x14ac:dyDescent="0.3">
      <c r="B307" s="112"/>
      <c r="C307" s="27"/>
      <c r="D307" s="7" t="str">
        <f t="shared" si="513"/>
        <v/>
      </c>
      <c r="E307" s="25"/>
      <c r="F307" s="7" t="str">
        <f t="shared" si="513"/>
        <v/>
      </c>
      <c r="G307" s="25"/>
      <c r="H307" s="7" t="str">
        <f t="shared" si="513"/>
        <v/>
      </c>
      <c r="I307" s="25"/>
      <c r="J307" s="7" t="str">
        <f t="shared" si="513"/>
        <v/>
      </c>
      <c r="K307" s="25"/>
      <c r="L307" s="7" t="str">
        <f t="shared" si="514"/>
        <v/>
      </c>
      <c r="M307" s="25"/>
      <c r="N307" s="7" t="str">
        <f t="shared" si="515"/>
        <v/>
      </c>
      <c r="O307" s="81"/>
      <c r="P307" s="81" t="str">
        <f t="shared" si="516"/>
        <v/>
      </c>
      <c r="Q307" s="81"/>
      <c r="R307" s="7" t="str">
        <f t="shared" si="517"/>
        <v/>
      </c>
      <c r="S307" s="25"/>
      <c r="T307" s="7" t="str">
        <f t="shared" si="518"/>
        <v/>
      </c>
      <c r="U307" s="25"/>
      <c r="V307" s="7" t="str">
        <f t="shared" si="519"/>
        <v/>
      </c>
      <c r="W307" s="25"/>
      <c r="X307" s="7" t="str">
        <f t="shared" si="520"/>
        <v/>
      </c>
      <c r="Y307" s="18" t="str">
        <f t="shared" si="521"/>
        <v/>
      </c>
      <c r="Z307" s="7" t="str">
        <f t="shared" si="522"/>
        <v/>
      </c>
      <c r="AA307" s="18" t="str">
        <f t="shared" si="523"/>
        <v/>
      </c>
      <c r="AB307" s="19" t="str">
        <f t="shared" si="524"/>
        <v/>
      </c>
      <c r="AC307" s="26"/>
      <c r="AD307" s="26"/>
      <c r="AE307" s="25"/>
      <c r="AF307" s="26"/>
      <c r="AG307" s="25"/>
      <c r="AH307" s="25"/>
      <c r="AI307" s="18" t="str">
        <f t="shared" si="587"/>
        <v/>
      </c>
      <c r="AJ307" s="25"/>
      <c r="AK307" s="18" t="str">
        <f t="shared" si="588"/>
        <v/>
      </c>
      <c r="AL307" s="79"/>
      <c r="AM307" s="126" t="str">
        <f t="shared" si="589"/>
        <v/>
      </c>
      <c r="AN307" s="128" t="str">
        <f>IF(AP307&lt;&gt;"",VLOOKUP($P307&amp;" | "&amp;AN$6,'Job Master'!$F$12:$J$102,5,0),"")</f>
        <v/>
      </c>
      <c r="AO307" s="19" t="str">
        <f>IF(AP307&lt;&gt;"",VLOOKUP($P307&amp;" | "&amp;AN$6,'Job Master'!$F$12:$J$102,3,0),"")</f>
        <v/>
      </c>
      <c r="AP307" s="19" t="str">
        <f>IFERROR(IF(AND(AW307&lt;&gt;"",VLOOKUP($P307&amp;" | "&amp;AN$6,'Job Master'!$F$12:$I$102,4,0)&lt;&gt;""),IF(WEEKDAY(AW307-VLOOKUP($P307&amp;" | "&amp;AN$6,'Job Master'!$F$12:$I$102,4,0))&lt;&gt;7,AW307-VLOOKUP($P307&amp;" | "&amp;AN$6,'Job Master'!$F$12:$I$102,4,0),AW307-VLOOKUP($P307&amp;" | "&amp;AN$6,'Job Master'!$F$12:$I$102,4,0)-1),""),"")</f>
        <v/>
      </c>
      <c r="AQ307" s="73"/>
      <c r="AR307" s="123" t="str">
        <f t="shared" si="525"/>
        <v/>
      </c>
      <c r="AS307" s="123" t="str">
        <f t="shared" si="526"/>
        <v/>
      </c>
      <c r="AT307" s="97" t="str">
        <f t="shared" ca="1" si="527"/>
        <v/>
      </c>
      <c r="AU307" s="98" t="str">
        <f>IF(AW307&lt;&gt;"",VLOOKUP($P307&amp;" | "&amp;AU$6,'Job Master'!$F$12:$J$102,5,0),"")</f>
        <v/>
      </c>
      <c r="AV307" s="19" t="str">
        <f>IF(AW307&lt;&gt;"",VLOOKUP($P307&amp;" | "&amp;AU$6,'Job Master'!$F$12:$J$102,3,0),"")</f>
        <v/>
      </c>
      <c r="AW307" s="19" t="str">
        <f>IFERROR(IF(AND(BD307&lt;&gt;"",VLOOKUP($P307&amp;" | "&amp;AU$6,'Job Master'!$F$12:$I$102,4,0)&lt;&gt;""),IF(WEEKDAY(BD307-VLOOKUP($P307&amp;" | "&amp;AU$6,'Job Master'!$F$12:$I$102,4,0))&lt;&gt;7,BD307-VLOOKUP($P307&amp;" | "&amp;AU$6,'Job Master'!$F$12:$I$102,4,0),BD307-VLOOKUP($P307&amp;" | "&amp;AU$6,'Job Master'!$F$12:$I$102,4,0)-1),""),"")</f>
        <v/>
      </c>
      <c r="AX307" s="73"/>
      <c r="AY307" s="123" t="str">
        <f t="shared" si="528"/>
        <v/>
      </c>
      <c r="AZ307" s="123" t="str">
        <f t="shared" si="529"/>
        <v/>
      </c>
      <c r="BA307" s="97" t="str">
        <f t="shared" ca="1" si="530"/>
        <v/>
      </c>
      <c r="BB307" s="98" t="str">
        <f>IF(BD307&lt;&gt;"",VLOOKUP($P307&amp;" | "&amp;BB$6,'Job Master'!$F$12:$J$102,5,0),"")</f>
        <v/>
      </c>
      <c r="BC307" s="19" t="str">
        <f>IF(BD307&lt;&gt;"",VLOOKUP($P307&amp;" | "&amp;BB$6,'Job Master'!$F$12:$J$102,3,0),"")</f>
        <v/>
      </c>
      <c r="BD307" s="19" t="str">
        <f>IFERROR(IF(AND(BK307&lt;&gt;"",VLOOKUP($P307&amp;" | "&amp;BB$6,'Job Master'!$F$12:$I$102,4,0)&lt;&gt;""),IF(WEEKDAY(BK307-VLOOKUP($P307&amp;" | "&amp;BB$6,'Job Master'!$F$12:$I$102,4,0))&lt;&gt;7,BK307-VLOOKUP($P307&amp;" | "&amp;BB$6,'Job Master'!$F$12:$I$102,4,0),BK307-VLOOKUP($P307&amp;" | "&amp;BB$6,'Job Master'!$F$12:$I$102,4,0)-1),""),"")</f>
        <v/>
      </c>
      <c r="BE307" s="73"/>
      <c r="BF307" s="123" t="str">
        <f t="shared" si="531"/>
        <v/>
      </c>
      <c r="BG307" s="123" t="str">
        <f t="shared" si="532"/>
        <v/>
      </c>
      <c r="BH307" s="97" t="str">
        <f t="shared" ca="1" si="533"/>
        <v/>
      </c>
      <c r="BI307" s="98" t="str">
        <f>IF(BK307&lt;&gt;"",VLOOKUP($P307&amp;" | "&amp;BI$6,'Job Master'!$F$12:$J$102,5,0),"")</f>
        <v/>
      </c>
      <c r="BJ307" s="19" t="str">
        <f>IF(BK307&lt;&gt;"",VLOOKUP($P307&amp;" | "&amp;BI$6,'Job Master'!$F$12:$J$102,3,0),"")</f>
        <v/>
      </c>
      <c r="BK307" s="19" t="str">
        <f>IFERROR(IF(AND(BR307&lt;&gt;"",VLOOKUP($P307&amp;" | "&amp;BI$6,'Job Master'!$F$12:$I$102,4,0)&lt;&gt;""),IF(WEEKDAY(BR307-VLOOKUP($P307&amp;" | "&amp;BI$6,'Job Master'!$F$12:$I$102,4,0))&lt;&gt;7,BR307-VLOOKUP($P307&amp;" | "&amp;BI$6,'Job Master'!$F$12:$I$102,4,0),BR307-VLOOKUP($P307&amp;" | "&amp;BI$6,'Job Master'!$F$12:$I$102,4,0)-1),""),"")</f>
        <v/>
      </c>
      <c r="BL307" s="73"/>
      <c r="BM307" s="123" t="str">
        <f t="shared" si="534"/>
        <v/>
      </c>
      <c r="BN307" s="123" t="str">
        <f t="shared" si="535"/>
        <v/>
      </c>
      <c r="BO307" s="97" t="str">
        <f t="shared" ca="1" si="536"/>
        <v/>
      </c>
      <c r="BP307" s="98" t="str">
        <f>IF(BR307&lt;&gt;"",VLOOKUP($P307&amp;" | "&amp;BP$6,'Job Master'!$F$12:$J$102,5,0),"")</f>
        <v/>
      </c>
      <c r="BQ307" s="19" t="str">
        <f>IF(BR307&lt;&gt;"",VLOOKUP($P307&amp;" | "&amp;BP$6,'Job Master'!$F$12:$J$102,3,0),"")</f>
        <v/>
      </c>
      <c r="BR307" s="19" t="str">
        <f>IFERROR(IF(AND(BY307&lt;&gt;"",VLOOKUP($P307&amp;" | "&amp;BP$6,'Job Master'!$F$12:$I$102,4,0)&lt;&gt;""),IF(WEEKDAY(BY307-VLOOKUP($P307&amp;" | "&amp;BP$6,'Job Master'!$F$12:$I$102,4,0))&lt;&gt;7,BY307-VLOOKUP($P307&amp;" | "&amp;BP$6,'Job Master'!$F$12:$I$102,4,0),BY307-VLOOKUP($P307&amp;" | "&amp;BP$6,'Job Master'!$F$12:$I$102,4,0)-1),""),"")</f>
        <v/>
      </c>
      <c r="BS307" s="73"/>
      <c r="BT307" s="123" t="str">
        <f t="shared" si="537"/>
        <v/>
      </c>
      <c r="BU307" s="123" t="str">
        <f t="shared" si="538"/>
        <v/>
      </c>
      <c r="BV307" s="97" t="str">
        <f t="shared" ca="1" si="539"/>
        <v/>
      </c>
      <c r="BW307" s="98" t="str">
        <f>IF(BY307&lt;&gt;"",VLOOKUP($P307&amp;" | "&amp;BW$6,'Job Master'!$F$12:$J$102,5,0),"")</f>
        <v/>
      </c>
      <c r="BX307" s="19" t="str">
        <f>IF(BY307&lt;&gt;"",VLOOKUP($P307&amp;" | "&amp;BW$6,'Job Master'!$F$12:$J$102,3,0),"")</f>
        <v/>
      </c>
      <c r="BY307" s="19" t="str">
        <f>IFERROR(IF(AND(CF307&lt;&gt;"",VLOOKUP($P307&amp;" | "&amp;BW$6,'Job Master'!$F$12:$I$102,4,0)&lt;&gt;""),IF(WEEKDAY(CF307-VLOOKUP($P307&amp;" | "&amp;BW$6,'Job Master'!$F$12:$I$102,4,0))&lt;&gt;7,CF307-VLOOKUP($P307&amp;" | "&amp;BW$6,'Job Master'!$F$12:$I$102,4,0),CF307-VLOOKUP($P307&amp;" | "&amp;BW$6,'Job Master'!$F$12:$I$102,4,0)-1),""),"")</f>
        <v/>
      </c>
      <c r="BZ307" s="73"/>
      <c r="CA307" s="123" t="str">
        <f t="shared" si="540"/>
        <v/>
      </c>
      <c r="CB307" s="123" t="str">
        <f t="shared" si="541"/>
        <v/>
      </c>
      <c r="CC307" s="97" t="str">
        <f t="shared" ca="1" si="542"/>
        <v/>
      </c>
      <c r="CD307" s="98" t="str">
        <f>IF(CF307&lt;&gt;"",VLOOKUP($P307&amp;" | "&amp;CD$6,'Job Master'!$F$12:$J$102,5,0),"")</f>
        <v/>
      </c>
      <c r="CE307" s="19" t="str">
        <f>IF(CF307&lt;&gt;"",VLOOKUP($P307&amp;" | "&amp;CD$6,'Job Master'!$F$12:$J$102,3,0),"")</f>
        <v/>
      </c>
      <c r="CF307" s="19" t="str">
        <f>IFERROR(IF(AND(CM307&lt;&gt;"",VLOOKUP($P307&amp;" | "&amp;CD$6,'Job Master'!$F$12:$I$102,4,0)&lt;&gt;""),IF(WEEKDAY(CM307-VLOOKUP($P307&amp;" | "&amp;CD$6,'Job Master'!$F$12:$I$102,4,0))&lt;&gt;7,CM307-VLOOKUP($P307&amp;" | "&amp;CD$6,'Job Master'!$F$12:$I$102,4,0),CM307-VLOOKUP($P307&amp;" | "&amp;CD$6,'Job Master'!$F$12:$I$102,4,0)-1),""),"")</f>
        <v/>
      </c>
      <c r="CG307" s="73"/>
      <c r="CH307" s="123" t="str">
        <f t="shared" si="543"/>
        <v/>
      </c>
      <c r="CI307" s="123" t="str">
        <f t="shared" si="544"/>
        <v/>
      </c>
      <c r="CJ307" s="97" t="str">
        <f t="shared" ca="1" si="545"/>
        <v/>
      </c>
      <c r="CK307" s="98" t="str">
        <f>IF(CM307&lt;&gt;"",VLOOKUP($P307&amp;" | "&amp;CK$6,'Job Master'!$F$12:$J$102,5,0),"")</f>
        <v/>
      </c>
      <c r="CL307" s="19" t="str">
        <f>IF(CM307&lt;&gt;"",VLOOKUP($P307&amp;" | "&amp;CK$6,'Job Master'!$F$12:$J$102,3,0),"")</f>
        <v/>
      </c>
      <c r="CM307" s="19" t="str">
        <f>IFERROR(IF(AND(CT307&lt;&gt;"",VLOOKUP($P307&amp;" | "&amp;CK$6,'Job Master'!$F$12:$I$102,4,0)&lt;&gt;""),IF(WEEKDAY(CT307-VLOOKUP($P307&amp;" | "&amp;CK$6,'Job Master'!$F$12:$I$102,4,0))&lt;&gt;7,CT307-VLOOKUP($P307&amp;" | "&amp;CK$6,'Job Master'!$F$12:$I$102,4,0),CT307-VLOOKUP($P307&amp;" | "&amp;CK$6,'Job Master'!$F$12:$I$102,4,0)-1),""),"")</f>
        <v/>
      </c>
      <c r="CN307" s="73"/>
      <c r="CO307" s="123" t="str">
        <f t="shared" si="546"/>
        <v/>
      </c>
      <c r="CP307" s="123" t="str">
        <f t="shared" si="547"/>
        <v/>
      </c>
      <c r="CQ307" s="97" t="str">
        <f t="shared" ca="1" si="548"/>
        <v/>
      </c>
      <c r="CR307" s="98" t="str">
        <f>IF(CT307&lt;&gt;"",VLOOKUP($P307&amp;" | "&amp;CR$6,'Job Master'!$F$12:$J$102,5,0),"")</f>
        <v/>
      </c>
      <c r="CS307" s="19" t="str">
        <f>IF(CT307&lt;&gt;"",VLOOKUP($P307&amp;" | "&amp;CR$6,'Job Master'!$F$12:$J$102,3,0),"")</f>
        <v/>
      </c>
      <c r="CT307" s="19" t="str">
        <f>IFERROR(IF(AND(DA307&lt;&gt;"",VLOOKUP($P307&amp;" | "&amp;CR$6,'Job Master'!$F$12:$I$102,4,0)&lt;&gt;""),IF(WEEKDAY(DA307-VLOOKUP($P307&amp;" | "&amp;CR$6,'Job Master'!$F$12:$I$102,4,0))&lt;&gt;7,DA307-VLOOKUP($P307&amp;" | "&amp;CR$6,'Job Master'!$F$12:$I$102,4,0),DA307-VLOOKUP($P307&amp;" | "&amp;CR$6,'Job Master'!$F$12:$I$102,4,0)-1),""),"")</f>
        <v/>
      </c>
      <c r="CU307" s="73"/>
      <c r="CV307" s="123" t="str">
        <f t="shared" si="549"/>
        <v/>
      </c>
      <c r="CW307" s="123" t="str">
        <f t="shared" si="550"/>
        <v/>
      </c>
      <c r="CX307" s="97" t="str">
        <f t="shared" ca="1" si="551"/>
        <v/>
      </c>
      <c r="CY307" s="98" t="str">
        <f>IF(DA307&lt;&gt;"",VLOOKUP($P307&amp;" | "&amp;CY$6,'Job Master'!$F$12:$J$102,5,0),"")</f>
        <v/>
      </c>
      <c r="CZ307" s="19" t="str">
        <f>IF(DA307&lt;&gt;"",VLOOKUP($P307&amp;" | "&amp;CY$6,'Job Master'!$F$12:$J$102,3,0),"")</f>
        <v/>
      </c>
      <c r="DA307" s="19" t="str">
        <f>IFERROR(IF(AND(DH307&lt;&gt;"",VLOOKUP($P307&amp;" | "&amp;CY$6,'Job Master'!$F$12:$I$102,4,0)&lt;&gt;""),IF(WEEKDAY(DH307-VLOOKUP($P307&amp;" | "&amp;CY$6,'Job Master'!$F$12:$I$102,4,0))&lt;&gt;7,DH307-VLOOKUP($P307&amp;" | "&amp;CY$6,'Job Master'!$F$12:$I$102,4,0),DH307-VLOOKUP($P307&amp;" | "&amp;CY$6,'Job Master'!$F$12:$I$102,4,0)-1),""),"")</f>
        <v/>
      </c>
      <c r="DB307" s="73"/>
      <c r="DC307" s="123" t="str">
        <f t="shared" si="552"/>
        <v/>
      </c>
      <c r="DD307" s="123" t="str">
        <f t="shared" si="553"/>
        <v/>
      </c>
      <c r="DE307" s="97" t="str">
        <f t="shared" ca="1" si="554"/>
        <v/>
      </c>
      <c r="DF307" s="98" t="str">
        <f>IF(DH307&lt;&gt;"",VLOOKUP($P307&amp;" | "&amp;DF$6,'Job Master'!$F$12:$J$102,5,0),"")</f>
        <v/>
      </c>
      <c r="DG307" s="19" t="str">
        <f>IF(DH307&lt;&gt;"",VLOOKUP($P307&amp;" | "&amp;DF$6,'Job Master'!$F$12:$J$102,3,0),"")</f>
        <v/>
      </c>
      <c r="DH307" s="19" t="str">
        <f>IFERROR(IF(AND(DO307&lt;&gt;"",VLOOKUP($P307&amp;" | "&amp;DF$6,'Job Master'!$F$12:$I$102,4,0)&lt;&gt;""),IF(WEEKDAY(DO307-VLOOKUP($P307&amp;" | "&amp;DF$6,'Job Master'!$F$12:$I$102,4,0))&lt;&gt;7,DO307-VLOOKUP($P307&amp;" | "&amp;DF$6,'Job Master'!$F$12:$I$102,4,0),DO307-VLOOKUP($P307&amp;" | "&amp;DF$6,'Job Master'!$F$12:$I$102,4,0)-1),""),"")</f>
        <v/>
      </c>
      <c r="DI307" s="73"/>
      <c r="DJ307" s="123" t="str">
        <f t="shared" si="555"/>
        <v/>
      </c>
      <c r="DK307" s="123" t="str">
        <f t="shared" si="556"/>
        <v/>
      </c>
      <c r="DL307" s="97" t="str">
        <f t="shared" ca="1" si="557"/>
        <v/>
      </c>
      <c r="DM307" s="98" t="str">
        <f>IF(DO307&lt;&gt;"",VLOOKUP($P307&amp;" | "&amp;DM$6,'Job Master'!$F$12:$J$102,5,0),"")</f>
        <v/>
      </c>
      <c r="DN307" s="19" t="str">
        <f>IF(DO307&lt;&gt;"",VLOOKUP($P307&amp;" | "&amp;DM$6,'Job Master'!$F$12:$J$102,3,0),"")</f>
        <v/>
      </c>
      <c r="DO307" s="19" t="str">
        <f>IFERROR(IF(AND(DT307&lt;&gt;"",VLOOKUP($P307&amp;" | "&amp;DM$6,'Job Master'!$F$12:$I$102,4,0)&lt;&gt;""),IF(WEEKDAY(DT307-VLOOKUP($P307&amp;" | "&amp;DM$6,'Job Master'!$F$12:$I$102,4,0))&lt;&gt;7,DT307-VLOOKUP($P307&amp;" | "&amp;DM$6,'Job Master'!$F$12:$I$102,4,0),DT307-VLOOKUP($P307&amp;" | "&amp;DM$6,'Job Master'!$F$12:$I$102,4,0)-1),""),"")</f>
        <v/>
      </c>
      <c r="DP307" s="73"/>
      <c r="DQ307" s="123" t="str">
        <f t="shared" si="558"/>
        <v/>
      </c>
      <c r="DR307" s="123" t="str">
        <f t="shared" si="559"/>
        <v/>
      </c>
      <c r="DS307" s="97" t="str">
        <f t="shared" ca="1" si="560"/>
        <v/>
      </c>
      <c r="DT307" s="70" t="str">
        <f t="shared" si="561"/>
        <v/>
      </c>
      <c r="DU307" s="90"/>
      <c r="DV307" s="123" t="str">
        <f t="shared" si="562"/>
        <v/>
      </c>
      <c r="DW307" s="123" t="str">
        <f t="shared" si="563"/>
        <v/>
      </c>
      <c r="DX307" s="132" t="str">
        <f t="shared" ref="DX307" ca="1" si="616">IF(DT307&lt;&gt;"",IF(WEEKNUM(DT307)=WEEKNUM(TODAY()),"This Week",IF(WEEKNUM(DT307)=WEEKNUM(TODAY())+1,"Next Week",IF(WEEKNUM(DT307)=WEEKNUM(TODAY())-1,"Previous Week",""))),"")</f>
        <v/>
      </c>
      <c r="DY307" s="134" t="str">
        <f t="shared" si="565"/>
        <v/>
      </c>
      <c r="DZ307" s="95"/>
      <c r="EB307" s="8" t="str">
        <f t="shared" si="571"/>
        <v/>
      </c>
      <c r="EC307" s="8" t="str">
        <f>IF(O307&lt;&gt;"",VLOOKUP(O307,'Job Master'!$N$12:$O$18,2,0),"")</f>
        <v/>
      </c>
      <c r="ED307" s="8">
        <f t="shared" si="572"/>
        <v>19.5</v>
      </c>
      <c r="EE307" s="8">
        <f t="shared" si="573"/>
        <v>6</v>
      </c>
      <c r="EF307" s="8">
        <f t="shared" si="574"/>
        <v>-1762.5</v>
      </c>
      <c r="EG307" s="8" t="str">
        <f t="shared" si="575"/>
        <v/>
      </c>
      <c r="EH307" s="8" t="str">
        <f t="shared" si="576"/>
        <v/>
      </c>
    </row>
    <row r="308" spans="2:138" x14ac:dyDescent="0.3">
      <c r="B308" s="112"/>
      <c r="C308" s="27"/>
      <c r="D308" s="7" t="str">
        <f t="shared" si="513"/>
        <v/>
      </c>
      <c r="E308" s="25"/>
      <c r="F308" s="7" t="str">
        <f t="shared" si="513"/>
        <v/>
      </c>
      <c r="G308" s="25"/>
      <c r="H308" s="7" t="str">
        <f t="shared" si="513"/>
        <v/>
      </c>
      <c r="I308" s="25"/>
      <c r="J308" s="7" t="str">
        <f t="shared" si="513"/>
        <v/>
      </c>
      <c r="K308" s="25"/>
      <c r="L308" s="7" t="str">
        <f t="shared" si="514"/>
        <v/>
      </c>
      <c r="M308" s="25"/>
      <c r="N308" s="7" t="str">
        <f t="shared" si="515"/>
        <v/>
      </c>
      <c r="O308" s="81"/>
      <c r="P308" s="81" t="str">
        <f t="shared" si="516"/>
        <v/>
      </c>
      <c r="Q308" s="81"/>
      <c r="R308" s="7" t="str">
        <f t="shared" si="517"/>
        <v/>
      </c>
      <c r="S308" s="25"/>
      <c r="T308" s="7" t="str">
        <f t="shared" si="518"/>
        <v/>
      </c>
      <c r="U308" s="25"/>
      <c r="V308" s="7" t="str">
        <f t="shared" si="519"/>
        <v/>
      </c>
      <c r="W308" s="25"/>
      <c r="X308" s="7" t="str">
        <f t="shared" si="520"/>
        <v/>
      </c>
      <c r="Y308" s="18" t="str">
        <f t="shared" si="521"/>
        <v/>
      </c>
      <c r="Z308" s="7" t="str">
        <f t="shared" si="522"/>
        <v/>
      </c>
      <c r="AA308" s="18" t="str">
        <f t="shared" si="523"/>
        <v/>
      </c>
      <c r="AB308" s="19" t="str">
        <f t="shared" si="524"/>
        <v/>
      </c>
      <c r="AC308" s="26"/>
      <c r="AD308" s="26"/>
      <c r="AE308" s="25"/>
      <c r="AF308" s="26"/>
      <c r="AG308" s="25"/>
      <c r="AH308" s="25"/>
      <c r="AI308" s="18" t="str">
        <f t="shared" si="587"/>
        <v/>
      </c>
      <c r="AJ308" s="25"/>
      <c r="AK308" s="18" t="str">
        <f t="shared" si="588"/>
        <v/>
      </c>
      <c r="AL308" s="79"/>
      <c r="AM308" s="126" t="str">
        <f t="shared" si="589"/>
        <v/>
      </c>
      <c r="AN308" s="128" t="str">
        <f>IF(AP308&lt;&gt;"",VLOOKUP($P308&amp;" | "&amp;AN$6,'Job Master'!$F$12:$J$102,5,0),"")</f>
        <v/>
      </c>
      <c r="AO308" s="19" t="str">
        <f>IF(AP308&lt;&gt;"",VLOOKUP($P308&amp;" | "&amp;AN$6,'Job Master'!$F$12:$J$102,3,0),"")</f>
        <v/>
      </c>
      <c r="AP308" s="19" t="str">
        <f>IFERROR(IF(AND(AW308&lt;&gt;"",VLOOKUP($P308&amp;" | "&amp;AN$6,'Job Master'!$F$12:$I$102,4,0)&lt;&gt;""),IF(WEEKDAY(AW308-VLOOKUP($P308&amp;" | "&amp;AN$6,'Job Master'!$F$12:$I$102,4,0))&lt;&gt;7,AW308-VLOOKUP($P308&amp;" | "&amp;AN$6,'Job Master'!$F$12:$I$102,4,0),AW308-VLOOKUP($P308&amp;" | "&amp;AN$6,'Job Master'!$F$12:$I$102,4,0)-1),""),"")</f>
        <v/>
      </c>
      <c r="AQ308" s="73"/>
      <c r="AR308" s="123" t="str">
        <f t="shared" si="525"/>
        <v/>
      </c>
      <c r="AS308" s="123" t="str">
        <f t="shared" si="526"/>
        <v/>
      </c>
      <c r="AT308" s="97" t="str">
        <f t="shared" ca="1" si="527"/>
        <v/>
      </c>
      <c r="AU308" s="98" t="str">
        <f>IF(AW308&lt;&gt;"",VLOOKUP($P308&amp;" | "&amp;AU$6,'Job Master'!$F$12:$J$102,5,0),"")</f>
        <v/>
      </c>
      <c r="AV308" s="19" t="str">
        <f>IF(AW308&lt;&gt;"",VLOOKUP($P308&amp;" | "&amp;AU$6,'Job Master'!$F$12:$J$102,3,0),"")</f>
        <v/>
      </c>
      <c r="AW308" s="19" t="str">
        <f>IFERROR(IF(AND(BD308&lt;&gt;"",VLOOKUP($P308&amp;" | "&amp;AU$6,'Job Master'!$F$12:$I$102,4,0)&lt;&gt;""),IF(WEEKDAY(BD308-VLOOKUP($P308&amp;" | "&amp;AU$6,'Job Master'!$F$12:$I$102,4,0))&lt;&gt;7,BD308-VLOOKUP($P308&amp;" | "&amp;AU$6,'Job Master'!$F$12:$I$102,4,0),BD308-VLOOKUP($P308&amp;" | "&amp;AU$6,'Job Master'!$F$12:$I$102,4,0)-1),""),"")</f>
        <v/>
      </c>
      <c r="AX308" s="73"/>
      <c r="AY308" s="123" t="str">
        <f t="shared" si="528"/>
        <v/>
      </c>
      <c r="AZ308" s="123" t="str">
        <f t="shared" si="529"/>
        <v/>
      </c>
      <c r="BA308" s="97" t="str">
        <f t="shared" ca="1" si="530"/>
        <v/>
      </c>
      <c r="BB308" s="98" t="str">
        <f>IF(BD308&lt;&gt;"",VLOOKUP($P308&amp;" | "&amp;BB$6,'Job Master'!$F$12:$J$102,5,0),"")</f>
        <v/>
      </c>
      <c r="BC308" s="19" t="str">
        <f>IF(BD308&lt;&gt;"",VLOOKUP($P308&amp;" | "&amp;BB$6,'Job Master'!$F$12:$J$102,3,0),"")</f>
        <v/>
      </c>
      <c r="BD308" s="19" t="str">
        <f>IFERROR(IF(AND(BK308&lt;&gt;"",VLOOKUP($P308&amp;" | "&amp;BB$6,'Job Master'!$F$12:$I$102,4,0)&lt;&gt;""),IF(WEEKDAY(BK308-VLOOKUP($P308&amp;" | "&amp;BB$6,'Job Master'!$F$12:$I$102,4,0))&lt;&gt;7,BK308-VLOOKUP($P308&amp;" | "&amp;BB$6,'Job Master'!$F$12:$I$102,4,0),BK308-VLOOKUP($P308&amp;" | "&amp;BB$6,'Job Master'!$F$12:$I$102,4,0)-1),""),"")</f>
        <v/>
      </c>
      <c r="BE308" s="73"/>
      <c r="BF308" s="123" t="str">
        <f t="shared" si="531"/>
        <v/>
      </c>
      <c r="BG308" s="123" t="str">
        <f t="shared" si="532"/>
        <v/>
      </c>
      <c r="BH308" s="97" t="str">
        <f t="shared" ca="1" si="533"/>
        <v/>
      </c>
      <c r="BI308" s="98" t="str">
        <f>IF(BK308&lt;&gt;"",VLOOKUP($P308&amp;" | "&amp;BI$6,'Job Master'!$F$12:$J$102,5,0),"")</f>
        <v/>
      </c>
      <c r="BJ308" s="19" t="str">
        <f>IF(BK308&lt;&gt;"",VLOOKUP($P308&amp;" | "&amp;BI$6,'Job Master'!$F$12:$J$102,3,0),"")</f>
        <v/>
      </c>
      <c r="BK308" s="19" t="str">
        <f>IFERROR(IF(AND(BR308&lt;&gt;"",VLOOKUP($P308&amp;" | "&amp;BI$6,'Job Master'!$F$12:$I$102,4,0)&lt;&gt;""),IF(WEEKDAY(BR308-VLOOKUP($P308&amp;" | "&amp;BI$6,'Job Master'!$F$12:$I$102,4,0))&lt;&gt;7,BR308-VLOOKUP($P308&amp;" | "&amp;BI$6,'Job Master'!$F$12:$I$102,4,0),BR308-VLOOKUP($P308&amp;" | "&amp;BI$6,'Job Master'!$F$12:$I$102,4,0)-1),""),"")</f>
        <v/>
      </c>
      <c r="BL308" s="73"/>
      <c r="BM308" s="123" t="str">
        <f t="shared" si="534"/>
        <v/>
      </c>
      <c r="BN308" s="123" t="str">
        <f t="shared" si="535"/>
        <v/>
      </c>
      <c r="BO308" s="97" t="str">
        <f t="shared" ca="1" si="536"/>
        <v/>
      </c>
      <c r="BP308" s="98" t="str">
        <f>IF(BR308&lt;&gt;"",VLOOKUP($P308&amp;" | "&amp;BP$6,'Job Master'!$F$12:$J$102,5,0),"")</f>
        <v/>
      </c>
      <c r="BQ308" s="19" t="str">
        <f>IF(BR308&lt;&gt;"",VLOOKUP($P308&amp;" | "&amp;BP$6,'Job Master'!$F$12:$J$102,3,0),"")</f>
        <v/>
      </c>
      <c r="BR308" s="19" t="str">
        <f>IFERROR(IF(AND(BY308&lt;&gt;"",VLOOKUP($P308&amp;" | "&amp;BP$6,'Job Master'!$F$12:$I$102,4,0)&lt;&gt;""),IF(WEEKDAY(BY308-VLOOKUP($P308&amp;" | "&amp;BP$6,'Job Master'!$F$12:$I$102,4,0))&lt;&gt;7,BY308-VLOOKUP($P308&amp;" | "&amp;BP$6,'Job Master'!$F$12:$I$102,4,0),BY308-VLOOKUP($P308&amp;" | "&amp;BP$6,'Job Master'!$F$12:$I$102,4,0)-1),""),"")</f>
        <v/>
      </c>
      <c r="BS308" s="73"/>
      <c r="BT308" s="123" t="str">
        <f t="shared" si="537"/>
        <v/>
      </c>
      <c r="BU308" s="123" t="str">
        <f t="shared" si="538"/>
        <v/>
      </c>
      <c r="BV308" s="97" t="str">
        <f t="shared" ca="1" si="539"/>
        <v/>
      </c>
      <c r="BW308" s="98" t="str">
        <f>IF(BY308&lt;&gt;"",VLOOKUP($P308&amp;" | "&amp;BW$6,'Job Master'!$F$12:$J$102,5,0),"")</f>
        <v/>
      </c>
      <c r="BX308" s="19" t="str">
        <f>IF(BY308&lt;&gt;"",VLOOKUP($P308&amp;" | "&amp;BW$6,'Job Master'!$F$12:$J$102,3,0),"")</f>
        <v/>
      </c>
      <c r="BY308" s="19" t="str">
        <f>IFERROR(IF(AND(CF308&lt;&gt;"",VLOOKUP($P308&amp;" | "&amp;BW$6,'Job Master'!$F$12:$I$102,4,0)&lt;&gt;""),IF(WEEKDAY(CF308-VLOOKUP($P308&amp;" | "&amp;BW$6,'Job Master'!$F$12:$I$102,4,0))&lt;&gt;7,CF308-VLOOKUP($P308&amp;" | "&amp;BW$6,'Job Master'!$F$12:$I$102,4,0),CF308-VLOOKUP($P308&amp;" | "&amp;BW$6,'Job Master'!$F$12:$I$102,4,0)-1),""),"")</f>
        <v/>
      </c>
      <c r="BZ308" s="73"/>
      <c r="CA308" s="123" t="str">
        <f t="shared" si="540"/>
        <v/>
      </c>
      <c r="CB308" s="123" t="str">
        <f t="shared" si="541"/>
        <v/>
      </c>
      <c r="CC308" s="97" t="str">
        <f t="shared" ca="1" si="542"/>
        <v/>
      </c>
      <c r="CD308" s="98" t="str">
        <f>IF(CF308&lt;&gt;"",VLOOKUP($P308&amp;" | "&amp;CD$6,'Job Master'!$F$12:$J$102,5,0),"")</f>
        <v/>
      </c>
      <c r="CE308" s="19" t="str">
        <f>IF(CF308&lt;&gt;"",VLOOKUP($P308&amp;" | "&amp;CD$6,'Job Master'!$F$12:$J$102,3,0),"")</f>
        <v/>
      </c>
      <c r="CF308" s="19" t="str">
        <f>IFERROR(IF(AND(CM308&lt;&gt;"",VLOOKUP($P308&amp;" | "&amp;CD$6,'Job Master'!$F$12:$I$102,4,0)&lt;&gt;""),IF(WEEKDAY(CM308-VLOOKUP($P308&amp;" | "&amp;CD$6,'Job Master'!$F$12:$I$102,4,0))&lt;&gt;7,CM308-VLOOKUP($P308&amp;" | "&amp;CD$6,'Job Master'!$F$12:$I$102,4,0),CM308-VLOOKUP($P308&amp;" | "&amp;CD$6,'Job Master'!$F$12:$I$102,4,0)-1),""),"")</f>
        <v/>
      </c>
      <c r="CG308" s="73"/>
      <c r="CH308" s="123" t="str">
        <f t="shared" si="543"/>
        <v/>
      </c>
      <c r="CI308" s="123" t="str">
        <f t="shared" si="544"/>
        <v/>
      </c>
      <c r="CJ308" s="97" t="str">
        <f t="shared" ca="1" si="545"/>
        <v/>
      </c>
      <c r="CK308" s="98" t="str">
        <f>IF(CM308&lt;&gt;"",VLOOKUP($P308&amp;" | "&amp;CK$6,'Job Master'!$F$12:$J$102,5,0),"")</f>
        <v/>
      </c>
      <c r="CL308" s="19" t="str">
        <f>IF(CM308&lt;&gt;"",VLOOKUP($P308&amp;" | "&amp;CK$6,'Job Master'!$F$12:$J$102,3,0),"")</f>
        <v/>
      </c>
      <c r="CM308" s="19" t="str">
        <f>IFERROR(IF(AND(CT308&lt;&gt;"",VLOOKUP($P308&amp;" | "&amp;CK$6,'Job Master'!$F$12:$I$102,4,0)&lt;&gt;""),IF(WEEKDAY(CT308-VLOOKUP($P308&amp;" | "&amp;CK$6,'Job Master'!$F$12:$I$102,4,0))&lt;&gt;7,CT308-VLOOKUP($P308&amp;" | "&amp;CK$6,'Job Master'!$F$12:$I$102,4,0),CT308-VLOOKUP($P308&amp;" | "&amp;CK$6,'Job Master'!$F$12:$I$102,4,0)-1),""),"")</f>
        <v/>
      </c>
      <c r="CN308" s="73"/>
      <c r="CO308" s="123" t="str">
        <f t="shared" si="546"/>
        <v/>
      </c>
      <c r="CP308" s="123" t="str">
        <f t="shared" si="547"/>
        <v/>
      </c>
      <c r="CQ308" s="97" t="str">
        <f t="shared" ca="1" si="548"/>
        <v/>
      </c>
      <c r="CR308" s="98" t="str">
        <f>IF(CT308&lt;&gt;"",VLOOKUP($P308&amp;" | "&amp;CR$6,'Job Master'!$F$12:$J$102,5,0),"")</f>
        <v/>
      </c>
      <c r="CS308" s="19" t="str">
        <f>IF(CT308&lt;&gt;"",VLOOKUP($P308&amp;" | "&amp;CR$6,'Job Master'!$F$12:$J$102,3,0),"")</f>
        <v/>
      </c>
      <c r="CT308" s="19" t="str">
        <f>IFERROR(IF(AND(DA308&lt;&gt;"",VLOOKUP($P308&amp;" | "&amp;CR$6,'Job Master'!$F$12:$I$102,4,0)&lt;&gt;""),IF(WEEKDAY(DA308-VLOOKUP($P308&amp;" | "&amp;CR$6,'Job Master'!$F$12:$I$102,4,0))&lt;&gt;7,DA308-VLOOKUP($P308&amp;" | "&amp;CR$6,'Job Master'!$F$12:$I$102,4,0),DA308-VLOOKUP($P308&amp;" | "&amp;CR$6,'Job Master'!$F$12:$I$102,4,0)-1),""),"")</f>
        <v/>
      </c>
      <c r="CU308" s="73"/>
      <c r="CV308" s="123" t="str">
        <f t="shared" si="549"/>
        <v/>
      </c>
      <c r="CW308" s="123" t="str">
        <f t="shared" si="550"/>
        <v/>
      </c>
      <c r="CX308" s="97" t="str">
        <f t="shared" ca="1" si="551"/>
        <v/>
      </c>
      <c r="CY308" s="98" t="str">
        <f>IF(DA308&lt;&gt;"",VLOOKUP($P308&amp;" | "&amp;CY$6,'Job Master'!$F$12:$J$102,5,0),"")</f>
        <v/>
      </c>
      <c r="CZ308" s="19" t="str">
        <f>IF(DA308&lt;&gt;"",VLOOKUP($P308&amp;" | "&amp;CY$6,'Job Master'!$F$12:$J$102,3,0),"")</f>
        <v/>
      </c>
      <c r="DA308" s="19" t="str">
        <f>IFERROR(IF(AND(DH308&lt;&gt;"",VLOOKUP($P308&amp;" | "&amp;CY$6,'Job Master'!$F$12:$I$102,4,0)&lt;&gt;""),IF(WEEKDAY(DH308-VLOOKUP($P308&amp;" | "&amp;CY$6,'Job Master'!$F$12:$I$102,4,0))&lt;&gt;7,DH308-VLOOKUP($P308&amp;" | "&amp;CY$6,'Job Master'!$F$12:$I$102,4,0),DH308-VLOOKUP($P308&amp;" | "&amp;CY$6,'Job Master'!$F$12:$I$102,4,0)-1),""),"")</f>
        <v/>
      </c>
      <c r="DB308" s="73"/>
      <c r="DC308" s="123" t="str">
        <f t="shared" si="552"/>
        <v/>
      </c>
      <c r="DD308" s="123" t="str">
        <f t="shared" si="553"/>
        <v/>
      </c>
      <c r="DE308" s="97" t="str">
        <f t="shared" ca="1" si="554"/>
        <v/>
      </c>
      <c r="DF308" s="98" t="str">
        <f>IF(DH308&lt;&gt;"",VLOOKUP($P308&amp;" | "&amp;DF$6,'Job Master'!$F$12:$J$102,5,0),"")</f>
        <v/>
      </c>
      <c r="DG308" s="19" t="str">
        <f>IF(DH308&lt;&gt;"",VLOOKUP($P308&amp;" | "&amp;DF$6,'Job Master'!$F$12:$J$102,3,0),"")</f>
        <v/>
      </c>
      <c r="DH308" s="19" t="str">
        <f>IFERROR(IF(AND(DO308&lt;&gt;"",VLOOKUP($P308&amp;" | "&amp;DF$6,'Job Master'!$F$12:$I$102,4,0)&lt;&gt;""),IF(WEEKDAY(DO308-VLOOKUP($P308&amp;" | "&amp;DF$6,'Job Master'!$F$12:$I$102,4,0))&lt;&gt;7,DO308-VLOOKUP($P308&amp;" | "&amp;DF$6,'Job Master'!$F$12:$I$102,4,0),DO308-VLOOKUP($P308&amp;" | "&amp;DF$6,'Job Master'!$F$12:$I$102,4,0)-1),""),"")</f>
        <v/>
      </c>
      <c r="DI308" s="73"/>
      <c r="DJ308" s="123" t="str">
        <f t="shared" si="555"/>
        <v/>
      </c>
      <c r="DK308" s="123" t="str">
        <f t="shared" si="556"/>
        <v/>
      </c>
      <c r="DL308" s="97" t="str">
        <f t="shared" ca="1" si="557"/>
        <v/>
      </c>
      <c r="DM308" s="98" t="str">
        <f>IF(DO308&lt;&gt;"",VLOOKUP($P308&amp;" | "&amp;DM$6,'Job Master'!$F$12:$J$102,5,0),"")</f>
        <v/>
      </c>
      <c r="DN308" s="19" t="str">
        <f>IF(DO308&lt;&gt;"",VLOOKUP($P308&amp;" | "&amp;DM$6,'Job Master'!$F$12:$J$102,3,0),"")</f>
        <v/>
      </c>
      <c r="DO308" s="19" t="str">
        <f>IFERROR(IF(AND(DT308&lt;&gt;"",VLOOKUP($P308&amp;" | "&amp;DM$6,'Job Master'!$F$12:$I$102,4,0)&lt;&gt;""),IF(WEEKDAY(DT308-VLOOKUP($P308&amp;" | "&amp;DM$6,'Job Master'!$F$12:$I$102,4,0))&lt;&gt;7,DT308-VLOOKUP($P308&amp;" | "&amp;DM$6,'Job Master'!$F$12:$I$102,4,0),DT308-VLOOKUP($P308&amp;" | "&amp;DM$6,'Job Master'!$F$12:$I$102,4,0)-1),""),"")</f>
        <v/>
      </c>
      <c r="DP308" s="73"/>
      <c r="DQ308" s="123" t="str">
        <f t="shared" si="558"/>
        <v/>
      </c>
      <c r="DR308" s="123" t="str">
        <f t="shared" si="559"/>
        <v/>
      </c>
      <c r="DS308" s="97" t="str">
        <f t="shared" ca="1" si="560"/>
        <v/>
      </c>
      <c r="DT308" s="70" t="str">
        <f t="shared" si="561"/>
        <v/>
      </c>
      <c r="DU308" s="90"/>
      <c r="DV308" s="123" t="str">
        <f t="shared" si="562"/>
        <v/>
      </c>
      <c r="DW308" s="123" t="str">
        <f t="shared" si="563"/>
        <v/>
      </c>
      <c r="DX308" s="132" t="str">
        <f t="shared" ref="DX308" ca="1" si="617">IF(DT308&lt;&gt;"",IF(WEEKNUM(DT308)=WEEKNUM(TODAY()),"This Week",IF(WEEKNUM(DT308)=WEEKNUM(TODAY())+1,"Next Week",IF(WEEKNUM(DT308)=WEEKNUM(TODAY())-1,"Previous Week",""))),"")</f>
        <v/>
      </c>
      <c r="DY308" s="134" t="str">
        <f t="shared" si="565"/>
        <v/>
      </c>
      <c r="DZ308" s="95"/>
      <c r="EB308" s="8" t="str">
        <f t="shared" si="571"/>
        <v/>
      </c>
      <c r="EC308" s="8" t="str">
        <f>IF(O308&lt;&gt;"",VLOOKUP(O308,'Job Master'!$N$12:$O$18,2,0),"")</f>
        <v/>
      </c>
      <c r="ED308" s="8">
        <f t="shared" si="572"/>
        <v>19.5</v>
      </c>
      <c r="EE308" s="8">
        <f t="shared" si="573"/>
        <v>6</v>
      </c>
      <c r="EF308" s="8">
        <f t="shared" si="574"/>
        <v>-1768.5</v>
      </c>
      <c r="EG308" s="8" t="str">
        <f t="shared" si="575"/>
        <v/>
      </c>
      <c r="EH308" s="8" t="str">
        <f t="shared" si="576"/>
        <v/>
      </c>
    </row>
    <row r="309" spans="2:138" x14ac:dyDescent="0.3">
      <c r="B309" s="112"/>
      <c r="C309" s="27"/>
      <c r="D309" s="7" t="str">
        <f t="shared" si="513"/>
        <v/>
      </c>
      <c r="E309" s="25"/>
      <c r="F309" s="7" t="str">
        <f t="shared" si="513"/>
        <v/>
      </c>
      <c r="G309" s="25"/>
      <c r="H309" s="7" t="str">
        <f t="shared" si="513"/>
        <v/>
      </c>
      <c r="I309" s="25"/>
      <c r="J309" s="7" t="str">
        <f t="shared" si="513"/>
        <v/>
      </c>
      <c r="K309" s="25"/>
      <c r="L309" s="7" t="str">
        <f t="shared" si="514"/>
        <v/>
      </c>
      <c r="M309" s="25"/>
      <c r="N309" s="7" t="str">
        <f t="shared" si="515"/>
        <v/>
      </c>
      <c r="O309" s="81"/>
      <c r="P309" s="81" t="str">
        <f t="shared" si="516"/>
        <v/>
      </c>
      <c r="Q309" s="81"/>
      <c r="R309" s="7" t="str">
        <f t="shared" si="517"/>
        <v/>
      </c>
      <c r="S309" s="25"/>
      <c r="T309" s="7" t="str">
        <f t="shared" si="518"/>
        <v/>
      </c>
      <c r="U309" s="25"/>
      <c r="V309" s="7" t="str">
        <f t="shared" si="519"/>
        <v/>
      </c>
      <c r="W309" s="25"/>
      <c r="X309" s="7" t="str">
        <f t="shared" si="520"/>
        <v/>
      </c>
      <c r="Y309" s="18" t="str">
        <f t="shared" si="521"/>
        <v/>
      </c>
      <c r="Z309" s="7" t="str">
        <f t="shared" si="522"/>
        <v/>
      </c>
      <c r="AA309" s="18" t="str">
        <f t="shared" si="523"/>
        <v/>
      </c>
      <c r="AB309" s="19" t="str">
        <f t="shared" si="524"/>
        <v/>
      </c>
      <c r="AC309" s="26"/>
      <c r="AD309" s="26"/>
      <c r="AE309" s="25"/>
      <c r="AF309" s="26"/>
      <c r="AG309" s="25"/>
      <c r="AH309" s="25"/>
      <c r="AI309" s="18" t="str">
        <f t="shared" si="587"/>
        <v/>
      </c>
      <c r="AJ309" s="25"/>
      <c r="AK309" s="18" t="str">
        <f t="shared" si="588"/>
        <v/>
      </c>
      <c r="AL309" s="79"/>
      <c r="AM309" s="126" t="str">
        <f t="shared" si="589"/>
        <v/>
      </c>
      <c r="AN309" s="128" t="str">
        <f>IF(AP309&lt;&gt;"",VLOOKUP($P309&amp;" | "&amp;AN$6,'Job Master'!$F$12:$J$102,5,0),"")</f>
        <v/>
      </c>
      <c r="AO309" s="19" t="str">
        <f>IF(AP309&lt;&gt;"",VLOOKUP($P309&amp;" | "&amp;AN$6,'Job Master'!$F$12:$J$102,3,0),"")</f>
        <v/>
      </c>
      <c r="AP309" s="19" t="str">
        <f>IFERROR(IF(AND(AW309&lt;&gt;"",VLOOKUP($P309&amp;" | "&amp;AN$6,'Job Master'!$F$12:$I$102,4,0)&lt;&gt;""),IF(WEEKDAY(AW309-VLOOKUP($P309&amp;" | "&amp;AN$6,'Job Master'!$F$12:$I$102,4,0))&lt;&gt;7,AW309-VLOOKUP($P309&amp;" | "&amp;AN$6,'Job Master'!$F$12:$I$102,4,0),AW309-VLOOKUP($P309&amp;" | "&amp;AN$6,'Job Master'!$F$12:$I$102,4,0)-1),""),"")</f>
        <v/>
      </c>
      <c r="AQ309" s="73"/>
      <c r="AR309" s="123" t="str">
        <f t="shared" si="525"/>
        <v/>
      </c>
      <c r="AS309" s="123" t="str">
        <f t="shared" si="526"/>
        <v/>
      </c>
      <c r="AT309" s="97" t="str">
        <f t="shared" ca="1" si="527"/>
        <v/>
      </c>
      <c r="AU309" s="98" t="str">
        <f>IF(AW309&lt;&gt;"",VLOOKUP($P309&amp;" | "&amp;AU$6,'Job Master'!$F$12:$J$102,5,0),"")</f>
        <v/>
      </c>
      <c r="AV309" s="19" t="str">
        <f>IF(AW309&lt;&gt;"",VLOOKUP($P309&amp;" | "&amp;AU$6,'Job Master'!$F$12:$J$102,3,0),"")</f>
        <v/>
      </c>
      <c r="AW309" s="19" t="str">
        <f>IFERROR(IF(AND(BD309&lt;&gt;"",VLOOKUP($P309&amp;" | "&amp;AU$6,'Job Master'!$F$12:$I$102,4,0)&lt;&gt;""),IF(WEEKDAY(BD309-VLOOKUP($P309&amp;" | "&amp;AU$6,'Job Master'!$F$12:$I$102,4,0))&lt;&gt;7,BD309-VLOOKUP($P309&amp;" | "&amp;AU$6,'Job Master'!$F$12:$I$102,4,0),BD309-VLOOKUP($P309&amp;" | "&amp;AU$6,'Job Master'!$F$12:$I$102,4,0)-1),""),"")</f>
        <v/>
      </c>
      <c r="AX309" s="73"/>
      <c r="AY309" s="123" t="str">
        <f t="shared" si="528"/>
        <v/>
      </c>
      <c r="AZ309" s="123" t="str">
        <f t="shared" si="529"/>
        <v/>
      </c>
      <c r="BA309" s="97" t="str">
        <f t="shared" ca="1" si="530"/>
        <v/>
      </c>
      <c r="BB309" s="98" t="str">
        <f>IF(BD309&lt;&gt;"",VLOOKUP($P309&amp;" | "&amp;BB$6,'Job Master'!$F$12:$J$102,5,0),"")</f>
        <v/>
      </c>
      <c r="BC309" s="19" t="str">
        <f>IF(BD309&lt;&gt;"",VLOOKUP($P309&amp;" | "&amp;BB$6,'Job Master'!$F$12:$J$102,3,0),"")</f>
        <v/>
      </c>
      <c r="BD309" s="19" t="str">
        <f>IFERROR(IF(AND(BK309&lt;&gt;"",VLOOKUP($P309&amp;" | "&amp;BB$6,'Job Master'!$F$12:$I$102,4,0)&lt;&gt;""),IF(WEEKDAY(BK309-VLOOKUP($P309&amp;" | "&amp;BB$6,'Job Master'!$F$12:$I$102,4,0))&lt;&gt;7,BK309-VLOOKUP($P309&amp;" | "&amp;BB$6,'Job Master'!$F$12:$I$102,4,0),BK309-VLOOKUP($P309&amp;" | "&amp;BB$6,'Job Master'!$F$12:$I$102,4,0)-1),""),"")</f>
        <v/>
      </c>
      <c r="BE309" s="73"/>
      <c r="BF309" s="123" t="str">
        <f t="shared" si="531"/>
        <v/>
      </c>
      <c r="BG309" s="123" t="str">
        <f t="shared" si="532"/>
        <v/>
      </c>
      <c r="BH309" s="97" t="str">
        <f t="shared" ca="1" si="533"/>
        <v/>
      </c>
      <c r="BI309" s="98" t="str">
        <f>IF(BK309&lt;&gt;"",VLOOKUP($P309&amp;" | "&amp;BI$6,'Job Master'!$F$12:$J$102,5,0),"")</f>
        <v/>
      </c>
      <c r="BJ309" s="19" t="str">
        <f>IF(BK309&lt;&gt;"",VLOOKUP($P309&amp;" | "&amp;BI$6,'Job Master'!$F$12:$J$102,3,0),"")</f>
        <v/>
      </c>
      <c r="BK309" s="19" t="str">
        <f>IFERROR(IF(AND(BR309&lt;&gt;"",VLOOKUP($P309&amp;" | "&amp;BI$6,'Job Master'!$F$12:$I$102,4,0)&lt;&gt;""),IF(WEEKDAY(BR309-VLOOKUP($P309&amp;" | "&amp;BI$6,'Job Master'!$F$12:$I$102,4,0))&lt;&gt;7,BR309-VLOOKUP($P309&amp;" | "&amp;BI$6,'Job Master'!$F$12:$I$102,4,0),BR309-VLOOKUP($P309&amp;" | "&amp;BI$6,'Job Master'!$F$12:$I$102,4,0)-1),""),"")</f>
        <v/>
      </c>
      <c r="BL309" s="73"/>
      <c r="BM309" s="123" t="str">
        <f t="shared" si="534"/>
        <v/>
      </c>
      <c r="BN309" s="123" t="str">
        <f t="shared" si="535"/>
        <v/>
      </c>
      <c r="BO309" s="97" t="str">
        <f t="shared" ca="1" si="536"/>
        <v/>
      </c>
      <c r="BP309" s="98" t="str">
        <f>IF(BR309&lt;&gt;"",VLOOKUP($P309&amp;" | "&amp;BP$6,'Job Master'!$F$12:$J$102,5,0),"")</f>
        <v/>
      </c>
      <c r="BQ309" s="19" t="str">
        <f>IF(BR309&lt;&gt;"",VLOOKUP($P309&amp;" | "&amp;BP$6,'Job Master'!$F$12:$J$102,3,0),"")</f>
        <v/>
      </c>
      <c r="BR309" s="19" t="str">
        <f>IFERROR(IF(AND(BY309&lt;&gt;"",VLOOKUP($P309&amp;" | "&amp;BP$6,'Job Master'!$F$12:$I$102,4,0)&lt;&gt;""),IF(WEEKDAY(BY309-VLOOKUP($P309&amp;" | "&amp;BP$6,'Job Master'!$F$12:$I$102,4,0))&lt;&gt;7,BY309-VLOOKUP($P309&amp;" | "&amp;BP$6,'Job Master'!$F$12:$I$102,4,0),BY309-VLOOKUP($P309&amp;" | "&amp;BP$6,'Job Master'!$F$12:$I$102,4,0)-1),""),"")</f>
        <v/>
      </c>
      <c r="BS309" s="73"/>
      <c r="BT309" s="123" t="str">
        <f t="shared" si="537"/>
        <v/>
      </c>
      <c r="BU309" s="123" t="str">
        <f t="shared" si="538"/>
        <v/>
      </c>
      <c r="BV309" s="97" t="str">
        <f t="shared" ca="1" si="539"/>
        <v/>
      </c>
      <c r="BW309" s="98" t="str">
        <f>IF(BY309&lt;&gt;"",VLOOKUP($P309&amp;" | "&amp;BW$6,'Job Master'!$F$12:$J$102,5,0),"")</f>
        <v/>
      </c>
      <c r="BX309" s="19" t="str">
        <f>IF(BY309&lt;&gt;"",VLOOKUP($P309&amp;" | "&amp;BW$6,'Job Master'!$F$12:$J$102,3,0),"")</f>
        <v/>
      </c>
      <c r="BY309" s="19" t="str">
        <f>IFERROR(IF(AND(CF309&lt;&gt;"",VLOOKUP($P309&amp;" | "&amp;BW$6,'Job Master'!$F$12:$I$102,4,0)&lt;&gt;""),IF(WEEKDAY(CF309-VLOOKUP($P309&amp;" | "&amp;BW$6,'Job Master'!$F$12:$I$102,4,0))&lt;&gt;7,CF309-VLOOKUP($P309&amp;" | "&amp;BW$6,'Job Master'!$F$12:$I$102,4,0),CF309-VLOOKUP($P309&amp;" | "&amp;BW$6,'Job Master'!$F$12:$I$102,4,0)-1),""),"")</f>
        <v/>
      </c>
      <c r="BZ309" s="73"/>
      <c r="CA309" s="123" t="str">
        <f t="shared" si="540"/>
        <v/>
      </c>
      <c r="CB309" s="123" t="str">
        <f t="shared" si="541"/>
        <v/>
      </c>
      <c r="CC309" s="97" t="str">
        <f t="shared" ca="1" si="542"/>
        <v/>
      </c>
      <c r="CD309" s="98" t="str">
        <f>IF(CF309&lt;&gt;"",VLOOKUP($P309&amp;" | "&amp;CD$6,'Job Master'!$F$12:$J$102,5,0),"")</f>
        <v/>
      </c>
      <c r="CE309" s="19" t="str">
        <f>IF(CF309&lt;&gt;"",VLOOKUP($P309&amp;" | "&amp;CD$6,'Job Master'!$F$12:$J$102,3,0),"")</f>
        <v/>
      </c>
      <c r="CF309" s="19" t="str">
        <f>IFERROR(IF(AND(CM309&lt;&gt;"",VLOOKUP($P309&amp;" | "&amp;CD$6,'Job Master'!$F$12:$I$102,4,0)&lt;&gt;""),IF(WEEKDAY(CM309-VLOOKUP($P309&amp;" | "&amp;CD$6,'Job Master'!$F$12:$I$102,4,0))&lt;&gt;7,CM309-VLOOKUP($P309&amp;" | "&amp;CD$6,'Job Master'!$F$12:$I$102,4,0),CM309-VLOOKUP($P309&amp;" | "&amp;CD$6,'Job Master'!$F$12:$I$102,4,0)-1),""),"")</f>
        <v/>
      </c>
      <c r="CG309" s="73"/>
      <c r="CH309" s="123" t="str">
        <f t="shared" si="543"/>
        <v/>
      </c>
      <c r="CI309" s="123" t="str">
        <f t="shared" si="544"/>
        <v/>
      </c>
      <c r="CJ309" s="97" t="str">
        <f t="shared" ca="1" si="545"/>
        <v/>
      </c>
      <c r="CK309" s="98" t="str">
        <f>IF(CM309&lt;&gt;"",VLOOKUP($P309&amp;" | "&amp;CK$6,'Job Master'!$F$12:$J$102,5,0),"")</f>
        <v/>
      </c>
      <c r="CL309" s="19" t="str">
        <f>IF(CM309&lt;&gt;"",VLOOKUP($P309&amp;" | "&amp;CK$6,'Job Master'!$F$12:$J$102,3,0),"")</f>
        <v/>
      </c>
      <c r="CM309" s="19" t="str">
        <f>IFERROR(IF(AND(CT309&lt;&gt;"",VLOOKUP($P309&amp;" | "&amp;CK$6,'Job Master'!$F$12:$I$102,4,0)&lt;&gt;""),IF(WEEKDAY(CT309-VLOOKUP($P309&amp;" | "&amp;CK$6,'Job Master'!$F$12:$I$102,4,0))&lt;&gt;7,CT309-VLOOKUP($P309&amp;" | "&amp;CK$6,'Job Master'!$F$12:$I$102,4,0),CT309-VLOOKUP($P309&amp;" | "&amp;CK$6,'Job Master'!$F$12:$I$102,4,0)-1),""),"")</f>
        <v/>
      </c>
      <c r="CN309" s="73"/>
      <c r="CO309" s="123" t="str">
        <f t="shared" si="546"/>
        <v/>
      </c>
      <c r="CP309" s="123" t="str">
        <f t="shared" si="547"/>
        <v/>
      </c>
      <c r="CQ309" s="97" t="str">
        <f t="shared" ca="1" si="548"/>
        <v/>
      </c>
      <c r="CR309" s="98" t="str">
        <f>IF(CT309&lt;&gt;"",VLOOKUP($P309&amp;" | "&amp;CR$6,'Job Master'!$F$12:$J$102,5,0),"")</f>
        <v/>
      </c>
      <c r="CS309" s="19" t="str">
        <f>IF(CT309&lt;&gt;"",VLOOKUP($P309&amp;" | "&amp;CR$6,'Job Master'!$F$12:$J$102,3,0),"")</f>
        <v/>
      </c>
      <c r="CT309" s="19" t="str">
        <f>IFERROR(IF(AND(DA309&lt;&gt;"",VLOOKUP($P309&amp;" | "&amp;CR$6,'Job Master'!$F$12:$I$102,4,0)&lt;&gt;""),IF(WEEKDAY(DA309-VLOOKUP($P309&amp;" | "&amp;CR$6,'Job Master'!$F$12:$I$102,4,0))&lt;&gt;7,DA309-VLOOKUP($P309&amp;" | "&amp;CR$6,'Job Master'!$F$12:$I$102,4,0),DA309-VLOOKUP($P309&amp;" | "&amp;CR$6,'Job Master'!$F$12:$I$102,4,0)-1),""),"")</f>
        <v/>
      </c>
      <c r="CU309" s="73"/>
      <c r="CV309" s="123" t="str">
        <f t="shared" si="549"/>
        <v/>
      </c>
      <c r="CW309" s="123" t="str">
        <f t="shared" si="550"/>
        <v/>
      </c>
      <c r="CX309" s="97" t="str">
        <f t="shared" ca="1" si="551"/>
        <v/>
      </c>
      <c r="CY309" s="98" t="str">
        <f>IF(DA309&lt;&gt;"",VLOOKUP($P309&amp;" | "&amp;CY$6,'Job Master'!$F$12:$J$102,5,0),"")</f>
        <v/>
      </c>
      <c r="CZ309" s="19" t="str">
        <f>IF(DA309&lt;&gt;"",VLOOKUP($P309&amp;" | "&amp;CY$6,'Job Master'!$F$12:$J$102,3,0),"")</f>
        <v/>
      </c>
      <c r="DA309" s="19" t="str">
        <f>IFERROR(IF(AND(DH309&lt;&gt;"",VLOOKUP($P309&amp;" | "&amp;CY$6,'Job Master'!$F$12:$I$102,4,0)&lt;&gt;""),IF(WEEKDAY(DH309-VLOOKUP($P309&amp;" | "&amp;CY$6,'Job Master'!$F$12:$I$102,4,0))&lt;&gt;7,DH309-VLOOKUP($P309&amp;" | "&amp;CY$6,'Job Master'!$F$12:$I$102,4,0),DH309-VLOOKUP($P309&amp;" | "&amp;CY$6,'Job Master'!$F$12:$I$102,4,0)-1),""),"")</f>
        <v/>
      </c>
      <c r="DB309" s="73"/>
      <c r="DC309" s="123" t="str">
        <f t="shared" si="552"/>
        <v/>
      </c>
      <c r="DD309" s="123" t="str">
        <f t="shared" si="553"/>
        <v/>
      </c>
      <c r="DE309" s="97" t="str">
        <f t="shared" ca="1" si="554"/>
        <v/>
      </c>
      <c r="DF309" s="98" t="str">
        <f>IF(DH309&lt;&gt;"",VLOOKUP($P309&amp;" | "&amp;DF$6,'Job Master'!$F$12:$J$102,5,0),"")</f>
        <v/>
      </c>
      <c r="DG309" s="19" t="str">
        <f>IF(DH309&lt;&gt;"",VLOOKUP($P309&amp;" | "&amp;DF$6,'Job Master'!$F$12:$J$102,3,0),"")</f>
        <v/>
      </c>
      <c r="DH309" s="19" t="str">
        <f>IFERROR(IF(AND(DO309&lt;&gt;"",VLOOKUP($P309&amp;" | "&amp;DF$6,'Job Master'!$F$12:$I$102,4,0)&lt;&gt;""),IF(WEEKDAY(DO309-VLOOKUP($P309&amp;" | "&amp;DF$6,'Job Master'!$F$12:$I$102,4,0))&lt;&gt;7,DO309-VLOOKUP($P309&amp;" | "&amp;DF$6,'Job Master'!$F$12:$I$102,4,0),DO309-VLOOKUP($P309&amp;" | "&amp;DF$6,'Job Master'!$F$12:$I$102,4,0)-1),""),"")</f>
        <v/>
      </c>
      <c r="DI309" s="73"/>
      <c r="DJ309" s="123" t="str">
        <f t="shared" si="555"/>
        <v/>
      </c>
      <c r="DK309" s="123" t="str">
        <f t="shared" si="556"/>
        <v/>
      </c>
      <c r="DL309" s="97" t="str">
        <f t="shared" ca="1" si="557"/>
        <v/>
      </c>
      <c r="DM309" s="98" t="str">
        <f>IF(DO309&lt;&gt;"",VLOOKUP($P309&amp;" | "&amp;DM$6,'Job Master'!$F$12:$J$102,5,0),"")</f>
        <v/>
      </c>
      <c r="DN309" s="19" t="str">
        <f>IF(DO309&lt;&gt;"",VLOOKUP($P309&amp;" | "&amp;DM$6,'Job Master'!$F$12:$J$102,3,0),"")</f>
        <v/>
      </c>
      <c r="DO309" s="19" t="str">
        <f>IFERROR(IF(AND(DT309&lt;&gt;"",VLOOKUP($P309&amp;" | "&amp;DM$6,'Job Master'!$F$12:$I$102,4,0)&lt;&gt;""),IF(WEEKDAY(DT309-VLOOKUP($P309&amp;" | "&amp;DM$6,'Job Master'!$F$12:$I$102,4,0))&lt;&gt;7,DT309-VLOOKUP($P309&amp;" | "&amp;DM$6,'Job Master'!$F$12:$I$102,4,0),DT309-VLOOKUP($P309&amp;" | "&amp;DM$6,'Job Master'!$F$12:$I$102,4,0)-1),""),"")</f>
        <v/>
      </c>
      <c r="DP309" s="73"/>
      <c r="DQ309" s="123" t="str">
        <f t="shared" si="558"/>
        <v/>
      </c>
      <c r="DR309" s="123" t="str">
        <f t="shared" si="559"/>
        <v/>
      </c>
      <c r="DS309" s="97" t="str">
        <f t="shared" ca="1" si="560"/>
        <v/>
      </c>
      <c r="DT309" s="70" t="str">
        <f t="shared" si="561"/>
        <v/>
      </c>
      <c r="DU309" s="90"/>
      <c r="DV309" s="123" t="str">
        <f t="shared" si="562"/>
        <v/>
      </c>
      <c r="DW309" s="123" t="str">
        <f t="shared" si="563"/>
        <v/>
      </c>
      <c r="DX309" s="132" t="str">
        <f t="shared" ref="DX309" ca="1" si="618">IF(DT309&lt;&gt;"",IF(WEEKNUM(DT309)=WEEKNUM(TODAY()),"This Week",IF(WEEKNUM(DT309)=WEEKNUM(TODAY())+1,"Next Week",IF(WEEKNUM(DT309)=WEEKNUM(TODAY())-1,"Previous Week",""))),"")</f>
        <v/>
      </c>
      <c r="DY309" s="134" t="str">
        <f t="shared" si="565"/>
        <v/>
      </c>
      <c r="DZ309" s="95"/>
      <c r="EB309" s="8" t="str">
        <f t="shared" si="571"/>
        <v/>
      </c>
      <c r="EC309" s="8" t="str">
        <f>IF(O309&lt;&gt;"",VLOOKUP(O309,'Job Master'!$N$12:$O$18,2,0),"")</f>
        <v/>
      </c>
      <c r="ED309" s="8">
        <f t="shared" si="572"/>
        <v>19.5</v>
      </c>
      <c r="EE309" s="8">
        <f t="shared" si="573"/>
        <v>6</v>
      </c>
      <c r="EF309" s="8">
        <f t="shared" si="574"/>
        <v>-1774.5</v>
      </c>
      <c r="EG309" s="8" t="str">
        <f t="shared" si="575"/>
        <v/>
      </c>
      <c r="EH309" s="8" t="str">
        <f t="shared" si="576"/>
        <v/>
      </c>
    </row>
    <row r="310" spans="2:138" x14ac:dyDescent="0.3">
      <c r="B310" s="112"/>
      <c r="C310" s="27"/>
      <c r="D310" s="7" t="str">
        <f t="shared" si="513"/>
        <v/>
      </c>
      <c r="E310" s="25"/>
      <c r="F310" s="7" t="str">
        <f t="shared" si="513"/>
        <v/>
      </c>
      <c r="G310" s="25"/>
      <c r="H310" s="7" t="str">
        <f t="shared" si="513"/>
        <v/>
      </c>
      <c r="I310" s="25"/>
      <c r="J310" s="7" t="str">
        <f t="shared" si="513"/>
        <v/>
      </c>
      <c r="K310" s="25"/>
      <c r="L310" s="7" t="str">
        <f t="shared" si="514"/>
        <v/>
      </c>
      <c r="M310" s="25"/>
      <c r="N310" s="7" t="str">
        <f t="shared" si="515"/>
        <v/>
      </c>
      <c r="O310" s="81"/>
      <c r="P310" s="81" t="str">
        <f t="shared" si="516"/>
        <v/>
      </c>
      <c r="Q310" s="81"/>
      <c r="R310" s="7" t="str">
        <f t="shared" si="517"/>
        <v/>
      </c>
      <c r="S310" s="25"/>
      <c r="T310" s="7" t="str">
        <f t="shared" si="518"/>
        <v/>
      </c>
      <c r="U310" s="25"/>
      <c r="V310" s="7" t="str">
        <f t="shared" si="519"/>
        <v/>
      </c>
      <c r="W310" s="25"/>
      <c r="X310" s="7" t="str">
        <f t="shared" si="520"/>
        <v/>
      </c>
      <c r="Y310" s="18" t="str">
        <f t="shared" si="521"/>
        <v/>
      </c>
      <c r="Z310" s="7" t="str">
        <f t="shared" si="522"/>
        <v/>
      </c>
      <c r="AA310" s="18" t="str">
        <f t="shared" si="523"/>
        <v/>
      </c>
      <c r="AB310" s="19" t="str">
        <f t="shared" si="524"/>
        <v/>
      </c>
      <c r="AC310" s="26"/>
      <c r="AD310" s="26"/>
      <c r="AE310" s="25"/>
      <c r="AF310" s="26"/>
      <c r="AG310" s="25"/>
      <c r="AH310" s="25"/>
      <c r="AI310" s="18" t="str">
        <f t="shared" si="587"/>
        <v/>
      </c>
      <c r="AJ310" s="25"/>
      <c r="AK310" s="18" t="str">
        <f t="shared" si="588"/>
        <v/>
      </c>
      <c r="AL310" s="79"/>
      <c r="AM310" s="126" t="str">
        <f t="shared" si="589"/>
        <v/>
      </c>
      <c r="AN310" s="128" t="str">
        <f>IF(AP310&lt;&gt;"",VLOOKUP($P310&amp;" | "&amp;AN$6,'Job Master'!$F$12:$J$102,5,0),"")</f>
        <v/>
      </c>
      <c r="AO310" s="19" t="str">
        <f>IF(AP310&lt;&gt;"",VLOOKUP($P310&amp;" | "&amp;AN$6,'Job Master'!$F$12:$J$102,3,0),"")</f>
        <v/>
      </c>
      <c r="AP310" s="19" t="str">
        <f>IFERROR(IF(AND(AW310&lt;&gt;"",VLOOKUP($P310&amp;" | "&amp;AN$6,'Job Master'!$F$12:$I$102,4,0)&lt;&gt;""),IF(WEEKDAY(AW310-VLOOKUP($P310&amp;" | "&amp;AN$6,'Job Master'!$F$12:$I$102,4,0))&lt;&gt;7,AW310-VLOOKUP($P310&amp;" | "&amp;AN$6,'Job Master'!$F$12:$I$102,4,0),AW310-VLOOKUP($P310&amp;" | "&amp;AN$6,'Job Master'!$F$12:$I$102,4,0)-1),""),"")</f>
        <v/>
      </c>
      <c r="AQ310" s="73"/>
      <c r="AR310" s="123" t="str">
        <f t="shared" si="525"/>
        <v/>
      </c>
      <c r="AS310" s="123" t="str">
        <f t="shared" si="526"/>
        <v/>
      </c>
      <c r="AT310" s="97" t="str">
        <f t="shared" ca="1" si="527"/>
        <v/>
      </c>
      <c r="AU310" s="98" t="str">
        <f>IF(AW310&lt;&gt;"",VLOOKUP($P310&amp;" | "&amp;AU$6,'Job Master'!$F$12:$J$102,5,0),"")</f>
        <v/>
      </c>
      <c r="AV310" s="19" t="str">
        <f>IF(AW310&lt;&gt;"",VLOOKUP($P310&amp;" | "&amp;AU$6,'Job Master'!$F$12:$J$102,3,0),"")</f>
        <v/>
      </c>
      <c r="AW310" s="19" t="str">
        <f>IFERROR(IF(AND(BD310&lt;&gt;"",VLOOKUP($P310&amp;" | "&amp;AU$6,'Job Master'!$F$12:$I$102,4,0)&lt;&gt;""),IF(WEEKDAY(BD310-VLOOKUP($P310&amp;" | "&amp;AU$6,'Job Master'!$F$12:$I$102,4,0))&lt;&gt;7,BD310-VLOOKUP($P310&amp;" | "&amp;AU$6,'Job Master'!$F$12:$I$102,4,0),BD310-VLOOKUP($P310&amp;" | "&amp;AU$6,'Job Master'!$F$12:$I$102,4,0)-1),""),"")</f>
        <v/>
      </c>
      <c r="AX310" s="73"/>
      <c r="AY310" s="123" t="str">
        <f t="shared" si="528"/>
        <v/>
      </c>
      <c r="AZ310" s="123" t="str">
        <f t="shared" si="529"/>
        <v/>
      </c>
      <c r="BA310" s="97" t="str">
        <f t="shared" ca="1" si="530"/>
        <v/>
      </c>
      <c r="BB310" s="98" t="str">
        <f>IF(BD310&lt;&gt;"",VLOOKUP($P310&amp;" | "&amp;BB$6,'Job Master'!$F$12:$J$102,5,0),"")</f>
        <v/>
      </c>
      <c r="BC310" s="19" t="str">
        <f>IF(BD310&lt;&gt;"",VLOOKUP($P310&amp;" | "&amp;BB$6,'Job Master'!$F$12:$J$102,3,0),"")</f>
        <v/>
      </c>
      <c r="BD310" s="19" t="str">
        <f>IFERROR(IF(AND(BK310&lt;&gt;"",VLOOKUP($P310&amp;" | "&amp;BB$6,'Job Master'!$F$12:$I$102,4,0)&lt;&gt;""),IF(WEEKDAY(BK310-VLOOKUP($P310&amp;" | "&amp;BB$6,'Job Master'!$F$12:$I$102,4,0))&lt;&gt;7,BK310-VLOOKUP($P310&amp;" | "&amp;BB$6,'Job Master'!$F$12:$I$102,4,0),BK310-VLOOKUP($P310&amp;" | "&amp;BB$6,'Job Master'!$F$12:$I$102,4,0)-1),""),"")</f>
        <v/>
      </c>
      <c r="BE310" s="73"/>
      <c r="BF310" s="123" t="str">
        <f t="shared" si="531"/>
        <v/>
      </c>
      <c r="BG310" s="123" t="str">
        <f t="shared" si="532"/>
        <v/>
      </c>
      <c r="BH310" s="97" t="str">
        <f t="shared" ca="1" si="533"/>
        <v/>
      </c>
      <c r="BI310" s="98" t="str">
        <f>IF(BK310&lt;&gt;"",VLOOKUP($P310&amp;" | "&amp;BI$6,'Job Master'!$F$12:$J$102,5,0),"")</f>
        <v/>
      </c>
      <c r="BJ310" s="19" t="str">
        <f>IF(BK310&lt;&gt;"",VLOOKUP($P310&amp;" | "&amp;BI$6,'Job Master'!$F$12:$J$102,3,0),"")</f>
        <v/>
      </c>
      <c r="BK310" s="19" t="str">
        <f>IFERROR(IF(AND(BR310&lt;&gt;"",VLOOKUP($P310&amp;" | "&amp;BI$6,'Job Master'!$F$12:$I$102,4,0)&lt;&gt;""),IF(WEEKDAY(BR310-VLOOKUP($P310&amp;" | "&amp;BI$6,'Job Master'!$F$12:$I$102,4,0))&lt;&gt;7,BR310-VLOOKUP($P310&amp;" | "&amp;BI$6,'Job Master'!$F$12:$I$102,4,0),BR310-VLOOKUP($P310&amp;" | "&amp;BI$6,'Job Master'!$F$12:$I$102,4,0)-1),""),"")</f>
        <v/>
      </c>
      <c r="BL310" s="73"/>
      <c r="BM310" s="123" t="str">
        <f t="shared" si="534"/>
        <v/>
      </c>
      <c r="BN310" s="123" t="str">
        <f t="shared" si="535"/>
        <v/>
      </c>
      <c r="BO310" s="97" t="str">
        <f t="shared" ca="1" si="536"/>
        <v/>
      </c>
      <c r="BP310" s="98" t="str">
        <f>IF(BR310&lt;&gt;"",VLOOKUP($P310&amp;" | "&amp;BP$6,'Job Master'!$F$12:$J$102,5,0),"")</f>
        <v/>
      </c>
      <c r="BQ310" s="19" t="str">
        <f>IF(BR310&lt;&gt;"",VLOOKUP($P310&amp;" | "&amp;BP$6,'Job Master'!$F$12:$J$102,3,0),"")</f>
        <v/>
      </c>
      <c r="BR310" s="19" t="str">
        <f>IFERROR(IF(AND(BY310&lt;&gt;"",VLOOKUP($P310&amp;" | "&amp;BP$6,'Job Master'!$F$12:$I$102,4,0)&lt;&gt;""),IF(WEEKDAY(BY310-VLOOKUP($P310&amp;" | "&amp;BP$6,'Job Master'!$F$12:$I$102,4,0))&lt;&gt;7,BY310-VLOOKUP($P310&amp;" | "&amp;BP$6,'Job Master'!$F$12:$I$102,4,0),BY310-VLOOKUP($P310&amp;" | "&amp;BP$6,'Job Master'!$F$12:$I$102,4,0)-1),""),"")</f>
        <v/>
      </c>
      <c r="BS310" s="73"/>
      <c r="BT310" s="123" t="str">
        <f t="shared" si="537"/>
        <v/>
      </c>
      <c r="BU310" s="123" t="str">
        <f t="shared" si="538"/>
        <v/>
      </c>
      <c r="BV310" s="97" t="str">
        <f t="shared" ca="1" si="539"/>
        <v/>
      </c>
      <c r="BW310" s="98" t="str">
        <f>IF(BY310&lt;&gt;"",VLOOKUP($P310&amp;" | "&amp;BW$6,'Job Master'!$F$12:$J$102,5,0),"")</f>
        <v/>
      </c>
      <c r="BX310" s="19" t="str">
        <f>IF(BY310&lt;&gt;"",VLOOKUP($P310&amp;" | "&amp;BW$6,'Job Master'!$F$12:$J$102,3,0),"")</f>
        <v/>
      </c>
      <c r="BY310" s="19" t="str">
        <f>IFERROR(IF(AND(CF310&lt;&gt;"",VLOOKUP($P310&amp;" | "&amp;BW$6,'Job Master'!$F$12:$I$102,4,0)&lt;&gt;""),IF(WEEKDAY(CF310-VLOOKUP($P310&amp;" | "&amp;BW$6,'Job Master'!$F$12:$I$102,4,0))&lt;&gt;7,CF310-VLOOKUP($P310&amp;" | "&amp;BW$6,'Job Master'!$F$12:$I$102,4,0),CF310-VLOOKUP($P310&amp;" | "&amp;BW$6,'Job Master'!$F$12:$I$102,4,0)-1),""),"")</f>
        <v/>
      </c>
      <c r="BZ310" s="73"/>
      <c r="CA310" s="123" t="str">
        <f t="shared" si="540"/>
        <v/>
      </c>
      <c r="CB310" s="123" t="str">
        <f t="shared" si="541"/>
        <v/>
      </c>
      <c r="CC310" s="97" t="str">
        <f t="shared" ca="1" si="542"/>
        <v/>
      </c>
      <c r="CD310" s="98" t="str">
        <f>IF(CF310&lt;&gt;"",VLOOKUP($P310&amp;" | "&amp;CD$6,'Job Master'!$F$12:$J$102,5,0),"")</f>
        <v/>
      </c>
      <c r="CE310" s="19" t="str">
        <f>IF(CF310&lt;&gt;"",VLOOKUP($P310&amp;" | "&amp;CD$6,'Job Master'!$F$12:$J$102,3,0),"")</f>
        <v/>
      </c>
      <c r="CF310" s="19" t="str">
        <f>IFERROR(IF(AND(CM310&lt;&gt;"",VLOOKUP($P310&amp;" | "&amp;CD$6,'Job Master'!$F$12:$I$102,4,0)&lt;&gt;""),IF(WEEKDAY(CM310-VLOOKUP($P310&amp;" | "&amp;CD$6,'Job Master'!$F$12:$I$102,4,0))&lt;&gt;7,CM310-VLOOKUP($P310&amp;" | "&amp;CD$6,'Job Master'!$F$12:$I$102,4,0),CM310-VLOOKUP($P310&amp;" | "&amp;CD$6,'Job Master'!$F$12:$I$102,4,0)-1),""),"")</f>
        <v/>
      </c>
      <c r="CG310" s="73"/>
      <c r="CH310" s="123" t="str">
        <f t="shared" si="543"/>
        <v/>
      </c>
      <c r="CI310" s="123" t="str">
        <f t="shared" si="544"/>
        <v/>
      </c>
      <c r="CJ310" s="97" t="str">
        <f t="shared" ca="1" si="545"/>
        <v/>
      </c>
      <c r="CK310" s="98" t="str">
        <f>IF(CM310&lt;&gt;"",VLOOKUP($P310&amp;" | "&amp;CK$6,'Job Master'!$F$12:$J$102,5,0),"")</f>
        <v/>
      </c>
      <c r="CL310" s="19" t="str">
        <f>IF(CM310&lt;&gt;"",VLOOKUP($P310&amp;" | "&amp;CK$6,'Job Master'!$F$12:$J$102,3,0),"")</f>
        <v/>
      </c>
      <c r="CM310" s="19" t="str">
        <f>IFERROR(IF(AND(CT310&lt;&gt;"",VLOOKUP($P310&amp;" | "&amp;CK$6,'Job Master'!$F$12:$I$102,4,0)&lt;&gt;""),IF(WEEKDAY(CT310-VLOOKUP($P310&amp;" | "&amp;CK$6,'Job Master'!$F$12:$I$102,4,0))&lt;&gt;7,CT310-VLOOKUP($P310&amp;" | "&amp;CK$6,'Job Master'!$F$12:$I$102,4,0),CT310-VLOOKUP($P310&amp;" | "&amp;CK$6,'Job Master'!$F$12:$I$102,4,0)-1),""),"")</f>
        <v/>
      </c>
      <c r="CN310" s="73"/>
      <c r="CO310" s="123" t="str">
        <f t="shared" si="546"/>
        <v/>
      </c>
      <c r="CP310" s="123" t="str">
        <f t="shared" si="547"/>
        <v/>
      </c>
      <c r="CQ310" s="97" t="str">
        <f t="shared" ca="1" si="548"/>
        <v/>
      </c>
      <c r="CR310" s="98" t="str">
        <f>IF(CT310&lt;&gt;"",VLOOKUP($P310&amp;" | "&amp;CR$6,'Job Master'!$F$12:$J$102,5,0),"")</f>
        <v/>
      </c>
      <c r="CS310" s="19" t="str">
        <f>IF(CT310&lt;&gt;"",VLOOKUP($P310&amp;" | "&amp;CR$6,'Job Master'!$F$12:$J$102,3,0),"")</f>
        <v/>
      </c>
      <c r="CT310" s="19" t="str">
        <f>IFERROR(IF(AND(DA310&lt;&gt;"",VLOOKUP($P310&amp;" | "&amp;CR$6,'Job Master'!$F$12:$I$102,4,0)&lt;&gt;""),IF(WEEKDAY(DA310-VLOOKUP($P310&amp;" | "&amp;CR$6,'Job Master'!$F$12:$I$102,4,0))&lt;&gt;7,DA310-VLOOKUP($P310&amp;" | "&amp;CR$6,'Job Master'!$F$12:$I$102,4,0),DA310-VLOOKUP($P310&amp;" | "&amp;CR$6,'Job Master'!$F$12:$I$102,4,0)-1),""),"")</f>
        <v/>
      </c>
      <c r="CU310" s="73"/>
      <c r="CV310" s="123" t="str">
        <f t="shared" si="549"/>
        <v/>
      </c>
      <c r="CW310" s="123" t="str">
        <f t="shared" si="550"/>
        <v/>
      </c>
      <c r="CX310" s="97" t="str">
        <f t="shared" ca="1" si="551"/>
        <v/>
      </c>
      <c r="CY310" s="98" t="str">
        <f>IF(DA310&lt;&gt;"",VLOOKUP($P310&amp;" | "&amp;CY$6,'Job Master'!$F$12:$J$102,5,0),"")</f>
        <v/>
      </c>
      <c r="CZ310" s="19" t="str">
        <f>IF(DA310&lt;&gt;"",VLOOKUP($P310&amp;" | "&amp;CY$6,'Job Master'!$F$12:$J$102,3,0),"")</f>
        <v/>
      </c>
      <c r="DA310" s="19" t="str">
        <f>IFERROR(IF(AND(DH310&lt;&gt;"",VLOOKUP($P310&amp;" | "&amp;CY$6,'Job Master'!$F$12:$I$102,4,0)&lt;&gt;""),IF(WEEKDAY(DH310-VLOOKUP($P310&amp;" | "&amp;CY$6,'Job Master'!$F$12:$I$102,4,0))&lt;&gt;7,DH310-VLOOKUP($P310&amp;" | "&amp;CY$6,'Job Master'!$F$12:$I$102,4,0),DH310-VLOOKUP($P310&amp;" | "&amp;CY$6,'Job Master'!$F$12:$I$102,4,0)-1),""),"")</f>
        <v/>
      </c>
      <c r="DB310" s="73"/>
      <c r="DC310" s="123" t="str">
        <f t="shared" si="552"/>
        <v/>
      </c>
      <c r="DD310" s="123" t="str">
        <f t="shared" si="553"/>
        <v/>
      </c>
      <c r="DE310" s="97" t="str">
        <f t="shared" ca="1" si="554"/>
        <v/>
      </c>
      <c r="DF310" s="98" t="str">
        <f>IF(DH310&lt;&gt;"",VLOOKUP($P310&amp;" | "&amp;DF$6,'Job Master'!$F$12:$J$102,5,0),"")</f>
        <v/>
      </c>
      <c r="DG310" s="19" t="str">
        <f>IF(DH310&lt;&gt;"",VLOOKUP($P310&amp;" | "&amp;DF$6,'Job Master'!$F$12:$J$102,3,0),"")</f>
        <v/>
      </c>
      <c r="DH310" s="19" t="str">
        <f>IFERROR(IF(AND(DO310&lt;&gt;"",VLOOKUP($P310&amp;" | "&amp;DF$6,'Job Master'!$F$12:$I$102,4,0)&lt;&gt;""),IF(WEEKDAY(DO310-VLOOKUP($P310&amp;" | "&amp;DF$6,'Job Master'!$F$12:$I$102,4,0))&lt;&gt;7,DO310-VLOOKUP($P310&amp;" | "&amp;DF$6,'Job Master'!$F$12:$I$102,4,0),DO310-VLOOKUP($P310&amp;" | "&amp;DF$6,'Job Master'!$F$12:$I$102,4,0)-1),""),"")</f>
        <v/>
      </c>
      <c r="DI310" s="73"/>
      <c r="DJ310" s="123" t="str">
        <f t="shared" si="555"/>
        <v/>
      </c>
      <c r="DK310" s="123" t="str">
        <f t="shared" si="556"/>
        <v/>
      </c>
      <c r="DL310" s="97" t="str">
        <f t="shared" ca="1" si="557"/>
        <v/>
      </c>
      <c r="DM310" s="98" t="str">
        <f>IF(DO310&lt;&gt;"",VLOOKUP($P310&amp;" | "&amp;DM$6,'Job Master'!$F$12:$J$102,5,0),"")</f>
        <v/>
      </c>
      <c r="DN310" s="19" t="str">
        <f>IF(DO310&lt;&gt;"",VLOOKUP($P310&amp;" | "&amp;DM$6,'Job Master'!$F$12:$J$102,3,0),"")</f>
        <v/>
      </c>
      <c r="DO310" s="19" t="str">
        <f>IFERROR(IF(AND(DT310&lt;&gt;"",VLOOKUP($P310&amp;" | "&amp;DM$6,'Job Master'!$F$12:$I$102,4,0)&lt;&gt;""),IF(WEEKDAY(DT310-VLOOKUP($P310&amp;" | "&amp;DM$6,'Job Master'!$F$12:$I$102,4,0))&lt;&gt;7,DT310-VLOOKUP($P310&amp;" | "&amp;DM$6,'Job Master'!$F$12:$I$102,4,0),DT310-VLOOKUP($P310&amp;" | "&amp;DM$6,'Job Master'!$F$12:$I$102,4,0)-1),""),"")</f>
        <v/>
      </c>
      <c r="DP310" s="73"/>
      <c r="DQ310" s="123" t="str">
        <f t="shared" si="558"/>
        <v/>
      </c>
      <c r="DR310" s="123" t="str">
        <f t="shared" si="559"/>
        <v/>
      </c>
      <c r="DS310" s="97" t="str">
        <f t="shared" ca="1" si="560"/>
        <v/>
      </c>
      <c r="DT310" s="70" t="str">
        <f t="shared" si="561"/>
        <v/>
      </c>
      <c r="DU310" s="90"/>
      <c r="DV310" s="123" t="str">
        <f t="shared" si="562"/>
        <v/>
      </c>
      <c r="DW310" s="123" t="str">
        <f t="shared" si="563"/>
        <v/>
      </c>
      <c r="DX310" s="132" t="str">
        <f t="shared" ref="DX310" ca="1" si="619">IF(DT310&lt;&gt;"",IF(WEEKNUM(DT310)=WEEKNUM(TODAY()),"This Week",IF(WEEKNUM(DT310)=WEEKNUM(TODAY())+1,"Next Week",IF(WEEKNUM(DT310)=WEEKNUM(TODAY())-1,"Previous Week",""))),"")</f>
        <v/>
      </c>
      <c r="DY310" s="134" t="str">
        <f t="shared" si="565"/>
        <v/>
      </c>
      <c r="DZ310" s="95"/>
      <c r="EB310" s="8" t="str">
        <f t="shared" si="571"/>
        <v/>
      </c>
      <c r="EC310" s="8" t="str">
        <f>IF(O310&lt;&gt;"",VLOOKUP(O310,'Job Master'!$N$12:$O$18,2,0),"")</f>
        <v/>
      </c>
      <c r="ED310" s="8">
        <f t="shared" si="572"/>
        <v>19.5</v>
      </c>
      <c r="EE310" s="8">
        <f t="shared" si="573"/>
        <v>6</v>
      </c>
      <c r="EF310" s="8">
        <f t="shared" si="574"/>
        <v>-1780.5</v>
      </c>
      <c r="EG310" s="8" t="str">
        <f t="shared" si="575"/>
        <v/>
      </c>
      <c r="EH310" s="8" t="str">
        <f t="shared" si="576"/>
        <v/>
      </c>
    </row>
    <row r="311" spans="2:138" x14ac:dyDescent="0.3">
      <c r="B311" s="112"/>
      <c r="C311" s="27"/>
      <c r="D311" s="7" t="str">
        <f t="shared" si="513"/>
        <v/>
      </c>
      <c r="E311" s="25"/>
      <c r="F311" s="7" t="str">
        <f t="shared" si="513"/>
        <v/>
      </c>
      <c r="G311" s="25"/>
      <c r="H311" s="7" t="str">
        <f t="shared" si="513"/>
        <v/>
      </c>
      <c r="I311" s="25"/>
      <c r="J311" s="7" t="str">
        <f t="shared" si="513"/>
        <v/>
      </c>
      <c r="K311" s="25"/>
      <c r="L311" s="7" t="str">
        <f t="shared" si="514"/>
        <v/>
      </c>
      <c r="M311" s="25"/>
      <c r="N311" s="7" t="str">
        <f t="shared" si="515"/>
        <v/>
      </c>
      <c r="O311" s="81"/>
      <c r="P311" s="81" t="str">
        <f t="shared" si="516"/>
        <v/>
      </c>
      <c r="Q311" s="81"/>
      <c r="R311" s="7" t="str">
        <f t="shared" si="517"/>
        <v/>
      </c>
      <c r="S311" s="25"/>
      <c r="T311" s="7" t="str">
        <f t="shared" si="518"/>
        <v/>
      </c>
      <c r="U311" s="25"/>
      <c r="V311" s="7" t="str">
        <f t="shared" si="519"/>
        <v/>
      </c>
      <c r="W311" s="25"/>
      <c r="X311" s="7" t="str">
        <f t="shared" si="520"/>
        <v/>
      </c>
      <c r="Y311" s="18" t="str">
        <f t="shared" si="521"/>
        <v/>
      </c>
      <c r="Z311" s="7" t="str">
        <f t="shared" si="522"/>
        <v/>
      </c>
      <c r="AA311" s="18" t="str">
        <f t="shared" si="523"/>
        <v/>
      </c>
      <c r="AB311" s="19" t="str">
        <f t="shared" si="524"/>
        <v/>
      </c>
      <c r="AC311" s="26"/>
      <c r="AD311" s="26"/>
      <c r="AE311" s="25"/>
      <c r="AF311" s="26"/>
      <c r="AG311" s="25"/>
      <c r="AH311" s="25"/>
      <c r="AI311" s="18" t="str">
        <f t="shared" si="587"/>
        <v/>
      </c>
      <c r="AJ311" s="25"/>
      <c r="AK311" s="18" t="str">
        <f t="shared" si="588"/>
        <v/>
      </c>
      <c r="AL311" s="79"/>
      <c r="AM311" s="126" t="str">
        <f t="shared" si="589"/>
        <v/>
      </c>
      <c r="AN311" s="128" t="str">
        <f>IF(AP311&lt;&gt;"",VLOOKUP($P311&amp;" | "&amp;AN$6,'Job Master'!$F$12:$J$102,5,0),"")</f>
        <v/>
      </c>
      <c r="AO311" s="19" t="str">
        <f>IF(AP311&lt;&gt;"",VLOOKUP($P311&amp;" | "&amp;AN$6,'Job Master'!$F$12:$J$102,3,0),"")</f>
        <v/>
      </c>
      <c r="AP311" s="19" t="str">
        <f>IFERROR(IF(AND(AW311&lt;&gt;"",VLOOKUP($P311&amp;" | "&amp;AN$6,'Job Master'!$F$12:$I$102,4,0)&lt;&gt;""),IF(WEEKDAY(AW311-VLOOKUP($P311&amp;" | "&amp;AN$6,'Job Master'!$F$12:$I$102,4,0))&lt;&gt;7,AW311-VLOOKUP($P311&amp;" | "&amp;AN$6,'Job Master'!$F$12:$I$102,4,0),AW311-VLOOKUP($P311&amp;" | "&amp;AN$6,'Job Master'!$F$12:$I$102,4,0)-1),""),"")</f>
        <v/>
      </c>
      <c r="AQ311" s="73"/>
      <c r="AR311" s="123" t="str">
        <f t="shared" si="525"/>
        <v/>
      </c>
      <c r="AS311" s="123" t="str">
        <f t="shared" si="526"/>
        <v/>
      </c>
      <c r="AT311" s="97" t="str">
        <f t="shared" ca="1" si="527"/>
        <v/>
      </c>
      <c r="AU311" s="98" t="str">
        <f>IF(AW311&lt;&gt;"",VLOOKUP($P311&amp;" | "&amp;AU$6,'Job Master'!$F$12:$J$102,5,0),"")</f>
        <v/>
      </c>
      <c r="AV311" s="19" t="str">
        <f>IF(AW311&lt;&gt;"",VLOOKUP($P311&amp;" | "&amp;AU$6,'Job Master'!$F$12:$J$102,3,0),"")</f>
        <v/>
      </c>
      <c r="AW311" s="19" t="str">
        <f>IFERROR(IF(AND(BD311&lt;&gt;"",VLOOKUP($P311&amp;" | "&amp;AU$6,'Job Master'!$F$12:$I$102,4,0)&lt;&gt;""),IF(WEEKDAY(BD311-VLOOKUP($P311&amp;" | "&amp;AU$6,'Job Master'!$F$12:$I$102,4,0))&lt;&gt;7,BD311-VLOOKUP($P311&amp;" | "&amp;AU$6,'Job Master'!$F$12:$I$102,4,0),BD311-VLOOKUP($P311&amp;" | "&amp;AU$6,'Job Master'!$F$12:$I$102,4,0)-1),""),"")</f>
        <v/>
      </c>
      <c r="AX311" s="73"/>
      <c r="AY311" s="123" t="str">
        <f t="shared" si="528"/>
        <v/>
      </c>
      <c r="AZ311" s="123" t="str">
        <f t="shared" si="529"/>
        <v/>
      </c>
      <c r="BA311" s="97" t="str">
        <f t="shared" ca="1" si="530"/>
        <v/>
      </c>
      <c r="BB311" s="98" t="str">
        <f>IF(BD311&lt;&gt;"",VLOOKUP($P311&amp;" | "&amp;BB$6,'Job Master'!$F$12:$J$102,5,0),"")</f>
        <v/>
      </c>
      <c r="BC311" s="19" t="str">
        <f>IF(BD311&lt;&gt;"",VLOOKUP($P311&amp;" | "&amp;BB$6,'Job Master'!$F$12:$J$102,3,0),"")</f>
        <v/>
      </c>
      <c r="BD311" s="19" t="str">
        <f>IFERROR(IF(AND(BK311&lt;&gt;"",VLOOKUP($P311&amp;" | "&amp;BB$6,'Job Master'!$F$12:$I$102,4,0)&lt;&gt;""),IF(WEEKDAY(BK311-VLOOKUP($P311&amp;" | "&amp;BB$6,'Job Master'!$F$12:$I$102,4,0))&lt;&gt;7,BK311-VLOOKUP($P311&amp;" | "&amp;BB$6,'Job Master'!$F$12:$I$102,4,0),BK311-VLOOKUP($P311&amp;" | "&amp;BB$6,'Job Master'!$F$12:$I$102,4,0)-1),""),"")</f>
        <v/>
      </c>
      <c r="BE311" s="73"/>
      <c r="BF311" s="123" t="str">
        <f t="shared" si="531"/>
        <v/>
      </c>
      <c r="BG311" s="123" t="str">
        <f t="shared" si="532"/>
        <v/>
      </c>
      <c r="BH311" s="97" t="str">
        <f t="shared" ca="1" si="533"/>
        <v/>
      </c>
      <c r="BI311" s="98" t="str">
        <f>IF(BK311&lt;&gt;"",VLOOKUP($P311&amp;" | "&amp;BI$6,'Job Master'!$F$12:$J$102,5,0),"")</f>
        <v/>
      </c>
      <c r="BJ311" s="19" t="str">
        <f>IF(BK311&lt;&gt;"",VLOOKUP($P311&amp;" | "&amp;BI$6,'Job Master'!$F$12:$J$102,3,0),"")</f>
        <v/>
      </c>
      <c r="BK311" s="19" t="str">
        <f>IFERROR(IF(AND(BR311&lt;&gt;"",VLOOKUP($P311&amp;" | "&amp;BI$6,'Job Master'!$F$12:$I$102,4,0)&lt;&gt;""),IF(WEEKDAY(BR311-VLOOKUP($P311&amp;" | "&amp;BI$6,'Job Master'!$F$12:$I$102,4,0))&lt;&gt;7,BR311-VLOOKUP($P311&amp;" | "&amp;BI$6,'Job Master'!$F$12:$I$102,4,0),BR311-VLOOKUP($P311&amp;" | "&amp;BI$6,'Job Master'!$F$12:$I$102,4,0)-1),""),"")</f>
        <v/>
      </c>
      <c r="BL311" s="73"/>
      <c r="BM311" s="123" t="str">
        <f t="shared" si="534"/>
        <v/>
      </c>
      <c r="BN311" s="123" t="str">
        <f t="shared" si="535"/>
        <v/>
      </c>
      <c r="BO311" s="97" t="str">
        <f t="shared" ca="1" si="536"/>
        <v/>
      </c>
      <c r="BP311" s="98" t="str">
        <f>IF(BR311&lt;&gt;"",VLOOKUP($P311&amp;" | "&amp;BP$6,'Job Master'!$F$12:$J$102,5,0),"")</f>
        <v/>
      </c>
      <c r="BQ311" s="19" t="str">
        <f>IF(BR311&lt;&gt;"",VLOOKUP($P311&amp;" | "&amp;BP$6,'Job Master'!$F$12:$J$102,3,0),"")</f>
        <v/>
      </c>
      <c r="BR311" s="19" t="str">
        <f>IFERROR(IF(AND(BY311&lt;&gt;"",VLOOKUP($P311&amp;" | "&amp;BP$6,'Job Master'!$F$12:$I$102,4,0)&lt;&gt;""),IF(WEEKDAY(BY311-VLOOKUP($P311&amp;" | "&amp;BP$6,'Job Master'!$F$12:$I$102,4,0))&lt;&gt;7,BY311-VLOOKUP($P311&amp;" | "&amp;BP$6,'Job Master'!$F$12:$I$102,4,0),BY311-VLOOKUP($P311&amp;" | "&amp;BP$6,'Job Master'!$F$12:$I$102,4,0)-1),""),"")</f>
        <v/>
      </c>
      <c r="BS311" s="73"/>
      <c r="BT311" s="123" t="str">
        <f t="shared" si="537"/>
        <v/>
      </c>
      <c r="BU311" s="123" t="str">
        <f t="shared" si="538"/>
        <v/>
      </c>
      <c r="BV311" s="97" t="str">
        <f t="shared" ca="1" si="539"/>
        <v/>
      </c>
      <c r="BW311" s="98" t="str">
        <f>IF(BY311&lt;&gt;"",VLOOKUP($P311&amp;" | "&amp;BW$6,'Job Master'!$F$12:$J$102,5,0),"")</f>
        <v/>
      </c>
      <c r="BX311" s="19" t="str">
        <f>IF(BY311&lt;&gt;"",VLOOKUP($P311&amp;" | "&amp;BW$6,'Job Master'!$F$12:$J$102,3,0),"")</f>
        <v/>
      </c>
      <c r="BY311" s="19" t="str">
        <f>IFERROR(IF(AND(CF311&lt;&gt;"",VLOOKUP($P311&amp;" | "&amp;BW$6,'Job Master'!$F$12:$I$102,4,0)&lt;&gt;""),IF(WEEKDAY(CF311-VLOOKUP($P311&amp;" | "&amp;BW$6,'Job Master'!$F$12:$I$102,4,0))&lt;&gt;7,CF311-VLOOKUP($P311&amp;" | "&amp;BW$6,'Job Master'!$F$12:$I$102,4,0),CF311-VLOOKUP($P311&amp;" | "&amp;BW$6,'Job Master'!$F$12:$I$102,4,0)-1),""),"")</f>
        <v/>
      </c>
      <c r="BZ311" s="73"/>
      <c r="CA311" s="123" t="str">
        <f t="shared" si="540"/>
        <v/>
      </c>
      <c r="CB311" s="123" t="str">
        <f t="shared" si="541"/>
        <v/>
      </c>
      <c r="CC311" s="97" t="str">
        <f t="shared" ca="1" si="542"/>
        <v/>
      </c>
      <c r="CD311" s="98" t="str">
        <f>IF(CF311&lt;&gt;"",VLOOKUP($P311&amp;" | "&amp;CD$6,'Job Master'!$F$12:$J$102,5,0),"")</f>
        <v/>
      </c>
      <c r="CE311" s="19" t="str">
        <f>IF(CF311&lt;&gt;"",VLOOKUP($P311&amp;" | "&amp;CD$6,'Job Master'!$F$12:$J$102,3,0),"")</f>
        <v/>
      </c>
      <c r="CF311" s="19" t="str">
        <f>IFERROR(IF(AND(CM311&lt;&gt;"",VLOOKUP($P311&amp;" | "&amp;CD$6,'Job Master'!$F$12:$I$102,4,0)&lt;&gt;""),IF(WEEKDAY(CM311-VLOOKUP($P311&amp;" | "&amp;CD$6,'Job Master'!$F$12:$I$102,4,0))&lt;&gt;7,CM311-VLOOKUP($P311&amp;" | "&amp;CD$6,'Job Master'!$F$12:$I$102,4,0),CM311-VLOOKUP($P311&amp;" | "&amp;CD$6,'Job Master'!$F$12:$I$102,4,0)-1),""),"")</f>
        <v/>
      </c>
      <c r="CG311" s="73"/>
      <c r="CH311" s="123" t="str">
        <f t="shared" si="543"/>
        <v/>
      </c>
      <c r="CI311" s="123" t="str">
        <f t="shared" si="544"/>
        <v/>
      </c>
      <c r="CJ311" s="97" t="str">
        <f t="shared" ca="1" si="545"/>
        <v/>
      </c>
      <c r="CK311" s="98" t="str">
        <f>IF(CM311&lt;&gt;"",VLOOKUP($P311&amp;" | "&amp;CK$6,'Job Master'!$F$12:$J$102,5,0),"")</f>
        <v/>
      </c>
      <c r="CL311" s="19" t="str">
        <f>IF(CM311&lt;&gt;"",VLOOKUP($P311&amp;" | "&amp;CK$6,'Job Master'!$F$12:$J$102,3,0),"")</f>
        <v/>
      </c>
      <c r="CM311" s="19" t="str">
        <f>IFERROR(IF(AND(CT311&lt;&gt;"",VLOOKUP($P311&amp;" | "&amp;CK$6,'Job Master'!$F$12:$I$102,4,0)&lt;&gt;""),IF(WEEKDAY(CT311-VLOOKUP($P311&amp;" | "&amp;CK$6,'Job Master'!$F$12:$I$102,4,0))&lt;&gt;7,CT311-VLOOKUP($P311&amp;" | "&amp;CK$6,'Job Master'!$F$12:$I$102,4,0),CT311-VLOOKUP($P311&amp;" | "&amp;CK$6,'Job Master'!$F$12:$I$102,4,0)-1),""),"")</f>
        <v/>
      </c>
      <c r="CN311" s="73"/>
      <c r="CO311" s="123" t="str">
        <f t="shared" si="546"/>
        <v/>
      </c>
      <c r="CP311" s="123" t="str">
        <f t="shared" si="547"/>
        <v/>
      </c>
      <c r="CQ311" s="97" t="str">
        <f t="shared" ca="1" si="548"/>
        <v/>
      </c>
      <c r="CR311" s="98" t="str">
        <f>IF(CT311&lt;&gt;"",VLOOKUP($P311&amp;" | "&amp;CR$6,'Job Master'!$F$12:$J$102,5,0),"")</f>
        <v/>
      </c>
      <c r="CS311" s="19" t="str">
        <f>IF(CT311&lt;&gt;"",VLOOKUP($P311&amp;" | "&amp;CR$6,'Job Master'!$F$12:$J$102,3,0),"")</f>
        <v/>
      </c>
      <c r="CT311" s="19" t="str">
        <f>IFERROR(IF(AND(DA311&lt;&gt;"",VLOOKUP($P311&amp;" | "&amp;CR$6,'Job Master'!$F$12:$I$102,4,0)&lt;&gt;""),IF(WEEKDAY(DA311-VLOOKUP($P311&amp;" | "&amp;CR$6,'Job Master'!$F$12:$I$102,4,0))&lt;&gt;7,DA311-VLOOKUP($P311&amp;" | "&amp;CR$6,'Job Master'!$F$12:$I$102,4,0),DA311-VLOOKUP($P311&amp;" | "&amp;CR$6,'Job Master'!$F$12:$I$102,4,0)-1),""),"")</f>
        <v/>
      </c>
      <c r="CU311" s="73"/>
      <c r="CV311" s="123" t="str">
        <f t="shared" si="549"/>
        <v/>
      </c>
      <c r="CW311" s="123" t="str">
        <f t="shared" si="550"/>
        <v/>
      </c>
      <c r="CX311" s="97" t="str">
        <f t="shared" ca="1" si="551"/>
        <v/>
      </c>
      <c r="CY311" s="98" t="str">
        <f>IF(DA311&lt;&gt;"",VLOOKUP($P311&amp;" | "&amp;CY$6,'Job Master'!$F$12:$J$102,5,0),"")</f>
        <v/>
      </c>
      <c r="CZ311" s="19" t="str">
        <f>IF(DA311&lt;&gt;"",VLOOKUP($P311&amp;" | "&amp;CY$6,'Job Master'!$F$12:$J$102,3,0),"")</f>
        <v/>
      </c>
      <c r="DA311" s="19" t="str">
        <f>IFERROR(IF(AND(DH311&lt;&gt;"",VLOOKUP($P311&amp;" | "&amp;CY$6,'Job Master'!$F$12:$I$102,4,0)&lt;&gt;""),IF(WEEKDAY(DH311-VLOOKUP($P311&amp;" | "&amp;CY$6,'Job Master'!$F$12:$I$102,4,0))&lt;&gt;7,DH311-VLOOKUP($P311&amp;" | "&amp;CY$6,'Job Master'!$F$12:$I$102,4,0),DH311-VLOOKUP($P311&amp;" | "&amp;CY$6,'Job Master'!$F$12:$I$102,4,0)-1),""),"")</f>
        <v/>
      </c>
      <c r="DB311" s="73"/>
      <c r="DC311" s="123" t="str">
        <f t="shared" si="552"/>
        <v/>
      </c>
      <c r="DD311" s="123" t="str">
        <f t="shared" si="553"/>
        <v/>
      </c>
      <c r="DE311" s="97" t="str">
        <f t="shared" ca="1" si="554"/>
        <v/>
      </c>
      <c r="DF311" s="98" t="str">
        <f>IF(DH311&lt;&gt;"",VLOOKUP($P311&amp;" | "&amp;DF$6,'Job Master'!$F$12:$J$102,5,0),"")</f>
        <v/>
      </c>
      <c r="DG311" s="19" t="str">
        <f>IF(DH311&lt;&gt;"",VLOOKUP($P311&amp;" | "&amp;DF$6,'Job Master'!$F$12:$J$102,3,0),"")</f>
        <v/>
      </c>
      <c r="DH311" s="19" t="str">
        <f>IFERROR(IF(AND(DO311&lt;&gt;"",VLOOKUP($P311&amp;" | "&amp;DF$6,'Job Master'!$F$12:$I$102,4,0)&lt;&gt;""),IF(WEEKDAY(DO311-VLOOKUP($P311&amp;" | "&amp;DF$6,'Job Master'!$F$12:$I$102,4,0))&lt;&gt;7,DO311-VLOOKUP($P311&amp;" | "&amp;DF$6,'Job Master'!$F$12:$I$102,4,0),DO311-VLOOKUP($P311&amp;" | "&amp;DF$6,'Job Master'!$F$12:$I$102,4,0)-1),""),"")</f>
        <v/>
      </c>
      <c r="DI311" s="73"/>
      <c r="DJ311" s="123" t="str">
        <f t="shared" si="555"/>
        <v/>
      </c>
      <c r="DK311" s="123" t="str">
        <f t="shared" si="556"/>
        <v/>
      </c>
      <c r="DL311" s="97" t="str">
        <f t="shared" ca="1" si="557"/>
        <v/>
      </c>
      <c r="DM311" s="98" t="str">
        <f>IF(DO311&lt;&gt;"",VLOOKUP($P311&amp;" | "&amp;DM$6,'Job Master'!$F$12:$J$102,5,0),"")</f>
        <v/>
      </c>
      <c r="DN311" s="19" t="str">
        <f>IF(DO311&lt;&gt;"",VLOOKUP($P311&amp;" | "&amp;DM$6,'Job Master'!$F$12:$J$102,3,0),"")</f>
        <v/>
      </c>
      <c r="DO311" s="19" t="str">
        <f>IFERROR(IF(AND(DT311&lt;&gt;"",VLOOKUP($P311&amp;" | "&amp;DM$6,'Job Master'!$F$12:$I$102,4,0)&lt;&gt;""),IF(WEEKDAY(DT311-VLOOKUP($P311&amp;" | "&amp;DM$6,'Job Master'!$F$12:$I$102,4,0))&lt;&gt;7,DT311-VLOOKUP($P311&amp;" | "&amp;DM$6,'Job Master'!$F$12:$I$102,4,0),DT311-VLOOKUP($P311&amp;" | "&amp;DM$6,'Job Master'!$F$12:$I$102,4,0)-1),""),"")</f>
        <v/>
      </c>
      <c r="DP311" s="73"/>
      <c r="DQ311" s="123" t="str">
        <f t="shared" si="558"/>
        <v/>
      </c>
      <c r="DR311" s="123" t="str">
        <f t="shared" si="559"/>
        <v/>
      </c>
      <c r="DS311" s="97" t="str">
        <f t="shared" ca="1" si="560"/>
        <v/>
      </c>
      <c r="DT311" s="70" t="str">
        <f t="shared" si="561"/>
        <v/>
      </c>
      <c r="DU311" s="90"/>
      <c r="DV311" s="123" t="str">
        <f t="shared" si="562"/>
        <v/>
      </c>
      <c r="DW311" s="123" t="str">
        <f t="shared" si="563"/>
        <v/>
      </c>
      <c r="DX311" s="132" t="str">
        <f t="shared" ref="DX311" ca="1" si="620">IF(DT311&lt;&gt;"",IF(WEEKNUM(DT311)=WEEKNUM(TODAY()),"This Week",IF(WEEKNUM(DT311)=WEEKNUM(TODAY())+1,"Next Week",IF(WEEKNUM(DT311)=WEEKNUM(TODAY())-1,"Previous Week",""))),"")</f>
        <v/>
      </c>
      <c r="DY311" s="134" t="str">
        <f t="shared" si="565"/>
        <v/>
      </c>
      <c r="DZ311" s="95"/>
      <c r="EB311" s="8" t="str">
        <f t="shared" si="571"/>
        <v/>
      </c>
      <c r="EC311" s="8" t="str">
        <f>IF(O311&lt;&gt;"",VLOOKUP(O311,'Job Master'!$N$12:$O$18,2,0),"")</f>
        <v/>
      </c>
      <c r="ED311" s="8">
        <f t="shared" si="572"/>
        <v>19.5</v>
      </c>
      <c r="EE311" s="8">
        <f t="shared" si="573"/>
        <v>6</v>
      </c>
      <c r="EF311" s="8">
        <f t="shared" si="574"/>
        <v>-1786.5</v>
      </c>
      <c r="EG311" s="8" t="str">
        <f t="shared" si="575"/>
        <v/>
      </c>
      <c r="EH311" s="8" t="str">
        <f t="shared" si="576"/>
        <v/>
      </c>
    </row>
    <row r="312" spans="2:138" x14ac:dyDescent="0.3">
      <c r="B312" s="112"/>
      <c r="C312" s="27"/>
      <c r="D312" s="7" t="str">
        <f t="shared" si="513"/>
        <v/>
      </c>
      <c r="E312" s="25"/>
      <c r="F312" s="7" t="str">
        <f t="shared" si="513"/>
        <v/>
      </c>
      <c r="G312" s="25"/>
      <c r="H312" s="7" t="str">
        <f t="shared" si="513"/>
        <v/>
      </c>
      <c r="I312" s="25"/>
      <c r="J312" s="7" t="str">
        <f t="shared" si="513"/>
        <v/>
      </c>
      <c r="K312" s="25"/>
      <c r="L312" s="7" t="str">
        <f t="shared" si="514"/>
        <v/>
      </c>
      <c r="M312" s="25"/>
      <c r="N312" s="7" t="str">
        <f t="shared" si="515"/>
        <v/>
      </c>
      <c r="O312" s="81"/>
      <c r="P312" s="81" t="str">
        <f t="shared" si="516"/>
        <v/>
      </c>
      <c r="Q312" s="81"/>
      <c r="R312" s="7" t="str">
        <f t="shared" si="517"/>
        <v/>
      </c>
      <c r="S312" s="25"/>
      <c r="T312" s="7" t="str">
        <f t="shared" si="518"/>
        <v/>
      </c>
      <c r="U312" s="25"/>
      <c r="V312" s="7" t="str">
        <f t="shared" si="519"/>
        <v/>
      </c>
      <c r="W312" s="25"/>
      <c r="X312" s="7" t="str">
        <f t="shared" si="520"/>
        <v/>
      </c>
      <c r="Y312" s="18" t="str">
        <f t="shared" si="521"/>
        <v/>
      </c>
      <c r="Z312" s="7" t="str">
        <f t="shared" si="522"/>
        <v/>
      </c>
      <c r="AA312" s="18" t="str">
        <f t="shared" si="523"/>
        <v/>
      </c>
      <c r="AB312" s="19" t="str">
        <f t="shared" si="524"/>
        <v/>
      </c>
      <c r="AC312" s="26"/>
      <c r="AD312" s="26"/>
      <c r="AE312" s="25"/>
      <c r="AF312" s="26"/>
      <c r="AG312" s="25"/>
      <c r="AH312" s="25"/>
      <c r="AI312" s="18" t="str">
        <f t="shared" si="587"/>
        <v/>
      </c>
      <c r="AJ312" s="25"/>
      <c r="AK312" s="18" t="str">
        <f t="shared" si="588"/>
        <v/>
      </c>
      <c r="AL312" s="79"/>
      <c r="AM312" s="126" t="str">
        <f t="shared" si="589"/>
        <v/>
      </c>
      <c r="AN312" s="128" t="str">
        <f>IF(AP312&lt;&gt;"",VLOOKUP($P312&amp;" | "&amp;AN$6,'Job Master'!$F$12:$J$102,5,0),"")</f>
        <v/>
      </c>
      <c r="AO312" s="19" t="str">
        <f>IF(AP312&lt;&gt;"",VLOOKUP($P312&amp;" | "&amp;AN$6,'Job Master'!$F$12:$J$102,3,0),"")</f>
        <v/>
      </c>
      <c r="AP312" s="19" t="str">
        <f>IFERROR(IF(AND(AW312&lt;&gt;"",VLOOKUP($P312&amp;" | "&amp;AN$6,'Job Master'!$F$12:$I$102,4,0)&lt;&gt;""),IF(WEEKDAY(AW312-VLOOKUP($P312&amp;" | "&amp;AN$6,'Job Master'!$F$12:$I$102,4,0))&lt;&gt;7,AW312-VLOOKUP($P312&amp;" | "&amp;AN$6,'Job Master'!$F$12:$I$102,4,0),AW312-VLOOKUP($P312&amp;" | "&amp;AN$6,'Job Master'!$F$12:$I$102,4,0)-1),""),"")</f>
        <v/>
      </c>
      <c r="AQ312" s="73"/>
      <c r="AR312" s="123" t="str">
        <f t="shared" si="525"/>
        <v/>
      </c>
      <c r="AS312" s="123" t="str">
        <f t="shared" si="526"/>
        <v/>
      </c>
      <c r="AT312" s="97" t="str">
        <f t="shared" ca="1" si="527"/>
        <v/>
      </c>
      <c r="AU312" s="98" t="str">
        <f>IF(AW312&lt;&gt;"",VLOOKUP($P312&amp;" | "&amp;AU$6,'Job Master'!$F$12:$J$102,5,0),"")</f>
        <v/>
      </c>
      <c r="AV312" s="19" t="str">
        <f>IF(AW312&lt;&gt;"",VLOOKUP($P312&amp;" | "&amp;AU$6,'Job Master'!$F$12:$J$102,3,0),"")</f>
        <v/>
      </c>
      <c r="AW312" s="19" t="str">
        <f>IFERROR(IF(AND(BD312&lt;&gt;"",VLOOKUP($P312&amp;" | "&amp;AU$6,'Job Master'!$F$12:$I$102,4,0)&lt;&gt;""),IF(WEEKDAY(BD312-VLOOKUP($P312&amp;" | "&amp;AU$6,'Job Master'!$F$12:$I$102,4,0))&lt;&gt;7,BD312-VLOOKUP($P312&amp;" | "&amp;AU$6,'Job Master'!$F$12:$I$102,4,0),BD312-VLOOKUP($P312&amp;" | "&amp;AU$6,'Job Master'!$F$12:$I$102,4,0)-1),""),"")</f>
        <v/>
      </c>
      <c r="AX312" s="73"/>
      <c r="AY312" s="123" t="str">
        <f t="shared" si="528"/>
        <v/>
      </c>
      <c r="AZ312" s="123" t="str">
        <f t="shared" si="529"/>
        <v/>
      </c>
      <c r="BA312" s="97" t="str">
        <f t="shared" ca="1" si="530"/>
        <v/>
      </c>
      <c r="BB312" s="98" t="str">
        <f>IF(BD312&lt;&gt;"",VLOOKUP($P312&amp;" | "&amp;BB$6,'Job Master'!$F$12:$J$102,5,0),"")</f>
        <v/>
      </c>
      <c r="BC312" s="19" t="str">
        <f>IF(BD312&lt;&gt;"",VLOOKUP($P312&amp;" | "&amp;BB$6,'Job Master'!$F$12:$J$102,3,0),"")</f>
        <v/>
      </c>
      <c r="BD312" s="19" t="str">
        <f>IFERROR(IF(AND(BK312&lt;&gt;"",VLOOKUP($P312&amp;" | "&amp;BB$6,'Job Master'!$F$12:$I$102,4,0)&lt;&gt;""),IF(WEEKDAY(BK312-VLOOKUP($P312&amp;" | "&amp;BB$6,'Job Master'!$F$12:$I$102,4,0))&lt;&gt;7,BK312-VLOOKUP($P312&amp;" | "&amp;BB$6,'Job Master'!$F$12:$I$102,4,0),BK312-VLOOKUP($P312&amp;" | "&amp;BB$6,'Job Master'!$F$12:$I$102,4,0)-1),""),"")</f>
        <v/>
      </c>
      <c r="BE312" s="73"/>
      <c r="BF312" s="123" t="str">
        <f t="shared" si="531"/>
        <v/>
      </c>
      <c r="BG312" s="123" t="str">
        <f t="shared" si="532"/>
        <v/>
      </c>
      <c r="BH312" s="97" t="str">
        <f t="shared" ca="1" si="533"/>
        <v/>
      </c>
      <c r="BI312" s="98" t="str">
        <f>IF(BK312&lt;&gt;"",VLOOKUP($P312&amp;" | "&amp;BI$6,'Job Master'!$F$12:$J$102,5,0),"")</f>
        <v/>
      </c>
      <c r="BJ312" s="19" t="str">
        <f>IF(BK312&lt;&gt;"",VLOOKUP($P312&amp;" | "&amp;BI$6,'Job Master'!$F$12:$J$102,3,0),"")</f>
        <v/>
      </c>
      <c r="BK312" s="19" t="str">
        <f>IFERROR(IF(AND(BR312&lt;&gt;"",VLOOKUP($P312&amp;" | "&amp;BI$6,'Job Master'!$F$12:$I$102,4,0)&lt;&gt;""),IF(WEEKDAY(BR312-VLOOKUP($P312&amp;" | "&amp;BI$6,'Job Master'!$F$12:$I$102,4,0))&lt;&gt;7,BR312-VLOOKUP($P312&amp;" | "&amp;BI$6,'Job Master'!$F$12:$I$102,4,0),BR312-VLOOKUP($P312&amp;" | "&amp;BI$6,'Job Master'!$F$12:$I$102,4,0)-1),""),"")</f>
        <v/>
      </c>
      <c r="BL312" s="73"/>
      <c r="BM312" s="123" t="str">
        <f t="shared" si="534"/>
        <v/>
      </c>
      <c r="BN312" s="123" t="str">
        <f t="shared" si="535"/>
        <v/>
      </c>
      <c r="BO312" s="97" t="str">
        <f t="shared" ca="1" si="536"/>
        <v/>
      </c>
      <c r="BP312" s="98" t="str">
        <f>IF(BR312&lt;&gt;"",VLOOKUP($P312&amp;" | "&amp;BP$6,'Job Master'!$F$12:$J$102,5,0),"")</f>
        <v/>
      </c>
      <c r="BQ312" s="19" t="str">
        <f>IF(BR312&lt;&gt;"",VLOOKUP($P312&amp;" | "&amp;BP$6,'Job Master'!$F$12:$J$102,3,0),"")</f>
        <v/>
      </c>
      <c r="BR312" s="19" t="str">
        <f>IFERROR(IF(AND(BY312&lt;&gt;"",VLOOKUP($P312&amp;" | "&amp;BP$6,'Job Master'!$F$12:$I$102,4,0)&lt;&gt;""),IF(WEEKDAY(BY312-VLOOKUP($P312&amp;" | "&amp;BP$6,'Job Master'!$F$12:$I$102,4,0))&lt;&gt;7,BY312-VLOOKUP($P312&amp;" | "&amp;BP$6,'Job Master'!$F$12:$I$102,4,0),BY312-VLOOKUP($P312&amp;" | "&amp;BP$6,'Job Master'!$F$12:$I$102,4,0)-1),""),"")</f>
        <v/>
      </c>
      <c r="BS312" s="73"/>
      <c r="BT312" s="123" t="str">
        <f t="shared" si="537"/>
        <v/>
      </c>
      <c r="BU312" s="123" t="str">
        <f t="shared" si="538"/>
        <v/>
      </c>
      <c r="BV312" s="97" t="str">
        <f t="shared" ca="1" si="539"/>
        <v/>
      </c>
      <c r="BW312" s="98" t="str">
        <f>IF(BY312&lt;&gt;"",VLOOKUP($P312&amp;" | "&amp;BW$6,'Job Master'!$F$12:$J$102,5,0),"")</f>
        <v/>
      </c>
      <c r="BX312" s="19" t="str">
        <f>IF(BY312&lt;&gt;"",VLOOKUP($P312&amp;" | "&amp;BW$6,'Job Master'!$F$12:$J$102,3,0),"")</f>
        <v/>
      </c>
      <c r="BY312" s="19" t="str">
        <f>IFERROR(IF(AND(CF312&lt;&gt;"",VLOOKUP($P312&amp;" | "&amp;BW$6,'Job Master'!$F$12:$I$102,4,0)&lt;&gt;""),IF(WEEKDAY(CF312-VLOOKUP($P312&amp;" | "&amp;BW$6,'Job Master'!$F$12:$I$102,4,0))&lt;&gt;7,CF312-VLOOKUP($P312&amp;" | "&amp;BW$6,'Job Master'!$F$12:$I$102,4,0),CF312-VLOOKUP($P312&amp;" | "&amp;BW$6,'Job Master'!$F$12:$I$102,4,0)-1),""),"")</f>
        <v/>
      </c>
      <c r="BZ312" s="73"/>
      <c r="CA312" s="123" t="str">
        <f t="shared" si="540"/>
        <v/>
      </c>
      <c r="CB312" s="123" t="str">
        <f t="shared" si="541"/>
        <v/>
      </c>
      <c r="CC312" s="97" t="str">
        <f t="shared" ca="1" si="542"/>
        <v/>
      </c>
      <c r="CD312" s="98" t="str">
        <f>IF(CF312&lt;&gt;"",VLOOKUP($P312&amp;" | "&amp;CD$6,'Job Master'!$F$12:$J$102,5,0),"")</f>
        <v/>
      </c>
      <c r="CE312" s="19" t="str">
        <f>IF(CF312&lt;&gt;"",VLOOKUP($P312&amp;" | "&amp;CD$6,'Job Master'!$F$12:$J$102,3,0),"")</f>
        <v/>
      </c>
      <c r="CF312" s="19" t="str">
        <f>IFERROR(IF(AND(CM312&lt;&gt;"",VLOOKUP($P312&amp;" | "&amp;CD$6,'Job Master'!$F$12:$I$102,4,0)&lt;&gt;""),IF(WEEKDAY(CM312-VLOOKUP($P312&amp;" | "&amp;CD$6,'Job Master'!$F$12:$I$102,4,0))&lt;&gt;7,CM312-VLOOKUP($P312&amp;" | "&amp;CD$6,'Job Master'!$F$12:$I$102,4,0),CM312-VLOOKUP($P312&amp;" | "&amp;CD$6,'Job Master'!$F$12:$I$102,4,0)-1),""),"")</f>
        <v/>
      </c>
      <c r="CG312" s="73"/>
      <c r="CH312" s="123" t="str">
        <f t="shared" si="543"/>
        <v/>
      </c>
      <c r="CI312" s="123" t="str">
        <f t="shared" si="544"/>
        <v/>
      </c>
      <c r="CJ312" s="97" t="str">
        <f t="shared" ca="1" si="545"/>
        <v/>
      </c>
      <c r="CK312" s="98" t="str">
        <f>IF(CM312&lt;&gt;"",VLOOKUP($P312&amp;" | "&amp;CK$6,'Job Master'!$F$12:$J$102,5,0),"")</f>
        <v/>
      </c>
      <c r="CL312" s="19" t="str">
        <f>IF(CM312&lt;&gt;"",VLOOKUP($P312&amp;" | "&amp;CK$6,'Job Master'!$F$12:$J$102,3,0),"")</f>
        <v/>
      </c>
      <c r="CM312" s="19" t="str">
        <f>IFERROR(IF(AND(CT312&lt;&gt;"",VLOOKUP($P312&amp;" | "&amp;CK$6,'Job Master'!$F$12:$I$102,4,0)&lt;&gt;""),IF(WEEKDAY(CT312-VLOOKUP($P312&amp;" | "&amp;CK$6,'Job Master'!$F$12:$I$102,4,0))&lt;&gt;7,CT312-VLOOKUP($P312&amp;" | "&amp;CK$6,'Job Master'!$F$12:$I$102,4,0),CT312-VLOOKUP($P312&amp;" | "&amp;CK$6,'Job Master'!$F$12:$I$102,4,0)-1),""),"")</f>
        <v/>
      </c>
      <c r="CN312" s="73"/>
      <c r="CO312" s="123" t="str">
        <f t="shared" si="546"/>
        <v/>
      </c>
      <c r="CP312" s="123" t="str">
        <f t="shared" si="547"/>
        <v/>
      </c>
      <c r="CQ312" s="97" t="str">
        <f t="shared" ca="1" si="548"/>
        <v/>
      </c>
      <c r="CR312" s="98" t="str">
        <f>IF(CT312&lt;&gt;"",VLOOKUP($P312&amp;" | "&amp;CR$6,'Job Master'!$F$12:$J$102,5,0),"")</f>
        <v/>
      </c>
      <c r="CS312" s="19" t="str">
        <f>IF(CT312&lt;&gt;"",VLOOKUP($P312&amp;" | "&amp;CR$6,'Job Master'!$F$12:$J$102,3,0),"")</f>
        <v/>
      </c>
      <c r="CT312" s="19" t="str">
        <f>IFERROR(IF(AND(DA312&lt;&gt;"",VLOOKUP($P312&amp;" | "&amp;CR$6,'Job Master'!$F$12:$I$102,4,0)&lt;&gt;""),IF(WEEKDAY(DA312-VLOOKUP($P312&amp;" | "&amp;CR$6,'Job Master'!$F$12:$I$102,4,0))&lt;&gt;7,DA312-VLOOKUP($P312&amp;" | "&amp;CR$6,'Job Master'!$F$12:$I$102,4,0),DA312-VLOOKUP($P312&amp;" | "&amp;CR$6,'Job Master'!$F$12:$I$102,4,0)-1),""),"")</f>
        <v/>
      </c>
      <c r="CU312" s="73"/>
      <c r="CV312" s="123" t="str">
        <f t="shared" si="549"/>
        <v/>
      </c>
      <c r="CW312" s="123" t="str">
        <f t="shared" si="550"/>
        <v/>
      </c>
      <c r="CX312" s="97" t="str">
        <f t="shared" ca="1" si="551"/>
        <v/>
      </c>
      <c r="CY312" s="98" t="str">
        <f>IF(DA312&lt;&gt;"",VLOOKUP($P312&amp;" | "&amp;CY$6,'Job Master'!$F$12:$J$102,5,0),"")</f>
        <v/>
      </c>
      <c r="CZ312" s="19" t="str">
        <f>IF(DA312&lt;&gt;"",VLOOKUP($P312&amp;" | "&amp;CY$6,'Job Master'!$F$12:$J$102,3,0),"")</f>
        <v/>
      </c>
      <c r="DA312" s="19" t="str">
        <f>IFERROR(IF(AND(DH312&lt;&gt;"",VLOOKUP($P312&amp;" | "&amp;CY$6,'Job Master'!$F$12:$I$102,4,0)&lt;&gt;""),IF(WEEKDAY(DH312-VLOOKUP($P312&amp;" | "&amp;CY$6,'Job Master'!$F$12:$I$102,4,0))&lt;&gt;7,DH312-VLOOKUP($P312&amp;" | "&amp;CY$6,'Job Master'!$F$12:$I$102,4,0),DH312-VLOOKUP($P312&amp;" | "&amp;CY$6,'Job Master'!$F$12:$I$102,4,0)-1),""),"")</f>
        <v/>
      </c>
      <c r="DB312" s="73"/>
      <c r="DC312" s="123" t="str">
        <f t="shared" si="552"/>
        <v/>
      </c>
      <c r="DD312" s="123" t="str">
        <f t="shared" si="553"/>
        <v/>
      </c>
      <c r="DE312" s="97" t="str">
        <f t="shared" ca="1" si="554"/>
        <v/>
      </c>
      <c r="DF312" s="98" t="str">
        <f>IF(DH312&lt;&gt;"",VLOOKUP($P312&amp;" | "&amp;DF$6,'Job Master'!$F$12:$J$102,5,0),"")</f>
        <v/>
      </c>
      <c r="DG312" s="19" t="str">
        <f>IF(DH312&lt;&gt;"",VLOOKUP($P312&amp;" | "&amp;DF$6,'Job Master'!$F$12:$J$102,3,0),"")</f>
        <v/>
      </c>
      <c r="DH312" s="19" t="str">
        <f>IFERROR(IF(AND(DO312&lt;&gt;"",VLOOKUP($P312&amp;" | "&amp;DF$6,'Job Master'!$F$12:$I$102,4,0)&lt;&gt;""),IF(WEEKDAY(DO312-VLOOKUP($P312&amp;" | "&amp;DF$6,'Job Master'!$F$12:$I$102,4,0))&lt;&gt;7,DO312-VLOOKUP($P312&amp;" | "&amp;DF$6,'Job Master'!$F$12:$I$102,4,0),DO312-VLOOKUP($P312&amp;" | "&amp;DF$6,'Job Master'!$F$12:$I$102,4,0)-1),""),"")</f>
        <v/>
      </c>
      <c r="DI312" s="73"/>
      <c r="DJ312" s="123" t="str">
        <f t="shared" si="555"/>
        <v/>
      </c>
      <c r="DK312" s="123" t="str">
        <f t="shared" si="556"/>
        <v/>
      </c>
      <c r="DL312" s="97" t="str">
        <f t="shared" ca="1" si="557"/>
        <v/>
      </c>
      <c r="DM312" s="98" t="str">
        <f>IF(DO312&lt;&gt;"",VLOOKUP($P312&amp;" | "&amp;DM$6,'Job Master'!$F$12:$J$102,5,0),"")</f>
        <v/>
      </c>
      <c r="DN312" s="19" t="str">
        <f>IF(DO312&lt;&gt;"",VLOOKUP($P312&amp;" | "&amp;DM$6,'Job Master'!$F$12:$J$102,3,0),"")</f>
        <v/>
      </c>
      <c r="DO312" s="19" t="str">
        <f>IFERROR(IF(AND(DT312&lt;&gt;"",VLOOKUP($P312&amp;" | "&amp;DM$6,'Job Master'!$F$12:$I$102,4,0)&lt;&gt;""),IF(WEEKDAY(DT312-VLOOKUP($P312&amp;" | "&amp;DM$6,'Job Master'!$F$12:$I$102,4,0))&lt;&gt;7,DT312-VLOOKUP($P312&amp;" | "&amp;DM$6,'Job Master'!$F$12:$I$102,4,0),DT312-VLOOKUP($P312&amp;" | "&amp;DM$6,'Job Master'!$F$12:$I$102,4,0)-1),""),"")</f>
        <v/>
      </c>
      <c r="DP312" s="73"/>
      <c r="DQ312" s="123" t="str">
        <f t="shared" si="558"/>
        <v/>
      </c>
      <c r="DR312" s="123" t="str">
        <f t="shared" si="559"/>
        <v/>
      </c>
      <c r="DS312" s="97" t="str">
        <f t="shared" ca="1" si="560"/>
        <v/>
      </c>
      <c r="DT312" s="70" t="str">
        <f t="shared" si="561"/>
        <v/>
      </c>
      <c r="DU312" s="90"/>
      <c r="DV312" s="123" t="str">
        <f t="shared" si="562"/>
        <v/>
      </c>
      <c r="DW312" s="123" t="str">
        <f t="shared" si="563"/>
        <v/>
      </c>
      <c r="DX312" s="132" t="str">
        <f t="shared" ref="DX312" ca="1" si="621">IF(DT312&lt;&gt;"",IF(WEEKNUM(DT312)=WEEKNUM(TODAY()),"This Week",IF(WEEKNUM(DT312)=WEEKNUM(TODAY())+1,"Next Week",IF(WEEKNUM(DT312)=WEEKNUM(TODAY())-1,"Previous Week",""))),"")</f>
        <v/>
      </c>
      <c r="DY312" s="134" t="str">
        <f t="shared" si="565"/>
        <v/>
      </c>
      <c r="DZ312" s="95"/>
      <c r="EB312" s="8" t="str">
        <f t="shared" si="571"/>
        <v/>
      </c>
      <c r="EC312" s="8" t="str">
        <f>IF(O312&lt;&gt;"",VLOOKUP(O312,'Job Master'!$N$12:$O$18,2,0),"")</f>
        <v/>
      </c>
      <c r="ED312" s="8">
        <f t="shared" si="572"/>
        <v>19.5</v>
      </c>
      <c r="EE312" s="8">
        <f t="shared" si="573"/>
        <v>6</v>
      </c>
      <c r="EF312" s="8">
        <f t="shared" si="574"/>
        <v>-1792.5</v>
      </c>
      <c r="EG312" s="8" t="str">
        <f t="shared" si="575"/>
        <v/>
      </c>
      <c r="EH312" s="8" t="str">
        <f t="shared" si="576"/>
        <v/>
      </c>
    </row>
    <row r="313" spans="2:138" x14ac:dyDescent="0.3">
      <c r="B313" s="112"/>
      <c r="C313" s="27"/>
      <c r="D313" s="7" t="str">
        <f t="shared" si="513"/>
        <v/>
      </c>
      <c r="E313" s="25"/>
      <c r="F313" s="7" t="str">
        <f t="shared" si="513"/>
        <v/>
      </c>
      <c r="G313" s="25"/>
      <c r="H313" s="7" t="str">
        <f t="shared" si="513"/>
        <v/>
      </c>
      <c r="I313" s="25"/>
      <c r="J313" s="7" t="str">
        <f t="shared" si="513"/>
        <v/>
      </c>
      <c r="K313" s="25"/>
      <c r="L313" s="7" t="str">
        <f t="shared" si="514"/>
        <v/>
      </c>
      <c r="M313" s="25"/>
      <c r="N313" s="7" t="str">
        <f t="shared" si="515"/>
        <v/>
      </c>
      <c r="O313" s="81"/>
      <c r="P313" s="81" t="str">
        <f t="shared" si="516"/>
        <v/>
      </c>
      <c r="Q313" s="81"/>
      <c r="R313" s="7" t="str">
        <f t="shared" si="517"/>
        <v/>
      </c>
      <c r="S313" s="25"/>
      <c r="T313" s="7" t="str">
        <f t="shared" si="518"/>
        <v/>
      </c>
      <c r="U313" s="25"/>
      <c r="V313" s="7" t="str">
        <f t="shared" si="519"/>
        <v/>
      </c>
      <c r="W313" s="25"/>
      <c r="X313" s="7" t="str">
        <f t="shared" si="520"/>
        <v/>
      </c>
      <c r="Y313" s="18" t="str">
        <f t="shared" si="521"/>
        <v/>
      </c>
      <c r="Z313" s="7" t="str">
        <f t="shared" si="522"/>
        <v/>
      </c>
      <c r="AA313" s="18" t="str">
        <f t="shared" si="523"/>
        <v/>
      </c>
      <c r="AB313" s="19" t="str">
        <f t="shared" si="524"/>
        <v/>
      </c>
      <c r="AC313" s="26"/>
      <c r="AD313" s="26"/>
      <c r="AE313" s="25"/>
      <c r="AF313" s="26"/>
      <c r="AG313" s="25"/>
      <c r="AH313" s="25"/>
      <c r="AI313" s="18" t="str">
        <f t="shared" si="587"/>
        <v/>
      </c>
      <c r="AJ313" s="25"/>
      <c r="AK313" s="18" t="str">
        <f t="shared" si="588"/>
        <v/>
      </c>
      <c r="AL313" s="79"/>
      <c r="AM313" s="126" t="str">
        <f t="shared" si="589"/>
        <v/>
      </c>
      <c r="AN313" s="128" t="str">
        <f>IF(AP313&lt;&gt;"",VLOOKUP($P313&amp;" | "&amp;AN$6,'Job Master'!$F$12:$J$102,5,0),"")</f>
        <v/>
      </c>
      <c r="AO313" s="19" t="str">
        <f>IF(AP313&lt;&gt;"",VLOOKUP($P313&amp;" | "&amp;AN$6,'Job Master'!$F$12:$J$102,3,0),"")</f>
        <v/>
      </c>
      <c r="AP313" s="19" t="str">
        <f>IFERROR(IF(AND(AW313&lt;&gt;"",VLOOKUP($P313&amp;" | "&amp;AN$6,'Job Master'!$F$12:$I$102,4,0)&lt;&gt;""),IF(WEEKDAY(AW313-VLOOKUP($P313&amp;" | "&amp;AN$6,'Job Master'!$F$12:$I$102,4,0))&lt;&gt;7,AW313-VLOOKUP($P313&amp;" | "&amp;AN$6,'Job Master'!$F$12:$I$102,4,0),AW313-VLOOKUP($P313&amp;" | "&amp;AN$6,'Job Master'!$F$12:$I$102,4,0)-1),""),"")</f>
        <v/>
      </c>
      <c r="AQ313" s="73"/>
      <c r="AR313" s="123" t="str">
        <f t="shared" si="525"/>
        <v/>
      </c>
      <c r="AS313" s="123" t="str">
        <f t="shared" si="526"/>
        <v/>
      </c>
      <c r="AT313" s="97" t="str">
        <f t="shared" ca="1" si="527"/>
        <v/>
      </c>
      <c r="AU313" s="98" t="str">
        <f>IF(AW313&lt;&gt;"",VLOOKUP($P313&amp;" | "&amp;AU$6,'Job Master'!$F$12:$J$102,5,0),"")</f>
        <v/>
      </c>
      <c r="AV313" s="19" t="str">
        <f>IF(AW313&lt;&gt;"",VLOOKUP($P313&amp;" | "&amp;AU$6,'Job Master'!$F$12:$J$102,3,0),"")</f>
        <v/>
      </c>
      <c r="AW313" s="19" t="str">
        <f>IFERROR(IF(AND(BD313&lt;&gt;"",VLOOKUP($P313&amp;" | "&amp;AU$6,'Job Master'!$F$12:$I$102,4,0)&lt;&gt;""),IF(WEEKDAY(BD313-VLOOKUP($P313&amp;" | "&amp;AU$6,'Job Master'!$F$12:$I$102,4,0))&lt;&gt;7,BD313-VLOOKUP($P313&amp;" | "&amp;AU$6,'Job Master'!$F$12:$I$102,4,0),BD313-VLOOKUP($P313&amp;" | "&amp;AU$6,'Job Master'!$F$12:$I$102,4,0)-1),""),"")</f>
        <v/>
      </c>
      <c r="AX313" s="73"/>
      <c r="AY313" s="123" t="str">
        <f t="shared" si="528"/>
        <v/>
      </c>
      <c r="AZ313" s="123" t="str">
        <f t="shared" si="529"/>
        <v/>
      </c>
      <c r="BA313" s="97" t="str">
        <f t="shared" ca="1" si="530"/>
        <v/>
      </c>
      <c r="BB313" s="98" t="str">
        <f>IF(BD313&lt;&gt;"",VLOOKUP($P313&amp;" | "&amp;BB$6,'Job Master'!$F$12:$J$102,5,0),"")</f>
        <v/>
      </c>
      <c r="BC313" s="19" t="str">
        <f>IF(BD313&lt;&gt;"",VLOOKUP($P313&amp;" | "&amp;BB$6,'Job Master'!$F$12:$J$102,3,0),"")</f>
        <v/>
      </c>
      <c r="BD313" s="19" t="str">
        <f>IFERROR(IF(AND(BK313&lt;&gt;"",VLOOKUP($P313&amp;" | "&amp;BB$6,'Job Master'!$F$12:$I$102,4,0)&lt;&gt;""),IF(WEEKDAY(BK313-VLOOKUP($P313&amp;" | "&amp;BB$6,'Job Master'!$F$12:$I$102,4,0))&lt;&gt;7,BK313-VLOOKUP($P313&amp;" | "&amp;BB$6,'Job Master'!$F$12:$I$102,4,0),BK313-VLOOKUP($P313&amp;" | "&amp;BB$6,'Job Master'!$F$12:$I$102,4,0)-1),""),"")</f>
        <v/>
      </c>
      <c r="BE313" s="73"/>
      <c r="BF313" s="123" t="str">
        <f t="shared" si="531"/>
        <v/>
      </c>
      <c r="BG313" s="123" t="str">
        <f t="shared" si="532"/>
        <v/>
      </c>
      <c r="BH313" s="97" t="str">
        <f t="shared" ca="1" si="533"/>
        <v/>
      </c>
      <c r="BI313" s="98" t="str">
        <f>IF(BK313&lt;&gt;"",VLOOKUP($P313&amp;" | "&amp;BI$6,'Job Master'!$F$12:$J$102,5,0),"")</f>
        <v/>
      </c>
      <c r="BJ313" s="19" t="str">
        <f>IF(BK313&lt;&gt;"",VLOOKUP($P313&amp;" | "&amp;BI$6,'Job Master'!$F$12:$J$102,3,0),"")</f>
        <v/>
      </c>
      <c r="BK313" s="19" t="str">
        <f>IFERROR(IF(AND(BR313&lt;&gt;"",VLOOKUP($P313&amp;" | "&amp;BI$6,'Job Master'!$F$12:$I$102,4,0)&lt;&gt;""),IF(WEEKDAY(BR313-VLOOKUP($P313&amp;" | "&amp;BI$6,'Job Master'!$F$12:$I$102,4,0))&lt;&gt;7,BR313-VLOOKUP($P313&amp;" | "&amp;BI$6,'Job Master'!$F$12:$I$102,4,0),BR313-VLOOKUP($P313&amp;" | "&amp;BI$6,'Job Master'!$F$12:$I$102,4,0)-1),""),"")</f>
        <v/>
      </c>
      <c r="BL313" s="73"/>
      <c r="BM313" s="123" t="str">
        <f t="shared" si="534"/>
        <v/>
      </c>
      <c r="BN313" s="123" t="str">
        <f t="shared" si="535"/>
        <v/>
      </c>
      <c r="BO313" s="97" t="str">
        <f t="shared" ca="1" si="536"/>
        <v/>
      </c>
      <c r="BP313" s="98" t="str">
        <f>IF(BR313&lt;&gt;"",VLOOKUP($P313&amp;" | "&amp;BP$6,'Job Master'!$F$12:$J$102,5,0),"")</f>
        <v/>
      </c>
      <c r="BQ313" s="19" t="str">
        <f>IF(BR313&lt;&gt;"",VLOOKUP($P313&amp;" | "&amp;BP$6,'Job Master'!$F$12:$J$102,3,0),"")</f>
        <v/>
      </c>
      <c r="BR313" s="19" t="str">
        <f>IFERROR(IF(AND(BY313&lt;&gt;"",VLOOKUP($P313&amp;" | "&amp;BP$6,'Job Master'!$F$12:$I$102,4,0)&lt;&gt;""),IF(WEEKDAY(BY313-VLOOKUP($P313&amp;" | "&amp;BP$6,'Job Master'!$F$12:$I$102,4,0))&lt;&gt;7,BY313-VLOOKUP($P313&amp;" | "&amp;BP$6,'Job Master'!$F$12:$I$102,4,0),BY313-VLOOKUP($P313&amp;" | "&amp;BP$6,'Job Master'!$F$12:$I$102,4,0)-1),""),"")</f>
        <v/>
      </c>
      <c r="BS313" s="73"/>
      <c r="BT313" s="123" t="str">
        <f t="shared" si="537"/>
        <v/>
      </c>
      <c r="BU313" s="123" t="str">
        <f t="shared" si="538"/>
        <v/>
      </c>
      <c r="BV313" s="97" t="str">
        <f t="shared" ca="1" si="539"/>
        <v/>
      </c>
      <c r="BW313" s="98" t="str">
        <f>IF(BY313&lt;&gt;"",VLOOKUP($P313&amp;" | "&amp;BW$6,'Job Master'!$F$12:$J$102,5,0),"")</f>
        <v/>
      </c>
      <c r="BX313" s="19" t="str">
        <f>IF(BY313&lt;&gt;"",VLOOKUP($P313&amp;" | "&amp;BW$6,'Job Master'!$F$12:$J$102,3,0),"")</f>
        <v/>
      </c>
      <c r="BY313" s="19" t="str">
        <f>IFERROR(IF(AND(CF313&lt;&gt;"",VLOOKUP($P313&amp;" | "&amp;BW$6,'Job Master'!$F$12:$I$102,4,0)&lt;&gt;""),IF(WEEKDAY(CF313-VLOOKUP($P313&amp;" | "&amp;BW$6,'Job Master'!$F$12:$I$102,4,0))&lt;&gt;7,CF313-VLOOKUP($P313&amp;" | "&amp;BW$6,'Job Master'!$F$12:$I$102,4,0),CF313-VLOOKUP($P313&amp;" | "&amp;BW$6,'Job Master'!$F$12:$I$102,4,0)-1),""),"")</f>
        <v/>
      </c>
      <c r="BZ313" s="73"/>
      <c r="CA313" s="123" t="str">
        <f t="shared" si="540"/>
        <v/>
      </c>
      <c r="CB313" s="123" t="str">
        <f t="shared" si="541"/>
        <v/>
      </c>
      <c r="CC313" s="97" t="str">
        <f t="shared" ca="1" si="542"/>
        <v/>
      </c>
      <c r="CD313" s="98" t="str">
        <f>IF(CF313&lt;&gt;"",VLOOKUP($P313&amp;" | "&amp;CD$6,'Job Master'!$F$12:$J$102,5,0),"")</f>
        <v/>
      </c>
      <c r="CE313" s="19" t="str">
        <f>IF(CF313&lt;&gt;"",VLOOKUP($P313&amp;" | "&amp;CD$6,'Job Master'!$F$12:$J$102,3,0),"")</f>
        <v/>
      </c>
      <c r="CF313" s="19" t="str">
        <f>IFERROR(IF(AND(CM313&lt;&gt;"",VLOOKUP($P313&amp;" | "&amp;CD$6,'Job Master'!$F$12:$I$102,4,0)&lt;&gt;""),IF(WEEKDAY(CM313-VLOOKUP($P313&amp;" | "&amp;CD$6,'Job Master'!$F$12:$I$102,4,0))&lt;&gt;7,CM313-VLOOKUP($P313&amp;" | "&amp;CD$6,'Job Master'!$F$12:$I$102,4,0),CM313-VLOOKUP($P313&amp;" | "&amp;CD$6,'Job Master'!$F$12:$I$102,4,0)-1),""),"")</f>
        <v/>
      </c>
      <c r="CG313" s="73"/>
      <c r="CH313" s="123" t="str">
        <f t="shared" si="543"/>
        <v/>
      </c>
      <c r="CI313" s="123" t="str">
        <f t="shared" si="544"/>
        <v/>
      </c>
      <c r="CJ313" s="97" t="str">
        <f t="shared" ca="1" si="545"/>
        <v/>
      </c>
      <c r="CK313" s="98" t="str">
        <f>IF(CM313&lt;&gt;"",VLOOKUP($P313&amp;" | "&amp;CK$6,'Job Master'!$F$12:$J$102,5,0),"")</f>
        <v/>
      </c>
      <c r="CL313" s="19" t="str">
        <f>IF(CM313&lt;&gt;"",VLOOKUP($P313&amp;" | "&amp;CK$6,'Job Master'!$F$12:$J$102,3,0),"")</f>
        <v/>
      </c>
      <c r="CM313" s="19" t="str">
        <f>IFERROR(IF(AND(CT313&lt;&gt;"",VLOOKUP($P313&amp;" | "&amp;CK$6,'Job Master'!$F$12:$I$102,4,0)&lt;&gt;""),IF(WEEKDAY(CT313-VLOOKUP($P313&amp;" | "&amp;CK$6,'Job Master'!$F$12:$I$102,4,0))&lt;&gt;7,CT313-VLOOKUP($P313&amp;" | "&amp;CK$6,'Job Master'!$F$12:$I$102,4,0),CT313-VLOOKUP($P313&amp;" | "&amp;CK$6,'Job Master'!$F$12:$I$102,4,0)-1),""),"")</f>
        <v/>
      </c>
      <c r="CN313" s="73"/>
      <c r="CO313" s="123" t="str">
        <f t="shared" si="546"/>
        <v/>
      </c>
      <c r="CP313" s="123" t="str">
        <f t="shared" si="547"/>
        <v/>
      </c>
      <c r="CQ313" s="97" t="str">
        <f t="shared" ca="1" si="548"/>
        <v/>
      </c>
      <c r="CR313" s="98" t="str">
        <f>IF(CT313&lt;&gt;"",VLOOKUP($P313&amp;" | "&amp;CR$6,'Job Master'!$F$12:$J$102,5,0),"")</f>
        <v/>
      </c>
      <c r="CS313" s="19" t="str">
        <f>IF(CT313&lt;&gt;"",VLOOKUP($P313&amp;" | "&amp;CR$6,'Job Master'!$F$12:$J$102,3,0),"")</f>
        <v/>
      </c>
      <c r="CT313" s="19" t="str">
        <f>IFERROR(IF(AND(DA313&lt;&gt;"",VLOOKUP($P313&amp;" | "&amp;CR$6,'Job Master'!$F$12:$I$102,4,0)&lt;&gt;""),IF(WEEKDAY(DA313-VLOOKUP($P313&amp;" | "&amp;CR$6,'Job Master'!$F$12:$I$102,4,0))&lt;&gt;7,DA313-VLOOKUP($P313&amp;" | "&amp;CR$6,'Job Master'!$F$12:$I$102,4,0),DA313-VLOOKUP($P313&amp;" | "&amp;CR$6,'Job Master'!$F$12:$I$102,4,0)-1),""),"")</f>
        <v/>
      </c>
      <c r="CU313" s="73"/>
      <c r="CV313" s="123" t="str">
        <f t="shared" si="549"/>
        <v/>
      </c>
      <c r="CW313" s="123" t="str">
        <f t="shared" si="550"/>
        <v/>
      </c>
      <c r="CX313" s="97" t="str">
        <f t="shared" ca="1" si="551"/>
        <v/>
      </c>
      <c r="CY313" s="98" t="str">
        <f>IF(DA313&lt;&gt;"",VLOOKUP($P313&amp;" | "&amp;CY$6,'Job Master'!$F$12:$J$102,5,0),"")</f>
        <v/>
      </c>
      <c r="CZ313" s="19" t="str">
        <f>IF(DA313&lt;&gt;"",VLOOKUP($P313&amp;" | "&amp;CY$6,'Job Master'!$F$12:$J$102,3,0),"")</f>
        <v/>
      </c>
      <c r="DA313" s="19" t="str">
        <f>IFERROR(IF(AND(DH313&lt;&gt;"",VLOOKUP($P313&amp;" | "&amp;CY$6,'Job Master'!$F$12:$I$102,4,0)&lt;&gt;""),IF(WEEKDAY(DH313-VLOOKUP($P313&amp;" | "&amp;CY$6,'Job Master'!$F$12:$I$102,4,0))&lt;&gt;7,DH313-VLOOKUP($P313&amp;" | "&amp;CY$6,'Job Master'!$F$12:$I$102,4,0),DH313-VLOOKUP($P313&amp;" | "&amp;CY$6,'Job Master'!$F$12:$I$102,4,0)-1),""),"")</f>
        <v/>
      </c>
      <c r="DB313" s="73"/>
      <c r="DC313" s="123" t="str">
        <f t="shared" si="552"/>
        <v/>
      </c>
      <c r="DD313" s="123" t="str">
        <f t="shared" si="553"/>
        <v/>
      </c>
      <c r="DE313" s="97" t="str">
        <f t="shared" ca="1" si="554"/>
        <v/>
      </c>
      <c r="DF313" s="98" t="str">
        <f>IF(DH313&lt;&gt;"",VLOOKUP($P313&amp;" | "&amp;DF$6,'Job Master'!$F$12:$J$102,5,0),"")</f>
        <v/>
      </c>
      <c r="DG313" s="19" t="str">
        <f>IF(DH313&lt;&gt;"",VLOOKUP($P313&amp;" | "&amp;DF$6,'Job Master'!$F$12:$J$102,3,0),"")</f>
        <v/>
      </c>
      <c r="DH313" s="19" t="str">
        <f>IFERROR(IF(AND(DO313&lt;&gt;"",VLOOKUP($P313&amp;" | "&amp;DF$6,'Job Master'!$F$12:$I$102,4,0)&lt;&gt;""),IF(WEEKDAY(DO313-VLOOKUP($P313&amp;" | "&amp;DF$6,'Job Master'!$F$12:$I$102,4,0))&lt;&gt;7,DO313-VLOOKUP($P313&amp;" | "&amp;DF$6,'Job Master'!$F$12:$I$102,4,0),DO313-VLOOKUP($P313&amp;" | "&amp;DF$6,'Job Master'!$F$12:$I$102,4,0)-1),""),"")</f>
        <v/>
      </c>
      <c r="DI313" s="73"/>
      <c r="DJ313" s="123" t="str">
        <f t="shared" si="555"/>
        <v/>
      </c>
      <c r="DK313" s="123" t="str">
        <f t="shared" si="556"/>
        <v/>
      </c>
      <c r="DL313" s="97" t="str">
        <f t="shared" ca="1" si="557"/>
        <v/>
      </c>
      <c r="DM313" s="98" t="str">
        <f>IF(DO313&lt;&gt;"",VLOOKUP($P313&amp;" | "&amp;DM$6,'Job Master'!$F$12:$J$102,5,0),"")</f>
        <v/>
      </c>
      <c r="DN313" s="19" t="str">
        <f>IF(DO313&lt;&gt;"",VLOOKUP($P313&amp;" | "&amp;DM$6,'Job Master'!$F$12:$J$102,3,0),"")</f>
        <v/>
      </c>
      <c r="DO313" s="19" t="str">
        <f>IFERROR(IF(AND(DT313&lt;&gt;"",VLOOKUP($P313&amp;" | "&amp;DM$6,'Job Master'!$F$12:$I$102,4,0)&lt;&gt;""),IF(WEEKDAY(DT313-VLOOKUP($P313&amp;" | "&amp;DM$6,'Job Master'!$F$12:$I$102,4,0))&lt;&gt;7,DT313-VLOOKUP($P313&amp;" | "&amp;DM$6,'Job Master'!$F$12:$I$102,4,0),DT313-VLOOKUP($P313&amp;" | "&amp;DM$6,'Job Master'!$F$12:$I$102,4,0)-1),""),"")</f>
        <v/>
      </c>
      <c r="DP313" s="73"/>
      <c r="DQ313" s="123" t="str">
        <f t="shared" si="558"/>
        <v/>
      </c>
      <c r="DR313" s="123" t="str">
        <f t="shared" si="559"/>
        <v/>
      </c>
      <c r="DS313" s="97" t="str">
        <f t="shared" ca="1" si="560"/>
        <v/>
      </c>
      <c r="DT313" s="70" t="str">
        <f t="shared" si="561"/>
        <v/>
      </c>
      <c r="DU313" s="90"/>
      <c r="DV313" s="123" t="str">
        <f t="shared" si="562"/>
        <v/>
      </c>
      <c r="DW313" s="123" t="str">
        <f t="shared" si="563"/>
        <v/>
      </c>
      <c r="DX313" s="132" t="str">
        <f t="shared" ref="DX313" ca="1" si="622">IF(DT313&lt;&gt;"",IF(WEEKNUM(DT313)=WEEKNUM(TODAY()),"This Week",IF(WEEKNUM(DT313)=WEEKNUM(TODAY())+1,"Next Week",IF(WEEKNUM(DT313)=WEEKNUM(TODAY())-1,"Previous Week",""))),"")</f>
        <v/>
      </c>
      <c r="DY313" s="134" t="str">
        <f t="shared" si="565"/>
        <v/>
      </c>
      <c r="DZ313" s="95"/>
      <c r="EB313" s="8" t="str">
        <f t="shared" si="571"/>
        <v/>
      </c>
      <c r="EC313" s="8" t="str">
        <f>IF(O313&lt;&gt;"",VLOOKUP(O313,'Job Master'!$N$12:$O$18,2,0),"")</f>
        <v/>
      </c>
      <c r="ED313" s="8">
        <f t="shared" si="572"/>
        <v>19.5</v>
      </c>
      <c r="EE313" s="8">
        <f t="shared" si="573"/>
        <v>6</v>
      </c>
      <c r="EF313" s="8">
        <f t="shared" si="574"/>
        <v>-1798.5</v>
      </c>
      <c r="EG313" s="8" t="str">
        <f t="shared" si="575"/>
        <v/>
      </c>
      <c r="EH313" s="8" t="str">
        <f t="shared" si="576"/>
        <v/>
      </c>
    </row>
    <row r="314" spans="2:138" x14ac:dyDescent="0.3">
      <c r="B314" s="112"/>
      <c r="C314" s="27"/>
      <c r="D314" s="7" t="str">
        <f t="shared" si="513"/>
        <v/>
      </c>
      <c r="E314" s="25"/>
      <c r="F314" s="7" t="str">
        <f t="shared" si="513"/>
        <v/>
      </c>
      <c r="G314" s="25"/>
      <c r="H314" s="7" t="str">
        <f t="shared" si="513"/>
        <v/>
      </c>
      <c r="I314" s="25"/>
      <c r="J314" s="7" t="str">
        <f t="shared" si="513"/>
        <v/>
      </c>
      <c r="K314" s="25"/>
      <c r="L314" s="7" t="str">
        <f t="shared" si="514"/>
        <v/>
      </c>
      <c r="M314" s="25"/>
      <c r="N314" s="7" t="str">
        <f t="shared" si="515"/>
        <v/>
      </c>
      <c r="O314" s="81"/>
      <c r="P314" s="81" t="str">
        <f t="shared" si="516"/>
        <v/>
      </c>
      <c r="Q314" s="81"/>
      <c r="R314" s="7" t="str">
        <f t="shared" si="517"/>
        <v/>
      </c>
      <c r="S314" s="25"/>
      <c r="T314" s="7" t="str">
        <f t="shared" si="518"/>
        <v/>
      </c>
      <c r="U314" s="25"/>
      <c r="V314" s="7" t="str">
        <f t="shared" si="519"/>
        <v/>
      </c>
      <c r="W314" s="25"/>
      <c r="X314" s="7" t="str">
        <f t="shared" si="520"/>
        <v/>
      </c>
      <c r="Y314" s="18" t="str">
        <f t="shared" si="521"/>
        <v/>
      </c>
      <c r="Z314" s="7" t="str">
        <f t="shared" si="522"/>
        <v/>
      </c>
      <c r="AA314" s="18" t="str">
        <f t="shared" si="523"/>
        <v/>
      </c>
      <c r="AB314" s="19" t="str">
        <f t="shared" si="524"/>
        <v/>
      </c>
      <c r="AC314" s="26"/>
      <c r="AD314" s="26"/>
      <c r="AE314" s="25"/>
      <c r="AF314" s="26"/>
      <c r="AG314" s="25"/>
      <c r="AH314" s="25"/>
      <c r="AI314" s="18" t="str">
        <f t="shared" si="587"/>
        <v/>
      </c>
      <c r="AJ314" s="25"/>
      <c r="AK314" s="18" t="str">
        <f t="shared" si="588"/>
        <v/>
      </c>
      <c r="AL314" s="79"/>
      <c r="AM314" s="126" t="str">
        <f t="shared" si="589"/>
        <v/>
      </c>
      <c r="AN314" s="128" t="str">
        <f>IF(AP314&lt;&gt;"",VLOOKUP($P314&amp;" | "&amp;AN$6,'Job Master'!$F$12:$J$102,5,0),"")</f>
        <v/>
      </c>
      <c r="AO314" s="19" t="str">
        <f>IF(AP314&lt;&gt;"",VLOOKUP($P314&amp;" | "&amp;AN$6,'Job Master'!$F$12:$J$102,3,0),"")</f>
        <v/>
      </c>
      <c r="AP314" s="19" t="str">
        <f>IFERROR(IF(AND(AW314&lt;&gt;"",VLOOKUP($P314&amp;" | "&amp;AN$6,'Job Master'!$F$12:$I$102,4,0)&lt;&gt;""),IF(WEEKDAY(AW314-VLOOKUP($P314&amp;" | "&amp;AN$6,'Job Master'!$F$12:$I$102,4,0))&lt;&gt;7,AW314-VLOOKUP($P314&amp;" | "&amp;AN$6,'Job Master'!$F$12:$I$102,4,0),AW314-VLOOKUP($P314&amp;" | "&amp;AN$6,'Job Master'!$F$12:$I$102,4,0)-1),""),"")</f>
        <v/>
      </c>
      <c r="AQ314" s="73"/>
      <c r="AR314" s="123" t="str">
        <f t="shared" si="525"/>
        <v/>
      </c>
      <c r="AS314" s="123" t="str">
        <f t="shared" si="526"/>
        <v/>
      </c>
      <c r="AT314" s="97" t="str">
        <f t="shared" ca="1" si="527"/>
        <v/>
      </c>
      <c r="AU314" s="98" t="str">
        <f>IF(AW314&lt;&gt;"",VLOOKUP($P314&amp;" | "&amp;AU$6,'Job Master'!$F$12:$J$102,5,0),"")</f>
        <v/>
      </c>
      <c r="AV314" s="19" t="str">
        <f>IF(AW314&lt;&gt;"",VLOOKUP($P314&amp;" | "&amp;AU$6,'Job Master'!$F$12:$J$102,3,0),"")</f>
        <v/>
      </c>
      <c r="AW314" s="19" t="str">
        <f>IFERROR(IF(AND(BD314&lt;&gt;"",VLOOKUP($P314&amp;" | "&amp;AU$6,'Job Master'!$F$12:$I$102,4,0)&lt;&gt;""),IF(WEEKDAY(BD314-VLOOKUP($P314&amp;" | "&amp;AU$6,'Job Master'!$F$12:$I$102,4,0))&lt;&gt;7,BD314-VLOOKUP($P314&amp;" | "&amp;AU$6,'Job Master'!$F$12:$I$102,4,0),BD314-VLOOKUP($P314&amp;" | "&amp;AU$6,'Job Master'!$F$12:$I$102,4,0)-1),""),"")</f>
        <v/>
      </c>
      <c r="AX314" s="73"/>
      <c r="AY314" s="123" t="str">
        <f t="shared" si="528"/>
        <v/>
      </c>
      <c r="AZ314" s="123" t="str">
        <f t="shared" si="529"/>
        <v/>
      </c>
      <c r="BA314" s="97" t="str">
        <f t="shared" ca="1" si="530"/>
        <v/>
      </c>
      <c r="BB314" s="98" t="str">
        <f>IF(BD314&lt;&gt;"",VLOOKUP($P314&amp;" | "&amp;BB$6,'Job Master'!$F$12:$J$102,5,0),"")</f>
        <v/>
      </c>
      <c r="BC314" s="19" t="str">
        <f>IF(BD314&lt;&gt;"",VLOOKUP($P314&amp;" | "&amp;BB$6,'Job Master'!$F$12:$J$102,3,0),"")</f>
        <v/>
      </c>
      <c r="BD314" s="19" t="str">
        <f>IFERROR(IF(AND(BK314&lt;&gt;"",VLOOKUP($P314&amp;" | "&amp;BB$6,'Job Master'!$F$12:$I$102,4,0)&lt;&gt;""),IF(WEEKDAY(BK314-VLOOKUP($P314&amp;" | "&amp;BB$6,'Job Master'!$F$12:$I$102,4,0))&lt;&gt;7,BK314-VLOOKUP($P314&amp;" | "&amp;BB$6,'Job Master'!$F$12:$I$102,4,0),BK314-VLOOKUP($P314&amp;" | "&amp;BB$6,'Job Master'!$F$12:$I$102,4,0)-1),""),"")</f>
        <v/>
      </c>
      <c r="BE314" s="73"/>
      <c r="BF314" s="123" t="str">
        <f t="shared" si="531"/>
        <v/>
      </c>
      <c r="BG314" s="123" t="str">
        <f t="shared" si="532"/>
        <v/>
      </c>
      <c r="BH314" s="97" t="str">
        <f t="shared" ca="1" si="533"/>
        <v/>
      </c>
      <c r="BI314" s="98" t="str">
        <f>IF(BK314&lt;&gt;"",VLOOKUP($P314&amp;" | "&amp;BI$6,'Job Master'!$F$12:$J$102,5,0),"")</f>
        <v/>
      </c>
      <c r="BJ314" s="19" t="str">
        <f>IF(BK314&lt;&gt;"",VLOOKUP($P314&amp;" | "&amp;BI$6,'Job Master'!$F$12:$J$102,3,0),"")</f>
        <v/>
      </c>
      <c r="BK314" s="19" t="str">
        <f>IFERROR(IF(AND(BR314&lt;&gt;"",VLOOKUP($P314&amp;" | "&amp;BI$6,'Job Master'!$F$12:$I$102,4,0)&lt;&gt;""),IF(WEEKDAY(BR314-VLOOKUP($P314&amp;" | "&amp;BI$6,'Job Master'!$F$12:$I$102,4,0))&lt;&gt;7,BR314-VLOOKUP($P314&amp;" | "&amp;BI$6,'Job Master'!$F$12:$I$102,4,0),BR314-VLOOKUP($P314&amp;" | "&amp;BI$6,'Job Master'!$F$12:$I$102,4,0)-1),""),"")</f>
        <v/>
      </c>
      <c r="BL314" s="73"/>
      <c r="BM314" s="123" t="str">
        <f t="shared" si="534"/>
        <v/>
      </c>
      <c r="BN314" s="123" t="str">
        <f t="shared" si="535"/>
        <v/>
      </c>
      <c r="BO314" s="97" t="str">
        <f t="shared" ca="1" si="536"/>
        <v/>
      </c>
      <c r="BP314" s="98" t="str">
        <f>IF(BR314&lt;&gt;"",VLOOKUP($P314&amp;" | "&amp;BP$6,'Job Master'!$F$12:$J$102,5,0),"")</f>
        <v/>
      </c>
      <c r="BQ314" s="19" t="str">
        <f>IF(BR314&lt;&gt;"",VLOOKUP($P314&amp;" | "&amp;BP$6,'Job Master'!$F$12:$J$102,3,0),"")</f>
        <v/>
      </c>
      <c r="BR314" s="19" t="str">
        <f>IFERROR(IF(AND(BY314&lt;&gt;"",VLOOKUP($P314&amp;" | "&amp;BP$6,'Job Master'!$F$12:$I$102,4,0)&lt;&gt;""),IF(WEEKDAY(BY314-VLOOKUP($P314&amp;" | "&amp;BP$6,'Job Master'!$F$12:$I$102,4,0))&lt;&gt;7,BY314-VLOOKUP($P314&amp;" | "&amp;BP$6,'Job Master'!$F$12:$I$102,4,0),BY314-VLOOKUP($P314&amp;" | "&amp;BP$6,'Job Master'!$F$12:$I$102,4,0)-1),""),"")</f>
        <v/>
      </c>
      <c r="BS314" s="73"/>
      <c r="BT314" s="123" t="str">
        <f t="shared" si="537"/>
        <v/>
      </c>
      <c r="BU314" s="123" t="str">
        <f t="shared" si="538"/>
        <v/>
      </c>
      <c r="BV314" s="97" t="str">
        <f t="shared" ca="1" si="539"/>
        <v/>
      </c>
      <c r="BW314" s="98" t="str">
        <f>IF(BY314&lt;&gt;"",VLOOKUP($P314&amp;" | "&amp;BW$6,'Job Master'!$F$12:$J$102,5,0),"")</f>
        <v/>
      </c>
      <c r="BX314" s="19" t="str">
        <f>IF(BY314&lt;&gt;"",VLOOKUP($P314&amp;" | "&amp;BW$6,'Job Master'!$F$12:$J$102,3,0),"")</f>
        <v/>
      </c>
      <c r="BY314" s="19" t="str">
        <f>IFERROR(IF(AND(CF314&lt;&gt;"",VLOOKUP($P314&amp;" | "&amp;BW$6,'Job Master'!$F$12:$I$102,4,0)&lt;&gt;""),IF(WEEKDAY(CF314-VLOOKUP($P314&amp;" | "&amp;BW$6,'Job Master'!$F$12:$I$102,4,0))&lt;&gt;7,CF314-VLOOKUP($P314&amp;" | "&amp;BW$6,'Job Master'!$F$12:$I$102,4,0),CF314-VLOOKUP($P314&amp;" | "&amp;BW$6,'Job Master'!$F$12:$I$102,4,0)-1),""),"")</f>
        <v/>
      </c>
      <c r="BZ314" s="73"/>
      <c r="CA314" s="123" t="str">
        <f t="shared" si="540"/>
        <v/>
      </c>
      <c r="CB314" s="123" t="str">
        <f t="shared" si="541"/>
        <v/>
      </c>
      <c r="CC314" s="97" t="str">
        <f t="shared" ca="1" si="542"/>
        <v/>
      </c>
      <c r="CD314" s="98" t="str">
        <f>IF(CF314&lt;&gt;"",VLOOKUP($P314&amp;" | "&amp;CD$6,'Job Master'!$F$12:$J$102,5,0),"")</f>
        <v/>
      </c>
      <c r="CE314" s="19" t="str">
        <f>IF(CF314&lt;&gt;"",VLOOKUP($P314&amp;" | "&amp;CD$6,'Job Master'!$F$12:$J$102,3,0),"")</f>
        <v/>
      </c>
      <c r="CF314" s="19" t="str">
        <f>IFERROR(IF(AND(CM314&lt;&gt;"",VLOOKUP($P314&amp;" | "&amp;CD$6,'Job Master'!$F$12:$I$102,4,0)&lt;&gt;""),IF(WEEKDAY(CM314-VLOOKUP($P314&amp;" | "&amp;CD$6,'Job Master'!$F$12:$I$102,4,0))&lt;&gt;7,CM314-VLOOKUP($P314&amp;" | "&amp;CD$6,'Job Master'!$F$12:$I$102,4,0),CM314-VLOOKUP($P314&amp;" | "&amp;CD$6,'Job Master'!$F$12:$I$102,4,0)-1),""),"")</f>
        <v/>
      </c>
      <c r="CG314" s="73"/>
      <c r="CH314" s="123" t="str">
        <f t="shared" si="543"/>
        <v/>
      </c>
      <c r="CI314" s="123" t="str">
        <f t="shared" si="544"/>
        <v/>
      </c>
      <c r="CJ314" s="97" t="str">
        <f t="shared" ca="1" si="545"/>
        <v/>
      </c>
      <c r="CK314" s="98" t="str">
        <f>IF(CM314&lt;&gt;"",VLOOKUP($P314&amp;" | "&amp;CK$6,'Job Master'!$F$12:$J$102,5,0),"")</f>
        <v/>
      </c>
      <c r="CL314" s="19" t="str">
        <f>IF(CM314&lt;&gt;"",VLOOKUP($P314&amp;" | "&amp;CK$6,'Job Master'!$F$12:$J$102,3,0),"")</f>
        <v/>
      </c>
      <c r="CM314" s="19" t="str">
        <f>IFERROR(IF(AND(CT314&lt;&gt;"",VLOOKUP($P314&amp;" | "&amp;CK$6,'Job Master'!$F$12:$I$102,4,0)&lt;&gt;""),IF(WEEKDAY(CT314-VLOOKUP($P314&amp;" | "&amp;CK$6,'Job Master'!$F$12:$I$102,4,0))&lt;&gt;7,CT314-VLOOKUP($P314&amp;" | "&amp;CK$6,'Job Master'!$F$12:$I$102,4,0),CT314-VLOOKUP($P314&amp;" | "&amp;CK$6,'Job Master'!$F$12:$I$102,4,0)-1),""),"")</f>
        <v/>
      </c>
      <c r="CN314" s="73"/>
      <c r="CO314" s="123" t="str">
        <f t="shared" si="546"/>
        <v/>
      </c>
      <c r="CP314" s="123" t="str">
        <f t="shared" si="547"/>
        <v/>
      </c>
      <c r="CQ314" s="97" t="str">
        <f t="shared" ca="1" si="548"/>
        <v/>
      </c>
      <c r="CR314" s="98" t="str">
        <f>IF(CT314&lt;&gt;"",VLOOKUP($P314&amp;" | "&amp;CR$6,'Job Master'!$F$12:$J$102,5,0),"")</f>
        <v/>
      </c>
      <c r="CS314" s="19" t="str">
        <f>IF(CT314&lt;&gt;"",VLOOKUP($P314&amp;" | "&amp;CR$6,'Job Master'!$F$12:$J$102,3,0),"")</f>
        <v/>
      </c>
      <c r="CT314" s="19" t="str">
        <f>IFERROR(IF(AND(DA314&lt;&gt;"",VLOOKUP($P314&amp;" | "&amp;CR$6,'Job Master'!$F$12:$I$102,4,0)&lt;&gt;""),IF(WEEKDAY(DA314-VLOOKUP($P314&amp;" | "&amp;CR$6,'Job Master'!$F$12:$I$102,4,0))&lt;&gt;7,DA314-VLOOKUP($P314&amp;" | "&amp;CR$6,'Job Master'!$F$12:$I$102,4,0),DA314-VLOOKUP($P314&amp;" | "&amp;CR$6,'Job Master'!$F$12:$I$102,4,0)-1),""),"")</f>
        <v/>
      </c>
      <c r="CU314" s="73"/>
      <c r="CV314" s="123" t="str">
        <f t="shared" si="549"/>
        <v/>
      </c>
      <c r="CW314" s="123" t="str">
        <f t="shared" si="550"/>
        <v/>
      </c>
      <c r="CX314" s="97" t="str">
        <f t="shared" ca="1" si="551"/>
        <v/>
      </c>
      <c r="CY314" s="98" t="str">
        <f>IF(DA314&lt;&gt;"",VLOOKUP($P314&amp;" | "&amp;CY$6,'Job Master'!$F$12:$J$102,5,0),"")</f>
        <v/>
      </c>
      <c r="CZ314" s="19" t="str">
        <f>IF(DA314&lt;&gt;"",VLOOKUP($P314&amp;" | "&amp;CY$6,'Job Master'!$F$12:$J$102,3,0),"")</f>
        <v/>
      </c>
      <c r="DA314" s="19" t="str">
        <f>IFERROR(IF(AND(DH314&lt;&gt;"",VLOOKUP($P314&amp;" | "&amp;CY$6,'Job Master'!$F$12:$I$102,4,0)&lt;&gt;""),IF(WEEKDAY(DH314-VLOOKUP($P314&amp;" | "&amp;CY$6,'Job Master'!$F$12:$I$102,4,0))&lt;&gt;7,DH314-VLOOKUP($P314&amp;" | "&amp;CY$6,'Job Master'!$F$12:$I$102,4,0),DH314-VLOOKUP($P314&amp;" | "&amp;CY$6,'Job Master'!$F$12:$I$102,4,0)-1),""),"")</f>
        <v/>
      </c>
      <c r="DB314" s="73"/>
      <c r="DC314" s="123" t="str">
        <f t="shared" si="552"/>
        <v/>
      </c>
      <c r="DD314" s="123" t="str">
        <f t="shared" si="553"/>
        <v/>
      </c>
      <c r="DE314" s="97" t="str">
        <f t="shared" ca="1" si="554"/>
        <v/>
      </c>
      <c r="DF314" s="98" t="str">
        <f>IF(DH314&lt;&gt;"",VLOOKUP($P314&amp;" | "&amp;DF$6,'Job Master'!$F$12:$J$102,5,0),"")</f>
        <v/>
      </c>
      <c r="DG314" s="19" t="str">
        <f>IF(DH314&lt;&gt;"",VLOOKUP($P314&amp;" | "&amp;DF$6,'Job Master'!$F$12:$J$102,3,0),"")</f>
        <v/>
      </c>
      <c r="DH314" s="19" t="str">
        <f>IFERROR(IF(AND(DO314&lt;&gt;"",VLOOKUP($P314&amp;" | "&amp;DF$6,'Job Master'!$F$12:$I$102,4,0)&lt;&gt;""),IF(WEEKDAY(DO314-VLOOKUP($P314&amp;" | "&amp;DF$6,'Job Master'!$F$12:$I$102,4,0))&lt;&gt;7,DO314-VLOOKUP($P314&amp;" | "&amp;DF$6,'Job Master'!$F$12:$I$102,4,0),DO314-VLOOKUP($P314&amp;" | "&amp;DF$6,'Job Master'!$F$12:$I$102,4,0)-1),""),"")</f>
        <v/>
      </c>
      <c r="DI314" s="73"/>
      <c r="DJ314" s="123" t="str">
        <f t="shared" si="555"/>
        <v/>
      </c>
      <c r="DK314" s="123" t="str">
        <f t="shared" si="556"/>
        <v/>
      </c>
      <c r="DL314" s="97" t="str">
        <f t="shared" ca="1" si="557"/>
        <v/>
      </c>
      <c r="DM314" s="98" t="str">
        <f>IF(DO314&lt;&gt;"",VLOOKUP($P314&amp;" | "&amp;DM$6,'Job Master'!$F$12:$J$102,5,0),"")</f>
        <v/>
      </c>
      <c r="DN314" s="19" t="str">
        <f>IF(DO314&lt;&gt;"",VLOOKUP($P314&amp;" | "&amp;DM$6,'Job Master'!$F$12:$J$102,3,0),"")</f>
        <v/>
      </c>
      <c r="DO314" s="19" t="str">
        <f>IFERROR(IF(AND(DT314&lt;&gt;"",VLOOKUP($P314&amp;" | "&amp;DM$6,'Job Master'!$F$12:$I$102,4,0)&lt;&gt;""),IF(WEEKDAY(DT314-VLOOKUP($P314&amp;" | "&amp;DM$6,'Job Master'!$F$12:$I$102,4,0))&lt;&gt;7,DT314-VLOOKUP($P314&amp;" | "&amp;DM$6,'Job Master'!$F$12:$I$102,4,0),DT314-VLOOKUP($P314&amp;" | "&amp;DM$6,'Job Master'!$F$12:$I$102,4,0)-1),""),"")</f>
        <v/>
      </c>
      <c r="DP314" s="73"/>
      <c r="DQ314" s="123" t="str">
        <f t="shared" si="558"/>
        <v/>
      </c>
      <c r="DR314" s="123" t="str">
        <f t="shared" si="559"/>
        <v/>
      </c>
      <c r="DS314" s="97" t="str">
        <f t="shared" ca="1" si="560"/>
        <v/>
      </c>
      <c r="DT314" s="70" t="str">
        <f t="shared" si="561"/>
        <v/>
      </c>
      <c r="DU314" s="90"/>
      <c r="DV314" s="123" t="str">
        <f t="shared" si="562"/>
        <v/>
      </c>
      <c r="DW314" s="123" t="str">
        <f t="shared" si="563"/>
        <v/>
      </c>
      <c r="DX314" s="132" t="str">
        <f t="shared" ref="DX314" ca="1" si="623">IF(DT314&lt;&gt;"",IF(WEEKNUM(DT314)=WEEKNUM(TODAY()),"This Week",IF(WEEKNUM(DT314)=WEEKNUM(TODAY())+1,"Next Week",IF(WEEKNUM(DT314)=WEEKNUM(TODAY())-1,"Previous Week",""))),"")</f>
        <v/>
      </c>
      <c r="DY314" s="134" t="str">
        <f t="shared" si="565"/>
        <v/>
      </c>
      <c r="DZ314" s="95"/>
      <c r="EB314" s="8" t="str">
        <f t="shared" si="571"/>
        <v/>
      </c>
      <c r="EC314" s="8" t="str">
        <f>IF(O314&lt;&gt;"",VLOOKUP(O314,'Job Master'!$N$12:$O$18,2,0),"")</f>
        <v/>
      </c>
      <c r="ED314" s="8">
        <f t="shared" si="572"/>
        <v>19.5</v>
      </c>
      <c r="EE314" s="8">
        <f t="shared" si="573"/>
        <v>6</v>
      </c>
      <c r="EF314" s="8">
        <f t="shared" si="574"/>
        <v>-1804.5</v>
      </c>
      <c r="EG314" s="8" t="str">
        <f t="shared" si="575"/>
        <v/>
      </c>
      <c r="EH314" s="8" t="str">
        <f t="shared" si="576"/>
        <v/>
      </c>
    </row>
    <row r="315" spans="2:138" x14ac:dyDescent="0.3">
      <c r="B315" s="112"/>
      <c r="C315" s="27"/>
      <c r="D315" s="7" t="str">
        <f t="shared" si="513"/>
        <v/>
      </c>
      <c r="E315" s="25"/>
      <c r="F315" s="7" t="str">
        <f t="shared" si="513"/>
        <v/>
      </c>
      <c r="G315" s="25"/>
      <c r="H315" s="7" t="str">
        <f t="shared" si="513"/>
        <v/>
      </c>
      <c r="I315" s="25"/>
      <c r="J315" s="7" t="str">
        <f t="shared" si="513"/>
        <v/>
      </c>
      <c r="K315" s="25"/>
      <c r="L315" s="7" t="str">
        <f t="shared" si="514"/>
        <v/>
      </c>
      <c r="M315" s="25"/>
      <c r="N315" s="7" t="str">
        <f t="shared" si="515"/>
        <v/>
      </c>
      <c r="O315" s="81"/>
      <c r="P315" s="81" t="str">
        <f t="shared" si="516"/>
        <v/>
      </c>
      <c r="Q315" s="81"/>
      <c r="R315" s="7" t="str">
        <f t="shared" si="517"/>
        <v/>
      </c>
      <c r="S315" s="25"/>
      <c r="T315" s="7" t="str">
        <f t="shared" si="518"/>
        <v/>
      </c>
      <c r="U315" s="25"/>
      <c r="V315" s="7" t="str">
        <f t="shared" si="519"/>
        <v/>
      </c>
      <c r="W315" s="25"/>
      <c r="X315" s="7" t="str">
        <f t="shared" si="520"/>
        <v/>
      </c>
      <c r="Y315" s="18" t="str">
        <f t="shared" si="521"/>
        <v/>
      </c>
      <c r="Z315" s="7" t="str">
        <f t="shared" si="522"/>
        <v/>
      </c>
      <c r="AA315" s="18" t="str">
        <f t="shared" si="523"/>
        <v/>
      </c>
      <c r="AB315" s="19" t="str">
        <f t="shared" si="524"/>
        <v/>
      </c>
      <c r="AC315" s="26"/>
      <c r="AD315" s="26"/>
      <c r="AE315" s="25"/>
      <c r="AF315" s="26"/>
      <c r="AG315" s="25"/>
      <c r="AH315" s="25"/>
      <c r="AI315" s="18" t="str">
        <f t="shared" si="587"/>
        <v/>
      </c>
      <c r="AJ315" s="25"/>
      <c r="AK315" s="18" t="str">
        <f t="shared" si="588"/>
        <v/>
      </c>
      <c r="AL315" s="79"/>
      <c r="AM315" s="126" t="str">
        <f t="shared" si="589"/>
        <v/>
      </c>
      <c r="AN315" s="128" t="str">
        <f>IF(AP315&lt;&gt;"",VLOOKUP($P315&amp;" | "&amp;AN$6,'Job Master'!$F$12:$J$102,5,0),"")</f>
        <v/>
      </c>
      <c r="AO315" s="19" t="str">
        <f>IF(AP315&lt;&gt;"",VLOOKUP($P315&amp;" | "&amp;AN$6,'Job Master'!$F$12:$J$102,3,0),"")</f>
        <v/>
      </c>
      <c r="AP315" s="19" t="str">
        <f>IFERROR(IF(AND(AW315&lt;&gt;"",VLOOKUP($P315&amp;" | "&amp;AN$6,'Job Master'!$F$12:$I$102,4,0)&lt;&gt;""),IF(WEEKDAY(AW315-VLOOKUP($P315&amp;" | "&amp;AN$6,'Job Master'!$F$12:$I$102,4,0))&lt;&gt;7,AW315-VLOOKUP($P315&amp;" | "&amp;AN$6,'Job Master'!$F$12:$I$102,4,0),AW315-VLOOKUP($P315&amp;" | "&amp;AN$6,'Job Master'!$F$12:$I$102,4,0)-1),""),"")</f>
        <v/>
      </c>
      <c r="AQ315" s="73"/>
      <c r="AR315" s="123" t="str">
        <f t="shared" si="525"/>
        <v/>
      </c>
      <c r="AS315" s="123" t="str">
        <f t="shared" si="526"/>
        <v/>
      </c>
      <c r="AT315" s="97" t="str">
        <f t="shared" ca="1" si="527"/>
        <v/>
      </c>
      <c r="AU315" s="98" t="str">
        <f>IF(AW315&lt;&gt;"",VLOOKUP($P315&amp;" | "&amp;AU$6,'Job Master'!$F$12:$J$102,5,0),"")</f>
        <v/>
      </c>
      <c r="AV315" s="19" t="str">
        <f>IF(AW315&lt;&gt;"",VLOOKUP($P315&amp;" | "&amp;AU$6,'Job Master'!$F$12:$J$102,3,0),"")</f>
        <v/>
      </c>
      <c r="AW315" s="19" t="str">
        <f>IFERROR(IF(AND(BD315&lt;&gt;"",VLOOKUP($P315&amp;" | "&amp;AU$6,'Job Master'!$F$12:$I$102,4,0)&lt;&gt;""),IF(WEEKDAY(BD315-VLOOKUP($P315&amp;" | "&amp;AU$6,'Job Master'!$F$12:$I$102,4,0))&lt;&gt;7,BD315-VLOOKUP($P315&amp;" | "&amp;AU$6,'Job Master'!$F$12:$I$102,4,0),BD315-VLOOKUP($P315&amp;" | "&amp;AU$6,'Job Master'!$F$12:$I$102,4,0)-1),""),"")</f>
        <v/>
      </c>
      <c r="AX315" s="73"/>
      <c r="AY315" s="123" t="str">
        <f t="shared" si="528"/>
        <v/>
      </c>
      <c r="AZ315" s="123" t="str">
        <f t="shared" si="529"/>
        <v/>
      </c>
      <c r="BA315" s="97" t="str">
        <f t="shared" ca="1" si="530"/>
        <v/>
      </c>
      <c r="BB315" s="98" t="str">
        <f>IF(BD315&lt;&gt;"",VLOOKUP($P315&amp;" | "&amp;BB$6,'Job Master'!$F$12:$J$102,5,0),"")</f>
        <v/>
      </c>
      <c r="BC315" s="19" t="str">
        <f>IF(BD315&lt;&gt;"",VLOOKUP($P315&amp;" | "&amp;BB$6,'Job Master'!$F$12:$J$102,3,0),"")</f>
        <v/>
      </c>
      <c r="BD315" s="19" t="str">
        <f>IFERROR(IF(AND(BK315&lt;&gt;"",VLOOKUP($P315&amp;" | "&amp;BB$6,'Job Master'!$F$12:$I$102,4,0)&lt;&gt;""),IF(WEEKDAY(BK315-VLOOKUP($P315&amp;" | "&amp;BB$6,'Job Master'!$F$12:$I$102,4,0))&lt;&gt;7,BK315-VLOOKUP($P315&amp;" | "&amp;BB$6,'Job Master'!$F$12:$I$102,4,0),BK315-VLOOKUP($P315&amp;" | "&amp;BB$6,'Job Master'!$F$12:$I$102,4,0)-1),""),"")</f>
        <v/>
      </c>
      <c r="BE315" s="73"/>
      <c r="BF315" s="123" t="str">
        <f t="shared" si="531"/>
        <v/>
      </c>
      <c r="BG315" s="123" t="str">
        <f t="shared" si="532"/>
        <v/>
      </c>
      <c r="BH315" s="97" t="str">
        <f t="shared" ca="1" si="533"/>
        <v/>
      </c>
      <c r="BI315" s="98" t="str">
        <f>IF(BK315&lt;&gt;"",VLOOKUP($P315&amp;" | "&amp;BI$6,'Job Master'!$F$12:$J$102,5,0),"")</f>
        <v/>
      </c>
      <c r="BJ315" s="19" t="str">
        <f>IF(BK315&lt;&gt;"",VLOOKUP($P315&amp;" | "&amp;BI$6,'Job Master'!$F$12:$J$102,3,0),"")</f>
        <v/>
      </c>
      <c r="BK315" s="19" t="str">
        <f>IFERROR(IF(AND(BR315&lt;&gt;"",VLOOKUP($P315&amp;" | "&amp;BI$6,'Job Master'!$F$12:$I$102,4,0)&lt;&gt;""),IF(WEEKDAY(BR315-VLOOKUP($P315&amp;" | "&amp;BI$6,'Job Master'!$F$12:$I$102,4,0))&lt;&gt;7,BR315-VLOOKUP($P315&amp;" | "&amp;BI$6,'Job Master'!$F$12:$I$102,4,0),BR315-VLOOKUP($P315&amp;" | "&amp;BI$6,'Job Master'!$F$12:$I$102,4,0)-1),""),"")</f>
        <v/>
      </c>
      <c r="BL315" s="73"/>
      <c r="BM315" s="123" t="str">
        <f t="shared" si="534"/>
        <v/>
      </c>
      <c r="BN315" s="123" t="str">
        <f t="shared" si="535"/>
        <v/>
      </c>
      <c r="BO315" s="97" t="str">
        <f t="shared" ca="1" si="536"/>
        <v/>
      </c>
      <c r="BP315" s="98" t="str">
        <f>IF(BR315&lt;&gt;"",VLOOKUP($P315&amp;" | "&amp;BP$6,'Job Master'!$F$12:$J$102,5,0),"")</f>
        <v/>
      </c>
      <c r="BQ315" s="19" t="str">
        <f>IF(BR315&lt;&gt;"",VLOOKUP($P315&amp;" | "&amp;BP$6,'Job Master'!$F$12:$J$102,3,0),"")</f>
        <v/>
      </c>
      <c r="BR315" s="19" t="str">
        <f>IFERROR(IF(AND(BY315&lt;&gt;"",VLOOKUP($P315&amp;" | "&amp;BP$6,'Job Master'!$F$12:$I$102,4,0)&lt;&gt;""),IF(WEEKDAY(BY315-VLOOKUP($P315&amp;" | "&amp;BP$6,'Job Master'!$F$12:$I$102,4,0))&lt;&gt;7,BY315-VLOOKUP($P315&amp;" | "&amp;BP$6,'Job Master'!$F$12:$I$102,4,0),BY315-VLOOKUP($P315&amp;" | "&amp;BP$6,'Job Master'!$F$12:$I$102,4,0)-1),""),"")</f>
        <v/>
      </c>
      <c r="BS315" s="73"/>
      <c r="BT315" s="123" t="str">
        <f t="shared" si="537"/>
        <v/>
      </c>
      <c r="BU315" s="123" t="str">
        <f t="shared" si="538"/>
        <v/>
      </c>
      <c r="BV315" s="97" t="str">
        <f t="shared" ca="1" si="539"/>
        <v/>
      </c>
      <c r="BW315" s="98" t="str">
        <f>IF(BY315&lt;&gt;"",VLOOKUP($P315&amp;" | "&amp;BW$6,'Job Master'!$F$12:$J$102,5,0),"")</f>
        <v/>
      </c>
      <c r="BX315" s="19" t="str">
        <f>IF(BY315&lt;&gt;"",VLOOKUP($P315&amp;" | "&amp;BW$6,'Job Master'!$F$12:$J$102,3,0),"")</f>
        <v/>
      </c>
      <c r="BY315" s="19" t="str">
        <f>IFERROR(IF(AND(CF315&lt;&gt;"",VLOOKUP($P315&amp;" | "&amp;BW$6,'Job Master'!$F$12:$I$102,4,0)&lt;&gt;""),IF(WEEKDAY(CF315-VLOOKUP($P315&amp;" | "&amp;BW$6,'Job Master'!$F$12:$I$102,4,0))&lt;&gt;7,CF315-VLOOKUP($P315&amp;" | "&amp;BW$6,'Job Master'!$F$12:$I$102,4,0),CF315-VLOOKUP($P315&amp;" | "&amp;BW$6,'Job Master'!$F$12:$I$102,4,0)-1),""),"")</f>
        <v/>
      </c>
      <c r="BZ315" s="73"/>
      <c r="CA315" s="123" t="str">
        <f t="shared" si="540"/>
        <v/>
      </c>
      <c r="CB315" s="123" t="str">
        <f t="shared" si="541"/>
        <v/>
      </c>
      <c r="CC315" s="97" t="str">
        <f t="shared" ca="1" si="542"/>
        <v/>
      </c>
      <c r="CD315" s="98" t="str">
        <f>IF(CF315&lt;&gt;"",VLOOKUP($P315&amp;" | "&amp;CD$6,'Job Master'!$F$12:$J$102,5,0),"")</f>
        <v/>
      </c>
      <c r="CE315" s="19" t="str">
        <f>IF(CF315&lt;&gt;"",VLOOKUP($P315&amp;" | "&amp;CD$6,'Job Master'!$F$12:$J$102,3,0),"")</f>
        <v/>
      </c>
      <c r="CF315" s="19" t="str">
        <f>IFERROR(IF(AND(CM315&lt;&gt;"",VLOOKUP($P315&amp;" | "&amp;CD$6,'Job Master'!$F$12:$I$102,4,0)&lt;&gt;""),IF(WEEKDAY(CM315-VLOOKUP($P315&amp;" | "&amp;CD$6,'Job Master'!$F$12:$I$102,4,0))&lt;&gt;7,CM315-VLOOKUP($P315&amp;" | "&amp;CD$6,'Job Master'!$F$12:$I$102,4,0),CM315-VLOOKUP($P315&amp;" | "&amp;CD$6,'Job Master'!$F$12:$I$102,4,0)-1),""),"")</f>
        <v/>
      </c>
      <c r="CG315" s="73"/>
      <c r="CH315" s="123" t="str">
        <f t="shared" si="543"/>
        <v/>
      </c>
      <c r="CI315" s="123" t="str">
        <f t="shared" si="544"/>
        <v/>
      </c>
      <c r="CJ315" s="97" t="str">
        <f t="shared" ca="1" si="545"/>
        <v/>
      </c>
      <c r="CK315" s="98" t="str">
        <f>IF(CM315&lt;&gt;"",VLOOKUP($P315&amp;" | "&amp;CK$6,'Job Master'!$F$12:$J$102,5,0),"")</f>
        <v/>
      </c>
      <c r="CL315" s="19" t="str">
        <f>IF(CM315&lt;&gt;"",VLOOKUP($P315&amp;" | "&amp;CK$6,'Job Master'!$F$12:$J$102,3,0),"")</f>
        <v/>
      </c>
      <c r="CM315" s="19" t="str">
        <f>IFERROR(IF(AND(CT315&lt;&gt;"",VLOOKUP($P315&amp;" | "&amp;CK$6,'Job Master'!$F$12:$I$102,4,0)&lt;&gt;""),IF(WEEKDAY(CT315-VLOOKUP($P315&amp;" | "&amp;CK$6,'Job Master'!$F$12:$I$102,4,0))&lt;&gt;7,CT315-VLOOKUP($P315&amp;" | "&amp;CK$6,'Job Master'!$F$12:$I$102,4,0),CT315-VLOOKUP($P315&amp;" | "&amp;CK$6,'Job Master'!$F$12:$I$102,4,0)-1),""),"")</f>
        <v/>
      </c>
      <c r="CN315" s="73"/>
      <c r="CO315" s="123" t="str">
        <f t="shared" si="546"/>
        <v/>
      </c>
      <c r="CP315" s="123" t="str">
        <f t="shared" si="547"/>
        <v/>
      </c>
      <c r="CQ315" s="97" t="str">
        <f t="shared" ca="1" si="548"/>
        <v/>
      </c>
      <c r="CR315" s="98" t="str">
        <f>IF(CT315&lt;&gt;"",VLOOKUP($P315&amp;" | "&amp;CR$6,'Job Master'!$F$12:$J$102,5,0),"")</f>
        <v/>
      </c>
      <c r="CS315" s="19" t="str">
        <f>IF(CT315&lt;&gt;"",VLOOKUP($P315&amp;" | "&amp;CR$6,'Job Master'!$F$12:$J$102,3,0),"")</f>
        <v/>
      </c>
      <c r="CT315" s="19" t="str">
        <f>IFERROR(IF(AND(DA315&lt;&gt;"",VLOOKUP($P315&amp;" | "&amp;CR$6,'Job Master'!$F$12:$I$102,4,0)&lt;&gt;""),IF(WEEKDAY(DA315-VLOOKUP($P315&amp;" | "&amp;CR$6,'Job Master'!$F$12:$I$102,4,0))&lt;&gt;7,DA315-VLOOKUP($P315&amp;" | "&amp;CR$6,'Job Master'!$F$12:$I$102,4,0),DA315-VLOOKUP($P315&amp;" | "&amp;CR$6,'Job Master'!$F$12:$I$102,4,0)-1),""),"")</f>
        <v/>
      </c>
      <c r="CU315" s="73"/>
      <c r="CV315" s="123" t="str">
        <f t="shared" si="549"/>
        <v/>
      </c>
      <c r="CW315" s="123" t="str">
        <f t="shared" si="550"/>
        <v/>
      </c>
      <c r="CX315" s="97" t="str">
        <f t="shared" ca="1" si="551"/>
        <v/>
      </c>
      <c r="CY315" s="98" t="str">
        <f>IF(DA315&lt;&gt;"",VLOOKUP($P315&amp;" | "&amp;CY$6,'Job Master'!$F$12:$J$102,5,0),"")</f>
        <v/>
      </c>
      <c r="CZ315" s="19" t="str">
        <f>IF(DA315&lt;&gt;"",VLOOKUP($P315&amp;" | "&amp;CY$6,'Job Master'!$F$12:$J$102,3,0),"")</f>
        <v/>
      </c>
      <c r="DA315" s="19" t="str">
        <f>IFERROR(IF(AND(DH315&lt;&gt;"",VLOOKUP($P315&amp;" | "&amp;CY$6,'Job Master'!$F$12:$I$102,4,0)&lt;&gt;""),IF(WEEKDAY(DH315-VLOOKUP($P315&amp;" | "&amp;CY$6,'Job Master'!$F$12:$I$102,4,0))&lt;&gt;7,DH315-VLOOKUP($P315&amp;" | "&amp;CY$6,'Job Master'!$F$12:$I$102,4,0),DH315-VLOOKUP($P315&amp;" | "&amp;CY$6,'Job Master'!$F$12:$I$102,4,0)-1),""),"")</f>
        <v/>
      </c>
      <c r="DB315" s="73"/>
      <c r="DC315" s="123" t="str">
        <f t="shared" si="552"/>
        <v/>
      </c>
      <c r="DD315" s="123" t="str">
        <f t="shared" si="553"/>
        <v/>
      </c>
      <c r="DE315" s="97" t="str">
        <f t="shared" ca="1" si="554"/>
        <v/>
      </c>
      <c r="DF315" s="98" t="str">
        <f>IF(DH315&lt;&gt;"",VLOOKUP($P315&amp;" | "&amp;DF$6,'Job Master'!$F$12:$J$102,5,0),"")</f>
        <v/>
      </c>
      <c r="DG315" s="19" t="str">
        <f>IF(DH315&lt;&gt;"",VLOOKUP($P315&amp;" | "&amp;DF$6,'Job Master'!$F$12:$J$102,3,0),"")</f>
        <v/>
      </c>
      <c r="DH315" s="19" t="str">
        <f>IFERROR(IF(AND(DO315&lt;&gt;"",VLOOKUP($P315&amp;" | "&amp;DF$6,'Job Master'!$F$12:$I$102,4,0)&lt;&gt;""),IF(WEEKDAY(DO315-VLOOKUP($P315&amp;" | "&amp;DF$6,'Job Master'!$F$12:$I$102,4,0))&lt;&gt;7,DO315-VLOOKUP($P315&amp;" | "&amp;DF$6,'Job Master'!$F$12:$I$102,4,0),DO315-VLOOKUP($P315&amp;" | "&amp;DF$6,'Job Master'!$F$12:$I$102,4,0)-1),""),"")</f>
        <v/>
      </c>
      <c r="DI315" s="73"/>
      <c r="DJ315" s="123" t="str">
        <f t="shared" si="555"/>
        <v/>
      </c>
      <c r="DK315" s="123" t="str">
        <f t="shared" si="556"/>
        <v/>
      </c>
      <c r="DL315" s="97" t="str">
        <f t="shared" ca="1" si="557"/>
        <v/>
      </c>
      <c r="DM315" s="98" t="str">
        <f>IF(DO315&lt;&gt;"",VLOOKUP($P315&amp;" | "&amp;DM$6,'Job Master'!$F$12:$J$102,5,0),"")</f>
        <v/>
      </c>
      <c r="DN315" s="19" t="str">
        <f>IF(DO315&lt;&gt;"",VLOOKUP($P315&amp;" | "&amp;DM$6,'Job Master'!$F$12:$J$102,3,0),"")</f>
        <v/>
      </c>
      <c r="DO315" s="19" t="str">
        <f>IFERROR(IF(AND(DT315&lt;&gt;"",VLOOKUP($P315&amp;" | "&amp;DM$6,'Job Master'!$F$12:$I$102,4,0)&lt;&gt;""),IF(WEEKDAY(DT315-VLOOKUP($P315&amp;" | "&amp;DM$6,'Job Master'!$F$12:$I$102,4,0))&lt;&gt;7,DT315-VLOOKUP($P315&amp;" | "&amp;DM$6,'Job Master'!$F$12:$I$102,4,0),DT315-VLOOKUP($P315&amp;" | "&amp;DM$6,'Job Master'!$F$12:$I$102,4,0)-1),""),"")</f>
        <v/>
      </c>
      <c r="DP315" s="73"/>
      <c r="DQ315" s="123" t="str">
        <f t="shared" si="558"/>
        <v/>
      </c>
      <c r="DR315" s="123" t="str">
        <f t="shared" si="559"/>
        <v/>
      </c>
      <c r="DS315" s="97" t="str">
        <f t="shared" ca="1" si="560"/>
        <v/>
      </c>
      <c r="DT315" s="70" t="str">
        <f t="shared" si="561"/>
        <v/>
      </c>
      <c r="DU315" s="90"/>
      <c r="DV315" s="123" t="str">
        <f t="shared" si="562"/>
        <v/>
      </c>
      <c r="DW315" s="123" t="str">
        <f t="shared" si="563"/>
        <v/>
      </c>
      <c r="DX315" s="132" t="str">
        <f t="shared" ref="DX315" ca="1" si="624">IF(DT315&lt;&gt;"",IF(WEEKNUM(DT315)=WEEKNUM(TODAY()),"This Week",IF(WEEKNUM(DT315)=WEEKNUM(TODAY())+1,"Next Week",IF(WEEKNUM(DT315)=WEEKNUM(TODAY())-1,"Previous Week",""))),"")</f>
        <v/>
      </c>
      <c r="DY315" s="134" t="str">
        <f t="shared" si="565"/>
        <v/>
      </c>
      <c r="DZ315" s="95"/>
      <c r="EB315" s="8" t="str">
        <f t="shared" si="571"/>
        <v/>
      </c>
      <c r="EC315" s="8" t="str">
        <f>IF(O315&lt;&gt;"",VLOOKUP(O315,'Job Master'!$N$12:$O$18,2,0),"")</f>
        <v/>
      </c>
      <c r="ED315" s="8">
        <f t="shared" si="572"/>
        <v>19.5</v>
      </c>
      <c r="EE315" s="8">
        <f t="shared" si="573"/>
        <v>6</v>
      </c>
      <c r="EF315" s="8">
        <f t="shared" si="574"/>
        <v>-1810.5</v>
      </c>
      <c r="EG315" s="8" t="str">
        <f t="shared" si="575"/>
        <v/>
      </c>
      <c r="EH315" s="8" t="str">
        <f t="shared" si="576"/>
        <v/>
      </c>
    </row>
    <row r="316" spans="2:138" x14ac:dyDescent="0.3">
      <c r="B316" s="112"/>
      <c r="C316" s="27"/>
      <c r="D316" s="7" t="str">
        <f t="shared" si="513"/>
        <v/>
      </c>
      <c r="E316" s="25"/>
      <c r="F316" s="7" t="str">
        <f t="shared" si="513"/>
        <v/>
      </c>
      <c r="G316" s="25"/>
      <c r="H316" s="7" t="str">
        <f t="shared" si="513"/>
        <v/>
      </c>
      <c r="I316" s="25"/>
      <c r="J316" s="7" t="str">
        <f t="shared" si="513"/>
        <v/>
      </c>
      <c r="K316" s="25"/>
      <c r="L316" s="7" t="str">
        <f t="shared" si="514"/>
        <v/>
      </c>
      <c r="M316" s="25"/>
      <c r="N316" s="7" t="str">
        <f t="shared" si="515"/>
        <v/>
      </c>
      <c r="O316" s="81"/>
      <c r="P316" s="81" t="str">
        <f t="shared" si="516"/>
        <v/>
      </c>
      <c r="Q316" s="81"/>
      <c r="R316" s="7" t="str">
        <f t="shared" si="517"/>
        <v/>
      </c>
      <c r="S316" s="25"/>
      <c r="T316" s="7" t="str">
        <f t="shared" si="518"/>
        <v/>
      </c>
      <c r="U316" s="25"/>
      <c r="V316" s="7" t="str">
        <f t="shared" si="519"/>
        <v/>
      </c>
      <c r="W316" s="25"/>
      <c r="X316" s="7" t="str">
        <f t="shared" si="520"/>
        <v/>
      </c>
      <c r="Y316" s="18" t="str">
        <f t="shared" si="521"/>
        <v/>
      </c>
      <c r="Z316" s="7" t="str">
        <f t="shared" si="522"/>
        <v/>
      </c>
      <c r="AA316" s="18" t="str">
        <f t="shared" si="523"/>
        <v/>
      </c>
      <c r="AB316" s="19" t="str">
        <f t="shared" si="524"/>
        <v/>
      </c>
      <c r="AC316" s="26"/>
      <c r="AD316" s="26"/>
      <c r="AE316" s="25"/>
      <c r="AF316" s="26"/>
      <c r="AG316" s="25"/>
      <c r="AH316" s="25"/>
      <c r="AI316" s="18" t="str">
        <f t="shared" si="587"/>
        <v/>
      </c>
      <c r="AJ316" s="25"/>
      <c r="AK316" s="18" t="str">
        <f t="shared" si="588"/>
        <v/>
      </c>
      <c r="AL316" s="79"/>
      <c r="AM316" s="126" t="str">
        <f t="shared" si="589"/>
        <v/>
      </c>
      <c r="AN316" s="128" t="str">
        <f>IF(AP316&lt;&gt;"",VLOOKUP($P316&amp;" | "&amp;AN$6,'Job Master'!$F$12:$J$102,5,0),"")</f>
        <v/>
      </c>
      <c r="AO316" s="19" t="str">
        <f>IF(AP316&lt;&gt;"",VLOOKUP($P316&amp;" | "&amp;AN$6,'Job Master'!$F$12:$J$102,3,0),"")</f>
        <v/>
      </c>
      <c r="AP316" s="19" t="str">
        <f>IFERROR(IF(AND(AW316&lt;&gt;"",VLOOKUP($P316&amp;" | "&amp;AN$6,'Job Master'!$F$12:$I$102,4,0)&lt;&gt;""),IF(WEEKDAY(AW316-VLOOKUP($P316&amp;" | "&amp;AN$6,'Job Master'!$F$12:$I$102,4,0))&lt;&gt;7,AW316-VLOOKUP($P316&amp;" | "&amp;AN$6,'Job Master'!$F$12:$I$102,4,0),AW316-VLOOKUP($P316&amp;" | "&amp;AN$6,'Job Master'!$F$12:$I$102,4,0)-1),""),"")</f>
        <v/>
      </c>
      <c r="AQ316" s="73"/>
      <c r="AR316" s="123" t="str">
        <f t="shared" si="525"/>
        <v/>
      </c>
      <c r="AS316" s="123" t="str">
        <f t="shared" si="526"/>
        <v/>
      </c>
      <c r="AT316" s="97" t="str">
        <f t="shared" ca="1" si="527"/>
        <v/>
      </c>
      <c r="AU316" s="98" t="str">
        <f>IF(AW316&lt;&gt;"",VLOOKUP($P316&amp;" | "&amp;AU$6,'Job Master'!$F$12:$J$102,5,0),"")</f>
        <v/>
      </c>
      <c r="AV316" s="19" t="str">
        <f>IF(AW316&lt;&gt;"",VLOOKUP($P316&amp;" | "&amp;AU$6,'Job Master'!$F$12:$J$102,3,0),"")</f>
        <v/>
      </c>
      <c r="AW316" s="19" t="str">
        <f>IFERROR(IF(AND(BD316&lt;&gt;"",VLOOKUP($P316&amp;" | "&amp;AU$6,'Job Master'!$F$12:$I$102,4,0)&lt;&gt;""),IF(WEEKDAY(BD316-VLOOKUP($P316&amp;" | "&amp;AU$6,'Job Master'!$F$12:$I$102,4,0))&lt;&gt;7,BD316-VLOOKUP($P316&amp;" | "&amp;AU$6,'Job Master'!$F$12:$I$102,4,0),BD316-VLOOKUP($P316&amp;" | "&amp;AU$6,'Job Master'!$F$12:$I$102,4,0)-1),""),"")</f>
        <v/>
      </c>
      <c r="AX316" s="73"/>
      <c r="AY316" s="123" t="str">
        <f t="shared" si="528"/>
        <v/>
      </c>
      <c r="AZ316" s="123" t="str">
        <f t="shared" si="529"/>
        <v/>
      </c>
      <c r="BA316" s="97" t="str">
        <f t="shared" ca="1" si="530"/>
        <v/>
      </c>
      <c r="BB316" s="98" t="str">
        <f>IF(BD316&lt;&gt;"",VLOOKUP($P316&amp;" | "&amp;BB$6,'Job Master'!$F$12:$J$102,5,0),"")</f>
        <v/>
      </c>
      <c r="BC316" s="19" t="str">
        <f>IF(BD316&lt;&gt;"",VLOOKUP($P316&amp;" | "&amp;BB$6,'Job Master'!$F$12:$J$102,3,0),"")</f>
        <v/>
      </c>
      <c r="BD316" s="19" t="str">
        <f>IFERROR(IF(AND(BK316&lt;&gt;"",VLOOKUP($P316&amp;" | "&amp;BB$6,'Job Master'!$F$12:$I$102,4,0)&lt;&gt;""),IF(WEEKDAY(BK316-VLOOKUP($P316&amp;" | "&amp;BB$6,'Job Master'!$F$12:$I$102,4,0))&lt;&gt;7,BK316-VLOOKUP($P316&amp;" | "&amp;BB$6,'Job Master'!$F$12:$I$102,4,0),BK316-VLOOKUP($P316&amp;" | "&amp;BB$6,'Job Master'!$F$12:$I$102,4,0)-1),""),"")</f>
        <v/>
      </c>
      <c r="BE316" s="73"/>
      <c r="BF316" s="123" t="str">
        <f t="shared" si="531"/>
        <v/>
      </c>
      <c r="BG316" s="123" t="str">
        <f t="shared" si="532"/>
        <v/>
      </c>
      <c r="BH316" s="97" t="str">
        <f t="shared" ca="1" si="533"/>
        <v/>
      </c>
      <c r="BI316" s="98" t="str">
        <f>IF(BK316&lt;&gt;"",VLOOKUP($P316&amp;" | "&amp;BI$6,'Job Master'!$F$12:$J$102,5,0),"")</f>
        <v/>
      </c>
      <c r="BJ316" s="19" t="str">
        <f>IF(BK316&lt;&gt;"",VLOOKUP($P316&amp;" | "&amp;BI$6,'Job Master'!$F$12:$J$102,3,0),"")</f>
        <v/>
      </c>
      <c r="BK316" s="19" t="str">
        <f>IFERROR(IF(AND(BR316&lt;&gt;"",VLOOKUP($P316&amp;" | "&amp;BI$6,'Job Master'!$F$12:$I$102,4,0)&lt;&gt;""),IF(WEEKDAY(BR316-VLOOKUP($P316&amp;" | "&amp;BI$6,'Job Master'!$F$12:$I$102,4,0))&lt;&gt;7,BR316-VLOOKUP($P316&amp;" | "&amp;BI$6,'Job Master'!$F$12:$I$102,4,0),BR316-VLOOKUP($P316&amp;" | "&amp;BI$6,'Job Master'!$F$12:$I$102,4,0)-1),""),"")</f>
        <v/>
      </c>
      <c r="BL316" s="73"/>
      <c r="BM316" s="123" t="str">
        <f t="shared" si="534"/>
        <v/>
      </c>
      <c r="BN316" s="123" t="str">
        <f t="shared" si="535"/>
        <v/>
      </c>
      <c r="BO316" s="97" t="str">
        <f t="shared" ca="1" si="536"/>
        <v/>
      </c>
      <c r="BP316" s="98" t="str">
        <f>IF(BR316&lt;&gt;"",VLOOKUP($P316&amp;" | "&amp;BP$6,'Job Master'!$F$12:$J$102,5,0),"")</f>
        <v/>
      </c>
      <c r="BQ316" s="19" t="str">
        <f>IF(BR316&lt;&gt;"",VLOOKUP($P316&amp;" | "&amp;BP$6,'Job Master'!$F$12:$J$102,3,0),"")</f>
        <v/>
      </c>
      <c r="BR316" s="19" t="str">
        <f>IFERROR(IF(AND(BY316&lt;&gt;"",VLOOKUP($P316&amp;" | "&amp;BP$6,'Job Master'!$F$12:$I$102,4,0)&lt;&gt;""),IF(WEEKDAY(BY316-VLOOKUP($P316&amp;" | "&amp;BP$6,'Job Master'!$F$12:$I$102,4,0))&lt;&gt;7,BY316-VLOOKUP($P316&amp;" | "&amp;BP$6,'Job Master'!$F$12:$I$102,4,0),BY316-VLOOKUP($P316&amp;" | "&amp;BP$6,'Job Master'!$F$12:$I$102,4,0)-1),""),"")</f>
        <v/>
      </c>
      <c r="BS316" s="73"/>
      <c r="BT316" s="123" t="str">
        <f t="shared" si="537"/>
        <v/>
      </c>
      <c r="BU316" s="123" t="str">
        <f t="shared" si="538"/>
        <v/>
      </c>
      <c r="BV316" s="97" t="str">
        <f t="shared" ca="1" si="539"/>
        <v/>
      </c>
      <c r="BW316" s="98" t="str">
        <f>IF(BY316&lt;&gt;"",VLOOKUP($P316&amp;" | "&amp;BW$6,'Job Master'!$F$12:$J$102,5,0),"")</f>
        <v/>
      </c>
      <c r="BX316" s="19" t="str">
        <f>IF(BY316&lt;&gt;"",VLOOKUP($P316&amp;" | "&amp;BW$6,'Job Master'!$F$12:$J$102,3,0),"")</f>
        <v/>
      </c>
      <c r="BY316" s="19" t="str">
        <f>IFERROR(IF(AND(CF316&lt;&gt;"",VLOOKUP($P316&amp;" | "&amp;BW$6,'Job Master'!$F$12:$I$102,4,0)&lt;&gt;""),IF(WEEKDAY(CF316-VLOOKUP($P316&amp;" | "&amp;BW$6,'Job Master'!$F$12:$I$102,4,0))&lt;&gt;7,CF316-VLOOKUP($P316&amp;" | "&amp;BW$6,'Job Master'!$F$12:$I$102,4,0),CF316-VLOOKUP($P316&amp;" | "&amp;BW$6,'Job Master'!$F$12:$I$102,4,0)-1),""),"")</f>
        <v/>
      </c>
      <c r="BZ316" s="73"/>
      <c r="CA316" s="123" t="str">
        <f t="shared" si="540"/>
        <v/>
      </c>
      <c r="CB316" s="123" t="str">
        <f t="shared" si="541"/>
        <v/>
      </c>
      <c r="CC316" s="97" t="str">
        <f t="shared" ca="1" si="542"/>
        <v/>
      </c>
      <c r="CD316" s="98" t="str">
        <f>IF(CF316&lt;&gt;"",VLOOKUP($P316&amp;" | "&amp;CD$6,'Job Master'!$F$12:$J$102,5,0),"")</f>
        <v/>
      </c>
      <c r="CE316" s="19" t="str">
        <f>IF(CF316&lt;&gt;"",VLOOKUP($P316&amp;" | "&amp;CD$6,'Job Master'!$F$12:$J$102,3,0),"")</f>
        <v/>
      </c>
      <c r="CF316" s="19" t="str">
        <f>IFERROR(IF(AND(CM316&lt;&gt;"",VLOOKUP($P316&amp;" | "&amp;CD$6,'Job Master'!$F$12:$I$102,4,0)&lt;&gt;""),IF(WEEKDAY(CM316-VLOOKUP($P316&amp;" | "&amp;CD$6,'Job Master'!$F$12:$I$102,4,0))&lt;&gt;7,CM316-VLOOKUP($P316&amp;" | "&amp;CD$6,'Job Master'!$F$12:$I$102,4,0),CM316-VLOOKUP($P316&amp;" | "&amp;CD$6,'Job Master'!$F$12:$I$102,4,0)-1),""),"")</f>
        <v/>
      </c>
      <c r="CG316" s="73"/>
      <c r="CH316" s="123" t="str">
        <f t="shared" si="543"/>
        <v/>
      </c>
      <c r="CI316" s="123" t="str">
        <f t="shared" si="544"/>
        <v/>
      </c>
      <c r="CJ316" s="97" t="str">
        <f t="shared" ca="1" si="545"/>
        <v/>
      </c>
      <c r="CK316" s="98" t="str">
        <f>IF(CM316&lt;&gt;"",VLOOKUP($P316&amp;" | "&amp;CK$6,'Job Master'!$F$12:$J$102,5,0),"")</f>
        <v/>
      </c>
      <c r="CL316" s="19" t="str">
        <f>IF(CM316&lt;&gt;"",VLOOKUP($P316&amp;" | "&amp;CK$6,'Job Master'!$F$12:$J$102,3,0),"")</f>
        <v/>
      </c>
      <c r="CM316" s="19" t="str">
        <f>IFERROR(IF(AND(CT316&lt;&gt;"",VLOOKUP($P316&amp;" | "&amp;CK$6,'Job Master'!$F$12:$I$102,4,0)&lt;&gt;""),IF(WEEKDAY(CT316-VLOOKUP($P316&amp;" | "&amp;CK$6,'Job Master'!$F$12:$I$102,4,0))&lt;&gt;7,CT316-VLOOKUP($P316&amp;" | "&amp;CK$6,'Job Master'!$F$12:$I$102,4,0),CT316-VLOOKUP($P316&amp;" | "&amp;CK$6,'Job Master'!$F$12:$I$102,4,0)-1),""),"")</f>
        <v/>
      </c>
      <c r="CN316" s="73"/>
      <c r="CO316" s="123" t="str">
        <f t="shared" si="546"/>
        <v/>
      </c>
      <c r="CP316" s="123" t="str">
        <f t="shared" si="547"/>
        <v/>
      </c>
      <c r="CQ316" s="97" t="str">
        <f t="shared" ca="1" si="548"/>
        <v/>
      </c>
      <c r="CR316" s="98" t="str">
        <f>IF(CT316&lt;&gt;"",VLOOKUP($P316&amp;" | "&amp;CR$6,'Job Master'!$F$12:$J$102,5,0),"")</f>
        <v/>
      </c>
      <c r="CS316" s="19" t="str">
        <f>IF(CT316&lt;&gt;"",VLOOKUP($P316&amp;" | "&amp;CR$6,'Job Master'!$F$12:$J$102,3,0),"")</f>
        <v/>
      </c>
      <c r="CT316" s="19" t="str">
        <f>IFERROR(IF(AND(DA316&lt;&gt;"",VLOOKUP($P316&amp;" | "&amp;CR$6,'Job Master'!$F$12:$I$102,4,0)&lt;&gt;""),IF(WEEKDAY(DA316-VLOOKUP($P316&amp;" | "&amp;CR$6,'Job Master'!$F$12:$I$102,4,0))&lt;&gt;7,DA316-VLOOKUP($P316&amp;" | "&amp;CR$6,'Job Master'!$F$12:$I$102,4,0),DA316-VLOOKUP($P316&amp;" | "&amp;CR$6,'Job Master'!$F$12:$I$102,4,0)-1),""),"")</f>
        <v/>
      </c>
      <c r="CU316" s="73"/>
      <c r="CV316" s="123" t="str">
        <f t="shared" si="549"/>
        <v/>
      </c>
      <c r="CW316" s="123" t="str">
        <f t="shared" si="550"/>
        <v/>
      </c>
      <c r="CX316" s="97" t="str">
        <f t="shared" ca="1" si="551"/>
        <v/>
      </c>
      <c r="CY316" s="98" t="str">
        <f>IF(DA316&lt;&gt;"",VLOOKUP($P316&amp;" | "&amp;CY$6,'Job Master'!$F$12:$J$102,5,0),"")</f>
        <v/>
      </c>
      <c r="CZ316" s="19" t="str">
        <f>IF(DA316&lt;&gt;"",VLOOKUP($P316&amp;" | "&amp;CY$6,'Job Master'!$F$12:$J$102,3,0),"")</f>
        <v/>
      </c>
      <c r="DA316" s="19" t="str">
        <f>IFERROR(IF(AND(DH316&lt;&gt;"",VLOOKUP($P316&amp;" | "&amp;CY$6,'Job Master'!$F$12:$I$102,4,0)&lt;&gt;""),IF(WEEKDAY(DH316-VLOOKUP($P316&amp;" | "&amp;CY$6,'Job Master'!$F$12:$I$102,4,0))&lt;&gt;7,DH316-VLOOKUP($P316&amp;" | "&amp;CY$6,'Job Master'!$F$12:$I$102,4,0),DH316-VLOOKUP($P316&amp;" | "&amp;CY$6,'Job Master'!$F$12:$I$102,4,0)-1),""),"")</f>
        <v/>
      </c>
      <c r="DB316" s="73"/>
      <c r="DC316" s="123" t="str">
        <f t="shared" si="552"/>
        <v/>
      </c>
      <c r="DD316" s="123" t="str">
        <f t="shared" si="553"/>
        <v/>
      </c>
      <c r="DE316" s="97" t="str">
        <f t="shared" ca="1" si="554"/>
        <v/>
      </c>
      <c r="DF316" s="98" t="str">
        <f>IF(DH316&lt;&gt;"",VLOOKUP($P316&amp;" | "&amp;DF$6,'Job Master'!$F$12:$J$102,5,0),"")</f>
        <v/>
      </c>
      <c r="DG316" s="19" t="str">
        <f>IF(DH316&lt;&gt;"",VLOOKUP($P316&amp;" | "&amp;DF$6,'Job Master'!$F$12:$J$102,3,0),"")</f>
        <v/>
      </c>
      <c r="DH316" s="19" t="str">
        <f>IFERROR(IF(AND(DO316&lt;&gt;"",VLOOKUP($P316&amp;" | "&amp;DF$6,'Job Master'!$F$12:$I$102,4,0)&lt;&gt;""),IF(WEEKDAY(DO316-VLOOKUP($P316&amp;" | "&amp;DF$6,'Job Master'!$F$12:$I$102,4,0))&lt;&gt;7,DO316-VLOOKUP($P316&amp;" | "&amp;DF$6,'Job Master'!$F$12:$I$102,4,0),DO316-VLOOKUP($P316&amp;" | "&amp;DF$6,'Job Master'!$F$12:$I$102,4,0)-1),""),"")</f>
        <v/>
      </c>
      <c r="DI316" s="73"/>
      <c r="DJ316" s="123" t="str">
        <f t="shared" si="555"/>
        <v/>
      </c>
      <c r="DK316" s="123" t="str">
        <f t="shared" si="556"/>
        <v/>
      </c>
      <c r="DL316" s="97" t="str">
        <f t="shared" ca="1" si="557"/>
        <v/>
      </c>
      <c r="DM316" s="98" t="str">
        <f>IF(DO316&lt;&gt;"",VLOOKUP($P316&amp;" | "&amp;DM$6,'Job Master'!$F$12:$J$102,5,0),"")</f>
        <v/>
      </c>
      <c r="DN316" s="19" t="str">
        <f>IF(DO316&lt;&gt;"",VLOOKUP($P316&amp;" | "&amp;DM$6,'Job Master'!$F$12:$J$102,3,0),"")</f>
        <v/>
      </c>
      <c r="DO316" s="19" t="str">
        <f>IFERROR(IF(AND(DT316&lt;&gt;"",VLOOKUP($P316&amp;" | "&amp;DM$6,'Job Master'!$F$12:$I$102,4,0)&lt;&gt;""),IF(WEEKDAY(DT316-VLOOKUP($P316&amp;" | "&amp;DM$6,'Job Master'!$F$12:$I$102,4,0))&lt;&gt;7,DT316-VLOOKUP($P316&amp;" | "&amp;DM$6,'Job Master'!$F$12:$I$102,4,0),DT316-VLOOKUP($P316&amp;" | "&amp;DM$6,'Job Master'!$F$12:$I$102,4,0)-1),""),"")</f>
        <v/>
      </c>
      <c r="DP316" s="73"/>
      <c r="DQ316" s="123" t="str">
        <f t="shared" si="558"/>
        <v/>
      </c>
      <c r="DR316" s="123" t="str">
        <f t="shared" si="559"/>
        <v/>
      </c>
      <c r="DS316" s="97" t="str">
        <f t="shared" ca="1" si="560"/>
        <v/>
      </c>
      <c r="DT316" s="70" t="str">
        <f t="shared" si="561"/>
        <v/>
      </c>
      <c r="DU316" s="90"/>
      <c r="DV316" s="123" t="str">
        <f t="shared" si="562"/>
        <v/>
      </c>
      <c r="DW316" s="123" t="str">
        <f t="shared" si="563"/>
        <v/>
      </c>
      <c r="DX316" s="132" t="str">
        <f t="shared" ref="DX316" ca="1" si="625">IF(DT316&lt;&gt;"",IF(WEEKNUM(DT316)=WEEKNUM(TODAY()),"This Week",IF(WEEKNUM(DT316)=WEEKNUM(TODAY())+1,"Next Week",IF(WEEKNUM(DT316)=WEEKNUM(TODAY())-1,"Previous Week",""))),"")</f>
        <v/>
      </c>
      <c r="DY316" s="134" t="str">
        <f t="shared" si="565"/>
        <v/>
      </c>
      <c r="DZ316" s="95"/>
      <c r="EB316" s="8" t="str">
        <f t="shared" si="571"/>
        <v/>
      </c>
      <c r="EC316" s="8" t="str">
        <f>IF(O316&lt;&gt;"",VLOOKUP(O316,'Job Master'!$N$12:$O$18,2,0),"")</f>
        <v/>
      </c>
      <c r="ED316" s="8">
        <f t="shared" si="572"/>
        <v>19.5</v>
      </c>
      <c r="EE316" s="8">
        <f t="shared" si="573"/>
        <v>6</v>
      </c>
      <c r="EF316" s="8">
        <f t="shared" si="574"/>
        <v>-1816.5</v>
      </c>
      <c r="EG316" s="8" t="str">
        <f t="shared" si="575"/>
        <v/>
      </c>
      <c r="EH316" s="8" t="str">
        <f t="shared" si="576"/>
        <v/>
      </c>
    </row>
    <row r="317" spans="2:138" x14ac:dyDescent="0.3">
      <c r="B317" s="112"/>
      <c r="C317" s="27"/>
      <c r="D317" s="7" t="str">
        <f t="shared" si="513"/>
        <v/>
      </c>
      <c r="E317" s="25"/>
      <c r="F317" s="7" t="str">
        <f t="shared" si="513"/>
        <v/>
      </c>
      <c r="G317" s="25"/>
      <c r="H317" s="7" t="str">
        <f t="shared" si="513"/>
        <v/>
      </c>
      <c r="I317" s="25"/>
      <c r="J317" s="7" t="str">
        <f t="shared" si="513"/>
        <v/>
      </c>
      <c r="K317" s="25"/>
      <c r="L317" s="7" t="str">
        <f t="shared" si="514"/>
        <v/>
      </c>
      <c r="M317" s="25"/>
      <c r="N317" s="7" t="str">
        <f t="shared" si="515"/>
        <v/>
      </c>
      <c r="O317" s="81"/>
      <c r="P317" s="81" t="str">
        <f t="shared" si="516"/>
        <v/>
      </c>
      <c r="Q317" s="81"/>
      <c r="R317" s="7" t="str">
        <f t="shared" si="517"/>
        <v/>
      </c>
      <c r="S317" s="25"/>
      <c r="T317" s="7" t="str">
        <f t="shared" si="518"/>
        <v/>
      </c>
      <c r="U317" s="25"/>
      <c r="V317" s="7" t="str">
        <f t="shared" si="519"/>
        <v/>
      </c>
      <c r="W317" s="25"/>
      <c r="X317" s="7" t="str">
        <f t="shared" si="520"/>
        <v/>
      </c>
      <c r="Y317" s="18" t="str">
        <f t="shared" si="521"/>
        <v/>
      </c>
      <c r="Z317" s="7" t="str">
        <f t="shared" si="522"/>
        <v/>
      </c>
      <c r="AA317" s="18" t="str">
        <f t="shared" si="523"/>
        <v/>
      </c>
      <c r="AB317" s="19" t="str">
        <f t="shared" si="524"/>
        <v/>
      </c>
      <c r="AC317" s="26"/>
      <c r="AD317" s="26"/>
      <c r="AE317" s="25"/>
      <c r="AF317" s="26"/>
      <c r="AG317" s="25"/>
      <c r="AH317" s="25"/>
      <c r="AI317" s="18" t="str">
        <f t="shared" si="587"/>
        <v/>
      </c>
      <c r="AJ317" s="25"/>
      <c r="AK317" s="18" t="str">
        <f t="shared" si="588"/>
        <v/>
      </c>
      <c r="AL317" s="79"/>
      <c r="AM317" s="126" t="str">
        <f t="shared" si="589"/>
        <v/>
      </c>
      <c r="AN317" s="128" t="str">
        <f>IF(AP317&lt;&gt;"",VLOOKUP($P317&amp;" | "&amp;AN$6,'Job Master'!$F$12:$J$102,5,0),"")</f>
        <v/>
      </c>
      <c r="AO317" s="19" t="str">
        <f>IF(AP317&lt;&gt;"",VLOOKUP($P317&amp;" | "&amp;AN$6,'Job Master'!$F$12:$J$102,3,0),"")</f>
        <v/>
      </c>
      <c r="AP317" s="19" t="str">
        <f>IFERROR(IF(AND(AW317&lt;&gt;"",VLOOKUP($P317&amp;" | "&amp;AN$6,'Job Master'!$F$12:$I$102,4,0)&lt;&gt;""),IF(WEEKDAY(AW317-VLOOKUP($P317&amp;" | "&amp;AN$6,'Job Master'!$F$12:$I$102,4,0))&lt;&gt;7,AW317-VLOOKUP($P317&amp;" | "&amp;AN$6,'Job Master'!$F$12:$I$102,4,0),AW317-VLOOKUP($P317&amp;" | "&amp;AN$6,'Job Master'!$F$12:$I$102,4,0)-1),""),"")</f>
        <v/>
      </c>
      <c r="AQ317" s="73"/>
      <c r="AR317" s="123" t="str">
        <f t="shared" si="525"/>
        <v/>
      </c>
      <c r="AS317" s="123" t="str">
        <f t="shared" si="526"/>
        <v/>
      </c>
      <c r="AT317" s="97" t="str">
        <f t="shared" ca="1" si="527"/>
        <v/>
      </c>
      <c r="AU317" s="98" t="str">
        <f>IF(AW317&lt;&gt;"",VLOOKUP($P317&amp;" | "&amp;AU$6,'Job Master'!$F$12:$J$102,5,0),"")</f>
        <v/>
      </c>
      <c r="AV317" s="19" t="str">
        <f>IF(AW317&lt;&gt;"",VLOOKUP($P317&amp;" | "&amp;AU$6,'Job Master'!$F$12:$J$102,3,0),"")</f>
        <v/>
      </c>
      <c r="AW317" s="19" t="str">
        <f>IFERROR(IF(AND(BD317&lt;&gt;"",VLOOKUP($P317&amp;" | "&amp;AU$6,'Job Master'!$F$12:$I$102,4,0)&lt;&gt;""),IF(WEEKDAY(BD317-VLOOKUP($P317&amp;" | "&amp;AU$6,'Job Master'!$F$12:$I$102,4,0))&lt;&gt;7,BD317-VLOOKUP($P317&amp;" | "&amp;AU$6,'Job Master'!$F$12:$I$102,4,0),BD317-VLOOKUP($P317&amp;" | "&amp;AU$6,'Job Master'!$F$12:$I$102,4,0)-1),""),"")</f>
        <v/>
      </c>
      <c r="AX317" s="73"/>
      <c r="AY317" s="123" t="str">
        <f t="shared" si="528"/>
        <v/>
      </c>
      <c r="AZ317" s="123" t="str">
        <f t="shared" si="529"/>
        <v/>
      </c>
      <c r="BA317" s="97" t="str">
        <f t="shared" ca="1" si="530"/>
        <v/>
      </c>
      <c r="BB317" s="98" t="str">
        <f>IF(BD317&lt;&gt;"",VLOOKUP($P317&amp;" | "&amp;BB$6,'Job Master'!$F$12:$J$102,5,0),"")</f>
        <v/>
      </c>
      <c r="BC317" s="19" t="str">
        <f>IF(BD317&lt;&gt;"",VLOOKUP($P317&amp;" | "&amp;BB$6,'Job Master'!$F$12:$J$102,3,0),"")</f>
        <v/>
      </c>
      <c r="BD317" s="19" t="str">
        <f>IFERROR(IF(AND(BK317&lt;&gt;"",VLOOKUP($P317&amp;" | "&amp;BB$6,'Job Master'!$F$12:$I$102,4,0)&lt;&gt;""),IF(WEEKDAY(BK317-VLOOKUP($P317&amp;" | "&amp;BB$6,'Job Master'!$F$12:$I$102,4,0))&lt;&gt;7,BK317-VLOOKUP($P317&amp;" | "&amp;BB$6,'Job Master'!$F$12:$I$102,4,0),BK317-VLOOKUP($P317&amp;" | "&amp;BB$6,'Job Master'!$F$12:$I$102,4,0)-1),""),"")</f>
        <v/>
      </c>
      <c r="BE317" s="73"/>
      <c r="BF317" s="123" t="str">
        <f t="shared" si="531"/>
        <v/>
      </c>
      <c r="BG317" s="123" t="str">
        <f t="shared" si="532"/>
        <v/>
      </c>
      <c r="BH317" s="97" t="str">
        <f t="shared" ca="1" si="533"/>
        <v/>
      </c>
      <c r="BI317" s="98" t="str">
        <f>IF(BK317&lt;&gt;"",VLOOKUP($P317&amp;" | "&amp;BI$6,'Job Master'!$F$12:$J$102,5,0),"")</f>
        <v/>
      </c>
      <c r="BJ317" s="19" t="str">
        <f>IF(BK317&lt;&gt;"",VLOOKUP($P317&amp;" | "&amp;BI$6,'Job Master'!$F$12:$J$102,3,0),"")</f>
        <v/>
      </c>
      <c r="BK317" s="19" t="str">
        <f>IFERROR(IF(AND(BR317&lt;&gt;"",VLOOKUP($P317&amp;" | "&amp;BI$6,'Job Master'!$F$12:$I$102,4,0)&lt;&gt;""),IF(WEEKDAY(BR317-VLOOKUP($P317&amp;" | "&amp;BI$6,'Job Master'!$F$12:$I$102,4,0))&lt;&gt;7,BR317-VLOOKUP($P317&amp;" | "&amp;BI$6,'Job Master'!$F$12:$I$102,4,0),BR317-VLOOKUP($P317&amp;" | "&amp;BI$6,'Job Master'!$F$12:$I$102,4,0)-1),""),"")</f>
        <v/>
      </c>
      <c r="BL317" s="73"/>
      <c r="BM317" s="123" t="str">
        <f t="shared" si="534"/>
        <v/>
      </c>
      <c r="BN317" s="123" t="str">
        <f t="shared" si="535"/>
        <v/>
      </c>
      <c r="BO317" s="97" t="str">
        <f t="shared" ca="1" si="536"/>
        <v/>
      </c>
      <c r="BP317" s="98" t="str">
        <f>IF(BR317&lt;&gt;"",VLOOKUP($P317&amp;" | "&amp;BP$6,'Job Master'!$F$12:$J$102,5,0),"")</f>
        <v/>
      </c>
      <c r="BQ317" s="19" t="str">
        <f>IF(BR317&lt;&gt;"",VLOOKUP($P317&amp;" | "&amp;BP$6,'Job Master'!$F$12:$J$102,3,0),"")</f>
        <v/>
      </c>
      <c r="BR317" s="19" t="str">
        <f>IFERROR(IF(AND(BY317&lt;&gt;"",VLOOKUP($P317&amp;" | "&amp;BP$6,'Job Master'!$F$12:$I$102,4,0)&lt;&gt;""),IF(WEEKDAY(BY317-VLOOKUP($P317&amp;" | "&amp;BP$6,'Job Master'!$F$12:$I$102,4,0))&lt;&gt;7,BY317-VLOOKUP($P317&amp;" | "&amp;BP$6,'Job Master'!$F$12:$I$102,4,0),BY317-VLOOKUP($P317&amp;" | "&amp;BP$6,'Job Master'!$F$12:$I$102,4,0)-1),""),"")</f>
        <v/>
      </c>
      <c r="BS317" s="73"/>
      <c r="BT317" s="123" t="str">
        <f t="shared" si="537"/>
        <v/>
      </c>
      <c r="BU317" s="123" t="str">
        <f t="shared" si="538"/>
        <v/>
      </c>
      <c r="BV317" s="97" t="str">
        <f t="shared" ca="1" si="539"/>
        <v/>
      </c>
      <c r="BW317" s="98" t="str">
        <f>IF(BY317&lt;&gt;"",VLOOKUP($P317&amp;" | "&amp;BW$6,'Job Master'!$F$12:$J$102,5,0),"")</f>
        <v/>
      </c>
      <c r="BX317" s="19" t="str">
        <f>IF(BY317&lt;&gt;"",VLOOKUP($P317&amp;" | "&amp;BW$6,'Job Master'!$F$12:$J$102,3,0),"")</f>
        <v/>
      </c>
      <c r="BY317" s="19" t="str">
        <f>IFERROR(IF(AND(CF317&lt;&gt;"",VLOOKUP($P317&amp;" | "&amp;BW$6,'Job Master'!$F$12:$I$102,4,0)&lt;&gt;""),IF(WEEKDAY(CF317-VLOOKUP($P317&amp;" | "&amp;BW$6,'Job Master'!$F$12:$I$102,4,0))&lt;&gt;7,CF317-VLOOKUP($P317&amp;" | "&amp;BW$6,'Job Master'!$F$12:$I$102,4,0),CF317-VLOOKUP($P317&amp;" | "&amp;BW$6,'Job Master'!$F$12:$I$102,4,0)-1),""),"")</f>
        <v/>
      </c>
      <c r="BZ317" s="73"/>
      <c r="CA317" s="123" t="str">
        <f t="shared" si="540"/>
        <v/>
      </c>
      <c r="CB317" s="123" t="str">
        <f t="shared" si="541"/>
        <v/>
      </c>
      <c r="CC317" s="97" t="str">
        <f t="shared" ca="1" si="542"/>
        <v/>
      </c>
      <c r="CD317" s="98" t="str">
        <f>IF(CF317&lt;&gt;"",VLOOKUP($P317&amp;" | "&amp;CD$6,'Job Master'!$F$12:$J$102,5,0),"")</f>
        <v/>
      </c>
      <c r="CE317" s="19" t="str">
        <f>IF(CF317&lt;&gt;"",VLOOKUP($P317&amp;" | "&amp;CD$6,'Job Master'!$F$12:$J$102,3,0),"")</f>
        <v/>
      </c>
      <c r="CF317" s="19" t="str">
        <f>IFERROR(IF(AND(CM317&lt;&gt;"",VLOOKUP($P317&amp;" | "&amp;CD$6,'Job Master'!$F$12:$I$102,4,0)&lt;&gt;""),IF(WEEKDAY(CM317-VLOOKUP($P317&amp;" | "&amp;CD$6,'Job Master'!$F$12:$I$102,4,0))&lt;&gt;7,CM317-VLOOKUP($P317&amp;" | "&amp;CD$6,'Job Master'!$F$12:$I$102,4,0),CM317-VLOOKUP($P317&amp;" | "&amp;CD$6,'Job Master'!$F$12:$I$102,4,0)-1),""),"")</f>
        <v/>
      </c>
      <c r="CG317" s="73"/>
      <c r="CH317" s="123" t="str">
        <f t="shared" si="543"/>
        <v/>
      </c>
      <c r="CI317" s="123" t="str">
        <f t="shared" si="544"/>
        <v/>
      </c>
      <c r="CJ317" s="97" t="str">
        <f t="shared" ca="1" si="545"/>
        <v/>
      </c>
      <c r="CK317" s="98" t="str">
        <f>IF(CM317&lt;&gt;"",VLOOKUP($P317&amp;" | "&amp;CK$6,'Job Master'!$F$12:$J$102,5,0),"")</f>
        <v/>
      </c>
      <c r="CL317" s="19" t="str">
        <f>IF(CM317&lt;&gt;"",VLOOKUP($P317&amp;" | "&amp;CK$6,'Job Master'!$F$12:$J$102,3,0),"")</f>
        <v/>
      </c>
      <c r="CM317" s="19" t="str">
        <f>IFERROR(IF(AND(CT317&lt;&gt;"",VLOOKUP($P317&amp;" | "&amp;CK$6,'Job Master'!$F$12:$I$102,4,0)&lt;&gt;""),IF(WEEKDAY(CT317-VLOOKUP($P317&amp;" | "&amp;CK$6,'Job Master'!$F$12:$I$102,4,0))&lt;&gt;7,CT317-VLOOKUP($P317&amp;" | "&amp;CK$6,'Job Master'!$F$12:$I$102,4,0),CT317-VLOOKUP($P317&amp;" | "&amp;CK$6,'Job Master'!$F$12:$I$102,4,0)-1),""),"")</f>
        <v/>
      </c>
      <c r="CN317" s="73"/>
      <c r="CO317" s="123" t="str">
        <f t="shared" si="546"/>
        <v/>
      </c>
      <c r="CP317" s="123" t="str">
        <f t="shared" si="547"/>
        <v/>
      </c>
      <c r="CQ317" s="97" t="str">
        <f t="shared" ca="1" si="548"/>
        <v/>
      </c>
      <c r="CR317" s="98" t="str">
        <f>IF(CT317&lt;&gt;"",VLOOKUP($P317&amp;" | "&amp;CR$6,'Job Master'!$F$12:$J$102,5,0),"")</f>
        <v/>
      </c>
      <c r="CS317" s="19" t="str">
        <f>IF(CT317&lt;&gt;"",VLOOKUP($P317&amp;" | "&amp;CR$6,'Job Master'!$F$12:$J$102,3,0),"")</f>
        <v/>
      </c>
      <c r="CT317" s="19" t="str">
        <f>IFERROR(IF(AND(DA317&lt;&gt;"",VLOOKUP($P317&amp;" | "&amp;CR$6,'Job Master'!$F$12:$I$102,4,0)&lt;&gt;""),IF(WEEKDAY(DA317-VLOOKUP($P317&amp;" | "&amp;CR$6,'Job Master'!$F$12:$I$102,4,0))&lt;&gt;7,DA317-VLOOKUP($P317&amp;" | "&amp;CR$6,'Job Master'!$F$12:$I$102,4,0),DA317-VLOOKUP($P317&amp;" | "&amp;CR$6,'Job Master'!$F$12:$I$102,4,0)-1),""),"")</f>
        <v/>
      </c>
      <c r="CU317" s="73"/>
      <c r="CV317" s="123" t="str">
        <f t="shared" si="549"/>
        <v/>
      </c>
      <c r="CW317" s="123" t="str">
        <f t="shared" si="550"/>
        <v/>
      </c>
      <c r="CX317" s="97" t="str">
        <f t="shared" ca="1" si="551"/>
        <v/>
      </c>
      <c r="CY317" s="98" t="str">
        <f>IF(DA317&lt;&gt;"",VLOOKUP($P317&amp;" | "&amp;CY$6,'Job Master'!$F$12:$J$102,5,0),"")</f>
        <v/>
      </c>
      <c r="CZ317" s="19" t="str">
        <f>IF(DA317&lt;&gt;"",VLOOKUP($P317&amp;" | "&amp;CY$6,'Job Master'!$F$12:$J$102,3,0),"")</f>
        <v/>
      </c>
      <c r="DA317" s="19" t="str">
        <f>IFERROR(IF(AND(DH317&lt;&gt;"",VLOOKUP($P317&amp;" | "&amp;CY$6,'Job Master'!$F$12:$I$102,4,0)&lt;&gt;""),IF(WEEKDAY(DH317-VLOOKUP($P317&amp;" | "&amp;CY$6,'Job Master'!$F$12:$I$102,4,0))&lt;&gt;7,DH317-VLOOKUP($P317&amp;" | "&amp;CY$6,'Job Master'!$F$12:$I$102,4,0),DH317-VLOOKUP($P317&amp;" | "&amp;CY$6,'Job Master'!$F$12:$I$102,4,0)-1),""),"")</f>
        <v/>
      </c>
      <c r="DB317" s="73"/>
      <c r="DC317" s="123" t="str">
        <f t="shared" si="552"/>
        <v/>
      </c>
      <c r="DD317" s="123" t="str">
        <f t="shared" si="553"/>
        <v/>
      </c>
      <c r="DE317" s="97" t="str">
        <f t="shared" ca="1" si="554"/>
        <v/>
      </c>
      <c r="DF317" s="98" t="str">
        <f>IF(DH317&lt;&gt;"",VLOOKUP($P317&amp;" | "&amp;DF$6,'Job Master'!$F$12:$J$102,5,0),"")</f>
        <v/>
      </c>
      <c r="DG317" s="19" t="str">
        <f>IF(DH317&lt;&gt;"",VLOOKUP($P317&amp;" | "&amp;DF$6,'Job Master'!$F$12:$J$102,3,0),"")</f>
        <v/>
      </c>
      <c r="DH317" s="19" t="str">
        <f>IFERROR(IF(AND(DO317&lt;&gt;"",VLOOKUP($P317&amp;" | "&amp;DF$6,'Job Master'!$F$12:$I$102,4,0)&lt;&gt;""),IF(WEEKDAY(DO317-VLOOKUP($P317&amp;" | "&amp;DF$6,'Job Master'!$F$12:$I$102,4,0))&lt;&gt;7,DO317-VLOOKUP($P317&amp;" | "&amp;DF$6,'Job Master'!$F$12:$I$102,4,0),DO317-VLOOKUP($P317&amp;" | "&amp;DF$6,'Job Master'!$F$12:$I$102,4,0)-1),""),"")</f>
        <v/>
      </c>
      <c r="DI317" s="73"/>
      <c r="DJ317" s="123" t="str">
        <f t="shared" si="555"/>
        <v/>
      </c>
      <c r="DK317" s="123" t="str">
        <f t="shared" si="556"/>
        <v/>
      </c>
      <c r="DL317" s="97" t="str">
        <f t="shared" ca="1" si="557"/>
        <v/>
      </c>
      <c r="DM317" s="98" t="str">
        <f>IF(DO317&lt;&gt;"",VLOOKUP($P317&amp;" | "&amp;DM$6,'Job Master'!$F$12:$J$102,5,0),"")</f>
        <v/>
      </c>
      <c r="DN317" s="19" t="str">
        <f>IF(DO317&lt;&gt;"",VLOOKUP($P317&amp;" | "&amp;DM$6,'Job Master'!$F$12:$J$102,3,0),"")</f>
        <v/>
      </c>
      <c r="DO317" s="19" t="str">
        <f>IFERROR(IF(AND(DT317&lt;&gt;"",VLOOKUP($P317&amp;" | "&amp;DM$6,'Job Master'!$F$12:$I$102,4,0)&lt;&gt;""),IF(WEEKDAY(DT317-VLOOKUP($P317&amp;" | "&amp;DM$6,'Job Master'!$F$12:$I$102,4,0))&lt;&gt;7,DT317-VLOOKUP($P317&amp;" | "&amp;DM$6,'Job Master'!$F$12:$I$102,4,0),DT317-VLOOKUP($P317&amp;" | "&amp;DM$6,'Job Master'!$F$12:$I$102,4,0)-1),""),"")</f>
        <v/>
      </c>
      <c r="DP317" s="73"/>
      <c r="DQ317" s="123" t="str">
        <f t="shared" si="558"/>
        <v/>
      </c>
      <c r="DR317" s="123" t="str">
        <f t="shared" si="559"/>
        <v/>
      </c>
      <c r="DS317" s="97" t="str">
        <f t="shared" ca="1" si="560"/>
        <v/>
      </c>
      <c r="DT317" s="70" t="str">
        <f t="shared" si="561"/>
        <v/>
      </c>
      <c r="DU317" s="90"/>
      <c r="DV317" s="123" t="str">
        <f t="shared" si="562"/>
        <v/>
      </c>
      <c r="DW317" s="123" t="str">
        <f t="shared" si="563"/>
        <v/>
      </c>
      <c r="DX317" s="132" t="str">
        <f t="shared" ref="DX317" ca="1" si="626">IF(DT317&lt;&gt;"",IF(WEEKNUM(DT317)=WEEKNUM(TODAY()),"This Week",IF(WEEKNUM(DT317)=WEEKNUM(TODAY())+1,"Next Week",IF(WEEKNUM(DT317)=WEEKNUM(TODAY())-1,"Previous Week",""))),"")</f>
        <v/>
      </c>
      <c r="DY317" s="134" t="str">
        <f t="shared" si="565"/>
        <v/>
      </c>
      <c r="DZ317" s="95"/>
      <c r="EB317" s="8" t="str">
        <f t="shared" si="571"/>
        <v/>
      </c>
      <c r="EC317" s="8" t="str">
        <f>IF(O317&lt;&gt;"",VLOOKUP(O317,'Job Master'!$N$12:$O$18,2,0),"")</f>
        <v/>
      </c>
      <c r="ED317" s="8">
        <f t="shared" si="572"/>
        <v>19.5</v>
      </c>
      <c r="EE317" s="8">
        <f t="shared" si="573"/>
        <v>6</v>
      </c>
      <c r="EF317" s="8">
        <f t="shared" si="574"/>
        <v>-1822.5</v>
      </c>
      <c r="EG317" s="8" t="str">
        <f t="shared" si="575"/>
        <v/>
      </c>
      <c r="EH317" s="8" t="str">
        <f t="shared" si="576"/>
        <v/>
      </c>
    </row>
    <row r="318" spans="2:138" x14ac:dyDescent="0.3">
      <c r="B318" s="112"/>
      <c r="C318" s="27"/>
      <c r="D318" s="7" t="str">
        <f t="shared" si="513"/>
        <v/>
      </c>
      <c r="E318" s="25"/>
      <c r="F318" s="7" t="str">
        <f t="shared" si="513"/>
        <v/>
      </c>
      <c r="G318" s="25"/>
      <c r="H318" s="7" t="str">
        <f t="shared" si="513"/>
        <v/>
      </c>
      <c r="I318" s="25"/>
      <c r="J318" s="7" t="str">
        <f t="shared" si="513"/>
        <v/>
      </c>
      <c r="K318" s="25"/>
      <c r="L318" s="7" t="str">
        <f t="shared" si="514"/>
        <v/>
      </c>
      <c r="M318" s="25"/>
      <c r="N318" s="7" t="str">
        <f t="shared" si="515"/>
        <v/>
      </c>
      <c r="O318" s="81"/>
      <c r="P318" s="81" t="str">
        <f t="shared" si="516"/>
        <v/>
      </c>
      <c r="Q318" s="81"/>
      <c r="R318" s="7" t="str">
        <f t="shared" si="517"/>
        <v/>
      </c>
      <c r="S318" s="25"/>
      <c r="T318" s="7" t="str">
        <f t="shared" si="518"/>
        <v/>
      </c>
      <c r="U318" s="25"/>
      <c r="V318" s="7" t="str">
        <f t="shared" si="519"/>
        <v/>
      </c>
      <c r="W318" s="25"/>
      <c r="X318" s="7" t="str">
        <f t="shared" si="520"/>
        <v/>
      </c>
      <c r="Y318" s="18" t="str">
        <f t="shared" si="521"/>
        <v/>
      </c>
      <c r="Z318" s="7" t="str">
        <f t="shared" si="522"/>
        <v/>
      </c>
      <c r="AA318" s="18" t="str">
        <f t="shared" si="523"/>
        <v/>
      </c>
      <c r="AB318" s="19" t="str">
        <f t="shared" si="524"/>
        <v/>
      </c>
      <c r="AC318" s="26"/>
      <c r="AD318" s="26"/>
      <c r="AE318" s="25"/>
      <c r="AF318" s="26"/>
      <c r="AG318" s="25"/>
      <c r="AH318" s="25"/>
      <c r="AI318" s="18" t="str">
        <f t="shared" si="587"/>
        <v/>
      </c>
      <c r="AJ318" s="25"/>
      <c r="AK318" s="18" t="str">
        <f t="shared" si="588"/>
        <v/>
      </c>
      <c r="AL318" s="79"/>
      <c r="AM318" s="126" t="str">
        <f t="shared" si="589"/>
        <v/>
      </c>
      <c r="AN318" s="128" t="str">
        <f>IF(AP318&lt;&gt;"",VLOOKUP($P318&amp;" | "&amp;AN$6,'Job Master'!$F$12:$J$102,5,0),"")</f>
        <v/>
      </c>
      <c r="AO318" s="19" t="str">
        <f>IF(AP318&lt;&gt;"",VLOOKUP($P318&amp;" | "&amp;AN$6,'Job Master'!$F$12:$J$102,3,0),"")</f>
        <v/>
      </c>
      <c r="AP318" s="19" t="str">
        <f>IFERROR(IF(AND(AW318&lt;&gt;"",VLOOKUP($P318&amp;" | "&amp;AN$6,'Job Master'!$F$12:$I$102,4,0)&lt;&gt;""),IF(WEEKDAY(AW318-VLOOKUP($P318&amp;" | "&amp;AN$6,'Job Master'!$F$12:$I$102,4,0))&lt;&gt;7,AW318-VLOOKUP($P318&amp;" | "&amp;AN$6,'Job Master'!$F$12:$I$102,4,0),AW318-VLOOKUP($P318&amp;" | "&amp;AN$6,'Job Master'!$F$12:$I$102,4,0)-1),""),"")</f>
        <v/>
      </c>
      <c r="AQ318" s="73"/>
      <c r="AR318" s="123" t="str">
        <f t="shared" si="525"/>
        <v/>
      </c>
      <c r="AS318" s="123" t="str">
        <f t="shared" si="526"/>
        <v/>
      </c>
      <c r="AT318" s="97" t="str">
        <f t="shared" ca="1" si="527"/>
        <v/>
      </c>
      <c r="AU318" s="98" t="str">
        <f>IF(AW318&lt;&gt;"",VLOOKUP($P318&amp;" | "&amp;AU$6,'Job Master'!$F$12:$J$102,5,0),"")</f>
        <v/>
      </c>
      <c r="AV318" s="19" t="str">
        <f>IF(AW318&lt;&gt;"",VLOOKUP($P318&amp;" | "&amp;AU$6,'Job Master'!$F$12:$J$102,3,0),"")</f>
        <v/>
      </c>
      <c r="AW318" s="19" t="str">
        <f>IFERROR(IF(AND(BD318&lt;&gt;"",VLOOKUP($P318&amp;" | "&amp;AU$6,'Job Master'!$F$12:$I$102,4,0)&lt;&gt;""),IF(WEEKDAY(BD318-VLOOKUP($P318&amp;" | "&amp;AU$6,'Job Master'!$F$12:$I$102,4,0))&lt;&gt;7,BD318-VLOOKUP($P318&amp;" | "&amp;AU$6,'Job Master'!$F$12:$I$102,4,0),BD318-VLOOKUP($P318&amp;" | "&amp;AU$6,'Job Master'!$F$12:$I$102,4,0)-1),""),"")</f>
        <v/>
      </c>
      <c r="AX318" s="73"/>
      <c r="AY318" s="123" t="str">
        <f t="shared" si="528"/>
        <v/>
      </c>
      <c r="AZ318" s="123" t="str">
        <f t="shared" si="529"/>
        <v/>
      </c>
      <c r="BA318" s="97" t="str">
        <f t="shared" ca="1" si="530"/>
        <v/>
      </c>
      <c r="BB318" s="98" t="str">
        <f>IF(BD318&lt;&gt;"",VLOOKUP($P318&amp;" | "&amp;BB$6,'Job Master'!$F$12:$J$102,5,0),"")</f>
        <v/>
      </c>
      <c r="BC318" s="19" t="str">
        <f>IF(BD318&lt;&gt;"",VLOOKUP($P318&amp;" | "&amp;BB$6,'Job Master'!$F$12:$J$102,3,0),"")</f>
        <v/>
      </c>
      <c r="BD318" s="19" t="str">
        <f>IFERROR(IF(AND(BK318&lt;&gt;"",VLOOKUP($P318&amp;" | "&amp;BB$6,'Job Master'!$F$12:$I$102,4,0)&lt;&gt;""),IF(WEEKDAY(BK318-VLOOKUP($P318&amp;" | "&amp;BB$6,'Job Master'!$F$12:$I$102,4,0))&lt;&gt;7,BK318-VLOOKUP($P318&amp;" | "&amp;BB$6,'Job Master'!$F$12:$I$102,4,0),BK318-VLOOKUP($P318&amp;" | "&amp;BB$6,'Job Master'!$F$12:$I$102,4,0)-1),""),"")</f>
        <v/>
      </c>
      <c r="BE318" s="73"/>
      <c r="BF318" s="123" t="str">
        <f t="shared" si="531"/>
        <v/>
      </c>
      <c r="BG318" s="123" t="str">
        <f t="shared" si="532"/>
        <v/>
      </c>
      <c r="BH318" s="97" t="str">
        <f t="shared" ca="1" si="533"/>
        <v/>
      </c>
      <c r="BI318" s="98" t="str">
        <f>IF(BK318&lt;&gt;"",VLOOKUP($P318&amp;" | "&amp;BI$6,'Job Master'!$F$12:$J$102,5,0),"")</f>
        <v/>
      </c>
      <c r="BJ318" s="19" t="str">
        <f>IF(BK318&lt;&gt;"",VLOOKUP($P318&amp;" | "&amp;BI$6,'Job Master'!$F$12:$J$102,3,0),"")</f>
        <v/>
      </c>
      <c r="BK318" s="19" t="str">
        <f>IFERROR(IF(AND(BR318&lt;&gt;"",VLOOKUP($P318&amp;" | "&amp;BI$6,'Job Master'!$F$12:$I$102,4,0)&lt;&gt;""),IF(WEEKDAY(BR318-VLOOKUP($P318&amp;" | "&amp;BI$6,'Job Master'!$F$12:$I$102,4,0))&lt;&gt;7,BR318-VLOOKUP($P318&amp;" | "&amp;BI$6,'Job Master'!$F$12:$I$102,4,0),BR318-VLOOKUP($P318&amp;" | "&amp;BI$6,'Job Master'!$F$12:$I$102,4,0)-1),""),"")</f>
        <v/>
      </c>
      <c r="BL318" s="73"/>
      <c r="BM318" s="123" t="str">
        <f t="shared" si="534"/>
        <v/>
      </c>
      <c r="BN318" s="123" t="str">
        <f t="shared" si="535"/>
        <v/>
      </c>
      <c r="BO318" s="97" t="str">
        <f t="shared" ca="1" si="536"/>
        <v/>
      </c>
      <c r="BP318" s="98" t="str">
        <f>IF(BR318&lt;&gt;"",VLOOKUP($P318&amp;" | "&amp;BP$6,'Job Master'!$F$12:$J$102,5,0),"")</f>
        <v/>
      </c>
      <c r="BQ318" s="19" t="str">
        <f>IF(BR318&lt;&gt;"",VLOOKUP($P318&amp;" | "&amp;BP$6,'Job Master'!$F$12:$J$102,3,0),"")</f>
        <v/>
      </c>
      <c r="BR318" s="19" t="str">
        <f>IFERROR(IF(AND(BY318&lt;&gt;"",VLOOKUP($P318&amp;" | "&amp;BP$6,'Job Master'!$F$12:$I$102,4,0)&lt;&gt;""),IF(WEEKDAY(BY318-VLOOKUP($P318&amp;" | "&amp;BP$6,'Job Master'!$F$12:$I$102,4,0))&lt;&gt;7,BY318-VLOOKUP($P318&amp;" | "&amp;BP$6,'Job Master'!$F$12:$I$102,4,0),BY318-VLOOKUP($P318&amp;" | "&amp;BP$6,'Job Master'!$F$12:$I$102,4,0)-1),""),"")</f>
        <v/>
      </c>
      <c r="BS318" s="73"/>
      <c r="BT318" s="123" t="str">
        <f t="shared" si="537"/>
        <v/>
      </c>
      <c r="BU318" s="123" t="str">
        <f t="shared" si="538"/>
        <v/>
      </c>
      <c r="BV318" s="97" t="str">
        <f t="shared" ca="1" si="539"/>
        <v/>
      </c>
      <c r="BW318" s="98" t="str">
        <f>IF(BY318&lt;&gt;"",VLOOKUP($P318&amp;" | "&amp;BW$6,'Job Master'!$F$12:$J$102,5,0),"")</f>
        <v/>
      </c>
      <c r="BX318" s="19" t="str">
        <f>IF(BY318&lt;&gt;"",VLOOKUP($P318&amp;" | "&amp;BW$6,'Job Master'!$F$12:$J$102,3,0),"")</f>
        <v/>
      </c>
      <c r="BY318" s="19" t="str">
        <f>IFERROR(IF(AND(CF318&lt;&gt;"",VLOOKUP($P318&amp;" | "&amp;BW$6,'Job Master'!$F$12:$I$102,4,0)&lt;&gt;""),IF(WEEKDAY(CF318-VLOOKUP($P318&amp;" | "&amp;BW$6,'Job Master'!$F$12:$I$102,4,0))&lt;&gt;7,CF318-VLOOKUP($P318&amp;" | "&amp;BW$6,'Job Master'!$F$12:$I$102,4,0),CF318-VLOOKUP($P318&amp;" | "&amp;BW$6,'Job Master'!$F$12:$I$102,4,0)-1),""),"")</f>
        <v/>
      </c>
      <c r="BZ318" s="73"/>
      <c r="CA318" s="123" t="str">
        <f t="shared" si="540"/>
        <v/>
      </c>
      <c r="CB318" s="123" t="str">
        <f t="shared" si="541"/>
        <v/>
      </c>
      <c r="CC318" s="97" t="str">
        <f t="shared" ca="1" si="542"/>
        <v/>
      </c>
      <c r="CD318" s="98" t="str">
        <f>IF(CF318&lt;&gt;"",VLOOKUP($P318&amp;" | "&amp;CD$6,'Job Master'!$F$12:$J$102,5,0),"")</f>
        <v/>
      </c>
      <c r="CE318" s="19" t="str">
        <f>IF(CF318&lt;&gt;"",VLOOKUP($P318&amp;" | "&amp;CD$6,'Job Master'!$F$12:$J$102,3,0),"")</f>
        <v/>
      </c>
      <c r="CF318" s="19" t="str">
        <f>IFERROR(IF(AND(CM318&lt;&gt;"",VLOOKUP($P318&amp;" | "&amp;CD$6,'Job Master'!$F$12:$I$102,4,0)&lt;&gt;""),IF(WEEKDAY(CM318-VLOOKUP($P318&amp;" | "&amp;CD$6,'Job Master'!$F$12:$I$102,4,0))&lt;&gt;7,CM318-VLOOKUP($P318&amp;" | "&amp;CD$6,'Job Master'!$F$12:$I$102,4,0),CM318-VLOOKUP($P318&amp;" | "&amp;CD$6,'Job Master'!$F$12:$I$102,4,0)-1),""),"")</f>
        <v/>
      </c>
      <c r="CG318" s="73"/>
      <c r="CH318" s="123" t="str">
        <f t="shared" si="543"/>
        <v/>
      </c>
      <c r="CI318" s="123" t="str">
        <f t="shared" si="544"/>
        <v/>
      </c>
      <c r="CJ318" s="97" t="str">
        <f t="shared" ca="1" si="545"/>
        <v/>
      </c>
      <c r="CK318" s="98" t="str">
        <f>IF(CM318&lt;&gt;"",VLOOKUP($P318&amp;" | "&amp;CK$6,'Job Master'!$F$12:$J$102,5,0),"")</f>
        <v/>
      </c>
      <c r="CL318" s="19" t="str">
        <f>IF(CM318&lt;&gt;"",VLOOKUP($P318&amp;" | "&amp;CK$6,'Job Master'!$F$12:$J$102,3,0),"")</f>
        <v/>
      </c>
      <c r="CM318" s="19" t="str">
        <f>IFERROR(IF(AND(CT318&lt;&gt;"",VLOOKUP($P318&amp;" | "&amp;CK$6,'Job Master'!$F$12:$I$102,4,0)&lt;&gt;""),IF(WEEKDAY(CT318-VLOOKUP($P318&amp;" | "&amp;CK$6,'Job Master'!$F$12:$I$102,4,0))&lt;&gt;7,CT318-VLOOKUP($P318&amp;" | "&amp;CK$6,'Job Master'!$F$12:$I$102,4,0),CT318-VLOOKUP($P318&amp;" | "&amp;CK$6,'Job Master'!$F$12:$I$102,4,0)-1),""),"")</f>
        <v/>
      </c>
      <c r="CN318" s="73"/>
      <c r="CO318" s="123" t="str">
        <f t="shared" si="546"/>
        <v/>
      </c>
      <c r="CP318" s="123" t="str">
        <f t="shared" si="547"/>
        <v/>
      </c>
      <c r="CQ318" s="97" t="str">
        <f t="shared" ca="1" si="548"/>
        <v/>
      </c>
      <c r="CR318" s="98" t="str">
        <f>IF(CT318&lt;&gt;"",VLOOKUP($P318&amp;" | "&amp;CR$6,'Job Master'!$F$12:$J$102,5,0),"")</f>
        <v/>
      </c>
      <c r="CS318" s="19" t="str">
        <f>IF(CT318&lt;&gt;"",VLOOKUP($P318&amp;" | "&amp;CR$6,'Job Master'!$F$12:$J$102,3,0),"")</f>
        <v/>
      </c>
      <c r="CT318" s="19" t="str">
        <f>IFERROR(IF(AND(DA318&lt;&gt;"",VLOOKUP($P318&amp;" | "&amp;CR$6,'Job Master'!$F$12:$I$102,4,0)&lt;&gt;""),IF(WEEKDAY(DA318-VLOOKUP($P318&amp;" | "&amp;CR$6,'Job Master'!$F$12:$I$102,4,0))&lt;&gt;7,DA318-VLOOKUP($P318&amp;" | "&amp;CR$6,'Job Master'!$F$12:$I$102,4,0),DA318-VLOOKUP($P318&amp;" | "&amp;CR$6,'Job Master'!$F$12:$I$102,4,0)-1),""),"")</f>
        <v/>
      </c>
      <c r="CU318" s="73"/>
      <c r="CV318" s="123" t="str">
        <f t="shared" si="549"/>
        <v/>
      </c>
      <c r="CW318" s="123" t="str">
        <f t="shared" si="550"/>
        <v/>
      </c>
      <c r="CX318" s="97" t="str">
        <f t="shared" ca="1" si="551"/>
        <v/>
      </c>
      <c r="CY318" s="98" t="str">
        <f>IF(DA318&lt;&gt;"",VLOOKUP($P318&amp;" | "&amp;CY$6,'Job Master'!$F$12:$J$102,5,0),"")</f>
        <v/>
      </c>
      <c r="CZ318" s="19" t="str">
        <f>IF(DA318&lt;&gt;"",VLOOKUP($P318&amp;" | "&amp;CY$6,'Job Master'!$F$12:$J$102,3,0),"")</f>
        <v/>
      </c>
      <c r="DA318" s="19" t="str">
        <f>IFERROR(IF(AND(DH318&lt;&gt;"",VLOOKUP($P318&amp;" | "&amp;CY$6,'Job Master'!$F$12:$I$102,4,0)&lt;&gt;""),IF(WEEKDAY(DH318-VLOOKUP($P318&amp;" | "&amp;CY$6,'Job Master'!$F$12:$I$102,4,0))&lt;&gt;7,DH318-VLOOKUP($P318&amp;" | "&amp;CY$6,'Job Master'!$F$12:$I$102,4,0),DH318-VLOOKUP($P318&amp;" | "&amp;CY$6,'Job Master'!$F$12:$I$102,4,0)-1),""),"")</f>
        <v/>
      </c>
      <c r="DB318" s="73"/>
      <c r="DC318" s="123" t="str">
        <f t="shared" si="552"/>
        <v/>
      </c>
      <c r="DD318" s="123" t="str">
        <f t="shared" si="553"/>
        <v/>
      </c>
      <c r="DE318" s="97" t="str">
        <f t="shared" ca="1" si="554"/>
        <v/>
      </c>
      <c r="DF318" s="98" t="str">
        <f>IF(DH318&lt;&gt;"",VLOOKUP($P318&amp;" | "&amp;DF$6,'Job Master'!$F$12:$J$102,5,0),"")</f>
        <v/>
      </c>
      <c r="DG318" s="19" t="str">
        <f>IF(DH318&lt;&gt;"",VLOOKUP($P318&amp;" | "&amp;DF$6,'Job Master'!$F$12:$J$102,3,0),"")</f>
        <v/>
      </c>
      <c r="DH318" s="19" t="str">
        <f>IFERROR(IF(AND(DO318&lt;&gt;"",VLOOKUP($P318&amp;" | "&amp;DF$6,'Job Master'!$F$12:$I$102,4,0)&lt;&gt;""),IF(WEEKDAY(DO318-VLOOKUP($P318&amp;" | "&amp;DF$6,'Job Master'!$F$12:$I$102,4,0))&lt;&gt;7,DO318-VLOOKUP($P318&amp;" | "&amp;DF$6,'Job Master'!$F$12:$I$102,4,0),DO318-VLOOKUP($P318&amp;" | "&amp;DF$6,'Job Master'!$F$12:$I$102,4,0)-1),""),"")</f>
        <v/>
      </c>
      <c r="DI318" s="73"/>
      <c r="DJ318" s="123" t="str">
        <f t="shared" si="555"/>
        <v/>
      </c>
      <c r="DK318" s="123" t="str">
        <f t="shared" si="556"/>
        <v/>
      </c>
      <c r="DL318" s="97" t="str">
        <f t="shared" ca="1" si="557"/>
        <v/>
      </c>
      <c r="DM318" s="98" t="str">
        <f>IF(DO318&lt;&gt;"",VLOOKUP($P318&amp;" | "&amp;DM$6,'Job Master'!$F$12:$J$102,5,0),"")</f>
        <v/>
      </c>
      <c r="DN318" s="19" t="str">
        <f>IF(DO318&lt;&gt;"",VLOOKUP($P318&amp;" | "&amp;DM$6,'Job Master'!$F$12:$J$102,3,0),"")</f>
        <v/>
      </c>
      <c r="DO318" s="19" t="str">
        <f>IFERROR(IF(AND(DT318&lt;&gt;"",VLOOKUP($P318&amp;" | "&amp;DM$6,'Job Master'!$F$12:$I$102,4,0)&lt;&gt;""),IF(WEEKDAY(DT318-VLOOKUP($P318&amp;" | "&amp;DM$6,'Job Master'!$F$12:$I$102,4,0))&lt;&gt;7,DT318-VLOOKUP($P318&amp;" | "&amp;DM$6,'Job Master'!$F$12:$I$102,4,0),DT318-VLOOKUP($P318&amp;" | "&amp;DM$6,'Job Master'!$F$12:$I$102,4,0)-1),""),"")</f>
        <v/>
      </c>
      <c r="DP318" s="73"/>
      <c r="DQ318" s="123" t="str">
        <f t="shared" si="558"/>
        <v/>
      </c>
      <c r="DR318" s="123" t="str">
        <f t="shared" si="559"/>
        <v/>
      </c>
      <c r="DS318" s="97" t="str">
        <f t="shared" ca="1" si="560"/>
        <v/>
      </c>
      <c r="DT318" s="70" t="str">
        <f t="shared" si="561"/>
        <v/>
      </c>
      <c r="DU318" s="90"/>
      <c r="DV318" s="123" t="str">
        <f t="shared" si="562"/>
        <v/>
      </c>
      <c r="DW318" s="123" t="str">
        <f t="shared" si="563"/>
        <v/>
      </c>
      <c r="DX318" s="132" t="str">
        <f t="shared" ref="DX318" ca="1" si="627">IF(DT318&lt;&gt;"",IF(WEEKNUM(DT318)=WEEKNUM(TODAY()),"This Week",IF(WEEKNUM(DT318)=WEEKNUM(TODAY())+1,"Next Week",IF(WEEKNUM(DT318)=WEEKNUM(TODAY())-1,"Previous Week",""))),"")</f>
        <v/>
      </c>
      <c r="DY318" s="134" t="str">
        <f t="shared" si="565"/>
        <v/>
      </c>
      <c r="DZ318" s="95"/>
      <c r="EB318" s="8" t="str">
        <f t="shared" si="571"/>
        <v/>
      </c>
      <c r="EC318" s="8" t="str">
        <f>IF(O318&lt;&gt;"",VLOOKUP(O318,'Job Master'!$N$12:$O$18,2,0),"")</f>
        <v/>
      </c>
      <c r="ED318" s="8">
        <f t="shared" si="572"/>
        <v>19.5</v>
      </c>
      <c r="EE318" s="8">
        <f t="shared" si="573"/>
        <v>6</v>
      </c>
      <c r="EF318" s="8">
        <f t="shared" si="574"/>
        <v>-1828.5</v>
      </c>
      <c r="EG318" s="8" t="str">
        <f t="shared" si="575"/>
        <v/>
      </c>
      <c r="EH318" s="8" t="str">
        <f t="shared" si="576"/>
        <v/>
      </c>
    </row>
    <row r="319" spans="2:138" x14ac:dyDescent="0.3">
      <c r="B319" s="112"/>
      <c r="C319" s="27"/>
      <c r="D319" s="7" t="str">
        <f t="shared" si="513"/>
        <v/>
      </c>
      <c r="E319" s="25"/>
      <c r="F319" s="7" t="str">
        <f t="shared" si="513"/>
        <v/>
      </c>
      <c r="G319" s="25"/>
      <c r="H319" s="7" t="str">
        <f t="shared" si="513"/>
        <v/>
      </c>
      <c r="I319" s="25"/>
      <c r="J319" s="7" t="str">
        <f t="shared" si="513"/>
        <v/>
      </c>
      <c r="K319" s="25"/>
      <c r="L319" s="7" t="str">
        <f t="shared" si="514"/>
        <v/>
      </c>
      <c r="M319" s="25"/>
      <c r="N319" s="7" t="str">
        <f t="shared" si="515"/>
        <v/>
      </c>
      <c r="O319" s="81"/>
      <c r="P319" s="81" t="str">
        <f t="shared" si="516"/>
        <v/>
      </c>
      <c r="Q319" s="81"/>
      <c r="R319" s="7" t="str">
        <f t="shared" si="517"/>
        <v/>
      </c>
      <c r="S319" s="25"/>
      <c r="T319" s="7" t="str">
        <f t="shared" si="518"/>
        <v/>
      </c>
      <c r="U319" s="25"/>
      <c r="V319" s="7" t="str">
        <f t="shared" si="519"/>
        <v/>
      </c>
      <c r="W319" s="25"/>
      <c r="X319" s="7" t="str">
        <f t="shared" si="520"/>
        <v/>
      </c>
      <c r="Y319" s="18" t="str">
        <f t="shared" si="521"/>
        <v/>
      </c>
      <c r="Z319" s="7" t="str">
        <f t="shared" si="522"/>
        <v/>
      </c>
      <c r="AA319" s="18" t="str">
        <f t="shared" si="523"/>
        <v/>
      </c>
      <c r="AB319" s="19" t="str">
        <f t="shared" si="524"/>
        <v/>
      </c>
      <c r="AC319" s="26"/>
      <c r="AD319" s="26"/>
      <c r="AE319" s="25"/>
      <c r="AF319" s="26"/>
      <c r="AG319" s="25"/>
      <c r="AH319" s="25"/>
      <c r="AI319" s="18" t="str">
        <f t="shared" si="587"/>
        <v/>
      </c>
      <c r="AJ319" s="25"/>
      <c r="AK319" s="18" t="str">
        <f t="shared" si="588"/>
        <v/>
      </c>
      <c r="AL319" s="79"/>
      <c r="AM319" s="126" t="str">
        <f t="shared" si="589"/>
        <v/>
      </c>
      <c r="AN319" s="128" t="str">
        <f>IF(AP319&lt;&gt;"",VLOOKUP($P319&amp;" | "&amp;AN$6,'Job Master'!$F$12:$J$102,5,0),"")</f>
        <v/>
      </c>
      <c r="AO319" s="19" t="str">
        <f>IF(AP319&lt;&gt;"",VLOOKUP($P319&amp;" | "&amp;AN$6,'Job Master'!$F$12:$J$102,3,0),"")</f>
        <v/>
      </c>
      <c r="AP319" s="19" t="str">
        <f>IFERROR(IF(AND(AW319&lt;&gt;"",VLOOKUP($P319&amp;" | "&amp;AN$6,'Job Master'!$F$12:$I$102,4,0)&lt;&gt;""),IF(WEEKDAY(AW319-VLOOKUP($P319&amp;" | "&amp;AN$6,'Job Master'!$F$12:$I$102,4,0))&lt;&gt;7,AW319-VLOOKUP($P319&amp;" | "&amp;AN$6,'Job Master'!$F$12:$I$102,4,0),AW319-VLOOKUP($P319&amp;" | "&amp;AN$6,'Job Master'!$F$12:$I$102,4,0)-1),""),"")</f>
        <v/>
      </c>
      <c r="AQ319" s="73"/>
      <c r="AR319" s="123" t="str">
        <f t="shared" si="525"/>
        <v/>
      </c>
      <c r="AS319" s="123" t="str">
        <f t="shared" si="526"/>
        <v/>
      </c>
      <c r="AT319" s="97" t="str">
        <f t="shared" ca="1" si="527"/>
        <v/>
      </c>
      <c r="AU319" s="98" t="str">
        <f>IF(AW319&lt;&gt;"",VLOOKUP($P319&amp;" | "&amp;AU$6,'Job Master'!$F$12:$J$102,5,0),"")</f>
        <v/>
      </c>
      <c r="AV319" s="19" t="str">
        <f>IF(AW319&lt;&gt;"",VLOOKUP($P319&amp;" | "&amp;AU$6,'Job Master'!$F$12:$J$102,3,0),"")</f>
        <v/>
      </c>
      <c r="AW319" s="19" t="str">
        <f>IFERROR(IF(AND(BD319&lt;&gt;"",VLOOKUP($P319&amp;" | "&amp;AU$6,'Job Master'!$F$12:$I$102,4,0)&lt;&gt;""),IF(WEEKDAY(BD319-VLOOKUP($P319&amp;" | "&amp;AU$6,'Job Master'!$F$12:$I$102,4,0))&lt;&gt;7,BD319-VLOOKUP($P319&amp;" | "&amp;AU$6,'Job Master'!$F$12:$I$102,4,0),BD319-VLOOKUP($P319&amp;" | "&amp;AU$6,'Job Master'!$F$12:$I$102,4,0)-1),""),"")</f>
        <v/>
      </c>
      <c r="AX319" s="73"/>
      <c r="AY319" s="123" t="str">
        <f t="shared" si="528"/>
        <v/>
      </c>
      <c r="AZ319" s="123" t="str">
        <f t="shared" si="529"/>
        <v/>
      </c>
      <c r="BA319" s="97" t="str">
        <f t="shared" ca="1" si="530"/>
        <v/>
      </c>
      <c r="BB319" s="98" t="str">
        <f>IF(BD319&lt;&gt;"",VLOOKUP($P319&amp;" | "&amp;BB$6,'Job Master'!$F$12:$J$102,5,0),"")</f>
        <v/>
      </c>
      <c r="BC319" s="19" t="str">
        <f>IF(BD319&lt;&gt;"",VLOOKUP($P319&amp;" | "&amp;BB$6,'Job Master'!$F$12:$J$102,3,0),"")</f>
        <v/>
      </c>
      <c r="BD319" s="19" t="str">
        <f>IFERROR(IF(AND(BK319&lt;&gt;"",VLOOKUP($P319&amp;" | "&amp;BB$6,'Job Master'!$F$12:$I$102,4,0)&lt;&gt;""),IF(WEEKDAY(BK319-VLOOKUP($P319&amp;" | "&amp;BB$6,'Job Master'!$F$12:$I$102,4,0))&lt;&gt;7,BK319-VLOOKUP($P319&amp;" | "&amp;BB$6,'Job Master'!$F$12:$I$102,4,0),BK319-VLOOKUP($P319&amp;" | "&amp;BB$6,'Job Master'!$F$12:$I$102,4,0)-1),""),"")</f>
        <v/>
      </c>
      <c r="BE319" s="73"/>
      <c r="BF319" s="123" t="str">
        <f t="shared" si="531"/>
        <v/>
      </c>
      <c r="BG319" s="123" t="str">
        <f t="shared" si="532"/>
        <v/>
      </c>
      <c r="BH319" s="97" t="str">
        <f t="shared" ca="1" si="533"/>
        <v/>
      </c>
      <c r="BI319" s="98" t="str">
        <f>IF(BK319&lt;&gt;"",VLOOKUP($P319&amp;" | "&amp;BI$6,'Job Master'!$F$12:$J$102,5,0),"")</f>
        <v/>
      </c>
      <c r="BJ319" s="19" t="str">
        <f>IF(BK319&lt;&gt;"",VLOOKUP($P319&amp;" | "&amp;BI$6,'Job Master'!$F$12:$J$102,3,0),"")</f>
        <v/>
      </c>
      <c r="BK319" s="19" t="str">
        <f>IFERROR(IF(AND(BR319&lt;&gt;"",VLOOKUP($P319&amp;" | "&amp;BI$6,'Job Master'!$F$12:$I$102,4,0)&lt;&gt;""),IF(WEEKDAY(BR319-VLOOKUP($P319&amp;" | "&amp;BI$6,'Job Master'!$F$12:$I$102,4,0))&lt;&gt;7,BR319-VLOOKUP($P319&amp;" | "&amp;BI$6,'Job Master'!$F$12:$I$102,4,0),BR319-VLOOKUP($P319&amp;" | "&amp;BI$6,'Job Master'!$F$12:$I$102,4,0)-1),""),"")</f>
        <v/>
      </c>
      <c r="BL319" s="73"/>
      <c r="BM319" s="123" t="str">
        <f t="shared" si="534"/>
        <v/>
      </c>
      <c r="BN319" s="123" t="str">
        <f t="shared" si="535"/>
        <v/>
      </c>
      <c r="BO319" s="97" t="str">
        <f t="shared" ca="1" si="536"/>
        <v/>
      </c>
      <c r="BP319" s="98" t="str">
        <f>IF(BR319&lt;&gt;"",VLOOKUP($P319&amp;" | "&amp;BP$6,'Job Master'!$F$12:$J$102,5,0),"")</f>
        <v/>
      </c>
      <c r="BQ319" s="19" t="str">
        <f>IF(BR319&lt;&gt;"",VLOOKUP($P319&amp;" | "&amp;BP$6,'Job Master'!$F$12:$J$102,3,0),"")</f>
        <v/>
      </c>
      <c r="BR319" s="19" t="str">
        <f>IFERROR(IF(AND(BY319&lt;&gt;"",VLOOKUP($P319&amp;" | "&amp;BP$6,'Job Master'!$F$12:$I$102,4,0)&lt;&gt;""),IF(WEEKDAY(BY319-VLOOKUP($P319&amp;" | "&amp;BP$6,'Job Master'!$F$12:$I$102,4,0))&lt;&gt;7,BY319-VLOOKUP($P319&amp;" | "&amp;BP$6,'Job Master'!$F$12:$I$102,4,0),BY319-VLOOKUP($P319&amp;" | "&amp;BP$6,'Job Master'!$F$12:$I$102,4,0)-1),""),"")</f>
        <v/>
      </c>
      <c r="BS319" s="73"/>
      <c r="BT319" s="123" t="str">
        <f t="shared" si="537"/>
        <v/>
      </c>
      <c r="BU319" s="123" t="str">
        <f t="shared" si="538"/>
        <v/>
      </c>
      <c r="BV319" s="97" t="str">
        <f t="shared" ca="1" si="539"/>
        <v/>
      </c>
      <c r="BW319" s="98" t="str">
        <f>IF(BY319&lt;&gt;"",VLOOKUP($P319&amp;" | "&amp;BW$6,'Job Master'!$F$12:$J$102,5,0),"")</f>
        <v/>
      </c>
      <c r="BX319" s="19" t="str">
        <f>IF(BY319&lt;&gt;"",VLOOKUP($P319&amp;" | "&amp;BW$6,'Job Master'!$F$12:$J$102,3,0),"")</f>
        <v/>
      </c>
      <c r="BY319" s="19" t="str">
        <f>IFERROR(IF(AND(CF319&lt;&gt;"",VLOOKUP($P319&amp;" | "&amp;BW$6,'Job Master'!$F$12:$I$102,4,0)&lt;&gt;""),IF(WEEKDAY(CF319-VLOOKUP($P319&amp;" | "&amp;BW$6,'Job Master'!$F$12:$I$102,4,0))&lt;&gt;7,CF319-VLOOKUP($P319&amp;" | "&amp;BW$6,'Job Master'!$F$12:$I$102,4,0),CF319-VLOOKUP($P319&amp;" | "&amp;BW$6,'Job Master'!$F$12:$I$102,4,0)-1),""),"")</f>
        <v/>
      </c>
      <c r="BZ319" s="73"/>
      <c r="CA319" s="123" t="str">
        <f t="shared" si="540"/>
        <v/>
      </c>
      <c r="CB319" s="123" t="str">
        <f t="shared" si="541"/>
        <v/>
      </c>
      <c r="CC319" s="97" t="str">
        <f t="shared" ca="1" si="542"/>
        <v/>
      </c>
      <c r="CD319" s="98" t="str">
        <f>IF(CF319&lt;&gt;"",VLOOKUP($P319&amp;" | "&amp;CD$6,'Job Master'!$F$12:$J$102,5,0),"")</f>
        <v/>
      </c>
      <c r="CE319" s="19" t="str">
        <f>IF(CF319&lt;&gt;"",VLOOKUP($P319&amp;" | "&amp;CD$6,'Job Master'!$F$12:$J$102,3,0),"")</f>
        <v/>
      </c>
      <c r="CF319" s="19" t="str">
        <f>IFERROR(IF(AND(CM319&lt;&gt;"",VLOOKUP($P319&amp;" | "&amp;CD$6,'Job Master'!$F$12:$I$102,4,0)&lt;&gt;""),IF(WEEKDAY(CM319-VLOOKUP($P319&amp;" | "&amp;CD$6,'Job Master'!$F$12:$I$102,4,0))&lt;&gt;7,CM319-VLOOKUP($P319&amp;" | "&amp;CD$6,'Job Master'!$F$12:$I$102,4,0),CM319-VLOOKUP($P319&amp;" | "&amp;CD$6,'Job Master'!$F$12:$I$102,4,0)-1),""),"")</f>
        <v/>
      </c>
      <c r="CG319" s="73"/>
      <c r="CH319" s="123" t="str">
        <f t="shared" si="543"/>
        <v/>
      </c>
      <c r="CI319" s="123" t="str">
        <f t="shared" si="544"/>
        <v/>
      </c>
      <c r="CJ319" s="97" t="str">
        <f t="shared" ca="1" si="545"/>
        <v/>
      </c>
      <c r="CK319" s="98" t="str">
        <f>IF(CM319&lt;&gt;"",VLOOKUP($P319&amp;" | "&amp;CK$6,'Job Master'!$F$12:$J$102,5,0),"")</f>
        <v/>
      </c>
      <c r="CL319" s="19" t="str">
        <f>IF(CM319&lt;&gt;"",VLOOKUP($P319&amp;" | "&amp;CK$6,'Job Master'!$F$12:$J$102,3,0),"")</f>
        <v/>
      </c>
      <c r="CM319" s="19" t="str">
        <f>IFERROR(IF(AND(CT319&lt;&gt;"",VLOOKUP($P319&amp;" | "&amp;CK$6,'Job Master'!$F$12:$I$102,4,0)&lt;&gt;""),IF(WEEKDAY(CT319-VLOOKUP($P319&amp;" | "&amp;CK$6,'Job Master'!$F$12:$I$102,4,0))&lt;&gt;7,CT319-VLOOKUP($P319&amp;" | "&amp;CK$6,'Job Master'!$F$12:$I$102,4,0),CT319-VLOOKUP($P319&amp;" | "&amp;CK$6,'Job Master'!$F$12:$I$102,4,0)-1),""),"")</f>
        <v/>
      </c>
      <c r="CN319" s="73"/>
      <c r="CO319" s="123" t="str">
        <f t="shared" si="546"/>
        <v/>
      </c>
      <c r="CP319" s="123" t="str">
        <f t="shared" si="547"/>
        <v/>
      </c>
      <c r="CQ319" s="97" t="str">
        <f t="shared" ca="1" si="548"/>
        <v/>
      </c>
      <c r="CR319" s="98" t="str">
        <f>IF(CT319&lt;&gt;"",VLOOKUP($P319&amp;" | "&amp;CR$6,'Job Master'!$F$12:$J$102,5,0),"")</f>
        <v/>
      </c>
      <c r="CS319" s="19" t="str">
        <f>IF(CT319&lt;&gt;"",VLOOKUP($P319&amp;" | "&amp;CR$6,'Job Master'!$F$12:$J$102,3,0),"")</f>
        <v/>
      </c>
      <c r="CT319" s="19" t="str">
        <f>IFERROR(IF(AND(DA319&lt;&gt;"",VLOOKUP($P319&amp;" | "&amp;CR$6,'Job Master'!$F$12:$I$102,4,0)&lt;&gt;""),IF(WEEKDAY(DA319-VLOOKUP($P319&amp;" | "&amp;CR$6,'Job Master'!$F$12:$I$102,4,0))&lt;&gt;7,DA319-VLOOKUP($P319&amp;" | "&amp;CR$6,'Job Master'!$F$12:$I$102,4,0),DA319-VLOOKUP($P319&amp;" | "&amp;CR$6,'Job Master'!$F$12:$I$102,4,0)-1),""),"")</f>
        <v/>
      </c>
      <c r="CU319" s="73"/>
      <c r="CV319" s="123" t="str">
        <f t="shared" si="549"/>
        <v/>
      </c>
      <c r="CW319" s="123" t="str">
        <f t="shared" si="550"/>
        <v/>
      </c>
      <c r="CX319" s="97" t="str">
        <f t="shared" ca="1" si="551"/>
        <v/>
      </c>
      <c r="CY319" s="98" t="str">
        <f>IF(DA319&lt;&gt;"",VLOOKUP($P319&amp;" | "&amp;CY$6,'Job Master'!$F$12:$J$102,5,0),"")</f>
        <v/>
      </c>
      <c r="CZ319" s="19" t="str">
        <f>IF(DA319&lt;&gt;"",VLOOKUP($P319&amp;" | "&amp;CY$6,'Job Master'!$F$12:$J$102,3,0),"")</f>
        <v/>
      </c>
      <c r="DA319" s="19" t="str">
        <f>IFERROR(IF(AND(DH319&lt;&gt;"",VLOOKUP($P319&amp;" | "&amp;CY$6,'Job Master'!$F$12:$I$102,4,0)&lt;&gt;""),IF(WEEKDAY(DH319-VLOOKUP($P319&amp;" | "&amp;CY$6,'Job Master'!$F$12:$I$102,4,0))&lt;&gt;7,DH319-VLOOKUP($P319&amp;" | "&amp;CY$6,'Job Master'!$F$12:$I$102,4,0),DH319-VLOOKUP($P319&amp;" | "&amp;CY$6,'Job Master'!$F$12:$I$102,4,0)-1),""),"")</f>
        <v/>
      </c>
      <c r="DB319" s="73"/>
      <c r="DC319" s="123" t="str">
        <f t="shared" si="552"/>
        <v/>
      </c>
      <c r="DD319" s="123" t="str">
        <f t="shared" si="553"/>
        <v/>
      </c>
      <c r="DE319" s="97" t="str">
        <f t="shared" ca="1" si="554"/>
        <v/>
      </c>
      <c r="DF319" s="98" t="str">
        <f>IF(DH319&lt;&gt;"",VLOOKUP($P319&amp;" | "&amp;DF$6,'Job Master'!$F$12:$J$102,5,0),"")</f>
        <v/>
      </c>
      <c r="DG319" s="19" t="str">
        <f>IF(DH319&lt;&gt;"",VLOOKUP($P319&amp;" | "&amp;DF$6,'Job Master'!$F$12:$J$102,3,0),"")</f>
        <v/>
      </c>
      <c r="DH319" s="19" t="str">
        <f>IFERROR(IF(AND(DO319&lt;&gt;"",VLOOKUP($P319&amp;" | "&amp;DF$6,'Job Master'!$F$12:$I$102,4,0)&lt;&gt;""),IF(WEEKDAY(DO319-VLOOKUP($P319&amp;" | "&amp;DF$6,'Job Master'!$F$12:$I$102,4,0))&lt;&gt;7,DO319-VLOOKUP($P319&amp;" | "&amp;DF$6,'Job Master'!$F$12:$I$102,4,0),DO319-VLOOKUP($P319&amp;" | "&amp;DF$6,'Job Master'!$F$12:$I$102,4,0)-1),""),"")</f>
        <v/>
      </c>
      <c r="DI319" s="73"/>
      <c r="DJ319" s="123" t="str">
        <f t="shared" si="555"/>
        <v/>
      </c>
      <c r="DK319" s="123" t="str">
        <f t="shared" si="556"/>
        <v/>
      </c>
      <c r="DL319" s="97" t="str">
        <f t="shared" ca="1" si="557"/>
        <v/>
      </c>
      <c r="DM319" s="98" t="str">
        <f>IF(DO319&lt;&gt;"",VLOOKUP($P319&amp;" | "&amp;DM$6,'Job Master'!$F$12:$J$102,5,0),"")</f>
        <v/>
      </c>
      <c r="DN319" s="19" t="str">
        <f>IF(DO319&lt;&gt;"",VLOOKUP($P319&amp;" | "&amp;DM$6,'Job Master'!$F$12:$J$102,3,0),"")</f>
        <v/>
      </c>
      <c r="DO319" s="19" t="str">
        <f>IFERROR(IF(AND(DT319&lt;&gt;"",VLOOKUP($P319&amp;" | "&amp;DM$6,'Job Master'!$F$12:$I$102,4,0)&lt;&gt;""),IF(WEEKDAY(DT319-VLOOKUP($P319&amp;" | "&amp;DM$6,'Job Master'!$F$12:$I$102,4,0))&lt;&gt;7,DT319-VLOOKUP($P319&amp;" | "&amp;DM$6,'Job Master'!$F$12:$I$102,4,0),DT319-VLOOKUP($P319&amp;" | "&amp;DM$6,'Job Master'!$F$12:$I$102,4,0)-1),""),"")</f>
        <v/>
      </c>
      <c r="DP319" s="73"/>
      <c r="DQ319" s="123" t="str">
        <f t="shared" si="558"/>
        <v/>
      </c>
      <c r="DR319" s="123" t="str">
        <f t="shared" si="559"/>
        <v/>
      </c>
      <c r="DS319" s="97" t="str">
        <f t="shared" ca="1" si="560"/>
        <v/>
      </c>
      <c r="DT319" s="70" t="str">
        <f t="shared" si="561"/>
        <v/>
      </c>
      <c r="DU319" s="90"/>
      <c r="DV319" s="123" t="str">
        <f t="shared" si="562"/>
        <v/>
      </c>
      <c r="DW319" s="123" t="str">
        <f t="shared" si="563"/>
        <v/>
      </c>
      <c r="DX319" s="132" t="str">
        <f t="shared" ref="DX319" ca="1" si="628">IF(DT319&lt;&gt;"",IF(WEEKNUM(DT319)=WEEKNUM(TODAY()),"This Week",IF(WEEKNUM(DT319)=WEEKNUM(TODAY())+1,"Next Week",IF(WEEKNUM(DT319)=WEEKNUM(TODAY())-1,"Previous Week",""))),"")</f>
        <v/>
      </c>
      <c r="DY319" s="134" t="str">
        <f t="shared" si="565"/>
        <v/>
      </c>
      <c r="DZ319" s="95"/>
      <c r="EB319" s="8" t="str">
        <f t="shared" si="571"/>
        <v/>
      </c>
      <c r="EC319" s="8" t="str">
        <f>IF(O319&lt;&gt;"",VLOOKUP(O319,'Job Master'!$N$12:$O$18,2,0),"")</f>
        <v/>
      </c>
      <c r="ED319" s="8">
        <f t="shared" si="572"/>
        <v>19.5</v>
      </c>
      <c r="EE319" s="8">
        <f t="shared" si="573"/>
        <v>6</v>
      </c>
      <c r="EF319" s="8">
        <f t="shared" si="574"/>
        <v>-1834.5</v>
      </c>
      <c r="EG319" s="8" t="str">
        <f t="shared" si="575"/>
        <v/>
      </c>
      <c r="EH319" s="8" t="str">
        <f t="shared" si="576"/>
        <v/>
      </c>
    </row>
    <row r="320" spans="2:138" x14ac:dyDescent="0.3">
      <c r="B320" s="112"/>
      <c r="C320" s="27"/>
      <c r="D320" s="7" t="str">
        <f t="shared" si="513"/>
        <v/>
      </c>
      <c r="E320" s="25"/>
      <c r="F320" s="7" t="str">
        <f t="shared" si="513"/>
        <v/>
      </c>
      <c r="G320" s="25"/>
      <c r="H320" s="7" t="str">
        <f t="shared" si="513"/>
        <v/>
      </c>
      <c r="I320" s="25"/>
      <c r="J320" s="7" t="str">
        <f t="shared" si="513"/>
        <v/>
      </c>
      <c r="K320" s="25"/>
      <c r="L320" s="7" t="str">
        <f t="shared" si="514"/>
        <v/>
      </c>
      <c r="M320" s="25"/>
      <c r="N320" s="7" t="str">
        <f t="shared" si="515"/>
        <v/>
      </c>
      <c r="O320" s="81"/>
      <c r="P320" s="81" t="str">
        <f t="shared" si="516"/>
        <v/>
      </c>
      <c r="Q320" s="81"/>
      <c r="R320" s="7" t="str">
        <f t="shared" si="517"/>
        <v/>
      </c>
      <c r="S320" s="25"/>
      <c r="T320" s="7" t="str">
        <f t="shared" si="518"/>
        <v/>
      </c>
      <c r="U320" s="25"/>
      <c r="V320" s="7" t="str">
        <f t="shared" si="519"/>
        <v/>
      </c>
      <c r="W320" s="25"/>
      <c r="X320" s="7" t="str">
        <f t="shared" si="520"/>
        <v/>
      </c>
      <c r="Y320" s="18" t="str">
        <f t="shared" si="521"/>
        <v/>
      </c>
      <c r="Z320" s="7" t="str">
        <f t="shared" si="522"/>
        <v/>
      </c>
      <c r="AA320" s="18" t="str">
        <f t="shared" si="523"/>
        <v/>
      </c>
      <c r="AB320" s="19" t="str">
        <f t="shared" si="524"/>
        <v/>
      </c>
      <c r="AC320" s="26"/>
      <c r="AD320" s="26"/>
      <c r="AE320" s="25"/>
      <c r="AF320" s="26"/>
      <c r="AG320" s="25"/>
      <c r="AH320" s="25"/>
      <c r="AI320" s="18" t="str">
        <f t="shared" si="587"/>
        <v/>
      </c>
      <c r="AJ320" s="25"/>
      <c r="AK320" s="18" t="str">
        <f t="shared" si="588"/>
        <v/>
      </c>
      <c r="AL320" s="79"/>
      <c r="AM320" s="126" t="str">
        <f t="shared" si="589"/>
        <v/>
      </c>
      <c r="AN320" s="128" t="str">
        <f>IF(AP320&lt;&gt;"",VLOOKUP($P320&amp;" | "&amp;AN$6,'Job Master'!$F$12:$J$102,5,0),"")</f>
        <v/>
      </c>
      <c r="AO320" s="19" t="str">
        <f>IF(AP320&lt;&gt;"",VLOOKUP($P320&amp;" | "&amp;AN$6,'Job Master'!$F$12:$J$102,3,0),"")</f>
        <v/>
      </c>
      <c r="AP320" s="19" t="str">
        <f>IFERROR(IF(AND(AW320&lt;&gt;"",VLOOKUP($P320&amp;" | "&amp;AN$6,'Job Master'!$F$12:$I$102,4,0)&lt;&gt;""),IF(WEEKDAY(AW320-VLOOKUP($P320&amp;" | "&amp;AN$6,'Job Master'!$F$12:$I$102,4,0))&lt;&gt;7,AW320-VLOOKUP($P320&amp;" | "&amp;AN$6,'Job Master'!$F$12:$I$102,4,0),AW320-VLOOKUP($P320&amp;" | "&amp;AN$6,'Job Master'!$F$12:$I$102,4,0)-1),""),"")</f>
        <v/>
      </c>
      <c r="AQ320" s="73"/>
      <c r="AR320" s="123" t="str">
        <f t="shared" si="525"/>
        <v/>
      </c>
      <c r="AS320" s="123" t="str">
        <f t="shared" si="526"/>
        <v/>
      </c>
      <c r="AT320" s="97" t="str">
        <f t="shared" ca="1" si="527"/>
        <v/>
      </c>
      <c r="AU320" s="98" t="str">
        <f>IF(AW320&lt;&gt;"",VLOOKUP($P320&amp;" | "&amp;AU$6,'Job Master'!$F$12:$J$102,5,0),"")</f>
        <v/>
      </c>
      <c r="AV320" s="19" t="str">
        <f>IF(AW320&lt;&gt;"",VLOOKUP($P320&amp;" | "&amp;AU$6,'Job Master'!$F$12:$J$102,3,0),"")</f>
        <v/>
      </c>
      <c r="AW320" s="19" t="str">
        <f>IFERROR(IF(AND(BD320&lt;&gt;"",VLOOKUP($P320&amp;" | "&amp;AU$6,'Job Master'!$F$12:$I$102,4,0)&lt;&gt;""),IF(WEEKDAY(BD320-VLOOKUP($P320&amp;" | "&amp;AU$6,'Job Master'!$F$12:$I$102,4,0))&lt;&gt;7,BD320-VLOOKUP($P320&amp;" | "&amp;AU$6,'Job Master'!$F$12:$I$102,4,0),BD320-VLOOKUP($P320&amp;" | "&amp;AU$6,'Job Master'!$F$12:$I$102,4,0)-1),""),"")</f>
        <v/>
      </c>
      <c r="AX320" s="73"/>
      <c r="AY320" s="123" t="str">
        <f t="shared" si="528"/>
        <v/>
      </c>
      <c r="AZ320" s="123" t="str">
        <f t="shared" si="529"/>
        <v/>
      </c>
      <c r="BA320" s="97" t="str">
        <f t="shared" ca="1" si="530"/>
        <v/>
      </c>
      <c r="BB320" s="98" t="str">
        <f>IF(BD320&lt;&gt;"",VLOOKUP($P320&amp;" | "&amp;BB$6,'Job Master'!$F$12:$J$102,5,0),"")</f>
        <v/>
      </c>
      <c r="BC320" s="19" t="str">
        <f>IF(BD320&lt;&gt;"",VLOOKUP($P320&amp;" | "&amp;BB$6,'Job Master'!$F$12:$J$102,3,0),"")</f>
        <v/>
      </c>
      <c r="BD320" s="19" t="str">
        <f>IFERROR(IF(AND(BK320&lt;&gt;"",VLOOKUP($P320&amp;" | "&amp;BB$6,'Job Master'!$F$12:$I$102,4,0)&lt;&gt;""),IF(WEEKDAY(BK320-VLOOKUP($P320&amp;" | "&amp;BB$6,'Job Master'!$F$12:$I$102,4,0))&lt;&gt;7,BK320-VLOOKUP($P320&amp;" | "&amp;BB$6,'Job Master'!$F$12:$I$102,4,0),BK320-VLOOKUP($P320&amp;" | "&amp;BB$6,'Job Master'!$F$12:$I$102,4,0)-1),""),"")</f>
        <v/>
      </c>
      <c r="BE320" s="73"/>
      <c r="BF320" s="123" t="str">
        <f t="shared" si="531"/>
        <v/>
      </c>
      <c r="BG320" s="123" t="str">
        <f t="shared" si="532"/>
        <v/>
      </c>
      <c r="BH320" s="97" t="str">
        <f t="shared" ca="1" si="533"/>
        <v/>
      </c>
      <c r="BI320" s="98" t="str">
        <f>IF(BK320&lt;&gt;"",VLOOKUP($P320&amp;" | "&amp;BI$6,'Job Master'!$F$12:$J$102,5,0),"")</f>
        <v/>
      </c>
      <c r="BJ320" s="19" t="str">
        <f>IF(BK320&lt;&gt;"",VLOOKUP($P320&amp;" | "&amp;BI$6,'Job Master'!$F$12:$J$102,3,0),"")</f>
        <v/>
      </c>
      <c r="BK320" s="19" t="str">
        <f>IFERROR(IF(AND(BR320&lt;&gt;"",VLOOKUP($P320&amp;" | "&amp;BI$6,'Job Master'!$F$12:$I$102,4,0)&lt;&gt;""),IF(WEEKDAY(BR320-VLOOKUP($P320&amp;" | "&amp;BI$6,'Job Master'!$F$12:$I$102,4,0))&lt;&gt;7,BR320-VLOOKUP($P320&amp;" | "&amp;BI$6,'Job Master'!$F$12:$I$102,4,0),BR320-VLOOKUP($P320&amp;" | "&amp;BI$6,'Job Master'!$F$12:$I$102,4,0)-1),""),"")</f>
        <v/>
      </c>
      <c r="BL320" s="73"/>
      <c r="BM320" s="123" t="str">
        <f t="shared" si="534"/>
        <v/>
      </c>
      <c r="BN320" s="123" t="str">
        <f t="shared" si="535"/>
        <v/>
      </c>
      <c r="BO320" s="97" t="str">
        <f t="shared" ca="1" si="536"/>
        <v/>
      </c>
      <c r="BP320" s="98" t="str">
        <f>IF(BR320&lt;&gt;"",VLOOKUP($P320&amp;" | "&amp;BP$6,'Job Master'!$F$12:$J$102,5,0),"")</f>
        <v/>
      </c>
      <c r="BQ320" s="19" t="str">
        <f>IF(BR320&lt;&gt;"",VLOOKUP($P320&amp;" | "&amp;BP$6,'Job Master'!$F$12:$J$102,3,0),"")</f>
        <v/>
      </c>
      <c r="BR320" s="19" t="str">
        <f>IFERROR(IF(AND(BY320&lt;&gt;"",VLOOKUP($P320&amp;" | "&amp;BP$6,'Job Master'!$F$12:$I$102,4,0)&lt;&gt;""),IF(WEEKDAY(BY320-VLOOKUP($P320&amp;" | "&amp;BP$6,'Job Master'!$F$12:$I$102,4,0))&lt;&gt;7,BY320-VLOOKUP($P320&amp;" | "&amp;BP$6,'Job Master'!$F$12:$I$102,4,0),BY320-VLOOKUP($P320&amp;" | "&amp;BP$6,'Job Master'!$F$12:$I$102,4,0)-1),""),"")</f>
        <v/>
      </c>
      <c r="BS320" s="73"/>
      <c r="BT320" s="123" t="str">
        <f t="shared" si="537"/>
        <v/>
      </c>
      <c r="BU320" s="123" t="str">
        <f t="shared" si="538"/>
        <v/>
      </c>
      <c r="BV320" s="97" t="str">
        <f t="shared" ca="1" si="539"/>
        <v/>
      </c>
      <c r="BW320" s="98" t="str">
        <f>IF(BY320&lt;&gt;"",VLOOKUP($P320&amp;" | "&amp;BW$6,'Job Master'!$F$12:$J$102,5,0),"")</f>
        <v/>
      </c>
      <c r="BX320" s="19" t="str">
        <f>IF(BY320&lt;&gt;"",VLOOKUP($P320&amp;" | "&amp;BW$6,'Job Master'!$F$12:$J$102,3,0),"")</f>
        <v/>
      </c>
      <c r="BY320" s="19" t="str">
        <f>IFERROR(IF(AND(CF320&lt;&gt;"",VLOOKUP($P320&amp;" | "&amp;BW$6,'Job Master'!$F$12:$I$102,4,0)&lt;&gt;""),IF(WEEKDAY(CF320-VLOOKUP($P320&amp;" | "&amp;BW$6,'Job Master'!$F$12:$I$102,4,0))&lt;&gt;7,CF320-VLOOKUP($P320&amp;" | "&amp;BW$6,'Job Master'!$F$12:$I$102,4,0),CF320-VLOOKUP($P320&amp;" | "&amp;BW$6,'Job Master'!$F$12:$I$102,4,0)-1),""),"")</f>
        <v/>
      </c>
      <c r="BZ320" s="73"/>
      <c r="CA320" s="123" t="str">
        <f t="shared" si="540"/>
        <v/>
      </c>
      <c r="CB320" s="123" t="str">
        <f t="shared" si="541"/>
        <v/>
      </c>
      <c r="CC320" s="97" t="str">
        <f t="shared" ca="1" si="542"/>
        <v/>
      </c>
      <c r="CD320" s="98" t="str">
        <f>IF(CF320&lt;&gt;"",VLOOKUP($P320&amp;" | "&amp;CD$6,'Job Master'!$F$12:$J$102,5,0),"")</f>
        <v/>
      </c>
      <c r="CE320" s="19" t="str">
        <f>IF(CF320&lt;&gt;"",VLOOKUP($P320&amp;" | "&amp;CD$6,'Job Master'!$F$12:$J$102,3,0),"")</f>
        <v/>
      </c>
      <c r="CF320" s="19" t="str">
        <f>IFERROR(IF(AND(CM320&lt;&gt;"",VLOOKUP($P320&amp;" | "&amp;CD$6,'Job Master'!$F$12:$I$102,4,0)&lt;&gt;""),IF(WEEKDAY(CM320-VLOOKUP($P320&amp;" | "&amp;CD$6,'Job Master'!$F$12:$I$102,4,0))&lt;&gt;7,CM320-VLOOKUP($P320&amp;" | "&amp;CD$6,'Job Master'!$F$12:$I$102,4,0),CM320-VLOOKUP($P320&amp;" | "&amp;CD$6,'Job Master'!$F$12:$I$102,4,0)-1),""),"")</f>
        <v/>
      </c>
      <c r="CG320" s="73"/>
      <c r="CH320" s="123" t="str">
        <f t="shared" si="543"/>
        <v/>
      </c>
      <c r="CI320" s="123" t="str">
        <f t="shared" si="544"/>
        <v/>
      </c>
      <c r="CJ320" s="97" t="str">
        <f t="shared" ca="1" si="545"/>
        <v/>
      </c>
      <c r="CK320" s="98" t="str">
        <f>IF(CM320&lt;&gt;"",VLOOKUP($P320&amp;" | "&amp;CK$6,'Job Master'!$F$12:$J$102,5,0),"")</f>
        <v/>
      </c>
      <c r="CL320" s="19" t="str">
        <f>IF(CM320&lt;&gt;"",VLOOKUP($P320&amp;" | "&amp;CK$6,'Job Master'!$F$12:$J$102,3,0),"")</f>
        <v/>
      </c>
      <c r="CM320" s="19" t="str">
        <f>IFERROR(IF(AND(CT320&lt;&gt;"",VLOOKUP($P320&amp;" | "&amp;CK$6,'Job Master'!$F$12:$I$102,4,0)&lt;&gt;""),IF(WEEKDAY(CT320-VLOOKUP($P320&amp;" | "&amp;CK$6,'Job Master'!$F$12:$I$102,4,0))&lt;&gt;7,CT320-VLOOKUP($P320&amp;" | "&amp;CK$6,'Job Master'!$F$12:$I$102,4,0),CT320-VLOOKUP($P320&amp;" | "&amp;CK$6,'Job Master'!$F$12:$I$102,4,0)-1),""),"")</f>
        <v/>
      </c>
      <c r="CN320" s="73"/>
      <c r="CO320" s="123" t="str">
        <f t="shared" si="546"/>
        <v/>
      </c>
      <c r="CP320" s="123" t="str">
        <f t="shared" si="547"/>
        <v/>
      </c>
      <c r="CQ320" s="97" t="str">
        <f t="shared" ca="1" si="548"/>
        <v/>
      </c>
      <c r="CR320" s="98" t="str">
        <f>IF(CT320&lt;&gt;"",VLOOKUP($P320&amp;" | "&amp;CR$6,'Job Master'!$F$12:$J$102,5,0),"")</f>
        <v/>
      </c>
      <c r="CS320" s="19" t="str">
        <f>IF(CT320&lt;&gt;"",VLOOKUP($P320&amp;" | "&amp;CR$6,'Job Master'!$F$12:$J$102,3,0),"")</f>
        <v/>
      </c>
      <c r="CT320" s="19" t="str">
        <f>IFERROR(IF(AND(DA320&lt;&gt;"",VLOOKUP($P320&amp;" | "&amp;CR$6,'Job Master'!$F$12:$I$102,4,0)&lt;&gt;""),IF(WEEKDAY(DA320-VLOOKUP($P320&amp;" | "&amp;CR$6,'Job Master'!$F$12:$I$102,4,0))&lt;&gt;7,DA320-VLOOKUP($P320&amp;" | "&amp;CR$6,'Job Master'!$F$12:$I$102,4,0),DA320-VLOOKUP($P320&amp;" | "&amp;CR$6,'Job Master'!$F$12:$I$102,4,0)-1),""),"")</f>
        <v/>
      </c>
      <c r="CU320" s="73"/>
      <c r="CV320" s="123" t="str">
        <f t="shared" si="549"/>
        <v/>
      </c>
      <c r="CW320" s="123" t="str">
        <f t="shared" si="550"/>
        <v/>
      </c>
      <c r="CX320" s="97" t="str">
        <f t="shared" ca="1" si="551"/>
        <v/>
      </c>
      <c r="CY320" s="98" t="str">
        <f>IF(DA320&lt;&gt;"",VLOOKUP($P320&amp;" | "&amp;CY$6,'Job Master'!$F$12:$J$102,5,0),"")</f>
        <v/>
      </c>
      <c r="CZ320" s="19" t="str">
        <f>IF(DA320&lt;&gt;"",VLOOKUP($P320&amp;" | "&amp;CY$6,'Job Master'!$F$12:$J$102,3,0),"")</f>
        <v/>
      </c>
      <c r="DA320" s="19" t="str">
        <f>IFERROR(IF(AND(DH320&lt;&gt;"",VLOOKUP($P320&amp;" | "&amp;CY$6,'Job Master'!$F$12:$I$102,4,0)&lt;&gt;""),IF(WEEKDAY(DH320-VLOOKUP($P320&amp;" | "&amp;CY$6,'Job Master'!$F$12:$I$102,4,0))&lt;&gt;7,DH320-VLOOKUP($P320&amp;" | "&amp;CY$6,'Job Master'!$F$12:$I$102,4,0),DH320-VLOOKUP($P320&amp;" | "&amp;CY$6,'Job Master'!$F$12:$I$102,4,0)-1),""),"")</f>
        <v/>
      </c>
      <c r="DB320" s="73"/>
      <c r="DC320" s="123" t="str">
        <f t="shared" si="552"/>
        <v/>
      </c>
      <c r="DD320" s="123" t="str">
        <f t="shared" si="553"/>
        <v/>
      </c>
      <c r="DE320" s="97" t="str">
        <f t="shared" ca="1" si="554"/>
        <v/>
      </c>
      <c r="DF320" s="98" t="str">
        <f>IF(DH320&lt;&gt;"",VLOOKUP($P320&amp;" | "&amp;DF$6,'Job Master'!$F$12:$J$102,5,0),"")</f>
        <v/>
      </c>
      <c r="DG320" s="19" t="str">
        <f>IF(DH320&lt;&gt;"",VLOOKUP($P320&amp;" | "&amp;DF$6,'Job Master'!$F$12:$J$102,3,0),"")</f>
        <v/>
      </c>
      <c r="DH320" s="19" t="str">
        <f>IFERROR(IF(AND(DO320&lt;&gt;"",VLOOKUP($P320&amp;" | "&amp;DF$6,'Job Master'!$F$12:$I$102,4,0)&lt;&gt;""),IF(WEEKDAY(DO320-VLOOKUP($P320&amp;" | "&amp;DF$6,'Job Master'!$F$12:$I$102,4,0))&lt;&gt;7,DO320-VLOOKUP($P320&amp;" | "&amp;DF$6,'Job Master'!$F$12:$I$102,4,0),DO320-VLOOKUP($P320&amp;" | "&amp;DF$6,'Job Master'!$F$12:$I$102,4,0)-1),""),"")</f>
        <v/>
      </c>
      <c r="DI320" s="73"/>
      <c r="DJ320" s="123" t="str">
        <f t="shared" si="555"/>
        <v/>
      </c>
      <c r="DK320" s="123" t="str">
        <f t="shared" si="556"/>
        <v/>
      </c>
      <c r="DL320" s="97" t="str">
        <f t="shared" ca="1" si="557"/>
        <v/>
      </c>
      <c r="DM320" s="98" t="str">
        <f>IF(DO320&lt;&gt;"",VLOOKUP($P320&amp;" | "&amp;DM$6,'Job Master'!$F$12:$J$102,5,0),"")</f>
        <v/>
      </c>
      <c r="DN320" s="19" t="str">
        <f>IF(DO320&lt;&gt;"",VLOOKUP($P320&amp;" | "&amp;DM$6,'Job Master'!$F$12:$J$102,3,0),"")</f>
        <v/>
      </c>
      <c r="DO320" s="19" t="str">
        <f>IFERROR(IF(AND(DT320&lt;&gt;"",VLOOKUP($P320&amp;" | "&amp;DM$6,'Job Master'!$F$12:$I$102,4,0)&lt;&gt;""),IF(WEEKDAY(DT320-VLOOKUP($P320&amp;" | "&amp;DM$6,'Job Master'!$F$12:$I$102,4,0))&lt;&gt;7,DT320-VLOOKUP($P320&amp;" | "&amp;DM$6,'Job Master'!$F$12:$I$102,4,0),DT320-VLOOKUP($P320&amp;" | "&amp;DM$6,'Job Master'!$F$12:$I$102,4,0)-1),""),"")</f>
        <v/>
      </c>
      <c r="DP320" s="73"/>
      <c r="DQ320" s="123" t="str">
        <f t="shared" si="558"/>
        <v/>
      </c>
      <c r="DR320" s="123" t="str">
        <f t="shared" si="559"/>
        <v/>
      </c>
      <c r="DS320" s="97" t="str">
        <f t="shared" ca="1" si="560"/>
        <v/>
      </c>
      <c r="DT320" s="70" t="str">
        <f t="shared" si="561"/>
        <v/>
      </c>
      <c r="DU320" s="90"/>
      <c r="DV320" s="123" t="str">
        <f t="shared" si="562"/>
        <v/>
      </c>
      <c r="DW320" s="123" t="str">
        <f t="shared" si="563"/>
        <v/>
      </c>
      <c r="DX320" s="132" t="str">
        <f t="shared" ref="DX320" ca="1" si="629">IF(DT320&lt;&gt;"",IF(WEEKNUM(DT320)=WEEKNUM(TODAY()),"This Week",IF(WEEKNUM(DT320)=WEEKNUM(TODAY())+1,"Next Week",IF(WEEKNUM(DT320)=WEEKNUM(TODAY())-1,"Previous Week",""))),"")</f>
        <v/>
      </c>
      <c r="DY320" s="134" t="str">
        <f t="shared" si="565"/>
        <v/>
      </c>
      <c r="DZ320" s="95"/>
      <c r="EB320" s="8" t="str">
        <f t="shared" si="571"/>
        <v/>
      </c>
      <c r="EC320" s="8" t="str">
        <f>IF(O320&lt;&gt;"",VLOOKUP(O320,'Job Master'!$N$12:$O$18,2,0),"")</f>
        <v/>
      </c>
      <c r="ED320" s="8">
        <f t="shared" si="572"/>
        <v>19.5</v>
      </c>
      <c r="EE320" s="8">
        <f t="shared" si="573"/>
        <v>6</v>
      </c>
      <c r="EF320" s="8">
        <f t="shared" si="574"/>
        <v>-1840.5</v>
      </c>
      <c r="EG320" s="8" t="str">
        <f t="shared" si="575"/>
        <v/>
      </c>
      <c r="EH320" s="8" t="str">
        <f t="shared" si="576"/>
        <v/>
      </c>
    </row>
    <row r="321" spans="2:138" x14ac:dyDescent="0.3">
      <c r="B321" s="112"/>
      <c r="C321" s="27"/>
      <c r="D321" s="7" t="str">
        <f t="shared" si="513"/>
        <v/>
      </c>
      <c r="E321" s="25"/>
      <c r="F321" s="7" t="str">
        <f t="shared" si="513"/>
        <v/>
      </c>
      <c r="G321" s="25"/>
      <c r="H321" s="7" t="str">
        <f t="shared" si="513"/>
        <v/>
      </c>
      <c r="I321" s="25"/>
      <c r="J321" s="7" t="str">
        <f t="shared" si="513"/>
        <v/>
      </c>
      <c r="K321" s="25"/>
      <c r="L321" s="7" t="str">
        <f t="shared" si="514"/>
        <v/>
      </c>
      <c r="M321" s="25"/>
      <c r="N321" s="7" t="str">
        <f t="shared" si="515"/>
        <v/>
      </c>
      <c r="O321" s="81"/>
      <c r="P321" s="81" t="str">
        <f t="shared" si="516"/>
        <v/>
      </c>
      <c r="Q321" s="81"/>
      <c r="R321" s="7" t="str">
        <f t="shared" si="517"/>
        <v/>
      </c>
      <c r="S321" s="25"/>
      <c r="T321" s="7" t="str">
        <f t="shared" si="518"/>
        <v/>
      </c>
      <c r="U321" s="25"/>
      <c r="V321" s="7" t="str">
        <f t="shared" si="519"/>
        <v/>
      </c>
      <c r="W321" s="25"/>
      <c r="X321" s="7" t="str">
        <f t="shared" si="520"/>
        <v/>
      </c>
      <c r="Y321" s="18" t="str">
        <f t="shared" si="521"/>
        <v/>
      </c>
      <c r="Z321" s="7" t="str">
        <f t="shared" si="522"/>
        <v/>
      </c>
      <c r="AA321" s="18" t="str">
        <f t="shared" si="523"/>
        <v/>
      </c>
      <c r="AB321" s="19" t="str">
        <f t="shared" si="524"/>
        <v/>
      </c>
      <c r="AC321" s="26"/>
      <c r="AD321" s="26"/>
      <c r="AE321" s="25"/>
      <c r="AF321" s="26"/>
      <c r="AG321" s="25"/>
      <c r="AH321" s="25"/>
      <c r="AI321" s="18" t="str">
        <f t="shared" si="587"/>
        <v/>
      </c>
      <c r="AJ321" s="25"/>
      <c r="AK321" s="18" t="str">
        <f t="shared" si="588"/>
        <v/>
      </c>
      <c r="AL321" s="79"/>
      <c r="AM321" s="126" t="str">
        <f t="shared" si="589"/>
        <v/>
      </c>
      <c r="AN321" s="128" t="str">
        <f>IF(AP321&lt;&gt;"",VLOOKUP($P321&amp;" | "&amp;AN$6,'Job Master'!$F$12:$J$102,5,0),"")</f>
        <v/>
      </c>
      <c r="AO321" s="19" t="str">
        <f>IF(AP321&lt;&gt;"",VLOOKUP($P321&amp;" | "&amp;AN$6,'Job Master'!$F$12:$J$102,3,0),"")</f>
        <v/>
      </c>
      <c r="AP321" s="19" t="str">
        <f>IFERROR(IF(AND(AW321&lt;&gt;"",VLOOKUP($P321&amp;" | "&amp;AN$6,'Job Master'!$F$12:$I$102,4,0)&lt;&gt;""),IF(WEEKDAY(AW321-VLOOKUP($P321&amp;" | "&amp;AN$6,'Job Master'!$F$12:$I$102,4,0))&lt;&gt;7,AW321-VLOOKUP($P321&amp;" | "&amp;AN$6,'Job Master'!$F$12:$I$102,4,0),AW321-VLOOKUP($P321&amp;" | "&amp;AN$6,'Job Master'!$F$12:$I$102,4,0)-1),""),"")</f>
        <v/>
      </c>
      <c r="AQ321" s="73"/>
      <c r="AR321" s="123" t="str">
        <f t="shared" si="525"/>
        <v/>
      </c>
      <c r="AS321" s="123" t="str">
        <f t="shared" si="526"/>
        <v/>
      </c>
      <c r="AT321" s="97" t="str">
        <f t="shared" ca="1" si="527"/>
        <v/>
      </c>
      <c r="AU321" s="98" t="str">
        <f>IF(AW321&lt;&gt;"",VLOOKUP($P321&amp;" | "&amp;AU$6,'Job Master'!$F$12:$J$102,5,0),"")</f>
        <v/>
      </c>
      <c r="AV321" s="19" t="str">
        <f>IF(AW321&lt;&gt;"",VLOOKUP($P321&amp;" | "&amp;AU$6,'Job Master'!$F$12:$J$102,3,0),"")</f>
        <v/>
      </c>
      <c r="AW321" s="19" t="str">
        <f>IFERROR(IF(AND(BD321&lt;&gt;"",VLOOKUP($P321&amp;" | "&amp;AU$6,'Job Master'!$F$12:$I$102,4,0)&lt;&gt;""),IF(WEEKDAY(BD321-VLOOKUP($P321&amp;" | "&amp;AU$6,'Job Master'!$F$12:$I$102,4,0))&lt;&gt;7,BD321-VLOOKUP($P321&amp;" | "&amp;AU$6,'Job Master'!$F$12:$I$102,4,0),BD321-VLOOKUP($P321&amp;" | "&amp;AU$6,'Job Master'!$F$12:$I$102,4,0)-1),""),"")</f>
        <v/>
      </c>
      <c r="AX321" s="73"/>
      <c r="AY321" s="123" t="str">
        <f t="shared" si="528"/>
        <v/>
      </c>
      <c r="AZ321" s="123" t="str">
        <f t="shared" si="529"/>
        <v/>
      </c>
      <c r="BA321" s="97" t="str">
        <f t="shared" ca="1" si="530"/>
        <v/>
      </c>
      <c r="BB321" s="98" t="str">
        <f>IF(BD321&lt;&gt;"",VLOOKUP($P321&amp;" | "&amp;BB$6,'Job Master'!$F$12:$J$102,5,0),"")</f>
        <v/>
      </c>
      <c r="BC321" s="19" t="str">
        <f>IF(BD321&lt;&gt;"",VLOOKUP($P321&amp;" | "&amp;BB$6,'Job Master'!$F$12:$J$102,3,0),"")</f>
        <v/>
      </c>
      <c r="BD321" s="19" t="str">
        <f>IFERROR(IF(AND(BK321&lt;&gt;"",VLOOKUP($P321&amp;" | "&amp;BB$6,'Job Master'!$F$12:$I$102,4,0)&lt;&gt;""),IF(WEEKDAY(BK321-VLOOKUP($P321&amp;" | "&amp;BB$6,'Job Master'!$F$12:$I$102,4,0))&lt;&gt;7,BK321-VLOOKUP($P321&amp;" | "&amp;BB$6,'Job Master'!$F$12:$I$102,4,0),BK321-VLOOKUP($P321&amp;" | "&amp;BB$6,'Job Master'!$F$12:$I$102,4,0)-1),""),"")</f>
        <v/>
      </c>
      <c r="BE321" s="73"/>
      <c r="BF321" s="123" t="str">
        <f t="shared" si="531"/>
        <v/>
      </c>
      <c r="BG321" s="123" t="str">
        <f t="shared" si="532"/>
        <v/>
      </c>
      <c r="BH321" s="97" t="str">
        <f t="shared" ca="1" si="533"/>
        <v/>
      </c>
      <c r="BI321" s="98" t="str">
        <f>IF(BK321&lt;&gt;"",VLOOKUP($P321&amp;" | "&amp;BI$6,'Job Master'!$F$12:$J$102,5,0),"")</f>
        <v/>
      </c>
      <c r="BJ321" s="19" t="str">
        <f>IF(BK321&lt;&gt;"",VLOOKUP($P321&amp;" | "&amp;BI$6,'Job Master'!$F$12:$J$102,3,0),"")</f>
        <v/>
      </c>
      <c r="BK321" s="19" t="str">
        <f>IFERROR(IF(AND(BR321&lt;&gt;"",VLOOKUP($P321&amp;" | "&amp;BI$6,'Job Master'!$F$12:$I$102,4,0)&lt;&gt;""),IF(WEEKDAY(BR321-VLOOKUP($P321&amp;" | "&amp;BI$6,'Job Master'!$F$12:$I$102,4,0))&lt;&gt;7,BR321-VLOOKUP($P321&amp;" | "&amp;BI$6,'Job Master'!$F$12:$I$102,4,0),BR321-VLOOKUP($P321&amp;" | "&amp;BI$6,'Job Master'!$F$12:$I$102,4,0)-1),""),"")</f>
        <v/>
      </c>
      <c r="BL321" s="73"/>
      <c r="BM321" s="123" t="str">
        <f t="shared" si="534"/>
        <v/>
      </c>
      <c r="BN321" s="123" t="str">
        <f t="shared" si="535"/>
        <v/>
      </c>
      <c r="BO321" s="97" t="str">
        <f t="shared" ca="1" si="536"/>
        <v/>
      </c>
      <c r="BP321" s="98" t="str">
        <f>IF(BR321&lt;&gt;"",VLOOKUP($P321&amp;" | "&amp;BP$6,'Job Master'!$F$12:$J$102,5,0),"")</f>
        <v/>
      </c>
      <c r="BQ321" s="19" t="str">
        <f>IF(BR321&lt;&gt;"",VLOOKUP($P321&amp;" | "&amp;BP$6,'Job Master'!$F$12:$J$102,3,0),"")</f>
        <v/>
      </c>
      <c r="BR321" s="19" t="str">
        <f>IFERROR(IF(AND(BY321&lt;&gt;"",VLOOKUP($P321&amp;" | "&amp;BP$6,'Job Master'!$F$12:$I$102,4,0)&lt;&gt;""),IF(WEEKDAY(BY321-VLOOKUP($P321&amp;" | "&amp;BP$6,'Job Master'!$F$12:$I$102,4,0))&lt;&gt;7,BY321-VLOOKUP($P321&amp;" | "&amp;BP$6,'Job Master'!$F$12:$I$102,4,0),BY321-VLOOKUP($P321&amp;" | "&amp;BP$6,'Job Master'!$F$12:$I$102,4,0)-1),""),"")</f>
        <v/>
      </c>
      <c r="BS321" s="73"/>
      <c r="BT321" s="123" t="str">
        <f t="shared" si="537"/>
        <v/>
      </c>
      <c r="BU321" s="123" t="str">
        <f t="shared" si="538"/>
        <v/>
      </c>
      <c r="BV321" s="97" t="str">
        <f t="shared" ca="1" si="539"/>
        <v/>
      </c>
      <c r="BW321" s="98" t="str">
        <f>IF(BY321&lt;&gt;"",VLOOKUP($P321&amp;" | "&amp;BW$6,'Job Master'!$F$12:$J$102,5,0),"")</f>
        <v/>
      </c>
      <c r="BX321" s="19" t="str">
        <f>IF(BY321&lt;&gt;"",VLOOKUP($P321&amp;" | "&amp;BW$6,'Job Master'!$F$12:$J$102,3,0),"")</f>
        <v/>
      </c>
      <c r="BY321" s="19" t="str">
        <f>IFERROR(IF(AND(CF321&lt;&gt;"",VLOOKUP($P321&amp;" | "&amp;BW$6,'Job Master'!$F$12:$I$102,4,0)&lt;&gt;""),IF(WEEKDAY(CF321-VLOOKUP($P321&amp;" | "&amp;BW$6,'Job Master'!$F$12:$I$102,4,0))&lt;&gt;7,CF321-VLOOKUP($P321&amp;" | "&amp;BW$6,'Job Master'!$F$12:$I$102,4,0),CF321-VLOOKUP($P321&amp;" | "&amp;BW$6,'Job Master'!$F$12:$I$102,4,0)-1),""),"")</f>
        <v/>
      </c>
      <c r="BZ321" s="73"/>
      <c r="CA321" s="123" t="str">
        <f t="shared" si="540"/>
        <v/>
      </c>
      <c r="CB321" s="123" t="str">
        <f t="shared" si="541"/>
        <v/>
      </c>
      <c r="CC321" s="97" t="str">
        <f t="shared" ca="1" si="542"/>
        <v/>
      </c>
      <c r="CD321" s="98" t="str">
        <f>IF(CF321&lt;&gt;"",VLOOKUP($P321&amp;" | "&amp;CD$6,'Job Master'!$F$12:$J$102,5,0),"")</f>
        <v/>
      </c>
      <c r="CE321" s="19" t="str">
        <f>IF(CF321&lt;&gt;"",VLOOKUP($P321&amp;" | "&amp;CD$6,'Job Master'!$F$12:$J$102,3,0),"")</f>
        <v/>
      </c>
      <c r="CF321" s="19" t="str">
        <f>IFERROR(IF(AND(CM321&lt;&gt;"",VLOOKUP($P321&amp;" | "&amp;CD$6,'Job Master'!$F$12:$I$102,4,0)&lt;&gt;""),IF(WEEKDAY(CM321-VLOOKUP($P321&amp;" | "&amp;CD$6,'Job Master'!$F$12:$I$102,4,0))&lt;&gt;7,CM321-VLOOKUP($P321&amp;" | "&amp;CD$6,'Job Master'!$F$12:$I$102,4,0),CM321-VLOOKUP($P321&amp;" | "&amp;CD$6,'Job Master'!$F$12:$I$102,4,0)-1),""),"")</f>
        <v/>
      </c>
      <c r="CG321" s="73"/>
      <c r="CH321" s="123" t="str">
        <f t="shared" si="543"/>
        <v/>
      </c>
      <c r="CI321" s="123" t="str">
        <f t="shared" si="544"/>
        <v/>
      </c>
      <c r="CJ321" s="97" t="str">
        <f t="shared" ca="1" si="545"/>
        <v/>
      </c>
      <c r="CK321" s="98" t="str">
        <f>IF(CM321&lt;&gt;"",VLOOKUP($P321&amp;" | "&amp;CK$6,'Job Master'!$F$12:$J$102,5,0),"")</f>
        <v/>
      </c>
      <c r="CL321" s="19" t="str">
        <f>IF(CM321&lt;&gt;"",VLOOKUP($P321&amp;" | "&amp;CK$6,'Job Master'!$F$12:$J$102,3,0),"")</f>
        <v/>
      </c>
      <c r="CM321" s="19" t="str">
        <f>IFERROR(IF(AND(CT321&lt;&gt;"",VLOOKUP($P321&amp;" | "&amp;CK$6,'Job Master'!$F$12:$I$102,4,0)&lt;&gt;""),IF(WEEKDAY(CT321-VLOOKUP($P321&amp;" | "&amp;CK$6,'Job Master'!$F$12:$I$102,4,0))&lt;&gt;7,CT321-VLOOKUP($P321&amp;" | "&amp;CK$6,'Job Master'!$F$12:$I$102,4,0),CT321-VLOOKUP($P321&amp;" | "&amp;CK$6,'Job Master'!$F$12:$I$102,4,0)-1),""),"")</f>
        <v/>
      </c>
      <c r="CN321" s="73"/>
      <c r="CO321" s="123" t="str">
        <f t="shared" si="546"/>
        <v/>
      </c>
      <c r="CP321" s="123" t="str">
        <f t="shared" si="547"/>
        <v/>
      </c>
      <c r="CQ321" s="97" t="str">
        <f t="shared" ca="1" si="548"/>
        <v/>
      </c>
      <c r="CR321" s="98" t="str">
        <f>IF(CT321&lt;&gt;"",VLOOKUP($P321&amp;" | "&amp;CR$6,'Job Master'!$F$12:$J$102,5,0),"")</f>
        <v/>
      </c>
      <c r="CS321" s="19" t="str">
        <f>IF(CT321&lt;&gt;"",VLOOKUP($P321&amp;" | "&amp;CR$6,'Job Master'!$F$12:$J$102,3,0),"")</f>
        <v/>
      </c>
      <c r="CT321" s="19" t="str">
        <f>IFERROR(IF(AND(DA321&lt;&gt;"",VLOOKUP($P321&amp;" | "&amp;CR$6,'Job Master'!$F$12:$I$102,4,0)&lt;&gt;""),IF(WEEKDAY(DA321-VLOOKUP($P321&amp;" | "&amp;CR$6,'Job Master'!$F$12:$I$102,4,0))&lt;&gt;7,DA321-VLOOKUP($P321&amp;" | "&amp;CR$6,'Job Master'!$F$12:$I$102,4,0),DA321-VLOOKUP($P321&amp;" | "&amp;CR$6,'Job Master'!$F$12:$I$102,4,0)-1),""),"")</f>
        <v/>
      </c>
      <c r="CU321" s="73"/>
      <c r="CV321" s="123" t="str">
        <f t="shared" si="549"/>
        <v/>
      </c>
      <c r="CW321" s="123" t="str">
        <f t="shared" si="550"/>
        <v/>
      </c>
      <c r="CX321" s="97" t="str">
        <f t="shared" ca="1" si="551"/>
        <v/>
      </c>
      <c r="CY321" s="98" t="str">
        <f>IF(DA321&lt;&gt;"",VLOOKUP($P321&amp;" | "&amp;CY$6,'Job Master'!$F$12:$J$102,5,0),"")</f>
        <v/>
      </c>
      <c r="CZ321" s="19" t="str">
        <f>IF(DA321&lt;&gt;"",VLOOKUP($P321&amp;" | "&amp;CY$6,'Job Master'!$F$12:$J$102,3,0),"")</f>
        <v/>
      </c>
      <c r="DA321" s="19" t="str">
        <f>IFERROR(IF(AND(DH321&lt;&gt;"",VLOOKUP($P321&amp;" | "&amp;CY$6,'Job Master'!$F$12:$I$102,4,0)&lt;&gt;""),IF(WEEKDAY(DH321-VLOOKUP($P321&amp;" | "&amp;CY$6,'Job Master'!$F$12:$I$102,4,0))&lt;&gt;7,DH321-VLOOKUP($P321&amp;" | "&amp;CY$6,'Job Master'!$F$12:$I$102,4,0),DH321-VLOOKUP($P321&amp;" | "&amp;CY$6,'Job Master'!$F$12:$I$102,4,0)-1),""),"")</f>
        <v/>
      </c>
      <c r="DB321" s="73"/>
      <c r="DC321" s="123" t="str">
        <f t="shared" si="552"/>
        <v/>
      </c>
      <c r="DD321" s="123" t="str">
        <f t="shared" si="553"/>
        <v/>
      </c>
      <c r="DE321" s="97" t="str">
        <f t="shared" ca="1" si="554"/>
        <v/>
      </c>
      <c r="DF321" s="98" t="str">
        <f>IF(DH321&lt;&gt;"",VLOOKUP($P321&amp;" | "&amp;DF$6,'Job Master'!$F$12:$J$102,5,0),"")</f>
        <v/>
      </c>
      <c r="DG321" s="19" t="str">
        <f>IF(DH321&lt;&gt;"",VLOOKUP($P321&amp;" | "&amp;DF$6,'Job Master'!$F$12:$J$102,3,0),"")</f>
        <v/>
      </c>
      <c r="DH321" s="19" t="str">
        <f>IFERROR(IF(AND(DO321&lt;&gt;"",VLOOKUP($P321&amp;" | "&amp;DF$6,'Job Master'!$F$12:$I$102,4,0)&lt;&gt;""),IF(WEEKDAY(DO321-VLOOKUP($P321&amp;" | "&amp;DF$6,'Job Master'!$F$12:$I$102,4,0))&lt;&gt;7,DO321-VLOOKUP($P321&amp;" | "&amp;DF$6,'Job Master'!$F$12:$I$102,4,0),DO321-VLOOKUP($P321&amp;" | "&amp;DF$6,'Job Master'!$F$12:$I$102,4,0)-1),""),"")</f>
        <v/>
      </c>
      <c r="DI321" s="73"/>
      <c r="DJ321" s="123" t="str">
        <f t="shared" si="555"/>
        <v/>
      </c>
      <c r="DK321" s="123" t="str">
        <f t="shared" si="556"/>
        <v/>
      </c>
      <c r="DL321" s="97" t="str">
        <f t="shared" ca="1" si="557"/>
        <v/>
      </c>
      <c r="DM321" s="98" t="str">
        <f>IF(DO321&lt;&gt;"",VLOOKUP($P321&amp;" | "&amp;DM$6,'Job Master'!$F$12:$J$102,5,0),"")</f>
        <v/>
      </c>
      <c r="DN321" s="19" t="str">
        <f>IF(DO321&lt;&gt;"",VLOOKUP($P321&amp;" | "&amp;DM$6,'Job Master'!$F$12:$J$102,3,0),"")</f>
        <v/>
      </c>
      <c r="DO321" s="19" t="str">
        <f>IFERROR(IF(AND(DT321&lt;&gt;"",VLOOKUP($P321&amp;" | "&amp;DM$6,'Job Master'!$F$12:$I$102,4,0)&lt;&gt;""),IF(WEEKDAY(DT321-VLOOKUP($P321&amp;" | "&amp;DM$6,'Job Master'!$F$12:$I$102,4,0))&lt;&gt;7,DT321-VLOOKUP($P321&amp;" | "&amp;DM$6,'Job Master'!$F$12:$I$102,4,0),DT321-VLOOKUP($P321&amp;" | "&amp;DM$6,'Job Master'!$F$12:$I$102,4,0)-1),""),"")</f>
        <v/>
      </c>
      <c r="DP321" s="73"/>
      <c r="DQ321" s="123" t="str">
        <f t="shared" si="558"/>
        <v/>
      </c>
      <c r="DR321" s="123" t="str">
        <f t="shared" si="559"/>
        <v/>
      </c>
      <c r="DS321" s="97" t="str">
        <f t="shared" ca="1" si="560"/>
        <v/>
      </c>
      <c r="DT321" s="70" t="str">
        <f t="shared" si="561"/>
        <v/>
      </c>
      <c r="DU321" s="90"/>
      <c r="DV321" s="123" t="str">
        <f t="shared" si="562"/>
        <v/>
      </c>
      <c r="DW321" s="123" t="str">
        <f t="shared" si="563"/>
        <v/>
      </c>
      <c r="DX321" s="132" t="str">
        <f t="shared" ref="DX321" ca="1" si="630">IF(DT321&lt;&gt;"",IF(WEEKNUM(DT321)=WEEKNUM(TODAY()),"This Week",IF(WEEKNUM(DT321)=WEEKNUM(TODAY())+1,"Next Week",IF(WEEKNUM(DT321)=WEEKNUM(TODAY())-1,"Previous Week",""))),"")</f>
        <v/>
      </c>
      <c r="DY321" s="134" t="str">
        <f t="shared" si="565"/>
        <v/>
      </c>
      <c r="DZ321" s="95"/>
      <c r="EB321" s="8" t="str">
        <f t="shared" si="571"/>
        <v/>
      </c>
      <c r="EC321" s="8" t="str">
        <f>IF(O321&lt;&gt;"",VLOOKUP(O321,'Job Master'!$N$12:$O$18,2,0),"")</f>
        <v/>
      </c>
      <c r="ED321" s="8">
        <f t="shared" si="572"/>
        <v>19.5</v>
      </c>
      <c r="EE321" s="8">
        <f t="shared" si="573"/>
        <v>6</v>
      </c>
      <c r="EF321" s="8">
        <f t="shared" si="574"/>
        <v>-1846.5</v>
      </c>
      <c r="EG321" s="8" t="str">
        <f t="shared" si="575"/>
        <v/>
      </c>
      <c r="EH321" s="8" t="str">
        <f t="shared" si="576"/>
        <v/>
      </c>
    </row>
    <row r="322" spans="2:138" x14ac:dyDescent="0.3">
      <c r="B322" s="112"/>
      <c r="C322" s="27"/>
      <c r="D322" s="7" t="str">
        <f t="shared" si="513"/>
        <v/>
      </c>
      <c r="E322" s="25"/>
      <c r="F322" s="7" t="str">
        <f t="shared" si="513"/>
        <v/>
      </c>
      <c r="G322" s="25"/>
      <c r="H322" s="7" t="str">
        <f t="shared" si="513"/>
        <v/>
      </c>
      <c r="I322" s="25"/>
      <c r="J322" s="7" t="str">
        <f t="shared" si="513"/>
        <v/>
      </c>
      <c r="K322" s="25"/>
      <c r="L322" s="7" t="str">
        <f t="shared" si="514"/>
        <v/>
      </c>
      <c r="M322" s="25"/>
      <c r="N322" s="7" t="str">
        <f t="shared" si="515"/>
        <v/>
      </c>
      <c r="O322" s="81"/>
      <c r="P322" s="81" t="str">
        <f t="shared" si="516"/>
        <v/>
      </c>
      <c r="Q322" s="81"/>
      <c r="R322" s="7" t="str">
        <f t="shared" si="517"/>
        <v/>
      </c>
      <c r="S322" s="25"/>
      <c r="T322" s="7" t="str">
        <f t="shared" si="518"/>
        <v/>
      </c>
      <c r="U322" s="25"/>
      <c r="V322" s="7" t="str">
        <f t="shared" si="519"/>
        <v/>
      </c>
      <c r="W322" s="25"/>
      <c r="X322" s="7" t="str">
        <f t="shared" si="520"/>
        <v/>
      </c>
      <c r="Y322" s="18" t="str">
        <f t="shared" si="521"/>
        <v/>
      </c>
      <c r="Z322" s="7" t="str">
        <f t="shared" si="522"/>
        <v/>
      </c>
      <c r="AA322" s="18" t="str">
        <f t="shared" si="523"/>
        <v/>
      </c>
      <c r="AB322" s="19" t="str">
        <f t="shared" si="524"/>
        <v/>
      </c>
      <c r="AC322" s="26"/>
      <c r="AD322" s="26"/>
      <c r="AE322" s="25"/>
      <c r="AF322" s="26"/>
      <c r="AG322" s="25"/>
      <c r="AH322" s="25"/>
      <c r="AI322" s="18" t="str">
        <f t="shared" si="587"/>
        <v/>
      </c>
      <c r="AJ322" s="25"/>
      <c r="AK322" s="18" t="str">
        <f t="shared" si="588"/>
        <v/>
      </c>
      <c r="AL322" s="79"/>
      <c r="AM322" s="126" t="str">
        <f t="shared" si="589"/>
        <v/>
      </c>
      <c r="AN322" s="128" t="str">
        <f>IF(AP322&lt;&gt;"",VLOOKUP($P322&amp;" | "&amp;AN$6,'Job Master'!$F$12:$J$102,5,0),"")</f>
        <v/>
      </c>
      <c r="AO322" s="19" t="str">
        <f>IF(AP322&lt;&gt;"",VLOOKUP($P322&amp;" | "&amp;AN$6,'Job Master'!$F$12:$J$102,3,0),"")</f>
        <v/>
      </c>
      <c r="AP322" s="19" t="str">
        <f>IFERROR(IF(AND(AW322&lt;&gt;"",VLOOKUP($P322&amp;" | "&amp;AN$6,'Job Master'!$F$12:$I$102,4,0)&lt;&gt;""),IF(WEEKDAY(AW322-VLOOKUP($P322&amp;" | "&amp;AN$6,'Job Master'!$F$12:$I$102,4,0))&lt;&gt;7,AW322-VLOOKUP($P322&amp;" | "&amp;AN$6,'Job Master'!$F$12:$I$102,4,0),AW322-VLOOKUP($P322&amp;" | "&amp;AN$6,'Job Master'!$F$12:$I$102,4,0)-1),""),"")</f>
        <v/>
      </c>
      <c r="AQ322" s="73"/>
      <c r="AR322" s="123" t="str">
        <f t="shared" si="525"/>
        <v/>
      </c>
      <c r="AS322" s="123" t="str">
        <f t="shared" si="526"/>
        <v/>
      </c>
      <c r="AT322" s="97" t="str">
        <f t="shared" ca="1" si="527"/>
        <v/>
      </c>
      <c r="AU322" s="98" t="str">
        <f>IF(AW322&lt;&gt;"",VLOOKUP($P322&amp;" | "&amp;AU$6,'Job Master'!$F$12:$J$102,5,0),"")</f>
        <v/>
      </c>
      <c r="AV322" s="19" t="str">
        <f>IF(AW322&lt;&gt;"",VLOOKUP($P322&amp;" | "&amp;AU$6,'Job Master'!$F$12:$J$102,3,0),"")</f>
        <v/>
      </c>
      <c r="AW322" s="19" t="str">
        <f>IFERROR(IF(AND(BD322&lt;&gt;"",VLOOKUP($P322&amp;" | "&amp;AU$6,'Job Master'!$F$12:$I$102,4,0)&lt;&gt;""),IF(WEEKDAY(BD322-VLOOKUP($P322&amp;" | "&amp;AU$6,'Job Master'!$F$12:$I$102,4,0))&lt;&gt;7,BD322-VLOOKUP($P322&amp;" | "&amp;AU$6,'Job Master'!$F$12:$I$102,4,0),BD322-VLOOKUP($P322&amp;" | "&amp;AU$6,'Job Master'!$F$12:$I$102,4,0)-1),""),"")</f>
        <v/>
      </c>
      <c r="AX322" s="73"/>
      <c r="AY322" s="123" t="str">
        <f t="shared" si="528"/>
        <v/>
      </c>
      <c r="AZ322" s="123" t="str">
        <f t="shared" si="529"/>
        <v/>
      </c>
      <c r="BA322" s="97" t="str">
        <f t="shared" ca="1" si="530"/>
        <v/>
      </c>
      <c r="BB322" s="98" t="str">
        <f>IF(BD322&lt;&gt;"",VLOOKUP($P322&amp;" | "&amp;BB$6,'Job Master'!$F$12:$J$102,5,0),"")</f>
        <v/>
      </c>
      <c r="BC322" s="19" t="str">
        <f>IF(BD322&lt;&gt;"",VLOOKUP($P322&amp;" | "&amp;BB$6,'Job Master'!$F$12:$J$102,3,0),"")</f>
        <v/>
      </c>
      <c r="BD322" s="19" t="str">
        <f>IFERROR(IF(AND(BK322&lt;&gt;"",VLOOKUP($P322&amp;" | "&amp;BB$6,'Job Master'!$F$12:$I$102,4,0)&lt;&gt;""),IF(WEEKDAY(BK322-VLOOKUP($P322&amp;" | "&amp;BB$6,'Job Master'!$F$12:$I$102,4,0))&lt;&gt;7,BK322-VLOOKUP($P322&amp;" | "&amp;BB$6,'Job Master'!$F$12:$I$102,4,0),BK322-VLOOKUP($P322&amp;" | "&amp;BB$6,'Job Master'!$F$12:$I$102,4,0)-1),""),"")</f>
        <v/>
      </c>
      <c r="BE322" s="73"/>
      <c r="BF322" s="123" t="str">
        <f t="shared" si="531"/>
        <v/>
      </c>
      <c r="BG322" s="123" t="str">
        <f t="shared" si="532"/>
        <v/>
      </c>
      <c r="BH322" s="97" t="str">
        <f t="shared" ca="1" si="533"/>
        <v/>
      </c>
      <c r="BI322" s="98" t="str">
        <f>IF(BK322&lt;&gt;"",VLOOKUP($P322&amp;" | "&amp;BI$6,'Job Master'!$F$12:$J$102,5,0),"")</f>
        <v/>
      </c>
      <c r="BJ322" s="19" t="str">
        <f>IF(BK322&lt;&gt;"",VLOOKUP($P322&amp;" | "&amp;BI$6,'Job Master'!$F$12:$J$102,3,0),"")</f>
        <v/>
      </c>
      <c r="BK322" s="19" t="str">
        <f>IFERROR(IF(AND(BR322&lt;&gt;"",VLOOKUP($P322&amp;" | "&amp;BI$6,'Job Master'!$F$12:$I$102,4,0)&lt;&gt;""),IF(WEEKDAY(BR322-VLOOKUP($P322&amp;" | "&amp;BI$6,'Job Master'!$F$12:$I$102,4,0))&lt;&gt;7,BR322-VLOOKUP($P322&amp;" | "&amp;BI$6,'Job Master'!$F$12:$I$102,4,0),BR322-VLOOKUP($P322&amp;" | "&amp;BI$6,'Job Master'!$F$12:$I$102,4,0)-1),""),"")</f>
        <v/>
      </c>
      <c r="BL322" s="73"/>
      <c r="BM322" s="123" t="str">
        <f t="shared" si="534"/>
        <v/>
      </c>
      <c r="BN322" s="123" t="str">
        <f t="shared" si="535"/>
        <v/>
      </c>
      <c r="BO322" s="97" t="str">
        <f t="shared" ca="1" si="536"/>
        <v/>
      </c>
      <c r="BP322" s="98" t="str">
        <f>IF(BR322&lt;&gt;"",VLOOKUP($P322&amp;" | "&amp;BP$6,'Job Master'!$F$12:$J$102,5,0),"")</f>
        <v/>
      </c>
      <c r="BQ322" s="19" t="str">
        <f>IF(BR322&lt;&gt;"",VLOOKUP($P322&amp;" | "&amp;BP$6,'Job Master'!$F$12:$J$102,3,0),"")</f>
        <v/>
      </c>
      <c r="BR322" s="19" t="str">
        <f>IFERROR(IF(AND(BY322&lt;&gt;"",VLOOKUP($P322&amp;" | "&amp;BP$6,'Job Master'!$F$12:$I$102,4,0)&lt;&gt;""),IF(WEEKDAY(BY322-VLOOKUP($P322&amp;" | "&amp;BP$6,'Job Master'!$F$12:$I$102,4,0))&lt;&gt;7,BY322-VLOOKUP($P322&amp;" | "&amp;BP$6,'Job Master'!$F$12:$I$102,4,0),BY322-VLOOKUP($P322&amp;" | "&amp;BP$6,'Job Master'!$F$12:$I$102,4,0)-1),""),"")</f>
        <v/>
      </c>
      <c r="BS322" s="73"/>
      <c r="BT322" s="123" t="str">
        <f t="shared" si="537"/>
        <v/>
      </c>
      <c r="BU322" s="123" t="str">
        <f t="shared" si="538"/>
        <v/>
      </c>
      <c r="BV322" s="97" t="str">
        <f t="shared" ca="1" si="539"/>
        <v/>
      </c>
      <c r="BW322" s="98" t="str">
        <f>IF(BY322&lt;&gt;"",VLOOKUP($P322&amp;" | "&amp;BW$6,'Job Master'!$F$12:$J$102,5,0),"")</f>
        <v/>
      </c>
      <c r="BX322" s="19" t="str">
        <f>IF(BY322&lt;&gt;"",VLOOKUP($P322&amp;" | "&amp;BW$6,'Job Master'!$F$12:$J$102,3,0),"")</f>
        <v/>
      </c>
      <c r="BY322" s="19" t="str">
        <f>IFERROR(IF(AND(CF322&lt;&gt;"",VLOOKUP($P322&amp;" | "&amp;BW$6,'Job Master'!$F$12:$I$102,4,0)&lt;&gt;""),IF(WEEKDAY(CF322-VLOOKUP($P322&amp;" | "&amp;BW$6,'Job Master'!$F$12:$I$102,4,0))&lt;&gt;7,CF322-VLOOKUP($P322&amp;" | "&amp;BW$6,'Job Master'!$F$12:$I$102,4,0),CF322-VLOOKUP($P322&amp;" | "&amp;BW$6,'Job Master'!$F$12:$I$102,4,0)-1),""),"")</f>
        <v/>
      </c>
      <c r="BZ322" s="73"/>
      <c r="CA322" s="123" t="str">
        <f t="shared" si="540"/>
        <v/>
      </c>
      <c r="CB322" s="123" t="str">
        <f t="shared" si="541"/>
        <v/>
      </c>
      <c r="CC322" s="97" t="str">
        <f t="shared" ca="1" si="542"/>
        <v/>
      </c>
      <c r="CD322" s="98" t="str">
        <f>IF(CF322&lt;&gt;"",VLOOKUP($P322&amp;" | "&amp;CD$6,'Job Master'!$F$12:$J$102,5,0),"")</f>
        <v/>
      </c>
      <c r="CE322" s="19" t="str">
        <f>IF(CF322&lt;&gt;"",VLOOKUP($P322&amp;" | "&amp;CD$6,'Job Master'!$F$12:$J$102,3,0),"")</f>
        <v/>
      </c>
      <c r="CF322" s="19" t="str">
        <f>IFERROR(IF(AND(CM322&lt;&gt;"",VLOOKUP($P322&amp;" | "&amp;CD$6,'Job Master'!$F$12:$I$102,4,0)&lt;&gt;""),IF(WEEKDAY(CM322-VLOOKUP($P322&amp;" | "&amp;CD$6,'Job Master'!$F$12:$I$102,4,0))&lt;&gt;7,CM322-VLOOKUP($P322&amp;" | "&amp;CD$6,'Job Master'!$F$12:$I$102,4,0),CM322-VLOOKUP($P322&amp;" | "&amp;CD$6,'Job Master'!$F$12:$I$102,4,0)-1),""),"")</f>
        <v/>
      </c>
      <c r="CG322" s="73"/>
      <c r="CH322" s="123" t="str">
        <f t="shared" si="543"/>
        <v/>
      </c>
      <c r="CI322" s="123" t="str">
        <f t="shared" si="544"/>
        <v/>
      </c>
      <c r="CJ322" s="97" t="str">
        <f t="shared" ca="1" si="545"/>
        <v/>
      </c>
      <c r="CK322" s="98" t="str">
        <f>IF(CM322&lt;&gt;"",VLOOKUP($P322&amp;" | "&amp;CK$6,'Job Master'!$F$12:$J$102,5,0),"")</f>
        <v/>
      </c>
      <c r="CL322" s="19" t="str">
        <f>IF(CM322&lt;&gt;"",VLOOKUP($P322&amp;" | "&amp;CK$6,'Job Master'!$F$12:$J$102,3,0),"")</f>
        <v/>
      </c>
      <c r="CM322" s="19" t="str">
        <f>IFERROR(IF(AND(CT322&lt;&gt;"",VLOOKUP($P322&amp;" | "&amp;CK$6,'Job Master'!$F$12:$I$102,4,0)&lt;&gt;""),IF(WEEKDAY(CT322-VLOOKUP($P322&amp;" | "&amp;CK$6,'Job Master'!$F$12:$I$102,4,0))&lt;&gt;7,CT322-VLOOKUP($P322&amp;" | "&amp;CK$6,'Job Master'!$F$12:$I$102,4,0),CT322-VLOOKUP($P322&amp;" | "&amp;CK$6,'Job Master'!$F$12:$I$102,4,0)-1),""),"")</f>
        <v/>
      </c>
      <c r="CN322" s="73"/>
      <c r="CO322" s="123" t="str">
        <f t="shared" si="546"/>
        <v/>
      </c>
      <c r="CP322" s="123" t="str">
        <f t="shared" si="547"/>
        <v/>
      </c>
      <c r="CQ322" s="97" t="str">
        <f t="shared" ca="1" si="548"/>
        <v/>
      </c>
      <c r="CR322" s="98" t="str">
        <f>IF(CT322&lt;&gt;"",VLOOKUP($P322&amp;" | "&amp;CR$6,'Job Master'!$F$12:$J$102,5,0),"")</f>
        <v/>
      </c>
      <c r="CS322" s="19" t="str">
        <f>IF(CT322&lt;&gt;"",VLOOKUP($P322&amp;" | "&amp;CR$6,'Job Master'!$F$12:$J$102,3,0),"")</f>
        <v/>
      </c>
      <c r="CT322" s="19" t="str">
        <f>IFERROR(IF(AND(DA322&lt;&gt;"",VLOOKUP($P322&amp;" | "&amp;CR$6,'Job Master'!$F$12:$I$102,4,0)&lt;&gt;""),IF(WEEKDAY(DA322-VLOOKUP($P322&amp;" | "&amp;CR$6,'Job Master'!$F$12:$I$102,4,0))&lt;&gt;7,DA322-VLOOKUP($P322&amp;" | "&amp;CR$6,'Job Master'!$F$12:$I$102,4,0),DA322-VLOOKUP($P322&amp;" | "&amp;CR$6,'Job Master'!$F$12:$I$102,4,0)-1),""),"")</f>
        <v/>
      </c>
      <c r="CU322" s="73"/>
      <c r="CV322" s="123" t="str">
        <f t="shared" si="549"/>
        <v/>
      </c>
      <c r="CW322" s="123" t="str">
        <f t="shared" si="550"/>
        <v/>
      </c>
      <c r="CX322" s="97" t="str">
        <f t="shared" ca="1" si="551"/>
        <v/>
      </c>
      <c r="CY322" s="98" t="str">
        <f>IF(DA322&lt;&gt;"",VLOOKUP($P322&amp;" | "&amp;CY$6,'Job Master'!$F$12:$J$102,5,0),"")</f>
        <v/>
      </c>
      <c r="CZ322" s="19" t="str">
        <f>IF(DA322&lt;&gt;"",VLOOKUP($P322&amp;" | "&amp;CY$6,'Job Master'!$F$12:$J$102,3,0),"")</f>
        <v/>
      </c>
      <c r="DA322" s="19" t="str">
        <f>IFERROR(IF(AND(DH322&lt;&gt;"",VLOOKUP($P322&amp;" | "&amp;CY$6,'Job Master'!$F$12:$I$102,4,0)&lt;&gt;""),IF(WEEKDAY(DH322-VLOOKUP($P322&amp;" | "&amp;CY$6,'Job Master'!$F$12:$I$102,4,0))&lt;&gt;7,DH322-VLOOKUP($P322&amp;" | "&amp;CY$6,'Job Master'!$F$12:$I$102,4,0),DH322-VLOOKUP($P322&amp;" | "&amp;CY$6,'Job Master'!$F$12:$I$102,4,0)-1),""),"")</f>
        <v/>
      </c>
      <c r="DB322" s="73"/>
      <c r="DC322" s="123" t="str">
        <f t="shared" si="552"/>
        <v/>
      </c>
      <c r="DD322" s="123" t="str">
        <f t="shared" si="553"/>
        <v/>
      </c>
      <c r="DE322" s="97" t="str">
        <f t="shared" ca="1" si="554"/>
        <v/>
      </c>
      <c r="DF322" s="98" t="str">
        <f>IF(DH322&lt;&gt;"",VLOOKUP($P322&amp;" | "&amp;DF$6,'Job Master'!$F$12:$J$102,5,0),"")</f>
        <v/>
      </c>
      <c r="DG322" s="19" t="str">
        <f>IF(DH322&lt;&gt;"",VLOOKUP($P322&amp;" | "&amp;DF$6,'Job Master'!$F$12:$J$102,3,0),"")</f>
        <v/>
      </c>
      <c r="DH322" s="19" t="str">
        <f>IFERROR(IF(AND(DO322&lt;&gt;"",VLOOKUP($P322&amp;" | "&amp;DF$6,'Job Master'!$F$12:$I$102,4,0)&lt;&gt;""),IF(WEEKDAY(DO322-VLOOKUP($P322&amp;" | "&amp;DF$6,'Job Master'!$F$12:$I$102,4,0))&lt;&gt;7,DO322-VLOOKUP($P322&amp;" | "&amp;DF$6,'Job Master'!$F$12:$I$102,4,0),DO322-VLOOKUP($P322&amp;" | "&amp;DF$6,'Job Master'!$F$12:$I$102,4,0)-1),""),"")</f>
        <v/>
      </c>
      <c r="DI322" s="73"/>
      <c r="DJ322" s="123" t="str">
        <f t="shared" si="555"/>
        <v/>
      </c>
      <c r="DK322" s="123" t="str">
        <f t="shared" si="556"/>
        <v/>
      </c>
      <c r="DL322" s="97" t="str">
        <f t="shared" ca="1" si="557"/>
        <v/>
      </c>
      <c r="DM322" s="98" t="str">
        <f>IF(DO322&lt;&gt;"",VLOOKUP($P322&amp;" | "&amp;DM$6,'Job Master'!$F$12:$J$102,5,0),"")</f>
        <v/>
      </c>
      <c r="DN322" s="19" t="str">
        <f>IF(DO322&lt;&gt;"",VLOOKUP($P322&amp;" | "&amp;DM$6,'Job Master'!$F$12:$J$102,3,0),"")</f>
        <v/>
      </c>
      <c r="DO322" s="19" t="str">
        <f>IFERROR(IF(AND(DT322&lt;&gt;"",VLOOKUP($P322&amp;" | "&amp;DM$6,'Job Master'!$F$12:$I$102,4,0)&lt;&gt;""),IF(WEEKDAY(DT322-VLOOKUP($P322&amp;" | "&amp;DM$6,'Job Master'!$F$12:$I$102,4,0))&lt;&gt;7,DT322-VLOOKUP($P322&amp;" | "&amp;DM$6,'Job Master'!$F$12:$I$102,4,0),DT322-VLOOKUP($P322&amp;" | "&amp;DM$6,'Job Master'!$F$12:$I$102,4,0)-1),""),"")</f>
        <v/>
      </c>
      <c r="DP322" s="73"/>
      <c r="DQ322" s="123" t="str">
        <f t="shared" si="558"/>
        <v/>
      </c>
      <c r="DR322" s="123" t="str">
        <f t="shared" si="559"/>
        <v/>
      </c>
      <c r="DS322" s="97" t="str">
        <f t="shared" ca="1" si="560"/>
        <v/>
      </c>
      <c r="DT322" s="70" t="str">
        <f t="shared" si="561"/>
        <v/>
      </c>
      <c r="DU322" s="90"/>
      <c r="DV322" s="123" t="str">
        <f t="shared" si="562"/>
        <v/>
      </c>
      <c r="DW322" s="123" t="str">
        <f t="shared" si="563"/>
        <v/>
      </c>
      <c r="DX322" s="132" t="str">
        <f t="shared" ref="DX322" ca="1" si="631">IF(DT322&lt;&gt;"",IF(WEEKNUM(DT322)=WEEKNUM(TODAY()),"This Week",IF(WEEKNUM(DT322)=WEEKNUM(TODAY())+1,"Next Week",IF(WEEKNUM(DT322)=WEEKNUM(TODAY())-1,"Previous Week",""))),"")</f>
        <v/>
      </c>
      <c r="DY322" s="134" t="str">
        <f t="shared" si="565"/>
        <v/>
      </c>
      <c r="DZ322" s="95"/>
      <c r="EB322" s="8" t="str">
        <f t="shared" si="571"/>
        <v/>
      </c>
      <c r="EC322" s="8" t="str">
        <f>IF(O322&lt;&gt;"",VLOOKUP(O322,'Job Master'!$N$12:$O$18,2,0),"")</f>
        <v/>
      </c>
      <c r="ED322" s="8">
        <f t="shared" si="572"/>
        <v>19.5</v>
      </c>
      <c r="EE322" s="8">
        <f t="shared" si="573"/>
        <v>6</v>
      </c>
      <c r="EF322" s="8">
        <f t="shared" si="574"/>
        <v>-1852.5</v>
      </c>
      <c r="EG322" s="8" t="str">
        <f t="shared" si="575"/>
        <v/>
      </c>
      <c r="EH322" s="8" t="str">
        <f t="shared" si="576"/>
        <v/>
      </c>
    </row>
    <row r="323" spans="2:138" x14ac:dyDescent="0.3">
      <c r="B323" s="112"/>
      <c r="C323" s="27"/>
      <c r="D323" s="7" t="str">
        <f t="shared" si="513"/>
        <v/>
      </c>
      <c r="E323" s="25"/>
      <c r="F323" s="7" t="str">
        <f t="shared" si="513"/>
        <v/>
      </c>
      <c r="G323" s="25"/>
      <c r="H323" s="7" t="str">
        <f t="shared" si="513"/>
        <v/>
      </c>
      <c r="I323" s="25"/>
      <c r="J323" s="7" t="str">
        <f t="shared" si="513"/>
        <v/>
      </c>
      <c r="K323" s="25"/>
      <c r="L323" s="7" t="str">
        <f t="shared" si="514"/>
        <v/>
      </c>
      <c r="M323" s="25"/>
      <c r="N323" s="7" t="str">
        <f t="shared" si="515"/>
        <v/>
      </c>
      <c r="O323" s="81"/>
      <c r="P323" s="81" t="str">
        <f t="shared" si="516"/>
        <v/>
      </c>
      <c r="Q323" s="81"/>
      <c r="R323" s="7" t="str">
        <f t="shared" si="517"/>
        <v/>
      </c>
      <c r="S323" s="25"/>
      <c r="T323" s="7" t="str">
        <f t="shared" si="518"/>
        <v/>
      </c>
      <c r="U323" s="25"/>
      <c r="V323" s="7" t="str">
        <f t="shared" si="519"/>
        <v/>
      </c>
      <c r="W323" s="25"/>
      <c r="X323" s="7" t="str">
        <f t="shared" si="520"/>
        <v/>
      </c>
      <c r="Y323" s="18" t="str">
        <f t="shared" si="521"/>
        <v/>
      </c>
      <c r="Z323" s="7" t="str">
        <f t="shared" si="522"/>
        <v/>
      </c>
      <c r="AA323" s="18" t="str">
        <f t="shared" si="523"/>
        <v/>
      </c>
      <c r="AB323" s="19" t="str">
        <f t="shared" si="524"/>
        <v/>
      </c>
      <c r="AC323" s="26"/>
      <c r="AD323" s="26"/>
      <c r="AE323" s="25"/>
      <c r="AF323" s="26"/>
      <c r="AG323" s="25"/>
      <c r="AH323" s="25"/>
      <c r="AI323" s="18" t="str">
        <f t="shared" si="587"/>
        <v/>
      </c>
      <c r="AJ323" s="25"/>
      <c r="AK323" s="18" t="str">
        <f t="shared" si="588"/>
        <v/>
      </c>
      <c r="AL323" s="79"/>
      <c r="AM323" s="126" t="str">
        <f t="shared" si="589"/>
        <v/>
      </c>
      <c r="AN323" s="128" t="str">
        <f>IF(AP323&lt;&gt;"",VLOOKUP($P323&amp;" | "&amp;AN$6,'Job Master'!$F$12:$J$102,5,0),"")</f>
        <v/>
      </c>
      <c r="AO323" s="19" t="str">
        <f>IF(AP323&lt;&gt;"",VLOOKUP($P323&amp;" | "&amp;AN$6,'Job Master'!$F$12:$J$102,3,0),"")</f>
        <v/>
      </c>
      <c r="AP323" s="19" t="str">
        <f>IFERROR(IF(AND(AW323&lt;&gt;"",VLOOKUP($P323&amp;" | "&amp;AN$6,'Job Master'!$F$12:$I$102,4,0)&lt;&gt;""),IF(WEEKDAY(AW323-VLOOKUP($P323&amp;" | "&amp;AN$6,'Job Master'!$F$12:$I$102,4,0))&lt;&gt;7,AW323-VLOOKUP($P323&amp;" | "&amp;AN$6,'Job Master'!$F$12:$I$102,4,0),AW323-VLOOKUP($P323&amp;" | "&amp;AN$6,'Job Master'!$F$12:$I$102,4,0)-1),""),"")</f>
        <v/>
      </c>
      <c r="AQ323" s="73"/>
      <c r="AR323" s="123" t="str">
        <f t="shared" si="525"/>
        <v/>
      </c>
      <c r="AS323" s="123" t="str">
        <f t="shared" si="526"/>
        <v/>
      </c>
      <c r="AT323" s="97" t="str">
        <f t="shared" ca="1" si="527"/>
        <v/>
      </c>
      <c r="AU323" s="98" t="str">
        <f>IF(AW323&lt;&gt;"",VLOOKUP($P323&amp;" | "&amp;AU$6,'Job Master'!$F$12:$J$102,5,0),"")</f>
        <v/>
      </c>
      <c r="AV323" s="19" t="str">
        <f>IF(AW323&lt;&gt;"",VLOOKUP($P323&amp;" | "&amp;AU$6,'Job Master'!$F$12:$J$102,3,0),"")</f>
        <v/>
      </c>
      <c r="AW323" s="19" t="str">
        <f>IFERROR(IF(AND(BD323&lt;&gt;"",VLOOKUP($P323&amp;" | "&amp;AU$6,'Job Master'!$F$12:$I$102,4,0)&lt;&gt;""),IF(WEEKDAY(BD323-VLOOKUP($P323&amp;" | "&amp;AU$6,'Job Master'!$F$12:$I$102,4,0))&lt;&gt;7,BD323-VLOOKUP($P323&amp;" | "&amp;AU$6,'Job Master'!$F$12:$I$102,4,0),BD323-VLOOKUP($P323&amp;" | "&amp;AU$6,'Job Master'!$F$12:$I$102,4,0)-1),""),"")</f>
        <v/>
      </c>
      <c r="AX323" s="73"/>
      <c r="AY323" s="123" t="str">
        <f t="shared" si="528"/>
        <v/>
      </c>
      <c r="AZ323" s="123" t="str">
        <f t="shared" si="529"/>
        <v/>
      </c>
      <c r="BA323" s="97" t="str">
        <f t="shared" ca="1" si="530"/>
        <v/>
      </c>
      <c r="BB323" s="98" t="str">
        <f>IF(BD323&lt;&gt;"",VLOOKUP($P323&amp;" | "&amp;BB$6,'Job Master'!$F$12:$J$102,5,0),"")</f>
        <v/>
      </c>
      <c r="BC323" s="19" t="str">
        <f>IF(BD323&lt;&gt;"",VLOOKUP($P323&amp;" | "&amp;BB$6,'Job Master'!$F$12:$J$102,3,0),"")</f>
        <v/>
      </c>
      <c r="BD323" s="19" t="str">
        <f>IFERROR(IF(AND(BK323&lt;&gt;"",VLOOKUP($P323&amp;" | "&amp;BB$6,'Job Master'!$F$12:$I$102,4,0)&lt;&gt;""),IF(WEEKDAY(BK323-VLOOKUP($P323&amp;" | "&amp;BB$6,'Job Master'!$F$12:$I$102,4,0))&lt;&gt;7,BK323-VLOOKUP($P323&amp;" | "&amp;BB$6,'Job Master'!$F$12:$I$102,4,0),BK323-VLOOKUP($P323&amp;" | "&amp;BB$6,'Job Master'!$F$12:$I$102,4,0)-1),""),"")</f>
        <v/>
      </c>
      <c r="BE323" s="73"/>
      <c r="BF323" s="123" t="str">
        <f t="shared" si="531"/>
        <v/>
      </c>
      <c r="BG323" s="123" t="str">
        <f t="shared" si="532"/>
        <v/>
      </c>
      <c r="BH323" s="97" t="str">
        <f t="shared" ca="1" si="533"/>
        <v/>
      </c>
      <c r="BI323" s="98" t="str">
        <f>IF(BK323&lt;&gt;"",VLOOKUP($P323&amp;" | "&amp;BI$6,'Job Master'!$F$12:$J$102,5,0),"")</f>
        <v/>
      </c>
      <c r="BJ323" s="19" t="str">
        <f>IF(BK323&lt;&gt;"",VLOOKUP($P323&amp;" | "&amp;BI$6,'Job Master'!$F$12:$J$102,3,0),"")</f>
        <v/>
      </c>
      <c r="BK323" s="19" t="str">
        <f>IFERROR(IF(AND(BR323&lt;&gt;"",VLOOKUP($P323&amp;" | "&amp;BI$6,'Job Master'!$F$12:$I$102,4,0)&lt;&gt;""),IF(WEEKDAY(BR323-VLOOKUP($P323&amp;" | "&amp;BI$6,'Job Master'!$F$12:$I$102,4,0))&lt;&gt;7,BR323-VLOOKUP($P323&amp;" | "&amp;BI$6,'Job Master'!$F$12:$I$102,4,0),BR323-VLOOKUP($P323&amp;" | "&amp;BI$6,'Job Master'!$F$12:$I$102,4,0)-1),""),"")</f>
        <v/>
      </c>
      <c r="BL323" s="73"/>
      <c r="BM323" s="123" t="str">
        <f t="shared" si="534"/>
        <v/>
      </c>
      <c r="BN323" s="123" t="str">
        <f t="shared" si="535"/>
        <v/>
      </c>
      <c r="BO323" s="97" t="str">
        <f t="shared" ca="1" si="536"/>
        <v/>
      </c>
      <c r="BP323" s="98" t="str">
        <f>IF(BR323&lt;&gt;"",VLOOKUP($P323&amp;" | "&amp;BP$6,'Job Master'!$F$12:$J$102,5,0),"")</f>
        <v/>
      </c>
      <c r="BQ323" s="19" t="str">
        <f>IF(BR323&lt;&gt;"",VLOOKUP($P323&amp;" | "&amp;BP$6,'Job Master'!$F$12:$J$102,3,0),"")</f>
        <v/>
      </c>
      <c r="BR323" s="19" t="str">
        <f>IFERROR(IF(AND(BY323&lt;&gt;"",VLOOKUP($P323&amp;" | "&amp;BP$6,'Job Master'!$F$12:$I$102,4,0)&lt;&gt;""),IF(WEEKDAY(BY323-VLOOKUP($P323&amp;" | "&amp;BP$6,'Job Master'!$F$12:$I$102,4,0))&lt;&gt;7,BY323-VLOOKUP($P323&amp;" | "&amp;BP$6,'Job Master'!$F$12:$I$102,4,0),BY323-VLOOKUP($P323&amp;" | "&amp;BP$6,'Job Master'!$F$12:$I$102,4,0)-1),""),"")</f>
        <v/>
      </c>
      <c r="BS323" s="73"/>
      <c r="BT323" s="123" t="str">
        <f t="shared" si="537"/>
        <v/>
      </c>
      <c r="BU323" s="123" t="str">
        <f t="shared" si="538"/>
        <v/>
      </c>
      <c r="BV323" s="97" t="str">
        <f t="shared" ca="1" si="539"/>
        <v/>
      </c>
      <c r="BW323" s="98" t="str">
        <f>IF(BY323&lt;&gt;"",VLOOKUP($P323&amp;" | "&amp;BW$6,'Job Master'!$F$12:$J$102,5,0),"")</f>
        <v/>
      </c>
      <c r="BX323" s="19" t="str">
        <f>IF(BY323&lt;&gt;"",VLOOKUP($P323&amp;" | "&amp;BW$6,'Job Master'!$F$12:$J$102,3,0),"")</f>
        <v/>
      </c>
      <c r="BY323" s="19" t="str">
        <f>IFERROR(IF(AND(CF323&lt;&gt;"",VLOOKUP($P323&amp;" | "&amp;BW$6,'Job Master'!$F$12:$I$102,4,0)&lt;&gt;""),IF(WEEKDAY(CF323-VLOOKUP($P323&amp;" | "&amp;BW$6,'Job Master'!$F$12:$I$102,4,0))&lt;&gt;7,CF323-VLOOKUP($P323&amp;" | "&amp;BW$6,'Job Master'!$F$12:$I$102,4,0),CF323-VLOOKUP($P323&amp;" | "&amp;BW$6,'Job Master'!$F$12:$I$102,4,0)-1),""),"")</f>
        <v/>
      </c>
      <c r="BZ323" s="73"/>
      <c r="CA323" s="123" t="str">
        <f t="shared" si="540"/>
        <v/>
      </c>
      <c r="CB323" s="123" t="str">
        <f t="shared" si="541"/>
        <v/>
      </c>
      <c r="CC323" s="97" t="str">
        <f t="shared" ca="1" si="542"/>
        <v/>
      </c>
      <c r="CD323" s="98" t="str">
        <f>IF(CF323&lt;&gt;"",VLOOKUP($P323&amp;" | "&amp;CD$6,'Job Master'!$F$12:$J$102,5,0),"")</f>
        <v/>
      </c>
      <c r="CE323" s="19" t="str">
        <f>IF(CF323&lt;&gt;"",VLOOKUP($P323&amp;" | "&amp;CD$6,'Job Master'!$F$12:$J$102,3,0),"")</f>
        <v/>
      </c>
      <c r="CF323" s="19" t="str">
        <f>IFERROR(IF(AND(CM323&lt;&gt;"",VLOOKUP($P323&amp;" | "&amp;CD$6,'Job Master'!$F$12:$I$102,4,0)&lt;&gt;""),IF(WEEKDAY(CM323-VLOOKUP($P323&amp;" | "&amp;CD$6,'Job Master'!$F$12:$I$102,4,0))&lt;&gt;7,CM323-VLOOKUP($P323&amp;" | "&amp;CD$6,'Job Master'!$F$12:$I$102,4,0),CM323-VLOOKUP($P323&amp;" | "&amp;CD$6,'Job Master'!$F$12:$I$102,4,0)-1),""),"")</f>
        <v/>
      </c>
      <c r="CG323" s="73"/>
      <c r="CH323" s="123" t="str">
        <f t="shared" si="543"/>
        <v/>
      </c>
      <c r="CI323" s="123" t="str">
        <f t="shared" si="544"/>
        <v/>
      </c>
      <c r="CJ323" s="97" t="str">
        <f t="shared" ca="1" si="545"/>
        <v/>
      </c>
      <c r="CK323" s="98" t="str">
        <f>IF(CM323&lt;&gt;"",VLOOKUP($P323&amp;" | "&amp;CK$6,'Job Master'!$F$12:$J$102,5,0),"")</f>
        <v/>
      </c>
      <c r="CL323" s="19" t="str">
        <f>IF(CM323&lt;&gt;"",VLOOKUP($P323&amp;" | "&amp;CK$6,'Job Master'!$F$12:$J$102,3,0),"")</f>
        <v/>
      </c>
      <c r="CM323" s="19" t="str">
        <f>IFERROR(IF(AND(CT323&lt;&gt;"",VLOOKUP($P323&amp;" | "&amp;CK$6,'Job Master'!$F$12:$I$102,4,0)&lt;&gt;""),IF(WEEKDAY(CT323-VLOOKUP($P323&amp;" | "&amp;CK$6,'Job Master'!$F$12:$I$102,4,0))&lt;&gt;7,CT323-VLOOKUP($P323&amp;" | "&amp;CK$6,'Job Master'!$F$12:$I$102,4,0),CT323-VLOOKUP($P323&amp;" | "&amp;CK$6,'Job Master'!$F$12:$I$102,4,0)-1),""),"")</f>
        <v/>
      </c>
      <c r="CN323" s="73"/>
      <c r="CO323" s="123" t="str">
        <f t="shared" si="546"/>
        <v/>
      </c>
      <c r="CP323" s="123" t="str">
        <f t="shared" si="547"/>
        <v/>
      </c>
      <c r="CQ323" s="97" t="str">
        <f t="shared" ca="1" si="548"/>
        <v/>
      </c>
      <c r="CR323" s="98" t="str">
        <f>IF(CT323&lt;&gt;"",VLOOKUP($P323&amp;" | "&amp;CR$6,'Job Master'!$F$12:$J$102,5,0),"")</f>
        <v/>
      </c>
      <c r="CS323" s="19" t="str">
        <f>IF(CT323&lt;&gt;"",VLOOKUP($P323&amp;" | "&amp;CR$6,'Job Master'!$F$12:$J$102,3,0),"")</f>
        <v/>
      </c>
      <c r="CT323" s="19" t="str">
        <f>IFERROR(IF(AND(DA323&lt;&gt;"",VLOOKUP($P323&amp;" | "&amp;CR$6,'Job Master'!$F$12:$I$102,4,0)&lt;&gt;""),IF(WEEKDAY(DA323-VLOOKUP($P323&amp;" | "&amp;CR$6,'Job Master'!$F$12:$I$102,4,0))&lt;&gt;7,DA323-VLOOKUP($P323&amp;" | "&amp;CR$6,'Job Master'!$F$12:$I$102,4,0),DA323-VLOOKUP($P323&amp;" | "&amp;CR$6,'Job Master'!$F$12:$I$102,4,0)-1),""),"")</f>
        <v/>
      </c>
      <c r="CU323" s="73"/>
      <c r="CV323" s="123" t="str">
        <f t="shared" si="549"/>
        <v/>
      </c>
      <c r="CW323" s="123" t="str">
        <f t="shared" si="550"/>
        <v/>
      </c>
      <c r="CX323" s="97" t="str">
        <f t="shared" ca="1" si="551"/>
        <v/>
      </c>
      <c r="CY323" s="98" t="str">
        <f>IF(DA323&lt;&gt;"",VLOOKUP($P323&amp;" | "&amp;CY$6,'Job Master'!$F$12:$J$102,5,0),"")</f>
        <v/>
      </c>
      <c r="CZ323" s="19" t="str">
        <f>IF(DA323&lt;&gt;"",VLOOKUP($P323&amp;" | "&amp;CY$6,'Job Master'!$F$12:$J$102,3,0),"")</f>
        <v/>
      </c>
      <c r="DA323" s="19" t="str">
        <f>IFERROR(IF(AND(DH323&lt;&gt;"",VLOOKUP($P323&amp;" | "&amp;CY$6,'Job Master'!$F$12:$I$102,4,0)&lt;&gt;""),IF(WEEKDAY(DH323-VLOOKUP($P323&amp;" | "&amp;CY$6,'Job Master'!$F$12:$I$102,4,0))&lt;&gt;7,DH323-VLOOKUP($P323&amp;" | "&amp;CY$6,'Job Master'!$F$12:$I$102,4,0),DH323-VLOOKUP($P323&amp;" | "&amp;CY$6,'Job Master'!$F$12:$I$102,4,0)-1),""),"")</f>
        <v/>
      </c>
      <c r="DB323" s="73"/>
      <c r="DC323" s="123" t="str">
        <f t="shared" si="552"/>
        <v/>
      </c>
      <c r="DD323" s="123" t="str">
        <f t="shared" si="553"/>
        <v/>
      </c>
      <c r="DE323" s="97" t="str">
        <f t="shared" ca="1" si="554"/>
        <v/>
      </c>
      <c r="DF323" s="98" t="str">
        <f>IF(DH323&lt;&gt;"",VLOOKUP($P323&amp;" | "&amp;DF$6,'Job Master'!$F$12:$J$102,5,0),"")</f>
        <v/>
      </c>
      <c r="DG323" s="19" t="str">
        <f>IF(DH323&lt;&gt;"",VLOOKUP($P323&amp;" | "&amp;DF$6,'Job Master'!$F$12:$J$102,3,0),"")</f>
        <v/>
      </c>
      <c r="DH323" s="19" t="str">
        <f>IFERROR(IF(AND(DO323&lt;&gt;"",VLOOKUP($P323&amp;" | "&amp;DF$6,'Job Master'!$F$12:$I$102,4,0)&lt;&gt;""),IF(WEEKDAY(DO323-VLOOKUP($P323&amp;" | "&amp;DF$6,'Job Master'!$F$12:$I$102,4,0))&lt;&gt;7,DO323-VLOOKUP($P323&amp;" | "&amp;DF$6,'Job Master'!$F$12:$I$102,4,0),DO323-VLOOKUP($P323&amp;" | "&amp;DF$6,'Job Master'!$F$12:$I$102,4,0)-1),""),"")</f>
        <v/>
      </c>
      <c r="DI323" s="73"/>
      <c r="DJ323" s="123" t="str">
        <f t="shared" si="555"/>
        <v/>
      </c>
      <c r="DK323" s="123" t="str">
        <f t="shared" si="556"/>
        <v/>
      </c>
      <c r="DL323" s="97" t="str">
        <f t="shared" ca="1" si="557"/>
        <v/>
      </c>
      <c r="DM323" s="98" t="str">
        <f>IF(DO323&lt;&gt;"",VLOOKUP($P323&amp;" | "&amp;DM$6,'Job Master'!$F$12:$J$102,5,0),"")</f>
        <v/>
      </c>
      <c r="DN323" s="19" t="str">
        <f>IF(DO323&lt;&gt;"",VLOOKUP($P323&amp;" | "&amp;DM$6,'Job Master'!$F$12:$J$102,3,0),"")</f>
        <v/>
      </c>
      <c r="DO323" s="19" t="str">
        <f>IFERROR(IF(AND(DT323&lt;&gt;"",VLOOKUP($P323&amp;" | "&amp;DM$6,'Job Master'!$F$12:$I$102,4,0)&lt;&gt;""),IF(WEEKDAY(DT323-VLOOKUP($P323&amp;" | "&amp;DM$6,'Job Master'!$F$12:$I$102,4,0))&lt;&gt;7,DT323-VLOOKUP($P323&amp;" | "&amp;DM$6,'Job Master'!$F$12:$I$102,4,0),DT323-VLOOKUP($P323&amp;" | "&amp;DM$6,'Job Master'!$F$12:$I$102,4,0)-1),""),"")</f>
        <v/>
      </c>
      <c r="DP323" s="73"/>
      <c r="DQ323" s="123" t="str">
        <f t="shared" si="558"/>
        <v/>
      </c>
      <c r="DR323" s="123" t="str">
        <f t="shared" si="559"/>
        <v/>
      </c>
      <c r="DS323" s="97" t="str">
        <f t="shared" ca="1" si="560"/>
        <v/>
      </c>
      <c r="DT323" s="70" t="str">
        <f t="shared" si="561"/>
        <v/>
      </c>
      <c r="DU323" s="90"/>
      <c r="DV323" s="123" t="str">
        <f t="shared" si="562"/>
        <v/>
      </c>
      <c r="DW323" s="123" t="str">
        <f t="shared" si="563"/>
        <v/>
      </c>
      <c r="DX323" s="132" t="str">
        <f t="shared" ref="DX323" ca="1" si="632">IF(DT323&lt;&gt;"",IF(WEEKNUM(DT323)=WEEKNUM(TODAY()),"This Week",IF(WEEKNUM(DT323)=WEEKNUM(TODAY())+1,"Next Week",IF(WEEKNUM(DT323)=WEEKNUM(TODAY())-1,"Previous Week",""))),"")</f>
        <v/>
      </c>
      <c r="DY323" s="134" t="str">
        <f t="shared" si="565"/>
        <v/>
      </c>
      <c r="DZ323" s="95"/>
      <c r="EB323" s="8" t="str">
        <f t="shared" si="571"/>
        <v/>
      </c>
      <c r="EC323" s="8" t="str">
        <f>IF(O323&lt;&gt;"",VLOOKUP(O323,'Job Master'!$N$12:$O$18,2,0),"")</f>
        <v/>
      </c>
      <c r="ED323" s="8">
        <f t="shared" si="572"/>
        <v>19.5</v>
      </c>
      <c r="EE323" s="8">
        <f t="shared" si="573"/>
        <v>6</v>
      </c>
      <c r="EF323" s="8">
        <f t="shared" si="574"/>
        <v>-1858.5</v>
      </c>
      <c r="EG323" s="8" t="str">
        <f t="shared" si="575"/>
        <v/>
      </c>
      <c r="EH323" s="8" t="str">
        <f t="shared" si="576"/>
        <v/>
      </c>
    </row>
    <row r="324" spans="2:138" x14ac:dyDescent="0.3">
      <c r="B324" s="112"/>
      <c r="C324" s="27"/>
      <c r="D324" s="7" t="str">
        <f t="shared" si="513"/>
        <v/>
      </c>
      <c r="E324" s="25"/>
      <c r="F324" s="7" t="str">
        <f t="shared" si="513"/>
        <v/>
      </c>
      <c r="G324" s="25"/>
      <c r="H324" s="7" t="str">
        <f t="shared" si="513"/>
        <v/>
      </c>
      <c r="I324" s="25"/>
      <c r="J324" s="7" t="str">
        <f t="shared" si="513"/>
        <v/>
      </c>
      <c r="K324" s="25"/>
      <c r="L324" s="7" t="str">
        <f t="shared" si="514"/>
        <v/>
      </c>
      <c r="M324" s="25"/>
      <c r="N324" s="7" t="str">
        <f t="shared" si="515"/>
        <v/>
      </c>
      <c r="O324" s="81"/>
      <c r="P324" s="81" t="str">
        <f t="shared" si="516"/>
        <v/>
      </c>
      <c r="Q324" s="81"/>
      <c r="R324" s="7" t="str">
        <f t="shared" si="517"/>
        <v/>
      </c>
      <c r="S324" s="25"/>
      <c r="T324" s="7" t="str">
        <f t="shared" si="518"/>
        <v/>
      </c>
      <c r="U324" s="25"/>
      <c r="V324" s="7" t="str">
        <f t="shared" si="519"/>
        <v/>
      </c>
      <c r="W324" s="25"/>
      <c r="X324" s="7" t="str">
        <f t="shared" si="520"/>
        <v/>
      </c>
      <c r="Y324" s="18" t="str">
        <f t="shared" si="521"/>
        <v/>
      </c>
      <c r="Z324" s="7" t="str">
        <f t="shared" si="522"/>
        <v/>
      </c>
      <c r="AA324" s="18" t="str">
        <f t="shared" si="523"/>
        <v/>
      </c>
      <c r="AB324" s="19" t="str">
        <f t="shared" si="524"/>
        <v/>
      </c>
      <c r="AC324" s="26"/>
      <c r="AD324" s="26"/>
      <c r="AE324" s="25"/>
      <c r="AF324" s="26"/>
      <c r="AG324" s="25"/>
      <c r="AH324" s="25"/>
      <c r="AI324" s="18" t="str">
        <f t="shared" si="587"/>
        <v/>
      </c>
      <c r="AJ324" s="25"/>
      <c r="AK324" s="18" t="str">
        <f t="shared" si="588"/>
        <v/>
      </c>
      <c r="AL324" s="79"/>
      <c r="AM324" s="126" t="str">
        <f t="shared" si="589"/>
        <v/>
      </c>
      <c r="AN324" s="128" t="str">
        <f>IF(AP324&lt;&gt;"",VLOOKUP($P324&amp;" | "&amp;AN$6,'Job Master'!$F$12:$J$102,5,0),"")</f>
        <v/>
      </c>
      <c r="AO324" s="19" t="str">
        <f>IF(AP324&lt;&gt;"",VLOOKUP($P324&amp;" | "&amp;AN$6,'Job Master'!$F$12:$J$102,3,0),"")</f>
        <v/>
      </c>
      <c r="AP324" s="19" t="str">
        <f>IFERROR(IF(AND(AW324&lt;&gt;"",VLOOKUP($P324&amp;" | "&amp;AN$6,'Job Master'!$F$12:$I$102,4,0)&lt;&gt;""),IF(WEEKDAY(AW324-VLOOKUP($P324&amp;" | "&amp;AN$6,'Job Master'!$F$12:$I$102,4,0))&lt;&gt;7,AW324-VLOOKUP($P324&amp;" | "&amp;AN$6,'Job Master'!$F$12:$I$102,4,0),AW324-VLOOKUP($P324&amp;" | "&amp;AN$6,'Job Master'!$F$12:$I$102,4,0)-1),""),"")</f>
        <v/>
      </c>
      <c r="AQ324" s="73"/>
      <c r="AR324" s="123" t="str">
        <f t="shared" si="525"/>
        <v/>
      </c>
      <c r="AS324" s="123" t="str">
        <f t="shared" si="526"/>
        <v/>
      </c>
      <c r="AT324" s="97" t="str">
        <f t="shared" ca="1" si="527"/>
        <v/>
      </c>
      <c r="AU324" s="98" t="str">
        <f>IF(AW324&lt;&gt;"",VLOOKUP($P324&amp;" | "&amp;AU$6,'Job Master'!$F$12:$J$102,5,0),"")</f>
        <v/>
      </c>
      <c r="AV324" s="19" t="str">
        <f>IF(AW324&lt;&gt;"",VLOOKUP($P324&amp;" | "&amp;AU$6,'Job Master'!$F$12:$J$102,3,0),"")</f>
        <v/>
      </c>
      <c r="AW324" s="19" t="str">
        <f>IFERROR(IF(AND(BD324&lt;&gt;"",VLOOKUP($P324&amp;" | "&amp;AU$6,'Job Master'!$F$12:$I$102,4,0)&lt;&gt;""),IF(WEEKDAY(BD324-VLOOKUP($P324&amp;" | "&amp;AU$6,'Job Master'!$F$12:$I$102,4,0))&lt;&gt;7,BD324-VLOOKUP($P324&amp;" | "&amp;AU$6,'Job Master'!$F$12:$I$102,4,0),BD324-VLOOKUP($P324&amp;" | "&amp;AU$6,'Job Master'!$F$12:$I$102,4,0)-1),""),"")</f>
        <v/>
      </c>
      <c r="AX324" s="73"/>
      <c r="AY324" s="123" t="str">
        <f t="shared" si="528"/>
        <v/>
      </c>
      <c r="AZ324" s="123" t="str">
        <f t="shared" si="529"/>
        <v/>
      </c>
      <c r="BA324" s="97" t="str">
        <f t="shared" ca="1" si="530"/>
        <v/>
      </c>
      <c r="BB324" s="98" t="str">
        <f>IF(BD324&lt;&gt;"",VLOOKUP($P324&amp;" | "&amp;BB$6,'Job Master'!$F$12:$J$102,5,0),"")</f>
        <v/>
      </c>
      <c r="BC324" s="19" t="str">
        <f>IF(BD324&lt;&gt;"",VLOOKUP($P324&amp;" | "&amp;BB$6,'Job Master'!$F$12:$J$102,3,0),"")</f>
        <v/>
      </c>
      <c r="BD324" s="19" t="str">
        <f>IFERROR(IF(AND(BK324&lt;&gt;"",VLOOKUP($P324&amp;" | "&amp;BB$6,'Job Master'!$F$12:$I$102,4,0)&lt;&gt;""),IF(WEEKDAY(BK324-VLOOKUP($P324&amp;" | "&amp;BB$6,'Job Master'!$F$12:$I$102,4,0))&lt;&gt;7,BK324-VLOOKUP($P324&amp;" | "&amp;BB$6,'Job Master'!$F$12:$I$102,4,0),BK324-VLOOKUP($P324&amp;" | "&amp;BB$6,'Job Master'!$F$12:$I$102,4,0)-1),""),"")</f>
        <v/>
      </c>
      <c r="BE324" s="73"/>
      <c r="BF324" s="123" t="str">
        <f t="shared" si="531"/>
        <v/>
      </c>
      <c r="BG324" s="123" t="str">
        <f t="shared" si="532"/>
        <v/>
      </c>
      <c r="BH324" s="97" t="str">
        <f t="shared" ca="1" si="533"/>
        <v/>
      </c>
      <c r="BI324" s="98" t="str">
        <f>IF(BK324&lt;&gt;"",VLOOKUP($P324&amp;" | "&amp;BI$6,'Job Master'!$F$12:$J$102,5,0),"")</f>
        <v/>
      </c>
      <c r="BJ324" s="19" t="str">
        <f>IF(BK324&lt;&gt;"",VLOOKUP($P324&amp;" | "&amp;BI$6,'Job Master'!$F$12:$J$102,3,0),"")</f>
        <v/>
      </c>
      <c r="BK324" s="19" t="str">
        <f>IFERROR(IF(AND(BR324&lt;&gt;"",VLOOKUP($P324&amp;" | "&amp;BI$6,'Job Master'!$F$12:$I$102,4,0)&lt;&gt;""),IF(WEEKDAY(BR324-VLOOKUP($P324&amp;" | "&amp;BI$6,'Job Master'!$F$12:$I$102,4,0))&lt;&gt;7,BR324-VLOOKUP($P324&amp;" | "&amp;BI$6,'Job Master'!$F$12:$I$102,4,0),BR324-VLOOKUP($P324&amp;" | "&amp;BI$6,'Job Master'!$F$12:$I$102,4,0)-1),""),"")</f>
        <v/>
      </c>
      <c r="BL324" s="73"/>
      <c r="BM324" s="123" t="str">
        <f t="shared" si="534"/>
        <v/>
      </c>
      <c r="BN324" s="123" t="str">
        <f t="shared" si="535"/>
        <v/>
      </c>
      <c r="BO324" s="97" t="str">
        <f t="shared" ca="1" si="536"/>
        <v/>
      </c>
      <c r="BP324" s="98" t="str">
        <f>IF(BR324&lt;&gt;"",VLOOKUP($P324&amp;" | "&amp;BP$6,'Job Master'!$F$12:$J$102,5,0),"")</f>
        <v/>
      </c>
      <c r="BQ324" s="19" t="str">
        <f>IF(BR324&lt;&gt;"",VLOOKUP($P324&amp;" | "&amp;BP$6,'Job Master'!$F$12:$J$102,3,0),"")</f>
        <v/>
      </c>
      <c r="BR324" s="19" t="str">
        <f>IFERROR(IF(AND(BY324&lt;&gt;"",VLOOKUP($P324&amp;" | "&amp;BP$6,'Job Master'!$F$12:$I$102,4,0)&lt;&gt;""),IF(WEEKDAY(BY324-VLOOKUP($P324&amp;" | "&amp;BP$6,'Job Master'!$F$12:$I$102,4,0))&lt;&gt;7,BY324-VLOOKUP($P324&amp;" | "&amp;BP$6,'Job Master'!$F$12:$I$102,4,0),BY324-VLOOKUP($P324&amp;" | "&amp;BP$6,'Job Master'!$F$12:$I$102,4,0)-1),""),"")</f>
        <v/>
      </c>
      <c r="BS324" s="73"/>
      <c r="BT324" s="123" t="str">
        <f t="shared" si="537"/>
        <v/>
      </c>
      <c r="BU324" s="123" t="str">
        <f t="shared" si="538"/>
        <v/>
      </c>
      <c r="BV324" s="97" t="str">
        <f t="shared" ca="1" si="539"/>
        <v/>
      </c>
      <c r="BW324" s="98" t="str">
        <f>IF(BY324&lt;&gt;"",VLOOKUP($P324&amp;" | "&amp;BW$6,'Job Master'!$F$12:$J$102,5,0),"")</f>
        <v/>
      </c>
      <c r="BX324" s="19" t="str">
        <f>IF(BY324&lt;&gt;"",VLOOKUP($P324&amp;" | "&amp;BW$6,'Job Master'!$F$12:$J$102,3,0),"")</f>
        <v/>
      </c>
      <c r="BY324" s="19" t="str">
        <f>IFERROR(IF(AND(CF324&lt;&gt;"",VLOOKUP($P324&amp;" | "&amp;BW$6,'Job Master'!$F$12:$I$102,4,0)&lt;&gt;""),IF(WEEKDAY(CF324-VLOOKUP($P324&amp;" | "&amp;BW$6,'Job Master'!$F$12:$I$102,4,0))&lt;&gt;7,CF324-VLOOKUP($P324&amp;" | "&amp;BW$6,'Job Master'!$F$12:$I$102,4,0),CF324-VLOOKUP($P324&amp;" | "&amp;BW$6,'Job Master'!$F$12:$I$102,4,0)-1),""),"")</f>
        <v/>
      </c>
      <c r="BZ324" s="73"/>
      <c r="CA324" s="123" t="str">
        <f t="shared" si="540"/>
        <v/>
      </c>
      <c r="CB324" s="123" t="str">
        <f t="shared" si="541"/>
        <v/>
      </c>
      <c r="CC324" s="97" t="str">
        <f t="shared" ca="1" si="542"/>
        <v/>
      </c>
      <c r="CD324" s="98" t="str">
        <f>IF(CF324&lt;&gt;"",VLOOKUP($P324&amp;" | "&amp;CD$6,'Job Master'!$F$12:$J$102,5,0),"")</f>
        <v/>
      </c>
      <c r="CE324" s="19" t="str">
        <f>IF(CF324&lt;&gt;"",VLOOKUP($P324&amp;" | "&amp;CD$6,'Job Master'!$F$12:$J$102,3,0),"")</f>
        <v/>
      </c>
      <c r="CF324" s="19" t="str">
        <f>IFERROR(IF(AND(CM324&lt;&gt;"",VLOOKUP($P324&amp;" | "&amp;CD$6,'Job Master'!$F$12:$I$102,4,0)&lt;&gt;""),IF(WEEKDAY(CM324-VLOOKUP($P324&amp;" | "&amp;CD$6,'Job Master'!$F$12:$I$102,4,0))&lt;&gt;7,CM324-VLOOKUP($P324&amp;" | "&amp;CD$6,'Job Master'!$F$12:$I$102,4,0),CM324-VLOOKUP($P324&amp;" | "&amp;CD$6,'Job Master'!$F$12:$I$102,4,0)-1),""),"")</f>
        <v/>
      </c>
      <c r="CG324" s="73"/>
      <c r="CH324" s="123" t="str">
        <f t="shared" si="543"/>
        <v/>
      </c>
      <c r="CI324" s="123" t="str">
        <f t="shared" si="544"/>
        <v/>
      </c>
      <c r="CJ324" s="97" t="str">
        <f t="shared" ca="1" si="545"/>
        <v/>
      </c>
      <c r="CK324" s="98" t="str">
        <f>IF(CM324&lt;&gt;"",VLOOKUP($P324&amp;" | "&amp;CK$6,'Job Master'!$F$12:$J$102,5,0),"")</f>
        <v/>
      </c>
      <c r="CL324" s="19" t="str">
        <f>IF(CM324&lt;&gt;"",VLOOKUP($P324&amp;" | "&amp;CK$6,'Job Master'!$F$12:$J$102,3,0),"")</f>
        <v/>
      </c>
      <c r="CM324" s="19" t="str">
        <f>IFERROR(IF(AND(CT324&lt;&gt;"",VLOOKUP($P324&amp;" | "&amp;CK$6,'Job Master'!$F$12:$I$102,4,0)&lt;&gt;""),IF(WEEKDAY(CT324-VLOOKUP($P324&amp;" | "&amp;CK$6,'Job Master'!$F$12:$I$102,4,0))&lt;&gt;7,CT324-VLOOKUP($P324&amp;" | "&amp;CK$6,'Job Master'!$F$12:$I$102,4,0),CT324-VLOOKUP($P324&amp;" | "&amp;CK$6,'Job Master'!$F$12:$I$102,4,0)-1),""),"")</f>
        <v/>
      </c>
      <c r="CN324" s="73"/>
      <c r="CO324" s="123" t="str">
        <f t="shared" si="546"/>
        <v/>
      </c>
      <c r="CP324" s="123" t="str">
        <f t="shared" si="547"/>
        <v/>
      </c>
      <c r="CQ324" s="97" t="str">
        <f t="shared" ca="1" si="548"/>
        <v/>
      </c>
      <c r="CR324" s="98" t="str">
        <f>IF(CT324&lt;&gt;"",VLOOKUP($P324&amp;" | "&amp;CR$6,'Job Master'!$F$12:$J$102,5,0),"")</f>
        <v/>
      </c>
      <c r="CS324" s="19" t="str">
        <f>IF(CT324&lt;&gt;"",VLOOKUP($P324&amp;" | "&amp;CR$6,'Job Master'!$F$12:$J$102,3,0),"")</f>
        <v/>
      </c>
      <c r="CT324" s="19" t="str">
        <f>IFERROR(IF(AND(DA324&lt;&gt;"",VLOOKUP($P324&amp;" | "&amp;CR$6,'Job Master'!$F$12:$I$102,4,0)&lt;&gt;""),IF(WEEKDAY(DA324-VLOOKUP($P324&amp;" | "&amp;CR$6,'Job Master'!$F$12:$I$102,4,0))&lt;&gt;7,DA324-VLOOKUP($P324&amp;" | "&amp;CR$6,'Job Master'!$F$12:$I$102,4,0),DA324-VLOOKUP($P324&amp;" | "&amp;CR$6,'Job Master'!$F$12:$I$102,4,0)-1),""),"")</f>
        <v/>
      </c>
      <c r="CU324" s="73"/>
      <c r="CV324" s="123" t="str">
        <f t="shared" si="549"/>
        <v/>
      </c>
      <c r="CW324" s="123" t="str">
        <f t="shared" si="550"/>
        <v/>
      </c>
      <c r="CX324" s="97" t="str">
        <f t="shared" ca="1" si="551"/>
        <v/>
      </c>
      <c r="CY324" s="98" t="str">
        <f>IF(DA324&lt;&gt;"",VLOOKUP($P324&amp;" | "&amp;CY$6,'Job Master'!$F$12:$J$102,5,0),"")</f>
        <v/>
      </c>
      <c r="CZ324" s="19" t="str">
        <f>IF(DA324&lt;&gt;"",VLOOKUP($P324&amp;" | "&amp;CY$6,'Job Master'!$F$12:$J$102,3,0),"")</f>
        <v/>
      </c>
      <c r="DA324" s="19" t="str">
        <f>IFERROR(IF(AND(DH324&lt;&gt;"",VLOOKUP($P324&amp;" | "&amp;CY$6,'Job Master'!$F$12:$I$102,4,0)&lt;&gt;""),IF(WEEKDAY(DH324-VLOOKUP($P324&amp;" | "&amp;CY$6,'Job Master'!$F$12:$I$102,4,0))&lt;&gt;7,DH324-VLOOKUP($P324&amp;" | "&amp;CY$6,'Job Master'!$F$12:$I$102,4,0),DH324-VLOOKUP($P324&amp;" | "&amp;CY$6,'Job Master'!$F$12:$I$102,4,0)-1),""),"")</f>
        <v/>
      </c>
      <c r="DB324" s="73"/>
      <c r="DC324" s="123" t="str">
        <f t="shared" si="552"/>
        <v/>
      </c>
      <c r="DD324" s="123" t="str">
        <f t="shared" si="553"/>
        <v/>
      </c>
      <c r="DE324" s="97" t="str">
        <f t="shared" ca="1" si="554"/>
        <v/>
      </c>
      <c r="DF324" s="98" t="str">
        <f>IF(DH324&lt;&gt;"",VLOOKUP($P324&amp;" | "&amp;DF$6,'Job Master'!$F$12:$J$102,5,0),"")</f>
        <v/>
      </c>
      <c r="DG324" s="19" t="str">
        <f>IF(DH324&lt;&gt;"",VLOOKUP($P324&amp;" | "&amp;DF$6,'Job Master'!$F$12:$J$102,3,0),"")</f>
        <v/>
      </c>
      <c r="DH324" s="19" t="str">
        <f>IFERROR(IF(AND(DO324&lt;&gt;"",VLOOKUP($P324&amp;" | "&amp;DF$6,'Job Master'!$F$12:$I$102,4,0)&lt;&gt;""),IF(WEEKDAY(DO324-VLOOKUP($P324&amp;" | "&amp;DF$6,'Job Master'!$F$12:$I$102,4,0))&lt;&gt;7,DO324-VLOOKUP($P324&amp;" | "&amp;DF$6,'Job Master'!$F$12:$I$102,4,0),DO324-VLOOKUP($P324&amp;" | "&amp;DF$6,'Job Master'!$F$12:$I$102,4,0)-1),""),"")</f>
        <v/>
      </c>
      <c r="DI324" s="73"/>
      <c r="DJ324" s="123" t="str">
        <f t="shared" si="555"/>
        <v/>
      </c>
      <c r="DK324" s="123" t="str">
        <f t="shared" si="556"/>
        <v/>
      </c>
      <c r="DL324" s="97" t="str">
        <f t="shared" ca="1" si="557"/>
        <v/>
      </c>
      <c r="DM324" s="98" t="str">
        <f>IF(DO324&lt;&gt;"",VLOOKUP($P324&amp;" | "&amp;DM$6,'Job Master'!$F$12:$J$102,5,0),"")</f>
        <v/>
      </c>
      <c r="DN324" s="19" t="str">
        <f>IF(DO324&lt;&gt;"",VLOOKUP($P324&amp;" | "&amp;DM$6,'Job Master'!$F$12:$J$102,3,0),"")</f>
        <v/>
      </c>
      <c r="DO324" s="19" t="str">
        <f>IFERROR(IF(AND(DT324&lt;&gt;"",VLOOKUP($P324&amp;" | "&amp;DM$6,'Job Master'!$F$12:$I$102,4,0)&lt;&gt;""),IF(WEEKDAY(DT324-VLOOKUP($P324&amp;" | "&amp;DM$6,'Job Master'!$F$12:$I$102,4,0))&lt;&gt;7,DT324-VLOOKUP($P324&amp;" | "&amp;DM$6,'Job Master'!$F$12:$I$102,4,0),DT324-VLOOKUP($P324&amp;" | "&amp;DM$6,'Job Master'!$F$12:$I$102,4,0)-1),""),"")</f>
        <v/>
      </c>
      <c r="DP324" s="73"/>
      <c r="DQ324" s="123" t="str">
        <f t="shared" si="558"/>
        <v/>
      </c>
      <c r="DR324" s="123" t="str">
        <f t="shared" si="559"/>
        <v/>
      </c>
      <c r="DS324" s="97" t="str">
        <f t="shared" ca="1" si="560"/>
        <v/>
      </c>
      <c r="DT324" s="70" t="str">
        <f t="shared" si="561"/>
        <v/>
      </c>
      <c r="DU324" s="90"/>
      <c r="DV324" s="123" t="str">
        <f t="shared" si="562"/>
        <v/>
      </c>
      <c r="DW324" s="123" t="str">
        <f t="shared" si="563"/>
        <v/>
      </c>
      <c r="DX324" s="132" t="str">
        <f t="shared" ref="DX324" ca="1" si="633">IF(DT324&lt;&gt;"",IF(WEEKNUM(DT324)=WEEKNUM(TODAY()),"This Week",IF(WEEKNUM(DT324)=WEEKNUM(TODAY())+1,"Next Week",IF(WEEKNUM(DT324)=WEEKNUM(TODAY())-1,"Previous Week",""))),"")</f>
        <v/>
      </c>
      <c r="DY324" s="134" t="str">
        <f t="shared" si="565"/>
        <v/>
      </c>
      <c r="DZ324" s="95"/>
      <c r="EB324" s="8" t="str">
        <f t="shared" si="571"/>
        <v/>
      </c>
      <c r="EC324" s="8" t="str">
        <f>IF(O324&lt;&gt;"",VLOOKUP(O324,'Job Master'!$N$12:$O$18,2,0),"")</f>
        <v/>
      </c>
      <c r="ED324" s="8">
        <f t="shared" si="572"/>
        <v>19.5</v>
      </c>
      <c r="EE324" s="8">
        <f t="shared" si="573"/>
        <v>6</v>
      </c>
      <c r="EF324" s="8">
        <f t="shared" si="574"/>
        <v>-1864.5</v>
      </c>
      <c r="EG324" s="8" t="str">
        <f t="shared" si="575"/>
        <v/>
      </c>
      <c r="EH324" s="8" t="str">
        <f t="shared" si="576"/>
        <v/>
      </c>
    </row>
    <row r="325" spans="2:138" x14ac:dyDescent="0.3">
      <c r="B325" s="112"/>
      <c r="C325" s="27"/>
      <c r="D325" s="7" t="str">
        <f t="shared" si="513"/>
        <v/>
      </c>
      <c r="E325" s="25"/>
      <c r="F325" s="7" t="str">
        <f t="shared" si="513"/>
        <v/>
      </c>
      <c r="G325" s="25"/>
      <c r="H325" s="7" t="str">
        <f t="shared" si="513"/>
        <v/>
      </c>
      <c r="I325" s="25"/>
      <c r="J325" s="7" t="str">
        <f t="shared" si="513"/>
        <v/>
      </c>
      <c r="K325" s="25"/>
      <c r="L325" s="7" t="str">
        <f t="shared" si="514"/>
        <v/>
      </c>
      <c r="M325" s="25"/>
      <c r="N325" s="7" t="str">
        <f t="shared" si="515"/>
        <v/>
      </c>
      <c r="O325" s="81"/>
      <c r="P325" s="81" t="str">
        <f t="shared" si="516"/>
        <v/>
      </c>
      <c r="Q325" s="81"/>
      <c r="R325" s="7" t="str">
        <f t="shared" si="517"/>
        <v/>
      </c>
      <c r="S325" s="25"/>
      <c r="T325" s="7" t="str">
        <f t="shared" si="518"/>
        <v/>
      </c>
      <c r="U325" s="25"/>
      <c r="V325" s="7" t="str">
        <f t="shared" si="519"/>
        <v/>
      </c>
      <c r="W325" s="25"/>
      <c r="X325" s="7" t="str">
        <f t="shared" si="520"/>
        <v/>
      </c>
      <c r="Y325" s="18" t="str">
        <f t="shared" si="521"/>
        <v/>
      </c>
      <c r="Z325" s="7" t="str">
        <f t="shared" si="522"/>
        <v/>
      </c>
      <c r="AA325" s="18" t="str">
        <f t="shared" si="523"/>
        <v/>
      </c>
      <c r="AB325" s="19" t="str">
        <f t="shared" si="524"/>
        <v/>
      </c>
      <c r="AC325" s="26"/>
      <c r="AD325" s="26"/>
      <c r="AE325" s="25"/>
      <c r="AF325" s="26"/>
      <c r="AG325" s="25"/>
      <c r="AH325" s="25"/>
      <c r="AI325" s="18" t="str">
        <f t="shared" si="587"/>
        <v/>
      </c>
      <c r="AJ325" s="25"/>
      <c r="AK325" s="18" t="str">
        <f t="shared" si="588"/>
        <v/>
      </c>
      <c r="AL325" s="79"/>
      <c r="AM325" s="126" t="str">
        <f t="shared" si="589"/>
        <v/>
      </c>
      <c r="AN325" s="128" t="str">
        <f>IF(AP325&lt;&gt;"",VLOOKUP($P325&amp;" | "&amp;AN$6,'Job Master'!$F$12:$J$102,5,0),"")</f>
        <v/>
      </c>
      <c r="AO325" s="19" t="str">
        <f>IF(AP325&lt;&gt;"",VLOOKUP($P325&amp;" | "&amp;AN$6,'Job Master'!$F$12:$J$102,3,0),"")</f>
        <v/>
      </c>
      <c r="AP325" s="19" t="str">
        <f>IFERROR(IF(AND(AW325&lt;&gt;"",VLOOKUP($P325&amp;" | "&amp;AN$6,'Job Master'!$F$12:$I$102,4,0)&lt;&gt;""),IF(WEEKDAY(AW325-VLOOKUP($P325&amp;" | "&amp;AN$6,'Job Master'!$F$12:$I$102,4,0))&lt;&gt;7,AW325-VLOOKUP($P325&amp;" | "&amp;AN$6,'Job Master'!$F$12:$I$102,4,0),AW325-VLOOKUP($P325&amp;" | "&amp;AN$6,'Job Master'!$F$12:$I$102,4,0)-1),""),"")</f>
        <v/>
      </c>
      <c r="AQ325" s="73"/>
      <c r="AR325" s="123" t="str">
        <f t="shared" si="525"/>
        <v/>
      </c>
      <c r="AS325" s="123" t="str">
        <f t="shared" si="526"/>
        <v/>
      </c>
      <c r="AT325" s="97" t="str">
        <f t="shared" ca="1" si="527"/>
        <v/>
      </c>
      <c r="AU325" s="98" t="str">
        <f>IF(AW325&lt;&gt;"",VLOOKUP($P325&amp;" | "&amp;AU$6,'Job Master'!$F$12:$J$102,5,0),"")</f>
        <v/>
      </c>
      <c r="AV325" s="19" t="str">
        <f>IF(AW325&lt;&gt;"",VLOOKUP($P325&amp;" | "&amp;AU$6,'Job Master'!$F$12:$J$102,3,0),"")</f>
        <v/>
      </c>
      <c r="AW325" s="19" t="str">
        <f>IFERROR(IF(AND(BD325&lt;&gt;"",VLOOKUP($P325&amp;" | "&amp;AU$6,'Job Master'!$F$12:$I$102,4,0)&lt;&gt;""),IF(WEEKDAY(BD325-VLOOKUP($P325&amp;" | "&amp;AU$6,'Job Master'!$F$12:$I$102,4,0))&lt;&gt;7,BD325-VLOOKUP($P325&amp;" | "&amp;AU$6,'Job Master'!$F$12:$I$102,4,0),BD325-VLOOKUP($P325&amp;" | "&amp;AU$6,'Job Master'!$F$12:$I$102,4,0)-1),""),"")</f>
        <v/>
      </c>
      <c r="AX325" s="73"/>
      <c r="AY325" s="123" t="str">
        <f t="shared" si="528"/>
        <v/>
      </c>
      <c r="AZ325" s="123" t="str">
        <f t="shared" si="529"/>
        <v/>
      </c>
      <c r="BA325" s="97" t="str">
        <f t="shared" ca="1" si="530"/>
        <v/>
      </c>
      <c r="BB325" s="98" t="str">
        <f>IF(BD325&lt;&gt;"",VLOOKUP($P325&amp;" | "&amp;BB$6,'Job Master'!$F$12:$J$102,5,0),"")</f>
        <v/>
      </c>
      <c r="BC325" s="19" t="str">
        <f>IF(BD325&lt;&gt;"",VLOOKUP($P325&amp;" | "&amp;BB$6,'Job Master'!$F$12:$J$102,3,0),"")</f>
        <v/>
      </c>
      <c r="BD325" s="19" t="str">
        <f>IFERROR(IF(AND(BK325&lt;&gt;"",VLOOKUP($P325&amp;" | "&amp;BB$6,'Job Master'!$F$12:$I$102,4,0)&lt;&gt;""),IF(WEEKDAY(BK325-VLOOKUP($P325&amp;" | "&amp;BB$6,'Job Master'!$F$12:$I$102,4,0))&lt;&gt;7,BK325-VLOOKUP($P325&amp;" | "&amp;BB$6,'Job Master'!$F$12:$I$102,4,0),BK325-VLOOKUP($P325&amp;" | "&amp;BB$6,'Job Master'!$F$12:$I$102,4,0)-1),""),"")</f>
        <v/>
      </c>
      <c r="BE325" s="73"/>
      <c r="BF325" s="123" t="str">
        <f t="shared" si="531"/>
        <v/>
      </c>
      <c r="BG325" s="123" t="str">
        <f t="shared" si="532"/>
        <v/>
      </c>
      <c r="BH325" s="97" t="str">
        <f t="shared" ca="1" si="533"/>
        <v/>
      </c>
      <c r="BI325" s="98" t="str">
        <f>IF(BK325&lt;&gt;"",VLOOKUP($P325&amp;" | "&amp;BI$6,'Job Master'!$F$12:$J$102,5,0),"")</f>
        <v/>
      </c>
      <c r="BJ325" s="19" t="str">
        <f>IF(BK325&lt;&gt;"",VLOOKUP($P325&amp;" | "&amp;BI$6,'Job Master'!$F$12:$J$102,3,0),"")</f>
        <v/>
      </c>
      <c r="BK325" s="19" t="str">
        <f>IFERROR(IF(AND(BR325&lt;&gt;"",VLOOKUP($P325&amp;" | "&amp;BI$6,'Job Master'!$F$12:$I$102,4,0)&lt;&gt;""),IF(WEEKDAY(BR325-VLOOKUP($P325&amp;" | "&amp;BI$6,'Job Master'!$F$12:$I$102,4,0))&lt;&gt;7,BR325-VLOOKUP($P325&amp;" | "&amp;BI$6,'Job Master'!$F$12:$I$102,4,0),BR325-VLOOKUP($P325&amp;" | "&amp;BI$6,'Job Master'!$F$12:$I$102,4,0)-1),""),"")</f>
        <v/>
      </c>
      <c r="BL325" s="73"/>
      <c r="BM325" s="123" t="str">
        <f t="shared" si="534"/>
        <v/>
      </c>
      <c r="BN325" s="123" t="str">
        <f t="shared" si="535"/>
        <v/>
      </c>
      <c r="BO325" s="97" t="str">
        <f t="shared" ca="1" si="536"/>
        <v/>
      </c>
      <c r="BP325" s="98" t="str">
        <f>IF(BR325&lt;&gt;"",VLOOKUP($P325&amp;" | "&amp;BP$6,'Job Master'!$F$12:$J$102,5,0),"")</f>
        <v/>
      </c>
      <c r="BQ325" s="19" t="str">
        <f>IF(BR325&lt;&gt;"",VLOOKUP($P325&amp;" | "&amp;BP$6,'Job Master'!$F$12:$J$102,3,0),"")</f>
        <v/>
      </c>
      <c r="BR325" s="19" t="str">
        <f>IFERROR(IF(AND(BY325&lt;&gt;"",VLOOKUP($P325&amp;" | "&amp;BP$6,'Job Master'!$F$12:$I$102,4,0)&lt;&gt;""),IF(WEEKDAY(BY325-VLOOKUP($P325&amp;" | "&amp;BP$6,'Job Master'!$F$12:$I$102,4,0))&lt;&gt;7,BY325-VLOOKUP($P325&amp;" | "&amp;BP$6,'Job Master'!$F$12:$I$102,4,0),BY325-VLOOKUP($P325&amp;" | "&amp;BP$6,'Job Master'!$F$12:$I$102,4,0)-1),""),"")</f>
        <v/>
      </c>
      <c r="BS325" s="73"/>
      <c r="BT325" s="123" t="str">
        <f t="shared" si="537"/>
        <v/>
      </c>
      <c r="BU325" s="123" t="str">
        <f t="shared" si="538"/>
        <v/>
      </c>
      <c r="BV325" s="97" t="str">
        <f t="shared" ca="1" si="539"/>
        <v/>
      </c>
      <c r="BW325" s="98" t="str">
        <f>IF(BY325&lt;&gt;"",VLOOKUP($P325&amp;" | "&amp;BW$6,'Job Master'!$F$12:$J$102,5,0),"")</f>
        <v/>
      </c>
      <c r="BX325" s="19" t="str">
        <f>IF(BY325&lt;&gt;"",VLOOKUP($P325&amp;" | "&amp;BW$6,'Job Master'!$F$12:$J$102,3,0),"")</f>
        <v/>
      </c>
      <c r="BY325" s="19" t="str">
        <f>IFERROR(IF(AND(CF325&lt;&gt;"",VLOOKUP($P325&amp;" | "&amp;BW$6,'Job Master'!$F$12:$I$102,4,0)&lt;&gt;""),IF(WEEKDAY(CF325-VLOOKUP($P325&amp;" | "&amp;BW$6,'Job Master'!$F$12:$I$102,4,0))&lt;&gt;7,CF325-VLOOKUP($P325&amp;" | "&amp;BW$6,'Job Master'!$F$12:$I$102,4,0),CF325-VLOOKUP($P325&amp;" | "&amp;BW$6,'Job Master'!$F$12:$I$102,4,0)-1),""),"")</f>
        <v/>
      </c>
      <c r="BZ325" s="73"/>
      <c r="CA325" s="123" t="str">
        <f t="shared" si="540"/>
        <v/>
      </c>
      <c r="CB325" s="123" t="str">
        <f t="shared" si="541"/>
        <v/>
      </c>
      <c r="CC325" s="97" t="str">
        <f t="shared" ca="1" si="542"/>
        <v/>
      </c>
      <c r="CD325" s="98" t="str">
        <f>IF(CF325&lt;&gt;"",VLOOKUP($P325&amp;" | "&amp;CD$6,'Job Master'!$F$12:$J$102,5,0),"")</f>
        <v/>
      </c>
      <c r="CE325" s="19" t="str">
        <f>IF(CF325&lt;&gt;"",VLOOKUP($P325&amp;" | "&amp;CD$6,'Job Master'!$F$12:$J$102,3,0),"")</f>
        <v/>
      </c>
      <c r="CF325" s="19" t="str">
        <f>IFERROR(IF(AND(CM325&lt;&gt;"",VLOOKUP($P325&amp;" | "&amp;CD$6,'Job Master'!$F$12:$I$102,4,0)&lt;&gt;""),IF(WEEKDAY(CM325-VLOOKUP($P325&amp;" | "&amp;CD$6,'Job Master'!$F$12:$I$102,4,0))&lt;&gt;7,CM325-VLOOKUP($P325&amp;" | "&amp;CD$6,'Job Master'!$F$12:$I$102,4,0),CM325-VLOOKUP($P325&amp;" | "&amp;CD$6,'Job Master'!$F$12:$I$102,4,0)-1),""),"")</f>
        <v/>
      </c>
      <c r="CG325" s="73"/>
      <c r="CH325" s="123" t="str">
        <f t="shared" si="543"/>
        <v/>
      </c>
      <c r="CI325" s="123" t="str">
        <f t="shared" si="544"/>
        <v/>
      </c>
      <c r="CJ325" s="97" t="str">
        <f t="shared" ca="1" si="545"/>
        <v/>
      </c>
      <c r="CK325" s="98" t="str">
        <f>IF(CM325&lt;&gt;"",VLOOKUP($P325&amp;" | "&amp;CK$6,'Job Master'!$F$12:$J$102,5,0),"")</f>
        <v/>
      </c>
      <c r="CL325" s="19" t="str">
        <f>IF(CM325&lt;&gt;"",VLOOKUP($P325&amp;" | "&amp;CK$6,'Job Master'!$F$12:$J$102,3,0),"")</f>
        <v/>
      </c>
      <c r="CM325" s="19" t="str">
        <f>IFERROR(IF(AND(CT325&lt;&gt;"",VLOOKUP($P325&amp;" | "&amp;CK$6,'Job Master'!$F$12:$I$102,4,0)&lt;&gt;""),IF(WEEKDAY(CT325-VLOOKUP($P325&amp;" | "&amp;CK$6,'Job Master'!$F$12:$I$102,4,0))&lt;&gt;7,CT325-VLOOKUP($P325&amp;" | "&amp;CK$6,'Job Master'!$F$12:$I$102,4,0),CT325-VLOOKUP($P325&amp;" | "&amp;CK$6,'Job Master'!$F$12:$I$102,4,0)-1),""),"")</f>
        <v/>
      </c>
      <c r="CN325" s="73"/>
      <c r="CO325" s="123" t="str">
        <f t="shared" si="546"/>
        <v/>
      </c>
      <c r="CP325" s="123" t="str">
        <f t="shared" si="547"/>
        <v/>
      </c>
      <c r="CQ325" s="97" t="str">
        <f t="shared" ca="1" si="548"/>
        <v/>
      </c>
      <c r="CR325" s="98" t="str">
        <f>IF(CT325&lt;&gt;"",VLOOKUP($P325&amp;" | "&amp;CR$6,'Job Master'!$F$12:$J$102,5,0),"")</f>
        <v/>
      </c>
      <c r="CS325" s="19" t="str">
        <f>IF(CT325&lt;&gt;"",VLOOKUP($P325&amp;" | "&amp;CR$6,'Job Master'!$F$12:$J$102,3,0),"")</f>
        <v/>
      </c>
      <c r="CT325" s="19" t="str">
        <f>IFERROR(IF(AND(DA325&lt;&gt;"",VLOOKUP($P325&amp;" | "&amp;CR$6,'Job Master'!$F$12:$I$102,4,0)&lt;&gt;""),IF(WEEKDAY(DA325-VLOOKUP($P325&amp;" | "&amp;CR$6,'Job Master'!$F$12:$I$102,4,0))&lt;&gt;7,DA325-VLOOKUP($P325&amp;" | "&amp;CR$6,'Job Master'!$F$12:$I$102,4,0),DA325-VLOOKUP($P325&amp;" | "&amp;CR$6,'Job Master'!$F$12:$I$102,4,0)-1),""),"")</f>
        <v/>
      </c>
      <c r="CU325" s="73"/>
      <c r="CV325" s="123" t="str">
        <f t="shared" si="549"/>
        <v/>
      </c>
      <c r="CW325" s="123" t="str">
        <f t="shared" si="550"/>
        <v/>
      </c>
      <c r="CX325" s="97" t="str">
        <f t="shared" ca="1" si="551"/>
        <v/>
      </c>
      <c r="CY325" s="98" t="str">
        <f>IF(DA325&lt;&gt;"",VLOOKUP($P325&amp;" | "&amp;CY$6,'Job Master'!$F$12:$J$102,5,0),"")</f>
        <v/>
      </c>
      <c r="CZ325" s="19" t="str">
        <f>IF(DA325&lt;&gt;"",VLOOKUP($P325&amp;" | "&amp;CY$6,'Job Master'!$F$12:$J$102,3,0),"")</f>
        <v/>
      </c>
      <c r="DA325" s="19" t="str">
        <f>IFERROR(IF(AND(DH325&lt;&gt;"",VLOOKUP($P325&amp;" | "&amp;CY$6,'Job Master'!$F$12:$I$102,4,0)&lt;&gt;""),IF(WEEKDAY(DH325-VLOOKUP($P325&amp;" | "&amp;CY$6,'Job Master'!$F$12:$I$102,4,0))&lt;&gt;7,DH325-VLOOKUP($P325&amp;" | "&amp;CY$6,'Job Master'!$F$12:$I$102,4,0),DH325-VLOOKUP($P325&amp;" | "&amp;CY$6,'Job Master'!$F$12:$I$102,4,0)-1),""),"")</f>
        <v/>
      </c>
      <c r="DB325" s="73"/>
      <c r="DC325" s="123" t="str">
        <f t="shared" si="552"/>
        <v/>
      </c>
      <c r="DD325" s="123" t="str">
        <f t="shared" si="553"/>
        <v/>
      </c>
      <c r="DE325" s="97" t="str">
        <f t="shared" ca="1" si="554"/>
        <v/>
      </c>
      <c r="DF325" s="98" t="str">
        <f>IF(DH325&lt;&gt;"",VLOOKUP($P325&amp;" | "&amp;DF$6,'Job Master'!$F$12:$J$102,5,0),"")</f>
        <v/>
      </c>
      <c r="DG325" s="19" t="str">
        <f>IF(DH325&lt;&gt;"",VLOOKUP($P325&amp;" | "&amp;DF$6,'Job Master'!$F$12:$J$102,3,0),"")</f>
        <v/>
      </c>
      <c r="DH325" s="19" t="str">
        <f>IFERROR(IF(AND(DO325&lt;&gt;"",VLOOKUP($P325&amp;" | "&amp;DF$6,'Job Master'!$F$12:$I$102,4,0)&lt;&gt;""),IF(WEEKDAY(DO325-VLOOKUP($P325&amp;" | "&amp;DF$6,'Job Master'!$F$12:$I$102,4,0))&lt;&gt;7,DO325-VLOOKUP($P325&amp;" | "&amp;DF$6,'Job Master'!$F$12:$I$102,4,0),DO325-VLOOKUP($P325&amp;" | "&amp;DF$6,'Job Master'!$F$12:$I$102,4,0)-1),""),"")</f>
        <v/>
      </c>
      <c r="DI325" s="73"/>
      <c r="DJ325" s="123" t="str">
        <f t="shared" si="555"/>
        <v/>
      </c>
      <c r="DK325" s="123" t="str">
        <f t="shared" si="556"/>
        <v/>
      </c>
      <c r="DL325" s="97" t="str">
        <f t="shared" ca="1" si="557"/>
        <v/>
      </c>
      <c r="DM325" s="98" t="str">
        <f>IF(DO325&lt;&gt;"",VLOOKUP($P325&amp;" | "&amp;DM$6,'Job Master'!$F$12:$J$102,5,0),"")</f>
        <v/>
      </c>
      <c r="DN325" s="19" t="str">
        <f>IF(DO325&lt;&gt;"",VLOOKUP($P325&amp;" | "&amp;DM$6,'Job Master'!$F$12:$J$102,3,0),"")</f>
        <v/>
      </c>
      <c r="DO325" s="19" t="str">
        <f>IFERROR(IF(AND(DT325&lt;&gt;"",VLOOKUP($P325&amp;" | "&amp;DM$6,'Job Master'!$F$12:$I$102,4,0)&lt;&gt;""),IF(WEEKDAY(DT325-VLOOKUP($P325&amp;" | "&amp;DM$6,'Job Master'!$F$12:$I$102,4,0))&lt;&gt;7,DT325-VLOOKUP($P325&amp;" | "&amp;DM$6,'Job Master'!$F$12:$I$102,4,0),DT325-VLOOKUP($P325&amp;" | "&amp;DM$6,'Job Master'!$F$12:$I$102,4,0)-1),""),"")</f>
        <v/>
      </c>
      <c r="DP325" s="73"/>
      <c r="DQ325" s="123" t="str">
        <f t="shared" si="558"/>
        <v/>
      </c>
      <c r="DR325" s="123" t="str">
        <f t="shared" si="559"/>
        <v/>
      </c>
      <c r="DS325" s="97" t="str">
        <f t="shared" ca="1" si="560"/>
        <v/>
      </c>
      <c r="DT325" s="70" t="str">
        <f t="shared" si="561"/>
        <v/>
      </c>
      <c r="DU325" s="90"/>
      <c r="DV325" s="123" t="str">
        <f t="shared" si="562"/>
        <v/>
      </c>
      <c r="DW325" s="123" t="str">
        <f t="shared" si="563"/>
        <v/>
      </c>
      <c r="DX325" s="132" t="str">
        <f t="shared" ref="DX325" ca="1" si="634">IF(DT325&lt;&gt;"",IF(WEEKNUM(DT325)=WEEKNUM(TODAY()),"This Week",IF(WEEKNUM(DT325)=WEEKNUM(TODAY())+1,"Next Week",IF(WEEKNUM(DT325)=WEEKNUM(TODAY())-1,"Previous Week",""))),"")</f>
        <v/>
      </c>
      <c r="DY325" s="134" t="str">
        <f t="shared" si="565"/>
        <v/>
      </c>
      <c r="DZ325" s="95"/>
      <c r="EB325" s="8" t="str">
        <f t="shared" si="571"/>
        <v/>
      </c>
      <c r="EC325" s="8" t="str">
        <f>IF(O325&lt;&gt;"",VLOOKUP(O325,'Job Master'!$N$12:$O$18,2,0),"")</f>
        <v/>
      </c>
      <c r="ED325" s="8">
        <f t="shared" si="572"/>
        <v>19.5</v>
      </c>
      <c r="EE325" s="8">
        <f t="shared" si="573"/>
        <v>6</v>
      </c>
      <c r="EF325" s="8">
        <f t="shared" si="574"/>
        <v>-1870.5</v>
      </c>
      <c r="EG325" s="8" t="str">
        <f t="shared" si="575"/>
        <v/>
      </c>
      <c r="EH325" s="8" t="str">
        <f t="shared" si="576"/>
        <v/>
      </c>
    </row>
    <row r="326" spans="2:138" x14ac:dyDescent="0.3">
      <c r="B326" s="112"/>
      <c r="C326" s="27"/>
      <c r="D326" s="7" t="str">
        <f t="shared" si="513"/>
        <v/>
      </c>
      <c r="E326" s="25"/>
      <c r="F326" s="7" t="str">
        <f t="shared" si="513"/>
        <v/>
      </c>
      <c r="G326" s="25"/>
      <c r="H326" s="7" t="str">
        <f t="shared" si="513"/>
        <v/>
      </c>
      <c r="I326" s="25"/>
      <c r="J326" s="7" t="str">
        <f t="shared" si="513"/>
        <v/>
      </c>
      <c r="K326" s="25"/>
      <c r="L326" s="7" t="str">
        <f t="shared" si="514"/>
        <v/>
      </c>
      <c r="M326" s="25"/>
      <c r="N326" s="7" t="str">
        <f t="shared" si="515"/>
        <v/>
      </c>
      <c r="O326" s="81"/>
      <c r="P326" s="81" t="str">
        <f t="shared" si="516"/>
        <v/>
      </c>
      <c r="Q326" s="81"/>
      <c r="R326" s="7" t="str">
        <f t="shared" si="517"/>
        <v/>
      </c>
      <c r="S326" s="25"/>
      <c r="T326" s="7" t="str">
        <f t="shared" si="518"/>
        <v/>
      </c>
      <c r="U326" s="25"/>
      <c r="V326" s="7" t="str">
        <f t="shared" si="519"/>
        <v/>
      </c>
      <c r="W326" s="25"/>
      <c r="X326" s="7" t="str">
        <f t="shared" si="520"/>
        <v/>
      </c>
      <c r="Y326" s="18" t="str">
        <f t="shared" si="521"/>
        <v/>
      </c>
      <c r="Z326" s="7" t="str">
        <f t="shared" si="522"/>
        <v/>
      </c>
      <c r="AA326" s="18" t="str">
        <f t="shared" si="523"/>
        <v/>
      </c>
      <c r="AB326" s="19" t="str">
        <f t="shared" si="524"/>
        <v/>
      </c>
      <c r="AC326" s="26"/>
      <c r="AD326" s="26"/>
      <c r="AE326" s="25"/>
      <c r="AF326" s="26"/>
      <c r="AG326" s="25"/>
      <c r="AH326" s="25"/>
      <c r="AI326" s="18" t="str">
        <f t="shared" si="587"/>
        <v/>
      </c>
      <c r="AJ326" s="25"/>
      <c r="AK326" s="18" t="str">
        <f t="shared" si="588"/>
        <v/>
      </c>
      <c r="AL326" s="79"/>
      <c r="AM326" s="126" t="str">
        <f t="shared" si="589"/>
        <v/>
      </c>
      <c r="AN326" s="128" t="str">
        <f>IF(AP326&lt;&gt;"",VLOOKUP($P326&amp;" | "&amp;AN$6,'Job Master'!$F$12:$J$102,5,0),"")</f>
        <v/>
      </c>
      <c r="AO326" s="19" t="str">
        <f>IF(AP326&lt;&gt;"",VLOOKUP($P326&amp;" | "&amp;AN$6,'Job Master'!$F$12:$J$102,3,0),"")</f>
        <v/>
      </c>
      <c r="AP326" s="19" t="str">
        <f>IFERROR(IF(AND(AW326&lt;&gt;"",VLOOKUP($P326&amp;" | "&amp;AN$6,'Job Master'!$F$12:$I$102,4,0)&lt;&gt;""),IF(WEEKDAY(AW326-VLOOKUP($P326&amp;" | "&amp;AN$6,'Job Master'!$F$12:$I$102,4,0))&lt;&gt;7,AW326-VLOOKUP($P326&amp;" | "&amp;AN$6,'Job Master'!$F$12:$I$102,4,0),AW326-VLOOKUP($P326&amp;" | "&amp;AN$6,'Job Master'!$F$12:$I$102,4,0)-1),""),"")</f>
        <v/>
      </c>
      <c r="AQ326" s="73"/>
      <c r="AR326" s="123" t="str">
        <f t="shared" si="525"/>
        <v/>
      </c>
      <c r="AS326" s="123" t="str">
        <f t="shared" si="526"/>
        <v/>
      </c>
      <c r="AT326" s="97" t="str">
        <f t="shared" ca="1" si="527"/>
        <v/>
      </c>
      <c r="AU326" s="98" t="str">
        <f>IF(AW326&lt;&gt;"",VLOOKUP($P326&amp;" | "&amp;AU$6,'Job Master'!$F$12:$J$102,5,0),"")</f>
        <v/>
      </c>
      <c r="AV326" s="19" t="str">
        <f>IF(AW326&lt;&gt;"",VLOOKUP($P326&amp;" | "&amp;AU$6,'Job Master'!$F$12:$J$102,3,0),"")</f>
        <v/>
      </c>
      <c r="AW326" s="19" t="str">
        <f>IFERROR(IF(AND(BD326&lt;&gt;"",VLOOKUP($P326&amp;" | "&amp;AU$6,'Job Master'!$F$12:$I$102,4,0)&lt;&gt;""),IF(WEEKDAY(BD326-VLOOKUP($P326&amp;" | "&amp;AU$6,'Job Master'!$F$12:$I$102,4,0))&lt;&gt;7,BD326-VLOOKUP($P326&amp;" | "&amp;AU$6,'Job Master'!$F$12:$I$102,4,0),BD326-VLOOKUP($P326&amp;" | "&amp;AU$6,'Job Master'!$F$12:$I$102,4,0)-1),""),"")</f>
        <v/>
      </c>
      <c r="AX326" s="73"/>
      <c r="AY326" s="123" t="str">
        <f t="shared" si="528"/>
        <v/>
      </c>
      <c r="AZ326" s="123" t="str">
        <f t="shared" si="529"/>
        <v/>
      </c>
      <c r="BA326" s="97" t="str">
        <f t="shared" ca="1" si="530"/>
        <v/>
      </c>
      <c r="BB326" s="98" t="str">
        <f>IF(BD326&lt;&gt;"",VLOOKUP($P326&amp;" | "&amp;BB$6,'Job Master'!$F$12:$J$102,5,0),"")</f>
        <v/>
      </c>
      <c r="BC326" s="19" t="str">
        <f>IF(BD326&lt;&gt;"",VLOOKUP($P326&amp;" | "&amp;BB$6,'Job Master'!$F$12:$J$102,3,0),"")</f>
        <v/>
      </c>
      <c r="BD326" s="19" t="str">
        <f>IFERROR(IF(AND(BK326&lt;&gt;"",VLOOKUP($P326&amp;" | "&amp;BB$6,'Job Master'!$F$12:$I$102,4,0)&lt;&gt;""),IF(WEEKDAY(BK326-VLOOKUP($P326&amp;" | "&amp;BB$6,'Job Master'!$F$12:$I$102,4,0))&lt;&gt;7,BK326-VLOOKUP($P326&amp;" | "&amp;BB$6,'Job Master'!$F$12:$I$102,4,0),BK326-VLOOKUP($P326&amp;" | "&amp;BB$6,'Job Master'!$F$12:$I$102,4,0)-1),""),"")</f>
        <v/>
      </c>
      <c r="BE326" s="73"/>
      <c r="BF326" s="123" t="str">
        <f t="shared" si="531"/>
        <v/>
      </c>
      <c r="BG326" s="123" t="str">
        <f t="shared" si="532"/>
        <v/>
      </c>
      <c r="BH326" s="97" t="str">
        <f t="shared" ca="1" si="533"/>
        <v/>
      </c>
      <c r="BI326" s="98" t="str">
        <f>IF(BK326&lt;&gt;"",VLOOKUP($P326&amp;" | "&amp;BI$6,'Job Master'!$F$12:$J$102,5,0),"")</f>
        <v/>
      </c>
      <c r="BJ326" s="19" t="str">
        <f>IF(BK326&lt;&gt;"",VLOOKUP($P326&amp;" | "&amp;BI$6,'Job Master'!$F$12:$J$102,3,0),"")</f>
        <v/>
      </c>
      <c r="BK326" s="19" t="str">
        <f>IFERROR(IF(AND(BR326&lt;&gt;"",VLOOKUP($P326&amp;" | "&amp;BI$6,'Job Master'!$F$12:$I$102,4,0)&lt;&gt;""),IF(WEEKDAY(BR326-VLOOKUP($P326&amp;" | "&amp;BI$6,'Job Master'!$F$12:$I$102,4,0))&lt;&gt;7,BR326-VLOOKUP($P326&amp;" | "&amp;BI$6,'Job Master'!$F$12:$I$102,4,0),BR326-VLOOKUP($P326&amp;" | "&amp;BI$6,'Job Master'!$F$12:$I$102,4,0)-1),""),"")</f>
        <v/>
      </c>
      <c r="BL326" s="73"/>
      <c r="BM326" s="123" t="str">
        <f t="shared" si="534"/>
        <v/>
      </c>
      <c r="BN326" s="123" t="str">
        <f t="shared" si="535"/>
        <v/>
      </c>
      <c r="BO326" s="97" t="str">
        <f t="shared" ca="1" si="536"/>
        <v/>
      </c>
      <c r="BP326" s="98" t="str">
        <f>IF(BR326&lt;&gt;"",VLOOKUP($P326&amp;" | "&amp;BP$6,'Job Master'!$F$12:$J$102,5,0),"")</f>
        <v/>
      </c>
      <c r="BQ326" s="19" t="str">
        <f>IF(BR326&lt;&gt;"",VLOOKUP($P326&amp;" | "&amp;BP$6,'Job Master'!$F$12:$J$102,3,0),"")</f>
        <v/>
      </c>
      <c r="BR326" s="19" t="str">
        <f>IFERROR(IF(AND(BY326&lt;&gt;"",VLOOKUP($P326&amp;" | "&amp;BP$6,'Job Master'!$F$12:$I$102,4,0)&lt;&gt;""),IF(WEEKDAY(BY326-VLOOKUP($P326&amp;" | "&amp;BP$6,'Job Master'!$F$12:$I$102,4,0))&lt;&gt;7,BY326-VLOOKUP($P326&amp;" | "&amp;BP$6,'Job Master'!$F$12:$I$102,4,0),BY326-VLOOKUP($P326&amp;" | "&amp;BP$6,'Job Master'!$F$12:$I$102,4,0)-1),""),"")</f>
        <v/>
      </c>
      <c r="BS326" s="73"/>
      <c r="BT326" s="123" t="str">
        <f t="shared" si="537"/>
        <v/>
      </c>
      <c r="BU326" s="123" t="str">
        <f t="shared" si="538"/>
        <v/>
      </c>
      <c r="BV326" s="97" t="str">
        <f t="shared" ca="1" si="539"/>
        <v/>
      </c>
      <c r="BW326" s="98" t="str">
        <f>IF(BY326&lt;&gt;"",VLOOKUP($P326&amp;" | "&amp;BW$6,'Job Master'!$F$12:$J$102,5,0),"")</f>
        <v/>
      </c>
      <c r="BX326" s="19" t="str">
        <f>IF(BY326&lt;&gt;"",VLOOKUP($P326&amp;" | "&amp;BW$6,'Job Master'!$F$12:$J$102,3,0),"")</f>
        <v/>
      </c>
      <c r="BY326" s="19" t="str">
        <f>IFERROR(IF(AND(CF326&lt;&gt;"",VLOOKUP($P326&amp;" | "&amp;BW$6,'Job Master'!$F$12:$I$102,4,0)&lt;&gt;""),IF(WEEKDAY(CF326-VLOOKUP($P326&amp;" | "&amp;BW$6,'Job Master'!$F$12:$I$102,4,0))&lt;&gt;7,CF326-VLOOKUP($P326&amp;" | "&amp;BW$6,'Job Master'!$F$12:$I$102,4,0),CF326-VLOOKUP($P326&amp;" | "&amp;BW$6,'Job Master'!$F$12:$I$102,4,0)-1),""),"")</f>
        <v/>
      </c>
      <c r="BZ326" s="73"/>
      <c r="CA326" s="123" t="str">
        <f t="shared" si="540"/>
        <v/>
      </c>
      <c r="CB326" s="123" t="str">
        <f t="shared" si="541"/>
        <v/>
      </c>
      <c r="CC326" s="97" t="str">
        <f t="shared" ca="1" si="542"/>
        <v/>
      </c>
      <c r="CD326" s="98" t="str">
        <f>IF(CF326&lt;&gt;"",VLOOKUP($P326&amp;" | "&amp;CD$6,'Job Master'!$F$12:$J$102,5,0),"")</f>
        <v/>
      </c>
      <c r="CE326" s="19" t="str">
        <f>IF(CF326&lt;&gt;"",VLOOKUP($P326&amp;" | "&amp;CD$6,'Job Master'!$F$12:$J$102,3,0),"")</f>
        <v/>
      </c>
      <c r="CF326" s="19" t="str">
        <f>IFERROR(IF(AND(CM326&lt;&gt;"",VLOOKUP($P326&amp;" | "&amp;CD$6,'Job Master'!$F$12:$I$102,4,0)&lt;&gt;""),IF(WEEKDAY(CM326-VLOOKUP($P326&amp;" | "&amp;CD$6,'Job Master'!$F$12:$I$102,4,0))&lt;&gt;7,CM326-VLOOKUP($P326&amp;" | "&amp;CD$6,'Job Master'!$F$12:$I$102,4,0),CM326-VLOOKUP($P326&amp;" | "&amp;CD$6,'Job Master'!$F$12:$I$102,4,0)-1),""),"")</f>
        <v/>
      </c>
      <c r="CG326" s="73"/>
      <c r="CH326" s="123" t="str">
        <f t="shared" si="543"/>
        <v/>
      </c>
      <c r="CI326" s="123" t="str">
        <f t="shared" si="544"/>
        <v/>
      </c>
      <c r="CJ326" s="97" t="str">
        <f t="shared" ca="1" si="545"/>
        <v/>
      </c>
      <c r="CK326" s="98" t="str">
        <f>IF(CM326&lt;&gt;"",VLOOKUP($P326&amp;" | "&amp;CK$6,'Job Master'!$F$12:$J$102,5,0),"")</f>
        <v/>
      </c>
      <c r="CL326" s="19" t="str">
        <f>IF(CM326&lt;&gt;"",VLOOKUP($P326&amp;" | "&amp;CK$6,'Job Master'!$F$12:$J$102,3,0),"")</f>
        <v/>
      </c>
      <c r="CM326" s="19" t="str">
        <f>IFERROR(IF(AND(CT326&lt;&gt;"",VLOOKUP($P326&amp;" | "&amp;CK$6,'Job Master'!$F$12:$I$102,4,0)&lt;&gt;""),IF(WEEKDAY(CT326-VLOOKUP($P326&amp;" | "&amp;CK$6,'Job Master'!$F$12:$I$102,4,0))&lt;&gt;7,CT326-VLOOKUP($P326&amp;" | "&amp;CK$6,'Job Master'!$F$12:$I$102,4,0),CT326-VLOOKUP($P326&amp;" | "&amp;CK$6,'Job Master'!$F$12:$I$102,4,0)-1),""),"")</f>
        <v/>
      </c>
      <c r="CN326" s="73"/>
      <c r="CO326" s="123" t="str">
        <f t="shared" si="546"/>
        <v/>
      </c>
      <c r="CP326" s="123" t="str">
        <f t="shared" si="547"/>
        <v/>
      </c>
      <c r="CQ326" s="97" t="str">
        <f t="shared" ca="1" si="548"/>
        <v/>
      </c>
      <c r="CR326" s="98" t="str">
        <f>IF(CT326&lt;&gt;"",VLOOKUP($P326&amp;" | "&amp;CR$6,'Job Master'!$F$12:$J$102,5,0),"")</f>
        <v/>
      </c>
      <c r="CS326" s="19" t="str">
        <f>IF(CT326&lt;&gt;"",VLOOKUP($P326&amp;" | "&amp;CR$6,'Job Master'!$F$12:$J$102,3,0),"")</f>
        <v/>
      </c>
      <c r="CT326" s="19" t="str">
        <f>IFERROR(IF(AND(DA326&lt;&gt;"",VLOOKUP($P326&amp;" | "&amp;CR$6,'Job Master'!$F$12:$I$102,4,0)&lt;&gt;""),IF(WEEKDAY(DA326-VLOOKUP($P326&amp;" | "&amp;CR$6,'Job Master'!$F$12:$I$102,4,0))&lt;&gt;7,DA326-VLOOKUP($P326&amp;" | "&amp;CR$6,'Job Master'!$F$12:$I$102,4,0),DA326-VLOOKUP($P326&amp;" | "&amp;CR$6,'Job Master'!$F$12:$I$102,4,0)-1),""),"")</f>
        <v/>
      </c>
      <c r="CU326" s="73"/>
      <c r="CV326" s="123" t="str">
        <f t="shared" si="549"/>
        <v/>
      </c>
      <c r="CW326" s="123" t="str">
        <f t="shared" si="550"/>
        <v/>
      </c>
      <c r="CX326" s="97" t="str">
        <f t="shared" ca="1" si="551"/>
        <v/>
      </c>
      <c r="CY326" s="98" t="str">
        <f>IF(DA326&lt;&gt;"",VLOOKUP($P326&amp;" | "&amp;CY$6,'Job Master'!$F$12:$J$102,5,0),"")</f>
        <v/>
      </c>
      <c r="CZ326" s="19" t="str">
        <f>IF(DA326&lt;&gt;"",VLOOKUP($P326&amp;" | "&amp;CY$6,'Job Master'!$F$12:$J$102,3,0),"")</f>
        <v/>
      </c>
      <c r="DA326" s="19" t="str">
        <f>IFERROR(IF(AND(DH326&lt;&gt;"",VLOOKUP($P326&amp;" | "&amp;CY$6,'Job Master'!$F$12:$I$102,4,0)&lt;&gt;""),IF(WEEKDAY(DH326-VLOOKUP($P326&amp;" | "&amp;CY$6,'Job Master'!$F$12:$I$102,4,0))&lt;&gt;7,DH326-VLOOKUP($P326&amp;" | "&amp;CY$6,'Job Master'!$F$12:$I$102,4,0),DH326-VLOOKUP($P326&amp;" | "&amp;CY$6,'Job Master'!$F$12:$I$102,4,0)-1),""),"")</f>
        <v/>
      </c>
      <c r="DB326" s="73"/>
      <c r="DC326" s="123" t="str">
        <f t="shared" si="552"/>
        <v/>
      </c>
      <c r="DD326" s="123" t="str">
        <f t="shared" si="553"/>
        <v/>
      </c>
      <c r="DE326" s="97" t="str">
        <f t="shared" ca="1" si="554"/>
        <v/>
      </c>
      <c r="DF326" s="98" t="str">
        <f>IF(DH326&lt;&gt;"",VLOOKUP($P326&amp;" | "&amp;DF$6,'Job Master'!$F$12:$J$102,5,0),"")</f>
        <v/>
      </c>
      <c r="DG326" s="19" t="str">
        <f>IF(DH326&lt;&gt;"",VLOOKUP($P326&amp;" | "&amp;DF$6,'Job Master'!$F$12:$J$102,3,0),"")</f>
        <v/>
      </c>
      <c r="DH326" s="19" t="str">
        <f>IFERROR(IF(AND(DO326&lt;&gt;"",VLOOKUP($P326&amp;" | "&amp;DF$6,'Job Master'!$F$12:$I$102,4,0)&lt;&gt;""),IF(WEEKDAY(DO326-VLOOKUP($P326&amp;" | "&amp;DF$6,'Job Master'!$F$12:$I$102,4,0))&lt;&gt;7,DO326-VLOOKUP($P326&amp;" | "&amp;DF$6,'Job Master'!$F$12:$I$102,4,0),DO326-VLOOKUP($P326&amp;" | "&amp;DF$6,'Job Master'!$F$12:$I$102,4,0)-1),""),"")</f>
        <v/>
      </c>
      <c r="DI326" s="73"/>
      <c r="DJ326" s="123" t="str">
        <f t="shared" si="555"/>
        <v/>
      </c>
      <c r="DK326" s="123" t="str">
        <f t="shared" si="556"/>
        <v/>
      </c>
      <c r="DL326" s="97" t="str">
        <f t="shared" ca="1" si="557"/>
        <v/>
      </c>
      <c r="DM326" s="98" t="str">
        <f>IF(DO326&lt;&gt;"",VLOOKUP($P326&amp;" | "&amp;DM$6,'Job Master'!$F$12:$J$102,5,0),"")</f>
        <v/>
      </c>
      <c r="DN326" s="19" t="str">
        <f>IF(DO326&lt;&gt;"",VLOOKUP($P326&amp;" | "&amp;DM$6,'Job Master'!$F$12:$J$102,3,0),"")</f>
        <v/>
      </c>
      <c r="DO326" s="19" t="str">
        <f>IFERROR(IF(AND(DT326&lt;&gt;"",VLOOKUP($P326&amp;" | "&amp;DM$6,'Job Master'!$F$12:$I$102,4,0)&lt;&gt;""),IF(WEEKDAY(DT326-VLOOKUP($P326&amp;" | "&amp;DM$6,'Job Master'!$F$12:$I$102,4,0))&lt;&gt;7,DT326-VLOOKUP($P326&amp;" | "&amp;DM$6,'Job Master'!$F$12:$I$102,4,0),DT326-VLOOKUP($P326&amp;" | "&amp;DM$6,'Job Master'!$F$12:$I$102,4,0)-1),""),"")</f>
        <v/>
      </c>
      <c r="DP326" s="73"/>
      <c r="DQ326" s="123" t="str">
        <f t="shared" si="558"/>
        <v/>
      </c>
      <c r="DR326" s="123" t="str">
        <f t="shared" si="559"/>
        <v/>
      </c>
      <c r="DS326" s="97" t="str">
        <f t="shared" ca="1" si="560"/>
        <v/>
      </c>
      <c r="DT326" s="70" t="str">
        <f t="shared" si="561"/>
        <v/>
      </c>
      <c r="DU326" s="90"/>
      <c r="DV326" s="123" t="str">
        <f t="shared" si="562"/>
        <v/>
      </c>
      <c r="DW326" s="123" t="str">
        <f t="shared" si="563"/>
        <v/>
      </c>
      <c r="DX326" s="132" t="str">
        <f t="shared" ref="DX326" ca="1" si="635">IF(DT326&lt;&gt;"",IF(WEEKNUM(DT326)=WEEKNUM(TODAY()),"This Week",IF(WEEKNUM(DT326)=WEEKNUM(TODAY())+1,"Next Week",IF(WEEKNUM(DT326)=WEEKNUM(TODAY())-1,"Previous Week",""))),"")</f>
        <v/>
      </c>
      <c r="DY326" s="134" t="str">
        <f t="shared" si="565"/>
        <v/>
      </c>
      <c r="DZ326" s="95"/>
      <c r="EB326" s="8" t="str">
        <f t="shared" si="571"/>
        <v/>
      </c>
      <c r="EC326" s="8" t="str">
        <f>IF(O326&lt;&gt;"",VLOOKUP(O326,'Job Master'!$N$12:$O$18,2,0),"")</f>
        <v/>
      </c>
      <c r="ED326" s="8">
        <f t="shared" si="572"/>
        <v>19.5</v>
      </c>
      <c r="EE326" s="8">
        <f t="shared" si="573"/>
        <v>6</v>
      </c>
      <c r="EF326" s="8">
        <f t="shared" si="574"/>
        <v>-1876.5</v>
      </c>
      <c r="EG326" s="8" t="str">
        <f t="shared" si="575"/>
        <v/>
      </c>
      <c r="EH326" s="8" t="str">
        <f t="shared" si="576"/>
        <v/>
      </c>
    </row>
    <row r="327" spans="2:138" x14ac:dyDescent="0.3">
      <c r="B327" s="112"/>
      <c r="C327" s="27"/>
      <c r="D327" s="7" t="str">
        <f t="shared" si="513"/>
        <v/>
      </c>
      <c r="E327" s="25"/>
      <c r="F327" s="7" t="str">
        <f t="shared" si="513"/>
        <v/>
      </c>
      <c r="G327" s="25"/>
      <c r="H327" s="7" t="str">
        <f t="shared" si="513"/>
        <v/>
      </c>
      <c r="I327" s="25"/>
      <c r="J327" s="7" t="str">
        <f t="shared" si="513"/>
        <v/>
      </c>
      <c r="K327" s="25"/>
      <c r="L327" s="7" t="str">
        <f t="shared" si="514"/>
        <v/>
      </c>
      <c r="M327" s="25"/>
      <c r="N327" s="7" t="str">
        <f t="shared" si="515"/>
        <v/>
      </c>
      <c r="O327" s="81"/>
      <c r="P327" s="81" t="str">
        <f t="shared" si="516"/>
        <v/>
      </c>
      <c r="Q327" s="81"/>
      <c r="R327" s="7" t="str">
        <f t="shared" si="517"/>
        <v/>
      </c>
      <c r="S327" s="25"/>
      <c r="T327" s="7" t="str">
        <f t="shared" si="518"/>
        <v/>
      </c>
      <c r="U327" s="25"/>
      <c r="V327" s="7" t="str">
        <f t="shared" si="519"/>
        <v/>
      </c>
      <c r="W327" s="25"/>
      <c r="X327" s="7" t="str">
        <f t="shared" si="520"/>
        <v/>
      </c>
      <c r="Y327" s="18" t="str">
        <f t="shared" si="521"/>
        <v/>
      </c>
      <c r="Z327" s="7" t="str">
        <f t="shared" si="522"/>
        <v/>
      </c>
      <c r="AA327" s="18" t="str">
        <f t="shared" si="523"/>
        <v/>
      </c>
      <c r="AB327" s="19" t="str">
        <f t="shared" si="524"/>
        <v/>
      </c>
      <c r="AC327" s="26"/>
      <c r="AD327" s="26"/>
      <c r="AE327" s="25"/>
      <c r="AF327" s="26"/>
      <c r="AG327" s="25"/>
      <c r="AH327" s="25"/>
      <c r="AI327" s="18" t="str">
        <f t="shared" si="587"/>
        <v/>
      </c>
      <c r="AJ327" s="25"/>
      <c r="AK327" s="18" t="str">
        <f t="shared" si="588"/>
        <v/>
      </c>
      <c r="AL327" s="79"/>
      <c r="AM327" s="126" t="str">
        <f t="shared" si="589"/>
        <v/>
      </c>
      <c r="AN327" s="128" t="str">
        <f>IF(AP327&lt;&gt;"",VLOOKUP($P327&amp;" | "&amp;AN$6,'Job Master'!$F$12:$J$102,5,0),"")</f>
        <v/>
      </c>
      <c r="AO327" s="19" t="str">
        <f>IF(AP327&lt;&gt;"",VLOOKUP($P327&amp;" | "&amp;AN$6,'Job Master'!$F$12:$J$102,3,0),"")</f>
        <v/>
      </c>
      <c r="AP327" s="19" t="str">
        <f>IFERROR(IF(AND(AW327&lt;&gt;"",VLOOKUP($P327&amp;" | "&amp;AN$6,'Job Master'!$F$12:$I$102,4,0)&lt;&gt;""),IF(WEEKDAY(AW327-VLOOKUP($P327&amp;" | "&amp;AN$6,'Job Master'!$F$12:$I$102,4,0))&lt;&gt;7,AW327-VLOOKUP($P327&amp;" | "&amp;AN$6,'Job Master'!$F$12:$I$102,4,0),AW327-VLOOKUP($P327&amp;" | "&amp;AN$6,'Job Master'!$F$12:$I$102,4,0)-1),""),"")</f>
        <v/>
      </c>
      <c r="AQ327" s="73"/>
      <c r="AR327" s="123" t="str">
        <f t="shared" si="525"/>
        <v/>
      </c>
      <c r="AS327" s="123" t="str">
        <f t="shared" si="526"/>
        <v/>
      </c>
      <c r="AT327" s="97" t="str">
        <f t="shared" ca="1" si="527"/>
        <v/>
      </c>
      <c r="AU327" s="98" t="str">
        <f>IF(AW327&lt;&gt;"",VLOOKUP($P327&amp;" | "&amp;AU$6,'Job Master'!$F$12:$J$102,5,0),"")</f>
        <v/>
      </c>
      <c r="AV327" s="19" t="str">
        <f>IF(AW327&lt;&gt;"",VLOOKUP($P327&amp;" | "&amp;AU$6,'Job Master'!$F$12:$J$102,3,0),"")</f>
        <v/>
      </c>
      <c r="AW327" s="19" t="str">
        <f>IFERROR(IF(AND(BD327&lt;&gt;"",VLOOKUP($P327&amp;" | "&amp;AU$6,'Job Master'!$F$12:$I$102,4,0)&lt;&gt;""),IF(WEEKDAY(BD327-VLOOKUP($P327&amp;" | "&amp;AU$6,'Job Master'!$F$12:$I$102,4,0))&lt;&gt;7,BD327-VLOOKUP($P327&amp;" | "&amp;AU$6,'Job Master'!$F$12:$I$102,4,0),BD327-VLOOKUP($P327&amp;" | "&amp;AU$6,'Job Master'!$F$12:$I$102,4,0)-1),""),"")</f>
        <v/>
      </c>
      <c r="AX327" s="73"/>
      <c r="AY327" s="123" t="str">
        <f t="shared" si="528"/>
        <v/>
      </c>
      <c r="AZ327" s="123" t="str">
        <f t="shared" si="529"/>
        <v/>
      </c>
      <c r="BA327" s="97" t="str">
        <f t="shared" ca="1" si="530"/>
        <v/>
      </c>
      <c r="BB327" s="98" t="str">
        <f>IF(BD327&lt;&gt;"",VLOOKUP($P327&amp;" | "&amp;BB$6,'Job Master'!$F$12:$J$102,5,0),"")</f>
        <v/>
      </c>
      <c r="BC327" s="19" t="str">
        <f>IF(BD327&lt;&gt;"",VLOOKUP($P327&amp;" | "&amp;BB$6,'Job Master'!$F$12:$J$102,3,0),"")</f>
        <v/>
      </c>
      <c r="BD327" s="19" t="str">
        <f>IFERROR(IF(AND(BK327&lt;&gt;"",VLOOKUP($P327&amp;" | "&amp;BB$6,'Job Master'!$F$12:$I$102,4,0)&lt;&gt;""),IF(WEEKDAY(BK327-VLOOKUP($P327&amp;" | "&amp;BB$6,'Job Master'!$F$12:$I$102,4,0))&lt;&gt;7,BK327-VLOOKUP($P327&amp;" | "&amp;BB$6,'Job Master'!$F$12:$I$102,4,0),BK327-VLOOKUP($P327&amp;" | "&amp;BB$6,'Job Master'!$F$12:$I$102,4,0)-1),""),"")</f>
        <v/>
      </c>
      <c r="BE327" s="73"/>
      <c r="BF327" s="123" t="str">
        <f t="shared" si="531"/>
        <v/>
      </c>
      <c r="BG327" s="123" t="str">
        <f t="shared" si="532"/>
        <v/>
      </c>
      <c r="BH327" s="97" t="str">
        <f t="shared" ca="1" si="533"/>
        <v/>
      </c>
      <c r="BI327" s="98" t="str">
        <f>IF(BK327&lt;&gt;"",VLOOKUP($P327&amp;" | "&amp;BI$6,'Job Master'!$F$12:$J$102,5,0),"")</f>
        <v/>
      </c>
      <c r="BJ327" s="19" t="str">
        <f>IF(BK327&lt;&gt;"",VLOOKUP($P327&amp;" | "&amp;BI$6,'Job Master'!$F$12:$J$102,3,0),"")</f>
        <v/>
      </c>
      <c r="BK327" s="19" t="str">
        <f>IFERROR(IF(AND(BR327&lt;&gt;"",VLOOKUP($P327&amp;" | "&amp;BI$6,'Job Master'!$F$12:$I$102,4,0)&lt;&gt;""),IF(WEEKDAY(BR327-VLOOKUP($P327&amp;" | "&amp;BI$6,'Job Master'!$F$12:$I$102,4,0))&lt;&gt;7,BR327-VLOOKUP($P327&amp;" | "&amp;BI$6,'Job Master'!$F$12:$I$102,4,0),BR327-VLOOKUP($P327&amp;" | "&amp;BI$6,'Job Master'!$F$12:$I$102,4,0)-1),""),"")</f>
        <v/>
      </c>
      <c r="BL327" s="73"/>
      <c r="BM327" s="123" t="str">
        <f t="shared" si="534"/>
        <v/>
      </c>
      <c r="BN327" s="123" t="str">
        <f t="shared" si="535"/>
        <v/>
      </c>
      <c r="BO327" s="97" t="str">
        <f t="shared" ca="1" si="536"/>
        <v/>
      </c>
      <c r="BP327" s="98" t="str">
        <f>IF(BR327&lt;&gt;"",VLOOKUP($P327&amp;" | "&amp;BP$6,'Job Master'!$F$12:$J$102,5,0),"")</f>
        <v/>
      </c>
      <c r="BQ327" s="19" t="str">
        <f>IF(BR327&lt;&gt;"",VLOOKUP($P327&amp;" | "&amp;BP$6,'Job Master'!$F$12:$J$102,3,0),"")</f>
        <v/>
      </c>
      <c r="BR327" s="19" t="str">
        <f>IFERROR(IF(AND(BY327&lt;&gt;"",VLOOKUP($P327&amp;" | "&amp;BP$6,'Job Master'!$F$12:$I$102,4,0)&lt;&gt;""),IF(WEEKDAY(BY327-VLOOKUP($P327&amp;" | "&amp;BP$6,'Job Master'!$F$12:$I$102,4,0))&lt;&gt;7,BY327-VLOOKUP($P327&amp;" | "&amp;BP$6,'Job Master'!$F$12:$I$102,4,0),BY327-VLOOKUP($P327&amp;" | "&amp;BP$6,'Job Master'!$F$12:$I$102,4,0)-1),""),"")</f>
        <v/>
      </c>
      <c r="BS327" s="73"/>
      <c r="BT327" s="123" t="str">
        <f t="shared" si="537"/>
        <v/>
      </c>
      <c r="BU327" s="123" t="str">
        <f t="shared" si="538"/>
        <v/>
      </c>
      <c r="BV327" s="97" t="str">
        <f t="shared" ca="1" si="539"/>
        <v/>
      </c>
      <c r="BW327" s="98" t="str">
        <f>IF(BY327&lt;&gt;"",VLOOKUP($P327&amp;" | "&amp;BW$6,'Job Master'!$F$12:$J$102,5,0),"")</f>
        <v/>
      </c>
      <c r="BX327" s="19" t="str">
        <f>IF(BY327&lt;&gt;"",VLOOKUP($P327&amp;" | "&amp;BW$6,'Job Master'!$F$12:$J$102,3,0),"")</f>
        <v/>
      </c>
      <c r="BY327" s="19" t="str">
        <f>IFERROR(IF(AND(CF327&lt;&gt;"",VLOOKUP($P327&amp;" | "&amp;BW$6,'Job Master'!$F$12:$I$102,4,0)&lt;&gt;""),IF(WEEKDAY(CF327-VLOOKUP($P327&amp;" | "&amp;BW$6,'Job Master'!$F$12:$I$102,4,0))&lt;&gt;7,CF327-VLOOKUP($P327&amp;" | "&amp;BW$6,'Job Master'!$F$12:$I$102,4,0),CF327-VLOOKUP($P327&amp;" | "&amp;BW$6,'Job Master'!$F$12:$I$102,4,0)-1),""),"")</f>
        <v/>
      </c>
      <c r="BZ327" s="73"/>
      <c r="CA327" s="123" t="str">
        <f t="shared" si="540"/>
        <v/>
      </c>
      <c r="CB327" s="123" t="str">
        <f t="shared" si="541"/>
        <v/>
      </c>
      <c r="CC327" s="97" t="str">
        <f t="shared" ca="1" si="542"/>
        <v/>
      </c>
      <c r="CD327" s="98" t="str">
        <f>IF(CF327&lt;&gt;"",VLOOKUP($P327&amp;" | "&amp;CD$6,'Job Master'!$F$12:$J$102,5,0),"")</f>
        <v/>
      </c>
      <c r="CE327" s="19" t="str">
        <f>IF(CF327&lt;&gt;"",VLOOKUP($P327&amp;" | "&amp;CD$6,'Job Master'!$F$12:$J$102,3,0),"")</f>
        <v/>
      </c>
      <c r="CF327" s="19" t="str">
        <f>IFERROR(IF(AND(CM327&lt;&gt;"",VLOOKUP($P327&amp;" | "&amp;CD$6,'Job Master'!$F$12:$I$102,4,0)&lt;&gt;""),IF(WEEKDAY(CM327-VLOOKUP($P327&amp;" | "&amp;CD$6,'Job Master'!$F$12:$I$102,4,0))&lt;&gt;7,CM327-VLOOKUP($P327&amp;" | "&amp;CD$6,'Job Master'!$F$12:$I$102,4,0),CM327-VLOOKUP($P327&amp;" | "&amp;CD$6,'Job Master'!$F$12:$I$102,4,0)-1),""),"")</f>
        <v/>
      </c>
      <c r="CG327" s="73"/>
      <c r="CH327" s="123" t="str">
        <f t="shared" si="543"/>
        <v/>
      </c>
      <c r="CI327" s="123" t="str">
        <f t="shared" si="544"/>
        <v/>
      </c>
      <c r="CJ327" s="97" t="str">
        <f t="shared" ca="1" si="545"/>
        <v/>
      </c>
      <c r="CK327" s="98" t="str">
        <f>IF(CM327&lt;&gt;"",VLOOKUP($P327&amp;" | "&amp;CK$6,'Job Master'!$F$12:$J$102,5,0),"")</f>
        <v/>
      </c>
      <c r="CL327" s="19" t="str">
        <f>IF(CM327&lt;&gt;"",VLOOKUP($P327&amp;" | "&amp;CK$6,'Job Master'!$F$12:$J$102,3,0),"")</f>
        <v/>
      </c>
      <c r="CM327" s="19" t="str">
        <f>IFERROR(IF(AND(CT327&lt;&gt;"",VLOOKUP($P327&amp;" | "&amp;CK$6,'Job Master'!$F$12:$I$102,4,0)&lt;&gt;""),IF(WEEKDAY(CT327-VLOOKUP($P327&amp;" | "&amp;CK$6,'Job Master'!$F$12:$I$102,4,0))&lt;&gt;7,CT327-VLOOKUP($P327&amp;" | "&amp;CK$6,'Job Master'!$F$12:$I$102,4,0),CT327-VLOOKUP($P327&amp;" | "&amp;CK$6,'Job Master'!$F$12:$I$102,4,0)-1),""),"")</f>
        <v/>
      </c>
      <c r="CN327" s="73"/>
      <c r="CO327" s="123" t="str">
        <f t="shared" si="546"/>
        <v/>
      </c>
      <c r="CP327" s="123" t="str">
        <f t="shared" si="547"/>
        <v/>
      </c>
      <c r="CQ327" s="97" t="str">
        <f t="shared" ca="1" si="548"/>
        <v/>
      </c>
      <c r="CR327" s="98" t="str">
        <f>IF(CT327&lt;&gt;"",VLOOKUP($P327&amp;" | "&amp;CR$6,'Job Master'!$F$12:$J$102,5,0),"")</f>
        <v/>
      </c>
      <c r="CS327" s="19" t="str">
        <f>IF(CT327&lt;&gt;"",VLOOKUP($P327&amp;" | "&amp;CR$6,'Job Master'!$F$12:$J$102,3,0),"")</f>
        <v/>
      </c>
      <c r="CT327" s="19" t="str">
        <f>IFERROR(IF(AND(DA327&lt;&gt;"",VLOOKUP($P327&amp;" | "&amp;CR$6,'Job Master'!$F$12:$I$102,4,0)&lt;&gt;""),IF(WEEKDAY(DA327-VLOOKUP($P327&amp;" | "&amp;CR$6,'Job Master'!$F$12:$I$102,4,0))&lt;&gt;7,DA327-VLOOKUP($P327&amp;" | "&amp;CR$6,'Job Master'!$F$12:$I$102,4,0),DA327-VLOOKUP($P327&amp;" | "&amp;CR$6,'Job Master'!$F$12:$I$102,4,0)-1),""),"")</f>
        <v/>
      </c>
      <c r="CU327" s="73"/>
      <c r="CV327" s="123" t="str">
        <f t="shared" si="549"/>
        <v/>
      </c>
      <c r="CW327" s="123" t="str">
        <f t="shared" si="550"/>
        <v/>
      </c>
      <c r="CX327" s="97" t="str">
        <f t="shared" ca="1" si="551"/>
        <v/>
      </c>
      <c r="CY327" s="98" t="str">
        <f>IF(DA327&lt;&gt;"",VLOOKUP($P327&amp;" | "&amp;CY$6,'Job Master'!$F$12:$J$102,5,0),"")</f>
        <v/>
      </c>
      <c r="CZ327" s="19" t="str">
        <f>IF(DA327&lt;&gt;"",VLOOKUP($P327&amp;" | "&amp;CY$6,'Job Master'!$F$12:$J$102,3,0),"")</f>
        <v/>
      </c>
      <c r="DA327" s="19" t="str">
        <f>IFERROR(IF(AND(DH327&lt;&gt;"",VLOOKUP($P327&amp;" | "&amp;CY$6,'Job Master'!$F$12:$I$102,4,0)&lt;&gt;""),IF(WEEKDAY(DH327-VLOOKUP($P327&amp;" | "&amp;CY$6,'Job Master'!$F$12:$I$102,4,0))&lt;&gt;7,DH327-VLOOKUP($P327&amp;" | "&amp;CY$6,'Job Master'!$F$12:$I$102,4,0),DH327-VLOOKUP($P327&amp;" | "&amp;CY$6,'Job Master'!$F$12:$I$102,4,0)-1),""),"")</f>
        <v/>
      </c>
      <c r="DB327" s="73"/>
      <c r="DC327" s="123" t="str">
        <f t="shared" si="552"/>
        <v/>
      </c>
      <c r="DD327" s="123" t="str">
        <f t="shared" si="553"/>
        <v/>
      </c>
      <c r="DE327" s="97" t="str">
        <f t="shared" ca="1" si="554"/>
        <v/>
      </c>
      <c r="DF327" s="98" t="str">
        <f>IF(DH327&lt;&gt;"",VLOOKUP($P327&amp;" | "&amp;DF$6,'Job Master'!$F$12:$J$102,5,0),"")</f>
        <v/>
      </c>
      <c r="DG327" s="19" t="str">
        <f>IF(DH327&lt;&gt;"",VLOOKUP($P327&amp;" | "&amp;DF$6,'Job Master'!$F$12:$J$102,3,0),"")</f>
        <v/>
      </c>
      <c r="DH327" s="19" t="str">
        <f>IFERROR(IF(AND(DO327&lt;&gt;"",VLOOKUP($P327&amp;" | "&amp;DF$6,'Job Master'!$F$12:$I$102,4,0)&lt;&gt;""),IF(WEEKDAY(DO327-VLOOKUP($P327&amp;" | "&amp;DF$6,'Job Master'!$F$12:$I$102,4,0))&lt;&gt;7,DO327-VLOOKUP($P327&amp;" | "&amp;DF$6,'Job Master'!$F$12:$I$102,4,0),DO327-VLOOKUP($P327&amp;" | "&amp;DF$6,'Job Master'!$F$12:$I$102,4,0)-1),""),"")</f>
        <v/>
      </c>
      <c r="DI327" s="73"/>
      <c r="DJ327" s="123" t="str">
        <f t="shared" si="555"/>
        <v/>
      </c>
      <c r="DK327" s="123" t="str">
        <f t="shared" si="556"/>
        <v/>
      </c>
      <c r="DL327" s="97" t="str">
        <f t="shared" ca="1" si="557"/>
        <v/>
      </c>
      <c r="DM327" s="98" t="str">
        <f>IF(DO327&lt;&gt;"",VLOOKUP($P327&amp;" | "&amp;DM$6,'Job Master'!$F$12:$J$102,5,0),"")</f>
        <v/>
      </c>
      <c r="DN327" s="19" t="str">
        <f>IF(DO327&lt;&gt;"",VLOOKUP($P327&amp;" | "&amp;DM$6,'Job Master'!$F$12:$J$102,3,0),"")</f>
        <v/>
      </c>
      <c r="DO327" s="19" t="str">
        <f>IFERROR(IF(AND(DT327&lt;&gt;"",VLOOKUP($P327&amp;" | "&amp;DM$6,'Job Master'!$F$12:$I$102,4,0)&lt;&gt;""),IF(WEEKDAY(DT327-VLOOKUP($P327&amp;" | "&amp;DM$6,'Job Master'!$F$12:$I$102,4,0))&lt;&gt;7,DT327-VLOOKUP($P327&amp;" | "&amp;DM$6,'Job Master'!$F$12:$I$102,4,0),DT327-VLOOKUP($P327&amp;" | "&amp;DM$6,'Job Master'!$F$12:$I$102,4,0)-1),""),"")</f>
        <v/>
      </c>
      <c r="DP327" s="73"/>
      <c r="DQ327" s="123" t="str">
        <f t="shared" si="558"/>
        <v/>
      </c>
      <c r="DR327" s="123" t="str">
        <f t="shared" si="559"/>
        <v/>
      </c>
      <c r="DS327" s="97" t="str">
        <f t="shared" ca="1" si="560"/>
        <v/>
      </c>
      <c r="DT327" s="70" t="str">
        <f t="shared" si="561"/>
        <v/>
      </c>
      <c r="DU327" s="90"/>
      <c r="DV327" s="123" t="str">
        <f t="shared" si="562"/>
        <v/>
      </c>
      <c r="DW327" s="123" t="str">
        <f t="shared" si="563"/>
        <v/>
      </c>
      <c r="DX327" s="132" t="str">
        <f t="shared" ref="DX327" ca="1" si="636">IF(DT327&lt;&gt;"",IF(WEEKNUM(DT327)=WEEKNUM(TODAY()),"This Week",IF(WEEKNUM(DT327)=WEEKNUM(TODAY())+1,"Next Week",IF(WEEKNUM(DT327)=WEEKNUM(TODAY())-1,"Previous Week",""))),"")</f>
        <v/>
      </c>
      <c r="DY327" s="134" t="str">
        <f t="shared" si="565"/>
        <v/>
      </c>
      <c r="DZ327" s="95"/>
      <c r="EB327" s="8" t="str">
        <f t="shared" si="571"/>
        <v/>
      </c>
      <c r="EC327" s="8" t="str">
        <f>IF(O327&lt;&gt;"",VLOOKUP(O327,'Job Master'!$N$12:$O$18,2,0),"")</f>
        <v/>
      </c>
      <c r="ED327" s="8">
        <f t="shared" si="572"/>
        <v>19.5</v>
      </c>
      <c r="EE327" s="8">
        <f t="shared" si="573"/>
        <v>6</v>
      </c>
      <c r="EF327" s="8">
        <f t="shared" si="574"/>
        <v>-1882.5</v>
      </c>
      <c r="EG327" s="8" t="str">
        <f t="shared" si="575"/>
        <v/>
      </c>
      <c r="EH327" s="8" t="str">
        <f t="shared" si="576"/>
        <v/>
      </c>
    </row>
    <row r="328" spans="2:138" x14ac:dyDescent="0.3">
      <c r="B328" s="112"/>
      <c r="C328" s="27"/>
      <c r="D328" s="7" t="str">
        <f t="shared" si="513"/>
        <v/>
      </c>
      <c r="E328" s="25"/>
      <c r="F328" s="7" t="str">
        <f t="shared" si="513"/>
        <v/>
      </c>
      <c r="G328" s="25"/>
      <c r="H328" s="7" t="str">
        <f t="shared" si="513"/>
        <v/>
      </c>
      <c r="I328" s="25"/>
      <c r="J328" s="7" t="str">
        <f t="shared" ref="J328" si="637">IF(IF(I328&lt;&gt;"",I328,IF($AA328&lt;&gt;"",J327,""))&lt;&gt;0,IF(I328&lt;&gt;"",I328,IF($AA328&lt;&gt;"",J327,"")),"")</f>
        <v/>
      </c>
      <c r="K328" s="25"/>
      <c r="L328" s="7" t="str">
        <f t="shared" si="514"/>
        <v/>
      </c>
      <c r="M328" s="25"/>
      <c r="N328" s="7" t="str">
        <f t="shared" si="515"/>
        <v/>
      </c>
      <c r="O328" s="81"/>
      <c r="P328" s="81" t="str">
        <f t="shared" si="516"/>
        <v/>
      </c>
      <c r="Q328" s="81"/>
      <c r="R328" s="7" t="str">
        <f t="shared" si="517"/>
        <v/>
      </c>
      <c r="S328" s="25"/>
      <c r="T328" s="7" t="str">
        <f t="shared" si="518"/>
        <v/>
      </c>
      <c r="U328" s="25"/>
      <c r="V328" s="7" t="str">
        <f t="shared" si="519"/>
        <v/>
      </c>
      <c r="W328" s="25"/>
      <c r="X328" s="7" t="str">
        <f t="shared" si="520"/>
        <v/>
      </c>
      <c r="Y328" s="18" t="str">
        <f t="shared" si="521"/>
        <v/>
      </c>
      <c r="Z328" s="7" t="str">
        <f t="shared" si="522"/>
        <v/>
      </c>
      <c r="AA328" s="18" t="str">
        <f t="shared" si="523"/>
        <v/>
      </c>
      <c r="AB328" s="19" t="str">
        <f t="shared" si="524"/>
        <v/>
      </c>
      <c r="AC328" s="26"/>
      <c r="AD328" s="26"/>
      <c r="AE328" s="25"/>
      <c r="AF328" s="26"/>
      <c r="AG328" s="25"/>
      <c r="AH328" s="25"/>
      <c r="AI328" s="18" t="str">
        <f t="shared" si="587"/>
        <v/>
      </c>
      <c r="AJ328" s="25"/>
      <c r="AK328" s="18" t="str">
        <f t="shared" si="588"/>
        <v/>
      </c>
      <c r="AL328" s="79"/>
      <c r="AM328" s="126" t="str">
        <f t="shared" si="589"/>
        <v/>
      </c>
      <c r="AN328" s="128" t="str">
        <f>IF(AP328&lt;&gt;"",VLOOKUP($P328&amp;" | "&amp;AN$6,'Job Master'!$F$12:$J$102,5,0),"")</f>
        <v/>
      </c>
      <c r="AO328" s="19" t="str">
        <f>IF(AP328&lt;&gt;"",VLOOKUP($P328&amp;" | "&amp;AN$6,'Job Master'!$F$12:$J$102,3,0),"")</f>
        <v/>
      </c>
      <c r="AP328" s="19" t="str">
        <f>IFERROR(IF(AND(AW328&lt;&gt;"",VLOOKUP($P328&amp;" | "&amp;AN$6,'Job Master'!$F$12:$I$102,4,0)&lt;&gt;""),IF(WEEKDAY(AW328-VLOOKUP($P328&amp;" | "&amp;AN$6,'Job Master'!$F$12:$I$102,4,0))&lt;&gt;7,AW328-VLOOKUP($P328&amp;" | "&amp;AN$6,'Job Master'!$F$12:$I$102,4,0),AW328-VLOOKUP($P328&amp;" | "&amp;AN$6,'Job Master'!$F$12:$I$102,4,0)-1),""),"")</f>
        <v/>
      </c>
      <c r="AQ328" s="73"/>
      <c r="AR328" s="123" t="str">
        <f t="shared" si="525"/>
        <v/>
      </c>
      <c r="AS328" s="123" t="str">
        <f t="shared" si="526"/>
        <v/>
      </c>
      <c r="AT328" s="97" t="str">
        <f t="shared" ca="1" si="527"/>
        <v/>
      </c>
      <c r="AU328" s="98" t="str">
        <f>IF(AW328&lt;&gt;"",VLOOKUP($P328&amp;" | "&amp;AU$6,'Job Master'!$F$12:$J$102,5,0),"")</f>
        <v/>
      </c>
      <c r="AV328" s="19" t="str">
        <f>IF(AW328&lt;&gt;"",VLOOKUP($P328&amp;" | "&amp;AU$6,'Job Master'!$F$12:$J$102,3,0),"")</f>
        <v/>
      </c>
      <c r="AW328" s="19" t="str">
        <f>IFERROR(IF(AND(BD328&lt;&gt;"",VLOOKUP($P328&amp;" | "&amp;AU$6,'Job Master'!$F$12:$I$102,4,0)&lt;&gt;""),IF(WEEKDAY(BD328-VLOOKUP($P328&amp;" | "&amp;AU$6,'Job Master'!$F$12:$I$102,4,0))&lt;&gt;7,BD328-VLOOKUP($P328&amp;" | "&amp;AU$6,'Job Master'!$F$12:$I$102,4,0),BD328-VLOOKUP($P328&amp;" | "&amp;AU$6,'Job Master'!$F$12:$I$102,4,0)-1),""),"")</f>
        <v/>
      </c>
      <c r="AX328" s="73"/>
      <c r="AY328" s="123" t="str">
        <f t="shared" si="528"/>
        <v/>
      </c>
      <c r="AZ328" s="123" t="str">
        <f t="shared" si="529"/>
        <v/>
      </c>
      <c r="BA328" s="97" t="str">
        <f t="shared" ca="1" si="530"/>
        <v/>
      </c>
      <c r="BB328" s="98" t="str">
        <f>IF(BD328&lt;&gt;"",VLOOKUP($P328&amp;" | "&amp;BB$6,'Job Master'!$F$12:$J$102,5,0),"")</f>
        <v/>
      </c>
      <c r="BC328" s="19" t="str">
        <f>IF(BD328&lt;&gt;"",VLOOKUP($P328&amp;" | "&amp;BB$6,'Job Master'!$F$12:$J$102,3,0),"")</f>
        <v/>
      </c>
      <c r="BD328" s="19" t="str">
        <f>IFERROR(IF(AND(BK328&lt;&gt;"",VLOOKUP($P328&amp;" | "&amp;BB$6,'Job Master'!$F$12:$I$102,4,0)&lt;&gt;""),IF(WEEKDAY(BK328-VLOOKUP($P328&amp;" | "&amp;BB$6,'Job Master'!$F$12:$I$102,4,0))&lt;&gt;7,BK328-VLOOKUP($P328&amp;" | "&amp;BB$6,'Job Master'!$F$12:$I$102,4,0),BK328-VLOOKUP($P328&amp;" | "&amp;BB$6,'Job Master'!$F$12:$I$102,4,0)-1),""),"")</f>
        <v/>
      </c>
      <c r="BE328" s="73"/>
      <c r="BF328" s="123" t="str">
        <f t="shared" si="531"/>
        <v/>
      </c>
      <c r="BG328" s="123" t="str">
        <f t="shared" si="532"/>
        <v/>
      </c>
      <c r="BH328" s="97" t="str">
        <f t="shared" ca="1" si="533"/>
        <v/>
      </c>
      <c r="BI328" s="98" t="str">
        <f>IF(BK328&lt;&gt;"",VLOOKUP($P328&amp;" | "&amp;BI$6,'Job Master'!$F$12:$J$102,5,0),"")</f>
        <v/>
      </c>
      <c r="BJ328" s="19" t="str">
        <f>IF(BK328&lt;&gt;"",VLOOKUP($P328&amp;" | "&amp;BI$6,'Job Master'!$F$12:$J$102,3,0),"")</f>
        <v/>
      </c>
      <c r="BK328" s="19" t="str">
        <f>IFERROR(IF(AND(BR328&lt;&gt;"",VLOOKUP($P328&amp;" | "&amp;BI$6,'Job Master'!$F$12:$I$102,4,0)&lt;&gt;""),IF(WEEKDAY(BR328-VLOOKUP($P328&amp;" | "&amp;BI$6,'Job Master'!$F$12:$I$102,4,0))&lt;&gt;7,BR328-VLOOKUP($P328&amp;" | "&amp;BI$6,'Job Master'!$F$12:$I$102,4,0),BR328-VLOOKUP($P328&amp;" | "&amp;BI$6,'Job Master'!$F$12:$I$102,4,0)-1),""),"")</f>
        <v/>
      </c>
      <c r="BL328" s="73"/>
      <c r="BM328" s="123" t="str">
        <f t="shared" si="534"/>
        <v/>
      </c>
      <c r="BN328" s="123" t="str">
        <f t="shared" si="535"/>
        <v/>
      </c>
      <c r="BO328" s="97" t="str">
        <f t="shared" ca="1" si="536"/>
        <v/>
      </c>
      <c r="BP328" s="98" t="str">
        <f>IF(BR328&lt;&gt;"",VLOOKUP($P328&amp;" | "&amp;BP$6,'Job Master'!$F$12:$J$102,5,0),"")</f>
        <v/>
      </c>
      <c r="BQ328" s="19" t="str">
        <f>IF(BR328&lt;&gt;"",VLOOKUP($P328&amp;" | "&amp;BP$6,'Job Master'!$F$12:$J$102,3,0),"")</f>
        <v/>
      </c>
      <c r="BR328" s="19" t="str">
        <f>IFERROR(IF(AND(BY328&lt;&gt;"",VLOOKUP($P328&amp;" | "&amp;BP$6,'Job Master'!$F$12:$I$102,4,0)&lt;&gt;""),IF(WEEKDAY(BY328-VLOOKUP($P328&amp;" | "&amp;BP$6,'Job Master'!$F$12:$I$102,4,0))&lt;&gt;7,BY328-VLOOKUP($P328&amp;" | "&amp;BP$6,'Job Master'!$F$12:$I$102,4,0),BY328-VLOOKUP($P328&amp;" | "&amp;BP$6,'Job Master'!$F$12:$I$102,4,0)-1),""),"")</f>
        <v/>
      </c>
      <c r="BS328" s="73"/>
      <c r="BT328" s="123" t="str">
        <f t="shared" si="537"/>
        <v/>
      </c>
      <c r="BU328" s="123" t="str">
        <f t="shared" si="538"/>
        <v/>
      </c>
      <c r="BV328" s="97" t="str">
        <f t="shared" ca="1" si="539"/>
        <v/>
      </c>
      <c r="BW328" s="98" t="str">
        <f>IF(BY328&lt;&gt;"",VLOOKUP($P328&amp;" | "&amp;BW$6,'Job Master'!$F$12:$J$102,5,0),"")</f>
        <v/>
      </c>
      <c r="BX328" s="19" t="str">
        <f>IF(BY328&lt;&gt;"",VLOOKUP($P328&amp;" | "&amp;BW$6,'Job Master'!$F$12:$J$102,3,0),"")</f>
        <v/>
      </c>
      <c r="BY328" s="19" t="str">
        <f>IFERROR(IF(AND(CF328&lt;&gt;"",VLOOKUP($P328&amp;" | "&amp;BW$6,'Job Master'!$F$12:$I$102,4,0)&lt;&gt;""),IF(WEEKDAY(CF328-VLOOKUP($P328&amp;" | "&amp;BW$6,'Job Master'!$F$12:$I$102,4,0))&lt;&gt;7,CF328-VLOOKUP($P328&amp;" | "&amp;BW$6,'Job Master'!$F$12:$I$102,4,0),CF328-VLOOKUP($P328&amp;" | "&amp;BW$6,'Job Master'!$F$12:$I$102,4,0)-1),""),"")</f>
        <v/>
      </c>
      <c r="BZ328" s="73"/>
      <c r="CA328" s="123" t="str">
        <f t="shared" si="540"/>
        <v/>
      </c>
      <c r="CB328" s="123" t="str">
        <f t="shared" si="541"/>
        <v/>
      </c>
      <c r="CC328" s="97" t="str">
        <f t="shared" ca="1" si="542"/>
        <v/>
      </c>
      <c r="CD328" s="98" t="str">
        <f>IF(CF328&lt;&gt;"",VLOOKUP($P328&amp;" | "&amp;CD$6,'Job Master'!$F$12:$J$102,5,0),"")</f>
        <v/>
      </c>
      <c r="CE328" s="19" t="str">
        <f>IF(CF328&lt;&gt;"",VLOOKUP($P328&amp;" | "&amp;CD$6,'Job Master'!$F$12:$J$102,3,0),"")</f>
        <v/>
      </c>
      <c r="CF328" s="19" t="str">
        <f>IFERROR(IF(AND(CM328&lt;&gt;"",VLOOKUP($P328&amp;" | "&amp;CD$6,'Job Master'!$F$12:$I$102,4,0)&lt;&gt;""),IF(WEEKDAY(CM328-VLOOKUP($P328&amp;" | "&amp;CD$6,'Job Master'!$F$12:$I$102,4,0))&lt;&gt;7,CM328-VLOOKUP($P328&amp;" | "&amp;CD$6,'Job Master'!$F$12:$I$102,4,0),CM328-VLOOKUP($P328&amp;" | "&amp;CD$6,'Job Master'!$F$12:$I$102,4,0)-1),""),"")</f>
        <v/>
      </c>
      <c r="CG328" s="73"/>
      <c r="CH328" s="123" t="str">
        <f t="shared" si="543"/>
        <v/>
      </c>
      <c r="CI328" s="123" t="str">
        <f t="shared" si="544"/>
        <v/>
      </c>
      <c r="CJ328" s="97" t="str">
        <f t="shared" ca="1" si="545"/>
        <v/>
      </c>
      <c r="CK328" s="98" t="str">
        <f>IF(CM328&lt;&gt;"",VLOOKUP($P328&amp;" | "&amp;CK$6,'Job Master'!$F$12:$J$102,5,0),"")</f>
        <v/>
      </c>
      <c r="CL328" s="19" t="str">
        <f>IF(CM328&lt;&gt;"",VLOOKUP($P328&amp;" | "&amp;CK$6,'Job Master'!$F$12:$J$102,3,0),"")</f>
        <v/>
      </c>
      <c r="CM328" s="19" t="str">
        <f>IFERROR(IF(AND(CT328&lt;&gt;"",VLOOKUP($P328&amp;" | "&amp;CK$6,'Job Master'!$F$12:$I$102,4,0)&lt;&gt;""),IF(WEEKDAY(CT328-VLOOKUP($P328&amp;" | "&amp;CK$6,'Job Master'!$F$12:$I$102,4,0))&lt;&gt;7,CT328-VLOOKUP($P328&amp;" | "&amp;CK$6,'Job Master'!$F$12:$I$102,4,0),CT328-VLOOKUP($P328&amp;" | "&amp;CK$6,'Job Master'!$F$12:$I$102,4,0)-1),""),"")</f>
        <v/>
      </c>
      <c r="CN328" s="73"/>
      <c r="CO328" s="123" t="str">
        <f t="shared" si="546"/>
        <v/>
      </c>
      <c r="CP328" s="123" t="str">
        <f t="shared" si="547"/>
        <v/>
      </c>
      <c r="CQ328" s="97" t="str">
        <f t="shared" ca="1" si="548"/>
        <v/>
      </c>
      <c r="CR328" s="98" t="str">
        <f>IF(CT328&lt;&gt;"",VLOOKUP($P328&amp;" | "&amp;CR$6,'Job Master'!$F$12:$J$102,5,0),"")</f>
        <v/>
      </c>
      <c r="CS328" s="19" t="str">
        <f>IF(CT328&lt;&gt;"",VLOOKUP($P328&amp;" | "&amp;CR$6,'Job Master'!$F$12:$J$102,3,0),"")</f>
        <v/>
      </c>
      <c r="CT328" s="19" t="str">
        <f>IFERROR(IF(AND(DA328&lt;&gt;"",VLOOKUP($P328&amp;" | "&amp;CR$6,'Job Master'!$F$12:$I$102,4,0)&lt;&gt;""),IF(WEEKDAY(DA328-VLOOKUP($P328&amp;" | "&amp;CR$6,'Job Master'!$F$12:$I$102,4,0))&lt;&gt;7,DA328-VLOOKUP($P328&amp;" | "&amp;CR$6,'Job Master'!$F$12:$I$102,4,0),DA328-VLOOKUP($P328&amp;" | "&amp;CR$6,'Job Master'!$F$12:$I$102,4,0)-1),""),"")</f>
        <v/>
      </c>
      <c r="CU328" s="73"/>
      <c r="CV328" s="123" t="str">
        <f t="shared" si="549"/>
        <v/>
      </c>
      <c r="CW328" s="123" t="str">
        <f t="shared" si="550"/>
        <v/>
      </c>
      <c r="CX328" s="97" t="str">
        <f t="shared" ca="1" si="551"/>
        <v/>
      </c>
      <c r="CY328" s="98" t="str">
        <f>IF(DA328&lt;&gt;"",VLOOKUP($P328&amp;" | "&amp;CY$6,'Job Master'!$F$12:$J$102,5,0),"")</f>
        <v/>
      </c>
      <c r="CZ328" s="19" t="str">
        <f>IF(DA328&lt;&gt;"",VLOOKUP($P328&amp;" | "&amp;CY$6,'Job Master'!$F$12:$J$102,3,0),"")</f>
        <v/>
      </c>
      <c r="DA328" s="19" t="str">
        <f>IFERROR(IF(AND(DH328&lt;&gt;"",VLOOKUP($P328&amp;" | "&amp;CY$6,'Job Master'!$F$12:$I$102,4,0)&lt;&gt;""),IF(WEEKDAY(DH328-VLOOKUP($P328&amp;" | "&amp;CY$6,'Job Master'!$F$12:$I$102,4,0))&lt;&gt;7,DH328-VLOOKUP($P328&amp;" | "&amp;CY$6,'Job Master'!$F$12:$I$102,4,0),DH328-VLOOKUP($P328&amp;" | "&amp;CY$6,'Job Master'!$F$12:$I$102,4,0)-1),""),"")</f>
        <v/>
      </c>
      <c r="DB328" s="73"/>
      <c r="DC328" s="123" t="str">
        <f t="shared" si="552"/>
        <v/>
      </c>
      <c r="DD328" s="123" t="str">
        <f t="shared" si="553"/>
        <v/>
      </c>
      <c r="DE328" s="97" t="str">
        <f t="shared" ca="1" si="554"/>
        <v/>
      </c>
      <c r="DF328" s="98" t="str">
        <f>IF(DH328&lt;&gt;"",VLOOKUP($P328&amp;" | "&amp;DF$6,'Job Master'!$F$12:$J$102,5,0),"")</f>
        <v/>
      </c>
      <c r="DG328" s="19" t="str">
        <f>IF(DH328&lt;&gt;"",VLOOKUP($P328&amp;" | "&amp;DF$6,'Job Master'!$F$12:$J$102,3,0),"")</f>
        <v/>
      </c>
      <c r="DH328" s="19" t="str">
        <f>IFERROR(IF(AND(DO328&lt;&gt;"",VLOOKUP($P328&amp;" | "&amp;DF$6,'Job Master'!$F$12:$I$102,4,0)&lt;&gt;""),IF(WEEKDAY(DO328-VLOOKUP($P328&amp;" | "&amp;DF$6,'Job Master'!$F$12:$I$102,4,0))&lt;&gt;7,DO328-VLOOKUP($P328&amp;" | "&amp;DF$6,'Job Master'!$F$12:$I$102,4,0),DO328-VLOOKUP($P328&amp;" | "&amp;DF$6,'Job Master'!$F$12:$I$102,4,0)-1),""),"")</f>
        <v/>
      </c>
      <c r="DI328" s="73"/>
      <c r="DJ328" s="123" t="str">
        <f t="shared" si="555"/>
        <v/>
      </c>
      <c r="DK328" s="123" t="str">
        <f t="shared" si="556"/>
        <v/>
      </c>
      <c r="DL328" s="97" t="str">
        <f t="shared" ca="1" si="557"/>
        <v/>
      </c>
      <c r="DM328" s="98" t="str">
        <f>IF(DO328&lt;&gt;"",VLOOKUP($P328&amp;" | "&amp;DM$6,'Job Master'!$F$12:$J$102,5,0),"")</f>
        <v/>
      </c>
      <c r="DN328" s="19" t="str">
        <f>IF(DO328&lt;&gt;"",VLOOKUP($P328&amp;" | "&amp;DM$6,'Job Master'!$F$12:$J$102,3,0),"")</f>
        <v/>
      </c>
      <c r="DO328" s="19" t="str">
        <f>IFERROR(IF(AND(DT328&lt;&gt;"",VLOOKUP($P328&amp;" | "&amp;DM$6,'Job Master'!$F$12:$I$102,4,0)&lt;&gt;""),IF(WEEKDAY(DT328-VLOOKUP($P328&amp;" | "&amp;DM$6,'Job Master'!$F$12:$I$102,4,0))&lt;&gt;7,DT328-VLOOKUP($P328&amp;" | "&amp;DM$6,'Job Master'!$F$12:$I$102,4,0),DT328-VLOOKUP($P328&amp;" | "&amp;DM$6,'Job Master'!$F$12:$I$102,4,0)-1),""),"")</f>
        <v/>
      </c>
      <c r="DP328" s="73"/>
      <c r="DQ328" s="123" t="str">
        <f t="shared" si="558"/>
        <v/>
      </c>
      <c r="DR328" s="123" t="str">
        <f t="shared" si="559"/>
        <v/>
      </c>
      <c r="DS328" s="97" t="str">
        <f t="shared" ca="1" si="560"/>
        <v/>
      </c>
      <c r="DT328" s="70" t="str">
        <f t="shared" si="561"/>
        <v/>
      </c>
      <c r="DU328" s="90"/>
      <c r="DV328" s="123" t="str">
        <f t="shared" si="562"/>
        <v/>
      </c>
      <c r="DW328" s="123" t="str">
        <f t="shared" si="563"/>
        <v/>
      </c>
      <c r="DX328" s="132" t="str">
        <f t="shared" ref="DX328" ca="1" si="638">IF(DT328&lt;&gt;"",IF(WEEKNUM(DT328)=WEEKNUM(TODAY()),"This Week",IF(WEEKNUM(DT328)=WEEKNUM(TODAY())+1,"Next Week",IF(WEEKNUM(DT328)=WEEKNUM(TODAY())-1,"Previous Week",""))),"")</f>
        <v/>
      </c>
      <c r="DY328" s="134" t="str">
        <f t="shared" si="565"/>
        <v/>
      </c>
      <c r="DZ328" s="95"/>
      <c r="EB328" s="8" t="str">
        <f t="shared" si="571"/>
        <v/>
      </c>
      <c r="EC328" s="8" t="str">
        <f>IF(O328&lt;&gt;"",VLOOKUP(O328,'Job Master'!$N$12:$O$18,2,0),"")</f>
        <v/>
      </c>
      <c r="ED328" s="8">
        <f t="shared" si="572"/>
        <v>19.5</v>
      </c>
      <c r="EE328" s="8">
        <f t="shared" si="573"/>
        <v>6</v>
      </c>
      <c r="EF328" s="8">
        <f t="shared" si="574"/>
        <v>-1888.5</v>
      </c>
      <c r="EG328" s="8" t="str">
        <f t="shared" si="575"/>
        <v/>
      </c>
      <c r="EH328" s="8" t="str">
        <f t="shared" si="576"/>
        <v/>
      </c>
    </row>
    <row r="329" spans="2:138" x14ac:dyDescent="0.3">
      <c r="B329" s="112"/>
      <c r="C329" s="27"/>
      <c r="D329" s="7" t="str">
        <f t="shared" ref="D329:J392" si="639">IF(IF(C329&lt;&gt;"",C329,IF($AA329&lt;&gt;"",D328,""))&lt;&gt;0,IF(C329&lt;&gt;"",C329,IF($AA329&lt;&gt;"",D328,"")),"")</f>
        <v/>
      </c>
      <c r="E329" s="25"/>
      <c r="F329" s="7" t="str">
        <f t="shared" si="639"/>
        <v/>
      </c>
      <c r="G329" s="25"/>
      <c r="H329" s="7" t="str">
        <f t="shared" si="639"/>
        <v/>
      </c>
      <c r="I329" s="25"/>
      <c r="J329" s="7" t="str">
        <f t="shared" si="639"/>
        <v/>
      </c>
      <c r="K329" s="25"/>
      <c r="L329" s="7" t="str">
        <f t="shared" ref="L329:L392" si="640">IF(IF(K329&lt;&gt;"",K329,IF($AA329&lt;&gt;"",L328,""))&lt;&gt;0,IF(K329&lt;&gt;"",K329,IF($AA329&lt;&gt;"",L328,"")),"")</f>
        <v/>
      </c>
      <c r="M329" s="25"/>
      <c r="N329" s="7" t="str">
        <f t="shared" ref="N329:N392" si="641">IF(IF(M329&lt;&gt;"",M329,IF($AA329&lt;&gt;"",N328,""))&lt;&gt;0,IF(M329&lt;&gt;"",M329,IF($AA329&lt;&gt;"",N328,"")),"")</f>
        <v/>
      </c>
      <c r="O329" s="81"/>
      <c r="P329" s="81" t="str">
        <f t="shared" ref="P329:P392" si="642">IF(IF(O329&lt;&gt;"",O329,IF($AA329&lt;&gt;"",P328,""))&lt;&gt;0,IF(O329&lt;&gt;"",O329,IF($AA329&lt;&gt;"",P328,"")),"")</f>
        <v/>
      </c>
      <c r="Q329" s="81"/>
      <c r="R329" s="7" t="str">
        <f t="shared" ref="R329:R392" si="643">IF(IF(Q329&lt;&gt;"",Q329,IF($AA329&lt;&gt;"",R328,""))&lt;&gt;0,IF(Q329&lt;&gt;"",Q329,IF($AA329&lt;&gt;"",R328,"")),"")</f>
        <v/>
      </c>
      <c r="S329" s="25"/>
      <c r="T329" s="7" t="str">
        <f t="shared" ref="T329:T392" si="644">IF(IF(S329&lt;&gt;"",S329,IF($AA329&lt;&gt;"",T328,""))&lt;&gt;0,IF(S329&lt;&gt;"",S329,IF($AA329&lt;&gt;"",T328,"")),"")</f>
        <v/>
      </c>
      <c r="U329" s="25"/>
      <c r="V329" s="7" t="str">
        <f t="shared" ref="V329:V392" si="645">IF(IF(U329&lt;&gt;"",U329,IF($AA329&lt;&gt;"",V328,""))&lt;&gt;0,IF(U329&lt;&gt;"",U329,IF($AA329&lt;&gt;"",V328,"")),"")</f>
        <v/>
      </c>
      <c r="W329" s="25"/>
      <c r="X329" s="7" t="str">
        <f t="shared" ref="X329:X392" si="646">IF(IF(W329&lt;&gt;"",W329,IF($AA329&lt;&gt;"",X328,""))&lt;&gt;0,IF(W329&lt;&gt;"",W329,IF($AA329&lt;&gt;"",X328,"")),"")</f>
        <v/>
      </c>
      <c r="Y329" s="18" t="str">
        <f t="shared" ref="Y329:Y392" si="647">IF(AND(W329&lt;&gt;"",U329&lt;&gt;""),U329*W329,"")</f>
        <v/>
      </c>
      <c r="Z329" s="7" t="str">
        <f t="shared" ref="Z329:Z392" si="648">IF(IF(Y329&lt;&gt;"",Y329,IF($AA329&lt;&gt;"",Z328,""))&lt;&gt;0,IF(Y329&lt;&gt;"",Y329,IF($AA329&lt;&gt;"",Z328,"")),"")</f>
        <v/>
      </c>
      <c r="AA329" s="18" t="str">
        <f t="shared" ref="AA329:AA392" si="649">IF(EH329&lt;&gt;"",EH329,"")</f>
        <v/>
      </c>
      <c r="AB329" s="19" t="str">
        <f t="shared" ref="AB329:AB392" si="650">IF(AA329&lt;&gt;"",IF(WEEKDAY(IF(AF329&lt;&gt;"",AF329,IF(AD329&lt;&gt;"",AD329,IF(AC329&lt;&gt;"",AC329,IF(AND(AC329="",AD329="",AF329="",AA329&lt;&gt;""),AB328-1,"")))))&lt;&gt;7,IF(AF329&lt;&gt;"",AF329,IF(AD329&lt;&gt;"",AD329,IF(AC329&lt;&gt;"",AC329,IF(AND(AC329="",AD329="",AF329="",AA329&lt;&gt;""),AB328-1,"")))),IF(AF329&lt;&gt;"",AF329,IF(AD329&lt;&gt;"",AD329,IF(AC329&lt;&gt;"",AC329,IF(AND(AC329="",AD329="",AF329="",AA329&lt;&gt;""),AB328-1,""))))-1),"")</f>
        <v/>
      </c>
      <c r="AC329" s="26"/>
      <c r="AD329" s="26"/>
      <c r="AE329" s="25"/>
      <c r="AF329" s="26"/>
      <c r="AG329" s="25"/>
      <c r="AH329" s="25"/>
      <c r="AI329" s="18" t="str">
        <f t="shared" si="587"/>
        <v/>
      </c>
      <c r="AJ329" s="25"/>
      <c r="AK329" s="18" t="str">
        <f t="shared" si="588"/>
        <v/>
      </c>
      <c r="AL329" s="79"/>
      <c r="AM329" s="126" t="str">
        <f t="shared" si="589"/>
        <v/>
      </c>
      <c r="AN329" s="128" t="str">
        <f>IF(AP329&lt;&gt;"",VLOOKUP($P329&amp;" | "&amp;AN$6,'Job Master'!$F$12:$J$102,5,0),"")</f>
        <v/>
      </c>
      <c r="AO329" s="19" t="str">
        <f>IF(AP329&lt;&gt;"",VLOOKUP($P329&amp;" | "&amp;AN$6,'Job Master'!$F$12:$J$102,3,0),"")</f>
        <v/>
      </c>
      <c r="AP329" s="19" t="str">
        <f>IFERROR(IF(AND(AW329&lt;&gt;"",VLOOKUP($P329&amp;" | "&amp;AN$6,'Job Master'!$F$12:$I$102,4,0)&lt;&gt;""),IF(WEEKDAY(AW329-VLOOKUP($P329&amp;" | "&amp;AN$6,'Job Master'!$F$12:$I$102,4,0))&lt;&gt;7,AW329-VLOOKUP($P329&amp;" | "&amp;AN$6,'Job Master'!$F$12:$I$102,4,0),AW329-VLOOKUP($P329&amp;" | "&amp;AN$6,'Job Master'!$F$12:$I$102,4,0)-1),""),"")</f>
        <v/>
      </c>
      <c r="AQ329" s="73"/>
      <c r="AR329" s="123" t="str">
        <f t="shared" ref="AR329:AR392" si="651">IF(AP329&lt;&gt;"",MONTH(AP329),"")</f>
        <v/>
      </c>
      <c r="AS329" s="123" t="str">
        <f t="shared" ref="AS329:AS392" si="652">IF(AND(AQ329&lt;&gt;"",AP329&lt;&gt;""),IF(AQ329&gt;AP329,"Delayed",IF(AQ329=AP329,"On Time",IF(AQ329&lt;AP329,"In Advance"))),"")</f>
        <v/>
      </c>
      <c r="AT329" s="97" t="str">
        <f t="shared" ref="AT329:AT392" ca="1" si="653">IF(AP329&lt;&gt;"",IF(WEEKNUM(AP329)=WEEKNUM(TODAY()),"This Week",IF(WEEKNUM(AP329)=WEEKNUM(TODAY())+1,"Next Week",IF(WEEKNUM(AP329)=WEEKNUM(TODAY())-1,"Previous Week",""))),"")</f>
        <v/>
      </c>
      <c r="AU329" s="98" t="str">
        <f>IF(AW329&lt;&gt;"",VLOOKUP($P329&amp;" | "&amp;AU$6,'Job Master'!$F$12:$J$102,5,0),"")</f>
        <v/>
      </c>
      <c r="AV329" s="19" t="str">
        <f>IF(AW329&lt;&gt;"",VLOOKUP($P329&amp;" | "&amp;AU$6,'Job Master'!$F$12:$J$102,3,0),"")</f>
        <v/>
      </c>
      <c r="AW329" s="19" t="str">
        <f>IFERROR(IF(AND(BD329&lt;&gt;"",VLOOKUP($P329&amp;" | "&amp;AU$6,'Job Master'!$F$12:$I$102,4,0)&lt;&gt;""),IF(WEEKDAY(BD329-VLOOKUP($P329&amp;" | "&amp;AU$6,'Job Master'!$F$12:$I$102,4,0))&lt;&gt;7,BD329-VLOOKUP($P329&amp;" | "&amp;AU$6,'Job Master'!$F$12:$I$102,4,0),BD329-VLOOKUP($P329&amp;" | "&amp;AU$6,'Job Master'!$F$12:$I$102,4,0)-1),""),"")</f>
        <v/>
      </c>
      <c r="AX329" s="73"/>
      <c r="AY329" s="123" t="str">
        <f t="shared" ref="AY329:AY392" si="654">IF(AW329&lt;&gt;"",MONTH(AW329),"")</f>
        <v/>
      </c>
      <c r="AZ329" s="123" t="str">
        <f t="shared" ref="AZ329:AZ392" si="655">IF(AND(AX329&lt;&gt;"",AW329&lt;&gt;""),IF(AX329&gt;AW329,"Delayed",IF(AX329=AW329,"On Time",IF(AX329&lt;AW329,"In Advance"))),"")</f>
        <v/>
      </c>
      <c r="BA329" s="97" t="str">
        <f t="shared" ref="BA329:BA392" ca="1" si="656">IF(AW329&lt;&gt;"",IF(WEEKNUM(AW329)=WEEKNUM(TODAY()),"This Week",IF(WEEKNUM(AW329)=WEEKNUM(TODAY())+1,"Next Week",IF(WEEKNUM(AW329)=WEEKNUM(TODAY())-1,"Previous Week",""))),"")</f>
        <v/>
      </c>
      <c r="BB329" s="98" t="str">
        <f>IF(BD329&lt;&gt;"",VLOOKUP($P329&amp;" | "&amp;BB$6,'Job Master'!$F$12:$J$102,5,0),"")</f>
        <v/>
      </c>
      <c r="BC329" s="19" t="str">
        <f>IF(BD329&lt;&gt;"",VLOOKUP($P329&amp;" | "&amp;BB$6,'Job Master'!$F$12:$J$102,3,0),"")</f>
        <v/>
      </c>
      <c r="BD329" s="19" t="str">
        <f>IFERROR(IF(AND(BK329&lt;&gt;"",VLOOKUP($P329&amp;" | "&amp;BB$6,'Job Master'!$F$12:$I$102,4,0)&lt;&gt;""),IF(WEEKDAY(BK329-VLOOKUP($P329&amp;" | "&amp;BB$6,'Job Master'!$F$12:$I$102,4,0))&lt;&gt;7,BK329-VLOOKUP($P329&amp;" | "&amp;BB$6,'Job Master'!$F$12:$I$102,4,0),BK329-VLOOKUP($P329&amp;" | "&amp;BB$6,'Job Master'!$F$12:$I$102,4,0)-1),""),"")</f>
        <v/>
      </c>
      <c r="BE329" s="73"/>
      <c r="BF329" s="123" t="str">
        <f t="shared" ref="BF329:BF392" si="657">IF(BD329&lt;&gt;"",MONTH(BD329),"")</f>
        <v/>
      </c>
      <c r="BG329" s="123" t="str">
        <f t="shared" ref="BG329:BG392" si="658">IF(AND(BE329&lt;&gt;"",BD329&lt;&gt;""),IF(BE329&gt;BD329,"Delayed",IF(BE329=BD329,"On Time",IF(BE329&lt;BD329,"In Advance"))),"")</f>
        <v/>
      </c>
      <c r="BH329" s="97" t="str">
        <f t="shared" ref="BH329:BH392" ca="1" si="659">IF(BD329&lt;&gt;"",IF(WEEKNUM(BD329)=WEEKNUM(TODAY()),"This Week",IF(WEEKNUM(BD329)=WEEKNUM(TODAY())+1,"Next Week",IF(WEEKNUM(BD329)=WEEKNUM(TODAY())-1,"Previous Week",""))),"")</f>
        <v/>
      </c>
      <c r="BI329" s="98" t="str">
        <f>IF(BK329&lt;&gt;"",VLOOKUP($P329&amp;" | "&amp;BI$6,'Job Master'!$F$12:$J$102,5,0),"")</f>
        <v/>
      </c>
      <c r="BJ329" s="19" t="str">
        <f>IF(BK329&lt;&gt;"",VLOOKUP($P329&amp;" | "&amp;BI$6,'Job Master'!$F$12:$J$102,3,0),"")</f>
        <v/>
      </c>
      <c r="BK329" s="19" t="str">
        <f>IFERROR(IF(AND(BR329&lt;&gt;"",VLOOKUP($P329&amp;" | "&amp;BI$6,'Job Master'!$F$12:$I$102,4,0)&lt;&gt;""),IF(WEEKDAY(BR329-VLOOKUP($P329&amp;" | "&amp;BI$6,'Job Master'!$F$12:$I$102,4,0))&lt;&gt;7,BR329-VLOOKUP($P329&amp;" | "&amp;BI$6,'Job Master'!$F$12:$I$102,4,0),BR329-VLOOKUP($P329&amp;" | "&amp;BI$6,'Job Master'!$F$12:$I$102,4,0)-1),""),"")</f>
        <v/>
      </c>
      <c r="BL329" s="73"/>
      <c r="BM329" s="123" t="str">
        <f t="shared" ref="BM329:BM392" si="660">IF(BK329&lt;&gt;"",MONTH(BK329),"")</f>
        <v/>
      </c>
      <c r="BN329" s="123" t="str">
        <f t="shared" ref="BN329:BN392" si="661">IF(AND(BL329&lt;&gt;"",BK329&lt;&gt;""),IF(BL329&gt;BK329,"Delayed",IF(BL329=BK329,"On Time",IF(BL329&lt;BK329,"In Advance"))),"")</f>
        <v/>
      </c>
      <c r="BO329" s="97" t="str">
        <f t="shared" ref="BO329:BO392" ca="1" si="662">IF(BK329&lt;&gt;"",IF(WEEKNUM(BK329)=WEEKNUM(TODAY()),"This Week",IF(WEEKNUM(BK329)=WEEKNUM(TODAY())+1,"Next Week",IF(WEEKNUM(BK329)=WEEKNUM(TODAY())-1,"Previous Week",""))),"")</f>
        <v/>
      </c>
      <c r="BP329" s="98" t="str">
        <f>IF(BR329&lt;&gt;"",VLOOKUP($P329&amp;" | "&amp;BP$6,'Job Master'!$F$12:$J$102,5,0),"")</f>
        <v/>
      </c>
      <c r="BQ329" s="19" t="str">
        <f>IF(BR329&lt;&gt;"",VLOOKUP($P329&amp;" | "&amp;BP$6,'Job Master'!$F$12:$J$102,3,0),"")</f>
        <v/>
      </c>
      <c r="BR329" s="19" t="str">
        <f>IFERROR(IF(AND(BY329&lt;&gt;"",VLOOKUP($P329&amp;" | "&amp;BP$6,'Job Master'!$F$12:$I$102,4,0)&lt;&gt;""),IF(WEEKDAY(BY329-VLOOKUP($P329&amp;" | "&amp;BP$6,'Job Master'!$F$12:$I$102,4,0))&lt;&gt;7,BY329-VLOOKUP($P329&amp;" | "&amp;BP$6,'Job Master'!$F$12:$I$102,4,0),BY329-VLOOKUP($P329&amp;" | "&amp;BP$6,'Job Master'!$F$12:$I$102,4,0)-1),""),"")</f>
        <v/>
      </c>
      <c r="BS329" s="73"/>
      <c r="BT329" s="123" t="str">
        <f t="shared" ref="BT329:BT392" si="663">IF(BR329&lt;&gt;"",MONTH(BR329),"")</f>
        <v/>
      </c>
      <c r="BU329" s="123" t="str">
        <f t="shared" ref="BU329:BU392" si="664">IF(AND(BS329&lt;&gt;"",BR329&lt;&gt;""),IF(BS329&gt;BR329,"Delayed",IF(BS329=BR329,"On Time",IF(BS329&lt;BR329,"In Advance"))),"")</f>
        <v/>
      </c>
      <c r="BV329" s="97" t="str">
        <f t="shared" ref="BV329:BV392" ca="1" si="665">IF(BR329&lt;&gt;"",IF(WEEKNUM(BR329)=WEEKNUM(TODAY()),"This Week",IF(WEEKNUM(BR329)=WEEKNUM(TODAY())+1,"Next Week",IF(WEEKNUM(BR329)=WEEKNUM(TODAY())-1,"Previous Week",""))),"")</f>
        <v/>
      </c>
      <c r="BW329" s="98" t="str">
        <f>IF(BY329&lt;&gt;"",VLOOKUP($P329&amp;" | "&amp;BW$6,'Job Master'!$F$12:$J$102,5,0),"")</f>
        <v/>
      </c>
      <c r="BX329" s="19" t="str">
        <f>IF(BY329&lt;&gt;"",VLOOKUP($P329&amp;" | "&amp;BW$6,'Job Master'!$F$12:$J$102,3,0),"")</f>
        <v/>
      </c>
      <c r="BY329" s="19" t="str">
        <f>IFERROR(IF(AND(CF329&lt;&gt;"",VLOOKUP($P329&amp;" | "&amp;BW$6,'Job Master'!$F$12:$I$102,4,0)&lt;&gt;""),IF(WEEKDAY(CF329-VLOOKUP($P329&amp;" | "&amp;BW$6,'Job Master'!$F$12:$I$102,4,0))&lt;&gt;7,CF329-VLOOKUP($P329&amp;" | "&amp;BW$6,'Job Master'!$F$12:$I$102,4,0),CF329-VLOOKUP($P329&amp;" | "&amp;BW$6,'Job Master'!$F$12:$I$102,4,0)-1),""),"")</f>
        <v/>
      </c>
      <c r="BZ329" s="73"/>
      <c r="CA329" s="123" t="str">
        <f t="shared" ref="CA329:CA392" si="666">IF(BY329&lt;&gt;"",MONTH(BY329),"")</f>
        <v/>
      </c>
      <c r="CB329" s="123" t="str">
        <f t="shared" ref="CB329:CB392" si="667">IF(AND(BZ329&lt;&gt;"",BY329&lt;&gt;""),IF(BZ329&gt;BY329,"Delayed",IF(BZ329=BY329,"On Time",IF(BZ329&lt;BY329,"In Advance"))),"")</f>
        <v/>
      </c>
      <c r="CC329" s="97" t="str">
        <f t="shared" ref="CC329:CC392" ca="1" si="668">IF(BY329&lt;&gt;"",IF(WEEKNUM(BY329)=WEEKNUM(TODAY()),"This Week",IF(WEEKNUM(BY329)=WEEKNUM(TODAY())+1,"Next Week",IF(WEEKNUM(BY329)=WEEKNUM(TODAY())-1,"Previous Week",""))),"")</f>
        <v/>
      </c>
      <c r="CD329" s="98" t="str">
        <f>IF(CF329&lt;&gt;"",VLOOKUP($P329&amp;" | "&amp;CD$6,'Job Master'!$F$12:$J$102,5,0),"")</f>
        <v/>
      </c>
      <c r="CE329" s="19" t="str">
        <f>IF(CF329&lt;&gt;"",VLOOKUP($P329&amp;" | "&amp;CD$6,'Job Master'!$F$12:$J$102,3,0),"")</f>
        <v/>
      </c>
      <c r="CF329" s="19" t="str">
        <f>IFERROR(IF(AND(CM329&lt;&gt;"",VLOOKUP($P329&amp;" | "&amp;CD$6,'Job Master'!$F$12:$I$102,4,0)&lt;&gt;""),IF(WEEKDAY(CM329-VLOOKUP($P329&amp;" | "&amp;CD$6,'Job Master'!$F$12:$I$102,4,0))&lt;&gt;7,CM329-VLOOKUP($P329&amp;" | "&amp;CD$6,'Job Master'!$F$12:$I$102,4,0),CM329-VLOOKUP($P329&amp;" | "&amp;CD$6,'Job Master'!$F$12:$I$102,4,0)-1),""),"")</f>
        <v/>
      </c>
      <c r="CG329" s="73"/>
      <c r="CH329" s="123" t="str">
        <f t="shared" ref="CH329:CH392" si="669">IF(CF329&lt;&gt;"",MONTH(CF329),"")</f>
        <v/>
      </c>
      <c r="CI329" s="123" t="str">
        <f t="shared" ref="CI329:CI392" si="670">IF(AND(CG329&lt;&gt;"",CF329&lt;&gt;""),IF(CG329&gt;CF329,"Delayed",IF(CG329=CF329,"On Time",IF(CG329&lt;CF329,"In Advance"))),"")</f>
        <v/>
      </c>
      <c r="CJ329" s="97" t="str">
        <f t="shared" ref="CJ329:CJ392" ca="1" si="671">IF(CF329&lt;&gt;"",IF(WEEKNUM(CF329)=WEEKNUM(TODAY()),"This Week",IF(WEEKNUM(CF329)=WEEKNUM(TODAY())+1,"Next Week",IF(WEEKNUM(CF329)=WEEKNUM(TODAY())-1,"Previous Week",""))),"")</f>
        <v/>
      </c>
      <c r="CK329" s="98" t="str">
        <f>IF(CM329&lt;&gt;"",VLOOKUP($P329&amp;" | "&amp;CK$6,'Job Master'!$F$12:$J$102,5,0),"")</f>
        <v/>
      </c>
      <c r="CL329" s="19" t="str">
        <f>IF(CM329&lt;&gt;"",VLOOKUP($P329&amp;" | "&amp;CK$6,'Job Master'!$F$12:$J$102,3,0),"")</f>
        <v/>
      </c>
      <c r="CM329" s="19" t="str">
        <f>IFERROR(IF(AND(CT329&lt;&gt;"",VLOOKUP($P329&amp;" | "&amp;CK$6,'Job Master'!$F$12:$I$102,4,0)&lt;&gt;""),IF(WEEKDAY(CT329-VLOOKUP($P329&amp;" | "&amp;CK$6,'Job Master'!$F$12:$I$102,4,0))&lt;&gt;7,CT329-VLOOKUP($P329&amp;" | "&amp;CK$6,'Job Master'!$F$12:$I$102,4,0),CT329-VLOOKUP($P329&amp;" | "&amp;CK$6,'Job Master'!$F$12:$I$102,4,0)-1),""),"")</f>
        <v/>
      </c>
      <c r="CN329" s="73"/>
      <c r="CO329" s="123" t="str">
        <f t="shared" ref="CO329:CO392" si="672">IF(CM329&lt;&gt;"",MONTH(CM329),"")</f>
        <v/>
      </c>
      <c r="CP329" s="123" t="str">
        <f t="shared" ref="CP329:CP392" si="673">IF(AND(CN329&lt;&gt;"",CM329&lt;&gt;""),IF(CN329&gt;CM329,"Delayed",IF(CN329=CM329,"On Time",IF(CN329&lt;CM329,"In Advance"))),"")</f>
        <v/>
      </c>
      <c r="CQ329" s="97" t="str">
        <f t="shared" ref="CQ329:CQ392" ca="1" si="674">IF(CM329&lt;&gt;"",IF(WEEKNUM(CM329)=WEEKNUM(TODAY()),"This Week",IF(WEEKNUM(CM329)=WEEKNUM(TODAY())+1,"Next Week",IF(WEEKNUM(CM329)=WEEKNUM(TODAY())-1,"Previous Week",""))),"")</f>
        <v/>
      </c>
      <c r="CR329" s="98" t="str">
        <f>IF(CT329&lt;&gt;"",VLOOKUP($P329&amp;" | "&amp;CR$6,'Job Master'!$F$12:$J$102,5,0),"")</f>
        <v/>
      </c>
      <c r="CS329" s="19" t="str">
        <f>IF(CT329&lt;&gt;"",VLOOKUP($P329&amp;" | "&amp;CR$6,'Job Master'!$F$12:$J$102,3,0),"")</f>
        <v/>
      </c>
      <c r="CT329" s="19" t="str">
        <f>IFERROR(IF(AND(DA329&lt;&gt;"",VLOOKUP($P329&amp;" | "&amp;CR$6,'Job Master'!$F$12:$I$102,4,0)&lt;&gt;""),IF(WEEKDAY(DA329-VLOOKUP($P329&amp;" | "&amp;CR$6,'Job Master'!$F$12:$I$102,4,0))&lt;&gt;7,DA329-VLOOKUP($P329&amp;" | "&amp;CR$6,'Job Master'!$F$12:$I$102,4,0),DA329-VLOOKUP($P329&amp;" | "&amp;CR$6,'Job Master'!$F$12:$I$102,4,0)-1),""),"")</f>
        <v/>
      </c>
      <c r="CU329" s="73"/>
      <c r="CV329" s="123" t="str">
        <f t="shared" ref="CV329:CV392" si="675">IF(CT329&lt;&gt;"",MONTH(CT329),"")</f>
        <v/>
      </c>
      <c r="CW329" s="123" t="str">
        <f t="shared" ref="CW329:CW392" si="676">IF(AND(CU329&lt;&gt;"",CT329&lt;&gt;""),IF(CU329&gt;CT329,"Delayed",IF(CU329=CT329,"On Time",IF(CU329&lt;CT329,"In Advance"))),"")</f>
        <v/>
      </c>
      <c r="CX329" s="97" t="str">
        <f t="shared" ref="CX329:CX392" ca="1" si="677">IF(CT329&lt;&gt;"",IF(WEEKNUM(CT329)=WEEKNUM(TODAY()),"This Week",IF(WEEKNUM(CT329)=WEEKNUM(TODAY())+1,"Next Week",IF(WEEKNUM(CT329)=WEEKNUM(TODAY())-1,"Previous Week",""))),"")</f>
        <v/>
      </c>
      <c r="CY329" s="98" t="str">
        <f>IF(DA329&lt;&gt;"",VLOOKUP($P329&amp;" | "&amp;CY$6,'Job Master'!$F$12:$J$102,5,0),"")</f>
        <v/>
      </c>
      <c r="CZ329" s="19" t="str">
        <f>IF(DA329&lt;&gt;"",VLOOKUP($P329&amp;" | "&amp;CY$6,'Job Master'!$F$12:$J$102,3,0),"")</f>
        <v/>
      </c>
      <c r="DA329" s="19" t="str">
        <f>IFERROR(IF(AND(DH329&lt;&gt;"",VLOOKUP($P329&amp;" | "&amp;CY$6,'Job Master'!$F$12:$I$102,4,0)&lt;&gt;""),IF(WEEKDAY(DH329-VLOOKUP($P329&amp;" | "&amp;CY$6,'Job Master'!$F$12:$I$102,4,0))&lt;&gt;7,DH329-VLOOKUP($P329&amp;" | "&amp;CY$6,'Job Master'!$F$12:$I$102,4,0),DH329-VLOOKUP($P329&amp;" | "&amp;CY$6,'Job Master'!$F$12:$I$102,4,0)-1),""),"")</f>
        <v/>
      </c>
      <c r="DB329" s="73"/>
      <c r="DC329" s="123" t="str">
        <f t="shared" ref="DC329:DC392" si="678">IF(DA329&lt;&gt;"",MONTH(DA329),"")</f>
        <v/>
      </c>
      <c r="DD329" s="123" t="str">
        <f t="shared" ref="DD329:DD392" si="679">IF(AND(DB329&lt;&gt;"",DA329&lt;&gt;""),IF(DB329&gt;DA329,"Delayed",IF(DB329=DA329,"On Time",IF(DB329&lt;DA329,"In Advance"))),"")</f>
        <v/>
      </c>
      <c r="DE329" s="97" t="str">
        <f t="shared" ref="DE329:DE392" ca="1" si="680">IF(DA329&lt;&gt;"",IF(WEEKNUM(DA329)=WEEKNUM(TODAY()),"This Week",IF(WEEKNUM(DA329)=WEEKNUM(TODAY())+1,"Next Week",IF(WEEKNUM(DA329)=WEEKNUM(TODAY())-1,"Previous Week",""))),"")</f>
        <v/>
      </c>
      <c r="DF329" s="98" t="str">
        <f>IF(DH329&lt;&gt;"",VLOOKUP($P329&amp;" | "&amp;DF$6,'Job Master'!$F$12:$J$102,5,0),"")</f>
        <v/>
      </c>
      <c r="DG329" s="19" t="str">
        <f>IF(DH329&lt;&gt;"",VLOOKUP($P329&amp;" | "&amp;DF$6,'Job Master'!$F$12:$J$102,3,0),"")</f>
        <v/>
      </c>
      <c r="DH329" s="19" t="str">
        <f>IFERROR(IF(AND(DO329&lt;&gt;"",VLOOKUP($P329&amp;" | "&amp;DF$6,'Job Master'!$F$12:$I$102,4,0)&lt;&gt;""),IF(WEEKDAY(DO329-VLOOKUP($P329&amp;" | "&amp;DF$6,'Job Master'!$F$12:$I$102,4,0))&lt;&gt;7,DO329-VLOOKUP($P329&amp;" | "&amp;DF$6,'Job Master'!$F$12:$I$102,4,0),DO329-VLOOKUP($P329&amp;" | "&amp;DF$6,'Job Master'!$F$12:$I$102,4,0)-1),""),"")</f>
        <v/>
      </c>
      <c r="DI329" s="73"/>
      <c r="DJ329" s="123" t="str">
        <f t="shared" ref="DJ329:DJ392" si="681">IF(DH329&lt;&gt;"",MONTH(DH329),"")</f>
        <v/>
      </c>
      <c r="DK329" s="123" t="str">
        <f t="shared" ref="DK329:DK392" si="682">IF(AND(DI329&lt;&gt;"",DH329&lt;&gt;""),IF(DI329&gt;DH329,"Delayed",IF(DI329=DH329,"On Time",IF(DI329&lt;DH329,"In Advance"))),"")</f>
        <v/>
      </c>
      <c r="DL329" s="97" t="str">
        <f t="shared" ref="DL329:DL392" ca="1" si="683">IF(DH329&lt;&gt;"",IF(WEEKNUM(DH329)=WEEKNUM(TODAY()),"This Week",IF(WEEKNUM(DH329)=WEEKNUM(TODAY())+1,"Next Week",IF(WEEKNUM(DH329)=WEEKNUM(TODAY())-1,"Previous Week",""))),"")</f>
        <v/>
      </c>
      <c r="DM329" s="98" t="str">
        <f>IF(DO329&lt;&gt;"",VLOOKUP($P329&amp;" | "&amp;DM$6,'Job Master'!$F$12:$J$102,5,0),"")</f>
        <v/>
      </c>
      <c r="DN329" s="19" t="str">
        <f>IF(DO329&lt;&gt;"",VLOOKUP($P329&amp;" | "&amp;DM$6,'Job Master'!$F$12:$J$102,3,0),"")</f>
        <v/>
      </c>
      <c r="DO329" s="19" t="str">
        <f>IFERROR(IF(AND(DT329&lt;&gt;"",VLOOKUP($P329&amp;" | "&amp;DM$6,'Job Master'!$F$12:$I$102,4,0)&lt;&gt;""),IF(WEEKDAY(DT329-VLOOKUP($P329&amp;" | "&amp;DM$6,'Job Master'!$F$12:$I$102,4,0))&lt;&gt;7,DT329-VLOOKUP($P329&amp;" | "&amp;DM$6,'Job Master'!$F$12:$I$102,4,0),DT329-VLOOKUP($P329&amp;" | "&amp;DM$6,'Job Master'!$F$12:$I$102,4,0)-1),""),"")</f>
        <v/>
      </c>
      <c r="DP329" s="73"/>
      <c r="DQ329" s="123" t="str">
        <f t="shared" ref="DQ329:DQ392" si="684">IF(DO329&lt;&gt;"",MONTH(DO329),"")</f>
        <v/>
      </c>
      <c r="DR329" s="123" t="str">
        <f t="shared" ref="DR329:DR392" si="685">IF(AND(DP329&lt;&gt;"",DO329&lt;&gt;""),IF(DP329&gt;DO329,"Delayed",IF(DP329=DO329,"On Time",IF(DP329&lt;DO329,"In Advance"))),"")</f>
        <v/>
      </c>
      <c r="DS329" s="97" t="str">
        <f t="shared" ref="DS329:DS392" ca="1" si="686">IF(DO329&lt;&gt;"",IF(WEEKNUM(DO329)=WEEKNUM(TODAY()),"This Week",IF(WEEKNUM(DO329)=WEEKNUM(TODAY())+1,"Next Week",IF(WEEKNUM(DO329)=WEEKNUM(TODAY())-1,"Previous Week",""))),"")</f>
        <v/>
      </c>
      <c r="DT329" s="70" t="str">
        <f t="shared" ref="DT329:DT392" si="687">IF(AB329&lt;&gt;"",AB329,"")</f>
        <v/>
      </c>
      <c r="DU329" s="90"/>
      <c r="DV329" s="123" t="str">
        <f t="shared" ref="DV329:DV392" si="688">IF(DT329&lt;&gt;"",MONTH(DT329),"")</f>
        <v/>
      </c>
      <c r="DW329" s="123" t="str">
        <f t="shared" ref="DW329:DW392" si="689">IF(AND(DU329&lt;&gt;"",DT329&lt;&gt;""),IF(DU329&gt;DT329,"Delayed",IF(DU329=DT329,"On Time",IF(DU329&lt;DT329,"In Advance"))),"")</f>
        <v/>
      </c>
      <c r="DX329" s="132" t="str">
        <f t="shared" ref="DX329" ca="1" si="690">IF(DT329&lt;&gt;"",IF(WEEKNUM(DT329)=WEEKNUM(TODAY()),"This Week",IF(WEEKNUM(DT329)=WEEKNUM(TODAY())+1,"Next Week",IF(WEEKNUM(DT329)=WEEKNUM(TODAY())-1,"Previous Week",""))),"")</f>
        <v/>
      </c>
      <c r="DY329" s="134" t="str">
        <f t="shared" ref="DY329:DY392" si="691">IF(AND(DT329&lt;&gt;"",DU329&lt;&gt;""),DU329-DT329,"")</f>
        <v/>
      </c>
      <c r="DZ329" s="95"/>
      <c r="EB329" s="8" t="str">
        <f t="shared" si="571"/>
        <v/>
      </c>
      <c r="EC329" s="8" t="str">
        <f>IF(O329&lt;&gt;"",VLOOKUP(O329,'Job Master'!$N$12:$O$18,2,0),"")</f>
        <v/>
      </c>
      <c r="ED329" s="8">
        <f t="shared" si="572"/>
        <v>19.5</v>
      </c>
      <c r="EE329" s="8">
        <f t="shared" si="573"/>
        <v>6</v>
      </c>
      <c r="EF329" s="8">
        <f t="shared" si="574"/>
        <v>-1894.5</v>
      </c>
      <c r="EG329" s="8" t="str">
        <f t="shared" si="575"/>
        <v/>
      </c>
      <c r="EH329" s="8" t="str">
        <f t="shared" si="576"/>
        <v/>
      </c>
    </row>
    <row r="330" spans="2:138" x14ac:dyDescent="0.3">
      <c r="B330" s="112"/>
      <c r="C330" s="27"/>
      <c r="D330" s="7" t="str">
        <f t="shared" si="639"/>
        <v/>
      </c>
      <c r="E330" s="25"/>
      <c r="F330" s="7" t="str">
        <f t="shared" si="639"/>
        <v/>
      </c>
      <c r="G330" s="25"/>
      <c r="H330" s="7" t="str">
        <f t="shared" si="639"/>
        <v/>
      </c>
      <c r="I330" s="25"/>
      <c r="J330" s="7" t="str">
        <f t="shared" si="639"/>
        <v/>
      </c>
      <c r="K330" s="25"/>
      <c r="L330" s="7" t="str">
        <f t="shared" si="640"/>
        <v/>
      </c>
      <c r="M330" s="25"/>
      <c r="N330" s="7" t="str">
        <f t="shared" si="641"/>
        <v/>
      </c>
      <c r="O330" s="81"/>
      <c r="P330" s="81" t="str">
        <f t="shared" si="642"/>
        <v/>
      </c>
      <c r="Q330" s="81"/>
      <c r="R330" s="7" t="str">
        <f t="shared" si="643"/>
        <v/>
      </c>
      <c r="S330" s="25"/>
      <c r="T330" s="7" t="str">
        <f t="shared" si="644"/>
        <v/>
      </c>
      <c r="U330" s="25"/>
      <c r="V330" s="7" t="str">
        <f t="shared" si="645"/>
        <v/>
      </c>
      <c r="W330" s="25"/>
      <c r="X330" s="7" t="str">
        <f t="shared" si="646"/>
        <v/>
      </c>
      <c r="Y330" s="18" t="str">
        <f t="shared" si="647"/>
        <v/>
      </c>
      <c r="Z330" s="7" t="str">
        <f t="shared" si="648"/>
        <v/>
      </c>
      <c r="AA330" s="18" t="str">
        <f t="shared" si="649"/>
        <v/>
      </c>
      <c r="AB330" s="19" t="str">
        <f t="shared" si="650"/>
        <v/>
      </c>
      <c r="AC330" s="26"/>
      <c r="AD330" s="26"/>
      <c r="AE330" s="25"/>
      <c r="AF330" s="26"/>
      <c r="AG330" s="25"/>
      <c r="AH330" s="25"/>
      <c r="AI330" s="18" t="str">
        <f t="shared" si="587"/>
        <v/>
      </c>
      <c r="AJ330" s="25"/>
      <c r="AK330" s="18" t="str">
        <f t="shared" si="588"/>
        <v/>
      </c>
      <c r="AL330" s="79"/>
      <c r="AM330" s="126" t="str">
        <f t="shared" si="589"/>
        <v/>
      </c>
      <c r="AN330" s="128" t="str">
        <f>IF(AP330&lt;&gt;"",VLOOKUP($P330&amp;" | "&amp;AN$6,'Job Master'!$F$12:$J$102,5,0),"")</f>
        <v/>
      </c>
      <c r="AO330" s="19" t="str">
        <f>IF(AP330&lt;&gt;"",VLOOKUP($P330&amp;" | "&amp;AN$6,'Job Master'!$F$12:$J$102,3,0),"")</f>
        <v/>
      </c>
      <c r="AP330" s="19" t="str">
        <f>IFERROR(IF(AND(AW330&lt;&gt;"",VLOOKUP($P330&amp;" | "&amp;AN$6,'Job Master'!$F$12:$I$102,4,0)&lt;&gt;""),IF(WEEKDAY(AW330-VLOOKUP($P330&amp;" | "&amp;AN$6,'Job Master'!$F$12:$I$102,4,0))&lt;&gt;7,AW330-VLOOKUP($P330&amp;" | "&amp;AN$6,'Job Master'!$F$12:$I$102,4,0),AW330-VLOOKUP($P330&amp;" | "&amp;AN$6,'Job Master'!$F$12:$I$102,4,0)-1),""),"")</f>
        <v/>
      </c>
      <c r="AQ330" s="73"/>
      <c r="AR330" s="123" t="str">
        <f t="shared" si="651"/>
        <v/>
      </c>
      <c r="AS330" s="123" t="str">
        <f t="shared" si="652"/>
        <v/>
      </c>
      <c r="AT330" s="97" t="str">
        <f t="shared" ca="1" si="653"/>
        <v/>
      </c>
      <c r="AU330" s="98" t="str">
        <f>IF(AW330&lt;&gt;"",VLOOKUP($P330&amp;" | "&amp;AU$6,'Job Master'!$F$12:$J$102,5,0),"")</f>
        <v/>
      </c>
      <c r="AV330" s="19" t="str">
        <f>IF(AW330&lt;&gt;"",VLOOKUP($P330&amp;" | "&amp;AU$6,'Job Master'!$F$12:$J$102,3,0),"")</f>
        <v/>
      </c>
      <c r="AW330" s="19" t="str">
        <f>IFERROR(IF(AND(BD330&lt;&gt;"",VLOOKUP($P330&amp;" | "&amp;AU$6,'Job Master'!$F$12:$I$102,4,0)&lt;&gt;""),IF(WEEKDAY(BD330-VLOOKUP($P330&amp;" | "&amp;AU$6,'Job Master'!$F$12:$I$102,4,0))&lt;&gt;7,BD330-VLOOKUP($P330&amp;" | "&amp;AU$6,'Job Master'!$F$12:$I$102,4,0),BD330-VLOOKUP($P330&amp;" | "&amp;AU$6,'Job Master'!$F$12:$I$102,4,0)-1),""),"")</f>
        <v/>
      </c>
      <c r="AX330" s="73"/>
      <c r="AY330" s="123" t="str">
        <f t="shared" si="654"/>
        <v/>
      </c>
      <c r="AZ330" s="123" t="str">
        <f t="shared" si="655"/>
        <v/>
      </c>
      <c r="BA330" s="97" t="str">
        <f t="shared" ca="1" si="656"/>
        <v/>
      </c>
      <c r="BB330" s="98" t="str">
        <f>IF(BD330&lt;&gt;"",VLOOKUP($P330&amp;" | "&amp;BB$6,'Job Master'!$F$12:$J$102,5,0),"")</f>
        <v/>
      </c>
      <c r="BC330" s="19" t="str">
        <f>IF(BD330&lt;&gt;"",VLOOKUP($P330&amp;" | "&amp;BB$6,'Job Master'!$F$12:$J$102,3,0),"")</f>
        <v/>
      </c>
      <c r="BD330" s="19" t="str">
        <f>IFERROR(IF(AND(BK330&lt;&gt;"",VLOOKUP($P330&amp;" | "&amp;BB$6,'Job Master'!$F$12:$I$102,4,0)&lt;&gt;""),IF(WEEKDAY(BK330-VLOOKUP($P330&amp;" | "&amp;BB$6,'Job Master'!$F$12:$I$102,4,0))&lt;&gt;7,BK330-VLOOKUP($P330&amp;" | "&amp;BB$6,'Job Master'!$F$12:$I$102,4,0),BK330-VLOOKUP($P330&amp;" | "&amp;BB$6,'Job Master'!$F$12:$I$102,4,0)-1),""),"")</f>
        <v/>
      </c>
      <c r="BE330" s="73"/>
      <c r="BF330" s="123" t="str">
        <f t="shared" si="657"/>
        <v/>
      </c>
      <c r="BG330" s="123" t="str">
        <f t="shared" si="658"/>
        <v/>
      </c>
      <c r="BH330" s="97" t="str">
        <f t="shared" ca="1" si="659"/>
        <v/>
      </c>
      <c r="BI330" s="98" t="str">
        <f>IF(BK330&lt;&gt;"",VLOOKUP($P330&amp;" | "&amp;BI$6,'Job Master'!$F$12:$J$102,5,0),"")</f>
        <v/>
      </c>
      <c r="BJ330" s="19" t="str">
        <f>IF(BK330&lt;&gt;"",VLOOKUP($P330&amp;" | "&amp;BI$6,'Job Master'!$F$12:$J$102,3,0),"")</f>
        <v/>
      </c>
      <c r="BK330" s="19" t="str">
        <f>IFERROR(IF(AND(BR330&lt;&gt;"",VLOOKUP($P330&amp;" | "&amp;BI$6,'Job Master'!$F$12:$I$102,4,0)&lt;&gt;""),IF(WEEKDAY(BR330-VLOOKUP($P330&amp;" | "&amp;BI$6,'Job Master'!$F$12:$I$102,4,0))&lt;&gt;7,BR330-VLOOKUP($P330&amp;" | "&amp;BI$6,'Job Master'!$F$12:$I$102,4,0),BR330-VLOOKUP($P330&amp;" | "&amp;BI$6,'Job Master'!$F$12:$I$102,4,0)-1),""),"")</f>
        <v/>
      </c>
      <c r="BL330" s="73"/>
      <c r="BM330" s="123" t="str">
        <f t="shared" si="660"/>
        <v/>
      </c>
      <c r="BN330" s="123" t="str">
        <f t="shared" si="661"/>
        <v/>
      </c>
      <c r="BO330" s="97" t="str">
        <f t="shared" ca="1" si="662"/>
        <v/>
      </c>
      <c r="BP330" s="98" t="str">
        <f>IF(BR330&lt;&gt;"",VLOOKUP($P330&amp;" | "&amp;BP$6,'Job Master'!$F$12:$J$102,5,0),"")</f>
        <v/>
      </c>
      <c r="BQ330" s="19" t="str">
        <f>IF(BR330&lt;&gt;"",VLOOKUP($P330&amp;" | "&amp;BP$6,'Job Master'!$F$12:$J$102,3,0),"")</f>
        <v/>
      </c>
      <c r="BR330" s="19" t="str">
        <f>IFERROR(IF(AND(BY330&lt;&gt;"",VLOOKUP($P330&amp;" | "&amp;BP$6,'Job Master'!$F$12:$I$102,4,0)&lt;&gt;""),IF(WEEKDAY(BY330-VLOOKUP($P330&amp;" | "&amp;BP$6,'Job Master'!$F$12:$I$102,4,0))&lt;&gt;7,BY330-VLOOKUP($P330&amp;" | "&amp;BP$6,'Job Master'!$F$12:$I$102,4,0),BY330-VLOOKUP($P330&amp;" | "&amp;BP$6,'Job Master'!$F$12:$I$102,4,0)-1),""),"")</f>
        <v/>
      </c>
      <c r="BS330" s="73"/>
      <c r="BT330" s="123" t="str">
        <f t="shared" si="663"/>
        <v/>
      </c>
      <c r="BU330" s="123" t="str">
        <f t="shared" si="664"/>
        <v/>
      </c>
      <c r="BV330" s="97" t="str">
        <f t="shared" ca="1" si="665"/>
        <v/>
      </c>
      <c r="BW330" s="98" t="str">
        <f>IF(BY330&lt;&gt;"",VLOOKUP($P330&amp;" | "&amp;BW$6,'Job Master'!$F$12:$J$102,5,0),"")</f>
        <v/>
      </c>
      <c r="BX330" s="19" t="str">
        <f>IF(BY330&lt;&gt;"",VLOOKUP($P330&amp;" | "&amp;BW$6,'Job Master'!$F$12:$J$102,3,0),"")</f>
        <v/>
      </c>
      <c r="BY330" s="19" t="str">
        <f>IFERROR(IF(AND(CF330&lt;&gt;"",VLOOKUP($P330&amp;" | "&amp;BW$6,'Job Master'!$F$12:$I$102,4,0)&lt;&gt;""),IF(WEEKDAY(CF330-VLOOKUP($P330&amp;" | "&amp;BW$6,'Job Master'!$F$12:$I$102,4,0))&lt;&gt;7,CF330-VLOOKUP($P330&amp;" | "&amp;BW$6,'Job Master'!$F$12:$I$102,4,0),CF330-VLOOKUP($P330&amp;" | "&amp;BW$6,'Job Master'!$F$12:$I$102,4,0)-1),""),"")</f>
        <v/>
      </c>
      <c r="BZ330" s="73"/>
      <c r="CA330" s="123" t="str">
        <f t="shared" si="666"/>
        <v/>
      </c>
      <c r="CB330" s="123" t="str">
        <f t="shared" si="667"/>
        <v/>
      </c>
      <c r="CC330" s="97" t="str">
        <f t="shared" ca="1" si="668"/>
        <v/>
      </c>
      <c r="CD330" s="98" t="str">
        <f>IF(CF330&lt;&gt;"",VLOOKUP($P330&amp;" | "&amp;CD$6,'Job Master'!$F$12:$J$102,5,0),"")</f>
        <v/>
      </c>
      <c r="CE330" s="19" t="str">
        <f>IF(CF330&lt;&gt;"",VLOOKUP($P330&amp;" | "&amp;CD$6,'Job Master'!$F$12:$J$102,3,0),"")</f>
        <v/>
      </c>
      <c r="CF330" s="19" t="str">
        <f>IFERROR(IF(AND(CM330&lt;&gt;"",VLOOKUP($P330&amp;" | "&amp;CD$6,'Job Master'!$F$12:$I$102,4,0)&lt;&gt;""),IF(WEEKDAY(CM330-VLOOKUP($P330&amp;" | "&amp;CD$6,'Job Master'!$F$12:$I$102,4,0))&lt;&gt;7,CM330-VLOOKUP($P330&amp;" | "&amp;CD$6,'Job Master'!$F$12:$I$102,4,0),CM330-VLOOKUP($P330&amp;" | "&amp;CD$6,'Job Master'!$F$12:$I$102,4,0)-1),""),"")</f>
        <v/>
      </c>
      <c r="CG330" s="73"/>
      <c r="CH330" s="123" t="str">
        <f t="shared" si="669"/>
        <v/>
      </c>
      <c r="CI330" s="123" t="str">
        <f t="shared" si="670"/>
        <v/>
      </c>
      <c r="CJ330" s="97" t="str">
        <f t="shared" ca="1" si="671"/>
        <v/>
      </c>
      <c r="CK330" s="98" t="str">
        <f>IF(CM330&lt;&gt;"",VLOOKUP($P330&amp;" | "&amp;CK$6,'Job Master'!$F$12:$J$102,5,0),"")</f>
        <v/>
      </c>
      <c r="CL330" s="19" t="str">
        <f>IF(CM330&lt;&gt;"",VLOOKUP($P330&amp;" | "&amp;CK$6,'Job Master'!$F$12:$J$102,3,0),"")</f>
        <v/>
      </c>
      <c r="CM330" s="19" t="str">
        <f>IFERROR(IF(AND(CT330&lt;&gt;"",VLOOKUP($P330&amp;" | "&amp;CK$6,'Job Master'!$F$12:$I$102,4,0)&lt;&gt;""),IF(WEEKDAY(CT330-VLOOKUP($P330&amp;" | "&amp;CK$6,'Job Master'!$F$12:$I$102,4,0))&lt;&gt;7,CT330-VLOOKUP($P330&amp;" | "&amp;CK$6,'Job Master'!$F$12:$I$102,4,0),CT330-VLOOKUP($P330&amp;" | "&amp;CK$6,'Job Master'!$F$12:$I$102,4,0)-1),""),"")</f>
        <v/>
      </c>
      <c r="CN330" s="73"/>
      <c r="CO330" s="123" t="str">
        <f t="shared" si="672"/>
        <v/>
      </c>
      <c r="CP330" s="123" t="str">
        <f t="shared" si="673"/>
        <v/>
      </c>
      <c r="CQ330" s="97" t="str">
        <f t="shared" ca="1" si="674"/>
        <v/>
      </c>
      <c r="CR330" s="98" t="str">
        <f>IF(CT330&lt;&gt;"",VLOOKUP($P330&amp;" | "&amp;CR$6,'Job Master'!$F$12:$J$102,5,0),"")</f>
        <v/>
      </c>
      <c r="CS330" s="19" t="str">
        <f>IF(CT330&lt;&gt;"",VLOOKUP($P330&amp;" | "&amp;CR$6,'Job Master'!$F$12:$J$102,3,0),"")</f>
        <v/>
      </c>
      <c r="CT330" s="19" t="str">
        <f>IFERROR(IF(AND(DA330&lt;&gt;"",VLOOKUP($P330&amp;" | "&amp;CR$6,'Job Master'!$F$12:$I$102,4,0)&lt;&gt;""),IF(WEEKDAY(DA330-VLOOKUP($P330&amp;" | "&amp;CR$6,'Job Master'!$F$12:$I$102,4,0))&lt;&gt;7,DA330-VLOOKUP($P330&amp;" | "&amp;CR$6,'Job Master'!$F$12:$I$102,4,0),DA330-VLOOKUP($P330&amp;" | "&amp;CR$6,'Job Master'!$F$12:$I$102,4,0)-1),""),"")</f>
        <v/>
      </c>
      <c r="CU330" s="73"/>
      <c r="CV330" s="123" t="str">
        <f t="shared" si="675"/>
        <v/>
      </c>
      <c r="CW330" s="123" t="str">
        <f t="shared" si="676"/>
        <v/>
      </c>
      <c r="CX330" s="97" t="str">
        <f t="shared" ca="1" si="677"/>
        <v/>
      </c>
      <c r="CY330" s="98" t="str">
        <f>IF(DA330&lt;&gt;"",VLOOKUP($P330&amp;" | "&amp;CY$6,'Job Master'!$F$12:$J$102,5,0),"")</f>
        <v/>
      </c>
      <c r="CZ330" s="19" t="str">
        <f>IF(DA330&lt;&gt;"",VLOOKUP($P330&amp;" | "&amp;CY$6,'Job Master'!$F$12:$J$102,3,0),"")</f>
        <v/>
      </c>
      <c r="DA330" s="19" t="str">
        <f>IFERROR(IF(AND(DH330&lt;&gt;"",VLOOKUP($P330&amp;" | "&amp;CY$6,'Job Master'!$F$12:$I$102,4,0)&lt;&gt;""),IF(WEEKDAY(DH330-VLOOKUP($P330&amp;" | "&amp;CY$6,'Job Master'!$F$12:$I$102,4,0))&lt;&gt;7,DH330-VLOOKUP($P330&amp;" | "&amp;CY$6,'Job Master'!$F$12:$I$102,4,0),DH330-VLOOKUP($P330&amp;" | "&amp;CY$6,'Job Master'!$F$12:$I$102,4,0)-1),""),"")</f>
        <v/>
      </c>
      <c r="DB330" s="73"/>
      <c r="DC330" s="123" t="str">
        <f t="shared" si="678"/>
        <v/>
      </c>
      <c r="DD330" s="123" t="str">
        <f t="shared" si="679"/>
        <v/>
      </c>
      <c r="DE330" s="97" t="str">
        <f t="shared" ca="1" si="680"/>
        <v/>
      </c>
      <c r="DF330" s="98" t="str">
        <f>IF(DH330&lt;&gt;"",VLOOKUP($P330&amp;" | "&amp;DF$6,'Job Master'!$F$12:$J$102,5,0),"")</f>
        <v/>
      </c>
      <c r="DG330" s="19" t="str">
        <f>IF(DH330&lt;&gt;"",VLOOKUP($P330&amp;" | "&amp;DF$6,'Job Master'!$F$12:$J$102,3,0),"")</f>
        <v/>
      </c>
      <c r="DH330" s="19" t="str">
        <f>IFERROR(IF(AND(DO330&lt;&gt;"",VLOOKUP($P330&amp;" | "&amp;DF$6,'Job Master'!$F$12:$I$102,4,0)&lt;&gt;""),IF(WEEKDAY(DO330-VLOOKUP($P330&amp;" | "&amp;DF$6,'Job Master'!$F$12:$I$102,4,0))&lt;&gt;7,DO330-VLOOKUP($P330&amp;" | "&amp;DF$6,'Job Master'!$F$12:$I$102,4,0),DO330-VLOOKUP($P330&amp;" | "&amp;DF$6,'Job Master'!$F$12:$I$102,4,0)-1),""),"")</f>
        <v/>
      </c>
      <c r="DI330" s="73"/>
      <c r="DJ330" s="123" t="str">
        <f t="shared" si="681"/>
        <v/>
      </c>
      <c r="DK330" s="123" t="str">
        <f t="shared" si="682"/>
        <v/>
      </c>
      <c r="DL330" s="97" t="str">
        <f t="shared" ca="1" si="683"/>
        <v/>
      </c>
      <c r="DM330" s="98" t="str">
        <f>IF(DO330&lt;&gt;"",VLOOKUP($P330&amp;" | "&amp;DM$6,'Job Master'!$F$12:$J$102,5,0),"")</f>
        <v/>
      </c>
      <c r="DN330" s="19" t="str">
        <f>IF(DO330&lt;&gt;"",VLOOKUP($P330&amp;" | "&amp;DM$6,'Job Master'!$F$12:$J$102,3,0),"")</f>
        <v/>
      </c>
      <c r="DO330" s="19" t="str">
        <f>IFERROR(IF(AND(DT330&lt;&gt;"",VLOOKUP($P330&amp;" | "&amp;DM$6,'Job Master'!$F$12:$I$102,4,0)&lt;&gt;""),IF(WEEKDAY(DT330-VLOOKUP($P330&amp;" | "&amp;DM$6,'Job Master'!$F$12:$I$102,4,0))&lt;&gt;7,DT330-VLOOKUP($P330&amp;" | "&amp;DM$6,'Job Master'!$F$12:$I$102,4,0),DT330-VLOOKUP($P330&amp;" | "&amp;DM$6,'Job Master'!$F$12:$I$102,4,0)-1),""),"")</f>
        <v/>
      </c>
      <c r="DP330" s="73"/>
      <c r="DQ330" s="123" t="str">
        <f t="shared" si="684"/>
        <v/>
      </c>
      <c r="DR330" s="123" t="str">
        <f t="shared" si="685"/>
        <v/>
      </c>
      <c r="DS330" s="97" t="str">
        <f t="shared" ca="1" si="686"/>
        <v/>
      </c>
      <c r="DT330" s="70" t="str">
        <f t="shared" si="687"/>
        <v/>
      </c>
      <c r="DU330" s="90"/>
      <c r="DV330" s="123" t="str">
        <f t="shared" si="688"/>
        <v/>
      </c>
      <c r="DW330" s="123" t="str">
        <f t="shared" si="689"/>
        <v/>
      </c>
      <c r="DX330" s="132" t="str">
        <f t="shared" ref="DX330" ca="1" si="692">IF(DT330&lt;&gt;"",IF(WEEKNUM(DT330)=WEEKNUM(TODAY()),"This Week",IF(WEEKNUM(DT330)=WEEKNUM(TODAY())+1,"Next Week",IF(WEEKNUM(DT330)=WEEKNUM(TODAY())-1,"Previous Week",""))),"")</f>
        <v/>
      </c>
      <c r="DY330" s="134" t="str">
        <f t="shared" si="691"/>
        <v/>
      </c>
      <c r="DZ330" s="95"/>
      <c r="EB330" s="8" t="str">
        <f t="shared" si="571"/>
        <v/>
      </c>
      <c r="EC330" s="8" t="str">
        <f>IF(O330&lt;&gt;"",VLOOKUP(O330,'Job Master'!$N$12:$O$18,2,0),"")</f>
        <v/>
      </c>
      <c r="ED330" s="8">
        <f t="shared" si="572"/>
        <v>19.5</v>
      </c>
      <c r="EE330" s="8">
        <f t="shared" si="573"/>
        <v>6</v>
      </c>
      <c r="EF330" s="8">
        <f t="shared" si="574"/>
        <v>-1900.5</v>
      </c>
      <c r="EG330" s="8" t="str">
        <f t="shared" si="575"/>
        <v/>
      </c>
      <c r="EH330" s="8" t="str">
        <f t="shared" si="576"/>
        <v/>
      </c>
    </row>
    <row r="331" spans="2:138" x14ac:dyDescent="0.3">
      <c r="B331" s="112"/>
      <c r="C331" s="27"/>
      <c r="D331" s="7" t="str">
        <f t="shared" si="639"/>
        <v/>
      </c>
      <c r="E331" s="25"/>
      <c r="F331" s="7" t="str">
        <f t="shared" si="639"/>
        <v/>
      </c>
      <c r="G331" s="25"/>
      <c r="H331" s="7" t="str">
        <f t="shared" si="639"/>
        <v/>
      </c>
      <c r="I331" s="25"/>
      <c r="J331" s="7" t="str">
        <f t="shared" si="639"/>
        <v/>
      </c>
      <c r="K331" s="25"/>
      <c r="L331" s="7" t="str">
        <f t="shared" si="640"/>
        <v/>
      </c>
      <c r="M331" s="25"/>
      <c r="N331" s="7" t="str">
        <f t="shared" si="641"/>
        <v/>
      </c>
      <c r="O331" s="81"/>
      <c r="P331" s="81" t="str">
        <f t="shared" si="642"/>
        <v/>
      </c>
      <c r="Q331" s="81"/>
      <c r="R331" s="7" t="str">
        <f t="shared" si="643"/>
        <v/>
      </c>
      <c r="S331" s="25"/>
      <c r="T331" s="7" t="str">
        <f t="shared" si="644"/>
        <v/>
      </c>
      <c r="U331" s="25"/>
      <c r="V331" s="7" t="str">
        <f t="shared" si="645"/>
        <v/>
      </c>
      <c r="W331" s="25"/>
      <c r="X331" s="7" t="str">
        <f t="shared" si="646"/>
        <v/>
      </c>
      <c r="Y331" s="18" t="str">
        <f t="shared" si="647"/>
        <v/>
      </c>
      <c r="Z331" s="7" t="str">
        <f t="shared" si="648"/>
        <v/>
      </c>
      <c r="AA331" s="18" t="str">
        <f t="shared" si="649"/>
        <v/>
      </c>
      <c r="AB331" s="19" t="str">
        <f t="shared" si="650"/>
        <v/>
      </c>
      <c r="AC331" s="26"/>
      <c r="AD331" s="26"/>
      <c r="AE331" s="25"/>
      <c r="AF331" s="26"/>
      <c r="AG331" s="25"/>
      <c r="AH331" s="25"/>
      <c r="AI331" s="18" t="str">
        <f t="shared" si="587"/>
        <v/>
      </c>
      <c r="AJ331" s="25"/>
      <c r="AK331" s="18" t="str">
        <f t="shared" si="588"/>
        <v/>
      </c>
      <c r="AL331" s="79"/>
      <c r="AM331" s="126" t="str">
        <f t="shared" si="589"/>
        <v/>
      </c>
      <c r="AN331" s="128" t="str">
        <f>IF(AP331&lt;&gt;"",VLOOKUP($P331&amp;" | "&amp;AN$6,'Job Master'!$F$12:$J$102,5,0),"")</f>
        <v/>
      </c>
      <c r="AO331" s="19" t="str">
        <f>IF(AP331&lt;&gt;"",VLOOKUP($P331&amp;" | "&amp;AN$6,'Job Master'!$F$12:$J$102,3,0),"")</f>
        <v/>
      </c>
      <c r="AP331" s="19" t="str">
        <f>IFERROR(IF(AND(AW331&lt;&gt;"",VLOOKUP($P331&amp;" | "&amp;AN$6,'Job Master'!$F$12:$I$102,4,0)&lt;&gt;""),IF(WEEKDAY(AW331-VLOOKUP($P331&amp;" | "&amp;AN$6,'Job Master'!$F$12:$I$102,4,0))&lt;&gt;7,AW331-VLOOKUP($P331&amp;" | "&amp;AN$6,'Job Master'!$F$12:$I$102,4,0),AW331-VLOOKUP($P331&amp;" | "&amp;AN$6,'Job Master'!$F$12:$I$102,4,0)-1),""),"")</f>
        <v/>
      </c>
      <c r="AQ331" s="73"/>
      <c r="AR331" s="123" t="str">
        <f t="shared" si="651"/>
        <v/>
      </c>
      <c r="AS331" s="123" t="str">
        <f t="shared" si="652"/>
        <v/>
      </c>
      <c r="AT331" s="97" t="str">
        <f t="shared" ca="1" si="653"/>
        <v/>
      </c>
      <c r="AU331" s="98" t="str">
        <f>IF(AW331&lt;&gt;"",VLOOKUP($P331&amp;" | "&amp;AU$6,'Job Master'!$F$12:$J$102,5,0),"")</f>
        <v/>
      </c>
      <c r="AV331" s="19" t="str">
        <f>IF(AW331&lt;&gt;"",VLOOKUP($P331&amp;" | "&amp;AU$6,'Job Master'!$F$12:$J$102,3,0),"")</f>
        <v/>
      </c>
      <c r="AW331" s="19" t="str">
        <f>IFERROR(IF(AND(BD331&lt;&gt;"",VLOOKUP($P331&amp;" | "&amp;AU$6,'Job Master'!$F$12:$I$102,4,0)&lt;&gt;""),IF(WEEKDAY(BD331-VLOOKUP($P331&amp;" | "&amp;AU$6,'Job Master'!$F$12:$I$102,4,0))&lt;&gt;7,BD331-VLOOKUP($P331&amp;" | "&amp;AU$6,'Job Master'!$F$12:$I$102,4,0),BD331-VLOOKUP($P331&amp;" | "&amp;AU$6,'Job Master'!$F$12:$I$102,4,0)-1),""),"")</f>
        <v/>
      </c>
      <c r="AX331" s="73"/>
      <c r="AY331" s="123" t="str">
        <f t="shared" si="654"/>
        <v/>
      </c>
      <c r="AZ331" s="123" t="str">
        <f t="shared" si="655"/>
        <v/>
      </c>
      <c r="BA331" s="97" t="str">
        <f t="shared" ca="1" si="656"/>
        <v/>
      </c>
      <c r="BB331" s="98" t="str">
        <f>IF(BD331&lt;&gt;"",VLOOKUP($P331&amp;" | "&amp;BB$6,'Job Master'!$F$12:$J$102,5,0),"")</f>
        <v/>
      </c>
      <c r="BC331" s="19" t="str">
        <f>IF(BD331&lt;&gt;"",VLOOKUP($P331&amp;" | "&amp;BB$6,'Job Master'!$F$12:$J$102,3,0),"")</f>
        <v/>
      </c>
      <c r="BD331" s="19" t="str">
        <f>IFERROR(IF(AND(BK331&lt;&gt;"",VLOOKUP($P331&amp;" | "&amp;BB$6,'Job Master'!$F$12:$I$102,4,0)&lt;&gt;""),IF(WEEKDAY(BK331-VLOOKUP($P331&amp;" | "&amp;BB$6,'Job Master'!$F$12:$I$102,4,0))&lt;&gt;7,BK331-VLOOKUP($P331&amp;" | "&amp;BB$6,'Job Master'!$F$12:$I$102,4,0),BK331-VLOOKUP($P331&amp;" | "&amp;BB$6,'Job Master'!$F$12:$I$102,4,0)-1),""),"")</f>
        <v/>
      </c>
      <c r="BE331" s="73"/>
      <c r="BF331" s="123" t="str">
        <f t="shared" si="657"/>
        <v/>
      </c>
      <c r="BG331" s="123" t="str">
        <f t="shared" si="658"/>
        <v/>
      </c>
      <c r="BH331" s="97" t="str">
        <f t="shared" ca="1" si="659"/>
        <v/>
      </c>
      <c r="BI331" s="98" t="str">
        <f>IF(BK331&lt;&gt;"",VLOOKUP($P331&amp;" | "&amp;BI$6,'Job Master'!$F$12:$J$102,5,0),"")</f>
        <v/>
      </c>
      <c r="BJ331" s="19" t="str">
        <f>IF(BK331&lt;&gt;"",VLOOKUP($P331&amp;" | "&amp;BI$6,'Job Master'!$F$12:$J$102,3,0),"")</f>
        <v/>
      </c>
      <c r="BK331" s="19" t="str">
        <f>IFERROR(IF(AND(BR331&lt;&gt;"",VLOOKUP($P331&amp;" | "&amp;BI$6,'Job Master'!$F$12:$I$102,4,0)&lt;&gt;""),IF(WEEKDAY(BR331-VLOOKUP($P331&amp;" | "&amp;BI$6,'Job Master'!$F$12:$I$102,4,0))&lt;&gt;7,BR331-VLOOKUP($P331&amp;" | "&amp;BI$6,'Job Master'!$F$12:$I$102,4,0),BR331-VLOOKUP($P331&amp;" | "&amp;BI$6,'Job Master'!$F$12:$I$102,4,0)-1),""),"")</f>
        <v/>
      </c>
      <c r="BL331" s="73"/>
      <c r="BM331" s="123" t="str">
        <f t="shared" si="660"/>
        <v/>
      </c>
      <c r="BN331" s="123" t="str">
        <f t="shared" si="661"/>
        <v/>
      </c>
      <c r="BO331" s="97" t="str">
        <f t="shared" ca="1" si="662"/>
        <v/>
      </c>
      <c r="BP331" s="98" t="str">
        <f>IF(BR331&lt;&gt;"",VLOOKUP($P331&amp;" | "&amp;BP$6,'Job Master'!$F$12:$J$102,5,0),"")</f>
        <v/>
      </c>
      <c r="BQ331" s="19" t="str">
        <f>IF(BR331&lt;&gt;"",VLOOKUP($P331&amp;" | "&amp;BP$6,'Job Master'!$F$12:$J$102,3,0),"")</f>
        <v/>
      </c>
      <c r="BR331" s="19" t="str">
        <f>IFERROR(IF(AND(BY331&lt;&gt;"",VLOOKUP($P331&amp;" | "&amp;BP$6,'Job Master'!$F$12:$I$102,4,0)&lt;&gt;""),IF(WEEKDAY(BY331-VLOOKUP($P331&amp;" | "&amp;BP$6,'Job Master'!$F$12:$I$102,4,0))&lt;&gt;7,BY331-VLOOKUP($P331&amp;" | "&amp;BP$6,'Job Master'!$F$12:$I$102,4,0),BY331-VLOOKUP($P331&amp;" | "&amp;BP$6,'Job Master'!$F$12:$I$102,4,0)-1),""),"")</f>
        <v/>
      </c>
      <c r="BS331" s="73"/>
      <c r="BT331" s="123" t="str">
        <f t="shared" si="663"/>
        <v/>
      </c>
      <c r="BU331" s="123" t="str">
        <f t="shared" si="664"/>
        <v/>
      </c>
      <c r="BV331" s="97" t="str">
        <f t="shared" ca="1" si="665"/>
        <v/>
      </c>
      <c r="BW331" s="98" t="str">
        <f>IF(BY331&lt;&gt;"",VLOOKUP($P331&amp;" | "&amp;BW$6,'Job Master'!$F$12:$J$102,5,0),"")</f>
        <v/>
      </c>
      <c r="BX331" s="19" t="str">
        <f>IF(BY331&lt;&gt;"",VLOOKUP($P331&amp;" | "&amp;BW$6,'Job Master'!$F$12:$J$102,3,0),"")</f>
        <v/>
      </c>
      <c r="BY331" s="19" t="str">
        <f>IFERROR(IF(AND(CF331&lt;&gt;"",VLOOKUP($P331&amp;" | "&amp;BW$6,'Job Master'!$F$12:$I$102,4,0)&lt;&gt;""),IF(WEEKDAY(CF331-VLOOKUP($P331&amp;" | "&amp;BW$6,'Job Master'!$F$12:$I$102,4,0))&lt;&gt;7,CF331-VLOOKUP($P331&amp;" | "&amp;BW$6,'Job Master'!$F$12:$I$102,4,0),CF331-VLOOKUP($P331&amp;" | "&amp;BW$6,'Job Master'!$F$12:$I$102,4,0)-1),""),"")</f>
        <v/>
      </c>
      <c r="BZ331" s="73"/>
      <c r="CA331" s="123" t="str">
        <f t="shared" si="666"/>
        <v/>
      </c>
      <c r="CB331" s="123" t="str">
        <f t="shared" si="667"/>
        <v/>
      </c>
      <c r="CC331" s="97" t="str">
        <f t="shared" ca="1" si="668"/>
        <v/>
      </c>
      <c r="CD331" s="98" t="str">
        <f>IF(CF331&lt;&gt;"",VLOOKUP($P331&amp;" | "&amp;CD$6,'Job Master'!$F$12:$J$102,5,0),"")</f>
        <v/>
      </c>
      <c r="CE331" s="19" t="str">
        <f>IF(CF331&lt;&gt;"",VLOOKUP($P331&amp;" | "&amp;CD$6,'Job Master'!$F$12:$J$102,3,0),"")</f>
        <v/>
      </c>
      <c r="CF331" s="19" t="str">
        <f>IFERROR(IF(AND(CM331&lt;&gt;"",VLOOKUP($P331&amp;" | "&amp;CD$6,'Job Master'!$F$12:$I$102,4,0)&lt;&gt;""),IF(WEEKDAY(CM331-VLOOKUP($P331&amp;" | "&amp;CD$6,'Job Master'!$F$12:$I$102,4,0))&lt;&gt;7,CM331-VLOOKUP($P331&amp;" | "&amp;CD$6,'Job Master'!$F$12:$I$102,4,0),CM331-VLOOKUP($P331&amp;" | "&amp;CD$6,'Job Master'!$F$12:$I$102,4,0)-1),""),"")</f>
        <v/>
      </c>
      <c r="CG331" s="73"/>
      <c r="CH331" s="123" t="str">
        <f t="shared" si="669"/>
        <v/>
      </c>
      <c r="CI331" s="123" t="str">
        <f t="shared" si="670"/>
        <v/>
      </c>
      <c r="CJ331" s="97" t="str">
        <f t="shared" ca="1" si="671"/>
        <v/>
      </c>
      <c r="CK331" s="98" t="str">
        <f>IF(CM331&lt;&gt;"",VLOOKUP($P331&amp;" | "&amp;CK$6,'Job Master'!$F$12:$J$102,5,0),"")</f>
        <v/>
      </c>
      <c r="CL331" s="19" t="str">
        <f>IF(CM331&lt;&gt;"",VLOOKUP($P331&amp;" | "&amp;CK$6,'Job Master'!$F$12:$J$102,3,0),"")</f>
        <v/>
      </c>
      <c r="CM331" s="19" t="str">
        <f>IFERROR(IF(AND(CT331&lt;&gt;"",VLOOKUP($P331&amp;" | "&amp;CK$6,'Job Master'!$F$12:$I$102,4,0)&lt;&gt;""),IF(WEEKDAY(CT331-VLOOKUP($P331&amp;" | "&amp;CK$6,'Job Master'!$F$12:$I$102,4,0))&lt;&gt;7,CT331-VLOOKUP($P331&amp;" | "&amp;CK$6,'Job Master'!$F$12:$I$102,4,0),CT331-VLOOKUP($P331&amp;" | "&amp;CK$6,'Job Master'!$F$12:$I$102,4,0)-1),""),"")</f>
        <v/>
      </c>
      <c r="CN331" s="73"/>
      <c r="CO331" s="123" t="str">
        <f t="shared" si="672"/>
        <v/>
      </c>
      <c r="CP331" s="123" t="str">
        <f t="shared" si="673"/>
        <v/>
      </c>
      <c r="CQ331" s="97" t="str">
        <f t="shared" ca="1" si="674"/>
        <v/>
      </c>
      <c r="CR331" s="98" t="str">
        <f>IF(CT331&lt;&gt;"",VLOOKUP($P331&amp;" | "&amp;CR$6,'Job Master'!$F$12:$J$102,5,0),"")</f>
        <v/>
      </c>
      <c r="CS331" s="19" t="str">
        <f>IF(CT331&lt;&gt;"",VLOOKUP($P331&amp;" | "&amp;CR$6,'Job Master'!$F$12:$J$102,3,0),"")</f>
        <v/>
      </c>
      <c r="CT331" s="19" t="str">
        <f>IFERROR(IF(AND(DA331&lt;&gt;"",VLOOKUP($P331&amp;" | "&amp;CR$6,'Job Master'!$F$12:$I$102,4,0)&lt;&gt;""),IF(WEEKDAY(DA331-VLOOKUP($P331&amp;" | "&amp;CR$6,'Job Master'!$F$12:$I$102,4,0))&lt;&gt;7,DA331-VLOOKUP($P331&amp;" | "&amp;CR$6,'Job Master'!$F$12:$I$102,4,0),DA331-VLOOKUP($P331&amp;" | "&amp;CR$6,'Job Master'!$F$12:$I$102,4,0)-1),""),"")</f>
        <v/>
      </c>
      <c r="CU331" s="73"/>
      <c r="CV331" s="123" t="str">
        <f t="shared" si="675"/>
        <v/>
      </c>
      <c r="CW331" s="123" t="str">
        <f t="shared" si="676"/>
        <v/>
      </c>
      <c r="CX331" s="97" t="str">
        <f t="shared" ca="1" si="677"/>
        <v/>
      </c>
      <c r="CY331" s="98" t="str">
        <f>IF(DA331&lt;&gt;"",VLOOKUP($P331&amp;" | "&amp;CY$6,'Job Master'!$F$12:$J$102,5,0),"")</f>
        <v/>
      </c>
      <c r="CZ331" s="19" t="str">
        <f>IF(DA331&lt;&gt;"",VLOOKUP($P331&amp;" | "&amp;CY$6,'Job Master'!$F$12:$J$102,3,0),"")</f>
        <v/>
      </c>
      <c r="DA331" s="19" t="str">
        <f>IFERROR(IF(AND(DH331&lt;&gt;"",VLOOKUP($P331&amp;" | "&amp;CY$6,'Job Master'!$F$12:$I$102,4,0)&lt;&gt;""),IF(WEEKDAY(DH331-VLOOKUP($P331&amp;" | "&amp;CY$6,'Job Master'!$F$12:$I$102,4,0))&lt;&gt;7,DH331-VLOOKUP($P331&amp;" | "&amp;CY$6,'Job Master'!$F$12:$I$102,4,0),DH331-VLOOKUP($P331&amp;" | "&amp;CY$6,'Job Master'!$F$12:$I$102,4,0)-1),""),"")</f>
        <v/>
      </c>
      <c r="DB331" s="73"/>
      <c r="DC331" s="123" t="str">
        <f t="shared" si="678"/>
        <v/>
      </c>
      <c r="DD331" s="123" t="str">
        <f t="shared" si="679"/>
        <v/>
      </c>
      <c r="DE331" s="97" t="str">
        <f t="shared" ca="1" si="680"/>
        <v/>
      </c>
      <c r="DF331" s="98" t="str">
        <f>IF(DH331&lt;&gt;"",VLOOKUP($P331&amp;" | "&amp;DF$6,'Job Master'!$F$12:$J$102,5,0),"")</f>
        <v/>
      </c>
      <c r="DG331" s="19" t="str">
        <f>IF(DH331&lt;&gt;"",VLOOKUP($P331&amp;" | "&amp;DF$6,'Job Master'!$F$12:$J$102,3,0),"")</f>
        <v/>
      </c>
      <c r="DH331" s="19" t="str">
        <f>IFERROR(IF(AND(DO331&lt;&gt;"",VLOOKUP($P331&amp;" | "&amp;DF$6,'Job Master'!$F$12:$I$102,4,0)&lt;&gt;""),IF(WEEKDAY(DO331-VLOOKUP($P331&amp;" | "&amp;DF$6,'Job Master'!$F$12:$I$102,4,0))&lt;&gt;7,DO331-VLOOKUP($P331&amp;" | "&amp;DF$6,'Job Master'!$F$12:$I$102,4,0),DO331-VLOOKUP($P331&amp;" | "&amp;DF$6,'Job Master'!$F$12:$I$102,4,0)-1),""),"")</f>
        <v/>
      </c>
      <c r="DI331" s="73"/>
      <c r="DJ331" s="123" t="str">
        <f t="shared" si="681"/>
        <v/>
      </c>
      <c r="DK331" s="123" t="str">
        <f t="shared" si="682"/>
        <v/>
      </c>
      <c r="DL331" s="97" t="str">
        <f t="shared" ca="1" si="683"/>
        <v/>
      </c>
      <c r="DM331" s="98" t="str">
        <f>IF(DO331&lt;&gt;"",VLOOKUP($P331&amp;" | "&amp;DM$6,'Job Master'!$F$12:$J$102,5,0),"")</f>
        <v/>
      </c>
      <c r="DN331" s="19" t="str">
        <f>IF(DO331&lt;&gt;"",VLOOKUP($P331&amp;" | "&amp;DM$6,'Job Master'!$F$12:$J$102,3,0),"")</f>
        <v/>
      </c>
      <c r="DO331" s="19" t="str">
        <f>IFERROR(IF(AND(DT331&lt;&gt;"",VLOOKUP($P331&amp;" | "&amp;DM$6,'Job Master'!$F$12:$I$102,4,0)&lt;&gt;""),IF(WEEKDAY(DT331-VLOOKUP($P331&amp;" | "&amp;DM$6,'Job Master'!$F$12:$I$102,4,0))&lt;&gt;7,DT331-VLOOKUP($P331&amp;" | "&amp;DM$6,'Job Master'!$F$12:$I$102,4,0),DT331-VLOOKUP($P331&amp;" | "&amp;DM$6,'Job Master'!$F$12:$I$102,4,0)-1),""),"")</f>
        <v/>
      </c>
      <c r="DP331" s="73"/>
      <c r="DQ331" s="123" t="str">
        <f t="shared" si="684"/>
        <v/>
      </c>
      <c r="DR331" s="123" t="str">
        <f t="shared" si="685"/>
        <v/>
      </c>
      <c r="DS331" s="97" t="str">
        <f t="shared" ca="1" si="686"/>
        <v/>
      </c>
      <c r="DT331" s="70" t="str">
        <f t="shared" si="687"/>
        <v/>
      </c>
      <c r="DU331" s="90"/>
      <c r="DV331" s="123" t="str">
        <f t="shared" si="688"/>
        <v/>
      </c>
      <c r="DW331" s="123" t="str">
        <f t="shared" si="689"/>
        <v/>
      </c>
      <c r="DX331" s="132" t="str">
        <f t="shared" ref="DX331" ca="1" si="693">IF(DT331&lt;&gt;"",IF(WEEKNUM(DT331)=WEEKNUM(TODAY()),"This Week",IF(WEEKNUM(DT331)=WEEKNUM(TODAY())+1,"Next Week",IF(WEEKNUM(DT331)=WEEKNUM(TODAY())-1,"Previous Week",""))),"")</f>
        <v/>
      </c>
      <c r="DY331" s="134" t="str">
        <f t="shared" si="691"/>
        <v/>
      </c>
      <c r="DZ331" s="95"/>
      <c r="EB331" s="8" t="str">
        <f t="shared" si="571"/>
        <v/>
      </c>
      <c r="EC331" s="8" t="str">
        <f>IF(O331&lt;&gt;"",VLOOKUP(O331,'Job Master'!$N$12:$O$18,2,0),"")</f>
        <v/>
      </c>
      <c r="ED331" s="8">
        <f t="shared" si="572"/>
        <v>19.5</v>
      </c>
      <c r="EE331" s="8">
        <f t="shared" si="573"/>
        <v>6</v>
      </c>
      <c r="EF331" s="8">
        <f t="shared" si="574"/>
        <v>-1906.5</v>
      </c>
      <c r="EG331" s="8" t="str">
        <f t="shared" si="575"/>
        <v/>
      </c>
      <c r="EH331" s="8" t="str">
        <f t="shared" si="576"/>
        <v/>
      </c>
    </row>
    <row r="332" spans="2:138" x14ac:dyDescent="0.3">
      <c r="B332" s="112"/>
      <c r="C332" s="27"/>
      <c r="D332" s="7" t="str">
        <f t="shared" si="639"/>
        <v/>
      </c>
      <c r="E332" s="25"/>
      <c r="F332" s="7" t="str">
        <f t="shared" si="639"/>
        <v/>
      </c>
      <c r="G332" s="25"/>
      <c r="H332" s="7" t="str">
        <f t="shared" si="639"/>
        <v/>
      </c>
      <c r="I332" s="25"/>
      <c r="J332" s="7" t="str">
        <f t="shared" si="639"/>
        <v/>
      </c>
      <c r="K332" s="25"/>
      <c r="L332" s="7" t="str">
        <f t="shared" si="640"/>
        <v/>
      </c>
      <c r="M332" s="25"/>
      <c r="N332" s="7" t="str">
        <f t="shared" si="641"/>
        <v/>
      </c>
      <c r="O332" s="81"/>
      <c r="P332" s="81" t="str">
        <f t="shared" si="642"/>
        <v/>
      </c>
      <c r="Q332" s="81"/>
      <c r="R332" s="7" t="str">
        <f t="shared" si="643"/>
        <v/>
      </c>
      <c r="S332" s="25"/>
      <c r="T332" s="7" t="str">
        <f t="shared" si="644"/>
        <v/>
      </c>
      <c r="U332" s="25"/>
      <c r="V332" s="7" t="str">
        <f t="shared" si="645"/>
        <v/>
      </c>
      <c r="W332" s="25"/>
      <c r="X332" s="7" t="str">
        <f t="shared" si="646"/>
        <v/>
      </c>
      <c r="Y332" s="18" t="str">
        <f t="shared" si="647"/>
        <v/>
      </c>
      <c r="Z332" s="7" t="str">
        <f t="shared" si="648"/>
        <v/>
      </c>
      <c r="AA332" s="18" t="str">
        <f t="shared" si="649"/>
        <v/>
      </c>
      <c r="AB332" s="19" t="str">
        <f t="shared" si="650"/>
        <v/>
      </c>
      <c r="AC332" s="26"/>
      <c r="AD332" s="26"/>
      <c r="AE332" s="25"/>
      <c r="AF332" s="26"/>
      <c r="AG332" s="25"/>
      <c r="AH332" s="25"/>
      <c r="AI332" s="18" t="str">
        <f t="shared" si="587"/>
        <v/>
      </c>
      <c r="AJ332" s="25"/>
      <c r="AK332" s="18" t="str">
        <f t="shared" si="588"/>
        <v/>
      </c>
      <c r="AL332" s="79"/>
      <c r="AM332" s="126" t="str">
        <f t="shared" si="589"/>
        <v/>
      </c>
      <c r="AN332" s="128" t="str">
        <f>IF(AP332&lt;&gt;"",VLOOKUP($P332&amp;" | "&amp;AN$6,'Job Master'!$F$12:$J$102,5,0),"")</f>
        <v/>
      </c>
      <c r="AO332" s="19" t="str">
        <f>IF(AP332&lt;&gt;"",VLOOKUP($P332&amp;" | "&amp;AN$6,'Job Master'!$F$12:$J$102,3,0),"")</f>
        <v/>
      </c>
      <c r="AP332" s="19" t="str">
        <f>IFERROR(IF(AND(AW332&lt;&gt;"",VLOOKUP($P332&amp;" | "&amp;AN$6,'Job Master'!$F$12:$I$102,4,0)&lt;&gt;""),IF(WEEKDAY(AW332-VLOOKUP($P332&amp;" | "&amp;AN$6,'Job Master'!$F$12:$I$102,4,0))&lt;&gt;7,AW332-VLOOKUP($P332&amp;" | "&amp;AN$6,'Job Master'!$F$12:$I$102,4,0),AW332-VLOOKUP($P332&amp;" | "&amp;AN$6,'Job Master'!$F$12:$I$102,4,0)-1),""),"")</f>
        <v/>
      </c>
      <c r="AQ332" s="73"/>
      <c r="AR332" s="123" t="str">
        <f t="shared" si="651"/>
        <v/>
      </c>
      <c r="AS332" s="123" t="str">
        <f t="shared" si="652"/>
        <v/>
      </c>
      <c r="AT332" s="97" t="str">
        <f t="shared" ca="1" si="653"/>
        <v/>
      </c>
      <c r="AU332" s="98" t="str">
        <f>IF(AW332&lt;&gt;"",VLOOKUP($P332&amp;" | "&amp;AU$6,'Job Master'!$F$12:$J$102,5,0),"")</f>
        <v/>
      </c>
      <c r="AV332" s="19" t="str">
        <f>IF(AW332&lt;&gt;"",VLOOKUP($P332&amp;" | "&amp;AU$6,'Job Master'!$F$12:$J$102,3,0),"")</f>
        <v/>
      </c>
      <c r="AW332" s="19" t="str">
        <f>IFERROR(IF(AND(BD332&lt;&gt;"",VLOOKUP($P332&amp;" | "&amp;AU$6,'Job Master'!$F$12:$I$102,4,0)&lt;&gt;""),IF(WEEKDAY(BD332-VLOOKUP($P332&amp;" | "&amp;AU$6,'Job Master'!$F$12:$I$102,4,0))&lt;&gt;7,BD332-VLOOKUP($P332&amp;" | "&amp;AU$6,'Job Master'!$F$12:$I$102,4,0),BD332-VLOOKUP($P332&amp;" | "&amp;AU$6,'Job Master'!$F$12:$I$102,4,0)-1),""),"")</f>
        <v/>
      </c>
      <c r="AX332" s="73"/>
      <c r="AY332" s="123" t="str">
        <f t="shared" si="654"/>
        <v/>
      </c>
      <c r="AZ332" s="123" t="str">
        <f t="shared" si="655"/>
        <v/>
      </c>
      <c r="BA332" s="97" t="str">
        <f t="shared" ca="1" si="656"/>
        <v/>
      </c>
      <c r="BB332" s="98" t="str">
        <f>IF(BD332&lt;&gt;"",VLOOKUP($P332&amp;" | "&amp;BB$6,'Job Master'!$F$12:$J$102,5,0),"")</f>
        <v/>
      </c>
      <c r="BC332" s="19" t="str">
        <f>IF(BD332&lt;&gt;"",VLOOKUP($P332&amp;" | "&amp;BB$6,'Job Master'!$F$12:$J$102,3,0),"")</f>
        <v/>
      </c>
      <c r="BD332" s="19" t="str">
        <f>IFERROR(IF(AND(BK332&lt;&gt;"",VLOOKUP($P332&amp;" | "&amp;BB$6,'Job Master'!$F$12:$I$102,4,0)&lt;&gt;""),IF(WEEKDAY(BK332-VLOOKUP($P332&amp;" | "&amp;BB$6,'Job Master'!$F$12:$I$102,4,0))&lt;&gt;7,BK332-VLOOKUP($P332&amp;" | "&amp;BB$6,'Job Master'!$F$12:$I$102,4,0),BK332-VLOOKUP($P332&amp;" | "&amp;BB$6,'Job Master'!$F$12:$I$102,4,0)-1),""),"")</f>
        <v/>
      </c>
      <c r="BE332" s="73"/>
      <c r="BF332" s="123" t="str">
        <f t="shared" si="657"/>
        <v/>
      </c>
      <c r="BG332" s="123" t="str">
        <f t="shared" si="658"/>
        <v/>
      </c>
      <c r="BH332" s="97" t="str">
        <f t="shared" ca="1" si="659"/>
        <v/>
      </c>
      <c r="BI332" s="98" t="str">
        <f>IF(BK332&lt;&gt;"",VLOOKUP($P332&amp;" | "&amp;BI$6,'Job Master'!$F$12:$J$102,5,0),"")</f>
        <v/>
      </c>
      <c r="BJ332" s="19" t="str">
        <f>IF(BK332&lt;&gt;"",VLOOKUP($P332&amp;" | "&amp;BI$6,'Job Master'!$F$12:$J$102,3,0),"")</f>
        <v/>
      </c>
      <c r="BK332" s="19" t="str">
        <f>IFERROR(IF(AND(BR332&lt;&gt;"",VLOOKUP($P332&amp;" | "&amp;BI$6,'Job Master'!$F$12:$I$102,4,0)&lt;&gt;""),IF(WEEKDAY(BR332-VLOOKUP($P332&amp;" | "&amp;BI$6,'Job Master'!$F$12:$I$102,4,0))&lt;&gt;7,BR332-VLOOKUP($P332&amp;" | "&amp;BI$6,'Job Master'!$F$12:$I$102,4,0),BR332-VLOOKUP($P332&amp;" | "&amp;BI$6,'Job Master'!$F$12:$I$102,4,0)-1),""),"")</f>
        <v/>
      </c>
      <c r="BL332" s="73"/>
      <c r="BM332" s="123" t="str">
        <f t="shared" si="660"/>
        <v/>
      </c>
      <c r="BN332" s="123" t="str">
        <f t="shared" si="661"/>
        <v/>
      </c>
      <c r="BO332" s="97" t="str">
        <f t="shared" ca="1" si="662"/>
        <v/>
      </c>
      <c r="BP332" s="98" t="str">
        <f>IF(BR332&lt;&gt;"",VLOOKUP($P332&amp;" | "&amp;BP$6,'Job Master'!$F$12:$J$102,5,0),"")</f>
        <v/>
      </c>
      <c r="BQ332" s="19" t="str">
        <f>IF(BR332&lt;&gt;"",VLOOKUP($P332&amp;" | "&amp;BP$6,'Job Master'!$F$12:$J$102,3,0),"")</f>
        <v/>
      </c>
      <c r="BR332" s="19" t="str">
        <f>IFERROR(IF(AND(BY332&lt;&gt;"",VLOOKUP($P332&amp;" | "&amp;BP$6,'Job Master'!$F$12:$I$102,4,0)&lt;&gt;""),IF(WEEKDAY(BY332-VLOOKUP($P332&amp;" | "&amp;BP$6,'Job Master'!$F$12:$I$102,4,0))&lt;&gt;7,BY332-VLOOKUP($P332&amp;" | "&amp;BP$6,'Job Master'!$F$12:$I$102,4,0),BY332-VLOOKUP($P332&amp;" | "&amp;BP$6,'Job Master'!$F$12:$I$102,4,0)-1),""),"")</f>
        <v/>
      </c>
      <c r="BS332" s="73"/>
      <c r="BT332" s="123" t="str">
        <f t="shared" si="663"/>
        <v/>
      </c>
      <c r="BU332" s="123" t="str">
        <f t="shared" si="664"/>
        <v/>
      </c>
      <c r="BV332" s="97" t="str">
        <f t="shared" ca="1" si="665"/>
        <v/>
      </c>
      <c r="BW332" s="98" t="str">
        <f>IF(BY332&lt;&gt;"",VLOOKUP($P332&amp;" | "&amp;BW$6,'Job Master'!$F$12:$J$102,5,0),"")</f>
        <v/>
      </c>
      <c r="BX332" s="19" t="str">
        <f>IF(BY332&lt;&gt;"",VLOOKUP($P332&amp;" | "&amp;BW$6,'Job Master'!$F$12:$J$102,3,0),"")</f>
        <v/>
      </c>
      <c r="BY332" s="19" t="str">
        <f>IFERROR(IF(AND(CF332&lt;&gt;"",VLOOKUP($P332&amp;" | "&amp;BW$6,'Job Master'!$F$12:$I$102,4,0)&lt;&gt;""),IF(WEEKDAY(CF332-VLOOKUP($P332&amp;" | "&amp;BW$6,'Job Master'!$F$12:$I$102,4,0))&lt;&gt;7,CF332-VLOOKUP($P332&amp;" | "&amp;BW$6,'Job Master'!$F$12:$I$102,4,0),CF332-VLOOKUP($P332&amp;" | "&amp;BW$6,'Job Master'!$F$12:$I$102,4,0)-1),""),"")</f>
        <v/>
      </c>
      <c r="BZ332" s="73"/>
      <c r="CA332" s="123" t="str">
        <f t="shared" si="666"/>
        <v/>
      </c>
      <c r="CB332" s="123" t="str">
        <f t="shared" si="667"/>
        <v/>
      </c>
      <c r="CC332" s="97" t="str">
        <f t="shared" ca="1" si="668"/>
        <v/>
      </c>
      <c r="CD332" s="98" t="str">
        <f>IF(CF332&lt;&gt;"",VLOOKUP($P332&amp;" | "&amp;CD$6,'Job Master'!$F$12:$J$102,5,0),"")</f>
        <v/>
      </c>
      <c r="CE332" s="19" t="str">
        <f>IF(CF332&lt;&gt;"",VLOOKUP($P332&amp;" | "&amp;CD$6,'Job Master'!$F$12:$J$102,3,0),"")</f>
        <v/>
      </c>
      <c r="CF332" s="19" t="str">
        <f>IFERROR(IF(AND(CM332&lt;&gt;"",VLOOKUP($P332&amp;" | "&amp;CD$6,'Job Master'!$F$12:$I$102,4,0)&lt;&gt;""),IF(WEEKDAY(CM332-VLOOKUP($P332&amp;" | "&amp;CD$6,'Job Master'!$F$12:$I$102,4,0))&lt;&gt;7,CM332-VLOOKUP($P332&amp;" | "&amp;CD$6,'Job Master'!$F$12:$I$102,4,0),CM332-VLOOKUP($P332&amp;" | "&amp;CD$6,'Job Master'!$F$12:$I$102,4,0)-1),""),"")</f>
        <v/>
      </c>
      <c r="CG332" s="73"/>
      <c r="CH332" s="123" t="str">
        <f t="shared" si="669"/>
        <v/>
      </c>
      <c r="CI332" s="123" t="str">
        <f t="shared" si="670"/>
        <v/>
      </c>
      <c r="CJ332" s="97" t="str">
        <f t="shared" ca="1" si="671"/>
        <v/>
      </c>
      <c r="CK332" s="98" t="str">
        <f>IF(CM332&lt;&gt;"",VLOOKUP($P332&amp;" | "&amp;CK$6,'Job Master'!$F$12:$J$102,5,0),"")</f>
        <v/>
      </c>
      <c r="CL332" s="19" t="str">
        <f>IF(CM332&lt;&gt;"",VLOOKUP($P332&amp;" | "&amp;CK$6,'Job Master'!$F$12:$J$102,3,0),"")</f>
        <v/>
      </c>
      <c r="CM332" s="19" t="str">
        <f>IFERROR(IF(AND(CT332&lt;&gt;"",VLOOKUP($P332&amp;" | "&amp;CK$6,'Job Master'!$F$12:$I$102,4,0)&lt;&gt;""),IF(WEEKDAY(CT332-VLOOKUP($P332&amp;" | "&amp;CK$6,'Job Master'!$F$12:$I$102,4,0))&lt;&gt;7,CT332-VLOOKUP($P332&amp;" | "&amp;CK$6,'Job Master'!$F$12:$I$102,4,0),CT332-VLOOKUP($P332&amp;" | "&amp;CK$6,'Job Master'!$F$12:$I$102,4,0)-1),""),"")</f>
        <v/>
      </c>
      <c r="CN332" s="73"/>
      <c r="CO332" s="123" t="str">
        <f t="shared" si="672"/>
        <v/>
      </c>
      <c r="CP332" s="123" t="str">
        <f t="shared" si="673"/>
        <v/>
      </c>
      <c r="CQ332" s="97" t="str">
        <f t="shared" ca="1" si="674"/>
        <v/>
      </c>
      <c r="CR332" s="98" t="str">
        <f>IF(CT332&lt;&gt;"",VLOOKUP($P332&amp;" | "&amp;CR$6,'Job Master'!$F$12:$J$102,5,0),"")</f>
        <v/>
      </c>
      <c r="CS332" s="19" t="str">
        <f>IF(CT332&lt;&gt;"",VLOOKUP($P332&amp;" | "&amp;CR$6,'Job Master'!$F$12:$J$102,3,0),"")</f>
        <v/>
      </c>
      <c r="CT332" s="19" t="str">
        <f>IFERROR(IF(AND(DA332&lt;&gt;"",VLOOKUP($P332&amp;" | "&amp;CR$6,'Job Master'!$F$12:$I$102,4,0)&lt;&gt;""),IF(WEEKDAY(DA332-VLOOKUP($P332&amp;" | "&amp;CR$6,'Job Master'!$F$12:$I$102,4,0))&lt;&gt;7,DA332-VLOOKUP($P332&amp;" | "&amp;CR$6,'Job Master'!$F$12:$I$102,4,0),DA332-VLOOKUP($P332&amp;" | "&amp;CR$6,'Job Master'!$F$12:$I$102,4,0)-1),""),"")</f>
        <v/>
      </c>
      <c r="CU332" s="73"/>
      <c r="CV332" s="123" t="str">
        <f t="shared" si="675"/>
        <v/>
      </c>
      <c r="CW332" s="123" t="str">
        <f t="shared" si="676"/>
        <v/>
      </c>
      <c r="CX332" s="97" t="str">
        <f t="shared" ca="1" si="677"/>
        <v/>
      </c>
      <c r="CY332" s="98" t="str">
        <f>IF(DA332&lt;&gt;"",VLOOKUP($P332&amp;" | "&amp;CY$6,'Job Master'!$F$12:$J$102,5,0),"")</f>
        <v/>
      </c>
      <c r="CZ332" s="19" t="str">
        <f>IF(DA332&lt;&gt;"",VLOOKUP($P332&amp;" | "&amp;CY$6,'Job Master'!$F$12:$J$102,3,0),"")</f>
        <v/>
      </c>
      <c r="DA332" s="19" t="str">
        <f>IFERROR(IF(AND(DH332&lt;&gt;"",VLOOKUP($P332&amp;" | "&amp;CY$6,'Job Master'!$F$12:$I$102,4,0)&lt;&gt;""),IF(WEEKDAY(DH332-VLOOKUP($P332&amp;" | "&amp;CY$6,'Job Master'!$F$12:$I$102,4,0))&lt;&gt;7,DH332-VLOOKUP($P332&amp;" | "&amp;CY$6,'Job Master'!$F$12:$I$102,4,0),DH332-VLOOKUP($P332&amp;" | "&amp;CY$6,'Job Master'!$F$12:$I$102,4,0)-1),""),"")</f>
        <v/>
      </c>
      <c r="DB332" s="73"/>
      <c r="DC332" s="123" t="str">
        <f t="shared" si="678"/>
        <v/>
      </c>
      <c r="DD332" s="123" t="str">
        <f t="shared" si="679"/>
        <v/>
      </c>
      <c r="DE332" s="97" t="str">
        <f t="shared" ca="1" si="680"/>
        <v/>
      </c>
      <c r="DF332" s="98" t="str">
        <f>IF(DH332&lt;&gt;"",VLOOKUP($P332&amp;" | "&amp;DF$6,'Job Master'!$F$12:$J$102,5,0),"")</f>
        <v/>
      </c>
      <c r="DG332" s="19" t="str">
        <f>IF(DH332&lt;&gt;"",VLOOKUP($P332&amp;" | "&amp;DF$6,'Job Master'!$F$12:$J$102,3,0),"")</f>
        <v/>
      </c>
      <c r="DH332" s="19" t="str">
        <f>IFERROR(IF(AND(DO332&lt;&gt;"",VLOOKUP($P332&amp;" | "&amp;DF$6,'Job Master'!$F$12:$I$102,4,0)&lt;&gt;""),IF(WEEKDAY(DO332-VLOOKUP($P332&amp;" | "&amp;DF$6,'Job Master'!$F$12:$I$102,4,0))&lt;&gt;7,DO332-VLOOKUP($P332&amp;" | "&amp;DF$6,'Job Master'!$F$12:$I$102,4,0),DO332-VLOOKUP($P332&amp;" | "&amp;DF$6,'Job Master'!$F$12:$I$102,4,0)-1),""),"")</f>
        <v/>
      </c>
      <c r="DI332" s="73"/>
      <c r="DJ332" s="123" t="str">
        <f t="shared" si="681"/>
        <v/>
      </c>
      <c r="DK332" s="123" t="str">
        <f t="shared" si="682"/>
        <v/>
      </c>
      <c r="DL332" s="97" t="str">
        <f t="shared" ca="1" si="683"/>
        <v/>
      </c>
      <c r="DM332" s="98" t="str">
        <f>IF(DO332&lt;&gt;"",VLOOKUP($P332&amp;" | "&amp;DM$6,'Job Master'!$F$12:$J$102,5,0),"")</f>
        <v/>
      </c>
      <c r="DN332" s="19" t="str">
        <f>IF(DO332&lt;&gt;"",VLOOKUP($P332&amp;" | "&amp;DM$6,'Job Master'!$F$12:$J$102,3,0),"")</f>
        <v/>
      </c>
      <c r="DO332" s="19" t="str">
        <f>IFERROR(IF(AND(DT332&lt;&gt;"",VLOOKUP($P332&amp;" | "&amp;DM$6,'Job Master'!$F$12:$I$102,4,0)&lt;&gt;""),IF(WEEKDAY(DT332-VLOOKUP($P332&amp;" | "&amp;DM$6,'Job Master'!$F$12:$I$102,4,0))&lt;&gt;7,DT332-VLOOKUP($P332&amp;" | "&amp;DM$6,'Job Master'!$F$12:$I$102,4,0),DT332-VLOOKUP($P332&amp;" | "&amp;DM$6,'Job Master'!$F$12:$I$102,4,0)-1),""),"")</f>
        <v/>
      </c>
      <c r="DP332" s="73"/>
      <c r="DQ332" s="123" t="str">
        <f t="shared" si="684"/>
        <v/>
      </c>
      <c r="DR332" s="123" t="str">
        <f t="shared" si="685"/>
        <v/>
      </c>
      <c r="DS332" s="97" t="str">
        <f t="shared" ca="1" si="686"/>
        <v/>
      </c>
      <c r="DT332" s="70" t="str">
        <f t="shared" si="687"/>
        <v/>
      </c>
      <c r="DU332" s="90"/>
      <c r="DV332" s="123" t="str">
        <f t="shared" si="688"/>
        <v/>
      </c>
      <c r="DW332" s="123" t="str">
        <f t="shared" si="689"/>
        <v/>
      </c>
      <c r="DX332" s="132" t="str">
        <f t="shared" ref="DX332" ca="1" si="694">IF(DT332&lt;&gt;"",IF(WEEKNUM(DT332)=WEEKNUM(TODAY()),"This Week",IF(WEEKNUM(DT332)=WEEKNUM(TODAY())+1,"Next Week",IF(WEEKNUM(DT332)=WEEKNUM(TODAY())-1,"Previous Week",""))),"")</f>
        <v/>
      </c>
      <c r="DY332" s="134" t="str">
        <f t="shared" si="691"/>
        <v/>
      </c>
      <c r="DZ332" s="95"/>
      <c r="EB332" s="8" t="str">
        <f t="shared" si="571"/>
        <v/>
      </c>
      <c r="EC332" s="8" t="str">
        <f>IF(O332&lt;&gt;"",VLOOKUP(O332,'Job Master'!$N$12:$O$18,2,0),"")</f>
        <v/>
      </c>
      <c r="ED332" s="8">
        <f t="shared" si="572"/>
        <v>19.5</v>
      </c>
      <c r="EE332" s="8">
        <f t="shared" si="573"/>
        <v>6</v>
      </c>
      <c r="EF332" s="8">
        <f t="shared" si="574"/>
        <v>-1912.5</v>
      </c>
      <c r="EG332" s="8" t="str">
        <f t="shared" si="575"/>
        <v/>
      </c>
      <c r="EH332" s="8" t="str">
        <f t="shared" si="576"/>
        <v/>
      </c>
    </row>
    <row r="333" spans="2:138" x14ac:dyDescent="0.3">
      <c r="B333" s="112"/>
      <c r="C333" s="27"/>
      <c r="D333" s="7" t="str">
        <f t="shared" si="639"/>
        <v/>
      </c>
      <c r="E333" s="25"/>
      <c r="F333" s="7" t="str">
        <f t="shared" si="639"/>
        <v/>
      </c>
      <c r="G333" s="25"/>
      <c r="H333" s="7" t="str">
        <f t="shared" si="639"/>
        <v/>
      </c>
      <c r="I333" s="25"/>
      <c r="J333" s="7" t="str">
        <f t="shared" si="639"/>
        <v/>
      </c>
      <c r="K333" s="25"/>
      <c r="L333" s="7" t="str">
        <f t="shared" si="640"/>
        <v/>
      </c>
      <c r="M333" s="25"/>
      <c r="N333" s="7" t="str">
        <f t="shared" si="641"/>
        <v/>
      </c>
      <c r="O333" s="81"/>
      <c r="P333" s="81" t="str">
        <f t="shared" si="642"/>
        <v/>
      </c>
      <c r="Q333" s="81"/>
      <c r="R333" s="7" t="str">
        <f t="shared" si="643"/>
        <v/>
      </c>
      <c r="S333" s="25"/>
      <c r="T333" s="7" t="str">
        <f t="shared" si="644"/>
        <v/>
      </c>
      <c r="U333" s="25"/>
      <c r="V333" s="7" t="str">
        <f t="shared" si="645"/>
        <v/>
      </c>
      <c r="W333" s="25"/>
      <c r="X333" s="7" t="str">
        <f t="shared" si="646"/>
        <v/>
      </c>
      <c r="Y333" s="18" t="str">
        <f t="shared" si="647"/>
        <v/>
      </c>
      <c r="Z333" s="7" t="str">
        <f t="shared" si="648"/>
        <v/>
      </c>
      <c r="AA333" s="18" t="str">
        <f t="shared" si="649"/>
        <v/>
      </c>
      <c r="AB333" s="19" t="str">
        <f t="shared" si="650"/>
        <v/>
      </c>
      <c r="AC333" s="26"/>
      <c r="AD333" s="26"/>
      <c r="AE333" s="25"/>
      <c r="AF333" s="26"/>
      <c r="AG333" s="25"/>
      <c r="AH333" s="25"/>
      <c r="AI333" s="18" t="str">
        <f t="shared" si="587"/>
        <v/>
      </c>
      <c r="AJ333" s="25"/>
      <c r="AK333" s="18" t="str">
        <f t="shared" si="588"/>
        <v/>
      </c>
      <c r="AL333" s="79"/>
      <c r="AM333" s="126" t="str">
        <f t="shared" si="589"/>
        <v/>
      </c>
      <c r="AN333" s="128" t="str">
        <f>IF(AP333&lt;&gt;"",VLOOKUP($P333&amp;" | "&amp;AN$6,'Job Master'!$F$12:$J$102,5,0),"")</f>
        <v/>
      </c>
      <c r="AO333" s="19" t="str">
        <f>IF(AP333&lt;&gt;"",VLOOKUP($P333&amp;" | "&amp;AN$6,'Job Master'!$F$12:$J$102,3,0),"")</f>
        <v/>
      </c>
      <c r="AP333" s="19" t="str">
        <f>IFERROR(IF(AND(AW333&lt;&gt;"",VLOOKUP($P333&amp;" | "&amp;AN$6,'Job Master'!$F$12:$I$102,4,0)&lt;&gt;""),IF(WEEKDAY(AW333-VLOOKUP($P333&amp;" | "&amp;AN$6,'Job Master'!$F$12:$I$102,4,0))&lt;&gt;7,AW333-VLOOKUP($P333&amp;" | "&amp;AN$6,'Job Master'!$F$12:$I$102,4,0),AW333-VLOOKUP($P333&amp;" | "&amp;AN$6,'Job Master'!$F$12:$I$102,4,0)-1),""),"")</f>
        <v/>
      </c>
      <c r="AQ333" s="73"/>
      <c r="AR333" s="123" t="str">
        <f t="shared" si="651"/>
        <v/>
      </c>
      <c r="AS333" s="123" t="str">
        <f t="shared" si="652"/>
        <v/>
      </c>
      <c r="AT333" s="97" t="str">
        <f t="shared" ca="1" si="653"/>
        <v/>
      </c>
      <c r="AU333" s="98" t="str">
        <f>IF(AW333&lt;&gt;"",VLOOKUP($P333&amp;" | "&amp;AU$6,'Job Master'!$F$12:$J$102,5,0),"")</f>
        <v/>
      </c>
      <c r="AV333" s="19" t="str">
        <f>IF(AW333&lt;&gt;"",VLOOKUP($P333&amp;" | "&amp;AU$6,'Job Master'!$F$12:$J$102,3,0),"")</f>
        <v/>
      </c>
      <c r="AW333" s="19" t="str">
        <f>IFERROR(IF(AND(BD333&lt;&gt;"",VLOOKUP($P333&amp;" | "&amp;AU$6,'Job Master'!$F$12:$I$102,4,0)&lt;&gt;""),IF(WEEKDAY(BD333-VLOOKUP($P333&amp;" | "&amp;AU$6,'Job Master'!$F$12:$I$102,4,0))&lt;&gt;7,BD333-VLOOKUP($P333&amp;" | "&amp;AU$6,'Job Master'!$F$12:$I$102,4,0),BD333-VLOOKUP($P333&amp;" | "&amp;AU$6,'Job Master'!$F$12:$I$102,4,0)-1),""),"")</f>
        <v/>
      </c>
      <c r="AX333" s="73"/>
      <c r="AY333" s="123" t="str">
        <f t="shared" si="654"/>
        <v/>
      </c>
      <c r="AZ333" s="123" t="str">
        <f t="shared" si="655"/>
        <v/>
      </c>
      <c r="BA333" s="97" t="str">
        <f t="shared" ca="1" si="656"/>
        <v/>
      </c>
      <c r="BB333" s="98" t="str">
        <f>IF(BD333&lt;&gt;"",VLOOKUP($P333&amp;" | "&amp;BB$6,'Job Master'!$F$12:$J$102,5,0),"")</f>
        <v/>
      </c>
      <c r="BC333" s="19" t="str">
        <f>IF(BD333&lt;&gt;"",VLOOKUP($P333&amp;" | "&amp;BB$6,'Job Master'!$F$12:$J$102,3,0),"")</f>
        <v/>
      </c>
      <c r="BD333" s="19" t="str">
        <f>IFERROR(IF(AND(BK333&lt;&gt;"",VLOOKUP($P333&amp;" | "&amp;BB$6,'Job Master'!$F$12:$I$102,4,0)&lt;&gt;""),IF(WEEKDAY(BK333-VLOOKUP($P333&amp;" | "&amp;BB$6,'Job Master'!$F$12:$I$102,4,0))&lt;&gt;7,BK333-VLOOKUP($P333&amp;" | "&amp;BB$6,'Job Master'!$F$12:$I$102,4,0),BK333-VLOOKUP($P333&amp;" | "&amp;BB$6,'Job Master'!$F$12:$I$102,4,0)-1),""),"")</f>
        <v/>
      </c>
      <c r="BE333" s="73"/>
      <c r="BF333" s="123" t="str">
        <f t="shared" si="657"/>
        <v/>
      </c>
      <c r="BG333" s="123" t="str">
        <f t="shared" si="658"/>
        <v/>
      </c>
      <c r="BH333" s="97" t="str">
        <f t="shared" ca="1" si="659"/>
        <v/>
      </c>
      <c r="BI333" s="98" t="str">
        <f>IF(BK333&lt;&gt;"",VLOOKUP($P333&amp;" | "&amp;BI$6,'Job Master'!$F$12:$J$102,5,0),"")</f>
        <v/>
      </c>
      <c r="BJ333" s="19" t="str">
        <f>IF(BK333&lt;&gt;"",VLOOKUP($P333&amp;" | "&amp;BI$6,'Job Master'!$F$12:$J$102,3,0),"")</f>
        <v/>
      </c>
      <c r="BK333" s="19" t="str">
        <f>IFERROR(IF(AND(BR333&lt;&gt;"",VLOOKUP($P333&amp;" | "&amp;BI$6,'Job Master'!$F$12:$I$102,4,0)&lt;&gt;""),IF(WEEKDAY(BR333-VLOOKUP($P333&amp;" | "&amp;BI$6,'Job Master'!$F$12:$I$102,4,0))&lt;&gt;7,BR333-VLOOKUP($P333&amp;" | "&amp;BI$6,'Job Master'!$F$12:$I$102,4,0),BR333-VLOOKUP($P333&amp;" | "&amp;BI$6,'Job Master'!$F$12:$I$102,4,0)-1),""),"")</f>
        <v/>
      </c>
      <c r="BL333" s="73"/>
      <c r="BM333" s="123" t="str">
        <f t="shared" si="660"/>
        <v/>
      </c>
      <c r="BN333" s="123" t="str">
        <f t="shared" si="661"/>
        <v/>
      </c>
      <c r="BO333" s="97" t="str">
        <f t="shared" ca="1" si="662"/>
        <v/>
      </c>
      <c r="BP333" s="98" t="str">
        <f>IF(BR333&lt;&gt;"",VLOOKUP($P333&amp;" | "&amp;BP$6,'Job Master'!$F$12:$J$102,5,0),"")</f>
        <v/>
      </c>
      <c r="BQ333" s="19" t="str">
        <f>IF(BR333&lt;&gt;"",VLOOKUP($P333&amp;" | "&amp;BP$6,'Job Master'!$F$12:$J$102,3,0),"")</f>
        <v/>
      </c>
      <c r="BR333" s="19" t="str">
        <f>IFERROR(IF(AND(BY333&lt;&gt;"",VLOOKUP($P333&amp;" | "&amp;BP$6,'Job Master'!$F$12:$I$102,4,0)&lt;&gt;""),IF(WEEKDAY(BY333-VLOOKUP($P333&amp;" | "&amp;BP$6,'Job Master'!$F$12:$I$102,4,0))&lt;&gt;7,BY333-VLOOKUP($P333&amp;" | "&amp;BP$6,'Job Master'!$F$12:$I$102,4,0),BY333-VLOOKUP($P333&amp;" | "&amp;BP$6,'Job Master'!$F$12:$I$102,4,0)-1),""),"")</f>
        <v/>
      </c>
      <c r="BS333" s="73"/>
      <c r="BT333" s="123" t="str">
        <f t="shared" si="663"/>
        <v/>
      </c>
      <c r="BU333" s="123" t="str">
        <f t="shared" si="664"/>
        <v/>
      </c>
      <c r="BV333" s="97" t="str">
        <f t="shared" ca="1" si="665"/>
        <v/>
      </c>
      <c r="BW333" s="98" t="str">
        <f>IF(BY333&lt;&gt;"",VLOOKUP($P333&amp;" | "&amp;BW$6,'Job Master'!$F$12:$J$102,5,0),"")</f>
        <v/>
      </c>
      <c r="BX333" s="19" t="str">
        <f>IF(BY333&lt;&gt;"",VLOOKUP($P333&amp;" | "&amp;BW$6,'Job Master'!$F$12:$J$102,3,0),"")</f>
        <v/>
      </c>
      <c r="BY333" s="19" t="str">
        <f>IFERROR(IF(AND(CF333&lt;&gt;"",VLOOKUP($P333&amp;" | "&amp;BW$6,'Job Master'!$F$12:$I$102,4,0)&lt;&gt;""),IF(WEEKDAY(CF333-VLOOKUP($P333&amp;" | "&amp;BW$6,'Job Master'!$F$12:$I$102,4,0))&lt;&gt;7,CF333-VLOOKUP($P333&amp;" | "&amp;BW$6,'Job Master'!$F$12:$I$102,4,0),CF333-VLOOKUP($P333&amp;" | "&amp;BW$6,'Job Master'!$F$12:$I$102,4,0)-1),""),"")</f>
        <v/>
      </c>
      <c r="BZ333" s="73"/>
      <c r="CA333" s="123" t="str">
        <f t="shared" si="666"/>
        <v/>
      </c>
      <c r="CB333" s="123" t="str">
        <f t="shared" si="667"/>
        <v/>
      </c>
      <c r="CC333" s="97" t="str">
        <f t="shared" ca="1" si="668"/>
        <v/>
      </c>
      <c r="CD333" s="98" t="str">
        <f>IF(CF333&lt;&gt;"",VLOOKUP($P333&amp;" | "&amp;CD$6,'Job Master'!$F$12:$J$102,5,0),"")</f>
        <v/>
      </c>
      <c r="CE333" s="19" t="str">
        <f>IF(CF333&lt;&gt;"",VLOOKUP($P333&amp;" | "&amp;CD$6,'Job Master'!$F$12:$J$102,3,0),"")</f>
        <v/>
      </c>
      <c r="CF333" s="19" t="str">
        <f>IFERROR(IF(AND(CM333&lt;&gt;"",VLOOKUP($P333&amp;" | "&amp;CD$6,'Job Master'!$F$12:$I$102,4,0)&lt;&gt;""),IF(WEEKDAY(CM333-VLOOKUP($P333&amp;" | "&amp;CD$6,'Job Master'!$F$12:$I$102,4,0))&lt;&gt;7,CM333-VLOOKUP($P333&amp;" | "&amp;CD$6,'Job Master'!$F$12:$I$102,4,0),CM333-VLOOKUP($P333&amp;" | "&amp;CD$6,'Job Master'!$F$12:$I$102,4,0)-1),""),"")</f>
        <v/>
      </c>
      <c r="CG333" s="73"/>
      <c r="CH333" s="123" t="str">
        <f t="shared" si="669"/>
        <v/>
      </c>
      <c r="CI333" s="123" t="str">
        <f t="shared" si="670"/>
        <v/>
      </c>
      <c r="CJ333" s="97" t="str">
        <f t="shared" ca="1" si="671"/>
        <v/>
      </c>
      <c r="CK333" s="98" t="str">
        <f>IF(CM333&lt;&gt;"",VLOOKUP($P333&amp;" | "&amp;CK$6,'Job Master'!$F$12:$J$102,5,0),"")</f>
        <v/>
      </c>
      <c r="CL333" s="19" t="str">
        <f>IF(CM333&lt;&gt;"",VLOOKUP($P333&amp;" | "&amp;CK$6,'Job Master'!$F$12:$J$102,3,0),"")</f>
        <v/>
      </c>
      <c r="CM333" s="19" t="str">
        <f>IFERROR(IF(AND(CT333&lt;&gt;"",VLOOKUP($P333&amp;" | "&amp;CK$6,'Job Master'!$F$12:$I$102,4,0)&lt;&gt;""),IF(WEEKDAY(CT333-VLOOKUP($P333&amp;" | "&amp;CK$6,'Job Master'!$F$12:$I$102,4,0))&lt;&gt;7,CT333-VLOOKUP($P333&amp;" | "&amp;CK$6,'Job Master'!$F$12:$I$102,4,0),CT333-VLOOKUP($P333&amp;" | "&amp;CK$6,'Job Master'!$F$12:$I$102,4,0)-1),""),"")</f>
        <v/>
      </c>
      <c r="CN333" s="73"/>
      <c r="CO333" s="123" t="str">
        <f t="shared" si="672"/>
        <v/>
      </c>
      <c r="CP333" s="123" t="str">
        <f t="shared" si="673"/>
        <v/>
      </c>
      <c r="CQ333" s="97" t="str">
        <f t="shared" ca="1" si="674"/>
        <v/>
      </c>
      <c r="CR333" s="98" t="str">
        <f>IF(CT333&lt;&gt;"",VLOOKUP($P333&amp;" | "&amp;CR$6,'Job Master'!$F$12:$J$102,5,0),"")</f>
        <v/>
      </c>
      <c r="CS333" s="19" t="str">
        <f>IF(CT333&lt;&gt;"",VLOOKUP($P333&amp;" | "&amp;CR$6,'Job Master'!$F$12:$J$102,3,0),"")</f>
        <v/>
      </c>
      <c r="CT333" s="19" t="str">
        <f>IFERROR(IF(AND(DA333&lt;&gt;"",VLOOKUP($P333&amp;" | "&amp;CR$6,'Job Master'!$F$12:$I$102,4,0)&lt;&gt;""),IF(WEEKDAY(DA333-VLOOKUP($P333&amp;" | "&amp;CR$6,'Job Master'!$F$12:$I$102,4,0))&lt;&gt;7,DA333-VLOOKUP($P333&amp;" | "&amp;CR$6,'Job Master'!$F$12:$I$102,4,0),DA333-VLOOKUP($P333&amp;" | "&amp;CR$6,'Job Master'!$F$12:$I$102,4,0)-1),""),"")</f>
        <v/>
      </c>
      <c r="CU333" s="73"/>
      <c r="CV333" s="123" t="str">
        <f t="shared" si="675"/>
        <v/>
      </c>
      <c r="CW333" s="123" t="str">
        <f t="shared" si="676"/>
        <v/>
      </c>
      <c r="CX333" s="97" t="str">
        <f t="shared" ca="1" si="677"/>
        <v/>
      </c>
      <c r="CY333" s="98" t="str">
        <f>IF(DA333&lt;&gt;"",VLOOKUP($P333&amp;" | "&amp;CY$6,'Job Master'!$F$12:$J$102,5,0),"")</f>
        <v/>
      </c>
      <c r="CZ333" s="19" t="str">
        <f>IF(DA333&lt;&gt;"",VLOOKUP($P333&amp;" | "&amp;CY$6,'Job Master'!$F$12:$J$102,3,0),"")</f>
        <v/>
      </c>
      <c r="DA333" s="19" t="str">
        <f>IFERROR(IF(AND(DH333&lt;&gt;"",VLOOKUP($P333&amp;" | "&amp;CY$6,'Job Master'!$F$12:$I$102,4,0)&lt;&gt;""),IF(WEEKDAY(DH333-VLOOKUP($P333&amp;" | "&amp;CY$6,'Job Master'!$F$12:$I$102,4,0))&lt;&gt;7,DH333-VLOOKUP($P333&amp;" | "&amp;CY$6,'Job Master'!$F$12:$I$102,4,0),DH333-VLOOKUP($P333&amp;" | "&amp;CY$6,'Job Master'!$F$12:$I$102,4,0)-1),""),"")</f>
        <v/>
      </c>
      <c r="DB333" s="73"/>
      <c r="DC333" s="123" t="str">
        <f t="shared" si="678"/>
        <v/>
      </c>
      <c r="DD333" s="123" t="str">
        <f t="shared" si="679"/>
        <v/>
      </c>
      <c r="DE333" s="97" t="str">
        <f t="shared" ca="1" si="680"/>
        <v/>
      </c>
      <c r="DF333" s="98" t="str">
        <f>IF(DH333&lt;&gt;"",VLOOKUP($P333&amp;" | "&amp;DF$6,'Job Master'!$F$12:$J$102,5,0),"")</f>
        <v/>
      </c>
      <c r="DG333" s="19" t="str">
        <f>IF(DH333&lt;&gt;"",VLOOKUP($P333&amp;" | "&amp;DF$6,'Job Master'!$F$12:$J$102,3,0),"")</f>
        <v/>
      </c>
      <c r="DH333" s="19" t="str">
        <f>IFERROR(IF(AND(DO333&lt;&gt;"",VLOOKUP($P333&amp;" | "&amp;DF$6,'Job Master'!$F$12:$I$102,4,0)&lt;&gt;""),IF(WEEKDAY(DO333-VLOOKUP($P333&amp;" | "&amp;DF$6,'Job Master'!$F$12:$I$102,4,0))&lt;&gt;7,DO333-VLOOKUP($P333&amp;" | "&amp;DF$6,'Job Master'!$F$12:$I$102,4,0),DO333-VLOOKUP($P333&amp;" | "&amp;DF$6,'Job Master'!$F$12:$I$102,4,0)-1),""),"")</f>
        <v/>
      </c>
      <c r="DI333" s="73"/>
      <c r="DJ333" s="123" t="str">
        <f t="shared" si="681"/>
        <v/>
      </c>
      <c r="DK333" s="123" t="str">
        <f t="shared" si="682"/>
        <v/>
      </c>
      <c r="DL333" s="97" t="str">
        <f t="shared" ca="1" si="683"/>
        <v/>
      </c>
      <c r="DM333" s="98" t="str">
        <f>IF(DO333&lt;&gt;"",VLOOKUP($P333&amp;" | "&amp;DM$6,'Job Master'!$F$12:$J$102,5,0),"")</f>
        <v/>
      </c>
      <c r="DN333" s="19" t="str">
        <f>IF(DO333&lt;&gt;"",VLOOKUP($P333&amp;" | "&amp;DM$6,'Job Master'!$F$12:$J$102,3,0),"")</f>
        <v/>
      </c>
      <c r="DO333" s="19" t="str">
        <f>IFERROR(IF(AND(DT333&lt;&gt;"",VLOOKUP($P333&amp;" | "&amp;DM$6,'Job Master'!$F$12:$I$102,4,0)&lt;&gt;""),IF(WEEKDAY(DT333-VLOOKUP($P333&amp;" | "&amp;DM$6,'Job Master'!$F$12:$I$102,4,0))&lt;&gt;7,DT333-VLOOKUP($P333&amp;" | "&amp;DM$6,'Job Master'!$F$12:$I$102,4,0),DT333-VLOOKUP($P333&amp;" | "&amp;DM$6,'Job Master'!$F$12:$I$102,4,0)-1),""),"")</f>
        <v/>
      </c>
      <c r="DP333" s="73"/>
      <c r="DQ333" s="123" t="str">
        <f t="shared" si="684"/>
        <v/>
      </c>
      <c r="DR333" s="123" t="str">
        <f t="shared" si="685"/>
        <v/>
      </c>
      <c r="DS333" s="97" t="str">
        <f t="shared" ca="1" si="686"/>
        <v/>
      </c>
      <c r="DT333" s="70" t="str">
        <f t="shared" si="687"/>
        <v/>
      </c>
      <c r="DU333" s="90"/>
      <c r="DV333" s="123" t="str">
        <f t="shared" si="688"/>
        <v/>
      </c>
      <c r="DW333" s="123" t="str">
        <f t="shared" si="689"/>
        <v/>
      </c>
      <c r="DX333" s="132" t="str">
        <f t="shared" ref="DX333" ca="1" si="695">IF(DT333&lt;&gt;"",IF(WEEKNUM(DT333)=WEEKNUM(TODAY()),"This Week",IF(WEEKNUM(DT333)=WEEKNUM(TODAY())+1,"Next Week",IF(WEEKNUM(DT333)=WEEKNUM(TODAY())-1,"Previous Week",""))),"")</f>
        <v/>
      </c>
      <c r="DY333" s="134" t="str">
        <f t="shared" si="691"/>
        <v/>
      </c>
      <c r="DZ333" s="95"/>
      <c r="EB333" s="8" t="str">
        <f t="shared" si="571"/>
        <v/>
      </c>
      <c r="EC333" s="8" t="str">
        <f>IF(O333&lt;&gt;"",VLOOKUP(O333,'Job Master'!$N$12:$O$18,2,0),"")</f>
        <v/>
      </c>
      <c r="ED333" s="8">
        <f t="shared" si="572"/>
        <v>19.5</v>
      </c>
      <c r="EE333" s="8">
        <f t="shared" si="573"/>
        <v>6</v>
      </c>
      <c r="EF333" s="8">
        <f t="shared" si="574"/>
        <v>-1918.5</v>
      </c>
      <c r="EG333" s="8" t="str">
        <f t="shared" si="575"/>
        <v/>
      </c>
      <c r="EH333" s="8" t="str">
        <f t="shared" si="576"/>
        <v/>
      </c>
    </row>
    <row r="334" spans="2:138" x14ac:dyDescent="0.3">
      <c r="B334" s="112"/>
      <c r="C334" s="27"/>
      <c r="D334" s="7" t="str">
        <f t="shared" si="639"/>
        <v/>
      </c>
      <c r="E334" s="25"/>
      <c r="F334" s="7" t="str">
        <f t="shared" si="639"/>
        <v/>
      </c>
      <c r="G334" s="25"/>
      <c r="H334" s="7" t="str">
        <f t="shared" si="639"/>
        <v/>
      </c>
      <c r="I334" s="25"/>
      <c r="J334" s="7" t="str">
        <f t="shared" si="639"/>
        <v/>
      </c>
      <c r="K334" s="25"/>
      <c r="L334" s="7" t="str">
        <f t="shared" si="640"/>
        <v/>
      </c>
      <c r="M334" s="25"/>
      <c r="N334" s="7" t="str">
        <f t="shared" si="641"/>
        <v/>
      </c>
      <c r="O334" s="81"/>
      <c r="P334" s="81" t="str">
        <f t="shared" si="642"/>
        <v/>
      </c>
      <c r="Q334" s="81"/>
      <c r="R334" s="7" t="str">
        <f t="shared" si="643"/>
        <v/>
      </c>
      <c r="S334" s="25"/>
      <c r="T334" s="7" t="str">
        <f t="shared" si="644"/>
        <v/>
      </c>
      <c r="U334" s="25"/>
      <c r="V334" s="7" t="str">
        <f t="shared" si="645"/>
        <v/>
      </c>
      <c r="W334" s="25"/>
      <c r="X334" s="7" t="str">
        <f t="shared" si="646"/>
        <v/>
      </c>
      <c r="Y334" s="18" t="str">
        <f t="shared" si="647"/>
        <v/>
      </c>
      <c r="Z334" s="7" t="str">
        <f t="shared" si="648"/>
        <v/>
      </c>
      <c r="AA334" s="18" t="str">
        <f t="shared" si="649"/>
        <v/>
      </c>
      <c r="AB334" s="19" t="str">
        <f t="shared" si="650"/>
        <v/>
      </c>
      <c r="AC334" s="26"/>
      <c r="AD334" s="26"/>
      <c r="AE334" s="25"/>
      <c r="AF334" s="26"/>
      <c r="AG334" s="25"/>
      <c r="AH334" s="25"/>
      <c r="AI334" s="18" t="str">
        <f t="shared" si="587"/>
        <v/>
      </c>
      <c r="AJ334" s="25"/>
      <c r="AK334" s="18" t="str">
        <f t="shared" si="588"/>
        <v/>
      </c>
      <c r="AL334" s="79"/>
      <c r="AM334" s="126" t="str">
        <f t="shared" si="589"/>
        <v/>
      </c>
      <c r="AN334" s="128" t="str">
        <f>IF(AP334&lt;&gt;"",VLOOKUP($P334&amp;" | "&amp;AN$6,'Job Master'!$F$12:$J$102,5,0),"")</f>
        <v/>
      </c>
      <c r="AO334" s="19" t="str">
        <f>IF(AP334&lt;&gt;"",VLOOKUP($P334&amp;" | "&amp;AN$6,'Job Master'!$F$12:$J$102,3,0),"")</f>
        <v/>
      </c>
      <c r="AP334" s="19" t="str">
        <f>IFERROR(IF(AND(AW334&lt;&gt;"",VLOOKUP($P334&amp;" | "&amp;AN$6,'Job Master'!$F$12:$I$102,4,0)&lt;&gt;""),IF(WEEKDAY(AW334-VLOOKUP($P334&amp;" | "&amp;AN$6,'Job Master'!$F$12:$I$102,4,0))&lt;&gt;7,AW334-VLOOKUP($P334&amp;" | "&amp;AN$6,'Job Master'!$F$12:$I$102,4,0),AW334-VLOOKUP($P334&amp;" | "&amp;AN$6,'Job Master'!$F$12:$I$102,4,0)-1),""),"")</f>
        <v/>
      </c>
      <c r="AQ334" s="73"/>
      <c r="AR334" s="123" t="str">
        <f t="shared" si="651"/>
        <v/>
      </c>
      <c r="AS334" s="123" t="str">
        <f t="shared" si="652"/>
        <v/>
      </c>
      <c r="AT334" s="97" t="str">
        <f t="shared" ca="1" si="653"/>
        <v/>
      </c>
      <c r="AU334" s="98" t="str">
        <f>IF(AW334&lt;&gt;"",VLOOKUP($P334&amp;" | "&amp;AU$6,'Job Master'!$F$12:$J$102,5,0),"")</f>
        <v/>
      </c>
      <c r="AV334" s="19" t="str">
        <f>IF(AW334&lt;&gt;"",VLOOKUP($P334&amp;" | "&amp;AU$6,'Job Master'!$F$12:$J$102,3,0),"")</f>
        <v/>
      </c>
      <c r="AW334" s="19" t="str">
        <f>IFERROR(IF(AND(BD334&lt;&gt;"",VLOOKUP($P334&amp;" | "&amp;AU$6,'Job Master'!$F$12:$I$102,4,0)&lt;&gt;""),IF(WEEKDAY(BD334-VLOOKUP($P334&amp;" | "&amp;AU$6,'Job Master'!$F$12:$I$102,4,0))&lt;&gt;7,BD334-VLOOKUP($P334&amp;" | "&amp;AU$6,'Job Master'!$F$12:$I$102,4,0),BD334-VLOOKUP($P334&amp;" | "&amp;AU$6,'Job Master'!$F$12:$I$102,4,0)-1),""),"")</f>
        <v/>
      </c>
      <c r="AX334" s="73"/>
      <c r="AY334" s="123" t="str">
        <f t="shared" si="654"/>
        <v/>
      </c>
      <c r="AZ334" s="123" t="str">
        <f t="shared" si="655"/>
        <v/>
      </c>
      <c r="BA334" s="97" t="str">
        <f t="shared" ca="1" si="656"/>
        <v/>
      </c>
      <c r="BB334" s="98" t="str">
        <f>IF(BD334&lt;&gt;"",VLOOKUP($P334&amp;" | "&amp;BB$6,'Job Master'!$F$12:$J$102,5,0),"")</f>
        <v/>
      </c>
      <c r="BC334" s="19" t="str">
        <f>IF(BD334&lt;&gt;"",VLOOKUP($P334&amp;" | "&amp;BB$6,'Job Master'!$F$12:$J$102,3,0),"")</f>
        <v/>
      </c>
      <c r="BD334" s="19" t="str">
        <f>IFERROR(IF(AND(BK334&lt;&gt;"",VLOOKUP($P334&amp;" | "&amp;BB$6,'Job Master'!$F$12:$I$102,4,0)&lt;&gt;""),IF(WEEKDAY(BK334-VLOOKUP($P334&amp;" | "&amp;BB$6,'Job Master'!$F$12:$I$102,4,0))&lt;&gt;7,BK334-VLOOKUP($P334&amp;" | "&amp;BB$6,'Job Master'!$F$12:$I$102,4,0),BK334-VLOOKUP($P334&amp;" | "&amp;BB$6,'Job Master'!$F$12:$I$102,4,0)-1),""),"")</f>
        <v/>
      </c>
      <c r="BE334" s="73"/>
      <c r="BF334" s="123" t="str">
        <f t="shared" si="657"/>
        <v/>
      </c>
      <c r="BG334" s="123" t="str">
        <f t="shared" si="658"/>
        <v/>
      </c>
      <c r="BH334" s="97" t="str">
        <f t="shared" ca="1" si="659"/>
        <v/>
      </c>
      <c r="BI334" s="98" t="str">
        <f>IF(BK334&lt;&gt;"",VLOOKUP($P334&amp;" | "&amp;BI$6,'Job Master'!$F$12:$J$102,5,0),"")</f>
        <v/>
      </c>
      <c r="BJ334" s="19" t="str">
        <f>IF(BK334&lt;&gt;"",VLOOKUP($P334&amp;" | "&amp;BI$6,'Job Master'!$F$12:$J$102,3,0),"")</f>
        <v/>
      </c>
      <c r="BK334" s="19" t="str">
        <f>IFERROR(IF(AND(BR334&lt;&gt;"",VLOOKUP($P334&amp;" | "&amp;BI$6,'Job Master'!$F$12:$I$102,4,0)&lt;&gt;""),IF(WEEKDAY(BR334-VLOOKUP($P334&amp;" | "&amp;BI$6,'Job Master'!$F$12:$I$102,4,0))&lt;&gt;7,BR334-VLOOKUP($P334&amp;" | "&amp;BI$6,'Job Master'!$F$12:$I$102,4,0),BR334-VLOOKUP($P334&amp;" | "&amp;BI$6,'Job Master'!$F$12:$I$102,4,0)-1),""),"")</f>
        <v/>
      </c>
      <c r="BL334" s="73"/>
      <c r="BM334" s="123" t="str">
        <f t="shared" si="660"/>
        <v/>
      </c>
      <c r="BN334" s="123" t="str">
        <f t="shared" si="661"/>
        <v/>
      </c>
      <c r="BO334" s="97" t="str">
        <f t="shared" ca="1" si="662"/>
        <v/>
      </c>
      <c r="BP334" s="98" t="str">
        <f>IF(BR334&lt;&gt;"",VLOOKUP($P334&amp;" | "&amp;BP$6,'Job Master'!$F$12:$J$102,5,0),"")</f>
        <v/>
      </c>
      <c r="BQ334" s="19" t="str">
        <f>IF(BR334&lt;&gt;"",VLOOKUP($P334&amp;" | "&amp;BP$6,'Job Master'!$F$12:$J$102,3,0),"")</f>
        <v/>
      </c>
      <c r="BR334" s="19" t="str">
        <f>IFERROR(IF(AND(BY334&lt;&gt;"",VLOOKUP($P334&amp;" | "&amp;BP$6,'Job Master'!$F$12:$I$102,4,0)&lt;&gt;""),IF(WEEKDAY(BY334-VLOOKUP($P334&amp;" | "&amp;BP$6,'Job Master'!$F$12:$I$102,4,0))&lt;&gt;7,BY334-VLOOKUP($P334&amp;" | "&amp;BP$6,'Job Master'!$F$12:$I$102,4,0),BY334-VLOOKUP($P334&amp;" | "&amp;BP$6,'Job Master'!$F$12:$I$102,4,0)-1),""),"")</f>
        <v/>
      </c>
      <c r="BS334" s="73"/>
      <c r="BT334" s="123" t="str">
        <f t="shared" si="663"/>
        <v/>
      </c>
      <c r="BU334" s="123" t="str">
        <f t="shared" si="664"/>
        <v/>
      </c>
      <c r="BV334" s="97" t="str">
        <f t="shared" ca="1" si="665"/>
        <v/>
      </c>
      <c r="BW334" s="98" t="str">
        <f>IF(BY334&lt;&gt;"",VLOOKUP($P334&amp;" | "&amp;BW$6,'Job Master'!$F$12:$J$102,5,0),"")</f>
        <v/>
      </c>
      <c r="BX334" s="19" t="str">
        <f>IF(BY334&lt;&gt;"",VLOOKUP($P334&amp;" | "&amp;BW$6,'Job Master'!$F$12:$J$102,3,0),"")</f>
        <v/>
      </c>
      <c r="BY334" s="19" t="str">
        <f>IFERROR(IF(AND(CF334&lt;&gt;"",VLOOKUP($P334&amp;" | "&amp;BW$6,'Job Master'!$F$12:$I$102,4,0)&lt;&gt;""),IF(WEEKDAY(CF334-VLOOKUP($P334&amp;" | "&amp;BW$6,'Job Master'!$F$12:$I$102,4,0))&lt;&gt;7,CF334-VLOOKUP($P334&amp;" | "&amp;BW$6,'Job Master'!$F$12:$I$102,4,0),CF334-VLOOKUP($P334&amp;" | "&amp;BW$6,'Job Master'!$F$12:$I$102,4,0)-1),""),"")</f>
        <v/>
      </c>
      <c r="BZ334" s="73"/>
      <c r="CA334" s="123" t="str">
        <f t="shared" si="666"/>
        <v/>
      </c>
      <c r="CB334" s="123" t="str">
        <f t="shared" si="667"/>
        <v/>
      </c>
      <c r="CC334" s="97" t="str">
        <f t="shared" ca="1" si="668"/>
        <v/>
      </c>
      <c r="CD334" s="98" t="str">
        <f>IF(CF334&lt;&gt;"",VLOOKUP($P334&amp;" | "&amp;CD$6,'Job Master'!$F$12:$J$102,5,0),"")</f>
        <v/>
      </c>
      <c r="CE334" s="19" t="str">
        <f>IF(CF334&lt;&gt;"",VLOOKUP($P334&amp;" | "&amp;CD$6,'Job Master'!$F$12:$J$102,3,0),"")</f>
        <v/>
      </c>
      <c r="CF334" s="19" t="str">
        <f>IFERROR(IF(AND(CM334&lt;&gt;"",VLOOKUP($P334&amp;" | "&amp;CD$6,'Job Master'!$F$12:$I$102,4,0)&lt;&gt;""),IF(WEEKDAY(CM334-VLOOKUP($P334&amp;" | "&amp;CD$6,'Job Master'!$F$12:$I$102,4,0))&lt;&gt;7,CM334-VLOOKUP($P334&amp;" | "&amp;CD$6,'Job Master'!$F$12:$I$102,4,0),CM334-VLOOKUP($P334&amp;" | "&amp;CD$6,'Job Master'!$F$12:$I$102,4,0)-1),""),"")</f>
        <v/>
      </c>
      <c r="CG334" s="73"/>
      <c r="CH334" s="123" t="str">
        <f t="shared" si="669"/>
        <v/>
      </c>
      <c r="CI334" s="123" t="str">
        <f t="shared" si="670"/>
        <v/>
      </c>
      <c r="CJ334" s="97" t="str">
        <f t="shared" ca="1" si="671"/>
        <v/>
      </c>
      <c r="CK334" s="98" t="str">
        <f>IF(CM334&lt;&gt;"",VLOOKUP($P334&amp;" | "&amp;CK$6,'Job Master'!$F$12:$J$102,5,0),"")</f>
        <v/>
      </c>
      <c r="CL334" s="19" t="str">
        <f>IF(CM334&lt;&gt;"",VLOOKUP($P334&amp;" | "&amp;CK$6,'Job Master'!$F$12:$J$102,3,0),"")</f>
        <v/>
      </c>
      <c r="CM334" s="19" t="str">
        <f>IFERROR(IF(AND(CT334&lt;&gt;"",VLOOKUP($P334&amp;" | "&amp;CK$6,'Job Master'!$F$12:$I$102,4,0)&lt;&gt;""),IF(WEEKDAY(CT334-VLOOKUP($P334&amp;" | "&amp;CK$6,'Job Master'!$F$12:$I$102,4,0))&lt;&gt;7,CT334-VLOOKUP($P334&amp;" | "&amp;CK$6,'Job Master'!$F$12:$I$102,4,0),CT334-VLOOKUP($P334&amp;" | "&amp;CK$6,'Job Master'!$F$12:$I$102,4,0)-1),""),"")</f>
        <v/>
      </c>
      <c r="CN334" s="73"/>
      <c r="CO334" s="123" t="str">
        <f t="shared" si="672"/>
        <v/>
      </c>
      <c r="CP334" s="123" t="str">
        <f t="shared" si="673"/>
        <v/>
      </c>
      <c r="CQ334" s="97" t="str">
        <f t="shared" ca="1" si="674"/>
        <v/>
      </c>
      <c r="CR334" s="98" t="str">
        <f>IF(CT334&lt;&gt;"",VLOOKUP($P334&amp;" | "&amp;CR$6,'Job Master'!$F$12:$J$102,5,0),"")</f>
        <v/>
      </c>
      <c r="CS334" s="19" t="str">
        <f>IF(CT334&lt;&gt;"",VLOOKUP($P334&amp;" | "&amp;CR$6,'Job Master'!$F$12:$J$102,3,0),"")</f>
        <v/>
      </c>
      <c r="CT334" s="19" t="str">
        <f>IFERROR(IF(AND(DA334&lt;&gt;"",VLOOKUP($P334&amp;" | "&amp;CR$6,'Job Master'!$F$12:$I$102,4,0)&lt;&gt;""),IF(WEEKDAY(DA334-VLOOKUP($P334&amp;" | "&amp;CR$6,'Job Master'!$F$12:$I$102,4,0))&lt;&gt;7,DA334-VLOOKUP($P334&amp;" | "&amp;CR$6,'Job Master'!$F$12:$I$102,4,0),DA334-VLOOKUP($P334&amp;" | "&amp;CR$6,'Job Master'!$F$12:$I$102,4,0)-1),""),"")</f>
        <v/>
      </c>
      <c r="CU334" s="73"/>
      <c r="CV334" s="123" t="str">
        <f t="shared" si="675"/>
        <v/>
      </c>
      <c r="CW334" s="123" t="str">
        <f t="shared" si="676"/>
        <v/>
      </c>
      <c r="CX334" s="97" t="str">
        <f t="shared" ca="1" si="677"/>
        <v/>
      </c>
      <c r="CY334" s="98" t="str">
        <f>IF(DA334&lt;&gt;"",VLOOKUP($P334&amp;" | "&amp;CY$6,'Job Master'!$F$12:$J$102,5,0),"")</f>
        <v/>
      </c>
      <c r="CZ334" s="19" t="str">
        <f>IF(DA334&lt;&gt;"",VLOOKUP($P334&amp;" | "&amp;CY$6,'Job Master'!$F$12:$J$102,3,0),"")</f>
        <v/>
      </c>
      <c r="DA334" s="19" t="str">
        <f>IFERROR(IF(AND(DH334&lt;&gt;"",VLOOKUP($P334&amp;" | "&amp;CY$6,'Job Master'!$F$12:$I$102,4,0)&lt;&gt;""),IF(WEEKDAY(DH334-VLOOKUP($P334&amp;" | "&amp;CY$6,'Job Master'!$F$12:$I$102,4,0))&lt;&gt;7,DH334-VLOOKUP($P334&amp;" | "&amp;CY$6,'Job Master'!$F$12:$I$102,4,0),DH334-VLOOKUP($P334&amp;" | "&amp;CY$6,'Job Master'!$F$12:$I$102,4,0)-1),""),"")</f>
        <v/>
      </c>
      <c r="DB334" s="73"/>
      <c r="DC334" s="123" t="str">
        <f t="shared" si="678"/>
        <v/>
      </c>
      <c r="DD334" s="123" t="str">
        <f t="shared" si="679"/>
        <v/>
      </c>
      <c r="DE334" s="97" t="str">
        <f t="shared" ca="1" si="680"/>
        <v/>
      </c>
      <c r="DF334" s="98" t="str">
        <f>IF(DH334&lt;&gt;"",VLOOKUP($P334&amp;" | "&amp;DF$6,'Job Master'!$F$12:$J$102,5,0),"")</f>
        <v/>
      </c>
      <c r="DG334" s="19" t="str">
        <f>IF(DH334&lt;&gt;"",VLOOKUP($P334&amp;" | "&amp;DF$6,'Job Master'!$F$12:$J$102,3,0),"")</f>
        <v/>
      </c>
      <c r="DH334" s="19" t="str">
        <f>IFERROR(IF(AND(DO334&lt;&gt;"",VLOOKUP($P334&amp;" | "&amp;DF$6,'Job Master'!$F$12:$I$102,4,0)&lt;&gt;""),IF(WEEKDAY(DO334-VLOOKUP($P334&amp;" | "&amp;DF$6,'Job Master'!$F$12:$I$102,4,0))&lt;&gt;7,DO334-VLOOKUP($P334&amp;" | "&amp;DF$6,'Job Master'!$F$12:$I$102,4,0),DO334-VLOOKUP($P334&amp;" | "&amp;DF$6,'Job Master'!$F$12:$I$102,4,0)-1),""),"")</f>
        <v/>
      </c>
      <c r="DI334" s="73"/>
      <c r="DJ334" s="123" t="str">
        <f t="shared" si="681"/>
        <v/>
      </c>
      <c r="DK334" s="123" t="str">
        <f t="shared" si="682"/>
        <v/>
      </c>
      <c r="DL334" s="97" t="str">
        <f t="shared" ca="1" si="683"/>
        <v/>
      </c>
      <c r="DM334" s="98" t="str">
        <f>IF(DO334&lt;&gt;"",VLOOKUP($P334&amp;" | "&amp;DM$6,'Job Master'!$F$12:$J$102,5,0),"")</f>
        <v/>
      </c>
      <c r="DN334" s="19" t="str">
        <f>IF(DO334&lt;&gt;"",VLOOKUP($P334&amp;" | "&amp;DM$6,'Job Master'!$F$12:$J$102,3,0),"")</f>
        <v/>
      </c>
      <c r="DO334" s="19" t="str">
        <f>IFERROR(IF(AND(DT334&lt;&gt;"",VLOOKUP($P334&amp;" | "&amp;DM$6,'Job Master'!$F$12:$I$102,4,0)&lt;&gt;""),IF(WEEKDAY(DT334-VLOOKUP($P334&amp;" | "&amp;DM$6,'Job Master'!$F$12:$I$102,4,0))&lt;&gt;7,DT334-VLOOKUP($P334&amp;" | "&amp;DM$6,'Job Master'!$F$12:$I$102,4,0),DT334-VLOOKUP($P334&amp;" | "&amp;DM$6,'Job Master'!$F$12:$I$102,4,0)-1),""),"")</f>
        <v/>
      </c>
      <c r="DP334" s="73"/>
      <c r="DQ334" s="123" t="str">
        <f t="shared" si="684"/>
        <v/>
      </c>
      <c r="DR334" s="123" t="str">
        <f t="shared" si="685"/>
        <v/>
      </c>
      <c r="DS334" s="97" t="str">
        <f t="shared" ca="1" si="686"/>
        <v/>
      </c>
      <c r="DT334" s="70" t="str">
        <f t="shared" si="687"/>
        <v/>
      </c>
      <c r="DU334" s="90"/>
      <c r="DV334" s="123" t="str">
        <f t="shared" si="688"/>
        <v/>
      </c>
      <c r="DW334" s="123" t="str">
        <f t="shared" si="689"/>
        <v/>
      </c>
      <c r="DX334" s="132" t="str">
        <f t="shared" ref="DX334" ca="1" si="696">IF(DT334&lt;&gt;"",IF(WEEKNUM(DT334)=WEEKNUM(TODAY()),"This Week",IF(WEEKNUM(DT334)=WEEKNUM(TODAY())+1,"Next Week",IF(WEEKNUM(DT334)=WEEKNUM(TODAY())-1,"Previous Week",""))),"")</f>
        <v/>
      </c>
      <c r="DY334" s="134" t="str">
        <f t="shared" si="691"/>
        <v/>
      </c>
      <c r="DZ334" s="95"/>
      <c r="EB334" s="8" t="str">
        <f t="shared" ref="EB334:EB397" si="697">IF(Y334&lt;&gt;"",Y334,"")</f>
        <v/>
      </c>
      <c r="EC334" s="8" t="str">
        <f>IF(O334&lt;&gt;"",VLOOKUP(O334,'Job Master'!$N$12:$O$18,2,0),"")</f>
        <v/>
      </c>
      <c r="ED334" s="8">
        <f t="shared" ref="ED334:ED397" si="698">IF(EC334&lt;&gt;"",IF(EF334&gt;EC334,EB334,MOD(EB334,EC334)),ED333)</f>
        <v>19.5</v>
      </c>
      <c r="EE334" s="8">
        <f t="shared" ref="EE334:EE397" si="699">IF(EC334&lt;&gt;"",EC334,IF(EE333&lt;&gt;"",EE333,""))</f>
        <v>6</v>
      </c>
      <c r="EF334" s="8">
        <f t="shared" ref="EF334:EF397" si="700">IF(EC334&lt;&gt;"",EB334,IF(EF333&lt;&gt;"",EF333-EE334,""))</f>
        <v>-1924.5</v>
      </c>
      <c r="EG334" s="8" t="str">
        <f t="shared" ref="EG334:EG397" si="701">IF(EF333&lt;&gt;0,IF(EF334&gt;0,EF334,""),IF(EF334&lt;&gt;"",IF(EF334&gt;0,EF334,""),""))</f>
        <v/>
      </c>
      <c r="EH334" s="8" t="str">
        <f t="shared" ref="EH334:EH397" si="702">IF(EG334&lt;&gt;"",IF(EG334&gt;=EE334,EE334,MOD(ED334,EE334)),"")</f>
        <v/>
      </c>
    </row>
    <row r="335" spans="2:138" x14ac:dyDescent="0.3">
      <c r="B335" s="112"/>
      <c r="C335" s="27"/>
      <c r="D335" s="7" t="str">
        <f t="shared" si="639"/>
        <v/>
      </c>
      <c r="E335" s="25"/>
      <c r="F335" s="7" t="str">
        <f t="shared" si="639"/>
        <v/>
      </c>
      <c r="G335" s="25"/>
      <c r="H335" s="7" t="str">
        <f t="shared" si="639"/>
        <v/>
      </c>
      <c r="I335" s="25"/>
      <c r="J335" s="7" t="str">
        <f t="shared" si="639"/>
        <v/>
      </c>
      <c r="K335" s="25"/>
      <c r="L335" s="7" t="str">
        <f t="shared" si="640"/>
        <v/>
      </c>
      <c r="M335" s="25"/>
      <c r="N335" s="7" t="str">
        <f t="shared" si="641"/>
        <v/>
      </c>
      <c r="O335" s="81"/>
      <c r="P335" s="81" t="str">
        <f t="shared" si="642"/>
        <v/>
      </c>
      <c r="Q335" s="81"/>
      <c r="R335" s="7" t="str">
        <f t="shared" si="643"/>
        <v/>
      </c>
      <c r="S335" s="25"/>
      <c r="T335" s="7" t="str">
        <f t="shared" si="644"/>
        <v/>
      </c>
      <c r="U335" s="25"/>
      <c r="V335" s="7" t="str">
        <f t="shared" si="645"/>
        <v/>
      </c>
      <c r="W335" s="25"/>
      <c r="X335" s="7" t="str">
        <f t="shared" si="646"/>
        <v/>
      </c>
      <c r="Y335" s="18" t="str">
        <f t="shared" si="647"/>
        <v/>
      </c>
      <c r="Z335" s="7" t="str">
        <f t="shared" si="648"/>
        <v/>
      </c>
      <c r="AA335" s="18" t="str">
        <f t="shared" si="649"/>
        <v/>
      </c>
      <c r="AB335" s="19" t="str">
        <f t="shared" si="650"/>
        <v/>
      </c>
      <c r="AC335" s="26"/>
      <c r="AD335" s="26"/>
      <c r="AE335" s="25"/>
      <c r="AF335" s="26"/>
      <c r="AG335" s="25"/>
      <c r="AH335" s="25"/>
      <c r="AI335" s="18" t="str">
        <f t="shared" si="587"/>
        <v/>
      </c>
      <c r="AJ335" s="25"/>
      <c r="AK335" s="18" t="str">
        <f t="shared" si="588"/>
        <v/>
      </c>
      <c r="AL335" s="79"/>
      <c r="AM335" s="126" t="str">
        <f t="shared" si="589"/>
        <v/>
      </c>
      <c r="AN335" s="128" t="str">
        <f>IF(AP335&lt;&gt;"",VLOOKUP($P335&amp;" | "&amp;AN$6,'Job Master'!$F$12:$J$102,5,0),"")</f>
        <v/>
      </c>
      <c r="AO335" s="19" t="str">
        <f>IF(AP335&lt;&gt;"",VLOOKUP($P335&amp;" | "&amp;AN$6,'Job Master'!$F$12:$J$102,3,0),"")</f>
        <v/>
      </c>
      <c r="AP335" s="19" t="str">
        <f>IFERROR(IF(AND(AW335&lt;&gt;"",VLOOKUP($P335&amp;" | "&amp;AN$6,'Job Master'!$F$12:$I$102,4,0)&lt;&gt;""),IF(WEEKDAY(AW335-VLOOKUP($P335&amp;" | "&amp;AN$6,'Job Master'!$F$12:$I$102,4,0))&lt;&gt;7,AW335-VLOOKUP($P335&amp;" | "&amp;AN$6,'Job Master'!$F$12:$I$102,4,0),AW335-VLOOKUP($P335&amp;" | "&amp;AN$6,'Job Master'!$F$12:$I$102,4,0)-1),""),"")</f>
        <v/>
      </c>
      <c r="AQ335" s="73"/>
      <c r="AR335" s="123" t="str">
        <f t="shared" si="651"/>
        <v/>
      </c>
      <c r="AS335" s="123" t="str">
        <f t="shared" si="652"/>
        <v/>
      </c>
      <c r="AT335" s="97" t="str">
        <f t="shared" ca="1" si="653"/>
        <v/>
      </c>
      <c r="AU335" s="98" t="str">
        <f>IF(AW335&lt;&gt;"",VLOOKUP($P335&amp;" | "&amp;AU$6,'Job Master'!$F$12:$J$102,5,0),"")</f>
        <v/>
      </c>
      <c r="AV335" s="19" t="str">
        <f>IF(AW335&lt;&gt;"",VLOOKUP($P335&amp;" | "&amp;AU$6,'Job Master'!$F$12:$J$102,3,0),"")</f>
        <v/>
      </c>
      <c r="AW335" s="19" t="str">
        <f>IFERROR(IF(AND(BD335&lt;&gt;"",VLOOKUP($P335&amp;" | "&amp;AU$6,'Job Master'!$F$12:$I$102,4,0)&lt;&gt;""),IF(WEEKDAY(BD335-VLOOKUP($P335&amp;" | "&amp;AU$6,'Job Master'!$F$12:$I$102,4,0))&lt;&gt;7,BD335-VLOOKUP($P335&amp;" | "&amp;AU$6,'Job Master'!$F$12:$I$102,4,0),BD335-VLOOKUP($P335&amp;" | "&amp;AU$6,'Job Master'!$F$12:$I$102,4,0)-1),""),"")</f>
        <v/>
      </c>
      <c r="AX335" s="73"/>
      <c r="AY335" s="123" t="str">
        <f t="shared" si="654"/>
        <v/>
      </c>
      <c r="AZ335" s="123" t="str">
        <f t="shared" si="655"/>
        <v/>
      </c>
      <c r="BA335" s="97" t="str">
        <f t="shared" ca="1" si="656"/>
        <v/>
      </c>
      <c r="BB335" s="98" t="str">
        <f>IF(BD335&lt;&gt;"",VLOOKUP($P335&amp;" | "&amp;BB$6,'Job Master'!$F$12:$J$102,5,0),"")</f>
        <v/>
      </c>
      <c r="BC335" s="19" t="str">
        <f>IF(BD335&lt;&gt;"",VLOOKUP($P335&amp;" | "&amp;BB$6,'Job Master'!$F$12:$J$102,3,0),"")</f>
        <v/>
      </c>
      <c r="BD335" s="19" t="str">
        <f>IFERROR(IF(AND(BK335&lt;&gt;"",VLOOKUP($P335&amp;" | "&amp;BB$6,'Job Master'!$F$12:$I$102,4,0)&lt;&gt;""),IF(WEEKDAY(BK335-VLOOKUP($P335&amp;" | "&amp;BB$6,'Job Master'!$F$12:$I$102,4,0))&lt;&gt;7,BK335-VLOOKUP($P335&amp;" | "&amp;BB$6,'Job Master'!$F$12:$I$102,4,0),BK335-VLOOKUP($P335&amp;" | "&amp;BB$6,'Job Master'!$F$12:$I$102,4,0)-1),""),"")</f>
        <v/>
      </c>
      <c r="BE335" s="73"/>
      <c r="BF335" s="123" t="str">
        <f t="shared" si="657"/>
        <v/>
      </c>
      <c r="BG335" s="123" t="str">
        <f t="shared" si="658"/>
        <v/>
      </c>
      <c r="BH335" s="97" t="str">
        <f t="shared" ca="1" si="659"/>
        <v/>
      </c>
      <c r="BI335" s="98" t="str">
        <f>IF(BK335&lt;&gt;"",VLOOKUP($P335&amp;" | "&amp;BI$6,'Job Master'!$F$12:$J$102,5,0),"")</f>
        <v/>
      </c>
      <c r="BJ335" s="19" t="str">
        <f>IF(BK335&lt;&gt;"",VLOOKUP($P335&amp;" | "&amp;BI$6,'Job Master'!$F$12:$J$102,3,0),"")</f>
        <v/>
      </c>
      <c r="BK335" s="19" t="str">
        <f>IFERROR(IF(AND(BR335&lt;&gt;"",VLOOKUP($P335&amp;" | "&amp;BI$6,'Job Master'!$F$12:$I$102,4,0)&lt;&gt;""),IF(WEEKDAY(BR335-VLOOKUP($P335&amp;" | "&amp;BI$6,'Job Master'!$F$12:$I$102,4,0))&lt;&gt;7,BR335-VLOOKUP($P335&amp;" | "&amp;BI$6,'Job Master'!$F$12:$I$102,4,0),BR335-VLOOKUP($P335&amp;" | "&amp;BI$6,'Job Master'!$F$12:$I$102,4,0)-1),""),"")</f>
        <v/>
      </c>
      <c r="BL335" s="73"/>
      <c r="BM335" s="123" t="str">
        <f t="shared" si="660"/>
        <v/>
      </c>
      <c r="BN335" s="123" t="str">
        <f t="shared" si="661"/>
        <v/>
      </c>
      <c r="BO335" s="97" t="str">
        <f t="shared" ca="1" si="662"/>
        <v/>
      </c>
      <c r="BP335" s="98" t="str">
        <f>IF(BR335&lt;&gt;"",VLOOKUP($P335&amp;" | "&amp;BP$6,'Job Master'!$F$12:$J$102,5,0),"")</f>
        <v/>
      </c>
      <c r="BQ335" s="19" t="str">
        <f>IF(BR335&lt;&gt;"",VLOOKUP($P335&amp;" | "&amp;BP$6,'Job Master'!$F$12:$J$102,3,0),"")</f>
        <v/>
      </c>
      <c r="BR335" s="19" t="str">
        <f>IFERROR(IF(AND(BY335&lt;&gt;"",VLOOKUP($P335&amp;" | "&amp;BP$6,'Job Master'!$F$12:$I$102,4,0)&lt;&gt;""),IF(WEEKDAY(BY335-VLOOKUP($P335&amp;" | "&amp;BP$6,'Job Master'!$F$12:$I$102,4,0))&lt;&gt;7,BY335-VLOOKUP($P335&amp;" | "&amp;BP$6,'Job Master'!$F$12:$I$102,4,0),BY335-VLOOKUP($P335&amp;" | "&amp;BP$6,'Job Master'!$F$12:$I$102,4,0)-1),""),"")</f>
        <v/>
      </c>
      <c r="BS335" s="73"/>
      <c r="BT335" s="123" t="str">
        <f t="shared" si="663"/>
        <v/>
      </c>
      <c r="BU335" s="123" t="str">
        <f t="shared" si="664"/>
        <v/>
      </c>
      <c r="BV335" s="97" t="str">
        <f t="shared" ca="1" si="665"/>
        <v/>
      </c>
      <c r="BW335" s="98" t="str">
        <f>IF(BY335&lt;&gt;"",VLOOKUP($P335&amp;" | "&amp;BW$6,'Job Master'!$F$12:$J$102,5,0),"")</f>
        <v/>
      </c>
      <c r="BX335" s="19" t="str">
        <f>IF(BY335&lt;&gt;"",VLOOKUP($P335&amp;" | "&amp;BW$6,'Job Master'!$F$12:$J$102,3,0),"")</f>
        <v/>
      </c>
      <c r="BY335" s="19" t="str">
        <f>IFERROR(IF(AND(CF335&lt;&gt;"",VLOOKUP($P335&amp;" | "&amp;BW$6,'Job Master'!$F$12:$I$102,4,0)&lt;&gt;""),IF(WEEKDAY(CF335-VLOOKUP($P335&amp;" | "&amp;BW$6,'Job Master'!$F$12:$I$102,4,0))&lt;&gt;7,CF335-VLOOKUP($P335&amp;" | "&amp;BW$6,'Job Master'!$F$12:$I$102,4,0),CF335-VLOOKUP($P335&amp;" | "&amp;BW$6,'Job Master'!$F$12:$I$102,4,0)-1),""),"")</f>
        <v/>
      </c>
      <c r="BZ335" s="73"/>
      <c r="CA335" s="123" t="str">
        <f t="shared" si="666"/>
        <v/>
      </c>
      <c r="CB335" s="123" t="str">
        <f t="shared" si="667"/>
        <v/>
      </c>
      <c r="CC335" s="97" t="str">
        <f t="shared" ca="1" si="668"/>
        <v/>
      </c>
      <c r="CD335" s="98" t="str">
        <f>IF(CF335&lt;&gt;"",VLOOKUP($P335&amp;" | "&amp;CD$6,'Job Master'!$F$12:$J$102,5,0),"")</f>
        <v/>
      </c>
      <c r="CE335" s="19" t="str">
        <f>IF(CF335&lt;&gt;"",VLOOKUP($P335&amp;" | "&amp;CD$6,'Job Master'!$F$12:$J$102,3,0),"")</f>
        <v/>
      </c>
      <c r="CF335" s="19" t="str">
        <f>IFERROR(IF(AND(CM335&lt;&gt;"",VLOOKUP($P335&amp;" | "&amp;CD$6,'Job Master'!$F$12:$I$102,4,0)&lt;&gt;""),IF(WEEKDAY(CM335-VLOOKUP($P335&amp;" | "&amp;CD$6,'Job Master'!$F$12:$I$102,4,0))&lt;&gt;7,CM335-VLOOKUP($P335&amp;" | "&amp;CD$6,'Job Master'!$F$12:$I$102,4,0),CM335-VLOOKUP($P335&amp;" | "&amp;CD$6,'Job Master'!$F$12:$I$102,4,0)-1),""),"")</f>
        <v/>
      </c>
      <c r="CG335" s="73"/>
      <c r="CH335" s="123" t="str">
        <f t="shared" si="669"/>
        <v/>
      </c>
      <c r="CI335" s="123" t="str">
        <f t="shared" si="670"/>
        <v/>
      </c>
      <c r="CJ335" s="97" t="str">
        <f t="shared" ca="1" si="671"/>
        <v/>
      </c>
      <c r="CK335" s="98" t="str">
        <f>IF(CM335&lt;&gt;"",VLOOKUP($P335&amp;" | "&amp;CK$6,'Job Master'!$F$12:$J$102,5,0),"")</f>
        <v/>
      </c>
      <c r="CL335" s="19" t="str">
        <f>IF(CM335&lt;&gt;"",VLOOKUP($P335&amp;" | "&amp;CK$6,'Job Master'!$F$12:$J$102,3,0),"")</f>
        <v/>
      </c>
      <c r="CM335" s="19" t="str">
        <f>IFERROR(IF(AND(CT335&lt;&gt;"",VLOOKUP($P335&amp;" | "&amp;CK$6,'Job Master'!$F$12:$I$102,4,0)&lt;&gt;""),IF(WEEKDAY(CT335-VLOOKUP($P335&amp;" | "&amp;CK$6,'Job Master'!$F$12:$I$102,4,0))&lt;&gt;7,CT335-VLOOKUP($P335&amp;" | "&amp;CK$6,'Job Master'!$F$12:$I$102,4,0),CT335-VLOOKUP($P335&amp;" | "&amp;CK$6,'Job Master'!$F$12:$I$102,4,0)-1),""),"")</f>
        <v/>
      </c>
      <c r="CN335" s="73"/>
      <c r="CO335" s="123" t="str">
        <f t="shared" si="672"/>
        <v/>
      </c>
      <c r="CP335" s="123" t="str">
        <f t="shared" si="673"/>
        <v/>
      </c>
      <c r="CQ335" s="97" t="str">
        <f t="shared" ca="1" si="674"/>
        <v/>
      </c>
      <c r="CR335" s="98" t="str">
        <f>IF(CT335&lt;&gt;"",VLOOKUP($P335&amp;" | "&amp;CR$6,'Job Master'!$F$12:$J$102,5,0),"")</f>
        <v/>
      </c>
      <c r="CS335" s="19" t="str">
        <f>IF(CT335&lt;&gt;"",VLOOKUP($P335&amp;" | "&amp;CR$6,'Job Master'!$F$12:$J$102,3,0),"")</f>
        <v/>
      </c>
      <c r="CT335" s="19" t="str">
        <f>IFERROR(IF(AND(DA335&lt;&gt;"",VLOOKUP($P335&amp;" | "&amp;CR$6,'Job Master'!$F$12:$I$102,4,0)&lt;&gt;""),IF(WEEKDAY(DA335-VLOOKUP($P335&amp;" | "&amp;CR$6,'Job Master'!$F$12:$I$102,4,0))&lt;&gt;7,DA335-VLOOKUP($P335&amp;" | "&amp;CR$6,'Job Master'!$F$12:$I$102,4,0),DA335-VLOOKUP($P335&amp;" | "&amp;CR$6,'Job Master'!$F$12:$I$102,4,0)-1),""),"")</f>
        <v/>
      </c>
      <c r="CU335" s="73"/>
      <c r="CV335" s="123" t="str">
        <f t="shared" si="675"/>
        <v/>
      </c>
      <c r="CW335" s="123" t="str">
        <f t="shared" si="676"/>
        <v/>
      </c>
      <c r="CX335" s="97" t="str">
        <f t="shared" ca="1" si="677"/>
        <v/>
      </c>
      <c r="CY335" s="98" t="str">
        <f>IF(DA335&lt;&gt;"",VLOOKUP($P335&amp;" | "&amp;CY$6,'Job Master'!$F$12:$J$102,5,0),"")</f>
        <v/>
      </c>
      <c r="CZ335" s="19" t="str">
        <f>IF(DA335&lt;&gt;"",VLOOKUP($P335&amp;" | "&amp;CY$6,'Job Master'!$F$12:$J$102,3,0),"")</f>
        <v/>
      </c>
      <c r="DA335" s="19" t="str">
        <f>IFERROR(IF(AND(DH335&lt;&gt;"",VLOOKUP($P335&amp;" | "&amp;CY$6,'Job Master'!$F$12:$I$102,4,0)&lt;&gt;""),IF(WEEKDAY(DH335-VLOOKUP($P335&amp;" | "&amp;CY$6,'Job Master'!$F$12:$I$102,4,0))&lt;&gt;7,DH335-VLOOKUP($P335&amp;" | "&amp;CY$6,'Job Master'!$F$12:$I$102,4,0),DH335-VLOOKUP($P335&amp;" | "&amp;CY$6,'Job Master'!$F$12:$I$102,4,0)-1),""),"")</f>
        <v/>
      </c>
      <c r="DB335" s="73"/>
      <c r="DC335" s="123" t="str">
        <f t="shared" si="678"/>
        <v/>
      </c>
      <c r="DD335" s="123" t="str">
        <f t="shared" si="679"/>
        <v/>
      </c>
      <c r="DE335" s="97" t="str">
        <f t="shared" ca="1" si="680"/>
        <v/>
      </c>
      <c r="DF335" s="98" t="str">
        <f>IF(DH335&lt;&gt;"",VLOOKUP($P335&amp;" | "&amp;DF$6,'Job Master'!$F$12:$J$102,5,0),"")</f>
        <v/>
      </c>
      <c r="DG335" s="19" t="str">
        <f>IF(DH335&lt;&gt;"",VLOOKUP($P335&amp;" | "&amp;DF$6,'Job Master'!$F$12:$J$102,3,0),"")</f>
        <v/>
      </c>
      <c r="DH335" s="19" t="str">
        <f>IFERROR(IF(AND(DO335&lt;&gt;"",VLOOKUP($P335&amp;" | "&amp;DF$6,'Job Master'!$F$12:$I$102,4,0)&lt;&gt;""),IF(WEEKDAY(DO335-VLOOKUP($P335&amp;" | "&amp;DF$6,'Job Master'!$F$12:$I$102,4,0))&lt;&gt;7,DO335-VLOOKUP($P335&amp;" | "&amp;DF$6,'Job Master'!$F$12:$I$102,4,0),DO335-VLOOKUP($P335&amp;" | "&amp;DF$6,'Job Master'!$F$12:$I$102,4,0)-1),""),"")</f>
        <v/>
      </c>
      <c r="DI335" s="73"/>
      <c r="DJ335" s="123" t="str">
        <f t="shared" si="681"/>
        <v/>
      </c>
      <c r="DK335" s="123" t="str">
        <f t="shared" si="682"/>
        <v/>
      </c>
      <c r="DL335" s="97" t="str">
        <f t="shared" ca="1" si="683"/>
        <v/>
      </c>
      <c r="DM335" s="98" t="str">
        <f>IF(DO335&lt;&gt;"",VLOOKUP($P335&amp;" | "&amp;DM$6,'Job Master'!$F$12:$J$102,5,0),"")</f>
        <v/>
      </c>
      <c r="DN335" s="19" t="str">
        <f>IF(DO335&lt;&gt;"",VLOOKUP($P335&amp;" | "&amp;DM$6,'Job Master'!$F$12:$J$102,3,0),"")</f>
        <v/>
      </c>
      <c r="DO335" s="19" t="str">
        <f>IFERROR(IF(AND(DT335&lt;&gt;"",VLOOKUP($P335&amp;" | "&amp;DM$6,'Job Master'!$F$12:$I$102,4,0)&lt;&gt;""),IF(WEEKDAY(DT335-VLOOKUP($P335&amp;" | "&amp;DM$6,'Job Master'!$F$12:$I$102,4,0))&lt;&gt;7,DT335-VLOOKUP($P335&amp;" | "&amp;DM$6,'Job Master'!$F$12:$I$102,4,0),DT335-VLOOKUP($P335&amp;" | "&amp;DM$6,'Job Master'!$F$12:$I$102,4,0)-1),""),"")</f>
        <v/>
      </c>
      <c r="DP335" s="73"/>
      <c r="DQ335" s="123" t="str">
        <f t="shared" si="684"/>
        <v/>
      </c>
      <c r="DR335" s="123" t="str">
        <f t="shared" si="685"/>
        <v/>
      </c>
      <c r="DS335" s="97" t="str">
        <f t="shared" ca="1" si="686"/>
        <v/>
      </c>
      <c r="DT335" s="70" t="str">
        <f t="shared" si="687"/>
        <v/>
      </c>
      <c r="DU335" s="90"/>
      <c r="DV335" s="123" t="str">
        <f t="shared" si="688"/>
        <v/>
      </c>
      <c r="DW335" s="123" t="str">
        <f t="shared" si="689"/>
        <v/>
      </c>
      <c r="DX335" s="132" t="str">
        <f t="shared" ref="DX335" ca="1" si="703">IF(DT335&lt;&gt;"",IF(WEEKNUM(DT335)=WEEKNUM(TODAY()),"This Week",IF(WEEKNUM(DT335)=WEEKNUM(TODAY())+1,"Next Week",IF(WEEKNUM(DT335)=WEEKNUM(TODAY())-1,"Previous Week",""))),"")</f>
        <v/>
      </c>
      <c r="DY335" s="134" t="str">
        <f t="shared" si="691"/>
        <v/>
      </c>
      <c r="DZ335" s="95"/>
      <c r="EB335" s="8" t="str">
        <f t="shared" si="697"/>
        <v/>
      </c>
      <c r="EC335" s="8" t="str">
        <f>IF(O335&lt;&gt;"",VLOOKUP(O335,'Job Master'!$N$12:$O$18,2,0),"")</f>
        <v/>
      </c>
      <c r="ED335" s="8">
        <f t="shared" si="698"/>
        <v>19.5</v>
      </c>
      <c r="EE335" s="8">
        <f t="shared" si="699"/>
        <v>6</v>
      </c>
      <c r="EF335" s="8">
        <f t="shared" si="700"/>
        <v>-1930.5</v>
      </c>
      <c r="EG335" s="8" t="str">
        <f t="shared" si="701"/>
        <v/>
      </c>
      <c r="EH335" s="8" t="str">
        <f t="shared" si="702"/>
        <v/>
      </c>
    </row>
    <row r="336" spans="2:138" x14ac:dyDescent="0.3">
      <c r="B336" s="112"/>
      <c r="C336" s="27"/>
      <c r="D336" s="7" t="str">
        <f t="shared" si="639"/>
        <v/>
      </c>
      <c r="E336" s="25"/>
      <c r="F336" s="7" t="str">
        <f t="shared" si="639"/>
        <v/>
      </c>
      <c r="G336" s="25"/>
      <c r="H336" s="7" t="str">
        <f t="shared" si="639"/>
        <v/>
      </c>
      <c r="I336" s="25"/>
      <c r="J336" s="7" t="str">
        <f t="shared" si="639"/>
        <v/>
      </c>
      <c r="K336" s="25"/>
      <c r="L336" s="7" t="str">
        <f t="shared" si="640"/>
        <v/>
      </c>
      <c r="M336" s="25"/>
      <c r="N336" s="7" t="str">
        <f t="shared" si="641"/>
        <v/>
      </c>
      <c r="O336" s="81"/>
      <c r="P336" s="81" t="str">
        <f t="shared" si="642"/>
        <v/>
      </c>
      <c r="Q336" s="81"/>
      <c r="R336" s="7" t="str">
        <f t="shared" si="643"/>
        <v/>
      </c>
      <c r="S336" s="25"/>
      <c r="T336" s="7" t="str">
        <f t="shared" si="644"/>
        <v/>
      </c>
      <c r="U336" s="25"/>
      <c r="V336" s="7" t="str">
        <f t="shared" si="645"/>
        <v/>
      </c>
      <c r="W336" s="25"/>
      <c r="X336" s="7" t="str">
        <f t="shared" si="646"/>
        <v/>
      </c>
      <c r="Y336" s="18" t="str">
        <f t="shared" si="647"/>
        <v/>
      </c>
      <c r="Z336" s="7" t="str">
        <f t="shared" si="648"/>
        <v/>
      </c>
      <c r="AA336" s="18" t="str">
        <f t="shared" si="649"/>
        <v/>
      </c>
      <c r="AB336" s="19" t="str">
        <f t="shared" si="650"/>
        <v/>
      </c>
      <c r="AC336" s="26"/>
      <c r="AD336" s="26"/>
      <c r="AE336" s="25"/>
      <c r="AF336" s="26"/>
      <c r="AG336" s="25"/>
      <c r="AH336" s="25"/>
      <c r="AI336" s="18" t="str">
        <f t="shared" si="587"/>
        <v/>
      </c>
      <c r="AJ336" s="25"/>
      <c r="AK336" s="18" t="str">
        <f t="shared" si="588"/>
        <v/>
      </c>
      <c r="AL336" s="79"/>
      <c r="AM336" s="126" t="str">
        <f t="shared" si="589"/>
        <v/>
      </c>
      <c r="AN336" s="128" t="str">
        <f>IF(AP336&lt;&gt;"",VLOOKUP($P336&amp;" | "&amp;AN$6,'Job Master'!$F$12:$J$102,5,0),"")</f>
        <v/>
      </c>
      <c r="AO336" s="19" t="str">
        <f>IF(AP336&lt;&gt;"",VLOOKUP($P336&amp;" | "&amp;AN$6,'Job Master'!$F$12:$J$102,3,0),"")</f>
        <v/>
      </c>
      <c r="AP336" s="19" t="str">
        <f>IFERROR(IF(AND(AW336&lt;&gt;"",VLOOKUP($P336&amp;" | "&amp;AN$6,'Job Master'!$F$12:$I$102,4,0)&lt;&gt;""),IF(WEEKDAY(AW336-VLOOKUP($P336&amp;" | "&amp;AN$6,'Job Master'!$F$12:$I$102,4,0))&lt;&gt;7,AW336-VLOOKUP($P336&amp;" | "&amp;AN$6,'Job Master'!$F$12:$I$102,4,0),AW336-VLOOKUP($P336&amp;" | "&amp;AN$6,'Job Master'!$F$12:$I$102,4,0)-1),""),"")</f>
        <v/>
      </c>
      <c r="AQ336" s="73"/>
      <c r="AR336" s="123" t="str">
        <f t="shared" si="651"/>
        <v/>
      </c>
      <c r="AS336" s="123" t="str">
        <f t="shared" si="652"/>
        <v/>
      </c>
      <c r="AT336" s="97" t="str">
        <f t="shared" ca="1" si="653"/>
        <v/>
      </c>
      <c r="AU336" s="98" t="str">
        <f>IF(AW336&lt;&gt;"",VLOOKUP($P336&amp;" | "&amp;AU$6,'Job Master'!$F$12:$J$102,5,0),"")</f>
        <v/>
      </c>
      <c r="AV336" s="19" t="str">
        <f>IF(AW336&lt;&gt;"",VLOOKUP($P336&amp;" | "&amp;AU$6,'Job Master'!$F$12:$J$102,3,0),"")</f>
        <v/>
      </c>
      <c r="AW336" s="19" t="str">
        <f>IFERROR(IF(AND(BD336&lt;&gt;"",VLOOKUP($P336&amp;" | "&amp;AU$6,'Job Master'!$F$12:$I$102,4,0)&lt;&gt;""),IF(WEEKDAY(BD336-VLOOKUP($P336&amp;" | "&amp;AU$6,'Job Master'!$F$12:$I$102,4,0))&lt;&gt;7,BD336-VLOOKUP($P336&amp;" | "&amp;AU$6,'Job Master'!$F$12:$I$102,4,0),BD336-VLOOKUP($P336&amp;" | "&amp;AU$6,'Job Master'!$F$12:$I$102,4,0)-1),""),"")</f>
        <v/>
      </c>
      <c r="AX336" s="73"/>
      <c r="AY336" s="123" t="str">
        <f t="shared" si="654"/>
        <v/>
      </c>
      <c r="AZ336" s="123" t="str">
        <f t="shared" si="655"/>
        <v/>
      </c>
      <c r="BA336" s="97" t="str">
        <f t="shared" ca="1" si="656"/>
        <v/>
      </c>
      <c r="BB336" s="98" t="str">
        <f>IF(BD336&lt;&gt;"",VLOOKUP($P336&amp;" | "&amp;BB$6,'Job Master'!$F$12:$J$102,5,0),"")</f>
        <v/>
      </c>
      <c r="BC336" s="19" t="str">
        <f>IF(BD336&lt;&gt;"",VLOOKUP($P336&amp;" | "&amp;BB$6,'Job Master'!$F$12:$J$102,3,0),"")</f>
        <v/>
      </c>
      <c r="BD336" s="19" t="str">
        <f>IFERROR(IF(AND(BK336&lt;&gt;"",VLOOKUP($P336&amp;" | "&amp;BB$6,'Job Master'!$F$12:$I$102,4,0)&lt;&gt;""),IF(WEEKDAY(BK336-VLOOKUP($P336&amp;" | "&amp;BB$6,'Job Master'!$F$12:$I$102,4,0))&lt;&gt;7,BK336-VLOOKUP($P336&amp;" | "&amp;BB$6,'Job Master'!$F$12:$I$102,4,0),BK336-VLOOKUP($P336&amp;" | "&amp;BB$6,'Job Master'!$F$12:$I$102,4,0)-1),""),"")</f>
        <v/>
      </c>
      <c r="BE336" s="73"/>
      <c r="BF336" s="123" t="str">
        <f t="shared" si="657"/>
        <v/>
      </c>
      <c r="BG336" s="123" t="str">
        <f t="shared" si="658"/>
        <v/>
      </c>
      <c r="BH336" s="97" t="str">
        <f t="shared" ca="1" si="659"/>
        <v/>
      </c>
      <c r="BI336" s="98" t="str">
        <f>IF(BK336&lt;&gt;"",VLOOKUP($P336&amp;" | "&amp;BI$6,'Job Master'!$F$12:$J$102,5,0),"")</f>
        <v/>
      </c>
      <c r="BJ336" s="19" t="str">
        <f>IF(BK336&lt;&gt;"",VLOOKUP($P336&amp;" | "&amp;BI$6,'Job Master'!$F$12:$J$102,3,0),"")</f>
        <v/>
      </c>
      <c r="BK336" s="19" t="str">
        <f>IFERROR(IF(AND(BR336&lt;&gt;"",VLOOKUP($P336&amp;" | "&amp;BI$6,'Job Master'!$F$12:$I$102,4,0)&lt;&gt;""),IF(WEEKDAY(BR336-VLOOKUP($P336&amp;" | "&amp;BI$6,'Job Master'!$F$12:$I$102,4,0))&lt;&gt;7,BR336-VLOOKUP($P336&amp;" | "&amp;BI$6,'Job Master'!$F$12:$I$102,4,0),BR336-VLOOKUP($P336&amp;" | "&amp;BI$6,'Job Master'!$F$12:$I$102,4,0)-1),""),"")</f>
        <v/>
      </c>
      <c r="BL336" s="73"/>
      <c r="BM336" s="123" t="str">
        <f t="shared" si="660"/>
        <v/>
      </c>
      <c r="BN336" s="123" t="str">
        <f t="shared" si="661"/>
        <v/>
      </c>
      <c r="BO336" s="97" t="str">
        <f t="shared" ca="1" si="662"/>
        <v/>
      </c>
      <c r="BP336" s="98" t="str">
        <f>IF(BR336&lt;&gt;"",VLOOKUP($P336&amp;" | "&amp;BP$6,'Job Master'!$F$12:$J$102,5,0),"")</f>
        <v/>
      </c>
      <c r="BQ336" s="19" t="str">
        <f>IF(BR336&lt;&gt;"",VLOOKUP($P336&amp;" | "&amp;BP$6,'Job Master'!$F$12:$J$102,3,0),"")</f>
        <v/>
      </c>
      <c r="BR336" s="19" t="str">
        <f>IFERROR(IF(AND(BY336&lt;&gt;"",VLOOKUP($P336&amp;" | "&amp;BP$6,'Job Master'!$F$12:$I$102,4,0)&lt;&gt;""),IF(WEEKDAY(BY336-VLOOKUP($P336&amp;" | "&amp;BP$6,'Job Master'!$F$12:$I$102,4,0))&lt;&gt;7,BY336-VLOOKUP($P336&amp;" | "&amp;BP$6,'Job Master'!$F$12:$I$102,4,0),BY336-VLOOKUP($P336&amp;" | "&amp;BP$6,'Job Master'!$F$12:$I$102,4,0)-1),""),"")</f>
        <v/>
      </c>
      <c r="BS336" s="73"/>
      <c r="BT336" s="123" t="str">
        <f t="shared" si="663"/>
        <v/>
      </c>
      <c r="BU336" s="123" t="str">
        <f t="shared" si="664"/>
        <v/>
      </c>
      <c r="BV336" s="97" t="str">
        <f t="shared" ca="1" si="665"/>
        <v/>
      </c>
      <c r="BW336" s="98" t="str">
        <f>IF(BY336&lt;&gt;"",VLOOKUP($P336&amp;" | "&amp;BW$6,'Job Master'!$F$12:$J$102,5,0),"")</f>
        <v/>
      </c>
      <c r="BX336" s="19" t="str">
        <f>IF(BY336&lt;&gt;"",VLOOKUP($P336&amp;" | "&amp;BW$6,'Job Master'!$F$12:$J$102,3,0),"")</f>
        <v/>
      </c>
      <c r="BY336" s="19" t="str">
        <f>IFERROR(IF(AND(CF336&lt;&gt;"",VLOOKUP($P336&amp;" | "&amp;BW$6,'Job Master'!$F$12:$I$102,4,0)&lt;&gt;""),IF(WEEKDAY(CF336-VLOOKUP($P336&amp;" | "&amp;BW$6,'Job Master'!$F$12:$I$102,4,0))&lt;&gt;7,CF336-VLOOKUP($P336&amp;" | "&amp;BW$6,'Job Master'!$F$12:$I$102,4,0),CF336-VLOOKUP($P336&amp;" | "&amp;BW$6,'Job Master'!$F$12:$I$102,4,0)-1),""),"")</f>
        <v/>
      </c>
      <c r="BZ336" s="73"/>
      <c r="CA336" s="123" t="str">
        <f t="shared" si="666"/>
        <v/>
      </c>
      <c r="CB336" s="123" t="str">
        <f t="shared" si="667"/>
        <v/>
      </c>
      <c r="CC336" s="97" t="str">
        <f t="shared" ca="1" si="668"/>
        <v/>
      </c>
      <c r="CD336" s="98" t="str">
        <f>IF(CF336&lt;&gt;"",VLOOKUP($P336&amp;" | "&amp;CD$6,'Job Master'!$F$12:$J$102,5,0),"")</f>
        <v/>
      </c>
      <c r="CE336" s="19" t="str">
        <f>IF(CF336&lt;&gt;"",VLOOKUP($P336&amp;" | "&amp;CD$6,'Job Master'!$F$12:$J$102,3,0),"")</f>
        <v/>
      </c>
      <c r="CF336" s="19" t="str">
        <f>IFERROR(IF(AND(CM336&lt;&gt;"",VLOOKUP($P336&amp;" | "&amp;CD$6,'Job Master'!$F$12:$I$102,4,0)&lt;&gt;""),IF(WEEKDAY(CM336-VLOOKUP($P336&amp;" | "&amp;CD$6,'Job Master'!$F$12:$I$102,4,0))&lt;&gt;7,CM336-VLOOKUP($P336&amp;" | "&amp;CD$6,'Job Master'!$F$12:$I$102,4,0),CM336-VLOOKUP($P336&amp;" | "&amp;CD$6,'Job Master'!$F$12:$I$102,4,0)-1),""),"")</f>
        <v/>
      </c>
      <c r="CG336" s="73"/>
      <c r="CH336" s="123" t="str">
        <f t="shared" si="669"/>
        <v/>
      </c>
      <c r="CI336" s="123" t="str">
        <f t="shared" si="670"/>
        <v/>
      </c>
      <c r="CJ336" s="97" t="str">
        <f t="shared" ca="1" si="671"/>
        <v/>
      </c>
      <c r="CK336" s="98" t="str">
        <f>IF(CM336&lt;&gt;"",VLOOKUP($P336&amp;" | "&amp;CK$6,'Job Master'!$F$12:$J$102,5,0),"")</f>
        <v/>
      </c>
      <c r="CL336" s="19" t="str">
        <f>IF(CM336&lt;&gt;"",VLOOKUP($P336&amp;" | "&amp;CK$6,'Job Master'!$F$12:$J$102,3,0),"")</f>
        <v/>
      </c>
      <c r="CM336" s="19" t="str">
        <f>IFERROR(IF(AND(CT336&lt;&gt;"",VLOOKUP($P336&amp;" | "&amp;CK$6,'Job Master'!$F$12:$I$102,4,0)&lt;&gt;""),IF(WEEKDAY(CT336-VLOOKUP($P336&amp;" | "&amp;CK$6,'Job Master'!$F$12:$I$102,4,0))&lt;&gt;7,CT336-VLOOKUP($P336&amp;" | "&amp;CK$6,'Job Master'!$F$12:$I$102,4,0),CT336-VLOOKUP($P336&amp;" | "&amp;CK$6,'Job Master'!$F$12:$I$102,4,0)-1),""),"")</f>
        <v/>
      </c>
      <c r="CN336" s="73"/>
      <c r="CO336" s="123" t="str">
        <f t="shared" si="672"/>
        <v/>
      </c>
      <c r="CP336" s="123" t="str">
        <f t="shared" si="673"/>
        <v/>
      </c>
      <c r="CQ336" s="97" t="str">
        <f t="shared" ca="1" si="674"/>
        <v/>
      </c>
      <c r="CR336" s="98" t="str">
        <f>IF(CT336&lt;&gt;"",VLOOKUP($P336&amp;" | "&amp;CR$6,'Job Master'!$F$12:$J$102,5,0),"")</f>
        <v/>
      </c>
      <c r="CS336" s="19" t="str">
        <f>IF(CT336&lt;&gt;"",VLOOKUP($P336&amp;" | "&amp;CR$6,'Job Master'!$F$12:$J$102,3,0),"")</f>
        <v/>
      </c>
      <c r="CT336" s="19" t="str">
        <f>IFERROR(IF(AND(DA336&lt;&gt;"",VLOOKUP($P336&amp;" | "&amp;CR$6,'Job Master'!$F$12:$I$102,4,0)&lt;&gt;""),IF(WEEKDAY(DA336-VLOOKUP($P336&amp;" | "&amp;CR$6,'Job Master'!$F$12:$I$102,4,0))&lt;&gt;7,DA336-VLOOKUP($P336&amp;" | "&amp;CR$6,'Job Master'!$F$12:$I$102,4,0),DA336-VLOOKUP($P336&amp;" | "&amp;CR$6,'Job Master'!$F$12:$I$102,4,0)-1),""),"")</f>
        <v/>
      </c>
      <c r="CU336" s="73"/>
      <c r="CV336" s="123" t="str">
        <f t="shared" si="675"/>
        <v/>
      </c>
      <c r="CW336" s="123" t="str">
        <f t="shared" si="676"/>
        <v/>
      </c>
      <c r="CX336" s="97" t="str">
        <f t="shared" ca="1" si="677"/>
        <v/>
      </c>
      <c r="CY336" s="98" t="str">
        <f>IF(DA336&lt;&gt;"",VLOOKUP($P336&amp;" | "&amp;CY$6,'Job Master'!$F$12:$J$102,5,0),"")</f>
        <v/>
      </c>
      <c r="CZ336" s="19" t="str">
        <f>IF(DA336&lt;&gt;"",VLOOKUP($P336&amp;" | "&amp;CY$6,'Job Master'!$F$12:$J$102,3,0),"")</f>
        <v/>
      </c>
      <c r="DA336" s="19" t="str">
        <f>IFERROR(IF(AND(DH336&lt;&gt;"",VLOOKUP($P336&amp;" | "&amp;CY$6,'Job Master'!$F$12:$I$102,4,0)&lt;&gt;""),IF(WEEKDAY(DH336-VLOOKUP($P336&amp;" | "&amp;CY$6,'Job Master'!$F$12:$I$102,4,0))&lt;&gt;7,DH336-VLOOKUP($P336&amp;" | "&amp;CY$6,'Job Master'!$F$12:$I$102,4,0),DH336-VLOOKUP($P336&amp;" | "&amp;CY$6,'Job Master'!$F$12:$I$102,4,0)-1),""),"")</f>
        <v/>
      </c>
      <c r="DB336" s="73"/>
      <c r="DC336" s="123" t="str">
        <f t="shared" si="678"/>
        <v/>
      </c>
      <c r="DD336" s="123" t="str">
        <f t="shared" si="679"/>
        <v/>
      </c>
      <c r="DE336" s="97" t="str">
        <f t="shared" ca="1" si="680"/>
        <v/>
      </c>
      <c r="DF336" s="98" t="str">
        <f>IF(DH336&lt;&gt;"",VLOOKUP($P336&amp;" | "&amp;DF$6,'Job Master'!$F$12:$J$102,5,0),"")</f>
        <v/>
      </c>
      <c r="DG336" s="19" t="str">
        <f>IF(DH336&lt;&gt;"",VLOOKUP($P336&amp;" | "&amp;DF$6,'Job Master'!$F$12:$J$102,3,0),"")</f>
        <v/>
      </c>
      <c r="DH336" s="19" t="str">
        <f>IFERROR(IF(AND(DO336&lt;&gt;"",VLOOKUP($P336&amp;" | "&amp;DF$6,'Job Master'!$F$12:$I$102,4,0)&lt;&gt;""),IF(WEEKDAY(DO336-VLOOKUP($P336&amp;" | "&amp;DF$6,'Job Master'!$F$12:$I$102,4,0))&lt;&gt;7,DO336-VLOOKUP($P336&amp;" | "&amp;DF$6,'Job Master'!$F$12:$I$102,4,0),DO336-VLOOKUP($P336&amp;" | "&amp;DF$6,'Job Master'!$F$12:$I$102,4,0)-1),""),"")</f>
        <v/>
      </c>
      <c r="DI336" s="73"/>
      <c r="DJ336" s="123" t="str">
        <f t="shared" si="681"/>
        <v/>
      </c>
      <c r="DK336" s="123" t="str">
        <f t="shared" si="682"/>
        <v/>
      </c>
      <c r="DL336" s="97" t="str">
        <f t="shared" ca="1" si="683"/>
        <v/>
      </c>
      <c r="DM336" s="98" t="str">
        <f>IF(DO336&lt;&gt;"",VLOOKUP($P336&amp;" | "&amp;DM$6,'Job Master'!$F$12:$J$102,5,0),"")</f>
        <v/>
      </c>
      <c r="DN336" s="19" t="str">
        <f>IF(DO336&lt;&gt;"",VLOOKUP($P336&amp;" | "&amp;DM$6,'Job Master'!$F$12:$J$102,3,0),"")</f>
        <v/>
      </c>
      <c r="DO336" s="19" t="str">
        <f>IFERROR(IF(AND(DT336&lt;&gt;"",VLOOKUP($P336&amp;" | "&amp;DM$6,'Job Master'!$F$12:$I$102,4,0)&lt;&gt;""),IF(WEEKDAY(DT336-VLOOKUP($P336&amp;" | "&amp;DM$6,'Job Master'!$F$12:$I$102,4,0))&lt;&gt;7,DT336-VLOOKUP($P336&amp;" | "&amp;DM$6,'Job Master'!$F$12:$I$102,4,0),DT336-VLOOKUP($P336&amp;" | "&amp;DM$6,'Job Master'!$F$12:$I$102,4,0)-1),""),"")</f>
        <v/>
      </c>
      <c r="DP336" s="73"/>
      <c r="DQ336" s="123" t="str">
        <f t="shared" si="684"/>
        <v/>
      </c>
      <c r="DR336" s="123" t="str">
        <f t="shared" si="685"/>
        <v/>
      </c>
      <c r="DS336" s="97" t="str">
        <f t="shared" ca="1" si="686"/>
        <v/>
      </c>
      <c r="DT336" s="70" t="str">
        <f t="shared" si="687"/>
        <v/>
      </c>
      <c r="DU336" s="90"/>
      <c r="DV336" s="123" t="str">
        <f t="shared" si="688"/>
        <v/>
      </c>
      <c r="DW336" s="123" t="str">
        <f t="shared" si="689"/>
        <v/>
      </c>
      <c r="DX336" s="132" t="str">
        <f t="shared" ref="DX336" ca="1" si="704">IF(DT336&lt;&gt;"",IF(WEEKNUM(DT336)=WEEKNUM(TODAY()),"This Week",IF(WEEKNUM(DT336)=WEEKNUM(TODAY())+1,"Next Week",IF(WEEKNUM(DT336)=WEEKNUM(TODAY())-1,"Previous Week",""))),"")</f>
        <v/>
      </c>
      <c r="DY336" s="134" t="str">
        <f t="shared" si="691"/>
        <v/>
      </c>
      <c r="DZ336" s="95"/>
      <c r="EB336" s="8" t="str">
        <f t="shared" si="697"/>
        <v/>
      </c>
      <c r="EC336" s="8" t="str">
        <f>IF(O336&lt;&gt;"",VLOOKUP(O336,'Job Master'!$N$12:$O$18,2,0),"")</f>
        <v/>
      </c>
      <c r="ED336" s="8">
        <f t="shared" si="698"/>
        <v>19.5</v>
      </c>
      <c r="EE336" s="8">
        <f t="shared" si="699"/>
        <v>6</v>
      </c>
      <c r="EF336" s="8">
        <f t="shared" si="700"/>
        <v>-1936.5</v>
      </c>
      <c r="EG336" s="8" t="str">
        <f t="shared" si="701"/>
        <v/>
      </c>
      <c r="EH336" s="8" t="str">
        <f t="shared" si="702"/>
        <v/>
      </c>
    </row>
    <row r="337" spans="2:138" x14ac:dyDescent="0.3">
      <c r="B337" s="112"/>
      <c r="C337" s="27"/>
      <c r="D337" s="7" t="str">
        <f t="shared" si="639"/>
        <v/>
      </c>
      <c r="E337" s="25"/>
      <c r="F337" s="7" t="str">
        <f t="shared" si="639"/>
        <v/>
      </c>
      <c r="G337" s="25"/>
      <c r="H337" s="7" t="str">
        <f t="shared" si="639"/>
        <v/>
      </c>
      <c r="I337" s="25"/>
      <c r="J337" s="7" t="str">
        <f t="shared" si="639"/>
        <v/>
      </c>
      <c r="K337" s="25"/>
      <c r="L337" s="7" t="str">
        <f t="shared" si="640"/>
        <v/>
      </c>
      <c r="M337" s="25"/>
      <c r="N337" s="7" t="str">
        <f t="shared" si="641"/>
        <v/>
      </c>
      <c r="O337" s="81"/>
      <c r="P337" s="81" t="str">
        <f t="shared" si="642"/>
        <v/>
      </c>
      <c r="Q337" s="81"/>
      <c r="R337" s="7" t="str">
        <f t="shared" si="643"/>
        <v/>
      </c>
      <c r="S337" s="25"/>
      <c r="T337" s="7" t="str">
        <f t="shared" si="644"/>
        <v/>
      </c>
      <c r="U337" s="25"/>
      <c r="V337" s="7" t="str">
        <f t="shared" si="645"/>
        <v/>
      </c>
      <c r="W337" s="25"/>
      <c r="X337" s="7" t="str">
        <f t="shared" si="646"/>
        <v/>
      </c>
      <c r="Y337" s="18" t="str">
        <f t="shared" si="647"/>
        <v/>
      </c>
      <c r="Z337" s="7" t="str">
        <f t="shared" si="648"/>
        <v/>
      </c>
      <c r="AA337" s="18" t="str">
        <f t="shared" si="649"/>
        <v/>
      </c>
      <c r="AB337" s="19" t="str">
        <f t="shared" si="650"/>
        <v/>
      </c>
      <c r="AC337" s="26"/>
      <c r="AD337" s="26"/>
      <c r="AE337" s="25"/>
      <c r="AF337" s="26"/>
      <c r="AG337" s="25"/>
      <c r="AH337" s="25"/>
      <c r="AI337" s="18" t="str">
        <f t="shared" si="587"/>
        <v/>
      </c>
      <c r="AJ337" s="25"/>
      <c r="AK337" s="18" t="str">
        <f t="shared" si="588"/>
        <v/>
      </c>
      <c r="AL337" s="79"/>
      <c r="AM337" s="126" t="str">
        <f t="shared" si="589"/>
        <v/>
      </c>
      <c r="AN337" s="128" t="str">
        <f>IF(AP337&lt;&gt;"",VLOOKUP($P337&amp;" | "&amp;AN$6,'Job Master'!$F$12:$J$102,5,0),"")</f>
        <v/>
      </c>
      <c r="AO337" s="19" t="str">
        <f>IF(AP337&lt;&gt;"",VLOOKUP($P337&amp;" | "&amp;AN$6,'Job Master'!$F$12:$J$102,3,0),"")</f>
        <v/>
      </c>
      <c r="AP337" s="19" t="str">
        <f>IFERROR(IF(AND(AW337&lt;&gt;"",VLOOKUP($P337&amp;" | "&amp;AN$6,'Job Master'!$F$12:$I$102,4,0)&lt;&gt;""),IF(WEEKDAY(AW337-VLOOKUP($P337&amp;" | "&amp;AN$6,'Job Master'!$F$12:$I$102,4,0))&lt;&gt;7,AW337-VLOOKUP($P337&amp;" | "&amp;AN$6,'Job Master'!$F$12:$I$102,4,0),AW337-VLOOKUP($P337&amp;" | "&amp;AN$6,'Job Master'!$F$12:$I$102,4,0)-1),""),"")</f>
        <v/>
      </c>
      <c r="AQ337" s="73"/>
      <c r="AR337" s="123" t="str">
        <f t="shared" si="651"/>
        <v/>
      </c>
      <c r="AS337" s="123" t="str">
        <f t="shared" si="652"/>
        <v/>
      </c>
      <c r="AT337" s="97" t="str">
        <f t="shared" ca="1" si="653"/>
        <v/>
      </c>
      <c r="AU337" s="98" t="str">
        <f>IF(AW337&lt;&gt;"",VLOOKUP($P337&amp;" | "&amp;AU$6,'Job Master'!$F$12:$J$102,5,0),"")</f>
        <v/>
      </c>
      <c r="AV337" s="19" t="str">
        <f>IF(AW337&lt;&gt;"",VLOOKUP($P337&amp;" | "&amp;AU$6,'Job Master'!$F$12:$J$102,3,0),"")</f>
        <v/>
      </c>
      <c r="AW337" s="19" t="str">
        <f>IFERROR(IF(AND(BD337&lt;&gt;"",VLOOKUP($P337&amp;" | "&amp;AU$6,'Job Master'!$F$12:$I$102,4,0)&lt;&gt;""),IF(WEEKDAY(BD337-VLOOKUP($P337&amp;" | "&amp;AU$6,'Job Master'!$F$12:$I$102,4,0))&lt;&gt;7,BD337-VLOOKUP($P337&amp;" | "&amp;AU$6,'Job Master'!$F$12:$I$102,4,0),BD337-VLOOKUP($P337&amp;" | "&amp;AU$6,'Job Master'!$F$12:$I$102,4,0)-1),""),"")</f>
        <v/>
      </c>
      <c r="AX337" s="73"/>
      <c r="AY337" s="123" t="str">
        <f t="shared" si="654"/>
        <v/>
      </c>
      <c r="AZ337" s="123" t="str">
        <f t="shared" si="655"/>
        <v/>
      </c>
      <c r="BA337" s="97" t="str">
        <f t="shared" ca="1" si="656"/>
        <v/>
      </c>
      <c r="BB337" s="98" t="str">
        <f>IF(BD337&lt;&gt;"",VLOOKUP($P337&amp;" | "&amp;BB$6,'Job Master'!$F$12:$J$102,5,0),"")</f>
        <v/>
      </c>
      <c r="BC337" s="19" t="str">
        <f>IF(BD337&lt;&gt;"",VLOOKUP($P337&amp;" | "&amp;BB$6,'Job Master'!$F$12:$J$102,3,0),"")</f>
        <v/>
      </c>
      <c r="BD337" s="19" t="str">
        <f>IFERROR(IF(AND(BK337&lt;&gt;"",VLOOKUP($P337&amp;" | "&amp;BB$6,'Job Master'!$F$12:$I$102,4,0)&lt;&gt;""),IF(WEEKDAY(BK337-VLOOKUP($P337&amp;" | "&amp;BB$6,'Job Master'!$F$12:$I$102,4,0))&lt;&gt;7,BK337-VLOOKUP($P337&amp;" | "&amp;BB$6,'Job Master'!$F$12:$I$102,4,0),BK337-VLOOKUP($P337&amp;" | "&amp;BB$6,'Job Master'!$F$12:$I$102,4,0)-1),""),"")</f>
        <v/>
      </c>
      <c r="BE337" s="73"/>
      <c r="BF337" s="123" t="str">
        <f t="shared" si="657"/>
        <v/>
      </c>
      <c r="BG337" s="123" t="str">
        <f t="shared" si="658"/>
        <v/>
      </c>
      <c r="BH337" s="97" t="str">
        <f t="shared" ca="1" si="659"/>
        <v/>
      </c>
      <c r="BI337" s="98" t="str">
        <f>IF(BK337&lt;&gt;"",VLOOKUP($P337&amp;" | "&amp;BI$6,'Job Master'!$F$12:$J$102,5,0),"")</f>
        <v/>
      </c>
      <c r="BJ337" s="19" t="str">
        <f>IF(BK337&lt;&gt;"",VLOOKUP($P337&amp;" | "&amp;BI$6,'Job Master'!$F$12:$J$102,3,0),"")</f>
        <v/>
      </c>
      <c r="BK337" s="19" t="str">
        <f>IFERROR(IF(AND(BR337&lt;&gt;"",VLOOKUP($P337&amp;" | "&amp;BI$6,'Job Master'!$F$12:$I$102,4,0)&lt;&gt;""),IF(WEEKDAY(BR337-VLOOKUP($P337&amp;" | "&amp;BI$6,'Job Master'!$F$12:$I$102,4,0))&lt;&gt;7,BR337-VLOOKUP($P337&amp;" | "&amp;BI$6,'Job Master'!$F$12:$I$102,4,0),BR337-VLOOKUP($P337&amp;" | "&amp;BI$6,'Job Master'!$F$12:$I$102,4,0)-1),""),"")</f>
        <v/>
      </c>
      <c r="BL337" s="73"/>
      <c r="BM337" s="123" t="str">
        <f t="shared" si="660"/>
        <v/>
      </c>
      <c r="BN337" s="123" t="str">
        <f t="shared" si="661"/>
        <v/>
      </c>
      <c r="BO337" s="97" t="str">
        <f t="shared" ca="1" si="662"/>
        <v/>
      </c>
      <c r="BP337" s="98" t="str">
        <f>IF(BR337&lt;&gt;"",VLOOKUP($P337&amp;" | "&amp;BP$6,'Job Master'!$F$12:$J$102,5,0),"")</f>
        <v/>
      </c>
      <c r="BQ337" s="19" t="str">
        <f>IF(BR337&lt;&gt;"",VLOOKUP($P337&amp;" | "&amp;BP$6,'Job Master'!$F$12:$J$102,3,0),"")</f>
        <v/>
      </c>
      <c r="BR337" s="19" t="str">
        <f>IFERROR(IF(AND(BY337&lt;&gt;"",VLOOKUP($P337&amp;" | "&amp;BP$6,'Job Master'!$F$12:$I$102,4,0)&lt;&gt;""),IF(WEEKDAY(BY337-VLOOKUP($P337&amp;" | "&amp;BP$6,'Job Master'!$F$12:$I$102,4,0))&lt;&gt;7,BY337-VLOOKUP($P337&amp;" | "&amp;BP$6,'Job Master'!$F$12:$I$102,4,0),BY337-VLOOKUP($P337&amp;" | "&amp;BP$6,'Job Master'!$F$12:$I$102,4,0)-1),""),"")</f>
        <v/>
      </c>
      <c r="BS337" s="73"/>
      <c r="BT337" s="123" t="str">
        <f t="shared" si="663"/>
        <v/>
      </c>
      <c r="BU337" s="123" t="str">
        <f t="shared" si="664"/>
        <v/>
      </c>
      <c r="BV337" s="97" t="str">
        <f t="shared" ca="1" si="665"/>
        <v/>
      </c>
      <c r="BW337" s="98" t="str">
        <f>IF(BY337&lt;&gt;"",VLOOKUP($P337&amp;" | "&amp;BW$6,'Job Master'!$F$12:$J$102,5,0),"")</f>
        <v/>
      </c>
      <c r="BX337" s="19" t="str">
        <f>IF(BY337&lt;&gt;"",VLOOKUP($P337&amp;" | "&amp;BW$6,'Job Master'!$F$12:$J$102,3,0),"")</f>
        <v/>
      </c>
      <c r="BY337" s="19" t="str">
        <f>IFERROR(IF(AND(CF337&lt;&gt;"",VLOOKUP($P337&amp;" | "&amp;BW$6,'Job Master'!$F$12:$I$102,4,0)&lt;&gt;""),IF(WEEKDAY(CF337-VLOOKUP($P337&amp;" | "&amp;BW$6,'Job Master'!$F$12:$I$102,4,0))&lt;&gt;7,CF337-VLOOKUP($P337&amp;" | "&amp;BW$6,'Job Master'!$F$12:$I$102,4,0),CF337-VLOOKUP($P337&amp;" | "&amp;BW$6,'Job Master'!$F$12:$I$102,4,0)-1),""),"")</f>
        <v/>
      </c>
      <c r="BZ337" s="73"/>
      <c r="CA337" s="123" t="str">
        <f t="shared" si="666"/>
        <v/>
      </c>
      <c r="CB337" s="123" t="str">
        <f t="shared" si="667"/>
        <v/>
      </c>
      <c r="CC337" s="97" t="str">
        <f t="shared" ca="1" si="668"/>
        <v/>
      </c>
      <c r="CD337" s="98" t="str">
        <f>IF(CF337&lt;&gt;"",VLOOKUP($P337&amp;" | "&amp;CD$6,'Job Master'!$F$12:$J$102,5,0),"")</f>
        <v/>
      </c>
      <c r="CE337" s="19" t="str">
        <f>IF(CF337&lt;&gt;"",VLOOKUP($P337&amp;" | "&amp;CD$6,'Job Master'!$F$12:$J$102,3,0),"")</f>
        <v/>
      </c>
      <c r="CF337" s="19" t="str">
        <f>IFERROR(IF(AND(CM337&lt;&gt;"",VLOOKUP($P337&amp;" | "&amp;CD$6,'Job Master'!$F$12:$I$102,4,0)&lt;&gt;""),IF(WEEKDAY(CM337-VLOOKUP($P337&amp;" | "&amp;CD$6,'Job Master'!$F$12:$I$102,4,0))&lt;&gt;7,CM337-VLOOKUP($P337&amp;" | "&amp;CD$6,'Job Master'!$F$12:$I$102,4,0),CM337-VLOOKUP($P337&amp;" | "&amp;CD$6,'Job Master'!$F$12:$I$102,4,0)-1),""),"")</f>
        <v/>
      </c>
      <c r="CG337" s="73"/>
      <c r="CH337" s="123" t="str">
        <f t="shared" si="669"/>
        <v/>
      </c>
      <c r="CI337" s="123" t="str">
        <f t="shared" si="670"/>
        <v/>
      </c>
      <c r="CJ337" s="97" t="str">
        <f t="shared" ca="1" si="671"/>
        <v/>
      </c>
      <c r="CK337" s="98" t="str">
        <f>IF(CM337&lt;&gt;"",VLOOKUP($P337&amp;" | "&amp;CK$6,'Job Master'!$F$12:$J$102,5,0),"")</f>
        <v/>
      </c>
      <c r="CL337" s="19" t="str">
        <f>IF(CM337&lt;&gt;"",VLOOKUP($P337&amp;" | "&amp;CK$6,'Job Master'!$F$12:$J$102,3,0),"")</f>
        <v/>
      </c>
      <c r="CM337" s="19" t="str">
        <f>IFERROR(IF(AND(CT337&lt;&gt;"",VLOOKUP($P337&amp;" | "&amp;CK$6,'Job Master'!$F$12:$I$102,4,0)&lt;&gt;""),IF(WEEKDAY(CT337-VLOOKUP($P337&amp;" | "&amp;CK$6,'Job Master'!$F$12:$I$102,4,0))&lt;&gt;7,CT337-VLOOKUP($P337&amp;" | "&amp;CK$6,'Job Master'!$F$12:$I$102,4,0),CT337-VLOOKUP($P337&amp;" | "&amp;CK$6,'Job Master'!$F$12:$I$102,4,0)-1),""),"")</f>
        <v/>
      </c>
      <c r="CN337" s="73"/>
      <c r="CO337" s="123" t="str">
        <f t="shared" si="672"/>
        <v/>
      </c>
      <c r="CP337" s="123" t="str">
        <f t="shared" si="673"/>
        <v/>
      </c>
      <c r="CQ337" s="97" t="str">
        <f t="shared" ca="1" si="674"/>
        <v/>
      </c>
      <c r="CR337" s="98" t="str">
        <f>IF(CT337&lt;&gt;"",VLOOKUP($P337&amp;" | "&amp;CR$6,'Job Master'!$F$12:$J$102,5,0),"")</f>
        <v/>
      </c>
      <c r="CS337" s="19" t="str">
        <f>IF(CT337&lt;&gt;"",VLOOKUP($P337&amp;" | "&amp;CR$6,'Job Master'!$F$12:$J$102,3,0),"")</f>
        <v/>
      </c>
      <c r="CT337" s="19" t="str">
        <f>IFERROR(IF(AND(DA337&lt;&gt;"",VLOOKUP($P337&amp;" | "&amp;CR$6,'Job Master'!$F$12:$I$102,4,0)&lt;&gt;""),IF(WEEKDAY(DA337-VLOOKUP($P337&amp;" | "&amp;CR$6,'Job Master'!$F$12:$I$102,4,0))&lt;&gt;7,DA337-VLOOKUP($P337&amp;" | "&amp;CR$6,'Job Master'!$F$12:$I$102,4,0),DA337-VLOOKUP($P337&amp;" | "&amp;CR$6,'Job Master'!$F$12:$I$102,4,0)-1),""),"")</f>
        <v/>
      </c>
      <c r="CU337" s="73"/>
      <c r="CV337" s="123" t="str">
        <f t="shared" si="675"/>
        <v/>
      </c>
      <c r="CW337" s="123" t="str">
        <f t="shared" si="676"/>
        <v/>
      </c>
      <c r="CX337" s="97" t="str">
        <f t="shared" ca="1" si="677"/>
        <v/>
      </c>
      <c r="CY337" s="98" t="str">
        <f>IF(DA337&lt;&gt;"",VLOOKUP($P337&amp;" | "&amp;CY$6,'Job Master'!$F$12:$J$102,5,0),"")</f>
        <v/>
      </c>
      <c r="CZ337" s="19" t="str">
        <f>IF(DA337&lt;&gt;"",VLOOKUP($P337&amp;" | "&amp;CY$6,'Job Master'!$F$12:$J$102,3,0),"")</f>
        <v/>
      </c>
      <c r="DA337" s="19" t="str">
        <f>IFERROR(IF(AND(DH337&lt;&gt;"",VLOOKUP($P337&amp;" | "&amp;CY$6,'Job Master'!$F$12:$I$102,4,0)&lt;&gt;""),IF(WEEKDAY(DH337-VLOOKUP($P337&amp;" | "&amp;CY$6,'Job Master'!$F$12:$I$102,4,0))&lt;&gt;7,DH337-VLOOKUP($P337&amp;" | "&amp;CY$6,'Job Master'!$F$12:$I$102,4,0),DH337-VLOOKUP($P337&amp;" | "&amp;CY$6,'Job Master'!$F$12:$I$102,4,0)-1),""),"")</f>
        <v/>
      </c>
      <c r="DB337" s="73"/>
      <c r="DC337" s="123" t="str">
        <f t="shared" si="678"/>
        <v/>
      </c>
      <c r="DD337" s="123" t="str">
        <f t="shared" si="679"/>
        <v/>
      </c>
      <c r="DE337" s="97" t="str">
        <f t="shared" ca="1" si="680"/>
        <v/>
      </c>
      <c r="DF337" s="98" t="str">
        <f>IF(DH337&lt;&gt;"",VLOOKUP($P337&amp;" | "&amp;DF$6,'Job Master'!$F$12:$J$102,5,0),"")</f>
        <v/>
      </c>
      <c r="DG337" s="19" t="str">
        <f>IF(DH337&lt;&gt;"",VLOOKUP($P337&amp;" | "&amp;DF$6,'Job Master'!$F$12:$J$102,3,0),"")</f>
        <v/>
      </c>
      <c r="DH337" s="19" t="str">
        <f>IFERROR(IF(AND(DO337&lt;&gt;"",VLOOKUP($P337&amp;" | "&amp;DF$6,'Job Master'!$F$12:$I$102,4,0)&lt;&gt;""),IF(WEEKDAY(DO337-VLOOKUP($P337&amp;" | "&amp;DF$6,'Job Master'!$F$12:$I$102,4,0))&lt;&gt;7,DO337-VLOOKUP($P337&amp;" | "&amp;DF$6,'Job Master'!$F$12:$I$102,4,0),DO337-VLOOKUP($P337&amp;" | "&amp;DF$6,'Job Master'!$F$12:$I$102,4,0)-1),""),"")</f>
        <v/>
      </c>
      <c r="DI337" s="73"/>
      <c r="DJ337" s="123" t="str">
        <f t="shared" si="681"/>
        <v/>
      </c>
      <c r="DK337" s="123" t="str">
        <f t="shared" si="682"/>
        <v/>
      </c>
      <c r="DL337" s="97" t="str">
        <f t="shared" ca="1" si="683"/>
        <v/>
      </c>
      <c r="DM337" s="98" t="str">
        <f>IF(DO337&lt;&gt;"",VLOOKUP($P337&amp;" | "&amp;DM$6,'Job Master'!$F$12:$J$102,5,0),"")</f>
        <v/>
      </c>
      <c r="DN337" s="19" t="str">
        <f>IF(DO337&lt;&gt;"",VLOOKUP($P337&amp;" | "&amp;DM$6,'Job Master'!$F$12:$J$102,3,0),"")</f>
        <v/>
      </c>
      <c r="DO337" s="19" t="str">
        <f>IFERROR(IF(AND(DT337&lt;&gt;"",VLOOKUP($P337&amp;" | "&amp;DM$6,'Job Master'!$F$12:$I$102,4,0)&lt;&gt;""),IF(WEEKDAY(DT337-VLOOKUP($P337&amp;" | "&amp;DM$6,'Job Master'!$F$12:$I$102,4,0))&lt;&gt;7,DT337-VLOOKUP($P337&amp;" | "&amp;DM$6,'Job Master'!$F$12:$I$102,4,0),DT337-VLOOKUP($P337&amp;" | "&amp;DM$6,'Job Master'!$F$12:$I$102,4,0)-1),""),"")</f>
        <v/>
      </c>
      <c r="DP337" s="73"/>
      <c r="DQ337" s="123" t="str">
        <f t="shared" si="684"/>
        <v/>
      </c>
      <c r="DR337" s="123" t="str">
        <f t="shared" si="685"/>
        <v/>
      </c>
      <c r="DS337" s="97" t="str">
        <f t="shared" ca="1" si="686"/>
        <v/>
      </c>
      <c r="DT337" s="70" t="str">
        <f t="shared" si="687"/>
        <v/>
      </c>
      <c r="DU337" s="90"/>
      <c r="DV337" s="123" t="str">
        <f t="shared" si="688"/>
        <v/>
      </c>
      <c r="DW337" s="123" t="str">
        <f t="shared" si="689"/>
        <v/>
      </c>
      <c r="DX337" s="132" t="str">
        <f t="shared" ref="DX337" ca="1" si="705">IF(DT337&lt;&gt;"",IF(WEEKNUM(DT337)=WEEKNUM(TODAY()),"This Week",IF(WEEKNUM(DT337)=WEEKNUM(TODAY())+1,"Next Week",IF(WEEKNUM(DT337)=WEEKNUM(TODAY())-1,"Previous Week",""))),"")</f>
        <v/>
      </c>
      <c r="DY337" s="134" t="str">
        <f t="shared" si="691"/>
        <v/>
      </c>
      <c r="DZ337" s="95"/>
      <c r="EB337" s="8" t="str">
        <f t="shared" si="697"/>
        <v/>
      </c>
      <c r="EC337" s="8" t="str">
        <f>IF(O337&lt;&gt;"",VLOOKUP(O337,'Job Master'!$N$12:$O$18,2,0),"")</f>
        <v/>
      </c>
      <c r="ED337" s="8">
        <f t="shared" si="698"/>
        <v>19.5</v>
      </c>
      <c r="EE337" s="8">
        <f t="shared" si="699"/>
        <v>6</v>
      </c>
      <c r="EF337" s="8">
        <f t="shared" si="700"/>
        <v>-1942.5</v>
      </c>
      <c r="EG337" s="8" t="str">
        <f t="shared" si="701"/>
        <v/>
      </c>
      <c r="EH337" s="8" t="str">
        <f t="shared" si="702"/>
        <v/>
      </c>
    </row>
    <row r="338" spans="2:138" x14ac:dyDescent="0.3">
      <c r="B338" s="112"/>
      <c r="C338" s="27"/>
      <c r="D338" s="7" t="str">
        <f t="shared" si="639"/>
        <v/>
      </c>
      <c r="E338" s="25"/>
      <c r="F338" s="7" t="str">
        <f t="shared" si="639"/>
        <v/>
      </c>
      <c r="G338" s="25"/>
      <c r="H338" s="7" t="str">
        <f t="shared" si="639"/>
        <v/>
      </c>
      <c r="I338" s="25"/>
      <c r="J338" s="7" t="str">
        <f t="shared" si="639"/>
        <v/>
      </c>
      <c r="K338" s="25"/>
      <c r="L338" s="7" t="str">
        <f t="shared" si="640"/>
        <v/>
      </c>
      <c r="M338" s="25"/>
      <c r="N338" s="7" t="str">
        <f t="shared" si="641"/>
        <v/>
      </c>
      <c r="O338" s="81"/>
      <c r="P338" s="81" t="str">
        <f t="shared" si="642"/>
        <v/>
      </c>
      <c r="Q338" s="81"/>
      <c r="R338" s="7" t="str">
        <f t="shared" si="643"/>
        <v/>
      </c>
      <c r="S338" s="25"/>
      <c r="T338" s="7" t="str">
        <f t="shared" si="644"/>
        <v/>
      </c>
      <c r="U338" s="25"/>
      <c r="V338" s="7" t="str">
        <f t="shared" si="645"/>
        <v/>
      </c>
      <c r="W338" s="25"/>
      <c r="X338" s="7" t="str">
        <f t="shared" si="646"/>
        <v/>
      </c>
      <c r="Y338" s="18" t="str">
        <f t="shared" si="647"/>
        <v/>
      </c>
      <c r="Z338" s="7" t="str">
        <f t="shared" si="648"/>
        <v/>
      </c>
      <c r="AA338" s="18" t="str">
        <f t="shared" si="649"/>
        <v/>
      </c>
      <c r="AB338" s="19" t="str">
        <f t="shared" si="650"/>
        <v/>
      </c>
      <c r="AC338" s="26"/>
      <c r="AD338" s="26"/>
      <c r="AE338" s="25"/>
      <c r="AF338" s="26"/>
      <c r="AG338" s="25"/>
      <c r="AH338" s="25"/>
      <c r="AI338" s="18" t="str">
        <f t="shared" si="587"/>
        <v/>
      </c>
      <c r="AJ338" s="25"/>
      <c r="AK338" s="18" t="str">
        <f t="shared" si="588"/>
        <v/>
      </c>
      <c r="AL338" s="79"/>
      <c r="AM338" s="126" t="str">
        <f t="shared" si="589"/>
        <v/>
      </c>
      <c r="AN338" s="128" t="str">
        <f>IF(AP338&lt;&gt;"",VLOOKUP($P338&amp;" | "&amp;AN$6,'Job Master'!$F$12:$J$102,5,0),"")</f>
        <v/>
      </c>
      <c r="AO338" s="19" t="str">
        <f>IF(AP338&lt;&gt;"",VLOOKUP($P338&amp;" | "&amp;AN$6,'Job Master'!$F$12:$J$102,3,0),"")</f>
        <v/>
      </c>
      <c r="AP338" s="19" t="str">
        <f>IFERROR(IF(AND(AW338&lt;&gt;"",VLOOKUP($P338&amp;" | "&amp;AN$6,'Job Master'!$F$12:$I$102,4,0)&lt;&gt;""),IF(WEEKDAY(AW338-VLOOKUP($P338&amp;" | "&amp;AN$6,'Job Master'!$F$12:$I$102,4,0))&lt;&gt;7,AW338-VLOOKUP($P338&amp;" | "&amp;AN$6,'Job Master'!$F$12:$I$102,4,0),AW338-VLOOKUP($P338&amp;" | "&amp;AN$6,'Job Master'!$F$12:$I$102,4,0)-1),""),"")</f>
        <v/>
      </c>
      <c r="AQ338" s="73"/>
      <c r="AR338" s="123" t="str">
        <f t="shared" si="651"/>
        <v/>
      </c>
      <c r="AS338" s="123" t="str">
        <f t="shared" si="652"/>
        <v/>
      </c>
      <c r="AT338" s="97" t="str">
        <f t="shared" ca="1" si="653"/>
        <v/>
      </c>
      <c r="AU338" s="98" t="str">
        <f>IF(AW338&lt;&gt;"",VLOOKUP($P338&amp;" | "&amp;AU$6,'Job Master'!$F$12:$J$102,5,0),"")</f>
        <v/>
      </c>
      <c r="AV338" s="19" t="str">
        <f>IF(AW338&lt;&gt;"",VLOOKUP($P338&amp;" | "&amp;AU$6,'Job Master'!$F$12:$J$102,3,0),"")</f>
        <v/>
      </c>
      <c r="AW338" s="19" t="str">
        <f>IFERROR(IF(AND(BD338&lt;&gt;"",VLOOKUP($P338&amp;" | "&amp;AU$6,'Job Master'!$F$12:$I$102,4,0)&lt;&gt;""),IF(WEEKDAY(BD338-VLOOKUP($P338&amp;" | "&amp;AU$6,'Job Master'!$F$12:$I$102,4,0))&lt;&gt;7,BD338-VLOOKUP($P338&amp;" | "&amp;AU$6,'Job Master'!$F$12:$I$102,4,0),BD338-VLOOKUP($P338&amp;" | "&amp;AU$6,'Job Master'!$F$12:$I$102,4,0)-1),""),"")</f>
        <v/>
      </c>
      <c r="AX338" s="73"/>
      <c r="AY338" s="123" t="str">
        <f t="shared" si="654"/>
        <v/>
      </c>
      <c r="AZ338" s="123" t="str">
        <f t="shared" si="655"/>
        <v/>
      </c>
      <c r="BA338" s="97" t="str">
        <f t="shared" ca="1" si="656"/>
        <v/>
      </c>
      <c r="BB338" s="98" t="str">
        <f>IF(BD338&lt;&gt;"",VLOOKUP($P338&amp;" | "&amp;BB$6,'Job Master'!$F$12:$J$102,5,0),"")</f>
        <v/>
      </c>
      <c r="BC338" s="19" t="str">
        <f>IF(BD338&lt;&gt;"",VLOOKUP($P338&amp;" | "&amp;BB$6,'Job Master'!$F$12:$J$102,3,0),"")</f>
        <v/>
      </c>
      <c r="BD338" s="19" t="str">
        <f>IFERROR(IF(AND(BK338&lt;&gt;"",VLOOKUP($P338&amp;" | "&amp;BB$6,'Job Master'!$F$12:$I$102,4,0)&lt;&gt;""),IF(WEEKDAY(BK338-VLOOKUP($P338&amp;" | "&amp;BB$6,'Job Master'!$F$12:$I$102,4,0))&lt;&gt;7,BK338-VLOOKUP($P338&amp;" | "&amp;BB$6,'Job Master'!$F$12:$I$102,4,0),BK338-VLOOKUP($P338&amp;" | "&amp;BB$6,'Job Master'!$F$12:$I$102,4,0)-1),""),"")</f>
        <v/>
      </c>
      <c r="BE338" s="73"/>
      <c r="BF338" s="123" t="str">
        <f t="shared" si="657"/>
        <v/>
      </c>
      <c r="BG338" s="123" t="str">
        <f t="shared" si="658"/>
        <v/>
      </c>
      <c r="BH338" s="97" t="str">
        <f t="shared" ca="1" si="659"/>
        <v/>
      </c>
      <c r="BI338" s="98" t="str">
        <f>IF(BK338&lt;&gt;"",VLOOKUP($P338&amp;" | "&amp;BI$6,'Job Master'!$F$12:$J$102,5,0),"")</f>
        <v/>
      </c>
      <c r="BJ338" s="19" t="str">
        <f>IF(BK338&lt;&gt;"",VLOOKUP($P338&amp;" | "&amp;BI$6,'Job Master'!$F$12:$J$102,3,0),"")</f>
        <v/>
      </c>
      <c r="BK338" s="19" t="str">
        <f>IFERROR(IF(AND(BR338&lt;&gt;"",VLOOKUP($P338&amp;" | "&amp;BI$6,'Job Master'!$F$12:$I$102,4,0)&lt;&gt;""),IF(WEEKDAY(BR338-VLOOKUP($P338&amp;" | "&amp;BI$6,'Job Master'!$F$12:$I$102,4,0))&lt;&gt;7,BR338-VLOOKUP($P338&amp;" | "&amp;BI$6,'Job Master'!$F$12:$I$102,4,0),BR338-VLOOKUP($P338&amp;" | "&amp;BI$6,'Job Master'!$F$12:$I$102,4,0)-1),""),"")</f>
        <v/>
      </c>
      <c r="BL338" s="73"/>
      <c r="BM338" s="123" t="str">
        <f t="shared" si="660"/>
        <v/>
      </c>
      <c r="BN338" s="123" t="str">
        <f t="shared" si="661"/>
        <v/>
      </c>
      <c r="BO338" s="97" t="str">
        <f t="shared" ca="1" si="662"/>
        <v/>
      </c>
      <c r="BP338" s="98" t="str">
        <f>IF(BR338&lt;&gt;"",VLOOKUP($P338&amp;" | "&amp;BP$6,'Job Master'!$F$12:$J$102,5,0),"")</f>
        <v/>
      </c>
      <c r="BQ338" s="19" t="str">
        <f>IF(BR338&lt;&gt;"",VLOOKUP($P338&amp;" | "&amp;BP$6,'Job Master'!$F$12:$J$102,3,0),"")</f>
        <v/>
      </c>
      <c r="BR338" s="19" t="str">
        <f>IFERROR(IF(AND(BY338&lt;&gt;"",VLOOKUP($P338&amp;" | "&amp;BP$6,'Job Master'!$F$12:$I$102,4,0)&lt;&gt;""),IF(WEEKDAY(BY338-VLOOKUP($P338&amp;" | "&amp;BP$6,'Job Master'!$F$12:$I$102,4,0))&lt;&gt;7,BY338-VLOOKUP($P338&amp;" | "&amp;BP$6,'Job Master'!$F$12:$I$102,4,0),BY338-VLOOKUP($P338&amp;" | "&amp;BP$6,'Job Master'!$F$12:$I$102,4,0)-1),""),"")</f>
        <v/>
      </c>
      <c r="BS338" s="73"/>
      <c r="BT338" s="123" t="str">
        <f t="shared" si="663"/>
        <v/>
      </c>
      <c r="BU338" s="123" t="str">
        <f t="shared" si="664"/>
        <v/>
      </c>
      <c r="BV338" s="97" t="str">
        <f t="shared" ca="1" si="665"/>
        <v/>
      </c>
      <c r="BW338" s="98" t="str">
        <f>IF(BY338&lt;&gt;"",VLOOKUP($P338&amp;" | "&amp;BW$6,'Job Master'!$F$12:$J$102,5,0),"")</f>
        <v/>
      </c>
      <c r="BX338" s="19" t="str">
        <f>IF(BY338&lt;&gt;"",VLOOKUP($P338&amp;" | "&amp;BW$6,'Job Master'!$F$12:$J$102,3,0),"")</f>
        <v/>
      </c>
      <c r="BY338" s="19" t="str">
        <f>IFERROR(IF(AND(CF338&lt;&gt;"",VLOOKUP($P338&amp;" | "&amp;BW$6,'Job Master'!$F$12:$I$102,4,0)&lt;&gt;""),IF(WEEKDAY(CF338-VLOOKUP($P338&amp;" | "&amp;BW$6,'Job Master'!$F$12:$I$102,4,0))&lt;&gt;7,CF338-VLOOKUP($P338&amp;" | "&amp;BW$6,'Job Master'!$F$12:$I$102,4,0),CF338-VLOOKUP($P338&amp;" | "&amp;BW$6,'Job Master'!$F$12:$I$102,4,0)-1),""),"")</f>
        <v/>
      </c>
      <c r="BZ338" s="73"/>
      <c r="CA338" s="123" t="str">
        <f t="shared" si="666"/>
        <v/>
      </c>
      <c r="CB338" s="123" t="str">
        <f t="shared" si="667"/>
        <v/>
      </c>
      <c r="CC338" s="97" t="str">
        <f t="shared" ca="1" si="668"/>
        <v/>
      </c>
      <c r="CD338" s="98" t="str">
        <f>IF(CF338&lt;&gt;"",VLOOKUP($P338&amp;" | "&amp;CD$6,'Job Master'!$F$12:$J$102,5,0),"")</f>
        <v/>
      </c>
      <c r="CE338" s="19" t="str">
        <f>IF(CF338&lt;&gt;"",VLOOKUP($P338&amp;" | "&amp;CD$6,'Job Master'!$F$12:$J$102,3,0),"")</f>
        <v/>
      </c>
      <c r="CF338" s="19" t="str">
        <f>IFERROR(IF(AND(CM338&lt;&gt;"",VLOOKUP($P338&amp;" | "&amp;CD$6,'Job Master'!$F$12:$I$102,4,0)&lt;&gt;""),IF(WEEKDAY(CM338-VLOOKUP($P338&amp;" | "&amp;CD$6,'Job Master'!$F$12:$I$102,4,0))&lt;&gt;7,CM338-VLOOKUP($P338&amp;" | "&amp;CD$6,'Job Master'!$F$12:$I$102,4,0),CM338-VLOOKUP($P338&amp;" | "&amp;CD$6,'Job Master'!$F$12:$I$102,4,0)-1),""),"")</f>
        <v/>
      </c>
      <c r="CG338" s="73"/>
      <c r="CH338" s="123" t="str">
        <f t="shared" si="669"/>
        <v/>
      </c>
      <c r="CI338" s="123" t="str">
        <f t="shared" si="670"/>
        <v/>
      </c>
      <c r="CJ338" s="97" t="str">
        <f t="shared" ca="1" si="671"/>
        <v/>
      </c>
      <c r="CK338" s="98" t="str">
        <f>IF(CM338&lt;&gt;"",VLOOKUP($P338&amp;" | "&amp;CK$6,'Job Master'!$F$12:$J$102,5,0),"")</f>
        <v/>
      </c>
      <c r="CL338" s="19" t="str">
        <f>IF(CM338&lt;&gt;"",VLOOKUP($P338&amp;" | "&amp;CK$6,'Job Master'!$F$12:$J$102,3,0),"")</f>
        <v/>
      </c>
      <c r="CM338" s="19" t="str">
        <f>IFERROR(IF(AND(CT338&lt;&gt;"",VLOOKUP($P338&amp;" | "&amp;CK$6,'Job Master'!$F$12:$I$102,4,0)&lt;&gt;""),IF(WEEKDAY(CT338-VLOOKUP($P338&amp;" | "&amp;CK$6,'Job Master'!$F$12:$I$102,4,0))&lt;&gt;7,CT338-VLOOKUP($P338&amp;" | "&amp;CK$6,'Job Master'!$F$12:$I$102,4,0),CT338-VLOOKUP($P338&amp;" | "&amp;CK$6,'Job Master'!$F$12:$I$102,4,0)-1),""),"")</f>
        <v/>
      </c>
      <c r="CN338" s="73"/>
      <c r="CO338" s="123" t="str">
        <f t="shared" si="672"/>
        <v/>
      </c>
      <c r="CP338" s="123" t="str">
        <f t="shared" si="673"/>
        <v/>
      </c>
      <c r="CQ338" s="97" t="str">
        <f t="shared" ca="1" si="674"/>
        <v/>
      </c>
      <c r="CR338" s="98" t="str">
        <f>IF(CT338&lt;&gt;"",VLOOKUP($P338&amp;" | "&amp;CR$6,'Job Master'!$F$12:$J$102,5,0),"")</f>
        <v/>
      </c>
      <c r="CS338" s="19" t="str">
        <f>IF(CT338&lt;&gt;"",VLOOKUP($P338&amp;" | "&amp;CR$6,'Job Master'!$F$12:$J$102,3,0),"")</f>
        <v/>
      </c>
      <c r="CT338" s="19" t="str">
        <f>IFERROR(IF(AND(DA338&lt;&gt;"",VLOOKUP($P338&amp;" | "&amp;CR$6,'Job Master'!$F$12:$I$102,4,0)&lt;&gt;""),IF(WEEKDAY(DA338-VLOOKUP($P338&amp;" | "&amp;CR$6,'Job Master'!$F$12:$I$102,4,0))&lt;&gt;7,DA338-VLOOKUP($P338&amp;" | "&amp;CR$6,'Job Master'!$F$12:$I$102,4,0),DA338-VLOOKUP($P338&amp;" | "&amp;CR$6,'Job Master'!$F$12:$I$102,4,0)-1),""),"")</f>
        <v/>
      </c>
      <c r="CU338" s="73"/>
      <c r="CV338" s="123" t="str">
        <f t="shared" si="675"/>
        <v/>
      </c>
      <c r="CW338" s="123" t="str">
        <f t="shared" si="676"/>
        <v/>
      </c>
      <c r="CX338" s="97" t="str">
        <f t="shared" ca="1" si="677"/>
        <v/>
      </c>
      <c r="CY338" s="98" t="str">
        <f>IF(DA338&lt;&gt;"",VLOOKUP($P338&amp;" | "&amp;CY$6,'Job Master'!$F$12:$J$102,5,0),"")</f>
        <v/>
      </c>
      <c r="CZ338" s="19" t="str">
        <f>IF(DA338&lt;&gt;"",VLOOKUP($P338&amp;" | "&amp;CY$6,'Job Master'!$F$12:$J$102,3,0),"")</f>
        <v/>
      </c>
      <c r="DA338" s="19" t="str">
        <f>IFERROR(IF(AND(DH338&lt;&gt;"",VLOOKUP($P338&amp;" | "&amp;CY$6,'Job Master'!$F$12:$I$102,4,0)&lt;&gt;""),IF(WEEKDAY(DH338-VLOOKUP($P338&amp;" | "&amp;CY$6,'Job Master'!$F$12:$I$102,4,0))&lt;&gt;7,DH338-VLOOKUP($P338&amp;" | "&amp;CY$6,'Job Master'!$F$12:$I$102,4,0),DH338-VLOOKUP($P338&amp;" | "&amp;CY$6,'Job Master'!$F$12:$I$102,4,0)-1),""),"")</f>
        <v/>
      </c>
      <c r="DB338" s="73"/>
      <c r="DC338" s="123" t="str">
        <f t="shared" si="678"/>
        <v/>
      </c>
      <c r="DD338" s="123" t="str">
        <f t="shared" si="679"/>
        <v/>
      </c>
      <c r="DE338" s="97" t="str">
        <f t="shared" ca="1" si="680"/>
        <v/>
      </c>
      <c r="DF338" s="98" t="str">
        <f>IF(DH338&lt;&gt;"",VLOOKUP($P338&amp;" | "&amp;DF$6,'Job Master'!$F$12:$J$102,5,0),"")</f>
        <v/>
      </c>
      <c r="DG338" s="19" t="str">
        <f>IF(DH338&lt;&gt;"",VLOOKUP($P338&amp;" | "&amp;DF$6,'Job Master'!$F$12:$J$102,3,0),"")</f>
        <v/>
      </c>
      <c r="DH338" s="19" t="str">
        <f>IFERROR(IF(AND(DO338&lt;&gt;"",VLOOKUP($P338&amp;" | "&amp;DF$6,'Job Master'!$F$12:$I$102,4,0)&lt;&gt;""),IF(WEEKDAY(DO338-VLOOKUP($P338&amp;" | "&amp;DF$6,'Job Master'!$F$12:$I$102,4,0))&lt;&gt;7,DO338-VLOOKUP($P338&amp;" | "&amp;DF$6,'Job Master'!$F$12:$I$102,4,0),DO338-VLOOKUP($P338&amp;" | "&amp;DF$6,'Job Master'!$F$12:$I$102,4,0)-1),""),"")</f>
        <v/>
      </c>
      <c r="DI338" s="73"/>
      <c r="DJ338" s="123" t="str">
        <f t="shared" si="681"/>
        <v/>
      </c>
      <c r="DK338" s="123" t="str">
        <f t="shared" si="682"/>
        <v/>
      </c>
      <c r="DL338" s="97" t="str">
        <f t="shared" ca="1" si="683"/>
        <v/>
      </c>
      <c r="DM338" s="98" t="str">
        <f>IF(DO338&lt;&gt;"",VLOOKUP($P338&amp;" | "&amp;DM$6,'Job Master'!$F$12:$J$102,5,0),"")</f>
        <v/>
      </c>
      <c r="DN338" s="19" t="str">
        <f>IF(DO338&lt;&gt;"",VLOOKUP($P338&amp;" | "&amp;DM$6,'Job Master'!$F$12:$J$102,3,0),"")</f>
        <v/>
      </c>
      <c r="DO338" s="19" t="str">
        <f>IFERROR(IF(AND(DT338&lt;&gt;"",VLOOKUP($P338&amp;" | "&amp;DM$6,'Job Master'!$F$12:$I$102,4,0)&lt;&gt;""),IF(WEEKDAY(DT338-VLOOKUP($P338&amp;" | "&amp;DM$6,'Job Master'!$F$12:$I$102,4,0))&lt;&gt;7,DT338-VLOOKUP($P338&amp;" | "&amp;DM$6,'Job Master'!$F$12:$I$102,4,0),DT338-VLOOKUP($P338&amp;" | "&amp;DM$6,'Job Master'!$F$12:$I$102,4,0)-1),""),"")</f>
        <v/>
      </c>
      <c r="DP338" s="73"/>
      <c r="DQ338" s="123" t="str">
        <f t="shared" si="684"/>
        <v/>
      </c>
      <c r="DR338" s="123" t="str">
        <f t="shared" si="685"/>
        <v/>
      </c>
      <c r="DS338" s="97" t="str">
        <f t="shared" ca="1" si="686"/>
        <v/>
      </c>
      <c r="DT338" s="70" t="str">
        <f t="shared" si="687"/>
        <v/>
      </c>
      <c r="DU338" s="90"/>
      <c r="DV338" s="123" t="str">
        <f t="shared" si="688"/>
        <v/>
      </c>
      <c r="DW338" s="123" t="str">
        <f t="shared" si="689"/>
        <v/>
      </c>
      <c r="DX338" s="132" t="str">
        <f t="shared" ref="DX338" ca="1" si="706">IF(DT338&lt;&gt;"",IF(WEEKNUM(DT338)=WEEKNUM(TODAY()),"This Week",IF(WEEKNUM(DT338)=WEEKNUM(TODAY())+1,"Next Week",IF(WEEKNUM(DT338)=WEEKNUM(TODAY())-1,"Previous Week",""))),"")</f>
        <v/>
      </c>
      <c r="DY338" s="134" t="str">
        <f t="shared" si="691"/>
        <v/>
      </c>
      <c r="DZ338" s="95"/>
      <c r="EB338" s="8" t="str">
        <f t="shared" si="697"/>
        <v/>
      </c>
      <c r="EC338" s="8" t="str">
        <f>IF(O338&lt;&gt;"",VLOOKUP(O338,'Job Master'!$N$12:$O$18,2,0),"")</f>
        <v/>
      </c>
      <c r="ED338" s="8">
        <f t="shared" si="698"/>
        <v>19.5</v>
      </c>
      <c r="EE338" s="8">
        <f t="shared" si="699"/>
        <v>6</v>
      </c>
      <c r="EF338" s="8">
        <f t="shared" si="700"/>
        <v>-1948.5</v>
      </c>
      <c r="EG338" s="8" t="str">
        <f t="shared" si="701"/>
        <v/>
      </c>
      <c r="EH338" s="8" t="str">
        <f t="shared" si="702"/>
        <v/>
      </c>
    </row>
    <row r="339" spans="2:138" x14ac:dyDescent="0.3">
      <c r="B339" s="112"/>
      <c r="C339" s="27"/>
      <c r="D339" s="7" t="str">
        <f t="shared" si="639"/>
        <v/>
      </c>
      <c r="E339" s="25"/>
      <c r="F339" s="7" t="str">
        <f t="shared" si="639"/>
        <v/>
      </c>
      <c r="G339" s="25"/>
      <c r="H339" s="7" t="str">
        <f t="shared" si="639"/>
        <v/>
      </c>
      <c r="I339" s="25"/>
      <c r="J339" s="7" t="str">
        <f t="shared" si="639"/>
        <v/>
      </c>
      <c r="K339" s="25"/>
      <c r="L339" s="7" t="str">
        <f t="shared" si="640"/>
        <v/>
      </c>
      <c r="M339" s="25"/>
      <c r="N339" s="7" t="str">
        <f t="shared" si="641"/>
        <v/>
      </c>
      <c r="O339" s="81"/>
      <c r="P339" s="81" t="str">
        <f t="shared" si="642"/>
        <v/>
      </c>
      <c r="Q339" s="81"/>
      <c r="R339" s="7" t="str">
        <f t="shared" si="643"/>
        <v/>
      </c>
      <c r="S339" s="25"/>
      <c r="T339" s="7" t="str">
        <f t="shared" si="644"/>
        <v/>
      </c>
      <c r="U339" s="25"/>
      <c r="V339" s="7" t="str">
        <f t="shared" si="645"/>
        <v/>
      </c>
      <c r="W339" s="25"/>
      <c r="X339" s="7" t="str">
        <f t="shared" si="646"/>
        <v/>
      </c>
      <c r="Y339" s="18" t="str">
        <f t="shared" si="647"/>
        <v/>
      </c>
      <c r="Z339" s="7" t="str">
        <f t="shared" si="648"/>
        <v/>
      </c>
      <c r="AA339" s="18" t="str">
        <f t="shared" si="649"/>
        <v/>
      </c>
      <c r="AB339" s="19" t="str">
        <f t="shared" si="650"/>
        <v/>
      </c>
      <c r="AC339" s="26"/>
      <c r="AD339" s="26"/>
      <c r="AE339" s="25"/>
      <c r="AF339" s="26"/>
      <c r="AG339" s="25"/>
      <c r="AH339" s="25"/>
      <c r="AI339" s="18" t="str">
        <f t="shared" si="587"/>
        <v/>
      </c>
      <c r="AJ339" s="25"/>
      <c r="AK339" s="18" t="str">
        <f t="shared" si="588"/>
        <v/>
      </c>
      <c r="AL339" s="79"/>
      <c r="AM339" s="126" t="str">
        <f t="shared" si="589"/>
        <v/>
      </c>
      <c r="AN339" s="128" t="str">
        <f>IF(AP339&lt;&gt;"",VLOOKUP($P339&amp;" | "&amp;AN$6,'Job Master'!$F$12:$J$102,5,0),"")</f>
        <v/>
      </c>
      <c r="AO339" s="19" t="str">
        <f>IF(AP339&lt;&gt;"",VLOOKUP($P339&amp;" | "&amp;AN$6,'Job Master'!$F$12:$J$102,3,0),"")</f>
        <v/>
      </c>
      <c r="AP339" s="19" t="str">
        <f>IFERROR(IF(AND(AW339&lt;&gt;"",VLOOKUP($P339&amp;" | "&amp;AN$6,'Job Master'!$F$12:$I$102,4,0)&lt;&gt;""),IF(WEEKDAY(AW339-VLOOKUP($P339&amp;" | "&amp;AN$6,'Job Master'!$F$12:$I$102,4,0))&lt;&gt;7,AW339-VLOOKUP($P339&amp;" | "&amp;AN$6,'Job Master'!$F$12:$I$102,4,0),AW339-VLOOKUP($P339&amp;" | "&amp;AN$6,'Job Master'!$F$12:$I$102,4,0)-1),""),"")</f>
        <v/>
      </c>
      <c r="AQ339" s="73"/>
      <c r="AR339" s="123" t="str">
        <f t="shared" si="651"/>
        <v/>
      </c>
      <c r="AS339" s="123" t="str">
        <f t="shared" si="652"/>
        <v/>
      </c>
      <c r="AT339" s="97" t="str">
        <f t="shared" ca="1" si="653"/>
        <v/>
      </c>
      <c r="AU339" s="98" t="str">
        <f>IF(AW339&lt;&gt;"",VLOOKUP($P339&amp;" | "&amp;AU$6,'Job Master'!$F$12:$J$102,5,0),"")</f>
        <v/>
      </c>
      <c r="AV339" s="19" t="str">
        <f>IF(AW339&lt;&gt;"",VLOOKUP($P339&amp;" | "&amp;AU$6,'Job Master'!$F$12:$J$102,3,0),"")</f>
        <v/>
      </c>
      <c r="AW339" s="19" t="str">
        <f>IFERROR(IF(AND(BD339&lt;&gt;"",VLOOKUP($P339&amp;" | "&amp;AU$6,'Job Master'!$F$12:$I$102,4,0)&lt;&gt;""),IF(WEEKDAY(BD339-VLOOKUP($P339&amp;" | "&amp;AU$6,'Job Master'!$F$12:$I$102,4,0))&lt;&gt;7,BD339-VLOOKUP($P339&amp;" | "&amp;AU$6,'Job Master'!$F$12:$I$102,4,0),BD339-VLOOKUP($P339&amp;" | "&amp;AU$6,'Job Master'!$F$12:$I$102,4,0)-1),""),"")</f>
        <v/>
      </c>
      <c r="AX339" s="73"/>
      <c r="AY339" s="123" t="str">
        <f t="shared" si="654"/>
        <v/>
      </c>
      <c r="AZ339" s="123" t="str">
        <f t="shared" si="655"/>
        <v/>
      </c>
      <c r="BA339" s="97" t="str">
        <f t="shared" ca="1" si="656"/>
        <v/>
      </c>
      <c r="BB339" s="98" t="str">
        <f>IF(BD339&lt;&gt;"",VLOOKUP($P339&amp;" | "&amp;BB$6,'Job Master'!$F$12:$J$102,5,0),"")</f>
        <v/>
      </c>
      <c r="BC339" s="19" t="str">
        <f>IF(BD339&lt;&gt;"",VLOOKUP($P339&amp;" | "&amp;BB$6,'Job Master'!$F$12:$J$102,3,0),"")</f>
        <v/>
      </c>
      <c r="BD339" s="19" t="str">
        <f>IFERROR(IF(AND(BK339&lt;&gt;"",VLOOKUP($P339&amp;" | "&amp;BB$6,'Job Master'!$F$12:$I$102,4,0)&lt;&gt;""),IF(WEEKDAY(BK339-VLOOKUP($P339&amp;" | "&amp;BB$6,'Job Master'!$F$12:$I$102,4,0))&lt;&gt;7,BK339-VLOOKUP($P339&amp;" | "&amp;BB$6,'Job Master'!$F$12:$I$102,4,0),BK339-VLOOKUP($P339&amp;" | "&amp;BB$6,'Job Master'!$F$12:$I$102,4,0)-1),""),"")</f>
        <v/>
      </c>
      <c r="BE339" s="73"/>
      <c r="BF339" s="123" t="str">
        <f t="shared" si="657"/>
        <v/>
      </c>
      <c r="BG339" s="123" t="str">
        <f t="shared" si="658"/>
        <v/>
      </c>
      <c r="BH339" s="97" t="str">
        <f t="shared" ca="1" si="659"/>
        <v/>
      </c>
      <c r="BI339" s="98" t="str">
        <f>IF(BK339&lt;&gt;"",VLOOKUP($P339&amp;" | "&amp;BI$6,'Job Master'!$F$12:$J$102,5,0),"")</f>
        <v/>
      </c>
      <c r="BJ339" s="19" t="str">
        <f>IF(BK339&lt;&gt;"",VLOOKUP($P339&amp;" | "&amp;BI$6,'Job Master'!$F$12:$J$102,3,0),"")</f>
        <v/>
      </c>
      <c r="BK339" s="19" t="str">
        <f>IFERROR(IF(AND(BR339&lt;&gt;"",VLOOKUP($P339&amp;" | "&amp;BI$6,'Job Master'!$F$12:$I$102,4,0)&lt;&gt;""),IF(WEEKDAY(BR339-VLOOKUP($P339&amp;" | "&amp;BI$6,'Job Master'!$F$12:$I$102,4,0))&lt;&gt;7,BR339-VLOOKUP($P339&amp;" | "&amp;BI$6,'Job Master'!$F$12:$I$102,4,0),BR339-VLOOKUP($P339&amp;" | "&amp;BI$6,'Job Master'!$F$12:$I$102,4,0)-1),""),"")</f>
        <v/>
      </c>
      <c r="BL339" s="73"/>
      <c r="BM339" s="123" t="str">
        <f t="shared" si="660"/>
        <v/>
      </c>
      <c r="BN339" s="123" t="str">
        <f t="shared" si="661"/>
        <v/>
      </c>
      <c r="BO339" s="97" t="str">
        <f t="shared" ca="1" si="662"/>
        <v/>
      </c>
      <c r="BP339" s="98" t="str">
        <f>IF(BR339&lt;&gt;"",VLOOKUP($P339&amp;" | "&amp;BP$6,'Job Master'!$F$12:$J$102,5,0),"")</f>
        <v/>
      </c>
      <c r="BQ339" s="19" t="str">
        <f>IF(BR339&lt;&gt;"",VLOOKUP($P339&amp;" | "&amp;BP$6,'Job Master'!$F$12:$J$102,3,0),"")</f>
        <v/>
      </c>
      <c r="BR339" s="19" t="str">
        <f>IFERROR(IF(AND(BY339&lt;&gt;"",VLOOKUP($P339&amp;" | "&amp;BP$6,'Job Master'!$F$12:$I$102,4,0)&lt;&gt;""),IF(WEEKDAY(BY339-VLOOKUP($P339&amp;" | "&amp;BP$6,'Job Master'!$F$12:$I$102,4,0))&lt;&gt;7,BY339-VLOOKUP($P339&amp;" | "&amp;BP$6,'Job Master'!$F$12:$I$102,4,0),BY339-VLOOKUP($P339&amp;" | "&amp;BP$6,'Job Master'!$F$12:$I$102,4,0)-1),""),"")</f>
        <v/>
      </c>
      <c r="BS339" s="73"/>
      <c r="BT339" s="123" t="str">
        <f t="shared" si="663"/>
        <v/>
      </c>
      <c r="BU339" s="123" t="str">
        <f t="shared" si="664"/>
        <v/>
      </c>
      <c r="BV339" s="97" t="str">
        <f t="shared" ca="1" si="665"/>
        <v/>
      </c>
      <c r="BW339" s="98" t="str">
        <f>IF(BY339&lt;&gt;"",VLOOKUP($P339&amp;" | "&amp;BW$6,'Job Master'!$F$12:$J$102,5,0),"")</f>
        <v/>
      </c>
      <c r="BX339" s="19" t="str">
        <f>IF(BY339&lt;&gt;"",VLOOKUP($P339&amp;" | "&amp;BW$6,'Job Master'!$F$12:$J$102,3,0),"")</f>
        <v/>
      </c>
      <c r="BY339" s="19" t="str">
        <f>IFERROR(IF(AND(CF339&lt;&gt;"",VLOOKUP($P339&amp;" | "&amp;BW$6,'Job Master'!$F$12:$I$102,4,0)&lt;&gt;""),IF(WEEKDAY(CF339-VLOOKUP($P339&amp;" | "&amp;BW$6,'Job Master'!$F$12:$I$102,4,0))&lt;&gt;7,CF339-VLOOKUP($P339&amp;" | "&amp;BW$6,'Job Master'!$F$12:$I$102,4,0),CF339-VLOOKUP($P339&amp;" | "&amp;BW$6,'Job Master'!$F$12:$I$102,4,0)-1),""),"")</f>
        <v/>
      </c>
      <c r="BZ339" s="73"/>
      <c r="CA339" s="123" t="str">
        <f t="shared" si="666"/>
        <v/>
      </c>
      <c r="CB339" s="123" t="str">
        <f t="shared" si="667"/>
        <v/>
      </c>
      <c r="CC339" s="97" t="str">
        <f t="shared" ca="1" si="668"/>
        <v/>
      </c>
      <c r="CD339" s="98" t="str">
        <f>IF(CF339&lt;&gt;"",VLOOKUP($P339&amp;" | "&amp;CD$6,'Job Master'!$F$12:$J$102,5,0),"")</f>
        <v/>
      </c>
      <c r="CE339" s="19" t="str">
        <f>IF(CF339&lt;&gt;"",VLOOKUP($P339&amp;" | "&amp;CD$6,'Job Master'!$F$12:$J$102,3,0),"")</f>
        <v/>
      </c>
      <c r="CF339" s="19" t="str">
        <f>IFERROR(IF(AND(CM339&lt;&gt;"",VLOOKUP($P339&amp;" | "&amp;CD$6,'Job Master'!$F$12:$I$102,4,0)&lt;&gt;""),IF(WEEKDAY(CM339-VLOOKUP($P339&amp;" | "&amp;CD$6,'Job Master'!$F$12:$I$102,4,0))&lt;&gt;7,CM339-VLOOKUP($P339&amp;" | "&amp;CD$6,'Job Master'!$F$12:$I$102,4,0),CM339-VLOOKUP($P339&amp;" | "&amp;CD$6,'Job Master'!$F$12:$I$102,4,0)-1),""),"")</f>
        <v/>
      </c>
      <c r="CG339" s="73"/>
      <c r="CH339" s="123" t="str">
        <f t="shared" si="669"/>
        <v/>
      </c>
      <c r="CI339" s="123" t="str">
        <f t="shared" si="670"/>
        <v/>
      </c>
      <c r="CJ339" s="97" t="str">
        <f t="shared" ca="1" si="671"/>
        <v/>
      </c>
      <c r="CK339" s="98" t="str">
        <f>IF(CM339&lt;&gt;"",VLOOKUP($P339&amp;" | "&amp;CK$6,'Job Master'!$F$12:$J$102,5,0),"")</f>
        <v/>
      </c>
      <c r="CL339" s="19" t="str">
        <f>IF(CM339&lt;&gt;"",VLOOKUP($P339&amp;" | "&amp;CK$6,'Job Master'!$F$12:$J$102,3,0),"")</f>
        <v/>
      </c>
      <c r="CM339" s="19" t="str">
        <f>IFERROR(IF(AND(CT339&lt;&gt;"",VLOOKUP($P339&amp;" | "&amp;CK$6,'Job Master'!$F$12:$I$102,4,0)&lt;&gt;""),IF(WEEKDAY(CT339-VLOOKUP($P339&amp;" | "&amp;CK$6,'Job Master'!$F$12:$I$102,4,0))&lt;&gt;7,CT339-VLOOKUP($P339&amp;" | "&amp;CK$6,'Job Master'!$F$12:$I$102,4,0),CT339-VLOOKUP($P339&amp;" | "&amp;CK$6,'Job Master'!$F$12:$I$102,4,0)-1),""),"")</f>
        <v/>
      </c>
      <c r="CN339" s="73"/>
      <c r="CO339" s="123" t="str">
        <f t="shared" si="672"/>
        <v/>
      </c>
      <c r="CP339" s="123" t="str">
        <f t="shared" si="673"/>
        <v/>
      </c>
      <c r="CQ339" s="97" t="str">
        <f t="shared" ca="1" si="674"/>
        <v/>
      </c>
      <c r="CR339" s="98" t="str">
        <f>IF(CT339&lt;&gt;"",VLOOKUP($P339&amp;" | "&amp;CR$6,'Job Master'!$F$12:$J$102,5,0),"")</f>
        <v/>
      </c>
      <c r="CS339" s="19" t="str">
        <f>IF(CT339&lt;&gt;"",VLOOKUP($P339&amp;" | "&amp;CR$6,'Job Master'!$F$12:$J$102,3,0),"")</f>
        <v/>
      </c>
      <c r="CT339" s="19" t="str">
        <f>IFERROR(IF(AND(DA339&lt;&gt;"",VLOOKUP($P339&amp;" | "&amp;CR$6,'Job Master'!$F$12:$I$102,4,0)&lt;&gt;""),IF(WEEKDAY(DA339-VLOOKUP($P339&amp;" | "&amp;CR$6,'Job Master'!$F$12:$I$102,4,0))&lt;&gt;7,DA339-VLOOKUP($P339&amp;" | "&amp;CR$6,'Job Master'!$F$12:$I$102,4,0),DA339-VLOOKUP($P339&amp;" | "&amp;CR$6,'Job Master'!$F$12:$I$102,4,0)-1),""),"")</f>
        <v/>
      </c>
      <c r="CU339" s="73"/>
      <c r="CV339" s="123" t="str">
        <f t="shared" si="675"/>
        <v/>
      </c>
      <c r="CW339" s="123" t="str">
        <f t="shared" si="676"/>
        <v/>
      </c>
      <c r="CX339" s="97" t="str">
        <f t="shared" ca="1" si="677"/>
        <v/>
      </c>
      <c r="CY339" s="98" t="str">
        <f>IF(DA339&lt;&gt;"",VLOOKUP($P339&amp;" | "&amp;CY$6,'Job Master'!$F$12:$J$102,5,0),"")</f>
        <v/>
      </c>
      <c r="CZ339" s="19" t="str">
        <f>IF(DA339&lt;&gt;"",VLOOKUP($P339&amp;" | "&amp;CY$6,'Job Master'!$F$12:$J$102,3,0),"")</f>
        <v/>
      </c>
      <c r="DA339" s="19" t="str">
        <f>IFERROR(IF(AND(DH339&lt;&gt;"",VLOOKUP($P339&amp;" | "&amp;CY$6,'Job Master'!$F$12:$I$102,4,0)&lt;&gt;""),IF(WEEKDAY(DH339-VLOOKUP($P339&amp;" | "&amp;CY$6,'Job Master'!$F$12:$I$102,4,0))&lt;&gt;7,DH339-VLOOKUP($P339&amp;" | "&amp;CY$6,'Job Master'!$F$12:$I$102,4,0),DH339-VLOOKUP($P339&amp;" | "&amp;CY$6,'Job Master'!$F$12:$I$102,4,0)-1),""),"")</f>
        <v/>
      </c>
      <c r="DB339" s="73"/>
      <c r="DC339" s="123" t="str">
        <f t="shared" si="678"/>
        <v/>
      </c>
      <c r="DD339" s="123" t="str">
        <f t="shared" si="679"/>
        <v/>
      </c>
      <c r="DE339" s="97" t="str">
        <f t="shared" ca="1" si="680"/>
        <v/>
      </c>
      <c r="DF339" s="98" t="str">
        <f>IF(DH339&lt;&gt;"",VLOOKUP($P339&amp;" | "&amp;DF$6,'Job Master'!$F$12:$J$102,5,0),"")</f>
        <v/>
      </c>
      <c r="DG339" s="19" t="str">
        <f>IF(DH339&lt;&gt;"",VLOOKUP($P339&amp;" | "&amp;DF$6,'Job Master'!$F$12:$J$102,3,0),"")</f>
        <v/>
      </c>
      <c r="DH339" s="19" t="str">
        <f>IFERROR(IF(AND(DO339&lt;&gt;"",VLOOKUP($P339&amp;" | "&amp;DF$6,'Job Master'!$F$12:$I$102,4,0)&lt;&gt;""),IF(WEEKDAY(DO339-VLOOKUP($P339&amp;" | "&amp;DF$6,'Job Master'!$F$12:$I$102,4,0))&lt;&gt;7,DO339-VLOOKUP($P339&amp;" | "&amp;DF$6,'Job Master'!$F$12:$I$102,4,0),DO339-VLOOKUP($P339&amp;" | "&amp;DF$6,'Job Master'!$F$12:$I$102,4,0)-1),""),"")</f>
        <v/>
      </c>
      <c r="DI339" s="73"/>
      <c r="DJ339" s="123" t="str">
        <f t="shared" si="681"/>
        <v/>
      </c>
      <c r="DK339" s="123" t="str">
        <f t="shared" si="682"/>
        <v/>
      </c>
      <c r="DL339" s="97" t="str">
        <f t="shared" ca="1" si="683"/>
        <v/>
      </c>
      <c r="DM339" s="98" t="str">
        <f>IF(DO339&lt;&gt;"",VLOOKUP($P339&amp;" | "&amp;DM$6,'Job Master'!$F$12:$J$102,5,0),"")</f>
        <v/>
      </c>
      <c r="DN339" s="19" t="str">
        <f>IF(DO339&lt;&gt;"",VLOOKUP($P339&amp;" | "&amp;DM$6,'Job Master'!$F$12:$J$102,3,0),"")</f>
        <v/>
      </c>
      <c r="DO339" s="19" t="str">
        <f>IFERROR(IF(AND(DT339&lt;&gt;"",VLOOKUP($P339&amp;" | "&amp;DM$6,'Job Master'!$F$12:$I$102,4,0)&lt;&gt;""),IF(WEEKDAY(DT339-VLOOKUP($P339&amp;" | "&amp;DM$6,'Job Master'!$F$12:$I$102,4,0))&lt;&gt;7,DT339-VLOOKUP($P339&amp;" | "&amp;DM$6,'Job Master'!$F$12:$I$102,4,0),DT339-VLOOKUP($P339&amp;" | "&amp;DM$6,'Job Master'!$F$12:$I$102,4,0)-1),""),"")</f>
        <v/>
      </c>
      <c r="DP339" s="73"/>
      <c r="DQ339" s="123" t="str">
        <f t="shared" si="684"/>
        <v/>
      </c>
      <c r="DR339" s="123" t="str">
        <f t="shared" si="685"/>
        <v/>
      </c>
      <c r="DS339" s="97" t="str">
        <f t="shared" ca="1" si="686"/>
        <v/>
      </c>
      <c r="DT339" s="70" t="str">
        <f t="shared" si="687"/>
        <v/>
      </c>
      <c r="DU339" s="90"/>
      <c r="DV339" s="123" t="str">
        <f t="shared" si="688"/>
        <v/>
      </c>
      <c r="DW339" s="123" t="str">
        <f t="shared" si="689"/>
        <v/>
      </c>
      <c r="DX339" s="132" t="str">
        <f t="shared" ref="DX339" ca="1" si="707">IF(DT339&lt;&gt;"",IF(WEEKNUM(DT339)=WEEKNUM(TODAY()),"This Week",IF(WEEKNUM(DT339)=WEEKNUM(TODAY())+1,"Next Week",IF(WEEKNUM(DT339)=WEEKNUM(TODAY())-1,"Previous Week",""))),"")</f>
        <v/>
      </c>
      <c r="DY339" s="134" t="str">
        <f t="shared" si="691"/>
        <v/>
      </c>
      <c r="DZ339" s="95"/>
      <c r="EB339" s="8" t="str">
        <f t="shared" si="697"/>
        <v/>
      </c>
      <c r="EC339" s="8" t="str">
        <f>IF(O339&lt;&gt;"",VLOOKUP(O339,'Job Master'!$N$12:$O$18,2,0),"")</f>
        <v/>
      </c>
      <c r="ED339" s="8">
        <f t="shared" si="698"/>
        <v>19.5</v>
      </c>
      <c r="EE339" s="8">
        <f t="shared" si="699"/>
        <v>6</v>
      </c>
      <c r="EF339" s="8">
        <f t="shared" si="700"/>
        <v>-1954.5</v>
      </c>
      <c r="EG339" s="8" t="str">
        <f t="shared" si="701"/>
        <v/>
      </c>
      <c r="EH339" s="8" t="str">
        <f t="shared" si="702"/>
        <v/>
      </c>
    </row>
    <row r="340" spans="2:138" x14ac:dyDescent="0.3">
      <c r="B340" s="112"/>
      <c r="C340" s="27"/>
      <c r="D340" s="7" t="str">
        <f t="shared" si="639"/>
        <v/>
      </c>
      <c r="E340" s="25"/>
      <c r="F340" s="7" t="str">
        <f t="shared" si="639"/>
        <v/>
      </c>
      <c r="G340" s="25"/>
      <c r="H340" s="7" t="str">
        <f t="shared" si="639"/>
        <v/>
      </c>
      <c r="I340" s="25"/>
      <c r="J340" s="7" t="str">
        <f t="shared" si="639"/>
        <v/>
      </c>
      <c r="K340" s="25"/>
      <c r="L340" s="7" t="str">
        <f t="shared" si="640"/>
        <v/>
      </c>
      <c r="M340" s="25"/>
      <c r="N340" s="7" t="str">
        <f t="shared" si="641"/>
        <v/>
      </c>
      <c r="O340" s="81"/>
      <c r="P340" s="81" t="str">
        <f t="shared" si="642"/>
        <v/>
      </c>
      <c r="Q340" s="81"/>
      <c r="R340" s="7" t="str">
        <f t="shared" si="643"/>
        <v/>
      </c>
      <c r="S340" s="25"/>
      <c r="T340" s="7" t="str">
        <f t="shared" si="644"/>
        <v/>
      </c>
      <c r="U340" s="25"/>
      <c r="V340" s="7" t="str">
        <f t="shared" si="645"/>
        <v/>
      </c>
      <c r="W340" s="25"/>
      <c r="X340" s="7" t="str">
        <f t="shared" si="646"/>
        <v/>
      </c>
      <c r="Y340" s="18" t="str">
        <f t="shared" si="647"/>
        <v/>
      </c>
      <c r="Z340" s="7" t="str">
        <f t="shared" si="648"/>
        <v/>
      </c>
      <c r="AA340" s="18" t="str">
        <f t="shared" si="649"/>
        <v/>
      </c>
      <c r="AB340" s="19" t="str">
        <f t="shared" si="650"/>
        <v/>
      </c>
      <c r="AC340" s="26"/>
      <c r="AD340" s="26"/>
      <c r="AE340" s="25"/>
      <c r="AF340" s="26"/>
      <c r="AG340" s="25"/>
      <c r="AH340" s="25"/>
      <c r="AI340" s="18" t="str">
        <f t="shared" si="587"/>
        <v/>
      </c>
      <c r="AJ340" s="25"/>
      <c r="AK340" s="18" t="str">
        <f t="shared" si="588"/>
        <v/>
      </c>
      <c r="AL340" s="79"/>
      <c r="AM340" s="126" t="str">
        <f t="shared" si="589"/>
        <v/>
      </c>
      <c r="AN340" s="128" t="str">
        <f>IF(AP340&lt;&gt;"",VLOOKUP($P340&amp;" | "&amp;AN$6,'Job Master'!$F$12:$J$102,5,0),"")</f>
        <v/>
      </c>
      <c r="AO340" s="19" t="str">
        <f>IF(AP340&lt;&gt;"",VLOOKUP($P340&amp;" | "&amp;AN$6,'Job Master'!$F$12:$J$102,3,0),"")</f>
        <v/>
      </c>
      <c r="AP340" s="19" t="str">
        <f>IFERROR(IF(AND(AW340&lt;&gt;"",VLOOKUP($P340&amp;" | "&amp;AN$6,'Job Master'!$F$12:$I$102,4,0)&lt;&gt;""),IF(WEEKDAY(AW340-VLOOKUP($P340&amp;" | "&amp;AN$6,'Job Master'!$F$12:$I$102,4,0))&lt;&gt;7,AW340-VLOOKUP($P340&amp;" | "&amp;AN$6,'Job Master'!$F$12:$I$102,4,0),AW340-VLOOKUP($P340&amp;" | "&amp;AN$6,'Job Master'!$F$12:$I$102,4,0)-1),""),"")</f>
        <v/>
      </c>
      <c r="AQ340" s="73"/>
      <c r="AR340" s="123" t="str">
        <f t="shared" si="651"/>
        <v/>
      </c>
      <c r="AS340" s="123" t="str">
        <f t="shared" si="652"/>
        <v/>
      </c>
      <c r="AT340" s="97" t="str">
        <f t="shared" ca="1" si="653"/>
        <v/>
      </c>
      <c r="AU340" s="98" t="str">
        <f>IF(AW340&lt;&gt;"",VLOOKUP($P340&amp;" | "&amp;AU$6,'Job Master'!$F$12:$J$102,5,0),"")</f>
        <v/>
      </c>
      <c r="AV340" s="19" t="str">
        <f>IF(AW340&lt;&gt;"",VLOOKUP($P340&amp;" | "&amp;AU$6,'Job Master'!$F$12:$J$102,3,0),"")</f>
        <v/>
      </c>
      <c r="AW340" s="19" t="str">
        <f>IFERROR(IF(AND(BD340&lt;&gt;"",VLOOKUP($P340&amp;" | "&amp;AU$6,'Job Master'!$F$12:$I$102,4,0)&lt;&gt;""),IF(WEEKDAY(BD340-VLOOKUP($P340&amp;" | "&amp;AU$6,'Job Master'!$F$12:$I$102,4,0))&lt;&gt;7,BD340-VLOOKUP($P340&amp;" | "&amp;AU$6,'Job Master'!$F$12:$I$102,4,0),BD340-VLOOKUP($P340&amp;" | "&amp;AU$6,'Job Master'!$F$12:$I$102,4,0)-1),""),"")</f>
        <v/>
      </c>
      <c r="AX340" s="73"/>
      <c r="AY340" s="123" t="str">
        <f t="shared" si="654"/>
        <v/>
      </c>
      <c r="AZ340" s="123" t="str">
        <f t="shared" si="655"/>
        <v/>
      </c>
      <c r="BA340" s="97" t="str">
        <f t="shared" ca="1" si="656"/>
        <v/>
      </c>
      <c r="BB340" s="98" t="str">
        <f>IF(BD340&lt;&gt;"",VLOOKUP($P340&amp;" | "&amp;BB$6,'Job Master'!$F$12:$J$102,5,0),"")</f>
        <v/>
      </c>
      <c r="BC340" s="19" t="str">
        <f>IF(BD340&lt;&gt;"",VLOOKUP($P340&amp;" | "&amp;BB$6,'Job Master'!$F$12:$J$102,3,0),"")</f>
        <v/>
      </c>
      <c r="BD340" s="19" t="str">
        <f>IFERROR(IF(AND(BK340&lt;&gt;"",VLOOKUP($P340&amp;" | "&amp;BB$6,'Job Master'!$F$12:$I$102,4,0)&lt;&gt;""),IF(WEEKDAY(BK340-VLOOKUP($P340&amp;" | "&amp;BB$6,'Job Master'!$F$12:$I$102,4,0))&lt;&gt;7,BK340-VLOOKUP($P340&amp;" | "&amp;BB$6,'Job Master'!$F$12:$I$102,4,0),BK340-VLOOKUP($P340&amp;" | "&amp;BB$6,'Job Master'!$F$12:$I$102,4,0)-1),""),"")</f>
        <v/>
      </c>
      <c r="BE340" s="73"/>
      <c r="BF340" s="123" t="str">
        <f t="shared" si="657"/>
        <v/>
      </c>
      <c r="BG340" s="123" t="str">
        <f t="shared" si="658"/>
        <v/>
      </c>
      <c r="BH340" s="97" t="str">
        <f t="shared" ca="1" si="659"/>
        <v/>
      </c>
      <c r="BI340" s="98" t="str">
        <f>IF(BK340&lt;&gt;"",VLOOKUP($P340&amp;" | "&amp;BI$6,'Job Master'!$F$12:$J$102,5,0),"")</f>
        <v/>
      </c>
      <c r="BJ340" s="19" t="str">
        <f>IF(BK340&lt;&gt;"",VLOOKUP($P340&amp;" | "&amp;BI$6,'Job Master'!$F$12:$J$102,3,0),"")</f>
        <v/>
      </c>
      <c r="BK340" s="19" t="str">
        <f>IFERROR(IF(AND(BR340&lt;&gt;"",VLOOKUP($P340&amp;" | "&amp;BI$6,'Job Master'!$F$12:$I$102,4,0)&lt;&gt;""),IF(WEEKDAY(BR340-VLOOKUP($P340&amp;" | "&amp;BI$6,'Job Master'!$F$12:$I$102,4,0))&lt;&gt;7,BR340-VLOOKUP($P340&amp;" | "&amp;BI$6,'Job Master'!$F$12:$I$102,4,0),BR340-VLOOKUP($P340&amp;" | "&amp;BI$6,'Job Master'!$F$12:$I$102,4,0)-1),""),"")</f>
        <v/>
      </c>
      <c r="BL340" s="73"/>
      <c r="BM340" s="123" t="str">
        <f t="shared" si="660"/>
        <v/>
      </c>
      <c r="BN340" s="123" t="str">
        <f t="shared" si="661"/>
        <v/>
      </c>
      <c r="BO340" s="97" t="str">
        <f t="shared" ca="1" si="662"/>
        <v/>
      </c>
      <c r="BP340" s="98" t="str">
        <f>IF(BR340&lt;&gt;"",VLOOKUP($P340&amp;" | "&amp;BP$6,'Job Master'!$F$12:$J$102,5,0),"")</f>
        <v/>
      </c>
      <c r="BQ340" s="19" t="str">
        <f>IF(BR340&lt;&gt;"",VLOOKUP($P340&amp;" | "&amp;BP$6,'Job Master'!$F$12:$J$102,3,0),"")</f>
        <v/>
      </c>
      <c r="BR340" s="19" t="str">
        <f>IFERROR(IF(AND(BY340&lt;&gt;"",VLOOKUP($P340&amp;" | "&amp;BP$6,'Job Master'!$F$12:$I$102,4,0)&lt;&gt;""),IF(WEEKDAY(BY340-VLOOKUP($P340&amp;" | "&amp;BP$6,'Job Master'!$F$12:$I$102,4,0))&lt;&gt;7,BY340-VLOOKUP($P340&amp;" | "&amp;BP$6,'Job Master'!$F$12:$I$102,4,0),BY340-VLOOKUP($P340&amp;" | "&amp;BP$6,'Job Master'!$F$12:$I$102,4,0)-1),""),"")</f>
        <v/>
      </c>
      <c r="BS340" s="73"/>
      <c r="BT340" s="123" t="str">
        <f t="shared" si="663"/>
        <v/>
      </c>
      <c r="BU340" s="123" t="str">
        <f t="shared" si="664"/>
        <v/>
      </c>
      <c r="BV340" s="97" t="str">
        <f t="shared" ca="1" si="665"/>
        <v/>
      </c>
      <c r="BW340" s="98" t="str">
        <f>IF(BY340&lt;&gt;"",VLOOKUP($P340&amp;" | "&amp;BW$6,'Job Master'!$F$12:$J$102,5,0),"")</f>
        <v/>
      </c>
      <c r="BX340" s="19" t="str">
        <f>IF(BY340&lt;&gt;"",VLOOKUP($P340&amp;" | "&amp;BW$6,'Job Master'!$F$12:$J$102,3,0),"")</f>
        <v/>
      </c>
      <c r="BY340" s="19" t="str">
        <f>IFERROR(IF(AND(CF340&lt;&gt;"",VLOOKUP($P340&amp;" | "&amp;BW$6,'Job Master'!$F$12:$I$102,4,0)&lt;&gt;""),IF(WEEKDAY(CF340-VLOOKUP($P340&amp;" | "&amp;BW$6,'Job Master'!$F$12:$I$102,4,0))&lt;&gt;7,CF340-VLOOKUP($P340&amp;" | "&amp;BW$6,'Job Master'!$F$12:$I$102,4,0),CF340-VLOOKUP($P340&amp;" | "&amp;BW$6,'Job Master'!$F$12:$I$102,4,0)-1),""),"")</f>
        <v/>
      </c>
      <c r="BZ340" s="73"/>
      <c r="CA340" s="123" t="str">
        <f t="shared" si="666"/>
        <v/>
      </c>
      <c r="CB340" s="123" t="str">
        <f t="shared" si="667"/>
        <v/>
      </c>
      <c r="CC340" s="97" t="str">
        <f t="shared" ca="1" si="668"/>
        <v/>
      </c>
      <c r="CD340" s="98" t="str">
        <f>IF(CF340&lt;&gt;"",VLOOKUP($P340&amp;" | "&amp;CD$6,'Job Master'!$F$12:$J$102,5,0),"")</f>
        <v/>
      </c>
      <c r="CE340" s="19" t="str">
        <f>IF(CF340&lt;&gt;"",VLOOKUP($P340&amp;" | "&amp;CD$6,'Job Master'!$F$12:$J$102,3,0),"")</f>
        <v/>
      </c>
      <c r="CF340" s="19" t="str">
        <f>IFERROR(IF(AND(CM340&lt;&gt;"",VLOOKUP($P340&amp;" | "&amp;CD$6,'Job Master'!$F$12:$I$102,4,0)&lt;&gt;""),IF(WEEKDAY(CM340-VLOOKUP($P340&amp;" | "&amp;CD$6,'Job Master'!$F$12:$I$102,4,0))&lt;&gt;7,CM340-VLOOKUP($P340&amp;" | "&amp;CD$6,'Job Master'!$F$12:$I$102,4,0),CM340-VLOOKUP($P340&amp;" | "&amp;CD$6,'Job Master'!$F$12:$I$102,4,0)-1),""),"")</f>
        <v/>
      </c>
      <c r="CG340" s="73"/>
      <c r="CH340" s="123" t="str">
        <f t="shared" si="669"/>
        <v/>
      </c>
      <c r="CI340" s="123" t="str">
        <f t="shared" si="670"/>
        <v/>
      </c>
      <c r="CJ340" s="97" t="str">
        <f t="shared" ca="1" si="671"/>
        <v/>
      </c>
      <c r="CK340" s="98" t="str">
        <f>IF(CM340&lt;&gt;"",VLOOKUP($P340&amp;" | "&amp;CK$6,'Job Master'!$F$12:$J$102,5,0),"")</f>
        <v/>
      </c>
      <c r="CL340" s="19" t="str">
        <f>IF(CM340&lt;&gt;"",VLOOKUP($P340&amp;" | "&amp;CK$6,'Job Master'!$F$12:$J$102,3,0),"")</f>
        <v/>
      </c>
      <c r="CM340" s="19" t="str">
        <f>IFERROR(IF(AND(CT340&lt;&gt;"",VLOOKUP($P340&amp;" | "&amp;CK$6,'Job Master'!$F$12:$I$102,4,0)&lt;&gt;""),IF(WEEKDAY(CT340-VLOOKUP($P340&amp;" | "&amp;CK$6,'Job Master'!$F$12:$I$102,4,0))&lt;&gt;7,CT340-VLOOKUP($P340&amp;" | "&amp;CK$6,'Job Master'!$F$12:$I$102,4,0),CT340-VLOOKUP($P340&amp;" | "&amp;CK$6,'Job Master'!$F$12:$I$102,4,0)-1),""),"")</f>
        <v/>
      </c>
      <c r="CN340" s="73"/>
      <c r="CO340" s="123" t="str">
        <f t="shared" si="672"/>
        <v/>
      </c>
      <c r="CP340" s="123" t="str">
        <f t="shared" si="673"/>
        <v/>
      </c>
      <c r="CQ340" s="97" t="str">
        <f t="shared" ca="1" si="674"/>
        <v/>
      </c>
      <c r="CR340" s="98" t="str">
        <f>IF(CT340&lt;&gt;"",VLOOKUP($P340&amp;" | "&amp;CR$6,'Job Master'!$F$12:$J$102,5,0),"")</f>
        <v/>
      </c>
      <c r="CS340" s="19" t="str">
        <f>IF(CT340&lt;&gt;"",VLOOKUP($P340&amp;" | "&amp;CR$6,'Job Master'!$F$12:$J$102,3,0),"")</f>
        <v/>
      </c>
      <c r="CT340" s="19" t="str">
        <f>IFERROR(IF(AND(DA340&lt;&gt;"",VLOOKUP($P340&amp;" | "&amp;CR$6,'Job Master'!$F$12:$I$102,4,0)&lt;&gt;""),IF(WEEKDAY(DA340-VLOOKUP($P340&amp;" | "&amp;CR$6,'Job Master'!$F$12:$I$102,4,0))&lt;&gt;7,DA340-VLOOKUP($P340&amp;" | "&amp;CR$6,'Job Master'!$F$12:$I$102,4,0),DA340-VLOOKUP($P340&amp;" | "&amp;CR$6,'Job Master'!$F$12:$I$102,4,0)-1),""),"")</f>
        <v/>
      </c>
      <c r="CU340" s="73"/>
      <c r="CV340" s="123" t="str">
        <f t="shared" si="675"/>
        <v/>
      </c>
      <c r="CW340" s="123" t="str">
        <f t="shared" si="676"/>
        <v/>
      </c>
      <c r="CX340" s="97" t="str">
        <f t="shared" ca="1" si="677"/>
        <v/>
      </c>
      <c r="CY340" s="98" t="str">
        <f>IF(DA340&lt;&gt;"",VLOOKUP($P340&amp;" | "&amp;CY$6,'Job Master'!$F$12:$J$102,5,0),"")</f>
        <v/>
      </c>
      <c r="CZ340" s="19" t="str">
        <f>IF(DA340&lt;&gt;"",VLOOKUP($P340&amp;" | "&amp;CY$6,'Job Master'!$F$12:$J$102,3,0),"")</f>
        <v/>
      </c>
      <c r="DA340" s="19" t="str">
        <f>IFERROR(IF(AND(DH340&lt;&gt;"",VLOOKUP($P340&amp;" | "&amp;CY$6,'Job Master'!$F$12:$I$102,4,0)&lt;&gt;""),IF(WEEKDAY(DH340-VLOOKUP($P340&amp;" | "&amp;CY$6,'Job Master'!$F$12:$I$102,4,0))&lt;&gt;7,DH340-VLOOKUP($P340&amp;" | "&amp;CY$6,'Job Master'!$F$12:$I$102,4,0),DH340-VLOOKUP($P340&amp;" | "&amp;CY$6,'Job Master'!$F$12:$I$102,4,0)-1),""),"")</f>
        <v/>
      </c>
      <c r="DB340" s="73"/>
      <c r="DC340" s="123" t="str">
        <f t="shared" si="678"/>
        <v/>
      </c>
      <c r="DD340" s="123" t="str">
        <f t="shared" si="679"/>
        <v/>
      </c>
      <c r="DE340" s="97" t="str">
        <f t="shared" ca="1" si="680"/>
        <v/>
      </c>
      <c r="DF340" s="98" t="str">
        <f>IF(DH340&lt;&gt;"",VLOOKUP($P340&amp;" | "&amp;DF$6,'Job Master'!$F$12:$J$102,5,0),"")</f>
        <v/>
      </c>
      <c r="DG340" s="19" t="str">
        <f>IF(DH340&lt;&gt;"",VLOOKUP($P340&amp;" | "&amp;DF$6,'Job Master'!$F$12:$J$102,3,0),"")</f>
        <v/>
      </c>
      <c r="DH340" s="19" t="str">
        <f>IFERROR(IF(AND(DO340&lt;&gt;"",VLOOKUP($P340&amp;" | "&amp;DF$6,'Job Master'!$F$12:$I$102,4,0)&lt;&gt;""),IF(WEEKDAY(DO340-VLOOKUP($P340&amp;" | "&amp;DF$6,'Job Master'!$F$12:$I$102,4,0))&lt;&gt;7,DO340-VLOOKUP($P340&amp;" | "&amp;DF$6,'Job Master'!$F$12:$I$102,4,0),DO340-VLOOKUP($P340&amp;" | "&amp;DF$6,'Job Master'!$F$12:$I$102,4,0)-1),""),"")</f>
        <v/>
      </c>
      <c r="DI340" s="73"/>
      <c r="DJ340" s="123" t="str">
        <f t="shared" si="681"/>
        <v/>
      </c>
      <c r="DK340" s="123" t="str">
        <f t="shared" si="682"/>
        <v/>
      </c>
      <c r="DL340" s="97" t="str">
        <f t="shared" ca="1" si="683"/>
        <v/>
      </c>
      <c r="DM340" s="98" t="str">
        <f>IF(DO340&lt;&gt;"",VLOOKUP($P340&amp;" | "&amp;DM$6,'Job Master'!$F$12:$J$102,5,0),"")</f>
        <v/>
      </c>
      <c r="DN340" s="19" t="str">
        <f>IF(DO340&lt;&gt;"",VLOOKUP($P340&amp;" | "&amp;DM$6,'Job Master'!$F$12:$J$102,3,0),"")</f>
        <v/>
      </c>
      <c r="DO340" s="19" t="str">
        <f>IFERROR(IF(AND(DT340&lt;&gt;"",VLOOKUP($P340&amp;" | "&amp;DM$6,'Job Master'!$F$12:$I$102,4,0)&lt;&gt;""),IF(WEEKDAY(DT340-VLOOKUP($P340&amp;" | "&amp;DM$6,'Job Master'!$F$12:$I$102,4,0))&lt;&gt;7,DT340-VLOOKUP($P340&amp;" | "&amp;DM$6,'Job Master'!$F$12:$I$102,4,0),DT340-VLOOKUP($P340&amp;" | "&amp;DM$6,'Job Master'!$F$12:$I$102,4,0)-1),""),"")</f>
        <v/>
      </c>
      <c r="DP340" s="73"/>
      <c r="DQ340" s="123" t="str">
        <f t="shared" si="684"/>
        <v/>
      </c>
      <c r="DR340" s="123" t="str">
        <f t="shared" si="685"/>
        <v/>
      </c>
      <c r="DS340" s="97" t="str">
        <f t="shared" ca="1" si="686"/>
        <v/>
      </c>
      <c r="DT340" s="70" t="str">
        <f t="shared" si="687"/>
        <v/>
      </c>
      <c r="DU340" s="90"/>
      <c r="DV340" s="123" t="str">
        <f t="shared" si="688"/>
        <v/>
      </c>
      <c r="DW340" s="123" t="str">
        <f t="shared" si="689"/>
        <v/>
      </c>
      <c r="DX340" s="132" t="str">
        <f t="shared" ref="DX340" ca="1" si="708">IF(DT340&lt;&gt;"",IF(WEEKNUM(DT340)=WEEKNUM(TODAY()),"This Week",IF(WEEKNUM(DT340)=WEEKNUM(TODAY())+1,"Next Week",IF(WEEKNUM(DT340)=WEEKNUM(TODAY())-1,"Previous Week",""))),"")</f>
        <v/>
      </c>
      <c r="DY340" s="134" t="str">
        <f t="shared" si="691"/>
        <v/>
      </c>
      <c r="DZ340" s="95"/>
      <c r="EB340" s="8" t="str">
        <f t="shared" si="697"/>
        <v/>
      </c>
      <c r="EC340" s="8" t="str">
        <f>IF(O340&lt;&gt;"",VLOOKUP(O340,'Job Master'!$N$12:$O$18,2,0),"")</f>
        <v/>
      </c>
      <c r="ED340" s="8">
        <f t="shared" si="698"/>
        <v>19.5</v>
      </c>
      <c r="EE340" s="8">
        <f t="shared" si="699"/>
        <v>6</v>
      </c>
      <c r="EF340" s="8">
        <f t="shared" si="700"/>
        <v>-1960.5</v>
      </c>
      <c r="EG340" s="8" t="str">
        <f t="shared" si="701"/>
        <v/>
      </c>
      <c r="EH340" s="8" t="str">
        <f t="shared" si="702"/>
        <v/>
      </c>
    </row>
    <row r="341" spans="2:138" x14ac:dyDescent="0.3">
      <c r="B341" s="112"/>
      <c r="C341" s="27"/>
      <c r="D341" s="7" t="str">
        <f t="shared" si="639"/>
        <v/>
      </c>
      <c r="E341" s="25"/>
      <c r="F341" s="7" t="str">
        <f t="shared" si="639"/>
        <v/>
      </c>
      <c r="G341" s="25"/>
      <c r="H341" s="7" t="str">
        <f t="shared" si="639"/>
        <v/>
      </c>
      <c r="I341" s="25"/>
      <c r="J341" s="7" t="str">
        <f t="shared" si="639"/>
        <v/>
      </c>
      <c r="K341" s="25"/>
      <c r="L341" s="7" t="str">
        <f t="shared" si="640"/>
        <v/>
      </c>
      <c r="M341" s="25"/>
      <c r="N341" s="7" t="str">
        <f t="shared" si="641"/>
        <v/>
      </c>
      <c r="O341" s="81"/>
      <c r="P341" s="81" t="str">
        <f t="shared" si="642"/>
        <v/>
      </c>
      <c r="Q341" s="81"/>
      <c r="R341" s="7" t="str">
        <f t="shared" si="643"/>
        <v/>
      </c>
      <c r="S341" s="25"/>
      <c r="T341" s="7" t="str">
        <f t="shared" si="644"/>
        <v/>
      </c>
      <c r="U341" s="25"/>
      <c r="V341" s="7" t="str">
        <f t="shared" si="645"/>
        <v/>
      </c>
      <c r="W341" s="25"/>
      <c r="X341" s="7" t="str">
        <f t="shared" si="646"/>
        <v/>
      </c>
      <c r="Y341" s="18" t="str">
        <f t="shared" si="647"/>
        <v/>
      </c>
      <c r="Z341" s="7" t="str">
        <f t="shared" si="648"/>
        <v/>
      </c>
      <c r="AA341" s="18" t="str">
        <f t="shared" si="649"/>
        <v/>
      </c>
      <c r="AB341" s="19" t="str">
        <f t="shared" si="650"/>
        <v/>
      </c>
      <c r="AC341" s="26"/>
      <c r="AD341" s="26"/>
      <c r="AE341" s="25"/>
      <c r="AF341" s="26"/>
      <c r="AG341" s="25"/>
      <c r="AH341" s="25"/>
      <c r="AI341" s="18" t="str">
        <f t="shared" si="587"/>
        <v/>
      </c>
      <c r="AJ341" s="25"/>
      <c r="AK341" s="18" t="str">
        <f t="shared" si="588"/>
        <v/>
      </c>
      <c r="AL341" s="79"/>
      <c r="AM341" s="126" t="str">
        <f t="shared" si="589"/>
        <v/>
      </c>
      <c r="AN341" s="128" t="str">
        <f>IF(AP341&lt;&gt;"",VLOOKUP($P341&amp;" | "&amp;AN$6,'Job Master'!$F$12:$J$102,5,0),"")</f>
        <v/>
      </c>
      <c r="AO341" s="19" t="str">
        <f>IF(AP341&lt;&gt;"",VLOOKUP($P341&amp;" | "&amp;AN$6,'Job Master'!$F$12:$J$102,3,0),"")</f>
        <v/>
      </c>
      <c r="AP341" s="19" t="str">
        <f>IFERROR(IF(AND(AW341&lt;&gt;"",VLOOKUP($P341&amp;" | "&amp;AN$6,'Job Master'!$F$12:$I$102,4,0)&lt;&gt;""),IF(WEEKDAY(AW341-VLOOKUP($P341&amp;" | "&amp;AN$6,'Job Master'!$F$12:$I$102,4,0))&lt;&gt;7,AW341-VLOOKUP($P341&amp;" | "&amp;AN$6,'Job Master'!$F$12:$I$102,4,0),AW341-VLOOKUP($P341&amp;" | "&amp;AN$6,'Job Master'!$F$12:$I$102,4,0)-1),""),"")</f>
        <v/>
      </c>
      <c r="AQ341" s="73"/>
      <c r="AR341" s="123" t="str">
        <f t="shared" si="651"/>
        <v/>
      </c>
      <c r="AS341" s="123" t="str">
        <f t="shared" si="652"/>
        <v/>
      </c>
      <c r="AT341" s="97" t="str">
        <f t="shared" ca="1" si="653"/>
        <v/>
      </c>
      <c r="AU341" s="98" t="str">
        <f>IF(AW341&lt;&gt;"",VLOOKUP($P341&amp;" | "&amp;AU$6,'Job Master'!$F$12:$J$102,5,0),"")</f>
        <v/>
      </c>
      <c r="AV341" s="19" t="str">
        <f>IF(AW341&lt;&gt;"",VLOOKUP($P341&amp;" | "&amp;AU$6,'Job Master'!$F$12:$J$102,3,0),"")</f>
        <v/>
      </c>
      <c r="AW341" s="19" t="str">
        <f>IFERROR(IF(AND(BD341&lt;&gt;"",VLOOKUP($P341&amp;" | "&amp;AU$6,'Job Master'!$F$12:$I$102,4,0)&lt;&gt;""),IF(WEEKDAY(BD341-VLOOKUP($P341&amp;" | "&amp;AU$6,'Job Master'!$F$12:$I$102,4,0))&lt;&gt;7,BD341-VLOOKUP($P341&amp;" | "&amp;AU$6,'Job Master'!$F$12:$I$102,4,0),BD341-VLOOKUP($P341&amp;" | "&amp;AU$6,'Job Master'!$F$12:$I$102,4,0)-1),""),"")</f>
        <v/>
      </c>
      <c r="AX341" s="73"/>
      <c r="AY341" s="123" t="str">
        <f t="shared" si="654"/>
        <v/>
      </c>
      <c r="AZ341" s="123" t="str">
        <f t="shared" si="655"/>
        <v/>
      </c>
      <c r="BA341" s="97" t="str">
        <f t="shared" ca="1" si="656"/>
        <v/>
      </c>
      <c r="BB341" s="98" t="str">
        <f>IF(BD341&lt;&gt;"",VLOOKUP($P341&amp;" | "&amp;BB$6,'Job Master'!$F$12:$J$102,5,0),"")</f>
        <v/>
      </c>
      <c r="BC341" s="19" t="str">
        <f>IF(BD341&lt;&gt;"",VLOOKUP($P341&amp;" | "&amp;BB$6,'Job Master'!$F$12:$J$102,3,0),"")</f>
        <v/>
      </c>
      <c r="BD341" s="19" t="str">
        <f>IFERROR(IF(AND(BK341&lt;&gt;"",VLOOKUP($P341&amp;" | "&amp;BB$6,'Job Master'!$F$12:$I$102,4,0)&lt;&gt;""),IF(WEEKDAY(BK341-VLOOKUP($P341&amp;" | "&amp;BB$6,'Job Master'!$F$12:$I$102,4,0))&lt;&gt;7,BK341-VLOOKUP($P341&amp;" | "&amp;BB$6,'Job Master'!$F$12:$I$102,4,0),BK341-VLOOKUP($P341&amp;" | "&amp;BB$6,'Job Master'!$F$12:$I$102,4,0)-1),""),"")</f>
        <v/>
      </c>
      <c r="BE341" s="73"/>
      <c r="BF341" s="123" t="str">
        <f t="shared" si="657"/>
        <v/>
      </c>
      <c r="BG341" s="123" t="str">
        <f t="shared" si="658"/>
        <v/>
      </c>
      <c r="BH341" s="97" t="str">
        <f t="shared" ca="1" si="659"/>
        <v/>
      </c>
      <c r="BI341" s="98" t="str">
        <f>IF(BK341&lt;&gt;"",VLOOKUP($P341&amp;" | "&amp;BI$6,'Job Master'!$F$12:$J$102,5,0),"")</f>
        <v/>
      </c>
      <c r="BJ341" s="19" t="str">
        <f>IF(BK341&lt;&gt;"",VLOOKUP($P341&amp;" | "&amp;BI$6,'Job Master'!$F$12:$J$102,3,0),"")</f>
        <v/>
      </c>
      <c r="BK341" s="19" t="str">
        <f>IFERROR(IF(AND(BR341&lt;&gt;"",VLOOKUP($P341&amp;" | "&amp;BI$6,'Job Master'!$F$12:$I$102,4,0)&lt;&gt;""),IF(WEEKDAY(BR341-VLOOKUP($P341&amp;" | "&amp;BI$6,'Job Master'!$F$12:$I$102,4,0))&lt;&gt;7,BR341-VLOOKUP($P341&amp;" | "&amp;BI$6,'Job Master'!$F$12:$I$102,4,0),BR341-VLOOKUP($P341&amp;" | "&amp;BI$6,'Job Master'!$F$12:$I$102,4,0)-1),""),"")</f>
        <v/>
      </c>
      <c r="BL341" s="73"/>
      <c r="BM341" s="123" t="str">
        <f t="shared" si="660"/>
        <v/>
      </c>
      <c r="BN341" s="123" t="str">
        <f t="shared" si="661"/>
        <v/>
      </c>
      <c r="BO341" s="97" t="str">
        <f t="shared" ca="1" si="662"/>
        <v/>
      </c>
      <c r="BP341" s="98" t="str">
        <f>IF(BR341&lt;&gt;"",VLOOKUP($P341&amp;" | "&amp;BP$6,'Job Master'!$F$12:$J$102,5,0),"")</f>
        <v/>
      </c>
      <c r="BQ341" s="19" t="str">
        <f>IF(BR341&lt;&gt;"",VLOOKUP($P341&amp;" | "&amp;BP$6,'Job Master'!$F$12:$J$102,3,0),"")</f>
        <v/>
      </c>
      <c r="BR341" s="19" t="str">
        <f>IFERROR(IF(AND(BY341&lt;&gt;"",VLOOKUP($P341&amp;" | "&amp;BP$6,'Job Master'!$F$12:$I$102,4,0)&lt;&gt;""),IF(WEEKDAY(BY341-VLOOKUP($P341&amp;" | "&amp;BP$6,'Job Master'!$F$12:$I$102,4,0))&lt;&gt;7,BY341-VLOOKUP($P341&amp;" | "&amp;BP$6,'Job Master'!$F$12:$I$102,4,0),BY341-VLOOKUP($P341&amp;" | "&amp;BP$6,'Job Master'!$F$12:$I$102,4,0)-1),""),"")</f>
        <v/>
      </c>
      <c r="BS341" s="73"/>
      <c r="BT341" s="123" t="str">
        <f t="shared" si="663"/>
        <v/>
      </c>
      <c r="BU341" s="123" t="str">
        <f t="shared" si="664"/>
        <v/>
      </c>
      <c r="BV341" s="97" t="str">
        <f t="shared" ca="1" si="665"/>
        <v/>
      </c>
      <c r="BW341" s="98" t="str">
        <f>IF(BY341&lt;&gt;"",VLOOKUP($P341&amp;" | "&amp;BW$6,'Job Master'!$F$12:$J$102,5,0),"")</f>
        <v/>
      </c>
      <c r="BX341" s="19" t="str">
        <f>IF(BY341&lt;&gt;"",VLOOKUP($P341&amp;" | "&amp;BW$6,'Job Master'!$F$12:$J$102,3,0),"")</f>
        <v/>
      </c>
      <c r="BY341" s="19" t="str">
        <f>IFERROR(IF(AND(CF341&lt;&gt;"",VLOOKUP($P341&amp;" | "&amp;BW$6,'Job Master'!$F$12:$I$102,4,0)&lt;&gt;""),IF(WEEKDAY(CF341-VLOOKUP($P341&amp;" | "&amp;BW$6,'Job Master'!$F$12:$I$102,4,0))&lt;&gt;7,CF341-VLOOKUP($P341&amp;" | "&amp;BW$6,'Job Master'!$F$12:$I$102,4,0),CF341-VLOOKUP($P341&amp;" | "&amp;BW$6,'Job Master'!$F$12:$I$102,4,0)-1),""),"")</f>
        <v/>
      </c>
      <c r="BZ341" s="73"/>
      <c r="CA341" s="123" t="str">
        <f t="shared" si="666"/>
        <v/>
      </c>
      <c r="CB341" s="123" t="str">
        <f t="shared" si="667"/>
        <v/>
      </c>
      <c r="CC341" s="97" t="str">
        <f t="shared" ca="1" si="668"/>
        <v/>
      </c>
      <c r="CD341" s="98" t="str">
        <f>IF(CF341&lt;&gt;"",VLOOKUP($P341&amp;" | "&amp;CD$6,'Job Master'!$F$12:$J$102,5,0),"")</f>
        <v/>
      </c>
      <c r="CE341" s="19" t="str">
        <f>IF(CF341&lt;&gt;"",VLOOKUP($P341&amp;" | "&amp;CD$6,'Job Master'!$F$12:$J$102,3,0),"")</f>
        <v/>
      </c>
      <c r="CF341" s="19" t="str">
        <f>IFERROR(IF(AND(CM341&lt;&gt;"",VLOOKUP($P341&amp;" | "&amp;CD$6,'Job Master'!$F$12:$I$102,4,0)&lt;&gt;""),IF(WEEKDAY(CM341-VLOOKUP($P341&amp;" | "&amp;CD$6,'Job Master'!$F$12:$I$102,4,0))&lt;&gt;7,CM341-VLOOKUP($P341&amp;" | "&amp;CD$6,'Job Master'!$F$12:$I$102,4,0),CM341-VLOOKUP($P341&amp;" | "&amp;CD$6,'Job Master'!$F$12:$I$102,4,0)-1),""),"")</f>
        <v/>
      </c>
      <c r="CG341" s="73"/>
      <c r="CH341" s="123" t="str">
        <f t="shared" si="669"/>
        <v/>
      </c>
      <c r="CI341" s="123" t="str">
        <f t="shared" si="670"/>
        <v/>
      </c>
      <c r="CJ341" s="97" t="str">
        <f t="shared" ca="1" si="671"/>
        <v/>
      </c>
      <c r="CK341" s="98" t="str">
        <f>IF(CM341&lt;&gt;"",VLOOKUP($P341&amp;" | "&amp;CK$6,'Job Master'!$F$12:$J$102,5,0),"")</f>
        <v/>
      </c>
      <c r="CL341" s="19" t="str">
        <f>IF(CM341&lt;&gt;"",VLOOKUP($P341&amp;" | "&amp;CK$6,'Job Master'!$F$12:$J$102,3,0),"")</f>
        <v/>
      </c>
      <c r="CM341" s="19" t="str">
        <f>IFERROR(IF(AND(CT341&lt;&gt;"",VLOOKUP($P341&amp;" | "&amp;CK$6,'Job Master'!$F$12:$I$102,4,0)&lt;&gt;""),IF(WEEKDAY(CT341-VLOOKUP($P341&amp;" | "&amp;CK$6,'Job Master'!$F$12:$I$102,4,0))&lt;&gt;7,CT341-VLOOKUP($P341&amp;" | "&amp;CK$6,'Job Master'!$F$12:$I$102,4,0),CT341-VLOOKUP($P341&amp;" | "&amp;CK$6,'Job Master'!$F$12:$I$102,4,0)-1),""),"")</f>
        <v/>
      </c>
      <c r="CN341" s="73"/>
      <c r="CO341" s="123" t="str">
        <f t="shared" si="672"/>
        <v/>
      </c>
      <c r="CP341" s="123" t="str">
        <f t="shared" si="673"/>
        <v/>
      </c>
      <c r="CQ341" s="97" t="str">
        <f t="shared" ca="1" si="674"/>
        <v/>
      </c>
      <c r="CR341" s="98" t="str">
        <f>IF(CT341&lt;&gt;"",VLOOKUP($P341&amp;" | "&amp;CR$6,'Job Master'!$F$12:$J$102,5,0),"")</f>
        <v/>
      </c>
      <c r="CS341" s="19" t="str">
        <f>IF(CT341&lt;&gt;"",VLOOKUP($P341&amp;" | "&amp;CR$6,'Job Master'!$F$12:$J$102,3,0),"")</f>
        <v/>
      </c>
      <c r="CT341" s="19" t="str">
        <f>IFERROR(IF(AND(DA341&lt;&gt;"",VLOOKUP($P341&amp;" | "&amp;CR$6,'Job Master'!$F$12:$I$102,4,0)&lt;&gt;""),IF(WEEKDAY(DA341-VLOOKUP($P341&amp;" | "&amp;CR$6,'Job Master'!$F$12:$I$102,4,0))&lt;&gt;7,DA341-VLOOKUP($P341&amp;" | "&amp;CR$6,'Job Master'!$F$12:$I$102,4,0),DA341-VLOOKUP($P341&amp;" | "&amp;CR$6,'Job Master'!$F$12:$I$102,4,0)-1),""),"")</f>
        <v/>
      </c>
      <c r="CU341" s="73"/>
      <c r="CV341" s="123" t="str">
        <f t="shared" si="675"/>
        <v/>
      </c>
      <c r="CW341" s="123" t="str">
        <f t="shared" si="676"/>
        <v/>
      </c>
      <c r="CX341" s="97" t="str">
        <f t="shared" ca="1" si="677"/>
        <v/>
      </c>
      <c r="CY341" s="98" t="str">
        <f>IF(DA341&lt;&gt;"",VLOOKUP($P341&amp;" | "&amp;CY$6,'Job Master'!$F$12:$J$102,5,0),"")</f>
        <v/>
      </c>
      <c r="CZ341" s="19" t="str">
        <f>IF(DA341&lt;&gt;"",VLOOKUP($P341&amp;" | "&amp;CY$6,'Job Master'!$F$12:$J$102,3,0),"")</f>
        <v/>
      </c>
      <c r="DA341" s="19" t="str">
        <f>IFERROR(IF(AND(DH341&lt;&gt;"",VLOOKUP($P341&amp;" | "&amp;CY$6,'Job Master'!$F$12:$I$102,4,0)&lt;&gt;""),IF(WEEKDAY(DH341-VLOOKUP($P341&amp;" | "&amp;CY$6,'Job Master'!$F$12:$I$102,4,0))&lt;&gt;7,DH341-VLOOKUP($P341&amp;" | "&amp;CY$6,'Job Master'!$F$12:$I$102,4,0),DH341-VLOOKUP($P341&amp;" | "&amp;CY$6,'Job Master'!$F$12:$I$102,4,0)-1),""),"")</f>
        <v/>
      </c>
      <c r="DB341" s="73"/>
      <c r="DC341" s="123" t="str">
        <f t="shared" si="678"/>
        <v/>
      </c>
      <c r="DD341" s="123" t="str">
        <f t="shared" si="679"/>
        <v/>
      </c>
      <c r="DE341" s="97" t="str">
        <f t="shared" ca="1" si="680"/>
        <v/>
      </c>
      <c r="DF341" s="98" t="str">
        <f>IF(DH341&lt;&gt;"",VLOOKUP($P341&amp;" | "&amp;DF$6,'Job Master'!$F$12:$J$102,5,0),"")</f>
        <v/>
      </c>
      <c r="DG341" s="19" t="str">
        <f>IF(DH341&lt;&gt;"",VLOOKUP($P341&amp;" | "&amp;DF$6,'Job Master'!$F$12:$J$102,3,0),"")</f>
        <v/>
      </c>
      <c r="DH341" s="19" t="str">
        <f>IFERROR(IF(AND(DO341&lt;&gt;"",VLOOKUP($P341&amp;" | "&amp;DF$6,'Job Master'!$F$12:$I$102,4,0)&lt;&gt;""),IF(WEEKDAY(DO341-VLOOKUP($P341&amp;" | "&amp;DF$6,'Job Master'!$F$12:$I$102,4,0))&lt;&gt;7,DO341-VLOOKUP($P341&amp;" | "&amp;DF$6,'Job Master'!$F$12:$I$102,4,0),DO341-VLOOKUP($P341&amp;" | "&amp;DF$6,'Job Master'!$F$12:$I$102,4,0)-1),""),"")</f>
        <v/>
      </c>
      <c r="DI341" s="73"/>
      <c r="DJ341" s="123" t="str">
        <f t="shared" si="681"/>
        <v/>
      </c>
      <c r="DK341" s="123" t="str">
        <f t="shared" si="682"/>
        <v/>
      </c>
      <c r="DL341" s="97" t="str">
        <f t="shared" ca="1" si="683"/>
        <v/>
      </c>
      <c r="DM341" s="98" t="str">
        <f>IF(DO341&lt;&gt;"",VLOOKUP($P341&amp;" | "&amp;DM$6,'Job Master'!$F$12:$J$102,5,0),"")</f>
        <v/>
      </c>
      <c r="DN341" s="19" t="str">
        <f>IF(DO341&lt;&gt;"",VLOOKUP($P341&amp;" | "&amp;DM$6,'Job Master'!$F$12:$J$102,3,0),"")</f>
        <v/>
      </c>
      <c r="DO341" s="19" t="str">
        <f>IFERROR(IF(AND(DT341&lt;&gt;"",VLOOKUP($P341&amp;" | "&amp;DM$6,'Job Master'!$F$12:$I$102,4,0)&lt;&gt;""),IF(WEEKDAY(DT341-VLOOKUP($P341&amp;" | "&amp;DM$6,'Job Master'!$F$12:$I$102,4,0))&lt;&gt;7,DT341-VLOOKUP($P341&amp;" | "&amp;DM$6,'Job Master'!$F$12:$I$102,4,0),DT341-VLOOKUP($P341&amp;" | "&amp;DM$6,'Job Master'!$F$12:$I$102,4,0)-1),""),"")</f>
        <v/>
      </c>
      <c r="DP341" s="73"/>
      <c r="DQ341" s="123" t="str">
        <f t="shared" si="684"/>
        <v/>
      </c>
      <c r="DR341" s="123" t="str">
        <f t="shared" si="685"/>
        <v/>
      </c>
      <c r="DS341" s="97" t="str">
        <f t="shared" ca="1" si="686"/>
        <v/>
      </c>
      <c r="DT341" s="70" t="str">
        <f t="shared" si="687"/>
        <v/>
      </c>
      <c r="DU341" s="90"/>
      <c r="DV341" s="123" t="str">
        <f t="shared" si="688"/>
        <v/>
      </c>
      <c r="DW341" s="123" t="str">
        <f t="shared" si="689"/>
        <v/>
      </c>
      <c r="DX341" s="132" t="str">
        <f t="shared" ref="DX341" ca="1" si="709">IF(DT341&lt;&gt;"",IF(WEEKNUM(DT341)=WEEKNUM(TODAY()),"This Week",IF(WEEKNUM(DT341)=WEEKNUM(TODAY())+1,"Next Week",IF(WEEKNUM(DT341)=WEEKNUM(TODAY())-1,"Previous Week",""))),"")</f>
        <v/>
      </c>
      <c r="DY341" s="134" t="str">
        <f t="shared" si="691"/>
        <v/>
      </c>
      <c r="DZ341" s="95"/>
      <c r="EB341" s="8" t="str">
        <f t="shared" si="697"/>
        <v/>
      </c>
      <c r="EC341" s="8" t="str">
        <f>IF(O341&lt;&gt;"",VLOOKUP(O341,'Job Master'!$N$12:$O$18,2,0),"")</f>
        <v/>
      </c>
      <c r="ED341" s="8">
        <f t="shared" si="698"/>
        <v>19.5</v>
      </c>
      <c r="EE341" s="8">
        <f t="shared" si="699"/>
        <v>6</v>
      </c>
      <c r="EF341" s="8">
        <f t="shared" si="700"/>
        <v>-1966.5</v>
      </c>
      <c r="EG341" s="8" t="str">
        <f t="shared" si="701"/>
        <v/>
      </c>
      <c r="EH341" s="8" t="str">
        <f t="shared" si="702"/>
        <v/>
      </c>
    </row>
    <row r="342" spans="2:138" x14ac:dyDescent="0.3">
      <c r="B342" s="112"/>
      <c r="C342" s="27"/>
      <c r="D342" s="7" t="str">
        <f t="shared" si="639"/>
        <v/>
      </c>
      <c r="E342" s="25"/>
      <c r="F342" s="7" t="str">
        <f t="shared" si="639"/>
        <v/>
      </c>
      <c r="G342" s="25"/>
      <c r="H342" s="7" t="str">
        <f t="shared" si="639"/>
        <v/>
      </c>
      <c r="I342" s="25"/>
      <c r="J342" s="7" t="str">
        <f t="shared" si="639"/>
        <v/>
      </c>
      <c r="K342" s="25"/>
      <c r="L342" s="7" t="str">
        <f t="shared" si="640"/>
        <v/>
      </c>
      <c r="M342" s="25"/>
      <c r="N342" s="7" t="str">
        <f t="shared" si="641"/>
        <v/>
      </c>
      <c r="O342" s="81"/>
      <c r="P342" s="81" t="str">
        <f t="shared" si="642"/>
        <v/>
      </c>
      <c r="Q342" s="81"/>
      <c r="R342" s="7" t="str">
        <f t="shared" si="643"/>
        <v/>
      </c>
      <c r="S342" s="25"/>
      <c r="T342" s="7" t="str">
        <f t="shared" si="644"/>
        <v/>
      </c>
      <c r="U342" s="25"/>
      <c r="V342" s="7" t="str">
        <f t="shared" si="645"/>
        <v/>
      </c>
      <c r="W342" s="25"/>
      <c r="X342" s="7" t="str">
        <f t="shared" si="646"/>
        <v/>
      </c>
      <c r="Y342" s="18" t="str">
        <f t="shared" si="647"/>
        <v/>
      </c>
      <c r="Z342" s="7" t="str">
        <f t="shared" si="648"/>
        <v/>
      </c>
      <c r="AA342" s="18" t="str">
        <f t="shared" si="649"/>
        <v/>
      </c>
      <c r="AB342" s="19" t="str">
        <f t="shared" si="650"/>
        <v/>
      </c>
      <c r="AC342" s="26"/>
      <c r="AD342" s="26"/>
      <c r="AE342" s="25"/>
      <c r="AF342" s="26"/>
      <c r="AG342" s="25"/>
      <c r="AH342" s="25"/>
      <c r="AI342" s="18" t="str">
        <f t="shared" si="587"/>
        <v/>
      </c>
      <c r="AJ342" s="25"/>
      <c r="AK342" s="18" t="str">
        <f t="shared" si="588"/>
        <v/>
      </c>
      <c r="AL342" s="79"/>
      <c r="AM342" s="126" t="str">
        <f t="shared" si="589"/>
        <v/>
      </c>
      <c r="AN342" s="128" t="str">
        <f>IF(AP342&lt;&gt;"",VLOOKUP($P342&amp;" | "&amp;AN$6,'Job Master'!$F$12:$J$102,5,0),"")</f>
        <v/>
      </c>
      <c r="AO342" s="19" t="str">
        <f>IF(AP342&lt;&gt;"",VLOOKUP($P342&amp;" | "&amp;AN$6,'Job Master'!$F$12:$J$102,3,0),"")</f>
        <v/>
      </c>
      <c r="AP342" s="19" t="str">
        <f>IFERROR(IF(AND(AW342&lt;&gt;"",VLOOKUP($P342&amp;" | "&amp;AN$6,'Job Master'!$F$12:$I$102,4,0)&lt;&gt;""),IF(WEEKDAY(AW342-VLOOKUP($P342&amp;" | "&amp;AN$6,'Job Master'!$F$12:$I$102,4,0))&lt;&gt;7,AW342-VLOOKUP($P342&amp;" | "&amp;AN$6,'Job Master'!$F$12:$I$102,4,0),AW342-VLOOKUP($P342&amp;" | "&amp;AN$6,'Job Master'!$F$12:$I$102,4,0)-1),""),"")</f>
        <v/>
      </c>
      <c r="AQ342" s="73"/>
      <c r="AR342" s="123" t="str">
        <f t="shared" si="651"/>
        <v/>
      </c>
      <c r="AS342" s="123" t="str">
        <f t="shared" si="652"/>
        <v/>
      </c>
      <c r="AT342" s="97" t="str">
        <f t="shared" ca="1" si="653"/>
        <v/>
      </c>
      <c r="AU342" s="98" t="str">
        <f>IF(AW342&lt;&gt;"",VLOOKUP($P342&amp;" | "&amp;AU$6,'Job Master'!$F$12:$J$102,5,0),"")</f>
        <v/>
      </c>
      <c r="AV342" s="19" t="str">
        <f>IF(AW342&lt;&gt;"",VLOOKUP($P342&amp;" | "&amp;AU$6,'Job Master'!$F$12:$J$102,3,0),"")</f>
        <v/>
      </c>
      <c r="AW342" s="19" t="str">
        <f>IFERROR(IF(AND(BD342&lt;&gt;"",VLOOKUP($P342&amp;" | "&amp;AU$6,'Job Master'!$F$12:$I$102,4,0)&lt;&gt;""),IF(WEEKDAY(BD342-VLOOKUP($P342&amp;" | "&amp;AU$6,'Job Master'!$F$12:$I$102,4,0))&lt;&gt;7,BD342-VLOOKUP($P342&amp;" | "&amp;AU$6,'Job Master'!$F$12:$I$102,4,0),BD342-VLOOKUP($P342&amp;" | "&amp;AU$6,'Job Master'!$F$12:$I$102,4,0)-1),""),"")</f>
        <v/>
      </c>
      <c r="AX342" s="73"/>
      <c r="AY342" s="123" t="str">
        <f t="shared" si="654"/>
        <v/>
      </c>
      <c r="AZ342" s="123" t="str">
        <f t="shared" si="655"/>
        <v/>
      </c>
      <c r="BA342" s="97" t="str">
        <f t="shared" ca="1" si="656"/>
        <v/>
      </c>
      <c r="BB342" s="98" t="str">
        <f>IF(BD342&lt;&gt;"",VLOOKUP($P342&amp;" | "&amp;BB$6,'Job Master'!$F$12:$J$102,5,0),"")</f>
        <v/>
      </c>
      <c r="BC342" s="19" t="str">
        <f>IF(BD342&lt;&gt;"",VLOOKUP($P342&amp;" | "&amp;BB$6,'Job Master'!$F$12:$J$102,3,0),"")</f>
        <v/>
      </c>
      <c r="BD342" s="19" t="str">
        <f>IFERROR(IF(AND(BK342&lt;&gt;"",VLOOKUP($P342&amp;" | "&amp;BB$6,'Job Master'!$F$12:$I$102,4,0)&lt;&gt;""),IF(WEEKDAY(BK342-VLOOKUP($P342&amp;" | "&amp;BB$6,'Job Master'!$F$12:$I$102,4,0))&lt;&gt;7,BK342-VLOOKUP($P342&amp;" | "&amp;BB$6,'Job Master'!$F$12:$I$102,4,0),BK342-VLOOKUP($P342&amp;" | "&amp;BB$6,'Job Master'!$F$12:$I$102,4,0)-1),""),"")</f>
        <v/>
      </c>
      <c r="BE342" s="73"/>
      <c r="BF342" s="123" t="str">
        <f t="shared" si="657"/>
        <v/>
      </c>
      <c r="BG342" s="123" t="str">
        <f t="shared" si="658"/>
        <v/>
      </c>
      <c r="BH342" s="97" t="str">
        <f t="shared" ca="1" si="659"/>
        <v/>
      </c>
      <c r="BI342" s="98" t="str">
        <f>IF(BK342&lt;&gt;"",VLOOKUP($P342&amp;" | "&amp;BI$6,'Job Master'!$F$12:$J$102,5,0),"")</f>
        <v/>
      </c>
      <c r="BJ342" s="19" t="str">
        <f>IF(BK342&lt;&gt;"",VLOOKUP($P342&amp;" | "&amp;BI$6,'Job Master'!$F$12:$J$102,3,0),"")</f>
        <v/>
      </c>
      <c r="BK342" s="19" t="str">
        <f>IFERROR(IF(AND(BR342&lt;&gt;"",VLOOKUP($P342&amp;" | "&amp;BI$6,'Job Master'!$F$12:$I$102,4,0)&lt;&gt;""),IF(WEEKDAY(BR342-VLOOKUP($P342&amp;" | "&amp;BI$6,'Job Master'!$F$12:$I$102,4,0))&lt;&gt;7,BR342-VLOOKUP($P342&amp;" | "&amp;BI$6,'Job Master'!$F$12:$I$102,4,0),BR342-VLOOKUP($P342&amp;" | "&amp;BI$6,'Job Master'!$F$12:$I$102,4,0)-1),""),"")</f>
        <v/>
      </c>
      <c r="BL342" s="73"/>
      <c r="BM342" s="123" t="str">
        <f t="shared" si="660"/>
        <v/>
      </c>
      <c r="BN342" s="123" t="str">
        <f t="shared" si="661"/>
        <v/>
      </c>
      <c r="BO342" s="97" t="str">
        <f t="shared" ca="1" si="662"/>
        <v/>
      </c>
      <c r="BP342" s="98" t="str">
        <f>IF(BR342&lt;&gt;"",VLOOKUP($P342&amp;" | "&amp;BP$6,'Job Master'!$F$12:$J$102,5,0),"")</f>
        <v/>
      </c>
      <c r="BQ342" s="19" t="str">
        <f>IF(BR342&lt;&gt;"",VLOOKUP($P342&amp;" | "&amp;BP$6,'Job Master'!$F$12:$J$102,3,0),"")</f>
        <v/>
      </c>
      <c r="BR342" s="19" t="str">
        <f>IFERROR(IF(AND(BY342&lt;&gt;"",VLOOKUP($P342&amp;" | "&amp;BP$6,'Job Master'!$F$12:$I$102,4,0)&lt;&gt;""),IF(WEEKDAY(BY342-VLOOKUP($P342&amp;" | "&amp;BP$6,'Job Master'!$F$12:$I$102,4,0))&lt;&gt;7,BY342-VLOOKUP($P342&amp;" | "&amp;BP$6,'Job Master'!$F$12:$I$102,4,0),BY342-VLOOKUP($P342&amp;" | "&amp;BP$6,'Job Master'!$F$12:$I$102,4,0)-1),""),"")</f>
        <v/>
      </c>
      <c r="BS342" s="73"/>
      <c r="BT342" s="123" t="str">
        <f t="shared" si="663"/>
        <v/>
      </c>
      <c r="BU342" s="123" t="str">
        <f t="shared" si="664"/>
        <v/>
      </c>
      <c r="BV342" s="97" t="str">
        <f t="shared" ca="1" si="665"/>
        <v/>
      </c>
      <c r="BW342" s="98" t="str">
        <f>IF(BY342&lt;&gt;"",VLOOKUP($P342&amp;" | "&amp;BW$6,'Job Master'!$F$12:$J$102,5,0),"")</f>
        <v/>
      </c>
      <c r="BX342" s="19" t="str">
        <f>IF(BY342&lt;&gt;"",VLOOKUP($P342&amp;" | "&amp;BW$6,'Job Master'!$F$12:$J$102,3,0),"")</f>
        <v/>
      </c>
      <c r="BY342" s="19" t="str">
        <f>IFERROR(IF(AND(CF342&lt;&gt;"",VLOOKUP($P342&amp;" | "&amp;BW$6,'Job Master'!$F$12:$I$102,4,0)&lt;&gt;""),IF(WEEKDAY(CF342-VLOOKUP($P342&amp;" | "&amp;BW$6,'Job Master'!$F$12:$I$102,4,0))&lt;&gt;7,CF342-VLOOKUP($P342&amp;" | "&amp;BW$6,'Job Master'!$F$12:$I$102,4,0),CF342-VLOOKUP($P342&amp;" | "&amp;BW$6,'Job Master'!$F$12:$I$102,4,0)-1),""),"")</f>
        <v/>
      </c>
      <c r="BZ342" s="73"/>
      <c r="CA342" s="123" t="str">
        <f t="shared" si="666"/>
        <v/>
      </c>
      <c r="CB342" s="123" t="str">
        <f t="shared" si="667"/>
        <v/>
      </c>
      <c r="CC342" s="97" t="str">
        <f t="shared" ca="1" si="668"/>
        <v/>
      </c>
      <c r="CD342" s="98" t="str">
        <f>IF(CF342&lt;&gt;"",VLOOKUP($P342&amp;" | "&amp;CD$6,'Job Master'!$F$12:$J$102,5,0),"")</f>
        <v/>
      </c>
      <c r="CE342" s="19" t="str">
        <f>IF(CF342&lt;&gt;"",VLOOKUP($P342&amp;" | "&amp;CD$6,'Job Master'!$F$12:$J$102,3,0),"")</f>
        <v/>
      </c>
      <c r="CF342" s="19" t="str">
        <f>IFERROR(IF(AND(CM342&lt;&gt;"",VLOOKUP($P342&amp;" | "&amp;CD$6,'Job Master'!$F$12:$I$102,4,0)&lt;&gt;""),IF(WEEKDAY(CM342-VLOOKUP($P342&amp;" | "&amp;CD$6,'Job Master'!$F$12:$I$102,4,0))&lt;&gt;7,CM342-VLOOKUP($P342&amp;" | "&amp;CD$6,'Job Master'!$F$12:$I$102,4,0),CM342-VLOOKUP($P342&amp;" | "&amp;CD$6,'Job Master'!$F$12:$I$102,4,0)-1),""),"")</f>
        <v/>
      </c>
      <c r="CG342" s="73"/>
      <c r="CH342" s="123" t="str">
        <f t="shared" si="669"/>
        <v/>
      </c>
      <c r="CI342" s="123" t="str">
        <f t="shared" si="670"/>
        <v/>
      </c>
      <c r="CJ342" s="97" t="str">
        <f t="shared" ca="1" si="671"/>
        <v/>
      </c>
      <c r="CK342" s="98" t="str">
        <f>IF(CM342&lt;&gt;"",VLOOKUP($P342&amp;" | "&amp;CK$6,'Job Master'!$F$12:$J$102,5,0),"")</f>
        <v/>
      </c>
      <c r="CL342" s="19" t="str">
        <f>IF(CM342&lt;&gt;"",VLOOKUP($P342&amp;" | "&amp;CK$6,'Job Master'!$F$12:$J$102,3,0),"")</f>
        <v/>
      </c>
      <c r="CM342" s="19" t="str">
        <f>IFERROR(IF(AND(CT342&lt;&gt;"",VLOOKUP($P342&amp;" | "&amp;CK$6,'Job Master'!$F$12:$I$102,4,0)&lt;&gt;""),IF(WEEKDAY(CT342-VLOOKUP($P342&amp;" | "&amp;CK$6,'Job Master'!$F$12:$I$102,4,0))&lt;&gt;7,CT342-VLOOKUP($P342&amp;" | "&amp;CK$6,'Job Master'!$F$12:$I$102,4,0),CT342-VLOOKUP($P342&amp;" | "&amp;CK$6,'Job Master'!$F$12:$I$102,4,0)-1),""),"")</f>
        <v/>
      </c>
      <c r="CN342" s="73"/>
      <c r="CO342" s="123" t="str">
        <f t="shared" si="672"/>
        <v/>
      </c>
      <c r="CP342" s="123" t="str">
        <f t="shared" si="673"/>
        <v/>
      </c>
      <c r="CQ342" s="97" t="str">
        <f t="shared" ca="1" si="674"/>
        <v/>
      </c>
      <c r="CR342" s="98" t="str">
        <f>IF(CT342&lt;&gt;"",VLOOKUP($P342&amp;" | "&amp;CR$6,'Job Master'!$F$12:$J$102,5,0),"")</f>
        <v/>
      </c>
      <c r="CS342" s="19" t="str">
        <f>IF(CT342&lt;&gt;"",VLOOKUP($P342&amp;" | "&amp;CR$6,'Job Master'!$F$12:$J$102,3,0),"")</f>
        <v/>
      </c>
      <c r="CT342" s="19" t="str">
        <f>IFERROR(IF(AND(DA342&lt;&gt;"",VLOOKUP($P342&amp;" | "&amp;CR$6,'Job Master'!$F$12:$I$102,4,0)&lt;&gt;""),IF(WEEKDAY(DA342-VLOOKUP($P342&amp;" | "&amp;CR$6,'Job Master'!$F$12:$I$102,4,0))&lt;&gt;7,DA342-VLOOKUP($P342&amp;" | "&amp;CR$6,'Job Master'!$F$12:$I$102,4,0),DA342-VLOOKUP($P342&amp;" | "&amp;CR$6,'Job Master'!$F$12:$I$102,4,0)-1),""),"")</f>
        <v/>
      </c>
      <c r="CU342" s="73"/>
      <c r="CV342" s="123" t="str">
        <f t="shared" si="675"/>
        <v/>
      </c>
      <c r="CW342" s="123" t="str">
        <f t="shared" si="676"/>
        <v/>
      </c>
      <c r="CX342" s="97" t="str">
        <f t="shared" ca="1" si="677"/>
        <v/>
      </c>
      <c r="CY342" s="98" t="str">
        <f>IF(DA342&lt;&gt;"",VLOOKUP($P342&amp;" | "&amp;CY$6,'Job Master'!$F$12:$J$102,5,0),"")</f>
        <v/>
      </c>
      <c r="CZ342" s="19" t="str">
        <f>IF(DA342&lt;&gt;"",VLOOKUP($P342&amp;" | "&amp;CY$6,'Job Master'!$F$12:$J$102,3,0),"")</f>
        <v/>
      </c>
      <c r="DA342" s="19" t="str">
        <f>IFERROR(IF(AND(DH342&lt;&gt;"",VLOOKUP($P342&amp;" | "&amp;CY$6,'Job Master'!$F$12:$I$102,4,0)&lt;&gt;""),IF(WEEKDAY(DH342-VLOOKUP($P342&amp;" | "&amp;CY$6,'Job Master'!$F$12:$I$102,4,0))&lt;&gt;7,DH342-VLOOKUP($P342&amp;" | "&amp;CY$6,'Job Master'!$F$12:$I$102,4,0),DH342-VLOOKUP($P342&amp;" | "&amp;CY$6,'Job Master'!$F$12:$I$102,4,0)-1),""),"")</f>
        <v/>
      </c>
      <c r="DB342" s="73"/>
      <c r="DC342" s="123" t="str">
        <f t="shared" si="678"/>
        <v/>
      </c>
      <c r="DD342" s="123" t="str">
        <f t="shared" si="679"/>
        <v/>
      </c>
      <c r="DE342" s="97" t="str">
        <f t="shared" ca="1" si="680"/>
        <v/>
      </c>
      <c r="DF342" s="98" t="str">
        <f>IF(DH342&lt;&gt;"",VLOOKUP($P342&amp;" | "&amp;DF$6,'Job Master'!$F$12:$J$102,5,0),"")</f>
        <v/>
      </c>
      <c r="DG342" s="19" t="str">
        <f>IF(DH342&lt;&gt;"",VLOOKUP($P342&amp;" | "&amp;DF$6,'Job Master'!$F$12:$J$102,3,0),"")</f>
        <v/>
      </c>
      <c r="DH342" s="19" t="str">
        <f>IFERROR(IF(AND(DO342&lt;&gt;"",VLOOKUP($P342&amp;" | "&amp;DF$6,'Job Master'!$F$12:$I$102,4,0)&lt;&gt;""),IF(WEEKDAY(DO342-VLOOKUP($P342&amp;" | "&amp;DF$6,'Job Master'!$F$12:$I$102,4,0))&lt;&gt;7,DO342-VLOOKUP($P342&amp;" | "&amp;DF$6,'Job Master'!$F$12:$I$102,4,0),DO342-VLOOKUP($P342&amp;" | "&amp;DF$6,'Job Master'!$F$12:$I$102,4,0)-1),""),"")</f>
        <v/>
      </c>
      <c r="DI342" s="73"/>
      <c r="DJ342" s="123" t="str">
        <f t="shared" si="681"/>
        <v/>
      </c>
      <c r="DK342" s="123" t="str">
        <f t="shared" si="682"/>
        <v/>
      </c>
      <c r="DL342" s="97" t="str">
        <f t="shared" ca="1" si="683"/>
        <v/>
      </c>
      <c r="DM342" s="98" t="str">
        <f>IF(DO342&lt;&gt;"",VLOOKUP($P342&amp;" | "&amp;DM$6,'Job Master'!$F$12:$J$102,5,0),"")</f>
        <v/>
      </c>
      <c r="DN342" s="19" t="str">
        <f>IF(DO342&lt;&gt;"",VLOOKUP($P342&amp;" | "&amp;DM$6,'Job Master'!$F$12:$J$102,3,0),"")</f>
        <v/>
      </c>
      <c r="DO342" s="19" t="str">
        <f>IFERROR(IF(AND(DT342&lt;&gt;"",VLOOKUP($P342&amp;" | "&amp;DM$6,'Job Master'!$F$12:$I$102,4,0)&lt;&gt;""),IF(WEEKDAY(DT342-VLOOKUP($P342&amp;" | "&amp;DM$6,'Job Master'!$F$12:$I$102,4,0))&lt;&gt;7,DT342-VLOOKUP($P342&amp;" | "&amp;DM$6,'Job Master'!$F$12:$I$102,4,0),DT342-VLOOKUP($P342&amp;" | "&amp;DM$6,'Job Master'!$F$12:$I$102,4,0)-1),""),"")</f>
        <v/>
      </c>
      <c r="DP342" s="73"/>
      <c r="DQ342" s="123" t="str">
        <f t="shared" si="684"/>
        <v/>
      </c>
      <c r="DR342" s="123" t="str">
        <f t="shared" si="685"/>
        <v/>
      </c>
      <c r="DS342" s="97" t="str">
        <f t="shared" ca="1" si="686"/>
        <v/>
      </c>
      <c r="DT342" s="70" t="str">
        <f t="shared" si="687"/>
        <v/>
      </c>
      <c r="DU342" s="90"/>
      <c r="DV342" s="123" t="str">
        <f t="shared" si="688"/>
        <v/>
      </c>
      <c r="DW342" s="123" t="str">
        <f t="shared" si="689"/>
        <v/>
      </c>
      <c r="DX342" s="132" t="str">
        <f t="shared" ref="DX342" ca="1" si="710">IF(DT342&lt;&gt;"",IF(WEEKNUM(DT342)=WEEKNUM(TODAY()),"This Week",IF(WEEKNUM(DT342)=WEEKNUM(TODAY())+1,"Next Week",IF(WEEKNUM(DT342)=WEEKNUM(TODAY())-1,"Previous Week",""))),"")</f>
        <v/>
      </c>
      <c r="DY342" s="134" t="str">
        <f t="shared" si="691"/>
        <v/>
      </c>
      <c r="DZ342" s="95"/>
      <c r="EB342" s="8" t="str">
        <f t="shared" si="697"/>
        <v/>
      </c>
      <c r="EC342" s="8" t="str">
        <f>IF(O342&lt;&gt;"",VLOOKUP(O342,'Job Master'!$N$12:$O$18,2,0),"")</f>
        <v/>
      </c>
      <c r="ED342" s="8">
        <f t="shared" si="698"/>
        <v>19.5</v>
      </c>
      <c r="EE342" s="8">
        <f t="shared" si="699"/>
        <v>6</v>
      </c>
      <c r="EF342" s="8">
        <f t="shared" si="700"/>
        <v>-1972.5</v>
      </c>
      <c r="EG342" s="8" t="str">
        <f t="shared" si="701"/>
        <v/>
      </c>
      <c r="EH342" s="8" t="str">
        <f t="shared" si="702"/>
        <v/>
      </c>
    </row>
    <row r="343" spans="2:138" x14ac:dyDescent="0.3">
      <c r="B343" s="112"/>
      <c r="C343" s="27"/>
      <c r="D343" s="7" t="str">
        <f t="shared" si="639"/>
        <v/>
      </c>
      <c r="E343" s="25"/>
      <c r="F343" s="7" t="str">
        <f t="shared" si="639"/>
        <v/>
      </c>
      <c r="G343" s="25"/>
      <c r="H343" s="7" t="str">
        <f t="shared" si="639"/>
        <v/>
      </c>
      <c r="I343" s="25"/>
      <c r="J343" s="7" t="str">
        <f t="shared" si="639"/>
        <v/>
      </c>
      <c r="K343" s="25"/>
      <c r="L343" s="7" t="str">
        <f t="shared" si="640"/>
        <v/>
      </c>
      <c r="M343" s="25"/>
      <c r="N343" s="7" t="str">
        <f t="shared" si="641"/>
        <v/>
      </c>
      <c r="O343" s="81"/>
      <c r="P343" s="81" t="str">
        <f t="shared" si="642"/>
        <v/>
      </c>
      <c r="Q343" s="81"/>
      <c r="R343" s="7" t="str">
        <f t="shared" si="643"/>
        <v/>
      </c>
      <c r="S343" s="25"/>
      <c r="T343" s="7" t="str">
        <f t="shared" si="644"/>
        <v/>
      </c>
      <c r="U343" s="25"/>
      <c r="V343" s="7" t="str">
        <f t="shared" si="645"/>
        <v/>
      </c>
      <c r="W343" s="25"/>
      <c r="X343" s="7" t="str">
        <f t="shared" si="646"/>
        <v/>
      </c>
      <c r="Y343" s="18" t="str">
        <f t="shared" si="647"/>
        <v/>
      </c>
      <c r="Z343" s="7" t="str">
        <f t="shared" si="648"/>
        <v/>
      </c>
      <c r="AA343" s="18" t="str">
        <f t="shared" si="649"/>
        <v/>
      </c>
      <c r="AB343" s="19" t="str">
        <f t="shared" si="650"/>
        <v/>
      </c>
      <c r="AC343" s="26"/>
      <c r="AD343" s="26"/>
      <c r="AE343" s="25"/>
      <c r="AF343" s="26"/>
      <c r="AG343" s="25"/>
      <c r="AH343" s="25"/>
      <c r="AI343" s="18" t="str">
        <f t="shared" si="587"/>
        <v/>
      </c>
      <c r="AJ343" s="25"/>
      <c r="AK343" s="18" t="str">
        <f t="shared" si="588"/>
        <v/>
      </c>
      <c r="AL343" s="79"/>
      <c r="AM343" s="126" t="str">
        <f t="shared" si="589"/>
        <v/>
      </c>
      <c r="AN343" s="128" t="str">
        <f>IF(AP343&lt;&gt;"",VLOOKUP($P343&amp;" | "&amp;AN$6,'Job Master'!$F$12:$J$102,5,0),"")</f>
        <v/>
      </c>
      <c r="AO343" s="19" t="str">
        <f>IF(AP343&lt;&gt;"",VLOOKUP($P343&amp;" | "&amp;AN$6,'Job Master'!$F$12:$J$102,3,0),"")</f>
        <v/>
      </c>
      <c r="AP343" s="19" t="str">
        <f>IFERROR(IF(AND(AW343&lt;&gt;"",VLOOKUP($P343&amp;" | "&amp;AN$6,'Job Master'!$F$12:$I$102,4,0)&lt;&gt;""),IF(WEEKDAY(AW343-VLOOKUP($P343&amp;" | "&amp;AN$6,'Job Master'!$F$12:$I$102,4,0))&lt;&gt;7,AW343-VLOOKUP($P343&amp;" | "&amp;AN$6,'Job Master'!$F$12:$I$102,4,0),AW343-VLOOKUP($P343&amp;" | "&amp;AN$6,'Job Master'!$F$12:$I$102,4,0)-1),""),"")</f>
        <v/>
      </c>
      <c r="AQ343" s="73"/>
      <c r="AR343" s="123" t="str">
        <f t="shared" si="651"/>
        <v/>
      </c>
      <c r="AS343" s="123" t="str">
        <f t="shared" si="652"/>
        <v/>
      </c>
      <c r="AT343" s="97" t="str">
        <f t="shared" ca="1" si="653"/>
        <v/>
      </c>
      <c r="AU343" s="98" t="str">
        <f>IF(AW343&lt;&gt;"",VLOOKUP($P343&amp;" | "&amp;AU$6,'Job Master'!$F$12:$J$102,5,0),"")</f>
        <v/>
      </c>
      <c r="AV343" s="19" t="str">
        <f>IF(AW343&lt;&gt;"",VLOOKUP($P343&amp;" | "&amp;AU$6,'Job Master'!$F$12:$J$102,3,0),"")</f>
        <v/>
      </c>
      <c r="AW343" s="19" t="str">
        <f>IFERROR(IF(AND(BD343&lt;&gt;"",VLOOKUP($P343&amp;" | "&amp;AU$6,'Job Master'!$F$12:$I$102,4,0)&lt;&gt;""),IF(WEEKDAY(BD343-VLOOKUP($P343&amp;" | "&amp;AU$6,'Job Master'!$F$12:$I$102,4,0))&lt;&gt;7,BD343-VLOOKUP($P343&amp;" | "&amp;AU$6,'Job Master'!$F$12:$I$102,4,0),BD343-VLOOKUP($P343&amp;" | "&amp;AU$6,'Job Master'!$F$12:$I$102,4,0)-1),""),"")</f>
        <v/>
      </c>
      <c r="AX343" s="73"/>
      <c r="AY343" s="123" t="str">
        <f t="shared" si="654"/>
        <v/>
      </c>
      <c r="AZ343" s="123" t="str">
        <f t="shared" si="655"/>
        <v/>
      </c>
      <c r="BA343" s="97" t="str">
        <f t="shared" ca="1" si="656"/>
        <v/>
      </c>
      <c r="BB343" s="98" t="str">
        <f>IF(BD343&lt;&gt;"",VLOOKUP($P343&amp;" | "&amp;BB$6,'Job Master'!$F$12:$J$102,5,0),"")</f>
        <v/>
      </c>
      <c r="BC343" s="19" t="str">
        <f>IF(BD343&lt;&gt;"",VLOOKUP($P343&amp;" | "&amp;BB$6,'Job Master'!$F$12:$J$102,3,0),"")</f>
        <v/>
      </c>
      <c r="BD343" s="19" t="str">
        <f>IFERROR(IF(AND(BK343&lt;&gt;"",VLOOKUP($P343&amp;" | "&amp;BB$6,'Job Master'!$F$12:$I$102,4,0)&lt;&gt;""),IF(WEEKDAY(BK343-VLOOKUP($P343&amp;" | "&amp;BB$6,'Job Master'!$F$12:$I$102,4,0))&lt;&gt;7,BK343-VLOOKUP($P343&amp;" | "&amp;BB$6,'Job Master'!$F$12:$I$102,4,0),BK343-VLOOKUP($P343&amp;" | "&amp;BB$6,'Job Master'!$F$12:$I$102,4,0)-1),""),"")</f>
        <v/>
      </c>
      <c r="BE343" s="73"/>
      <c r="BF343" s="123" t="str">
        <f t="shared" si="657"/>
        <v/>
      </c>
      <c r="BG343" s="123" t="str">
        <f t="shared" si="658"/>
        <v/>
      </c>
      <c r="BH343" s="97" t="str">
        <f t="shared" ca="1" si="659"/>
        <v/>
      </c>
      <c r="BI343" s="98" t="str">
        <f>IF(BK343&lt;&gt;"",VLOOKUP($P343&amp;" | "&amp;BI$6,'Job Master'!$F$12:$J$102,5,0),"")</f>
        <v/>
      </c>
      <c r="BJ343" s="19" t="str">
        <f>IF(BK343&lt;&gt;"",VLOOKUP($P343&amp;" | "&amp;BI$6,'Job Master'!$F$12:$J$102,3,0),"")</f>
        <v/>
      </c>
      <c r="BK343" s="19" t="str">
        <f>IFERROR(IF(AND(BR343&lt;&gt;"",VLOOKUP($P343&amp;" | "&amp;BI$6,'Job Master'!$F$12:$I$102,4,0)&lt;&gt;""),IF(WEEKDAY(BR343-VLOOKUP($P343&amp;" | "&amp;BI$6,'Job Master'!$F$12:$I$102,4,0))&lt;&gt;7,BR343-VLOOKUP($P343&amp;" | "&amp;BI$6,'Job Master'!$F$12:$I$102,4,0),BR343-VLOOKUP($P343&amp;" | "&amp;BI$6,'Job Master'!$F$12:$I$102,4,0)-1),""),"")</f>
        <v/>
      </c>
      <c r="BL343" s="73"/>
      <c r="BM343" s="123" t="str">
        <f t="shared" si="660"/>
        <v/>
      </c>
      <c r="BN343" s="123" t="str">
        <f t="shared" si="661"/>
        <v/>
      </c>
      <c r="BO343" s="97" t="str">
        <f t="shared" ca="1" si="662"/>
        <v/>
      </c>
      <c r="BP343" s="98" t="str">
        <f>IF(BR343&lt;&gt;"",VLOOKUP($P343&amp;" | "&amp;BP$6,'Job Master'!$F$12:$J$102,5,0),"")</f>
        <v/>
      </c>
      <c r="BQ343" s="19" t="str">
        <f>IF(BR343&lt;&gt;"",VLOOKUP($P343&amp;" | "&amp;BP$6,'Job Master'!$F$12:$J$102,3,0),"")</f>
        <v/>
      </c>
      <c r="BR343" s="19" t="str">
        <f>IFERROR(IF(AND(BY343&lt;&gt;"",VLOOKUP($P343&amp;" | "&amp;BP$6,'Job Master'!$F$12:$I$102,4,0)&lt;&gt;""),IF(WEEKDAY(BY343-VLOOKUP($P343&amp;" | "&amp;BP$6,'Job Master'!$F$12:$I$102,4,0))&lt;&gt;7,BY343-VLOOKUP($P343&amp;" | "&amp;BP$6,'Job Master'!$F$12:$I$102,4,0),BY343-VLOOKUP($P343&amp;" | "&amp;BP$6,'Job Master'!$F$12:$I$102,4,0)-1),""),"")</f>
        <v/>
      </c>
      <c r="BS343" s="73"/>
      <c r="BT343" s="123" t="str">
        <f t="shared" si="663"/>
        <v/>
      </c>
      <c r="BU343" s="123" t="str">
        <f t="shared" si="664"/>
        <v/>
      </c>
      <c r="BV343" s="97" t="str">
        <f t="shared" ca="1" si="665"/>
        <v/>
      </c>
      <c r="BW343" s="98" t="str">
        <f>IF(BY343&lt;&gt;"",VLOOKUP($P343&amp;" | "&amp;BW$6,'Job Master'!$F$12:$J$102,5,0),"")</f>
        <v/>
      </c>
      <c r="BX343" s="19" t="str">
        <f>IF(BY343&lt;&gt;"",VLOOKUP($P343&amp;" | "&amp;BW$6,'Job Master'!$F$12:$J$102,3,0),"")</f>
        <v/>
      </c>
      <c r="BY343" s="19" t="str">
        <f>IFERROR(IF(AND(CF343&lt;&gt;"",VLOOKUP($P343&amp;" | "&amp;BW$6,'Job Master'!$F$12:$I$102,4,0)&lt;&gt;""),IF(WEEKDAY(CF343-VLOOKUP($P343&amp;" | "&amp;BW$6,'Job Master'!$F$12:$I$102,4,0))&lt;&gt;7,CF343-VLOOKUP($P343&amp;" | "&amp;BW$6,'Job Master'!$F$12:$I$102,4,0),CF343-VLOOKUP($P343&amp;" | "&amp;BW$6,'Job Master'!$F$12:$I$102,4,0)-1),""),"")</f>
        <v/>
      </c>
      <c r="BZ343" s="73"/>
      <c r="CA343" s="123" t="str">
        <f t="shared" si="666"/>
        <v/>
      </c>
      <c r="CB343" s="123" t="str">
        <f t="shared" si="667"/>
        <v/>
      </c>
      <c r="CC343" s="97" t="str">
        <f t="shared" ca="1" si="668"/>
        <v/>
      </c>
      <c r="CD343" s="98" t="str">
        <f>IF(CF343&lt;&gt;"",VLOOKUP($P343&amp;" | "&amp;CD$6,'Job Master'!$F$12:$J$102,5,0),"")</f>
        <v/>
      </c>
      <c r="CE343" s="19" t="str">
        <f>IF(CF343&lt;&gt;"",VLOOKUP($P343&amp;" | "&amp;CD$6,'Job Master'!$F$12:$J$102,3,0),"")</f>
        <v/>
      </c>
      <c r="CF343" s="19" t="str">
        <f>IFERROR(IF(AND(CM343&lt;&gt;"",VLOOKUP($P343&amp;" | "&amp;CD$6,'Job Master'!$F$12:$I$102,4,0)&lt;&gt;""),IF(WEEKDAY(CM343-VLOOKUP($P343&amp;" | "&amp;CD$6,'Job Master'!$F$12:$I$102,4,0))&lt;&gt;7,CM343-VLOOKUP($P343&amp;" | "&amp;CD$6,'Job Master'!$F$12:$I$102,4,0),CM343-VLOOKUP($P343&amp;" | "&amp;CD$6,'Job Master'!$F$12:$I$102,4,0)-1),""),"")</f>
        <v/>
      </c>
      <c r="CG343" s="73"/>
      <c r="CH343" s="123" t="str">
        <f t="shared" si="669"/>
        <v/>
      </c>
      <c r="CI343" s="123" t="str">
        <f t="shared" si="670"/>
        <v/>
      </c>
      <c r="CJ343" s="97" t="str">
        <f t="shared" ca="1" si="671"/>
        <v/>
      </c>
      <c r="CK343" s="98" t="str">
        <f>IF(CM343&lt;&gt;"",VLOOKUP($P343&amp;" | "&amp;CK$6,'Job Master'!$F$12:$J$102,5,0),"")</f>
        <v/>
      </c>
      <c r="CL343" s="19" t="str">
        <f>IF(CM343&lt;&gt;"",VLOOKUP($P343&amp;" | "&amp;CK$6,'Job Master'!$F$12:$J$102,3,0),"")</f>
        <v/>
      </c>
      <c r="CM343" s="19" t="str">
        <f>IFERROR(IF(AND(CT343&lt;&gt;"",VLOOKUP($P343&amp;" | "&amp;CK$6,'Job Master'!$F$12:$I$102,4,0)&lt;&gt;""),IF(WEEKDAY(CT343-VLOOKUP($P343&amp;" | "&amp;CK$6,'Job Master'!$F$12:$I$102,4,0))&lt;&gt;7,CT343-VLOOKUP($P343&amp;" | "&amp;CK$6,'Job Master'!$F$12:$I$102,4,0),CT343-VLOOKUP($P343&amp;" | "&amp;CK$6,'Job Master'!$F$12:$I$102,4,0)-1),""),"")</f>
        <v/>
      </c>
      <c r="CN343" s="73"/>
      <c r="CO343" s="123" t="str">
        <f t="shared" si="672"/>
        <v/>
      </c>
      <c r="CP343" s="123" t="str">
        <f t="shared" si="673"/>
        <v/>
      </c>
      <c r="CQ343" s="97" t="str">
        <f t="shared" ca="1" si="674"/>
        <v/>
      </c>
      <c r="CR343" s="98" t="str">
        <f>IF(CT343&lt;&gt;"",VLOOKUP($P343&amp;" | "&amp;CR$6,'Job Master'!$F$12:$J$102,5,0),"")</f>
        <v/>
      </c>
      <c r="CS343" s="19" t="str">
        <f>IF(CT343&lt;&gt;"",VLOOKUP($P343&amp;" | "&amp;CR$6,'Job Master'!$F$12:$J$102,3,0),"")</f>
        <v/>
      </c>
      <c r="CT343" s="19" t="str">
        <f>IFERROR(IF(AND(DA343&lt;&gt;"",VLOOKUP($P343&amp;" | "&amp;CR$6,'Job Master'!$F$12:$I$102,4,0)&lt;&gt;""),IF(WEEKDAY(DA343-VLOOKUP($P343&amp;" | "&amp;CR$6,'Job Master'!$F$12:$I$102,4,0))&lt;&gt;7,DA343-VLOOKUP($P343&amp;" | "&amp;CR$6,'Job Master'!$F$12:$I$102,4,0),DA343-VLOOKUP($P343&amp;" | "&amp;CR$6,'Job Master'!$F$12:$I$102,4,0)-1),""),"")</f>
        <v/>
      </c>
      <c r="CU343" s="73"/>
      <c r="CV343" s="123" t="str">
        <f t="shared" si="675"/>
        <v/>
      </c>
      <c r="CW343" s="123" t="str">
        <f t="shared" si="676"/>
        <v/>
      </c>
      <c r="CX343" s="97" t="str">
        <f t="shared" ca="1" si="677"/>
        <v/>
      </c>
      <c r="CY343" s="98" t="str">
        <f>IF(DA343&lt;&gt;"",VLOOKUP($P343&amp;" | "&amp;CY$6,'Job Master'!$F$12:$J$102,5,0),"")</f>
        <v/>
      </c>
      <c r="CZ343" s="19" t="str">
        <f>IF(DA343&lt;&gt;"",VLOOKUP($P343&amp;" | "&amp;CY$6,'Job Master'!$F$12:$J$102,3,0),"")</f>
        <v/>
      </c>
      <c r="DA343" s="19" t="str">
        <f>IFERROR(IF(AND(DH343&lt;&gt;"",VLOOKUP($P343&amp;" | "&amp;CY$6,'Job Master'!$F$12:$I$102,4,0)&lt;&gt;""),IF(WEEKDAY(DH343-VLOOKUP($P343&amp;" | "&amp;CY$6,'Job Master'!$F$12:$I$102,4,0))&lt;&gt;7,DH343-VLOOKUP($P343&amp;" | "&amp;CY$6,'Job Master'!$F$12:$I$102,4,0),DH343-VLOOKUP($P343&amp;" | "&amp;CY$6,'Job Master'!$F$12:$I$102,4,0)-1),""),"")</f>
        <v/>
      </c>
      <c r="DB343" s="73"/>
      <c r="DC343" s="123" t="str">
        <f t="shared" si="678"/>
        <v/>
      </c>
      <c r="DD343" s="123" t="str">
        <f t="shared" si="679"/>
        <v/>
      </c>
      <c r="DE343" s="97" t="str">
        <f t="shared" ca="1" si="680"/>
        <v/>
      </c>
      <c r="DF343" s="98" t="str">
        <f>IF(DH343&lt;&gt;"",VLOOKUP($P343&amp;" | "&amp;DF$6,'Job Master'!$F$12:$J$102,5,0),"")</f>
        <v/>
      </c>
      <c r="DG343" s="19" t="str">
        <f>IF(DH343&lt;&gt;"",VLOOKUP($P343&amp;" | "&amp;DF$6,'Job Master'!$F$12:$J$102,3,0),"")</f>
        <v/>
      </c>
      <c r="DH343" s="19" t="str">
        <f>IFERROR(IF(AND(DO343&lt;&gt;"",VLOOKUP($P343&amp;" | "&amp;DF$6,'Job Master'!$F$12:$I$102,4,0)&lt;&gt;""),IF(WEEKDAY(DO343-VLOOKUP($P343&amp;" | "&amp;DF$6,'Job Master'!$F$12:$I$102,4,0))&lt;&gt;7,DO343-VLOOKUP($P343&amp;" | "&amp;DF$6,'Job Master'!$F$12:$I$102,4,0),DO343-VLOOKUP($P343&amp;" | "&amp;DF$6,'Job Master'!$F$12:$I$102,4,0)-1),""),"")</f>
        <v/>
      </c>
      <c r="DI343" s="73"/>
      <c r="DJ343" s="123" t="str">
        <f t="shared" si="681"/>
        <v/>
      </c>
      <c r="DK343" s="123" t="str">
        <f t="shared" si="682"/>
        <v/>
      </c>
      <c r="DL343" s="97" t="str">
        <f t="shared" ca="1" si="683"/>
        <v/>
      </c>
      <c r="DM343" s="98" t="str">
        <f>IF(DO343&lt;&gt;"",VLOOKUP($P343&amp;" | "&amp;DM$6,'Job Master'!$F$12:$J$102,5,0),"")</f>
        <v/>
      </c>
      <c r="DN343" s="19" t="str">
        <f>IF(DO343&lt;&gt;"",VLOOKUP($P343&amp;" | "&amp;DM$6,'Job Master'!$F$12:$J$102,3,0),"")</f>
        <v/>
      </c>
      <c r="DO343" s="19" t="str">
        <f>IFERROR(IF(AND(DT343&lt;&gt;"",VLOOKUP($P343&amp;" | "&amp;DM$6,'Job Master'!$F$12:$I$102,4,0)&lt;&gt;""),IF(WEEKDAY(DT343-VLOOKUP($P343&amp;" | "&amp;DM$6,'Job Master'!$F$12:$I$102,4,0))&lt;&gt;7,DT343-VLOOKUP($P343&amp;" | "&amp;DM$6,'Job Master'!$F$12:$I$102,4,0),DT343-VLOOKUP($P343&amp;" | "&amp;DM$6,'Job Master'!$F$12:$I$102,4,0)-1),""),"")</f>
        <v/>
      </c>
      <c r="DP343" s="73"/>
      <c r="DQ343" s="123" t="str">
        <f t="shared" si="684"/>
        <v/>
      </c>
      <c r="DR343" s="123" t="str">
        <f t="shared" si="685"/>
        <v/>
      </c>
      <c r="DS343" s="97" t="str">
        <f t="shared" ca="1" si="686"/>
        <v/>
      </c>
      <c r="DT343" s="70" t="str">
        <f t="shared" si="687"/>
        <v/>
      </c>
      <c r="DU343" s="90"/>
      <c r="DV343" s="123" t="str">
        <f t="shared" si="688"/>
        <v/>
      </c>
      <c r="DW343" s="123" t="str">
        <f t="shared" si="689"/>
        <v/>
      </c>
      <c r="DX343" s="132" t="str">
        <f t="shared" ref="DX343" ca="1" si="711">IF(DT343&lt;&gt;"",IF(WEEKNUM(DT343)=WEEKNUM(TODAY()),"This Week",IF(WEEKNUM(DT343)=WEEKNUM(TODAY())+1,"Next Week",IF(WEEKNUM(DT343)=WEEKNUM(TODAY())-1,"Previous Week",""))),"")</f>
        <v/>
      </c>
      <c r="DY343" s="134" t="str">
        <f t="shared" si="691"/>
        <v/>
      </c>
      <c r="DZ343" s="95"/>
      <c r="EB343" s="8" t="str">
        <f t="shared" si="697"/>
        <v/>
      </c>
      <c r="EC343" s="8" t="str">
        <f>IF(O343&lt;&gt;"",VLOOKUP(O343,'Job Master'!$N$12:$O$18,2,0),"")</f>
        <v/>
      </c>
      <c r="ED343" s="8">
        <f t="shared" si="698"/>
        <v>19.5</v>
      </c>
      <c r="EE343" s="8">
        <f t="shared" si="699"/>
        <v>6</v>
      </c>
      <c r="EF343" s="8">
        <f t="shared" si="700"/>
        <v>-1978.5</v>
      </c>
      <c r="EG343" s="8" t="str">
        <f t="shared" si="701"/>
        <v/>
      </c>
      <c r="EH343" s="8" t="str">
        <f t="shared" si="702"/>
        <v/>
      </c>
    </row>
    <row r="344" spans="2:138" x14ac:dyDescent="0.3">
      <c r="B344" s="112"/>
      <c r="C344" s="27"/>
      <c r="D344" s="7" t="str">
        <f t="shared" si="639"/>
        <v/>
      </c>
      <c r="E344" s="25"/>
      <c r="F344" s="7" t="str">
        <f t="shared" si="639"/>
        <v/>
      </c>
      <c r="G344" s="25"/>
      <c r="H344" s="7" t="str">
        <f t="shared" si="639"/>
        <v/>
      </c>
      <c r="I344" s="25"/>
      <c r="J344" s="7" t="str">
        <f t="shared" si="639"/>
        <v/>
      </c>
      <c r="K344" s="25"/>
      <c r="L344" s="7" t="str">
        <f t="shared" si="640"/>
        <v/>
      </c>
      <c r="M344" s="25"/>
      <c r="N344" s="7" t="str">
        <f t="shared" si="641"/>
        <v/>
      </c>
      <c r="O344" s="81"/>
      <c r="P344" s="81" t="str">
        <f t="shared" si="642"/>
        <v/>
      </c>
      <c r="Q344" s="81"/>
      <c r="R344" s="7" t="str">
        <f t="shared" si="643"/>
        <v/>
      </c>
      <c r="S344" s="25"/>
      <c r="T344" s="7" t="str">
        <f t="shared" si="644"/>
        <v/>
      </c>
      <c r="U344" s="25"/>
      <c r="V344" s="7" t="str">
        <f t="shared" si="645"/>
        <v/>
      </c>
      <c r="W344" s="25"/>
      <c r="X344" s="7" t="str">
        <f t="shared" si="646"/>
        <v/>
      </c>
      <c r="Y344" s="18" t="str">
        <f t="shared" si="647"/>
        <v/>
      </c>
      <c r="Z344" s="7" t="str">
        <f t="shared" si="648"/>
        <v/>
      </c>
      <c r="AA344" s="18" t="str">
        <f t="shared" si="649"/>
        <v/>
      </c>
      <c r="AB344" s="19" t="str">
        <f t="shared" si="650"/>
        <v/>
      </c>
      <c r="AC344" s="26"/>
      <c r="AD344" s="26"/>
      <c r="AE344" s="25"/>
      <c r="AF344" s="26"/>
      <c r="AG344" s="25"/>
      <c r="AH344" s="25"/>
      <c r="AI344" s="18" t="str">
        <f t="shared" si="587"/>
        <v/>
      </c>
      <c r="AJ344" s="25"/>
      <c r="AK344" s="18" t="str">
        <f t="shared" si="588"/>
        <v/>
      </c>
      <c r="AL344" s="79"/>
      <c r="AM344" s="126" t="str">
        <f t="shared" si="589"/>
        <v/>
      </c>
      <c r="AN344" s="128" t="str">
        <f>IF(AP344&lt;&gt;"",VLOOKUP($P344&amp;" | "&amp;AN$6,'Job Master'!$F$12:$J$102,5,0),"")</f>
        <v/>
      </c>
      <c r="AO344" s="19" t="str">
        <f>IF(AP344&lt;&gt;"",VLOOKUP($P344&amp;" | "&amp;AN$6,'Job Master'!$F$12:$J$102,3,0),"")</f>
        <v/>
      </c>
      <c r="AP344" s="19" t="str">
        <f>IFERROR(IF(AND(AW344&lt;&gt;"",VLOOKUP($P344&amp;" | "&amp;AN$6,'Job Master'!$F$12:$I$102,4,0)&lt;&gt;""),IF(WEEKDAY(AW344-VLOOKUP($P344&amp;" | "&amp;AN$6,'Job Master'!$F$12:$I$102,4,0))&lt;&gt;7,AW344-VLOOKUP($P344&amp;" | "&amp;AN$6,'Job Master'!$F$12:$I$102,4,0),AW344-VLOOKUP($P344&amp;" | "&amp;AN$6,'Job Master'!$F$12:$I$102,4,0)-1),""),"")</f>
        <v/>
      </c>
      <c r="AQ344" s="73"/>
      <c r="AR344" s="123" t="str">
        <f t="shared" si="651"/>
        <v/>
      </c>
      <c r="AS344" s="123" t="str">
        <f t="shared" si="652"/>
        <v/>
      </c>
      <c r="AT344" s="97" t="str">
        <f t="shared" ca="1" si="653"/>
        <v/>
      </c>
      <c r="AU344" s="98" t="str">
        <f>IF(AW344&lt;&gt;"",VLOOKUP($P344&amp;" | "&amp;AU$6,'Job Master'!$F$12:$J$102,5,0),"")</f>
        <v/>
      </c>
      <c r="AV344" s="19" t="str">
        <f>IF(AW344&lt;&gt;"",VLOOKUP($P344&amp;" | "&amp;AU$6,'Job Master'!$F$12:$J$102,3,0),"")</f>
        <v/>
      </c>
      <c r="AW344" s="19" t="str">
        <f>IFERROR(IF(AND(BD344&lt;&gt;"",VLOOKUP($P344&amp;" | "&amp;AU$6,'Job Master'!$F$12:$I$102,4,0)&lt;&gt;""),IF(WEEKDAY(BD344-VLOOKUP($P344&amp;" | "&amp;AU$6,'Job Master'!$F$12:$I$102,4,0))&lt;&gt;7,BD344-VLOOKUP($P344&amp;" | "&amp;AU$6,'Job Master'!$F$12:$I$102,4,0),BD344-VLOOKUP($P344&amp;" | "&amp;AU$6,'Job Master'!$F$12:$I$102,4,0)-1),""),"")</f>
        <v/>
      </c>
      <c r="AX344" s="73"/>
      <c r="AY344" s="123" t="str">
        <f t="shared" si="654"/>
        <v/>
      </c>
      <c r="AZ344" s="123" t="str">
        <f t="shared" si="655"/>
        <v/>
      </c>
      <c r="BA344" s="97" t="str">
        <f t="shared" ca="1" si="656"/>
        <v/>
      </c>
      <c r="BB344" s="98" t="str">
        <f>IF(BD344&lt;&gt;"",VLOOKUP($P344&amp;" | "&amp;BB$6,'Job Master'!$F$12:$J$102,5,0),"")</f>
        <v/>
      </c>
      <c r="BC344" s="19" t="str">
        <f>IF(BD344&lt;&gt;"",VLOOKUP($P344&amp;" | "&amp;BB$6,'Job Master'!$F$12:$J$102,3,0),"")</f>
        <v/>
      </c>
      <c r="BD344" s="19" t="str">
        <f>IFERROR(IF(AND(BK344&lt;&gt;"",VLOOKUP($P344&amp;" | "&amp;BB$6,'Job Master'!$F$12:$I$102,4,0)&lt;&gt;""),IF(WEEKDAY(BK344-VLOOKUP($P344&amp;" | "&amp;BB$6,'Job Master'!$F$12:$I$102,4,0))&lt;&gt;7,BK344-VLOOKUP($P344&amp;" | "&amp;BB$6,'Job Master'!$F$12:$I$102,4,0),BK344-VLOOKUP($P344&amp;" | "&amp;BB$6,'Job Master'!$F$12:$I$102,4,0)-1),""),"")</f>
        <v/>
      </c>
      <c r="BE344" s="73"/>
      <c r="BF344" s="123" t="str">
        <f t="shared" si="657"/>
        <v/>
      </c>
      <c r="BG344" s="123" t="str">
        <f t="shared" si="658"/>
        <v/>
      </c>
      <c r="BH344" s="97" t="str">
        <f t="shared" ca="1" si="659"/>
        <v/>
      </c>
      <c r="BI344" s="98" t="str">
        <f>IF(BK344&lt;&gt;"",VLOOKUP($P344&amp;" | "&amp;BI$6,'Job Master'!$F$12:$J$102,5,0),"")</f>
        <v/>
      </c>
      <c r="BJ344" s="19" t="str">
        <f>IF(BK344&lt;&gt;"",VLOOKUP($P344&amp;" | "&amp;BI$6,'Job Master'!$F$12:$J$102,3,0),"")</f>
        <v/>
      </c>
      <c r="BK344" s="19" t="str">
        <f>IFERROR(IF(AND(BR344&lt;&gt;"",VLOOKUP($P344&amp;" | "&amp;BI$6,'Job Master'!$F$12:$I$102,4,0)&lt;&gt;""),IF(WEEKDAY(BR344-VLOOKUP($P344&amp;" | "&amp;BI$6,'Job Master'!$F$12:$I$102,4,0))&lt;&gt;7,BR344-VLOOKUP($P344&amp;" | "&amp;BI$6,'Job Master'!$F$12:$I$102,4,0),BR344-VLOOKUP($P344&amp;" | "&amp;BI$6,'Job Master'!$F$12:$I$102,4,0)-1),""),"")</f>
        <v/>
      </c>
      <c r="BL344" s="73"/>
      <c r="BM344" s="123" t="str">
        <f t="shared" si="660"/>
        <v/>
      </c>
      <c r="BN344" s="123" t="str">
        <f t="shared" si="661"/>
        <v/>
      </c>
      <c r="BO344" s="97" t="str">
        <f t="shared" ca="1" si="662"/>
        <v/>
      </c>
      <c r="BP344" s="98" t="str">
        <f>IF(BR344&lt;&gt;"",VLOOKUP($P344&amp;" | "&amp;BP$6,'Job Master'!$F$12:$J$102,5,0),"")</f>
        <v/>
      </c>
      <c r="BQ344" s="19" t="str">
        <f>IF(BR344&lt;&gt;"",VLOOKUP($P344&amp;" | "&amp;BP$6,'Job Master'!$F$12:$J$102,3,0),"")</f>
        <v/>
      </c>
      <c r="BR344" s="19" t="str">
        <f>IFERROR(IF(AND(BY344&lt;&gt;"",VLOOKUP($P344&amp;" | "&amp;BP$6,'Job Master'!$F$12:$I$102,4,0)&lt;&gt;""),IF(WEEKDAY(BY344-VLOOKUP($P344&amp;" | "&amp;BP$6,'Job Master'!$F$12:$I$102,4,0))&lt;&gt;7,BY344-VLOOKUP($P344&amp;" | "&amp;BP$6,'Job Master'!$F$12:$I$102,4,0),BY344-VLOOKUP($P344&amp;" | "&amp;BP$6,'Job Master'!$F$12:$I$102,4,0)-1),""),"")</f>
        <v/>
      </c>
      <c r="BS344" s="73"/>
      <c r="BT344" s="123" t="str">
        <f t="shared" si="663"/>
        <v/>
      </c>
      <c r="BU344" s="123" t="str">
        <f t="shared" si="664"/>
        <v/>
      </c>
      <c r="BV344" s="97" t="str">
        <f t="shared" ca="1" si="665"/>
        <v/>
      </c>
      <c r="BW344" s="98" t="str">
        <f>IF(BY344&lt;&gt;"",VLOOKUP($P344&amp;" | "&amp;BW$6,'Job Master'!$F$12:$J$102,5,0),"")</f>
        <v/>
      </c>
      <c r="BX344" s="19" t="str">
        <f>IF(BY344&lt;&gt;"",VLOOKUP($P344&amp;" | "&amp;BW$6,'Job Master'!$F$12:$J$102,3,0),"")</f>
        <v/>
      </c>
      <c r="BY344" s="19" t="str">
        <f>IFERROR(IF(AND(CF344&lt;&gt;"",VLOOKUP($P344&amp;" | "&amp;BW$6,'Job Master'!$F$12:$I$102,4,0)&lt;&gt;""),IF(WEEKDAY(CF344-VLOOKUP($P344&amp;" | "&amp;BW$6,'Job Master'!$F$12:$I$102,4,0))&lt;&gt;7,CF344-VLOOKUP($P344&amp;" | "&amp;BW$6,'Job Master'!$F$12:$I$102,4,0),CF344-VLOOKUP($P344&amp;" | "&amp;BW$6,'Job Master'!$F$12:$I$102,4,0)-1),""),"")</f>
        <v/>
      </c>
      <c r="BZ344" s="73"/>
      <c r="CA344" s="123" t="str">
        <f t="shared" si="666"/>
        <v/>
      </c>
      <c r="CB344" s="123" t="str">
        <f t="shared" si="667"/>
        <v/>
      </c>
      <c r="CC344" s="97" t="str">
        <f t="shared" ca="1" si="668"/>
        <v/>
      </c>
      <c r="CD344" s="98" t="str">
        <f>IF(CF344&lt;&gt;"",VLOOKUP($P344&amp;" | "&amp;CD$6,'Job Master'!$F$12:$J$102,5,0),"")</f>
        <v/>
      </c>
      <c r="CE344" s="19" t="str">
        <f>IF(CF344&lt;&gt;"",VLOOKUP($P344&amp;" | "&amp;CD$6,'Job Master'!$F$12:$J$102,3,0),"")</f>
        <v/>
      </c>
      <c r="CF344" s="19" t="str">
        <f>IFERROR(IF(AND(CM344&lt;&gt;"",VLOOKUP($P344&amp;" | "&amp;CD$6,'Job Master'!$F$12:$I$102,4,0)&lt;&gt;""),IF(WEEKDAY(CM344-VLOOKUP($P344&amp;" | "&amp;CD$6,'Job Master'!$F$12:$I$102,4,0))&lt;&gt;7,CM344-VLOOKUP($P344&amp;" | "&amp;CD$6,'Job Master'!$F$12:$I$102,4,0),CM344-VLOOKUP($P344&amp;" | "&amp;CD$6,'Job Master'!$F$12:$I$102,4,0)-1),""),"")</f>
        <v/>
      </c>
      <c r="CG344" s="73"/>
      <c r="CH344" s="123" t="str">
        <f t="shared" si="669"/>
        <v/>
      </c>
      <c r="CI344" s="123" t="str">
        <f t="shared" si="670"/>
        <v/>
      </c>
      <c r="CJ344" s="97" t="str">
        <f t="shared" ca="1" si="671"/>
        <v/>
      </c>
      <c r="CK344" s="98" t="str">
        <f>IF(CM344&lt;&gt;"",VLOOKUP($P344&amp;" | "&amp;CK$6,'Job Master'!$F$12:$J$102,5,0),"")</f>
        <v/>
      </c>
      <c r="CL344" s="19" t="str">
        <f>IF(CM344&lt;&gt;"",VLOOKUP($P344&amp;" | "&amp;CK$6,'Job Master'!$F$12:$J$102,3,0),"")</f>
        <v/>
      </c>
      <c r="CM344" s="19" t="str">
        <f>IFERROR(IF(AND(CT344&lt;&gt;"",VLOOKUP($P344&amp;" | "&amp;CK$6,'Job Master'!$F$12:$I$102,4,0)&lt;&gt;""),IF(WEEKDAY(CT344-VLOOKUP($P344&amp;" | "&amp;CK$6,'Job Master'!$F$12:$I$102,4,0))&lt;&gt;7,CT344-VLOOKUP($P344&amp;" | "&amp;CK$6,'Job Master'!$F$12:$I$102,4,0),CT344-VLOOKUP($P344&amp;" | "&amp;CK$6,'Job Master'!$F$12:$I$102,4,0)-1),""),"")</f>
        <v/>
      </c>
      <c r="CN344" s="73"/>
      <c r="CO344" s="123" t="str">
        <f t="shared" si="672"/>
        <v/>
      </c>
      <c r="CP344" s="123" t="str">
        <f t="shared" si="673"/>
        <v/>
      </c>
      <c r="CQ344" s="97" t="str">
        <f t="shared" ca="1" si="674"/>
        <v/>
      </c>
      <c r="CR344" s="98" t="str">
        <f>IF(CT344&lt;&gt;"",VLOOKUP($P344&amp;" | "&amp;CR$6,'Job Master'!$F$12:$J$102,5,0),"")</f>
        <v/>
      </c>
      <c r="CS344" s="19" t="str">
        <f>IF(CT344&lt;&gt;"",VLOOKUP($P344&amp;" | "&amp;CR$6,'Job Master'!$F$12:$J$102,3,0),"")</f>
        <v/>
      </c>
      <c r="CT344" s="19" t="str">
        <f>IFERROR(IF(AND(DA344&lt;&gt;"",VLOOKUP($P344&amp;" | "&amp;CR$6,'Job Master'!$F$12:$I$102,4,0)&lt;&gt;""),IF(WEEKDAY(DA344-VLOOKUP($P344&amp;" | "&amp;CR$6,'Job Master'!$F$12:$I$102,4,0))&lt;&gt;7,DA344-VLOOKUP($P344&amp;" | "&amp;CR$6,'Job Master'!$F$12:$I$102,4,0),DA344-VLOOKUP($P344&amp;" | "&amp;CR$6,'Job Master'!$F$12:$I$102,4,0)-1),""),"")</f>
        <v/>
      </c>
      <c r="CU344" s="73"/>
      <c r="CV344" s="123" t="str">
        <f t="shared" si="675"/>
        <v/>
      </c>
      <c r="CW344" s="123" t="str">
        <f t="shared" si="676"/>
        <v/>
      </c>
      <c r="CX344" s="97" t="str">
        <f t="shared" ca="1" si="677"/>
        <v/>
      </c>
      <c r="CY344" s="98" t="str">
        <f>IF(DA344&lt;&gt;"",VLOOKUP($P344&amp;" | "&amp;CY$6,'Job Master'!$F$12:$J$102,5,0),"")</f>
        <v/>
      </c>
      <c r="CZ344" s="19" t="str">
        <f>IF(DA344&lt;&gt;"",VLOOKUP($P344&amp;" | "&amp;CY$6,'Job Master'!$F$12:$J$102,3,0),"")</f>
        <v/>
      </c>
      <c r="DA344" s="19" t="str">
        <f>IFERROR(IF(AND(DH344&lt;&gt;"",VLOOKUP($P344&amp;" | "&amp;CY$6,'Job Master'!$F$12:$I$102,4,0)&lt;&gt;""),IF(WEEKDAY(DH344-VLOOKUP($P344&amp;" | "&amp;CY$6,'Job Master'!$F$12:$I$102,4,0))&lt;&gt;7,DH344-VLOOKUP($P344&amp;" | "&amp;CY$6,'Job Master'!$F$12:$I$102,4,0),DH344-VLOOKUP($P344&amp;" | "&amp;CY$6,'Job Master'!$F$12:$I$102,4,0)-1),""),"")</f>
        <v/>
      </c>
      <c r="DB344" s="73"/>
      <c r="DC344" s="123" t="str">
        <f t="shared" si="678"/>
        <v/>
      </c>
      <c r="DD344" s="123" t="str">
        <f t="shared" si="679"/>
        <v/>
      </c>
      <c r="DE344" s="97" t="str">
        <f t="shared" ca="1" si="680"/>
        <v/>
      </c>
      <c r="DF344" s="98" t="str">
        <f>IF(DH344&lt;&gt;"",VLOOKUP($P344&amp;" | "&amp;DF$6,'Job Master'!$F$12:$J$102,5,0),"")</f>
        <v/>
      </c>
      <c r="DG344" s="19" t="str">
        <f>IF(DH344&lt;&gt;"",VLOOKUP($P344&amp;" | "&amp;DF$6,'Job Master'!$F$12:$J$102,3,0),"")</f>
        <v/>
      </c>
      <c r="DH344" s="19" t="str">
        <f>IFERROR(IF(AND(DO344&lt;&gt;"",VLOOKUP($P344&amp;" | "&amp;DF$6,'Job Master'!$F$12:$I$102,4,0)&lt;&gt;""),IF(WEEKDAY(DO344-VLOOKUP($P344&amp;" | "&amp;DF$6,'Job Master'!$F$12:$I$102,4,0))&lt;&gt;7,DO344-VLOOKUP($P344&amp;" | "&amp;DF$6,'Job Master'!$F$12:$I$102,4,0),DO344-VLOOKUP($P344&amp;" | "&amp;DF$6,'Job Master'!$F$12:$I$102,4,0)-1),""),"")</f>
        <v/>
      </c>
      <c r="DI344" s="73"/>
      <c r="DJ344" s="123" t="str">
        <f t="shared" si="681"/>
        <v/>
      </c>
      <c r="DK344" s="123" t="str">
        <f t="shared" si="682"/>
        <v/>
      </c>
      <c r="DL344" s="97" t="str">
        <f t="shared" ca="1" si="683"/>
        <v/>
      </c>
      <c r="DM344" s="98" t="str">
        <f>IF(DO344&lt;&gt;"",VLOOKUP($P344&amp;" | "&amp;DM$6,'Job Master'!$F$12:$J$102,5,0),"")</f>
        <v/>
      </c>
      <c r="DN344" s="19" t="str">
        <f>IF(DO344&lt;&gt;"",VLOOKUP($P344&amp;" | "&amp;DM$6,'Job Master'!$F$12:$J$102,3,0),"")</f>
        <v/>
      </c>
      <c r="DO344" s="19" t="str">
        <f>IFERROR(IF(AND(DT344&lt;&gt;"",VLOOKUP($P344&amp;" | "&amp;DM$6,'Job Master'!$F$12:$I$102,4,0)&lt;&gt;""),IF(WEEKDAY(DT344-VLOOKUP($P344&amp;" | "&amp;DM$6,'Job Master'!$F$12:$I$102,4,0))&lt;&gt;7,DT344-VLOOKUP($P344&amp;" | "&amp;DM$6,'Job Master'!$F$12:$I$102,4,0),DT344-VLOOKUP($P344&amp;" | "&amp;DM$6,'Job Master'!$F$12:$I$102,4,0)-1),""),"")</f>
        <v/>
      </c>
      <c r="DP344" s="73"/>
      <c r="DQ344" s="123" t="str">
        <f t="shared" si="684"/>
        <v/>
      </c>
      <c r="DR344" s="123" t="str">
        <f t="shared" si="685"/>
        <v/>
      </c>
      <c r="DS344" s="97" t="str">
        <f t="shared" ca="1" si="686"/>
        <v/>
      </c>
      <c r="DT344" s="70" t="str">
        <f t="shared" si="687"/>
        <v/>
      </c>
      <c r="DU344" s="90"/>
      <c r="DV344" s="123" t="str">
        <f t="shared" si="688"/>
        <v/>
      </c>
      <c r="DW344" s="123" t="str">
        <f t="shared" si="689"/>
        <v/>
      </c>
      <c r="DX344" s="132" t="str">
        <f t="shared" ref="DX344" ca="1" si="712">IF(DT344&lt;&gt;"",IF(WEEKNUM(DT344)=WEEKNUM(TODAY()),"This Week",IF(WEEKNUM(DT344)=WEEKNUM(TODAY())+1,"Next Week",IF(WEEKNUM(DT344)=WEEKNUM(TODAY())-1,"Previous Week",""))),"")</f>
        <v/>
      </c>
      <c r="DY344" s="134" t="str">
        <f t="shared" si="691"/>
        <v/>
      </c>
      <c r="DZ344" s="95"/>
      <c r="EB344" s="8" t="str">
        <f t="shared" si="697"/>
        <v/>
      </c>
      <c r="EC344" s="8" t="str">
        <f>IF(O344&lt;&gt;"",VLOOKUP(O344,'Job Master'!$N$12:$O$18,2,0),"")</f>
        <v/>
      </c>
      <c r="ED344" s="8">
        <f t="shared" si="698"/>
        <v>19.5</v>
      </c>
      <c r="EE344" s="8">
        <f t="shared" si="699"/>
        <v>6</v>
      </c>
      <c r="EF344" s="8">
        <f t="shared" si="700"/>
        <v>-1984.5</v>
      </c>
      <c r="EG344" s="8" t="str">
        <f t="shared" si="701"/>
        <v/>
      </c>
      <c r="EH344" s="8" t="str">
        <f t="shared" si="702"/>
        <v/>
      </c>
    </row>
    <row r="345" spans="2:138" x14ac:dyDescent="0.3">
      <c r="B345" s="112"/>
      <c r="C345" s="27"/>
      <c r="D345" s="7" t="str">
        <f t="shared" si="639"/>
        <v/>
      </c>
      <c r="E345" s="25"/>
      <c r="F345" s="7" t="str">
        <f t="shared" si="639"/>
        <v/>
      </c>
      <c r="G345" s="25"/>
      <c r="H345" s="7" t="str">
        <f t="shared" si="639"/>
        <v/>
      </c>
      <c r="I345" s="25"/>
      <c r="J345" s="7" t="str">
        <f t="shared" si="639"/>
        <v/>
      </c>
      <c r="K345" s="25"/>
      <c r="L345" s="7" t="str">
        <f t="shared" si="640"/>
        <v/>
      </c>
      <c r="M345" s="25"/>
      <c r="N345" s="7" t="str">
        <f t="shared" si="641"/>
        <v/>
      </c>
      <c r="O345" s="81"/>
      <c r="P345" s="81" t="str">
        <f t="shared" si="642"/>
        <v/>
      </c>
      <c r="Q345" s="81"/>
      <c r="R345" s="7" t="str">
        <f t="shared" si="643"/>
        <v/>
      </c>
      <c r="S345" s="25"/>
      <c r="T345" s="7" t="str">
        <f t="shared" si="644"/>
        <v/>
      </c>
      <c r="U345" s="25"/>
      <c r="V345" s="7" t="str">
        <f t="shared" si="645"/>
        <v/>
      </c>
      <c r="W345" s="25"/>
      <c r="X345" s="7" t="str">
        <f t="shared" si="646"/>
        <v/>
      </c>
      <c r="Y345" s="18" t="str">
        <f t="shared" si="647"/>
        <v/>
      </c>
      <c r="Z345" s="7" t="str">
        <f t="shared" si="648"/>
        <v/>
      </c>
      <c r="AA345" s="18" t="str">
        <f t="shared" si="649"/>
        <v/>
      </c>
      <c r="AB345" s="19" t="str">
        <f t="shared" si="650"/>
        <v/>
      </c>
      <c r="AC345" s="26"/>
      <c r="AD345" s="26"/>
      <c r="AE345" s="25"/>
      <c r="AF345" s="26"/>
      <c r="AG345" s="25"/>
      <c r="AH345" s="25"/>
      <c r="AI345" s="18" t="str">
        <f t="shared" ref="AI345:AI408" si="713">IF(IF(AH345&lt;&gt;"",AH345,IF($AA345&lt;&gt;"",AI344,""))&lt;&gt;0,IF(AH345&lt;&gt;"",AH345,IF($AA345&lt;&gt;"",AI344,"")),"")</f>
        <v/>
      </c>
      <c r="AJ345" s="25"/>
      <c r="AK345" s="18" t="str">
        <f t="shared" ref="AK345:AK408" si="714">IF(IF(AJ345&lt;&gt;"",AJ345,IF($AA345&lt;&gt;"",AK344,""))&lt;&gt;0,IF(AJ345&lt;&gt;"",AJ345,IF($AA345&lt;&gt;"",AK344,"")),"")</f>
        <v/>
      </c>
      <c r="AL345" s="79"/>
      <c r="AM345" s="126" t="str">
        <f t="shared" ref="AM345:AM408" si="715">IF(IF(AL345&lt;&gt;"",AL345,IF($AA345&lt;&gt;"",AM344,""))&lt;&gt;0,IF(AL345&lt;&gt;"",AL345,IF($AA345&lt;&gt;"",AM344,"")),"")</f>
        <v/>
      </c>
      <c r="AN345" s="128" t="str">
        <f>IF(AP345&lt;&gt;"",VLOOKUP($P345&amp;" | "&amp;AN$6,'Job Master'!$F$12:$J$102,5,0),"")</f>
        <v/>
      </c>
      <c r="AO345" s="19" t="str">
        <f>IF(AP345&lt;&gt;"",VLOOKUP($P345&amp;" | "&amp;AN$6,'Job Master'!$F$12:$J$102,3,0),"")</f>
        <v/>
      </c>
      <c r="AP345" s="19" t="str">
        <f>IFERROR(IF(AND(AW345&lt;&gt;"",VLOOKUP($P345&amp;" | "&amp;AN$6,'Job Master'!$F$12:$I$102,4,0)&lt;&gt;""),IF(WEEKDAY(AW345-VLOOKUP($P345&amp;" | "&amp;AN$6,'Job Master'!$F$12:$I$102,4,0))&lt;&gt;7,AW345-VLOOKUP($P345&amp;" | "&amp;AN$6,'Job Master'!$F$12:$I$102,4,0),AW345-VLOOKUP($P345&amp;" | "&amp;AN$6,'Job Master'!$F$12:$I$102,4,0)-1),""),"")</f>
        <v/>
      </c>
      <c r="AQ345" s="73"/>
      <c r="AR345" s="123" t="str">
        <f t="shared" si="651"/>
        <v/>
      </c>
      <c r="AS345" s="123" t="str">
        <f t="shared" si="652"/>
        <v/>
      </c>
      <c r="AT345" s="97" t="str">
        <f t="shared" ca="1" si="653"/>
        <v/>
      </c>
      <c r="AU345" s="98" t="str">
        <f>IF(AW345&lt;&gt;"",VLOOKUP($P345&amp;" | "&amp;AU$6,'Job Master'!$F$12:$J$102,5,0),"")</f>
        <v/>
      </c>
      <c r="AV345" s="19" t="str">
        <f>IF(AW345&lt;&gt;"",VLOOKUP($P345&amp;" | "&amp;AU$6,'Job Master'!$F$12:$J$102,3,0),"")</f>
        <v/>
      </c>
      <c r="AW345" s="19" t="str">
        <f>IFERROR(IF(AND(BD345&lt;&gt;"",VLOOKUP($P345&amp;" | "&amp;AU$6,'Job Master'!$F$12:$I$102,4,0)&lt;&gt;""),IF(WEEKDAY(BD345-VLOOKUP($P345&amp;" | "&amp;AU$6,'Job Master'!$F$12:$I$102,4,0))&lt;&gt;7,BD345-VLOOKUP($P345&amp;" | "&amp;AU$6,'Job Master'!$F$12:$I$102,4,0),BD345-VLOOKUP($P345&amp;" | "&amp;AU$6,'Job Master'!$F$12:$I$102,4,0)-1),""),"")</f>
        <v/>
      </c>
      <c r="AX345" s="73"/>
      <c r="AY345" s="123" t="str">
        <f t="shared" si="654"/>
        <v/>
      </c>
      <c r="AZ345" s="123" t="str">
        <f t="shared" si="655"/>
        <v/>
      </c>
      <c r="BA345" s="97" t="str">
        <f t="shared" ca="1" si="656"/>
        <v/>
      </c>
      <c r="BB345" s="98" t="str">
        <f>IF(BD345&lt;&gt;"",VLOOKUP($P345&amp;" | "&amp;BB$6,'Job Master'!$F$12:$J$102,5,0),"")</f>
        <v/>
      </c>
      <c r="BC345" s="19" t="str">
        <f>IF(BD345&lt;&gt;"",VLOOKUP($P345&amp;" | "&amp;BB$6,'Job Master'!$F$12:$J$102,3,0),"")</f>
        <v/>
      </c>
      <c r="BD345" s="19" t="str">
        <f>IFERROR(IF(AND(BK345&lt;&gt;"",VLOOKUP($P345&amp;" | "&amp;BB$6,'Job Master'!$F$12:$I$102,4,0)&lt;&gt;""),IF(WEEKDAY(BK345-VLOOKUP($P345&amp;" | "&amp;BB$6,'Job Master'!$F$12:$I$102,4,0))&lt;&gt;7,BK345-VLOOKUP($P345&amp;" | "&amp;BB$6,'Job Master'!$F$12:$I$102,4,0),BK345-VLOOKUP($P345&amp;" | "&amp;BB$6,'Job Master'!$F$12:$I$102,4,0)-1),""),"")</f>
        <v/>
      </c>
      <c r="BE345" s="73"/>
      <c r="BF345" s="123" t="str">
        <f t="shared" si="657"/>
        <v/>
      </c>
      <c r="BG345" s="123" t="str">
        <f t="shared" si="658"/>
        <v/>
      </c>
      <c r="BH345" s="97" t="str">
        <f t="shared" ca="1" si="659"/>
        <v/>
      </c>
      <c r="BI345" s="98" t="str">
        <f>IF(BK345&lt;&gt;"",VLOOKUP($P345&amp;" | "&amp;BI$6,'Job Master'!$F$12:$J$102,5,0),"")</f>
        <v/>
      </c>
      <c r="BJ345" s="19" t="str">
        <f>IF(BK345&lt;&gt;"",VLOOKUP($P345&amp;" | "&amp;BI$6,'Job Master'!$F$12:$J$102,3,0),"")</f>
        <v/>
      </c>
      <c r="BK345" s="19" t="str">
        <f>IFERROR(IF(AND(BR345&lt;&gt;"",VLOOKUP($P345&amp;" | "&amp;BI$6,'Job Master'!$F$12:$I$102,4,0)&lt;&gt;""),IF(WEEKDAY(BR345-VLOOKUP($P345&amp;" | "&amp;BI$6,'Job Master'!$F$12:$I$102,4,0))&lt;&gt;7,BR345-VLOOKUP($P345&amp;" | "&amp;BI$6,'Job Master'!$F$12:$I$102,4,0),BR345-VLOOKUP($P345&amp;" | "&amp;BI$6,'Job Master'!$F$12:$I$102,4,0)-1),""),"")</f>
        <v/>
      </c>
      <c r="BL345" s="73"/>
      <c r="BM345" s="123" t="str">
        <f t="shared" si="660"/>
        <v/>
      </c>
      <c r="BN345" s="123" t="str">
        <f t="shared" si="661"/>
        <v/>
      </c>
      <c r="BO345" s="97" t="str">
        <f t="shared" ca="1" si="662"/>
        <v/>
      </c>
      <c r="BP345" s="98" t="str">
        <f>IF(BR345&lt;&gt;"",VLOOKUP($P345&amp;" | "&amp;BP$6,'Job Master'!$F$12:$J$102,5,0),"")</f>
        <v/>
      </c>
      <c r="BQ345" s="19" t="str">
        <f>IF(BR345&lt;&gt;"",VLOOKUP($P345&amp;" | "&amp;BP$6,'Job Master'!$F$12:$J$102,3,0),"")</f>
        <v/>
      </c>
      <c r="BR345" s="19" t="str">
        <f>IFERROR(IF(AND(BY345&lt;&gt;"",VLOOKUP($P345&amp;" | "&amp;BP$6,'Job Master'!$F$12:$I$102,4,0)&lt;&gt;""),IF(WEEKDAY(BY345-VLOOKUP($P345&amp;" | "&amp;BP$6,'Job Master'!$F$12:$I$102,4,0))&lt;&gt;7,BY345-VLOOKUP($P345&amp;" | "&amp;BP$6,'Job Master'!$F$12:$I$102,4,0),BY345-VLOOKUP($P345&amp;" | "&amp;BP$6,'Job Master'!$F$12:$I$102,4,0)-1),""),"")</f>
        <v/>
      </c>
      <c r="BS345" s="73"/>
      <c r="BT345" s="123" t="str">
        <f t="shared" si="663"/>
        <v/>
      </c>
      <c r="BU345" s="123" t="str">
        <f t="shared" si="664"/>
        <v/>
      </c>
      <c r="BV345" s="97" t="str">
        <f t="shared" ca="1" si="665"/>
        <v/>
      </c>
      <c r="BW345" s="98" t="str">
        <f>IF(BY345&lt;&gt;"",VLOOKUP($P345&amp;" | "&amp;BW$6,'Job Master'!$F$12:$J$102,5,0),"")</f>
        <v/>
      </c>
      <c r="BX345" s="19" t="str">
        <f>IF(BY345&lt;&gt;"",VLOOKUP($P345&amp;" | "&amp;BW$6,'Job Master'!$F$12:$J$102,3,0),"")</f>
        <v/>
      </c>
      <c r="BY345" s="19" t="str">
        <f>IFERROR(IF(AND(CF345&lt;&gt;"",VLOOKUP($P345&amp;" | "&amp;BW$6,'Job Master'!$F$12:$I$102,4,0)&lt;&gt;""),IF(WEEKDAY(CF345-VLOOKUP($P345&amp;" | "&amp;BW$6,'Job Master'!$F$12:$I$102,4,0))&lt;&gt;7,CF345-VLOOKUP($P345&amp;" | "&amp;BW$6,'Job Master'!$F$12:$I$102,4,0),CF345-VLOOKUP($P345&amp;" | "&amp;BW$6,'Job Master'!$F$12:$I$102,4,0)-1),""),"")</f>
        <v/>
      </c>
      <c r="BZ345" s="73"/>
      <c r="CA345" s="123" t="str">
        <f t="shared" si="666"/>
        <v/>
      </c>
      <c r="CB345" s="123" t="str">
        <f t="shared" si="667"/>
        <v/>
      </c>
      <c r="CC345" s="97" t="str">
        <f t="shared" ca="1" si="668"/>
        <v/>
      </c>
      <c r="CD345" s="98" t="str">
        <f>IF(CF345&lt;&gt;"",VLOOKUP($P345&amp;" | "&amp;CD$6,'Job Master'!$F$12:$J$102,5,0),"")</f>
        <v/>
      </c>
      <c r="CE345" s="19" t="str">
        <f>IF(CF345&lt;&gt;"",VLOOKUP($P345&amp;" | "&amp;CD$6,'Job Master'!$F$12:$J$102,3,0),"")</f>
        <v/>
      </c>
      <c r="CF345" s="19" t="str">
        <f>IFERROR(IF(AND(CM345&lt;&gt;"",VLOOKUP($P345&amp;" | "&amp;CD$6,'Job Master'!$F$12:$I$102,4,0)&lt;&gt;""),IF(WEEKDAY(CM345-VLOOKUP($P345&amp;" | "&amp;CD$6,'Job Master'!$F$12:$I$102,4,0))&lt;&gt;7,CM345-VLOOKUP($P345&amp;" | "&amp;CD$6,'Job Master'!$F$12:$I$102,4,0),CM345-VLOOKUP($P345&amp;" | "&amp;CD$6,'Job Master'!$F$12:$I$102,4,0)-1),""),"")</f>
        <v/>
      </c>
      <c r="CG345" s="73"/>
      <c r="CH345" s="123" t="str">
        <f t="shared" si="669"/>
        <v/>
      </c>
      <c r="CI345" s="123" t="str">
        <f t="shared" si="670"/>
        <v/>
      </c>
      <c r="CJ345" s="97" t="str">
        <f t="shared" ca="1" si="671"/>
        <v/>
      </c>
      <c r="CK345" s="98" t="str">
        <f>IF(CM345&lt;&gt;"",VLOOKUP($P345&amp;" | "&amp;CK$6,'Job Master'!$F$12:$J$102,5,0),"")</f>
        <v/>
      </c>
      <c r="CL345" s="19" t="str">
        <f>IF(CM345&lt;&gt;"",VLOOKUP($P345&amp;" | "&amp;CK$6,'Job Master'!$F$12:$J$102,3,0),"")</f>
        <v/>
      </c>
      <c r="CM345" s="19" t="str">
        <f>IFERROR(IF(AND(CT345&lt;&gt;"",VLOOKUP($P345&amp;" | "&amp;CK$6,'Job Master'!$F$12:$I$102,4,0)&lt;&gt;""),IF(WEEKDAY(CT345-VLOOKUP($P345&amp;" | "&amp;CK$6,'Job Master'!$F$12:$I$102,4,0))&lt;&gt;7,CT345-VLOOKUP($P345&amp;" | "&amp;CK$6,'Job Master'!$F$12:$I$102,4,0),CT345-VLOOKUP($P345&amp;" | "&amp;CK$6,'Job Master'!$F$12:$I$102,4,0)-1),""),"")</f>
        <v/>
      </c>
      <c r="CN345" s="73"/>
      <c r="CO345" s="123" t="str">
        <f t="shared" si="672"/>
        <v/>
      </c>
      <c r="CP345" s="123" t="str">
        <f t="shared" si="673"/>
        <v/>
      </c>
      <c r="CQ345" s="97" t="str">
        <f t="shared" ca="1" si="674"/>
        <v/>
      </c>
      <c r="CR345" s="98" t="str">
        <f>IF(CT345&lt;&gt;"",VLOOKUP($P345&amp;" | "&amp;CR$6,'Job Master'!$F$12:$J$102,5,0),"")</f>
        <v/>
      </c>
      <c r="CS345" s="19" t="str">
        <f>IF(CT345&lt;&gt;"",VLOOKUP($P345&amp;" | "&amp;CR$6,'Job Master'!$F$12:$J$102,3,0),"")</f>
        <v/>
      </c>
      <c r="CT345" s="19" t="str">
        <f>IFERROR(IF(AND(DA345&lt;&gt;"",VLOOKUP($P345&amp;" | "&amp;CR$6,'Job Master'!$F$12:$I$102,4,0)&lt;&gt;""),IF(WEEKDAY(DA345-VLOOKUP($P345&amp;" | "&amp;CR$6,'Job Master'!$F$12:$I$102,4,0))&lt;&gt;7,DA345-VLOOKUP($P345&amp;" | "&amp;CR$6,'Job Master'!$F$12:$I$102,4,0),DA345-VLOOKUP($P345&amp;" | "&amp;CR$6,'Job Master'!$F$12:$I$102,4,0)-1),""),"")</f>
        <v/>
      </c>
      <c r="CU345" s="73"/>
      <c r="CV345" s="123" t="str">
        <f t="shared" si="675"/>
        <v/>
      </c>
      <c r="CW345" s="123" t="str">
        <f t="shared" si="676"/>
        <v/>
      </c>
      <c r="CX345" s="97" t="str">
        <f t="shared" ca="1" si="677"/>
        <v/>
      </c>
      <c r="CY345" s="98" t="str">
        <f>IF(DA345&lt;&gt;"",VLOOKUP($P345&amp;" | "&amp;CY$6,'Job Master'!$F$12:$J$102,5,0),"")</f>
        <v/>
      </c>
      <c r="CZ345" s="19" t="str">
        <f>IF(DA345&lt;&gt;"",VLOOKUP($P345&amp;" | "&amp;CY$6,'Job Master'!$F$12:$J$102,3,0),"")</f>
        <v/>
      </c>
      <c r="DA345" s="19" t="str">
        <f>IFERROR(IF(AND(DH345&lt;&gt;"",VLOOKUP($P345&amp;" | "&amp;CY$6,'Job Master'!$F$12:$I$102,4,0)&lt;&gt;""),IF(WEEKDAY(DH345-VLOOKUP($P345&amp;" | "&amp;CY$6,'Job Master'!$F$12:$I$102,4,0))&lt;&gt;7,DH345-VLOOKUP($P345&amp;" | "&amp;CY$6,'Job Master'!$F$12:$I$102,4,0),DH345-VLOOKUP($P345&amp;" | "&amp;CY$6,'Job Master'!$F$12:$I$102,4,0)-1),""),"")</f>
        <v/>
      </c>
      <c r="DB345" s="73"/>
      <c r="DC345" s="123" t="str">
        <f t="shared" si="678"/>
        <v/>
      </c>
      <c r="DD345" s="123" t="str">
        <f t="shared" si="679"/>
        <v/>
      </c>
      <c r="DE345" s="97" t="str">
        <f t="shared" ca="1" si="680"/>
        <v/>
      </c>
      <c r="DF345" s="98" t="str">
        <f>IF(DH345&lt;&gt;"",VLOOKUP($P345&amp;" | "&amp;DF$6,'Job Master'!$F$12:$J$102,5,0),"")</f>
        <v/>
      </c>
      <c r="DG345" s="19" t="str">
        <f>IF(DH345&lt;&gt;"",VLOOKUP($P345&amp;" | "&amp;DF$6,'Job Master'!$F$12:$J$102,3,0),"")</f>
        <v/>
      </c>
      <c r="DH345" s="19" t="str">
        <f>IFERROR(IF(AND(DO345&lt;&gt;"",VLOOKUP($P345&amp;" | "&amp;DF$6,'Job Master'!$F$12:$I$102,4,0)&lt;&gt;""),IF(WEEKDAY(DO345-VLOOKUP($P345&amp;" | "&amp;DF$6,'Job Master'!$F$12:$I$102,4,0))&lt;&gt;7,DO345-VLOOKUP($P345&amp;" | "&amp;DF$6,'Job Master'!$F$12:$I$102,4,0),DO345-VLOOKUP($P345&amp;" | "&amp;DF$6,'Job Master'!$F$12:$I$102,4,0)-1),""),"")</f>
        <v/>
      </c>
      <c r="DI345" s="73"/>
      <c r="DJ345" s="123" t="str">
        <f t="shared" si="681"/>
        <v/>
      </c>
      <c r="DK345" s="123" t="str">
        <f t="shared" si="682"/>
        <v/>
      </c>
      <c r="DL345" s="97" t="str">
        <f t="shared" ca="1" si="683"/>
        <v/>
      </c>
      <c r="DM345" s="98" t="str">
        <f>IF(DO345&lt;&gt;"",VLOOKUP($P345&amp;" | "&amp;DM$6,'Job Master'!$F$12:$J$102,5,0),"")</f>
        <v/>
      </c>
      <c r="DN345" s="19" t="str">
        <f>IF(DO345&lt;&gt;"",VLOOKUP($P345&amp;" | "&amp;DM$6,'Job Master'!$F$12:$J$102,3,0),"")</f>
        <v/>
      </c>
      <c r="DO345" s="19" t="str">
        <f>IFERROR(IF(AND(DT345&lt;&gt;"",VLOOKUP($P345&amp;" | "&amp;DM$6,'Job Master'!$F$12:$I$102,4,0)&lt;&gt;""),IF(WEEKDAY(DT345-VLOOKUP($P345&amp;" | "&amp;DM$6,'Job Master'!$F$12:$I$102,4,0))&lt;&gt;7,DT345-VLOOKUP($P345&amp;" | "&amp;DM$6,'Job Master'!$F$12:$I$102,4,0),DT345-VLOOKUP($P345&amp;" | "&amp;DM$6,'Job Master'!$F$12:$I$102,4,0)-1),""),"")</f>
        <v/>
      </c>
      <c r="DP345" s="73"/>
      <c r="DQ345" s="123" t="str">
        <f t="shared" si="684"/>
        <v/>
      </c>
      <c r="DR345" s="123" t="str">
        <f t="shared" si="685"/>
        <v/>
      </c>
      <c r="DS345" s="97" t="str">
        <f t="shared" ca="1" si="686"/>
        <v/>
      </c>
      <c r="DT345" s="70" t="str">
        <f t="shared" si="687"/>
        <v/>
      </c>
      <c r="DU345" s="90"/>
      <c r="DV345" s="123" t="str">
        <f t="shared" si="688"/>
        <v/>
      </c>
      <c r="DW345" s="123" t="str">
        <f t="shared" si="689"/>
        <v/>
      </c>
      <c r="DX345" s="132" t="str">
        <f t="shared" ref="DX345" ca="1" si="716">IF(DT345&lt;&gt;"",IF(WEEKNUM(DT345)=WEEKNUM(TODAY()),"This Week",IF(WEEKNUM(DT345)=WEEKNUM(TODAY())+1,"Next Week",IF(WEEKNUM(DT345)=WEEKNUM(TODAY())-1,"Previous Week",""))),"")</f>
        <v/>
      </c>
      <c r="DY345" s="134" t="str">
        <f t="shared" si="691"/>
        <v/>
      </c>
      <c r="DZ345" s="95"/>
      <c r="EB345" s="8" t="str">
        <f t="shared" si="697"/>
        <v/>
      </c>
      <c r="EC345" s="8" t="str">
        <f>IF(O345&lt;&gt;"",VLOOKUP(O345,'Job Master'!$N$12:$O$18,2,0),"")</f>
        <v/>
      </c>
      <c r="ED345" s="8">
        <f t="shared" si="698"/>
        <v>19.5</v>
      </c>
      <c r="EE345" s="8">
        <f t="shared" si="699"/>
        <v>6</v>
      </c>
      <c r="EF345" s="8">
        <f t="shared" si="700"/>
        <v>-1990.5</v>
      </c>
      <c r="EG345" s="8" t="str">
        <f t="shared" si="701"/>
        <v/>
      </c>
      <c r="EH345" s="8" t="str">
        <f t="shared" si="702"/>
        <v/>
      </c>
    </row>
    <row r="346" spans="2:138" x14ac:dyDescent="0.3">
      <c r="B346" s="112"/>
      <c r="C346" s="27"/>
      <c r="D346" s="7" t="str">
        <f t="shared" si="639"/>
        <v/>
      </c>
      <c r="E346" s="25"/>
      <c r="F346" s="7" t="str">
        <f t="shared" si="639"/>
        <v/>
      </c>
      <c r="G346" s="25"/>
      <c r="H346" s="7" t="str">
        <f t="shared" si="639"/>
        <v/>
      </c>
      <c r="I346" s="25"/>
      <c r="J346" s="7" t="str">
        <f t="shared" si="639"/>
        <v/>
      </c>
      <c r="K346" s="25"/>
      <c r="L346" s="7" t="str">
        <f t="shared" si="640"/>
        <v/>
      </c>
      <c r="M346" s="25"/>
      <c r="N346" s="7" t="str">
        <f t="shared" si="641"/>
        <v/>
      </c>
      <c r="O346" s="81"/>
      <c r="P346" s="81" t="str">
        <f t="shared" si="642"/>
        <v/>
      </c>
      <c r="Q346" s="81"/>
      <c r="R346" s="7" t="str">
        <f t="shared" si="643"/>
        <v/>
      </c>
      <c r="S346" s="25"/>
      <c r="T346" s="7" t="str">
        <f t="shared" si="644"/>
        <v/>
      </c>
      <c r="U346" s="25"/>
      <c r="V346" s="7" t="str">
        <f t="shared" si="645"/>
        <v/>
      </c>
      <c r="W346" s="25"/>
      <c r="X346" s="7" t="str">
        <f t="shared" si="646"/>
        <v/>
      </c>
      <c r="Y346" s="18" t="str">
        <f t="shared" si="647"/>
        <v/>
      </c>
      <c r="Z346" s="7" t="str">
        <f t="shared" si="648"/>
        <v/>
      </c>
      <c r="AA346" s="18" t="str">
        <f t="shared" si="649"/>
        <v/>
      </c>
      <c r="AB346" s="19" t="str">
        <f t="shared" si="650"/>
        <v/>
      </c>
      <c r="AC346" s="26"/>
      <c r="AD346" s="26"/>
      <c r="AE346" s="25"/>
      <c r="AF346" s="26"/>
      <c r="AG346" s="25"/>
      <c r="AH346" s="25"/>
      <c r="AI346" s="18" t="str">
        <f t="shared" si="713"/>
        <v/>
      </c>
      <c r="AJ346" s="25"/>
      <c r="AK346" s="18" t="str">
        <f t="shared" si="714"/>
        <v/>
      </c>
      <c r="AL346" s="79"/>
      <c r="AM346" s="126" t="str">
        <f t="shared" si="715"/>
        <v/>
      </c>
      <c r="AN346" s="128" t="str">
        <f>IF(AP346&lt;&gt;"",VLOOKUP($P346&amp;" | "&amp;AN$6,'Job Master'!$F$12:$J$102,5,0),"")</f>
        <v/>
      </c>
      <c r="AO346" s="19" t="str">
        <f>IF(AP346&lt;&gt;"",VLOOKUP($P346&amp;" | "&amp;AN$6,'Job Master'!$F$12:$J$102,3,0),"")</f>
        <v/>
      </c>
      <c r="AP346" s="19" t="str">
        <f>IFERROR(IF(AND(AW346&lt;&gt;"",VLOOKUP($P346&amp;" | "&amp;AN$6,'Job Master'!$F$12:$I$102,4,0)&lt;&gt;""),IF(WEEKDAY(AW346-VLOOKUP($P346&amp;" | "&amp;AN$6,'Job Master'!$F$12:$I$102,4,0))&lt;&gt;7,AW346-VLOOKUP($P346&amp;" | "&amp;AN$6,'Job Master'!$F$12:$I$102,4,0),AW346-VLOOKUP($P346&amp;" | "&amp;AN$6,'Job Master'!$F$12:$I$102,4,0)-1),""),"")</f>
        <v/>
      </c>
      <c r="AQ346" s="73"/>
      <c r="AR346" s="123" t="str">
        <f t="shared" si="651"/>
        <v/>
      </c>
      <c r="AS346" s="123" t="str">
        <f t="shared" si="652"/>
        <v/>
      </c>
      <c r="AT346" s="97" t="str">
        <f t="shared" ca="1" si="653"/>
        <v/>
      </c>
      <c r="AU346" s="98" t="str">
        <f>IF(AW346&lt;&gt;"",VLOOKUP($P346&amp;" | "&amp;AU$6,'Job Master'!$F$12:$J$102,5,0),"")</f>
        <v/>
      </c>
      <c r="AV346" s="19" t="str">
        <f>IF(AW346&lt;&gt;"",VLOOKUP($P346&amp;" | "&amp;AU$6,'Job Master'!$F$12:$J$102,3,0),"")</f>
        <v/>
      </c>
      <c r="AW346" s="19" t="str">
        <f>IFERROR(IF(AND(BD346&lt;&gt;"",VLOOKUP($P346&amp;" | "&amp;AU$6,'Job Master'!$F$12:$I$102,4,0)&lt;&gt;""),IF(WEEKDAY(BD346-VLOOKUP($P346&amp;" | "&amp;AU$6,'Job Master'!$F$12:$I$102,4,0))&lt;&gt;7,BD346-VLOOKUP($P346&amp;" | "&amp;AU$6,'Job Master'!$F$12:$I$102,4,0),BD346-VLOOKUP($P346&amp;" | "&amp;AU$6,'Job Master'!$F$12:$I$102,4,0)-1),""),"")</f>
        <v/>
      </c>
      <c r="AX346" s="73"/>
      <c r="AY346" s="123" t="str">
        <f t="shared" si="654"/>
        <v/>
      </c>
      <c r="AZ346" s="123" t="str">
        <f t="shared" si="655"/>
        <v/>
      </c>
      <c r="BA346" s="97" t="str">
        <f t="shared" ca="1" si="656"/>
        <v/>
      </c>
      <c r="BB346" s="98" t="str">
        <f>IF(BD346&lt;&gt;"",VLOOKUP($P346&amp;" | "&amp;BB$6,'Job Master'!$F$12:$J$102,5,0),"")</f>
        <v/>
      </c>
      <c r="BC346" s="19" t="str">
        <f>IF(BD346&lt;&gt;"",VLOOKUP($P346&amp;" | "&amp;BB$6,'Job Master'!$F$12:$J$102,3,0),"")</f>
        <v/>
      </c>
      <c r="BD346" s="19" t="str">
        <f>IFERROR(IF(AND(BK346&lt;&gt;"",VLOOKUP($P346&amp;" | "&amp;BB$6,'Job Master'!$F$12:$I$102,4,0)&lt;&gt;""),IF(WEEKDAY(BK346-VLOOKUP($P346&amp;" | "&amp;BB$6,'Job Master'!$F$12:$I$102,4,0))&lt;&gt;7,BK346-VLOOKUP($P346&amp;" | "&amp;BB$6,'Job Master'!$F$12:$I$102,4,0),BK346-VLOOKUP($P346&amp;" | "&amp;BB$6,'Job Master'!$F$12:$I$102,4,0)-1),""),"")</f>
        <v/>
      </c>
      <c r="BE346" s="73"/>
      <c r="BF346" s="123" t="str">
        <f t="shared" si="657"/>
        <v/>
      </c>
      <c r="BG346" s="123" t="str">
        <f t="shared" si="658"/>
        <v/>
      </c>
      <c r="BH346" s="97" t="str">
        <f t="shared" ca="1" si="659"/>
        <v/>
      </c>
      <c r="BI346" s="98" t="str">
        <f>IF(BK346&lt;&gt;"",VLOOKUP($P346&amp;" | "&amp;BI$6,'Job Master'!$F$12:$J$102,5,0),"")</f>
        <v/>
      </c>
      <c r="BJ346" s="19" t="str">
        <f>IF(BK346&lt;&gt;"",VLOOKUP($P346&amp;" | "&amp;BI$6,'Job Master'!$F$12:$J$102,3,0),"")</f>
        <v/>
      </c>
      <c r="BK346" s="19" t="str">
        <f>IFERROR(IF(AND(BR346&lt;&gt;"",VLOOKUP($P346&amp;" | "&amp;BI$6,'Job Master'!$F$12:$I$102,4,0)&lt;&gt;""),IF(WEEKDAY(BR346-VLOOKUP($P346&amp;" | "&amp;BI$6,'Job Master'!$F$12:$I$102,4,0))&lt;&gt;7,BR346-VLOOKUP($P346&amp;" | "&amp;BI$6,'Job Master'!$F$12:$I$102,4,0),BR346-VLOOKUP($P346&amp;" | "&amp;BI$6,'Job Master'!$F$12:$I$102,4,0)-1),""),"")</f>
        <v/>
      </c>
      <c r="BL346" s="73"/>
      <c r="BM346" s="123" t="str">
        <f t="shared" si="660"/>
        <v/>
      </c>
      <c r="BN346" s="123" t="str">
        <f t="shared" si="661"/>
        <v/>
      </c>
      <c r="BO346" s="97" t="str">
        <f t="shared" ca="1" si="662"/>
        <v/>
      </c>
      <c r="BP346" s="98" t="str">
        <f>IF(BR346&lt;&gt;"",VLOOKUP($P346&amp;" | "&amp;BP$6,'Job Master'!$F$12:$J$102,5,0),"")</f>
        <v/>
      </c>
      <c r="BQ346" s="19" t="str">
        <f>IF(BR346&lt;&gt;"",VLOOKUP($P346&amp;" | "&amp;BP$6,'Job Master'!$F$12:$J$102,3,0),"")</f>
        <v/>
      </c>
      <c r="BR346" s="19" t="str">
        <f>IFERROR(IF(AND(BY346&lt;&gt;"",VLOOKUP($P346&amp;" | "&amp;BP$6,'Job Master'!$F$12:$I$102,4,0)&lt;&gt;""),IF(WEEKDAY(BY346-VLOOKUP($P346&amp;" | "&amp;BP$6,'Job Master'!$F$12:$I$102,4,0))&lt;&gt;7,BY346-VLOOKUP($P346&amp;" | "&amp;BP$6,'Job Master'!$F$12:$I$102,4,0),BY346-VLOOKUP($P346&amp;" | "&amp;BP$6,'Job Master'!$F$12:$I$102,4,0)-1),""),"")</f>
        <v/>
      </c>
      <c r="BS346" s="73"/>
      <c r="BT346" s="123" t="str">
        <f t="shared" si="663"/>
        <v/>
      </c>
      <c r="BU346" s="123" t="str">
        <f t="shared" si="664"/>
        <v/>
      </c>
      <c r="BV346" s="97" t="str">
        <f t="shared" ca="1" si="665"/>
        <v/>
      </c>
      <c r="BW346" s="98" t="str">
        <f>IF(BY346&lt;&gt;"",VLOOKUP($P346&amp;" | "&amp;BW$6,'Job Master'!$F$12:$J$102,5,0),"")</f>
        <v/>
      </c>
      <c r="BX346" s="19" t="str">
        <f>IF(BY346&lt;&gt;"",VLOOKUP($P346&amp;" | "&amp;BW$6,'Job Master'!$F$12:$J$102,3,0),"")</f>
        <v/>
      </c>
      <c r="BY346" s="19" t="str">
        <f>IFERROR(IF(AND(CF346&lt;&gt;"",VLOOKUP($P346&amp;" | "&amp;BW$6,'Job Master'!$F$12:$I$102,4,0)&lt;&gt;""),IF(WEEKDAY(CF346-VLOOKUP($P346&amp;" | "&amp;BW$6,'Job Master'!$F$12:$I$102,4,0))&lt;&gt;7,CF346-VLOOKUP($P346&amp;" | "&amp;BW$6,'Job Master'!$F$12:$I$102,4,0),CF346-VLOOKUP($P346&amp;" | "&amp;BW$6,'Job Master'!$F$12:$I$102,4,0)-1),""),"")</f>
        <v/>
      </c>
      <c r="BZ346" s="73"/>
      <c r="CA346" s="123" t="str">
        <f t="shared" si="666"/>
        <v/>
      </c>
      <c r="CB346" s="123" t="str">
        <f t="shared" si="667"/>
        <v/>
      </c>
      <c r="CC346" s="97" t="str">
        <f t="shared" ca="1" si="668"/>
        <v/>
      </c>
      <c r="CD346" s="98" t="str">
        <f>IF(CF346&lt;&gt;"",VLOOKUP($P346&amp;" | "&amp;CD$6,'Job Master'!$F$12:$J$102,5,0),"")</f>
        <v/>
      </c>
      <c r="CE346" s="19" t="str">
        <f>IF(CF346&lt;&gt;"",VLOOKUP($P346&amp;" | "&amp;CD$6,'Job Master'!$F$12:$J$102,3,0),"")</f>
        <v/>
      </c>
      <c r="CF346" s="19" t="str">
        <f>IFERROR(IF(AND(CM346&lt;&gt;"",VLOOKUP($P346&amp;" | "&amp;CD$6,'Job Master'!$F$12:$I$102,4,0)&lt;&gt;""),IF(WEEKDAY(CM346-VLOOKUP($P346&amp;" | "&amp;CD$6,'Job Master'!$F$12:$I$102,4,0))&lt;&gt;7,CM346-VLOOKUP($P346&amp;" | "&amp;CD$6,'Job Master'!$F$12:$I$102,4,0),CM346-VLOOKUP($P346&amp;" | "&amp;CD$6,'Job Master'!$F$12:$I$102,4,0)-1),""),"")</f>
        <v/>
      </c>
      <c r="CG346" s="73"/>
      <c r="CH346" s="123" t="str">
        <f t="shared" si="669"/>
        <v/>
      </c>
      <c r="CI346" s="123" t="str">
        <f t="shared" si="670"/>
        <v/>
      </c>
      <c r="CJ346" s="97" t="str">
        <f t="shared" ca="1" si="671"/>
        <v/>
      </c>
      <c r="CK346" s="98" t="str">
        <f>IF(CM346&lt;&gt;"",VLOOKUP($P346&amp;" | "&amp;CK$6,'Job Master'!$F$12:$J$102,5,0),"")</f>
        <v/>
      </c>
      <c r="CL346" s="19" t="str">
        <f>IF(CM346&lt;&gt;"",VLOOKUP($P346&amp;" | "&amp;CK$6,'Job Master'!$F$12:$J$102,3,0),"")</f>
        <v/>
      </c>
      <c r="CM346" s="19" t="str">
        <f>IFERROR(IF(AND(CT346&lt;&gt;"",VLOOKUP($P346&amp;" | "&amp;CK$6,'Job Master'!$F$12:$I$102,4,0)&lt;&gt;""),IF(WEEKDAY(CT346-VLOOKUP($P346&amp;" | "&amp;CK$6,'Job Master'!$F$12:$I$102,4,0))&lt;&gt;7,CT346-VLOOKUP($P346&amp;" | "&amp;CK$6,'Job Master'!$F$12:$I$102,4,0),CT346-VLOOKUP($P346&amp;" | "&amp;CK$6,'Job Master'!$F$12:$I$102,4,0)-1),""),"")</f>
        <v/>
      </c>
      <c r="CN346" s="73"/>
      <c r="CO346" s="123" t="str">
        <f t="shared" si="672"/>
        <v/>
      </c>
      <c r="CP346" s="123" t="str">
        <f t="shared" si="673"/>
        <v/>
      </c>
      <c r="CQ346" s="97" t="str">
        <f t="shared" ca="1" si="674"/>
        <v/>
      </c>
      <c r="CR346" s="98" t="str">
        <f>IF(CT346&lt;&gt;"",VLOOKUP($P346&amp;" | "&amp;CR$6,'Job Master'!$F$12:$J$102,5,0),"")</f>
        <v/>
      </c>
      <c r="CS346" s="19" t="str">
        <f>IF(CT346&lt;&gt;"",VLOOKUP($P346&amp;" | "&amp;CR$6,'Job Master'!$F$12:$J$102,3,0),"")</f>
        <v/>
      </c>
      <c r="CT346" s="19" t="str">
        <f>IFERROR(IF(AND(DA346&lt;&gt;"",VLOOKUP($P346&amp;" | "&amp;CR$6,'Job Master'!$F$12:$I$102,4,0)&lt;&gt;""),IF(WEEKDAY(DA346-VLOOKUP($P346&amp;" | "&amp;CR$6,'Job Master'!$F$12:$I$102,4,0))&lt;&gt;7,DA346-VLOOKUP($P346&amp;" | "&amp;CR$6,'Job Master'!$F$12:$I$102,4,0),DA346-VLOOKUP($P346&amp;" | "&amp;CR$6,'Job Master'!$F$12:$I$102,4,0)-1),""),"")</f>
        <v/>
      </c>
      <c r="CU346" s="73"/>
      <c r="CV346" s="123" t="str">
        <f t="shared" si="675"/>
        <v/>
      </c>
      <c r="CW346" s="123" t="str">
        <f t="shared" si="676"/>
        <v/>
      </c>
      <c r="CX346" s="97" t="str">
        <f t="shared" ca="1" si="677"/>
        <v/>
      </c>
      <c r="CY346" s="98" t="str">
        <f>IF(DA346&lt;&gt;"",VLOOKUP($P346&amp;" | "&amp;CY$6,'Job Master'!$F$12:$J$102,5,0),"")</f>
        <v/>
      </c>
      <c r="CZ346" s="19" t="str">
        <f>IF(DA346&lt;&gt;"",VLOOKUP($P346&amp;" | "&amp;CY$6,'Job Master'!$F$12:$J$102,3,0),"")</f>
        <v/>
      </c>
      <c r="DA346" s="19" t="str">
        <f>IFERROR(IF(AND(DH346&lt;&gt;"",VLOOKUP($P346&amp;" | "&amp;CY$6,'Job Master'!$F$12:$I$102,4,0)&lt;&gt;""),IF(WEEKDAY(DH346-VLOOKUP($P346&amp;" | "&amp;CY$6,'Job Master'!$F$12:$I$102,4,0))&lt;&gt;7,DH346-VLOOKUP($P346&amp;" | "&amp;CY$6,'Job Master'!$F$12:$I$102,4,0),DH346-VLOOKUP($P346&amp;" | "&amp;CY$6,'Job Master'!$F$12:$I$102,4,0)-1),""),"")</f>
        <v/>
      </c>
      <c r="DB346" s="73"/>
      <c r="DC346" s="123" t="str">
        <f t="shared" si="678"/>
        <v/>
      </c>
      <c r="DD346" s="123" t="str">
        <f t="shared" si="679"/>
        <v/>
      </c>
      <c r="DE346" s="97" t="str">
        <f t="shared" ca="1" si="680"/>
        <v/>
      </c>
      <c r="DF346" s="98" t="str">
        <f>IF(DH346&lt;&gt;"",VLOOKUP($P346&amp;" | "&amp;DF$6,'Job Master'!$F$12:$J$102,5,0),"")</f>
        <v/>
      </c>
      <c r="DG346" s="19" t="str">
        <f>IF(DH346&lt;&gt;"",VLOOKUP($P346&amp;" | "&amp;DF$6,'Job Master'!$F$12:$J$102,3,0),"")</f>
        <v/>
      </c>
      <c r="DH346" s="19" t="str">
        <f>IFERROR(IF(AND(DO346&lt;&gt;"",VLOOKUP($P346&amp;" | "&amp;DF$6,'Job Master'!$F$12:$I$102,4,0)&lt;&gt;""),IF(WEEKDAY(DO346-VLOOKUP($P346&amp;" | "&amp;DF$6,'Job Master'!$F$12:$I$102,4,0))&lt;&gt;7,DO346-VLOOKUP($P346&amp;" | "&amp;DF$6,'Job Master'!$F$12:$I$102,4,0),DO346-VLOOKUP($P346&amp;" | "&amp;DF$6,'Job Master'!$F$12:$I$102,4,0)-1),""),"")</f>
        <v/>
      </c>
      <c r="DI346" s="73"/>
      <c r="DJ346" s="123" t="str">
        <f t="shared" si="681"/>
        <v/>
      </c>
      <c r="DK346" s="123" t="str">
        <f t="shared" si="682"/>
        <v/>
      </c>
      <c r="DL346" s="97" t="str">
        <f t="shared" ca="1" si="683"/>
        <v/>
      </c>
      <c r="DM346" s="98" t="str">
        <f>IF(DO346&lt;&gt;"",VLOOKUP($P346&amp;" | "&amp;DM$6,'Job Master'!$F$12:$J$102,5,0),"")</f>
        <v/>
      </c>
      <c r="DN346" s="19" t="str">
        <f>IF(DO346&lt;&gt;"",VLOOKUP($P346&amp;" | "&amp;DM$6,'Job Master'!$F$12:$J$102,3,0),"")</f>
        <v/>
      </c>
      <c r="DO346" s="19" t="str">
        <f>IFERROR(IF(AND(DT346&lt;&gt;"",VLOOKUP($P346&amp;" | "&amp;DM$6,'Job Master'!$F$12:$I$102,4,0)&lt;&gt;""),IF(WEEKDAY(DT346-VLOOKUP($P346&amp;" | "&amp;DM$6,'Job Master'!$F$12:$I$102,4,0))&lt;&gt;7,DT346-VLOOKUP($P346&amp;" | "&amp;DM$6,'Job Master'!$F$12:$I$102,4,0),DT346-VLOOKUP($P346&amp;" | "&amp;DM$6,'Job Master'!$F$12:$I$102,4,0)-1),""),"")</f>
        <v/>
      </c>
      <c r="DP346" s="73"/>
      <c r="DQ346" s="123" t="str">
        <f t="shared" si="684"/>
        <v/>
      </c>
      <c r="DR346" s="123" t="str">
        <f t="shared" si="685"/>
        <v/>
      </c>
      <c r="DS346" s="97" t="str">
        <f t="shared" ca="1" si="686"/>
        <v/>
      </c>
      <c r="DT346" s="70" t="str">
        <f t="shared" si="687"/>
        <v/>
      </c>
      <c r="DU346" s="90"/>
      <c r="DV346" s="123" t="str">
        <f t="shared" si="688"/>
        <v/>
      </c>
      <c r="DW346" s="123" t="str">
        <f t="shared" si="689"/>
        <v/>
      </c>
      <c r="DX346" s="132" t="str">
        <f t="shared" ref="DX346" ca="1" si="717">IF(DT346&lt;&gt;"",IF(WEEKNUM(DT346)=WEEKNUM(TODAY()),"This Week",IF(WEEKNUM(DT346)=WEEKNUM(TODAY())+1,"Next Week",IF(WEEKNUM(DT346)=WEEKNUM(TODAY())-1,"Previous Week",""))),"")</f>
        <v/>
      </c>
      <c r="DY346" s="134" t="str">
        <f t="shared" si="691"/>
        <v/>
      </c>
      <c r="DZ346" s="95"/>
      <c r="EB346" s="8" t="str">
        <f t="shared" si="697"/>
        <v/>
      </c>
      <c r="EC346" s="8" t="str">
        <f>IF(O346&lt;&gt;"",VLOOKUP(O346,'Job Master'!$N$12:$O$18,2,0),"")</f>
        <v/>
      </c>
      <c r="ED346" s="8">
        <f t="shared" si="698"/>
        <v>19.5</v>
      </c>
      <c r="EE346" s="8">
        <f t="shared" si="699"/>
        <v>6</v>
      </c>
      <c r="EF346" s="8">
        <f t="shared" si="700"/>
        <v>-1996.5</v>
      </c>
      <c r="EG346" s="8" t="str">
        <f t="shared" si="701"/>
        <v/>
      </c>
      <c r="EH346" s="8" t="str">
        <f t="shared" si="702"/>
        <v/>
      </c>
    </row>
    <row r="347" spans="2:138" x14ac:dyDescent="0.3">
      <c r="B347" s="112"/>
      <c r="C347" s="27"/>
      <c r="D347" s="7" t="str">
        <f t="shared" si="639"/>
        <v/>
      </c>
      <c r="E347" s="25"/>
      <c r="F347" s="7" t="str">
        <f t="shared" si="639"/>
        <v/>
      </c>
      <c r="G347" s="25"/>
      <c r="H347" s="7" t="str">
        <f t="shared" si="639"/>
        <v/>
      </c>
      <c r="I347" s="25"/>
      <c r="J347" s="7" t="str">
        <f t="shared" si="639"/>
        <v/>
      </c>
      <c r="K347" s="25"/>
      <c r="L347" s="7" t="str">
        <f t="shared" si="640"/>
        <v/>
      </c>
      <c r="M347" s="25"/>
      <c r="N347" s="7" t="str">
        <f t="shared" si="641"/>
        <v/>
      </c>
      <c r="O347" s="81"/>
      <c r="P347" s="81" t="str">
        <f t="shared" si="642"/>
        <v/>
      </c>
      <c r="Q347" s="81"/>
      <c r="R347" s="7" t="str">
        <f t="shared" si="643"/>
        <v/>
      </c>
      <c r="S347" s="25"/>
      <c r="T347" s="7" t="str">
        <f t="shared" si="644"/>
        <v/>
      </c>
      <c r="U347" s="25"/>
      <c r="V347" s="7" t="str">
        <f t="shared" si="645"/>
        <v/>
      </c>
      <c r="W347" s="25"/>
      <c r="X347" s="7" t="str">
        <f t="shared" si="646"/>
        <v/>
      </c>
      <c r="Y347" s="18" t="str">
        <f t="shared" si="647"/>
        <v/>
      </c>
      <c r="Z347" s="7" t="str">
        <f t="shared" si="648"/>
        <v/>
      </c>
      <c r="AA347" s="18" t="str">
        <f t="shared" si="649"/>
        <v/>
      </c>
      <c r="AB347" s="19" t="str">
        <f t="shared" si="650"/>
        <v/>
      </c>
      <c r="AC347" s="26"/>
      <c r="AD347" s="26"/>
      <c r="AE347" s="25"/>
      <c r="AF347" s="26"/>
      <c r="AG347" s="25"/>
      <c r="AH347" s="25"/>
      <c r="AI347" s="18" t="str">
        <f t="shared" si="713"/>
        <v/>
      </c>
      <c r="AJ347" s="25"/>
      <c r="AK347" s="18" t="str">
        <f t="shared" si="714"/>
        <v/>
      </c>
      <c r="AL347" s="79"/>
      <c r="AM347" s="126" t="str">
        <f t="shared" si="715"/>
        <v/>
      </c>
      <c r="AN347" s="128" t="str">
        <f>IF(AP347&lt;&gt;"",VLOOKUP($P347&amp;" | "&amp;AN$6,'Job Master'!$F$12:$J$102,5,0),"")</f>
        <v/>
      </c>
      <c r="AO347" s="19" t="str">
        <f>IF(AP347&lt;&gt;"",VLOOKUP($P347&amp;" | "&amp;AN$6,'Job Master'!$F$12:$J$102,3,0),"")</f>
        <v/>
      </c>
      <c r="AP347" s="19" t="str">
        <f>IFERROR(IF(AND(AW347&lt;&gt;"",VLOOKUP($P347&amp;" | "&amp;AN$6,'Job Master'!$F$12:$I$102,4,0)&lt;&gt;""),IF(WEEKDAY(AW347-VLOOKUP($P347&amp;" | "&amp;AN$6,'Job Master'!$F$12:$I$102,4,0))&lt;&gt;7,AW347-VLOOKUP($P347&amp;" | "&amp;AN$6,'Job Master'!$F$12:$I$102,4,0),AW347-VLOOKUP($P347&amp;" | "&amp;AN$6,'Job Master'!$F$12:$I$102,4,0)-1),""),"")</f>
        <v/>
      </c>
      <c r="AQ347" s="73"/>
      <c r="AR347" s="123" t="str">
        <f t="shared" si="651"/>
        <v/>
      </c>
      <c r="AS347" s="123" t="str">
        <f t="shared" si="652"/>
        <v/>
      </c>
      <c r="AT347" s="97" t="str">
        <f t="shared" ca="1" si="653"/>
        <v/>
      </c>
      <c r="AU347" s="98" t="str">
        <f>IF(AW347&lt;&gt;"",VLOOKUP($P347&amp;" | "&amp;AU$6,'Job Master'!$F$12:$J$102,5,0),"")</f>
        <v/>
      </c>
      <c r="AV347" s="19" t="str">
        <f>IF(AW347&lt;&gt;"",VLOOKUP($P347&amp;" | "&amp;AU$6,'Job Master'!$F$12:$J$102,3,0),"")</f>
        <v/>
      </c>
      <c r="AW347" s="19" t="str">
        <f>IFERROR(IF(AND(BD347&lt;&gt;"",VLOOKUP($P347&amp;" | "&amp;AU$6,'Job Master'!$F$12:$I$102,4,0)&lt;&gt;""),IF(WEEKDAY(BD347-VLOOKUP($P347&amp;" | "&amp;AU$6,'Job Master'!$F$12:$I$102,4,0))&lt;&gt;7,BD347-VLOOKUP($P347&amp;" | "&amp;AU$6,'Job Master'!$F$12:$I$102,4,0),BD347-VLOOKUP($P347&amp;" | "&amp;AU$6,'Job Master'!$F$12:$I$102,4,0)-1),""),"")</f>
        <v/>
      </c>
      <c r="AX347" s="73"/>
      <c r="AY347" s="123" t="str">
        <f t="shared" si="654"/>
        <v/>
      </c>
      <c r="AZ347" s="123" t="str">
        <f t="shared" si="655"/>
        <v/>
      </c>
      <c r="BA347" s="97" t="str">
        <f t="shared" ca="1" si="656"/>
        <v/>
      </c>
      <c r="BB347" s="98" t="str">
        <f>IF(BD347&lt;&gt;"",VLOOKUP($P347&amp;" | "&amp;BB$6,'Job Master'!$F$12:$J$102,5,0),"")</f>
        <v/>
      </c>
      <c r="BC347" s="19" t="str">
        <f>IF(BD347&lt;&gt;"",VLOOKUP($P347&amp;" | "&amp;BB$6,'Job Master'!$F$12:$J$102,3,0),"")</f>
        <v/>
      </c>
      <c r="BD347" s="19" t="str">
        <f>IFERROR(IF(AND(BK347&lt;&gt;"",VLOOKUP($P347&amp;" | "&amp;BB$6,'Job Master'!$F$12:$I$102,4,0)&lt;&gt;""),IF(WEEKDAY(BK347-VLOOKUP($P347&amp;" | "&amp;BB$6,'Job Master'!$F$12:$I$102,4,0))&lt;&gt;7,BK347-VLOOKUP($P347&amp;" | "&amp;BB$6,'Job Master'!$F$12:$I$102,4,0),BK347-VLOOKUP($P347&amp;" | "&amp;BB$6,'Job Master'!$F$12:$I$102,4,0)-1),""),"")</f>
        <v/>
      </c>
      <c r="BE347" s="73"/>
      <c r="BF347" s="123" t="str">
        <f t="shared" si="657"/>
        <v/>
      </c>
      <c r="BG347" s="123" t="str">
        <f t="shared" si="658"/>
        <v/>
      </c>
      <c r="BH347" s="97" t="str">
        <f t="shared" ca="1" si="659"/>
        <v/>
      </c>
      <c r="BI347" s="98" t="str">
        <f>IF(BK347&lt;&gt;"",VLOOKUP($P347&amp;" | "&amp;BI$6,'Job Master'!$F$12:$J$102,5,0),"")</f>
        <v/>
      </c>
      <c r="BJ347" s="19" t="str">
        <f>IF(BK347&lt;&gt;"",VLOOKUP($P347&amp;" | "&amp;BI$6,'Job Master'!$F$12:$J$102,3,0),"")</f>
        <v/>
      </c>
      <c r="BK347" s="19" t="str">
        <f>IFERROR(IF(AND(BR347&lt;&gt;"",VLOOKUP($P347&amp;" | "&amp;BI$6,'Job Master'!$F$12:$I$102,4,0)&lt;&gt;""),IF(WEEKDAY(BR347-VLOOKUP($P347&amp;" | "&amp;BI$6,'Job Master'!$F$12:$I$102,4,0))&lt;&gt;7,BR347-VLOOKUP($P347&amp;" | "&amp;BI$6,'Job Master'!$F$12:$I$102,4,0),BR347-VLOOKUP($P347&amp;" | "&amp;BI$6,'Job Master'!$F$12:$I$102,4,0)-1),""),"")</f>
        <v/>
      </c>
      <c r="BL347" s="73"/>
      <c r="BM347" s="123" t="str">
        <f t="shared" si="660"/>
        <v/>
      </c>
      <c r="BN347" s="123" t="str">
        <f t="shared" si="661"/>
        <v/>
      </c>
      <c r="BO347" s="97" t="str">
        <f t="shared" ca="1" si="662"/>
        <v/>
      </c>
      <c r="BP347" s="98" t="str">
        <f>IF(BR347&lt;&gt;"",VLOOKUP($P347&amp;" | "&amp;BP$6,'Job Master'!$F$12:$J$102,5,0),"")</f>
        <v/>
      </c>
      <c r="BQ347" s="19" t="str">
        <f>IF(BR347&lt;&gt;"",VLOOKUP($P347&amp;" | "&amp;BP$6,'Job Master'!$F$12:$J$102,3,0),"")</f>
        <v/>
      </c>
      <c r="BR347" s="19" t="str">
        <f>IFERROR(IF(AND(BY347&lt;&gt;"",VLOOKUP($P347&amp;" | "&amp;BP$6,'Job Master'!$F$12:$I$102,4,0)&lt;&gt;""),IF(WEEKDAY(BY347-VLOOKUP($P347&amp;" | "&amp;BP$6,'Job Master'!$F$12:$I$102,4,0))&lt;&gt;7,BY347-VLOOKUP($P347&amp;" | "&amp;BP$6,'Job Master'!$F$12:$I$102,4,0),BY347-VLOOKUP($P347&amp;" | "&amp;BP$6,'Job Master'!$F$12:$I$102,4,0)-1),""),"")</f>
        <v/>
      </c>
      <c r="BS347" s="73"/>
      <c r="BT347" s="123" t="str">
        <f t="shared" si="663"/>
        <v/>
      </c>
      <c r="BU347" s="123" t="str">
        <f t="shared" si="664"/>
        <v/>
      </c>
      <c r="BV347" s="97" t="str">
        <f t="shared" ca="1" si="665"/>
        <v/>
      </c>
      <c r="BW347" s="98" t="str">
        <f>IF(BY347&lt;&gt;"",VLOOKUP($P347&amp;" | "&amp;BW$6,'Job Master'!$F$12:$J$102,5,0),"")</f>
        <v/>
      </c>
      <c r="BX347" s="19" t="str">
        <f>IF(BY347&lt;&gt;"",VLOOKUP($P347&amp;" | "&amp;BW$6,'Job Master'!$F$12:$J$102,3,0),"")</f>
        <v/>
      </c>
      <c r="BY347" s="19" t="str">
        <f>IFERROR(IF(AND(CF347&lt;&gt;"",VLOOKUP($P347&amp;" | "&amp;BW$6,'Job Master'!$F$12:$I$102,4,0)&lt;&gt;""),IF(WEEKDAY(CF347-VLOOKUP($P347&amp;" | "&amp;BW$6,'Job Master'!$F$12:$I$102,4,0))&lt;&gt;7,CF347-VLOOKUP($P347&amp;" | "&amp;BW$6,'Job Master'!$F$12:$I$102,4,0),CF347-VLOOKUP($P347&amp;" | "&amp;BW$6,'Job Master'!$F$12:$I$102,4,0)-1),""),"")</f>
        <v/>
      </c>
      <c r="BZ347" s="73"/>
      <c r="CA347" s="123" t="str">
        <f t="shared" si="666"/>
        <v/>
      </c>
      <c r="CB347" s="123" t="str">
        <f t="shared" si="667"/>
        <v/>
      </c>
      <c r="CC347" s="97" t="str">
        <f t="shared" ca="1" si="668"/>
        <v/>
      </c>
      <c r="CD347" s="98" t="str">
        <f>IF(CF347&lt;&gt;"",VLOOKUP($P347&amp;" | "&amp;CD$6,'Job Master'!$F$12:$J$102,5,0),"")</f>
        <v/>
      </c>
      <c r="CE347" s="19" t="str">
        <f>IF(CF347&lt;&gt;"",VLOOKUP($P347&amp;" | "&amp;CD$6,'Job Master'!$F$12:$J$102,3,0),"")</f>
        <v/>
      </c>
      <c r="CF347" s="19" t="str">
        <f>IFERROR(IF(AND(CM347&lt;&gt;"",VLOOKUP($P347&amp;" | "&amp;CD$6,'Job Master'!$F$12:$I$102,4,0)&lt;&gt;""),IF(WEEKDAY(CM347-VLOOKUP($P347&amp;" | "&amp;CD$6,'Job Master'!$F$12:$I$102,4,0))&lt;&gt;7,CM347-VLOOKUP($P347&amp;" | "&amp;CD$6,'Job Master'!$F$12:$I$102,4,0),CM347-VLOOKUP($P347&amp;" | "&amp;CD$6,'Job Master'!$F$12:$I$102,4,0)-1),""),"")</f>
        <v/>
      </c>
      <c r="CG347" s="73"/>
      <c r="CH347" s="123" t="str">
        <f t="shared" si="669"/>
        <v/>
      </c>
      <c r="CI347" s="123" t="str">
        <f t="shared" si="670"/>
        <v/>
      </c>
      <c r="CJ347" s="97" t="str">
        <f t="shared" ca="1" si="671"/>
        <v/>
      </c>
      <c r="CK347" s="98" t="str">
        <f>IF(CM347&lt;&gt;"",VLOOKUP($P347&amp;" | "&amp;CK$6,'Job Master'!$F$12:$J$102,5,0),"")</f>
        <v/>
      </c>
      <c r="CL347" s="19" t="str">
        <f>IF(CM347&lt;&gt;"",VLOOKUP($P347&amp;" | "&amp;CK$6,'Job Master'!$F$12:$J$102,3,0),"")</f>
        <v/>
      </c>
      <c r="CM347" s="19" t="str">
        <f>IFERROR(IF(AND(CT347&lt;&gt;"",VLOOKUP($P347&amp;" | "&amp;CK$6,'Job Master'!$F$12:$I$102,4,0)&lt;&gt;""),IF(WEEKDAY(CT347-VLOOKUP($P347&amp;" | "&amp;CK$6,'Job Master'!$F$12:$I$102,4,0))&lt;&gt;7,CT347-VLOOKUP($P347&amp;" | "&amp;CK$6,'Job Master'!$F$12:$I$102,4,0),CT347-VLOOKUP($P347&amp;" | "&amp;CK$6,'Job Master'!$F$12:$I$102,4,0)-1),""),"")</f>
        <v/>
      </c>
      <c r="CN347" s="73"/>
      <c r="CO347" s="123" t="str">
        <f t="shared" si="672"/>
        <v/>
      </c>
      <c r="CP347" s="123" t="str">
        <f t="shared" si="673"/>
        <v/>
      </c>
      <c r="CQ347" s="97" t="str">
        <f t="shared" ca="1" si="674"/>
        <v/>
      </c>
      <c r="CR347" s="98" t="str">
        <f>IF(CT347&lt;&gt;"",VLOOKUP($P347&amp;" | "&amp;CR$6,'Job Master'!$F$12:$J$102,5,0),"")</f>
        <v/>
      </c>
      <c r="CS347" s="19" t="str">
        <f>IF(CT347&lt;&gt;"",VLOOKUP($P347&amp;" | "&amp;CR$6,'Job Master'!$F$12:$J$102,3,0),"")</f>
        <v/>
      </c>
      <c r="CT347" s="19" t="str">
        <f>IFERROR(IF(AND(DA347&lt;&gt;"",VLOOKUP($P347&amp;" | "&amp;CR$6,'Job Master'!$F$12:$I$102,4,0)&lt;&gt;""),IF(WEEKDAY(DA347-VLOOKUP($P347&amp;" | "&amp;CR$6,'Job Master'!$F$12:$I$102,4,0))&lt;&gt;7,DA347-VLOOKUP($P347&amp;" | "&amp;CR$6,'Job Master'!$F$12:$I$102,4,0),DA347-VLOOKUP($P347&amp;" | "&amp;CR$6,'Job Master'!$F$12:$I$102,4,0)-1),""),"")</f>
        <v/>
      </c>
      <c r="CU347" s="73"/>
      <c r="CV347" s="123" t="str">
        <f t="shared" si="675"/>
        <v/>
      </c>
      <c r="CW347" s="123" t="str">
        <f t="shared" si="676"/>
        <v/>
      </c>
      <c r="CX347" s="97" t="str">
        <f t="shared" ca="1" si="677"/>
        <v/>
      </c>
      <c r="CY347" s="98" t="str">
        <f>IF(DA347&lt;&gt;"",VLOOKUP($P347&amp;" | "&amp;CY$6,'Job Master'!$F$12:$J$102,5,0),"")</f>
        <v/>
      </c>
      <c r="CZ347" s="19" t="str">
        <f>IF(DA347&lt;&gt;"",VLOOKUP($P347&amp;" | "&amp;CY$6,'Job Master'!$F$12:$J$102,3,0),"")</f>
        <v/>
      </c>
      <c r="DA347" s="19" t="str">
        <f>IFERROR(IF(AND(DH347&lt;&gt;"",VLOOKUP($P347&amp;" | "&amp;CY$6,'Job Master'!$F$12:$I$102,4,0)&lt;&gt;""),IF(WEEKDAY(DH347-VLOOKUP($P347&amp;" | "&amp;CY$6,'Job Master'!$F$12:$I$102,4,0))&lt;&gt;7,DH347-VLOOKUP($P347&amp;" | "&amp;CY$6,'Job Master'!$F$12:$I$102,4,0),DH347-VLOOKUP($P347&amp;" | "&amp;CY$6,'Job Master'!$F$12:$I$102,4,0)-1),""),"")</f>
        <v/>
      </c>
      <c r="DB347" s="73"/>
      <c r="DC347" s="123" t="str">
        <f t="shared" si="678"/>
        <v/>
      </c>
      <c r="DD347" s="123" t="str">
        <f t="shared" si="679"/>
        <v/>
      </c>
      <c r="DE347" s="97" t="str">
        <f t="shared" ca="1" si="680"/>
        <v/>
      </c>
      <c r="DF347" s="98" t="str">
        <f>IF(DH347&lt;&gt;"",VLOOKUP($P347&amp;" | "&amp;DF$6,'Job Master'!$F$12:$J$102,5,0),"")</f>
        <v/>
      </c>
      <c r="DG347" s="19" t="str">
        <f>IF(DH347&lt;&gt;"",VLOOKUP($P347&amp;" | "&amp;DF$6,'Job Master'!$F$12:$J$102,3,0),"")</f>
        <v/>
      </c>
      <c r="DH347" s="19" t="str">
        <f>IFERROR(IF(AND(DO347&lt;&gt;"",VLOOKUP($P347&amp;" | "&amp;DF$6,'Job Master'!$F$12:$I$102,4,0)&lt;&gt;""),IF(WEEKDAY(DO347-VLOOKUP($P347&amp;" | "&amp;DF$6,'Job Master'!$F$12:$I$102,4,0))&lt;&gt;7,DO347-VLOOKUP($P347&amp;" | "&amp;DF$6,'Job Master'!$F$12:$I$102,4,0),DO347-VLOOKUP($P347&amp;" | "&amp;DF$6,'Job Master'!$F$12:$I$102,4,0)-1),""),"")</f>
        <v/>
      </c>
      <c r="DI347" s="73"/>
      <c r="DJ347" s="123" t="str">
        <f t="shared" si="681"/>
        <v/>
      </c>
      <c r="DK347" s="123" t="str">
        <f t="shared" si="682"/>
        <v/>
      </c>
      <c r="DL347" s="97" t="str">
        <f t="shared" ca="1" si="683"/>
        <v/>
      </c>
      <c r="DM347" s="98" t="str">
        <f>IF(DO347&lt;&gt;"",VLOOKUP($P347&amp;" | "&amp;DM$6,'Job Master'!$F$12:$J$102,5,0),"")</f>
        <v/>
      </c>
      <c r="DN347" s="19" t="str">
        <f>IF(DO347&lt;&gt;"",VLOOKUP($P347&amp;" | "&amp;DM$6,'Job Master'!$F$12:$J$102,3,0),"")</f>
        <v/>
      </c>
      <c r="DO347" s="19" t="str">
        <f>IFERROR(IF(AND(DT347&lt;&gt;"",VLOOKUP($P347&amp;" | "&amp;DM$6,'Job Master'!$F$12:$I$102,4,0)&lt;&gt;""),IF(WEEKDAY(DT347-VLOOKUP($P347&amp;" | "&amp;DM$6,'Job Master'!$F$12:$I$102,4,0))&lt;&gt;7,DT347-VLOOKUP($P347&amp;" | "&amp;DM$6,'Job Master'!$F$12:$I$102,4,0),DT347-VLOOKUP($P347&amp;" | "&amp;DM$6,'Job Master'!$F$12:$I$102,4,0)-1),""),"")</f>
        <v/>
      </c>
      <c r="DP347" s="73"/>
      <c r="DQ347" s="123" t="str">
        <f t="shared" si="684"/>
        <v/>
      </c>
      <c r="DR347" s="123" t="str">
        <f t="shared" si="685"/>
        <v/>
      </c>
      <c r="DS347" s="97" t="str">
        <f t="shared" ca="1" si="686"/>
        <v/>
      </c>
      <c r="DT347" s="70" t="str">
        <f t="shared" si="687"/>
        <v/>
      </c>
      <c r="DU347" s="90"/>
      <c r="DV347" s="123" t="str">
        <f t="shared" si="688"/>
        <v/>
      </c>
      <c r="DW347" s="123" t="str">
        <f t="shared" si="689"/>
        <v/>
      </c>
      <c r="DX347" s="132" t="str">
        <f t="shared" ref="DX347" ca="1" si="718">IF(DT347&lt;&gt;"",IF(WEEKNUM(DT347)=WEEKNUM(TODAY()),"This Week",IF(WEEKNUM(DT347)=WEEKNUM(TODAY())+1,"Next Week",IF(WEEKNUM(DT347)=WEEKNUM(TODAY())-1,"Previous Week",""))),"")</f>
        <v/>
      </c>
      <c r="DY347" s="134" t="str">
        <f t="shared" si="691"/>
        <v/>
      </c>
      <c r="DZ347" s="95"/>
      <c r="EB347" s="8" t="str">
        <f t="shared" si="697"/>
        <v/>
      </c>
      <c r="EC347" s="8" t="str">
        <f>IF(O347&lt;&gt;"",VLOOKUP(O347,'Job Master'!$N$12:$O$18,2,0),"")</f>
        <v/>
      </c>
      <c r="ED347" s="8">
        <f t="shared" si="698"/>
        <v>19.5</v>
      </c>
      <c r="EE347" s="8">
        <f t="shared" si="699"/>
        <v>6</v>
      </c>
      <c r="EF347" s="8">
        <f t="shared" si="700"/>
        <v>-2002.5</v>
      </c>
      <c r="EG347" s="8" t="str">
        <f t="shared" si="701"/>
        <v/>
      </c>
      <c r="EH347" s="8" t="str">
        <f t="shared" si="702"/>
        <v/>
      </c>
    </row>
    <row r="348" spans="2:138" x14ac:dyDescent="0.3">
      <c r="B348" s="112"/>
      <c r="C348" s="27"/>
      <c r="D348" s="7" t="str">
        <f t="shared" si="639"/>
        <v/>
      </c>
      <c r="E348" s="25"/>
      <c r="F348" s="7" t="str">
        <f t="shared" si="639"/>
        <v/>
      </c>
      <c r="G348" s="25"/>
      <c r="H348" s="7" t="str">
        <f t="shared" si="639"/>
        <v/>
      </c>
      <c r="I348" s="25"/>
      <c r="J348" s="7" t="str">
        <f t="shared" si="639"/>
        <v/>
      </c>
      <c r="K348" s="25"/>
      <c r="L348" s="7" t="str">
        <f t="shared" si="640"/>
        <v/>
      </c>
      <c r="M348" s="25"/>
      <c r="N348" s="7" t="str">
        <f t="shared" si="641"/>
        <v/>
      </c>
      <c r="O348" s="81"/>
      <c r="P348" s="81" t="str">
        <f t="shared" si="642"/>
        <v/>
      </c>
      <c r="Q348" s="81"/>
      <c r="R348" s="7" t="str">
        <f t="shared" si="643"/>
        <v/>
      </c>
      <c r="S348" s="25"/>
      <c r="T348" s="7" t="str">
        <f t="shared" si="644"/>
        <v/>
      </c>
      <c r="U348" s="25"/>
      <c r="V348" s="7" t="str">
        <f t="shared" si="645"/>
        <v/>
      </c>
      <c r="W348" s="25"/>
      <c r="X348" s="7" t="str">
        <f t="shared" si="646"/>
        <v/>
      </c>
      <c r="Y348" s="18" t="str">
        <f t="shared" si="647"/>
        <v/>
      </c>
      <c r="Z348" s="7" t="str">
        <f t="shared" si="648"/>
        <v/>
      </c>
      <c r="AA348" s="18" t="str">
        <f t="shared" si="649"/>
        <v/>
      </c>
      <c r="AB348" s="19" t="str">
        <f t="shared" si="650"/>
        <v/>
      </c>
      <c r="AC348" s="26"/>
      <c r="AD348" s="26"/>
      <c r="AE348" s="25"/>
      <c r="AF348" s="26"/>
      <c r="AG348" s="25"/>
      <c r="AH348" s="25"/>
      <c r="AI348" s="18" t="str">
        <f t="shared" si="713"/>
        <v/>
      </c>
      <c r="AJ348" s="25"/>
      <c r="AK348" s="18" t="str">
        <f t="shared" si="714"/>
        <v/>
      </c>
      <c r="AL348" s="79"/>
      <c r="AM348" s="126" t="str">
        <f t="shared" si="715"/>
        <v/>
      </c>
      <c r="AN348" s="128" t="str">
        <f>IF(AP348&lt;&gt;"",VLOOKUP($P348&amp;" | "&amp;AN$6,'Job Master'!$F$12:$J$102,5,0),"")</f>
        <v/>
      </c>
      <c r="AO348" s="19" t="str">
        <f>IF(AP348&lt;&gt;"",VLOOKUP($P348&amp;" | "&amp;AN$6,'Job Master'!$F$12:$J$102,3,0),"")</f>
        <v/>
      </c>
      <c r="AP348" s="19" t="str">
        <f>IFERROR(IF(AND(AW348&lt;&gt;"",VLOOKUP($P348&amp;" | "&amp;AN$6,'Job Master'!$F$12:$I$102,4,0)&lt;&gt;""),IF(WEEKDAY(AW348-VLOOKUP($P348&amp;" | "&amp;AN$6,'Job Master'!$F$12:$I$102,4,0))&lt;&gt;7,AW348-VLOOKUP($P348&amp;" | "&amp;AN$6,'Job Master'!$F$12:$I$102,4,0),AW348-VLOOKUP($P348&amp;" | "&amp;AN$6,'Job Master'!$F$12:$I$102,4,0)-1),""),"")</f>
        <v/>
      </c>
      <c r="AQ348" s="73"/>
      <c r="AR348" s="123" t="str">
        <f t="shared" si="651"/>
        <v/>
      </c>
      <c r="AS348" s="123" t="str">
        <f t="shared" si="652"/>
        <v/>
      </c>
      <c r="AT348" s="97" t="str">
        <f t="shared" ca="1" si="653"/>
        <v/>
      </c>
      <c r="AU348" s="98" t="str">
        <f>IF(AW348&lt;&gt;"",VLOOKUP($P348&amp;" | "&amp;AU$6,'Job Master'!$F$12:$J$102,5,0),"")</f>
        <v/>
      </c>
      <c r="AV348" s="19" t="str">
        <f>IF(AW348&lt;&gt;"",VLOOKUP($P348&amp;" | "&amp;AU$6,'Job Master'!$F$12:$J$102,3,0),"")</f>
        <v/>
      </c>
      <c r="AW348" s="19" t="str">
        <f>IFERROR(IF(AND(BD348&lt;&gt;"",VLOOKUP($P348&amp;" | "&amp;AU$6,'Job Master'!$F$12:$I$102,4,0)&lt;&gt;""),IF(WEEKDAY(BD348-VLOOKUP($P348&amp;" | "&amp;AU$6,'Job Master'!$F$12:$I$102,4,0))&lt;&gt;7,BD348-VLOOKUP($P348&amp;" | "&amp;AU$6,'Job Master'!$F$12:$I$102,4,0),BD348-VLOOKUP($P348&amp;" | "&amp;AU$6,'Job Master'!$F$12:$I$102,4,0)-1),""),"")</f>
        <v/>
      </c>
      <c r="AX348" s="73"/>
      <c r="AY348" s="123" t="str">
        <f t="shared" si="654"/>
        <v/>
      </c>
      <c r="AZ348" s="123" t="str">
        <f t="shared" si="655"/>
        <v/>
      </c>
      <c r="BA348" s="97" t="str">
        <f t="shared" ca="1" si="656"/>
        <v/>
      </c>
      <c r="BB348" s="98" t="str">
        <f>IF(BD348&lt;&gt;"",VLOOKUP($P348&amp;" | "&amp;BB$6,'Job Master'!$F$12:$J$102,5,0),"")</f>
        <v/>
      </c>
      <c r="BC348" s="19" t="str">
        <f>IF(BD348&lt;&gt;"",VLOOKUP($P348&amp;" | "&amp;BB$6,'Job Master'!$F$12:$J$102,3,0),"")</f>
        <v/>
      </c>
      <c r="BD348" s="19" t="str">
        <f>IFERROR(IF(AND(BK348&lt;&gt;"",VLOOKUP($P348&amp;" | "&amp;BB$6,'Job Master'!$F$12:$I$102,4,0)&lt;&gt;""),IF(WEEKDAY(BK348-VLOOKUP($P348&amp;" | "&amp;BB$6,'Job Master'!$F$12:$I$102,4,0))&lt;&gt;7,BK348-VLOOKUP($P348&amp;" | "&amp;BB$6,'Job Master'!$F$12:$I$102,4,0),BK348-VLOOKUP($P348&amp;" | "&amp;BB$6,'Job Master'!$F$12:$I$102,4,0)-1),""),"")</f>
        <v/>
      </c>
      <c r="BE348" s="73"/>
      <c r="BF348" s="123" t="str">
        <f t="shared" si="657"/>
        <v/>
      </c>
      <c r="BG348" s="123" t="str">
        <f t="shared" si="658"/>
        <v/>
      </c>
      <c r="BH348" s="97" t="str">
        <f t="shared" ca="1" si="659"/>
        <v/>
      </c>
      <c r="BI348" s="98" t="str">
        <f>IF(BK348&lt;&gt;"",VLOOKUP($P348&amp;" | "&amp;BI$6,'Job Master'!$F$12:$J$102,5,0),"")</f>
        <v/>
      </c>
      <c r="BJ348" s="19" t="str">
        <f>IF(BK348&lt;&gt;"",VLOOKUP($P348&amp;" | "&amp;BI$6,'Job Master'!$F$12:$J$102,3,0),"")</f>
        <v/>
      </c>
      <c r="BK348" s="19" t="str">
        <f>IFERROR(IF(AND(BR348&lt;&gt;"",VLOOKUP($P348&amp;" | "&amp;BI$6,'Job Master'!$F$12:$I$102,4,0)&lt;&gt;""),IF(WEEKDAY(BR348-VLOOKUP($P348&amp;" | "&amp;BI$6,'Job Master'!$F$12:$I$102,4,0))&lt;&gt;7,BR348-VLOOKUP($P348&amp;" | "&amp;BI$6,'Job Master'!$F$12:$I$102,4,0),BR348-VLOOKUP($P348&amp;" | "&amp;BI$6,'Job Master'!$F$12:$I$102,4,0)-1),""),"")</f>
        <v/>
      </c>
      <c r="BL348" s="73"/>
      <c r="BM348" s="123" t="str">
        <f t="shared" si="660"/>
        <v/>
      </c>
      <c r="BN348" s="123" t="str">
        <f t="shared" si="661"/>
        <v/>
      </c>
      <c r="BO348" s="97" t="str">
        <f t="shared" ca="1" si="662"/>
        <v/>
      </c>
      <c r="BP348" s="98" t="str">
        <f>IF(BR348&lt;&gt;"",VLOOKUP($P348&amp;" | "&amp;BP$6,'Job Master'!$F$12:$J$102,5,0),"")</f>
        <v/>
      </c>
      <c r="BQ348" s="19" t="str">
        <f>IF(BR348&lt;&gt;"",VLOOKUP($P348&amp;" | "&amp;BP$6,'Job Master'!$F$12:$J$102,3,0),"")</f>
        <v/>
      </c>
      <c r="BR348" s="19" t="str">
        <f>IFERROR(IF(AND(BY348&lt;&gt;"",VLOOKUP($P348&amp;" | "&amp;BP$6,'Job Master'!$F$12:$I$102,4,0)&lt;&gt;""),IF(WEEKDAY(BY348-VLOOKUP($P348&amp;" | "&amp;BP$6,'Job Master'!$F$12:$I$102,4,0))&lt;&gt;7,BY348-VLOOKUP($P348&amp;" | "&amp;BP$6,'Job Master'!$F$12:$I$102,4,0),BY348-VLOOKUP($P348&amp;" | "&amp;BP$6,'Job Master'!$F$12:$I$102,4,0)-1),""),"")</f>
        <v/>
      </c>
      <c r="BS348" s="73"/>
      <c r="BT348" s="123" t="str">
        <f t="shared" si="663"/>
        <v/>
      </c>
      <c r="BU348" s="123" t="str">
        <f t="shared" si="664"/>
        <v/>
      </c>
      <c r="BV348" s="97" t="str">
        <f t="shared" ca="1" si="665"/>
        <v/>
      </c>
      <c r="BW348" s="98" t="str">
        <f>IF(BY348&lt;&gt;"",VLOOKUP($P348&amp;" | "&amp;BW$6,'Job Master'!$F$12:$J$102,5,0),"")</f>
        <v/>
      </c>
      <c r="BX348" s="19" t="str">
        <f>IF(BY348&lt;&gt;"",VLOOKUP($P348&amp;" | "&amp;BW$6,'Job Master'!$F$12:$J$102,3,0),"")</f>
        <v/>
      </c>
      <c r="BY348" s="19" t="str">
        <f>IFERROR(IF(AND(CF348&lt;&gt;"",VLOOKUP($P348&amp;" | "&amp;BW$6,'Job Master'!$F$12:$I$102,4,0)&lt;&gt;""),IF(WEEKDAY(CF348-VLOOKUP($P348&amp;" | "&amp;BW$6,'Job Master'!$F$12:$I$102,4,0))&lt;&gt;7,CF348-VLOOKUP($P348&amp;" | "&amp;BW$6,'Job Master'!$F$12:$I$102,4,0),CF348-VLOOKUP($P348&amp;" | "&amp;BW$6,'Job Master'!$F$12:$I$102,4,0)-1),""),"")</f>
        <v/>
      </c>
      <c r="BZ348" s="73"/>
      <c r="CA348" s="123" t="str">
        <f t="shared" si="666"/>
        <v/>
      </c>
      <c r="CB348" s="123" t="str">
        <f t="shared" si="667"/>
        <v/>
      </c>
      <c r="CC348" s="97" t="str">
        <f t="shared" ca="1" si="668"/>
        <v/>
      </c>
      <c r="CD348" s="98" t="str">
        <f>IF(CF348&lt;&gt;"",VLOOKUP($P348&amp;" | "&amp;CD$6,'Job Master'!$F$12:$J$102,5,0),"")</f>
        <v/>
      </c>
      <c r="CE348" s="19" t="str">
        <f>IF(CF348&lt;&gt;"",VLOOKUP($P348&amp;" | "&amp;CD$6,'Job Master'!$F$12:$J$102,3,0),"")</f>
        <v/>
      </c>
      <c r="CF348" s="19" t="str">
        <f>IFERROR(IF(AND(CM348&lt;&gt;"",VLOOKUP($P348&amp;" | "&amp;CD$6,'Job Master'!$F$12:$I$102,4,0)&lt;&gt;""),IF(WEEKDAY(CM348-VLOOKUP($P348&amp;" | "&amp;CD$6,'Job Master'!$F$12:$I$102,4,0))&lt;&gt;7,CM348-VLOOKUP($P348&amp;" | "&amp;CD$6,'Job Master'!$F$12:$I$102,4,0),CM348-VLOOKUP($P348&amp;" | "&amp;CD$6,'Job Master'!$F$12:$I$102,4,0)-1),""),"")</f>
        <v/>
      </c>
      <c r="CG348" s="73"/>
      <c r="CH348" s="123" t="str">
        <f t="shared" si="669"/>
        <v/>
      </c>
      <c r="CI348" s="123" t="str">
        <f t="shared" si="670"/>
        <v/>
      </c>
      <c r="CJ348" s="97" t="str">
        <f t="shared" ca="1" si="671"/>
        <v/>
      </c>
      <c r="CK348" s="98" t="str">
        <f>IF(CM348&lt;&gt;"",VLOOKUP($P348&amp;" | "&amp;CK$6,'Job Master'!$F$12:$J$102,5,0),"")</f>
        <v/>
      </c>
      <c r="CL348" s="19" t="str">
        <f>IF(CM348&lt;&gt;"",VLOOKUP($P348&amp;" | "&amp;CK$6,'Job Master'!$F$12:$J$102,3,0),"")</f>
        <v/>
      </c>
      <c r="CM348" s="19" t="str">
        <f>IFERROR(IF(AND(CT348&lt;&gt;"",VLOOKUP($P348&amp;" | "&amp;CK$6,'Job Master'!$F$12:$I$102,4,0)&lt;&gt;""),IF(WEEKDAY(CT348-VLOOKUP($P348&amp;" | "&amp;CK$6,'Job Master'!$F$12:$I$102,4,0))&lt;&gt;7,CT348-VLOOKUP($P348&amp;" | "&amp;CK$6,'Job Master'!$F$12:$I$102,4,0),CT348-VLOOKUP($P348&amp;" | "&amp;CK$6,'Job Master'!$F$12:$I$102,4,0)-1),""),"")</f>
        <v/>
      </c>
      <c r="CN348" s="73"/>
      <c r="CO348" s="123" t="str">
        <f t="shared" si="672"/>
        <v/>
      </c>
      <c r="CP348" s="123" t="str">
        <f t="shared" si="673"/>
        <v/>
      </c>
      <c r="CQ348" s="97" t="str">
        <f t="shared" ca="1" si="674"/>
        <v/>
      </c>
      <c r="CR348" s="98" t="str">
        <f>IF(CT348&lt;&gt;"",VLOOKUP($P348&amp;" | "&amp;CR$6,'Job Master'!$F$12:$J$102,5,0),"")</f>
        <v/>
      </c>
      <c r="CS348" s="19" t="str">
        <f>IF(CT348&lt;&gt;"",VLOOKUP($P348&amp;" | "&amp;CR$6,'Job Master'!$F$12:$J$102,3,0),"")</f>
        <v/>
      </c>
      <c r="CT348" s="19" t="str">
        <f>IFERROR(IF(AND(DA348&lt;&gt;"",VLOOKUP($P348&amp;" | "&amp;CR$6,'Job Master'!$F$12:$I$102,4,0)&lt;&gt;""),IF(WEEKDAY(DA348-VLOOKUP($P348&amp;" | "&amp;CR$6,'Job Master'!$F$12:$I$102,4,0))&lt;&gt;7,DA348-VLOOKUP($P348&amp;" | "&amp;CR$6,'Job Master'!$F$12:$I$102,4,0),DA348-VLOOKUP($P348&amp;" | "&amp;CR$6,'Job Master'!$F$12:$I$102,4,0)-1),""),"")</f>
        <v/>
      </c>
      <c r="CU348" s="73"/>
      <c r="CV348" s="123" t="str">
        <f t="shared" si="675"/>
        <v/>
      </c>
      <c r="CW348" s="123" t="str">
        <f t="shared" si="676"/>
        <v/>
      </c>
      <c r="CX348" s="97" t="str">
        <f t="shared" ca="1" si="677"/>
        <v/>
      </c>
      <c r="CY348" s="98" t="str">
        <f>IF(DA348&lt;&gt;"",VLOOKUP($P348&amp;" | "&amp;CY$6,'Job Master'!$F$12:$J$102,5,0),"")</f>
        <v/>
      </c>
      <c r="CZ348" s="19" t="str">
        <f>IF(DA348&lt;&gt;"",VLOOKUP($P348&amp;" | "&amp;CY$6,'Job Master'!$F$12:$J$102,3,0),"")</f>
        <v/>
      </c>
      <c r="DA348" s="19" t="str">
        <f>IFERROR(IF(AND(DH348&lt;&gt;"",VLOOKUP($P348&amp;" | "&amp;CY$6,'Job Master'!$F$12:$I$102,4,0)&lt;&gt;""),IF(WEEKDAY(DH348-VLOOKUP($P348&amp;" | "&amp;CY$6,'Job Master'!$F$12:$I$102,4,0))&lt;&gt;7,DH348-VLOOKUP($P348&amp;" | "&amp;CY$6,'Job Master'!$F$12:$I$102,4,0),DH348-VLOOKUP($P348&amp;" | "&amp;CY$6,'Job Master'!$F$12:$I$102,4,0)-1),""),"")</f>
        <v/>
      </c>
      <c r="DB348" s="73"/>
      <c r="DC348" s="123" t="str">
        <f t="shared" si="678"/>
        <v/>
      </c>
      <c r="DD348" s="123" t="str">
        <f t="shared" si="679"/>
        <v/>
      </c>
      <c r="DE348" s="97" t="str">
        <f t="shared" ca="1" si="680"/>
        <v/>
      </c>
      <c r="DF348" s="98" t="str">
        <f>IF(DH348&lt;&gt;"",VLOOKUP($P348&amp;" | "&amp;DF$6,'Job Master'!$F$12:$J$102,5,0),"")</f>
        <v/>
      </c>
      <c r="DG348" s="19" t="str">
        <f>IF(DH348&lt;&gt;"",VLOOKUP($P348&amp;" | "&amp;DF$6,'Job Master'!$F$12:$J$102,3,0),"")</f>
        <v/>
      </c>
      <c r="DH348" s="19" t="str">
        <f>IFERROR(IF(AND(DO348&lt;&gt;"",VLOOKUP($P348&amp;" | "&amp;DF$6,'Job Master'!$F$12:$I$102,4,0)&lt;&gt;""),IF(WEEKDAY(DO348-VLOOKUP($P348&amp;" | "&amp;DF$6,'Job Master'!$F$12:$I$102,4,0))&lt;&gt;7,DO348-VLOOKUP($P348&amp;" | "&amp;DF$6,'Job Master'!$F$12:$I$102,4,0),DO348-VLOOKUP($P348&amp;" | "&amp;DF$6,'Job Master'!$F$12:$I$102,4,0)-1),""),"")</f>
        <v/>
      </c>
      <c r="DI348" s="73"/>
      <c r="DJ348" s="123" t="str">
        <f t="shared" si="681"/>
        <v/>
      </c>
      <c r="DK348" s="123" t="str">
        <f t="shared" si="682"/>
        <v/>
      </c>
      <c r="DL348" s="97" t="str">
        <f t="shared" ca="1" si="683"/>
        <v/>
      </c>
      <c r="DM348" s="98" t="str">
        <f>IF(DO348&lt;&gt;"",VLOOKUP($P348&amp;" | "&amp;DM$6,'Job Master'!$F$12:$J$102,5,0),"")</f>
        <v/>
      </c>
      <c r="DN348" s="19" t="str">
        <f>IF(DO348&lt;&gt;"",VLOOKUP($P348&amp;" | "&amp;DM$6,'Job Master'!$F$12:$J$102,3,0),"")</f>
        <v/>
      </c>
      <c r="DO348" s="19" t="str">
        <f>IFERROR(IF(AND(DT348&lt;&gt;"",VLOOKUP($P348&amp;" | "&amp;DM$6,'Job Master'!$F$12:$I$102,4,0)&lt;&gt;""),IF(WEEKDAY(DT348-VLOOKUP($P348&amp;" | "&amp;DM$6,'Job Master'!$F$12:$I$102,4,0))&lt;&gt;7,DT348-VLOOKUP($P348&amp;" | "&amp;DM$6,'Job Master'!$F$12:$I$102,4,0),DT348-VLOOKUP($P348&amp;" | "&amp;DM$6,'Job Master'!$F$12:$I$102,4,0)-1),""),"")</f>
        <v/>
      </c>
      <c r="DP348" s="73"/>
      <c r="DQ348" s="123" t="str">
        <f t="shared" si="684"/>
        <v/>
      </c>
      <c r="DR348" s="123" t="str">
        <f t="shared" si="685"/>
        <v/>
      </c>
      <c r="DS348" s="97" t="str">
        <f t="shared" ca="1" si="686"/>
        <v/>
      </c>
      <c r="DT348" s="70" t="str">
        <f t="shared" si="687"/>
        <v/>
      </c>
      <c r="DU348" s="90"/>
      <c r="DV348" s="123" t="str">
        <f t="shared" si="688"/>
        <v/>
      </c>
      <c r="DW348" s="123" t="str">
        <f t="shared" si="689"/>
        <v/>
      </c>
      <c r="DX348" s="132" t="str">
        <f t="shared" ref="DX348" ca="1" si="719">IF(DT348&lt;&gt;"",IF(WEEKNUM(DT348)=WEEKNUM(TODAY()),"This Week",IF(WEEKNUM(DT348)=WEEKNUM(TODAY())+1,"Next Week",IF(WEEKNUM(DT348)=WEEKNUM(TODAY())-1,"Previous Week",""))),"")</f>
        <v/>
      </c>
      <c r="DY348" s="134" t="str">
        <f t="shared" si="691"/>
        <v/>
      </c>
      <c r="DZ348" s="95"/>
      <c r="EB348" s="8" t="str">
        <f t="shared" si="697"/>
        <v/>
      </c>
      <c r="EC348" s="8" t="str">
        <f>IF(O348&lt;&gt;"",VLOOKUP(O348,'Job Master'!$N$12:$O$18,2,0),"")</f>
        <v/>
      </c>
      <c r="ED348" s="8">
        <f t="shared" si="698"/>
        <v>19.5</v>
      </c>
      <c r="EE348" s="8">
        <f t="shared" si="699"/>
        <v>6</v>
      </c>
      <c r="EF348" s="8">
        <f t="shared" si="700"/>
        <v>-2008.5</v>
      </c>
      <c r="EG348" s="8" t="str">
        <f t="shared" si="701"/>
        <v/>
      </c>
      <c r="EH348" s="8" t="str">
        <f t="shared" si="702"/>
        <v/>
      </c>
    </row>
    <row r="349" spans="2:138" x14ac:dyDescent="0.3">
      <c r="B349" s="112"/>
      <c r="C349" s="27"/>
      <c r="D349" s="7" t="str">
        <f t="shared" si="639"/>
        <v/>
      </c>
      <c r="E349" s="25"/>
      <c r="F349" s="7" t="str">
        <f t="shared" si="639"/>
        <v/>
      </c>
      <c r="G349" s="25"/>
      <c r="H349" s="7" t="str">
        <f t="shared" si="639"/>
        <v/>
      </c>
      <c r="I349" s="25"/>
      <c r="J349" s="7" t="str">
        <f t="shared" si="639"/>
        <v/>
      </c>
      <c r="K349" s="25"/>
      <c r="L349" s="7" t="str">
        <f t="shared" si="640"/>
        <v/>
      </c>
      <c r="M349" s="25"/>
      <c r="N349" s="7" t="str">
        <f t="shared" si="641"/>
        <v/>
      </c>
      <c r="O349" s="81"/>
      <c r="P349" s="81" t="str">
        <f t="shared" si="642"/>
        <v/>
      </c>
      <c r="Q349" s="81"/>
      <c r="R349" s="7" t="str">
        <f t="shared" si="643"/>
        <v/>
      </c>
      <c r="S349" s="25"/>
      <c r="T349" s="7" t="str">
        <f t="shared" si="644"/>
        <v/>
      </c>
      <c r="U349" s="25"/>
      <c r="V349" s="7" t="str">
        <f t="shared" si="645"/>
        <v/>
      </c>
      <c r="W349" s="25"/>
      <c r="X349" s="7" t="str">
        <f t="shared" si="646"/>
        <v/>
      </c>
      <c r="Y349" s="18" t="str">
        <f t="shared" si="647"/>
        <v/>
      </c>
      <c r="Z349" s="7" t="str">
        <f t="shared" si="648"/>
        <v/>
      </c>
      <c r="AA349" s="18" t="str">
        <f t="shared" si="649"/>
        <v/>
      </c>
      <c r="AB349" s="19" t="str">
        <f t="shared" si="650"/>
        <v/>
      </c>
      <c r="AC349" s="26"/>
      <c r="AD349" s="26"/>
      <c r="AE349" s="25"/>
      <c r="AF349" s="26"/>
      <c r="AG349" s="25"/>
      <c r="AH349" s="25"/>
      <c r="AI349" s="18" t="str">
        <f t="shared" si="713"/>
        <v/>
      </c>
      <c r="AJ349" s="25"/>
      <c r="AK349" s="18" t="str">
        <f t="shared" si="714"/>
        <v/>
      </c>
      <c r="AL349" s="79"/>
      <c r="AM349" s="126" t="str">
        <f t="shared" si="715"/>
        <v/>
      </c>
      <c r="AN349" s="128" t="str">
        <f>IF(AP349&lt;&gt;"",VLOOKUP($P349&amp;" | "&amp;AN$6,'Job Master'!$F$12:$J$102,5,0),"")</f>
        <v/>
      </c>
      <c r="AO349" s="19" t="str">
        <f>IF(AP349&lt;&gt;"",VLOOKUP($P349&amp;" | "&amp;AN$6,'Job Master'!$F$12:$J$102,3,0),"")</f>
        <v/>
      </c>
      <c r="AP349" s="19" t="str">
        <f>IFERROR(IF(AND(AW349&lt;&gt;"",VLOOKUP($P349&amp;" | "&amp;AN$6,'Job Master'!$F$12:$I$102,4,0)&lt;&gt;""),IF(WEEKDAY(AW349-VLOOKUP($P349&amp;" | "&amp;AN$6,'Job Master'!$F$12:$I$102,4,0))&lt;&gt;7,AW349-VLOOKUP($P349&amp;" | "&amp;AN$6,'Job Master'!$F$12:$I$102,4,0),AW349-VLOOKUP($P349&amp;" | "&amp;AN$6,'Job Master'!$F$12:$I$102,4,0)-1),""),"")</f>
        <v/>
      </c>
      <c r="AQ349" s="73"/>
      <c r="AR349" s="123" t="str">
        <f t="shared" si="651"/>
        <v/>
      </c>
      <c r="AS349" s="123" t="str">
        <f t="shared" si="652"/>
        <v/>
      </c>
      <c r="AT349" s="97" t="str">
        <f t="shared" ca="1" si="653"/>
        <v/>
      </c>
      <c r="AU349" s="98" t="str">
        <f>IF(AW349&lt;&gt;"",VLOOKUP($P349&amp;" | "&amp;AU$6,'Job Master'!$F$12:$J$102,5,0),"")</f>
        <v/>
      </c>
      <c r="AV349" s="19" t="str">
        <f>IF(AW349&lt;&gt;"",VLOOKUP($P349&amp;" | "&amp;AU$6,'Job Master'!$F$12:$J$102,3,0),"")</f>
        <v/>
      </c>
      <c r="AW349" s="19" t="str">
        <f>IFERROR(IF(AND(BD349&lt;&gt;"",VLOOKUP($P349&amp;" | "&amp;AU$6,'Job Master'!$F$12:$I$102,4,0)&lt;&gt;""),IF(WEEKDAY(BD349-VLOOKUP($P349&amp;" | "&amp;AU$6,'Job Master'!$F$12:$I$102,4,0))&lt;&gt;7,BD349-VLOOKUP($P349&amp;" | "&amp;AU$6,'Job Master'!$F$12:$I$102,4,0),BD349-VLOOKUP($P349&amp;" | "&amp;AU$6,'Job Master'!$F$12:$I$102,4,0)-1),""),"")</f>
        <v/>
      </c>
      <c r="AX349" s="73"/>
      <c r="AY349" s="123" t="str">
        <f t="shared" si="654"/>
        <v/>
      </c>
      <c r="AZ349" s="123" t="str">
        <f t="shared" si="655"/>
        <v/>
      </c>
      <c r="BA349" s="97" t="str">
        <f t="shared" ca="1" si="656"/>
        <v/>
      </c>
      <c r="BB349" s="98" t="str">
        <f>IF(BD349&lt;&gt;"",VLOOKUP($P349&amp;" | "&amp;BB$6,'Job Master'!$F$12:$J$102,5,0),"")</f>
        <v/>
      </c>
      <c r="BC349" s="19" t="str">
        <f>IF(BD349&lt;&gt;"",VLOOKUP($P349&amp;" | "&amp;BB$6,'Job Master'!$F$12:$J$102,3,0),"")</f>
        <v/>
      </c>
      <c r="BD349" s="19" t="str">
        <f>IFERROR(IF(AND(BK349&lt;&gt;"",VLOOKUP($P349&amp;" | "&amp;BB$6,'Job Master'!$F$12:$I$102,4,0)&lt;&gt;""),IF(WEEKDAY(BK349-VLOOKUP($P349&amp;" | "&amp;BB$6,'Job Master'!$F$12:$I$102,4,0))&lt;&gt;7,BK349-VLOOKUP($P349&amp;" | "&amp;BB$6,'Job Master'!$F$12:$I$102,4,0),BK349-VLOOKUP($P349&amp;" | "&amp;BB$6,'Job Master'!$F$12:$I$102,4,0)-1),""),"")</f>
        <v/>
      </c>
      <c r="BE349" s="73"/>
      <c r="BF349" s="123" t="str">
        <f t="shared" si="657"/>
        <v/>
      </c>
      <c r="BG349" s="123" t="str">
        <f t="shared" si="658"/>
        <v/>
      </c>
      <c r="BH349" s="97" t="str">
        <f t="shared" ca="1" si="659"/>
        <v/>
      </c>
      <c r="BI349" s="98" t="str">
        <f>IF(BK349&lt;&gt;"",VLOOKUP($P349&amp;" | "&amp;BI$6,'Job Master'!$F$12:$J$102,5,0),"")</f>
        <v/>
      </c>
      <c r="BJ349" s="19" t="str">
        <f>IF(BK349&lt;&gt;"",VLOOKUP($P349&amp;" | "&amp;BI$6,'Job Master'!$F$12:$J$102,3,0),"")</f>
        <v/>
      </c>
      <c r="BK349" s="19" t="str">
        <f>IFERROR(IF(AND(BR349&lt;&gt;"",VLOOKUP($P349&amp;" | "&amp;BI$6,'Job Master'!$F$12:$I$102,4,0)&lt;&gt;""),IF(WEEKDAY(BR349-VLOOKUP($P349&amp;" | "&amp;BI$6,'Job Master'!$F$12:$I$102,4,0))&lt;&gt;7,BR349-VLOOKUP($P349&amp;" | "&amp;BI$6,'Job Master'!$F$12:$I$102,4,0),BR349-VLOOKUP($P349&amp;" | "&amp;BI$6,'Job Master'!$F$12:$I$102,4,0)-1),""),"")</f>
        <v/>
      </c>
      <c r="BL349" s="73"/>
      <c r="BM349" s="123" t="str">
        <f t="shared" si="660"/>
        <v/>
      </c>
      <c r="BN349" s="123" t="str">
        <f t="shared" si="661"/>
        <v/>
      </c>
      <c r="BO349" s="97" t="str">
        <f t="shared" ca="1" si="662"/>
        <v/>
      </c>
      <c r="BP349" s="98" t="str">
        <f>IF(BR349&lt;&gt;"",VLOOKUP($P349&amp;" | "&amp;BP$6,'Job Master'!$F$12:$J$102,5,0),"")</f>
        <v/>
      </c>
      <c r="BQ349" s="19" t="str">
        <f>IF(BR349&lt;&gt;"",VLOOKUP($P349&amp;" | "&amp;BP$6,'Job Master'!$F$12:$J$102,3,0),"")</f>
        <v/>
      </c>
      <c r="BR349" s="19" t="str">
        <f>IFERROR(IF(AND(BY349&lt;&gt;"",VLOOKUP($P349&amp;" | "&amp;BP$6,'Job Master'!$F$12:$I$102,4,0)&lt;&gt;""),IF(WEEKDAY(BY349-VLOOKUP($P349&amp;" | "&amp;BP$6,'Job Master'!$F$12:$I$102,4,0))&lt;&gt;7,BY349-VLOOKUP($P349&amp;" | "&amp;BP$6,'Job Master'!$F$12:$I$102,4,0),BY349-VLOOKUP($P349&amp;" | "&amp;BP$6,'Job Master'!$F$12:$I$102,4,0)-1),""),"")</f>
        <v/>
      </c>
      <c r="BS349" s="73"/>
      <c r="BT349" s="123" t="str">
        <f t="shared" si="663"/>
        <v/>
      </c>
      <c r="BU349" s="123" t="str">
        <f t="shared" si="664"/>
        <v/>
      </c>
      <c r="BV349" s="97" t="str">
        <f t="shared" ca="1" si="665"/>
        <v/>
      </c>
      <c r="BW349" s="98" t="str">
        <f>IF(BY349&lt;&gt;"",VLOOKUP($P349&amp;" | "&amp;BW$6,'Job Master'!$F$12:$J$102,5,0),"")</f>
        <v/>
      </c>
      <c r="BX349" s="19" t="str">
        <f>IF(BY349&lt;&gt;"",VLOOKUP($P349&amp;" | "&amp;BW$6,'Job Master'!$F$12:$J$102,3,0),"")</f>
        <v/>
      </c>
      <c r="BY349" s="19" t="str">
        <f>IFERROR(IF(AND(CF349&lt;&gt;"",VLOOKUP($P349&amp;" | "&amp;BW$6,'Job Master'!$F$12:$I$102,4,0)&lt;&gt;""),IF(WEEKDAY(CF349-VLOOKUP($P349&amp;" | "&amp;BW$6,'Job Master'!$F$12:$I$102,4,0))&lt;&gt;7,CF349-VLOOKUP($P349&amp;" | "&amp;BW$6,'Job Master'!$F$12:$I$102,4,0),CF349-VLOOKUP($P349&amp;" | "&amp;BW$6,'Job Master'!$F$12:$I$102,4,0)-1),""),"")</f>
        <v/>
      </c>
      <c r="BZ349" s="73"/>
      <c r="CA349" s="123" t="str">
        <f t="shared" si="666"/>
        <v/>
      </c>
      <c r="CB349" s="123" t="str">
        <f t="shared" si="667"/>
        <v/>
      </c>
      <c r="CC349" s="97" t="str">
        <f t="shared" ca="1" si="668"/>
        <v/>
      </c>
      <c r="CD349" s="98" t="str">
        <f>IF(CF349&lt;&gt;"",VLOOKUP($P349&amp;" | "&amp;CD$6,'Job Master'!$F$12:$J$102,5,0),"")</f>
        <v/>
      </c>
      <c r="CE349" s="19" t="str">
        <f>IF(CF349&lt;&gt;"",VLOOKUP($P349&amp;" | "&amp;CD$6,'Job Master'!$F$12:$J$102,3,0),"")</f>
        <v/>
      </c>
      <c r="CF349" s="19" t="str">
        <f>IFERROR(IF(AND(CM349&lt;&gt;"",VLOOKUP($P349&amp;" | "&amp;CD$6,'Job Master'!$F$12:$I$102,4,0)&lt;&gt;""),IF(WEEKDAY(CM349-VLOOKUP($P349&amp;" | "&amp;CD$6,'Job Master'!$F$12:$I$102,4,0))&lt;&gt;7,CM349-VLOOKUP($P349&amp;" | "&amp;CD$6,'Job Master'!$F$12:$I$102,4,0),CM349-VLOOKUP($P349&amp;" | "&amp;CD$6,'Job Master'!$F$12:$I$102,4,0)-1),""),"")</f>
        <v/>
      </c>
      <c r="CG349" s="73"/>
      <c r="CH349" s="123" t="str">
        <f t="shared" si="669"/>
        <v/>
      </c>
      <c r="CI349" s="123" t="str">
        <f t="shared" si="670"/>
        <v/>
      </c>
      <c r="CJ349" s="97" t="str">
        <f t="shared" ca="1" si="671"/>
        <v/>
      </c>
      <c r="CK349" s="98" t="str">
        <f>IF(CM349&lt;&gt;"",VLOOKUP($P349&amp;" | "&amp;CK$6,'Job Master'!$F$12:$J$102,5,0),"")</f>
        <v/>
      </c>
      <c r="CL349" s="19" t="str">
        <f>IF(CM349&lt;&gt;"",VLOOKUP($P349&amp;" | "&amp;CK$6,'Job Master'!$F$12:$J$102,3,0),"")</f>
        <v/>
      </c>
      <c r="CM349" s="19" t="str">
        <f>IFERROR(IF(AND(CT349&lt;&gt;"",VLOOKUP($P349&amp;" | "&amp;CK$6,'Job Master'!$F$12:$I$102,4,0)&lt;&gt;""),IF(WEEKDAY(CT349-VLOOKUP($P349&amp;" | "&amp;CK$6,'Job Master'!$F$12:$I$102,4,0))&lt;&gt;7,CT349-VLOOKUP($P349&amp;" | "&amp;CK$6,'Job Master'!$F$12:$I$102,4,0),CT349-VLOOKUP($P349&amp;" | "&amp;CK$6,'Job Master'!$F$12:$I$102,4,0)-1),""),"")</f>
        <v/>
      </c>
      <c r="CN349" s="73"/>
      <c r="CO349" s="123" t="str">
        <f t="shared" si="672"/>
        <v/>
      </c>
      <c r="CP349" s="123" t="str">
        <f t="shared" si="673"/>
        <v/>
      </c>
      <c r="CQ349" s="97" t="str">
        <f t="shared" ca="1" si="674"/>
        <v/>
      </c>
      <c r="CR349" s="98" t="str">
        <f>IF(CT349&lt;&gt;"",VLOOKUP($P349&amp;" | "&amp;CR$6,'Job Master'!$F$12:$J$102,5,0),"")</f>
        <v/>
      </c>
      <c r="CS349" s="19" t="str">
        <f>IF(CT349&lt;&gt;"",VLOOKUP($P349&amp;" | "&amp;CR$6,'Job Master'!$F$12:$J$102,3,0),"")</f>
        <v/>
      </c>
      <c r="CT349" s="19" t="str">
        <f>IFERROR(IF(AND(DA349&lt;&gt;"",VLOOKUP($P349&amp;" | "&amp;CR$6,'Job Master'!$F$12:$I$102,4,0)&lt;&gt;""),IF(WEEKDAY(DA349-VLOOKUP($P349&amp;" | "&amp;CR$6,'Job Master'!$F$12:$I$102,4,0))&lt;&gt;7,DA349-VLOOKUP($P349&amp;" | "&amp;CR$6,'Job Master'!$F$12:$I$102,4,0),DA349-VLOOKUP($P349&amp;" | "&amp;CR$6,'Job Master'!$F$12:$I$102,4,0)-1),""),"")</f>
        <v/>
      </c>
      <c r="CU349" s="73"/>
      <c r="CV349" s="123" t="str">
        <f t="shared" si="675"/>
        <v/>
      </c>
      <c r="CW349" s="123" t="str">
        <f t="shared" si="676"/>
        <v/>
      </c>
      <c r="CX349" s="97" t="str">
        <f t="shared" ca="1" si="677"/>
        <v/>
      </c>
      <c r="CY349" s="98" t="str">
        <f>IF(DA349&lt;&gt;"",VLOOKUP($P349&amp;" | "&amp;CY$6,'Job Master'!$F$12:$J$102,5,0),"")</f>
        <v/>
      </c>
      <c r="CZ349" s="19" t="str">
        <f>IF(DA349&lt;&gt;"",VLOOKUP($P349&amp;" | "&amp;CY$6,'Job Master'!$F$12:$J$102,3,0),"")</f>
        <v/>
      </c>
      <c r="DA349" s="19" t="str">
        <f>IFERROR(IF(AND(DH349&lt;&gt;"",VLOOKUP($P349&amp;" | "&amp;CY$6,'Job Master'!$F$12:$I$102,4,0)&lt;&gt;""),IF(WEEKDAY(DH349-VLOOKUP($P349&amp;" | "&amp;CY$6,'Job Master'!$F$12:$I$102,4,0))&lt;&gt;7,DH349-VLOOKUP($P349&amp;" | "&amp;CY$6,'Job Master'!$F$12:$I$102,4,0),DH349-VLOOKUP($P349&amp;" | "&amp;CY$6,'Job Master'!$F$12:$I$102,4,0)-1),""),"")</f>
        <v/>
      </c>
      <c r="DB349" s="73"/>
      <c r="DC349" s="123" t="str">
        <f t="shared" si="678"/>
        <v/>
      </c>
      <c r="DD349" s="123" t="str">
        <f t="shared" si="679"/>
        <v/>
      </c>
      <c r="DE349" s="97" t="str">
        <f t="shared" ca="1" si="680"/>
        <v/>
      </c>
      <c r="DF349" s="98" t="str">
        <f>IF(DH349&lt;&gt;"",VLOOKUP($P349&amp;" | "&amp;DF$6,'Job Master'!$F$12:$J$102,5,0),"")</f>
        <v/>
      </c>
      <c r="DG349" s="19" t="str">
        <f>IF(DH349&lt;&gt;"",VLOOKUP($P349&amp;" | "&amp;DF$6,'Job Master'!$F$12:$J$102,3,0),"")</f>
        <v/>
      </c>
      <c r="DH349" s="19" t="str">
        <f>IFERROR(IF(AND(DO349&lt;&gt;"",VLOOKUP($P349&amp;" | "&amp;DF$6,'Job Master'!$F$12:$I$102,4,0)&lt;&gt;""),IF(WEEKDAY(DO349-VLOOKUP($P349&amp;" | "&amp;DF$6,'Job Master'!$F$12:$I$102,4,0))&lt;&gt;7,DO349-VLOOKUP($P349&amp;" | "&amp;DF$6,'Job Master'!$F$12:$I$102,4,0),DO349-VLOOKUP($P349&amp;" | "&amp;DF$6,'Job Master'!$F$12:$I$102,4,0)-1),""),"")</f>
        <v/>
      </c>
      <c r="DI349" s="73"/>
      <c r="DJ349" s="123" t="str">
        <f t="shared" si="681"/>
        <v/>
      </c>
      <c r="DK349" s="123" t="str">
        <f t="shared" si="682"/>
        <v/>
      </c>
      <c r="DL349" s="97" t="str">
        <f t="shared" ca="1" si="683"/>
        <v/>
      </c>
      <c r="DM349" s="98" t="str">
        <f>IF(DO349&lt;&gt;"",VLOOKUP($P349&amp;" | "&amp;DM$6,'Job Master'!$F$12:$J$102,5,0),"")</f>
        <v/>
      </c>
      <c r="DN349" s="19" t="str">
        <f>IF(DO349&lt;&gt;"",VLOOKUP($P349&amp;" | "&amp;DM$6,'Job Master'!$F$12:$J$102,3,0),"")</f>
        <v/>
      </c>
      <c r="DO349" s="19" t="str">
        <f>IFERROR(IF(AND(DT349&lt;&gt;"",VLOOKUP($P349&amp;" | "&amp;DM$6,'Job Master'!$F$12:$I$102,4,0)&lt;&gt;""),IF(WEEKDAY(DT349-VLOOKUP($P349&amp;" | "&amp;DM$6,'Job Master'!$F$12:$I$102,4,0))&lt;&gt;7,DT349-VLOOKUP($P349&amp;" | "&amp;DM$6,'Job Master'!$F$12:$I$102,4,0),DT349-VLOOKUP($P349&amp;" | "&amp;DM$6,'Job Master'!$F$12:$I$102,4,0)-1),""),"")</f>
        <v/>
      </c>
      <c r="DP349" s="73"/>
      <c r="DQ349" s="123" t="str">
        <f t="shared" si="684"/>
        <v/>
      </c>
      <c r="DR349" s="123" t="str">
        <f t="shared" si="685"/>
        <v/>
      </c>
      <c r="DS349" s="97" t="str">
        <f t="shared" ca="1" si="686"/>
        <v/>
      </c>
      <c r="DT349" s="70" t="str">
        <f t="shared" si="687"/>
        <v/>
      </c>
      <c r="DU349" s="90"/>
      <c r="DV349" s="123" t="str">
        <f t="shared" si="688"/>
        <v/>
      </c>
      <c r="DW349" s="123" t="str">
        <f t="shared" si="689"/>
        <v/>
      </c>
      <c r="DX349" s="132" t="str">
        <f t="shared" ref="DX349" ca="1" si="720">IF(DT349&lt;&gt;"",IF(WEEKNUM(DT349)=WEEKNUM(TODAY()),"This Week",IF(WEEKNUM(DT349)=WEEKNUM(TODAY())+1,"Next Week",IF(WEEKNUM(DT349)=WEEKNUM(TODAY())-1,"Previous Week",""))),"")</f>
        <v/>
      </c>
      <c r="DY349" s="134" t="str">
        <f t="shared" si="691"/>
        <v/>
      </c>
      <c r="DZ349" s="95"/>
      <c r="EB349" s="8" t="str">
        <f t="shared" si="697"/>
        <v/>
      </c>
      <c r="EC349" s="8" t="str">
        <f>IF(O349&lt;&gt;"",VLOOKUP(O349,'Job Master'!$N$12:$O$18,2,0),"")</f>
        <v/>
      </c>
      <c r="ED349" s="8">
        <f t="shared" si="698"/>
        <v>19.5</v>
      </c>
      <c r="EE349" s="8">
        <f t="shared" si="699"/>
        <v>6</v>
      </c>
      <c r="EF349" s="8">
        <f t="shared" si="700"/>
        <v>-2014.5</v>
      </c>
      <c r="EG349" s="8" t="str">
        <f t="shared" si="701"/>
        <v/>
      </c>
      <c r="EH349" s="8" t="str">
        <f t="shared" si="702"/>
        <v/>
      </c>
    </row>
    <row r="350" spans="2:138" x14ac:dyDescent="0.3">
      <c r="B350" s="112"/>
      <c r="C350" s="27"/>
      <c r="D350" s="7" t="str">
        <f t="shared" si="639"/>
        <v/>
      </c>
      <c r="E350" s="25"/>
      <c r="F350" s="7" t="str">
        <f t="shared" si="639"/>
        <v/>
      </c>
      <c r="G350" s="25"/>
      <c r="H350" s="7" t="str">
        <f t="shared" si="639"/>
        <v/>
      </c>
      <c r="I350" s="25"/>
      <c r="J350" s="7" t="str">
        <f t="shared" si="639"/>
        <v/>
      </c>
      <c r="K350" s="25"/>
      <c r="L350" s="7" t="str">
        <f t="shared" si="640"/>
        <v/>
      </c>
      <c r="M350" s="25"/>
      <c r="N350" s="7" t="str">
        <f t="shared" si="641"/>
        <v/>
      </c>
      <c r="O350" s="81"/>
      <c r="P350" s="81" t="str">
        <f t="shared" si="642"/>
        <v/>
      </c>
      <c r="Q350" s="81"/>
      <c r="R350" s="7" t="str">
        <f t="shared" si="643"/>
        <v/>
      </c>
      <c r="S350" s="25"/>
      <c r="T350" s="7" t="str">
        <f t="shared" si="644"/>
        <v/>
      </c>
      <c r="U350" s="25"/>
      <c r="V350" s="7" t="str">
        <f t="shared" si="645"/>
        <v/>
      </c>
      <c r="W350" s="25"/>
      <c r="X350" s="7" t="str">
        <f t="shared" si="646"/>
        <v/>
      </c>
      <c r="Y350" s="18" t="str">
        <f t="shared" si="647"/>
        <v/>
      </c>
      <c r="Z350" s="7" t="str">
        <f t="shared" si="648"/>
        <v/>
      </c>
      <c r="AA350" s="18" t="str">
        <f t="shared" si="649"/>
        <v/>
      </c>
      <c r="AB350" s="19" t="str">
        <f t="shared" si="650"/>
        <v/>
      </c>
      <c r="AC350" s="26"/>
      <c r="AD350" s="26"/>
      <c r="AE350" s="25"/>
      <c r="AF350" s="26"/>
      <c r="AG350" s="25"/>
      <c r="AH350" s="25"/>
      <c r="AI350" s="18" t="str">
        <f t="shared" si="713"/>
        <v/>
      </c>
      <c r="AJ350" s="25"/>
      <c r="AK350" s="18" t="str">
        <f t="shared" si="714"/>
        <v/>
      </c>
      <c r="AL350" s="79"/>
      <c r="AM350" s="126" t="str">
        <f t="shared" si="715"/>
        <v/>
      </c>
      <c r="AN350" s="128" t="str">
        <f>IF(AP350&lt;&gt;"",VLOOKUP($P350&amp;" | "&amp;AN$6,'Job Master'!$F$12:$J$102,5,0),"")</f>
        <v/>
      </c>
      <c r="AO350" s="19" t="str">
        <f>IF(AP350&lt;&gt;"",VLOOKUP($P350&amp;" | "&amp;AN$6,'Job Master'!$F$12:$J$102,3,0),"")</f>
        <v/>
      </c>
      <c r="AP350" s="19" t="str">
        <f>IFERROR(IF(AND(AW350&lt;&gt;"",VLOOKUP($P350&amp;" | "&amp;AN$6,'Job Master'!$F$12:$I$102,4,0)&lt;&gt;""),IF(WEEKDAY(AW350-VLOOKUP($P350&amp;" | "&amp;AN$6,'Job Master'!$F$12:$I$102,4,0))&lt;&gt;7,AW350-VLOOKUP($P350&amp;" | "&amp;AN$6,'Job Master'!$F$12:$I$102,4,0),AW350-VLOOKUP($P350&amp;" | "&amp;AN$6,'Job Master'!$F$12:$I$102,4,0)-1),""),"")</f>
        <v/>
      </c>
      <c r="AQ350" s="73"/>
      <c r="AR350" s="123" t="str">
        <f t="shared" si="651"/>
        <v/>
      </c>
      <c r="AS350" s="123" t="str">
        <f t="shared" si="652"/>
        <v/>
      </c>
      <c r="AT350" s="97" t="str">
        <f t="shared" ca="1" si="653"/>
        <v/>
      </c>
      <c r="AU350" s="98" t="str">
        <f>IF(AW350&lt;&gt;"",VLOOKUP($P350&amp;" | "&amp;AU$6,'Job Master'!$F$12:$J$102,5,0),"")</f>
        <v/>
      </c>
      <c r="AV350" s="19" t="str">
        <f>IF(AW350&lt;&gt;"",VLOOKUP($P350&amp;" | "&amp;AU$6,'Job Master'!$F$12:$J$102,3,0),"")</f>
        <v/>
      </c>
      <c r="AW350" s="19" t="str">
        <f>IFERROR(IF(AND(BD350&lt;&gt;"",VLOOKUP($P350&amp;" | "&amp;AU$6,'Job Master'!$F$12:$I$102,4,0)&lt;&gt;""),IF(WEEKDAY(BD350-VLOOKUP($P350&amp;" | "&amp;AU$6,'Job Master'!$F$12:$I$102,4,0))&lt;&gt;7,BD350-VLOOKUP($P350&amp;" | "&amp;AU$6,'Job Master'!$F$12:$I$102,4,0),BD350-VLOOKUP($P350&amp;" | "&amp;AU$6,'Job Master'!$F$12:$I$102,4,0)-1),""),"")</f>
        <v/>
      </c>
      <c r="AX350" s="73"/>
      <c r="AY350" s="123" t="str">
        <f t="shared" si="654"/>
        <v/>
      </c>
      <c r="AZ350" s="123" t="str">
        <f t="shared" si="655"/>
        <v/>
      </c>
      <c r="BA350" s="97" t="str">
        <f t="shared" ca="1" si="656"/>
        <v/>
      </c>
      <c r="BB350" s="98" t="str">
        <f>IF(BD350&lt;&gt;"",VLOOKUP($P350&amp;" | "&amp;BB$6,'Job Master'!$F$12:$J$102,5,0),"")</f>
        <v/>
      </c>
      <c r="BC350" s="19" t="str">
        <f>IF(BD350&lt;&gt;"",VLOOKUP($P350&amp;" | "&amp;BB$6,'Job Master'!$F$12:$J$102,3,0),"")</f>
        <v/>
      </c>
      <c r="BD350" s="19" t="str">
        <f>IFERROR(IF(AND(BK350&lt;&gt;"",VLOOKUP($P350&amp;" | "&amp;BB$6,'Job Master'!$F$12:$I$102,4,0)&lt;&gt;""),IF(WEEKDAY(BK350-VLOOKUP($P350&amp;" | "&amp;BB$6,'Job Master'!$F$12:$I$102,4,0))&lt;&gt;7,BK350-VLOOKUP($P350&amp;" | "&amp;BB$6,'Job Master'!$F$12:$I$102,4,0),BK350-VLOOKUP($P350&amp;" | "&amp;BB$6,'Job Master'!$F$12:$I$102,4,0)-1),""),"")</f>
        <v/>
      </c>
      <c r="BE350" s="73"/>
      <c r="BF350" s="123" t="str">
        <f t="shared" si="657"/>
        <v/>
      </c>
      <c r="BG350" s="123" t="str">
        <f t="shared" si="658"/>
        <v/>
      </c>
      <c r="BH350" s="97" t="str">
        <f t="shared" ca="1" si="659"/>
        <v/>
      </c>
      <c r="BI350" s="98" t="str">
        <f>IF(BK350&lt;&gt;"",VLOOKUP($P350&amp;" | "&amp;BI$6,'Job Master'!$F$12:$J$102,5,0),"")</f>
        <v/>
      </c>
      <c r="BJ350" s="19" t="str">
        <f>IF(BK350&lt;&gt;"",VLOOKUP($P350&amp;" | "&amp;BI$6,'Job Master'!$F$12:$J$102,3,0),"")</f>
        <v/>
      </c>
      <c r="BK350" s="19" t="str">
        <f>IFERROR(IF(AND(BR350&lt;&gt;"",VLOOKUP($P350&amp;" | "&amp;BI$6,'Job Master'!$F$12:$I$102,4,0)&lt;&gt;""),IF(WEEKDAY(BR350-VLOOKUP($P350&amp;" | "&amp;BI$6,'Job Master'!$F$12:$I$102,4,0))&lt;&gt;7,BR350-VLOOKUP($P350&amp;" | "&amp;BI$6,'Job Master'!$F$12:$I$102,4,0),BR350-VLOOKUP($P350&amp;" | "&amp;BI$6,'Job Master'!$F$12:$I$102,4,0)-1),""),"")</f>
        <v/>
      </c>
      <c r="BL350" s="73"/>
      <c r="BM350" s="123" t="str">
        <f t="shared" si="660"/>
        <v/>
      </c>
      <c r="BN350" s="123" t="str">
        <f t="shared" si="661"/>
        <v/>
      </c>
      <c r="BO350" s="97" t="str">
        <f t="shared" ca="1" si="662"/>
        <v/>
      </c>
      <c r="BP350" s="98" t="str">
        <f>IF(BR350&lt;&gt;"",VLOOKUP($P350&amp;" | "&amp;BP$6,'Job Master'!$F$12:$J$102,5,0),"")</f>
        <v/>
      </c>
      <c r="BQ350" s="19" t="str">
        <f>IF(BR350&lt;&gt;"",VLOOKUP($P350&amp;" | "&amp;BP$6,'Job Master'!$F$12:$J$102,3,0),"")</f>
        <v/>
      </c>
      <c r="BR350" s="19" t="str">
        <f>IFERROR(IF(AND(BY350&lt;&gt;"",VLOOKUP($P350&amp;" | "&amp;BP$6,'Job Master'!$F$12:$I$102,4,0)&lt;&gt;""),IF(WEEKDAY(BY350-VLOOKUP($P350&amp;" | "&amp;BP$6,'Job Master'!$F$12:$I$102,4,0))&lt;&gt;7,BY350-VLOOKUP($P350&amp;" | "&amp;BP$6,'Job Master'!$F$12:$I$102,4,0),BY350-VLOOKUP($P350&amp;" | "&amp;BP$6,'Job Master'!$F$12:$I$102,4,0)-1),""),"")</f>
        <v/>
      </c>
      <c r="BS350" s="73"/>
      <c r="BT350" s="123" t="str">
        <f t="shared" si="663"/>
        <v/>
      </c>
      <c r="BU350" s="123" t="str">
        <f t="shared" si="664"/>
        <v/>
      </c>
      <c r="BV350" s="97" t="str">
        <f t="shared" ca="1" si="665"/>
        <v/>
      </c>
      <c r="BW350" s="98" t="str">
        <f>IF(BY350&lt;&gt;"",VLOOKUP($P350&amp;" | "&amp;BW$6,'Job Master'!$F$12:$J$102,5,0),"")</f>
        <v/>
      </c>
      <c r="BX350" s="19" t="str">
        <f>IF(BY350&lt;&gt;"",VLOOKUP($P350&amp;" | "&amp;BW$6,'Job Master'!$F$12:$J$102,3,0),"")</f>
        <v/>
      </c>
      <c r="BY350" s="19" t="str">
        <f>IFERROR(IF(AND(CF350&lt;&gt;"",VLOOKUP($P350&amp;" | "&amp;BW$6,'Job Master'!$F$12:$I$102,4,0)&lt;&gt;""),IF(WEEKDAY(CF350-VLOOKUP($P350&amp;" | "&amp;BW$6,'Job Master'!$F$12:$I$102,4,0))&lt;&gt;7,CF350-VLOOKUP($P350&amp;" | "&amp;BW$6,'Job Master'!$F$12:$I$102,4,0),CF350-VLOOKUP($P350&amp;" | "&amp;BW$6,'Job Master'!$F$12:$I$102,4,0)-1),""),"")</f>
        <v/>
      </c>
      <c r="BZ350" s="73"/>
      <c r="CA350" s="123" t="str">
        <f t="shared" si="666"/>
        <v/>
      </c>
      <c r="CB350" s="123" t="str">
        <f t="shared" si="667"/>
        <v/>
      </c>
      <c r="CC350" s="97" t="str">
        <f t="shared" ca="1" si="668"/>
        <v/>
      </c>
      <c r="CD350" s="98" t="str">
        <f>IF(CF350&lt;&gt;"",VLOOKUP($P350&amp;" | "&amp;CD$6,'Job Master'!$F$12:$J$102,5,0),"")</f>
        <v/>
      </c>
      <c r="CE350" s="19" t="str">
        <f>IF(CF350&lt;&gt;"",VLOOKUP($P350&amp;" | "&amp;CD$6,'Job Master'!$F$12:$J$102,3,0),"")</f>
        <v/>
      </c>
      <c r="CF350" s="19" t="str">
        <f>IFERROR(IF(AND(CM350&lt;&gt;"",VLOOKUP($P350&amp;" | "&amp;CD$6,'Job Master'!$F$12:$I$102,4,0)&lt;&gt;""),IF(WEEKDAY(CM350-VLOOKUP($P350&amp;" | "&amp;CD$6,'Job Master'!$F$12:$I$102,4,0))&lt;&gt;7,CM350-VLOOKUP($P350&amp;" | "&amp;CD$6,'Job Master'!$F$12:$I$102,4,0),CM350-VLOOKUP($P350&amp;" | "&amp;CD$6,'Job Master'!$F$12:$I$102,4,0)-1),""),"")</f>
        <v/>
      </c>
      <c r="CG350" s="73"/>
      <c r="CH350" s="123" t="str">
        <f t="shared" si="669"/>
        <v/>
      </c>
      <c r="CI350" s="123" t="str">
        <f t="shared" si="670"/>
        <v/>
      </c>
      <c r="CJ350" s="97" t="str">
        <f t="shared" ca="1" si="671"/>
        <v/>
      </c>
      <c r="CK350" s="98" t="str">
        <f>IF(CM350&lt;&gt;"",VLOOKUP($P350&amp;" | "&amp;CK$6,'Job Master'!$F$12:$J$102,5,0),"")</f>
        <v/>
      </c>
      <c r="CL350" s="19" t="str">
        <f>IF(CM350&lt;&gt;"",VLOOKUP($P350&amp;" | "&amp;CK$6,'Job Master'!$F$12:$J$102,3,0),"")</f>
        <v/>
      </c>
      <c r="CM350" s="19" t="str">
        <f>IFERROR(IF(AND(CT350&lt;&gt;"",VLOOKUP($P350&amp;" | "&amp;CK$6,'Job Master'!$F$12:$I$102,4,0)&lt;&gt;""),IF(WEEKDAY(CT350-VLOOKUP($P350&amp;" | "&amp;CK$6,'Job Master'!$F$12:$I$102,4,0))&lt;&gt;7,CT350-VLOOKUP($P350&amp;" | "&amp;CK$6,'Job Master'!$F$12:$I$102,4,0),CT350-VLOOKUP($P350&amp;" | "&amp;CK$6,'Job Master'!$F$12:$I$102,4,0)-1),""),"")</f>
        <v/>
      </c>
      <c r="CN350" s="73"/>
      <c r="CO350" s="123" t="str">
        <f t="shared" si="672"/>
        <v/>
      </c>
      <c r="CP350" s="123" t="str">
        <f t="shared" si="673"/>
        <v/>
      </c>
      <c r="CQ350" s="97" t="str">
        <f t="shared" ca="1" si="674"/>
        <v/>
      </c>
      <c r="CR350" s="98" t="str">
        <f>IF(CT350&lt;&gt;"",VLOOKUP($P350&amp;" | "&amp;CR$6,'Job Master'!$F$12:$J$102,5,0),"")</f>
        <v/>
      </c>
      <c r="CS350" s="19" t="str">
        <f>IF(CT350&lt;&gt;"",VLOOKUP($P350&amp;" | "&amp;CR$6,'Job Master'!$F$12:$J$102,3,0),"")</f>
        <v/>
      </c>
      <c r="CT350" s="19" t="str">
        <f>IFERROR(IF(AND(DA350&lt;&gt;"",VLOOKUP($P350&amp;" | "&amp;CR$6,'Job Master'!$F$12:$I$102,4,0)&lt;&gt;""),IF(WEEKDAY(DA350-VLOOKUP($P350&amp;" | "&amp;CR$6,'Job Master'!$F$12:$I$102,4,0))&lt;&gt;7,DA350-VLOOKUP($P350&amp;" | "&amp;CR$6,'Job Master'!$F$12:$I$102,4,0),DA350-VLOOKUP($P350&amp;" | "&amp;CR$6,'Job Master'!$F$12:$I$102,4,0)-1),""),"")</f>
        <v/>
      </c>
      <c r="CU350" s="73"/>
      <c r="CV350" s="123" t="str">
        <f t="shared" si="675"/>
        <v/>
      </c>
      <c r="CW350" s="123" t="str">
        <f t="shared" si="676"/>
        <v/>
      </c>
      <c r="CX350" s="97" t="str">
        <f t="shared" ca="1" si="677"/>
        <v/>
      </c>
      <c r="CY350" s="98" t="str">
        <f>IF(DA350&lt;&gt;"",VLOOKUP($P350&amp;" | "&amp;CY$6,'Job Master'!$F$12:$J$102,5,0),"")</f>
        <v/>
      </c>
      <c r="CZ350" s="19" t="str">
        <f>IF(DA350&lt;&gt;"",VLOOKUP($P350&amp;" | "&amp;CY$6,'Job Master'!$F$12:$J$102,3,0),"")</f>
        <v/>
      </c>
      <c r="DA350" s="19" t="str">
        <f>IFERROR(IF(AND(DH350&lt;&gt;"",VLOOKUP($P350&amp;" | "&amp;CY$6,'Job Master'!$F$12:$I$102,4,0)&lt;&gt;""),IF(WEEKDAY(DH350-VLOOKUP($P350&amp;" | "&amp;CY$6,'Job Master'!$F$12:$I$102,4,0))&lt;&gt;7,DH350-VLOOKUP($P350&amp;" | "&amp;CY$6,'Job Master'!$F$12:$I$102,4,0),DH350-VLOOKUP($P350&amp;" | "&amp;CY$6,'Job Master'!$F$12:$I$102,4,0)-1),""),"")</f>
        <v/>
      </c>
      <c r="DB350" s="73"/>
      <c r="DC350" s="123" t="str">
        <f t="shared" si="678"/>
        <v/>
      </c>
      <c r="DD350" s="123" t="str">
        <f t="shared" si="679"/>
        <v/>
      </c>
      <c r="DE350" s="97" t="str">
        <f t="shared" ca="1" si="680"/>
        <v/>
      </c>
      <c r="DF350" s="98" t="str">
        <f>IF(DH350&lt;&gt;"",VLOOKUP($P350&amp;" | "&amp;DF$6,'Job Master'!$F$12:$J$102,5,0),"")</f>
        <v/>
      </c>
      <c r="DG350" s="19" t="str">
        <f>IF(DH350&lt;&gt;"",VLOOKUP($P350&amp;" | "&amp;DF$6,'Job Master'!$F$12:$J$102,3,0),"")</f>
        <v/>
      </c>
      <c r="DH350" s="19" t="str">
        <f>IFERROR(IF(AND(DO350&lt;&gt;"",VLOOKUP($P350&amp;" | "&amp;DF$6,'Job Master'!$F$12:$I$102,4,0)&lt;&gt;""),IF(WEEKDAY(DO350-VLOOKUP($P350&amp;" | "&amp;DF$6,'Job Master'!$F$12:$I$102,4,0))&lt;&gt;7,DO350-VLOOKUP($P350&amp;" | "&amp;DF$6,'Job Master'!$F$12:$I$102,4,0),DO350-VLOOKUP($P350&amp;" | "&amp;DF$6,'Job Master'!$F$12:$I$102,4,0)-1),""),"")</f>
        <v/>
      </c>
      <c r="DI350" s="73"/>
      <c r="DJ350" s="123" t="str">
        <f t="shared" si="681"/>
        <v/>
      </c>
      <c r="DK350" s="123" t="str">
        <f t="shared" si="682"/>
        <v/>
      </c>
      <c r="DL350" s="97" t="str">
        <f t="shared" ca="1" si="683"/>
        <v/>
      </c>
      <c r="DM350" s="98" t="str">
        <f>IF(DO350&lt;&gt;"",VLOOKUP($P350&amp;" | "&amp;DM$6,'Job Master'!$F$12:$J$102,5,0),"")</f>
        <v/>
      </c>
      <c r="DN350" s="19" t="str">
        <f>IF(DO350&lt;&gt;"",VLOOKUP($P350&amp;" | "&amp;DM$6,'Job Master'!$F$12:$J$102,3,0),"")</f>
        <v/>
      </c>
      <c r="DO350" s="19" t="str">
        <f>IFERROR(IF(AND(DT350&lt;&gt;"",VLOOKUP($P350&amp;" | "&amp;DM$6,'Job Master'!$F$12:$I$102,4,0)&lt;&gt;""),IF(WEEKDAY(DT350-VLOOKUP($P350&amp;" | "&amp;DM$6,'Job Master'!$F$12:$I$102,4,0))&lt;&gt;7,DT350-VLOOKUP($P350&amp;" | "&amp;DM$6,'Job Master'!$F$12:$I$102,4,0),DT350-VLOOKUP($P350&amp;" | "&amp;DM$6,'Job Master'!$F$12:$I$102,4,0)-1),""),"")</f>
        <v/>
      </c>
      <c r="DP350" s="73"/>
      <c r="DQ350" s="123" t="str">
        <f t="shared" si="684"/>
        <v/>
      </c>
      <c r="DR350" s="123" t="str">
        <f t="shared" si="685"/>
        <v/>
      </c>
      <c r="DS350" s="97" t="str">
        <f t="shared" ca="1" si="686"/>
        <v/>
      </c>
      <c r="DT350" s="70" t="str">
        <f t="shared" si="687"/>
        <v/>
      </c>
      <c r="DU350" s="90"/>
      <c r="DV350" s="123" t="str">
        <f t="shared" si="688"/>
        <v/>
      </c>
      <c r="DW350" s="123" t="str">
        <f t="shared" si="689"/>
        <v/>
      </c>
      <c r="DX350" s="132" t="str">
        <f t="shared" ref="DX350" ca="1" si="721">IF(DT350&lt;&gt;"",IF(WEEKNUM(DT350)=WEEKNUM(TODAY()),"This Week",IF(WEEKNUM(DT350)=WEEKNUM(TODAY())+1,"Next Week",IF(WEEKNUM(DT350)=WEEKNUM(TODAY())-1,"Previous Week",""))),"")</f>
        <v/>
      </c>
      <c r="DY350" s="134" t="str">
        <f t="shared" si="691"/>
        <v/>
      </c>
      <c r="DZ350" s="95"/>
      <c r="EB350" s="8" t="str">
        <f t="shared" si="697"/>
        <v/>
      </c>
      <c r="EC350" s="8" t="str">
        <f>IF(O350&lt;&gt;"",VLOOKUP(O350,'Job Master'!$N$12:$O$18,2,0),"")</f>
        <v/>
      </c>
      <c r="ED350" s="8">
        <f t="shared" si="698"/>
        <v>19.5</v>
      </c>
      <c r="EE350" s="8">
        <f t="shared" si="699"/>
        <v>6</v>
      </c>
      <c r="EF350" s="8">
        <f t="shared" si="700"/>
        <v>-2020.5</v>
      </c>
      <c r="EG350" s="8" t="str">
        <f t="shared" si="701"/>
        <v/>
      </c>
      <c r="EH350" s="8" t="str">
        <f t="shared" si="702"/>
        <v/>
      </c>
    </row>
    <row r="351" spans="2:138" x14ac:dyDescent="0.3">
      <c r="B351" s="112"/>
      <c r="C351" s="27"/>
      <c r="D351" s="7" t="str">
        <f t="shared" si="639"/>
        <v/>
      </c>
      <c r="E351" s="25"/>
      <c r="F351" s="7" t="str">
        <f t="shared" si="639"/>
        <v/>
      </c>
      <c r="G351" s="25"/>
      <c r="H351" s="7" t="str">
        <f t="shared" si="639"/>
        <v/>
      </c>
      <c r="I351" s="25"/>
      <c r="J351" s="7" t="str">
        <f t="shared" si="639"/>
        <v/>
      </c>
      <c r="K351" s="25"/>
      <c r="L351" s="7" t="str">
        <f t="shared" si="640"/>
        <v/>
      </c>
      <c r="M351" s="25"/>
      <c r="N351" s="7" t="str">
        <f t="shared" si="641"/>
        <v/>
      </c>
      <c r="O351" s="81"/>
      <c r="P351" s="81" t="str">
        <f t="shared" si="642"/>
        <v/>
      </c>
      <c r="Q351" s="81"/>
      <c r="R351" s="7" t="str">
        <f t="shared" si="643"/>
        <v/>
      </c>
      <c r="S351" s="25"/>
      <c r="T351" s="7" t="str">
        <f t="shared" si="644"/>
        <v/>
      </c>
      <c r="U351" s="25"/>
      <c r="V351" s="7" t="str">
        <f t="shared" si="645"/>
        <v/>
      </c>
      <c r="W351" s="25"/>
      <c r="X351" s="7" t="str">
        <f t="shared" si="646"/>
        <v/>
      </c>
      <c r="Y351" s="18" t="str">
        <f t="shared" si="647"/>
        <v/>
      </c>
      <c r="Z351" s="7" t="str">
        <f t="shared" si="648"/>
        <v/>
      </c>
      <c r="AA351" s="18" t="str">
        <f t="shared" si="649"/>
        <v/>
      </c>
      <c r="AB351" s="19" t="str">
        <f t="shared" si="650"/>
        <v/>
      </c>
      <c r="AC351" s="26"/>
      <c r="AD351" s="26"/>
      <c r="AE351" s="25"/>
      <c r="AF351" s="26"/>
      <c r="AG351" s="25"/>
      <c r="AH351" s="25"/>
      <c r="AI351" s="18" t="str">
        <f t="shared" si="713"/>
        <v/>
      </c>
      <c r="AJ351" s="25"/>
      <c r="AK351" s="18" t="str">
        <f t="shared" si="714"/>
        <v/>
      </c>
      <c r="AL351" s="79"/>
      <c r="AM351" s="126" t="str">
        <f t="shared" si="715"/>
        <v/>
      </c>
      <c r="AN351" s="128" t="str">
        <f>IF(AP351&lt;&gt;"",VLOOKUP($P351&amp;" | "&amp;AN$6,'Job Master'!$F$12:$J$102,5,0),"")</f>
        <v/>
      </c>
      <c r="AO351" s="19" t="str">
        <f>IF(AP351&lt;&gt;"",VLOOKUP($P351&amp;" | "&amp;AN$6,'Job Master'!$F$12:$J$102,3,0),"")</f>
        <v/>
      </c>
      <c r="AP351" s="19" t="str">
        <f>IFERROR(IF(AND(AW351&lt;&gt;"",VLOOKUP($P351&amp;" | "&amp;AN$6,'Job Master'!$F$12:$I$102,4,0)&lt;&gt;""),IF(WEEKDAY(AW351-VLOOKUP($P351&amp;" | "&amp;AN$6,'Job Master'!$F$12:$I$102,4,0))&lt;&gt;7,AW351-VLOOKUP($P351&amp;" | "&amp;AN$6,'Job Master'!$F$12:$I$102,4,0),AW351-VLOOKUP($P351&amp;" | "&amp;AN$6,'Job Master'!$F$12:$I$102,4,0)-1),""),"")</f>
        <v/>
      </c>
      <c r="AQ351" s="73"/>
      <c r="AR351" s="123" t="str">
        <f t="shared" si="651"/>
        <v/>
      </c>
      <c r="AS351" s="123" t="str">
        <f t="shared" si="652"/>
        <v/>
      </c>
      <c r="AT351" s="97" t="str">
        <f t="shared" ca="1" si="653"/>
        <v/>
      </c>
      <c r="AU351" s="98" t="str">
        <f>IF(AW351&lt;&gt;"",VLOOKUP($P351&amp;" | "&amp;AU$6,'Job Master'!$F$12:$J$102,5,0),"")</f>
        <v/>
      </c>
      <c r="AV351" s="19" t="str">
        <f>IF(AW351&lt;&gt;"",VLOOKUP($P351&amp;" | "&amp;AU$6,'Job Master'!$F$12:$J$102,3,0),"")</f>
        <v/>
      </c>
      <c r="AW351" s="19" t="str">
        <f>IFERROR(IF(AND(BD351&lt;&gt;"",VLOOKUP($P351&amp;" | "&amp;AU$6,'Job Master'!$F$12:$I$102,4,0)&lt;&gt;""),IF(WEEKDAY(BD351-VLOOKUP($P351&amp;" | "&amp;AU$6,'Job Master'!$F$12:$I$102,4,0))&lt;&gt;7,BD351-VLOOKUP($P351&amp;" | "&amp;AU$6,'Job Master'!$F$12:$I$102,4,0),BD351-VLOOKUP($P351&amp;" | "&amp;AU$6,'Job Master'!$F$12:$I$102,4,0)-1),""),"")</f>
        <v/>
      </c>
      <c r="AX351" s="73"/>
      <c r="AY351" s="123" t="str">
        <f t="shared" si="654"/>
        <v/>
      </c>
      <c r="AZ351" s="123" t="str">
        <f t="shared" si="655"/>
        <v/>
      </c>
      <c r="BA351" s="97" t="str">
        <f t="shared" ca="1" si="656"/>
        <v/>
      </c>
      <c r="BB351" s="98" t="str">
        <f>IF(BD351&lt;&gt;"",VLOOKUP($P351&amp;" | "&amp;BB$6,'Job Master'!$F$12:$J$102,5,0),"")</f>
        <v/>
      </c>
      <c r="BC351" s="19" t="str">
        <f>IF(BD351&lt;&gt;"",VLOOKUP($P351&amp;" | "&amp;BB$6,'Job Master'!$F$12:$J$102,3,0),"")</f>
        <v/>
      </c>
      <c r="BD351" s="19" t="str">
        <f>IFERROR(IF(AND(BK351&lt;&gt;"",VLOOKUP($P351&amp;" | "&amp;BB$6,'Job Master'!$F$12:$I$102,4,0)&lt;&gt;""),IF(WEEKDAY(BK351-VLOOKUP($P351&amp;" | "&amp;BB$6,'Job Master'!$F$12:$I$102,4,0))&lt;&gt;7,BK351-VLOOKUP($P351&amp;" | "&amp;BB$6,'Job Master'!$F$12:$I$102,4,0),BK351-VLOOKUP($P351&amp;" | "&amp;BB$6,'Job Master'!$F$12:$I$102,4,0)-1),""),"")</f>
        <v/>
      </c>
      <c r="BE351" s="73"/>
      <c r="BF351" s="123" t="str">
        <f t="shared" si="657"/>
        <v/>
      </c>
      <c r="BG351" s="123" t="str">
        <f t="shared" si="658"/>
        <v/>
      </c>
      <c r="BH351" s="97" t="str">
        <f t="shared" ca="1" si="659"/>
        <v/>
      </c>
      <c r="BI351" s="98" t="str">
        <f>IF(BK351&lt;&gt;"",VLOOKUP($P351&amp;" | "&amp;BI$6,'Job Master'!$F$12:$J$102,5,0),"")</f>
        <v/>
      </c>
      <c r="BJ351" s="19" t="str">
        <f>IF(BK351&lt;&gt;"",VLOOKUP($P351&amp;" | "&amp;BI$6,'Job Master'!$F$12:$J$102,3,0),"")</f>
        <v/>
      </c>
      <c r="BK351" s="19" t="str">
        <f>IFERROR(IF(AND(BR351&lt;&gt;"",VLOOKUP($P351&amp;" | "&amp;BI$6,'Job Master'!$F$12:$I$102,4,0)&lt;&gt;""),IF(WEEKDAY(BR351-VLOOKUP($P351&amp;" | "&amp;BI$6,'Job Master'!$F$12:$I$102,4,0))&lt;&gt;7,BR351-VLOOKUP($P351&amp;" | "&amp;BI$6,'Job Master'!$F$12:$I$102,4,0),BR351-VLOOKUP($P351&amp;" | "&amp;BI$6,'Job Master'!$F$12:$I$102,4,0)-1),""),"")</f>
        <v/>
      </c>
      <c r="BL351" s="73"/>
      <c r="BM351" s="123" t="str">
        <f t="shared" si="660"/>
        <v/>
      </c>
      <c r="BN351" s="123" t="str">
        <f t="shared" si="661"/>
        <v/>
      </c>
      <c r="BO351" s="97" t="str">
        <f t="shared" ca="1" si="662"/>
        <v/>
      </c>
      <c r="BP351" s="98" t="str">
        <f>IF(BR351&lt;&gt;"",VLOOKUP($P351&amp;" | "&amp;BP$6,'Job Master'!$F$12:$J$102,5,0),"")</f>
        <v/>
      </c>
      <c r="BQ351" s="19" t="str">
        <f>IF(BR351&lt;&gt;"",VLOOKUP($P351&amp;" | "&amp;BP$6,'Job Master'!$F$12:$J$102,3,0),"")</f>
        <v/>
      </c>
      <c r="BR351" s="19" t="str">
        <f>IFERROR(IF(AND(BY351&lt;&gt;"",VLOOKUP($P351&amp;" | "&amp;BP$6,'Job Master'!$F$12:$I$102,4,0)&lt;&gt;""),IF(WEEKDAY(BY351-VLOOKUP($P351&amp;" | "&amp;BP$6,'Job Master'!$F$12:$I$102,4,0))&lt;&gt;7,BY351-VLOOKUP($P351&amp;" | "&amp;BP$6,'Job Master'!$F$12:$I$102,4,0),BY351-VLOOKUP($P351&amp;" | "&amp;BP$6,'Job Master'!$F$12:$I$102,4,0)-1),""),"")</f>
        <v/>
      </c>
      <c r="BS351" s="73"/>
      <c r="BT351" s="123" t="str">
        <f t="shared" si="663"/>
        <v/>
      </c>
      <c r="BU351" s="123" t="str">
        <f t="shared" si="664"/>
        <v/>
      </c>
      <c r="BV351" s="97" t="str">
        <f t="shared" ca="1" si="665"/>
        <v/>
      </c>
      <c r="BW351" s="98" t="str">
        <f>IF(BY351&lt;&gt;"",VLOOKUP($P351&amp;" | "&amp;BW$6,'Job Master'!$F$12:$J$102,5,0),"")</f>
        <v/>
      </c>
      <c r="BX351" s="19" t="str">
        <f>IF(BY351&lt;&gt;"",VLOOKUP($P351&amp;" | "&amp;BW$6,'Job Master'!$F$12:$J$102,3,0),"")</f>
        <v/>
      </c>
      <c r="BY351" s="19" t="str">
        <f>IFERROR(IF(AND(CF351&lt;&gt;"",VLOOKUP($P351&amp;" | "&amp;BW$6,'Job Master'!$F$12:$I$102,4,0)&lt;&gt;""),IF(WEEKDAY(CF351-VLOOKUP($P351&amp;" | "&amp;BW$6,'Job Master'!$F$12:$I$102,4,0))&lt;&gt;7,CF351-VLOOKUP($P351&amp;" | "&amp;BW$6,'Job Master'!$F$12:$I$102,4,0),CF351-VLOOKUP($P351&amp;" | "&amp;BW$6,'Job Master'!$F$12:$I$102,4,0)-1),""),"")</f>
        <v/>
      </c>
      <c r="BZ351" s="73"/>
      <c r="CA351" s="123" t="str">
        <f t="shared" si="666"/>
        <v/>
      </c>
      <c r="CB351" s="123" t="str">
        <f t="shared" si="667"/>
        <v/>
      </c>
      <c r="CC351" s="97" t="str">
        <f t="shared" ca="1" si="668"/>
        <v/>
      </c>
      <c r="CD351" s="98" t="str">
        <f>IF(CF351&lt;&gt;"",VLOOKUP($P351&amp;" | "&amp;CD$6,'Job Master'!$F$12:$J$102,5,0),"")</f>
        <v/>
      </c>
      <c r="CE351" s="19" t="str">
        <f>IF(CF351&lt;&gt;"",VLOOKUP($P351&amp;" | "&amp;CD$6,'Job Master'!$F$12:$J$102,3,0),"")</f>
        <v/>
      </c>
      <c r="CF351" s="19" t="str">
        <f>IFERROR(IF(AND(CM351&lt;&gt;"",VLOOKUP($P351&amp;" | "&amp;CD$6,'Job Master'!$F$12:$I$102,4,0)&lt;&gt;""),IF(WEEKDAY(CM351-VLOOKUP($P351&amp;" | "&amp;CD$6,'Job Master'!$F$12:$I$102,4,0))&lt;&gt;7,CM351-VLOOKUP($P351&amp;" | "&amp;CD$6,'Job Master'!$F$12:$I$102,4,0),CM351-VLOOKUP($P351&amp;" | "&amp;CD$6,'Job Master'!$F$12:$I$102,4,0)-1),""),"")</f>
        <v/>
      </c>
      <c r="CG351" s="73"/>
      <c r="CH351" s="123" t="str">
        <f t="shared" si="669"/>
        <v/>
      </c>
      <c r="CI351" s="123" t="str">
        <f t="shared" si="670"/>
        <v/>
      </c>
      <c r="CJ351" s="97" t="str">
        <f t="shared" ca="1" si="671"/>
        <v/>
      </c>
      <c r="CK351" s="98" t="str">
        <f>IF(CM351&lt;&gt;"",VLOOKUP($P351&amp;" | "&amp;CK$6,'Job Master'!$F$12:$J$102,5,0),"")</f>
        <v/>
      </c>
      <c r="CL351" s="19" t="str">
        <f>IF(CM351&lt;&gt;"",VLOOKUP($P351&amp;" | "&amp;CK$6,'Job Master'!$F$12:$J$102,3,0),"")</f>
        <v/>
      </c>
      <c r="CM351" s="19" t="str">
        <f>IFERROR(IF(AND(CT351&lt;&gt;"",VLOOKUP($P351&amp;" | "&amp;CK$6,'Job Master'!$F$12:$I$102,4,0)&lt;&gt;""),IF(WEEKDAY(CT351-VLOOKUP($P351&amp;" | "&amp;CK$6,'Job Master'!$F$12:$I$102,4,0))&lt;&gt;7,CT351-VLOOKUP($P351&amp;" | "&amp;CK$6,'Job Master'!$F$12:$I$102,4,0),CT351-VLOOKUP($P351&amp;" | "&amp;CK$6,'Job Master'!$F$12:$I$102,4,0)-1),""),"")</f>
        <v/>
      </c>
      <c r="CN351" s="73"/>
      <c r="CO351" s="123" t="str">
        <f t="shared" si="672"/>
        <v/>
      </c>
      <c r="CP351" s="123" t="str">
        <f t="shared" si="673"/>
        <v/>
      </c>
      <c r="CQ351" s="97" t="str">
        <f t="shared" ca="1" si="674"/>
        <v/>
      </c>
      <c r="CR351" s="98" t="str">
        <f>IF(CT351&lt;&gt;"",VLOOKUP($P351&amp;" | "&amp;CR$6,'Job Master'!$F$12:$J$102,5,0),"")</f>
        <v/>
      </c>
      <c r="CS351" s="19" t="str">
        <f>IF(CT351&lt;&gt;"",VLOOKUP($P351&amp;" | "&amp;CR$6,'Job Master'!$F$12:$J$102,3,0),"")</f>
        <v/>
      </c>
      <c r="CT351" s="19" t="str">
        <f>IFERROR(IF(AND(DA351&lt;&gt;"",VLOOKUP($P351&amp;" | "&amp;CR$6,'Job Master'!$F$12:$I$102,4,0)&lt;&gt;""),IF(WEEKDAY(DA351-VLOOKUP($P351&amp;" | "&amp;CR$6,'Job Master'!$F$12:$I$102,4,0))&lt;&gt;7,DA351-VLOOKUP($P351&amp;" | "&amp;CR$6,'Job Master'!$F$12:$I$102,4,0),DA351-VLOOKUP($P351&amp;" | "&amp;CR$6,'Job Master'!$F$12:$I$102,4,0)-1),""),"")</f>
        <v/>
      </c>
      <c r="CU351" s="73"/>
      <c r="CV351" s="123" t="str">
        <f t="shared" si="675"/>
        <v/>
      </c>
      <c r="CW351" s="123" t="str">
        <f t="shared" si="676"/>
        <v/>
      </c>
      <c r="CX351" s="97" t="str">
        <f t="shared" ca="1" si="677"/>
        <v/>
      </c>
      <c r="CY351" s="98" t="str">
        <f>IF(DA351&lt;&gt;"",VLOOKUP($P351&amp;" | "&amp;CY$6,'Job Master'!$F$12:$J$102,5,0),"")</f>
        <v/>
      </c>
      <c r="CZ351" s="19" t="str">
        <f>IF(DA351&lt;&gt;"",VLOOKUP($P351&amp;" | "&amp;CY$6,'Job Master'!$F$12:$J$102,3,0),"")</f>
        <v/>
      </c>
      <c r="DA351" s="19" t="str">
        <f>IFERROR(IF(AND(DH351&lt;&gt;"",VLOOKUP($P351&amp;" | "&amp;CY$6,'Job Master'!$F$12:$I$102,4,0)&lt;&gt;""),IF(WEEKDAY(DH351-VLOOKUP($P351&amp;" | "&amp;CY$6,'Job Master'!$F$12:$I$102,4,0))&lt;&gt;7,DH351-VLOOKUP($P351&amp;" | "&amp;CY$6,'Job Master'!$F$12:$I$102,4,0),DH351-VLOOKUP($P351&amp;" | "&amp;CY$6,'Job Master'!$F$12:$I$102,4,0)-1),""),"")</f>
        <v/>
      </c>
      <c r="DB351" s="73"/>
      <c r="DC351" s="123" t="str">
        <f t="shared" si="678"/>
        <v/>
      </c>
      <c r="DD351" s="123" t="str">
        <f t="shared" si="679"/>
        <v/>
      </c>
      <c r="DE351" s="97" t="str">
        <f t="shared" ca="1" si="680"/>
        <v/>
      </c>
      <c r="DF351" s="98" t="str">
        <f>IF(DH351&lt;&gt;"",VLOOKUP($P351&amp;" | "&amp;DF$6,'Job Master'!$F$12:$J$102,5,0),"")</f>
        <v/>
      </c>
      <c r="DG351" s="19" t="str">
        <f>IF(DH351&lt;&gt;"",VLOOKUP($P351&amp;" | "&amp;DF$6,'Job Master'!$F$12:$J$102,3,0),"")</f>
        <v/>
      </c>
      <c r="DH351" s="19" t="str">
        <f>IFERROR(IF(AND(DO351&lt;&gt;"",VLOOKUP($P351&amp;" | "&amp;DF$6,'Job Master'!$F$12:$I$102,4,0)&lt;&gt;""),IF(WEEKDAY(DO351-VLOOKUP($P351&amp;" | "&amp;DF$6,'Job Master'!$F$12:$I$102,4,0))&lt;&gt;7,DO351-VLOOKUP($P351&amp;" | "&amp;DF$6,'Job Master'!$F$12:$I$102,4,0),DO351-VLOOKUP($P351&amp;" | "&amp;DF$6,'Job Master'!$F$12:$I$102,4,0)-1),""),"")</f>
        <v/>
      </c>
      <c r="DI351" s="73"/>
      <c r="DJ351" s="123" t="str">
        <f t="shared" si="681"/>
        <v/>
      </c>
      <c r="DK351" s="123" t="str">
        <f t="shared" si="682"/>
        <v/>
      </c>
      <c r="DL351" s="97" t="str">
        <f t="shared" ca="1" si="683"/>
        <v/>
      </c>
      <c r="DM351" s="98" t="str">
        <f>IF(DO351&lt;&gt;"",VLOOKUP($P351&amp;" | "&amp;DM$6,'Job Master'!$F$12:$J$102,5,0),"")</f>
        <v/>
      </c>
      <c r="DN351" s="19" t="str">
        <f>IF(DO351&lt;&gt;"",VLOOKUP($P351&amp;" | "&amp;DM$6,'Job Master'!$F$12:$J$102,3,0),"")</f>
        <v/>
      </c>
      <c r="DO351" s="19" t="str">
        <f>IFERROR(IF(AND(DT351&lt;&gt;"",VLOOKUP($P351&amp;" | "&amp;DM$6,'Job Master'!$F$12:$I$102,4,0)&lt;&gt;""),IF(WEEKDAY(DT351-VLOOKUP($P351&amp;" | "&amp;DM$6,'Job Master'!$F$12:$I$102,4,0))&lt;&gt;7,DT351-VLOOKUP($P351&amp;" | "&amp;DM$6,'Job Master'!$F$12:$I$102,4,0),DT351-VLOOKUP($P351&amp;" | "&amp;DM$6,'Job Master'!$F$12:$I$102,4,0)-1),""),"")</f>
        <v/>
      </c>
      <c r="DP351" s="73"/>
      <c r="DQ351" s="123" t="str">
        <f t="shared" si="684"/>
        <v/>
      </c>
      <c r="DR351" s="123" t="str">
        <f t="shared" si="685"/>
        <v/>
      </c>
      <c r="DS351" s="97" t="str">
        <f t="shared" ca="1" si="686"/>
        <v/>
      </c>
      <c r="DT351" s="70" t="str">
        <f t="shared" si="687"/>
        <v/>
      </c>
      <c r="DU351" s="90"/>
      <c r="DV351" s="123" t="str">
        <f t="shared" si="688"/>
        <v/>
      </c>
      <c r="DW351" s="123" t="str">
        <f t="shared" si="689"/>
        <v/>
      </c>
      <c r="DX351" s="132" t="str">
        <f t="shared" ref="DX351" ca="1" si="722">IF(DT351&lt;&gt;"",IF(WEEKNUM(DT351)=WEEKNUM(TODAY()),"This Week",IF(WEEKNUM(DT351)=WEEKNUM(TODAY())+1,"Next Week",IF(WEEKNUM(DT351)=WEEKNUM(TODAY())-1,"Previous Week",""))),"")</f>
        <v/>
      </c>
      <c r="DY351" s="134" t="str">
        <f t="shared" si="691"/>
        <v/>
      </c>
      <c r="DZ351" s="95"/>
      <c r="EB351" s="8" t="str">
        <f t="shared" si="697"/>
        <v/>
      </c>
      <c r="EC351" s="8" t="str">
        <f>IF(O351&lt;&gt;"",VLOOKUP(O351,'Job Master'!$N$12:$O$18,2,0),"")</f>
        <v/>
      </c>
      <c r="ED351" s="8">
        <f t="shared" si="698"/>
        <v>19.5</v>
      </c>
      <c r="EE351" s="8">
        <f t="shared" si="699"/>
        <v>6</v>
      </c>
      <c r="EF351" s="8">
        <f t="shared" si="700"/>
        <v>-2026.5</v>
      </c>
      <c r="EG351" s="8" t="str">
        <f t="shared" si="701"/>
        <v/>
      </c>
      <c r="EH351" s="8" t="str">
        <f t="shared" si="702"/>
        <v/>
      </c>
    </row>
    <row r="352" spans="2:138" x14ac:dyDescent="0.3">
      <c r="B352" s="112"/>
      <c r="C352" s="27"/>
      <c r="D352" s="7" t="str">
        <f t="shared" si="639"/>
        <v/>
      </c>
      <c r="E352" s="25"/>
      <c r="F352" s="7" t="str">
        <f t="shared" si="639"/>
        <v/>
      </c>
      <c r="G352" s="25"/>
      <c r="H352" s="7" t="str">
        <f t="shared" si="639"/>
        <v/>
      </c>
      <c r="I352" s="25"/>
      <c r="J352" s="7" t="str">
        <f t="shared" si="639"/>
        <v/>
      </c>
      <c r="K352" s="25"/>
      <c r="L352" s="7" t="str">
        <f t="shared" si="640"/>
        <v/>
      </c>
      <c r="M352" s="25"/>
      <c r="N352" s="7" t="str">
        <f t="shared" si="641"/>
        <v/>
      </c>
      <c r="O352" s="81"/>
      <c r="P352" s="81" t="str">
        <f t="shared" si="642"/>
        <v/>
      </c>
      <c r="Q352" s="81"/>
      <c r="R352" s="7" t="str">
        <f t="shared" si="643"/>
        <v/>
      </c>
      <c r="S352" s="25"/>
      <c r="T352" s="7" t="str">
        <f t="shared" si="644"/>
        <v/>
      </c>
      <c r="U352" s="25"/>
      <c r="V352" s="7" t="str">
        <f t="shared" si="645"/>
        <v/>
      </c>
      <c r="W352" s="25"/>
      <c r="X352" s="7" t="str">
        <f t="shared" si="646"/>
        <v/>
      </c>
      <c r="Y352" s="18" t="str">
        <f t="shared" si="647"/>
        <v/>
      </c>
      <c r="Z352" s="7" t="str">
        <f t="shared" si="648"/>
        <v/>
      </c>
      <c r="AA352" s="18" t="str">
        <f t="shared" si="649"/>
        <v/>
      </c>
      <c r="AB352" s="19" t="str">
        <f t="shared" si="650"/>
        <v/>
      </c>
      <c r="AC352" s="26"/>
      <c r="AD352" s="26"/>
      <c r="AE352" s="25"/>
      <c r="AF352" s="26"/>
      <c r="AG352" s="25"/>
      <c r="AH352" s="25"/>
      <c r="AI352" s="18" t="str">
        <f t="shared" si="713"/>
        <v/>
      </c>
      <c r="AJ352" s="25"/>
      <c r="AK352" s="18" t="str">
        <f t="shared" si="714"/>
        <v/>
      </c>
      <c r="AL352" s="79"/>
      <c r="AM352" s="126" t="str">
        <f t="shared" si="715"/>
        <v/>
      </c>
      <c r="AN352" s="128" t="str">
        <f>IF(AP352&lt;&gt;"",VLOOKUP($P352&amp;" | "&amp;AN$6,'Job Master'!$F$12:$J$102,5,0),"")</f>
        <v/>
      </c>
      <c r="AO352" s="19" t="str">
        <f>IF(AP352&lt;&gt;"",VLOOKUP($P352&amp;" | "&amp;AN$6,'Job Master'!$F$12:$J$102,3,0),"")</f>
        <v/>
      </c>
      <c r="AP352" s="19" t="str">
        <f>IFERROR(IF(AND(AW352&lt;&gt;"",VLOOKUP($P352&amp;" | "&amp;AN$6,'Job Master'!$F$12:$I$102,4,0)&lt;&gt;""),IF(WEEKDAY(AW352-VLOOKUP($P352&amp;" | "&amp;AN$6,'Job Master'!$F$12:$I$102,4,0))&lt;&gt;7,AW352-VLOOKUP($P352&amp;" | "&amp;AN$6,'Job Master'!$F$12:$I$102,4,0),AW352-VLOOKUP($P352&amp;" | "&amp;AN$6,'Job Master'!$F$12:$I$102,4,0)-1),""),"")</f>
        <v/>
      </c>
      <c r="AQ352" s="73"/>
      <c r="AR352" s="123" t="str">
        <f t="shared" si="651"/>
        <v/>
      </c>
      <c r="AS352" s="123" t="str">
        <f t="shared" si="652"/>
        <v/>
      </c>
      <c r="AT352" s="97" t="str">
        <f t="shared" ca="1" si="653"/>
        <v/>
      </c>
      <c r="AU352" s="98" t="str">
        <f>IF(AW352&lt;&gt;"",VLOOKUP($P352&amp;" | "&amp;AU$6,'Job Master'!$F$12:$J$102,5,0),"")</f>
        <v/>
      </c>
      <c r="AV352" s="19" t="str">
        <f>IF(AW352&lt;&gt;"",VLOOKUP($P352&amp;" | "&amp;AU$6,'Job Master'!$F$12:$J$102,3,0),"")</f>
        <v/>
      </c>
      <c r="AW352" s="19" t="str">
        <f>IFERROR(IF(AND(BD352&lt;&gt;"",VLOOKUP($P352&amp;" | "&amp;AU$6,'Job Master'!$F$12:$I$102,4,0)&lt;&gt;""),IF(WEEKDAY(BD352-VLOOKUP($P352&amp;" | "&amp;AU$6,'Job Master'!$F$12:$I$102,4,0))&lt;&gt;7,BD352-VLOOKUP($P352&amp;" | "&amp;AU$6,'Job Master'!$F$12:$I$102,4,0),BD352-VLOOKUP($P352&amp;" | "&amp;AU$6,'Job Master'!$F$12:$I$102,4,0)-1),""),"")</f>
        <v/>
      </c>
      <c r="AX352" s="73"/>
      <c r="AY352" s="123" t="str">
        <f t="shared" si="654"/>
        <v/>
      </c>
      <c r="AZ352" s="123" t="str">
        <f t="shared" si="655"/>
        <v/>
      </c>
      <c r="BA352" s="97" t="str">
        <f t="shared" ca="1" si="656"/>
        <v/>
      </c>
      <c r="BB352" s="98" t="str">
        <f>IF(BD352&lt;&gt;"",VLOOKUP($P352&amp;" | "&amp;BB$6,'Job Master'!$F$12:$J$102,5,0),"")</f>
        <v/>
      </c>
      <c r="BC352" s="19" t="str">
        <f>IF(BD352&lt;&gt;"",VLOOKUP($P352&amp;" | "&amp;BB$6,'Job Master'!$F$12:$J$102,3,0),"")</f>
        <v/>
      </c>
      <c r="BD352" s="19" t="str">
        <f>IFERROR(IF(AND(BK352&lt;&gt;"",VLOOKUP($P352&amp;" | "&amp;BB$6,'Job Master'!$F$12:$I$102,4,0)&lt;&gt;""),IF(WEEKDAY(BK352-VLOOKUP($P352&amp;" | "&amp;BB$6,'Job Master'!$F$12:$I$102,4,0))&lt;&gt;7,BK352-VLOOKUP($P352&amp;" | "&amp;BB$6,'Job Master'!$F$12:$I$102,4,0),BK352-VLOOKUP($P352&amp;" | "&amp;BB$6,'Job Master'!$F$12:$I$102,4,0)-1),""),"")</f>
        <v/>
      </c>
      <c r="BE352" s="73"/>
      <c r="BF352" s="123" t="str">
        <f t="shared" si="657"/>
        <v/>
      </c>
      <c r="BG352" s="123" t="str">
        <f t="shared" si="658"/>
        <v/>
      </c>
      <c r="BH352" s="97" t="str">
        <f t="shared" ca="1" si="659"/>
        <v/>
      </c>
      <c r="BI352" s="98" t="str">
        <f>IF(BK352&lt;&gt;"",VLOOKUP($P352&amp;" | "&amp;BI$6,'Job Master'!$F$12:$J$102,5,0),"")</f>
        <v/>
      </c>
      <c r="BJ352" s="19" t="str">
        <f>IF(BK352&lt;&gt;"",VLOOKUP($P352&amp;" | "&amp;BI$6,'Job Master'!$F$12:$J$102,3,0),"")</f>
        <v/>
      </c>
      <c r="BK352" s="19" t="str">
        <f>IFERROR(IF(AND(BR352&lt;&gt;"",VLOOKUP($P352&amp;" | "&amp;BI$6,'Job Master'!$F$12:$I$102,4,0)&lt;&gt;""),IF(WEEKDAY(BR352-VLOOKUP($P352&amp;" | "&amp;BI$6,'Job Master'!$F$12:$I$102,4,0))&lt;&gt;7,BR352-VLOOKUP($P352&amp;" | "&amp;BI$6,'Job Master'!$F$12:$I$102,4,0),BR352-VLOOKUP($P352&amp;" | "&amp;BI$6,'Job Master'!$F$12:$I$102,4,0)-1),""),"")</f>
        <v/>
      </c>
      <c r="BL352" s="73"/>
      <c r="BM352" s="123" t="str">
        <f t="shared" si="660"/>
        <v/>
      </c>
      <c r="BN352" s="123" t="str">
        <f t="shared" si="661"/>
        <v/>
      </c>
      <c r="BO352" s="97" t="str">
        <f t="shared" ca="1" si="662"/>
        <v/>
      </c>
      <c r="BP352" s="98" t="str">
        <f>IF(BR352&lt;&gt;"",VLOOKUP($P352&amp;" | "&amp;BP$6,'Job Master'!$F$12:$J$102,5,0),"")</f>
        <v/>
      </c>
      <c r="BQ352" s="19" t="str">
        <f>IF(BR352&lt;&gt;"",VLOOKUP($P352&amp;" | "&amp;BP$6,'Job Master'!$F$12:$J$102,3,0),"")</f>
        <v/>
      </c>
      <c r="BR352" s="19" t="str">
        <f>IFERROR(IF(AND(BY352&lt;&gt;"",VLOOKUP($P352&amp;" | "&amp;BP$6,'Job Master'!$F$12:$I$102,4,0)&lt;&gt;""),IF(WEEKDAY(BY352-VLOOKUP($P352&amp;" | "&amp;BP$6,'Job Master'!$F$12:$I$102,4,0))&lt;&gt;7,BY352-VLOOKUP($P352&amp;" | "&amp;BP$6,'Job Master'!$F$12:$I$102,4,0),BY352-VLOOKUP($P352&amp;" | "&amp;BP$6,'Job Master'!$F$12:$I$102,4,0)-1),""),"")</f>
        <v/>
      </c>
      <c r="BS352" s="73"/>
      <c r="BT352" s="123" t="str">
        <f t="shared" si="663"/>
        <v/>
      </c>
      <c r="BU352" s="123" t="str">
        <f t="shared" si="664"/>
        <v/>
      </c>
      <c r="BV352" s="97" t="str">
        <f t="shared" ca="1" si="665"/>
        <v/>
      </c>
      <c r="BW352" s="98" t="str">
        <f>IF(BY352&lt;&gt;"",VLOOKUP($P352&amp;" | "&amp;BW$6,'Job Master'!$F$12:$J$102,5,0),"")</f>
        <v/>
      </c>
      <c r="BX352" s="19" t="str">
        <f>IF(BY352&lt;&gt;"",VLOOKUP($P352&amp;" | "&amp;BW$6,'Job Master'!$F$12:$J$102,3,0),"")</f>
        <v/>
      </c>
      <c r="BY352" s="19" t="str">
        <f>IFERROR(IF(AND(CF352&lt;&gt;"",VLOOKUP($P352&amp;" | "&amp;BW$6,'Job Master'!$F$12:$I$102,4,0)&lt;&gt;""),IF(WEEKDAY(CF352-VLOOKUP($P352&amp;" | "&amp;BW$6,'Job Master'!$F$12:$I$102,4,0))&lt;&gt;7,CF352-VLOOKUP($P352&amp;" | "&amp;BW$6,'Job Master'!$F$12:$I$102,4,0),CF352-VLOOKUP($P352&amp;" | "&amp;BW$6,'Job Master'!$F$12:$I$102,4,0)-1),""),"")</f>
        <v/>
      </c>
      <c r="BZ352" s="73"/>
      <c r="CA352" s="123" t="str">
        <f t="shared" si="666"/>
        <v/>
      </c>
      <c r="CB352" s="123" t="str">
        <f t="shared" si="667"/>
        <v/>
      </c>
      <c r="CC352" s="97" t="str">
        <f t="shared" ca="1" si="668"/>
        <v/>
      </c>
      <c r="CD352" s="98" t="str">
        <f>IF(CF352&lt;&gt;"",VLOOKUP($P352&amp;" | "&amp;CD$6,'Job Master'!$F$12:$J$102,5,0),"")</f>
        <v/>
      </c>
      <c r="CE352" s="19" t="str">
        <f>IF(CF352&lt;&gt;"",VLOOKUP($P352&amp;" | "&amp;CD$6,'Job Master'!$F$12:$J$102,3,0),"")</f>
        <v/>
      </c>
      <c r="CF352" s="19" t="str">
        <f>IFERROR(IF(AND(CM352&lt;&gt;"",VLOOKUP($P352&amp;" | "&amp;CD$6,'Job Master'!$F$12:$I$102,4,0)&lt;&gt;""),IF(WEEKDAY(CM352-VLOOKUP($P352&amp;" | "&amp;CD$6,'Job Master'!$F$12:$I$102,4,0))&lt;&gt;7,CM352-VLOOKUP($P352&amp;" | "&amp;CD$6,'Job Master'!$F$12:$I$102,4,0),CM352-VLOOKUP($P352&amp;" | "&amp;CD$6,'Job Master'!$F$12:$I$102,4,0)-1),""),"")</f>
        <v/>
      </c>
      <c r="CG352" s="73"/>
      <c r="CH352" s="123" t="str">
        <f t="shared" si="669"/>
        <v/>
      </c>
      <c r="CI352" s="123" t="str">
        <f t="shared" si="670"/>
        <v/>
      </c>
      <c r="CJ352" s="97" t="str">
        <f t="shared" ca="1" si="671"/>
        <v/>
      </c>
      <c r="CK352" s="98" t="str">
        <f>IF(CM352&lt;&gt;"",VLOOKUP($P352&amp;" | "&amp;CK$6,'Job Master'!$F$12:$J$102,5,0),"")</f>
        <v/>
      </c>
      <c r="CL352" s="19" t="str">
        <f>IF(CM352&lt;&gt;"",VLOOKUP($P352&amp;" | "&amp;CK$6,'Job Master'!$F$12:$J$102,3,0),"")</f>
        <v/>
      </c>
      <c r="CM352" s="19" t="str">
        <f>IFERROR(IF(AND(CT352&lt;&gt;"",VLOOKUP($P352&amp;" | "&amp;CK$6,'Job Master'!$F$12:$I$102,4,0)&lt;&gt;""),IF(WEEKDAY(CT352-VLOOKUP($P352&amp;" | "&amp;CK$6,'Job Master'!$F$12:$I$102,4,0))&lt;&gt;7,CT352-VLOOKUP($P352&amp;" | "&amp;CK$6,'Job Master'!$F$12:$I$102,4,0),CT352-VLOOKUP($P352&amp;" | "&amp;CK$6,'Job Master'!$F$12:$I$102,4,0)-1),""),"")</f>
        <v/>
      </c>
      <c r="CN352" s="73"/>
      <c r="CO352" s="123" t="str">
        <f t="shared" si="672"/>
        <v/>
      </c>
      <c r="CP352" s="123" t="str">
        <f t="shared" si="673"/>
        <v/>
      </c>
      <c r="CQ352" s="97" t="str">
        <f t="shared" ca="1" si="674"/>
        <v/>
      </c>
      <c r="CR352" s="98" t="str">
        <f>IF(CT352&lt;&gt;"",VLOOKUP($P352&amp;" | "&amp;CR$6,'Job Master'!$F$12:$J$102,5,0),"")</f>
        <v/>
      </c>
      <c r="CS352" s="19" t="str">
        <f>IF(CT352&lt;&gt;"",VLOOKUP($P352&amp;" | "&amp;CR$6,'Job Master'!$F$12:$J$102,3,0),"")</f>
        <v/>
      </c>
      <c r="CT352" s="19" t="str">
        <f>IFERROR(IF(AND(DA352&lt;&gt;"",VLOOKUP($P352&amp;" | "&amp;CR$6,'Job Master'!$F$12:$I$102,4,0)&lt;&gt;""),IF(WEEKDAY(DA352-VLOOKUP($P352&amp;" | "&amp;CR$6,'Job Master'!$F$12:$I$102,4,0))&lt;&gt;7,DA352-VLOOKUP($P352&amp;" | "&amp;CR$6,'Job Master'!$F$12:$I$102,4,0),DA352-VLOOKUP($P352&amp;" | "&amp;CR$6,'Job Master'!$F$12:$I$102,4,0)-1),""),"")</f>
        <v/>
      </c>
      <c r="CU352" s="73"/>
      <c r="CV352" s="123" t="str">
        <f t="shared" si="675"/>
        <v/>
      </c>
      <c r="CW352" s="123" t="str">
        <f t="shared" si="676"/>
        <v/>
      </c>
      <c r="CX352" s="97" t="str">
        <f t="shared" ca="1" si="677"/>
        <v/>
      </c>
      <c r="CY352" s="98" t="str">
        <f>IF(DA352&lt;&gt;"",VLOOKUP($P352&amp;" | "&amp;CY$6,'Job Master'!$F$12:$J$102,5,0),"")</f>
        <v/>
      </c>
      <c r="CZ352" s="19" t="str">
        <f>IF(DA352&lt;&gt;"",VLOOKUP($P352&amp;" | "&amp;CY$6,'Job Master'!$F$12:$J$102,3,0),"")</f>
        <v/>
      </c>
      <c r="DA352" s="19" t="str">
        <f>IFERROR(IF(AND(DH352&lt;&gt;"",VLOOKUP($P352&amp;" | "&amp;CY$6,'Job Master'!$F$12:$I$102,4,0)&lt;&gt;""),IF(WEEKDAY(DH352-VLOOKUP($P352&amp;" | "&amp;CY$6,'Job Master'!$F$12:$I$102,4,0))&lt;&gt;7,DH352-VLOOKUP($P352&amp;" | "&amp;CY$6,'Job Master'!$F$12:$I$102,4,0),DH352-VLOOKUP($P352&amp;" | "&amp;CY$6,'Job Master'!$F$12:$I$102,4,0)-1),""),"")</f>
        <v/>
      </c>
      <c r="DB352" s="73"/>
      <c r="DC352" s="123" t="str">
        <f t="shared" si="678"/>
        <v/>
      </c>
      <c r="DD352" s="123" t="str">
        <f t="shared" si="679"/>
        <v/>
      </c>
      <c r="DE352" s="97" t="str">
        <f t="shared" ca="1" si="680"/>
        <v/>
      </c>
      <c r="DF352" s="98" t="str">
        <f>IF(DH352&lt;&gt;"",VLOOKUP($P352&amp;" | "&amp;DF$6,'Job Master'!$F$12:$J$102,5,0),"")</f>
        <v/>
      </c>
      <c r="DG352" s="19" t="str">
        <f>IF(DH352&lt;&gt;"",VLOOKUP($P352&amp;" | "&amp;DF$6,'Job Master'!$F$12:$J$102,3,0),"")</f>
        <v/>
      </c>
      <c r="DH352" s="19" t="str">
        <f>IFERROR(IF(AND(DO352&lt;&gt;"",VLOOKUP($P352&amp;" | "&amp;DF$6,'Job Master'!$F$12:$I$102,4,0)&lt;&gt;""),IF(WEEKDAY(DO352-VLOOKUP($P352&amp;" | "&amp;DF$6,'Job Master'!$F$12:$I$102,4,0))&lt;&gt;7,DO352-VLOOKUP($P352&amp;" | "&amp;DF$6,'Job Master'!$F$12:$I$102,4,0),DO352-VLOOKUP($P352&amp;" | "&amp;DF$6,'Job Master'!$F$12:$I$102,4,0)-1),""),"")</f>
        <v/>
      </c>
      <c r="DI352" s="73"/>
      <c r="DJ352" s="123" t="str">
        <f t="shared" si="681"/>
        <v/>
      </c>
      <c r="DK352" s="123" t="str">
        <f t="shared" si="682"/>
        <v/>
      </c>
      <c r="DL352" s="97" t="str">
        <f t="shared" ca="1" si="683"/>
        <v/>
      </c>
      <c r="DM352" s="98" t="str">
        <f>IF(DO352&lt;&gt;"",VLOOKUP($P352&amp;" | "&amp;DM$6,'Job Master'!$F$12:$J$102,5,0),"")</f>
        <v/>
      </c>
      <c r="DN352" s="19" t="str">
        <f>IF(DO352&lt;&gt;"",VLOOKUP($P352&amp;" | "&amp;DM$6,'Job Master'!$F$12:$J$102,3,0),"")</f>
        <v/>
      </c>
      <c r="DO352" s="19" t="str">
        <f>IFERROR(IF(AND(DT352&lt;&gt;"",VLOOKUP($P352&amp;" | "&amp;DM$6,'Job Master'!$F$12:$I$102,4,0)&lt;&gt;""),IF(WEEKDAY(DT352-VLOOKUP($P352&amp;" | "&amp;DM$6,'Job Master'!$F$12:$I$102,4,0))&lt;&gt;7,DT352-VLOOKUP($P352&amp;" | "&amp;DM$6,'Job Master'!$F$12:$I$102,4,0),DT352-VLOOKUP($P352&amp;" | "&amp;DM$6,'Job Master'!$F$12:$I$102,4,0)-1),""),"")</f>
        <v/>
      </c>
      <c r="DP352" s="73"/>
      <c r="DQ352" s="123" t="str">
        <f t="shared" si="684"/>
        <v/>
      </c>
      <c r="DR352" s="123" t="str">
        <f t="shared" si="685"/>
        <v/>
      </c>
      <c r="DS352" s="97" t="str">
        <f t="shared" ca="1" si="686"/>
        <v/>
      </c>
      <c r="DT352" s="70" t="str">
        <f t="shared" si="687"/>
        <v/>
      </c>
      <c r="DU352" s="90"/>
      <c r="DV352" s="123" t="str">
        <f t="shared" si="688"/>
        <v/>
      </c>
      <c r="DW352" s="123" t="str">
        <f t="shared" si="689"/>
        <v/>
      </c>
      <c r="DX352" s="132" t="str">
        <f t="shared" ref="DX352" ca="1" si="723">IF(DT352&lt;&gt;"",IF(WEEKNUM(DT352)=WEEKNUM(TODAY()),"This Week",IF(WEEKNUM(DT352)=WEEKNUM(TODAY())+1,"Next Week",IF(WEEKNUM(DT352)=WEEKNUM(TODAY())-1,"Previous Week",""))),"")</f>
        <v/>
      </c>
      <c r="DY352" s="134" t="str">
        <f t="shared" si="691"/>
        <v/>
      </c>
      <c r="DZ352" s="95"/>
      <c r="EB352" s="8" t="str">
        <f t="shared" si="697"/>
        <v/>
      </c>
      <c r="EC352" s="8" t="str">
        <f>IF(O352&lt;&gt;"",VLOOKUP(O352,'Job Master'!$N$12:$O$18,2,0),"")</f>
        <v/>
      </c>
      <c r="ED352" s="8">
        <f t="shared" si="698"/>
        <v>19.5</v>
      </c>
      <c r="EE352" s="8">
        <f t="shared" si="699"/>
        <v>6</v>
      </c>
      <c r="EF352" s="8">
        <f t="shared" si="700"/>
        <v>-2032.5</v>
      </c>
      <c r="EG352" s="8" t="str">
        <f t="shared" si="701"/>
        <v/>
      </c>
      <c r="EH352" s="8" t="str">
        <f t="shared" si="702"/>
        <v/>
      </c>
    </row>
    <row r="353" spans="2:138" x14ac:dyDescent="0.3">
      <c r="B353" s="112"/>
      <c r="C353" s="27"/>
      <c r="D353" s="7" t="str">
        <f t="shared" si="639"/>
        <v/>
      </c>
      <c r="E353" s="25"/>
      <c r="F353" s="7" t="str">
        <f t="shared" si="639"/>
        <v/>
      </c>
      <c r="G353" s="25"/>
      <c r="H353" s="7" t="str">
        <f t="shared" si="639"/>
        <v/>
      </c>
      <c r="I353" s="25"/>
      <c r="J353" s="7" t="str">
        <f t="shared" si="639"/>
        <v/>
      </c>
      <c r="K353" s="25"/>
      <c r="L353" s="7" t="str">
        <f t="shared" si="640"/>
        <v/>
      </c>
      <c r="M353" s="25"/>
      <c r="N353" s="7" t="str">
        <f t="shared" si="641"/>
        <v/>
      </c>
      <c r="O353" s="81"/>
      <c r="P353" s="81" t="str">
        <f t="shared" si="642"/>
        <v/>
      </c>
      <c r="Q353" s="81"/>
      <c r="R353" s="7" t="str">
        <f t="shared" si="643"/>
        <v/>
      </c>
      <c r="S353" s="25"/>
      <c r="T353" s="7" t="str">
        <f t="shared" si="644"/>
        <v/>
      </c>
      <c r="U353" s="25"/>
      <c r="V353" s="7" t="str">
        <f t="shared" si="645"/>
        <v/>
      </c>
      <c r="W353" s="25"/>
      <c r="X353" s="7" t="str">
        <f t="shared" si="646"/>
        <v/>
      </c>
      <c r="Y353" s="18" t="str">
        <f t="shared" si="647"/>
        <v/>
      </c>
      <c r="Z353" s="7" t="str">
        <f t="shared" si="648"/>
        <v/>
      </c>
      <c r="AA353" s="18" t="str">
        <f t="shared" si="649"/>
        <v/>
      </c>
      <c r="AB353" s="19" t="str">
        <f t="shared" si="650"/>
        <v/>
      </c>
      <c r="AC353" s="26"/>
      <c r="AD353" s="26"/>
      <c r="AE353" s="25"/>
      <c r="AF353" s="26"/>
      <c r="AG353" s="25"/>
      <c r="AH353" s="25"/>
      <c r="AI353" s="18" t="str">
        <f t="shared" si="713"/>
        <v/>
      </c>
      <c r="AJ353" s="25"/>
      <c r="AK353" s="18" t="str">
        <f t="shared" si="714"/>
        <v/>
      </c>
      <c r="AL353" s="79"/>
      <c r="AM353" s="126" t="str">
        <f t="shared" si="715"/>
        <v/>
      </c>
      <c r="AN353" s="128" t="str">
        <f>IF(AP353&lt;&gt;"",VLOOKUP($P353&amp;" | "&amp;AN$6,'Job Master'!$F$12:$J$102,5,0),"")</f>
        <v/>
      </c>
      <c r="AO353" s="19" t="str">
        <f>IF(AP353&lt;&gt;"",VLOOKUP($P353&amp;" | "&amp;AN$6,'Job Master'!$F$12:$J$102,3,0),"")</f>
        <v/>
      </c>
      <c r="AP353" s="19" t="str">
        <f>IFERROR(IF(AND(AW353&lt;&gt;"",VLOOKUP($P353&amp;" | "&amp;AN$6,'Job Master'!$F$12:$I$102,4,0)&lt;&gt;""),IF(WEEKDAY(AW353-VLOOKUP($P353&amp;" | "&amp;AN$6,'Job Master'!$F$12:$I$102,4,0))&lt;&gt;7,AW353-VLOOKUP($P353&amp;" | "&amp;AN$6,'Job Master'!$F$12:$I$102,4,0),AW353-VLOOKUP($P353&amp;" | "&amp;AN$6,'Job Master'!$F$12:$I$102,4,0)-1),""),"")</f>
        <v/>
      </c>
      <c r="AQ353" s="73"/>
      <c r="AR353" s="123" t="str">
        <f t="shared" si="651"/>
        <v/>
      </c>
      <c r="AS353" s="123" t="str">
        <f t="shared" si="652"/>
        <v/>
      </c>
      <c r="AT353" s="97" t="str">
        <f t="shared" ca="1" si="653"/>
        <v/>
      </c>
      <c r="AU353" s="98" t="str">
        <f>IF(AW353&lt;&gt;"",VLOOKUP($P353&amp;" | "&amp;AU$6,'Job Master'!$F$12:$J$102,5,0),"")</f>
        <v/>
      </c>
      <c r="AV353" s="19" t="str">
        <f>IF(AW353&lt;&gt;"",VLOOKUP($P353&amp;" | "&amp;AU$6,'Job Master'!$F$12:$J$102,3,0),"")</f>
        <v/>
      </c>
      <c r="AW353" s="19" t="str">
        <f>IFERROR(IF(AND(BD353&lt;&gt;"",VLOOKUP($P353&amp;" | "&amp;AU$6,'Job Master'!$F$12:$I$102,4,0)&lt;&gt;""),IF(WEEKDAY(BD353-VLOOKUP($P353&amp;" | "&amp;AU$6,'Job Master'!$F$12:$I$102,4,0))&lt;&gt;7,BD353-VLOOKUP($P353&amp;" | "&amp;AU$6,'Job Master'!$F$12:$I$102,4,0),BD353-VLOOKUP($P353&amp;" | "&amp;AU$6,'Job Master'!$F$12:$I$102,4,0)-1),""),"")</f>
        <v/>
      </c>
      <c r="AX353" s="73"/>
      <c r="AY353" s="123" t="str">
        <f t="shared" si="654"/>
        <v/>
      </c>
      <c r="AZ353" s="123" t="str">
        <f t="shared" si="655"/>
        <v/>
      </c>
      <c r="BA353" s="97" t="str">
        <f t="shared" ca="1" si="656"/>
        <v/>
      </c>
      <c r="BB353" s="98" t="str">
        <f>IF(BD353&lt;&gt;"",VLOOKUP($P353&amp;" | "&amp;BB$6,'Job Master'!$F$12:$J$102,5,0),"")</f>
        <v/>
      </c>
      <c r="BC353" s="19" t="str">
        <f>IF(BD353&lt;&gt;"",VLOOKUP($P353&amp;" | "&amp;BB$6,'Job Master'!$F$12:$J$102,3,0),"")</f>
        <v/>
      </c>
      <c r="BD353" s="19" t="str">
        <f>IFERROR(IF(AND(BK353&lt;&gt;"",VLOOKUP($P353&amp;" | "&amp;BB$6,'Job Master'!$F$12:$I$102,4,0)&lt;&gt;""),IF(WEEKDAY(BK353-VLOOKUP($P353&amp;" | "&amp;BB$6,'Job Master'!$F$12:$I$102,4,0))&lt;&gt;7,BK353-VLOOKUP($P353&amp;" | "&amp;BB$6,'Job Master'!$F$12:$I$102,4,0),BK353-VLOOKUP($P353&amp;" | "&amp;BB$6,'Job Master'!$F$12:$I$102,4,0)-1),""),"")</f>
        <v/>
      </c>
      <c r="BE353" s="73"/>
      <c r="BF353" s="123" t="str">
        <f t="shared" si="657"/>
        <v/>
      </c>
      <c r="BG353" s="123" t="str">
        <f t="shared" si="658"/>
        <v/>
      </c>
      <c r="BH353" s="97" t="str">
        <f t="shared" ca="1" si="659"/>
        <v/>
      </c>
      <c r="BI353" s="98" t="str">
        <f>IF(BK353&lt;&gt;"",VLOOKUP($P353&amp;" | "&amp;BI$6,'Job Master'!$F$12:$J$102,5,0),"")</f>
        <v/>
      </c>
      <c r="BJ353" s="19" t="str">
        <f>IF(BK353&lt;&gt;"",VLOOKUP($P353&amp;" | "&amp;BI$6,'Job Master'!$F$12:$J$102,3,0),"")</f>
        <v/>
      </c>
      <c r="BK353" s="19" t="str">
        <f>IFERROR(IF(AND(BR353&lt;&gt;"",VLOOKUP($P353&amp;" | "&amp;BI$6,'Job Master'!$F$12:$I$102,4,0)&lt;&gt;""),IF(WEEKDAY(BR353-VLOOKUP($P353&amp;" | "&amp;BI$6,'Job Master'!$F$12:$I$102,4,0))&lt;&gt;7,BR353-VLOOKUP($P353&amp;" | "&amp;BI$6,'Job Master'!$F$12:$I$102,4,0),BR353-VLOOKUP($P353&amp;" | "&amp;BI$6,'Job Master'!$F$12:$I$102,4,0)-1),""),"")</f>
        <v/>
      </c>
      <c r="BL353" s="73"/>
      <c r="BM353" s="123" t="str">
        <f t="shared" si="660"/>
        <v/>
      </c>
      <c r="BN353" s="123" t="str">
        <f t="shared" si="661"/>
        <v/>
      </c>
      <c r="BO353" s="97" t="str">
        <f t="shared" ca="1" si="662"/>
        <v/>
      </c>
      <c r="BP353" s="98" t="str">
        <f>IF(BR353&lt;&gt;"",VLOOKUP($P353&amp;" | "&amp;BP$6,'Job Master'!$F$12:$J$102,5,0),"")</f>
        <v/>
      </c>
      <c r="BQ353" s="19" t="str">
        <f>IF(BR353&lt;&gt;"",VLOOKUP($P353&amp;" | "&amp;BP$6,'Job Master'!$F$12:$J$102,3,0),"")</f>
        <v/>
      </c>
      <c r="BR353" s="19" t="str">
        <f>IFERROR(IF(AND(BY353&lt;&gt;"",VLOOKUP($P353&amp;" | "&amp;BP$6,'Job Master'!$F$12:$I$102,4,0)&lt;&gt;""),IF(WEEKDAY(BY353-VLOOKUP($P353&amp;" | "&amp;BP$6,'Job Master'!$F$12:$I$102,4,0))&lt;&gt;7,BY353-VLOOKUP($P353&amp;" | "&amp;BP$6,'Job Master'!$F$12:$I$102,4,0),BY353-VLOOKUP($P353&amp;" | "&amp;BP$6,'Job Master'!$F$12:$I$102,4,0)-1),""),"")</f>
        <v/>
      </c>
      <c r="BS353" s="73"/>
      <c r="BT353" s="123" t="str">
        <f t="shared" si="663"/>
        <v/>
      </c>
      <c r="BU353" s="123" t="str">
        <f t="shared" si="664"/>
        <v/>
      </c>
      <c r="BV353" s="97" t="str">
        <f t="shared" ca="1" si="665"/>
        <v/>
      </c>
      <c r="BW353" s="98" t="str">
        <f>IF(BY353&lt;&gt;"",VLOOKUP($P353&amp;" | "&amp;BW$6,'Job Master'!$F$12:$J$102,5,0),"")</f>
        <v/>
      </c>
      <c r="BX353" s="19" t="str">
        <f>IF(BY353&lt;&gt;"",VLOOKUP($P353&amp;" | "&amp;BW$6,'Job Master'!$F$12:$J$102,3,0),"")</f>
        <v/>
      </c>
      <c r="BY353" s="19" t="str">
        <f>IFERROR(IF(AND(CF353&lt;&gt;"",VLOOKUP($P353&amp;" | "&amp;BW$6,'Job Master'!$F$12:$I$102,4,0)&lt;&gt;""),IF(WEEKDAY(CF353-VLOOKUP($P353&amp;" | "&amp;BW$6,'Job Master'!$F$12:$I$102,4,0))&lt;&gt;7,CF353-VLOOKUP($P353&amp;" | "&amp;BW$6,'Job Master'!$F$12:$I$102,4,0),CF353-VLOOKUP($P353&amp;" | "&amp;BW$6,'Job Master'!$F$12:$I$102,4,0)-1),""),"")</f>
        <v/>
      </c>
      <c r="BZ353" s="73"/>
      <c r="CA353" s="123" t="str">
        <f t="shared" si="666"/>
        <v/>
      </c>
      <c r="CB353" s="123" t="str">
        <f t="shared" si="667"/>
        <v/>
      </c>
      <c r="CC353" s="97" t="str">
        <f t="shared" ca="1" si="668"/>
        <v/>
      </c>
      <c r="CD353" s="98" t="str">
        <f>IF(CF353&lt;&gt;"",VLOOKUP($P353&amp;" | "&amp;CD$6,'Job Master'!$F$12:$J$102,5,0),"")</f>
        <v/>
      </c>
      <c r="CE353" s="19" t="str">
        <f>IF(CF353&lt;&gt;"",VLOOKUP($P353&amp;" | "&amp;CD$6,'Job Master'!$F$12:$J$102,3,0),"")</f>
        <v/>
      </c>
      <c r="CF353" s="19" t="str">
        <f>IFERROR(IF(AND(CM353&lt;&gt;"",VLOOKUP($P353&amp;" | "&amp;CD$6,'Job Master'!$F$12:$I$102,4,0)&lt;&gt;""),IF(WEEKDAY(CM353-VLOOKUP($P353&amp;" | "&amp;CD$6,'Job Master'!$F$12:$I$102,4,0))&lt;&gt;7,CM353-VLOOKUP($P353&amp;" | "&amp;CD$6,'Job Master'!$F$12:$I$102,4,0),CM353-VLOOKUP($P353&amp;" | "&amp;CD$6,'Job Master'!$F$12:$I$102,4,0)-1),""),"")</f>
        <v/>
      </c>
      <c r="CG353" s="73"/>
      <c r="CH353" s="123" t="str">
        <f t="shared" si="669"/>
        <v/>
      </c>
      <c r="CI353" s="123" t="str">
        <f t="shared" si="670"/>
        <v/>
      </c>
      <c r="CJ353" s="97" t="str">
        <f t="shared" ca="1" si="671"/>
        <v/>
      </c>
      <c r="CK353" s="98" t="str">
        <f>IF(CM353&lt;&gt;"",VLOOKUP($P353&amp;" | "&amp;CK$6,'Job Master'!$F$12:$J$102,5,0),"")</f>
        <v/>
      </c>
      <c r="CL353" s="19" t="str">
        <f>IF(CM353&lt;&gt;"",VLOOKUP($P353&amp;" | "&amp;CK$6,'Job Master'!$F$12:$J$102,3,0),"")</f>
        <v/>
      </c>
      <c r="CM353" s="19" t="str">
        <f>IFERROR(IF(AND(CT353&lt;&gt;"",VLOOKUP($P353&amp;" | "&amp;CK$6,'Job Master'!$F$12:$I$102,4,0)&lt;&gt;""),IF(WEEKDAY(CT353-VLOOKUP($P353&amp;" | "&amp;CK$6,'Job Master'!$F$12:$I$102,4,0))&lt;&gt;7,CT353-VLOOKUP($P353&amp;" | "&amp;CK$6,'Job Master'!$F$12:$I$102,4,0),CT353-VLOOKUP($P353&amp;" | "&amp;CK$6,'Job Master'!$F$12:$I$102,4,0)-1),""),"")</f>
        <v/>
      </c>
      <c r="CN353" s="73"/>
      <c r="CO353" s="123" t="str">
        <f t="shared" si="672"/>
        <v/>
      </c>
      <c r="CP353" s="123" t="str">
        <f t="shared" si="673"/>
        <v/>
      </c>
      <c r="CQ353" s="97" t="str">
        <f t="shared" ca="1" si="674"/>
        <v/>
      </c>
      <c r="CR353" s="98" t="str">
        <f>IF(CT353&lt;&gt;"",VLOOKUP($P353&amp;" | "&amp;CR$6,'Job Master'!$F$12:$J$102,5,0),"")</f>
        <v/>
      </c>
      <c r="CS353" s="19" t="str">
        <f>IF(CT353&lt;&gt;"",VLOOKUP($P353&amp;" | "&amp;CR$6,'Job Master'!$F$12:$J$102,3,0),"")</f>
        <v/>
      </c>
      <c r="CT353" s="19" t="str">
        <f>IFERROR(IF(AND(DA353&lt;&gt;"",VLOOKUP($P353&amp;" | "&amp;CR$6,'Job Master'!$F$12:$I$102,4,0)&lt;&gt;""),IF(WEEKDAY(DA353-VLOOKUP($P353&amp;" | "&amp;CR$6,'Job Master'!$F$12:$I$102,4,0))&lt;&gt;7,DA353-VLOOKUP($P353&amp;" | "&amp;CR$6,'Job Master'!$F$12:$I$102,4,0),DA353-VLOOKUP($P353&amp;" | "&amp;CR$6,'Job Master'!$F$12:$I$102,4,0)-1),""),"")</f>
        <v/>
      </c>
      <c r="CU353" s="73"/>
      <c r="CV353" s="123" t="str">
        <f t="shared" si="675"/>
        <v/>
      </c>
      <c r="CW353" s="123" t="str">
        <f t="shared" si="676"/>
        <v/>
      </c>
      <c r="CX353" s="97" t="str">
        <f t="shared" ca="1" si="677"/>
        <v/>
      </c>
      <c r="CY353" s="98" t="str">
        <f>IF(DA353&lt;&gt;"",VLOOKUP($P353&amp;" | "&amp;CY$6,'Job Master'!$F$12:$J$102,5,0),"")</f>
        <v/>
      </c>
      <c r="CZ353" s="19" t="str">
        <f>IF(DA353&lt;&gt;"",VLOOKUP($P353&amp;" | "&amp;CY$6,'Job Master'!$F$12:$J$102,3,0),"")</f>
        <v/>
      </c>
      <c r="DA353" s="19" t="str">
        <f>IFERROR(IF(AND(DH353&lt;&gt;"",VLOOKUP($P353&amp;" | "&amp;CY$6,'Job Master'!$F$12:$I$102,4,0)&lt;&gt;""),IF(WEEKDAY(DH353-VLOOKUP($P353&amp;" | "&amp;CY$6,'Job Master'!$F$12:$I$102,4,0))&lt;&gt;7,DH353-VLOOKUP($P353&amp;" | "&amp;CY$6,'Job Master'!$F$12:$I$102,4,0),DH353-VLOOKUP($P353&amp;" | "&amp;CY$6,'Job Master'!$F$12:$I$102,4,0)-1),""),"")</f>
        <v/>
      </c>
      <c r="DB353" s="73"/>
      <c r="DC353" s="123" t="str">
        <f t="shared" si="678"/>
        <v/>
      </c>
      <c r="DD353" s="123" t="str">
        <f t="shared" si="679"/>
        <v/>
      </c>
      <c r="DE353" s="97" t="str">
        <f t="shared" ca="1" si="680"/>
        <v/>
      </c>
      <c r="DF353" s="98" t="str">
        <f>IF(DH353&lt;&gt;"",VLOOKUP($P353&amp;" | "&amp;DF$6,'Job Master'!$F$12:$J$102,5,0),"")</f>
        <v/>
      </c>
      <c r="DG353" s="19" t="str">
        <f>IF(DH353&lt;&gt;"",VLOOKUP($P353&amp;" | "&amp;DF$6,'Job Master'!$F$12:$J$102,3,0),"")</f>
        <v/>
      </c>
      <c r="DH353" s="19" t="str">
        <f>IFERROR(IF(AND(DO353&lt;&gt;"",VLOOKUP($P353&amp;" | "&amp;DF$6,'Job Master'!$F$12:$I$102,4,0)&lt;&gt;""),IF(WEEKDAY(DO353-VLOOKUP($P353&amp;" | "&amp;DF$6,'Job Master'!$F$12:$I$102,4,0))&lt;&gt;7,DO353-VLOOKUP($P353&amp;" | "&amp;DF$6,'Job Master'!$F$12:$I$102,4,0),DO353-VLOOKUP($P353&amp;" | "&amp;DF$6,'Job Master'!$F$12:$I$102,4,0)-1),""),"")</f>
        <v/>
      </c>
      <c r="DI353" s="73"/>
      <c r="DJ353" s="123" t="str">
        <f t="shared" si="681"/>
        <v/>
      </c>
      <c r="DK353" s="123" t="str">
        <f t="shared" si="682"/>
        <v/>
      </c>
      <c r="DL353" s="97" t="str">
        <f t="shared" ca="1" si="683"/>
        <v/>
      </c>
      <c r="DM353" s="98" t="str">
        <f>IF(DO353&lt;&gt;"",VLOOKUP($P353&amp;" | "&amp;DM$6,'Job Master'!$F$12:$J$102,5,0),"")</f>
        <v/>
      </c>
      <c r="DN353" s="19" t="str">
        <f>IF(DO353&lt;&gt;"",VLOOKUP($P353&amp;" | "&amp;DM$6,'Job Master'!$F$12:$J$102,3,0),"")</f>
        <v/>
      </c>
      <c r="DO353" s="19" t="str">
        <f>IFERROR(IF(AND(DT353&lt;&gt;"",VLOOKUP($P353&amp;" | "&amp;DM$6,'Job Master'!$F$12:$I$102,4,0)&lt;&gt;""),IF(WEEKDAY(DT353-VLOOKUP($P353&amp;" | "&amp;DM$6,'Job Master'!$F$12:$I$102,4,0))&lt;&gt;7,DT353-VLOOKUP($P353&amp;" | "&amp;DM$6,'Job Master'!$F$12:$I$102,4,0),DT353-VLOOKUP($P353&amp;" | "&amp;DM$6,'Job Master'!$F$12:$I$102,4,0)-1),""),"")</f>
        <v/>
      </c>
      <c r="DP353" s="73"/>
      <c r="DQ353" s="123" t="str">
        <f t="shared" si="684"/>
        <v/>
      </c>
      <c r="DR353" s="123" t="str">
        <f t="shared" si="685"/>
        <v/>
      </c>
      <c r="DS353" s="97" t="str">
        <f t="shared" ca="1" si="686"/>
        <v/>
      </c>
      <c r="DT353" s="70" t="str">
        <f t="shared" si="687"/>
        <v/>
      </c>
      <c r="DU353" s="90"/>
      <c r="DV353" s="123" t="str">
        <f t="shared" si="688"/>
        <v/>
      </c>
      <c r="DW353" s="123" t="str">
        <f t="shared" si="689"/>
        <v/>
      </c>
      <c r="DX353" s="132" t="str">
        <f t="shared" ref="DX353" ca="1" si="724">IF(DT353&lt;&gt;"",IF(WEEKNUM(DT353)=WEEKNUM(TODAY()),"This Week",IF(WEEKNUM(DT353)=WEEKNUM(TODAY())+1,"Next Week",IF(WEEKNUM(DT353)=WEEKNUM(TODAY())-1,"Previous Week",""))),"")</f>
        <v/>
      </c>
      <c r="DY353" s="134" t="str">
        <f t="shared" si="691"/>
        <v/>
      </c>
      <c r="DZ353" s="95"/>
      <c r="EB353" s="8" t="str">
        <f t="shared" si="697"/>
        <v/>
      </c>
      <c r="EC353" s="8" t="str">
        <f>IF(O353&lt;&gt;"",VLOOKUP(O353,'Job Master'!$N$12:$O$18,2,0),"")</f>
        <v/>
      </c>
      <c r="ED353" s="8">
        <f t="shared" si="698"/>
        <v>19.5</v>
      </c>
      <c r="EE353" s="8">
        <f t="shared" si="699"/>
        <v>6</v>
      </c>
      <c r="EF353" s="8">
        <f t="shared" si="700"/>
        <v>-2038.5</v>
      </c>
      <c r="EG353" s="8" t="str">
        <f t="shared" si="701"/>
        <v/>
      </c>
      <c r="EH353" s="8" t="str">
        <f t="shared" si="702"/>
        <v/>
      </c>
    </row>
    <row r="354" spans="2:138" x14ac:dyDescent="0.3">
      <c r="B354" s="112"/>
      <c r="C354" s="27"/>
      <c r="D354" s="7" t="str">
        <f t="shared" si="639"/>
        <v/>
      </c>
      <c r="E354" s="25"/>
      <c r="F354" s="7" t="str">
        <f t="shared" si="639"/>
        <v/>
      </c>
      <c r="G354" s="25"/>
      <c r="H354" s="7" t="str">
        <f t="shared" si="639"/>
        <v/>
      </c>
      <c r="I354" s="25"/>
      <c r="J354" s="7" t="str">
        <f t="shared" si="639"/>
        <v/>
      </c>
      <c r="K354" s="25"/>
      <c r="L354" s="7" t="str">
        <f t="shared" si="640"/>
        <v/>
      </c>
      <c r="M354" s="25"/>
      <c r="N354" s="7" t="str">
        <f t="shared" si="641"/>
        <v/>
      </c>
      <c r="O354" s="81"/>
      <c r="P354" s="81" t="str">
        <f t="shared" si="642"/>
        <v/>
      </c>
      <c r="Q354" s="81"/>
      <c r="R354" s="7" t="str">
        <f t="shared" si="643"/>
        <v/>
      </c>
      <c r="S354" s="25"/>
      <c r="T354" s="7" t="str">
        <f t="shared" si="644"/>
        <v/>
      </c>
      <c r="U354" s="25"/>
      <c r="V354" s="7" t="str">
        <f t="shared" si="645"/>
        <v/>
      </c>
      <c r="W354" s="25"/>
      <c r="X354" s="7" t="str">
        <f t="shared" si="646"/>
        <v/>
      </c>
      <c r="Y354" s="18" t="str">
        <f t="shared" si="647"/>
        <v/>
      </c>
      <c r="Z354" s="7" t="str">
        <f t="shared" si="648"/>
        <v/>
      </c>
      <c r="AA354" s="18" t="str">
        <f t="shared" si="649"/>
        <v/>
      </c>
      <c r="AB354" s="19" t="str">
        <f t="shared" si="650"/>
        <v/>
      </c>
      <c r="AC354" s="26"/>
      <c r="AD354" s="26"/>
      <c r="AE354" s="25"/>
      <c r="AF354" s="26"/>
      <c r="AG354" s="25"/>
      <c r="AH354" s="25"/>
      <c r="AI354" s="18" t="str">
        <f t="shared" si="713"/>
        <v/>
      </c>
      <c r="AJ354" s="25"/>
      <c r="AK354" s="18" t="str">
        <f t="shared" si="714"/>
        <v/>
      </c>
      <c r="AL354" s="79"/>
      <c r="AM354" s="126" t="str">
        <f t="shared" si="715"/>
        <v/>
      </c>
      <c r="AN354" s="128" t="str">
        <f>IF(AP354&lt;&gt;"",VLOOKUP($P354&amp;" | "&amp;AN$6,'Job Master'!$F$12:$J$102,5,0),"")</f>
        <v/>
      </c>
      <c r="AO354" s="19" t="str">
        <f>IF(AP354&lt;&gt;"",VLOOKUP($P354&amp;" | "&amp;AN$6,'Job Master'!$F$12:$J$102,3,0),"")</f>
        <v/>
      </c>
      <c r="AP354" s="19" t="str">
        <f>IFERROR(IF(AND(AW354&lt;&gt;"",VLOOKUP($P354&amp;" | "&amp;AN$6,'Job Master'!$F$12:$I$102,4,0)&lt;&gt;""),IF(WEEKDAY(AW354-VLOOKUP($P354&amp;" | "&amp;AN$6,'Job Master'!$F$12:$I$102,4,0))&lt;&gt;7,AW354-VLOOKUP($P354&amp;" | "&amp;AN$6,'Job Master'!$F$12:$I$102,4,0),AW354-VLOOKUP($P354&amp;" | "&amp;AN$6,'Job Master'!$F$12:$I$102,4,0)-1),""),"")</f>
        <v/>
      </c>
      <c r="AQ354" s="73"/>
      <c r="AR354" s="123" t="str">
        <f t="shared" si="651"/>
        <v/>
      </c>
      <c r="AS354" s="123" t="str">
        <f t="shared" si="652"/>
        <v/>
      </c>
      <c r="AT354" s="97" t="str">
        <f t="shared" ca="1" si="653"/>
        <v/>
      </c>
      <c r="AU354" s="98" t="str">
        <f>IF(AW354&lt;&gt;"",VLOOKUP($P354&amp;" | "&amp;AU$6,'Job Master'!$F$12:$J$102,5,0),"")</f>
        <v/>
      </c>
      <c r="AV354" s="19" t="str">
        <f>IF(AW354&lt;&gt;"",VLOOKUP($P354&amp;" | "&amp;AU$6,'Job Master'!$F$12:$J$102,3,0),"")</f>
        <v/>
      </c>
      <c r="AW354" s="19" t="str">
        <f>IFERROR(IF(AND(BD354&lt;&gt;"",VLOOKUP($P354&amp;" | "&amp;AU$6,'Job Master'!$F$12:$I$102,4,0)&lt;&gt;""),IF(WEEKDAY(BD354-VLOOKUP($P354&amp;" | "&amp;AU$6,'Job Master'!$F$12:$I$102,4,0))&lt;&gt;7,BD354-VLOOKUP($P354&amp;" | "&amp;AU$6,'Job Master'!$F$12:$I$102,4,0),BD354-VLOOKUP($P354&amp;" | "&amp;AU$6,'Job Master'!$F$12:$I$102,4,0)-1),""),"")</f>
        <v/>
      </c>
      <c r="AX354" s="73"/>
      <c r="AY354" s="123" t="str">
        <f t="shared" si="654"/>
        <v/>
      </c>
      <c r="AZ354" s="123" t="str">
        <f t="shared" si="655"/>
        <v/>
      </c>
      <c r="BA354" s="97" t="str">
        <f t="shared" ca="1" si="656"/>
        <v/>
      </c>
      <c r="BB354" s="98" t="str">
        <f>IF(BD354&lt;&gt;"",VLOOKUP($P354&amp;" | "&amp;BB$6,'Job Master'!$F$12:$J$102,5,0),"")</f>
        <v/>
      </c>
      <c r="BC354" s="19" t="str">
        <f>IF(BD354&lt;&gt;"",VLOOKUP($P354&amp;" | "&amp;BB$6,'Job Master'!$F$12:$J$102,3,0),"")</f>
        <v/>
      </c>
      <c r="BD354" s="19" t="str">
        <f>IFERROR(IF(AND(BK354&lt;&gt;"",VLOOKUP($P354&amp;" | "&amp;BB$6,'Job Master'!$F$12:$I$102,4,0)&lt;&gt;""),IF(WEEKDAY(BK354-VLOOKUP($P354&amp;" | "&amp;BB$6,'Job Master'!$F$12:$I$102,4,0))&lt;&gt;7,BK354-VLOOKUP($P354&amp;" | "&amp;BB$6,'Job Master'!$F$12:$I$102,4,0),BK354-VLOOKUP($P354&amp;" | "&amp;BB$6,'Job Master'!$F$12:$I$102,4,0)-1),""),"")</f>
        <v/>
      </c>
      <c r="BE354" s="73"/>
      <c r="BF354" s="123" t="str">
        <f t="shared" si="657"/>
        <v/>
      </c>
      <c r="BG354" s="123" t="str">
        <f t="shared" si="658"/>
        <v/>
      </c>
      <c r="BH354" s="97" t="str">
        <f t="shared" ca="1" si="659"/>
        <v/>
      </c>
      <c r="BI354" s="98" t="str">
        <f>IF(BK354&lt;&gt;"",VLOOKUP($P354&amp;" | "&amp;BI$6,'Job Master'!$F$12:$J$102,5,0),"")</f>
        <v/>
      </c>
      <c r="BJ354" s="19" t="str">
        <f>IF(BK354&lt;&gt;"",VLOOKUP($P354&amp;" | "&amp;BI$6,'Job Master'!$F$12:$J$102,3,0),"")</f>
        <v/>
      </c>
      <c r="BK354" s="19" t="str">
        <f>IFERROR(IF(AND(BR354&lt;&gt;"",VLOOKUP($P354&amp;" | "&amp;BI$6,'Job Master'!$F$12:$I$102,4,0)&lt;&gt;""),IF(WEEKDAY(BR354-VLOOKUP($P354&amp;" | "&amp;BI$6,'Job Master'!$F$12:$I$102,4,0))&lt;&gt;7,BR354-VLOOKUP($P354&amp;" | "&amp;BI$6,'Job Master'!$F$12:$I$102,4,0),BR354-VLOOKUP($P354&amp;" | "&amp;BI$6,'Job Master'!$F$12:$I$102,4,0)-1),""),"")</f>
        <v/>
      </c>
      <c r="BL354" s="73"/>
      <c r="BM354" s="123" t="str">
        <f t="shared" si="660"/>
        <v/>
      </c>
      <c r="BN354" s="123" t="str">
        <f t="shared" si="661"/>
        <v/>
      </c>
      <c r="BO354" s="97" t="str">
        <f t="shared" ca="1" si="662"/>
        <v/>
      </c>
      <c r="BP354" s="98" t="str">
        <f>IF(BR354&lt;&gt;"",VLOOKUP($P354&amp;" | "&amp;BP$6,'Job Master'!$F$12:$J$102,5,0),"")</f>
        <v/>
      </c>
      <c r="BQ354" s="19" t="str">
        <f>IF(BR354&lt;&gt;"",VLOOKUP($P354&amp;" | "&amp;BP$6,'Job Master'!$F$12:$J$102,3,0),"")</f>
        <v/>
      </c>
      <c r="BR354" s="19" t="str">
        <f>IFERROR(IF(AND(BY354&lt;&gt;"",VLOOKUP($P354&amp;" | "&amp;BP$6,'Job Master'!$F$12:$I$102,4,0)&lt;&gt;""),IF(WEEKDAY(BY354-VLOOKUP($P354&amp;" | "&amp;BP$6,'Job Master'!$F$12:$I$102,4,0))&lt;&gt;7,BY354-VLOOKUP($P354&amp;" | "&amp;BP$6,'Job Master'!$F$12:$I$102,4,0),BY354-VLOOKUP($P354&amp;" | "&amp;BP$6,'Job Master'!$F$12:$I$102,4,0)-1),""),"")</f>
        <v/>
      </c>
      <c r="BS354" s="73"/>
      <c r="BT354" s="123" t="str">
        <f t="shared" si="663"/>
        <v/>
      </c>
      <c r="BU354" s="123" t="str">
        <f t="shared" si="664"/>
        <v/>
      </c>
      <c r="BV354" s="97" t="str">
        <f t="shared" ca="1" si="665"/>
        <v/>
      </c>
      <c r="BW354" s="98" t="str">
        <f>IF(BY354&lt;&gt;"",VLOOKUP($P354&amp;" | "&amp;BW$6,'Job Master'!$F$12:$J$102,5,0),"")</f>
        <v/>
      </c>
      <c r="BX354" s="19" t="str">
        <f>IF(BY354&lt;&gt;"",VLOOKUP($P354&amp;" | "&amp;BW$6,'Job Master'!$F$12:$J$102,3,0),"")</f>
        <v/>
      </c>
      <c r="BY354" s="19" t="str">
        <f>IFERROR(IF(AND(CF354&lt;&gt;"",VLOOKUP($P354&amp;" | "&amp;BW$6,'Job Master'!$F$12:$I$102,4,0)&lt;&gt;""),IF(WEEKDAY(CF354-VLOOKUP($P354&amp;" | "&amp;BW$6,'Job Master'!$F$12:$I$102,4,0))&lt;&gt;7,CF354-VLOOKUP($P354&amp;" | "&amp;BW$6,'Job Master'!$F$12:$I$102,4,0),CF354-VLOOKUP($P354&amp;" | "&amp;BW$6,'Job Master'!$F$12:$I$102,4,0)-1),""),"")</f>
        <v/>
      </c>
      <c r="BZ354" s="73"/>
      <c r="CA354" s="123" t="str">
        <f t="shared" si="666"/>
        <v/>
      </c>
      <c r="CB354" s="123" t="str">
        <f t="shared" si="667"/>
        <v/>
      </c>
      <c r="CC354" s="97" t="str">
        <f t="shared" ca="1" si="668"/>
        <v/>
      </c>
      <c r="CD354" s="98" t="str">
        <f>IF(CF354&lt;&gt;"",VLOOKUP($P354&amp;" | "&amp;CD$6,'Job Master'!$F$12:$J$102,5,0),"")</f>
        <v/>
      </c>
      <c r="CE354" s="19" t="str">
        <f>IF(CF354&lt;&gt;"",VLOOKUP($P354&amp;" | "&amp;CD$6,'Job Master'!$F$12:$J$102,3,0),"")</f>
        <v/>
      </c>
      <c r="CF354" s="19" t="str">
        <f>IFERROR(IF(AND(CM354&lt;&gt;"",VLOOKUP($P354&amp;" | "&amp;CD$6,'Job Master'!$F$12:$I$102,4,0)&lt;&gt;""),IF(WEEKDAY(CM354-VLOOKUP($P354&amp;" | "&amp;CD$6,'Job Master'!$F$12:$I$102,4,0))&lt;&gt;7,CM354-VLOOKUP($P354&amp;" | "&amp;CD$6,'Job Master'!$F$12:$I$102,4,0),CM354-VLOOKUP($P354&amp;" | "&amp;CD$6,'Job Master'!$F$12:$I$102,4,0)-1),""),"")</f>
        <v/>
      </c>
      <c r="CG354" s="73"/>
      <c r="CH354" s="123" t="str">
        <f t="shared" si="669"/>
        <v/>
      </c>
      <c r="CI354" s="123" t="str">
        <f t="shared" si="670"/>
        <v/>
      </c>
      <c r="CJ354" s="97" t="str">
        <f t="shared" ca="1" si="671"/>
        <v/>
      </c>
      <c r="CK354" s="98" t="str">
        <f>IF(CM354&lt;&gt;"",VLOOKUP($P354&amp;" | "&amp;CK$6,'Job Master'!$F$12:$J$102,5,0),"")</f>
        <v/>
      </c>
      <c r="CL354" s="19" t="str">
        <f>IF(CM354&lt;&gt;"",VLOOKUP($P354&amp;" | "&amp;CK$6,'Job Master'!$F$12:$J$102,3,0),"")</f>
        <v/>
      </c>
      <c r="CM354" s="19" t="str">
        <f>IFERROR(IF(AND(CT354&lt;&gt;"",VLOOKUP($P354&amp;" | "&amp;CK$6,'Job Master'!$F$12:$I$102,4,0)&lt;&gt;""),IF(WEEKDAY(CT354-VLOOKUP($P354&amp;" | "&amp;CK$6,'Job Master'!$F$12:$I$102,4,0))&lt;&gt;7,CT354-VLOOKUP($P354&amp;" | "&amp;CK$6,'Job Master'!$F$12:$I$102,4,0),CT354-VLOOKUP($P354&amp;" | "&amp;CK$6,'Job Master'!$F$12:$I$102,4,0)-1),""),"")</f>
        <v/>
      </c>
      <c r="CN354" s="73"/>
      <c r="CO354" s="123" t="str">
        <f t="shared" si="672"/>
        <v/>
      </c>
      <c r="CP354" s="123" t="str">
        <f t="shared" si="673"/>
        <v/>
      </c>
      <c r="CQ354" s="97" t="str">
        <f t="shared" ca="1" si="674"/>
        <v/>
      </c>
      <c r="CR354" s="98" t="str">
        <f>IF(CT354&lt;&gt;"",VLOOKUP($P354&amp;" | "&amp;CR$6,'Job Master'!$F$12:$J$102,5,0),"")</f>
        <v/>
      </c>
      <c r="CS354" s="19" t="str">
        <f>IF(CT354&lt;&gt;"",VLOOKUP($P354&amp;" | "&amp;CR$6,'Job Master'!$F$12:$J$102,3,0),"")</f>
        <v/>
      </c>
      <c r="CT354" s="19" t="str">
        <f>IFERROR(IF(AND(DA354&lt;&gt;"",VLOOKUP($P354&amp;" | "&amp;CR$6,'Job Master'!$F$12:$I$102,4,0)&lt;&gt;""),IF(WEEKDAY(DA354-VLOOKUP($P354&amp;" | "&amp;CR$6,'Job Master'!$F$12:$I$102,4,0))&lt;&gt;7,DA354-VLOOKUP($P354&amp;" | "&amp;CR$6,'Job Master'!$F$12:$I$102,4,0),DA354-VLOOKUP($P354&amp;" | "&amp;CR$6,'Job Master'!$F$12:$I$102,4,0)-1),""),"")</f>
        <v/>
      </c>
      <c r="CU354" s="73"/>
      <c r="CV354" s="123" t="str">
        <f t="shared" si="675"/>
        <v/>
      </c>
      <c r="CW354" s="123" t="str">
        <f t="shared" si="676"/>
        <v/>
      </c>
      <c r="CX354" s="97" t="str">
        <f t="shared" ca="1" si="677"/>
        <v/>
      </c>
      <c r="CY354" s="98" t="str">
        <f>IF(DA354&lt;&gt;"",VLOOKUP($P354&amp;" | "&amp;CY$6,'Job Master'!$F$12:$J$102,5,0),"")</f>
        <v/>
      </c>
      <c r="CZ354" s="19" t="str">
        <f>IF(DA354&lt;&gt;"",VLOOKUP($P354&amp;" | "&amp;CY$6,'Job Master'!$F$12:$J$102,3,0),"")</f>
        <v/>
      </c>
      <c r="DA354" s="19" t="str">
        <f>IFERROR(IF(AND(DH354&lt;&gt;"",VLOOKUP($P354&amp;" | "&amp;CY$6,'Job Master'!$F$12:$I$102,4,0)&lt;&gt;""),IF(WEEKDAY(DH354-VLOOKUP($P354&amp;" | "&amp;CY$6,'Job Master'!$F$12:$I$102,4,0))&lt;&gt;7,DH354-VLOOKUP($P354&amp;" | "&amp;CY$6,'Job Master'!$F$12:$I$102,4,0),DH354-VLOOKUP($P354&amp;" | "&amp;CY$6,'Job Master'!$F$12:$I$102,4,0)-1),""),"")</f>
        <v/>
      </c>
      <c r="DB354" s="73"/>
      <c r="DC354" s="123" t="str">
        <f t="shared" si="678"/>
        <v/>
      </c>
      <c r="DD354" s="123" t="str">
        <f t="shared" si="679"/>
        <v/>
      </c>
      <c r="DE354" s="97" t="str">
        <f t="shared" ca="1" si="680"/>
        <v/>
      </c>
      <c r="DF354" s="98" t="str">
        <f>IF(DH354&lt;&gt;"",VLOOKUP($P354&amp;" | "&amp;DF$6,'Job Master'!$F$12:$J$102,5,0),"")</f>
        <v/>
      </c>
      <c r="DG354" s="19" t="str">
        <f>IF(DH354&lt;&gt;"",VLOOKUP($P354&amp;" | "&amp;DF$6,'Job Master'!$F$12:$J$102,3,0),"")</f>
        <v/>
      </c>
      <c r="DH354" s="19" t="str">
        <f>IFERROR(IF(AND(DO354&lt;&gt;"",VLOOKUP($P354&amp;" | "&amp;DF$6,'Job Master'!$F$12:$I$102,4,0)&lt;&gt;""),IF(WEEKDAY(DO354-VLOOKUP($P354&amp;" | "&amp;DF$6,'Job Master'!$F$12:$I$102,4,0))&lt;&gt;7,DO354-VLOOKUP($P354&amp;" | "&amp;DF$6,'Job Master'!$F$12:$I$102,4,0),DO354-VLOOKUP($P354&amp;" | "&amp;DF$6,'Job Master'!$F$12:$I$102,4,0)-1),""),"")</f>
        <v/>
      </c>
      <c r="DI354" s="73"/>
      <c r="DJ354" s="123" t="str">
        <f t="shared" si="681"/>
        <v/>
      </c>
      <c r="DK354" s="123" t="str">
        <f t="shared" si="682"/>
        <v/>
      </c>
      <c r="DL354" s="97" t="str">
        <f t="shared" ca="1" si="683"/>
        <v/>
      </c>
      <c r="DM354" s="98" t="str">
        <f>IF(DO354&lt;&gt;"",VLOOKUP($P354&amp;" | "&amp;DM$6,'Job Master'!$F$12:$J$102,5,0),"")</f>
        <v/>
      </c>
      <c r="DN354" s="19" t="str">
        <f>IF(DO354&lt;&gt;"",VLOOKUP($P354&amp;" | "&amp;DM$6,'Job Master'!$F$12:$J$102,3,0),"")</f>
        <v/>
      </c>
      <c r="DO354" s="19" t="str">
        <f>IFERROR(IF(AND(DT354&lt;&gt;"",VLOOKUP($P354&amp;" | "&amp;DM$6,'Job Master'!$F$12:$I$102,4,0)&lt;&gt;""),IF(WEEKDAY(DT354-VLOOKUP($P354&amp;" | "&amp;DM$6,'Job Master'!$F$12:$I$102,4,0))&lt;&gt;7,DT354-VLOOKUP($P354&amp;" | "&amp;DM$6,'Job Master'!$F$12:$I$102,4,0),DT354-VLOOKUP($P354&amp;" | "&amp;DM$6,'Job Master'!$F$12:$I$102,4,0)-1),""),"")</f>
        <v/>
      </c>
      <c r="DP354" s="73"/>
      <c r="DQ354" s="123" t="str">
        <f t="shared" si="684"/>
        <v/>
      </c>
      <c r="DR354" s="123" t="str">
        <f t="shared" si="685"/>
        <v/>
      </c>
      <c r="DS354" s="97" t="str">
        <f t="shared" ca="1" si="686"/>
        <v/>
      </c>
      <c r="DT354" s="70" t="str">
        <f t="shared" si="687"/>
        <v/>
      </c>
      <c r="DU354" s="90"/>
      <c r="DV354" s="123" t="str">
        <f t="shared" si="688"/>
        <v/>
      </c>
      <c r="DW354" s="123" t="str">
        <f t="shared" si="689"/>
        <v/>
      </c>
      <c r="DX354" s="132" t="str">
        <f t="shared" ref="DX354" ca="1" si="725">IF(DT354&lt;&gt;"",IF(WEEKNUM(DT354)=WEEKNUM(TODAY()),"This Week",IF(WEEKNUM(DT354)=WEEKNUM(TODAY())+1,"Next Week",IF(WEEKNUM(DT354)=WEEKNUM(TODAY())-1,"Previous Week",""))),"")</f>
        <v/>
      </c>
      <c r="DY354" s="134" t="str">
        <f t="shared" si="691"/>
        <v/>
      </c>
      <c r="DZ354" s="95"/>
      <c r="EB354" s="8" t="str">
        <f t="shared" si="697"/>
        <v/>
      </c>
      <c r="EC354" s="8" t="str">
        <f>IF(O354&lt;&gt;"",VLOOKUP(O354,'Job Master'!$N$12:$O$18,2,0),"")</f>
        <v/>
      </c>
      <c r="ED354" s="8">
        <f t="shared" si="698"/>
        <v>19.5</v>
      </c>
      <c r="EE354" s="8">
        <f t="shared" si="699"/>
        <v>6</v>
      </c>
      <c r="EF354" s="8">
        <f t="shared" si="700"/>
        <v>-2044.5</v>
      </c>
      <c r="EG354" s="8" t="str">
        <f t="shared" si="701"/>
        <v/>
      </c>
      <c r="EH354" s="8" t="str">
        <f t="shared" si="702"/>
        <v/>
      </c>
    </row>
    <row r="355" spans="2:138" x14ac:dyDescent="0.3">
      <c r="B355" s="112"/>
      <c r="C355" s="27"/>
      <c r="D355" s="7" t="str">
        <f t="shared" si="639"/>
        <v/>
      </c>
      <c r="E355" s="25"/>
      <c r="F355" s="7" t="str">
        <f t="shared" si="639"/>
        <v/>
      </c>
      <c r="G355" s="25"/>
      <c r="H355" s="7" t="str">
        <f t="shared" si="639"/>
        <v/>
      </c>
      <c r="I355" s="25"/>
      <c r="J355" s="7" t="str">
        <f t="shared" si="639"/>
        <v/>
      </c>
      <c r="K355" s="25"/>
      <c r="L355" s="7" t="str">
        <f t="shared" si="640"/>
        <v/>
      </c>
      <c r="M355" s="25"/>
      <c r="N355" s="7" t="str">
        <f t="shared" si="641"/>
        <v/>
      </c>
      <c r="O355" s="81"/>
      <c r="P355" s="81" t="str">
        <f t="shared" si="642"/>
        <v/>
      </c>
      <c r="Q355" s="81"/>
      <c r="R355" s="7" t="str">
        <f t="shared" si="643"/>
        <v/>
      </c>
      <c r="S355" s="25"/>
      <c r="T355" s="7" t="str">
        <f t="shared" si="644"/>
        <v/>
      </c>
      <c r="U355" s="25"/>
      <c r="V355" s="7" t="str">
        <f t="shared" si="645"/>
        <v/>
      </c>
      <c r="W355" s="25"/>
      <c r="X355" s="7" t="str">
        <f t="shared" si="646"/>
        <v/>
      </c>
      <c r="Y355" s="18" t="str">
        <f t="shared" si="647"/>
        <v/>
      </c>
      <c r="Z355" s="7" t="str">
        <f t="shared" si="648"/>
        <v/>
      </c>
      <c r="AA355" s="18" t="str">
        <f t="shared" si="649"/>
        <v/>
      </c>
      <c r="AB355" s="19" t="str">
        <f t="shared" si="650"/>
        <v/>
      </c>
      <c r="AC355" s="26"/>
      <c r="AD355" s="26"/>
      <c r="AE355" s="25"/>
      <c r="AF355" s="26"/>
      <c r="AG355" s="25"/>
      <c r="AH355" s="25"/>
      <c r="AI355" s="18" t="str">
        <f t="shared" si="713"/>
        <v/>
      </c>
      <c r="AJ355" s="25"/>
      <c r="AK355" s="18" t="str">
        <f t="shared" si="714"/>
        <v/>
      </c>
      <c r="AL355" s="79"/>
      <c r="AM355" s="126" t="str">
        <f t="shared" si="715"/>
        <v/>
      </c>
      <c r="AN355" s="128" t="str">
        <f>IF(AP355&lt;&gt;"",VLOOKUP($P355&amp;" | "&amp;AN$6,'Job Master'!$F$12:$J$102,5,0),"")</f>
        <v/>
      </c>
      <c r="AO355" s="19" t="str">
        <f>IF(AP355&lt;&gt;"",VLOOKUP($P355&amp;" | "&amp;AN$6,'Job Master'!$F$12:$J$102,3,0),"")</f>
        <v/>
      </c>
      <c r="AP355" s="19" t="str">
        <f>IFERROR(IF(AND(AW355&lt;&gt;"",VLOOKUP($P355&amp;" | "&amp;AN$6,'Job Master'!$F$12:$I$102,4,0)&lt;&gt;""),IF(WEEKDAY(AW355-VLOOKUP($P355&amp;" | "&amp;AN$6,'Job Master'!$F$12:$I$102,4,0))&lt;&gt;7,AW355-VLOOKUP($P355&amp;" | "&amp;AN$6,'Job Master'!$F$12:$I$102,4,0),AW355-VLOOKUP($P355&amp;" | "&amp;AN$6,'Job Master'!$F$12:$I$102,4,0)-1),""),"")</f>
        <v/>
      </c>
      <c r="AQ355" s="73"/>
      <c r="AR355" s="123" t="str">
        <f t="shared" si="651"/>
        <v/>
      </c>
      <c r="AS355" s="123" t="str">
        <f t="shared" si="652"/>
        <v/>
      </c>
      <c r="AT355" s="97" t="str">
        <f t="shared" ca="1" si="653"/>
        <v/>
      </c>
      <c r="AU355" s="98" t="str">
        <f>IF(AW355&lt;&gt;"",VLOOKUP($P355&amp;" | "&amp;AU$6,'Job Master'!$F$12:$J$102,5,0),"")</f>
        <v/>
      </c>
      <c r="AV355" s="19" t="str">
        <f>IF(AW355&lt;&gt;"",VLOOKUP($P355&amp;" | "&amp;AU$6,'Job Master'!$F$12:$J$102,3,0),"")</f>
        <v/>
      </c>
      <c r="AW355" s="19" t="str">
        <f>IFERROR(IF(AND(BD355&lt;&gt;"",VLOOKUP($P355&amp;" | "&amp;AU$6,'Job Master'!$F$12:$I$102,4,0)&lt;&gt;""),IF(WEEKDAY(BD355-VLOOKUP($P355&amp;" | "&amp;AU$6,'Job Master'!$F$12:$I$102,4,0))&lt;&gt;7,BD355-VLOOKUP($P355&amp;" | "&amp;AU$6,'Job Master'!$F$12:$I$102,4,0),BD355-VLOOKUP($P355&amp;" | "&amp;AU$6,'Job Master'!$F$12:$I$102,4,0)-1),""),"")</f>
        <v/>
      </c>
      <c r="AX355" s="73"/>
      <c r="AY355" s="123" t="str">
        <f t="shared" si="654"/>
        <v/>
      </c>
      <c r="AZ355" s="123" t="str">
        <f t="shared" si="655"/>
        <v/>
      </c>
      <c r="BA355" s="97" t="str">
        <f t="shared" ca="1" si="656"/>
        <v/>
      </c>
      <c r="BB355" s="98" t="str">
        <f>IF(BD355&lt;&gt;"",VLOOKUP($P355&amp;" | "&amp;BB$6,'Job Master'!$F$12:$J$102,5,0),"")</f>
        <v/>
      </c>
      <c r="BC355" s="19" t="str">
        <f>IF(BD355&lt;&gt;"",VLOOKUP($P355&amp;" | "&amp;BB$6,'Job Master'!$F$12:$J$102,3,0),"")</f>
        <v/>
      </c>
      <c r="BD355" s="19" t="str">
        <f>IFERROR(IF(AND(BK355&lt;&gt;"",VLOOKUP($P355&amp;" | "&amp;BB$6,'Job Master'!$F$12:$I$102,4,0)&lt;&gt;""),IF(WEEKDAY(BK355-VLOOKUP($P355&amp;" | "&amp;BB$6,'Job Master'!$F$12:$I$102,4,0))&lt;&gt;7,BK355-VLOOKUP($P355&amp;" | "&amp;BB$6,'Job Master'!$F$12:$I$102,4,0),BK355-VLOOKUP($P355&amp;" | "&amp;BB$6,'Job Master'!$F$12:$I$102,4,0)-1),""),"")</f>
        <v/>
      </c>
      <c r="BE355" s="73"/>
      <c r="BF355" s="123" t="str">
        <f t="shared" si="657"/>
        <v/>
      </c>
      <c r="BG355" s="123" t="str">
        <f t="shared" si="658"/>
        <v/>
      </c>
      <c r="BH355" s="97" t="str">
        <f t="shared" ca="1" si="659"/>
        <v/>
      </c>
      <c r="BI355" s="98" t="str">
        <f>IF(BK355&lt;&gt;"",VLOOKUP($P355&amp;" | "&amp;BI$6,'Job Master'!$F$12:$J$102,5,0),"")</f>
        <v/>
      </c>
      <c r="BJ355" s="19" t="str">
        <f>IF(BK355&lt;&gt;"",VLOOKUP($P355&amp;" | "&amp;BI$6,'Job Master'!$F$12:$J$102,3,0),"")</f>
        <v/>
      </c>
      <c r="BK355" s="19" t="str">
        <f>IFERROR(IF(AND(BR355&lt;&gt;"",VLOOKUP($P355&amp;" | "&amp;BI$6,'Job Master'!$F$12:$I$102,4,0)&lt;&gt;""),IF(WEEKDAY(BR355-VLOOKUP($P355&amp;" | "&amp;BI$6,'Job Master'!$F$12:$I$102,4,0))&lt;&gt;7,BR355-VLOOKUP($P355&amp;" | "&amp;BI$6,'Job Master'!$F$12:$I$102,4,0),BR355-VLOOKUP($P355&amp;" | "&amp;BI$6,'Job Master'!$F$12:$I$102,4,0)-1),""),"")</f>
        <v/>
      </c>
      <c r="BL355" s="73"/>
      <c r="BM355" s="123" t="str">
        <f t="shared" si="660"/>
        <v/>
      </c>
      <c r="BN355" s="123" t="str">
        <f t="shared" si="661"/>
        <v/>
      </c>
      <c r="BO355" s="97" t="str">
        <f t="shared" ca="1" si="662"/>
        <v/>
      </c>
      <c r="BP355" s="98" t="str">
        <f>IF(BR355&lt;&gt;"",VLOOKUP($P355&amp;" | "&amp;BP$6,'Job Master'!$F$12:$J$102,5,0),"")</f>
        <v/>
      </c>
      <c r="BQ355" s="19" t="str">
        <f>IF(BR355&lt;&gt;"",VLOOKUP($P355&amp;" | "&amp;BP$6,'Job Master'!$F$12:$J$102,3,0),"")</f>
        <v/>
      </c>
      <c r="BR355" s="19" t="str">
        <f>IFERROR(IF(AND(BY355&lt;&gt;"",VLOOKUP($P355&amp;" | "&amp;BP$6,'Job Master'!$F$12:$I$102,4,0)&lt;&gt;""),IF(WEEKDAY(BY355-VLOOKUP($P355&amp;" | "&amp;BP$6,'Job Master'!$F$12:$I$102,4,0))&lt;&gt;7,BY355-VLOOKUP($P355&amp;" | "&amp;BP$6,'Job Master'!$F$12:$I$102,4,0),BY355-VLOOKUP($P355&amp;" | "&amp;BP$6,'Job Master'!$F$12:$I$102,4,0)-1),""),"")</f>
        <v/>
      </c>
      <c r="BS355" s="73"/>
      <c r="BT355" s="123" t="str">
        <f t="shared" si="663"/>
        <v/>
      </c>
      <c r="BU355" s="123" t="str">
        <f t="shared" si="664"/>
        <v/>
      </c>
      <c r="BV355" s="97" t="str">
        <f t="shared" ca="1" si="665"/>
        <v/>
      </c>
      <c r="BW355" s="98" t="str">
        <f>IF(BY355&lt;&gt;"",VLOOKUP($P355&amp;" | "&amp;BW$6,'Job Master'!$F$12:$J$102,5,0),"")</f>
        <v/>
      </c>
      <c r="BX355" s="19" t="str">
        <f>IF(BY355&lt;&gt;"",VLOOKUP($P355&amp;" | "&amp;BW$6,'Job Master'!$F$12:$J$102,3,0),"")</f>
        <v/>
      </c>
      <c r="BY355" s="19" t="str">
        <f>IFERROR(IF(AND(CF355&lt;&gt;"",VLOOKUP($P355&amp;" | "&amp;BW$6,'Job Master'!$F$12:$I$102,4,0)&lt;&gt;""),IF(WEEKDAY(CF355-VLOOKUP($P355&amp;" | "&amp;BW$6,'Job Master'!$F$12:$I$102,4,0))&lt;&gt;7,CF355-VLOOKUP($P355&amp;" | "&amp;BW$6,'Job Master'!$F$12:$I$102,4,0),CF355-VLOOKUP($P355&amp;" | "&amp;BW$6,'Job Master'!$F$12:$I$102,4,0)-1),""),"")</f>
        <v/>
      </c>
      <c r="BZ355" s="73"/>
      <c r="CA355" s="123" t="str">
        <f t="shared" si="666"/>
        <v/>
      </c>
      <c r="CB355" s="123" t="str">
        <f t="shared" si="667"/>
        <v/>
      </c>
      <c r="CC355" s="97" t="str">
        <f t="shared" ca="1" si="668"/>
        <v/>
      </c>
      <c r="CD355" s="98" t="str">
        <f>IF(CF355&lt;&gt;"",VLOOKUP($P355&amp;" | "&amp;CD$6,'Job Master'!$F$12:$J$102,5,0),"")</f>
        <v/>
      </c>
      <c r="CE355" s="19" t="str">
        <f>IF(CF355&lt;&gt;"",VLOOKUP($P355&amp;" | "&amp;CD$6,'Job Master'!$F$12:$J$102,3,0),"")</f>
        <v/>
      </c>
      <c r="CF355" s="19" t="str">
        <f>IFERROR(IF(AND(CM355&lt;&gt;"",VLOOKUP($P355&amp;" | "&amp;CD$6,'Job Master'!$F$12:$I$102,4,0)&lt;&gt;""),IF(WEEKDAY(CM355-VLOOKUP($P355&amp;" | "&amp;CD$6,'Job Master'!$F$12:$I$102,4,0))&lt;&gt;7,CM355-VLOOKUP($P355&amp;" | "&amp;CD$6,'Job Master'!$F$12:$I$102,4,0),CM355-VLOOKUP($P355&amp;" | "&amp;CD$6,'Job Master'!$F$12:$I$102,4,0)-1),""),"")</f>
        <v/>
      </c>
      <c r="CG355" s="73"/>
      <c r="CH355" s="123" t="str">
        <f t="shared" si="669"/>
        <v/>
      </c>
      <c r="CI355" s="123" t="str">
        <f t="shared" si="670"/>
        <v/>
      </c>
      <c r="CJ355" s="97" t="str">
        <f t="shared" ca="1" si="671"/>
        <v/>
      </c>
      <c r="CK355" s="98" t="str">
        <f>IF(CM355&lt;&gt;"",VLOOKUP($P355&amp;" | "&amp;CK$6,'Job Master'!$F$12:$J$102,5,0),"")</f>
        <v/>
      </c>
      <c r="CL355" s="19" t="str">
        <f>IF(CM355&lt;&gt;"",VLOOKUP($P355&amp;" | "&amp;CK$6,'Job Master'!$F$12:$J$102,3,0),"")</f>
        <v/>
      </c>
      <c r="CM355" s="19" t="str">
        <f>IFERROR(IF(AND(CT355&lt;&gt;"",VLOOKUP($P355&amp;" | "&amp;CK$6,'Job Master'!$F$12:$I$102,4,0)&lt;&gt;""),IF(WEEKDAY(CT355-VLOOKUP($P355&amp;" | "&amp;CK$6,'Job Master'!$F$12:$I$102,4,0))&lt;&gt;7,CT355-VLOOKUP($P355&amp;" | "&amp;CK$6,'Job Master'!$F$12:$I$102,4,0),CT355-VLOOKUP($P355&amp;" | "&amp;CK$6,'Job Master'!$F$12:$I$102,4,0)-1),""),"")</f>
        <v/>
      </c>
      <c r="CN355" s="73"/>
      <c r="CO355" s="123" t="str">
        <f t="shared" si="672"/>
        <v/>
      </c>
      <c r="CP355" s="123" t="str">
        <f t="shared" si="673"/>
        <v/>
      </c>
      <c r="CQ355" s="97" t="str">
        <f t="shared" ca="1" si="674"/>
        <v/>
      </c>
      <c r="CR355" s="98" t="str">
        <f>IF(CT355&lt;&gt;"",VLOOKUP($P355&amp;" | "&amp;CR$6,'Job Master'!$F$12:$J$102,5,0),"")</f>
        <v/>
      </c>
      <c r="CS355" s="19" t="str">
        <f>IF(CT355&lt;&gt;"",VLOOKUP($P355&amp;" | "&amp;CR$6,'Job Master'!$F$12:$J$102,3,0),"")</f>
        <v/>
      </c>
      <c r="CT355" s="19" t="str">
        <f>IFERROR(IF(AND(DA355&lt;&gt;"",VLOOKUP($P355&amp;" | "&amp;CR$6,'Job Master'!$F$12:$I$102,4,0)&lt;&gt;""),IF(WEEKDAY(DA355-VLOOKUP($P355&amp;" | "&amp;CR$6,'Job Master'!$F$12:$I$102,4,0))&lt;&gt;7,DA355-VLOOKUP($P355&amp;" | "&amp;CR$6,'Job Master'!$F$12:$I$102,4,0),DA355-VLOOKUP($P355&amp;" | "&amp;CR$6,'Job Master'!$F$12:$I$102,4,0)-1),""),"")</f>
        <v/>
      </c>
      <c r="CU355" s="73"/>
      <c r="CV355" s="123" t="str">
        <f t="shared" si="675"/>
        <v/>
      </c>
      <c r="CW355" s="123" t="str">
        <f t="shared" si="676"/>
        <v/>
      </c>
      <c r="CX355" s="97" t="str">
        <f t="shared" ca="1" si="677"/>
        <v/>
      </c>
      <c r="CY355" s="98" t="str">
        <f>IF(DA355&lt;&gt;"",VLOOKUP($P355&amp;" | "&amp;CY$6,'Job Master'!$F$12:$J$102,5,0),"")</f>
        <v/>
      </c>
      <c r="CZ355" s="19" t="str">
        <f>IF(DA355&lt;&gt;"",VLOOKUP($P355&amp;" | "&amp;CY$6,'Job Master'!$F$12:$J$102,3,0),"")</f>
        <v/>
      </c>
      <c r="DA355" s="19" t="str">
        <f>IFERROR(IF(AND(DH355&lt;&gt;"",VLOOKUP($P355&amp;" | "&amp;CY$6,'Job Master'!$F$12:$I$102,4,0)&lt;&gt;""),IF(WEEKDAY(DH355-VLOOKUP($P355&amp;" | "&amp;CY$6,'Job Master'!$F$12:$I$102,4,0))&lt;&gt;7,DH355-VLOOKUP($P355&amp;" | "&amp;CY$6,'Job Master'!$F$12:$I$102,4,0),DH355-VLOOKUP($P355&amp;" | "&amp;CY$6,'Job Master'!$F$12:$I$102,4,0)-1),""),"")</f>
        <v/>
      </c>
      <c r="DB355" s="73"/>
      <c r="DC355" s="123" t="str">
        <f t="shared" si="678"/>
        <v/>
      </c>
      <c r="DD355" s="123" t="str">
        <f t="shared" si="679"/>
        <v/>
      </c>
      <c r="DE355" s="97" t="str">
        <f t="shared" ca="1" si="680"/>
        <v/>
      </c>
      <c r="DF355" s="98" t="str">
        <f>IF(DH355&lt;&gt;"",VLOOKUP($P355&amp;" | "&amp;DF$6,'Job Master'!$F$12:$J$102,5,0),"")</f>
        <v/>
      </c>
      <c r="DG355" s="19" t="str">
        <f>IF(DH355&lt;&gt;"",VLOOKUP($P355&amp;" | "&amp;DF$6,'Job Master'!$F$12:$J$102,3,0),"")</f>
        <v/>
      </c>
      <c r="DH355" s="19" t="str">
        <f>IFERROR(IF(AND(DO355&lt;&gt;"",VLOOKUP($P355&amp;" | "&amp;DF$6,'Job Master'!$F$12:$I$102,4,0)&lt;&gt;""),IF(WEEKDAY(DO355-VLOOKUP($P355&amp;" | "&amp;DF$6,'Job Master'!$F$12:$I$102,4,0))&lt;&gt;7,DO355-VLOOKUP($P355&amp;" | "&amp;DF$6,'Job Master'!$F$12:$I$102,4,0),DO355-VLOOKUP($P355&amp;" | "&amp;DF$6,'Job Master'!$F$12:$I$102,4,0)-1),""),"")</f>
        <v/>
      </c>
      <c r="DI355" s="73"/>
      <c r="DJ355" s="123" t="str">
        <f t="shared" si="681"/>
        <v/>
      </c>
      <c r="DK355" s="123" t="str">
        <f t="shared" si="682"/>
        <v/>
      </c>
      <c r="DL355" s="97" t="str">
        <f t="shared" ca="1" si="683"/>
        <v/>
      </c>
      <c r="DM355" s="98" t="str">
        <f>IF(DO355&lt;&gt;"",VLOOKUP($P355&amp;" | "&amp;DM$6,'Job Master'!$F$12:$J$102,5,0),"")</f>
        <v/>
      </c>
      <c r="DN355" s="19" t="str">
        <f>IF(DO355&lt;&gt;"",VLOOKUP($P355&amp;" | "&amp;DM$6,'Job Master'!$F$12:$J$102,3,0),"")</f>
        <v/>
      </c>
      <c r="DO355" s="19" t="str">
        <f>IFERROR(IF(AND(DT355&lt;&gt;"",VLOOKUP($P355&amp;" | "&amp;DM$6,'Job Master'!$F$12:$I$102,4,0)&lt;&gt;""),IF(WEEKDAY(DT355-VLOOKUP($P355&amp;" | "&amp;DM$6,'Job Master'!$F$12:$I$102,4,0))&lt;&gt;7,DT355-VLOOKUP($P355&amp;" | "&amp;DM$6,'Job Master'!$F$12:$I$102,4,0),DT355-VLOOKUP($P355&amp;" | "&amp;DM$6,'Job Master'!$F$12:$I$102,4,0)-1),""),"")</f>
        <v/>
      </c>
      <c r="DP355" s="73"/>
      <c r="DQ355" s="123" t="str">
        <f t="shared" si="684"/>
        <v/>
      </c>
      <c r="DR355" s="123" t="str">
        <f t="shared" si="685"/>
        <v/>
      </c>
      <c r="DS355" s="97" t="str">
        <f t="shared" ca="1" si="686"/>
        <v/>
      </c>
      <c r="DT355" s="70" t="str">
        <f t="shared" si="687"/>
        <v/>
      </c>
      <c r="DU355" s="90"/>
      <c r="DV355" s="123" t="str">
        <f t="shared" si="688"/>
        <v/>
      </c>
      <c r="DW355" s="123" t="str">
        <f t="shared" si="689"/>
        <v/>
      </c>
      <c r="DX355" s="132" t="str">
        <f t="shared" ref="DX355" ca="1" si="726">IF(DT355&lt;&gt;"",IF(WEEKNUM(DT355)=WEEKNUM(TODAY()),"This Week",IF(WEEKNUM(DT355)=WEEKNUM(TODAY())+1,"Next Week",IF(WEEKNUM(DT355)=WEEKNUM(TODAY())-1,"Previous Week",""))),"")</f>
        <v/>
      </c>
      <c r="DY355" s="134" t="str">
        <f t="shared" si="691"/>
        <v/>
      </c>
      <c r="DZ355" s="95"/>
      <c r="EB355" s="8" t="str">
        <f t="shared" si="697"/>
        <v/>
      </c>
      <c r="EC355" s="8" t="str">
        <f>IF(O355&lt;&gt;"",VLOOKUP(O355,'Job Master'!$N$12:$O$18,2,0),"")</f>
        <v/>
      </c>
      <c r="ED355" s="8">
        <f t="shared" si="698"/>
        <v>19.5</v>
      </c>
      <c r="EE355" s="8">
        <f t="shared" si="699"/>
        <v>6</v>
      </c>
      <c r="EF355" s="8">
        <f t="shared" si="700"/>
        <v>-2050.5</v>
      </c>
      <c r="EG355" s="8" t="str">
        <f t="shared" si="701"/>
        <v/>
      </c>
      <c r="EH355" s="8" t="str">
        <f t="shared" si="702"/>
        <v/>
      </c>
    </row>
    <row r="356" spans="2:138" x14ac:dyDescent="0.3">
      <c r="B356" s="112"/>
      <c r="C356" s="27"/>
      <c r="D356" s="7" t="str">
        <f t="shared" si="639"/>
        <v/>
      </c>
      <c r="E356" s="25"/>
      <c r="F356" s="7" t="str">
        <f t="shared" si="639"/>
        <v/>
      </c>
      <c r="G356" s="25"/>
      <c r="H356" s="7" t="str">
        <f t="shared" si="639"/>
        <v/>
      </c>
      <c r="I356" s="25"/>
      <c r="J356" s="7" t="str">
        <f t="shared" si="639"/>
        <v/>
      </c>
      <c r="K356" s="25"/>
      <c r="L356" s="7" t="str">
        <f t="shared" si="640"/>
        <v/>
      </c>
      <c r="M356" s="25"/>
      <c r="N356" s="7" t="str">
        <f t="shared" si="641"/>
        <v/>
      </c>
      <c r="O356" s="81"/>
      <c r="P356" s="81" t="str">
        <f t="shared" si="642"/>
        <v/>
      </c>
      <c r="Q356" s="81"/>
      <c r="R356" s="7" t="str">
        <f t="shared" si="643"/>
        <v/>
      </c>
      <c r="S356" s="25"/>
      <c r="T356" s="7" t="str">
        <f t="shared" si="644"/>
        <v/>
      </c>
      <c r="U356" s="25"/>
      <c r="V356" s="7" t="str">
        <f t="shared" si="645"/>
        <v/>
      </c>
      <c r="W356" s="25"/>
      <c r="X356" s="7" t="str">
        <f t="shared" si="646"/>
        <v/>
      </c>
      <c r="Y356" s="18" t="str">
        <f t="shared" si="647"/>
        <v/>
      </c>
      <c r="Z356" s="7" t="str">
        <f t="shared" si="648"/>
        <v/>
      </c>
      <c r="AA356" s="18" t="str">
        <f t="shared" si="649"/>
        <v/>
      </c>
      <c r="AB356" s="19" t="str">
        <f t="shared" si="650"/>
        <v/>
      </c>
      <c r="AC356" s="26"/>
      <c r="AD356" s="26"/>
      <c r="AE356" s="25"/>
      <c r="AF356" s="26"/>
      <c r="AG356" s="25"/>
      <c r="AH356" s="25"/>
      <c r="AI356" s="18" t="str">
        <f t="shared" si="713"/>
        <v/>
      </c>
      <c r="AJ356" s="25"/>
      <c r="AK356" s="18" t="str">
        <f t="shared" si="714"/>
        <v/>
      </c>
      <c r="AL356" s="79"/>
      <c r="AM356" s="126" t="str">
        <f t="shared" si="715"/>
        <v/>
      </c>
      <c r="AN356" s="128" t="str">
        <f>IF(AP356&lt;&gt;"",VLOOKUP($P356&amp;" | "&amp;AN$6,'Job Master'!$F$12:$J$102,5,0),"")</f>
        <v/>
      </c>
      <c r="AO356" s="19" t="str">
        <f>IF(AP356&lt;&gt;"",VLOOKUP($P356&amp;" | "&amp;AN$6,'Job Master'!$F$12:$J$102,3,0),"")</f>
        <v/>
      </c>
      <c r="AP356" s="19" t="str">
        <f>IFERROR(IF(AND(AW356&lt;&gt;"",VLOOKUP($P356&amp;" | "&amp;AN$6,'Job Master'!$F$12:$I$102,4,0)&lt;&gt;""),IF(WEEKDAY(AW356-VLOOKUP($P356&amp;" | "&amp;AN$6,'Job Master'!$F$12:$I$102,4,0))&lt;&gt;7,AW356-VLOOKUP($P356&amp;" | "&amp;AN$6,'Job Master'!$F$12:$I$102,4,0),AW356-VLOOKUP($P356&amp;" | "&amp;AN$6,'Job Master'!$F$12:$I$102,4,0)-1),""),"")</f>
        <v/>
      </c>
      <c r="AQ356" s="73"/>
      <c r="AR356" s="123" t="str">
        <f t="shared" si="651"/>
        <v/>
      </c>
      <c r="AS356" s="123" t="str">
        <f t="shared" si="652"/>
        <v/>
      </c>
      <c r="AT356" s="97" t="str">
        <f t="shared" ca="1" si="653"/>
        <v/>
      </c>
      <c r="AU356" s="98" t="str">
        <f>IF(AW356&lt;&gt;"",VLOOKUP($P356&amp;" | "&amp;AU$6,'Job Master'!$F$12:$J$102,5,0),"")</f>
        <v/>
      </c>
      <c r="AV356" s="19" t="str">
        <f>IF(AW356&lt;&gt;"",VLOOKUP($P356&amp;" | "&amp;AU$6,'Job Master'!$F$12:$J$102,3,0),"")</f>
        <v/>
      </c>
      <c r="AW356" s="19" t="str">
        <f>IFERROR(IF(AND(BD356&lt;&gt;"",VLOOKUP($P356&amp;" | "&amp;AU$6,'Job Master'!$F$12:$I$102,4,0)&lt;&gt;""),IF(WEEKDAY(BD356-VLOOKUP($P356&amp;" | "&amp;AU$6,'Job Master'!$F$12:$I$102,4,0))&lt;&gt;7,BD356-VLOOKUP($P356&amp;" | "&amp;AU$6,'Job Master'!$F$12:$I$102,4,0),BD356-VLOOKUP($P356&amp;" | "&amp;AU$6,'Job Master'!$F$12:$I$102,4,0)-1),""),"")</f>
        <v/>
      </c>
      <c r="AX356" s="73"/>
      <c r="AY356" s="123" t="str">
        <f t="shared" si="654"/>
        <v/>
      </c>
      <c r="AZ356" s="123" t="str">
        <f t="shared" si="655"/>
        <v/>
      </c>
      <c r="BA356" s="97" t="str">
        <f t="shared" ca="1" si="656"/>
        <v/>
      </c>
      <c r="BB356" s="98" t="str">
        <f>IF(BD356&lt;&gt;"",VLOOKUP($P356&amp;" | "&amp;BB$6,'Job Master'!$F$12:$J$102,5,0),"")</f>
        <v/>
      </c>
      <c r="BC356" s="19" t="str">
        <f>IF(BD356&lt;&gt;"",VLOOKUP($P356&amp;" | "&amp;BB$6,'Job Master'!$F$12:$J$102,3,0),"")</f>
        <v/>
      </c>
      <c r="BD356" s="19" t="str">
        <f>IFERROR(IF(AND(BK356&lt;&gt;"",VLOOKUP($P356&amp;" | "&amp;BB$6,'Job Master'!$F$12:$I$102,4,0)&lt;&gt;""),IF(WEEKDAY(BK356-VLOOKUP($P356&amp;" | "&amp;BB$6,'Job Master'!$F$12:$I$102,4,0))&lt;&gt;7,BK356-VLOOKUP($P356&amp;" | "&amp;BB$6,'Job Master'!$F$12:$I$102,4,0),BK356-VLOOKUP($P356&amp;" | "&amp;BB$6,'Job Master'!$F$12:$I$102,4,0)-1),""),"")</f>
        <v/>
      </c>
      <c r="BE356" s="73"/>
      <c r="BF356" s="123" t="str">
        <f t="shared" si="657"/>
        <v/>
      </c>
      <c r="BG356" s="123" t="str">
        <f t="shared" si="658"/>
        <v/>
      </c>
      <c r="BH356" s="97" t="str">
        <f t="shared" ca="1" si="659"/>
        <v/>
      </c>
      <c r="BI356" s="98" t="str">
        <f>IF(BK356&lt;&gt;"",VLOOKUP($P356&amp;" | "&amp;BI$6,'Job Master'!$F$12:$J$102,5,0),"")</f>
        <v/>
      </c>
      <c r="BJ356" s="19" t="str">
        <f>IF(BK356&lt;&gt;"",VLOOKUP($P356&amp;" | "&amp;BI$6,'Job Master'!$F$12:$J$102,3,0),"")</f>
        <v/>
      </c>
      <c r="BK356" s="19" t="str">
        <f>IFERROR(IF(AND(BR356&lt;&gt;"",VLOOKUP($P356&amp;" | "&amp;BI$6,'Job Master'!$F$12:$I$102,4,0)&lt;&gt;""),IF(WEEKDAY(BR356-VLOOKUP($P356&amp;" | "&amp;BI$6,'Job Master'!$F$12:$I$102,4,0))&lt;&gt;7,BR356-VLOOKUP($P356&amp;" | "&amp;BI$6,'Job Master'!$F$12:$I$102,4,0),BR356-VLOOKUP($P356&amp;" | "&amp;BI$6,'Job Master'!$F$12:$I$102,4,0)-1),""),"")</f>
        <v/>
      </c>
      <c r="BL356" s="73"/>
      <c r="BM356" s="123" t="str">
        <f t="shared" si="660"/>
        <v/>
      </c>
      <c r="BN356" s="123" t="str">
        <f t="shared" si="661"/>
        <v/>
      </c>
      <c r="BO356" s="97" t="str">
        <f t="shared" ca="1" si="662"/>
        <v/>
      </c>
      <c r="BP356" s="98" t="str">
        <f>IF(BR356&lt;&gt;"",VLOOKUP($P356&amp;" | "&amp;BP$6,'Job Master'!$F$12:$J$102,5,0),"")</f>
        <v/>
      </c>
      <c r="BQ356" s="19" t="str">
        <f>IF(BR356&lt;&gt;"",VLOOKUP($P356&amp;" | "&amp;BP$6,'Job Master'!$F$12:$J$102,3,0),"")</f>
        <v/>
      </c>
      <c r="BR356" s="19" t="str">
        <f>IFERROR(IF(AND(BY356&lt;&gt;"",VLOOKUP($P356&amp;" | "&amp;BP$6,'Job Master'!$F$12:$I$102,4,0)&lt;&gt;""),IF(WEEKDAY(BY356-VLOOKUP($P356&amp;" | "&amp;BP$6,'Job Master'!$F$12:$I$102,4,0))&lt;&gt;7,BY356-VLOOKUP($P356&amp;" | "&amp;BP$6,'Job Master'!$F$12:$I$102,4,0),BY356-VLOOKUP($P356&amp;" | "&amp;BP$6,'Job Master'!$F$12:$I$102,4,0)-1),""),"")</f>
        <v/>
      </c>
      <c r="BS356" s="73"/>
      <c r="BT356" s="123" t="str">
        <f t="shared" si="663"/>
        <v/>
      </c>
      <c r="BU356" s="123" t="str">
        <f t="shared" si="664"/>
        <v/>
      </c>
      <c r="BV356" s="97" t="str">
        <f t="shared" ca="1" si="665"/>
        <v/>
      </c>
      <c r="BW356" s="98" t="str">
        <f>IF(BY356&lt;&gt;"",VLOOKUP($P356&amp;" | "&amp;BW$6,'Job Master'!$F$12:$J$102,5,0),"")</f>
        <v/>
      </c>
      <c r="BX356" s="19" t="str">
        <f>IF(BY356&lt;&gt;"",VLOOKUP($P356&amp;" | "&amp;BW$6,'Job Master'!$F$12:$J$102,3,0),"")</f>
        <v/>
      </c>
      <c r="BY356" s="19" t="str">
        <f>IFERROR(IF(AND(CF356&lt;&gt;"",VLOOKUP($P356&amp;" | "&amp;BW$6,'Job Master'!$F$12:$I$102,4,0)&lt;&gt;""),IF(WEEKDAY(CF356-VLOOKUP($P356&amp;" | "&amp;BW$6,'Job Master'!$F$12:$I$102,4,0))&lt;&gt;7,CF356-VLOOKUP($P356&amp;" | "&amp;BW$6,'Job Master'!$F$12:$I$102,4,0),CF356-VLOOKUP($P356&amp;" | "&amp;BW$6,'Job Master'!$F$12:$I$102,4,0)-1),""),"")</f>
        <v/>
      </c>
      <c r="BZ356" s="73"/>
      <c r="CA356" s="123" t="str">
        <f t="shared" si="666"/>
        <v/>
      </c>
      <c r="CB356" s="123" t="str">
        <f t="shared" si="667"/>
        <v/>
      </c>
      <c r="CC356" s="97" t="str">
        <f t="shared" ca="1" si="668"/>
        <v/>
      </c>
      <c r="CD356" s="98" t="str">
        <f>IF(CF356&lt;&gt;"",VLOOKUP($P356&amp;" | "&amp;CD$6,'Job Master'!$F$12:$J$102,5,0),"")</f>
        <v/>
      </c>
      <c r="CE356" s="19" t="str">
        <f>IF(CF356&lt;&gt;"",VLOOKUP($P356&amp;" | "&amp;CD$6,'Job Master'!$F$12:$J$102,3,0),"")</f>
        <v/>
      </c>
      <c r="CF356" s="19" t="str">
        <f>IFERROR(IF(AND(CM356&lt;&gt;"",VLOOKUP($P356&amp;" | "&amp;CD$6,'Job Master'!$F$12:$I$102,4,0)&lt;&gt;""),IF(WEEKDAY(CM356-VLOOKUP($P356&amp;" | "&amp;CD$6,'Job Master'!$F$12:$I$102,4,0))&lt;&gt;7,CM356-VLOOKUP($P356&amp;" | "&amp;CD$6,'Job Master'!$F$12:$I$102,4,0),CM356-VLOOKUP($P356&amp;" | "&amp;CD$6,'Job Master'!$F$12:$I$102,4,0)-1),""),"")</f>
        <v/>
      </c>
      <c r="CG356" s="73"/>
      <c r="CH356" s="123" t="str">
        <f t="shared" si="669"/>
        <v/>
      </c>
      <c r="CI356" s="123" t="str">
        <f t="shared" si="670"/>
        <v/>
      </c>
      <c r="CJ356" s="97" t="str">
        <f t="shared" ca="1" si="671"/>
        <v/>
      </c>
      <c r="CK356" s="98" t="str">
        <f>IF(CM356&lt;&gt;"",VLOOKUP($P356&amp;" | "&amp;CK$6,'Job Master'!$F$12:$J$102,5,0),"")</f>
        <v/>
      </c>
      <c r="CL356" s="19" t="str">
        <f>IF(CM356&lt;&gt;"",VLOOKUP($P356&amp;" | "&amp;CK$6,'Job Master'!$F$12:$J$102,3,0),"")</f>
        <v/>
      </c>
      <c r="CM356" s="19" t="str">
        <f>IFERROR(IF(AND(CT356&lt;&gt;"",VLOOKUP($P356&amp;" | "&amp;CK$6,'Job Master'!$F$12:$I$102,4,0)&lt;&gt;""),IF(WEEKDAY(CT356-VLOOKUP($P356&amp;" | "&amp;CK$6,'Job Master'!$F$12:$I$102,4,0))&lt;&gt;7,CT356-VLOOKUP($P356&amp;" | "&amp;CK$6,'Job Master'!$F$12:$I$102,4,0),CT356-VLOOKUP($P356&amp;" | "&amp;CK$6,'Job Master'!$F$12:$I$102,4,0)-1),""),"")</f>
        <v/>
      </c>
      <c r="CN356" s="73"/>
      <c r="CO356" s="123" t="str">
        <f t="shared" si="672"/>
        <v/>
      </c>
      <c r="CP356" s="123" t="str">
        <f t="shared" si="673"/>
        <v/>
      </c>
      <c r="CQ356" s="97" t="str">
        <f t="shared" ca="1" si="674"/>
        <v/>
      </c>
      <c r="CR356" s="98" t="str">
        <f>IF(CT356&lt;&gt;"",VLOOKUP($P356&amp;" | "&amp;CR$6,'Job Master'!$F$12:$J$102,5,0),"")</f>
        <v/>
      </c>
      <c r="CS356" s="19" t="str">
        <f>IF(CT356&lt;&gt;"",VLOOKUP($P356&amp;" | "&amp;CR$6,'Job Master'!$F$12:$J$102,3,0),"")</f>
        <v/>
      </c>
      <c r="CT356" s="19" t="str">
        <f>IFERROR(IF(AND(DA356&lt;&gt;"",VLOOKUP($P356&amp;" | "&amp;CR$6,'Job Master'!$F$12:$I$102,4,0)&lt;&gt;""),IF(WEEKDAY(DA356-VLOOKUP($P356&amp;" | "&amp;CR$6,'Job Master'!$F$12:$I$102,4,0))&lt;&gt;7,DA356-VLOOKUP($P356&amp;" | "&amp;CR$6,'Job Master'!$F$12:$I$102,4,0),DA356-VLOOKUP($P356&amp;" | "&amp;CR$6,'Job Master'!$F$12:$I$102,4,0)-1),""),"")</f>
        <v/>
      </c>
      <c r="CU356" s="73"/>
      <c r="CV356" s="123" t="str">
        <f t="shared" si="675"/>
        <v/>
      </c>
      <c r="CW356" s="123" t="str">
        <f t="shared" si="676"/>
        <v/>
      </c>
      <c r="CX356" s="97" t="str">
        <f t="shared" ca="1" si="677"/>
        <v/>
      </c>
      <c r="CY356" s="98" t="str">
        <f>IF(DA356&lt;&gt;"",VLOOKUP($P356&amp;" | "&amp;CY$6,'Job Master'!$F$12:$J$102,5,0),"")</f>
        <v/>
      </c>
      <c r="CZ356" s="19" t="str">
        <f>IF(DA356&lt;&gt;"",VLOOKUP($P356&amp;" | "&amp;CY$6,'Job Master'!$F$12:$J$102,3,0),"")</f>
        <v/>
      </c>
      <c r="DA356" s="19" t="str">
        <f>IFERROR(IF(AND(DH356&lt;&gt;"",VLOOKUP($P356&amp;" | "&amp;CY$6,'Job Master'!$F$12:$I$102,4,0)&lt;&gt;""),IF(WEEKDAY(DH356-VLOOKUP($P356&amp;" | "&amp;CY$6,'Job Master'!$F$12:$I$102,4,0))&lt;&gt;7,DH356-VLOOKUP($P356&amp;" | "&amp;CY$6,'Job Master'!$F$12:$I$102,4,0),DH356-VLOOKUP($P356&amp;" | "&amp;CY$6,'Job Master'!$F$12:$I$102,4,0)-1),""),"")</f>
        <v/>
      </c>
      <c r="DB356" s="73"/>
      <c r="DC356" s="123" t="str">
        <f t="shared" si="678"/>
        <v/>
      </c>
      <c r="DD356" s="123" t="str">
        <f t="shared" si="679"/>
        <v/>
      </c>
      <c r="DE356" s="97" t="str">
        <f t="shared" ca="1" si="680"/>
        <v/>
      </c>
      <c r="DF356" s="98" t="str">
        <f>IF(DH356&lt;&gt;"",VLOOKUP($P356&amp;" | "&amp;DF$6,'Job Master'!$F$12:$J$102,5,0),"")</f>
        <v/>
      </c>
      <c r="DG356" s="19" t="str">
        <f>IF(DH356&lt;&gt;"",VLOOKUP($P356&amp;" | "&amp;DF$6,'Job Master'!$F$12:$J$102,3,0),"")</f>
        <v/>
      </c>
      <c r="DH356" s="19" t="str">
        <f>IFERROR(IF(AND(DO356&lt;&gt;"",VLOOKUP($P356&amp;" | "&amp;DF$6,'Job Master'!$F$12:$I$102,4,0)&lt;&gt;""),IF(WEEKDAY(DO356-VLOOKUP($P356&amp;" | "&amp;DF$6,'Job Master'!$F$12:$I$102,4,0))&lt;&gt;7,DO356-VLOOKUP($P356&amp;" | "&amp;DF$6,'Job Master'!$F$12:$I$102,4,0),DO356-VLOOKUP($P356&amp;" | "&amp;DF$6,'Job Master'!$F$12:$I$102,4,0)-1),""),"")</f>
        <v/>
      </c>
      <c r="DI356" s="73"/>
      <c r="DJ356" s="123" t="str">
        <f t="shared" si="681"/>
        <v/>
      </c>
      <c r="DK356" s="123" t="str">
        <f t="shared" si="682"/>
        <v/>
      </c>
      <c r="DL356" s="97" t="str">
        <f t="shared" ca="1" si="683"/>
        <v/>
      </c>
      <c r="DM356" s="98" t="str">
        <f>IF(DO356&lt;&gt;"",VLOOKUP($P356&amp;" | "&amp;DM$6,'Job Master'!$F$12:$J$102,5,0),"")</f>
        <v/>
      </c>
      <c r="DN356" s="19" t="str">
        <f>IF(DO356&lt;&gt;"",VLOOKUP($P356&amp;" | "&amp;DM$6,'Job Master'!$F$12:$J$102,3,0),"")</f>
        <v/>
      </c>
      <c r="DO356" s="19" t="str">
        <f>IFERROR(IF(AND(DT356&lt;&gt;"",VLOOKUP($P356&amp;" | "&amp;DM$6,'Job Master'!$F$12:$I$102,4,0)&lt;&gt;""),IF(WEEKDAY(DT356-VLOOKUP($P356&amp;" | "&amp;DM$6,'Job Master'!$F$12:$I$102,4,0))&lt;&gt;7,DT356-VLOOKUP($P356&amp;" | "&amp;DM$6,'Job Master'!$F$12:$I$102,4,0),DT356-VLOOKUP($P356&amp;" | "&amp;DM$6,'Job Master'!$F$12:$I$102,4,0)-1),""),"")</f>
        <v/>
      </c>
      <c r="DP356" s="73"/>
      <c r="DQ356" s="123" t="str">
        <f t="shared" si="684"/>
        <v/>
      </c>
      <c r="DR356" s="123" t="str">
        <f t="shared" si="685"/>
        <v/>
      </c>
      <c r="DS356" s="97" t="str">
        <f t="shared" ca="1" si="686"/>
        <v/>
      </c>
      <c r="DT356" s="70" t="str">
        <f t="shared" si="687"/>
        <v/>
      </c>
      <c r="DU356" s="90"/>
      <c r="DV356" s="123" t="str">
        <f t="shared" si="688"/>
        <v/>
      </c>
      <c r="DW356" s="123" t="str">
        <f t="shared" si="689"/>
        <v/>
      </c>
      <c r="DX356" s="132" t="str">
        <f t="shared" ref="DX356" ca="1" si="727">IF(DT356&lt;&gt;"",IF(WEEKNUM(DT356)=WEEKNUM(TODAY()),"This Week",IF(WEEKNUM(DT356)=WEEKNUM(TODAY())+1,"Next Week",IF(WEEKNUM(DT356)=WEEKNUM(TODAY())-1,"Previous Week",""))),"")</f>
        <v/>
      </c>
      <c r="DY356" s="134" t="str">
        <f t="shared" si="691"/>
        <v/>
      </c>
      <c r="DZ356" s="95"/>
      <c r="EB356" s="8" t="str">
        <f t="shared" si="697"/>
        <v/>
      </c>
      <c r="EC356" s="8" t="str">
        <f>IF(O356&lt;&gt;"",VLOOKUP(O356,'Job Master'!$N$12:$O$18,2,0),"")</f>
        <v/>
      </c>
      <c r="ED356" s="8">
        <f t="shared" si="698"/>
        <v>19.5</v>
      </c>
      <c r="EE356" s="8">
        <f t="shared" si="699"/>
        <v>6</v>
      </c>
      <c r="EF356" s="8">
        <f t="shared" si="700"/>
        <v>-2056.5</v>
      </c>
      <c r="EG356" s="8" t="str">
        <f t="shared" si="701"/>
        <v/>
      </c>
      <c r="EH356" s="8" t="str">
        <f t="shared" si="702"/>
        <v/>
      </c>
    </row>
    <row r="357" spans="2:138" x14ac:dyDescent="0.3">
      <c r="B357" s="112"/>
      <c r="C357" s="27"/>
      <c r="D357" s="7" t="str">
        <f t="shared" si="639"/>
        <v/>
      </c>
      <c r="E357" s="25"/>
      <c r="F357" s="7" t="str">
        <f t="shared" si="639"/>
        <v/>
      </c>
      <c r="G357" s="25"/>
      <c r="H357" s="7" t="str">
        <f t="shared" si="639"/>
        <v/>
      </c>
      <c r="I357" s="25"/>
      <c r="J357" s="7" t="str">
        <f t="shared" si="639"/>
        <v/>
      </c>
      <c r="K357" s="25"/>
      <c r="L357" s="7" t="str">
        <f t="shared" si="640"/>
        <v/>
      </c>
      <c r="M357" s="25"/>
      <c r="N357" s="7" t="str">
        <f t="shared" si="641"/>
        <v/>
      </c>
      <c r="O357" s="81"/>
      <c r="P357" s="81" t="str">
        <f t="shared" si="642"/>
        <v/>
      </c>
      <c r="Q357" s="81"/>
      <c r="R357" s="7" t="str">
        <f t="shared" si="643"/>
        <v/>
      </c>
      <c r="S357" s="25"/>
      <c r="T357" s="7" t="str">
        <f t="shared" si="644"/>
        <v/>
      </c>
      <c r="U357" s="25"/>
      <c r="V357" s="7" t="str">
        <f t="shared" si="645"/>
        <v/>
      </c>
      <c r="W357" s="25"/>
      <c r="X357" s="7" t="str">
        <f t="shared" si="646"/>
        <v/>
      </c>
      <c r="Y357" s="18" t="str">
        <f t="shared" si="647"/>
        <v/>
      </c>
      <c r="Z357" s="7" t="str">
        <f t="shared" si="648"/>
        <v/>
      </c>
      <c r="AA357" s="18" t="str">
        <f t="shared" si="649"/>
        <v/>
      </c>
      <c r="AB357" s="19" t="str">
        <f t="shared" si="650"/>
        <v/>
      </c>
      <c r="AC357" s="26"/>
      <c r="AD357" s="26"/>
      <c r="AE357" s="25"/>
      <c r="AF357" s="26"/>
      <c r="AG357" s="25"/>
      <c r="AH357" s="25"/>
      <c r="AI357" s="18" t="str">
        <f t="shared" si="713"/>
        <v/>
      </c>
      <c r="AJ357" s="25"/>
      <c r="AK357" s="18" t="str">
        <f t="shared" si="714"/>
        <v/>
      </c>
      <c r="AL357" s="79"/>
      <c r="AM357" s="126" t="str">
        <f t="shared" si="715"/>
        <v/>
      </c>
      <c r="AN357" s="128" t="str">
        <f>IF(AP357&lt;&gt;"",VLOOKUP($P357&amp;" | "&amp;AN$6,'Job Master'!$F$12:$J$102,5,0),"")</f>
        <v/>
      </c>
      <c r="AO357" s="19" t="str">
        <f>IF(AP357&lt;&gt;"",VLOOKUP($P357&amp;" | "&amp;AN$6,'Job Master'!$F$12:$J$102,3,0),"")</f>
        <v/>
      </c>
      <c r="AP357" s="19" t="str">
        <f>IFERROR(IF(AND(AW357&lt;&gt;"",VLOOKUP($P357&amp;" | "&amp;AN$6,'Job Master'!$F$12:$I$102,4,0)&lt;&gt;""),IF(WEEKDAY(AW357-VLOOKUP($P357&amp;" | "&amp;AN$6,'Job Master'!$F$12:$I$102,4,0))&lt;&gt;7,AW357-VLOOKUP($P357&amp;" | "&amp;AN$6,'Job Master'!$F$12:$I$102,4,0),AW357-VLOOKUP($P357&amp;" | "&amp;AN$6,'Job Master'!$F$12:$I$102,4,0)-1),""),"")</f>
        <v/>
      </c>
      <c r="AQ357" s="73"/>
      <c r="AR357" s="123" t="str">
        <f t="shared" si="651"/>
        <v/>
      </c>
      <c r="AS357" s="123" t="str">
        <f t="shared" si="652"/>
        <v/>
      </c>
      <c r="AT357" s="97" t="str">
        <f t="shared" ca="1" si="653"/>
        <v/>
      </c>
      <c r="AU357" s="98" t="str">
        <f>IF(AW357&lt;&gt;"",VLOOKUP($P357&amp;" | "&amp;AU$6,'Job Master'!$F$12:$J$102,5,0),"")</f>
        <v/>
      </c>
      <c r="AV357" s="19" t="str">
        <f>IF(AW357&lt;&gt;"",VLOOKUP($P357&amp;" | "&amp;AU$6,'Job Master'!$F$12:$J$102,3,0),"")</f>
        <v/>
      </c>
      <c r="AW357" s="19" t="str">
        <f>IFERROR(IF(AND(BD357&lt;&gt;"",VLOOKUP($P357&amp;" | "&amp;AU$6,'Job Master'!$F$12:$I$102,4,0)&lt;&gt;""),IF(WEEKDAY(BD357-VLOOKUP($P357&amp;" | "&amp;AU$6,'Job Master'!$F$12:$I$102,4,0))&lt;&gt;7,BD357-VLOOKUP($P357&amp;" | "&amp;AU$6,'Job Master'!$F$12:$I$102,4,0),BD357-VLOOKUP($P357&amp;" | "&amp;AU$6,'Job Master'!$F$12:$I$102,4,0)-1),""),"")</f>
        <v/>
      </c>
      <c r="AX357" s="73"/>
      <c r="AY357" s="123" t="str">
        <f t="shared" si="654"/>
        <v/>
      </c>
      <c r="AZ357" s="123" t="str">
        <f t="shared" si="655"/>
        <v/>
      </c>
      <c r="BA357" s="97" t="str">
        <f t="shared" ca="1" si="656"/>
        <v/>
      </c>
      <c r="BB357" s="98" t="str">
        <f>IF(BD357&lt;&gt;"",VLOOKUP($P357&amp;" | "&amp;BB$6,'Job Master'!$F$12:$J$102,5,0),"")</f>
        <v/>
      </c>
      <c r="BC357" s="19" t="str">
        <f>IF(BD357&lt;&gt;"",VLOOKUP($P357&amp;" | "&amp;BB$6,'Job Master'!$F$12:$J$102,3,0),"")</f>
        <v/>
      </c>
      <c r="BD357" s="19" t="str">
        <f>IFERROR(IF(AND(BK357&lt;&gt;"",VLOOKUP($P357&amp;" | "&amp;BB$6,'Job Master'!$F$12:$I$102,4,0)&lt;&gt;""),IF(WEEKDAY(BK357-VLOOKUP($P357&amp;" | "&amp;BB$6,'Job Master'!$F$12:$I$102,4,0))&lt;&gt;7,BK357-VLOOKUP($P357&amp;" | "&amp;BB$6,'Job Master'!$F$12:$I$102,4,0),BK357-VLOOKUP($P357&amp;" | "&amp;BB$6,'Job Master'!$F$12:$I$102,4,0)-1),""),"")</f>
        <v/>
      </c>
      <c r="BE357" s="73"/>
      <c r="BF357" s="123" t="str">
        <f t="shared" si="657"/>
        <v/>
      </c>
      <c r="BG357" s="123" t="str">
        <f t="shared" si="658"/>
        <v/>
      </c>
      <c r="BH357" s="97" t="str">
        <f t="shared" ca="1" si="659"/>
        <v/>
      </c>
      <c r="BI357" s="98" t="str">
        <f>IF(BK357&lt;&gt;"",VLOOKUP($P357&amp;" | "&amp;BI$6,'Job Master'!$F$12:$J$102,5,0),"")</f>
        <v/>
      </c>
      <c r="BJ357" s="19" t="str">
        <f>IF(BK357&lt;&gt;"",VLOOKUP($P357&amp;" | "&amp;BI$6,'Job Master'!$F$12:$J$102,3,0),"")</f>
        <v/>
      </c>
      <c r="BK357" s="19" t="str">
        <f>IFERROR(IF(AND(BR357&lt;&gt;"",VLOOKUP($P357&amp;" | "&amp;BI$6,'Job Master'!$F$12:$I$102,4,0)&lt;&gt;""),IF(WEEKDAY(BR357-VLOOKUP($P357&amp;" | "&amp;BI$6,'Job Master'!$F$12:$I$102,4,0))&lt;&gt;7,BR357-VLOOKUP($P357&amp;" | "&amp;BI$6,'Job Master'!$F$12:$I$102,4,0),BR357-VLOOKUP($P357&amp;" | "&amp;BI$6,'Job Master'!$F$12:$I$102,4,0)-1),""),"")</f>
        <v/>
      </c>
      <c r="BL357" s="73"/>
      <c r="BM357" s="123" t="str">
        <f t="shared" si="660"/>
        <v/>
      </c>
      <c r="BN357" s="123" t="str">
        <f t="shared" si="661"/>
        <v/>
      </c>
      <c r="BO357" s="97" t="str">
        <f t="shared" ca="1" si="662"/>
        <v/>
      </c>
      <c r="BP357" s="98" t="str">
        <f>IF(BR357&lt;&gt;"",VLOOKUP($P357&amp;" | "&amp;BP$6,'Job Master'!$F$12:$J$102,5,0),"")</f>
        <v/>
      </c>
      <c r="BQ357" s="19" t="str">
        <f>IF(BR357&lt;&gt;"",VLOOKUP($P357&amp;" | "&amp;BP$6,'Job Master'!$F$12:$J$102,3,0),"")</f>
        <v/>
      </c>
      <c r="BR357" s="19" t="str">
        <f>IFERROR(IF(AND(BY357&lt;&gt;"",VLOOKUP($P357&amp;" | "&amp;BP$6,'Job Master'!$F$12:$I$102,4,0)&lt;&gt;""),IF(WEEKDAY(BY357-VLOOKUP($P357&amp;" | "&amp;BP$6,'Job Master'!$F$12:$I$102,4,0))&lt;&gt;7,BY357-VLOOKUP($P357&amp;" | "&amp;BP$6,'Job Master'!$F$12:$I$102,4,0),BY357-VLOOKUP($P357&amp;" | "&amp;BP$6,'Job Master'!$F$12:$I$102,4,0)-1),""),"")</f>
        <v/>
      </c>
      <c r="BS357" s="73"/>
      <c r="BT357" s="123" t="str">
        <f t="shared" si="663"/>
        <v/>
      </c>
      <c r="BU357" s="123" t="str">
        <f t="shared" si="664"/>
        <v/>
      </c>
      <c r="BV357" s="97" t="str">
        <f t="shared" ca="1" si="665"/>
        <v/>
      </c>
      <c r="BW357" s="98" t="str">
        <f>IF(BY357&lt;&gt;"",VLOOKUP($P357&amp;" | "&amp;BW$6,'Job Master'!$F$12:$J$102,5,0),"")</f>
        <v/>
      </c>
      <c r="BX357" s="19" t="str">
        <f>IF(BY357&lt;&gt;"",VLOOKUP($P357&amp;" | "&amp;BW$6,'Job Master'!$F$12:$J$102,3,0),"")</f>
        <v/>
      </c>
      <c r="BY357" s="19" t="str">
        <f>IFERROR(IF(AND(CF357&lt;&gt;"",VLOOKUP($P357&amp;" | "&amp;BW$6,'Job Master'!$F$12:$I$102,4,0)&lt;&gt;""),IF(WEEKDAY(CF357-VLOOKUP($P357&amp;" | "&amp;BW$6,'Job Master'!$F$12:$I$102,4,0))&lt;&gt;7,CF357-VLOOKUP($P357&amp;" | "&amp;BW$6,'Job Master'!$F$12:$I$102,4,0),CF357-VLOOKUP($P357&amp;" | "&amp;BW$6,'Job Master'!$F$12:$I$102,4,0)-1),""),"")</f>
        <v/>
      </c>
      <c r="BZ357" s="73"/>
      <c r="CA357" s="123" t="str">
        <f t="shared" si="666"/>
        <v/>
      </c>
      <c r="CB357" s="123" t="str">
        <f t="shared" si="667"/>
        <v/>
      </c>
      <c r="CC357" s="97" t="str">
        <f t="shared" ca="1" si="668"/>
        <v/>
      </c>
      <c r="CD357" s="98" t="str">
        <f>IF(CF357&lt;&gt;"",VLOOKUP($P357&amp;" | "&amp;CD$6,'Job Master'!$F$12:$J$102,5,0),"")</f>
        <v/>
      </c>
      <c r="CE357" s="19" t="str">
        <f>IF(CF357&lt;&gt;"",VLOOKUP($P357&amp;" | "&amp;CD$6,'Job Master'!$F$12:$J$102,3,0),"")</f>
        <v/>
      </c>
      <c r="CF357" s="19" t="str">
        <f>IFERROR(IF(AND(CM357&lt;&gt;"",VLOOKUP($P357&amp;" | "&amp;CD$6,'Job Master'!$F$12:$I$102,4,0)&lt;&gt;""),IF(WEEKDAY(CM357-VLOOKUP($P357&amp;" | "&amp;CD$6,'Job Master'!$F$12:$I$102,4,0))&lt;&gt;7,CM357-VLOOKUP($P357&amp;" | "&amp;CD$6,'Job Master'!$F$12:$I$102,4,0),CM357-VLOOKUP($P357&amp;" | "&amp;CD$6,'Job Master'!$F$12:$I$102,4,0)-1),""),"")</f>
        <v/>
      </c>
      <c r="CG357" s="73"/>
      <c r="CH357" s="123" t="str">
        <f t="shared" si="669"/>
        <v/>
      </c>
      <c r="CI357" s="123" t="str">
        <f t="shared" si="670"/>
        <v/>
      </c>
      <c r="CJ357" s="97" t="str">
        <f t="shared" ca="1" si="671"/>
        <v/>
      </c>
      <c r="CK357" s="98" t="str">
        <f>IF(CM357&lt;&gt;"",VLOOKUP($P357&amp;" | "&amp;CK$6,'Job Master'!$F$12:$J$102,5,0),"")</f>
        <v/>
      </c>
      <c r="CL357" s="19" t="str">
        <f>IF(CM357&lt;&gt;"",VLOOKUP($P357&amp;" | "&amp;CK$6,'Job Master'!$F$12:$J$102,3,0),"")</f>
        <v/>
      </c>
      <c r="CM357" s="19" t="str">
        <f>IFERROR(IF(AND(CT357&lt;&gt;"",VLOOKUP($P357&amp;" | "&amp;CK$6,'Job Master'!$F$12:$I$102,4,0)&lt;&gt;""),IF(WEEKDAY(CT357-VLOOKUP($P357&amp;" | "&amp;CK$6,'Job Master'!$F$12:$I$102,4,0))&lt;&gt;7,CT357-VLOOKUP($P357&amp;" | "&amp;CK$6,'Job Master'!$F$12:$I$102,4,0),CT357-VLOOKUP($P357&amp;" | "&amp;CK$6,'Job Master'!$F$12:$I$102,4,0)-1),""),"")</f>
        <v/>
      </c>
      <c r="CN357" s="73"/>
      <c r="CO357" s="123" t="str">
        <f t="shared" si="672"/>
        <v/>
      </c>
      <c r="CP357" s="123" t="str">
        <f t="shared" si="673"/>
        <v/>
      </c>
      <c r="CQ357" s="97" t="str">
        <f t="shared" ca="1" si="674"/>
        <v/>
      </c>
      <c r="CR357" s="98" t="str">
        <f>IF(CT357&lt;&gt;"",VLOOKUP($P357&amp;" | "&amp;CR$6,'Job Master'!$F$12:$J$102,5,0),"")</f>
        <v/>
      </c>
      <c r="CS357" s="19" t="str">
        <f>IF(CT357&lt;&gt;"",VLOOKUP($P357&amp;" | "&amp;CR$6,'Job Master'!$F$12:$J$102,3,0),"")</f>
        <v/>
      </c>
      <c r="CT357" s="19" t="str">
        <f>IFERROR(IF(AND(DA357&lt;&gt;"",VLOOKUP($P357&amp;" | "&amp;CR$6,'Job Master'!$F$12:$I$102,4,0)&lt;&gt;""),IF(WEEKDAY(DA357-VLOOKUP($P357&amp;" | "&amp;CR$6,'Job Master'!$F$12:$I$102,4,0))&lt;&gt;7,DA357-VLOOKUP($P357&amp;" | "&amp;CR$6,'Job Master'!$F$12:$I$102,4,0),DA357-VLOOKUP($P357&amp;" | "&amp;CR$6,'Job Master'!$F$12:$I$102,4,0)-1),""),"")</f>
        <v/>
      </c>
      <c r="CU357" s="73"/>
      <c r="CV357" s="123" t="str">
        <f t="shared" si="675"/>
        <v/>
      </c>
      <c r="CW357" s="123" t="str">
        <f t="shared" si="676"/>
        <v/>
      </c>
      <c r="CX357" s="97" t="str">
        <f t="shared" ca="1" si="677"/>
        <v/>
      </c>
      <c r="CY357" s="98" t="str">
        <f>IF(DA357&lt;&gt;"",VLOOKUP($P357&amp;" | "&amp;CY$6,'Job Master'!$F$12:$J$102,5,0),"")</f>
        <v/>
      </c>
      <c r="CZ357" s="19" t="str">
        <f>IF(DA357&lt;&gt;"",VLOOKUP($P357&amp;" | "&amp;CY$6,'Job Master'!$F$12:$J$102,3,0),"")</f>
        <v/>
      </c>
      <c r="DA357" s="19" t="str">
        <f>IFERROR(IF(AND(DH357&lt;&gt;"",VLOOKUP($P357&amp;" | "&amp;CY$6,'Job Master'!$F$12:$I$102,4,0)&lt;&gt;""),IF(WEEKDAY(DH357-VLOOKUP($P357&amp;" | "&amp;CY$6,'Job Master'!$F$12:$I$102,4,0))&lt;&gt;7,DH357-VLOOKUP($P357&amp;" | "&amp;CY$6,'Job Master'!$F$12:$I$102,4,0),DH357-VLOOKUP($P357&amp;" | "&amp;CY$6,'Job Master'!$F$12:$I$102,4,0)-1),""),"")</f>
        <v/>
      </c>
      <c r="DB357" s="73"/>
      <c r="DC357" s="123" t="str">
        <f t="shared" si="678"/>
        <v/>
      </c>
      <c r="DD357" s="123" t="str">
        <f t="shared" si="679"/>
        <v/>
      </c>
      <c r="DE357" s="97" t="str">
        <f t="shared" ca="1" si="680"/>
        <v/>
      </c>
      <c r="DF357" s="98" t="str">
        <f>IF(DH357&lt;&gt;"",VLOOKUP($P357&amp;" | "&amp;DF$6,'Job Master'!$F$12:$J$102,5,0),"")</f>
        <v/>
      </c>
      <c r="DG357" s="19" t="str">
        <f>IF(DH357&lt;&gt;"",VLOOKUP($P357&amp;" | "&amp;DF$6,'Job Master'!$F$12:$J$102,3,0),"")</f>
        <v/>
      </c>
      <c r="DH357" s="19" t="str">
        <f>IFERROR(IF(AND(DO357&lt;&gt;"",VLOOKUP($P357&amp;" | "&amp;DF$6,'Job Master'!$F$12:$I$102,4,0)&lt;&gt;""),IF(WEEKDAY(DO357-VLOOKUP($P357&amp;" | "&amp;DF$6,'Job Master'!$F$12:$I$102,4,0))&lt;&gt;7,DO357-VLOOKUP($P357&amp;" | "&amp;DF$6,'Job Master'!$F$12:$I$102,4,0),DO357-VLOOKUP($P357&amp;" | "&amp;DF$6,'Job Master'!$F$12:$I$102,4,0)-1),""),"")</f>
        <v/>
      </c>
      <c r="DI357" s="73"/>
      <c r="DJ357" s="123" t="str">
        <f t="shared" si="681"/>
        <v/>
      </c>
      <c r="DK357" s="123" t="str">
        <f t="shared" si="682"/>
        <v/>
      </c>
      <c r="DL357" s="97" t="str">
        <f t="shared" ca="1" si="683"/>
        <v/>
      </c>
      <c r="DM357" s="98" t="str">
        <f>IF(DO357&lt;&gt;"",VLOOKUP($P357&amp;" | "&amp;DM$6,'Job Master'!$F$12:$J$102,5,0),"")</f>
        <v/>
      </c>
      <c r="DN357" s="19" t="str">
        <f>IF(DO357&lt;&gt;"",VLOOKUP($P357&amp;" | "&amp;DM$6,'Job Master'!$F$12:$J$102,3,0),"")</f>
        <v/>
      </c>
      <c r="DO357" s="19" t="str">
        <f>IFERROR(IF(AND(DT357&lt;&gt;"",VLOOKUP($P357&amp;" | "&amp;DM$6,'Job Master'!$F$12:$I$102,4,0)&lt;&gt;""),IF(WEEKDAY(DT357-VLOOKUP($P357&amp;" | "&amp;DM$6,'Job Master'!$F$12:$I$102,4,0))&lt;&gt;7,DT357-VLOOKUP($P357&amp;" | "&amp;DM$6,'Job Master'!$F$12:$I$102,4,0),DT357-VLOOKUP($P357&amp;" | "&amp;DM$6,'Job Master'!$F$12:$I$102,4,0)-1),""),"")</f>
        <v/>
      </c>
      <c r="DP357" s="73"/>
      <c r="DQ357" s="123" t="str">
        <f t="shared" si="684"/>
        <v/>
      </c>
      <c r="DR357" s="123" t="str">
        <f t="shared" si="685"/>
        <v/>
      </c>
      <c r="DS357" s="97" t="str">
        <f t="shared" ca="1" si="686"/>
        <v/>
      </c>
      <c r="DT357" s="70" t="str">
        <f t="shared" si="687"/>
        <v/>
      </c>
      <c r="DU357" s="90"/>
      <c r="DV357" s="123" t="str">
        <f t="shared" si="688"/>
        <v/>
      </c>
      <c r="DW357" s="123" t="str">
        <f t="shared" si="689"/>
        <v/>
      </c>
      <c r="DX357" s="132" t="str">
        <f t="shared" ref="DX357" ca="1" si="728">IF(DT357&lt;&gt;"",IF(WEEKNUM(DT357)=WEEKNUM(TODAY()),"This Week",IF(WEEKNUM(DT357)=WEEKNUM(TODAY())+1,"Next Week",IF(WEEKNUM(DT357)=WEEKNUM(TODAY())-1,"Previous Week",""))),"")</f>
        <v/>
      </c>
      <c r="DY357" s="134" t="str">
        <f t="shared" si="691"/>
        <v/>
      </c>
      <c r="DZ357" s="95"/>
      <c r="EB357" s="8" t="str">
        <f t="shared" si="697"/>
        <v/>
      </c>
      <c r="EC357" s="8" t="str">
        <f>IF(O357&lt;&gt;"",VLOOKUP(O357,'Job Master'!$N$12:$O$18,2,0),"")</f>
        <v/>
      </c>
      <c r="ED357" s="8">
        <f t="shared" si="698"/>
        <v>19.5</v>
      </c>
      <c r="EE357" s="8">
        <f t="shared" si="699"/>
        <v>6</v>
      </c>
      <c r="EF357" s="8">
        <f t="shared" si="700"/>
        <v>-2062.5</v>
      </c>
      <c r="EG357" s="8" t="str">
        <f t="shared" si="701"/>
        <v/>
      </c>
      <c r="EH357" s="8" t="str">
        <f t="shared" si="702"/>
        <v/>
      </c>
    </row>
    <row r="358" spans="2:138" x14ac:dyDescent="0.3">
      <c r="B358" s="112"/>
      <c r="C358" s="27"/>
      <c r="D358" s="7" t="str">
        <f t="shared" si="639"/>
        <v/>
      </c>
      <c r="E358" s="25"/>
      <c r="F358" s="7" t="str">
        <f t="shared" si="639"/>
        <v/>
      </c>
      <c r="G358" s="25"/>
      <c r="H358" s="7" t="str">
        <f t="shared" si="639"/>
        <v/>
      </c>
      <c r="I358" s="25"/>
      <c r="J358" s="7" t="str">
        <f t="shared" si="639"/>
        <v/>
      </c>
      <c r="K358" s="25"/>
      <c r="L358" s="7" t="str">
        <f t="shared" si="640"/>
        <v/>
      </c>
      <c r="M358" s="25"/>
      <c r="N358" s="7" t="str">
        <f t="shared" si="641"/>
        <v/>
      </c>
      <c r="O358" s="81"/>
      <c r="P358" s="81" t="str">
        <f t="shared" si="642"/>
        <v/>
      </c>
      <c r="Q358" s="81"/>
      <c r="R358" s="7" t="str">
        <f t="shared" si="643"/>
        <v/>
      </c>
      <c r="S358" s="25"/>
      <c r="T358" s="7" t="str">
        <f t="shared" si="644"/>
        <v/>
      </c>
      <c r="U358" s="25"/>
      <c r="V358" s="7" t="str">
        <f t="shared" si="645"/>
        <v/>
      </c>
      <c r="W358" s="25"/>
      <c r="X358" s="7" t="str">
        <f t="shared" si="646"/>
        <v/>
      </c>
      <c r="Y358" s="18" t="str">
        <f t="shared" si="647"/>
        <v/>
      </c>
      <c r="Z358" s="7" t="str">
        <f t="shared" si="648"/>
        <v/>
      </c>
      <c r="AA358" s="18" t="str">
        <f t="shared" si="649"/>
        <v/>
      </c>
      <c r="AB358" s="19" t="str">
        <f t="shared" si="650"/>
        <v/>
      </c>
      <c r="AC358" s="26"/>
      <c r="AD358" s="26"/>
      <c r="AE358" s="25"/>
      <c r="AF358" s="26"/>
      <c r="AG358" s="25"/>
      <c r="AH358" s="25"/>
      <c r="AI358" s="18" t="str">
        <f t="shared" si="713"/>
        <v/>
      </c>
      <c r="AJ358" s="25"/>
      <c r="AK358" s="18" t="str">
        <f t="shared" si="714"/>
        <v/>
      </c>
      <c r="AL358" s="79"/>
      <c r="AM358" s="126" t="str">
        <f t="shared" si="715"/>
        <v/>
      </c>
      <c r="AN358" s="128" t="str">
        <f>IF(AP358&lt;&gt;"",VLOOKUP($P358&amp;" | "&amp;AN$6,'Job Master'!$F$12:$J$102,5,0),"")</f>
        <v/>
      </c>
      <c r="AO358" s="19" t="str">
        <f>IF(AP358&lt;&gt;"",VLOOKUP($P358&amp;" | "&amp;AN$6,'Job Master'!$F$12:$J$102,3,0),"")</f>
        <v/>
      </c>
      <c r="AP358" s="19" t="str">
        <f>IFERROR(IF(AND(AW358&lt;&gt;"",VLOOKUP($P358&amp;" | "&amp;AN$6,'Job Master'!$F$12:$I$102,4,0)&lt;&gt;""),IF(WEEKDAY(AW358-VLOOKUP($P358&amp;" | "&amp;AN$6,'Job Master'!$F$12:$I$102,4,0))&lt;&gt;7,AW358-VLOOKUP($P358&amp;" | "&amp;AN$6,'Job Master'!$F$12:$I$102,4,0),AW358-VLOOKUP($P358&amp;" | "&amp;AN$6,'Job Master'!$F$12:$I$102,4,0)-1),""),"")</f>
        <v/>
      </c>
      <c r="AQ358" s="73"/>
      <c r="AR358" s="123" t="str">
        <f t="shared" si="651"/>
        <v/>
      </c>
      <c r="AS358" s="123" t="str">
        <f t="shared" si="652"/>
        <v/>
      </c>
      <c r="AT358" s="97" t="str">
        <f t="shared" ca="1" si="653"/>
        <v/>
      </c>
      <c r="AU358" s="98" t="str">
        <f>IF(AW358&lt;&gt;"",VLOOKUP($P358&amp;" | "&amp;AU$6,'Job Master'!$F$12:$J$102,5,0),"")</f>
        <v/>
      </c>
      <c r="AV358" s="19" t="str">
        <f>IF(AW358&lt;&gt;"",VLOOKUP($P358&amp;" | "&amp;AU$6,'Job Master'!$F$12:$J$102,3,0),"")</f>
        <v/>
      </c>
      <c r="AW358" s="19" t="str">
        <f>IFERROR(IF(AND(BD358&lt;&gt;"",VLOOKUP($P358&amp;" | "&amp;AU$6,'Job Master'!$F$12:$I$102,4,0)&lt;&gt;""),IF(WEEKDAY(BD358-VLOOKUP($P358&amp;" | "&amp;AU$6,'Job Master'!$F$12:$I$102,4,0))&lt;&gt;7,BD358-VLOOKUP($P358&amp;" | "&amp;AU$6,'Job Master'!$F$12:$I$102,4,0),BD358-VLOOKUP($P358&amp;" | "&amp;AU$6,'Job Master'!$F$12:$I$102,4,0)-1),""),"")</f>
        <v/>
      </c>
      <c r="AX358" s="73"/>
      <c r="AY358" s="123" t="str">
        <f t="shared" si="654"/>
        <v/>
      </c>
      <c r="AZ358" s="123" t="str">
        <f t="shared" si="655"/>
        <v/>
      </c>
      <c r="BA358" s="97" t="str">
        <f t="shared" ca="1" si="656"/>
        <v/>
      </c>
      <c r="BB358" s="98" t="str">
        <f>IF(BD358&lt;&gt;"",VLOOKUP($P358&amp;" | "&amp;BB$6,'Job Master'!$F$12:$J$102,5,0),"")</f>
        <v/>
      </c>
      <c r="BC358" s="19" t="str">
        <f>IF(BD358&lt;&gt;"",VLOOKUP($P358&amp;" | "&amp;BB$6,'Job Master'!$F$12:$J$102,3,0),"")</f>
        <v/>
      </c>
      <c r="BD358" s="19" t="str">
        <f>IFERROR(IF(AND(BK358&lt;&gt;"",VLOOKUP($P358&amp;" | "&amp;BB$6,'Job Master'!$F$12:$I$102,4,0)&lt;&gt;""),IF(WEEKDAY(BK358-VLOOKUP($P358&amp;" | "&amp;BB$6,'Job Master'!$F$12:$I$102,4,0))&lt;&gt;7,BK358-VLOOKUP($P358&amp;" | "&amp;BB$6,'Job Master'!$F$12:$I$102,4,0),BK358-VLOOKUP($P358&amp;" | "&amp;BB$6,'Job Master'!$F$12:$I$102,4,0)-1),""),"")</f>
        <v/>
      </c>
      <c r="BE358" s="73"/>
      <c r="BF358" s="123" t="str">
        <f t="shared" si="657"/>
        <v/>
      </c>
      <c r="BG358" s="123" t="str">
        <f t="shared" si="658"/>
        <v/>
      </c>
      <c r="BH358" s="97" t="str">
        <f t="shared" ca="1" si="659"/>
        <v/>
      </c>
      <c r="BI358" s="98" t="str">
        <f>IF(BK358&lt;&gt;"",VLOOKUP($P358&amp;" | "&amp;BI$6,'Job Master'!$F$12:$J$102,5,0),"")</f>
        <v/>
      </c>
      <c r="BJ358" s="19" t="str">
        <f>IF(BK358&lt;&gt;"",VLOOKUP($P358&amp;" | "&amp;BI$6,'Job Master'!$F$12:$J$102,3,0),"")</f>
        <v/>
      </c>
      <c r="BK358" s="19" t="str">
        <f>IFERROR(IF(AND(BR358&lt;&gt;"",VLOOKUP($P358&amp;" | "&amp;BI$6,'Job Master'!$F$12:$I$102,4,0)&lt;&gt;""),IF(WEEKDAY(BR358-VLOOKUP($P358&amp;" | "&amp;BI$6,'Job Master'!$F$12:$I$102,4,0))&lt;&gt;7,BR358-VLOOKUP($P358&amp;" | "&amp;BI$6,'Job Master'!$F$12:$I$102,4,0),BR358-VLOOKUP($P358&amp;" | "&amp;BI$6,'Job Master'!$F$12:$I$102,4,0)-1),""),"")</f>
        <v/>
      </c>
      <c r="BL358" s="73"/>
      <c r="BM358" s="123" t="str">
        <f t="shared" si="660"/>
        <v/>
      </c>
      <c r="BN358" s="123" t="str">
        <f t="shared" si="661"/>
        <v/>
      </c>
      <c r="BO358" s="97" t="str">
        <f t="shared" ca="1" si="662"/>
        <v/>
      </c>
      <c r="BP358" s="98" t="str">
        <f>IF(BR358&lt;&gt;"",VLOOKUP($P358&amp;" | "&amp;BP$6,'Job Master'!$F$12:$J$102,5,0),"")</f>
        <v/>
      </c>
      <c r="BQ358" s="19" t="str">
        <f>IF(BR358&lt;&gt;"",VLOOKUP($P358&amp;" | "&amp;BP$6,'Job Master'!$F$12:$J$102,3,0),"")</f>
        <v/>
      </c>
      <c r="BR358" s="19" t="str">
        <f>IFERROR(IF(AND(BY358&lt;&gt;"",VLOOKUP($P358&amp;" | "&amp;BP$6,'Job Master'!$F$12:$I$102,4,0)&lt;&gt;""),IF(WEEKDAY(BY358-VLOOKUP($P358&amp;" | "&amp;BP$6,'Job Master'!$F$12:$I$102,4,0))&lt;&gt;7,BY358-VLOOKUP($P358&amp;" | "&amp;BP$6,'Job Master'!$F$12:$I$102,4,0),BY358-VLOOKUP($P358&amp;" | "&amp;BP$6,'Job Master'!$F$12:$I$102,4,0)-1),""),"")</f>
        <v/>
      </c>
      <c r="BS358" s="73"/>
      <c r="BT358" s="123" t="str">
        <f t="shared" si="663"/>
        <v/>
      </c>
      <c r="BU358" s="123" t="str">
        <f t="shared" si="664"/>
        <v/>
      </c>
      <c r="BV358" s="97" t="str">
        <f t="shared" ca="1" si="665"/>
        <v/>
      </c>
      <c r="BW358" s="98" t="str">
        <f>IF(BY358&lt;&gt;"",VLOOKUP($P358&amp;" | "&amp;BW$6,'Job Master'!$F$12:$J$102,5,0),"")</f>
        <v/>
      </c>
      <c r="BX358" s="19" t="str">
        <f>IF(BY358&lt;&gt;"",VLOOKUP($P358&amp;" | "&amp;BW$6,'Job Master'!$F$12:$J$102,3,0),"")</f>
        <v/>
      </c>
      <c r="BY358" s="19" t="str">
        <f>IFERROR(IF(AND(CF358&lt;&gt;"",VLOOKUP($P358&amp;" | "&amp;BW$6,'Job Master'!$F$12:$I$102,4,0)&lt;&gt;""),IF(WEEKDAY(CF358-VLOOKUP($P358&amp;" | "&amp;BW$6,'Job Master'!$F$12:$I$102,4,0))&lt;&gt;7,CF358-VLOOKUP($P358&amp;" | "&amp;BW$6,'Job Master'!$F$12:$I$102,4,0),CF358-VLOOKUP($P358&amp;" | "&amp;BW$6,'Job Master'!$F$12:$I$102,4,0)-1),""),"")</f>
        <v/>
      </c>
      <c r="BZ358" s="73"/>
      <c r="CA358" s="123" t="str">
        <f t="shared" si="666"/>
        <v/>
      </c>
      <c r="CB358" s="123" t="str">
        <f t="shared" si="667"/>
        <v/>
      </c>
      <c r="CC358" s="97" t="str">
        <f t="shared" ca="1" si="668"/>
        <v/>
      </c>
      <c r="CD358" s="98" t="str">
        <f>IF(CF358&lt;&gt;"",VLOOKUP($P358&amp;" | "&amp;CD$6,'Job Master'!$F$12:$J$102,5,0),"")</f>
        <v/>
      </c>
      <c r="CE358" s="19" t="str">
        <f>IF(CF358&lt;&gt;"",VLOOKUP($P358&amp;" | "&amp;CD$6,'Job Master'!$F$12:$J$102,3,0),"")</f>
        <v/>
      </c>
      <c r="CF358" s="19" t="str">
        <f>IFERROR(IF(AND(CM358&lt;&gt;"",VLOOKUP($P358&amp;" | "&amp;CD$6,'Job Master'!$F$12:$I$102,4,0)&lt;&gt;""),IF(WEEKDAY(CM358-VLOOKUP($P358&amp;" | "&amp;CD$6,'Job Master'!$F$12:$I$102,4,0))&lt;&gt;7,CM358-VLOOKUP($P358&amp;" | "&amp;CD$6,'Job Master'!$F$12:$I$102,4,0),CM358-VLOOKUP($P358&amp;" | "&amp;CD$6,'Job Master'!$F$12:$I$102,4,0)-1),""),"")</f>
        <v/>
      </c>
      <c r="CG358" s="73"/>
      <c r="CH358" s="123" t="str">
        <f t="shared" si="669"/>
        <v/>
      </c>
      <c r="CI358" s="123" t="str">
        <f t="shared" si="670"/>
        <v/>
      </c>
      <c r="CJ358" s="97" t="str">
        <f t="shared" ca="1" si="671"/>
        <v/>
      </c>
      <c r="CK358" s="98" t="str">
        <f>IF(CM358&lt;&gt;"",VLOOKUP($P358&amp;" | "&amp;CK$6,'Job Master'!$F$12:$J$102,5,0),"")</f>
        <v/>
      </c>
      <c r="CL358" s="19" t="str">
        <f>IF(CM358&lt;&gt;"",VLOOKUP($P358&amp;" | "&amp;CK$6,'Job Master'!$F$12:$J$102,3,0),"")</f>
        <v/>
      </c>
      <c r="CM358" s="19" t="str">
        <f>IFERROR(IF(AND(CT358&lt;&gt;"",VLOOKUP($P358&amp;" | "&amp;CK$6,'Job Master'!$F$12:$I$102,4,0)&lt;&gt;""),IF(WEEKDAY(CT358-VLOOKUP($P358&amp;" | "&amp;CK$6,'Job Master'!$F$12:$I$102,4,0))&lt;&gt;7,CT358-VLOOKUP($P358&amp;" | "&amp;CK$6,'Job Master'!$F$12:$I$102,4,0),CT358-VLOOKUP($P358&amp;" | "&amp;CK$6,'Job Master'!$F$12:$I$102,4,0)-1),""),"")</f>
        <v/>
      </c>
      <c r="CN358" s="73"/>
      <c r="CO358" s="123" t="str">
        <f t="shared" si="672"/>
        <v/>
      </c>
      <c r="CP358" s="123" t="str">
        <f t="shared" si="673"/>
        <v/>
      </c>
      <c r="CQ358" s="97" t="str">
        <f t="shared" ca="1" si="674"/>
        <v/>
      </c>
      <c r="CR358" s="98" t="str">
        <f>IF(CT358&lt;&gt;"",VLOOKUP($P358&amp;" | "&amp;CR$6,'Job Master'!$F$12:$J$102,5,0),"")</f>
        <v/>
      </c>
      <c r="CS358" s="19" t="str">
        <f>IF(CT358&lt;&gt;"",VLOOKUP($P358&amp;" | "&amp;CR$6,'Job Master'!$F$12:$J$102,3,0),"")</f>
        <v/>
      </c>
      <c r="CT358" s="19" t="str">
        <f>IFERROR(IF(AND(DA358&lt;&gt;"",VLOOKUP($P358&amp;" | "&amp;CR$6,'Job Master'!$F$12:$I$102,4,0)&lt;&gt;""),IF(WEEKDAY(DA358-VLOOKUP($P358&amp;" | "&amp;CR$6,'Job Master'!$F$12:$I$102,4,0))&lt;&gt;7,DA358-VLOOKUP($P358&amp;" | "&amp;CR$6,'Job Master'!$F$12:$I$102,4,0),DA358-VLOOKUP($P358&amp;" | "&amp;CR$6,'Job Master'!$F$12:$I$102,4,0)-1),""),"")</f>
        <v/>
      </c>
      <c r="CU358" s="73"/>
      <c r="CV358" s="123" t="str">
        <f t="shared" si="675"/>
        <v/>
      </c>
      <c r="CW358" s="123" t="str">
        <f t="shared" si="676"/>
        <v/>
      </c>
      <c r="CX358" s="97" t="str">
        <f t="shared" ca="1" si="677"/>
        <v/>
      </c>
      <c r="CY358" s="98" t="str">
        <f>IF(DA358&lt;&gt;"",VLOOKUP($P358&amp;" | "&amp;CY$6,'Job Master'!$F$12:$J$102,5,0),"")</f>
        <v/>
      </c>
      <c r="CZ358" s="19" t="str">
        <f>IF(DA358&lt;&gt;"",VLOOKUP($P358&amp;" | "&amp;CY$6,'Job Master'!$F$12:$J$102,3,0),"")</f>
        <v/>
      </c>
      <c r="DA358" s="19" t="str">
        <f>IFERROR(IF(AND(DH358&lt;&gt;"",VLOOKUP($P358&amp;" | "&amp;CY$6,'Job Master'!$F$12:$I$102,4,0)&lt;&gt;""),IF(WEEKDAY(DH358-VLOOKUP($P358&amp;" | "&amp;CY$6,'Job Master'!$F$12:$I$102,4,0))&lt;&gt;7,DH358-VLOOKUP($P358&amp;" | "&amp;CY$6,'Job Master'!$F$12:$I$102,4,0),DH358-VLOOKUP($P358&amp;" | "&amp;CY$6,'Job Master'!$F$12:$I$102,4,0)-1),""),"")</f>
        <v/>
      </c>
      <c r="DB358" s="73"/>
      <c r="DC358" s="123" t="str">
        <f t="shared" si="678"/>
        <v/>
      </c>
      <c r="DD358" s="123" t="str">
        <f t="shared" si="679"/>
        <v/>
      </c>
      <c r="DE358" s="97" t="str">
        <f t="shared" ca="1" si="680"/>
        <v/>
      </c>
      <c r="DF358" s="98" t="str">
        <f>IF(DH358&lt;&gt;"",VLOOKUP($P358&amp;" | "&amp;DF$6,'Job Master'!$F$12:$J$102,5,0),"")</f>
        <v/>
      </c>
      <c r="DG358" s="19" t="str">
        <f>IF(DH358&lt;&gt;"",VLOOKUP($P358&amp;" | "&amp;DF$6,'Job Master'!$F$12:$J$102,3,0),"")</f>
        <v/>
      </c>
      <c r="DH358" s="19" t="str">
        <f>IFERROR(IF(AND(DO358&lt;&gt;"",VLOOKUP($P358&amp;" | "&amp;DF$6,'Job Master'!$F$12:$I$102,4,0)&lt;&gt;""),IF(WEEKDAY(DO358-VLOOKUP($P358&amp;" | "&amp;DF$6,'Job Master'!$F$12:$I$102,4,0))&lt;&gt;7,DO358-VLOOKUP($P358&amp;" | "&amp;DF$6,'Job Master'!$F$12:$I$102,4,0),DO358-VLOOKUP($P358&amp;" | "&amp;DF$6,'Job Master'!$F$12:$I$102,4,0)-1),""),"")</f>
        <v/>
      </c>
      <c r="DI358" s="73"/>
      <c r="DJ358" s="123" t="str">
        <f t="shared" si="681"/>
        <v/>
      </c>
      <c r="DK358" s="123" t="str">
        <f t="shared" si="682"/>
        <v/>
      </c>
      <c r="DL358" s="97" t="str">
        <f t="shared" ca="1" si="683"/>
        <v/>
      </c>
      <c r="DM358" s="98" t="str">
        <f>IF(DO358&lt;&gt;"",VLOOKUP($P358&amp;" | "&amp;DM$6,'Job Master'!$F$12:$J$102,5,0),"")</f>
        <v/>
      </c>
      <c r="DN358" s="19" t="str">
        <f>IF(DO358&lt;&gt;"",VLOOKUP($P358&amp;" | "&amp;DM$6,'Job Master'!$F$12:$J$102,3,0),"")</f>
        <v/>
      </c>
      <c r="DO358" s="19" t="str">
        <f>IFERROR(IF(AND(DT358&lt;&gt;"",VLOOKUP($P358&amp;" | "&amp;DM$6,'Job Master'!$F$12:$I$102,4,0)&lt;&gt;""),IF(WEEKDAY(DT358-VLOOKUP($P358&amp;" | "&amp;DM$6,'Job Master'!$F$12:$I$102,4,0))&lt;&gt;7,DT358-VLOOKUP($P358&amp;" | "&amp;DM$6,'Job Master'!$F$12:$I$102,4,0),DT358-VLOOKUP($P358&amp;" | "&amp;DM$6,'Job Master'!$F$12:$I$102,4,0)-1),""),"")</f>
        <v/>
      </c>
      <c r="DP358" s="73"/>
      <c r="DQ358" s="123" t="str">
        <f t="shared" si="684"/>
        <v/>
      </c>
      <c r="DR358" s="123" t="str">
        <f t="shared" si="685"/>
        <v/>
      </c>
      <c r="DS358" s="97" t="str">
        <f t="shared" ca="1" si="686"/>
        <v/>
      </c>
      <c r="DT358" s="70" t="str">
        <f t="shared" si="687"/>
        <v/>
      </c>
      <c r="DU358" s="90"/>
      <c r="DV358" s="123" t="str">
        <f t="shared" si="688"/>
        <v/>
      </c>
      <c r="DW358" s="123" t="str">
        <f t="shared" si="689"/>
        <v/>
      </c>
      <c r="DX358" s="132" t="str">
        <f t="shared" ref="DX358" ca="1" si="729">IF(DT358&lt;&gt;"",IF(WEEKNUM(DT358)=WEEKNUM(TODAY()),"This Week",IF(WEEKNUM(DT358)=WEEKNUM(TODAY())+1,"Next Week",IF(WEEKNUM(DT358)=WEEKNUM(TODAY())-1,"Previous Week",""))),"")</f>
        <v/>
      </c>
      <c r="DY358" s="134" t="str">
        <f t="shared" si="691"/>
        <v/>
      </c>
      <c r="DZ358" s="95"/>
      <c r="EB358" s="8" t="str">
        <f t="shared" si="697"/>
        <v/>
      </c>
      <c r="EC358" s="8" t="str">
        <f>IF(O358&lt;&gt;"",VLOOKUP(O358,'Job Master'!$N$12:$O$18,2,0),"")</f>
        <v/>
      </c>
      <c r="ED358" s="8">
        <f t="shared" si="698"/>
        <v>19.5</v>
      </c>
      <c r="EE358" s="8">
        <f t="shared" si="699"/>
        <v>6</v>
      </c>
      <c r="EF358" s="8">
        <f t="shared" si="700"/>
        <v>-2068.5</v>
      </c>
      <c r="EG358" s="8" t="str">
        <f t="shared" si="701"/>
        <v/>
      </c>
      <c r="EH358" s="8" t="str">
        <f t="shared" si="702"/>
        <v/>
      </c>
    </row>
    <row r="359" spans="2:138" x14ac:dyDescent="0.3">
      <c r="B359" s="112"/>
      <c r="C359" s="27"/>
      <c r="D359" s="7" t="str">
        <f t="shared" si="639"/>
        <v/>
      </c>
      <c r="E359" s="25"/>
      <c r="F359" s="7" t="str">
        <f t="shared" si="639"/>
        <v/>
      </c>
      <c r="G359" s="25"/>
      <c r="H359" s="7" t="str">
        <f t="shared" si="639"/>
        <v/>
      </c>
      <c r="I359" s="25"/>
      <c r="J359" s="7" t="str">
        <f t="shared" si="639"/>
        <v/>
      </c>
      <c r="K359" s="25"/>
      <c r="L359" s="7" t="str">
        <f t="shared" si="640"/>
        <v/>
      </c>
      <c r="M359" s="25"/>
      <c r="N359" s="7" t="str">
        <f t="shared" si="641"/>
        <v/>
      </c>
      <c r="O359" s="81"/>
      <c r="P359" s="81" t="str">
        <f t="shared" si="642"/>
        <v/>
      </c>
      <c r="Q359" s="81"/>
      <c r="R359" s="7" t="str">
        <f t="shared" si="643"/>
        <v/>
      </c>
      <c r="S359" s="25"/>
      <c r="T359" s="7" t="str">
        <f t="shared" si="644"/>
        <v/>
      </c>
      <c r="U359" s="25"/>
      <c r="V359" s="7" t="str">
        <f t="shared" si="645"/>
        <v/>
      </c>
      <c r="W359" s="25"/>
      <c r="X359" s="7" t="str">
        <f t="shared" si="646"/>
        <v/>
      </c>
      <c r="Y359" s="18" t="str">
        <f t="shared" si="647"/>
        <v/>
      </c>
      <c r="Z359" s="7" t="str">
        <f t="shared" si="648"/>
        <v/>
      </c>
      <c r="AA359" s="18" t="str">
        <f t="shared" si="649"/>
        <v/>
      </c>
      <c r="AB359" s="19" t="str">
        <f t="shared" si="650"/>
        <v/>
      </c>
      <c r="AC359" s="26"/>
      <c r="AD359" s="26"/>
      <c r="AE359" s="25"/>
      <c r="AF359" s="26"/>
      <c r="AG359" s="25"/>
      <c r="AH359" s="25"/>
      <c r="AI359" s="18" t="str">
        <f t="shared" si="713"/>
        <v/>
      </c>
      <c r="AJ359" s="25"/>
      <c r="AK359" s="18" t="str">
        <f t="shared" si="714"/>
        <v/>
      </c>
      <c r="AL359" s="79"/>
      <c r="AM359" s="126" t="str">
        <f t="shared" si="715"/>
        <v/>
      </c>
      <c r="AN359" s="128" t="str">
        <f>IF(AP359&lt;&gt;"",VLOOKUP($P359&amp;" | "&amp;AN$6,'Job Master'!$F$12:$J$102,5,0),"")</f>
        <v/>
      </c>
      <c r="AO359" s="19" t="str">
        <f>IF(AP359&lt;&gt;"",VLOOKUP($P359&amp;" | "&amp;AN$6,'Job Master'!$F$12:$J$102,3,0),"")</f>
        <v/>
      </c>
      <c r="AP359" s="19" t="str">
        <f>IFERROR(IF(AND(AW359&lt;&gt;"",VLOOKUP($P359&amp;" | "&amp;AN$6,'Job Master'!$F$12:$I$102,4,0)&lt;&gt;""),IF(WEEKDAY(AW359-VLOOKUP($P359&amp;" | "&amp;AN$6,'Job Master'!$F$12:$I$102,4,0))&lt;&gt;7,AW359-VLOOKUP($P359&amp;" | "&amp;AN$6,'Job Master'!$F$12:$I$102,4,0),AW359-VLOOKUP($P359&amp;" | "&amp;AN$6,'Job Master'!$F$12:$I$102,4,0)-1),""),"")</f>
        <v/>
      </c>
      <c r="AQ359" s="73"/>
      <c r="AR359" s="123" t="str">
        <f t="shared" si="651"/>
        <v/>
      </c>
      <c r="AS359" s="123" t="str">
        <f t="shared" si="652"/>
        <v/>
      </c>
      <c r="AT359" s="97" t="str">
        <f t="shared" ca="1" si="653"/>
        <v/>
      </c>
      <c r="AU359" s="98" t="str">
        <f>IF(AW359&lt;&gt;"",VLOOKUP($P359&amp;" | "&amp;AU$6,'Job Master'!$F$12:$J$102,5,0),"")</f>
        <v/>
      </c>
      <c r="AV359" s="19" t="str">
        <f>IF(AW359&lt;&gt;"",VLOOKUP($P359&amp;" | "&amp;AU$6,'Job Master'!$F$12:$J$102,3,0),"")</f>
        <v/>
      </c>
      <c r="AW359" s="19" t="str">
        <f>IFERROR(IF(AND(BD359&lt;&gt;"",VLOOKUP($P359&amp;" | "&amp;AU$6,'Job Master'!$F$12:$I$102,4,0)&lt;&gt;""),IF(WEEKDAY(BD359-VLOOKUP($P359&amp;" | "&amp;AU$6,'Job Master'!$F$12:$I$102,4,0))&lt;&gt;7,BD359-VLOOKUP($P359&amp;" | "&amp;AU$6,'Job Master'!$F$12:$I$102,4,0),BD359-VLOOKUP($P359&amp;" | "&amp;AU$6,'Job Master'!$F$12:$I$102,4,0)-1),""),"")</f>
        <v/>
      </c>
      <c r="AX359" s="73"/>
      <c r="AY359" s="123" t="str">
        <f t="shared" si="654"/>
        <v/>
      </c>
      <c r="AZ359" s="123" t="str">
        <f t="shared" si="655"/>
        <v/>
      </c>
      <c r="BA359" s="97" t="str">
        <f t="shared" ca="1" si="656"/>
        <v/>
      </c>
      <c r="BB359" s="98" t="str">
        <f>IF(BD359&lt;&gt;"",VLOOKUP($P359&amp;" | "&amp;BB$6,'Job Master'!$F$12:$J$102,5,0),"")</f>
        <v/>
      </c>
      <c r="BC359" s="19" t="str">
        <f>IF(BD359&lt;&gt;"",VLOOKUP($P359&amp;" | "&amp;BB$6,'Job Master'!$F$12:$J$102,3,0),"")</f>
        <v/>
      </c>
      <c r="BD359" s="19" t="str">
        <f>IFERROR(IF(AND(BK359&lt;&gt;"",VLOOKUP($P359&amp;" | "&amp;BB$6,'Job Master'!$F$12:$I$102,4,0)&lt;&gt;""),IF(WEEKDAY(BK359-VLOOKUP($P359&amp;" | "&amp;BB$6,'Job Master'!$F$12:$I$102,4,0))&lt;&gt;7,BK359-VLOOKUP($P359&amp;" | "&amp;BB$6,'Job Master'!$F$12:$I$102,4,0),BK359-VLOOKUP($P359&amp;" | "&amp;BB$6,'Job Master'!$F$12:$I$102,4,0)-1),""),"")</f>
        <v/>
      </c>
      <c r="BE359" s="73"/>
      <c r="BF359" s="123" t="str">
        <f t="shared" si="657"/>
        <v/>
      </c>
      <c r="BG359" s="123" t="str">
        <f t="shared" si="658"/>
        <v/>
      </c>
      <c r="BH359" s="97" t="str">
        <f t="shared" ca="1" si="659"/>
        <v/>
      </c>
      <c r="BI359" s="98" t="str">
        <f>IF(BK359&lt;&gt;"",VLOOKUP($P359&amp;" | "&amp;BI$6,'Job Master'!$F$12:$J$102,5,0),"")</f>
        <v/>
      </c>
      <c r="BJ359" s="19" t="str">
        <f>IF(BK359&lt;&gt;"",VLOOKUP($P359&amp;" | "&amp;BI$6,'Job Master'!$F$12:$J$102,3,0),"")</f>
        <v/>
      </c>
      <c r="BK359" s="19" t="str">
        <f>IFERROR(IF(AND(BR359&lt;&gt;"",VLOOKUP($P359&amp;" | "&amp;BI$6,'Job Master'!$F$12:$I$102,4,0)&lt;&gt;""),IF(WEEKDAY(BR359-VLOOKUP($P359&amp;" | "&amp;BI$6,'Job Master'!$F$12:$I$102,4,0))&lt;&gt;7,BR359-VLOOKUP($P359&amp;" | "&amp;BI$6,'Job Master'!$F$12:$I$102,4,0),BR359-VLOOKUP($P359&amp;" | "&amp;BI$6,'Job Master'!$F$12:$I$102,4,0)-1),""),"")</f>
        <v/>
      </c>
      <c r="BL359" s="73"/>
      <c r="BM359" s="123" t="str">
        <f t="shared" si="660"/>
        <v/>
      </c>
      <c r="BN359" s="123" t="str">
        <f t="shared" si="661"/>
        <v/>
      </c>
      <c r="BO359" s="97" t="str">
        <f t="shared" ca="1" si="662"/>
        <v/>
      </c>
      <c r="BP359" s="98" t="str">
        <f>IF(BR359&lt;&gt;"",VLOOKUP($P359&amp;" | "&amp;BP$6,'Job Master'!$F$12:$J$102,5,0),"")</f>
        <v/>
      </c>
      <c r="BQ359" s="19" t="str">
        <f>IF(BR359&lt;&gt;"",VLOOKUP($P359&amp;" | "&amp;BP$6,'Job Master'!$F$12:$J$102,3,0),"")</f>
        <v/>
      </c>
      <c r="BR359" s="19" t="str">
        <f>IFERROR(IF(AND(BY359&lt;&gt;"",VLOOKUP($P359&amp;" | "&amp;BP$6,'Job Master'!$F$12:$I$102,4,0)&lt;&gt;""),IF(WEEKDAY(BY359-VLOOKUP($P359&amp;" | "&amp;BP$6,'Job Master'!$F$12:$I$102,4,0))&lt;&gt;7,BY359-VLOOKUP($P359&amp;" | "&amp;BP$6,'Job Master'!$F$12:$I$102,4,0),BY359-VLOOKUP($P359&amp;" | "&amp;BP$6,'Job Master'!$F$12:$I$102,4,0)-1),""),"")</f>
        <v/>
      </c>
      <c r="BS359" s="73"/>
      <c r="BT359" s="123" t="str">
        <f t="shared" si="663"/>
        <v/>
      </c>
      <c r="BU359" s="123" t="str">
        <f t="shared" si="664"/>
        <v/>
      </c>
      <c r="BV359" s="97" t="str">
        <f t="shared" ca="1" si="665"/>
        <v/>
      </c>
      <c r="BW359" s="98" t="str">
        <f>IF(BY359&lt;&gt;"",VLOOKUP($P359&amp;" | "&amp;BW$6,'Job Master'!$F$12:$J$102,5,0),"")</f>
        <v/>
      </c>
      <c r="BX359" s="19" t="str">
        <f>IF(BY359&lt;&gt;"",VLOOKUP($P359&amp;" | "&amp;BW$6,'Job Master'!$F$12:$J$102,3,0),"")</f>
        <v/>
      </c>
      <c r="BY359" s="19" t="str">
        <f>IFERROR(IF(AND(CF359&lt;&gt;"",VLOOKUP($P359&amp;" | "&amp;BW$6,'Job Master'!$F$12:$I$102,4,0)&lt;&gt;""),IF(WEEKDAY(CF359-VLOOKUP($P359&amp;" | "&amp;BW$6,'Job Master'!$F$12:$I$102,4,0))&lt;&gt;7,CF359-VLOOKUP($P359&amp;" | "&amp;BW$6,'Job Master'!$F$12:$I$102,4,0),CF359-VLOOKUP($P359&amp;" | "&amp;BW$6,'Job Master'!$F$12:$I$102,4,0)-1),""),"")</f>
        <v/>
      </c>
      <c r="BZ359" s="73"/>
      <c r="CA359" s="123" t="str">
        <f t="shared" si="666"/>
        <v/>
      </c>
      <c r="CB359" s="123" t="str">
        <f t="shared" si="667"/>
        <v/>
      </c>
      <c r="CC359" s="97" t="str">
        <f t="shared" ca="1" si="668"/>
        <v/>
      </c>
      <c r="CD359" s="98" t="str">
        <f>IF(CF359&lt;&gt;"",VLOOKUP($P359&amp;" | "&amp;CD$6,'Job Master'!$F$12:$J$102,5,0),"")</f>
        <v/>
      </c>
      <c r="CE359" s="19" t="str">
        <f>IF(CF359&lt;&gt;"",VLOOKUP($P359&amp;" | "&amp;CD$6,'Job Master'!$F$12:$J$102,3,0),"")</f>
        <v/>
      </c>
      <c r="CF359" s="19" t="str">
        <f>IFERROR(IF(AND(CM359&lt;&gt;"",VLOOKUP($P359&amp;" | "&amp;CD$6,'Job Master'!$F$12:$I$102,4,0)&lt;&gt;""),IF(WEEKDAY(CM359-VLOOKUP($P359&amp;" | "&amp;CD$6,'Job Master'!$F$12:$I$102,4,0))&lt;&gt;7,CM359-VLOOKUP($P359&amp;" | "&amp;CD$6,'Job Master'!$F$12:$I$102,4,0),CM359-VLOOKUP($P359&amp;" | "&amp;CD$6,'Job Master'!$F$12:$I$102,4,0)-1),""),"")</f>
        <v/>
      </c>
      <c r="CG359" s="73"/>
      <c r="CH359" s="123" t="str">
        <f t="shared" si="669"/>
        <v/>
      </c>
      <c r="CI359" s="123" t="str">
        <f t="shared" si="670"/>
        <v/>
      </c>
      <c r="CJ359" s="97" t="str">
        <f t="shared" ca="1" si="671"/>
        <v/>
      </c>
      <c r="CK359" s="98" t="str">
        <f>IF(CM359&lt;&gt;"",VLOOKUP($P359&amp;" | "&amp;CK$6,'Job Master'!$F$12:$J$102,5,0),"")</f>
        <v/>
      </c>
      <c r="CL359" s="19" t="str">
        <f>IF(CM359&lt;&gt;"",VLOOKUP($P359&amp;" | "&amp;CK$6,'Job Master'!$F$12:$J$102,3,0),"")</f>
        <v/>
      </c>
      <c r="CM359" s="19" t="str">
        <f>IFERROR(IF(AND(CT359&lt;&gt;"",VLOOKUP($P359&amp;" | "&amp;CK$6,'Job Master'!$F$12:$I$102,4,0)&lt;&gt;""),IF(WEEKDAY(CT359-VLOOKUP($P359&amp;" | "&amp;CK$6,'Job Master'!$F$12:$I$102,4,0))&lt;&gt;7,CT359-VLOOKUP($P359&amp;" | "&amp;CK$6,'Job Master'!$F$12:$I$102,4,0),CT359-VLOOKUP($P359&amp;" | "&amp;CK$6,'Job Master'!$F$12:$I$102,4,0)-1),""),"")</f>
        <v/>
      </c>
      <c r="CN359" s="73"/>
      <c r="CO359" s="123" t="str">
        <f t="shared" si="672"/>
        <v/>
      </c>
      <c r="CP359" s="123" t="str">
        <f t="shared" si="673"/>
        <v/>
      </c>
      <c r="CQ359" s="97" t="str">
        <f t="shared" ca="1" si="674"/>
        <v/>
      </c>
      <c r="CR359" s="98" t="str">
        <f>IF(CT359&lt;&gt;"",VLOOKUP($P359&amp;" | "&amp;CR$6,'Job Master'!$F$12:$J$102,5,0),"")</f>
        <v/>
      </c>
      <c r="CS359" s="19" t="str">
        <f>IF(CT359&lt;&gt;"",VLOOKUP($P359&amp;" | "&amp;CR$6,'Job Master'!$F$12:$J$102,3,0),"")</f>
        <v/>
      </c>
      <c r="CT359" s="19" t="str">
        <f>IFERROR(IF(AND(DA359&lt;&gt;"",VLOOKUP($P359&amp;" | "&amp;CR$6,'Job Master'!$F$12:$I$102,4,0)&lt;&gt;""),IF(WEEKDAY(DA359-VLOOKUP($P359&amp;" | "&amp;CR$6,'Job Master'!$F$12:$I$102,4,0))&lt;&gt;7,DA359-VLOOKUP($P359&amp;" | "&amp;CR$6,'Job Master'!$F$12:$I$102,4,0),DA359-VLOOKUP($P359&amp;" | "&amp;CR$6,'Job Master'!$F$12:$I$102,4,0)-1),""),"")</f>
        <v/>
      </c>
      <c r="CU359" s="73"/>
      <c r="CV359" s="123" t="str">
        <f t="shared" si="675"/>
        <v/>
      </c>
      <c r="CW359" s="123" t="str">
        <f t="shared" si="676"/>
        <v/>
      </c>
      <c r="CX359" s="97" t="str">
        <f t="shared" ca="1" si="677"/>
        <v/>
      </c>
      <c r="CY359" s="98" t="str">
        <f>IF(DA359&lt;&gt;"",VLOOKUP($P359&amp;" | "&amp;CY$6,'Job Master'!$F$12:$J$102,5,0),"")</f>
        <v/>
      </c>
      <c r="CZ359" s="19" t="str">
        <f>IF(DA359&lt;&gt;"",VLOOKUP($P359&amp;" | "&amp;CY$6,'Job Master'!$F$12:$J$102,3,0),"")</f>
        <v/>
      </c>
      <c r="DA359" s="19" t="str">
        <f>IFERROR(IF(AND(DH359&lt;&gt;"",VLOOKUP($P359&amp;" | "&amp;CY$6,'Job Master'!$F$12:$I$102,4,0)&lt;&gt;""),IF(WEEKDAY(DH359-VLOOKUP($P359&amp;" | "&amp;CY$6,'Job Master'!$F$12:$I$102,4,0))&lt;&gt;7,DH359-VLOOKUP($P359&amp;" | "&amp;CY$6,'Job Master'!$F$12:$I$102,4,0),DH359-VLOOKUP($P359&amp;" | "&amp;CY$6,'Job Master'!$F$12:$I$102,4,0)-1),""),"")</f>
        <v/>
      </c>
      <c r="DB359" s="73"/>
      <c r="DC359" s="123" t="str">
        <f t="shared" si="678"/>
        <v/>
      </c>
      <c r="DD359" s="123" t="str">
        <f t="shared" si="679"/>
        <v/>
      </c>
      <c r="DE359" s="97" t="str">
        <f t="shared" ca="1" si="680"/>
        <v/>
      </c>
      <c r="DF359" s="98" t="str">
        <f>IF(DH359&lt;&gt;"",VLOOKUP($P359&amp;" | "&amp;DF$6,'Job Master'!$F$12:$J$102,5,0),"")</f>
        <v/>
      </c>
      <c r="DG359" s="19" t="str">
        <f>IF(DH359&lt;&gt;"",VLOOKUP($P359&amp;" | "&amp;DF$6,'Job Master'!$F$12:$J$102,3,0),"")</f>
        <v/>
      </c>
      <c r="DH359" s="19" t="str">
        <f>IFERROR(IF(AND(DO359&lt;&gt;"",VLOOKUP($P359&amp;" | "&amp;DF$6,'Job Master'!$F$12:$I$102,4,0)&lt;&gt;""),IF(WEEKDAY(DO359-VLOOKUP($P359&amp;" | "&amp;DF$6,'Job Master'!$F$12:$I$102,4,0))&lt;&gt;7,DO359-VLOOKUP($P359&amp;" | "&amp;DF$6,'Job Master'!$F$12:$I$102,4,0),DO359-VLOOKUP($P359&amp;" | "&amp;DF$6,'Job Master'!$F$12:$I$102,4,0)-1),""),"")</f>
        <v/>
      </c>
      <c r="DI359" s="73"/>
      <c r="DJ359" s="123" t="str">
        <f t="shared" si="681"/>
        <v/>
      </c>
      <c r="DK359" s="123" t="str">
        <f t="shared" si="682"/>
        <v/>
      </c>
      <c r="DL359" s="97" t="str">
        <f t="shared" ca="1" si="683"/>
        <v/>
      </c>
      <c r="DM359" s="98" t="str">
        <f>IF(DO359&lt;&gt;"",VLOOKUP($P359&amp;" | "&amp;DM$6,'Job Master'!$F$12:$J$102,5,0),"")</f>
        <v/>
      </c>
      <c r="DN359" s="19" t="str">
        <f>IF(DO359&lt;&gt;"",VLOOKUP($P359&amp;" | "&amp;DM$6,'Job Master'!$F$12:$J$102,3,0),"")</f>
        <v/>
      </c>
      <c r="DO359" s="19" t="str">
        <f>IFERROR(IF(AND(DT359&lt;&gt;"",VLOOKUP($P359&amp;" | "&amp;DM$6,'Job Master'!$F$12:$I$102,4,0)&lt;&gt;""),IF(WEEKDAY(DT359-VLOOKUP($P359&amp;" | "&amp;DM$6,'Job Master'!$F$12:$I$102,4,0))&lt;&gt;7,DT359-VLOOKUP($P359&amp;" | "&amp;DM$6,'Job Master'!$F$12:$I$102,4,0),DT359-VLOOKUP($P359&amp;" | "&amp;DM$6,'Job Master'!$F$12:$I$102,4,0)-1),""),"")</f>
        <v/>
      </c>
      <c r="DP359" s="73"/>
      <c r="DQ359" s="123" t="str">
        <f t="shared" si="684"/>
        <v/>
      </c>
      <c r="DR359" s="123" t="str">
        <f t="shared" si="685"/>
        <v/>
      </c>
      <c r="DS359" s="97" t="str">
        <f t="shared" ca="1" si="686"/>
        <v/>
      </c>
      <c r="DT359" s="70" t="str">
        <f t="shared" si="687"/>
        <v/>
      </c>
      <c r="DU359" s="90"/>
      <c r="DV359" s="123" t="str">
        <f t="shared" si="688"/>
        <v/>
      </c>
      <c r="DW359" s="123" t="str">
        <f t="shared" si="689"/>
        <v/>
      </c>
      <c r="DX359" s="132" t="str">
        <f t="shared" ref="DX359" ca="1" si="730">IF(DT359&lt;&gt;"",IF(WEEKNUM(DT359)=WEEKNUM(TODAY()),"This Week",IF(WEEKNUM(DT359)=WEEKNUM(TODAY())+1,"Next Week",IF(WEEKNUM(DT359)=WEEKNUM(TODAY())-1,"Previous Week",""))),"")</f>
        <v/>
      </c>
      <c r="DY359" s="134" t="str">
        <f t="shared" si="691"/>
        <v/>
      </c>
      <c r="DZ359" s="95"/>
      <c r="EB359" s="8" t="str">
        <f t="shared" si="697"/>
        <v/>
      </c>
      <c r="EC359" s="8" t="str">
        <f>IF(O359&lt;&gt;"",VLOOKUP(O359,'Job Master'!$N$12:$O$18,2,0),"")</f>
        <v/>
      </c>
      <c r="ED359" s="8">
        <f t="shared" si="698"/>
        <v>19.5</v>
      </c>
      <c r="EE359" s="8">
        <f t="shared" si="699"/>
        <v>6</v>
      </c>
      <c r="EF359" s="8">
        <f t="shared" si="700"/>
        <v>-2074.5</v>
      </c>
      <c r="EG359" s="8" t="str">
        <f t="shared" si="701"/>
        <v/>
      </c>
      <c r="EH359" s="8" t="str">
        <f t="shared" si="702"/>
        <v/>
      </c>
    </row>
    <row r="360" spans="2:138" x14ac:dyDescent="0.3">
      <c r="B360" s="112"/>
      <c r="C360" s="27"/>
      <c r="D360" s="7" t="str">
        <f t="shared" si="639"/>
        <v/>
      </c>
      <c r="E360" s="25"/>
      <c r="F360" s="7" t="str">
        <f t="shared" si="639"/>
        <v/>
      </c>
      <c r="G360" s="25"/>
      <c r="H360" s="7" t="str">
        <f t="shared" si="639"/>
        <v/>
      </c>
      <c r="I360" s="25"/>
      <c r="J360" s="7" t="str">
        <f t="shared" si="639"/>
        <v/>
      </c>
      <c r="K360" s="25"/>
      <c r="L360" s="7" t="str">
        <f t="shared" si="640"/>
        <v/>
      </c>
      <c r="M360" s="25"/>
      <c r="N360" s="7" t="str">
        <f t="shared" si="641"/>
        <v/>
      </c>
      <c r="O360" s="81"/>
      <c r="P360" s="81" t="str">
        <f t="shared" si="642"/>
        <v/>
      </c>
      <c r="Q360" s="81"/>
      <c r="R360" s="7" t="str">
        <f t="shared" si="643"/>
        <v/>
      </c>
      <c r="S360" s="25"/>
      <c r="T360" s="7" t="str">
        <f t="shared" si="644"/>
        <v/>
      </c>
      <c r="U360" s="25"/>
      <c r="V360" s="7" t="str">
        <f t="shared" si="645"/>
        <v/>
      </c>
      <c r="W360" s="25"/>
      <c r="X360" s="7" t="str">
        <f t="shared" si="646"/>
        <v/>
      </c>
      <c r="Y360" s="18" t="str">
        <f t="shared" si="647"/>
        <v/>
      </c>
      <c r="Z360" s="7" t="str">
        <f t="shared" si="648"/>
        <v/>
      </c>
      <c r="AA360" s="18" t="str">
        <f t="shared" si="649"/>
        <v/>
      </c>
      <c r="AB360" s="19" t="str">
        <f t="shared" si="650"/>
        <v/>
      </c>
      <c r="AC360" s="26"/>
      <c r="AD360" s="26"/>
      <c r="AE360" s="25"/>
      <c r="AF360" s="26"/>
      <c r="AG360" s="25"/>
      <c r="AH360" s="25"/>
      <c r="AI360" s="18" t="str">
        <f t="shared" si="713"/>
        <v/>
      </c>
      <c r="AJ360" s="25"/>
      <c r="AK360" s="18" t="str">
        <f t="shared" si="714"/>
        <v/>
      </c>
      <c r="AL360" s="79"/>
      <c r="AM360" s="126" t="str">
        <f t="shared" si="715"/>
        <v/>
      </c>
      <c r="AN360" s="128" t="str">
        <f>IF(AP360&lt;&gt;"",VLOOKUP($P360&amp;" | "&amp;AN$6,'Job Master'!$F$12:$J$102,5,0),"")</f>
        <v/>
      </c>
      <c r="AO360" s="19" t="str">
        <f>IF(AP360&lt;&gt;"",VLOOKUP($P360&amp;" | "&amp;AN$6,'Job Master'!$F$12:$J$102,3,0),"")</f>
        <v/>
      </c>
      <c r="AP360" s="19" t="str">
        <f>IFERROR(IF(AND(AW360&lt;&gt;"",VLOOKUP($P360&amp;" | "&amp;AN$6,'Job Master'!$F$12:$I$102,4,0)&lt;&gt;""),IF(WEEKDAY(AW360-VLOOKUP($P360&amp;" | "&amp;AN$6,'Job Master'!$F$12:$I$102,4,0))&lt;&gt;7,AW360-VLOOKUP($P360&amp;" | "&amp;AN$6,'Job Master'!$F$12:$I$102,4,0),AW360-VLOOKUP($P360&amp;" | "&amp;AN$6,'Job Master'!$F$12:$I$102,4,0)-1),""),"")</f>
        <v/>
      </c>
      <c r="AQ360" s="73"/>
      <c r="AR360" s="123" t="str">
        <f t="shared" si="651"/>
        <v/>
      </c>
      <c r="AS360" s="123" t="str">
        <f t="shared" si="652"/>
        <v/>
      </c>
      <c r="AT360" s="97" t="str">
        <f t="shared" ca="1" si="653"/>
        <v/>
      </c>
      <c r="AU360" s="98" t="str">
        <f>IF(AW360&lt;&gt;"",VLOOKUP($P360&amp;" | "&amp;AU$6,'Job Master'!$F$12:$J$102,5,0),"")</f>
        <v/>
      </c>
      <c r="AV360" s="19" t="str">
        <f>IF(AW360&lt;&gt;"",VLOOKUP($P360&amp;" | "&amp;AU$6,'Job Master'!$F$12:$J$102,3,0),"")</f>
        <v/>
      </c>
      <c r="AW360" s="19" t="str">
        <f>IFERROR(IF(AND(BD360&lt;&gt;"",VLOOKUP($P360&amp;" | "&amp;AU$6,'Job Master'!$F$12:$I$102,4,0)&lt;&gt;""),IF(WEEKDAY(BD360-VLOOKUP($P360&amp;" | "&amp;AU$6,'Job Master'!$F$12:$I$102,4,0))&lt;&gt;7,BD360-VLOOKUP($P360&amp;" | "&amp;AU$6,'Job Master'!$F$12:$I$102,4,0),BD360-VLOOKUP($P360&amp;" | "&amp;AU$6,'Job Master'!$F$12:$I$102,4,0)-1),""),"")</f>
        <v/>
      </c>
      <c r="AX360" s="73"/>
      <c r="AY360" s="123" t="str">
        <f t="shared" si="654"/>
        <v/>
      </c>
      <c r="AZ360" s="123" t="str">
        <f t="shared" si="655"/>
        <v/>
      </c>
      <c r="BA360" s="97" t="str">
        <f t="shared" ca="1" si="656"/>
        <v/>
      </c>
      <c r="BB360" s="98" t="str">
        <f>IF(BD360&lt;&gt;"",VLOOKUP($P360&amp;" | "&amp;BB$6,'Job Master'!$F$12:$J$102,5,0),"")</f>
        <v/>
      </c>
      <c r="BC360" s="19" t="str">
        <f>IF(BD360&lt;&gt;"",VLOOKUP($P360&amp;" | "&amp;BB$6,'Job Master'!$F$12:$J$102,3,0),"")</f>
        <v/>
      </c>
      <c r="BD360" s="19" t="str">
        <f>IFERROR(IF(AND(BK360&lt;&gt;"",VLOOKUP($P360&amp;" | "&amp;BB$6,'Job Master'!$F$12:$I$102,4,0)&lt;&gt;""),IF(WEEKDAY(BK360-VLOOKUP($P360&amp;" | "&amp;BB$6,'Job Master'!$F$12:$I$102,4,0))&lt;&gt;7,BK360-VLOOKUP($P360&amp;" | "&amp;BB$6,'Job Master'!$F$12:$I$102,4,0),BK360-VLOOKUP($P360&amp;" | "&amp;BB$6,'Job Master'!$F$12:$I$102,4,0)-1),""),"")</f>
        <v/>
      </c>
      <c r="BE360" s="73"/>
      <c r="BF360" s="123" t="str">
        <f t="shared" si="657"/>
        <v/>
      </c>
      <c r="BG360" s="123" t="str">
        <f t="shared" si="658"/>
        <v/>
      </c>
      <c r="BH360" s="97" t="str">
        <f t="shared" ca="1" si="659"/>
        <v/>
      </c>
      <c r="BI360" s="98" t="str">
        <f>IF(BK360&lt;&gt;"",VLOOKUP($P360&amp;" | "&amp;BI$6,'Job Master'!$F$12:$J$102,5,0),"")</f>
        <v/>
      </c>
      <c r="BJ360" s="19" t="str">
        <f>IF(BK360&lt;&gt;"",VLOOKUP($P360&amp;" | "&amp;BI$6,'Job Master'!$F$12:$J$102,3,0),"")</f>
        <v/>
      </c>
      <c r="BK360" s="19" t="str">
        <f>IFERROR(IF(AND(BR360&lt;&gt;"",VLOOKUP($P360&amp;" | "&amp;BI$6,'Job Master'!$F$12:$I$102,4,0)&lt;&gt;""),IF(WEEKDAY(BR360-VLOOKUP($P360&amp;" | "&amp;BI$6,'Job Master'!$F$12:$I$102,4,0))&lt;&gt;7,BR360-VLOOKUP($P360&amp;" | "&amp;BI$6,'Job Master'!$F$12:$I$102,4,0),BR360-VLOOKUP($P360&amp;" | "&amp;BI$6,'Job Master'!$F$12:$I$102,4,0)-1),""),"")</f>
        <v/>
      </c>
      <c r="BL360" s="73"/>
      <c r="BM360" s="123" t="str">
        <f t="shared" si="660"/>
        <v/>
      </c>
      <c r="BN360" s="123" t="str">
        <f t="shared" si="661"/>
        <v/>
      </c>
      <c r="BO360" s="97" t="str">
        <f t="shared" ca="1" si="662"/>
        <v/>
      </c>
      <c r="BP360" s="98" t="str">
        <f>IF(BR360&lt;&gt;"",VLOOKUP($P360&amp;" | "&amp;BP$6,'Job Master'!$F$12:$J$102,5,0),"")</f>
        <v/>
      </c>
      <c r="BQ360" s="19" t="str">
        <f>IF(BR360&lt;&gt;"",VLOOKUP($P360&amp;" | "&amp;BP$6,'Job Master'!$F$12:$J$102,3,0),"")</f>
        <v/>
      </c>
      <c r="BR360" s="19" t="str">
        <f>IFERROR(IF(AND(BY360&lt;&gt;"",VLOOKUP($P360&amp;" | "&amp;BP$6,'Job Master'!$F$12:$I$102,4,0)&lt;&gt;""),IF(WEEKDAY(BY360-VLOOKUP($P360&amp;" | "&amp;BP$6,'Job Master'!$F$12:$I$102,4,0))&lt;&gt;7,BY360-VLOOKUP($P360&amp;" | "&amp;BP$6,'Job Master'!$F$12:$I$102,4,0),BY360-VLOOKUP($P360&amp;" | "&amp;BP$6,'Job Master'!$F$12:$I$102,4,0)-1),""),"")</f>
        <v/>
      </c>
      <c r="BS360" s="73"/>
      <c r="BT360" s="123" t="str">
        <f t="shared" si="663"/>
        <v/>
      </c>
      <c r="BU360" s="123" t="str">
        <f t="shared" si="664"/>
        <v/>
      </c>
      <c r="BV360" s="97" t="str">
        <f t="shared" ca="1" si="665"/>
        <v/>
      </c>
      <c r="BW360" s="98" t="str">
        <f>IF(BY360&lt;&gt;"",VLOOKUP($P360&amp;" | "&amp;BW$6,'Job Master'!$F$12:$J$102,5,0),"")</f>
        <v/>
      </c>
      <c r="BX360" s="19" t="str">
        <f>IF(BY360&lt;&gt;"",VLOOKUP($P360&amp;" | "&amp;BW$6,'Job Master'!$F$12:$J$102,3,0),"")</f>
        <v/>
      </c>
      <c r="BY360" s="19" t="str">
        <f>IFERROR(IF(AND(CF360&lt;&gt;"",VLOOKUP($P360&amp;" | "&amp;BW$6,'Job Master'!$F$12:$I$102,4,0)&lt;&gt;""),IF(WEEKDAY(CF360-VLOOKUP($P360&amp;" | "&amp;BW$6,'Job Master'!$F$12:$I$102,4,0))&lt;&gt;7,CF360-VLOOKUP($P360&amp;" | "&amp;BW$6,'Job Master'!$F$12:$I$102,4,0),CF360-VLOOKUP($P360&amp;" | "&amp;BW$6,'Job Master'!$F$12:$I$102,4,0)-1),""),"")</f>
        <v/>
      </c>
      <c r="BZ360" s="73"/>
      <c r="CA360" s="123" t="str">
        <f t="shared" si="666"/>
        <v/>
      </c>
      <c r="CB360" s="123" t="str">
        <f t="shared" si="667"/>
        <v/>
      </c>
      <c r="CC360" s="97" t="str">
        <f t="shared" ca="1" si="668"/>
        <v/>
      </c>
      <c r="CD360" s="98" t="str">
        <f>IF(CF360&lt;&gt;"",VLOOKUP($P360&amp;" | "&amp;CD$6,'Job Master'!$F$12:$J$102,5,0),"")</f>
        <v/>
      </c>
      <c r="CE360" s="19" t="str">
        <f>IF(CF360&lt;&gt;"",VLOOKUP($P360&amp;" | "&amp;CD$6,'Job Master'!$F$12:$J$102,3,0),"")</f>
        <v/>
      </c>
      <c r="CF360" s="19" t="str">
        <f>IFERROR(IF(AND(CM360&lt;&gt;"",VLOOKUP($P360&amp;" | "&amp;CD$6,'Job Master'!$F$12:$I$102,4,0)&lt;&gt;""),IF(WEEKDAY(CM360-VLOOKUP($P360&amp;" | "&amp;CD$6,'Job Master'!$F$12:$I$102,4,0))&lt;&gt;7,CM360-VLOOKUP($P360&amp;" | "&amp;CD$6,'Job Master'!$F$12:$I$102,4,0),CM360-VLOOKUP($P360&amp;" | "&amp;CD$6,'Job Master'!$F$12:$I$102,4,0)-1),""),"")</f>
        <v/>
      </c>
      <c r="CG360" s="73"/>
      <c r="CH360" s="123" t="str">
        <f t="shared" si="669"/>
        <v/>
      </c>
      <c r="CI360" s="123" t="str">
        <f t="shared" si="670"/>
        <v/>
      </c>
      <c r="CJ360" s="97" t="str">
        <f t="shared" ca="1" si="671"/>
        <v/>
      </c>
      <c r="CK360" s="98" t="str">
        <f>IF(CM360&lt;&gt;"",VLOOKUP($P360&amp;" | "&amp;CK$6,'Job Master'!$F$12:$J$102,5,0),"")</f>
        <v/>
      </c>
      <c r="CL360" s="19" t="str">
        <f>IF(CM360&lt;&gt;"",VLOOKUP($P360&amp;" | "&amp;CK$6,'Job Master'!$F$12:$J$102,3,0),"")</f>
        <v/>
      </c>
      <c r="CM360" s="19" t="str">
        <f>IFERROR(IF(AND(CT360&lt;&gt;"",VLOOKUP($P360&amp;" | "&amp;CK$6,'Job Master'!$F$12:$I$102,4,0)&lt;&gt;""),IF(WEEKDAY(CT360-VLOOKUP($P360&amp;" | "&amp;CK$6,'Job Master'!$F$12:$I$102,4,0))&lt;&gt;7,CT360-VLOOKUP($P360&amp;" | "&amp;CK$6,'Job Master'!$F$12:$I$102,4,0),CT360-VLOOKUP($P360&amp;" | "&amp;CK$6,'Job Master'!$F$12:$I$102,4,0)-1),""),"")</f>
        <v/>
      </c>
      <c r="CN360" s="73"/>
      <c r="CO360" s="123" t="str">
        <f t="shared" si="672"/>
        <v/>
      </c>
      <c r="CP360" s="123" t="str">
        <f t="shared" si="673"/>
        <v/>
      </c>
      <c r="CQ360" s="97" t="str">
        <f t="shared" ca="1" si="674"/>
        <v/>
      </c>
      <c r="CR360" s="98" t="str">
        <f>IF(CT360&lt;&gt;"",VLOOKUP($P360&amp;" | "&amp;CR$6,'Job Master'!$F$12:$J$102,5,0),"")</f>
        <v/>
      </c>
      <c r="CS360" s="19" t="str">
        <f>IF(CT360&lt;&gt;"",VLOOKUP($P360&amp;" | "&amp;CR$6,'Job Master'!$F$12:$J$102,3,0),"")</f>
        <v/>
      </c>
      <c r="CT360" s="19" t="str">
        <f>IFERROR(IF(AND(DA360&lt;&gt;"",VLOOKUP($P360&amp;" | "&amp;CR$6,'Job Master'!$F$12:$I$102,4,0)&lt;&gt;""),IF(WEEKDAY(DA360-VLOOKUP($P360&amp;" | "&amp;CR$6,'Job Master'!$F$12:$I$102,4,0))&lt;&gt;7,DA360-VLOOKUP($P360&amp;" | "&amp;CR$6,'Job Master'!$F$12:$I$102,4,0),DA360-VLOOKUP($P360&amp;" | "&amp;CR$6,'Job Master'!$F$12:$I$102,4,0)-1),""),"")</f>
        <v/>
      </c>
      <c r="CU360" s="73"/>
      <c r="CV360" s="123" t="str">
        <f t="shared" si="675"/>
        <v/>
      </c>
      <c r="CW360" s="123" t="str">
        <f t="shared" si="676"/>
        <v/>
      </c>
      <c r="CX360" s="97" t="str">
        <f t="shared" ca="1" si="677"/>
        <v/>
      </c>
      <c r="CY360" s="98" t="str">
        <f>IF(DA360&lt;&gt;"",VLOOKUP($P360&amp;" | "&amp;CY$6,'Job Master'!$F$12:$J$102,5,0),"")</f>
        <v/>
      </c>
      <c r="CZ360" s="19" t="str">
        <f>IF(DA360&lt;&gt;"",VLOOKUP($P360&amp;" | "&amp;CY$6,'Job Master'!$F$12:$J$102,3,0),"")</f>
        <v/>
      </c>
      <c r="DA360" s="19" t="str">
        <f>IFERROR(IF(AND(DH360&lt;&gt;"",VLOOKUP($P360&amp;" | "&amp;CY$6,'Job Master'!$F$12:$I$102,4,0)&lt;&gt;""),IF(WEEKDAY(DH360-VLOOKUP($P360&amp;" | "&amp;CY$6,'Job Master'!$F$12:$I$102,4,0))&lt;&gt;7,DH360-VLOOKUP($P360&amp;" | "&amp;CY$6,'Job Master'!$F$12:$I$102,4,0),DH360-VLOOKUP($P360&amp;" | "&amp;CY$6,'Job Master'!$F$12:$I$102,4,0)-1),""),"")</f>
        <v/>
      </c>
      <c r="DB360" s="73"/>
      <c r="DC360" s="123" t="str">
        <f t="shared" si="678"/>
        <v/>
      </c>
      <c r="DD360" s="123" t="str">
        <f t="shared" si="679"/>
        <v/>
      </c>
      <c r="DE360" s="97" t="str">
        <f t="shared" ca="1" si="680"/>
        <v/>
      </c>
      <c r="DF360" s="98" t="str">
        <f>IF(DH360&lt;&gt;"",VLOOKUP($P360&amp;" | "&amp;DF$6,'Job Master'!$F$12:$J$102,5,0),"")</f>
        <v/>
      </c>
      <c r="DG360" s="19" t="str">
        <f>IF(DH360&lt;&gt;"",VLOOKUP($P360&amp;" | "&amp;DF$6,'Job Master'!$F$12:$J$102,3,0),"")</f>
        <v/>
      </c>
      <c r="DH360" s="19" t="str">
        <f>IFERROR(IF(AND(DO360&lt;&gt;"",VLOOKUP($P360&amp;" | "&amp;DF$6,'Job Master'!$F$12:$I$102,4,0)&lt;&gt;""),IF(WEEKDAY(DO360-VLOOKUP($P360&amp;" | "&amp;DF$6,'Job Master'!$F$12:$I$102,4,0))&lt;&gt;7,DO360-VLOOKUP($P360&amp;" | "&amp;DF$6,'Job Master'!$F$12:$I$102,4,0),DO360-VLOOKUP($P360&amp;" | "&amp;DF$6,'Job Master'!$F$12:$I$102,4,0)-1),""),"")</f>
        <v/>
      </c>
      <c r="DI360" s="73"/>
      <c r="DJ360" s="123" t="str">
        <f t="shared" si="681"/>
        <v/>
      </c>
      <c r="DK360" s="123" t="str">
        <f t="shared" si="682"/>
        <v/>
      </c>
      <c r="DL360" s="97" t="str">
        <f t="shared" ca="1" si="683"/>
        <v/>
      </c>
      <c r="DM360" s="98" t="str">
        <f>IF(DO360&lt;&gt;"",VLOOKUP($P360&amp;" | "&amp;DM$6,'Job Master'!$F$12:$J$102,5,0),"")</f>
        <v/>
      </c>
      <c r="DN360" s="19" t="str">
        <f>IF(DO360&lt;&gt;"",VLOOKUP($P360&amp;" | "&amp;DM$6,'Job Master'!$F$12:$J$102,3,0),"")</f>
        <v/>
      </c>
      <c r="DO360" s="19" t="str">
        <f>IFERROR(IF(AND(DT360&lt;&gt;"",VLOOKUP($P360&amp;" | "&amp;DM$6,'Job Master'!$F$12:$I$102,4,0)&lt;&gt;""),IF(WEEKDAY(DT360-VLOOKUP($P360&amp;" | "&amp;DM$6,'Job Master'!$F$12:$I$102,4,0))&lt;&gt;7,DT360-VLOOKUP($P360&amp;" | "&amp;DM$6,'Job Master'!$F$12:$I$102,4,0),DT360-VLOOKUP($P360&amp;" | "&amp;DM$6,'Job Master'!$F$12:$I$102,4,0)-1),""),"")</f>
        <v/>
      </c>
      <c r="DP360" s="73"/>
      <c r="DQ360" s="123" t="str">
        <f t="shared" si="684"/>
        <v/>
      </c>
      <c r="DR360" s="123" t="str">
        <f t="shared" si="685"/>
        <v/>
      </c>
      <c r="DS360" s="97" t="str">
        <f t="shared" ca="1" si="686"/>
        <v/>
      </c>
      <c r="DT360" s="70" t="str">
        <f t="shared" si="687"/>
        <v/>
      </c>
      <c r="DU360" s="90"/>
      <c r="DV360" s="123" t="str">
        <f t="shared" si="688"/>
        <v/>
      </c>
      <c r="DW360" s="123" t="str">
        <f t="shared" si="689"/>
        <v/>
      </c>
      <c r="DX360" s="132" t="str">
        <f t="shared" ref="DX360" ca="1" si="731">IF(DT360&lt;&gt;"",IF(WEEKNUM(DT360)=WEEKNUM(TODAY()),"This Week",IF(WEEKNUM(DT360)=WEEKNUM(TODAY())+1,"Next Week",IF(WEEKNUM(DT360)=WEEKNUM(TODAY())-1,"Previous Week",""))),"")</f>
        <v/>
      </c>
      <c r="DY360" s="134" t="str">
        <f t="shared" si="691"/>
        <v/>
      </c>
      <c r="DZ360" s="95"/>
      <c r="EB360" s="8" t="str">
        <f t="shared" si="697"/>
        <v/>
      </c>
      <c r="EC360" s="8" t="str">
        <f>IF(O360&lt;&gt;"",VLOOKUP(O360,'Job Master'!$N$12:$O$18,2,0),"")</f>
        <v/>
      </c>
      <c r="ED360" s="8">
        <f t="shared" si="698"/>
        <v>19.5</v>
      </c>
      <c r="EE360" s="8">
        <f t="shared" si="699"/>
        <v>6</v>
      </c>
      <c r="EF360" s="8">
        <f t="shared" si="700"/>
        <v>-2080.5</v>
      </c>
      <c r="EG360" s="8" t="str">
        <f t="shared" si="701"/>
        <v/>
      </c>
      <c r="EH360" s="8" t="str">
        <f t="shared" si="702"/>
        <v/>
      </c>
    </row>
    <row r="361" spans="2:138" x14ac:dyDescent="0.3">
      <c r="B361" s="112"/>
      <c r="C361" s="27"/>
      <c r="D361" s="7" t="str">
        <f t="shared" si="639"/>
        <v/>
      </c>
      <c r="E361" s="25"/>
      <c r="F361" s="7" t="str">
        <f t="shared" si="639"/>
        <v/>
      </c>
      <c r="G361" s="25"/>
      <c r="H361" s="7" t="str">
        <f t="shared" si="639"/>
        <v/>
      </c>
      <c r="I361" s="25"/>
      <c r="J361" s="7" t="str">
        <f t="shared" si="639"/>
        <v/>
      </c>
      <c r="K361" s="25"/>
      <c r="L361" s="7" t="str">
        <f t="shared" si="640"/>
        <v/>
      </c>
      <c r="M361" s="25"/>
      <c r="N361" s="7" t="str">
        <f t="shared" si="641"/>
        <v/>
      </c>
      <c r="O361" s="81"/>
      <c r="P361" s="81" t="str">
        <f t="shared" si="642"/>
        <v/>
      </c>
      <c r="Q361" s="81"/>
      <c r="R361" s="7" t="str">
        <f t="shared" si="643"/>
        <v/>
      </c>
      <c r="S361" s="25"/>
      <c r="T361" s="7" t="str">
        <f t="shared" si="644"/>
        <v/>
      </c>
      <c r="U361" s="25"/>
      <c r="V361" s="7" t="str">
        <f t="shared" si="645"/>
        <v/>
      </c>
      <c r="W361" s="25"/>
      <c r="X361" s="7" t="str">
        <f t="shared" si="646"/>
        <v/>
      </c>
      <c r="Y361" s="18" t="str">
        <f t="shared" si="647"/>
        <v/>
      </c>
      <c r="Z361" s="7" t="str">
        <f t="shared" si="648"/>
        <v/>
      </c>
      <c r="AA361" s="18" t="str">
        <f t="shared" si="649"/>
        <v/>
      </c>
      <c r="AB361" s="19" t="str">
        <f t="shared" si="650"/>
        <v/>
      </c>
      <c r="AC361" s="26"/>
      <c r="AD361" s="26"/>
      <c r="AE361" s="25"/>
      <c r="AF361" s="26"/>
      <c r="AG361" s="25"/>
      <c r="AH361" s="25"/>
      <c r="AI361" s="18" t="str">
        <f t="shared" si="713"/>
        <v/>
      </c>
      <c r="AJ361" s="25"/>
      <c r="AK361" s="18" t="str">
        <f t="shared" si="714"/>
        <v/>
      </c>
      <c r="AL361" s="79"/>
      <c r="AM361" s="126" t="str">
        <f t="shared" si="715"/>
        <v/>
      </c>
      <c r="AN361" s="128" t="str">
        <f>IF(AP361&lt;&gt;"",VLOOKUP($P361&amp;" | "&amp;AN$6,'Job Master'!$F$12:$J$102,5,0),"")</f>
        <v/>
      </c>
      <c r="AO361" s="19" t="str">
        <f>IF(AP361&lt;&gt;"",VLOOKUP($P361&amp;" | "&amp;AN$6,'Job Master'!$F$12:$J$102,3,0),"")</f>
        <v/>
      </c>
      <c r="AP361" s="19" t="str">
        <f>IFERROR(IF(AND(AW361&lt;&gt;"",VLOOKUP($P361&amp;" | "&amp;AN$6,'Job Master'!$F$12:$I$102,4,0)&lt;&gt;""),IF(WEEKDAY(AW361-VLOOKUP($P361&amp;" | "&amp;AN$6,'Job Master'!$F$12:$I$102,4,0))&lt;&gt;7,AW361-VLOOKUP($P361&amp;" | "&amp;AN$6,'Job Master'!$F$12:$I$102,4,0),AW361-VLOOKUP($P361&amp;" | "&amp;AN$6,'Job Master'!$F$12:$I$102,4,0)-1),""),"")</f>
        <v/>
      </c>
      <c r="AQ361" s="73"/>
      <c r="AR361" s="123" t="str">
        <f t="shared" si="651"/>
        <v/>
      </c>
      <c r="AS361" s="123" t="str">
        <f t="shared" si="652"/>
        <v/>
      </c>
      <c r="AT361" s="97" t="str">
        <f t="shared" ca="1" si="653"/>
        <v/>
      </c>
      <c r="AU361" s="98" t="str">
        <f>IF(AW361&lt;&gt;"",VLOOKUP($P361&amp;" | "&amp;AU$6,'Job Master'!$F$12:$J$102,5,0),"")</f>
        <v/>
      </c>
      <c r="AV361" s="19" t="str">
        <f>IF(AW361&lt;&gt;"",VLOOKUP($P361&amp;" | "&amp;AU$6,'Job Master'!$F$12:$J$102,3,0),"")</f>
        <v/>
      </c>
      <c r="AW361" s="19" t="str">
        <f>IFERROR(IF(AND(BD361&lt;&gt;"",VLOOKUP($P361&amp;" | "&amp;AU$6,'Job Master'!$F$12:$I$102,4,0)&lt;&gt;""),IF(WEEKDAY(BD361-VLOOKUP($P361&amp;" | "&amp;AU$6,'Job Master'!$F$12:$I$102,4,0))&lt;&gt;7,BD361-VLOOKUP($P361&amp;" | "&amp;AU$6,'Job Master'!$F$12:$I$102,4,0),BD361-VLOOKUP($P361&amp;" | "&amp;AU$6,'Job Master'!$F$12:$I$102,4,0)-1),""),"")</f>
        <v/>
      </c>
      <c r="AX361" s="73"/>
      <c r="AY361" s="123" t="str">
        <f t="shared" si="654"/>
        <v/>
      </c>
      <c r="AZ361" s="123" t="str">
        <f t="shared" si="655"/>
        <v/>
      </c>
      <c r="BA361" s="97" t="str">
        <f t="shared" ca="1" si="656"/>
        <v/>
      </c>
      <c r="BB361" s="98" t="str">
        <f>IF(BD361&lt;&gt;"",VLOOKUP($P361&amp;" | "&amp;BB$6,'Job Master'!$F$12:$J$102,5,0),"")</f>
        <v/>
      </c>
      <c r="BC361" s="19" t="str">
        <f>IF(BD361&lt;&gt;"",VLOOKUP($P361&amp;" | "&amp;BB$6,'Job Master'!$F$12:$J$102,3,0),"")</f>
        <v/>
      </c>
      <c r="BD361" s="19" t="str">
        <f>IFERROR(IF(AND(BK361&lt;&gt;"",VLOOKUP($P361&amp;" | "&amp;BB$6,'Job Master'!$F$12:$I$102,4,0)&lt;&gt;""),IF(WEEKDAY(BK361-VLOOKUP($P361&amp;" | "&amp;BB$6,'Job Master'!$F$12:$I$102,4,0))&lt;&gt;7,BK361-VLOOKUP($P361&amp;" | "&amp;BB$6,'Job Master'!$F$12:$I$102,4,0),BK361-VLOOKUP($P361&amp;" | "&amp;BB$6,'Job Master'!$F$12:$I$102,4,0)-1),""),"")</f>
        <v/>
      </c>
      <c r="BE361" s="73"/>
      <c r="BF361" s="123" t="str">
        <f t="shared" si="657"/>
        <v/>
      </c>
      <c r="BG361" s="123" t="str">
        <f t="shared" si="658"/>
        <v/>
      </c>
      <c r="BH361" s="97" t="str">
        <f t="shared" ca="1" si="659"/>
        <v/>
      </c>
      <c r="BI361" s="98" t="str">
        <f>IF(BK361&lt;&gt;"",VLOOKUP($P361&amp;" | "&amp;BI$6,'Job Master'!$F$12:$J$102,5,0),"")</f>
        <v/>
      </c>
      <c r="BJ361" s="19" t="str">
        <f>IF(BK361&lt;&gt;"",VLOOKUP($P361&amp;" | "&amp;BI$6,'Job Master'!$F$12:$J$102,3,0),"")</f>
        <v/>
      </c>
      <c r="BK361" s="19" t="str">
        <f>IFERROR(IF(AND(BR361&lt;&gt;"",VLOOKUP($P361&amp;" | "&amp;BI$6,'Job Master'!$F$12:$I$102,4,0)&lt;&gt;""),IF(WEEKDAY(BR361-VLOOKUP($P361&amp;" | "&amp;BI$6,'Job Master'!$F$12:$I$102,4,0))&lt;&gt;7,BR361-VLOOKUP($P361&amp;" | "&amp;BI$6,'Job Master'!$F$12:$I$102,4,0),BR361-VLOOKUP($P361&amp;" | "&amp;BI$6,'Job Master'!$F$12:$I$102,4,0)-1),""),"")</f>
        <v/>
      </c>
      <c r="BL361" s="73"/>
      <c r="BM361" s="123" t="str">
        <f t="shared" si="660"/>
        <v/>
      </c>
      <c r="BN361" s="123" t="str">
        <f t="shared" si="661"/>
        <v/>
      </c>
      <c r="BO361" s="97" t="str">
        <f t="shared" ca="1" si="662"/>
        <v/>
      </c>
      <c r="BP361" s="98" t="str">
        <f>IF(BR361&lt;&gt;"",VLOOKUP($P361&amp;" | "&amp;BP$6,'Job Master'!$F$12:$J$102,5,0),"")</f>
        <v/>
      </c>
      <c r="BQ361" s="19" t="str">
        <f>IF(BR361&lt;&gt;"",VLOOKUP($P361&amp;" | "&amp;BP$6,'Job Master'!$F$12:$J$102,3,0),"")</f>
        <v/>
      </c>
      <c r="BR361" s="19" t="str">
        <f>IFERROR(IF(AND(BY361&lt;&gt;"",VLOOKUP($P361&amp;" | "&amp;BP$6,'Job Master'!$F$12:$I$102,4,0)&lt;&gt;""),IF(WEEKDAY(BY361-VLOOKUP($P361&amp;" | "&amp;BP$6,'Job Master'!$F$12:$I$102,4,0))&lt;&gt;7,BY361-VLOOKUP($P361&amp;" | "&amp;BP$6,'Job Master'!$F$12:$I$102,4,0),BY361-VLOOKUP($P361&amp;" | "&amp;BP$6,'Job Master'!$F$12:$I$102,4,0)-1),""),"")</f>
        <v/>
      </c>
      <c r="BS361" s="73"/>
      <c r="BT361" s="123" t="str">
        <f t="shared" si="663"/>
        <v/>
      </c>
      <c r="BU361" s="123" t="str">
        <f t="shared" si="664"/>
        <v/>
      </c>
      <c r="BV361" s="97" t="str">
        <f t="shared" ca="1" si="665"/>
        <v/>
      </c>
      <c r="BW361" s="98" t="str">
        <f>IF(BY361&lt;&gt;"",VLOOKUP($P361&amp;" | "&amp;BW$6,'Job Master'!$F$12:$J$102,5,0),"")</f>
        <v/>
      </c>
      <c r="BX361" s="19" t="str">
        <f>IF(BY361&lt;&gt;"",VLOOKUP($P361&amp;" | "&amp;BW$6,'Job Master'!$F$12:$J$102,3,0),"")</f>
        <v/>
      </c>
      <c r="BY361" s="19" t="str">
        <f>IFERROR(IF(AND(CF361&lt;&gt;"",VLOOKUP($P361&amp;" | "&amp;BW$6,'Job Master'!$F$12:$I$102,4,0)&lt;&gt;""),IF(WEEKDAY(CF361-VLOOKUP($P361&amp;" | "&amp;BW$6,'Job Master'!$F$12:$I$102,4,0))&lt;&gt;7,CF361-VLOOKUP($P361&amp;" | "&amp;BW$6,'Job Master'!$F$12:$I$102,4,0),CF361-VLOOKUP($P361&amp;" | "&amp;BW$6,'Job Master'!$F$12:$I$102,4,0)-1),""),"")</f>
        <v/>
      </c>
      <c r="BZ361" s="73"/>
      <c r="CA361" s="123" t="str">
        <f t="shared" si="666"/>
        <v/>
      </c>
      <c r="CB361" s="123" t="str">
        <f t="shared" si="667"/>
        <v/>
      </c>
      <c r="CC361" s="97" t="str">
        <f t="shared" ca="1" si="668"/>
        <v/>
      </c>
      <c r="CD361" s="98" t="str">
        <f>IF(CF361&lt;&gt;"",VLOOKUP($P361&amp;" | "&amp;CD$6,'Job Master'!$F$12:$J$102,5,0),"")</f>
        <v/>
      </c>
      <c r="CE361" s="19" t="str">
        <f>IF(CF361&lt;&gt;"",VLOOKUP($P361&amp;" | "&amp;CD$6,'Job Master'!$F$12:$J$102,3,0),"")</f>
        <v/>
      </c>
      <c r="CF361" s="19" t="str">
        <f>IFERROR(IF(AND(CM361&lt;&gt;"",VLOOKUP($P361&amp;" | "&amp;CD$6,'Job Master'!$F$12:$I$102,4,0)&lt;&gt;""),IF(WEEKDAY(CM361-VLOOKUP($P361&amp;" | "&amp;CD$6,'Job Master'!$F$12:$I$102,4,0))&lt;&gt;7,CM361-VLOOKUP($P361&amp;" | "&amp;CD$6,'Job Master'!$F$12:$I$102,4,0),CM361-VLOOKUP($P361&amp;" | "&amp;CD$6,'Job Master'!$F$12:$I$102,4,0)-1),""),"")</f>
        <v/>
      </c>
      <c r="CG361" s="73"/>
      <c r="CH361" s="123" t="str">
        <f t="shared" si="669"/>
        <v/>
      </c>
      <c r="CI361" s="123" t="str">
        <f t="shared" si="670"/>
        <v/>
      </c>
      <c r="CJ361" s="97" t="str">
        <f t="shared" ca="1" si="671"/>
        <v/>
      </c>
      <c r="CK361" s="98" t="str">
        <f>IF(CM361&lt;&gt;"",VLOOKUP($P361&amp;" | "&amp;CK$6,'Job Master'!$F$12:$J$102,5,0),"")</f>
        <v/>
      </c>
      <c r="CL361" s="19" t="str">
        <f>IF(CM361&lt;&gt;"",VLOOKUP($P361&amp;" | "&amp;CK$6,'Job Master'!$F$12:$J$102,3,0),"")</f>
        <v/>
      </c>
      <c r="CM361" s="19" t="str">
        <f>IFERROR(IF(AND(CT361&lt;&gt;"",VLOOKUP($P361&amp;" | "&amp;CK$6,'Job Master'!$F$12:$I$102,4,0)&lt;&gt;""),IF(WEEKDAY(CT361-VLOOKUP($P361&amp;" | "&amp;CK$6,'Job Master'!$F$12:$I$102,4,0))&lt;&gt;7,CT361-VLOOKUP($P361&amp;" | "&amp;CK$6,'Job Master'!$F$12:$I$102,4,0),CT361-VLOOKUP($P361&amp;" | "&amp;CK$6,'Job Master'!$F$12:$I$102,4,0)-1),""),"")</f>
        <v/>
      </c>
      <c r="CN361" s="73"/>
      <c r="CO361" s="123" t="str">
        <f t="shared" si="672"/>
        <v/>
      </c>
      <c r="CP361" s="123" t="str">
        <f t="shared" si="673"/>
        <v/>
      </c>
      <c r="CQ361" s="97" t="str">
        <f t="shared" ca="1" si="674"/>
        <v/>
      </c>
      <c r="CR361" s="98" t="str">
        <f>IF(CT361&lt;&gt;"",VLOOKUP($P361&amp;" | "&amp;CR$6,'Job Master'!$F$12:$J$102,5,0),"")</f>
        <v/>
      </c>
      <c r="CS361" s="19" t="str">
        <f>IF(CT361&lt;&gt;"",VLOOKUP($P361&amp;" | "&amp;CR$6,'Job Master'!$F$12:$J$102,3,0),"")</f>
        <v/>
      </c>
      <c r="CT361" s="19" t="str">
        <f>IFERROR(IF(AND(DA361&lt;&gt;"",VLOOKUP($P361&amp;" | "&amp;CR$6,'Job Master'!$F$12:$I$102,4,0)&lt;&gt;""),IF(WEEKDAY(DA361-VLOOKUP($P361&amp;" | "&amp;CR$6,'Job Master'!$F$12:$I$102,4,0))&lt;&gt;7,DA361-VLOOKUP($P361&amp;" | "&amp;CR$6,'Job Master'!$F$12:$I$102,4,0),DA361-VLOOKUP($P361&amp;" | "&amp;CR$6,'Job Master'!$F$12:$I$102,4,0)-1),""),"")</f>
        <v/>
      </c>
      <c r="CU361" s="73"/>
      <c r="CV361" s="123" t="str">
        <f t="shared" si="675"/>
        <v/>
      </c>
      <c r="CW361" s="123" t="str">
        <f t="shared" si="676"/>
        <v/>
      </c>
      <c r="CX361" s="97" t="str">
        <f t="shared" ca="1" si="677"/>
        <v/>
      </c>
      <c r="CY361" s="98" t="str">
        <f>IF(DA361&lt;&gt;"",VLOOKUP($P361&amp;" | "&amp;CY$6,'Job Master'!$F$12:$J$102,5,0),"")</f>
        <v/>
      </c>
      <c r="CZ361" s="19" t="str">
        <f>IF(DA361&lt;&gt;"",VLOOKUP($P361&amp;" | "&amp;CY$6,'Job Master'!$F$12:$J$102,3,0),"")</f>
        <v/>
      </c>
      <c r="DA361" s="19" t="str">
        <f>IFERROR(IF(AND(DH361&lt;&gt;"",VLOOKUP($P361&amp;" | "&amp;CY$6,'Job Master'!$F$12:$I$102,4,0)&lt;&gt;""),IF(WEEKDAY(DH361-VLOOKUP($P361&amp;" | "&amp;CY$6,'Job Master'!$F$12:$I$102,4,0))&lt;&gt;7,DH361-VLOOKUP($P361&amp;" | "&amp;CY$6,'Job Master'!$F$12:$I$102,4,0),DH361-VLOOKUP($P361&amp;" | "&amp;CY$6,'Job Master'!$F$12:$I$102,4,0)-1),""),"")</f>
        <v/>
      </c>
      <c r="DB361" s="73"/>
      <c r="DC361" s="123" t="str">
        <f t="shared" si="678"/>
        <v/>
      </c>
      <c r="DD361" s="123" t="str">
        <f t="shared" si="679"/>
        <v/>
      </c>
      <c r="DE361" s="97" t="str">
        <f t="shared" ca="1" si="680"/>
        <v/>
      </c>
      <c r="DF361" s="98" t="str">
        <f>IF(DH361&lt;&gt;"",VLOOKUP($P361&amp;" | "&amp;DF$6,'Job Master'!$F$12:$J$102,5,0),"")</f>
        <v/>
      </c>
      <c r="DG361" s="19" t="str">
        <f>IF(DH361&lt;&gt;"",VLOOKUP($P361&amp;" | "&amp;DF$6,'Job Master'!$F$12:$J$102,3,0),"")</f>
        <v/>
      </c>
      <c r="DH361" s="19" t="str">
        <f>IFERROR(IF(AND(DO361&lt;&gt;"",VLOOKUP($P361&amp;" | "&amp;DF$6,'Job Master'!$F$12:$I$102,4,0)&lt;&gt;""),IF(WEEKDAY(DO361-VLOOKUP($P361&amp;" | "&amp;DF$6,'Job Master'!$F$12:$I$102,4,0))&lt;&gt;7,DO361-VLOOKUP($P361&amp;" | "&amp;DF$6,'Job Master'!$F$12:$I$102,4,0),DO361-VLOOKUP($P361&amp;" | "&amp;DF$6,'Job Master'!$F$12:$I$102,4,0)-1),""),"")</f>
        <v/>
      </c>
      <c r="DI361" s="73"/>
      <c r="DJ361" s="123" t="str">
        <f t="shared" si="681"/>
        <v/>
      </c>
      <c r="DK361" s="123" t="str">
        <f t="shared" si="682"/>
        <v/>
      </c>
      <c r="DL361" s="97" t="str">
        <f t="shared" ca="1" si="683"/>
        <v/>
      </c>
      <c r="DM361" s="98" t="str">
        <f>IF(DO361&lt;&gt;"",VLOOKUP($P361&amp;" | "&amp;DM$6,'Job Master'!$F$12:$J$102,5,0),"")</f>
        <v/>
      </c>
      <c r="DN361" s="19" t="str">
        <f>IF(DO361&lt;&gt;"",VLOOKUP($P361&amp;" | "&amp;DM$6,'Job Master'!$F$12:$J$102,3,0),"")</f>
        <v/>
      </c>
      <c r="DO361" s="19" t="str">
        <f>IFERROR(IF(AND(DT361&lt;&gt;"",VLOOKUP($P361&amp;" | "&amp;DM$6,'Job Master'!$F$12:$I$102,4,0)&lt;&gt;""),IF(WEEKDAY(DT361-VLOOKUP($P361&amp;" | "&amp;DM$6,'Job Master'!$F$12:$I$102,4,0))&lt;&gt;7,DT361-VLOOKUP($P361&amp;" | "&amp;DM$6,'Job Master'!$F$12:$I$102,4,0),DT361-VLOOKUP($P361&amp;" | "&amp;DM$6,'Job Master'!$F$12:$I$102,4,0)-1),""),"")</f>
        <v/>
      </c>
      <c r="DP361" s="73"/>
      <c r="DQ361" s="123" t="str">
        <f t="shared" si="684"/>
        <v/>
      </c>
      <c r="DR361" s="123" t="str">
        <f t="shared" si="685"/>
        <v/>
      </c>
      <c r="DS361" s="97" t="str">
        <f t="shared" ca="1" si="686"/>
        <v/>
      </c>
      <c r="DT361" s="70" t="str">
        <f t="shared" si="687"/>
        <v/>
      </c>
      <c r="DU361" s="90"/>
      <c r="DV361" s="123" t="str">
        <f t="shared" si="688"/>
        <v/>
      </c>
      <c r="DW361" s="123" t="str">
        <f t="shared" si="689"/>
        <v/>
      </c>
      <c r="DX361" s="132" t="str">
        <f t="shared" ref="DX361" ca="1" si="732">IF(DT361&lt;&gt;"",IF(WEEKNUM(DT361)=WEEKNUM(TODAY()),"This Week",IF(WEEKNUM(DT361)=WEEKNUM(TODAY())+1,"Next Week",IF(WEEKNUM(DT361)=WEEKNUM(TODAY())-1,"Previous Week",""))),"")</f>
        <v/>
      </c>
      <c r="DY361" s="134" t="str">
        <f t="shared" si="691"/>
        <v/>
      </c>
      <c r="DZ361" s="95"/>
      <c r="EB361" s="8" t="str">
        <f t="shared" si="697"/>
        <v/>
      </c>
      <c r="EC361" s="8" t="str">
        <f>IF(O361&lt;&gt;"",VLOOKUP(O361,'Job Master'!$N$12:$O$18,2,0),"")</f>
        <v/>
      </c>
      <c r="ED361" s="8">
        <f t="shared" si="698"/>
        <v>19.5</v>
      </c>
      <c r="EE361" s="8">
        <f t="shared" si="699"/>
        <v>6</v>
      </c>
      <c r="EF361" s="8">
        <f t="shared" si="700"/>
        <v>-2086.5</v>
      </c>
      <c r="EG361" s="8" t="str">
        <f t="shared" si="701"/>
        <v/>
      </c>
      <c r="EH361" s="8" t="str">
        <f t="shared" si="702"/>
        <v/>
      </c>
    </row>
    <row r="362" spans="2:138" x14ac:dyDescent="0.3">
      <c r="B362" s="112"/>
      <c r="C362" s="27"/>
      <c r="D362" s="7" t="str">
        <f t="shared" si="639"/>
        <v/>
      </c>
      <c r="E362" s="25"/>
      <c r="F362" s="7" t="str">
        <f t="shared" si="639"/>
        <v/>
      </c>
      <c r="G362" s="25"/>
      <c r="H362" s="7" t="str">
        <f t="shared" si="639"/>
        <v/>
      </c>
      <c r="I362" s="25"/>
      <c r="J362" s="7" t="str">
        <f t="shared" si="639"/>
        <v/>
      </c>
      <c r="K362" s="25"/>
      <c r="L362" s="7" t="str">
        <f t="shared" si="640"/>
        <v/>
      </c>
      <c r="M362" s="25"/>
      <c r="N362" s="7" t="str">
        <f t="shared" si="641"/>
        <v/>
      </c>
      <c r="O362" s="81"/>
      <c r="P362" s="81" t="str">
        <f t="shared" si="642"/>
        <v/>
      </c>
      <c r="Q362" s="81"/>
      <c r="R362" s="7" t="str">
        <f t="shared" si="643"/>
        <v/>
      </c>
      <c r="S362" s="25"/>
      <c r="T362" s="7" t="str">
        <f t="shared" si="644"/>
        <v/>
      </c>
      <c r="U362" s="25"/>
      <c r="V362" s="7" t="str">
        <f t="shared" si="645"/>
        <v/>
      </c>
      <c r="W362" s="25"/>
      <c r="X362" s="7" t="str">
        <f t="shared" si="646"/>
        <v/>
      </c>
      <c r="Y362" s="18" t="str">
        <f t="shared" si="647"/>
        <v/>
      </c>
      <c r="Z362" s="7" t="str">
        <f t="shared" si="648"/>
        <v/>
      </c>
      <c r="AA362" s="18" t="str">
        <f t="shared" si="649"/>
        <v/>
      </c>
      <c r="AB362" s="19" t="str">
        <f t="shared" si="650"/>
        <v/>
      </c>
      <c r="AC362" s="26"/>
      <c r="AD362" s="26"/>
      <c r="AE362" s="25"/>
      <c r="AF362" s="26"/>
      <c r="AG362" s="25"/>
      <c r="AH362" s="25"/>
      <c r="AI362" s="18" t="str">
        <f t="shared" si="713"/>
        <v/>
      </c>
      <c r="AJ362" s="25"/>
      <c r="AK362" s="18" t="str">
        <f t="shared" si="714"/>
        <v/>
      </c>
      <c r="AL362" s="79"/>
      <c r="AM362" s="126" t="str">
        <f t="shared" si="715"/>
        <v/>
      </c>
      <c r="AN362" s="128" t="str">
        <f>IF(AP362&lt;&gt;"",VLOOKUP($P362&amp;" | "&amp;AN$6,'Job Master'!$F$12:$J$102,5,0),"")</f>
        <v/>
      </c>
      <c r="AO362" s="19" t="str">
        <f>IF(AP362&lt;&gt;"",VLOOKUP($P362&amp;" | "&amp;AN$6,'Job Master'!$F$12:$J$102,3,0),"")</f>
        <v/>
      </c>
      <c r="AP362" s="19" t="str">
        <f>IFERROR(IF(AND(AW362&lt;&gt;"",VLOOKUP($P362&amp;" | "&amp;AN$6,'Job Master'!$F$12:$I$102,4,0)&lt;&gt;""),IF(WEEKDAY(AW362-VLOOKUP($P362&amp;" | "&amp;AN$6,'Job Master'!$F$12:$I$102,4,0))&lt;&gt;7,AW362-VLOOKUP($P362&amp;" | "&amp;AN$6,'Job Master'!$F$12:$I$102,4,0),AW362-VLOOKUP($P362&amp;" | "&amp;AN$6,'Job Master'!$F$12:$I$102,4,0)-1),""),"")</f>
        <v/>
      </c>
      <c r="AQ362" s="73"/>
      <c r="AR362" s="123" t="str">
        <f t="shared" si="651"/>
        <v/>
      </c>
      <c r="AS362" s="123" t="str">
        <f t="shared" si="652"/>
        <v/>
      </c>
      <c r="AT362" s="97" t="str">
        <f t="shared" ca="1" si="653"/>
        <v/>
      </c>
      <c r="AU362" s="98" t="str">
        <f>IF(AW362&lt;&gt;"",VLOOKUP($P362&amp;" | "&amp;AU$6,'Job Master'!$F$12:$J$102,5,0),"")</f>
        <v/>
      </c>
      <c r="AV362" s="19" t="str">
        <f>IF(AW362&lt;&gt;"",VLOOKUP($P362&amp;" | "&amp;AU$6,'Job Master'!$F$12:$J$102,3,0),"")</f>
        <v/>
      </c>
      <c r="AW362" s="19" t="str">
        <f>IFERROR(IF(AND(BD362&lt;&gt;"",VLOOKUP($P362&amp;" | "&amp;AU$6,'Job Master'!$F$12:$I$102,4,0)&lt;&gt;""),IF(WEEKDAY(BD362-VLOOKUP($P362&amp;" | "&amp;AU$6,'Job Master'!$F$12:$I$102,4,0))&lt;&gt;7,BD362-VLOOKUP($P362&amp;" | "&amp;AU$6,'Job Master'!$F$12:$I$102,4,0),BD362-VLOOKUP($P362&amp;" | "&amp;AU$6,'Job Master'!$F$12:$I$102,4,0)-1),""),"")</f>
        <v/>
      </c>
      <c r="AX362" s="73"/>
      <c r="AY362" s="123" t="str">
        <f t="shared" si="654"/>
        <v/>
      </c>
      <c r="AZ362" s="123" t="str">
        <f t="shared" si="655"/>
        <v/>
      </c>
      <c r="BA362" s="97" t="str">
        <f t="shared" ca="1" si="656"/>
        <v/>
      </c>
      <c r="BB362" s="98" t="str">
        <f>IF(BD362&lt;&gt;"",VLOOKUP($P362&amp;" | "&amp;BB$6,'Job Master'!$F$12:$J$102,5,0),"")</f>
        <v/>
      </c>
      <c r="BC362" s="19" t="str">
        <f>IF(BD362&lt;&gt;"",VLOOKUP($P362&amp;" | "&amp;BB$6,'Job Master'!$F$12:$J$102,3,0),"")</f>
        <v/>
      </c>
      <c r="BD362" s="19" t="str">
        <f>IFERROR(IF(AND(BK362&lt;&gt;"",VLOOKUP($P362&amp;" | "&amp;BB$6,'Job Master'!$F$12:$I$102,4,0)&lt;&gt;""),IF(WEEKDAY(BK362-VLOOKUP($P362&amp;" | "&amp;BB$6,'Job Master'!$F$12:$I$102,4,0))&lt;&gt;7,BK362-VLOOKUP($P362&amp;" | "&amp;BB$6,'Job Master'!$F$12:$I$102,4,0),BK362-VLOOKUP($P362&amp;" | "&amp;BB$6,'Job Master'!$F$12:$I$102,4,0)-1),""),"")</f>
        <v/>
      </c>
      <c r="BE362" s="73"/>
      <c r="BF362" s="123" t="str">
        <f t="shared" si="657"/>
        <v/>
      </c>
      <c r="BG362" s="123" t="str">
        <f t="shared" si="658"/>
        <v/>
      </c>
      <c r="BH362" s="97" t="str">
        <f t="shared" ca="1" si="659"/>
        <v/>
      </c>
      <c r="BI362" s="98" t="str">
        <f>IF(BK362&lt;&gt;"",VLOOKUP($P362&amp;" | "&amp;BI$6,'Job Master'!$F$12:$J$102,5,0),"")</f>
        <v/>
      </c>
      <c r="BJ362" s="19" t="str">
        <f>IF(BK362&lt;&gt;"",VLOOKUP($P362&amp;" | "&amp;BI$6,'Job Master'!$F$12:$J$102,3,0),"")</f>
        <v/>
      </c>
      <c r="BK362" s="19" t="str">
        <f>IFERROR(IF(AND(BR362&lt;&gt;"",VLOOKUP($P362&amp;" | "&amp;BI$6,'Job Master'!$F$12:$I$102,4,0)&lt;&gt;""),IF(WEEKDAY(BR362-VLOOKUP($P362&amp;" | "&amp;BI$6,'Job Master'!$F$12:$I$102,4,0))&lt;&gt;7,BR362-VLOOKUP($P362&amp;" | "&amp;BI$6,'Job Master'!$F$12:$I$102,4,0),BR362-VLOOKUP($P362&amp;" | "&amp;BI$6,'Job Master'!$F$12:$I$102,4,0)-1),""),"")</f>
        <v/>
      </c>
      <c r="BL362" s="73"/>
      <c r="BM362" s="123" t="str">
        <f t="shared" si="660"/>
        <v/>
      </c>
      <c r="BN362" s="123" t="str">
        <f t="shared" si="661"/>
        <v/>
      </c>
      <c r="BO362" s="97" t="str">
        <f t="shared" ca="1" si="662"/>
        <v/>
      </c>
      <c r="BP362" s="98" t="str">
        <f>IF(BR362&lt;&gt;"",VLOOKUP($P362&amp;" | "&amp;BP$6,'Job Master'!$F$12:$J$102,5,0),"")</f>
        <v/>
      </c>
      <c r="BQ362" s="19" t="str">
        <f>IF(BR362&lt;&gt;"",VLOOKUP($P362&amp;" | "&amp;BP$6,'Job Master'!$F$12:$J$102,3,0),"")</f>
        <v/>
      </c>
      <c r="BR362" s="19" t="str">
        <f>IFERROR(IF(AND(BY362&lt;&gt;"",VLOOKUP($P362&amp;" | "&amp;BP$6,'Job Master'!$F$12:$I$102,4,0)&lt;&gt;""),IF(WEEKDAY(BY362-VLOOKUP($P362&amp;" | "&amp;BP$6,'Job Master'!$F$12:$I$102,4,0))&lt;&gt;7,BY362-VLOOKUP($P362&amp;" | "&amp;BP$6,'Job Master'!$F$12:$I$102,4,0),BY362-VLOOKUP($P362&amp;" | "&amp;BP$6,'Job Master'!$F$12:$I$102,4,0)-1),""),"")</f>
        <v/>
      </c>
      <c r="BS362" s="73"/>
      <c r="BT362" s="123" t="str">
        <f t="shared" si="663"/>
        <v/>
      </c>
      <c r="BU362" s="123" t="str">
        <f t="shared" si="664"/>
        <v/>
      </c>
      <c r="BV362" s="97" t="str">
        <f t="shared" ca="1" si="665"/>
        <v/>
      </c>
      <c r="BW362" s="98" t="str">
        <f>IF(BY362&lt;&gt;"",VLOOKUP($P362&amp;" | "&amp;BW$6,'Job Master'!$F$12:$J$102,5,0),"")</f>
        <v/>
      </c>
      <c r="BX362" s="19" t="str">
        <f>IF(BY362&lt;&gt;"",VLOOKUP($P362&amp;" | "&amp;BW$6,'Job Master'!$F$12:$J$102,3,0),"")</f>
        <v/>
      </c>
      <c r="BY362" s="19" t="str">
        <f>IFERROR(IF(AND(CF362&lt;&gt;"",VLOOKUP($P362&amp;" | "&amp;BW$6,'Job Master'!$F$12:$I$102,4,0)&lt;&gt;""),IF(WEEKDAY(CF362-VLOOKUP($P362&amp;" | "&amp;BW$6,'Job Master'!$F$12:$I$102,4,0))&lt;&gt;7,CF362-VLOOKUP($P362&amp;" | "&amp;BW$6,'Job Master'!$F$12:$I$102,4,0),CF362-VLOOKUP($P362&amp;" | "&amp;BW$6,'Job Master'!$F$12:$I$102,4,0)-1),""),"")</f>
        <v/>
      </c>
      <c r="BZ362" s="73"/>
      <c r="CA362" s="123" t="str">
        <f t="shared" si="666"/>
        <v/>
      </c>
      <c r="CB362" s="123" t="str">
        <f t="shared" si="667"/>
        <v/>
      </c>
      <c r="CC362" s="97" t="str">
        <f t="shared" ca="1" si="668"/>
        <v/>
      </c>
      <c r="CD362" s="98" t="str">
        <f>IF(CF362&lt;&gt;"",VLOOKUP($P362&amp;" | "&amp;CD$6,'Job Master'!$F$12:$J$102,5,0),"")</f>
        <v/>
      </c>
      <c r="CE362" s="19" t="str">
        <f>IF(CF362&lt;&gt;"",VLOOKUP($P362&amp;" | "&amp;CD$6,'Job Master'!$F$12:$J$102,3,0),"")</f>
        <v/>
      </c>
      <c r="CF362" s="19" t="str">
        <f>IFERROR(IF(AND(CM362&lt;&gt;"",VLOOKUP($P362&amp;" | "&amp;CD$6,'Job Master'!$F$12:$I$102,4,0)&lt;&gt;""),IF(WEEKDAY(CM362-VLOOKUP($P362&amp;" | "&amp;CD$6,'Job Master'!$F$12:$I$102,4,0))&lt;&gt;7,CM362-VLOOKUP($P362&amp;" | "&amp;CD$6,'Job Master'!$F$12:$I$102,4,0),CM362-VLOOKUP($P362&amp;" | "&amp;CD$6,'Job Master'!$F$12:$I$102,4,0)-1),""),"")</f>
        <v/>
      </c>
      <c r="CG362" s="73"/>
      <c r="CH362" s="123" t="str">
        <f t="shared" si="669"/>
        <v/>
      </c>
      <c r="CI362" s="123" t="str">
        <f t="shared" si="670"/>
        <v/>
      </c>
      <c r="CJ362" s="97" t="str">
        <f t="shared" ca="1" si="671"/>
        <v/>
      </c>
      <c r="CK362" s="98" t="str">
        <f>IF(CM362&lt;&gt;"",VLOOKUP($P362&amp;" | "&amp;CK$6,'Job Master'!$F$12:$J$102,5,0),"")</f>
        <v/>
      </c>
      <c r="CL362" s="19" t="str">
        <f>IF(CM362&lt;&gt;"",VLOOKUP($P362&amp;" | "&amp;CK$6,'Job Master'!$F$12:$J$102,3,0),"")</f>
        <v/>
      </c>
      <c r="CM362" s="19" t="str">
        <f>IFERROR(IF(AND(CT362&lt;&gt;"",VLOOKUP($P362&amp;" | "&amp;CK$6,'Job Master'!$F$12:$I$102,4,0)&lt;&gt;""),IF(WEEKDAY(CT362-VLOOKUP($P362&amp;" | "&amp;CK$6,'Job Master'!$F$12:$I$102,4,0))&lt;&gt;7,CT362-VLOOKUP($P362&amp;" | "&amp;CK$6,'Job Master'!$F$12:$I$102,4,0),CT362-VLOOKUP($P362&amp;" | "&amp;CK$6,'Job Master'!$F$12:$I$102,4,0)-1),""),"")</f>
        <v/>
      </c>
      <c r="CN362" s="73"/>
      <c r="CO362" s="123" t="str">
        <f t="shared" si="672"/>
        <v/>
      </c>
      <c r="CP362" s="123" t="str">
        <f t="shared" si="673"/>
        <v/>
      </c>
      <c r="CQ362" s="97" t="str">
        <f t="shared" ca="1" si="674"/>
        <v/>
      </c>
      <c r="CR362" s="98" t="str">
        <f>IF(CT362&lt;&gt;"",VLOOKUP($P362&amp;" | "&amp;CR$6,'Job Master'!$F$12:$J$102,5,0),"")</f>
        <v/>
      </c>
      <c r="CS362" s="19" t="str">
        <f>IF(CT362&lt;&gt;"",VLOOKUP($P362&amp;" | "&amp;CR$6,'Job Master'!$F$12:$J$102,3,0),"")</f>
        <v/>
      </c>
      <c r="CT362" s="19" t="str">
        <f>IFERROR(IF(AND(DA362&lt;&gt;"",VLOOKUP($P362&amp;" | "&amp;CR$6,'Job Master'!$F$12:$I$102,4,0)&lt;&gt;""),IF(WEEKDAY(DA362-VLOOKUP($P362&amp;" | "&amp;CR$6,'Job Master'!$F$12:$I$102,4,0))&lt;&gt;7,DA362-VLOOKUP($P362&amp;" | "&amp;CR$6,'Job Master'!$F$12:$I$102,4,0),DA362-VLOOKUP($P362&amp;" | "&amp;CR$6,'Job Master'!$F$12:$I$102,4,0)-1),""),"")</f>
        <v/>
      </c>
      <c r="CU362" s="73"/>
      <c r="CV362" s="123" t="str">
        <f t="shared" si="675"/>
        <v/>
      </c>
      <c r="CW362" s="123" t="str">
        <f t="shared" si="676"/>
        <v/>
      </c>
      <c r="CX362" s="97" t="str">
        <f t="shared" ca="1" si="677"/>
        <v/>
      </c>
      <c r="CY362" s="98" t="str">
        <f>IF(DA362&lt;&gt;"",VLOOKUP($P362&amp;" | "&amp;CY$6,'Job Master'!$F$12:$J$102,5,0),"")</f>
        <v/>
      </c>
      <c r="CZ362" s="19" t="str">
        <f>IF(DA362&lt;&gt;"",VLOOKUP($P362&amp;" | "&amp;CY$6,'Job Master'!$F$12:$J$102,3,0),"")</f>
        <v/>
      </c>
      <c r="DA362" s="19" t="str">
        <f>IFERROR(IF(AND(DH362&lt;&gt;"",VLOOKUP($P362&amp;" | "&amp;CY$6,'Job Master'!$F$12:$I$102,4,0)&lt;&gt;""),IF(WEEKDAY(DH362-VLOOKUP($P362&amp;" | "&amp;CY$6,'Job Master'!$F$12:$I$102,4,0))&lt;&gt;7,DH362-VLOOKUP($P362&amp;" | "&amp;CY$6,'Job Master'!$F$12:$I$102,4,0),DH362-VLOOKUP($P362&amp;" | "&amp;CY$6,'Job Master'!$F$12:$I$102,4,0)-1),""),"")</f>
        <v/>
      </c>
      <c r="DB362" s="73"/>
      <c r="DC362" s="123" t="str">
        <f t="shared" si="678"/>
        <v/>
      </c>
      <c r="DD362" s="123" t="str">
        <f t="shared" si="679"/>
        <v/>
      </c>
      <c r="DE362" s="97" t="str">
        <f t="shared" ca="1" si="680"/>
        <v/>
      </c>
      <c r="DF362" s="98" t="str">
        <f>IF(DH362&lt;&gt;"",VLOOKUP($P362&amp;" | "&amp;DF$6,'Job Master'!$F$12:$J$102,5,0),"")</f>
        <v/>
      </c>
      <c r="DG362" s="19" t="str">
        <f>IF(DH362&lt;&gt;"",VLOOKUP($P362&amp;" | "&amp;DF$6,'Job Master'!$F$12:$J$102,3,0),"")</f>
        <v/>
      </c>
      <c r="DH362" s="19" t="str">
        <f>IFERROR(IF(AND(DO362&lt;&gt;"",VLOOKUP($P362&amp;" | "&amp;DF$6,'Job Master'!$F$12:$I$102,4,0)&lt;&gt;""),IF(WEEKDAY(DO362-VLOOKUP($P362&amp;" | "&amp;DF$6,'Job Master'!$F$12:$I$102,4,0))&lt;&gt;7,DO362-VLOOKUP($P362&amp;" | "&amp;DF$6,'Job Master'!$F$12:$I$102,4,0),DO362-VLOOKUP($P362&amp;" | "&amp;DF$6,'Job Master'!$F$12:$I$102,4,0)-1),""),"")</f>
        <v/>
      </c>
      <c r="DI362" s="73"/>
      <c r="DJ362" s="123" t="str">
        <f t="shared" si="681"/>
        <v/>
      </c>
      <c r="DK362" s="123" t="str">
        <f t="shared" si="682"/>
        <v/>
      </c>
      <c r="DL362" s="97" t="str">
        <f t="shared" ca="1" si="683"/>
        <v/>
      </c>
      <c r="DM362" s="98" t="str">
        <f>IF(DO362&lt;&gt;"",VLOOKUP($P362&amp;" | "&amp;DM$6,'Job Master'!$F$12:$J$102,5,0),"")</f>
        <v/>
      </c>
      <c r="DN362" s="19" t="str">
        <f>IF(DO362&lt;&gt;"",VLOOKUP($P362&amp;" | "&amp;DM$6,'Job Master'!$F$12:$J$102,3,0),"")</f>
        <v/>
      </c>
      <c r="DO362" s="19" t="str">
        <f>IFERROR(IF(AND(DT362&lt;&gt;"",VLOOKUP($P362&amp;" | "&amp;DM$6,'Job Master'!$F$12:$I$102,4,0)&lt;&gt;""),IF(WEEKDAY(DT362-VLOOKUP($P362&amp;" | "&amp;DM$6,'Job Master'!$F$12:$I$102,4,0))&lt;&gt;7,DT362-VLOOKUP($P362&amp;" | "&amp;DM$6,'Job Master'!$F$12:$I$102,4,0),DT362-VLOOKUP($P362&amp;" | "&amp;DM$6,'Job Master'!$F$12:$I$102,4,0)-1),""),"")</f>
        <v/>
      </c>
      <c r="DP362" s="73"/>
      <c r="DQ362" s="123" t="str">
        <f t="shared" si="684"/>
        <v/>
      </c>
      <c r="DR362" s="123" t="str">
        <f t="shared" si="685"/>
        <v/>
      </c>
      <c r="DS362" s="97" t="str">
        <f t="shared" ca="1" si="686"/>
        <v/>
      </c>
      <c r="DT362" s="70" t="str">
        <f t="shared" si="687"/>
        <v/>
      </c>
      <c r="DU362" s="90"/>
      <c r="DV362" s="123" t="str">
        <f t="shared" si="688"/>
        <v/>
      </c>
      <c r="DW362" s="123" t="str">
        <f t="shared" si="689"/>
        <v/>
      </c>
      <c r="DX362" s="132" t="str">
        <f t="shared" ref="DX362" ca="1" si="733">IF(DT362&lt;&gt;"",IF(WEEKNUM(DT362)=WEEKNUM(TODAY()),"This Week",IF(WEEKNUM(DT362)=WEEKNUM(TODAY())+1,"Next Week",IF(WEEKNUM(DT362)=WEEKNUM(TODAY())-1,"Previous Week",""))),"")</f>
        <v/>
      </c>
      <c r="DY362" s="134" t="str">
        <f t="shared" si="691"/>
        <v/>
      </c>
      <c r="DZ362" s="95"/>
      <c r="EB362" s="8" t="str">
        <f t="shared" si="697"/>
        <v/>
      </c>
      <c r="EC362" s="8" t="str">
        <f>IF(O362&lt;&gt;"",VLOOKUP(O362,'Job Master'!$N$12:$O$18,2,0),"")</f>
        <v/>
      </c>
      <c r="ED362" s="8">
        <f t="shared" si="698"/>
        <v>19.5</v>
      </c>
      <c r="EE362" s="8">
        <f t="shared" si="699"/>
        <v>6</v>
      </c>
      <c r="EF362" s="8">
        <f t="shared" si="700"/>
        <v>-2092.5</v>
      </c>
      <c r="EG362" s="8" t="str">
        <f t="shared" si="701"/>
        <v/>
      </c>
      <c r="EH362" s="8" t="str">
        <f t="shared" si="702"/>
        <v/>
      </c>
    </row>
    <row r="363" spans="2:138" x14ac:dyDescent="0.3">
      <c r="B363" s="112"/>
      <c r="C363" s="27"/>
      <c r="D363" s="7" t="str">
        <f t="shared" si="639"/>
        <v/>
      </c>
      <c r="E363" s="25"/>
      <c r="F363" s="7" t="str">
        <f t="shared" si="639"/>
        <v/>
      </c>
      <c r="G363" s="25"/>
      <c r="H363" s="7" t="str">
        <f t="shared" si="639"/>
        <v/>
      </c>
      <c r="I363" s="25"/>
      <c r="J363" s="7" t="str">
        <f t="shared" si="639"/>
        <v/>
      </c>
      <c r="K363" s="25"/>
      <c r="L363" s="7" t="str">
        <f t="shared" si="640"/>
        <v/>
      </c>
      <c r="M363" s="25"/>
      <c r="N363" s="7" t="str">
        <f t="shared" si="641"/>
        <v/>
      </c>
      <c r="O363" s="81"/>
      <c r="P363" s="81" t="str">
        <f t="shared" si="642"/>
        <v/>
      </c>
      <c r="Q363" s="81"/>
      <c r="R363" s="7" t="str">
        <f t="shared" si="643"/>
        <v/>
      </c>
      <c r="S363" s="25"/>
      <c r="T363" s="7" t="str">
        <f t="shared" si="644"/>
        <v/>
      </c>
      <c r="U363" s="25"/>
      <c r="V363" s="7" t="str">
        <f t="shared" si="645"/>
        <v/>
      </c>
      <c r="W363" s="25"/>
      <c r="X363" s="7" t="str">
        <f t="shared" si="646"/>
        <v/>
      </c>
      <c r="Y363" s="18" t="str">
        <f t="shared" si="647"/>
        <v/>
      </c>
      <c r="Z363" s="7" t="str">
        <f t="shared" si="648"/>
        <v/>
      </c>
      <c r="AA363" s="18" t="str">
        <f t="shared" si="649"/>
        <v/>
      </c>
      <c r="AB363" s="19" t="str">
        <f t="shared" si="650"/>
        <v/>
      </c>
      <c r="AC363" s="26"/>
      <c r="AD363" s="26"/>
      <c r="AE363" s="25"/>
      <c r="AF363" s="26"/>
      <c r="AG363" s="25"/>
      <c r="AH363" s="25"/>
      <c r="AI363" s="18" t="str">
        <f t="shared" si="713"/>
        <v/>
      </c>
      <c r="AJ363" s="25"/>
      <c r="AK363" s="18" t="str">
        <f t="shared" si="714"/>
        <v/>
      </c>
      <c r="AL363" s="79"/>
      <c r="AM363" s="126" t="str">
        <f t="shared" si="715"/>
        <v/>
      </c>
      <c r="AN363" s="128" t="str">
        <f>IF(AP363&lt;&gt;"",VLOOKUP($P363&amp;" | "&amp;AN$6,'Job Master'!$F$12:$J$102,5,0),"")</f>
        <v/>
      </c>
      <c r="AO363" s="19" t="str">
        <f>IF(AP363&lt;&gt;"",VLOOKUP($P363&amp;" | "&amp;AN$6,'Job Master'!$F$12:$J$102,3,0),"")</f>
        <v/>
      </c>
      <c r="AP363" s="19" t="str">
        <f>IFERROR(IF(AND(AW363&lt;&gt;"",VLOOKUP($P363&amp;" | "&amp;AN$6,'Job Master'!$F$12:$I$102,4,0)&lt;&gt;""),IF(WEEKDAY(AW363-VLOOKUP($P363&amp;" | "&amp;AN$6,'Job Master'!$F$12:$I$102,4,0))&lt;&gt;7,AW363-VLOOKUP($P363&amp;" | "&amp;AN$6,'Job Master'!$F$12:$I$102,4,0),AW363-VLOOKUP($P363&amp;" | "&amp;AN$6,'Job Master'!$F$12:$I$102,4,0)-1),""),"")</f>
        <v/>
      </c>
      <c r="AQ363" s="73"/>
      <c r="AR363" s="123" t="str">
        <f t="shared" si="651"/>
        <v/>
      </c>
      <c r="AS363" s="123" t="str">
        <f t="shared" si="652"/>
        <v/>
      </c>
      <c r="AT363" s="97" t="str">
        <f t="shared" ca="1" si="653"/>
        <v/>
      </c>
      <c r="AU363" s="98" t="str">
        <f>IF(AW363&lt;&gt;"",VLOOKUP($P363&amp;" | "&amp;AU$6,'Job Master'!$F$12:$J$102,5,0),"")</f>
        <v/>
      </c>
      <c r="AV363" s="19" t="str">
        <f>IF(AW363&lt;&gt;"",VLOOKUP($P363&amp;" | "&amp;AU$6,'Job Master'!$F$12:$J$102,3,0),"")</f>
        <v/>
      </c>
      <c r="AW363" s="19" t="str">
        <f>IFERROR(IF(AND(BD363&lt;&gt;"",VLOOKUP($P363&amp;" | "&amp;AU$6,'Job Master'!$F$12:$I$102,4,0)&lt;&gt;""),IF(WEEKDAY(BD363-VLOOKUP($P363&amp;" | "&amp;AU$6,'Job Master'!$F$12:$I$102,4,0))&lt;&gt;7,BD363-VLOOKUP($P363&amp;" | "&amp;AU$6,'Job Master'!$F$12:$I$102,4,0),BD363-VLOOKUP($P363&amp;" | "&amp;AU$6,'Job Master'!$F$12:$I$102,4,0)-1),""),"")</f>
        <v/>
      </c>
      <c r="AX363" s="73"/>
      <c r="AY363" s="123" t="str">
        <f t="shared" si="654"/>
        <v/>
      </c>
      <c r="AZ363" s="123" t="str">
        <f t="shared" si="655"/>
        <v/>
      </c>
      <c r="BA363" s="97" t="str">
        <f t="shared" ca="1" si="656"/>
        <v/>
      </c>
      <c r="BB363" s="98" t="str">
        <f>IF(BD363&lt;&gt;"",VLOOKUP($P363&amp;" | "&amp;BB$6,'Job Master'!$F$12:$J$102,5,0),"")</f>
        <v/>
      </c>
      <c r="BC363" s="19" t="str">
        <f>IF(BD363&lt;&gt;"",VLOOKUP($P363&amp;" | "&amp;BB$6,'Job Master'!$F$12:$J$102,3,0),"")</f>
        <v/>
      </c>
      <c r="BD363" s="19" t="str">
        <f>IFERROR(IF(AND(BK363&lt;&gt;"",VLOOKUP($P363&amp;" | "&amp;BB$6,'Job Master'!$F$12:$I$102,4,0)&lt;&gt;""),IF(WEEKDAY(BK363-VLOOKUP($P363&amp;" | "&amp;BB$6,'Job Master'!$F$12:$I$102,4,0))&lt;&gt;7,BK363-VLOOKUP($P363&amp;" | "&amp;BB$6,'Job Master'!$F$12:$I$102,4,0),BK363-VLOOKUP($P363&amp;" | "&amp;BB$6,'Job Master'!$F$12:$I$102,4,0)-1),""),"")</f>
        <v/>
      </c>
      <c r="BE363" s="73"/>
      <c r="BF363" s="123" t="str">
        <f t="shared" si="657"/>
        <v/>
      </c>
      <c r="BG363" s="123" t="str">
        <f t="shared" si="658"/>
        <v/>
      </c>
      <c r="BH363" s="97" t="str">
        <f t="shared" ca="1" si="659"/>
        <v/>
      </c>
      <c r="BI363" s="98" t="str">
        <f>IF(BK363&lt;&gt;"",VLOOKUP($P363&amp;" | "&amp;BI$6,'Job Master'!$F$12:$J$102,5,0),"")</f>
        <v/>
      </c>
      <c r="BJ363" s="19" t="str">
        <f>IF(BK363&lt;&gt;"",VLOOKUP($P363&amp;" | "&amp;BI$6,'Job Master'!$F$12:$J$102,3,0),"")</f>
        <v/>
      </c>
      <c r="BK363" s="19" t="str">
        <f>IFERROR(IF(AND(BR363&lt;&gt;"",VLOOKUP($P363&amp;" | "&amp;BI$6,'Job Master'!$F$12:$I$102,4,0)&lt;&gt;""),IF(WEEKDAY(BR363-VLOOKUP($P363&amp;" | "&amp;BI$6,'Job Master'!$F$12:$I$102,4,0))&lt;&gt;7,BR363-VLOOKUP($P363&amp;" | "&amp;BI$6,'Job Master'!$F$12:$I$102,4,0),BR363-VLOOKUP($P363&amp;" | "&amp;BI$6,'Job Master'!$F$12:$I$102,4,0)-1),""),"")</f>
        <v/>
      </c>
      <c r="BL363" s="73"/>
      <c r="BM363" s="123" t="str">
        <f t="shared" si="660"/>
        <v/>
      </c>
      <c r="BN363" s="123" t="str">
        <f t="shared" si="661"/>
        <v/>
      </c>
      <c r="BO363" s="97" t="str">
        <f t="shared" ca="1" si="662"/>
        <v/>
      </c>
      <c r="BP363" s="98" t="str">
        <f>IF(BR363&lt;&gt;"",VLOOKUP($P363&amp;" | "&amp;BP$6,'Job Master'!$F$12:$J$102,5,0),"")</f>
        <v/>
      </c>
      <c r="BQ363" s="19" t="str">
        <f>IF(BR363&lt;&gt;"",VLOOKUP($P363&amp;" | "&amp;BP$6,'Job Master'!$F$12:$J$102,3,0),"")</f>
        <v/>
      </c>
      <c r="BR363" s="19" t="str">
        <f>IFERROR(IF(AND(BY363&lt;&gt;"",VLOOKUP($P363&amp;" | "&amp;BP$6,'Job Master'!$F$12:$I$102,4,0)&lt;&gt;""),IF(WEEKDAY(BY363-VLOOKUP($P363&amp;" | "&amp;BP$6,'Job Master'!$F$12:$I$102,4,0))&lt;&gt;7,BY363-VLOOKUP($P363&amp;" | "&amp;BP$6,'Job Master'!$F$12:$I$102,4,0),BY363-VLOOKUP($P363&amp;" | "&amp;BP$6,'Job Master'!$F$12:$I$102,4,0)-1),""),"")</f>
        <v/>
      </c>
      <c r="BS363" s="73"/>
      <c r="BT363" s="123" t="str">
        <f t="shared" si="663"/>
        <v/>
      </c>
      <c r="BU363" s="123" t="str">
        <f t="shared" si="664"/>
        <v/>
      </c>
      <c r="BV363" s="97" t="str">
        <f t="shared" ca="1" si="665"/>
        <v/>
      </c>
      <c r="BW363" s="98" t="str">
        <f>IF(BY363&lt;&gt;"",VLOOKUP($P363&amp;" | "&amp;BW$6,'Job Master'!$F$12:$J$102,5,0),"")</f>
        <v/>
      </c>
      <c r="BX363" s="19" t="str">
        <f>IF(BY363&lt;&gt;"",VLOOKUP($P363&amp;" | "&amp;BW$6,'Job Master'!$F$12:$J$102,3,0),"")</f>
        <v/>
      </c>
      <c r="BY363" s="19" t="str">
        <f>IFERROR(IF(AND(CF363&lt;&gt;"",VLOOKUP($P363&amp;" | "&amp;BW$6,'Job Master'!$F$12:$I$102,4,0)&lt;&gt;""),IF(WEEKDAY(CF363-VLOOKUP($P363&amp;" | "&amp;BW$6,'Job Master'!$F$12:$I$102,4,0))&lt;&gt;7,CF363-VLOOKUP($P363&amp;" | "&amp;BW$6,'Job Master'!$F$12:$I$102,4,0),CF363-VLOOKUP($P363&amp;" | "&amp;BW$6,'Job Master'!$F$12:$I$102,4,0)-1),""),"")</f>
        <v/>
      </c>
      <c r="BZ363" s="73"/>
      <c r="CA363" s="123" t="str">
        <f t="shared" si="666"/>
        <v/>
      </c>
      <c r="CB363" s="123" t="str">
        <f t="shared" si="667"/>
        <v/>
      </c>
      <c r="CC363" s="97" t="str">
        <f t="shared" ca="1" si="668"/>
        <v/>
      </c>
      <c r="CD363" s="98" t="str">
        <f>IF(CF363&lt;&gt;"",VLOOKUP($P363&amp;" | "&amp;CD$6,'Job Master'!$F$12:$J$102,5,0),"")</f>
        <v/>
      </c>
      <c r="CE363" s="19" t="str">
        <f>IF(CF363&lt;&gt;"",VLOOKUP($P363&amp;" | "&amp;CD$6,'Job Master'!$F$12:$J$102,3,0),"")</f>
        <v/>
      </c>
      <c r="CF363" s="19" t="str">
        <f>IFERROR(IF(AND(CM363&lt;&gt;"",VLOOKUP($P363&amp;" | "&amp;CD$6,'Job Master'!$F$12:$I$102,4,0)&lt;&gt;""),IF(WEEKDAY(CM363-VLOOKUP($P363&amp;" | "&amp;CD$6,'Job Master'!$F$12:$I$102,4,0))&lt;&gt;7,CM363-VLOOKUP($P363&amp;" | "&amp;CD$6,'Job Master'!$F$12:$I$102,4,0),CM363-VLOOKUP($P363&amp;" | "&amp;CD$6,'Job Master'!$F$12:$I$102,4,0)-1),""),"")</f>
        <v/>
      </c>
      <c r="CG363" s="73"/>
      <c r="CH363" s="123" t="str">
        <f t="shared" si="669"/>
        <v/>
      </c>
      <c r="CI363" s="123" t="str">
        <f t="shared" si="670"/>
        <v/>
      </c>
      <c r="CJ363" s="97" t="str">
        <f t="shared" ca="1" si="671"/>
        <v/>
      </c>
      <c r="CK363" s="98" t="str">
        <f>IF(CM363&lt;&gt;"",VLOOKUP($P363&amp;" | "&amp;CK$6,'Job Master'!$F$12:$J$102,5,0),"")</f>
        <v/>
      </c>
      <c r="CL363" s="19" t="str">
        <f>IF(CM363&lt;&gt;"",VLOOKUP($P363&amp;" | "&amp;CK$6,'Job Master'!$F$12:$J$102,3,0),"")</f>
        <v/>
      </c>
      <c r="CM363" s="19" t="str">
        <f>IFERROR(IF(AND(CT363&lt;&gt;"",VLOOKUP($P363&amp;" | "&amp;CK$6,'Job Master'!$F$12:$I$102,4,0)&lt;&gt;""),IF(WEEKDAY(CT363-VLOOKUP($P363&amp;" | "&amp;CK$6,'Job Master'!$F$12:$I$102,4,0))&lt;&gt;7,CT363-VLOOKUP($P363&amp;" | "&amp;CK$6,'Job Master'!$F$12:$I$102,4,0),CT363-VLOOKUP($P363&amp;" | "&amp;CK$6,'Job Master'!$F$12:$I$102,4,0)-1),""),"")</f>
        <v/>
      </c>
      <c r="CN363" s="73"/>
      <c r="CO363" s="123" t="str">
        <f t="shared" si="672"/>
        <v/>
      </c>
      <c r="CP363" s="123" t="str">
        <f t="shared" si="673"/>
        <v/>
      </c>
      <c r="CQ363" s="97" t="str">
        <f t="shared" ca="1" si="674"/>
        <v/>
      </c>
      <c r="CR363" s="98" t="str">
        <f>IF(CT363&lt;&gt;"",VLOOKUP($P363&amp;" | "&amp;CR$6,'Job Master'!$F$12:$J$102,5,0),"")</f>
        <v/>
      </c>
      <c r="CS363" s="19" t="str">
        <f>IF(CT363&lt;&gt;"",VLOOKUP($P363&amp;" | "&amp;CR$6,'Job Master'!$F$12:$J$102,3,0),"")</f>
        <v/>
      </c>
      <c r="CT363" s="19" t="str">
        <f>IFERROR(IF(AND(DA363&lt;&gt;"",VLOOKUP($P363&amp;" | "&amp;CR$6,'Job Master'!$F$12:$I$102,4,0)&lt;&gt;""),IF(WEEKDAY(DA363-VLOOKUP($P363&amp;" | "&amp;CR$6,'Job Master'!$F$12:$I$102,4,0))&lt;&gt;7,DA363-VLOOKUP($P363&amp;" | "&amp;CR$6,'Job Master'!$F$12:$I$102,4,0),DA363-VLOOKUP($P363&amp;" | "&amp;CR$6,'Job Master'!$F$12:$I$102,4,0)-1),""),"")</f>
        <v/>
      </c>
      <c r="CU363" s="73"/>
      <c r="CV363" s="123" t="str">
        <f t="shared" si="675"/>
        <v/>
      </c>
      <c r="CW363" s="123" t="str">
        <f t="shared" si="676"/>
        <v/>
      </c>
      <c r="CX363" s="97" t="str">
        <f t="shared" ca="1" si="677"/>
        <v/>
      </c>
      <c r="CY363" s="98" t="str">
        <f>IF(DA363&lt;&gt;"",VLOOKUP($P363&amp;" | "&amp;CY$6,'Job Master'!$F$12:$J$102,5,0),"")</f>
        <v/>
      </c>
      <c r="CZ363" s="19" t="str">
        <f>IF(DA363&lt;&gt;"",VLOOKUP($P363&amp;" | "&amp;CY$6,'Job Master'!$F$12:$J$102,3,0),"")</f>
        <v/>
      </c>
      <c r="DA363" s="19" t="str">
        <f>IFERROR(IF(AND(DH363&lt;&gt;"",VLOOKUP($P363&amp;" | "&amp;CY$6,'Job Master'!$F$12:$I$102,4,0)&lt;&gt;""),IF(WEEKDAY(DH363-VLOOKUP($P363&amp;" | "&amp;CY$6,'Job Master'!$F$12:$I$102,4,0))&lt;&gt;7,DH363-VLOOKUP($P363&amp;" | "&amp;CY$6,'Job Master'!$F$12:$I$102,4,0),DH363-VLOOKUP($P363&amp;" | "&amp;CY$6,'Job Master'!$F$12:$I$102,4,0)-1),""),"")</f>
        <v/>
      </c>
      <c r="DB363" s="73"/>
      <c r="DC363" s="123" t="str">
        <f t="shared" si="678"/>
        <v/>
      </c>
      <c r="DD363" s="123" t="str">
        <f t="shared" si="679"/>
        <v/>
      </c>
      <c r="DE363" s="97" t="str">
        <f t="shared" ca="1" si="680"/>
        <v/>
      </c>
      <c r="DF363" s="98" t="str">
        <f>IF(DH363&lt;&gt;"",VLOOKUP($P363&amp;" | "&amp;DF$6,'Job Master'!$F$12:$J$102,5,0),"")</f>
        <v/>
      </c>
      <c r="DG363" s="19" t="str">
        <f>IF(DH363&lt;&gt;"",VLOOKUP($P363&amp;" | "&amp;DF$6,'Job Master'!$F$12:$J$102,3,0),"")</f>
        <v/>
      </c>
      <c r="DH363" s="19" t="str">
        <f>IFERROR(IF(AND(DO363&lt;&gt;"",VLOOKUP($P363&amp;" | "&amp;DF$6,'Job Master'!$F$12:$I$102,4,0)&lt;&gt;""),IF(WEEKDAY(DO363-VLOOKUP($P363&amp;" | "&amp;DF$6,'Job Master'!$F$12:$I$102,4,0))&lt;&gt;7,DO363-VLOOKUP($P363&amp;" | "&amp;DF$6,'Job Master'!$F$12:$I$102,4,0),DO363-VLOOKUP($P363&amp;" | "&amp;DF$6,'Job Master'!$F$12:$I$102,4,0)-1),""),"")</f>
        <v/>
      </c>
      <c r="DI363" s="73"/>
      <c r="DJ363" s="123" t="str">
        <f t="shared" si="681"/>
        <v/>
      </c>
      <c r="DK363" s="123" t="str">
        <f t="shared" si="682"/>
        <v/>
      </c>
      <c r="DL363" s="97" t="str">
        <f t="shared" ca="1" si="683"/>
        <v/>
      </c>
      <c r="DM363" s="98" t="str">
        <f>IF(DO363&lt;&gt;"",VLOOKUP($P363&amp;" | "&amp;DM$6,'Job Master'!$F$12:$J$102,5,0),"")</f>
        <v/>
      </c>
      <c r="DN363" s="19" t="str">
        <f>IF(DO363&lt;&gt;"",VLOOKUP($P363&amp;" | "&amp;DM$6,'Job Master'!$F$12:$J$102,3,0),"")</f>
        <v/>
      </c>
      <c r="DO363" s="19" t="str">
        <f>IFERROR(IF(AND(DT363&lt;&gt;"",VLOOKUP($P363&amp;" | "&amp;DM$6,'Job Master'!$F$12:$I$102,4,0)&lt;&gt;""),IF(WEEKDAY(DT363-VLOOKUP($P363&amp;" | "&amp;DM$6,'Job Master'!$F$12:$I$102,4,0))&lt;&gt;7,DT363-VLOOKUP($P363&amp;" | "&amp;DM$6,'Job Master'!$F$12:$I$102,4,0),DT363-VLOOKUP($P363&amp;" | "&amp;DM$6,'Job Master'!$F$12:$I$102,4,0)-1),""),"")</f>
        <v/>
      </c>
      <c r="DP363" s="73"/>
      <c r="DQ363" s="123" t="str">
        <f t="shared" si="684"/>
        <v/>
      </c>
      <c r="DR363" s="123" t="str">
        <f t="shared" si="685"/>
        <v/>
      </c>
      <c r="DS363" s="97" t="str">
        <f t="shared" ca="1" si="686"/>
        <v/>
      </c>
      <c r="DT363" s="70" t="str">
        <f t="shared" si="687"/>
        <v/>
      </c>
      <c r="DU363" s="90"/>
      <c r="DV363" s="123" t="str">
        <f t="shared" si="688"/>
        <v/>
      </c>
      <c r="DW363" s="123" t="str">
        <f t="shared" si="689"/>
        <v/>
      </c>
      <c r="DX363" s="132" t="str">
        <f t="shared" ref="DX363" ca="1" si="734">IF(DT363&lt;&gt;"",IF(WEEKNUM(DT363)=WEEKNUM(TODAY()),"This Week",IF(WEEKNUM(DT363)=WEEKNUM(TODAY())+1,"Next Week",IF(WEEKNUM(DT363)=WEEKNUM(TODAY())-1,"Previous Week",""))),"")</f>
        <v/>
      </c>
      <c r="DY363" s="134" t="str">
        <f t="shared" si="691"/>
        <v/>
      </c>
      <c r="DZ363" s="95"/>
      <c r="EB363" s="8" t="str">
        <f t="shared" si="697"/>
        <v/>
      </c>
      <c r="EC363" s="8" t="str">
        <f>IF(O363&lt;&gt;"",VLOOKUP(O363,'Job Master'!$N$12:$O$18,2,0),"")</f>
        <v/>
      </c>
      <c r="ED363" s="8">
        <f t="shared" si="698"/>
        <v>19.5</v>
      </c>
      <c r="EE363" s="8">
        <f t="shared" si="699"/>
        <v>6</v>
      </c>
      <c r="EF363" s="8">
        <f t="shared" si="700"/>
        <v>-2098.5</v>
      </c>
      <c r="EG363" s="8" t="str">
        <f t="shared" si="701"/>
        <v/>
      </c>
      <c r="EH363" s="8" t="str">
        <f t="shared" si="702"/>
        <v/>
      </c>
    </row>
    <row r="364" spans="2:138" x14ac:dyDescent="0.3">
      <c r="B364" s="112"/>
      <c r="C364" s="27"/>
      <c r="D364" s="7" t="str">
        <f t="shared" si="639"/>
        <v/>
      </c>
      <c r="E364" s="25"/>
      <c r="F364" s="7" t="str">
        <f t="shared" si="639"/>
        <v/>
      </c>
      <c r="G364" s="25"/>
      <c r="H364" s="7" t="str">
        <f t="shared" si="639"/>
        <v/>
      </c>
      <c r="I364" s="25"/>
      <c r="J364" s="7" t="str">
        <f t="shared" si="639"/>
        <v/>
      </c>
      <c r="K364" s="25"/>
      <c r="L364" s="7" t="str">
        <f t="shared" si="640"/>
        <v/>
      </c>
      <c r="M364" s="25"/>
      <c r="N364" s="7" t="str">
        <f t="shared" si="641"/>
        <v/>
      </c>
      <c r="O364" s="81"/>
      <c r="P364" s="81" t="str">
        <f t="shared" si="642"/>
        <v/>
      </c>
      <c r="Q364" s="81"/>
      <c r="R364" s="7" t="str">
        <f t="shared" si="643"/>
        <v/>
      </c>
      <c r="S364" s="25"/>
      <c r="T364" s="7" t="str">
        <f t="shared" si="644"/>
        <v/>
      </c>
      <c r="U364" s="25"/>
      <c r="V364" s="7" t="str">
        <f t="shared" si="645"/>
        <v/>
      </c>
      <c r="W364" s="25"/>
      <c r="X364" s="7" t="str">
        <f t="shared" si="646"/>
        <v/>
      </c>
      <c r="Y364" s="18" t="str">
        <f t="shared" si="647"/>
        <v/>
      </c>
      <c r="Z364" s="7" t="str">
        <f t="shared" si="648"/>
        <v/>
      </c>
      <c r="AA364" s="18" t="str">
        <f t="shared" si="649"/>
        <v/>
      </c>
      <c r="AB364" s="19" t="str">
        <f t="shared" si="650"/>
        <v/>
      </c>
      <c r="AC364" s="26"/>
      <c r="AD364" s="26"/>
      <c r="AE364" s="25"/>
      <c r="AF364" s="26"/>
      <c r="AG364" s="25"/>
      <c r="AH364" s="25"/>
      <c r="AI364" s="18" t="str">
        <f t="shared" si="713"/>
        <v/>
      </c>
      <c r="AJ364" s="25"/>
      <c r="AK364" s="18" t="str">
        <f t="shared" si="714"/>
        <v/>
      </c>
      <c r="AL364" s="79"/>
      <c r="AM364" s="126" t="str">
        <f t="shared" si="715"/>
        <v/>
      </c>
      <c r="AN364" s="128" t="str">
        <f>IF(AP364&lt;&gt;"",VLOOKUP($P364&amp;" | "&amp;AN$6,'Job Master'!$F$12:$J$102,5,0),"")</f>
        <v/>
      </c>
      <c r="AO364" s="19" t="str">
        <f>IF(AP364&lt;&gt;"",VLOOKUP($P364&amp;" | "&amp;AN$6,'Job Master'!$F$12:$J$102,3,0),"")</f>
        <v/>
      </c>
      <c r="AP364" s="19" t="str">
        <f>IFERROR(IF(AND(AW364&lt;&gt;"",VLOOKUP($P364&amp;" | "&amp;AN$6,'Job Master'!$F$12:$I$102,4,0)&lt;&gt;""),IF(WEEKDAY(AW364-VLOOKUP($P364&amp;" | "&amp;AN$6,'Job Master'!$F$12:$I$102,4,0))&lt;&gt;7,AW364-VLOOKUP($P364&amp;" | "&amp;AN$6,'Job Master'!$F$12:$I$102,4,0),AW364-VLOOKUP($P364&amp;" | "&amp;AN$6,'Job Master'!$F$12:$I$102,4,0)-1),""),"")</f>
        <v/>
      </c>
      <c r="AQ364" s="73"/>
      <c r="AR364" s="123" t="str">
        <f t="shared" si="651"/>
        <v/>
      </c>
      <c r="AS364" s="123" t="str">
        <f t="shared" si="652"/>
        <v/>
      </c>
      <c r="AT364" s="97" t="str">
        <f t="shared" ca="1" si="653"/>
        <v/>
      </c>
      <c r="AU364" s="98" t="str">
        <f>IF(AW364&lt;&gt;"",VLOOKUP($P364&amp;" | "&amp;AU$6,'Job Master'!$F$12:$J$102,5,0),"")</f>
        <v/>
      </c>
      <c r="AV364" s="19" t="str">
        <f>IF(AW364&lt;&gt;"",VLOOKUP($P364&amp;" | "&amp;AU$6,'Job Master'!$F$12:$J$102,3,0),"")</f>
        <v/>
      </c>
      <c r="AW364" s="19" t="str">
        <f>IFERROR(IF(AND(BD364&lt;&gt;"",VLOOKUP($P364&amp;" | "&amp;AU$6,'Job Master'!$F$12:$I$102,4,0)&lt;&gt;""),IF(WEEKDAY(BD364-VLOOKUP($P364&amp;" | "&amp;AU$6,'Job Master'!$F$12:$I$102,4,0))&lt;&gt;7,BD364-VLOOKUP($P364&amp;" | "&amp;AU$6,'Job Master'!$F$12:$I$102,4,0),BD364-VLOOKUP($P364&amp;" | "&amp;AU$6,'Job Master'!$F$12:$I$102,4,0)-1),""),"")</f>
        <v/>
      </c>
      <c r="AX364" s="73"/>
      <c r="AY364" s="123" t="str">
        <f t="shared" si="654"/>
        <v/>
      </c>
      <c r="AZ364" s="123" t="str">
        <f t="shared" si="655"/>
        <v/>
      </c>
      <c r="BA364" s="97" t="str">
        <f t="shared" ca="1" si="656"/>
        <v/>
      </c>
      <c r="BB364" s="98" t="str">
        <f>IF(BD364&lt;&gt;"",VLOOKUP($P364&amp;" | "&amp;BB$6,'Job Master'!$F$12:$J$102,5,0),"")</f>
        <v/>
      </c>
      <c r="BC364" s="19" t="str">
        <f>IF(BD364&lt;&gt;"",VLOOKUP($P364&amp;" | "&amp;BB$6,'Job Master'!$F$12:$J$102,3,0),"")</f>
        <v/>
      </c>
      <c r="BD364" s="19" t="str">
        <f>IFERROR(IF(AND(BK364&lt;&gt;"",VLOOKUP($P364&amp;" | "&amp;BB$6,'Job Master'!$F$12:$I$102,4,0)&lt;&gt;""),IF(WEEKDAY(BK364-VLOOKUP($P364&amp;" | "&amp;BB$6,'Job Master'!$F$12:$I$102,4,0))&lt;&gt;7,BK364-VLOOKUP($P364&amp;" | "&amp;BB$6,'Job Master'!$F$12:$I$102,4,0),BK364-VLOOKUP($P364&amp;" | "&amp;BB$6,'Job Master'!$F$12:$I$102,4,0)-1),""),"")</f>
        <v/>
      </c>
      <c r="BE364" s="73"/>
      <c r="BF364" s="123" t="str">
        <f t="shared" si="657"/>
        <v/>
      </c>
      <c r="BG364" s="123" t="str">
        <f t="shared" si="658"/>
        <v/>
      </c>
      <c r="BH364" s="97" t="str">
        <f t="shared" ca="1" si="659"/>
        <v/>
      </c>
      <c r="BI364" s="98" t="str">
        <f>IF(BK364&lt;&gt;"",VLOOKUP($P364&amp;" | "&amp;BI$6,'Job Master'!$F$12:$J$102,5,0),"")</f>
        <v/>
      </c>
      <c r="BJ364" s="19" t="str">
        <f>IF(BK364&lt;&gt;"",VLOOKUP($P364&amp;" | "&amp;BI$6,'Job Master'!$F$12:$J$102,3,0),"")</f>
        <v/>
      </c>
      <c r="BK364" s="19" t="str">
        <f>IFERROR(IF(AND(BR364&lt;&gt;"",VLOOKUP($P364&amp;" | "&amp;BI$6,'Job Master'!$F$12:$I$102,4,0)&lt;&gt;""),IF(WEEKDAY(BR364-VLOOKUP($P364&amp;" | "&amp;BI$6,'Job Master'!$F$12:$I$102,4,0))&lt;&gt;7,BR364-VLOOKUP($P364&amp;" | "&amp;BI$6,'Job Master'!$F$12:$I$102,4,0),BR364-VLOOKUP($P364&amp;" | "&amp;BI$6,'Job Master'!$F$12:$I$102,4,0)-1),""),"")</f>
        <v/>
      </c>
      <c r="BL364" s="73"/>
      <c r="BM364" s="123" t="str">
        <f t="shared" si="660"/>
        <v/>
      </c>
      <c r="BN364" s="123" t="str">
        <f t="shared" si="661"/>
        <v/>
      </c>
      <c r="BO364" s="97" t="str">
        <f t="shared" ca="1" si="662"/>
        <v/>
      </c>
      <c r="BP364" s="98" t="str">
        <f>IF(BR364&lt;&gt;"",VLOOKUP($P364&amp;" | "&amp;BP$6,'Job Master'!$F$12:$J$102,5,0),"")</f>
        <v/>
      </c>
      <c r="BQ364" s="19" t="str">
        <f>IF(BR364&lt;&gt;"",VLOOKUP($P364&amp;" | "&amp;BP$6,'Job Master'!$F$12:$J$102,3,0),"")</f>
        <v/>
      </c>
      <c r="BR364" s="19" t="str">
        <f>IFERROR(IF(AND(BY364&lt;&gt;"",VLOOKUP($P364&amp;" | "&amp;BP$6,'Job Master'!$F$12:$I$102,4,0)&lt;&gt;""),IF(WEEKDAY(BY364-VLOOKUP($P364&amp;" | "&amp;BP$6,'Job Master'!$F$12:$I$102,4,0))&lt;&gt;7,BY364-VLOOKUP($P364&amp;" | "&amp;BP$6,'Job Master'!$F$12:$I$102,4,0),BY364-VLOOKUP($P364&amp;" | "&amp;BP$6,'Job Master'!$F$12:$I$102,4,0)-1),""),"")</f>
        <v/>
      </c>
      <c r="BS364" s="73"/>
      <c r="BT364" s="123" t="str">
        <f t="shared" si="663"/>
        <v/>
      </c>
      <c r="BU364" s="123" t="str">
        <f t="shared" si="664"/>
        <v/>
      </c>
      <c r="BV364" s="97" t="str">
        <f t="shared" ca="1" si="665"/>
        <v/>
      </c>
      <c r="BW364" s="98" t="str">
        <f>IF(BY364&lt;&gt;"",VLOOKUP($P364&amp;" | "&amp;BW$6,'Job Master'!$F$12:$J$102,5,0),"")</f>
        <v/>
      </c>
      <c r="BX364" s="19" t="str">
        <f>IF(BY364&lt;&gt;"",VLOOKUP($P364&amp;" | "&amp;BW$6,'Job Master'!$F$12:$J$102,3,0),"")</f>
        <v/>
      </c>
      <c r="BY364" s="19" t="str">
        <f>IFERROR(IF(AND(CF364&lt;&gt;"",VLOOKUP($P364&amp;" | "&amp;BW$6,'Job Master'!$F$12:$I$102,4,0)&lt;&gt;""),IF(WEEKDAY(CF364-VLOOKUP($P364&amp;" | "&amp;BW$6,'Job Master'!$F$12:$I$102,4,0))&lt;&gt;7,CF364-VLOOKUP($P364&amp;" | "&amp;BW$6,'Job Master'!$F$12:$I$102,4,0),CF364-VLOOKUP($P364&amp;" | "&amp;BW$6,'Job Master'!$F$12:$I$102,4,0)-1),""),"")</f>
        <v/>
      </c>
      <c r="BZ364" s="73"/>
      <c r="CA364" s="123" t="str">
        <f t="shared" si="666"/>
        <v/>
      </c>
      <c r="CB364" s="123" t="str">
        <f t="shared" si="667"/>
        <v/>
      </c>
      <c r="CC364" s="97" t="str">
        <f t="shared" ca="1" si="668"/>
        <v/>
      </c>
      <c r="CD364" s="98" t="str">
        <f>IF(CF364&lt;&gt;"",VLOOKUP($P364&amp;" | "&amp;CD$6,'Job Master'!$F$12:$J$102,5,0),"")</f>
        <v/>
      </c>
      <c r="CE364" s="19" t="str">
        <f>IF(CF364&lt;&gt;"",VLOOKUP($P364&amp;" | "&amp;CD$6,'Job Master'!$F$12:$J$102,3,0),"")</f>
        <v/>
      </c>
      <c r="CF364" s="19" t="str">
        <f>IFERROR(IF(AND(CM364&lt;&gt;"",VLOOKUP($P364&amp;" | "&amp;CD$6,'Job Master'!$F$12:$I$102,4,0)&lt;&gt;""),IF(WEEKDAY(CM364-VLOOKUP($P364&amp;" | "&amp;CD$6,'Job Master'!$F$12:$I$102,4,0))&lt;&gt;7,CM364-VLOOKUP($P364&amp;" | "&amp;CD$6,'Job Master'!$F$12:$I$102,4,0),CM364-VLOOKUP($P364&amp;" | "&amp;CD$6,'Job Master'!$F$12:$I$102,4,0)-1),""),"")</f>
        <v/>
      </c>
      <c r="CG364" s="73"/>
      <c r="CH364" s="123" t="str">
        <f t="shared" si="669"/>
        <v/>
      </c>
      <c r="CI364" s="123" t="str">
        <f t="shared" si="670"/>
        <v/>
      </c>
      <c r="CJ364" s="97" t="str">
        <f t="shared" ca="1" si="671"/>
        <v/>
      </c>
      <c r="CK364" s="98" t="str">
        <f>IF(CM364&lt;&gt;"",VLOOKUP($P364&amp;" | "&amp;CK$6,'Job Master'!$F$12:$J$102,5,0),"")</f>
        <v/>
      </c>
      <c r="CL364" s="19" t="str">
        <f>IF(CM364&lt;&gt;"",VLOOKUP($P364&amp;" | "&amp;CK$6,'Job Master'!$F$12:$J$102,3,0),"")</f>
        <v/>
      </c>
      <c r="CM364" s="19" t="str">
        <f>IFERROR(IF(AND(CT364&lt;&gt;"",VLOOKUP($P364&amp;" | "&amp;CK$6,'Job Master'!$F$12:$I$102,4,0)&lt;&gt;""),IF(WEEKDAY(CT364-VLOOKUP($P364&amp;" | "&amp;CK$6,'Job Master'!$F$12:$I$102,4,0))&lt;&gt;7,CT364-VLOOKUP($P364&amp;" | "&amp;CK$6,'Job Master'!$F$12:$I$102,4,0),CT364-VLOOKUP($P364&amp;" | "&amp;CK$6,'Job Master'!$F$12:$I$102,4,0)-1),""),"")</f>
        <v/>
      </c>
      <c r="CN364" s="73"/>
      <c r="CO364" s="123" t="str">
        <f t="shared" si="672"/>
        <v/>
      </c>
      <c r="CP364" s="123" t="str">
        <f t="shared" si="673"/>
        <v/>
      </c>
      <c r="CQ364" s="97" t="str">
        <f t="shared" ca="1" si="674"/>
        <v/>
      </c>
      <c r="CR364" s="98" t="str">
        <f>IF(CT364&lt;&gt;"",VLOOKUP($P364&amp;" | "&amp;CR$6,'Job Master'!$F$12:$J$102,5,0),"")</f>
        <v/>
      </c>
      <c r="CS364" s="19" t="str">
        <f>IF(CT364&lt;&gt;"",VLOOKUP($P364&amp;" | "&amp;CR$6,'Job Master'!$F$12:$J$102,3,0),"")</f>
        <v/>
      </c>
      <c r="CT364" s="19" t="str">
        <f>IFERROR(IF(AND(DA364&lt;&gt;"",VLOOKUP($P364&amp;" | "&amp;CR$6,'Job Master'!$F$12:$I$102,4,0)&lt;&gt;""),IF(WEEKDAY(DA364-VLOOKUP($P364&amp;" | "&amp;CR$6,'Job Master'!$F$12:$I$102,4,0))&lt;&gt;7,DA364-VLOOKUP($P364&amp;" | "&amp;CR$6,'Job Master'!$F$12:$I$102,4,0),DA364-VLOOKUP($P364&amp;" | "&amp;CR$6,'Job Master'!$F$12:$I$102,4,0)-1),""),"")</f>
        <v/>
      </c>
      <c r="CU364" s="73"/>
      <c r="CV364" s="123" t="str">
        <f t="shared" si="675"/>
        <v/>
      </c>
      <c r="CW364" s="123" t="str">
        <f t="shared" si="676"/>
        <v/>
      </c>
      <c r="CX364" s="97" t="str">
        <f t="shared" ca="1" si="677"/>
        <v/>
      </c>
      <c r="CY364" s="98" t="str">
        <f>IF(DA364&lt;&gt;"",VLOOKUP($P364&amp;" | "&amp;CY$6,'Job Master'!$F$12:$J$102,5,0),"")</f>
        <v/>
      </c>
      <c r="CZ364" s="19" t="str">
        <f>IF(DA364&lt;&gt;"",VLOOKUP($P364&amp;" | "&amp;CY$6,'Job Master'!$F$12:$J$102,3,0),"")</f>
        <v/>
      </c>
      <c r="DA364" s="19" t="str">
        <f>IFERROR(IF(AND(DH364&lt;&gt;"",VLOOKUP($P364&amp;" | "&amp;CY$6,'Job Master'!$F$12:$I$102,4,0)&lt;&gt;""),IF(WEEKDAY(DH364-VLOOKUP($P364&amp;" | "&amp;CY$6,'Job Master'!$F$12:$I$102,4,0))&lt;&gt;7,DH364-VLOOKUP($P364&amp;" | "&amp;CY$6,'Job Master'!$F$12:$I$102,4,0),DH364-VLOOKUP($P364&amp;" | "&amp;CY$6,'Job Master'!$F$12:$I$102,4,0)-1),""),"")</f>
        <v/>
      </c>
      <c r="DB364" s="73"/>
      <c r="DC364" s="123" t="str">
        <f t="shared" si="678"/>
        <v/>
      </c>
      <c r="DD364" s="123" t="str">
        <f t="shared" si="679"/>
        <v/>
      </c>
      <c r="DE364" s="97" t="str">
        <f t="shared" ca="1" si="680"/>
        <v/>
      </c>
      <c r="DF364" s="98" t="str">
        <f>IF(DH364&lt;&gt;"",VLOOKUP($P364&amp;" | "&amp;DF$6,'Job Master'!$F$12:$J$102,5,0),"")</f>
        <v/>
      </c>
      <c r="DG364" s="19" t="str">
        <f>IF(DH364&lt;&gt;"",VLOOKUP($P364&amp;" | "&amp;DF$6,'Job Master'!$F$12:$J$102,3,0),"")</f>
        <v/>
      </c>
      <c r="DH364" s="19" t="str">
        <f>IFERROR(IF(AND(DO364&lt;&gt;"",VLOOKUP($P364&amp;" | "&amp;DF$6,'Job Master'!$F$12:$I$102,4,0)&lt;&gt;""),IF(WEEKDAY(DO364-VLOOKUP($P364&amp;" | "&amp;DF$6,'Job Master'!$F$12:$I$102,4,0))&lt;&gt;7,DO364-VLOOKUP($P364&amp;" | "&amp;DF$6,'Job Master'!$F$12:$I$102,4,0),DO364-VLOOKUP($P364&amp;" | "&amp;DF$6,'Job Master'!$F$12:$I$102,4,0)-1),""),"")</f>
        <v/>
      </c>
      <c r="DI364" s="73"/>
      <c r="DJ364" s="123" t="str">
        <f t="shared" si="681"/>
        <v/>
      </c>
      <c r="DK364" s="123" t="str">
        <f t="shared" si="682"/>
        <v/>
      </c>
      <c r="DL364" s="97" t="str">
        <f t="shared" ca="1" si="683"/>
        <v/>
      </c>
      <c r="DM364" s="98" t="str">
        <f>IF(DO364&lt;&gt;"",VLOOKUP($P364&amp;" | "&amp;DM$6,'Job Master'!$F$12:$J$102,5,0),"")</f>
        <v/>
      </c>
      <c r="DN364" s="19" t="str">
        <f>IF(DO364&lt;&gt;"",VLOOKUP($P364&amp;" | "&amp;DM$6,'Job Master'!$F$12:$J$102,3,0),"")</f>
        <v/>
      </c>
      <c r="DO364" s="19" t="str">
        <f>IFERROR(IF(AND(DT364&lt;&gt;"",VLOOKUP($P364&amp;" | "&amp;DM$6,'Job Master'!$F$12:$I$102,4,0)&lt;&gt;""),IF(WEEKDAY(DT364-VLOOKUP($P364&amp;" | "&amp;DM$6,'Job Master'!$F$12:$I$102,4,0))&lt;&gt;7,DT364-VLOOKUP($P364&amp;" | "&amp;DM$6,'Job Master'!$F$12:$I$102,4,0),DT364-VLOOKUP($P364&amp;" | "&amp;DM$6,'Job Master'!$F$12:$I$102,4,0)-1),""),"")</f>
        <v/>
      </c>
      <c r="DP364" s="73"/>
      <c r="DQ364" s="123" t="str">
        <f t="shared" si="684"/>
        <v/>
      </c>
      <c r="DR364" s="123" t="str">
        <f t="shared" si="685"/>
        <v/>
      </c>
      <c r="DS364" s="97" t="str">
        <f t="shared" ca="1" si="686"/>
        <v/>
      </c>
      <c r="DT364" s="70" t="str">
        <f t="shared" si="687"/>
        <v/>
      </c>
      <c r="DU364" s="90"/>
      <c r="DV364" s="123" t="str">
        <f t="shared" si="688"/>
        <v/>
      </c>
      <c r="DW364" s="123" t="str">
        <f t="shared" si="689"/>
        <v/>
      </c>
      <c r="DX364" s="132" t="str">
        <f t="shared" ref="DX364" ca="1" si="735">IF(DT364&lt;&gt;"",IF(WEEKNUM(DT364)=WEEKNUM(TODAY()),"This Week",IF(WEEKNUM(DT364)=WEEKNUM(TODAY())+1,"Next Week",IF(WEEKNUM(DT364)=WEEKNUM(TODAY())-1,"Previous Week",""))),"")</f>
        <v/>
      </c>
      <c r="DY364" s="134" t="str">
        <f t="shared" si="691"/>
        <v/>
      </c>
      <c r="DZ364" s="95"/>
      <c r="EB364" s="8" t="str">
        <f t="shared" si="697"/>
        <v/>
      </c>
      <c r="EC364" s="8" t="str">
        <f>IF(O364&lt;&gt;"",VLOOKUP(O364,'Job Master'!$N$12:$O$18,2,0),"")</f>
        <v/>
      </c>
      <c r="ED364" s="8">
        <f t="shared" si="698"/>
        <v>19.5</v>
      </c>
      <c r="EE364" s="8">
        <f t="shared" si="699"/>
        <v>6</v>
      </c>
      <c r="EF364" s="8">
        <f t="shared" si="700"/>
        <v>-2104.5</v>
      </c>
      <c r="EG364" s="8" t="str">
        <f t="shared" si="701"/>
        <v/>
      </c>
      <c r="EH364" s="8" t="str">
        <f t="shared" si="702"/>
        <v/>
      </c>
    </row>
    <row r="365" spans="2:138" x14ac:dyDescent="0.3">
      <c r="B365" s="112"/>
      <c r="C365" s="27"/>
      <c r="D365" s="7" t="str">
        <f t="shared" si="639"/>
        <v/>
      </c>
      <c r="E365" s="25"/>
      <c r="F365" s="7" t="str">
        <f t="shared" si="639"/>
        <v/>
      </c>
      <c r="G365" s="25"/>
      <c r="H365" s="7" t="str">
        <f t="shared" si="639"/>
        <v/>
      </c>
      <c r="I365" s="25"/>
      <c r="J365" s="7" t="str">
        <f t="shared" si="639"/>
        <v/>
      </c>
      <c r="K365" s="25"/>
      <c r="L365" s="7" t="str">
        <f t="shared" si="640"/>
        <v/>
      </c>
      <c r="M365" s="25"/>
      <c r="N365" s="7" t="str">
        <f t="shared" si="641"/>
        <v/>
      </c>
      <c r="O365" s="81"/>
      <c r="P365" s="81" t="str">
        <f t="shared" si="642"/>
        <v/>
      </c>
      <c r="Q365" s="81"/>
      <c r="R365" s="7" t="str">
        <f t="shared" si="643"/>
        <v/>
      </c>
      <c r="S365" s="25"/>
      <c r="T365" s="7" t="str">
        <f t="shared" si="644"/>
        <v/>
      </c>
      <c r="U365" s="25"/>
      <c r="V365" s="7" t="str">
        <f t="shared" si="645"/>
        <v/>
      </c>
      <c r="W365" s="25"/>
      <c r="X365" s="7" t="str">
        <f t="shared" si="646"/>
        <v/>
      </c>
      <c r="Y365" s="18" t="str">
        <f t="shared" si="647"/>
        <v/>
      </c>
      <c r="Z365" s="7" t="str">
        <f t="shared" si="648"/>
        <v/>
      </c>
      <c r="AA365" s="18" t="str">
        <f t="shared" si="649"/>
        <v/>
      </c>
      <c r="AB365" s="19" t="str">
        <f t="shared" si="650"/>
        <v/>
      </c>
      <c r="AC365" s="26"/>
      <c r="AD365" s="26"/>
      <c r="AE365" s="25"/>
      <c r="AF365" s="26"/>
      <c r="AG365" s="25"/>
      <c r="AH365" s="25"/>
      <c r="AI365" s="18" t="str">
        <f t="shared" si="713"/>
        <v/>
      </c>
      <c r="AJ365" s="25"/>
      <c r="AK365" s="18" t="str">
        <f t="shared" si="714"/>
        <v/>
      </c>
      <c r="AL365" s="79"/>
      <c r="AM365" s="126" t="str">
        <f t="shared" si="715"/>
        <v/>
      </c>
      <c r="AN365" s="128" t="str">
        <f>IF(AP365&lt;&gt;"",VLOOKUP($P365&amp;" | "&amp;AN$6,'Job Master'!$F$12:$J$102,5,0),"")</f>
        <v/>
      </c>
      <c r="AO365" s="19" t="str">
        <f>IF(AP365&lt;&gt;"",VLOOKUP($P365&amp;" | "&amp;AN$6,'Job Master'!$F$12:$J$102,3,0),"")</f>
        <v/>
      </c>
      <c r="AP365" s="19" t="str">
        <f>IFERROR(IF(AND(AW365&lt;&gt;"",VLOOKUP($P365&amp;" | "&amp;AN$6,'Job Master'!$F$12:$I$102,4,0)&lt;&gt;""),IF(WEEKDAY(AW365-VLOOKUP($P365&amp;" | "&amp;AN$6,'Job Master'!$F$12:$I$102,4,0))&lt;&gt;7,AW365-VLOOKUP($P365&amp;" | "&amp;AN$6,'Job Master'!$F$12:$I$102,4,0),AW365-VLOOKUP($P365&amp;" | "&amp;AN$6,'Job Master'!$F$12:$I$102,4,0)-1),""),"")</f>
        <v/>
      </c>
      <c r="AQ365" s="73"/>
      <c r="AR365" s="123" t="str">
        <f t="shared" si="651"/>
        <v/>
      </c>
      <c r="AS365" s="123" t="str">
        <f t="shared" si="652"/>
        <v/>
      </c>
      <c r="AT365" s="97" t="str">
        <f t="shared" ca="1" si="653"/>
        <v/>
      </c>
      <c r="AU365" s="98" t="str">
        <f>IF(AW365&lt;&gt;"",VLOOKUP($P365&amp;" | "&amp;AU$6,'Job Master'!$F$12:$J$102,5,0),"")</f>
        <v/>
      </c>
      <c r="AV365" s="19" t="str">
        <f>IF(AW365&lt;&gt;"",VLOOKUP($P365&amp;" | "&amp;AU$6,'Job Master'!$F$12:$J$102,3,0),"")</f>
        <v/>
      </c>
      <c r="AW365" s="19" t="str">
        <f>IFERROR(IF(AND(BD365&lt;&gt;"",VLOOKUP($P365&amp;" | "&amp;AU$6,'Job Master'!$F$12:$I$102,4,0)&lt;&gt;""),IF(WEEKDAY(BD365-VLOOKUP($P365&amp;" | "&amp;AU$6,'Job Master'!$F$12:$I$102,4,0))&lt;&gt;7,BD365-VLOOKUP($P365&amp;" | "&amp;AU$6,'Job Master'!$F$12:$I$102,4,0),BD365-VLOOKUP($P365&amp;" | "&amp;AU$6,'Job Master'!$F$12:$I$102,4,0)-1),""),"")</f>
        <v/>
      </c>
      <c r="AX365" s="73"/>
      <c r="AY365" s="123" t="str">
        <f t="shared" si="654"/>
        <v/>
      </c>
      <c r="AZ365" s="123" t="str">
        <f t="shared" si="655"/>
        <v/>
      </c>
      <c r="BA365" s="97" t="str">
        <f t="shared" ca="1" si="656"/>
        <v/>
      </c>
      <c r="BB365" s="98" t="str">
        <f>IF(BD365&lt;&gt;"",VLOOKUP($P365&amp;" | "&amp;BB$6,'Job Master'!$F$12:$J$102,5,0),"")</f>
        <v/>
      </c>
      <c r="BC365" s="19" t="str">
        <f>IF(BD365&lt;&gt;"",VLOOKUP($P365&amp;" | "&amp;BB$6,'Job Master'!$F$12:$J$102,3,0),"")</f>
        <v/>
      </c>
      <c r="BD365" s="19" t="str">
        <f>IFERROR(IF(AND(BK365&lt;&gt;"",VLOOKUP($P365&amp;" | "&amp;BB$6,'Job Master'!$F$12:$I$102,4,0)&lt;&gt;""),IF(WEEKDAY(BK365-VLOOKUP($P365&amp;" | "&amp;BB$6,'Job Master'!$F$12:$I$102,4,0))&lt;&gt;7,BK365-VLOOKUP($P365&amp;" | "&amp;BB$6,'Job Master'!$F$12:$I$102,4,0),BK365-VLOOKUP($P365&amp;" | "&amp;BB$6,'Job Master'!$F$12:$I$102,4,0)-1),""),"")</f>
        <v/>
      </c>
      <c r="BE365" s="73"/>
      <c r="BF365" s="123" t="str">
        <f t="shared" si="657"/>
        <v/>
      </c>
      <c r="BG365" s="123" t="str">
        <f t="shared" si="658"/>
        <v/>
      </c>
      <c r="BH365" s="97" t="str">
        <f t="shared" ca="1" si="659"/>
        <v/>
      </c>
      <c r="BI365" s="98" t="str">
        <f>IF(BK365&lt;&gt;"",VLOOKUP($P365&amp;" | "&amp;BI$6,'Job Master'!$F$12:$J$102,5,0),"")</f>
        <v/>
      </c>
      <c r="BJ365" s="19" t="str">
        <f>IF(BK365&lt;&gt;"",VLOOKUP($P365&amp;" | "&amp;BI$6,'Job Master'!$F$12:$J$102,3,0),"")</f>
        <v/>
      </c>
      <c r="BK365" s="19" t="str">
        <f>IFERROR(IF(AND(BR365&lt;&gt;"",VLOOKUP($P365&amp;" | "&amp;BI$6,'Job Master'!$F$12:$I$102,4,0)&lt;&gt;""),IF(WEEKDAY(BR365-VLOOKUP($P365&amp;" | "&amp;BI$6,'Job Master'!$F$12:$I$102,4,0))&lt;&gt;7,BR365-VLOOKUP($P365&amp;" | "&amp;BI$6,'Job Master'!$F$12:$I$102,4,0),BR365-VLOOKUP($P365&amp;" | "&amp;BI$6,'Job Master'!$F$12:$I$102,4,0)-1),""),"")</f>
        <v/>
      </c>
      <c r="BL365" s="73"/>
      <c r="BM365" s="123" t="str">
        <f t="shared" si="660"/>
        <v/>
      </c>
      <c r="BN365" s="123" t="str">
        <f t="shared" si="661"/>
        <v/>
      </c>
      <c r="BO365" s="97" t="str">
        <f t="shared" ca="1" si="662"/>
        <v/>
      </c>
      <c r="BP365" s="98" t="str">
        <f>IF(BR365&lt;&gt;"",VLOOKUP($P365&amp;" | "&amp;BP$6,'Job Master'!$F$12:$J$102,5,0),"")</f>
        <v/>
      </c>
      <c r="BQ365" s="19" t="str">
        <f>IF(BR365&lt;&gt;"",VLOOKUP($P365&amp;" | "&amp;BP$6,'Job Master'!$F$12:$J$102,3,0),"")</f>
        <v/>
      </c>
      <c r="BR365" s="19" t="str">
        <f>IFERROR(IF(AND(BY365&lt;&gt;"",VLOOKUP($P365&amp;" | "&amp;BP$6,'Job Master'!$F$12:$I$102,4,0)&lt;&gt;""),IF(WEEKDAY(BY365-VLOOKUP($P365&amp;" | "&amp;BP$6,'Job Master'!$F$12:$I$102,4,0))&lt;&gt;7,BY365-VLOOKUP($P365&amp;" | "&amp;BP$6,'Job Master'!$F$12:$I$102,4,0),BY365-VLOOKUP($P365&amp;" | "&amp;BP$6,'Job Master'!$F$12:$I$102,4,0)-1),""),"")</f>
        <v/>
      </c>
      <c r="BS365" s="73"/>
      <c r="BT365" s="123" t="str">
        <f t="shared" si="663"/>
        <v/>
      </c>
      <c r="BU365" s="123" t="str">
        <f t="shared" si="664"/>
        <v/>
      </c>
      <c r="BV365" s="97" t="str">
        <f t="shared" ca="1" si="665"/>
        <v/>
      </c>
      <c r="BW365" s="98" t="str">
        <f>IF(BY365&lt;&gt;"",VLOOKUP($P365&amp;" | "&amp;BW$6,'Job Master'!$F$12:$J$102,5,0),"")</f>
        <v/>
      </c>
      <c r="BX365" s="19" t="str">
        <f>IF(BY365&lt;&gt;"",VLOOKUP($P365&amp;" | "&amp;BW$6,'Job Master'!$F$12:$J$102,3,0),"")</f>
        <v/>
      </c>
      <c r="BY365" s="19" t="str">
        <f>IFERROR(IF(AND(CF365&lt;&gt;"",VLOOKUP($P365&amp;" | "&amp;BW$6,'Job Master'!$F$12:$I$102,4,0)&lt;&gt;""),IF(WEEKDAY(CF365-VLOOKUP($P365&amp;" | "&amp;BW$6,'Job Master'!$F$12:$I$102,4,0))&lt;&gt;7,CF365-VLOOKUP($P365&amp;" | "&amp;BW$6,'Job Master'!$F$12:$I$102,4,0),CF365-VLOOKUP($P365&amp;" | "&amp;BW$6,'Job Master'!$F$12:$I$102,4,0)-1),""),"")</f>
        <v/>
      </c>
      <c r="BZ365" s="73"/>
      <c r="CA365" s="123" t="str">
        <f t="shared" si="666"/>
        <v/>
      </c>
      <c r="CB365" s="123" t="str">
        <f t="shared" si="667"/>
        <v/>
      </c>
      <c r="CC365" s="97" t="str">
        <f t="shared" ca="1" si="668"/>
        <v/>
      </c>
      <c r="CD365" s="98" t="str">
        <f>IF(CF365&lt;&gt;"",VLOOKUP($P365&amp;" | "&amp;CD$6,'Job Master'!$F$12:$J$102,5,0),"")</f>
        <v/>
      </c>
      <c r="CE365" s="19" t="str">
        <f>IF(CF365&lt;&gt;"",VLOOKUP($P365&amp;" | "&amp;CD$6,'Job Master'!$F$12:$J$102,3,0),"")</f>
        <v/>
      </c>
      <c r="CF365" s="19" t="str">
        <f>IFERROR(IF(AND(CM365&lt;&gt;"",VLOOKUP($P365&amp;" | "&amp;CD$6,'Job Master'!$F$12:$I$102,4,0)&lt;&gt;""),IF(WEEKDAY(CM365-VLOOKUP($P365&amp;" | "&amp;CD$6,'Job Master'!$F$12:$I$102,4,0))&lt;&gt;7,CM365-VLOOKUP($P365&amp;" | "&amp;CD$6,'Job Master'!$F$12:$I$102,4,0),CM365-VLOOKUP($P365&amp;" | "&amp;CD$6,'Job Master'!$F$12:$I$102,4,0)-1),""),"")</f>
        <v/>
      </c>
      <c r="CG365" s="73"/>
      <c r="CH365" s="123" t="str">
        <f t="shared" si="669"/>
        <v/>
      </c>
      <c r="CI365" s="123" t="str">
        <f t="shared" si="670"/>
        <v/>
      </c>
      <c r="CJ365" s="97" t="str">
        <f t="shared" ca="1" si="671"/>
        <v/>
      </c>
      <c r="CK365" s="98" t="str">
        <f>IF(CM365&lt;&gt;"",VLOOKUP($P365&amp;" | "&amp;CK$6,'Job Master'!$F$12:$J$102,5,0),"")</f>
        <v/>
      </c>
      <c r="CL365" s="19" t="str">
        <f>IF(CM365&lt;&gt;"",VLOOKUP($P365&amp;" | "&amp;CK$6,'Job Master'!$F$12:$J$102,3,0),"")</f>
        <v/>
      </c>
      <c r="CM365" s="19" t="str">
        <f>IFERROR(IF(AND(CT365&lt;&gt;"",VLOOKUP($P365&amp;" | "&amp;CK$6,'Job Master'!$F$12:$I$102,4,0)&lt;&gt;""),IF(WEEKDAY(CT365-VLOOKUP($P365&amp;" | "&amp;CK$6,'Job Master'!$F$12:$I$102,4,0))&lt;&gt;7,CT365-VLOOKUP($P365&amp;" | "&amp;CK$6,'Job Master'!$F$12:$I$102,4,0),CT365-VLOOKUP($P365&amp;" | "&amp;CK$6,'Job Master'!$F$12:$I$102,4,0)-1),""),"")</f>
        <v/>
      </c>
      <c r="CN365" s="73"/>
      <c r="CO365" s="123" t="str">
        <f t="shared" si="672"/>
        <v/>
      </c>
      <c r="CP365" s="123" t="str">
        <f t="shared" si="673"/>
        <v/>
      </c>
      <c r="CQ365" s="97" t="str">
        <f t="shared" ca="1" si="674"/>
        <v/>
      </c>
      <c r="CR365" s="98" t="str">
        <f>IF(CT365&lt;&gt;"",VLOOKUP($P365&amp;" | "&amp;CR$6,'Job Master'!$F$12:$J$102,5,0),"")</f>
        <v/>
      </c>
      <c r="CS365" s="19" t="str">
        <f>IF(CT365&lt;&gt;"",VLOOKUP($P365&amp;" | "&amp;CR$6,'Job Master'!$F$12:$J$102,3,0),"")</f>
        <v/>
      </c>
      <c r="CT365" s="19" t="str">
        <f>IFERROR(IF(AND(DA365&lt;&gt;"",VLOOKUP($P365&amp;" | "&amp;CR$6,'Job Master'!$F$12:$I$102,4,0)&lt;&gt;""),IF(WEEKDAY(DA365-VLOOKUP($P365&amp;" | "&amp;CR$6,'Job Master'!$F$12:$I$102,4,0))&lt;&gt;7,DA365-VLOOKUP($P365&amp;" | "&amp;CR$6,'Job Master'!$F$12:$I$102,4,0),DA365-VLOOKUP($P365&amp;" | "&amp;CR$6,'Job Master'!$F$12:$I$102,4,0)-1),""),"")</f>
        <v/>
      </c>
      <c r="CU365" s="73"/>
      <c r="CV365" s="123" t="str">
        <f t="shared" si="675"/>
        <v/>
      </c>
      <c r="CW365" s="123" t="str">
        <f t="shared" si="676"/>
        <v/>
      </c>
      <c r="CX365" s="97" t="str">
        <f t="shared" ca="1" si="677"/>
        <v/>
      </c>
      <c r="CY365" s="98" t="str">
        <f>IF(DA365&lt;&gt;"",VLOOKUP($P365&amp;" | "&amp;CY$6,'Job Master'!$F$12:$J$102,5,0),"")</f>
        <v/>
      </c>
      <c r="CZ365" s="19" t="str">
        <f>IF(DA365&lt;&gt;"",VLOOKUP($P365&amp;" | "&amp;CY$6,'Job Master'!$F$12:$J$102,3,0),"")</f>
        <v/>
      </c>
      <c r="DA365" s="19" t="str">
        <f>IFERROR(IF(AND(DH365&lt;&gt;"",VLOOKUP($P365&amp;" | "&amp;CY$6,'Job Master'!$F$12:$I$102,4,0)&lt;&gt;""),IF(WEEKDAY(DH365-VLOOKUP($P365&amp;" | "&amp;CY$6,'Job Master'!$F$12:$I$102,4,0))&lt;&gt;7,DH365-VLOOKUP($P365&amp;" | "&amp;CY$6,'Job Master'!$F$12:$I$102,4,0),DH365-VLOOKUP($P365&amp;" | "&amp;CY$6,'Job Master'!$F$12:$I$102,4,0)-1),""),"")</f>
        <v/>
      </c>
      <c r="DB365" s="73"/>
      <c r="DC365" s="123" t="str">
        <f t="shared" si="678"/>
        <v/>
      </c>
      <c r="DD365" s="123" t="str">
        <f t="shared" si="679"/>
        <v/>
      </c>
      <c r="DE365" s="97" t="str">
        <f t="shared" ca="1" si="680"/>
        <v/>
      </c>
      <c r="DF365" s="98" t="str">
        <f>IF(DH365&lt;&gt;"",VLOOKUP($P365&amp;" | "&amp;DF$6,'Job Master'!$F$12:$J$102,5,0),"")</f>
        <v/>
      </c>
      <c r="DG365" s="19" t="str">
        <f>IF(DH365&lt;&gt;"",VLOOKUP($P365&amp;" | "&amp;DF$6,'Job Master'!$F$12:$J$102,3,0),"")</f>
        <v/>
      </c>
      <c r="DH365" s="19" t="str">
        <f>IFERROR(IF(AND(DO365&lt;&gt;"",VLOOKUP($P365&amp;" | "&amp;DF$6,'Job Master'!$F$12:$I$102,4,0)&lt;&gt;""),IF(WEEKDAY(DO365-VLOOKUP($P365&amp;" | "&amp;DF$6,'Job Master'!$F$12:$I$102,4,0))&lt;&gt;7,DO365-VLOOKUP($P365&amp;" | "&amp;DF$6,'Job Master'!$F$12:$I$102,4,0),DO365-VLOOKUP($P365&amp;" | "&amp;DF$6,'Job Master'!$F$12:$I$102,4,0)-1),""),"")</f>
        <v/>
      </c>
      <c r="DI365" s="73"/>
      <c r="DJ365" s="123" t="str">
        <f t="shared" si="681"/>
        <v/>
      </c>
      <c r="DK365" s="123" t="str">
        <f t="shared" si="682"/>
        <v/>
      </c>
      <c r="DL365" s="97" t="str">
        <f t="shared" ca="1" si="683"/>
        <v/>
      </c>
      <c r="DM365" s="98" t="str">
        <f>IF(DO365&lt;&gt;"",VLOOKUP($P365&amp;" | "&amp;DM$6,'Job Master'!$F$12:$J$102,5,0),"")</f>
        <v/>
      </c>
      <c r="DN365" s="19" t="str">
        <f>IF(DO365&lt;&gt;"",VLOOKUP($P365&amp;" | "&amp;DM$6,'Job Master'!$F$12:$J$102,3,0),"")</f>
        <v/>
      </c>
      <c r="DO365" s="19" t="str">
        <f>IFERROR(IF(AND(DT365&lt;&gt;"",VLOOKUP($P365&amp;" | "&amp;DM$6,'Job Master'!$F$12:$I$102,4,0)&lt;&gt;""),IF(WEEKDAY(DT365-VLOOKUP($P365&amp;" | "&amp;DM$6,'Job Master'!$F$12:$I$102,4,0))&lt;&gt;7,DT365-VLOOKUP($P365&amp;" | "&amp;DM$6,'Job Master'!$F$12:$I$102,4,0),DT365-VLOOKUP($P365&amp;" | "&amp;DM$6,'Job Master'!$F$12:$I$102,4,0)-1),""),"")</f>
        <v/>
      </c>
      <c r="DP365" s="73"/>
      <c r="DQ365" s="123" t="str">
        <f t="shared" si="684"/>
        <v/>
      </c>
      <c r="DR365" s="123" t="str">
        <f t="shared" si="685"/>
        <v/>
      </c>
      <c r="DS365" s="97" t="str">
        <f t="shared" ca="1" si="686"/>
        <v/>
      </c>
      <c r="DT365" s="70" t="str">
        <f t="shared" si="687"/>
        <v/>
      </c>
      <c r="DU365" s="90"/>
      <c r="DV365" s="123" t="str">
        <f t="shared" si="688"/>
        <v/>
      </c>
      <c r="DW365" s="123" t="str">
        <f t="shared" si="689"/>
        <v/>
      </c>
      <c r="DX365" s="132" t="str">
        <f t="shared" ref="DX365" ca="1" si="736">IF(DT365&lt;&gt;"",IF(WEEKNUM(DT365)=WEEKNUM(TODAY()),"This Week",IF(WEEKNUM(DT365)=WEEKNUM(TODAY())+1,"Next Week",IF(WEEKNUM(DT365)=WEEKNUM(TODAY())-1,"Previous Week",""))),"")</f>
        <v/>
      </c>
      <c r="DY365" s="134" t="str">
        <f t="shared" si="691"/>
        <v/>
      </c>
      <c r="DZ365" s="95"/>
      <c r="EB365" s="8" t="str">
        <f t="shared" si="697"/>
        <v/>
      </c>
      <c r="EC365" s="8" t="str">
        <f>IF(O365&lt;&gt;"",VLOOKUP(O365,'Job Master'!$N$12:$O$18,2,0),"")</f>
        <v/>
      </c>
      <c r="ED365" s="8">
        <f t="shared" si="698"/>
        <v>19.5</v>
      </c>
      <c r="EE365" s="8">
        <f t="shared" si="699"/>
        <v>6</v>
      </c>
      <c r="EF365" s="8">
        <f t="shared" si="700"/>
        <v>-2110.5</v>
      </c>
      <c r="EG365" s="8" t="str">
        <f t="shared" si="701"/>
        <v/>
      </c>
      <c r="EH365" s="8" t="str">
        <f t="shared" si="702"/>
        <v/>
      </c>
    </row>
    <row r="366" spans="2:138" x14ac:dyDescent="0.3">
      <c r="B366" s="112"/>
      <c r="C366" s="27"/>
      <c r="D366" s="7" t="str">
        <f t="shared" si="639"/>
        <v/>
      </c>
      <c r="E366" s="25"/>
      <c r="F366" s="7" t="str">
        <f t="shared" si="639"/>
        <v/>
      </c>
      <c r="G366" s="25"/>
      <c r="H366" s="7" t="str">
        <f t="shared" si="639"/>
        <v/>
      </c>
      <c r="I366" s="25"/>
      <c r="J366" s="7" t="str">
        <f t="shared" si="639"/>
        <v/>
      </c>
      <c r="K366" s="25"/>
      <c r="L366" s="7" t="str">
        <f t="shared" si="640"/>
        <v/>
      </c>
      <c r="M366" s="25"/>
      <c r="N366" s="7" t="str">
        <f t="shared" si="641"/>
        <v/>
      </c>
      <c r="O366" s="81"/>
      <c r="P366" s="81" t="str">
        <f t="shared" si="642"/>
        <v/>
      </c>
      <c r="Q366" s="81"/>
      <c r="R366" s="7" t="str">
        <f t="shared" si="643"/>
        <v/>
      </c>
      <c r="S366" s="25"/>
      <c r="T366" s="7" t="str">
        <f t="shared" si="644"/>
        <v/>
      </c>
      <c r="U366" s="25"/>
      <c r="V366" s="7" t="str">
        <f t="shared" si="645"/>
        <v/>
      </c>
      <c r="W366" s="25"/>
      <c r="X366" s="7" t="str">
        <f t="shared" si="646"/>
        <v/>
      </c>
      <c r="Y366" s="18" t="str">
        <f t="shared" si="647"/>
        <v/>
      </c>
      <c r="Z366" s="7" t="str">
        <f t="shared" si="648"/>
        <v/>
      </c>
      <c r="AA366" s="18" t="str">
        <f t="shared" si="649"/>
        <v/>
      </c>
      <c r="AB366" s="19" t="str">
        <f t="shared" si="650"/>
        <v/>
      </c>
      <c r="AC366" s="26"/>
      <c r="AD366" s="26"/>
      <c r="AE366" s="25"/>
      <c r="AF366" s="26"/>
      <c r="AG366" s="25"/>
      <c r="AH366" s="25"/>
      <c r="AI366" s="18" t="str">
        <f t="shared" si="713"/>
        <v/>
      </c>
      <c r="AJ366" s="25"/>
      <c r="AK366" s="18" t="str">
        <f t="shared" si="714"/>
        <v/>
      </c>
      <c r="AL366" s="79"/>
      <c r="AM366" s="126" t="str">
        <f t="shared" si="715"/>
        <v/>
      </c>
      <c r="AN366" s="128" t="str">
        <f>IF(AP366&lt;&gt;"",VLOOKUP($P366&amp;" | "&amp;AN$6,'Job Master'!$F$12:$J$102,5,0),"")</f>
        <v/>
      </c>
      <c r="AO366" s="19" t="str">
        <f>IF(AP366&lt;&gt;"",VLOOKUP($P366&amp;" | "&amp;AN$6,'Job Master'!$F$12:$J$102,3,0),"")</f>
        <v/>
      </c>
      <c r="AP366" s="19" t="str">
        <f>IFERROR(IF(AND(AW366&lt;&gt;"",VLOOKUP($P366&amp;" | "&amp;AN$6,'Job Master'!$F$12:$I$102,4,0)&lt;&gt;""),IF(WEEKDAY(AW366-VLOOKUP($P366&amp;" | "&amp;AN$6,'Job Master'!$F$12:$I$102,4,0))&lt;&gt;7,AW366-VLOOKUP($P366&amp;" | "&amp;AN$6,'Job Master'!$F$12:$I$102,4,0),AW366-VLOOKUP($P366&amp;" | "&amp;AN$6,'Job Master'!$F$12:$I$102,4,0)-1),""),"")</f>
        <v/>
      </c>
      <c r="AQ366" s="73"/>
      <c r="AR366" s="123" t="str">
        <f t="shared" si="651"/>
        <v/>
      </c>
      <c r="AS366" s="123" t="str">
        <f t="shared" si="652"/>
        <v/>
      </c>
      <c r="AT366" s="97" t="str">
        <f t="shared" ca="1" si="653"/>
        <v/>
      </c>
      <c r="AU366" s="98" t="str">
        <f>IF(AW366&lt;&gt;"",VLOOKUP($P366&amp;" | "&amp;AU$6,'Job Master'!$F$12:$J$102,5,0),"")</f>
        <v/>
      </c>
      <c r="AV366" s="19" t="str">
        <f>IF(AW366&lt;&gt;"",VLOOKUP($P366&amp;" | "&amp;AU$6,'Job Master'!$F$12:$J$102,3,0),"")</f>
        <v/>
      </c>
      <c r="AW366" s="19" t="str">
        <f>IFERROR(IF(AND(BD366&lt;&gt;"",VLOOKUP($P366&amp;" | "&amp;AU$6,'Job Master'!$F$12:$I$102,4,0)&lt;&gt;""),IF(WEEKDAY(BD366-VLOOKUP($P366&amp;" | "&amp;AU$6,'Job Master'!$F$12:$I$102,4,0))&lt;&gt;7,BD366-VLOOKUP($P366&amp;" | "&amp;AU$6,'Job Master'!$F$12:$I$102,4,0),BD366-VLOOKUP($P366&amp;" | "&amp;AU$6,'Job Master'!$F$12:$I$102,4,0)-1),""),"")</f>
        <v/>
      </c>
      <c r="AX366" s="73"/>
      <c r="AY366" s="123" t="str">
        <f t="shared" si="654"/>
        <v/>
      </c>
      <c r="AZ366" s="123" t="str">
        <f t="shared" si="655"/>
        <v/>
      </c>
      <c r="BA366" s="97" t="str">
        <f t="shared" ca="1" si="656"/>
        <v/>
      </c>
      <c r="BB366" s="98" t="str">
        <f>IF(BD366&lt;&gt;"",VLOOKUP($P366&amp;" | "&amp;BB$6,'Job Master'!$F$12:$J$102,5,0),"")</f>
        <v/>
      </c>
      <c r="BC366" s="19" t="str">
        <f>IF(BD366&lt;&gt;"",VLOOKUP($P366&amp;" | "&amp;BB$6,'Job Master'!$F$12:$J$102,3,0),"")</f>
        <v/>
      </c>
      <c r="BD366" s="19" t="str">
        <f>IFERROR(IF(AND(BK366&lt;&gt;"",VLOOKUP($P366&amp;" | "&amp;BB$6,'Job Master'!$F$12:$I$102,4,0)&lt;&gt;""),IF(WEEKDAY(BK366-VLOOKUP($P366&amp;" | "&amp;BB$6,'Job Master'!$F$12:$I$102,4,0))&lt;&gt;7,BK366-VLOOKUP($P366&amp;" | "&amp;BB$6,'Job Master'!$F$12:$I$102,4,0),BK366-VLOOKUP($P366&amp;" | "&amp;BB$6,'Job Master'!$F$12:$I$102,4,0)-1),""),"")</f>
        <v/>
      </c>
      <c r="BE366" s="73"/>
      <c r="BF366" s="123" t="str">
        <f t="shared" si="657"/>
        <v/>
      </c>
      <c r="BG366" s="123" t="str">
        <f t="shared" si="658"/>
        <v/>
      </c>
      <c r="BH366" s="97" t="str">
        <f t="shared" ca="1" si="659"/>
        <v/>
      </c>
      <c r="BI366" s="98" t="str">
        <f>IF(BK366&lt;&gt;"",VLOOKUP($P366&amp;" | "&amp;BI$6,'Job Master'!$F$12:$J$102,5,0),"")</f>
        <v/>
      </c>
      <c r="BJ366" s="19" t="str">
        <f>IF(BK366&lt;&gt;"",VLOOKUP($P366&amp;" | "&amp;BI$6,'Job Master'!$F$12:$J$102,3,0),"")</f>
        <v/>
      </c>
      <c r="BK366" s="19" t="str">
        <f>IFERROR(IF(AND(BR366&lt;&gt;"",VLOOKUP($P366&amp;" | "&amp;BI$6,'Job Master'!$F$12:$I$102,4,0)&lt;&gt;""),IF(WEEKDAY(BR366-VLOOKUP($P366&amp;" | "&amp;BI$6,'Job Master'!$F$12:$I$102,4,0))&lt;&gt;7,BR366-VLOOKUP($P366&amp;" | "&amp;BI$6,'Job Master'!$F$12:$I$102,4,0),BR366-VLOOKUP($P366&amp;" | "&amp;BI$6,'Job Master'!$F$12:$I$102,4,0)-1),""),"")</f>
        <v/>
      </c>
      <c r="BL366" s="73"/>
      <c r="BM366" s="123" t="str">
        <f t="shared" si="660"/>
        <v/>
      </c>
      <c r="BN366" s="123" t="str">
        <f t="shared" si="661"/>
        <v/>
      </c>
      <c r="BO366" s="97" t="str">
        <f t="shared" ca="1" si="662"/>
        <v/>
      </c>
      <c r="BP366" s="98" t="str">
        <f>IF(BR366&lt;&gt;"",VLOOKUP($P366&amp;" | "&amp;BP$6,'Job Master'!$F$12:$J$102,5,0),"")</f>
        <v/>
      </c>
      <c r="BQ366" s="19" t="str">
        <f>IF(BR366&lt;&gt;"",VLOOKUP($P366&amp;" | "&amp;BP$6,'Job Master'!$F$12:$J$102,3,0),"")</f>
        <v/>
      </c>
      <c r="BR366" s="19" t="str">
        <f>IFERROR(IF(AND(BY366&lt;&gt;"",VLOOKUP($P366&amp;" | "&amp;BP$6,'Job Master'!$F$12:$I$102,4,0)&lt;&gt;""),IF(WEEKDAY(BY366-VLOOKUP($P366&amp;" | "&amp;BP$6,'Job Master'!$F$12:$I$102,4,0))&lt;&gt;7,BY366-VLOOKUP($P366&amp;" | "&amp;BP$6,'Job Master'!$F$12:$I$102,4,0),BY366-VLOOKUP($P366&amp;" | "&amp;BP$6,'Job Master'!$F$12:$I$102,4,0)-1),""),"")</f>
        <v/>
      </c>
      <c r="BS366" s="73"/>
      <c r="BT366" s="123" t="str">
        <f t="shared" si="663"/>
        <v/>
      </c>
      <c r="BU366" s="123" t="str">
        <f t="shared" si="664"/>
        <v/>
      </c>
      <c r="BV366" s="97" t="str">
        <f t="shared" ca="1" si="665"/>
        <v/>
      </c>
      <c r="BW366" s="98" t="str">
        <f>IF(BY366&lt;&gt;"",VLOOKUP($P366&amp;" | "&amp;BW$6,'Job Master'!$F$12:$J$102,5,0),"")</f>
        <v/>
      </c>
      <c r="BX366" s="19" t="str">
        <f>IF(BY366&lt;&gt;"",VLOOKUP($P366&amp;" | "&amp;BW$6,'Job Master'!$F$12:$J$102,3,0),"")</f>
        <v/>
      </c>
      <c r="BY366" s="19" t="str">
        <f>IFERROR(IF(AND(CF366&lt;&gt;"",VLOOKUP($P366&amp;" | "&amp;BW$6,'Job Master'!$F$12:$I$102,4,0)&lt;&gt;""),IF(WEEKDAY(CF366-VLOOKUP($P366&amp;" | "&amp;BW$6,'Job Master'!$F$12:$I$102,4,0))&lt;&gt;7,CF366-VLOOKUP($P366&amp;" | "&amp;BW$6,'Job Master'!$F$12:$I$102,4,0),CF366-VLOOKUP($P366&amp;" | "&amp;BW$6,'Job Master'!$F$12:$I$102,4,0)-1),""),"")</f>
        <v/>
      </c>
      <c r="BZ366" s="73"/>
      <c r="CA366" s="123" t="str">
        <f t="shared" si="666"/>
        <v/>
      </c>
      <c r="CB366" s="123" t="str">
        <f t="shared" si="667"/>
        <v/>
      </c>
      <c r="CC366" s="97" t="str">
        <f t="shared" ca="1" si="668"/>
        <v/>
      </c>
      <c r="CD366" s="98" t="str">
        <f>IF(CF366&lt;&gt;"",VLOOKUP($P366&amp;" | "&amp;CD$6,'Job Master'!$F$12:$J$102,5,0),"")</f>
        <v/>
      </c>
      <c r="CE366" s="19" t="str">
        <f>IF(CF366&lt;&gt;"",VLOOKUP($P366&amp;" | "&amp;CD$6,'Job Master'!$F$12:$J$102,3,0),"")</f>
        <v/>
      </c>
      <c r="CF366" s="19" t="str">
        <f>IFERROR(IF(AND(CM366&lt;&gt;"",VLOOKUP($P366&amp;" | "&amp;CD$6,'Job Master'!$F$12:$I$102,4,0)&lt;&gt;""),IF(WEEKDAY(CM366-VLOOKUP($P366&amp;" | "&amp;CD$6,'Job Master'!$F$12:$I$102,4,0))&lt;&gt;7,CM366-VLOOKUP($P366&amp;" | "&amp;CD$6,'Job Master'!$F$12:$I$102,4,0),CM366-VLOOKUP($P366&amp;" | "&amp;CD$6,'Job Master'!$F$12:$I$102,4,0)-1),""),"")</f>
        <v/>
      </c>
      <c r="CG366" s="73"/>
      <c r="CH366" s="123" t="str">
        <f t="shared" si="669"/>
        <v/>
      </c>
      <c r="CI366" s="123" t="str">
        <f t="shared" si="670"/>
        <v/>
      </c>
      <c r="CJ366" s="97" t="str">
        <f t="shared" ca="1" si="671"/>
        <v/>
      </c>
      <c r="CK366" s="98" t="str">
        <f>IF(CM366&lt;&gt;"",VLOOKUP($P366&amp;" | "&amp;CK$6,'Job Master'!$F$12:$J$102,5,0),"")</f>
        <v/>
      </c>
      <c r="CL366" s="19" t="str">
        <f>IF(CM366&lt;&gt;"",VLOOKUP($P366&amp;" | "&amp;CK$6,'Job Master'!$F$12:$J$102,3,0),"")</f>
        <v/>
      </c>
      <c r="CM366" s="19" t="str">
        <f>IFERROR(IF(AND(CT366&lt;&gt;"",VLOOKUP($P366&amp;" | "&amp;CK$6,'Job Master'!$F$12:$I$102,4,0)&lt;&gt;""),IF(WEEKDAY(CT366-VLOOKUP($P366&amp;" | "&amp;CK$6,'Job Master'!$F$12:$I$102,4,0))&lt;&gt;7,CT366-VLOOKUP($P366&amp;" | "&amp;CK$6,'Job Master'!$F$12:$I$102,4,0),CT366-VLOOKUP($P366&amp;" | "&amp;CK$6,'Job Master'!$F$12:$I$102,4,0)-1),""),"")</f>
        <v/>
      </c>
      <c r="CN366" s="73"/>
      <c r="CO366" s="123" t="str">
        <f t="shared" si="672"/>
        <v/>
      </c>
      <c r="CP366" s="123" t="str">
        <f t="shared" si="673"/>
        <v/>
      </c>
      <c r="CQ366" s="97" t="str">
        <f t="shared" ca="1" si="674"/>
        <v/>
      </c>
      <c r="CR366" s="98" t="str">
        <f>IF(CT366&lt;&gt;"",VLOOKUP($P366&amp;" | "&amp;CR$6,'Job Master'!$F$12:$J$102,5,0),"")</f>
        <v/>
      </c>
      <c r="CS366" s="19" t="str">
        <f>IF(CT366&lt;&gt;"",VLOOKUP($P366&amp;" | "&amp;CR$6,'Job Master'!$F$12:$J$102,3,0),"")</f>
        <v/>
      </c>
      <c r="CT366" s="19" t="str">
        <f>IFERROR(IF(AND(DA366&lt;&gt;"",VLOOKUP($P366&amp;" | "&amp;CR$6,'Job Master'!$F$12:$I$102,4,0)&lt;&gt;""),IF(WEEKDAY(DA366-VLOOKUP($P366&amp;" | "&amp;CR$6,'Job Master'!$F$12:$I$102,4,0))&lt;&gt;7,DA366-VLOOKUP($P366&amp;" | "&amp;CR$6,'Job Master'!$F$12:$I$102,4,0),DA366-VLOOKUP($P366&amp;" | "&amp;CR$6,'Job Master'!$F$12:$I$102,4,0)-1),""),"")</f>
        <v/>
      </c>
      <c r="CU366" s="73"/>
      <c r="CV366" s="123" t="str">
        <f t="shared" si="675"/>
        <v/>
      </c>
      <c r="CW366" s="123" t="str">
        <f t="shared" si="676"/>
        <v/>
      </c>
      <c r="CX366" s="97" t="str">
        <f t="shared" ca="1" si="677"/>
        <v/>
      </c>
      <c r="CY366" s="98" t="str">
        <f>IF(DA366&lt;&gt;"",VLOOKUP($P366&amp;" | "&amp;CY$6,'Job Master'!$F$12:$J$102,5,0),"")</f>
        <v/>
      </c>
      <c r="CZ366" s="19" t="str">
        <f>IF(DA366&lt;&gt;"",VLOOKUP($P366&amp;" | "&amp;CY$6,'Job Master'!$F$12:$J$102,3,0),"")</f>
        <v/>
      </c>
      <c r="DA366" s="19" t="str">
        <f>IFERROR(IF(AND(DH366&lt;&gt;"",VLOOKUP($P366&amp;" | "&amp;CY$6,'Job Master'!$F$12:$I$102,4,0)&lt;&gt;""),IF(WEEKDAY(DH366-VLOOKUP($P366&amp;" | "&amp;CY$6,'Job Master'!$F$12:$I$102,4,0))&lt;&gt;7,DH366-VLOOKUP($P366&amp;" | "&amp;CY$6,'Job Master'!$F$12:$I$102,4,0),DH366-VLOOKUP($P366&amp;" | "&amp;CY$6,'Job Master'!$F$12:$I$102,4,0)-1),""),"")</f>
        <v/>
      </c>
      <c r="DB366" s="73"/>
      <c r="DC366" s="123" t="str">
        <f t="shared" si="678"/>
        <v/>
      </c>
      <c r="DD366" s="123" t="str">
        <f t="shared" si="679"/>
        <v/>
      </c>
      <c r="DE366" s="97" t="str">
        <f t="shared" ca="1" si="680"/>
        <v/>
      </c>
      <c r="DF366" s="98" t="str">
        <f>IF(DH366&lt;&gt;"",VLOOKUP($P366&amp;" | "&amp;DF$6,'Job Master'!$F$12:$J$102,5,0),"")</f>
        <v/>
      </c>
      <c r="DG366" s="19" t="str">
        <f>IF(DH366&lt;&gt;"",VLOOKUP($P366&amp;" | "&amp;DF$6,'Job Master'!$F$12:$J$102,3,0),"")</f>
        <v/>
      </c>
      <c r="DH366" s="19" t="str">
        <f>IFERROR(IF(AND(DO366&lt;&gt;"",VLOOKUP($P366&amp;" | "&amp;DF$6,'Job Master'!$F$12:$I$102,4,0)&lt;&gt;""),IF(WEEKDAY(DO366-VLOOKUP($P366&amp;" | "&amp;DF$6,'Job Master'!$F$12:$I$102,4,0))&lt;&gt;7,DO366-VLOOKUP($P366&amp;" | "&amp;DF$6,'Job Master'!$F$12:$I$102,4,0),DO366-VLOOKUP($P366&amp;" | "&amp;DF$6,'Job Master'!$F$12:$I$102,4,0)-1),""),"")</f>
        <v/>
      </c>
      <c r="DI366" s="73"/>
      <c r="DJ366" s="123" t="str">
        <f t="shared" si="681"/>
        <v/>
      </c>
      <c r="DK366" s="123" t="str">
        <f t="shared" si="682"/>
        <v/>
      </c>
      <c r="DL366" s="97" t="str">
        <f t="shared" ca="1" si="683"/>
        <v/>
      </c>
      <c r="DM366" s="98" t="str">
        <f>IF(DO366&lt;&gt;"",VLOOKUP($P366&amp;" | "&amp;DM$6,'Job Master'!$F$12:$J$102,5,0),"")</f>
        <v/>
      </c>
      <c r="DN366" s="19" t="str">
        <f>IF(DO366&lt;&gt;"",VLOOKUP($P366&amp;" | "&amp;DM$6,'Job Master'!$F$12:$J$102,3,0),"")</f>
        <v/>
      </c>
      <c r="DO366" s="19" t="str">
        <f>IFERROR(IF(AND(DT366&lt;&gt;"",VLOOKUP($P366&amp;" | "&amp;DM$6,'Job Master'!$F$12:$I$102,4,0)&lt;&gt;""),IF(WEEKDAY(DT366-VLOOKUP($P366&amp;" | "&amp;DM$6,'Job Master'!$F$12:$I$102,4,0))&lt;&gt;7,DT366-VLOOKUP($P366&amp;" | "&amp;DM$6,'Job Master'!$F$12:$I$102,4,0),DT366-VLOOKUP($P366&amp;" | "&amp;DM$6,'Job Master'!$F$12:$I$102,4,0)-1),""),"")</f>
        <v/>
      </c>
      <c r="DP366" s="73"/>
      <c r="DQ366" s="123" t="str">
        <f t="shared" si="684"/>
        <v/>
      </c>
      <c r="DR366" s="123" t="str">
        <f t="shared" si="685"/>
        <v/>
      </c>
      <c r="DS366" s="97" t="str">
        <f t="shared" ca="1" si="686"/>
        <v/>
      </c>
      <c r="DT366" s="70" t="str">
        <f t="shared" si="687"/>
        <v/>
      </c>
      <c r="DU366" s="90"/>
      <c r="DV366" s="123" t="str">
        <f t="shared" si="688"/>
        <v/>
      </c>
      <c r="DW366" s="123" t="str">
        <f t="shared" si="689"/>
        <v/>
      </c>
      <c r="DX366" s="132" t="str">
        <f t="shared" ref="DX366" ca="1" si="737">IF(DT366&lt;&gt;"",IF(WEEKNUM(DT366)=WEEKNUM(TODAY()),"This Week",IF(WEEKNUM(DT366)=WEEKNUM(TODAY())+1,"Next Week",IF(WEEKNUM(DT366)=WEEKNUM(TODAY())-1,"Previous Week",""))),"")</f>
        <v/>
      </c>
      <c r="DY366" s="134" t="str">
        <f t="shared" si="691"/>
        <v/>
      </c>
      <c r="DZ366" s="95"/>
      <c r="EB366" s="8" t="str">
        <f t="shared" si="697"/>
        <v/>
      </c>
      <c r="EC366" s="8" t="str">
        <f>IF(O366&lt;&gt;"",VLOOKUP(O366,'Job Master'!$N$12:$O$18,2,0),"")</f>
        <v/>
      </c>
      <c r="ED366" s="8">
        <f t="shared" si="698"/>
        <v>19.5</v>
      </c>
      <c r="EE366" s="8">
        <f t="shared" si="699"/>
        <v>6</v>
      </c>
      <c r="EF366" s="8">
        <f t="shared" si="700"/>
        <v>-2116.5</v>
      </c>
      <c r="EG366" s="8" t="str">
        <f t="shared" si="701"/>
        <v/>
      </c>
      <c r="EH366" s="8" t="str">
        <f t="shared" si="702"/>
        <v/>
      </c>
    </row>
    <row r="367" spans="2:138" x14ac:dyDescent="0.3">
      <c r="B367" s="112"/>
      <c r="C367" s="27"/>
      <c r="D367" s="7" t="str">
        <f t="shared" si="639"/>
        <v/>
      </c>
      <c r="E367" s="25"/>
      <c r="F367" s="7" t="str">
        <f t="shared" si="639"/>
        <v/>
      </c>
      <c r="G367" s="25"/>
      <c r="H367" s="7" t="str">
        <f t="shared" si="639"/>
        <v/>
      </c>
      <c r="I367" s="25"/>
      <c r="J367" s="7" t="str">
        <f t="shared" si="639"/>
        <v/>
      </c>
      <c r="K367" s="25"/>
      <c r="L367" s="7" t="str">
        <f t="shared" si="640"/>
        <v/>
      </c>
      <c r="M367" s="25"/>
      <c r="N367" s="7" t="str">
        <f t="shared" si="641"/>
        <v/>
      </c>
      <c r="O367" s="81"/>
      <c r="P367" s="81" t="str">
        <f t="shared" si="642"/>
        <v/>
      </c>
      <c r="Q367" s="81"/>
      <c r="R367" s="7" t="str">
        <f t="shared" si="643"/>
        <v/>
      </c>
      <c r="S367" s="25"/>
      <c r="T367" s="7" t="str">
        <f t="shared" si="644"/>
        <v/>
      </c>
      <c r="U367" s="25"/>
      <c r="V367" s="7" t="str">
        <f t="shared" si="645"/>
        <v/>
      </c>
      <c r="W367" s="25"/>
      <c r="X367" s="7" t="str">
        <f t="shared" si="646"/>
        <v/>
      </c>
      <c r="Y367" s="18" t="str">
        <f t="shared" si="647"/>
        <v/>
      </c>
      <c r="Z367" s="7" t="str">
        <f t="shared" si="648"/>
        <v/>
      </c>
      <c r="AA367" s="18" t="str">
        <f t="shared" si="649"/>
        <v/>
      </c>
      <c r="AB367" s="19" t="str">
        <f t="shared" si="650"/>
        <v/>
      </c>
      <c r="AC367" s="26"/>
      <c r="AD367" s="26"/>
      <c r="AE367" s="25"/>
      <c r="AF367" s="26"/>
      <c r="AG367" s="25"/>
      <c r="AH367" s="25"/>
      <c r="AI367" s="18" t="str">
        <f t="shared" si="713"/>
        <v/>
      </c>
      <c r="AJ367" s="25"/>
      <c r="AK367" s="18" t="str">
        <f t="shared" si="714"/>
        <v/>
      </c>
      <c r="AL367" s="79"/>
      <c r="AM367" s="126" t="str">
        <f t="shared" si="715"/>
        <v/>
      </c>
      <c r="AN367" s="128" t="str">
        <f>IF(AP367&lt;&gt;"",VLOOKUP($P367&amp;" | "&amp;AN$6,'Job Master'!$F$12:$J$102,5,0),"")</f>
        <v/>
      </c>
      <c r="AO367" s="19" t="str">
        <f>IF(AP367&lt;&gt;"",VLOOKUP($P367&amp;" | "&amp;AN$6,'Job Master'!$F$12:$J$102,3,0),"")</f>
        <v/>
      </c>
      <c r="AP367" s="19" t="str">
        <f>IFERROR(IF(AND(AW367&lt;&gt;"",VLOOKUP($P367&amp;" | "&amp;AN$6,'Job Master'!$F$12:$I$102,4,0)&lt;&gt;""),IF(WEEKDAY(AW367-VLOOKUP($P367&amp;" | "&amp;AN$6,'Job Master'!$F$12:$I$102,4,0))&lt;&gt;7,AW367-VLOOKUP($P367&amp;" | "&amp;AN$6,'Job Master'!$F$12:$I$102,4,0),AW367-VLOOKUP($P367&amp;" | "&amp;AN$6,'Job Master'!$F$12:$I$102,4,0)-1),""),"")</f>
        <v/>
      </c>
      <c r="AQ367" s="73"/>
      <c r="AR367" s="123" t="str">
        <f t="shared" si="651"/>
        <v/>
      </c>
      <c r="AS367" s="123" t="str">
        <f t="shared" si="652"/>
        <v/>
      </c>
      <c r="AT367" s="97" t="str">
        <f t="shared" ca="1" si="653"/>
        <v/>
      </c>
      <c r="AU367" s="98" t="str">
        <f>IF(AW367&lt;&gt;"",VLOOKUP($P367&amp;" | "&amp;AU$6,'Job Master'!$F$12:$J$102,5,0),"")</f>
        <v/>
      </c>
      <c r="AV367" s="19" t="str">
        <f>IF(AW367&lt;&gt;"",VLOOKUP($P367&amp;" | "&amp;AU$6,'Job Master'!$F$12:$J$102,3,0),"")</f>
        <v/>
      </c>
      <c r="AW367" s="19" t="str">
        <f>IFERROR(IF(AND(BD367&lt;&gt;"",VLOOKUP($P367&amp;" | "&amp;AU$6,'Job Master'!$F$12:$I$102,4,0)&lt;&gt;""),IF(WEEKDAY(BD367-VLOOKUP($P367&amp;" | "&amp;AU$6,'Job Master'!$F$12:$I$102,4,0))&lt;&gt;7,BD367-VLOOKUP($P367&amp;" | "&amp;AU$6,'Job Master'!$F$12:$I$102,4,0),BD367-VLOOKUP($P367&amp;" | "&amp;AU$6,'Job Master'!$F$12:$I$102,4,0)-1),""),"")</f>
        <v/>
      </c>
      <c r="AX367" s="73"/>
      <c r="AY367" s="123" t="str">
        <f t="shared" si="654"/>
        <v/>
      </c>
      <c r="AZ367" s="123" t="str">
        <f t="shared" si="655"/>
        <v/>
      </c>
      <c r="BA367" s="97" t="str">
        <f t="shared" ca="1" si="656"/>
        <v/>
      </c>
      <c r="BB367" s="98" t="str">
        <f>IF(BD367&lt;&gt;"",VLOOKUP($P367&amp;" | "&amp;BB$6,'Job Master'!$F$12:$J$102,5,0),"")</f>
        <v/>
      </c>
      <c r="BC367" s="19" t="str">
        <f>IF(BD367&lt;&gt;"",VLOOKUP($P367&amp;" | "&amp;BB$6,'Job Master'!$F$12:$J$102,3,0),"")</f>
        <v/>
      </c>
      <c r="BD367" s="19" t="str">
        <f>IFERROR(IF(AND(BK367&lt;&gt;"",VLOOKUP($P367&amp;" | "&amp;BB$6,'Job Master'!$F$12:$I$102,4,0)&lt;&gt;""),IF(WEEKDAY(BK367-VLOOKUP($P367&amp;" | "&amp;BB$6,'Job Master'!$F$12:$I$102,4,0))&lt;&gt;7,BK367-VLOOKUP($P367&amp;" | "&amp;BB$6,'Job Master'!$F$12:$I$102,4,0),BK367-VLOOKUP($P367&amp;" | "&amp;BB$6,'Job Master'!$F$12:$I$102,4,0)-1),""),"")</f>
        <v/>
      </c>
      <c r="BE367" s="73"/>
      <c r="BF367" s="123" t="str">
        <f t="shared" si="657"/>
        <v/>
      </c>
      <c r="BG367" s="123" t="str">
        <f t="shared" si="658"/>
        <v/>
      </c>
      <c r="BH367" s="97" t="str">
        <f t="shared" ca="1" si="659"/>
        <v/>
      </c>
      <c r="BI367" s="98" t="str">
        <f>IF(BK367&lt;&gt;"",VLOOKUP($P367&amp;" | "&amp;BI$6,'Job Master'!$F$12:$J$102,5,0),"")</f>
        <v/>
      </c>
      <c r="BJ367" s="19" t="str">
        <f>IF(BK367&lt;&gt;"",VLOOKUP($P367&amp;" | "&amp;BI$6,'Job Master'!$F$12:$J$102,3,0),"")</f>
        <v/>
      </c>
      <c r="BK367" s="19" t="str">
        <f>IFERROR(IF(AND(BR367&lt;&gt;"",VLOOKUP($P367&amp;" | "&amp;BI$6,'Job Master'!$F$12:$I$102,4,0)&lt;&gt;""),IF(WEEKDAY(BR367-VLOOKUP($P367&amp;" | "&amp;BI$6,'Job Master'!$F$12:$I$102,4,0))&lt;&gt;7,BR367-VLOOKUP($P367&amp;" | "&amp;BI$6,'Job Master'!$F$12:$I$102,4,0),BR367-VLOOKUP($P367&amp;" | "&amp;BI$6,'Job Master'!$F$12:$I$102,4,0)-1),""),"")</f>
        <v/>
      </c>
      <c r="BL367" s="73"/>
      <c r="BM367" s="123" t="str">
        <f t="shared" si="660"/>
        <v/>
      </c>
      <c r="BN367" s="123" t="str">
        <f t="shared" si="661"/>
        <v/>
      </c>
      <c r="BO367" s="97" t="str">
        <f t="shared" ca="1" si="662"/>
        <v/>
      </c>
      <c r="BP367" s="98" t="str">
        <f>IF(BR367&lt;&gt;"",VLOOKUP($P367&amp;" | "&amp;BP$6,'Job Master'!$F$12:$J$102,5,0),"")</f>
        <v/>
      </c>
      <c r="BQ367" s="19" t="str">
        <f>IF(BR367&lt;&gt;"",VLOOKUP($P367&amp;" | "&amp;BP$6,'Job Master'!$F$12:$J$102,3,0),"")</f>
        <v/>
      </c>
      <c r="BR367" s="19" t="str">
        <f>IFERROR(IF(AND(BY367&lt;&gt;"",VLOOKUP($P367&amp;" | "&amp;BP$6,'Job Master'!$F$12:$I$102,4,0)&lt;&gt;""),IF(WEEKDAY(BY367-VLOOKUP($P367&amp;" | "&amp;BP$6,'Job Master'!$F$12:$I$102,4,0))&lt;&gt;7,BY367-VLOOKUP($P367&amp;" | "&amp;BP$6,'Job Master'!$F$12:$I$102,4,0),BY367-VLOOKUP($P367&amp;" | "&amp;BP$6,'Job Master'!$F$12:$I$102,4,0)-1),""),"")</f>
        <v/>
      </c>
      <c r="BS367" s="73"/>
      <c r="BT367" s="123" t="str">
        <f t="shared" si="663"/>
        <v/>
      </c>
      <c r="BU367" s="123" t="str">
        <f t="shared" si="664"/>
        <v/>
      </c>
      <c r="BV367" s="97" t="str">
        <f t="shared" ca="1" si="665"/>
        <v/>
      </c>
      <c r="BW367" s="98" t="str">
        <f>IF(BY367&lt;&gt;"",VLOOKUP($P367&amp;" | "&amp;BW$6,'Job Master'!$F$12:$J$102,5,0),"")</f>
        <v/>
      </c>
      <c r="BX367" s="19" t="str">
        <f>IF(BY367&lt;&gt;"",VLOOKUP($P367&amp;" | "&amp;BW$6,'Job Master'!$F$12:$J$102,3,0),"")</f>
        <v/>
      </c>
      <c r="BY367" s="19" t="str">
        <f>IFERROR(IF(AND(CF367&lt;&gt;"",VLOOKUP($P367&amp;" | "&amp;BW$6,'Job Master'!$F$12:$I$102,4,0)&lt;&gt;""),IF(WEEKDAY(CF367-VLOOKUP($P367&amp;" | "&amp;BW$6,'Job Master'!$F$12:$I$102,4,0))&lt;&gt;7,CF367-VLOOKUP($P367&amp;" | "&amp;BW$6,'Job Master'!$F$12:$I$102,4,0),CF367-VLOOKUP($P367&amp;" | "&amp;BW$6,'Job Master'!$F$12:$I$102,4,0)-1),""),"")</f>
        <v/>
      </c>
      <c r="BZ367" s="73"/>
      <c r="CA367" s="123" t="str">
        <f t="shared" si="666"/>
        <v/>
      </c>
      <c r="CB367" s="123" t="str">
        <f t="shared" si="667"/>
        <v/>
      </c>
      <c r="CC367" s="97" t="str">
        <f t="shared" ca="1" si="668"/>
        <v/>
      </c>
      <c r="CD367" s="98" t="str">
        <f>IF(CF367&lt;&gt;"",VLOOKUP($P367&amp;" | "&amp;CD$6,'Job Master'!$F$12:$J$102,5,0),"")</f>
        <v/>
      </c>
      <c r="CE367" s="19" t="str">
        <f>IF(CF367&lt;&gt;"",VLOOKUP($P367&amp;" | "&amp;CD$6,'Job Master'!$F$12:$J$102,3,0),"")</f>
        <v/>
      </c>
      <c r="CF367" s="19" t="str">
        <f>IFERROR(IF(AND(CM367&lt;&gt;"",VLOOKUP($P367&amp;" | "&amp;CD$6,'Job Master'!$F$12:$I$102,4,0)&lt;&gt;""),IF(WEEKDAY(CM367-VLOOKUP($P367&amp;" | "&amp;CD$6,'Job Master'!$F$12:$I$102,4,0))&lt;&gt;7,CM367-VLOOKUP($P367&amp;" | "&amp;CD$6,'Job Master'!$F$12:$I$102,4,0),CM367-VLOOKUP($P367&amp;" | "&amp;CD$6,'Job Master'!$F$12:$I$102,4,0)-1),""),"")</f>
        <v/>
      </c>
      <c r="CG367" s="73"/>
      <c r="CH367" s="123" t="str">
        <f t="shared" si="669"/>
        <v/>
      </c>
      <c r="CI367" s="123" t="str">
        <f t="shared" si="670"/>
        <v/>
      </c>
      <c r="CJ367" s="97" t="str">
        <f t="shared" ca="1" si="671"/>
        <v/>
      </c>
      <c r="CK367" s="98" t="str">
        <f>IF(CM367&lt;&gt;"",VLOOKUP($P367&amp;" | "&amp;CK$6,'Job Master'!$F$12:$J$102,5,0),"")</f>
        <v/>
      </c>
      <c r="CL367" s="19" t="str">
        <f>IF(CM367&lt;&gt;"",VLOOKUP($P367&amp;" | "&amp;CK$6,'Job Master'!$F$12:$J$102,3,0),"")</f>
        <v/>
      </c>
      <c r="CM367" s="19" t="str">
        <f>IFERROR(IF(AND(CT367&lt;&gt;"",VLOOKUP($P367&amp;" | "&amp;CK$6,'Job Master'!$F$12:$I$102,4,0)&lt;&gt;""),IF(WEEKDAY(CT367-VLOOKUP($P367&amp;" | "&amp;CK$6,'Job Master'!$F$12:$I$102,4,0))&lt;&gt;7,CT367-VLOOKUP($P367&amp;" | "&amp;CK$6,'Job Master'!$F$12:$I$102,4,0),CT367-VLOOKUP($P367&amp;" | "&amp;CK$6,'Job Master'!$F$12:$I$102,4,0)-1),""),"")</f>
        <v/>
      </c>
      <c r="CN367" s="73"/>
      <c r="CO367" s="123" t="str">
        <f t="shared" si="672"/>
        <v/>
      </c>
      <c r="CP367" s="123" t="str">
        <f t="shared" si="673"/>
        <v/>
      </c>
      <c r="CQ367" s="97" t="str">
        <f t="shared" ca="1" si="674"/>
        <v/>
      </c>
      <c r="CR367" s="98" t="str">
        <f>IF(CT367&lt;&gt;"",VLOOKUP($P367&amp;" | "&amp;CR$6,'Job Master'!$F$12:$J$102,5,0),"")</f>
        <v/>
      </c>
      <c r="CS367" s="19" t="str">
        <f>IF(CT367&lt;&gt;"",VLOOKUP($P367&amp;" | "&amp;CR$6,'Job Master'!$F$12:$J$102,3,0),"")</f>
        <v/>
      </c>
      <c r="CT367" s="19" t="str">
        <f>IFERROR(IF(AND(DA367&lt;&gt;"",VLOOKUP($P367&amp;" | "&amp;CR$6,'Job Master'!$F$12:$I$102,4,0)&lt;&gt;""),IF(WEEKDAY(DA367-VLOOKUP($P367&amp;" | "&amp;CR$6,'Job Master'!$F$12:$I$102,4,0))&lt;&gt;7,DA367-VLOOKUP($P367&amp;" | "&amp;CR$6,'Job Master'!$F$12:$I$102,4,0),DA367-VLOOKUP($P367&amp;" | "&amp;CR$6,'Job Master'!$F$12:$I$102,4,0)-1),""),"")</f>
        <v/>
      </c>
      <c r="CU367" s="73"/>
      <c r="CV367" s="123" t="str">
        <f t="shared" si="675"/>
        <v/>
      </c>
      <c r="CW367" s="123" t="str">
        <f t="shared" si="676"/>
        <v/>
      </c>
      <c r="CX367" s="97" t="str">
        <f t="shared" ca="1" si="677"/>
        <v/>
      </c>
      <c r="CY367" s="98" t="str">
        <f>IF(DA367&lt;&gt;"",VLOOKUP($P367&amp;" | "&amp;CY$6,'Job Master'!$F$12:$J$102,5,0),"")</f>
        <v/>
      </c>
      <c r="CZ367" s="19" t="str">
        <f>IF(DA367&lt;&gt;"",VLOOKUP($P367&amp;" | "&amp;CY$6,'Job Master'!$F$12:$J$102,3,0),"")</f>
        <v/>
      </c>
      <c r="DA367" s="19" t="str">
        <f>IFERROR(IF(AND(DH367&lt;&gt;"",VLOOKUP($P367&amp;" | "&amp;CY$6,'Job Master'!$F$12:$I$102,4,0)&lt;&gt;""),IF(WEEKDAY(DH367-VLOOKUP($P367&amp;" | "&amp;CY$6,'Job Master'!$F$12:$I$102,4,0))&lt;&gt;7,DH367-VLOOKUP($P367&amp;" | "&amp;CY$6,'Job Master'!$F$12:$I$102,4,0),DH367-VLOOKUP($P367&amp;" | "&amp;CY$6,'Job Master'!$F$12:$I$102,4,0)-1),""),"")</f>
        <v/>
      </c>
      <c r="DB367" s="73"/>
      <c r="DC367" s="123" t="str">
        <f t="shared" si="678"/>
        <v/>
      </c>
      <c r="DD367" s="123" t="str">
        <f t="shared" si="679"/>
        <v/>
      </c>
      <c r="DE367" s="97" t="str">
        <f t="shared" ca="1" si="680"/>
        <v/>
      </c>
      <c r="DF367" s="98" t="str">
        <f>IF(DH367&lt;&gt;"",VLOOKUP($P367&amp;" | "&amp;DF$6,'Job Master'!$F$12:$J$102,5,0),"")</f>
        <v/>
      </c>
      <c r="DG367" s="19" t="str">
        <f>IF(DH367&lt;&gt;"",VLOOKUP($P367&amp;" | "&amp;DF$6,'Job Master'!$F$12:$J$102,3,0),"")</f>
        <v/>
      </c>
      <c r="DH367" s="19" t="str">
        <f>IFERROR(IF(AND(DO367&lt;&gt;"",VLOOKUP($P367&amp;" | "&amp;DF$6,'Job Master'!$F$12:$I$102,4,0)&lt;&gt;""),IF(WEEKDAY(DO367-VLOOKUP($P367&amp;" | "&amp;DF$6,'Job Master'!$F$12:$I$102,4,0))&lt;&gt;7,DO367-VLOOKUP($P367&amp;" | "&amp;DF$6,'Job Master'!$F$12:$I$102,4,0),DO367-VLOOKUP($P367&amp;" | "&amp;DF$6,'Job Master'!$F$12:$I$102,4,0)-1),""),"")</f>
        <v/>
      </c>
      <c r="DI367" s="73"/>
      <c r="DJ367" s="123" t="str">
        <f t="shared" si="681"/>
        <v/>
      </c>
      <c r="DK367" s="123" t="str">
        <f t="shared" si="682"/>
        <v/>
      </c>
      <c r="DL367" s="97" t="str">
        <f t="shared" ca="1" si="683"/>
        <v/>
      </c>
      <c r="DM367" s="98" t="str">
        <f>IF(DO367&lt;&gt;"",VLOOKUP($P367&amp;" | "&amp;DM$6,'Job Master'!$F$12:$J$102,5,0),"")</f>
        <v/>
      </c>
      <c r="DN367" s="19" t="str">
        <f>IF(DO367&lt;&gt;"",VLOOKUP($P367&amp;" | "&amp;DM$6,'Job Master'!$F$12:$J$102,3,0),"")</f>
        <v/>
      </c>
      <c r="DO367" s="19" t="str">
        <f>IFERROR(IF(AND(DT367&lt;&gt;"",VLOOKUP($P367&amp;" | "&amp;DM$6,'Job Master'!$F$12:$I$102,4,0)&lt;&gt;""),IF(WEEKDAY(DT367-VLOOKUP($P367&amp;" | "&amp;DM$6,'Job Master'!$F$12:$I$102,4,0))&lt;&gt;7,DT367-VLOOKUP($P367&amp;" | "&amp;DM$6,'Job Master'!$F$12:$I$102,4,0),DT367-VLOOKUP($P367&amp;" | "&amp;DM$6,'Job Master'!$F$12:$I$102,4,0)-1),""),"")</f>
        <v/>
      </c>
      <c r="DP367" s="73"/>
      <c r="DQ367" s="123" t="str">
        <f t="shared" si="684"/>
        <v/>
      </c>
      <c r="DR367" s="123" t="str">
        <f t="shared" si="685"/>
        <v/>
      </c>
      <c r="DS367" s="97" t="str">
        <f t="shared" ca="1" si="686"/>
        <v/>
      </c>
      <c r="DT367" s="70" t="str">
        <f t="shared" si="687"/>
        <v/>
      </c>
      <c r="DU367" s="90"/>
      <c r="DV367" s="123" t="str">
        <f t="shared" si="688"/>
        <v/>
      </c>
      <c r="DW367" s="123" t="str">
        <f t="shared" si="689"/>
        <v/>
      </c>
      <c r="DX367" s="132" t="str">
        <f t="shared" ref="DX367" ca="1" si="738">IF(DT367&lt;&gt;"",IF(WEEKNUM(DT367)=WEEKNUM(TODAY()),"This Week",IF(WEEKNUM(DT367)=WEEKNUM(TODAY())+1,"Next Week",IF(WEEKNUM(DT367)=WEEKNUM(TODAY())-1,"Previous Week",""))),"")</f>
        <v/>
      </c>
      <c r="DY367" s="134" t="str">
        <f t="shared" si="691"/>
        <v/>
      </c>
      <c r="DZ367" s="95"/>
      <c r="EB367" s="8" t="str">
        <f t="shared" si="697"/>
        <v/>
      </c>
      <c r="EC367" s="8" t="str">
        <f>IF(O367&lt;&gt;"",VLOOKUP(O367,'Job Master'!$N$12:$O$18,2,0),"")</f>
        <v/>
      </c>
      <c r="ED367" s="8">
        <f t="shared" si="698"/>
        <v>19.5</v>
      </c>
      <c r="EE367" s="8">
        <f t="shared" si="699"/>
        <v>6</v>
      </c>
      <c r="EF367" s="8">
        <f t="shared" si="700"/>
        <v>-2122.5</v>
      </c>
      <c r="EG367" s="8" t="str">
        <f t="shared" si="701"/>
        <v/>
      </c>
      <c r="EH367" s="8" t="str">
        <f t="shared" si="702"/>
        <v/>
      </c>
    </row>
    <row r="368" spans="2:138" x14ac:dyDescent="0.3">
      <c r="B368" s="112"/>
      <c r="C368" s="27"/>
      <c r="D368" s="7" t="str">
        <f t="shared" si="639"/>
        <v/>
      </c>
      <c r="E368" s="25"/>
      <c r="F368" s="7" t="str">
        <f t="shared" si="639"/>
        <v/>
      </c>
      <c r="G368" s="25"/>
      <c r="H368" s="7" t="str">
        <f t="shared" si="639"/>
        <v/>
      </c>
      <c r="I368" s="25"/>
      <c r="J368" s="7" t="str">
        <f t="shared" si="639"/>
        <v/>
      </c>
      <c r="K368" s="25"/>
      <c r="L368" s="7" t="str">
        <f t="shared" si="640"/>
        <v/>
      </c>
      <c r="M368" s="25"/>
      <c r="N368" s="7" t="str">
        <f t="shared" si="641"/>
        <v/>
      </c>
      <c r="O368" s="81"/>
      <c r="P368" s="81" t="str">
        <f t="shared" si="642"/>
        <v/>
      </c>
      <c r="Q368" s="81"/>
      <c r="R368" s="7" t="str">
        <f t="shared" si="643"/>
        <v/>
      </c>
      <c r="S368" s="25"/>
      <c r="T368" s="7" t="str">
        <f t="shared" si="644"/>
        <v/>
      </c>
      <c r="U368" s="25"/>
      <c r="V368" s="7" t="str">
        <f t="shared" si="645"/>
        <v/>
      </c>
      <c r="W368" s="25"/>
      <c r="X368" s="7" t="str">
        <f t="shared" si="646"/>
        <v/>
      </c>
      <c r="Y368" s="18" t="str">
        <f t="shared" si="647"/>
        <v/>
      </c>
      <c r="Z368" s="7" t="str">
        <f t="shared" si="648"/>
        <v/>
      </c>
      <c r="AA368" s="18" t="str">
        <f t="shared" si="649"/>
        <v/>
      </c>
      <c r="AB368" s="19" t="str">
        <f t="shared" si="650"/>
        <v/>
      </c>
      <c r="AC368" s="26"/>
      <c r="AD368" s="26"/>
      <c r="AE368" s="25"/>
      <c r="AF368" s="26"/>
      <c r="AG368" s="25"/>
      <c r="AH368" s="25"/>
      <c r="AI368" s="18" t="str">
        <f t="shared" si="713"/>
        <v/>
      </c>
      <c r="AJ368" s="25"/>
      <c r="AK368" s="18" t="str">
        <f t="shared" si="714"/>
        <v/>
      </c>
      <c r="AL368" s="79"/>
      <c r="AM368" s="126" t="str">
        <f t="shared" si="715"/>
        <v/>
      </c>
      <c r="AN368" s="128" t="str">
        <f>IF(AP368&lt;&gt;"",VLOOKUP($P368&amp;" | "&amp;AN$6,'Job Master'!$F$12:$J$102,5,0),"")</f>
        <v/>
      </c>
      <c r="AO368" s="19" t="str">
        <f>IF(AP368&lt;&gt;"",VLOOKUP($P368&amp;" | "&amp;AN$6,'Job Master'!$F$12:$J$102,3,0),"")</f>
        <v/>
      </c>
      <c r="AP368" s="19" t="str">
        <f>IFERROR(IF(AND(AW368&lt;&gt;"",VLOOKUP($P368&amp;" | "&amp;AN$6,'Job Master'!$F$12:$I$102,4,0)&lt;&gt;""),IF(WEEKDAY(AW368-VLOOKUP($P368&amp;" | "&amp;AN$6,'Job Master'!$F$12:$I$102,4,0))&lt;&gt;7,AW368-VLOOKUP($P368&amp;" | "&amp;AN$6,'Job Master'!$F$12:$I$102,4,0),AW368-VLOOKUP($P368&amp;" | "&amp;AN$6,'Job Master'!$F$12:$I$102,4,0)-1),""),"")</f>
        <v/>
      </c>
      <c r="AQ368" s="73"/>
      <c r="AR368" s="123" t="str">
        <f t="shared" si="651"/>
        <v/>
      </c>
      <c r="AS368" s="123" t="str">
        <f t="shared" si="652"/>
        <v/>
      </c>
      <c r="AT368" s="97" t="str">
        <f t="shared" ca="1" si="653"/>
        <v/>
      </c>
      <c r="AU368" s="98" t="str">
        <f>IF(AW368&lt;&gt;"",VLOOKUP($P368&amp;" | "&amp;AU$6,'Job Master'!$F$12:$J$102,5,0),"")</f>
        <v/>
      </c>
      <c r="AV368" s="19" t="str">
        <f>IF(AW368&lt;&gt;"",VLOOKUP($P368&amp;" | "&amp;AU$6,'Job Master'!$F$12:$J$102,3,0),"")</f>
        <v/>
      </c>
      <c r="AW368" s="19" t="str">
        <f>IFERROR(IF(AND(BD368&lt;&gt;"",VLOOKUP($P368&amp;" | "&amp;AU$6,'Job Master'!$F$12:$I$102,4,0)&lt;&gt;""),IF(WEEKDAY(BD368-VLOOKUP($P368&amp;" | "&amp;AU$6,'Job Master'!$F$12:$I$102,4,0))&lt;&gt;7,BD368-VLOOKUP($P368&amp;" | "&amp;AU$6,'Job Master'!$F$12:$I$102,4,0),BD368-VLOOKUP($P368&amp;" | "&amp;AU$6,'Job Master'!$F$12:$I$102,4,0)-1),""),"")</f>
        <v/>
      </c>
      <c r="AX368" s="73"/>
      <c r="AY368" s="123" t="str">
        <f t="shared" si="654"/>
        <v/>
      </c>
      <c r="AZ368" s="123" t="str">
        <f t="shared" si="655"/>
        <v/>
      </c>
      <c r="BA368" s="97" t="str">
        <f t="shared" ca="1" si="656"/>
        <v/>
      </c>
      <c r="BB368" s="98" t="str">
        <f>IF(BD368&lt;&gt;"",VLOOKUP($P368&amp;" | "&amp;BB$6,'Job Master'!$F$12:$J$102,5,0),"")</f>
        <v/>
      </c>
      <c r="BC368" s="19" t="str">
        <f>IF(BD368&lt;&gt;"",VLOOKUP($P368&amp;" | "&amp;BB$6,'Job Master'!$F$12:$J$102,3,0),"")</f>
        <v/>
      </c>
      <c r="BD368" s="19" t="str">
        <f>IFERROR(IF(AND(BK368&lt;&gt;"",VLOOKUP($P368&amp;" | "&amp;BB$6,'Job Master'!$F$12:$I$102,4,0)&lt;&gt;""),IF(WEEKDAY(BK368-VLOOKUP($P368&amp;" | "&amp;BB$6,'Job Master'!$F$12:$I$102,4,0))&lt;&gt;7,BK368-VLOOKUP($P368&amp;" | "&amp;BB$6,'Job Master'!$F$12:$I$102,4,0),BK368-VLOOKUP($P368&amp;" | "&amp;BB$6,'Job Master'!$F$12:$I$102,4,0)-1),""),"")</f>
        <v/>
      </c>
      <c r="BE368" s="73"/>
      <c r="BF368" s="123" t="str">
        <f t="shared" si="657"/>
        <v/>
      </c>
      <c r="BG368" s="123" t="str">
        <f t="shared" si="658"/>
        <v/>
      </c>
      <c r="BH368" s="97" t="str">
        <f t="shared" ca="1" si="659"/>
        <v/>
      </c>
      <c r="BI368" s="98" t="str">
        <f>IF(BK368&lt;&gt;"",VLOOKUP($P368&amp;" | "&amp;BI$6,'Job Master'!$F$12:$J$102,5,0),"")</f>
        <v/>
      </c>
      <c r="BJ368" s="19" t="str">
        <f>IF(BK368&lt;&gt;"",VLOOKUP($P368&amp;" | "&amp;BI$6,'Job Master'!$F$12:$J$102,3,0),"")</f>
        <v/>
      </c>
      <c r="BK368" s="19" t="str">
        <f>IFERROR(IF(AND(BR368&lt;&gt;"",VLOOKUP($P368&amp;" | "&amp;BI$6,'Job Master'!$F$12:$I$102,4,0)&lt;&gt;""),IF(WEEKDAY(BR368-VLOOKUP($P368&amp;" | "&amp;BI$6,'Job Master'!$F$12:$I$102,4,0))&lt;&gt;7,BR368-VLOOKUP($P368&amp;" | "&amp;BI$6,'Job Master'!$F$12:$I$102,4,0),BR368-VLOOKUP($P368&amp;" | "&amp;BI$6,'Job Master'!$F$12:$I$102,4,0)-1),""),"")</f>
        <v/>
      </c>
      <c r="BL368" s="73"/>
      <c r="BM368" s="123" t="str">
        <f t="shared" si="660"/>
        <v/>
      </c>
      <c r="BN368" s="123" t="str">
        <f t="shared" si="661"/>
        <v/>
      </c>
      <c r="BO368" s="97" t="str">
        <f t="shared" ca="1" si="662"/>
        <v/>
      </c>
      <c r="BP368" s="98" t="str">
        <f>IF(BR368&lt;&gt;"",VLOOKUP($P368&amp;" | "&amp;BP$6,'Job Master'!$F$12:$J$102,5,0),"")</f>
        <v/>
      </c>
      <c r="BQ368" s="19" t="str">
        <f>IF(BR368&lt;&gt;"",VLOOKUP($P368&amp;" | "&amp;BP$6,'Job Master'!$F$12:$J$102,3,0),"")</f>
        <v/>
      </c>
      <c r="BR368" s="19" t="str">
        <f>IFERROR(IF(AND(BY368&lt;&gt;"",VLOOKUP($P368&amp;" | "&amp;BP$6,'Job Master'!$F$12:$I$102,4,0)&lt;&gt;""),IF(WEEKDAY(BY368-VLOOKUP($P368&amp;" | "&amp;BP$6,'Job Master'!$F$12:$I$102,4,0))&lt;&gt;7,BY368-VLOOKUP($P368&amp;" | "&amp;BP$6,'Job Master'!$F$12:$I$102,4,0),BY368-VLOOKUP($P368&amp;" | "&amp;BP$6,'Job Master'!$F$12:$I$102,4,0)-1),""),"")</f>
        <v/>
      </c>
      <c r="BS368" s="73"/>
      <c r="BT368" s="123" t="str">
        <f t="shared" si="663"/>
        <v/>
      </c>
      <c r="BU368" s="123" t="str">
        <f t="shared" si="664"/>
        <v/>
      </c>
      <c r="BV368" s="97" t="str">
        <f t="shared" ca="1" si="665"/>
        <v/>
      </c>
      <c r="BW368" s="98" t="str">
        <f>IF(BY368&lt;&gt;"",VLOOKUP($P368&amp;" | "&amp;BW$6,'Job Master'!$F$12:$J$102,5,0),"")</f>
        <v/>
      </c>
      <c r="BX368" s="19" t="str">
        <f>IF(BY368&lt;&gt;"",VLOOKUP($P368&amp;" | "&amp;BW$6,'Job Master'!$F$12:$J$102,3,0),"")</f>
        <v/>
      </c>
      <c r="BY368" s="19" t="str">
        <f>IFERROR(IF(AND(CF368&lt;&gt;"",VLOOKUP($P368&amp;" | "&amp;BW$6,'Job Master'!$F$12:$I$102,4,0)&lt;&gt;""),IF(WEEKDAY(CF368-VLOOKUP($P368&amp;" | "&amp;BW$6,'Job Master'!$F$12:$I$102,4,0))&lt;&gt;7,CF368-VLOOKUP($P368&amp;" | "&amp;BW$6,'Job Master'!$F$12:$I$102,4,0),CF368-VLOOKUP($P368&amp;" | "&amp;BW$6,'Job Master'!$F$12:$I$102,4,0)-1),""),"")</f>
        <v/>
      </c>
      <c r="BZ368" s="73"/>
      <c r="CA368" s="123" t="str">
        <f t="shared" si="666"/>
        <v/>
      </c>
      <c r="CB368" s="123" t="str">
        <f t="shared" si="667"/>
        <v/>
      </c>
      <c r="CC368" s="97" t="str">
        <f t="shared" ca="1" si="668"/>
        <v/>
      </c>
      <c r="CD368" s="98" t="str">
        <f>IF(CF368&lt;&gt;"",VLOOKUP($P368&amp;" | "&amp;CD$6,'Job Master'!$F$12:$J$102,5,0),"")</f>
        <v/>
      </c>
      <c r="CE368" s="19" t="str">
        <f>IF(CF368&lt;&gt;"",VLOOKUP($P368&amp;" | "&amp;CD$6,'Job Master'!$F$12:$J$102,3,0),"")</f>
        <v/>
      </c>
      <c r="CF368" s="19" t="str">
        <f>IFERROR(IF(AND(CM368&lt;&gt;"",VLOOKUP($P368&amp;" | "&amp;CD$6,'Job Master'!$F$12:$I$102,4,0)&lt;&gt;""),IF(WEEKDAY(CM368-VLOOKUP($P368&amp;" | "&amp;CD$6,'Job Master'!$F$12:$I$102,4,0))&lt;&gt;7,CM368-VLOOKUP($P368&amp;" | "&amp;CD$6,'Job Master'!$F$12:$I$102,4,0),CM368-VLOOKUP($P368&amp;" | "&amp;CD$6,'Job Master'!$F$12:$I$102,4,0)-1),""),"")</f>
        <v/>
      </c>
      <c r="CG368" s="73"/>
      <c r="CH368" s="123" t="str">
        <f t="shared" si="669"/>
        <v/>
      </c>
      <c r="CI368" s="123" t="str">
        <f t="shared" si="670"/>
        <v/>
      </c>
      <c r="CJ368" s="97" t="str">
        <f t="shared" ca="1" si="671"/>
        <v/>
      </c>
      <c r="CK368" s="98" t="str">
        <f>IF(CM368&lt;&gt;"",VLOOKUP($P368&amp;" | "&amp;CK$6,'Job Master'!$F$12:$J$102,5,0),"")</f>
        <v/>
      </c>
      <c r="CL368" s="19" t="str">
        <f>IF(CM368&lt;&gt;"",VLOOKUP($P368&amp;" | "&amp;CK$6,'Job Master'!$F$12:$J$102,3,0),"")</f>
        <v/>
      </c>
      <c r="CM368" s="19" t="str">
        <f>IFERROR(IF(AND(CT368&lt;&gt;"",VLOOKUP($P368&amp;" | "&amp;CK$6,'Job Master'!$F$12:$I$102,4,0)&lt;&gt;""),IF(WEEKDAY(CT368-VLOOKUP($P368&amp;" | "&amp;CK$6,'Job Master'!$F$12:$I$102,4,0))&lt;&gt;7,CT368-VLOOKUP($P368&amp;" | "&amp;CK$6,'Job Master'!$F$12:$I$102,4,0),CT368-VLOOKUP($P368&amp;" | "&amp;CK$6,'Job Master'!$F$12:$I$102,4,0)-1),""),"")</f>
        <v/>
      </c>
      <c r="CN368" s="73"/>
      <c r="CO368" s="123" t="str">
        <f t="shared" si="672"/>
        <v/>
      </c>
      <c r="CP368" s="123" t="str">
        <f t="shared" si="673"/>
        <v/>
      </c>
      <c r="CQ368" s="97" t="str">
        <f t="shared" ca="1" si="674"/>
        <v/>
      </c>
      <c r="CR368" s="98" t="str">
        <f>IF(CT368&lt;&gt;"",VLOOKUP($P368&amp;" | "&amp;CR$6,'Job Master'!$F$12:$J$102,5,0),"")</f>
        <v/>
      </c>
      <c r="CS368" s="19" t="str">
        <f>IF(CT368&lt;&gt;"",VLOOKUP($P368&amp;" | "&amp;CR$6,'Job Master'!$F$12:$J$102,3,0),"")</f>
        <v/>
      </c>
      <c r="CT368" s="19" t="str">
        <f>IFERROR(IF(AND(DA368&lt;&gt;"",VLOOKUP($P368&amp;" | "&amp;CR$6,'Job Master'!$F$12:$I$102,4,0)&lt;&gt;""),IF(WEEKDAY(DA368-VLOOKUP($P368&amp;" | "&amp;CR$6,'Job Master'!$F$12:$I$102,4,0))&lt;&gt;7,DA368-VLOOKUP($P368&amp;" | "&amp;CR$6,'Job Master'!$F$12:$I$102,4,0),DA368-VLOOKUP($P368&amp;" | "&amp;CR$6,'Job Master'!$F$12:$I$102,4,0)-1),""),"")</f>
        <v/>
      </c>
      <c r="CU368" s="73"/>
      <c r="CV368" s="123" t="str">
        <f t="shared" si="675"/>
        <v/>
      </c>
      <c r="CW368" s="123" t="str">
        <f t="shared" si="676"/>
        <v/>
      </c>
      <c r="CX368" s="97" t="str">
        <f t="shared" ca="1" si="677"/>
        <v/>
      </c>
      <c r="CY368" s="98" t="str">
        <f>IF(DA368&lt;&gt;"",VLOOKUP($P368&amp;" | "&amp;CY$6,'Job Master'!$F$12:$J$102,5,0),"")</f>
        <v/>
      </c>
      <c r="CZ368" s="19" t="str">
        <f>IF(DA368&lt;&gt;"",VLOOKUP($P368&amp;" | "&amp;CY$6,'Job Master'!$F$12:$J$102,3,0),"")</f>
        <v/>
      </c>
      <c r="DA368" s="19" t="str">
        <f>IFERROR(IF(AND(DH368&lt;&gt;"",VLOOKUP($P368&amp;" | "&amp;CY$6,'Job Master'!$F$12:$I$102,4,0)&lt;&gt;""),IF(WEEKDAY(DH368-VLOOKUP($P368&amp;" | "&amp;CY$6,'Job Master'!$F$12:$I$102,4,0))&lt;&gt;7,DH368-VLOOKUP($P368&amp;" | "&amp;CY$6,'Job Master'!$F$12:$I$102,4,0),DH368-VLOOKUP($P368&amp;" | "&amp;CY$6,'Job Master'!$F$12:$I$102,4,0)-1),""),"")</f>
        <v/>
      </c>
      <c r="DB368" s="73"/>
      <c r="DC368" s="123" t="str">
        <f t="shared" si="678"/>
        <v/>
      </c>
      <c r="DD368" s="123" t="str">
        <f t="shared" si="679"/>
        <v/>
      </c>
      <c r="DE368" s="97" t="str">
        <f t="shared" ca="1" si="680"/>
        <v/>
      </c>
      <c r="DF368" s="98" t="str">
        <f>IF(DH368&lt;&gt;"",VLOOKUP($P368&amp;" | "&amp;DF$6,'Job Master'!$F$12:$J$102,5,0),"")</f>
        <v/>
      </c>
      <c r="DG368" s="19" t="str">
        <f>IF(DH368&lt;&gt;"",VLOOKUP($P368&amp;" | "&amp;DF$6,'Job Master'!$F$12:$J$102,3,0),"")</f>
        <v/>
      </c>
      <c r="DH368" s="19" t="str">
        <f>IFERROR(IF(AND(DO368&lt;&gt;"",VLOOKUP($P368&amp;" | "&amp;DF$6,'Job Master'!$F$12:$I$102,4,0)&lt;&gt;""),IF(WEEKDAY(DO368-VLOOKUP($P368&amp;" | "&amp;DF$6,'Job Master'!$F$12:$I$102,4,0))&lt;&gt;7,DO368-VLOOKUP($P368&amp;" | "&amp;DF$6,'Job Master'!$F$12:$I$102,4,0),DO368-VLOOKUP($P368&amp;" | "&amp;DF$6,'Job Master'!$F$12:$I$102,4,0)-1),""),"")</f>
        <v/>
      </c>
      <c r="DI368" s="73"/>
      <c r="DJ368" s="123" t="str">
        <f t="shared" si="681"/>
        <v/>
      </c>
      <c r="DK368" s="123" t="str">
        <f t="shared" si="682"/>
        <v/>
      </c>
      <c r="DL368" s="97" t="str">
        <f t="shared" ca="1" si="683"/>
        <v/>
      </c>
      <c r="DM368" s="98" t="str">
        <f>IF(DO368&lt;&gt;"",VLOOKUP($P368&amp;" | "&amp;DM$6,'Job Master'!$F$12:$J$102,5,0),"")</f>
        <v/>
      </c>
      <c r="DN368" s="19" t="str">
        <f>IF(DO368&lt;&gt;"",VLOOKUP($P368&amp;" | "&amp;DM$6,'Job Master'!$F$12:$J$102,3,0),"")</f>
        <v/>
      </c>
      <c r="DO368" s="19" t="str">
        <f>IFERROR(IF(AND(DT368&lt;&gt;"",VLOOKUP($P368&amp;" | "&amp;DM$6,'Job Master'!$F$12:$I$102,4,0)&lt;&gt;""),IF(WEEKDAY(DT368-VLOOKUP($P368&amp;" | "&amp;DM$6,'Job Master'!$F$12:$I$102,4,0))&lt;&gt;7,DT368-VLOOKUP($P368&amp;" | "&amp;DM$6,'Job Master'!$F$12:$I$102,4,0),DT368-VLOOKUP($P368&amp;" | "&amp;DM$6,'Job Master'!$F$12:$I$102,4,0)-1),""),"")</f>
        <v/>
      </c>
      <c r="DP368" s="73"/>
      <c r="DQ368" s="123" t="str">
        <f t="shared" si="684"/>
        <v/>
      </c>
      <c r="DR368" s="123" t="str">
        <f t="shared" si="685"/>
        <v/>
      </c>
      <c r="DS368" s="97" t="str">
        <f t="shared" ca="1" si="686"/>
        <v/>
      </c>
      <c r="DT368" s="70" t="str">
        <f t="shared" si="687"/>
        <v/>
      </c>
      <c r="DU368" s="90"/>
      <c r="DV368" s="123" t="str">
        <f t="shared" si="688"/>
        <v/>
      </c>
      <c r="DW368" s="123" t="str">
        <f t="shared" si="689"/>
        <v/>
      </c>
      <c r="DX368" s="132" t="str">
        <f t="shared" ref="DX368" ca="1" si="739">IF(DT368&lt;&gt;"",IF(WEEKNUM(DT368)=WEEKNUM(TODAY()),"This Week",IF(WEEKNUM(DT368)=WEEKNUM(TODAY())+1,"Next Week",IF(WEEKNUM(DT368)=WEEKNUM(TODAY())-1,"Previous Week",""))),"")</f>
        <v/>
      </c>
      <c r="DY368" s="134" t="str">
        <f t="shared" si="691"/>
        <v/>
      </c>
      <c r="DZ368" s="95"/>
      <c r="EB368" s="8" t="str">
        <f t="shared" si="697"/>
        <v/>
      </c>
      <c r="EC368" s="8" t="str">
        <f>IF(O368&lt;&gt;"",VLOOKUP(O368,'Job Master'!$N$12:$O$18,2,0),"")</f>
        <v/>
      </c>
      <c r="ED368" s="8">
        <f t="shared" si="698"/>
        <v>19.5</v>
      </c>
      <c r="EE368" s="8">
        <f t="shared" si="699"/>
        <v>6</v>
      </c>
      <c r="EF368" s="8">
        <f t="shared" si="700"/>
        <v>-2128.5</v>
      </c>
      <c r="EG368" s="8" t="str">
        <f t="shared" si="701"/>
        <v/>
      </c>
      <c r="EH368" s="8" t="str">
        <f t="shared" si="702"/>
        <v/>
      </c>
    </row>
    <row r="369" spans="2:138" x14ac:dyDescent="0.3">
      <c r="B369" s="112"/>
      <c r="C369" s="27"/>
      <c r="D369" s="7" t="str">
        <f t="shared" si="639"/>
        <v/>
      </c>
      <c r="E369" s="25"/>
      <c r="F369" s="7" t="str">
        <f t="shared" si="639"/>
        <v/>
      </c>
      <c r="G369" s="25"/>
      <c r="H369" s="7" t="str">
        <f t="shared" si="639"/>
        <v/>
      </c>
      <c r="I369" s="25"/>
      <c r="J369" s="7" t="str">
        <f t="shared" si="639"/>
        <v/>
      </c>
      <c r="K369" s="25"/>
      <c r="L369" s="7" t="str">
        <f t="shared" si="640"/>
        <v/>
      </c>
      <c r="M369" s="25"/>
      <c r="N369" s="7" t="str">
        <f t="shared" si="641"/>
        <v/>
      </c>
      <c r="O369" s="81"/>
      <c r="P369" s="81" t="str">
        <f t="shared" si="642"/>
        <v/>
      </c>
      <c r="Q369" s="81"/>
      <c r="R369" s="7" t="str">
        <f t="shared" si="643"/>
        <v/>
      </c>
      <c r="S369" s="25"/>
      <c r="T369" s="7" t="str">
        <f t="shared" si="644"/>
        <v/>
      </c>
      <c r="U369" s="25"/>
      <c r="V369" s="7" t="str">
        <f t="shared" si="645"/>
        <v/>
      </c>
      <c r="W369" s="25"/>
      <c r="X369" s="7" t="str">
        <f t="shared" si="646"/>
        <v/>
      </c>
      <c r="Y369" s="18" t="str">
        <f t="shared" si="647"/>
        <v/>
      </c>
      <c r="Z369" s="7" t="str">
        <f t="shared" si="648"/>
        <v/>
      </c>
      <c r="AA369" s="18" t="str">
        <f t="shared" si="649"/>
        <v/>
      </c>
      <c r="AB369" s="19" t="str">
        <f t="shared" si="650"/>
        <v/>
      </c>
      <c r="AC369" s="26"/>
      <c r="AD369" s="26"/>
      <c r="AE369" s="25"/>
      <c r="AF369" s="26"/>
      <c r="AG369" s="25"/>
      <c r="AH369" s="25"/>
      <c r="AI369" s="18" t="str">
        <f t="shared" si="713"/>
        <v/>
      </c>
      <c r="AJ369" s="25"/>
      <c r="AK369" s="18" t="str">
        <f t="shared" si="714"/>
        <v/>
      </c>
      <c r="AL369" s="79"/>
      <c r="AM369" s="126" t="str">
        <f t="shared" si="715"/>
        <v/>
      </c>
      <c r="AN369" s="128" t="str">
        <f>IF(AP369&lt;&gt;"",VLOOKUP($P369&amp;" | "&amp;AN$6,'Job Master'!$F$12:$J$102,5,0),"")</f>
        <v/>
      </c>
      <c r="AO369" s="19" t="str">
        <f>IF(AP369&lt;&gt;"",VLOOKUP($P369&amp;" | "&amp;AN$6,'Job Master'!$F$12:$J$102,3,0),"")</f>
        <v/>
      </c>
      <c r="AP369" s="19" t="str">
        <f>IFERROR(IF(AND(AW369&lt;&gt;"",VLOOKUP($P369&amp;" | "&amp;AN$6,'Job Master'!$F$12:$I$102,4,0)&lt;&gt;""),IF(WEEKDAY(AW369-VLOOKUP($P369&amp;" | "&amp;AN$6,'Job Master'!$F$12:$I$102,4,0))&lt;&gt;7,AW369-VLOOKUP($P369&amp;" | "&amp;AN$6,'Job Master'!$F$12:$I$102,4,0),AW369-VLOOKUP($P369&amp;" | "&amp;AN$6,'Job Master'!$F$12:$I$102,4,0)-1),""),"")</f>
        <v/>
      </c>
      <c r="AQ369" s="73"/>
      <c r="AR369" s="123" t="str">
        <f t="shared" si="651"/>
        <v/>
      </c>
      <c r="AS369" s="123" t="str">
        <f t="shared" si="652"/>
        <v/>
      </c>
      <c r="AT369" s="97" t="str">
        <f t="shared" ca="1" si="653"/>
        <v/>
      </c>
      <c r="AU369" s="98" t="str">
        <f>IF(AW369&lt;&gt;"",VLOOKUP($P369&amp;" | "&amp;AU$6,'Job Master'!$F$12:$J$102,5,0),"")</f>
        <v/>
      </c>
      <c r="AV369" s="19" t="str">
        <f>IF(AW369&lt;&gt;"",VLOOKUP($P369&amp;" | "&amp;AU$6,'Job Master'!$F$12:$J$102,3,0),"")</f>
        <v/>
      </c>
      <c r="AW369" s="19" t="str">
        <f>IFERROR(IF(AND(BD369&lt;&gt;"",VLOOKUP($P369&amp;" | "&amp;AU$6,'Job Master'!$F$12:$I$102,4,0)&lt;&gt;""),IF(WEEKDAY(BD369-VLOOKUP($P369&amp;" | "&amp;AU$6,'Job Master'!$F$12:$I$102,4,0))&lt;&gt;7,BD369-VLOOKUP($P369&amp;" | "&amp;AU$6,'Job Master'!$F$12:$I$102,4,0),BD369-VLOOKUP($P369&amp;" | "&amp;AU$6,'Job Master'!$F$12:$I$102,4,0)-1),""),"")</f>
        <v/>
      </c>
      <c r="AX369" s="73"/>
      <c r="AY369" s="123" t="str">
        <f t="shared" si="654"/>
        <v/>
      </c>
      <c r="AZ369" s="123" t="str">
        <f t="shared" si="655"/>
        <v/>
      </c>
      <c r="BA369" s="97" t="str">
        <f t="shared" ca="1" si="656"/>
        <v/>
      </c>
      <c r="BB369" s="98" t="str">
        <f>IF(BD369&lt;&gt;"",VLOOKUP($P369&amp;" | "&amp;BB$6,'Job Master'!$F$12:$J$102,5,0),"")</f>
        <v/>
      </c>
      <c r="BC369" s="19" t="str">
        <f>IF(BD369&lt;&gt;"",VLOOKUP($P369&amp;" | "&amp;BB$6,'Job Master'!$F$12:$J$102,3,0),"")</f>
        <v/>
      </c>
      <c r="BD369" s="19" t="str">
        <f>IFERROR(IF(AND(BK369&lt;&gt;"",VLOOKUP($P369&amp;" | "&amp;BB$6,'Job Master'!$F$12:$I$102,4,0)&lt;&gt;""),IF(WEEKDAY(BK369-VLOOKUP($P369&amp;" | "&amp;BB$6,'Job Master'!$F$12:$I$102,4,0))&lt;&gt;7,BK369-VLOOKUP($P369&amp;" | "&amp;BB$6,'Job Master'!$F$12:$I$102,4,0),BK369-VLOOKUP($P369&amp;" | "&amp;BB$6,'Job Master'!$F$12:$I$102,4,0)-1),""),"")</f>
        <v/>
      </c>
      <c r="BE369" s="73"/>
      <c r="BF369" s="123" t="str">
        <f t="shared" si="657"/>
        <v/>
      </c>
      <c r="BG369" s="123" t="str">
        <f t="shared" si="658"/>
        <v/>
      </c>
      <c r="BH369" s="97" t="str">
        <f t="shared" ca="1" si="659"/>
        <v/>
      </c>
      <c r="BI369" s="98" t="str">
        <f>IF(BK369&lt;&gt;"",VLOOKUP($P369&amp;" | "&amp;BI$6,'Job Master'!$F$12:$J$102,5,0),"")</f>
        <v/>
      </c>
      <c r="BJ369" s="19" t="str">
        <f>IF(BK369&lt;&gt;"",VLOOKUP($P369&amp;" | "&amp;BI$6,'Job Master'!$F$12:$J$102,3,0),"")</f>
        <v/>
      </c>
      <c r="BK369" s="19" t="str">
        <f>IFERROR(IF(AND(BR369&lt;&gt;"",VLOOKUP($P369&amp;" | "&amp;BI$6,'Job Master'!$F$12:$I$102,4,0)&lt;&gt;""),IF(WEEKDAY(BR369-VLOOKUP($P369&amp;" | "&amp;BI$6,'Job Master'!$F$12:$I$102,4,0))&lt;&gt;7,BR369-VLOOKUP($P369&amp;" | "&amp;BI$6,'Job Master'!$F$12:$I$102,4,0),BR369-VLOOKUP($P369&amp;" | "&amp;BI$6,'Job Master'!$F$12:$I$102,4,0)-1),""),"")</f>
        <v/>
      </c>
      <c r="BL369" s="73"/>
      <c r="BM369" s="123" t="str">
        <f t="shared" si="660"/>
        <v/>
      </c>
      <c r="BN369" s="123" t="str">
        <f t="shared" si="661"/>
        <v/>
      </c>
      <c r="BO369" s="97" t="str">
        <f t="shared" ca="1" si="662"/>
        <v/>
      </c>
      <c r="BP369" s="98" t="str">
        <f>IF(BR369&lt;&gt;"",VLOOKUP($P369&amp;" | "&amp;BP$6,'Job Master'!$F$12:$J$102,5,0),"")</f>
        <v/>
      </c>
      <c r="BQ369" s="19" t="str">
        <f>IF(BR369&lt;&gt;"",VLOOKUP($P369&amp;" | "&amp;BP$6,'Job Master'!$F$12:$J$102,3,0),"")</f>
        <v/>
      </c>
      <c r="BR369" s="19" t="str">
        <f>IFERROR(IF(AND(BY369&lt;&gt;"",VLOOKUP($P369&amp;" | "&amp;BP$6,'Job Master'!$F$12:$I$102,4,0)&lt;&gt;""),IF(WEEKDAY(BY369-VLOOKUP($P369&amp;" | "&amp;BP$6,'Job Master'!$F$12:$I$102,4,0))&lt;&gt;7,BY369-VLOOKUP($P369&amp;" | "&amp;BP$6,'Job Master'!$F$12:$I$102,4,0),BY369-VLOOKUP($P369&amp;" | "&amp;BP$6,'Job Master'!$F$12:$I$102,4,0)-1),""),"")</f>
        <v/>
      </c>
      <c r="BS369" s="73"/>
      <c r="BT369" s="123" t="str">
        <f t="shared" si="663"/>
        <v/>
      </c>
      <c r="BU369" s="123" t="str">
        <f t="shared" si="664"/>
        <v/>
      </c>
      <c r="BV369" s="97" t="str">
        <f t="shared" ca="1" si="665"/>
        <v/>
      </c>
      <c r="BW369" s="98" t="str">
        <f>IF(BY369&lt;&gt;"",VLOOKUP($P369&amp;" | "&amp;BW$6,'Job Master'!$F$12:$J$102,5,0),"")</f>
        <v/>
      </c>
      <c r="BX369" s="19" t="str">
        <f>IF(BY369&lt;&gt;"",VLOOKUP($P369&amp;" | "&amp;BW$6,'Job Master'!$F$12:$J$102,3,0),"")</f>
        <v/>
      </c>
      <c r="BY369" s="19" t="str">
        <f>IFERROR(IF(AND(CF369&lt;&gt;"",VLOOKUP($P369&amp;" | "&amp;BW$6,'Job Master'!$F$12:$I$102,4,0)&lt;&gt;""),IF(WEEKDAY(CF369-VLOOKUP($P369&amp;" | "&amp;BW$6,'Job Master'!$F$12:$I$102,4,0))&lt;&gt;7,CF369-VLOOKUP($P369&amp;" | "&amp;BW$6,'Job Master'!$F$12:$I$102,4,0),CF369-VLOOKUP($P369&amp;" | "&amp;BW$6,'Job Master'!$F$12:$I$102,4,0)-1),""),"")</f>
        <v/>
      </c>
      <c r="BZ369" s="73"/>
      <c r="CA369" s="123" t="str">
        <f t="shared" si="666"/>
        <v/>
      </c>
      <c r="CB369" s="123" t="str">
        <f t="shared" si="667"/>
        <v/>
      </c>
      <c r="CC369" s="97" t="str">
        <f t="shared" ca="1" si="668"/>
        <v/>
      </c>
      <c r="CD369" s="98" t="str">
        <f>IF(CF369&lt;&gt;"",VLOOKUP($P369&amp;" | "&amp;CD$6,'Job Master'!$F$12:$J$102,5,0),"")</f>
        <v/>
      </c>
      <c r="CE369" s="19" t="str">
        <f>IF(CF369&lt;&gt;"",VLOOKUP($P369&amp;" | "&amp;CD$6,'Job Master'!$F$12:$J$102,3,0),"")</f>
        <v/>
      </c>
      <c r="CF369" s="19" t="str">
        <f>IFERROR(IF(AND(CM369&lt;&gt;"",VLOOKUP($P369&amp;" | "&amp;CD$6,'Job Master'!$F$12:$I$102,4,0)&lt;&gt;""),IF(WEEKDAY(CM369-VLOOKUP($P369&amp;" | "&amp;CD$6,'Job Master'!$F$12:$I$102,4,0))&lt;&gt;7,CM369-VLOOKUP($P369&amp;" | "&amp;CD$6,'Job Master'!$F$12:$I$102,4,0),CM369-VLOOKUP($P369&amp;" | "&amp;CD$6,'Job Master'!$F$12:$I$102,4,0)-1),""),"")</f>
        <v/>
      </c>
      <c r="CG369" s="73"/>
      <c r="CH369" s="123" t="str">
        <f t="shared" si="669"/>
        <v/>
      </c>
      <c r="CI369" s="123" t="str">
        <f t="shared" si="670"/>
        <v/>
      </c>
      <c r="CJ369" s="97" t="str">
        <f t="shared" ca="1" si="671"/>
        <v/>
      </c>
      <c r="CK369" s="98" t="str">
        <f>IF(CM369&lt;&gt;"",VLOOKUP($P369&amp;" | "&amp;CK$6,'Job Master'!$F$12:$J$102,5,0),"")</f>
        <v/>
      </c>
      <c r="CL369" s="19" t="str">
        <f>IF(CM369&lt;&gt;"",VLOOKUP($P369&amp;" | "&amp;CK$6,'Job Master'!$F$12:$J$102,3,0),"")</f>
        <v/>
      </c>
      <c r="CM369" s="19" t="str">
        <f>IFERROR(IF(AND(CT369&lt;&gt;"",VLOOKUP($P369&amp;" | "&amp;CK$6,'Job Master'!$F$12:$I$102,4,0)&lt;&gt;""),IF(WEEKDAY(CT369-VLOOKUP($P369&amp;" | "&amp;CK$6,'Job Master'!$F$12:$I$102,4,0))&lt;&gt;7,CT369-VLOOKUP($P369&amp;" | "&amp;CK$6,'Job Master'!$F$12:$I$102,4,0),CT369-VLOOKUP($P369&amp;" | "&amp;CK$6,'Job Master'!$F$12:$I$102,4,0)-1),""),"")</f>
        <v/>
      </c>
      <c r="CN369" s="73"/>
      <c r="CO369" s="123" t="str">
        <f t="shared" si="672"/>
        <v/>
      </c>
      <c r="CP369" s="123" t="str">
        <f t="shared" si="673"/>
        <v/>
      </c>
      <c r="CQ369" s="97" t="str">
        <f t="shared" ca="1" si="674"/>
        <v/>
      </c>
      <c r="CR369" s="98" t="str">
        <f>IF(CT369&lt;&gt;"",VLOOKUP($P369&amp;" | "&amp;CR$6,'Job Master'!$F$12:$J$102,5,0),"")</f>
        <v/>
      </c>
      <c r="CS369" s="19" t="str">
        <f>IF(CT369&lt;&gt;"",VLOOKUP($P369&amp;" | "&amp;CR$6,'Job Master'!$F$12:$J$102,3,0),"")</f>
        <v/>
      </c>
      <c r="CT369" s="19" t="str">
        <f>IFERROR(IF(AND(DA369&lt;&gt;"",VLOOKUP($P369&amp;" | "&amp;CR$6,'Job Master'!$F$12:$I$102,4,0)&lt;&gt;""),IF(WEEKDAY(DA369-VLOOKUP($P369&amp;" | "&amp;CR$6,'Job Master'!$F$12:$I$102,4,0))&lt;&gt;7,DA369-VLOOKUP($P369&amp;" | "&amp;CR$6,'Job Master'!$F$12:$I$102,4,0),DA369-VLOOKUP($P369&amp;" | "&amp;CR$6,'Job Master'!$F$12:$I$102,4,0)-1),""),"")</f>
        <v/>
      </c>
      <c r="CU369" s="73"/>
      <c r="CV369" s="123" t="str">
        <f t="shared" si="675"/>
        <v/>
      </c>
      <c r="CW369" s="123" t="str">
        <f t="shared" si="676"/>
        <v/>
      </c>
      <c r="CX369" s="97" t="str">
        <f t="shared" ca="1" si="677"/>
        <v/>
      </c>
      <c r="CY369" s="98" t="str">
        <f>IF(DA369&lt;&gt;"",VLOOKUP($P369&amp;" | "&amp;CY$6,'Job Master'!$F$12:$J$102,5,0),"")</f>
        <v/>
      </c>
      <c r="CZ369" s="19" t="str">
        <f>IF(DA369&lt;&gt;"",VLOOKUP($P369&amp;" | "&amp;CY$6,'Job Master'!$F$12:$J$102,3,0),"")</f>
        <v/>
      </c>
      <c r="DA369" s="19" t="str">
        <f>IFERROR(IF(AND(DH369&lt;&gt;"",VLOOKUP($P369&amp;" | "&amp;CY$6,'Job Master'!$F$12:$I$102,4,0)&lt;&gt;""),IF(WEEKDAY(DH369-VLOOKUP($P369&amp;" | "&amp;CY$6,'Job Master'!$F$12:$I$102,4,0))&lt;&gt;7,DH369-VLOOKUP($P369&amp;" | "&amp;CY$6,'Job Master'!$F$12:$I$102,4,0),DH369-VLOOKUP($P369&amp;" | "&amp;CY$6,'Job Master'!$F$12:$I$102,4,0)-1),""),"")</f>
        <v/>
      </c>
      <c r="DB369" s="73"/>
      <c r="DC369" s="123" t="str">
        <f t="shared" si="678"/>
        <v/>
      </c>
      <c r="DD369" s="123" t="str">
        <f t="shared" si="679"/>
        <v/>
      </c>
      <c r="DE369" s="97" t="str">
        <f t="shared" ca="1" si="680"/>
        <v/>
      </c>
      <c r="DF369" s="98" t="str">
        <f>IF(DH369&lt;&gt;"",VLOOKUP($P369&amp;" | "&amp;DF$6,'Job Master'!$F$12:$J$102,5,0),"")</f>
        <v/>
      </c>
      <c r="DG369" s="19" t="str">
        <f>IF(DH369&lt;&gt;"",VLOOKUP($P369&amp;" | "&amp;DF$6,'Job Master'!$F$12:$J$102,3,0),"")</f>
        <v/>
      </c>
      <c r="DH369" s="19" t="str">
        <f>IFERROR(IF(AND(DO369&lt;&gt;"",VLOOKUP($P369&amp;" | "&amp;DF$6,'Job Master'!$F$12:$I$102,4,0)&lt;&gt;""),IF(WEEKDAY(DO369-VLOOKUP($P369&amp;" | "&amp;DF$6,'Job Master'!$F$12:$I$102,4,0))&lt;&gt;7,DO369-VLOOKUP($P369&amp;" | "&amp;DF$6,'Job Master'!$F$12:$I$102,4,0),DO369-VLOOKUP($P369&amp;" | "&amp;DF$6,'Job Master'!$F$12:$I$102,4,0)-1),""),"")</f>
        <v/>
      </c>
      <c r="DI369" s="73"/>
      <c r="DJ369" s="123" t="str">
        <f t="shared" si="681"/>
        <v/>
      </c>
      <c r="DK369" s="123" t="str">
        <f t="shared" si="682"/>
        <v/>
      </c>
      <c r="DL369" s="97" t="str">
        <f t="shared" ca="1" si="683"/>
        <v/>
      </c>
      <c r="DM369" s="98" t="str">
        <f>IF(DO369&lt;&gt;"",VLOOKUP($P369&amp;" | "&amp;DM$6,'Job Master'!$F$12:$J$102,5,0),"")</f>
        <v/>
      </c>
      <c r="DN369" s="19" t="str">
        <f>IF(DO369&lt;&gt;"",VLOOKUP($P369&amp;" | "&amp;DM$6,'Job Master'!$F$12:$J$102,3,0),"")</f>
        <v/>
      </c>
      <c r="DO369" s="19" t="str">
        <f>IFERROR(IF(AND(DT369&lt;&gt;"",VLOOKUP($P369&amp;" | "&amp;DM$6,'Job Master'!$F$12:$I$102,4,0)&lt;&gt;""),IF(WEEKDAY(DT369-VLOOKUP($P369&amp;" | "&amp;DM$6,'Job Master'!$F$12:$I$102,4,0))&lt;&gt;7,DT369-VLOOKUP($P369&amp;" | "&amp;DM$6,'Job Master'!$F$12:$I$102,4,0),DT369-VLOOKUP($P369&amp;" | "&amp;DM$6,'Job Master'!$F$12:$I$102,4,0)-1),""),"")</f>
        <v/>
      </c>
      <c r="DP369" s="73"/>
      <c r="DQ369" s="123" t="str">
        <f t="shared" si="684"/>
        <v/>
      </c>
      <c r="DR369" s="123" t="str">
        <f t="shared" si="685"/>
        <v/>
      </c>
      <c r="DS369" s="97" t="str">
        <f t="shared" ca="1" si="686"/>
        <v/>
      </c>
      <c r="DT369" s="70" t="str">
        <f t="shared" si="687"/>
        <v/>
      </c>
      <c r="DU369" s="90"/>
      <c r="DV369" s="123" t="str">
        <f t="shared" si="688"/>
        <v/>
      </c>
      <c r="DW369" s="123" t="str">
        <f t="shared" si="689"/>
        <v/>
      </c>
      <c r="DX369" s="132" t="str">
        <f t="shared" ref="DX369" ca="1" si="740">IF(DT369&lt;&gt;"",IF(WEEKNUM(DT369)=WEEKNUM(TODAY()),"This Week",IF(WEEKNUM(DT369)=WEEKNUM(TODAY())+1,"Next Week",IF(WEEKNUM(DT369)=WEEKNUM(TODAY())-1,"Previous Week",""))),"")</f>
        <v/>
      </c>
      <c r="DY369" s="134" t="str">
        <f t="shared" si="691"/>
        <v/>
      </c>
      <c r="DZ369" s="95"/>
      <c r="EB369" s="8" t="str">
        <f t="shared" si="697"/>
        <v/>
      </c>
      <c r="EC369" s="8" t="str">
        <f>IF(O369&lt;&gt;"",VLOOKUP(O369,'Job Master'!$N$12:$O$18,2,0),"")</f>
        <v/>
      </c>
      <c r="ED369" s="8">
        <f t="shared" si="698"/>
        <v>19.5</v>
      </c>
      <c r="EE369" s="8">
        <f t="shared" si="699"/>
        <v>6</v>
      </c>
      <c r="EF369" s="8">
        <f t="shared" si="700"/>
        <v>-2134.5</v>
      </c>
      <c r="EG369" s="8" t="str">
        <f t="shared" si="701"/>
        <v/>
      </c>
      <c r="EH369" s="8" t="str">
        <f t="shared" si="702"/>
        <v/>
      </c>
    </row>
    <row r="370" spans="2:138" x14ac:dyDescent="0.3">
      <c r="B370" s="112"/>
      <c r="C370" s="27"/>
      <c r="D370" s="7" t="str">
        <f t="shared" si="639"/>
        <v/>
      </c>
      <c r="E370" s="25"/>
      <c r="F370" s="7" t="str">
        <f t="shared" si="639"/>
        <v/>
      </c>
      <c r="G370" s="25"/>
      <c r="H370" s="7" t="str">
        <f t="shared" si="639"/>
        <v/>
      </c>
      <c r="I370" s="25"/>
      <c r="J370" s="7" t="str">
        <f t="shared" si="639"/>
        <v/>
      </c>
      <c r="K370" s="25"/>
      <c r="L370" s="7" t="str">
        <f t="shared" si="640"/>
        <v/>
      </c>
      <c r="M370" s="25"/>
      <c r="N370" s="7" t="str">
        <f t="shared" si="641"/>
        <v/>
      </c>
      <c r="O370" s="81"/>
      <c r="P370" s="81" t="str">
        <f t="shared" si="642"/>
        <v/>
      </c>
      <c r="Q370" s="81"/>
      <c r="R370" s="7" t="str">
        <f t="shared" si="643"/>
        <v/>
      </c>
      <c r="S370" s="25"/>
      <c r="T370" s="7" t="str">
        <f t="shared" si="644"/>
        <v/>
      </c>
      <c r="U370" s="25"/>
      <c r="V370" s="7" t="str">
        <f t="shared" si="645"/>
        <v/>
      </c>
      <c r="W370" s="25"/>
      <c r="X370" s="7" t="str">
        <f t="shared" si="646"/>
        <v/>
      </c>
      <c r="Y370" s="18" t="str">
        <f t="shared" si="647"/>
        <v/>
      </c>
      <c r="Z370" s="7" t="str">
        <f t="shared" si="648"/>
        <v/>
      </c>
      <c r="AA370" s="18" t="str">
        <f t="shared" si="649"/>
        <v/>
      </c>
      <c r="AB370" s="19" t="str">
        <f t="shared" si="650"/>
        <v/>
      </c>
      <c r="AC370" s="26"/>
      <c r="AD370" s="26"/>
      <c r="AE370" s="25"/>
      <c r="AF370" s="26"/>
      <c r="AG370" s="25"/>
      <c r="AH370" s="25"/>
      <c r="AI370" s="18" t="str">
        <f t="shared" si="713"/>
        <v/>
      </c>
      <c r="AJ370" s="25"/>
      <c r="AK370" s="18" t="str">
        <f t="shared" si="714"/>
        <v/>
      </c>
      <c r="AL370" s="79"/>
      <c r="AM370" s="126" t="str">
        <f t="shared" si="715"/>
        <v/>
      </c>
      <c r="AN370" s="128" t="str">
        <f>IF(AP370&lt;&gt;"",VLOOKUP($P370&amp;" | "&amp;AN$6,'Job Master'!$F$12:$J$102,5,0),"")</f>
        <v/>
      </c>
      <c r="AO370" s="19" t="str">
        <f>IF(AP370&lt;&gt;"",VLOOKUP($P370&amp;" | "&amp;AN$6,'Job Master'!$F$12:$J$102,3,0),"")</f>
        <v/>
      </c>
      <c r="AP370" s="19" t="str">
        <f>IFERROR(IF(AND(AW370&lt;&gt;"",VLOOKUP($P370&amp;" | "&amp;AN$6,'Job Master'!$F$12:$I$102,4,0)&lt;&gt;""),IF(WEEKDAY(AW370-VLOOKUP($P370&amp;" | "&amp;AN$6,'Job Master'!$F$12:$I$102,4,0))&lt;&gt;7,AW370-VLOOKUP($P370&amp;" | "&amp;AN$6,'Job Master'!$F$12:$I$102,4,0),AW370-VLOOKUP($P370&amp;" | "&amp;AN$6,'Job Master'!$F$12:$I$102,4,0)-1),""),"")</f>
        <v/>
      </c>
      <c r="AQ370" s="73"/>
      <c r="AR370" s="123" t="str">
        <f t="shared" si="651"/>
        <v/>
      </c>
      <c r="AS370" s="123" t="str">
        <f t="shared" si="652"/>
        <v/>
      </c>
      <c r="AT370" s="97" t="str">
        <f t="shared" ca="1" si="653"/>
        <v/>
      </c>
      <c r="AU370" s="98" t="str">
        <f>IF(AW370&lt;&gt;"",VLOOKUP($P370&amp;" | "&amp;AU$6,'Job Master'!$F$12:$J$102,5,0),"")</f>
        <v/>
      </c>
      <c r="AV370" s="19" t="str">
        <f>IF(AW370&lt;&gt;"",VLOOKUP($P370&amp;" | "&amp;AU$6,'Job Master'!$F$12:$J$102,3,0),"")</f>
        <v/>
      </c>
      <c r="AW370" s="19" t="str">
        <f>IFERROR(IF(AND(BD370&lt;&gt;"",VLOOKUP($P370&amp;" | "&amp;AU$6,'Job Master'!$F$12:$I$102,4,0)&lt;&gt;""),IF(WEEKDAY(BD370-VLOOKUP($P370&amp;" | "&amp;AU$6,'Job Master'!$F$12:$I$102,4,0))&lt;&gt;7,BD370-VLOOKUP($P370&amp;" | "&amp;AU$6,'Job Master'!$F$12:$I$102,4,0),BD370-VLOOKUP($P370&amp;" | "&amp;AU$6,'Job Master'!$F$12:$I$102,4,0)-1),""),"")</f>
        <v/>
      </c>
      <c r="AX370" s="73"/>
      <c r="AY370" s="123" t="str">
        <f t="shared" si="654"/>
        <v/>
      </c>
      <c r="AZ370" s="123" t="str">
        <f t="shared" si="655"/>
        <v/>
      </c>
      <c r="BA370" s="97" t="str">
        <f t="shared" ca="1" si="656"/>
        <v/>
      </c>
      <c r="BB370" s="98" t="str">
        <f>IF(BD370&lt;&gt;"",VLOOKUP($P370&amp;" | "&amp;BB$6,'Job Master'!$F$12:$J$102,5,0),"")</f>
        <v/>
      </c>
      <c r="BC370" s="19" t="str">
        <f>IF(BD370&lt;&gt;"",VLOOKUP($P370&amp;" | "&amp;BB$6,'Job Master'!$F$12:$J$102,3,0),"")</f>
        <v/>
      </c>
      <c r="BD370" s="19" t="str">
        <f>IFERROR(IF(AND(BK370&lt;&gt;"",VLOOKUP($P370&amp;" | "&amp;BB$6,'Job Master'!$F$12:$I$102,4,0)&lt;&gt;""),IF(WEEKDAY(BK370-VLOOKUP($P370&amp;" | "&amp;BB$6,'Job Master'!$F$12:$I$102,4,0))&lt;&gt;7,BK370-VLOOKUP($P370&amp;" | "&amp;BB$6,'Job Master'!$F$12:$I$102,4,0),BK370-VLOOKUP($P370&amp;" | "&amp;BB$6,'Job Master'!$F$12:$I$102,4,0)-1),""),"")</f>
        <v/>
      </c>
      <c r="BE370" s="73"/>
      <c r="BF370" s="123" t="str">
        <f t="shared" si="657"/>
        <v/>
      </c>
      <c r="BG370" s="123" t="str">
        <f t="shared" si="658"/>
        <v/>
      </c>
      <c r="BH370" s="97" t="str">
        <f t="shared" ca="1" si="659"/>
        <v/>
      </c>
      <c r="BI370" s="98" t="str">
        <f>IF(BK370&lt;&gt;"",VLOOKUP($P370&amp;" | "&amp;BI$6,'Job Master'!$F$12:$J$102,5,0),"")</f>
        <v/>
      </c>
      <c r="BJ370" s="19" t="str">
        <f>IF(BK370&lt;&gt;"",VLOOKUP($P370&amp;" | "&amp;BI$6,'Job Master'!$F$12:$J$102,3,0),"")</f>
        <v/>
      </c>
      <c r="BK370" s="19" t="str">
        <f>IFERROR(IF(AND(BR370&lt;&gt;"",VLOOKUP($P370&amp;" | "&amp;BI$6,'Job Master'!$F$12:$I$102,4,0)&lt;&gt;""),IF(WEEKDAY(BR370-VLOOKUP($P370&amp;" | "&amp;BI$6,'Job Master'!$F$12:$I$102,4,0))&lt;&gt;7,BR370-VLOOKUP($P370&amp;" | "&amp;BI$6,'Job Master'!$F$12:$I$102,4,0),BR370-VLOOKUP($P370&amp;" | "&amp;BI$6,'Job Master'!$F$12:$I$102,4,0)-1),""),"")</f>
        <v/>
      </c>
      <c r="BL370" s="73"/>
      <c r="BM370" s="123" t="str">
        <f t="shared" si="660"/>
        <v/>
      </c>
      <c r="BN370" s="123" t="str">
        <f t="shared" si="661"/>
        <v/>
      </c>
      <c r="BO370" s="97" t="str">
        <f t="shared" ca="1" si="662"/>
        <v/>
      </c>
      <c r="BP370" s="98" t="str">
        <f>IF(BR370&lt;&gt;"",VLOOKUP($P370&amp;" | "&amp;BP$6,'Job Master'!$F$12:$J$102,5,0),"")</f>
        <v/>
      </c>
      <c r="BQ370" s="19" t="str">
        <f>IF(BR370&lt;&gt;"",VLOOKUP($P370&amp;" | "&amp;BP$6,'Job Master'!$F$12:$J$102,3,0),"")</f>
        <v/>
      </c>
      <c r="BR370" s="19" t="str">
        <f>IFERROR(IF(AND(BY370&lt;&gt;"",VLOOKUP($P370&amp;" | "&amp;BP$6,'Job Master'!$F$12:$I$102,4,0)&lt;&gt;""),IF(WEEKDAY(BY370-VLOOKUP($P370&amp;" | "&amp;BP$6,'Job Master'!$F$12:$I$102,4,0))&lt;&gt;7,BY370-VLOOKUP($P370&amp;" | "&amp;BP$6,'Job Master'!$F$12:$I$102,4,0),BY370-VLOOKUP($P370&amp;" | "&amp;BP$6,'Job Master'!$F$12:$I$102,4,0)-1),""),"")</f>
        <v/>
      </c>
      <c r="BS370" s="73"/>
      <c r="BT370" s="123" t="str">
        <f t="shared" si="663"/>
        <v/>
      </c>
      <c r="BU370" s="123" t="str">
        <f t="shared" si="664"/>
        <v/>
      </c>
      <c r="BV370" s="97" t="str">
        <f t="shared" ca="1" si="665"/>
        <v/>
      </c>
      <c r="BW370" s="98" t="str">
        <f>IF(BY370&lt;&gt;"",VLOOKUP($P370&amp;" | "&amp;BW$6,'Job Master'!$F$12:$J$102,5,0),"")</f>
        <v/>
      </c>
      <c r="BX370" s="19" t="str">
        <f>IF(BY370&lt;&gt;"",VLOOKUP($P370&amp;" | "&amp;BW$6,'Job Master'!$F$12:$J$102,3,0),"")</f>
        <v/>
      </c>
      <c r="BY370" s="19" t="str">
        <f>IFERROR(IF(AND(CF370&lt;&gt;"",VLOOKUP($P370&amp;" | "&amp;BW$6,'Job Master'!$F$12:$I$102,4,0)&lt;&gt;""),IF(WEEKDAY(CF370-VLOOKUP($P370&amp;" | "&amp;BW$6,'Job Master'!$F$12:$I$102,4,0))&lt;&gt;7,CF370-VLOOKUP($P370&amp;" | "&amp;BW$6,'Job Master'!$F$12:$I$102,4,0),CF370-VLOOKUP($P370&amp;" | "&amp;BW$6,'Job Master'!$F$12:$I$102,4,0)-1),""),"")</f>
        <v/>
      </c>
      <c r="BZ370" s="73"/>
      <c r="CA370" s="123" t="str">
        <f t="shared" si="666"/>
        <v/>
      </c>
      <c r="CB370" s="123" t="str">
        <f t="shared" si="667"/>
        <v/>
      </c>
      <c r="CC370" s="97" t="str">
        <f t="shared" ca="1" si="668"/>
        <v/>
      </c>
      <c r="CD370" s="98" t="str">
        <f>IF(CF370&lt;&gt;"",VLOOKUP($P370&amp;" | "&amp;CD$6,'Job Master'!$F$12:$J$102,5,0),"")</f>
        <v/>
      </c>
      <c r="CE370" s="19" t="str">
        <f>IF(CF370&lt;&gt;"",VLOOKUP($P370&amp;" | "&amp;CD$6,'Job Master'!$F$12:$J$102,3,0),"")</f>
        <v/>
      </c>
      <c r="CF370" s="19" t="str">
        <f>IFERROR(IF(AND(CM370&lt;&gt;"",VLOOKUP($P370&amp;" | "&amp;CD$6,'Job Master'!$F$12:$I$102,4,0)&lt;&gt;""),IF(WEEKDAY(CM370-VLOOKUP($P370&amp;" | "&amp;CD$6,'Job Master'!$F$12:$I$102,4,0))&lt;&gt;7,CM370-VLOOKUP($P370&amp;" | "&amp;CD$6,'Job Master'!$F$12:$I$102,4,0),CM370-VLOOKUP($P370&amp;" | "&amp;CD$6,'Job Master'!$F$12:$I$102,4,0)-1),""),"")</f>
        <v/>
      </c>
      <c r="CG370" s="73"/>
      <c r="CH370" s="123" t="str">
        <f t="shared" si="669"/>
        <v/>
      </c>
      <c r="CI370" s="123" t="str">
        <f t="shared" si="670"/>
        <v/>
      </c>
      <c r="CJ370" s="97" t="str">
        <f t="shared" ca="1" si="671"/>
        <v/>
      </c>
      <c r="CK370" s="98" t="str">
        <f>IF(CM370&lt;&gt;"",VLOOKUP($P370&amp;" | "&amp;CK$6,'Job Master'!$F$12:$J$102,5,0),"")</f>
        <v/>
      </c>
      <c r="CL370" s="19" t="str">
        <f>IF(CM370&lt;&gt;"",VLOOKUP($P370&amp;" | "&amp;CK$6,'Job Master'!$F$12:$J$102,3,0),"")</f>
        <v/>
      </c>
      <c r="CM370" s="19" t="str">
        <f>IFERROR(IF(AND(CT370&lt;&gt;"",VLOOKUP($P370&amp;" | "&amp;CK$6,'Job Master'!$F$12:$I$102,4,0)&lt;&gt;""),IF(WEEKDAY(CT370-VLOOKUP($P370&amp;" | "&amp;CK$6,'Job Master'!$F$12:$I$102,4,0))&lt;&gt;7,CT370-VLOOKUP($P370&amp;" | "&amp;CK$6,'Job Master'!$F$12:$I$102,4,0),CT370-VLOOKUP($P370&amp;" | "&amp;CK$6,'Job Master'!$F$12:$I$102,4,0)-1),""),"")</f>
        <v/>
      </c>
      <c r="CN370" s="73"/>
      <c r="CO370" s="123" t="str">
        <f t="shared" si="672"/>
        <v/>
      </c>
      <c r="CP370" s="123" t="str">
        <f t="shared" si="673"/>
        <v/>
      </c>
      <c r="CQ370" s="97" t="str">
        <f t="shared" ca="1" si="674"/>
        <v/>
      </c>
      <c r="CR370" s="98" t="str">
        <f>IF(CT370&lt;&gt;"",VLOOKUP($P370&amp;" | "&amp;CR$6,'Job Master'!$F$12:$J$102,5,0),"")</f>
        <v/>
      </c>
      <c r="CS370" s="19" t="str">
        <f>IF(CT370&lt;&gt;"",VLOOKUP($P370&amp;" | "&amp;CR$6,'Job Master'!$F$12:$J$102,3,0),"")</f>
        <v/>
      </c>
      <c r="CT370" s="19" t="str">
        <f>IFERROR(IF(AND(DA370&lt;&gt;"",VLOOKUP($P370&amp;" | "&amp;CR$6,'Job Master'!$F$12:$I$102,4,0)&lt;&gt;""),IF(WEEKDAY(DA370-VLOOKUP($P370&amp;" | "&amp;CR$6,'Job Master'!$F$12:$I$102,4,0))&lt;&gt;7,DA370-VLOOKUP($P370&amp;" | "&amp;CR$6,'Job Master'!$F$12:$I$102,4,0),DA370-VLOOKUP($P370&amp;" | "&amp;CR$6,'Job Master'!$F$12:$I$102,4,0)-1),""),"")</f>
        <v/>
      </c>
      <c r="CU370" s="73"/>
      <c r="CV370" s="123" t="str">
        <f t="shared" si="675"/>
        <v/>
      </c>
      <c r="CW370" s="123" t="str">
        <f t="shared" si="676"/>
        <v/>
      </c>
      <c r="CX370" s="97" t="str">
        <f t="shared" ca="1" si="677"/>
        <v/>
      </c>
      <c r="CY370" s="98" t="str">
        <f>IF(DA370&lt;&gt;"",VLOOKUP($P370&amp;" | "&amp;CY$6,'Job Master'!$F$12:$J$102,5,0),"")</f>
        <v/>
      </c>
      <c r="CZ370" s="19" t="str">
        <f>IF(DA370&lt;&gt;"",VLOOKUP($P370&amp;" | "&amp;CY$6,'Job Master'!$F$12:$J$102,3,0),"")</f>
        <v/>
      </c>
      <c r="DA370" s="19" t="str">
        <f>IFERROR(IF(AND(DH370&lt;&gt;"",VLOOKUP($P370&amp;" | "&amp;CY$6,'Job Master'!$F$12:$I$102,4,0)&lt;&gt;""),IF(WEEKDAY(DH370-VLOOKUP($P370&amp;" | "&amp;CY$6,'Job Master'!$F$12:$I$102,4,0))&lt;&gt;7,DH370-VLOOKUP($P370&amp;" | "&amp;CY$6,'Job Master'!$F$12:$I$102,4,0),DH370-VLOOKUP($P370&amp;" | "&amp;CY$6,'Job Master'!$F$12:$I$102,4,0)-1),""),"")</f>
        <v/>
      </c>
      <c r="DB370" s="73"/>
      <c r="DC370" s="123" t="str">
        <f t="shared" si="678"/>
        <v/>
      </c>
      <c r="DD370" s="123" t="str">
        <f t="shared" si="679"/>
        <v/>
      </c>
      <c r="DE370" s="97" t="str">
        <f t="shared" ca="1" si="680"/>
        <v/>
      </c>
      <c r="DF370" s="98" t="str">
        <f>IF(DH370&lt;&gt;"",VLOOKUP($P370&amp;" | "&amp;DF$6,'Job Master'!$F$12:$J$102,5,0),"")</f>
        <v/>
      </c>
      <c r="DG370" s="19" t="str">
        <f>IF(DH370&lt;&gt;"",VLOOKUP($P370&amp;" | "&amp;DF$6,'Job Master'!$F$12:$J$102,3,0),"")</f>
        <v/>
      </c>
      <c r="DH370" s="19" t="str">
        <f>IFERROR(IF(AND(DO370&lt;&gt;"",VLOOKUP($P370&amp;" | "&amp;DF$6,'Job Master'!$F$12:$I$102,4,0)&lt;&gt;""),IF(WEEKDAY(DO370-VLOOKUP($P370&amp;" | "&amp;DF$6,'Job Master'!$F$12:$I$102,4,0))&lt;&gt;7,DO370-VLOOKUP($P370&amp;" | "&amp;DF$6,'Job Master'!$F$12:$I$102,4,0),DO370-VLOOKUP($P370&amp;" | "&amp;DF$6,'Job Master'!$F$12:$I$102,4,0)-1),""),"")</f>
        <v/>
      </c>
      <c r="DI370" s="73"/>
      <c r="DJ370" s="123" t="str">
        <f t="shared" si="681"/>
        <v/>
      </c>
      <c r="DK370" s="123" t="str">
        <f t="shared" si="682"/>
        <v/>
      </c>
      <c r="DL370" s="97" t="str">
        <f t="shared" ca="1" si="683"/>
        <v/>
      </c>
      <c r="DM370" s="98" t="str">
        <f>IF(DO370&lt;&gt;"",VLOOKUP($P370&amp;" | "&amp;DM$6,'Job Master'!$F$12:$J$102,5,0),"")</f>
        <v/>
      </c>
      <c r="DN370" s="19" t="str">
        <f>IF(DO370&lt;&gt;"",VLOOKUP($P370&amp;" | "&amp;DM$6,'Job Master'!$F$12:$J$102,3,0),"")</f>
        <v/>
      </c>
      <c r="DO370" s="19" t="str">
        <f>IFERROR(IF(AND(DT370&lt;&gt;"",VLOOKUP($P370&amp;" | "&amp;DM$6,'Job Master'!$F$12:$I$102,4,0)&lt;&gt;""),IF(WEEKDAY(DT370-VLOOKUP($P370&amp;" | "&amp;DM$6,'Job Master'!$F$12:$I$102,4,0))&lt;&gt;7,DT370-VLOOKUP($P370&amp;" | "&amp;DM$6,'Job Master'!$F$12:$I$102,4,0),DT370-VLOOKUP($P370&amp;" | "&amp;DM$6,'Job Master'!$F$12:$I$102,4,0)-1),""),"")</f>
        <v/>
      </c>
      <c r="DP370" s="73"/>
      <c r="DQ370" s="123" t="str">
        <f t="shared" si="684"/>
        <v/>
      </c>
      <c r="DR370" s="123" t="str">
        <f t="shared" si="685"/>
        <v/>
      </c>
      <c r="DS370" s="97" t="str">
        <f t="shared" ca="1" si="686"/>
        <v/>
      </c>
      <c r="DT370" s="70" t="str">
        <f t="shared" si="687"/>
        <v/>
      </c>
      <c r="DU370" s="90"/>
      <c r="DV370" s="123" t="str">
        <f t="shared" si="688"/>
        <v/>
      </c>
      <c r="DW370" s="123" t="str">
        <f t="shared" si="689"/>
        <v/>
      </c>
      <c r="DX370" s="132" t="str">
        <f t="shared" ref="DX370" ca="1" si="741">IF(DT370&lt;&gt;"",IF(WEEKNUM(DT370)=WEEKNUM(TODAY()),"This Week",IF(WEEKNUM(DT370)=WEEKNUM(TODAY())+1,"Next Week",IF(WEEKNUM(DT370)=WEEKNUM(TODAY())-1,"Previous Week",""))),"")</f>
        <v/>
      </c>
      <c r="DY370" s="134" t="str">
        <f t="shared" si="691"/>
        <v/>
      </c>
      <c r="DZ370" s="95"/>
      <c r="EB370" s="8" t="str">
        <f t="shared" si="697"/>
        <v/>
      </c>
      <c r="EC370" s="8" t="str">
        <f>IF(O370&lt;&gt;"",VLOOKUP(O370,'Job Master'!$N$12:$O$18,2,0),"")</f>
        <v/>
      </c>
      <c r="ED370" s="8">
        <f t="shared" si="698"/>
        <v>19.5</v>
      </c>
      <c r="EE370" s="8">
        <f t="shared" si="699"/>
        <v>6</v>
      </c>
      <c r="EF370" s="8">
        <f t="shared" si="700"/>
        <v>-2140.5</v>
      </c>
      <c r="EG370" s="8" t="str">
        <f t="shared" si="701"/>
        <v/>
      </c>
      <c r="EH370" s="8" t="str">
        <f t="shared" si="702"/>
        <v/>
      </c>
    </row>
    <row r="371" spans="2:138" x14ac:dyDescent="0.3">
      <c r="B371" s="112"/>
      <c r="C371" s="27"/>
      <c r="D371" s="7" t="str">
        <f t="shared" si="639"/>
        <v/>
      </c>
      <c r="E371" s="25"/>
      <c r="F371" s="7" t="str">
        <f t="shared" si="639"/>
        <v/>
      </c>
      <c r="G371" s="25"/>
      <c r="H371" s="7" t="str">
        <f t="shared" si="639"/>
        <v/>
      </c>
      <c r="I371" s="25"/>
      <c r="J371" s="7" t="str">
        <f t="shared" si="639"/>
        <v/>
      </c>
      <c r="K371" s="25"/>
      <c r="L371" s="7" t="str">
        <f t="shared" si="640"/>
        <v/>
      </c>
      <c r="M371" s="25"/>
      <c r="N371" s="7" t="str">
        <f t="shared" si="641"/>
        <v/>
      </c>
      <c r="O371" s="81"/>
      <c r="P371" s="81" t="str">
        <f t="shared" si="642"/>
        <v/>
      </c>
      <c r="Q371" s="81"/>
      <c r="R371" s="7" t="str">
        <f t="shared" si="643"/>
        <v/>
      </c>
      <c r="S371" s="25"/>
      <c r="T371" s="7" t="str">
        <f t="shared" si="644"/>
        <v/>
      </c>
      <c r="U371" s="25"/>
      <c r="V371" s="7" t="str">
        <f t="shared" si="645"/>
        <v/>
      </c>
      <c r="W371" s="25"/>
      <c r="X371" s="7" t="str">
        <f t="shared" si="646"/>
        <v/>
      </c>
      <c r="Y371" s="18" t="str">
        <f t="shared" si="647"/>
        <v/>
      </c>
      <c r="Z371" s="7" t="str">
        <f t="shared" si="648"/>
        <v/>
      </c>
      <c r="AA371" s="18" t="str">
        <f t="shared" si="649"/>
        <v/>
      </c>
      <c r="AB371" s="19" t="str">
        <f t="shared" si="650"/>
        <v/>
      </c>
      <c r="AC371" s="26"/>
      <c r="AD371" s="26"/>
      <c r="AE371" s="25"/>
      <c r="AF371" s="26"/>
      <c r="AG371" s="25"/>
      <c r="AH371" s="25"/>
      <c r="AI371" s="18" t="str">
        <f t="shared" si="713"/>
        <v/>
      </c>
      <c r="AJ371" s="25"/>
      <c r="AK371" s="18" t="str">
        <f t="shared" si="714"/>
        <v/>
      </c>
      <c r="AL371" s="79"/>
      <c r="AM371" s="126" t="str">
        <f t="shared" si="715"/>
        <v/>
      </c>
      <c r="AN371" s="128" t="str">
        <f>IF(AP371&lt;&gt;"",VLOOKUP($P371&amp;" | "&amp;AN$6,'Job Master'!$F$12:$J$102,5,0),"")</f>
        <v/>
      </c>
      <c r="AO371" s="19" t="str">
        <f>IF(AP371&lt;&gt;"",VLOOKUP($P371&amp;" | "&amp;AN$6,'Job Master'!$F$12:$J$102,3,0),"")</f>
        <v/>
      </c>
      <c r="AP371" s="19" t="str">
        <f>IFERROR(IF(AND(AW371&lt;&gt;"",VLOOKUP($P371&amp;" | "&amp;AN$6,'Job Master'!$F$12:$I$102,4,0)&lt;&gt;""),IF(WEEKDAY(AW371-VLOOKUP($P371&amp;" | "&amp;AN$6,'Job Master'!$F$12:$I$102,4,0))&lt;&gt;7,AW371-VLOOKUP($P371&amp;" | "&amp;AN$6,'Job Master'!$F$12:$I$102,4,0),AW371-VLOOKUP($P371&amp;" | "&amp;AN$6,'Job Master'!$F$12:$I$102,4,0)-1),""),"")</f>
        <v/>
      </c>
      <c r="AQ371" s="73"/>
      <c r="AR371" s="123" t="str">
        <f t="shared" si="651"/>
        <v/>
      </c>
      <c r="AS371" s="123" t="str">
        <f t="shared" si="652"/>
        <v/>
      </c>
      <c r="AT371" s="97" t="str">
        <f t="shared" ca="1" si="653"/>
        <v/>
      </c>
      <c r="AU371" s="98" t="str">
        <f>IF(AW371&lt;&gt;"",VLOOKUP($P371&amp;" | "&amp;AU$6,'Job Master'!$F$12:$J$102,5,0),"")</f>
        <v/>
      </c>
      <c r="AV371" s="19" t="str">
        <f>IF(AW371&lt;&gt;"",VLOOKUP($P371&amp;" | "&amp;AU$6,'Job Master'!$F$12:$J$102,3,0),"")</f>
        <v/>
      </c>
      <c r="AW371" s="19" t="str">
        <f>IFERROR(IF(AND(BD371&lt;&gt;"",VLOOKUP($P371&amp;" | "&amp;AU$6,'Job Master'!$F$12:$I$102,4,0)&lt;&gt;""),IF(WEEKDAY(BD371-VLOOKUP($P371&amp;" | "&amp;AU$6,'Job Master'!$F$12:$I$102,4,0))&lt;&gt;7,BD371-VLOOKUP($P371&amp;" | "&amp;AU$6,'Job Master'!$F$12:$I$102,4,0),BD371-VLOOKUP($P371&amp;" | "&amp;AU$6,'Job Master'!$F$12:$I$102,4,0)-1),""),"")</f>
        <v/>
      </c>
      <c r="AX371" s="73"/>
      <c r="AY371" s="123" t="str">
        <f t="shared" si="654"/>
        <v/>
      </c>
      <c r="AZ371" s="123" t="str">
        <f t="shared" si="655"/>
        <v/>
      </c>
      <c r="BA371" s="97" t="str">
        <f t="shared" ca="1" si="656"/>
        <v/>
      </c>
      <c r="BB371" s="98" t="str">
        <f>IF(BD371&lt;&gt;"",VLOOKUP($P371&amp;" | "&amp;BB$6,'Job Master'!$F$12:$J$102,5,0),"")</f>
        <v/>
      </c>
      <c r="BC371" s="19" t="str">
        <f>IF(BD371&lt;&gt;"",VLOOKUP($P371&amp;" | "&amp;BB$6,'Job Master'!$F$12:$J$102,3,0),"")</f>
        <v/>
      </c>
      <c r="BD371" s="19" t="str">
        <f>IFERROR(IF(AND(BK371&lt;&gt;"",VLOOKUP($P371&amp;" | "&amp;BB$6,'Job Master'!$F$12:$I$102,4,0)&lt;&gt;""),IF(WEEKDAY(BK371-VLOOKUP($P371&amp;" | "&amp;BB$6,'Job Master'!$F$12:$I$102,4,0))&lt;&gt;7,BK371-VLOOKUP($P371&amp;" | "&amp;BB$6,'Job Master'!$F$12:$I$102,4,0),BK371-VLOOKUP($P371&amp;" | "&amp;BB$6,'Job Master'!$F$12:$I$102,4,0)-1),""),"")</f>
        <v/>
      </c>
      <c r="BE371" s="73"/>
      <c r="BF371" s="123" t="str">
        <f t="shared" si="657"/>
        <v/>
      </c>
      <c r="BG371" s="123" t="str">
        <f t="shared" si="658"/>
        <v/>
      </c>
      <c r="BH371" s="97" t="str">
        <f t="shared" ca="1" si="659"/>
        <v/>
      </c>
      <c r="BI371" s="98" t="str">
        <f>IF(BK371&lt;&gt;"",VLOOKUP($P371&amp;" | "&amp;BI$6,'Job Master'!$F$12:$J$102,5,0),"")</f>
        <v/>
      </c>
      <c r="BJ371" s="19" t="str">
        <f>IF(BK371&lt;&gt;"",VLOOKUP($P371&amp;" | "&amp;BI$6,'Job Master'!$F$12:$J$102,3,0),"")</f>
        <v/>
      </c>
      <c r="BK371" s="19" t="str">
        <f>IFERROR(IF(AND(BR371&lt;&gt;"",VLOOKUP($P371&amp;" | "&amp;BI$6,'Job Master'!$F$12:$I$102,4,0)&lt;&gt;""),IF(WEEKDAY(BR371-VLOOKUP($P371&amp;" | "&amp;BI$6,'Job Master'!$F$12:$I$102,4,0))&lt;&gt;7,BR371-VLOOKUP($P371&amp;" | "&amp;BI$6,'Job Master'!$F$12:$I$102,4,0),BR371-VLOOKUP($P371&amp;" | "&amp;BI$6,'Job Master'!$F$12:$I$102,4,0)-1),""),"")</f>
        <v/>
      </c>
      <c r="BL371" s="73"/>
      <c r="BM371" s="123" t="str">
        <f t="shared" si="660"/>
        <v/>
      </c>
      <c r="BN371" s="123" t="str">
        <f t="shared" si="661"/>
        <v/>
      </c>
      <c r="BO371" s="97" t="str">
        <f t="shared" ca="1" si="662"/>
        <v/>
      </c>
      <c r="BP371" s="98" t="str">
        <f>IF(BR371&lt;&gt;"",VLOOKUP($P371&amp;" | "&amp;BP$6,'Job Master'!$F$12:$J$102,5,0),"")</f>
        <v/>
      </c>
      <c r="BQ371" s="19" t="str">
        <f>IF(BR371&lt;&gt;"",VLOOKUP($P371&amp;" | "&amp;BP$6,'Job Master'!$F$12:$J$102,3,0),"")</f>
        <v/>
      </c>
      <c r="BR371" s="19" t="str">
        <f>IFERROR(IF(AND(BY371&lt;&gt;"",VLOOKUP($P371&amp;" | "&amp;BP$6,'Job Master'!$F$12:$I$102,4,0)&lt;&gt;""),IF(WEEKDAY(BY371-VLOOKUP($P371&amp;" | "&amp;BP$6,'Job Master'!$F$12:$I$102,4,0))&lt;&gt;7,BY371-VLOOKUP($P371&amp;" | "&amp;BP$6,'Job Master'!$F$12:$I$102,4,0),BY371-VLOOKUP($P371&amp;" | "&amp;BP$6,'Job Master'!$F$12:$I$102,4,0)-1),""),"")</f>
        <v/>
      </c>
      <c r="BS371" s="73"/>
      <c r="BT371" s="123" t="str">
        <f t="shared" si="663"/>
        <v/>
      </c>
      <c r="BU371" s="123" t="str">
        <f t="shared" si="664"/>
        <v/>
      </c>
      <c r="BV371" s="97" t="str">
        <f t="shared" ca="1" si="665"/>
        <v/>
      </c>
      <c r="BW371" s="98" t="str">
        <f>IF(BY371&lt;&gt;"",VLOOKUP($P371&amp;" | "&amp;BW$6,'Job Master'!$F$12:$J$102,5,0),"")</f>
        <v/>
      </c>
      <c r="BX371" s="19" t="str">
        <f>IF(BY371&lt;&gt;"",VLOOKUP($P371&amp;" | "&amp;BW$6,'Job Master'!$F$12:$J$102,3,0),"")</f>
        <v/>
      </c>
      <c r="BY371" s="19" t="str">
        <f>IFERROR(IF(AND(CF371&lt;&gt;"",VLOOKUP($P371&amp;" | "&amp;BW$6,'Job Master'!$F$12:$I$102,4,0)&lt;&gt;""),IF(WEEKDAY(CF371-VLOOKUP($P371&amp;" | "&amp;BW$6,'Job Master'!$F$12:$I$102,4,0))&lt;&gt;7,CF371-VLOOKUP($P371&amp;" | "&amp;BW$6,'Job Master'!$F$12:$I$102,4,0),CF371-VLOOKUP($P371&amp;" | "&amp;BW$6,'Job Master'!$F$12:$I$102,4,0)-1),""),"")</f>
        <v/>
      </c>
      <c r="BZ371" s="73"/>
      <c r="CA371" s="123" t="str">
        <f t="shared" si="666"/>
        <v/>
      </c>
      <c r="CB371" s="123" t="str">
        <f t="shared" si="667"/>
        <v/>
      </c>
      <c r="CC371" s="97" t="str">
        <f t="shared" ca="1" si="668"/>
        <v/>
      </c>
      <c r="CD371" s="98" t="str">
        <f>IF(CF371&lt;&gt;"",VLOOKUP($P371&amp;" | "&amp;CD$6,'Job Master'!$F$12:$J$102,5,0),"")</f>
        <v/>
      </c>
      <c r="CE371" s="19" t="str">
        <f>IF(CF371&lt;&gt;"",VLOOKUP($P371&amp;" | "&amp;CD$6,'Job Master'!$F$12:$J$102,3,0),"")</f>
        <v/>
      </c>
      <c r="CF371" s="19" t="str">
        <f>IFERROR(IF(AND(CM371&lt;&gt;"",VLOOKUP($P371&amp;" | "&amp;CD$6,'Job Master'!$F$12:$I$102,4,0)&lt;&gt;""),IF(WEEKDAY(CM371-VLOOKUP($P371&amp;" | "&amp;CD$6,'Job Master'!$F$12:$I$102,4,0))&lt;&gt;7,CM371-VLOOKUP($P371&amp;" | "&amp;CD$6,'Job Master'!$F$12:$I$102,4,0),CM371-VLOOKUP($P371&amp;" | "&amp;CD$6,'Job Master'!$F$12:$I$102,4,0)-1),""),"")</f>
        <v/>
      </c>
      <c r="CG371" s="73"/>
      <c r="CH371" s="123" t="str">
        <f t="shared" si="669"/>
        <v/>
      </c>
      <c r="CI371" s="123" t="str">
        <f t="shared" si="670"/>
        <v/>
      </c>
      <c r="CJ371" s="97" t="str">
        <f t="shared" ca="1" si="671"/>
        <v/>
      </c>
      <c r="CK371" s="98" t="str">
        <f>IF(CM371&lt;&gt;"",VLOOKUP($P371&amp;" | "&amp;CK$6,'Job Master'!$F$12:$J$102,5,0),"")</f>
        <v/>
      </c>
      <c r="CL371" s="19" t="str">
        <f>IF(CM371&lt;&gt;"",VLOOKUP($P371&amp;" | "&amp;CK$6,'Job Master'!$F$12:$J$102,3,0),"")</f>
        <v/>
      </c>
      <c r="CM371" s="19" t="str">
        <f>IFERROR(IF(AND(CT371&lt;&gt;"",VLOOKUP($P371&amp;" | "&amp;CK$6,'Job Master'!$F$12:$I$102,4,0)&lt;&gt;""),IF(WEEKDAY(CT371-VLOOKUP($P371&amp;" | "&amp;CK$6,'Job Master'!$F$12:$I$102,4,0))&lt;&gt;7,CT371-VLOOKUP($P371&amp;" | "&amp;CK$6,'Job Master'!$F$12:$I$102,4,0),CT371-VLOOKUP($P371&amp;" | "&amp;CK$6,'Job Master'!$F$12:$I$102,4,0)-1),""),"")</f>
        <v/>
      </c>
      <c r="CN371" s="73"/>
      <c r="CO371" s="123" t="str">
        <f t="shared" si="672"/>
        <v/>
      </c>
      <c r="CP371" s="123" t="str">
        <f t="shared" si="673"/>
        <v/>
      </c>
      <c r="CQ371" s="97" t="str">
        <f t="shared" ca="1" si="674"/>
        <v/>
      </c>
      <c r="CR371" s="98" t="str">
        <f>IF(CT371&lt;&gt;"",VLOOKUP($P371&amp;" | "&amp;CR$6,'Job Master'!$F$12:$J$102,5,0),"")</f>
        <v/>
      </c>
      <c r="CS371" s="19" t="str">
        <f>IF(CT371&lt;&gt;"",VLOOKUP($P371&amp;" | "&amp;CR$6,'Job Master'!$F$12:$J$102,3,0),"")</f>
        <v/>
      </c>
      <c r="CT371" s="19" t="str">
        <f>IFERROR(IF(AND(DA371&lt;&gt;"",VLOOKUP($P371&amp;" | "&amp;CR$6,'Job Master'!$F$12:$I$102,4,0)&lt;&gt;""),IF(WEEKDAY(DA371-VLOOKUP($P371&amp;" | "&amp;CR$6,'Job Master'!$F$12:$I$102,4,0))&lt;&gt;7,DA371-VLOOKUP($P371&amp;" | "&amp;CR$6,'Job Master'!$F$12:$I$102,4,0),DA371-VLOOKUP($P371&amp;" | "&amp;CR$6,'Job Master'!$F$12:$I$102,4,0)-1),""),"")</f>
        <v/>
      </c>
      <c r="CU371" s="73"/>
      <c r="CV371" s="123" t="str">
        <f t="shared" si="675"/>
        <v/>
      </c>
      <c r="CW371" s="123" t="str">
        <f t="shared" si="676"/>
        <v/>
      </c>
      <c r="CX371" s="97" t="str">
        <f t="shared" ca="1" si="677"/>
        <v/>
      </c>
      <c r="CY371" s="98" t="str">
        <f>IF(DA371&lt;&gt;"",VLOOKUP($P371&amp;" | "&amp;CY$6,'Job Master'!$F$12:$J$102,5,0),"")</f>
        <v/>
      </c>
      <c r="CZ371" s="19" t="str">
        <f>IF(DA371&lt;&gt;"",VLOOKUP($P371&amp;" | "&amp;CY$6,'Job Master'!$F$12:$J$102,3,0),"")</f>
        <v/>
      </c>
      <c r="DA371" s="19" t="str">
        <f>IFERROR(IF(AND(DH371&lt;&gt;"",VLOOKUP($P371&amp;" | "&amp;CY$6,'Job Master'!$F$12:$I$102,4,0)&lt;&gt;""),IF(WEEKDAY(DH371-VLOOKUP($P371&amp;" | "&amp;CY$6,'Job Master'!$F$12:$I$102,4,0))&lt;&gt;7,DH371-VLOOKUP($P371&amp;" | "&amp;CY$6,'Job Master'!$F$12:$I$102,4,0),DH371-VLOOKUP($P371&amp;" | "&amp;CY$6,'Job Master'!$F$12:$I$102,4,0)-1),""),"")</f>
        <v/>
      </c>
      <c r="DB371" s="73"/>
      <c r="DC371" s="123" t="str">
        <f t="shared" si="678"/>
        <v/>
      </c>
      <c r="DD371" s="123" t="str">
        <f t="shared" si="679"/>
        <v/>
      </c>
      <c r="DE371" s="97" t="str">
        <f t="shared" ca="1" si="680"/>
        <v/>
      </c>
      <c r="DF371" s="98" t="str">
        <f>IF(DH371&lt;&gt;"",VLOOKUP($P371&amp;" | "&amp;DF$6,'Job Master'!$F$12:$J$102,5,0),"")</f>
        <v/>
      </c>
      <c r="DG371" s="19" t="str">
        <f>IF(DH371&lt;&gt;"",VLOOKUP($P371&amp;" | "&amp;DF$6,'Job Master'!$F$12:$J$102,3,0),"")</f>
        <v/>
      </c>
      <c r="DH371" s="19" t="str">
        <f>IFERROR(IF(AND(DO371&lt;&gt;"",VLOOKUP($P371&amp;" | "&amp;DF$6,'Job Master'!$F$12:$I$102,4,0)&lt;&gt;""),IF(WEEKDAY(DO371-VLOOKUP($P371&amp;" | "&amp;DF$6,'Job Master'!$F$12:$I$102,4,0))&lt;&gt;7,DO371-VLOOKUP($P371&amp;" | "&amp;DF$6,'Job Master'!$F$12:$I$102,4,0),DO371-VLOOKUP($P371&amp;" | "&amp;DF$6,'Job Master'!$F$12:$I$102,4,0)-1),""),"")</f>
        <v/>
      </c>
      <c r="DI371" s="73"/>
      <c r="DJ371" s="123" t="str">
        <f t="shared" si="681"/>
        <v/>
      </c>
      <c r="DK371" s="123" t="str">
        <f t="shared" si="682"/>
        <v/>
      </c>
      <c r="DL371" s="97" t="str">
        <f t="shared" ca="1" si="683"/>
        <v/>
      </c>
      <c r="DM371" s="98" t="str">
        <f>IF(DO371&lt;&gt;"",VLOOKUP($P371&amp;" | "&amp;DM$6,'Job Master'!$F$12:$J$102,5,0),"")</f>
        <v/>
      </c>
      <c r="DN371" s="19" t="str">
        <f>IF(DO371&lt;&gt;"",VLOOKUP($P371&amp;" | "&amp;DM$6,'Job Master'!$F$12:$J$102,3,0),"")</f>
        <v/>
      </c>
      <c r="DO371" s="19" t="str">
        <f>IFERROR(IF(AND(DT371&lt;&gt;"",VLOOKUP($P371&amp;" | "&amp;DM$6,'Job Master'!$F$12:$I$102,4,0)&lt;&gt;""),IF(WEEKDAY(DT371-VLOOKUP($P371&amp;" | "&amp;DM$6,'Job Master'!$F$12:$I$102,4,0))&lt;&gt;7,DT371-VLOOKUP($P371&amp;" | "&amp;DM$6,'Job Master'!$F$12:$I$102,4,0),DT371-VLOOKUP($P371&amp;" | "&amp;DM$6,'Job Master'!$F$12:$I$102,4,0)-1),""),"")</f>
        <v/>
      </c>
      <c r="DP371" s="73"/>
      <c r="DQ371" s="123" t="str">
        <f t="shared" si="684"/>
        <v/>
      </c>
      <c r="DR371" s="123" t="str">
        <f t="shared" si="685"/>
        <v/>
      </c>
      <c r="DS371" s="97" t="str">
        <f t="shared" ca="1" si="686"/>
        <v/>
      </c>
      <c r="DT371" s="70" t="str">
        <f t="shared" si="687"/>
        <v/>
      </c>
      <c r="DU371" s="90"/>
      <c r="DV371" s="123" t="str">
        <f t="shared" si="688"/>
        <v/>
      </c>
      <c r="DW371" s="123" t="str">
        <f t="shared" si="689"/>
        <v/>
      </c>
      <c r="DX371" s="132" t="str">
        <f t="shared" ref="DX371" ca="1" si="742">IF(DT371&lt;&gt;"",IF(WEEKNUM(DT371)=WEEKNUM(TODAY()),"This Week",IF(WEEKNUM(DT371)=WEEKNUM(TODAY())+1,"Next Week",IF(WEEKNUM(DT371)=WEEKNUM(TODAY())-1,"Previous Week",""))),"")</f>
        <v/>
      </c>
      <c r="DY371" s="134" t="str">
        <f t="shared" si="691"/>
        <v/>
      </c>
      <c r="DZ371" s="95"/>
      <c r="EB371" s="8" t="str">
        <f t="shared" si="697"/>
        <v/>
      </c>
      <c r="EC371" s="8" t="str">
        <f>IF(O371&lt;&gt;"",VLOOKUP(O371,'Job Master'!$N$12:$O$18,2,0),"")</f>
        <v/>
      </c>
      <c r="ED371" s="8">
        <f t="shared" si="698"/>
        <v>19.5</v>
      </c>
      <c r="EE371" s="8">
        <f t="shared" si="699"/>
        <v>6</v>
      </c>
      <c r="EF371" s="8">
        <f t="shared" si="700"/>
        <v>-2146.5</v>
      </c>
      <c r="EG371" s="8" t="str">
        <f t="shared" si="701"/>
        <v/>
      </c>
      <c r="EH371" s="8" t="str">
        <f t="shared" si="702"/>
        <v/>
      </c>
    </row>
    <row r="372" spans="2:138" x14ac:dyDescent="0.3">
      <c r="B372" s="112"/>
      <c r="C372" s="27"/>
      <c r="D372" s="7" t="str">
        <f t="shared" si="639"/>
        <v/>
      </c>
      <c r="E372" s="25"/>
      <c r="F372" s="7" t="str">
        <f t="shared" si="639"/>
        <v/>
      </c>
      <c r="G372" s="25"/>
      <c r="H372" s="7" t="str">
        <f t="shared" si="639"/>
        <v/>
      </c>
      <c r="I372" s="25"/>
      <c r="J372" s="7" t="str">
        <f t="shared" si="639"/>
        <v/>
      </c>
      <c r="K372" s="25"/>
      <c r="L372" s="7" t="str">
        <f t="shared" si="640"/>
        <v/>
      </c>
      <c r="M372" s="25"/>
      <c r="N372" s="7" t="str">
        <f t="shared" si="641"/>
        <v/>
      </c>
      <c r="O372" s="81"/>
      <c r="P372" s="81" t="str">
        <f t="shared" si="642"/>
        <v/>
      </c>
      <c r="Q372" s="81"/>
      <c r="R372" s="7" t="str">
        <f t="shared" si="643"/>
        <v/>
      </c>
      <c r="S372" s="25"/>
      <c r="T372" s="7" t="str">
        <f t="shared" si="644"/>
        <v/>
      </c>
      <c r="U372" s="25"/>
      <c r="V372" s="7" t="str">
        <f t="shared" si="645"/>
        <v/>
      </c>
      <c r="W372" s="25"/>
      <c r="X372" s="7" t="str">
        <f t="shared" si="646"/>
        <v/>
      </c>
      <c r="Y372" s="18" t="str">
        <f t="shared" si="647"/>
        <v/>
      </c>
      <c r="Z372" s="7" t="str">
        <f t="shared" si="648"/>
        <v/>
      </c>
      <c r="AA372" s="18" t="str">
        <f t="shared" si="649"/>
        <v/>
      </c>
      <c r="AB372" s="19" t="str">
        <f t="shared" si="650"/>
        <v/>
      </c>
      <c r="AC372" s="26"/>
      <c r="AD372" s="26"/>
      <c r="AE372" s="25"/>
      <c r="AF372" s="26"/>
      <c r="AG372" s="25"/>
      <c r="AH372" s="25"/>
      <c r="AI372" s="18" t="str">
        <f t="shared" si="713"/>
        <v/>
      </c>
      <c r="AJ372" s="25"/>
      <c r="AK372" s="18" t="str">
        <f t="shared" si="714"/>
        <v/>
      </c>
      <c r="AL372" s="79"/>
      <c r="AM372" s="126" t="str">
        <f t="shared" si="715"/>
        <v/>
      </c>
      <c r="AN372" s="128" t="str">
        <f>IF(AP372&lt;&gt;"",VLOOKUP($P372&amp;" | "&amp;AN$6,'Job Master'!$F$12:$J$102,5,0),"")</f>
        <v/>
      </c>
      <c r="AO372" s="19" t="str">
        <f>IF(AP372&lt;&gt;"",VLOOKUP($P372&amp;" | "&amp;AN$6,'Job Master'!$F$12:$J$102,3,0),"")</f>
        <v/>
      </c>
      <c r="AP372" s="19" t="str">
        <f>IFERROR(IF(AND(AW372&lt;&gt;"",VLOOKUP($P372&amp;" | "&amp;AN$6,'Job Master'!$F$12:$I$102,4,0)&lt;&gt;""),IF(WEEKDAY(AW372-VLOOKUP($P372&amp;" | "&amp;AN$6,'Job Master'!$F$12:$I$102,4,0))&lt;&gt;7,AW372-VLOOKUP($P372&amp;" | "&amp;AN$6,'Job Master'!$F$12:$I$102,4,0),AW372-VLOOKUP($P372&amp;" | "&amp;AN$6,'Job Master'!$F$12:$I$102,4,0)-1),""),"")</f>
        <v/>
      </c>
      <c r="AQ372" s="73"/>
      <c r="AR372" s="123" t="str">
        <f t="shared" si="651"/>
        <v/>
      </c>
      <c r="AS372" s="123" t="str">
        <f t="shared" si="652"/>
        <v/>
      </c>
      <c r="AT372" s="97" t="str">
        <f t="shared" ca="1" si="653"/>
        <v/>
      </c>
      <c r="AU372" s="98" t="str">
        <f>IF(AW372&lt;&gt;"",VLOOKUP($P372&amp;" | "&amp;AU$6,'Job Master'!$F$12:$J$102,5,0),"")</f>
        <v/>
      </c>
      <c r="AV372" s="19" t="str">
        <f>IF(AW372&lt;&gt;"",VLOOKUP($P372&amp;" | "&amp;AU$6,'Job Master'!$F$12:$J$102,3,0),"")</f>
        <v/>
      </c>
      <c r="AW372" s="19" t="str">
        <f>IFERROR(IF(AND(BD372&lt;&gt;"",VLOOKUP($P372&amp;" | "&amp;AU$6,'Job Master'!$F$12:$I$102,4,0)&lt;&gt;""),IF(WEEKDAY(BD372-VLOOKUP($P372&amp;" | "&amp;AU$6,'Job Master'!$F$12:$I$102,4,0))&lt;&gt;7,BD372-VLOOKUP($P372&amp;" | "&amp;AU$6,'Job Master'!$F$12:$I$102,4,0),BD372-VLOOKUP($P372&amp;" | "&amp;AU$6,'Job Master'!$F$12:$I$102,4,0)-1),""),"")</f>
        <v/>
      </c>
      <c r="AX372" s="73"/>
      <c r="AY372" s="123" t="str">
        <f t="shared" si="654"/>
        <v/>
      </c>
      <c r="AZ372" s="123" t="str">
        <f t="shared" si="655"/>
        <v/>
      </c>
      <c r="BA372" s="97" t="str">
        <f t="shared" ca="1" si="656"/>
        <v/>
      </c>
      <c r="BB372" s="98" t="str">
        <f>IF(BD372&lt;&gt;"",VLOOKUP($P372&amp;" | "&amp;BB$6,'Job Master'!$F$12:$J$102,5,0),"")</f>
        <v/>
      </c>
      <c r="BC372" s="19" t="str">
        <f>IF(BD372&lt;&gt;"",VLOOKUP($P372&amp;" | "&amp;BB$6,'Job Master'!$F$12:$J$102,3,0),"")</f>
        <v/>
      </c>
      <c r="BD372" s="19" t="str">
        <f>IFERROR(IF(AND(BK372&lt;&gt;"",VLOOKUP($P372&amp;" | "&amp;BB$6,'Job Master'!$F$12:$I$102,4,0)&lt;&gt;""),IF(WEEKDAY(BK372-VLOOKUP($P372&amp;" | "&amp;BB$6,'Job Master'!$F$12:$I$102,4,0))&lt;&gt;7,BK372-VLOOKUP($P372&amp;" | "&amp;BB$6,'Job Master'!$F$12:$I$102,4,0),BK372-VLOOKUP($P372&amp;" | "&amp;BB$6,'Job Master'!$F$12:$I$102,4,0)-1),""),"")</f>
        <v/>
      </c>
      <c r="BE372" s="73"/>
      <c r="BF372" s="123" t="str">
        <f t="shared" si="657"/>
        <v/>
      </c>
      <c r="BG372" s="123" t="str">
        <f t="shared" si="658"/>
        <v/>
      </c>
      <c r="BH372" s="97" t="str">
        <f t="shared" ca="1" si="659"/>
        <v/>
      </c>
      <c r="BI372" s="98" t="str">
        <f>IF(BK372&lt;&gt;"",VLOOKUP($P372&amp;" | "&amp;BI$6,'Job Master'!$F$12:$J$102,5,0),"")</f>
        <v/>
      </c>
      <c r="BJ372" s="19" t="str">
        <f>IF(BK372&lt;&gt;"",VLOOKUP($P372&amp;" | "&amp;BI$6,'Job Master'!$F$12:$J$102,3,0),"")</f>
        <v/>
      </c>
      <c r="BK372" s="19" t="str">
        <f>IFERROR(IF(AND(BR372&lt;&gt;"",VLOOKUP($P372&amp;" | "&amp;BI$6,'Job Master'!$F$12:$I$102,4,0)&lt;&gt;""),IF(WEEKDAY(BR372-VLOOKUP($P372&amp;" | "&amp;BI$6,'Job Master'!$F$12:$I$102,4,0))&lt;&gt;7,BR372-VLOOKUP($P372&amp;" | "&amp;BI$6,'Job Master'!$F$12:$I$102,4,0),BR372-VLOOKUP($P372&amp;" | "&amp;BI$6,'Job Master'!$F$12:$I$102,4,0)-1),""),"")</f>
        <v/>
      </c>
      <c r="BL372" s="73"/>
      <c r="BM372" s="123" t="str">
        <f t="shared" si="660"/>
        <v/>
      </c>
      <c r="BN372" s="123" t="str">
        <f t="shared" si="661"/>
        <v/>
      </c>
      <c r="BO372" s="97" t="str">
        <f t="shared" ca="1" si="662"/>
        <v/>
      </c>
      <c r="BP372" s="98" t="str">
        <f>IF(BR372&lt;&gt;"",VLOOKUP($P372&amp;" | "&amp;BP$6,'Job Master'!$F$12:$J$102,5,0),"")</f>
        <v/>
      </c>
      <c r="BQ372" s="19" t="str">
        <f>IF(BR372&lt;&gt;"",VLOOKUP($P372&amp;" | "&amp;BP$6,'Job Master'!$F$12:$J$102,3,0),"")</f>
        <v/>
      </c>
      <c r="BR372" s="19" t="str">
        <f>IFERROR(IF(AND(BY372&lt;&gt;"",VLOOKUP($P372&amp;" | "&amp;BP$6,'Job Master'!$F$12:$I$102,4,0)&lt;&gt;""),IF(WEEKDAY(BY372-VLOOKUP($P372&amp;" | "&amp;BP$6,'Job Master'!$F$12:$I$102,4,0))&lt;&gt;7,BY372-VLOOKUP($P372&amp;" | "&amp;BP$6,'Job Master'!$F$12:$I$102,4,0),BY372-VLOOKUP($P372&amp;" | "&amp;BP$6,'Job Master'!$F$12:$I$102,4,0)-1),""),"")</f>
        <v/>
      </c>
      <c r="BS372" s="73"/>
      <c r="BT372" s="123" t="str">
        <f t="shared" si="663"/>
        <v/>
      </c>
      <c r="BU372" s="123" t="str">
        <f t="shared" si="664"/>
        <v/>
      </c>
      <c r="BV372" s="97" t="str">
        <f t="shared" ca="1" si="665"/>
        <v/>
      </c>
      <c r="BW372" s="98" t="str">
        <f>IF(BY372&lt;&gt;"",VLOOKUP($P372&amp;" | "&amp;BW$6,'Job Master'!$F$12:$J$102,5,0),"")</f>
        <v/>
      </c>
      <c r="BX372" s="19" t="str">
        <f>IF(BY372&lt;&gt;"",VLOOKUP($P372&amp;" | "&amp;BW$6,'Job Master'!$F$12:$J$102,3,0),"")</f>
        <v/>
      </c>
      <c r="BY372" s="19" t="str">
        <f>IFERROR(IF(AND(CF372&lt;&gt;"",VLOOKUP($P372&amp;" | "&amp;BW$6,'Job Master'!$F$12:$I$102,4,0)&lt;&gt;""),IF(WEEKDAY(CF372-VLOOKUP($P372&amp;" | "&amp;BW$6,'Job Master'!$F$12:$I$102,4,0))&lt;&gt;7,CF372-VLOOKUP($P372&amp;" | "&amp;BW$6,'Job Master'!$F$12:$I$102,4,0),CF372-VLOOKUP($P372&amp;" | "&amp;BW$6,'Job Master'!$F$12:$I$102,4,0)-1),""),"")</f>
        <v/>
      </c>
      <c r="BZ372" s="73"/>
      <c r="CA372" s="123" t="str">
        <f t="shared" si="666"/>
        <v/>
      </c>
      <c r="CB372" s="123" t="str">
        <f t="shared" si="667"/>
        <v/>
      </c>
      <c r="CC372" s="97" t="str">
        <f t="shared" ca="1" si="668"/>
        <v/>
      </c>
      <c r="CD372" s="98" t="str">
        <f>IF(CF372&lt;&gt;"",VLOOKUP($P372&amp;" | "&amp;CD$6,'Job Master'!$F$12:$J$102,5,0),"")</f>
        <v/>
      </c>
      <c r="CE372" s="19" t="str">
        <f>IF(CF372&lt;&gt;"",VLOOKUP($P372&amp;" | "&amp;CD$6,'Job Master'!$F$12:$J$102,3,0),"")</f>
        <v/>
      </c>
      <c r="CF372" s="19" t="str">
        <f>IFERROR(IF(AND(CM372&lt;&gt;"",VLOOKUP($P372&amp;" | "&amp;CD$6,'Job Master'!$F$12:$I$102,4,0)&lt;&gt;""),IF(WEEKDAY(CM372-VLOOKUP($P372&amp;" | "&amp;CD$6,'Job Master'!$F$12:$I$102,4,0))&lt;&gt;7,CM372-VLOOKUP($P372&amp;" | "&amp;CD$6,'Job Master'!$F$12:$I$102,4,0),CM372-VLOOKUP($P372&amp;" | "&amp;CD$6,'Job Master'!$F$12:$I$102,4,0)-1),""),"")</f>
        <v/>
      </c>
      <c r="CG372" s="73"/>
      <c r="CH372" s="123" t="str">
        <f t="shared" si="669"/>
        <v/>
      </c>
      <c r="CI372" s="123" t="str">
        <f t="shared" si="670"/>
        <v/>
      </c>
      <c r="CJ372" s="97" t="str">
        <f t="shared" ca="1" si="671"/>
        <v/>
      </c>
      <c r="CK372" s="98" t="str">
        <f>IF(CM372&lt;&gt;"",VLOOKUP($P372&amp;" | "&amp;CK$6,'Job Master'!$F$12:$J$102,5,0),"")</f>
        <v/>
      </c>
      <c r="CL372" s="19" t="str">
        <f>IF(CM372&lt;&gt;"",VLOOKUP($P372&amp;" | "&amp;CK$6,'Job Master'!$F$12:$J$102,3,0),"")</f>
        <v/>
      </c>
      <c r="CM372" s="19" t="str">
        <f>IFERROR(IF(AND(CT372&lt;&gt;"",VLOOKUP($P372&amp;" | "&amp;CK$6,'Job Master'!$F$12:$I$102,4,0)&lt;&gt;""),IF(WEEKDAY(CT372-VLOOKUP($P372&amp;" | "&amp;CK$6,'Job Master'!$F$12:$I$102,4,0))&lt;&gt;7,CT372-VLOOKUP($P372&amp;" | "&amp;CK$6,'Job Master'!$F$12:$I$102,4,0),CT372-VLOOKUP($P372&amp;" | "&amp;CK$6,'Job Master'!$F$12:$I$102,4,0)-1),""),"")</f>
        <v/>
      </c>
      <c r="CN372" s="73"/>
      <c r="CO372" s="123" t="str">
        <f t="shared" si="672"/>
        <v/>
      </c>
      <c r="CP372" s="123" t="str">
        <f t="shared" si="673"/>
        <v/>
      </c>
      <c r="CQ372" s="97" t="str">
        <f t="shared" ca="1" si="674"/>
        <v/>
      </c>
      <c r="CR372" s="98" t="str">
        <f>IF(CT372&lt;&gt;"",VLOOKUP($P372&amp;" | "&amp;CR$6,'Job Master'!$F$12:$J$102,5,0),"")</f>
        <v/>
      </c>
      <c r="CS372" s="19" t="str">
        <f>IF(CT372&lt;&gt;"",VLOOKUP($P372&amp;" | "&amp;CR$6,'Job Master'!$F$12:$J$102,3,0),"")</f>
        <v/>
      </c>
      <c r="CT372" s="19" t="str">
        <f>IFERROR(IF(AND(DA372&lt;&gt;"",VLOOKUP($P372&amp;" | "&amp;CR$6,'Job Master'!$F$12:$I$102,4,0)&lt;&gt;""),IF(WEEKDAY(DA372-VLOOKUP($P372&amp;" | "&amp;CR$6,'Job Master'!$F$12:$I$102,4,0))&lt;&gt;7,DA372-VLOOKUP($P372&amp;" | "&amp;CR$6,'Job Master'!$F$12:$I$102,4,0),DA372-VLOOKUP($P372&amp;" | "&amp;CR$6,'Job Master'!$F$12:$I$102,4,0)-1),""),"")</f>
        <v/>
      </c>
      <c r="CU372" s="73"/>
      <c r="CV372" s="123" t="str">
        <f t="shared" si="675"/>
        <v/>
      </c>
      <c r="CW372" s="123" t="str">
        <f t="shared" si="676"/>
        <v/>
      </c>
      <c r="CX372" s="97" t="str">
        <f t="shared" ca="1" si="677"/>
        <v/>
      </c>
      <c r="CY372" s="98" t="str">
        <f>IF(DA372&lt;&gt;"",VLOOKUP($P372&amp;" | "&amp;CY$6,'Job Master'!$F$12:$J$102,5,0),"")</f>
        <v/>
      </c>
      <c r="CZ372" s="19" t="str">
        <f>IF(DA372&lt;&gt;"",VLOOKUP($P372&amp;" | "&amp;CY$6,'Job Master'!$F$12:$J$102,3,0),"")</f>
        <v/>
      </c>
      <c r="DA372" s="19" t="str">
        <f>IFERROR(IF(AND(DH372&lt;&gt;"",VLOOKUP($P372&amp;" | "&amp;CY$6,'Job Master'!$F$12:$I$102,4,0)&lt;&gt;""),IF(WEEKDAY(DH372-VLOOKUP($P372&amp;" | "&amp;CY$6,'Job Master'!$F$12:$I$102,4,0))&lt;&gt;7,DH372-VLOOKUP($P372&amp;" | "&amp;CY$6,'Job Master'!$F$12:$I$102,4,0),DH372-VLOOKUP($P372&amp;" | "&amp;CY$6,'Job Master'!$F$12:$I$102,4,0)-1),""),"")</f>
        <v/>
      </c>
      <c r="DB372" s="73"/>
      <c r="DC372" s="123" t="str">
        <f t="shared" si="678"/>
        <v/>
      </c>
      <c r="DD372" s="123" t="str">
        <f t="shared" si="679"/>
        <v/>
      </c>
      <c r="DE372" s="97" t="str">
        <f t="shared" ca="1" si="680"/>
        <v/>
      </c>
      <c r="DF372" s="98" t="str">
        <f>IF(DH372&lt;&gt;"",VLOOKUP($P372&amp;" | "&amp;DF$6,'Job Master'!$F$12:$J$102,5,0),"")</f>
        <v/>
      </c>
      <c r="DG372" s="19" t="str">
        <f>IF(DH372&lt;&gt;"",VLOOKUP($P372&amp;" | "&amp;DF$6,'Job Master'!$F$12:$J$102,3,0),"")</f>
        <v/>
      </c>
      <c r="DH372" s="19" t="str">
        <f>IFERROR(IF(AND(DO372&lt;&gt;"",VLOOKUP($P372&amp;" | "&amp;DF$6,'Job Master'!$F$12:$I$102,4,0)&lt;&gt;""),IF(WEEKDAY(DO372-VLOOKUP($P372&amp;" | "&amp;DF$6,'Job Master'!$F$12:$I$102,4,0))&lt;&gt;7,DO372-VLOOKUP($P372&amp;" | "&amp;DF$6,'Job Master'!$F$12:$I$102,4,0),DO372-VLOOKUP($P372&amp;" | "&amp;DF$6,'Job Master'!$F$12:$I$102,4,0)-1),""),"")</f>
        <v/>
      </c>
      <c r="DI372" s="73"/>
      <c r="DJ372" s="123" t="str">
        <f t="shared" si="681"/>
        <v/>
      </c>
      <c r="DK372" s="123" t="str">
        <f t="shared" si="682"/>
        <v/>
      </c>
      <c r="DL372" s="97" t="str">
        <f t="shared" ca="1" si="683"/>
        <v/>
      </c>
      <c r="DM372" s="98" t="str">
        <f>IF(DO372&lt;&gt;"",VLOOKUP($P372&amp;" | "&amp;DM$6,'Job Master'!$F$12:$J$102,5,0),"")</f>
        <v/>
      </c>
      <c r="DN372" s="19" t="str">
        <f>IF(DO372&lt;&gt;"",VLOOKUP($P372&amp;" | "&amp;DM$6,'Job Master'!$F$12:$J$102,3,0),"")</f>
        <v/>
      </c>
      <c r="DO372" s="19" t="str">
        <f>IFERROR(IF(AND(DT372&lt;&gt;"",VLOOKUP($P372&amp;" | "&amp;DM$6,'Job Master'!$F$12:$I$102,4,0)&lt;&gt;""),IF(WEEKDAY(DT372-VLOOKUP($P372&amp;" | "&amp;DM$6,'Job Master'!$F$12:$I$102,4,0))&lt;&gt;7,DT372-VLOOKUP($P372&amp;" | "&amp;DM$6,'Job Master'!$F$12:$I$102,4,0),DT372-VLOOKUP($P372&amp;" | "&amp;DM$6,'Job Master'!$F$12:$I$102,4,0)-1),""),"")</f>
        <v/>
      </c>
      <c r="DP372" s="73"/>
      <c r="DQ372" s="123" t="str">
        <f t="shared" si="684"/>
        <v/>
      </c>
      <c r="DR372" s="123" t="str">
        <f t="shared" si="685"/>
        <v/>
      </c>
      <c r="DS372" s="97" t="str">
        <f t="shared" ca="1" si="686"/>
        <v/>
      </c>
      <c r="DT372" s="70" t="str">
        <f t="shared" si="687"/>
        <v/>
      </c>
      <c r="DU372" s="90"/>
      <c r="DV372" s="123" t="str">
        <f t="shared" si="688"/>
        <v/>
      </c>
      <c r="DW372" s="123" t="str">
        <f t="shared" si="689"/>
        <v/>
      </c>
      <c r="DX372" s="132" t="str">
        <f t="shared" ref="DX372" ca="1" si="743">IF(DT372&lt;&gt;"",IF(WEEKNUM(DT372)=WEEKNUM(TODAY()),"This Week",IF(WEEKNUM(DT372)=WEEKNUM(TODAY())+1,"Next Week",IF(WEEKNUM(DT372)=WEEKNUM(TODAY())-1,"Previous Week",""))),"")</f>
        <v/>
      </c>
      <c r="DY372" s="134" t="str">
        <f t="shared" si="691"/>
        <v/>
      </c>
      <c r="DZ372" s="95"/>
      <c r="EB372" s="8" t="str">
        <f t="shared" si="697"/>
        <v/>
      </c>
      <c r="EC372" s="8" t="str">
        <f>IF(O372&lt;&gt;"",VLOOKUP(O372,'Job Master'!$N$12:$O$18,2,0),"")</f>
        <v/>
      </c>
      <c r="ED372" s="8">
        <f t="shared" si="698"/>
        <v>19.5</v>
      </c>
      <c r="EE372" s="8">
        <f t="shared" si="699"/>
        <v>6</v>
      </c>
      <c r="EF372" s="8">
        <f t="shared" si="700"/>
        <v>-2152.5</v>
      </c>
      <c r="EG372" s="8" t="str">
        <f t="shared" si="701"/>
        <v/>
      </c>
      <c r="EH372" s="8" t="str">
        <f t="shared" si="702"/>
        <v/>
      </c>
    </row>
    <row r="373" spans="2:138" x14ac:dyDescent="0.3">
      <c r="B373" s="112"/>
      <c r="C373" s="27"/>
      <c r="D373" s="7" t="str">
        <f t="shared" si="639"/>
        <v/>
      </c>
      <c r="E373" s="25"/>
      <c r="F373" s="7" t="str">
        <f t="shared" si="639"/>
        <v/>
      </c>
      <c r="G373" s="25"/>
      <c r="H373" s="7" t="str">
        <f t="shared" si="639"/>
        <v/>
      </c>
      <c r="I373" s="25"/>
      <c r="J373" s="7" t="str">
        <f t="shared" si="639"/>
        <v/>
      </c>
      <c r="K373" s="25"/>
      <c r="L373" s="7" t="str">
        <f t="shared" si="640"/>
        <v/>
      </c>
      <c r="M373" s="25"/>
      <c r="N373" s="7" t="str">
        <f t="shared" si="641"/>
        <v/>
      </c>
      <c r="O373" s="81"/>
      <c r="P373" s="81" t="str">
        <f t="shared" si="642"/>
        <v/>
      </c>
      <c r="Q373" s="81"/>
      <c r="R373" s="7" t="str">
        <f t="shared" si="643"/>
        <v/>
      </c>
      <c r="S373" s="25"/>
      <c r="T373" s="7" t="str">
        <f t="shared" si="644"/>
        <v/>
      </c>
      <c r="U373" s="25"/>
      <c r="V373" s="7" t="str">
        <f t="shared" si="645"/>
        <v/>
      </c>
      <c r="W373" s="25"/>
      <c r="X373" s="7" t="str">
        <f t="shared" si="646"/>
        <v/>
      </c>
      <c r="Y373" s="18" t="str">
        <f t="shared" si="647"/>
        <v/>
      </c>
      <c r="Z373" s="7" t="str">
        <f t="shared" si="648"/>
        <v/>
      </c>
      <c r="AA373" s="18" t="str">
        <f t="shared" si="649"/>
        <v/>
      </c>
      <c r="AB373" s="19" t="str">
        <f t="shared" si="650"/>
        <v/>
      </c>
      <c r="AC373" s="26"/>
      <c r="AD373" s="26"/>
      <c r="AE373" s="25"/>
      <c r="AF373" s="26"/>
      <c r="AG373" s="25"/>
      <c r="AH373" s="25"/>
      <c r="AI373" s="18" t="str">
        <f t="shared" si="713"/>
        <v/>
      </c>
      <c r="AJ373" s="25"/>
      <c r="AK373" s="18" t="str">
        <f t="shared" si="714"/>
        <v/>
      </c>
      <c r="AL373" s="79"/>
      <c r="AM373" s="126" t="str">
        <f t="shared" si="715"/>
        <v/>
      </c>
      <c r="AN373" s="128" t="str">
        <f>IF(AP373&lt;&gt;"",VLOOKUP($P373&amp;" | "&amp;AN$6,'Job Master'!$F$12:$J$102,5,0),"")</f>
        <v/>
      </c>
      <c r="AO373" s="19" t="str">
        <f>IF(AP373&lt;&gt;"",VLOOKUP($P373&amp;" | "&amp;AN$6,'Job Master'!$F$12:$J$102,3,0),"")</f>
        <v/>
      </c>
      <c r="AP373" s="19" t="str">
        <f>IFERROR(IF(AND(AW373&lt;&gt;"",VLOOKUP($P373&amp;" | "&amp;AN$6,'Job Master'!$F$12:$I$102,4,0)&lt;&gt;""),IF(WEEKDAY(AW373-VLOOKUP($P373&amp;" | "&amp;AN$6,'Job Master'!$F$12:$I$102,4,0))&lt;&gt;7,AW373-VLOOKUP($P373&amp;" | "&amp;AN$6,'Job Master'!$F$12:$I$102,4,0),AW373-VLOOKUP($P373&amp;" | "&amp;AN$6,'Job Master'!$F$12:$I$102,4,0)-1),""),"")</f>
        <v/>
      </c>
      <c r="AQ373" s="73"/>
      <c r="AR373" s="123" t="str">
        <f t="shared" si="651"/>
        <v/>
      </c>
      <c r="AS373" s="123" t="str">
        <f t="shared" si="652"/>
        <v/>
      </c>
      <c r="AT373" s="97" t="str">
        <f t="shared" ca="1" si="653"/>
        <v/>
      </c>
      <c r="AU373" s="98" t="str">
        <f>IF(AW373&lt;&gt;"",VLOOKUP($P373&amp;" | "&amp;AU$6,'Job Master'!$F$12:$J$102,5,0),"")</f>
        <v/>
      </c>
      <c r="AV373" s="19" t="str">
        <f>IF(AW373&lt;&gt;"",VLOOKUP($P373&amp;" | "&amp;AU$6,'Job Master'!$F$12:$J$102,3,0),"")</f>
        <v/>
      </c>
      <c r="AW373" s="19" t="str">
        <f>IFERROR(IF(AND(BD373&lt;&gt;"",VLOOKUP($P373&amp;" | "&amp;AU$6,'Job Master'!$F$12:$I$102,4,0)&lt;&gt;""),IF(WEEKDAY(BD373-VLOOKUP($P373&amp;" | "&amp;AU$6,'Job Master'!$F$12:$I$102,4,0))&lt;&gt;7,BD373-VLOOKUP($P373&amp;" | "&amp;AU$6,'Job Master'!$F$12:$I$102,4,0),BD373-VLOOKUP($P373&amp;" | "&amp;AU$6,'Job Master'!$F$12:$I$102,4,0)-1),""),"")</f>
        <v/>
      </c>
      <c r="AX373" s="73"/>
      <c r="AY373" s="123" t="str">
        <f t="shared" si="654"/>
        <v/>
      </c>
      <c r="AZ373" s="123" t="str">
        <f t="shared" si="655"/>
        <v/>
      </c>
      <c r="BA373" s="97" t="str">
        <f t="shared" ca="1" si="656"/>
        <v/>
      </c>
      <c r="BB373" s="98" t="str">
        <f>IF(BD373&lt;&gt;"",VLOOKUP($P373&amp;" | "&amp;BB$6,'Job Master'!$F$12:$J$102,5,0),"")</f>
        <v/>
      </c>
      <c r="BC373" s="19" t="str">
        <f>IF(BD373&lt;&gt;"",VLOOKUP($P373&amp;" | "&amp;BB$6,'Job Master'!$F$12:$J$102,3,0),"")</f>
        <v/>
      </c>
      <c r="BD373" s="19" t="str">
        <f>IFERROR(IF(AND(BK373&lt;&gt;"",VLOOKUP($P373&amp;" | "&amp;BB$6,'Job Master'!$F$12:$I$102,4,0)&lt;&gt;""),IF(WEEKDAY(BK373-VLOOKUP($P373&amp;" | "&amp;BB$6,'Job Master'!$F$12:$I$102,4,0))&lt;&gt;7,BK373-VLOOKUP($P373&amp;" | "&amp;BB$6,'Job Master'!$F$12:$I$102,4,0),BK373-VLOOKUP($P373&amp;" | "&amp;BB$6,'Job Master'!$F$12:$I$102,4,0)-1),""),"")</f>
        <v/>
      </c>
      <c r="BE373" s="73"/>
      <c r="BF373" s="123" t="str">
        <f t="shared" si="657"/>
        <v/>
      </c>
      <c r="BG373" s="123" t="str">
        <f t="shared" si="658"/>
        <v/>
      </c>
      <c r="BH373" s="97" t="str">
        <f t="shared" ca="1" si="659"/>
        <v/>
      </c>
      <c r="BI373" s="98" t="str">
        <f>IF(BK373&lt;&gt;"",VLOOKUP($P373&amp;" | "&amp;BI$6,'Job Master'!$F$12:$J$102,5,0),"")</f>
        <v/>
      </c>
      <c r="BJ373" s="19" t="str">
        <f>IF(BK373&lt;&gt;"",VLOOKUP($P373&amp;" | "&amp;BI$6,'Job Master'!$F$12:$J$102,3,0),"")</f>
        <v/>
      </c>
      <c r="BK373" s="19" t="str">
        <f>IFERROR(IF(AND(BR373&lt;&gt;"",VLOOKUP($P373&amp;" | "&amp;BI$6,'Job Master'!$F$12:$I$102,4,0)&lt;&gt;""),IF(WEEKDAY(BR373-VLOOKUP($P373&amp;" | "&amp;BI$6,'Job Master'!$F$12:$I$102,4,0))&lt;&gt;7,BR373-VLOOKUP($P373&amp;" | "&amp;BI$6,'Job Master'!$F$12:$I$102,4,0),BR373-VLOOKUP($P373&amp;" | "&amp;BI$6,'Job Master'!$F$12:$I$102,4,0)-1),""),"")</f>
        <v/>
      </c>
      <c r="BL373" s="73"/>
      <c r="BM373" s="123" t="str">
        <f t="shared" si="660"/>
        <v/>
      </c>
      <c r="BN373" s="123" t="str">
        <f t="shared" si="661"/>
        <v/>
      </c>
      <c r="BO373" s="97" t="str">
        <f t="shared" ca="1" si="662"/>
        <v/>
      </c>
      <c r="BP373" s="98" t="str">
        <f>IF(BR373&lt;&gt;"",VLOOKUP($P373&amp;" | "&amp;BP$6,'Job Master'!$F$12:$J$102,5,0),"")</f>
        <v/>
      </c>
      <c r="BQ373" s="19" t="str">
        <f>IF(BR373&lt;&gt;"",VLOOKUP($P373&amp;" | "&amp;BP$6,'Job Master'!$F$12:$J$102,3,0),"")</f>
        <v/>
      </c>
      <c r="BR373" s="19" t="str">
        <f>IFERROR(IF(AND(BY373&lt;&gt;"",VLOOKUP($P373&amp;" | "&amp;BP$6,'Job Master'!$F$12:$I$102,4,0)&lt;&gt;""),IF(WEEKDAY(BY373-VLOOKUP($P373&amp;" | "&amp;BP$6,'Job Master'!$F$12:$I$102,4,0))&lt;&gt;7,BY373-VLOOKUP($P373&amp;" | "&amp;BP$6,'Job Master'!$F$12:$I$102,4,0),BY373-VLOOKUP($P373&amp;" | "&amp;BP$6,'Job Master'!$F$12:$I$102,4,0)-1),""),"")</f>
        <v/>
      </c>
      <c r="BS373" s="73"/>
      <c r="BT373" s="123" t="str">
        <f t="shared" si="663"/>
        <v/>
      </c>
      <c r="BU373" s="123" t="str">
        <f t="shared" si="664"/>
        <v/>
      </c>
      <c r="BV373" s="97" t="str">
        <f t="shared" ca="1" si="665"/>
        <v/>
      </c>
      <c r="BW373" s="98" t="str">
        <f>IF(BY373&lt;&gt;"",VLOOKUP($P373&amp;" | "&amp;BW$6,'Job Master'!$F$12:$J$102,5,0),"")</f>
        <v/>
      </c>
      <c r="BX373" s="19" t="str">
        <f>IF(BY373&lt;&gt;"",VLOOKUP($P373&amp;" | "&amp;BW$6,'Job Master'!$F$12:$J$102,3,0),"")</f>
        <v/>
      </c>
      <c r="BY373" s="19" t="str">
        <f>IFERROR(IF(AND(CF373&lt;&gt;"",VLOOKUP($P373&amp;" | "&amp;BW$6,'Job Master'!$F$12:$I$102,4,0)&lt;&gt;""),IF(WEEKDAY(CF373-VLOOKUP($P373&amp;" | "&amp;BW$6,'Job Master'!$F$12:$I$102,4,0))&lt;&gt;7,CF373-VLOOKUP($P373&amp;" | "&amp;BW$6,'Job Master'!$F$12:$I$102,4,0),CF373-VLOOKUP($P373&amp;" | "&amp;BW$6,'Job Master'!$F$12:$I$102,4,0)-1),""),"")</f>
        <v/>
      </c>
      <c r="BZ373" s="73"/>
      <c r="CA373" s="123" t="str">
        <f t="shared" si="666"/>
        <v/>
      </c>
      <c r="CB373" s="123" t="str">
        <f t="shared" si="667"/>
        <v/>
      </c>
      <c r="CC373" s="97" t="str">
        <f t="shared" ca="1" si="668"/>
        <v/>
      </c>
      <c r="CD373" s="98" t="str">
        <f>IF(CF373&lt;&gt;"",VLOOKUP($P373&amp;" | "&amp;CD$6,'Job Master'!$F$12:$J$102,5,0),"")</f>
        <v/>
      </c>
      <c r="CE373" s="19" t="str">
        <f>IF(CF373&lt;&gt;"",VLOOKUP($P373&amp;" | "&amp;CD$6,'Job Master'!$F$12:$J$102,3,0),"")</f>
        <v/>
      </c>
      <c r="CF373" s="19" t="str">
        <f>IFERROR(IF(AND(CM373&lt;&gt;"",VLOOKUP($P373&amp;" | "&amp;CD$6,'Job Master'!$F$12:$I$102,4,0)&lt;&gt;""),IF(WEEKDAY(CM373-VLOOKUP($P373&amp;" | "&amp;CD$6,'Job Master'!$F$12:$I$102,4,0))&lt;&gt;7,CM373-VLOOKUP($P373&amp;" | "&amp;CD$6,'Job Master'!$F$12:$I$102,4,0),CM373-VLOOKUP($P373&amp;" | "&amp;CD$6,'Job Master'!$F$12:$I$102,4,0)-1),""),"")</f>
        <v/>
      </c>
      <c r="CG373" s="73"/>
      <c r="CH373" s="123" t="str">
        <f t="shared" si="669"/>
        <v/>
      </c>
      <c r="CI373" s="123" t="str">
        <f t="shared" si="670"/>
        <v/>
      </c>
      <c r="CJ373" s="97" t="str">
        <f t="shared" ca="1" si="671"/>
        <v/>
      </c>
      <c r="CK373" s="98" t="str">
        <f>IF(CM373&lt;&gt;"",VLOOKUP($P373&amp;" | "&amp;CK$6,'Job Master'!$F$12:$J$102,5,0),"")</f>
        <v/>
      </c>
      <c r="CL373" s="19" t="str">
        <f>IF(CM373&lt;&gt;"",VLOOKUP($P373&amp;" | "&amp;CK$6,'Job Master'!$F$12:$J$102,3,0),"")</f>
        <v/>
      </c>
      <c r="CM373" s="19" t="str">
        <f>IFERROR(IF(AND(CT373&lt;&gt;"",VLOOKUP($P373&amp;" | "&amp;CK$6,'Job Master'!$F$12:$I$102,4,0)&lt;&gt;""),IF(WEEKDAY(CT373-VLOOKUP($P373&amp;" | "&amp;CK$6,'Job Master'!$F$12:$I$102,4,0))&lt;&gt;7,CT373-VLOOKUP($P373&amp;" | "&amp;CK$6,'Job Master'!$F$12:$I$102,4,0),CT373-VLOOKUP($P373&amp;" | "&amp;CK$6,'Job Master'!$F$12:$I$102,4,0)-1),""),"")</f>
        <v/>
      </c>
      <c r="CN373" s="73"/>
      <c r="CO373" s="123" t="str">
        <f t="shared" si="672"/>
        <v/>
      </c>
      <c r="CP373" s="123" t="str">
        <f t="shared" si="673"/>
        <v/>
      </c>
      <c r="CQ373" s="97" t="str">
        <f t="shared" ca="1" si="674"/>
        <v/>
      </c>
      <c r="CR373" s="98" t="str">
        <f>IF(CT373&lt;&gt;"",VLOOKUP($P373&amp;" | "&amp;CR$6,'Job Master'!$F$12:$J$102,5,0),"")</f>
        <v/>
      </c>
      <c r="CS373" s="19" t="str">
        <f>IF(CT373&lt;&gt;"",VLOOKUP($P373&amp;" | "&amp;CR$6,'Job Master'!$F$12:$J$102,3,0),"")</f>
        <v/>
      </c>
      <c r="CT373" s="19" t="str">
        <f>IFERROR(IF(AND(DA373&lt;&gt;"",VLOOKUP($P373&amp;" | "&amp;CR$6,'Job Master'!$F$12:$I$102,4,0)&lt;&gt;""),IF(WEEKDAY(DA373-VLOOKUP($P373&amp;" | "&amp;CR$6,'Job Master'!$F$12:$I$102,4,0))&lt;&gt;7,DA373-VLOOKUP($P373&amp;" | "&amp;CR$6,'Job Master'!$F$12:$I$102,4,0),DA373-VLOOKUP($P373&amp;" | "&amp;CR$6,'Job Master'!$F$12:$I$102,4,0)-1),""),"")</f>
        <v/>
      </c>
      <c r="CU373" s="73"/>
      <c r="CV373" s="123" t="str">
        <f t="shared" si="675"/>
        <v/>
      </c>
      <c r="CW373" s="123" t="str">
        <f t="shared" si="676"/>
        <v/>
      </c>
      <c r="CX373" s="97" t="str">
        <f t="shared" ca="1" si="677"/>
        <v/>
      </c>
      <c r="CY373" s="98" t="str">
        <f>IF(DA373&lt;&gt;"",VLOOKUP($P373&amp;" | "&amp;CY$6,'Job Master'!$F$12:$J$102,5,0),"")</f>
        <v/>
      </c>
      <c r="CZ373" s="19" t="str">
        <f>IF(DA373&lt;&gt;"",VLOOKUP($P373&amp;" | "&amp;CY$6,'Job Master'!$F$12:$J$102,3,0),"")</f>
        <v/>
      </c>
      <c r="DA373" s="19" t="str">
        <f>IFERROR(IF(AND(DH373&lt;&gt;"",VLOOKUP($P373&amp;" | "&amp;CY$6,'Job Master'!$F$12:$I$102,4,0)&lt;&gt;""),IF(WEEKDAY(DH373-VLOOKUP($P373&amp;" | "&amp;CY$6,'Job Master'!$F$12:$I$102,4,0))&lt;&gt;7,DH373-VLOOKUP($P373&amp;" | "&amp;CY$6,'Job Master'!$F$12:$I$102,4,0),DH373-VLOOKUP($P373&amp;" | "&amp;CY$6,'Job Master'!$F$12:$I$102,4,0)-1),""),"")</f>
        <v/>
      </c>
      <c r="DB373" s="73"/>
      <c r="DC373" s="123" t="str">
        <f t="shared" si="678"/>
        <v/>
      </c>
      <c r="DD373" s="123" t="str">
        <f t="shared" si="679"/>
        <v/>
      </c>
      <c r="DE373" s="97" t="str">
        <f t="shared" ca="1" si="680"/>
        <v/>
      </c>
      <c r="DF373" s="98" t="str">
        <f>IF(DH373&lt;&gt;"",VLOOKUP($P373&amp;" | "&amp;DF$6,'Job Master'!$F$12:$J$102,5,0),"")</f>
        <v/>
      </c>
      <c r="DG373" s="19" t="str">
        <f>IF(DH373&lt;&gt;"",VLOOKUP($P373&amp;" | "&amp;DF$6,'Job Master'!$F$12:$J$102,3,0),"")</f>
        <v/>
      </c>
      <c r="DH373" s="19" t="str">
        <f>IFERROR(IF(AND(DO373&lt;&gt;"",VLOOKUP($P373&amp;" | "&amp;DF$6,'Job Master'!$F$12:$I$102,4,0)&lt;&gt;""),IF(WEEKDAY(DO373-VLOOKUP($P373&amp;" | "&amp;DF$6,'Job Master'!$F$12:$I$102,4,0))&lt;&gt;7,DO373-VLOOKUP($P373&amp;" | "&amp;DF$6,'Job Master'!$F$12:$I$102,4,0),DO373-VLOOKUP($P373&amp;" | "&amp;DF$6,'Job Master'!$F$12:$I$102,4,0)-1),""),"")</f>
        <v/>
      </c>
      <c r="DI373" s="73"/>
      <c r="DJ373" s="123" t="str">
        <f t="shared" si="681"/>
        <v/>
      </c>
      <c r="DK373" s="123" t="str">
        <f t="shared" si="682"/>
        <v/>
      </c>
      <c r="DL373" s="97" t="str">
        <f t="shared" ca="1" si="683"/>
        <v/>
      </c>
      <c r="DM373" s="98" t="str">
        <f>IF(DO373&lt;&gt;"",VLOOKUP($P373&amp;" | "&amp;DM$6,'Job Master'!$F$12:$J$102,5,0),"")</f>
        <v/>
      </c>
      <c r="DN373" s="19" t="str">
        <f>IF(DO373&lt;&gt;"",VLOOKUP($P373&amp;" | "&amp;DM$6,'Job Master'!$F$12:$J$102,3,0),"")</f>
        <v/>
      </c>
      <c r="DO373" s="19" t="str">
        <f>IFERROR(IF(AND(DT373&lt;&gt;"",VLOOKUP($P373&amp;" | "&amp;DM$6,'Job Master'!$F$12:$I$102,4,0)&lt;&gt;""),IF(WEEKDAY(DT373-VLOOKUP($P373&amp;" | "&amp;DM$6,'Job Master'!$F$12:$I$102,4,0))&lt;&gt;7,DT373-VLOOKUP($P373&amp;" | "&amp;DM$6,'Job Master'!$F$12:$I$102,4,0),DT373-VLOOKUP($P373&amp;" | "&amp;DM$6,'Job Master'!$F$12:$I$102,4,0)-1),""),"")</f>
        <v/>
      </c>
      <c r="DP373" s="73"/>
      <c r="DQ373" s="123" t="str">
        <f t="shared" si="684"/>
        <v/>
      </c>
      <c r="DR373" s="123" t="str">
        <f t="shared" si="685"/>
        <v/>
      </c>
      <c r="DS373" s="97" t="str">
        <f t="shared" ca="1" si="686"/>
        <v/>
      </c>
      <c r="DT373" s="70" t="str">
        <f t="shared" si="687"/>
        <v/>
      </c>
      <c r="DU373" s="90"/>
      <c r="DV373" s="123" t="str">
        <f t="shared" si="688"/>
        <v/>
      </c>
      <c r="DW373" s="123" t="str">
        <f t="shared" si="689"/>
        <v/>
      </c>
      <c r="DX373" s="132" t="str">
        <f t="shared" ref="DX373" ca="1" si="744">IF(DT373&lt;&gt;"",IF(WEEKNUM(DT373)=WEEKNUM(TODAY()),"This Week",IF(WEEKNUM(DT373)=WEEKNUM(TODAY())+1,"Next Week",IF(WEEKNUM(DT373)=WEEKNUM(TODAY())-1,"Previous Week",""))),"")</f>
        <v/>
      </c>
      <c r="DY373" s="134" t="str">
        <f t="shared" si="691"/>
        <v/>
      </c>
      <c r="DZ373" s="95"/>
      <c r="EB373" s="8" t="str">
        <f t="shared" si="697"/>
        <v/>
      </c>
      <c r="EC373" s="8" t="str">
        <f>IF(O373&lt;&gt;"",VLOOKUP(O373,'Job Master'!$N$12:$O$18,2,0),"")</f>
        <v/>
      </c>
      <c r="ED373" s="8">
        <f t="shared" si="698"/>
        <v>19.5</v>
      </c>
      <c r="EE373" s="8">
        <f t="shared" si="699"/>
        <v>6</v>
      </c>
      <c r="EF373" s="8">
        <f t="shared" si="700"/>
        <v>-2158.5</v>
      </c>
      <c r="EG373" s="8" t="str">
        <f t="shared" si="701"/>
        <v/>
      </c>
      <c r="EH373" s="8" t="str">
        <f t="shared" si="702"/>
        <v/>
      </c>
    </row>
    <row r="374" spans="2:138" x14ac:dyDescent="0.3">
      <c r="B374" s="112"/>
      <c r="C374" s="27"/>
      <c r="D374" s="7" t="str">
        <f t="shared" si="639"/>
        <v/>
      </c>
      <c r="E374" s="25"/>
      <c r="F374" s="7" t="str">
        <f t="shared" si="639"/>
        <v/>
      </c>
      <c r="G374" s="25"/>
      <c r="H374" s="7" t="str">
        <f t="shared" si="639"/>
        <v/>
      </c>
      <c r="I374" s="25"/>
      <c r="J374" s="7" t="str">
        <f t="shared" si="639"/>
        <v/>
      </c>
      <c r="K374" s="25"/>
      <c r="L374" s="7" t="str">
        <f t="shared" si="640"/>
        <v/>
      </c>
      <c r="M374" s="25"/>
      <c r="N374" s="7" t="str">
        <f t="shared" si="641"/>
        <v/>
      </c>
      <c r="O374" s="81"/>
      <c r="P374" s="81" t="str">
        <f t="shared" si="642"/>
        <v/>
      </c>
      <c r="Q374" s="81"/>
      <c r="R374" s="7" t="str">
        <f t="shared" si="643"/>
        <v/>
      </c>
      <c r="S374" s="25"/>
      <c r="T374" s="7" t="str">
        <f t="shared" si="644"/>
        <v/>
      </c>
      <c r="U374" s="25"/>
      <c r="V374" s="7" t="str">
        <f t="shared" si="645"/>
        <v/>
      </c>
      <c r="W374" s="25"/>
      <c r="X374" s="7" t="str">
        <f t="shared" si="646"/>
        <v/>
      </c>
      <c r="Y374" s="18" t="str">
        <f t="shared" si="647"/>
        <v/>
      </c>
      <c r="Z374" s="7" t="str">
        <f t="shared" si="648"/>
        <v/>
      </c>
      <c r="AA374" s="18" t="str">
        <f t="shared" si="649"/>
        <v/>
      </c>
      <c r="AB374" s="19" t="str">
        <f t="shared" si="650"/>
        <v/>
      </c>
      <c r="AC374" s="26"/>
      <c r="AD374" s="26"/>
      <c r="AE374" s="25"/>
      <c r="AF374" s="26"/>
      <c r="AG374" s="25"/>
      <c r="AH374" s="25"/>
      <c r="AI374" s="18" t="str">
        <f t="shared" si="713"/>
        <v/>
      </c>
      <c r="AJ374" s="25"/>
      <c r="AK374" s="18" t="str">
        <f t="shared" si="714"/>
        <v/>
      </c>
      <c r="AL374" s="79"/>
      <c r="AM374" s="126" t="str">
        <f t="shared" si="715"/>
        <v/>
      </c>
      <c r="AN374" s="128" t="str">
        <f>IF(AP374&lt;&gt;"",VLOOKUP($P374&amp;" | "&amp;AN$6,'Job Master'!$F$12:$J$102,5,0),"")</f>
        <v/>
      </c>
      <c r="AO374" s="19" t="str">
        <f>IF(AP374&lt;&gt;"",VLOOKUP($P374&amp;" | "&amp;AN$6,'Job Master'!$F$12:$J$102,3,0),"")</f>
        <v/>
      </c>
      <c r="AP374" s="19" t="str">
        <f>IFERROR(IF(AND(AW374&lt;&gt;"",VLOOKUP($P374&amp;" | "&amp;AN$6,'Job Master'!$F$12:$I$102,4,0)&lt;&gt;""),IF(WEEKDAY(AW374-VLOOKUP($P374&amp;" | "&amp;AN$6,'Job Master'!$F$12:$I$102,4,0))&lt;&gt;7,AW374-VLOOKUP($P374&amp;" | "&amp;AN$6,'Job Master'!$F$12:$I$102,4,0),AW374-VLOOKUP($P374&amp;" | "&amp;AN$6,'Job Master'!$F$12:$I$102,4,0)-1),""),"")</f>
        <v/>
      </c>
      <c r="AQ374" s="73"/>
      <c r="AR374" s="123" t="str">
        <f t="shared" si="651"/>
        <v/>
      </c>
      <c r="AS374" s="123" t="str">
        <f t="shared" si="652"/>
        <v/>
      </c>
      <c r="AT374" s="97" t="str">
        <f t="shared" ca="1" si="653"/>
        <v/>
      </c>
      <c r="AU374" s="98" t="str">
        <f>IF(AW374&lt;&gt;"",VLOOKUP($P374&amp;" | "&amp;AU$6,'Job Master'!$F$12:$J$102,5,0),"")</f>
        <v/>
      </c>
      <c r="AV374" s="19" t="str">
        <f>IF(AW374&lt;&gt;"",VLOOKUP($P374&amp;" | "&amp;AU$6,'Job Master'!$F$12:$J$102,3,0),"")</f>
        <v/>
      </c>
      <c r="AW374" s="19" t="str">
        <f>IFERROR(IF(AND(BD374&lt;&gt;"",VLOOKUP($P374&amp;" | "&amp;AU$6,'Job Master'!$F$12:$I$102,4,0)&lt;&gt;""),IF(WEEKDAY(BD374-VLOOKUP($P374&amp;" | "&amp;AU$6,'Job Master'!$F$12:$I$102,4,0))&lt;&gt;7,BD374-VLOOKUP($P374&amp;" | "&amp;AU$6,'Job Master'!$F$12:$I$102,4,0),BD374-VLOOKUP($P374&amp;" | "&amp;AU$6,'Job Master'!$F$12:$I$102,4,0)-1),""),"")</f>
        <v/>
      </c>
      <c r="AX374" s="73"/>
      <c r="AY374" s="123" t="str">
        <f t="shared" si="654"/>
        <v/>
      </c>
      <c r="AZ374" s="123" t="str">
        <f t="shared" si="655"/>
        <v/>
      </c>
      <c r="BA374" s="97" t="str">
        <f t="shared" ca="1" si="656"/>
        <v/>
      </c>
      <c r="BB374" s="98" t="str">
        <f>IF(BD374&lt;&gt;"",VLOOKUP($P374&amp;" | "&amp;BB$6,'Job Master'!$F$12:$J$102,5,0),"")</f>
        <v/>
      </c>
      <c r="BC374" s="19" t="str">
        <f>IF(BD374&lt;&gt;"",VLOOKUP($P374&amp;" | "&amp;BB$6,'Job Master'!$F$12:$J$102,3,0),"")</f>
        <v/>
      </c>
      <c r="BD374" s="19" t="str">
        <f>IFERROR(IF(AND(BK374&lt;&gt;"",VLOOKUP($P374&amp;" | "&amp;BB$6,'Job Master'!$F$12:$I$102,4,0)&lt;&gt;""),IF(WEEKDAY(BK374-VLOOKUP($P374&amp;" | "&amp;BB$6,'Job Master'!$F$12:$I$102,4,0))&lt;&gt;7,BK374-VLOOKUP($P374&amp;" | "&amp;BB$6,'Job Master'!$F$12:$I$102,4,0),BK374-VLOOKUP($P374&amp;" | "&amp;BB$6,'Job Master'!$F$12:$I$102,4,0)-1),""),"")</f>
        <v/>
      </c>
      <c r="BE374" s="73"/>
      <c r="BF374" s="123" t="str">
        <f t="shared" si="657"/>
        <v/>
      </c>
      <c r="BG374" s="123" t="str">
        <f t="shared" si="658"/>
        <v/>
      </c>
      <c r="BH374" s="97" t="str">
        <f t="shared" ca="1" si="659"/>
        <v/>
      </c>
      <c r="BI374" s="98" t="str">
        <f>IF(BK374&lt;&gt;"",VLOOKUP($P374&amp;" | "&amp;BI$6,'Job Master'!$F$12:$J$102,5,0),"")</f>
        <v/>
      </c>
      <c r="BJ374" s="19" t="str">
        <f>IF(BK374&lt;&gt;"",VLOOKUP($P374&amp;" | "&amp;BI$6,'Job Master'!$F$12:$J$102,3,0),"")</f>
        <v/>
      </c>
      <c r="BK374" s="19" t="str">
        <f>IFERROR(IF(AND(BR374&lt;&gt;"",VLOOKUP($P374&amp;" | "&amp;BI$6,'Job Master'!$F$12:$I$102,4,0)&lt;&gt;""),IF(WEEKDAY(BR374-VLOOKUP($P374&amp;" | "&amp;BI$6,'Job Master'!$F$12:$I$102,4,0))&lt;&gt;7,BR374-VLOOKUP($P374&amp;" | "&amp;BI$6,'Job Master'!$F$12:$I$102,4,0),BR374-VLOOKUP($P374&amp;" | "&amp;BI$6,'Job Master'!$F$12:$I$102,4,0)-1),""),"")</f>
        <v/>
      </c>
      <c r="BL374" s="73"/>
      <c r="BM374" s="123" t="str">
        <f t="shared" si="660"/>
        <v/>
      </c>
      <c r="BN374" s="123" t="str">
        <f t="shared" si="661"/>
        <v/>
      </c>
      <c r="BO374" s="97" t="str">
        <f t="shared" ca="1" si="662"/>
        <v/>
      </c>
      <c r="BP374" s="98" t="str">
        <f>IF(BR374&lt;&gt;"",VLOOKUP($P374&amp;" | "&amp;BP$6,'Job Master'!$F$12:$J$102,5,0),"")</f>
        <v/>
      </c>
      <c r="BQ374" s="19" t="str">
        <f>IF(BR374&lt;&gt;"",VLOOKUP($P374&amp;" | "&amp;BP$6,'Job Master'!$F$12:$J$102,3,0),"")</f>
        <v/>
      </c>
      <c r="BR374" s="19" t="str">
        <f>IFERROR(IF(AND(BY374&lt;&gt;"",VLOOKUP($P374&amp;" | "&amp;BP$6,'Job Master'!$F$12:$I$102,4,0)&lt;&gt;""),IF(WEEKDAY(BY374-VLOOKUP($P374&amp;" | "&amp;BP$6,'Job Master'!$F$12:$I$102,4,0))&lt;&gt;7,BY374-VLOOKUP($P374&amp;" | "&amp;BP$6,'Job Master'!$F$12:$I$102,4,0),BY374-VLOOKUP($P374&amp;" | "&amp;BP$6,'Job Master'!$F$12:$I$102,4,0)-1),""),"")</f>
        <v/>
      </c>
      <c r="BS374" s="73"/>
      <c r="BT374" s="123" t="str">
        <f t="shared" si="663"/>
        <v/>
      </c>
      <c r="BU374" s="123" t="str">
        <f t="shared" si="664"/>
        <v/>
      </c>
      <c r="BV374" s="97" t="str">
        <f t="shared" ca="1" si="665"/>
        <v/>
      </c>
      <c r="BW374" s="98" t="str">
        <f>IF(BY374&lt;&gt;"",VLOOKUP($P374&amp;" | "&amp;BW$6,'Job Master'!$F$12:$J$102,5,0),"")</f>
        <v/>
      </c>
      <c r="BX374" s="19" t="str">
        <f>IF(BY374&lt;&gt;"",VLOOKUP($P374&amp;" | "&amp;BW$6,'Job Master'!$F$12:$J$102,3,0),"")</f>
        <v/>
      </c>
      <c r="BY374" s="19" t="str">
        <f>IFERROR(IF(AND(CF374&lt;&gt;"",VLOOKUP($P374&amp;" | "&amp;BW$6,'Job Master'!$F$12:$I$102,4,0)&lt;&gt;""),IF(WEEKDAY(CF374-VLOOKUP($P374&amp;" | "&amp;BW$6,'Job Master'!$F$12:$I$102,4,0))&lt;&gt;7,CF374-VLOOKUP($P374&amp;" | "&amp;BW$6,'Job Master'!$F$12:$I$102,4,0),CF374-VLOOKUP($P374&amp;" | "&amp;BW$6,'Job Master'!$F$12:$I$102,4,0)-1),""),"")</f>
        <v/>
      </c>
      <c r="BZ374" s="73"/>
      <c r="CA374" s="123" t="str">
        <f t="shared" si="666"/>
        <v/>
      </c>
      <c r="CB374" s="123" t="str">
        <f t="shared" si="667"/>
        <v/>
      </c>
      <c r="CC374" s="97" t="str">
        <f t="shared" ca="1" si="668"/>
        <v/>
      </c>
      <c r="CD374" s="98" t="str">
        <f>IF(CF374&lt;&gt;"",VLOOKUP($P374&amp;" | "&amp;CD$6,'Job Master'!$F$12:$J$102,5,0),"")</f>
        <v/>
      </c>
      <c r="CE374" s="19" t="str">
        <f>IF(CF374&lt;&gt;"",VLOOKUP($P374&amp;" | "&amp;CD$6,'Job Master'!$F$12:$J$102,3,0),"")</f>
        <v/>
      </c>
      <c r="CF374" s="19" t="str">
        <f>IFERROR(IF(AND(CM374&lt;&gt;"",VLOOKUP($P374&amp;" | "&amp;CD$6,'Job Master'!$F$12:$I$102,4,0)&lt;&gt;""),IF(WEEKDAY(CM374-VLOOKUP($P374&amp;" | "&amp;CD$6,'Job Master'!$F$12:$I$102,4,0))&lt;&gt;7,CM374-VLOOKUP($P374&amp;" | "&amp;CD$6,'Job Master'!$F$12:$I$102,4,0),CM374-VLOOKUP($P374&amp;" | "&amp;CD$6,'Job Master'!$F$12:$I$102,4,0)-1),""),"")</f>
        <v/>
      </c>
      <c r="CG374" s="73"/>
      <c r="CH374" s="123" t="str">
        <f t="shared" si="669"/>
        <v/>
      </c>
      <c r="CI374" s="123" t="str">
        <f t="shared" si="670"/>
        <v/>
      </c>
      <c r="CJ374" s="97" t="str">
        <f t="shared" ca="1" si="671"/>
        <v/>
      </c>
      <c r="CK374" s="98" t="str">
        <f>IF(CM374&lt;&gt;"",VLOOKUP($P374&amp;" | "&amp;CK$6,'Job Master'!$F$12:$J$102,5,0),"")</f>
        <v/>
      </c>
      <c r="CL374" s="19" t="str">
        <f>IF(CM374&lt;&gt;"",VLOOKUP($P374&amp;" | "&amp;CK$6,'Job Master'!$F$12:$J$102,3,0),"")</f>
        <v/>
      </c>
      <c r="CM374" s="19" t="str">
        <f>IFERROR(IF(AND(CT374&lt;&gt;"",VLOOKUP($P374&amp;" | "&amp;CK$6,'Job Master'!$F$12:$I$102,4,0)&lt;&gt;""),IF(WEEKDAY(CT374-VLOOKUP($P374&amp;" | "&amp;CK$6,'Job Master'!$F$12:$I$102,4,0))&lt;&gt;7,CT374-VLOOKUP($P374&amp;" | "&amp;CK$6,'Job Master'!$F$12:$I$102,4,0),CT374-VLOOKUP($P374&amp;" | "&amp;CK$6,'Job Master'!$F$12:$I$102,4,0)-1),""),"")</f>
        <v/>
      </c>
      <c r="CN374" s="73"/>
      <c r="CO374" s="123" t="str">
        <f t="shared" si="672"/>
        <v/>
      </c>
      <c r="CP374" s="123" t="str">
        <f t="shared" si="673"/>
        <v/>
      </c>
      <c r="CQ374" s="97" t="str">
        <f t="shared" ca="1" si="674"/>
        <v/>
      </c>
      <c r="CR374" s="98" t="str">
        <f>IF(CT374&lt;&gt;"",VLOOKUP($P374&amp;" | "&amp;CR$6,'Job Master'!$F$12:$J$102,5,0),"")</f>
        <v/>
      </c>
      <c r="CS374" s="19" t="str">
        <f>IF(CT374&lt;&gt;"",VLOOKUP($P374&amp;" | "&amp;CR$6,'Job Master'!$F$12:$J$102,3,0),"")</f>
        <v/>
      </c>
      <c r="CT374" s="19" t="str">
        <f>IFERROR(IF(AND(DA374&lt;&gt;"",VLOOKUP($P374&amp;" | "&amp;CR$6,'Job Master'!$F$12:$I$102,4,0)&lt;&gt;""),IF(WEEKDAY(DA374-VLOOKUP($P374&amp;" | "&amp;CR$6,'Job Master'!$F$12:$I$102,4,0))&lt;&gt;7,DA374-VLOOKUP($P374&amp;" | "&amp;CR$6,'Job Master'!$F$12:$I$102,4,0),DA374-VLOOKUP($P374&amp;" | "&amp;CR$6,'Job Master'!$F$12:$I$102,4,0)-1),""),"")</f>
        <v/>
      </c>
      <c r="CU374" s="73"/>
      <c r="CV374" s="123" t="str">
        <f t="shared" si="675"/>
        <v/>
      </c>
      <c r="CW374" s="123" t="str">
        <f t="shared" si="676"/>
        <v/>
      </c>
      <c r="CX374" s="97" t="str">
        <f t="shared" ca="1" si="677"/>
        <v/>
      </c>
      <c r="CY374" s="98" t="str">
        <f>IF(DA374&lt;&gt;"",VLOOKUP($P374&amp;" | "&amp;CY$6,'Job Master'!$F$12:$J$102,5,0),"")</f>
        <v/>
      </c>
      <c r="CZ374" s="19" t="str">
        <f>IF(DA374&lt;&gt;"",VLOOKUP($P374&amp;" | "&amp;CY$6,'Job Master'!$F$12:$J$102,3,0),"")</f>
        <v/>
      </c>
      <c r="DA374" s="19" t="str">
        <f>IFERROR(IF(AND(DH374&lt;&gt;"",VLOOKUP($P374&amp;" | "&amp;CY$6,'Job Master'!$F$12:$I$102,4,0)&lt;&gt;""),IF(WEEKDAY(DH374-VLOOKUP($P374&amp;" | "&amp;CY$6,'Job Master'!$F$12:$I$102,4,0))&lt;&gt;7,DH374-VLOOKUP($P374&amp;" | "&amp;CY$6,'Job Master'!$F$12:$I$102,4,0),DH374-VLOOKUP($P374&amp;" | "&amp;CY$6,'Job Master'!$F$12:$I$102,4,0)-1),""),"")</f>
        <v/>
      </c>
      <c r="DB374" s="73"/>
      <c r="DC374" s="123" t="str">
        <f t="shared" si="678"/>
        <v/>
      </c>
      <c r="DD374" s="123" t="str">
        <f t="shared" si="679"/>
        <v/>
      </c>
      <c r="DE374" s="97" t="str">
        <f t="shared" ca="1" si="680"/>
        <v/>
      </c>
      <c r="DF374" s="98" t="str">
        <f>IF(DH374&lt;&gt;"",VLOOKUP($P374&amp;" | "&amp;DF$6,'Job Master'!$F$12:$J$102,5,0),"")</f>
        <v/>
      </c>
      <c r="DG374" s="19" t="str">
        <f>IF(DH374&lt;&gt;"",VLOOKUP($P374&amp;" | "&amp;DF$6,'Job Master'!$F$12:$J$102,3,0),"")</f>
        <v/>
      </c>
      <c r="DH374" s="19" t="str">
        <f>IFERROR(IF(AND(DO374&lt;&gt;"",VLOOKUP($P374&amp;" | "&amp;DF$6,'Job Master'!$F$12:$I$102,4,0)&lt;&gt;""),IF(WEEKDAY(DO374-VLOOKUP($P374&amp;" | "&amp;DF$6,'Job Master'!$F$12:$I$102,4,0))&lt;&gt;7,DO374-VLOOKUP($P374&amp;" | "&amp;DF$6,'Job Master'!$F$12:$I$102,4,0),DO374-VLOOKUP($P374&amp;" | "&amp;DF$6,'Job Master'!$F$12:$I$102,4,0)-1),""),"")</f>
        <v/>
      </c>
      <c r="DI374" s="73"/>
      <c r="DJ374" s="123" t="str">
        <f t="shared" si="681"/>
        <v/>
      </c>
      <c r="DK374" s="123" t="str">
        <f t="shared" si="682"/>
        <v/>
      </c>
      <c r="DL374" s="97" t="str">
        <f t="shared" ca="1" si="683"/>
        <v/>
      </c>
      <c r="DM374" s="98" t="str">
        <f>IF(DO374&lt;&gt;"",VLOOKUP($P374&amp;" | "&amp;DM$6,'Job Master'!$F$12:$J$102,5,0),"")</f>
        <v/>
      </c>
      <c r="DN374" s="19" t="str">
        <f>IF(DO374&lt;&gt;"",VLOOKUP($P374&amp;" | "&amp;DM$6,'Job Master'!$F$12:$J$102,3,0),"")</f>
        <v/>
      </c>
      <c r="DO374" s="19" t="str">
        <f>IFERROR(IF(AND(DT374&lt;&gt;"",VLOOKUP($P374&amp;" | "&amp;DM$6,'Job Master'!$F$12:$I$102,4,0)&lt;&gt;""),IF(WEEKDAY(DT374-VLOOKUP($P374&amp;" | "&amp;DM$6,'Job Master'!$F$12:$I$102,4,0))&lt;&gt;7,DT374-VLOOKUP($P374&amp;" | "&amp;DM$6,'Job Master'!$F$12:$I$102,4,0),DT374-VLOOKUP($P374&amp;" | "&amp;DM$6,'Job Master'!$F$12:$I$102,4,0)-1),""),"")</f>
        <v/>
      </c>
      <c r="DP374" s="73"/>
      <c r="DQ374" s="123" t="str">
        <f t="shared" si="684"/>
        <v/>
      </c>
      <c r="DR374" s="123" t="str">
        <f t="shared" si="685"/>
        <v/>
      </c>
      <c r="DS374" s="97" t="str">
        <f t="shared" ca="1" si="686"/>
        <v/>
      </c>
      <c r="DT374" s="70" t="str">
        <f t="shared" si="687"/>
        <v/>
      </c>
      <c r="DU374" s="90"/>
      <c r="DV374" s="123" t="str">
        <f t="shared" si="688"/>
        <v/>
      </c>
      <c r="DW374" s="123" t="str">
        <f t="shared" si="689"/>
        <v/>
      </c>
      <c r="DX374" s="132" t="str">
        <f t="shared" ref="DX374" ca="1" si="745">IF(DT374&lt;&gt;"",IF(WEEKNUM(DT374)=WEEKNUM(TODAY()),"This Week",IF(WEEKNUM(DT374)=WEEKNUM(TODAY())+1,"Next Week",IF(WEEKNUM(DT374)=WEEKNUM(TODAY())-1,"Previous Week",""))),"")</f>
        <v/>
      </c>
      <c r="DY374" s="134" t="str">
        <f t="shared" si="691"/>
        <v/>
      </c>
      <c r="DZ374" s="95"/>
      <c r="EB374" s="8" t="str">
        <f t="shared" si="697"/>
        <v/>
      </c>
      <c r="EC374" s="8" t="str">
        <f>IF(O374&lt;&gt;"",VLOOKUP(O374,'Job Master'!$N$12:$O$18,2,0),"")</f>
        <v/>
      </c>
      <c r="ED374" s="8">
        <f t="shared" si="698"/>
        <v>19.5</v>
      </c>
      <c r="EE374" s="8">
        <f t="shared" si="699"/>
        <v>6</v>
      </c>
      <c r="EF374" s="8">
        <f t="shared" si="700"/>
        <v>-2164.5</v>
      </c>
      <c r="EG374" s="8" t="str">
        <f t="shared" si="701"/>
        <v/>
      </c>
      <c r="EH374" s="8" t="str">
        <f t="shared" si="702"/>
        <v/>
      </c>
    </row>
    <row r="375" spans="2:138" x14ac:dyDescent="0.3">
      <c r="B375" s="112"/>
      <c r="C375" s="27"/>
      <c r="D375" s="7" t="str">
        <f t="shared" si="639"/>
        <v/>
      </c>
      <c r="E375" s="25"/>
      <c r="F375" s="7" t="str">
        <f t="shared" si="639"/>
        <v/>
      </c>
      <c r="G375" s="25"/>
      <c r="H375" s="7" t="str">
        <f t="shared" si="639"/>
        <v/>
      </c>
      <c r="I375" s="25"/>
      <c r="J375" s="7" t="str">
        <f t="shared" si="639"/>
        <v/>
      </c>
      <c r="K375" s="25"/>
      <c r="L375" s="7" t="str">
        <f t="shared" si="640"/>
        <v/>
      </c>
      <c r="M375" s="25"/>
      <c r="N375" s="7" t="str">
        <f t="shared" si="641"/>
        <v/>
      </c>
      <c r="O375" s="81"/>
      <c r="P375" s="81" t="str">
        <f t="shared" si="642"/>
        <v/>
      </c>
      <c r="Q375" s="81"/>
      <c r="R375" s="7" t="str">
        <f t="shared" si="643"/>
        <v/>
      </c>
      <c r="S375" s="25"/>
      <c r="T375" s="7" t="str">
        <f t="shared" si="644"/>
        <v/>
      </c>
      <c r="U375" s="25"/>
      <c r="V375" s="7" t="str">
        <f t="shared" si="645"/>
        <v/>
      </c>
      <c r="W375" s="25"/>
      <c r="X375" s="7" t="str">
        <f t="shared" si="646"/>
        <v/>
      </c>
      <c r="Y375" s="18" t="str">
        <f t="shared" si="647"/>
        <v/>
      </c>
      <c r="Z375" s="7" t="str">
        <f t="shared" si="648"/>
        <v/>
      </c>
      <c r="AA375" s="18" t="str">
        <f t="shared" si="649"/>
        <v/>
      </c>
      <c r="AB375" s="19" t="str">
        <f t="shared" si="650"/>
        <v/>
      </c>
      <c r="AC375" s="26"/>
      <c r="AD375" s="26"/>
      <c r="AE375" s="25"/>
      <c r="AF375" s="26"/>
      <c r="AG375" s="25"/>
      <c r="AH375" s="25"/>
      <c r="AI375" s="18" t="str">
        <f t="shared" si="713"/>
        <v/>
      </c>
      <c r="AJ375" s="25"/>
      <c r="AK375" s="18" t="str">
        <f t="shared" si="714"/>
        <v/>
      </c>
      <c r="AL375" s="79"/>
      <c r="AM375" s="126" t="str">
        <f t="shared" si="715"/>
        <v/>
      </c>
      <c r="AN375" s="128" t="str">
        <f>IF(AP375&lt;&gt;"",VLOOKUP($P375&amp;" | "&amp;AN$6,'Job Master'!$F$12:$J$102,5,0),"")</f>
        <v/>
      </c>
      <c r="AO375" s="19" t="str">
        <f>IF(AP375&lt;&gt;"",VLOOKUP($P375&amp;" | "&amp;AN$6,'Job Master'!$F$12:$J$102,3,0),"")</f>
        <v/>
      </c>
      <c r="AP375" s="19" t="str">
        <f>IFERROR(IF(AND(AW375&lt;&gt;"",VLOOKUP($P375&amp;" | "&amp;AN$6,'Job Master'!$F$12:$I$102,4,0)&lt;&gt;""),IF(WEEKDAY(AW375-VLOOKUP($P375&amp;" | "&amp;AN$6,'Job Master'!$F$12:$I$102,4,0))&lt;&gt;7,AW375-VLOOKUP($P375&amp;" | "&amp;AN$6,'Job Master'!$F$12:$I$102,4,0),AW375-VLOOKUP($P375&amp;" | "&amp;AN$6,'Job Master'!$F$12:$I$102,4,0)-1),""),"")</f>
        <v/>
      </c>
      <c r="AQ375" s="73"/>
      <c r="AR375" s="123" t="str">
        <f t="shared" si="651"/>
        <v/>
      </c>
      <c r="AS375" s="123" t="str">
        <f t="shared" si="652"/>
        <v/>
      </c>
      <c r="AT375" s="97" t="str">
        <f t="shared" ca="1" si="653"/>
        <v/>
      </c>
      <c r="AU375" s="98" t="str">
        <f>IF(AW375&lt;&gt;"",VLOOKUP($P375&amp;" | "&amp;AU$6,'Job Master'!$F$12:$J$102,5,0),"")</f>
        <v/>
      </c>
      <c r="AV375" s="19" t="str">
        <f>IF(AW375&lt;&gt;"",VLOOKUP($P375&amp;" | "&amp;AU$6,'Job Master'!$F$12:$J$102,3,0),"")</f>
        <v/>
      </c>
      <c r="AW375" s="19" t="str">
        <f>IFERROR(IF(AND(BD375&lt;&gt;"",VLOOKUP($P375&amp;" | "&amp;AU$6,'Job Master'!$F$12:$I$102,4,0)&lt;&gt;""),IF(WEEKDAY(BD375-VLOOKUP($P375&amp;" | "&amp;AU$6,'Job Master'!$F$12:$I$102,4,0))&lt;&gt;7,BD375-VLOOKUP($P375&amp;" | "&amp;AU$6,'Job Master'!$F$12:$I$102,4,0),BD375-VLOOKUP($P375&amp;" | "&amp;AU$6,'Job Master'!$F$12:$I$102,4,0)-1),""),"")</f>
        <v/>
      </c>
      <c r="AX375" s="73"/>
      <c r="AY375" s="123" t="str">
        <f t="shared" si="654"/>
        <v/>
      </c>
      <c r="AZ375" s="123" t="str">
        <f t="shared" si="655"/>
        <v/>
      </c>
      <c r="BA375" s="97" t="str">
        <f t="shared" ca="1" si="656"/>
        <v/>
      </c>
      <c r="BB375" s="98" t="str">
        <f>IF(BD375&lt;&gt;"",VLOOKUP($P375&amp;" | "&amp;BB$6,'Job Master'!$F$12:$J$102,5,0),"")</f>
        <v/>
      </c>
      <c r="BC375" s="19" t="str">
        <f>IF(BD375&lt;&gt;"",VLOOKUP($P375&amp;" | "&amp;BB$6,'Job Master'!$F$12:$J$102,3,0),"")</f>
        <v/>
      </c>
      <c r="BD375" s="19" t="str">
        <f>IFERROR(IF(AND(BK375&lt;&gt;"",VLOOKUP($P375&amp;" | "&amp;BB$6,'Job Master'!$F$12:$I$102,4,0)&lt;&gt;""),IF(WEEKDAY(BK375-VLOOKUP($P375&amp;" | "&amp;BB$6,'Job Master'!$F$12:$I$102,4,0))&lt;&gt;7,BK375-VLOOKUP($P375&amp;" | "&amp;BB$6,'Job Master'!$F$12:$I$102,4,0),BK375-VLOOKUP($P375&amp;" | "&amp;BB$6,'Job Master'!$F$12:$I$102,4,0)-1),""),"")</f>
        <v/>
      </c>
      <c r="BE375" s="73"/>
      <c r="BF375" s="123" t="str">
        <f t="shared" si="657"/>
        <v/>
      </c>
      <c r="BG375" s="123" t="str">
        <f t="shared" si="658"/>
        <v/>
      </c>
      <c r="BH375" s="97" t="str">
        <f t="shared" ca="1" si="659"/>
        <v/>
      </c>
      <c r="BI375" s="98" t="str">
        <f>IF(BK375&lt;&gt;"",VLOOKUP($P375&amp;" | "&amp;BI$6,'Job Master'!$F$12:$J$102,5,0),"")</f>
        <v/>
      </c>
      <c r="BJ375" s="19" t="str">
        <f>IF(BK375&lt;&gt;"",VLOOKUP($P375&amp;" | "&amp;BI$6,'Job Master'!$F$12:$J$102,3,0),"")</f>
        <v/>
      </c>
      <c r="BK375" s="19" t="str">
        <f>IFERROR(IF(AND(BR375&lt;&gt;"",VLOOKUP($P375&amp;" | "&amp;BI$6,'Job Master'!$F$12:$I$102,4,0)&lt;&gt;""),IF(WEEKDAY(BR375-VLOOKUP($P375&amp;" | "&amp;BI$6,'Job Master'!$F$12:$I$102,4,0))&lt;&gt;7,BR375-VLOOKUP($P375&amp;" | "&amp;BI$6,'Job Master'!$F$12:$I$102,4,0),BR375-VLOOKUP($P375&amp;" | "&amp;BI$6,'Job Master'!$F$12:$I$102,4,0)-1),""),"")</f>
        <v/>
      </c>
      <c r="BL375" s="73"/>
      <c r="BM375" s="123" t="str">
        <f t="shared" si="660"/>
        <v/>
      </c>
      <c r="BN375" s="123" t="str">
        <f t="shared" si="661"/>
        <v/>
      </c>
      <c r="BO375" s="97" t="str">
        <f t="shared" ca="1" si="662"/>
        <v/>
      </c>
      <c r="BP375" s="98" t="str">
        <f>IF(BR375&lt;&gt;"",VLOOKUP($P375&amp;" | "&amp;BP$6,'Job Master'!$F$12:$J$102,5,0),"")</f>
        <v/>
      </c>
      <c r="BQ375" s="19" t="str">
        <f>IF(BR375&lt;&gt;"",VLOOKUP($P375&amp;" | "&amp;BP$6,'Job Master'!$F$12:$J$102,3,0),"")</f>
        <v/>
      </c>
      <c r="BR375" s="19" t="str">
        <f>IFERROR(IF(AND(BY375&lt;&gt;"",VLOOKUP($P375&amp;" | "&amp;BP$6,'Job Master'!$F$12:$I$102,4,0)&lt;&gt;""),IF(WEEKDAY(BY375-VLOOKUP($P375&amp;" | "&amp;BP$6,'Job Master'!$F$12:$I$102,4,0))&lt;&gt;7,BY375-VLOOKUP($P375&amp;" | "&amp;BP$6,'Job Master'!$F$12:$I$102,4,0),BY375-VLOOKUP($P375&amp;" | "&amp;BP$6,'Job Master'!$F$12:$I$102,4,0)-1),""),"")</f>
        <v/>
      </c>
      <c r="BS375" s="73"/>
      <c r="BT375" s="123" t="str">
        <f t="shared" si="663"/>
        <v/>
      </c>
      <c r="BU375" s="123" t="str">
        <f t="shared" si="664"/>
        <v/>
      </c>
      <c r="BV375" s="97" t="str">
        <f t="shared" ca="1" si="665"/>
        <v/>
      </c>
      <c r="BW375" s="98" t="str">
        <f>IF(BY375&lt;&gt;"",VLOOKUP($P375&amp;" | "&amp;BW$6,'Job Master'!$F$12:$J$102,5,0),"")</f>
        <v/>
      </c>
      <c r="BX375" s="19" t="str">
        <f>IF(BY375&lt;&gt;"",VLOOKUP($P375&amp;" | "&amp;BW$6,'Job Master'!$F$12:$J$102,3,0),"")</f>
        <v/>
      </c>
      <c r="BY375" s="19" t="str">
        <f>IFERROR(IF(AND(CF375&lt;&gt;"",VLOOKUP($P375&amp;" | "&amp;BW$6,'Job Master'!$F$12:$I$102,4,0)&lt;&gt;""),IF(WEEKDAY(CF375-VLOOKUP($P375&amp;" | "&amp;BW$6,'Job Master'!$F$12:$I$102,4,0))&lt;&gt;7,CF375-VLOOKUP($P375&amp;" | "&amp;BW$6,'Job Master'!$F$12:$I$102,4,0),CF375-VLOOKUP($P375&amp;" | "&amp;BW$6,'Job Master'!$F$12:$I$102,4,0)-1),""),"")</f>
        <v/>
      </c>
      <c r="BZ375" s="73"/>
      <c r="CA375" s="123" t="str">
        <f t="shared" si="666"/>
        <v/>
      </c>
      <c r="CB375" s="123" t="str">
        <f t="shared" si="667"/>
        <v/>
      </c>
      <c r="CC375" s="97" t="str">
        <f t="shared" ca="1" si="668"/>
        <v/>
      </c>
      <c r="CD375" s="98" t="str">
        <f>IF(CF375&lt;&gt;"",VLOOKUP($P375&amp;" | "&amp;CD$6,'Job Master'!$F$12:$J$102,5,0),"")</f>
        <v/>
      </c>
      <c r="CE375" s="19" t="str">
        <f>IF(CF375&lt;&gt;"",VLOOKUP($P375&amp;" | "&amp;CD$6,'Job Master'!$F$12:$J$102,3,0),"")</f>
        <v/>
      </c>
      <c r="CF375" s="19" t="str">
        <f>IFERROR(IF(AND(CM375&lt;&gt;"",VLOOKUP($P375&amp;" | "&amp;CD$6,'Job Master'!$F$12:$I$102,4,0)&lt;&gt;""),IF(WEEKDAY(CM375-VLOOKUP($P375&amp;" | "&amp;CD$6,'Job Master'!$F$12:$I$102,4,0))&lt;&gt;7,CM375-VLOOKUP($P375&amp;" | "&amp;CD$6,'Job Master'!$F$12:$I$102,4,0),CM375-VLOOKUP($P375&amp;" | "&amp;CD$6,'Job Master'!$F$12:$I$102,4,0)-1),""),"")</f>
        <v/>
      </c>
      <c r="CG375" s="73"/>
      <c r="CH375" s="123" t="str">
        <f t="shared" si="669"/>
        <v/>
      </c>
      <c r="CI375" s="123" t="str">
        <f t="shared" si="670"/>
        <v/>
      </c>
      <c r="CJ375" s="97" t="str">
        <f t="shared" ca="1" si="671"/>
        <v/>
      </c>
      <c r="CK375" s="98" t="str">
        <f>IF(CM375&lt;&gt;"",VLOOKUP($P375&amp;" | "&amp;CK$6,'Job Master'!$F$12:$J$102,5,0),"")</f>
        <v/>
      </c>
      <c r="CL375" s="19" t="str">
        <f>IF(CM375&lt;&gt;"",VLOOKUP($P375&amp;" | "&amp;CK$6,'Job Master'!$F$12:$J$102,3,0),"")</f>
        <v/>
      </c>
      <c r="CM375" s="19" t="str">
        <f>IFERROR(IF(AND(CT375&lt;&gt;"",VLOOKUP($P375&amp;" | "&amp;CK$6,'Job Master'!$F$12:$I$102,4,0)&lt;&gt;""),IF(WEEKDAY(CT375-VLOOKUP($P375&amp;" | "&amp;CK$6,'Job Master'!$F$12:$I$102,4,0))&lt;&gt;7,CT375-VLOOKUP($P375&amp;" | "&amp;CK$6,'Job Master'!$F$12:$I$102,4,0),CT375-VLOOKUP($P375&amp;" | "&amp;CK$6,'Job Master'!$F$12:$I$102,4,0)-1),""),"")</f>
        <v/>
      </c>
      <c r="CN375" s="73"/>
      <c r="CO375" s="123" t="str">
        <f t="shared" si="672"/>
        <v/>
      </c>
      <c r="CP375" s="123" t="str">
        <f t="shared" si="673"/>
        <v/>
      </c>
      <c r="CQ375" s="97" t="str">
        <f t="shared" ca="1" si="674"/>
        <v/>
      </c>
      <c r="CR375" s="98" t="str">
        <f>IF(CT375&lt;&gt;"",VLOOKUP($P375&amp;" | "&amp;CR$6,'Job Master'!$F$12:$J$102,5,0),"")</f>
        <v/>
      </c>
      <c r="CS375" s="19" t="str">
        <f>IF(CT375&lt;&gt;"",VLOOKUP($P375&amp;" | "&amp;CR$6,'Job Master'!$F$12:$J$102,3,0),"")</f>
        <v/>
      </c>
      <c r="CT375" s="19" t="str">
        <f>IFERROR(IF(AND(DA375&lt;&gt;"",VLOOKUP($P375&amp;" | "&amp;CR$6,'Job Master'!$F$12:$I$102,4,0)&lt;&gt;""),IF(WEEKDAY(DA375-VLOOKUP($P375&amp;" | "&amp;CR$6,'Job Master'!$F$12:$I$102,4,0))&lt;&gt;7,DA375-VLOOKUP($P375&amp;" | "&amp;CR$6,'Job Master'!$F$12:$I$102,4,0),DA375-VLOOKUP($P375&amp;" | "&amp;CR$6,'Job Master'!$F$12:$I$102,4,0)-1),""),"")</f>
        <v/>
      </c>
      <c r="CU375" s="73"/>
      <c r="CV375" s="123" t="str">
        <f t="shared" si="675"/>
        <v/>
      </c>
      <c r="CW375" s="123" t="str">
        <f t="shared" si="676"/>
        <v/>
      </c>
      <c r="CX375" s="97" t="str">
        <f t="shared" ca="1" si="677"/>
        <v/>
      </c>
      <c r="CY375" s="98" t="str">
        <f>IF(DA375&lt;&gt;"",VLOOKUP($P375&amp;" | "&amp;CY$6,'Job Master'!$F$12:$J$102,5,0),"")</f>
        <v/>
      </c>
      <c r="CZ375" s="19" t="str">
        <f>IF(DA375&lt;&gt;"",VLOOKUP($P375&amp;" | "&amp;CY$6,'Job Master'!$F$12:$J$102,3,0),"")</f>
        <v/>
      </c>
      <c r="DA375" s="19" t="str">
        <f>IFERROR(IF(AND(DH375&lt;&gt;"",VLOOKUP($P375&amp;" | "&amp;CY$6,'Job Master'!$F$12:$I$102,4,0)&lt;&gt;""),IF(WEEKDAY(DH375-VLOOKUP($P375&amp;" | "&amp;CY$6,'Job Master'!$F$12:$I$102,4,0))&lt;&gt;7,DH375-VLOOKUP($P375&amp;" | "&amp;CY$6,'Job Master'!$F$12:$I$102,4,0),DH375-VLOOKUP($P375&amp;" | "&amp;CY$6,'Job Master'!$F$12:$I$102,4,0)-1),""),"")</f>
        <v/>
      </c>
      <c r="DB375" s="73"/>
      <c r="DC375" s="123" t="str">
        <f t="shared" si="678"/>
        <v/>
      </c>
      <c r="DD375" s="123" t="str">
        <f t="shared" si="679"/>
        <v/>
      </c>
      <c r="DE375" s="97" t="str">
        <f t="shared" ca="1" si="680"/>
        <v/>
      </c>
      <c r="DF375" s="98" t="str">
        <f>IF(DH375&lt;&gt;"",VLOOKUP($P375&amp;" | "&amp;DF$6,'Job Master'!$F$12:$J$102,5,0),"")</f>
        <v/>
      </c>
      <c r="DG375" s="19" t="str">
        <f>IF(DH375&lt;&gt;"",VLOOKUP($P375&amp;" | "&amp;DF$6,'Job Master'!$F$12:$J$102,3,0),"")</f>
        <v/>
      </c>
      <c r="DH375" s="19" t="str">
        <f>IFERROR(IF(AND(DO375&lt;&gt;"",VLOOKUP($P375&amp;" | "&amp;DF$6,'Job Master'!$F$12:$I$102,4,0)&lt;&gt;""),IF(WEEKDAY(DO375-VLOOKUP($P375&amp;" | "&amp;DF$6,'Job Master'!$F$12:$I$102,4,0))&lt;&gt;7,DO375-VLOOKUP($P375&amp;" | "&amp;DF$6,'Job Master'!$F$12:$I$102,4,0),DO375-VLOOKUP($P375&amp;" | "&amp;DF$6,'Job Master'!$F$12:$I$102,4,0)-1),""),"")</f>
        <v/>
      </c>
      <c r="DI375" s="73"/>
      <c r="DJ375" s="123" t="str">
        <f t="shared" si="681"/>
        <v/>
      </c>
      <c r="DK375" s="123" t="str">
        <f t="shared" si="682"/>
        <v/>
      </c>
      <c r="DL375" s="97" t="str">
        <f t="shared" ca="1" si="683"/>
        <v/>
      </c>
      <c r="DM375" s="98" t="str">
        <f>IF(DO375&lt;&gt;"",VLOOKUP($P375&amp;" | "&amp;DM$6,'Job Master'!$F$12:$J$102,5,0),"")</f>
        <v/>
      </c>
      <c r="DN375" s="19" t="str">
        <f>IF(DO375&lt;&gt;"",VLOOKUP($P375&amp;" | "&amp;DM$6,'Job Master'!$F$12:$J$102,3,0),"")</f>
        <v/>
      </c>
      <c r="DO375" s="19" t="str">
        <f>IFERROR(IF(AND(DT375&lt;&gt;"",VLOOKUP($P375&amp;" | "&amp;DM$6,'Job Master'!$F$12:$I$102,4,0)&lt;&gt;""),IF(WEEKDAY(DT375-VLOOKUP($P375&amp;" | "&amp;DM$6,'Job Master'!$F$12:$I$102,4,0))&lt;&gt;7,DT375-VLOOKUP($P375&amp;" | "&amp;DM$6,'Job Master'!$F$12:$I$102,4,0),DT375-VLOOKUP($P375&amp;" | "&amp;DM$6,'Job Master'!$F$12:$I$102,4,0)-1),""),"")</f>
        <v/>
      </c>
      <c r="DP375" s="73"/>
      <c r="DQ375" s="123" t="str">
        <f t="shared" si="684"/>
        <v/>
      </c>
      <c r="DR375" s="123" t="str">
        <f t="shared" si="685"/>
        <v/>
      </c>
      <c r="DS375" s="97" t="str">
        <f t="shared" ca="1" si="686"/>
        <v/>
      </c>
      <c r="DT375" s="70" t="str">
        <f t="shared" si="687"/>
        <v/>
      </c>
      <c r="DU375" s="90"/>
      <c r="DV375" s="123" t="str">
        <f t="shared" si="688"/>
        <v/>
      </c>
      <c r="DW375" s="123" t="str">
        <f t="shared" si="689"/>
        <v/>
      </c>
      <c r="DX375" s="132" t="str">
        <f t="shared" ref="DX375" ca="1" si="746">IF(DT375&lt;&gt;"",IF(WEEKNUM(DT375)=WEEKNUM(TODAY()),"This Week",IF(WEEKNUM(DT375)=WEEKNUM(TODAY())+1,"Next Week",IF(WEEKNUM(DT375)=WEEKNUM(TODAY())-1,"Previous Week",""))),"")</f>
        <v/>
      </c>
      <c r="DY375" s="134" t="str">
        <f t="shared" si="691"/>
        <v/>
      </c>
      <c r="DZ375" s="95"/>
      <c r="EB375" s="8" t="str">
        <f t="shared" si="697"/>
        <v/>
      </c>
      <c r="EC375" s="8" t="str">
        <f>IF(O375&lt;&gt;"",VLOOKUP(O375,'Job Master'!$N$12:$O$18,2,0),"")</f>
        <v/>
      </c>
      <c r="ED375" s="8">
        <f t="shared" si="698"/>
        <v>19.5</v>
      </c>
      <c r="EE375" s="8">
        <f t="shared" si="699"/>
        <v>6</v>
      </c>
      <c r="EF375" s="8">
        <f t="shared" si="700"/>
        <v>-2170.5</v>
      </c>
      <c r="EG375" s="8" t="str">
        <f t="shared" si="701"/>
        <v/>
      </c>
      <c r="EH375" s="8" t="str">
        <f t="shared" si="702"/>
        <v/>
      </c>
    </row>
    <row r="376" spans="2:138" x14ac:dyDescent="0.3">
      <c r="B376" s="112"/>
      <c r="C376" s="27"/>
      <c r="D376" s="7" t="str">
        <f t="shared" si="639"/>
        <v/>
      </c>
      <c r="E376" s="25"/>
      <c r="F376" s="7" t="str">
        <f t="shared" si="639"/>
        <v/>
      </c>
      <c r="G376" s="25"/>
      <c r="H376" s="7" t="str">
        <f t="shared" si="639"/>
        <v/>
      </c>
      <c r="I376" s="25"/>
      <c r="J376" s="7" t="str">
        <f t="shared" si="639"/>
        <v/>
      </c>
      <c r="K376" s="25"/>
      <c r="L376" s="7" t="str">
        <f t="shared" si="640"/>
        <v/>
      </c>
      <c r="M376" s="25"/>
      <c r="N376" s="7" t="str">
        <f t="shared" si="641"/>
        <v/>
      </c>
      <c r="O376" s="81"/>
      <c r="P376" s="81" t="str">
        <f t="shared" si="642"/>
        <v/>
      </c>
      <c r="Q376" s="81"/>
      <c r="R376" s="7" t="str">
        <f t="shared" si="643"/>
        <v/>
      </c>
      <c r="S376" s="25"/>
      <c r="T376" s="7" t="str">
        <f t="shared" si="644"/>
        <v/>
      </c>
      <c r="U376" s="25"/>
      <c r="V376" s="7" t="str">
        <f t="shared" si="645"/>
        <v/>
      </c>
      <c r="W376" s="25"/>
      <c r="X376" s="7" t="str">
        <f t="shared" si="646"/>
        <v/>
      </c>
      <c r="Y376" s="18" t="str">
        <f t="shared" si="647"/>
        <v/>
      </c>
      <c r="Z376" s="7" t="str">
        <f t="shared" si="648"/>
        <v/>
      </c>
      <c r="AA376" s="18" t="str">
        <f t="shared" si="649"/>
        <v/>
      </c>
      <c r="AB376" s="19" t="str">
        <f t="shared" si="650"/>
        <v/>
      </c>
      <c r="AC376" s="26"/>
      <c r="AD376" s="26"/>
      <c r="AE376" s="25"/>
      <c r="AF376" s="26"/>
      <c r="AG376" s="25"/>
      <c r="AH376" s="25"/>
      <c r="AI376" s="18" t="str">
        <f t="shared" si="713"/>
        <v/>
      </c>
      <c r="AJ376" s="25"/>
      <c r="AK376" s="18" t="str">
        <f t="shared" si="714"/>
        <v/>
      </c>
      <c r="AL376" s="79"/>
      <c r="AM376" s="126" t="str">
        <f t="shared" si="715"/>
        <v/>
      </c>
      <c r="AN376" s="128" t="str">
        <f>IF(AP376&lt;&gt;"",VLOOKUP($P376&amp;" | "&amp;AN$6,'Job Master'!$F$12:$J$102,5,0),"")</f>
        <v/>
      </c>
      <c r="AO376" s="19" t="str">
        <f>IF(AP376&lt;&gt;"",VLOOKUP($P376&amp;" | "&amp;AN$6,'Job Master'!$F$12:$J$102,3,0),"")</f>
        <v/>
      </c>
      <c r="AP376" s="19" t="str">
        <f>IFERROR(IF(AND(AW376&lt;&gt;"",VLOOKUP($P376&amp;" | "&amp;AN$6,'Job Master'!$F$12:$I$102,4,0)&lt;&gt;""),IF(WEEKDAY(AW376-VLOOKUP($P376&amp;" | "&amp;AN$6,'Job Master'!$F$12:$I$102,4,0))&lt;&gt;7,AW376-VLOOKUP($P376&amp;" | "&amp;AN$6,'Job Master'!$F$12:$I$102,4,0),AW376-VLOOKUP($P376&amp;" | "&amp;AN$6,'Job Master'!$F$12:$I$102,4,0)-1),""),"")</f>
        <v/>
      </c>
      <c r="AQ376" s="73"/>
      <c r="AR376" s="123" t="str">
        <f t="shared" si="651"/>
        <v/>
      </c>
      <c r="AS376" s="123" t="str">
        <f t="shared" si="652"/>
        <v/>
      </c>
      <c r="AT376" s="97" t="str">
        <f t="shared" ca="1" si="653"/>
        <v/>
      </c>
      <c r="AU376" s="98" t="str">
        <f>IF(AW376&lt;&gt;"",VLOOKUP($P376&amp;" | "&amp;AU$6,'Job Master'!$F$12:$J$102,5,0),"")</f>
        <v/>
      </c>
      <c r="AV376" s="19" t="str">
        <f>IF(AW376&lt;&gt;"",VLOOKUP($P376&amp;" | "&amp;AU$6,'Job Master'!$F$12:$J$102,3,0),"")</f>
        <v/>
      </c>
      <c r="AW376" s="19" t="str">
        <f>IFERROR(IF(AND(BD376&lt;&gt;"",VLOOKUP($P376&amp;" | "&amp;AU$6,'Job Master'!$F$12:$I$102,4,0)&lt;&gt;""),IF(WEEKDAY(BD376-VLOOKUP($P376&amp;" | "&amp;AU$6,'Job Master'!$F$12:$I$102,4,0))&lt;&gt;7,BD376-VLOOKUP($P376&amp;" | "&amp;AU$6,'Job Master'!$F$12:$I$102,4,0),BD376-VLOOKUP($P376&amp;" | "&amp;AU$6,'Job Master'!$F$12:$I$102,4,0)-1),""),"")</f>
        <v/>
      </c>
      <c r="AX376" s="73"/>
      <c r="AY376" s="123" t="str">
        <f t="shared" si="654"/>
        <v/>
      </c>
      <c r="AZ376" s="123" t="str">
        <f t="shared" si="655"/>
        <v/>
      </c>
      <c r="BA376" s="97" t="str">
        <f t="shared" ca="1" si="656"/>
        <v/>
      </c>
      <c r="BB376" s="98" t="str">
        <f>IF(BD376&lt;&gt;"",VLOOKUP($P376&amp;" | "&amp;BB$6,'Job Master'!$F$12:$J$102,5,0),"")</f>
        <v/>
      </c>
      <c r="BC376" s="19" t="str">
        <f>IF(BD376&lt;&gt;"",VLOOKUP($P376&amp;" | "&amp;BB$6,'Job Master'!$F$12:$J$102,3,0),"")</f>
        <v/>
      </c>
      <c r="BD376" s="19" t="str">
        <f>IFERROR(IF(AND(BK376&lt;&gt;"",VLOOKUP($P376&amp;" | "&amp;BB$6,'Job Master'!$F$12:$I$102,4,0)&lt;&gt;""),IF(WEEKDAY(BK376-VLOOKUP($P376&amp;" | "&amp;BB$6,'Job Master'!$F$12:$I$102,4,0))&lt;&gt;7,BK376-VLOOKUP($P376&amp;" | "&amp;BB$6,'Job Master'!$F$12:$I$102,4,0),BK376-VLOOKUP($P376&amp;" | "&amp;BB$6,'Job Master'!$F$12:$I$102,4,0)-1),""),"")</f>
        <v/>
      </c>
      <c r="BE376" s="73"/>
      <c r="BF376" s="123" t="str">
        <f t="shared" si="657"/>
        <v/>
      </c>
      <c r="BG376" s="123" t="str">
        <f t="shared" si="658"/>
        <v/>
      </c>
      <c r="BH376" s="97" t="str">
        <f t="shared" ca="1" si="659"/>
        <v/>
      </c>
      <c r="BI376" s="98" t="str">
        <f>IF(BK376&lt;&gt;"",VLOOKUP($P376&amp;" | "&amp;BI$6,'Job Master'!$F$12:$J$102,5,0),"")</f>
        <v/>
      </c>
      <c r="BJ376" s="19" t="str">
        <f>IF(BK376&lt;&gt;"",VLOOKUP($P376&amp;" | "&amp;BI$6,'Job Master'!$F$12:$J$102,3,0),"")</f>
        <v/>
      </c>
      <c r="BK376" s="19" t="str">
        <f>IFERROR(IF(AND(BR376&lt;&gt;"",VLOOKUP($P376&amp;" | "&amp;BI$6,'Job Master'!$F$12:$I$102,4,0)&lt;&gt;""),IF(WEEKDAY(BR376-VLOOKUP($P376&amp;" | "&amp;BI$6,'Job Master'!$F$12:$I$102,4,0))&lt;&gt;7,BR376-VLOOKUP($P376&amp;" | "&amp;BI$6,'Job Master'!$F$12:$I$102,4,0),BR376-VLOOKUP($P376&amp;" | "&amp;BI$6,'Job Master'!$F$12:$I$102,4,0)-1),""),"")</f>
        <v/>
      </c>
      <c r="BL376" s="73"/>
      <c r="BM376" s="123" t="str">
        <f t="shared" si="660"/>
        <v/>
      </c>
      <c r="BN376" s="123" t="str">
        <f t="shared" si="661"/>
        <v/>
      </c>
      <c r="BO376" s="97" t="str">
        <f t="shared" ca="1" si="662"/>
        <v/>
      </c>
      <c r="BP376" s="98" t="str">
        <f>IF(BR376&lt;&gt;"",VLOOKUP($P376&amp;" | "&amp;BP$6,'Job Master'!$F$12:$J$102,5,0),"")</f>
        <v/>
      </c>
      <c r="BQ376" s="19" t="str">
        <f>IF(BR376&lt;&gt;"",VLOOKUP($P376&amp;" | "&amp;BP$6,'Job Master'!$F$12:$J$102,3,0),"")</f>
        <v/>
      </c>
      <c r="BR376" s="19" t="str">
        <f>IFERROR(IF(AND(BY376&lt;&gt;"",VLOOKUP($P376&amp;" | "&amp;BP$6,'Job Master'!$F$12:$I$102,4,0)&lt;&gt;""),IF(WEEKDAY(BY376-VLOOKUP($P376&amp;" | "&amp;BP$6,'Job Master'!$F$12:$I$102,4,0))&lt;&gt;7,BY376-VLOOKUP($P376&amp;" | "&amp;BP$6,'Job Master'!$F$12:$I$102,4,0),BY376-VLOOKUP($P376&amp;" | "&amp;BP$6,'Job Master'!$F$12:$I$102,4,0)-1),""),"")</f>
        <v/>
      </c>
      <c r="BS376" s="73"/>
      <c r="BT376" s="123" t="str">
        <f t="shared" si="663"/>
        <v/>
      </c>
      <c r="BU376" s="123" t="str">
        <f t="shared" si="664"/>
        <v/>
      </c>
      <c r="BV376" s="97" t="str">
        <f t="shared" ca="1" si="665"/>
        <v/>
      </c>
      <c r="BW376" s="98" t="str">
        <f>IF(BY376&lt;&gt;"",VLOOKUP($P376&amp;" | "&amp;BW$6,'Job Master'!$F$12:$J$102,5,0),"")</f>
        <v/>
      </c>
      <c r="BX376" s="19" t="str">
        <f>IF(BY376&lt;&gt;"",VLOOKUP($P376&amp;" | "&amp;BW$6,'Job Master'!$F$12:$J$102,3,0),"")</f>
        <v/>
      </c>
      <c r="BY376" s="19" t="str">
        <f>IFERROR(IF(AND(CF376&lt;&gt;"",VLOOKUP($P376&amp;" | "&amp;BW$6,'Job Master'!$F$12:$I$102,4,0)&lt;&gt;""),IF(WEEKDAY(CF376-VLOOKUP($P376&amp;" | "&amp;BW$6,'Job Master'!$F$12:$I$102,4,0))&lt;&gt;7,CF376-VLOOKUP($P376&amp;" | "&amp;BW$6,'Job Master'!$F$12:$I$102,4,0),CF376-VLOOKUP($P376&amp;" | "&amp;BW$6,'Job Master'!$F$12:$I$102,4,0)-1),""),"")</f>
        <v/>
      </c>
      <c r="BZ376" s="73"/>
      <c r="CA376" s="123" t="str">
        <f t="shared" si="666"/>
        <v/>
      </c>
      <c r="CB376" s="123" t="str">
        <f t="shared" si="667"/>
        <v/>
      </c>
      <c r="CC376" s="97" t="str">
        <f t="shared" ca="1" si="668"/>
        <v/>
      </c>
      <c r="CD376" s="98" t="str">
        <f>IF(CF376&lt;&gt;"",VLOOKUP($P376&amp;" | "&amp;CD$6,'Job Master'!$F$12:$J$102,5,0),"")</f>
        <v/>
      </c>
      <c r="CE376" s="19" t="str">
        <f>IF(CF376&lt;&gt;"",VLOOKUP($P376&amp;" | "&amp;CD$6,'Job Master'!$F$12:$J$102,3,0),"")</f>
        <v/>
      </c>
      <c r="CF376" s="19" t="str">
        <f>IFERROR(IF(AND(CM376&lt;&gt;"",VLOOKUP($P376&amp;" | "&amp;CD$6,'Job Master'!$F$12:$I$102,4,0)&lt;&gt;""),IF(WEEKDAY(CM376-VLOOKUP($P376&amp;" | "&amp;CD$6,'Job Master'!$F$12:$I$102,4,0))&lt;&gt;7,CM376-VLOOKUP($P376&amp;" | "&amp;CD$6,'Job Master'!$F$12:$I$102,4,0),CM376-VLOOKUP($P376&amp;" | "&amp;CD$6,'Job Master'!$F$12:$I$102,4,0)-1),""),"")</f>
        <v/>
      </c>
      <c r="CG376" s="73"/>
      <c r="CH376" s="123" t="str">
        <f t="shared" si="669"/>
        <v/>
      </c>
      <c r="CI376" s="123" t="str">
        <f t="shared" si="670"/>
        <v/>
      </c>
      <c r="CJ376" s="97" t="str">
        <f t="shared" ca="1" si="671"/>
        <v/>
      </c>
      <c r="CK376" s="98" t="str">
        <f>IF(CM376&lt;&gt;"",VLOOKUP($P376&amp;" | "&amp;CK$6,'Job Master'!$F$12:$J$102,5,0),"")</f>
        <v/>
      </c>
      <c r="CL376" s="19" t="str">
        <f>IF(CM376&lt;&gt;"",VLOOKUP($P376&amp;" | "&amp;CK$6,'Job Master'!$F$12:$J$102,3,0),"")</f>
        <v/>
      </c>
      <c r="CM376" s="19" t="str">
        <f>IFERROR(IF(AND(CT376&lt;&gt;"",VLOOKUP($P376&amp;" | "&amp;CK$6,'Job Master'!$F$12:$I$102,4,0)&lt;&gt;""),IF(WEEKDAY(CT376-VLOOKUP($P376&amp;" | "&amp;CK$6,'Job Master'!$F$12:$I$102,4,0))&lt;&gt;7,CT376-VLOOKUP($P376&amp;" | "&amp;CK$6,'Job Master'!$F$12:$I$102,4,0),CT376-VLOOKUP($P376&amp;" | "&amp;CK$6,'Job Master'!$F$12:$I$102,4,0)-1),""),"")</f>
        <v/>
      </c>
      <c r="CN376" s="73"/>
      <c r="CO376" s="123" t="str">
        <f t="shared" si="672"/>
        <v/>
      </c>
      <c r="CP376" s="123" t="str">
        <f t="shared" si="673"/>
        <v/>
      </c>
      <c r="CQ376" s="97" t="str">
        <f t="shared" ca="1" si="674"/>
        <v/>
      </c>
      <c r="CR376" s="98" t="str">
        <f>IF(CT376&lt;&gt;"",VLOOKUP($P376&amp;" | "&amp;CR$6,'Job Master'!$F$12:$J$102,5,0),"")</f>
        <v/>
      </c>
      <c r="CS376" s="19" t="str">
        <f>IF(CT376&lt;&gt;"",VLOOKUP($P376&amp;" | "&amp;CR$6,'Job Master'!$F$12:$J$102,3,0),"")</f>
        <v/>
      </c>
      <c r="CT376" s="19" t="str">
        <f>IFERROR(IF(AND(DA376&lt;&gt;"",VLOOKUP($P376&amp;" | "&amp;CR$6,'Job Master'!$F$12:$I$102,4,0)&lt;&gt;""),IF(WEEKDAY(DA376-VLOOKUP($P376&amp;" | "&amp;CR$6,'Job Master'!$F$12:$I$102,4,0))&lt;&gt;7,DA376-VLOOKUP($P376&amp;" | "&amp;CR$6,'Job Master'!$F$12:$I$102,4,0),DA376-VLOOKUP($P376&amp;" | "&amp;CR$6,'Job Master'!$F$12:$I$102,4,0)-1),""),"")</f>
        <v/>
      </c>
      <c r="CU376" s="73"/>
      <c r="CV376" s="123" t="str">
        <f t="shared" si="675"/>
        <v/>
      </c>
      <c r="CW376" s="123" t="str">
        <f t="shared" si="676"/>
        <v/>
      </c>
      <c r="CX376" s="97" t="str">
        <f t="shared" ca="1" si="677"/>
        <v/>
      </c>
      <c r="CY376" s="98" t="str">
        <f>IF(DA376&lt;&gt;"",VLOOKUP($P376&amp;" | "&amp;CY$6,'Job Master'!$F$12:$J$102,5,0),"")</f>
        <v/>
      </c>
      <c r="CZ376" s="19" t="str">
        <f>IF(DA376&lt;&gt;"",VLOOKUP($P376&amp;" | "&amp;CY$6,'Job Master'!$F$12:$J$102,3,0),"")</f>
        <v/>
      </c>
      <c r="DA376" s="19" t="str">
        <f>IFERROR(IF(AND(DH376&lt;&gt;"",VLOOKUP($P376&amp;" | "&amp;CY$6,'Job Master'!$F$12:$I$102,4,0)&lt;&gt;""),IF(WEEKDAY(DH376-VLOOKUP($P376&amp;" | "&amp;CY$6,'Job Master'!$F$12:$I$102,4,0))&lt;&gt;7,DH376-VLOOKUP($P376&amp;" | "&amp;CY$6,'Job Master'!$F$12:$I$102,4,0),DH376-VLOOKUP($P376&amp;" | "&amp;CY$6,'Job Master'!$F$12:$I$102,4,0)-1),""),"")</f>
        <v/>
      </c>
      <c r="DB376" s="73"/>
      <c r="DC376" s="123" t="str">
        <f t="shared" si="678"/>
        <v/>
      </c>
      <c r="DD376" s="123" t="str">
        <f t="shared" si="679"/>
        <v/>
      </c>
      <c r="DE376" s="97" t="str">
        <f t="shared" ca="1" si="680"/>
        <v/>
      </c>
      <c r="DF376" s="98" t="str">
        <f>IF(DH376&lt;&gt;"",VLOOKUP($P376&amp;" | "&amp;DF$6,'Job Master'!$F$12:$J$102,5,0),"")</f>
        <v/>
      </c>
      <c r="DG376" s="19" t="str">
        <f>IF(DH376&lt;&gt;"",VLOOKUP($P376&amp;" | "&amp;DF$6,'Job Master'!$F$12:$J$102,3,0),"")</f>
        <v/>
      </c>
      <c r="DH376" s="19" t="str">
        <f>IFERROR(IF(AND(DO376&lt;&gt;"",VLOOKUP($P376&amp;" | "&amp;DF$6,'Job Master'!$F$12:$I$102,4,0)&lt;&gt;""),IF(WEEKDAY(DO376-VLOOKUP($P376&amp;" | "&amp;DF$6,'Job Master'!$F$12:$I$102,4,0))&lt;&gt;7,DO376-VLOOKUP($P376&amp;" | "&amp;DF$6,'Job Master'!$F$12:$I$102,4,0),DO376-VLOOKUP($P376&amp;" | "&amp;DF$6,'Job Master'!$F$12:$I$102,4,0)-1),""),"")</f>
        <v/>
      </c>
      <c r="DI376" s="73"/>
      <c r="DJ376" s="123" t="str">
        <f t="shared" si="681"/>
        <v/>
      </c>
      <c r="DK376" s="123" t="str">
        <f t="shared" si="682"/>
        <v/>
      </c>
      <c r="DL376" s="97" t="str">
        <f t="shared" ca="1" si="683"/>
        <v/>
      </c>
      <c r="DM376" s="98" t="str">
        <f>IF(DO376&lt;&gt;"",VLOOKUP($P376&amp;" | "&amp;DM$6,'Job Master'!$F$12:$J$102,5,0),"")</f>
        <v/>
      </c>
      <c r="DN376" s="19" t="str">
        <f>IF(DO376&lt;&gt;"",VLOOKUP($P376&amp;" | "&amp;DM$6,'Job Master'!$F$12:$J$102,3,0),"")</f>
        <v/>
      </c>
      <c r="DO376" s="19" t="str">
        <f>IFERROR(IF(AND(DT376&lt;&gt;"",VLOOKUP($P376&amp;" | "&amp;DM$6,'Job Master'!$F$12:$I$102,4,0)&lt;&gt;""),IF(WEEKDAY(DT376-VLOOKUP($P376&amp;" | "&amp;DM$6,'Job Master'!$F$12:$I$102,4,0))&lt;&gt;7,DT376-VLOOKUP($P376&amp;" | "&amp;DM$6,'Job Master'!$F$12:$I$102,4,0),DT376-VLOOKUP($P376&amp;" | "&amp;DM$6,'Job Master'!$F$12:$I$102,4,0)-1),""),"")</f>
        <v/>
      </c>
      <c r="DP376" s="73"/>
      <c r="DQ376" s="123" t="str">
        <f t="shared" si="684"/>
        <v/>
      </c>
      <c r="DR376" s="123" t="str">
        <f t="shared" si="685"/>
        <v/>
      </c>
      <c r="DS376" s="97" t="str">
        <f t="shared" ca="1" si="686"/>
        <v/>
      </c>
      <c r="DT376" s="70" t="str">
        <f t="shared" si="687"/>
        <v/>
      </c>
      <c r="DU376" s="90"/>
      <c r="DV376" s="123" t="str">
        <f t="shared" si="688"/>
        <v/>
      </c>
      <c r="DW376" s="123" t="str">
        <f t="shared" si="689"/>
        <v/>
      </c>
      <c r="DX376" s="132" t="str">
        <f t="shared" ref="DX376" ca="1" si="747">IF(DT376&lt;&gt;"",IF(WEEKNUM(DT376)=WEEKNUM(TODAY()),"This Week",IF(WEEKNUM(DT376)=WEEKNUM(TODAY())+1,"Next Week",IF(WEEKNUM(DT376)=WEEKNUM(TODAY())-1,"Previous Week",""))),"")</f>
        <v/>
      </c>
      <c r="DY376" s="134" t="str">
        <f t="shared" si="691"/>
        <v/>
      </c>
      <c r="DZ376" s="95"/>
      <c r="EB376" s="8" t="str">
        <f t="shared" si="697"/>
        <v/>
      </c>
      <c r="EC376" s="8" t="str">
        <f>IF(O376&lt;&gt;"",VLOOKUP(O376,'Job Master'!$N$12:$O$18,2,0),"")</f>
        <v/>
      </c>
      <c r="ED376" s="8">
        <f t="shared" si="698"/>
        <v>19.5</v>
      </c>
      <c r="EE376" s="8">
        <f t="shared" si="699"/>
        <v>6</v>
      </c>
      <c r="EF376" s="8">
        <f t="shared" si="700"/>
        <v>-2176.5</v>
      </c>
      <c r="EG376" s="8" t="str">
        <f t="shared" si="701"/>
        <v/>
      </c>
      <c r="EH376" s="8" t="str">
        <f t="shared" si="702"/>
        <v/>
      </c>
    </row>
    <row r="377" spans="2:138" x14ac:dyDescent="0.3">
      <c r="B377" s="112"/>
      <c r="C377" s="27"/>
      <c r="D377" s="7" t="str">
        <f t="shared" si="639"/>
        <v/>
      </c>
      <c r="E377" s="25"/>
      <c r="F377" s="7" t="str">
        <f t="shared" si="639"/>
        <v/>
      </c>
      <c r="G377" s="25"/>
      <c r="H377" s="7" t="str">
        <f t="shared" si="639"/>
        <v/>
      </c>
      <c r="I377" s="25"/>
      <c r="J377" s="7" t="str">
        <f t="shared" si="639"/>
        <v/>
      </c>
      <c r="K377" s="25"/>
      <c r="L377" s="7" t="str">
        <f t="shared" si="640"/>
        <v/>
      </c>
      <c r="M377" s="25"/>
      <c r="N377" s="7" t="str">
        <f t="shared" si="641"/>
        <v/>
      </c>
      <c r="O377" s="81"/>
      <c r="P377" s="81" t="str">
        <f t="shared" si="642"/>
        <v/>
      </c>
      <c r="Q377" s="81"/>
      <c r="R377" s="7" t="str">
        <f t="shared" si="643"/>
        <v/>
      </c>
      <c r="S377" s="25"/>
      <c r="T377" s="7" t="str">
        <f t="shared" si="644"/>
        <v/>
      </c>
      <c r="U377" s="25"/>
      <c r="V377" s="7" t="str">
        <f t="shared" si="645"/>
        <v/>
      </c>
      <c r="W377" s="25"/>
      <c r="X377" s="7" t="str">
        <f t="shared" si="646"/>
        <v/>
      </c>
      <c r="Y377" s="18" t="str">
        <f t="shared" si="647"/>
        <v/>
      </c>
      <c r="Z377" s="7" t="str">
        <f t="shared" si="648"/>
        <v/>
      </c>
      <c r="AA377" s="18" t="str">
        <f t="shared" si="649"/>
        <v/>
      </c>
      <c r="AB377" s="19" t="str">
        <f t="shared" si="650"/>
        <v/>
      </c>
      <c r="AC377" s="26"/>
      <c r="AD377" s="26"/>
      <c r="AE377" s="25"/>
      <c r="AF377" s="26"/>
      <c r="AG377" s="25"/>
      <c r="AH377" s="25"/>
      <c r="AI377" s="18" t="str">
        <f t="shared" si="713"/>
        <v/>
      </c>
      <c r="AJ377" s="25"/>
      <c r="AK377" s="18" t="str">
        <f t="shared" si="714"/>
        <v/>
      </c>
      <c r="AL377" s="79"/>
      <c r="AM377" s="126" t="str">
        <f t="shared" si="715"/>
        <v/>
      </c>
      <c r="AN377" s="128" t="str">
        <f>IF(AP377&lt;&gt;"",VLOOKUP($P377&amp;" | "&amp;AN$6,'Job Master'!$F$12:$J$102,5,0),"")</f>
        <v/>
      </c>
      <c r="AO377" s="19" t="str">
        <f>IF(AP377&lt;&gt;"",VLOOKUP($P377&amp;" | "&amp;AN$6,'Job Master'!$F$12:$J$102,3,0),"")</f>
        <v/>
      </c>
      <c r="AP377" s="19" t="str">
        <f>IFERROR(IF(AND(AW377&lt;&gt;"",VLOOKUP($P377&amp;" | "&amp;AN$6,'Job Master'!$F$12:$I$102,4,0)&lt;&gt;""),IF(WEEKDAY(AW377-VLOOKUP($P377&amp;" | "&amp;AN$6,'Job Master'!$F$12:$I$102,4,0))&lt;&gt;7,AW377-VLOOKUP($P377&amp;" | "&amp;AN$6,'Job Master'!$F$12:$I$102,4,0),AW377-VLOOKUP($P377&amp;" | "&amp;AN$6,'Job Master'!$F$12:$I$102,4,0)-1),""),"")</f>
        <v/>
      </c>
      <c r="AQ377" s="73"/>
      <c r="AR377" s="123" t="str">
        <f t="shared" si="651"/>
        <v/>
      </c>
      <c r="AS377" s="123" t="str">
        <f t="shared" si="652"/>
        <v/>
      </c>
      <c r="AT377" s="97" t="str">
        <f t="shared" ca="1" si="653"/>
        <v/>
      </c>
      <c r="AU377" s="98" t="str">
        <f>IF(AW377&lt;&gt;"",VLOOKUP($P377&amp;" | "&amp;AU$6,'Job Master'!$F$12:$J$102,5,0),"")</f>
        <v/>
      </c>
      <c r="AV377" s="19" t="str">
        <f>IF(AW377&lt;&gt;"",VLOOKUP($P377&amp;" | "&amp;AU$6,'Job Master'!$F$12:$J$102,3,0),"")</f>
        <v/>
      </c>
      <c r="AW377" s="19" t="str">
        <f>IFERROR(IF(AND(BD377&lt;&gt;"",VLOOKUP($P377&amp;" | "&amp;AU$6,'Job Master'!$F$12:$I$102,4,0)&lt;&gt;""),IF(WEEKDAY(BD377-VLOOKUP($P377&amp;" | "&amp;AU$6,'Job Master'!$F$12:$I$102,4,0))&lt;&gt;7,BD377-VLOOKUP($P377&amp;" | "&amp;AU$6,'Job Master'!$F$12:$I$102,4,0),BD377-VLOOKUP($P377&amp;" | "&amp;AU$6,'Job Master'!$F$12:$I$102,4,0)-1),""),"")</f>
        <v/>
      </c>
      <c r="AX377" s="73"/>
      <c r="AY377" s="123" t="str">
        <f t="shared" si="654"/>
        <v/>
      </c>
      <c r="AZ377" s="123" t="str">
        <f t="shared" si="655"/>
        <v/>
      </c>
      <c r="BA377" s="97" t="str">
        <f t="shared" ca="1" si="656"/>
        <v/>
      </c>
      <c r="BB377" s="98" t="str">
        <f>IF(BD377&lt;&gt;"",VLOOKUP($P377&amp;" | "&amp;BB$6,'Job Master'!$F$12:$J$102,5,0),"")</f>
        <v/>
      </c>
      <c r="BC377" s="19" t="str">
        <f>IF(BD377&lt;&gt;"",VLOOKUP($P377&amp;" | "&amp;BB$6,'Job Master'!$F$12:$J$102,3,0),"")</f>
        <v/>
      </c>
      <c r="BD377" s="19" t="str">
        <f>IFERROR(IF(AND(BK377&lt;&gt;"",VLOOKUP($P377&amp;" | "&amp;BB$6,'Job Master'!$F$12:$I$102,4,0)&lt;&gt;""),IF(WEEKDAY(BK377-VLOOKUP($P377&amp;" | "&amp;BB$6,'Job Master'!$F$12:$I$102,4,0))&lt;&gt;7,BK377-VLOOKUP($P377&amp;" | "&amp;BB$6,'Job Master'!$F$12:$I$102,4,0),BK377-VLOOKUP($P377&amp;" | "&amp;BB$6,'Job Master'!$F$12:$I$102,4,0)-1),""),"")</f>
        <v/>
      </c>
      <c r="BE377" s="73"/>
      <c r="BF377" s="123" t="str">
        <f t="shared" si="657"/>
        <v/>
      </c>
      <c r="BG377" s="123" t="str">
        <f t="shared" si="658"/>
        <v/>
      </c>
      <c r="BH377" s="97" t="str">
        <f t="shared" ca="1" si="659"/>
        <v/>
      </c>
      <c r="BI377" s="98" t="str">
        <f>IF(BK377&lt;&gt;"",VLOOKUP($P377&amp;" | "&amp;BI$6,'Job Master'!$F$12:$J$102,5,0),"")</f>
        <v/>
      </c>
      <c r="BJ377" s="19" t="str">
        <f>IF(BK377&lt;&gt;"",VLOOKUP($P377&amp;" | "&amp;BI$6,'Job Master'!$F$12:$J$102,3,0),"")</f>
        <v/>
      </c>
      <c r="BK377" s="19" t="str">
        <f>IFERROR(IF(AND(BR377&lt;&gt;"",VLOOKUP($P377&amp;" | "&amp;BI$6,'Job Master'!$F$12:$I$102,4,0)&lt;&gt;""),IF(WEEKDAY(BR377-VLOOKUP($P377&amp;" | "&amp;BI$6,'Job Master'!$F$12:$I$102,4,0))&lt;&gt;7,BR377-VLOOKUP($P377&amp;" | "&amp;BI$6,'Job Master'!$F$12:$I$102,4,0),BR377-VLOOKUP($P377&amp;" | "&amp;BI$6,'Job Master'!$F$12:$I$102,4,0)-1),""),"")</f>
        <v/>
      </c>
      <c r="BL377" s="73"/>
      <c r="BM377" s="123" t="str">
        <f t="shared" si="660"/>
        <v/>
      </c>
      <c r="BN377" s="123" t="str">
        <f t="shared" si="661"/>
        <v/>
      </c>
      <c r="BO377" s="97" t="str">
        <f t="shared" ca="1" si="662"/>
        <v/>
      </c>
      <c r="BP377" s="98" t="str">
        <f>IF(BR377&lt;&gt;"",VLOOKUP($P377&amp;" | "&amp;BP$6,'Job Master'!$F$12:$J$102,5,0),"")</f>
        <v/>
      </c>
      <c r="BQ377" s="19" t="str">
        <f>IF(BR377&lt;&gt;"",VLOOKUP($P377&amp;" | "&amp;BP$6,'Job Master'!$F$12:$J$102,3,0),"")</f>
        <v/>
      </c>
      <c r="BR377" s="19" t="str">
        <f>IFERROR(IF(AND(BY377&lt;&gt;"",VLOOKUP($P377&amp;" | "&amp;BP$6,'Job Master'!$F$12:$I$102,4,0)&lt;&gt;""),IF(WEEKDAY(BY377-VLOOKUP($P377&amp;" | "&amp;BP$6,'Job Master'!$F$12:$I$102,4,0))&lt;&gt;7,BY377-VLOOKUP($P377&amp;" | "&amp;BP$6,'Job Master'!$F$12:$I$102,4,0),BY377-VLOOKUP($P377&amp;" | "&amp;BP$6,'Job Master'!$F$12:$I$102,4,0)-1),""),"")</f>
        <v/>
      </c>
      <c r="BS377" s="73"/>
      <c r="BT377" s="123" t="str">
        <f t="shared" si="663"/>
        <v/>
      </c>
      <c r="BU377" s="123" t="str">
        <f t="shared" si="664"/>
        <v/>
      </c>
      <c r="BV377" s="97" t="str">
        <f t="shared" ca="1" si="665"/>
        <v/>
      </c>
      <c r="BW377" s="98" t="str">
        <f>IF(BY377&lt;&gt;"",VLOOKUP($P377&amp;" | "&amp;BW$6,'Job Master'!$F$12:$J$102,5,0),"")</f>
        <v/>
      </c>
      <c r="BX377" s="19" t="str">
        <f>IF(BY377&lt;&gt;"",VLOOKUP($P377&amp;" | "&amp;BW$6,'Job Master'!$F$12:$J$102,3,0),"")</f>
        <v/>
      </c>
      <c r="BY377" s="19" t="str">
        <f>IFERROR(IF(AND(CF377&lt;&gt;"",VLOOKUP($P377&amp;" | "&amp;BW$6,'Job Master'!$F$12:$I$102,4,0)&lt;&gt;""),IF(WEEKDAY(CF377-VLOOKUP($P377&amp;" | "&amp;BW$6,'Job Master'!$F$12:$I$102,4,0))&lt;&gt;7,CF377-VLOOKUP($P377&amp;" | "&amp;BW$6,'Job Master'!$F$12:$I$102,4,0),CF377-VLOOKUP($P377&amp;" | "&amp;BW$6,'Job Master'!$F$12:$I$102,4,0)-1),""),"")</f>
        <v/>
      </c>
      <c r="BZ377" s="73"/>
      <c r="CA377" s="123" t="str">
        <f t="shared" si="666"/>
        <v/>
      </c>
      <c r="CB377" s="123" t="str">
        <f t="shared" si="667"/>
        <v/>
      </c>
      <c r="CC377" s="97" t="str">
        <f t="shared" ca="1" si="668"/>
        <v/>
      </c>
      <c r="CD377" s="98" t="str">
        <f>IF(CF377&lt;&gt;"",VLOOKUP($P377&amp;" | "&amp;CD$6,'Job Master'!$F$12:$J$102,5,0),"")</f>
        <v/>
      </c>
      <c r="CE377" s="19" t="str">
        <f>IF(CF377&lt;&gt;"",VLOOKUP($P377&amp;" | "&amp;CD$6,'Job Master'!$F$12:$J$102,3,0),"")</f>
        <v/>
      </c>
      <c r="CF377" s="19" t="str">
        <f>IFERROR(IF(AND(CM377&lt;&gt;"",VLOOKUP($P377&amp;" | "&amp;CD$6,'Job Master'!$F$12:$I$102,4,0)&lt;&gt;""),IF(WEEKDAY(CM377-VLOOKUP($P377&amp;" | "&amp;CD$6,'Job Master'!$F$12:$I$102,4,0))&lt;&gt;7,CM377-VLOOKUP($P377&amp;" | "&amp;CD$6,'Job Master'!$F$12:$I$102,4,0),CM377-VLOOKUP($P377&amp;" | "&amp;CD$6,'Job Master'!$F$12:$I$102,4,0)-1),""),"")</f>
        <v/>
      </c>
      <c r="CG377" s="73"/>
      <c r="CH377" s="123" t="str">
        <f t="shared" si="669"/>
        <v/>
      </c>
      <c r="CI377" s="123" t="str">
        <f t="shared" si="670"/>
        <v/>
      </c>
      <c r="CJ377" s="97" t="str">
        <f t="shared" ca="1" si="671"/>
        <v/>
      </c>
      <c r="CK377" s="98" t="str">
        <f>IF(CM377&lt;&gt;"",VLOOKUP($P377&amp;" | "&amp;CK$6,'Job Master'!$F$12:$J$102,5,0),"")</f>
        <v/>
      </c>
      <c r="CL377" s="19" t="str">
        <f>IF(CM377&lt;&gt;"",VLOOKUP($P377&amp;" | "&amp;CK$6,'Job Master'!$F$12:$J$102,3,0),"")</f>
        <v/>
      </c>
      <c r="CM377" s="19" t="str">
        <f>IFERROR(IF(AND(CT377&lt;&gt;"",VLOOKUP($P377&amp;" | "&amp;CK$6,'Job Master'!$F$12:$I$102,4,0)&lt;&gt;""),IF(WEEKDAY(CT377-VLOOKUP($P377&amp;" | "&amp;CK$6,'Job Master'!$F$12:$I$102,4,0))&lt;&gt;7,CT377-VLOOKUP($P377&amp;" | "&amp;CK$6,'Job Master'!$F$12:$I$102,4,0),CT377-VLOOKUP($P377&amp;" | "&amp;CK$6,'Job Master'!$F$12:$I$102,4,0)-1),""),"")</f>
        <v/>
      </c>
      <c r="CN377" s="73"/>
      <c r="CO377" s="123" t="str">
        <f t="shared" si="672"/>
        <v/>
      </c>
      <c r="CP377" s="123" t="str">
        <f t="shared" si="673"/>
        <v/>
      </c>
      <c r="CQ377" s="97" t="str">
        <f t="shared" ca="1" si="674"/>
        <v/>
      </c>
      <c r="CR377" s="98" t="str">
        <f>IF(CT377&lt;&gt;"",VLOOKUP($P377&amp;" | "&amp;CR$6,'Job Master'!$F$12:$J$102,5,0),"")</f>
        <v/>
      </c>
      <c r="CS377" s="19" t="str">
        <f>IF(CT377&lt;&gt;"",VLOOKUP($P377&amp;" | "&amp;CR$6,'Job Master'!$F$12:$J$102,3,0),"")</f>
        <v/>
      </c>
      <c r="CT377" s="19" t="str">
        <f>IFERROR(IF(AND(DA377&lt;&gt;"",VLOOKUP($P377&amp;" | "&amp;CR$6,'Job Master'!$F$12:$I$102,4,0)&lt;&gt;""),IF(WEEKDAY(DA377-VLOOKUP($P377&amp;" | "&amp;CR$6,'Job Master'!$F$12:$I$102,4,0))&lt;&gt;7,DA377-VLOOKUP($P377&amp;" | "&amp;CR$6,'Job Master'!$F$12:$I$102,4,0),DA377-VLOOKUP($P377&amp;" | "&amp;CR$6,'Job Master'!$F$12:$I$102,4,0)-1),""),"")</f>
        <v/>
      </c>
      <c r="CU377" s="73"/>
      <c r="CV377" s="123" t="str">
        <f t="shared" si="675"/>
        <v/>
      </c>
      <c r="CW377" s="123" t="str">
        <f t="shared" si="676"/>
        <v/>
      </c>
      <c r="CX377" s="97" t="str">
        <f t="shared" ca="1" si="677"/>
        <v/>
      </c>
      <c r="CY377" s="98" t="str">
        <f>IF(DA377&lt;&gt;"",VLOOKUP($P377&amp;" | "&amp;CY$6,'Job Master'!$F$12:$J$102,5,0),"")</f>
        <v/>
      </c>
      <c r="CZ377" s="19" t="str">
        <f>IF(DA377&lt;&gt;"",VLOOKUP($P377&amp;" | "&amp;CY$6,'Job Master'!$F$12:$J$102,3,0),"")</f>
        <v/>
      </c>
      <c r="DA377" s="19" t="str">
        <f>IFERROR(IF(AND(DH377&lt;&gt;"",VLOOKUP($P377&amp;" | "&amp;CY$6,'Job Master'!$F$12:$I$102,4,0)&lt;&gt;""),IF(WEEKDAY(DH377-VLOOKUP($P377&amp;" | "&amp;CY$6,'Job Master'!$F$12:$I$102,4,0))&lt;&gt;7,DH377-VLOOKUP($P377&amp;" | "&amp;CY$6,'Job Master'!$F$12:$I$102,4,0),DH377-VLOOKUP($P377&amp;" | "&amp;CY$6,'Job Master'!$F$12:$I$102,4,0)-1),""),"")</f>
        <v/>
      </c>
      <c r="DB377" s="73"/>
      <c r="DC377" s="123" t="str">
        <f t="shared" si="678"/>
        <v/>
      </c>
      <c r="DD377" s="123" t="str">
        <f t="shared" si="679"/>
        <v/>
      </c>
      <c r="DE377" s="97" t="str">
        <f t="shared" ca="1" si="680"/>
        <v/>
      </c>
      <c r="DF377" s="98" t="str">
        <f>IF(DH377&lt;&gt;"",VLOOKUP($P377&amp;" | "&amp;DF$6,'Job Master'!$F$12:$J$102,5,0),"")</f>
        <v/>
      </c>
      <c r="DG377" s="19" t="str">
        <f>IF(DH377&lt;&gt;"",VLOOKUP($P377&amp;" | "&amp;DF$6,'Job Master'!$F$12:$J$102,3,0),"")</f>
        <v/>
      </c>
      <c r="DH377" s="19" t="str">
        <f>IFERROR(IF(AND(DO377&lt;&gt;"",VLOOKUP($P377&amp;" | "&amp;DF$6,'Job Master'!$F$12:$I$102,4,0)&lt;&gt;""),IF(WEEKDAY(DO377-VLOOKUP($P377&amp;" | "&amp;DF$6,'Job Master'!$F$12:$I$102,4,0))&lt;&gt;7,DO377-VLOOKUP($P377&amp;" | "&amp;DF$6,'Job Master'!$F$12:$I$102,4,0),DO377-VLOOKUP($P377&amp;" | "&amp;DF$6,'Job Master'!$F$12:$I$102,4,0)-1),""),"")</f>
        <v/>
      </c>
      <c r="DI377" s="73"/>
      <c r="DJ377" s="123" t="str">
        <f t="shared" si="681"/>
        <v/>
      </c>
      <c r="DK377" s="123" t="str">
        <f t="shared" si="682"/>
        <v/>
      </c>
      <c r="DL377" s="97" t="str">
        <f t="shared" ca="1" si="683"/>
        <v/>
      </c>
      <c r="DM377" s="98" t="str">
        <f>IF(DO377&lt;&gt;"",VLOOKUP($P377&amp;" | "&amp;DM$6,'Job Master'!$F$12:$J$102,5,0),"")</f>
        <v/>
      </c>
      <c r="DN377" s="19" t="str">
        <f>IF(DO377&lt;&gt;"",VLOOKUP($P377&amp;" | "&amp;DM$6,'Job Master'!$F$12:$J$102,3,0),"")</f>
        <v/>
      </c>
      <c r="DO377" s="19" t="str">
        <f>IFERROR(IF(AND(DT377&lt;&gt;"",VLOOKUP($P377&amp;" | "&amp;DM$6,'Job Master'!$F$12:$I$102,4,0)&lt;&gt;""),IF(WEEKDAY(DT377-VLOOKUP($P377&amp;" | "&amp;DM$6,'Job Master'!$F$12:$I$102,4,0))&lt;&gt;7,DT377-VLOOKUP($P377&amp;" | "&amp;DM$6,'Job Master'!$F$12:$I$102,4,0),DT377-VLOOKUP($P377&amp;" | "&amp;DM$6,'Job Master'!$F$12:$I$102,4,0)-1),""),"")</f>
        <v/>
      </c>
      <c r="DP377" s="73"/>
      <c r="DQ377" s="123" t="str">
        <f t="shared" si="684"/>
        <v/>
      </c>
      <c r="DR377" s="123" t="str">
        <f t="shared" si="685"/>
        <v/>
      </c>
      <c r="DS377" s="97" t="str">
        <f t="shared" ca="1" si="686"/>
        <v/>
      </c>
      <c r="DT377" s="70" t="str">
        <f t="shared" si="687"/>
        <v/>
      </c>
      <c r="DU377" s="90"/>
      <c r="DV377" s="123" t="str">
        <f t="shared" si="688"/>
        <v/>
      </c>
      <c r="DW377" s="123" t="str">
        <f t="shared" si="689"/>
        <v/>
      </c>
      <c r="DX377" s="132" t="str">
        <f t="shared" ref="DX377" ca="1" si="748">IF(DT377&lt;&gt;"",IF(WEEKNUM(DT377)=WEEKNUM(TODAY()),"This Week",IF(WEEKNUM(DT377)=WEEKNUM(TODAY())+1,"Next Week",IF(WEEKNUM(DT377)=WEEKNUM(TODAY())-1,"Previous Week",""))),"")</f>
        <v/>
      </c>
      <c r="DY377" s="134" t="str">
        <f t="shared" si="691"/>
        <v/>
      </c>
      <c r="DZ377" s="95"/>
      <c r="EB377" s="8" t="str">
        <f t="shared" si="697"/>
        <v/>
      </c>
      <c r="EC377" s="8" t="str">
        <f>IF(O377&lt;&gt;"",VLOOKUP(O377,'Job Master'!$N$12:$O$18,2,0),"")</f>
        <v/>
      </c>
      <c r="ED377" s="8">
        <f t="shared" si="698"/>
        <v>19.5</v>
      </c>
      <c r="EE377" s="8">
        <f t="shared" si="699"/>
        <v>6</v>
      </c>
      <c r="EF377" s="8">
        <f t="shared" si="700"/>
        <v>-2182.5</v>
      </c>
      <c r="EG377" s="8" t="str">
        <f t="shared" si="701"/>
        <v/>
      </c>
      <c r="EH377" s="8" t="str">
        <f t="shared" si="702"/>
        <v/>
      </c>
    </row>
    <row r="378" spans="2:138" x14ac:dyDescent="0.3">
      <c r="B378" s="112"/>
      <c r="C378" s="27"/>
      <c r="D378" s="7" t="str">
        <f t="shared" si="639"/>
        <v/>
      </c>
      <c r="E378" s="25"/>
      <c r="F378" s="7" t="str">
        <f t="shared" si="639"/>
        <v/>
      </c>
      <c r="G378" s="25"/>
      <c r="H378" s="7" t="str">
        <f t="shared" si="639"/>
        <v/>
      </c>
      <c r="I378" s="25"/>
      <c r="J378" s="7" t="str">
        <f t="shared" si="639"/>
        <v/>
      </c>
      <c r="K378" s="25"/>
      <c r="L378" s="7" t="str">
        <f t="shared" si="640"/>
        <v/>
      </c>
      <c r="M378" s="25"/>
      <c r="N378" s="7" t="str">
        <f t="shared" si="641"/>
        <v/>
      </c>
      <c r="O378" s="81"/>
      <c r="P378" s="81" t="str">
        <f t="shared" si="642"/>
        <v/>
      </c>
      <c r="Q378" s="81"/>
      <c r="R378" s="7" t="str">
        <f t="shared" si="643"/>
        <v/>
      </c>
      <c r="S378" s="25"/>
      <c r="T378" s="7" t="str">
        <f t="shared" si="644"/>
        <v/>
      </c>
      <c r="U378" s="25"/>
      <c r="V378" s="7" t="str">
        <f t="shared" si="645"/>
        <v/>
      </c>
      <c r="W378" s="25"/>
      <c r="X378" s="7" t="str">
        <f t="shared" si="646"/>
        <v/>
      </c>
      <c r="Y378" s="18" t="str">
        <f t="shared" si="647"/>
        <v/>
      </c>
      <c r="Z378" s="7" t="str">
        <f t="shared" si="648"/>
        <v/>
      </c>
      <c r="AA378" s="18" t="str">
        <f t="shared" si="649"/>
        <v/>
      </c>
      <c r="AB378" s="19" t="str">
        <f t="shared" si="650"/>
        <v/>
      </c>
      <c r="AC378" s="26"/>
      <c r="AD378" s="26"/>
      <c r="AE378" s="25"/>
      <c r="AF378" s="26"/>
      <c r="AG378" s="25"/>
      <c r="AH378" s="25"/>
      <c r="AI378" s="18" t="str">
        <f t="shared" si="713"/>
        <v/>
      </c>
      <c r="AJ378" s="25"/>
      <c r="AK378" s="18" t="str">
        <f t="shared" si="714"/>
        <v/>
      </c>
      <c r="AL378" s="79"/>
      <c r="AM378" s="126" t="str">
        <f t="shared" si="715"/>
        <v/>
      </c>
      <c r="AN378" s="128" t="str">
        <f>IF(AP378&lt;&gt;"",VLOOKUP($P378&amp;" | "&amp;AN$6,'Job Master'!$F$12:$J$102,5,0),"")</f>
        <v/>
      </c>
      <c r="AO378" s="19" t="str">
        <f>IF(AP378&lt;&gt;"",VLOOKUP($P378&amp;" | "&amp;AN$6,'Job Master'!$F$12:$J$102,3,0),"")</f>
        <v/>
      </c>
      <c r="AP378" s="19" t="str">
        <f>IFERROR(IF(AND(AW378&lt;&gt;"",VLOOKUP($P378&amp;" | "&amp;AN$6,'Job Master'!$F$12:$I$102,4,0)&lt;&gt;""),IF(WEEKDAY(AW378-VLOOKUP($P378&amp;" | "&amp;AN$6,'Job Master'!$F$12:$I$102,4,0))&lt;&gt;7,AW378-VLOOKUP($P378&amp;" | "&amp;AN$6,'Job Master'!$F$12:$I$102,4,0),AW378-VLOOKUP($P378&amp;" | "&amp;AN$6,'Job Master'!$F$12:$I$102,4,0)-1),""),"")</f>
        <v/>
      </c>
      <c r="AQ378" s="73"/>
      <c r="AR378" s="123" t="str">
        <f t="shared" si="651"/>
        <v/>
      </c>
      <c r="AS378" s="123" t="str">
        <f t="shared" si="652"/>
        <v/>
      </c>
      <c r="AT378" s="97" t="str">
        <f t="shared" ca="1" si="653"/>
        <v/>
      </c>
      <c r="AU378" s="98" t="str">
        <f>IF(AW378&lt;&gt;"",VLOOKUP($P378&amp;" | "&amp;AU$6,'Job Master'!$F$12:$J$102,5,0),"")</f>
        <v/>
      </c>
      <c r="AV378" s="19" t="str">
        <f>IF(AW378&lt;&gt;"",VLOOKUP($P378&amp;" | "&amp;AU$6,'Job Master'!$F$12:$J$102,3,0),"")</f>
        <v/>
      </c>
      <c r="AW378" s="19" t="str">
        <f>IFERROR(IF(AND(BD378&lt;&gt;"",VLOOKUP($P378&amp;" | "&amp;AU$6,'Job Master'!$F$12:$I$102,4,0)&lt;&gt;""),IF(WEEKDAY(BD378-VLOOKUP($P378&amp;" | "&amp;AU$6,'Job Master'!$F$12:$I$102,4,0))&lt;&gt;7,BD378-VLOOKUP($P378&amp;" | "&amp;AU$6,'Job Master'!$F$12:$I$102,4,0),BD378-VLOOKUP($P378&amp;" | "&amp;AU$6,'Job Master'!$F$12:$I$102,4,0)-1),""),"")</f>
        <v/>
      </c>
      <c r="AX378" s="73"/>
      <c r="AY378" s="123" t="str">
        <f t="shared" si="654"/>
        <v/>
      </c>
      <c r="AZ378" s="123" t="str">
        <f t="shared" si="655"/>
        <v/>
      </c>
      <c r="BA378" s="97" t="str">
        <f t="shared" ca="1" si="656"/>
        <v/>
      </c>
      <c r="BB378" s="98" t="str">
        <f>IF(BD378&lt;&gt;"",VLOOKUP($P378&amp;" | "&amp;BB$6,'Job Master'!$F$12:$J$102,5,0),"")</f>
        <v/>
      </c>
      <c r="BC378" s="19" t="str">
        <f>IF(BD378&lt;&gt;"",VLOOKUP($P378&amp;" | "&amp;BB$6,'Job Master'!$F$12:$J$102,3,0),"")</f>
        <v/>
      </c>
      <c r="BD378" s="19" t="str">
        <f>IFERROR(IF(AND(BK378&lt;&gt;"",VLOOKUP($P378&amp;" | "&amp;BB$6,'Job Master'!$F$12:$I$102,4,0)&lt;&gt;""),IF(WEEKDAY(BK378-VLOOKUP($P378&amp;" | "&amp;BB$6,'Job Master'!$F$12:$I$102,4,0))&lt;&gt;7,BK378-VLOOKUP($P378&amp;" | "&amp;BB$6,'Job Master'!$F$12:$I$102,4,0),BK378-VLOOKUP($P378&amp;" | "&amp;BB$6,'Job Master'!$F$12:$I$102,4,0)-1),""),"")</f>
        <v/>
      </c>
      <c r="BE378" s="73"/>
      <c r="BF378" s="123" t="str">
        <f t="shared" si="657"/>
        <v/>
      </c>
      <c r="BG378" s="123" t="str">
        <f t="shared" si="658"/>
        <v/>
      </c>
      <c r="BH378" s="97" t="str">
        <f t="shared" ca="1" si="659"/>
        <v/>
      </c>
      <c r="BI378" s="98" t="str">
        <f>IF(BK378&lt;&gt;"",VLOOKUP($P378&amp;" | "&amp;BI$6,'Job Master'!$F$12:$J$102,5,0),"")</f>
        <v/>
      </c>
      <c r="BJ378" s="19" t="str">
        <f>IF(BK378&lt;&gt;"",VLOOKUP($P378&amp;" | "&amp;BI$6,'Job Master'!$F$12:$J$102,3,0),"")</f>
        <v/>
      </c>
      <c r="BK378" s="19" t="str">
        <f>IFERROR(IF(AND(BR378&lt;&gt;"",VLOOKUP($P378&amp;" | "&amp;BI$6,'Job Master'!$F$12:$I$102,4,0)&lt;&gt;""),IF(WEEKDAY(BR378-VLOOKUP($P378&amp;" | "&amp;BI$6,'Job Master'!$F$12:$I$102,4,0))&lt;&gt;7,BR378-VLOOKUP($P378&amp;" | "&amp;BI$6,'Job Master'!$F$12:$I$102,4,0),BR378-VLOOKUP($P378&amp;" | "&amp;BI$6,'Job Master'!$F$12:$I$102,4,0)-1),""),"")</f>
        <v/>
      </c>
      <c r="BL378" s="73"/>
      <c r="BM378" s="123" t="str">
        <f t="shared" si="660"/>
        <v/>
      </c>
      <c r="BN378" s="123" t="str">
        <f t="shared" si="661"/>
        <v/>
      </c>
      <c r="BO378" s="97" t="str">
        <f t="shared" ca="1" si="662"/>
        <v/>
      </c>
      <c r="BP378" s="98" t="str">
        <f>IF(BR378&lt;&gt;"",VLOOKUP($P378&amp;" | "&amp;BP$6,'Job Master'!$F$12:$J$102,5,0),"")</f>
        <v/>
      </c>
      <c r="BQ378" s="19" t="str">
        <f>IF(BR378&lt;&gt;"",VLOOKUP($P378&amp;" | "&amp;BP$6,'Job Master'!$F$12:$J$102,3,0),"")</f>
        <v/>
      </c>
      <c r="BR378" s="19" t="str">
        <f>IFERROR(IF(AND(BY378&lt;&gt;"",VLOOKUP($P378&amp;" | "&amp;BP$6,'Job Master'!$F$12:$I$102,4,0)&lt;&gt;""),IF(WEEKDAY(BY378-VLOOKUP($P378&amp;" | "&amp;BP$6,'Job Master'!$F$12:$I$102,4,0))&lt;&gt;7,BY378-VLOOKUP($P378&amp;" | "&amp;BP$6,'Job Master'!$F$12:$I$102,4,0),BY378-VLOOKUP($P378&amp;" | "&amp;BP$6,'Job Master'!$F$12:$I$102,4,0)-1),""),"")</f>
        <v/>
      </c>
      <c r="BS378" s="73"/>
      <c r="BT378" s="123" t="str">
        <f t="shared" si="663"/>
        <v/>
      </c>
      <c r="BU378" s="123" t="str">
        <f t="shared" si="664"/>
        <v/>
      </c>
      <c r="BV378" s="97" t="str">
        <f t="shared" ca="1" si="665"/>
        <v/>
      </c>
      <c r="BW378" s="98" t="str">
        <f>IF(BY378&lt;&gt;"",VLOOKUP($P378&amp;" | "&amp;BW$6,'Job Master'!$F$12:$J$102,5,0),"")</f>
        <v/>
      </c>
      <c r="BX378" s="19" t="str">
        <f>IF(BY378&lt;&gt;"",VLOOKUP($P378&amp;" | "&amp;BW$6,'Job Master'!$F$12:$J$102,3,0),"")</f>
        <v/>
      </c>
      <c r="BY378" s="19" t="str">
        <f>IFERROR(IF(AND(CF378&lt;&gt;"",VLOOKUP($P378&amp;" | "&amp;BW$6,'Job Master'!$F$12:$I$102,4,0)&lt;&gt;""),IF(WEEKDAY(CF378-VLOOKUP($P378&amp;" | "&amp;BW$6,'Job Master'!$F$12:$I$102,4,0))&lt;&gt;7,CF378-VLOOKUP($P378&amp;" | "&amp;BW$6,'Job Master'!$F$12:$I$102,4,0),CF378-VLOOKUP($P378&amp;" | "&amp;BW$6,'Job Master'!$F$12:$I$102,4,0)-1),""),"")</f>
        <v/>
      </c>
      <c r="BZ378" s="73"/>
      <c r="CA378" s="123" t="str">
        <f t="shared" si="666"/>
        <v/>
      </c>
      <c r="CB378" s="123" t="str">
        <f t="shared" si="667"/>
        <v/>
      </c>
      <c r="CC378" s="97" t="str">
        <f t="shared" ca="1" si="668"/>
        <v/>
      </c>
      <c r="CD378" s="98" t="str">
        <f>IF(CF378&lt;&gt;"",VLOOKUP($P378&amp;" | "&amp;CD$6,'Job Master'!$F$12:$J$102,5,0),"")</f>
        <v/>
      </c>
      <c r="CE378" s="19" t="str">
        <f>IF(CF378&lt;&gt;"",VLOOKUP($P378&amp;" | "&amp;CD$6,'Job Master'!$F$12:$J$102,3,0),"")</f>
        <v/>
      </c>
      <c r="CF378" s="19" t="str">
        <f>IFERROR(IF(AND(CM378&lt;&gt;"",VLOOKUP($P378&amp;" | "&amp;CD$6,'Job Master'!$F$12:$I$102,4,0)&lt;&gt;""),IF(WEEKDAY(CM378-VLOOKUP($P378&amp;" | "&amp;CD$6,'Job Master'!$F$12:$I$102,4,0))&lt;&gt;7,CM378-VLOOKUP($P378&amp;" | "&amp;CD$6,'Job Master'!$F$12:$I$102,4,0),CM378-VLOOKUP($P378&amp;" | "&amp;CD$6,'Job Master'!$F$12:$I$102,4,0)-1),""),"")</f>
        <v/>
      </c>
      <c r="CG378" s="73"/>
      <c r="CH378" s="123" t="str">
        <f t="shared" si="669"/>
        <v/>
      </c>
      <c r="CI378" s="123" t="str">
        <f t="shared" si="670"/>
        <v/>
      </c>
      <c r="CJ378" s="97" t="str">
        <f t="shared" ca="1" si="671"/>
        <v/>
      </c>
      <c r="CK378" s="98" t="str">
        <f>IF(CM378&lt;&gt;"",VLOOKUP($P378&amp;" | "&amp;CK$6,'Job Master'!$F$12:$J$102,5,0),"")</f>
        <v/>
      </c>
      <c r="CL378" s="19" t="str">
        <f>IF(CM378&lt;&gt;"",VLOOKUP($P378&amp;" | "&amp;CK$6,'Job Master'!$F$12:$J$102,3,0),"")</f>
        <v/>
      </c>
      <c r="CM378" s="19" t="str">
        <f>IFERROR(IF(AND(CT378&lt;&gt;"",VLOOKUP($P378&amp;" | "&amp;CK$6,'Job Master'!$F$12:$I$102,4,0)&lt;&gt;""),IF(WEEKDAY(CT378-VLOOKUP($P378&amp;" | "&amp;CK$6,'Job Master'!$F$12:$I$102,4,0))&lt;&gt;7,CT378-VLOOKUP($P378&amp;" | "&amp;CK$6,'Job Master'!$F$12:$I$102,4,0),CT378-VLOOKUP($P378&amp;" | "&amp;CK$6,'Job Master'!$F$12:$I$102,4,0)-1),""),"")</f>
        <v/>
      </c>
      <c r="CN378" s="73"/>
      <c r="CO378" s="123" t="str">
        <f t="shared" si="672"/>
        <v/>
      </c>
      <c r="CP378" s="123" t="str">
        <f t="shared" si="673"/>
        <v/>
      </c>
      <c r="CQ378" s="97" t="str">
        <f t="shared" ca="1" si="674"/>
        <v/>
      </c>
      <c r="CR378" s="98" t="str">
        <f>IF(CT378&lt;&gt;"",VLOOKUP($P378&amp;" | "&amp;CR$6,'Job Master'!$F$12:$J$102,5,0),"")</f>
        <v/>
      </c>
      <c r="CS378" s="19" t="str">
        <f>IF(CT378&lt;&gt;"",VLOOKUP($P378&amp;" | "&amp;CR$6,'Job Master'!$F$12:$J$102,3,0),"")</f>
        <v/>
      </c>
      <c r="CT378" s="19" t="str">
        <f>IFERROR(IF(AND(DA378&lt;&gt;"",VLOOKUP($P378&amp;" | "&amp;CR$6,'Job Master'!$F$12:$I$102,4,0)&lt;&gt;""),IF(WEEKDAY(DA378-VLOOKUP($P378&amp;" | "&amp;CR$6,'Job Master'!$F$12:$I$102,4,0))&lt;&gt;7,DA378-VLOOKUP($P378&amp;" | "&amp;CR$6,'Job Master'!$F$12:$I$102,4,0),DA378-VLOOKUP($P378&amp;" | "&amp;CR$6,'Job Master'!$F$12:$I$102,4,0)-1),""),"")</f>
        <v/>
      </c>
      <c r="CU378" s="73"/>
      <c r="CV378" s="123" t="str">
        <f t="shared" si="675"/>
        <v/>
      </c>
      <c r="CW378" s="123" t="str">
        <f t="shared" si="676"/>
        <v/>
      </c>
      <c r="CX378" s="97" t="str">
        <f t="shared" ca="1" si="677"/>
        <v/>
      </c>
      <c r="CY378" s="98" t="str">
        <f>IF(DA378&lt;&gt;"",VLOOKUP($P378&amp;" | "&amp;CY$6,'Job Master'!$F$12:$J$102,5,0),"")</f>
        <v/>
      </c>
      <c r="CZ378" s="19" t="str">
        <f>IF(DA378&lt;&gt;"",VLOOKUP($P378&amp;" | "&amp;CY$6,'Job Master'!$F$12:$J$102,3,0),"")</f>
        <v/>
      </c>
      <c r="DA378" s="19" t="str">
        <f>IFERROR(IF(AND(DH378&lt;&gt;"",VLOOKUP($P378&amp;" | "&amp;CY$6,'Job Master'!$F$12:$I$102,4,0)&lt;&gt;""),IF(WEEKDAY(DH378-VLOOKUP($P378&amp;" | "&amp;CY$6,'Job Master'!$F$12:$I$102,4,0))&lt;&gt;7,DH378-VLOOKUP($P378&amp;" | "&amp;CY$6,'Job Master'!$F$12:$I$102,4,0),DH378-VLOOKUP($P378&amp;" | "&amp;CY$6,'Job Master'!$F$12:$I$102,4,0)-1),""),"")</f>
        <v/>
      </c>
      <c r="DB378" s="73"/>
      <c r="DC378" s="123" t="str">
        <f t="shared" si="678"/>
        <v/>
      </c>
      <c r="DD378" s="123" t="str">
        <f t="shared" si="679"/>
        <v/>
      </c>
      <c r="DE378" s="97" t="str">
        <f t="shared" ca="1" si="680"/>
        <v/>
      </c>
      <c r="DF378" s="98" t="str">
        <f>IF(DH378&lt;&gt;"",VLOOKUP($P378&amp;" | "&amp;DF$6,'Job Master'!$F$12:$J$102,5,0),"")</f>
        <v/>
      </c>
      <c r="DG378" s="19" t="str">
        <f>IF(DH378&lt;&gt;"",VLOOKUP($P378&amp;" | "&amp;DF$6,'Job Master'!$F$12:$J$102,3,0),"")</f>
        <v/>
      </c>
      <c r="DH378" s="19" t="str">
        <f>IFERROR(IF(AND(DO378&lt;&gt;"",VLOOKUP($P378&amp;" | "&amp;DF$6,'Job Master'!$F$12:$I$102,4,0)&lt;&gt;""),IF(WEEKDAY(DO378-VLOOKUP($P378&amp;" | "&amp;DF$6,'Job Master'!$F$12:$I$102,4,0))&lt;&gt;7,DO378-VLOOKUP($P378&amp;" | "&amp;DF$6,'Job Master'!$F$12:$I$102,4,0),DO378-VLOOKUP($P378&amp;" | "&amp;DF$6,'Job Master'!$F$12:$I$102,4,0)-1),""),"")</f>
        <v/>
      </c>
      <c r="DI378" s="73"/>
      <c r="DJ378" s="123" t="str">
        <f t="shared" si="681"/>
        <v/>
      </c>
      <c r="DK378" s="123" t="str">
        <f t="shared" si="682"/>
        <v/>
      </c>
      <c r="DL378" s="97" t="str">
        <f t="shared" ca="1" si="683"/>
        <v/>
      </c>
      <c r="DM378" s="98" t="str">
        <f>IF(DO378&lt;&gt;"",VLOOKUP($P378&amp;" | "&amp;DM$6,'Job Master'!$F$12:$J$102,5,0),"")</f>
        <v/>
      </c>
      <c r="DN378" s="19" t="str">
        <f>IF(DO378&lt;&gt;"",VLOOKUP($P378&amp;" | "&amp;DM$6,'Job Master'!$F$12:$J$102,3,0),"")</f>
        <v/>
      </c>
      <c r="DO378" s="19" t="str">
        <f>IFERROR(IF(AND(DT378&lt;&gt;"",VLOOKUP($P378&amp;" | "&amp;DM$6,'Job Master'!$F$12:$I$102,4,0)&lt;&gt;""),IF(WEEKDAY(DT378-VLOOKUP($P378&amp;" | "&amp;DM$6,'Job Master'!$F$12:$I$102,4,0))&lt;&gt;7,DT378-VLOOKUP($P378&amp;" | "&amp;DM$6,'Job Master'!$F$12:$I$102,4,0),DT378-VLOOKUP($P378&amp;" | "&amp;DM$6,'Job Master'!$F$12:$I$102,4,0)-1),""),"")</f>
        <v/>
      </c>
      <c r="DP378" s="73"/>
      <c r="DQ378" s="123" t="str">
        <f t="shared" si="684"/>
        <v/>
      </c>
      <c r="DR378" s="123" t="str">
        <f t="shared" si="685"/>
        <v/>
      </c>
      <c r="DS378" s="97" t="str">
        <f t="shared" ca="1" si="686"/>
        <v/>
      </c>
      <c r="DT378" s="70" t="str">
        <f t="shared" si="687"/>
        <v/>
      </c>
      <c r="DU378" s="90"/>
      <c r="DV378" s="123" t="str">
        <f t="shared" si="688"/>
        <v/>
      </c>
      <c r="DW378" s="123" t="str">
        <f t="shared" si="689"/>
        <v/>
      </c>
      <c r="DX378" s="132" t="str">
        <f t="shared" ref="DX378" ca="1" si="749">IF(DT378&lt;&gt;"",IF(WEEKNUM(DT378)=WEEKNUM(TODAY()),"This Week",IF(WEEKNUM(DT378)=WEEKNUM(TODAY())+1,"Next Week",IF(WEEKNUM(DT378)=WEEKNUM(TODAY())-1,"Previous Week",""))),"")</f>
        <v/>
      </c>
      <c r="DY378" s="134" t="str">
        <f t="shared" si="691"/>
        <v/>
      </c>
      <c r="DZ378" s="95"/>
      <c r="EB378" s="8" t="str">
        <f t="shared" si="697"/>
        <v/>
      </c>
      <c r="EC378" s="8" t="str">
        <f>IF(O378&lt;&gt;"",VLOOKUP(O378,'Job Master'!$N$12:$O$18,2,0),"")</f>
        <v/>
      </c>
      <c r="ED378" s="8">
        <f t="shared" si="698"/>
        <v>19.5</v>
      </c>
      <c r="EE378" s="8">
        <f t="shared" si="699"/>
        <v>6</v>
      </c>
      <c r="EF378" s="8">
        <f t="shared" si="700"/>
        <v>-2188.5</v>
      </c>
      <c r="EG378" s="8" t="str">
        <f t="shared" si="701"/>
        <v/>
      </c>
      <c r="EH378" s="8" t="str">
        <f t="shared" si="702"/>
        <v/>
      </c>
    </row>
    <row r="379" spans="2:138" x14ac:dyDescent="0.3">
      <c r="B379" s="112"/>
      <c r="C379" s="27"/>
      <c r="D379" s="7" t="str">
        <f t="shared" si="639"/>
        <v/>
      </c>
      <c r="E379" s="25"/>
      <c r="F379" s="7" t="str">
        <f t="shared" si="639"/>
        <v/>
      </c>
      <c r="G379" s="25"/>
      <c r="H379" s="7" t="str">
        <f t="shared" si="639"/>
        <v/>
      </c>
      <c r="I379" s="25"/>
      <c r="J379" s="7" t="str">
        <f t="shared" si="639"/>
        <v/>
      </c>
      <c r="K379" s="25"/>
      <c r="L379" s="7" t="str">
        <f t="shared" si="640"/>
        <v/>
      </c>
      <c r="M379" s="25"/>
      <c r="N379" s="7" t="str">
        <f t="shared" si="641"/>
        <v/>
      </c>
      <c r="O379" s="81"/>
      <c r="P379" s="81" t="str">
        <f t="shared" si="642"/>
        <v/>
      </c>
      <c r="Q379" s="81"/>
      <c r="R379" s="7" t="str">
        <f t="shared" si="643"/>
        <v/>
      </c>
      <c r="S379" s="25"/>
      <c r="T379" s="7" t="str">
        <f t="shared" si="644"/>
        <v/>
      </c>
      <c r="U379" s="25"/>
      <c r="V379" s="7" t="str">
        <f t="shared" si="645"/>
        <v/>
      </c>
      <c r="W379" s="25"/>
      <c r="X379" s="7" t="str">
        <f t="shared" si="646"/>
        <v/>
      </c>
      <c r="Y379" s="18" t="str">
        <f t="shared" si="647"/>
        <v/>
      </c>
      <c r="Z379" s="7" t="str">
        <f t="shared" si="648"/>
        <v/>
      </c>
      <c r="AA379" s="18" t="str">
        <f t="shared" si="649"/>
        <v/>
      </c>
      <c r="AB379" s="19" t="str">
        <f t="shared" si="650"/>
        <v/>
      </c>
      <c r="AC379" s="26"/>
      <c r="AD379" s="26"/>
      <c r="AE379" s="25"/>
      <c r="AF379" s="26"/>
      <c r="AG379" s="25"/>
      <c r="AH379" s="25"/>
      <c r="AI379" s="18" t="str">
        <f t="shared" si="713"/>
        <v/>
      </c>
      <c r="AJ379" s="25"/>
      <c r="AK379" s="18" t="str">
        <f t="shared" si="714"/>
        <v/>
      </c>
      <c r="AL379" s="79"/>
      <c r="AM379" s="126" t="str">
        <f t="shared" si="715"/>
        <v/>
      </c>
      <c r="AN379" s="128" t="str">
        <f>IF(AP379&lt;&gt;"",VLOOKUP($P379&amp;" | "&amp;AN$6,'Job Master'!$F$12:$J$102,5,0),"")</f>
        <v/>
      </c>
      <c r="AO379" s="19" t="str">
        <f>IF(AP379&lt;&gt;"",VLOOKUP($P379&amp;" | "&amp;AN$6,'Job Master'!$F$12:$J$102,3,0),"")</f>
        <v/>
      </c>
      <c r="AP379" s="19" t="str">
        <f>IFERROR(IF(AND(AW379&lt;&gt;"",VLOOKUP($P379&amp;" | "&amp;AN$6,'Job Master'!$F$12:$I$102,4,0)&lt;&gt;""),IF(WEEKDAY(AW379-VLOOKUP($P379&amp;" | "&amp;AN$6,'Job Master'!$F$12:$I$102,4,0))&lt;&gt;7,AW379-VLOOKUP($P379&amp;" | "&amp;AN$6,'Job Master'!$F$12:$I$102,4,0),AW379-VLOOKUP($P379&amp;" | "&amp;AN$6,'Job Master'!$F$12:$I$102,4,0)-1),""),"")</f>
        <v/>
      </c>
      <c r="AQ379" s="73"/>
      <c r="AR379" s="123" t="str">
        <f t="shared" si="651"/>
        <v/>
      </c>
      <c r="AS379" s="123" t="str">
        <f t="shared" si="652"/>
        <v/>
      </c>
      <c r="AT379" s="97" t="str">
        <f t="shared" ca="1" si="653"/>
        <v/>
      </c>
      <c r="AU379" s="98" t="str">
        <f>IF(AW379&lt;&gt;"",VLOOKUP($P379&amp;" | "&amp;AU$6,'Job Master'!$F$12:$J$102,5,0),"")</f>
        <v/>
      </c>
      <c r="AV379" s="19" t="str">
        <f>IF(AW379&lt;&gt;"",VLOOKUP($P379&amp;" | "&amp;AU$6,'Job Master'!$F$12:$J$102,3,0),"")</f>
        <v/>
      </c>
      <c r="AW379" s="19" t="str">
        <f>IFERROR(IF(AND(BD379&lt;&gt;"",VLOOKUP($P379&amp;" | "&amp;AU$6,'Job Master'!$F$12:$I$102,4,0)&lt;&gt;""),IF(WEEKDAY(BD379-VLOOKUP($P379&amp;" | "&amp;AU$6,'Job Master'!$F$12:$I$102,4,0))&lt;&gt;7,BD379-VLOOKUP($P379&amp;" | "&amp;AU$6,'Job Master'!$F$12:$I$102,4,0),BD379-VLOOKUP($P379&amp;" | "&amp;AU$6,'Job Master'!$F$12:$I$102,4,0)-1),""),"")</f>
        <v/>
      </c>
      <c r="AX379" s="73"/>
      <c r="AY379" s="123" t="str">
        <f t="shared" si="654"/>
        <v/>
      </c>
      <c r="AZ379" s="123" t="str">
        <f t="shared" si="655"/>
        <v/>
      </c>
      <c r="BA379" s="97" t="str">
        <f t="shared" ca="1" si="656"/>
        <v/>
      </c>
      <c r="BB379" s="98" t="str">
        <f>IF(BD379&lt;&gt;"",VLOOKUP($P379&amp;" | "&amp;BB$6,'Job Master'!$F$12:$J$102,5,0),"")</f>
        <v/>
      </c>
      <c r="BC379" s="19" t="str">
        <f>IF(BD379&lt;&gt;"",VLOOKUP($P379&amp;" | "&amp;BB$6,'Job Master'!$F$12:$J$102,3,0),"")</f>
        <v/>
      </c>
      <c r="BD379" s="19" t="str">
        <f>IFERROR(IF(AND(BK379&lt;&gt;"",VLOOKUP($P379&amp;" | "&amp;BB$6,'Job Master'!$F$12:$I$102,4,0)&lt;&gt;""),IF(WEEKDAY(BK379-VLOOKUP($P379&amp;" | "&amp;BB$6,'Job Master'!$F$12:$I$102,4,0))&lt;&gt;7,BK379-VLOOKUP($P379&amp;" | "&amp;BB$6,'Job Master'!$F$12:$I$102,4,0),BK379-VLOOKUP($P379&amp;" | "&amp;BB$6,'Job Master'!$F$12:$I$102,4,0)-1),""),"")</f>
        <v/>
      </c>
      <c r="BE379" s="73"/>
      <c r="BF379" s="123" t="str">
        <f t="shared" si="657"/>
        <v/>
      </c>
      <c r="BG379" s="123" t="str">
        <f t="shared" si="658"/>
        <v/>
      </c>
      <c r="BH379" s="97" t="str">
        <f t="shared" ca="1" si="659"/>
        <v/>
      </c>
      <c r="BI379" s="98" t="str">
        <f>IF(BK379&lt;&gt;"",VLOOKUP($P379&amp;" | "&amp;BI$6,'Job Master'!$F$12:$J$102,5,0),"")</f>
        <v/>
      </c>
      <c r="BJ379" s="19" t="str">
        <f>IF(BK379&lt;&gt;"",VLOOKUP($P379&amp;" | "&amp;BI$6,'Job Master'!$F$12:$J$102,3,0),"")</f>
        <v/>
      </c>
      <c r="BK379" s="19" t="str">
        <f>IFERROR(IF(AND(BR379&lt;&gt;"",VLOOKUP($P379&amp;" | "&amp;BI$6,'Job Master'!$F$12:$I$102,4,0)&lt;&gt;""),IF(WEEKDAY(BR379-VLOOKUP($P379&amp;" | "&amp;BI$6,'Job Master'!$F$12:$I$102,4,0))&lt;&gt;7,BR379-VLOOKUP($P379&amp;" | "&amp;BI$6,'Job Master'!$F$12:$I$102,4,0),BR379-VLOOKUP($P379&amp;" | "&amp;BI$6,'Job Master'!$F$12:$I$102,4,0)-1),""),"")</f>
        <v/>
      </c>
      <c r="BL379" s="73"/>
      <c r="BM379" s="123" t="str">
        <f t="shared" si="660"/>
        <v/>
      </c>
      <c r="BN379" s="123" t="str">
        <f t="shared" si="661"/>
        <v/>
      </c>
      <c r="BO379" s="97" t="str">
        <f t="shared" ca="1" si="662"/>
        <v/>
      </c>
      <c r="BP379" s="98" t="str">
        <f>IF(BR379&lt;&gt;"",VLOOKUP($P379&amp;" | "&amp;BP$6,'Job Master'!$F$12:$J$102,5,0),"")</f>
        <v/>
      </c>
      <c r="BQ379" s="19" t="str">
        <f>IF(BR379&lt;&gt;"",VLOOKUP($P379&amp;" | "&amp;BP$6,'Job Master'!$F$12:$J$102,3,0),"")</f>
        <v/>
      </c>
      <c r="BR379" s="19" t="str">
        <f>IFERROR(IF(AND(BY379&lt;&gt;"",VLOOKUP($P379&amp;" | "&amp;BP$6,'Job Master'!$F$12:$I$102,4,0)&lt;&gt;""),IF(WEEKDAY(BY379-VLOOKUP($P379&amp;" | "&amp;BP$6,'Job Master'!$F$12:$I$102,4,0))&lt;&gt;7,BY379-VLOOKUP($P379&amp;" | "&amp;BP$6,'Job Master'!$F$12:$I$102,4,0),BY379-VLOOKUP($P379&amp;" | "&amp;BP$6,'Job Master'!$F$12:$I$102,4,0)-1),""),"")</f>
        <v/>
      </c>
      <c r="BS379" s="73"/>
      <c r="BT379" s="123" t="str">
        <f t="shared" si="663"/>
        <v/>
      </c>
      <c r="BU379" s="123" t="str">
        <f t="shared" si="664"/>
        <v/>
      </c>
      <c r="BV379" s="97" t="str">
        <f t="shared" ca="1" si="665"/>
        <v/>
      </c>
      <c r="BW379" s="98" t="str">
        <f>IF(BY379&lt;&gt;"",VLOOKUP($P379&amp;" | "&amp;BW$6,'Job Master'!$F$12:$J$102,5,0),"")</f>
        <v/>
      </c>
      <c r="BX379" s="19" t="str">
        <f>IF(BY379&lt;&gt;"",VLOOKUP($P379&amp;" | "&amp;BW$6,'Job Master'!$F$12:$J$102,3,0),"")</f>
        <v/>
      </c>
      <c r="BY379" s="19" t="str">
        <f>IFERROR(IF(AND(CF379&lt;&gt;"",VLOOKUP($P379&amp;" | "&amp;BW$6,'Job Master'!$F$12:$I$102,4,0)&lt;&gt;""),IF(WEEKDAY(CF379-VLOOKUP($P379&amp;" | "&amp;BW$6,'Job Master'!$F$12:$I$102,4,0))&lt;&gt;7,CF379-VLOOKUP($P379&amp;" | "&amp;BW$6,'Job Master'!$F$12:$I$102,4,0),CF379-VLOOKUP($P379&amp;" | "&amp;BW$6,'Job Master'!$F$12:$I$102,4,0)-1),""),"")</f>
        <v/>
      </c>
      <c r="BZ379" s="73"/>
      <c r="CA379" s="123" t="str">
        <f t="shared" si="666"/>
        <v/>
      </c>
      <c r="CB379" s="123" t="str">
        <f t="shared" si="667"/>
        <v/>
      </c>
      <c r="CC379" s="97" t="str">
        <f t="shared" ca="1" si="668"/>
        <v/>
      </c>
      <c r="CD379" s="98" t="str">
        <f>IF(CF379&lt;&gt;"",VLOOKUP($P379&amp;" | "&amp;CD$6,'Job Master'!$F$12:$J$102,5,0),"")</f>
        <v/>
      </c>
      <c r="CE379" s="19" t="str">
        <f>IF(CF379&lt;&gt;"",VLOOKUP($P379&amp;" | "&amp;CD$6,'Job Master'!$F$12:$J$102,3,0),"")</f>
        <v/>
      </c>
      <c r="CF379" s="19" t="str">
        <f>IFERROR(IF(AND(CM379&lt;&gt;"",VLOOKUP($P379&amp;" | "&amp;CD$6,'Job Master'!$F$12:$I$102,4,0)&lt;&gt;""),IF(WEEKDAY(CM379-VLOOKUP($P379&amp;" | "&amp;CD$6,'Job Master'!$F$12:$I$102,4,0))&lt;&gt;7,CM379-VLOOKUP($P379&amp;" | "&amp;CD$6,'Job Master'!$F$12:$I$102,4,0),CM379-VLOOKUP($P379&amp;" | "&amp;CD$6,'Job Master'!$F$12:$I$102,4,0)-1),""),"")</f>
        <v/>
      </c>
      <c r="CG379" s="73"/>
      <c r="CH379" s="123" t="str">
        <f t="shared" si="669"/>
        <v/>
      </c>
      <c r="CI379" s="123" t="str">
        <f t="shared" si="670"/>
        <v/>
      </c>
      <c r="CJ379" s="97" t="str">
        <f t="shared" ca="1" si="671"/>
        <v/>
      </c>
      <c r="CK379" s="98" t="str">
        <f>IF(CM379&lt;&gt;"",VLOOKUP($P379&amp;" | "&amp;CK$6,'Job Master'!$F$12:$J$102,5,0),"")</f>
        <v/>
      </c>
      <c r="CL379" s="19" t="str">
        <f>IF(CM379&lt;&gt;"",VLOOKUP($P379&amp;" | "&amp;CK$6,'Job Master'!$F$12:$J$102,3,0),"")</f>
        <v/>
      </c>
      <c r="CM379" s="19" t="str">
        <f>IFERROR(IF(AND(CT379&lt;&gt;"",VLOOKUP($P379&amp;" | "&amp;CK$6,'Job Master'!$F$12:$I$102,4,0)&lt;&gt;""),IF(WEEKDAY(CT379-VLOOKUP($P379&amp;" | "&amp;CK$6,'Job Master'!$F$12:$I$102,4,0))&lt;&gt;7,CT379-VLOOKUP($P379&amp;" | "&amp;CK$6,'Job Master'!$F$12:$I$102,4,0),CT379-VLOOKUP($P379&amp;" | "&amp;CK$6,'Job Master'!$F$12:$I$102,4,0)-1),""),"")</f>
        <v/>
      </c>
      <c r="CN379" s="73"/>
      <c r="CO379" s="123" t="str">
        <f t="shared" si="672"/>
        <v/>
      </c>
      <c r="CP379" s="123" t="str">
        <f t="shared" si="673"/>
        <v/>
      </c>
      <c r="CQ379" s="97" t="str">
        <f t="shared" ca="1" si="674"/>
        <v/>
      </c>
      <c r="CR379" s="98" t="str">
        <f>IF(CT379&lt;&gt;"",VLOOKUP($P379&amp;" | "&amp;CR$6,'Job Master'!$F$12:$J$102,5,0),"")</f>
        <v/>
      </c>
      <c r="CS379" s="19" t="str">
        <f>IF(CT379&lt;&gt;"",VLOOKUP($P379&amp;" | "&amp;CR$6,'Job Master'!$F$12:$J$102,3,0),"")</f>
        <v/>
      </c>
      <c r="CT379" s="19" t="str">
        <f>IFERROR(IF(AND(DA379&lt;&gt;"",VLOOKUP($P379&amp;" | "&amp;CR$6,'Job Master'!$F$12:$I$102,4,0)&lt;&gt;""),IF(WEEKDAY(DA379-VLOOKUP($P379&amp;" | "&amp;CR$6,'Job Master'!$F$12:$I$102,4,0))&lt;&gt;7,DA379-VLOOKUP($P379&amp;" | "&amp;CR$6,'Job Master'!$F$12:$I$102,4,0),DA379-VLOOKUP($P379&amp;" | "&amp;CR$6,'Job Master'!$F$12:$I$102,4,0)-1),""),"")</f>
        <v/>
      </c>
      <c r="CU379" s="73"/>
      <c r="CV379" s="123" t="str">
        <f t="shared" si="675"/>
        <v/>
      </c>
      <c r="CW379" s="123" t="str">
        <f t="shared" si="676"/>
        <v/>
      </c>
      <c r="CX379" s="97" t="str">
        <f t="shared" ca="1" si="677"/>
        <v/>
      </c>
      <c r="CY379" s="98" t="str">
        <f>IF(DA379&lt;&gt;"",VLOOKUP($P379&amp;" | "&amp;CY$6,'Job Master'!$F$12:$J$102,5,0),"")</f>
        <v/>
      </c>
      <c r="CZ379" s="19" t="str">
        <f>IF(DA379&lt;&gt;"",VLOOKUP($P379&amp;" | "&amp;CY$6,'Job Master'!$F$12:$J$102,3,0),"")</f>
        <v/>
      </c>
      <c r="DA379" s="19" t="str">
        <f>IFERROR(IF(AND(DH379&lt;&gt;"",VLOOKUP($P379&amp;" | "&amp;CY$6,'Job Master'!$F$12:$I$102,4,0)&lt;&gt;""),IF(WEEKDAY(DH379-VLOOKUP($P379&amp;" | "&amp;CY$6,'Job Master'!$F$12:$I$102,4,0))&lt;&gt;7,DH379-VLOOKUP($P379&amp;" | "&amp;CY$6,'Job Master'!$F$12:$I$102,4,0),DH379-VLOOKUP($P379&amp;" | "&amp;CY$6,'Job Master'!$F$12:$I$102,4,0)-1),""),"")</f>
        <v/>
      </c>
      <c r="DB379" s="73"/>
      <c r="DC379" s="123" t="str">
        <f t="shared" si="678"/>
        <v/>
      </c>
      <c r="DD379" s="123" t="str">
        <f t="shared" si="679"/>
        <v/>
      </c>
      <c r="DE379" s="97" t="str">
        <f t="shared" ca="1" si="680"/>
        <v/>
      </c>
      <c r="DF379" s="98" t="str">
        <f>IF(DH379&lt;&gt;"",VLOOKUP($P379&amp;" | "&amp;DF$6,'Job Master'!$F$12:$J$102,5,0),"")</f>
        <v/>
      </c>
      <c r="DG379" s="19" t="str">
        <f>IF(DH379&lt;&gt;"",VLOOKUP($P379&amp;" | "&amp;DF$6,'Job Master'!$F$12:$J$102,3,0),"")</f>
        <v/>
      </c>
      <c r="DH379" s="19" t="str">
        <f>IFERROR(IF(AND(DO379&lt;&gt;"",VLOOKUP($P379&amp;" | "&amp;DF$6,'Job Master'!$F$12:$I$102,4,0)&lt;&gt;""),IF(WEEKDAY(DO379-VLOOKUP($P379&amp;" | "&amp;DF$6,'Job Master'!$F$12:$I$102,4,0))&lt;&gt;7,DO379-VLOOKUP($P379&amp;" | "&amp;DF$6,'Job Master'!$F$12:$I$102,4,0),DO379-VLOOKUP($P379&amp;" | "&amp;DF$6,'Job Master'!$F$12:$I$102,4,0)-1),""),"")</f>
        <v/>
      </c>
      <c r="DI379" s="73"/>
      <c r="DJ379" s="123" t="str">
        <f t="shared" si="681"/>
        <v/>
      </c>
      <c r="DK379" s="123" t="str">
        <f t="shared" si="682"/>
        <v/>
      </c>
      <c r="DL379" s="97" t="str">
        <f t="shared" ca="1" si="683"/>
        <v/>
      </c>
      <c r="DM379" s="98" t="str">
        <f>IF(DO379&lt;&gt;"",VLOOKUP($P379&amp;" | "&amp;DM$6,'Job Master'!$F$12:$J$102,5,0),"")</f>
        <v/>
      </c>
      <c r="DN379" s="19" t="str">
        <f>IF(DO379&lt;&gt;"",VLOOKUP($P379&amp;" | "&amp;DM$6,'Job Master'!$F$12:$J$102,3,0),"")</f>
        <v/>
      </c>
      <c r="DO379" s="19" t="str">
        <f>IFERROR(IF(AND(DT379&lt;&gt;"",VLOOKUP($P379&amp;" | "&amp;DM$6,'Job Master'!$F$12:$I$102,4,0)&lt;&gt;""),IF(WEEKDAY(DT379-VLOOKUP($P379&amp;" | "&amp;DM$6,'Job Master'!$F$12:$I$102,4,0))&lt;&gt;7,DT379-VLOOKUP($P379&amp;" | "&amp;DM$6,'Job Master'!$F$12:$I$102,4,0),DT379-VLOOKUP($P379&amp;" | "&amp;DM$6,'Job Master'!$F$12:$I$102,4,0)-1),""),"")</f>
        <v/>
      </c>
      <c r="DP379" s="73"/>
      <c r="DQ379" s="123" t="str">
        <f t="shared" si="684"/>
        <v/>
      </c>
      <c r="DR379" s="123" t="str">
        <f t="shared" si="685"/>
        <v/>
      </c>
      <c r="DS379" s="97" t="str">
        <f t="shared" ca="1" si="686"/>
        <v/>
      </c>
      <c r="DT379" s="70" t="str">
        <f t="shared" si="687"/>
        <v/>
      </c>
      <c r="DU379" s="90"/>
      <c r="DV379" s="123" t="str">
        <f t="shared" si="688"/>
        <v/>
      </c>
      <c r="DW379" s="123" t="str">
        <f t="shared" si="689"/>
        <v/>
      </c>
      <c r="DX379" s="132" t="str">
        <f t="shared" ref="DX379" ca="1" si="750">IF(DT379&lt;&gt;"",IF(WEEKNUM(DT379)=WEEKNUM(TODAY()),"This Week",IF(WEEKNUM(DT379)=WEEKNUM(TODAY())+1,"Next Week",IF(WEEKNUM(DT379)=WEEKNUM(TODAY())-1,"Previous Week",""))),"")</f>
        <v/>
      </c>
      <c r="DY379" s="134" t="str">
        <f t="shared" si="691"/>
        <v/>
      </c>
      <c r="DZ379" s="95"/>
      <c r="EB379" s="8" t="str">
        <f t="shared" si="697"/>
        <v/>
      </c>
      <c r="EC379" s="8" t="str">
        <f>IF(O379&lt;&gt;"",VLOOKUP(O379,'Job Master'!$N$12:$O$18,2,0),"")</f>
        <v/>
      </c>
      <c r="ED379" s="8">
        <f t="shared" si="698"/>
        <v>19.5</v>
      </c>
      <c r="EE379" s="8">
        <f t="shared" si="699"/>
        <v>6</v>
      </c>
      <c r="EF379" s="8">
        <f t="shared" si="700"/>
        <v>-2194.5</v>
      </c>
      <c r="EG379" s="8" t="str">
        <f t="shared" si="701"/>
        <v/>
      </c>
      <c r="EH379" s="8" t="str">
        <f t="shared" si="702"/>
        <v/>
      </c>
    </row>
    <row r="380" spans="2:138" x14ac:dyDescent="0.3">
      <c r="B380" s="112"/>
      <c r="C380" s="27"/>
      <c r="D380" s="7" t="str">
        <f t="shared" si="639"/>
        <v/>
      </c>
      <c r="E380" s="25"/>
      <c r="F380" s="7" t="str">
        <f t="shared" si="639"/>
        <v/>
      </c>
      <c r="G380" s="25"/>
      <c r="H380" s="7" t="str">
        <f t="shared" si="639"/>
        <v/>
      </c>
      <c r="I380" s="25"/>
      <c r="J380" s="7" t="str">
        <f t="shared" si="639"/>
        <v/>
      </c>
      <c r="K380" s="25"/>
      <c r="L380" s="7" t="str">
        <f t="shared" si="640"/>
        <v/>
      </c>
      <c r="M380" s="25"/>
      <c r="N380" s="7" t="str">
        <f t="shared" si="641"/>
        <v/>
      </c>
      <c r="O380" s="81"/>
      <c r="P380" s="81" t="str">
        <f t="shared" si="642"/>
        <v/>
      </c>
      <c r="Q380" s="81"/>
      <c r="R380" s="7" t="str">
        <f t="shared" si="643"/>
        <v/>
      </c>
      <c r="S380" s="25"/>
      <c r="T380" s="7" t="str">
        <f t="shared" si="644"/>
        <v/>
      </c>
      <c r="U380" s="25"/>
      <c r="V380" s="7" t="str">
        <f t="shared" si="645"/>
        <v/>
      </c>
      <c r="W380" s="25"/>
      <c r="X380" s="7" t="str">
        <f t="shared" si="646"/>
        <v/>
      </c>
      <c r="Y380" s="18" t="str">
        <f t="shared" si="647"/>
        <v/>
      </c>
      <c r="Z380" s="7" t="str">
        <f t="shared" si="648"/>
        <v/>
      </c>
      <c r="AA380" s="18" t="str">
        <f t="shared" si="649"/>
        <v/>
      </c>
      <c r="AB380" s="19" t="str">
        <f t="shared" si="650"/>
        <v/>
      </c>
      <c r="AC380" s="26"/>
      <c r="AD380" s="26"/>
      <c r="AE380" s="25"/>
      <c r="AF380" s="26"/>
      <c r="AG380" s="25"/>
      <c r="AH380" s="25"/>
      <c r="AI380" s="18" t="str">
        <f t="shared" si="713"/>
        <v/>
      </c>
      <c r="AJ380" s="25"/>
      <c r="AK380" s="18" t="str">
        <f t="shared" si="714"/>
        <v/>
      </c>
      <c r="AL380" s="79"/>
      <c r="AM380" s="126" t="str">
        <f t="shared" si="715"/>
        <v/>
      </c>
      <c r="AN380" s="128" t="str">
        <f>IF(AP380&lt;&gt;"",VLOOKUP($P380&amp;" | "&amp;AN$6,'Job Master'!$F$12:$J$102,5,0),"")</f>
        <v/>
      </c>
      <c r="AO380" s="19" t="str">
        <f>IF(AP380&lt;&gt;"",VLOOKUP($P380&amp;" | "&amp;AN$6,'Job Master'!$F$12:$J$102,3,0),"")</f>
        <v/>
      </c>
      <c r="AP380" s="19" t="str">
        <f>IFERROR(IF(AND(AW380&lt;&gt;"",VLOOKUP($P380&amp;" | "&amp;AN$6,'Job Master'!$F$12:$I$102,4,0)&lt;&gt;""),IF(WEEKDAY(AW380-VLOOKUP($P380&amp;" | "&amp;AN$6,'Job Master'!$F$12:$I$102,4,0))&lt;&gt;7,AW380-VLOOKUP($P380&amp;" | "&amp;AN$6,'Job Master'!$F$12:$I$102,4,0),AW380-VLOOKUP($P380&amp;" | "&amp;AN$6,'Job Master'!$F$12:$I$102,4,0)-1),""),"")</f>
        <v/>
      </c>
      <c r="AQ380" s="73"/>
      <c r="AR380" s="123" t="str">
        <f t="shared" si="651"/>
        <v/>
      </c>
      <c r="AS380" s="123" t="str">
        <f t="shared" si="652"/>
        <v/>
      </c>
      <c r="AT380" s="97" t="str">
        <f t="shared" ca="1" si="653"/>
        <v/>
      </c>
      <c r="AU380" s="98" t="str">
        <f>IF(AW380&lt;&gt;"",VLOOKUP($P380&amp;" | "&amp;AU$6,'Job Master'!$F$12:$J$102,5,0),"")</f>
        <v/>
      </c>
      <c r="AV380" s="19" t="str">
        <f>IF(AW380&lt;&gt;"",VLOOKUP($P380&amp;" | "&amp;AU$6,'Job Master'!$F$12:$J$102,3,0),"")</f>
        <v/>
      </c>
      <c r="AW380" s="19" t="str">
        <f>IFERROR(IF(AND(BD380&lt;&gt;"",VLOOKUP($P380&amp;" | "&amp;AU$6,'Job Master'!$F$12:$I$102,4,0)&lt;&gt;""),IF(WEEKDAY(BD380-VLOOKUP($P380&amp;" | "&amp;AU$6,'Job Master'!$F$12:$I$102,4,0))&lt;&gt;7,BD380-VLOOKUP($P380&amp;" | "&amp;AU$6,'Job Master'!$F$12:$I$102,4,0),BD380-VLOOKUP($P380&amp;" | "&amp;AU$6,'Job Master'!$F$12:$I$102,4,0)-1),""),"")</f>
        <v/>
      </c>
      <c r="AX380" s="73"/>
      <c r="AY380" s="123" t="str">
        <f t="shared" si="654"/>
        <v/>
      </c>
      <c r="AZ380" s="123" t="str">
        <f t="shared" si="655"/>
        <v/>
      </c>
      <c r="BA380" s="97" t="str">
        <f t="shared" ca="1" si="656"/>
        <v/>
      </c>
      <c r="BB380" s="98" t="str">
        <f>IF(BD380&lt;&gt;"",VLOOKUP($P380&amp;" | "&amp;BB$6,'Job Master'!$F$12:$J$102,5,0),"")</f>
        <v/>
      </c>
      <c r="BC380" s="19" t="str">
        <f>IF(BD380&lt;&gt;"",VLOOKUP($P380&amp;" | "&amp;BB$6,'Job Master'!$F$12:$J$102,3,0),"")</f>
        <v/>
      </c>
      <c r="BD380" s="19" t="str">
        <f>IFERROR(IF(AND(BK380&lt;&gt;"",VLOOKUP($P380&amp;" | "&amp;BB$6,'Job Master'!$F$12:$I$102,4,0)&lt;&gt;""),IF(WEEKDAY(BK380-VLOOKUP($P380&amp;" | "&amp;BB$6,'Job Master'!$F$12:$I$102,4,0))&lt;&gt;7,BK380-VLOOKUP($P380&amp;" | "&amp;BB$6,'Job Master'!$F$12:$I$102,4,0),BK380-VLOOKUP($P380&amp;" | "&amp;BB$6,'Job Master'!$F$12:$I$102,4,0)-1),""),"")</f>
        <v/>
      </c>
      <c r="BE380" s="73"/>
      <c r="BF380" s="123" t="str">
        <f t="shared" si="657"/>
        <v/>
      </c>
      <c r="BG380" s="123" t="str">
        <f t="shared" si="658"/>
        <v/>
      </c>
      <c r="BH380" s="97" t="str">
        <f t="shared" ca="1" si="659"/>
        <v/>
      </c>
      <c r="BI380" s="98" t="str">
        <f>IF(BK380&lt;&gt;"",VLOOKUP($P380&amp;" | "&amp;BI$6,'Job Master'!$F$12:$J$102,5,0),"")</f>
        <v/>
      </c>
      <c r="BJ380" s="19" t="str">
        <f>IF(BK380&lt;&gt;"",VLOOKUP($P380&amp;" | "&amp;BI$6,'Job Master'!$F$12:$J$102,3,0),"")</f>
        <v/>
      </c>
      <c r="BK380" s="19" t="str">
        <f>IFERROR(IF(AND(BR380&lt;&gt;"",VLOOKUP($P380&amp;" | "&amp;BI$6,'Job Master'!$F$12:$I$102,4,0)&lt;&gt;""),IF(WEEKDAY(BR380-VLOOKUP($P380&amp;" | "&amp;BI$6,'Job Master'!$F$12:$I$102,4,0))&lt;&gt;7,BR380-VLOOKUP($P380&amp;" | "&amp;BI$6,'Job Master'!$F$12:$I$102,4,0),BR380-VLOOKUP($P380&amp;" | "&amp;BI$6,'Job Master'!$F$12:$I$102,4,0)-1),""),"")</f>
        <v/>
      </c>
      <c r="BL380" s="73"/>
      <c r="BM380" s="123" t="str">
        <f t="shared" si="660"/>
        <v/>
      </c>
      <c r="BN380" s="123" t="str">
        <f t="shared" si="661"/>
        <v/>
      </c>
      <c r="BO380" s="97" t="str">
        <f t="shared" ca="1" si="662"/>
        <v/>
      </c>
      <c r="BP380" s="98" t="str">
        <f>IF(BR380&lt;&gt;"",VLOOKUP($P380&amp;" | "&amp;BP$6,'Job Master'!$F$12:$J$102,5,0),"")</f>
        <v/>
      </c>
      <c r="BQ380" s="19" t="str">
        <f>IF(BR380&lt;&gt;"",VLOOKUP($P380&amp;" | "&amp;BP$6,'Job Master'!$F$12:$J$102,3,0),"")</f>
        <v/>
      </c>
      <c r="BR380" s="19" t="str">
        <f>IFERROR(IF(AND(BY380&lt;&gt;"",VLOOKUP($P380&amp;" | "&amp;BP$6,'Job Master'!$F$12:$I$102,4,0)&lt;&gt;""),IF(WEEKDAY(BY380-VLOOKUP($P380&amp;" | "&amp;BP$6,'Job Master'!$F$12:$I$102,4,0))&lt;&gt;7,BY380-VLOOKUP($P380&amp;" | "&amp;BP$6,'Job Master'!$F$12:$I$102,4,0),BY380-VLOOKUP($P380&amp;" | "&amp;BP$6,'Job Master'!$F$12:$I$102,4,0)-1),""),"")</f>
        <v/>
      </c>
      <c r="BS380" s="73"/>
      <c r="BT380" s="123" t="str">
        <f t="shared" si="663"/>
        <v/>
      </c>
      <c r="BU380" s="123" t="str">
        <f t="shared" si="664"/>
        <v/>
      </c>
      <c r="BV380" s="97" t="str">
        <f t="shared" ca="1" si="665"/>
        <v/>
      </c>
      <c r="BW380" s="98" t="str">
        <f>IF(BY380&lt;&gt;"",VLOOKUP($P380&amp;" | "&amp;BW$6,'Job Master'!$F$12:$J$102,5,0),"")</f>
        <v/>
      </c>
      <c r="BX380" s="19" t="str">
        <f>IF(BY380&lt;&gt;"",VLOOKUP($P380&amp;" | "&amp;BW$6,'Job Master'!$F$12:$J$102,3,0),"")</f>
        <v/>
      </c>
      <c r="BY380" s="19" t="str">
        <f>IFERROR(IF(AND(CF380&lt;&gt;"",VLOOKUP($P380&amp;" | "&amp;BW$6,'Job Master'!$F$12:$I$102,4,0)&lt;&gt;""),IF(WEEKDAY(CF380-VLOOKUP($P380&amp;" | "&amp;BW$6,'Job Master'!$F$12:$I$102,4,0))&lt;&gt;7,CF380-VLOOKUP($P380&amp;" | "&amp;BW$6,'Job Master'!$F$12:$I$102,4,0),CF380-VLOOKUP($P380&amp;" | "&amp;BW$6,'Job Master'!$F$12:$I$102,4,0)-1),""),"")</f>
        <v/>
      </c>
      <c r="BZ380" s="73"/>
      <c r="CA380" s="123" t="str">
        <f t="shared" si="666"/>
        <v/>
      </c>
      <c r="CB380" s="123" t="str">
        <f t="shared" si="667"/>
        <v/>
      </c>
      <c r="CC380" s="97" t="str">
        <f t="shared" ca="1" si="668"/>
        <v/>
      </c>
      <c r="CD380" s="98" t="str">
        <f>IF(CF380&lt;&gt;"",VLOOKUP($P380&amp;" | "&amp;CD$6,'Job Master'!$F$12:$J$102,5,0),"")</f>
        <v/>
      </c>
      <c r="CE380" s="19" t="str">
        <f>IF(CF380&lt;&gt;"",VLOOKUP($P380&amp;" | "&amp;CD$6,'Job Master'!$F$12:$J$102,3,0),"")</f>
        <v/>
      </c>
      <c r="CF380" s="19" t="str">
        <f>IFERROR(IF(AND(CM380&lt;&gt;"",VLOOKUP($P380&amp;" | "&amp;CD$6,'Job Master'!$F$12:$I$102,4,0)&lt;&gt;""),IF(WEEKDAY(CM380-VLOOKUP($P380&amp;" | "&amp;CD$6,'Job Master'!$F$12:$I$102,4,0))&lt;&gt;7,CM380-VLOOKUP($P380&amp;" | "&amp;CD$6,'Job Master'!$F$12:$I$102,4,0),CM380-VLOOKUP($P380&amp;" | "&amp;CD$6,'Job Master'!$F$12:$I$102,4,0)-1),""),"")</f>
        <v/>
      </c>
      <c r="CG380" s="73"/>
      <c r="CH380" s="123" t="str">
        <f t="shared" si="669"/>
        <v/>
      </c>
      <c r="CI380" s="123" t="str">
        <f t="shared" si="670"/>
        <v/>
      </c>
      <c r="CJ380" s="97" t="str">
        <f t="shared" ca="1" si="671"/>
        <v/>
      </c>
      <c r="CK380" s="98" t="str">
        <f>IF(CM380&lt;&gt;"",VLOOKUP($P380&amp;" | "&amp;CK$6,'Job Master'!$F$12:$J$102,5,0),"")</f>
        <v/>
      </c>
      <c r="CL380" s="19" t="str">
        <f>IF(CM380&lt;&gt;"",VLOOKUP($P380&amp;" | "&amp;CK$6,'Job Master'!$F$12:$J$102,3,0),"")</f>
        <v/>
      </c>
      <c r="CM380" s="19" t="str">
        <f>IFERROR(IF(AND(CT380&lt;&gt;"",VLOOKUP($P380&amp;" | "&amp;CK$6,'Job Master'!$F$12:$I$102,4,0)&lt;&gt;""),IF(WEEKDAY(CT380-VLOOKUP($P380&amp;" | "&amp;CK$6,'Job Master'!$F$12:$I$102,4,0))&lt;&gt;7,CT380-VLOOKUP($P380&amp;" | "&amp;CK$6,'Job Master'!$F$12:$I$102,4,0),CT380-VLOOKUP($P380&amp;" | "&amp;CK$6,'Job Master'!$F$12:$I$102,4,0)-1),""),"")</f>
        <v/>
      </c>
      <c r="CN380" s="73"/>
      <c r="CO380" s="123" t="str">
        <f t="shared" si="672"/>
        <v/>
      </c>
      <c r="CP380" s="123" t="str">
        <f t="shared" si="673"/>
        <v/>
      </c>
      <c r="CQ380" s="97" t="str">
        <f t="shared" ca="1" si="674"/>
        <v/>
      </c>
      <c r="CR380" s="98" t="str">
        <f>IF(CT380&lt;&gt;"",VLOOKUP($P380&amp;" | "&amp;CR$6,'Job Master'!$F$12:$J$102,5,0),"")</f>
        <v/>
      </c>
      <c r="CS380" s="19" t="str">
        <f>IF(CT380&lt;&gt;"",VLOOKUP($P380&amp;" | "&amp;CR$6,'Job Master'!$F$12:$J$102,3,0),"")</f>
        <v/>
      </c>
      <c r="CT380" s="19" t="str">
        <f>IFERROR(IF(AND(DA380&lt;&gt;"",VLOOKUP($P380&amp;" | "&amp;CR$6,'Job Master'!$F$12:$I$102,4,0)&lt;&gt;""),IF(WEEKDAY(DA380-VLOOKUP($P380&amp;" | "&amp;CR$6,'Job Master'!$F$12:$I$102,4,0))&lt;&gt;7,DA380-VLOOKUP($P380&amp;" | "&amp;CR$6,'Job Master'!$F$12:$I$102,4,0),DA380-VLOOKUP($P380&amp;" | "&amp;CR$6,'Job Master'!$F$12:$I$102,4,0)-1),""),"")</f>
        <v/>
      </c>
      <c r="CU380" s="73"/>
      <c r="CV380" s="123" t="str">
        <f t="shared" si="675"/>
        <v/>
      </c>
      <c r="CW380" s="123" t="str">
        <f t="shared" si="676"/>
        <v/>
      </c>
      <c r="CX380" s="97" t="str">
        <f t="shared" ca="1" si="677"/>
        <v/>
      </c>
      <c r="CY380" s="98" t="str">
        <f>IF(DA380&lt;&gt;"",VLOOKUP($P380&amp;" | "&amp;CY$6,'Job Master'!$F$12:$J$102,5,0),"")</f>
        <v/>
      </c>
      <c r="CZ380" s="19" t="str">
        <f>IF(DA380&lt;&gt;"",VLOOKUP($P380&amp;" | "&amp;CY$6,'Job Master'!$F$12:$J$102,3,0),"")</f>
        <v/>
      </c>
      <c r="DA380" s="19" t="str">
        <f>IFERROR(IF(AND(DH380&lt;&gt;"",VLOOKUP($P380&amp;" | "&amp;CY$6,'Job Master'!$F$12:$I$102,4,0)&lt;&gt;""),IF(WEEKDAY(DH380-VLOOKUP($P380&amp;" | "&amp;CY$6,'Job Master'!$F$12:$I$102,4,0))&lt;&gt;7,DH380-VLOOKUP($P380&amp;" | "&amp;CY$6,'Job Master'!$F$12:$I$102,4,0),DH380-VLOOKUP($P380&amp;" | "&amp;CY$6,'Job Master'!$F$12:$I$102,4,0)-1),""),"")</f>
        <v/>
      </c>
      <c r="DB380" s="73"/>
      <c r="DC380" s="123" t="str">
        <f t="shared" si="678"/>
        <v/>
      </c>
      <c r="DD380" s="123" t="str">
        <f t="shared" si="679"/>
        <v/>
      </c>
      <c r="DE380" s="97" t="str">
        <f t="shared" ca="1" si="680"/>
        <v/>
      </c>
      <c r="DF380" s="98" t="str">
        <f>IF(DH380&lt;&gt;"",VLOOKUP($P380&amp;" | "&amp;DF$6,'Job Master'!$F$12:$J$102,5,0),"")</f>
        <v/>
      </c>
      <c r="DG380" s="19" t="str">
        <f>IF(DH380&lt;&gt;"",VLOOKUP($P380&amp;" | "&amp;DF$6,'Job Master'!$F$12:$J$102,3,0),"")</f>
        <v/>
      </c>
      <c r="DH380" s="19" t="str">
        <f>IFERROR(IF(AND(DO380&lt;&gt;"",VLOOKUP($P380&amp;" | "&amp;DF$6,'Job Master'!$F$12:$I$102,4,0)&lt;&gt;""),IF(WEEKDAY(DO380-VLOOKUP($P380&amp;" | "&amp;DF$6,'Job Master'!$F$12:$I$102,4,0))&lt;&gt;7,DO380-VLOOKUP($P380&amp;" | "&amp;DF$6,'Job Master'!$F$12:$I$102,4,0),DO380-VLOOKUP($P380&amp;" | "&amp;DF$6,'Job Master'!$F$12:$I$102,4,0)-1),""),"")</f>
        <v/>
      </c>
      <c r="DI380" s="73"/>
      <c r="DJ380" s="123" t="str">
        <f t="shared" si="681"/>
        <v/>
      </c>
      <c r="DK380" s="123" t="str">
        <f t="shared" si="682"/>
        <v/>
      </c>
      <c r="DL380" s="97" t="str">
        <f t="shared" ca="1" si="683"/>
        <v/>
      </c>
      <c r="DM380" s="98" t="str">
        <f>IF(DO380&lt;&gt;"",VLOOKUP($P380&amp;" | "&amp;DM$6,'Job Master'!$F$12:$J$102,5,0),"")</f>
        <v/>
      </c>
      <c r="DN380" s="19" t="str">
        <f>IF(DO380&lt;&gt;"",VLOOKUP($P380&amp;" | "&amp;DM$6,'Job Master'!$F$12:$J$102,3,0),"")</f>
        <v/>
      </c>
      <c r="DO380" s="19" t="str">
        <f>IFERROR(IF(AND(DT380&lt;&gt;"",VLOOKUP($P380&amp;" | "&amp;DM$6,'Job Master'!$F$12:$I$102,4,0)&lt;&gt;""),IF(WEEKDAY(DT380-VLOOKUP($P380&amp;" | "&amp;DM$6,'Job Master'!$F$12:$I$102,4,0))&lt;&gt;7,DT380-VLOOKUP($P380&amp;" | "&amp;DM$6,'Job Master'!$F$12:$I$102,4,0),DT380-VLOOKUP($P380&amp;" | "&amp;DM$6,'Job Master'!$F$12:$I$102,4,0)-1),""),"")</f>
        <v/>
      </c>
      <c r="DP380" s="73"/>
      <c r="DQ380" s="123" t="str">
        <f t="shared" si="684"/>
        <v/>
      </c>
      <c r="DR380" s="123" t="str">
        <f t="shared" si="685"/>
        <v/>
      </c>
      <c r="DS380" s="97" t="str">
        <f t="shared" ca="1" si="686"/>
        <v/>
      </c>
      <c r="DT380" s="70" t="str">
        <f t="shared" si="687"/>
        <v/>
      </c>
      <c r="DU380" s="90"/>
      <c r="DV380" s="123" t="str">
        <f t="shared" si="688"/>
        <v/>
      </c>
      <c r="DW380" s="123" t="str">
        <f t="shared" si="689"/>
        <v/>
      </c>
      <c r="DX380" s="132" t="str">
        <f t="shared" ref="DX380" ca="1" si="751">IF(DT380&lt;&gt;"",IF(WEEKNUM(DT380)=WEEKNUM(TODAY()),"This Week",IF(WEEKNUM(DT380)=WEEKNUM(TODAY())+1,"Next Week",IF(WEEKNUM(DT380)=WEEKNUM(TODAY())-1,"Previous Week",""))),"")</f>
        <v/>
      </c>
      <c r="DY380" s="134" t="str">
        <f t="shared" si="691"/>
        <v/>
      </c>
      <c r="DZ380" s="95"/>
      <c r="EB380" s="8" t="str">
        <f t="shared" si="697"/>
        <v/>
      </c>
      <c r="EC380" s="8" t="str">
        <f>IF(O380&lt;&gt;"",VLOOKUP(O380,'Job Master'!$N$12:$O$18,2,0),"")</f>
        <v/>
      </c>
      <c r="ED380" s="8">
        <f t="shared" si="698"/>
        <v>19.5</v>
      </c>
      <c r="EE380" s="8">
        <f t="shared" si="699"/>
        <v>6</v>
      </c>
      <c r="EF380" s="8">
        <f t="shared" si="700"/>
        <v>-2200.5</v>
      </c>
      <c r="EG380" s="8" t="str">
        <f t="shared" si="701"/>
        <v/>
      </c>
      <c r="EH380" s="8" t="str">
        <f t="shared" si="702"/>
        <v/>
      </c>
    </row>
    <row r="381" spans="2:138" x14ac:dyDescent="0.3">
      <c r="B381" s="112"/>
      <c r="C381" s="27"/>
      <c r="D381" s="7" t="str">
        <f t="shared" si="639"/>
        <v/>
      </c>
      <c r="E381" s="25"/>
      <c r="F381" s="7" t="str">
        <f t="shared" si="639"/>
        <v/>
      </c>
      <c r="G381" s="25"/>
      <c r="H381" s="7" t="str">
        <f t="shared" si="639"/>
        <v/>
      </c>
      <c r="I381" s="25"/>
      <c r="J381" s="7" t="str">
        <f t="shared" si="639"/>
        <v/>
      </c>
      <c r="K381" s="25"/>
      <c r="L381" s="7" t="str">
        <f t="shared" si="640"/>
        <v/>
      </c>
      <c r="M381" s="25"/>
      <c r="N381" s="7" t="str">
        <f t="shared" si="641"/>
        <v/>
      </c>
      <c r="O381" s="81"/>
      <c r="P381" s="81" t="str">
        <f t="shared" si="642"/>
        <v/>
      </c>
      <c r="Q381" s="81"/>
      <c r="R381" s="7" t="str">
        <f t="shared" si="643"/>
        <v/>
      </c>
      <c r="S381" s="25"/>
      <c r="T381" s="7" t="str">
        <f t="shared" si="644"/>
        <v/>
      </c>
      <c r="U381" s="25"/>
      <c r="V381" s="7" t="str">
        <f t="shared" si="645"/>
        <v/>
      </c>
      <c r="W381" s="25"/>
      <c r="X381" s="7" t="str">
        <f t="shared" si="646"/>
        <v/>
      </c>
      <c r="Y381" s="18" t="str">
        <f t="shared" si="647"/>
        <v/>
      </c>
      <c r="Z381" s="7" t="str">
        <f t="shared" si="648"/>
        <v/>
      </c>
      <c r="AA381" s="18" t="str">
        <f t="shared" si="649"/>
        <v/>
      </c>
      <c r="AB381" s="19" t="str">
        <f t="shared" si="650"/>
        <v/>
      </c>
      <c r="AC381" s="26"/>
      <c r="AD381" s="26"/>
      <c r="AE381" s="25"/>
      <c r="AF381" s="26"/>
      <c r="AG381" s="25"/>
      <c r="AH381" s="25"/>
      <c r="AI381" s="18" t="str">
        <f t="shared" si="713"/>
        <v/>
      </c>
      <c r="AJ381" s="25"/>
      <c r="AK381" s="18" t="str">
        <f t="shared" si="714"/>
        <v/>
      </c>
      <c r="AL381" s="79"/>
      <c r="AM381" s="126" t="str">
        <f t="shared" si="715"/>
        <v/>
      </c>
      <c r="AN381" s="128" t="str">
        <f>IF(AP381&lt;&gt;"",VLOOKUP($P381&amp;" | "&amp;AN$6,'Job Master'!$F$12:$J$102,5,0),"")</f>
        <v/>
      </c>
      <c r="AO381" s="19" t="str">
        <f>IF(AP381&lt;&gt;"",VLOOKUP($P381&amp;" | "&amp;AN$6,'Job Master'!$F$12:$J$102,3,0),"")</f>
        <v/>
      </c>
      <c r="AP381" s="19" t="str">
        <f>IFERROR(IF(AND(AW381&lt;&gt;"",VLOOKUP($P381&amp;" | "&amp;AN$6,'Job Master'!$F$12:$I$102,4,0)&lt;&gt;""),IF(WEEKDAY(AW381-VLOOKUP($P381&amp;" | "&amp;AN$6,'Job Master'!$F$12:$I$102,4,0))&lt;&gt;7,AW381-VLOOKUP($P381&amp;" | "&amp;AN$6,'Job Master'!$F$12:$I$102,4,0),AW381-VLOOKUP($P381&amp;" | "&amp;AN$6,'Job Master'!$F$12:$I$102,4,0)-1),""),"")</f>
        <v/>
      </c>
      <c r="AQ381" s="73"/>
      <c r="AR381" s="123" t="str">
        <f t="shared" si="651"/>
        <v/>
      </c>
      <c r="AS381" s="123" t="str">
        <f t="shared" si="652"/>
        <v/>
      </c>
      <c r="AT381" s="97" t="str">
        <f t="shared" ca="1" si="653"/>
        <v/>
      </c>
      <c r="AU381" s="98" t="str">
        <f>IF(AW381&lt;&gt;"",VLOOKUP($P381&amp;" | "&amp;AU$6,'Job Master'!$F$12:$J$102,5,0),"")</f>
        <v/>
      </c>
      <c r="AV381" s="19" t="str">
        <f>IF(AW381&lt;&gt;"",VLOOKUP($P381&amp;" | "&amp;AU$6,'Job Master'!$F$12:$J$102,3,0),"")</f>
        <v/>
      </c>
      <c r="AW381" s="19" t="str">
        <f>IFERROR(IF(AND(BD381&lt;&gt;"",VLOOKUP($P381&amp;" | "&amp;AU$6,'Job Master'!$F$12:$I$102,4,0)&lt;&gt;""),IF(WEEKDAY(BD381-VLOOKUP($P381&amp;" | "&amp;AU$6,'Job Master'!$F$12:$I$102,4,0))&lt;&gt;7,BD381-VLOOKUP($P381&amp;" | "&amp;AU$6,'Job Master'!$F$12:$I$102,4,0),BD381-VLOOKUP($P381&amp;" | "&amp;AU$6,'Job Master'!$F$12:$I$102,4,0)-1),""),"")</f>
        <v/>
      </c>
      <c r="AX381" s="73"/>
      <c r="AY381" s="123" t="str">
        <f t="shared" si="654"/>
        <v/>
      </c>
      <c r="AZ381" s="123" t="str">
        <f t="shared" si="655"/>
        <v/>
      </c>
      <c r="BA381" s="97" t="str">
        <f t="shared" ca="1" si="656"/>
        <v/>
      </c>
      <c r="BB381" s="98" t="str">
        <f>IF(BD381&lt;&gt;"",VLOOKUP($P381&amp;" | "&amp;BB$6,'Job Master'!$F$12:$J$102,5,0),"")</f>
        <v/>
      </c>
      <c r="BC381" s="19" t="str">
        <f>IF(BD381&lt;&gt;"",VLOOKUP($P381&amp;" | "&amp;BB$6,'Job Master'!$F$12:$J$102,3,0),"")</f>
        <v/>
      </c>
      <c r="BD381" s="19" t="str">
        <f>IFERROR(IF(AND(BK381&lt;&gt;"",VLOOKUP($P381&amp;" | "&amp;BB$6,'Job Master'!$F$12:$I$102,4,0)&lt;&gt;""),IF(WEEKDAY(BK381-VLOOKUP($P381&amp;" | "&amp;BB$6,'Job Master'!$F$12:$I$102,4,0))&lt;&gt;7,BK381-VLOOKUP($P381&amp;" | "&amp;BB$6,'Job Master'!$F$12:$I$102,4,0),BK381-VLOOKUP($P381&amp;" | "&amp;BB$6,'Job Master'!$F$12:$I$102,4,0)-1),""),"")</f>
        <v/>
      </c>
      <c r="BE381" s="73"/>
      <c r="BF381" s="123" t="str">
        <f t="shared" si="657"/>
        <v/>
      </c>
      <c r="BG381" s="123" t="str">
        <f t="shared" si="658"/>
        <v/>
      </c>
      <c r="BH381" s="97" t="str">
        <f t="shared" ca="1" si="659"/>
        <v/>
      </c>
      <c r="BI381" s="98" t="str">
        <f>IF(BK381&lt;&gt;"",VLOOKUP($P381&amp;" | "&amp;BI$6,'Job Master'!$F$12:$J$102,5,0),"")</f>
        <v/>
      </c>
      <c r="BJ381" s="19" t="str">
        <f>IF(BK381&lt;&gt;"",VLOOKUP($P381&amp;" | "&amp;BI$6,'Job Master'!$F$12:$J$102,3,0),"")</f>
        <v/>
      </c>
      <c r="BK381" s="19" t="str">
        <f>IFERROR(IF(AND(BR381&lt;&gt;"",VLOOKUP($P381&amp;" | "&amp;BI$6,'Job Master'!$F$12:$I$102,4,0)&lt;&gt;""),IF(WEEKDAY(BR381-VLOOKUP($P381&amp;" | "&amp;BI$6,'Job Master'!$F$12:$I$102,4,0))&lt;&gt;7,BR381-VLOOKUP($P381&amp;" | "&amp;BI$6,'Job Master'!$F$12:$I$102,4,0),BR381-VLOOKUP($P381&amp;" | "&amp;BI$6,'Job Master'!$F$12:$I$102,4,0)-1),""),"")</f>
        <v/>
      </c>
      <c r="BL381" s="73"/>
      <c r="BM381" s="123" t="str">
        <f t="shared" si="660"/>
        <v/>
      </c>
      <c r="BN381" s="123" t="str">
        <f t="shared" si="661"/>
        <v/>
      </c>
      <c r="BO381" s="97" t="str">
        <f t="shared" ca="1" si="662"/>
        <v/>
      </c>
      <c r="BP381" s="98" t="str">
        <f>IF(BR381&lt;&gt;"",VLOOKUP($P381&amp;" | "&amp;BP$6,'Job Master'!$F$12:$J$102,5,0),"")</f>
        <v/>
      </c>
      <c r="BQ381" s="19" t="str">
        <f>IF(BR381&lt;&gt;"",VLOOKUP($P381&amp;" | "&amp;BP$6,'Job Master'!$F$12:$J$102,3,0),"")</f>
        <v/>
      </c>
      <c r="BR381" s="19" t="str">
        <f>IFERROR(IF(AND(BY381&lt;&gt;"",VLOOKUP($P381&amp;" | "&amp;BP$6,'Job Master'!$F$12:$I$102,4,0)&lt;&gt;""),IF(WEEKDAY(BY381-VLOOKUP($P381&amp;" | "&amp;BP$6,'Job Master'!$F$12:$I$102,4,0))&lt;&gt;7,BY381-VLOOKUP($P381&amp;" | "&amp;BP$6,'Job Master'!$F$12:$I$102,4,0),BY381-VLOOKUP($P381&amp;" | "&amp;BP$6,'Job Master'!$F$12:$I$102,4,0)-1),""),"")</f>
        <v/>
      </c>
      <c r="BS381" s="73"/>
      <c r="BT381" s="123" t="str">
        <f t="shared" si="663"/>
        <v/>
      </c>
      <c r="BU381" s="123" t="str">
        <f t="shared" si="664"/>
        <v/>
      </c>
      <c r="BV381" s="97" t="str">
        <f t="shared" ca="1" si="665"/>
        <v/>
      </c>
      <c r="BW381" s="98" t="str">
        <f>IF(BY381&lt;&gt;"",VLOOKUP($P381&amp;" | "&amp;BW$6,'Job Master'!$F$12:$J$102,5,0),"")</f>
        <v/>
      </c>
      <c r="BX381" s="19" t="str">
        <f>IF(BY381&lt;&gt;"",VLOOKUP($P381&amp;" | "&amp;BW$6,'Job Master'!$F$12:$J$102,3,0),"")</f>
        <v/>
      </c>
      <c r="BY381" s="19" t="str">
        <f>IFERROR(IF(AND(CF381&lt;&gt;"",VLOOKUP($P381&amp;" | "&amp;BW$6,'Job Master'!$F$12:$I$102,4,0)&lt;&gt;""),IF(WEEKDAY(CF381-VLOOKUP($P381&amp;" | "&amp;BW$6,'Job Master'!$F$12:$I$102,4,0))&lt;&gt;7,CF381-VLOOKUP($P381&amp;" | "&amp;BW$6,'Job Master'!$F$12:$I$102,4,0),CF381-VLOOKUP($P381&amp;" | "&amp;BW$6,'Job Master'!$F$12:$I$102,4,0)-1),""),"")</f>
        <v/>
      </c>
      <c r="BZ381" s="73"/>
      <c r="CA381" s="123" t="str">
        <f t="shared" si="666"/>
        <v/>
      </c>
      <c r="CB381" s="123" t="str">
        <f t="shared" si="667"/>
        <v/>
      </c>
      <c r="CC381" s="97" t="str">
        <f t="shared" ca="1" si="668"/>
        <v/>
      </c>
      <c r="CD381" s="98" t="str">
        <f>IF(CF381&lt;&gt;"",VLOOKUP($P381&amp;" | "&amp;CD$6,'Job Master'!$F$12:$J$102,5,0),"")</f>
        <v/>
      </c>
      <c r="CE381" s="19" t="str">
        <f>IF(CF381&lt;&gt;"",VLOOKUP($P381&amp;" | "&amp;CD$6,'Job Master'!$F$12:$J$102,3,0),"")</f>
        <v/>
      </c>
      <c r="CF381" s="19" t="str">
        <f>IFERROR(IF(AND(CM381&lt;&gt;"",VLOOKUP($P381&amp;" | "&amp;CD$6,'Job Master'!$F$12:$I$102,4,0)&lt;&gt;""),IF(WEEKDAY(CM381-VLOOKUP($P381&amp;" | "&amp;CD$6,'Job Master'!$F$12:$I$102,4,0))&lt;&gt;7,CM381-VLOOKUP($P381&amp;" | "&amp;CD$6,'Job Master'!$F$12:$I$102,4,0),CM381-VLOOKUP($P381&amp;" | "&amp;CD$6,'Job Master'!$F$12:$I$102,4,0)-1),""),"")</f>
        <v/>
      </c>
      <c r="CG381" s="73"/>
      <c r="CH381" s="123" t="str">
        <f t="shared" si="669"/>
        <v/>
      </c>
      <c r="CI381" s="123" t="str">
        <f t="shared" si="670"/>
        <v/>
      </c>
      <c r="CJ381" s="97" t="str">
        <f t="shared" ca="1" si="671"/>
        <v/>
      </c>
      <c r="CK381" s="98" t="str">
        <f>IF(CM381&lt;&gt;"",VLOOKUP($P381&amp;" | "&amp;CK$6,'Job Master'!$F$12:$J$102,5,0),"")</f>
        <v/>
      </c>
      <c r="CL381" s="19" t="str">
        <f>IF(CM381&lt;&gt;"",VLOOKUP($P381&amp;" | "&amp;CK$6,'Job Master'!$F$12:$J$102,3,0),"")</f>
        <v/>
      </c>
      <c r="CM381" s="19" t="str">
        <f>IFERROR(IF(AND(CT381&lt;&gt;"",VLOOKUP($P381&amp;" | "&amp;CK$6,'Job Master'!$F$12:$I$102,4,0)&lt;&gt;""),IF(WEEKDAY(CT381-VLOOKUP($P381&amp;" | "&amp;CK$6,'Job Master'!$F$12:$I$102,4,0))&lt;&gt;7,CT381-VLOOKUP($P381&amp;" | "&amp;CK$6,'Job Master'!$F$12:$I$102,4,0),CT381-VLOOKUP($P381&amp;" | "&amp;CK$6,'Job Master'!$F$12:$I$102,4,0)-1),""),"")</f>
        <v/>
      </c>
      <c r="CN381" s="73"/>
      <c r="CO381" s="123" t="str">
        <f t="shared" si="672"/>
        <v/>
      </c>
      <c r="CP381" s="123" t="str">
        <f t="shared" si="673"/>
        <v/>
      </c>
      <c r="CQ381" s="97" t="str">
        <f t="shared" ca="1" si="674"/>
        <v/>
      </c>
      <c r="CR381" s="98" t="str">
        <f>IF(CT381&lt;&gt;"",VLOOKUP($P381&amp;" | "&amp;CR$6,'Job Master'!$F$12:$J$102,5,0),"")</f>
        <v/>
      </c>
      <c r="CS381" s="19" t="str">
        <f>IF(CT381&lt;&gt;"",VLOOKUP($P381&amp;" | "&amp;CR$6,'Job Master'!$F$12:$J$102,3,0),"")</f>
        <v/>
      </c>
      <c r="CT381" s="19" t="str">
        <f>IFERROR(IF(AND(DA381&lt;&gt;"",VLOOKUP($P381&amp;" | "&amp;CR$6,'Job Master'!$F$12:$I$102,4,0)&lt;&gt;""),IF(WEEKDAY(DA381-VLOOKUP($P381&amp;" | "&amp;CR$6,'Job Master'!$F$12:$I$102,4,0))&lt;&gt;7,DA381-VLOOKUP($P381&amp;" | "&amp;CR$6,'Job Master'!$F$12:$I$102,4,0),DA381-VLOOKUP($P381&amp;" | "&amp;CR$6,'Job Master'!$F$12:$I$102,4,0)-1),""),"")</f>
        <v/>
      </c>
      <c r="CU381" s="73"/>
      <c r="CV381" s="123" t="str">
        <f t="shared" si="675"/>
        <v/>
      </c>
      <c r="CW381" s="123" t="str">
        <f t="shared" si="676"/>
        <v/>
      </c>
      <c r="CX381" s="97" t="str">
        <f t="shared" ca="1" si="677"/>
        <v/>
      </c>
      <c r="CY381" s="98" t="str">
        <f>IF(DA381&lt;&gt;"",VLOOKUP($P381&amp;" | "&amp;CY$6,'Job Master'!$F$12:$J$102,5,0),"")</f>
        <v/>
      </c>
      <c r="CZ381" s="19" t="str">
        <f>IF(DA381&lt;&gt;"",VLOOKUP($P381&amp;" | "&amp;CY$6,'Job Master'!$F$12:$J$102,3,0),"")</f>
        <v/>
      </c>
      <c r="DA381" s="19" t="str">
        <f>IFERROR(IF(AND(DH381&lt;&gt;"",VLOOKUP($P381&amp;" | "&amp;CY$6,'Job Master'!$F$12:$I$102,4,0)&lt;&gt;""),IF(WEEKDAY(DH381-VLOOKUP($P381&amp;" | "&amp;CY$6,'Job Master'!$F$12:$I$102,4,0))&lt;&gt;7,DH381-VLOOKUP($P381&amp;" | "&amp;CY$6,'Job Master'!$F$12:$I$102,4,0),DH381-VLOOKUP($P381&amp;" | "&amp;CY$6,'Job Master'!$F$12:$I$102,4,0)-1),""),"")</f>
        <v/>
      </c>
      <c r="DB381" s="73"/>
      <c r="DC381" s="123" t="str">
        <f t="shared" si="678"/>
        <v/>
      </c>
      <c r="DD381" s="123" t="str">
        <f t="shared" si="679"/>
        <v/>
      </c>
      <c r="DE381" s="97" t="str">
        <f t="shared" ca="1" si="680"/>
        <v/>
      </c>
      <c r="DF381" s="98" t="str">
        <f>IF(DH381&lt;&gt;"",VLOOKUP($P381&amp;" | "&amp;DF$6,'Job Master'!$F$12:$J$102,5,0),"")</f>
        <v/>
      </c>
      <c r="DG381" s="19" t="str">
        <f>IF(DH381&lt;&gt;"",VLOOKUP($P381&amp;" | "&amp;DF$6,'Job Master'!$F$12:$J$102,3,0),"")</f>
        <v/>
      </c>
      <c r="DH381" s="19" t="str">
        <f>IFERROR(IF(AND(DO381&lt;&gt;"",VLOOKUP($P381&amp;" | "&amp;DF$6,'Job Master'!$F$12:$I$102,4,0)&lt;&gt;""),IF(WEEKDAY(DO381-VLOOKUP($P381&amp;" | "&amp;DF$6,'Job Master'!$F$12:$I$102,4,0))&lt;&gt;7,DO381-VLOOKUP($P381&amp;" | "&amp;DF$6,'Job Master'!$F$12:$I$102,4,0),DO381-VLOOKUP($P381&amp;" | "&amp;DF$6,'Job Master'!$F$12:$I$102,4,0)-1),""),"")</f>
        <v/>
      </c>
      <c r="DI381" s="73"/>
      <c r="DJ381" s="123" t="str">
        <f t="shared" si="681"/>
        <v/>
      </c>
      <c r="DK381" s="123" t="str">
        <f t="shared" si="682"/>
        <v/>
      </c>
      <c r="DL381" s="97" t="str">
        <f t="shared" ca="1" si="683"/>
        <v/>
      </c>
      <c r="DM381" s="98" t="str">
        <f>IF(DO381&lt;&gt;"",VLOOKUP($P381&amp;" | "&amp;DM$6,'Job Master'!$F$12:$J$102,5,0),"")</f>
        <v/>
      </c>
      <c r="DN381" s="19" t="str">
        <f>IF(DO381&lt;&gt;"",VLOOKUP($P381&amp;" | "&amp;DM$6,'Job Master'!$F$12:$J$102,3,0),"")</f>
        <v/>
      </c>
      <c r="DO381" s="19" t="str">
        <f>IFERROR(IF(AND(DT381&lt;&gt;"",VLOOKUP($P381&amp;" | "&amp;DM$6,'Job Master'!$F$12:$I$102,4,0)&lt;&gt;""),IF(WEEKDAY(DT381-VLOOKUP($P381&amp;" | "&amp;DM$6,'Job Master'!$F$12:$I$102,4,0))&lt;&gt;7,DT381-VLOOKUP($P381&amp;" | "&amp;DM$6,'Job Master'!$F$12:$I$102,4,0),DT381-VLOOKUP($P381&amp;" | "&amp;DM$6,'Job Master'!$F$12:$I$102,4,0)-1),""),"")</f>
        <v/>
      </c>
      <c r="DP381" s="73"/>
      <c r="DQ381" s="123" t="str">
        <f t="shared" si="684"/>
        <v/>
      </c>
      <c r="DR381" s="123" t="str">
        <f t="shared" si="685"/>
        <v/>
      </c>
      <c r="DS381" s="97" t="str">
        <f t="shared" ca="1" si="686"/>
        <v/>
      </c>
      <c r="DT381" s="70" t="str">
        <f t="shared" si="687"/>
        <v/>
      </c>
      <c r="DU381" s="90"/>
      <c r="DV381" s="123" t="str">
        <f t="shared" si="688"/>
        <v/>
      </c>
      <c r="DW381" s="123" t="str">
        <f t="shared" si="689"/>
        <v/>
      </c>
      <c r="DX381" s="132" t="str">
        <f t="shared" ref="DX381" ca="1" si="752">IF(DT381&lt;&gt;"",IF(WEEKNUM(DT381)=WEEKNUM(TODAY()),"This Week",IF(WEEKNUM(DT381)=WEEKNUM(TODAY())+1,"Next Week",IF(WEEKNUM(DT381)=WEEKNUM(TODAY())-1,"Previous Week",""))),"")</f>
        <v/>
      </c>
      <c r="DY381" s="134" t="str">
        <f t="shared" si="691"/>
        <v/>
      </c>
      <c r="DZ381" s="95"/>
      <c r="EB381" s="8" t="str">
        <f t="shared" si="697"/>
        <v/>
      </c>
      <c r="EC381" s="8" t="str">
        <f>IF(O381&lt;&gt;"",VLOOKUP(O381,'Job Master'!$N$12:$O$18,2,0),"")</f>
        <v/>
      </c>
      <c r="ED381" s="8">
        <f t="shared" si="698"/>
        <v>19.5</v>
      </c>
      <c r="EE381" s="8">
        <f t="shared" si="699"/>
        <v>6</v>
      </c>
      <c r="EF381" s="8">
        <f t="shared" si="700"/>
        <v>-2206.5</v>
      </c>
      <c r="EG381" s="8" t="str">
        <f t="shared" si="701"/>
        <v/>
      </c>
      <c r="EH381" s="8" t="str">
        <f t="shared" si="702"/>
        <v/>
      </c>
    </row>
    <row r="382" spans="2:138" x14ac:dyDescent="0.3">
      <c r="B382" s="112"/>
      <c r="C382" s="27"/>
      <c r="D382" s="7" t="str">
        <f t="shared" si="639"/>
        <v/>
      </c>
      <c r="E382" s="25"/>
      <c r="F382" s="7" t="str">
        <f t="shared" si="639"/>
        <v/>
      </c>
      <c r="G382" s="25"/>
      <c r="H382" s="7" t="str">
        <f t="shared" si="639"/>
        <v/>
      </c>
      <c r="I382" s="25"/>
      <c r="J382" s="7" t="str">
        <f t="shared" si="639"/>
        <v/>
      </c>
      <c r="K382" s="25"/>
      <c r="L382" s="7" t="str">
        <f t="shared" si="640"/>
        <v/>
      </c>
      <c r="M382" s="25"/>
      <c r="N382" s="7" t="str">
        <f t="shared" si="641"/>
        <v/>
      </c>
      <c r="O382" s="81"/>
      <c r="P382" s="81" t="str">
        <f t="shared" si="642"/>
        <v/>
      </c>
      <c r="Q382" s="81"/>
      <c r="R382" s="7" t="str">
        <f t="shared" si="643"/>
        <v/>
      </c>
      <c r="S382" s="25"/>
      <c r="T382" s="7" t="str">
        <f t="shared" si="644"/>
        <v/>
      </c>
      <c r="U382" s="25"/>
      <c r="V382" s="7" t="str">
        <f t="shared" si="645"/>
        <v/>
      </c>
      <c r="W382" s="25"/>
      <c r="X382" s="7" t="str">
        <f t="shared" si="646"/>
        <v/>
      </c>
      <c r="Y382" s="18" t="str">
        <f t="shared" si="647"/>
        <v/>
      </c>
      <c r="Z382" s="7" t="str">
        <f t="shared" si="648"/>
        <v/>
      </c>
      <c r="AA382" s="18" t="str">
        <f t="shared" si="649"/>
        <v/>
      </c>
      <c r="AB382" s="19" t="str">
        <f t="shared" si="650"/>
        <v/>
      </c>
      <c r="AC382" s="26"/>
      <c r="AD382" s="26"/>
      <c r="AE382" s="25"/>
      <c r="AF382" s="26"/>
      <c r="AG382" s="25"/>
      <c r="AH382" s="25"/>
      <c r="AI382" s="18" t="str">
        <f t="shared" si="713"/>
        <v/>
      </c>
      <c r="AJ382" s="25"/>
      <c r="AK382" s="18" t="str">
        <f t="shared" si="714"/>
        <v/>
      </c>
      <c r="AL382" s="79"/>
      <c r="AM382" s="126" t="str">
        <f t="shared" si="715"/>
        <v/>
      </c>
      <c r="AN382" s="128" t="str">
        <f>IF(AP382&lt;&gt;"",VLOOKUP($P382&amp;" | "&amp;AN$6,'Job Master'!$F$12:$J$102,5,0),"")</f>
        <v/>
      </c>
      <c r="AO382" s="19" t="str">
        <f>IF(AP382&lt;&gt;"",VLOOKUP($P382&amp;" | "&amp;AN$6,'Job Master'!$F$12:$J$102,3,0),"")</f>
        <v/>
      </c>
      <c r="AP382" s="19" t="str">
        <f>IFERROR(IF(AND(AW382&lt;&gt;"",VLOOKUP($P382&amp;" | "&amp;AN$6,'Job Master'!$F$12:$I$102,4,0)&lt;&gt;""),IF(WEEKDAY(AW382-VLOOKUP($P382&amp;" | "&amp;AN$6,'Job Master'!$F$12:$I$102,4,0))&lt;&gt;7,AW382-VLOOKUP($P382&amp;" | "&amp;AN$6,'Job Master'!$F$12:$I$102,4,0),AW382-VLOOKUP($P382&amp;" | "&amp;AN$6,'Job Master'!$F$12:$I$102,4,0)-1),""),"")</f>
        <v/>
      </c>
      <c r="AQ382" s="73"/>
      <c r="AR382" s="123" t="str">
        <f t="shared" si="651"/>
        <v/>
      </c>
      <c r="AS382" s="123" t="str">
        <f t="shared" si="652"/>
        <v/>
      </c>
      <c r="AT382" s="97" t="str">
        <f t="shared" ca="1" si="653"/>
        <v/>
      </c>
      <c r="AU382" s="98" t="str">
        <f>IF(AW382&lt;&gt;"",VLOOKUP($P382&amp;" | "&amp;AU$6,'Job Master'!$F$12:$J$102,5,0),"")</f>
        <v/>
      </c>
      <c r="AV382" s="19" t="str">
        <f>IF(AW382&lt;&gt;"",VLOOKUP($P382&amp;" | "&amp;AU$6,'Job Master'!$F$12:$J$102,3,0),"")</f>
        <v/>
      </c>
      <c r="AW382" s="19" t="str">
        <f>IFERROR(IF(AND(BD382&lt;&gt;"",VLOOKUP($P382&amp;" | "&amp;AU$6,'Job Master'!$F$12:$I$102,4,0)&lt;&gt;""),IF(WEEKDAY(BD382-VLOOKUP($P382&amp;" | "&amp;AU$6,'Job Master'!$F$12:$I$102,4,0))&lt;&gt;7,BD382-VLOOKUP($P382&amp;" | "&amp;AU$6,'Job Master'!$F$12:$I$102,4,0),BD382-VLOOKUP($P382&amp;" | "&amp;AU$6,'Job Master'!$F$12:$I$102,4,0)-1),""),"")</f>
        <v/>
      </c>
      <c r="AX382" s="73"/>
      <c r="AY382" s="123" t="str">
        <f t="shared" si="654"/>
        <v/>
      </c>
      <c r="AZ382" s="123" t="str">
        <f t="shared" si="655"/>
        <v/>
      </c>
      <c r="BA382" s="97" t="str">
        <f t="shared" ca="1" si="656"/>
        <v/>
      </c>
      <c r="BB382" s="98" t="str">
        <f>IF(BD382&lt;&gt;"",VLOOKUP($P382&amp;" | "&amp;BB$6,'Job Master'!$F$12:$J$102,5,0),"")</f>
        <v/>
      </c>
      <c r="BC382" s="19" t="str">
        <f>IF(BD382&lt;&gt;"",VLOOKUP($P382&amp;" | "&amp;BB$6,'Job Master'!$F$12:$J$102,3,0),"")</f>
        <v/>
      </c>
      <c r="BD382" s="19" t="str">
        <f>IFERROR(IF(AND(BK382&lt;&gt;"",VLOOKUP($P382&amp;" | "&amp;BB$6,'Job Master'!$F$12:$I$102,4,0)&lt;&gt;""),IF(WEEKDAY(BK382-VLOOKUP($P382&amp;" | "&amp;BB$6,'Job Master'!$F$12:$I$102,4,0))&lt;&gt;7,BK382-VLOOKUP($P382&amp;" | "&amp;BB$6,'Job Master'!$F$12:$I$102,4,0),BK382-VLOOKUP($P382&amp;" | "&amp;BB$6,'Job Master'!$F$12:$I$102,4,0)-1),""),"")</f>
        <v/>
      </c>
      <c r="BE382" s="73"/>
      <c r="BF382" s="123" t="str">
        <f t="shared" si="657"/>
        <v/>
      </c>
      <c r="BG382" s="123" t="str">
        <f t="shared" si="658"/>
        <v/>
      </c>
      <c r="BH382" s="97" t="str">
        <f t="shared" ca="1" si="659"/>
        <v/>
      </c>
      <c r="BI382" s="98" t="str">
        <f>IF(BK382&lt;&gt;"",VLOOKUP($P382&amp;" | "&amp;BI$6,'Job Master'!$F$12:$J$102,5,0),"")</f>
        <v/>
      </c>
      <c r="BJ382" s="19" t="str">
        <f>IF(BK382&lt;&gt;"",VLOOKUP($P382&amp;" | "&amp;BI$6,'Job Master'!$F$12:$J$102,3,0),"")</f>
        <v/>
      </c>
      <c r="BK382" s="19" t="str">
        <f>IFERROR(IF(AND(BR382&lt;&gt;"",VLOOKUP($P382&amp;" | "&amp;BI$6,'Job Master'!$F$12:$I$102,4,0)&lt;&gt;""),IF(WEEKDAY(BR382-VLOOKUP($P382&amp;" | "&amp;BI$6,'Job Master'!$F$12:$I$102,4,0))&lt;&gt;7,BR382-VLOOKUP($P382&amp;" | "&amp;BI$6,'Job Master'!$F$12:$I$102,4,0),BR382-VLOOKUP($P382&amp;" | "&amp;BI$6,'Job Master'!$F$12:$I$102,4,0)-1),""),"")</f>
        <v/>
      </c>
      <c r="BL382" s="73"/>
      <c r="BM382" s="123" t="str">
        <f t="shared" si="660"/>
        <v/>
      </c>
      <c r="BN382" s="123" t="str">
        <f t="shared" si="661"/>
        <v/>
      </c>
      <c r="BO382" s="97" t="str">
        <f t="shared" ca="1" si="662"/>
        <v/>
      </c>
      <c r="BP382" s="98" t="str">
        <f>IF(BR382&lt;&gt;"",VLOOKUP($P382&amp;" | "&amp;BP$6,'Job Master'!$F$12:$J$102,5,0),"")</f>
        <v/>
      </c>
      <c r="BQ382" s="19" t="str">
        <f>IF(BR382&lt;&gt;"",VLOOKUP($P382&amp;" | "&amp;BP$6,'Job Master'!$F$12:$J$102,3,0),"")</f>
        <v/>
      </c>
      <c r="BR382" s="19" t="str">
        <f>IFERROR(IF(AND(BY382&lt;&gt;"",VLOOKUP($P382&amp;" | "&amp;BP$6,'Job Master'!$F$12:$I$102,4,0)&lt;&gt;""),IF(WEEKDAY(BY382-VLOOKUP($P382&amp;" | "&amp;BP$6,'Job Master'!$F$12:$I$102,4,0))&lt;&gt;7,BY382-VLOOKUP($P382&amp;" | "&amp;BP$6,'Job Master'!$F$12:$I$102,4,0),BY382-VLOOKUP($P382&amp;" | "&amp;BP$6,'Job Master'!$F$12:$I$102,4,0)-1),""),"")</f>
        <v/>
      </c>
      <c r="BS382" s="73"/>
      <c r="BT382" s="123" t="str">
        <f t="shared" si="663"/>
        <v/>
      </c>
      <c r="BU382" s="123" t="str">
        <f t="shared" si="664"/>
        <v/>
      </c>
      <c r="BV382" s="97" t="str">
        <f t="shared" ca="1" si="665"/>
        <v/>
      </c>
      <c r="BW382" s="98" t="str">
        <f>IF(BY382&lt;&gt;"",VLOOKUP($P382&amp;" | "&amp;BW$6,'Job Master'!$F$12:$J$102,5,0),"")</f>
        <v/>
      </c>
      <c r="BX382" s="19" t="str">
        <f>IF(BY382&lt;&gt;"",VLOOKUP($P382&amp;" | "&amp;BW$6,'Job Master'!$F$12:$J$102,3,0),"")</f>
        <v/>
      </c>
      <c r="BY382" s="19" t="str">
        <f>IFERROR(IF(AND(CF382&lt;&gt;"",VLOOKUP($P382&amp;" | "&amp;BW$6,'Job Master'!$F$12:$I$102,4,0)&lt;&gt;""),IF(WEEKDAY(CF382-VLOOKUP($P382&amp;" | "&amp;BW$6,'Job Master'!$F$12:$I$102,4,0))&lt;&gt;7,CF382-VLOOKUP($P382&amp;" | "&amp;BW$6,'Job Master'!$F$12:$I$102,4,0),CF382-VLOOKUP($P382&amp;" | "&amp;BW$6,'Job Master'!$F$12:$I$102,4,0)-1),""),"")</f>
        <v/>
      </c>
      <c r="BZ382" s="73"/>
      <c r="CA382" s="123" t="str">
        <f t="shared" si="666"/>
        <v/>
      </c>
      <c r="CB382" s="123" t="str">
        <f t="shared" si="667"/>
        <v/>
      </c>
      <c r="CC382" s="97" t="str">
        <f t="shared" ca="1" si="668"/>
        <v/>
      </c>
      <c r="CD382" s="98" t="str">
        <f>IF(CF382&lt;&gt;"",VLOOKUP($P382&amp;" | "&amp;CD$6,'Job Master'!$F$12:$J$102,5,0),"")</f>
        <v/>
      </c>
      <c r="CE382" s="19" t="str">
        <f>IF(CF382&lt;&gt;"",VLOOKUP($P382&amp;" | "&amp;CD$6,'Job Master'!$F$12:$J$102,3,0),"")</f>
        <v/>
      </c>
      <c r="CF382" s="19" t="str">
        <f>IFERROR(IF(AND(CM382&lt;&gt;"",VLOOKUP($P382&amp;" | "&amp;CD$6,'Job Master'!$F$12:$I$102,4,0)&lt;&gt;""),IF(WEEKDAY(CM382-VLOOKUP($P382&amp;" | "&amp;CD$6,'Job Master'!$F$12:$I$102,4,0))&lt;&gt;7,CM382-VLOOKUP($P382&amp;" | "&amp;CD$6,'Job Master'!$F$12:$I$102,4,0),CM382-VLOOKUP($P382&amp;" | "&amp;CD$6,'Job Master'!$F$12:$I$102,4,0)-1),""),"")</f>
        <v/>
      </c>
      <c r="CG382" s="73"/>
      <c r="CH382" s="123" t="str">
        <f t="shared" si="669"/>
        <v/>
      </c>
      <c r="CI382" s="123" t="str">
        <f t="shared" si="670"/>
        <v/>
      </c>
      <c r="CJ382" s="97" t="str">
        <f t="shared" ca="1" si="671"/>
        <v/>
      </c>
      <c r="CK382" s="98" t="str">
        <f>IF(CM382&lt;&gt;"",VLOOKUP($P382&amp;" | "&amp;CK$6,'Job Master'!$F$12:$J$102,5,0),"")</f>
        <v/>
      </c>
      <c r="CL382" s="19" t="str">
        <f>IF(CM382&lt;&gt;"",VLOOKUP($P382&amp;" | "&amp;CK$6,'Job Master'!$F$12:$J$102,3,0),"")</f>
        <v/>
      </c>
      <c r="CM382" s="19" t="str">
        <f>IFERROR(IF(AND(CT382&lt;&gt;"",VLOOKUP($P382&amp;" | "&amp;CK$6,'Job Master'!$F$12:$I$102,4,0)&lt;&gt;""),IF(WEEKDAY(CT382-VLOOKUP($P382&amp;" | "&amp;CK$6,'Job Master'!$F$12:$I$102,4,0))&lt;&gt;7,CT382-VLOOKUP($P382&amp;" | "&amp;CK$6,'Job Master'!$F$12:$I$102,4,0),CT382-VLOOKUP($P382&amp;" | "&amp;CK$6,'Job Master'!$F$12:$I$102,4,0)-1),""),"")</f>
        <v/>
      </c>
      <c r="CN382" s="73"/>
      <c r="CO382" s="123" t="str">
        <f t="shared" si="672"/>
        <v/>
      </c>
      <c r="CP382" s="123" t="str">
        <f t="shared" si="673"/>
        <v/>
      </c>
      <c r="CQ382" s="97" t="str">
        <f t="shared" ca="1" si="674"/>
        <v/>
      </c>
      <c r="CR382" s="98" t="str">
        <f>IF(CT382&lt;&gt;"",VLOOKUP($P382&amp;" | "&amp;CR$6,'Job Master'!$F$12:$J$102,5,0),"")</f>
        <v/>
      </c>
      <c r="CS382" s="19" t="str">
        <f>IF(CT382&lt;&gt;"",VLOOKUP($P382&amp;" | "&amp;CR$6,'Job Master'!$F$12:$J$102,3,0),"")</f>
        <v/>
      </c>
      <c r="CT382" s="19" t="str">
        <f>IFERROR(IF(AND(DA382&lt;&gt;"",VLOOKUP($P382&amp;" | "&amp;CR$6,'Job Master'!$F$12:$I$102,4,0)&lt;&gt;""),IF(WEEKDAY(DA382-VLOOKUP($P382&amp;" | "&amp;CR$6,'Job Master'!$F$12:$I$102,4,0))&lt;&gt;7,DA382-VLOOKUP($P382&amp;" | "&amp;CR$6,'Job Master'!$F$12:$I$102,4,0),DA382-VLOOKUP($P382&amp;" | "&amp;CR$6,'Job Master'!$F$12:$I$102,4,0)-1),""),"")</f>
        <v/>
      </c>
      <c r="CU382" s="73"/>
      <c r="CV382" s="123" t="str">
        <f t="shared" si="675"/>
        <v/>
      </c>
      <c r="CW382" s="123" t="str">
        <f t="shared" si="676"/>
        <v/>
      </c>
      <c r="CX382" s="97" t="str">
        <f t="shared" ca="1" si="677"/>
        <v/>
      </c>
      <c r="CY382" s="98" t="str">
        <f>IF(DA382&lt;&gt;"",VLOOKUP($P382&amp;" | "&amp;CY$6,'Job Master'!$F$12:$J$102,5,0),"")</f>
        <v/>
      </c>
      <c r="CZ382" s="19" t="str">
        <f>IF(DA382&lt;&gt;"",VLOOKUP($P382&amp;" | "&amp;CY$6,'Job Master'!$F$12:$J$102,3,0),"")</f>
        <v/>
      </c>
      <c r="DA382" s="19" t="str">
        <f>IFERROR(IF(AND(DH382&lt;&gt;"",VLOOKUP($P382&amp;" | "&amp;CY$6,'Job Master'!$F$12:$I$102,4,0)&lt;&gt;""),IF(WEEKDAY(DH382-VLOOKUP($P382&amp;" | "&amp;CY$6,'Job Master'!$F$12:$I$102,4,0))&lt;&gt;7,DH382-VLOOKUP($P382&amp;" | "&amp;CY$6,'Job Master'!$F$12:$I$102,4,0),DH382-VLOOKUP($P382&amp;" | "&amp;CY$6,'Job Master'!$F$12:$I$102,4,0)-1),""),"")</f>
        <v/>
      </c>
      <c r="DB382" s="73"/>
      <c r="DC382" s="123" t="str">
        <f t="shared" si="678"/>
        <v/>
      </c>
      <c r="DD382" s="123" t="str">
        <f t="shared" si="679"/>
        <v/>
      </c>
      <c r="DE382" s="97" t="str">
        <f t="shared" ca="1" si="680"/>
        <v/>
      </c>
      <c r="DF382" s="98" t="str">
        <f>IF(DH382&lt;&gt;"",VLOOKUP($P382&amp;" | "&amp;DF$6,'Job Master'!$F$12:$J$102,5,0),"")</f>
        <v/>
      </c>
      <c r="DG382" s="19" t="str">
        <f>IF(DH382&lt;&gt;"",VLOOKUP($P382&amp;" | "&amp;DF$6,'Job Master'!$F$12:$J$102,3,0),"")</f>
        <v/>
      </c>
      <c r="DH382" s="19" t="str">
        <f>IFERROR(IF(AND(DO382&lt;&gt;"",VLOOKUP($P382&amp;" | "&amp;DF$6,'Job Master'!$F$12:$I$102,4,0)&lt;&gt;""),IF(WEEKDAY(DO382-VLOOKUP($P382&amp;" | "&amp;DF$6,'Job Master'!$F$12:$I$102,4,0))&lt;&gt;7,DO382-VLOOKUP($P382&amp;" | "&amp;DF$6,'Job Master'!$F$12:$I$102,4,0),DO382-VLOOKUP($P382&amp;" | "&amp;DF$6,'Job Master'!$F$12:$I$102,4,0)-1),""),"")</f>
        <v/>
      </c>
      <c r="DI382" s="73"/>
      <c r="DJ382" s="123" t="str">
        <f t="shared" si="681"/>
        <v/>
      </c>
      <c r="DK382" s="123" t="str">
        <f t="shared" si="682"/>
        <v/>
      </c>
      <c r="DL382" s="97" t="str">
        <f t="shared" ca="1" si="683"/>
        <v/>
      </c>
      <c r="DM382" s="98" t="str">
        <f>IF(DO382&lt;&gt;"",VLOOKUP($P382&amp;" | "&amp;DM$6,'Job Master'!$F$12:$J$102,5,0),"")</f>
        <v/>
      </c>
      <c r="DN382" s="19" t="str">
        <f>IF(DO382&lt;&gt;"",VLOOKUP($P382&amp;" | "&amp;DM$6,'Job Master'!$F$12:$J$102,3,0),"")</f>
        <v/>
      </c>
      <c r="DO382" s="19" t="str">
        <f>IFERROR(IF(AND(DT382&lt;&gt;"",VLOOKUP($P382&amp;" | "&amp;DM$6,'Job Master'!$F$12:$I$102,4,0)&lt;&gt;""),IF(WEEKDAY(DT382-VLOOKUP($P382&amp;" | "&amp;DM$6,'Job Master'!$F$12:$I$102,4,0))&lt;&gt;7,DT382-VLOOKUP($P382&amp;" | "&amp;DM$6,'Job Master'!$F$12:$I$102,4,0),DT382-VLOOKUP($P382&amp;" | "&amp;DM$6,'Job Master'!$F$12:$I$102,4,0)-1),""),"")</f>
        <v/>
      </c>
      <c r="DP382" s="73"/>
      <c r="DQ382" s="123" t="str">
        <f t="shared" si="684"/>
        <v/>
      </c>
      <c r="DR382" s="123" t="str">
        <f t="shared" si="685"/>
        <v/>
      </c>
      <c r="DS382" s="97" t="str">
        <f t="shared" ca="1" si="686"/>
        <v/>
      </c>
      <c r="DT382" s="70" t="str">
        <f t="shared" si="687"/>
        <v/>
      </c>
      <c r="DU382" s="90"/>
      <c r="DV382" s="123" t="str">
        <f t="shared" si="688"/>
        <v/>
      </c>
      <c r="DW382" s="123" t="str">
        <f t="shared" si="689"/>
        <v/>
      </c>
      <c r="DX382" s="132" t="str">
        <f t="shared" ref="DX382" ca="1" si="753">IF(DT382&lt;&gt;"",IF(WEEKNUM(DT382)=WEEKNUM(TODAY()),"This Week",IF(WEEKNUM(DT382)=WEEKNUM(TODAY())+1,"Next Week",IF(WEEKNUM(DT382)=WEEKNUM(TODAY())-1,"Previous Week",""))),"")</f>
        <v/>
      </c>
      <c r="DY382" s="134" t="str">
        <f t="shared" si="691"/>
        <v/>
      </c>
      <c r="DZ382" s="95"/>
      <c r="EB382" s="8" t="str">
        <f t="shared" si="697"/>
        <v/>
      </c>
      <c r="EC382" s="8" t="str">
        <f>IF(O382&lt;&gt;"",VLOOKUP(O382,'Job Master'!$N$12:$O$18,2,0),"")</f>
        <v/>
      </c>
      <c r="ED382" s="8">
        <f t="shared" si="698"/>
        <v>19.5</v>
      </c>
      <c r="EE382" s="8">
        <f t="shared" si="699"/>
        <v>6</v>
      </c>
      <c r="EF382" s="8">
        <f t="shared" si="700"/>
        <v>-2212.5</v>
      </c>
      <c r="EG382" s="8" t="str">
        <f t="shared" si="701"/>
        <v/>
      </c>
      <c r="EH382" s="8" t="str">
        <f t="shared" si="702"/>
        <v/>
      </c>
    </row>
    <row r="383" spans="2:138" x14ac:dyDescent="0.3">
      <c r="B383" s="112"/>
      <c r="C383" s="27"/>
      <c r="D383" s="7" t="str">
        <f t="shared" si="639"/>
        <v/>
      </c>
      <c r="E383" s="25"/>
      <c r="F383" s="7" t="str">
        <f t="shared" si="639"/>
        <v/>
      </c>
      <c r="G383" s="25"/>
      <c r="H383" s="7" t="str">
        <f t="shared" si="639"/>
        <v/>
      </c>
      <c r="I383" s="25"/>
      <c r="J383" s="7" t="str">
        <f t="shared" si="639"/>
        <v/>
      </c>
      <c r="K383" s="25"/>
      <c r="L383" s="7" t="str">
        <f t="shared" si="640"/>
        <v/>
      </c>
      <c r="M383" s="25"/>
      <c r="N383" s="7" t="str">
        <f t="shared" si="641"/>
        <v/>
      </c>
      <c r="O383" s="81"/>
      <c r="P383" s="81" t="str">
        <f t="shared" si="642"/>
        <v/>
      </c>
      <c r="Q383" s="81"/>
      <c r="R383" s="7" t="str">
        <f t="shared" si="643"/>
        <v/>
      </c>
      <c r="S383" s="25"/>
      <c r="T383" s="7" t="str">
        <f t="shared" si="644"/>
        <v/>
      </c>
      <c r="U383" s="25"/>
      <c r="V383" s="7" t="str">
        <f t="shared" si="645"/>
        <v/>
      </c>
      <c r="W383" s="25"/>
      <c r="X383" s="7" t="str">
        <f t="shared" si="646"/>
        <v/>
      </c>
      <c r="Y383" s="18" t="str">
        <f t="shared" si="647"/>
        <v/>
      </c>
      <c r="Z383" s="7" t="str">
        <f t="shared" si="648"/>
        <v/>
      </c>
      <c r="AA383" s="18" t="str">
        <f t="shared" si="649"/>
        <v/>
      </c>
      <c r="AB383" s="19" t="str">
        <f t="shared" si="650"/>
        <v/>
      </c>
      <c r="AC383" s="26"/>
      <c r="AD383" s="26"/>
      <c r="AE383" s="25"/>
      <c r="AF383" s="26"/>
      <c r="AG383" s="25"/>
      <c r="AH383" s="25"/>
      <c r="AI383" s="18" t="str">
        <f t="shared" si="713"/>
        <v/>
      </c>
      <c r="AJ383" s="25"/>
      <c r="AK383" s="18" t="str">
        <f t="shared" si="714"/>
        <v/>
      </c>
      <c r="AL383" s="79"/>
      <c r="AM383" s="126" t="str">
        <f t="shared" si="715"/>
        <v/>
      </c>
      <c r="AN383" s="128" t="str">
        <f>IF(AP383&lt;&gt;"",VLOOKUP($P383&amp;" | "&amp;AN$6,'Job Master'!$F$12:$J$102,5,0),"")</f>
        <v/>
      </c>
      <c r="AO383" s="19" t="str">
        <f>IF(AP383&lt;&gt;"",VLOOKUP($P383&amp;" | "&amp;AN$6,'Job Master'!$F$12:$J$102,3,0),"")</f>
        <v/>
      </c>
      <c r="AP383" s="19" t="str">
        <f>IFERROR(IF(AND(AW383&lt;&gt;"",VLOOKUP($P383&amp;" | "&amp;AN$6,'Job Master'!$F$12:$I$102,4,0)&lt;&gt;""),IF(WEEKDAY(AW383-VLOOKUP($P383&amp;" | "&amp;AN$6,'Job Master'!$F$12:$I$102,4,0))&lt;&gt;7,AW383-VLOOKUP($P383&amp;" | "&amp;AN$6,'Job Master'!$F$12:$I$102,4,0),AW383-VLOOKUP($P383&amp;" | "&amp;AN$6,'Job Master'!$F$12:$I$102,4,0)-1),""),"")</f>
        <v/>
      </c>
      <c r="AQ383" s="73"/>
      <c r="AR383" s="123" t="str">
        <f t="shared" si="651"/>
        <v/>
      </c>
      <c r="AS383" s="123" t="str">
        <f t="shared" si="652"/>
        <v/>
      </c>
      <c r="AT383" s="97" t="str">
        <f t="shared" ca="1" si="653"/>
        <v/>
      </c>
      <c r="AU383" s="98" t="str">
        <f>IF(AW383&lt;&gt;"",VLOOKUP($P383&amp;" | "&amp;AU$6,'Job Master'!$F$12:$J$102,5,0),"")</f>
        <v/>
      </c>
      <c r="AV383" s="19" t="str">
        <f>IF(AW383&lt;&gt;"",VLOOKUP($P383&amp;" | "&amp;AU$6,'Job Master'!$F$12:$J$102,3,0),"")</f>
        <v/>
      </c>
      <c r="AW383" s="19" t="str">
        <f>IFERROR(IF(AND(BD383&lt;&gt;"",VLOOKUP($P383&amp;" | "&amp;AU$6,'Job Master'!$F$12:$I$102,4,0)&lt;&gt;""),IF(WEEKDAY(BD383-VLOOKUP($P383&amp;" | "&amp;AU$6,'Job Master'!$F$12:$I$102,4,0))&lt;&gt;7,BD383-VLOOKUP($P383&amp;" | "&amp;AU$6,'Job Master'!$F$12:$I$102,4,0),BD383-VLOOKUP($P383&amp;" | "&amp;AU$6,'Job Master'!$F$12:$I$102,4,0)-1),""),"")</f>
        <v/>
      </c>
      <c r="AX383" s="73"/>
      <c r="AY383" s="123" t="str">
        <f t="shared" si="654"/>
        <v/>
      </c>
      <c r="AZ383" s="123" t="str">
        <f t="shared" si="655"/>
        <v/>
      </c>
      <c r="BA383" s="97" t="str">
        <f t="shared" ca="1" si="656"/>
        <v/>
      </c>
      <c r="BB383" s="98" t="str">
        <f>IF(BD383&lt;&gt;"",VLOOKUP($P383&amp;" | "&amp;BB$6,'Job Master'!$F$12:$J$102,5,0),"")</f>
        <v/>
      </c>
      <c r="BC383" s="19" t="str">
        <f>IF(BD383&lt;&gt;"",VLOOKUP($P383&amp;" | "&amp;BB$6,'Job Master'!$F$12:$J$102,3,0),"")</f>
        <v/>
      </c>
      <c r="BD383" s="19" t="str">
        <f>IFERROR(IF(AND(BK383&lt;&gt;"",VLOOKUP($P383&amp;" | "&amp;BB$6,'Job Master'!$F$12:$I$102,4,0)&lt;&gt;""),IF(WEEKDAY(BK383-VLOOKUP($P383&amp;" | "&amp;BB$6,'Job Master'!$F$12:$I$102,4,0))&lt;&gt;7,BK383-VLOOKUP($P383&amp;" | "&amp;BB$6,'Job Master'!$F$12:$I$102,4,0),BK383-VLOOKUP($P383&amp;" | "&amp;BB$6,'Job Master'!$F$12:$I$102,4,0)-1),""),"")</f>
        <v/>
      </c>
      <c r="BE383" s="73"/>
      <c r="BF383" s="123" t="str">
        <f t="shared" si="657"/>
        <v/>
      </c>
      <c r="BG383" s="123" t="str">
        <f t="shared" si="658"/>
        <v/>
      </c>
      <c r="BH383" s="97" t="str">
        <f t="shared" ca="1" si="659"/>
        <v/>
      </c>
      <c r="BI383" s="98" t="str">
        <f>IF(BK383&lt;&gt;"",VLOOKUP($P383&amp;" | "&amp;BI$6,'Job Master'!$F$12:$J$102,5,0),"")</f>
        <v/>
      </c>
      <c r="BJ383" s="19" t="str">
        <f>IF(BK383&lt;&gt;"",VLOOKUP($P383&amp;" | "&amp;BI$6,'Job Master'!$F$12:$J$102,3,0),"")</f>
        <v/>
      </c>
      <c r="BK383" s="19" t="str">
        <f>IFERROR(IF(AND(BR383&lt;&gt;"",VLOOKUP($P383&amp;" | "&amp;BI$6,'Job Master'!$F$12:$I$102,4,0)&lt;&gt;""),IF(WEEKDAY(BR383-VLOOKUP($P383&amp;" | "&amp;BI$6,'Job Master'!$F$12:$I$102,4,0))&lt;&gt;7,BR383-VLOOKUP($P383&amp;" | "&amp;BI$6,'Job Master'!$F$12:$I$102,4,0),BR383-VLOOKUP($P383&amp;" | "&amp;BI$6,'Job Master'!$F$12:$I$102,4,0)-1),""),"")</f>
        <v/>
      </c>
      <c r="BL383" s="73"/>
      <c r="BM383" s="123" t="str">
        <f t="shared" si="660"/>
        <v/>
      </c>
      <c r="BN383" s="123" t="str">
        <f t="shared" si="661"/>
        <v/>
      </c>
      <c r="BO383" s="97" t="str">
        <f t="shared" ca="1" si="662"/>
        <v/>
      </c>
      <c r="BP383" s="98" t="str">
        <f>IF(BR383&lt;&gt;"",VLOOKUP($P383&amp;" | "&amp;BP$6,'Job Master'!$F$12:$J$102,5,0),"")</f>
        <v/>
      </c>
      <c r="BQ383" s="19" t="str">
        <f>IF(BR383&lt;&gt;"",VLOOKUP($P383&amp;" | "&amp;BP$6,'Job Master'!$F$12:$J$102,3,0),"")</f>
        <v/>
      </c>
      <c r="BR383" s="19" t="str">
        <f>IFERROR(IF(AND(BY383&lt;&gt;"",VLOOKUP($P383&amp;" | "&amp;BP$6,'Job Master'!$F$12:$I$102,4,0)&lt;&gt;""),IF(WEEKDAY(BY383-VLOOKUP($P383&amp;" | "&amp;BP$6,'Job Master'!$F$12:$I$102,4,0))&lt;&gt;7,BY383-VLOOKUP($P383&amp;" | "&amp;BP$6,'Job Master'!$F$12:$I$102,4,0),BY383-VLOOKUP($P383&amp;" | "&amp;BP$6,'Job Master'!$F$12:$I$102,4,0)-1),""),"")</f>
        <v/>
      </c>
      <c r="BS383" s="73"/>
      <c r="BT383" s="123" t="str">
        <f t="shared" si="663"/>
        <v/>
      </c>
      <c r="BU383" s="123" t="str">
        <f t="shared" si="664"/>
        <v/>
      </c>
      <c r="BV383" s="97" t="str">
        <f t="shared" ca="1" si="665"/>
        <v/>
      </c>
      <c r="BW383" s="98" t="str">
        <f>IF(BY383&lt;&gt;"",VLOOKUP($P383&amp;" | "&amp;BW$6,'Job Master'!$F$12:$J$102,5,0),"")</f>
        <v/>
      </c>
      <c r="BX383" s="19" t="str">
        <f>IF(BY383&lt;&gt;"",VLOOKUP($P383&amp;" | "&amp;BW$6,'Job Master'!$F$12:$J$102,3,0),"")</f>
        <v/>
      </c>
      <c r="BY383" s="19" t="str">
        <f>IFERROR(IF(AND(CF383&lt;&gt;"",VLOOKUP($P383&amp;" | "&amp;BW$6,'Job Master'!$F$12:$I$102,4,0)&lt;&gt;""),IF(WEEKDAY(CF383-VLOOKUP($P383&amp;" | "&amp;BW$6,'Job Master'!$F$12:$I$102,4,0))&lt;&gt;7,CF383-VLOOKUP($P383&amp;" | "&amp;BW$6,'Job Master'!$F$12:$I$102,4,0),CF383-VLOOKUP($P383&amp;" | "&amp;BW$6,'Job Master'!$F$12:$I$102,4,0)-1),""),"")</f>
        <v/>
      </c>
      <c r="BZ383" s="73"/>
      <c r="CA383" s="123" t="str">
        <f t="shared" si="666"/>
        <v/>
      </c>
      <c r="CB383" s="123" t="str">
        <f t="shared" si="667"/>
        <v/>
      </c>
      <c r="CC383" s="97" t="str">
        <f t="shared" ca="1" si="668"/>
        <v/>
      </c>
      <c r="CD383" s="98" t="str">
        <f>IF(CF383&lt;&gt;"",VLOOKUP($P383&amp;" | "&amp;CD$6,'Job Master'!$F$12:$J$102,5,0),"")</f>
        <v/>
      </c>
      <c r="CE383" s="19" t="str">
        <f>IF(CF383&lt;&gt;"",VLOOKUP($P383&amp;" | "&amp;CD$6,'Job Master'!$F$12:$J$102,3,0),"")</f>
        <v/>
      </c>
      <c r="CF383" s="19" t="str">
        <f>IFERROR(IF(AND(CM383&lt;&gt;"",VLOOKUP($P383&amp;" | "&amp;CD$6,'Job Master'!$F$12:$I$102,4,0)&lt;&gt;""),IF(WEEKDAY(CM383-VLOOKUP($P383&amp;" | "&amp;CD$6,'Job Master'!$F$12:$I$102,4,0))&lt;&gt;7,CM383-VLOOKUP($P383&amp;" | "&amp;CD$6,'Job Master'!$F$12:$I$102,4,0),CM383-VLOOKUP($P383&amp;" | "&amp;CD$6,'Job Master'!$F$12:$I$102,4,0)-1),""),"")</f>
        <v/>
      </c>
      <c r="CG383" s="73"/>
      <c r="CH383" s="123" t="str">
        <f t="shared" si="669"/>
        <v/>
      </c>
      <c r="CI383" s="123" t="str">
        <f t="shared" si="670"/>
        <v/>
      </c>
      <c r="CJ383" s="97" t="str">
        <f t="shared" ca="1" si="671"/>
        <v/>
      </c>
      <c r="CK383" s="98" t="str">
        <f>IF(CM383&lt;&gt;"",VLOOKUP($P383&amp;" | "&amp;CK$6,'Job Master'!$F$12:$J$102,5,0),"")</f>
        <v/>
      </c>
      <c r="CL383" s="19" t="str">
        <f>IF(CM383&lt;&gt;"",VLOOKUP($P383&amp;" | "&amp;CK$6,'Job Master'!$F$12:$J$102,3,0),"")</f>
        <v/>
      </c>
      <c r="CM383" s="19" t="str">
        <f>IFERROR(IF(AND(CT383&lt;&gt;"",VLOOKUP($P383&amp;" | "&amp;CK$6,'Job Master'!$F$12:$I$102,4,0)&lt;&gt;""),IF(WEEKDAY(CT383-VLOOKUP($P383&amp;" | "&amp;CK$6,'Job Master'!$F$12:$I$102,4,0))&lt;&gt;7,CT383-VLOOKUP($P383&amp;" | "&amp;CK$6,'Job Master'!$F$12:$I$102,4,0),CT383-VLOOKUP($P383&amp;" | "&amp;CK$6,'Job Master'!$F$12:$I$102,4,0)-1),""),"")</f>
        <v/>
      </c>
      <c r="CN383" s="73"/>
      <c r="CO383" s="123" t="str">
        <f t="shared" si="672"/>
        <v/>
      </c>
      <c r="CP383" s="123" t="str">
        <f t="shared" si="673"/>
        <v/>
      </c>
      <c r="CQ383" s="97" t="str">
        <f t="shared" ca="1" si="674"/>
        <v/>
      </c>
      <c r="CR383" s="98" t="str">
        <f>IF(CT383&lt;&gt;"",VLOOKUP($P383&amp;" | "&amp;CR$6,'Job Master'!$F$12:$J$102,5,0),"")</f>
        <v/>
      </c>
      <c r="CS383" s="19" t="str">
        <f>IF(CT383&lt;&gt;"",VLOOKUP($P383&amp;" | "&amp;CR$6,'Job Master'!$F$12:$J$102,3,0),"")</f>
        <v/>
      </c>
      <c r="CT383" s="19" t="str">
        <f>IFERROR(IF(AND(DA383&lt;&gt;"",VLOOKUP($P383&amp;" | "&amp;CR$6,'Job Master'!$F$12:$I$102,4,0)&lt;&gt;""),IF(WEEKDAY(DA383-VLOOKUP($P383&amp;" | "&amp;CR$6,'Job Master'!$F$12:$I$102,4,0))&lt;&gt;7,DA383-VLOOKUP($P383&amp;" | "&amp;CR$6,'Job Master'!$F$12:$I$102,4,0),DA383-VLOOKUP($P383&amp;" | "&amp;CR$6,'Job Master'!$F$12:$I$102,4,0)-1),""),"")</f>
        <v/>
      </c>
      <c r="CU383" s="73"/>
      <c r="CV383" s="123" t="str">
        <f t="shared" si="675"/>
        <v/>
      </c>
      <c r="CW383" s="123" t="str">
        <f t="shared" si="676"/>
        <v/>
      </c>
      <c r="CX383" s="97" t="str">
        <f t="shared" ca="1" si="677"/>
        <v/>
      </c>
      <c r="CY383" s="98" t="str">
        <f>IF(DA383&lt;&gt;"",VLOOKUP($P383&amp;" | "&amp;CY$6,'Job Master'!$F$12:$J$102,5,0),"")</f>
        <v/>
      </c>
      <c r="CZ383" s="19" t="str">
        <f>IF(DA383&lt;&gt;"",VLOOKUP($P383&amp;" | "&amp;CY$6,'Job Master'!$F$12:$J$102,3,0),"")</f>
        <v/>
      </c>
      <c r="DA383" s="19" t="str">
        <f>IFERROR(IF(AND(DH383&lt;&gt;"",VLOOKUP($P383&amp;" | "&amp;CY$6,'Job Master'!$F$12:$I$102,4,0)&lt;&gt;""),IF(WEEKDAY(DH383-VLOOKUP($P383&amp;" | "&amp;CY$6,'Job Master'!$F$12:$I$102,4,0))&lt;&gt;7,DH383-VLOOKUP($P383&amp;" | "&amp;CY$6,'Job Master'!$F$12:$I$102,4,0),DH383-VLOOKUP($P383&amp;" | "&amp;CY$6,'Job Master'!$F$12:$I$102,4,0)-1),""),"")</f>
        <v/>
      </c>
      <c r="DB383" s="73"/>
      <c r="DC383" s="123" t="str">
        <f t="shared" si="678"/>
        <v/>
      </c>
      <c r="DD383" s="123" t="str">
        <f t="shared" si="679"/>
        <v/>
      </c>
      <c r="DE383" s="97" t="str">
        <f t="shared" ca="1" si="680"/>
        <v/>
      </c>
      <c r="DF383" s="98" t="str">
        <f>IF(DH383&lt;&gt;"",VLOOKUP($P383&amp;" | "&amp;DF$6,'Job Master'!$F$12:$J$102,5,0),"")</f>
        <v/>
      </c>
      <c r="DG383" s="19" t="str">
        <f>IF(DH383&lt;&gt;"",VLOOKUP($P383&amp;" | "&amp;DF$6,'Job Master'!$F$12:$J$102,3,0),"")</f>
        <v/>
      </c>
      <c r="DH383" s="19" t="str">
        <f>IFERROR(IF(AND(DO383&lt;&gt;"",VLOOKUP($P383&amp;" | "&amp;DF$6,'Job Master'!$F$12:$I$102,4,0)&lt;&gt;""),IF(WEEKDAY(DO383-VLOOKUP($P383&amp;" | "&amp;DF$6,'Job Master'!$F$12:$I$102,4,0))&lt;&gt;7,DO383-VLOOKUP($P383&amp;" | "&amp;DF$6,'Job Master'!$F$12:$I$102,4,0),DO383-VLOOKUP($P383&amp;" | "&amp;DF$6,'Job Master'!$F$12:$I$102,4,0)-1),""),"")</f>
        <v/>
      </c>
      <c r="DI383" s="73"/>
      <c r="DJ383" s="123" t="str">
        <f t="shared" si="681"/>
        <v/>
      </c>
      <c r="DK383" s="123" t="str">
        <f t="shared" si="682"/>
        <v/>
      </c>
      <c r="DL383" s="97" t="str">
        <f t="shared" ca="1" si="683"/>
        <v/>
      </c>
      <c r="DM383" s="98" t="str">
        <f>IF(DO383&lt;&gt;"",VLOOKUP($P383&amp;" | "&amp;DM$6,'Job Master'!$F$12:$J$102,5,0),"")</f>
        <v/>
      </c>
      <c r="DN383" s="19" t="str">
        <f>IF(DO383&lt;&gt;"",VLOOKUP($P383&amp;" | "&amp;DM$6,'Job Master'!$F$12:$J$102,3,0),"")</f>
        <v/>
      </c>
      <c r="DO383" s="19" t="str">
        <f>IFERROR(IF(AND(DT383&lt;&gt;"",VLOOKUP($P383&amp;" | "&amp;DM$6,'Job Master'!$F$12:$I$102,4,0)&lt;&gt;""),IF(WEEKDAY(DT383-VLOOKUP($P383&amp;" | "&amp;DM$6,'Job Master'!$F$12:$I$102,4,0))&lt;&gt;7,DT383-VLOOKUP($P383&amp;" | "&amp;DM$6,'Job Master'!$F$12:$I$102,4,0),DT383-VLOOKUP($P383&amp;" | "&amp;DM$6,'Job Master'!$F$12:$I$102,4,0)-1),""),"")</f>
        <v/>
      </c>
      <c r="DP383" s="73"/>
      <c r="DQ383" s="123" t="str">
        <f t="shared" si="684"/>
        <v/>
      </c>
      <c r="DR383" s="123" t="str">
        <f t="shared" si="685"/>
        <v/>
      </c>
      <c r="DS383" s="97" t="str">
        <f t="shared" ca="1" si="686"/>
        <v/>
      </c>
      <c r="DT383" s="70" t="str">
        <f t="shared" si="687"/>
        <v/>
      </c>
      <c r="DU383" s="90"/>
      <c r="DV383" s="123" t="str">
        <f t="shared" si="688"/>
        <v/>
      </c>
      <c r="DW383" s="123" t="str">
        <f t="shared" si="689"/>
        <v/>
      </c>
      <c r="DX383" s="132" t="str">
        <f t="shared" ref="DX383" ca="1" si="754">IF(DT383&lt;&gt;"",IF(WEEKNUM(DT383)=WEEKNUM(TODAY()),"This Week",IF(WEEKNUM(DT383)=WEEKNUM(TODAY())+1,"Next Week",IF(WEEKNUM(DT383)=WEEKNUM(TODAY())-1,"Previous Week",""))),"")</f>
        <v/>
      </c>
      <c r="DY383" s="134" t="str">
        <f t="shared" si="691"/>
        <v/>
      </c>
      <c r="DZ383" s="95"/>
      <c r="EB383" s="8" t="str">
        <f t="shared" si="697"/>
        <v/>
      </c>
      <c r="EC383" s="8" t="str">
        <f>IF(O383&lt;&gt;"",VLOOKUP(O383,'Job Master'!$N$12:$O$18,2,0),"")</f>
        <v/>
      </c>
      <c r="ED383" s="8">
        <f t="shared" si="698"/>
        <v>19.5</v>
      </c>
      <c r="EE383" s="8">
        <f t="shared" si="699"/>
        <v>6</v>
      </c>
      <c r="EF383" s="8">
        <f t="shared" si="700"/>
        <v>-2218.5</v>
      </c>
      <c r="EG383" s="8" t="str">
        <f t="shared" si="701"/>
        <v/>
      </c>
      <c r="EH383" s="8" t="str">
        <f t="shared" si="702"/>
        <v/>
      </c>
    </row>
    <row r="384" spans="2:138" x14ac:dyDescent="0.3">
      <c r="B384" s="112"/>
      <c r="C384" s="27"/>
      <c r="D384" s="7" t="str">
        <f t="shared" si="639"/>
        <v/>
      </c>
      <c r="E384" s="25"/>
      <c r="F384" s="7" t="str">
        <f t="shared" si="639"/>
        <v/>
      </c>
      <c r="G384" s="25"/>
      <c r="H384" s="7" t="str">
        <f t="shared" si="639"/>
        <v/>
      </c>
      <c r="I384" s="25"/>
      <c r="J384" s="7" t="str">
        <f t="shared" si="639"/>
        <v/>
      </c>
      <c r="K384" s="25"/>
      <c r="L384" s="7" t="str">
        <f t="shared" si="640"/>
        <v/>
      </c>
      <c r="M384" s="25"/>
      <c r="N384" s="7" t="str">
        <f t="shared" si="641"/>
        <v/>
      </c>
      <c r="O384" s="81"/>
      <c r="P384" s="81" t="str">
        <f t="shared" si="642"/>
        <v/>
      </c>
      <c r="Q384" s="81"/>
      <c r="R384" s="7" t="str">
        <f t="shared" si="643"/>
        <v/>
      </c>
      <c r="S384" s="25"/>
      <c r="T384" s="7" t="str">
        <f t="shared" si="644"/>
        <v/>
      </c>
      <c r="U384" s="25"/>
      <c r="V384" s="7" t="str">
        <f t="shared" si="645"/>
        <v/>
      </c>
      <c r="W384" s="25"/>
      <c r="X384" s="7" t="str">
        <f t="shared" si="646"/>
        <v/>
      </c>
      <c r="Y384" s="18" t="str">
        <f t="shared" si="647"/>
        <v/>
      </c>
      <c r="Z384" s="7" t="str">
        <f t="shared" si="648"/>
        <v/>
      </c>
      <c r="AA384" s="18" t="str">
        <f t="shared" si="649"/>
        <v/>
      </c>
      <c r="AB384" s="19" t="str">
        <f t="shared" si="650"/>
        <v/>
      </c>
      <c r="AC384" s="26"/>
      <c r="AD384" s="26"/>
      <c r="AE384" s="25"/>
      <c r="AF384" s="26"/>
      <c r="AG384" s="25"/>
      <c r="AH384" s="25"/>
      <c r="AI384" s="18" t="str">
        <f t="shared" si="713"/>
        <v/>
      </c>
      <c r="AJ384" s="25"/>
      <c r="AK384" s="18" t="str">
        <f t="shared" si="714"/>
        <v/>
      </c>
      <c r="AL384" s="79"/>
      <c r="AM384" s="126" t="str">
        <f t="shared" si="715"/>
        <v/>
      </c>
      <c r="AN384" s="128" t="str">
        <f>IF(AP384&lt;&gt;"",VLOOKUP($P384&amp;" | "&amp;AN$6,'Job Master'!$F$12:$J$102,5,0),"")</f>
        <v/>
      </c>
      <c r="AO384" s="19" t="str">
        <f>IF(AP384&lt;&gt;"",VLOOKUP($P384&amp;" | "&amp;AN$6,'Job Master'!$F$12:$J$102,3,0),"")</f>
        <v/>
      </c>
      <c r="AP384" s="19" t="str">
        <f>IFERROR(IF(AND(AW384&lt;&gt;"",VLOOKUP($P384&amp;" | "&amp;AN$6,'Job Master'!$F$12:$I$102,4,0)&lt;&gt;""),IF(WEEKDAY(AW384-VLOOKUP($P384&amp;" | "&amp;AN$6,'Job Master'!$F$12:$I$102,4,0))&lt;&gt;7,AW384-VLOOKUP($P384&amp;" | "&amp;AN$6,'Job Master'!$F$12:$I$102,4,0),AW384-VLOOKUP($P384&amp;" | "&amp;AN$6,'Job Master'!$F$12:$I$102,4,0)-1),""),"")</f>
        <v/>
      </c>
      <c r="AQ384" s="73"/>
      <c r="AR384" s="123" t="str">
        <f t="shared" si="651"/>
        <v/>
      </c>
      <c r="AS384" s="123" t="str">
        <f t="shared" si="652"/>
        <v/>
      </c>
      <c r="AT384" s="97" t="str">
        <f t="shared" ca="1" si="653"/>
        <v/>
      </c>
      <c r="AU384" s="98" t="str">
        <f>IF(AW384&lt;&gt;"",VLOOKUP($P384&amp;" | "&amp;AU$6,'Job Master'!$F$12:$J$102,5,0),"")</f>
        <v/>
      </c>
      <c r="AV384" s="19" t="str">
        <f>IF(AW384&lt;&gt;"",VLOOKUP($P384&amp;" | "&amp;AU$6,'Job Master'!$F$12:$J$102,3,0),"")</f>
        <v/>
      </c>
      <c r="AW384" s="19" t="str">
        <f>IFERROR(IF(AND(BD384&lt;&gt;"",VLOOKUP($P384&amp;" | "&amp;AU$6,'Job Master'!$F$12:$I$102,4,0)&lt;&gt;""),IF(WEEKDAY(BD384-VLOOKUP($P384&amp;" | "&amp;AU$6,'Job Master'!$F$12:$I$102,4,0))&lt;&gt;7,BD384-VLOOKUP($P384&amp;" | "&amp;AU$6,'Job Master'!$F$12:$I$102,4,0),BD384-VLOOKUP($P384&amp;" | "&amp;AU$6,'Job Master'!$F$12:$I$102,4,0)-1),""),"")</f>
        <v/>
      </c>
      <c r="AX384" s="73"/>
      <c r="AY384" s="123" t="str">
        <f t="shared" si="654"/>
        <v/>
      </c>
      <c r="AZ384" s="123" t="str">
        <f t="shared" si="655"/>
        <v/>
      </c>
      <c r="BA384" s="97" t="str">
        <f t="shared" ca="1" si="656"/>
        <v/>
      </c>
      <c r="BB384" s="98" t="str">
        <f>IF(BD384&lt;&gt;"",VLOOKUP($P384&amp;" | "&amp;BB$6,'Job Master'!$F$12:$J$102,5,0),"")</f>
        <v/>
      </c>
      <c r="BC384" s="19" t="str">
        <f>IF(BD384&lt;&gt;"",VLOOKUP($P384&amp;" | "&amp;BB$6,'Job Master'!$F$12:$J$102,3,0),"")</f>
        <v/>
      </c>
      <c r="BD384" s="19" t="str">
        <f>IFERROR(IF(AND(BK384&lt;&gt;"",VLOOKUP($P384&amp;" | "&amp;BB$6,'Job Master'!$F$12:$I$102,4,0)&lt;&gt;""),IF(WEEKDAY(BK384-VLOOKUP($P384&amp;" | "&amp;BB$6,'Job Master'!$F$12:$I$102,4,0))&lt;&gt;7,BK384-VLOOKUP($P384&amp;" | "&amp;BB$6,'Job Master'!$F$12:$I$102,4,0),BK384-VLOOKUP($P384&amp;" | "&amp;BB$6,'Job Master'!$F$12:$I$102,4,0)-1),""),"")</f>
        <v/>
      </c>
      <c r="BE384" s="73"/>
      <c r="BF384" s="123" t="str">
        <f t="shared" si="657"/>
        <v/>
      </c>
      <c r="BG384" s="123" t="str">
        <f t="shared" si="658"/>
        <v/>
      </c>
      <c r="BH384" s="97" t="str">
        <f t="shared" ca="1" si="659"/>
        <v/>
      </c>
      <c r="BI384" s="98" t="str">
        <f>IF(BK384&lt;&gt;"",VLOOKUP($P384&amp;" | "&amp;BI$6,'Job Master'!$F$12:$J$102,5,0),"")</f>
        <v/>
      </c>
      <c r="BJ384" s="19" t="str">
        <f>IF(BK384&lt;&gt;"",VLOOKUP($P384&amp;" | "&amp;BI$6,'Job Master'!$F$12:$J$102,3,0),"")</f>
        <v/>
      </c>
      <c r="BK384" s="19" t="str">
        <f>IFERROR(IF(AND(BR384&lt;&gt;"",VLOOKUP($P384&amp;" | "&amp;BI$6,'Job Master'!$F$12:$I$102,4,0)&lt;&gt;""),IF(WEEKDAY(BR384-VLOOKUP($P384&amp;" | "&amp;BI$6,'Job Master'!$F$12:$I$102,4,0))&lt;&gt;7,BR384-VLOOKUP($P384&amp;" | "&amp;BI$6,'Job Master'!$F$12:$I$102,4,0),BR384-VLOOKUP($P384&amp;" | "&amp;BI$6,'Job Master'!$F$12:$I$102,4,0)-1),""),"")</f>
        <v/>
      </c>
      <c r="BL384" s="73"/>
      <c r="BM384" s="123" t="str">
        <f t="shared" si="660"/>
        <v/>
      </c>
      <c r="BN384" s="123" t="str">
        <f t="shared" si="661"/>
        <v/>
      </c>
      <c r="BO384" s="97" t="str">
        <f t="shared" ca="1" si="662"/>
        <v/>
      </c>
      <c r="BP384" s="98" t="str">
        <f>IF(BR384&lt;&gt;"",VLOOKUP($P384&amp;" | "&amp;BP$6,'Job Master'!$F$12:$J$102,5,0),"")</f>
        <v/>
      </c>
      <c r="BQ384" s="19" t="str">
        <f>IF(BR384&lt;&gt;"",VLOOKUP($P384&amp;" | "&amp;BP$6,'Job Master'!$F$12:$J$102,3,0),"")</f>
        <v/>
      </c>
      <c r="BR384" s="19" t="str">
        <f>IFERROR(IF(AND(BY384&lt;&gt;"",VLOOKUP($P384&amp;" | "&amp;BP$6,'Job Master'!$F$12:$I$102,4,0)&lt;&gt;""),IF(WEEKDAY(BY384-VLOOKUP($P384&amp;" | "&amp;BP$6,'Job Master'!$F$12:$I$102,4,0))&lt;&gt;7,BY384-VLOOKUP($P384&amp;" | "&amp;BP$6,'Job Master'!$F$12:$I$102,4,0),BY384-VLOOKUP($P384&amp;" | "&amp;BP$6,'Job Master'!$F$12:$I$102,4,0)-1),""),"")</f>
        <v/>
      </c>
      <c r="BS384" s="73"/>
      <c r="BT384" s="123" t="str">
        <f t="shared" si="663"/>
        <v/>
      </c>
      <c r="BU384" s="123" t="str">
        <f t="shared" si="664"/>
        <v/>
      </c>
      <c r="BV384" s="97" t="str">
        <f t="shared" ca="1" si="665"/>
        <v/>
      </c>
      <c r="BW384" s="98" t="str">
        <f>IF(BY384&lt;&gt;"",VLOOKUP($P384&amp;" | "&amp;BW$6,'Job Master'!$F$12:$J$102,5,0),"")</f>
        <v/>
      </c>
      <c r="BX384" s="19" t="str">
        <f>IF(BY384&lt;&gt;"",VLOOKUP($P384&amp;" | "&amp;BW$6,'Job Master'!$F$12:$J$102,3,0),"")</f>
        <v/>
      </c>
      <c r="BY384" s="19" t="str">
        <f>IFERROR(IF(AND(CF384&lt;&gt;"",VLOOKUP($P384&amp;" | "&amp;BW$6,'Job Master'!$F$12:$I$102,4,0)&lt;&gt;""),IF(WEEKDAY(CF384-VLOOKUP($P384&amp;" | "&amp;BW$6,'Job Master'!$F$12:$I$102,4,0))&lt;&gt;7,CF384-VLOOKUP($P384&amp;" | "&amp;BW$6,'Job Master'!$F$12:$I$102,4,0),CF384-VLOOKUP($P384&amp;" | "&amp;BW$6,'Job Master'!$F$12:$I$102,4,0)-1),""),"")</f>
        <v/>
      </c>
      <c r="BZ384" s="73"/>
      <c r="CA384" s="123" t="str">
        <f t="shared" si="666"/>
        <v/>
      </c>
      <c r="CB384" s="123" t="str">
        <f t="shared" si="667"/>
        <v/>
      </c>
      <c r="CC384" s="97" t="str">
        <f t="shared" ca="1" si="668"/>
        <v/>
      </c>
      <c r="CD384" s="98" t="str">
        <f>IF(CF384&lt;&gt;"",VLOOKUP($P384&amp;" | "&amp;CD$6,'Job Master'!$F$12:$J$102,5,0),"")</f>
        <v/>
      </c>
      <c r="CE384" s="19" t="str">
        <f>IF(CF384&lt;&gt;"",VLOOKUP($P384&amp;" | "&amp;CD$6,'Job Master'!$F$12:$J$102,3,0),"")</f>
        <v/>
      </c>
      <c r="CF384" s="19" t="str">
        <f>IFERROR(IF(AND(CM384&lt;&gt;"",VLOOKUP($P384&amp;" | "&amp;CD$6,'Job Master'!$F$12:$I$102,4,0)&lt;&gt;""),IF(WEEKDAY(CM384-VLOOKUP($P384&amp;" | "&amp;CD$6,'Job Master'!$F$12:$I$102,4,0))&lt;&gt;7,CM384-VLOOKUP($P384&amp;" | "&amp;CD$6,'Job Master'!$F$12:$I$102,4,0),CM384-VLOOKUP($P384&amp;" | "&amp;CD$6,'Job Master'!$F$12:$I$102,4,0)-1),""),"")</f>
        <v/>
      </c>
      <c r="CG384" s="73"/>
      <c r="CH384" s="123" t="str">
        <f t="shared" si="669"/>
        <v/>
      </c>
      <c r="CI384" s="123" t="str">
        <f t="shared" si="670"/>
        <v/>
      </c>
      <c r="CJ384" s="97" t="str">
        <f t="shared" ca="1" si="671"/>
        <v/>
      </c>
      <c r="CK384" s="98" t="str">
        <f>IF(CM384&lt;&gt;"",VLOOKUP($P384&amp;" | "&amp;CK$6,'Job Master'!$F$12:$J$102,5,0),"")</f>
        <v/>
      </c>
      <c r="CL384" s="19" t="str">
        <f>IF(CM384&lt;&gt;"",VLOOKUP($P384&amp;" | "&amp;CK$6,'Job Master'!$F$12:$J$102,3,0),"")</f>
        <v/>
      </c>
      <c r="CM384" s="19" t="str">
        <f>IFERROR(IF(AND(CT384&lt;&gt;"",VLOOKUP($P384&amp;" | "&amp;CK$6,'Job Master'!$F$12:$I$102,4,0)&lt;&gt;""),IF(WEEKDAY(CT384-VLOOKUP($P384&amp;" | "&amp;CK$6,'Job Master'!$F$12:$I$102,4,0))&lt;&gt;7,CT384-VLOOKUP($P384&amp;" | "&amp;CK$6,'Job Master'!$F$12:$I$102,4,0),CT384-VLOOKUP($P384&amp;" | "&amp;CK$6,'Job Master'!$F$12:$I$102,4,0)-1),""),"")</f>
        <v/>
      </c>
      <c r="CN384" s="73"/>
      <c r="CO384" s="123" t="str">
        <f t="shared" si="672"/>
        <v/>
      </c>
      <c r="CP384" s="123" t="str">
        <f t="shared" si="673"/>
        <v/>
      </c>
      <c r="CQ384" s="97" t="str">
        <f t="shared" ca="1" si="674"/>
        <v/>
      </c>
      <c r="CR384" s="98" t="str">
        <f>IF(CT384&lt;&gt;"",VLOOKUP($P384&amp;" | "&amp;CR$6,'Job Master'!$F$12:$J$102,5,0),"")</f>
        <v/>
      </c>
      <c r="CS384" s="19" t="str">
        <f>IF(CT384&lt;&gt;"",VLOOKUP($P384&amp;" | "&amp;CR$6,'Job Master'!$F$12:$J$102,3,0),"")</f>
        <v/>
      </c>
      <c r="CT384" s="19" t="str">
        <f>IFERROR(IF(AND(DA384&lt;&gt;"",VLOOKUP($P384&amp;" | "&amp;CR$6,'Job Master'!$F$12:$I$102,4,0)&lt;&gt;""),IF(WEEKDAY(DA384-VLOOKUP($P384&amp;" | "&amp;CR$6,'Job Master'!$F$12:$I$102,4,0))&lt;&gt;7,DA384-VLOOKUP($P384&amp;" | "&amp;CR$6,'Job Master'!$F$12:$I$102,4,0),DA384-VLOOKUP($P384&amp;" | "&amp;CR$6,'Job Master'!$F$12:$I$102,4,0)-1),""),"")</f>
        <v/>
      </c>
      <c r="CU384" s="73"/>
      <c r="CV384" s="123" t="str">
        <f t="shared" si="675"/>
        <v/>
      </c>
      <c r="CW384" s="123" t="str">
        <f t="shared" si="676"/>
        <v/>
      </c>
      <c r="CX384" s="97" t="str">
        <f t="shared" ca="1" si="677"/>
        <v/>
      </c>
      <c r="CY384" s="98" t="str">
        <f>IF(DA384&lt;&gt;"",VLOOKUP($P384&amp;" | "&amp;CY$6,'Job Master'!$F$12:$J$102,5,0),"")</f>
        <v/>
      </c>
      <c r="CZ384" s="19" t="str">
        <f>IF(DA384&lt;&gt;"",VLOOKUP($P384&amp;" | "&amp;CY$6,'Job Master'!$F$12:$J$102,3,0),"")</f>
        <v/>
      </c>
      <c r="DA384" s="19" t="str">
        <f>IFERROR(IF(AND(DH384&lt;&gt;"",VLOOKUP($P384&amp;" | "&amp;CY$6,'Job Master'!$F$12:$I$102,4,0)&lt;&gt;""),IF(WEEKDAY(DH384-VLOOKUP($P384&amp;" | "&amp;CY$6,'Job Master'!$F$12:$I$102,4,0))&lt;&gt;7,DH384-VLOOKUP($P384&amp;" | "&amp;CY$6,'Job Master'!$F$12:$I$102,4,0),DH384-VLOOKUP($P384&amp;" | "&amp;CY$6,'Job Master'!$F$12:$I$102,4,0)-1),""),"")</f>
        <v/>
      </c>
      <c r="DB384" s="73"/>
      <c r="DC384" s="123" t="str">
        <f t="shared" si="678"/>
        <v/>
      </c>
      <c r="DD384" s="123" t="str">
        <f t="shared" si="679"/>
        <v/>
      </c>
      <c r="DE384" s="97" t="str">
        <f t="shared" ca="1" si="680"/>
        <v/>
      </c>
      <c r="DF384" s="98" t="str">
        <f>IF(DH384&lt;&gt;"",VLOOKUP($P384&amp;" | "&amp;DF$6,'Job Master'!$F$12:$J$102,5,0),"")</f>
        <v/>
      </c>
      <c r="DG384" s="19" t="str">
        <f>IF(DH384&lt;&gt;"",VLOOKUP($P384&amp;" | "&amp;DF$6,'Job Master'!$F$12:$J$102,3,0),"")</f>
        <v/>
      </c>
      <c r="DH384" s="19" t="str">
        <f>IFERROR(IF(AND(DO384&lt;&gt;"",VLOOKUP($P384&amp;" | "&amp;DF$6,'Job Master'!$F$12:$I$102,4,0)&lt;&gt;""),IF(WEEKDAY(DO384-VLOOKUP($P384&amp;" | "&amp;DF$6,'Job Master'!$F$12:$I$102,4,0))&lt;&gt;7,DO384-VLOOKUP($P384&amp;" | "&amp;DF$6,'Job Master'!$F$12:$I$102,4,0),DO384-VLOOKUP($P384&amp;" | "&amp;DF$6,'Job Master'!$F$12:$I$102,4,0)-1),""),"")</f>
        <v/>
      </c>
      <c r="DI384" s="73"/>
      <c r="DJ384" s="123" t="str">
        <f t="shared" si="681"/>
        <v/>
      </c>
      <c r="DK384" s="123" t="str">
        <f t="shared" si="682"/>
        <v/>
      </c>
      <c r="DL384" s="97" t="str">
        <f t="shared" ca="1" si="683"/>
        <v/>
      </c>
      <c r="DM384" s="98" t="str">
        <f>IF(DO384&lt;&gt;"",VLOOKUP($P384&amp;" | "&amp;DM$6,'Job Master'!$F$12:$J$102,5,0),"")</f>
        <v/>
      </c>
      <c r="DN384" s="19" t="str">
        <f>IF(DO384&lt;&gt;"",VLOOKUP($P384&amp;" | "&amp;DM$6,'Job Master'!$F$12:$J$102,3,0),"")</f>
        <v/>
      </c>
      <c r="DO384" s="19" t="str">
        <f>IFERROR(IF(AND(DT384&lt;&gt;"",VLOOKUP($P384&amp;" | "&amp;DM$6,'Job Master'!$F$12:$I$102,4,0)&lt;&gt;""),IF(WEEKDAY(DT384-VLOOKUP($P384&amp;" | "&amp;DM$6,'Job Master'!$F$12:$I$102,4,0))&lt;&gt;7,DT384-VLOOKUP($P384&amp;" | "&amp;DM$6,'Job Master'!$F$12:$I$102,4,0),DT384-VLOOKUP($P384&amp;" | "&amp;DM$6,'Job Master'!$F$12:$I$102,4,0)-1),""),"")</f>
        <v/>
      </c>
      <c r="DP384" s="73"/>
      <c r="DQ384" s="123" t="str">
        <f t="shared" si="684"/>
        <v/>
      </c>
      <c r="DR384" s="123" t="str">
        <f t="shared" si="685"/>
        <v/>
      </c>
      <c r="DS384" s="97" t="str">
        <f t="shared" ca="1" si="686"/>
        <v/>
      </c>
      <c r="DT384" s="70" t="str">
        <f t="shared" si="687"/>
        <v/>
      </c>
      <c r="DU384" s="90"/>
      <c r="DV384" s="123" t="str">
        <f t="shared" si="688"/>
        <v/>
      </c>
      <c r="DW384" s="123" t="str">
        <f t="shared" si="689"/>
        <v/>
      </c>
      <c r="DX384" s="132" t="str">
        <f t="shared" ref="DX384" ca="1" si="755">IF(DT384&lt;&gt;"",IF(WEEKNUM(DT384)=WEEKNUM(TODAY()),"This Week",IF(WEEKNUM(DT384)=WEEKNUM(TODAY())+1,"Next Week",IF(WEEKNUM(DT384)=WEEKNUM(TODAY())-1,"Previous Week",""))),"")</f>
        <v/>
      </c>
      <c r="DY384" s="134" t="str">
        <f t="shared" si="691"/>
        <v/>
      </c>
      <c r="DZ384" s="95"/>
      <c r="EB384" s="8" t="str">
        <f t="shared" si="697"/>
        <v/>
      </c>
      <c r="EC384" s="8" t="str">
        <f>IF(O384&lt;&gt;"",VLOOKUP(O384,'Job Master'!$N$12:$O$18,2,0),"")</f>
        <v/>
      </c>
      <c r="ED384" s="8">
        <f t="shared" si="698"/>
        <v>19.5</v>
      </c>
      <c r="EE384" s="8">
        <f t="shared" si="699"/>
        <v>6</v>
      </c>
      <c r="EF384" s="8">
        <f t="shared" si="700"/>
        <v>-2224.5</v>
      </c>
      <c r="EG384" s="8" t="str">
        <f t="shared" si="701"/>
        <v/>
      </c>
      <c r="EH384" s="8" t="str">
        <f t="shared" si="702"/>
        <v/>
      </c>
    </row>
    <row r="385" spans="2:138" x14ac:dyDescent="0.3">
      <c r="B385" s="112"/>
      <c r="C385" s="27"/>
      <c r="D385" s="7" t="str">
        <f t="shared" si="639"/>
        <v/>
      </c>
      <c r="E385" s="25"/>
      <c r="F385" s="7" t="str">
        <f t="shared" si="639"/>
        <v/>
      </c>
      <c r="G385" s="25"/>
      <c r="H385" s="7" t="str">
        <f t="shared" si="639"/>
        <v/>
      </c>
      <c r="I385" s="25"/>
      <c r="J385" s="7" t="str">
        <f t="shared" si="639"/>
        <v/>
      </c>
      <c r="K385" s="25"/>
      <c r="L385" s="7" t="str">
        <f t="shared" si="640"/>
        <v/>
      </c>
      <c r="M385" s="25"/>
      <c r="N385" s="7" t="str">
        <f t="shared" si="641"/>
        <v/>
      </c>
      <c r="O385" s="81"/>
      <c r="P385" s="81" t="str">
        <f t="shared" si="642"/>
        <v/>
      </c>
      <c r="Q385" s="81"/>
      <c r="R385" s="7" t="str">
        <f t="shared" si="643"/>
        <v/>
      </c>
      <c r="S385" s="25"/>
      <c r="T385" s="7" t="str">
        <f t="shared" si="644"/>
        <v/>
      </c>
      <c r="U385" s="25"/>
      <c r="V385" s="7" t="str">
        <f t="shared" si="645"/>
        <v/>
      </c>
      <c r="W385" s="25"/>
      <c r="X385" s="7" t="str">
        <f t="shared" si="646"/>
        <v/>
      </c>
      <c r="Y385" s="18" t="str">
        <f t="shared" si="647"/>
        <v/>
      </c>
      <c r="Z385" s="7" t="str">
        <f t="shared" si="648"/>
        <v/>
      </c>
      <c r="AA385" s="18" t="str">
        <f t="shared" si="649"/>
        <v/>
      </c>
      <c r="AB385" s="19" t="str">
        <f t="shared" si="650"/>
        <v/>
      </c>
      <c r="AC385" s="26"/>
      <c r="AD385" s="26"/>
      <c r="AE385" s="25"/>
      <c r="AF385" s="26"/>
      <c r="AG385" s="25"/>
      <c r="AH385" s="25"/>
      <c r="AI385" s="18" t="str">
        <f t="shared" si="713"/>
        <v/>
      </c>
      <c r="AJ385" s="25"/>
      <c r="AK385" s="18" t="str">
        <f t="shared" si="714"/>
        <v/>
      </c>
      <c r="AL385" s="79"/>
      <c r="AM385" s="126" t="str">
        <f t="shared" si="715"/>
        <v/>
      </c>
      <c r="AN385" s="128" t="str">
        <f>IF(AP385&lt;&gt;"",VLOOKUP($P385&amp;" | "&amp;AN$6,'Job Master'!$F$12:$J$102,5,0),"")</f>
        <v/>
      </c>
      <c r="AO385" s="19" t="str">
        <f>IF(AP385&lt;&gt;"",VLOOKUP($P385&amp;" | "&amp;AN$6,'Job Master'!$F$12:$J$102,3,0),"")</f>
        <v/>
      </c>
      <c r="AP385" s="19" t="str">
        <f>IFERROR(IF(AND(AW385&lt;&gt;"",VLOOKUP($P385&amp;" | "&amp;AN$6,'Job Master'!$F$12:$I$102,4,0)&lt;&gt;""),IF(WEEKDAY(AW385-VLOOKUP($P385&amp;" | "&amp;AN$6,'Job Master'!$F$12:$I$102,4,0))&lt;&gt;7,AW385-VLOOKUP($P385&amp;" | "&amp;AN$6,'Job Master'!$F$12:$I$102,4,0),AW385-VLOOKUP($P385&amp;" | "&amp;AN$6,'Job Master'!$F$12:$I$102,4,0)-1),""),"")</f>
        <v/>
      </c>
      <c r="AQ385" s="73"/>
      <c r="AR385" s="123" t="str">
        <f t="shared" si="651"/>
        <v/>
      </c>
      <c r="AS385" s="123" t="str">
        <f t="shared" si="652"/>
        <v/>
      </c>
      <c r="AT385" s="97" t="str">
        <f t="shared" ca="1" si="653"/>
        <v/>
      </c>
      <c r="AU385" s="98" t="str">
        <f>IF(AW385&lt;&gt;"",VLOOKUP($P385&amp;" | "&amp;AU$6,'Job Master'!$F$12:$J$102,5,0),"")</f>
        <v/>
      </c>
      <c r="AV385" s="19" t="str">
        <f>IF(AW385&lt;&gt;"",VLOOKUP($P385&amp;" | "&amp;AU$6,'Job Master'!$F$12:$J$102,3,0),"")</f>
        <v/>
      </c>
      <c r="AW385" s="19" t="str">
        <f>IFERROR(IF(AND(BD385&lt;&gt;"",VLOOKUP($P385&amp;" | "&amp;AU$6,'Job Master'!$F$12:$I$102,4,0)&lt;&gt;""),IF(WEEKDAY(BD385-VLOOKUP($P385&amp;" | "&amp;AU$6,'Job Master'!$F$12:$I$102,4,0))&lt;&gt;7,BD385-VLOOKUP($P385&amp;" | "&amp;AU$6,'Job Master'!$F$12:$I$102,4,0),BD385-VLOOKUP($P385&amp;" | "&amp;AU$6,'Job Master'!$F$12:$I$102,4,0)-1),""),"")</f>
        <v/>
      </c>
      <c r="AX385" s="73"/>
      <c r="AY385" s="123" t="str">
        <f t="shared" si="654"/>
        <v/>
      </c>
      <c r="AZ385" s="123" t="str">
        <f t="shared" si="655"/>
        <v/>
      </c>
      <c r="BA385" s="97" t="str">
        <f t="shared" ca="1" si="656"/>
        <v/>
      </c>
      <c r="BB385" s="98" t="str">
        <f>IF(BD385&lt;&gt;"",VLOOKUP($P385&amp;" | "&amp;BB$6,'Job Master'!$F$12:$J$102,5,0),"")</f>
        <v/>
      </c>
      <c r="BC385" s="19" t="str">
        <f>IF(BD385&lt;&gt;"",VLOOKUP($P385&amp;" | "&amp;BB$6,'Job Master'!$F$12:$J$102,3,0),"")</f>
        <v/>
      </c>
      <c r="BD385" s="19" t="str">
        <f>IFERROR(IF(AND(BK385&lt;&gt;"",VLOOKUP($P385&amp;" | "&amp;BB$6,'Job Master'!$F$12:$I$102,4,0)&lt;&gt;""),IF(WEEKDAY(BK385-VLOOKUP($P385&amp;" | "&amp;BB$6,'Job Master'!$F$12:$I$102,4,0))&lt;&gt;7,BK385-VLOOKUP($P385&amp;" | "&amp;BB$6,'Job Master'!$F$12:$I$102,4,0),BK385-VLOOKUP($P385&amp;" | "&amp;BB$6,'Job Master'!$F$12:$I$102,4,0)-1),""),"")</f>
        <v/>
      </c>
      <c r="BE385" s="73"/>
      <c r="BF385" s="123" t="str">
        <f t="shared" si="657"/>
        <v/>
      </c>
      <c r="BG385" s="123" t="str">
        <f t="shared" si="658"/>
        <v/>
      </c>
      <c r="BH385" s="97" t="str">
        <f t="shared" ca="1" si="659"/>
        <v/>
      </c>
      <c r="BI385" s="98" t="str">
        <f>IF(BK385&lt;&gt;"",VLOOKUP($P385&amp;" | "&amp;BI$6,'Job Master'!$F$12:$J$102,5,0),"")</f>
        <v/>
      </c>
      <c r="BJ385" s="19" t="str">
        <f>IF(BK385&lt;&gt;"",VLOOKUP($P385&amp;" | "&amp;BI$6,'Job Master'!$F$12:$J$102,3,0),"")</f>
        <v/>
      </c>
      <c r="BK385" s="19" t="str">
        <f>IFERROR(IF(AND(BR385&lt;&gt;"",VLOOKUP($P385&amp;" | "&amp;BI$6,'Job Master'!$F$12:$I$102,4,0)&lt;&gt;""),IF(WEEKDAY(BR385-VLOOKUP($P385&amp;" | "&amp;BI$6,'Job Master'!$F$12:$I$102,4,0))&lt;&gt;7,BR385-VLOOKUP($P385&amp;" | "&amp;BI$6,'Job Master'!$F$12:$I$102,4,0),BR385-VLOOKUP($P385&amp;" | "&amp;BI$6,'Job Master'!$F$12:$I$102,4,0)-1),""),"")</f>
        <v/>
      </c>
      <c r="BL385" s="73"/>
      <c r="BM385" s="123" t="str">
        <f t="shared" si="660"/>
        <v/>
      </c>
      <c r="BN385" s="123" t="str">
        <f t="shared" si="661"/>
        <v/>
      </c>
      <c r="BO385" s="97" t="str">
        <f t="shared" ca="1" si="662"/>
        <v/>
      </c>
      <c r="BP385" s="98" t="str">
        <f>IF(BR385&lt;&gt;"",VLOOKUP($P385&amp;" | "&amp;BP$6,'Job Master'!$F$12:$J$102,5,0),"")</f>
        <v/>
      </c>
      <c r="BQ385" s="19" t="str">
        <f>IF(BR385&lt;&gt;"",VLOOKUP($P385&amp;" | "&amp;BP$6,'Job Master'!$F$12:$J$102,3,0),"")</f>
        <v/>
      </c>
      <c r="BR385" s="19" t="str">
        <f>IFERROR(IF(AND(BY385&lt;&gt;"",VLOOKUP($P385&amp;" | "&amp;BP$6,'Job Master'!$F$12:$I$102,4,0)&lt;&gt;""),IF(WEEKDAY(BY385-VLOOKUP($P385&amp;" | "&amp;BP$6,'Job Master'!$F$12:$I$102,4,0))&lt;&gt;7,BY385-VLOOKUP($P385&amp;" | "&amp;BP$6,'Job Master'!$F$12:$I$102,4,0),BY385-VLOOKUP($P385&amp;" | "&amp;BP$6,'Job Master'!$F$12:$I$102,4,0)-1),""),"")</f>
        <v/>
      </c>
      <c r="BS385" s="73"/>
      <c r="BT385" s="123" t="str">
        <f t="shared" si="663"/>
        <v/>
      </c>
      <c r="BU385" s="123" t="str">
        <f t="shared" si="664"/>
        <v/>
      </c>
      <c r="BV385" s="97" t="str">
        <f t="shared" ca="1" si="665"/>
        <v/>
      </c>
      <c r="BW385" s="98" t="str">
        <f>IF(BY385&lt;&gt;"",VLOOKUP($P385&amp;" | "&amp;BW$6,'Job Master'!$F$12:$J$102,5,0),"")</f>
        <v/>
      </c>
      <c r="BX385" s="19" t="str">
        <f>IF(BY385&lt;&gt;"",VLOOKUP($P385&amp;" | "&amp;BW$6,'Job Master'!$F$12:$J$102,3,0),"")</f>
        <v/>
      </c>
      <c r="BY385" s="19" t="str">
        <f>IFERROR(IF(AND(CF385&lt;&gt;"",VLOOKUP($P385&amp;" | "&amp;BW$6,'Job Master'!$F$12:$I$102,4,0)&lt;&gt;""),IF(WEEKDAY(CF385-VLOOKUP($P385&amp;" | "&amp;BW$6,'Job Master'!$F$12:$I$102,4,0))&lt;&gt;7,CF385-VLOOKUP($P385&amp;" | "&amp;BW$6,'Job Master'!$F$12:$I$102,4,0),CF385-VLOOKUP($P385&amp;" | "&amp;BW$6,'Job Master'!$F$12:$I$102,4,0)-1),""),"")</f>
        <v/>
      </c>
      <c r="BZ385" s="73"/>
      <c r="CA385" s="123" t="str">
        <f t="shared" si="666"/>
        <v/>
      </c>
      <c r="CB385" s="123" t="str">
        <f t="shared" si="667"/>
        <v/>
      </c>
      <c r="CC385" s="97" t="str">
        <f t="shared" ca="1" si="668"/>
        <v/>
      </c>
      <c r="CD385" s="98" t="str">
        <f>IF(CF385&lt;&gt;"",VLOOKUP($P385&amp;" | "&amp;CD$6,'Job Master'!$F$12:$J$102,5,0),"")</f>
        <v/>
      </c>
      <c r="CE385" s="19" t="str">
        <f>IF(CF385&lt;&gt;"",VLOOKUP($P385&amp;" | "&amp;CD$6,'Job Master'!$F$12:$J$102,3,0),"")</f>
        <v/>
      </c>
      <c r="CF385" s="19" t="str">
        <f>IFERROR(IF(AND(CM385&lt;&gt;"",VLOOKUP($P385&amp;" | "&amp;CD$6,'Job Master'!$F$12:$I$102,4,0)&lt;&gt;""),IF(WEEKDAY(CM385-VLOOKUP($P385&amp;" | "&amp;CD$6,'Job Master'!$F$12:$I$102,4,0))&lt;&gt;7,CM385-VLOOKUP($P385&amp;" | "&amp;CD$6,'Job Master'!$F$12:$I$102,4,0),CM385-VLOOKUP($P385&amp;" | "&amp;CD$6,'Job Master'!$F$12:$I$102,4,0)-1),""),"")</f>
        <v/>
      </c>
      <c r="CG385" s="73"/>
      <c r="CH385" s="123" t="str">
        <f t="shared" si="669"/>
        <v/>
      </c>
      <c r="CI385" s="123" t="str">
        <f t="shared" si="670"/>
        <v/>
      </c>
      <c r="CJ385" s="97" t="str">
        <f t="shared" ca="1" si="671"/>
        <v/>
      </c>
      <c r="CK385" s="98" t="str">
        <f>IF(CM385&lt;&gt;"",VLOOKUP($P385&amp;" | "&amp;CK$6,'Job Master'!$F$12:$J$102,5,0),"")</f>
        <v/>
      </c>
      <c r="CL385" s="19" t="str">
        <f>IF(CM385&lt;&gt;"",VLOOKUP($P385&amp;" | "&amp;CK$6,'Job Master'!$F$12:$J$102,3,0),"")</f>
        <v/>
      </c>
      <c r="CM385" s="19" t="str">
        <f>IFERROR(IF(AND(CT385&lt;&gt;"",VLOOKUP($P385&amp;" | "&amp;CK$6,'Job Master'!$F$12:$I$102,4,0)&lt;&gt;""),IF(WEEKDAY(CT385-VLOOKUP($P385&amp;" | "&amp;CK$6,'Job Master'!$F$12:$I$102,4,0))&lt;&gt;7,CT385-VLOOKUP($P385&amp;" | "&amp;CK$6,'Job Master'!$F$12:$I$102,4,0),CT385-VLOOKUP($P385&amp;" | "&amp;CK$6,'Job Master'!$F$12:$I$102,4,0)-1),""),"")</f>
        <v/>
      </c>
      <c r="CN385" s="73"/>
      <c r="CO385" s="123" t="str">
        <f t="shared" si="672"/>
        <v/>
      </c>
      <c r="CP385" s="123" t="str">
        <f t="shared" si="673"/>
        <v/>
      </c>
      <c r="CQ385" s="97" t="str">
        <f t="shared" ca="1" si="674"/>
        <v/>
      </c>
      <c r="CR385" s="98" t="str">
        <f>IF(CT385&lt;&gt;"",VLOOKUP($P385&amp;" | "&amp;CR$6,'Job Master'!$F$12:$J$102,5,0),"")</f>
        <v/>
      </c>
      <c r="CS385" s="19" t="str">
        <f>IF(CT385&lt;&gt;"",VLOOKUP($P385&amp;" | "&amp;CR$6,'Job Master'!$F$12:$J$102,3,0),"")</f>
        <v/>
      </c>
      <c r="CT385" s="19" t="str">
        <f>IFERROR(IF(AND(DA385&lt;&gt;"",VLOOKUP($P385&amp;" | "&amp;CR$6,'Job Master'!$F$12:$I$102,4,0)&lt;&gt;""),IF(WEEKDAY(DA385-VLOOKUP($P385&amp;" | "&amp;CR$6,'Job Master'!$F$12:$I$102,4,0))&lt;&gt;7,DA385-VLOOKUP($P385&amp;" | "&amp;CR$6,'Job Master'!$F$12:$I$102,4,0),DA385-VLOOKUP($P385&amp;" | "&amp;CR$6,'Job Master'!$F$12:$I$102,4,0)-1),""),"")</f>
        <v/>
      </c>
      <c r="CU385" s="73"/>
      <c r="CV385" s="123" t="str">
        <f t="shared" si="675"/>
        <v/>
      </c>
      <c r="CW385" s="123" t="str">
        <f t="shared" si="676"/>
        <v/>
      </c>
      <c r="CX385" s="97" t="str">
        <f t="shared" ca="1" si="677"/>
        <v/>
      </c>
      <c r="CY385" s="98" t="str">
        <f>IF(DA385&lt;&gt;"",VLOOKUP($P385&amp;" | "&amp;CY$6,'Job Master'!$F$12:$J$102,5,0),"")</f>
        <v/>
      </c>
      <c r="CZ385" s="19" t="str">
        <f>IF(DA385&lt;&gt;"",VLOOKUP($P385&amp;" | "&amp;CY$6,'Job Master'!$F$12:$J$102,3,0),"")</f>
        <v/>
      </c>
      <c r="DA385" s="19" t="str">
        <f>IFERROR(IF(AND(DH385&lt;&gt;"",VLOOKUP($P385&amp;" | "&amp;CY$6,'Job Master'!$F$12:$I$102,4,0)&lt;&gt;""),IF(WEEKDAY(DH385-VLOOKUP($P385&amp;" | "&amp;CY$6,'Job Master'!$F$12:$I$102,4,0))&lt;&gt;7,DH385-VLOOKUP($P385&amp;" | "&amp;CY$6,'Job Master'!$F$12:$I$102,4,0),DH385-VLOOKUP($P385&amp;" | "&amp;CY$6,'Job Master'!$F$12:$I$102,4,0)-1),""),"")</f>
        <v/>
      </c>
      <c r="DB385" s="73"/>
      <c r="DC385" s="123" t="str">
        <f t="shared" si="678"/>
        <v/>
      </c>
      <c r="DD385" s="123" t="str">
        <f t="shared" si="679"/>
        <v/>
      </c>
      <c r="DE385" s="97" t="str">
        <f t="shared" ca="1" si="680"/>
        <v/>
      </c>
      <c r="DF385" s="98" t="str">
        <f>IF(DH385&lt;&gt;"",VLOOKUP($P385&amp;" | "&amp;DF$6,'Job Master'!$F$12:$J$102,5,0),"")</f>
        <v/>
      </c>
      <c r="DG385" s="19" t="str">
        <f>IF(DH385&lt;&gt;"",VLOOKUP($P385&amp;" | "&amp;DF$6,'Job Master'!$F$12:$J$102,3,0),"")</f>
        <v/>
      </c>
      <c r="DH385" s="19" t="str">
        <f>IFERROR(IF(AND(DO385&lt;&gt;"",VLOOKUP($P385&amp;" | "&amp;DF$6,'Job Master'!$F$12:$I$102,4,0)&lt;&gt;""),IF(WEEKDAY(DO385-VLOOKUP($P385&amp;" | "&amp;DF$6,'Job Master'!$F$12:$I$102,4,0))&lt;&gt;7,DO385-VLOOKUP($P385&amp;" | "&amp;DF$6,'Job Master'!$F$12:$I$102,4,0),DO385-VLOOKUP($P385&amp;" | "&amp;DF$6,'Job Master'!$F$12:$I$102,4,0)-1),""),"")</f>
        <v/>
      </c>
      <c r="DI385" s="73"/>
      <c r="DJ385" s="123" t="str">
        <f t="shared" si="681"/>
        <v/>
      </c>
      <c r="DK385" s="123" t="str">
        <f t="shared" si="682"/>
        <v/>
      </c>
      <c r="DL385" s="97" t="str">
        <f t="shared" ca="1" si="683"/>
        <v/>
      </c>
      <c r="DM385" s="98" t="str">
        <f>IF(DO385&lt;&gt;"",VLOOKUP($P385&amp;" | "&amp;DM$6,'Job Master'!$F$12:$J$102,5,0),"")</f>
        <v/>
      </c>
      <c r="DN385" s="19" t="str">
        <f>IF(DO385&lt;&gt;"",VLOOKUP($P385&amp;" | "&amp;DM$6,'Job Master'!$F$12:$J$102,3,0),"")</f>
        <v/>
      </c>
      <c r="DO385" s="19" t="str">
        <f>IFERROR(IF(AND(DT385&lt;&gt;"",VLOOKUP($P385&amp;" | "&amp;DM$6,'Job Master'!$F$12:$I$102,4,0)&lt;&gt;""),IF(WEEKDAY(DT385-VLOOKUP($P385&amp;" | "&amp;DM$6,'Job Master'!$F$12:$I$102,4,0))&lt;&gt;7,DT385-VLOOKUP($P385&amp;" | "&amp;DM$6,'Job Master'!$F$12:$I$102,4,0),DT385-VLOOKUP($P385&amp;" | "&amp;DM$6,'Job Master'!$F$12:$I$102,4,0)-1),""),"")</f>
        <v/>
      </c>
      <c r="DP385" s="73"/>
      <c r="DQ385" s="123" t="str">
        <f t="shared" si="684"/>
        <v/>
      </c>
      <c r="DR385" s="123" t="str">
        <f t="shared" si="685"/>
        <v/>
      </c>
      <c r="DS385" s="97" t="str">
        <f t="shared" ca="1" si="686"/>
        <v/>
      </c>
      <c r="DT385" s="70" t="str">
        <f t="shared" si="687"/>
        <v/>
      </c>
      <c r="DU385" s="90"/>
      <c r="DV385" s="123" t="str">
        <f t="shared" si="688"/>
        <v/>
      </c>
      <c r="DW385" s="123" t="str">
        <f t="shared" si="689"/>
        <v/>
      </c>
      <c r="DX385" s="132" t="str">
        <f t="shared" ref="DX385" ca="1" si="756">IF(DT385&lt;&gt;"",IF(WEEKNUM(DT385)=WEEKNUM(TODAY()),"This Week",IF(WEEKNUM(DT385)=WEEKNUM(TODAY())+1,"Next Week",IF(WEEKNUM(DT385)=WEEKNUM(TODAY())-1,"Previous Week",""))),"")</f>
        <v/>
      </c>
      <c r="DY385" s="134" t="str">
        <f t="shared" si="691"/>
        <v/>
      </c>
      <c r="DZ385" s="95"/>
      <c r="EB385" s="8" t="str">
        <f t="shared" si="697"/>
        <v/>
      </c>
      <c r="EC385" s="8" t="str">
        <f>IF(O385&lt;&gt;"",VLOOKUP(O385,'Job Master'!$N$12:$O$18,2,0),"")</f>
        <v/>
      </c>
      <c r="ED385" s="8">
        <f t="shared" si="698"/>
        <v>19.5</v>
      </c>
      <c r="EE385" s="8">
        <f t="shared" si="699"/>
        <v>6</v>
      </c>
      <c r="EF385" s="8">
        <f t="shared" si="700"/>
        <v>-2230.5</v>
      </c>
      <c r="EG385" s="8" t="str">
        <f t="shared" si="701"/>
        <v/>
      </c>
      <c r="EH385" s="8" t="str">
        <f t="shared" si="702"/>
        <v/>
      </c>
    </row>
    <row r="386" spans="2:138" x14ac:dyDescent="0.3">
      <c r="B386" s="112"/>
      <c r="C386" s="27"/>
      <c r="D386" s="7" t="str">
        <f t="shared" si="639"/>
        <v/>
      </c>
      <c r="E386" s="25"/>
      <c r="F386" s="7" t="str">
        <f t="shared" si="639"/>
        <v/>
      </c>
      <c r="G386" s="25"/>
      <c r="H386" s="7" t="str">
        <f t="shared" si="639"/>
        <v/>
      </c>
      <c r="I386" s="25"/>
      <c r="J386" s="7" t="str">
        <f t="shared" si="639"/>
        <v/>
      </c>
      <c r="K386" s="25"/>
      <c r="L386" s="7" t="str">
        <f t="shared" si="640"/>
        <v/>
      </c>
      <c r="M386" s="25"/>
      <c r="N386" s="7" t="str">
        <f t="shared" si="641"/>
        <v/>
      </c>
      <c r="O386" s="81"/>
      <c r="P386" s="81" t="str">
        <f t="shared" si="642"/>
        <v/>
      </c>
      <c r="Q386" s="81"/>
      <c r="R386" s="7" t="str">
        <f t="shared" si="643"/>
        <v/>
      </c>
      <c r="S386" s="25"/>
      <c r="T386" s="7" t="str">
        <f t="shared" si="644"/>
        <v/>
      </c>
      <c r="U386" s="25"/>
      <c r="V386" s="7" t="str">
        <f t="shared" si="645"/>
        <v/>
      </c>
      <c r="W386" s="25"/>
      <c r="X386" s="7" t="str">
        <f t="shared" si="646"/>
        <v/>
      </c>
      <c r="Y386" s="18" t="str">
        <f t="shared" si="647"/>
        <v/>
      </c>
      <c r="Z386" s="7" t="str">
        <f t="shared" si="648"/>
        <v/>
      </c>
      <c r="AA386" s="18" t="str">
        <f t="shared" si="649"/>
        <v/>
      </c>
      <c r="AB386" s="19" t="str">
        <f t="shared" si="650"/>
        <v/>
      </c>
      <c r="AC386" s="26"/>
      <c r="AD386" s="26"/>
      <c r="AE386" s="25"/>
      <c r="AF386" s="26"/>
      <c r="AG386" s="25"/>
      <c r="AH386" s="25"/>
      <c r="AI386" s="18" t="str">
        <f t="shared" si="713"/>
        <v/>
      </c>
      <c r="AJ386" s="25"/>
      <c r="AK386" s="18" t="str">
        <f t="shared" si="714"/>
        <v/>
      </c>
      <c r="AL386" s="79"/>
      <c r="AM386" s="126" t="str">
        <f t="shared" si="715"/>
        <v/>
      </c>
      <c r="AN386" s="128" t="str">
        <f>IF(AP386&lt;&gt;"",VLOOKUP($P386&amp;" | "&amp;AN$6,'Job Master'!$F$12:$J$102,5,0),"")</f>
        <v/>
      </c>
      <c r="AO386" s="19" t="str">
        <f>IF(AP386&lt;&gt;"",VLOOKUP($P386&amp;" | "&amp;AN$6,'Job Master'!$F$12:$J$102,3,0),"")</f>
        <v/>
      </c>
      <c r="AP386" s="19" t="str">
        <f>IFERROR(IF(AND(AW386&lt;&gt;"",VLOOKUP($P386&amp;" | "&amp;AN$6,'Job Master'!$F$12:$I$102,4,0)&lt;&gt;""),IF(WEEKDAY(AW386-VLOOKUP($P386&amp;" | "&amp;AN$6,'Job Master'!$F$12:$I$102,4,0))&lt;&gt;7,AW386-VLOOKUP($P386&amp;" | "&amp;AN$6,'Job Master'!$F$12:$I$102,4,0),AW386-VLOOKUP($P386&amp;" | "&amp;AN$6,'Job Master'!$F$12:$I$102,4,0)-1),""),"")</f>
        <v/>
      </c>
      <c r="AQ386" s="73"/>
      <c r="AR386" s="123" t="str">
        <f t="shared" si="651"/>
        <v/>
      </c>
      <c r="AS386" s="123" t="str">
        <f t="shared" si="652"/>
        <v/>
      </c>
      <c r="AT386" s="97" t="str">
        <f t="shared" ca="1" si="653"/>
        <v/>
      </c>
      <c r="AU386" s="98" t="str">
        <f>IF(AW386&lt;&gt;"",VLOOKUP($P386&amp;" | "&amp;AU$6,'Job Master'!$F$12:$J$102,5,0),"")</f>
        <v/>
      </c>
      <c r="AV386" s="19" t="str">
        <f>IF(AW386&lt;&gt;"",VLOOKUP($P386&amp;" | "&amp;AU$6,'Job Master'!$F$12:$J$102,3,0),"")</f>
        <v/>
      </c>
      <c r="AW386" s="19" t="str">
        <f>IFERROR(IF(AND(BD386&lt;&gt;"",VLOOKUP($P386&amp;" | "&amp;AU$6,'Job Master'!$F$12:$I$102,4,0)&lt;&gt;""),IF(WEEKDAY(BD386-VLOOKUP($P386&amp;" | "&amp;AU$6,'Job Master'!$F$12:$I$102,4,0))&lt;&gt;7,BD386-VLOOKUP($P386&amp;" | "&amp;AU$6,'Job Master'!$F$12:$I$102,4,0),BD386-VLOOKUP($P386&amp;" | "&amp;AU$6,'Job Master'!$F$12:$I$102,4,0)-1),""),"")</f>
        <v/>
      </c>
      <c r="AX386" s="73"/>
      <c r="AY386" s="123" t="str">
        <f t="shared" si="654"/>
        <v/>
      </c>
      <c r="AZ386" s="123" t="str">
        <f t="shared" si="655"/>
        <v/>
      </c>
      <c r="BA386" s="97" t="str">
        <f t="shared" ca="1" si="656"/>
        <v/>
      </c>
      <c r="BB386" s="98" t="str">
        <f>IF(BD386&lt;&gt;"",VLOOKUP($P386&amp;" | "&amp;BB$6,'Job Master'!$F$12:$J$102,5,0),"")</f>
        <v/>
      </c>
      <c r="BC386" s="19" t="str">
        <f>IF(BD386&lt;&gt;"",VLOOKUP($P386&amp;" | "&amp;BB$6,'Job Master'!$F$12:$J$102,3,0),"")</f>
        <v/>
      </c>
      <c r="BD386" s="19" t="str">
        <f>IFERROR(IF(AND(BK386&lt;&gt;"",VLOOKUP($P386&amp;" | "&amp;BB$6,'Job Master'!$F$12:$I$102,4,0)&lt;&gt;""),IF(WEEKDAY(BK386-VLOOKUP($P386&amp;" | "&amp;BB$6,'Job Master'!$F$12:$I$102,4,0))&lt;&gt;7,BK386-VLOOKUP($P386&amp;" | "&amp;BB$6,'Job Master'!$F$12:$I$102,4,0),BK386-VLOOKUP($P386&amp;" | "&amp;BB$6,'Job Master'!$F$12:$I$102,4,0)-1),""),"")</f>
        <v/>
      </c>
      <c r="BE386" s="73"/>
      <c r="BF386" s="123" t="str">
        <f t="shared" si="657"/>
        <v/>
      </c>
      <c r="BG386" s="123" t="str">
        <f t="shared" si="658"/>
        <v/>
      </c>
      <c r="BH386" s="97" t="str">
        <f t="shared" ca="1" si="659"/>
        <v/>
      </c>
      <c r="BI386" s="98" t="str">
        <f>IF(BK386&lt;&gt;"",VLOOKUP($P386&amp;" | "&amp;BI$6,'Job Master'!$F$12:$J$102,5,0),"")</f>
        <v/>
      </c>
      <c r="BJ386" s="19" t="str">
        <f>IF(BK386&lt;&gt;"",VLOOKUP($P386&amp;" | "&amp;BI$6,'Job Master'!$F$12:$J$102,3,0),"")</f>
        <v/>
      </c>
      <c r="BK386" s="19" t="str">
        <f>IFERROR(IF(AND(BR386&lt;&gt;"",VLOOKUP($P386&amp;" | "&amp;BI$6,'Job Master'!$F$12:$I$102,4,0)&lt;&gt;""),IF(WEEKDAY(BR386-VLOOKUP($P386&amp;" | "&amp;BI$6,'Job Master'!$F$12:$I$102,4,0))&lt;&gt;7,BR386-VLOOKUP($P386&amp;" | "&amp;BI$6,'Job Master'!$F$12:$I$102,4,0),BR386-VLOOKUP($P386&amp;" | "&amp;BI$6,'Job Master'!$F$12:$I$102,4,0)-1),""),"")</f>
        <v/>
      </c>
      <c r="BL386" s="73"/>
      <c r="BM386" s="123" t="str">
        <f t="shared" si="660"/>
        <v/>
      </c>
      <c r="BN386" s="123" t="str">
        <f t="shared" si="661"/>
        <v/>
      </c>
      <c r="BO386" s="97" t="str">
        <f t="shared" ca="1" si="662"/>
        <v/>
      </c>
      <c r="BP386" s="98" t="str">
        <f>IF(BR386&lt;&gt;"",VLOOKUP($P386&amp;" | "&amp;BP$6,'Job Master'!$F$12:$J$102,5,0),"")</f>
        <v/>
      </c>
      <c r="BQ386" s="19" t="str">
        <f>IF(BR386&lt;&gt;"",VLOOKUP($P386&amp;" | "&amp;BP$6,'Job Master'!$F$12:$J$102,3,0),"")</f>
        <v/>
      </c>
      <c r="BR386" s="19" t="str">
        <f>IFERROR(IF(AND(BY386&lt;&gt;"",VLOOKUP($P386&amp;" | "&amp;BP$6,'Job Master'!$F$12:$I$102,4,0)&lt;&gt;""),IF(WEEKDAY(BY386-VLOOKUP($P386&amp;" | "&amp;BP$6,'Job Master'!$F$12:$I$102,4,0))&lt;&gt;7,BY386-VLOOKUP($P386&amp;" | "&amp;BP$6,'Job Master'!$F$12:$I$102,4,0),BY386-VLOOKUP($P386&amp;" | "&amp;BP$6,'Job Master'!$F$12:$I$102,4,0)-1),""),"")</f>
        <v/>
      </c>
      <c r="BS386" s="73"/>
      <c r="BT386" s="123" t="str">
        <f t="shared" si="663"/>
        <v/>
      </c>
      <c r="BU386" s="123" t="str">
        <f t="shared" si="664"/>
        <v/>
      </c>
      <c r="BV386" s="97" t="str">
        <f t="shared" ca="1" si="665"/>
        <v/>
      </c>
      <c r="BW386" s="98" t="str">
        <f>IF(BY386&lt;&gt;"",VLOOKUP($P386&amp;" | "&amp;BW$6,'Job Master'!$F$12:$J$102,5,0),"")</f>
        <v/>
      </c>
      <c r="BX386" s="19" t="str">
        <f>IF(BY386&lt;&gt;"",VLOOKUP($P386&amp;" | "&amp;BW$6,'Job Master'!$F$12:$J$102,3,0),"")</f>
        <v/>
      </c>
      <c r="BY386" s="19" t="str">
        <f>IFERROR(IF(AND(CF386&lt;&gt;"",VLOOKUP($P386&amp;" | "&amp;BW$6,'Job Master'!$F$12:$I$102,4,0)&lt;&gt;""),IF(WEEKDAY(CF386-VLOOKUP($P386&amp;" | "&amp;BW$6,'Job Master'!$F$12:$I$102,4,0))&lt;&gt;7,CF386-VLOOKUP($P386&amp;" | "&amp;BW$6,'Job Master'!$F$12:$I$102,4,0),CF386-VLOOKUP($P386&amp;" | "&amp;BW$6,'Job Master'!$F$12:$I$102,4,0)-1),""),"")</f>
        <v/>
      </c>
      <c r="BZ386" s="73"/>
      <c r="CA386" s="123" t="str">
        <f t="shared" si="666"/>
        <v/>
      </c>
      <c r="CB386" s="123" t="str">
        <f t="shared" si="667"/>
        <v/>
      </c>
      <c r="CC386" s="97" t="str">
        <f t="shared" ca="1" si="668"/>
        <v/>
      </c>
      <c r="CD386" s="98" t="str">
        <f>IF(CF386&lt;&gt;"",VLOOKUP($P386&amp;" | "&amp;CD$6,'Job Master'!$F$12:$J$102,5,0),"")</f>
        <v/>
      </c>
      <c r="CE386" s="19" t="str">
        <f>IF(CF386&lt;&gt;"",VLOOKUP($P386&amp;" | "&amp;CD$6,'Job Master'!$F$12:$J$102,3,0),"")</f>
        <v/>
      </c>
      <c r="CF386" s="19" t="str">
        <f>IFERROR(IF(AND(CM386&lt;&gt;"",VLOOKUP($P386&amp;" | "&amp;CD$6,'Job Master'!$F$12:$I$102,4,0)&lt;&gt;""),IF(WEEKDAY(CM386-VLOOKUP($P386&amp;" | "&amp;CD$6,'Job Master'!$F$12:$I$102,4,0))&lt;&gt;7,CM386-VLOOKUP($P386&amp;" | "&amp;CD$6,'Job Master'!$F$12:$I$102,4,0),CM386-VLOOKUP($P386&amp;" | "&amp;CD$6,'Job Master'!$F$12:$I$102,4,0)-1),""),"")</f>
        <v/>
      </c>
      <c r="CG386" s="73"/>
      <c r="CH386" s="123" t="str">
        <f t="shared" si="669"/>
        <v/>
      </c>
      <c r="CI386" s="123" t="str">
        <f t="shared" si="670"/>
        <v/>
      </c>
      <c r="CJ386" s="97" t="str">
        <f t="shared" ca="1" si="671"/>
        <v/>
      </c>
      <c r="CK386" s="98" t="str">
        <f>IF(CM386&lt;&gt;"",VLOOKUP($P386&amp;" | "&amp;CK$6,'Job Master'!$F$12:$J$102,5,0),"")</f>
        <v/>
      </c>
      <c r="CL386" s="19" t="str">
        <f>IF(CM386&lt;&gt;"",VLOOKUP($P386&amp;" | "&amp;CK$6,'Job Master'!$F$12:$J$102,3,0),"")</f>
        <v/>
      </c>
      <c r="CM386" s="19" t="str">
        <f>IFERROR(IF(AND(CT386&lt;&gt;"",VLOOKUP($P386&amp;" | "&amp;CK$6,'Job Master'!$F$12:$I$102,4,0)&lt;&gt;""),IF(WEEKDAY(CT386-VLOOKUP($P386&amp;" | "&amp;CK$6,'Job Master'!$F$12:$I$102,4,0))&lt;&gt;7,CT386-VLOOKUP($P386&amp;" | "&amp;CK$6,'Job Master'!$F$12:$I$102,4,0),CT386-VLOOKUP($P386&amp;" | "&amp;CK$6,'Job Master'!$F$12:$I$102,4,0)-1),""),"")</f>
        <v/>
      </c>
      <c r="CN386" s="73"/>
      <c r="CO386" s="123" t="str">
        <f t="shared" si="672"/>
        <v/>
      </c>
      <c r="CP386" s="123" t="str">
        <f t="shared" si="673"/>
        <v/>
      </c>
      <c r="CQ386" s="97" t="str">
        <f t="shared" ca="1" si="674"/>
        <v/>
      </c>
      <c r="CR386" s="98" t="str">
        <f>IF(CT386&lt;&gt;"",VLOOKUP($P386&amp;" | "&amp;CR$6,'Job Master'!$F$12:$J$102,5,0),"")</f>
        <v/>
      </c>
      <c r="CS386" s="19" t="str">
        <f>IF(CT386&lt;&gt;"",VLOOKUP($P386&amp;" | "&amp;CR$6,'Job Master'!$F$12:$J$102,3,0),"")</f>
        <v/>
      </c>
      <c r="CT386" s="19" t="str">
        <f>IFERROR(IF(AND(DA386&lt;&gt;"",VLOOKUP($P386&amp;" | "&amp;CR$6,'Job Master'!$F$12:$I$102,4,0)&lt;&gt;""),IF(WEEKDAY(DA386-VLOOKUP($P386&amp;" | "&amp;CR$6,'Job Master'!$F$12:$I$102,4,0))&lt;&gt;7,DA386-VLOOKUP($P386&amp;" | "&amp;CR$6,'Job Master'!$F$12:$I$102,4,0),DA386-VLOOKUP($P386&amp;" | "&amp;CR$6,'Job Master'!$F$12:$I$102,4,0)-1),""),"")</f>
        <v/>
      </c>
      <c r="CU386" s="73"/>
      <c r="CV386" s="123" t="str">
        <f t="shared" si="675"/>
        <v/>
      </c>
      <c r="CW386" s="123" t="str">
        <f t="shared" si="676"/>
        <v/>
      </c>
      <c r="CX386" s="97" t="str">
        <f t="shared" ca="1" si="677"/>
        <v/>
      </c>
      <c r="CY386" s="98" t="str">
        <f>IF(DA386&lt;&gt;"",VLOOKUP($P386&amp;" | "&amp;CY$6,'Job Master'!$F$12:$J$102,5,0),"")</f>
        <v/>
      </c>
      <c r="CZ386" s="19" t="str">
        <f>IF(DA386&lt;&gt;"",VLOOKUP($P386&amp;" | "&amp;CY$6,'Job Master'!$F$12:$J$102,3,0),"")</f>
        <v/>
      </c>
      <c r="DA386" s="19" t="str">
        <f>IFERROR(IF(AND(DH386&lt;&gt;"",VLOOKUP($P386&amp;" | "&amp;CY$6,'Job Master'!$F$12:$I$102,4,0)&lt;&gt;""),IF(WEEKDAY(DH386-VLOOKUP($P386&amp;" | "&amp;CY$6,'Job Master'!$F$12:$I$102,4,0))&lt;&gt;7,DH386-VLOOKUP($P386&amp;" | "&amp;CY$6,'Job Master'!$F$12:$I$102,4,0),DH386-VLOOKUP($P386&amp;" | "&amp;CY$6,'Job Master'!$F$12:$I$102,4,0)-1),""),"")</f>
        <v/>
      </c>
      <c r="DB386" s="73"/>
      <c r="DC386" s="123" t="str">
        <f t="shared" si="678"/>
        <v/>
      </c>
      <c r="DD386" s="123" t="str">
        <f t="shared" si="679"/>
        <v/>
      </c>
      <c r="DE386" s="97" t="str">
        <f t="shared" ca="1" si="680"/>
        <v/>
      </c>
      <c r="DF386" s="98" t="str">
        <f>IF(DH386&lt;&gt;"",VLOOKUP($P386&amp;" | "&amp;DF$6,'Job Master'!$F$12:$J$102,5,0),"")</f>
        <v/>
      </c>
      <c r="DG386" s="19" t="str">
        <f>IF(DH386&lt;&gt;"",VLOOKUP($P386&amp;" | "&amp;DF$6,'Job Master'!$F$12:$J$102,3,0),"")</f>
        <v/>
      </c>
      <c r="DH386" s="19" t="str">
        <f>IFERROR(IF(AND(DO386&lt;&gt;"",VLOOKUP($P386&amp;" | "&amp;DF$6,'Job Master'!$F$12:$I$102,4,0)&lt;&gt;""),IF(WEEKDAY(DO386-VLOOKUP($P386&amp;" | "&amp;DF$6,'Job Master'!$F$12:$I$102,4,0))&lt;&gt;7,DO386-VLOOKUP($P386&amp;" | "&amp;DF$6,'Job Master'!$F$12:$I$102,4,0),DO386-VLOOKUP($P386&amp;" | "&amp;DF$6,'Job Master'!$F$12:$I$102,4,0)-1),""),"")</f>
        <v/>
      </c>
      <c r="DI386" s="73"/>
      <c r="DJ386" s="123" t="str">
        <f t="shared" si="681"/>
        <v/>
      </c>
      <c r="DK386" s="123" t="str">
        <f t="shared" si="682"/>
        <v/>
      </c>
      <c r="DL386" s="97" t="str">
        <f t="shared" ca="1" si="683"/>
        <v/>
      </c>
      <c r="DM386" s="98" t="str">
        <f>IF(DO386&lt;&gt;"",VLOOKUP($P386&amp;" | "&amp;DM$6,'Job Master'!$F$12:$J$102,5,0),"")</f>
        <v/>
      </c>
      <c r="DN386" s="19" t="str">
        <f>IF(DO386&lt;&gt;"",VLOOKUP($P386&amp;" | "&amp;DM$6,'Job Master'!$F$12:$J$102,3,0),"")</f>
        <v/>
      </c>
      <c r="DO386" s="19" t="str">
        <f>IFERROR(IF(AND(DT386&lt;&gt;"",VLOOKUP($P386&amp;" | "&amp;DM$6,'Job Master'!$F$12:$I$102,4,0)&lt;&gt;""),IF(WEEKDAY(DT386-VLOOKUP($P386&amp;" | "&amp;DM$6,'Job Master'!$F$12:$I$102,4,0))&lt;&gt;7,DT386-VLOOKUP($P386&amp;" | "&amp;DM$6,'Job Master'!$F$12:$I$102,4,0),DT386-VLOOKUP($P386&amp;" | "&amp;DM$6,'Job Master'!$F$12:$I$102,4,0)-1),""),"")</f>
        <v/>
      </c>
      <c r="DP386" s="73"/>
      <c r="DQ386" s="123" t="str">
        <f t="shared" si="684"/>
        <v/>
      </c>
      <c r="DR386" s="123" t="str">
        <f t="shared" si="685"/>
        <v/>
      </c>
      <c r="DS386" s="97" t="str">
        <f t="shared" ca="1" si="686"/>
        <v/>
      </c>
      <c r="DT386" s="70" t="str">
        <f t="shared" si="687"/>
        <v/>
      </c>
      <c r="DU386" s="90"/>
      <c r="DV386" s="123" t="str">
        <f t="shared" si="688"/>
        <v/>
      </c>
      <c r="DW386" s="123" t="str">
        <f t="shared" si="689"/>
        <v/>
      </c>
      <c r="DX386" s="132" t="str">
        <f t="shared" ref="DX386" ca="1" si="757">IF(DT386&lt;&gt;"",IF(WEEKNUM(DT386)=WEEKNUM(TODAY()),"This Week",IF(WEEKNUM(DT386)=WEEKNUM(TODAY())+1,"Next Week",IF(WEEKNUM(DT386)=WEEKNUM(TODAY())-1,"Previous Week",""))),"")</f>
        <v/>
      </c>
      <c r="DY386" s="134" t="str">
        <f t="shared" si="691"/>
        <v/>
      </c>
      <c r="DZ386" s="95"/>
      <c r="EB386" s="8" t="str">
        <f t="shared" si="697"/>
        <v/>
      </c>
      <c r="EC386" s="8" t="str">
        <f>IF(O386&lt;&gt;"",VLOOKUP(O386,'Job Master'!$N$12:$O$18,2,0),"")</f>
        <v/>
      </c>
      <c r="ED386" s="8">
        <f t="shared" si="698"/>
        <v>19.5</v>
      </c>
      <c r="EE386" s="8">
        <f t="shared" si="699"/>
        <v>6</v>
      </c>
      <c r="EF386" s="8">
        <f t="shared" si="700"/>
        <v>-2236.5</v>
      </c>
      <c r="EG386" s="8" t="str">
        <f t="shared" si="701"/>
        <v/>
      </c>
      <c r="EH386" s="8" t="str">
        <f t="shared" si="702"/>
        <v/>
      </c>
    </row>
    <row r="387" spans="2:138" x14ac:dyDescent="0.3">
      <c r="B387" s="112"/>
      <c r="C387" s="27"/>
      <c r="D387" s="7" t="str">
        <f t="shared" si="639"/>
        <v/>
      </c>
      <c r="E387" s="25"/>
      <c r="F387" s="7" t="str">
        <f t="shared" si="639"/>
        <v/>
      </c>
      <c r="G387" s="25"/>
      <c r="H387" s="7" t="str">
        <f t="shared" si="639"/>
        <v/>
      </c>
      <c r="I387" s="25"/>
      <c r="J387" s="7" t="str">
        <f t="shared" si="639"/>
        <v/>
      </c>
      <c r="K387" s="25"/>
      <c r="L387" s="7" t="str">
        <f t="shared" si="640"/>
        <v/>
      </c>
      <c r="M387" s="25"/>
      <c r="N387" s="7" t="str">
        <f t="shared" si="641"/>
        <v/>
      </c>
      <c r="O387" s="81"/>
      <c r="P387" s="81" t="str">
        <f t="shared" si="642"/>
        <v/>
      </c>
      <c r="Q387" s="81"/>
      <c r="R387" s="7" t="str">
        <f t="shared" si="643"/>
        <v/>
      </c>
      <c r="S387" s="25"/>
      <c r="T387" s="7" t="str">
        <f t="shared" si="644"/>
        <v/>
      </c>
      <c r="U387" s="25"/>
      <c r="V387" s="7" t="str">
        <f t="shared" si="645"/>
        <v/>
      </c>
      <c r="W387" s="25"/>
      <c r="X387" s="7" t="str">
        <f t="shared" si="646"/>
        <v/>
      </c>
      <c r="Y387" s="18" t="str">
        <f t="shared" si="647"/>
        <v/>
      </c>
      <c r="Z387" s="7" t="str">
        <f t="shared" si="648"/>
        <v/>
      </c>
      <c r="AA387" s="18" t="str">
        <f t="shared" si="649"/>
        <v/>
      </c>
      <c r="AB387" s="19" t="str">
        <f t="shared" si="650"/>
        <v/>
      </c>
      <c r="AC387" s="26"/>
      <c r="AD387" s="26"/>
      <c r="AE387" s="25"/>
      <c r="AF387" s="26"/>
      <c r="AG387" s="25"/>
      <c r="AH387" s="25"/>
      <c r="AI387" s="18" t="str">
        <f t="shared" si="713"/>
        <v/>
      </c>
      <c r="AJ387" s="25"/>
      <c r="AK387" s="18" t="str">
        <f t="shared" si="714"/>
        <v/>
      </c>
      <c r="AL387" s="79"/>
      <c r="AM387" s="126" t="str">
        <f t="shared" si="715"/>
        <v/>
      </c>
      <c r="AN387" s="128" t="str">
        <f>IF(AP387&lt;&gt;"",VLOOKUP($P387&amp;" | "&amp;AN$6,'Job Master'!$F$12:$J$102,5,0),"")</f>
        <v/>
      </c>
      <c r="AO387" s="19" t="str">
        <f>IF(AP387&lt;&gt;"",VLOOKUP($P387&amp;" | "&amp;AN$6,'Job Master'!$F$12:$J$102,3,0),"")</f>
        <v/>
      </c>
      <c r="AP387" s="19" t="str">
        <f>IFERROR(IF(AND(AW387&lt;&gt;"",VLOOKUP($P387&amp;" | "&amp;AN$6,'Job Master'!$F$12:$I$102,4,0)&lt;&gt;""),IF(WEEKDAY(AW387-VLOOKUP($P387&amp;" | "&amp;AN$6,'Job Master'!$F$12:$I$102,4,0))&lt;&gt;7,AW387-VLOOKUP($P387&amp;" | "&amp;AN$6,'Job Master'!$F$12:$I$102,4,0),AW387-VLOOKUP($P387&amp;" | "&amp;AN$6,'Job Master'!$F$12:$I$102,4,0)-1),""),"")</f>
        <v/>
      </c>
      <c r="AQ387" s="73"/>
      <c r="AR387" s="123" t="str">
        <f t="shared" si="651"/>
        <v/>
      </c>
      <c r="AS387" s="123" t="str">
        <f t="shared" si="652"/>
        <v/>
      </c>
      <c r="AT387" s="97" t="str">
        <f t="shared" ca="1" si="653"/>
        <v/>
      </c>
      <c r="AU387" s="98" t="str">
        <f>IF(AW387&lt;&gt;"",VLOOKUP($P387&amp;" | "&amp;AU$6,'Job Master'!$F$12:$J$102,5,0),"")</f>
        <v/>
      </c>
      <c r="AV387" s="19" t="str">
        <f>IF(AW387&lt;&gt;"",VLOOKUP($P387&amp;" | "&amp;AU$6,'Job Master'!$F$12:$J$102,3,0),"")</f>
        <v/>
      </c>
      <c r="AW387" s="19" t="str">
        <f>IFERROR(IF(AND(BD387&lt;&gt;"",VLOOKUP($P387&amp;" | "&amp;AU$6,'Job Master'!$F$12:$I$102,4,0)&lt;&gt;""),IF(WEEKDAY(BD387-VLOOKUP($P387&amp;" | "&amp;AU$6,'Job Master'!$F$12:$I$102,4,0))&lt;&gt;7,BD387-VLOOKUP($P387&amp;" | "&amp;AU$6,'Job Master'!$F$12:$I$102,4,0),BD387-VLOOKUP($P387&amp;" | "&amp;AU$6,'Job Master'!$F$12:$I$102,4,0)-1),""),"")</f>
        <v/>
      </c>
      <c r="AX387" s="73"/>
      <c r="AY387" s="123" t="str">
        <f t="shared" si="654"/>
        <v/>
      </c>
      <c r="AZ387" s="123" t="str">
        <f t="shared" si="655"/>
        <v/>
      </c>
      <c r="BA387" s="97" t="str">
        <f t="shared" ca="1" si="656"/>
        <v/>
      </c>
      <c r="BB387" s="98" t="str">
        <f>IF(BD387&lt;&gt;"",VLOOKUP($P387&amp;" | "&amp;BB$6,'Job Master'!$F$12:$J$102,5,0),"")</f>
        <v/>
      </c>
      <c r="BC387" s="19" t="str">
        <f>IF(BD387&lt;&gt;"",VLOOKUP($P387&amp;" | "&amp;BB$6,'Job Master'!$F$12:$J$102,3,0),"")</f>
        <v/>
      </c>
      <c r="BD387" s="19" t="str">
        <f>IFERROR(IF(AND(BK387&lt;&gt;"",VLOOKUP($P387&amp;" | "&amp;BB$6,'Job Master'!$F$12:$I$102,4,0)&lt;&gt;""),IF(WEEKDAY(BK387-VLOOKUP($P387&amp;" | "&amp;BB$6,'Job Master'!$F$12:$I$102,4,0))&lt;&gt;7,BK387-VLOOKUP($P387&amp;" | "&amp;BB$6,'Job Master'!$F$12:$I$102,4,0),BK387-VLOOKUP($P387&amp;" | "&amp;BB$6,'Job Master'!$F$12:$I$102,4,0)-1),""),"")</f>
        <v/>
      </c>
      <c r="BE387" s="73"/>
      <c r="BF387" s="123" t="str">
        <f t="shared" si="657"/>
        <v/>
      </c>
      <c r="BG387" s="123" t="str">
        <f t="shared" si="658"/>
        <v/>
      </c>
      <c r="BH387" s="97" t="str">
        <f t="shared" ca="1" si="659"/>
        <v/>
      </c>
      <c r="BI387" s="98" t="str">
        <f>IF(BK387&lt;&gt;"",VLOOKUP($P387&amp;" | "&amp;BI$6,'Job Master'!$F$12:$J$102,5,0),"")</f>
        <v/>
      </c>
      <c r="BJ387" s="19" t="str">
        <f>IF(BK387&lt;&gt;"",VLOOKUP($P387&amp;" | "&amp;BI$6,'Job Master'!$F$12:$J$102,3,0),"")</f>
        <v/>
      </c>
      <c r="BK387" s="19" t="str">
        <f>IFERROR(IF(AND(BR387&lt;&gt;"",VLOOKUP($P387&amp;" | "&amp;BI$6,'Job Master'!$F$12:$I$102,4,0)&lt;&gt;""),IF(WEEKDAY(BR387-VLOOKUP($P387&amp;" | "&amp;BI$6,'Job Master'!$F$12:$I$102,4,0))&lt;&gt;7,BR387-VLOOKUP($P387&amp;" | "&amp;BI$6,'Job Master'!$F$12:$I$102,4,0),BR387-VLOOKUP($P387&amp;" | "&amp;BI$6,'Job Master'!$F$12:$I$102,4,0)-1),""),"")</f>
        <v/>
      </c>
      <c r="BL387" s="73"/>
      <c r="BM387" s="123" t="str">
        <f t="shared" si="660"/>
        <v/>
      </c>
      <c r="BN387" s="123" t="str">
        <f t="shared" si="661"/>
        <v/>
      </c>
      <c r="BO387" s="97" t="str">
        <f t="shared" ca="1" si="662"/>
        <v/>
      </c>
      <c r="BP387" s="98" t="str">
        <f>IF(BR387&lt;&gt;"",VLOOKUP($P387&amp;" | "&amp;BP$6,'Job Master'!$F$12:$J$102,5,0),"")</f>
        <v/>
      </c>
      <c r="BQ387" s="19" t="str">
        <f>IF(BR387&lt;&gt;"",VLOOKUP($P387&amp;" | "&amp;BP$6,'Job Master'!$F$12:$J$102,3,0),"")</f>
        <v/>
      </c>
      <c r="BR387" s="19" t="str">
        <f>IFERROR(IF(AND(BY387&lt;&gt;"",VLOOKUP($P387&amp;" | "&amp;BP$6,'Job Master'!$F$12:$I$102,4,0)&lt;&gt;""),IF(WEEKDAY(BY387-VLOOKUP($P387&amp;" | "&amp;BP$6,'Job Master'!$F$12:$I$102,4,0))&lt;&gt;7,BY387-VLOOKUP($P387&amp;" | "&amp;BP$6,'Job Master'!$F$12:$I$102,4,0),BY387-VLOOKUP($P387&amp;" | "&amp;BP$6,'Job Master'!$F$12:$I$102,4,0)-1),""),"")</f>
        <v/>
      </c>
      <c r="BS387" s="73"/>
      <c r="BT387" s="123" t="str">
        <f t="shared" si="663"/>
        <v/>
      </c>
      <c r="BU387" s="123" t="str">
        <f t="shared" si="664"/>
        <v/>
      </c>
      <c r="BV387" s="97" t="str">
        <f t="shared" ca="1" si="665"/>
        <v/>
      </c>
      <c r="BW387" s="98" t="str">
        <f>IF(BY387&lt;&gt;"",VLOOKUP($P387&amp;" | "&amp;BW$6,'Job Master'!$F$12:$J$102,5,0),"")</f>
        <v/>
      </c>
      <c r="BX387" s="19" t="str">
        <f>IF(BY387&lt;&gt;"",VLOOKUP($P387&amp;" | "&amp;BW$6,'Job Master'!$F$12:$J$102,3,0),"")</f>
        <v/>
      </c>
      <c r="BY387" s="19" t="str">
        <f>IFERROR(IF(AND(CF387&lt;&gt;"",VLOOKUP($P387&amp;" | "&amp;BW$6,'Job Master'!$F$12:$I$102,4,0)&lt;&gt;""),IF(WEEKDAY(CF387-VLOOKUP($P387&amp;" | "&amp;BW$6,'Job Master'!$F$12:$I$102,4,0))&lt;&gt;7,CF387-VLOOKUP($P387&amp;" | "&amp;BW$6,'Job Master'!$F$12:$I$102,4,0),CF387-VLOOKUP($P387&amp;" | "&amp;BW$6,'Job Master'!$F$12:$I$102,4,0)-1),""),"")</f>
        <v/>
      </c>
      <c r="BZ387" s="73"/>
      <c r="CA387" s="123" t="str">
        <f t="shared" si="666"/>
        <v/>
      </c>
      <c r="CB387" s="123" t="str">
        <f t="shared" si="667"/>
        <v/>
      </c>
      <c r="CC387" s="97" t="str">
        <f t="shared" ca="1" si="668"/>
        <v/>
      </c>
      <c r="CD387" s="98" t="str">
        <f>IF(CF387&lt;&gt;"",VLOOKUP($P387&amp;" | "&amp;CD$6,'Job Master'!$F$12:$J$102,5,0),"")</f>
        <v/>
      </c>
      <c r="CE387" s="19" t="str">
        <f>IF(CF387&lt;&gt;"",VLOOKUP($P387&amp;" | "&amp;CD$6,'Job Master'!$F$12:$J$102,3,0),"")</f>
        <v/>
      </c>
      <c r="CF387" s="19" t="str">
        <f>IFERROR(IF(AND(CM387&lt;&gt;"",VLOOKUP($P387&amp;" | "&amp;CD$6,'Job Master'!$F$12:$I$102,4,0)&lt;&gt;""),IF(WEEKDAY(CM387-VLOOKUP($P387&amp;" | "&amp;CD$6,'Job Master'!$F$12:$I$102,4,0))&lt;&gt;7,CM387-VLOOKUP($P387&amp;" | "&amp;CD$6,'Job Master'!$F$12:$I$102,4,0),CM387-VLOOKUP($P387&amp;" | "&amp;CD$6,'Job Master'!$F$12:$I$102,4,0)-1),""),"")</f>
        <v/>
      </c>
      <c r="CG387" s="73"/>
      <c r="CH387" s="123" t="str">
        <f t="shared" si="669"/>
        <v/>
      </c>
      <c r="CI387" s="123" t="str">
        <f t="shared" si="670"/>
        <v/>
      </c>
      <c r="CJ387" s="97" t="str">
        <f t="shared" ca="1" si="671"/>
        <v/>
      </c>
      <c r="CK387" s="98" t="str">
        <f>IF(CM387&lt;&gt;"",VLOOKUP($P387&amp;" | "&amp;CK$6,'Job Master'!$F$12:$J$102,5,0),"")</f>
        <v/>
      </c>
      <c r="CL387" s="19" t="str">
        <f>IF(CM387&lt;&gt;"",VLOOKUP($P387&amp;" | "&amp;CK$6,'Job Master'!$F$12:$J$102,3,0),"")</f>
        <v/>
      </c>
      <c r="CM387" s="19" t="str">
        <f>IFERROR(IF(AND(CT387&lt;&gt;"",VLOOKUP($P387&amp;" | "&amp;CK$6,'Job Master'!$F$12:$I$102,4,0)&lt;&gt;""),IF(WEEKDAY(CT387-VLOOKUP($P387&amp;" | "&amp;CK$6,'Job Master'!$F$12:$I$102,4,0))&lt;&gt;7,CT387-VLOOKUP($P387&amp;" | "&amp;CK$6,'Job Master'!$F$12:$I$102,4,0),CT387-VLOOKUP($P387&amp;" | "&amp;CK$6,'Job Master'!$F$12:$I$102,4,0)-1),""),"")</f>
        <v/>
      </c>
      <c r="CN387" s="73"/>
      <c r="CO387" s="123" t="str">
        <f t="shared" si="672"/>
        <v/>
      </c>
      <c r="CP387" s="123" t="str">
        <f t="shared" si="673"/>
        <v/>
      </c>
      <c r="CQ387" s="97" t="str">
        <f t="shared" ca="1" si="674"/>
        <v/>
      </c>
      <c r="CR387" s="98" t="str">
        <f>IF(CT387&lt;&gt;"",VLOOKUP($P387&amp;" | "&amp;CR$6,'Job Master'!$F$12:$J$102,5,0),"")</f>
        <v/>
      </c>
      <c r="CS387" s="19" t="str">
        <f>IF(CT387&lt;&gt;"",VLOOKUP($P387&amp;" | "&amp;CR$6,'Job Master'!$F$12:$J$102,3,0),"")</f>
        <v/>
      </c>
      <c r="CT387" s="19" t="str">
        <f>IFERROR(IF(AND(DA387&lt;&gt;"",VLOOKUP($P387&amp;" | "&amp;CR$6,'Job Master'!$F$12:$I$102,4,0)&lt;&gt;""),IF(WEEKDAY(DA387-VLOOKUP($P387&amp;" | "&amp;CR$6,'Job Master'!$F$12:$I$102,4,0))&lt;&gt;7,DA387-VLOOKUP($P387&amp;" | "&amp;CR$6,'Job Master'!$F$12:$I$102,4,0),DA387-VLOOKUP($P387&amp;" | "&amp;CR$6,'Job Master'!$F$12:$I$102,4,0)-1),""),"")</f>
        <v/>
      </c>
      <c r="CU387" s="73"/>
      <c r="CV387" s="123" t="str">
        <f t="shared" si="675"/>
        <v/>
      </c>
      <c r="CW387" s="123" t="str">
        <f t="shared" si="676"/>
        <v/>
      </c>
      <c r="CX387" s="97" t="str">
        <f t="shared" ca="1" si="677"/>
        <v/>
      </c>
      <c r="CY387" s="98" t="str">
        <f>IF(DA387&lt;&gt;"",VLOOKUP($P387&amp;" | "&amp;CY$6,'Job Master'!$F$12:$J$102,5,0),"")</f>
        <v/>
      </c>
      <c r="CZ387" s="19" t="str">
        <f>IF(DA387&lt;&gt;"",VLOOKUP($P387&amp;" | "&amp;CY$6,'Job Master'!$F$12:$J$102,3,0),"")</f>
        <v/>
      </c>
      <c r="DA387" s="19" t="str">
        <f>IFERROR(IF(AND(DH387&lt;&gt;"",VLOOKUP($P387&amp;" | "&amp;CY$6,'Job Master'!$F$12:$I$102,4,0)&lt;&gt;""),IF(WEEKDAY(DH387-VLOOKUP($P387&amp;" | "&amp;CY$6,'Job Master'!$F$12:$I$102,4,0))&lt;&gt;7,DH387-VLOOKUP($P387&amp;" | "&amp;CY$6,'Job Master'!$F$12:$I$102,4,0),DH387-VLOOKUP($P387&amp;" | "&amp;CY$6,'Job Master'!$F$12:$I$102,4,0)-1),""),"")</f>
        <v/>
      </c>
      <c r="DB387" s="73"/>
      <c r="DC387" s="123" t="str">
        <f t="shared" si="678"/>
        <v/>
      </c>
      <c r="DD387" s="123" t="str">
        <f t="shared" si="679"/>
        <v/>
      </c>
      <c r="DE387" s="97" t="str">
        <f t="shared" ca="1" si="680"/>
        <v/>
      </c>
      <c r="DF387" s="98" t="str">
        <f>IF(DH387&lt;&gt;"",VLOOKUP($P387&amp;" | "&amp;DF$6,'Job Master'!$F$12:$J$102,5,0),"")</f>
        <v/>
      </c>
      <c r="DG387" s="19" t="str">
        <f>IF(DH387&lt;&gt;"",VLOOKUP($P387&amp;" | "&amp;DF$6,'Job Master'!$F$12:$J$102,3,0),"")</f>
        <v/>
      </c>
      <c r="DH387" s="19" t="str">
        <f>IFERROR(IF(AND(DO387&lt;&gt;"",VLOOKUP($P387&amp;" | "&amp;DF$6,'Job Master'!$F$12:$I$102,4,0)&lt;&gt;""),IF(WEEKDAY(DO387-VLOOKUP($P387&amp;" | "&amp;DF$6,'Job Master'!$F$12:$I$102,4,0))&lt;&gt;7,DO387-VLOOKUP($P387&amp;" | "&amp;DF$6,'Job Master'!$F$12:$I$102,4,0),DO387-VLOOKUP($P387&amp;" | "&amp;DF$6,'Job Master'!$F$12:$I$102,4,0)-1),""),"")</f>
        <v/>
      </c>
      <c r="DI387" s="73"/>
      <c r="DJ387" s="123" t="str">
        <f t="shared" si="681"/>
        <v/>
      </c>
      <c r="DK387" s="123" t="str">
        <f t="shared" si="682"/>
        <v/>
      </c>
      <c r="DL387" s="97" t="str">
        <f t="shared" ca="1" si="683"/>
        <v/>
      </c>
      <c r="DM387" s="98" t="str">
        <f>IF(DO387&lt;&gt;"",VLOOKUP($P387&amp;" | "&amp;DM$6,'Job Master'!$F$12:$J$102,5,0),"")</f>
        <v/>
      </c>
      <c r="DN387" s="19" t="str">
        <f>IF(DO387&lt;&gt;"",VLOOKUP($P387&amp;" | "&amp;DM$6,'Job Master'!$F$12:$J$102,3,0),"")</f>
        <v/>
      </c>
      <c r="DO387" s="19" t="str">
        <f>IFERROR(IF(AND(DT387&lt;&gt;"",VLOOKUP($P387&amp;" | "&amp;DM$6,'Job Master'!$F$12:$I$102,4,0)&lt;&gt;""),IF(WEEKDAY(DT387-VLOOKUP($P387&amp;" | "&amp;DM$6,'Job Master'!$F$12:$I$102,4,0))&lt;&gt;7,DT387-VLOOKUP($P387&amp;" | "&amp;DM$6,'Job Master'!$F$12:$I$102,4,0),DT387-VLOOKUP($P387&amp;" | "&amp;DM$6,'Job Master'!$F$12:$I$102,4,0)-1),""),"")</f>
        <v/>
      </c>
      <c r="DP387" s="73"/>
      <c r="DQ387" s="123" t="str">
        <f t="shared" si="684"/>
        <v/>
      </c>
      <c r="DR387" s="123" t="str">
        <f t="shared" si="685"/>
        <v/>
      </c>
      <c r="DS387" s="97" t="str">
        <f t="shared" ca="1" si="686"/>
        <v/>
      </c>
      <c r="DT387" s="70" t="str">
        <f t="shared" si="687"/>
        <v/>
      </c>
      <c r="DU387" s="90"/>
      <c r="DV387" s="123" t="str">
        <f t="shared" si="688"/>
        <v/>
      </c>
      <c r="DW387" s="123" t="str">
        <f t="shared" si="689"/>
        <v/>
      </c>
      <c r="DX387" s="132" t="str">
        <f t="shared" ref="DX387" ca="1" si="758">IF(DT387&lt;&gt;"",IF(WEEKNUM(DT387)=WEEKNUM(TODAY()),"This Week",IF(WEEKNUM(DT387)=WEEKNUM(TODAY())+1,"Next Week",IF(WEEKNUM(DT387)=WEEKNUM(TODAY())-1,"Previous Week",""))),"")</f>
        <v/>
      </c>
      <c r="DY387" s="134" t="str">
        <f t="shared" si="691"/>
        <v/>
      </c>
      <c r="DZ387" s="95"/>
      <c r="EB387" s="8" t="str">
        <f t="shared" si="697"/>
        <v/>
      </c>
      <c r="EC387" s="8" t="str">
        <f>IF(O387&lt;&gt;"",VLOOKUP(O387,'Job Master'!$N$12:$O$18,2,0),"")</f>
        <v/>
      </c>
      <c r="ED387" s="8">
        <f t="shared" si="698"/>
        <v>19.5</v>
      </c>
      <c r="EE387" s="8">
        <f t="shared" si="699"/>
        <v>6</v>
      </c>
      <c r="EF387" s="8">
        <f t="shared" si="700"/>
        <v>-2242.5</v>
      </c>
      <c r="EG387" s="8" t="str">
        <f t="shared" si="701"/>
        <v/>
      </c>
      <c r="EH387" s="8" t="str">
        <f t="shared" si="702"/>
        <v/>
      </c>
    </row>
    <row r="388" spans="2:138" x14ac:dyDescent="0.3">
      <c r="B388" s="112"/>
      <c r="C388" s="27"/>
      <c r="D388" s="7" t="str">
        <f t="shared" si="639"/>
        <v/>
      </c>
      <c r="E388" s="25"/>
      <c r="F388" s="7" t="str">
        <f t="shared" si="639"/>
        <v/>
      </c>
      <c r="G388" s="25"/>
      <c r="H388" s="7" t="str">
        <f t="shared" si="639"/>
        <v/>
      </c>
      <c r="I388" s="25"/>
      <c r="J388" s="7" t="str">
        <f t="shared" si="639"/>
        <v/>
      </c>
      <c r="K388" s="25"/>
      <c r="L388" s="7" t="str">
        <f t="shared" si="640"/>
        <v/>
      </c>
      <c r="M388" s="25"/>
      <c r="N388" s="7" t="str">
        <f t="shared" si="641"/>
        <v/>
      </c>
      <c r="O388" s="81"/>
      <c r="P388" s="81" t="str">
        <f t="shared" si="642"/>
        <v/>
      </c>
      <c r="Q388" s="81"/>
      <c r="R388" s="7" t="str">
        <f t="shared" si="643"/>
        <v/>
      </c>
      <c r="S388" s="25"/>
      <c r="T388" s="7" t="str">
        <f t="shared" si="644"/>
        <v/>
      </c>
      <c r="U388" s="25"/>
      <c r="V388" s="7" t="str">
        <f t="shared" si="645"/>
        <v/>
      </c>
      <c r="W388" s="25"/>
      <c r="X388" s="7" t="str">
        <f t="shared" si="646"/>
        <v/>
      </c>
      <c r="Y388" s="18" t="str">
        <f t="shared" si="647"/>
        <v/>
      </c>
      <c r="Z388" s="7" t="str">
        <f t="shared" si="648"/>
        <v/>
      </c>
      <c r="AA388" s="18" t="str">
        <f t="shared" si="649"/>
        <v/>
      </c>
      <c r="AB388" s="19" t="str">
        <f t="shared" si="650"/>
        <v/>
      </c>
      <c r="AC388" s="26"/>
      <c r="AD388" s="26"/>
      <c r="AE388" s="25"/>
      <c r="AF388" s="26"/>
      <c r="AG388" s="25"/>
      <c r="AH388" s="25"/>
      <c r="AI388" s="18" t="str">
        <f t="shared" si="713"/>
        <v/>
      </c>
      <c r="AJ388" s="25"/>
      <c r="AK388" s="18" t="str">
        <f t="shared" si="714"/>
        <v/>
      </c>
      <c r="AL388" s="79"/>
      <c r="AM388" s="126" t="str">
        <f t="shared" si="715"/>
        <v/>
      </c>
      <c r="AN388" s="128" t="str">
        <f>IF(AP388&lt;&gt;"",VLOOKUP($P388&amp;" | "&amp;AN$6,'Job Master'!$F$12:$J$102,5,0),"")</f>
        <v/>
      </c>
      <c r="AO388" s="19" t="str">
        <f>IF(AP388&lt;&gt;"",VLOOKUP($P388&amp;" | "&amp;AN$6,'Job Master'!$F$12:$J$102,3,0),"")</f>
        <v/>
      </c>
      <c r="AP388" s="19" t="str">
        <f>IFERROR(IF(AND(AW388&lt;&gt;"",VLOOKUP($P388&amp;" | "&amp;AN$6,'Job Master'!$F$12:$I$102,4,0)&lt;&gt;""),IF(WEEKDAY(AW388-VLOOKUP($P388&amp;" | "&amp;AN$6,'Job Master'!$F$12:$I$102,4,0))&lt;&gt;7,AW388-VLOOKUP($P388&amp;" | "&amp;AN$6,'Job Master'!$F$12:$I$102,4,0),AW388-VLOOKUP($P388&amp;" | "&amp;AN$6,'Job Master'!$F$12:$I$102,4,0)-1),""),"")</f>
        <v/>
      </c>
      <c r="AQ388" s="73"/>
      <c r="AR388" s="123" t="str">
        <f t="shared" si="651"/>
        <v/>
      </c>
      <c r="AS388" s="123" t="str">
        <f t="shared" si="652"/>
        <v/>
      </c>
      <c r="AT388" s="97" t="str">
        <f t="shared" ca="1" si="653"/>
        <v/>
      </c>
      <c r="AU388" s="98" t="str">
        <f>IF(AW388&lt;&gt;"",VLOOKUP($P388&amp;" | "&amp;AU$6,'Job Master'!$F$12:$J$102,5,0),"")</f>
        <v/>
      </c>
      <c r="AV388" s="19" t="str">
        <f>IF(AW388&lt;&gt;"",VLOOKUP($P388&amp;" | "&amp;AU$6,'Job Master'!$F$12:$J$102,3,0),"")</f>
        <v/>
      </c>
      <c r="AW388" s="19" t="str">
        <f>IFERROR(IF(AND(BD388&lt;&gt;"",VLOOKUP($P388&amp;" | "&amp;AU$6,'Job Master'!$F$12:$I$102,4,0)&lt;&gt;""),IF(WEEKDAY(BD388-VLOOKUP($P388&amp;" | "&amp;AU$6,'Job Master'!$F$12:$I$102,4,0))&lt;&gt;7,BD388-VLOOKUP($P388&amp;" | "&amp;AU$6,'Job Master'!$F$12:$I$102,4,0),BD388-VLOOKUP($P388&amp;" | "&amp;AU$6,'Job Master'!$F$12:$I$102,4,0)-1),""),"")</f>
        <v/>
      </c>
      <c r="AX388" s="73"/>
      <c r="AY388" s="123" t="str">
        <f t="shared" si="654"/>
        <v/>
      </c>
      <c r="AZ388" s="123" t="str">
        <f t="shared" si="655"/>
        <v/>
      </c>
      <c r="BA388" s="97" t="str">
        <f t="shared" ca="1" si="656"/>
        <v/>
      </c>
      <c r="BB388" s="98" t="str">
        <f>IF(BD388&lt;&gt;"",VLOOKUP($P388&amp;" | "&amp;BB$6,'Job Master'!$F$12:$J$102,5,0),"")</f>
        <v/>
      </c>
      <c r="BC388" s="19" t="str">
        <f>IF(BD388&lt;&gt;"",VLOOKUP($P388&amp;" | "&amp;BB$6,'Job Master'!$F$12:$J$102,3,0),"")</f>
        <v/>
      </c>
      <c r="BD388" s="19" t="str">
        <f>IFERROR(IF(AND(BK388&lt;&gt;"",VLOOKUP($P388&amp;" | "&amp;BB$6,'Job Master'!$F$12:$I$102,4,0)&lt;&gt;""),IF(WEEKDAY(BK388-VLOOKUP($P388&amp;" | "&amp;BB$6,'Job Master'!$F$12:$I$102,4,0))&lt;&gt;7,BK388-VLOOKUP($P388&amp;" | "&amp;BB$6,'Job Master'!$F$12:$I$102,4,0),BK388-VLOOKUP($P388&amp;" | "&amp;BB$6,'Job Master'!$F$12:$I$102,4,0)-1),""),"")</f>
        <v/>
      </c>
      <c r="BE388" s="73"/>
      <c r="BF388" s="123" t="str">
        <f t="shared" si="657"/>
        <v/>
      </c>
      <c r="BG388" s="123" t="str">
        <f t="shared" si="658"/>
        <v/>
      </c>
      <c r="BH388" s="97" t="str">
        <f t="shared" ca="1" si="659"/>
        <v/>
      </c>
      <c r="BI388" s="98" t="str">
        <f>IF(BK388&lt;&gt;"",VLOOKUP($P388&amp;" | "&amp;BI$6,'Job Master'!$F$12:$J$102,5,0),"")</f>
        <v/>
      </c>
      <c r="BJ388" s="19" t="str">
        <f>IF(BK388&lt;&gt;"",VLOOKUP($P388&amp;" | "&amp;BI$6,'Job Master'!$F$12:$J$102,3,0),"")</f>
        <v/>
      </c>
      <c r="BK388" s="19" t="str">
        <f>IFERROR(IF(AND(BR388&lt;&gt;"",VLOOKUP($P388&amp;" | "&amp;BI$6,'Job Master'!$F$12:$I$102,4,0)&lt;&gt;""),IF(WEEKDAY(BR388-VLOOKUP($P388&amp;" | "&amp;BI$6,'Job Master'!$F$12:$I$102,4,0))&lt;&gt;7,BR388-VLOOKUP($P388&amp;" | "&amp;BI$6,'Job Master'!$F$12:$I$102,4,0),BR388-VLOOKUP($P388&amp;" | "&amp;BI$6,'Job Master'!$F$12:$I$102,4,0)-1),""),"")</f>
        <v/>
      </c>
      <c r="BL388" s="73"/>
      <c r="BM388" s="123" t="str">
        <f t="shared" si="660"/>
        <v/>
      </c>
      <c r="BN388" s="123" t="str">
        <f t="shared" si="661"/>
        <v/>
      </c>
      <c r="BO388" s="97" t="str">
        <f t="shared" ca="1" si="662"/>
        <v/>
      </c>
      <c r="BP388" s="98" t="str">
        <f>IF(BR388&lt;&gt;"",VLOOKUP($P388&amp;" | "&amp;BP$6,'Job Master'!$F$12:$J$102,5,0),"")</f>
        <v/>
      </c>
      <c r="BQ388" s="19" t="str">
        <f>IF(BR388&lt;&gt;"",VLOOKUP($P388&amp;" | "&amp;BP$6,'Job Master'!$F$12:$J$102,3,0),"")</f>
        <v/>
      </c>
      <c r="BR388" s="19" t="str">
        <f>IFERROR(IF(AND(BY388&lt;&gt;"",VLOOKUP($P388&amp;" | "&amp;BP$6,'Job Master'!$F$12:$I$102,4,0)&lt;&gt;""),IF(WEEKDAY(BY388-VLOOKUP($P388&amp;" | "&amp;BP$6,'Job Master'!$F$12:$I$102,4,0))&lt;&gt;7,BY388-VLOOKUP($P388&amp;" | "&amp;BP$6,'Job Master'!$F$12:$I$102,4,0),BY388-VLOOKUP($P388&amp;" | "&amp;BP$6,'Job Master'!$F$12:$I$102,4,0)-1),""),"")</f>
        <v/>
      </c>
      <c r="BS388" s="73"/>
      <c r="BT388" s="123" t="str">
        <f t="shared" si="663"/>
        <v/>
      </c>
      <c r="BU388" s="123" t="str">
        <f t="shared" si="664"/>
        <v/>
      </c>
      <c r="BV388" s="97" t="str">
        <f t="shared" ca="1" si="665"/>
        <v/>
      </c>
      <c r="BW388" s="98" t="str">
        <f>IF(BY388&lt;&gt;"",VLOOKUP($P388&amp;" | "&amp;BW$6,'Job Master'!$F$12:$J$102,5,0),"")</f>
        <v/>
      </c>
      <c r="BX388" s="19" t="str">
        <f>IF(BY388&lt;&gt;"",VLOOKUP($P388&amp;" | "&amp;BW$6,'Job Master'!$F$12:$J$102,3,0),"")</f>
        <v/>
      </c>
      <c r="BY388" s="19" t="str">
        <f>IFERROR(IF(AND(CF388&lt;&gt;"",VLOOKUP($P388&amp;" | "&amp;BW$6,'Job Master'!$F$12:$I$102,4,0)&lt;&gt;""),IF(WEEKDAY(CF388-VLOOKUP($P388&amp;" | "&amp;BW$6,'Job Master'!$F$12:$I$102,4,0))&lt;&gt;7,CF388-VLOOKUP($P388&amp;" | "&amp;BW$6,'Job Master'!$F$12:$I$102,4,0),CF388-VLOOKUP($P388&amp;" | "&amp;BW$6,'Job Master'!$F$12:$I$102,4,0)-1),""),"")</f>
        <v/>
      </c>
      <c r="BZ388" s="73"/>
      <c r="CA388" s="123" t="str">
        <f t="shared" si="666"/>
        <v/>
      </c>
      <c r="CB388" s="123" t="str">
        <f t="shared" si="667"/>
        <v/>
      </c>
      <c r="CC388" s="97" t="str">
        <f t="shared" ca="1" si="668"/>
        <v/>
      </c>
      <c r="CD388" s="98" t="str">
        <f>IF(CF388&lt;&gt;"",VLOOKUP($P388&amp;" | "&amp;CD$6,'Job Master'!$F$12:$J$102,5,0),"")</f>
        <v/>
      </c>
      <c r="CE388" s="19" t="str">
        <f>IF(CF388&lt;&gt;"",VLOOKUP($P388&amp;" | "&amp;CD$6,'Job Master'!$F$12:$J$102,3,0),"")</f>
        <v/>
      </c>
      <c r="CF388" s="19" t="str">
        <f>IFERROR(IF(AND(CM388&lt;&gt;"",VLOOKUP($P388&amp;" | "&amp;CD$6,'Job Master'!$F$12:$I$102,4,0)&lt;&gt;""),IF(WEEKDAY(CM388-VLOOKUP($P388&amp;" | "&amp;CD$6,'Job Master'!$F$12:$I$102,4,0))&lt;&gt;7,CM388-VLOOKUP($P388&amp;" | "&amp;CD$6,'Job Master'!$F$12:$I$102,4,0),CM388-VLOOKUP($P388&amp;" | "&amp;CD$6,'Job Master'!$F$12:$I$102,4,0)-1),""),"")</f>
        <v/>
      </c>
      <c r="CG388" s="73"/>
      <c r="CH388" s="123" t="str">
        <f t="shared" si="669"/>
        <v/>
      </c>
      <c r="CI388" s="123" t="str">
        <f t="shared" si="670"/>
        <v/>
      </c>
      <c r="CJ388" s="97" t="str">
        <f t="shared" ca="1" si="671"/>
        <v/>
      </c>
      <c r="CK388" s="98" t="str">
        <f>IF(CM388&lt;&gt;"",VLOOKUP($P388&amp;" | "&amp;CK$6,'Job Master'!$F$12:$J$102,5,0),"")</f>
        <v/>
      </c>
      <c r="CL388" s="19" t="str">
        <f>IF(CM388&lt;&gt;"",VLOOKUP($P388&amp;" | "&amp;CK$6,'Job Master'!$F$12:$J$102,3,0),"")</f>
        <v/>
      </c>
      <c r="CM388" s="19" t="str">
        <f>IFERROR(IF(AND(CT388&lt;&gt;"",VLOOKUP($P388&amp;" | "&amp;CK$6,'Job Master'!$F$12:$I$102,4,0)&lt;&gt;""),IF(WEEKDAY(CT388-VLOOKUP($P388&amp;" | "&amp;CK$6,'Job Master'!$F$12:$I$102,4,0))&lt;&gt;7,CT388-VLOOKUP($P388&amp;" | "&amp;CK$6,'Job Master'!$F$12:$I$102,4,0),CT388-VLOOKUP($P388&amp;" | "&amp;CK$6,'Job Master'!$F$12:$I$102,4,0)-1),""),"")</f>
        <v/>
      </c>
      <c r="CN388" s="73"/>
      <c r="CO388" s="123" t="str">
        <f t="shared" si="672"/>
        <v/>
      </c>
      <c r="CP388" s="123" t="str">
        <f t="shared" si="673"/>
        <v/>
      </c>
      <c r="CQ388" s="97" t="str">
        <f t="shared" ca="1" si="674"/>
        <v/>
      </c>
      <c r="CR388" s="98" t="str">
        <f>IF(CT388&lt;&gt;"",VLOOKUP($P388&amp;" | "&amp;CR$6,'Job Master'!$F$12:$J$102,5,0),"")</f>
        <v/>
      </c>
      <c r="CS388" s="19" t="str">
        <f>IF(CT388&lt;&gt;"",VLOOKUP($P388&amp;" | "&amp;CR$6,'Job Master'!$F$12:$J$102,3,0),"")</f>
        <v/>
      </c>
      <c r="CT388" s="19" t="str">
        <f>IFERROR(IF(AND(DA388&lt;&gt;"",VLOOKUP($P388&amp;" | "&amp;CR$6,'Job Master'!$F$12:$I$102,4,0)&lt;&gt;""),IF(WEEKDAY(DA388-VLOOKUP($P388&amp;" | "&amp;CR$6,'Job Master'!$F$12:$I$102,4,0))&lt;&gt;7,DA388-VLOOKUP($P388&amp;" | "&amp;CR$6,'Job Master'!$F$12:$I$102,4,0),DA388-VLOOKUP($P388&amp;" | "&amp;CR$6,'Job Master'!$F$12:$I$102,4,0)-1),""),"")</f>
        <v/>
      </c>
      <c r="CU388" s="73"/>
      <c r="CV388" s="123" t="str">
        <f t="shared" si="675"/>
        <v/>
      </c>
      <c r="CW388" s="123" t="str">
        <f t="shared" si="676"/>
        <v/>
      </c>
      <c r="CX388" s="97" t="str">
        <f t="shared" ca="1" si="677"/>
        <v/>
      </c>
      <c r="CY388" s="98" t="str">
        <f>IF(DA388&lt;&gt;"",VLOOKUP($P388&amp;" | "&amp;CY$6,'Job Master'!$F$12:$J$102,5,0),"")</f>
        <v/>
      </c>
      <c r="CZ388" s="19" t="str">
        <f>IF(DA388&lt;&gt;"",VLOOKUP($P388&amp;" | "&amp;CY$6,'Job Master'!$F$12:$J$102,3,0),"")</f>
        <v/>
      </c>
      <c r="DA388" s="19" t="str">
        <f>IFERROR(IF(AND(DH388&lt;&gt;"",VLOOKUP($P388&amp;" | "&amp;CY$6,'Job Master'!$F$12:$I$102,4,0)&lt;&gt;""),IF(WEEKDAY(DH388-VLOOKUP($P388&amp;" | "&amp;CY$6,'Job Master'!$F$12:$I$102,4,0))&lt;&gt;7,DH388-VLOOKUP($P388&amp;" | "&amp;CY$6,'Job Master'!$F$12:$I$102,4,0),DH388-VLOOKUP($P388&amp;" | "&amp;CY$6,'Job Master'!$F$12:$I$102,4,0)-1),""),"")</f>
        <v/>
      </c>
      <c r="DB388" s="73"/>
      <c r="DC388" s="123" t="str">
        <f t="shared" si="678"/>
        <v/>
      </c>
      <c r="DD388" s="123" t="str">
        <f t="shared" si="679"/>
        <v/>
      </c>
      <c r="DE388" s="97" t="str">
        <f t="shared" ca="1" si="680"/>
        <v/>
      </c>
      <c r="DF388" s="98" t="str">
        <f>IF(DH388&lt;&gt;"",VLOOKUP($P388&amp;" | "&amp;DF$6,'Job Master'!$F$12:$J$102,5,0),"")</f>
        <v/>
      </c>
      <c r="DG388" s="19" t="str">
        <f>IF(DH388&lt;&gt;"",VLOOKUP($P388&amp;" | "&amp;DF$6,'Job Master'!$F$12:$J$102,3,0),"")</f>
        <v/>
      </c>
      <c r="DH388" s="19" t="str">
        <f>IFERROR(IF(AND(DO388&lt;&gt;"",VLOOKUP($P388&amp;" | "&amp;DF$6,'Job Master'!$F$12:$I$102,4,0)&lt;&gt;""),IF(WEEKDAY(DO388-VLOOKUP($P388&amp;" | "&amp;DF$6,'Job Master'!$F$12:$I$102,4,0))&lt;&gt;7,DO388-VLOOKUP($P388&amp;" | "&amp;DF$6,'Job Master'!$F$12:$I$102,4,0),DO388-VLOOKUP($P388&amp;" | "&amp;DF$6,'Job Master'!$F$12:$I$102,4,0)-1),""),"")</f>
        <v/>
      </c>
      <c r="DI388" s="73"/>
      <c r="DJ388" s="123" t="str">
        <f t="shared" si="681"/>
        <v/>
      </c>
      <c r="DK388" s="123" t="str">
        <f t="shared" si="682"/>
        <v/>
      </c>
      <c r="DL388" s="97" t="str">
        <f t="shared" ca="1" si="683"/>
        <v/>
      </c>
      <c r="DM388" s="98" t="str">
        <f>IF(DO388&lt;&gt;"",VLOOKUP($P388&amp;" | "&amp;DM$6,'Job Master'!$F$12:$J$102,5,0),"")</f>
        <v/>
      </c>
      <c r="DN388" s="19" t="str">
        <f>IF(DO388&lt;&gt;"",VLOOKUP($P388&amp;" | "&amp;DM$6,'Job Master'!$F$12:$J$102,3,0),"")</f>
        <v/>
      </c>
      <c r="DO388" s="19" t="str">
        <f>IFERROR(IF(AND(DT388&lt;&gt;"",VLOOKUP($P388&amp;" | "&amp;DM$6,'Job Master'!$F$12:$I$102,4,0)&lt;&gt;""),IF(WEEKDAY(DT388-VLOOKUP($P388&amp;" | "&amp;DM$6,'Job Master'!$F$12:$I$102,4,0))&lt;&gt;7,DT388-VLOOKUP($P388&amp;" | "&amp;DM$6,'Job Master'!$F$12:$I$102,4,0),DT388-VLOOKUP($P388&amp;" | "&amp;DM$6,'Job Master'!$F$12:$I$102,4,0)-1),""),"")</f>
        <v/>
      </c>
      <c r="DP388" s="73"/>
      <c r="DQ388" s="123" t="str">
        <f t="shared" si="684"/>
        <v/>
      </c>
      <c r="DR388" s="123" t="str">
        <f t="shared" si="685"/>
        <v/>
      </c>
      <c r="DS388" s="97" t="str">
        <f t="shared" ca="1" si="686"/>
        <v/>
      </c>
      <c r="DT388" s="70" t="str">
        <f t="shared" si="687"/>
        <v/>
      </c>
      <c r="DU388" s="90"/>
      <c r="DV388" s="123" t="str">
        <f t="shared" si="688"/>
        <v/>
      </c>
      <c r="DW388" s="123" t="str">
        <f t="shared" si="689"/>
        <v/>
      </c>
      <c r="DX388" s="132" t="str">
        <f t="shared" ref="DX388" ca="1" si="759">IF(DT388&lt;&gt;"",IF(WEEKNUM(DT388)=WEEKNUM(TODAY()),"This Week",IF(WEEKNUM(DT388)=WEEKNUM(TODAY())+1,"Next Week",IF(WEEKNUM(DT388)=WEEKNUM(TODAY())-1,"Previous Week",""))),"")</f>
        <v/>
      </c>
      <c r="DY388" s="134" t="str">
        <f t="shared" si="691"/>
        <v/>
      </c>
      <c r="DZ388" s="95"/>
      <c r="EB388" s="8" t="str">
        <f t="shared" si="697"/>
        <v/>
      </c>
      <c r="EC388" s="8" t="str">
        <f>IF(O388&lt;&gt;"",VLOOKUP(O388,'Job Master'!$N$12:$O$18,2,0),"")</f>
        <v/>
      </c>
      <c r="ED388" s="8">
        <f t="shared" si="698"/>
        <v>19.5</v>
      </c>
      <c r="EE388" s="8">
        <f t="shared" si="699"/>
        <v>6</v>
      </c>
      <c r="EF388" s="8">
        <f t="shared" si="700"/>
        <v>-2248.5</v>
      </c>
      <c r="EG388" s="8" t="str">
        <f t="shared" si="701"/>
        <v/>
      </c>
      <c r="EH388" s="8" t="str">
        <f t="shared" si="702"/>
        <v/>
      </c>
    </row>
    <row r="389" spans="2:138" x14ac:dyDescent="0.3">
      <c r="B389" s="112"/>
      <c r="C389" s="27"/>
      <c r="D389" s="7" t="str">
        <f t="shared" si="639"/>
        <v/>
      </c>
      <c r="E389" s="25"/>
      <c r="F389" s="7" t="str">
        <f t="shared" si="639"/>
        <v/>
      </c>
      <c r="G389" s="25"/>
      <c r="H389" s="7" t="str">
        <f t="shared" si="639"/>
        <v/>
      </c>
      <c r="I389" s="25"/>
      <c r="J389" s="7" t="str">
        <f t="shared" si="639"/>
        <v/>
      </c>
      <c r="K389" s="25"/>
      <c r="L389" s="7" t="str">
        <f t="shared" si="640"/>
        <v/>
      </c>
      <c r="M389" s="25"/>
      <c r="N389" s="7" t="str">
        <f t="shared" si="641"/>
        <v/>
      </c>
      <c r="O389" s="81"/>
      <c r="P389" s="81" t="str">
        <f t="shared" si="642"/>
        <v/>
      </c>
      <c r="Q389" s="81"/>
      <c r="R389" s="7" t="str">
        <f t="shared" si="643"/>
        <v/>
      </c>
      <c r="S389" s="25"/>
      <c r="T389" s="7" t="str">
        <f t="shared" si="644"/>
        <v/>
      </c>
      <c r="U389" s="25"/>
      <c r="V389" s="7" t="str">
        <f t="shared" si="645"/>
        <v/>
      </c>
      <c r="W389" s="25"/>
      <c r="X389" s="7" t="str">
        <f t="shared" si="646"/>
        <v/>
      </c>
      <c r="Y389" s="18" t="str">
        <f t="shared" si="647"/>
        <v/>
      </c>
      <c r="Z389" s="7" t="str">
        <f t="shared" si="648"/>
        <v/>
      </c>
      <c r="AA389" s="18" t="str">
        <f t="shared" si="649"/>
        <v/>
      </c>
      <c r="AB389" s="19" t="str">
        <f t="shared" si="650"/>
        <v/>
      </c>
      <c r="AC389" s="26"/>
      <c r="AD389" s="26"/>
      <c r="AE389" s="25"/>
      <c r="AF389" s="26"/>
      <c r="AG389" s="25"/>
      <c r="AH389" s="25"/>
      <c r="AI389" s="18" t="str">
        <f t="shared" si="713"/>
        <v/>
      </c>
      <c r="AJ389" s="25"/>
      <c r="AK389" s="18" t="str">
        <f t="shared" si="714"/>
        <v/>
      </c>
      <c r="AL389" s="79"/>
      <c r="AM389" s="126" t="str">
        <f t="shared" si="715"/>
        <v/>
      </c>
      <c r="AN389" s="128" t="str">
        <f>IF(AP389&lt;&gt;"",VLOOKUP($P389&amp;" | "&amp;AN$6,'Job Master'!$F$12:$J$102,5,0),"")</f>
        <v/>
      </c>
      <c r="AO389" s="19" t="str">
        <f>IF(AP389&lt;&gt;"",VLOOKUP($P389&amp;" | "&amp;AN$6,'Job Master'!$F$12:$J$102,3,0),"")</f>
        <v/>
      </c>
      <c r="AP389" s="19" t="str">
        <f>IFERROR(IF(AND(AW389&lt;&gt;"",VLOOKUP($P389&amp;" | "&amp;AN$6,'Job Master'!$F$12:$I$102,4,0)&lt;&gt;""),IF(WEEKDAY(AW389-VLOOKUP($P389&amp;" | "&amp;AN$6,'Job Master'!$F$12:$I$102,4,0))&lt;&gt;7,AW389-VLOOKUP($P389&amp;" | "&amp;AN$6,'Job Master'!$F$12:$I$102,4,0),AW389-VLOOKUP($P389&amp;" | "&amp;AN$6,'Job Master'!$F$12:$I$102,4,0)-1),""),"")</f>
        <v/>
      </c>
      <c r="AQ389" s="73"/>
      <c r="AR389" s="123" t="str">
        <f t="shared" si="651"/>
        <v/>
      </c>
      <c r="AS389" s="123" t="str">
        <f t="shared" si="652"/>
        <v/>
      </c>
      <c r="AT389" s="97" t="str">
        <f t="shared" ca="1" si="653"/>
        <v/>
      </c>
      <c r="AU389" s="98" t="str">
        <f>IF(AW389&lt;&gt;"",VLOOKUP($P389&amp;" | "&amp;AU$6,'Job Master'!$F$12:$J$102,5,0),"")</f>
        <v/>
      </c>
      <c r="AV389" s="19" t="str">
        <f>IF(AW389&lt;&gt;"",VLOOKUP($P389&amp;" | "&amp;AU$6,'Job Master'!$F$12:$J$102,3,0),"")</f>
        <v/>
      </c>
      <c r="AW389" s="19" t="str">
        <f>IFERROR(IF(AND(BD389&lt;&gt;"",VLOOKUP($P389&amp;" | "&amp;AU$6,'Job Master'!$F$12:$I$102,4,0)&lt;&gt;""),IF(WEEKDAY(BD389-VLOOKUP($P389&amp;" | "&amp;AU$6,'Job Master'!$F$12:$I$102,4,0))&lt;&gt;7,BD389-VLOOKUP($P389&amp;" | "&amp;AU$6,'Job Master'!$F$12:$I$102,4,0),BD389-VLOOKUP($P389&amp;" | "&amp;AU$6,'Job Master'!$F$12:$I$102,4,0)-1),""),"")</f>
        <v/>
      </c>
      <c r="AX389" s="73"/>
      <c r="AY389" s="123" t="str">
        <f t="shared" si="654"/>
        <v/>
      </c>
      <c r="AZ389" s="123" t="str">
        <f t="shared" si="655"/>
        <v/>
      </c>
      <c r="BA389" s="97" t="str">
        <f t="shared" ca="1" si="656"/>
        <v/>
      </c>
      <c r="BB389" s="98" t="str">
        <f>IF(BD389&lt;&gt;"",VLOOKUP($P389&amp;" | "&amp;BB$6,'Job Master'!$F$12:$J$102,5,0),"")</f>
        <v/>
      </c>
      <c r="BC389" s="19" t="str">
        <f>IF(BD389&lt;&gt;"",VLOOKUP($P389&amp;" | "&amp;BB$6,'Job Master'!$F$12:$J$102,3,0),"")</f>
        <v/>
      </c>
      <c r="BD389" s="19" t="str">
        <f>IFERROR(IF(AND(BK389&lt;&gt;"",VLOOKUP($P389&amp;" | "&amp;BB$6,'Job Master'!$F$12:$I$102,4,0)&lt;&gt;""),IF(WEEKDAY(BK389-VLOOKUP($P389&amp;" | "&amp;BB$6,'Job Master'!$F$12:$I$102,4,0))&lt;&gt;7,BK389-VLOOKUP($P389&amp;" | "&amp;BB$6,'Job Master'!$F$12:$I$102,4,0),BK389-VLOOKUP($P389&amp;" | "&amp;BB$6,'Job Master'!$F$12:$I$102,4,0)-1),""),"")</f>
        <v/>
      </c>
      <c r="BE389" s="73"/>
      <c r="BF389" s="123" t="str">
        <f t="shared" si="657"/>
        <v/>
      </c>
      <c r="BG389" s="123" t="str">
        <f t="shared" si="658"/>
        <v/>
      </c>
      <c r="BH389" s="97" t="str">
        <f t="shared" ca="1" si="659"/>
        <v/>
      </c>
      <c r="BI389" s="98" t="str">
        <f>IF(BK389&lt;&gt;"",VLOOKUP($P389&amp;" | "&amp;BI$6,'Job Master'!$F$12:$J$102,5,0),"")</f>
        <v/>
      </c>
      <c r="BJ389" s="19" t="str">
        <f>IF(BK389&lt;&gt;"",VLOOKUP($P389&amp;" | "&amp;BI$6,'Job Master'!$F$12:$J$102,3,0),"")</f>
        <v/>
      </c>
      <c r="BK389" s="19" t="str">
        <f>IFERROR(IF(AND(BR389&lt;&gt;"",VLOOKUP($P389&amp;" | "&amp;BI$6,'Job Master'!$F$12:$I$102,4,0)&lt;&gt;""),IF(WEEKDAY(BR389-VLOOKUP($P389&amp;" | "&amp;BI$6,'Job Master'!$F$12:$I$102,4,0))&lt;&gt;7,BR389-VLOOKUP($P389&amp;" | "&amp;BI$6,'Job Master'!$F$12:$I$102,4,0),BR389-VLOOKUP($P389&amp;" | "&amp;BI$6,'Job Master'!$F$12:$I$102,4,0)-1),""),"")</f>
        <v/>
      </c>
      <c r="BL389" s="73"/>
      <c r="BM389" s="123" t="str">
        <f t="shared" si="660"/>
        <v/>
      </c>
      <c r="BN389" s="123" t="str">
        <f t="shared" si="661"/>
        <v/>
      </c>
      <c r="BO389" s="97" t="str">
        <f t="shared" ca="1" si="662"/>
        <v/>
      </c>
      <c r="BP389" s="98" t="str">
        <f>IF(BR389&lt;&gt;"",VLOOKUP($P389&amp;" | "&amp;BP$6,'Job Master'!$F$12:$J$102,5,0),"")</f>
        <v/>
      </c>
      <c r="BQ389" s="19" t="str">
        <f>IF(BR389&lt;&gt;"",VLOOKUP($P389&amp;" | "&amp;BP$6,'Job Master'!$F$12:$J$102,3,0),"")</f>
        <v/>
      </c>
      <c r="BR389" s="19" t="str">
        <f>IFERROR(IF(AND(BY389&lt;&gt;"",VLOOKUP($P389&amp;" | "&amp;BP$6,'Job Master'!$F$12:$I$102,4,0)&lt;&gt;""),IF(WEEKDAY(BY389-VLOOKUP($P389&amp;" | "&amp;BP$6,'Job Master'!$F$12:$I$102,4,0))&lt;&gt;7,BY389-VLOOKUP($P389&amp;" | "&amp;BP$6,'Job Master'!$F$12:$I$102,4,0),BY389-VLOOKUP($P389&amp;" | "&amp;BP$6,'Job Master'!$F$12:$I$102,4,0)-1),""),"")</f>
        <v/>
      </c>
      <c r="BS389" s="73"/>
      <c r="BT389" s="123" t="str">
        <f t="shared" si="663"/>
        <v/>
      </c>
      <c r="BU389" s="123" t="str">
        <f t="shared" si="664"/>
        <v/>
      </c>
      <c r="BV389" s="97" t="str">
        <f t="shared" ca="1" si="665"/>
        <v/>
      </c>
      <c r="BW389" s="98" t="str">
        <f>IF(BY389&lt;&gt;"",VLOOKUP($P389&amp;" | "&amp;BW$6,'Job Master'!$F$12:$J$102,5,0),"")</f>
        <v/>
      </c>
      <c r="BX389" s="19" t="str">
        <f>IF(BY389&lt;&gt;"",VLOOKUP($P389&amp;" | "&amp;BW$6,'Job Master'!$F$12:$J$102,3,0),"")</f>
        <v/>
      </c>
      <c r="BY389" s="19" t="str">
        <f>IFERROR(IF(AND(CF389&lt;&gt;"",VLOOKUP($P389&amp;" | "&amp;BW$6,'Job Master'!$F$12:$I$102,4,0)&lt;&gt;""),IF(WEEKDAY(CF389-VLOOKUP($P389&amp;" | "&amp;BW$6,'Job Master'!$F$12:$I$102,4,0))&lt;&gt;7,CF389-VLOOKUP($P389&amp;" | "&amp;BW$6,'Job Master'!$F$12:$I$102,4,0),CF389-VLOOKUP($P389&amp;" | "&amp;BW$6,'Job Master'!$F$12:$I$102,4,0)-1),""),"")</f>
        <v/>
      </c>
      <c r="BZ389" s="73"/>
      <c r="CA389" s="123" t="str">
        <f t="shared" si="666"/>
        <v/>
      </c>
      <c r="CB389" s="123" t="str">
        <f t="shared" si="667"/>
        <v/>
      </c>
      <c r="CC389" s="97" t="str">
        <f t="shared" ca="1" si="668"/>
        <v/>
      </c>
      <c r="CD389" s="98" t="str">
        <f>IF(CF389&lt;&gt;"",VLOOKUP($P389&amp;" | "&amp;CD$6,'Job Master'!$F$12:$J$102,5,0),"")</f>
        <v/>
      </c>
      <c r="CE389" s="19" t="str">
        <f>IF(CF389&lt;&gt;"",VLOOKUP($P389&amp;" | "&amp;CD$6,'Job Master'!$F$12:$J$102,3,0),"")</f>
        <v/>
      </c>
      <c r="CF389" s="19" t="str">
        <f>IFERROR(IF(AND(CM389&lt;&gt;"",VLOOKUP($P389&amp;" | "&amp;CD$6,'Job Master'!$F$12:$I$102,4,0)&lt;&gt;""),IF(WEEKDAY(CM389-VLOOKUP($P389&amp;" | "&amp;CD$6,'Job Master'!$F$12:$I$102,4,0))&lt;&gt;7,CM389-VLOOKUP($P389&amp;" | "&amp;CD$6,'Job Master'!$F$12:$I$102,4,0),CM389-VLOOKUP($P389&amp;" | "&amp;CD$6,'Job Master'!$F$12:$I$102,4,0)-1),""),"")</f>
        <v/>
      </c>
      <c r="CG389" s="73"/>
      <c r="CH389" s="123" t="str">
        <f t="shared" si="669"/>
        <v/>
      </c>
      <c r="CI389" s="123" t="str">
        <f t="shared" si="670"/>
        <v/>
      </c>
      <c r="CJ389" s="97" t="str">
        <f t="shared" ca="1" si="671"/>
        <v/>
      </c>
      <c r="CK389" s="98" t="str">
        <f>IF(CM389&lt;&gt;"",VLOOKUP($P389&amp;" | "&amp;CK$6,'Job Master'!$F$12:$J$102,5,0),"")</f>
        <v/>
      </c>
      <c r="CL389" s="19" t="str">
        <f>IF(CM389&lt;&gt;"",VLOOKUP($P389&amp;" | "&amp;CK$6,'Job Master'!$F$12:$J$102,3,0),"")</f>
        <v/>
      </c>
      <c r="CM389" s="19" t="str">
        <f>IFERROR(IF(AND(CT389&lt;&gt;"",VLOOKUP($P389&amp;" | "&amp;CK$6,'Job Master'!$F$12:$I$102,4,0)&lt;&gt;""),IF(WEEKDAY(CT389-VLOOKUP($P389&amp;" | "&amp;CK$6,'Job Master'!$F$12:$I$102,4,0))&lt;&gt;7,CT389-VLOOKUP($P389&amp;" | "&amp;CK$6,'Job Master'!$F$12:$I$102,4,0),CT389-VLOOKUP($P389&amp;" | "&amp;CK$6,'Job Master'!$F$12:$I$102,4,0)-1),""),"")</f>
        <v/>
      </c>
      <c r="CN389" s="73"/>
      <c r="CO389" s="123" t="str">
        <f t="shared" si="672"/>
        <v/>
      </c>
      <c r="CP389" s="123" t="str">
        <f t="shared" si="673"/>
        <v/>
      </c>
      <c r="CQ389" s="97" t="str">
        <f t="shared" ca="1" si="674"/>
        <v/>
      </c>
      <c r="CR389" s="98" t="str">
        <f>IF(CT389&lt;&gt;"",VLOOKUP($P389&amp;" | "&amp;CR$6,'Job Master'!$F$12:$J$102,5,0),"")</f>
        <v/>
      </c>
      <c r="CS389" s="19" t="str">
        <f>IF(CT389&lt;&gt;"",VLOOKUP($P389&amp;" | "&amp;CR$6,'Job Master'!$F$12:$J$102,3,0),"")</f>
        <v/>
      </c>
      <c r="CT389" s="19" t="str">
        <f>IFERROR(IF(AND(DA389&lt;&gt;"",VLOOKUP($P389&amp;" | "&amp;CR$6,'Job Master'!$F$12:$I$102,4,0)&lt;&gt;""),IF(WEEKDAY(DA389-VLOOKUP($P389&amp;" | "&amp;CR$6,'Job Master'!$F$12:$I$102,4,0))&lt;&gt;7,DA389-VLOOKUP($P389&amp;" | "&amp;CR$6,'Job Master'!$F$12:$I$102,4,0),DA389-VLOOKUP($P389&amp;" | "&amp;CR$6,'Job Master'!$F$12:$I$102,4,0)-1),""),"")</f>
        <v/>
      </c>
      <c r="CU389" s="73"/>
      <c r="CV389" s="123" t="str">
        <f t="shared" si="675"/>
        <v/>
      </c>
      <c r="CW389" s="123" t="str">
        <f t="shared" si="676"/>
        <v/>
      </c>
      <c r="CX389" s="97" t="str">
        <f t="shared" ca="1" si="677"/>
        <v/>
      </c>
      <c r="CY389" s="98" t="str">
        <f>IF(DA389&lt;&gt;"",VLOOKUP($P389&amp;" | "&amp;CY$6,'Job Master'!$F$12:$J$102,5,0),"")</f>
        <v/>
      </c>
      <c r="CZ389" s="19" t="str">
        <f>IF(DA389&lt;&gt;"",VLOOKUP($P389&amp;" | "&amp;CY$6,'Job Master'!$F$12:$J$102,3,0),"")</f>
        <v/>
      </c>
      <c r="DA389" s="19" t="str">
        <f>IFERROR(IF(AND(DH389&lt;&gt;"",VLOOKUP($P389&amp;" | "&amp;CY$6,'Job Master'!$F$12:$I$102,4,0)&lt;&gt;""),IF(WEEKDAY(DH389-VLOOKUP($P389&amp;" | "&amp;CY$6,'Job Master'!$F$12:$I$102,4,0))&lt;&gt;7,DH389-VLOOKUP($P389&amp;" | "&amp;CY$6,'Job Master'!$F$12:$I$102,4,0),DH389-VLOOKUP($P389&amp;" | "&amp;CY$6,'Job Master'!$F$12:$I$102,4,0)-1),""),"")</f>
        <v/>
      </c>
      <c r="DB389" s="73"/>
      <c r="DC389" s="123" t="str">
        <f t="shared" si="678"/>
        <v/>
      </c>
      <c r="DD389" s="123" t="str">
        <f t="shared" si="679"/>
        <v/>
      </c>
      <c r="DE389" s="97" t="str">
        <f t="shared" ca="1" si="680"/>
        <v/>
      </c>
      <c r="DF389" s="98" t="str">
        <f>IF(DH389&lt;&gt;"",VLOOKUP($P389&amp;" | "&amp;DF$6,'Job Master'!$F$12:$J$102,5,0),"")</f>
        <v/>
      </c>
      <c r="DG389" s="19" t="str">
        <f>IF(DH389&lt;&gt;"",VLOOKUP($P389&amp;" | "&amp;DF$6,'Job Master'!$F$12:$J$102,3,0),"")</f>
        <v/>
      </c>
      <c r="DH389" s="19" t="str">
        <f>IFERROR(IF(AND(DO389&lt;&gt;"",VLOOKUP($P389&amp;" | "&amp;DF$6,'Job Master'!$F$12:$I$102,4,0)&lt;&gt;""),IF(WEEKDAY(DO389-VLOOKUP($P389&amp;" | "&amp;DF$6,'Job Master'!$F$12:$I$102,4,0))&lt;&gt;7,DO389-VLOOKUP($P389&amp;" | "&amp;DF$6,'Job Master'!$F$12:$I$102,4,0),DO389-VLOOKUP($P389&amp;" | "&amp;DF$6,'Job Master'!$F$12:$I$102,4,0)-1),""),"")</f>
        <v/>
      </c>
      <c r="DI389" s="73"/>
      <c r="DJ389" s="123" t="str">
        <f t="shared" si="681"/>
        <v/>
      </c>
      <c r="DK389" s="123" t="str">
        <f t="shared" si="682"/>
        <v/>
      </c>
      <c r="DL389" s="97" t="str">
        <f t="shared" ca="1" si="683"/>
        <v/>
      </c>
      <c r="DM389" s="98" t="str">
        <f>IF(DO389&lt;&gt;"",VLOOKUP($P389&amp;" | "&amp;DM$6,'Job Master'!$F$12:$J$102,5,0),"")</f>
        <v/>
      </c>
      <c r="DN389" s="19" t="str">
        <f>IF(DO389&lt;&gt;"",VLOOKUP($P389&amp;" | "&amp;DM$6,'Job Master'!$F$12:$J$102,3,0),"")</f>
        <v/>
      </c>
      <c r="DO389" s="19" t="str">
        <f>IFERROR(IF(AND(DT389&lt;&gt;"",VLOOKUP($P389&amp;" | "&amp;DM$6,'Job Master'!$F$12:$I$102,4,0)&lt;&gt;""),IF(WEEKDAY(DT389-VLOOKUP($P389&amp;" | "&amp;DM$6,'Job Master'!$F$12:$I$102,4,0))&lt;&gt;7,DT389-VLOOKUP($P389&amp;" | "&amp;DM$6,'Job Master'!$F$12:$I$102,4,0),DT389-VLOOKUP($P389&amp;" | "&amp;DM$6,'Job Master'!$F$12:$I$102,4,0)-1),""),"")</f>
        <v/>
      </c>
      <c r="DP389" s="73"/>
      <c r="DQ389" s="123" t="str">
        <f t="shared" si="684"/>
        <v/>
      </c>
      <c r="DR389" s="123" t="str">
        <f t="shared" si="685"/>
        <v/>
      </c>
      <c r="DS389" s="97" t="str">
        <f t="shared" ca="1" si="686"/>
        <v/>
      </c>
      <c r="DT389" s="70" t="str">
        <f t="shared" si="687"/>
        <v/>
      </c>
      <c r="DU389" s="90"/>
      <c r="DV389" s="123" t="str">
        <f t="shared" si="688"/>
        <v/>
      </c>
      <c r="DW389" s="123" t="str">
        <f t="shared" si="689"/>
        <v/>
      </c>
      <c r="DX389" s="132" t="str">
        <f t="shared" ref="DX389" ca="1" si="760">IF(DT389&lt;&gt;"",IF(WEEKNUM(DT389)=WEEKNUM(TODAY()),"This Week",IF(WEEKNUM(DT389)=WEEKNUM(TODAY())+1,"Next Week",IF(WEEKNUM(DT389)=WEEKNUM(TODAY())-1,"Previous Week",""))),"")</f>
        <v/>
      </c>
      <c r="DY389" s="134" t="str">
        <f t="shared" si="691"/>
        <v/>
      </c>
      <c r="DZ389" s="95"/>
      <c r="EB389" s="8" t="str">
        <f t="shared" si="697"/>
        <v/>
      </c>
      <c r="EC389" s="8" t="str">
        <f>IF(O389&lt;&gt;"",VLOOKUP(O389,'Job Master'!$N$12:$O$18,2,0),"")</f>
        <v/>
      </c>
      <c r="ED389" s="8">
        <f t="shared" si="698"/>
        <v>19.5</v>
      </c>
      <c r="EE389" s="8">
        <f t="shared" si="699"/>
        <v>6</v>
      </c>
      <c r="EF389" s="8">
        <f t="shared" si="700"/>
        <v>-2254.5</v>
      </c>
      <c r="EG389" s="8" t="str">
        <f t="shared" si="701"/>
        <v/>
      </c>
      <c r="EH389" s="8" t="str">
        <f t="shared" si="702"/>
        <v/>
      </c>
    </row>
    <row r="390" spans="2:138" x14ac:dyDescent="0.3">
      <c r="B390" s="112"/>
      <c r="C390" s="27"/>
      <c r="D390" s="7" t="str">
        <f t="shared" si="639"/>
        <v/>
      </c>
      <c r="E390" s="25"/>
      <c r="F390" s="7" t="str">
        <f t="shared" si="639"/>
        <v/>
      </c>
      <c r="G390" s="25"/>
      <c r="H390" s="7" t="str">
        <f t="shared" si="639"/>
        <v/>
      </c>
      <c r="I390" s="25"/>
      <c r="J390" s="7" t="str">
        <f t="shared" si="639"/>
        <v/>
      </c>
      <c r="K390" s="25"/>
      <c r="L390" s="7" t="str">
        <f t="shared" si="640"/>
        <v/>
      </c>
      <c r="M390" s="25"/>
      <c r="N390" s="7" t="str">
        <f t="shared" si="641"/>
        <v/>
      </c>
      <c r="O390" s="81"/>
      <c r="P390" s="81" t="str">
        <f t="shared" si="642"/>
        <v/>
      </c>
      <c r="Q390" s="81"/>
      <c r="R390" s="7" t="str">
        <f t="shared" si="643"/>
        <v/>
      </c>
      <c r="S390" s="25"/>
      <c r="T390" s="7" t="str">
        <f t="shared" si="644"/>
        <v/>
      </c>
      <c r="U390" s="25"/>
      <c r="V390" s="7" t="str">
        <f t="shared" si="645"/>
        <v/>
      </c>
      <c r="W390" s="25"/>
      <c r="X390" s="7" t="str">
        <f t="shared" si="646"/>
        <v/>
      </c>
      <c r="Y390" s="18" t="str">
        <f t="shared" si="647"/>
        <v/>
      </c>
      <c r="Z390" s="7" t="str">
        <f t="shared" si="648"/>
        <v/>
      </c>
      <c r="AA390" s="18" t="str">
        <f t="shared" si="649"/>
        <v/>
      </c>
      <c r="AB390" s="19" t="str">
        <f t="shared" si="650"/>
        <v/>
      </c>
      <c r="AC390" s="26"/>
      <c r="AD390" s="26"/>
      <c r="AE390" s="25"/>
      <c r="AF390" s="26"/>
      <c r="AG390" s="25"/>
      <c r="AH390" s="25"/>
      <c r="AI390" s="18" t="str">
        <f t="shared" si="713"/>
        <v/>
      </c>
      <c r="AJ390" s="25"/>
      <c r="AK390" s="18" t="str">
        <f t="shared" si="714"/>
        <v/>
      </c>
      <c r="AL390" s="79"/>
      <c r="AM390" s="126" t="str">
        <f t="shared" si="715"/>
        <v/>
      </c>
      <c r="AN390" s="128" t="str">
        <f>IF(AP390&lt;&gt;"",VLOOKUP($P390&amp;" | "&amp;AN$6,'Job Master'!$F$12:$J$102,5,0),"")</f>
        <v/>
      </c>
      <c r="AO390" s="19" t="str">
        <f>IF(AP390&lt;&gt;"",VLOOKUP($P390&amp;" | "&amp;AN$6,'Job Master'!$F$12:$J$102,3,0),"")</f>
        <v/>
      </c>
      <c r="AP390" s="19" t="str">
        <f>IFERROR(IF(AND(AW390&lt;&gt;"",VLOOKUP($P390&amp;" | "&amp;AN$6,'Job Master'!$F$12:$I$102,4,0)&lt;&gt;""),IF(WEEKDAY(AW390-VLOOKUP($P390&amp;" | "&amp;AN$6,'Job Master'!$F$12:$I$102,4,0))&lt;&gt;7,AW390-VLOOKUP($P390&amp;" | "&amp;AN$6,'Job Master'!$F$12:$I$102,4,0),AW390-VLOOKUP($P390&amp;" | "&amp;AN$6,'Job Master'!$F$12:$I$102,4,0)-1),""),"")</f>
        <v/>
      </c>
      <c r="AQ390" s="73"/>
      <c r="AR390" s="123" t="str">
        <f t="shared" si="651"/>
        <v/>
      </c>
      <c r="AS390" s="123" t="str">
        <f t="shared" si="652"/>
        <v/>
      </c>
      <c r="AT390" s="97" t="str">
        <f t="shared" ca="1" si="653"/>
        <v/>
      </c>
      <c r="AU390" s="98" t="str">
        <f>IF(AW390&lt;&gt;"",VLOOKUP($P390&amp;" | "&amp;AU$6,'Job Master'!$F$12:$J$102,5,0),"")</f>
        <v/>
      </c>
      <c r="AV390" s="19" t="str">
        <f>IF(AW390&lt;&gt;"",VLOOKUP($P390&amp;" | "&amp;AU$6,'Job Master'!$F$12:$J$102,3,0),"")</f>
        <v/>
      </c>
      <c r="AW390" s="19" t="str">
        <f>IFERROR(IF(AND(BD390&lt;&gt;"",VLOOKUP($P390&amp;" | "&amp;AU$6,'Job Master'!$F$12:$I$102,4,0)&lt;&gt;""),IF(WEEKDAY(BD390-VLOOKUP($P390&amp;" | "&amp;AU$6,'Job Master'!$F$12:$I$102,4,0))&lt;&gt;7,BD390-VLOOKUP($P390&amp;" | "&amp;AU$6,'Job Master'!$F$12:$I$102,4,0),BD390-VLOOKUP($P390&amp;" | "&amp;AU$6,'Job Master'!$F$12:$I$102,4,0)-1),""),"")</f>
        <v/>
      </c>
      <c r="AX390" s="73"/>
      <c r="AY390" s="123" t="str">
        <f t="shared" si="654"/>
        <v/>
      </c>
      <c r="AZ390" s="123" t="str">
        <f t="shared" si="655"/>
        <v/>
      </c>
      <c r="BA390" s="97" t="str">
        <f t="shared" ca="1" si="656"/>
        <v/>
      </c>
      <c r="BB390" s="98" t="str">
        <f>IF(BD390&lt;&gt;"",VLOOKUP($P390&amp;" | "&amp;BB$6,'Job Master'!$F$12:$J$102,5,0),"")</f>
        <v/>
      </c>
      <c r="BC390" s="19" t="str">
        <f>IF(BD390&lt;&gt;"",VLOOKUP($P390&amp;" | "&amp;BB$6,'Job Master'!$F$12:$J$102,3,0),"")</f>
        <v/>
      </c>
      <c r="BD390" s="19" t="str">
        <f>IFERROR(IF(AND(BK390&lt;&gt;"",VLOOKUP($P390&amp;" | "&amp;BB$6,'Job Master'!$F$12:$I$102,4,0)&lt;&gt;""),IF(WEEKDAY(BK390-VLOOKUP($P390&amp;" | "&amp;BB$6,'Job Master'!$F$12:$I$102,4,0))&lt;&gt;7,BK390-VLOOKUP($P390&amp;" | "&amp;BB$6,'Job Master'!$F$12:$I$102,4,0),BK390-VLOOKUP($P390&amp;" | "&amp;BB$6,'Job Master'!$F$12:$I$102,4,0)-1),""),"")</f>
        <v/>
      </c>
      <c r="BE390" s="73"/>
      <c r="BF390" s="123" t="str">
        <f t="shared" si="657"/>
        <v/>
      </c>
      <c r="BG390" s="123" t="str">
        <f t="shared" si="658"/>
        <v/>
      </c>
      <c r="BH390" s="97" t="str">
        <f t="shared" ca="1" si="659"/>
        <v/>
      </c>
      <c r="BI390" s="98" t="str">
        <f>IF(BK390&lt;&gt;"",VLOOKUP($P390&amp;" | "&amp;BI$6,'Job Master'!$F$12:$J$102,5,0),"")</f>
        <v/>
      </c>
      <c r="BJ390" s="19" t="str">
        <f>IF(BK390&lt;&gt;"",VLOOKUP($P390&amp;" | "&amp;BI$6,'Job Master'!$F$12:$J$102,3,0),"")</f>
        <v/>
      </c>
      <c r="BK390" s="19" t="str">
        <f>IFERROR(IF(AND(BR390&lt;&gt;"",VLOOKUP($P390&amp;" | "&amp;BI$6,'Job Master'!$F$12:$I$102,4,0)&lt;&gt;""),IF(WEEKDAY(BR390-VLOOKUP($P390&amp;" | "&amp;BI$6,'Job Master'!$F$12:$I$102,4,0))&lt;&gt;7,BR390-VLOOKUP($P390&amp;" | "&amp;BI$6,'Job Master'!$F$12:$I$102,4,0),BR390-VLOOKUP($P390&amp;" | "&amp;BI$6,'Job Master'!$F$12:$I$102,4,0)-1),""),"")</f>
        <v/>
      </c>
      <c r="BL390" s="73"/>
      <c r="BM390" s="123" t="str">
        <f t="shared" si="660"/>
        <v/>
      </c>
      <c r="BN390" s="123" t="str">
        <f t="shared" si="661"/>
        <v/>
      </c>
      <c r="BO390" s="97" t="str">
        <f t="shared" ca="1" si="662"/>
        <v/>
      </c>
      <c r="BP390" s="98" t="str">
        <f>IF(BR390&lt;&gt;"",VLOOKUP($P390&amp;" | "&amp;BP$6,'Job Master'!$F$12:$J$102,5,0),"")</f>
        <v/>
      </c>
      <c r="BQ390" s="19" t="str">
        <f>IF(BR390&lt;&gt;"",VLOOKUP($P390&amp;" | "&amp;BP$6,'Job Master'!$F$12:$J$102,3,0),"")</f>
        <v/>
      </c>
      <c r="BR390" s="19" t="str">
        <f>IFERROR(IF(AND(BY390&lt;&gt;"",VLOOKUP($P390&amp;" | "&amp;BP$6,'Job Master'!$F$12:$I$102,4,0)&lt;&gt;""),IF(WEEKDAY(BY390-VLOOKUP($P390&amp;" | "&amp;BP$6,'Job Master'!$F$12:$I$102,4,0))&lt;&gt;7,BY390-VLOOKUP($P390&amp;" | "&amp;BP$6,'Job Master'!$F$12:$I$102,4,0),BY390-VLOOKUP($P390&amp;" | "&amp;BP$6,'Job Master'!$F$12:$I$102,4,0)-1),""),"")</f>
        <v/>
      </c>
      <c r="BS390" s="73"/>
      <c r="BT390" s="123" t="str">
        <f t="shared" si="663"/>
        <v/>
      </c>
      <c r="BU390" s="123" t="str">
        <f t="shared" si="664"/>
        <v/>
      </c>
      <c r="BV390" s="97" t="str">
        <f t="shared" ca="1" si="665"/>
        <v/>
      </c>
      <c r="BW390" s="98" t="str">
        <f>IF(BY390&lt;&gt;"",VLOOKUP($P390&amp;" | "&amp;BW$6,'Job Master'!$F$12:$J$102,5,0),"")</f>
        <v/>
      </c>
      <c r="BX390" s="19" t="str">
        <f>IF(BY390&lt;&gt;"",VLOOKUP($P390&amp;" | "&amp;BW$6,'Job Master'!$F$12:$J$102,3,0),"")</f>
        <v/>
      </c>
      <c r="BY390" s="19" t="str">
        <f>IFERROR(IF(AND(CF390&lt;&gt;"",VLOOKUP($P390&amp;" | "&amp;BW$6,'Job Master'!$F$12:$I$102,4,0)&lt;&gt;""),IF(WEEKDAY(CF390-VLOOKUP($P390&amp;" | "&amp;BW$6,'Job Master'!$F$12:$I$102,4,0))&lt;&gt;7,CF390-VLOOKUP($P390&amp;" | "&amp;BW$6,'Job Master'!$F$12:$I$102,4,0),CF390-VLOOKUP($P390&amp;" | "&amp;BW$6,'Job Master'!$F$12:$I$102,4,0)-1),""),"")</f>
        <v/>
      </c>
      <c r="BZ390" s="73"/>
      <c r="CA390" s="123" t="str">
        <f t="shared" si="666"/>
        <v/>
      </c>
      <c r="CB390" s="123" t="str">
        <f t="shared" si="667"/>
        <v/>
      </c>
      <c r="CC390" s="97" t="str">
        <f t="shared" ca="1" si="668"/>
        <v/>
      </c>
      <c r="CD390" s="98" t="str">
        <f>IF(CF390&lt;&gt;"",VLOOKUP($P390&amp;" | "&amp;CD$6,'Job Master'!$F$12:$J$102,5,0),"")</f>
        <v/>
      </c>
      <c r="CE390" s="19" t="str">
        <f>IF(CF390&lt;&gt;"",VLOOKUP($P390&amp;" | "&amp;CD$6,'Job Master'!$F$12:$J$102,3,0),"")</f>
        <v/>
      </c>
      <c r="CF390" s="19" t="str">
        <f>IFERROR(IF(AND(CM390&lt;&gt;"",VLOOKUP($P390&amp;" | "&amp;CD$6,'Job Master'!$F$12:$I$102,4,0)&lt;&gt;""),IF(WEEKDAY(CM390-VLOOKUP($P390&amp;" | "&amp;CD$6,'Job Master'!$F$12:$I$102,4,0))&lt;&gt;7,CM390-VLOOKUP($P390&amp;" | "&amp;CD$6,'Job Master'!$F$12:$I$102,4,0),CM390-VLOOKUP($P390&amp;" | "&amp;CD$6,'Job Master'!$F$12:$I$102,4,0)-1),""),"")</f>
        <v/>
      </c>
      <c r="CG390" s="73"/>
      <c r="CH390" s="123" t="str">
        <f t="shared" si="669"/>
        <v/>
      </c>
      <c r="CI390" s="123" t="str">
        <f t="shared" si="670"/>
        <v/>
      </c>
      <c r="CJ390" s="97" t="str">
        <f t="shared" ca="1" si="671"/>
        <v/>
      </c>
      <c r="CK390" s="98" t="str">
        <f>IF(CM390&lt;&gt;"",VLOOKUP($P390&amp;" | "&amp;CK$6,'Job Master'!$F$12:$J$102,5,0),"")</f>
        <v/>
      </c>
      <c r="CL390" s="19" t="str">
        <f>IF(CM390&lt;&gt;"",VLOOKUP($P390&amp;" | "&amp;CK$6,'Job Master'!$F$12:$J$102,3,0),"")</f>
        <v/>
      </c>
      <c r="CM390" s="19" t="str">
        <f>IFERROR(IF(AND(CT390&lt;&gt;"",VLOOKUP($P390&amp;" | "&amp;CK$6,'Job Master'!$F$12:$I$102,4,0)&lt;&gt;""),IF(WEEKDAY(CT390-VLOOKUP($P390&amp;" | "&amp;CK$6,'Job Master'!$F$12:$I$102,4,0))&lt;&gt;7,CT390-VLOOKUP($P390&amp;" | "&amp;CK$6,'Job Master'!$F$12:$I$102,4,0),CT390-VLOOKUP($P390&amp;" | "&amp;CK$6,'Job Master'!$F$12:$I$102,4,0)-1),""),"")</f>
        <v/>
      </c>
      <c r="CN390" s="73"/>
      <c r="CO390" s="123" t="str">
        <f t="shared" si="672"/>
        <v/>
      </c>
      <c r="CP390" s="123" t="str">
        <f t="shared" si="673"/>
        <v/>
      </c>
      <c r="CQ390" s="97" t="str">
        <f t="shared" ca="1" si="674"/>
        <v/>
      </c>
      <c r="CR390" s="98" t="str">
        <f>IF(CT390&lt;&gt;"",VLOOKUP($P390&amp;" | "&amp;CR$6,'Job Master'!$F$12:$J$102,5,0),"")</f>
        <v/>
      </c>
      <c r="CS390" s="19" t="str">
        <f>IF(CT390&lt;&gt;"",VLOOKUP($P390&amp;" | "&amp;CR$6,'Job Master'!$F$12:$J$102,3,0),"")</f>
        <v/>
      </c>
      <c r="CT390" s="19" t="str">
        <f>IFERROR(IF(AND(DA390&lt;&gt;"",VLOOKUP($P390&amp;" | "&amp;CR$6,'Job Master'!$F$12:$I$102,4,0)&lt;&gt;""),IF(WEEKDAY(DA390-VLOOKUP($P390&amp;" | "&amp;CR$6,'Job Master'!$F$12:$I$102,4,0))&lt;&gt;7,DA390-VLOOKUP($P390&amp;" | "&amp;CR$6,'Job Master'!$F$12:$I$102,4,0),DA390-VLOOKUP($P390&amp;" | "&amp;CR$6,'Job Master'!$F$12:$I$102,4,0)-1),""),"")</f>
        <v/>
      </c>
      <c r="CU390" s="73"/>
      <c r="CV390" s="123" t="str">
        <f t="shared" si="675"/>
        <v/>
      </c>
      <c r="CW390" s="123" t="str">
        <f t="shared" si="676"/>
        <v/>
      </c>
      <c r="CX390" s="97" t="str">
        <f t="shared" ca="1" si="677"/>
        <v/>
      </c>
      <c r="CY390" s="98" t="str">
        <f>IF(DA390&lt;&gt;"",VLOOKUP($P390&amp;" | "&amp;CY$6,'Job Master'!$F$12:$J$102,5,0),"")</f>
        <v/>
      </c>
      <c r="CZ390" s="19" t="str">
        <f>IF(DA390&lt;&gt;"",VLOOKUP($P390&amp;" | "&amp;CY$6,'Job Master'!$F$12:$J$102,3,0),"")</f>
        <v/>
      </c>
      <c r="DA390" s="19" t="str">
        <f>IFERROR(IF(AND(DH390&lt;&gt;"",VLOOKUP($P390&amp;" | "&amp;CY$6,'Job Master'!$F$12:$I$102,4,0)&lt;&gt;""),IF(WEEKDAY(DH390-VLOOKUP($P390&amp;" | "&amp;CY$6,'Job Master'!$F$12:$I$102,4,0))&lt;&gt;7,DH390-VLOOKUP($P390&amp;" | "&amp;CY$6,'Job Master'!$F$12:$I$102,4,0),DH390-VLOOKUP($P390&amp;" | "&amp;CY$6,'Job Master'!$F$12:$I$102,4,0)-1),""),"")</f>
        <v/>
      </c>
      <c r="DB390" s="73"/>
      <c r="DC390" s="123" t="str">
        <f t="shared" si="678"/>
        <v/>
      </c>
      <c r="DD390" s="123" t="str">
        <f t="shared" si="679"/>
        <v/>
      </c>
      <c r="DE390" s="97" t="str">
        <f t="shared" ca="1" si="680"/>
        <v/>
      </c>
      <c r="DF390" s="98" t="str">
        <f>IF(DH390&lt;&gt;"",VLOOKUP($P390&amp;" | "&amp;DF$6,'Job Master'!$F$12:$J$102,5,0),"")</f>
        <v/>
      </c>
      <c r="DG390" s="19" t="str">
        <f>IF(DH390&lt;&gt;"",VLOOKUP($P390&amp;" | "&amp;DF$6,'Job Master'!$F$12:$J$102,3,0),"")</f>
        <v/>
      </c>
      <c r="DH390" s="19" t="str">
        <f>IFERROR(IF(AND(DO390&lt;&gt;"",VLOOKUP($P390&amp;" | "&amp;DF$6,'Job Master'!$F$12:$I$102,4,0)&lt;&gt;""),IF(WEEKDAY(DO390-VLOOKUP($P390&amp;" | "&amp;DF$6,'Job Master'!$F$12:$I$102,4,0))&lt;&gt;7,DO390-VLOOKUP($P390&amp;" | "&amp;DF$6,'Job Master'!$F$12:$I$102,4,0),DO390-VLOOKUP($P390&amp;" | "&amp;DF$6,'Job Master'!$F$12:$I$102,4,0)-1),""),"")</f>
        <v/>
      </c>
      <c r="DI390" s="73"/>
      <c r="DJ390" s="123" t="str">
        <f t="shared" si="681"/>
        <v/>
      </c>
      <c r="DK390" s="123" t="str">
        <f t="shared" si="682"/>
        <v/>
      </c>
      <c r="DL390" s="97" t="str">
        <f t="shared" ca="1" si="683"/>
        <v/>
      </c>
      <c r="DM390" s="98" t="str">
        <f>IF(DO390&lt;&gt;"",VLOOKUP($P390&amp;" | "&amp;DM$6,'Job Master'!$F$12:$J$102,5,0),"")</f>
        <v/>
      </c>
      <c r="DN390" s="19" t="str">
        <f>IF(DO390&lt;&gt;"",VLOOKUP($P390&amp;" | "&amp;DM$6,'Job Master'!$F$12:$J$102,3,0),"")</f>
        <v/>
      </c>
      <c r="DO390" s="19" t="str">
        <f>IFERROR(IF(AND(DT390&lt;&gt;"",VLOOKUP($P390&amp;" | "&amp;DM$6,'Job Master'!$F$12:$I$102,4,0)&lt;&gt;""),IF(WEEKDAY(DT390-VLOOKUP($P390&amp;" | "&amp;DM$6,'Job Master'!$F$12:$I$102,4,0))&lt;&gt;7,DT390-VLOOKUP($P390&amp;" | "&amp;DM$6,'Job Master'!$F$12:$I$102,4,0),DT390-VLOOKUP($P390&amp;" | "&amp;DM$6,'Job Master'!$F$12:$I$102,4,0)-1),""),"")</f>
        <v/>
      </c>
      <c r="DP390" s="73"/>
      <c r="DQ390" s="123" t="str">
        <f t="shared" si="684"/>
        <v/>
      </c>
      <c r="DR390" s="123" t="str">
        <f t="shared" si="685"/>
        <v/>
      </c>
      <c r="DS390" s="97" t="str">
        <f t="shared" ca="1" si="686"/>
        <v/>
      </c>
      <c r="DT390" s="70" t="str">
        <f t="shared" si="687"/>
        <v/>
      </c>
      <c r="DU390" s="90"/>
      <c r="DV390" s="123" t="str">
        <f t="shared" si="688"/>
        <v/>
      </c>
      <c r="DW390" s="123" t="str">
        <f t="shared" si="689"/>
        <v/>
      </c>
      <c r="DX390" s="132" t="str">
        <f t="shared" ref="DX390" ca="1" si="761">IF(DT390&lt;&gt;"",IF(WEEKNUM(DT390)=WEEKNUM(TODAY()),"This Week",IF(WEEKNUM(DT390)=WEEKNUM(TODAY())+1,"Next Week",IF(WEEKNUM(DT390)=WEEKNUM(TODAY())-1,"Previous Week",""))),"")</f>
        <v/>
      </c>
      <c r="DY390" s="134" t="str">
        <f t="shared" si="691"/>
        <v/>
      </c>
      <c r="DZ390" s="95"/>
      <c r="EB390" s="8" t="str">
        <f t="shared" si="697"/>
        <v/>
      </c>
      <c r="EC390" s="8" t="str">
        <f>IF(O390&lt;&gt;"",VLOOKUP(O390,'Job Master'!$N$12:$O$18,2,0),"")</f>
        <v/>
      </c>
      <c r="ED390" s="8">
        <f t="shared" si="698"/>
        <v>19.5</v>
      </c>
      <c r="EE390" s="8">
        <f t="shared" si="699"/>
        <v>6</v>
      </c>
      <c r="EF390" s="8">
        <f t="shared" si="700"/>
        <v>-2260.5</v>
      </c>
      <c r="EG390" s="8" t="str">
        <f t="shared" si="701"/>
        <v/>
      </c>
      <c r="EH390" s="8" t="str">
        <f t="shared" si="702"/>
        <v/>
      </c>
    </row>
    <row r="391" spans="2:138" x14ac:dyDescent="0.3">
      <c r="B391" s="112"/>
      <c r="C391" s="27"/>
      <c r="D391" s="7" t="str">
        <f t="shared" si="639"/>
        <v/>
      </c>
      <c r="E391" s="25"/>
      <c r="F391" s="7" t="str">
        <f t="shared" si="639"/>
        <v/>
      </c>
      <c r="G391" s="25"/>
      <c r="H391" s="7" t="str">
        <f t="shared" si="639"/>
        <v/>
      </c>
      <c r="I391" s="25"/>
      <c r="J391" s="7" t="str">
        <f t="shared" si="639"/>
        <v/>
      </c>
      <c r="K391" s="25"/>
      <c r="L391" s="7" t="str">
        <f t="shared" si="640"/>
        <v/>
      </c>
      <c r="M391" s="25"/>
      <c r="N391" s="7" t="str">
        <f t="shared" si="641"/>
        <v/>
      </c>
      <c r="O391" s="81"/>
      <c r="P391" s="81" t="str">
        <f t="shared" si="642"/>
        <v/>
      </c>
      <c r="Q391" s="81"/>
      <c r="R391" s="7" t="str">
        <f t="shared" si="643"/>
        <v/>
      </c>
      <c r="S391" s="25"/>
      <c r="T391" s="7" t="str">
        <f t="shared" si="644"/>
        <v/>
      </c>
      <c r="U391" s="25"/>
      <c r="V391" s="7" t="str">
        <f t="shared" si="645"/>
        <v/>
      </c>
      <c r="W391" s="25"/>
      <c r="X391" s="7" t="str">
        <f t="shared" si="646"/>
        <v/>
      </c>
      <c r="Y391" s="18" t="str">
        <f t="shared" si="647"/>
        <v/>
      </c>
      <c r="Z391" s="7" t="str">
        <f t="shared" si="648"/>
        <v/>
      </c>
      <c r="AA391" s="18" t="str">
        <f t="shared" si="649"/>
        <v/>
      </c>
      <c r="AB391" s="19" t="str">
        <f t="shared" si="650"/>
        <v/>
      </c>
      <c r="AC391" s="26"/>
      <c r="AD391" s="26"/>
      <c r="AE391" s="25"/>
      <c r="AF391" s="26"/>
      <c r="AG391" s="25"/>
      <c r="AH391" s="25"/>
      <c r="AI391" s="18" t="str">
        <f t="shared" si="713"/>
        <v/>
      </c>
      <c r="AJ391" s="25"/>
      <c r="AK391" s="18" t="str">
        <f t="shared" si="714"/>
        <v/>
      </c>
      <c r="AL391" s="79"/>
      <c r="AM391" s="126" t="str">
        <f t="shared" si="715"/>
        <v/>
      </c>
      <c r="AN391" s="128" t="str">
        <f>IF(AP391&lt;&gt;"",VLOOKUP($P391&amp;" | "&amp;AN$6,'Job Master'!$F$12:$J$102,5,0),"")</f>
        <v/>
      </c>
      <c r="AO391" s="19" t="str">
        <f>IF(AP391&lt;&gt;"",VLOOKUP($P391&amp;" | "&amp;AN$6,'Job Master'!$F$12:$J$102,3,0),"")</f>
        <v/>
      </c>
      <c r="AP391" s="19" t="str">
        <f>IFERROR(IF(AND(AW391&lt;&gt;"",VLOOKUP($P391&amp;" | "&amp;AN$6,'Job Master'!$F$12:$I$102,4,0)&lt;&gt;""),IF(WEEKDAY(AW391-VLOOKUP($P391&amp;" | "&amp;AN$6,'Job Master'!$F$12:$I$102,4,0))&lt;&gt;7,AW391-VLOOKUP($P391&amp;" | "&amp;AN$6,'Job Master'!$F$12:$I$102,4,0),AW391-VLOOKUP($P391&amp;" | "&amp;AN$6,'Job Master'!$F$12:$I$102,4,0)-1),""),"")</f>
        <v/>
      </c>
      <c r="AQ391" s="73"/>
      <c r="AR391" s="123" t="str">
        <f t="shared" si="651"/>
        <v/>
      </c>
      <c r="AS391" s="123" t="str">
        <f t="shared" si="652"/>
        <v/>
      </c>
      <c r="AT391" s="97" t="str">
        <f t="shared" ca="1" si="653"/>
        <v/>
      </c>
      <c r="AU391" s="98" t="str">
        <f>IF(AW391&lt;&gt;"",VLOOKUP($P391&amp;" | "&amp;AU$6,'Job Master'!$F$12:$J$102,5,0),"")</f>
        <v/>
      </c>
      <c r="AV391" s="19" t="str">
        <f>IF(AW391&lt;&gt;"",VLOOKUP($P391&amp;" | "&amp;AU$6,'Job Master'!$F$12:$J$102,3,0),"")</f>
        <v/>
      </c>
      <c r="AW391" s="19" t="str">
        <f>IFERROR(IF(AND(BD391&lt;&gt;"",VLOOKUP($P391&amp;" | "&amp;AU$6,'Job Master'!$F$12:$I$102,4,0)&lt;&gt;""),IF(WEEKDAY(BD391-VLOOKUP($P391&amp;" | "&amp;AU$6,'Job Master'!$F$12:$I$102,4,0))&lt;&gt;7,BD391-VLOOKUP($P391&amp;" | "&amp;AU$6,'Job Master'!$F$12:$I$102,4,0),BD391-VLOOKUP($P391&amp;" | "&amp;AU$6,'Job Master'!$F$12:$I$102,4,0)-1),""),"")</f>
        <v/>
      </c>
      <c r="AX391" s="73"/>
      <c r="AY391" s="123" t="str">
        <f t="shared" si="654"/>
        <v/>
      </c>
      <c r="AZ391" s="123" t="str">
        <f t="shared" si="655"/>
        <v/>
      </c>
      <c r="BA391" s="97" t="str">
        <f t="shared" ca="1" si="656"/>
        <v/>
      </c>
      <c r="BB391" s="98" t="str">
        <f>IF(BD391&lt;&gt;"",VLOOKUP($P391&amp;" | "&amp;BB$6,'Job Master'!$F$12:$J$102,5,0),"")</f>
        <v/>
      </c>
      <c r="BC391" s="19" t="str">
        <f>IF(BD391&lt;&gt;"",VLOOKUP($P391&amp;" | "&amp;BB$6,'Job Master'!$F$12:$J$102,3,0),"")</f>
        <v/>
      </c>
      <c r="BD391" s="19" t="str">
        <f>IFERROR(IF(AND(BK391&lt;&gt;"",VLOOKUP($P391&amp;" | "&amp;BB$6,'Job Master'!$F$12:$I$102,4,0)&lt;&gt;""),IF(WEEKDAY(BK391-VLOOKUP($P391&amp;" | "&amp;BB$6,'Job Master'!$F$12:$I$102,4,0))&lt;&gt;7,BK391-VLOOKUP($P391&amp;" | "&amp;BB$6,'Job Master'!$F$12:$I$102,4,0),BK391-VLOOKUP($P391&amp;" | "&amp;BB$6,'Job Master'!$F$12:$I$102,4,0)-1),""),"")</f>
        <v/>
      </c>
      <c r="BE391" s="73"/>
      <c r="BF391" s="123" t="str">
        <f t="shared" si="657"/>
        <v/>
      </c>
      <c r="BG391" s="123" t="str">
        <f t="shared" si="658"/>
        <v/>
      </c>
      <c r="BH391" s="97" t="str">
        <f t="shared" ca="1" si="659"/>
        <v/>
      </c>
      <c r="BI391" s="98" t="str">
        <f>IF(BK391&lt;&gt;"",VLOOKUP($P391&amp;" | "&amp;BI$6,'Job Master'!$F$12:$J$102,5,0),"")</f>
        <v/>
      </c>
      <c r="BJ391" s="19" t="str">
        <f>IF(BK391&lt;&gt;"",VLOOKUP($P391&amp;" | "&amp;BI$6,'Job Master'!$F$12:$J$102,3,0),"")</f>
        <v/>
      </c>
      <c r="BK391" s="19" t="str">
        <f>IFERROR(IF(AND(BR391&lt;&gt;"",VLOOKUP($P391&amp;" | "&amp;BI$6,'Job Master'!$F$12:$I$102,4,0)&lt;&gt;""),IF(WEEKDAY(BR391-VLOOKUP($P391&amp;" | "&amp;BI$6,'Job Master'!$F$12:$I$102,4,0))&lt;&gt;7,BR391-VLOOKUP($P391&amp;" | "&amp;BI$6,'Job Master'!$F$12:$I$102,4,0),BR391-VLOOKUP($P391&amp;" | "&amp;BI$6,'Job Master'!$F$12:$I$102,4,0)-1),""),"")</f>
        <v/>
      </c>
      <c r="BL391" s="73"/>
      <c r="BM391" s="123" t="str">
        <f t="shared" si="660"/>
        <v/>
      </c>
      <c r="BN391" s="123" t="str">
        <f t="shared" si="661"/>
        <v/>
      </c>
      <c r="BO391" s="97" t="str">
        <f t="shared" ca="1" si="662"/>
        <v/>
      </c>
      <c r="BP391" s="98" t="str">
        <f>IF(BR391&lt;&gt;"",VLOOKUP($P391&amp;" | "&amp;BP$6,'Job Master'!$F$12:$J$102,5,0),"")</f>
        <v/>
      </c>
      <c r="BQ391" s="19" t="str">
        <f>IF(BR391&lt;&gt;"",VLOOKUP($P391&amp;" | "&amp;BP$6,'Job Master'!$F$12:$J$102,3,0),"")</f>
        <v/>
      </c>
      <c r="BR391" s="19" t="str">
        <f>IFERROR(IF(AND(BY391&lt;&gt;"",VLOOKUP($P391&amp;" | "&amp;BP$6,'Job Master'!$F$12:$I$102,4,0)&lt;&gt;""),IF(WEEKDAY(BY391-VLOOKUP($P391&amp;" | "&amp;BP$6,'Job Master'!$F$12:$I$102,4,0))&lt;&gt;7,BY391-VLOOKUP($P391&amp;" | "&amp;BP$6,'Job Master'!$F$12:$I$102,4,0),BY391-VLOOKUP($P391&amp;" | "&amp;BP$6,'Job Master'!$F$12:$I$102,4,0)-1),""),"")</f>
        <v/>
      </c>
      <c r="BS391" s="73"/>
      <c r="BT391" s="123" t="str">
        <f t="shared" si="663"/>
        <v/>
      </c>
      <c r="BU391" s="123" t="str">
        <f t="shared" si="664"/>
        <v/>
      </c>
      <c r="BV391" s="97" t="str">
        <f t="shared" ca="1" si="665"/>
        <v/>
      </c>
      <c r="BW391" s="98" t="str">
        <f>IF(BY391&lt;&gt;"",VLOOKUP($P391&amp;" | "&amp;BW$6,'Job Master'!$F$12:$J$102,5,0),"")</f>
        <v/>
      </c>
      <c r="BX391" s="19" t="str">
        <f>IF(BY391&lt;&gt;"",VLOOKUP($P391&amp;" | "&amp;BW$6,'Job Master'!$F$12:$J$102,3,0),"")</f>
        <v/>
      </c>
      <c r="BY391" s="19" t="str">
        <f>IFERROR(IF(AND(CF391&lt;&gt;"",VLOOKUP($P391&amp;" | "&amp;BW$6,'Job Master'!$F$12:$I$102,4,0)&lt;&gt;""),IF(WEEKDAY(CF391-VLOOKUP($P391&amp;" | "&amp;BW$6,'Job Master'!$F$12:$I$102,4,0))&lt;&gt;7,CF391-VLOOKUP($P391&amp;" | "&amp;BW$6,'Job Master'!$F$12:$I$102,4,0),CF391-VLOOKUP($P391&amp;" | "&amp;BW$6,'Job Master'!$F$12:$I$102,4,0)-1),""),"")</f>
        <v/>
      </c>
      <c r="BZ391" s="73"/>
      <c r="CA391" s="123" t="str">
        <f t="shared" si="666"/>
        <v/>
      </c>
      <c r="CB391" s="123" t="str">
        <f t="shared" si="667"/>
        <v/>
      </c>
      <c r="CC391" s="97" t="str">
        <f t="shared" ca="1" si="668"/>
        <v/>
      </c>
      <c r="CD391" s="98" t="str">
        <f>IF(CF391&lt;&gt;"",VLOOKUP($P391&amp;" | "&amp;CD$6,'Job Master'!$F$12:$J$102,5,0),"")</f>
        <v/>
      </c>
      <c r="CE391" s="19" t="str">
        <f>IF(CF391&lt;&gt;"",VLOOKUP($P391&amp;" | "&amp;CD$6,'Job Master'!$F$12:$J$102,3,0),"")</f>
        <v/>
      </c>
      <c r="CF391" s="19" t="str">
        <f>IFERROR(IF(AND(CM391&lt;&gt;"",VLOOKUP($P391&amp;" | "&amp;CD$6,'Job Master'!$F$12:$I$102,4,0)&lt;&gt;""),IF(WEEKDAY(CM391-VLOOKUP($P391&amp;" | "&amp;CD$6,'Job Master'!$F$12:$I$102,4,0))&lt;&gt;7,CM391-VLOOKUP($P391&amp;" | "&amp;CD$6,'Job Master'!$F$12:$I$102,4,0),CM391-VLOOKUP($P391&amp;" | "&amp;CD$6,'Job Master'!$F$12:$I$102,4,0)-1),""),"")</f>
        <v/>
      </c>
      <c r="CG391" s="73"/>
      <c r="CH391" s="123" t="str">
        <f t="shared" si="669"/>
        <v/>
      </c>
      <c r="CI391" s="123" t="str">
        <f t="shared" si="670"/>
        <v/>
      </c>
      <c r="CJ391" s="97" t="str">
        <f t="shared" ca="1" si="671"/>
        <v/>
      </c>
      <c r="CK391" s="98" t="str">
        <f>IF(CM391&lt;&gt;"",VLOOKUP($P391&amp;" | "&amp;CK$6,'Job Master'!$F$12:$J$102,5,0),"")</f>
        <v/>
      </c>
      <c r="CL391" s="19" t="str">
        <f>IF(CM391&lt;&gt;"",VLOOKUP($P391&amp;" | "&amp;CK$6,'Job Master'!$F$12:$J$102,3,0),"")</f>
        <v/>
      </c>
      <c r="CM391" s="19" t="str">
        <f>IFERROR(IF(AND(CT391&lt;&gt;"",VLOOKUP($P391&amp;" | "&amp;CK$6,'Job Master'!$F$12:$I$102,4,0)&lt;&gt;""),IF(WEEKDAY(CT391-VLOOKUP($P391&amp;" | "&amp;CK$6,'Job Master'!$F$12:$I$102,4,0))&lt;&gt;7,CT391-VLOOKUP($P391&amp;" | "&amp;CK$6,'Job Master'!$F$12:$I$102,4,0),CT391-VLOOKUP($P391&amp;" | "&amp;CK$6,'Job Master'!$F$12:$I$102,4,0)-1),""),"")</f>
        <v/>
      </c>
      <c r="CN391" s="73"/>
      <c r="CO391" s="123" t="str">
        <f t="shared" si="672"/>
        <v/>
      </c>
      <c r="CP391" s="123" t="str">
        <f t="shared" si="673"/>
        <v/>
      </c>
      <c r="CQ391" s="97" t="str">
        <f t="shared" ca="1" si="674"/>
        <v/>
      </c>
      <c r="CR391" s="98" t="str">
        <f>IF(CT391&lt;&gt;"",VLOOKUP($P391&amp;" | "&amp;CR$6,'Job Master'!$F$12:$J$102,5,0),"")</f>
        <v/>
      </c>
      <c r="CS391" s="19" t="str">
        <f>IF(CT391&lt;&gt;"",VLOOKUP($P391&amp;" | "&amp;CR$6,'Job Master'!$F$12:$J$102,3,0),"")</f>
        <v/>
      </c>
      <c r="CT391" s="19" t="str">
        <f>IFERROR(IF(AND(DA391&lt;&gt;"",VLOOKUP($P391&amp;" | "&amp;CR$6,'Job Master'!$F$12:$I$102,4,0)&lt;&gt;""),IF(WEEKDAY(DA391-VLOOKUP($P391&amp;" | "&amp;CR$6,'Job Master'!$F$12:$I$102,4,0))&lt;&gt;7,DA391-VLOOKUP($P391&amp;" | "&amp;CR$6,'Job Master'!$F$12:$I$102,4,0),DA391-VLOOKUP($P391&amp;" | "&amp;CR$6,'Job Master'!$F$12:$I$102,4,0)-1),""),"")</f>
        <v/>
      </c>
      <c r="CU391" s="73"/>
      <c r="CV391" s="123" t="str">
        <f t="shared" si="675"/>
        <v/>
      </c>
      <c r="CW391" s="123" t="str">
        <f t="shared" si="676"/>
        <v/>
      </c>
      <c r="CX391" s="97" t="str">
        <f t="shared" ca="1" si="677"/>
        <v/>
      </c>
      <c r="CY391" s="98" t="str">
        <f>IF(DA391&lt;&gt;"",VLOOKUP($P391&amp;" | "&amp;CY$6,'Job Master'!$F$12:$J$102,5,0),"")</f>
        <v/>
      </c>
      <c r="CZ391" s="19" t="str">
        <f>IF(DA391&lt;&gt;"",VLOOKUP($P391&amp;" | "&amp;CY$6,'Job Master'!$F$12:$J$102,3,0),"")</f>
        <v/>
      </c>
      <c r="DA391" s="19" t="str">
        <f>IFERROR(IF(AND(DH391&lt;&gt;"",VLOOKUP($P391&amp;" | "&amp;CY$6,'Job Master'!$F$12:$I$102,4,0)&lt;&gt;""),IF(WEEKDAY(DH391-VLOOKUP($P391&amp;" | "&amp;CY$6,'Job Master'!$F$12:$I$102,4,0))&lt;&gt;7,DH391-VLOOKUP($P391&amp;" | "&amp;CY$6,'Job Master'!$F$12:$I$102,4,0),DH391-VLOOKUP($P391&amp;" | "&amp;CY$6,'Job Master'!$F$12:$I$102,4,0)-1),""),"")</f>
        <v/>
      </c>
      <c r="DB391" s="73"/>
      <c r="DC391" s="123" t="str">
        <f t="shared" si="678"/>
        <v/>
      </c>
      <c r="DD391" s="123" t="str">
        <f t="shared" si="679"/>
        <v/>
      </c>
      <c r="DE391" s="97" t="str">
        <f t="shared" ca="1" si="680"/>
        <v/>
      </c>
      <c r="DF391" s="98" t="str">
        <f>IF(DH391&lt;&gt;"",VLOOKUP($P391&amp;" | "&amp;DF$6,'Job Master'!$F$12:$J$102,5,0),"")</f>
        <v/>
      </c>
      <c r="DG391" s="19" t="str">
        <f>IF(DH391&lt;&gt;"",VLOOKUP($P391&amp;" | "&amp;DF$6,'Job Master'!$F$12:$J$102,3,0),"")</f>
        <v/>
      </c>
      <c r="DH391" s="19" t="str">
        <f>IFERROR(IF(AND(DO391&lt;&gt;"",VLOOKUP($P391&amp;" | "&amp;DF$6,'Job Master'!$F$12:$I$102,4,0)&lt;&gt;""),IF(WEEKDAY(DO391-VLOOKUP($P391&amp;" | "&amp;DF$6,'Job Master'!$F$12:$I$102,4,0))&lt;&gt;7,DO391-VLOOKUP($P391&amp;" | "&amp;DF$6,'Job Master'!$F$12:$I$102,4,0),DO391-VLOOKUP($P391&amp;" | "&amp;DF$6,'Job Master'!$F$12:$I$102,4,0)-1),""),"")</f>
        <v/>
      </c>
      <c r="DI391" s="73"/>
      <c r="DJ391" s="123" t="str">
        <f t="shared" si="681"/>
        <v/>
      </c>
      <c r="DK391" s="123" t="str">
        <f t="shared" si="682"/>
        <v/>
      </c>
      <c r="DL391" s="97" t="str">
        <f t="shared" ca="1" si="683"/>
        <v/>
      </c>
      <c r="DM391" s="98" t="str">
        <f>IF(DO391&lt;&gt;"",VLOOKUP($P391&amp;" | "&amp;DM$6,'Job Master'!$F$12:$J$102,5,0),"")</f>
        <v/>
      </c>
      <c r="DN391" s="19" t="str">
        <f>IF(DO391&lt;&gt;"",VLOOKUP($P391&amp;" | "&amp;DM$6,'Job Master'!$F$12:$J$102,3,0),"")</f>
        <v/>
      </c>
      <c r="DO391" s="19" t="str">
        <f>IFERROR(IF(AND(DT391&lt;&gt;"",VLOOKUP($P391&amp;" | "&amp;DM$6,'Job Master'!$F$12:$I$102,4,0)&lt;&gt;""),IF(WEEKDAY(DT391-VLOOKUP($P391&amp;" | "&amp;DM$6,'Job Master'!$F$12:$I$102,4,0))&lt;&gt;7,DT391-VLOOKUP($P391&amp;" | "&amp;DM$6,'Job Master'!$F$12:$I$102,4,0),DT391-VLOOKUP($P391&amp;" | "&amp;DM$6,'Job Master'!$F$12:$I$102,4,0)-1),""),"")</f>
        <v/>
      </c>
      <c r="DP391" s="73"/>
      <c r="DQ391" s="123" t="str">
        <f t="shared" si="684"/>
        <v/>
      </c>
      <c r="DR391" s="123" t="str">
        <f t="shared" si="685"/>
        <v/>
      </c>
      <c r="DS391" s="97" t="str">
        <f t="shared" ca="1" si="686"/>
        <v/>
      </c>
      <c r="DT391" s="70" t="str">
        <f t="shared" si="687"/>
        <v/>
      </c>
      <c r="DU391" s="90"/>
      <c r="DV391" s="123" t="str">
        <f t="shared" si="688"/>
        <v/>
      </c>
      <c r="DW391" s="123" t="str">
        <f t="shared" si="689"/>
        <v/>
      </c>
      <c r="DX391" s="132" t="str">
        <f t="shared" ref="DX391" ca="1" si="762">IF(DT391&lt;&gt;"",IF(WEEKNUM(DT391)=WEEKNUM(TODAY()),"This Week",IF(WEEKNUM(DT391)=WEEKNUM(TODAY())+1,"Next Week",IF(WEEKNUM(DT391)=WEEKNUM(TODAY())-1,"Previous Week",""))),"")</f>
        <v/>
      </c>
      <c r="DY391" s="134" t="str">
        <f t="shared" si="691"/>
        <v/>
      </c>
      <c r="DZ391" s="95"/>
      <c r="EB391" s="8" t="str">
        <f t="shared" si="697"/>
        <v/>
      </c>
      <c r="EC391" s="8" t="str">
        <f>IF(O391&lt;&gt;"",VLOOKUP(O391,'Job Master'!$N$12:$O$18,2,0),"")</f>
        <v/>
      </c>
      <c r="ED391" s="8">
        <f t="shared" si="698"/>
        <v>19.5</v>
      </c>
      <c r="EE391" s="8">
        <f t="shared" si="699"/>
        <v>6</v>
      </c>
      <c r="EF391" s="8">
        <f t="shared" si="700"/>
        <v>-2266.5</v>
      </c>
      <c r="EG391" s="8" t="str">
        <f t="shared" si="701"/>
        <v/>
      </c>
      <c r="EH391" s="8" t="str">
        <f t="shared" si="702"/>
        <v/>
      </c>
    </row>
    <row r="392" spans="2:138" x14ac:dyDescent="0.3">
      <c r="B392" s="112"/>
      <c r="C392" s="27"/>
      <c r="D392" s="7" t="str">
        <f t="shared" si="639"/>
        <v/>
      </c>
      <c r="E392" s="25"/>
      <c r="F392" s="7" t="str">
        <f t="shared" si="639"/>
        <v/>
      </c>
      <c r="G392" s="25"/>
      <c r="H392" s="7" t="str">
        <f t="shared" si="639"/>
        <v/>
      </c>
      <c r="I392" s="25"/>
      <c r="J392" s="7" t="str">
        <f t="shared" ref="J392" si="763">IF(IF(I392&lt;&gt;"",I392,IF($AA392&lt;&gt;"",J391,""))&lt;&gt;0,IF(I392&lt;&gt;"",I392,IF($AA392&lt;&gt;"",J391,"")),"")</f>
        <v/>
      </c>
      <c r="K392" s="25"/>
      <c r="L392" s="7" t="str">
        <f t="shared" si="640"/>
        <v/>
      </c>
      <c r="M392" s="25"/>
      <c r="N392" s="7" t="str">
        <f t="shared" si="641"/>
        <v/>
      </c>
      <c r="O392" s="81"/>
      <c r="P392" s="81" t="str">
        <f t="shared" si="642"/>
        <v/>
      </c>
      <c r="Q392" s="81"/>
      <c r="R392" s="7" t="str">
        <f t="shared" si="643"/>
        <v/>
      </c>
      <c r="S392" s="25"/>
      <c r="T392" s="7" t="str">
        <f t="shared" si="644"/>
        <v/>
      </c>
      <c r="U392" s="25"/>
      <c r="V392" s="7" t="str">
        <f t="shared" si="645"/>
        <v/>
      </c>
      <c r="W392" s="25"/>
      <c r="X392" s="7" t="str">
        <f t="shared" si="646"/>
        <v/>
      </c>
      <c r="Y392" s="18" t="str">
        <f t="shared" si="647"/>
        <v/>
      </c>
      <c r="Z392" s="7" t="str">
        <f t="shared" si="648"/>
        <v/>
      </c>
      <c r="AA392" s="18" t="str">
        <f t="shared" si="649"/>
        <v/>
      </c>
      <c r="AB392" s="19" t="str">
        <f t="shared" si="650"/>
        <v/>
      </c>
      <c r="AC392" s="26"/>
      <c r="AD392" s="26"/>
      <c r="AE392" s="25"/>
      <c r="AF392" s="26"/>
      <c r="AG392" s="25"/>
      <c r="AH392" s="25"/>
      <c r="AI392" s="18" t="str">
        <f t="shared" si="713"/>
        <v/>
      </c>
      <c r="AJ392" s="25"/>
      <c r="AK392" s="18" t="str">
        <f t="shared" si="714"/>
        <v/>
      </c>
      <c r="AL392" s="79"/>
      <c r="AM392" s="126" t="str">
        <f t="shared" si="715"/>
        <v/>
      </c>
      <c r="AN392" s="128" t="str">
        <f>IF(AP392&lt;&gt;"",VLOOKUP($P392&amp;" | "&amp;AN$6,'Job Master'!$F$12:$J$102,5,0),"")</f>
        <v/>
      </c>
      <c r="AO392" s="19" t="str">
        <f>IF(AP392&lt;&gt;"",VLOOKUP($P392&amp;" | "&amp;AN$6,'Job Master'!$F$12:$J$102,3,0),"")</f>
        <v/>
      </c>
      <c r="AP392" s="19" t="str">
        <f>IFERROR(IF(AND(AW392&lt;&gt;"",VLOOKUP($P392&amp;" | "&amp;AN$6,'Job Master'!$F$12:$I$102,4,0)&lt;&gt;""),IF(WEEKDAY(AW392-VLOOKUP($P392&amp;" | "&amp;AN$6,'Job Master'!$F$12:$I$102,4,0))&lt;&gt;7,AW392-VLOOKUP($P392&amp;" | "&amp;AN$6,'Job Master'!$F$12:$I$102,4,0),AW392-VLOOKUP($P392&amp;" | "&amp;AN$6,'Job Master'!$F$12:$I$102,4,0)-1),""),"")</f>
        <v/>
      </c>
      <c r="AQ392" s="73"/>
      <c r="AR392" s="123" t="str">
        <f t="shared" si="651"/>
        <v/>
      </c>
      <c r="AS392" s="123" t="str">
        <f t="shared" si="652"/>
        <v/>
      </c>
      <c r="AT392" s="97" t="str">
        <f t="shared" ca="1" si="653"/>
        <v/>
      </c>
      <c r="AU392" s="98" t="str">
        <f>IF(AW392&lt;&gt;"",VLOOKUP($P392&amp;" | "&amp;AU$6,'Job Master'!$F$12:$J$102,5,0),"")</f>
        <v/>
      </c>
      <c r="AV392" s="19" t="str">
        <f>IF(AW392&lt;&gt;"",VLOOKUP($P392&amp;" | "&amp;AU$6,'Job Master'!$F$12:$J$102,3,0),"")</f>
        <v/>
      </c>
      <c r="AW392" s="19" t="str">
        <f>IFERROR(IF(AND(BD392&lt;&gt;"",VLOOKUP($P392&amp;" | "&amp;AU$6,'Job Master'!$F$12:$I$102,4,0)&lt;&gt;""),IF(WEEKDAY(BD392-VLOOKUP($P392&amp;" | "&amp;AU$6,'Job Master'!$F$12:$I$102,4,0))&lt;&gt;7,BD392-VLOOKUP($P392&amp;" | "&amp;AU$6,'Job Master'!$F$12:$I$102,4,0),BD392-VLOOKUP($P392&amp;" | "&amp;AU$6,'Job Master'!$F$12:$I$102,4,0)-1),""),"")</f>
        <v/>
      </c>
      <c r="AX392" s="73"/>
      <c r="AY392" s="123" t="str">
        <f t="shared" si="654"/>
        <v/>
      </c>
      <c r="AZ392" s="123" t="str">
        <f t="shared" si="655"/>
        <v/>
      </c>
      <c r="BA392" s="97" t="str">
        <f t="shared" ca="1" si="656"/>
        <v/>
      </c>
      <c r="BB392" s="98" t="str">
        <f>IF(BD392&lt;&gt;"",VLOOKUP($P392&amp;" | "&amp;BB$6,'Job Master'!$F$12:$J$102,5,0),"")</f>
        <v/>
      </c>
      <c r="BC392" s="19" t="str">
        <f>IF(BD392&lt;&gt;"",VLOOKUP($P392&amp;" | "&amp;BB$6,'Job Master'!$F$12:$J$102,3,0),"")</f>
        <v/>
      </c>
      <c r="BD392" s="19" t="str">
        <f>IFERROR(IF(AND(BK392&lt;&gt;"",VLOOKUP($P392&amp;" | "&amp;BB$6,'Job Master'!$F$12:$I$102,4,0)&lt;&gt;""),IF(WEEKDAY(BK392-VLOOKUP($P392&amp;" | "&amp;BB$6,'Job Master'!$F$12:$I$102,4,0))&lt;&gt;7,BK392-VLOOKUP($P392&amp;" | "&amp;BB$6,'Job Master'!$F$12:$I$102,4,0),BK392-VLOOKUP($P392&amp;" | "&amp;BB$6,'Job Master'!$F$12:$I$102,4,0)-1),""),"")</f>
        <v/>
      </c>
      <c r="BE392" s="73"/>
      <c r="BF392" s="123" t="str">
        <f t="shared" si="657"/>
        <v/>
      </c>
      <c r="BG392" s="123" t="str">
        <f t="shared" si="658"/>
        <v/>
      </c>
      <c r="BH392" s="97" t="str">
        <f t="shared" ca="1" si="659"/>
        <v/>
      </c>
      <c r="BI392" s="98" t="str">
        <f>IF(BK392&lt;&gt;"",VLOOKUP($P392&amp;" | "&amp;BI$6,'Job Master'!$F$12:$J$102,5,0),"")</f>
        <v/>
      </c>
      <c r="BJ392" s="19" t="str">
        <f>IF(BK392&lt;&gt;"",VLOOKUP($P392&amp;" | "&amp;BI$6,'Job Master'!$F$12:$J$102,3,0),"")</f>
        <v/>
      </c>
      <c r="BK392" s="19" t="str">
        <f>IFERROR(IF(AND(BR392&lt;&gt;"",VLOOKUP($P392&amp;" | "&amp;BI$6,'Job Master'!$F$12:$I$102,4,0)&lt;&gt;""),IF(WEEKDAY(BR392-VLOOKUP($P392&amp;" | "&amp;BI$6,'Job Master'!$F$12:$I$102,4,0))&lt;&gt;7,BR392-VLOOKUP($P392&amp;" | "&amp;BI$6,'Job Master'!$F$12:$I$102,4,0),BR392-VLOOKUP($P392&amp;" | "&amp;BI$6,'Job Master'!$F$12:$I$102,4,0)-1),""),"")</f>
        <v/>
      </c>
      <c r="BL392" s="73"/>
      <c r="BM392" s="123" t="str">
        <f t="shared" si="660"/>
        <v/>
      </c>
      <c r="BN392" s="123" t="str">
        <f t="shared" si="661"/>
        <v/>
      </c>
      <c r="BO392" s="97" t="str">
        <f t="shared" ca="1" si="662"/>
        <v/>
      </c>
      <c r="BP392" s="98" t="str">
        <f>IF(BR392&lt;&gt;"",VLOOKUP($P392&amp;" | "&amp;BP$6,'Job Master'!$F$12:$J$102,5,0),"")</f>
        <v/>
      </c>
      <c r="BQ392" s="19" t="str">
        <f>IF(BR392&lt;&gt;"",VLOOKUP($P392&amp;" | "&amp;BP$6,'Job Master'!$F$12:$J$102,3,0),"")</f>
        <v/>
      </c>
      <c r="BR392" s="19" t="str">
        <f>IFERROR(IF(AND(BY392&lt;&gt;"",VLOOKUP($P392&amp;" | "&amp;BP$6,'Job Master'!$F$12:$I$102,4,0)&lt;&gt;""),IF(WEEKDAY(BY392-VLOOKUP($P392&amp;" | "&amp;BP$6,'Job Master'!$F$12:$I$102,4,0))&lt;&gt;7,BY392-VLOOKUP($P392&amp;" | "&amp;BP$6,'Job Master'!$F$12:$I$102,4,0),BY392-VLOOKUP($P392&amp;" | "&amp;BP$6,'Job Master'!$F$12:$I$102,4,0)-1),""),"")</f>
        <v/>
      </c>
      <c r="BS392" s="73"/>
      <c r="BT392" s="123" t="str">
        <f t="shared" si="663"/>
        <v/>
      </c>
      <c r="BU392" s="123" t="str">
        <f t="shared" si="664"/>
        <v/>
      </c>
      <c r="BV392" s="97" t="str">
        <f t="shared" ca="1" si="665"/>
        <v/>
      </c>
      <c r="BW392" s="98" t="str">
        <f>IF(BY392&lt;&gt;"",VLOOKUP($P392&amp;" | "&amp;BW$6,'Job Master'!$F$12:$J$102,5,0),"")</f>
        <v/>
      </c>
      <c r="BX392" s="19" t="str">
        <f>IF(BY392&lt;&gt;"",VLOOKUP($P392&amp;" | "&amp;BW$6,'Job Master'!$F$12:$J$102,3,0),"")</f>
        <v/>
      </c>
      <c r="BY392" s="19" t="str">
        <f>IFERROR(IF(AND(CF392&lt;&gt;"",VLOOKUP($P392&amp;" | "&amp;BW$6,'Job Master'!$F$12:$I$102,4,0)&lt;&gt;""),IF(WEEKDAY(CF392-VLOOKUP($P392&amp;" | "&amp;BW$6,'Job Master'!$F$12:$I$102,4,0))&lt;&gt;7,CF392-VLOOKUP($P392&amp;" | "&amp;BW$6,'Job Master'!$F$12:$I$102,4,0),CF392-VLOOKUP($P392&amp;" | "&amp;BW$6,'Job Master'!$F$12:$I$102,4,0)-1),""),"")</f>
        <v/>
      </c>
      <c r="BZ392" s="73"/>
      <c r="CA392" s="123" t="str">
        <f t="shared" si="666"/>
        <v/>
      </c>
      <c r="CB392" s="123" t="str">
        <f t="shared" si="667"/>
        <v/>
      </c>
      <c r="CC392" s="97" t="str">
        <f t="shared" ca="1" si="668"/>
        <v/>
      </c>
      <c r="CD392" s="98" t="str">
        <f>IF(CF392&lt;&gt;"",VLOOKUP($P392&amp;" | "&amp;CD$6,'Job Master'!$F$12:$J$102,5,0),"")</f>
        <v/>
      </c>
      <c r="CE392" s="19" t="str">
        <f>IF(CF392&lt;&gt;"",VLOOKUP($P392&amp;" | "&amp;CD$6,'Job Master'!$F$12:$J$102,3,0),"")</f>
        <v/>
      </c>
      <c r="CF392" s="19" t="str">
        <f>IFERROR(IF(AND(CM392&lt;&gt;"",VLOOKUP($P392&amp;" | "&amp;CD$6,'Job Master'!$F$12:$I$102,4,0)&lt;&gt;""),IF(WEEKDAY(CM392-VLOOKUP($P392&amp;" | "&amp;CD$6,'Job Master'!$F$12:$I$102,4,0))&lt;&gt;7,CM392-VLOOKUP($P392&amp;" | "&amp;CD$6,'Job Master'!$F$12:$I$102,4,0),CM392-VLOOKUP($P392&amp;" | "&amp;CD$6,'Job Master'!$F$12:$I$102,4,0)-1),""),"")</f>
        <v/>
      </c>
      <c r="CG392" s="73"/>
      <c r="CH392" s="123" t="str">
        <f t="shared" si="669"/>
        <v/>
      </c>
      <c r="CI392" s="123" t="str">
        <f t="shared" si="670"/>
        <v/>
      </c>
      <c r="CJ392" s="97" t="str">
        <f t="shared" ca="1" si="671"/>
        <v/>
      </c>
      <c r="CK392" s="98" t="str">
        <f>IF(CM392&lt;&gt;"",VLOOKUP($P392&amp;" | "&amp;CK$6,'Job Master'!$F$12:$J$102,5,0),"")</f>
        <v/>
      </c>
      <c r="CL392" s="19" t="str">
        <f>IF(CM392&lt;&gt;"",VLOOKUP($P392&amp;" | "&amp;CK$6,'Job Master'!$F$12:$J$102,3,0),"")</f>
        <v/>
      </c>
      <c r="CM392" s="19" t="str">
        <f>IFERROR(IF(AND(CT392&lt;&gt;"",VLOOKUP($P392&amp;" | "&amp;CK$6,'Job Master'!$F$12:$I$102,4,0)&lt;&gt;""),IF(WEEKDAY(CT392-VLOOKUP($P392&amp;" | "&amp;CK$6,'Job Master'!$F$12:$I$102,4,0))&lt;&gt;7,CT392-VLOOKUP($P392&amp;" | "&amp;CK$6,'Job Master'!$F$12:$I$102,4,0),CT392-VLOOKUP($P392&amp;" | "&amp;CK$6,'Job Master'!$F$12:$I$102,4,0)-1),""),"")</f>
        <v/>
      </c>
      <c r="CN392" s="73"/>
      <c r="CO392" s="123" t="str">
        <f t="shared" si="672"/>
        <v/>
      </c>
      <c r="CP392" s="123" t="str">
        <f t="shared" si="673"/>
        <v/>
      </c>
      <c r="CQ392" s="97" t="str">
        <f t="shared" ca="1" si="674"/>
        <v/>
      </c>
      <c r="CR392" s="98" t="str">
        <f>IF(CT392&lt;&gt;"",VLOOKUP($P392&amp;" | "&amp;CR$6,'Job Master'!$F$12:$J$102,5,0),"")</f>
        <v/>
      </c>
      <c r="CS392" s="19" t="str">
        <f>IF(CT392&lt;&gt;"",VLOOKUP($P392&amp;" | "&amp;CR$6,'Job Master'!$F$12:$J$102,3,0),"")</f>
        <v/>
      </c>
      <c r="CT392" s="19" t="str">
        <f>IFERROR(IF(AND(DA392&lt;&gt;"",VLOOKUP($P392&amp;" | "&amp;CR$6,'Job Master'!$F$12:$I$102,4,0)&lt;&gt;""),IF(WEEKDAY(DA392-VLOOKUP($P392&amp;" | "&amp;CR$6,'Job Master'!$F$12:$I$102,4,0))&lt;&gt;7,DA392-VLOOKUP($P392&amp;" | "&amp;CR$6,'Job Master'!$F$12:$I$102,4,0),DA392-VLOOKUP($P392&amp;" | "&amp;CR$6,'Job Master'!$F$12:$I$102,4,0)-1),""),"")</f>
        <v/>
      </c>
      <c r="CU392" s="73"/>
      <c r="CV392" s="123" t="str">
        <f t="shared" si="675"/>
        <v/>
      </c>
      <c r="CW392" s="123" t="str">
        <f t="shared" si="676"/>
        <v/>
      </c>
      <c r="CX392" s="97" t="str">
        <f t="shared" ca="1" si="677"/>
        <v/>
      </c>
      <c r="CY392" s="98" t="str">
        <f>IF(DA392&lt;&gt;"",VLOOKUP($P392&amp;" | "&amp;CY$6,'Job Master'!$F$12:$J$102,5,0),"")</f>
        <v/>
      </c>
      <c r="CZ392" s="19" t="str">
        <f>IF(DA392&lt;&gt;"",VLOOKUP($P392&amp;" | "&amp;CY$6,'Job Master'!$F$12:$J$102,3,0),"")</f>
        <v/>
      </c>
      <c r="DA392" s="19" t="str">
        <f>IFERROR(IF(AND(DH392&lt;&gt;"",VLOOKUP($P392&amp;" | "&amp;CY$6,'Job Master'!$F$12:$I$102,4,0)&lt;&gt;""),IF(WEEKDAY(DH392-VLOOKUP($P392&amp;" | "&amp;CY$6,'Job Master'!$F$12:$I$102,4,0))&lt;&gt;7,DH392-VLOOKUP($P392&amp;" | "&amp;CY$6,'Job Master'!$F$12:$I$102,4,0),DH392-VLOOKUP($P392&amp;" | "&amp;CY$6,'Job Master'!$F$12:$I$102,4,0)-1),""),"")</f>
        <v/>
      </c>
      <c r="DB392" s="73"/>
      <c r="DC392" s="123" t="str">
        <f t="shared" si="678"/>
        <v/>
      </c>
      <c r="DD392" s="123" t="str">
        <f t="shared" si="679"/>
        <v/>
      </c>
      <c r="DE392" s="97" t="str">
        <f t="shared" ca="1" si="680"/>
        <v/>
      </c>
      <c r="DF392" s="98" t="str">
        <f>IF(DH392&lt;&gt;"",VLOOKUP($P392&amp;" | "&amp;DF$6,'Job Master'!$F$12:$J$102,5,0),"")</f>
        <v/>
      </c>
      <c r="DG392" s="19" t="str">
        <f>IF(DH392&lt;&gt;"",VLOOKUP($P392&amp;" | "&amp;DF$6,'Job Master'!$F$12:$J$102,3,0),"")</f>
        <v/>
      </c>
      <c r="DH392" s="19" t="str">
        <f>IFERROR(IF(AND(DO392&lt;&gt;"",VLOOKUP($P392&amp;" | "&amp;DF$6,'Job Master'!$F$12:$I$102,4,0)&lt;&gt;""),IF(WEEKDAY(DO392-VLOOKUP($P392&amp;" | "&amp;DF$6,'Job Master'!$F$12:$I$102,4,0))&lt;&gt;7,DO392-VLOOKUP($P392&amp;" | "&amp;DF$6,'Job Master'!$F$12:$I$102,4,0),DO392-VLOOKUP($P392&amp;" | "&amp;DF$6,'Job Master'!$F$12:$I$102,4,0)-1),""),"")</f>
        <v/>
      </c>
      <c r="DI392" s="73"/>
      <c r="DJ392" s="123" t="str">
        <f t="shared" si="681"/>
        <v/>
      </c>
      <c r="DK392" s="123" t="str">
        <f t="shared" si="682"/>
        <v/>
      </c>
      <c r="DL392" s="97" t="str">
        <f t="shared" ca="1" si="683"/>
        <v/>
      </c>
      <c r="DM392" s="98" t="str">
        <f>IF(DO392&lt;&gt;"",VLOOKUP($P392&amp;" | "&amp;DM$6,'Job Master'!$F$12:$J$102,5,0),"")</f>
        <v/>
      </c>
      <c r="DN392" s="19" t="str">
        <f>IF(DO392&lt;&gt;"",VLOOKUP($P392&amp;" | "&amp;DM$6,'Job Master'!$F$12:$J$102,3,0),"")</f>
        <v/>
      </c>
      <c r="DO392" s="19" t="str">
        <f>IFERROR(IF(AND(DT392&lt;&gt;"",VLOOKUP($P392&amp;" | "&amp;DM$6,'Job Master'!$F$12:$I$102,4,0)&lt;&gt;""),IF(WEEKDAY(DT392-VLOOKUP($P392&amp;" | "&amp;DM$6,'Job Master'!$F$12:$I$102,4,0))&lt;&gt;7,DT392-VLOOKUP($P392&amp;" | "&amp;DM$6,'Job Master'!$F$12:$I$102,4,0),DT392-VLOOKUP($P392&amp;" | "&amp;DM$6,'Job Master'!$F$12:$I$102,4,0)-1),""),"")</f>
        <v/>
      </c>
      <c r="DP392" s="73"/>
      <c r="DQ392" s="123" t="str">
        <f t="shared" si="684"/>
        <v/>
      </c>
      <c r="DR392" s="123" t="str">
        <f t="shared" si="685"/>
        <v/>
      </c>
      <c r="DS392" s="97" t="str">
        <f t="shared" ca="1" si="686"/>
        <v/>
      </c>
      <c r="DT392" s="70" t="str">
        <f t="shared" si="687"/>
        <v/>
      </c>
      <c r="DU392" s="90"/>
      <c r="DV392" s="123" t="str">
        <f t="shared" si="688"/>
        <v/>
      </c>
      <c r="DW392" s="123" t="str">
        <f t="shared" si="689"/>
        <v/>
      </c>
      <c r="DX392" s="132" t="str">
        <f t="shared" ref="DX392" ca="1" si="764">IF(DT392&lt;&gt;"",IF(WEEKNUM(DT392)=WEEKNUM(TODAY()),"This Week",IF(WEEKNUM(DT392)=WEEKNUM(TODAY())+1,"Next Week",IF(WEEKNUM(DT392)=WEEKNUM(TODAY())-1,"Previous Week",""))),"")</f>
        <v/>
      </c>
      <c r="DY392" s="134" t="str">
        <f t="shared" si="691"/>
        <v/>
      </c>
      <c r="DZ392" s="95"/>
      <c r="EB392" s="8" t="str">
        <f t="shared" si="697"/>
        <v/>
      </c>
      <c r="EC392" s="8" t="str">
        <f>IF(O392&lt;&gt;"",VLOOKUP(O392,'Job Master'!$N$12:$O$18,2,0),"")</f>
        <v/>
      </c>
      <c r="ED392" s="8">
        <f t="shared" si="698"/>
        <v>19.5</v>
      </c>
      <c r="EE392" s="8">
        <f t="shared" si="699"/>
        <v>6</v>
      </c>
      <c r="EF392" s="8">
        <f t="shared" si="700"/>
        <v>-2272.5</v>
      </c>
      <c r="EG392" s="8" t="str">
        <f t="shared" si="701"/>
        <v/>
      </c>
      <c r="EH392" s="8" t="str">
        <f t="shared" si="702"/>
        <v/>
      </c>
    </row>
    <row r="393" spans="2:138" x14ac:dyDescent="0.3">
      <c r="B393" s="112"/>
      <c r="C393" s="27"/>
      <c r="D393" s="7" t="str">
        <f t="shared" ref="D393:J456" si="765">IF(IF(C393&lt;&gt;"",C393,IF($AA393&lt;&gt;"",D392,""))&lt;&gt;0,IF(C393&lt;&gt;"",C393,IF($AA393&lt;&gt;"",D392,"")),"")</f>
        <v/>
      </c>
      <c r="E393" s="25"/>
      <c r="F393" s="7" t="str">
        <f t="shared" si="765"/>
        <v/>
      </c>
      <c r="G393" s="25"/>
      <c r="H393" s="7" t="str">
        <f t="shared" si="765"/>
        <v/>
      </c>
      <c r="I393" s="25"/>
      <c r="J393" s="7" t="str">
        <f t="shared" si="765"/>
        <v/>
      </c>
      <c r="K393" s="25"/>
      <c r="L393" s="7" t="str">
        <f t="shared" ref="L393:L456" si="766">IF(IF(K393&lt;&gt;"",K393,IF($AA393&lt;&gt;"",L392,""))&lt;&gt;0,IF(K393&lt;&gt;"",K393,IF($AA393&lt;&gt;"",L392,"")),"")</f>
        <v/>
      </c>
      <c r="M393" s="25"/>
      <c r="N393" s="7" t="str">
        <f t="shared" ref="N393:N456" si="767">IF(IF(M393&lt;&gt;"",M393,IF($AA393&lt;&gt;"",N392,""))&lt;&gt;0,IF(M393&lt;&gt;"",M393,IF($AA393&lt;&gt;"",N392,"")),"")</f>
        <v/>
      </c>
      <c r="O393" s="81"/>
      <c r="P393" s="81" t="str">
        <f t="shared" ref="P393:P456" si="768">IF(IF(O393&lt;&gt;"",O393,IF($AA393&lt;&gt;"",P392,""))&lt;&gt;0,IF(O393&lt;&gt;"",O393,IF($AA393&lt;&gt;"",P392,"")),"")</f>
        <v/>
      </c>
      <c r="Q393" s="81"/>
      <c r="R393" s="7" t="str">
        <f t="shared" ref="R393:R456" si="769">IF(IF(Q393&lt;&gt;"",Q393,IF($AA393&lt;&gt;"",R392,""))&lt;&gt;0,IF(Q393&lt;&gt;"",Q393,IF($AA393&lt;&gt;"",R392,"")),"")</f>
        <v/>
      </c>
      <c r="S393" s="25"/>
      <c r="T393" s="7" t="str">
        <f t="shared" ref="T393:T456" si="770">IF(IF(S393&lt;&gt;"",S393,IF($AA393&lt;&gt;"",T392,""))&lt;&gt;0,IF(S393&lt;&gt;"",S393,IF($AA393&lt;&gt;"",T392,"")),"")</f>
        <v/>
      </c>
      <c r="U393" s="25"/>
      <c r="V393" s="7" t="str">
        <f t="shared" ref="V393:V456" si="771">IF(IF(U393&lt;&gt;"",U393,IF($AA393&lt;&gt;"",V392,""))&lt;&gt;0,IF(U393&lt;&gt;"",U393,IF($AA393&lt;&gt;"",V392,"")),"")</f>
        <v/>
      </c>
      <c r="W393" s="25"/>
      <c r="X393" s="7" t="str">
        <f t="shared" ref="X393:X456" si="772">IF(IF(W393&lt;&gt;"",W393,IF($AA393&lt;&gt;"",X392,""))&lt;&gt;0,IF(W393&lt;&gt;"",W393,IF($AA393&lt;&gt;"",X392,"")),"")</f>
        <v/>
      </c>
      <c r="Y393" s="18" t="str">
        <f t="shared" ref="Y393:Y456" si="773">IF(AND(W393&lt;&gt;"",U393&lt;&gt;""),U393*W393,"")</f>
        <v/>
      </c>
      <c r="Z393" s="7" t="str">
        <f t="shared" ref="Z393:Z456" si="774">IF(IF(Y393&lt;&gt;"",Y393,IF($AA393&lt;&gt;"",Z392,""))&lt;&gt;0,IF(Y393&lt;&gt;"",Y393,IF($AA393&lt;&gt;"",Z392,"")),"")</f>
        <v/>
      </c>
      <c r="AA393" s="18" t="str">
        <f t="shared" ref="AA393:AA456" si="775">IF(EH393&lt;&gt;"",EH393,"")</f>
        <v/>
      </c>
      <c r="AB393" s="19" t="str">
        <f t="shared" ref="AB393:AB456" si="776">IF(AA393&lt;&gt;"",IF(WEEKDAY(IF(AF393&lt;&gt;"",AF393,IF(AD393&lt;&gt;"",AD393,IF(AC393&lt;&gt;"",AC393,IF(AND(AC393="",AD393="",AF393="",AA393&lt;&gt;""),AB392-1,"")))))&lt;&gt;7,IF(AF393&lt;&gt;"",AF393,IF(AD393&lt;&gt;"",AD393,IF(AC393&lt;&gt;"",AC393,IF(AND(AC393="",AD393="",AF393="",AA393&lt;&gt;""),AB392-1,"")))),IF(AF393&lt;&gt;"",AF393,IF(AD393&lt;&gt;"",AD393,IF(AC393&lt;&gt;"",AC393,IF(AND(AC393="",AD393="",AF393="",AA393&lt;&gt;""),AB392-1,""))))-1),"")</f>
        <v/>
      </c>
      <c r="AC393" s="26"/>
      <c r="AD393" s="26"/>
      <c r="AE393" s="25"/>
      <c r="AF393" s="26"/>
      <c r="AG393" s="25"/>
      <c r="AH393" s="25"/>
      <c r="AI393" s="18" t="str">
        <f t="shared" si="713"/>
        <v/>
      </c>
      <c r="AJ393" s="25"/>
      <c r="AK393" s="18" t="str">
        <f t="shared" si="714"/>
        <v/>
      </c>
      <c r="AL393" s="79"/>
      <c r="AM393" s="126" t="str">
        <f t="shared" si="715"/>
        <v/>
      </c>
      <c r="AN393" s="128" t="str">
        <f>IF(AP393&lt;&gt;"",VLOOKUP($P393&amp;" | "&amp;AN$6,'Job Master'!$F$12:$J$102,5,0),"")</f>
        <v/>
      </c>
      <c r="AO393" s="19" t="str">
        <f>IF(AP393&lt;&gt;"",VLOOKUP($P393&amp;" | "&amp;AN$6,'Job Master'!$F$12:$J$102,3,0),"")</f>
        <v/>
      </c>
      <c r="AP393" s="19" t="str">
        <f>IFERROR(IF(AND(AW393&lt;&gt;"",VLOOKUP($P393&amp;" | "&amp;AN$6,'Job Master'!$F$12:$I$102,4,0)&lt;&gt;""),IF(WEEKDAY(AW393-VLOOKUP($P393&amp;" | "&amp;AN$6,'Job Master'!$F$12:$I$102,4,0))&lt;&gt;7,AW393-VLOOKUP($P393&amp;" | "&amp;AN$6,'Job Master'!$F$12:$I$102,4,0),AW393-VLOOKUP($P393&amp;" | "&amp;AN$6,'Job Master'!$F$12:$I$102,4,0)-1),""),"")</f>
        <v/>
      </c>
      <c r="AQ393" s="73"/>
      <c r="AR393" s="123" t="str">
        <f t="shared" ref="AR393:AR456" si="777">IF(AP393&lt;&gt;"",MONTH(AP393),"")</f>
        <v/>
      </c>
      <c r="AS393" s="123" t="str">
        <f t="shared" ref="AS393:AS456" si="778">IF(AND(AQ393&lt;&gt;"",AP393&lt;&gt;""),IF(AQ393&gt;AP393,"Delayed",IF(AQ393=AP393,"On Time",IF(AQ393&lt;AP393,"In Advance"))),"")</f>
        <v/>
      </c>
      <c r="AT393" s="97" t="str">
        <f t="shared" ref="AT393:AT456" ca="1" si="779">IF(AP393&lt;&gt;"",IF(WEEKNUM(AP393)=WEEKNUM(TODAY()),"This Week",IF(WEEKNUM(AP393)=WEEKNUM(TODAY())+1,"Next Week",IF(WEEKNUM(AP393)=WEEKNUM(TODAY())-1,"Previous Week",""))),"")</f>
        <v/>
      </c>
      <c r="AU393" s="98" t="str">
        <f>IF(AW393&lt;&gt;"",VLOOKUP($P393&amp;" | "&amp;AU$6,'Job Master'!$F$12:$J$102,5,0),"")</f>
        <v/>
      </c>
      <c r="AV393" s="19" t="str">
        <f>IF(AW393&lt;&gt;"",VLOOKUP($P393&amp;" | "&amp;AU$6,'Job Master'!$F$12:$J$102,3,0),"")</f>
        <v/>
      </c>
      <c r="AW393" s="19" t="str">
        <f>IFERROR(IF(AND(BD393&lt;&gt;"",VLOOKUP($P393&amp;" | "&amp;AU$6,'Job Master'!$F$12:$I$102,4,0)&lt;&gt;""),IF(WEEKDAY(BD393-VLOOKUP($P393&amp;" | "&amp;AU$6,'Job Master'!$F$12:$I$102,4,0))&lt;&gt;7,BD393-VLOOKUP($P393&amp;" | "&amp;AU$6,'Job Master'!$F$12:$I$102,4,0),BD393-VLOOKUP($P393&amp;" | "&amp;AU$6,'Job Master'!$F$12:$I$102,4,0)-1),""),"")</f>
        <v/>
      </c>
      <c r="AX393" s="73"/>
      <c r="AY393" s="123" t="str">
        <f t="shared" ref="AY393:AY456" si="780">IF(AW393&lt;&gt;"",MONTH(AW393),"")</f>
        <v/>
      </c>
      <c r="AZ393" s="123" t="str">
        <f t="shared" ref="AZ393:AZ456" si="781">IF(AND(AX393&lt;&gt;"",AW393&lt;&gt;""),IF(AX393&gt;AW393,"Delayed",IF(AX393=AW393,"On Time",IF(AX393&lt;AW393,"In Advance"))),"")</f>
        <v/>
      </c>
      <c r="BA393" s="97" t="str">
        <f t="shared" ref="BA393:BA456" ca="1" si="782">IF(AW393&lt;&gt;"",IF(WEEKNUM(AW393)=WEEKNUM(TODAY()),"This Week",IF(WEEKNUM(AW393)=WEEKNUM(TODAY())+1,"Next Week",IF(WEEKNUM(AW393)=WEEKNUM(TODAY())-1,"Previous Week",""))),"")</f>
        <v/>
      </c>
      <c r="BB393" s="98" t="str">
        <f>IF(BD393&lt;&gt;"",VLOOKUP($P393&amp;" | "&amp;BB$6,'Job Master'!$F$12:$J$102,5,0),"")</f>
        <v/>
      </c>
      <c r="BC393" s="19" t="str">
        <f>IF(BD393&lt;&gt;"",VLOOKUP($P393&amp;" | "&amp;BB$6,'Job Master'!$F$12:$J$102,3,0),"")</f>
        <v/>
      </c>
      <c r="BD393" s="19" t="str">
        <f>IFERROR(IF(AND(BK393&lt;&gt;"",VLOOKUP($P393&amp;" | "&amp;BB$6,'Job Master'!$F$12:$I$102,4,0)&lt;&gt;""),IF(WEEKDAY(BK393-VLOOKUP($P393&amp;" | "&amp;BB$6,'Job Master'!$F$12:$I$102,4,0))&lt;&gt;7,BK393-VLOOKUP($P393&amp;" | "&amp;BB$6,'Job Master'!$F$12:$I$102,4,0),BK393-VLOOKUP($P393&amp;" | "&amp;BB$6,'Job Master'!$F$12:$I$102,4,0)-1),""),"")</f>
        <v/>
      </c>
      <c r="BE393" s="73"/>
      <c r="BF393" s="123" t="str">
        <f t="shared" ref="BF393:BF456" si="783">IF(BD393&lt;&gt;"",MONTH(BD393),"")</f>
        <v/>
      </c>
      <c r="BG393" s="123" t="str">
        <f t="shared" ref="BG393:BG456" si="784">IF(AND(BE393&lt;&gt;"",BD393&lt;&gt;""),IF(BE393&gt;BD393,"Delayed",IF(BE393=BD393,"On Time",IF(BE393&lt;BD393,"In Advance"))),"")</f>
        <v/>
      </c>
      <c r="BH393" s="97" t="str">
        <f t="shared" ref="BH393:BH456" ca="1" si="785">IF(BD393&lt;&gt;"",IF(WEEKNUM(BD393)=WEEKNUM(TODAY()),"This Week",IF(WEEKNUM(BD393)=WEEKNUM(TODAY())+1,"Next Week",IF(WEEKNUM(BD393)=WEEKNUM(TODAY())-1,"Previous Week",""))),"")</f>
        <v/>
      </c>
      <c r="BI393" s="98" t="str">
        <f>IF(BK393&lt;&gt;"",VLOOKUP($P393&amp;" | "&amp;BI$6,'Job Master'!$F$12:$J$102,5,0),"")</f>
        <v/>
      </c>
      <c r="BJ393" s="19" t="str">
        <f>IF(BK393&lt;&gt;"",VLOOKUP($P393&amp;" | "&amp;BI$6,'Job Master'!$F$12:$J$102,3,0),"")</f>
        <v/>
      </c>
      <c r="BK393" s="19" t="str">
        <f>IFERROR(IF(AND(BR393&lt;&gt;"",VLOOKUP($P393&amp;" | "&amp;BI$6,'Job Master'!$F$12:$I$102,4,0)&lt;&gt;""),IF(WEEKDAY(BR393-VLOOKUP($P393&amp;" | "&amp;BI$6,'Job Master'!$F$12:$I$102,4,0))&lt;&gt;7,BR393-VLOOKUP($P393&amp;" | "&amp;BI$6,'Job Master'!$F$12:$I$102,4,0),BR393-VLOOKUP($P393&amp;" | "&amp;BI$6,'Job Master'!$F$12:$I$102,4,0)-1),""),"")</f>
        <v/>
      </c>
      <c r="BL393" s="73"/>
      <c r="BM393" s="123" t="str">
        <f t="shared" ref="BM393:BM456" si="786">IF(BK393&lt;&gt;"",MONTH(BK393),"")</f>
        <v/>
      </c>
      <c r="BN393" s="123" t="str">
        <f t="shared" ref="BN393:BN456" si="787">IF(AND(BL393&lt;&gt;"",BK393&lt;&gt;""),IF(BL393&gt;BK393,"Delayed",IF(BL393=BK393,"On Time",IF(BL393&lt;BK393,"In Advance"))),"")</f>
        <v/>
      </c>
      <c r="BO393" s="97" t="str">
        <f t="shared" ref="BO393:BO456" ca="1" si="788">IF(BK393&lt;&gt;"",IF(WEEKNUM(BK393)=WEEKNUM(TODAY()),"This Week",IF(WEEKNUM(BK393)=WEEKNUM(TODAY())+1,"Next Week",IF(WEEKNUM(BK393)=WEEKNUM(TODAY())-1,"Previous Week",""))),"")</f>
        <v/>
      </c>
      <c r="BP393" s="98" t="str">
        <f>IF(BR393&lt;&gt;"",VLOOKUP($P393&amp;" | "&amp;BP$6,'Job Master'!$F$12:$J$102,5,0),"")</f>
        <v/>
      </c>
      <c r="BQ393" s="19" t="str">
        <f>IF(BR393&lt;&gt;"",VLOOKUP($P393&amp;" | "&amp;BP$6,'Job Master'!$F$12:$J$102,3,0),"")</f>
        <v/>
      </c>
      <c r="BR393" s="19" t="str">
        <f>IFERROR(IF(AND(BY393&lt;&gt;"",VLOOKUP($P393&amp;" | "&amp;BP$6,'Job Master'!$F$12:$I$102,4,0)&lt;&gt;""),IF(WEEKDAY(BY393-VLOOKUP($P393&amp;" | "&amp;BP$6,'Job Master'!$F$12:$I$102,4,0))&lt;&gt;7,BY393-VLOOKUP($P393&amp;" | "&amp;BP$6,'Job Master'!$F$12:$I$102,4,0),BY393-VLOOKUP($P393&amp;" | "&amp;BP$6,'Job Master'!$F$12:$I$102,4,0)-1),""),"")</f>
        <v/>
      </c>
      <c r="BS393" s="73"/>
      <c r="BT393" s="123" t="str">
        <f t="shared" ref="BT393:BT456" si="789">IF(BR393&lt;&gt;"",MONTH(BR393),"")</f>
        <v/>
      </c>
      <c r="BU393" s="123" t="str">
        <f t="shared" ref="BU393:BU456" si="790">IF(AND(BS393&lt;&gt;"",BR393&lt;&gt;""),IF(BS393&gt;BR393,"Delayed",IF(BS393=BR393,"On Time",IF(BS393&lt;BR393,"In Advance"))),"")</f>
        <v/>
      </c>
      <c r="BV393" s="97" t="str">
        <f t="shared" ref="BV393:BV456" ca="1" si="791">IF(BR393&lt;&gt;"",IF(WEEKNUM(BR393)=WEEKNUM(TODAY()),"This Week",IF(WEEKNUM(BR393)=WEEKNUM(TODAY())+1,"Next Week",IF(WEEKNUM(BR393)=WEEKNUM(TODAY())-1,"Previous Week",""))),"")</f>
        <v/>
      </c>
      <c r="BW393" s="98" t="str">
        <f>IF(BY393&lt;&gt;"",VLOOKUP($P393&amp;" | "&amp;BW$6,'Job Master'!$F$12:$J$102,5,0),"")</f>
        <v/>
      </c>
      <c r="BX393" s="19" t="str">
        <f>IF(BY393&lt;&gt;"",VLOOKUP($P393&amp;" | "&amp;BW$6,'Job Master'!$F$12:$J$102,3,0),"")</f>
        <v/>
      </c>
      <c r="BY393" s="19" t="str">
        <f>IFERROR(IF(AND(CF393&lt;&gt;"",VLOOKUP($P393&amp;" | "&amp;BW$6,'Job Master'!$F$12:$I$102,4,0)&lt;&gt;""),IF(WEEKDAY(CF393-VLOOKUP($P393&amp;" | "&amp;BW$6,'Job Master'!$F$12:$I$102,4,0))&lt;&gt;7,CF393-VLOOKUP($P393&amp;" | "&amp;BW$6,'Job Master'!$F$12:$I$102,4,0),CF393-VLOOKUP($P393&amp;" | "&amp;BW$6,'Job Master'!$F$12:$I$102,4,0)-1),""),"")</f>
        <v/>
      </c>
      <c r="BZ393" s="73"/>
      <c r="CA393" s="123" t="str">
        <f t="shared" ref="CA393:CA456" si="792">IF(BY393&lt;&gt;"",MONTH(BY393),"")</f>
        <v/>
      </c>
      <c r="CB393" s="123" t="str">
        <f t="shared" ref="CB393:CB456" si="793">IF(AND(BZ393&lt;&gt;"",BY393&lt;&gt;""),IF(BZ393&gt;BY393,"Delayed",IF(BZ393=BY393,"On Time",IF(BZ393&lt;BY393,"In Advance"))),"")</f>
        <v/>
      </c>
      <c r="CC393" s="97" t="str">
        <f t="shared" ref="CC393:CC456" ca="1" si="794">IF(BY393&lt;&gt;"",IF(WEEKNUM(BY393)=WEEKNUM(TODAY()),"This Week",IF(WEEKNUM(BY393)=WEEKNUM(TODAY())+1,"Next Week",IF(WEEKNUM(BY393)=WEEKNUM(TODAY())-1,"Previous Week",""))),"")</f>
        <v/>
      </c>
      <c r="CD393" s="98" t="str">
        <f>IF(CF393&lt;&gt;"",VLOOKUP($P393&amp;" | "&amp;CD$6,'Job Master'!$F$12:$J$102,5,0),"")</f>
        <v/>
      </c>
      <c r="CE393" s="19" t="str">
        <f>IF(CF393&lt;&gt;"",VLOOKUP($P393&amp;" | "&amp;CD$6,'Job Master'!$F$12:$J$102,3,0),"")</f>
        <v/>
      </c>
      <c r="CF393" s="19" t="str">
        <f>IFERROR(IF(AND(CM393&lt;&gt;"",VLOOKUP($P393&amp;" | "&amp;CD$6,'Job Master'!$F$12:$I$102,4,0)&lt;&gt;""),IF(WEEKDAY(CM393-VLOOKUP($P393&amp;" | "&amp;CD$6,'Job Master'!$F$12:$I$102,4,0))&lt;&gt;7,CM393-VLOOKUP($P393&amp;" | "&amp;CD$6,'Job Master'!$F$12:$I$102,4,0),CM393-VLOOKUP($P393&amp;" | "&amp;CD$6,'Job Master'!$F$12:$I$102,4,0)-1),""),"")</f>
        <v/>
      </c>
      <c r="CG393" s="73"/>
      <c r="CH393" s="123" t="str">
        <f t="shared" ref="CH393:CH456" si="795">IF(CF393&lt;&gt;"",MONTH(CF393),"")</f>
        <v/>
      </c>
      <c r="CI393" s="123" t="str">
        <f t="shared" ref="CI393:CI456" si="796">IF(AND(CG393&lt;&gt;"",CF393&lt;&gt;""),IF(CG393&gt;CF393,"Delayed",IF(CG393=CF393,"On Time",IF(CG393&lt;CF393,"In Advance"))),"")</f>
        <v/>
      </c>
      <c r="CJ393" s="97" t="str">
        <f t="shared" ref="CJ393:CJ456" ca="1" si="797">IF(CF393&lt;&gt;"",IF(WEEKNUM(CF393)=WEEKNUM(TODAY()),"This Week",IF(WEEKNUM(CF393)=WEEKNUM(TODAY())+1,"Next Week",IF(WEEKNUM(CF393)=WEEKNUM(TODAY())-1,"Previous Week",""))),"")</f>
        <v/>
      </c>
      <c r="CK393" s="98" t="str">
        <f>IF(CM393&lt;&gt;"",VLOOKUP($P393&amp;" | "&amp;CK$6,'Job Master'!$F$12:$J$102,5,0),"")</f>
        <v/>
      </c>
      <c r="CL393" s="19" t="str">
        <f>IF(CM393&lt;&gt;"",VLOOKUP($P393&amp;" | "&amp;CK$6,'Job Master'!$F$12:$J$102,3,0),"")</f>
        <v/>
      </c>
      <c r="CM393" s="19" t="str">
        <f>IFERROR(IF(AND(CT393&lt;&gt;"",VLOOKUP($P393&amp;" | "&amp;CK$6,'Job Master'!$F$12:$I$102,4,0)&lt;&gt;""),IF(WEEKDAY(CT393-VLOOKUP($P393&amp;" | "&amp;CK$6,'Job Master'!$F$12:$I$102,4,0))&lt;&gt;7,CT393-VLOOKUP($P393&amp;" | "&amp;CK$6,'Job Master'!$F$12:$I$102,4,0),CT393-VLOOKUP($P393&amp;" | "&amp;CK$6,'Job Master'!$F$12:$I$102,4,0)-1),""),"")</f>
        <v/>
      </c>
      <c r="CN393" s="73"/>
      <c r="CO393" s="123" t="str">
        <f t="shared" ref="CO393:CO456" si="798">IF(CM393&lt;&gt;"",MONTH(CM393),"")</f>
        <v/>
      </c>
      <c r="CP393" s="123" t="str">
        <f t="shared" ref="CP393:CP456" si="799">IF(AND(CN393&lt;&gt;"",CM393&lt;&gt;""),IF(CN393&gt;CM393,"Delayed",IF(CN393=CM393,"On Time",IF(CN393&lt;CM393,"In Advance"))),"")</f>
        <v/>
      </c>
      <c r="CQ393" s="97" t="str">
        <f t="shared" ref="CQ393:CQ456" ca="1" si="800">IF(CM393&lt;&gt;"",IF(WEEKNUM(CM393)=WEEKNUM(TODAY()),"This Week",IF(WEEKNUM(CM393)=WEEKNUM(TODAY())+1,"Next Week",IF(WEEKNUM(CM393)=WEEKNUM(TODAY())-1,"Previous Week",""))),"")</f>
        <v/>
      </c>
      <c r="CR393" s="98" t="str">
        <f>IF(CT393&lt;&gt;"",VLOOKUP($P393&amp;" | "&amp;CR$6,'Job Master'!$F$12:$J$102,5,0),"")</f>
        <v/>
      </c>
      <c r="CS393" s="19" t="str">
        <f>IF(CT393&lt;&gt;"",VLOOKUP($P393&amp;" | "&amp;CR$6,'Job Master'!$F$12:$J$102,3,0),"")</f>
        <v/>
      </c>
      <c r="CT393" s="19" t="str">
        <f>IFERROR(IF(AND(DA393&lt;&gt;"",VLOOKUP($P393&amp;" | "&amp;CR$6,'Job Master'!$F$12:$I$102,4,0)&lt;&gt;""),IF(WEEKDAY(DA393-VLOOKUP($P393&amp;" | "&amp;CR$6,'Job Master'!$F$12:$I$102,4,0))&lt;&gt;7,DA393-VLOOKUP($P393&amp;" | "&amp;CR$6,'Job Master'!$F$12:$I$102,4,0),DA393-VLOOKUP($P393&amp;" | "&amp;CR$6,'Job Master'!$F$12:$I$102,4,0)-1),""),"")</f>
        <v/>
      </c>
      <c r="CU393" s="73"/>
      <c r="CV393" s="123" t="str">
        <f t="shared" ref="CV393:CV456" si="801">IF(CT393&lt;&gt;"",MONTH(CT393),"")</f>
        <v/>
      </c>
      <c r="CW393" s="123" t="str">
        <f t="shared" ref="CW393:CW456" si="802">IF(AND(CU393&lt;&gt;"",CT393&lt;&gt;""),IF(CU393&gt;CT393,"Delayed",IF(CU393=CT393,"On Time",IF(CU393&lt;CT393,"In Advance"))),"")</f>
        <v/>
      </c>
      <c r="CX393" s="97" t="str">
        <f t="shared" ref="CX393:CX456" ca="1" si="803">IF(CT393&lt;&gt;"",IF(WEEKNUM(CT393)=WEEKNUM(TODAY()),"This Week",IF(WEEKNUM(CT393)=WEEKNUM(TODAY())+1,"Next Week",IF(WEEKNUM(CT393)=WEEKNUM(TODAY())-1,"Previous Week",""))),"")</f>
        <v/>
      </c>
      <c r="CY393" s="98" t="str">
        <f>IF(DA393&lt;&gt;"",VLOOKUP($P393&amp;" | "&amp;CY$6,'Job Master'!$F$12:$J$102,5,0),"")</f>
        <v/>
      </c>
      <c r="CZ393" s="19" t="str">
        <f>IF(DA393&lt;&gt;"",VLOOKUP($P393&amp;" | "&amp;CY$6,'Job Master'!$F$12:$J$102,3,0),"")</f>
        <v/>
      </c>
      <c r="DA393" s="19" t="str">
        <f>IFERROR(IF(AND(DH393&lt;&gt;"",VLOOKUP($P393&amp;" | "&amp;CY$6,'Job Master'!$F$12:$I$102,4,0)&lt;&gt;""),IF(WEEKDAY(DH393-VLOOKUP($P393&amp;" | "&amp;CY$6,'Job Master'!$F$12:$I$102,4,0))&lt;&gt;7,DH393-VLOOKUP($P393&amp;" | "&amp;CY$6,'Job Master'!$F$12:$I$102,4,0),DH393-VLOOKUP($P393&amp;" | "&amp;CY$6,'Job Master'!$F$12:$I$102,4,0)-1),""),"")</f>
        <v/>
      </c>
      <c r="DB393" s="73"/>
      <c r="DC393" s="123" t="str">
        <f t="shared" ref="DC393:DC456" si="804">IF(DA393&lt;&gt;"",MONTH(DA393),"")</f>
        <v/>
      </c>
      <c r="DD393" s="123" t="str">
        <f t="shared" ref="DD393:DD456" si="805">IF(AND(DB393&lt;&gt;"",DA393&lt;&gt;""),IF(DB393&gt;DA393,"Delayed",IF(DB393=DA393,"On Time",IF(DB393&lt;DA393,"In Advance"))),"")</f>
        <v/>
      </c>
      <c r="DE393" s="97" t="str">
        <f t="shared" ref="DE393:DE456" ca="1" si="806">IF(DA393&lt;&gt;"",IF(WEEKNUM(DA393)=WEEKNUM(TODAY()),"This Week",IF(WEEKNUM(DA393)=WEEKNUM(TODAY())+1,"Next Week",IF(WEEKNUM(DA393)=WEEKNUM(TODAY())-1,"Previous Week",""))),"")</f>
        <v/>
      </c>
      <c r="DF393" s="98" t="str">
        <f>IF(DH393&lt;&gt;"",VLOOKUP($P393&amp;" | "&amp;DF$6,'Job Master'!$F$12:$J$102,5,0),"")</f>
        <v/>
      </c>
      <c r="DG393" s="19" t="str">
        <f>IF(DH393&lt;&gt;"",VLOOKUP($P393&amp;" | "&amp;DF$6,'Job Master'!$F$12:$J$102,3,0),"")</f>
        <v/>
      </c>
      <c r="DH393" s="19" t="str">
        <f>IFERROR(IF(AND(DO393&lt;&gt;"",VLOOKUP($P393&amp;" | "&amp;DF$6,'Job Master'!$F$12:$I$102,4,0)&lt;&gt;""),IF(WEEKDAY(DO393-VLOOKUP($P393&amp;" | "&amp;DF$6,'Job Master'!$F$12:$I$102,4,0))&lt;&gt;7,DO393-VLOOKUP($P393&amp;" | "&amp;DF$6,'Job Master'!$F$12:$I$102,4,0),DO393-VLOOKUP($P393&amp;" | "&amp;DF$6,'Job Master'!$F$12:$I$102,4,0)-1),""),"")</f>
        <v/>
      </c>
      <c r="DI393" s="73"/>
      <c r="DJ393" s="123" t="str">
        <f t="shared" ref="DJ393:DJ456" si="807">IF(DH393&lt;&gt;"",MONTH(DH393),"")</f>
        <v/>
      </c>
      <c r="DK393" s="123" t="str">
        <f t="shared" ref="DK393:DK456" si="808">IF(AND(DI393&lt;&gt;"",DH393&lt;&gt;""),IF(DI393&gt;DH393,"Delayed",IF(DI393=DH393,"On Time",IF(DI393&lt;DH393,"In Advance"))),"")</f>
        <v/>
      </c>
      <c r="DL393" s="97" t="str">
        <f t="shared" ref="DL393:DL456" ca="1" si="809">IF(DH393&lt;&gt;"",IF(WEEKNUM(DH393)=WEEKNUM(TODAY()),"This Week",IF(WEEKNUM(DH393)=WEEKNUM(TODAY())+1,"Next Week",IF(WEEKNUM(DH393)=WEEKNUM(TODAY())-1,"Previous Week",""))),"")</f>
        <v/>
      </c>
      <c r="DM393" s="98" t="str">
        <f>IF(DO393&lt;&gt;"",VLOOKUP($P393&amp;" | "&amp;DM$6,'Job Master'!$F$12:$J$102,5,0),"")</f>
        <v/>
      </c>
      <c r="DN393" s="19" t="str">
        <f>IF(DO393&lt;&gt;"",VLOOKUP($P393&amp;" | "&amp;DM$6,'Job Master'!$F$12:$J$102,3,0),"")</f>
        <v/>
      </c>
      <c r="DO393" s="19" t="str">
        <f>IFERROR(IF(AND(DT393&lt;&gt;"",VLOOKUP($P393&amp;" | "&amp;DM$6,'Job Master'!$F$12:$I$102,4,0)&lt;&gt;""),IF(WEEKDAY(DT393-VLOOKUP($P393&amp;" | "&amp;DM$6,'Job Master'!$F$12:$I$102,4,0))&lt;&gt;7,DT393-VLOOKUP($P393&amp;" | "&amp;DM$6,'Job Master'!$F$12:$I$102,4,0),DT393-VLOOKUP($P393&amp;" | "&amp;DM$6,'Job Master'!$F$12:$I$102,4,0)-1),""),"")</f>
        <v/>
      </c>
      <c r="DP393" s="73"/>
      <c r="DQ393" s="123" t="str">
        <f t="shared" ref="DQ393:DQ456" si="810">IF(DO393&lt;&gt;"",MONTH(DO393),"")</f>
        <v/>
      </c>
      <c r="DR393" s="123" t="str">
        <f t="shared" ref="DR393:DR456" si="811">IF(AND(DP393&lt;&gt;"",DO393&lt;&gt;""),IF(DP393&gt;DO393,"Delayed",IF(DP393=DO393,"On Time",IF(DP393&lt;DO393,"In Advance"))),"")</f>
        <v/>
      </c>
      <c r="DS393" s="97" t="str">
        <f t="shared" ref="DS393:DS456" ca="1" si="812">IF(DO393&lt;&gt;"",IF(WEEKNUM(DO393)=WEEKNUM(TODAY()),"This Week",IF(WEEKNUM(DO393)=WEEKNUM(TODAY())+1,"Next Week",IF(WEEKNUM(DO393)=WEEKNUM(TODAY())-1,"Previous Week",""))),"")</f>
        <v/>
      </c>
      <c r="DT393" s="70" t="str">
        <f t="shared" ref="DT393:DT456" si="813">IF(AB393&lt;&gt;"",AB393,"")</f>
        <v/>
      </c>
      <c r="DU393" s="90"/>
      <c r="DV393" s="123" t="str">
        <f t="shared" ref="DV393:DV456" si="814">IF(DT393&lt;&gt;"",MONTH(DT393),"")</f>
        <v/>
      </c>
      <c r="DW393" s="123" t="str">
        <f t="shared" ref="DW393:DW456" si="815">IF(AND(DU393&lt;&gt;"",DT393&lt;&gt;""),IF(DU393&gt;DT393,"Delayed",IF(DU393=DT393,"On Time",IF(DU393&lt;DT393,"In Advance"))),"")</f>
        <v/>
      </c>
      <c r="DX393" s="132" t="str">
        <f t="shared" ref="DX393" ca="1" si="816">IF(DT393&lt;&gt;"",IF(WEEKNUM(DT393)=WEEKNUM(TODAY()),"This Week",IF(WEEKNUM(DT393)=WEEKNUM(TODAY())+1,"Next Week",IF(WEEKNUM(DT393)=WEEKNUM(TODAY())-1,"Previous Week",""))),"")</f>
        <v/>
      </c>
      <c r="DY393" s="134" t="str">
        <f t="shared" ref="DY393:DY456" si="817">IF(AND(DT393&lt;&gt;"",DU393&lt;&gt;""),DU393-DT393,"")</f>
        <v/>
      </c>
      <c r="DZ393" s="95"/>
      <c r="EB393" s="8" t="str">
        <f t="shared" si="697"/>
        <v/>
      </c>
      <c r="EC393" s="8" t="str">
        <f>IF(O393&lt;&gt;"",VLOOKUP(O393,'Job Master'!$N$12:$O$18,2,0),"")</f>
        <v/>
      </c>
      <c r="ED393" s="8">
        <f t="shared" si="698"/>
        <v>19.5</v>
      </c>
      <c r="EE393" s="8">
        <f t="shared" si="699"/>
        <v>6</v>
      </c>
      <c r="EF393" s="8">
        <f t="shared" si="700"/>
        <v>-2278.5</v>
      </c>
      <c r="EG393" s="8" t="str">
        <f t="shared" si="701"/>
        <v/>
      </c>
      <c r="EH393" s="8" t="str">
        <f t="shared" si="702"/>
        <v/>
      </c>
    </row>
    <row r="394" spans="2:138" x14ac:dyDescent="0.3">
      <c r="B394" s="112"/>
      <c r="C394" s="27"/>
      <c r="D394" s="7" t="str">
        <f t="shared" si="765"/>
        <v/>
      </c>
      <c r="E394" s="25"/>
      <c r="F394" s="7" t="str">
        <f t="shared" si="765"/>
        <v/>
      </c>
      <c r="G394" s="25"/>
      <c r="H394" s="7" t="str">
        <f t="shared" si="765"/>
        <v/>
      </c>
      <c r="I394" s="25"/>
      <c r="J394" s="7" t="str">
        <f t="shared" si="765"/>
        <v/>
      </c>
      <c r="K394" s="25"/>
      <c r="L394" s="7" t="str">
        <f t="shared" si="766"/>
        <v/>
      </c>
      <c r="M394" s="25"/>
      <c r="N394" s="7" t="str">
        <f t="shared" si="767"/>
        <v/>
      </c>
      <c r="O394" s="81"/>
      <c r="P394" s="81" t="str">
        <f t="shared" si="768"/>
        <v/>
      </c>
      <c r="Q394" s="81"/>
      <c r="R394" s="7" t="str">
        <f t="shared" si="769"/>
        <v/>
      </c>
      <c r="S394" s="25"/>
      <c r="T394" s="7" t="str">
        <f t="shared" si="770"/>
        <v/>
      </c>
      <c r="U394" s="25"/>
      <c r="V394" s="7" t="str">
        <f t="shared" si="771"/>
        <v/>
      </c>
      <c r="W394" s="25"/>
      <c r="X394" s="7" t="str">
        <f t="shared" si="772"/>
        <v/>
      </c>
      <c r="Y394" s="18" t="str">
        <f t="shared" si="773"/>
        <v/>
      </c>
      <c r="Z394" s="7" t="str">
        <f t="shared" si="774"/>
        <v/>
      </c>
      <c r="AA394" s="18" t="str">
        <f t="shared" si="775"/>
        <v/>
      </c>
      <c r="AB394" s="19" t="str">
        <f t="shared" si="776"/>
        <v/>
      </c>
      <c r="AC394" s="26"/>
      <c r="AD394" s="26"/>
      <c r="AE394" s="25"/>
      <c r="AF394" s="26"/>
      <c r="AG394" s="25"/>
      <c r="AH394" s="25"/>
      <c r="AI394" s="18" t="str">
        <f t="shared" si="713"/>
        <v/>
      </c>
      <c r="AJ394" s="25"/>
      <c r="AK394" s="18" t="str">
        <f t="shared" si="714"/>
        <v/>
      </c>
      <c r="AL394" s="79"/>
      <c r="AM394" s="126" t="str">
        <f t="shared" si="715"/>
        <v/>
      </c>
      <c r="AN394" s="128" t="str">
        <f>IF(AP394&lt;&gt;"",VLOOKUP($P394&amp;" | "&amp;AN$6,'Job Master'!$F$12:$J$102,5,0),"")</f>
        <v/>
      </c>
      <c r="AO394" s="19" t="str">
        <f>IF(AP394&lt;&gt;"",VLOOKUP($P394&amp;" | "&amp;AN$6,'Job Master'!$F$12:$J$102,3,0),"")</f>
        <v/>
      </c>
      <c r="AP394" s="19" t="str">
        <f>IFERROR(IF(AND(AW394&lt;&gt;"",VLOOKUP($P394&amp;" | "&amp;AN$6,'Job Master'!$F$12:$I$102,4,0)&lt;&gt;""),IF(WEEKDAY(AW394-VLOOKUP($P394&amp;" | "&amp;AN$6,'Job Master'!$F$12:$I$102,4,0))&lt;&gt;7,AW394-VLOOKUP($P394&amp;" | "&amp;AN$6,'Job Master'!$F$12:$I$102,4,0),AW394-VLOOKUP($P394&amp;" | "&amp;AN$6,'Job Master'!$F$12:$I$102,4,0)-1),""),"")</f>
        <v/>
      </c>
      <c r="AQ394" s="73"/>
      <c r="AR394" s="123" t="str">
        <f t="shared" si="777"/>
        <v/>
      </c>
      <c r="AS394" s="123" t="str">
        <f t="shared" si="778"/>
        <v/>
      </c>
      <c r="AT394" s="97" t="str">
        <f t="shared" ca="1" si="779"/>
        <v/>
      </c>
      <c r="AU394" s="98" t="str">
        <f>IF(AW394&lt;&gt;"",VLOOKUP($P394&amp;" | "&amp;AU$6,'Job Master'!$F$12:$J$102,5,0),"")</f>
        <v/>
      </c>
      <c r="AV394" s="19" t="str">
        <f>IF(AW394&lt;&gt;"",VLOOKUP($P394&amp;" | "&amp;AU$6,'Job Master'!$F$12:$J$102,3,0),"")</f>
        <v/>
      </c>
      <c r="AW394" s="19" t="str">
        <f>IFERROR(IF(AND(BD394&lt;&gt;"",VLOOKUP($P394&amp;" | "&amp;AU$6,'Job Master'!$F$12:$I$102,4,0)&lt;&gt;""),IF(WEEKDAY(BD394-VLOOKUP($P394&amp;" | "&amp;AU$6,'Job Master'!$F$12:$I$102,4,0))&lt;&gt;7,BD394-VLOOKUP($P394&amp;" | "&amp;AU$6,'Job Master'!$F$12:$I$102,4,0),BD394-VLOOKUP($P394&amp;" | "&amp;AU$6,'Job Master'!$F$12:$I$102,4,0)-1),""),"")</f>
        <v/>
      </c>
      <c r="AX394" s="73"/>
      <c r="AY394" s="123" t="str">
        <f t="shared" si="780"/>
        <v/>
      </c>
      <c r="AZ394" s="123" t="str">
        <f t="shared" si="781"/>
        <v/>
      </c>
      <c r="BA394" s="97" t="str">
        <f t="shared" ca="1" si="782"/>
        <v/>
      </c>
      <c r="BB394" s="98" t="str">
        <f>IF(BD394&lt;&gt;"",VLOOKUP($P394&amp;" | "&amp;BB$6,'Job Master'!$F$12:$J$102,5,0),"")</f>
        <v/>
      </c>
      <c r="BC394" s="19" t="str">
        <f>IF(BD394&lt;&gt;"",VLOOKUP($P394&amp;" | "&amp;BB$6,'Job Master'!$F$12:$J$102,3,0),"")</f>
        <v/>
      </c>
      <c r="BD394" s="19" t="str">
        <f>IFERROR(IF(AND(BK394&lt;&gt;"",VLOOKUP($P394&amp;" | "&amp;BB$6,'Job Master'!$F$12:$I$102,4,0)&lt;&gt;""),IF(WEEKDAY(BK394-VLOOKUP($P394&amp;" | "&amp;BB$6,'Job Master'!$F$12:$I$102,4,0))&lt;&gt;7,BK394-VLOOKUP($P394&amp;" | "&amp;BB$6,'Job Master'!$F$12:$I$102,4,0),BK394-VLOOKUP($P394&amp;" | "&amp;BB$6,'Job Master'!$F$12:$I$102,4,0)-1),""),"")</f>
        <v/>
      </c>
      <c r="BE394" s="73"/>
      <c r="BF394" s="123" t="str">
        <f t="shared" si="783"/>
        <v/>
      </c>
      <c r="BG394" s="123" t="str">
        <f t="shared" si="784"/>
        <v/>
      </c>
      <c r="BH394" s="97" t="str">
        <f t="shared" ca="1" si="785"/>
        <v/>
      </c>
      <c r="BI394" s="98" t="str">
        <f>IF(BK394&lt;&gt;"",VLOOKUP($P394&amp;" | "&amp;BI$6,'Job Master'!$F$12:$J$102,5,0),"")</f>
        <v/>
      </c>
      <c r="BJ394" s="19" t="str">
        <f>IF(BK394&lt;&gt;"",VLOOKUP($P394&amp;" | "&amp;BI$6,'Job Master'!$F$12:$J$102,3,0),"")</f>
        <v/>
      </c>
      <c r="BK394" s="19" t="str">
        <f>IFERROR(IF(AND(BR394&lt;&gt;"",VLOOKUP($P394&amp;" | "&amp;BI$6,'Job Master'!$F$12:$I$102,4,0)&lt;&gt;""),IF(WEEKDAY(BR394-VLOOKUP($P394&amp;" | "&amp;BI$6,'Job Master'!$F$12:$I$102,4,0))&lt;&gt;7,BR394-VLOOKUP($P394&amp;" | "&amp;BI$6,'Job Master'!$F$12:$I$102,4,0),BR394-VLOOKUP($P394&amp;" | "&amp;BI$6,'Job Master'!$F$12:$I$102,4,0)-1),""),"")</f>
        <v/>
      </c>
      <c r="BL394" s="73"/>
      <c r="BM394" s="123" t="str">
        <f t="shared" si="786"/>
        <v/>
      </c>
      <c r="BN394" s="123" t="str">
        <f t="shared" si="787"/>
        <v/>
      </c>
      <c r="BO394" s="97" t="str">
        <f t="shared" ca="1" si="788"/>
        <v/>
      </c>
      <c r="BP394" s="98" t="str">
        <f>IF(BR394&lt;&gt;"",VLOOKUP($P394&amp;" | "&amp;BP$6,'Job Master'!$F$12:$J$102,5,0),"")</f>
        <v/>
      </c>
      <c r="BQ394" s="19" t="str">
        <f>IF(BR394&lt;&gt;"",VLOOKUP($P394&amp;" | "&amp;BP$6,'Job Master'!$F$12:$J$102,3,0),"")</f>
        <v/>
      </c>
      <c r="BR394" s="19" t="str">
        <f>IFERROR(IF(AND(BY394&lt;&gt;"",VLOOKUP($P394&amp;" | "&amp;BP$6,'Job Master'!$F$12:$I$102,4,0)&lt;&gt;""),IF(WEEKDAY(BY394-VLOOKUP($P394&amp;" | "&amp;BP$6,'Job Master'!$F$12:$I$102,4,0))&lt;&gt;7,BY394-VLOOKUP($P394&amp;" | "&amp;BP$6,'Job Master'!$F$12:$I$102,4,0),BY394-VLOOKUP($P394&amp;" | "&amp;BP$6,'Job Master'!$F$12:$I$102,4,0)-1),""),"")</f>
        <v/>
      </c>
      <c r="BS394" s="73"/>
      <c r="BT394" s="123" t="str">
        <f t="shared" si="789"/>
        <v/>
      </c>
      <c r="BU394" s="123" t="str">
        <f t="shared" si="790"/>
        <v/>
      </c>
      <c r="BV394" s="97" t="str">
        <f t="shared" ca="1" si="791"/>
        <v/>
      </c>
      <c r="BW394" s="98" t="str">
        <f>IF(BY394&lt;&gt;"",VLOOKUP($P394&amp;" | "&amp;BW$6,'Job Master'!$F$12:$J$102,5,0),"")</f>
        <v/>
      </c>
      <c r="BX394" s="19" t="str">
        <f>IF(BY394&lt;&gt;"",VLOOKUP($P394&amp;" | "&amp;BW$6,'Job Master'!$F$12:$J$102,3,0),"")</f>
        <v/>
      </c>
      <c r="BY394" s="19" t="str">
        <f>IFERROR(IF(AND(CF394&lt;&gt;"",VLOOKUP($P394&amp;" | "&amp;BW$6,'Job Master'!$F$12:$I$102,4,0)&lt;&gt;""),IF(WEEKDAY(CF394-VLOOKUP($P394&amp;" | "&amp;BW$6,'Job Master'!$F$12:$I$102,4,0))&lt;&gt;7,CF394-VLOOKUP($P394&amp;" | "&amp;BW$6,'Job Master'!$F$12:$I$102,4,0),CF394-VLOOKUP($P394&amp;" | "&amp;BW$6,'Job Master'!$F$12:$I$102,4,0)-1),""),"")</f>
        <v/>
      </c>
      <c r="BZ394" s="73"/>
      <c r="CA394" s="123" t="str">
        <f t="shared" si="792"/>
        <v/>
      </c>
      <c r="CB394" s="123" t="str">
        <f t="shared" si="793"/>
        <v/>
      </c>
      <c r="CC394" s="97" t="str">
        <f t="shared" ca="1" si="794"/>
        <v/>
      </c>
      <c r="CD394" s="98" t="str">
        <f>IF(CF394&lt;&gt;"",VLOOKUP($P394&amp;" | "&amp;CD$6,'Job Master'!$F$12:$J$102,5,0),"")</f>
        <v/>
      </c>
      <c r="CE394" s="19" t="str">
        <f>IF(CF394&lt;&gt;"",VLOOKUP($P394&amp;" | "&amp;CD$6,'Job Master'!$F$12:$J$102,3,0),"")</f>
        <v/>
      </c>
      <c r="CF394" s="19" t="str">
        <f>IFERROR(IF(AND(CM394&lt;&gt;"",VLOOKUP($P394&amp;" | "&amp;CD$6,'Job Master'!$F$12:$I$102,4,0)&lt;&gt;""),IF(WEEKDAY(CM394-VLOOKUP($P394&amp;" | "&amp;CD$6,'Job Master'!$F$12:$I$102,4,0))&lt;&gt;7,CM394-VLOOKUP($P394&amp;" | "&amp;CD$6,'Job Master'!$F$12:$I$102,4,0),CM394-VLOOKUP($P394&amp;" | "&amp;CD$6,'Job Master'!$F$12:$I$102,4,0)-1),""),"")</f>
        <v/>
      </c>
      <c r="CG394" s="73"/>
      <c r="CH394" s="123" t="str">
        <f t="shared" si="795"/>
        <v/>
      </c>
      <c r="CI394" s="123" t="str">
        <f t="shared" si="796"/>
        <v/>
      </c>
      <c r="CJ394" s="97" t="str">
        <f t="shared" ca="1" si="797"/>
        <v/>
      </c>
      <c r="CK394" s="98" t="str">
        <f>IF(CM394&lt;&gt;"",VLOOKUP($P394&amp;" | "&amp;CK$6,'Job Master'!$F$12:$J$102,5,0),"")</f>
        <v/>
      </c>
      <c r="CL394" s="19" t="str">
        <f>IF(CM394&lt;&gt;"",VLOOKUP($P394&amp;" | "&amp;CK$6,'Job Master'!$F$12:$J$102,3,0),"")</f>
        <v/>
      </c>
      <c r="CM394" s="19" t="str">
        <f>IFERROR(IF(AND(CT394&lt;&gt;"",VLOOKUP($P394&amp;" | "&amp;CK$6,'Job Master'!$F$12:$I$102,4,0)&lt;&gt;""),IF(WEEKDAY(CT394-VLOOKUP($P394&amp;" | "&amp;CK$6,'Job Master'!$F$12:$I$102,4,0))&lt;&gt;7,CT394-VLOOKUP($P394&amp;" | "&amp;CK$6,'Job Master'!$F$12:$I$102,4,0),CT394-VLOOKUP($P394&amp;" | "&amp;CK$6,'Job Master'!$F$12:$I$102,4,0)-1),""),"")</f>
        <v/>
      </c>
      <c r="CN394" s="73"/>
      <c r="CO394" s="123" t="str">
        <f t="shared" si="798"/>
        <v/>
      </c>
      <c r="CP394" s="123" t="str">
        <f t="shared" si="799"/>
        <v/>
      </c>
      <c r="CQ394" s="97" t="str">
        <f t="shared" ca="1" si="800"/>
        <v/>
      </c>
      <c r="CR394" s="98" t="str">
        <f>IF(CT394&lt;&gt;"",VLOOKUP($P394&amp;" | "&amp;CR$6,'Job Master'!$F$12:$J$102,5,0),"")</f>
        <v/>
      </c>
      <c r="CS394" s="19" t="str">
        <f>IF(CT394&lt;&gt;"",VLOOKUP($P394&amp;" | "&amp;CR$6,'Job Master'!$F$12:$J$102,3,0),"")</f>
        <v/>
      </c>
      <c r="CT394" s="19" t="str">
        <f>IFERROR(IF(AND(DA394&lt;&gt;"",VLOOKUP($P394&amp;" | "&amp;CR$6,'Job Master'!$F$12:$I$102,4,0)&lt;&gt;""),IF(WEEKDAY(DA394-VLOOKUP($P394&amp;" | "&amp;CR$6,'Job Master'!$F$12:$I$102,4,0))&lt;&gt;7,DA394-VLOOKUP($P394&amp;" | "&amp;CR$6,'Job Master'!$F$12:$I$102,4,0),DA394-VLOOKUP($P394&amp;" | "&amp;CR$6,'Job Master'!$F$12:$I$102,4,0)-1),""),"")</f>
        <v/>
      </c>
      <c r="CU394" s="73"/>
      <c r="CV394" s="123" t="str">
        <f t="shared" si="801"/>
        <v/>
      </c>
      <c r="CW394" s="123" t="str">
        <f t="shared" si="802"/>
        <v/>
      </c>
      <c r="CX394" s="97" t="str">
        <f t="shared" ca="1" si="803"/>
        <v/>
      </c>
      <c r="CY394" s="98" t="str">
        <f>IF(DA394&lt;&gt;"",VLOOKUP($P394&amp;" | "&amp;CY$6,'Job Master'!$F$12:$J$102,5,0),"")</f>
        <v/>
      </c>
      <c r="CZ394" s="19" t="str">
        <f>IF(DA394&lt;&gt;"",VLOOKUP($P394&amp;" | "&amp;CY$6,'Job Master'!$F$12:$J$102,3,0),"")</f>
        <v/>
      </c>
      <c r="DA394" s="19" t="str">
        <f>IFERROR(IF(AND(DH394&lt;&gt;"",VLOOKUP($P394&amp;" | "&amp;CY$6,'Job Master'!$F$12:$I$102,4,0)&lt;&gt;""),IF(WEEKDAY(DH394-VLOOKUP($P394&amp;" | "&amp;CY$6,'Job Master'!$F$12:$I$102,4,0))&lt;&gt;7,DH394-VLOOKUP($P394&amp;" | "&amp;CY$6,'Job Master'!$F$12:$I$102,4,0),DH394-VLOOKUP($P394&amp;" | "&amp;CY$6,'Job Master'!$F$12:$I$102,4,0)-1),""),"")</f>
        <v/>
      </c>
      <c r="DB394" s="73"/>
      <c r="DC394" s="123" t="str">
        <f t="shared" si="804"/>
        <v/>
      </c>
      <c r="DD394" s="123" t="str">
        <f t="shared" si="805"/>
        <v/>
      </c>
      <c r="DE394" s="97" t="str">
        <f t="shared" ca="1" si="806"/>
        <v/>
      </c>
      <c r="DF394" s="98" t="str">
        <f>IF(DH394&lt;&gt;"",VLOOKUP($P394&amp;" | "&amp;DF$6,'Job Master'!$F$12:$J$102,5,0),"")</f>
        <v/>
      </c>
      <c r="DG394" s="19" t="str">
        <f>IF(DH394&lt;&gt;"",VLOOKUP($P394&amp;" | "&amp;DF$6,'Job Master'!$F$12:$J$102,3,0),"")</f>
        <v/>
      </c>
      <c r="DH394" s="19" t="str">
        <f>IFERROR(IF(AND(DO394&lt;&gt;"",VLOOKUP($P394&amp;" | "&amp;DF$6,'Job Master'!$F$12:$I$102,4,0)&lt;&gt;""),IF(WEEKDAY(DO394-VLOOKUP($P394&amp;" | "&amp;DF$6,'Job Master'!$F$12:$I$102,4,0))&lt;&gt;7,DO394-VLOOKUP($P394&amp;" | "&amp;DF$6,'Job Master'!$F$12:$I$102,4,0),DO394-VLOOKUP($P394&amp;" | "&amp;DF$6,'Job Master'!$F$12:$I$102,4,0)-1),""),"")</f>
        <v/>
      </c>
      <c r="DI394" s="73"/>
      <c r="DJ394" s="123" t="str">
        <f t="shared" si="807"/>
        <v/>
      </c>
      <c r="DK394" s="123" t="str">
        <f t="shared" si="808"/>
        <v/>
      </c>
      <c r="DL394" s="97" t="str">
        <f t="shared" ca="1" si="809"/>
        <v/>
      </c>
      <c r="DM394" s="98" t="str">
        <f>IF(DO394&lt;&gt;"",VLOOKUP($P394&amp;" | "&amp;DM$6,'Job Master'!$F$12:$J$102,5,0),"")</f>
        <v/>
      </c>
      <c r="DN394" s="19" t="str">
        <f>IF(DO394&lt;&gt;"",VLOOKUP($P394&amp;" | "&amp;DM$6,'Job Master'!$F$12:$J$102,3,0),"")</f>
        <v/>
      </c>
      <c r="DO394" s="19" t="str">
        <f>IFERROR(IF(AND(DT394&lt;&gt;"",VLOOKUP($P394&amp;" | "&amp;DM$6,'Job Master'!$F$12:$I$102,4,0)&lt;&gt;""),IF(WEEKDAY(DT394-VLOOKUP($P394&amp;" | "&amp;DM$6,'Job Master'!$F$12:$I$102,4,0))&lt;&gt;7,DT394-VLOOKUP($P394&amp;" | "&amp;DM$6,'Job Master'!$F$12:$I$102,4,0),DT394-VLOOKUP($P394&amp;" | "&amp;DM$6,'Job Master'!$F$12:$I$102,4,0)-1),""),"")</f>
        <v/>
      </c>
      <c r="DP394" s="73"/>
      <c r="DQ394" s="123" t="str">
        <f t="shared" si="810"/>
        <v/>
      </c>
      <c r="DR394" s="123" t="str">
        <f t="shared" si="811"/>
        <v/>
      </c>
      <c r="DS394" s="97" t="str">
        <f t="shared" ca="1" si="812"/>
        <v/>
      </c>
      <c r="DT394" s="70" t="str">
        <f t="shared" si="813"/>
        <v/>
      </c>
      <c r="DU394" s="90"/>
      <c r="DV394" s="123" t="str">
        <f t="shared" si="814"/>
        <v/>
      </c>
      <c r="DW394" s="123" t="str">
        <f t="shared" si="815"/>
        <v/>
      </c>
      <c r="DX394" s="132" t="str">
        <f t="shared" ref="DX394" ca="1" si="818">IF(DT394&lt;&gt;"",IF(WEEKNUM(DT394)=WEEKNUM(TODAY()),"This Week",IF(WEEKNUM(DT394)=WEEKNUM(TODAY())+1,"Next Week",IF(WEEKNUM(DT394)=WEEKNUM(TODAY())-1,"Previous Week",""))),"")</f>
        <v/>
      </c>
      <c r="DY394" s="134" t="str">
        <f t="shared" si="817"/>
        <v/>
      </c>
      <c r="DZ394" s="95"/>
      <c r="EB394" s="8" t="str">
        <f t="shared" si="697"/>
        <v/>
      </c>
      <c r="EC394" s="8" t="str">
        <f>IF(O394&lt;&gt;"",VLOOKUP(O394,'Job Master'!$N$12:$O$18,2,0),"")</f>
        <v/>
      </c>
      <c r="ED394" s="8">
        <f t="shared" si="698"/>
        <v>19.5</v>
      </c>
      <c r="EE394" s="8">
        <f t="shared" si="699"/>
        <v>6</v>
      </c>
      <c r="EF394" s="8">
        <f t="shared" si="700"/>
        <v>-2284.5</v>
      </c>
      <c r="EG394" s="8" t="str">
        <f t="shared" si="701"/>
        <v/>
      </c>
      <c r="EH394" s="8" t="str">
        <f t="shared" si="702"/>
        <v/>
      </c>
    </row>
    <row r="395" spans="2:138" x14ac:dyDescent="0.3">
      <c r="B395" s="112"/>
      <c r="C395" s="27"/>
      <c r="D395" s="7" t="str">
        <f t="shared" si="765"/>
        <v/>
      </c>
      <c r="E395" s="25"/>
      <c r="F395" s="7" t="str">
        <f t="shared" si="765"/>
        <v/>
      </c>
      <c r="G395" s="25"/>
      <c r="H395" s="7" t="str">
        <f t="shared" si="765"/>
        <v/>
      </c>
      <c r="I395" s="25"/>
      <c r="J395" s="7" t="str">
        <f t="shared" si="765"/>
        <v/>
      </c>
      <c r="K395" s="25"/>
      <c r="L395" s="7" t="str">
        <f t="shared" si="766"/>
        <v/>
      </c>
      <c r="M395" s="25"/>
      <c r="N395" s="7" t="str">
        <f t="shared" si="767"/>
        <v/>
      </c>
      <c r="O395" s="81"/>
      <c r="P395" s="81" t="str">
        <f t="shared" si="768"/>
        <v/>
      </c>
      <c r="Q395" s="81"/>
      <c r="R395" s="7" t="str">
        <f t="shared" si="769"/>
        <v/>
      </c>
      <c r="S395" s="25"/>
      <c r="T395" s="7" t="str">
        <f t="shared" si="770"/>
        <v/>
      </c>
      <c r="U395" s="25"/>
      <c r="V395" s="7" t="str">
        <f t="shared" si="771"/>
        <v/>
      </c>
      <c r="W395" s="25"/>
      <c r="X395" s="7" t="str">
        <f t="shared" si="772"/>
        <v/>
      </c>
      <c r="Y395" s="18" t="str">
        <f t="shared" si="773"/>
        <v/>
      </c>
      <c r="Z395" s="7" t="str">
        <f t="shared" si="774"/>
        <v/>
      </c>
      <c r="AA395" s="18" t="str">
        <f t="shared" si="775"/>
        <v/>
      </c>
      <c r="AB395" s="19" t="str">
        <f t="shared" si="776"/>
        <v/>
      </c>
      <c r="AC395" s="26"/>
      <c r="AD395" s="26"/>
      <c r="AE395" s="25"/>
      <c r="AF395" s="26"/>
      <c r="AG395" s="25"/>
      <c r="AH395" s="25"/>
      <c r="AI395" s="18" t="str">
        <f t="shared" si="713"/>
        <v/>
      </c>
      <c r="AJ395" s="25"/>
      <c r="AK395" s="18" t="str">
        <f t="shared" si="714"/>
        <v/>
      </c>
      <c r="AL395" s="79"/>
      <c r="AM395" s="126" t="str">
        <f t="shared" si="715"/>
        <v/>
      </c>
      <c r="AN395" s="128" t="str">
        <f>IF(AP395&lt;&gt;"",VLOOKUP($P395&amp;" | "&amp;AN$6,'Job Master'!$F$12:$J$102,5,0),"")</f>
        <v/>
      </c>
      <c r="AO395" s="19" t="str">
        <f>IF(AP395&lt;&gt;"",VLOOKUP($P395&amp;" | "&amp;AN$6,'Job Master'!$F$12:$J$102,3,0),"")</f>
        <v/>
      </c>
      <c r="AP395" s="19" t="str">
        <f>IFERROR(IF(AND(AW395&lt;&gt;"",VLOOKUP($P395&amp;" | "&amp;AN$6,'Job Master'!$F$12:$I$102,4,0)&lt;&gt;""),IF(WEEKDAY(AW395-VLOOKUP($P395&amp;" | "&amp;AN$6,'Job Master'!$F$12:$I$102,4,0))&lt;&gt;7,AW395-VLOOKUP($P395&amp;" | "&amp;AN$6,'Job Master'!$F$12:$I$102,4,0),AW395-VLOOKUP($P395&amp;" | "&amp;AN$6,'Job Master'!$F$12:$I$102,4,0)-1),""),"")</f>
        <v/>
      </c>
      <c r="AQ395" s="73"/>
      <c r="AR395" s="123" t="str">
        <f t="shared" si="777"/>
        <v/>
      </c>
      <c r="AS395" s="123" t="str">
        <f t="shared" si="778"/>
        <v/>
      </c>
      <c r="AT395" s="97" t="str">
        <f t="shared" ca="1" si="779"/>
        <v/>
      </c>
      <c r="AU395" s="98" t="str">
        <f>IF(AW395&lt;&gt;"",VLOOKUP($P395&amp;" | "&amp;AU$6,'Job Master'!$F$12:$J$102,5,0),"")</f>
        <v/>
      </c>
      <c r="AV395" s="19" t="str">
        <f>IF(AW395&lt;&gt;"",VLOOKUP($P395&amp;" | "&amp;AU$6,'Job Master'!$F$12:$J$102,3,0),"")</f>
        <v/>
      </c>
      <c r="AW395" s="19" t="str">
        <f>IFERROR(IF(AND(BD395&lt;&gt;"",VLOOKUP($P395&amp;" | "&amp;AU$6,'Job Master'!$F$12:$I$102,4,0)&lt;&gt;""),IF(WEEKDAY(BD395-VLOOKUP($P395&amp;" | "&amp;AU$6,'Job Master'!$F$12:$I$102,4,0))&lt;&gt;7,BD395-VLOOKUP($P395&amp;" | "&amp;AU$6,'Job Master'!$F$12:$I$102,4,0),BD395-VLOOKUP($P395&amp;" | "&amp;AU$6,'Job Master'!$F$12:$I$102,4,0)-1),""),"")</f>
        <v/>
      </c>
      <c r="AX395" s="73"/>
      <c r="AY395" s="123" t="str">
        <f t="shared" si="780"/>
        <v/>
      </c>
      <c r="AZ395" s="123" t="str">
        <f t="shared" si="781"/>
        <v/>
      </c>
      <c r="BA395" s="97" t="str">
        <f t="shared" ca="1" si="782"/>
        <v/>
      </c>
      <c r="BB395" s="98" t="str">
        <f>IF(BD395&lt;&gt;"",VLOOKUP($P395&amp;" | "&amp;BB$6,'Job Master'!$F$12:$J$102,5,0),"")</f>
        <v/>
      </c>
      <c r="BC395" s="19" t="str">
        <f>IF(BD395&lt;&gt;"",VLOOKUP($P395&amp;" | "&amp;BB$6,'Job Master'!$F$12:$J$102,3,0),"")</f>
        <v/>
      </c>
      <c r="BD395" s="19" t="str">
        <f>IFERROR(IF(AND(BK395&lt;&gt;"",VLOOKUP($P395&amp;" | "&amp;BB$6,'Job Master'!$F$12:$I$102,4,0)&lt;&gt;""),IF(WEEKDAY(BK395-VLOOKUP($P395&amp;" | "&amp;BB$6,'Job Master'!$F$12:$I$102,4,0))&lt;&gt;7,BK395-VLOOKUP($P395&amp;" | "&amp;BB$6,'Job Master'!$F$12:$I$102,4,0),BK395-VLOOKUP($P395&amp;" | "&amp;BB$6,'Job Master'!$F$12:$I$102,4,0)-1),""),"")</f>
        <v/>
      </c>
      <c r="BE395" s="73"/>
      <c r="BF395" s="123" t="str">
        <f t="shared" si="783"/>
        <v/>
      </c>
      <c r="BG395" s="123" t="str">
        <f t="shared" si="784"/>
        <v/>
      </c>
      <c r="BH395" s="97" t="str">
        <f t="shared" ca="1" si="785"/>
        <v/>
      </c>
      <c r="BI395" s="98" t="str">
        <f>IF(BK395&lt;&gt;"",VLOOKUP($P395&amp;" | "&amp;BI$6,'Job Master'!$F$12:$J$102,5,0),"")</f>
        <v/>
      </c>
      <c r="BJ395" s="19" t="str">
        <f>IF(BK395&lt;&gt;"",VLOOKUP($P395&amp;" | "&amp;BI$6,'Job Master'!$F$12:$J$102,3,0),"")</f>
        <v/>
      </c>
      <c r="BK395" s="19" t="str">
        <f>IFERROR(IF(AND(BR395&lt;&gt;"",VLOOKUP($P395&amp;" | "&amp;BI$6,'Job Master'!$F$12:$I$102,4,0)&lt;&gt;""),IF(WEEKDAY(BR395-VLOOKUP($P395&amp;" | "&amp;BI$6,'Job Master'!$F$12:$I$102,4,0))&lt;&gt;7,BR395-VLOOKUP($P395&amp;" | "&amp;BI$6,'Job Master'!$F$12:$I$102,4,0),BR395-VLOOKUP($P395&amp;" | "&amp;BI$6,'Job Master'!$F$12:$I$102,4,0)-1),""),"")</f>
        <v/>
      </c>
      <c r="BL395" s="73"/>
      <c r="BM395" s="123" t="str">
        <f t="shared" si="786"/>
        <v/>
      </c>
      <c r="BN395" s="123" t="str">
        <f t="shared" si="787"/>
        <v/>
      </c>
      <c r="BO395" s="97" t="str">
        <f t="shared" ca="1" si="788"/>
        <v/>
      </c>
      <c r="BP395" s="98" t="str">
        <f>IF(BR395&lt;&gt;"",VLOOKUP($P395&amp;" | "&amp;BP$6,'Job Master'!$F$12:$J$102,5,0),"")</f>
        <v/>
      </c>
      <c r="BQ395" s="19" t="str">
        <f>IF(BR395&lt;&gt;"",VLOOKUP($P395&amp;" | "&amp;BP$6,'Job Master'!$F$12:$J$102,3,0),"")</f>
        <v/>
      </c>
      <c r="BR395" s="19" t="str">
        <f>IFERROR(IF(AND(BY395&lt;&gt;"",VLOOKUP($P395&amp;" | "&amp;BP$6,'Job Master'!$F$12:$I$102,4,0)&lt;&gt;""),IF(WEEKDAY(BY395-VLOOKUP($P395&amp;" | "&amp;BP$6,'Job Master'!$F$12:$I$102,4,0))&lt;&gt;7,BY395-VLOOKUP($P395&amp;" | "&amp;BP$6,'Job Master'!$F$12:$I$102,4,0),BY395-VLOOKUP($P395&amp;" | "&amp;BP$6,'Job Master'!$F$12:$I$102,4,0)-1),""),"")</f>
        <v/>
      </c>
      <c r="BS395" s="73"/>
      <c r="BT395" s="123" t="str">
        <f t="shared" si="789"/>
        <v/>
      </c>
      <c r="BU395" s="123" t="str">
        <f t="shared" si="790"/>
        <v/>
      </c>
      <c r="BV395" s="97" t="str">
        <f t="shared" ca="1" si="791"/>
        <v/>
      </c>
      <c r="BW395" s="98" t="str">
        <f>IF(BY395&lt;&gt;"",VLOOKUP($P395&amp;" | "&amp;BW$6,'Job Master'!$F$12:$J$102,5,0),"")</f>
        <v/>
      </c>
      <c r="BX395" s="19" t="str">
        <f>IF(BY395&lt;&gt;"",VLOOKUP($P395&amp;" | "&amp;BW$6,'Job Master'!$F$12:$J$102,3,0),"")</f>
        <v/>
      </c>
      <c r="BY395" s="19" t="str">
        <f>IFERROR(IF(AND(CF395&lt;&gt;"",VLOOKUP($P395&amp;" | "&amp;BW$6,'Job Master'!$F$12:$I$102,4,0)&lt;&gt;""),IF(WEEKDAY(CF395-VLOOKUP($P395&amp;" | "&amp;BW$6,'Job Master'!$F$12:$I$102,4,0))&lt;&gt;7,CF395-VLOOKUP($P395&amp;" | "&amp;BW$6,'Job Master'!$F$12:$I$102,4,0),CF395-VLOOKUP($P395&amp;" | "&amp;BW$6,'Job Master'!$F$12:$I$102,4,0)-1),""),"")</f>
        <v/>
      </c>
      <c r="BZ395" s="73"/>
      <c r="CA395" s="123" t="str">
        <f t="shared" si="792"/>
        <v/>
      </c>
      <c r="CB395" s="123" t="str">
        <f t="shared" si="793"/>
        <v/>
      </c>
      <c r="CC395" s="97" t="str">
        <f t="shared" ca="1" si="794"/>
        <v/>
      </c>
      <c r="CD395" s="98" t="str">
        <f>IF(CF395&lt;&gt;"",VLOOKUP($P395&amp;" | "&amp;CD$6,'Job Master'!$F$12:$J$102,5,0),"")</f>
        <v/>
      </c>
      <c r="CE395" s="19" t="str">
        <f>IF(CF395&lt;&gt;"",VLOOKUP($P395&amp;" | "&amp;CD$6,'Job Master'!$F$12:$J$102,3,0),"")</f>
        <v/>
      </c>
      <c r="CF395" s="19" t="str">
        <f>IFERROR(IF(AND(CM395&lt;&gt;"",VLOOKUP($P395&amp;" | "&amp;CD$6,'Job Master'!$F$12:$I$102,4,0)&lt;&gt;""),IF(WEEKDAY(CM395-VLOOKUP($P395&amp;" | "&amp;CD$6,'Job Master'!$F$12:$I$102,4,0))&lt;&gt;7,CM395-VLOOKUP($P395&amp;" | "&amp;CD$6,'Job Master'!$F$12:$I$102,4,0),CM395-VLOOKUP($P395&amp;" | "&amp;CD$6,'Job Master'!$F$12:$I$102,4,0)-1),""),"")</f>
        <v/>
      </c>
      <c r="CG395" s="73"/>
      <c r="CH395" s="123" t="str">
        <f t="shared" si="795"/>
        <v/>
      </c>
      <c r="CI395" s="123" t="str">
        <f t="shared" si="796"/>
        <v/>
      </c>
      <c r="CJ395" s="97" t="str">
        <f t="shared" ca="1" si="797"/>
        <v/>
      </c>
      <c r="CK395" s="98" t="str">
        <f>IF(CM395&lt;&gt;"",VLOOKUP($P395&amp;" | "&amp;CK$6,'Job Master'!$F$12:$J$102,5,0),"")</f>
        <v/>
      </c>
      <c r="CL395" s="19" t="str">
        <f>IF(CM395&lt;&gt;"",VLOOKUP($P395&amp;" | "&amp;CK$6,'Job Master'!$F$12:$J$102,3,0),"")</f>
        <v/>
      </c>
      <c r="CM395" s="19" t="str">
        <f>IFERROR(IF(AND(CT395&lt;&gt;"",VLOOKUP($P395&amp;" | "&amp;CK$6,'Job Master'!$F$12:$I$102,4,0)&lt;&gt;""),IF(WEEKDAY(CT395-VLOOKUP($P395&amp;" | "&amp;CK$6,'Job Master'!$F$12:$I$102,4,0))&lt;&gt;7,CT395-VLOOKUP($P395&amp;" | "&amp;CK$6,'Job Master'!$F$12:$I$102,4,0),CT395-VLOOKUP($P395&amp;" | "&amp;CK$6,'Job Master'!$F$12:$I$102,4,0)-1),""),"")</f>
        <v/>
      </c>
      <c r="CN395" s="73"/>
      <c r="CO395" s="123" t="str">
        <f t="shared" si="798"/>
        <v/>
      </c>
      <c r="CP395" s="123" t="str">
        <f t="shared" si="799"/>
        <v/>
      </c>
      <c r="CQ395" s="97" t="str">
        <f t="shared" ca="1" si="800"/>
        <v/>
      </c>
      <c r="CR395" s="98" t="str">
        <f>IF(CT395&lt;&gt;"",VLOOKUP($P395&amp;" | "&amp;CR$6,'Job Master'!$F$12:$J$102,5,0),"")</f>
        <v/>
      </c>
      <c r="CS395" s="19" t="str">
        <f>IF(CT395&lt;&gt;"",VLOOKUP($P395&amp;" | "&amp;CR$6,'Job Master'!$F$12:$J$102,3,0),"")</f>
        <v/>
      </c>
      <c r="CT395" s="19" t="str">
        <f>IFERROR(IF(AND(DA395&lt;&gt;"",VLOOKUP($P395&amp;" | "&amp;CR$6,'Job Master'!$F$12:$I$102,4,0)&lt;&gt;""),IF(WEEKDAY(DA395-VLOOKUP($P395&amp;" | "&amp;CR$6,'Job Master'!$F$12:$I$102,4,0))&lt;&gt;7,DA395-VLOOKUP($P395&amp;" | "&amp;CR$6,'Job Master'!$F$12:$I$102,4,0),DA395-VLOOKUP($P395&amp;" | "&amp;CR$6,'Job Master'!$F$12:$I$102,4,0)-1),""),"")</f>
        <v/>
      </c>
      <c r="CU395" s="73"/>
      <c r="CV395" s="123" t="str">
        <f t="shared" si="801"/>
        <v/>
      </c>
      <c r="CW395" s="123" t="str">
        <f t="shared" si="802"/>
        <v/>
      </c>
      <c r="CX395" s="97" t="str">
        <f t="shared" ca="1" si="803"/>
        <v/>
      </c>
      <c r="CY395" s="98" t="str">
        <f>IF(DA395&lt;&gt;"",VLOOKUP($P395&amp;" | "&amp;CY$6,'Job Master'!$F$12:$J$102,5,0),"")</f>
        <v/>
      </c>
      <c r="CZ395" s="19" t="str">
        <f>IF(DA395&lt;&gt;"",VLOOKUP($P395&amp;" | "&amp;CY$6,'Job Master'!$F$12:$J$102,3,0),"")</f>
        <v/>
      </c>
      <c r="DA395" s="19" t="str">
        <f>IFERROR(IF(AND(DH395&lt;&gt;"",VLOOKUP($P395&amp;" | "&amp;CY$6,'Job Master'!$F$12:$I$102,4,0)&lt;&gt;""),IF(WEEKDAY(DH395-VLOOKUP($P395&amp;" | "&amp;CY$6,'Job Master'!$F$12:$I$102,4,0))&lt;&gt;7,DH395-VLOOKUP($P395&amp;" | "&amp;CY$6,'Job Master'!$F$12:$I$102,4,0),DH395-VLOOKUP($P395&amp;" | "&amp;CY$6,'Job Master'!$F$12:$I$102,4,0)-1),""),"")</f>
        <v/>
      </c>
      <c r="DB395" s="73"/>
      <c r="DC395" s="123" t="str">
        <f t="shared" si="804"/>
        <v/>
      </c>
      <c r="DD395" s="123" t="str">
        <f t="shared" si="805"/>
        <v/>
      </c>
      <c r="DE395" s="97" t="str">
        <f t="shared" ca="1" si="806"/>
        <v/>
      </c>
      <c r="DF395" s="98" t="str">
        <f>IF(DH395&lt;&gt;"",VLOOKUP($P395&amp;" | "&amp;DF$6,'Job Master'!$F$12:$J$102,5,0),"")</f>
        <v/>
      </c>
      <c r="DG395" s="19" t="str">
        <f>IF(DH395&lt;&gt;"",VLOOKUP($P395&amp;" | "&amp;DF$6,'Job Master'!$F$12:$J$102,3,0),"")</f>
        <v/>
      </c>
      <c r="DH395" s="19" t="str">
        <f>IFERROR(IF(AND(DO395&lt;&gt;"",VLOOKUP($P395&amp;" | "&amp;DF$6,'Job Master'!$F$12:$I$102,4,0)&lt;&gt;""),IF(WEEKDAY(DO395-VLOOKUP($P395&amp;" | "&amp;DF$6,'Job Master'!$F$12:$I$102,4,0))&lt;&gt;7,DO395-VLOOKUP($P395&amp;" | "&amp;DF$6,'Job Master'!$F$12:$I$102,4,0),DO395-VLOOKUP($P395&amp;" | "&amp;DF$6,'Job Master'!$F$12:$I$102,4,0)-1),""),"")</f>
        <v/>
      </c>
      <c r="DI395" s="73"/>
      <c r="DJ395" s="123" t="str">
        <f t="shared" si="807"/>
        <v/>
      </c>
      <c r="DK395" s="123" t="str">
        <f t="shared" si="808"/>
        <v/>
      </c>
      <c r="DL395" s="97" t="str">
        <f t="shared" ca="1" si="809"/>
        <v/>
      </c>
      <c r="DM395" s="98" t="str">
        <f>IF(DO395&lt;&gt;"",VLOOKUP($P395&amp;" | "&amp;DM$6,'Job Master'!$F$12:$J$102,5,0),"")</f>
        <v/>
      </c>
      <c r="DN395" s="19" t="str">
        <f>IF(DO395&lt;&gt;"",VLOOKUP($P395&amp;" | "&amp;DM$6,'Job Master'!$F$12:$J$102,3,0),"")</f>
        <v/>
      </c>
      <c r="DO395" s="19" t="str">
        <f>IFERROR(IF(AND(DT395&lt;&gt;"",VLOOKUP($P395&amp;" | "&amp;DM$6,'Job Master'!$F$12:$I$102,4,0)&lt;&gt;""),IF(WEEKDAY(DT395-VLOOKUP($P395&amp;" | "&amp;DM$6,'Job Master'!$F$12:$I$102,4,0))&lt;&gt;7,DT395-VLOOKUP($P395&amp;" | "&amp;DM$6,'Job Master'!$F$12:$I$102,4,0),DT395-VLOOKUP($P395&amp;" | "&amp;DM$6,'Job Master'!$F$12:$I$102,4,0)-1),""),"")</f>
        <v/>
      </c>
      <c r="DP395" s="73"/>
      <c r="DQ395" s="123" t="str">
        <f t="shared" si="810"/>
        <v/>
      </c>
      <c r="DR395" s="123" t="str">
        <f t="shared" si="811"/>
        <v/>
      </c>
      <c r="DS395" s="97" t="str">
        <f t="shared" ca="1" si="812"/>
        <v/>
      </c>
      <c r="DT395" s="70" t="str">
        <f t="shared" si="813"/>
        <v/>
      </c>
      <c r="DU395" s="90"/>
      <c r="DV395" s="123" t="str">
        <f t="shared" si="814"/>
        <v/>
      </c>
      <c r="DW395" s="123" t="str">
        <f t="shared" si="815"/>
        <v/>
      </c>
      <c r="DX395" s="132" t="str">
        <f t="shared" ref="DX395" ca="1" si="819">IF(DT395&lt;&gt;"",IF(WEEKNUM(DT395)=WEEKNUM(TODAY()),"This Week",IF(WEEKNUM(DT395)=WEEKNUM(TODAY())+1,"Next Week",IF(WEEKNUM(DT395)=WEEKNUM(TODAY())-1,"Previous Week",""))),"")</f>
        <v/>
      </c>
      <c r="DY395" s="134" t="str">
        <f t="shared" si="817"/>
        <v/>
      </c>
      <c r="DZ395" s="95"/>
      <c r="EB395" s="8" t="str">
        <f t="shared" si="697"/>
        <v/>
      </c>
      <c r="EC395" s="8" t="str">
        <f>IF(O395&lt;&gt;"",VLOOKUP(O395,'Job Master'!$N$12:$O$18,2,0),"")</f>
        <v/>
      </c>
      <c r="ED395" s="8">
        <f t="shared" si="698"/>
        <v>19.5</v>
      </c>
      <c r="EE395" s="8">
        <f t="shared" si="699"/>
        <v>6</v>
      </c>
      <c r="EF395" s="8">
        <f t="shared" si="700"/>
        <v>-2290.5</v>
      </c>
      <c r="EG395" s="8" t="str">
        <f t="shared" si="701"/>
        <v/>
      </c>
      <c r="EH395" s="8" t="str">
        <f t="shared" si="702"/>
        <v/>
      </c>
    </row>
    <row r="396" spans="2:138" x14ac:dyDescent="0.3">
      <c r="B396" s="112"/>
      <c r="C396" s="27"/>
      <c r="D396" s="7" t="str">
        <f t="shared" si="765"/>
        <v/>
      </c>
      <c r="E396" s="25"/>
      <c r="F396" s="7" t="str">
        <f t="shared" si="765"/>
        <v/>
      </c>
      <c r="G396" s="25"/>
      <c r="H396" s="7" t="str">
        <f t="shared" si="765"/>
        <v/>
      </c>
      <c r="I396" s="25"/>
      <c r="J396" s="7" t="str">
        <f t="shared" si="765"/>
        <v/>
      </c>
      <c r="K396" s="25"/>
      <c r="L396" s="7" t="str">
        <f t="shared" si="766"/>
        <v/>
      </c>
      <c r="M396" s="25"/>
      <c r="N396" s="7" t="str">
        <f t="shared" si="767"/>
        <v/>
      </c>
      <c r="O396" s="81"/>
      <c r="P396" s="81" t="str">
        <f t="shared" si="768"/>
        <v/>
      </c>
      <c r="Q396" s="81"/>
      <c r="R396" s="7" t="str">
        <f t="shared" si="769"/>
        <v/>
      </c>
      <c r="S396" s="25"/>
      <c r="T396" s="7" t="str">
        <f t="shared" si="770"/>
        <v/>
      </c>
      <c r="U396" s="25"/>
      <c r="V396" s="7" t="str">
        <f t="shared" si="771"/>
        <v/>
      </c>
      <c r="W396" s="25"/>
      <c r="X396" s="7" t="str">
        <f t="shared" si="772"/>
        <v/>
      </c>
      <c r="Y396" s="18" t="str">
        <f t="shared" si="773"/>
        <v/>
      </c>
      <c r="Z396" s="7" t="str">
        <f t="shared" si="774"/>
        <v/>
      </c>
      <c r="AA396" s="18" t="str">
        <f t="shared" si="775"/>
        <v/>
      </c>
      <c r="AB396" s="19" t="str">
        <f t="shared" si="776"/>
        <v/>
      </c>
      <c r="AC396" s="26"/>
      <c r="AD396" s="26"/>
      <c r="AE396" s="25"/>
      <c r="AF396" s="26"/>
      <c r="AG396" s="25"/>
      <c r="AH396" s="25"/>
      <c r="AI396" s="18" t="str">
        <f t="shared" si="713"/>
        <v/>
      </c>
      <c r="AJ396" s="25"/>
      <c r="AK396" s="18" t="str">
        <f t="shared" si="714"/>
        <v/>
      </c>
      <c r="AL396" s="79"/>
      <c r="AM396" s="126" t="str">
        <f t="shared" si="715"/>
        <v/>
      </c>
      <c r="AN396" s="128" t="str">
        <f>IF(AP396&lt;&gt;"",VLOOKUP($P396&amp;" | "&amp;AN$6,'Job Master'!$F$12:$J$102,5,0),"")</f>
        <v/>
      </c>
      <c r="AO396" s="19" t="str">
        <f>IF(AP396&lt;&gt;"",VLOOKUP($P396&amp;" | "&amp;AN$6,'Job Master'!$F$12:$J$102,3,0),"")</f>
        <v/>
      </c>
      <c r="AP396" s="19" t="str">
        <f>IFERROR(IF(AND(AW396&lt;&gt;"",VLOOKUP($P396&amp;" | "&amp;AN$6,'Job Master'!$F$12:$I$102,4,0)&lt;&gt;""),IF(WEEKDAY(AW396-VLOOKUP($P396&amp;" | "&amp;AN$6,'Job Master'!$F$12:$I$102,4,0))&lt;&gt;7,AW396-VLOOKUP($P396&amp;" | "&amp;AN$6,'Job Master'!$F$12:$I$102,4,0),AW396-VLOOKUP($P396&amp;" | "&amp;AN$6,'Job Master'!$F$12:$I$102,4,0)-1),""),"")</f>
        <v/>
      </c>
      <c r="AQ396" s="73"/>
      <c r="AR396" s="123" t="str">
        <f t="shared" si="777"/>
        <v/>
      </c>
      <c r="AS396" s="123" t="str">
        <f t="shared" si="778"/>
        <v/>
      </c>
      <c r="AT396" s="97" t="str">
        <f t="shared" ca="1" si="779"/>
        <v/>
      </c>
      <c r="AU396" s="98" t="str">
        <f>IF(AW396&lt;&gt;"",VLOOKUP($P396&amp;" | "&amp;AU$6,'Job Master'!$F$12:$J$102,5,0),"")</f>
        <v/>
      </c>
      <c r="AV396" s="19" t="str">
        <f>IF(AW396&lt;&gt;"",VLOOKUP($P396&amp;" | "&amp;AU$6,'Job Master'!$F$12:$J$102,3,0),"")</f>
        <v/>
      </c>
      <c r="AW396" s="19" t="str">
        <f>IFERROR(IF(AND(BD396&lt;&gt;"",VLOOKUP($P396&amp;" | "&amp;AU$6,'Job Master'!$F$12:$I$102,4,0)&lt;&gt;""),IF(WEEKDAY(BD396-VLOOKUP($P396&amp;" | "&amp;AU$6,'Job Master'!$F$12:$I$102,4,0))&lt;&gt;7,BD396-VLOOKUP($P396&amp;" | "&amp;AU$6,'Job Master'!$F$12:$I$102,4,0),BD396-VLOOKUP($P396&amp;" | "&amp;AU$6,'Job Master'!$F$12:$I$102,4,0)-1),""),"")</f>
        <v/>
      </c>
      <c r="AX396" s="73"/>
      <c r="AY396" s="123" t="str">
        <f t="shared" si="780"/>
        <v/>
      </c>
      <c r="AZ396" s="123" t="str">
        <f t="shared" si="781"/>
        <v/>
      </c>
      <c r="BA396" s="97" t="str">
        <f t="shared" ca="1" si="782"/>
        <v/>
      </c>
      <c r="BB396" s="98" t="str">
        <f>IF(BD396&lt;&gt;"",VLOOKUP($P396&amp;" | "&amp;BB$6,'Job Master'!$F$12:$J$102,5,0),"")</f>
        <v/>
      </c>
      <c r="BC396" s="19" t="str">
        <f>IF(BD396&lt;&gt;"",VLOOKUP($P396&amp;" | "&amp;BB$6,'Job Master'!$F$12:$J$102,3,0),"")</f>
        <v/>
      </c>
      <c r="BD396" s="19" t="str">
        <f>IFERROR(IF(AND(BK396&lt;&gt;"",VLOOKUP($P396&amp;" | "&amp;BB$6,'Job Master'!$F$12:$I$102,4,0)&lt;&gt;""),IF(WEEKDAY(BK396-VLOOKUP($P396&amp;" | "&amp;BB$6,'Job Master'!$F$12:$I$102,4,0))&lt;&gt;7,BK396-VLOOKUP($P396&amp;" | "&amp;BB$6,'Job Master'!$F$12:$I$102,4,0),BK396-VLOOKUP($P396&amp;" | "&amp;BB$6,'Job Master'!$F$12:$I$102,4,0)-1),""),"")</f>
        <v/>
      </c>
      <c r="BE396" s="73"/>
      <c r="BF396" s="123" t="str">
        <f t="shared" si="783"/>
        <v/>
      </c>
      <c r="BG396" s="123" t="str">
        <f t="shared" si="784"/>
        <v/>
      </c>
      <c r="BH396" s="97" t="str">
        <f t="shared" ca="1" si="785"/>
        <v/>
      </c>
      <c r="BI396" s="98" t="str">
        <f>IF(BK396&lt;&gt;"",VLOOKUP($P396&amp;" | "&amp;BI$6,'Job Master'!$F$12:$J$102,5,0),"")</f>
        <v/>
      </c>
      <c r="BJ396" s="19" t="str">
        <f>IF(BK396&lt;&gt;"",VLOOKUP($P396&amp;" | "&amp;BI$6,'Job Master'!$F$12:$J$102,3,0),"")</f>
        <v/>
      </c>
      <c r="BK396" s="19" t="str">
        <f>IFERROR(IF(AND(BR396&lt;&gt;"",VLOOKUP($P396&amp;" | "&amp;BI$6,'Job Master'!$F$12:$I$102,4,0)&lt;&gt;""),IF(WEEKDAY(BR396-VLOOKUP($P396&amp;" | "&amp;BI$6,'Job Master'!$F$12:$I$102,4,0))&lt;&gt;7,BR396-VLOOKUP($P396&amp;" | "&amp;BI$6,'Job Master'!$F$12:$I$102,4,0),BR396-VLOOKUP($P396&amp;" | "&amp;BI$6,'Job Master'!$F$12:$I$102,4,0)-1),""),"")</f>
        <v/>
      </c>
      <c r="BL396" s="73"/>
      <c r="BM396" s="123" t="str">
        <f t="shared" si="786"/>
        <v/>
      </c>
      <c r="BN396" s="123" t="str">
        <f t="shared" si="787"/>
        <v/>
      </c>
      <c r="BO396" s="97" t="str">
        <f t="shared" ca="1" si="788"/>
        <v/>
      </c>
      <c r="BP396" s="98" t="str">
        <f>IF(BR396&lt;&gt;"",VLOOKUP($P396&amp;" | "&amp;BP$6,'Job Master'!$F$12:$J$102,5,0),"")</f>
        <v/>
      </c>
      <c r="BQ396" s="19" t="str">
        <f>IF(BR396&lt;&gt;"",VLOOKUP($P396&amp;" | "&amp;BP$6,'Job Master'!$F$12:$J$102,3,0),"")</f>
        <v/>
      </c>
      <c r="BR396" s="19" t="str">
        <f>IFERROR(IF(AND(BY396&lt;&gt;"",VLOOKUP($P396&amp;" | "&amp;BP$6,'Job Master'!$F$12:$I$102,4,0)&lt;&gt;""),IF(WEEKDAY(BY396-VLOOKUP($P396&amp;" | "&amp;BP$6,'Job Master'!$F$12:$I$102,4,0))&lt;&gt;7,BY396-VLOOKUP($P396&amp;" | "&amp;BP$6,'Job Master'!$F$12:$I$102,4,0),BY396-VLOOKUP($P396&amp;" | "&amp;BP$6,'Job Master'!$F$12:$I$102,4,0)-1),""),"")</f>
        <v/>
      </c>
      <c r="BS396" s="73"/>
      <c r="BT396" s="123" t="str">
        <f t="shared" si="789"/>
        <v/>
      </c>
      <c r="BU396" s="123" t="str">
        <f t="shared" si="790"/>
        <v/>
      </c>
      <c r="BV396" s="97" t="str">
        <f t="shared" ca="1" si="791"/>
        <v/>
      </c>
      <c r="BW396" s="98" t="str">
        <f>IF(BY396&lt;&gt;"",VLOOKUP($P396&amp;" | "&amp;BW$6,'Job Master'!$F$12:$J$102,5,0),"")</f>
        <v/>
      </c>
      <c r="BX396" s="19" t="str">
        <f>IF(BY396&lt;&gt;"",VLOOKUP($P396&amp;" | "&amp;BW$6,'Job Master'!$F$12:$J$102,3,0),"")</f>
        <v/>
      </c>
      <c r="BY396" s="19" t="str">
        <f>IFERROR(IF(AND(CF396&lt;&gt;"",VLOOKUP($P396&amp;" | "&amp;BW$6,'Job Master'!$F$12:$I$102,4,0)&lt;&gt;""),IF(WEEKDAY(CF396-VLOOKUP($P396&amp;" | "&amp;BW$6,'Job Master'!$F$12:$I$102,4,0))&lt;&gt;7,CF396-VLOOKUP($P396&amp;" | "&amp;BW$6,'Job Master'!$F$12:$I$102,4,0),CF396-VLOOKUP($P396&amp;" | "&amp;BW$6,'Job Master'!$F$12:$I$102,4,0)-1),""),"")</f>
        <v/>
      </c>
      <c r="BZ396" s="73"/>
      <c r="CA396" s="123" t="str">
        <f t="shared" si="792"/>
        <v/>
      </c>
      <c r="CB396" s="123" t="str">
        <f t="shared" si="793"/>
        <v/>
      </c>
      <c r="CC396" s="97" t="str">
        <f t="shared" ca="1" si="794"/>
        <v/>
      </c>
      <c r="CD396" s="98" t="str">
        <f>IF(CF396&lt;&gt;"",VLOOKUP($P396&amp;" | "&amp;CD$6,'Job Master'!$F$12:$J$102,5,0),"")</f>
        <v/>
      </c>
      <c r="CE396" s="19" t="str">
        <f>IF(CF396&lt;&gt;"",VLOOKUP($P396&amp;" | "&amp;CD$6,'Job Master'!$F$12:$J$102,3,0),"")</f>
        <v/>
      </c>
      <c r="CF396" s="19" t="str">
        <f>IFERROR(IF(AND(CM396&lt;&gt;"",VLOOKUP($P396&amp;" | "&amp;CD$6,'Job Master'!$F$12:$I$102,4,0)&lt;&gt;""),IF(WEEKDAY(CM396-VLOOKUP($P396&amp;" | "&amp;CD$6,'Job Master'!$F$12:$I$102,4,0))&lt;&gt;7,CM396-VLOOKUP($P396&amp;" | "&amp;CD$6,'Job Master'!$F$12:$I$102,4,0),CM396-VLOOKUP($P396&amp;" | "&amp;CD$6,'Job Master'!$F$12:$I$102,4,0)-1),""),"")</f>
        <v/>
      </c>
      <c r="CG396" s="73"/>
      <c r="CH396" s="123" t="str">
        <f t="shared" si="795"/>
        <v/>
      </c>
      <c r="CI396" s="123" t="str">
        <f t="shared" si="796"/>
        <v/>
      </c>
      <c r="CJ396" s="97" t="str">
        <f t="shared" ca="1" si="797"/>
        <v/>
      </c>
      <c r="CK396" s="98" t="str">
        <f>IF(CM396&lt;&gt;"",VLOOKUP($P396&amp;" | "&amp;CK$6,'Job Master'!$F$12:$J$102,5,0),"")</f>
        <v/>
      </c>
      <c r="CL396" s="19" t="str">
        <f>IF(CM396&lt;&gt;"",VLOOKUP($P396&amp;" | "&amp;CK$6,'Job Master'!$F$12:$J$102,3,0),"")</f>
        <v/>
      </c>
      <c r="CM396" s="19" t="str">
        <f>IFERROR(IF(AND(CT396&lt;&gt;"",VLOOKUP($P396&amp;" | "&amp;CK$6,'Job Master'!$F$12:$I$102,4,0)&lt;&gt;""),IF(WEEKDAY(CT396-VLOOKUP($P396&amp;" | "&amp;CK$6,'Job Master'!$F$12:$I$102,4,0))&lt;&gt;7,CT396-VLOOKUP($P396&amp;" | "&amp;CK$6,'Job Master'!$F$12:$I$102,4,0),CT396-VLOOKUP($P396&amp;" | "&amp;CK$6,'Job Master'!$F$12:$I$102,4,0)-1),""),"")</f>
        <v/>
      </c>
      <c r="CN396" s="73"/>
      <c r="CO396" s="123" t="str">
        <f t="shared" si="798"/>
        <v/>
      </c>
      <c r="CP396" s="123" t="str">
        <f t="shared" si="799"/>
        <v/>
      </c>
      <c r="CQ396" s="97" t="str">
        <f t="shared" ca="1" si="800"/>
        <v/>
      </c>
      <c r="CR396" s="98" t="str">
        <f>IF(CT396&lt;&gt;"",VLOOKUP($P396&amp;" | "&amp;CR$6,'Job Master'!$F$12:$J$102,5,0),"")</f>
        <v/>
      </c>
      <c r="CS396" s="19" t="str">
        <f>IF(CT396&lt;&gt;"",VLOOKUP($P396&amp;" | "&amp;CR$6,'Job Master'!$F$12:$J$102,3,0),"")</f>
        <v/>
      </c>
      <c r="CT396" s="19" t="str">
        <f>IFERROR(IF(AND(DA396&lt;&gt;"",VLOOKUP($P396&amp;" | "&amp;CR$6,'Job Master'!$F$12:$I$102,4,0)&lt;&gt;""),IF(WEEKDAY(DA396-VLOOKUP($P396&amp;" | "&amp;CR$6,'Job Master'!$F$12:$I$102,4,0))&lt;&gt;7,DA396-VLOOKUP($P396&amp;" | "&amp;CR$6,'Job Master'!$F$12:$I$102,4,0),DA396-VLOOKUP($P396&amp;" | "&amp;CR$6,'Job Master'!$F$12:$I$102,4,0)-1),""),"")</f>
        <v/>
      </c>
      <c r="CU396" s="73"/>
      <c r="CV396" s="123" t="str">
        <f t="shared" si="801"/>
        <v/>
      </c>
      <c r="CW396" s="123" t="str">
        <f t="shared" si="802"/>
        <v/>
      </c>
      <c r="CX396" s="97" t="str">
        <f t="shared" ca="1" si="803"/>
        <v/>
      </c>
      <c r="CY396" s="98" t="str">
        <f>IF(DA396&lt;&gt;"",VLOOKUP($P396&amp;" | "&amp;CY$6,'Job Master'!$F$12:$J$102,5,0),"")</f>
        <v/>
      </c>
      <c r="CZ396" s="19" t="str">
        <f>IF(DA396&lt;&gt;"",VLOOKUP($P396&amp;" | "&amp;CY$6,'Job Master'!$F$12:$J$102,3,0),"")</f>
        <v/>
      </c>
      <c r="DA396" s="19" t="str">
        <f>IFERROR(IF(AND(DH396&lt;&gt;"",VLOOKUP($P396&amp;" | "&amp;CY$6,'Job Master'!$F$12:$I$102,4,0)&lt;&gt;""),IF(WEEKDAY(DH396-VLOOKUP($P396&amp;" | "&amp;CY$6,'Job Master'!$F$12:$I$102,4,0))&lt;&gt;7,DH396-VLOOKUP($P396&amp;" | "&amp;CY$6,'Job Master'!$F$12:$I$102,4,0),DH396-VLOOKUP($P396&amp;" | "&amp;CY$6,'Job Master'!$F$12:$I$102,4,0)-1),""),"")</f>
        <v/>
      </c>
      <c r="DB396" s="73"/>
      <c r="DC396" s="123" t="str">
        <f t="shared" si="804"/>
        <v/>
      </c>
      <c r="DD396" s="123" t="str">
        <f t="shared" si="805"/>
        <v/>
      </c>
      <c r="DE396" s="97" t="str">
        <f t="shared" ca="1" si="806"/>
        <v/>
      </c>
      <c r="DF396" s="98" t="str">
        <f>IF(DH396&lt;&gt;"",VLOOKUP($P396&amp;" | "&amp;DF$6,'Job Master'!$F$12:$J$102,5,0),"")</f>
        <v/>
      </c>
      <c r="DG396" s="19" t="str">
        <f>IF(DH396&lt;&gt;"",VLOOKUP($P396&amp;" | "&amp;DF$6,'Job Master'!$F$12:$J$102,3,0),"")</f>
        <v/>
      </c>
      <c r="DH396" s="19" t="str">
        <f>IFERROR(IF(AND(DO396&lt;&gt;"",VLOOKUP($P396&amp;" | "&amp;DF$6,'Job Master'!$F$12:$I$102,4,0)&lt;&gt;""),IF(WEEKDAY(DO396-VLOOKUP($P396&amp;" | "&amp;DF$6,'Job Master'!$F$12:$I$102,4,0))&lt;&gt;7,DO396-VLOOKUP($P396&amp;" | "&amp;DF$6,'Job Master'!$F$12:$I$102,4,0),DO396-VLOOKUP($P396&amp;" | "&amp;DF$6,'Job Master'!$F$12:$I$102,4,0)-1),""),"")</f>
        <v/>
      </c>
      <c r="DI396" s="73"/>
      <c r="DJ396" s="123" t="str">
        <f t="shared" si="807"/>
        <v/>
      </c>
      <c r="DK396" s="123" t="str">
        <f t="shared" si="808"/>
        <v/>
      </c>
      <c r="DL396" s="97" t="str">
        <f t="shared" ca="1" si="809"/>
        <v/>
      </c>
      <c r="DM396" s="98" t="str">
        <f>IF(DO396&lt;&gt;"",VLOOKUP($P396&amp;" | "&amp;DM$6,'Job Master'!$F$12:$J$102,5,0),"")</f>
        <v/>
      </c>
      <c r="DN396" s="19" t="str">
        <f>IF(DO396&lt;&gt;"",VLOOKUP($P396&amp;" | "&amp;DM$6,'Job Master'!$F$12:$J$102,3,0),"")</f>
        <v/>
      </c>
      <c r="DO396" s="19" t="str">
        <f>IFERROR(IF(AND(DT396&lt;&gt;"",VLOOKUP($P396&amp;" | "&amp;DM$6,'Job Master'!$F$12:$I$102,4,0)&lt;&gt;""),IF(WEEKDAY(DT396-VLOOKUP($P396&amp;" | "&amp;DM$6,'Job Master'!$F$12:$I$102,4,0))&lt;&gt;7,DT396-VLOOKUP($P396&amp;" | "&amp;DM$6,'Job Master'!$F$12:$I$102,4,0),DT396-VLOOKUP($P396&amp;" | "&amp;DM$6,'Job Master'!$F$12:$I$102,4,0)-1),""),"")</f>
        <v/>
      </c>
      <c r="DP396" s="73"/>
      <c r="DQ396" s="123" t="str">
        <f t="shared" si="810"/>
        <v/>
      </c>
      <c r="DR396" s="123" t="str">
        <f t="shared" si="811"/>
        <v/>
      </c>
      <c r="DS396" s="97" t="str">
        <f t="shared" ca="1" si="812"/>
        <v/>
      </c>
      <c r="DT396" s="70" t="str">
        <f t="shared" si="813"/>
        <v/>
      </c>
      <c r="DU396" s="90"/>
      <c r="DV396" s="123" t="str">
        <f t="shared" si="814"/>
        <v/>
      </c>
      <c r="DW396" s="123" t="str">
        <f t="shared" si="815"/>
        <v/>
      </c>
      <c r="DX396" s="132" t="str">
        <f t="shared" ref="DX396" ca="1" si="820">IF(DT396&lt;&gt;"",IF(WEEKNUM(DT396)=WEEKNUM(TODAY()),"This Week",IF(WEEKNUM(DT396)=WEEKNUM(TODAY())+1,"Next Week",IF(WEEKNUM(DT396)=WEEKNUM(TODAY())-1,"Previous Week",""))),"")</f>
        <v/>
      </c>
      <c r="DY396" s="134" t="str">
        <f t="shared" si="817"/>
        <v/>
      </c>
      <c r="DZ396" s="95"/>
      <c r="EB396" s="8" t="str">
        <f t="shared" si="697"/>
        <v/>
      </c>
      <c r="EC396" s="8" t="str">
        <f>IF(O396&lt;&gt;"",VLOOKUP(O396,'Job Master'!$N$12:$O$18,2,0),"")</f>
        <v/>
      </c>
      <c r="ED396" s="8">
        <f t="shared" si="698"/>
        <v>19.5</v>
      </c>
      <c r="EE396" s="8">
        <f t="shared" si="699"/>
        <v>6</v>
      </c>
      <c r="EF396" s="8">
        <f t="shared" si="700"/>
        <v>-2296.5</v>
      </c>
      <c r="EG396" s="8" t="str">
        <f t="shared" si="701"/>
        <v/>
      </c>
      <c r="EH396" s="8" t="str">
        <f t="shared" si="702"/>
        <v/>
      </c>
    </row>
    <row r="397" spans="2:138" x14ac:dyDescent="0.3">
      <c r="B397" s="112"/>
      <c r="C397" s="27"/>
      <c r="D397" s="7" t="str">
        <f t="shared" si="765"/>
        <v/>
      </c>
      <c r="E397" s="25"/>
      <c r="F397" s="7" t="str">
        <f t="shared" si="765"/>
        <v/>
      </c>
      <c r="G397" s="25"/>
      <c r="H397" s="7" t="str">
        <f t="shared" si="765"/>
        <v/>
      </c>
      <c r="I397" s="25"/>
      <c r="J397" s="7" t="str">
        <f t="shared" si="765"/>
        <v/>
      </c>
      <c r="K397" s="25"/>
      <c r="L397" s="7" t="str">
        <f t="shared" si="766"/>
        <v/>
      </c>
      <c r="M397" s="25"/>
      <c r="N397" s="7" t="str">
        <f t="shared" si="767"/>
        <v/>
      </c>
      <c r="O397" s="81"/>
      <c r="P397" s="81" t="str">
        <f t="shared" si="768"/>
        <v/>
      </c>
      <c r="Q397" s="81"/>
      <c r="R397" s="7" t="str">
        <f t="shared" si="769"/>
        <v/>
      </c>
      <c r="S397" s="25"/>
      <c r="T397" s="7" t="str">
        <f t="shared" si="770"/>
        <v/>
      </c>
      <c r="U397" s="25"/>
      <c r="V397" s="7" t="str">
        <f t="shared" si="771"/>
        <v/>
      </c>
      <c r="W397" s="25"/>
      <c r="X397" s="7" t="str">
        <f t="shared" si="772"/>
        <v/>
      </c>
      <c r="Y397" s="18" t="str">
        <f t="shared" si="773"/>
        <v/>
      </c>
      <c r="Z397" s="7" t="str">
        <f t="shared" si="774"/>
        <v/>
      </c>
      <c r="AA397" s="18" t="str">
        <f t="shared" si="775"/>
        <v/>
      </c>
      <c r="AB397" s="19" t="str">
        <f t="shared" si="776"/>
        <v/>
      </c>
      <c r="AC397" s="26"/>
      <c r="AD397" s="26"/>
      <c r="AE397" s="25"/>
      <c r="AF397" s="26"/>
      <c r="AG397" s="25"/>
      <c r="AH397" s="25"/>
      <c r="AI397" s="18" t="str">
        <f t="shared" si="713"/>
        <v/>
      </c>
      <c r="AJ397" s="25"/>
      <c r="AK397" s="18" t="str">
        <f t="shared" si="714"/>
        <v/>
      </c>
      <c r="AL397" s="79"/>
      <c r="AM397" s="126" t="str">
        <f t="shared" si="715"/>
        <v/>
      </c>
      <c r="AN397" s="128" t="str">
        <f>IF(AP397&lt;&gt;"",VLOOKUP($P397&amp;" | "&amp;AN$6,'Job Master'!$F$12:$J$102,5,0),"")</f>
        <v/>
      </c>
      <c r="AO397" s="19" t="str">
        <f>IF(AP397&lt;&gt;"",VLOOKUP($P397&amp;" | "&amp;AN$6,'Job Master'!$F$12:$J$102,3,0),"")</f>
        <v/>
      </c>
      <c r="AP397" s="19" t="str">
        <f>IFERROR(IF(AND(AW397&lt;&gt;"",VLOOKUP($P397&amp;" | "&amp;AN$6,'Job Master'!$F$12:$I$102,4,0)&lt;&gt;""),IF(WEEKDAY(AW397-VLOOKUP($P397&amp;" | "&amp;AN$6,'Job Master'!$F$12:$I$102,4,0))&lt;&gt;7,AW397-VLOOKUP($P397&amp;" | "&amp;AN$6,'Job Master'!$F$12:$I$102,4,0),AW397-VLOOKUP($P397&amp;" | "&amp;AN$6,'Job Master'!$F$12:$I$102,4,0)-1),""),"")</f>
        <v/>
      </c>
      <c r="AQ397" s="73"/>
      <c r="AR397" s="123" t="str">
        <f t="shared" si="777"/>
        <v/>
      </c>
      <c r="AS397" s="123" t="str">
        <f t="shared" si="778"/>
        <v/>
      </c>
      <c r="AT397" s="97" t="str">
        <f t="shared" ca="1" si="779"/>
        <v/>
      </c>
      <c r="AU397" s="98" t="str">
        <f>IF(AW397&lt;&gt;"",VLOOKUP($P397&amp;" | "&amp;AU$6,'Job Master'!$F$12:$J$102,5,0),"")</f>
        <v/>
      </c>
      <c r="AV397" s="19" t="str">
        <f>IF(AW397&lt;&gt;"",VLOOKUP($P397&amp;" | "&amp;AU$6,'Job Master'!$F$12:$J$102,3,0),"")</f>
        <v/>
      </c>
      <c r="AW397" s="19" t="str">
        <f>IFERROR(IF(AND(BD397&lt;&gt;"",VLOOKUP($P397&amp;" | "&amp;AU$6,'Job Master'!$F$12:$I$102,4,0)&lt;&gt;""),IF(WEEKDAY(BD397-VLOOKUP($P397&amp;" | "&amp;AU$6,'Job Master'!$F$12:$I$102,4,0))&lt;&gt;7,BD397-VLOOKUP($P397&amp;" | "&amp;AU$6,'Job Master'!$F$12:$I$102,4,0),BD397-VLOOKUP($P397&amp;" | "&amp;AU$6,'Job Master'!$F$12:$I$102,4,0)-1),""),"")</f>
        <v/>
      </c>
      <c r="AX397" s="73"/>
      <c r="AY397" s="123" t="str">
        <f t="shared" si="780"/>
        <v/>
      </c>
      <c r="AZ397" s="123" t="str">
        <f t="shared" si="781"/>
        <v/>
      </c>
      <c r="BA397" s="97" t="str">
        <f t="shared" ca="1" si="782"/>
        <v/>
      </c>
      <c r="BB397" s="98" t="str">
        <f>IF(BD397&lt;&gt;"",VLOOKUP($P397&amp;" | "&amp;BB$6,'Job Master'!$F$12:$J$102,5,0),"")</f>
        <v/>
      </c>
      <c r="BC397" s="19" t="str">
        <f>IF(BD397&lt;&gt;"",VLOOKUP($P397&amp;" | "&amp;BB$6,'Job Master'!$F$12:$J$102,3,0),"")</f>
        <v/>
      </c>
      <c r="BD397" s="19" t="str">
        <f>IFERROR(IF(AND(BK397&lt;&gt;"",VLOOKUP($P397&amp;" | "&amp;BB$6,'Job Master'!$F$12:$I$102,4,0)&lt;&gt;""),IF(WEEKDAY(BK397-VLOOKUP($P397&amp;" | "&amp;BB$6,'Job Master'!$F$12:$I$102,4,0))&lt;&gt;7,BK397-VLOOKUP($P397&amp;" | "&amp;BB$6,'Job Master'!$F$12:$I$102,4,0),BK397-VLOOKUP($P397&amp;" | "&amp;BB$6,'Job Master'!$F$12:$I$102,4,0)-1),""),"")</f>
        <v/>
      </c>
      <c r="BE397" s="73"/>
      <c r="BF397" s="123" t="str">
        <f t="shared" si="783"/>
        <v/>
      </c>
      <c r="BG397" s="123" t="str">
        <f t="shared" si="784"/>
        <v/>
      </c>
      <c r="BH397" s="97" t="str">
        <f t="shared" ca="1" si="785"/>
        <v/>
      </c>
      <c r="BI397" s="98" t="str">
        <f>IF(BK397&lt;&gt;"",VLOOKUP($P397&amp;" | "&amp;BI$6,'Job Master'!$F$12:$J$102,5,0),"")</f>
        <v/>
      </c>
      <c r="BJ397" s="19" t="str">
        <f>IF(BK397&lt;&gt;"",VLOOKUP($P397&amp;" | "&amp;BI$6,'Job Master'!$F$12:$J$102,3,0),"")</f>
        <v/>
      </c>
      <c r="BK397" s="19" t="str">
        <f>IFERROR(IF(AND(BR397&lt;&gt;"",VLOOKUP($P397&amp;" | "&amp;BI$6,'Job Master'!$F$12:$I$102,4,0)&lt;&gt;""),IF(WEEKDAY(BR397-VLOOKUP($P397&amp;" | "&amp;BI$6,'Job Master'!$F$12:$I$102,4,0))&lt;&gt;7,BR397-VLOOKUP($P397&amp;" | "&amp;BI$6,'Job Master'!$F$12:$I$102,4,0),BR397-VLOOKUP($P397&amp;" | "&amp;BI$6,'Job Master'!$F$12:$I$102,4,0)-1),""),"")</f>
        <v/>
      </c>
      <c r="BL397" s="73"/>
      <c r="BM397" s="123" t="str">
        <f t="shared" si="786"/>
        <v/>
      </c>
      <c r="BN397" s="123" t="str">
        <f t="shared" si="787"/>
        <v/>
      </c>
      <c r="BO397" s="97" t="str">
        <f t="shared" ca="1" si="788"/>
        <v/>
      </c>
      <c r="BP397" s="98" t="str">
        <f>IF(BR397&lt;&gt;"",VLOOKUP($P397&amp;" | "&amp;BP$6,'Job Master'!$F$12:$J$102,5,0),"")</f>
        <v/>
      </c>
      <c r="BQ397" s="19" t="str">
        <f>IF(BR397&lt;&gt;"",VLOOKUP($P397&amp;" | "&amp;BP$6,'Job Master'!$F$12:$J$102,3,0),"")</f>
        <v/>
      </c>
      <c r="BR397" s="19" t="str">
        <f>IFERROR(IF(AND(BY397&lt;&gt;"",VLOOKUP($P397&amp;" | "&amp;BP$6,'Job Master'!$F$12:$I$102,4,0)&lt;&gt;""),IF(WEEKDAY(BY397-VLOOKUP($P397&amp;" | "&amp;BP$6,'Job Master'!$F$12:$I$102,4,0))&lt;&gt;7,BY397-VLOOKUP($P397&amp;" | "&amp;BP$6,'Job Master'!$F$12:$I$102,4,0),BY397-VLOOKUP($P397&amp;" | "&amp;BP$6,'Job Master'!$F$12:$I$102,4,0)-1),""),"")</f>
        <v/>
      </c>
      <c r="BS397" s="73"/>
      <c r="BT397" s="123" t="str">
        <f t="shared" si="789"/>
        <v/>
      </c>
      <c r="BU397" s="123" t="str">
        <f t="shared" si="790"/>
        <v/>
      </c>
      <c r="BV397" s="97" t="str">
        <f t="shared" ca="1" si="791"/>
        <v/>
      </c>
      <c r="BW397" s="98" t="str">
        <f>IF(BY397&lt;&gt;"",VLOOKUP($P397&amp;" | "&amp;BW$6,'Job Master'!$F$12:$J$102,5,0),"")</f>
        <v/>
      </c>
      <c r="BX397" s="19" t="str">
        <f>IF(BY397&lt;&gt;"",VLOOKUP($P397&amp;" | "&amp;BW$6,'Job Master'!$F$12:$J$102,3,0),"")</f>
        <v/>
      </c>
      <c r="BY397" s="19" t="str">
        <f>IFERROR(IF(AND(CF397&lt;&gt;"",VLOOKUP($P397&amp;" | "&amp;BW$6,'Job Master'!$F$12:$I$102,4,0)&lt;&gt;""),IF(WEEKDAY(CF397-VLOOKUP($P397&amp;" | "&amp;BW$6,'Job Master'!$F$12:$I$102,4,0))&lt;&gt;7,CF397-VLOOKUP($P397&amp;" | "&amp;BW$6,'Job Master'!$F$12:$I$102,4,0),CF397-VLOOKUP($P397&amp;" | "&amp;BW$6,'Job Master'!$F$12:$I$102,4,0)-1),""),"")</f>
        <v/>
      </c>
      <c r="BZ397" s="73"/>
      <c r="CA397" s="123" t="str">
        <f t="shared" si="792"/>
        <v/>
      </c>
      <c r="CB397" s="123" t="str">
        <f t="shared" si="793"/>
        <v/>
      </c>
      <c r="CC397" s="97" t="str">
        <f t="shared" ca="1" si="794"/>
        <v/>
      </c>
      <c r="CD397" s="98" t="str">
        <f>IF(CF397&lt;&gt;"",VLOOKUP($P397&amp;" | "&amp;CD$6,'Job Master'!$F$12:$J$102,5,0),"")</f>
        <v/>
      </c>
      <c r="CE397" s="19" t="str">
        <f>IF(CF397&lt;&gt;"",VLOOKUP($P397&amp;" | "&amp;CD$6,'Job Master'!$F$12:$J$102,3,0),"")</f>
        <v/>
      </c>
      <c r="CF397" s="19" t="str">
        <f>IFERROR(IF(AND(CM397&lt;&gt;"",VLOOKUP($P397&amp;" | "&amp;CD$6,'Job Master'!$F$12:$I$102,4,0)&lt;&gt;""),IF(WEEKDAY(CM397-VLOOKUP($P397&amp;" | "&amp;CD$6,'Job Master'!$F$12:$I$102,4,0))&lt;&gt;7,CM397-VLOOKUP($P397&amp;" | "&amp;CD$6,'Job Master'!$F$12:$I$102,4,0),CM397-VLOOKUP($P397&amp;" | "&amp;CD$6,'Job Master'!$F$12:$I$102,4,0)-1),""),"")</f>
        <v/>
      </c>
      <c r="CG397" s="73"/>
      <c r="CH397" s="123" t="str">
        <f t="shared" si="795"/>
        <v/>
      </c>
      <c r="CI397" s="123" t="str">
        <f t="shared" si="796"/>
        <v/>
      </c>
      <c r="CJ397" s="97" t="str">
        <f t="shared" ca="1" si="797"/>
        <v/>
      </c>
      <c r="CK397" s="98" t="str">
        <f>IF(CM397&lt;&gt;"",VLOOKUP($P397&amp;" | "&amp;CK$6,'Job Master'!$F$12:$J$102,5,0),"")</f>
        <v/>
      </c>
      <c r="CL397" s="19" t="str">
        <f>IF(CM397&lt;&gt;"",VLOOKUP($P397&amp;" | "&amp;CK$6,'Job Master'!$F$12:$J$102,3,0),"")</f>
        <v/>
      </c>
      <c r="CM397" s="19" t="str">
        <f>IFERROR(IF(AND(CT397&lt;&gt;"",VLOOKUP($P397&amp;" | "&amp;CK$6,'Job Master'!$F$12:$I$102,4,0)&lt;&gt;""),IF(WEEKDAY(CT397-VLOOKUP($P397&amp;" | "&amp;CK$6,'Job Master'!$F$12:$I$102,4,0))&lt;&gt;7,CT397-VLOOKUP($P397&amp;" | "&amp;CK$6,'Job Master'!$F$12:$I$102,4,0),CT397-VLOOKUP($P397&amp;" | "&amp;CK$6,'Job Master'!$F$12:$I$102,4,0)-1),""),"")</f>
        <v/>
      </c>
      <c r="CN397" s="73"/>
      <c r="CO397" s="123" t="str">
        <f t="shared" si="798"/>
        <v/>
      </c>
      <c r="CP397" s="123" t="str">
        <f t="shared" si="799"/>
        <v/>
      </c>
      <c r="CQ397" s="97" t="str">
        <f t="shared" ca="1" si="800"/>
        <v/>
      </c>
      <c r="CR397" s="98" t="str">
        <f>IF(CT397&lt;&gt;"",VLOOKUP($P397&amp;" | "&amp;CR$6,'Job Master'!$F$12:$J$102,5,0),"")</f>
        <v/>
      </c>
      <c r="CS397" s="19" t="str">
        <f>IF(CT397&lt;&gt;"",VLOOKUP($P397&amp;" | "&amp;CR$6,'Job Master'!$F$12:$J$102,3,0),"")</f>
        <v/>
      </c>
      <c r="CT397" s="19" t="str">
        <f>IFERROR(IF(AND(DA397&lt;&gt;"",VLOOKUP($P397&amp;" | "&amp;CR$6,'Job Master'!$F$12:$I$102,4,0)&lt;&gt;""),IF(WEEKDAY(DA397-VLOOKUP($P397&amp;" | "&amp;CR$6,'Job Master'!$F$12:$I$102,4,0))&lt;&gt;7,DA397-VLOOKUP($P397&amp;" | "&amp;CR$6,'Job Master'!$F$12:$I$102,4,0),DA397-VLOOKUP($P397&amp;" | "&amp;CR$6,'Job Master'!$F$12:$I$102,4,0)-1),""),"")</f>
        <v/>
      </c>
      <c r="CU397" s="73"/>
      <c r="CV397" s="123" t="str">
        <f t="shared" si="801"/>
        <v/>
      </c>
      <c r="CW397" s="123" t="str">
        <f t="shared" si="802"/>
        <v/>
      </c>
      <c r="CX397" s="97" t="str">
        <f t="shared" ca="1" si="803"/>
        <v/>
      </c>
      <c r="CY397" s="98" t="str">
        <f>IF(DA397&lt;&gt;"",VLOOKUP($P397&amp;" | "&amp;CY$6,'Job Master'!$F$12:$J$102,5,0),"")</f>
        <v/>
      </c>
      <c r="CZ397" s="19" t="str">
        <f>IF(DA397&lt;&gt;"",VLOOKUP($P397&amp;" | "&amp;CY$6,'Job Master'!$F$12:$J$102,3,0),"")</f>
        <v/>
      </c>
      <c r="DA397" s="19" t="str">
        <f>IFERROR(IF(AND(DH397&lt;&gt;"",VLOOKUP($P397&amp;" | "&amp;CY$6,'Job Master'!$F$12:$I$102,4,0)&lt;&gt;""),IF(WEEKDAY(DH397-VLOOKUP($P397&amp;" | "&amp;CY$6,'Job Master'!$F$12:$I$102,4,0))&lt;&gt;7,DH397-VLOOKUP($P397&amp;" | "&amp;CY$6,'Job Master'!$F$12:$I$102,4,0),DH397-VLOOKUP($P397&amp;" | "&amp;CY$6,'Job Master'!$F$12:$I$102,4,0)-1),""),"")</f>
        <v/>
      </c>
      <c r="DB397" s="73"/>
      <c r="DC397" s="123" t="str">
        <f t="shared" si="804"/>
        <v/>
      </c>
      <c r="DD397" s="123" t="str">
        <f t="shared" si="805"/>
        <v/>
      </c>
      <c r="DE397" s="97" t="str">
        <f t="shared" ca="1" si="806"/>
        <v/>
      </c>
      <c r="DF397" s="98" t="str">
        <f>IF(DH397&lt;&gt;"",VLOOKUP($P397&amp;" | "&amp;DF$6,'Job Master'!$F$12:$J$102,5,0),"")</f>
        <v/>
      </c>
      <c r="DG397" s="19" t="str">
        <f>IF(DH397&lt;&gt;"",VLOOKUP($P397&amp;" | "&amp;DF$6,'Job Master'!$F$12:$J$102,3,0),"")</f>
        <v/>
      </c>
      <c r="DH397" s="19" t="str">
        <f>IFERROR(IF(AND(DO397&lt;&gt;"",VLOOKUP($P397&amp;" | "&amp;DF$6,'Job Master'!$F$12:$I$102,4,0)&lt;&gt;""),IF(WEEKDAY(DO397-VLOOKUP($P397&amp;" | "&amp;DF$6,'Job Master'!$F$12:$I$102,4,0))&lt;&gt;7,DO397-VLOOKUP($P397&amp;" | "&amp;DF$6,'Job Master'!$F$12:$I$102,4,0),DO397-VLOOKUP($P397&amp;" | "&amp;DF$6,'Job Master'!$F$12:$I$102,4,0)-1),""),"")</f>
        <v/>
      </c>
      <c r="DI397" s="73"/>
      <c r="DJ397" s="123" t="str">
        <f t="shared" si="807"/>
        <v/>
      </c>
      <c r="DK397" s="123" t="str">
        <f t="shared" si="808"/>
        <v/>
      </c>
      <c r="DL397" s="97" t="str">
        <f t="shared" ca="1" si="809"/>
        <v/>
      </c>
      <c r="DM397" s="98" t="str">
        <f>IF(DO397&lt;&gt;"",VLOOKUP($P397&amp;" | "&amp;DM$6,'Job Master'!$F$12:$J$102,5,0),"")</f>
        <v/>
      </c>
      <c r="DN397" s="19" t="str">
        <f>IF(DO397&lt;&gt;"",VLOOKUP($P397&amp;" | "&amp;DM$6,'Job Master'!$F$12:$J$102,3,0),"")</f>
        <v/>
      </c>
      <c r="DO397" s="19" t="str">
        <f>IFERROR(IF(AND(DT397&lt;&gt;"",VLOOKUP($P397&amp;" | "&amp;DM$6,'Job Master'!$F$12:$I$102,4,0)&lt;&gt;""),IF(WEEKDAY(DT397-VLOOKUP($P397&amp;" | "&amp;DM$6,'Job Master'!$F$12:$I$102,4,0))&lt;&gt;7,DT397-VLOOKUP($P397&amp;" | "&amp;DM$6,'Job Master'!$F$12:$I$102,4,0),DT397-VLOOKUP($P397&amp;" | "&amp;DM$6,'Job Master'!$F$12:$I$102,4,0)-1),""),"")</f>
        <v/>
      </c>
      <c r="DP397" s="73"/>
      <c r="DQ397" s="123" t="str">
        <f t="shared" si="810"/>
        <v/>
      </c>
      <c r="DR397" s="123" t="str">
        <f t="shared" si="811"/>
        <v/>
      </c>
      <c r="DS397" s="97" t="str">
        <f t="shared" ca="1" si="812"/>
        <v/>
      </c>
      <c r="DT397" s="70" t="str">
        <f t="shared" si="813"/>
        <v/>
      </c>
      <c r="DU397" s="90"/>
      <c r="DV397" s="123" t="str">
        <f t="shared" si="814"/>
        <v/>
      </c>
      <c r="DW397" s="123" t="str">
        <f t="shared" si="815"/>
        <v/>
      </c>
      <c r="DX397" s="132" t="str">
        <f t="shared" ref="DX397" ca="1" si="821">IF(DT397&lt;&gt;"",IF(WEEKNUM(DT397)=WEEKNUM(TODAY()),"This Week",IF(WEEKNUM(DT397)=WEEKNUM(TODAY())+1,"Next Week",IF(WEEKNUM(DT397)=WEEKNUM(TODAY())-1,"Previous Week",""))),"")</f>
        <v/>
      </c>
      <c r="DY397" s="134" t="str">
        <f t="shared" si="817"/>
        <v/>
      </c>
      <c r="DZ397" s="95"/>
      <c r="EB397" s="8" t="str">
        <f t="shared" si="697"/>
        <v/>
      </c>
      <c r="EC397" s="8" t="str">
        <f>IF(O397&lt;&gt;"",VLOOKUP(O397,'Job Master'!$N$12:$O$18,2,0),"")</f>
        <v/>
      </c>
      <c r="ED397" s="8">
        <f t="shared" si="698"/>
        <v>19.5</v>
      </c>
      <c r="EE397" s="8">
        <f t="shared" si="699"/>
        <v>6</v>
      </c>
      <c r="EF397" s="8">
        <f t="shared" si="700"/>
        <v>-2302.5</v>
      </c>
      <c r="EG397" s="8" t="str">
        <f t="shared" si="701"/>
        <v/>
      </c>
      <c r="EH397" s="8" t="str">
        <f t="shared" si="702"/>
        <v/>
      </c>
    </row>
    <row r="398" spans="2:138" x14ac:dyDescent="0.3">
      <c r="B398" s="112"/>
      <c r="C398" s="27"/>
      <c r="D398" s="7" t="str">
        <f t="shared" si="765"/>
        <v/>
      </c>
      <c r="E398" s="25"/>
      <c r="F398" s="7" t="str">
        <f t="shared" si="765"/>
        <v/>
      </c>
      <c r="G398" s="25"/>
      <c r="H398" s="7" t="str">
        <f t="shared" si="765"/>
        <v/>
      </c>
      <c r="I398" s="25"/>
      <c r="J398" s="7" t="str">
        <f t="shared" si="765"/>
        <v/>
      </c>
      <c r="K398" s="25"/>
      <c r="L398" s="7" t="str">
        <f t="shared" si="766"/>
        <v/>
      </c>
      <c r="M398" s="25"/>
      <c r="N398" s="7" t="str">
        <f t="shared" si="767"/>
        <v/>
      </c>
      <c r="O398" s="81"/>
      <c r="P398" s="81" t="str">
        <f t="shared" si="768"/>
        <v/>
      </c>
      <c r="Q398" s="81"/>
      <c r="R398" s="7" t="str">
        <f t="shared" si="769"/>
        <v/>
      </c>
      <c r="S398" s="25"/>
      <c r="T398" s="7" t="str">
        <f t="shared" si="770"/>
        <v/>
      </c>
      <c r="U398" s="25"/>
      <c r="V398" s="7" t="str">
        <f t="shared" si="771"/>
        <v/>
      </c>
      <c r="W398" s="25"/>
      <c r="X398" s="7" t="str">
        <f t="shared" si="772"/>
        <v/>
      </c>
      <c r="Y398" s="18" t="str">
        <f t="shared" si="773"/>
        <v/>
      </c>
      <c r="Z398" s="7" t="str">
        <f t="shared" si="774"/>
        <v/>
      </c>
      <c r="AA398" s="18" t="str">
        <f t="shared" si="775"/>
        <v/>
      </c>
      <c r="AB398" s="19" t="str">
        <f t="shared" si="776"/>
        <v/>
      </c>
      <c r="AC398" s="26"/>
      <c r="AD398" s="26"/>
      <c r="AE398" s="25"/>
      <c r="AF398" s="26"/>
      <c r="AG398" s="25"/>
      <c r="AH398" s="25"/>
      <c r="AI398" s="18" t="str">
        <f t="shared" si="713"/>
        <v/>
      </c>
      <c r="AJ398" s="25"/>
      <c r="AK398" s="18" t="str">
        <f t="shared" si="714"/>
        <v/>
      </c>
      <c r="AL398" s="79"/>
      <c r="AM398" s="126" t="str">
        <f t="shared" si="715"/>
        <v/>
      </c>
      <c r="AN398" s="128" t="str">
        <f>IF(AP398&lt;&gt;"",VLOOKUP($P398&amp;" | "&amp;AN$6,'Job Master'!$F$12:$J$102,5,0),"")</f>
        <v/>
      </c>
      <c r="AO398" s="19" t="str">
        <f>IF(AP398&lt;&gt;"",VLOOKUP($P398&amp;" | "&amp;AN$6,'Job Master'!$F$12:$J$102,3,0),"")</f>
        <v/>
      </c>
      <c r="AP398" s="19" t="str">
        <f>IFERROR(IF(AND(AW398&lt;&gt;"",VLOOKUP($P398&amp;" | "&amp;AN$6,'Job Master'!$F$12:$I$102,4,0)&lt;&gt;""),IF(WEEKDAY(AW398-VLOOKUP($P398&amp;" | "&amp;AN$6,'Job Master'!$F$12:$I$102,4,0))&lt;&gt;7,AW398-VLOOKUP($P398&amp;" | "&amp;AN$6,'Job Master'!$F$12:$I$102,4,0),AW398-VLOOKUP($P398&amp;" | "&amp;AN$6,'Job Master'!$F$12:$I$102,4,0)-1),""),"")</f>
        <v/>
      </c>
      <c r="AQ398" s="73"/>
      <c r="AR398" s="123" t="str">
        <f t="shared" si="777"/>
        <v/>
      </c>
      <c r="AS398" s="123" t="str">
        <f t="shared" si="778"/>
        <v/>
      </c>
      <c r="AT398" s="97" t="str">
        <f t="shared" ca="1" si="779"/>
        <v/>
      </c>
      <c r="AU398" s="98" t="str">
        <f>IF(AW398&lt;&gt;"",VLOOKUP($P398&amp;" | "&amp;AU$6,'Job Master'!$F$12:$J$102,5,0),"")</f>
        <v/>
      </c>
      <c r="AV398" s="19" t="str">
        <f>IF(AW398&lt;&gt;"",VLOOKUP($P398&amp;" | "&amp;AU$6,'Job Master'!$F$12:$J$102,3,0),"")</f>
        <v/>
      </c>
      <c r="AW398" s="19" t="str">
        <f>IFERROR(IF(AND(BD398&lt;&gt;"",VLOOKUP($P398&amp;" | "&amp;AU$6,'Job Master'!$F$12:$I$102,4,0)&lt;&gt;""),IF(WEEKDAY(BD398-VLOOKUP($P398&amp;" | "&amp;AU$6,'Job Master'!$F$12:$I$102,4,0))&lt;&gt;7,BD398-VLOOKUP($P398&amp;" | "&amp;AU$6,'Job Master'!$F$12:$I$102,4,0),BD398-VLOOKUP($P398&amp;" | "&amp;AU$6,'Job Master'!$F$12:$I$102,4,0)-1),""),"")</f>
        <v/>
      </c>
      <c r="AX398" s="73"/>
      <c r="AY398" s="123" t="str">
        <f t="shared" si="780"/>
        <v/>
      </c>
      <c r="AZ398" s="123" t="str">
        <f t="shared" si="781"/>
        <v/>
      </c>
      <c r="BA398" s="97" t="str">
        <f t="shared" ca="1" si="782"/>
        <v/>
      </c>
      <c r="BB398" s="98" t="str">
        <f>IF(BD398&lt;&gt;"",VLOOKUP($P398&amp;" | "&amp;BB$6,'Job Master'!$F$12:$J$102,5,0),"")</f>
        <v/>
      </c>
      <c r="BC398" s="19" t="str">
        <f>IF(BD398&lt;&gt;"",VLOOKUP($P398&amp;" | "&amp;BB$6,'Job Master'!$F$12:$J$102,3,0),"")</f>
        <v/>
      </c>
      <c r="BD398" s="19" t="str">
        <f>IFERROR(IF(AND(BK398&lt;&gt;"",VLOOKUP($P398&amp;" | "&amp;BB$6,'Job Master'!$F$12:$I$102,4,0)&lt;&gt;""),IF(WEEKDAY(BK398-VLOOKUP($P398&amp;" | "&amp;BB$6,'Job Master'!$F$12:$I$102,4,0))&lt;&gt;7,BK398-VLOOKUP($P398&amp;" | "&amp;BB$6,'Job Master'!$F$12:$I$102,4,0),BK398-VLOOKUP($P398&amp;" | "&amp;BB$6,'Job Master'!$F$12:$I$102,4,0)-1),""),"")</f>
        <v/>
      </c>
      <c r="BE398" s="73"/>
      <c r="BF398" s="123" t="str">
        <f t="shared" si="783"/>
        <v/>
      </c>
      <c r="BG398" s="123" t="str">
        <f t="shared" si="784"/>
        <v/>
      </c>
      <c r="BH398" s="97" t="str">
        <f t="shared" ca="1" si="785"/>
        <v/>
      </c>
      <c r="BI398" s="98" t="str">
        <f>IF(BK398&lt;&gt;"",VLOOKUP($P398&amp;" | "&amp;BI$6,'Job Master'!$F$12:$J$102,5,0),"")</f>
        <v/>
      </c>
      <c r="BJ398" s="19" t="str">
        <f>IF(BK398&lt;&gt;"",VLOOKUP($P398&amp;" | "&amp;BI$6,'Job Master'!$F$12:$J$102,3,0),"")</f>
        <v/>
      </c>
      <c r="BK398" s="19" t="str">
        <f>IFERROR(IF(AND(BR398&lt;&gt;"",VLOOKUP($P398&amp;" | "&amp;BI$6,'Job Master'!$F$12:$I$102,4,0)&lt;&gt;""),IF(WEEKDAY(BR398-VLOOKUP($P398&amp;" | "&amp;BI$6,'Job Master'!$F$12:$I$102,4,0))&lt;&gt;7,BR398-VLOOKUP($P398&amp;" | "&amp;BI$6,'Job Master'!$F$12:$I$102,4,0),BR398-VLOOKUP($P398&amp;" | "&amp;BI$6,'Job Master'!$F$12:$I$102,4,0)-1),""),"")</f>
        <v/>
      </c>
      <c r="BL398" s="73"/>
      <c r="BM398" s="123" t="str">
        <f t="shared" si="786"/>
        <v/>
      </c>
      <c r="BN398" s="123" t="str">
        <f t="shared" si="787"/>
        <v/>
      </c>
      <c r="BO398" s="97" t="str">
        <f t="shared" ca="1" si="788"/>
        <v/>
      </c>
      <c r="BP398" s="98" t="str">
        <f>IF(BR398&lt;&gt;"",VLOOKUP($P398&amp;" | "&amp;BP$6,'Job Master'!$F$12:$J$102,5,0),"")</f>
        <v/>
      </c>
      <c r="BQ398" s="19" t="str">
        <f>IF(BR398&lt;&gt;"",VLOOKUP($P398&amp;" | "&amp;BP$6,'Job Master'!$F$12:$J$102,3,0),"")</f>
        <v/>
      </c>
      <c r="BR398" s="19" t="str">
        <f>IFERROR(IF(AND(BY398&lt;&gt;"",VLOOKUP($P398&amp;" | "&amp;BP$6,'Job Master'!$F$12:$I$102,4,0)&lt;&gt;""),IF(WEEKDAY(BY398-VLOOKUP($P398&amp;" | "&amp;BP$6,'Job Master'!$F$12:$I$102,4,0))&lt;&gt;7,BY398-VLOOKUP($P398&amp;" | "&amp;BP$6,'Job Master'!$F$12:$I$102,4,0),BY398-VLOOKUP($P398&amp;" | "&amp;BP$6,'Job Master'!$F$12:$I$102,4,0)-1),""),"")</f>
        <v/>
      </c>
      <c r="BS398" s="73"/>
      <c r="BT398" s="123" t="str">
        <f t="shared" si="789"/>
        <v/>
      </c>
      <c r="BU398" s="123" t="str">
        <f t="shared" si="790"/>
        <v/>
      </c>
      <c r="BV398" s="97" t="str">
        <f t="shared" ca="1" si="791"/>
        <v/>
      </c>
      <c r="BW398" s="98" t="str">
        <f>IF(BY398&lt;&gt;"",VLOOKUP($P398&amp;" | "&amp;BW$6,'Job Master'!$F$12:$J$102,5,0),"")</f>
        <v/>
      </c>
      <c r="BX398" s="19" t="str">
        <f>IF(BY398&lt;&gt;"",VLOOKUP($P398&amp;" | "&amp;BW$6,'Job Master'!$F$12:$J$102,3,0),"")</f>
        <v/>
      </c>
      <c r="BY398" s="19" t="str">
        <f>IFERROR(IF(AND(CF398&lt;&gt;"",VLOOKUP($P398&amp;" | "&amp;BW$6,'Job Master'!$F$12:$I$102,4,0)&lt;&gt;""),IF(WEEKDAY(CF398-VLOOKUP($P398&amp;" | "&amp;BW$6,'Job Master'!$F$12:$I$102,4,0))&lt;&gt;7,CF398-VLOOKUP($P398&amp;" | "&amp;BW$6,'Job Master'!$F$12:$I$102,4,0),CF398-VLOOKUP($P398&amp;" | "&amp;BW$6,'Job Master'!$F$12:$I$102,4,0)-1),""),"")</f>
        <v/>
      </c>
      <c r="BZ398" s="73"/>
      <c r="CA398" s="123" t="str">
        <f t="shared" si="792"/>
        <v/>
      </c>
      <c r="CB398" s="123" t="str">
        <f t="shared" si="793"/>
        <v/>
      </c>
      <c r="CC398" s="97" t="str">
        <f t="shared" ca="1" si="794"/>
        <v/>
      </c>
      <c r="CD398" s="98" t="str">
        <f>IF(CF398&lt;&gt;"",VLOOKUP($P398&amp;" | "&amp;CD$6,'Job Master'!$F$12:$J$102,5,0),"")</f>
        <v/>
      </c>
      <c r="CE398" s="19" t="str">
        <f>IF(CF398&lt;&gt;"",VLOOKUP($P398&amp;" | "&amp;CD$6,'Job Master'!$F$12:$J$102,3,0),"")</f>
        <v/>
      </c>
      <c r="CF398" s="19" t="str">
        <f>IFERROR(IF(AND(CM398&lt;&gt;"",VLOOKUP($P398&amp;" | "&amp;CD$6,'Job Master'!$F$12:$I$102,4,0)&lt;&gt;""),IF(WEEKDAY(CM398-VLOOKUP($P398&amp;" | "&amp;CD$6,'Job Master'!$F$12:$I$102,4,0))&lt;&gt;7,CM398-VLOOKUP($P398&amp;" | "&amp;CD$6,'Job Master'!$F$12:$I$102,4,0),CM398-VLOOKUP($P398&amp;" | "&amp;CD$6,'Job Master'!$F$12:$I$102,4,0)-1),""),"")</f>
        <v/>
      </c>
      <c r="CG398" s="73"/>
      <c r="CH398" s="123" t="str">
        <f t="shared" si="795"/>
        <v/>
      </c>
      <c r="CI398" s="123" t="str">
        <f t="shared" si="796"/>
        <v/>
      </c>
      <c r="CJ398" s="97" t="str">
        <f t="shared" ca="1" si="797"/>
        <v/>
      </c>
      <c r="CK398" s="98" t="str">
        <f>IF(CM398&lt;&gt;"",VLOOKUP($P398&amp;" | "&amp;CK$6,'Job Master'!$F$12:$J$102,5,0),"")</f>
        <v/>
      </c>
      <c r="CL398" s="19" t="str">
        <f>IF(CM398&lt;&gt;"",VLOOKUP($P398&amp;" | "&amp;CK$6,'Job Master'!$F$12:$J$102,3,0),"")</f>
        <v/>
      </c>
      <c r="CM398" s="19" t="str">
        <f>IFERROR(IF(AND(CT398&lt;&gt;"",VLOOKUP($P398&amp;" | "&amp;CK$6,'Job Master'!$F$12:$I$102,4,0)&lt;&gt;""),IF(WEEKDAY(CT398-VLOOKUP($P398&amp;" | "&amp;CK$6,'Job Master'!$F$12:$I$102,4,0))&lt;&gt;7,CT398-VLOOKUP($P398&amp;" | "&amp;CK$6,'Job Master'!$F$12:$I$102,4,0),CT398-VLOOKUP($P398&amp;" | "&amp;CK$6,'Job Master'!$F$12:$I$102,4,0)-1),""),"")</f>
        <v/>
      </c>
      <c r="CN398" s="73"/>
      <c r="CO398" s="123" t="str">
        <f t="shared" si="798"/>
        <v/>
      </c>
      <c r="CP398" s="123" t="str">
        <f t="shared" si="799"/>
        <v/>
      </c>
      <c r="CQ398" s="97" t="str">
        <f t="shared" ca="1" si="800"/>
        <v/>
      </c>
      <c r="CR398" s="98" t="str">
        <f>IF(CT398&lt;&gt;"",VLOOKUP($P398&amp;" | "&amp;CR$6,'Job Master'!$F$12:$J$102,5,0),"")</f>
        <v/>
      </c>
      <c r="CS398" s="19" t="str">
        <f>IF(CT398&lt;&gt;"",VLOOKUP($P398&amp;" | "&amp;CR$6,'Job Master'!$F$12:$J$102,3,0),"")</f>
        <v/>
      </c>
      <c r="CT398" s="19" t="str">
        <f>IFERROR(IF(AND(DA398&lt;&gt;"",VLOOKUP($P398&amp;" | "&amp;CR$6,'Job Master'!$F$12:$I$102,4,0)&lt;&gt;""),IF(WEEKDAY(DA398-VLOOKUP($P398&amp;" | "&amp;CR$6,'Job Master'!$F$12:$I$102,4,0))&lt;&gt;7,DA398-VLOOKUP($P398&amp;" | "&amp;CR$6,'Job Master'!$F$12:$I$102,4,0),DA398-VLOOKUP($P398&amp;" | "&amp;CR$6,'Job Master'!$F$12:$I$102,4,0)-1),""),"")</f>
        <v/>
      </c>
      <c r="CU398" s="73"/>
      <c r="CV398" s="123" t="str">
        <f t="shared" si="801"/>
        <v/>
      </c>
      <c r="CW398" s="123" t="str">
        <f t="shared" si="802"/>
        <v/>
      </c>
      <c r="CX398" s="97" t="str">
        <f t="shared" ca="1" si="803"/>
        <v/>
      </c>
      <c r="CY398" s="98" t="str">
        <f>IF(DA398&lt;&gt;"",VLOOKUP($P398&amp;" | "&amp;CY$6,'Job Master'!$F$12:$J$102,5,0),"")</f>
        <v/>
      </c>
      <c r="CZ398" s="19" t="str">
        <f>IF(DA398&lt;&gt;"",VLOOKUP($P398&amp;" | "&amp;CY$6,'Job Master'!$F$12:$J$102,3,0),"")</f>
        <v/>
      </c>
      <c r="DA398" s="19" t="str">
        <f>IFERROR(IF(AND(DH398&lt;&gt;"",VLOOKUP($P398&amp;" | "&amp;CY$6,'Job Master'!$F$12:$I$102,4,0)&lt;&gt;""),IF(WEEKDAY(DH398-VLOOKUP($P398&amp;" | "&amp;CY$6,'Job Master'!$F$12:$I$102,4,0))&lt;&gt;7,DH398-VLOOKUP($P398&amp;" | "&amp;CY$6,'Job Master'!$F$12:$I$102,4,0),DH398-VLOOKUP($P398&amp;" | "&amp;CY$6,'Job Master'!$F$12:$I$102,4,0)-1),""),"")</f>
        <v/>
      </c>
      <c r="DB398" s="73"/>
      <c r="DC398" s="123" t="str">
        <f t="shared" si="804"/>
        <v/>
      </c>
      <c r="DD398" s="123" t="str">
        <f t="shared" si="805"/>
        <v/>
      </c>
      <c r="DE398" s="97" t="str">
        <f t="shared" ca="1" si="806"/>
        <v/>
      </c>
      <c r="DF398" s="98" t="str">
        <f>IF(DH398&lt;&gt;"",VLOOKUP($P398&amp;" | "&amp;DF$6,'Job Master'!$F$12:$J$102,5,0),"")</f>
        <v/>
      </c>
      <c r="DG398" s="19" t="str">
        <f>IF(DH398&lt;&gt;"",VLOOKUP($P398&amp;" | "&amp;DF$6,'Job Master'!$F$12:$J$102,3,0),"")</f>
        <v/>
      </c>
      <c r="DH398" s="19" t="str">
        <f>IFERROR(IF(AND(DO398&lt;&gt;"",VLOOKUP($P398&amp;" | "&amp;DF$6,'Job Master'!$F$12:$I$102,4,0)&lt;&gt;""),IF(WEEKDAY(DO398-VLOOKUP($P398&amp;" | "&amp;DF$6,'Job Master'!$F$12:$I$102,4,0))&lt;&gt;7,DO398-VLOOKUP($P398&amp;" | "&amp;DF$6,'Job Master'!$F$12:$I$102,4,0),DO398-VLOOKUP($P398&amp;" | "&amp;DF$6,'Job Master'!$F$12:$I$102,4,0)-1),""),"")</f>
        <v/>
      </c>
      <c r="DI398" s="73"/>
      <c r="DJ398" s="123" t="str">
        <f t="shared" si="807"/>
        <v/>
      </c>
      <c r="DK398" s="123" t="str">
        <f t="shared" si="808"/>
        <v/>
      </c>
      <c r="DL398" s="97" t="str">
        <f t="shared" ca="1" si="809"/>
        <v/>
      </c>
      <c r="DM398" s="98" t="str">
        <f>IF(DO398&lt;&gt;"",VLOOKUP($P398&amp;" | "&amp;DM$6,'Job Master'!$F$12:$J$102,5,0),"")</f>
        <v/>
      </c>
      <c r="DN398" s="19" t="str">
        <f>IF(DO398&lt;&gt;"",VLOOKUP($P398&amp;" | "&amp;DM$6,'Job Master'!$F$12:$J$102,3,0),"")</f>
        <v/>
      </c>
      <c r="DO398" s="19" t="str">
        <f>IFERROR(IF(AND(DT398&lt;&gt;"",VLOOKUP($P398&amp;" | "&amp;DM$6,'Job Master'!$F$12:$I$102,4,0)&lt;&gt;""),IF(WEEKDAY(DT398-VLOOKUP($P398&amp;" | "&amp;DM$6,'Job Master'!$F$12:$I$102,4,0))&lt;&gt;7,DT398-VLOOKUP($P398&amp;" | "&amp;DM$6,'Job Master'!$F$12:$I$102,4,0),DT398-VLOOKUP($P398&amp;" | "&amp;DM$6,'Job Master'!$F$12:$I$102,4,0)-1),""),"")</f>
        <v/>
      </c>
      <c r="DP398" s="73"/>
      <c r="DQ398" s="123" t="str">
        <f t="shared" si="810"/>
        <v/>
      </c>
      <c r="DR398" s="123" t="str">
        <f t="shared" si="811"/>
        <v/>
      </c>
      <c r="DS398" s="97" t="str">
        <f t="shared" ca="1" si="812"/>
        <v/>
      </c>
      <c r="DT398" s="70" t="str">
        <f t="shared" si="813"/>
        <v/>
      </c>
      <c r="DU398" s="90"/>
      <c r="DV398" s="123" t="str">
        <f t="shared" si="814"/>
        <v/>
      </c>
      <c r="DW398" s="123" t="str">
        <f t="shared" si="815"/>
        <v/>
      </c>
      <c r="DX398" s="132" t="str">
        <f t="shared" ref="DX398" ca="1" si="822">IF(DT398&lt;&gt;"",IF(WEEKNUM(DT398)=WEEKNUM(TODAY()),"This Week",IF(WEEKNUM(DT398)=WEEKNUM(TODAY())+1,"Next Week",IF(WEEKNUM(DT398)=WEEKNUM(TODAY())-1,"Previous Week",""))),"")</f>
        <v/>
      </c>
      <c r="DY398" s="134" t="str">
        <f t="shared" si="817"/>
        <v/>
      </c>
      <c r="DZ398" s="95"/>
      <c r="EB398" s="8" t="str">
        <f t="shared" ref="EB398:EB461" si="823">IF(Y398&lt;&gt;"",Y398,"")</f>
        <v/>
      </c>
      <c r="EC398" s="8" t="str">
        <f>IF(O398&lt;&gt;"",VLOOKUP(O398,'Job Master'!$N$12:$O$18,2,0),"")</f>
        <v/>
      </c>
      <c r="ED398" s="8">
        <f t="shared" ref="ED398:ED461" si="824">IF(EC398&lt;&gt;"",IF(EF398&gt;EC398,EB398,MOD(EB398,EC398)),ED397)</f>
        <v>19.5</v>
      </c>
      <c r="EE398" s="8">
        <f t="shared" ref="EE398:EE461" si="825">IF(EC398&lt;&gt;"",EC398,IF(EE397&lt;&gt;"",EE397,""))</f>
        <v>6</v>
      </c>
      <c r="EF398" s="8">
        <f t="shared" ref="EF398:EF461" si="826">IF(EC398&lt;&gt;"",EB398,IF(EF397&lt;&gt;"",EF397-EE398,""))</f>
        <v>-2308.5</v>
      </c>
      <c r="EG398" s="8" t="str">
        <f t="shared" ref="EG398:EG461" si="827">IF(EF397&lt;&gt;0,IF(EF398&gt;0,EF398,""),IF(EF398&lt;&gt;"",IF(EF398&gt;0,EF398,""),""))</f>
        <v/>
      </c>
      <c r="EH398" s="8" t="str">
        <f t="shared" ref="EH398:EH461" si="828">IF(EG398&lt;&gt;"",IF(EG398&gt;=EE398,EE398,MOD(ED398,EE398)),"")</f>
        <v/>
      </c>
    </row>
    <row r="399" spans="2:138" x14ac:dyDescent="0.3">
      <c r="B399" s="112"/>
      <c r="C399" s="27"/>
      <c r="D399" s="7" t="str">
        <f t="shared" si="765"/>
        <v/>
      </c>
      <c r="E399" s="25"/>
      <c r="F399" s="7" t="str">
        <f t="shared" si="765"/>
        <v/>
      </c>
      <c r="G399" s="25"/>
      <c r="H399" s="7" t="str">
        <f t="shared" si="765"/>
        <v/>
      </c>
      <c r="I399" s="25"/>
      <c r="J399" s="7" t="str">
        <f t="shared" si="765"/>
        <v/>
      </c>
      <c r="K399" s="25"/>
      <c r="L399" s="7" t="str">
        <f t="shared" si="766"/>
        <v/>
      </c>
      <c r="M399" s="25"/>
      <c r="N399" s="7" t="str">
        <f t="shared" si="767"/>
        <v/>
      </c>
      <c r="O399" s="81"/>
      <c r="P399" s="81" t="str">
        <f t="shared" si="768"/>
        <v/>
      </c>
      <c r="Q399" s="81"/>
      <c r="R399" s="7" t="str">
        <f t="shared" si="769"/>
        <v/>
      </c>
      <c r="S399" s="25"/>
      <c r="T399" s="7" t="str">
        <f t="shared" si="770"/>
        <v/>
      </c>
      <c r="U399" s="25"/>
      <c r="V399" s="7" t="str">
        <f t="shared" si="771"/>
        <v/>
      </c>
      <c r="W399" s="25"/>
      <c r="X399" s="7" t="str">
        <f t="shared" si="772"/>
        <v/>
      </c>
      <c r="Y399" s="18" t="str">
        <f t="shared" si="773"/>
        <v/>
      </c>
      <c r="Z399" s="7" t="str">
        <f t="shared" si="774"/>
        <v/>
      </c>
      <c r="AA399" s="18" t="str">
        <f t="shared" si="775"/>
        <v/>
      </c>
      <c r="AB399" s="19" t="str">
        <f t="shared" si="776"/>
        <v/>
      </c>
      <c r="AC399" s="26"/>
      <c r="AD399" s="26"/>
      <c r="AE399" s="25"/>
      <c r="AF399" s="26"/>
      <c r="AG399" s="25"/>
      <c r="AH399" s="25"/>
      <c r="AI399" s="18" t="str">
        <f t="shared" si="713"/>
        <v/>
      </c>
      <c r="AJ399" s="25"/>
      <c r="AK399" s="18" t="str">
        <f t="shared" si="714"/>
        <v/>
      </c>
      <c r="AL399" s="79"/>
      <c r="AM399" s="126" t="str">
        <f t="shared" si="715"/>
        <v/>
      </c>
      <c r="AN399" s="128" t="str">
        <f>IF(AP399&lt;&gt;"",VLOOKUP($P399&amp;" | "&amp;AN$6,'Job Master'!$F$12:$J$102,5,0),"")</f>
        <v/>
      </c>
      <c r="AO399" s="19" t="str">
        <f>IF(AP399&lt;&gt;"",VLOOKUP($P399&amp;" | "&amp;AN$6,'Job Master'!$F$12:$J$102,3,0),"")</f>
        <v/>
      </c>
      <c r="AP399" s="19" t="str">
        <f>IFERROR(IF(AND(AW399&lt;&gt;"",VLOOKUP($P399&amp;" | "&amp;AN$6,'Job Master'!$F$12:$I$102,4,0)&lt;&gt;""),IF(WEEKDAY(AW399-VLOOKUP($P399&amp;" | "&amp;AN$6,'Job Master'!$F$12:$I$102,4,0))&lt;&gt;7,AW399-VLOOKUP($P399&amp;" | "&amp;AN$6,'Job Master'!$F$12:$I$102,4,0),AW399-VLOOKUP($P399&amp;" | "&amp;AN$6,'Job Master'!$F$12:$I$102,4,0)-1),""),"")</f>
        <v/>
      </c>
      <c r="AQ399" s="73"/>
      <c r="AR399" s="123" t="str">
        <f t="shared" si="777"/>
        <v/>
      </c>
      <c r="AS399" s="123" t="str">
        <f t="shared" si="778"/>
        <v/>
      </c>
      <c r="AT399" s="97" t="str">
        <f t="shared" ca="1" si="779"/>
        <v/>
      </c>
      <c r="AU399" s="98" t="str">
        <f>IF(AW399&lt;&gt;"",VLOOKUP($P399&amp;" | "&amp;AU$6,'Job Master'!$F$12:$J$102,5,0),"")</f>
        <v/>
      </c>
      <c r="AV399" s="19" t="str">
        <f>IF(AW399&lt;&gt;"",VLOOKUP($P399&amp;" | "&amp;AU$6,'Job Master'!$F$12:$J$102,3,0),"")</f>
        <v/>
      </c>
      <c r="AW399" s="19" t="str">
        <f>IFERROR(IF(AND(BD399&lt;&gt;"",VLOOKUP($P399&amp;" | "&amp;AU$6,'Job Master'!$F$12:$I$102,4,0)&lt;&gt;""),IF(WEEKDAY(BD399-VLOOKUP($P399&amp;" | "&amp;AU$6,'Job Master'!$F$12:$I$102,4,0))&lt;&gt;7,BD399-VLOOKUP($P399&amp;" | "&amp;AU$6,'Job Master'!$F$12:$I$102,4,0),BD399-VLOOKUP($P399&amp;" | "&amp;AU$6,'Job Master'!$F$12:$I$102,4,0)-1),""),"")</f>
        <v/>
      </c>
      <c r="AX399" s="73"/>
      <c r="AY399" s="123" t="str">
        <f t="shared" si="780"/>
        <v/>
      </c>
      <c r="AZ399" s="123" t="str">
        <f t="shared" si="781"/>
        <v/>
      </c>
      <c r="BA399" s="97" t="str">
        <f t="shared" ca="1" si="782"/>
        <v/>
      </c>
      <c r="BB399" s="98" t="str">
        <f>IF(BD399&lt;&gt;"",VLOOKUP($P399&amp;" | "&amp;BB$6,'Job Master'!$F$12:$J$102,5,0),"")</f>
        <v/>
      </c>
      <c r="BC399" s="19" t="str">
        <f>IF(BD399&lt;&gt;"",VLOOKUP($P399&amp;" | "&amp;BB$6,'Job Master'!$F$12:$J$102,3,0),"")</f>
        <v/>
      </c>
      <c r="BD399" s="19" t="str">
        <f>IFERROR(IF(AND(BK399&lt;&gt;"",VLOOKUP($P399&amp;" | "&amp;BB$6,'Job Master'!$F$12:$I$102,4,0)&lt;&gt;""),IF(WEEKDAY(BK399-VLOOKUP($P399&amp;" | "&amp;BB$6,'Job Master'!$F$12:$I$102,4,0))&lt;&gt;7,BK399-VLOOKUP($P399&amp;" | "&amp;BB$6,'Job Master'!$F$12:$I$102,4,0),BK399-VLOOKUP($P399&amp;" | "&amp;BB$6,'Job Master'!$F$12:$I$102,4,0)-1),""),"")</f>
        <v/>
      </c>
      <c r="BE399" s="73"/>
      <c r="BF399" s="123" t="str">
        <f t="shared" si="783"/>
        <v/>
      </c>
      <c r="BG399" s="123" t="str">
        <f t="shared" si="784"/>
        <v/>
      </c>
      <c r="BH399" s="97" t="str">
        <f t="shared" ca="1" si="785"/>
        <v/>
      </c>
      <c r="BI399" s="98" t="str">
        <f>IF(BK399&lt;&gt;"",VLOOKUP($P399&amp;" | "&amp;BI$6,'Job Master'!$F$12:$J$102,5,0),"")</f>
        <v/>
      </c>
      <c r="BJ399" s="19" t="str">
        <f>IF(BK399&lt;&gt;"",VLOOKUP($P399&amp;" | "&amp;BI$6,'Job Master'!$F$12:$J$102,3,0),"")</f>
        <v/>
      </c>
      <c r="BK399" s="19" t="str">
        <f>IFERROR(IF(AND(BR399&lt;&gt;"",VLOOKUP($P399&amp;" | "&amp;BI$6,'Job Master'!$F$12:$I$102,4,0)&lt;&gt;""),IF(WEEKDAY(BR399-VLOOKUP($P399&amp;" | "&amp;BI$6,'Job Master'!$F$12:$I$102,4,0))&lt;&gt;7,BR399-VLOOKUP($P399&amp;" | "&amp;BI$6,'Job Master'!$F$12:$I$102,4,0),BR399-VLOOKUP($P399&amp;" | "&amp;BI$6,'Job Master'!$F$12:$I$102,4,0)-1),""),"")</f>
        <v/>
      </c>
      <c r="BL399" s="73"/>
      <c r="BM399" s="123" t="str">
        <f t="shared" si="786"/>
        <v/>
      </c>
      <c r="BN399" s="123" t="str">
        <f t="shared" si="787"/>
        <v/>
      </c>
      <c r="BO399" s="97" t="str">
        <f t="shared" ca="1" si="788"/>
        <v/>
      </c>
      <c r="BP399" s="98" t="str">
        <f>IF(BR399&lt;&gt;"",VLOOKUP($P399&amp;" | "&amp;BP$6,'Job Master'!$F$12:$J$102,5,0),"")</f>
        <v/>
      </c>
      <c r="BQ399" s="19" t="str">
        <f>IF(BR399&lt;&gt;"",VLOOKUP($P399&amp;" | "&amp;BP$6,'Job Master'!$F$12:$J$102,3,0),"")</f>
        <v/>
      </c>
      <c r="BR399" s="19" t="str">
        <f>IFERROR(IF(AND(BY399&lt;&gt;"",VLOOKUP($P399&amp;" | "&amp;BP$6,'Job Master'!$F$12:$I$102,4,0)&lt;&gt;""),IF(WEEKDAY(BY399-VLOOKUP($P399&amp;" | "&amp;BP$6,'Job Master'!$F$12:$I$102,4,0))&lt;&gt;7,BY399-VLOOKUP($P399&amp;" | "&amp;BP$6,'Job Master'!$F$12:$I$102,4,0),BY399-VLOOKUP($P399&amp;" | "&amp;BP$6,'Job Master'!$F$12:$I$102,4,0)-1),""),"")</f>
        <v/>
      </c>
      <c r="BS399" s="73"/>
      <c r="BT399" s="123" t="str">
        <f t="shared" si="789"/>
        <v/>
      </c>
      <c r="BU399" s="123" t="str">
        <f t="shared" si="790"/>
        <v/>
      </c>
      <c r="BV399" s="97" t="str">
        <f t="shared" ca="1" si="791"/>
        <v/>
      </c>
      <c r="BW399" s="98" t="str">
        <f>IF(BY399&lt;&gt;"",VLOOKUP($P399&amp;" | "&amp;BW$6,'Job Master'!$F$12:$J$102,5,0),"")</f>
        <v/>
      </c>
      <c r="BX399" s="19" t="str">
        <f>IF(BY399&lt;&gt;"",VLOOKUP($P399&amp;" | "&amp;BW$6,'Job Master'!$F$12:$J$102,3,0),"")</f>
        <v/>
      </c>
      <c r="BY399" s="19" t="str">
        <f>IFERROR(IF(AND(CF399&lt;&gt;"",VLOOKUP($P399&amp;" | "&amp;BW$6,'Job Master'!$F$12:$I$102,4,0)&lt;&gt;""),IF(WEEKDAY(CF399-VLOOKUP($P399&amp;" | "&amp;BW$6,'Job Master'!$F$12:$I$102,4,0))&lt;&gt;7,CF399-VLOOKUP($P399&amp;" | "&amp;BW$6,'Job Master'!$F$12:$I$102,4,0),CF399-VLOOKUP($P399&amp;" | "&amp;BW$6,'Job Master'!$F$12:$I$102,4,0)-1),""),"")</f>
        <v/>
      </c>
      <c r="BZ399" s="73"/>
      <c r="CA399" s="123" t="str">
        <f t="shared" si="792"/>
        <v/>
      </c>
      <c r="CB399" s="123" t="str">
        <f t="shared" si="793"/>
        <v/>
      </c>
      <c r="CC399" s="97" t="str">
        <f t="shared" ca="1" si="794"/>
        <v/>
      </c>
      <c r="CD399" s="98" t="str">
        <f>IF(CF399&lt;&gt;"",VLOOKUP($P399&amp;" | "&amp;CD$6,'Job Master'!$F$12:$J$102,5,0),"")</f>
        <v/>
      </c>
      <c r="CE399" s="19" t="str">
        <f>IF(CF399&lt;&gt;"",VLOOKUP($P399&amp;" | "&amp;CD$6,'Job Master'!$F$12:$J$102,3,0),"")</f>
        <v/>
      </c>
      <c r="CF399" s="19" t="str">
        <f>IFERROR(IF(AND(CM399&lt;&gt;"",VLOOKUP($P399&amp;" | "&amp;CD$6,'Job Master'!$F$12:$I$102,4,0)&lt;&gt;""),IF(WEEKDAY(CM399-VLOOKUP($P399&amp;" | "&amp;CD$6,'Job Master'!$F$12:$I$102,4,0))&lt;&gt;7,CM399-VLOOKUP($P399&amp;" | "&amp;CD$6,'Job Master'!$F$12:$I$102,4,0),CM399-VLOOKUP($P399&amp;" | "&amp;CD$6,'Job Master'!$F$12:$I$102,4,0)-1),""),"")</f>
        <v/>
      </c>
      <c r="CG399" s="73"/>
      <c r="CH399" s="123" t="str">
        <f t="shared" si="795"/>
        <v/>
      </c>
      <c r="CI399" s="123" t="str">
        <f t="shared" si="796"/>
        <v/>
      </c>
      <c r="CJ399" s="97" t="str">
        <f t="shared" ca="1" si="797"/>
        <v/>
      </c>
      <c r="CK399" s="98" t="str">
        <f>IF(CM399&lt;&gt;"",VLOOKUP($P399&amp;" | "&amp;CK$6,'Job Master'!$F$12:$J$102,5,0),"")</f>
        <v/>
      </c>
      <c r="CL399" s="19" t="str">
        <f>IF(CM399&lt;&gt;"",VLOOKUP($P399&amp;" | "&amp;CK$6,'Job Master'!$F$12:$J$102,3,0),"")</f>
        <v/>
      </c>
      <c r="CM399" s="19" t="str">
        <f>IFERROR(IF(AND(CT399&lt;&gt;"",VLOOKUP($P399&amp;" | "&amp;CK$6,'Job Master'!$F$12:$I$102,4,0)&lt;&gt;""),IF(WEEKDAY(CT399-VLOOKUP($P399&amp;" | "&amp;CK$6,'Job Master'!$F$12:$I$102,4,0))&lt;&gt;7,CT399-VLOOKUP($P399&amp;" | "&amp;CK$6,'Job Master'!$F$12:$I$102,4,0),CT399-VLOOKUP($P399&amp;" | "&amp;CK$6,'Job Master'!$F$12:$I$102,4,0)-1),""),"")</f>
        <v/>
      </c>
      <c r="CN399" s="73"/>
      <c r="CO399" s="123" t="str">
        <f t="shared" si="798"/>
        <v/>
      </c>
      <c r="CP399" s="123" t="str">
        <f t="shared" si="799"/>
        <v/>
      </c>
      <c r="CQ399" s="97" t="str">
        <f t="shared" ca="1" si="800"/>
        <v/>
      </c>
      <c r="CR399" s="98" t="str">
        <f>IF(CT399&lt;&gt;"",VLOOKUP($P399&amp;" | "&amp;CR$6,'Job Master'!$F$12:$J$102,5,0),"")</f>
        <v/>
      </c>
      <c r="CS399" s="19" t="str">
        <f>IF(CT399&lt;&gt;"",VLOOKUP($P399&amp;" | "&amp;CR$6,'Job Master'!$F$12:$J$102,3,0),"")</f>
        <v/>
      </c>
      <c r="CT399" s="19" t="str">
        <f>IFERROR(IF(AND(DA399&lt;&gt;"",VLOOKUP($P399&amp;" | "&amp;CR$6,'Job Master'!$F$12:$I$102,4,0)&lt;&gt;""),IF(WEEKDAY(DA399-VLOOKUP($P399&amp;" | "&amp;CR$6,'Job Master'!$F$12:$I$102,4,0))&lt;&gt;7,DA399-VLOOKUP($P399&amp;" | "&amp;CR$6,'Job Master'!$F$12:$I$102,4,0),DA399-VLOOKUP($P399&amp;" | "&amp;CR$6,'Job Master'!$F$12:$I$102,4,0)-1),""),"")</f>
        <v/>
      </c>
      <c r="CU399" s="73"/>
      <c r="CV399" s="123" t="str">
        <f t="shared" si="801"/>
        <v/>
      </c>
      <c r="CW399" s="123" t="str">
        <f t="shared" si="802"/>
        <v/>
      </c>
      <c r="CX399" s="97" t="str">
        <f t="shared" ca="1" si="803"/>
        <v/>
      </c>
      <c r="CY399" s="98" t="str">
        <f>IF(DA399&lt;&gt;"",VLOOKUP($P399&amp;" | "&amp;CY$6,'Job Master'!$F$12:$J$102,5,0),"")</f>
        <v/>
      </c>
      <c r="CZ399" s="19" t="str">
        <f>IF(DA399&lt;&gt;"",VLOOKUP($P399&amp;" | "&amp;CY$6,'Job Master'!$F$12:$J$102,3,0),"")</f>
        <v/>
      </c>
      <c r="DA399" s="19" t="str">
        <f>IFERROR(IF(AND(DH399&lt;&gt;"",VLOOKUP($P399&amp;" | "&amp;CY$6,'Job Master'!$F$12:$I$102,4,0)&lt;&gt;""),IF(WEEKDAY(DH399-VLOOKUP($P399&amp;" | "&amp;CY$6,'Job Master'!$F$12:$I$102,4,0))&lt;&gt;7,DH399-VLOOKUP($P399&amp;" | "&amp;CY$6,'Job Master'!$F$12:$I$102,4,0),DH399-VLOOKUP($P399&amp;" | "&amp;CY$6,'Job Master'!$F$12:$I$102,4,0)-1),""),"")</f>
        <v/>
      </c>
      <c r="DB399" s="73"/>
      <c r="DC399" s="123" t="str">
        <f t="shared" si="804"/>
        <v/>
      </c>
      <c r="DD399" s="123" t="str">
        <f t="shared" si="805"/>
        <v/>
      </c>
      <c r="DE399" s="97" t="str">
        <f t="shared" ca="1" si="806"/>
        <v/>
      </c>
      <c r="DF399" s="98" t="str">
        <f>IF(DH399&lt;&gt;"",VLOOKUP($P399&amp;" | "&amp;DF$6,'Job Master'!$F$12:$J$102,5,0),"")</f>
        <v/>
      </c>
      <c r="DG399" s="19" t="str">
        <f>IF(DH399&lt;&gt;"",VLOOKUP($P399&amp;" | "&amp;DF$6,'Job Master'!$F$12:$J$102,3,0),"")</f>
        <v/>
      </c>
      <c r="DH399" s="19" t="str">
        <f>IFERROR(IF(AND(DO399&lt;&gt;"",VLOOKUP($P399&amp;" | "&amp;DF$6,'Job Master'!$F$12:$I$102,4,0)&lt;&gt;""),IF(WEEKDAY(DO399-VLOOKUP($P399&amp;" | "&amp;DF$6,'Job Master'!$F$12:$I$102,4,0))&lt;&gt;7,DO399-VLOOKUP($P399&amp;" | "&amp;DF$6,'Job Master'!$F$12:$I$102,4,0),DO399-VLOOKUP($P399&amp;" | "&amp;DF$6,'Job Master'!$F$12:$I$102,4,0)-1),""),"")</f>
        <v/>
      </c>
      <c r="DI399" s="73"/>
      <c r="DJ399" s="123" t="str">
        <f t="shared" si="807"/>
        <v/>
      </c>
      <c r="DK399" s="123" t="str">
        <f t="shared" si="808"/>
        <v/>
      </c>
      <c r="DL399" s="97" t="str">
        <f t="shared" ca="1" si="809"/>
        <v/>
      </c>
      <c r="DM399" s="98" t="str">
        <f>IF(DO399&lt;&gt;"",VLOOKUP($P399&amp;" | "&amp;DM$6,'Job Master'!$F$12:$J$102,5,0),"")</f>
        <v/>
      </c>
      <c r="DN399" s="19" t="str">
        <f>IF(DO399&lt;&gt;"",VLOOKUP($P399&amp;" | "&amp;DM$6,'Job Master'!$F$12:$J$102,3,0),"")</f>
        <v/>
      </c>
      <c r="DO399" s="19" t="str">
        <f>IFERROR(IF(AND(DT399&lt;&gt;"",VLOOKUP($P399&amp;" | "&amp;DM$6,'Job Master'!$F$12:$I$102,4,0)&lt;&gt;""),IF(WEEKDAY(DT399-VLOOKUP($P399&amp;" | "&amp;DM$6,'Job Master'!$F$12:$I$102,4,0))&lt;&gt;7,DT399-VLOOKUP($P399&amp;" | "&amp;DM$6,'Job Master'!$F$12:$I$102,4,0),DT399-VLOOKUP($P399&amp;" | "&amp;DM$6,'Job Master'!$F$12:$I$102,4,0)-1),""),"")</f>
        <v/>
      </c>
      <c r="DP399" s="73"/>
      <c r="DQ399" s="123" t="str">
        <f t="shared" si="810"/>
        <v/>
      </c>
      <c r="DR399" s="123" t="str">
        <f t="shared" si="811"/>
        <v/>
      </c>
      <c r="DS399" s="97" t="str">
        <f t="shared" ca="1" si="812"/>
        <v/>
      </c>
      <c r="DT399" s="70" t="str">
        <f t="shared" si="813"/>
        <v/>
      </c>
      <c r="DU399" s="90"/>
      <c r="DV399" s="123" t="str">
        <f t="shared" si="814"/>
        <v/>
      </c>
      <c r="DW399" s="123" t="str">
        <f t="shared" si="815"/>
        <v/>
      </c>
      <c r="DX399" s="132" t="str">
        <f t="shared" ref="DX399" ca="1" si="829">IF(DT399&lt;&gt;"",IF(WEEKNUM(DT399)=WEEKNUM(TODAY()),"This Week",IF(WEEKNUM(DT399)=WEEKNUM(TODAY())+1,"Next Week",IF(WEEKNUM(DT399)=WEEKNUM(TODAY())-1,"Previous Week",""))),"")</f>
        <v/>
      </c>
      <c r="DY399" s="134" t="str">
        <f t="shared" si="817"/>
        <v/>
      </c>
      <c r="DZ399" s="95"/>
      <c r="EB399" s="8" t="str">
        <f t="shared" si="823"/>
        <v/>
      </c>
      <c r="EC399" s="8" t="str">
        <f>IF(O399&lt;&gt;"",VLOOKUP(O399,'Job Master'!$N$12:$O$18,2,0),"")</f>
        <v/>
      </c>
      <c r="ED399" s="8">
        <f t="shared" si="824"/>
        <v>19.5</v>
      </c>
      <c r="EE399" s="8">
        <f t="shared" si="825"/>
        <v>6</v>
      </c>
      <c r="EF399" s="8">
        <f t="shared" si="826"/>
        <v>-2314.5</v>
      </c>
      <c r="EG399" s="8" t="str">
        <f t="shared" si="827"/>
        <v/>
      </c>
      <c r="EH399" s="8" t="str">
        <f t="shared" si="828"/>
        <v/>
      </c>
    </row>
    <row r="400" spans="2:138" x14ac:dyDescent="0.3">
      <c r="B400" s="112"/>
      <c r="C400" s="27"/>
      <c r="D400" s="7" t="str">
        <f t="shared" si="765"/>
        <v/>
      </c>
      <c r="E400" s="25"/>
      <c r="F400" s="7" t="str">
        <f t="shared" si="765"/>
        <v/>
      </c>
      <c r="G400" s="25"/>
      <c r="H400" s="7" t="str">
        <f t="shared" si="765"/>
        <v/>
      </c>
      <c r="I400" s="25"/>
      <c r="J400" s="7" t="str">
        <f t="shared" si="765"/>
        <v/>
      </c>
      <c r="K400" s="25"/>
      <c r="L400" s="7" t="str">
        <f t="shared" si="766"/>
        <v/>
      </c>
      <c r="M400" s="25"/>
      <c r="N400" s="7" t="str">
        <f t="shared" si="767"/>
        <v/>
      </c>
      <c r="O400" s="81"/>
      <c r="P400" s="81" t="str">
        <f t="shared" si="768"/>
        <v/>
      </c>
      <c r="Q400" s="81"/>
      <c r="R400" s="7" t="str">
        <f t="shared" si="769"/>
        <v/>
      </c>
      <c r="S400" s="25"/>
      <c r="T400" s="7" t="str">
        <f t="shared" si="770"/>
        <v/>
      </c>
      <c r="U400" s="25"/>
      <c r="V400" s="7" t="str">
        <f t="shared" si="771"/>
        <v/>
      </c>
      <c r="W400" s="25"/>
      <c r="X400" s="7" t="str">
        <f t="shared" si="772"/>
        <v/>
      </c>
      <c r="Y400" s="18" t="str">
        <f t="shared" si="773"/>
        <v/>
      </c>
      <c r="Z400" s="7" t="str">
        <f t="shared" si="774"/>
        <v/>
      </c>
      <c r="AA400" s="18" t="str">
        <f t="shared" si="775"/>
        <v/>
      </c>
      <c r="AB400" s="19" t="str">
        <f t="shared" si="776"/>
        <v/>
      </c>
      <c r="AC400" s="26"/>
      <c r="AD400" s="26"/>
      <c r="AE400" s="25"/>
      <c r="AF400" s="26"/>
      <c r="AG400" s="25"/>
      <c r="AH400" s="25"/>
      <c r="AI400" s="18" t="str">
        <f t="shared" si="713"/>
        <v/>
      </c>
      <c r="AJ400" s="25"/>
      <c r="AK400" s="18" t="str">
        <f t="shared" si="714"/>
        <v/>
      </c>
      <c r="AL400" s="79"/>
      <c r="AM400" s="126" t="str">
        <f t="shared" si="715"/>
        <v/>
      </c>
      <c r="AN400" s="128" t="str">
        <f>IF(AP400&lt;&gt;"",VLOOKUP($P400&amp;" | "&amp;AN$6,'Job Master'!$F$12:$J$102,5,0),"")</f>
        <v/>
      </c>
      <c r="AO400" s="19" t="str">
        <f>IF(AP400&lt;&gt;"",VLOOKUP($P400&amp;" | "&amp;AN$6,'Job Master'!$F$12:$J$102,3,0),"")</f>
        <v/>
      </c>
      <c r="AP400" s="19" t="str">
        <f>IFERROR(IF(AND(AW400&lt;&gt;"",VLOOKUP($P400&amp;" | "&amp;AN$6,'Job Master'!$F$12:$I$102,4,0)&lt;&gt;""),IF(WEEKDAY(AW400-VLOOKUP($P400&amp;" | "&amp;AN$6,'Job Master'!$F$12:$I$102,4,0))&lt;&gt;7,AW400-VLOOKUP($P400&amp;" | "&amp;AN$6,'Job Master'!$F$12:$I$102,4,0),AW400-VLOOKUP($P400&amp;" | "&amp;AN$6,'Job Master'!$F$12:$I$102,4,0)-1),""),"")</f>
        <v/>
      </c>
      <c r="AQ400" s="73"/>
      <c r="AR400" s="123" t="str">
        <f t="shared" si="777"/>
        <v/>
      </c>
      <c r="AS400" s="123" t="str">
        <f t="shared" si="778"/>
        <v/>
      </c>
      <c r="AT400" s="97" t="str">
        <f t="shared" ca="1" si="779"/>
        <v/>
      </c>
      <c r="AU400" s="98" t="str">
        <f>IF(AW400&lt;&gt;"",VLOOKUP($P400&amp;" | "&amp;AU$6,'Job Master'!$F$12:$J$102,5,0),"")</f>
        <v/>
      </c>
      <c r="AV400" s="19" t="str">
        <f>IF(AW400&lt;&gt;"",VLOOKUP($P400&amp;" | "&amp;AU$6,'Job Master'!$F$12:$J$102,3,0),"")</f>
        <v/>
      </c>
      <c r="AW400" s="19" t="str">
        <f>IFERROR(IF(AND(BD400&lt;&gt;"",VLOOKUP($P400&amp;" | "&amp;AU$6,'Job Master'!$F$12:$I$102,4,0)&lt;&gt;""),IF(WEEKDAY(BD400-VLOOKUP($P400&amp;" | "&amp;AU$6,'Job Master'!$F$12:$I$102,4,0))&lt;&gt;7,BD400-VLOOKUP($P400&amp;" | "&amp;AU$6,'Job Master'!$F$12:$I$102,4,0),BD400-VLOOKUP($P400&amp;" | "&amp;AU$6,'Job Master'!$F$12:$I$102,4,0)-1),""),"")</f>
        <v/>
      </c>
      <c r="AX400" s="73"/>
      <c r="AY400" s="123" t="str">
        <f t="shared" si="780"/>
        <v/>
      </c>
      <c r="AZ400" s="123" t="str">
        <f t="shared" si="781"/>
        <v/>
      </c>
      <c r="BA400" s="97" t="str">
        <f t="shared" ca="1" si="782"/>
        <v/>
      </c>
      <c r="BB400" s="98" t="str">
        <f>IF(BD400&lt;&gt;"",VLOOKUP($P400&amp;" | "&amp;BB$6,'Job Master'!$F$12:$J$102,5,0),"")</f>
        <v/>
      </c>
      <c r="BC400" s="19" t="str">
        <f>IF(BD400&lt;&gt;"",VLOOKUP($P400&amp;" | "&amp;BB$6,'Job Master'!$F$12:$J$102,3,0),"")</f>
        <v/>
      </c>
      <c r="BD400" s="19" t="str">
        <f>IFERROR(IF(AND(BK400&lt;&gt;"",VLOOKUP($P400&amp;" | "&amp;BB$6,'Job Master'!$F$12:$I$102,4,0)&lt;&gt;""),IF(WEEKDAY(BK400-VLOOKUP($P400&amp;" | "&amp;BB$6,'Job Master'!$F$12:$I$102,4,0))&lt;&gt;7,BK400-VLOOKUP($P400&amp;" | "&amp;BB$6,'Job Master'!$F$12:$I$102,4,0),BK400-VLOOKUP($P400&amp;" | "&amp;BB$6,'Job Master'!$F$12:$I$102,4,0)-1),""),"")</f>
        <v/>
      </c>
      <c r="BE400" s="73"/>
      <c r="BF400" s="123" t="str">
        <f t="shared" si="783"/>
        <v/>
      </c>
      <c r="BG400" s="123" t="str">
        <f t="shared" si="784"/>
        <v/>
      </c>
      <c r="BH400" s="97" t="str">
        <f t="shared" ca="1" si="785"/>
        <v/>
      </c>
      <c r="BI400" s="98" t="str">
        <f>IF(BK400&lt;&gt;"",VLOOKUP($P400&amp;" | "&amp;BI$6,'Job Master'!$F$12:$J$102,5,0),"")</f>
        <v/>
      </c>
      <c r="BJ400" s="19" t="str">
        <f>IF(BK400&lt;&gt;"",VLOOKUP($P400&amp;" | "&amp;BI$6,'Job Master'!$F$12:$J$102,3,0),"")</f>
        <v/>
      </c>
      <c r="BK400" s="19" t="str">
        <f>IFERROR(IF(AND(BR400&lt;&gt;"",VLOOKUP($P400&amp;" | "&amp;BI$6,'Job Master'!$F$12:$I$102,4,0)&lt;&gt;""),IF(WEEKDAY(BR400-VLOOKUP($P400&amp;" | "&amp;BI$6,'Job Master'!$F$12:$I$102,4,0))&lt;&gt;7,BR400-VLOOKUP($P400&amp;" | "&amp;BI$6,'Job Master'!$F$12:$I$102,4,0),BR400-VLOOKUP($P400&amp;" | "&amp;BI$6,'Job Master'!$F$12:$I$102,4,0)-1),""),"")</f>
        <v/>
      </c>
      <c r="BL400" s="73"/>
      <c r="BM400" s="123" t="str">
        <f t="shared" si="786"/>
        <v/>
      </c>
      <c r="BN400" s="123" t="str">
        <f t="shared" si="787"/>
        <v/>
      </c>
      <c r="BO400" s="97" t="str">
        <f t="shared" ca="1" si="788"/>
        <v/>
      </c>
      <c r="BP400" s="98" t="str">
        <f>IF(BR400&lt;&gt;"",VLOOKUP($P400&amp;" | "&amp;BP$6,'Job Master'!$F$12:$J$102,5,0),"")</f>
        <v/>
      </c>
      <c r="BQ400" s="19" t="str">
        <f>IF(BR400&lt;&gt;"",VLOOKUP($P400&amp;" | "&amp;BP$6,'Job Master'!$F$12:$J$102,3,0),"")</f>
        <v/>
      </c>
      <c r="BR400" s="19" t="str">
        <f>IFERROR(IF(AND(BY400&lt;&gt;"",VLOOKUP($P400&amp;" | "&amp;BP$6,'Job Master'!$F$12:$I$102,4,0)&lt;&gt;""),IF(WEEKDAY(BY400-VLOOKUP($P400&amp;" | "&amp;BP$6,'Job Master'!$F$12:$I$102,4,0))&lt;&gt;7,BY400-VLOOKUP($P400&amp;" | "&amp;BP$6,'Job Master'!$F$12:$I$102,4,0),BY400-VLOOKUP($P400&amp;" | "&amp;BP$6,'Job Master'!$F$12:$I$102,4,0)-1),""),"")</f>
        <v/>
      </c>
      <c r="BS400" s="73"/>
      <c r="BT400" s="123" t="str">
        <f t="shared" si="789"/>
        <v/>
      </c>
      <c r="BU400" s="123" t="str">
        <f t="shared" si="790"/>
        <v/>
      </c>
      <c r="BV400" s="97" t="str">
        <f t="shared" ca="1" si="791"/>
        <v/>
      </c>
      <c r="BW400" s="98" t="str">
        <f>IF(BY400&lt;&gt;"",VLOOKUP($P400&amp;" | "&amp;BW$6,'Job Master'!$F$12:$J$102,5,0),"")</f>
        <v/>
      </c>
      <c r="BX400" s="19" t="str">
        <f>IF(BY400&lt;&gt;"",VLOOKUP($P400&amp;" | "&amp;BW$6,'Job Master'!$F$12:$J$102,3,0),"")</f>
        <v/>
      </c>
      <c r="BY400" s="19" t="str">
        <f>IFERROR(IF(AND(CF400&lt;&gt;"",VLOOKUP($P400&amp;" | "&amp;BW$6,'Job Master'!$F$12:$I$102,4,0)&lt;&gt;""),IF(WEEKDAY(CF400-VLOOKUP($P400&amp;" | "&amp;BW$6,'Job Master'!$F$12:$I$102,4,0))&lt;&gt;7,CF400-VLOOKUP($P400&amp;" | "&amp;BW$6,'Job Master'!$F$12:$I$102,4,0),CF400-VLOOKUP($P400&amp;" | "&amp;BW$6,'Job Master'!$F$12:$I$102,4,0)-1),""),"")</f>
        <v/>
      </c>
      <c r="BZ400" s="73"/>
      <c r="CA400" s="123" t="str">
        <f t="shared" si="792"/>
        <v/>
      </c>
      <c r="CB400" s="123" t="str">
        <f t="shared" si="793"/>
        <v/>
      </c>
      <c r="CC400" s="97" t="str">
        <f t="shared" ca="1" si="794"/>
        <v/>
      </c>
      <c r="CD400" s="98" t="str">
        <f>IF(CF400&lt;&gt;"",VLOOKUP($P400&amp;" | "&amp;CD$6,'Job Master'!$F$12:$J$102,5,0),"")</f>
        <v/>
      </c>
      <c r="CE400" s="19" t="str">
        <f>IF(CF400&lt;&gt;"",VLOOKUP($P400&amp;" | "&amp;CD$6,'Job Master'!$F$12:$J$102,3,0),"")</f>
        <v/>
      </c>
      <c r="CF400" s="19" t="str">
        <f>IFERROR(IF(AND(CM400&lt;&gt;"",VLOOKUP($P400&amp;" | "&amp;CD$6,'Job Master'!$F$12:$I$102,4,0)&lt;&gt;""),IF(WEEKDAY(CM400-VLOOKUP($P400&amp;" | "&amp;CD$6,'Job Master'!$F$12:$I$102,4,0))&lt;&gt;7,CM400-VLOOKUP($P400&amp;" | "&amp;CD$6,'Job Master'!$F$12:$I$102,4,0),CM400-VLOOKUP($P400&amp;" | "&amp;CD$6,'Job Master'!$F$12:$I$102,4,0)-1),""),"")</f>
        <v/>
      </c>
      <c r="CG400" s="73"/>
      <c r="CH400" s="123" t="str">
        <f t="shared" si="795"/>
        <v/>
      </c>
      <c r="CI400" s="123" t="str">
        <f t="shared" si="796"/>
        <v/>
      </c>
      <c r="CJ400" s="97" t="str">
        <f t="shared" ca="1" si="797"/>
        <v/>
      </c>
      <c r="CK400" s="98" t="str">
        <f>IF(CM400&lt;&gt;"",VLOOKUP($P400&amp;" | "&amp;CK$6,'Job Master'!$F$12:$J$102,5,0),"")</f>
        <v/>
      </c>
      <c r="CL400" s="19" t="str">
        <f>IF(CM400&lt;&gt;"",VLOOKUP($P400&amp;" | "&amp;CK$6,'Job Master'!$F$12:$J$102,3,0),"")</f>
        <v/>
      </c>
      <c r="CM400" s="19" t="str">
        <f>IFERROR(IF(AND(CT400&lt;&gt;"",VLOOKUP($P400&amp;" | "&amp;CK$6,'Job Master'!$F$12:$I$102,4,0)&lt;&gt;""),IF(WEEKDAY(CT400-VLOOKUP($P400&amp;" | "&amp;CK$6,'Job Master'!$F$12:$I$102,4,0))&lt;&gt;7,CT400-VLOOKUP($P400&amp;" | "&amp;CK$6,'Job Master'!$F$12:$I$102,4,0),CT400-VLOOKUP($P400&amp;" | "&amp;CK$6,'Job Master'!$F$12:$I$102,4,0)-1),""),"")</f>
        <v/>
      </c>
      <c r="CN400" s="73"/>
      <c r="CO400" s="123" t="str">
        <f t="shared" si="798"/>
        <v/>
      </c>
      <c r="CP400" s="123" t="str">
        <f t="shared" si="799"/>
        <v/>
      </c>
      <c r="CQ400" s="97" t="str">
        <f t="shared" ca="1" si="800"/>
        <v/>
      </c>
      <c r="CR400" s="98" t="str">
        <f>IF(CT400&lt;&gt;"",VLOOKUP($P400&amp;" | "&amp;CR$6,'Job Master'!$F$12:$J$102,5,0),"")</f>
        <v/>
      </c>
      <c r="CS400" s="19" t="str">
        <f>IF(CT400&lt;&gt;"",VLOOKUP($P400&amp;" | "&amp;CR$6,'Job Master'!$F$12:$J$102,3,0),"")</f>
        <v/>
      </c>
      <c r="CT400" s="19" t="str">
        <f>IFERROR(IF(AND(DA400&lt;&gt;"",VLOOKUP($P400&amp;" | "&amp;CR$6,'Job Master'!$F$12:$I$102,4,0)&lt;&gt;""),IF(WEEKDAY(DA400-VLOOKUP($P400&amp;" | "&amp;CR$6,'Job Master'!$F$12:$I$102,4,0))&lt;&gt;7,DA400-VLOOKUP($P400&amp;" | "&amp;CR$6,'Job Master'!$F$12:$I$102,4,0),DA400-VLOOKUP($P400&amp;" | "&amp;CR$6,'Job Master'!$F$12:$I$102,4,0)-1),""),"")</f>
        <v/>
      </c>
      <c r="CU400" s="73"/>
      <c r="CV400" s="123" t="str">
        <f t="shared" si="801"/>
        <v/>
      </c>
      <c r="CW400" s="123" t="str">
        <f t="shared" si="802"/>
        <v/>
      </c>
      <c r="CX400" s="97" t="str">
        <f t="shared" ca="1" si="803"/>
        <v/>
      </c>
      <c r="CY400" s="98" t="str">
        <f>IF(DA400&lt;&gt;"",VLOOKUP($P400&amp;" | "&amp;CY$6,'Job Master'!$F$12:$J$102,5,0),"")</f>
        <v/>
      </c>
      <c r="CZ400" s="19" t="str">
        <f>IF(DA400&lt;&gt;"",VLOOKUP($P400&amp;" | "&amp;CY$6,'Job Master'!$F$12:$J$102,3,0),"")</f>
        <v/>
      </c>
      <c r="DA400" s="19" t="str">
        <f>IFERROR(IF(AND(DH400&lt;&gt;"",VLOOKUP($P400&amp;" | "&amp;CY$6,'Job Master'!$F$12:$I$102,4,0)&lt;&gt;""),IF(WEEKDAY(DH400-VLOOKUP($P400&amp;" | "&amp;CY$6,'Job Master'!$F$12:$I$102,4,0))&lt;&gt;7,DH400-VLOOKUP($P400&amp;" | "&amp;CY$6,'Job Master'!$F$12:$I$102,4,0),DH400-VLOOKUP($P400&amp;" | "&amp;CY$6,'Job Master'!$F$12:$I$102,4,0)-1),""),"")</f>
        <v/>
      </c>
      <c r="DB400" s="73"/>
      <c r="DC400" s="123" t="str">
        <f t="shared" si="804"/>
        <v/>
      </c>
      <c r="DD400" s="123" t="str">
        <f t="shared" si="805"/>
        <v/>
      </c>
      <c r="DE400" s="97" t="str">
        <f t="shared" ca="1" si="806"/>
        <v/>
      </c>
      <c r="DF400" s="98" t="str">
        <f>IF(DH400&lt;&gt;"",VLOOKUP($P400&amp;" | "&amp;DF$6,'Job Master'!$F$12:$J$102,5,0),"")</f>
        <v/>
      </c>
      <c r="DG400" s="19" t="str">
        <f>IF(DH400&lt;&gt;"",VLOOKUP($P400&amp;" | "&amp;DF$6,'Job Master'!$F$12:$J$102,3,0),"")</f>
        <v/>
      </c>
      <c r="DH400" s="19" t="str">
        <f>IFERROR(IF(AND(DO400&lt;&gt;"",VLOOKUP($P400&amp;" | "&amp;DF$6,'Job Master'!$F$12:$I$102,4,0)&lt;&gt;""),IF(WEEKDAY(DO400-VLOOKUP($P400&amp;" | "&amp;DF$6,'Job Master'!$F$12:$I$102,4,0))&lt;&gt;7,DO400-VLOOKUP($P400&amp;" | "&amp;DF$6,'Job Master'!$F$12:$I$102,4,0),DO400-VLOOKUP($P400&amp;" | "&amp;DF$6,'Job Master'!$F$12:$I$102,4,0)-1),""),"")</f>
        <v/>
      </c>
      <c r="DI400" s="73"/>
      <c r="DJ400" s="123" t="str">
        <f t="shared" si="807"/>
        <v/>
      </c>
      <c r="DK400" s="123" t="str">
        <f t="shared" si="808"/>
        <v/>
      </c>
      <c r="DL400" s="97" t="str">
        <f t="shared" ca="1" si="809"/>
        <v/>
      </c>
      <c r="DM400" s="98" t="str">
        <f>IF(DO400&lt;&gt;"",VLOOKUP($P400&amp;" | "&amp;DM$6,'Job Master'!$F$12:$J$102,5,0),"")</f>
        <v/>
      </c>
      <c r="DN400" s="19" t="str">
        <f>IF(DO400&lt;&gt;"",VLOOKUP($P400&amp;" | "&amp;DM$6,'Job Master'!$F$12:$J$102,3,0),"")</f>
        <v/>
      </c>
      <c r="DO400" s="19" t="str">
        <f>IFERROR(IF(AND(DT400&lt;&gt;"",VLOOKUP($P400&amp;" | "&amp;DM$6,'Job Master'!$F$12:$I$102,4,0)&lt;&gt;""),IF(WEEKDAY(DT400-VLOOKUP($P400&amp;" | "&amp;DM$6,'Job Master'!$F$12:$I$102,4,0))&lt;&gt;7,DT400-VLOOKUP($P400&amp;" | "&amp;DM$6,'Job Master'!$F$12:$I$102,4,0),DT400-VLOOKUP($P400&amp;" | "&amp;DM$6,'Job Master'!$F$12:$I$102,4,0)-1),""),"")</f>
        <v/>
      </c>
      <c r="DP400" s="73"/>
      <c r="DQ400" s="123" t="str">
        <f t="shared" si="810"/>
        <v/>
      </c>
      <c r="DR400" s="123" t="str">
        <f t="shared" si="811"/>
        <v/>
      </c>
      <c r="DS400" s="97" t="str">
        <f t="shared" ca="1" si="812"/>
        <v/>
      </c>
      <c r="DT400" s="70" t="str">
        <f t="shared" si="813"/>
        <v/>
      </c>
      <c r="DU400" s="90"/>
      <c r="DV400" s="123" t="str">
        <f t="shared" si="814"/>
        <v/>
      </c>
      <c r="DW400" s="123" t="str">
        <f t="shared" si="815"/>
        <v/>
      </c>
      <c r="DX400" s="132" t="str">
        <f t="shared" ref="DX400" ca="1" si="830">IF(DT400&lt;&gt;"",IF(WEEKNUM(DT400)=WEEKNUM(TODAY()),"This Week",IF(WEEKNUM(DT400)=WEEKNUM(TODAY())+1,"Next Week",IF(WEEKNUM(DT400)=WEEKNUM(TODAY())-1,"Previous Week",""))),"")</f>
        <v/>
      </c>
      <c r="DY400" s="134" t="str">
        <f t="shared" si="817"/>
        <v/>
      </c>
      <c r="DZ400" s="95"/>
      <c r="EB400" s="8" t="str">
        <f t="shared" si="823"/>
        <v/>
      </c>
      <c r="EC400" s="8" t="str">
        <f>IF(O400&lt;&gt;"",VLOOKUP(O400,'Job Master'!$N$12:$O$18,2,0),"")</f>
        <v/>
      </c>
      <c r="ED400" s="8">
        <f t="shared" si="824"/>
        <v>19.5</v>
      </c>
      <c r="EE400" s="8">
        <f t="shared" si="825"/>
        <v>6</v>
      </c>
      <c r="EF400" s="8">
        <f t="shared" si="826"/>
        <v>-2320.5</v>
      </c>
      <c r="EG400" s="8" t="str">
        <f t="shared" si="827"/>
        <v/>
      </c>
      <c r="EH400" s="8" t="str">
        <f t="shared" si="828"/>
        <v/>
      </c>
    </row>
    <row r="401" spans="2:138" x14ac:dyDescent="0.3">
      <c r="B401" s="112"/>
      <c r="C401" s="27"/>
      <c r="D401" s="7" t="str">
        <f t="shared" si="765"/>
        <v/>
      </c>
      <c r="E401" s="25"/>
      <c r="F401" s="7" t="str">
        <f t="shared" si="765"/>
        <v/>
      </c>
      <c r="G401" s="25"/>
      <c r="H401" s="7" t="str">
        <f t="shared" si="765"/>
        <v/>
      </c>
      <c r="I401" s="25"/>
      <c r="J401" s="7" t="str">
        <f t="shared" si="765"/>
        <v/>
      </c>
      <c r="K401" s="25"/>
      <c r="L401" s="7" t="str">
        <f t="shared" si="766"/>
        <v/>
      </c>
      <c r="M401" s="25"/>
      <c r="N401" s="7" t="str">
        <f t="shared" si="767"/>
        <v/>
      </c>
      <c r="O401" s="81"/>
      <c r="P401" s="81" t="str">
        <f t="shared" si="768"/>
        <v/>
      </c>
      <c r="Q401" s="81"/>
      <c r="R401" s="7" t="str">
        <f t="shared" si="769"/>
        <v/>
      </c>
      <c r="S401" s="25"/>
      <c r="T401" s="7" t="str">
        <f t="shared" si="770"/>
        <v/>
      </c>
      <c r="U401" s="25"/>
      <c r="V401" s="7" t="str">
        <f t="shared" si="771"/>
        <v/>
      </c>
      <c r="W401" s="25"/>
      <c r="X401" s="7" t="str">
        <f t="shared" si="772"/>
        <v/>
      </c>
      <c r="Y401" s="18" t="str">
        <f t="shared" si="773"/>
        <v/>
      </c>
      <c r="Z401" s="7" t="str">
        <f t="shared" si="774"/>
        <v/>
      </c>
      <c r="AA401" s="18" t="str">
        <f t="shared" si="775"/>
        <v/>
      </c>
      <c r="AB401" s="19" t="str">
        <f t="shared" si="776"/>
        <v/>
      </c>
      <c r="AC401" s="26"/>
      <c r="AD401" s="26"/>
      <c r="AE401" s="25"/>
      <c r="AF401" s="26"/>
      <c r="AG401" s="25"/>
      <c r="AH401" s="25"/>
      <c r="AI401" s="18" t="str">
        <f t="shared" si="713"/>
        <v/>
      </c>
      <c r="AJ401" s="25"/>
      <c r="AK401" s="18" t="str">
        <f t="shared" si="714"/>
        <v/>
      </c>
      <c r="AL401" s="79"/>
      <c r="AM401" s="126" t="str">
        <f t="shared" si="715"/>
        <v/>
      </c>
      <c r="AN401" s="128" t="str">
        <f>IF(AP401&lt;&gt;"",VLOOKUP($P401&amp;" | "&amp;AN$6,'Job Master'!$F$12:$J$102,5,0),"")</f>
        <v/>
      </c>
      <c r="AO401" s="19" t="str">
        <f>IF(AP401&lt;&gt;"",VLOOKUP($P401&amp;" | "&amp;AN$6,'Job Master'!$F$12:$J$102,3,0),"")</f>
        <v/>
      </c>
      <c r="AP401" s="19" t="str">
        <f>IFERROR(IF(AND(AW401&lt;&gt;"",VLOOKUP($P401&amp;" | "&amp;AN$6,'Job Master'!$F$12:$I$102,4,0)&lt;&gt;""),IF(WEEKDAY(AW401-VLOOKUP($P401&amp;" | "&amp;AN$6,'Job Master'!$F$12:$I$102,4,0))&lt;&gt;7,AW401-VLOOKUP($P401&amp;" | "&amp;AN$6,'Job Master'!$F$12:$I$102,4,0),AW401-VLOOKUP($P401&amp;" | "&amp;AN$6,'Job Master'!$F$12:$I$102,4,0)-1),""),"")</f>
        <v/>
      </c>
      <c r="AQ401" s="73"/>
      <c r="AR401" s="123" t="str">
        <f t="shared" si="777"/>
        <v/>
      </c>
      <c r="AS401" s="123" t="str">
        <f t="shared" si="778"/>
        <v/>
      </c>
      <c r="AT401" s="97" t="str">
        <f t="shared" ca="1" si="779"/>
        <v/>
      </c>
      <c r="AU401" s="98" t="str">
        <f>IF(AW401&lt;&gt;"",VLOOKUP($P401&amp;" | "&amp;AU$6,'Job Master'!$F$12:$J$102,5,0),"")</f>
        <v/>
      </c>
      <c r="AV401" s="19" t="str">
        <f>IF(AW401&lt;&gt;"",VLOOKUP($P401&amp;" | "&amp;AU$6,'Job Master'!$F$12:$J$102,3,0),"")</f>
        <v/>
      </c>
      <c r="AW401" s="19" t="str">
        <f>IFERROR(IF(AND(BD401&lt;&gt;"",VLOOKUP($P401&amp;" | "&amp;AU$6,'Job Master'!$F$12:$I$102,4,0)&lt;&gt;""),IF(WEEKDAY(BD401-VLOOKUP($P401&amp;" | "&amp;AU$6,'Job Master'!$F$12:$I$102,4,0))&lt;&gt;7,BD401-VLOOKUP($P401&amp;" | "&amp;AU$6,'Job Master'!$F$12:$I$102,4,0),BD401-VLOOKUP($P401&amp;" | "&amp;AU$6,'Job Master'!$F$12:$I$102,4,0)-1),""),"")</f>
        <v/>
      </c>
      <c r="AX401" s="73"/>
      <c r="AY401" s="123" t="str">
        <f t="shared" si="780"/>
        <v/>
      </c>
      <c r="AZ401" s="123" t="str">
        <f t="shared" si="781"/>
        <v/>
      </c>
      <c r="BA401" s="97" t="str">
        <f t="shared" ca="1" si="782"/>
        <v/>
      </c>
      <c r="BB401" s="98" t="str">
        <f>IF(BD401&lt;&gt;"",VLOOKUP($P401&amp;" | "&amp;BB$6,'Job Master'!$F$12:$J$102,5,0),"")</f>
        <v/>
      </c>
      <c r="BC401" s="19" t="str">
        <f>IF(BD401&lt;&gt;"",VLOOKUP($P401&amp;" | "&amp;BB$6,'Job Master'!$F$12:$J$102,3,0),"")</f>
        <v/>
      </c>
      <c r="BD401" s="19" t="str">
        <f>IFERROR(IF(AND(BK401&lt;&gt;"",VLOOKUP($P401&amp;" | "&amp;BB$6,'Job Master'!$F$12:$I$102,4,0)&lt;&gt;""),IF(WEEKDAY(BK401-VLOOKUP($P401&amp;" | "&amp;BB$6,'Job Master'!$F$12:$I$102,4,0))&lt;&gt;7,BK401-VLOOKUP($P401&amp;" | "&amp;BB$6,'Job Master'!$F$12:$I$102,4,0),BK401-VLOOKUP($P401&amp;" | "&amp;BB$6,'Job Master'!$F$12:$I$102,4,0)-1),""),"")</f>
        <v/>
      </c>
      <c r="BE401" s="73"/>
      <c r="BF401" s="123" t="str">
        <f t="shared" si="783"/>
        <v/>
      </c>
      <c r="BG401" s="123" t="str">
        <f t="shared" si="784"/>
        <v/>
      </c>
      <c r="BH401" s="97" t="str">
        <f t="shared" ca="1" si="785"/>
        <v/>
      </c>
      <c r="BI401" s="98" t="str">
        <f>IF(BK401&lt;&gt;"",VLOOKUP($P401&amp;" | "&amp;BI$6,'Job Master'!$F$12:$J$102,5,0),"")</f>
        <v/>
      </c>
      <c r="BJ401" s="19" t="str">
        <f>IF(BK401&lt;&gt;"",VLOOKUP($P401&amp;" | "&amp;BI$6,'Job Master'!$F$12:$J$102,3,0),"")</f>
        <v/>
      </c>
      <c r="BK401" s="19" t="str">
        <f>IFERROR(IF(AND(BR401&lt;&gt;"",VLOOKUP($P401&amp;" | "&amp;BI$6,'Job Master'!$F$12:$I$102,4,0)&lt;&gt;""),IF(WEEKDAY(BR401-VLOOKUP($P401&amp;" | "&amp;BI$6,'Job Master'!$F$12:$I$102,4,0))&lt;&gt;7,BR401-VLOOKUP($P401&amp;" | "&amp;BI$6,'Job Master'!$F$12:$I$102,4,0),BR401-VLOOKUP($P401&amp;" | "&amp;BI$6,'Job Master'!$F$12:$I$102,4,0)-1),""),"")</f>
        <v/>
      </c>
      <c r="BL401" s="73"/>
      <c r="BM401" s="123" t="str">
        <f t="shared" si="786"/>
        <v/>
      </c>
      <c r="BN401" s="123" t="str">
        <f t="shared" si="787"/>
        <v/>
      </c>
      <c r="BO401" s="97" t="str">
        <f t="shared" ca="1" si="788"/>
        <v/>
      </c>
      <c r="BP401" s="98" t="str">
        <f>IF(BR401&lt;&gt;"",VLOOKUP($P401&amp;" | "&amp;BP$6,'Job Master'!$F$12:$J$102,5,0),"")</f>
        <v/>
      </c>
      <c r="BQ401" s="19" t="str">
        <f>IF(BR401&lt;&gt;"",VLOOKUP($P401&amp;" | "&amp;BP$6,'Job Master'!$F$12:$J$102,3,0),"")</f>
        <v/>
      </c>
      <c r="BR401" s="19" t="str">
        <f>IFERROR(IF(AND(BY401&lt;&gt;"",VLOOKUP($P401&amp;" | "&amp;BP$6,'Job Master'!$F$12:$I$102,4,0)&lt;&gt;""),IF(WEEKDAY(BY401-VLOOKUP($P401&amp;" | "&amp;BP$6,'Job Master'!$F$12:$I$102,4,0))&lt;&gt;7,BY401-VLOOKUP($P401&amp;" | "&amp;BP$6,'Job Master'!$F$12:$I$102,4,0),BY401-VLOOKUP($P401&amp;" | "&amp;BP$6,'Job Master'!$F$12:$I$102,4,0)-1),""),"")</f>
        <v/>
      </c>
      <c r="BS401" s="73"/>
      <c r="BT401" s="123" t="str">
        <f t="shared" si="789"/>
        <v/>
      </c>
      <c r="BU401" s="123" t="str">
        <f t="shared" si="790"/>
        <v/>
      </c>
      <c r="BV401" s="97" t="str">
        <f t="shared" ca="1" si="791"/>
        <v/>
      </c>
      <c r="BW401" s="98" t="str">
        <f>IF(BY401&lt;&gt;"",VLOOKUP($P401&amp;" | "&amp;BW$6,'Job Master'!$F$12:$J$102,5,0),"")</f>
        <v/>
      </c>
      <c r="BX401" s="19" t="str">
        <f>IF(BY401&lt;&gt;"",VLOOKUP($P401&amp;" | "&amp;BW$6,'Job Master'!$F$12:$J$102,3,0),"")</f>
        <v/>
      </c>
      <c r="BY401" s="19" t="str">
        <f>IFERROR(IF(AND(CF401&lt;&gt;"",VLOOKUP($P401&amp;" | "&amp;BW$6,'Job Master'!$F$12:$I$102,4,0)&lt;&gt;""),IF(WEEKDAY(CF401-VLOOKUP($P401&amp;" | "&amp;BW$6,'Job Master'!$F$12:$I$102,4,0))&lt;&gt;7,CF401-VLOOKUP($P401&amp;" | "&amp;BW$6,'Job Master'!$F$12:$I$102,4,0),CF401-VLOOKUP($P401&amp;" | "&amp;BW$6,'Job Master'!$F$12:$I$102,4,0)-1),""),"")</f>
        <v/>
      </c>
      <c r="BZ401" s="73"/>
      <c r="CA401" s="123" t="str">
        <f t="shared" si="792"/>
        <v/>
      </c>
      <c r="CB401" s="123" t="str">
        <f t="shared" si="793"/>
        <v/>
      </c>
      <c r="CC401" s="97" t="str">
        <f t="shared" ca="1" si="794"/>
        <v/>
      </c>
      <c r="CD401" s="98" t="str">
        <f>IF(CF401&lt;&gt;"",VLOOKUP($P401&amp;" | "&amp;CD$6,'Job Master'!$F$12:$J$102,5,0),"")</f>
        <v/>
      </c>
      <c r="CE401" s="19" t="str">
        <f>IF(CF401&lt;&gt;"",VLOOKUP($P401&amp;" | "&amp;CD$6,'Job Master'!$F$12:$J$102,3,0),"")</f>
        <v/>
      </c>
      <c r="CF401" s="19" t="str">
        <f>IFERROR(IF(AND(CM401&lt;&gt;"",VLOOKUP($P401&amp;" | "&amp;CD$6,'Job Master'!$F$12:$I$102,4,0)&lt;&gt;""),IF(WEEKDAY(CM401-VLOOKUP($P401&amp;" | "&amp;CD$6,'Job Master'!$F$12:$I$102,4,0))&lt;&gt;7,CM401-VLOOKUP($P401&amp;" | "&amp;CD$6,'Job Master'!$F$12:$I$102,4,0),CM401-VLOOKUP($P401&amp;" | "&amp;CD$6,'Job Master'!$F$12:$I$102,4,0)-1),""),"")</f>
        <v/>
      </c>
      <c r="CG401" s="73"/>
      <c r="CH401" s="123" t="str">
        <f t="shared" si="795"/>
        <v/>
      </c>
      <c r="CI401" s="123" t="str">
        <f t="shared" si="796"/>
        <v/>
      </c>
      <c r="CJ401" s="97" t="str">
        <f t="shared" ca="1" si="797"/>
        <v/>
      </c>
      <c r="CK401" s="98" t="str">
        <f>IF(CM401&lt;&gt;"",VLOOKUP($P401&amp;" | "&amp;CK$6,'Job Master'!$F$12:$J$102,5,0),"")</f>
        <v/>
      </c>
      <c r="CL401" s="19" t="str">
        <f>IF(CM401&lt;&gt;"",VLOOKUP($P401&amp;" | "&amp;CK$6,'Job Master'!$F$12:$J$102,3,0),"")</f>
        <v/>
      </c>
      <c r="CM401" s="19" t="str">
        <f>IFERROR(IF(AND(CT401&lt;&gt;"",VLOOKUP($P401&amp;" | "&amp;CK$6,'Job Master'!$F$12:$I$102,4,0)&lt;&gt;""),IF(WEEKDAY(CT401-VLOOKUP($P401&amp;" | "&amp;CK$6,'Job Master'!$F$12:$I$102,4,0))&lt;&gt;7,CT401-VLOOKUP($P401&amp;" | "&amp;CK$6,'Job Master'!$F$12:$I$102,4,0),CT401-VLOOKUP($P401&amp;" | "&amp;CK$6,'Job Master'!$F$12:$I$102,4,0)-1),""),"")</f>
        <v/>
      </c>
      <c r="CN401" s="73"/>
      <c r="CO401" s="123" t="str">
        <f t="shared" si="798"/>
        <v/>
      </c>
      <c r="CP401" s="123" t="str">
        <f t="shared" si="799"/>
        <v/>
      </c>
      <c r="CQ401" s="97" t="str">
        <f t="shared" ca="1" si="800"/>
        <v/>
      </c>
      <c r="CR401" s="98" t="str">
        <f>IF(CT401&lt;&gt;"",VLOOKUP($P401&amp;" | "&amp;CR$6,'Job Master'!$F$12:$J$102,5,0),"")</f>
        <v/>
      </c>
      <c r="CS401" s="19" t="str">
        <f>IF(CT401&lt;&gt;"",VLOOKUP($P401&amp;" | "&amp;CR$6,'Job Master'!$F$12:$J$102,3,0),"")</f>
        <v/>
      </c>
      <c r="CT401" s="19" t="str">
        <f>IFERROR(IF(AND(DA401&lt;&gt;"",VLOOKUP($P401&amp;" | "&amp;CR$6,'Job Master'!$F$12:$I$102,4,0)&lt;&gt;""),IF(WEEKDAY(DA401-VLOOKUP($P401&amp;" | "&amp;CR$6,'Job Master'!$F$12:$I$102,4,0))&lt;&gt;7,DA401-VLOOKUP($P401&amp;" | "&amp;CR$6,'Job Master'!$F$12:$I$102,4,0),DA401-VLOOKUP($P401&amp;" | "&amp;CR$6,'Job Master'!$F$12:$I$102,4,0)-1),""),"")</f>
        <v/>
      </c>
      <c r="CU401" s="73"/>
      <c r="CV401" s="123" t="str">
        <f t="shared" si="801"/>
        <v/>
      </c>
      <c r="CW401" s="123" t="str">
        <f t="shared" si="802"/>
        <v/>
      </c>
      <c r="CX401" s="97" t="str">
        <f t="shared" ca="1" si="803"/>
        <v/>
      </c>
      <c r="CY401" s="98" t="str">
        <f>IF(DA401&lt;&gt;"",VLOOKUP($P401&amp;" | "&amp;CY$6,'Job Master'!$F$12:$J$102,5,0),"")</f>
        <v/>
      </c>
      <c r="CZ401" s="19" t="str">
        <f>IF(DA401&lt;&gt;"",VLOOKUP($P401&amp;" | "&amp;CY$6,'Job Master'!$F$12:$J$102,3,0),"")</f>
        <v/>
      </c>
      <c r="DA401" s="19" t="str">
        <f>IFERROR(IF(AND(DH401&lt;&gt;"",VLOOKUP($P401&amp;" | "&amp;CY$6,'Job Master'!$F$12:$I$102,4,0)&lt;&gt;""),IF(WEEKDAY(DH401-VLOOKUP($P401&amp;" | "&amp;CY$6,'Job Master'!$F$12:$I$102,4,0))&lt;&gt;7,DH401-VLOOKUP($P401&amp;" | "&amp;CY$6,'Job Master'!$F$12:$I$102,4,0),DH401-VLOOKUP($P401&amp;" | "&amp;CY$6,'Job Master'!$F$12:$I$102,4,0)-1),""),"")</f>
        <v/>
      </c>
      <c r="DB401" s="73"/>
      <c r="DC401" s="123" t="str">
        <f t="shared" si="804"/>
        <v/>
      </c>
      <c r="DD401" s="123" t="str">
        <f t="shared" si="805"/>
        <v/>
      </c>
      <c r="DE401" s="97" t="str">
        <f t="shared" ca="1" si="806"/>
        <v/>
      </c>
      <c r="DF401" s="98" t="str">
        <f>IF(DH401&lt;&gt;"",VLOOKUP($P401&amp;" | "&amp;DF$6,'Job Master'!$F$12:$J$102,5,0),"")</f>
        <v/>
      </c>
      <c r="DG401" s="19" t="str">
        <f>IF(DH401&lt;&gt;"",VLOOKUP($P401&amp;" | "&amp;DF$6,'Job Master'!$F$12:$J$102,3,0),"")</f>
        <v/>
      </c>
      <c r="DH401" s="19" t="str">
        <f>IFERROR(IF(AND(DO401&lt;&gt;"",VLOOKUP($P401&amp;" | "&amp;DF$6,'Job Master'!$F$12:$I$102,4,0)&lt;&gt;""),IF(WEEKDAY(DO401-VLOOKUP($P401&amp;" | "&amp;DF$6,'Job Master'!$F$12:$I$102,4,0))&lt;&gt;7,DO401-VLOOKUP($P401&amp;" | "&amp;DF$6,'Job Master'!$F$12:$I$102,4,0),DO401-VLOOKUP($P401&amp;" | "&amp;DF$6,'Job Master'!$F$12:$I$102,4,0)-1),""),"")</f>
        <v/>
      </c>
      <c r="DI401" s="73"/>
      <c r="DJ401" s="123" t="str">
        <f t="shared" si="807"/>
        <v/>
      </c>
      <c r="DK401" s="123" t="str">
        <f t="shared" si="808"/>
        <v/>
      </c>
      <c r="DL401" s="97" t="str">
        <f t="shared" ca="1" si="809"/>
        <v/>
      </c>
      <c r="DM401" s="98" t="str">
        <f>IF(DO401&lt;&gt;"",VLOOKUP($P401&amp;" | "&amp;DM$6,'Job Master'!$F$12:$J$102,5,0),"")</f>
        <v/>
      </c>
      <c r="DN401" s="19" t="str">
        <f>IF(DO401&lt;&gt;"",VLOOKUP($P401&amp;" | "&amp;DM$6,'Job Master'!$F$12:$J$102,3,0),"")</f>
        <v/>
      </c>
      <c r="DO401" s="19" t="str">
        <f>IFERROR(IF(AND(DT401&lt;&gt;"",VLOOKUP($P401&amp;" | "&amp;DM$6,'Job Master'!$F$12:$I$102,4,0)&lt;&gt;""),IF(WEEKDAY(DT401-VLOOKUP($P401&amp;" | "&amp;DM$6,'Job Master'!$F$12:$I$102,4,0))&lt;&gt;7,DT401-VLOOKUP($P401&amp;" | "&amp;DM$6,'Job Master'!$F$12:$I$102,4,0),DT401-VLOOKUP($P401&amp;" | "&amp;DM$6,'Job Master'!$F$12:$I$102,4,0)-1),""),"")</f>
        <v/>
      </c>
      <c r="DP401" s="73"/>
      <c r="DQ401" s="123" t="str">
        <f t="shared" si="810"/>
        <v/>
      </c>
      <c r="DR401" s="123" t="str">
        <f t="shared" si="811"/>
        <v/>
      </c>
      <c r="DS401" s="97" t="str">
        <f t="shared" ca="1" si="812"/>
        <v/>
      </c>
      <c r="DT401" s="70" t="str">
        <f t="shared" si="813"/>
        <v/>
      </c>
      <c r="DU401" s="90"/>
      <c r="DV401" s="123" t="str">
        <f t="shared" si="814"/>
        <v/>
      </c>
      <c r="DW401" s="123" t="str">
        <f t="shared" si="815"/>
        <v/>
      </c>
      <c r="DX401" s="132" t="str">
        <f t="shared" ref="DX401" ca="1" si="831">IF(DT401&lt;&gt;"",IF(WEEKNUM(DT401)=WEEKNUM(TODAY()),"This Week",IF(WEEKNUM(DT401)=WEEKNUM(TODAY())+1,"Next Week",IF(WEEKNUM(DT401)=WEEKNUM(TODAY())-1,"Previous Week",""))),"")</f>
        <v/>
      </c>
      <c r="DY401" s="134" t="str">
        <f t="shared" si="817"/>
        <v/>
      </c>
      <c r="DZ401" s="95"/>
      <c r="EB401" s="8" t="str">
        <f t="shared" si="823"/>
        <v/>
      </c>
      <c r="EC401" s="8" t="str">
        <f>IF(O401&lt;&gt;"",VLOOKUP(O401,'Job Master'!$N$12:$O$18,2,0),"")</f>
        <v/>
      </c>
      <c r="ED401" s="8">
        <f t="shared" si="824"/>
        <v>19.5</v>
      </c>
      <c r="EE401" s="8">
        <f t="shared" si="825"/>
        <v>6</v>
      </c>
      <c r="EF401" s="8">
        <f t="shared" si="826"/>
        <v>-2326.5</v>
      </c>
      <c r="EG401" s="8" t="str">
        <f t="shared" si="827"/>
        <v/>
      </c>
      <c r="EH401" s="8" t="str">
        <f t="shared" si="828"/>
        <v/>
      </c>
    </row>
    <row r="402" spans="2:138" x14ac:dyDescent="0.3">
      <c r="B402" s="112"/>
      <c r="C402" s="27"/>
      <c r="D402" s="7" t="str">
        <f t="shared" si="765"/>
        <v/>
      </c>
      <c r="E402" s="25"/>
      <c r="F402" s="7" t="str">
        <f t="shared" si="765"/>
        <v/>
      </c>
      <c r="G402" s="25"/>
      <c r="H402" s="7" t="str">
        <f t="shared" si="765"/>
        <v/>
      </c>
      <c r="I402" s="25"/>
      <c r="J402" s="7" t="str">
        <f t="shared" si="765"/>
        <v/>
      </c>
      <c r="K402" s="25"/>
      <c r="L402" s="7" t="str">
        <f t="shared" si="766"/>
        <v/>
      </c>
      <c r="M402" s="25"/>
      <c r="N402" s="7" t="str">
        <f t="shared" si="767"/>
        <v/>
      </c>
      <c r="O402" s="81"/>
      <c r="P402" s="81" t="str">
        <f t="shared" si="768"/>
        <v/>
      </c>
      <c r="Q402" s="81"/>
      <c r="R402" s="7" t="str">
        <f t="shared" si="769"/>
        <v/>
      </c>
      <c r="S402" s="25"/>
      <c r="T402" s="7" t="str">
        <f t="shared" si="770"/>
        <v/>
      </c>
      <c r="U402" s="25"/>
      <c r="V402" s="7" t="str">
        <f t="shared" si="771"/>
        <v/>
      </c>
      <c r="W402" s="25"/>
      <c r="X402" s="7" t="str">
        <f t="shared" si="772"/>
        <v/>
      </c>
      <c r="Y402" s="18" t="str">
        <f t="shared" si="773"/>
        <v/>
      </c>
      <c r="Z402" s="7" t="str">
        <f t="shared" si="774"/>
        <v/>
      </c>
      <c r="AA402" s="18" t="str">
        <f t="shared" si="775"/>
        <v/>
      </c>
      <c r="AB402" s="19" t="str">
        <f t="shared" si="776"/>
        <v/>
      </c>
      <c r="AC402" s="26"/>
      <c r="AD402" s="26"/>
      <c r="AE402" s="25"/>
      <c r="AF402" s="26"/>
      <c r="AG402" s="25"/>
      <c r="AH402" s="25"/>
      <c r="AI402" s="18" t="str">
        <f t="shared" si="713"/>
        <v/>
      </c>
      <c r="AJ402" s="25"/>
      <c r="AK402" s="18" t="str">
        <f t="shared" si="714"/>
        <v/>
      </c>
      <c r="AL402" s="79"/>
      <c r="AM402" s="126" t="str">
        <f t="shared" si="715"/>
        <v/>
      </c>
      <c r="AN402" s="128" t="str">
        <f>IF(AP402&lt;&gt;"",VLOOKUP($P402&amp;" | "&amp;AN$6,'Job Master'!$F$12:$J$102,5,0),"")</f>
        <v/>
      </c>
      <c r="AO402" s="19" t="str">
        <f>IF(AP402&lt;&gt;"",VLOOKUP($P402&amp;" | "&amp;AN$6,'Job Master'!$F$12:$J$102,3,0),"")</f>
        <v/>
      </c>
      <c r="AP402" s="19" t="str">
        <f>IFERROR(IF(AND(AW402&lt;&gt;"",VLOOKUP($P402&amp;" | "&amp;AN$6,'Job Master'!$F$12:$I$102,4,0)&lt;&gt;""),IF(WEEKDAY(AW402-VLOOKUP($P402&amp;" | "&amp;AN$6,'Job Master'!$F$12:$I$102,4,0))&lt;&gt;7,AW402-VLOOKUP($P402&amp;" | "&amp;AN$6,'Job Master'!$F$12:$I$102,4,0),AW402-VLOOKUP($P402&amp;" | "&amp;AN$6,'Job Master'!$F$12:$I$102,4,0)-1),""),"")</f>
        <v/>
      </c>
      <c r="AQ402" s="73"/>
      <c r="AR402" s="123" t="str">
        <f t="shared" si="777"/>
        <v/>
      </c>
      <c r="AS402" s="123" t="str">
        <f t="shared" si="778"/>
        <v/>
      </c>
      <c r="AT402" s="97" t="str">
        <f t="shared" ca="1" si="779"/>
        <v/>
      </c>
      <c r="AU402" s="98" t="str">
        <f>IF(AW402&lt;&gt;"",VLOOKUP($P402&amp;" | "&amp;AU$6,'Job Master'!$F$12:$J$102,5,0),"")</f>
        <v/>
      </c>
      <c r="AV402" s="19" t="str">
        <f>IF(AW402&lt;&gt;"",VLOOKUP($P402&amp;" | "&amp;AU$6,'Job Master'!$F$12:$J$102,3,0),"")</f>
        <v/>
      </c>
      <c r="AW402" s="19" t="str">
        <f>IFERROR(IF(AND(BD402&lt;&gt;"",VLOOKUP($P402&amp;" | "&amp;AU$6,'Job Master'!$F$12:$I$102,4,0)&lt;&gt;""),IF(WEEKDAY(BD402-VLOOKUP($P402&amp;" | "&amp;AU$6,'Job Master'!$F$12:$I$102,4,0))&lt;&gt;7,BD402-VLOOKUP($P402&amp;" | "&amp;AU$6,'Job Master'!$F$12:$I$102,4,0),BD402-VLOOKUP($P402&amp;" | "&amp;AU$6,'Job Master'!$F$12:$I$102,4,0)-1),""),"")</f>
        <v/>
      </c>
      <c r="AX402" s="73"/>
      <c r="AY402" s="123" t="str">
        <f t="shared" si="780"/>
        <v/>
      </c>
      <c r="AZ402" s="123" t="str">
        <f t="shared" si="781"/>
        <v/>
      </c>
      <c r="BA402" s="97" t="str">
        <f t="shared" ca="1" si="782"/>
        <v/>
      </c>
      <c r="BB402" s="98" t="str">
        <f>IF(BD402&lt;&gt;"",VLOOKUP($P402&amp;" | "&amp;BB$6,'Job Master'!$F$12:$J$102,5,0),"")</f>
        <v/>
      </c>
      <c r="BC402" s="19" t="str">
        <f>IF(BD402&lt;&gt;"",VLOOKUP($P402&amp;" | "&amp;BB$6,'Job Master'!$F$12:$J$102,3,0),"")</f>
        <v/>
      </c>
      <c r="BD402" s="19" t="str">
        <f>IFERROR(IF(AND(BK402&lt;&gt;"",VLOOKUP($P402&amp;" | "&amp;BB$6,'Job Master'!$F$12:$I$102,4,0)&lt;&gt;""),IF(WEEKDAY(BK402-VLOOKUP($P402&amp;" | "&amp;BB$6,'Job Master'!$F$12:$I$102,4,0))&lt;&gt;7,BK402-VLOOKUP($P402&amp;" | "&amp;BB$6,'Job Master'!$F$12:$I$102,4,0),BK402-VLOOKUP($P402&amp;" | "&amp;BB$6,'Job Master'!$F$12:$I$102,4,0)-1),""),"")</f>
        <v/>
      </c>
      <c r="BE402" s="73"/>
      <c r="BF402" s="123" t="str">
        <f t="shared" si="783"/>
        <v/>
      </c>
      <c r="BG402" s="123" t="str">
        <f t="shared" si="784"/>
        <v/>
      </c>
      <c r="BH402" s="97" t="str">
        <f t="shared" ca="1" si="785"/>
        <v/>
      </c>
      <c r="BI402" s="98" t="str">
        <f>IF(BK402&lt;&gt;"",VLOOKUP($P402&amp;" | "&amp;BI$6,'Job Master'!$F$12:$J$102,5,0),"")</f>
        <v/>
      </c>
      <c r="BJ402" s="19" t="str">
        <f>IF(BK402&lt;&gt;"",VLOOKUP($P402&amp;" | "&amp;BI$6,'Job Master'!$F$12:$J$102,3,0),"")</f>
        <v/>
      </c>
      <c r="BK402" s="19" t="str">
        <f>IFERROR(IF(AND(BR402&lt;&gt;"",VLOOKUP($P402&amp;" | "&amp;BI$6,'Job Master'!$F$12:$I$102,4,0)&lt;&gt;""),IF(WEEKDAY(BR402-VLOOKUP($P402&amp;" | "&amp;BI$6,'Job Master'!$F$12:$I$102,4,0))&lt;&gt;7,BR402-VLOOKUP($P402&amp;" | "&amp;BI$6,'Job Master'!$F$12:$I$102,4,0),BR402-VLOOKUP($P402&amp;" | "&amp;BI$6,'Job Master'!$F$12:$I$102,4,0)-1),""),"")</f>
        <v/>
      </c>
      <c r="BL402" s="73"/>
      <c r="BM402" s="123" t="str">
        <f t="shared" si="786"/>
        <v/>
      </c>
      <c r="BN402" s="123" t="str">
        <f t="shared" si="787"/>
        <v/>
      </c>
      <c r="BO402" s="97" t="str">
        <f t="shared" ca="1" si="788"/>
        <v/>
      </c>
      <c r="BP402" s="98" t="str">
        <f>IF(BR402&lt;&gt;"",VLOOKUP($P402&amp;" | "&amp;BP$6,'Job Master'!$F$12:$J$102,5,0),"")</f>
        <v/>
      </c>
      <c r="BQ402" s="19" t="str">
        <f>IF(BR402&lt;&gt;"",VLOOKUP($P402&amp;" | "&amp;BP$6,'Job Master'!$F$12:$J$102,3,0),"")</f>
        <v/>
      </c>
      <c r="BR402" s="19" t="str">
        <f>IFERROR(IF(AND(BY402&lt;&gt;"",VLOOKUP($P402&amp;" | "&amp;BP$6,'Job Master'!$F$12:$I$102,4,0)&lt;&gt;""),IF(WEEKDAY(BY402-VLOOKUP($P402&amp;" | "&amp;BP$6,'Job Master'!$F$12:$I$102,4,0))&lt;&gt;7,BY402-VLOOKUP($P402&amp;" | "&amp;BP$6,'Job Master'!$F$12:$I$102,4,0),BY402-VLOOKUP($P402&amp;" | "&amp;BP$6,'Job Master'!$F$12:$I$102,4,0)-1),""),"")</f>
        <v/>
      </c>
      <c r="BS402" s="73"/>
      <c r="BT402" s="123" t="str">
        <f t="shared" si="789"/>
        <v/>
      </c>
      <c r="BU402" s="123" t="str">
        <f t="shared" si="790"/>
        <v/>
      </c>
      <c r="BV402" s="97" t="str">
        <f t="shared" ca="1" si="791"/>
        <v/>
      </c>
      <c r="BW402" s="98" t="str">
        <f>IF(BY402&lt;&gt;"",VLOOKUP($P402&amp;" | "&amp;BW$6,'Job Master'!$F$12:$J$102,5,0),"")</f>
        <v/>
      </c>
      <c r="BX402" s="19" t="str">
        <f>IF(BY402&lt;&gt;"",VLOOKUP($P402&amp;" | "&amp;BW$6,'Job Master'!$F$12:$J$102,3,0),"")</f>
        <v/>
      </c>
      <c r="BY402" s="19" t="str">
        <f>IFERROR(IF(AND(CF402&lt;&gt;"",VLOOKUP($P402&amp;" | "&amp;BW$6,'Job Master'!$F$12:$I$102,4,0)&lt;&gt;""),IF(WEEKDAY(CF402-VLOOKUP($P402&amp;" | "&amp;BW$6,'Job Master'!$F$12:$I$102,4,0))&lt;&gt;7,CF402-VLOOKUP($P402&amp;" | "&amp;BW$6,'Job Master'!$F$12:$I$102,4,0),CF402-VLOOKUP($P402&amp;" | "&amp;BW$6,'Job Master'!$F$12:$I$102,4,0)-1),""),"")</f>
        <v/>
      </c>
      <c r="BZ402" s="73"/>
      <c r="CA402" s="123" t="str">
        <f t="shared" si="792"/>
        <v/>
      </c>
      <c r="CB402" s="123" t="str">
        <f t="shared" si="793"/>
        <v/>
      </c>
      <c r="CC402" s="97" t="str">
        <f t="shared" ca="1" si="794"/>
        <v/>
      </c>
      <c r="CD402" s="98" t="str">
        <f>IF(CF402&lt;&gt;"",VLOOKUP($P402&amp;" | "&amp;CD$6,'Job Master'!$F$12:$J$102,5,0),"")</f>
        <v/>
      </c>
      <c r="CE402" s="19" t="str">
        <f>IF(CF402&lt;&gt;"",VLOOKUP($P402&amp;" | "&amp;CD$6,'Job Master'!$F$12:$J$102,3,0),"")</f>
        <v/>
      </c>
      <c r="CF402" s="19" t="str">
        <f>IFERROR(IF(AND(CM402&lt;&gt;"",VLOOKUP($P402&amp;" | "&amp;CD$6,'Job Master'!$F$12:$I$102,4,0)&lt;&gt;""),IF(WEEKDAY(CM402-VLOOKUP($P402&amp;" | "&amp;CD$6,'Job Master'!$F$12:$I$102,4,0))&lt;&gt;7,CM402-VLOOKUP($P402&amp;" | "&amp;CD$6,'Job Master'!$F$12:$I$102,4,0),CM402-VLOOKUP($P402&amp;" | "&amp;CD$6,'Job Master'!$F$12:$I$102,4,0)-1),""),"")</f>
        <v/>
      </c>
      <c r="CG402" s="73"/>
      <c r="CH402" s="123" t="str">
        <f t="shared" si="795"/>
        <v/>
      </c>
      <c r="CI402" s="123" t="str">
        <f t="shared" si="796"/>
        <v/>
      </c>
      <c r="CJ402" s="97" t="str">
        <f t="shared" ca="1" si="797"/>
        <v/>
      </c>
      <c r="CK402" s="98" t="str">
        <f>IF(CM402&lt;&gt;"",VLOOKUP($P402&amp;" | "&amp;CK$6,'Job Master'!$F$12:$J$102,5,0),"")</f>
        <v/>
      </c>
      <c r="CL402" s="19" t="str">
        <f>IF(CM402&lt;&gt;"",VLOOKUP($P402&amp;" | "&amp;CK$6,'Job Master'!$F$12:$J$102,3,0),"")</f>
        <v/>
      </c>
      <c r="CM402" s="19" t="str">
        <f>IFERROR(IF(AND(CT402&lt;&gt;"",VLOOKUP($P402&amp;" | "&amp;CK$6,'Job Master'!$F$12:$I$102,4,0)&lt;&gt;""),IF(WEEKDAY(CT402-VLOOKUP($P402&amp;" | "&amp;CK$6,'Job Master'!$F$12:$I$102,4,0))&lt;&gt;7,CT402-VLOOKUP($P402&amp;" | "&amp;CK$6,'Job Master'!$F$12:$I$102,4,0),CT402-VLOOKUP($P402&amp;" | "&amp;CK$6,'Job Master'!$F$12:$I$102,4,0)-1),""),"")</f>
        <v/>
      </c>
      <c r="CN402" s="73"/>
      <c r="CO402" s="123" t="str">
        <f t="shared" si="798"/>
        <v/>
      </c>
      <c r="CP402" s="123" t="str">
        <f t="shared" si="799"/>
        <v/>
      </c>
      <c r="CQ402" s="97" t="str">
        <f t="shared" ca="1" si="800"/>
        <v/>
      </c>
      <c r="CR402" s="98" t="str">
        <f>IF(CT402&lt;&gt;"",VLOOKUP($P402&amp;" | "&amp;CR$6,'Job Master'!$F$12:$J$102,5,0),"")</f>
        <v/>
      </c>
      <c r="CS402" s="19" t="str">
        <f>IF(CT402&lt;&gt;"",VLOOKUP($P402&amp;" | "&amp;CR$6,'Job Master'!$F$12:$J$102,3,0),"")</f>
        <v/>
      </c>
      <c r="CT402" s="19" t="str">
        <f>IFERROR(IF(AND(DA402&lt;&gt;"",VLOOKUP($P402&amp;" | "&amp;CR$6,'Job Master'!$F$12:$I$102,4,0)&lt;&gt;""),IF(WEEKDAY(DA402-VLOOKUP($P402&amp;" | "&amp;CR$6,'Job Master'!$F$12:$I$102,4,0))&lt;&gt;7,DA402-VLOOKUP($P402&amp;" | "&amp;CR$6,'Job Master'!$F$12:$I$102,4,0),DA402-VLOOKUP($P402&amp;" | "&amp;CR$6,'Job Master'!$F$12:$I$102,4,0)-1),""),"")</f>
        <v/>
      </c>
      <c r="CU402" s="73"/>
      <c r="CV402" s="123" t="str">
        <f t="shared" si="801"/>
        <v/>
      </c>
      <c r="CW402" s="123" t="str">
        <f t="shared" si="802"/>
        <v/>
      </c>
      <c r="CX402" s="97" t="str">
        <f t="shared" ca="1" si="803"/>
        <v/>
      </c>
      <c r="CY402" s="98" t="str">
        <f>IF(DA402&lt;&gt;"",VLOOKUP($P402&amp;" | "&amp;CY$6,'Job Master'!$F$12:$J$102,5,0),"")</f>
        <v/>
      </c>
      <c r="CZ402" s="19" t="str">
        <f>IF(DA402&lt;&gt;"",VLOOKUP($P402&amp;" | "&amp;CY$6,'Job Master'!$F$12:$J$102,3,0),"")</f>
        <v/>
      </c>
      <c r="DA402" s="19" t="str">
        <f>IFERROR(IF(AND(DH402&lt;&gt;"",VLOOKUP($P402&amp;" | "&amp;CY$6,'Job Master'!$F$12:$I$102,4,0)&lt;&gt;""),IF(WEEKDAY(DH402-VLOOKUP($P402&amp;" | "&amp;CY$6,'Job Master'!$F$12:$I$102,4,0))&lt;&gt;7,DH402-VLOOKUP($P402&amp;" | "&amp;CY$6,'Job Master'!$F$12:$I$102,4,0),DH402-VLOOKUP($P402&amp;" | "&amp;CY$6,'Job Master'!$F$12:$I$102,4,0)-1),""),"")</f>
        <v/>
      </c>
      <c r="DB402" s="73"/>
      <c r="DC402" s="123" t="str">
        <f t="shared" si="804"/>
        <v/>
      </c>
      <c r="DD402" s="123" t="str">
        <f t="shared" si="805"/>
        <v/>
      </c>
      <c r="DE402" s="97" t="str">
        <f t="shared" ca="1" si="806"/>
        <v/>
      </c>
      <c r="DF402" s="98" t="str">
        <f>IF(DH402&lt;&gt;"",VLOOKUP($P402&amp;" | "&amp;DF$6,'Job Master'!$F$12:$J$102,5,0),"")</f>
        <v/>
      </c>
      <c r="DG402" s="19" t="str">
        <f>IF(DH402&lt;&gt;"",VLOOKUP($P402&amp;" | "&amp;DF$6,'Job Master'!$F$12:$J$102,3,0),"")</f>
        <v/>
      </c>
      <c r="DH402" s="19" t="str">
        <f>IFERROR(IF(AND(DO402&lt;&gt;"",VLOOKUP($P402&amp;" | "&amp;DF$6,'Job Master'!$F$12:$I$102,4,0)&lt;&gt;""),IF(WEEKDAY(DO402-VLOOKUP($P402&amp;" | "&amp;DF$6,'Job Master'!$F$12:$I$102,4,0))&lt;&gt;7,DO402-VLOOKUP($P402&amp;" | "&amp;DF$6,'Job Master'!$F$12:$I$102,4,0),DO402-VLOOKUP($P402&amp;" | "&amp;DF$6,'Job Master'!$F$12:$I$102,4,0)-1),""),"")</f>
        <v/>
      </c>
      <c r="DI402" s="73"/>
      <c r="DJ402" s="123" t="str">
        <f t="shared" si="807"/>
        <v/>
      </c>
      <c r="DK402" s="123" t="str">
        <f t="shared" si="808"/>
        <v/>
      </c>
      <c r="DL402" s="97" t="str">
        <f t="shared" ca="1" si="809"/>
        <v/>
      </c>
      <c r="DM402" s="98" t="str">
        <f>IF(DO402&lt;&gt;"",VLOOKUP($P402&amp;" | "&amp;DM$6,'Job Master'!$F$12:$J$102,5,0),"")</f>
        <v/>
      </c>
      <c r="DN402" s="19" t="str">
        <f>IF(DO402&lt;&gt;"",VLOOKUP($P402&amp;" | "&amp;DM$6,'Job Master'!$F$12:$J$102,3,0),"")</f>
        <v/>
      </c>
      <c r="DO402" s="19" t="str">
        <f>IFERROR(IF(AND(DT402&lt;&gt;"",VLOOKUP($P402&amp;" | "&amp;DM$6,'Job Master'!$F$12:$I$102,4,0)&lt;&gt;""),IF(WEEKDAY(DT402-VLOOKUP($P402&amp;" | "&amp;DM$6,'Job Master'!$F$12:$I$102,4,0))&lt;&gt;7,DT402-VLOOKUP($P402&amp;" | "&amp;DM$6,'Job Master'!$F$12:$I$102,4,0),DT402-VLOOKUP($P402&amp;" | "&amp;DM$6,'Job Master'!$F$12:$I$102,4,0)-1),""),"")</f>
        <v/>
      </c>
      <c r="DP402" s="73"/>
      <c r="DQ402" s="123" t="str">
        <f t="shared" si="810"/>
        <v/>
      </c>
      <c r="DR402" s="123" t="str">
        <f t="shared" si="811"/>
        <v/>
      </c>
      <c r="DS402" s="97" t="str">
        <f t="shared" ca="1" si="812"/>
        <v/>
      </c>
      <c r="DT402" s="70" t="str">
        <f t="shared" si="813"/>
        <v/>
      </c>
      <c r="DU402" s="90"/>
      <c r="DV402" s="123" t="str">
        <f t="shared" si="814"/>
        <v/>
      </c>
      <c r="DW402" s="123" t="str">
        <f t="shared" si="815"/>
        <v/>
      </c>
      <c r="DX402" s="132" t="str">
        <f t="shared" ref="DX402" ca="1" si="832">IF(DT402&lt;&gt;"",IF(WEEKNUM(DT402)=WEEKNUM(TODAY()),"This Week",IF(WEEKNUM(DT402)=WEEKNUM(TODAY())+1,"Next Week",IF(WEEKNUM(DT402)=WEEKNUM(TODAY())-1,"Previous Week",""))),"")</f>
        <v/>
      </c>
      <c r="DY402" s="134" t="str">
        <f t="shared" si="817"/>
        <v/>
      </c>
      <c r="DZ402" s="95"/>
      <c r="EB402" s="8" t="str">
        <f t="shared" si="823"/>
        <v/>
      </c>
      <c r="EC402" s="8" t="str">
        <f>IF(O402&lt;&gt;"",VLOOKUP(O402,'Job Master'!$N$12:$O$18,2,0),"")</f>
        <v/>
      </c>
      <c r="ED402" s="8">
        <f t="shared" si="824"/>
        <v>19.5</v>
      </c>
      <c r="EE402" s="8">
        <f t="shared" si="825"/>
        <v>6</v>
      </c>
      <c r="EF402" s="8">
        <f t="shared" si="826"/>
        <v>-2332.5</v>
      </c>
      <c r="EG402" s="8" t="str">
        <f t="shared" si="827"/>
        <v/>
      </c>
      <c r="EH402" s="8" t="str">
        <f t="shared" si="828"/>
        <v/>
      </c>
    </row>
    <row r="403" spans="2:138" x14ac:dyDescent="0.3">
      <c r="B403" s="112"/>
      <c r="C403" s="27"/>
      <c r="D403" s="7" t="str">
        <f t="shared" si="765"/>
        <v/>
      </c>
      <c r="E403" s="25"/>
      <c r="F403" s="7" t="str">
        <f t="shared" si="765"/>
        <v/>
      </c>
      <c r="G403" s="25"/>
      <c r="H403" s="7" t="str">
        <f t="shared" si="765"/>
        <v/>
      </c>
      <c r="I403" s="25"/>
      <c r="J403" s="7" t="str">
        <f t="shared" si="765"/>
        <v/>
      </c>
      <c r="K403" s="25"/>
      <c r="L403" s="7" t="str">
        <f t="shared" si="766"/>
        <v/>
      </c>
      <c r="M403" s="25"/>
      <c r="N403" s="7" t="str">
        <f t="shared" si="767"/>
        <v/>
      </c>
      <c r="O403" s="81"/>
      <c r="P403" s="81" t="str">
        <f t="shared" si="768"/>
        <v/>
      </c>
      <c r="Q403" s="81"/>
      <c r="R403" s="7" t="str">
        <f t="shared" si="769"/>
        <v/>
      </c>
      <c r="S403" s="25"/>
      <c r="T403" s="7" t="str">
        <f t="shared" si="770"/>
        <v/>
      </c>
      <c r="U403" s="25"/>
      <c r="V403" s="7" t="str">
        <f t="shared" si="771"/>
        <v/>
      </c>
      <c r="W403" s="25"/>
      <c r="X403" s="7" t="str">
        <f t="shared" si="772"/>
        <v/>
      </c>
      <c r="Y403" s="18" t="str">
        <f t="shared" si="773"/>
        <v/>
      </c>
      <c r="Z403" s="7" t="str">
        <f t="shared" si="774"/>
        <v/>
      </c>
      <c r="AA403" s="18" t="str">
        <f t="shared" si="775"/>
        <v/>
      </c>
      <c r="AB403" s="19" t="str">
        <f t="shared" si="776"/>
        <v/>
      </c>
      <c r="AC403" s="26"/>
      <c r="AD403" s="26"/>
      <c r="AE403" s="25"/>
      <c r="AF403" s="26"/>
      <c r="AG403" s="25"/>
      <c r="AH403" s="25"/>
      <c r="AI403" s="18" t="str">
        <f t="shared" si="713"/>
        <v/>
      </c>
      <c r="AJ403" s="25"/>
      <c r="AK403" s="18" t="str">
        <f t="shared" si="714"/>
        <v/>
      </c>
      <c r="AL403" s="79"/>
      <c r="AM403" s="126" t="str">
        <f t="shared" si="715"/>
        <v/>
      </c>
      <c r="AN403" s="128" t="str">
        <f>IF(AP403&lt;&gt;"",VLOOKUP($P403&amp;" | "&amp;AN$6,'Job Master'!$F$12:$J$102,5,0),"")</f>
        <v/>
      </c>
      <c r="AO403" s="19" t="str">
        <f>IF(AP403&lt;&gt;"",VLOOKUP($P403&amp;" | "&amp;AN$6,'Job Master'!$F$12:$J$102,3,0),"")</f>
        <v/>
      </c>
      <c r="AP403" s="19" t="str">
        <f>IFERROR(IF(AND(AW403&lt;&gt;"",VLOOKUP($P403&amp;" | "&amp;AN$6,'Job Master'!$F$12:$I$102,4,0)&lt;&gt;""),IF(WEEKDAY(AW403-VLOOKUP($P403&amp;" | "&amp;AN$6,'Job Master'!$F$12:$I$102,4,0))&lt;&gt;7,AW403-VLOOKUP($P403&amp;" | "&amp;AN$6,'Job Master'!$F$12:$I$102,4,0),AW403-VLOOKUP($P403&amp;" | "&amp;AN$6,'Job Master'!$F$12:$I$102,4,0)-1),""),"")</f>
        <v/>
      </c>
      <c r="AQ403" s="73"/>
      <c r="AR403" s="123" t="str">
        <f t="shared" si="777"/>
        <v/>
      </c>
      <c r="AS403" s="123" t="str">
        <f t="shared" si="778"/>
        <v/>
      </c>
      <c r="AT403" s="97" t="str">
        <f t="shared" ca="1" si="779"/>
        <v/>
      </c>
      <c r="AU403" s="98" t="str">
        <f>IF(AW403&lt;&gt;"",VLOOKUP($P403&amp;" | "&amp;AU$6,'Job Master'!$F$12:$J$102,5,0),"")</f>
        <v/>
      </c>
      <c r="AV403" s="19" t="str">
        <f>IF(AW403&lt;&gt;"",VLOOKUP($P403&amp;" | "&amp;AU$6,'Job Master'!$F$12:$J$102,3,0),"")</f>
        <v/>
      </c>
      <c r="AW403" s="19" t="str">
        <f>IFERROR(IF(AND(BD403&lt;&gt;"",VLOOKUP($P403&amp;" | "&amp;AU$6,'Job Master'!$F$12:$I$102,4,0)&lt;&gt;""),IF(WEEKDAY(BD403-VLOOKUP($P403&amp;" | "&amp;AU$6,'Job Master'!$F$12:$I$102,4,0))&lt;&gt;7,BD403-VLOOKUP($P403&amp;" | "&amp;AU$6,'Job Master'!$F$12:$I$102,4,0),BD403-VLOOKUP($P403&amp;" | "&amp;AU$6,'Job Master'!$F$12:$I$102,4,0)-1),""),"")</f>
        <v/>
      </c>
      <c r="AX403" s="73"/>
      <c r="AY403" s="123" t="str">
        <f t="shared" si="780"/>
        <v/>
      </c>
      <c r="AZ403" s="123" t="str">
        <f t="shared" si="781"/>
        <v/>
      </c>
      <c r="BA403" s="97" t="str">
        <f t="shared" ca="1" si="782"/>
        <v/>
      </c>
      <c r="BB403" s="98" t="str">
        <f>IF(BD403&lt;&gt;"",VLOOKUP($P403&amp;" | "&amp;BB$6,'Job Master'!$F$12:$J$102,5,0),"")</f>
        <v/>
      </c>
      <c r="BC403" s="19" t="str">
        <f>IF(BD403&lt;&gt;"",VLOOKUP($P403&amp;" | "&amp;BB$6,'Job Master'!$F$12:$J$102,3,0),"")</f>
        <v/>
      </c>
      <c r="BD403" s="19" t="str">
        <f>IFERROR(IF(AND(BK403&lt;&gt;"",VLOOKUP($P403&amp;" | "&amp;BB$6,'Job Master'!$F$12:$I$102,4,0)&lt;&gt;""),IF(WEEKDAY(BK403-VLOOKUP($P403&amp;" | "&amp;BB$6,'Job Master'!$F$12:$I$102,4,0))&lt;&gt;7,BK403-VLOOKUP($P403&amp;" | "&amp;BB$6,'Job Master'!$F$12:$I$102,4,0),BK403-VLOOKUP($P403&amp;" | "&amp;BB$6,'Job Master'!$F$12:$I$102,4,0)-1),""),"")</f>
        <v/>
      </c>
      <c r="BE403" s="73"/>
      <c r="BF403" s="123" t="str">
        <f t="shared" si="783"/>
        <v/>
      </c>
      <c r="BG403" s="123" t="str">
        <f t="shared" si="784"/>
        <v/>
      </c>
      <c r="BH403" s="97" t="str">
        <f t="shared" ca="1" si="785"/>
        <v/>
      </c>
      <c r="BI403" s="98" t="str">
        <f>IF(BK403&lt;&gt;"",VLOOKUP($P403&amp;" | "&amp;BI$6,'Job Master'!$F$12:$J$102,5,0),"")</f>
        <v/>
      </c>
      <c r="BJ403" s="19" t="str">
        <f>IF(BK403&lt;&gt;"",VLOOKUP($P403&amp;" | "&amp;BI$6,'Job Master'!$F$12:$J$102,3,0),"")</f>
        <v/>
      </c>
      <c r="BK403" s="19" t="str">
        <f>IFERROR(IF(AND(BR403&lt;&gt;"",VLOOKUP($P403&amp;" | "&amp;BI$6,'Job Master'!$F$12:$I$102,4,0)&lt;&gt;""),IF(WEEKDAY(BR403-VLOOKUP($P403&amp;" | "&amp;BI$6,'Job Master'!$F$12:$I$102,4,0))&lt;&gt;7,BR403-VLOOKUP($P403&amp;" | "&amp;BI$6,'Job Master'!$F$12:$I$102,4,0),BR403-VLOOKUP($P403&amp;" | "&amp;BI$6,'Job Master'!$F$12:$I$102,4,0)-1),""),"")</f>
        <v/>
      </c>
      <c r="BL403" s="73"/>
      <c r="BM403" s="123" t="str">
        <f t="shared" si="786"/>
        <v/>
      </c>
      <c r="BN403" s="123" t="str">
        <f t="shared" si="787"/>
        <v/>
      </c>
      <c r="BO403" s="97" t="str">
        <f t="shared" ca="1" si="788"/>
        <v/>
      </c>
      <c r="BP403" s="98" t="str">
        <f>IF(BR403&lt;&gt;"",VLOOKUP($P403&amp;" | "&amp;BP$6,'Job Master'!$F$12:$J$102,5,0),"")</f>
        <v/>
      </c>
      <c r="BQ403" s="19" t="str">
        <f>IF(BR403&lt;&gt;"",VLOOKUP($P403&amp;" | "&amp;BP$6,'Job Master'!$F$12:$J$102,3,0),"")</f>
        <v/>
      </c>
      <c r="BR403" s="19" t="str">
        <f>IFERROR(IF(AND(BY403&lt;&gt;"",VLOOKUP($P403&amp;" | "&amp;BP$6,'Job Master'!$F$12:$I$102,4,0)&lt;&gt;""),IF(WEEKDAY(BY403-VLOOKUP($P403&amp;" | "&amp;BP$6,'Job Master'!$F$12:$I$102,4,0))&lt;&gt;7,BY403-VLOOKUP($P403&amp;" | "&amp;BP$6,'Job Master'!$F$12:$I$102,4,0),BY403-VLOOKUP($P403&amp;" | "&amp;BP$6,'Job Master'!$F$12:$I$102,4,0)-1),""),"")</f>
        <v/>
      </c>
      <c r="BS403" s="73"/>
      <c r="BT403" s="123" t="str">
        <f t="shared" si="789"/>
        <v/>
      </c>
      <c r="BU403" s="123" t="str">
        <f t="shared" si="790"/>
        <v/>
      </c>
      <c r="BV403" s="97" t="str">
        <f t="shared" ca="1" si="791"/>
        <v/>
      </c>
      <c r="BW403" s="98" t="str">
        <f>IF(BY403&lt;&gt;"",VLOOKUP($P403&amp;" | "&amp;BW$6,'Job Master'!$F$12:$J$102,5,0),"")</f>
        <v/>
      </c>
      <c r="BX403" s="19" t="str">
        <f>IF(BY403&lt;&gt;"",VLOOKUP($P403&amp;" | "&amp;BW$6,'Job Master'!$F$12:$J$102,3,0),"")</f>
        <v/>
      </c>
      <c r="BY403" s="19" t="str">
        <f>IFERROR(IF(AND(CF403&lt;&gt;"",VLOOKUP($P403&amp;" | "&amp;BW$6,'Job Master'!$F$12:$I$102,4,0)&lt;&gt;""),IF(WEEKDAY(CF403-VLOOKUP($P403&amp;" | "&amp;BW$6,'Job Master'!$F$12:$I$102,4,0))&lt;&gt;7,CF403-VLOOKUP($P403&amp;" | "&amp;BW$6,'Job Master'!$F$12:$I$102,4,0),CF403-VLOOKUP($P403&amp;" | "&amp;BW$6,'Job Master'!$F$12:$I$102,4,0)-1),""),"")</f>
        <v/>
      </c>
      <c r="BZ403" s="73"/>
      <c r="CA403" s="123" t="str">
        <f t="shared" si="792"/>
        <v/>
      </c>
      <c r="CB403" s="123" t="str">
        <f t="shared" si="793"/>
        <v/>
      </c>
      <c r="CC403" s="97" t="str">
        <f t="shared" ca="1" si="794"/>
        <v/>
      </c>
      <c r="CD403" s="98" t="str">
        <f>IF(CF403&lt;&gt;"",VLOOKUP($P403&amp;" | "&amp;CD$6,'Job Master'!$F$12:$J$102,5,0),"")</f>
        <v/>
      </c>
      <c r="CE403" s="19" t="str">
        <f>IF(CF403&lt;&gt;"",VLOOKUP($P403&amp;" | "&amp;CD$6,'Job Master'!$F$12:$J$102,3,0),"")</f>
        <v/>
      </c>
      <c r="CF403" s="19" t="str">
        <f>IFERROR(IF(AND(CM403&lt;&gt;"",VLOOKUP($P403&amp;" | "&amp;CD$6,'Job Master'!$F$12:$I$102,4,0)&lt;&gt;""),IF(WEEKDAY(CM403-VLOOKUP($P403&amp;" | "&amp;CD$6,'Job Master'!$F$12:$I$102,4,0))&lt;&gt;7,CM403-VLOOKUP($P403&amp;" | "&amp;CD$6,'Job Master'!$F$12:$I$102,4,0),CM403-VLOOKUP($P403&amp;" | "&amp;CD$6,'Job Master'!$F$12:$I$102,4,0)-1),""),"")</f>
        <v/>
      </c>
      <c r="CG403" s="73"/>
      <c r="CH403" s="123" t="str">
        <f t="shared" si="795"/>
        <v/>
      </c>
      <c r="CI403" s="123" t="str">
        <f t="shared" si="796"/>
        <v/>
      </c>
      <c r="CJ403" s="97" t="str">
        <f t="shared" ca="1" si="797"/>
        <v/>
      </c>
      <c r="CK403" s="98" t="str">
        <f>IF(CM403&lt;&gt;"",VLOOKUP($P403&amp;" | "&amp;CK$6,'Job Master'!$F$12:$J$102,5,0),"")</f>
        <v/>
      </c>
      <c r="CL403" s="19" t="str">
        <f>IF(CM403&lt;&gt;"",VLOOKUP($P403&amp;" | "&amp;CK$6,'Job Master'!$F$12:$J$102,3,0),"")</f>
        <v/>
      </c>
      <c r="CM403" s="19" t="str">
        <f>IFERROR(IF(AND(CT403&lt;&gt;"",VLOOKUP($P403&amp;" | "&amp;CK$6,'Job Master'!$F$12:$I$102,4,0)&lt;&gt;""),IF(WEEKDAY(CT403-VLOOKUP($P403&amp;" | "&amp;CK$6,'Job Master'!$F$12:$I$102,4,0))&lt;&gt;7,CT403-VLOOKUP($P403&amp;" | "&amp;CK$6,'Job Master'!$F$12:$I$102,4,0),CT403-VLOOKUP($P403&amp;" | "&amp;CK$6,'Job Master'!$F$12:$I$102,4,0)-1),""),"")</f>
        <v/>
      </c>
      <c r="CN403" s="73"/>
      <c r="CO403" s="123" t="str">
        <f t="shared" si="798"/>
        <v/>
      </c>
      <c r="CP403" s="123" t="str">
        <f t="shared" si="799"/>
        <v/>
      </c>
      <c r="CQ403" s="97" t="str">
        <f t="shared" ca="1" si="800"/>
        <v/>
      </c>
      <c r="CR403" s="98" t="str">
        <f>IF(CT403&lt;&gt;"",VLOOKUP($P403&amp;" | "&amp;CR$6,'Job Master'!$F$12:$J$102,5,0),"")</f>
        <v/>
      </c>
      <c r="CS403" s="19" t="str">
        <f>IF(CT403&lt;&gt;"",VLOOKUP($P403&amp;" | "&amp;CR$6,'Job Master'!$F$12:$J$102,3,0),"")</f>
        <v/>
      </c>
      <c r="CT403" s="19" t="str">
        <f>IFERROR(IF(AND(DA403&lt;&gt;"",VLOOKUP($P403&amp;" | "&amp;CR$6,'Job Master'!$F$12:$I$102,4,0)&lt;&gt;""),IF(WEEKDAY(DA403-VLOOKUP($P403&amp;" | "&amp;CR$6,'Job Master'!$F$12:$I$102,4,0))&lt;&gt;7,DA403-VLOOKUP($P403&amp;" | "&amp;CR$6,'Job Master'!$F$12:$I$102,4,0),DA403-VLOOKUP($P403&amp;" | "&amp;CR$6,'Job Master'!$F$12:$I$102,4,0)-1),""),"")</f>
        <v/>
      </c>
      <c r="CU403" s="73"/>
      <c r="CV403" s="123" t="str">
        <f t="shared" si="801"/>
        <v/>
      </c>
      <c r="CW403" s="123" t="str">
        <f t="shared" si="802"/>
        <v/>
      </c>
      <c r="CX403" s="97" t="str">
        <f t="shared" ca="1" si="803"/>
        <v/>
      </c>
      <c r="CY403" s="98" t="str">
        <f>IF(DA403&lt;&gt;"",VLOOKUP($P403&amp;" | "&amp;CY$6,'Job Master'!$F$12:$J$102,5,0),"")</f>
        <v/>
      </c>
      <c r="CZ403" s="19" t="str">
        <f>IF(DA403&lt;&gt;"",VLOOKUP($P403&amp;" | "&amp;CY$6,'Job Master'!$F$12:$J$102,3,0),"")</f>
        <v/>
      </c>
      <c r="DA403" s="19" t="str">
        <f>IFERROR(IF(AND(DH403&lt;&gt;"",VLOOKUP($P403&amp;" | "&amp;CY$6,'Job Master'!$F$12:$I$102,4,0)&lt;&gt;""),IF(WEEKDAY(DH403-VLOOKUP($P403&amp;" | "&amp;CY$6,'Job Master'!$F$12:$I$102,4,0))&lt;&gt;7,DH403-VLOOKUP($P403&amp;" | "&amp;CY$6,'Job Master'!$F$12:$I$102,4,0),DH403-VLOOKUP($P403&amp;" | "&amp;CY$6,'Job Master'!$F$12:$I$102,4,0)-1),""),"")</f>
        <v/>
      </c>
      <c r="DB403" s="73"/>
      <c r="DC403" s="123" t="str">
        <f t="shared" si="804"/>
        <v/>
      </c>
      <c r="DD403" s="123" t="str">
        <f t="shared" si="805"/>
        <v/>
      </c>
      <c r="DE403" s="97" t="str">
        <f t="shared" ca="1" si="806"/>
        <v/>
      </c>
      <c r="DF403" s="98" t="str">
        <f>IF(DH403&lt;&gt;"",VLOOKUP($P403&amp;" | "&amp;DF$6,'Job Master'!$F$12:$J$102,5,0),"")</f>
        <v/>
      </c>
      <c r="DG403" s="19" t="str">
        <f>IF(DH403&lt;&gt;"",VLOOKUP($P403&amp;" | "&amp;DF$6,'Job Master'!$F$12:$J$102,3,0),"")</f>
        <v/>
      </c>
      <c r="DH403" s="19" t="str">
        <f>IFERROR(IF(AND(DO403&lt;&gt;"",VLOOKUP($P403&amp;" | "&amp;DF$6,'Job Master'!$F$12:$I$102,4,0)&lt;&gt;""),IF(WEEKDAY(DO403-VLOOKUP($P403&amp;" | "&amp;DF$6,'Job Master'!$F$12:$I$102,4,0))&lt;&gt;7,DO403-VLOOKUP($P403&amp;" | "&amp;DF$6,'Job Master'!$F$12:$I$102,4,0),DO403-VLOOKUP($P403&amp;" | "&amp;DF$6,'Job Master'!$F$12:$I$102,4,0)-1),""),"")</f>
        <v/>
      </c>
      <c r="DI403" s="73"/>
      <c r="DJ403" s="123" t="str">
        <f t="shared" si="807"/>
        <v/>
      </c>
      <c r="DK403" s="123" t="str">
        <f t="shared" si="808"/>
        <v/>
      </c>
      <c r="DL403" s="97" t="str">
        <f t="shared" ca="1" si="809"/>
        <v/>
      </c>
      <c r="DM403" s="98" t="str">
        <f>IF(DO403&lt;&gt;"",VLOOKUP($P403&amp;" | "&amp;DM$6,'Job Master'!$F$12:$J$102,5,0),"")</f>
        <v/>
      </c>
      <c r="DN403" s="19" t="str">
        <f>IF(DO403&lt;&gt;"",VLOOKUP($P403&amp;" | "&amp;DM$6,'Job Master'!$F$12:$J$102,3,0),"")</f>
        <v/>
      </c>
      <c r="DO403" s="19" t="str">
        <f>IFERROR(IF(AND(DT403&lt;&gt;"",VLOOKUP($P403&amp;" | "&amp;DM$6,'Job Master'!$F$12:$I$102,4,0)&lt;&gt;""),IF(WEEKDAY(DT403-VLOOKUP($P403&amp;" | "&amp;DM$6,'Job Master'!$F$12:$I$102,4,0))&lt;&gt;7,DT403-VLOOKUP($P403&amp;" | "&amp;DM$6,'Job Master'!$F$12:$I$102,4,0),DT403-VLOOKUP($P403&amp;" | "&amp;DM$6,'Job Master'!$F$12:$I$102,4,0)-1),""),"")</f>
        <v/>
      </c>
      <c r="DP403" s="73"/>
      <c r="DQ403" s="123" t="str">
        <f t="shared" si="810"/>
        <v/>
      </c>
      <c r="DR403" s="123" t="str">
        <f t="shared" si="811"/>
        <v/>
      </c>
      <c r="DS403" s="97" t="str">
        <f t="shared" ca="1" si="812"/>
        <v/>
      </c>
      <c r="DT403" s="70" t="str">
        <f t="shared" si="813"/>
        <v/>
      </c>
      <c r="DU403" s="90"/>
      <c r="DV403" s="123" t="str">
        <f t="shared" si="814"/>
        <v/>
      </c>
      <c r="DW403" s="123" t="str">
        <f t="shared" si="815"/>
        <v/>
      </c>
      <c r="DX403" s="132" t="str">
        <f t="shared" ref="DX403" ca="1" si="833">IF(DT403&lt;&gt;"",IF(WEEKNUM(DT403)=WEEKNUM(TODAY()),"This Week",IF(WEEKNUM(DT403)=WEEKNUM(TODAY())+1,"Next Week",IF(WEEKNUM(DT403)=WEEKNUM(TODAY())-1,"Previous Week",""))),"")</f>
        <v/>
      </c>
      <c r="DY403" s="134" t="str">
        <f t="shared" si="817"/>
        <v/>
      </c>
      <c r="DZ403" s="95"/>
      <c r="EB403" s="8" t="str">
        <f t="shared" si="823"/>
        <v/>
      </c>
      <c r="EC403" s="8" t="str">
        <f>IF(O403&lt;&gt;"",VLOOKUP(O403,'Job Master'!$N$12:$O$18,2,0),"")</f>
        <v/>
      </c>
      <c r="ED403" s="8">
        <f t="shared" si="824"/>
        <v>19.5</v>
      </c>
      <c r="EE403" s="8">
        <f t="shared" si="825"/>
        <v>6</v>
      </c>
      <c r="EF403" s="8">
        <f t="shared" si="826"/>
        <v>-2338.5</v>
      </c>
      <c r="EG403" s="8" t="str">
        <f t="shared" si="827"/>
        <v/>
      </c>
      <c r="EH403" s="8" t="str">
        <f t="shared" si="828"/>
        <v/>
      </c>
    </row>
    <row r="404" spans="2:138" x14ac:dyDescent="0.3">
      <c r="B404" s="112"/>
      <c r="C404" s="27"/>
      <c r="D404" s="7" t="str">
        <f t="shared" si="765"/>
        <v/>
      </c>
      <c r="E404" s="25"/>
      <c r="F404" s="7" t="str">
        <f t="shared" si="765"/>
        <v/>
      </c>
      <c r="G404" s="25"/>
      <c r="H404" s="7" t="str">
        <f t="shared" si="765"/>
        <v/>
      </c>
      <c r="I404" s="25"/>
      <c r="J404" s="7" t="str">
        <f t="shared" si="765"/>
        <v/>
      </c>
      <c r="K404" s="25"/>
      <c r="L404" s="7" t="str">
        <f t="shared" si="766"/>
        <v/>
      </c>
      <c r="M404" s="25"/>
      <c r="N404" s="7" t="str">
        <f t="shared" si="767"/>
        <v/>
      </c>
      <c r="O404" s="81"/>
      <c r="P404" s="81" t="str">
        <f t="shared" si="768"/>
        <v/>
      </c>
      <c r="Q404" s="81"/>
      <c r="R404" s="7" t="str">
        <f t="shared" si="769"/>
        <v/>
      </c>
      <c r="S404" s="25"/>
      <c r="T404" s="7" t="str">
        <f t="shared" si="770"/>
        <v/>
      </c>
      <c r="U404" s="25"/>
      <c r="V404" s="7" t="str">
        <f t="shared" si="771"/>
        <v/>
      </c>
      <c r="W404" s="25"/>
      <c r="X404" s="7" t="str">
        <f t="shared" si="772"/>
        <v/>
      </c>
      <c r="Y404" s="18" t="str">
        <f t="shared" si="773"/>
        <v/>
      </c>
      <c r="Z404" s="7" t="str">
        <f t="shared" si="774"/>
        <v/>
      </c>
      <c r="AA404" s="18" t="str">
        <f t="shared" si="775"/>
        <v/>
      </c>
      <c r="AB404" s="19" t="str">
        <f t="shared" si="776"/>
        <v/>
      </c>
      <c r="AC404" s="26"/>
      <c r="AD404" s="26"/>
      <c r="AE404" s="25"/>
      <c r="AF404" s="26"/>
      <c r="AG404" s="25"/>
      <c r="AH404" s="25"/>
      <c r="AI404" s="18" t="str">
        <f t="shared" si="713"/>
        <v/>
      </c>
      <c r="AJ404" s="25"/>
      <c r="AK404" s="18" t="str">
        <f t="shared" si="714"/>
        <v/>
      </c>
      <c r="AL404" s="79"/>
      <c r="AM404" s="126" t="str">
        <f t="shared" si="715"/>
        <v/>
      </c>
      <c r="AN404" s="128" t="str">
        <f>IF(AP404&lt;&gt;"",VLOOKUP($P404&amp;" | "&amp;AN$6,'Job Master'!$F$12:$J$102,5,0),"")</f>
        <v/>
      </c>
      <c r="AO404" s="19" t="str">
        <f>IF(AP404&lt;&gt;"",VLOOKUP($P404&amp;" | "&amp;AN$6,'Job Master'!$F$12:$J$102,3,0),"")</f>
        <v/>
      </c>
      <c r="AP404" s="19" t="str">
        <f>IFERROR(IF(AND(AW404&lt;&gt;"",VLOOKUP($P404&amp;" | "&amp;AN$6,'Job Master'!$F$12:$I$102,4,0)&lt;&gt;""),IF(WEEKDAY(AW404-VLOOKUP($P404&amp;" | "&amp;AN$6,'Job Master'!$F$12:$I$102,4,0))&lt;&gt;7,AW404-VLOOKUP($P404&amp;" | "&amp;AN$6,'Job Master'!$F$12:$I$102,4,0),AW404-VLOOKUP($P404&amp;" | "&amp;AN$6,'Job Master'!$F$12:$I$102,4,0)-1),""),"")</f>
        <v/>
      </c>
      <c r="AQ404" s="73"/>
      <c r="AR404" s="123" t="str">
        <f t="shared" si="777"/>
        <v/>
      </c>
      <c r="AS404" s="123" t="str">
        <f t="shared" si="778"/>
        <v/>
      </c>
      <c r="AT404" s="97" t="str">
        <f t="shared" ca="1" si="779"/>
        <v/>
      </c>
      <c r="AU404" s="98" t="str">
        <f>IF(AW404&lt;&gt;"",VLOOKUP($P404&amp;" | "&amp;AU$6,'Job Master'!$F$12:$J$102,5,0),"")</f>
        <v/>
      </c>
      <c r="AV404" s="19" t="str">
        <f>IF(AW404&lt;&gt;"",VLOOKUP($P404&amp;" | "&amp;AU$6,'Job Master'!$F$12:$J$102,3,0),"")</f>
        <v/>
      </c>
      <c r="AW404" s="19" t="str">
        <f>IFERROR(IF(AND(BD404&lt;&gt;"",VLOOKUP($P404&amp;" | "&amp;AU$6,'Job Master'!$F$12:$I$102,4,0)&lt;&gt;""),IF(WEEKDAY(BD404-VLOOKUP($P404&amp;" | "&amp;AU$6,'Job Master'!$F$12:$I$102,4,0))&lt;&gt;7,BD404-VLOOKUP($P404&amp;" | "&amp;AU$6,'Job Master'!$F$12:$I$102,4,0),BD404-VLOOKUP($P404&amp;" | "&amp;AU$6,'Job Master'!$F$12:$I$102,4,0)-1),""),"")</f>
        <v/>
      </c>
      <c r="AX404" s="73"/>
      <c r="AY404" s="123" t="str">
        <f t="shared" si="780"/>
        <v/>
      </c>
      <c r="AZ404" s="123" t="str">
        <f t="shared" si="781"/>
        <v/>
      </c>
      <c r="BA404" s="97" t="str">
        <f t="shared" ca="1" si="782"/>
        <v/>
      </c>
      <c r="BB404" s="98" t="str">
        <f>IF(BD404&lt;&gt;"",VLOOKUP($P404&amp;" | "&amp;BB$6,'Job Master'!$F$12:$J$102,5,0),"")</f>
        <v/>
      </c>
      <c r="BC404" s="19" t="str">
        <f>IF(BD404&lt;&gt;"",VLOOKUP($P404&amp;" | "&amp;BB$6,'Job Master'!$F$12:$J$102,3,0),"")</f>
        <v/>
      </c>
      <c r="BD404" s="19" t="str">
        <f>IFERROR(IF(AND(BK404&lt;&gt;"",VLOOKUP($P404&amp;" | "&amp;BB$6,'Job Master'!$F$12:$I$102,4,0)&lt;&gt;""),IF(WEEKDAY(BK404-VLOOKUP($P404&amp;" | "&amp;BB$6,'Job Master'!$F$12:$I$102,4,0))&lt;&gt;7,BK404-VLOOKUP($P404&amp;" | "&amp;BB$6,'Job Master'!$F$12:$I$102,4,0),BK404-VLOOKUP($P404&amp;" | "&amp;BB$6,'Job Master'!$F$12:$I$102,4,0)-1),""),"")</f>
        <v/>
      </c>
      <c r="BE404" s="73"/>
      <c r="BF404" s="123" t="str">
        <f t="shared" si="783"/>
        <v/>
      </c>
      <c r="BG404" s="123" t="str">
        <f t="shared" si="784"/>
        <v/>
      </c>
      <c r="BH404" s="97" t="str">
        <f t="shared" ca="1" si="785"/>
        <v/>
      </c>
      <c r="BI404" s="98" t="str">
        <f>IF(BK404&lt;&gt;"",VLOOKUP($P404&amp;" | "&amp;BI$6,'Job Master'!$F$12:$J$102,5,0),"")</f>
        <v/>
      </c>
      <c r="BJ404" s="19" t="str">
        <f>IF(BK404&lt;&gt;"",VLOOKUP($P404&amp;" | "&amp;BI$6,'Job Master'!$F$12:$J$102,3,0),"")</f>
        <v/>
      </c>
      <c r="BK404" s="19" t="str">
        <f>IFERROR(IF(AND(BR404&lt;&gt;"",VLOOKUP($P404&amp;" | "&amp;BI$6,'Job Master'!$F$12:$I$102,4,0)&lt;&gt;""),IF(WEEKDAY(BR404-VLOOKUP($P404&amp;" | "&amp;BI$6,'Job Master'!$F$12:$I$102,4,0))&lt;&gt;7,BR404-VLOOKUP($P404&amp;" | "&amp;BI$6,'Job Master'!$F$12:$I$102,4,0),BR404-VLOOKUP($P404&amp;" | "&amp;BI$6,'Job Master'!$F$12:$I$102,4,0)-1),""),"")</f>
        <v/>
      </c>
      <c r="BL404" s="73"/>
      <c r="BM404" s="123" t="str">
        <f t="shared" si="786"/>
        <v/>
      </c>
      <c r="BN404" s="123" t="str">
        <f t="shared" si="787"/>
        <v/>
      </c>
      <c r="BO404" s="97" t="str">
        <f t="shared" ca="1" si="788"/>
        <v/>
      </c>
      <c r="BP404" s="98" t="str">
        <f>IF(BR404&lt;&gt;"",VLOOKUP($P404&amp;" | "&amp;BP$6,'Job Master'!$F$12:$J$102,5,0),"")</f>
        <v/>
      </c>
      <c r="BQ404" s="19" t="str">
        <f>IF(BR404&lt;&gt;"",VLOOKUP($P404&amp;" | "&amp;BP$6,'Job Master'!$F$12:$J$102,3,0),"")</f>
        <v/>
      </c>
      <c r="BR404" s="19" t="str">
        <f>IFERROR(IF(AND(BY404&lt;&gt;"",VLOOKUP($P404&amp;" | "&amp;BP$6,'Job Master'!$F$12:$I$102,4,0)&lt;&gt;""),IF(WEEKDAY(BY404-VLOOKUP($P404&amp;" | "&amp;BP$6,'Job Master'!$F$12:$I$102,4,0))&lt;&gt;7,BY404-VLOOKUP($P404&amp;" | "&amp;BP$6,'Job Master'!$F$12:$I$102,4,0),BY404-VLOOKUP($P404&amp;" | "&amp;BP$6,'Job Master'!$F$12:$I$102,4,0)-1),""),"")</f>
        <v/>
      </c>
      <c r="BS404" s="73"/>
      <c r="BT404" s="123" t="str">
        <f t="shared" si="789"/>
        <v/>
      </c>
      <c r="BU404" s="123" t="str">
        <f t="shared" si="790"/>
        <v/>
      </c>
      <c r="BV404" s="97" t="str">
        <f t="shared" ca="1" si="791"/>
        <v/>
      </c>
      <c r="BW404" s="98" t="str">
        <f>IF(BY404&lt;&gt;"",VLOOKUP($P404&amp;" | "&amp;BW$6,'Job Master'!$F$12:$J$102,5,0),"")</f>
        <v/>
      </c>
      <c r="BX404" s="19" t="str">
        <f>IF(BY404&lt;&gt;"",VLOOKUP($P404&amp;" | "&amp;BW$6,'Job Master'!$F$12:$J$102,3,0),"")</f>
        <v/>
      </c>
      <c r="BY404" s="19" t="str">
        <f>IFERROR(IF(AND(CF404&lt;&gt;"",VLOOKUP($P404&amp;" | "&amp;BW$6,'Job Master'!$F$12:$I$102,4,0)&lt;&gt;""),IF(WEEKDAY(CF404-VLOOKUP($P404&amp;" | "&amp;BW$6,'Job Master'!$F$12:$I$102,4,0))&lt;&gt;7,CF404-VLOOKUP($P404&amp;" | "&amp;BW$6,'Job Master'!$F$12:$I$102,4,0),CF404-VLOOKUP($P404&amp;" | "&amp;BW$6,'Job Master'!$F$12:$I$102,4,0)-1),""),"")</f>
        <v/>
      </c>
      <c r="BZ404" s="73"/>
      <c r="CA404" s="123" t="str">
        <f t="shared" si="792"/>
        <v/>
      </c>
      <c r="CB404" s="123" t="str">
        <f t="shared" si="793"/>
        <v/>
      </c>
      <c r="CC404" s="97" t="str">
        <f t="shared" ca="1" si="794"/>
        <v/>
      </c>
      <c r="CD404" s="98" t="str">
        <f>IF(CF404&lt;&gt;"",VLOOKUP($P404&amp;" | "&amp;CD$6,'Job Master'!$F$12:$J$102,5,0),"")</f>
        <v/>
      </c>
      <c r="CE404" s="19" t="str">
        <f>IF(CF404&lt;&gt;"",VLOOKUP($P404&amp;" | "&amp;CD$6,'Job Master'!$F$12:$J$102,3,0),"")</f>
        <v/>
      </c>
      <c r="CF404" s="19" t="str">
        <f>IFERROR(IF(AND(CM404&lt;&gt;"",VLOOKUP($P404&amp;" | "&amp;CD$6,'Job Master'!$F$12:$I$102,4,0)&lt;&gt;""),IF(WEEKDAY(CM404-VLOOKUP($P404&amp;" | "&amp;CD$6,'Job Master'!$F$12:$I$102,4,0))&lt;&gt;7,CM404-VLOOKUP($P404&amp;" | "&amp;CD$6,'Job Master'!$F$12:$I$102,4,0),CM404-VLOOKUP($P404&amp;" | "&amp;CD$6,'Job Master'!$F$12:$I$102,4,0)-1),""),"")</f>
        <v/>
      </c>
      <c r="CG404" s="73"/>
      <c r="CH404" s="123" t="str">
        <f t="shared" si="795"/>
        <v/>
      </c>
      <c r="CI404" s="123" t="str">
        <f t="shared" si="796"/>
        <v/>
      </c>
      <c r="CJ404" s="97" t="str">
        <f t="shared" ca="1" si="797"/>
        <v/>
      </c>
      <c r="CK404" s="98" t="str">
        <f>IF(CM404&lt;&gt;"",VLOOKUP($P404&amp;" | "&amp;CK$6,'Job Master'!$F$12:$J$102,5,0),"")</f>
        <v/>
      </c>
      <c r="CL404" s="19" t="str">
        <f>IF(CM404&lt;&gt;"",VLOOKUP($P404&amp;" | "&amp;CK$6,'Job Master'!$F$12:$J$102,3,0),"")</f>
        <v/>
      </c>
      <c r="CM404" s="19" t="str">
        <f>IFERROR(IF(AND(CT404&lt;&gt;"",VLOOKUP($P404&amp;" | "&amp;CK$6,'Job Master'!$F$12:$I$102,4,0)&lt;&gt;""),IF(WEEKDAY(CT404-VLOOKUP($P404&amp;" | "&amp;CK$6,'Job Master'!$F$12:$I$102,4,0))&lt;&gt;7,CT404-VLOOKUP($P404&amp;" | "&amp;CK$6,'Job Master'!$F$12:$I$102,4,0),CT404-VLOOKUP($P404&amp;" | "&amp;CK$6,'Job Master'!$F$12:$I$102,4,0)-1),""),"")</f>
        <v/>
      </c>
      <c r="CN404" s="73"/>
      <c r="CO404" s="123" t="str">
        <f t="shared" si="798"/>
        <v/>
      </c>
      <c r="CP404" s="123" t="str">
        <f t="shared" si="799"/>
        <v/>
      </c>
      <c r="CQ404" s="97" t="str">
        <f t="shared" ca="1" si="800"/>
        <v/>
      </c>
      <c r="CR404" s="98" t="str">
        <f>IF(CT404&lt;&gt;"",VLOOKUP($P404&amp;" | "&amp;CR$6,'Job Master'!$F$12:$J$102,5,0),"")</f>
        <v/>
      </c>
      <c r="CS404" s="19" t="str">
        <f>IF(CT404&lt;&gt;"",VLOOKUP($P404&amp;" | "&amp;CR$6,'Job Master'!$F$12:$J$102,3,0),"")</f>
        <v/>
      </c>
      <c r="CT404" s="19" t="str">
        <f>IFERROR(IF(AND(DA404&lt;&gt;"",VLOOKUP($P404&amp;" | "&amp;CR$6,'Job Master'!$F$12:$I$102,4,0)&lt;&gt;""),IF(WEEKDAY(DA404-VLOOKUP($P404&amp;" | "&amp;CR$6,'Job Master'!$F$12:$I$102,4,0))&lt;&gt;7,DA404-VLOOKUP($P404&amp;" | "&amp;CR$6,'Job Master'!$F$12:$I$102,4,0),DA404-VLOOKUP($P404&amp;" | "&amp;CR$6,'Job Master'!$F$12:$I$102,4,0)-1),""),"")</f>
        <v/>
      </c>
      <c r="CU404" s="73"/>
      <c r="CV404" s="123" t="str">
        <f t="shared" si="801"/>
        <v/>
      </c>
      <c r="CW404" s="123" t="str">
        <f t="shared" si="802"/>
        <v/>
      </c>
      <c r="CX404" s="97" t="str">
        <f t="shared" ca="1" si="803"/>
        <v/>
      </c>
      <c r="CY404" s="98" t="str">
        <f>IF(DA404&lt;&gt;"",VLOOKUP($P404&amp;" | "&amp;CY$6,'Job Master'!$F$12:$J$102,5,0),"")</f>
        <v/>
      </c>
      <c r="CZ404" s="19" t="str">
        <f>IF(DA404&lt;&gt;"",VLOOKUP($P404&amp;" | "&amp;CY$6,'Job Master'!$F$12:$J$102,3,0),"")</f>
        <v/>
      </c>
      <c r="DA404" s="19" t="str">
        <f>IFERROR(IF(AND(DH404&lt;&gt;"",VLOOKUP($P404&amp;" | "&amp;CY$6,'Job Master'!$F$12:$I$102,4,0)&lt;&gt;""),IF(WEEKDAY(DH404-VLOOKUP($P404&amp;" | "&amp;CY$6,'Job Master'!$F$12:$I$102,4,0))&lt;&gt;7,DH404-VLOOKUP($P404&amp;" | "&amp;CY$6,'Job Master'!$F$12:$I$102,4,0),DH404-VLOOKUP($P404&amp;" | "&amp;CY$6,'Job Master'!$F$12:$I$102,4,0)-1),""),"")</f>
        <v/>
      </c>
      <c r="DB404" s="73"/>
      <c r="DC404" s="123" t="str">
        <f t="shared" si="804"/>
        <v/>
      </c>
      <c r="DD404" s="123" t="str">
        <f t="shared" si="805"/>
        <v/>
      </c>
      <c r="DE404" s="97" t="str">
        <f t="shared" ca="1" si="806"/>
        <v/>
      </c>
      <c r="DF404" s="98" t="str">
        <f>IF(DH404&lt;&gt;"",VLOOKUP($P404&amp;" | "&amp;DF$6,'Job Master'!$F$12:$J$102,5,0),"")</f>
        <v/>
      </c>
      <c r="DG404" s="19" t="str">
        <f>IF(DH404&lt;&gt;"",VLOOKUP($P404&amp;" | "&amp;DF$6,'Job Master'!$F$12:$J$102,3,0),"")</f>
        <v/>
      </c>
      <c r="DH404" s="19" t="str">
        <f>IFERROR(IF(AND(DO404&lt;&gt;"",VLOOKUP($P404&amp;" | "&amp;DF$6,'Job Master'!$F$12:$I$102,4,0)&lt;&gt;""),IF(WEEKDAY(DO404-VLOOKUP($P404&amp;" | "&amp;DF$6,'Job Master'!$F$12:$I$102,4,0))&lt;&gt;7,DO404-VLOOKUP($P404&amp;" | "&amp;DF$6,'Job Master'!$F$12:$I$102,4,0),DO404-VLOOKUP($P404&amp;" | "&amp;DF$6,'Job Master'!$F$12:$I$102,4,0)-1),""),"")</f>
        <v/>
      </c>
      <c r="DI404" s="73"/>
      <c r="DJ404" s="123" t="str">
        <f t="shared" si="807"/>
        <v/>
      </c>
      <c r="DK404" s="123" t="str">
        <f t="shared" si="808"/>
        <v/>
      </c>
      <c r="DL404" s="97" t="str">
        <f t="shared" ca="1" si="809"/>
        <v/>
      </c>
      <c r="DM404" s="98" t="str">
        <f>IF(DO404&lt;&gt;"",VLOOKUP($P404&amp;" | "&amp;DM$6,'Job Master'!$F$12:$J$102,5,0),"")</f>
        <v/>
      </c>
      <c r="DN404" s="19" t="str">
        <f>IF(DO404&lt;&gt;"",VLOOKUP($P404&amp;" | "&amp;DM$6,'Job Master'!$F$12:$J$102,3,0),"")</f>
        <v/>
      </c>
      <c r="DO404" s="19" t="str">
        <f>IFERROR(IF(AND(DT404&lt;&gt;"",VLOOKUP($P404&amp;" | "&amp;DM$6,'Job Master'!$F$12:$I$102,4,0)&lt;&gt;""),IF(WEEKDAY(DT404-VLOOKUP($P404&amp;" | "&amp;DM$6,'Job Master'!$F$12:$I$102,4,0))&lt;&gt;7,DT404-VLOOKUP($P404&amp;" | "&amp;DM$6,'Job Master'!$F$12:$I$102,4,0),DT404-VLOOKUP($P404&amp;" | "&amp;DM$6,'Job Master'!$F$12:$I$102,4,0)-1),""),"")</f>
        <v/>
      </c>
      <c r="DP404" s="73"/>
      <c r="DQ404" s="123" t="str">
        <f t="shared" si="810"/>
        <v/>
      </c>
      <c r="DR404" s="123" t="str">
        <f t="shared" si="811"/>
        <v/>
      </c>
      <c r="DS404" s="97" t="str">
        <f t="shared" ca="1" si="812"/>
        <v/>
      </c>
      <c r="DT404" s="70" t="str">
        <f t="shared" si="813"/>
        <v/>
      </c>
      <c r="DU404" s="90"/>
      <c r="DV404" s="123" t="str">
        <f t="shared" si="814"/>
        <v/>
      </c>
      <c r="DW404" s="123" t="str">
        <f t="shared" si="815"/>
        <v/>
      </c>
      <c r="DX404" s="132" t="str">
        <f t="shared" ref="DX404" ca="1" si="834">IF(DT404&lt;&gt;"",IF(WEEKNUM(DT404)=WEEKNUM(TODAY()),"This Week",IF(WEEKNUM(DT404)=WEEKNUM(TODAY())+1,"Next Week",IF(WEEKNUM(DT404)=WEEKNUM(TODAY())-1,"Previous Week",""))),"")</f>
        <v/>
      </c>
      <c r="DY404" s="134" t="str">
        <f t="shared" si="817"/>
        <v/>
      </c>
      <c r="DZ404" s="95"/>
      <c r="EB404" s="8" t="str">
        <f t="shared" si="823"/>
        <v/>
      </c>
      <c r="EC404" s="8" t="str">
        <f>IF(O404&lt;&gt;"",VLOOKUP(O404,'Job Master'!$N$12:$O$18,2,0),"")</f>
        <v/>
      </c>
      <c r="ED404" s="8">
        <f t="shared" si="824"/>
        <v>19.5</v>
      </c>
      <c r="EE404" s="8">
        <f t="shared" si="825"/>
        <v>6</v>
      </c>
      <c r="EF404" s="8">
        <f t="shared" si="826"/>
        <v>-2344.5</v>
      </c>
      <c r="EG404" s="8" t="str">
        <f t="shared" si="827"/>
        <v/>
      </c>
      <c r="EH404" s="8" t="str">
        <f t="shared" si="828"/>
        <v/>
      </c>
    </row>
    <row r="405" spans="2:138" x14ac:dyDescent="0.3">
      <c r="B405" s="112"/>
      <c r="C405" s="27"/>
      <c r="D405" s="7" t="str">
        <f t="shared" si="765"/>
        <v/>
      </c>
      <c r="E405" s="25"/>
      <c r="F405" s="7" t="str">
        <f t="shared" si="765"/>
        <v/>
      </c>
      <c r="G405" s="25"/>
      <c r="H405" s="7" t="str">
        <f t="shared" si="765"/>
        <v/>
      </c>
      <c r="I405" s="25"/>
      <c r="J405" s="7" t="str">
        <f t="shared" si="765"/>
        <v/>
      </c>
      <c r="K405" s="25"/>
      <c r="L405" s="7" t="str">
        <f t="shared" si="766"/>
        <v/>
      </c>
      <c r="M405" s="25"/>
      <c r="N405" s="7" t="str">
        <f t="shared" si="767"/>
        <v/>
      </c>
      <c r="O405" s="81"/>
      <c r="P405" s="81" t="str">
        <f t="shared" si="768"/>
        <v/>
      </c>
      <c r="Q405" s="81"/>
      <c r="R405" s="7" t="str">
        <f t="shared" si="769"/>
        <v/>
      </c>
      <c r="S405" s="25"/>
      <c r="T405" s="7" t="str">
        <f t="shared" si="770"/>
        <v/>
      </c>
      <c r="U405" s="25"/>
      <c r="V405" s="7" t="str">
        <f t="shared" si="771"/>
        <v/>
      </c>
      <c r="W405" s="25"/>
      <c r="X405" s="7" t="str">
        <f t="shared" si="772"/>
        <v/>
      </c>
      <c r="Y405" s="18" t="str">
        <f t="shared" si="773"/>
        <v/>
      </c>
      <c r="Z405" s="7" t="str">
        <f t="shared" si="774"/>
        <v/>
      </c>
      <c r="AA405" s="18" t="str">
        <f t="shared" si="775"/>
        <v/>
      </c>
      <c r="AB405" s="19" t="str">
        <f t="shared" si="776"/>
        <v/>
      </c>
      <c r="AC405" s="26"/>
      <c r="AD405" s="26"/>
      <c r="AE405" s="25"/>
      <c r="AF405" s="26"/>
      <c r="AG405" s="25"/>
      <c r="AH405" s="25"/>
      <c r="AI405" s="18" t="str">
        <f t="shared" si="713"/>
        <v/>
      </c>
      <c r="AJ405" s="25"/>
      <c r="AK405" s="18" t="str">
        <f t="shared" si="714"/>
        <v/>
      </c>
      <c r="AL405" s="79"/>
      <c r="AM405" s="126" t="str">
        <f t="shared" si="715"/>
        <v/>
      </c>
      <c r="AN405" s="128" t="str">
        <f>IF(AP405&lt;&gt;"",VLOOKUP($P405&amp;" | "&amp;AN$6,'Job Master'!$F$12:$J$102,5,0),"")</f>
        <v/>
      </c>
      <c r="AO405" s="19" t="str">
        <f>IF(AP405&lt;&gt;"",VLOOKUP($P405&amp;" | "&amp;AN$6,'Job Master'!$F$12:$J$102,3,0),"")</f>
        <v/>
      </c>
      <c r="AP405" s="19" t="str">
        <f>IFERROR(IF(AND(AW405&lt;&gt;"",VLOOKUP($P405&amp;" | "&amp;AN$6,'Job Master'!$F$12:$I$102,4,0)&lt;&gt;""),IF(WEEKDAY(AW405-VLOOKUP($P405&amp;" | "&amp;AN$6,'Job Master'!$F$12:$I$102,4,0))&lt;&gt;7,AW405-VLOOKUP($P405&amp;" | "&amp;AN$6,'Job Master'!$F$12:$I$102,4,0),AW405-VLOOKUP($P405&amp;" | "&amp;AN$6,'Job Master'!$F$12:$I$102,4,0)-1),""),"")</f>
        <v/>
      </c>
      <c r="AQ405" s="73"/>
      <c r="AR405" s="123" t="str">
        <f t="shared" si="777"/>
        <v/>
      </c>
      <c r="AS405" s="123" t="str">
        <f t="shared" si="778"/>
        <v/>
      </c>
      <c r="AT405" s="97" t="str">
        <f t="shared" ca="1" si="779"/>
        <v/>
      </c>
      <c r="AU405" s="98" t="str">
        <f>IF(AW405&lt;&gt;"",VLOOKUP($P405&amp;" | "&amp;AU$6,'Job Master'!$F$12:$J$102,5,0),"")</f>
        <v/>
      </c>
      <c r="AV405" s="19" t="str">
        <f>IF(AW405&lt;&gt;"",VLOOKUP($P405&amp;" | "&amp;AU$6,'Job Master'!$F$12:$J$102,3,0),"")</f>
        <v/>
      </c>
      <c r="AW405" s="19" t="str">
        <f>IFERROR(IF(AND(BD405&lt;&gt;"",VLOOKUP($P405&amp;" | "&amp;AU$6,'Job Master'!$F$12:$I$102,4,0)&lt;&gt;""),IF(WEEKDAY(BD405-VLOOKUP($P405&amp;" | "&amp;AU$6,'Job Master'!$F$12:$I$102,4,0))&lt;&gt;7,BD405-VLOOKUP($P405&amp;" | "&amp;AU$6,'Job Master'!$F$12:$I$102,4,0),BD405-VLOOKUP($P405&amp;" | "&amp;AU$6,'Job Master'!$F$12:$I$102,4,0)-1),""),"")</f>
        <v/>
      </c>
      <c r="AX405" s="73"/>
      <c r="AY405" s="123" t="str">
        <f t="shared" si="780"/>
        <v/>
      </c>
      <c r="AZ405" s="123" t="str">
        <f t="shared" si="781"/>
        <v/>
      </c>
      <c r="BA405" s="97" t="str">
        <f t="shared" ca="1" si="782"/>
        <v/>
      </c>
      <c r="BB405" s="98" t="str">
        <f>IF(BD405&lt;&gt;"",VLOOKUP($P405&amp;" | "&amp;BB$6,'Job Master'!$F$12:$J$102,5,0),"")</f>
        <v/>
      </c>
      <c r="BC405" s="19" t="str">
        <f>IF(BD405&lt;&gt;"",VLOOKUP($P405&amp;" | "&amp;BB$6,'Job Master'!$F$12:$J$102,3,0),"")</f>
        <v/>
      </c>
      <c r="BD405" s="19" t="str">
        <f>IFERROR(IF(AND(BK405&lt;&gt;"",VLOOKUP($P405&amp;" | "&amp;BB$6,'Job Master'!$F$12:$I$102,4,0)&lt;&gt;""),IF(WEEKDAY(BK405-VLOOKUP($P405&amp;" | "&amp;BB$6,'Job Master'!$F$12:$I$102,4,0))&lt;&gt;7,BK405-VLOOKUP($P405&amp;" | "&amp;BB$6,'Job Master'!$F$12:$I$102,4,0),BK405-VLOOKUP($P405&amp;" | "&amp;BB$6,'Job Master'!$F$12:$I$102,4,0)-1),""),"")</f>
        <v/>
      </c>
      <c r="BE405" s="73"/>
      <c r="BF405" s="123" t="str">
        <f t="shared" si="783"/>
        <v/>
      </c>
      <c r="BG405" s="123" t="str">
        <f t="shared" si="784"/>
        <v/>
      </c>
      <c r="BH405" s="97" t="str">
        <f t="shared" ca="1" si="785"/>
        <v/>
      </c>
      <c r="BI405" s="98" t="str">
        <f>IF(BK405&lt;&gt;"",VLOOKUP($P405&amp;" | "&amp;BI$6,'Job Master'!$F$12:$J$102,5,0),"")</f>
        <v/>
      </c>
      <c r="BJ405" s="19" t="str">
        <f>IF(BK405&lt;&gt;"",VLOOKUP($P405&amp;" | "&amp;BI$6,'Job Master'!$F$12:$J$102,3,0),"")</f>
        <v/>
      </c>
      <c r="BK405" s="19" t="str">
        <f>IFERROR(IF(AND(BR405&lt;&gt;"",VLOOKUP($P405&amp;" | "&amp;BI$6,'Job Master'!$F$12:$I$102,4,0)&lt;&gt;""),IF(WEEKDAY(BR405-VLOOKUP($P405&amp;" | "&amp;BI$6,'Job Master'!$F$12:$I$102,4,0))&lt;&gt;7,BR405-VLOOKUP($P405&amp;" | "&amp;BI$6,'Job Master'!$F$12:$I$102,4,0),BR405-VLOOKUP($P405&amp;" | "&amp;BI$6,'Job Master'!$F$12:$I$102,4,0)-1),""),"")</f>
        <v/>
      </c>
      <c r="BL405" s="73"/>
      <c r="BM405" s="123" t="str">
        <f t="shared" si="786"/>
        <v/>
      </c>
      <c r="BN405" s="123" t="str">
        <f t="shared" si="787"/>
        <v/>
      </c>
      <c r="BO405" s="97" t="str">
        <f t="shared" ca="1" si="788"/>
        <v/>
      </c>
      <c r="BP405" s="98" t="str">
        <f>IF(BR405&lt;&gt;"",VLOOKUP($P405&amp;" | "&amp;BP$6,'Job Master'!$F$12:$J$102,5,0),"")</f>
        <v/>
      </c>
      <c r="BQ405" s="19" t="str">
        <f>IF(BR405&lt;&gt;"",VLOOKUP($P405&amp;" | "&amp;BP$6,'Job Master'!$F$12:$J$102,3,0),"")</f>
        <v/>
      </c>
      <c r="BR405" s="19" t="str">
        <f>IFERROR(IF(AND(BY405&lt;&gt;"",VLOOKUP($P405&amp;" | "&amp;BP$6,'Job Master'!$F$12:$I$102,4,0)&lt;&gt;""),IF(WEEKDAY(BY405-VLOOKUP($P405&amp;" | "&amp;BP$6,'Job Master'!$F$12:$I$102,4,0))&lt;&gt;7,BY405-VLOOKUP($P405&amp;" | "&amp;BP$6,'Job Master'!$F$12:$I$102,4,0),BY405-VLOOKUP($P405&amp;" | "&amp;BP$6,'Job Master'!$F$12:$I$102,4,0)-1),""),"")</f>
        <v/>
      </c>
      <c r="BS405" s="73"/>
      <c r="BT405" s="123" t="str">
        <f t="shared" si="789"/>
        <v/>
      </c>
      <c r="BU405" s="123" t="str">
        <f t="shared" si="790"/>
        <v/>
      </c>
      <c r="BV405" s="97" t="str">
        <f t="shared" ca="1" si="791"/>
        <v/>
      </c>
      <c r="BW405" s="98" t="str">
        <f>IF(BY405&lt;&gt;"",VLOOKUP($P405&amp;" | "&amp;BW$6,'Job Master'!$F$12:$J$102,5,0),"")</f>
        <v/>
      </c>
      <c r="BX405" s="19" t="str">
        <f>IF(BY405&lt;&gt;"",VLOOKUP($P405&amp;" | "&amp;BW$6,'Job Master'!$F$12:$J$102,3,0),"")</f>
        <v/>
      </c>
      <c r="BY405" s="19" t="str">
        <f>IFERROR(IF(AND(CF405&lt;&gt;"",VLOOKUP($P405&amp;" | "&amp;BW$6,'Job Master'!$F$12:$I$102,4,0)&lt;&gt;""),IF(WEEKDAY(CF405-VLOOKUP($P405&amp;" | "&amp;BW$6,'Job Master'!$F$12:$I$102,4,0))&lt;&gt;7,CF405-VLOOKUP($P405&amp;" | "&amp;BW$6,'Job Master'!$F$12:$I$102,4,0),CF405-VLOOKUP($P405&amp;" | "&amp;BW$6,'Job Master'!$F$12:$I$102,4,0)-1),""),"")</f>
        <v/>
      </c>
      <c r="BZ405" s="73"/>
      <c r="CA405" s="123" t="str">
        <f t="shared" si="792"/>
        <v/>
      </c>
      <c r="CB405" s="123" t="str">
        <f t="shared" si="793"/>
        <v/>
      </c>
      <c r="CC405" s="97" t="str">
        <f t="shared" ca="1" si="794"/>
        <v/>
      </c>
      <c r="CD405" s="98" t="str">
        <f>IF(CF405&lt;&gt;"",VLOOKUP($P405&amp;" | "&amp;CD$6,'Job Master'!$F$12:$J$102,5,0),"")</f>
        <v/>
      </c>
      <c r="CE405" s="19" t="str">
        <f>IF(CF405&lt;&gt;"",VLOOKUP($P405&amp;" | "&amp;CD$6,'Job Master'!$F$12:$J$102,3,0),"")</f>
        <v/>
      </c>
      <c r="CF405" s="19" t="str">
        <f>IFERROR(IF(AND(CM405&lt;&gt;"",VLOOKUP($P405&amp;" | "&amp;CD$6,'Job Master'!$F$12:$I$102,4,0)&lt;&gt;""),IF(WEEKDAY(CM405-VLOOKUP($P405&amp;" | "&amp;CD$6,'Job Master'!$F$12:$I$102,4,0))&lt;&gt;7,CM405-VLOOKUP($P405&amp;" | "&amp;CD$6,'Job Master'!$F$12:$I$102,4,0),CM405-VLOOKUP($P405&amp;" | "&amp;CD$6,'Job Master'!$F$12:$I$102,4,0)-1),""),"")</f>
        <v/>
      </c>
      <c r="CG405" s="73"/>
      <c r="CH405" s="123" t="str">
        <f t="shared" si="795"/>
        <v/>
      </c>
      <c r="CI405" s="123" t="str">
        <f t="shared" si="796"/>
        <v/>
      </c>
      <c r="CJ405" s="97" t="str">
        <f t="shared" ca="1" si="797"/>
        <v/>
      </c>
      <c r="CK405" s="98" t="str">
        <f>IF(CM405&lt;&gt;"",VLOOKUP($P405&amp;" | "&amp;CK$6,'Job Master'!$F$12:$J$102,5,0),"")</f>
        <v/>
      </c>
      <c r="CL405" s="19" t="str">
        <f>IF(CM405&lt;&gt;"",VLOOKUP($P405&amp;" | "&amp;CK$6,'Job Master'!$F$12:$J$102,3,0),"")</f>
        <v/>
      </c>
      <c r="CM405" s="19" t="str">
        <f>IFERROR(IF(AND(CT405&lt;&gt;"",VLOOKUP($P405&amp;" | "&amp;CK$6,'Job Master'!$F$12:$I$102,4,0)&lt;&gt;""),IF(WEEKDAY(CT405-VLOOKUP($P405&amp;" | "&amp;CK$6,'Job Master'!$F$12:$I$102,4,0))&lt;&gt;7,CT405-VLOOKUP($P405&amp;" | "&amp;CK$6,'Job Master'!$F$12:$I$102,4,0),CT405-VLOOKUP($P405&amp;" | "&amp;CK$6,'Job Master'!$F$12:$I$102,4,0)-1),""),"")</f>
        <v/>
      </c>
      <c r="CN405" s="73"/>
      <c r="CO405" s="123" t="str">
        <f t="shared" si="798"/>
        <v/>
      </c>
      <c r="CP405" s="123" t="str">
        <f t="shared" si="799"/>
        <v/>
      </c>
      <c r="CQ405" s="97" t="str">
        <f t="shared" ca="1" si="800"/>
        <v/>
      </c>
      <c r="CR405" s="98" t="str">
        <f>IF(CT405&lt;&gt;"",VLOOKUP($P405&amp;" | "&amp;CR$6,'Job Master'!$F$12:$J$102,5,0),"")</f>
        <v/>
      </c>
      <c r="CS405" s="19" t="str">
        <f>IF(CT405&lt;&gt;"",VLOOKUP($P405&amp;" | "&amp;CR$6,'Job Master'!$F$12:$J$102,3,0),"")</f>
        <v/>
      </c>
      <c r="CT405" s="19" t="str">
        <f>IFERROR(IF(AND(DA405&lt;&gt;"",VLOOKUP($P405&amp;" | "&amp;CR$6,'Job Master'!$F$12:$I$102,4,0)&lt;&gt;""),IF(WEEKDAY(DA405-VLOOKUP($P405&amp;" | "&amp;CR$6,'Job Master'!$F$12:$I$102,4,0))&lt;&gt;7,DA405-VLOOKUP($P405&amp;" | "&amp;CR$6,'Job Master'!$F$12:$I$102,4,0),DA405-VLOOKUP($P405&amp;" | "&amp;CR$6,'Job Master'!$F$12:$I$102,4,0)-1),""),"")</f>
        <v/>
      </c>
      <c r="CU405" s="73"/>
      <c r="CV405" s="123" t="str">
        <f t="shared" si="801"/>
        <v/>
      </c>
      <c r="CW405" s="123" t="str">
        <f t="shared" si="802"/>
        <v/>
      </c>
      <c r="CX405" s="97" t="str">
        <f t="shared" ca="1" si="803"/>
        <v/>
      </c>
      <c r="CY405" s="98" t="str">
        <f>IF(DA405&lt;&gt;"",VLOOKUP($P405&amp;" | "&amp;CY$6,'Job Master'!$F$12:$J$102,5,0),"")</f>
        <v/>
      </c>
      <c r="CZ405" s="19" t="str">
        <f>IF(DA405&lt;&gt;"",VLOOKUP($P405&amp;" | "&amp;CY$6,'Job Master'!$F$12:$J$102,3,0),"")</f>
        <v/>
      </c>
      <c r="DA405" s="19" t="str">
        <f>IFERROR(IF(AND(DH405&lt;&gt;"",VLOOKUP($P405&amp;" | "&amp;CY$6,'Job Master'!$F$12:$I$102,4,0)&lt;&gt;""),IF(WEEKDAY(DH405-VLOOKUP($P405&amp;" | "&amp;CY$6,'Job Master'!$F$12:$I$102,4,0))&lt;&gt;7,DH405-VLOOKUP($P405&amp;" | "&amp;CY$6,'Job Master'!$F$12:$I$102,4,0),DH405-VLOOKUP($P405&amp;" | "&amp;CY$6,'Job Master'!$F$12:$I$102,4,0)-1),""),"")</f>
        <v/>
      </c>
      <c r="DB405" s="73"/>
      <c r="DC405" s="123" t="str">
        <f t="shared" si="804"/>
        <v/>
      </c>
      <c r="DD405" s="123" t="str">
        <f t="shared" si="805"/>
        <v/>
      </c>
      <c r="DE405" s="97" t="str">
        <f t="shared" ca="1" si="806"/>
        <v/>
      </c>
      <c r="DF405" s="98" t="str">
        <f>IF(DH405&lt;&gt;"",VLOOKUP($P405&amp;" | "&amp;DF$6,'Job Master'!$F$12:$J$102,5,0),"")</f>
        <v/>
      </c>
      <c r="DG405" s="19" t="str">
        <f>IF(DH405&lt;&gt;"",VLOOKUP($P405&amp;" | "&amp;DF$6,'Job Master'!$F$12:$J$102,3,0),"")</f>
        <v/>
      </c>
      <c r="DH405" s="19" t="str">
        <f>IFERROR(IF(AND(DO405&lt;&gt;"",VLOOKUP($P405&amp;" | "&amp;DF$6,'Job Master'!$F$12:$I$102,4,0)&lt;&gt;""),IF(WEEKDAY(DO405-VLOOKUP($P405&amp;" | "&amp;DF$6,'Job Master'!$F$12:$I$102,4,0))&lt;&gt;7,DO405-VLOOKUP($P405&amp;" | "&amp;DF$6,'Job Master'!$F$12:$I$102,4,0),DO405-VLOOKUP($P405&amp;" | "&amp;DF$6,'Job Master'!$F$12:$I$102,4,0)-1),""),"")</f>
        <v/>
      </c>
      <c r="DI405" s="73"/>
      <c r="DJ405" s="123" t="str">
        <f t="shared" si="807"/>
        <v/>
      </c>
      <c r="DK405" s="123" t="str">
        <f t="shared" si="808"/>
        <v/>
      </c>
      <c r="DL405" s="97" t="str">
        <f t="shared" ca="1" si="809"/>
        <v/>
      </c>
      <c r="DM405" s="98" t="str">
        <f>IF(DO405&lt;&gt;"",VLOOKUP($P405&amp;" | "&amp;DM$6,'Job Master'!$F$12:$J$102,5,0),"")</f>
        <v/>
      </c>
      <c r="DN405" s="19" t="str">
        <f>IF(DO405&lt;&gt;"",VLOOKUP($P405&amp;" | "&amp;DM$6,'Job Master'!$F$12:$J$102,3,0),"")</f>
        <v/>
      </c>
      <c r="DO405" s="19" t="str">
        <f>IFERROR(IF(AND(DT405&lt;&gt;"",VLOOKUP($P405&amp;" | "&amp;DM$6,'Job Master'!$F$12:$I$102,4,0)&lt;&gt;""),IF(WEEKDAY(DT405-VLOOKUP($P405&amp;" | "&amp;DM$6,'Job Master'!$F$12:$I$102,4,0))&lt;&gt;7,DT405-VLOOKUP($P405&amp;" | "&amp;DM$6,'Job Master'!$F$12:$I$102,4,0),DT405-VLOOKUP($P405&amp;" | "&amp;DM$6,'Job Master'!$F$12:$I$102,4,0)-1),""),"")</f>
        <v/>
      </c>
      <c r="DP405" s="73"/>
      <c r="DQ405" s="123" t="str">
        <f t="shared" si="810"/>
        <v/>
      </c>
      <c r="DR405" s="123" t="str">
        <f t="shared" si="811"/>
        <v/>
      </c>
      <c r="DS405" s="97" t="str">
        <f t="shared" ca="1" si="812"/>
        <v/>
      </c>
      <c r="DT405" s="70" t="str">
        <f t="shared" si="813"/>
        <v/>
      </c>
      <c r="DU405" s="90"/>
      <c r="DV405" s="123" t="str">
        <f t="shared" si="814"/>
        <v/>
      </c>
      <c r="DW405" s="123" t="str">
        <f t="shared" si="815"/>
        <v/>
      </c>
      <c r="DX405" s="132" t="str">
        <f t="shared" ref="DX405" ca="1" si="835">IF(DT405&lt;&gt;"",IF(WEEKNUM(DT405)=WEEKNUM(TODAY()),"This Week",IF(WEEKNUM(DT405)=WEEKNUM(TODAY())+1,"Next Week",IF(WEEKNUM(DT405)=WEEKNUM(TODAY())-1,"Previous Week",""))),"")</f>
        <v/>
      </c>
      <c r="DY405" s="134" t="str">
        <f t="shared" si="817"/>
        <v/>
      </c>
      <c r="DZ405" s="95"/>
      <c r="EB405" s="8" t="str">
        <f t="shared" si="823"/>
        <v/>
      </c>
      <c r="EC405" s="8" t="str">
        <f>IF(O405&lt;&gt;"",VLOOKUP(O405,'Job Master'!$N$12:$O$18,2,0),"")</f>
        <v/>
      </c>
      <c r="ED405" s="8">
        <f t="shared" si="824"/>
        <v>19.5</v>
      </c>
      <c r="EE405" s="8">
        <f t="shared" si="825"/>
        <v>6</v>
      </c>
      <c r="EF405" s="8">
        <f t="shared" si="826"/>
        <v>-2350.5</v>
      </c>
      <c r="EG405" s="8" t="str">
        <f t="shared" si="827"/>
        <v/>
      </c>
      <c r="EH405" s="8" t="str">
        <f t="shared" si="828"/>
        <v/>
      </c>
    </row>
    <row r="406" spans="2:138" x14ac:dyDescent="0.3">
      <c r="B406" s="112"/>
      <c r="C406" s="27"/>
      <c r="D406" s="7" t="str">
        <f t="shared" si="765"/>
        <v/>
      </c>
      <c r="E406" s="25"/>
      <c r="F406" s="7" t="str">
        <f t="shared" si="765"/>
        <v/>
      </c>
      <c r="G406" s="25"/>
      <c r="H406" s="7" t="str">
        <f t="shared" si="765"/>
        <v/>
      </c>
      <c r="I406" s="25"/>
      <c r="J406" s="7" t="str">
        <f t="shared" si="765"/>
        <v/>
      </c>
      <c r="K406" s="25"/>
      <c r="L406" s="7" t="str">
        <f t="shared" si="766"/>
        <v/>
      </c>
      <c r="M406" s="25"/>
      <c r="N406" s="7" t="str">
        <f t="shared" si="767"/>
        <v/>
      </c>
      <c r="O406" s="81"/>
      <c r="P406" s="81" t="str">
        <f t="shared" si="768"/>
        <v/>
      </c>
      <c r="Q406" s="81"/>
      <c r="R406" s="7" t="str">
        <f t="shared" si="769"/>
        <v/>
      </c>
      <c r="S406" s="25"/>
      <c r="T406" s="7" t="str">
        <f t="shared" si="770"/>
        <v/>
      </c>
      <c r="U406" s="25"/>
      <c r="V406" s="7" t="str">
        <f t="shared" si="771"/>
        <v/>
      </c>
      <c r="W406" s="25"/>
      <c r="X406" s="7" t="str">
        <f t="shared" si="772"/>
        <v/>
      </c>
      <c r="Y406" s="18" t="str">
        <f t="shared" si="773"/>
        <v/>
      </c>
      <c r="Z406" s="7" t="str">
        <f t="shared" si="774"/>
        <v/>
      </c>
      <c r="AA406" s="18" t="str">
        <f t="shared" si="775"/>
        <v/>
      </c>
      <c r="AB406" s="19" t="str">
        <f t="shared" si="776"/>
        <v/>
      </c>
      <c r="AC406" s="26"/>
      <c r="AD406" s="26"/>
      <c r="AE406" s="25"/>
      <c r="AF406" s="26"/>
      <c r="AG406" s="25"/>
      <c r="AH406" s="25"/>
      <c r="AI406" s="18" t="str">
        <f t="shared" si="713"/>
        <v/>
      </c>
      <c r="AJ406" s="25"/>
      <c r="AK406" s="18" t="str">
        <f t="shared" si="714"/>
        <v/>
      </c>
      <c r="AL406" s="79"/>
      <c r="AM406" s="126" t="str">
        <f t="shared" si="715"/>
        <v/>
      </c>
      <c r="AN406" s="128" t="str">
        <f>IF(AP406&lt;&gt;"",VLOOKUP($P406&amp;" | "&amp;AN$6,'Job Master'!$F$12:$J$102,5,0),"")</f>
        <v/>
      </c>
      <c r="AO406" s="19" t="str">
        <f>IF(AP406&lt;&gt;"",VLOOKUP($P406&amp;" | "&amp;AN$6,'Job Master'!$F$12:$J$102,3,0),"")</f>
        <v/>
      </c>
      <c r="AP406" s="19" t="str">
        <f>IFERROR(IF(AND(AW406&lt;&gt;"",VLOOKUP($P406&amp;" | "&amp;AN$6,'Job Master'!$F$12:$I$102,4,0)&lt;&gt;""),IF(WEEKDAY(AW406-VLOOKUP($P406&amp;" | "&amp;AN$6,'Job Master'!$F$12:$I$102,4,0))&lt;&gt;7,AW406-VLOOKUP($P406&amp;" | "&amp;AN$6,'Job Master'!$F$12:$I$102,4,0),AW406-VLOOKUP($P406&amp;" | "&amp;AN$6,'Job Master'!$F$12:$I$102,4,0)-1),""),"")</f>
        <v/>
      </c>
      <c r="AQ406" s="73"/>
      <c r="AR406" s="123" t="str">
        <f t="shared" si="777"/>
        <v/>
      </c>
      <c r="AS406" s="123" t="str">
        <f t="shared" si="778"/>
        <v/>
      </c>
      <c r="AT406" s="97" t="str">
        <f t="shared" ca="1" si="779"/>
        <v/>
      </c>
      <c r="AU406" s="98" t="str">
        <f>IF(AW406&lt;&gt;"",VLOOKUP($P406&amp;" | "&amp;AU$6,'Job Master'!$F$12:$J$102,5,0),"")</f>
        <v/>
      </c>
      <c r="AV406" s="19" t="str">
        <f>IF(AW406&lt;&gt;"",VLOOKUP($P406&amp;" | "&amp;AU$6,'Job Master'!$F$12:$J$102,3,0),"")</f>
        <v/>
      </c>
      <c r="AW406" s="19" t="str">
        <f>IFERROR(IF(AND(BD406&lt;&gt;"",VLOOKUP($P406&amp;" | "&amp;AU$6,'Job Master'!$F$12:$I$102,4,0)&lt;&gt;""),IF(WEEKDAY(BD406-VLOOKUP($P406&amp;" | "&amp;AU$6,'Job Master'!$F$12:$I$102,4,0))&lt;&gt;7,BD406-VLOOKUP($P406&amp;" | "&amp;AU$6,'Job Master'!$F$12:$I$102,4,0),BD406-VLOOKUP($P406&amp;" | "&amp;AU$6,'Job Master'!$F$12:$I$102,4,0)-1),""),"")</f>
        <v/>
      </c>
      <c r="AX406" s="73"/>
      <c r="AY406" s="123" t="str">
        <f t="shared" si="780"/>
        <v/>
      </c>
      <c r="AZ406" s="123" t="str">
        <f t="shared" si="781"/>
        <v/>
      </c>
      <c r="BA406" s="97" t="str">
        <f t="shared" ca="1" si="782"/>
        <v/>
      </c>
      <c r="BB406" s="98" t="str">
        <f>IF(BD406&lt;&gt;"",VLOOKUP($P406&amp;" | "&amp;BB$6,'Job Master'!$F$12:$J$102,5,0),"")</f>
        <v/>
      </c>
      <c r="BC406" s="19" t="str">
        <f>IF(BD406&lt;&gt;"",VLOOKUP($P406&amp;" | "&amp;BB$6,'Job Master'!$F$12:$J$102,3,0),"")</f>
        <v/>
      </c>
      <c r="BD406" s="19" t="str">
        <f>IFERROR(IF(AND(BK406&lt;&gt;"",VLOOKUP($P406&amp;" | "&amp;BB$6,'Job Master'!$F$12:$I$102,4,0)&lt;&gt;""),IF(WEEKDAY(BK406-VLOOKUP($P406&amp;" | "&amp;BB$6,'Job Master'!$F$12:$I$102,4,0))&lt;&gt;7,BK406-VLOOKUP($P406&amp;" | "&amp;BB$6,'Job Master'!$F$12:$I$102,4,0),BK406-VLOOKUP($P406&amp;" | "&amp;BB$6,'Job Master'!$F$12:$I$102,4,0)-1),""),"")</f>
        <v/>
      </c>
      <c r="BE406" s="73"/>
      <c r="BF406" s="123" t="str">
        <f t="shared" si="783"/>
        <v/>
      </c>
      <c r="BG406" s="123" t="str">
        <f t="shared" si="784"/>
        <v/>
      </c>
      <c r="BH406" s="97" t="str">
        <f t="shared" ca="1" si="785"/>
        <v/>
      </c>
      <c r="BI406" s="98" t="str">
        <f>IF(BK406&lt;&gt;"",VLOOKUP($P406&amp;" | "&amp;BI$6,'Job Master'!$F$12:$J$102,5,0),"")</f>
        <v/>
      </c>
      <c r="BJ406" s="19" t="str">
        <f>IF(BK406&lt;&gt;"",VLOOKUP($P406&amp;" | "&amp;BI$6,'Job Master'!$F$12:$J$102,3,0),"")</f>
        <v/>
      </c>
      <c r="BK406" s="19" t="str">
        <f>IFERROR(IF(AND(BR406&lt;&gt;"",VLOOKUP($P406&amp;" | "&amp;BI$6,'Job Master'!$F$12:$I$102,4,0)&lt;&gt;""),IF(WEEKDAY(BR406-VLOOKUP($P406&amp;" | "&amp;BI$6,'Job Master'!$F$12:$I$102,4,0))&lt;&gt;7,BR406-VLOOKUP($P406&amp;" | "&amp;BI$6,'Job Master'!$F$12:$I$102,4,0),BR406-VLOOKUP($P406&amp;" | "&amp;BI$6,'Job Master'!$F$12:$I$102,4,0)-1),""),"")</f>
        <v/>
      </c>
      <c r="BL406" s="73"/>
      <c r="BM406" s="123" t="str">
        <f t="shared" si="786"/>
        <v/>
      </c>
      <c r="BN406" s="123" t="str">
        <f t="shared" si="787"/>
        <v/>
      </c>
      <c r="BO406" s="97" t="str">
        <f t="shared" ca="1" si="788"/>
        <v/>
      </c>
      <c r="BP406" s="98" t="str">
        <f>IF(BR406&lt;&gt;"",VLOOKUP($P406&amp;" | "&amp;BP$6,'Job Master'!$F$12:$J$102,5,0),"")</f>
        <v/>
      </c>
      <c r="BQ406" s="19" t="str">
        <f>IF(BR406&lt;&gt;"",VLOOKUP($P406&amp;" | "&amp;BP$6,'Job Master'!$F$12:$J$102,3,0),"")</f>
        <v/>
      </c>
      <c r="BR406" s="19" t="str">
        <f>IFERROR(IF(AND(BY406&lt;&gt;"",VLOOKUP($P406&amp;" | "&amp;BP$6,'Job Master'!$F$12:$I$102,4,0)&lt;&gt;""),IF(WEEKDAY(BY406-VLOOKUP($P406&amp;" | "&amp;BP$6,'Job Master'!$F$12:$I$102,4,0))&lt;&gt;7,BY406-VLOOKUP($P406&amp;" | "&amp;BP$6,'Job Master'!$F$12:$I$102,4,0),BY406-VLOOKUP($P406&amp;" | "&amp;BP$6,'Job Master'!$F$12:$I$102,4,0)-1),""),"")</f>
        <v/>
      </c>
      <c r="BS406" s="73"/>
      <c r="BT406" s="123" t="str">
        <f t="shared" si="789"/>
        <v/>
      </c>
      <c r="BU406" s="123" t="str">
        <f t="shared" si="790"/>
        <v/>
      </c>
      <c r="BV406" s="97" t="str">
        <f t="shared" ca="1" si="791"/>
        <v/>
      </c>
      <c r="BW406" s="98" t="str">
        <f>IF(BY406&lt;&gt;"",VLOOKUP($P406&amp;" | "&amp;BW$6,'Job Master'!$F$12:$J$102,5,0),"")</f>
        <v/>
      </c>
      <c r="BX406" s="19" t="str">
        <f>IF(BY406&lt;&gt;"",VLOOKUP($P406&amp;" | "&amp;BW$6,'Job Master'!$F$12:$J$102,3,0),"")</f>
        <v/>
      </c>
      <c r="BY406" s="19" t="str">
        <f>IFERROR(IF(AND(CF406&lt;&gt;"",VLOOKUP($P406&amp;" | "&amp;BW$6,'Job Master'!$F$12:$I$102,4,0)&lt;&gt;""),IF(WEEKDAY(CF406-VLOOKUP($P406&amp;" | "&amp;BW$6,'Job Master'!$F$12:$I$102,4,0))&lt;&gt;7,CF406-VLOOKUP($P406&amp;" | "&amp;BW$6,'Job Master'!$F$12:$I$102,4,0),CF406-VLOOKUP($P406&amp;" | "&amp;BW$6,'Job Master'!$F$12:$I$102,4,0)-1),""),"")</f>
        <v/>
      </c>
      <c r="BZ406" s="73"/>
      <c r="CA406" s="123" t="str">
        <f t="shared" si="792"/>
        <v/>
      </c>
      <c r="CB406" s="123" t="str">
        <f t="shared" si="793"/>
        <v/>
      </c>
      <c r="CC406" s="97" t="str">
        <f t="shared" ca="1" si="794"/>
        <v/>
      </c>
      <c r="CD406" s="98" t="str">
        <f>IF(CF406&lt;&gt;"",VLOOKUP($P406&amp;" | "&amp;CD$6,'Job Master'!$F$12:$J$102,5,0),"")</f>
        <v/>
      </c>
      <c r="CE406" s="19" t="str">
        <f>IF(CF406&lt;&gt;"",VLOOKUP($P406&amp;" | "&amp;CD$6,'Job Master'!$F$12:$J$102,3,0),"")</f>
        <v/>
      </c>
      <c r="CF406" s="19" t="str">
        <f>IFERROR(IF(AND(CM406&lt;&gt;"",VLOOKUP($P406&amp;" | "&amp;CD$6,'Job Master'!$F$12:$I$102,4,0)&lt;&gt;""),IF(WEEKDAY(CM406-VLOOKUP($P406&amp;" | "&amp;CD$6,'Job Master'!$F$12:$I$102,4,0))&lt;&gt;7,CM406-VLOOKUP($P406&amp;" | "&amp;CD$6,'Job Master'!$F$12:$I$102,4,0),CM406-VLOOKUP($P406&amp;" | "&amp;CD$6,'Job Master'!$F$12:$I$102,4,0)-1),""),"")</f>
        <v/>
      </c>
      <c r="CG406" s="73"/>
      <c r="CH406" s="123" t="str">
        <f t="shared" si="795"/>
        <v/>
      </c>
      <c r="CI406" s="123" t="str">
        <f t="shared" si="796"/>
        <v/>
      </c>
      <c r="CJ406" s="97" t="str">
        <f t="shared" ca="1" si="797"/>
        <v/>
      </c>
      <c r="CK406" s="98" t="str">
        <f>IF(CM406&lt;&gt;"",VLOOKUP($P406&amp;" | "&amp;CK$6,'Job Master'!$F$12:$J$102,5,0),"")</f>
        <v/>
      </c>
      <c r="CL406" s="19" t="str">
        <f>IF(CM406&lt;&gt;"",VLOOKUP($P406&amp;" | "&amp;CK$6,'Job Master'!$F$12:$J$102,3,0),"")</f>
        <v/>
      </c>
      <c r="CM406" s="19" t="str">
        <f>IFERROR(IF(AND(CT406&lt;&gt;"",VLOOKUP($P406&amp;" | "&amp;CK$6,'Job Master'!$F$12:$I$102,4,0)&lt;&gt;""),IF(WEEKDAY(CT406-VLOOKUP($P406&amp;" | "&amp;CK$6,'Job Master'!$F$12:$I$102,4,0))&lt;&gt;7,CT406-VLOOKUP($P406&amp;" | "&amp;CK$6,'Job Master'!$F$12:$I$102,4,0),CT406-VLOOKUP($P406&amp;" | "&amp;CK$6,'Job Master'!$F$12:$I$102,4,0)-1),""),"")</f>
        <v/>
      </c>
      <c r="CN406" s="73"/>
      <c r="CO406" s="123" t="str">
        <f t="shared" si="798"/>
        <v/>
      </c>
      <c r="CP406" s="123" t="str">
        <f t="shared" si="799"/>
        <v/>
      </c>
      <c r="CQ406" s="97" t="str">
        <f t="shared" ca="1" si="800"/>
        <v/>
      </c>
      <c r="CR406" s="98" t="str">
        <f>IF(CT406&lt;&gt;"",VLOOKUP($P406&amp;" | "&amp;CR$6,'Job Master'!$F$12:$J$102,5,0),"")</f>
        <v/>
      </c>
      <c r="CS406" s="19" t="str">
        <f>IF(CT406&lt;&gt;"",VLOOKUP($P406&amp;" | "&amp;CR$6,'Job Master'!$F$12:$J$102,3,0),"")</f>
        <v/>
      </c>
      <c r="CT406" s="19" t="str">
        <f>IFERROR(IF(AND(DA406&lt;&gt;"",VLOOKUP($P406&amp;" | "&amp;CR$6,'Job Master'!$F$12:$I$102,4,0)&lt;&gt;""),IF(WEEKDAY(DA406-VLOOKUP($P406&amp;" | "&amp;CR$6,'Job Master'!$F$12:$I$102,4,0))&lt;&gt;7,DA406-VLOOKUP($P406&amp;" | "&amp;CR$6,'Job Master'!$F$12:$I$102,4,0),DA406-VLOOKUP($P406&amp;" | "&amp;CR$6,'Job Master'!$F$12:$I$102,4,0)-1),""),"")</f>
        <v/>
      </c>
      <c r="CU406" s="73"/>
      <c r="CV406" s="123" t="str">
        <f t="shared" si="801"/>
        <v/>
      </c>
      <c r="CW406" s="123" t="str">
        <f t="shared" si="802"/>
        <v/>
      </c>
      <c r="CX406" s="97" t="str">
        <f t="shared" ca="1" si="803"/>
        <v/>
      </c>
      <c r="CY406" s="98" t="str">
        <f>IF(DA406&lt;&gt;"",VLOOKUP($P406&amp;" | "&amp;CY$6,'Job Master'!$F$12:$J$102,5,0),"")</f>
        <v/>
      </c>
      <c r="CZ406" s="19" t="str">
        <f>IF(DA406&lt;&gt;"",VLOOKUP($P406&amp;" | "&amp;CY$6,'Job Master'!$F$12:$J$102,3,0),"")</f>
        <v/>
      </c>
      <c r="DA406" s="19" t="str">
        <f>IFERROR(IF(AND(DH406&lt;&gt;"",VLOOKUP($P406&amp;" | "&amp;CY$6,'Job Master'!$F$12:$I$102,4,0)&lt;&gt;""),IF(WEEKDAY(DH406-VLOOKUP($P406&amp;" | "&amp;CY$6,'Job Master'!$F$12:$I$102,4,0))&lt;&gt;7,DH406-VLOOKUP($P406&amp;" | "&amp;CY$6,'Job Master'!$F$12:$I$102,4,0),DH406-VLOOKUP($P406&amp;" | "&amp;CY$6,'Job Master'!$F$12:$I$102,4,0)-1),""),"")</f>
        <v/>
      </c>
      <c r="DB406" s="73"/>
      <c r="DC406" s="123" t="str">
        <f t="shared" si="804"/>
        <v/>
      </c>
      <c r="DD406" s="123" t="str">
        <f t="shared" si="805"/>
        <v/>
      </c>
      <c r="DE406" s="97" t="str">
        <f t="shared" ca="1" si="806"/>
        <v/>
      </c>
      <c r="DF406" s="98" t="str">
        <f>IF(DH406&lt;&gt;"",VLOOKUP($P406&amp;" | "&amp;DF$6,'Job Master'!$F$12:$J$102,5,0),"")</f>
        <v/>
      </c>
      <c r="DG406" s="19" t="str">
        <f>IF(DH406&lt;&gt;"",VLOOKUP($P406&amp;" | "&amp;DF$6,'Job Master'!$F$12:$J$102,3,0),"")</f>
        <v/>
      </c>
      <c r="DH406" s="19" t="str">
        <f>IFERROR(IF(AND(DO406&lt;&gt;"",VLOOKUP($P406&amp;" | "&amp;DF$6,'Job Master'!$F$12:$I$102,4,0)&lt;&gt;""),IF(WEEKDAY(DO406-VLOOKUP($P406&amp;" | "&amp;DF$6,'Job Master'!$F$12:$I$102,4,0))&lt;&gt;7,DO406-VLOOKUP($P406&amp;" | "&amp;DF$6,'Job Master'!$F$12:$I$102,4,0),DO406-VLOOKUP($P406&amp;" | "&amp;DF$6,'Job Master'!$F$12:$I$102,4,0)-1),""),"")</f>
        <v/>
      </c>
      <c r="DI406" s="73"/>
      <c r="DJ406" s="123" t="str">
        <f t="shared" si="807"/>
        <v/>
      </c>
      <c r="DK406" s="123" t="str">
        <f t="shared" si="808"/>
        <v/>
      </c>
      <c r="DL406" s="97" t="str">
        <f t="shared" ca="1" si="809"/>
        <v/>
      </c>
      <c r="DM406" s="98" t="str">
        <f>IF(DO406&lt;&gt;"",VLOOKUP($P406&amp;" | "&amp;DM$6,'Job Master'!$F$12:$J$102,5,0),"")</f>
        <v/>
      </c>
      <c r="DN406" s="19" t="str">
        <f>IF(DO406&lt;&gt;"",VLOOKUP($P406&amp;" | "&amp;DM$6,'Job Master'!$F$12:$J$102,3,0),"")</f>
        <v/>
      </c>
      <c r="DO406" s="19" t="str">
        <f>IFERROR(IF(AND(DT406&lt;&gt;"",VLOOKUP($P406&amp;" | "&amp;DM$6,'Job Master'!$F$12:$I$102,4,0)&lt;&gt;""),IF(WEEKDAY(DT406-VLOOKUP($P406&amp;" | "&amp;DM$6,'Job Master'!$F$12:$I$102,4,0))&lt;&gt;7,DT406-VLOOKUP($P406&amp;" | "&amp;DM$6,'Job Master'!$F$12:$I$102,4,0),DT406-VLOOKUP($P406&amp;" | "&amp;DM$6,'Job Master'!$F$12:$I$102,4,0)-1),""),"")</f>
        <v/>
      </c>
      <c r="DP406" s="73"/>
      <c r="DQ406" s="123" t="str">
        <f t="shared" si="810"/>
        <v/>
      </c>
      <c r="DR406" s="123" t="str">
        <f t="shared" si="811"/>
        <v/>
      </c>
      <c r="DS406" s="97" t="str">
        <f t="shared" ca="1" si="812"/>
        <v/>
      </c>
      <c r="DT406" s="70" t="str">
        <f t="shared" si="813"/>
        <v/>
      </c>
      <c r="DU406" s="90"/>
      <c r="DV406" s="123" t="str">
        <f t="shared" si="814"/>
        <v/>
      </c>
      <c r="DW406" s="123" t="str">
        <f t="shared" si="815"/>
        <v/>
      </c>
      <c r="DX406" s="132" t="str">
        <f t="shared" ref="DX406" ca="1" si="836">IF(DT406&lt;&gt;"",IF(WEEKNUM(DT406)=WEEKNUM(TODAY()),"This Week",IF(WEEKNUM(DT406)=WEEKNUM(TODAY())+1,"Next Week",IF(WEEKNUM(DT406)=WEEKNUM(TODAY())-1,"Previous Week",""))),"")</f>
        <v/>
      </c>
      <c r="DY406" s="134" t="str">
        <f t="shared" si="817"/>
        <v/>
      </c>
      <c r="DZ406" s="95"/>
      <c r="EB406" s="8" t="str">
        <f t="shared" si="823"/>
        <v/>
      </c>
      <c r="EC406" s="8" t="str">
        <f>IF(O406&lt;&gt;"",VLOOKUP(O406,'Job Master'!$N$12:$O$18,2,0),"")</f>
        <v/>
      </c>
      <c r="ED406" s="8">
        <f t="shared" si="824"/>
        <v>19.5</v>
      </c>
      <c r="EE406" s="8">
        <f t="shared" si="825"/>
        <v>6</v>
      </c>
      <c r="EF406" s="8">
        <f t="shared" si="826"/>
        <v>-2356.5</v>
      </c>
      <c r="EG406" s="8" t="str">
        <f t="shared" si="827"/>
        <v/>
      </c>
      <c r="EH406" s="8" t="str">
        <f t="shared" si="828"/>
        <v/>
      </c>
    </row>
    <row r="407" spans="2:138" x14ac:dyDescent="0.3">
      <c r="B407" s="112"/>
      <c r="C407" s="27"/>
      <c r="D407" s="7" t="str">
        <f t="shared" si="765"/>
        <v/>
      </c>
      <c r="E407" s="25"/>
      <c r="F407" s="7" t="str">
        <f t="shared" si="765"/>
        <v/>
      </c>
      <c r="G407" s="25"/>
      <c r="H407" s="7" t="str">
        <f t="shared" si="765"/>
        <v/>
      </c>
      <c r="I407" s="25"/>
      <c r="J407" s="7" t="str">
        <f t="shared" si="765"/>
        <v/>
      </c>
      <c r="K407" s="25"/>
      <c r="L407" s="7" t="str">
        <f t="shared" si="766"/>
        <v/>
      </c>
      <c r="M407" s="25"/>
      <c r="N407" s="7" t="str">
        <f t="shared" si="767"/>
        <v/>
      </c>
      <c r="O407" s="81"/>
      <c r="P407" s="81" t="str">
        <f t="shared" si="768"/>
        <v/>
      </c>
      <c r="Q407" s="81"/>
      <c r="R407" s="7" t="str">
        <f t="shared" si="769"/>
        <v/>
      </c>
      <c r="S407" s="25"/>
      <c r="T407" s="7" t="str">
        <f t="shared" si="770"/>
        <v/>
      </c>
      <c r="U407" s="25"/>
      <c r="V407" s="7" t="str">
        <f t="shared" si="771"/>
        <v/>
      </c>
      <c r="W407" s="25"/>
      <c r="X407" s="7" t="str">
        <f t="shared" si="772"/>
        <v/>
      </c>
      <c r="Y407" s="18" t="str">
        <f t="shared" si="773"/>
        <v/>
      </c>
      <c r="Z407" s="7" t="str">
        <f t="shared" si="774"/>
        <v/>
      </c>
      <c r="AA407" s="18" t="str">
        <f t="shared" si="775"/>
        <v/>
      </c>
      <c r="AB407" s="19" t="str">
        <f t="shared" si="776"/>
        <v/>
      </c>
      <c r="AC407" s="26"/>
      <c r="AD407" s="26"/>
      <c r="AE407" s="25"/>
      <c r="AF407" s="26"/>
      <c r="AG407" s="25"/>
      <c r="AH407" s="25"/>
      <c r="AI407" s="18" t="str">
        <f t="shared" si="713"/>
        <v/>
      </c>
      <c r="AJ407" s="25"/>
      <c r="AK407" s="18" t="str">
        <f t="shared" si="714"/>
        <v/>
      </c>
      <c r="AL407" s="79"/>
      <c r="AM407" s="126" t="str">
        <f t="shared" si="715"/>
        <v/>
      </c>
      <c r="AN407" s="128" t="str">
        <f>IF(AP407&lt;&gt;"",VLOOKUP($P407&amp;" | "&amp;AN$6,'Job Master'!$F$12:$J$102,5,0),"")</f>
        <v/>
      </c>
      <c r="AO407" s="19" t="str">
        <f>IF(AP407&lt;&gt;"",VLOOKUP($P407&amp;" | "&amp;AN$6,'Job Master'!$F$12:$J$102,3,0),"")</f>
        <v/>
      </c>
      <c r="AP407" s="19" t="str">
        <f>IFERROR(IF(AND(AW407&lt;&gt;"",VLOOKUP($P407&amp;" | "&amp;AN$6,'Job Master'!$F$12:$I$102,4,0)&lt;&gt;""),IF(WEEKDAY(AW407-VLOOKUP($P407&amp;" | "&amp;AN$6,'Job Master'!$F$12:$I$102,4,0))&lt;&gt;7,AW407-VLOOKUP($P407&amp;" | "&amp;AN$6,'Job Master'!$F$12:$I$102,4,0),AW407-VLOOKUP($P407&amp;" | "&amp;AN$6,'Job Master'!$F$12:$I$102,4,0)-1),""),"")</f>
        <v/>
      </c>
      <c r="AQ407" s="73"/>
      <c r="AR407" s="123" t="str">
        <f t="shared" si="777"/>
        <v/>
      </c>
      <c r="AS407" s="123" t="str">
        <f t="shared" si="778"/>
        <v/>
      </c>
      <c r="AT407" s="97" t="str">
        <f t="shared" ca="1" si="779"/>
        <v/>
      </c>
      <c r="AU407" s="98" t="str">
        <f>IF(AW407&lt;&gt;"",VLOOKUP($P407&amp;" | "&amp;AU$6,'Job Master'!$F$12:$J$102,5,0),"")</f>
        <v/>
      </c>
      <c r="AV407" s="19" t="str">
        <f>IF(AW407&lt;&gt;"",VLOOKUP($P407&amp;" | "&amp;AU$6,'Job Master'!$F$12:$J$102,3,0),"")</f>
        <v/>
      </c>
      <c r="AW407" s="19" t="str">
        <f>IFERROR(IF(AND(BD407&lt;&gt;"",VLOOKUP($P407&amp;" | "&amp;AU$6,'Job Master'!$F$12:$I$102,4,0)&lt;&gt;""),IF(WEEKDAY(BD407-VLOOKUP($P407&amp;" | "&amp;AU$6,'Job Master'!$F$12:$I$102,4,0))&lt;&gt;7,BD407-VLOOKUP($P407&amp;" | "&amp;AU$6,'Job Master'!$F$12:$I$102,4,0),BD407-VLOOKUP($P407&amp;" | "&amp;AU$6,'Job Master'!$F$12:$I$102,4,0)-1),""),"")</f>
        <v/>
      </c>
      <c r="AX407" s="73"/>
      <c r="AY407" s="123" t="str">
        <f t="shared" si="780"/>
        <v/>
      </c>
      <c r="AZ407" s="123" t="str">
        <f t="shared" si="781"/>
        <v/>
      </c>
      <c r="BA407" s="97" t="str">
        <f t="shared" ca="1" si="782"/>
        <v/>
      </c>
      <c r="BB407" s="98" t="str">
        <f>IF(BD407&lt;&gt;"",VLOOKUP($P407&amp;" | "&amp;BB$6,'Job Master'!$F$12:$J$102,5,0),"")</f>
        <v/>
      </c>
      <c r="BC407" s="19" t="str">
        <f>IF(BD407&lt;&gt;"",VLOOKUP($P407&amp;" | "&amp;BB$6,'Job Master'!$F$12:$J$102,3,0),"")</f>
        <v/>
      </c>
      <c r="BD407" s="19" t="str">
        <f>IFERROR(IF(AND(BK407&lt;&gt;"",VLOOKUP($P407&amp;" | "&amp;BB$6,'Job Master'!$F$12:$I$102,4,0)&lt;&gt;""),IF(WEEKDAY(BK407-VLOOKUP($P407&amp;" | "&amp;BB$6,'Job Master'!$F$12:$I$102,4,0))&lt;&gt;7,BK407-VLOOKUP($P407&amp;" | "&amp;BB$6,'Job Master'!$F$12:$I$102,4,0),BK407-VLOOKUP($P407&amp;" | "&amp;BB$6,'Job Master'!$F$12:$I$102,4,0)-1),""),"")</f>
        <v/>
      </c>
      <c r="BE407" s="73"/>
      <c r="BF407" s="123" t="str">
        <f t="shared" si="783"/>
        <v/>
      </c>
      <c r="BG407" s="123" t="str">
        <f t="shared" si="784"/>
        <v/>
      </c>
      <c r="BH407" s="97" t="str">
        <f t="shared" ca="1" si="785"/>
        <v/>
      </c>
      <c r="BI407" s="98" t="str">
        <f>IF(BK407&lt;&gt;"",VLOOKUP($P407&amp;" | "&amp;BI$6,'Job Master'!$F$12:$J$102,5,0),"")</f>
        <v/>
      </c>
      <c r="BJ407" s="19" t="str">
        <f>IF(BK407&lt;&gt;"",VLOOKUP($P407&amp;" | "&amp;BI$6,'Job Master'!$F$12:$J$102,3,0),"")</f>
        <v/>
      </c>
      <c r="BK407" s="19" t="str">
        <f>IFERROR(IF(AND(BR407&lt;&gt;"",VLOOKUP($P407&amp;" | "&amp;BI$6,'Job Master'!$F$12:$I$102,4,0)&lt;&gt;""),IF(WEEKDAY(BR407-VLOOKUP($P407&amp;" | "&amp;BI$6,'Job Master'!$F$12:$I$102,4,0))&lt;&gt;7,BR407-VLOOKUP($P407&amp;" | "&amp;BI$6,'Job Master'!$F$12:$I$102,4,0),BR407-VLOOKUP($P407&amp;" | "&amp;BI$6,'Job Master'!$F$12:$I$102,4,0)-1),""),"")</f>
        <v/>
      </c>
      <c r="BL407" s="73"/>
      <c r="BM407" s="123" t="str">
        <f t="shared" si="786"/>
        <v/>
      </c>
      <c r="BN407" s="123" t="str">
        <f t="shared" si="787"/>
        <v/>
      </c>
      <c r="BO407" s="97" t="str">
        <f t="shared" ca="1" si="788"/>
        <v/>
      </c>
      <c r="BP407" s="98" t="str">
        <f>IF(BR407&lt;&gt;"",VLOOKUP($P407&amp;" | "&amp;BP$6,'Job Master'!$F$12:$J$102,5,0),"")</f>
        <v/>
      </c>
      <c r="BQ407" s="19" t="str">
        <f>IF(BR407&lt;&gt;"",VLOOKUP($P407&amp;" | "&amp;BP$6,'Job Master'!$F$12:$J$102,3,0),"")</f>
        <v/>
      </c>
      <c r="BR407" s="19" t="str">
        <f>IFERROR(IF(AND(BY407&lt;&gt;"",VLOOKUP($P407&amp;" | "&amp;BP$6,'Job Master'!$F$12:$I$102,4,0)&lt;&gt;""),IF(WEEKDAY(BY407-VLOOKUP($P407&amp;" | "&amp;BP$6,'Job Master'!$F$12:$I$102,4,0))&lt;&gt;7,BY407-VLOOKUP($P407&amp;" | "&amp;BP$6,'Job Master'!$F$12:$I$102,4,0),BY407-VLOOKUP($P407&amp;" | "&amp;BP$6,'Job Master'!$F$12:$I$102,4,0)-1),""),"")</f>
        <v/>
      </c>
      <c r="BS407" s="73"/>
      <c r="BT407" s="123" t="str">
        <f t="shared" si="789"/>
        <v/>
      </c>
      <c r="BU407" s="123" t="str">
        <f t="shared" si="790"/>
        <v/>
      </c>
      <c r="BV407" s="97" t="str">
        <f t="shared" ca="1" si="791"/>
        <v/>
      </c>
      <c r="BW407" s="98" t="str">
        <f>IF(BY407&lt;&gt;"",VLOOKUP($P407&amp;" | "&amp;BW$6,'Job Master'!$F$12:$J$102,5,0),"")</f>
        <v/>
      </c>
      <c r="BX407" s="19" t="str">
        <f>IF(BY407&lt;&gt;"",VLOOKUP($P407&amp;" | "&amp;BW$6,'Job Master'!$F$12:$J$102,3,0),"")</f>
        <v/>
      </c>
      <c r="BY407" s="19" t="str">
        <f>IFERROR(IF(AND(CF407&lt;&gt;"",VLOOKUP($P407&amp;" | "&amp;BW$6,'Job Master'!$F$12:$I$102,4,0)&lt;&gt;""),IF(WEEKDAY(CF407-VLOOKUP($P407&amp;" | "&amp;BW$6,'Job Master'!$F$12:$I$102,4,0))&lt;&gt;7,CF407-VLOOKUP($P407&amp;" | "&amp;BW$6,'Job Master'!$F$12:$I$102,4,0),CF407-VLOOKUP($P407&amp;" | "&amp;BW$6,'Job Master'!$F$12:$I$102,4,0)-1),""),"")</f>
        <v/>
      </c>
      <c r="BZ407" s="73"/>
      <c r="CA407" s="123" t="str">
        <f t="shared" si="792"/>
        <v/>
      </c>
      <c r="CB407" s="123" t="str">
        <f t="shared" si="793"/>
        <v/>
      </c>
      <c r="CC407" s="97" t="str">
        <f t="shared" ca="1" si="794"/>
        <v/>
      </c>
      <c r="CD407" s="98" t="str">
        <f>IF(CF407&lt;&gt;"",VLOOKUP($P407&amp;" | "&amp;CD$6,'Job Master'!$F$12:$J$102,5,0),"")</f>
        <v/>
      </c>
      <c r="CE407" s="19" t="str">
        <f>IF(CF407&lt;&gt;"",VLOOKUP($P407&amp;" | "&amp;CD$6,'Job Master'!$F$12:$J$102,3,0),"")</f>
        <v/>
      </c>
      <c r="CF407" s="19" t="str">
        <f>IFERROR(IF(AND(CM407&lt;&gt;"",VLOOKUP($P407&amp;" | "&amp;CD$6,'Job Master'!$F$12:$I$102,4,0)&lt;&gt;""),IF(WEEKDAY(CM407-VLOOKUP($P407&amp;" | "&amp;CD$6,'Job Master'!$F$12:$I$102,4,0))&lt;&gt;7,CM407-VLOOKUP($P407&amp;" | "&amp;CD$6,'Job Master'!$F$12:$I$102,4,0),CM407-VLOOKUP($P407&amp;" | "&amp;CD$6,'Job Master'!$F$12:$I$102,4,0)-1),""),"")</f>
        <v/>
      </c>
      <c r="CG407" s="73"/>
      <c r="CH407" s="123" t="str">
        <f t="shared" si="795"/>
        <v/>
      </c>
      <c r="CI407" s="123" t="str">
        <f t="shared" si="796"/>
        <v/>
      </c>
      <c r="CJ407" s="97" t="str">
        <f t="shared" ca="1" si="797"/>
        <v/>
      </c>
      <c r="CK407" s="98" t="str">
        <f>IF(CM407&lt;&gt;"",VLOOKUP($P407&amp;" | "&amp;CK$6,'Job Master'!$F$12:$J$102,5,0),"")</f>
        <v/>
      </c>
      <c r="CL407" s="19" t="str">
        <f>IF(CM407&lt;&gt;"",VLOOKUP($P407&amp;" | "&amp;CK$6,'Job Master'!$F$12:$J$102,3,0),"")</f>
        <v/>
      </c>
      <c r="CM407" s="19" t="str">
        <f>IFERROR(IF(AND(CT407&lt;&gt;"",VLOOKUP($P407&amp;" | "&amp;CK$6,'Job Master'!$F$12:$I$102,4,0)&lt;&gt;""),IF(WEEKDAY(CT407-VLOOKUP($P407&amp;" | "&amp;CK$6,'Job Master'!$F$12:$I$102,4,0))&lt;&gt;7,CT407-VLOOKUP($P407&amp;" | "&amp;CK$6,'Job Master'!$F$12:$I$102,4,0),CT407-VLOOKUP($P407&amp;" | "&amp;CK$6,'Job Master'!$F$12:$I$102,4,0)-1),""),"")</f>
        <v/>
      </c>
      <c r="CN407" s="73"/>
      <c r="CO407" s="123" t="str">
        <f t="shared" si="798"/>
        <v/>
      </c>
      <c r="CP407" s="123" t="str">
        <f t="shared" si="799"/>
        <v/>
      </c>
      <c r="CQ407" s="97" t="str">
        <f t="shared" ca="1" si="800"/>
        <v/>
      </c>
      <c r="CR407" s="98" t="str">
        <f>IF(CT407&lt;&gt;"",VLOOKUP($P407&amp;" | "&amp;CR$6,'Job Master'!$F$12:$J$102,5,0),"")</f>
        <v/>
      </c>
      <c r="CS407" s="19" t="str">
        <f>IF(CT407&lt;&gt;"",VLOOKUP($P407&amp;" | "&amp;CR$6,'Job Master'!$F$12:$J$102,3,0),"")</f>
        <v/>
      </c>
      <c r="CT407" s="19" t="str">
        <f>IFERROR(IF(AND(DA407&lt;&gt;"",VLOOKUP($P407&amp;" | "&amp;CR$6,'Job Master'!$F$12:$I$102,4,0)&lt;&gt;""),IF(WEEKDAY(DA407-VLOOKUP($P407&amp;" | "&amp;CR$6,'Job Master'!$F$12:$I$102,4,0))&lt;&gt;7,DA407-VLOOKUP($P407&amp;" | "&amp;CR$6,'Job Master'!$F$12:$I$102,4,0),DA407-VLOOKUP($P407&amp;" | "&amp;CR$6,'Job Master'!$F$12:$I$102,4,0)-1),""),"")</f>
        <v/>
      </c>
      <c r="CU407" s="73"/>
      <c r="CV407" s="123" t="str">
        <f t="shared" si="801"/>
        <v/>
      </c>
      <c r="CW407" s="123" t="str">
        <f t="shared" si="802"/>
        <v/>
      </c>
      <c r="CX407" s="97" t="str">
        <f t="shared" ca="1" si="803"/>
        <v/>
      </c>
      <c r="CY407" s="98" t="str">
        <f>IF(DA407&lt;&gt;"",VLOOKUP($P407&amp;" | "&amp;CY$6,'Job Master'!$F$12:$J$102,5,0),"")</f>
        <v/>
      </c>
      <c r="CZ407" s="19" t="str">
        <f>IF(DA407&lt;&gt;"",VLOOKUP($P407&amp;" | "&amp;CY$6,'Job Master'!$F$12:$J$102,3,0),"")</f>
        <v/>
      </c>
      <c r="DA407" s="19" t="str">
        <f>IFERROR(IF(AND(DH407&lt;&gt;"",VLOOKUP($P407&amp;" | "&amp;CY$6,'Job Master'!$F$12:$I$102,4,0)&lt;&gt;""),IF(WEEKDAY(DH407-VLOOKUP($P407&amp;" | "&amp;CY$6,'Job Master'!$F$12:$I$102,4,0))&lt;&gt;7,DH407-VLOOKUP($P407&amp;" | "&amp;CY$6,'Job Master'!$F$12:$I$102,4,0),DH407-VLOOKUP($P407&amp;" | "&amp;CY$6,'Job Master'!$F$12:$I$102,4,0)-1),""),"")</f>
        <v/>
      </c>
      <c r="DB407" s="73"/>
      <c r="DC407" s="123" t="str">
        <f t="shared" si="804"/>
        <v/>
      </c>
      <c r="DD407" s="123" t="str">
        <f t="shared" si="805"/>
        <v/>
      </c>
      <c r="DE407" s="97" t="str">
        <f t="shared" ca="1" si="806"/>
        <v/>
      </c>
      <c r="DF407" s="98" t="str">
        <f>IF(DH407&lt;&gt;"",VLOOKUP($P407&amp;" | "&amp;DF$6,'Job Master'!$F$12:$J$102,5,0),"")</f>
        <v/>
      </c>
      <c r="DG407" s="19" t="str">
        <f>IF(DH407&lt;&gt;"",VLOOKUP($P407&amp;" | "&amp;DF$6,'Job Master'!$F$12:$J$102,3,0),"")</f>
        <v/>
      </c>
      <c r="DH407" s="19" t="str">
        <f>IFERROR(IF(AND(DO407&lt;&gt;"",VLOOKUP($P407&amp;" | "&amp;DF$6,'Job Master'!$F$12:$I$102,4,0)&lt;&gt;""),IF(WEEKDAY(DO407-VLOOKUP($P407&amp;" | "&amp;DF$6,'Job Master'!$F$12:$I$102,4,0))&lt;&gt;7,DO407-VLOOKUP($P407&amp;" | "&amp;DF$6,'Job Master'!$F$12:$I$102,4,0),DO407-VLOOKUP($P407&amp;" | "&amp;DF$6,'Job Master'!$F$12:$I$102,4,0)-1),""),"")</f>
        <v/>
      </c>
      <c r="DI407" s="73"/>
      <c r="DJ407" s="123" t="str">
        <f t="shared" si="807"/>
        <v/>
      </c>
      <c r="DK407" s="123" t="str">
        <f t="shared" si="808"/>
        <v/>
      </c>
      <c r="DL407" s="97" t="str">
        <f t="shared" ca="1" si="809"/>
        <v/>
      </c>
      <c r="DM407" s="98" t="str">
        <f>IF(DO407&lt;&gt;"",VLOOKUP($P407&amp;" | "&amp;DM$6,'Job Master'!$F$12:$J$102,5,0),"")</f>
        <v/>
      </c>
      <c r="DN407" s="19" t="str">
        <f>IF(DO407&lt;&gt;"",VLOOKUP($P407&amp;" | "&amp;DM$6,'Job Master'!$F$12:$J$102,3,0),"")</f>
        <v/>
      </c>
      <c r="DO407" s="19" t="str">
        <f>IFERROR(IF(AND(DT407&lt;&gt;"",VLOOKUP($P407&amp;" | "&amp;DM$6,'Job Master'!$F$12:$I$102,4,0)&lt;&gt;""),IF(WEEKDAY(DT407-VLOOKUP($P407&amp;" | "&amp;DM$6,'Job Master'!$F$12:$I$102,4,0))&lt;&gt;7,DT407-VLOOKUP($P407&amp;" | "&amp;DM$6,'Job Master'!$F$12:$I$102,4,0),DT407-VLOOKUP($P407&amp;" | "&amp;DM$6,'Job Master'!$F$12:$I$102,4,0)-1),""),"")</f>
        <v/>
      </c>
      <c r="DP407" s="73"/>
      <c r="DQ407" s="123" t="str">
        <f t="shared" si="810"/>
        <v/>
      </c>
      <c r="DR407" s="123" t="str">
        <f t="shared" si="811"/>
        <v/>
      </c>
      <c r="DS407" s="97" t="str">
        <f t="shared" ca="1" si="812"/>
        <v/>
      </c>
      <c r="DT407" s="70" t="str">
        <f t="shared" si="813"/>
        <v/>
      </c>
      <c r="DU407" s="90"/>
      <c r="DV407" s="123" t="str">
        <f t="shared" si="814"/>
        <v/>
      </c>
      <c r="DW407" s="123" t="str">
        <f t="shared" si="815"/>
        <v/>
      </c>
      <c r="DX407" s="132" t="str">
        <f t="shared" ref="DX407" ca="1" si="837">IF(DT407&lt;&gt;"",IF(WEEKNUM(DT407)=WEEKNUM(TODAY()),"This Week",IF(WEEKNUM(DT407)=WEEKNUM(TODAY())+1,"Next Week",IF(WEEKNUM(DT407)=WEEKNUM(TODAY())-1,"Previous Week",""))),"")</f>
        <v/>
      </c>
      <c r="DY407" s="134" t="str">
        <f t="shared" si="817"/>
        <v/>
      </c>
      <c r="DZ407" s="95"/>
      <c r="EB407" s="8" t="str">
        <f t="shared" si="823"/>
        <v/>
      </c>
      <c r="EC407" s="8" t="str">
        <f>IF(O407&lt;&gt;"",VLOOKUP(O407,'Job Master'!$N$12:$O$18,2,0),"")</f>
        <v/>
      </c>
      <c r="ED407" s="8">
        <f t="shared" si="824"/>
        <v>19.5</v>
      </c>
      <c r="EE407" s="8">
        <f t="shared" si="825"/>
        <v>6</v>
      </c>
      <c r="EF407" s="8">
        <f t="shared" si="826"/>
        <v>-2362.5</v>
      </c>
      <c r="EG407" s="8" t="str">
        <f t="shared" si="827"/>
        <v/>
      </c>
      <c r="EH407" s="8" t="str">
        <f t="shared" si="828"/>
        <v/>
      </c>
    </row>
    <row r="408" spans="2:138" x14ac:dyDescent="0.3">
      <c r="B408" s="112"/>
      <c r="C408" s="27"/>
      <c r="D408" s="7" t="str">
        <f t="shared" si="765"/>
        <v/>
      </c>
      <c r="E408" s="25"/>
      <c r="F408" s="7" t="str">
        <f t="shared" si="765"/>
        <v/>
      </c>
      <c r="G408" s="25"/>
      <c r="H408" s="7" t="str">
        <f t="shared" si="765"/>
        <v/>
      </c>
      <c r="I408" s="25"/>
      <c r="J408" s="7" t="str">
        <f t="shared" si="765"/>
        <v/>
      </c>
      <c r="K408" s="25"/>
      <c r="L408" s="7" t="str">
        <f t="shared" si="766"/>
        <v/>
      </c>
      <c r="M408" s="25"/>
      <c r="N408" s="7" t="str">
        <f t="shared" si="767"/>
        <v/>
      </c>
      <c r="O408" s="81"/>
      <c r="P408" s="81" t="str">
        <f t="shared" si="768"/>
        <v/>
      </c>
      <c r="Q408" s="81"/>
      <c r="R408" s="7" t="str">
        <f t="shared" si="769"/>
        <v/>
      </c>
      <c r="S408" s="25"/>
      <c r="T408" s="7" t="str">
        <f t="shared" si="770"/>
        <v/>
      </c>
      <c r="U408" s="25"/>
      <c r="V408" s="7" t="str">
        <f t="shared" si="771"/>
        <v/>
      </c>
      <c r="W408" s="25"/>
      <c r="X408" s="7" t="str">
        <f t="shared" si="772"/>
        <v/>
      </c>
      <c r="Y408" s="18" t="str">
        <f t="shared" si="773"/>
        <v/>
      </c>
      <c r="Z408" s="7" t="str">
        <f t="shared" si="774"/>
        <v/>
      </c>
      <c r="AA408" s="18" t="str">
        <f t="shared" si="775"/>
        <v/>
      </c>
      <c r="AB408" s="19" t="str">
        <f t="shared" si="776"/>
        <v/>
      </c>
      <c r="AC408" s="26"/>
      <c r="AD408" s="26"/>
      <c r="AE408" s="25"/>
      <c r="AF408" s="26"/>
      <c r="AG408" s="25"/>
      <c r="AH408" s="25"/>
      <c r="AI408" s="18" t="str">
        <f t="shared" si="713"/>
        <v/>
      </c>
      <c r="AJ408" s="25"/>
      <c r="AK408" s="18" t="str">
        <f t="shared" si="714"/>
        <v/>
      </c>
      <c r="AL408" s="79"/>
      <c r="AM408" s="126" t="str">
        <f t="shared" si="715"/>
        <v/>
      </c>
      <c r="AN408" s="128" t="str">
        <f>IF(AP408&lt;&gt;"",VLOOKUP($P408&amp;" | "&amp;AN$6,'Job Master'!$F$12:$J$102,5,0),"")</f>
        <v/>
      </c>
      <c r="AO408" s="19" t="str">
        <f>IF(AP408&lt;&gt;"",VLOOKUP($P408&amp;" | "&amp;AN$6,'Job Master'!$F$12:$J$102,3,0),"")</f>
        <v/>
      </c>
      <c r="AP408" s="19" t="str">
        <f>IFERROR(IF(AND(AW408&lt;&gt;"",VLOOKUP($P408&amp;" | "&amp;AN$6,'Job Master'!$F$12:$I$102,4,0)&lt;&gt;""),IF(WEEKDAY(AW408-VLOOKUP($P408&amp;" | "&amp;AN$6,'Job Master'!$F$12:$I$102,4,0))&lt;&gt;7,AW408-VLOOKUP($P408&amp;" | "&amp;AN$6,'Job Master'!$F$12:$I$102,4,0),AW408-VLOOKUP($P408&amp;" | "&amp;AN$6,'Job Master'!$F$12:$I$102,4,0)-1),""),"")</f>
        <v/>
      </c>
      <c r="AQ408" s="73"/>
      <c r="AR408" s="123" t="str">
        <f t="shared" si="777"/>
        <v/>
      </c>
      <c r="AS408" s="123" t="str">
        <f t="shared" si="778"/>
        <v/>
      </c>
      <c r="AT408" s="97" t="str">
        <f t="shared" ca="1" si="779"/>
        <v/>
      </c>
      <c r="AU408" s="98" t="str">
        <f>IF(AW408&lt;&gt;"",VLOOKUP($P408&amp;" | "&amp;AU$6,'Job Master'!$F$12:$J$102,5,0),"")</f>
        <v/>
      </c>
      <c r="AV408" s="19" t="str">
        <f>IF(AW408&lt;&gt;"",VLOOKUP($P408&amp;" | "&amp;AU$6,'Job Master'!$F$12:$J$102,3,0),"")</f>
        <v/>
      </c>
      <c r="AW408" s="19" t="str">
        <f>IFERROR(IF(AND(BD408&lt;&gt;"",VLOOKUP($P408&amp;" | "&amp;AU$6,'Job Master'!$F$12:$I$102,4,0)&lt;&gt;""),IF(WEEKDAY(BD408-VLOOKUP($P408&amp;" | "&amp;AU$6,'Job Master'!$F$12:$I$102,4,0))&lt;&gt;7,BD408-VLOOKUP($P408&amp;" | "&amp;AU$6,'Job Master'!$F$12:$I$102,4,0),BD408-VLOOKUP($P408&amp;" | "&amp;AU$6,'Job Master'!$F$12:$I$102,4,0)-1),""),"")</f>
        <v/>
      </c>
      <c r="AX408" s="73"/>
      <c r="AY408" s="123" t="str">
        <f t="shared" si="780"/>
        <v/>
      </c>
      <c r="AZ408" s="123" t="str">
        <f t="shared" si="781"/>
        <v/>
      </c>
      <c r="BA408" s="97" t="str">
        <f t="shared" ca="1" si="782"/>
        <v/>
      </c>
      <c r="BB408" s="98" t="str">
        <f>IF(BD408&lt;&gt;"",VLOOKUP($P408&amp;" | "&amp;BB$6,'Job Master'!$F$12:$J$102,5,0),"")</f>
        <v/>
      </c>
      <c r="BC408" s="19" t="str">
        <f>IF(BD408&lt;&gt;"",VLOOKUP($P408&amp;" | "&amp;BB$6,'Job Master'!$F$12:$J$102,3,0),"")</f>
        <v/>
      </c>
      <c r="BD408" s="19" t="str">
        <f>IFERROR(IF(AND(BK408&lt;&gt;"",VLOOKUP($P408&amp;" | "&amp;BB$6,'Job Master'!$F$12:$I$102,4,0)&lt;&gt;""),IF(WEEKDAY(BK408-VLOOKUP($P408&amp;" | "&amp;BB$6,'Job Master'!$F$12:$I$102,4,0))&lt;&gt;7,BK408-VLOOKUP($P408&amp;" | "&amp;BB$6,'Job Master'!$F$12:$I$102,4,0),BK408-VLOOKUP($P408&amp;" | "&amp;BB$6,'Job Master'!$F$12:$I$102,4,0)-1),""),"")</f>
        <v/>
      </c>
      <c r="BE408" s="73"/>
      <c r="BF408" s="123" t="str">
        <f t="shared" si="783"/>
        <v/>
      </c>
      <c r="BG408" s="123" t="str">
        <f t="shared" si="784"/>
        <v/>
      </c>
      <c r="BH408" s="97" t="str">
        <f t="shared" ca="1" si="785"/>
        <v/>
      </c>
      <c r="BI408" s="98" t="str">
        <f>IF(BK408&lt;&gt;"",VLOOKUP($P408&amp;" | "&amp;BI$6,'Job Master'!$F$12:$J$102,5,0),"")</f>
        <v/>
      </c>
      <c r="BJ408" s="19" t="str">
        <f>IF(BK408&lt;&gt;"",VLOOKUP($P408&amp;" | "&amp;BI$6,'Job Master'!$F$12:$J$102,3,0),"")</f>
        <v/>
      </c>
      <c r="BK408" s="19" t="str">
        <f>IFERROR(IF(AND(BR408&lt;&gt;"",VLOOKUP($P408&amp;" | "&amp;BI$6,'Job Master'!$F$12:$I$102,4,0)&lt;&gt;""),IF(WEEKDAY(BR408-VLOOKUP($P408&amp;" | "&amp;BI$6,'Job Master'!$F$12:$I$102,4,0))&lt;&gt;7,BR408-VLOOKUP($P408&amp;" | "&amp;BI$6,'Job Master'!$F$12:$I$102,4,0),BR408-VLOOKUP($P408&amp;" | "&amp;BI$6,'Job Master'!$F$12:$I$102,4,0)-1),""),"")</f>
        <v/>
      </c>
      <c r="BL408" s="73"/>
      <c r="BM408" s="123" t="str">
        <f t="shared" si="786"/>
        <v/>
      </c>
      <c r="BN408" s="123" t="str">
        <f t="shared" si="787"/>
        <v/>
      </c>
      <c r="BO408" s="97" t="str">
        <f t="shared" ca="1" si="788"/>
        <v/>
      </c>
      <c r="BP408" s="98" t="str">
        <f>IF(BR408&lt;&gt;"",VLOOKUP($P408&amp;" | "&amp;BP$6,'Job Master'!$F$12:$J$102,5,0),"")</f>
        <v/>
      </c>
      <c r="BQ408" s="19" t="str">
        <f>IF(BR408&lt;&gt;"",VLOOKUP($P408&amp;" | "&amp;BP$6,'Job Master'!$F$12:$J$102,3,0),"")</f>
        <v/>
      </c>
      <c r="BR408" s="19" t="str">
        <f>IFERROR(IF(AND(BY408&lt;&gt;"",VLOOKUP($P408&amp;" | "&amp;BP$6,'Job Master'!$F$12:$I$102,4,0)&lt;&gt;""),IF(WEEKDAY(BY408-VLOOKUP($P408&amp;" | "&amp;BP$6,'Job Master'!$F$12:$I$102,4,0))&lt;&gt;7,BY408-VLOOKUP($P408&amp;" | "&amp;BP$6,'Job Master'!$F$12:$I$102,4,0),BY408-VLOOKUP($P408&amp;" | "&amp;BP$6,'Job Master'!$F$12:$I$102,4,0)-1),""),"")</f>
        <v/>
      </c>
      <c r="BS408" s="73"/>
      <c r="BT408" s="123" t="str">
        <f t="shared" si="789"/>
        <v/>
      </c>
      <c r="BU408" s="123" t="str">
        <f t="shared" si="790"/>
        <v/>
      </c>
      <c r="BV408" s="97" t="str">
        <f t="shared" ca="1" si="791"/>
        <v/>
      </c>
      <c r="BW408" s="98" t="str">
        <f>IF(BY408&lt;&gt;"",VLOOKUP($P408&amp;" | "&amp;BW$6,'Job Master'!$F$12:$J$102,5,0),"")</f>
        <v/>
      </c>
      <c r="BX408" s="19" t="str">
        <f>IF(BY408&lt;&gt;"",VLOOKUP($P408&amp;" | "&amp;BW$6,'Job Master'!$F$12:$J$102,3,0),"")</f>
        <v/>
      </c>
      <c r="BY408" s="19" t="str">
        <f>IFERROR(IF(AND(CF408&lt;&gt;"",VLOOKUP($P408&amp;" | "&amp;BW$6,'Job Master'!$F$12:$I$102,4,0)&lt;&gt;""),IF(WEEKDAY(CF408-VLOOKUP($P408&amp;" | "&amp;BW$6,'Job Master'!$F$12:$I$102,4,0))&lt;&gt;7,CF408-VLOOKUP($P408&amp;" | "&amp;BW$6,'Job Master'!$F$12:$I$102,4,0),CF408-VLOOKUP($P408&amp;" | "&amp;BW$6,'Job Master'!$F$12:$I$102,4,0)-1),""),"")</f>
        <v/>
      </c>
      <c r="BZ408" s="73"/>
      <c r="CA408" s="123" t="str">
        <f t="shared" si="792"/>
        <v/>
      </c>
      <c r="CB408" s="123" t="str">
        <f t="shared" si="793"/>
        <v/>
      </c>
      <c r="CC408" s="97" t="str">
        <f t="shared" ca="1" si="794"/>
        <v/>
      </c>
      <c r="CD408" s="98" t="str">
        <f>IF(CF408&lt;&gt;"",VLOOKUP($P408&amp;" | "&amp;CD$6,'Job Master'!$F$12:$J$102,5,0),"")</f>
        <v/>
      </c>
      <c r="CE408" s="19" t="str">
        <f>IF(CF408&lt;&gt;"",VLOOKUP($P408&amp;" | "&amp;CD$6,'Job Master'!$F$12:$J$102,3,0),"")</f>
        <v/>
      </c>
      <c r="CF408" s="19" t="str">
        <f>IFERROR(IF(AND(CM408&lt;&gt;"",VLOOKUP($P408&amp;" | "&amp;CD$6,'Job Master'!$F$12:$I$102,4,0)&lt;&gt;""),IF(WEEKDAY(CM408-VLOOKUP($P408&amp;" | "&amp;CD$6,'Job Master'!$F$12:$I$102,4,0))&lt;&gt;7,CM408-VLOOKUP($P408&amp;" | "&amp;CD$6,'Job Master'!$F$12:$I$102,4,0),CM408-VLOOKUP($P408&amp;" | "&amp;CD$6,'Job Master'!$F$12:$I$102,4,0)-1),""),"")</f>
        <v/>
      </c>
      <c r="CG408" s="73"/>
      <c r="CH408" s="123" t="str">
        <f t="shared" si="795"/>
        <v/>
      </c>
      <c r="CI408" s="123" t="str">
        <f t="shared" si="796"/>
        <v/>
      </c>
      <c r="CJ408" s="97" t="str">
        <f t="shared" ca="1" si="797"/>
        <v/>
      </c>
      <c r="CK408" s="98" t="str">
        <f>IF(CM408&lt;&gt;"",VLOOKUP($P408&amp;" | "&amp;CK$6,'Job Master'!$F$12:$J$102,5,0),"")</f>
        <v/>
      </c>
      <c r="CL408" s="19" t="str">
        <f>IF(CM408&lt;&gt;"",VLOOKUP($P408&amp;" | "&amp;CK$6,'Job Master'!$F$12:$J$102,3,0),"")</f>
        <v/>
      </c>
      <c r="CM408" s="19" t="str">
        <f>IFERROR(IF(AND(CT408&lt;&gt;"",VLOOKUP($P408&amp;" | "&amp;CK$6,'Job Master'!$F$12:$I$102,4,0)&lt;&gt;""),IF(WEEKDAY(CT408-VLOOKUP($P408&amp;" | "&amp;CK$6,'Job Master'!$F$12:$I$102,4,0))&lt;&gt;7,CT408-VLOOKUP($P408&amp;" | "&amp;CK$6,'Job Master'!$F$12:$I$102,4,0),CT408-VLOOKUP($P408&amp;" | "&amp;CK$6,'Job Master'!$F$12:$I$102,4,0)-1),""),"")</f>
        <v/>
      </c>
      <c r="CN408" s="73"/>
      <c r="CO408" s="123" t="str">
        <f t="shared" si="798"/>
        <v/>
      </c>
      <c r="CP408" s="123" t="str">
        <f t="shared" si="799"/>
        <v/>
      </c>
      <c r="CQ408" s="97" t="str">
        <f t="shared" ca="1" si="800"/>
        <v/>
      </c>
      <c r="CR408" s="98" t="str">
        <f>IF(CT408&lt;&gt;"",VLOOKUP($P408&amp;" | "&amp;CR$6,'Job Master'!$F$12:$J$102,5,0),"")</f>
        <v/>
      </c>
      <c r="CS408" s="19" t="str">
        <f>IF(CT408&lt;&gt;"",VLOOKUP($P408&amp;" | "&amp;CR$6,'Job Master'!$F$12:$J$102,3,0),"")</f>
        <v/>
      </c>
      <c r="CT408" s="19" t="str">
        <f>IFERROR(IF(AND(DA408&lt;&gt;"",VLOOKUP($P408&amp;" | "&amp;CR$6,'Job Master'!$F$12:$I$102,4,0)&lt;&gt;""),IF(WEEKDAY(DA408-VLOOKUP($P408&amp;" | "&amp;CR$6,'Job Master'!$F$12:$I$102,4,0))&lt;&gt;7,DA408-VLOOKUP($P408&amp;" | "&amp;CR$6,'Job Master'!$F$12:$I$102,4,0),DA408-VLOOKUP($P408&amp;" | "&amp;CR$6,'Job Master'!$F$12:$I$102,4,0)-1),""),"")</f>
        <v/>
      </c>
      <c r="CU408" s="73"/>
      <c r="CV408" s="123" t="str">
        <f t="shared" si="801"/>
        <v/>
      </c>
      <c r="CW408" s="123" t="str">
        <f t="shared" si="802"/>
        <v/>
      </c>
      <c r="CX408" s="97" t="str">
        <f t="shared" ca="1" si="803"/>
        <v/>
      </c>
      <c r="CY408" s="98" t="str">
        <f>IF(DA408&lt;&gt;"",VLOOKUP($P408&amp;" | "&amp;CY$6,'Job Master'!$F$12:$J$102,5,0),"")</f>
        <v/>
      </c>
      <c r="CZ408" s="19" t="str">
        <f>IF(DA408&lt;&gt;"",VLOOKUP($P408&amp;" | "&amp;CY$6,'Job Master'!$F$12:$J$102,3,0),"")</f>
        <v/>
      </c>
      <c r="DA408" s="19" t="str">
        <f>IFERROR(IF(AND(DH408&lt;&gt;"",VLOOKUP($P408&amp;" | "&amp;CY$6,'Job Master'!$F$12:$I$102,4,0)&lt;&gt;""),IF(WEEKDAY(DH408-VLOOKUP($P408&amp;" | "&amp;CY$6,'Job Master'!$F$12:$I$102,4,0))&lt;&gt;7,DH408-VLOOKUP($P408&amp;" | "&amp;CY$6,'Job Master'!$F$12:$I$102,4,0),DH408-VLOOKUP($P408&amp;" | "&amp;CY$6,'Job Master'!$F$12:$I$102,4,0)-1),""),"")</f>
        <v/>
      </c>
      <c r="DB408" s="73"/>
      <c r="DC408" s="123" t="str">
        <f t="shared" si="804"/>
        <v/>
      </c>
      <c r="DD408" s="123" t="str">
        <f t="shared" si="805"/>
        <v/>
      </c>
      <c r="DE408" s="97" t="str">
        <f t="shared" ca="1" si="806"/>
        <v/>
      </c>
      <c r="DF408" s="98" t="str">
        <f>IF(DH408&lt;&gt;"",VLOOKUP($P408&amp;" | "&amp;DF$6,'Job Master'!$F$12:$J$102,5,0),"")</f>
        <v/>
      </c>
      <c r="DG408" s="19" t="str">
        <f>IF(DH408&lt;&gt;"",VLOOKUP($P408&amp;" | "&amp;DF$6,'Job Master'!$F$12:$J$102,3,0),"")</f>
        <v/>
      </c>
      <c r="DH408" s="19" t="str">
        <f>IFERROR(IF(AND(DO408&lt;&gt;"",VLOOKUP($P408&amp;" | "&amp;DF$6,'Job Master'!$F$12:$I$102,4,0)&lt;&gt;""),IF(WEEKDAY(DO408-VLOOKUP($P408&amp;" | "&amp;DF$6,'Job Master'!$F$12:$I$102,4,0))&lt;&gt;7,DO408-VLOOKUP($P408&amp;" | "&amp;DF$6,'Job Master'!$F$12:$I$102,4,0),DO408-VLOOKUP($P408&amp;" | "&amp;DF$6,'Job Master'!$F$12:$I$102,4,0)-1),""),"")</f>
        <v/>
      </c>
      <c r="DI408" s="73"/>
      <c r="DJ408" s="123" t="str">
        <f t="shared" si="807"/>
        <v/>
      </c>
      <c r="DK408" s="123" t="str">
        <f t="shared" si="808"/>
        <v/>
      </c>
      <c r="DL408" s="97" t="str">
        <f t="shared" ca="1" si="809"/>
        <v/>
      </c>
      <c r="DM408" s="98" t="str">
        <f>IF(DO408&lt;&gt;"",VLOOKUP($P408&amp;" | "&amp;DM$6,'Job Master'!$F$12:$J$102,5,0),"")</f>
        <v/>
      </c>
      <c r="DN408" s="19" t="str">
        <f>IF(DO408&lt;&gt;"",VLOOKUP($P408&amp;" | "&amp;DM$6,'Job Master'!$F$12:$J$102,3,0),"")</f>
        <v/>
      </c>
      <c r="DO408" s="19" t="str">
        <f>IFERROR(IF(AND(DT408&lt;&gt;"",VLOOKUP($P408&amp;" | "&amp;DM$6,'Job Master'!$F$12:$I$102,4,0)&lt;&gt;""),IF(WEEKDAY(DT408-VLOOKUP($P408&amp;" | "&amp;DM$6,'Job Master'!$F$12:$I$102,4,0))&lt;&gt;7,DT408-VLOOKUP($P408&amp;" | "&amp;DM$6,'Job Master'!$F$12:$I$102,4,0),DT408-VLOOKUP($P408&amp;" | "&amp;DM$6,'Job Master'!$F$12:$I$102,4,0)-1),""),"")</f>
        <v/>
      </c>
      <c r="DP408" s="73"/>
      <c r="DQ408" s="123" t="str">
        <f t="shared" si="810"/>
        <v/>
      </c>
      <c r="DR408" s="123" t="str">
        <f t="shared" si="811"/>
        <v/>
      </c>
      <c r="DS408" s="97" t="str">
        <f t="shared" ca="1" si="812"/>
        <v/>
      </c>
      <c r="DT408" s="70" t="str">
        <f t="shared" si="813"/>
        <v/>
      </c>
      <c r="DU408" s="90"/>
      <c r="DV408" s="123" t="str">
        <f t="shared" si="814"/>
        <v/>
      </c>
      <c r="DW408" s="123" t="str">
        <f t="shared" si="815"/>
        <v/>
      </c>
      <c r="DX408" s="132" t="str">
        <f t="shared" ref="DX408" ca="1" si="838">IF(DT408&lt;&gt;"",IF(WEEKNUM(DT408)=WEEKNUM(TODAY()),"This Week",IF(WEEKNUM(DT408)=WEEKNUM(TODAY())+1,"Next Week",IF(WEEKNUM(DT408)=WEEKNUM(TODAY())-1,"Previous Week",""))),"")</f>
        <v/>
      </c>
      <c r="DY408" s="134" t="str">
        <f t="shared" si="817"/>
        <v/>
      </c>
      <c r="DZ408" s="95"/>
      <c r="EB408" s="8" t="str">
        <f t="shared" si="823"/>
        <v/>
      </c>
      <c r="EC408" s="8" t="str">
        <f>IF(O408&lt;&gt;"",VLOOKUP(O408,'Job Master'!$N$12:$O$18,2,0),"")</f>
        <v/>
      </c>
      <c r="ED408" s="8">
        <f t="shared" si="824"/>
        <v>19.5</v>
      </c>
      <c r="EE408" s="8">
        <f t="shared" si="825"/>
        <v>6</v>
      </c>
      <c r="EF408" s="8">
        <f t="shared" si="826"/>
        <v>-2368.5</v>
      </c>
      <c r="EG408" s="8" t="str">
        <f t="shared" si="827"/>
        <v/>
      </c>
      <c r="EH408" s="8" t="str">
        <f t="shared" si="828"/>
        <v/>
      </c>
    </row>
    <row r="409" spans="2:138" x14ac:dyDescent="0.3">
      <c r="B409" s="112"/>
      <c r="C409" s="27"/>
      <c r="D409" s="7" t="str">
        <f t="shared" si="765"/>
        <v/>
      </c>
      <c r="E409" s="25"/>
      <c r="F409" s="7" t="str">
        <f t="shared" si="765"/>
        <v/>
      </c>
      <c r="G409" s="25"/>
      <c r="H409" s="7" t="str">
        <f t="shared" si="765"/>
        <v/>
      </c>
      <c r="I409" s="25"/>
      <c r="J409" s="7" t="str">
        <f t="shared" si="765"/>
        <v/>
      </c>
      <c r="K409" s="25"/>
      <c r="L409" s="7" t="str">
        <f t="shared" si="766"/>
        <v/>
      </c>
      <c r="M409" s="25"/>
      <c r="N409" s="7" t="str">
        <f t="shared" si="767"/>
        <v/>
      </c>
      <c r="O409" s="81"/>
      <c r="P409" s="81" t="str">
        <f t="shared" si="768"/>
        <v/>
      </c>
      <c r="Q409" s="81"/>
      <c r="R409" s="7" t="str">
        <f t="shared" si="769"/>
        <v/>
      </c>
      <c r="S409" s="25"/>
      <c r="T409" s="7" t="str">
        <f t="shared" si="770"/>
        <v/>
      </c>
      <c r="U409" s="25"/>
      <c r="V409" s="7" t="str">
        <f t="shared" si="771"/>
        <v/>
      </c>
      <c r="W409" s="25"/>
      <c r="X409" s="7" t="str">
        <f t="shared" si="772"/>
        <v/>
      </c>
      <c r="Y409" s="18" t="str">
        <f t="shared" si="773"/>
        <v/>
      </c>
      <c r="Z409" s="7" t="str">
        <f t="shared" si="774"/>
        <v/>
      </c>
      <c r="AA409" s="18" t="str">
        <f t="shared" si="775"/>
        <v/>
      </c>
      <c r="AB409" s="19" t="str">
        <f t="shared" si="776"/>
        <v/>
      </c>
      <c r="AC409" s="26"/>
      <c r="AD409" s="26"/>
      <c r="AE409" s="25"/>
      <c r="AF409" s="26"/>
      <c r="AG409" s="25"/>
      <c r="AH409" s="25"/>
      <c r="AI409" s="18" t="str">
        <f t="shared" ref="AI409:AI472" si="839">IF(IF(AH409&lt;&gt;"",AH409,IF($AA409&lt;&gt;"",AI408,""))&lt;&gt;0,IF(AH409&lt;&gt;"",AH409,IF($AA409&lt;&gt;"",AI408,"")),"")</f>
        <v/>
      </c>
      <c r="AJ409" s="25"/>
      <c r="AK409" s="18" t="str">
        <f t="shared" ref="AK409:AK472" si="840">IF(IF(AJ409&lt;&gt;"",AJ409,IF($AA409&lt;&gt;"",AK408,""))&lt;&gt;0,IF(AJ409&lt;&gt;"",AJ409,IF($AA409&lt;&gt;"",AK408,"")),"")</f>
        <v/>
      </c>
      <c r="AL409" s="79"/>
      <c r="AM409" s="126" t="str">
        <f t="shared" ref="AM409:AM472" si="841">IF(IF(AL409&lt;&gt;"",AL409,IF($AA409&lt;&gt;"",AM408,""))&lt;&gt;0,IF(AL409&lt;&gt;"",AL409,IF($AA409&lt;&gt;"",AM408,"")),"")</f>
        <v/>
      </c>
      <c r="AN409" s="128" t="str">
        <f>IF(AP409&lt;&gt;"",VLOOKUP($P409&amp;" | "&amp;AN$6,'Job Master'!$F$12:$J$102,5,0),"")</f>
        <v/>
      </c>
      <c r="AO409" s="19" t="str">
        <f>IF(AP409&lt;&gt;"",VLOOKUP($P409&amp;" | "&amp;AN$6,'Job Master'!$F$12:$J$102,3,0),"")</f>
        <v/>
      </c>
      <c r="AP409" s="19" t="str">
        <f>IFERROR(IF(AND(AW409&lt;&gt;"",VLOOKUP($P409&amp;" | "&amp;AN$6,'Job Master'!$F$12:$I$102,4,0)&lt;&gt;""),IF(WEEKDAY(AW409-VLOOKUP($P409&amp;" | "&amp;AN$6,'Job Master'!$F$12:$I$102,4,0))&lt;&gt;7,AW409-VLOOKUP($P409&amp;" | "&amp;AN$6,'Job Master'!$F$12:$I$102,4,0),AW409-VLOOKUP($P409&amp;" | "&amp;AN$6,'Job Master'!$F$12:$I$102,4,0)-1),""),"")</f>
        <v/>
      </c>
      <c r="AQ409" s="73"/>
      <c r="AR409" s="123" t="str">
        <f t="shared" si="777"/>
        <v/>
      </c>
      <c r="AS409" s="123" t="str">
        <f t="shared" si="778"/>
        <v/>
      </c>
      <c r="AT409" s="97" t="str">
        <f t="shared" ca="1" si="779"/>
        <v/>
      </c>
      <c r="AU409" s="98" t="str">
        <f>IF(AW409&lt;&gt;"",VLOOKUP($P409&amp;" | "&amp;AU$6,'Job Master'!$F$12:$J$102,5,0),"")</f>
        <v/>
      </c>
      <c r="AV409" s="19" t="str">
        <f>IF(AW409&lt;&gt;"",VLOOKUP($P409&amp;" | "&amp;AU$6,'Job Master'!$F$12:$J$102,3,0),"")</f>
        <v/>
      </c>
      <c r="AW409" s="19" t="str">
        <f>IFERROR(IF(AND(BD409&lt;&gt;"",VLOOKUP($P409&amp;" | "&amp;AU$6,'Job Master'!$F$12:$I$102,4,0)&lt;&gt;""),IF(WEEKDAY(BD409-VLOOKUP($P409&amp;" | "&amp;AU$6,'Job Master'!$F$12:$I$102,4,0))&lt;&gt;7,BD409-VLOOKUP($P409&amp;" | "&amp;AU$6,'Job Master'!$F$12:$I$102,4,0),BD409-VLOOKUP($P409&amp;" | "&amp;AU$6,'Job Master'!$F$12:$I$102,4,0)-1),""),"")</f>
        <v/>
      </c>
      <c r="AX409" s="73"/>
      <c r="AY409" s="123" t="str">
        <f t="shared" si="780"/>
        <v/>
      </c>
      <c r="AZ409" s="123" t="str">
        <f t="shared" si="781"/>
        <v/>
      </c>
      <c r="BA409" s="97" t="str">
        <f t="shared" ca="1" si="782"/>
        <v/>
      </c>
      <c r="BB409" s="98" t="str">
        <f>IF(BD409&lt;&gt;"",VLOOKUP($P409&amp;" | "&amp;BB$6,'Job Master'!$F$12:$J$102,5,0),"")</f>
        <v/>
      </c>
      <c r="BC409" s="19" t="str">
        <f>IF(BD409&lt;&gt;"",VLOOKUP($P409&amp;" | "&amp;BB$6,'Job Master'!$F$12:$J$102,3,0),"")</f>
        <v/>
      </c>
      <c r="BD409" s="19" t="str">
        <f>IFERROR(IF(AND(BK409&lt;&gt;"",VLOOKUP($P409&amp;" | "&amp;BB$6,'Job Master'!$F$12:$I$102,4,0)&lt;&gt;""),IF(WEEKDAY(BK409-VLOOKUP($P409&amp;" | "&amp;BB$6,'Job Master'!$F$12:$I$102,4,0))&lt;&gt;7,BK409-VLOOKUP($P409&amp;" | "&amp;BB$6,'Job Master'!$F$12:$I$102,4,0),BK409-VLOOKUP($P409&amp;" | "&amp;BB$6,'Job Master'!$F$12:$I$102,4,0)-1),""),"")</f>
        <v/>
      </c>
      <c r="BE409" s="73"/>
      <c r="BF409" s="123" t="str">
        <f t="shared" si="783"/>
        <v/>
      </c>
      <c r="BG409" s="123" t="str">
        <f t="shared" si="784"/>
        <v/>
      </c>
      <c r="BH409" s="97" t="str">
        <f t="shared" ca="1" si="785"/>
        <v/>
      </c>
      <c r="BI409" s="98" t="str">
        <f>IF(BK409&lt;&gt;"",VLOOKUP($P409&amp;" | "&amp;BI$6,'Job Master'!$F$12:$J$102,5,0),"")</f>
        <v/>
      </c>
      <c r="BJ409" s="19" t="str">
        <f>IF(BK409&lt;&gt;"",VLOOKUP($P409&amp;" | "&amp;BI$6,'Job Master'!$F$12:$J$102,3,0),"")</f>
        <v/>
      </c>
      <c r="BK409" s="19" t="str">
        <f>IFERROR(IF(AND(BR409&lt;&gt;"",VLOOKUP($P409&amp;" | "&amp;BI$6,'Job Master'!$F$12:$I$102,4,0)&lt;&gt;""),IF(WEEKDAY(BR409-VLOOKUP($P409&amp;" | "&amp;BI$6,'Job Master'!$F$12:$I$102,4,0))&lt;&gt;7,BR409-VLOOKUP($P409&amp;" | "&amp;BI$6,'Job Master'!$F$12:$I$102,4,0),BR409-VLOOKUP($P409&amp;" | "&amp;BI$6,'Job Master'!$F$12:$I$102,4,0)-1),""),"")</f>
        <v/>
      </c>
      <c r="BL409" s="73"/>
      <c r="BM409" s="123" t="str">
        <f t="shared" si="786"/>
        <v/>
      </c>
      <c r="BN409" s="123" t="str">
        <f t="shared" si="787"/>
        <v/>
      </c>
      <c r="BO409" s="97" t="str">
        <f t="shared" ca="1" si="788"/>
        <v/>
      </c>
      <c r="BP409" s="98" t="str">
        <f>IF(BR409&lt;&gt;"",VLOOKUP($P409&amp;" | "&amp;BP$6,'Job Master'!$F$12:$J$102,5,0),"")</f>
        <v/>
      </c>
      <c r="BQ409" s="19" t="str">
        <f>IF(BR409&lt;&gt;"",VLOOKUP($P409&amp;" | "&amp;BP$6,'Job Master'!$F$12:$J$102,3,0),"")</f>
        <v/>
      </c>
      <c r="BR409" s="19" t="str">
        <f>IFERROR(IF(AND(BY409&lt;&gt;"",VLOOKUP($P409&amp;" | "&amp;BP$6,'Job Master'!$F$12:$I$102,4,0)&lt;&gt;""),IF(WEEKDAY(BY409-VLOOKUP($P409&amp;" | "&amp;BP$6,'Job Master'!$F$12:$I$102,4,0))&lt;&gt;7,BY409-VLOOKUP($P409&amp;" | "&amp;BP$6,'Job Master'!$F$12:$I$102,4,0),BY409-VLOOKUP($P409&amp;" | "&amp;BP$6,'Job Master'!$F$12:$I$102,4,0)-1),""),"")</f>
        <v/>
      </c>
      <c r="BS409" s="73"/>
      <c r="BT409" s="123" t="str">
        <f t="shared" si="789"/>
        <v/>
      </c>
      <c r="BU409" s="123" t="str">
        <f t="shared" si="790"/>
        <v/>
      </c>
      <c r="BV409" s="97" t="str">
        <f t="shared" ca="1" si="791"/>
        <v/>
      </c>
      <c r="BW409" s="98" t="str">
        <f>IF(BY409&lt;&gt;"",VLOOKUP($P409&amp;" | "&amp;BW$6,'Job Master'!$F$12:$J$102,5,0),"")</f>
        <v/>
      </c>
      <c r="BX409" s="19" t="str">
        <f>IF(BY409&lt;&gt;"",VLOOKUP($P409&amp;" | "&amp;BW$6,'Job Master'!$F$12:$J$102,3,0),"")</f>
        <v/>
      </c>
      <c r="BY409" s="19" t="str">
        <f>IFERROR(IF(AND(CF409&lt;&gt;"",VLOOKUP($P409&amp;" | "&amp;BW$6,'Job Master'!$F$12:$I$102,4,0)&lt;&gt;""),IF(WEEKDAY(CF409-VLOOKUP($P409&amp;" | "&amp;BW$6,'Job Master'!$F$12:$I$102,4,0))&lt;&gt;7,CF409-VLOOKUP($P409&amp;" | "&amp;BW$6,'Job Master'!$F$12:$I$102,4,0),CF409-VLOOKUP($P409&amp;" | "&amp;BW$6,'Job Master'!$F$12:$I$102,4,0)-1),""),"")</f>
        <v/>
      </c>
      <c r="BZ409" s="73"/>
      <c r="CA409" s="123" t="str">
        <f t="shared" si="792"/>
        <v/>
      </c>
      <c r="CB409" s="123" t="str">
        <f t="shared" si="793"/>
        <v/>
      </c>
      <c r="CC409" s="97" t="str">
        <f t="shared" ca="1" si="794"/>
        <v/>
      </c>
      <c r="CD409" s="98" t="str">
        <f>IF(CF409&lt;&gt;"",VLOOKUP($P409&amp;" | "&amp;CD$6,'Job Master'!$F$12:$J$102,5,0),"")</f>
        <v/>
      </c>
      <c r="CE409" s="19" t="str">
        <f>IF(CF409&lt;&gt;"",VLOOKUP($P409&amp;" | "&amp;CD$6,'Job Master'!$F$12:$J$102,3,0),"")</f>
        <v/>
      </c>
      <c r="CF409" s="19" t="str">
        <f>IFERROR(IF(AND(CM409&lt;&gt;"",VLOOKUP($P409&amp;" | "&amp;CD$6,'Job Master'!$F$12:$I$102,4,0)&lt;&gt;""),IF(WEEKDAY(CM409-VLOOKUP($P409&amp;" | "&amp;CD$6,'Job Master'!$F$12:$I$102,4,0))&lt;&gt;7,CM409-VLOOKUP($P409&amp;" | "&amp;CD$6,'Job Master'!$F$12:$I$102,4,0),CM409-VLOOKUP($P409&amp;" | "&amp;CD$6,'Job Master'!$F$12:$I$102,4,0)-1),""),"")</f>
        <v/>
      </c>
      <c r="CG409" s="73"/>
      <c r="CH409" s="123" t="str">
        <f t="shared" si="795"/>
        <v/>
      </c>
      <c r="CI409" s="123" t="str">
        <f t="shared" si="796"/>
        <v/>
      </c>
      <c r="CJ409" s="97" t="str">
        <f t="shared" ca="1" si="797"/>
        <v/>
      </c>
      <c r="CK409" s="98" t="str">
        <f>IF(CM409&lt;&gt;"",VLOOKUP($P409&amp;" | "&amp;CK$6,'Job Master'!$F$12:$J$102,5,0),"")</f>
        <v/>
      </c>
      <c r="CL409" s="19" t="str">
        <f>IF(CM409&lt;&gt;"",VLOOKUP($P409&amp;" | "&amp;CK$6,'Job Master'!$F$12:$J$102,3,0),"")</f>
        <v/>
      </c>
      <c r="CM409" s="19" t="str">
        <f>IFERROR(IF(AND(CT409&lt;&gt;"",VLOOKUP($P409&amp;" | "&amp;CK$6,'Job Master'!$F$12:$I$102,4,0)&lt;&gt;""),IF(WEEKDAY(CT409-VLOOKUP($P409&amp;" | "&amp;CK$6,'Job Master'!$F$12:$I$102,4,0))&lt;&gt;7,CT409-VLOOKUP($P409&amp;" | "&amp;CK$6,'Job Master'!$F$12:$I$102,4,0),CT409-VLOOKUP($P409&amp;" | "&amp;CK$6,'Job Master'!$F$12:$I$102,4,0)-1),""),"")</f>
        <v/>
      </c>
      <c r="CN409" s="73"/>
      <c r="CO409" s="123" t="str">
        <f t="shared" si="798"/>
        <v/>
      </c>
      <c r="CP409" s="123" t="str">
        <f t="shared" si="799"/>
        <v/>
      </c>
      <c r="CQ409" s="97" t="str">
        <f t="shared" ca="1" si="800"/>
        <v/>
      </c>
      <c r="CR409" s="98" t="str">
        <f>IF(CT409&lt;&gt;"",VLOOKUP($P409&amp;" | "&amp;CR$6,'Job Master'!$F$12:$J$102,5,0),"")</f>
        <v/>
      </c>
      <c r="CS409" s="19" t="str">
        <f>IF(CT409&lt;&gt;"",VLOOKUP($P409&amp;" | "&amp;CR$6,'Job Master'!$F$12:$J$102,3,0),"")</f>
        <v/>
      </c>
      <c r="CT409" s="19" t="str">
        <f>IFERROR(IF(AND(DA409&lt;&gt;"",VLOOKUP($P409&amp;" | "&amp;CR$6,'Job Master'!$F$12:$I$102,4,0)&lt;&gt;""),IF(WEEKDAY(DA409-VLOOKUP($P409&amp;" | "&amp;CR$6,'Job Master'!$F$12:$I$102,4,0))&lt;&gt;7,DA409-VLOOKUP($P409&amp;" | "&amp;CR$6,'Job Master'!$F$12:$I$102,4,0),DA409-VLOOKUP($P409&amp;" | "&amp;CR$6,'Job Master'!$F$12:$I$102,4,0)-1),""),"")</f>
        <v/>
      </c>
      <c r="CU409" s="73"/>
      <c r="CV409" s="123" t="str">
        <f t="shared" si="801"/>
        <v/>
      </c>
      <c r="CW409" s="123" t="str">
        <f t="shared" si="802"/>
        <v/>
      </c>
      <c r="CX409" s="97" t="str">
        <f t="shared" ca="1" si="803"/>
        <v/>
      </c>
      <c r="CY409" s="98" t="str">
        <f>IF(DA409&lt;&gt;"",VLOOKUP($P409&amp;" | "&amp;CY$6,'Job Master'!$F$12:$J$102,5,0),"")</f>
        <v/>
      </c>
      <c r="CZ409" s="19" t="str">
        <f>IF(DA409&lt;&gt;"",VLOOKUP($P409&amp;" | "&amp;CY$6,'Job Master'!$F$12:$J$102,3,0),"")</f>
        <v/>
      </c>
      <c r="DA409" s="19" t="str">
        <f>IFERROR(IF(AND(DH409&lt;&gt;"",VLOOKUP($P409&amp;" | "&amp;CY$6,'Job Master'!$F$12:$I$102,4,0)&lt;&gt;""),IF(WEEKDAY(DH409-VLOOKUP($P409&amp;" | "&amp;CY$6,'Job Master'!$F$12:$I$102,4,0))&lt;&gt;7,DH409-VLOOKUP($P409&amp;" | "&amp;CY$6,'Job Master'!$F$12:$I$102,4,0),DH409-VLOOKUP($P409&amp;" | "&amp;CY$6,'Job Master'!$F$12:$I$102,4,0)-1),""),"")</f>
        <v/>
      </c>
      <c r="DB409" s="73"/>
      <c r="DC409" s="123" t="str">
        <f t="shared" si="804"/>
        <v/>
      </c>
      <c r="DD409" s="123" t="str">
        <f t="shared" si="805"/>
        <v/>
      </c>
      <c r="DE409" s="97" t="str">
        <f t="shared" ca="1" si="806"/>
        <v/>
      </c>
      <c r="DF409" s="98" t="str">
        <f>IF(DH409&lt;&gt;"",VLOOKUP($P409&amp;" | "&amp;DF$6,'Job Master'!$F$12:$J$102,5,0),"")</f>
        <v/>
      </c>
      <c r="DG409" s="19" t="str">
        <f>IF(DH409&lt;&gt;"",VLOOKUP($P409&amp;" | "&amp;DF$6,'Job Master'!$F$12:$J$102,3,0),"")</f>
        <v/>
      </c>
      <c r="DH409" s="19" t="str">
        <f>IFERROR(IF(AND(DO409&lt;&gt;"",VLOOKUP($P409&amp;" | "&amp;DF$6,'Job Master'!$F$12:$I$102,4,0)&lt;&gt;""),IF(WEEKDAY(DO409-VLOOKUP($P409&amp;" | "&amp;DF$6,'Job Master'!$F$12:$I$102,4,0))&lt;&gt;7,DO409-VLOOKUP($P409&amp;" | "&amp;DF$6,'Job Master'!$F$12:$I$102,4,0),DO409-VLOOKUP($P409&amp;" | "&amp;DF$6,'Job Master'!$F$12:$I$102,4,0)-1),""),"")</f>
        <v/>
      </c>
      <c r="DI409" s="73"/>
      <c r="DJ409" s="123" t="str">
        <f t="shared" si="807"/>
        <v/>
      </c>
      <c r="DK409" s="123" t="str">
        <f t="shared" si="808"/>
        <v/>
      </c>
      <c r="DL409" s="97" t="str">
        <f t="shared" ca="1" si="809"/>
        <v/>
      </c>
      <c r="DM409" s="98" t="str">
        <f>IF(DO409&lt;&gt;"",VLOOKUP($P409&amp;" | "&amp;DM$6,'Job Master'!$F$12:$J$102,5,0),"")</f>
        <v/>
      </c>
      <c r="DN409" s="19" t="str">
        <f>IF(DO409&lt;&gt;"",VLOOKUP($P409&amp;" | "&amp;DM$6,'Job Master'!$F$12:$J$102,3,0),"")</f>
        <v/>
      </c>
      <c r="DO409" s="19" t="str">
        <f>IFERROR(IF(AND(DT409&lt;&gt;"",VLOOKUP($P409&amp;" | "&amp;DM$6,'Job Master'!$F$12:$I$102,4,0)&lt;&gt;""),IF(WEEKDAY(DT409-VLOOKUP($P409&amp;" | "&amp;DM$6,'Job Master'!$F$12:$I$102,4,0))&lt;&gt;7,DT409-VLOOKUP($P409&amp;" | "&amp;DM$6,'Job Master'!$F$12:$I$102,4,0),DT409-VLOOKUP($P409&amp;" | "&amp;DM$6,'Job Master'!$F$12:$I$102,4,0)-1),""),"")</f>
        <v/>
      </c>
      <c r="DP409" s="73"/>
      <c r="DQ409" s="123" t="str">
        <f t="shared" si="810"/>
        <v/>
      </c>
      <c r="DR409" s="123" t="str">
        <f t="shared" si="811"/>
        <v/>
      </c>
      <c r="DS409" s="97" t="str">
        <f t="shared" ca="1" si="812"/>
        <v/>
      </c>
      <c r="DT409" s="70" t="str">
        <f t="shared" si="813"/>
        <v/>
      </c>
      <c r="DU409" s="90"/>
      <c r="DV409" s="123" t="str">
        <f t="shared" si="814"/>
        <v/>
      </c>
      <c r="DW409" s="123" t="str">
        <f t="shared" si="815"/>
        <v/>
      </c>
      <c r="DX409" s="132" t="str">
        <f t="shared" ref="DX409" ca="1" si="842">IF(DT409&lt;&gt;"",IF(WEEKNUM(DT409)=WEEKNUM(TODAY()),"This Week",IF(WEEKNUM(DT409)=WEEKNUM(TODAY())+1,"Next Week",IF(WEEKNUM(DT409)=WEEKNUM(TODAY())-1,"Previous Week",""))),"")</f>
        <v/>
      </c>
      <c r="DY409" s="134" t="str">
        <f t="shared" si="817"/>
        <v/>
      </c>
      <c r="DZ409" s="95"/>
      <c r="EB409" s="8" t="str">
        <f t="shared" si="823"/>
        <v/>
      </c>
      <c r="EC409" s="8" t="str">
        <f>IF(O409&lt;&gt;"",VLOOKUP(O409,'Job Master'!$N$12:$O$18,2,0),"")</f>
        <v/>
      </c>
      <c r="ED409" s="8">
        <f t="shared" si="824"/>
        <v>19.5</v>
      </c>
      <c r="EE409" s="8">
        <f t="shared" si="825"/>
        <v>6</v>
      </c>
      <c r="EF409" s="8">
        <f t="shared" si="826"/>
        <v>-2374.5</v>
      </c>
      <c r="EG409" s="8" t="str">
        <f t="shared" si="827"/>
        <v/>
      </c>
      <c r="EH409" s="8" t="str">
        <f t="shared" si="828"/>
        <v/>
      </c>
    </row>
    <row r="410" spans="2:138" x14ac:dyDescent="0.3">
      <c r="B410" s="112"/>
      <c r="C410" s="27"/>
      <c r="D410" s="7" t="str">
        <f t="shared" si="765"/>
        <v/>
      </c>
      <c r="E410" s="25"/>
      <c r="F410" s="7" t="str">
        <f t="shared" si="765"/>
        <v/>
      </c>
      <c r="G410" s="25"/>
      <c r="H410" s="7" t="str">
        <f t="shared" si="765"/>
        <v/>
      </c>
      <c r="I410" s="25"/>
      <c r="J410" s="7" t="str">
        <f t="shared" si="765"/>
        <v/>
      </c>
      <c r="K410" s="25"/>
      <c r="L410" s="7" t="str">
        <f t="shared" si="766"/>
        <v/>
      </c>
      <c r="M410" s="25"/>
      <c r="N410" s="7" t="str">
        <f t="shared" si="767"/>
        <v/>
      </c>
      <c r="O410" s="81"/>
      <c r="P410" s="81" t="str">
        <f t="shared" si="768"/>
        <v/>
      </c>
      <c r="Q410" s="81"/>
      <c r="R410" s="7" t="str">
        <f t="shared" si="769"/>
        <v/>
      </c>
      <c r="S410" s="25"/>
      <c r="T410" s="7" t="str">
        <f t="shared" si="770"/>
        <v/>
      </c>
      <c r="U410" s="25"/>
      <c r="V410" s="7" t="str">
        <f t="shared" si="771"/>
        <v/>
      </c>
      <c r="W410" s="25"/>
      <c r="X410" s="7" t="str">
        <f t="shared" si="772"/>
        <v/>
      </c>
      <c r="Y410" s="18" t="str">
        <f t="shared" si="773"/>
        <v/>
      </c>
      <c r="Z410" s="7" t="str">
        <f t="shared" si="774"/>
        <v/>
      </c>
      <c r="AA410" s="18" t="str">
        <f t="shared" si="775"/>
        <v/>
      </c>
      <c r="AB410" s="19" t="str">
        <f t="shared" si="776"/>
        <v/>
      </c>
      <c r="AC410" s="26"/>
      <c r="AD410" s="26"/>
      <c r="AE410" s="25"/>
      <c r="AF410" s="26"/>
      <c r="AG410" s="25"/>
      <c r="AH410" s="25"/>
      <c r="AI410" s="18" t="str">
        <f t="shared" si="839"/>
        <v/>
      </c>
      <c r="AJ410" s="25"/>
      <c r="AK410" s="18" t="str">
        <f t="shared" si="840"/>
        <v/>
      </c>
      <c r="AL410" s="79"/>
      <c r="AM410" s="126" t="str">
        <f t="shared" si="841"/>
        <v/>
      </c>
      <c r="AN410" s="128" t="str">
        <f>IF(AP410&lt;&gt;"",VLOOKUP($P410&amp;" | "&amp;AN$6,'Job Master'!$F$12:$J$102,5,0),"")</f>
        <v/>
      </c>
      <c r="AO410" s="19" t="str">
        <f>IF(AP410&lt;&gt;"",VLOOKUP($P410&amp;" | "&amp;AN$6,'Job Master'!$F$12:$J$102,3,0),"")</f>
        <v/>
      </c>
      <c r="AP410" s="19" t="str">
        <f>IFERROR(IF(AND(AW410&lt;&gt;"",VLOOKUP($P410&amp;" | "&amp;AN$6,'Job Master'!$F$12:$I$102,4,0)&lt;&gt;""),IF(WEEKDAY(AW410-VLOOKUP($P410&amp;" | "&amp;AN$6,'Job Master'!$F$12:$I$102,4,0))&lt;&gt;7,AW410-VLOOKUP($P410&amp;" | "&amp;AN$6,'Job Master'!$F$12:$I$102,4,0),AW410-VLOOKUP($P410&amp;" | "&amp;AN$6,'Job Master'!$F$12:$I$102,4,0)-1),""),"")</f>
        <v/>
      </c>
      <c r="AQ410" s="73"/>
      <c r="AR410" s="123" t="str">
        <f t="shared" si="777"/>
        <v/>
      </c>
      <c r="AS410" s="123" t="str">
        <f t="shared" si="778"/>
        <v/>
      </c>
      <c r="AT410" s="97" t="str">
        <f t="shared" ca="1" si="779"/>
        <v/>
      </c>
      <c r="AU410" s="98" t="str">
        <f>IF(AW410&lt;&gt;"",VLOOKUP($P410&amp;" | "&amp;AU$6,'Job Master'!$F$12:$J$102,5,0),"")</f>
        <v/>
      </c>
      <c r="AV410" s="19" t="str">
        <f>IF(AW410&lt;&gt;"",VLOOKUP($P410&amp;" | "&amp;AU$6,'Job Master'!$F$12:$J$102,3,0),"")</f>
        <v/>
      </c>
      <c r="AW410" s="19" t="str">
        <f>IFERROR(IF(AND(BD410&lt;&gt;"",VLOOKUP($P410&amp;" | "&amp;AU$6,'Job Master'!$F$12:$I$102,4,0)&lt;&gt;""),IF(WEEKDAY(BD410-VLOOKUP($P410&amp;" | "&amp;AU$6,'Job Master'!$F$12:$I$102,4,0))&lt;&gt;7,BD410-VLOOKUP($P410&amp;" | "&amp;AU$6,'Job Master'!$F$12:$I$102,4,0),BD410-VLOOKUP($P410&amp;" | "&amp;AU$6,'Job Master'!$F$12:$I$102,4,0)-1),""),"")</f>
        <v/>
      </c>
      <c r="AX410" s="73"/>
      <c r="AY410" s="123" t="str">
        <f t="shared" si="780"/>
        <v/>
      </c>
      <c r="AZ410" s="123" t="str">
        <f t="shared" si="781"/>
        <v/>
      </c>
      <c r="BA410" s="97" t="str">
        <f t="shared" ca="1" si="782"/>
        <v/>
      </c>
      <c r="BB410" s="98" t="str">
        <f>IF(BD410&lt;&gt;"",VLOOKUP($P410&amp;" | "&amp;BB$6,'Job Master'!$F$12:$J$102,5,0),"")</f>
        <v/>
      </c>
      <c r="BC410" s="19" t="str">
        <f>IF(BD410&lt;&gt;"",VLOOKUP($P410&amp;" | "&amp;BB$6,'Job Master'!$F$12:$J$102,3,0),"")</f>
        <v/>
      </c>
      <c r="BD410" s="19" t="str">
        <f>IFERROR(IF(AND(BK410&lt;&gt;"",VLOOKUP($P410&amp;" | "&amp;BB$6,'Job Master'!$F$12:$I$102,4,0)&lt;&gt;""),IF(WEEKDAY(BK410-VLOOKUP($P410&amp;" | "&amp;BB$6,'Job Master'!$F$12:$I$102,4,0))&lt;&gt;7,BK410-VLOOKUP($P410&amp;" | "&amp;BB$6,'Job Master'!$F$12:$I$102,4,0),BK410-VLOOKUP($P410&amp;" | "&amp;BB$6,'Job Master'!$F$12:$I$102,4,0)-1),""),"")</f>
        <v/>
      </c>
      <c r="BE410" s="73"/>
      <c r="BF410" s="123" t="str">
        <f t="shared" si="783"/>
        <v/>
      </c>
      <c r="BG410" s="123" t="str">
        <f t="shared" si="784"/>
        <v/>
      </c>
      <c r="BH410" s="97" t="str">
        <f t="shared" ca="1" si="785"/>
        <v/>
      </c>
      <c r="BI410" s="98" t="str">
        <f>IF(BK410&lt;&gt;"",VLOOKUP($P410&amp;" | "&amp;BI$6,'Job Master'!$F$12:$J$102,5,0),"")</f>
        <v/>
      </c>
      <c r="BJ410" s="19" t="str">
        <f>IF(BK410&lt;&gt;"",VLOOKUP($P410&amp;" | "&amp;BI$6,'Job Master'!$F$12:$J$102,3,0),"")</f>
        <v/>
      </c>
      <c r="BK410" s="19" t="str">
        <f>IFERROR(IF(AND(BR410&lt;&gt;"",VLOOKUP($P410&amp;" | "&amp;BI$6,'Job Master'!$F$12:$I$102,4,0)&lt;&gt;""),IF(WEEKDAY(BR410-VLOOKUP($P410&amp;" | "&amp;BI$6,'Job Master'!$F$12:$I$102,4,0))&lt;&gt;7,BR410-VLOOKUP($P410&amp;" | "&amp;BI$6,'Job Master'!$F$12:$I$102,4,0),BR410-VLOOKUP($P410&amp;" | "&amp;BI$6,'Job Master'!$F$12:$I$102,4,0)-1),""),"")</f>
        <v/>
      </c>
      <c r="BL410" s="73"/>
      <c r="BM410" s="123" t="str">
        <f t="shared" si="786"/>
        <v/>
      </c>
      <c r="BN410" s="123" t="str">
        <f t="shared" si="787"/>
        <v/>
      </c>
      <c r="BO410" s="97" t="str">
        <f t="shared" ca="1" si="788"/>
        <v/>
      </c>
      <c r="BP410" s="98" t="str">
        <f>IF(BR410&lt;&gt;"",VLOOKUP($P410&amp;" | "&amp;BP$6,'Job Master'!$F$12:$J$102,5,0),"")</f>
        <v/>
      </c>
      <c r="BQ410" s="19" t="str">
        <f>IF(BR410&lt;&gt;"",VLOOKUP($P410&amp;" | "&amp;BP$6,'Job Master'!$F$12:$J$102,3,0),"")</f>
        <v/>
      </c>
      <c r="BR410" s="19" t="str">
        <f>IFERROR(IF(AND(BY410&lt;&gt;"",VLOOKUP($P410&amp;" | "&amp;BP$6,'Job Master'!$F$12:$I$102,4,0)&lt;&gt;""),IF(WEEKDAY(BY410-VLOOKUP($P410&amp;" | "&amp;BP$6,'Job Master'!$F$12:$I$102,4,0))&lt;&gt;7,BY410-VLOOKUP($P410&amp;" | "&amp;BP$6,'Job Master'!$F$12:$I$102,4,0),BY410-VLOOKUP($P410&amp;" | "&amp;BP$6,'Job Master'!$F$12:$I$102,4,0)-1),""),"")</f>
        <v/>
      </c>
      <c r="BS410" s="73"/>
      <c r="BT410" s="123" t="str">
        <f t="shared" si="789"/>
        <v/>
      </c>
      <c r="BU410" s="123" t="str">
        <f t="shared" si="790"/>
        <v/>
      </c>
      <c r="BV410" s="97" t="str">
        <f t="shared" ca="1" si="791"/>
        <v/>
      </c>
      <c r="BW410" s="98" t="str">
        <f>IF(BY410&lt;&gt;"",VLOOKUP($P410&amp;" | "&amp;BW$6,'Job Master'!$F$12:$J$102,5,0),"")</f>
        <v/>
      </c>
      <c r="BX410" s="19" t="str">
        <f>IF(BY410&lt;&gt;"",VLOOKUP($P410&amp;" | "&amp;BW$6,'Job Master'!$F$12:$J$102,3,0),"")</f>
        <v/>
      </c>
      <c r="BY410" s="19" t="str">
        <f>IFERROR(IF(AND(CF410&lt;&gt;"",VLOOKUP($P410&amp;" | "&amp;BW$6,'Job Master'!$F$12:$I$102,4,0)&lt;&gt;""),IF(WEEKDAY(CF410-VLOOKUP($P410&amp;" | "&amp;BW$6,'Job Master'!$F$12:$I$102,4,0))&lt;&gt;7,CF410-VLOOKUP($P410&amp;" | "&amp;BW$6,'Job Master'!$F$12:$I$102,4,0),CF410-VLOOKUP($P410&amp;" | "&amp;BW$6,'Job Master'!$F$12:$I$102,4,0)-1),""),"")</f>
        <v/>
      </c>
      <c r="BZ410" s="73"/>
      <c r="CA410" s="123" t="str">
        <f t="shared" si="792"/>
        <v/>
      </c>
      <c r="CB410" s="123" t="str">
        <f t="shared" si="793"/>
        <v/>
      </c>
      <c r="CC410" s="97" t="str">
        <f t="shared" ca="1" si="794"/>
        <v/>
      </c>
      <c r="CD410" s="98" t="str">
        <f>IF(CF410&lt;&gt;"",VLOOKUP($P410&amp;" | "&amp;CD$6,'Job Master'!$F$12:$J$102,5,0),"")</f>
        <v/>
      </c>
      <c r="CE410" s="19" t="str">
        <f>IF(CF410&lt;&gt;"",VLOOKUP($P410&amp;" | "&amp;CD$6,'Job Master'!$F$12:$J$102,3,0),"")</f>
        <v/>
      </c>
      <c r="CF410" s="19" t="str">
        <f>IFERROR(IF(AND(CM410&lt;&gt;"",VLOOKUP($P410&amp;" | "&amp;CD$6,'Job Master'!$F$12:$I$102,4,0)&lt;&gt;""),IF(WEEKDAY(CM410-VLOOKUP($P410&amp;" | "&amp;CD$6,'Job Master'!$F$12:$I$102,4,0))&lt;&gt;7,CM410-VLOOKUP($P410&amp;" | "&amp;CD$6,'Job Master'!$F$12:$I$102,4,0),CM410-VLOOKUP($P410&amp;" | "&amp;CD$6,'Job Master'!$F$12:$I$102,4,0)-1),""),"")</f>
        <v/>
      </c>
      <c r="CG410" s="73"/>
      <c r="CH410" s="123" t="str">
        <f t="shared" si="795"/>
        <v/>
      </c>
      <c r="CI410" s="123" t="str">
        <f t="shared" si="796"/>
        <v/>
      </c>
      <c r="CJ410" s="97" t="str">
        <f t="shared" ca="1" si="797"/>
        <v/>
      </c>
      <c r="CK410" s="98" t="str">
        <f>IF(CM410&lt;&gt;"",VLOOKUP($P410&amp;" | "&amp;CK$6,'Job Master'!$F$12:$J$102,5,0),"")</f>
        <v/>
      </c>
      <c r="CL410" s="19" t="str">
        <f>IF(CM410&lt;&gt;"",VLOOKUP($P410&amp;" | "&amp;CK$6,'Job Master'!$F$12:$J$102,3,0),"")</f>
        <v/>
      </c>
      <c r="CM410" s="19" t="str">
        <f>IFERROR(IF(AND(CT410&lt;&gt;"",VLOOKUP($P410&amp;" | "&amp;CK$6,'Job Master'!$F$12:$I$102,4,0)&lt;&gt;""),IF(WEEKDAY(CT410-VLOOKUP($P410&amp;" | "&amp;CK$6,'Job Master'!$F$12:$I$102,4,0))&lt;&gt;7,CT410-VLOOKUP($P410&amp;" | "&amp;CK$6,'Job Master'!$F$12:$I$102,4,0),CT410-VLOOKUP($P410&amp;" | "&amp;CK$6,'Job Master'!$F$12:$I$102,4,0)-1),""),"")</f>
        <v/>
      </c>
      <c r="CN410" s="73"/>
      <c r="CO410" s="123" t="str">
        <f t="shared" si="798"/>
        <v/>
      </c>
      <c r="CP410" s="123" t="str">
        <f t="shared" si="799"/>
        <v/>
      </c>
      <c r="CQ410" s="97" t="str">
        <f t="shared" ca="1" si="800"/>
        <v/>
      </c>
      <c r="CR410" s="98" t="str">
        <f>IF(CT410&lt;&gt;"",VLOOKUP($P410&amp;" | "&amp;CR$6,'Job Master'!$F$12:$J$102,5,0),"")</f>
        <v/>
      </c>
      <c r="CS410" s="19" t="str">
        <f>IF(CT410&lt;&gt;"",VLOOKUP($P410&amp;" | "&amp;CR$6,'Job Master'!$F$12:$J$102,3,0),"")</f>
        <v/>
      </c>
      <c r="CT410" s="19" t="str">
        <f>IFERROR(IF(AND(DA410&lt;&gt;"",VLOOKUP($P410&amp;" | "&amp;CR$6,'Job Master'!$F$12:$I$102,4,0)&lt;&gt;""),IF(WEEKDAY(DA410-VLOOKUP($P410&amp;" | "&amp;CR$6,'Job Master'!$F$12:$I$102,4,0))&lt;&gt;7,DA410-VLOOKUP($P410&amp;" | "&amp;CR$6,'Job Master'!$F$12:$I$102,4,0),DA410-VLOOKUP($P410&amp;" | "&amp;CR$6,'Job Master'!$F$12:$I$102,4,0)-1),""),"")</f>
        <v/>
      </c>
      <c r="CU410" s="73"/>
      <c r="CV410" s="123" t="str">
        <f t="shared" si="801"/>
        <v/>
      </c>
      <c r="CW410" s="123" t="str">
        <f t="shared" si="802"/>
        <v/>
      </c>
      <c r="CX410" s="97" t="str">
        <f t="shared" ca="1" si="803"/>
        <v/>
      </c>
      <c r="CY410" s="98" t="str">
        <f>IF(DA410&lt;&gt;"",VLOOKUP($P410&amp;" | "&amp;CY$6,'Job Master'!$F$12:$J$102,5,0),"")</f>
        <v/>
      </c>
      <c r="CZ410" s="19" t="str">
        <f>IF(DA410&lt;&gt;"",VLOOKUP($P410&amp;" | "&amp;CY$6,'Job Master'!$F$12:$J$102,3,0),"")</f>
        <v/>
      </c>
      <c r="DA410" s="19" t="str">
        <f>IFERROR(IF(AND(DH410&lt;&gt;"",VLOOKUP($P410&amp;" | "&amp;CY$6,'Job Master'!$F$12:$I$102,4,0)&lt;&gt;""),IF(WEEKDAY(DH410-VLOOKUP($P410&amp;" | "&amp;CY$6,'Job Master'!$F$12:$I$102,4,0))&lt;&gt;7,DH410-VLOOKUP($P410&amp;" | "&amp;CY$6,'Job Master'!$F$12:$I$102,4,0),DH410-VLOOKUP($P410&amp;" | "&amp;CY$6,'Job Master'!$F$12:$I$102,4,0)-1),""),"")</f>
        <v/>
      </c>
      <c r="DB410" s="73"/>
      <c r="DC410" s="123" t="str">
        <f t="shared" si="804"/>
        <v/>
      </c>
      <c r="DD410" s="123" t="str">
        <f t="shared" si="805"/>
        <v/>
      </c>
      <c r="DE410" s="97" t="str">
        <f t="shared" ca="1" si="806"/>
        <v/>
      </c>
      <c r="DF410" s="98" t="str">
        <f>IF(DH410&lt;&gt;"",VLOOKUP($P410&amp;" | "&amp;DF$6,'Job Master'!$F$12:$J$102,5,0),"")</f>
        <v/>
      </c>
      <c r="DG410" s="19" t="str">
        <f>IF(DH410&lt;&gt;"",VLOOKUP($P410&amp;" | "&amp;DF$6,'Job Master'!$F$12:$J$102,3,0),"")</f>
        <v/>
      </c>
      <c r="DH410" s="19" t="str">
        <f>IFERROR(IF(AND(DO410&lt;&gt;"",VLOOKUP($P410&amp;" | "&amp;DF$6,'Job Master'!$F$12:$I$102,4,0)&lt;&gt;""),IF(WEEKDAY(DO410-VLOOKUP($P410&amp;" | "&amp;DF$6,'Job Master'!$F$12:$I$102,4,0))&lt;&gt;7,DO410-VLOOKUP($P410&amp;" | "&amp;DF$6,'Job Master'!$F$12:$I$102,4,0),DO410-VLOOKUP($P410&amp;" | "&amp;DF$6,'Job Master'!$F$12:$I$102,4,0)-1),""),"")</f>
        <v/>
      </c>
      <c r="DI410" s="73"/>
      <c r="DJ410" s="123" t="str">
        <f t="shared" si="807"/>
        <v/>
      </c>
      <c r="DK410" s="123" t="str">
        <f t="shared" si="808"/>
        <v/>
      </c>
      <c r="DL410" s="97" t="str">
        <f t="shared" ca="1" si="809"/>
        <v/>
      </c>
      <c r="DM410" s="98" t="str">
        <f>IF(DO410&lt;&gt;"",VLOOKUP($P410&amp;" | "&amp;DM$6,'Job Master'!$F$12:$J$102,5,0),"")</f>
        <v/>
      </c>
      <c r="DN410" s="19" t="str">
        <f>IF(DO410&lt;&gt;"",VLOOKUP($P410&amp;" | "&amp;DM$6,'Job Master'!$F$12:$J$102,3,0),"")</f>
        <v/>
      </c>
      <c r="DO410" s="19" t="str">
        <f>IFERROR(IF(AND(DT410&lt;&gt;"",VLOOKUP($P410&amp;" | "&amp;DM$6,'Job Master'!$F$12:$I$102,4,0)&lt;&gt;""),IF(WEEKDAY(DT410-VLOOKUP($P410&amp;" | "&amp;DM$6,'Job Master'!$F$12:$I$102,4,0))&lt;&gt;7,DT410-VLOOKUP($P410&amp;" | "&amp;DM$6,'Job Master'!$F$12:$I$102,4,0),DT410-VLOOKUP($P410&amp;" | "&amp;DM$6,'Job Master'!$F$12:$I$102,4,0)-1),""),"")</f>
        <v/>
      </c>
      <c r="DP410" s="73"/>
      <c r="DQ410" s="123" t="str">
        <f t="shared" si="810"/>
        <v/>
      </c>
      <c r="DR410" s="123" t="str">
        <f t="shared" si="811"/>
        <v/>
      </c>
      <c r="DS410" s="97" t="str">
        <f t="shared" ca="1" si="812"/>
        <v/>
      </c>
      <c r="DT410" s="70" t="str">
        <f t="shared" si="813"/>
        <v/>
      </c>
      <c r="DU410" s="90"/>
      <c r="DV410" s="123" t="str">
        <f t="shared" si="814"/>
        <v/>
      </c>
      <c r="DW410" s="123" t="str">
        <f t="shared" si="815"/>
        <v/>
      </c>
      <c r="DX410" s="132" t="str">
        <f t="shared" ref="DX410" ca="1" si="843">IF(DT410&lt;&gt;"",IF(WEEKNUM(DT410)=WEEKNUM(TODAY()),"This Week",IF(WEEKNUM(DT410)=WEEKNUM(TODAY())+1,"Next Week",IF(WEEKNUM(DT410)=WEEKNUM(TODAY())-1,"Previous Week",""))),"")</f>
        <v/>
      </c>
      <c r="DY410" s="134" t="str">
        <f t="shared" si="817"/>
        <v/>
      </c>
      <c r="DZ410" s="95"/>
      <c r="EB410" s="8" t="str">
        <f t="shared" si="823"/>
        <v/>
      </c>
      <c r="EC410" s="8" t="str">
        <f>IF(O410&lt;&gt;"",VLOOKUP(O410,'Job Master'!$N$12:$O$18,2,0),"")</f>
        <v/>
      </c>
      <c r="ED410" s="8">
        <f t="shared" si="824"/>
        <v>19.5</v>
      </c>
      <c r="EE410" s="8">
        <f t="shared" si="825"/>
        <v>6</v>
      </c>
      <c r="EF410" s="8">
        <f t="shared" si="826"/>
        <v>-2380.5</v>
      </c>
      <c r="EG410" s="8" t="str">
        <f t="shared" si="827"/>
        <v/>
      </c>
      <c r="EH410" s="8" t="str">
        <f t="shared" si="828"/>
        <v/>
      </c>
    </row>
    <row r="411" spans="2:138" x14ac:dyDescent="0.3">
      <c r="B411" s="112"/>
      <c r="C411" s="27"/>
      <c r="D411" s="7" t="str">
        <f t="shared" si="765"/>
        <v/>
      </c>
      <c r="E411" s="25"/>
      <c r="F411" s="7" t="str">
        <f t="shared" si="765"/>
        <v/>
      </c>
      <c r="G411" s="25"/>
      <c r="H411" s="7" t="str">
        <f t="shared" si="765"/>
        <v/>
      </c>
      <c r="I411" s="25"/>
      <c r="J411" s="7" t="str">
        <f t="shared" si="765"/>
        <v/>
      </c>
      <c r="K411" s="25"/>
      <c r="L411" s="7" t="str">
        <f t="shared" si="766"/>
        <v/>
      </c>
      <c r="M411" s="25"/>
      <c r="N411" s="7" t="str">
        <f t="shared" si="767"/>
        <v/>
      </c>
      <c r="O411" s="81"/>
      <c r="P411" s="81" t="str">
        <f t="shared" si="768"/>
        <v/>
      </c>
      <c r="Q411" s="81"/>
      <c r="R411" s="7" t="str">
        <f t="shared" si="769"/>
        <v/>
      </c>
      <c r="S411" s="25"/>
      <c r="T411" s="7" t="str">
        <f t="shared" si="770"/>
        <v/>
      </c>
      <c r="U411" s="25"/>
      <c r="V411" s="7" t="str">
        <f t="shared" si="771"/>
        <v/>
      </c>
      <c r="W411" s="25"/>
      <c r="X411" s="7" t="str">
        <f t="shared" si="772"/>
        <v/>
      </c>
      <c r="Y411" s="18" t="str">
        <f t="shared" si="773"/>
        <v/>
      </c>
      <c r="Z411" s="7" t="str">
        <f t="shared" si="774"/>
        <v/>
      </c>
      <c r="AA411" s="18" t="str">
        <f t="shared" si="775"/>
        <v/>
      </c>
      <c r="AB411" s="19" t="str">
        <f t="shared" si="776"/>
        <v/>
      </c>
      <c r="AC411" s="26"/>
      <c r="AD411" s="26"/>
      <c r="AE411" s="25"/>
      <c r="AF411" s="26"/>
      <c r="AG411" s="25"/>
      <c r="AH411" s="25"/>
      <c r="AI411" s="18" t="str">
        <f t="shared" si="839"/>
        <v/>
      </c>
      <c r="AJ411" s="25"/>
      <c r="AK411" s="18" t="str">
        <f t="shared" si="840"/>
        <v/>
      </c>
      <c r="AL411" s="79"/>
      <c r="AM411" s="126" t="str">
        <f t="shared" si="841"/>
        <v/>
      </c>
      <c r="AN411" s="128" t="str">
        <f>IF(AP411&lt;&gt;"",VLOOKUP($P411&amp;" | "&amp;AN$6,'Job Master'!$F$12:$J$102,5,0),"")</f>
        <v/>
      </c>
      <c r="AO411" s="19" t="str">
        <f>IF(AP411&lt;&gt;"",VLOOKUP($P411&amp;" | "&amp;AN$6,'Job Master'!$F$12:$J$102,3,0),"")</f>
        <v/>
      </c>
      <c r="AP411" s="19" t="str">
        <f>IFERROR(IF(AND(AW411&lt;&gt;"",VLOOKUP($P411&amp;" | "&amp;AN$6,'Job Master'!$F$12:$I$102,4,0)&lt;&gt;""),IF(WEEKDAY(AW411-VLOOKUP($P411&amp;" | "&amp;AN$6,'Job Master'!$F$12:$I$102,4,0))&lt;&gt;7,AW411-VLOOKUP($P411&amp;" | "&amp;AN$6,'Job Master'!$F$12:$I$102,4,0),AW411-VLOOKUP($P411&amp;" | "&amp;AN$6,'Job Master'!$F$12:$I$102,4,0)-1),""),"")</f>
        <v/>
      </c>
      <c r="AQ411" s="73"/>
      <c r="AR411" s="123" t="str">
        <f t="shared" si="777"/>
        <v/>
      </c>
      <c r="AS411" s="123" t="str">
        <f t="shared" si="778"/>
        <v/>
      </c>
      <c r="AT411" s="97" t="str">
        <f t="shared" ca="1" si="779"/>
        <v/>
      </c>
      <c r="AU411" s="98" t="str">
        <f>IF(AW411&lt;&gt;"",VLOOKUP($P411&amp;" | "&amp;AU$6,'Job Master'!$F$12:$J$102,5,0),"")</f>
        <v/>
      </c>
      <c r="AV411" s="19" t="str">
        <f>IF(AW411&lt;&gt;"",VLOOKUP($P411&amp;" | "&amp;AU$6,'Job Master'!$F$12:$J$102,3,0),"")</f>
        <v/>
      </c>
      <c r="AW411" s="19" t="str">
        <f>IFERROR(IF(AND(BD411&lt;&gt;"",VLOOKUP($P411&amp;" | "&amp;AU$6,'Job Master'!$F$12:$I$102,4,0)&lt;&gt;""),IF(WEEKDAY(BD411-VLOOKUP($P411&amp;" | "&amp;AU$6,'Job Master'!$F$12:$I$102,4,0))&lt;&gt;7,BD411-VLOOKUP($P411&amp;" | "&amp;AU$6,'Job Master'!$F$12:$I$102,4,0),BD411-VLOOKUP($P411&amp;" | "&amp;AU$6,'Job Master'!$F$12:$I$102,4,0)-1),""),"")</f>
        <v/>
      </c>
      <c r="AX411" s="73"/>
      <c r="AY411" s="123" t="str">
        <f t="shared" si="780"/>
        <v/>
      </c>
      <c r="AZ411" s="123" t="str">
        <f t="shared" si="781"/>
        <v/>
      </c>
      <c r="BA411" s="97" t="str">
        <f t="shared" ca="1" si="782"/>
        <v/>
      </c>
      <c r="BB411" s="98" t="str">
        <f>IF(BD411&lt;&gt;"",VLOOKUP($P411&amp;" | "&amp;BB$6,'Job Master'!$F$12:$J$102,5,0),"")</f>
        <v/>
      </c>
      <c r="BC411" s="19" t="str">
        <f>IF(BD411&lt;&gt;"",VLOOKUP($P411&amp;" | "&amp;BB$6,'Job Master'!$F$12:$J$102,3,0),"")</f>
        <v/>
      </c>
      <c r="BD411" s="19" t="str">
        <f>IFERROR(IF(AND(BK411&lt;&gt;"",VLOOKUP($P411&amp;" | "&amp;BB$6,'Job Master'!$F$12:$I$102,4,0)&lt;&gt;""),IF(WEEKDAY(BK411-VLOOKUP($P411&amp;" | "&amp;BB$6,'Job Master'!$F$12:$I$102,4,0))&lt;&gt;7,BK411-VLOOKUP($P411&amp;" | "&amp;BB$6,'Job Master'!$F$12:$I$102,4,0),BK411-VLOOKUP($P411&amp;" | "&amp;BB$6,'Job Master'!$F$12:$I$102,4,0)-1),""),"")</f>
        <v/>
      </c>
      <c r="BE411" s="73"/>
      <c r="BF411" s="123" t="str">
        <f t="shared" si="783"/>
        <v/>
      </c>
      <c r="BG411" s="123" t="str">
        <f t="shared" si="784"/>
        <v/>
      </c>
      <c r="BH411" s="97" t="str">
        <f t="shared" ca="1" si="785"/>
        <v/>
      </c>
      <c r="BI411" s="98" t="str">
        <f>IF(BK411&lt;&gt;"",VLOOKUP($P411&amp;" | "&amp;BI$6,'Job Master'!$F$12:$J$102,5,0),"")</f>
        <v/>
      </c>
      <c r="BJ411" s="19" t="str">
        <f>IF(BK411&lt;&gt;"",VLOOKUP($P411&amp;" | "&amp;BI$6,'Job Master'!$F$12:$J$102,3,0),"")</f>
        <v/>
      </c>
      <c r="BK411" s="19" t="str">
        <f>IFERROR(IF(AND(BR411&lt;&gt;"",VLOOKUP($P411&amp;" | "&amp;BI$6,'Job Master'!$F$12:$I$102,4,0)&lt;&gt;""),IF(WEEKDAY(BR411-VLOOKUP($P411&amp;" | "&amp;BI$6,'Job Master'!$F$12:$I$102,4,0))&lt;&gt;7,BR411-VLOOKUP($P411&amp;" | "&amp;BI$6,'Job Master'!$F$12:$I$102,4,0),BR411-VLOOKUP($P411&amp;" | "&amp;BI$6,'Job Master'!$F$12:$I$102,4,0)-1),""),"")</f>
        <v/>
      </c>
      <c r="BL411" s="73"/>
      <c r="BM411" s="123" t="str">
        <f t="shared" si="786"/>
        <v/>
      </c>
      <c r="BN411" s="123" t="str">
        <f t="shared" si="787"/>
        <v/>
      </c>
      <c r="BO411" s="97" t="str">
        <f t="shared" ca="1" si="788"/>
        <v/>
      </c>
      <c r="BP411" s="98" t="str">
        <f>IF(BR411&lt;&gt;"",VLOOKUP($P411&amp;" | "&amp;BP$6,'Job Master'!$F$12:$J$102,5,0),"")</f>
        <v/>
      </c>
      <c r="BQ411" s="19" t="str">
        <f>IF(BR411&lt;&gt;"",VLOOKUP($P411&amp;" | "&amp;BP$6,'Job Master'!$F$12:$J$102,3,0),"")</f>
        <v/>
      </c>
      <c r="BR411" s="19" t="str">
        <f>IFERROR(IF(AND(BY411&lt;&gt;"",VLOOKUP($P411&amp;" | "&amp;BP$6,'Job Master'!$F$12:$I$102,4,0)&lt;&gt;""),IF(WEEKDAY(BY411-VLOOKUP($P411&amp;" | "&amp;BP$6,'Job Master'!$F$12:$I$102,4,0))&lt;&gt;7,BY411-VLOOKUP($P411&amp;" | "&amp;BP$6,'Job Master'!$F$12:$I$102,4,0),BY411-VLOOKUP($P411&amp;" | "&amp;BP$6,'Job Master'!$F$12:$I$102,4,0)-1),""),"")</f>
        <v/>
      </c>
      <c r="BS411" s="73"/>
      <c r="BT411" s="123" t="str">
        <f t="shared" si="789"/>
        <v/>
      </c>
      <c r="BU411" s="123" t="str">
        <f t="shared" si="790"/>
        <v/>
      </c>
      <c r="BV411" s="97" t="str">
        <f t="shared" ca="1" si="791"/>
        <v/>
      </c>
      <c r="BW411" s="98" t="str">
        <f>IF(BY411&lt;&gt;"",VLOOKUP($P411&amp;" | "&amp;BW$6,'Job Master'!$F$12:$J$102,5,0),"")</f>
        <v/>
      </c>
      <c r="BX411" s="19" t="str">
        <f>IF(BY411&lt;&gt;"",VLOOKUP($P411&amp;" | "&amp;BW$6,'Job Master'!$F$12:$J$102,3,0),"")</f>
        <v/>
      </c>
      <c r="BY411" s="19" t="str">
        <f>IFERROR(IF(AND(CF411&lt;&gt;"",VLOOKUP($P411&amp;" | "&amp;BW$6,'Job Master'!$F$12:$I$102,4,0)&lt;&gt;""),IF(WEEKDAY(CF411-VLOOKUP($P411&amp;" | "&amp;BW$6,'Job Master'!$F$12:$I$102,4,0))&lt;&gt;7,CF411-VLOOKUP($P411&amp;" | "&amp;BW$6,'Job Master'!$F$12:$I$102,4,0),CF411-VLOOKUP($P411&amp;" | "&amp;BW$6,'Job Master'!$F$12:$I$102,4,0)-1),""),"")</f>
        <v/>
      </c>
      <c r="BZ411" s="73"/>
      <c r="CA411" s="123" t="str">
        <f t="shared" si="792"/>
        <v/>
      </c>
      <c r="CB411" s="123" t="str">
        <f t="shared" si="793"/>
        <v/>
      </c>
      <c r="CC411" s="97" t="str">
        <f t="shared" ca="1" si="794"/>
        <v/>
      </c>
      <c r="CD411" s="98" t="str">
        <f>IF(CF411&lt;&gt;"",VLOOKUP($P411&amp;" | "&amp;CD$6,'Job Master'!$F$12:$J$102,5,0),"")</f>
        <v/>
      </c>
      <c r="CE411" s="19" t="str">
        <f>IF(CF411&lt;&gt;"",VLOOKUP($P411&amp;" | "&amp;CD$6,'Job Master'!$F$12:$J$102,3,0),"")</f>
        <v/>
      </c>
      <c r="CF411" s="19" t="str">
        <f>IFERROR(IF(AND(CM411&lt;&gt;"",VLOOKUP($P411&amp;" | "&amp;CD$6,'Job Master'!$F$12:$I$102,4,0)&lt;&gt;""),IF(WEEKDAY(CM411-VLOOKUP($P411&amp;" | "&amp;CD$6,'Job Master'!$F$12:$I$102,4,0))&lt;&gt;7,CM411-VLOOKUP($P411&amp;" | "&amp;CD$6,'Job Master'!$F$12:$I$102,4,0),CM411-VLOOKUP($P411&amp;" | "&amp;CD$6,'Job Master'!$F$12:$I$102,4,0)-1),""),"")</f>
        <v/>
      </c>
      <c r="CG411" s="73"/>
      <c r="CH411" s="123" t="str">
        <f t="shared" si="795"/>
        <v/>
      </c>
      <c r="CI411" s="123" t="str">
        <f t="shared" si="796"/>
        <v/>
      </c>
      <c r="CJ411" s="97" t="str">
        <f t="shared" ca="1" si="797"/>
        <v/>
      </c>
      <c r="CK411" s="98" t="str">
        <f>IF(CM411&lt;&gt;"",VLOOKUP($P411&amp;" | "&amp;CK$6,'Job Master'!$F$12:$J$102,5,0),"")</f>
        <v/>
      </c>
      <c r="CL411" s="19" t="str">
        <f>IF(CM411&lt;&gt;"",VLOOKUP($P411&amp;" | "&amp;CK$6,'Job Master'!$F$12:$J$102,3,0),"")</f>
        <v/>
      </c>
      <c r="CM411" s="19" t="str">
        <f>IFERROR(IF(AND(CT411&lt;&gt;"",VLOOKUP($P411&amp;" | "&amp;CK$6,'Job Master'!$F$12:$I$102,4,0)&lt;&gt;""),IF(WEEKDAY(CT411-VLOOKUP($P411&amp;" | "&amp;CK$6,'Job Master'!$F$12:$I$102,4,0))&lt;&gt;7,CT411-VLOOKUP($P411&amp;" | "&amp;CK$6,'Job Master'!$F$12:$I$102,4,0),CT411-VLOOKUP($P411&amp;" | "&amp;CK$6,'Job Master'!$F$12:$I$102,4,0)-1),""),"")</f>
        <v/>
      </c>
      <c r="CN411" s="73"/>
      <c r="CO411" s="123" t="str">
        <f t="shared" si="798"/>
        <v/>
      </c>
      <c r="CP411" s="123" t="str">
        <f t="shared" si="799"/>
        <v/>
      </c>
      <c r="CQ411" s="97" t="str">
        <f t="shared" ca="1" si="800"/>
        <v/>
      </c>
      <c r="CR411" s="98" t="str">
        <f>IF(CT411&lt;&gt;"",VLOOKUP($P411&amp;" | "&amp;CR$6,'Job Master'!$F$12:$J$102,5,0),"")</f>
        <v/>
      </c>
      <c r="CS411" s="19" t="str">
        <f>IF(CT411&lt;&gt;"",VLOOKUP($P411&amp;" | "&amp;CR$6,'Job Master'!$F$12:$J$102,3,0),"")</f>
        <v/>
      </c>
      <c r="CT411" s="19" t="str">
        <f>IFERROR(IF(AND(DA411&lt;&gt;"",VLOOKUP($P411&amp;" | "&amp;CR$6,'Job Master'!$F$12:$I$102,4,0)&lt;&gt;""),IF(WEEKDAY(DA411-VLOOKUP($P411&amp;" | "&amp;CR$6,'Job Master'!$F$12:$I$102,4,0))&lt;&gt;7,DA411-VLOOKUP($P411&amp;" | "&amp;CR$6,'Job Master'!$F$12:$I$102,4,0),DA411-VLOOKUP($P411&amp;" | "&amp;CR$6,'Job Master'!$F$12:$I$102,4,0)-1),""),"")</f>
        <v/>
      </c>
      <c r="CU411" s="73"/>
      <c r="CV411" s="123" t="str">
        <f t="shared" si="801"/>
        <v/>
      </c>
      <c r="CW411" s="123" t="str">
        <f t="shared" si="802"/>
        <v/>
      </c>
      <c r="CX411" s="97" t="str">
        <f t="shared" ca="1" si="803"/>
        <v/>
      </c>
      <c r="CY411" s="98" t="str">
        <f>IF(DA411&lt;&gt;"",VLOOKUP($P411&amp;" | "&amp;CY$6,'Job Master'!$F$12:$J$102,5,0),"")</f>
        <v/>
      </c>
      <c r="CZ411" s="19" t="str">
        <f>IF(DA411&lt;&gt;"",VLOOKUP($P411&amp;" | "&amp;CY$6,'Job Master'!$F$12:$J$102,3,0),"")</f>
        <v/>
      </c>
      <c r="DA411" s="19" t="str">
        <f>IFERROR(IF(AND(DH411&lt;&gt;"",VLOOKUP($P411&amp;" | "&amp;CY$6,'Job Master'!$F$12:$I$102,4,0)&lt;&gt;""),IF(WEEKDAY(DH411-VLOOKUP($P411&amp;" | "&amp;CY$6,'Job Master'!$F$12:$I$102,4,0))&lt;&gt;7,DH411-VLOOKUP($P411&amp;" | "&amp;CY$6,'Job Master'!$F$12:$I$102,4,0),DH411-VLOOKUP($P411&amp;" | "&amp;CY$6,'Job Master'!$F$12:$I$102,4,0)-1),""),"")</f>
        <v/>
      </c>
      <c r="DB411" s="73"/>
      <c r="DC411" s="123" t="str">
        <f t="shared" si="804"/>
        <v/>
      </c>
      <c r="DD411" s="123" t="str">
        <f t="shared" si="805"/>
        <v/>
      </c>
      <c r="DE411" s="97" t="str">
        <f t="shared" ca="1" si="806"/>
        <v/>
      </c>
      <c r="DF411" s="98" t="str">
        <f>IF(DH411&lt;&gt;"",VLOOKUP($P411&amp;" | "&amp;DF$6,'Job Master'!$F$12:$J$102,5,0),"")</f>
        <v/>
      </c>
      <c r="DG411" s="19" t="str">
        <f>IF(DH411&lt;&gt;"",VLOOKUP($P411&amp;" | "&amp;DF$6,'Job Master'!$F$12:$J$102,3,0),"")</f>
        <v/>
      </c>
      <c r="DH411" s="19" t="str">
        <f>IFERROR(IF(AND(DO411&lt;&gt;"",VLOOKUP($P411&amp;" | "&amp;DF$6,'Job Master'!$F$12:$I$102,4,0)&lt;&gt;""),IF(WEEKDAY(DO411-VLOOKUP($P411&amp;" | "&amp;DF$6,'Job Master'!$F$12:$I$102,4,0))&lt;&gt;7,DO411-VLOOKUP($P411&amp;" | "&amp;DF$6,'Job Master'!$F$12:$I$102,4,0),DO411-VLOOKUP($P411&amp;" | "&amp;DF$6,'Job Master'!$F$12:$I$102,4,0)-1),""),"")</f>
        <v/>
      </c>
      <c r="DI411" s="73"/>
      <c r="DJ411" s="123" t="str">
        <f t="shared" si="807"/>
        <v/>
      </c>
      <c r="DK411" s="123" t="str">
        <f t="shared" si="808"/>
        <v/>
      </c>
      <c r="DL411" s="97" t="str">
        <f t="shared" ca="1" si="809"/>
        <v/>
      </c>
      <c r="DM411" s="98" t="str">
        <f>IF(DO411&lt;&gt;"",VLOOKUP($P411&amp;" | "&amp;DM$6,'Job Master'!$F$12:$J$102,5,0),"")</f>
        <v/>
      </c>
      <c r="DN411" s="19" t="str">
        <f>IF(DO411&lt;&gt;"",VLOOKUP($P411&amp;" | "&amp;DM$6,'Job Master'!$F$12:$J$102,3,0),"")</f>
        <v/>
      </c>
      <c r="DO411" s="19" t="str">
        <f>IFERROR(IF(AND(DT411&lt;&gt;"",VLOOKUP($P411&amp;" | "&amp;DM$6,'Job Master'!$F$12:$I$102,4,0)&lt;&gt;""),IF(WEEKDAY(DT411-VLOOKUP($P411&amp;" | "&amp;DM$6,'Job Master'!$F$12:$I$102,4,0))&lt;&gt;7,DT411-VLOOKUP($P411&amp;" | "&amp;DM$6,'Job Master'!$F$12:$I$102,4,0),DT411-VLOOKUP($P411&amp;" | "&amp;DM$6,'Job Master'!$F$12:$I$102,4,0)-1),""),"")</f>
        <v/>
      </c>
      <c r="DP411" s="73"/>
      <c r="DQ411" s="123" t="str">
        <f t="shared" si="810"/>
        <v/>
      </c>
      <c r="DR411" s="123" t="str">
        <f t="shared" si="811"/>
        <v/>
      </c>
      <c r="DS411" s="97" t="str">
        <f t="shared" ca="1" si="812"/>
        <v/>
      </c>
      <c r="DT411" s="70" t="str">
        <f t="shared" si="813"/>
        <v/>
      </c>
      <c r="DU411" s="90"/>
      <c r="DV411" s="123" t="str">
        <f t="shared" si="814"/>
        <v/>
      </c>
      <c r="DW411" s="123" t="str">
        <f t="shared" si="815"/>
        <v/>
      </c>
      <c r="DX411" s="132" t="str">
        <f t="shared" ref="DX411" ca="1" si="844">IF(DT411&lt;&gt;"",IF(WEEKNUM(DT411)=WEEKNUM(TODAY()),"This Week",IF(WEEKNUM(DT411)=WEEKNUM(TODAY())+1,"Next Week",IF(WEEKNUM(DT411)=WEEKNUM(TODAY())-1,"Previous Week",""))),"")</f>
        <v/>
      </c>
      <c r="DY411" s="134" t="str">
        <f t="shared" si="817"/>
        <v/>
      </c>
      <c r="DZ411" s="95"/>
      <c r="EB411" s="8" t="str">
        <f t="shared" si="823"/>
        <v/>
      </c>
      <c r="EC411" s="8" t="str">
        <f>IF(O411&lt;&gt;"",VLOOKUP(O411,'Job Master'!$N$12:$O$18,2,0),"")</f>
        <v/>
      </c>
      <c r="ED411" s="8">
        <f t="shared" si="824"/>
        <v>19.5</v>
      </c>
      <c r="EE411" s="8">
        <f t="shared" si="825"/>
        <v>6</v>
      </c>
      <c r="EF411" s="8">
        <f t="shared" si="826"/>
        <v>-2386.5</v>
      </c>
      <c r="EG411" s="8" t="str">
        <f t="shared" si="827"/>
        <v/>
      </c>
      <c r="EH411" s="8" t="str">
        <f t="shared" si="828"/>
        <v/>
      </c>
    </row>
    <row r="412" spans="2:138" x14ac:dyDescent="0.3">
      <c r="B412" s="112"/>
      <c r="C412" s="27"/>
      <c r="D412" s="7" t="str">
        <f t="shared" si="765"/>
        <v/>
      </c>
      <c r="E412" s="25"/>
      <c r="F412" s="7" t="str">
        <f t="shared" si="765"/>
        <v/>
      </c>
      <c r="G412" s="25"/>
      <c r="H412" s="7" t="str">
        <f t="shared" si="765"/>
        <v/>
      </c>
      <c r="I412" s="25"/>
      <c r="J412" s="7" t="str">
        <f t="shared" si="765"/>
        <v/>
      </c>
      <c r="K412" s="25"/>
      <c r="L412" s="7" t="str">
        <f t="shared" si="766"/>
        <v/>
      </c>
      <c r="M412" s="25"/>
      <c r="N412" s="7" t="str">
        <f t="shared" si="767"/>
        <v/>
      </c>
      <c r="O412" s="81"/>
      <c r="P412" s="81" t="str">
        <f t="shared" si="768"/>
        <v/>
      </c>
      <c r="Q412" s="81"/>
      <c r="R412" s="7" t="str">
        <f t="shared" si="769"/>
        <v/>
      </c>
      <c r="S412" s="25"/>
      <c r="T412" s="7" t="str">
        <f t="shared" si="770"/>
        <v/>
      </c>
      <c r="U412" s="25"/>
      <c r="V412" s="7" t="str">
        <f t="shared" si="771"/>
        <v/>
      </c>
      <c r="W412" s="25"/>
      <c r="X412" s="7" t="str">
        <f t="shared" si="772"/>
        <v/>
      </c>
      <c r="Y412" s="18" t="str">
        <f t="shared" si="773"/>
        <v/>
      </c>
      <c r="Z412" s="7" t="str">
        <f t="shared" si="774"/>
        <v/>
      </c>
      <c r="AA412" s="18" t="str">
        <f t="shared" si="775"/>
        <v/>
      </c>
      <c r="AB412" s="19" t="str">
        <f t="shared" si="776"/>
        <v/>
      </c>
      <c r="AC412" s="26"/>
      <c r="AD412" s="26"/>
      <c r="AE412" s="25"/>
      <c r="AF412" s="26"/>
      <c r="AG412" s="25"/>
      <c r="AH412" s="25"/>
      <c r="AI412" s="18" t="str">
        <f t="shared" si="839"/>
        <v/>
      </c>
      <c r="AJ412" s="25"/>
      <c r="AK412" s="18" t="str">
        <f t="shared" si="840"/>
        <v/>
      </c>
      <c r="AL412" s="79"/>
      <c r="AM412" s="126" t="str">
        <f t="shared" si="841"/>
        <v/>
      </c>
      <c r="AN412" s="128" t="str">
        <f>IF(AP412&lt;&gt;"",VLOOKUP($P412&amp;" | "&amp;AN$6,'Job Master'!$F$12:$J$102,5,0),"")</f>
        <v/>
      </c>
      <c r="AO412" s="19" t="str">
        <f>IF(AP412&lt;&gt;"",VLOOKUP($P412&amp;" | "&amp;AN$6,'Job Master'!$F$12:$J$102,3,0),"")</f>
        <v/>
      </c>
      <c r="AP412" s="19" t="str">
        <f>IFERROR(IF(AND(AW412&lt;&gt;"",VLOOKUP($P412&amp;" | "&amp;AN$6,'Job Master'!$F$12:$I$102,4,0)&lt;&gt;""),IF(WEEKDAY(AW412-VLOOKUP($P412&amp;" | "&amp;AN$6,'Job Master'!$F$12:$I$102,4,0))&lt;&gt;7,AW412-VLOOKUP($P412&amp;" | "&amp;AN$6,'Job Master'!$F$12:$I$102,4,0),AW412-VLOOKUP($P412&amp;" | "&amp;AN$6,'Job Master'!$F$12:$I$102,4,0)-1),""),"")</f>
        <v/>
      </c>
      <c r="AQ412" s="73"/>
      <c r="AR412" s="123" t="str">
        <f t="shared" si="777"/>
        <v/>
      </c>
      <c r="AS412" s="123" t="str">
        <f t="shared" si="778"/>
        <v/>
      </c>
      <c r="AT412" s="97" t="str">
        <f t="shared" ca="1" si="779"/>
        <v/>
      </c>
      <c r="AU412" s="98" t="str">
        <f>IF(AW412&lt;&gt;"",VLOOKUP($P412&amp;" | "&amp;AU$6,'Job Master'!$F$12:$J$102,5,0),"")</f>
        <v/>
      </c>
      <c r="AV412" s="19" t="str">
        <f>IF(AW412&lt;&gt;"",VLOOKUP($P412&amp;" | "&amp;AU$6,'Job Master'!$F$12:$J$102,3,0),"")</f>
        <v/>
      </c>
      <c r="AW412" s="19" t="str">
        <f>IFERROR(IF(AND(BD412&lt;&gt;"",VLOOKUP($P412&amp;" | "&amp;AU$6,'Job Master'!$F$12:$I$102,4,0)&lt;&gt;""),IF(WEEKDAY(BD412-VLOOKUP($P412&amp;" | "&amp;AU$6,'Job Master'!$F$12:$I$102,4,0))&lt;&gt;7,BD412-VLOOKUP($P412&amp;" | "&amp;AU$6,'Job Master'!$F$12:$I$102,4,0),BD412-VLOOKUP($P412&amp;" | "&amp;AU$6,'Job Master'!$F$12:$I$102,4,0)-1),""),"")</f>
        <v/>
      </c>
      <c r="AX412" s="73"/>
      <c r="AY412" s="123" t="str">
        <f t="shared" si="780"/>
        <v/>
      </c>
      <c r="AZ412" s="123" t="str">
        <f t="shared" si="781"/>
        <v/>
      </c>
      <c r="BA412" s="97" t="str">
        <f t="shared" ca="1" si="782"/>
        <v/>
      </c>
      <c r="BB412" s="98" t="str">
        <f>IF(BD412&lt;&gt;"",VLOOKUP($P412&amp;" | "&amp;BB$6,'Job Master'!$F$12:$J$102,5,0),"")</f>
        <v/>
      </c>
      <c r="BC412" s="19" t="str">
        <f>IF(BD412&lt;&gt;"",VLOOKUP($P412&amp;" | "&amp;BB$6,'Job Master'!$F$12:$J$102,3,0),"")</f>
        <v/>
      </c>
      <c r="BD412" s="19" t="str">
        <f>IFERROR(IF(AND(BK412&lt;&gt;"",VLOOKUP($P412&amp;" | "&amp;BB$6,'Job Master'!$F$12:$I$102,4,0)&lt;&gt;""),IF(WEEKDAY(BK412-VLOOKUP($P412&amp;" | "&amp;BB$6,'Job Master'!$F$12:$I$102,4,0))&lt;&gt;7,BK412-VLOOKUP($P412&amp;" | "&amp;BB$6,'Job Master'!$F$12:$I$102,4,0),BK412-VLOOKUP($P412&amp;" | "&amp;BB$6,'Job Master'!$F$12:$I$102,4,0)-1),""),"")</f>
        <v/>
      </c>
      <c r="BE412" s="73"/>
      <c r="BF412" s="123" t="str">
        <f t="shared" si="783"/>
        <v/>
      </c>
      <c r="BG412" s="123" t="str">
        <f t="shared" si="784"/>
        <v/>
      </c>
      <c r="BH412" s="97" t="str">
        <f t="shared" ca="1" si="785"/>
        <v/>
      </c>
      <c r="BI412" s="98" t="str">
        <f>IF(BK412&lt;&gt;"",VLOOKUP($P412&amp;" | "&amp;BI$6,'Job Master'!$F$12:$J$102,5,0),"")</f>
        <v/>
      </c>
      <c r="BJ412" s="19" t="str">
        <f>IF(BK412&lt;&gt;"",VLOOKUP($P412&amp;" | "&amp;BI$6,'Job Master'!$F$12:$J$102,3,0),"")</f>
        <v/>
      </c>
      <c r="BK412" s="19" t="str">
        <f>IFERROR(IF(AND(BR412&lt;&gt;"",VLOOKUP($P412&amp;" | "&amp;BI$6,'Job Master'!$F$12:$I$102,4,0)&lt;&gt;""),IF(WEEKDAY(BR412-VLOOKUP($P412&amp;" | "&amp;BI$6,'Job Master'!$F$12:$I$102,4,0))&lt;&gt;7,BR412-VLOOKUP($P412&amp;" | "&amp;BI$6,'Job Master'!$F$12:$I$102,4,0),BR412-VLOOKUP($P412&amp;" | "&amp;BI$6,'Job Master'!$F$12:$I$102,4,0)-1),""),"")</f>
        <v/>
      </c>
      <c r="BL412" s="73"/>
      <c r="BM412" s="123" t="str">
        <f t="shared" si="786"/>
        <v/>
      </c>
      <c r="BN412" s="123" t="str">
        <f t="shared" si="787"/>
        <v/>
      </c>
      <c r="BO412" s="97" t="str">
        <f t="shared" ca="1" si="788"/>
        <v/>
      </c>
      <c r="BP412" s="98" t="str">
        <f>IF(BR412&lt;&gt;"",VLOOKUP($P412&amp;" | "&amp;BP$6,'Job Master'!$F$12:$J$102,5,0),"")</f>
        <v/>
      </c>
      <c r="BQ412" s="19" t="str">
        <f>IF(BR412&lt;&gt;"",VLOOKUP($P412&amp;" | "&amp;BP$6,'Job Master'!$F$12:$J$102,3,0),"")</f>
        <v/>
      </c>
      <c r="BR412" s="19" t="str">
        <f>IFERROR(IF(AND(BY412&lt;&gt;"",VLOOKUP($P412&amp;" | "&amp;BP$6,'Job Master'!$F$12:$I$102,4,0)&lt;&gt;""),IF(WEEKDAY(BY412-VLOOKUP($P412&amp;" | "&amp;BP$6,'Job Master'!$F$12:$I$102,4,0))&lt;&gt;7,BY412-VLOOKUP($P412&amp;" | "&amp;BP$6,'Job Master'!$F$12:$I$102,4,0),BY412-VLOOKUP($P412&amp;" | "&amp;BP$6,'Job Master'!$F$12:$I$102,4,0)-1),""),"")</f>
        <v/>
      </c>
      <c r="BS412" s="73"/>
      <c r="BT412" s="123" t="str">
        <f t="shared" si="789"/>
        <v/>
      </c>
      <c r="BU412" s="123" t="str">
        <f t="shared" si="790"/>
        <v/>
      </c>
      <c r="BV412" s="97" t="str">
        <f t="shared" ca="1" si="791"/>
        <v/>
      </c>
      <c r="BW412" s="98" t="str">
        <f>IF(BY412&lt;&gt;"",VLOOKUP($P412&amp;" | "&amp;BW$6,'Job Master'!$F$12:$J$102,5,0),"")</f>
        <v/>
      </c>
      <c r="BX412" s="19" t="str">
        <f>IF(BY412&lt;&gt;"",VLOOKUP($P412&amp;" | "&amp;BW$6,'Job Master'!$F$12:$J$102,3,0),"")</f>
        <v/>
      </c>
      <c r="BY412" s="19" t="str">
        <f>IFERROR(IF(AND(CF412&lt;&gt;"",VLOOKUP($P412&amp;" | "&amp;BW$6,'Job Master'!$F$12:$I$102,4,0)&lt;&gt;""),IF(WEEKDAY(CF412-VLOOKUP($P412&amp;" | "&amp;BW$6,'Job Master'!$F$12:$I$102,4,0))&lt;&gt;7,CF412-VLOOKUP($P412&amp;" | "&amp;BW$6,'Job Master'!$F$12:$I$102,4,0),CF412-VLOOKUP($P412&amp;" | "&amp;BW$6,'Job Master'!$F$12:$I$102,4,0)-1),""),"")</f>
        <v/>
      </c>
      <c r="BZ412" s="73"/>
      <c r="CA412" s="123" t="str">
        <f t="shared" si="792"/>
        <v/>
      </c>
      <c r="CB412" s="123" t="str">
        <f t="shared" si="793"/>
        <v/>
      </c>
      <c r="CC412" s="97" t="str">
        <f t="shared" ca="1" si="794"/>
        <v/>
      </c>
      <c r="CD412" s="98" t="str">
        <f>IF(CF412&lt;&gt;"",VLOOKUP($P412&amp;" | "&amp;CD$6,'Job Master'!$F$12:$J$102,5,0),"")</f>
        <v/>
      </c>
      <c r="CE412" s="19" t="str">
        <f>IF(CF412&lt;&gt;"",VLOOKUP($P412&amp;" | "&amp;CD$6,'Job Master'!$F$12:$J$102,3,0),"")</f>
        <v/>
      </c>
      <c r="CF412" s="19" t="str">
        <f>IFERROR(IF(AND(CM412&lt;&gt;"",VLOOKUP($P412&amp;" | "&amp;CD$6,'Job Master'!$F$12:$I$102,4,0)&lt;&gt;""),IF(WEEKDAY(CM412-VLOOKUP($P412&amp;" | "&amp;CD$6,'Job Master'!$F$12:$I$102,4,0))&lt;&gt;7,CM412-VLOOKUP($P412&amp;" | "&amp;CD$6,'Job Master'!$F$12:$I$102,4,0),CM412-VLOOKUP($P412&amp;" | "&amp;CD$6,'Job Master'!$F$12:$I$102,4,0)-1),""),"")</f>
        <v/>
      </c>
      <c r="CG412" s="73"/>
      <c r="CH412" s="123" t="str">
        <f t="shared" si="795"/>
        <v/>
      </c>
      <c r="CI412" s="123" t="str">
        <f t="shared" si="796"/>
        <v/>
      </c>
      <c r="CJ412" s="97" t="str">
        <f t="shared" ca="1" si="797"/>
        <v/>
      </c>
      <c r="CK412" s="98" t="str">
        <f>IF(CM412&lt;&gt;"",VLOOKUP($P412&amp;" | "&amp;CK$6,'Job Master'!$F$12:$J$102,5,0),"")</f>
        <v/>
      </c>
      <c r="CL412" s="19" t="str">
        <f>IF(CM412&lt;&gt;"",VLOOKUP($P412&amp;" | "&amp;CK$6,'Job Master'!$F$12:$J$102,3,0),"")</f>
        <v/>
      </c>
      <c r="CM412" s="19" t="str">
        <f>IFERROR(IF(AND(CT412&lt;&gt;"",VLOOKUP($P412&amp;" | "&amp;CK$6,'Job Master'!$F$12:$I$102,4,0)&lt;&gt;""),IF(WEEKDAY(CT412-VLOOKUP($P412&amp;" | "&amp;CK$6,'Job Master'!$F$12:$I$102,4,0))&lt;&gt;7,CT412-VLOOKUP($P412&amp;" | "&amp;CK$6,'Job Master'!$F$12:$I$102,4,0),CT412-VLOOKUP($P412&amp;" | "&amp;CK$6,'Job Master'!$F$12:$I$102,4,0)-1),""),"")</f>
        <v/>
      </c>
      <c r="CN412" s="73"/>
      <c r="CO412" s="123" t="str">
        <f t="shared" si="798"/>
        <v/>
      </c>
      <c r="CP412" s="123" t="str">
        <f t="shared" si="799"/>
        <v/>
      </c>
      <c r="CQ412" s="97" t="str">
        <f t="shared" ca="1" si="800"/>
        <v/>
      </c>
      <c r="CR412" s="98" t="str">
        <f>IF(CT412&lt;&gt;"",VLOOKUP($P412&amp;" | "&amp;CR$6,'Job Master'!$F$12:$J$102,5,0),"")</f>
        <v/>
      </c>
      <c r="CS412" s="19" t="str">
        <f>IF(CT412&lt;&gt;"",VLOOKUP($P412&amp;" | "&amp;CR$6,'Job Master'!$F$12:$J$102,3,0),"")</f>
        <v/>
      </c>
      <c r="CT412" s="19" t="str">
        <f>IFERROR(IF(AND(DA412&lt;&gt;"",VLOOKUP($P412&amp;" | "&amp;CR$6,'Job Master'!$F$12:$I$102,4,0)&lt;&gt;""),IF(WEEKDAY(DA412-VLOOKUP($P412&amp;" | "&amp;CR$6,'Job Master'!$F$12:$I$102,4,0))&lt;&gt;7,DA412-VLOOKUP($P412&amp;" | "&amp;CR$6,'Job Master'!$F$12:$I$102,4,0),DA412-VLOOKUP($P412&amp;" | "&amp;CR$6,'Job Master'!$F$12:$I$102,4,0)-1),""),"")</f>
        <v/>
      </c>
      <c r="CU412" s="73"/>
      <c r="CV412" s="123" t="str">
        <f t="shared" si="801"/>
        <v/>
      </c>
      <c r="CW412" s="123" t="str">
        <f t="shared" si="802"/>
        <v/>
      </c>
      <c r="CX412" s="97" t="str">
        <f t="shared" ca="1" si="803"/>
        <v/>
      </c>
      <c r="CY412" s="98" t="str">
        <f>IF(DA412&lt;&gt;"",VLOOKUP($P412&amp;" | "&amp;CY$6,'Job Master'!$F$12:$J$102,5,0),"")</f>
        <v/>
      </c>
      <c r="CZ412" s="19" t="str">
        <f>IF(DA412&lt;&gt;"",VLOOKUP($P412&amp;" | "&amp;CY$6,'Job Master'!$F$12:$J$102,3,0),"")</f>
        <v/>
      </c>
      <c r="DA412" s="19" t="str">
        <f>IFERROR(IF(AND(DH412&lt;&gt;"",VLOOKUP($P412&amp;" | "&amp;CY$6,'Job Master'!$F$12:$I$102,4,0)&lt;&gt;""),IF(WEEKDAY(DH412-VLOOKUP($P412&amp;" | "&amp;CY$6,'Job Master'!$F$12:$I$102,4,0))&lt;&gt;7,DH412-VLOOKUP($P412&amp;" | "&amp;CY$6,'Job Master'!$F$12:$I$102,4,0),DH412-VLOOKUP($P412&amp;" | "&amp;CY$6,'Job Master'!$F$12:$I$102,4,0)-1),""),"")</f>
        <v/>
      </c>
      <c r="DB412" s="73"/>
      <c r="DC412" s="123" t="str">
        <f t="shared" si="804"/>
        <v/>
      </c>
      <c r="DD412" s="123" t="str">
        <f t="shared" si="805"/>
        <v/>
      </c>
      <c r="DE412" s="97" t="str">
        <f t="shared" ca="1" si="806"/>
        <v/>
      </c>
      <c r="DF412" s="98" t="str">
        <f>IF(DH412&lt;&gt;"",VLOOKUP($P412&amp;" | "&amp;DF$6,'Job Master'!$F$12:$J$102,5,0),"")</f>
        <v/>
      </c>
      <c r="DG412" s="19" t="str">
        <f>IF(DH412&lt;&gt;"",VLOOKUP($P412&amp;" | "&amp;DF$6,'Job Master'!$F$12:$J$102,3,0),"")</f>
        <v/>
      </c>
      <c r="DH412" s="19" t="str">
        <f>IFERROR(IF(AND(DO412&lt;&gt;"",VLOOKUP($P412&amp;" | "&amp;DF$6,'Job Master'!$F$12:$I$102,4,0)&lt;&gt;""),IF(WEEKDAY(DO412-VLOOKUP($P412&amp;" | "&amp;DF$6,'Job Master'!$F$12:$I$102,4,0))&lt;&gt;7,DO412-VLOOKUP($P412&amp;" | "&amp;DF$6,'Job Master'!$F$12:$I$102,4,0),DO412-VLOOKUP($P412&amp;" | "&amp;DF$6,'Job Master'!$F$12:$I$102,4,0)-1),""),"")</f>
        <v/>
      </c>
      <c r="DI412" s="73"/>
      <c r="DJ412" s="123" t="str">
        <f t="shared" si="807"/>
        <v/>
      </c>
      <c r="DK412" s="123" t="str">
        <f t="shared" si="808"/>
        <v/>
      </c>
      <c r="DL412" s="97" t="str">
        <f t="shared" ca="1" si="809"/>
        <v/>
      </c>
      <c r="DM412" s="98" t="str">
        <f>IF(DO412&lt;&gt;"",VLOOKUP($P412&amp;" | "&amp;DM$6,'Job Master'!$F$12:$J$102,5,0),"")</f>
        <v/>
      </c>
      <c r="DN412" s="19" t="str">
        <f>IF(DO412&lt;&gt;"",VLOOKUP($P412&amp;" | "&amp;DM$6,'Job Master'!$F$12:$J$102,3,0),"")</f>
        <v/>
      </c>
      <c r="DO412" s="19" t="str">
        <f>IFERROR(IF(AND(DT412&lt;&gt;"",VLOOKUP($P412&amp;" | "&amp;DM$6,'Job Master'!$F$12:$I$102,4,0)&lt;&gt;""),IF(WEEKDAY(DT412-VLOOKUP($P412&amp;" | "&amp;DM$6,'Job Master'!$F$12:$I$102,4,0))&lt;&gt;7,DT412-VLOOKUP($P412&amp;" | "&amp;DM$6,'Job Master'!$F$12:$I$102,4,0),DT412-VLOOKUP($P412&amp;" | "&amp;DM$6,'Job Master'!$F$12:$I$102,4,0)-1),""),"")</f>
        <v/>
      </c>
      <c r="DP412" s="73"/>
      <c r="DQ412" s="123" t="str">
        <f t="shared" si="810"/>
        <v/>
      </c>
      <c r="DR412" s="123" t="str">
        <f t="shared" si="811"/>
        <v/>
      </c>
      <c r="DS412" s="97" t="str">
        <f t="shared" ca="1" si="812"/>
        <v/>
      </c>
      <c r="DT412" s="70" t="str">
        <f t="shared" si="813"/>
        <v/>
      </c>
      <c r="DU412" s="90"/>
      <c r="DV412" s="123" t="str">
        <f t="shared" si="814"/>
        <v/>
      </c>
      <c r="DW412" s="123" t="str">
        <f t="shared" si="815"/>
        <v/>
      </c>
      <c r="DX412" s="132" t="str">
        <f t="shared" ref="DX412" ca="1" si="845">IF(DT412&lt;&gt;"",IF(WEEKNUM(DT412)=WEEKNUM(TODAY()),"This Week",IF(WEEKNUM(DT412)=WEEKNUM(TODAY())+1,"Next Week",IF(WEEKNUM(DT412)=WEEKNUM(TODAY())-1,"Previous Week",""))),"")</f>
        <v/>
      </c>
      <c r="DY412" s="134" t="str">
        <f t="shared" si="817"/>
        <v/>
      </c>
      <c r="DZ412" s="95"/>
      <c r="EB412" s="8" t="str">
        <f t="shared" si="823"/>
        <v/>
      </c>
      <c r="EC412" s="8" t="str">
        <f>IF(O412&lt;&gt;"",VLOOKUP(O412,'Job Master'!$N$12:$O$18,2,0),"")</f>
        <v/>
      </c>
      <c r="ED412" s="8">
        <f t="shared" si="824"/>
        <v>19.5</v>
      </c>
      <c r="EE412" s="8">
        <f t="shared" si="825"/>
        <v>6</v>
      </c>
      <c r="EF412" s="8">
        <f t="shared" si="826"/>
        <v>-2392.5</v>
      </c>
      <c r="EG412" s="8" t="str">
        <f t="shared" si="827"/>
        <v/>
      </c>
      <c r="EH412" s="8" t="str">
        <f t="shared" si="828"/>
        <v/>
      </c>
    </row>
    <row r="413" spans="2:138" x14ac:dyDescent="0.3">
      <c r="B413" s="112"/>
      <c r="C413" s="27"/>
      <c r="D413" s="7" t="str">
        <f t="shared" si="765"/>
        <v/>
      </c>
      <c r="E413" s="25"/>
      <c r="F413" s="7" t="str">
        <f t="shared" si="765"/>
        <v/>
      </c>
      <c r="G413" s="25"/>
      <c r="H413" s="7" t="str">
        <f t="shared" si="765"/>
        <v/>
      </c>
      <c r="I413" s="25"/>
      <c r="J413" s="7" t="str">
        <f t="shared" si="765"/>
        <v/>
      </c>
      <c r="K413" s="25"/>
      <c r="L413" s="7" t="str">
        <f t="shared" si="766"/>
        <v/>
      </c>
      <c r="M413" s="25"/>
      <c r="N413" s="7" t="str">
        <f t="shared" si="767"/>
        <v/>
      </c>
      <c r="O413" s="81"/>
      <c r="P413" s="81" t="str">
        <f t="shared" si="768"/>
        <v/>
      </c>
      <c r="Q413" s="81"/>
      <c r="R413" s="7" t="str">
        <f t="shared" si="769"/>
        <v/>
      </c>
      <c r="S413" s="25"/>
      <c r="T413" s="7" t="str">
        <f t="shared" si="770"/>
        <v/>
      </c>
      <c r="U413" s="25"/>
      <c r="V413" s="7" t="str">
        <f t="shared" si="771"/>
        <v/>
      </c>
      <c r="W413" s="25"/>
      <c r="X413" s="7" t="str">
        <f t="shared" si="772"/>
        <v/>
      </c>
      <c r="Y413" s="18" t="str">
        <f t="shared" si="773"/>
        <v/>
      </c>
      <c r="Z413" s="7" t="str">
        <f t="shared" si="774"/>
        <v/>
      </c>
      <c r="AA413" s="18" t="str">
        <f t="shared" si="775"/>
        <v/>
      </c>
      <c r="AB413" s="19" t="str">
        <f t="shared" si="776"/>
        <v/>
      </c>
      <c r="AC413" s="26"/>
      <c r="AD413" s="26"/>
      <c r="AE413" s="25"/>
      <c r="AF413" s="26"/>
      <c r="AG413" s="25"/>
      <c r="AH413" s="25"/>
      <c r="AI413" s="18" t="str">
        <f t="shared" si="839"/>
        <v/>
      </c>
      <c r="AJ413" s="25"/>
      <c r="AK413" s="18" t="str">
        <f t="shared" si="840"/>
        <v/>
      </c>
      <c r="AL413" s="79"/>
      <c r="AM413" s="126" t="str">
        <f t="shared" si="841"/>
        <v/>
      </c>
      <c r="AN413" s="128" t="str">
        <f>IF(AP413&lt;&gt;"",VLOOKUP($P413&amp;" | "&amp;AN$6,'Job Master'!$F$12:$J$102,5,0),"")</f>
        <v/>
      </c>
      <c r="AO413" s="19" t="str">
        <f>IF(AP413&lt;&gt;"",VLOOKUP($P413&amp;" | "&amp;AN$6,'Job Master'!$F$12:$J$102,3,0),"")</f>
        <v/>
      </c>
      <c r="AP413" s="19" t="str">
        <f>IFERROR(IF(AND(AW413&lt;&gt;"",VLOOKUP($P413&amp;" | "&amp;AN$6,'Job Master'!$F$12:$I$102,4,0)&lt;&gt;""),IF(WEEKDAY(AW413-VLOOKUP($P413&amp;" | "&amp;AN$6,'Job Master'!$F$12:$I$102,4,0))&lt;&gt;7,AW413-VLOOKUP($P413&amp;" | "&amp;AN$6,'Job Master'!$F$12:$I$102,4,0),AW413-VLOOKUP($P413&amp;" | "&amp;AN$6,'Job Master'!$F$12:$I$102,4,0)-1),""),"")</f>
        <v/>
      </c>
      <c r="AQ413" s="73"/>
      <c r="AR413" s="123" t="str">
        <f t="shared" si="777"/>
        <v/>
      </c>
      <c r="AS413" s="123" t="str">
        <f t="shared" si="778"/>
        <v/>
      </c>
      <c r="AT413" s="97" t="str">
        <f t="shared" ca="1" si="779"/>
        <v/>
      </c>
      <c r="AU413" s="98" t="str">
        <f>IF(AW413&lt;&gt;"",VLOOKUP($P413&amp;" | "&amp;AU$6,'Job Master'!$F$12:$J$102,5,0),"")</f>
        <v/>
      </c>
      <c r="AV413" s="19" t="str">
        <f>IF(AW413&lt;&gt;"",VLOOKUP($P413&amp;" | "&amp;AU$6,'Job Master'!$F$12:$J$102,3,0),"")</f>
        <v/>
      </c>
      <c r="AW413" s="19" t="str">
        <f>IFERROR(IF(AND(BD413&lt;&gt;"",VLOOKUP($P413&amp;" | "&amp;AU$6,'Job Master'!$F$12:$I$102,4,0)&lt;&gt;""),IF(WEEKDAY(BD413-VLOOKUP($P413&amp;" | "&amp;AU$6,'Job Master'!$F$12:$I$102,4,0))&lt;&gt;7,BD413-VLOOKUP($P413&amp;" | "&amp;AU$6,'Job Master'!$F$12:$I$102,4,0),BD413-VLOOKUP($P413&amp;" | "&amp;AU$6,'Job Master'!$F$12:$I$102,4,0)-1),""),"")</f>
        <v/>
      </c>
      <c r="AX413" s="73"/>
      <c r="AY413" s="123" t="str">
        <f t="shared" si="780"/>
        <v/>
      </c>
      <c r="AZ413" s="123" t="str">
        <f t="shared" si="781"/>
        <v/>
      </c>
      <c r="BA413" s="97" t="str">
        <f t="shared" ca="1" si="782"/>
        <v/>
      </c>
      <c r="BB413" s="98" t="str">
        <f>IF(BD413&lt;&gt;"",VLOOKUP($P413&amp;" | "&amp;BB$6,'Job Master'!$F$12:$J$102,5,0),"")</f>
        <v/>
      </c>
      <c r="BC413" s="19" t="str">
        <f>IF(BD413&lt;&gt;"",VLOOKUP($P413&amp;" | "&amp;BB$6,'Job Master'!$F$12:$J$102,3,0),"")</f>
        <v/>
      </c>
      <c r="BD413" s="19" t="str">
        <f>IFERROR(IF(AND(BK413&lt;&gt;"",VLOOKUP($P413&amp;" | "&amp;BB$6,'Job Master'!$F$12:$I$102,4,0)&lt;&gt;""),IF(WEEKDAY(BK413-VLOOKUP($P413&amp;" | "&amp;BB$6,'Job Master'!$F$12:$I$102,4,0))&lt;&gt;7,BK413-VLOOKUP($P413&amp;" | "&amp;BB$6,'Job Master'!$F$12:$I$102,4,0),BK413-VLOOKUP($P413&amp;" | "&amp;BB$6,'Job Master'!$F$12:$I$102,4,0)-1),""),"")</f>
        <v/>
      </c>
      <c r="BE413" s="73"/>
      <c r="BF413" s="123" t="str">
        <f t="shared" si="783"/>
        <v/>
      </c>
      <c r="BG413" s="123" t="str">
        <f t="shared" si="784"/>
        <v/>
      </c>
      <c r="BH413" s="97" t="str">
        <f t="shared" ca="1" si="785"/>
        <v/>
      </c>
      <c r="BI413" s="98" t="str">
        <f>IF(BK413&lt;&gt;"",VLOOKUP($P413&amp;" | "&amp;BI$6,'Job Master'!$F$12:$J$102,5,0),"")</f>
        <v/>
      </c>
      <c r="BJ413" s="19" t="str">
        <f>IF(BK413&lt;&gt;"",VLOOKUP($P413&amp;" | "&amp;BI$6,'Job Master'!$F$12:$J$102,3,0),"")</f>
        <v/>
      </c>
      <c r="BK413" s="19" t="str">
        <f>IFERROR(IF(AND(BR413&lt;&gt;"",VLOOKUP($P413&amp;" | "&amp;BI$6,'Job Master'!$F$12:$I$102,4,0)&lt;&gt;""),IF(WEEKDAY(BR413-VLOOKUP($P413&amp;" | "&amp;BI$6,'Job Master'!$F$12:$I$102,4,0))&lt;&gt;7,BR413-VLOOKUP($P413&amp;" | "&amp;BI$6,'Job Master'!$F$12:$I$102,4,0),BR413-VLOOKUP($P413&amp;" | "&amp;BI$6,'Job Master'!$F$12:$I$102,4,0)-1),""),"")</f>
        <v/>
      </c>
      <c r="BL413" s="73"/>
      <c r="BM413" s="123" t="str">
        <f t="shared" si="786"/>
        <v/>
      </c>
      <c r="BN413" s="123" t="str">
        <f t="shared" si="787"/>
        <v/>
      </c>
      <c r="BO413" s="97" t="str">
        <f t="shared" ca="1" si="788"/>
        <v/>
      </c>
      <c r="BP413" s="98" t="str">
        <f>IF(BR413&lt;&gt;"",VLOOKUP($P413&amp;" | "&amp;BP$6,'Job Master'!$F$12:$J$102,5,0),"")</f>
        <v/>
      </c>
      <c r="BQ413" s="19" t="str">
        <f>IF(BR413&lt;&gt;"",VLOOKUP($P413&amp;" | "&amp;BP$6,'Job Master'!$F$12:$J$102,3,0),"")</f>
        <v/>
      </c>
      <c r="BR413" s="19" t="str">
        <f>IFERROR(IF(AND(BY413&lt;&gt;"",VLOOKUP($P413&amp;" | "&amp;BP$6,'Job Master'!$F$12:$I$102,4,0)&lt;&gt;""),IF(WEEKDAY(BY413-VLOOKUP($P413&amp;" | "&amp;BP$6,'Job Master'!$F$12:$I$102,4,0))&lt;&gt;7,BY413-VLOOKUP($P413&amp;" | "&amp;BP$6,'Job Master'!$F$12:$I$102,4,0),BY413-VLOOKUP($P413&amp;" | "&amp;BP$6,'Job Master'!$F$12:$I$102,4,0)-1),""),"")</f>
        <v/>
      </c>
      <c r="BS413" s="73"/>
      <c r="BT413" s="123" t="str">
        <f t="shared" si="789"/>
        <v/>
      </c>
      <c r="BU413" s="123" t="str">
        <f t="shared" si="790"/>
        <v/>
      </c>
      <c r="BV413" s="97" t="str">
        <f t="shared" ca="1" si="791"/>
        <v/>
      </c>
      <c r="BW413" s="98" t="str">
        <f>IF(BY413&lt;&gt;"",VLOOKUP($P413&amp;" | "&amp;BW$6,'Job Master'!$F$12:$J$102,5,0),"")</f>
        <v/>
      </c>
      <c r="BX413" s="19" t="str">
        <f>IF(BY413&lt;&gt;"",VLOOKUP($P413&amp;" | "&amp;BW$6,'Job Master'!$F$12:$J$102,3,0),"")</f>
        <v/>
      </c>
      <c r="BY413" s="19" t="str">
        <f>IFERROR(IF(AND(CF413&lt;&gt;"",VLOOKUP($P413&amp;" | "&amp;BW$6,'Job Master'!$F$12:$I$102,4,0)&lt;&gt;""),IF(WEEKDAY(CF413-VLOOKUP($P413&amp;" | "&amp;BW$6,'Job Master'!$F$12:$I$102,4,0))&lt;&gt;7,CF413-VLOOKUP($P413&amp;" | "&amp;BW$6,'Job Master'!$F$12:$I$102,4,0),CF413-VLOOKUP($P413&amp;" | "&amp;BW$6,'Job Master'!$F$12:$I$102,4,0)-1),""),"")</f>
        <v/>
      </c>
      <c r="BZ413" s="73"/>
      <c r="CA413" s="123" t="str">
        <f t="shared" si="792"/>
        <v/>
      </c>
      <c r="CB413" s="123" t="str">
        <f t="shared" si="793"/>
        <v/>
      </c>
      <c r="CC413" s="97" t="str">
        <f t="shared" ca="1" si="794"/>
        <v/>
      </c>
      <c r="CD413" s="98" t="str">
        <f>IF(CF413&lt;&gt;"",VLOOKUP($P413&amp;" | "&amp;CD$6,'Job Master'!$F$12:$J$102,5,0),"")</f>
        <v/>
      </c>
      <c r="CE413" s="19" t="str">
        <f>IF(CF413&lt;&gt;"",VLOOKUP($P413&amp;" | "&amp;CD$6,'Job Master'!$F$12:$J$102,3,0),"")</f>
        <v/>
      </c>
      <c r="CF413" s="19" t="str">
        <f>IFERROR(IF(AND(CM413&lt;&gt;"",VLOOKUP($P413&amp;" | "&amp;CD$6,'Job Master'!$F$12:$I$102,4,0)&lt;&gt;""),IF(WEEKDAY(CM413-VLOOKUP($P413&amp;" | "&amp;CD$6,'Job Master'!$F$12:$I$102,4,0))&lt;&gt;7,CM413-VLOOKUP($P413&amp;" | "&amp;CD$6,'Job Master'!$F$12:$I$102,4,0),CM413-VLOOKUP($P413&amp;" | "&amp;CD$6,'Job Master'!$F$12:$I$102,4,0)-1),""),"")</f>
        <v/>
      </c>
      <c r="CG413" s="73"/>
      <c r="CH413" s="123" t="str">
        <f t="shared" si="795"/>
        <v/>
      </c>
      <c r="CI413" s="123" t="str">
        <f t="shared" si="796"/>
        <v/>
      </c>
      <c r="CJ413" s="97" t="str">
        <f t="shared" ca="1" si="797"/>
        <v/>
      </c>
      <c r="CK413" s="98" t="str">
        <f>IF(CM413&lt;&gt;"",VLOOKUP($P413&amp;" | "&amp;CK$6,'Job Master'!$F$12:$J$102,5,0),"")</f>
        <v/>
      </c>
      <c r="CL413" s="19" t="str">
        <f>IF(CM413&lt;&gt;"",VLOOKUP($P413&amp;" | "&amp;CK$6,'Job Master'!$F$12:$J$102,3,0),"")</f>
        <v/>
      </c>
      <c r="CM413" s="19" t="str">
        <f>IFERROR(IF(AND(CT413&lt;&gt;"",VLOOKUP($P413&amp;" | "&amp;CK$6,'Job Master'!$F$12:$I$102,4,0)&lt;&gt;""),IF(WEEKDAY(CT413-VLOOKUP($P413&amp;" | "&amp;CK$6,'Job Master'!$F$12:$I$102,4,0))&lt;&gt;7,CT413-VLOOKUP($P413&amp;" | "&amp;CK$6,'Job Master'!$F$12:$I$102,4,0),CT413-VLOOKUP($P413&amp;" | "&amp;CK$6,'Job Master'!$F$12:$I$102,4,0)-1),""),"")</f>
        <v/>
      </c>
      <c r="CN413" s="73"/>
      <c r="CO413" s="123" t="str">
        <f t="shared" si="798"/>
        <v/>
      </c>
      <c r="CP413" s="123" t="str">
        <f t="shared" si="799"/>
        <v/>
      </c>
      <c r="CQ413" s="97" t="str">
        <f t="shared" ca="1" si="800"/>
        <v/>
      </c>
      <c r="CR413" s="98" t="str">
        <f>IF(CT413&lt;&gt;"",VLOOKUP($P413&amp;" | "&amp;CR$6,'Job Master'!$F$12:$J$102,5,0),"")</f>
        <v/>
      </c>
      <c r="CS413" s="19" t="str">
        <f>IF(CT413&lt;&gt;"",VLOOKUP($P413&amp;" | "&amp;CR$6,'Job Master'!$F$12:$J$102,3,0),"")</f>
        <v/>
      </c>
      <c r="CT413" s="19" t="str">
        <f>IFERROR(IF(AND(DA413&lt;&gt;"",VLOOKUP($P413&amp;" | "&amp;CR$6,'Job Master'!$F$12:$I$102,4,0)&lt;&gt;""),IF(WEEKDAY(DA413-VLOOKUP($P413&amp;" | "&amp;CR$6,'Job Master'!$F$12:$I$102,4,0))&lt;&gt;7,DA413-VLOOKUP($P413&amp;" | "&amp;CR$6,'Job Master'!$F$12:$I$102,4,0),DA413-VLOOKUP($P413&amp;" | "&amp;CR$6,'Job Master'!$F$12:$I$102,4,0)-1),""),"")</f>
        <v/>
      </c>
      <c r="CU413" s="73"/>
      <c r="CV413" s="123" t="str">
        <f t="shared" si="801"/>
        <v/>
      </c>
      <c r="CW413" s="123" t="str">
        <f t="shared" si="802"/>
        <v/>
      </c>
      <c r="CX413" s="97" t="str">
        <f t="shared" ca="1" si="803"/>
        <v/>
      </c>
      <c r="CY413" s="98" t="str">
        <f>IF(DA413&lt;&gt;"",VLOOKUP($P413&amp;" | "&amp;CY$6,'Job Master'!$F$12:$J$102,5,0),"")</f>
        <v/>
      </c>
      <c r="CZ413" s="19" t="str">
        <f>IF(DA413&lt;&gt;"",VLOOKUP($P413&amp;" | "&amp;CY$6,'Job Master'!$F$12:$J$102,3,0),"")</f>
        <v/>
      </c>
      <c r="DA413" s="19" t="str">
        <f>IFERROR(IF(AND(DH413&lt;&gt;"",VLOOKUP($P413&amp;" | "&amp;CY$6,'Job Master'!$F$12:$I$102,4,0)&lt;&gt;""),IF(WEEKDAY(DH413-VLOOKUP($P413&amp;" | "&amp;CY$6,'Job Master'!$F$12:$I$102,4,0))&lt;&gt;7,DH413-VLOOKUP($P413&amp;" | "&amp;CY$6,'Job Master'!$F$12:$I$102,4,0),DH413-VLOOKUP($P413&amp;" | "&amp;CY$6,'Job Master'!$F$12:$I$102,4,0)-1),""),"")</f>
        <v/>
      </c>
      <c r="DB413" s="73"/>
      <c r="DC413" s="123" t="str">
        <f t="shared" si="804"/>
        <v/>
      </c>
      <c r="DD413" s="123" t="str">
        <f t="shared" si="805"/>
        <v/>
      </c>
      <c r="DE413" s="97" t="str">
        <f t="shared" ca="1" si="806"/>
        <v/>
      </c>
      <c r="DF413" s="98" t="str">
        <f>IF(DH413&lt;&gt;"",VLOOKUP($P413&amp;" | "&amp;DF$6,'Job Master'!$F$12:$J$102,5,0),"")</f>
        <v/>
      </c>
      <c r="DG413" s="19" t="str">
        <f>IF(DH413&lt;&gt;"",VLOOKUP($P413&amp;" | "&amp;DF$6,'Job Master'!$F$12:$J$102,3,0),"")</f>
        <v/>
      </c>
      <c r="DH413" s="19" t="str">
        <f>IFERROR(IF(AND(DO413&lt;&gt;"",VLOOKUP($P413&amp;" | "&amp;DF$6,'Job Master'!$F$12:$I$102,4,0)&lt;&gt;""),IF(WEEKDAY(DO413-VLOOKUP($P413&amp;" | "&amp;DF$6,'Job Master'!$F$12:$I$102,4,0))&lt;&gt;7,DO413-VLOOKUP($P413&amp;" | "&amp;DF$6,'Job Master'!$F$12:$I$102,4,0),DO413-VLOOKUP($P413&amp;" | "&amp;DF$6,'Job Master'!$F$12:$I$102,4,0)-1),""),"")</f>
        <v/>
      </c>
      <c r="DI413" s="73"/>
      <c r="DJ413" s="123" t="str">
        <f t="shared" si="807"/>
        <v/>
      </c>
      <c r="DK413" s="123" t="str">
        <f t="shared" si="808"/>
        <v/>
      </c>
      <c r="DL413" s="97" t="str">
        <f t="shared" ca="1" si="809"/>
        <v/>
      </c>
      <c r="DM413" s="98" t="str">
        <f>IF(DO413&lt;&gt;"",VLOOKUP($P413&amp;" | "&amp;DM$6,'Job Master'!$F$12:$J$102,5,0),"")</f>
        <v/>
      </c>
      <c r="DN413" s="19" t="str">
        <f>IF(DO413&lt;&gt;"",VLOOKUP($P413&amp;" | "&amp;DM$6,'Job Master'!$F$12:$J$102,3,0),"")</f>
        <v/>
      </c>
      <c r="DO413" s="19" t="str">
        <f>IFERROR(IF(AND(DT413&lt;&gt;"",VLOOKUP($P413&amp;" | "&amp;DM$6,'Job Master'!$F$12:$I$102,4,0)&lt;&gt;""),IF(WEEKDAY(DT413-VLOOKUP($P413&amp;" | "&amp;DM$6,'Job Master'!$F$12:$I$102,4,0))&lt;&gt;7,DT413-VLOOKUP($P413&amp;" | "&amp;DM$6,'Job Master'!$F$12:$I$102,4,0),DT413-VLOOKUP($P413&amp;" | "&amp;DM$6,'Job Master'!$F$12:$I$102,4,0)-1),""),"")</f>
        <v/>
      </c>
      <c r="DP413" s="73"/>
      <c r="DQ413" s="123" t="str">
        <f t="shared" si="810"/>
        <v/>
      </c>
      <c r="DR413" s="123" t="str">
        <f t="shared" si="811"/>
        <v/>
      </c>
      <c r="DS413" s="97" t="str">
        <f t="shared" ca="1" si="812"/>
        <v/>
      </c>
      <c r="DT413" s="70" t="str">
        <f t="shared" si="813"/>
        <v/>
      </c>
      <c r="DU413" s="90"/>
      <c r="DV413" s="123" t="str">
        <f t="shared" si="814"/>
        <v/>
      </c>
      <c r="DW413" s="123" t="str">
        <f t="shared" si="815"/>
        <v/>
      </c>
      <c r="DX413" s="132" t="str">
        <f t="shared" ref="DX413" ca="1" si="846">IF(DT413&lt;&gt;"",IF(WEEKNUM(DT413)=WEEKNUM(TODAY()),"This Week",IF(WEEKNUM(DT413)=WEEKNUM(TODAY())+1,"Next Week",IF(WEEKNUM(DT413)=WEEKNUM(TODAY())-1,"Previous Week",""))),"")</f>
        <v/>
      </c>
      <c r="DY413" s="134" t="str">
        <f t="shared" si="817"/>
        <v/>
      </c>
      <c r="DZ413" s="95"/>
      <c r="EB413" s="8" t="str">
        <f t="shared" si="823"/>
        <v/>
      </c>
      <c r="EC413" s="8" t="str">
        <f>IF(O413&lt;&gt;"",VLOOKUP(O413,'Job Master'!$N$12:$O$18,2,0),"")</f>
        <v/>
      </c>
      <c r="ED413" s="8">
        <f t="shared" si="824"/>
        <v>19.5</v>
      </c>
      <c r="EE413" s="8">
        <f t="shared" si="825"/>
        <v>6</v>
      </c>
      <c r="EF413" s="8">
        <f t="shared" si="826"/>
        <v>-2398.5</v>
      </c>
      <c r="EG413" s="8" t="str">
        <f t="shared" si="827"/>
        <v/>
      </c>
      <c r="EH413" s="8" t="str">
        <f t="shared" si="828"/>
        <v/>
      </c>
    </row>
    <row r="414" spans="2:138" x14ac:dyDescent="0.3">
      <c r="B414" s="112"/>
      <c r="C414" s="27"/>
      <c r="D414" s="7" t="str">
        <f t="shared" si="765"/>
        <v/>
      </c>
      <c r="E414" s="25"/>
      <c r="F414" s="7" t="str">
        <f t="shared" si="765"/>
        <v/>
      </c>
      <c r="G414" s="25"/>
      <c r="H414" s="7" t="str">
        <f t="shared" si="765"/>
        <v/>
      </c>
      <c r="I414" s="25"/>
      <c r="J414" s="7" t="str">
        <f t="shared" si="765"/>
        <v/>
      </c>
      <c r="K414" s="25"/>
      <c r="L414" s="7" t="str">
        <f t="shared" si="766"/>
        <v/>
      </c>
      <c r="M414" s="25"/>
      <c r="N414" s="7" t="str">
        <f t="shared" si="767"/>
        <v/>
      </c>
      <c r="O414" s="81"/>
      <c r="P414" s="81" t="str">
        <f t="shared" si="768"/>
        <v/>
      </c>
      <c r="Q414" s="81"/>
      <c r="R414" s="7" t="str">
        <f t="shared" si="769"/>
        <v/>
      </c>
      <c r="S414" s="25"/>
      <c r="T414" s="7" t="str">
        <f t="shared" si="770"/>
        <v/>
      </c>
      <c r="U414" s="25"/>
      <c r="V414" s="7" t="str">
        <f t="shared" si="771"/>
        <v/>
      </c>
      <c r="W414" s="25"/>
      <c r="X414" s="7" t="str">
        <f t="shared" si="772"/>
        <v/>
      </c>
      <c r="Y414" s="18" t="str">
        <f t="shared" si="773"/>
        <v/>
      </c>
      <c r="Z414" s="7" t="str">
        <f t="shared" si="774"/>
        <v/>
      </c>
      <c r="AA414" s="18" t="str">
        <f t="shared" si="775"/>
        <v/>
      </c>
      <c r="AB414" s="19" t="str">
        <f t="shared" si="776"/>
        <v/>
      </c>
      <c r="AC414" s="26"/>
      <c r="AD414" s="26"/>
      <c r="AE414" s="25"/>
      <c r="AF414" s="26"/>
      <c r="AG414" s="25"/>
      <c r="AH414" s="25"/>
      <c r="AI414" s="18" t="str">
        <f t="shared" si="839"/>
        <v/>
      </c>
      <c r="AJ414" s="25"/>
      <c r="AK414" s="18" t="str">
        <f t="shared" si="840"/>
        <v/>
      </c>
      <c r="AL414" s="79"/>
      <c r="AM414" s="126" t="str">
        <f t="shared" si="841"/>
        <v/>
      </c>
      <c r="AN414" s="128" t="str">
        <f>IF(AP414&lt;&gt;"",VLOOKUP($P414&amp;" | "&amp;AN$6,'Job Master'!$F$12:$J$102,5,0),"")</f>
        <v/>
      </c>
      <c r="AO414" s="19" t="str">
        <f>IF(AP414&lt;&gt;"",VLOOKUP($P414&amp;" | "&amp;AN$6,'Job Master'!$F$12:$J$102,3,0),"")</f>
        <v/>
      </c>
      <c r="AP414" s="19" t="str">
        <f>IFERROR(IF(AND(AW414&lt;&gt;"",VLOOKUP($P414&amp;" | "&amp;AN$6,'Job Master'!$F$12:$I$102,4,0)&lt;&gt;""),IF(WEEKDAY(AW414-VLOOKUP($P414&amp;" | "&amp;AN$6,'Job Master'!$F$12:$I$102,4,0))&lt;&gt;7,AW414-VLOOKUP($P414&amp;" | "&amp;AN$6,'Job Master'!$F$12:$I$102,4,0),AW414-VLOOKUP($P414&amp;" | "&amp;AN$6,'Job Master'!$F$12:$I$102,4,0)-1),""),"")</f>
        <v/>
      </c>
      <c r="AQ414" s="73"/>
      <c r="AR414" s="123" t="str">
        <f t="shared" si="777"/>
        <v/>
      </c>
      <c r="AS414" s="123" t="str">
        <f t="shared" si="778"/>
        <v/>
      </c>
      <c r="AT414" s="97" t="str">
        <f t="shared" ca="1" si="779"/>
        <v/>
      </c>
      <c r="AU414" s="98" t="str">
        <f>IF(AW414&lt;&gt;"",VLOOKUP($P414&amp;" | "&amp;AU$6,'Job Master'!$F$12:$J$102,5,0),"")</f>
        <v/>
      </c>
      <c r="AV414" s="19" t="str">
        <f>IF(AW414&lt;&gt;"",VLOOKUP($P414&amp;" | "&amp;AU$6,'Job Master'!$F$12:$J$102,3,0),"")</f>
        <v/>
      </c>
      <c r="AW414" s="19" t="str">
        <f>IFERROR(IF(AND(BD414&lt;&gt;"",VLOOKUP($P414&amp;" | "&amp;AU$6,'Job Master'!$F$12:$I$102,4,0)&lt;&gt;""),IF(WEEKDAY(BD414-VLOOKUP($P414&amp;" | "&amp;AU$6,'Job Master'!$F$12:$I$102,4,0))&lt;&gt;7,BD414-VLOOKUP($P414&amp;" | "&amp;AU$6,'Job Master'!$F$12:$I$102,4,0),BD414-VLOOKUP($P414&amp;" | "&amp;AU$6,'Job Master'!$F$12:$I$102,4,0)-1),""),"")</f>
        <v/>
      </c>
      <c r="AX414" s="73"/>
      <c r="AY414" s="123" t="str">
        <f t="shared" si="780"/>
        <v/>
      </c>
      <c r="AZ414" s="123" t="str">
        <f t="shared" si="781"/>
        <v/>
      </c>
      <c r="BA414" s="97" t="str">
        <f t="shared" ca="1" si="782"/>
        <v/>
      </c>
      <c r="BB414" s="98" t="str">
        <f>IF(BD414&lt;&gt;"",VLOOKUP($P414&amp;" | "&amp;BB$6,'Job Master'!$F$12:$J$102,5,0),"")</f>
        <v/>
      </c>
      <c r="BC414" s="19" t="str">
        <f>IF(BD414&lt;&gt;"",VLOOKUP($P414&amp;" | "&amp;BB$6,'Job Master'!$F$12:$J$102,3,0),"")</f>
        <v/>
      </c>
      <c r="BD414" s="19" t="str">
        <f>IFERROR(IF(AND(BK414&lt;&gt;"",VLOOKUP($P414&amp;" | "&amp;BB$6,'Job Master'!$F$12:$I$102,4,0)&lt;&gt;""),IF(WEEKDAY(BK414-VLOOKUP($P414&amp;" | "&amp;BB$6,'Job Master'!$F$12:$I$102,4,0))&lt;&gt;7,BK414-VLOOKUP($P414&amp;" | "&amp;BB$6,'Job Master'!$F$12:$I$102,4,0),BK414-VLOOKUP($P414&amp;" | "&amp;BB$6,'Job Master'!$F$12:$I$102,4,0)-1),""),"")</f>
        <v/>
      </c>
      <c r="BE414" s="73"/>
      <c r="BF414" s="123" t="str">
        <f t="shared" si="783"/>
        <v/>
      </c>
      <c r="BG414" s="123" t="str">
        <f t="shared" si="784"/>
        <v/>
      </c>
      <c r="BH414" s="97" t="str">
        <f t="shared" ca="1" si="785"/>
        <v/>
      </c>
      <c r="BI414" s="98" t="str">
        <f>IF(BK414&lt;&gt;"",VLOOKUP($P414&amp;" | "&amp;BI$6,'Job Master'!$F$12:$J$102,5,0),"")</f>
        <v/>
      </c>
      <c r="BJ414" s="19" t="str">
        <f>IF(BK414&lt;&gt;"",VLOOKUP($P414&amp;" | "&amp;BI$6,'Job Master'!$F$12:$J$102,3,0),"")</f>
        <v/>
      </c>
      <c r="BK414" s="19" t="str">
        <f>IFERROR(IF(AND(BR414&lt;&gt;"",VLOOKUP($P414&amp;" | "&amp;BI$6,'Job Master'!$F$12:$I$102,4,0)&lt;&gt;""),IF(WEEKDAY(BR414-VLOOKUP($P414&amp;" | "&amp;BI$6,'Job Master'!$F$12:$I$102,4,0))&lt;&gt;7,BR414-VLOOKUP($P414&amp;" | "&amp;BI$6,'Job Master'!$F$12:$I$102,4,0),BR414-VLOOKUP($P414&amp;" | "&amp;BI$6,'Job Master'!$F$12:$I$102,4,0)-1),""),"")</f>
        <v/>
      </c>
      <c r="BL414" s="73"/>
      <c r="BM414" s="123" t="str">
        <f t="shared" si="786"/>
        <v/>
      </c>
      <c r="BN414" s="123" t="str">
        <f t="shared" si="787"/>
        <v/>
      </c>
      <c r="BO414" s="97" t="str">
        <f t="shared" ca="1" si="788"/>
        <v/>
      </c>
      <c r="BP414" s="98" t="str">
        <f>IF(BR414&lt;&gt;"",VLOOKUP($P414&amp;" | "&amp;BP$6,'Job Master'!$F$12:$J$102,5,0),"")</f>
        <v/>
      </c>
      <c r="BQ414" s="19" t="str">
        <f>IF(BR414&lt;&gt;"",VLOOKUP($P414&amp;" | "&amp;BP$6,'Job Master'!$F$12:$J$102,3,0),"")</f>
        <v/>
      </c>
      <c r="BR414" s="19" t="str">
        <f>IFERROR(IF(AND(BY414&lt;&gt;"",VLOOKUP($P414&amp;" | "&amp;BP$6,'Job Master'!$F$12:$I$102,4,0)&lt;&gt;""),IF(WEEKDAY(BY414-VLOOKUP($P414&amp;" | "&amp;BP$6,'Job Master'!$F$12:$I$102,4,0))&lt;&gt;7,BY414-VLOOKUP($P414&amp;" | "&amp;BP$6,'Job Master'!$F$12:$I$102,4,0),BY414-VLOOKUP($P414&amp;" | "&amp;BP$6,'Job Master'!$F$12:$I$102,4,0)-1),""),"")</f>
        <v/>
      </c>
      <c r="BS414" s="73"/>
      <c r="BT414" s="123" t="str">
        <f t="shared" si="789"/>
        <v/>
      </c>
      <c r="BU414" s="123" t="str">
        <f t="shared" si="790"/>
        <v/>
      </c>
      <c r="BV414" s="97" t="str">
        <f t="shared" ca="1" si="791"/>
        <v/>
      </c>
      <c r="BW414" s="98" t="str">
        <f>IF(BY414&lt;&gt;"",VLOOKUP($P414&amp;" | "&amp;BW$6,'Job Master'!$F$12:$J$102,5,0),"")</f>
        <v/>
      </c>
      <c r="BX414" s="19" t="str">
        <f>IF(BY414&lt;&gt;"",VLOOKUP($P414&amp;" | "&amp;BW$6,'Job Master'!$F$12:$J$102,3,0),"")</f>
        <v/>
      </c>
      <c r="BY414" s="19" t="str">
        <f>IFERROR(IF(AND(CF414&lt;&gt;"",VLOOKUP($P414&amp;" | "&amp;BW$6,'Job Master'!$F$12:$I$102,4,0)&lt;&gt;""),IF(WEEKDAY(CF414-VLOOKUP($P414&amp;" | "&amp;BW$6,'Job Master'!$F$12:$I$102,4,0))&lt;&gt;7,CF414-VLOOKUP($P414&amp;" | "&amp;BW$6,'Job Master'!$F$12:$I$102,4,0),CF414-VLOOKUP($P414&amp;" | "&amp;BW$6,'Job Master'!$F$12:$I$102,4,0)-1),""),"")</f>
        <v/>
      </c>
      <c r="BZ414" s="73"/>
      <c r="CA414" s="123" t="str">
        <f t="shared" si="792"/>
        <v/>
      </c>
      <c r="CB414" s="123" t="str">
        <f t="shared" si="793"/>
        <v/>
      </c>
      <c r="CC414" s="97" t="str">
        <f t="shared" ca="1" si="794"/>
        <v/>
      </c>
      <c r="CD414" s="98" t="str">
        <f>IF(CF414&lt;&gt;"",VLOOKUP($P414&amp;" | "&amp;CD$6,'Job Master'!$F$12:$J$102,5,0),"")</f>
        <v/>
      </c>
      <c r="CE414" s="19" t="str">
        <f>IF(CF414&lt;&gt;"",VLOOKUP($P414&amp;" | "&amp;CD$6,'Job Master'!$F$12:$J$102,3,0),"")</f>
        <v/>
      </c>
      <c r="CF414" s="19" t="str">
        <f>IFERROR(IF(AND(CM414&lt;&gt;"",VLOOKUP($P414&amp;" | "&amp;CD$6,'Job Master'!$F$12:$I$102,4,0)&lt;&gt;""),IF(WEEKDAY(CM414-VLOOKUP($P414&amp;" | "&amp;CD$6,'Job Master'!$F$12:$I$102,4,0))&lt;&gt;7,CM414-VLOOKUP($P414&amp;" | "&amp;CD$6,'Job Master'!$F$12:$I$102,4,0),CM414-VLOOKUP($P414&amp;" | "&amp;CD$6,'Job Master'!$F$12:$I$102,4,0)-1),""),"")</f>
        <v/>
      </c>
      <c r="CG414" s="73"/>
      <c r="CH414" s="123" t="str">
        <f t="shared" si="795"/>
        <v/>
      </c>
      <c r="CI414" s="123" t="str">
        <f t="shared" si="796"/>
        <v/>
      </c>
      <c r="CJ414" s="97" t="str">
        <f t="shared" ca="1" si="797"/>
        <v/>
      </c>
      <c r="CK414" s="98" t="str">
        <f>IF(CM414&lt;&gt;"",VLOOKUP($P414&amp;" | "&amp;CK$6,'Job Master'!$F$12:$J$102,5,0),"")</f>
        <v/>
      </c>
      <c r="CL414" s="19" t="str">
        <f>IF(CM414&lt;&gt;"",VLOOKUP($P414&amp;" | "&amp;CK$6,'Job Master'!$F$12:$J$102,3,0),"")</f>
        <v/>
      </c>
      <c r="CM414" s="19" t="str">
        <f>IFERROR(IF(AND(CT414&lt;&gt;"",VLOOKUP($P414&amp;" | "&amp;CK$6,'Job Master'!$F$12:$I$102,4,0)&lt;&gt;""),IF(WEEKDAY(CT414-VLOOKUP($P414&amp;" | "&amp;CK$6,'Job Master'!$F$12:$I$102,4,0))&lt;&gt;7,CT414-VLOOKUP($P414&amp;" | "&amp;CK$6,'Job Master'!$F$12:$I$102,4,0),CT414-VLOOKUP($P414&amp;" | "&amp;CK$6,'Job Master'!$F$12:$I$102,4,0)-1),""),"")</f>
        <v/>
      </c>
      <c r="CN414" s="73"/>
      <c r="CO414" s="123" t="str">
        <f t="shared" si="798"/>
        <v/>
      </c>
      <c r="CP414" s="123" t="str">
        <f t="shared" si="799"/>
        <v/>
      </c>
      <c r="CQ414" s="97" t="str">
        <f t="shared" ca="1" si="800"/>
        <v/>
      </c>
      <c r="CR414" s="98" t="str">
        <f>IF(CT414&lt;&gt;"",VLOOKUP($P414&amp;" | "&amp;CR$6,'Job Master'!$F$12:$J$102,5,0),"")</f>
        <v/>
      </c>
      <c r="CS414" s="19" t="str">
        <f>IF(CT414&lt;&gt;"",VLOOKUP($P414&amp;" | "&amp;CR$6,'Job Master'!$F$12:$J$102,3,0),"")</f>
        <v/>
      </c>
      <c r="CT414" s="19" t="str">
        <f>IFERROR(IF(AND(DA414&lt;&gt;"",VLOOKUP($P414&amp;" | "&amp;CR$6,'Job Master'!$F$12:$I$102,4,0)&lt;&gt;""),IF(WEEKDAY(DA414-VLOOKUP($P414&amp;" | "&amp;CR$6,'Job Master'!$F$12:$I$102,4,0))&lt;&gt;7,DA414-VLOOKUP($P414&amp;" | "&amp;CR$6,'Job Master'!$F$12:$I$102,4,0),DA414-VLOOKUP($P414&amp;" | "&amp;CR$6,'Job Master'!$F$12:$I$102,4,0)-1),""),"")</f>
        <v/>
      </c>
      <c r="CU414" s="73"/>
      <c r="CV414" s="123" t="str">
        <f t="shared" si="801"/>
        <v/>
      </c>
      <c r="CW414" s="123" t="str">
        <f t="shared" si="802"/>
        <v/>
      </c>
      <c r="CX414" s="97" t="str">
        <f t="shared" ca="1" si="803"/>
        <v/>
      </c>
      <c r="CY414" s="98" t="str">
        <f>IF(DA414&lt;&gt;"",VLOOKUP($P414&amp;" | "&amp;CY$6,'Job Master'!$F$12:$J$102,5,0),"")</f>
        <v/>
      </c>
      <c r="CZ414" s="19" t="str">
        <f>IF(DA414&lt;&gt;"",VLOOKUP($P414&amp;" | "&amp;CY$6,'Job Master'!$F$12:$J$102,3,0),"")</f>
        <v/>
      </c>
      <c r="DA414" s="19" t="str">
        <f>IFERROR(IF(AND(DH414&lt;&gt;"",VLOOKUP($P414&amp;" | "&amp;CY$6,'Job Master'!$F$12:$I$102,4,0)&lt;&gt;""),IF(WEEKDAY(DH414-VLOOKUP($P414&amp;" | "&amp;CY$6,'Job Master'!$F$12:$I$102,4,0))&lt;&gt;7,DH414-VLOOKUP($P414&amp;" | "&amp;CY$6,'Job Master'!$F$12:$I$102,4,0),DH414-VLOOKUP($P414&amp;" | "&amp;CY$6,'Job Master'!$F$12:$I$102,4,0)-1),""),"")</f>
        <v/>
      </c>
      <c r="DB414" s="73"/>
      <c r="DC414" s="123" t="str">
        <f t="shared" si="804"/>
        <v/>
      </c>
      <c r="DD414" s="123" t="str">
        <f t="shared" si="805"/>
        <v/>
      </c>
      <c r="DE414" s="97" t="str">
        <f t="shared" ca="1" si="806"/>
        <v/>
      </c>
      <c r="DF414" s="98" t="str">
        <f>IF(DH414&lt;&gt;"",VLOOKUP($P414&amp;" | "&amp;DF$6,'Job Master'!$F$12:$J$102,5,0),"")</f>
        <v/>
      </c>
      <c r="DG414" s="19" t="str">
        <f>IF(DH414&lt;&gt;"",VLOOKUP($P414&amp;" | "&amp;DF$6,'Job Master'!$F$12:$J$102,3,0),"")</f>
        <v/>
      </c>
      <c r="DH414" s="19" t="str">
        <f>IFERROR(IF(AND(DO414&lt;&gt;"",VLOOKUP($P414&amp;" | "&amp;DF$6,'Job Master'!$F$12:$I$102,4,0)&lt;&gt;""),IF(WEEKDAY(DO414-VLOOKUP($P414&amp;" | "&amp;DF$6,'Job Master'!$F$12:$I$102,4,0))&lt;&gt;7,DO414-VLOOKUP($P414&amp;" | "&amp;DF$6,'Job Master'!$F$12:$I$102,4,0),DO414-VLOOKUP($P414&amp;" | "&amp;DF$6,'Job Master'!$F$12:$I$102,4,0)-1),""),"")</f>
        <v/>
      </c>
      <c r="DI414" s="73"/>
      <c r="DJ414" s="123" t="str">
        <f t="shared" si="807"/>
        <v/>
      </c>
      <c r="DK414" s="123" t="str">
        <f t="shared" si="808"/>
        <v/>
      </c>
      <c r="DL414" s="97" t="str">
        <f t="shared" ca="1" si="809"/>
        <v/>
      </c>
      <c r="DM414" s="98" t="str">
        <f>IF(DO414&lt;&gt;"",VLOOKUP($P414&amp;" | "&amp;DM$6,'Job Master'!$F$12:$J$102,5,0),"")</f>
        <v/>
      </c>
      <c r="DN414" s="19" t="str">
        <f>IF(DO414&lt;&gt;"",VLOOKUP($P414&amp;" | "&amp;DM$6,'Job Master'!$F$12:$J$102,3,0),"")</f>
        <v/>
      </c>
      <c r="DO414" s="19" t="str">
        <f>IFERROR(IF(AND(DT414&lt;&gt;"",VLOOKUP($P414&amp;" | "&amp;DM$6,'Job Master'!$F$12:$I$102,4,0)&lt;&gt;""),IF(WEEKDAY(DT414-VLOOKUP($P414&amp;" | "&amp;DM$6,'Job Master'!$F$12:$I$102,4,0))&lt;&gt;7,DT414-VLOOKUP($P414&amp;" | "&amp;DM$6,'Job Master'!$F$12:$I$102,4,0),DT414-VLOOKUP($P414&amp;" | "&amp;DM$6,'Job Master'!$F$12:$I$102,4,0)-1),""),"")</f>
        <v/>
      </c>
      <c r="DP414" s="73"/>
      <c r="DQ414" s="123" t="str">
        <f t="shared" si="810"/>
        <v/>
      </c>
      <c r="DR414" s="123" t="str">
        <f t="shared" si="811"/>
        <v/>
      </c>
      <c r="DS414" s="97" t="str">
        <f t="shared" ca="1" si="812"/>
        <v/>
      </c>
      <c r="DT414" s="70" t="str">
        <f t="shared" si="813"/>
        <v/>
      </c>
      <c r="DU414" s="90"/>
      <c r="DV414" s="123" t="str">
        <f t="shared" si="814"/>
        <v/>
      </c>
      <c r="DW414" s="123" t="str">
        <f t="shared" si="815"/>
        <v/>
      </c>
      <c r="DX414" s="132" t="str">
        <f t="shared" ref="DX414" ca="1" si="847">IF(DT414&lt;&gt;"",IF(WEEKNUM(DT414)=WEEKNUM(TODAY()),"This Week",IF(WEEKNUM(DT414)=WEEKNUM(TODAY())+1,"Next Week",IF(WEEKNUM(DT414)=WEEKNUM(TODAY())-1,"Previous Week",""))),"")</f>
        <v/>
      </c>
      <c r="DY414" s="134" t="str">
        <f t="shared" si="817"/>
        <v/>
      </c>
      <c r="DZ414" s="95"/>
      <c r="EB414" s="8" t="str">
        <f t="shared" si="823"/>
        <v/>
      </c>
      <c r="EC414" s="8" t="str">
        <f>IF(O414&lt;&gt;"",VLOOKUP(O414,'Job Master'!$N$12:$O$18,2,0),"")</f>
        <v/>
      </c>
      <c r="ED414" s="8">
        <f t="shared" si="824"/>
        <v>19.5</v>
      </c>
      <c r="EE414" s="8">
        <f t="shared" si="825"/>
        <v>6</v>
      </c>
      <c r="EF414" s="8">
        <f t="shared" si="826"/>
        <v>-2404.5</v>
      </c>
      <c r="EG414" s="8" t="str">
        <f t="shared" si="827"/>
        <v/>
      </c>
      <c r="EH414" s="8" t="str">
        <f t="shared" si="828"/>
        <v/>
      </c>
    </row>
    <row r="415" spans="2:138" x14ac:dyDescent="0.3">
      <c r="B415" s="112"/>
      <c r="C415" s="27"/>
      <c r="D415" s="7" t="str">
        <f t="shared" si="765"/>
        <v/>
      </c>
      <c r="E415" s="25"/>
      <c r="F415" s="7" t="str">
        <f t="shared" si="765"/>
        <v/>
      </c>
      <c r="G415" s="25"/>
      <c r="H415" s="7" t="str">
        <f t="shared" si="765"/>
        <v/>
      </c>
      <c r="I415" s="25"/>
      <c r="J415" s="7" t="str">
        <f t="shared" si="765"/>
        <v/>
      </c>
      <c r="K415" s="25"/>
      <c r="L415" s="7" t="str">
        <f t="shared" si="766"/>
        <v/>
      </c>
      <c r="M415" s="25"/>
      <c r="N415" s="7" t="str">
        <f t="shared" si="767"/>
        <v/>
      </c>
      <c r="O415" s="81"/>
      <c r="P415" s="81" t="str">
        <f t="shared" si="768"/>
        <v/>
      </c>
      <c r="Q415" s="81"/>
      <c r="R415" s="7" t="str">
        <f t="shared" si="769"/>
        <v/>
      </c>
      <c r="S415" s="25"/>
      <c r="T415" s="7" t="str">
        <f t="shared" si="770"/>
        <v/>
      </c>
      <c r="U415" s="25"/>
      <c r="V415" s="7" t="str">
        <f t="shared" si="771"/>
        <v/>
      </c>
      <c r="W415" s="25"/>
      <c r="X415" s="7" t="str">
        <f t="shared" si="772"/>
        <v/>
      </c>
      <c r="Y415" s="18" t="str">
        <f t="shared" si="773"/>
        <v/>
      </c>
      <c r="Z415" s="7" t="str">
        <f t="shared" si="774"/>
        <v/>
      </c>
      <c r="AA415" s="18" t="str">
        <f t="shared" si="775"/>
        <v/>
      </c>
      <c r="AB415" s="19" t="str">
        <f t="shared" si="776"/>
        <v/>
      </c>
      <c r="AC415" s="26"/>
      <c r="AD415" s="26"/>
      <c r="AE415" s="25"/>
      <c r="AF415" s="26"/>
      <c r="AG415" s="25"/>
      <c r="AH415" s="25"/>
      <c r="AI415" s="18" t="str">
        <f t="shared" si="839"/>
        <v/>
      </c>
      <c r="AJ415" s="25"/>
      <c r="AK415" s="18" t="str">
        <f t="shared" si="840"/>
        <v/>
      </c>
      <c r="AL415" s="79"/>
      <c r="AM415" s="126" t="str">
        <f t="shared" si="841"/>
        <v/>
      </c>
      <c r="AN415" s="128" t="str">
        <f>IF(AP415&lt;&gt;"",VLOOKUP($P415&amp;" | "&amp;AN$6,'Job Master'!$F$12:$J$102,5,0),"")</f>
        <v/>
      </c>
      <c r="AO415" s="19" t="str">
        <f>IF(AP415&lt;&gt;"",VLOOKUP($P415&amp;" | "&amp;AN$6,'Job Master'!$F$12:$J$102,3,0),"")</f>
        <v/>
      </c>
      <c r="AP415" s="19" t="str">
        <f>IFERROR(IF(AND(AW415&lt;&gt;"",VLOOKUP($P415&amp;" | "&amp;AN$6,'Job Master'!$F$12:$I$102,4,0)&lt;&gt;""),IF(WEEKDAY(AW415-VLOOKUP($P415&amp;" | "&amp;AN$6,'Job Master'!$F$12:$I$102,4,0))&lt;&gt;7,AW415-VLOOKUP($P415&amp;" | "&amp;AN$6,'Job Master'!$F$12:$I$102,4,0),AW415-VLOOKUP($P415&amp;" | "&amp;AN$6,'Job Master'!$F$12:$I$102,4,0)-1),""),"")</f>
        <v/>
      </c>
      <c r="AQ415" s="73"/>
      <c r="AR415" s="123" t="str">
        <f t="shared" si="777"/>
        <v/>
      </c>
      <c r="AS415" s="123" t="str">
        <f t="shared" si="778"/>
        <v/>
      </c>
      <c r="AT415" s="97" t="str">
        <f t="shared" ca="1" si="779"/>
        <v/>
      </c>
      <c r="AU415" s="98" t="str">
        <f>IF(AW415&lt;&gt;"",VLOOKUP($P415&amp;" | "&amp;AU$6,'Job Master'!$F$12:$J$102,5,0),"")</f>
        <v/>
      </c>
      <c r="AV415" s="19" t="str">
        <f>IF(AW415&lt;&gt;"",VLOOKUP($P415&amp;" | "&amp;AU$6,'Job Master'!$F$12:$J$102,3,0),"")</f>
        <v/>
      </c>
      <c r="AW415" s="19" t="str">
        <f>IFERROR(IF(AND(BD415&lt;&gt;"",VLOOKUP($P415&amp;" | "&amp;AU$6,'Job Master'!$F$12:$I$102,4,0)&lt;&gt;""),IF(WEEKDAY(BD415-VLOOKUP($P415&amp;" | "&amp;AU$6,'Job Master'!$F$12:$I$102,4,0))&lt;&gt;7,BD415-VLOOKUP($P415&amp;" | "&amp;AU$6,'Job Master'!$F$12:$I$102,4,0),BD415-VLOOKUP($P415&amp;" | "&amp;AU$6,'Job Master'!$F$12:$I$102,4,0)-1),""),"")</f>
        <v/>
      </c>
      <c r="AX415" s="73"/>
      <c r="AY415" s="123" t="str">
        <f t="shared" si="780"/>
        <v/>
      </c>
      <c r="AZ415" s="123" t="str">
        <f t="shared" si="781"/>
        <v/>
      </c>
      <c r="BA415" s="97" t="str">
        <f t="shared" ca="1" si="782"/>
        <v/>
      </c>
      <c r="BB415" s="98" t="str">
        <f>IF(BD415&lt;&gt;"",VLOOKUP($P415&amp;" | "&amp;BB$6,'Job Master'!$F$12:$J$102,5,0),"")</f>
        <v/>
      </c>
      <c r="BC415" s="19" t="str">
        <f>IF(BD415&lt;&gt;"",VLOOKUP($P415&amp;" | "&amp;BB$6,'Job Master'!$F$12:$J$102,3,0),"")</f>
        <v/>
      </c>
      <c r="BD415" s="19" t="str">
        <f>IFERROR(IF(AND(BK415&lt;&gt;"",VLOOKUP($P415&amp;" | "&amp;BB$6,'Job Master'!$F$12:$I$102,4,0)&lt;&gt;""),IF(WEEKDAY(BK415-VLOOKUP($P415&amp;" | "&amp;BB$6,'Job Master'!$F$12:$I$102,4,0))&lt;&gt;7,BK415-VLOOKUP($P415&amp;" | "&amp;BB$6,'Job Master'!$F$12:$I$102,4,0),BK415-VLOOKUP($P415&amp;" | "&amp;BB$6,'Job Master'!$F$12:$I$102,4,0)-1),""),"")</f>
        <v/>
      </c>
      <c r="BE415" s="73"/>
      <c r="BF415" s="123" t="str">
        <f t="shared" si="783"/>
        <v/>
      </c>
      <c r="BG415" s="123" t="str">
        <f t="shared" si="784"/>
        <v/>
      </c>
      <c r="BH415" s="97" t="str">
        <f t="shared" ca="1" si="785"/>
        <v/>
      </c>
      <c r="BI415" s="98" t="str">
        <f>IF(BK415&lt;&gt;"",VLOOKUP($P415&amp;" | "&amp;BI$6,'Job Master'!$F$12:$J$102,5,0),"")</f>
        <v/>
      </c>
      <c r="BJ415" s="19" t="str">
        <f>IF(BK415&lt;&gt;"",VLOOKUP($P415&amp;" | "&amp;BI$6,'Job Master'!$F$12:$J$102,3,0),"")</f>
        <v/>
      </c>
      <c r="BK415" s="19" t="str">
        <f>IFERROR(IF(AND(BR415&lt;&gt;"",VLOOKUP($P415&amp;" | "&amp;BI$6,'Job Master'!$F$12:$I$102,4,0)&lt;&gt;""),IF(WEEKDAY(BR415-VLOOKUP($P415&amp;" | "&amp;BI$6,'Job Master'!$F$12:$I$102,4,0))&lt;&gt;7,BR415-VLOOKUP($P415&amp;" | "&amp;BI$6,'Job Master'!$F$12:$I$102,4,0),BR415-VLOOKUP($P415&amp;" | "&amp;BI$6,'Job Master'!$F$12:$I$102,4,0)-1),""),"")</f>
        <v/>
      </c>
      <c r="BL415" s="73"/>
      <c r="BM415" s="123" t="str">
        <f t="shared" si="786"/>
        <v/>
      </c>
      <c r="BN415" s="123" t="str">
        <f t="shared" si="787"/>
        <v/>
      </c>
      <c r="BO415" s="97" t="str">
        <f t="shared" ca="1" si="788"/>
        <v/>
      </c>
      <c r="BP415" s="98" t="str">
        <f>IF(BR415&lt;&gt;"",VLOOKUP($P415&amp;" | "&amp;BP$6,'Job Master'!$F$12:$J$102,5,0),"")</f>
        <v/>
      </c>
      <c r="BQ415" s="19" t="str">
        <f>IF(BR415&lt;&gt;"",VLOOKUP($P415&amp;" | "&amp;BP$6,'Job Master'!$F$12:$J$102,3,0),"")</f>
        <v/>
      </c>
      <c r="BR415" s="19" t="str">
        <f>IFERROR(IF(AND(BY415&lt;&gt;"",VLOOKUP($P415&amp;" | "&amp;BP$6,'Job Master'!$F$12:$I$102,4,0)&lt;&gt;""),IF(WEEKDAY(BY415-VLOOKUP($P415&amp;" | "&amp;BP$6,'Job Master'!$F$12:$I$102,4,0))&lt;&gt;7,BY415-VLOOKUP($P415&amp;" | "&amp;BP$6,'Job Master'!$F$12:$I$102,4,0),BY415-VLOOKUP($P415&amp;" | "&amp;BP$6,'Job Master'!$F$12:$I$102,4,0)-1),""),"")</f>
        <v/>
      </c>
      <c r="BS415" s="73"/>
      <c r="BT415" s="123" t="str">
        <f t="shared" si="789"/>
        <v/>
      </c>
      <c r="BU415" s="123" t="str">
        <f t="shared" si="790"/>
        <v/>
      </c>
      <c r="BV415" s="97" t="str">
        <f t="shared" ca="1" si="791"/>
        <v/>
      </c>
      <c r="BW415" s="98" t="str">
        <f>IF(BY415&lt;&gt;"",VLOOKUP($P415&amp;" | "&amp;BW$6,'Job Master'!$F$12:$J$102,5,0),"")</f>
        <v/>
      </c>
      <c r="BX415" s="19" t="str">
        <f>IF(BY415&lt;&gt;"",VLOOKUP($P415&amp;" | "&amp;BW$6,'Job Master'!$F$12:$J$102,3,0),"")</f>
        <v/>
      </c>
      <c r="BY415" s="19" t="str">
        <f>IFERROR(IF(AND(CF415&lt;&gt;"",VLOOKUP($P415&amp;" | "&amp;BW$6,'Job Master'!$F$12:$I$102,4,0)&lt;&gt;""),IF(WEEKDAY(CF415-VLOOKUP($P415&amp;" | "&amp;BW$6,'Job Master'!$F$12:$I$102,4,0))&lt;&gt;7,CF415-VLOOKUP($P415&amp;" | "&amp;BW$6,'Job Master'!$F$12:$I$102,4,0),CF415-VLOOKUP($P415&amp;" | "&amp;BW$6,'Job Master'!$F$12:$I$102,4,0)-1),""),"")</f>
        <v/>
      </c>
      <c r="BZ415" s="73"/>
      <c r="CA415" s="123" t="str">
        <f t="shared" si="792"/>
        <v/>
      </c>
      <c r="CB415" s="123" t="str">
        <f t="shared" si="793"/>
        <v/>
      </c>
      <c r="CC415" s="97" t="str">
        <f t="shared" ca="1" si="794"/>
        <v/>
      </c>
      <c r="CD415" s="98" t="str">
        <f>IF(CF415&lt;&gt;"",VLOOKUP($P415&amp;" | "&amp;CD$6,'Job Master'!$F$12:$J$102,5,0),"")</f>
        <v/>
      </c>
      <c r="CE415" s="19" t="str">
        <f>IF(CF415&lt;&gt;"",VLOOKUP($P415&amp;" | "&amp;CD$6,'Job Master'!$F$12:$J$102,3,0),"")</f>
        <v/>
      </c>
      <c r="CF415" s="19" t="str">
        <f>IFERROR(IF(AND(CM415&lt;&gt;"",VLOOKUP($P415&amp;" | "&amp;CD$6,'Job Master'!$F$12:$I$102,4,0)&lt;&gt;""),IF(WEEKDAY(CM415-VLOOKUP($P415&amp;" | "&amp;CD$6,'Job Master'!$F$12:$I$102,4,0))&lt;&gt;7,CM415-VLOOKUP($P415&amp;" | "&amp;CD$6,'Job Master'!$F$12:$I$102,4,0),CM415-VLOOKUP($P415&amp;" | "&amp;CD$6,'Job Master'!$F$12:$I$102,4,0)-1),""),"")</f>
        <v/>
      </c>
      <c r="CG415" s="73"/>
      <c r="CH415" s="123" t="str">
        <f t="shared" si="795"/>
        <v/>
      </c>
      <c r="CI415" s="123" t="str">
        <f t="shared" si="796"/>
        <v/>
      </c>
      <c r="CJ415" s="97" t="str">
        <f t="shared" ca="1" si="797"/>
        <v/>
      </c>
      <c r="CK415" s="98" t="str">
        <f>IF(CM415&lt;&gt;"",VLOOKUP($P415&amp;" | "&amp;CK$6,'Job Master'!$F$12:$J$102,5,0),"")</f>
        <v/>
      </c>
      <c r="CL415" s="19" t="str">
        <f>IF(CM415&lt;&gt;"",VLOOKUP($P415&amp;" | "&amp;CK$6,'Job Master'!$F$12:$J$102,3,0),"")</f>
        <v/>
      </c>
      <c r="CM415" s="19" t="str">
        <f>IFERROR(IF(AND(CT415&lt;&gt;"",VLOOKUP($P415&amp;" | "&amp;CK$6,'Job Master'!$F$12:$I$102,4,0)&lt;&gt;""),IF(WEEKDAY(CT415-VLOOKUP($P415&amp;" | "&amp;CK$6,'Job Master'!$F$12:$I$102,4,0))&lt;&gt;7,CT415-VLOOKUP($P415&amp;" | "&amp;CK$6,'Job Master'!$F$12:$I$102,4,0),CT415-VLOOKUP($P415&amp;" | "&amp;CK$6,'Job Master'!$F$12:$I$102,4,0)-1),""),"")</f>
        <v/>
      </c>
      <c r="CN415" s="73"/>
      <c r="CO415" s="123" t="str">
        <f t="shared" si="798"/>
        <v/>
      </c>
      <c r="CP415" s="123" t="str">
        <f t="shared" si="799"/>
        <v/>
      </c>
      <c r="CQ415" s="97" t="str">
        <f t="shared" ca="1" si="800"/>
        <v/>
      </c>
      <c r="CR415" s="98" t="str">
        <f>IF(CT415&lt;&gt;"",VLOOKUP($P415&amp;" | "&amp;CR$6,'Job Master'!$F$12:$J$102,5,0),"")</f>
        <v/>
      </c>
      <c r="CS415" s="19" t="str">
        <f>IF(CT415&lt;&gt;"",VLOOKUP($P415&amp;" | "&amp;CR$6,'Job Master'!$F$12:$J$102,3,0),"")</f>
        <v/>
      </c>
      <c r="CT415" s="19" t="str">
        <f>IFERROR(IF(AND(DA415&lt;&gt;"",VLOOKUP($P415&amp;" | "&amp;CR$6,'Job Master'!$F$12:$I$102,4,0)&lt;&gt;""),IF(WEEKDAY(DA415-VLOOKUP($P415&amp;" | "&amp;CR$6,'Job Master'!$F$12:$I$102,4,0))&lt;&gt;7,DA415-VLOOKUP($P415&amp;" | "&amp;CR$6,'Job Master'!$F$12:$I$102,4,0),DA415-VLOOKUP($P415&amp;" | "&amp;CR$6,'Job Master'!$F$12:$I$102,4,0)-1),""),"")</f>
        <v/>
      </c>
      <c r="CU415" s="73"/>
      <c r="CV415" s="123" t="str">
        <f t="shared" si="801"/>
        <v/>
      </c>
      <c r="CW415" s="123" t="str">
        <f t="shared" si="802"/>
        <v/>
      </c>
      <c r="CX415" s="97" t="str">
        <f t="shared" ca="1" si="803"/>
        <v/>
      </c>
      <c r="CY415" s="98" t="str">
        <f>IF(DA415&lt;&gt;"",VLOOKUP($P415&amp;" | "&amp;CY$6,'Job Master'!$F$12:$J$102,5,0),"")</f>
        <v/>
      </c>
      <c r="CZ415" s="19" t="str">
        <f>IF(DA415&lt;&gt;"",VLOOKUP($P415&amp;" | "&amp;CY$6,'Job Master'!$F$12:$J$102,3,0),"")</f>
        <v/>
      </c>
      <c r="DA415" s="19" t="str">
        <f>IFERROR(IF(AND(DH415&lt;&gt;"",VLOOKUP($P415&amp;" | "&amp;CY$6,'Job Master'!$F$12:$I$102,4,0)&lt;&gt;""),IF(WEEKDAY(DH415-VLOOKUP($P415&amp;" | "&amp;CY$6,'Job Master'!$F$12:$I$102,4,0))&lt;&gt;7,DH415-VLOOKUP($P415&amp;" | "&amp;CY$6,'Job Master'!$F$12:$I$102,4,0),DH415-VLOOKUP($P415&amp;" | "&amp;CY$6,'Job Master'!$F$12:$I$102,4,0)-1),""),"")</f>
        <v/>
      </c>
      <c r="DB415" s="73"/>
      <c r="DC415" s="123" t="str">
        <f t="shared" si="804"/>
        <v/>
      </c>
      <c r="DD415" s="123" t="str">
        <f t="shared" si="805"/>
        <v/>
      </c>
      <c r="DE415" s="97" t="str">
        <f t="shared" ca="1" si="806"/>
        <v/>
      </c>
      <c r="DF415" s="98" t="str">
        <f>IF(DH415&lt;&gt;"",VLOOKUP($P415&amp;" | "&amp;DF$6,'Job Master'!$F$12:$J$102,5,0),"")</f>
        <v/>
      </c>
      <c r="DG415" s="19" t="str">
        <f>IF(DH415&lt;&gt;"",VLOOKUP($P415&amp;" | "&amp;DF$6,'Job Master'!$F$12:$J$102,3,0),"")</f>
        <v/>
      </c>
      <c r="DH415" s="19" t="str">
        <f>IFERROR(IF(AND(DO415&lt;&gt;"",VLOOKUP($P415&amp;" | "&amp;DF$6,'Job Master'!$F$12:$I$102,4,0)&lt;&gt;""),IF(WEEKDAY(DO415-VLOOKUP($P415&amp;" | "&amp;DF$6,'Job Master'!$F$12:$I$102,4,0))&lt;&gt;7,DO415-VLOOKUP($P415&amp;" | "&amp;DF$6,'Job Master'!$F$12:$I$102,4,0),DO415-VLOOKUP($P415&amp;" | "&amp;DF$6,'Job Master'!$F$12:$I$102,4,0)-1),""),"")</f>
        <v/>
      </c>
      <c r="DI415" s="73"/>
      <c r="DJ415" s="123" t="str">
        <f t="shared" si="807"/>
        <v/>
      </c>
      <c r="DK415" s="123" t="str">
        <f t="shared" si="808"/>
        <v/>
      </c>
      <c r="DL415" s="97" t="str">
        <f t="shared" ca="1" si="809"/>
        <v/>
      </c>
      <c r="DM415" s="98" t="str">
        <f>IF(DO415&lt;&gt;"",VLOOKUP($P415&amp;" | "&amp;DM$6,'Job Master'!$F$12:$J$102,5,0),"")</f>
        <v/>
      </c>
      <c r="DN415" s="19" t="str">
        <f>IF(DO415&lt;&gt;"",VLOOKUP($P415&amp;" | "&amp;DM$6,'Job Master'!$F$12:$J$102,3,0),"")</f>
        <v/>
      </c>
      <c r="DO415" s="19" t="str">
        <f>IFERROR(IF(AND(DT415&lt;&gt;"",VLOOKUP($P415&amp;" | "&amp;DM$6,'Job Master'!$F$12:$I$102,4,0)&lt;&gt;""),IF(WEEKDAY(DT415-VLOOKUP($P415&amp;" | "&amp;DM$6,'Job Master'!$F$12:$I$102,4,0))&lt;&gt;7,DT415-VLOOKUP($P415&amp;" | "&amp;DM$6,'Job Master'!$F$12:$I$102,4,0),DT415-VLOOKUP($P415&amp;" | "&amp;DM$6,'Job Master'!$F$12:$I$102,4,0)-1),""),"")</f>
        <v/>
      </c>
      <c r="DP415" s="73"/>
      <c r="DQ415" s="123" t="str">
        <f t="shared" si="810"/>
        <v/>
      </c>
      <c r="DR415" s="123" t="str">
        <f t="shared" si="811"/>
        <v/>
      </c>
      <c r="DS415" s="97" t="str">
        <f t="shared" ca="1" si="812"/>
        <v/>
      </c>
      <c r="DT415" s="70" t="str">
        <f t="shared" si="813"/>
        <v/>
      </c>
      <c r="DU415" s="90"/>
      <c r="DV415" s="123" t="str">
        <f t="shared" si="814"/>
        <v/>
      </c>
      <c r="DW415" s="123" t="str">
        <f t="shared" si="815"/>
        <v/>
      </c>
      <c r="DX415" s="132" t="str">
        <f t="shared" ref="DX415" ca="1" si="848">IF(DT415&lt;&gt;"",IF(WEEKNUM(DT415)=WEEKNUM(TODAY()),"This Week",IF(WEEKNUM(DT415)=WEEKNUM(TODAY())+1,"Next Week",IF(WEEKNUM(DT415)=WEEKNUM(TODAY())-1,"Previous Week",""))),"")</f>
        <v/>
      </c>
      <c r="DY415" s="134" t="str">
        <f t="shared" si="817"/>
        <v/>
      </c>
      <c r="DZ415" s="95"/>
      <c r="EB415" s="8" t="str">
        <f t="shared" si="823"/>
        <v/>
      </c>
      <c r="EC415" s="8" t="str">
        <f>IF(O415&lt;&gt;"",VLOOKUP(O415,'Job Master'!$N$12:$O$18,2,0),"")</f>
        <v/>
      </c>
      <c r="ED415" s="8">
        <f t="shared" si="824"/>
        <v>19.5</v>
      </c>
      <c r="EE415" s="8">
        <f t="shared" si="825"/>
        <v>6</v>
      </c>
      <c r="EF415" s="8">
        <f t="shared" si="826"/>
        <v>-2410.5</v>
      </c>
      <c r="EG415" s="8" t="str">
        <f t="shared" si="827"/>
        <v/>
      </c>
      <c r="EH415" s="8" t="str">
        <f t="shared" si="828"/>
        <v/>
      </c>
    </row>
    <row r="416" spans="2:138" x14ac:dyDescent="0.3">
      <c r="B416" s="112"/>
      <c r="C416" s="27"/>
      <c r="D416" s="7" t="str">
        <f t="shared" si="765"/>
        <v/>
      </c>
      <c r="E416" s="25"/>
      <c r="F416" s="7" t="str">
        <f t="shared" si="765"/>
        <v/>
      </c>
      <c r="G416" s="25"/>
      <c r="H416" s="7" t="str">
        <f t="shared" si="765"/>
        <v/>
      </c>
      <c r="I416" s="25"/>
      <c r="J416" s="7" t="str">
        <f t="shared" si="765"/>
        <v/>
      </c>
      <c r="K416" s="25"/>
      <c r="L416" s="7" t="str">
        <f t="shared" si="766"/>
        <v/>
      </c>
      <c r="M416" s="25"/>
      <c r="N416" s="7" t="str">
        <f t="shared" si="767"/>
        <v/>
      </c>
      <c r="O416" s="81"/>
      <c r="P416" s="81" t="str">
        <f t="shared" si="768"/>
        <v/>
      </c>
      <c r="Q416" s="81"/>
      <c r="R416" s="7" t="str">
        <f t="shared" si="769"/>
        <v/>
      </c>
      <c r="S416" s="25"/>
      <c r="T416" s="7" t="str">
        <f t="shared" si="770"/>
        <v/>
      </c>
      <c r="U416" s="25"/>
      <c r="V416" s="7" t="str">
        <f t="shared" si="771"/>
        <v/>
      </c>
      <c r="W416" s="25"/>
      <c r="X416" s="7" t="str">
        <f t="shared" si="772"/>
        <v/>
      </c>
      <c r="Y416" s="18" t="str">
        <f t="shared" si="773"/>
        <v/>
      </c>
      <c r="Z416" s="7" t="str">
        <f t="shared" si="774"/>
        <v/>
      </c>
      <c r="AA416" s="18" t="str">
        <f t="shared" si="775"/>
        <v/>
      </c>
      <c r="AB416" s="19" t="str">
        <f t="shared" si="776"/>
        <v/>
      </c>
      <c r="AC416" s="26"/>
      <c r="AD416" s="26"/>
      <c r="AE416" s="25"/>
      <c r="AF416" s="26"/>
      <c r="AG416" s="25"/>
      <c r="AH416" s="25"/>
      <c r="AI416" s="18" t="str">
        <f t="shared" si="839"/>
        <v/>
      </c>
      <c r="AJ416" s="25"/>
      <c r="AK416" s="18" t="str">
        <f t="shared" si="840"/>
        <v/>
      </c>
      <c r="AL416" s="79"/>
      <c r="AM416" s="126" t="str">
        <f t="shared" si="841"/>
        <v/>
      </c>
      <c r="AN416" s="128" t="str">
        <f>IF(AP416&lt;&gt;"",VLOOKUP($P416&amp;" | "&amp;AN$6,'Job Master'!$F$12:$J$102,5,0),"")</f>
        <v/>
      </c>
      <c r="AO416" s="19" t="str">
        <f>IF(AP416&lt;&gt;"",VLOOKUP($P416&amp;" | "&amp;AN$6,'Job Master'!$F$12:$J$102,3,0),"")</f>
        <v/>
      </c>
      <c r="AP416" s="19" t="str">
        <f>IFERROR(IF(AND(AW416&lt;&gt;"",VLOOKUP($P416&amp;" | "&amp;AN$6,'Job Master'!$F$12:$I$102,4,0)&lt;&gt;""),IF(WEEKDAY(AW416-VLOOKUP($P416&amp;" | "&amp;AN$6,'Job Master'!$F$12:$I$102,4,0))&lt;&gt;7,AW416-VLOOKUP($P416&amp;" | "&amp;AN$6,'Job Master'!$F$12:$I$102,4,0),AW416-VLOOKUP($P416&amp;" | "&amp;AN$6,'Job Master'!$F$12:$I$102,4,0)-1),""),"")</f>
        <v/>
      </c>
      <c r="AQ416" s="73"/>
      <c r="AR416" s="123" t="str">
        <f t="shared" si="777"/>
        <v/>
      </c>
      <c r="AS416" s="123" t="str">
        <f t="shared" si="778"/>
        <v/>
      </c>
      <c r="AT416" s="97" t="str">
        <f t="shared" ca="1" si="779"/>
        <v/>
      </c>
      <c r="AU416" s="98" t="str">
        <f>IF(AW416&lt;&gt;"",VLOOKUP($P416&amp;" | "&amp;AU$6,'Job Master'!$F$12:$J$102,5,0),"")</f>
        <v/>
      </c>
      <c r="AV416" s="19" t="str">
        <f>IF(AW416&lt;&gt;"",VLOOKUP($P416&amp;" | "&amp;AU$6,'Job Master'!$F$12:$J$102,3,0),"")</f>
        <v/>
      </c>
      <c r="AW416" s="19" t="str">
        <f>IFERROR(IF(AND(BD416&lt;&gt;"",VLOOKUP($P416&amp;" | "&amp;AU$6,'Job Master'!$F$12:$I$102,4,0)&lt;&gt;""),IF(WEEKDAY(BD416-VLOOKUP($P416&amp;" | "&amp;AU$6,'Job Master'!$F$12:$I$102,4,0))&lt;&gt;7,BD416-VLOOKUP($P416&amp;" | "&amp;AU$6,'Job Master'!$F$12:$I$102,4,0),BD416-VLOOKUP($P416&amp;" | "&amp;AU$6,'Job Master'!$F$12:$I$102,4,0)-1),""),"")</f>
        <v/>
      </c>
      <c r="AX416" s="73"/>
      <c r="AY416" s="123" t="str">
        <f t="shared" si="780"/>
        <v/>
      </c>
      <c r="AZ416" s="123" t="str">
        <f t="shared" si="781"/>
        <v/>
      </c>
      <c r="BA416" s="97" t="str">
        <f t="shared" ca="1" si="782"/>
        <v/>
      </c>
      <c r="BB416" s="98" t="str">
        <f>IF(BD416&lt;&gt;"",VLOOKUP($P416&amp;" | "&amp;BB$6,'Job Master'!$F$12:$J$102,5,0),"")</f>
        <v/>
      </c>
      <c r="BC416" s="19" t="str">
        <f>IF(BD416&lt;&gt;"",VLOOKUP($P416&amp;" | "&amp;BB$6,'Job Master'!$F$12:$J$102,3,0),"")</f>
        <v/>
      </c>
      <c r="BD416" s="19" t="str">
        <f>IFERROR(IF(AND(BK416&lt;&gt;"",VLOOKUP($P416&amp;" | "&amp;BB$6,'Job Master'!$F$12:$I$102,4,0)&lt;&gt;""),IF(WEEKDAY(BK416-VLOOKUP($P416&amp;" | "&amp;BB$6,'Job Master'!$F$12:$I$102,4,0))&lt;&gt;7,BK416-VLOOKUP($P416&amp;" | "&amp;BB$6,'Job Master'!$F$12:$I$102,4,0),BK416-VLOOKUP($P416&amp;" | "&amp;BB$6,'Job Master'!$F$12:$I$102,4,0)-1),""),"")</f>
        <v/>
      </c>
      <c r="BE416" s="73"/>
      <c r="BF416" s="123" t="str">
        <f t="shared" si="783"/>
        <v/>
      </c>
      <c r="BG416" s="123" t="str">
        <f t="shared" si="784"/>
        <v/>
      </c>
      <c r="BH416" s="97" t="str">
        <f t="shared" ca="1" si="785"/>
        <v/>
      </c>
      <c r="BI416" s="98" t="str">
        <f>IF(BK416&lt;&gt;"",VLOOKUP($P416&amp;" | "&amp;BI$6,'Job Master'!$F$12:$J$102,5,0),"")</f>
        <v/>
      </c>
      <c r="BJ416" s="19" t="str">
        <f>IF(BK416&lt;&gt;"",VLOOKUP($P416&amp;" | "&amp;BI$6,'Job Master'!$F$12:$J$102,3,0),"")</f>
        <v/>
      </c>
      <c r="BK416" s="19" t="str">
        <f>IFERROR(IF(AND(BR416&lt;&gt;"",VLOOKUP($P416&amp;" | "&amp;BI$6,'Job Master'!$F$12:$I$102,4,0)&lt;&gt;""),IF(WEEKDAY(BR416-VLOOKUP($P416&amp;" | "&amp;BI$6,'Job Master'!$F$12:$I$102,4,0))&lt;&gt;7,BR416-VLOOKUP($P416&amp;" | "&amp;BI$6,'Job Master'!$F$12:$I$102,4,0),BR416-VLOOKUP($P416&amp;" | "&amp;BI$6,'Job Master'!$F$12:$I$102,4,0)-1),""),"")</f>
        <v/>
      </c>
      <c r="BL416" s="73"/>
      <c r="BM416" s="123" t="str">
        <f t="shared" si="786"/>
        <v/>
      </c>
      <c r="BN416" s="123" t="str">
        <f t="shared" si="787"/>
        <v/>
      </c>
      <c r="BO416" s="97" t="str">
        <f t="shared" ca="1" si="788"/>
        <v/>
      </c>
      <c r="BP416" s="98" t="str">
        <f>IF(BR416&lt;&gt;"",VLOOKUP($P416&amp;" | "&amp;BP$6,'Job Master'!$F$12:$J$102,5,0),"")</f>
        <v/>
      </c>
      <c r="BQ416" s="19" t="str">
        <f>IF(BR416&lt;&gt;"",VLOOKUP($P416&amp;" | "&amp;BP$6,'Job Master'!$F$12:$J$102,3,0),"")</f>
        <v/>
      </c>
      <c r="BR416" s="19" t="str">
        <f>IFERROR(IF(AND(BY416&lt;&gt;"",VLOOKUP($P416&amp;" | "&amp;BP$6,'Job Master'!$F$12:$I$102,4,0)&lt;&gt;""),IF(WEEKDAY(BY416-VLOOKUP($P416&amp;" | "&amp;BP$6,'Job Master'!$F$12:$I$102,4,0))&lt;&gt;7,BY416-VLOOKUP($P416&amp;" | "&amp;BP$6,'Job Master'!$F$12:$I$102,4,0),BY416-VLOOKUP($P416&amp;" | "&amp;BP$6,'Job Master'!$F$12:$I$102,4,0)-1),""),"")</f>
        <v/>
      </c>
      <c r="BS416" s="73"/>
      <c r="BT416" s="123" t="str">
        <f t="shared" si="789"/>
        <v/>
      </c>
      <c r="BU416" s="123" t="str">
        <f t="shared" si="790"/>
        <v/>
      </c>
      <c r="BV416" s="97" t="str">
        <f t="shared" ca="1" si="791"/>
        <v/>
      </c>
      <c r="BW416" s="98" t="str">
        <f>IF(BY416&lt;&gt;"",VLOOKUP($P416&amp;" | "&amp;BW$6,'Job Master'!$F$12:$J$102,5,0),"")</f>
        <v/>
      </c>
      <c r="BX416" s="19" t="str">
        <f>IF(BY416&lt;&gt;"",VLOOKUP($P416&amp;" | "&amp;BW$6,'Job Master'!$F$12:$J$102,3,0),"")</f>
        <v/>
      </c>
      <c r="BY416" s="19" t="str">
        <f>IFERROR(IF(AND(CF416&lt;&gt;"",VLOOKUP($P416&amp;" | "&amp;BW$6,'Job Master'!$F$12:$I$102,4,0)&lt;&gt;""),IF(WEEKDAY(CF416-VLOOKUP($P416&amp;" | "&amp;BW$6,'Job Master'!$F$12:$I$102,4,0))&lt;&gt;7,CF416-VLOOKUP($P416&amp;" | "&amp;BW$6,'Job Master'!$F$12:$I$102,4,0),CF416-VLOOKUP($P416&amp;" | "&amp;BW$6,'Job Master'!$F$12:$I$102,4,0)-1),""),"")</f>
        <v/>
      </c>
      <c r="BZ416" s="73"/>
      <c r="CA416" s="123" t="str">
        <f t="shared" si="792"/>
        <v/>
      </c>
      <c r="CB416" s="123" t="str">
        <f t="shared" si="793"/>
        <v/>
      </c>
      <c r="CC416" s="97" t="str">
        <f t="shared" ca="1" si="794"/>
        <v/>
      </c>
      <c r="CD416" s="98" t="str">
        <f>IF(CF416&lt;&gt;"",VLOOKUP($P416&amp;" | "&amp;CD$6,'Job Master'!$F$12:$J$102,5,0),"")</f>
        <v/>
      </c>
      <c r="CE416" s="19" t="str">
        <f>IF(CF416&lt;&gt;"",VLOOKUP($P416&amp;" | "&amp;CD$6,'Job Master'!$F$12:$J$102,3,0),"")</f>
        <v/>
      </c>
      <c r="CF416" s="19" t="str">
        <f>IFERROR(IF(AND(CM416&lt;&gt;"",VLOOKUP($P416&amp;" | "&amp;CD$6,'Job Master'!$F$12:$I$102,4,0)&lt;&gt;""),IF(WEEKDAY(CM416-VLOOKUP($P416&amp;" | "&amp;CD$6,'Job Master'!$F$12:$I$102,4,0))&lt;&gt;7,CM416-VLOOKUP($P416&amp;" | "&amp;CD$6,'Job Master'!$F$12:$I$102,4,0),CM416-VLOOKUP($P416&amp;" | "&amp;CD$6,'Job Master'!$F$12:$I$102,4,0)-1),""),"")</f>
        <v/>
      </c>
      <c r="CG416" s="73"/>
      <c r="CH416" s="123" t="str">
        <f t="shared" si="795"/>
        <v/>
      </c>
      <c r="CI416" s="123" t="str">
        <f t="shared" si="796"/>
        <v/>
      </c>
      <c r="CJ416" s="97" t="str">
        <f t="shared" ca="1" si="797"/>
        <v/>
      </c>
      <c r="CK416" s="98" t="str">
        <f>IF(CM416&lt;&gt;"",VLOOKUP($P416&amp;" | "&amp;CK$6,'Job Master'!$F$12:$J$102,5,0),"")</f>
        <v/>
      </c>
      <c r="CL416" s="19" t="str">
        <f>IF(CM416&lt;&gt;"",VLOOKUP($P416&amp;" | "&amp;CK$6,'Job Master'!$F$12:$J$102,3,0),"")</f>
        <v/>
      </c>
      <c r="CM416" s="19" t="str">
        <f>IFERROR(IF(AND(CT416&lt;&gt;"",VLOOKUP($P416&amp;" | "&amp;CK$6,'Job Master'!$F$12:$I$102,4,0)&lt;&gt;""),IF(WEEKDAY(CT416-VLOOKUP($P416&amp;" | "&amp;CK$6,'Job Master'!$F$12:$I$102,4,0))&lt;&gt;7,CT416-VLOOKUP($P416&amp;" | "&amp;CK$6,'Job Master'!$F$12:$I$102,4,0),CT416-VLOOKUP($P416&amp;" | "&amp;CK$6,'Job Master'!$F$12:$I$102,4,0)-1),""),"")</f>
        <v/>
      </c>
      <c r="CN416" s="73"/>
      <c r="CO416" s="123" t="str">
        <f t="shared" si="798"/>
        <v/>
      </c>
      <c r="CP416" s="123" t="str">
        <f t="shared" si="799"/>
        <v/>
      </c>
      <c r="CQ416" s="97" t="str">
        <f t="shared" ca="1" si="800"/>
        <v/>
      </c>
      <c r="CR416" s="98" t="str">
        <f>IF(CT416&lt;&gt;"",VLOOKUP($P416&amp;" | "&amp;CR$6,'Job Master'!$F$12:$J$102,5,0),"")</f>
        <v/>
      </c>
      <c r="CS416" s="19" t="str">
        <f>IF(CT416&lt;&gt;"",VLOOKUP($P416&amp;" | "&amp;CR$6,'Job Master'!$F$12:$J$102,3,0),"")</f>
        <v/>
      </c>
      <c r="CT416" s="19" t="str">
        <f>IFERROR(IF(AND(DA416&lt;&gt;"",VLOOKUP($P416&amp;" | "&amp;CR$6,'Job Master'!$F$12:$I$102,4,0)&lt;&gt;""),IF(WEEKDAY(DA416-VLOOKUP($P416&amp;" | "&amp;CR$6,'Job Master'!$F$12:$I$102,4,0))&lt;&gt;7,DA416-VLOOKUP($P416&amp;" | "&amp;CR$6,'Job Master'!$F$12:$I$102,4,0),DA416-VLOOKUP($P416&amp;" | "&amp;CR$6,'Job Master'!$F$12:$I$102,4,0)-1),""),"")</f>
        <v/>
      </c>
      <c r="CU416" s="73"/>
      <c r="CV416" s="123" t="str">
        <f t="shared" si="801"/>
        <v/>
      </c>
      <c r="CW416" s="123" t="str">
        <f t="shared" si="802"/>
        <v/>
      </c>
      <c r="CX416" s="97" t="str">
        <f t="shared" ca="1" si="803"/>
        <v/>
      </c>
      <c r="CY416" s="98" t="str">
        <f>IF(DA416&lt;&gt;"",VLOOKUP($P416&amp;" | "&amp;CY$6,'Job Master'!$F$12:$J$102,5,0),"")</f>
        <v/>
      </c>
      <c r="CZ416" s="19" t="str">
        <f>IF(DA416&lt;&gt;"",VLOOKUP($P416&amp;" | "&amp;CY$6,'Job Master'!$F$12:$J$102,3,0),"")</f>
        <v/>
      </c>
      <c r="DA416" s="19" t="str">
        <f>IFERROR(IF(AND(DH416&lt;&gt;"",VLOOKUP($P416&amp;" | "&amp;CY$6,'Job Master'!$F$12:$I$102,4,0)&lt;&gt;""),IF(WEEKDAY(DH416-VLOOKUP($P416&amp;" | "&amp;CY$6,'Job Master'!$F$12:$I$102,4,0))&lt;&gt;7,DH416-VLOOKUP($P416&amp;" | "&amp;CY$6,'Job Master'!$F$12:$I$102,4,0),DH416-VLOOKUP($P416&amp;" | "&amp;CY$6,'Job Master'!$F$12:$I$102,4,0)-1),""),"")</f>
        <v/>
      </c>
      <c r="DB416" s="73"/>
      <c r="DC416" s="123" t="str">
        <f t="shared" si="804"/>
        <v/>
      </c>
      <c r="DD416" s="123" t="str">
        <f t="shared" si="805"/>
        <v/>
      </c>
      <c r="DE416" s="97" t="str">
        <f t="shared" ca="1" si="806"/>
        <v/>
      </c>
      <c r="DF416" s="98" t="str">
        <f>IF(DH416&lt;&gt;"",VLOOKUP($P416&amp;" | "&amp;DF$6,'Job Master'!$F$12:$J$102,5,0),"")</f>
        <v/>
      </c>
      <c r="DG416" s="19" t="str">
        <f>IF(DH416&lt;&gt;"",VLOOKUP($P416&amp;" | "&amp;DF$6,'Job Master'!$F$12:$J$102,3,0),"")</f>
        <v/>
      </c>
      <c r="DH416" s="19" t="str">
        <f>IFERROR(IF(AND(DO416&lt;&gt;"",VLOOKUP($P416&amp;" | "&amp;DF$6,'Job Master'!$F$12:$I$102,4,0)&lt;&gt;""),IF(WEEKDAY(DO416-VLOOKUP($P416&amp;" | "&amp;DF$6,'Job Master'!$F$12:$I$102,4,0))&lt;&gt;7,DO416-VLOOKUP($P416&amp;" | "&amp;DF$6,'Job Master'!$F$12:$I$102,4,0),DO416-VLOOKUP($P416&amp;" | "&amp;DF$6,'Job Master'!$F$12:$I$102,4,0)-1),""),"")</f>
        <v/>
      </c>
      <c r="DI416" s="73"/>
      <c r="DJ416" s="123" t="str">
        <f t="shared" si="807"/>
        <v/>
      </c>
      <c r="DK416" s="123" t="str">
        <f t="shared" si="808"/>
        <v/>
      </c>
      <c r="DL416" s="97" t="str">
        <f t="shared" ca="1" si="809"/>
        <v/>
      </c>
      <c r="DM416" s="98" t="str">
        <f>IF(DO416&lt;&gt;"",VLOOKUP($P416&amp;" | "&amp;DM$6,'Job Master'!$F$12:$J$102,5,0),"")</f>
        <v/>
      </c>
      <c r="DN416" s="19" t="str">
        <f>IF(DO416&lt;&gt;"",VLOOKUP($P416&amp;" | "&amp;DM$6,'Job Master'!$F$12:$J$102,3,0),"")</f>
        <v/>
      </c>
      <c r="DO416" s="19" t="str">
        <f>IFERROR(IF(AND(DT416&lt;&gt;"",VLOOKUP($P416&amp;" | "&amp;DM$6,'Job Master'!$F$12:$I$102,4,0)&lt;&gt;""),IF(WEEKDAY(DT416-VLOOKUP($P416&amp;" | "&amp;DM$6,'Job Master'!$F$12:$I$102,4,0))&lt;&gt;7,DT416-VLOOKUP($P416&amp;" | "&amp;DM$6,'Job Master'!$F$12:$I$102,4,0),DT416-VLOOKUP($P416&amp;" | "&amp;DM$6,'Job Master'!$F$12:$I$102,4,0)-1),""),"")</f>
        <v/>
      </c>
      <c r="DP416" s="73"/>
      <c r="DQ416" s="123" t="str">
        <f t="shared" si="810"/>
        <v/>
      </c>
      <c r="DR416" s="123" t="str">
        <f t="shared" si="811"/>
        <v/>
      </c>
      <c r="DS416" s="97" t="str">
        <f t="shared" ca="1" si="812"/>
        <v/>
      </c>
      <c r="DT416" s="70" t="str">
        <f t="shared" si="813"/>
        <v/>
      </c>
      <c r="DU416" s="90"/>
      <c r="DV416" s="123" t="str">
        <f t="shared" si="814"/>
        <v/>
      </c>
      <c r="DW416" s="123" t="str">
        <f t="shared" si="815"/>
        <v/>
      </c>
      <c r="DX416" s="132" t="str">
        <f t="shared" ref="DX416" ca="1" si="849">IF(DT416&lt;&gt;"",IF(WEEKNUM(DT416)=WEEKNUM(TODAY()),"This Week",IF(WEEKNUM(DT416)=WEEKNUM(TODAY())+1,"Next Week",IF(WEEKNUM(DT416)=WEEKNUM(TODAY())-1,"Previous Week",""))),"")</f>
        <v/>
      </c>
      <c r="DY416" s="134" t="str">
        <f t="shared" si="817"/>
        <v/>
      </c>
      <c r="DZ416" s="95"/>
      <c r="EB416" s="8" t="str">
        <f t="shared" si="823"/>
        <v/>
      </c>
      <c r="EC416" s="8" t="str">
        <f>IF(O416&lt;&gt;"",VLOOKUP(O416,'Job Master'!$N$12:$O$18,2,0),"")</f>
        <v/>
      </c>
      <c r="ED416" s="8">
        <f t="shared" si="824"/>
        <v>19.5</v>
      </c>
      <c r="EE416" s="8">
        <f t="shared" si="825"/>
        <v>6</v>
      </c>
      <c r="EF416" s="8">
        <f t="shared" si="826"/>
        <v>-2416.5</v>
      </c>
      <c r="EG416" s="8" t="str">
        <f t="shared" si="827"/>
        <v/>
      </c>
      <c r="EH416" s="8" t="str">
        <f t="shared" si="828"/>
        <v/>
      </c>
    </row>
    <row r="417" spans="2:138" x14ac:dyDescent="0.3">
      <c r="B417" s="112"/>
      <c r="C417" s="27"/>
      <c r="D417" s="7" t="str">
        <f t="shared" si="765"/>
        <v/>
      </c>
      <c r="E417" s="25"/>
      <c r="F417" s="7" t="str">
        <f t="shared" si="765"/>
        <v/>
      </c>
      <c r="G417" s="25"/>
      <c r="H417" s="7" t="str">
        <f t="shared" si="765"/>
        <v/>
      </c>
      <c r="I417" s="25"/>
      <c r="J417" s="7" t="str">
        <f t="shared" si="765"/>
        <v/>
      </c>
      <c r="K417" s="25"/>
      <c r="L417" s="7" t="str">
        <f t="shared" si="766"/>
        <v/>
      </c>
      <c r="M417" s="25"/>
      <c r="N417" s="7" t="str">
        <f t="shared" si="767"/>
        <v/>
      </c>
      <c r="O417" s="81"/>
      <c r="P417" s="81" t="str">
        <f t="shared" si="768"/>
        <v/>
      </c>
      <c r="Q417" s="81"/>
      <c r="R417" s="7" t="str">
        <f t="shared" si="769"/>
        <v/>
      </c>
      <c r="S417" s="25"/>
      <c r="T417" s="7" t="str">
        <f t="shared" si="770"/>
        <v/>
      </c>
      <c r="U417" s="25"/>
      <c r="V417" s="7" t="str">
        <f t="shared" si="771"/>
        <v/>
      </c>
      <c r="W417" s="25"/>
      <c r="X417" s="7" t="str">
        <f t="shared" si="772"/>
        <v/>
      </c>
      <c r="Y417" s="18" t="str">
        <f t="shared" si="773"/>
        <v/>
      </c>
      <c r="Z417" s="7" t="str">
        <f t="shared" si="774"/>
        <v/>
      </c>
      <c r="AA417" s="18" t="str">
        <f t="shared" si="775"/>
        <v/>
      </c>
      <c r="AB417" s="19" t="str">
        <f t="shared" si="776"/>
        <v/>
      </c>
      <c r="AC417" s="26"/>
      <c r="AD417" s="26"/>
      <c r="AE417" s="25"/>
      <c r="AF417" s="26"/>
      <c r="AG417" s="25"/>
      <c r="AH417" s="25"/>
      <c r="AI417" s="18" t="str">
        <f t="shared" si="839"/>
        <v/>
      </c>
      <c r="AJ417" s="25"/>
      <c r="AK417" s="18" t="str">
        <f t="shared" si="840"/>
        <v/>
      </c>
      <c r="AL417" s="79"/>
      <c r="AM417" s="126" t="str">
        <f t="shared" si="841"/>
        <v/>
      </c>
      <c r="AN417" s="128" t="str">
        <f>IF(AP417&lt;&gt;"",VLOOKUP($P417&amp;" | "&amp;AN$6,'Job Master'!$F$12:$J$102,5,0),"")</f>
        <v/>
      </c>
      <c r="AO417" s="19" t="str">
        <f>IF(AP417&lt;&gt;"",VLOOKUP($P417&amp;" | "&amp;AN$6,'Job Master'!$F$12:$J$102,3,0),"")</f>
        <v/>
      </c>
      <c r="AP417" s="19" t="str">
        <f>IFERROR(IF(AND(AW417&lt;&gt;"",VLOOKUP($P417&amp;" | "&amp;AN$6,'Job Master'!$F$12:$I$102,4,0)&lt;&gt;""),IF(WEEKDAY(AW417-VLOOKUP($P417&amp;" | "&amp;AN$6,'Job Master'!$F$12:$I$102,4,0))&lt;&gt;7,AW417-VLOOKUP($P417&amp;" | "&amp;AN$6,'Job Master'!$F$12:$I$102,4,0),AW417-VLOOKUP($P417&amp;" | "&amp;AN$6,'Job Master'!$F$12:$I$102,4,0)-1),""),"")</f>
        <v/>
      </c>
      <c r="AQ417" s="73"/>
      <c r="AR417" s="123" t="str">
        <f t="shared" si="777"/>
        <v/>
      </c>
      <c r="AS417" s="123" t="str">
        <f t="shared" si="778"/>
        <v/>
      </c>
      <c r="AT417" s="97" t="str">
        <f t="shared" ca="1" si="779"/>
        <v/>
      </c>
      <c r="AU417" s="98" t="str">
        <f>IF(AW417&lt;&gt;"",VLOOKUP($P417&amp;" | "&amp;AU$6,'Job Master'!$F$12:$J$102,5,0),"")</f>
        <v/>
      </c>
      <c r="AV417" s="19" t="str">
        <f>IF(AW417&lt;&gt;"",VLOOKUP($P417&amp;" | "&amp;AU$6,'Job Master'!$F$12:$J$102,3,0),"")</f>
        <v/>
      </c>
      <c r="AW417" s="19" t="str">
        <f>IFERROR(IF(AND(BD417&lt;&gt;"",VLOOKUP($P417&amp;" | "&amp;AU$6,'Job Master'!$F$12:$I$102,4,0)&lt;&gt;""),IF(WEEKDAY(BD417-VLOOKUP($P417&amp;" | "&amp;AU$6,'Job Master'!$F$12:$I$102,4,0))&lt;&gt;7,BD417-VLOOKUP($P417&amp;" | "&amp;AU$6,'Job Master'!$F$12:$I$102,4,0),BD417-VLOOKUP($P417&amp;" | "&amp;AU$6,'Job Master'!$F$12:$I$102,4,0)-1),""),"")</f>
        <v/>
      </c>
      <c r="AX417" s="73"/>
      <c r="AY417" s="123" t="str">
        <f t="shared" si="780"/>
        <v/>
      </c>
      <c r="AZ417" s="123" t="str">
        <f t="shared" si="781"/>
        <v/>
      </c>
      <c r="BA417" s="97" t="str">
        <f t="shared" ca="1" si="782"/>
        <v/>
      </c>
      <c r="BB417" s="98" t="str">
        <f>IF(BD417&lt;&gt;"",VLOOKUP($P417&amp;" | "&amp;BB$6,'Job Master'!$F$12:$J$102,5,0),"")</f>
        <v/>
      </c>
      <c r="BC417" s="19" t="str">
        <f>IF(BD417&lt;&gt;"",VLOOKUP($P417&amp;" | "&amp;BB$6,'Job Master'!$F$12:$J$102,3,0),"")</f>
        <v/>
      </c>
      <c r="BD417" s="19" t="str">
        <f>IFERROR(IF(AND(BK417&lt;&gt;"",VLOOKUP($P417&amp;" | "&amp;BB$6,'Job Master'!$F$12:$I$102,4,0)&lt;&gt;""),IF(WEEKDAY(BK417-VLOOKUP($P417&amp;" | "&amp;BB$6,'Job Master'!$F$12:$I$102,4,0))&lt;&gt;7,BK417-VLOOKUP($P417&amp;" | "&amp;BB$6,'Job Master'!$F$12:$I$102,4,0),BK417-VLOOKUP($P417&amp;" | "&amp;BB$6,'Job Master'!$F$12:$I$102,4,0)-1),""),"")</f>
        <v/>
      </c>
      <c r="BE417" s="73"/>
      <c r="BF417" s="123" t="str">
        <f t="shared" si="783"/>
        <v/>
      </c>
      <c r="BG417" s="123" t="str">
        <f t="shared" si="784"/>
        <v/>
      </c>
      <c r="BH417" s="97" t="str">
        <f t="shared" ca="1" si="785"/>
        <v/>
      </c>
      <c r="BI417" s="98" t="str">
        <f>IF(BK417&lt;&gt;"",VLOOKUP($P417&amp;" | "&amp;BI$6,'Job Master'!$F$12:$J$102,5,0),"")</f>
        <v/>
      </c>
      <c r="BJ417" s="19" t="str">
        <f>IF(BK417&lt;&gt;"",VLOOKUP($P417&amp;" | "&amp;BI$6,'Job Master'!$F$12:$J$102,3,0),"")</f>
        <v/>
      </c>
      <c r="BK417" s="19" t="str">
        <f>IFERROR(IF(AND(BR417&lt;&gt;"",VLOOKUP($P417&amp;" | "&amp;BI$6,'Job Master'!$F$12:$I$102,4,0)&lt;&gt;""),IF(WEEKDAY(BR417-VLOOKUP($P417&amp;" | "&amp;BI$6,'Job Master'!$F$12:$I$102,4,0))&lt;&gt;7,BR417-VLOOKUP($P417&amp;" | "&amp;BI$6,'Job Master'!$F$12:$I$102,4,0),BR417-VLOOKUP($P417&amp;" | "&amp;BI$6,'Job Master'!$F$12:$I$102,4,0)-1),""),"")</f>
        <v/>
      </c>
      <c r="BL417" s="73"/>
      <c r="BM417" s="123" t="str">
        <f t="shared" si="786"/>
        <v/>
      </c>
      <c r="BN417" s="123" t="str">
        <f t="shared" si="787"/>
        <v/>
      </c>
      <c r="BO417" s="97" t="str">
        <f t="shared" ca="1" si="788"/>
        <v/>
      </c>
      <c r="BP417" s="98" t="str">
        <f>IF(BR417&lt;&gt;"",VLOOKUP($P417&amp;" | "&amp;BP$6,'Job Master'!$F$12:$J$102,5,0),"")</f>
        <v/>
      </c>
      <c r="BQ417" s="19" t="str">
        <f>IF(BR417&lt;&gt;"",VLOOKUP($P417&amp;" | "&amp;BP$6,'Job Master'!$F$12:$J$102,3,0),"")</f>
        <v/>
      </c>
      <c r="BR417" s="19" t="str">
        <f>IFERROR(IF(AND(BY417&lt;&gt;"",VLOOKUP($P417&amp;" | "&amp;BP$6,'Job Master'!$F$12:$I$102,4,0)&lt;&gt;""),IF(WEEKDAY(BY417-VLOOKUP($P417&amp;" | "&amp;BP$6,'Job Master'!$F$12:$I$102,4,0))&lt;&gt;7,BY417-VLOOKUP($P417&amp;" | "&amp;BP$6,'Job Master'!$F$12:$I$102,4,0),BY417-VLOOKUP($P417&amp;" | "&amp;BP$6,'Job Master'!$F$12:$I$102,4,0)-1),""),"")</f>
        <v/>
      </c>
      <c r="BS417" s="73"/>
      <c r="BT417" s="123" t="str">
        <f t="shared" si="789"/>
        <v/>
      </c>
      <c r="BU417" s="123" t="str">
        <f t="shared" si="790"/>
        <v/>
      </c>
      <c r="BV417" s="97" t="str">
        <f t="shared" ca="1" si="791"/>
        <v/>
      </c>
      <c r="BW417" s="98" t="str">
        <f>IF(BY417&lt;&gt;"",VLOOKUP($P417&amp;" | "&amp;BW$6,'Job Master'!$F$12:$J$102,5,0),"")</f>
        <v/>
      </c>
      <c r="BX417" s="19" t="str">
        <f>IF(BY417&lt;&gt;"",VLOOKUP($P417&amp;" | "&amp;BW$6,'Job Master'!$F$12:$J$102,3,0),"")</f>
        <v/>
      </c>
      <c r="BY417" s="19" t="str">
        <f>IFERROR(IF(AND(CF417&lt;&gt;"",VLOOKUP($P417&amp;" | "&amp;BW$6,'Job Master'!$F$12:$I$102,4,0)&lt;&gt;""),IF(WEEKDAY(CF417-VLOOKUP($P417&amp;" | "&amp;BW$6,'Job Master'!$F$12:$I$102,4,0))&lt;&gt;7,CF417-VLOOKUP($P417&amp;" | "&amp;BW$6,'Job Master'!$F$12:$I$102,4,0),CF417-VLOOKUP($P417&amp;" | "&amp;BW$6,'Job Master'!$F$12:$I$102,4,0)-1),""),"")</f>
        <v/>
      </c>
      <c r="BZ417" s="73"/>
      <c r="CA417" s="123" t="str">
        <f t="shared" si="792"/>
        <v/>
      </c>
      <c r="CB417" s="123" t="str">
        <f t="shared" si="793"/>
        <v/>
      </c>
      <c r="CC417" s="97" t="str">
        <f t="shared" ca="1" si="794"/>
        <v/>
      </c>
      <c r="CD417" s="98" t="str">
        <f>IF(CF417&lt;&gt;"",VLOOKUP($P417&amp;" | "&amp;CD$6,'Job Master'!$F$12:$J$102,5,0),"")</f>
        <v/>
      </c>
      <c r="CE417" s="19" t="str">
        <f>IF(CF417&lt;&gt;"",VLOOKUP($P417&amp;" | "&amp;CD$6,'Job Master'!$F$12:$J$102,3,0),"")</f>
        <v/>
      </c>
      <c r="CF417" s="19" t="str">
        <f>IFERROR(IF(AND(CM417&lt;&gt;"",VLOOKUP($P417&amp;" | "&amp;CD$6,'Job Master'!$F$12:$I$102,4,0)&lt;&gt;""),IF(WEEKDAY(CM417-VLOOKUP($P417&amp;" | "&amp;CD$6,'Job Master'!$F$12:$I$102,4,0))&lt;&gt;7,CM417-VLOOKUP($P417&amp;" | "&amp;CD$6,'Job Master'!$F$12:$I$102,4,0),CM417-VLOOKUP($P417&amp;" | "&amp;CD$6,'Job Master'!$F$12:$I$102,4,0)-1),""),"")</f>
        <v/>
      </c>
      <c r="CG417" s="73"/>
      <c r="CH417" s="123" t="str">
        <f t="shared" si="795"/>
        <v/>
      </c>
      <c r="CI417" s="123" t="str">
        <f t="shared" si="796"/>
        <v/>
      </c>
      <c r="CJ417" s="97" t="str">
        <f t="shared" ca="1" si="797"/>
        <v/>
      </c>
      <c r="CK417" s="98" t="str">
        <f>IF(CM417&lt;&gt;"",VLOOKUP($P417&amp;" | "&amp;CK$6,'Job Master'!$F$12:$J$102,5,0),"")</f>
        <v/>
      </c>
      <c r="CL417" s="19" t="str">
        <f>IF(CM417&lt;&gt;"",VLOOKUP($P417&amp;" | "&amp;CK$6,'Job Master'!$F$12:$J$102,3,0),"")</f>
        <v/>
      </c>
      <c r="CM417" s="19" t="str">
        <f>IFERROR(IF(AND(CT417&lt;&gt;"",VLOOKUP($P417&amp;" | "&amp;CK$6,'Job Master'!$F$12:$I$102,4,0)&lt;&gt;""),IF(WEEKDAY(CT417-VLOOKUP($P417&amp;" | "&amp;CK$6,'Job Master'!$F$12:$I$102,4,0))&lt;&gt;7,CT417-VLOOKUP($P417&amp;" | "&amp;CK$6,'Job Master'!$F$12:$I$102,4,0),CT417-VLOOKUP($P417&amp;" | "&amp;CK$6,'Job Master'!$F$12:$I$102,4,0)-1),""),"")</f>
        <v/>
      </c>
      <c r="CN417" s="73"/>
      <c r="CO417" s="123" t="str">
        <f t="shared" si="798"/>
        <v/>
      </c>
      <c r="CP417" s="123" t="str">
        <f t="shared" si="799"/>
        <v/>
      </c>
      <c r="CQ417" s="97" t="str">
        <f t="shared" ca="1" si="800"/>
        <v/>
      </c>
      <c r="CR417" s="98" t="str">
        <f>IF(CT417&lt;&gt;"",VLOOKUP($P417&amp;" | "&amp;CR$6,'Job Master'!$F$12:$J$102,5,0),"")</f>
        <v/>
      </c>
      <c r="CS417" s="19" t="str">
        <f>IF(CT417&lt;&gt;"",VLOOKUP($P417&amp;" | "&amp;CR$6,'Job Master'!$F$12:$J$102,3,0),"")</f>
        <v/>
      </c>
      <c r="CT417" s="19" t="str">
        <f>IFERROR(IF(AND(DA417&lt;&gt;"",VLOOKUP($P417&amp;" | "&amp;CR$6,'Job Master'!$F$12:$I$102,4,0)&lt;&gt;""),IF(WEEKDAY(DA417-VLOOKUP($P417&amp;" | "&amp;CR$6,'Job Master'!$F$12:$I$102,4,0))&lt;&gt;7,DA417-VLOOKUP($P417&amp;" | "&amp;CR$6,'Job Master'!$F$12:$I$102,4,0),DA417-VLOOKUP($P417&amp;" | "&amp;CR$6,'Job Master'!$F$12:$I$102,4,0)-1),""),"")</f>
        <v/>
      </c>
      <c r="CU417" s="73"/>
      <c r="CV417" s="123" t="str">
        <f t="shared" si="801"/>
        <v/>
      </c>
      <c r="CW417" s="123" t="str">
        <f t="shared" si="802"/>
        <v/>
      </c>
      <c r="CX417" s="97" t="str">
        <f t="shared" ca="1" si="803"/>
        <v/>
      </c>
      <c r="CY417" s="98" t="str">
        <f>IF(DA417&lt;&gt;"",VLOOKUP($P417&amp;" | "&amp;CY$6,'Job Master'!$F$12:$J$102,5,0),"")</f>
        <v/>
      </c>
      <c r="CZ417" s="19" t="str">
        <f>IF(DA417&lt;&gt;"",VLOOKUP($P417&amp;" | "&amp;CY$6,'Job Master'!$F$12:$J$102,3,0),"")</f>
        <v/>
      </c>
      <c r="DA417" s="19" t="str">
        <f>IFERROR(IF(AND(DH417&lt;&gt;"",VLOOKUP($P417&amp;" | "&amp;CY$6,'Job Master'!$F$12:$I$102,4,0)&lt;&gt;""),IF(WEEKDAY(DH417-VLOOKUP($P417&amp;" | "&amp;CY$6,'Job Master'!$F$12:$I$102,4,0))&lt;&gt;7,DH417-VLOOKUP($P417&amp;" | "&amp;CY$6,'Job Master'!$F$12:$I$102,4,0),DH417-VLOOKUP($P417&amp;" | "&amp;CY$6,'Job Master'!$F$12:$I$102,4,0)-1),""),"")</f>
        <v/>
      </c>
      <c r="DB417" s="73"/>
      <c r="DC417" s="123" t="str">
        <f t="shared" si="804"/>
        <v/>
      </c>
      <c r="DD417" s="123" t="str">
        <f t="shared" si="805"/>
        <v/>
      </c>
      <c r="DE417" s="97" t="str">
        <f t="shared" ca="1" si="806"/>
        <v/>
      </c>
      <c r="DF417" s="98" t="str">
        <f>IF(DH417&lt;&gt;"",VLOOKUP($P417&amp;" | "&amp;DF$6,'Job Master'!$F$12:$J$102,5,0),"")</f>
        <v/>
      </c>
      <c r="DG417" s="19" t="str">
        <f>IF(DH417&lt;&gt;"",VLOOKUP($P417&amp;" | "&amp;DF$6,'Job Master'!$F$12:$J$102,3,0),"")</f>
        <v/>
      </c>
      <c r="DH417" s="19" t="str">
        <f>IFERROR(IF(AND(DO417&lt;&gt;"",VLOOKUP($P417&amp;" | "&amp;DF$6,'Job Master'!$F$12:$I$102,4,0)&lt;&gt;""),IF(WEEKDAY(DO417-VLOOKUP($P417&amp;" | "&amp;DF$6,'Job Master'!$F$12:$I$102,4,0))&lt;&gt;7,DO417-VLOOKUP($P417&amp;" | "&amp;DF$6,'Job Master'!$F$12:$I$102,4,0),DO417-VLOOKUP($P417&amp;" | "&amp;DF$6,'Job Master'!$F$12:$I$102,4,0)-1),""),"")</f>
        <v/>
      </c>
      <c r="DI417" s="73"/>
      <c r="DJ417" s="123" t="str">
        <f t="shared" si="807"/>
        <v/>
      </c>
      <c r="DK417" s="123" t="str">
        <f t="shared" si="808"/>
        <v/>
      </c>
      <c r="DL417" s="97" t="str">
        <f t="shared" ca="1" si="809"/>
        <v/>
      </c>
      <c r="DM417" s="98" t="str">
        <f>IF(DO417&lt;&gt;"",VLOOKUP($P417&amp;" | "&amp;DM$6,'Job Master'!$F$12:$J$102,5,0),"")</f>
        <v/>
      </c>
      <c r="DN417" s="19" t="str">
        <f>IF(DO417&lt;&gt;"",VLOOKUP($P417&amp;" | "&amp;DM$6,'Job Master'!$F$12:$J$102,3,0),"")</f>
        <v/>
      </c>
      <c r="DO417" s="19" t="str">
        <f>IFERROR(IF(AND(DT417&lt;&gt;"",VLOOKUP($P417&amp;" | "&amp;DM$6,'Job Master'!$F$12:$I$102,4,0)&lt;&gt;""),IF(WEEKDAY(DT417-VLOOKUP($P417&amp;" | "&amp;DM$6,'Job Master'!$F$12:$I$102,4,0))&lt;&gt;7,DT417-VLOOKUP($P417&amp;" | "&amp;DM$6,'Job Master'!$F$12:$I$102,4,0),DT417-VLOOKUP($P417&amp;" | "&amp;DM$6,'Job Master'!$F$12:$I$102,4,0)-1),""),"")</f>
        <v/>
      </c>
      <c r="DP417" s="73"/>
      <c r="DQ417" s="123" t="str">
        <f t="shared" si="810"/>
        <v/>
      </c>
      <c r="DR417" s="123" t="str">
        <f t="shared" si="811"/>
        <v/>
      </c>
      <c r="DS417" s="97" t="str">
        <f t="shared" ca="1" si="812"/>
        <v/>
      </c>
      <c r="DT417" s="70" t="str">
        <f t="shared" si="813"/>
        <v/>
      </c>
      <c r="DU417" s="90"/>
      <c r="DV417" s="123" t="str">
        <f t="shared" si="814"/>
        <v/>
      </c>
      <c r="DW417" s="123" t="str">
        <f t="shared" si="815"/>
        <v/>
      </c>
      <c r="DX417" s="132" t="str">
        <f t="shared" ref="DX417" ca="1" si="850">IF(DT417&lt;&gt;"",IF(WEEKNUM(DT417)=WEEKNUM(TODAY()),"This Week",IF(WEEKNUM(DT417)=WEEKNUM(TODAY())+1,"Next Week",IF(WEEKNUM(DT417)=WEEKNUM(TODAY())-1,"Previous Week",""))),"")</f>
        <v/>
      </c>
      <c r="DY417" s="134" t="str">
        <f t="shared" si="817"/>
        <v/>
      </c>
      <c r="DZ417" s="95"/>
      <c r="EB417" s="8" t="str">
        <f t="shared" si="823"/>
        <v/>
      </c>
      <c r="EC417" s="8" t="str">
        <f>IF(O417&lt;&gt;"",VLOOKUP(O417,'Job Master'!$N$12:$O$18,2,0),"")</f>
        <v/>
      </c>
      <c r="ED417" s="8">
        <f t="shared" si="824"/>
        <v>19.5</v>
      </c>
      <c r="EE417" s="8">
        <f t="shared" si="825"/>
        <v>6</v>
      </c>
      <c r="EF417" s="8">
        <f t="shared" si="826"/>
        <v>-2422.5</v>
      </c>
      <c r="EG417" s="8" t="str">
        <f t="shared" si="827"/>
        <v/>
      </c>
      <c r="EH417" s="8" t="str">
        <f t="shared" si="828"/>
        <v/>
      </c>
    </row>
    <row r="418" spans="2:138" x14ac:dyDescent="0.3">
      <c r="B418" s="112"/>
      <c r="C418" s="27"/>
      <c r="D418" s="7" t="str">
        <f t="shared" si="765"/>
        <v/>
      </c>
      <c r="E418" s="25"/>
      <c r="F418" s="7" t="str">
        <f t="shared" si="765"/>
        <v/>
      </c>
      <c r="G418" s="25"/>
      <c r="H418" s="7" t="str">
        <f t="shared" si="765"/>
        <v/>
      </c>
      <c r="I418" s="25"/>
      <c r="J418" s="7" t="str">
        <f t="shared" si="765"/>
        <v/>
      </c>
      <c r="K418" s="25"/>
      <c r="L418" s="7" t="str">
        <f t="shared" si="766"/>
        <v/>
      </c>
      <c r="M418" s="25"/>
      <c r="N418" s="7" t="str">
        <f t="shared" si="767"/>
        <v/>
      </c>
      <c r="O418" s="81"/>
      <c r="P418" s="81" t="str">
        <f t="shared" si="768"/>
        <v/>
      </c>
      <c r="Q418" s="81"/>
      <c r="R418" s="7" t="str">
        <f t="shared" si="769"/>
        <v/>
      </c>
      <c r="S418" s="25"/>
      <c r="T418" s="7" t="str">
        <f t="shared" si="770"/>
        <v/>
      </c>
      <c r="U418" s="25"/>
      <c r="V418" s="7" t="str">
        <f t="shared" si="771"/>
        <v/>
      </c>
      <c r="W418" s="25"/>
      <c r="X418" s="7" t="str">
        <f t="shared" si="772"/>
        <v/>
      </c>
      <c r="Y418" s="18" t="str">
        <f t="shared" si="773"/>
        <v/>
      </c>
      <c r="Z418" s="7" t="str">
        <f t="shared" si="774"/>
        <v/>
      </c>
      <c r="AA418" s="18" t="str">
        <f t="shared" si="775"/>
        <v/>
      </c>
      <c r="AB418" s="19" t="str">
        <f t="shared" si="776"/>
        <v/>
      </c>
      <c r="AC418" s="26"/>
      <c r="AD418" s="26"/>
      <c r="AE418" s="25"/>
      <c r="AF418" s="26"/>
      <c r="AG418" s="25"/>
      <c r="AH418" s="25"/>
      <c r="AI418" s="18" t="str">
        <f t="shared" si="839"/>
        <v/>
      </c>
      <c r="AJ418" s="25"/>
      <c r="AK418" s="18" t="str">
        <f t="shared" si="840"/>
        <v/>
      </c>
      <c r="AL418" s="79"/>
      <c r="AM418" s="126" t="str">
        <f t="shared" si="841"/>
        <v/>
      </c>
      <c r="AN418" s="128" t="str">
        <f>IF(AP418&lt;&gt;"",VLOOKUP($P418&amp;" | "&amp;AN$6,'Job Master'!$F$12:$J$102,5,0),"")</f>
        <v/>
      </c>
      <c r="AO418" s="19" t="str">
        <f>IF(AP418&lt;&gt;"",VLOOKUP($P418&amp;" | "&amp;AN$6,'Job Master'!$F$12:$J$102,3,0),"")</f>
        <v/>
      </c>
      <c r="AP418" s="19" t="str">
        <f>IFERROR(IF(AND(AW418&lt;&gt;"",VLOOKUP($P418&amp;" | "&amp;AN$6,'Job Master'!$F$12:$I$102,4,0)&lt;&gt;""),IF(WEEKDAY(AW418-VLOOKUP($P418&amp;" | "&amp;AN$6,'Job Master'!$F$12:$I$102,4,0))&lt;&gt;7,AW418-VLOOKUP($P418&amp;" | "&amp;AN$6,'Job Master'!$F$12:$I$102,4,0),AW418-VLOOKUP($P418&amp;" | "&amp;AN$6,'Job Master'!$F$12:$I$102,4,0)-1),""),"")</f>
        <v/>
      </c>
      <c r="AQ418" s="73"/>
      <c r="AR418" s="123" t="str">
        <f t="shared" si="777"/>
        <v/>
      </c>
      <c r="AS418" s="123" t="str">
        <f t="shared" si="778"/>
        <v/>
      </c>
      <c r="AT418" s="97" t="str">
        <f t="shared" ca="1" si="779"/>
        <v/>
      </c>
      <c r="AU418" s="98" t="str">
        <f>IF(AW418&lt;&gt;"",VLOOKUP($P418&amp;" | "&amp;AU$6,'Job Master'!$F$12:$J$102,5,0),"")</f>
        <v/>
      </c>
      <c r="AV418" s="19" t="str">
        <f>IF(AW418&lt;&gt;"",VLOOKUP($P418&amp;" | "&amp;AU$6,'Job Master'!$F$12:$J$102,3,0),"")</f>
        <v/>
      </c>
      <c r="AW418" s="19" t="str">
        <f>IFERROR(IF(AND(BD418&lt;&gt;"",VLOOKUP($P418&amp;" | "&amp;AU$6,'Job Master'!$F$12:$I$102,4,0)&lt;&gt;""),IF(WEEKDAY(BD418-VLOOKUP($P418&amp;" | "&amp;AU$6,'Job Master'!$F$12:$I$102,4,0))&lt;&gt;7,BD418-VLOOKUP($P418&amp;" | "&amp;AU$6,'Job Master'!$F$12:$I$102,4,0),BD418-VLOOKUP($P418&amp;" | "&amp;AU$6,'Job Master'!$F$12:$I$102,4,0)-1),""),"")</f>
        <v/>
      </c>
      <c r="AX418" s="73"/>
      <c r="AY418" s="123" t="str">
        <f t="shared" si="780"/>
        <v/>
      </c>
      <c r="AZ418" s="123" t="str">
        <f t="shared" si="781"/>
        <v/>
      </c>
      <c r="BA418" s="97" t="str">
        <f t="shared" ca="1" si="782"/>
        <v/>
      </c>
      <c r="BB418" s="98" t="str">
        <f>IF(BD418&lt;&gt;"",VLOOKUP($P418&amp;" | "&amp;BB$6,'Job Master'!$F$12:$J$102,5,0),"")</f>
        <v/>
      </c>
      <c r="BC418" s="19" t="str">
        <f>IF(BD418&lt;&gt;"",VLOOKUP($P418&amp;" | "&amp;BB$6,'Job Master'!$F$12:$J$102,3,0),"")</f>
        <v/>
      </c>
      <c r="BD418" s="19" t="str">
        <f>IFERROR(IF(AND(BK418&lt;&gt;"",VLOOKUP($P418&amp;" | "&amp;BB$6,'Job Master'!$F$12:$I$102,4,0)&lt;&gt;""),IF(WEEKDAY(BK418-VLOOKUP($P418&amp;" | "&amp;BB$6,'Job Master'!$F$12:$I$102,4,0))&lt;&gt;7,BK418-VLOOKUP($P418&amp;" | "&amp;BB$6,'Job Master'!$F$12:$I$102,4,0),BK418-VLOOKUP($P418&amp;" | "&amp;BB$6,'Job Master'!$F$12:$I$102,4,0)-1),""),"")</f>
        <v/>
      </c>
      <c r="BE418" s="73"/>
      <c r="BF418" s="123" t="str">
        <f t="shared" si="783"/>
        <v/>
      </c>
      <c r="BG418" s="123" t="str">
        <f t="shared" si="784"/>
        <v/>
      </c>
      <c r="BH418" s="97" t="str">
        <f t="shared" ca="1" si="785"/>
        <v/>
      </c>
      <c r="BI418" s="98" t="str">
        <f>IF(BK418&lt;&gt;"",VLOOKUP($P418&amp;" | "&amp;BI$6,'Job Master'!$F$12:$J$102,5,0),"")</f>
        <v/>
      </c>
      <c r="BJ418" s="19" t="str">
        <f>IF(BK418&lt;&gt;"",VLOOKUP($P418&amp;" | "&amp;BI$6,'Job Master'!$F$12:$J$102,3,0),"")</f>
        <v/>
      </c>
      <c r="BK418" s="19" t="str">
        <f>IFERROR(IF(AND(BR418&lt;&gt;"",VLOOKUP($P418&amp;" | "&amp;BI$6,'Job Master'!$F$12:$I$102,4,0)&lt;&gt;""),IF(WEEKDAY(BR418-VLOOKUP($P418&amp;" | "&amp;BI$6,'Job Master'!$F$12:$I$102,4,0))&lt;&gt;7,BR418-VLOOKUP($P418&amp;" | "&amp;BI$6,'Job Master'!$F$12:$I$102,4,0),BR418-VLOOKUP($P418&amp;" | "&amp;BI$6,'Job Master'!$F$12:$I$102,4,0)-1),""),"")</f>
        <v/>
      </c>
      <c r="BL418" s="73"/>
      <c r="BM418" s="123" t="str">
        <f t="shared" si="786"/>
        <v/>
      </c>
      <c r="BN418" s="123" t="str">
        <f t="shared" si="787"/>
        <v/>
      </c>
      <c r="BO418" s="97" t="str">
        <f t="shared" ca="1" si="788"/>
        <v/>
      </c>
      <c r="BP418" s="98" t="str">
        <f>IF(BR418&lt;&gt;"",VLOOKUP($P418&amp;" | "&amp;BP$6,'Job Master'!$F$12:$J$102,5,0),"")</f>
        <v/>
      </c>
      <c r="BQ418" s="19" t="str">
        <f>IF(BR418&lt;&gt;"",VLOOKUP($P418&amp;" | "&amp;BP$6,'Job Master'!$F$12:$J$102,3,0),"")</f>
        <v/>
      </c>
      <c r="BR418" s="19" t="str">
        <f>IFERROR(IF(AND(BY418&lt;&gt;"",VLOOKUP($P418&amp;" | "&amp;BP$6,'Job Master'!$F$12:$I$102,4,0)&lt;&gt;""),IF(WEEKDAY(BY418-VLOOKUP($P418&amp;" | "&amp;BP$6,'Job Master'!$F$12:$I$102,4,0))&lt;&gt;7,BY418-VLOOKUP($P418&amp;" | "&amp;BP$6,'Job Master'!$F$12:$I$102,4,0),BY418-VLOOKUP($P418&amp;" | "&amp;BP$6,'Job Master'!$F$12:$I$102,4,0)-1),""),"")</f>
        <v/>
      </c>
      <c r="BS418" s="73"/>
      <c r="BT418" s="123" t="str">
        <f t="shared" si="789"/>
        <v/>
      </c>
      <c r="BU418" s="123" t="str">
        <f t="shared" si="790"/>
        <v/>
      </c>
      <c r="BV418" s="97" t="str">
        <f t="shared" ca="1" si="791"/>
        <v/>
      </c>
      <c r="BW418" s="98" t="str">
        <f>IF(BY418&lt;&gt;"",VLOOKUP($P418&amp;" | "&amp;BW$6,'Job Master'!$F$12:$J$102,5,0),"")</f>
        <v/>
      </c>
      <c r="BX418" s="19" t="str">
        <f>IF(BY418&lt;&gt;"",VLOOKUP($P418&amp;" | "&amp;BW$6,'Job Master'!$F$12:$J$102,3,0),"")</f>
        <v/>
      </c>
      <c r="BY418" s="19" t="str">
        <f>IFERROR(IF(AND(CF418&lt;&gt;"",VLOOKUP($P418&amp;" | "&amp;BW$6,'Job Master'!$F$12:$I$102,4,0)&lt;&gt;""),IF(WEEKDAY(CF418-VLOOKUP($P418&amp;" | "&amp;BW$6,'Job Master'!$F$12:$I$102,4,0))&lt;&gt;7,CF418-VLOOKUP($P418&amp;" | "&amp;BW$6,'Job Master'!$F$12:$I$102,4,0),CF418-VLOOKUP($P418&amp;" | "&amp;BW$6,'Job Master'!$F$12:$I$102,4,0)-1),""),"")</f>
        <v/>
      </c>
      <c r="BZ418" s="73"/>
      <c r="CA418" s="123" t="str">
        <f t="shared" si="792"/>
        <v/>
      </c>
      <c r="CB418" s="123" t="str">
        <f t="shared" si="793"/>
        <v/>
      </c>
      <c r="CC418" s="97" t="str">
        <f t="shared" ca="1" si="794"/>
        <v/>
      </c>
      <c r="CD418" s="98" t="str">
        <f>IF(CF418&lt;&gt;"",VLOOKUP($P418&amp;" | "&amp;CD$6,'Job Master'!$F$12:$J$102,5,0),"")</f>
        <v/>
      </c>
      <c r="CE418" s="19" t="str">
        <f>IF(CF418&lt;&gt;"",VLOOKUP($P418&amp;" | "&amp;CD$6,'Job Master'!$F$12:$J$102,3,0),"")</f>
        <v/>
      </c>
      <c r="CF418" s="19" t="str">
        <f>IFERROR(IF(AND(CM418&lt;&gt;"",VLOOKUP($P418&amp;" | "&amp;CD$6,'Job Master'!$F$12:$I$102,4,0)&lt;&gt;""),IF(WEEKDAY(CM418-VLOOKUP($P418&amp;" | "&amp;CD$6,'Job Master'!$F$12:$I$102,4,0))&lt;&gt;7,CM418-VLOOKUP($P418&amp;" | "&amp;CD$6,'Job Master'!$F$12:$I$102,4,0),CM418-VLOOKUP($P418&amp;" | "&amp;CD$6,'Job Master'!$F$12:$I$102,4,0)-1),""),"")</f>
        <v/>
      </c>
      <c r="CG418" s="73"/>
      <c r="CH418" s="123" t="str">
        <f t="shared" si="795"/>
        <v/>
      </c>
      <c r="CI418" s="123" t="str">
        <f t="shared" si="796"/>
        <v/>
      </c>
      <c r="CJ418" s="97" t="str">
        <f t="shared" ca="1" si="797"/>
        <v/>
      </c>
      <c r="CK418" s="98" t="str">
        <f>IF(CM418&lt;&gt;"",VLOOKUP($P418&amp;" | "&amp;CK$6,'Job Master'!$F$12:$J$102,5,0),"")</f>
        <v/>
      </c>
      <c r="CL418" s="19" t="str">
        <f>IF(CM418&lt;&gt;"",VLOOKUP($P418&amp;" | "&amp;CK$6,'Job Master'!$F$12:$J$102,3,0),"")</f>
        <v/>
      </c>
      <c r="CM418" s="19" t="str">
        <f>IFERROR(IF(AND(CT418&lt;&gt;"",VLOOKUP($P418&amp;" | "&amp;CK$6,'Job Master'!$F$12:$I$102,4,0)&lt;&gt;""),IF(WEEKDAY(CT418-VLOOKUP($P418&amp;" | "&amp;CK$6,'Job Master'!$F$12:$I$102,4,0))&lt;&gt;7,CT418-VLOOKUP($P418&amp;" | "&amp;CK$6,'Job Master'!$F$12:$I$102,4,0),CT418-VLOOKUP($P418&amp;" | "&amp;CK$6,'Job Master'!$F$12:$I$102,4,0)-1),""),"")</f>
        <v/>
      </c>
      <c r="CN418" s="73"/>
      <c r="CO418" s="123" t="str">
        <f t="shared" si="798"/>
        <v/>
      </c>
      <c r="CP418" s="123" t="str">
        <f t="shared" si="799"/>
        <v/>
      </c>
      <c r="CQ418" s="97" t="str">
        <f t="shared" ca="1" si="800"/>
        <v/>
      </c>
      <c r="CR418" s="98" t="str">
        <f>IF(CT418&lt;&gt;"",VLOOKUP($P418&amp;" | "&amp;CR$6,'Job Master'!$F$12:$J$102,5,0),"")</f>
        <v/>
      </c>
      <c r="CS418" s="19" t="str">
        <f>IF(CT418&lt;&gt;"",VLOOKUP($P418&amp;" | "&amp;CR$6,'Job Master'!$F$12:$J$102,3,0),"")</f>
        <v/>
      </c>
      <c r="CT418" s="19" t="str">
        <f>IFERROR(IF(AND(DA418&lt;&gt;"",VLOOKUP($P418&amp;" | "&amp;CR$6,'Job Master'!$F$12:$I$102,4,0)&lt;&gt;""),IF(WEEKDAY(DA418-VLOOKUP($P418&amp;" | "&amp;CR$6,'Job Master'!$F$12:$I$102,4,0))&lt;&gt;7,DA418-VLOOKUP($P418&amp;" | "&amp;CR$6,'Job Master'!$F$12:$I$102,4,0),DA418-VLOOKUP($P418&amp;" | "&amp;CR$6,'Job Master'!$F$12:$I$102,4,0)-1),""),"")</f>
        <v/>
      </c>
      <c r="CU418" s="73"/>
      <c r="CV418" s="123" t="str">
        <f t="shared" si="801"/>
        <v/>
      </c>
      <c r="CW418" s="123" t="str">
        <f t="shared" si="802"/>
        <v/>
      </c>
      <c r="CX418" s="97" t="str">
        <f t="shared" ca="1" si="803"/>
        <v/>
      </c>
      <c r="CY418" s="98" t="str">
        <f>IF(DA418&lt;&gt;"",VLOOKUP($P418&amp;" | "&amp;CY$6,'Job Master'!$F$12:$J$102,5,0),"")</f>
        <v/>
      </c>
      <c r="CZ418" s="19" t="str">
        <f>IF(DA418&lt;&gt;"",VLOOKUP($P418&amp;" | "&amp;CY$6,'Job Master'!$F$12:$J$102,3,0),"")</f>
        <v/>
      </c>
      <c r="DA418" s="19" t="str">
        <f>IFERROR(IF(AND(DH418&lt;&gt;"",VLOOKUP($P418&amp;" | "&amp;CY$6,'Job Master'!$F$12:$I$102,4,0)&lt;&gt;""),IF(WEEKDAY(DH418-VLOOKUP($P418&amp;" | "&amp;CY$6,'Job Master'!$F$12:$I$102,4,0))&lt;&gt;7,DH418-VLOOKUP($P418&amp;" | "&amp;CY$6,'Job Master'!$F$12:$I$102,4,0),DH418-VLOOKUP($P418&amp;" | "&amp;CY$6,'Job Master'!$F$12:$I$102,4,0)-1),""),"")</f>
        <v/>
      </c>
      <c r="DB418" s="73"/>
      <c r="DC418" s="123" t="str">
        <f t="shared" si="804"/>
        <v/>
      </c>
      <c r="DD418" s="123" t="str">
        <f t="shared" si="805"/>
        <v/>
      </c>
      <c r="DE418" s="97" t="str">
        <f t="shared" ca="1" si="806"/>
        <v/>
      </c>
      <c r="DF418" s="98" t="str">
        <f>IF(DH418&lt;&gt;"",VLOOKUP($P418&amp;" | "&amp;DF$6,'Job Master'!$F$12:$J$102,5,0),"")</f>
        <v/>
      </c>
      <c r="DG418" s="19" t="str">
        <f>IF(DH418&lt;&gt;"",VLOOKUP($P418&amp;" | "&amp;DF$6,'Job Master'!$F$12:$J$102,3,0),"")</f>
        <v/>
      </c>
      <c r="DH418" s="19" t="str">
        <f>IFERROR(IF(AND(DO418&lt;&gt;"",VLOOKUP($P418&amp;" | "&amp;DF$6,'Job Master'!$F$12:$I$102,4,0)&lt;&gt;""),IF(WEEKDAY(DO418-VLOOKUP($P418&amp;" | "&amp;DF$6,'Job Master'!$F$12:$I$102,4,0))&lt;&gt;7,DO418-VLOOKUP($P418&amp;" | "&amp;DF$6,'Job Master'!$F$12:$I$102,4,0),DO418-VLOOKUP($P418&amp;" | "&amp;DF$6,'Job Master'!$F$12:$I$102,4,0)-1),""),"")</f>
        <v/>
      </c>
      <c r="DI418" s="73"/>
      <c r="DJ418" s="123" t="str">
        <f t="shared" si="807"/>
        <v/>
      </c>
      <c r="DK418" s="123" t="str">
        <f t="shared" si="808"/>
        <v/>
      </c>
      <c r="DL418" s="97" t="str">
        <f t="shared" ca="1" si="809"/>
        <v/>
      </c>
      <c r="DM418" s="98" t="str">
        <f>IF(DO418&lt;&gt;"",VLOOKUP($P418&amp;" | "&amp;DM$6,'Job Master'!$F$12:$J$102,5,0),"")</f>
        <v/>
      </c>
      <c r="DN418" s="19" t="str">
        <f>IF(DO418&lt;&gt;"",VLOOKUP($P418&amp;" | "&amp;DM$6,'Job Master'!$F$12:$J$102,3,0),"")</f>
        <v/>
      </c>
      <c r="DO418" s="19" t="str">
        <f>IFERROR(IF(AND(DT418&lt;&gt;"",VLOOKUP($P418&amp;" | "&amp;DM$6,'Job Master'!$F$12:$I$102,4,0)&lt;&gt;""),IF(WEEKDAY(DT418-VLOOKUP($P418&amp;" | "&amp;DM$6,'Job Master'!$F$12:$I$102,4,0))&lt;&gt;7,DT418-VLOOKUP($P418&amp;" | "&amp;DM$6,'Job Master'!$F$12:$I$102,4,0),DT418-VLOOKUP($P418&amp;" | "&amp;DM$6,'Job Master'!$F$12:$I$102,4,0)-1),""),"")</f>
        <v/>
      </c>
      <c r="DP418" s="73"/>
      <c r="DQ418" s="123" t="str">
        <f t="shared" si="810"/>
        <v/>
      </c>
      <c r="DR418" s="123" t="str">
        <f t="shared" si="811"/>
        <v/>
      </c>
      <c r="DS418" s="97" t="str">
        <f t="shared" ca="1" si="812"/>
        <v/>
      </c>
      <c r="DT418" s="70" t="str">
        <f t="shared" si="813"/>
        <v/>
      </c>
      <c r="DU418" s="90"/>
      <c r="DV418" s="123" t="str">
        <f t="shared" si="814"/>
        <v/>
      </c>
      <c r="DW418" s="123" t="str">
        <f t="shared" si="815"/>
        <v/>
      </c>
      <c r="DX418" s="132" t="str">
        <f t="shared" ref="DX418" ca="1" si="851">IF(DT418&lt;&gt;"",IF(WEEKNUM(DT418)=WEEKNUM(TODAY()),"This Week",IF(WEEKNUM(DT418)=WEEKNUM(TODAY())+1,"Next Week",IF(WEEKNUM(DT418)=WEEKNUM(TODAY())-1,"Previous Week",""))),"")</f>
        <v/>
      </c>
      <c r="DY418" s="134" t="str">
        <f t="shared" si="817"/>
        <v/>
      </c>
      <c r="DZ418" s="95"/>
      <c r="EB418" s="8" t="str">
        <f t="shared" si="823"/>
        <v/>
      </c>
      <c r="EC418" s="8" t="str">
        <f>IF(O418&lt;&gt;"",VLOOKUP(O418,'Job Master'!$N$12:$O$18,2,0),"")</f>
        <v/>
      </c>
      <c r="ED418" s="8">
        <f t="shared" si="824"/>
        <v>19.5</v>
      </c>
      <c r="EE418" s="8">
        <f t="shared" si="825"/>
        <v>6</v>
      </c>
      <c r="EF418" s="8">
        <f t="shared" si="826"/>
        <v>-2428.5</v>
      </c>
      <c r="EG418" s="8" t="str">
        <f t="shared" si="827"/>
        <v/>
      </c>
      <c r="EH418" s="8" t="str">
        <f t="shared" si="828"/>
        <v/>
      </c>
    </row>
    <row r="419" spans="2:138" x14ac:dyDescent="0.3">
      <c r="B419" s="112"/>
      <c r="C419" s="27"/>
      <c r="D419" s="7" t="str">
        <f t="shared" si="765"/>
        <v/>
      </c>
      <c r="E419" s="25"/>
      <c r="F419" s="7" t="str">
        <f t="shared" si="765"/>
        <v/>
      </c>
      <c r="G419" s="25"/>
      <c r="H419" s="7" t="str">
        <f t="shared" si="765"/>
        <v/>
      </c>
      <c r="I419" s="25"/>
      <c r="J419" s="7" t="str">
        <f t="shared" si="765"/>
        <v/>
      </c>
      <c r="K419" s="25"/>
      <c r="L419" s="7" t="str">
        <f t="shared" si="766"/>
        <v/>
      </c>
      <c r="M419" s="25"/>
      <c r="N419" s="7" t="str">
        <f t="shared" si="767"/>
        <v/>
      </c>
      <c r="O419" s="81"/>
      <c r="P419" s="81" t="str">
        <f t="shared" si="768"/>
        <v/>
      </c>
      <c r="Q419" s="81"/>
      <c r="R419" s="7" t="str">
        <f t="shared" si="769"/>
        <v/>
      </c>
      <c r="S419" s="25"/>
      <c r="T419" s="7" t="str">
        <f t="shared" si="770"/>
        <v/>
      </c>
      <c r="U419" s="25"/>
      <c r="V419" s="7" t="str">
        <f t="shared" si="771"/>
        <v/>
      </c>
      <c r="W419" s="25"/>
      <c r="X419" s="7" t="str">
        <f t="shared" si="772"/>
        <v/>
      </c>
      <c r="Y419" s="18" t="str">
        <f t="shared" si="773"/>
        <v/>
      </c>
      <c r="Z419" s="7" t="str">
        <f t="shared" si="774"/>
        <v/>
      </c>
      <c r="AA419" s="18" t="str">
        <f t="shared" si="775"/>
        <v/>
      </c>
      <c r="AB419" s="19" t="str">
        <f t="shared" si="776"/>
        <v/>
      </c>
      <c r="AC419" s="26"/>
      <c r="AD419" s="26"/>
      <c r="AE419" s="25"/>
      <c r="AF419" s="26"/>
      <c r="AG419" s="25"/>
      <c r="AH419" s="25"/>
      <c r="AI419" s="18" t="str">
        <f t="shared" si="839"/>
        <v/>
      </c>
      <c r="AJ419" s="25"/>
      <c r="AK419" s="18" t="str">
        <f t="shared" si="840"/>
        <v/>
      </c>
      <c r="AL419" s="79"/>
      <c r="AM419" s="126" t="str">
        <f t="shared" si="841"/>
        <v/>
      </c>
      <c r="AN419" s="128" t="str">
        <f>IF(AP419&lt;&gt;"",VLOOKUP($P419&amp;" | "&amp;AN$6,'Job Master'!$F$12:$J$102,5,0),"")</f>
        <v/>
      </c>
      <c r="AO419" s="19" t="str">
        <f>IF(AP419&lt;&gt;"",VLOOKUP($P419&amp;" | "&amp;AN$6,'Job Master'!$F$12:$J$102,3,0),"")</f>
        <v/>
      </c>
      <c r="AP419" s="19" t="str">
        <f>IFERROR(IF(AND(AW419&lt;&gt;"",VLOOKUP($P419&amp;" | "&amp;AN$6,'Job Master'!$F$12:$I$102,4,0)&lt;&gt;""),IF(WEEKDAY(AW419-VLOOKUP($P419&amp;" | "&amp;AN$6,'Job Master'!$F$12:$I$102,4,0))&lt;&gt;7,AW419-VLOOKUP($P419&amp;" | "&amp;AN$6,'Job Master'!$F$12:$I$102,4,0),AW419-VLOOKUP($P419&amp;" | "&amp;AN$6,'Job Master'!$F$12:$I$102,4,0)-1),""),"")</f>
        <v/>
      </c>
      <c r="AQ419" s="73"/>
      <c r="AR419" s="123" t="str">
        <f t="shared" si="777"/>
        <v/>
      </c>
      <c r="AS419" s="123" t="str">
        <f t="shared" si="778"/>
        <v/>
      </c>
      <c r="AT419" s="97" t="str">
        <f t="shared" ca="1" si="779"/>
        <v/>
      </c>
      <c r="AU419" s="98" t="str">
        <f>IF(AW419&lt;&gt;"",VLOOKUP($P419&amp;" | "&amp;AU$6,'Job Master'!$F$12:$J$102,5,0),"")</f>
        <v/>
      </c>
      <c r="AV419" s="19" t="str">
        <f>IF(AW419&lt;&gt;"",VLOOKUP($P419&amp;" | "&amp;AU$6,'Job Master'!$F$12:$J$102,3,0),"")</f>
        <v/>
      </c>
      <c r="AW419" s="19" t="str">
        <f>IFERROR(IF(AND(BD419&lt;&gt;"",VLOOKUP($P419&amp;" | "&amp;AU$6,'Job Master'!$F$12:$I$102,4,0)&lt;&gt;""),IF(WEEKDAY(BD419-VLOOKUP($P419&amp;" | "&amp;AU$6,'Job Master'!$F$12:$I$102,4,0))&lt;&gt;7,BD419-VLOOKUP($P419&amp;" | "&amp;AU$6,'Job Master'!$F$12:$I$102,4,0),BD419-VLOOKUP($P419&amp;" | "&amp;AU$6,'Job Master'!$F$12:$I$102,4,0)-1),""),"")</f>
        <v/>
      </c>
      <c r="AX419" s="73"/>
      <c r="AY419" s="123" t="str">
        <f t="shared" si="780"/>
        <v/>
      </c>
      <c r="AZ419" s="123" t="str">
        <f t="shared" si="781"/>
        <v/>
      </c>
      <c r="BA419" s="97" t="str">
        <f t="shared" ca="1" si="782"/>
        <v/>
      </c>
      <c r="BB419" s="98" t="str">
        <f>IF(BD419&lt;&gt;"",VLOOKUP($P419&amp;" | "&amp;BB$6,'Job Master'!$F$12:$J$102,5,0),"")</f>
        <v/>
      </c>
      <c r="BC419" s="19" t="str">
        <f>IF(BD419&lt;&gt;"",VLOOKUP($P419&amp;" | "&amp;BB$6,'Job Master'!$F$12:$J$102,3,0),"")</f>
        <v/>
      </c>
      <c r="BD419" s="19" t="str">
        <f>IFERROR(IF(AND(BK419&lt;&gt;"",VLOOKUP($P419&amp;" | "&amp;BB$6,'Job Master'!$F$12:$I$102,4,0)&lt;&gt;""),IF(WEEKDAY(BK419-VLOOKUP($P419&amp;" | "&amp;BB$6,'Job Master'!$F$12:$I$102,4,0))&lt;&gt;7,BK419-VLOOKUP($P419&amp;" | "&amp;BB$6,'Job Master'!$F$12:$I$102,4,0),BK419-VLOOKUP($P419&amp;" | "&amp;BB$6,'Job Master'!$F$12:$I$102,4,0)-1),""),"")</f>
        <v/>
      </c>
      <c r="BE419" s="73"/>
      <c r="BF419" s="123" t="str">
        <f t="shared" si="783"/>
        <v/>
      </c>
      <c r="BG419" s="123" t="str">
        <f t="shared" si="784"/>
        <v/>
      </c>
      <c r="BH419" s="97" t="str">
        <f t="shared" ca="1" si="785"/>
        <v/>
      </c>
      <c r="BI419" s="98" t="str">
        <f>IF(BK419&lt;&gt;"",VLOOKUP($P419&amp;" | "&amp;BI$6,'Job Master'!$F$12:$J$102,5,0),"")</f>
        <v/>
      </c>
      <c r="BJ419" s="19" t="str">
        <f>IF(BK419&lt;&gt;"",VLOOKUP($P419&amp;" | "&amp;BI$6,'Job Master'!$F$12:$J$102,3,0),"")</f>
        <v/>
      </c>
      <c r="BK419" s="19" t="str">
        <f>IFERROR(IF(AND(BR419&lt;&gt;"",VLOOKUP($P419&amp;" | "&amp;BI$6,'Job Master'!$F$12:$I$102,4,0)&lt;&gt;""),IF(WEEKDAY(BR419-VLOOKUP($P419&amp;" | "&amp;BI$6,'Job Master'!$F$12:$I$102,4,0))&lt;&gt;7,BR419-VLOOKUP($P419&amp;" | "&amp;BI$6,'Job Master'!$F$12:$I$102,4,0),BR419-VLOOKUP($P419&amp;" | "&amp;BI$6,'Job Master'!$F$12:$I$102,4,0)-1),""),"")</f>
        <v/>
      </c>
      <c r="BL419" s="73"/>
      <c r="BM419" s="123" t="str">
        <f t="shared" si="786"/>
        <v/>
      </c>
      <c r="BN419" s="123" t="str">
        <f t="shared" si="787"/>
        <v/>
      </c>
      <c r="BO419" s="97" t="str">
        <f t="shared" ca="1" si="788"/>
        <v/>
      </c>
      <c r="BP419" s="98" t="str">
        <f>IF(BR419&lt;&gt;"",VLOOKUP($P419&amp;" | "&amp;BP$6,'Job Master'!$F$12:$J$102,5,0),"")</f>
        <v/>
      </c>
      <c r="BQ419" s="19" t="str">
        <f>IF(BR419&lt;&gt;"",VLOOKUP($P419&amp;" | "&amp;BP$6,'Job Master'!$F$12:$J$102,3,0),"")</f>
        <v/>
      </c>
      <c r="BR419" s="19" t="str">
        <f>IFERROR(IF(AND(BY419&lt;&gt;"",VLOOKUP($P419&amp;" | "&amp;BP$6,'Job Master'!$F$12:$I$102,4,0)&lt;&gt;""),IF(WEEKDAY(BY419-VLOOKUP($P419&amp;" | "&amp;BP$6,'Job Master'!$F$12:$I$102,4,0))&lt;&gt;7,BY419-VLOOKUP($P419&amp;" | "&amp;BP$6,'Job Master'!$F$12:$I$102,4,0),BY419-VLOOKUP($P419&amp;" | "&amp;BP$6,'Job Master'!$F$12:$I$102,4,0)-1),""),"")</f>
        <v/>
      </c>
      <c r="BS419" s="73"/>
      <c r="BT419" s="123" t="str">
        <f t="shared" si="789"/>
        <v/>
      </c>
      <c r="BU419" s="123" t="str">
        <f t="shared" si="790"/>
        <v/>
      </c>
      <c r="BV419" s="97" t="str">
        <f t="shared" ca="1" si="791"/>
        <v/>
      </c>
      <c r="BW419" s="98" t="str">
        <f>IF(BY419&lt;&gt;"",VLOOKUP($P419&amp;" | "&amp;BW$6,'Job Master'!$F$12:$J$102,5,0),"")</f>
        <v/>
      </c>
      <c r="BX419" s="19" t="str">
        <f>IF(BY419&lt;&gt;"",VLOOKUP($P419&amp;" | "&amp;BW$6,'Job Master'!$F$12:$J$102,3,0),"")</f>
        <v/>
      </c>
      <c r="BY419" s="19" t="str">
        <f>IFERROR(IF(AND(CF419&lt;&gt;"",VLOOKUP($P419&amp;" | "&amp;BW$6,'Job Master'!$F$12:$I$102,4,0)&lt;&gt;""),IF(WEEKDAY(CF419-VLOOKUP($P419&amp;" | "&amp;BW$6,'Job Master'!$F$12:$I$102,4,0))&lt;&gt;7,CF419-VLOOKUP($P419&amp;" | "&amp;BW$6,'Job Master'!$F$12:$I$102,4,0),CF419-VLOOKUP($P419&amp;" | "&amp;BW$6,'Job Master'!$F$12:$I$102,4,0)-1),""),"")</f>
        <v/>
      </c>
      <c r="BZ419" s="73"/>
      <c r="CA419" s="123" t="str">
        <f t="shared" si="792"/>
        <v/>
      </c>
      <c r="CB419" s="123" t="str">
        <f t="shared" si="793"/>
        <v/>
      </c>
      <c r="CC419" s="97" t="str">
        <f t="shared" ca="1" si="794"/>
        <v/>
      </c>
      <c r="CD419" s="98" t="str">
        <f>IF(CF419&lt;&gt;"",VLOOKUP($P419&amp;" | "&amp;CD$6,'Job Master'!$F$12:$J$102,5,0),"")</f>
        <v/>
      </c>
      <c r="CE419" s="19" t="str">
        <f>IF(CF419&lt;&gt;"",VLOOKUP($P419&amp;" | "&amp;CD$6,'Job Master'!$F$12:$J$102,3,0),"")</f>
        <v/>
      </c>
      <c r="CF419" s="19" t="str">
        <f>IFERROR(IF(AND(CM419&lt;&gt;"",VLOOKUP($P419&amp;" | "&amp;CD$6,'Job Master'!$F$12:$I$102,4,0)&lt;&gt;""),IF(WEEKDAY(CM419-VLOOKUP($P419&amp;" | "&amp;CD$6,'Job Master'!$F$12:$I$102,4,0))&lt;&gt;7,CM419-VLOOKUP($P419&amp;" | "&amp;CD$6,'Job Master'!$F$12:$I$102,4,0),CM419-VLOOKUP($P419&amp;" | "&amp;CD$6,'Job Master'!$F$12:$I$102,4,0)-1),""),"")</f>
        <v/>
      </c>
      <c r="CG419" s="73"/>
      <c r="CH419" s="123" t="str">
        <f t="shared" si="795"/>
        <v/>
      </c>
      <c r="CI419" s="123" t="str">
        <f t="shared" si="796"/>
        <v/>
      </c>
      <c r="CJ419" s="97" t="str">
        <f t="shared" ca="1" si="797"/>
        <v/>
      </c>
      <c r="CK419" s="98" t="str">
        <f>IF(CM419&lt;&gt;"",VLOOKUP($P419&amp;" | "&amp;CK$6,'Job Master'!$F$12:$J$102,5,0),"")</f>
        <v/>
      </c>
      <c r="CL419" s="19" t="str">
        <f>IF(CM419&lt;&gt;"",VLOOKUP($P419&amp;" | "&amp;CK$6,'Job Master'!$F$12:$J$102,3,0),"")</f>
        <v/>
      </c>
      <c r="CM419" s="19" t="str">
        <f>IFERROR(IF(AND(CT419&lt;&gt;"",VLOOKUP($P419&amp;" | "&amp;CK$6,'Job Master'!$F$12:$I$102,4,0)&lt;&gt;""),IF(WEEKDAY(CT419-VLOOKUP($P419&amp;" | "&amp;CK$6,'Job Master'!$F$12:$I$102,4,0))&lt;&gt;7,CT419-VLOOKUP($P419&amp;" | "&amp;CK$6,'Job Master'!$F$12:$I$102,4,0),CT419-VLOOKUP($P419&amp;" | "&amp;CK$6,'Job Master'!$F$12:$I$102,4,0)-1),""),"")</f>
        <v/>
      </c>
      <c r="CN419" s="73"/>
      <c r="CO419" s="123" t="str">
        <f t="shared" si="798"/>
        <v/>
      </c>
      <c r="CP419" s="123" t="str">
        <f t="shared" si="799"/>
        <v/>
      </c>
      <c r="CQ419" s="97" t="str">
        <f t="shared" ca="1" si="800"/>
        <v/>
      </c>
      <c r="CR419" s="98" t="str">
        <f>IF(CT419&lt;&gt;"",VLOOKUP($P419&amp;" | "&amp;CR$6,'Job Master'!$F$12:$J$102,5,0),"")</f>
        <v/>
      </c>
      <c r="CS419" s="19" t="str">
        <f>IF(CT419&lt;&gt;"",VLOOKUP($P419&amp;" | "&amp;CR$6,'Job Master'!$F$12:$J$102,3,0),"")</f>
        <v/>
      </c>
      <c r="CT419" s="19" t="str">
        <f>IFERROR(IF(AND(DA419&lt;&gt;"",VLOOKUP($P419&amp;" | "&amp;CR$6,'Job Master'!$F$12:$I$102,4,0)&lt;&gt;""),IF(WEEKDAY(DA419-VLOOKUP($P419&amp;" | "&amp;CR$6,'Job Master'!$F$12:$I$102,4,0))&lt;&gt;7,DA419-VLOOKUP($P419&amp;" | "&amp;CR$6,'Job Master'!$F$12:$I$102,4,0),DA419-VLOOKUP($P419&amp;" | "&amp;CR$6,'Job Master'!$F$12:$I$102,4,0)-1),""),"")</f>
        <v/>
      </c>
      <c r="CU419" s="73"/>
      <c r="CV419" s="123" t="str">
        <f t="shared" si="801"/>
        <v/>
      </c>
      <c r="CW419" s="123" t="str">
        <f t="shared" si="802"/>
        <v/>
      </c>
      <c r="CX419" s="97" t="str">
        <f t="shared" ca="1" si="803"/>
        <v/>
      </c>
      <c r="CY419" s="98" t="str">
        <f>IF(DA419&lt;&gt;"",VLOOKUP($P419&amp;" | "&amp;CY$6,'Job Master'!$F$12:$J$102,5,0),"")</f>
        <v/>
      </c>
      <c r="CZ419" s="19" t="str">
        <f>IF(DA419&lt;&gt;"",VLOOKUP($P419&amp;" | "&amp;CY$6,'Job Master'!$F$12:$J$102,3,0),"")</f>
        <v/>
      </c>
      <c r="DA419" s="19" t="str">
        <f>IFERROR(IF(AND(DH419&lt;&gt;"",VLOOKUP($P419&amp;" | "&amp;CY$6,'Job Master'!$F$12:$I$102,4,0)&lt;&gt;""),IF(WEEKDAY(DH419-VLOOKUP($P419&amp;" | "&amp;CY$6,'Job Master'!$F$12:$I$102,4,0))&lt;&gt;7,DH419-VLOOKUP($P419&amp;" | "&amp;CY$6,'Job Master'!$F$12:$I$102,4,0),DH419-VLOOKUP($P419&amp;" | "&amp;CY$6,'Job Master'!$F$12:$I$102,4,0)-1),""),"")</f>
        <v/>
      </c>
      <c r="DB419" s="73"/>
      <c r="DC419" s="123" t="str">
        <f t="shared" si="804"/>
        <v/>
      </c>
      <c r="DD419" s="123" t="str">
        <f t="shared" si="805"/>
        <v/>
      </c>
      <c r="DE419" s="97" t="str">
        <f t="shared" ca="1" si="806"/>
        <v/>
      </c>
      <c r="DF419" s="98" t="str">
        <f>IF(DH419&lt;&gt;"",VLOOKUP($P419&amp;" | "&amp;DF$6,'Job Master'!$F$12:$J$102,5,0),"")</f>
        <v/>
      </c>
      <c r="DG419" s="19" t="str">
        <f>IF(DH419&lt;&gt;"",VLOOKUP($P419&amp;" | "&amp;DF$6,'Job Master'!$F$12:$J$102,3,0),"")</f>
        <v/>
      </c>
      <c r="DH419" s="19" t="str">
        <f>IFERROR(IF(AND(DO419&lt;&gt;"",VLOOKUP($P419&amp;" | "&amp;DF$6,'Job Master'!$F$12:$I$102,4,0)&lt;&gt;""),IF(WEEKDAY(DO419-VLOOKUP($P419&amp;" | "&amp;DF$6,'Job Master'!$F$12:$I$102,4,0))&lt;&gt;7,DO419-VLOOKUP($P419&amp;" | "&amp;DF$6,'Job Master'!$F$12:$I$102,4,0),DO419-VLOOKUP($P419&amp;" | "&amp;DF$6,'Job Master'!$F$12:$I$102,4,0)-1),""),"")</f>
        <v/>
      </c>
      <c r="DI419" s="73"/>
      <c r="DJ419" s="123" t="str">
        <f t="shared" si="807"/>
        <v/>
      </c>
      <c r="DK419" s="123" t="str">
        <f t="shared" si="808"/>
        <v/>
      </c>
      <c r="DL419" s="97" t="str">
        <f t="shared" ca="1" si="809"/>
        <v/>
      </c>
      <c r="DM419" s="98" t="str">
        <f>IF(DO419&lt;&gt;"",VLOOKUP($P419&amp;" | "&amp;DM$6,'Job Master'!$F$12:$J$102,5,0),"")</f>
        <v/>
      </c>
      <c r="DN419" s="19" t="str">
        <f>IF(DO419&lt;&gt;"",VLOOKUP($P419&amp;" | "&amp;DM$6,'Job Master'!$F$12:$J$102,3,0),"")</f>
        <v/>
      </c>
      <c r="DO419" s="19" t="str">
        <f>IFERROR(IF(AND(DT419&lt;&gt;"",VLOOKUP($P419&amp;" | "&amp;DM$6,'Job Master'!$F$12:$I$102,4,0)&lt;&gt;""),IF(WEEKDAY(DT419-VLOOKUP($P419&amp;" | "&amp;DM$6,'Job Master'!$F$12:$I$102,4,0))&lt;&gt;7,DT419-VLOOKUP($P419&amp;" | "&amp;DM$6,'Job Master'!$F$12:$I$102,4,0),DT419-VLOOKUP($P419&amp;" | "&amp;DM$6,'Job Master'!$F$12:$I$102,4,0)-1),""),"")</f>
        <v/>
      </c>
      <c r="DP419" s="73"/>
      <c r="DQ419" s="123" t="str">
        <f t="shared" si="810"/>
        <v/>
      </c>
      <c r="DR419" s="123" t="str">
        <f t="shared" si="811"/>
        <v/>
      </c>
      <c r="DS419" s="97" t="str">
        <f t="shared" ca="1" si="812"/>
        <v/>
      </c>
      <c r="DT419" s="70" t="str">
        <f t="shared" si="813"/>
        <v/>
      </c>
      <c r="DU419" s="90"/>
      <c r="DV419" s="123" t="str">
        <f t="shared" si="814"/>
        <v/>
      </c>
      <c r="DW419" s="123" t="str">
        <f t="shared" si="815"/>
        <v/>
      </c>
      <c r="DX419" s="132" t="str">
        <f t="shared" ref="DX419" ca="1" si="852">IF(DT419&lt;&gt;"",IF(WEEKNUM(DT419)=WEEKNUM(TODAY()),"This Week",IF(WEEKNUM(DT419)=WEEKNUM(TODAY())+1,"Next Week",IF(WEEKNUM(DT419)=WEEKNUM(TODAY())-1,"Previous Week",""))),"")</f>
        <v/>
      </c>
      <c r="DY419" s="134" t="str">
        <f t="shared" si="817"/>
        <v/>
      </c>
      <c r="DZ419" s="95"/>
      <c r="EB419" s="8" t="str">
        <f t="shared" si="823"/>
        <v/>
      </c>
      <c r="EC419" s="8" t="str">
        <f>IF(O419&lt;&gt;"",VLOOKUP(O419,'Job Master'!$N$12:$O$18,2,0),"")</f>
        <v/>
      </c>
      <c r="ED419" s="8">
        <f t="shared" si="824"/>
        <v>19.5</v>
      </c>
      <c r="EE419" s="8">
        <f t="shared" si="825"/>
        <v>6</v>
      </c>
      <c r="EF419" s="8">
        <f t="shared" si="826"/>
        <v>-2434.5</v>
      </c>
      <c r="EG419" s="8" t="str">
        <f t="shared" si="827"/>
        <v/>
      </c>
      <c r="EH419" s="8" t="str">
        <f t="shared" si="828"/>
        <v/>
      </c>
    </row>
    <row r="420" spans="2:138" x14ac:dyDescent="0.3">
      <c r="B420" s="112"/>
      <c r="C420" s="27"/>
      <c r="D420" s="7" t="str">
        <f t="shared" si="765"/>
        <v/>
      </c>
      <c r="E420" s="25"/>
      <c r="F420" s="7" t="str">
        <f t="shared" si="765"/>
        <v/>
      </c>
      <c r="G420" s="25"/>
      <c r="H420" s="7" t="str">
        <f t="shared" si="765"/>
        <v/>
      </c>
      <c r="I420" s="25"/>
      <c r="J420" s="7" t="str">
        <f t="shared" si="765"/>
        <v/>
      </c>
      <c r="K420" s="25"/>
      <c r="L420" s="7" t="str">
        <f t="shared" si="766"/>
        <v/>
      </c>
      <c r="M420" s="25"/>
      <c r="N420" s="7" t="str">
        <f t="shared" si="767"/>
        <v/>
      </c>
      <c r="O420" s="81"/>
      <c r="P420" s="81" t="str">
        <f t="shared" si="768"/>
        <v/>
      </c>
      <c r="Q420" s="81"/>
      <c r="R420" s="7" t="str">
        <f t="shared" si="769"/>
        <v/>
      </c>
      <c r="S420" s="25"/>
      <c r="T420" s="7" t="str">
        <f t="shared" si="770"/>
        <v/>
      </c>
      <c r="U420" s="25"/>
      <c r="V420" s="7" t="str">
        <f t="shared" si="771"/>
        <v/>
      </c>
      <c r="W420" s="25"/>
      <c r="X420" s="7" t="str">
        <f t="shared" si="772"/>
        <v/>
      </c>
      <c r="Y420" s="18" t="str">
        <f t="shared" si="773"/>
        <v/>
      </c>
      <c r="Z420" s="7" t="str">
        <f t="shared" si="774"/>
        <v/>
      </c>
      <c r="AA420" s="18" t="str">
        <f t="shared" si="775"/>
        <v/>
      </c>
      <c r="AB420" s="19" t="str">
        <f t="shared" si="776"/>
        <v/>
      </c>
      <c r="AC420" s="26"/>
      <c r="AD420" s="26"/>
      <c r="AE420" s="25"/>
      <c r="AF420" s="26"/>
      <c r="AG420" s="25"/>
      <c r="AH420" s="25"/>
      <c r="AI420" s="18" t="str">
        <f t="shared" si="839"/>
        <v/>
      </c>
      <c r="AJ420" s="25"/>
      <c r="AK420" s="18" t="str">
        <f t="shared" si="840"/>
        <v/>
      </c>
      <c r="AL420" s="79"/>
      <c r="AM420" s="126" t="str">
        <f t="shared" si="841"/>
        <v/>
      </c>
      <c r="AN420" s="128" t="str">
        <f>IF(AP420&lt;&gt;"",VLOOKUP($P420&amp;" | "&amp;AN$6,'Job Master'!$F$12:$J$102,5,0),"")</f>
        <v/>
      </c>
      <c r="AO420" s="19" t="str">
        <f>IF(AP420&lt;&gt;"",VLOOKUP($P420&amp;" | "&amp;AN$6,'Job Master'!$F$12:$J$102,3,0),"")</f>
        <v/>
      </c>
      <c r="AP420" s="19" t="str">
        <f>IFERROR(IF(AND(AW420&lt;&gt;"",VLOOKUP($P420&amp;" | "&amp;AN$6,'Job Master'!$F$12:$I$102,4,0)&lt;&gt;""),IF(WEEKDAY(AW420-VLOOKUP($P420&amp;" | "&amp;AN$6,'Job Master'!$F$12:$I$102,4,0))&lt;&gt;7,AW420-VLOOKUP($P420&amp;" | "&amp;AN$6,'Job Master'!$F$12:$I$102,4,0),AW420-VLOOKUP($P420&amp;" | "&amp;AN$6,'Job Master'!$F$12:$I$102,4,0)-1),""),"")</f>
        <v/>
      </c>
      <c r="AQ420" s="73"/>
      <c r="AR420" s="123" t="str">
        <f t="shared" si="777"/>
        <v/>
      </c>
      <c r="AS420" s="123" t="str">
        <f t="shared" si="778"/>
        <v/>
      </c>
      <c r="AT420" s="97" t="str">
        <f t="shared" ca="1" si="779"/>
        <v/>
      </c>
      <c r="AU420" s="98" t="str">
        <f>IF(AW420&lt;&gt;"",VLOOKUP($P420&amp;" | "&amp;AU$6,'Job Master'!$F$12:$J$102,5,0),"")</f>
        <v/>
      </c>
      <c r="AV420" s="19" t="str">
        <f>IF(AW420&lt;&gt;"",VLOOKUP($P420&amp;" | "&amp;AU$6,'Job Master'!$F$12:$J$102,3,0),"")</f>
        <v/>
      </c>
      <c r="AW420" s="19" t="str">
        <f>IFERROR(IF(AND(BD420&lt;&gt;"",VLOOKUP($P420&amp;" | "&amp;AU$6,'Job Master'!$F$12:$I$102,4,0)&lt;&gt;""),IF(WEEKDAY(BD420-VLOOKUP($P420&amp;" | "&amp;AU$6,'Job Master'!$F$12:$I$102,4,0))&lt;&gt;7,BD420-VLOOKUP($P420&amp;" | "&amp;AU$6,'Job Master'!$F$12:$I$102,4,0),BD420-VLOOKUP($P420&amp;" | "&amp;AU$6,'Job Master'!$F$12:$I$102,4,0)-1),""),"")</f>
        <v/>
      </c>
      <c r="AX420" s="73"/>
      <c r="AY420" s="123" t="str">
        <f t="shared" si="780"/>
        <v/>
      </c>
      <c r="AZ420" s="123" t="str">
        <f t="shared" si="781"/>
        <v/>
      </c>
      <c r="BA420" s="97" t="str">
        <f t="shared" ca="1" si="782"/>
        <v/>
      </c>
      <c r="BB420" s="98" t="str">
        <f>IF(BD420&lt;&gt;"",VLOOKUP($P420&amp;" | "&amp;BB$6,'Job Master'!$F$12:$J$102,5,0),"")</f>
        <v/>
      </c>
      <c r="BC420" s="19" t="str">
        <f>IF(BD420&lt;&gt;"",VLOOKUP($P420&amp;" | "&amp;BB$6,'Job Master'!$F$12:$J$102,3,0),"")</f>
        <v/>
      </c>
      <c r="BD420" s="19" t="str">
        <f>IFERROR(IF(AND(BK420&lt;&gt;"",VLOOKUP($P420&amp;" | "&amp;BB$6,'Job Master'!$F$12:$I$102,4,0)&lt;&gt;""),IF(WEEKDAY(BK420-VLOOKUP($P420&amp;" | "&amp;BB$6,'Job Master'!$F$12:$I$102,4,0))&lt;&gt;7,BK420-VLOOKUP($P420&amp;" | "&amp;BB$6,'Job Master'!$F$12:$I$102,4,0),BK420-VLOOKUP($P420&amp;" | "&amp;BB$6,'Job Master'!$F$12:$I$102,4,0)-1),""),"")</f>
        <v/>
      </c>
      <c r="BE420" s="73"/>
      <c r="BF420" s="123" t="str">
        <f t="shared" si="783"/>
        <v/>
      </c>
      <c r="BG420" s="123" t="str">
        <f t="shared" si="784"/>
        <v/>
      </c>
      <c r="BH420" s="97" t="str">
        <f t="shared" ca="1" si="785"/>
        <v/>
      </c>
      <c r="BI420" s="98" t="str">
        <f>IF(BK420&lt;&gt;"",VLOOKUP($P420&amp;" | "&amp;BI$6,'Job Master'!$F$12:$J$102,5,0),"")</f>
        <v/>
      </c>
      <c r="BJ420" s="19" t="str">
        <f>IF(BK420&lt;&gt;"",VLOOKUP($P420&amp;" | "&amp;BI$6,'Job Master'!$F$12:$J$102,3,0),"")</f>
        <v/>
      </c>
      <c r="BK420" s="19" t="str">
        <f>IFERROR(IF(AND(BR420&lt;&gt;"",VLOOKUP($P420&amp;" | "&amp;BI$6,'Job Master'!$F$12:$I$102,4,0)&lt;&gt;""),IF(WEEKDAY(BR420-VLOOKUP($P420&amp;" | "&amp;BI$6,'Job Master'!$F$12:$I$102,4,0))&lt;&gt;7,BR420-VLOOKUP($P420&amp;" | "&amp;BI$6,'Job Master'!$F$12:$I$102,4,0),BR420-VLOOKUP($P420&amp;" | "&amp;BI$6,'Job Master'!$F$12:$I$102,4,0)-1),""),"")</f>
        <v/>
      </c>
      <c r="BL420" s="73"/>
      <c r="BM420" s="123" t="str">
        <f t="shared" si="786"/>
        <v/>
      </c>
      <c r="BN420" s="123" t="str">
        <f t="shared" si="787"/>
        <v/>
      </c>
      <c r="BO420" s="97" t="str">
        <f t="shared" ca="1" si="788"/>
        <v/>
      </c>
      <c r="BP420" s="98" t="str">
        <f>IF(BR420&lt;&gt;"",VLOOKUP($P420&amp;" | "&amp;BP$6,'Job Master'!$F$12:$J$102,5,0),"")</f>
        <v/>
      </c>
      <c r="BQ420" s="19" t="str">
        <f>IF(BR420&lt;&gt;"",VLOOKUP($P420&amp;" | "&amp;BP$6,'Job Master'!$F$12:$J$102,3,0),"")</f>
        <v/>
      </c>
      <c r="BR420" s="19" t="str">
        <f>IFERROR(IF(AND(BY420&lt;&gt;"",VLOOKUP($P420&amp;" | "&amp;BP$6,'Job Master'!$F$12:$I$102,4,0)&lt;&gt;""),IF(WEEKDAY(BY420-VLOOKUP($P420&amp;" | "&amp;BP$6,'Job Master'!$F$12:$I$102,4,0))&lt;&gt;7,BY420-VLOOKUP($P420&amp;" | "&amp;BP$6,'Job Master'!$F$12:$I$102,4,0),BY420-VLOOKUP($P420&amp;" | "&amp;BP$6,'Job Master'!$F$12:$I$102,4,0)-1),""),"")</f>
        <v/>
      </c>
      <c r="BS420" s="73"/>
      <c r="BT420" s="123" t="str">
        <f t="shared" si="789"/>
        <v/>
      </c>
      <c r="BU420" s="123" t="str">
        <f t="shared" si="790"/>
        <v/>
      </c>
      <c r="BV420" s="97" t="str">
        <f t="shared" ca="1" si="791"/>
        <v/>
      </c>
      <c r="BW420" s="98" t="str">
        <f>IF(BY420&lt;&gt;"",VLOOKUP($P420&amp;" | "&amp;BW$6,'Job Master'!$F$12:$J$102,5,0),"")</f>
        <v/>
      </c>
      <c r="BX420" s="19" t="str">
        <f>IF(BY420&lt;&gt;"",VLOOKUP($P420&amp;" | "&amp;BW$6,'Job Master'!$F$12:$J$102,3,0),"")</f>
        <v/>
      </c>
      <c r="BY420" s="19" t="str">
        <f>IFERROR(IF(AND(CF420&lt;&gt;"",VLOOKUP($P420&amp;" | "&amp;BW$6,'Job Master'!$F$12:$I$102,4,0)&lt;&gt;""),IF(WEEKDAY(CF420-VLOOKUP($P420&amp;" | "&amp;BW$6,'Job Master'!$F$12:$I$102,4,0))&lt;&gt;7,CF420-VLOOKUP($P420&amp;" | "&amp;BW$6,'Job Master'!$F$12:$I$102,4,0),CF420-VLOOKUP($P420&amp;" | "&amp;BW$6,'Job Master'!$F$12:$I$102,4,0)-1),""),"")</f>
        <v/>
      </c>
      <c r="BZ420" s="73"/>
      <c r="CA420" s="123" t="str">
        <f t="shared" si="792"/>
        <v/>
      </c>
      <c r="CB420" s="123" t="str">
        <f t="shared" si="793"/>
        <v/>
      </c>
      <c r="CC420" s="97" t="str">
        <f t="shared" ca="1" si="794"/>
        <v/>
      </c>
      <c r="CD420" s="98" t="str">
        <f>IF(CF420&lt;&gt;"",VLOOKUP($P420&amp;" | "&amp;CD$6,'Job Master'!$F$12:$J$102,5,0),"")</f>
        <v/>
      </c>
      <c r="CE420" s="19" t="str">
        <f>IF(CF420&lt;&gt;"",VLOOKUP($P420&amp;" | "&amp;CD$6,'Job Master'!$F$12:$J$102,3,0),"")</f>
        <v/>
      </c>
      <c r="CF420" s="19" t="str">
        <f>IFERROR(IF(AND(CM420&lt;&gt;"",VLOOKUP($P420&amp;" | "&amp;CD$6,'Job Master'!$F$12:$I$102,4,0)&lt;&gt;""),IF(WEEKDAY(CM420-VLOOKUP($P420&amp;" | "&amp;CD$6,'Job Master'!$F$12:$I$102,4,0))&lt;&gt;7,CM420-VLOOKUP($P420&amp;" | "&amp;CD$6,'Job Master'!$F$12:$I$102,4,0),CM420-VLOOKUP($P420&amp;" | "&amp;CD$6,'Job Master'!$F$12:$I$102,4,0)-1),""),"")</f>
        <v/>
      </c>
      <c r="CG420" s="73"/>
      <c r="CH420" s="123" t="str">
        <f t="shared" si="795"/>
        <v/>
      </c>
      <c r="CI420" s="123" t="str">
        <f t="shared" si="796"/>
        <v/>
      </c>
      <c r="CJ420" s="97" t="str">
        <f t="shared" ca="1" si="797"/>
        <v/>
      </c>
      <c r="CK420" s="98" t="str">
        <f>IF(CM420&lt;&gt;"",VLOOKUP($P420&amp;" | "&amp;CK$6,'Job Master'!$F$12:$J$102,5,0),"")</f>
        <v/>
      </c>
      <c r="CL420" s="19" t="str">
        <f>IF(CM420&lt;&gt;"",VLOOKUP($P420&amp;" | "&amp;CK$6,'Job Master'!$F$12:$J$102,3,0),"")</f>
        <v/>
      </c>
      <c r="CM420" s="19" t="str">
        <f>IFERROR(IF(AND(CT420&lt;&gt;"",VLOOKUP($P420&amp;" | "&amp;CK$6,'Job Master'!$F$12:$I$102,4,0)&lt;&gt;""),IF(WEEKDAY(CT420-VLOOKUP($P420&amp;" | "&amp;CK$6,'Job Master'!$F$12:$I$102,4,0))&lt;&gt;7,CT420-VLOOKUP($P420&amp;" | "&amp;CK$6,'Job Master'!$F$12:$I$102,4,0),CT420-VLOOKUP($P420&amp;" | "&amp;CK$6,'Job Master'!$F$12:$I$102,4,0)-1),""),"")</f>
        <v/>
      </c>
      <c r="CN420" s="73"/>
      <c r="CO420" s="123" t="str">
        <f t="shared" si="798"/>
        <v/>
      </c>
      <c r="CP420" s="123" t="str">
        <f t="shared" si="799"/>
        <v/>
      </c>
      <c r="CQ420" s="97" t="str">
        <f t="shared" ca="1" si="800"/>
        <v/>
      </c>
      <c r="CR420" s="98" t="str">
        <f>IF(CT420&lt;&gt;"",VLOOKUP($P420&amp;" | "&amp;CR$6,'Job Master'!$F$12:$J$102,5,0),"")</f>
        <v/>
      </c>
      <c r="CS420" s="19" t="str">
        <f>IF(CT420&lt;&gt;"",VLOOKUP($P420&amp;" | "&amp;CR$6,'Job Master'!$F$12:$J$102,3,0),"")</f>
        <v/>
      </c>
      <c r="CT420" s="19" t="str">
        <f>IFERROR(IF(AND(DA420&lt;&gt;"",VLOOKUP($P420&amp;" | "&amp;CR$6,'Job Master'!$F$12:$I$102,4,0)&lt;&gt;""),IF(WEEKDAY(DA420-VLOOKUP($P420&amp;" | "&amp;CR$6,'Job Master'!$F$12:$I$102,4,0))&lt;&gt;7,DA420-VLOOKUP($P420&amp;" | "&amp;CR$6,'Job Master'!$F$12:$I$102,4,0),DA420-VLOOKUP($P420&amp;" | "&amp;CR$6,'Job Master'!$F$12:$I$102,4,0)-1),""),"")</f>
        <v/>
      </c>
      <c r="CU420" s="73"/>
      <c r="CV420" s="123" t="str">
        <f t="shared" si="801"/>
        <v/>
      </c>
      <c r="CW420" s="123" t="str">
        <f t="shared" si="802"/>
        <v/>
      </c>
      <c r="CX420" s="97" t="str">
        <f t="shared" ca="1" si="803"/>
        <v/>
      </c>
      <c r="CY420" s="98" t="str">
        <f>IF(DA420&lt;&gt;"",VLOOKUP($P420&amp;" | "&amp;CY$6,'Job Master'!$F$12:$J$102,5,0),"")</f>
        <v/>
      </c>
      <c r="CZ420" s="19" t="str">
        <f>IF(DA420&lt;&gt;"",VLOOKUP($P420&amp;" | "&amp;CY$6,'Job Master'!$F$12:$J$102,3,0),"")</f>
        <v/>
      </c>
      <c r="DA420" s="19" t="str">
        <f>IFERROR(IF(AND(DH420&lt;&gt;"",VLOOKUP($P420&amp;" | "&amp;CY$6,'Job Master'!$F$12:$I$102,4,0)&lt;&gt;""),IF(WEEKDAY(DH420-VLOOKUP($P420&amp;" | "&amp;CY$6,'Job Master'!$F$12:$I$102,4,0))&lt;&gt;7,DH420-VLOOKUP($P420&amp;" | "&amp;CY$6,'Job Master'!$F$12:$I$102,4,0),DH420-VLOOKUP($P420&amp;" | "&amp;CY$6,'Job Master'!$F$12:$I$102,4,0)-1),""),"")</f>
        <v/>
      </c>
      <c r="DB420" s="73"/>
      <c r="DC420" s="123" t="str">
        <f t="shared" si="804"/>
        <v/>
      </c>
      <c r="DD420" s="123" t="str">
        <f t="shared" si="805"/>
        <v/>
      </c>
      <c r="DE420" s="97" t="str">
        <f t="shared" ca="1" si="806"/>
        <v/>
      </c>
      <c r="DF420" s="98" t="str">
        <f>IF(DH420&lt;&gt;"",VLOOKUP($P420&amp;" | "&amp;DF$6,'Job Master'!$F$12:$J$102,5,0),"")</f>
        <v/>
      </c>
      <c r="DG420" s="19" t="str">
        <f>IF(DH420&lt;&gt;"",VLOOKUP($P420&amp;" | "&amp;DF$6,'Job Master'!$F$12:$J$102,3,0),"")</f>
        <v/>
      </c>
      <c r="DH420" s="19" t="str">
        <f>IFERROR(IF(AND(DO420&lt;&gt;"",VLOOKUP($P420&amp;" | "&amp;DF$6,'Job Master'!$F$12:$I$102,4,0)&lt;&gt;""),IF(WEEKDAY(DO420-VLOOKUP($P420&amp;" | "&amp;DF$6,'Job Master'!$F$12:$I$102,4,0))&lt;&gt;7,DO420-VLOOKUP($P420&amp;" | "&amp;DF$6,'Job Master'!$F$12:$I$102,4,0),DO420-VLOOKUP($P420&amp;" | "&amp;DF$6,'Job Master'!$F$12:$I$102,4,0)-1),""),"")</f>
        <v/>
      </c>
      <c r="DI420" s="73"/>
      <c r="DJ420" s="123" t="str">
        <f t="shared" si="807"/>
        <v/>
      </c>
      <c r="DK420" s="123" t="str">
        <f t="shared" si="808"/>
        <v/>
      </c>
      <c r="DL420" s="97" t="str">
        <f t="shared" ca="1" si="809"/>
        <v/>
      </c>
      <c r="DM420" s="98" t="str">
        <f>IF(DO420&lt;&gt;"",VLOOKUP($P420&amp;" | "&amp;DM$6,'Job Master'!$F$12:$J$102,5,0),"")</f>
        <v/>
      </c>
      <c r="DN420" s="19" t="str">
        <f>IF(DO420&lt;&gt;"",VLOOKUP($P420&amp;" | "&amp;DM$6,'Job Master'!$F$12:$J$102,3,0),"")</f>
        <v/>
      </c>
      <c r="DO420" s="19" t="str">
        <f>IFERROR(IF(AND(DT420&lt;&gt;"",VLOOKUP($P420&amp;" | "&amp;DM$6,'Job Master'!$F$12:$I$102,4,0)&lt;&gt;""),IF(WEEKDAY(DT420-VLOOKUP($P420&amp;" | "&amp;DM$6,'Job Master'!$F$12:$I$102,4,0))&lt;&gt;7,DT420-VLOOKUP($P420&amp;" | "&amp;DM$6,'Job Master'!$F$12:$I$102,4,0),DT420-VLOOKUP($P420&amp;" | "&amp;DM$6,'Job Master'!$F$12:$I$102,4,0)-1),""),"")</f>
        <v/>
      </c>
      <c r="DP420" s="73"/>
      <c r="DQ420" s="123" t="str">
        <f t="shared" si="810"/>
        <v/>
      </c>
      <c r="DR420" s="123" t="str">
        <f t="shared" si="811"/>
        <v/>
      </c>
      <c r="DS420" s="97" t="str">
        <f t="shared" ca="1" si="812"/>
        <v/>
      </c>
      <c r="DT420" s="70" t="str">
        <f t="shared" si="813"/>
        <v/>
      </c>
      <c r="DU420" s="90"/>
      <c r="DV420" s="123" t="str">
        <f t="shared" si="814"/>
        <v/>
      </c>
      <c r="DW420" s="123" t="str">
        <f t="shared" si="815"/>
        <v/>
      </c>
      <c r="DX420" s="132" t="str">
        <f t="shared" ref="DX420" ca="1" si="853">IF(DT420&lt;&gt;"",IF(WEEKNUM(DT420)=WEEKNUM(TODAY()),"This Week",IF(WEEKNUM(DT420)=WEEKNUM(TODAY())+1,"Next Week",IF(WEEKNUM(DT420)=WEEKNUM(TODAY())-1,"Previous Week",""))),"")</f>
        <v/>
      </c>
      <c r="DY420" s="134" t="str">
        <f t="shared" si="817"/>
        <v/>
      </c>
      <c r="DZ420" s="95"/>
      <c r="EB420" s="8" t="str">
        <f t="shared" si="823"/>
        <v/>
      </c>
      <c r="EC420" s="8" t="str">
        <f>IF(O420&lt;&gt;"",VLOOKUP(O420,'Job Master'!$N$12:$O$18,2,0),"")</f>
        <v/>
      </c>
      <c r="ED420" s="8">
        <f t="shared" si="824"/>
        <v>19.5</v>
      </c>
      <c r="EE420" s="8">
        <f t="shared" si="825"/>
        <v>6</v>
      </c>
      <c r="EF420" s="8">
        <f t="shared" si="826"/>
        <v>-2440.5</v>
      </c>
      <c r="EG420" s="8" t="str">
        <f t="shared" si="827"/>
        <v/>
      </c>
      <c r="EH420" s="8" t="str">
        <f t="shared" si="828"/>
        <v/>
      </c>
    </row>
    <row r="421" spans="2:138" x14ac:dyDescent="0.3">
      <c r="B421" s="112"/>
      <c r="C421" s="27"/>
      <c r="D421" s="7" t="str">
        <f t="shared" si="765"/>
        <v/>
      </c>
      <c r="E421" s="25"/>
      <c r="F421" s="7" t="str">
        <f t="shared" si="765"/>
        <v/>
      </c>
      <c r="G421" s="25"/>
      <c r="H421" s="7" t="str">
        <f t="shared" si="765"/>
        <v/>
      </c>
      <c r="I421" s="25"/>
      <c r="J421" s="7" t="str">
        <f t="shared" si="765"/>
        <v/>
      </c>
      <c r="K421" s="25"/>
      <c r="L421" s="7" t="str">
        <f t="shared" si="766"/>
        <v/>
      </c>
      <c r="M421" s="25"/>
      <c r="N421" s="7" t="str">
        <f t="shared" si="767"/>
        <v/>
      </c>
      <c r="O421" s="81"/>
      <c r="P421" s="81" t="str">
        <f t="shared" si="768"/>
        <v/>
      </c>
      <c r="Q421" s="81"/>
      <c r="R421" s="7" t="str">
        <f t="shared" si="769"/>
        <v/>
      </c>
      <c r="S421" s="25"/>
      <c r="T421" s="7" t="str">
        <f t="shared" si="770"/>
        <v/>
      </c>
      <c r="U421" s="25"/>
      <c r="V421" s="7" t="str">
        <f t="shared" si="771"/>
        <v/>
      </c>
      <c r="W421" s="25"/>
      <c r="X421" s="7" t="str">
        <f t="shared" si="772"/>
        <v/>
      </c>
      <c r="Y421" s="18" t="str">
        <f t="shared" si="773"/>
        <v/>
      </c>
      <c r="Z421" s="7" t="str">
        <f t="shared" si="774"/>
        <v/>
      </c>
      <c r="AA421" s="18" t="str">
        <f t="shared" si="775"/>
        <v/>
      </c>
      <c r="AB421" s="19" t="str">
        <f t="shared" si="776"/>
        <v/>
      </c>
      <c r="AC421" s="26"/>
      <c r="AD421" s="26"/>
      <c r="AE421" s="25"/>
      <c r="AF421" s="26"/>
      <c r="AG421" s="25"/>
      <c r="AH421" s="25"/>
      <c r="AI421" s="18" t="str">
        <f t="shared" si="839"/>
        <v/>
      </c>
      <c r="AJ421" s="25"/>
      <c r="AK421" s="18" t="str">
        <f t="shared" si="840"/>
        <v/>
      </c>
      <c r="AL421" s="79"/>
      <c r="AM421" s="126" t="str">
        <f t="shared" si="841"/>
        <v/>
      </c>
      <c r="AN421" s="128" t="str">
        <f>IF(AP421&lt;&gt;"",VLOOKUP($P421&amp;" | "&amp;AN$6,'Job Master'!$F$12:$J$102,5,0),"")</f>
        <v/>
      </c>
      <c r="AO421" s="19" t="str">
        <f>IF(AP421&lt;&gt;"",VLOOKUP($P421&amp;" | "&amp;AN$6,'Job Master'!$F$12:$J$102,3,0),"")</f>
        <v/>
      </c>
      <c r="AP421" s="19" t="str">
        <f>IFERROR(IF(AND(AW421&lt;&gt;"",VLOOKUP($P421&amp;" | "&amp;AN$6,'Job Master'!$F$12:$I$102,4,0)&lt;&gt;""),IF(WEEKDAY(AW421-VLOOKUP($P421&amp;" | "&amp;AN$6,'Job Master'!$F$12:$I$102,4,0))&lt;&gt;7,AW421-VLOOKUP($P421&amp;" | "&amp;AN$6,'Job Master'!$F$12:$I$102,4,0),AW421-VLOOKUP($P421&amp;" | "&amp;AN$6,'Job Master'!$F$12:$I$102,4,0)-1),""),"")</f>
        <v/>
      </c>
      <c r="AQ421" s="73"/>
      <c r="AR421" s="123" t="str">
        <f t="shared" si="777"/>
        <v/>
      </c>
      <c r="AS421" s="123" t="str">
        <f t="shared" si="778"/>
        <v/>
      </c>
      <c r="AT421" s="97" t="str">
        <f t="shared" ca="1" si="779"/>
        <v/>
      </c>
      <c r="AU421" s="98" t="str">
        <f>IF(AW421&lt;&gt;"",VLOOKUP($P421&amp;" | "&amp;AU$6,'Job Master'!$F$12:$J$102,5,0),"")</f>
        <v/>
      </c>
      <c r="AV421" s="19" t="str">
        <f>IF(AW421&lt;&gt;"",VLOOKUP($P421&amp;" | "&amp;AU$6,'Job Master'!$F$12:$J$102,3,0),"")</f>
        <v/>
      </c>
      <c r="AW421" s="19" t="str">
        <f>IFERROR(IF(AND(BD421&lt;&gt;"",VLOOKUP($P421&amp;" | "&amp;AU$6,'Job Master'!$F$12:$I$102,4,0)&lt;&gt;""),IF(WEEKDAY(BD421-VLOOKUP($P421&amp;" | "&amp;AU$6,'Job Master'!$F$12:$I$102,4,0))&lt;&gt;7,BD421-VLOOKUP($P421&amp;" | "&amp;AU$6,'Job Master'!$F$12:$I$102,4,0),BD421-VLOOKUP($P421&amp;" | "&amp;AU$6,'Job Master'!$F$12:$I$102,4,0)-1),""),"")</f>
        <v/>
      </c>
      <c r="AX421" s="73"/>
      <c r="AY421" s="123" t="str">
        <f t="shared" si="780"/>
        <v/>
      </c>
      <c r="AZ421" s="123" t="str">
        <f t="shared" si="781"/>
        <v/>
      </c>
      <c r="BA421" s="97" t="str">
        <f t="shared" ca="1" si="782"/>
        <v/>
      </c>
      <c r="BB421" s="98" t="str">
        <f>IF(BD421&lt;&gt;"",VLOOKUP($P421&amp;" | "&amp;BB$6,'Job Master'!$F$12:$J$102,5,0),"")</f>
        <v/>
      </c>
      <c r="BC421" s="19" t="str">
        <f>IF(BD421&lt;&gt;"",VLOOKUP($P421&amp;" | "&amp;BB$6,'Job Master'!$F$12:$J$102,3,0),"")</f>
        <v/>
      </c>
      <c r="BD421" s="19" t="str">
        <f>IFERROR(IF(AND(BK421&lt;&gt;"",VLOOKUP($P421&amp;" | "&amp;BB$6,'Job Master'!$F$12:$I$102,4,0)&lt;&gt;""),IF(WEEKDAY(BK421-VLOOKUP($P421&amp;" | "&amp;BB$6,'Job Master'!$F$12:$I$102,4,0))&lt;&gt;7,BK421-VLOOKUP($P421&amp;" | "&amp;BB$6,'Job Master'!$F$12:$I$102,4,0),BK421-VLOOKUP($P421&amp;" | "&amp;BB$6,'Job Master'!$F$12:$I$102,4,0)-1),""),"")</f>
        <v/>
      </c>
      <c r="BE421" s="73"/>
      <c r="BF421" s="123" t="str">
        <f t="shared" si="783"/>
        <v/>
      </c>
      <c r="BG421" s="123" t="str">
        <f t="shared" si="784"/>
        <v/>
      </c>
      <c r="BH421" s="97" t="str">
        <f t="shared" ca="1" si="785"/>
        <v/>
      </c>
      <c r="BI421" s="98" t="str">
        <f>IF(BK421&lt;&gt;"",VLOOKUP($P421&amp;" | "&amp;BI$6,'Job Master'!$F$12:$J$102,5,0),"")</f>
        <v/>
      </c>
      <c r="BJ421" s="19" t="str">
        <f>IF(BK421&lt;&gt;"",VLOOKUP($P421&amp;" | "&amp;BI$6,'Job Master'!$F$12:$J$102,3,0),"")</f>
        <v/>
      </c>
      <c r="BK421" s="19" t="str">
        <f>IFERROR(IF(AND(BR421&lt;&gt;"",VLOOKUP($P421&amp;" | "&amp;BI$6,'Job Master'!$F$12:$I$102,4,0)&lt;&gt;""),IF(WEEKDAY(BR421-VLOOKUP($P421&amp;" | "&amp;BI$6,'Job Master'!$F$12:$I$102,4,0))&lt;&gt;7,BR421-VLOOKUP($P421&amp;" | "&amp;BI$6,'Job Master'!$F$12:$I$102,4,0),BR421-VLOOKUP($P421&amp;" | "&amp;BI$6,'Job Master'!$F$12:$I$102,4,0)-1),""),"")</f>
        <v/>
      </c>
      <c r="BL421" s="73"/>
      <c r="BM421" s="123" t="str">
        <f t="shared" si="786"/>
        <v/>
      </c>
      <c r="BN421" s="123" t="str">
        <f t="shared" si="787"/>
        <v/>
      </c>
      <c r="BO421" s="97" t="str">
        <f t="shared" ca="1" si="788"/>
        <v/>
      </c>
      <c r="BP421" s="98" t="str">
        <f>IF(BR421&lt;&gt;"",VLOOKUP($P421&amp;" | "&amp;BP$6,'Job Master'!$F$12:$J$102,5,0),"")</f>
        <v/>
      </c>
      <c r="BQ421" s="19" t="str">
        <f>IF(BR421&lt;&gt;"",VLOOKUP($P421&amp;" | "&amp;BP$6,'Job Master'!$F$12:$J$102,3,0),"")</f>
        <v/>
      </c>
      <c r="BR421" s="19" t="str">
        <f>IFERROR(IF(AND(BY421&lt;&gt;"",VLOOKUP($P421&amp;" | "&amp;BP$6,'Job Master'!$F$12:$I$102,4,0)&lt;&gt;""),IF(WEEKDAY(BY421-VLOOKUP($P421&amp;" | "&amp;BP$6,'Job Master'!$F$12:$I$102,4,0))&lt;&gt;7,BY421-VLOOKUP($P421&amp;" | "&amp;BP$6,'Job Master'!$F$12:$I$102,4,0),BY421-VLOOKUP($P421&amp;" | "&amp;BP$6,'Job Master'!$F$12:$I$102,4,0)-1),""),"")</f>
        <v/>
      </c>
      <c r="BS421" s="73"/>
      <c r="BT421" s="123" t="str">
        <f t="shared" si="789"/>
        <v/>
      </c>
      <c r="BU421" s="123" t="str">
        <f t="shared" si="790"/>
        <v/>
      </c>
      <c r="BV421" s="97" t="str">
        <f t="shared" ca="1" si="791"/>
        <v/>
      </c>
      <c r="BW421" s="98" t="str">
        <f>IF(BY421&lt;&gt;"",VLOOKUP($P421&amp;" | "&amp;BW$6,'Job Master'!$F$12:$J$102,5,0),"")</f>
        <v/>
      </c>
      <c r="BX421" s="19" t="str">
        <f>IF(BY421&lt;&gt;"",VLOOKUP($P421&amp;" | "&amp;BW$6,'Job Master'!$F$12:$J$102,3,0),"")</f>
        <v/>
      </c>
      <c r="BY421" s="19" t="str">
        <f>IFERROR(IF(AND(CF421&lt;&gt;"",VLOOKUP($P421&amp;" | "&amp;BW$6,'Job Master'!$F$12:$I$102,4,0)&lt;&gt;""),IF(WEEKDAY(CF421-VLOOKUP($P421&amp;" | "&amp;BW$6,'Job Master'!$F$12:$I$102,4,0))&lt;&gt;7,CF421-VLOOKUP($P421&amp;" | "&amp;BW$6,'Job Master'!$F$12:$I$102,4,0),CF421-VLOOKUP($P421&amp;" | "&amp;BW$6,'Job Master'!$F$12:$I$102,4,0)-1),""),"")</f>
        <v/>
      </c>
      <c r="BZ421" s="73"/>
      <c r="CA421" s="123" t="str">
        <f t="shared" si="792"/>
        <v/>
      </c>
      <c r="CB421" s="123" t="str">
        <f t="shared" si="793"/>
        <v/>
      </c>
      <c r="CC421" s="97" t="str">
        <f t="shared" ca="1" si="794"/>
        <v/>
      </c>
      <c r="CD421" s="98" t="str">
        <f>IF(CF421&lt;&gt;"",VLOOKUP($P421&amp;" | "&amp;CD$6,'Job Master'!$F$12:$J$102,5,0),"")</f>
        <v/>
      </c>
      <c r="CE421" s="19" t="str">
        <f>IF(CF421&lt;&gt;"",VLOOKUP($P421&amp;" | "&amp;CD$6,'Job Master'!$F$12:$J$102,3,0),"")</f>
        <v/>
      </c>
      <c r="CF421" s="19" t="str">
        <f>IFERROR(IF(AND(CM421&lt;&gt;"",VLOOKUP($P421&amp;" | "&amp;CD$6,'Job Master'!$F$12:$I$102,4,0)&lt;&gt;""),IF(WEEKDAY(CM421-VLOOKUP($P421&amp;" | "&amp;CD$6,'Job Master'!$F$12:$I$102,4,0))&lt;&gt;7,CM421-VLOOKUP($P421&amp;" | "&amp;CD$6,'Job Master'!$F$12:$I$102,4,0),CM421-VLOOKUP($P421&amp;" | "&amp;CD$6,'Job Master'!$F$12:$I$102,4,0)-1),""),"")</f>
        <v/>
      </c>
      <c r="CG421" s="73"/>
      <c r="CH421" s="123" t="str">
        <f t="shared" si="795"/>
        <v/>
      </c>
      <c r="CI421" s="123" t="str">
        <f t="shared" si="796"/>
        <v/>
      </c>
      <c r="CJ421" s="97" t="str">
        <f t="shared" ca="1" si="797"/>
        <v/>
      </c>
      <c r="CK421" s="98" t="str">
        <f>IF(CM421&lt;&gt;"",VLOOKUP($P421&amp;" | "&amp;CK$6,'Job Master'!$F$12:$J$102,5,0),"")</f>
        <v/>
      </c>
      <c r="CL421" s="19" t="str">
        <f>IF(CM421&lt;&gt;"",VLOOKUP($P421&amp;" | "&amp;CK$6,'Job Master'!$F$12:$J$102,3,0),"")</f>
        <v/>
      </c>
      <c r="CM421" s="19" t="str">
        <f>IFERROR(IF(AND(CT421&lt;&gt;"",VLOOKUP($P421&amp;" | "&amp;CK$6,'Job Master'!$F$12:$I$102,4,0)&lt;&gt;""),IF(WEEKDAY(CT421-VLOOKUP($P421&amp;" | "&amp;CK$6,'Job Master'!$F$12:$I$102,4,0))&lt;&gt;7,CT421-VLOOKUP($P421&amp;" | "&amp;CK$6,'Job Master'!$F$12:$I$102,4,0),CT421-VLOOKUP($P421&amp;" | "&amp;CK$6,'Job Master'!$F$12:$I$102,4,0)-1),""),"")</f>
        <v/>
      </c>
      <c r="CN421" s="73"/>
      <c r="CO421" s="123" t="str">
        <f t="shared" si="798"/>
        <v/>
      </c>
      <c r="CP421" s="123" t="str">
        <f t="shared" si="799"/>
        <v/>
      </c>
      <c r="CQ421" s="97" t="str">
        <f t="shared" ca="1" si="800"/>
        <v/>
      </c>
      <c r="CR421" s="98" t="str">
        <f>IF(CT421&lt;&gt;"",VLOOKUP($P421&amp;" | "&amp;CR$6,'Job Master'!$F$12:$J$102,5,0),"")</f>
        <v/>
      </c>
      <c r="CS421" s="19" t="str">
        <f>IF(CT421&lt;&gt;"",VLOOKUP($P421&amp;" | "&amp;CR$6,'Job Master'!$F$12:$J$102,3,0),"")</f>
        <v/>
      </c>
      <c r="CT421" s="19" t="str">
        <f>IFERROR(IF(AND(DA421&lt;&gt;"",VLOOKUP($P421&amp;" | "&amp;CR$6,'Job Master'!$F$12:$I$102,4,0)&lt;&gt;""),IF(WEEKDAY(DA421-VLOOKUP($P421&amp;" | "&amp;CR$6,'Job Master'!$F$12:$I$102,4,0))&lt;&gt;7,DA421-VLOOKUP($P421&amp;" | "&amp;CR$6,'Job Master'!$F$12:$I$102,4,0),DA421-VLOOKUP($P421&amp;" | "&amp;CR$6,'Job Master'!$F$12:$I$102,4,0)-1),""),"")</f>
        <v/>
      </c>
      <c r="CU421" s="73"/>
      <c r="CV421" s="123" t="str">
        <f t="shared" si="801"/>
        <v/>
      </c>
      <c r="CW421" s="123" t="str">
        <f t="shared" si="802"/>
        <v/>
      </c>
      <c r="CX421" s="97" t="str">
        <f t="shared" ca="1" si="803"/>
        <v/>
      </c>
      <c r="CY421" s="98" t="str">
        <f>IF(DA421&lt;&gt;"",VLOOKUP($P421&amp;" | "&amp;CY$6,'Job Master'!$F$12:$J$102,5,0),"")</f>
        <v/>
      </c>
      <c r="CZ421" s="19" t="str">
        <f>IF(DA421&lt;&gt;"",VLOOKUP($P421&amp;" | "&amp;CY$6,'Job Master'!$F$12:$J$102,3,0),"")</f>
        <v/>
      </c>
      <c r="DA421" s="19" t="str">
        <f>IFERROR(IF(AND(DH421&lt;&gt;"",VLOOKUP($P421&amp;" | "&amp;CY$6,'Job Master'!$F$12:$I$102,4,0)&lt;&gt;""),IF(WEEKDAY(DH421-VLOOKUP($P421&amp;" | "&amp;CY$6,'Job Master'!$F$12:$I$102,4,0))&lt;&gt;7,DH421-VLOOKUP($P421&amp;" | "&amp;CY$6,'Job Master'!$F$12:$I$102,4,0),DH421-VLOOKUP($P421&amp;" | "&amp;CY$6,'Job Master'!$F$12:$I$102,4,0)-1),""),"")</f>
        <v/>
      </c>
      <c r="DB421" s="73"/>
      <c r="DC421" s="123" t="str">
        <f t="shared" si="804"/>
        <v/>
      </c>
      <c r="DD421" s="123" t="str">
        <f t="shared" si="805"/>
        <v/>
      </c>
      <c r="DE421" s="97" t="str">
        <f t="shared" ca="1" si="806"/>
        <v/>
      </c>
      <c r="DF421" s="98" t="str">
        <f>IF(DH421&lt;&gt;"",VLOOKUP($P421&amp;" | "&amp;DF$6,'Job Master'!$F$12:$J$102,5,0),"")</f>
        <v/>
      </c>
      <c r="DG421" s="19" t="str">
        <f>IF(DH421&lt;&gt;"",VLOOKUP($P421&amp;" | "&amp;DF$6,'Job Master'!$F$12:$J$102,3,0),"")</f>
        <v/>
      </c>
      <c r="DH421" s="19" t="str">
        <f>IFERROR(IF(AND(DO421&lt;&gt;"",VLOOKUP($P421&amp;" | "&amp;DF$6,'Job Master'!$F$12:$I$102,4,0)&lt;&gt;""),IF(WEEKDAY(DO421-VLOOKUP($P421&amp;" | "&amp;DF$6,'Job Master'!$F$12:$I$102,4,0))&lt;&gt;7,DO421-VLOOKUP($P421&amp;" | "&amp;DF$6,'Job Master'!$F$12:$I$102,4,0),DO421-VLOOKUP($P421&amp;" | "&amp;DF$6,'Job Master'!$F$12:$I$102,4,0)-1),""),"")</f>
        <v/>
      </c>
      <c r="DI421" s="73"/>
      <c r="DJ421" s="123" t="str">
        <f t="shared" si="807"/>
        <v/>
      </c>
      <c r="DK421" s="123" t="str">
        <f t="shared" si="808"/>
        <v/>
      </c>
      <c r="DL421" s="97" t="str">
        <f t="shared" ca="1" si="809"/>
        <v/>
      </c>
      <c r="DM421" s="98" t="str">
        <f>IF(DO421&lt;&gt;"",VLOOKUP($P421&amp;" | "&amp;DM$6,'Job Master'!$F$12:$J$102,5,0),"")</f>
        <v/>
      </c>
      <c r="DN421" s="19" t="str">
        <f>IF(DO421&lt;&gt;"",VLOOKUP($P421&amp;" | "&amp;DM$6,'Job Master'!$F$12:$J$102,3,0),"")</f>
        <v/>
      </c>
      <c r="DO421" s="19" t="str">
        <f>IFERROR(IF(AND(DT421&lt;&gt;"",VLOOKUP($P421&amp;" | "&amp;DM$6,'Job Master'!$F$12:$I$102,4,0)&lt;&gt;""),IF(WEEKDAY(DT421-VLOOKUP($P421&amp;" | "&amp;DM$6,'Job Master'!$F$12:$I$102,4,0))&lt;&gt;7,DT421-VLOOKUP($P421&amp;" | "&amp;DM$6,'Job Master'!$F$12:$I$102,4,0),DT421-VLOOKUP($P421&amp;" | "&amp;DM$6,'Job Master'!$F$12:$I$102,4,0)-1),""),"")</f>
        <v/>
      </c>
      <c r="DP421" s="73"/>
      <c r="DQ421" s="123" t="str">
        <f t="shared" si="810"/>
        <v/>
      </c>
      <c r="DR421" s="123" t="str">
        <f t="shared" si="811"/>
        <v/>
      </c>
      <c r="DS421" s="97" t="str">
        <f t="shared" ca="1" si="812"/>
        <v/>
      </c>
      <c r="DT421" s="70" t="str">
        <f t="shared" si="813"/>
        <v/>
      </c>
      <c r="DU421" s="90"/>
      <c r="DV421" s="123" t="str">
        <f t="shared" si="814"/>
        <v/>
      </c>
      <c r="DW421" s="123" t="str">
        <f t="shared" si="815"/>
        <v/>
      </c>
      <c r="DX421" s="132" t="str">
        <f t="shared" ref="DX421" ca="1" si="854">IF(DT421&lt;&gt;"",IF(WEEKNUM(DT421)=WEEKNUM(TODAY()),"This Week",IF(WEEKNUM(DT421)=WEEKNUM(TODAY())+1,"Next Week",IF(WEEKNUM(DT421)=WEEKNUM(TODAY())-1,"Previous Week",""))),"")</f>
        <v/>
      </c>
      <c r="DY421" s="134" t="str">
        <f t="shared" si="817"/>
        <v/>
      </c>
      <c r="DZ421" s="95"/>
      <c r="EB421" s="8" t="str">
        <f t="shared" si="823"/>
        <v/>
      </c>
      <c r="EC421" s="8" t="str">
        <f>IF(O421&lt;&gt;"",VLOOKUP(O421,'Job Master'!$N$12:$O$18,2,0),"")</f>
        <v/>
      </c>
      <c r="ED421" s="8">
        <f t="shared" si="824"/>
        <v>19.5</v>
      </c>
      <c r="EE421" s="8">
        <f t="shared" si="825"/>
        <v>6</v>
      </c>
      <c r="EF421" s="8">
        <f t="shared" si="826"/>
        <v>-2446.5</v>
      </c>
      <c r="EG421" s="8" t="str">
        <f t="shared" si="827"/>
        <v/>
      </c>
      <c r="EH421" s="8" t="str">
        <f t="shared" si="828"/>
        <v/>
      </c>
    </row>
    <row r="422" spans="2:138" x14ac:dyDescent="0.3">
      <c r="B422" s="112"/>
      <c r="C422" s="27"/>
      <c r="D422" s="7" t="str">
        <f t="shared" si="765"/>
        <v/>
      </c>
      <c r="E422" s="25"/>
      <c r="F422" s="7" t="str">
        <f t="shared" si="765"/>
        <v/>
      </c>
      <c r="G422" s="25"/>
      <c r="H422" s="7" t="str">
        <f t="shared" si="765"/>
        <v/>
      </c>
      <c r="I422" s="25"/>
      <c r="J422" s="7" t="str">
        <f t="shared" si="765"/>
        <v/>
      </c>
      <c r="K422" s="25"/>
      <c r="L422" s="7" t="str">
        <f t="shared" si="766"/>
        <v/>
      </c>
      <c r="M422" s="25"/>
      <c r="N422" s="7" t="str">
        <f t="shared" si="767"/>
        <v/>
      </c>
      <c r="O422" s="81"/>
      <c r="P422" s="81" t="str">
        <f t="shared" si="768"/>
        <v/>
      </c>
      <c r="Q422" s="81"/>
      <c r="R422" s="7" t="str">
        <f t="shared" si="769"/>
        <v/>
      </c>
      <c r="S422" s="25"/>
      <c r="T422" s="7" t="str">
        <f t="shared" si="770"/>
        <v/>
      </c>
      <c r="U422" s="25"/>
      <c r="V422" s="7" t="str">
        <f t="shared" si="771"/>
        <v/>
      </c>
      <c r="W422" s="25"/>
      <c r="X422" s="7" t="str">
        <f t="shared" si="772"/>
        <v/>
      </c>
      <c r="Y422" s="18" t="str">
        <f t="shared" si="773"/>
        <v/>
      </c>
      <c r="Z422" s="7" t="str">
        <f t="shared" si="774"/>
        <v/>
      </c>
      <c r="AA422" s="18" t="str">
        <f t="shared" si="775"/>
        <v/>
      </c>
      <c r="AB422" s="19" t="str">
        <f t="shared" si="776"/>
        <v/>
      </c>
      <c r="AC422" s="26"/>
      <c r="AD422" s="26"/>
      <c r="AE422" s="25"/>
      <c r="AF422" s="26"/>
      <c r="AG422" s="25"/>
      <c r="AH422" s="25"/>
      <c r="AI422" s="18" t="str">
        <f t="shared" si="839"/>
        <v/>
      </c>
      <c r="AJ422" s="25"/>
      <c r="AK422" s="18" t="str">
        <f t="shared" si="840"/>
        <v/>
      </c>
      <c r="AL422" s="79"/>
      <c r="AM422" s="126" t="str">
        <f t="shared" si="841"/>
        <v/>
      </c>
      <c r="AN422" s="128" t="str">
        <f>IF(AP422&lt;&gt;"",VLOOKUP($P422&amp;" | "&amp;AN$6,'Job Master'!$F$12:$J$102,5,0),"")</f>
        <v/>
      </c>
      <c r="AO422" s="19" t="str">
        <f>IF(AP422&lt;&gt;"",VLOOKUP($P422&amp;" | "&amp;AN$6,'Job Master'!$F$12:$J$102,3,0),"")</f>
        <v/>
      </c>
      <c r="AP422" s="19" t="str">
        <f>IFERROR(IF(AND(AW422&lt;&gt;"",VLOOKUP($P422&amp;" | "&amp;AN$6,'Job Master'!$F$12:$I$102,4,0)&lt;&gt;""),IF(WEEKDAY(AW422-VLOOKUP($P422&amp;" | "&amp;AN$6,'Job Master'!$F$12:$I$102,4,0))&lt;&gt;7,AW422-VLOOKUP($P422&amp;" | "&amp;AN$6,'Job Master'!$F$12:$I$102,4,0),AW422-VLOOKUP($P422&amp;" | "&amp;AN$6,'Job Master'!$F$12:$I$102,4,0)-1),""),"")</f>
        <v/>
      </c>
      <c r="AQ422" s="73"/>
      <c r="AR422" s="123" t="str">
        <f t="shared" si="777"/>
        <v/>
      </c>
      <c r="AS422" s="123" t="str">
        <f t="shared" si="778"/>
        <v/>
      </c>
      <c r="AT422" s="97" t="str">
        <f t="shared" ca="1" si="779"/>
        <v/>
      </c>
      <c r="AU422" s="98" t="str">
        <f>IF(AW422&lt;&gt;"",VLOOKUP($P422&amp;" | "&amp;AU$6,'Job Master'!$F$12:$J$102,5,0),"")</f>
        <v/>
      </c>
      <c r="AV422" s="19" t="str">
        <f>IF(AW422&lt;&gt;"",VLOOKUP($P422&amp;" | "&amp;AU$6,'Job Master'!$F$12:$J$102,3,0),"")</f>
        <v/>
      </c>
      <c r="AW422" s="19" t="str">
        <f>IFERROR(IF(AND(BD422&lt;&gt;"",VLOOKUP($P422&amp;" | "&amp;AU$6,'Job Master'!$F$12:$I$102,4,0)&lt;&gt;""),IF(WEEKDAY(BD422-VLOOKUP($P422&amp;" | "&amp;AU$6,'Job Master'!$F$12:$I$102,4,0))&lt;&gt;7,BD422-VLOOKUP($P422&amp;" | "&amp;AU$6,'Job Master'!$F$12:$I$102,4,0),BD422-VLOOKUP($P422&amp;" | "&amp;AU$6,'Job Master'!$F$12:$I$102,4,0)-1),""),"")</f>
        <v/>
      </c>
      <c r="AX422" s="73"/>
      <c r="AY422" s="123" t="str">
        <f t="shared" si="780"/>
        <v/>
      </c>
      <c r="AZ422" s="123" t="str">
        <f t="shared" si="781"/>
        <v/>
      </c>
      <c r="BA422" s="97" t="str">
        <f t="shared" ca="1" si="782"/>
        <v/>
      </c>
      <c r="BB422" s="98" t="str">
        <f>IF(BD422&lt;&gt;"",VLOOKUP($P422&amp;" | "&amp;BB$6,'Job Master'!$F$12:$J$102,5,0),"")</f>
        <v/>
      </c>
      <c r="BC422" s="19" t="str">
        <f>IF(BD422&lt;&gt;"",VLOOKUP($P422&amp;" | "&amp;BB$6,'Job Master'!$F$12:$J$102,3,0),"")</f>
        <v/>
      </c>
      <c r="BD422" s="19" t="str">
        <f>IFERROR(IF(AND(BK422&lt;&gt;"",VLOOKUP($P422&amp;" | "&amp;BB$6,'Job Master'!$F$12:$I$102,4,0)&lt;&gt;""),IF(WEEKDAY(BK422-VLOOKUP($P422&amp;" | "&amp;BB$6,'Job Master'!$F$12:$I$102,4,0))&lt;&gt;7,BK422-VLOOKUP($P422&amp;" | "&amp;BB$6,'Job Master'!$F$12:$I$102,4,0),BK422-VLOOKUP($P422&amp;" | "&amp;BB$6,'Job Master'!$F$12:$I$102,4,0)-1),""),"")</f>
        <v/>
      </c>
      <c r="BE422" s="73"/>
      <c r="BF422" s="123" t="str">
        <f t="shared" si="783"/>
        <v/>
      </c>
      <c r="BG422" s="123" t="str">
        <f t="shared" si="784"/>
        <v/>
      </c>
      <c r="BH422" s="97" t="str">
        <f t="shared" ca="1" si="785"/>
        <v/>
      </c>
      <c r="BI422" s="98" t="str">
        <f>IF(BK422&lt;&gt;"",VLOOKUP($P422&amp;" | "&amp;BI$6,'Job Master'!$F$12:$J$102,5,0),"")</f>
        <v/>
      </c>
      <c r="BJ422" s="19" t="str">
        <f>IF(BK422&lt;&gt;"",VLOOKUP($P422&amp;" | "&amp;BI$6,'Job Master'!$F$12:$J$102,3,0),"")</f>
        <v/>
      </c>
      <c r="BK422" s="19" t="str">
        <f>IFERROR(IF(AND(BR422&lt;&gt;"",VLOOKUP($P422&amp;" | "&amp;BI$6,'Job Master'!$F$12:$I$102,4,0)&lt;&gt;""),IF(WEEKDAY(BR422-VLOOKUP($P422&amp;" | "&amp;BI$6,'Job Master'!$F$12:$I$102,4,0))&lt;&gt;7,BR422-VLOOKUP($P422&amp;" | "&amp;BI$6,'Job Master'!$F$12:$I$102,4,0),BR422-VLOOKUP($P422&amp;" | "&amp;BI$6,'Job Master'!$F$12:$I$102,4,0)-1),""),"")</f>
        <v/>
      </c>
      <c r="BL422" s="73"/>
      <c r="BM422" s="123" t="str">
        <f t="shared" si="786"/>
        <v/>
      </c>
      <c r="BN422" s="123" t="str">
        <f t="shared" si="787"/>
        <v/>
      </c>
      <c r="BO422" s="97" t="str">
        <f t="shared" ca="1" si="788"/>
        <v/>
      </c>
      <c r="BP422" s="98" t="str">
        <f>IF(BR422&lt;&gt;"",VLOOKUP($P422&amp;" | "&amp;BP$6,'Job Master'!$F$12:$J$102,5,0),"")</f>
        <v/>
      </c>
      <c r="BQ422" s="19" t="str">
        <f>IF(BR422&lt;&gt;"",VLOOKUP($P422&amp;" | "&amp;BP$6,'Job Master'!$F$12:$J$102,3,0),"")</f>
        <v/>
      </c>
      <c r="BR422" s="19" t="str">
        <f>IFERROR(IF(AND(BY422&lt;&gt;"",VLOOKUP($P422&amp;" | "&amp;BP$6,'Job Master'!$F$12:$I$102,4,0)&lt;&gt;""),IF(WEEKDAY(BY422-VLOOKUP($P422&amp;" | "&amp;BP$6,'Job Master'!$F$12:$I$102,4,0))&lt;&gt;7,BY422-VLOOKUP($P422&amp;" | "&amp;BP$6,'Job Master'!$F$12:$I$102,4,0),BY422-VLOOKUP($P422&amp;" | "&amp;BP$6,'Job Master'!$F$12:$I$102,4,0)-1),""),"")</f>
        <v/>
      </c>
      <c r="BS422" s="73"/>
      <c r="BT422" s="123" t="str">
        <f t="shared" si="789"/>
        <v/>
      </c>
      <c r="BU422" s="123" t="str">
        <f t="shared" si="790"/>
        <v/>
      </c>
      <c r="BV422" s="97" t="str">
        <f t="shared" ca="1" si="791"/>
        <v/>
      </c>
      <c r="BW422" s="98" t="str">
        <f>IF(BY422&lt;&gt;"",VLOOKUP($P422&amp;" | "&amp;BW$6,'Job Master'!$F$12:$J$102,5,0),"")</f>
        <v/>
      </c>
      <c r="BX422" s="19" t="str">
        <f>IF(BY422&lt;&gt;"",VLOOKUP($P422&amp;" | "&amp;BW$6,'Job Master'!$F$12:$J$102,3,0),"")</f>
        <v/>
      </c>
      <c r="BY422" s="19" t="str">
        <f>IFERROR(IF(AND(CF422&lt;&gt;"",VLOOKUP($P422&amp;" | "&amp;BW$6,'Job Master'!$F$12:$I$102,4,0)&lt;&gt;""),IF(WEEKDAY(CF422-VLOOKUP($P422&amp;" | "&amp;BW$6,'Job Master'!$F$12:$I$102,4,0))&lt;&gt;7,CF422-VLOOKUP($P422&amp;" | "&amp;BW$6,'Job Master'!$F$12:$I$102,4,0),CF422-VLOOKUP($P422&amp;" | "&amp;BW$6,'Job Master'!$F$12:$I$102,4,0)-1),""),"")</f>
        <v/>
      </c>
      <c r="BZ422" s="73"/>
      <c r="CA422" s="123" t="str">
        <f t="shared" si="792"/>
        <v/>
      </c>
      <c r="CB422" s="123" t="str">
        <f t="shared" si="793"/>
        <v/>
      </c>
      <c r="CC422" s="97" t="str">
        <f t="shared" ca="1" si="794"/>
        <v/>
      </c>
      <c r="CD422" s="98" t="str">
        <f>IF(CF422&lt;&gt;"",VLOOKUP($P422&amp;" | "&amp;CD$6,'Job Master'!$F$12:$J$102,5,0),"")</f>
        <v/>
      </c>
      <c r="CE422" s="19" t="str">
        <f>IF(CF422&lt;&gt;"",VLOOKUP($P422&amp;" | "&amp;CD$6,'Job Master'!$F$12:$J$102,3,0),"")</f>
        <v/>
      </c>
      <c r="CF422" s="19" t="str">
        <f>IFERROR(IF(AND(CM422&lt;&gt;"",VLOOKUP($P422&amp;" | "&amp;CD$6,'Job Master'!$F$12:$I$102,4,0)&lt;&gt;""),IF(WEEKDAY(CM422-VLOOKUP($P422&amp;" | "&amp;CD$6,'Job Master'!$F$12:$I$102,4,0))&lt;&gt;7,CM422-VLOOKUP($P422&amp;" | "&amp;CD$6,'Job Master'!$F$12:$I$102,4,0),CM422-VLOOKUP($P422&amp;" | "&amp;CD$6,'Job Master'!$F$12:$I$102,4,0)-1),""),"")</f>
        <v/>
      </c>
      <c r="CG422" s="73"/>
      <c r="CH422" s="123" t="str">
        <f t="shared" si="795"/>
        <v/>
      </c>
      <c r="CI422" s="123" t="str">
        <f t="shared" si="796"/>
        <v/>
      </c>
      <c r="CJ422" s="97" t="str">
        <f t="shared" ca="1" si="797"/>
        <v/>
      </c>
      <c r="CK422" s="98" t="str">
        <f>IF(CM422&lt;&gt;"",VLOOKUP($P422&amp;" | "&amp;CK$6,'Job Master'!$F$12:$J$102,5,0),"")</f>
        <v/>
      </c>
      <c r="CL422" s="19" t="str">
        <f>IF(CM422&lt;&gt;"",VLOOKUP($P422&amp;" | "&amp;CK$6,'Job Master'!$F$12:$J$102,3,0),"")</f>
        <v/>
      </c>
      <c r="CM422" s="19" t="str">
        <f>IFERROR(IF(AND(CT422&lt;&gt;"",VLOOKUP($P422&amp;" | "&amp;CK$6,'Job Master'!$F$12:$I$102,4,0)&lt;&gt;""),IF(WEEKDAY(CT422-VLOOKUP($P422&amp;" | "&amp;CK$6,'Job Master'!$F$12:$I$102,4,0))&lt;&gt;7,CT422-VLOOKUP($P422&amp;" | "&amp;CK$6,'Job Master'!$F$12:$I$102,4,0),CT422-VLOOKUP($P422&amp;" | "&amp;CK$6,'Job Master'!$F$12:$I$102,4,0)-1),""),"")</f>
        <v/>
      </c>
      <c r="CN422" s="73"/>
      <c r="CO422" s="123" t="str">
        <f t="shared" si="798"/>
        <v/>
      </c>
      <c r="CP422" s="123" t="str">
        <f t="shared" si="799"/>
        <v/>
      </c>
      <c r="CQ422" s="97" t="str">
        <f t="shared" ca="1" si="800"/>
        <v/>
      </c>
      <c r="CR422" s="98" t="str">
        <f>IF(CT422&lt;&gt;"",VLOOKUP($P422&amp;" | "&amp;CR$6,'Job Master'!$F$12:$J$102,5,0),"")</f>
        <v/>
      </c>
      <c r="CS422" s="19" t="str">
        <f>IF(CT422&lt;&gt;"",VLOOKUP($P422&amp;" | "&amp;CR$6,'Job Master'!$F$12:$J$102,3,0),"")</f>
        <v/>
      </c>
      <c r="CT422" s="19" t="str">
        <f>IFERROR(IF(AND(DA422&lt;&gt;"",VLOOKUP($P422&amp;" | "&amp;CR$6,'Job Master'!$F$12:$I$102,4,0)&lt;&gt;""),IF(WEEKDAY(DA422-VLOOKUP($P422&amp;" | "&amp;CR$6,'Job Master'!$F$12:$I$102,4,0))&lt;&gt;7,DA422-VLOOKUP($P422&amp;" | "&amp;CR$6,'Job Master'!$F$12:$I$102,4,0),DA422-VLOOKUP($P422&amp;" | "&amp;CR$6,'Job Master'!$F$12:$I$102,4,0)-1),""),"")</f>
        <v/>
      </c>
      <c r="CU422" s="73"/>
      <c r="CV422" s="123" t="str">
        <f t="shared" si="801"/>
        <v/>
      </c>
      <c r="CW422" s="123" t="str">
        <f t="shared" si="802"/>
        <v/>
      </c>
      <c r="CX422" s="97" t="str">
        <f t="shared" ca="1" si="803"/>
        <v/>
      </c>
      <c r="CY422" s="98" t="str">
        <f>IF(DA422&lt;&gt;"",VLOOKUP($P422&amp;" | "&amp;CY$6,'Job Master'!$F$12:$J$102,5,0),"")</f>
        <v/>
      </c>
      <c r="CZ422" s="19" t="str">
        <f>IF(DA422&lt;&gt;"",VLOOKUP($P422&amp;" | "&amp;CY$6,'Job Master'!$F$12:$J$102,3,0),"")</f>
        <v/>
      </c>
      <c r="DA422" s="19" t="str">
        <f>IFERROR(IF(AND(DH422&lt;&gt;"",VLOOKUP($P422&amp;" | "&amp;CY$6,'Job Master'!$F$12:$I$102,4,0)&lt;&gt;""),IF(WEEKDAY(DH422-VLOOKUP($P422&amp;" | "&amp;CY$6,'Job Master'!$F$12:$I$102,4,0))&lt;&gt;7,DH422-VLOOKUP($P422&amp;" | "&amp;CY$6,'Job Master'!$F$12:$I$102,4,0),DH422-VLOOKUP($P422&amp;" | "&amp;CY$6,'Job Master'!$F$12:$I$102,4,0)-1),""),"")</f>
        <v/>
      </c>
      <c r="DB422" s="73"/>
      <c r="DC422" s="123" t="str">
        <f t="shared" si="804"/>
        <v/>
      </c>
      <c r="DD422" s="123" t="str">
        <f t="shared" si="805"/>
        <v/>
      </c>
      <c r="DE422" s="97" t="str">
        <f t="shared" ca="1" si="806"/>
        <v/>
      </c>
      <c r="DF422" s="98" t="str">
        <f>IF(DH422&lt;&gt;"",VLOOKUP($P422&amp;" | "&amp;DF$6,'Job Master'!$F$12:$J$102,5,0),"")</f>
        <v/>
      </c>
      <c r="DG422" s="19" t="str">
        <f>IF(DH422&lt;&gt;"",VLOOKUP($P422&amp;" | "&amp;DF$6,'Job Master'!$F$12:$J$102,3,0),"")</f>
        <v/>
      </c>
      <c r="DH422" s="19" t="str">
        <f>IFERROR(IF(AND(DO422&lt;&gt;"",VLOOKUP($P422&amp;" | "&amp;DF$6,'Job Master'!$F$12:$I$102,4,0)&lt;&gt;""),IF(WEEKDAY(DO422-VLOOKUP($P422&amp;" | "&amp;DF$6,'Job Master'!$F$12:$I$102,4,0))&lt;&gt;7,DO422-VLOOKUP($P422&amp;" | "&amp;DF$6,'Job Master'!$F$12:$I$102,4,0),DO422-VLOOKUP($P422&amp;" | "&amp;DF$6,'Job Master'!$F$12:$I$102,4,0)-1),""),"")</f>
        <v/>
      </c>
      <c r="DI422" s="73"/>
      <c r="DJ422" s="123" t="str">
        <f t="shared" si="807"/>
        <v/>
      </c>
      <c r="DK422" s="123" t="str">
        <f t="shared" si="808"/>
        <v/>
      </c>
      <c r="DL422" s="97" t="str">
        <f t="shared" ca="1" si="809"/>
        <v/>
      </c>
      <c r="DM422" s="98" t="str">
        <f>IF(DO422&lt;&gt;"",VLOOKUP($P422&amp;" | "&amp;DM$6,'Job Master'!$F$12:$J$102,5,0),"")</f>
        <v/>
      </c>
      <c r="DN422" s="19" t="str">
        <f>IF(DO422&lt;&gt;"",VLOOKUP($P422&amp;" | "&amp;DM$6,'Job Master'!$F$12:$J$102,3,0),"")</f>
        <v/>
      </c>
      <c r="DO422" s="19" t="str">
        <f>IFERROR(IF(AND(DT422&lt;&gt;"",VLOOKUP($P422&amp;" | "&amp;DM$6,'Job Master'!$F$12:$I$102,4,0)&lt;&gt;""),IF(WEEKDAY(DT422-VLOOKUP($P422&amp;" | "&amp;DM$6,'Job Master'!$F$12:$I$102,4,0))&lt;&gt;7,DT422-VLOOKUP($P422&amp;" | "&amp;DM$6,'Job Master'!$F$12:$I$102,4,0),DT422-VLOOKUP($P422&amp;" | "&amp;DM$6,'Job Master'!$F$12:$I$102,4,0)-1),""),"")</f>
        <v/>
      </c>
      <c r="DP422" s="73"/>
      <c r="DQ422" s="123" t="str">
        <f t="shared" si="810"/>
        <v/>
      </c>
      <c r="DR422" s="123" t="str">
        <f t="shared" si="811"/>
        <v/>
      </c>
      <c r="DS422" s="97" t="str">
        <f t="shared" ca="1" si="812"/>
        <v/>
      </c>
      <c r="DT422" s="70" t="str">
        <f t="shared" si="813"/>
        <v/>
      </c>
      <c r="DU422" s="90"/>
      <c r="DV422" s="123" t="str">
        <f t="shared" si="814"/>
        <v/>
      </c>
      <c r="DW422" s="123" t="str">
        <f t="shared" si="815"/>
        <v/>
      </c>
      <c r="DX422" s="132" t="str">
        <f t="shared" ref="DX422" ca="1" si="855">IF(DT422&lt;&gt;"",IF(WEEKNUM(DT422)=WEEKNUM(TODAY()),"This Week",IF(WEEKNUM(DT422)=WEEKNUM(TODAY())+1,"Next Week",IF(WEEKNUM(DT422)=WEEKNUM(TODAY())-1,"Previous Week",""))),"")</f>
        <v/>
      </c>
      <c r="DY422" s="134" t="str">
        <f t="shared" si="817"/>
        <v/>
      </c>
      <c r="DZ422" s="95"/>
      <c r="EB422" s="8" t="str">
        <f t="shared" si="823"/>
        <v/>
      </c>
      <c r="EC422" s="8" t="str">
        <f>IF(O422&lt;&gt;"",VLOOKUP(O422,'Job Master'!$N$12:$O$18,2,0),"")</f>
        <v/>
      </c>
      <c r="ED422" s="8">
        <f t="shared" si="824"/>
        <v>19.5</v>
      </c>
      <c r="EE422" s="8">
        <f t="shared" si="825"/>
        <v>6</v>
      </c>
      <c r="EF422" s="8">
        <f t="shared" si="826"/>
        <v>-2452.5</v>
      </c>
      <c r="EG422" s="8" t="str">
        <f t="shared" si="827"/>
        <v/>
      </c>
      <c r="EH422" s="8" t="str">
        <f t="shared" si="828"/>
        <v/>
      </c>
    </row>
    <row r="423" spans="2:138" x14ac:dyDescent="0.3">
      <c r="B423" s="112"/>
      <c r="C423" s="27"/>
      <c r="D423" s="7" t="str">
        <f t="shared" si="765"/>
        <v/>
      </c>
      <c r="E423" s="25"/>
      <c r="F423" s="7" t="str">
        <f t="shared" si="765"/>
        <v/>
      </c>
      <c r="G423" s="25"/>
      <c r="H423" s="7" t="str">
        <f t="shared" si="765"/>
        <v/>
      </c>
      <c r="I423" s="25"/>
      <c r="J423" s="7" t="str">
        <f t="shared" si="765"/>
        <v/>
      </c>
      <c r="K423" s="25"/>
      <c r="L423" s="7" t="str">
        <f t="shared" si="766"/>
        <v/>
      </c>
      <c r="M423" s="25"/>
      <c r="N423" s="7" t="str">
        <f t="shared" si="767"/>
        <v/>
      </c>
      <c r="O423" s="81"/>
      <c r="P423" s="81" t="str">
        <f t="shared" si="768"/>
        <v/>
      </c>
      <c r="Q423" s="81"/>
      <c r="R423" s="7" t="str">
        <f t="shared" si="769"/>
        <v/>
      </c>
      <c r="S423" s="25"/>
      <c r="T423" s="7" t="str">
        <f t="shared" si="770"/>
        <v/>
      </c>
      <c r="U423" s="25"/>
      <c r="V423" s="7" t="str">
        <f t="shared" si="771"/>
        <v/>
      </c>
      <c r="W423" s="25"/>
      <c r="X423" s="7" t="str">
        <f t="shared" si="772"/>
        <v/>
      </c>
      <c r="Y423" s="18" t="str">
        <f t="shared" si="773"/>
        <v/>
      </c>
      <c r="Z423" s="7" t="str">
        <f t="shared" si="774"/>
        <v/>
      </c>
      <c r="AA423" s="18" t="str">
        <f t="shared" si="775"/>
        <v/>
      </c>
      <c r="AB423" s="19" t="str">
        <f t="shared" si="776"/>
        <v/>
      </c>
      <c r="AC423" s="26"/>
      <c r="AD423" s="26"/>
      <c r="AE423" s="25"/>
      <c r="AF423" s="26"/>
      <c r="AG423" s="25"/>
      <c r="AH423" s="25"/>
      <c r="AI423" s="18" t="str">
        <f t="shared" si="839"/>
        <v/>
      </c>
      <c r="AJ423" s="25"/>
      <c r="AK423" s="18" t="str">
        <f t="shared" si="840"/>
        <v/>
      </c>
      <c r="AL423" s="79"/>
      <c r="AM423" s="126" t="str">
        <f t="shared" si="841"/>
        <v/>
      </c>
      <c r="AN423" s="128" t="str">
        <f>IF(AP423&lt;&gt;"",VLOOKUP($P423&amp;" | "&amp;AN$6,'Job Master'!$F$12:$J$102,5,0),"")</f>
        <v/>
      </c>
      <c r="AO423" s="19" t="str">
        <f>IF(AP423&lt;&gt;"",VLOOKUP($P423&amp;" | "&amp;AN$6,'Job Master'!$F$12:$J$102,3,0),"")</f>
        <v/>
      </c>
      <c r="AP423" s="19" t="str">
        <f>IFERROR(IF(AND(AW423&lt;&gt;"",VLOOKUP($P423&amp;" | "&amp;AN$6,'Job Master'!$F$12:$I$102,4,0)&lt;&gt;""),IF(WEEKDAY(AW423-VLOOKUP($P423&amp;" | "&amp;AN$6,'Job Master'!$F$12:$I$102,4,0))&lt;&gt;7,AW423-VLOOKUP($P423&amp;" | "&amp;AN$6,'Job Master'!$F$12:$I$102,4,0),AW423-VLOOKUP($P423&amp;" | "&amp;AN$6,'Job Master'!$F$12:$I$102,4,0)-1),""),"")</f>
        <v/>
      </c>
      <c r="AQ423" s="73"/>
      <c r="AR423" s="123" t="str">
        <f t="shared" si="777"/>
        <v/>
      </c>
      <c r="AS423" s="123" t="str">
        <f t="shared" si="778"/>
        <v/>
      </c>
      <c r="AT423" s="97" t="str">
        <f t="shared" ca="1" si="779"/>
        <v/>
      </c>
      <c r="AU423" s="98" t="str">
        <f>IF(AW423&lt;&gt;"",VLOOKUP($P423&amp;" | "&amp;AU$6,'Job Master'!$F$12:$J$102,5,0),"")</f>
        <v/>
      </c>
      <c r="AV423" s="19" t="str">
        <f>IF(AW423&lt;&gt;"",VLOOKUP($P423&amp;" | "&amp;AU$6,'Job Master'!$F$12:$J$102,3,0),"")</f>
        <v/>
      </c>
      <c r="AW423" s="19" t="str">
        <f>IFERROR(IF(AND(BD423&lt;&gt;"",VLOOKUP($P423&amp;" | "&amp;AU$6,'Job Master'!$F$12:$I$102,4,0)&lt;&gt;""),IF(WEEKDAY(BD423-VLOOKUP($P423&amp;" | "&amp;AU$6,'Job Master'!$F$12:$I$102,4,0))&lt;&gt;7,BD423-VLOOKUP($P423&amp;" | "&amp;AU$6,'Job Master'!$F$12:$I$102,4,0),BD423-VLOOKUP($P423&amp;" | "&amp;AU$6,'Job Master'!$F$12:$I$102,4,0)-1),""),"")</f>
        <v/>
      </c>
      <c r="AX423" s="73"/>
      <c r="AY423" s="123" t="str">
        <f t="shared" si="780"/>
        <v/>
      </c>
      <c r="AZ423" s="123" t="str">
        <f t="shared" si="781"/>
        <v/>
      </c>
      <c r="BA423" s="97" t="str">
        <f t="shared" ca="1" si="782"/>
        <v/>
      </c>
      <c r="BB423" s="98" t="str">
        <f>IF(BD423&lt;&gt;"",VLOOKUP($P423&amp;" | "&amp;BB$6,'Job Master'!$F$12:$J$102,5,0),"")</f>
        <v/>
      </c>
      <c r="BC423" s="19" t="str">
        <f>IF(BD423&lt;&gt;"",VLOOKUP($P423&amp;" | "&amp;BB$6,'Job Master'!$F$12:$J$102,3,0),"")</f>
        <v/>
      </c>
      <c r="BD423" s="19" t="str">
        <f>IFERROR(IF(AND(BK423&lt;&gt;"",VLOOKUP($P423&amp;" | "&amp;BB$6,'Job Master'!$F$12:$I$102,4,0)&lt;&gt;""),IF(WEEKDAY(BK423-VLOOKUP($P423&amp;" | "&amp;BB$6,'Job Master'!$F$12:$I$102,4,0))&lt;&gt;7,BK423-VLOOKUP($P423&amp;" | "&amp;BB$6,'Job Master'!$F$12:$I$102,4,0),BK423-VLOOKUP($P423&amp;" | "&amp;BB$6,'Job Master'!$F$12:$I$102,4,0)-1),""),"")</f>
        <v/>
      </c>
      <c r="BE423" s="73"/>
      <c r="BF423" s="123" t="str">
        <f t="shared" si="783"/>
        <v/>
      </c>
      <c r="BG423" s="123" t="str">
        <f t="shared" si="784"/>
        <v/>
      </c>
      <c r="BH423" s="97" t="str">
        <f t="shared" ca="1" si="785"/>
        <v/>
      </c>
      <c r="BI423" s="98" t="str">
        <f>IF(BK423&lt;&gt;"",VLOOKUP($P423&amp;" | "&amp;BI$6,'Job Master'!$F$12:$J$102,5,0),"")</f>
        <v/>
      </c>
      <c r="BJ423" s="19" t="str">
        <f>IF(BK423&lt;&gt;"",VLOOKUP($P423&amp;" | "&amp;BI$6,'Job Master'!$F$12:$J$102,3,0),"")</f>
        <v/>
      </c>
      <c r="BK423" s="19" t="str">
        <f>IFERROR(IF(AND(BR423&lt;&gt;"",VLOOKUP($P423&amp;" | "&amp;BI$6,'Job Master'!$F$12:$I$102,4,0)&lt;&gt;""),IF(WEEKDAY(BR423-VLOOKUP($P423&amp;" | "&amp;BI$6,'Job Master'!$F$12:$I$102,4,0))&lt;&gt;7,BR423-VLOOKUP($P423&amp;" | "&amp;BI$6,'Job Master'!$F$12:$I$102,4,0),BR423-VLOOKUP($P423&amp;" | "&amp;BI$6,'Job Master'!$F$12:$I$102,4,0)-1),""),"")</f>
        <v/>
      </c>
      <c r="BL423" s="73"/>
      <c r="BM423" s="123" t="str">
        <f t="shared" si="786"/>
        <v/>
      </c>
      <c r="BN423" s="123" t="str">
        <f t="shared" si="787"/>
        <v/>
      </c>
      <c r="BO423" s="97" t="str">
        <f t="shared" ca="1" si="788"/>
        <v/>
      </c>
      <c r="BP423" s="98" t="str">
        <f>IF(BR423&lt;&gt;"",VLOOKUP($P423&amp;" | "&amp;BP$6,'Job Master'!$F$12:$J$102,5,0),"")</f>
        <v/>
      </c>
      <c r="BQ423" s="19" t="str">
        <f>IF(BR423&lt;&gt;"",VLOOKUP($P423&amp;" | "&amp;BP$6,'Job Master'!$F$12:$J$102,3,0),"")</f>
        <v/>
      </c>
      <c r="BR423" s="19" t="str">
        <f>IFERROR(IF(AND(BY423&lt;&gt;"",VLOOKUP($P423&amp;" | "&amp;BP$6,'Job Master'!$F$12:$I$102,4,0)&lt;&gt;""),IF(WEEKDAY(BY423-VLOOKUP($P423&amp;" | "&amp;BP$6,'Job Master'!$F$12:$I$102,4,0))&lt;&gt;7,BY423-VLOOKUP($P423&amp;" | "&amp;BP$6,'Job Master'!$F$12:$I$102,4,0),BY423-VLOOKUP($P423&amp;" | "&amp;BP$6,'Job Master'!$F$12:$I$102,4,0)-1),""),"")</f>
        <v/>
      </c>
      <c r="BS423" s="73"/>
      <c r="BT423" s="123" t="str">
        <f t="shared" si="789"/>
        <v/>
      </c>
      <c r="BU423" s="123" t="str">
        <f t="shared" si="790"/>
        <v/>
      </c>
      <c r="BV423" s="97" t="str">
        <f t="shared" ca="1" si="791"/>
        <v/>
      </c>
      <c r="BW423" s="98" t="str">
        <f>IF(BY423&lt;&gt;"",VLOOKUP($P423&amp;" | "&amp;BW$6,'Job Master'!$F$12:$J$102,5,0),"")</f>
        <v/>
      </c>
      <c r="BX423" s="19" t="str">
        <f>IF(BY423&lt;&gt;"",VLOOKUP($P423&amp;" | "&amp;BW$6,'Job Master'!$F$12:$J$102,3,0),"")</f>
        <v/>
      </c>
      <c r="BY423" s="19" t="str">
        <f>IFERROR(IF(AND(CF423&lt;&gt;"",VLOOKUP($P423&amp;" | "&amp;BW$6,'Job Master'!$F$12:$I$102,4,0)&lt;&gt;""),IF(WEEKDAY(CF423-VLOOKUP($P423&amp;" | "&amp;BW$6,'Job Master'!$F$12:$I$102,4,0))&lt;&gt;7,CF423-VLOOKUP($P423&amp;" | "&amp;BW$6,'Job Master'!$F$12:$I$102,4,0),CF423-VLOOKUP($P423&amp;" | "&amp;BW$6,'Job Master'!$F$12:$I$102,4,0)-1),""),"")</f>
        <v/>
      </c>
      <c r="BZ423" s="73"/>
      <c r="CA423" s="123" t="str">
        <f t="shared" si="792"/>
        <v/>
      </c>
      <c r="CB423" s="123" t="str">
        <f t="shared" si="793"/>
        <v/>
      </c>
      <c r="CC423" s="97" t="str">
        <f t="shared" ca="1" si="794"/>
        <v/>
      </c>
      <c r="CD423" s="98" t="str">
        <f>IF(CF423&lt;&gt;"",VLOOKUP($P423&amp;" | "&amp;CD$6,'Job Master'!$F$12:$J$102,5,0),"")</f>
        <v/>
      </c>
      <c r="CE423" s="19" t="str">
        <f>IF(CF423&lt;&gt;"",VLOOKUP($P423&amp;" | "&amp;CD$6,'Job Master'!$F$12:$J$102,3,0),"")</f>
        <v/>
      </c>
      <c r="CF423" s="19" t="str">
        <f>IFERROR(IF(AND(CM423&lt;&gt;"",VLOOKUP($P423&amp;" | "&amp;CD$6,'Job Master'!$F$12:$I$102,4,0)&lt;&gt;""),IF(WEEKDAY(CM423-VLOOKUP($P423&amp;" | "&amp;CD$6,'Job Master'!$F$12:$I$102,4,0))&lt;&gt;7,CM423-VLOOKUP($P423&amp;" | "&amp;CD$6,'Job Master'!$F$12:$I$102,4,0),CM423-VLOOKUP($P423&amp;" | "&amp;CD$6,'Job Master'!$F$12:$I$102,4,0)-1),""),"")</f>
        <v/>
      </c>
      <c r="CG423" s="73"/>
      <c r="CH423" s="123" t="str">
        <f t="shared" si="795"/>
        <v/>
      </c>
      <c r="CI423" s="123" t="str">
        <f t="shared" si="796"/>
        <v/>
      </c>
      <c r="CJ423" s="97" t="str">
        <f t="shared" ca="1" si="797"/>
        <v/>
      </c>
      <c r="CK423" s="98" t="str">
        <f>IF(CM423&lt;&gt;"",VLOOKUP($P423&amp;" | "&amp;CK$6,'Job Master'!$F$12:$J$102,5,0),"")</f>
        <v/>
      </c>
      <c r="CL423" s="19" t="str">
        <f>IF(CM423&lt;&gt;"",VLOOKUP($P423&amp;" | "&amp;CK$6,'Job Master'!$F$12:$J$102,3,0),"")</f>
        <v/>
      </c>
      <c r="CM423" s="19" t="str">
        <f>IFERROR(IF(AND(CT423&lt;&gt;"",VLOOKUP($P423&amp;" | "&amp;CK$6,'Job Master'!$F$12:$I$102,4,0)&lt;&gt;""),IF(WEEKDAY(CT423-VLOOKUP($P423&amp;" | "&amp;CK$6,'Job Master'!$F$12:$I$102,4,0))&lt;&gt;7,CT423-VLOOKUP($P423&amp;" | "&amp;CK$6,'Job Master'!$F$12:$I$102,4,0),CT423-VLOOKUP($P423&amp;" | "&amp;CK$6,'Job Master'!$F$12:$I$102,4,0)-1),""),"")</f>
        <v/>
      </c>
      <c r="CN423" s="73"/>
      <c r="CO423" s="123" t="str">
        <f t="shared" si="798"/>
        <v/>
      </c>
      <c r="CP423" s="123" t="str">
        <f t="shared" si="799"/>
        <v/>
      </c>
      <c r="CQ423" s="97" t="str">
        <f t="shared" ca="1" si="800"/>
        <v/>
      </c>
      <c r="CR423" s="98" t="str">
        <f>IF(CT423&lt;&gt;"",VLOOKUP($P423&amp;" | "&amp;CR$6,'Job Master'!$F$12:$J$102,5,0),"")</f>
        <v/>
      </c>
      <c r="CS423" s="19" t="str">
        <f>IF(CT423&lt;&gt;"",VLOOKUP($P423&amp;" | "&amp;CR$6,'Job Master'!$F$12:$J$102,3,0),"")</f>
        <v/>
      </c>
      <c r="CT423" s="19" t="str">
        <f>IFERROR(IF(AND(DA423&lt;&gt;"",VLOOKUP($P423&amp;" | "&amp;CR$6,'Job Master'!$F$12:$I$102,4,0)&lt;&gt;""),IF(WEEKDAY(DA423-VLOOKUP($P423&amp;" | "&amp;CR$6,'Job Master'!$F$12:$I$102,4,0))&lt;&gt;7,DA423-VLOOKUP($P423&amp;" | "&amp;CR$6,'Job Master'!$F$12:$I$102,4,0),DA423-VLOOKUP($P423&amp;" | "&amp;CR$6,'Job Master'!$F$12:$I$102,4,0)-1),""),"")</f>
        <v/>
      </c>
      <c r="CU423" s="73"/>
      <c r="CV423" s="123" t="str">
        <f t="shared" si="801"/>
        <v/>
      </c>
      <c r="CW423" s="123" t="str">
        <f t="shared" si="802"/>
        <v/>
      </c>
      <c r="CX423" s="97" t="str">
        <f t="shared" ca="1" si="803"/>
        <v/>
      </c>
      <c r="CY423" s="98" t="str">
        <f>IF(DA423&lt;&gt;"",VLOOKUP($P423&amp;" | "&amp;CY$6,'Job Master'!$F$12:$J$102,5,0),"")</f>
        <v/>
      </c>
      <c r="CZ423" s="19" t="str">
        <f>IF(DA423&lt;&gt;"",VLOOKUP($P423&amp;" | "&amp;CY$6,'Job Master'!$F$12:$J$102,3,0),"")</f>
        <v/>
      </c>
      <c r="DA423" s="19" t="str">
        <f>IFERROR(IF(AND(DH423&lt;&gt;"",VLOOKUP($P423&amp;" | "&amp;CY$6,'Job Master'!$F$12:$I$102,4,0)&lt;&gt;""),IF(WEEKDAY(DH423-VLOOKUP($P423&amp;" | "&amp;CY$6,'Job Master'!$F$12:$I$102,4,0))&lt;&gt;7,DH423-VLOOKUP($P423&amp;" | "&amp;CY$6,'Job Master'!$F$12:$I$102,4,0),DH423-VLOOKUP($P423&amp;" | "&amp;CY$6,'Job Master'!$F$12:$I$102,4,0)-1),""),"")</f>
        <v/>
      </c>
      <c r="DB423" s="73"/>
      <c r="DC423" s="123" t="str">
        <f t="shared" si="804"/>
        <v/>
      </c>
      <c r="DD423" s="123" t="str">
        <f t="shared" si="805"/>
        <v/>
      </c>
      <c r="DE423" s="97" t="str">
        <f t="shared" ca="1" si="806"/>
        <v/>
      </c>
      <c r="DF423" s="98" t="str">
        <f>IF(DH423&lt;&gt;"",VLOOKUP($P423&amp;" | "&amp;DF$6,'Job Master'!$F$12:$J$102,5,0),"")</f>
        <v/>
      </c>
      <c r="DG423" s="19" t="str">
        <f>IF(DH423&lt;&gt;"",VLOOKUP($P423&amp;" | "&amp;DF$6,'Job Master'!$F$12:$J$102,3,0),"")</f>
        <v/>
      </c>
      <c r="DH423" s="19" t="str">
        <f>IFERROR(IF(AND(DO423&lt;&gt;"",VLOOKUP($P423&amp;" | "&amp;DF$6,'Job Master'!$F$12:$I$102,4,0)&lt;&gt;""),IF(WEEKDAY(DO423-VLOOKUP($P423&amp;" | "&amp;DF$6,'Job Master'!$F$12:$I$102,4,0))&lt;&gt;7,DO423-VLOOKUP($P423&amp;" | "&amp;DF$6,'Job Master'!$F$12:$I$102,4,0),DO423-VLOOKUP($P423&amp;" | "&amp;DF$6,'Job Master'!$F$12:$I$102,4,0)-1),""),"")</f>
        <v/>
      </c>
      <c r="DI423" s="73"/>
      <c r="DJ423" s="123" t="str">
        <f t="shared" si="807"/>
        <v/>
      </c>
      <c r="DK423" s="123" t="str">
        <f t="shared" si="808"/>
        <v/>
      </c>
      <c r="DL423" s="97" t="str">
        <f t="shared" ca="1" si="809"/>
        <v/>
      </c>
      <c r="DM423" s="98" t="str">
        <f>IF(DO423&lt;&gt;"",VLOOKUP($P423&amp;" | "&amp;DM$6,'Job Master'!$F$12:$J$102,5,0),"")</f>
        <v/>
      </c>
      <c r="DN423" s="19" t="str">
        <f>IF(DO423&lt;&gt;"",VLOOKUP($P423&amp;" | "&amp;DM$6,'Job Master'!$F$12:$J$102,3,0),"")</f>
        <v/>
      </c>
      <c r="DO423" s="19" t="str">
        <f>IFERROR(IF(AND(DT423&lt;&gt;"",VLOOKUP($P423&amp;" | "&amp;DM$6,'Job Master'!$F$12:$I$102,4,0)&lt;&gt;""),IF(WEEKDAY(DT423-VLOOKUP($P423&amp;" | "&amp;DM$6,'Job Master'!$F$12:$I$102,4,0))&lt;&gt;7,DT423-VLOOKUP($P423&amp;" | "&amp;DM$6,'Job Master'!$F$12:$I$102,4,0),DT423-VLOOKUP($P423&amp;" | "&amp;DM$6,'Job Master'!$F$12:$I$102,4,0)-1),""),"")</f>
        <v/>
      </c>
      <c r="DP423" s="73"/>
      <c r="DQ423" s="123" t="str">
        <f t="shared" si="810"/>
        <v/>
      </c>
      <c r="DR423" s="123" t="str">
        <f t="shared" si="811"/>
        <v/>
      </c>
      <c r="DS423" s="97" t="str">
        <f t="shared" ca="1" si="812"/>
        <v/>
      </c>
      <c r="DT423" s="70" t="str">
        <f t="shared" si="813"/>
        <v/>
      </c>
      <c r="DU423" s="90"/>
      <c r="DV423" s="123" t="str">
        <f t="shared" si="814"/>
        <v/>
      </c>
      <c r="DW423" s="123" t="str">
        <f t="shared" si="815"/>
        <v/>
      </c>
      <c r="DX423" s="132" t="str">
        <f t="shared" ref="DX423" ca="1" si="856">IF(DT423&lt;&gt;"",IF(WEEKNUM(DT423)=WEEKNUM(TODAY()),"This Week",IF(WEEKNUM(DT423)=WEEKNUM(TODAY())+1,"Next Week",IF(WEEKNUM(DT423)=WEEKNUM(TODAY())-1,"Previous Week",""))),"")</f>
        <v/>
      </c>
      <c r="DY423" s="134" t="str">
        <f t="shared" si="817"/>
        <v/>
      </c>
      <c r="DZ423" s="95"/>
      <c r="EB423" s="8" t="str">
        <f t="shared" si="823"/>
        <v/>
      </c>
      <c r="EC423" s="8" t="str">
        <f>IF(O423&lt;&gt;"",VLOOKUP(O423,'Job Master'!$N$12:$O$18,2,0),"")</f>
        <v/>
      </c>
      <c r="ED423" s="8">
        <f t="shared" si="824"/>
        <v>19.5</v>
      </c>
      <c r="EE423" s="8">
        <f t="shared" si="825"/>
        <v>6</v>
      </c>
      <c r="EF423" s="8">
        <f t="shared" si="826"/>
        <v>-2458.5</v>
      </c>
      <c r="EG423" s="8" t="str">
        <f t="shared" si="827"/>
        <v/>
      </c>
      <c r="EH423" s="8" t="str">
        <f t="shared" si="828"/>
        <v/>
      </c>
    </row>
    <row r="424" spans="2:138" x14ac:dyDescent="0.3">
      <c r="B424" s="112"/>
      <c r="C424" s="27"/>
      <c r="D424" s="7" t="str">
        <f t="shared" si="765"/>
        <v/>
      </c>
      <c r="E424" s="25"/>
      <c r="F424" s="7" t="str">
        <f t="shared" si="765"/>
        <v/>
      </c>
      <c r="G424" s="25"/>
      <c r="H424" s="7" t="str">
        <f t="shared" si="765"/>
        <v/>
      </c>
      <c r="I424" s="25"/>
      <c r="J424" s="7" t="str">
        <f t="shared" si="765"/>
        <v/>
      </c>
      <c r="K424" s="25"/>
      <c r="L424" s="7" t="str">
        <f t="shared" si="766"/>
        <v/>
      </c>
      <c r="M424" s="25"/>
      <c r="N424" s="7" t="str">
        <f t="shared" si="767"/>
        <v/>
      </c>
      <c r="O424" s="81"/>
      <c r="P424" s="81" t="str">
        <f t="shared" si="768"/>
        <v/>
      </c>
      <c r="Q424" s="81"/>
      <c r="R424" s="7" t="str">
        <f t="shared" si="769"/>
        <v/>
      </c>
      <c r="S424" s="25"/>
      <c r="T424" s="7" t="str">
        <f t="shared" si="770"/>
        <v/>
      </c>
      <c r="U424" s="25"/>
      <c r="V424" s="7" t="str">
        <f t="shared" si="771"/>
        <v/>
      </c>
      <c r="W424" s="25"/>
      <c r="X424" s="7" t="str">
        <f t="shared" si="772"/>
        <v/>
      </c>
      <c r="Y424" s="18" t="str">
        <f t="shared" si="773"/>
        <v/>
      </c>
      <c r="Z424" s="7" t="str">
        <f t="shared" si="774"/>
        <v/>
      </c>
      <c r="AA424" s="18" t="str">
        <f t="shared" si="775"/>
        <v/>
      </c>
      <c r="AB424" s="19" t="str">
        <f t="shared" si="776"/>
        <v/>
      </c>
      <c r="AC424" s="26"/>
      <c r="AD424" s="26"/>
      <c r="AE424" s="25"/>
      <c r="AF424" s="26"/>
      <c r="AG424" s="25"/>
      <c r="AH424" s="25"/>
      <c r="AI424" s="18" t="str">
        <f t="shared" si="839"/>
        <v/>
      </c>
      <c r="AJ424" s="25"/>
      <c r="AK424" s="18" t="str">
        <f t="shared" si="840"/>
        <v/>
      </c>
      <c r="AL424" s="79"/>
      <c r="AM424" s="126" t="str">
        <f t="shared" si="841"/>
        <v/>
      </c>
      <c r="AN424" s="128" t="str">
        <f>IF(AP424&lt;&gt;"",VLOOKUP($P424&amp;" | "&amp;AN$6,'Job Master'!$F$12:$J$102,5,0),"")</f>
        <v/>
      </c>
      <c r="AO424" s="19" t="str">
        <f>IF(AP424&lt;&gt;"",VLOOKUP($P424&amp;" | "&amp;AN$6,'Job Master'!$F$12:$J$102,3,0),"")</f>
        <v/>
      </c>
      <c r="AP424" s="19" t="str">
        <f>IFERROR(IF(AND(AW424&lt;&gt;"",VLOOKUP($P424&amp;" | "&amp;AN$6,'Job Master'!$F$12:$I$102,4,0)&lt;&gt;""),IF(WEEKDAY(AW424-VLOOKUP($P424&amp;" | "&amp;AN$6,'Job Master'!$F$12:$I$102,4,0))&lt;&gt;7,AW424-VLOOKUP($P424&amp;" | "&amp;AN$6,'Job Master'!$F$12:$I$102,4,0),AW424-VLOOKUP($P424&amp;" | "&amp;AN$6,'Job Master'!$F$12:$I$102,4,0)-1),""),"")</f>
        <v/>
      </c>
      <c r="AQ424" s="73"/>
      <c r="AR424" s="123" t="str">
        <f t="shared" si="777"/>
        <v/>
      </c>
      <c r="AS424" s="123" t="str">
        <f t="shared" si="778"/>
        <v/>
      </c>
      <c r="AT424" s="97" t="str">
        <f t="shared" ca="1" si="779"/>
        <v/>
      </c>
      <c r="AU424" s="98" t="str">
        <f>IF(AW424&lt;&gt;"",VLOOKUP($P424&amp;" | "&amp;AU$6,'Job Master'!$F$12:$J$102,5,0),"")</f>
        <v/>
      </c>
      <c r="AV424" s="19" t="str">
        <f>IF(AW424&lt;&gt;"",VLOOKUP($P424&amp;" | "&amp;AU$6,'Job Master'!$F$12:$J$102,3,0),"")</f>
        <v/>
      </c>
      <c r="AW424" s="19" t="str">
        <f>IFERROR(IF(AND(BD424&lt;&gt;"",VLOOKUP($P424&amp;" | "&amp;AU$6,'Job Master'!$F$12:$I$102,4,0)&lt;&gt;""),IF(WEEKDAY(BD424-VLOOKUP($P424&amp;" | "&amp;AU$6,'Job Master'!$F$12:$I$102,4,0))&lt;&gt;7,BD424-VLOOKUP($P424&amp;" | "&amp;AU$6,'Job Master'!$F$12:$I$102,4,0),BD424-VLOOKUP($P424&amp;" | "&amp;AU$6,'Job Master'!$F$12:$I$102,4,0)-1),""),"")</f>
        <v/>
      </c>
      <c r="AX424" s="73"/>
      <c r="AY424" s="123" t="str">
        <f t="shared" si="780"/>
        <v/>
      </c>
      <c r="AZ424" s="123" t="str">
        <f t="shared" si="781"/>
        <v/>
      </c>
      <c r="BA424" s="97" t="str">
        <f t="shared" ca="1" si="782"/>
        <v/>
      </c>
      <c r="BB424" s="98" t="str">
        <f>IF(BD424&lt;&gt;"",VLOOKUP($P424&amp;" | "&amp;BB$6,'Job Master'!$F$12:$J$102,5,0),"")</f>
        <v/>
      </c>
      <c r="BC424" s="19" t="str">
        <f>IF(BD424&lt;&gt;"",VLOOKUP($P424&amp;" | "&amp;BB$6,'Job Master'!$F$12:$J$102,3,0),"")</f>
        <v/>
      </c>
      <c r="BD424" s="19" t="str">
        <f>IFERROR(IF(AND(BK424&lt;&gt;"",VLOOKUP($P424&amp;" | "&amp;BB$6,'Job Master'!$F$12:$I$102,4,0)&lt;&gt;""),IF(WEEKDAY(BK424-VLOOKUP($P424&amp;" | "&amp;BB$6,'Job Master'!$F$12:$I$102,4,0))&lt;&gt;7,BK424-VLOOKUP($P424&amp;" | "&amp;BB$6,'Job Master'!$F$12:$I$102,4,0),BK424-VLOOKUP($P424&amp;" | "&amp;BB$6,'Job Master'!$F$12:$I$102,4,0)-1),""),"")</f>
        <v/>
      </c>
      <c r="BE424" s="73"/>
      <c r="BF424" s="123" t="str">
        <f t="shared" si="783"/>
        <v/>
      </c>
      <c r="BG424" s="123" t="str">
        <f t="shared" si="784"/>
        <v/>
      </c>
      <c r="BH424" s="97" t="str">
        <f t="shared" ca="1" si="785"/>
        <v/>
      </c>
      <c r="BI424" s="98" t="str">
        <f>IF(BK424&lt;&gt;"",VLOOKUP($P424&amp;" | "&amp;BI$6,'Job Master'!$F$12:$J$102,5,0),"")</f>
        <v/>
      </c>
      <c r="BJ424" s="19" t="str">
        <f>IF(BK424&lt;&gt;"",VLOOKUP($P424&amp;" | "&amp;BI$6,'Job Master'!$F$12:$J$102,3,0),"")</f>
        <v/>
      </c>
      <c r="BK424" s="19" t="str">
        <f>IFERROR(IF(AND(BR424&lt;&gt;"",VLOOKUP($P424&amp;" | "&amp;BI$6,'Job Master'!$F$12:$I$102,4,0)&lt;&gt;""),IF(WEEKDAY(BR424-VLOOKUP($P424&amp;" | "&amp;BI$6,'Job Master'!$F$12:$I$102,4,0))&lt;&gt;7,BR424-VLOOKUP($P424&amp;" | "&amp;BI$6,'Job Master'!$F$12:$I$102,4,0),BR424-VLOOKUP($P424&amp;" | "&amp;BI$6,'Job Master'!$F$12:$I$102,4,0)-1),""),"")</f>
        <v/>
      </c>
      <c r="BL424" s="73"/>
      <c r="BM424" s="123" t="str">
        <f t="shared" si="786"/>
        <v/>
      </c>
      <c r="BN424" s="123" t="str">
        <f t="shared" si="787"/>
        <v/>
      </c>
      <c r="BO424" s="97" t="str">
        <f t="shared" ca="1" si="788"/>
        <v/>
      </c>
      <c r="BP424" s="98" t="str">
        <f>IF(BR424&lt;&gt;"",VLOOKUP($P424&amp;" | "&amp;BP$6,'Job Master'!$F$12:$J$102,5,0),"")</f>
        <v/>
      </c>
      <c r="BQ424" s="19" t="str">
        <f>IF(BR424&lt;&gt;"",VLOOKUP($P424&amp;" | "&amp;BP$6,'Job Master'!$F$12:$J$102,3,0),"")</f>
        <v/>
      </c>
      <c r="BR424" s="19" t="str">
        <f>IFERROR(IF(AND(BY424&lt;&gt;"",VLOOKUP($P424&amp;" | "&amp;BP$6,'Job Master'!$F$12:$I$102,4,0)&lt;&gt;""),IF(WEEKDAY(BY424-VLOOKUP($P424&amp;" | "&amp;BP$6,'Job Master'!$F$12:$I$102,4,0))&lt;&gt;7,BY424-VLOOKUP($P424&amp;" | "&amp;BP$6,'Job Master'!$F$12:$I$102,4,0),BY424-VLOOKUP($P424&amp;" | "&amp;BP$6,'Job Master'!$F$12:$I$102,4,0)-1),""),"")</f>
        <v/>
      </c>
      <c r="BS424" s="73"/>
      <c r="BT424" s="123" t="str">
        <f t="shared" si="789"/>
        <v/>
      </c>
      <c r="BU424" s="123" t="str">
        <f t="shared" si="790"/>
        <v/>
      </c>
      <c r="BV424" s="97" t="str">
        <f t="shared" ca="1" si="791"/>
        <v/>
      </c>
      <c r="BW424" s="98" t="str">
        <f>IF(BY424&lt;&gt;"",VLOOKUP($P424&amp;" | "&amp;BW$6,'Job Master'!$F$12:$J$102,5,0),"")</f>
        <v/>
      </c>
      <c r="BX424" s="19" t="str">
        <f>IF(BY424&lt;&gt;"",VLOOKUP($P424&amp;" | "&amp;BW$6,'Job Master'!$F$12:$J$102,3,0),"")</f>
        <v/>
      </c>
      <c r="BY424" s="19" t="str">
        <f>IFERROR(IF(AND(CF424&lt;&gt;"",VLOOKUP($P424&amp;" | "&amp;BW$6,'Job Master'!$F$12:$I$102,4,0)&lt;&gt;""),IF(WEEKDAY(CF424-VLOOKUP($P424&amp;" | "&amp;BW$6,'Job Master'!$F$12:$I$102,4,0))&lt;&gt;7,CF424-VLOOKUP($P424&amp;" | "&amp;BW$6,'Job Master'!$F$12:$I$102,4,0),CF424-VLOOKUP($P424&amp;" | "&amp;BW$6,'Job Master'!$F$12:$I$102,4,0)-1),""),"")</f>
        <v/>
      </c>
      <c r="BZ424" s="73"/>
      <c r="CA424" s="123" t="str">
        <f t="shared" si="792"/>
        <v/>
      </c>
      <c r="CB424" s="123" t="str">
        <f t="shared" si="793"/>
        <v/>
      </c>
      <c r="CC424" s="97" t="str">
        <f t="shared" ca="1" si="794"/>
        <v/>
      </c>
      <c r="CD424" s="98" t="str">
        <f>IF(CF424&lt;&gt;"",VLOOKUP($P424&amp;" | "&amp;CD$6,'Job Master'!$F$12:$J$102,5,0),"")</f>
        <v/>
      </c>
      <c r="CE424" s="19" t="str">
        <f>IF(CF424&lt;&gt;"",VLOOKUP($P424&amp;" | "&amp;CD$6,'Job Master'!$F$12:$J$102,3,0),"")</f>
        <v/>
      </c>
      <c r="CF424" s="19" t="str">
        <f>IFERROR(IF(AND(CM424&lt;&gt;"",VLOOKUP($P424&amp;" | "&amp;CD$6,'Job Master'!$F$12:$I$102,4,0)&lt;&gt;""),IF(WEEKDAY(CM424-VLOOKUP($P424&amp;" | "&amp;CD$6,'Job Master'!$F$12:$I$102,4,0))&lt;&gt;7,CM424-VLOOKUP($P424&amp;" | "&amp;CD$6,'Job Master'!$F$12:$I$102,4,0),CM424-VLOOKUP($P424&amp;" | "&amp;CD$6,'Job Master'!$F$12:$I$102,4,0)-1),""),"")</f>
        <v/>
      </c>
      <c r="CG424" s="73"/>
      <c r="CH424" s="123" t="str">
        <f t="shared" si="795"/>
        <v/>
      </c>
      <c r="CI424" s="123" t="str">
        <f t="shared" si="796"/>
        <v/>
      </c>
      <c r="CJ424" s="97" t="str">
        <f t="shared" ca="1" si="797"/>
        <v/>
      </c>
      <c r="CK424" s="98" t="str">
        <f>IF(CM424&lt;&gt;"",VLOOKUP($P424&amp;" | "&amp;CK$6,'Job Master'!$F$12:$J$102,5,0),"")</f>
        <v/>
      </c>
      <c r="CL424" s="19" t="str">
        <f>IF(CM424&lt;&gt;"",VLOOKUP($P424&amp;" | "&amp;CK$6,'Job Master'!$F$12:$J$102,3,0),"")</f>
        <v/>
      </c>
      <c r="CM424" s="19" t="str">
        <f>IFERROR(IF(AND(CT424&lt;&gt;"",VLOOKUP($P424&amp;" | "&amp;CK$6,'Job Master'!$F$12:$I$102,4,0)&lt;&gt;""),IF(WEEKDAY(CT424-VLOOKUP($P424&amp;" | "&amp;CK$6,'Job Master'!$F$12:$I$102,4,0))&lt;&gt;7,CT424-VLOOKUP($P424&amp;" | "&amp;CK$6,'Job Master'!$F$12:$I$102,4,0),CT424-VLOOKUP($P424&amp;" | "&amp;CK$6,'Job Master'!$F$12:$I$102,4,0)-1),""),"")</f>
        <v/>
      </c>
      <c r="CN424" s="73"/>
      <c r="CO424" s="123" t="str">
        <f t="shared" si="798"/>
        <v/>
      </c>
      <c r="CP424" s="123" t="str">
        <f t="shared" si="799"/>
        <v/>
      </c>
      <c r="CQ424" s="97" t="str">
        <f t="shared" ca="1" si="800"/>
        <v/>
      </c>
      <c r="CR424" s="98" t="str">
        <f>IF(CT424&lt;&gt;"",VLOOKUP($P424&amp;" | "&amp;CR$6,'Job Master'!$F$12:$J$102,5,0),"")</f>
        <v/>
      </c>
      <c r="CS424" s="19" t="str">
        <f>IF(CT424&lt;&gt;"",VLOOKUP($P424&amp;" | "&amp;CR$6,'Job Master'!$F$12:$J$102,3,0),"")</f>
        <v/>
      </c>
      <c r="CT424" s="19" t="str">
        <f>IFERROR(IF(AND(DA424&lt;&gt;"",VLOOKUP($P424&amp;" | "&amp;CR$6,'Job Master'!$F$12:$I$102,4,0)&lt;&gt;""),IF(WEEKDAY(DA424-VLOOKUP($P424&amp;" | "&amp;CR$6,'Job Master'!$F$12:$I$102,4,0))&lt;&gt;7,DA424-VLOOKUP($P424&amp;" | "&amp;CR$6,'Job Master'!$F$12:$I$102,4,0),DA424-VLOOKUP($P424&amp;" | "&amp;CR$6,'Job Master'!$F$12:$I$102,4,0)-1),""),"")</f>
        <v/>
      </c>
      <c r="CU424" s="73"/>
      <c r="CV424" s="123" t="str">
        <f t="shared" si="801"/>
        <v/>
      </c>
      <c r="CW424" s="123" t="str">
        <f t="shared" si="802"/>
        <v/>
      </c>
      <c r="CX424" s="97" t="str">
        <f t="shared" ca="1" si="803"/>
        <v/>
      </c>
      <c r="CY424" s="98" t="str">
        <f>IF(DA424&lt;&gt;"",VLOOKUP($P424&amp;" | "&amp;CY$6,'Job Master'!$F$12:$J$102,5,0),"")</f>
        <v/>
      </c>
      <c r="CZ424" s="19" t="str">
        <f>IF(DA424&lt;&gt;"",VLOOKUP($P424&amp;" | "&amp;CY$6,'Job Master'!$F$12:$J$102,3,0),"")</f>
        <v/>
      </c>
      <c r="DA424" s="19" t="str">
        <f>IFERROR(IF(AND(DH424&lt;&gt;"",VLOOKUP($P424&amp;" | "&amp;CY$6,'Job Master'!$F$12:$I$102,4,0)&lt;&gt;""),IF(WEEKDAY(DH424-VLOOKUP($P424&amp;" | "&amp;CY$6,'Job Master'!$F$12:$I$102,4,0))&lt;&gt;7,DH424-VLOOKUP($P424&amp;" | "&amp;CY$6,'Job Master'!$F$12:$I$102,4,0),DH424-VLOOKUP($P424&amp;" | "&amp;CY$6,'Job Master'!$F$12:$I$102,4,0)-1),""),"")</f>
        <v/>
      </c>
      <c r="DB424" s="73"/>
      <c r="DC424" s="123" t="str">
        <f t="shared" si="804"/>
        <v/>
      </c>
      <c r="DD424" s="123" t="str">
        <f t="shared" si="805"/>
        <v/>
      </c>
      <c r="DE424" s="97" t="str">
        <f t="shared" ca="1" si="806"/>
        <v/>
      </c>
      <c r="DF424" s="98" t="str">
        <f>IF(DH424&lt;&gt;"",VLOOKUP($P424&amp;" | "&amp;DF$6,'Job Master'!$F$12:$J$102,5,0),"")</f>
        <v/>
      </c>
      <c r="DG424" s="19" t="str">
        <f>IF(DH424&lt;&gt;"",VLOOKUP($P424&amp;" | "&amp;DF$6,'Job Master'!$F$12:$J$102,3,0),"")</f>
        <v/>
      </c>
      <c r="DH424" s="19" t="str">
        <f>IFERROR(IF(AND(DO424&lt;&gt;"",VLOOKUP($P424&amp;" | "&amp;DF$6,'Job Master'!$F$12:$I$102,4,0)&lt;&gt;""),IF(WEEKDAY(DO424-VLOOKUP($P424&amp;" | "&amp;DF$6,'Job Master'!$F$12:$I$102,4,0))&lt;&gt;7,DO424-VLOOKUP($P424&amp;" | "&amp;DF$6,'Job Master'!$F$12:$I$102,4,0),DO424-VLOOKUP($P424&amp;" | "&amp;DF$6,'Job Master'!$F$12:$I$102,4,0)-1),""),"")</f>
        <v/>
      </c>
      <c r="DI424" s="73"/>
      <c r="DJ424" s="123" t="str">
        <f t="shared" si="807"/>
        <v/>
      </c>
      <c r="DK424" s="123" t="str">
        <f t="shared" si="808"/>
        <v/>
      </c>
      <c r="DL424" s="97" t="str">
        <f t="shared" ca="1" si="809"/>
        <v/>
      </c>
      <c r="DM424" s="98" t="str">
        <f>IF(DO424&lt;&gt;"",VLOOKUP($P424&amp;" | "&amp;DM$6,'Job Master'!$F$12:$J$102,5,0),"")</f>
        <v/>
      </c>
      <c r="DN424" s="19" t="str">
        <f>IF(DO424&lt;&gt;"",VLOOKUP($P424&amp;" | "&amp;DM$6,'Job Master'!$F$12:$J$102,3,0),"")</f>
        <v/>
      </c>
      <c r="DO424" s="19" t="str">
        <f>IFERROR(IF(AND(DT424&lt;&gt;"",VLOOKUP($P424&amp;" | "&amp;DM$6,'Job Master'!$F$12:$I$102,4,0)&lt;&gt;""),IF(WEEKDAY(DT424-VLOOKUP($P424&amp;" | "&amp;DM$6,'Job Master'!$F$12:$I$102,4,0))&lt;&gt;7,DT424-VLOOKUP($P424&amp;" | "&amp;DM$6,'Job Master'!$F$12:$I$102,4,0),DT424-VLOOKUP($P424&amp;" | "&amp;DM$6,'Job Master'!$F$12:$I$102,4,0)-1),""),"")</f>
        <v/>
      </c>
      <c r="DP424" s="73"/>
      <c r="DQ424" s="123" t="str">
        <f t="shared" si="810"/>
        <v/>
      </c>
      <c r="DR424" s="123" t="str">
        <f t="shared" si="811"/>
        <v/>
      </c>
      <c r="DS424" s="97" t="str">
        <f t="shared" ca="1" si="812"/>
        <v/>
      </c>
      <c r="DT424" s="70" t="str">
        <f t="shared" si="813"/>
        <v/>
      </c>
      <c r="DU424" s="90"/>
      <c r="DV424" s="123" t="str">
        <f t="shared" si="814"/>
        <v/>
      </c>
      <c r="DW424" s="123" t="str">
        <f t="shared" si="815"/>
        <v/>
      </c>
      <c r="DX424" s="132" t="str">
        <f t="shared" ref="DX424" ca="1" si="857">IF(DT424&lt;&gt;"",IF(WEEKNUM(DT424)=WEEKNUM(TODAY()),"This Week",IF(WEEKNUM(DT424)=WEEKNUM(TODAY())+1,"Next Week",IF(WEEKNUM(DT424)=WEEKNUM(TODAY())-1,"Previous Week",""))),"")</f>
        <v/>
      </c>
      <c r="DY424" s="134" t="str">
        <f t="shared" si="817"/>
        <v/>
      </c>
      <c r="DZ424" s="95"/>
      <c r="EB424" s="8" t="str">
        <f t="shared" si="823"/>
        <v/>
      </c>
      <c r="EC424" s="8" t="str">
        <f>IF(O424&lt;&gt;"",VLOOKUP(O424,'Job Master'!$N$12:$O$18,2,0),"")</f>
        <v/>
      </c>
      <c r="ED424" s="8">
        <f t="shared" si="824"/>
        <v>19.5</v>
      </c>
      <c r="EE424" s="8">
        <f t="shared" si="825"/>
        <v>6</v>
      </c>
      <c r="EF424" s="8">
        <f t="shared" si="826"/>
        <v>-2464.5</v>
      </c>
      <c r="EG424" s="8" t="str">
        <f t="shared" si="827"/>
        <v/>
      </c>
      <c r="EH424" s="8" t="str">
        <f t="shared" si="828"/>
        <v/>
      </c>
    </row>
    <row r="425" spans="2:138" x14ac:dyDescent="0.3">
      <c r="B425" s="112"/>
      <c r="C425" s="27"/>
      <c r="D425" s="7" t="str">
        <f t="shared" si="765"/>
        <v/>
      </c>
      <c r="E425" s="25"/>
      <c r="F425" s="7" t="str">
        <f t="shared" si="765"/>
        <v/>
      </c>
      <c r="G425" s="25"/>
      <c r="H425" s="7" t="str">
        <f t="shared" si="765"/>
        <v/>
      </c>
      <c r="I425" s="25"/>
      <c r="J425" s="7" t="str">
        <f t="shared" si="765"/>
        <v/>
      </c>
      <c r="K425" s="25"/>
      <c r="L425" s="7" t="str">
        <f t="shared" si="766"/>
        <v/>
      </c>
      <c r="M425" s="25"/>
      <c r="N425" s="7" t="str">
        <f t="shared" si="767"/>
        <v/>
      </c>
      <c r="O425" s="81"/>
      <c r="P425" s="81" t="str">
        <f t="shared" si="768"/>
        <v/>
      </c>
      <c r="Q425" s="81"/>
      <c r="R425" s="7" t="str">
        <f t="shared" si="769"/>
        <v/>
      </c>
      <c r="S425" s="25"/>
      <c r="T425" s="7" t="str">
        <f t="shared" si="770"/>
        <v/>
      </c>
      <c r="U425" s="25"/>
      <c r="V425" s="7" t="str">
        <f t="shared" si="771"/>
        <v/>
      </c>
      <c r="W425" s="25"/>
      <c r="X425" s="7" t="str">
        <f t="shared" si="772"/>
        <v/>
      </c>
      <c r="Y425" s="18" t="str">
        <f t="shared" si="773"/>
        <v/>
      </c>
      <c r="Z425" s="7" t="str">
        <f t="shared" si="774"/>
        <v/>
      </c>
      <c r="AA425" s="18" t="str">
        <f t="shared" si="775"/>
        <v/>
      </c>
      <c r="AB425" s="19" t="str">
        <f t="shared" si="776"/>
        <v/>
      </c>
      <c r="AC425" s="26"/>
      <c r="AD425" s="26"/>
      <c r="AE425" s="25"/>
      <c r="AF425" s="26"/>
      <c r="AG425" s="25"/>
      <c r="AH425" s="25"/>
      <c r="AI425" s="18" t="str">
        <f t="shared" si="839"/>
        <v/>
      </c>
      <c r="AJ425" s="25"/>
      <c r="AK425" s="18" t="str">
        <f t="shared" si="840"/>
        <v/>
      </c>
      <c r="AL425" s="79"/>
      <c r="AM425" s="126" t="str">
        <f t="shared" si="841"/>
        <v/>
      </c>
      <c r="AN425" s="128" t="str">
        <f>IF(AP425&lt;&gt;"",VLOOKUP($P425&amp;" | "&amp;AN$6,'Job Master'!$F$12:$J$102,5,0),"")</f>
        <v/>
      </c>
      <c r="AO425" s="19" t="str">
        <f>IF(AP425&lt;&gt;"",VLOOKUP($P425&amp;" | "&amp;AN$6,'Job Master'!$F$12:$J$102,3,0),"")</f>
        <v/>
      </c>
      <c r="AP425" s="19" t="str">
        <f>IFERROR(IF(AND(AW425&lt;&gt;"",VLOOKUP($P425&amp;" | "&amp;AN$6,'Job Master'!$F$12:$I$102,4,0)&lt;&gt;""),IF(WEEKDAY(AW425-VLOOKUP($P425&amp;" | "&amp;AN$6,'Job Master'!$F$12:$I$102,4,0))&lt;&gt;7,AW425-VLOOKUP($P425&amp;" | "&amp;AN$6,'Job Master'!$F$12:$I$102,4,0),AW425-VLOOKUP($P425&amp;" | "&amp;AN$6,'Job Master'!$F$12:$I$102,4,0)-1),""),"")</f>
        <v/>
      </c>
      <c r="AQ425" s="73"/>
      <c r="AR425" s="123" t="str">
        <f t="shared" si="777"/>
        <v/>
      </c>
      <c r="AS425" s="123" t="str">
        <f t="shared" si="778"/>
        <v/>
      </c>
      <c r="AT425" s="97" t="str">
        <f t="shared" ca="1" si="779"/>
        <v/>
      </c>
      <c r="AU425" s="98" t="str">
        <f>IF(AW425&lt;&gt;"",VLOOKUP($P425&amp;" | "&amp;AU$6,'Job Master'!$F$12:$J$102,5,0),"")</f>
        <v/>
      </c>
      <c r="AV425" s="19" t="str">
        <f>IF(AW425&lt;&gt;"",VLOOKUP($P425&amp;" | "&amp;AU$6,'Job Master'!$F$12:$J$102,3,0),"")</f>
        <v/>
      </c>
      <c r="AW425" s="19" t="str">
        <f>IFERROR(IF(AND(BD425&lt;&gt;"",VLOOKUP($P425&amp;" | "&amp;AU$6,'Job Master'!$F$12:$I$102,4,0)&lt;&gt;""),IF(WEEKDAY(BD425-VLOOKUP($P425&amp;" | "&amp;AU$6,'Job Master'!$F$12:$I$102,4,0))&lt;&gt;7,BD425-VLOOKUP($P425&amp;" | "&amp;AU$6,'Job Master'!$F$12:$I$102,4,0),BD425-VLOOKUP($P425&amp;" | "&amp;AU$6,'Job Master'!$F$12:$I$102,4,0)-1),""),"")</f>
        <v/>
      </c>
      <c r="AX425" s="73"/>
      <c r="AY425" s="123" t="str">
        <f t="shared" si="780"/>
        <v/>
      </c>
      <c r="AZ425" s="123" t="str">
        <f t="shared" si="781"/>
        <v/>
      </c>
      <c r="BA425" s="97" t="str">
        <f t="shared" ca="1" si="782"/>
        <v/>
      </c>
      <c r="BB425" s="98" t="str">
        <f>IF(BD425&lt;&gt;"",VLOOKUP($P425&amp;" | "&amp;BB$6,'Job Master'!$F$12:$J$102,5,0),"")</f>
        <v/>
      </c>
      <c r="BC425" s="19" t="str">
        <f>IF(BD425&lt;&gt;"",VLOOKUP($P425&amp;" | "&amp;BB$6,'Job Master'!$F$12:$J$102,3,0),"")</f>
        <v/>
      </c>
      <c r="BD425" s="19" t="str">
        <f>IFERROR(IF(AND(BK425&lt;&gt;"",VLOOKUP($P425&amp;" | "&amp;BB$6,'Job Master'!$F$12:$I$102,4,0)&lt;&gt;""),IF(WEEKDAY(BK425-VLOOKUP($P425&amp;" | "&amp;BB$6,'Job Master'!$F$12:$I$102,4,0))&lt;&gt;7,BK425-VLOOKUP($P425&amp;" | "&amp;BB$6,'Job Master'!$F$12:$I$102,4,0),BK425-VLOOKUP($P425&amp;" | "&amp;BB$6,'Job Master'!$F$12:$I$102,4,0)-1),""),"")</f>
        <v/>
      </c>
      <c r="BE425" s="73"/>
      <c r="BF425" s="123" t="str">
        <f t="shared" si="783"/>
        <v/>
      </c>
      <c r="BG425" s="123" t="str">
        <f t="shared" si="784"/>
        <v/>
      </c>
      <c r="BH425" s="97" t="str">
        <f t="shared" ca="1" si="785"/>
        <v/>
      </c>
      <c r="BI425" s="98" t="str">
        <f>IF(BK425&lt;&gt;"",VLOOKUP($P425&amp;" | "&amp;BI$6,'Job Master'!$F$12:$J$102,5,0),"")</f>
        <v/>
      </c>
      <c r="BJ425" s="19" t="str">
        <f>IF(BK425&lt;&gt;"",VLOOKUP($P425&amp;" | "&amp;BI$6,'Job Master'!$F$12:$J$102,3,0),"")</f>
        <v/>
      </c>
      <c r="BK425" s="19" t="str">
        <f>IFERROR(IF(AND(BR425&lt;&gt;"",VLOOKUP($P425&amp;" | "&amp;BI$6,'Job Master'!$F$12:$I$102,4,0)&lt;&gt;""),IF(WEEKDAY(BR425-VLOOKUP($P425&amp;" | "&amp;BI$6,'Job Master'!$F$12:$I$102,4,0))&lt;&gt;7,BR425-VLOOKUP($P425&amp;" | "&amp;BI$6,'Job Master'!$F$12:$I$102,4,0),BR425-VLOOKUP($P425&amp;" | "&amp;BI$6,'Job Master'!$F$12:$I$102,4,0)-1),""),"")</f>
        <v/>
      </c>
      <c r="BL425" s="73"/>
      <c r="BM425" s="123" t="str">
        <f t="shared" si="786"/>
        <v/>
      </c>
      <c r="BN425" s="123" t="str">
        <f t="shared" si="787"/>
        <v/>
      </c>
      <c r="BO425" s="97" t="str">
        <f t="shared" ca="1" si="788"/>
        <v/>
      </c>
      <c r="BP425" s="98" t="str">
        <f>IF(BR425&lt;&gt;"",VLOOKUP($P425&amp;" | "&amp;BP$6,'Job Master'!$F$12:$J$102,5,0),"")</f>
        <v/>
      </c>
      <c r="BQ425" s="19" t="str">
        <f>IF(BR425&lt;&gt;"",VLOOKUP($P425&amp;" | "&amp;BP$6,'Job Master'!$F$12:$J$102,3,0),"")</f>
        <v/>
      </c>
      <c r="BR425" s="19" t="str">
        <f>IFERROR(IF(AND(BY425&lt;&gt;"",VLOOKUP($P425&amp;" | "&amp;BP$6,'Job Master'!$F$12:$I$102,4,0)&lt;&gt;""),IF(WEEKDAY(BY425-VLOOKUP($P425&amp;" | "&amp;BP$6,'Job Master'!$F$12:$I$102,4,0))&lt;&gt;7,BY425-VLOOKUP($P425&amp;" | "&amp;BP$6,'Job Master'!$F$12:$I$102,4,0),BY425-VLOOKUP($P425&amp;" | "&amp;BP$6,'Job Master'!$F$12:$I$102,4,0)-1),""),"")</f>
        <v/>
      </c>
      <c r="BS425" s="73"/>
      <c r="BT425" s="123" t="str">
        <f t="shared" si="789"/>
        <v/>
      </c>
      <c r="BU425" s="123" t="str">
        <f t="shared" si="790"/>
        <v/>
      </c>
      <c r="BV425" s="97" t="str">
        <f t="shared" ca="1" si="791"/>
        <v/>
      </c>
      <c r="BW425" s="98" t="str">
        <f>IF(BY425&lt;&gt;"",VLOOKUP($P425&amp;" | "&amp;BW$6,'Job Master'!$F$12:$J$102,5,0),"")</f>
        <v/>
      </c>
      <c r="BX425" s="19" t="str">
        <f>IF(BY425&lt;&gt;"",VLOOKUP($P425&amp;" | "&amp;BW$6,'Job Master'!$F$12:$J$102,3,0),"")</f>
        <v/>
      </c>
      <c r="BY425" s="19" t="str">
        <f>IFERROR(IF(AND(CF425&lt;&gt;"",VLOOKUP($P425&amp;" | "&amp;BW$6,'Job Master'!$F$12:$I$102,4,0)&lt;&gt;""),IF(WEEKDAY(CF425-VLOOKUP($P425&amp;" | "&amp;BW$6,'Job Master'!$F$12:$I$102,4,0))&lt;&gt;7,CF425-VLOOKUP($P425&amp;" | "&amp;BW$6,'Job Master'!$F$12:$I$102,4,0),CF425-VLOOKUP($P425&amp;" | "&amp;BW$6,'Job Master'!$F$12:$I$102,4,0)-1),""),"")</f>
        <v/>
      </c>
      <c r="BZ425" s="73"/>
      <c r="CA425" s="123" t="str">
        <f t="shared" si="792"/>
        <v/>
      </c>
      <c r="CB425" s="123" t="str">
        <f t="shared" si="793"/>
        <v/>
      </c>
      <c r="CC425" s="97" t="str">
        <f t="shared" ca="1" si="794"/>
        <v/>
      </c>
      <c r="CD425" s="98" t="str">
        <f>IF(CF425&lt;&gt;"",VLOOKUP($P425&amp;" | "&amp;CD$6,'Job Master'!$F$12:$J$102,5,0),"")</f>
        <v/>
      </c>
      <c r="CE425" s="19" t="str">
        <f>IF(CF425&lt;&gt;"",VLOOKUP($P425&amp;" | "&amp;CD$6,'Job Master'!$F$12:$J$102,3,0),"")</f>
        <v/>
      </c>
      <c r="CF425" s="19" t="str">
        <f>IFERROR(IF(AND(CM425&lt;&gt;"",VLOOKUP($P425&amp;" | "&amp;CD$6,'Job Master'!$F$12:$I$102,4,0)&lt;&gt;""),IF(WEEKDAY(CM425-VLOOKUP($P425&amp;" | "&amp;CD$6,'Job Master'!$F$12:$I$102,4,0))&lt;&gt;7,CM425-VLOOKUP($P425&amp;" | "&amp;CD$6,'Job Master'!$F$12:$I$102,4,0),CM425-VLOOKUP($P425&amp;" | "&amp;CD$6,'Job Master'!$F$12:$I$102,4,0)-1),""),"")</f>
        <v/>
      </c>
      <c r="CG425" s="73"/>
      <c r="CH425" s="123" t="str">
        <f t="shared" si="795"/>
        <v/>
      </c>
      <c r="CI425" s="123" t="str">
        <f t="shared" si="796"/>
        <v/>
      </c>
      <c r="CJ425" s="97" t="str">
        <f t="shared" ca="1" si="797"/>
        <v/>
      </c>
      <c r="CK425" s="98" t="str">
        <f>IF(CM425&lt;&gt;"",VLOOKUP($P425&amp;" | "&amp;CK$6,'Job Master'!$F$12:$J$102,5,0),"")</f>
        <v/>
      </c>
      <c r="CL425" s="19" t="str">
        <f>IF(CM425&lt;&gt;"",VLOOKUP($P425&amp;" | "&amp;CK$6,'Job Master'!$F$12:$J$102,3,0),"")</f>
        <v/>
      </c>
      <c r="CM425" s="19" t="str">
        <f>IFERROR(IF(AND(CT425&lt;&gt;"",VLOOKUP($P425&amp;" | "&amp;CK$6,'Job Master'!$F$12:$I$102,4,0)&lt;&gt;""),IF(WEEKDAY(CT425-VLOOKUP($P425&amp;" | "&amp;CK$6,'Job Master'!$F$12:$I$102,4,0))&lt;&gt;7,CT425-VLOOKUP($P425&amp;" | "&amp;CK$6,'Job Master'!$F$12:$I$102,4,0),CT425-VLOOKUP($P425&amp;" | "&amp;CK$6,'Job Master'!$F$12:$I$102,4,0)-1),""),"")</f>
        <v/>
      </c>
      <c r="CN425" s="73"/>
      <c r="CO425" s="123" t="str">
        <f t="shared" si="798"/>
        <v/>
      </c>
      <c r="CP425" s="123" t="str">
        <f t="shared" si="799"/>
        <v/>
      </c>
      <c r="CQ425" s="97" t="str">
        <f t="shared" ca="1" si="800"/>
        <v/>
      </c>
      <c r="CR425" s="98" t="str">
        <f>IF(CT425&lt;&gt;"",VLOOKUP($P425&amp;" | "&amp;CR$6,'Job Master'!$F$12:$J$102,5,0),"")</f>
        <v/>
      </c>
      <c r="CS425" s="19" t="str">
        <f>IF(CT425&lt;&gt;"",VLOOKUP($P425&amp;" | "&amp;CR$6,'Job Master'!$F$12:$J$102,3,0),"")</f>
        <v/>
      </c>
      <c r="CT425" s="19" t="str">
        <f>IFERROR(IF(AND(DA425&lt;&gt;"",VLOOKUP($P425&amp;" | "&amp;CR$6,'Job Master'!$F$12:$I$102,4,0)&lt;&gt;""),IF(WEEKDAY(DA425-VLOOKUP($P425&amp;" | "&amp;CR$6,'Job Master'!$F$12:$I$102,4,0))&lt;&gt;7,DA425-VLOOKUP($P425&amp;" | "&amp;CR$6,'Job Master'!$F$12:$I$102,4,0),DA425-VLOOKUP($P425&amp;" | "&amp;CR$6,'Job Master'!$F$12:$I$102,4,0)-1),""),"")</f>
        <v/>
      </c>
      <c r="CU425" s="73"/>
      <c r="CV425" s="123" t="str">
        <f t="shared" si="801"/>
        <v/>
      </c>
      <c r="CW425" s="123" t="str">
        <f t="shared" si="802"/>
        <v/>
      </c>
      <c r="CX425" s="97" t="str">
        <f t="shared" ca="1" si="803"/>
        <v/>
      </c>
      <c r="CY425" s="98" t="str">
        <f>IF(DA425&lt;&gt;"",VLOOKUP($P425&amp;" | "&amp;CY$6,'Job Master'!$F$12:$J$102,5,0),"")</f>
        <v/>
      </c>
      <c r="CZ425" s="19" t="str">
        <f>IF(DA425&lt;&gt;"",VLOOKUP($P425&amp;" | "&amp;CY$6,'Job Master'!$F$12:$J$102,3,0),"")</f>
        <v/>
      </c>
      <c r="DA425" s="19" t="str">
        <f>IFERROR(IF(AND(DH425&lt;&gt;"",VLOOKUP($P425&amp;" | "&amp;CY$6,'Job Master'!$F$12:$I$102,4,0)&lt;&gt;""),IF(WEEKDAY(DH425-VLOOKUP($P425&amp;" | "&amp;CY$6,'Job Master'!$F$12:$I$102,4,0))&lt;&gt;7,DH425-VLOOKUP($P425&amp;" | "&amp;CY$6,'Job Master'!$F$12:$I$102,4,0),DH425-VLOOKUP($P425&amp;" | "&amp;CY$6,'Job Master'!$F$12:$I$102,4,0)-1),""),"")</f>
        <v/>
      </c>
      <c r="DB425" s="73"/>
      <c r="DC425" s="123" t="str">
        <f t="shared" si="804"/>
        <v/>
      </c>
      <c r="DD425" s="123" t="str">
        <f t="shared" si="805"/>
        <v/>
      </c>
      <c r="DE425" s="97" t="str">
        <f t="shared" ca="1" si="806"/>
        <v/>
      </c>
      <c r="DF425" s="98" t="str">
        <f>IF(DH425&lt;&gt;"",VLOOKUP($P425&amp;" | "&amp;DF$6,'Job Master'!$F$12:$J$102,5,0),"")</f>
        <v/>
      </c>
      <c r="DG425" s="19" t="str">
        <f>IF(DH425&lt;&gt;"",VLOOKUP($P425&amp;" | "&amp;DF$6,'Job Master'!$F$12:$J$102,3,0),"")</f>
        <v/>
      </c>
      <c r="DH425" s="19" t="str">
        <f>IFERROR(IF(AND(DO425&lt;&gt;"",VLOOKUP($P425&amp;" | "&amp;DF$6,'Job Master'!$F$12:$I$102,4,0)&lt;&gt;""),IF(WEEKDAY(DO425-VLOOKUP($P425&amp;" | "&amp;DF$6,'Job Master'!$F$12:$I$102,4,0))&lt;&gt;7,DO425-VLOOKUP($P425&amp;" | "&amp;DF$6,'Job Master'!$F$12:$I$102,4,0),DO425-VLOOKUP($P425&amp;" | "&amp;DF$6,'Job Master'!$F$12:$I$102,4,0)-1),""),"")</f>
        <v/>
      </c>
      <c r="DI425" s="73"/>
      <c r="DJ425" s="123" t="str">
        <f t="shared" si="807"/>
        <v/>
      </c>
      <c r="DK425" s="123" t="str">
        <f t="shared" si="808"/>
        <v/>
      </c>
      <c r="DL425" s="97" t="str">
        <f t="shared" ca="1" si="809"/>
        <v/>
      </c>
      <c r="DM425" s="98" t="str">
        <f>IF(DO425&lt;&gt;"",VLOOKUP($P425&amp;" | "&amp;DM$6,'Job Master'!$F$12:$J$102,5,0),"")</f>
        <v/>
      </c>
      <c r="DN425" s="19" t="str">
        <f>IF(DO425&lt;&gt;"",VLOOKUP($P425&amp;" | "&amp;DM$6,'Job Master'!$F$12:$J$102,3,0),"")</f>
        <v/>
      </c>
      <c r="DO425" s="19" t="str">
        <f>IFERROR(IF(AND(DT425&lt;&gt;"",VLOOKUP($P425&amp;" | "&amp;DM$6,'Job Master'!$F$12:$I$102,4,0)&lt;&gt;""),IF(WEEKDAY(DT425-VLOOKUP($P425&amp;" | "&amp;DM$6,'Job Master'!$F$12:$I$102,4,0))&lt;&gt;7,DT425-VLOOKUP($P425&amp;" | "&amp;DM$6,'Job Master'!$F$12:$I$102,4,0),DT425-VLOOKUP($P425&amp;" | "&amp;DM$6,'Job Master'!$F$12:$I$102,4,0)-1),""),"")</f>
        <v/>
      </c>
      <c r="DP425" s="73"/>
      <c r="DQ425" s="123" t="str">
        <f t="shared" si="810"/>
        <v/>
      </c>
      <c r="DR425" s="123" t="str">
        <f t="shared" si="811"/>
        <v/>
      </c>
      <c r="DS425" s="97" t="str">
        <f t="shared" ca="1" si="812"/>
        <v/>
      </c>
      <c r="DT425" s="70" t="str">
        <f t="shared" si="813"/>
        <v/>
      </c>
      <c r="DU425" s="90"/>
      <c r="DV425" s="123" t="str">
        <f t="shared" si="814"/>
        <v/>
      </c>
      <c r="DW425" s="123" t="str">
        <f t="shared" si="815"/>
        <v/>
      </c>
      <c r="DX425" s="132" t="str">
        <f t="shared" ref="DX425" ca="1" si="858">IF(DT425&lt;&gt;"",IF(WEEKNUM(DT425)=WEEKNUM(TODAY()),"This Week",IF(WEEKNUM(DT425)=WEEKNUM(TODAY())+1,"Next Week",IF(WEEKNUM(DT425)=WEEKNUM(TODAY())-1,"Previous Week",""))),"")</f>
        <v/>
      </c>
      <c r="DY425" s="134" t="str">
        <f t="shared" si="817"/>
        <v/>
      </c>
      <c r="DZ425" s="95"/>
      <c r="EB425" s="8" t="str">
        <f t="shared" si="823"/>
        <v/>
      </c>
      <c r="EC425" s="8" t="str">
        <f>IF(O425&lt;&gt;"",VLOOKUP(O425,'Job Master'!$N$12:$O$18,2,0),"")</f>
        <v/>
      </c>
      <c r="ED425" s="8">
        <f t="shared" si="824"/>
        <v>19.5</v>
      </c>
      <c r="EE425" s="8">
        <f t="shared" si="825"/>
        <v>6</v>
      </c>
      <c r="EF425" s="8">
        <f t="shared" si="826"/>
        <v>-2470.5</v>
      </c>
      <c r="EG425" s="8" t="str">
        <f t="shared" si="827"/>
        <v/>
      </c>
      <c r="EH425" s="8" t="str">
        <f t="shared" si="828"/>
        <v/>
      </c>
    </row>
    <row r="426" spans="2:138" x14ac:dyDescent="0.3">
      <c r="B426" s="112"/>
      <c r="C426" s="27"/>
      <c r="D426" s="7" t="str">
        <f t="shared" si="765"/>
        <v/>
      </c>
      <c r="E426" s="25"/>
      <c r="F426" s="7" t="str">
        <f t="shared" si="765"/>
        <v/>
      </c>
      <c r="G426" s="25"/>
      <c r="H426" s="7" t="str">
        <f t="shared" si="765"/>
        <v/>
      </c>
      <c r="I426" s="25"/>
      <c r="J426" s="7" t="str">
        <f t="shared" si="765"/>
        <v/>
      </c>
      <c r="K426" s="25"/>
      <c r="L426" s="7" t="str">
        <f t="shared" si="766"/>
        <v/>
      </c>
      <c r="M426" s="25"/>
      <c r="N426" s="7" t="str">
        <f t="shared" si="767"/>
        <v/>
      </c>
      <c r="O426" s="81"/>
      <c r="P426" s="81" t="str">
        <f t="shared" si="768"/>
        <v/>
      </c>
      <c r="Q426" s="81"/>
      <c r="R426" s="7" t="str">
        <f t="shared" si="769"/>
        <v/>
      </c>
      <c r="S426" s="25"/>
      <c r="T426" s="7" t="str">
        <f t="shared" si="770"/>
        <v/>
      </c>
      <c r="U426" s="25"/>
      <c r="V426" s="7" t="str">
        <f t="shared" si="771"/>
        <v/>
      </c>
      <c r="W426" s="25"/>
      <c r="X426" s="7" t="str">
        <f t="shared" si="772"/>
        <v/>
      </c>
      <c r="Y426" s="18" t="str">
        <f t="shared" si="773"/>
        <v/>
      </c>
      <c r="Z426" s="7" t="str">
        <f t="shared" si="774"/>
        <v/>
      </c>
      <c r="AA426" s="18" t="str">
        <f t="shared" si="775"/>
        <v/>
      </c>
      <c r="AB426" s="19" t="str">
        <f t="shared" si="776"/>
        <v/>
      </c>
      <c r="AC426" s="26"/>
      <c r="AD426" s="26"/>
      <c r="AE426" s="25"/>
      <c r="AF426" s="26"/>
      <c r="AG426" s="25"/>
      <c r="AH426" s="25"/>
      <c r="AI426" s="18" t="str">
        <f t="shared" si="839"/>
        <v/>
      </c>
      <c r="AJ426" s="25"/>
      <c r="AK426" s="18" t="str">
        <f t="shared" si="840"/>
        <v/>
      </c>
      <c r="AL426" s="79"/>
      <c r="AM426" s="126" t="str">
        <f t="shared" si="841"/>
        <v/>
      </c>
      <c r="AN426" s="128" t="str">
        <f>IF(AP426&lt;&gt;"",VLOOKUP($P426&amp;" | "&amp;AN$6,'Job Master'!$F$12:$J$102,5,0),"")</f>
        <v/>
      </c>
      <c r="AO426" s="19" t="str">
        <f>IF(AP426&lt;&gt;"",VLOOKUP($P426&amp;" | "&amp;AN$6,'Job Master'!$F$12:$J$102,3,0),"")</f>
        <v/>
      </c>
      <c r="AP426" s="19" t="str">
        <f>IFERROR(IF(AND(AW426&lt;&gt;"",VLOOKUP($P426&amp;" | "&amp;AN$6,'Job Master'!$F$12:$I$102,4,0)&lt;&gt;""),IF(WEEKDAY(AW426-VLOOKUP($P426&amp;" | "&amp;AN$6,'Job Master'!$F$12:$I$102,4,0))&lt;&gt;7,AW426-VLOOKUP($P426&amp;" | "&amp;AN$6,'Job Master'!$F$12:$I$102,4,0),AW426-VLOOKUP($P426&amp;" | "&amp;AN$6,'Job Master'!$F$12:$I$102,4,0)-1),""),"")</f>
        <v/>
      </c>
      <c r="AQ426" s="73"/>
      <c r="AR426" s="123" t="str">
        <f t="shared" si="777"/>
        <v/>
      </c>
      <c r="AS426" s="123" t="str">
        <f t="shared" si="778"/>
        <v/>
      </c>
      <c r="AT426" s="97" t="str">
        <f t="shared" ca="1" si="779"/>
        <v/>
      </c>
      <c r="AU426" s="98" t="str">
        <f>IF(AW426&lt;&gt;"",VLOOKUP($P426&amp;" | "&amp;AU$6,'Job Master'!$F$12:$J$102,5,0),"")</f>
        <v/>
      </c>
      <c r="AV426" s="19" t="str">
        <f>IF(AW426&lt;&gt;"",VLOOKUP($P426&amp;" | "&amp;AU$6,'Job Master'!$F$12:$J$102,3,0),"")</f>
        <v/>
      </c>
      <c r="AW426" s="19" t="str">
        <f>IFERROR(IF(AND(BD426&lt;&gt;"",VLOOKUP($P426&amp;" | "&amp;AU$6,'Job Master'!$F$12:$I$102,4,0)&lt;&gt;""),IF(WEEKDAY(BD426-VLOOKUP($P426&amp;" | "&amp;AU$6,'Job Master'!$F$12:$I$102,4,0))&lt;&gt;7,BD426-VLOOKUP($P426&amp;" | "&amp;AU$6,'Job Master'!$F$12:$I$102,4,0),BD426-VLOOKUP($P426&amp;" | "&amp;AU$6,'Job Master'!$F$12:$I$102,4,0)-1),""),"")</f>
        <v/>
      </c>
      <c r="AX426" s="73"/>
      <c r="AY426" s="123" t="str">
        <f t="shared" si="780"/>
        <v/>
      </c>
      <c r="AZ426" s="123" t="str">
        <f t="shared" si="781"/>
        <v/>
      </c>
      <c r="BA426" s="97" t="str">
        <f t="shared" ca="1" si="782"/>
        <v/>
      </c>
      <c r="BB426" s="98" t="str">
        <f>IF(BD426&lt;&gt;"",VLOOKUP($P426&amp;" | "&amp;BB$6,'Job Master'!$F$12:$J$102,5,0),"")</f>
        <v/>
      </c>
      <c r="BC426" s="19" t="str">
        <f>IF(BD426&lt;&gt;"",VLOOKUP($P426&amp;" | "&amp;BB$6,'Job Master'!$F$12:$J$102,3,0),"")</f>
        <v/>
      </c>
      <c r="BD426" s="19" t="str">
        <f>IFERROR(IF(AND(BK426&lt;&gt;"",VLOOKUP($P426&amp;" | "&amp;BB$6,'Job Master'!$F$12:$I$102,4,0)&lt;&gt;""),IF(WEEKDAY(BK426-VLOOKUP($P426&amp;" | "&amp;BB$6,'Job Master'!$F$12:$I$102,4,0))&lt;&gt;7,BK426-VLOOKUP($P426&amp;" | "&amp;BB$6,'Job Master'!$F$12:$I$102,4,0),BK426-VLOOKUP($P426&amp;" | "&amp;BB$6,'Job Master'!$F$12:$I$102,4,0)-1),""),"")</f>
        <v/>
      </c>
      <c r="BE426" s="73"/>
      <c r="BF426" s="123" t="str">
        <f t="shared" si="783"/>
        <v/>
      </c>
      <c r="BG426" s="123" t="str">
        <f t="shared" si="784"/>
        <v/>
      </c>
      <c r="BH426" s="97" t="str">
        <f t="shared" ca="1" si="785"/>
        <v/>
      </c>
      <c r="BI426" s="98" t="str">
        <f>IF(BK426&lt;&gt;"",VLOOKUP($P426&amp;" | "&amp;BI$6,'Job Master'!$F$12:$J$102,5,0),"")</f>
        <v/>
      </c>
      <c r="BJ426" s="19" t="str">
        <f>IF(BK426&lt;&gt;"",VLOOKUP($P426&amp;" | "&amp;BI$6,'Job Master'!$F$12:$J$102,3,0),"")</f>
        <v/>
      </c>
      <c r="BK426" s="19" t="str">
        <f>IFERROR(IF(AND(BR426&lt;&gt;"",VLOOKUP($P426&amp;" | "&amp;BI$6,'Job Master'!$F$12:$I$102,4,0)&lt;&gt;""),IF(WEEKDAY(BR426-VLOOKUP($P426&amp;" | "&amp;BI$6,'Job Master'!$F$12:$I$102,4,0))&lt;&gt;7,BR426-VLOOKUP($P426&amp;" | "&amp;BI$6,'Job Master'!$F$12:$I$102,4,0),BR426-VLOOKUP($P426&amp;" | "&amp;BI$6,'Job Master'!$F$12:$I$102,4,0)-1),""),"")</f>
        <v/>
      </c>
      <c r="BL426" s="73"/>
      <c r="BM426" s="123" t="str">
        <f t="shared" si="786"/>
        <v/>
      </c>
      <c r="BN426" s="123" t="str">
        <f t="shared" si="787"/>
        <v/>
      </c>
      <c r="BO426" s="97" t="str">
        <f t="shared" ca="1" si="788"/>
        <v/>
      </c>
      <c r="BP426" s="98" t="str">
        <f>IF(BR426&lt;&gt;"",VLOOKUP($P426&amp;" | "&amp;BP$6,'Job Master'!$F$12:$J$102,5,0),"")</f>
        <v/>
      </c>
      <c r="BQ426" s="19" t="str">
        <f>IF(BR426&lt;&gt;"",VLOOKUP($P426&amp;" | "&amp;BP$6,'Job Master'!$F$12:$J$102,3,0),"")</f>
        <v/>
      </c>
      <c r="BR426" s="19" t="str">
        <f>IFERROR(IF(AND(BY426&lt;&gt;"",VLOOKUP($P426&amp;" | "&amp;BP$6,'Job Master'!$F$12:$I$102,4,0)&lt;&gt;""),IF(WEEKDAY(BY426-VLOOKUP($P426&amp;" | "&amp;BP$6,'Job Master'!$F$12:$I$102,4,0))&lt;&gt;7,BY426-VLOOKUP($P426&amp;" | "&amp;BP$6,'Job Master'!$F$12:$I$102,4,0),BY426-VLOOKUP($P426&amp;" | "&amp;BP$6,'Job Master'!$F$12:$I$102,4,0)-1),""),"")</f>
        <v/>
      </c>
      <c r="BS426" s="73"/>
      <c r="BT426" s="123" t="str">
        <f t="shared" si="789"/>
        <v/>
      </c>
      <c r="BU426" s="123" t="str">
        <f t="shared" si="790"/>
        <v/>
      </c>
      <c r="BV426" s="97" t="str">
        <f t="shared" ca="1" si="791"/>
        <v/>
      </c>
      <c r="BW426" s="98" t="str">
        <f>IF(BY426&lt;&gt;"",VLOOKUP($P426&amp;" | "&amp;BW$6,'Job Master'!$F$12:$J$102,5,0),"")</f>
        <v/>
      </c>
      <c r="BX426" s="19" t="str">
        <f>IF(BY426&lt;&gt;"",VLOOKUP($P426&amp;" | "&amp;BW$6,'Job Master'!$F$12:$J$102,3,0),"")</f>
        <v/>
      </c>
      <c r="BY426" s="19" t="str">
        <f>IFERROR(IF(AND(CF426&lt;&gt;"",VLOOKUP($P426&amp;" | "&amp;BW$6,'Job Master'!$F$12:$I$102,4,0)&lt;&gt;""),IF(WEEKDAY(CF426-VLOOKUP($P426&amp;" | "&amp;BW$6,'Job Master'!$F$12:$I$102,4,0))&lt;&gt;7,CF426-VLOOKUP($P426&amp;" | "&amp;BW$6,'Job Master'!$F$12:$I$102,4,0),CF426-VLOOKUP($P426&amp;" | "&amp;BW$6,'Job Master'!$F$12:$I$102,4,0)-1),""),"")</f>
        <v/>
      </c>
      <c r="BZ426" s="73"/>
      <c r="CA426" s="123" t="str">
        <f t="shared" si="792"/>
        <v/>
      </c>
      <c r="CB426" s="123" t="str">
        <f t="shared" si="793"/>
        <v/>
      </c>
      <c r="CC426" s="97" t="str">
        <f t="shared" ca="1" si="794"/>
        <v/>
      </c>
      <c r="CD426" s="98" t="str">
        <f>IF(CF426&lt;&gt;"",VLOOKUP($P426&amp;" | "&amp;CD$6,'Job Master'!$F$12:$J$102,5,0),"")</f>
        <v/>
      </c>
      <c r="CE426" s="19" t="str">
        <f>IF(CF426&lt;&gt;"",VLOOKUP($P426&amp;" | "&amp;CD$6,'Job Master'!$F$12:$J$102,3,0),"")</f>
        <v/>
      </c>
      <c r="CF426" s="19" t="str">
        <f>IFERROR(IF(AND(CM426&lt;&gt;"",VLOOKUP($P426&amp;" | "&amp;CD$6,'Job Master'!$F$12:$I$102,4,0)&lt;&gt;""),IF(WEEKDAY(CM426-VLOOKUP($P426&amp;" | "&amp;CD$6,'Job Master'!$F$12:$I$102,4,0))&lt;&gt;7,CM426-VLOOKUP($P426&amp;" | "&amp;CD$6,'Job Master'!$F$12:$I$102,4,0),CM426-VLOOKUP($P426&amp;" | "&amp;CD$6,'Job Master'!$F$12:$I$102,4,0)-1),""),"")</f>
        <v/>
      </c>
      <c r="CG426" s="73"/>
      <c r="CH426" s="123" t="str">
        <f t="shared" si="795"/>
        <v/>
      </c>
      <c r="CI426" s="123" t="str">
        <f t="shared" si="796"/>
        <v/>
      </c>
      <c r="CJ426" s="97" t="str">
        <f t="shared" ca="1" si="797"/>
        <v/>
      </c>
      <c r="CK426" s="98" t="str">
        <f>IF(CM426&lt;&gt;"",VLOOKUP($P426&amp;" | "&amp;CK$6,'Job Master'!$F$12:$J$102,5,0),"")</f>
        <v/>
      </c>
      <c r="CL426" s="19" t="str">
        <f>IF(CM426&lt;&gt;"",VLOOKUP($P426&amp;" | "&amp;CK$6,'Job Master'!$F$12:$J$102,3,0),"")</f>
        <v/>
      </c>
      <c r="CM426" s="19" t="str">
        <f>IFERROR(IF(AND(CT426&lt;&gt;"",VLOOKUP($P426&amp;" | "&amp;CK$6,'Job Master'!$F$12:$I$102,4,0)&lt;&gt;""),IF(WEEKDAY(CT426-VLOOKUP($P426&amp;" | "&amp;CK$6,'Job Master'!$F$12:$I$102,4,0))&lt;&gt;7,CT426-VLOOKUP($P426&amp;" | "&amp;CK$6,'Job Master'!$F$12:$I$102,4,0),CT426-VLOOKUP($P426&amp;" | "&amp;CK$6,'Job Master'!$F$12:$I$102,4,0)-1),""),"")</f>
        <v/>
      </c>
      <c r="CN426" s="73"/>
      <c r="CO426" s="123" t="str">
        <f t="shared" si="798"/>
        <v/>
      </c>
      <c r="CP426" s="123" t="str">
        <f t="shared" si="799"/>
        <v/>
      </c>
      <c r="CQ426" s="97" t="str">
        <f t="shared" ca="1" si="800"/>
        <v/>
      </c>
      <c r="CR426" s="98" t="str">
        <f>IF(CT426&lt;&gt;"",VLOOKUP($P426&amp;" | "&amp;CR$6,'Job Master'!$F$12:$J$102,5,0),"")</f>
        <v/>
      </c>
      <c r="CS426" s="19" t="str">
        <f>IF(CT426&lt;&gt;"",VLOOKUP($P426&amp;" | "&amp;CR$6,'Job Master'!$F$12:$J$102,3,0),"")</f>
        <v/>
      </c>
      <c r="CT426" s="19" t="str">
        <f>IFERROR(IF(AND(DA426&lt;&gt;"",VLOOKUP($P426&amp;" | "&amp;CR$6,'Job Master'!$F$12:$I$102,4,0)&lt;&gt;""),IF(WEEKDAY(DA426-VLOOKUP($P426&amp;" | "&amp;CR$6,'Job Master'!$F$12:$I$102,4,0))&lt;&gt;7,DA426-VLOOKUP($P426&amp;" | "&amp;CR$6,'Job Master'!$F$12:$I$102,4,0),DA426-VLOOKUP($P426&amp;" | "&amp;CR$6,'Job Master'!$F$12:$I$102,4,0)-1),""),"")</f>
        <v/>
      </c>
      <c r="CU426" s="73"/>
      <c r="CV426" s="123" t="str">
        <f t="shared" si="801"/>
        <v/>
      </c>
      <c r="CW426" s="123" t="str">
        <f t="shared" si="802"/>
        <v/>
      </c>
      <c r="CX426" s="97" t="str">
        <f t="shared" ca="1" si="803"/>
        <v/>
      </c>
      <c r="CY426" s="98" t="str">
        <f>IF(DA426&lt;&gt;"",VLOOKUP($P426&amp;" | "&amp;CY$6,'Job Master'!$F$12:$J$102,5,0),"")</f>
        <v/>
      </c>
      <c r="CZ426" s="19" t="str">
        <f>IF(DA426&lt;&gt;"",VLOOKUP($P426&amp;" | "&amp;CY$6,'Job Master'!$F$12:$J$102,3,0),"")</f>
        <v/>
      </c>
      <c r="DA426" s="19" t="str">
        <f>IFERROR(IF(AND(DH426&lt;&gt;"",VLOOKUP($P426&amp;" | "&amp;CY$6,'Job Master'!$F$12:$I$102,4,0)&lt;&gt;""),IF(WEEKDAY(DH426-VLOOKUP($P426&amp;" | "&amp;CY$6,'Job Master'!$F$12:$I$102,4,0))&lt;&gt;7,DH426-VLOOKUP($P426&amp;" | "&amp;CY$6,'Job Master'!$F$12:$I$102,4,0),DH426-VLOOKUP($P426&amp;" | "&amp;CY$6,'Job Master'!$F$12:$I$102,4,0)-1),""),"")</f>
        <v/>
      </c>
      <c r="DB426" s="73"/>
      <c r="DC426" s="123" t="str">
        <f t="shared" si="804"/>
        <v/>
      </c>
      <c r="DD426" s="123" t="str">
        <f t="shared" si="805"/>
        <v/>
      </c>
      <c r="DE426" s="97" t="str">
        <f t="shared" ca="1" si="806"/>
        <v/>
      </c>
      <c r="DF426" s="98" t="str">
        <f>IF(DH426&lt;&gt;"",VLOOKUP($P426&amp;" | "&amp;DF$6,'Job Master'!$F$12:$J$102,5,0),"")</f>
        <v/>
      </c>
      <c r="DG426" s="19" t="str">
        <f>IF(DH426&lt;&gt;"",VLOOKUP($P426&amp;" | "&amp;DF$6,'Job Master'!$F$12:$J$102,3,0),"")</f>
        <v/>
      </c>
      <c r="DH426" s="19" t="str">
        <f>IFERROR(IF(AND(DO426&lt;&gt;"",VLOOKUP($P426&amp;" | "&amp;DF$6,'Job Master'!$F$12:$I$102,4,0)&lt;&gt;""),IF(WEEKDAY(DO426-VLOOKUP($P426&amp;" | "&amp;DF$6,'Job Master'!$F$12:$I$102,4,0))&lt;&gt;7,DO426-VLOOKUP($P426&amp;" | "&amp;DF$6,'Job Master'!$F$12:$I$102,4,0),DO426-VLOOKUP($P426&amp;" | "&amp;DF$6,'Job Master'!$F$12:$I$102,4,0)-1),""),"")</f>
        <v/>
      </c>
      <c r="DI426" s="73"/>
      <c r="DJ426" s="123" t="str">
        <f t="shared" si="807"/>
        <v/>
      </c>
      <c r="DK426" s="123" t="str">
        <f t="shared" si="808"/>
        <v/>
      </c>
      <c r="DL426" s="97" t="str">
        <f t="shared" ca="1" si="809"/>
        <v/>
      </c>
      <c r="DM426" s="98" t="str">
        <f>IF(DO426&lt;&gt;"",VLOOKUP($P426&amp;" | "&amp;DM$6,'Job Master'!$F$12:$J$102,5,0),"")</f>
        <v/>
      </c>
      <c r="DN426" s="19" t="str">
        <f>IF(DO426&lt;&gt;"",VLOOKUP($P426&amp;" | "&amp;DM$6,'Job Master'!$F$12:$J$102,3,0),"")</f>
        <v/>
      </c>
      <c r="DO426" s="19" t="str">
        <f>IFERROR(IF(AND(DT426&lt;&gt;"",VLOOKUP($P426&amp;" | "&amp;DM$6,'Job Master'!$F$12:$I$102,4,0)&lt;&gt;""),IF(WEEKDAY(DT426-VLOOKUP($P426&amp;" | "&amp;DM$6,'Job Master'!$F$12:$I$102,4,0))&lt;&gt;7,DT426-VLOOKUP($P426&amp;" | "&amp;DM$6,'Job Master'!$F$12:$I$102,4,0),DT426-VLOOKUP($P426&amp;" | "&amp;DM$6,'Job Master'!$F$12:$I$102,4,0)-1),""),"")</f>
        <v/>
      </c>
      <c r="DP426" s="73"/>
      <c r="DQ426" s="123" t="str">
        <f t="shared" si="810"/>
        <v/>
      </c>
      <c r="DR426" s="123" t="str">
        <f t="shared" si="811"/>
        <v/>
      </c>
      <c r="DS426" s="97" t="str">
        <f t="shared" ca="1" si="812"/>
        <v/>
      </c>
      <c r="DT426" s="70" t="str">
        <f t="shared" si="813"/>
        <v/>
      </c>
      <c r="DU426" s="90"/>
      <c r="DV426" s="123" t="str">
        <f t="shared" si="814"/>
        <v/>
      </c>
      <c r="DW426" s="123" t="str">
        <f t="shared" si="815"/>
        <v/>
      </c>
      <c r="DX426" s="132" t="str">
        <f t="shared" ref="DX426" ca="1" si="859">IF(DT426&lt;&gt;"",IF(WEEKNUM(DT426)=WEEKNUM(TODAY()),"This Week",IF(WEEKNUM(DT426)=WEEKNUM(TODAY())+1,"Next Week",IF(WEEKNUM(DT426)=WEEKNUM(TODAY())-1,"Previous Week",""))),"")</f>
        <v/>
      </c>
      <c r="DY426" s="134" t="str">
        <f t="shared" si="817"/>
        <v/>
      </c>
      <c r="DZ426" s="95"/>
      <c r="EB426" s="8" t="str">
        <f t="shared" si="823"/>
        <v/>
      </c>
      <c r="EC426" s="8" t="str">
        <f>IF(O426&lt;&gt;"",VLOOKUP(O426,'Job Master'!$N$12:$O$18,2,0),"")</f>
        <v/>
      </c>
      <c r="ED426" s="8">
        <f t="shared" si="824"/>
        <v>19.5</v>
      </c>
      <c r="EE426" s="8">
        <f t="shared" si="825"/>
        <v>6</v>
      </c>
      <c r="EF426" s="8">
        <f t="shared" si="826"/>
        <v>-2476.5</v>
      </c>
      <c r="EG426" s="8" t="str">
        <f t="shared" si="827"/>
        <v/>
      </c>
      <c r="EH426" s="8" t="str">
        <f t="shared" si="828"/>
        <v/>
      </c>
    </row>
    <row r="427" spans="2:138" x14ac:dyDescent="0.3">
      <c r="B427" s="112"/>
      <c r="C427" s="27"/>
      <c r="D427" s="7" t="str">
        <f t="shared" si="765"/>
        <v/>
      </c>
      <c r="E427" s="25"/>
      <c r="F427" s="7" t="str">
        <f t="shared" si="765"/>
        <v/>
      </c>
      <c r="G427" s="25"/>
      <c r="H427" s="7" t="str">
        <f t="shared" si="765"/>
        <v/>
      </c>
      <c r="I427" s="25"/>
      <c r="J427" s="7" t="str">
        <f t="shared" si="765"/>
        <v/>
      </c>
      <c r="K427" s="25"/>
      <c r="L427" s="7" t="str">
        <f t="shared" si="766"/>
        <v/>
      </c>
      <c r="M427" s="25"/>
      <c r="N427" s="7" t="str">
        <f t="shared" si="767"/>
        <v/>
      </c>
      <c r="O427" s="81"/>
      <c r="P427" s="81" t="str">
        <f t="shared" si="768"/>
        <v/>
      </c>
      <c r="Q427" s="81"/>
      <c r="R427" s="7" t="str">
        <f t="shared" si="769"/>
        <v/>
      </c>
      <c r="S427" s="25"/>
      <c r="T427" s="7" t="str">
        <f t="shared" si="770"/>
        <v/>
      </c>
      <c r="U427" s="25"/>
      <c r="V427" s="7" t="str">
        <f t="shared" si="771"/>
        <v/>
      </c>
      <c r="W427" s="25"/>
      <c r="X427" s="7" t="str">
        <f t="shared" si="772"/>
        <v/>
      </c>
      <c r="Y427" s="18" t="str">
        <f t="shared" si="773"/>
        <v/>
      </c>
      <c r="Z427" s="7" t="str">
        <f t="shared" si="774"/>
        <v/>
      </c>
      <c r="AA427" s="18" t="str">
        <f t="shared" si="775"/>
        <v/>
      </c>
      <c r="AB427" s="19" t="str">
        <f t="shared" si="776"/>
        <v/>
      </c>
      <c r="AC427" s="26"/>
      <c r="AD427" s="26"/>
      <c r="AE427" s="25"/>
      <c r="AF427" s="26"/>
      <c r="AG427" s="25"/>
      <c r="AH427" s="25"/>
      <c r="AI427" s="18" t="str">
        <f t="shared" si="839"/>
        <v/>
      </c>
      <c r="AJ427" s="25"/>
      <c r="AK427" s="18" t="str">
        <f t="shared" si="840"/>
        <v/>
      </c>
      <c r="AL427" s="79"/>
      <c r="AM427" s="126" t="str">
        <f t="shared" si="841"/>
        <v/>
      </c>
      <c r="AN427" s="128" t="str">
        <f>IF(AP427&lt;&gt;"",VLOOKUP($P427&amp;" | "&amp;AN$6,'Job Master'!$F$12:$J$102,5,0),"")</f>
        <v/>
      </c>
      <c r="AO427" s="19" t="str">
        <f>IF(AP427&lt;&gt;"",VLOOKUP($P427&amp;" | "&amp;AN$6,'Job Master'!$F$12:$J$102,3,0),"")</f>
        <v/>
      </c>
      <c r="AP427" s="19" t="str">
        <f>IFERROR(IF(AND(AW427&lt;&gt;"",VLOOKUP($P427&amp;" | "&amp;AN$6,'Job Master'!$F$12:$I$102,4,0)&lt;&gt;""),IF(WEEKDAY(AW427-VLOOKUP($P427&amp;" | "&amp;AN$6,'Job Master'!$F$12:$I$102,4,0))&lt;&gt;7,AW427-VLOOKUP($P427&amp;" | "&amp;AN$6,'Job Master'!$F$12:$I$102,4,0),AW427-VLOOKUP($P427&amp;" | "&amp;AN$6,'Job Master'!$F$12:$I$102,4,0)-1),""),"")</f>
        <v/>
      </c>
      <c r="AQ427" s="73"/>
      <c r="AR427" s="123" t="str">
        <f t="shared" si="777"/>
        <v/>
      </c>
      <c r="AS427" s="123" t="str">
        <f t="shared" si="778"/>
        <v/>
      </c>
      <c r="AT427" s="97" t="str">
        <f t="shared" ca="1" si="779"/>
        <v/>
      </c>
      <c r="AU427" s="98" t="str">
        <f>IF(AW427&lt;&gt;"",VLOOKUP($P427&amp;" | "&amp;AU$6,'Job Master'!$F$12:$J$102,5,0),"")</f>
        <v/>
      </c>
      <c r="AV427" s="19" t="str">
        <f>IF(AW427&lt;&gt;"",VLOOKUP($P427&amp;" | "&amp;AU$6,'Job Master'!$F$12:$J$102,3,0),"")</f>
        <v/>
      </c>
      <c r="AW427" s="19" t="str">
        <f>IFERROR(IF(AND(BD427&lt;&gt;"",VLOOKUP($P427&amp;" | "&amp;AU$6,'Job Master'!$F$12:$I$102,4,0)&lt;&gt;""),IF(WEEKDAY(BD427-VLOOKUP($P427&amp;" | "&amp;AU$6,'Job Master'!$F$12:$I$102,4,0))&lt;&gt;7,BD427-VLOOKUP($P427&amp;" | "&amp;AU$6,'Job Master'!$F$12:$I$102,4,0),BD427-VLOOKUP($P427&amp;" | "&amp;AU$6,'Job Master'!$F$12:$I$102,4,0)-1),""),"")</f>
        <v/>
      </c>
      <c r="AX427" s="73"/>
      <c r="AY427" s="123" t="str">
        <f t="shared" si="780"/>
        <v/>
      </c>
      <c r="AZ427" s="123" t="str">
        <f t="shared" si="781"/>
        <v/>
      </c>
      <c r="BA427" s="97" t="str">
        <f t="shared" ca="1" si="782"/>
        <v/>
      </c>
      <c r="BB427" s="98" t="str">
        <f>IF(BD427&lt;&gt;"",VLOOKUP($P427&amp;" | "&amp;BB$6,'Job Master'!$F$12:$J$102,5,0),"")</f>
        <v/>
      </c>
      <c r="BC427" s="19" t="str">
        <f>IF(BD427&lt;&gt;"",VLOOKUP($P427&amp;" | "&amp;BB$6,'Job Master'!$F$12:$J$102,3,0),"")</f>
        <v/>
      </c>
      <c r="BD427" s="19" t="str">
        <f>IFERROR(IF(AND(BK427&lt;&gt;"",VLOOKUP($P427&amp;" | "&amp;BB$6,'Job Master'!$F$12:$I$102,4,0)&lt;&gt;""),IF(WEEKDAY(BK427-VLOOKUP($P427&amp;" | "&amp;BB$6,'Job Master'!$F$12:$I$102,4,0))&lt;&gt;7,BK427-VLOOKUP($P427&amp;" | "&amp;BB$6,'Job Master'!$F$12:$I$102,4,0),BK427-VLOOKUP($P427&amp;" | "&amp;BB$6,'Job Master'!$F$12:$I$102,4,0)-1),""),"")</f>
        <v/>
      </c>
      <c r="BE427" s="73"/>
      <c r="BF427" s="123" t="str">
        <f t="shared" si="783"/>
        <v/>
      </c>
      <c r="BG427" s="123" t="str">
        <f t="shared" si="784"/>
        <v/>
      </c>
      <c r="BH427" s="97" t="str">
        <f t="shared" ca="1" si="785"/>
        <v/>
      </c>
      <c r="BI427" s="98" t="str">
        <f>IF(BK427&lt;&gt;"",VLOOKUP($P427&amp;" | "&amp;BI$6,'Job Master'!$F$12:$J$102,5,0),"")</f>
        <v/>
      </c>
      <c r="BJ427" s="19" t="str">
        <f>IF(BK427&lt;&gt;"",VLOOKUP($P427&amp;" | "&amp;BI$6,'Job Master'!$F$12:$J$102,3,0),"")</f>
        <v/>
      </c>
      <c r="BK427" s="19" t="str">
        <f>IFERROR(IF(AND(BR427&lt;&gt;"",VLOOKUP($P427&amp;" | "&amp;BI$6,'Job Master'!$F$12:$I$102,4,0)&lt;&gt;""),IF(WEEKDAY(BR427-VLOOKUP($P427&amp;" | "&amp;BI$6,'Job Master'!$F$12:$I$102,4,0))&lt;&gt;7,BR427-VLOOKUP($P427&amp;" | "&amp;BI$6,'Job Master'!$F$12:$I$102,4,0),BR427-VLOOKUP($P427&amp;" | "&amp;BI$6,'Job Master'!$F$12:$I$102,4,0)-1),""),"")</f>
        <v/>
      </c>
      <c r="BL427" s="73"/>
      <c r="BM427" s="123" t="str">
        <f t="shared" si="786"/>
        <v/>
      </c>
      <c r="BN427" s="123" t="str">
        <f t="shared" si="787"/>
        <v/>
      </c>
      <c r="BO427" s="97" t="str">
        <f t="shared" ca="1" si="788"/>
        <v/>
      </c>
      <c r="BP427" s="98" t="str">
        <f>IF(BR427&lt;&gt;"",VLOOKUP($P427&amp;" | "&amp;BP$6,'Job Master'!$F$12:$J$102,5,0),"")</f>
        <v/>
      </c>
      <c r="BQ427" s="19" t="str">
        <f>IF(BR427&lt;&gt;"",VLOOKUP($P427&amp;" | "&amp;BP$6,'Job Master'!$F$12:$J$102,3,0),"")</f>
        <v/>
      </c>
      <c r="BR427" s="19" t="str">
        <f>IFERROR(IF(AND(BY427&lt;&gt;"",VLOOKUP($P427&amp;" | "&amp;BP$6,'Job Master'!$F$12:$I$102,4,0)&lt;&gt;""),IF(WEEKDAY(BY427-VLOOKUP($P427&amp;" | "&amp;BP$6,'Job Master'!$F$12:$I$102,4,0))&lt;&gt;7,BY427-VLOOKUP($P427&amp;" | "&amp;BP$6,'Job Master'!$F$12:$I$102,4,0),BY427-VLOOKUP($P427&amp;" | "&amp;BP$6,'Job Master'!$F$12:$I$102,4,0)-1),""),"")</f>
        <v/>
      </c>
      <c r="BS427" s="73"/>
      <c r="BT427" s="123" t="str">
        <f t="shared" si="789"/>
        <v/>
      </c>
      <c r="BU427" s="123" t="str">
        <f t="shared" si="790"/>
        <v/>
      </c>
      <c r="BV427" s="97" t="str">
        <f t="shared" ca="1" si="791"/>
        <v/>
      </c>
      <c r="BW427" s="98" t="str">
        <f>IF(BY427&lt;&gt;"",VLOOKUP($P427&amp;" | "&amp;BW$6,'Job Master'!$F$12:$J$102,5,0),"")</f>
        <v/>
      </c>
      <c r="BX427" s="19" t="str">
        <f>IF(BY427&lt;&gt;"",VLOOKUP($P427&amp;" | "&amp;BW$6,'Job Master'!$F$12:$J$102,3,0),"")</f>
        <v/>
      </c>
      <c r="BY427" s="19" t="str">
        <f>IFERROR(IF(AND(CF427&lt;&gt;"",VLOOKUP($P427&amp;" | "&amp;BW$6,'Job Master'!$F$12:$I$102,4,0)&lt;&gt;""),IF(WEEKDAY(CF427-VLOOKUP($P427&amp;" | "&amp;BW$6,'Job Master'!$F$12:$I$102,4,0))&lt;&gt;7,CF427-VLOOKUP($P427&amp;" | "&amp;BW$6,'Job Master'!$F$12:$I$102,4,0),CF427-VLOOKUP($P427&amp;" | "&amp;BW$6,'Job Master'!$F$12:$I$102,4,0)-1),""),"")</f>
        <v/>
      </c>
      <c r="BZ427" s="73"/>
      <c r="CA427" s="123" t="str">
        <f t="shared" si="792"/>
        <v/>
      </c>
      <c r="CB427" s="123" t="str">
        <f t="shared" si="793"/>
        <v/>
      </c>
      <c r="CC427" s="97" t="str">
        <f t="shared" ca="1" si="794"/>
        <v/>
      </c>
      <c r="CD427" s="98" t="str">
        <f>IF(CF427&lt;&gt;"",VLOOKUP($P427&amp;" | "&amp;CD$6,'Job Master'!$F$12:$J$102,5,0),"")</f>
        <v/>
      </c>
      <c r="CE427" s="19" t="str">
        <f>IF(CF427&lt;&gt;"",VLOOKUP($P427&amp;" | "&amp;CD$6,'Job Master'!$F$12:$J$102,3,0),"")</f>
        <v/>
      </c>
      <c r="CF427" s="19" t="str">
        <f>IFERROR(IF(AND(CM427&lt;&gt;"",VLOOKUP($P427&amp;" | "&amp;CD$6,'Job Master'!$F$12:$I$102,4,0)&lt;&gt;""),IF(WEEKDAY(CM427-VLOOKUP($P427&amp;" | "&amp;CD$6,'Job Master'!$F$12:$I$102,4,0))&lt;&gt;7,CM427-VLOOKUP($P427&amp;" | "&amp;CD$6,'Job Master'!$F$12:$I$102,4,0),CM427-VLOOKUP($P427&amp;" | "&amp;CD$6,'Job Master'!$F$12:$I$102,4,0)-1),""),"")</f>
        <v/>
      </c>
      <c r="CG427" s="73"/>
      <c r="CH427" s="123" t="str">
        <f t="shared" si="795"/>
        <v/>
      </c>
      <c r="CI427" s="123" t="str">
        <f t="shared" si="796"/>
        <v/>
      </c>
      <c r="CJ427" s="97" t="str">
        <f t="shared" ca="1" si="797"/>
        <v/>
      </c>
      <c r="CK427" s="98" t="str">
        <f>IF(CM427&lt;&gt;"",VLOOKUP($P427&amp;" | "&amp;CK$6,'Job Master'!$F$12:$J$102,5,0),"")</f>
        <v/>
      </c>
      <c r="CL427" s="19" t="str">
        <f>IF(CM427&lt;&gt;"",VLOOKUP($P427&amp;" | "&amp;CK$6,'Job Master'!$F$12:$J$102,3,0),"")</f>
        <v/>
      </c>
      <c r="CM427" s="19" t="str">
        <f>IFERROR(IF(AND(CT427&lt;&gt;"",VLOOKUP($P427&amp;" | "&amp;CK$6,'Job Master'!$F$12:$I$102,4,0)&lt;&gt;""),IF(WEEKDAY(CT427-VLOOKUP($P427&amp;" | "&amp;CK$6,'Job Master'!$F$12:$I$102,4,0))&lt;&gt;7,CT427-VLOOKUP($P427&amp;" | "&amp;CK$6,'Job Master'!$F$12:$I$102,4,0),CT427-VLOOKUP($P427&amp;" | "&amp;CK$6,'Job Master'!$F$12:$I$102,4,0)-1),""),"")</f>
        <v/>
      </c>
      <c r="CN427" s="73"/>
      <c r="CO427" s="123" t="str">
        <f t="shared" si="798"/>
        <v/>
      </c>
      <c r="CP427" s="123" t="str">
        <f t="shared" si="799"/>
        <v/>
      </c>
      <c r="CQ427" s="97" t="str">
        <f t="shared" ca="1" si="800"/>
        <v/>
      </c>
      <c r="CR427" s="98" t="str">
        <f>IF(CT427&lt;&gt;"",VLOOKUP($P427&amp;" | "&amp;CR$6,'Job Master'!$F$12:$J$102,5,0),"")</f>
        <v/>
      </c>
      <c r="CS427" s="19" t="str">
        <f>IF(CT427&lt;&gt;"",VLOOKUP($P427&amp;" | "&amp;CR$6,'Job Master'!$F$12:$J$102,3,0),"")</f>
        <v/>
      </c>
      <c r="CT427" s="19" t="str">
        <f>IFERROR(IF(AND(DA427&lt;&gt;"",VLOOKUP($P427&amp;" | "&amp;CR$6,'Job Master'!$F$12:$I$102,4,0)&lt;&gt;""),IF(WEEKDAY(DA427-VLOOKUP($P427&amp;" | "&amp;CR$6,'Job Master'!$F$12:$I$102,4,0))&lt;&gt;7,DA427-VLOOKUP($P427&amp;" | "&amp;CR$6,'Job Master'!$F$12:$I$102,4,0),DA427-VLOOKUP($P427&amp;" | "&amp;CR$6,'Job Master'!$F$12:$I$102,4,0)-1),""),"")</f>
        <v/>
      </c>
      <c r="CU427" s="73"/>
      <c r="CV427" s="123" t="str">
        <f t="shared" si="801"/>
        <v/>
      </c>
      <c r="CW427" s="123" t="str">
        <f t="shared" si="802"/>
        <v/>
      </c>
      <c r="CX427" s="97" t="str">
        <f t="shared" ca="1" si="803"/>
        <v/>
      </c>
      <c r="CY427" s="98" t="str">
        <f>IF(DA427&lt;&gt;"",VLOOKUP($P427&amp;" | "&amp;CY$6,'Job Master'!$F$12:$J$102,5,0),"")</f>
        <v/>
      </c>
      <c r="CZ427" s="19" t="str">
        <f>IF(DA427&lt;&gt;"",VLOOKUP($P427&amp;" | "&amp;CY$6,'Job Master'!$F$12:$J$102,3,0),"")</f>
        <v/>
      </c>
      <c r="DA427" s="19" t="str">
        <f>IFERROR(IF(AND(DH427&lt;&gt;"",VLOOKUP($P427&amp;" | "&amp;CY$6,'Job Master'!$F$12:$I$102,4,0)&lt;&gt;""),IF(WEEKDAY(DH427-VLOOKUP($P427&amp;" | "&amp;CY$6,'Job Master'!$F$12:$I$102,4,0))&lt;&gt;7,DH427-VLOOKUP($P427&amp;" | "&amp;CY$6,'Job Master'!$F$12:$I$102,4,0),DH427-VLOOKUP($P427&amp;" | "&amp;CY$6,'Job Master'!$F$12:$I$102,4,0)-1),""),"")</f>
        <v/>
      </c>
      <c r="DB427" s="73"/>
      <c r="DC427" s="123" t="str">
        <f t="shared" si="804"/>
        <v/>
      </c>
      <c r="DD427" s="123" t="str">
        <f t="shared" si="805"/>
        <v/>
      </c>
      <c r="DE427" s="97" t="str">
        <f t="shared" ca="1" si="806"/>
        <v/>
      </c>
      <c r="DF427" s="98" t="str">
        <f>IF(DH427&lt;&gt;"",VLOOKUP($P427&amp;" | "&amp;DF$6,'Job Master'!$F$12:$J$102,5,0),"")</f>
        <v/>
      </c>
      <c r="DG427" s="19" t="str">
        <f>IF(DH427&lt;&gt;"",VLOOKUP($P427&amp;" | "&amp;DF$6,'Job Master'!$F$12:$J$102,3,0),"")</f>
        <v/>
      </c>
      <c r="DH427" s="19" t="str">
        <f>IFERROR(IF(AND(DO427&lt;&gt;"",VLOOKUP($P427&amp;" | "&amp;DF$6,'Job Master'!$F$12:$I$102,4,0)&lt;&gt;""),IF(WEEKDAY(DO427-VLOOKUP($P427&amp;" | "&amp;DF$6,'Job Master'!$F$12:$I$102,4,0))&lt;&gt;7,DO427-VLOOKUP($P427&amp;" | "&amp;DF$6,'Job Master'!$F$12:$I$102,4,0),DO427-VLOOKUP($P427&amp;" | "&amp;DF$6,'Job Master'!$F$12:$I$102,4,0)-1),""),"")</f>
        <v/>
      </c>
      <c r="DI427" s="73"/>
      <c r="DJ427" s="123" t="str">
        <f t="shared" si="807"/>
        <v/>
      </c>
      <c r="DK427" s="123" t="str">
        <f t="shared" si="808"/>
        <v/>
      </c>
      <c r="DL427" s="97" t="str">
        <f t="shared" ca="1" si="809"/>
        <v/>
      </c>
      <c r="DM427" s="98" t="str">
        <f>IF(DO427&lt;&gt;"",VLOOKUP($P427&amp;" | "&amp;DM$6,'Job Master'!$F$12:$J$102,5,0),"")</f>
        <v/>
      </c>
      <c r="DN427" s="19" t="str">
        <f>IF(DO427&lt;&gt;"",VLOOKUP($P427&amp;" | "&amp;DM$6,'Job Master'!$F$12:$J$102,3,0),"")</f>
        <v/>
      </c>
      <c r="DO427" s="19" t="str">
        <f>IFERROR(IF(AND(DT427&lt;&gt;"",VLOOKUP($P427&amp;" | "&amp;DM$6,'Job Master'!$F$12:$I$102,4,0)&lt;&gt;""),IF(WEEKDAY(DT427-VLOOKUP($P427&amp;" | "&amp;DM$6,'Job Master'!$F$12:$I$102,4,0))&lt;&gt;7,DT427-VLOOKUP($P427&amp;" | "&amp;DM$6,'Job Master'!$F$12:$I$102,4,0),DT427-VLOOKUP($P427&amp;" | "&amp;DM$6,'Job Master'!$F$12:$I$102,4,0)-1),""),"")</f>
        <v/>
      </c>
      <c r="DP427" s="73"/>
      <c r="DQ427" s="123" t="str">
        <f t="shared" si="810"/>
        <v/>
      </c>
      <c r="DR427" s="123" t="str">
        <f t="shared" si="811"/>
        <v/>
      </c>
      <c r="DS427" s="97" t="str">
        <f t="shared" ca="1" si="812"/>
        <v/>
      </c>
      <c r="DT427" s="70" t="str">
        <f t="shared" si="813"/>
        <v/>
      </c>
      <c r="DU427" s="90"/>
      <c r="DV427" s="123" t="str">
        <f t="shared" si="814"/>
        <v/>
      </c>
      <c r="DW427" s="123" t="str">
        <f t="shared" si="815"/>
        <v/>
      </c>
      <c r="DX427" s="132" t="str">
        <f t="shared" ref="DX427" ca="1" si="860">IF(DT427&lt;&gt;"",IF(WEEKNUM(DT427)=WEEKNUM(TODAY()),"This Week",IF(WEEKNUM(DT427)=WEEKNUM(TODAY())+1,"Next Week",IF(WEEKNUM(DT427)=WEEKNUM(TODAY())-1,"Previous Week",""))),"")</f>
        <v/>
      </c>
      <c r="DY427" s="134" t="str">
        <f t="shared" si="817"/>
        <v/>
      </c>
      <c r="DZ427" s="95"/>
      <c r="EB427" s="8" t="str">
        <f t="shared" si="823"/>
        <v/>
      </c>
      <c r="EC427" s="8" t="str">
        <f>IF(O427&lt;&gt;"",VLOOKUP(O427,'Job Master'!$N$12:$O$18,2,0),"")</f>
        <v/>
      </c>
      <c r="ED427" s="8">
        <f t="shared" si="824"/>
        <v>19.5</v>
      </c>
      <c r="EE427" s="8">
        <f t="shared" si="825"/>
        <v>6</v>
      </c>
      <c r="EF427" s="8">
        <f t="shared" si="826"/>
        <v>-2482.5</v>
      </c>
      <c r="EG427" s="8" t="str">
        <f t="shared" si="827"/>
        <v/>
      </c>
      <c r="EH427" s="8" t="str">
        <f t="shared" si="828"/>
        <v/>
      </c>
    </row>
    <row r="428" spans="2:138" x14ac:dyDescent="0.3">
      <c r="B428" s="112"/>
      <c r="C428" s="27"/>
      <c r="D428" s="7" t="str">
        <f t="shared" si="765"/>
        <v/>
      </c>
      <c r="E428" s="25"/>
      <c r="F428" s="7" t="str">
        <f t="shared" si="765"/>
        <v/>
      </c>
      <c r="G428" s="25"/>
      <c r="H428" s="7" t="str">
        <f t="shared" si="765"/>
        <v/>
      </c>
      <c r="I428" s="25"/>
      <c r="J428" s="7" t="str">
        <f t="shared" si="765"/>
        <v/>
      </c>
      <c r="K428" s="25"/>
      <c r="L428" s="7" t="str">
        <f t="shared" si="766"/>
        <v/>
      </c>
      <c r="M428" s="25"/>
      <c r="N428" s="7" t="str">
        <f t="shared" si="767"/>
        <v/>
      </c>
      <c r="O428" s="81"/>
      <c r="P428" s="81" t="str">
        <f t="shared" si="768"/>
        <v/>
      </c>
      <c r="Q428" s="81"/>
      <c r="R428" s="7" t="str">
        <f t="shared" si="769"/>
        <v/>
      </c>
      <c r="S428" s="25"/>
      <c r="T428" s="7" t="str">
        <f t="shared" si="770"/>
        <v/>
      </c>
      <c r="U428" s="25"/>
      <c r="V428" s="7" t="str">
        <f t="shared" si="771"/>
        <v/>
      </c>
      <c r="W428" s="25"/>
      <c r="X428" s="7" t="str">
        <f t="shared" si="772"/>
        <v/>
      </c>
      <c r="Y428" s="18" t="str">
        <f t="shared" si="773"/>
        <v/>
      </c>
      <c r="Z428" s="7" t="str">
        <f t="shared" si="774"/>
        <v/>
      </c>
      <c r="AA428" s="18" t="str">
        <f t="shared" si="775"/>
        <v/>
      </c>
      <c r="AB428" s="19" t="str">
        <f t="shared" si="776"/>
        <v/>
      </c>
      <c r="AC428" s="26"/>
      <c r="AD428" s="26"/>
      <c r="AE428" s="25"/>
      <c r="AF428" s="26"/>
      <c r="AG428" s="25"/>
      <c r="AH428" s="25"/>
      <c r="AI428" s="18" t="str">
        <f t="shared" si="839"/>
        <v/>
      </c>
      <c r="AJ428" s="25"/>
      <c r="AK428" s="18" t="str">
        <f t="shared" si="840"/>
        <v/>
      </c>
      <c r="AL428" s="79"/>
      <c r="AM428" s="126" t="str">
        <f t="shared" si="841"/>
        <v/>
      </c>
      <c r="AN428" s="128" t="str">
        <f>IF(AP428&lt;&gt;"",VLOOKUP($P428&amp;" | "&amp;AN$6,'Job Master'!$F$12:$J$102,5,0),"")</f>
        <v/>
      </c>
      <c r="AO428" s="19" t="str">
        <f>IF(AP428&lt;&gt;"",VLOOKUP($P428&amp;" | "&amp;AN$6,'Job Master'!$F$12:$J$102,3,0),"")</f>
        <v/>
      </c>
      <c r="AP428" s="19" t="str">
        <f>IFERROR(IF(AND(AW428&lt;&gt;"",VLOOKUP($P428&amp;" | "&amp;AN$6,'Job Master'!$F$12:$I$102,4,0)&lt;&gt;""),IF(WEEKDAY(AW428-VLOOKUP($P428&amp;" | "&amp;AN$6,'Job Master'!$F$12:$I$102,4,0))&lt;&gt;7,AW428-VLOOKUP($P428&amp;" | "&amp;AN$6,'Job Master'!$F$12:$I$102,4,0),AW428-VLOOKUP($P428&amp;" | "&amp;AN$6,'Job Master'!$F$12:$I$102,4,0)-1),""),"")</f>
        <v/>
      </c>
      <c r="AQ428" s="73"/>
      <c r="AR428" s="123" t="str">
        <f t="shared" si="777"/>
        <v/>
      </c>
      <c r="AS428" s="123" t="str">
        <f t="shared" si="778"/>
        <v/>
      </c>
      <c r="AT428" s="97" t="str">
        <f t="shared" ca="1" si="779"/>
        <v/>
      </c>
      <c r="AU428" s="98" t="str">
        <f>IF(AW428&lt;&gt;"",VLOOKUP($P428&amp;" | "&amp;AU$6,'Job Master'!$F$12:$J$102,5,0),"")</f>
        <v/>
      </c>
      <c r="AV428" s="19" t="str">
        <f>IF(AW428&lt;&gt;"",VLOOKUP($P428&amp;" | "&amp;AU$6,'Job Master'!$F$12:$J$102,3,0),"")</f>
        <v/>
      </c>
      <c r="AW428" s="19" t="str">
        <f>IFERROR(IF(AND(BD428&lt;&gt;"",VLOOKUP($P428&amp;" | "&amp;AU$6,'Job Master'!$F$12:$I$102,4,0)&lt;&gt;""),IF(WEEKDAY(BD428-VLOOKUP($P428&amp;" | "&amp;AU$6,'Job Master'!$F$12:$I$102,4,0))&lt;&gt;7,BD428-VLOOKUP($P428&amp;" | "&amp;AU$6,'Job Master'!$F$12:$I$102,4,0),BD428-VLOOKUP($P428&amp;" | "&amp;AU$6,'Job Master'!$F$12:$I$102,4,0)-1),""),"")</f>
        <v/>
      </c>
      <c r="AX428" s="73"/>
      <c r="AY428" s="123" t="str">
        <f t="shared" si="780"/>
        <v/>
      </c>
      <c r="AZ428" s="123" t="str">
        <f t="shared" si="781"/>
        <v/>
      </c>
      <c r="BA428" s="97" t="str">
        <f t="shared" ca="1" si="782"/>
        <v/>
      </c>
      <c r="BB428" s="98" t="str">
        <f>IF(BD428&lt;&gt;"",VLOOKUP($P428&amp;" | "&amp;BB$6,'Job Master'!$F$12:$J$102,5,0),"")</f>
        <v/>
      </c>
      <c r="BC428" s="19" t="str">
        <f>IF(BD428&lt;&gt;"",VLOOKUP($P428&amp;" | "&amp;BB$6,'Job Master'!$F$12:$J$102,3,0),"")</f>
        <v/>
      </c>
      <c r="BD428" s="19" t="str">
        <f>IFERROR(IF(AND(BK428&lt;&gt;"",VLOOKUP($P428&amp;" | "&amp;BB$6,'Job Master'!$F$12:$I$102,4,0)&lt;&gt;""),IF(WEEKDAY(BK428-VLOOKUP($P428&amp;" | "&amp;BB$6,'Job Master'!$F$12:$I$102,4,0))&lt;&gt;7,BK428-VLOOKUP($P428&amp;" | "&amp;BB$6,'Job Master'!$F$12:$I$102,4,0),BK428-VLOOKUP($P428&amp;" | "&amp;BB$6,'Job Master'!$F$12:$I$102,4,0)-1),""),"")</f>
        <v/>
      </c>
      <c r="BE428" s="73"/>
      <c r="BF428" s="123" t="str">
        <f t="shared" si="783"/>
        <v/>
      </c>
      <c r="BG428" s="123" t="str">
        <f t="shared" si="784"/>
        <v/>
      </c>
      <c r="BH428" s="97" t="str">
        <f t="shared" ca="1" si="785"/>
        <v/>
      </c>
      <c r="BI428" s="98" t="str">
        <f>IF(BK428&lt;&gt;"",VLOOKUP($P428&amp;" | "&amp;BI$6,'Job Master'!$F$12:$J$102,5,0),"")</f>
        <v/>
      </c>
      <c r="BJ428" s="19" t="str">
        <f>IF(BK428&lt;&gt;"",VLOOKUP($P428&amp;" | "&amp;BI$6,'Job Master'!$F$12:$J$102,3,0),"")</f>
        <v/>
      </c>
      <c r="BK428" s="19" t="str">
        <f>IFERROR(IF(AND(BR428&lt;&gt;"",VLOOKUP($P428&amp;" | "&amp;BI$6,'Job Master'!$F$12:$I$102,4,0)&lt;&gt;""),IF(WEEKDAY(BR428-VLOOKUP($P428&amp;" | "&amp;BI$6,'Job Master'!$F$12:$I$102,4,0))&lt;&gt;7,BR428-VLOOKUP($P428&amp;" | "&amp;BI$6,'Job Master'!$F$12:$I$102,4,0),BR428-VLOOKUP($P428&amp;" | "&amp;BI$6,'Job Master'!$F$12:$I$102,4,0)-1),""),"")</f>
        <v/>
      </c>
      <c r="BL428" s="73"/>
      <c r="BM428" s="123" t="str">
        <f t="shared" si="786"/>
        <v/>
      </c>
      <c r="BN428" s="123" t="str">
        <f t="shared" si="787"/>
        <v/>
      </c>
      <c r="BO428" s="97" t="str">
        <f t="shared" ca="1" si="788"/>
        <v/>
      </c>
      <c r="BP428" s="98" t="str">
        <f>IF(BR428&lt;&gt;"",VLOOKUP($P428&amp;" | "&amp;BP$6,'Job Master'!$F$12:$J$102,5,0),"")</f>
        <v/>
      </c>
      <c r="BQ428" s="19" t="str">
        <f>IF(BR428&lt;&gt;"",VLOOKUP($P428&amp;" | "&amp;BP$6,'Job Master'!$F$12:$J$102,3,0),"")</f>
        <v/>
      </c>
      <c r="BR428" s="19" t="str">
        <f>IFERROR(IF(AND(BY428&lt;&gt;"",VLOOKUP($P428&amp;" | "&amp;BP$6,'Job Master'!$F$12:$I$102,4,0)&lt;&gt;""),IF(WEEKDAY(BY428-VLOOKUP($P428&amp;" | "&amp;BP$6,'Job Master'!$F$12:$I$102,4,0))&lt;&gt;7,BY428-VLOOKUP($P428&amp;" | "&amp;BP$6,'Job Master'!$F$12:$I$102,4,0),BY428-VLOOKUP($P428&amp;" | "&amp;BP$6,'Job Master'!$F$12:$I$102,4,0)-1),""),"")</f>
        <v/>
      </c>
      <c r="BS428" s="73"/>
      <c r="BT428" s="123" t="str">
        <f t="shared" si="789"/>
        <v/>
      </c>
      <c r="BU428" s="123" t="str">
        <f t="shared" si="790"/>
        <v/>
      </c>
      <c r="BV428" s="97" t="str">
        <f t="shared" ca="1" si="791"/>
        <v/>
      </c>
      <c r="BW428" s="98" t="str">
        <f>IF(BY428&lt;&gt;"",VLOOKUP($P428&amp;" | "&amp;BW$6,'Job Master'!$F$12:$J$102,5,0),"")</f>
        <v/>
      </c>
      <c r="BX428" s="19" t="str">
        <f>IF(BY428&lt;&gt;"",VLOOKUP($P428&amp;" | "&amp;BW$6,'Job Master'!$F$12:$J$102,3,0),"")</f>
        <v/>
      </c>
      <c r="BY428" s="19" t="str">
        <f>IFERROR(IF(AND(CF428&lt;&gt;"",VLOOKUP($P428&amp;" | "&amp;BW$6,'Job Master'!$F$12:$I$102,4,0)&lt;&gt;""),IF(WEEKDAY(CF428-VLOOKUP($P428&amp;" | "&amp;BW$6,'Job Master'!$F$12:$I$102,4,0))&lt;&gt;7,CF428-VLOOKUP($P428&amp;" | "&amp;BW$6,'Job Master'!$F$12:$I$102,4,0),CF428-VLOOKUP($P428&amp;" | "&amp;BW$6,'Job Master'!$F$12:$I$102,4,0)-1),""),"")</f>
        <v/>
      </c>
      <c r="BZ428" s="73"/>
      <c r="CA428" s="123" t="str">
        <f t="shared" si="792"/>
        <v/>
      </c>
      <c r="CB428" s="123" t="str">
        <f t="shared" si="793"/>
        <v/>
      </c>
      <c r="CC428" s="97" t="str">
        <f t="shared" ca="1" si="794"/>
        <v/>
      </c>
      <c r="CD428" s="98" t="str">
        <f>IF(CF428&lt;&gt;"",VLOOKUP($P428&amp;" | "&amp;CD$6,'Job Master'!$F$12:$J$102,5,0),"")</f>
        <v/>
      </c>
      <c r="CE428" s="19" t="str">
        <f>IF(CF428&lt;&gt;"",VLOOKUP($P428&amp;" | "&amp;CD$6,'Job Master'!$F$12:$J$102,3,0),"")</f>
        <v/>
      </c>
      <c r="CF428" s="19" t="str">
        <f>IFERROR(IF(AND(CM428&lt;&gt;"",VLOOKUP($P428&amp;" | "&amp;CD$6,'Job Master'!$F$12:$I$102,4,0)&lt;&gt;""),IF(WEEKDAY(CM428-VLOOKUP($P428&amp;" | "&amp;CD$6,'Job Master'!$F$12:$I$102,4,0))&lt;&gt;7,CM428-VLOOKUP($P428&amp;" | "&amp;CD$6,'Job Master'!$F$12:$I$102,4,0),CM428-VLOOKUP($P428&amp;" | "&amp;CD$6,'Job Master'!$F$12:$I$102,4,0)-1),""),"")</f>
        <v/>
      </c>
      <c r="CG428" s="73"/>
      <c r="CH428" s="123" t="str">
        <f t="shared" si="795"/>
        <v/>
      </c>
      <c r="CI428" s="123" t="str">
        <f t="shared" si="796"/>
        <v/>
      </c>
      <c r="CJ428" s="97" t="str">
        <f t="shared" ca="1" si="797"/>
        <v/>
      </c>
      <c r="CK428" s="98" t="str">
        <f>IF(CM428&lt;&gt;"",VLOOKUP($P428&amp;" | "&amp;CK$6,'Job Master'!$F$12:$J$102,5,0),"")</f>
        <v/>
      </c>
      <c r="CL428" s="19" t="str">
        <f>IF(CM428&lt;&gt;"",VLOOKUP($P428&amp;" | "&amp;CK$6,'Job Master'!$F$12:$J$102,3,0),"")</f>
        <v/>
      </c>
      <c r="CM428" s="19" t="str">
        <f>IFERROR(IF(AND(CT428&lt;&gt;"",VLOOKUP($P428&amp;" | "&amp;CK$6,'Job Master'!$F$12:$I$102,4,0)&lt;&gt;""),IF(WEEKDAY(CT428-VLOOKUP($P428&amp;" | "&amp;CK$6,'Job Master'!$F$12:$I$102,4,0))&lt;&gt;7,CT428-VLOOKUP($P428&amp;" | "&amp;CK$6,'Job Master'!$F$12:$I$102,4,0),CT428-VLOOKUP($P428&amp;" | "&amp;CK$6,'Job Master'!$F$12:$I$102,4,0)-1),""),"")</f>
        <v/>
      </c>
      <c r="CN428" s="73"/>
      <c r="CO428" s="123" t="str">
        <f t="shared" si="798"/>
        <v/>
      </c>
      <c r="CP428" s="123" t="str">
        <f t="shared" si="799"/>
        <v/>
      </c>
      <c r="CQ428" s="97" t="str">
        <f t="shared" ca="1" si="800"/>
        <v/>
      </c>
      <c r="CR428" s="98" t="str">
        <f>IF(CT428&lt;&gt;"",VLOOKUP($P428&amp;" | "&amp;CR$6,'Job Master'!$F$12:$J$102,5,0),"")</f>
        <v/>
      </c>
      <c r="CS428" s="19" t="str">
        <f>IF(CT428&lt;&gt;"",VLOOKUP($P428&amp;" | "&amp;CR$6,'Job Master'!$F$12:$J$102,3,0),"")</f>
        <v/>
      </c>
      <c r="CT428" s="19" t="str">
        <f>IFERROR(IF(AND(DA428&lt;&gt;"",VLOOKUP($P428&amp;" | "&amp;CR$6,'Job Master'!$F$12:$I$102,4,0)&lt;&gt;""),IF(WEEKDAY(DA428-VLOOKUP($P428&amp;" | "&amp;CR$6,'Job Master'!$F$12:$I$102,4,0))&lt;&gt;7,DA428-VLOOKUP($P428&amp;" | "&amp;CR$6,'Job Master'!$F$12:$I$102,4,0),DA428-VLOOKUP($P428&amp;" | "&amp;CR$6,'Job Master'!$F$12:$I$102,4,0)-1),""),"")</f>
        <v/>
      </c>
      <c r="CU428" s="73"/>
      <c r="CV428" s="123" t="str">
        <f t="shared" si="801"/>
        <v/>
      </c>
      <c r="CW428" s="123" t="str">
        <f t="shared" si="802"/>
        <v/>
      </c>
      <c r="CX428" s="97" t="str">
        <f t="shared" ca="1" si="803"/>
        <v/>
      </c>
      <c r="CY428" s="98" t="str">
        <f>IF(DA428&lt;&gt;"",VLOOKUP($P428&amp;" | "&amp;CY$6,'Job Master'!$F$12:$J$102,5,0),"")</f>
        <v/>
      </c>
      <c r="CZ428" s="19" t="str">
        <f>IF(DA428&lt;&gt;"",VLOOKUP($P428&amp;" | "&amp;CY$6,'Job Master'!$F$12:$J$102,3,0),"")</f>
        <v/>
      </c>
      <c r="DA428" s="19" t="str">
        <f>IFERROR(IF(AND(DH428&lt;&gt;"",VLOOKUP($P428&amp;" | "&amp;CY$6,'Job Master'!$F$12:$I$102,4,0)&lt;&gt;""),IF(WEEKDAY(DH428-VLOOKUP($P428&amp;" | "&amp;CY$6,'Job Master'!$F$12:$I$102,4,0))&lt;&gt;7,DH428-VLOOKUP($P428&amp;" | "&amp;CY$6,'Job Master'!$F$12:$I$102,4,0),DH428-VLOOKUP($P428&amp;" | "&amp;CY$6,'Job Master'!$F$12:$I$102,4,0)-1),""),"")</f>
        <v/>
      </c>
      <c r="DB428" s="73"/>
      <c r="DC428" s="123" t="str">
        <f t="shared" si="804"/>
        <v/>
      </c>
      <c r="DD428" s="123" t="str">
        <f t="shared" si="805"/>
        <v/>
      </c>
      <c r="DE428" s="97" t="str">
        <f t="shared" ca="1" si="806"/>
        <v/>
      </c>
      <c r="DF428" s="98" t="str">
        <f>IF(DH428&lt;&gt;"",VLOOKUP($P428&amp;" | "&amp;DF$6,'Job Master'!$F$12:$J$102,5,0),"")</f>
        <v/>
      </c>
      <c r="DG428" s="19" t="str">
        <f>IF(DH428&lt;&gt;"",VLOOKUP($P428&amp;" | "&amp;DF$6,'Job Master'!$F$12:$J$102,3,0),"")</f>
        <v/>
      </c>
      <c r="DH428" s="19" t="str">
        <f>IFERROR(IF(AND(DO428&lt;&gt;"",VLOOKUP($P428&amp;" | "&amp;DF$6,'Job Master'!$F$12:$I$102,4,0)&lt;&gt;""),IF(WEEKDAY(DO428-VLOOKUP($P428&amp;" | "&amp;DF$6,'Job Master'!$F$12:$I$102,4,0))&lt;&gt;7,DO428-VLOOKUP($P428&amp;" | "&amp;DF$6,'Job Master'!$F$12:$I$102,4,0),DO428-VLOOKUP($P428&amp;" | "&amp;DF$6,'Job Master'!$F$12:$I$102,4,0)-1),""),"")</f>
        <v/>
      </c>
      <c r="DI428" s="73"/>
      <c r="DJ428" s="123" t="str">
        <f t="shared" si="807"/>
        <v/>
      </c>
      <c r="DK428" s="123" t="str">
        <f t="shared" si="808"/>
        <v/>
      </c>
      <c r="DL428" s="97" t="str">
        <f t="shared" ca="1" si="809"/>
        <v/>
      </c>
      <c r="DM428" s="98" t="str">
        <f>IF(DO428&lt;&gt;"",VLOOKUP($P428&amp;" | "&amp;DM$6,'Job Master'!$F$12:$J$102,5,0),"")</f>
        <v/>
      </c>
      <c r="DN428" s="19" t="str">
        <f>IF(DO428&lt;&gt;"",VLOOKUP($P428&amp;" | "&amp;DM$6,'Job Master'!$F$12:$J$102,3,0),"")</f>
        <v/>
      </c>
      <c r="DO428" s="19" t="str">
        <f>IFERROR(IF(AND(DT428&lt;&gt;"",VLOOKUP($P428&amp;" | "&amp;DM$6,'Job Master'!$F$12:$I$102,4,0)&lt;&gt;""),IF(WEEKDAY(DT428-VLOOKUP($P428&amp;" | "&amp;DM$6,'Job Master'!$F$12:$I$102,4,0))&lt;&gt;7,DT428-VLOOKUP($P428&amp;" | "&amp;DM$6,'Job Master'!$F$12:$I$102,4,0),DT428-VLOOKUP($P428&amp;" | "&amp;DM$6,'Job Master'!$F$12:$I$102,4,0)-1),""),"")</f>
        <v/>
      </c>
      <c r="DP428" s="73"/>
      <c r="DQ428" s="123" t="str">
        <f t="shared" si="810"/>
        <v/>
      </c>
      <c r="DR428" s="123" t="str">
        <f t="shared" si="811"/>
        <v/>
      </c>
      <c r="DS428" s="97" t="str">
        <f t="shared" ca="1" si="812"/>
        <v/>
      </c>
      <c r="DT428" s="70" t="str">
        <f t="shared" si="813"/>
        <v/>
      </c>
      <c r="DU428" s="90"/>
      <c r="DV428" s="123" t="str">
        <f t="shared" si="814"/>
        <v/>
      </c>
      <c r="DW428" s="123" t="str">
        <f t="shared" si="815"/>
        <v/>
      </c>
      <c r="DX428" s="132" t="str">
        <f t="shared" ref="DX428" ca="1" si="861">IF(DT428&lt;&gt;"",IF(WEEKNUM(DT428)=WEEKNUM(TODAY()),"This Week",IF(WEEKNUM(DT428)=WEEKNUM(TODAY())+1,"Next Week",IF(WEEKNUM(DT428)=WEEKNUM(TODAY())-1,"Previous Week",""))),"")</f>
        <v/>
      </c>
      <c r="DY428" s="134" t="str">
        <f t="shared" si="817"/>
        <v/>
      </c>
      <c r="DZ428" s="95"/>
      <c r="EB428" s="8" t="str">
        <f t="shared" si="823"/>
        <v/>
      </c>
      <c r="EC428" s="8" t="str">
        <f>IF(O428&lt;&gt;"",VLOOKUP(O428,'Job Master'!$N$12:$O$18,2,0),"")</f>
        <v/>
      </c>
      <c r="ED428" s="8">
        <f t="shared" si="824"/>
        <v>19.5</v>
      </c>
      <c r="EE428" s="8">
        <f t="shared" si="825"/>
        <v>6</v>
      </c>
      <c r="EF428" s="8">
        <f t="shared" si="826"/>
        <v>-2488.5</v>
      </c>
      <c r="EG428" s="8" t="str">
        <f t="shared" si="827"/>
        <v/>
      </c>
      <c r="EH428" s="8" t="str">
        <f t="shared" si="828"/>
        <v/>
      </c>
    </row>
    <row r="429" spans="2:138" x14ac:dyDescent="0.3">
      <c r="B429" s="112"/>
      <c r="C429" s="27"/>
      <c r="D429" s="7" t="str">
        <f t="shared" si="765"/>
        <v/>
      </c>
      <c r="E429" s="25"/>
      <c r="F429" s="7" t="str">
        <f t="shared" si="765"/>
        <v/>
      </c>
      <c r="G429" s="25"/>
      <c r="H429" s="7" t="str">
        <f t="shared" si="765"/>
        <v/>
      </c>
      <c r="I429" s="25"/>
      <c r="J429" s="7" t="str">
        <f t="shared" si="765"/>
        <v/>
      </c>
      <c r="K429" s="25"/>
      <c r="L429" s="7" t="str">
        <f t="shared" si="766"/>
        <v/>
      </c>
      <c r="M429" s="25"/>
      <c r="N429" s="7" t="str">
        <f t="shared" si="767"/>
        <v/>
      </c>
      <c r="O429" s="81"/>
      <c r="P429" s="81" t="str">
        <f t="shared" si="768"/>
        <v/>
      </c>
      <c r="Q429" s="81"/>
      <c r="R429" s="7" t="str">
        <f t="shared" si="769"/>
        <v/>
      </c>
      <c r="S429" s="25"/>
      <c r="T429" s="7" t="str">
        <f t="shared" si="770"/>
        <v/>
      </c>
      <c r="U429" s="25"/>
      <c r="V429" s="7" t="str">
        <f t="shared" si="771"/>
        <v/>
      </c>
      <c r="W429" s="25"/>
      <c r="X429" s="7" t="str">
        <f t="shared" si="772"/>
        <v/>
      </c>
      <c r="Y429" s="18" t="str">
        <f t="shared" si="773"/>
        <v/>
      </c>
      <c r="Z429" s="7" t="str">
        <f t="shared" si="774"/>
        <v/>
      </c>
      <c r="AA429" s="18" t="str">
        <f t="shared" si="775"/>
        <v/>
      </c>
      <c r="AB429" s="19" t="str">
        <f t="shared" si="776"/>
        <v/>
      </c>
      <c r="AC429" s="26"/>
      <c r="AD429" s="26"/>
      <c r="AE429" s="25"/>
      <c r="AF429" s="26"/>
      <c r="AG429" s="25"/>
      <c r="AH429" s="25"/>
      <c r="AI429" s="18" t="str">
        <f t="shared" si="839"/>
        <v/>
      </c>
      <c r="AJ429" s="25"/>
      <c r="AK429" s="18" t="str">
        <f t="shared" si="840"/>
        <v/>
      </c>
      <c r="AL429" s="79"/>
      <c r="AM429" s="126" t="str">
        <f t="shared" si="841"/>
        <v/>
      </c>
      <c r="AN429" s="128" t="str">
        <f>IF(AP429&lt;&gt;"",VLOOKUP($P429&amp;" | "&amp;AN$6,'Job Master'!$F$12:$J$102,5,0),"")</f>
        <v/>
      </c>
      <c r="AO429" s="19" t="str">
        <f>IF(AP429&lt;&gt;"",VLOOKUP($P429&amp;" | "&amp;AN$6,'Job Master'!$F$12:$J$102,3,0),"")</f>
        <v/>
      </c>
      <c r="AP429" s="19" t="str">
        <f>IFERROR(IF(AND(AW429&lt;&gt;"",VLOOKUP($P429&amp;" | "&amp;AN$6,'Job Master'!$F$12:$I$102,4,0)&lt;&gt;""),IF(WEEKDAY(AW429-VLOOKUP($P429&amp;" | "&amp;AN$6,'Job Master'!$F$12:$I$102,4,0))&lt;&gt;7,AW429-VLOOKUP($P429&amp;" | "&amp;AN$6,'Job Master'!$F$12:$I$102,4,0),AW429-VLOOKUP($P429&amp;" | "&amp;AN$6,'Job Master'!$F$12:$I$102,4,0)-1),""),"")</f>
        <v/>
      </c>
      <c r="AQ429" s="73"/>
      <c r="AR429" s="123" t="str">
        <f t="shared" si="777"/>
        <v/>
      </c>
      <c r="AS429" s="123" t="str">
        <f t="shared" si="778"/>
        <v/>
      </c>
      <c r="AT429" s="97" t="str">
        <f t="shared" ca="1" si="779"/>
        <v/>
      </c>
      <c r="AU429" s="98" t="str">
        <f>IF(AW429&lt;&gt;"",VLOOKUP($P429&amp;" | "&amp;AU$6,'Job Master'!$F$12:$J$102,5,0),"")</f>
        <v/>
      </c>
      <c r="AV429" s="19" t="str">
        <f>IF(AW429&lt;&gt;"",VLOOKUP($P429&amp;" | "&amp;AU$6,'Job Master'!$F$12:$J$102,3,0),"")</f>
        <v/>
      </c>
      <c r="AW429" s="19" t="str">
        <f>IFERROR(IF(AND(BD429&lt;&gt;"",VLOOKUP($P429&amp;" | "&amp;AU$6,'Job Master'!$F$12:$I$102,4,0)&lt;&gt;""),IF(WEEKDAY(BD429-VLOOKUP($P429&amp;" | "&amp;AU$6,'Job Master'!$F$12:$I$102,4,0))&lt;&gt;7,BD429-VLOOKUP($P429&amp;" | "&amp;AU$6,'Job Master'!$F$12:$I$102,4,0),BD429-VLOOKUP($P429&amp;" | "&amp;AU$6,'Job Master'!$F$12:$I$102,4,0)-1),""),"")</f>
        <v/>
      </c>
      <c r="AX429" s="73"/>
      <c r="AY429" s="123" t="str">
        <f t="shared" si="780"/>
        <v/>
      </c>
      <c r="AZ429" s="123" t="str">
        <f t="shared" si="781"/>
        <v/>
      </c>
      <c r="BA429" s="97" t="str">
        <f t="shared" ca="1" si="782"/>
        <v/>
      </c>
      <c r="BB429" s="98" t="str">
        <f>IF(BD429&lt;&gt;"",VLOOKUP($P429&amp;" | "&amp;BB$6,'Job Master'!$F$12:$J$102,5,0),"")</f>
        <v/>
      </c>
      <c r="BC429" s="19" t="str">
        <f>IF(BD429&lt;&gt;"",VLOOKUP($P429&amp;" | "&amp;BB$6,'Job Master'!$F$12:$J$102,3,0),"")</f>
        <v/>
      </c>
      <c r="BD429" s="19" t="str">
        <f>IFERROR(IF(AND(BK429&lt;&gt;"",VLOOKUP($P429&amp;" | "&amp;BB$6,'Job Master'!$F$12:$I$102,4,0)&lt;&gt;""),IF(WEEKDAY(BK429-VLOOKUP($P429&amp;" | "&amp;BB$6,'Job Master'!$F$12:$I$102,4,0))&lt;&gt;7,BK429-VLOOKUP($P429&amp;" | "&amp;BB$6,'Job Master'!$F$12:$I$102,4,0),BK429-VLOOKUP($P429&amp;" | "&amp;BB$6,'Job Master'!$F$12:$I$102,4,0)-1),""),"")</f>
        <v/>
      </c>
      <c r="BE429" s="73"/>
      <c r="BF429" s="123" t="str">
        <f t="shared" si="783"/>
        <v/>
      </c>
      <c r="BG429" s="123" t="str">
        <f t="shared" si="784"/>
        <v/>
      </c>
      <c r="BH429" s="97" t="str">
        <f t="shared" ca="1" si="785"/>
        <v/>
      </c>
      <c r="BI429" s="98" t="str">
        <f>IF(BK429&lt;&gt;"",VLOOKUP($P429&amp;" | "&amp;BI$6,'Job Master'!$F$12:$J$102,5,0),"")</f>
        <v/>
      </c>
      <c r="BJ429" s="19" t="str">
        <f>IF(BK429&lt;&gt;"",VLOOKUP($P429&amp;" | "&amp;BI$6,'Job Master'!$F$12:$J$102,3,0),"")</f>
        <v/>
      </c>
      <c r="BK429" s="19" t="str">
        <f>IFERROR(IF(AND(BR429&lt;&gt;"",VLOOKUP($P429&amp;" | "&amp;BI$6,'Job Master'!$F$12:$I$102,4,0)&lt;&gt;""),IF(WEEKDAY(BR429-VLOOKUP($P429&amp;" | "&amp;BI$6,'Job Master'!$F$12:$I$102,4,0))&lt;&gt;7,BR429-VLOOKUP($P429&amp;" | "&amp;BI$6,'Job Master'!$F$12:$I$102,4,0),BR429-VLOOKUP($P429&amp;" | "&amp;BI$6,'Job Master'!$F$12:$I$102,4,0)-1),""),"")</f>
        <v/>
      </c>
      <c r="BL429" s="73"/>
      <c r="BM429" s="123" t="str">
        <f t="shared" si="786"/>
        <v/>
      </c>
      <c r="BN429" s="123" t="str">
        <f t="shared" si="787"/>
        <v/>
      </c>
      <c r="BO429" s="97" t="str">
        <f t="shared" ca="1" si="788"/>
        <v/>
      </c>
      <c r="BP429" s="98" t="str">
        <f>IF(BR429&lt;&gt;"",VLOOKUP($P429&amp;" | "&amp;BP$6,'Job Master'!$F$12:$J$102,5,0),"")</f>
        <v/>
      </c>
      <c r="BQ429" s="19" t="str">
        <f>IF(BR429&lt;&gt;"",VLOOKUP($P429&amp;" | "&amp;BP$6,'Job Master'!$F$12:$J$102,3,0),"")</f>
        <v/>
      </c>
      <c r="BR429" s="19" t="str">
        <f>IFERROR(IF(AND(BY429&lt;&gt;"",VLOOKUP($P429&amp;" | "&amp;BP$6,'Job Master'!$F$12:$I$102,4,0)&lt;&gt;""),IF(WEEKDAY(BY429-VLOOKUP($P429&amp;" | "&amp;BP$6,'Job Master'!$F$12:$I$102,4,0))&lt;&gt;7,BY429-VLOOKUP($P429&amp;" | "&amp;BP$6,'Job Master'!$F$12:$I$102,4,0),BY429-VLOOKUP($P429&amp;" | "&amp;BP$6,'Job Master'!$F$12:$I$102,4,0)-1),""),"")</f>
        <v/>
      </c>
      <c r="BS429" s="73"/>
      <c r="BT429" s="123" t="str">
        <f t="shared" si="789"/>
        <v/>
      </c>
      <c r="BU429" s="123" t="str">
        <f t="shared" si="790"/>
        <v/>
      </c>
      <c r="BV429" s="97" t="str">
        <f t="shared" ca="1" si="791"/>
        <v/>
      </c>
      <c r="BW429" s="98" t="str">
        <f>IF(BY429&lt;&gt;"",VLOOKUP($P429&amp;" | "&amp;BW$6,'Job Master'!$F$12:$J$102,5,0),"")</f>
        <v/>
      </c>
      <c r="BX429" s="19" t="str">
        <f>IF(BY429&lt;&gt;"",VLOOKUP($P429&amp;" | "&amp;BW$6,'Job Master'!$F$12:$J$102,3,0),"")</f>
        <v/>
      </c>
      <c r="BY429" s="19" t="str">
        <f>IFERROR(IF(AND(CF429&lt;&gt;"",VLOOKUP($P429&amp;" | "&amp;BW$6,'Job Master'!$F$12:$I$102,4,0)&lt;&gt;""),IF(WEEKDAY(CF429-VLOOKUP($P429&amp;" | "&amp;BW$6,'Job Master'!$F$12:$I$102,4,0))&lt;&gt;7,CF429-VLOOKUP($P429&amp;" | "&amp;BW$6,'Job Master'!$F$12:$I$102,4,0),CF429-VLOOKUP($P429&amp;" | "&amp;BW$6,'Job Master'!$F$12:$I$102,4,0)-1),""),"")</f>
        <v/>
      </c>
      <c r="BZ429" s="73"/>
      <c r="CA429" s="123" t="str">
        <f t="shared" si="792"/>
        <v/>
      </c>
      <c r="CB429" s="123" t="str">
        <f t="shared" si="793"/>
        <v/>
      </c>
      <c r="CC429" s="97" t="str">
        <f t="shared" ca="1" si="794"/>
        <v/>
      </c>
      <c r="CD429" s="98" t="str">
        <f>IF(CF429&lt;&gt;"",VLOOKUP($P429&amp;" | "&amp;CD$6,'Job Master'!$F$12:$J$102,5,0),"")</f>
        <v/>
      </c>
      <c r="CE429" s="19" t="str">
        <f>IF(CF429&lt;&gt;"",VLOOKUP($P429&amp;" | "&amp;CD$6,'Job Master'!$F$12:$J$102,3,0),"")</f>
        <v/>
      </c>
      <c r="CF429" s="19" t="str">
        <f>IFERROR(IF(AND(CM429&lt;&gt;"",VLOOKUP($P429&amp;" | "&amp;CD$6,'Job Master'!$F$12:$I$102,4,0)&lt;&gt;""),IF(WEEKDAY(CM429-VLOOKUP($P429&amp;" | "&amp;CD$6,'Job Master'!$F$12:$I$102,4,0))&lt;&gt;7,CM429-VLOOKUP($P429&amp;" | "&amp;CD$6,'Job Master'!$F$12:$I$102,4,0),CM429-VLOOKUP($P429&amp;" | "&amp;CD$6,'Job Master'!$F$12:$I$102,4,0)-1),""),"")</f>
        <v/>
      </c>
      <c r="CG429" s="73"/>
      <c r="CH429" s="123" t="str">
        <f t="shared" si="795"/>
        <v/>
      </c>
      <c r="CI429" s="123" t="str">
        <f t="shared" si="796"/>
        <v/>
      </c>
      <c r="CJ429" s="97" t="str">
        <f t="shared" ca="1" si="797"/>
        <v/>
      </c>
      <c r="CK429" s="98" t="str">
        <f>IF(CM429&lt;&gt;"",VLOOKUP($P429&amp;" | "&amp;CK$6,'Job Master'!$F$12:$J$102,5,0),"")</f>
        <v/>
      </c>
      <c r="CL429" s="19" t="str">
        <f>IF(CM429&lt;&gt;"",VLOOKUP($P429&amp;" | "&amp;CK$6,'Job Master'!$F$12:$J$102,3,0),"")</f>
        <v/>
      </c>
      <c r="CM429" s="19" t="str">
        <f>IFERROR(IF(AND(CT429&lt;&gt;"",VLOOKUP($P429&amp;" | "&amp;CK$6,'Job Master'!$F$12:$I$102,4,0)&lt;&gt;""),IF(WEEKDAY(CT429-VLOOKUP($P429&amp;" | "&amp;CK$6,'Job Master'!$F$12:$I$102,4,0))&lt;&gt;7,CT429-VLOOKUP($P429&amp;" | "&amp;CK$6,'Job Master'!$F$12:$I$102,4,0),CT429-VLOOKUP($P429&amp;" | "&amp;CK$6,'Job Master'!$F$12:$I$102,4,0)-1),""),"")</f>
        <v/>
      </c>
      <c r="CN429" s="73"/>
      <c r="CO429" s="123" t="str">
        <f t="shared" si="798"/>
        <v/>
      </c>
      <c r="CP429" s="123" t="str">
        <f t="shared" si="799"/>
        <v/>
      </c>
      <c r="CQ429" s="97" t="str">
        <f t="shared" ca="1" si="800"/>
        <v/>
      </c>
      <c r="CR429" s="98" t="str">
        <f>IF(CT429&lt;&gt;"",VLOOKUP($P429&amp;" | "&amp;CR$6,'Job Master'!$F$12:$J$102,5,0),"")</f>
        <v/>
      </c>
      <c r="CS429" s="19" t="str">
        <f>IF(CT429&lt;&gt;"",VLOOKUP($P429&amp;" | "&amp;CR$6,'Job Master'!$F$12:$J$102,3,0),"")</f>
        <v/>
      </c>
      <c r="CT429" s="19" t="str">
        <f>IFERROR(IF(AND(DA429&lt;&gt;"",VLOOKUP($P429&amp;" | "&amp;CR$6,'Job Master'!$F$12:$I$102,4,0)&lt;&gt;""),IF(WEEKDAY(DA429-VLOOKUP($P429&amp;" | "&amp;CR$6,'Job Master'!$F$12:$I$102,4,0))&lt;&gt;7,DA429-VLOOKUP($P429&amp;" | "&amp;CR$6,'Job Master'!$F$12:$I$102,4,0),DA429-VLOOKUP($P429&amp;" | "&amp;CR$6,'Job Master'!$F$12:$I$102,4,0)-1),""),"")</f>
        <v/>
      </c>
      <c r="CU429" s="73"/>
      <c r="CV429" s="123" t="str">
        <f t="shared" si="801"/>
        <v/>
      </c>
      <c r="CW429" s="123" t="str">
        <f t="shared" si="802"/>
        <v/>
      </c>
      <c r="CX429" s="97" t="str">
        <f t="shared" ca="1" si="803"/>
        <v/>
      </c>
      <c r="CY429" s="98" t="str">
        <f>IF(DA429&lt;&gt;"",VLOOKUP($P429&amp;" | "&amp;CY$6,'Job Master'!$F$12:$J$102,5,0),"")</f>
        <v/>
      </c>
      <c r="CZ429" s="19" t="str">
        <f>IF(DA429&lt;&gt;"",VLOOKUP($P429&amp;" | "&amp;CY$6,'Job Master'!$F$12:$J$102,3,0),"")</f>
        <v/>
      </c>
      <c r="DA429" s="19" t="str">
        <f>IFERROR(IF(AND(DH429&lt;&gt;"",VLOOKUP($P429&amp;" | "&amp;CY$6,'Job Master'!$F$12:$I$102,4,0)&lt;&gt;""),IF(WEEKDAY(DH429-VLOOKUP($P429&amp;" | "&amp;CY$6,'Job Master'!$F$12:$I$102,4,0))&lt;&gt;7,DH429-VLOOKUP($P429&amp;" | "&amp;CY$6,'Job Master'!$F$12:$I$102,4,0),DH429-VLOOKUP($P429&amp;" | "&amp;CY$6,'Job Master'!$F$12:$I$102,4,0)-1),""),"")</f>
        <v/>
      </c>
      <c r="DB429" s="73"/>
      <c r="DC429" s="123" t="str">
        <f t="shared" si="804"/>
        <v/>
      </c>
      <c r="DD429" s="123" t="str">
        <f t="shared" si="805"/>
        <v/>
      </c>
      <c r="DE429" s="97" t="str">
        <f t="shared" ca="1" si="806"/>
        <v/>
      </c>
      <c r="DF429" s="98" t="str">
        <f>IF(DH429&lt;&gt;"",VLOOKUP($P429&amp;" | "&amp;DF$6,'Job Master'!$F$12:$J$102,5,0),"")</f>
        <v/>
      </c>
      <c r="DG429" s="19" t="str">
        <f>IF(DH429&lt;&gt;"",VLOOKUP($P429&amp;" | "&amp;DF$6,'Job Master'!$F$12:$J$102,3,0),"")</f>
        <v/>
      </c>
      <c r="DH429" s="19" t="str">
        <f>IFERROR(IF(AND(DO429&lt;&gt;"",VLOOKUP($P429&amp;" | "&amp;DF$6,'Job Master'!$F$12:$I$102,4,0)&lt;&gt;""),IF(WEEKDAY(DO429-VLOOKUP($P429&amp;" | "&amp;DF$6,'Job Master'!$F$12:$I$102,4,0))&lt;&gt;7,DO429-VLOOKUP($P429&amp;" | "&amp;DF$6,'Job Master'!$F$12:$I$102,4,0),DO429-VLOOKUP($P429&amp;" | "&amp;DF$6,'Job Master'!$F$12:$I$102,4,0)-1),""),"")</f>
        <v/>
      </c>
      <c r="DI429" s="73"/>
      <c r="DJ429" s="123" t="str">
        <f t="shared" si="807"/>
        <v/>
      </c>
      <c r="DK429" s="123" t="str">
        <f t="shared" si="808"/>
        <v/>
      </c>
      <c r="DL429" s="97" t="str">
        <f t="shared" ca="1" si="809"/>
        <v/>
      </c>
      <c r="DM429" s="98" t="str">
        <f>IF(DO429&lt;&gt;"",VLOOKUP($P429&amp;" | "&amp;DM$6,'Job Master'!$F$12:$J$102,5,0),"")</f>
        <v/>
      </c>
      <c r="DN429" s="19" t="str">
        <f>IF(DO429&lt;&gt;"",VLOOKUP($P429&amp;" | "&amp;DM$6,'Job Master'!$F$12:$J$102,3,0),"")</f>
        <v/>
      </c>
      <c r="DO429" s="19" t="str">
        <f>IFERROR(IF(AND(DT429&lt;&gt;"",VLOOKUP($P429&amp;" | "&amp;DM$6,'Job Master'!$F$12:$I$102,4,0)&lt;&gt;""),IF(WEEKDAY(DT429-VLOOKUP($P429&amp;" | "&amp;DM$6,'Job Master'!$F$12:$I$102,4,0))&lt;&gt;7,DT429-VLOOKUP($P429&amp;" | "&amp;DM$6,'Job Master'!$F$12:$I$102,4,0),DT429-VLOOKUP($P429&amp;" | "&amp;DM$6,'Job Master'!$F$12:$I$102,4,0)-1),""),"")</f>
        <v/>
      </c>
      <c r="DP429" s="73"/>
      <c r="DQ429" s="123" t="str">
        <f t="shared" si="810"/>
        <v/>
      </c>
      <c r="DR429" s="123" t="str">
        <f t="shared" si="811"/>
        <v/>
      </c>
      <c r="DS429" s="97" t="str">
        <f t="shared" ca="1" si="812"/>
        <v/>
      </c>
      <c r="DT429" s="70" t="str">
        <f t="shared" si="813"/>
        <v/>
      </c>
      <c r="DU429" s="90"/>
      <c r="DV429" s="123" t="str">
        <f t="shared" si="814"/>
        <v/>
      </c>
      <c r="DW429" s="123" t="str">
        <f t="shared" si="815"/>
        <v/>
      </c>
      <c r="DX429" s="132" t="str">
        <f t="shared" ref="DX429" ca="1" si="862">IF(DT429&lt;&gt;"",IF(WEEKNUM(DT429)=WEEKNUM(TODAY()),"This Week",IF(WEEKNUM(DT429)=WEEKNUM(TODAY())+1,"Next Week",IF(WEEKNUM(DT429)=WEEKNUM(TODAY())-1,"Previous Week",""))),"")</f>
        <v/>
      </c>
      <c r="DY429" s="134" t="str">
        <f t="shared" si="817"/>
        <v/>
      </c>
      <c r="DZ429" s="95"/>
      <c r="EB429" s="8" t="str">
        <f t="shared" si="823"/>
        <v/>
      </c>
      <c r="EC429" s="8" t="str">
        <f>IF(O429&lt;&gt;"",VLOOKUP(O429,'Job Master'!$N$12:$O$18,2,0),"")</f>
        <v/>
      </c>
      <c r="ED429" s="8">
        <f t="shared" si="824"/>
        <v>19.5</v>
      </c>
      <c r="EE429" s="8">
        <f t="shared" si="825"/>
        <v>6</v>
      </c>
      <c r="EF429" s="8">
        <f t="shared" si="826"/>
        <v>-2494.5</v>
      </c>
      <c r="EG429" s="8" t="str">
        <f t="shared" si="827"/>
        <v/>
      </c>
      <c r="EH429" s="8" t="str">
        <f t="shared" si="828"/>
        <v/>
      </c>
    </row>
    <row r="430" spans="2:138" x14ac:dyDescent="0.3">
      <c r="B430" s="112"/>
      <c r="C430" s="27"/>
      <c r="D430" s="7" t="str">
        <f t="shared" si="765"/>
        <v/>
      </c>
      <c r="E430" s="25"/>
      <c r="F430" s="7" t="str">
        <f t="shared" si="765"/>
        <v/>
      </c>
      <c r="G430" s="25"/>
      <c r="H430" s="7" t="str">
        <f t="shared" si="765"/>
        <v/>
      </c>
      <c r="I430" s="25"/>
      <c r="J430" s="7" t="str">
        <f t="shared" si="765"/>
        <v/>
      </c>
      <c r="K430" s="25"/>
      <c r="L430" s="7" t="str">
        <f t="shared" si="766"/>
        <v/>
      </c>
      <c r="M430" s="25"/>
      <c r="N430" s="7" t="str">
        <f t="shared" si="767"/>
        <v/>
      </c>
      <c r="O430" s="81"/>
      <c r="P430" s="81" t="str">
        <f t="shared" si="768"/>
        <v/>
      </c>
      <c r="Q430" s="81"/>
      <c r="R430" s="7" t="str">
        <f t="shared" si="769"/>
        <v/>
      </c>
      <c r="S430" s="25"/>
      <c r="T430" s="7" t="str">
        <f t="shared" si="770"/>
        <v/>
      </c>
      <c r="U430" s="25"/>
      <c r="V430" s="7" t="str">
        <f t="shared" si="771"/>
        <v/>
      </c>
      <c r="W430" s="25"/>
      <c r="X430" s="7" t="str">
        <f t="shared" si="772"/>
        <v/>
      </c>
      <c r="Y430" s="18" t="str">
        <f t="shared" si="773"/>
        <v/>
      </c>
      <c r="Z430" s="7" t="str">
        <f t="shared" si="774"/>
        <v/>
      </c>
      <c r="AA430" s="18" t="str">
        <f t="shared" si="775"/>
        <v/>
      </c>
      <c r="AB430" s="19" t="str">
        <f t="shared" si="776"/>
        <v/>
      </c>
      <c r="AC430" s="26"/>
      <c r="AD430" s="26"/>
      <c r="AE430" s="25"/>
      <c r="AF430" s="26"/>
      <c r="AG430" s="25"/>
      <c r="AH430" s="25"/>
      <c r="AI430" s="18" t="str">
        <f t="shared" si="839"/>
        <v/>
      </c>
      <c r="AJ430" s="25"/>
      <c r="AK430" s="18" t="str">
        <f t="shared" si="840"/>
        <v/>
      </c>
      <c r="AL430" s="79"/>
      <c r="AM430" s="126" t="str">
        <f t="shared" si="841"/>
        <v/>
      </c>
      <c r="AN430" s="128" t="str">
        <f>IF(AP430&lt;&gt;"",VLOOKUP($P430&amp;" | "&amp;AN$6,'Job Master'!$F$12:$J$102,5,0),"")</f>
        <v/>
      </c>
      <c r="AO430" s="19" t="str">
        <f>IF(AP430&lt;&gt;"",VLOOKUP($P430&amp;" | "&amp;AN$6,'Job Master'!$F$12:$J$102,3,0),"")</f>
        <v/>
      </c>
      <c r="AP430" s="19" t="str">
        <f>IFERROR(IF(AND(AW430&lt;&gt;"",VLOOKUP($P430&amp;" | "&amp;AN$6,'Job Master'!$F$12:$I$102,4,0)&lt;&gt;""),IF(WEEKDAY(AW430-VLOOKUP($P430&amp;" | "&amp;AN$6,'Job Master'!$F$12:$I$102,4,0))&lt;&gt;7,AW430-VLOOKUP($P430&amp;" | "&amp;AN$6,'Job Master'!$F$12:$I$102,4,0),AW430-VLOOKUP($P430&amp;" | "&amp;AN$6,'Job Master'!$F$12:$I$102,4,0)-1),""),"")</f>
        <v/>
      </c>
      <c r="AQ430" s="73"/>
      <c r="AR430" s="123" t="str">
        <f t="shared" si="777"/>
        <v/>
      </c>
      <c r="AS430" s="123" t="str">
        <f t="shared" si="778"/>
        <v/>
      </c>
      <c r="AT430" s="97" t="str">
        <f t="shared" ca="1" si="779"/>
        <v/>
      </c>
      <c r="AU430" s="98" t="str">
        <f>IF(AW430&lt;&gt;"",VLOOKUP($P430&amp;" | "&amp;AU$6,'Job Master'!$F$12:$J$102,5,0),"")</f>
        <v/>
      </c>
      <c r="AV430" s="19" t="str">
        <f>IF(AW430&lt;&gt;"",VLOOKUP($P430&amp;" | "&amp;AU$6,'Job Master'!$F$12:$J$102,3,0),"")</f>
        <v/>
      </c>
      <c r="AW430" s="19" t="str">
        <f>IFERROR(IF(AND(BD430&lt;&gt;"",VLOOKUP($P430&amp;" | "&amp;AU$6,'Job Master'!$F$12:$I$102,4,0)&lt;&gt;""),IF(WEEKDAY(BD430-VLOOKUP($P430&amp;" | "&amp;AU$6,'Job Master'!$F$12:$I$102,4,0))&lt;&gt;7,BD430-VLOOKUP($P430&amp;" | "&amp;AU$6,'Job Master'!$F$12:$I$102,4,0),BD430-VLOOKUP($P430&amp;" | "&amp;AU$6,'Job Master'!$F$12:$I$102,4,0)-1),""),"")</f>
        <v/>
      </c>
      <c r="AX430" s="73"/>
      <c r="AY430" s="123" t="str">
        <f t="shared" si="780"/>
        <v/>
      </c>
      <c r="AZ430" s="123" t="str">
        <f t="shared" si="781"/>
        <v/>
      </c>
      <c r="BA430" s="97" t="str">
        <f t="shared" ca="1" si="782"/>
        <v/>
      </c>
      <c r="BB430" s="98" t="str">
        <f>IF(BD430&lt;&gt;"",VLOOKUP($P430&amp;" | "&amp;BB$6,'Job Master'!$F$12:$J$102,5,0),"")</f>
        <v/>
      </c>
      <c r="BC430" s="19" t="str">
        <f>IF(BD430&lt;&gt;"",VLOOKUP($P430&amp;" | "&amp;BB$6,'Job Master'!$F$12:$J$102,3,0),"")</f>
        <v/>
      </c>
      <c r="BD430" s="19" t="str">
        <f>IFERROR(IF(AND(BK430&lt;&gt;"",VLOOKUP($P430&amp;" | "&amp;BB$6,'Job Master'!$F$12:$I$102,4,0)&lt;&gt;""),IF(WEEKDAY(BK430-VLOOKUP($P430&amp;" | "&amp;BB$6,'Job Master'!$F$12:$I$102,4,0))&lt;&gt;7,BK430-VLOOKUP($P430&amp;" | "&amp;BB$6,'Job Master'!$F$12:$I$102,4,0),BK430-VLOOKUP($P430&amp;" | "&amp;BB$6,'Job Master'!$F$12:$I$102,4,0)-1),""),"")</f>
        <v/>
      </c>
      <c r="BE430" s="73"/>
      <c r="BF430" s="123" t="str">
        <f t="shared" si="783"/>
        <v/>
      </c>
      <c r="BG430" s="123" t="str">
        <f t="shared" si="784"/>
        <v/>
      </c>
      <c r="BH430" s="97" t="str">
        <f t="shared" ca="1" si="785"/>
        <v/>
      </c>
      <c r="BI430" s="98" t="str">
        <f>IF(BK430&lt;&gt;"",VLOOKUP($P430&amp;" | "&amp;BI$6,'Job Master'!$F$12:$J$102,5,0),"")</f>
        <v/>
      </c>
      <c r="BJ430" s="19" t="str">
        <f>IF(BK430&lt;&gt;"",VLOOKUP($P430&amp;" | "&amp;BI$6,'Job Master'!$F$12:$J$102,3,0),"")</f>
        <v/>
      </c>
      <c r="BK430" s="19" t="str">
        <f>IFERROR(IF(AND(BR430&lt;&gt;"",VLOOKUP($P430&amp;" | "&amp;BI$6,'Job Master'!$F$12:$I$102,4,0)&lt;&gt;""),IF(WEEKDAY(BR430-VLOOKUP($P430&amp;" | "&amp;BI$6,'Job Master'!$F$12:$I$102,4,0))&lt;&gt;7,BR430-VLOOKUP($P430&amp;" | "&amp;BI$6,'Job Master'!$F$12:$I$102,4,0),BR430-VLOOKUP($P430&amp;" | "&amp;BI$6,'Job Master'!$F$12:$I$102,4,0)-1),""),"")</f>
        <v/>
      </c>
      <c r="BL430" s="73"/>
      <c r="BM430" s="123" t="str">
        <f t="shared" si="786"/>
        <v/>
      </c>
      <c r="BN430" s="123" t="str">
        <f t="shared" si="787"/>
        <v/>
      </c>
      <c r="BO430" s="97" t="str">
        <f t="shared" ca="1" si="788"/>
        <v/>
      </c>
      <c r="BP430" s="98" t="str">
        <f>IF(BR430&lt;&gt;"",VLOOKUP($P430&amp;" | "&amp;BP$6,'Job Master'!$F$12:$J$102,5,0),"")</f>
        <v/>
      </c>
      <c r="BQ430" s="19" t="str">
        <f>IF(BR430&lt;&gt;"",VLOOKUP($P430&amp;" | "&amp;BP$6,'Job Master'!$F$12:$J$102,3,0),"")</f>
        <v/>
      </c>
      <c r="BR430" s="19" t="str">
        <f>IFERROR(IF(AND(BY430&lt;&gt;"",VLOOKUP($P430&amp;" | "&amp;BP$6,'Job Master'!$F$12:$I$102,4,0)&lt;&gt;""),IF(WEEKDAY(BY430-VLOOKUP($P430&amp;" | "&amp;BP$6,'Job Master'!$F$12:$I$102,4,0))&lt;&gt;7,BY430-VLOOKUP($P430&amp;" | "&amp;BP$6,'Job Master'!$F$12:$I$102,4,0),BY430-VLOOKUP($P430&amp;" | "&amp;BP$6,'Job Master'!$F$12:$I$102,4,0)-1),""),"")</f>
        <v/>
      </c>
      <c r="BS430" s="73"/>
      <c r="BT430" s="123" t="str">
        <f t="shared" si="789"/>
        <v/>
      </c>
      <c r="BU430" s="123" t="str">
        <f t="shared" si="790"/>
        <v/>
      </c>
      <c r="BV430" s="97" t="str">
        <f t="shared" ca="1" si="791"/>
        <v/>
      </c>
      <c r="BW430" s="98" t="str">
        <f>IF(BY430&lt;&gt;"",VLOOKUP($P430&amp;" | "&amp;BW$6,'Job Master'!$F$12:$J$102,5,0),"")</f>
        <v/>
      </c>
      <c r="BX430" s="19" t="str">
        <f>IF(BY430&lt;&gt;"",VLOOKUP($P430&amp;" | "&amp;BW$6,'Job Master'!$F$12:$J$102,3,0),"")</f>
        <v/>
      </c>
      <c r="BY430" s="19" t="str">
        <f>IFERROR(IF(AND(CF430&lt;&gt;"",VLOOKUP($P430&amp;" | "&amp;BW$6,'Job Master'!$F$12:$I$102,4,0)&lt;&gt;""),IF(WEEKDAY(CF430-VLOOKUP($P430&amp;" | "&amp;BW$6,'Job Master'!$F$12:$I$102,4,0))&lt;&gt;7,CF430-VLOOKUP($P430&amp;" | "&amp;BW$6,'Job Master'!$F$12:$I$102,4,0),CF430-VLOOKUP($P430&amp;" | "&amp;BW$6,'Job Master'!$F$12:$I$102,4,0)-1),""),"")</f>
        <v/>
      </c>
      <c r="BZ430" s="73"/>
      <c r="CA430" s="123" t="str">
        <f t="shared" si="792"/>
        <v/>
      </c>
      <c r="CB430" s="123" t="str">
        <f t="shared" si="793"/>
        <v/>
      </c>
      <c r="CC430" s="97" t="str">
        <f t="shared" ca="1" si="794"/>
        <v/>
      </c>
      <c r="CD430" s="98" t="str">
        <f>IF(CF430&lt;&gt;"",VLOOKUP($P430&amp;" | "&amp;CD$6,'Job Master'!$F$12:$J$102,5,0),"")</f>
        <v/>
      </c>
      <c r="CE430" s="19" t="str">
        <f>IF(CF430&lt;&gt;"",VLOOKUP($P430&amp;" | "&amp;CD$6,'Job Master'!$F$12:$J$102,3,0),"")</f>
        <v/>
      </c>
      <c r="CF430" s="19" t="str">
        <f>IFERROR(IF(AND(CM430&lt;&gt;"",VLOOKUP($P430&amp;" | "&amp;CD$6,'Job Master'!$F$12:$I$102,4,0)&lt;&gt;""),IF(WEEKDAY(CM430-VLOOKUP($P430&amp;" | "&amp;CD$6,'Job Master'!$F$12:$I$102,4,0))&lt;&gt;7,CM430-VLOOKUP($P430&amp;" | "&amp;CD$6,'Job Master'!$F$12:$I$102,4,0),CM430-VLOOKUP($P430&amp;" | "&amp;CD$6,'Job Master'!$F$12:$I$102,4,0)-1),""),"")</f>
        <v/>
      </c>
      <c r="CG430" s="73"/>
      <c r="CH430" s="123" t="str">
        <f t="shared" si="795"/>
        <v/>
      </c>
      <c r="CI430" s="123" t="str">
        <f t="shared" si="796"/>
        <v/>
      </c>
      <c r="CJ430" s="97" t="str">
        <f t="shared" ca="1" si="797"/>
        <v/>
      </c>
      <c r="CK430" s="98" t="str">
        <f>IF(CM430&lt;&gt;"",VLOOKUP($P430&amp;" | "&amp;CK$6,'Job Master'!$F$12:$J$102,5,0),"")</f>
        <v/>
      </c>
      <c r="CL430" s="19" t="str">
        <f>IF(CM430&lt;&gt;"",VLOOKUP($P430&amp;" | "&amp;CK$6,'Job Master'!$F$12:$J$102,3,0),"")</f>
        <v/>
      </c>
      <c r="CM430" s="19" t="str">
        <f>IFERROR(IF(AND(CT430&lt;&gt;"",VLOOKUP($P430&amp;" | "&amp;CK$6,'Job Master'!$F$12:$I$102,4,0)&lt;&gt;""),IF(WEEKDAY(CT430-VLOOKUP($P430&amp;" | "&amp;CK$6,'Job Master'!$F$12:$I$102,4,0))&lt;&gt;7,CT430-VLOOKUP($P430&amp;" | "&amp;CK$6,'Job Master'!$F$12:$I$102,4,0),CT430-VLOOKUP($P430&amp;" | "&amp;CK$6,'Job Master'!$F$12:$I$102,4,0)-1),""),"")</f>
        <v/>
      </c>
      <c r="CN430" s="73"/>
      <c r="CO430" s="123" t="str">
        <f t="shared" si="798"/>
        <v/>
      </c>
      <c r="CP430" s="123" t="str">
        <f t="shared" si="799"/>
        <v/>
      </c>
      <c r="CQ430" s="97" t="str">
        <f t="shared" ca="1" si="800"/>
        <v/>
      </c>
      <c r="CR430" s="98" t="str">
        <f>IF(CT430&lt;&gt;"",VLOOKUP($P430&amp;" | "&amp;CR$6,'Job Master'!$F$12:$J$102,5,0),"")</f>
        <v/>
      </c>
      <c r="CS430" s="19" t="str">
        <f>IF(CT430&lt;&gt;"",VLOOKUP($P430&amp;" | "&amp;CR$6,'Job Master'!$F$12:$J$102,3,0),"")</f>
        <v/>
      </c>
      <c r="CT430" s="19" t="str">
        <f>IFERROR(IF(AND(DA430&lt;&gt;"",VLOOKUP($P430&amp;" | "&amp;CR$6,'Job Master'!$F$12:$I$102,4,0)&lt;&gt;""),IF(WEEKDAY(DA430-VLOOKUP($P430&amp;" | "&amp;CR$6,'Job Master'!$F$12:$I$102,4,0))&lt;&gt;7,DA430-VLOOKUP($P430&amp;" | "&amp;CR$6,'Job Master'!$F$12:$I$102,4,0),DA430-VLOOKUP($P430&amp;" | "&amp;CR$6,'Job Master'!$F$12:$I$102,4,0)-1),""),"")</f>
        <v/>
      </c>
      <c r="CU430" s="73"/>
      <c r="CV430" s="123" t="str">
        <f t="shared" si="801"/>
        <v/>
      </c>
      <c r="CW430" s="123" t="str">
        <f t="shared" si="802"/>
        <v/>
      </c>
      <c r="CX430" s="97" t="str">
        <f t="shared" ca="1" si="803"/>
        <v/>
      </c>
      <c r="CY430" s="98" t="str">
        <f>IF(DA430&lt;&gt;"",VLOOKUP($P430&amp;" | "&amp;CY$6,'Job Master'!$F$12:$J$102,5,0),"")</f>
        <v/>
      </c>
      <c r="CZ430" s="19" t="str">
        <f>IF(DA430&lt;&gt;"",VLOOKUP($P430&amp;" | "&amp;CY$6,'Job Master'!$F$12:$J$102,3,0),"")</f>
        <v/>
      </c>
      <c r="DA430" s="19" t="str">
        <f>IFERROR(IF(AND(DH430&lt;&gt;"",VLOOKUP($P430&amp;" | "&amp;CY$6,'Job Master'!$F$12:$I$102,4,0)&lt;&gt;""),IF(WEEKDAY(DH430-VLOOKUP($P430&amp;" | "&amp;CY$6,'Job Master'!$F$12:$I$102,4,0))&lt;&gt;7,DH430-VLOOKUP($P430&amp;" | "&amp;CY$6,'Job Master'!$F$12:$I$102,4,0),DH430-VLOOKUP($P430&amp;" | "&amp;CY$6,'Job Master'!$F$12:$I$102,4,0)-1),""),"")</f>
        <v/>
      </c>
      <c r="DB430" s="73"/>
      <c r="DC430" s="123" t="str">
        <f t="shared" si="804"/>
        <v/>
      </c>
      <c r="DD430" s="123" t="str">
        <f t="shared" si="805"/>
        <v/>
      </c>
      <c r="DE430" s="97" t="str">
        <f t="shared" ca="1" si="806"/>
        <v/>
      </c>
      <c r="DF430" s="98" t="str">
        <f>IF(DH430&lt;&gt;"",VLOOKUP($P430&amp;" | "&amp;DF$6,'Job Master'!$F$12:$J$102,5,0),"")</f>
        <v/>
      </c>
      <c r="DG430" s="19" t="str">
        <f>IF(DH430&lt;&gt;"",VLOOKUP($P430&amp;" | "&amp;DF$6,'Job Master'!$F$12:$J$102,3,0),"")</f>
        <v/>
      </c>
      <c r="DH430" s="19" t="str">
        <f>IFERROR(IF(AND(DO430&lt;&gt;"",VLOOKUP($P430&amp;" | "&amp;DF$6,'Job Master'!$F$12:$I$102,4,0)&lt;&gt;""),IF(WEEKDAY(DO430-VLOOKUP($P430&amp;" | "&amp;DF$6,'Job Master'!$F$12:$I$102,4,0))&lt;&gt;7,DO430-VLOOKUP($P430&amp;" | "&amp;DF$6,'Job Master'!$F$12:$I$102,4,0),DO430-VLOOKUP($P430&amp;" | "&amp;DF$6,'Job Master'!$F$12:$I$102,4,0)-1),""),"")</f>
        <v/>
      </c>
      <c r="DI430" s="73"/>
      <c r="DJ430" s="123" t="str">
        <f t="shared" si="807"/>
        <v/>
      </c>
      <c r="DK430" s="123" t="str">
        <f t="shared" si="808"/>
        <v/>
      </c>
      <c r="DL430" s="97" t="str">
        <f t="shared" ca="1" si="809"/>
        <v/>
      </c>
      <c r="DM430" s="98" t="str">
        <f>IF(DO430&lt;&gt;"",VLOOKUP($P430&amp;" | "&amp;DM$6,'Job Master'!$F$12:$J$102,5,0),"")</f>
        <v/>
      </c>
      <c r="DN430" s="19" t="str">
        <f>IF(DO430&lt;&gt;"",VLOOKUP($P430&amp;" | "&amp;DM$6,'Job Master'!$F$12:$J$102,3,0),"")</f>
        <v/>
      </c>
      <c r="DO430" s="19" t="str">
        <f>IFERROR(IF(AND(DT430&lt;&gt;"",VLOOKUP($P430&amp;" | "&amp;DM$6,'Job Master'!$F$12:$I$102,4,0)&lt;&gt;""),IF(WEEKDAY(DT430-VLOOKUP($P430&amp;" | "&amp;DM$6,'Job Master'!$F$12:$I$102,4,0))&lt;&gt;7,DT430-VLOOKUP($P430&amp;" | "&amp;DM$6,'Job Master'!$F$12:$I$102,4,0),DT430-VLOOKUP($P430&amp;" | "&amp;DM$6,'Job Master'!$F$12:$I$102,4,0)-1),""),"")</f>
        <v/>
      </c>
      <c r="DP430" s="73"/>
      <c r="DQ430" s="123" t="str">
        <f t="shared" si="810"/>
        <v/>
      </c>
      <c r="DR430" s="123" t="str">
        <f t="shared" si="811"/>
        <v/>
      </c>
      <c r="DS430" s="97" t="str">
        <f t="shared" ca="1" si="812"/>
        <v/>
      </c>
      <c r="DT430" s="70" t="str">
        <f t="shared" si="813"/>
        <v/>
      </c>
      <c r="DU430" s="90"/>
      <c r="DV430" s="123" t="str">
        <f t="shared" si="814"/>
        <v/>
      </c>
      <c r="DW430" s="123" t="str">
        <f t="shared" si="815"/>
        <v/>
      </c>
      <c r="DX430" s="132" t="str">
        <f t="shared" ref="DX430" ca="1" si="863">IF(DT430&lt;&gt;"",IF(WEEKNUM(DT430)=WEEKNUM(TODAY()),"This Week",IF(WEEKNUM(DT430)=WEEKNUM(TODAY())+1,"Next Week",IF(WEEKNUM(DT430)=WEEKNUM(TODAY())-1,"Previous Week",""))),"")</f>
        <v/>
      </c>
      <c r="DY430" s="134" t="str">
        <f t="shared" si="817"/>
        <v/>
      </c>
      <c r="DZ430" s="95"/>
      <c r="EB430" s="8" t="str">
        <f t="shared" si="823"/>
        <v/>
      </c>
      <c r="EC430" s="8" t="str">
        <f>IF(O430&lt;&gt;"",VLOOKUP(O430,'Job Master'!$N$12:$O$18,2,0),"")</f>
        <v/>
      </c>
      <c r="ED430" s="8">
        <f t="shared" si="824"/>
        <v>19.5</v>
      </c>
      <c r="EE430" s="8">
        <f t="shared" si="825"/>
        <v>6</v>
      </c>
      <c r="EF430" s="8">
        <f t="shared" si="826"/>
        <v>-2500.5</v>
      </c>
      <c r="EG430" s="8" t="str">
        <f t="shared" si="827"/>
        <v/>
      </c>
      <c r="EH430" s="8" t="str">
        <f t="shared" si="828"/>
        <v/>
      </c>
    </row>
    <row r="431" spans="2:138" x14ac:dyDescent="0.3">
      <c r="B431" s="112"/>
      <c r="C431" s="27"/>
      <c r="D431" s="7" t="str">
        <f t="shared" si="765"/>
        <v/>
      </c>
      <c r="E431" s="25"/>
      <c r="F431" s="7" t="str">
        <f t="shared" si="765"/>
        <v/>
      </c>
      <c r="G431" s="25"/>
      <c r="H431" s="7" t="str">
        <f t="shared" si="765"/>
        <v/>
      </c>
      <c r="I431" s="25"/>
      <c r="J431" s="7" t="str">
        <f t="shared" si="765"/>
        <v/>
      </c>
      <c r="K431" s="25"/>
      <c r="L431" s="7" t="str">
        <f t="shared" si="766"/>
        <v/>
      </c>
      <c r="M431" s="25"/>
      <c r="N431" s="7" t="str">
        <f t="shared" si="767"/>
        <v/>
      </c>
      <c r="O431" s="81"/>
      <c r="P431" s="81" t="str">
        <f t="shared" si="768"/>
        <v/>
      </c>
      <c r="Q431" s="81"/>
      <c r="R431" s="7" t="str">
        <f t="shared" si="769"/>
        <v/>
      </c>
      <c r="S431" s="25"/>
      <c r="T431" s="7" t="str">
        <f t="shared" si="770"/>
        <v/>
      </c>
      <c r="U431" s="25"/>
      <c r="V431" s="7" t="str">
        <f t="shared" si="771"/>
        <v/>
      </c>
      <c r="W431" s="25"/>
      <c r="X431" s="7" t="str">
        <f t="shared" si="772"/>
        <v/>
      </c>
      <c r="Y431" s="18" t="str">
        <f t="shared" si="773"/>
        <v/>
      </c>
      <c r="Z431" s="7" t="str">
        <f t="shared" si="774"/>
        <v/>
      </c>
      <c r="AA431" s="18" t="str">
        <f t="shared" si="775"/>
        <v/>
      </c>
      <c r="AB431" s="19" t="str">
        <f t="shared" si="776"/>
        <v/>
      </c>
      <c r="AC431" s="26"/>
      <c r="AD431" s="26"/>
      <c r="AE431" s="25"/>
      <c r="AF431" s="26"/>
      <c r="AG431" s="25"/>
      <c r="AH431" s="25"/>
      <c r="AI431" s="18" t="str">
        <f t="shared" si="839"/>
        <v/>
      </c>
      <c r="AJ431" s="25"/>
      <c r="AK431" s="18" t="str">
        <f t="shared" si="840"/>
        <v/>
      </c>
      <c r="AL431" s="79"/>
      <c r="AM431" s="126" t="str">
        <f t="shared" si="841"/>
        <v/>
      </c>
      <c r="AN431" s="128" t="str">
        <f>IF(AP431&lt;&gt;"",VLOOKUP($P431&amp;" | "&amp;AN$6,'Job Master'!$F$12:$J$102,5,0),"")</f>
        <v/>
      </c>
      <c r="AO431" s="19" t="str">
        <f>IF(AP431&lt;&gt;"",VLOOKUP($P431&amp;" | "&amp;AN$6,'Job Master'!$F$12:$J$102,3,0),"")</f>
        <v/>
      </c>
      <c r="AP431" s="19" t="str">
        <f>IFERROR(IF(AND(AW431&lt;&gt;"",VLOOKUP($P431&amp;" | "&amp;AN$6,'Job Master'!$F$12:$I$102,4,0)&lt;&gt;""),IF(WEEKDAY(AW431-VLOOKUP($P431&amp;" | "&amp;AN$6,'Job Master'!$F$12:$I$102,4,0))&lt;&gt;7,AW431-VLOOKUP($P431&amp;" | "&amp;AN$6,'Job Master'!$F$12:$I$102,4,0),AW431-VLOOKUP($P431&amp;" | "&amp;AN$6,'Job Master'!$F$12:$I$102,4,0)-1),""),"")</f>
        <v/>
      </c>
      <c r="AQ431" s="73"/>
      <c r="AR431" s="123" t="str">
        <f t="shared" si="777"/>
        <v/>
      </c>
      <c r="AS431" s="123" t="str">
        <f t="shared" si="778"/>
        <v/>
      </c>
      <c r="AT431" s="97" t="str">
        <f t="shared" ca="1" si="779"/>
        <v/>
      </c>
      <c r="AU431" s="98" t="str">
        <f>IF(AW431&lt;&gt;"",VLOOKUP($P431&amp;" | "&amp;AU$6,'Job Master'!$F$12:$J$102,5,0),"")</f>
        <v/>
      </c>
      <c r="AV431" s="19" t="str">
        <f>IF(AW431&lt;&gt;"",VLOOKUP($P431&amp;" | "&amp;AU$6,'Job Master'!$F$12:$J$102,3,0),"")</f>
        <v/>
      </c>
      <c r="AW431" s="19" t="str">
        <f>IFERROR(IF(AND(BD431&lt;&gt;"",VLOOKUP($P431&amp;" | "&amp;AU$6,'Job Master'!$F$12:$I$102,4,0)&lt;&gt;""),IF(WEEKDAY(BD431-VLOOKUP($P431&amp;" | "&amp;AU$6,'Job Master'!$F$12:$I$102,4,0))&lt;&gt;7,BD431-VLOOKUP($P431&amp;" | "&amp;AU$6,'Job Master'!$F$12:$I$102,4,0),BD431-VLOOKUP($P431&amp;" | "&amp;AU$6,'Job Master'!$F$12:$I$102,4,0)-1),""),"")</f>
        <v/>
      </c>
      <c r="AX431" s="73"/>
      <c r="AY431" s="123" t="str">
        <f t="shared" si="780"/>
        <v/>
      </c>
      <c r="AZ431" s="123" t="str">
        <f t="shared" si="781"/>
        <v/>
      </c>
      <c r="BA431" s="97" t="str">
        <f t="shared" ca="1" si="782"/>
        <v/>
      </c>
      <c r="BB431" s="98" t="str">
        <f>IF(BD431&lt;&gt;"",VLOOKUP($P431&amp;" | "&amp;BB$6,'Job Master'!$F$12:$J$102,5,0),"")</f>
        <v/>
      </c>
      <c r="BC431" s="19" t="str">
        <f>IF(BD431&lt;&gt;"",VLOOKUP($P431&amp;" | "&amp;BB$6,'Job Master'!$F$12:$J$102,3,0),"")</f>
        <v/>
      </c>
      <c r="BD431" s="19" t="str">
        <f>IFERROR(IF(AND(BK431&lt;&gt;"",VLOOKUP($P431&amp;" | "&amp;BB$6,'Job Master'!$F$12:$I$102,4,0)&lt;&gt;""),IF(WEEKDAY(BK431-VLOOKUP($P431&amp;" | "&amp;BB$6,'Job Master'!$F$12:$I$102,4,0))&lt;&gt;7,BK431-VLOOKUP($P431&amp;" | "&amp;BB$6,'Job Master'!$F$12:$I$102,4,0),BK431-VLOOKUP($P431&amp;" | "&amp;BB$6,'Job Master'!$F$12:$I$102,4,0)-1),""),"")</f>
        <v/>
      </c>
      <c r="BE431" s="73"/>
      <c r="BF431" s="123" t="str">
        <f t="shared" si="783"/>
        <v/>
      </c>
      <c r="BG431" s="123" t="str">
        <f t="shared" si="784"/>
        <v/>
      </c>
      <c r="BH431" s="97" t="str">
        <f t="shared" ca="1" si="785"/>
        <v/>
      </c>
      <c r="BI431" s="98" t="str">
        <f>IF(BK431&lt;&gt;"",VLOOKUP($P431&amp;" | "&amp;BI$6,'Job Master'!$F$12:$J$102,5,0),"")</f>
        <v/>
      </c>
      <c r="BJ431" s="19" t="str">
        <f>IF(BK431&lt;&gt;"",VLOOKUP($P431&amp;" | "&amp;BI$6,'Job Master'!$F$12:$J$102,3,0),"")</f>
        <v/>
      </c>
      <c r="BK431" s="19" t="str">
        <f>IFERROR(IF(AND(BR431&lt;&gt;"",VLOOKUP($P431&amp;" | "&amp;BI$6,'Job Master'!$F$12:$I$102,4,0)&lt;&gt;""),IF(WEEKDAY(BR431-VLOOKUP($P431&amp;" | "&amp;BI$6,'Job Master'!$F$12:$I$102,4,0))&lt;&gt;7,BR431-VLOOKUP($P431&amp;" | "&amp;BI$6,'Job Master'!$F$12:$I$102,4,0),BR431-VLOOKUP($P431&amp;" | "&amp;BI$6,'Job Master'!$F$12:$I$102,4,0)-1),""),"")</f>
        <v/>
      </c>
      <c r="BL431" s="73"/>
      <c r="BM431" s="123" t="str">
        <f t="shared" si="786"/>
        <v/>
      </c>
      <c r="BN431" s="123" t="str">
        <f t="shared" si="787"/>
        <v/>
      </c>
      <c r="BO431" s="97" t="str">
        <f t="shared" ca="1" si="788"/>
        <v/>
      </c>
      <c r="BP431" s="98" t="str">
        <f>IF(BR431&lt;&gt;"",VLOOKUP($P431&amp;" | "&amp;BP$6,'Job Master'!$F$12:$J$102,5,0),"")</f>
        <v/>
      </c>
      <c r="BQ431" s="19" t="str">
        <f>IF(BR431&lt;&gt;"",VLOOKUP($P431&amp;" | "&amp;BP$6,'Job Master'!$F$12:$J$102,3,0),"")</f>
        <v/>
      </c>
      <c r="BR431" s="19" t="str">
        <f>IFERROR(IF(AND(BY431&lt;&gt;"",VLOOKUP($P431&amp;" | "&amp;BP$6,'Job Master'!$F$12:$I$102,4,0)&lt;&gt;""),IF(WEEKDAY(BY431-VLOOKUP($P431&amp;" | "&amp;BP$6,'Job Master'!$F$12:$I$102,4,0))&lt;&gt;7,BY431-VLOOKUP($P431&amp;" | "&amp;BP$6,'Job Master'!$F$12:$I$102,4,0),BY431-VLOOKUP($P431&amp;" | "&amp;BP$6,'Job Master'!$F$12:$I$102,4,0)-1),""),"")</f>
        <v/>
      </c>
      <c r="BS431" s="73"/>
      <c r="BT431" s="123" t="str">
        <f t="shared" si="789"/>
        <v/>
      </c>
      <c r="BU431" s="123" t="str">
        <f t="shared" si="790"/>
        <v/>
      </c>
      <c r="BV431" s="97" t="str">
        <f t="shared" ca="1" si="791"/>
        <v/>
      </c>
      <c r="BW431" s="98" t="str">
        <f>IF(BY431&lt;&gt;"",VLOOKUP($P431&amp;" | "&amp;BW$6,'Job Master'!$F$12:$J$102,5,0),"")</f>
        <v/>
      </c>
      <c r="BX431" s="19" t="str">
        <f>IF(BY431&lt;&gt;"",VLOOKUP($P431&amp;" | "&amp;BW$6,'Job Master'!$F$12:$J$102,3,0),"")</f>
        <v/>
      </c>
      <c r="BY431" s="19" t="str">
        <f>IFERROR(IF(AND(CF431&lt;&gt;"",VLOOKUP($P431&amp;" | "&amp;BW$6,'Job Master'!$F$12:$I$102,4,0)&lt;&gt;""),IF(WEEKDAY(CF431-VLOOKUP($P431&amp;" | "&amp;BW$6,'Job Master'!$F$12:$I$102,4,0))&lt;&gt;7,CF431-VLOOKUP($P431&amp;" | "&amp;BW$6,'Job Master'!$F$12:$I$102,4,0),CF431-VLOOKUP($P431&amp;" | "&amp;BW$6,'Job Master'!$F$12:$I$102,4,0)-1),""),"")</f>
        <v/>
      </c>
      <c r="BZ431" s="73"/>
      <c r="CA431" s="123" t="str">
        <f t="shared" si="792"/>
        <v/>
      </c>
      <c r="CB431" s="123" t="str">
        <f t="shared" si="793"/>
        <v/>
      </c>
      <c r="CC431" s="97" t="str">
        <f t="shared" ca="1" si="794"/>
        <v/>
      </c>
      <c r="CD431" s="98" t="str">
        <f>IF(CF431&lt;&gt;"",VLOOKUP($P431&amp;" | "&amp;CD$6,'Job Master'!$F$12:$J$102,5,0),"")</f>
        <v/>
      </c>
      <c r="CE431" s="19" t="str">
        <f>IF(CF431&lt;&gt;"",VLOOKUP($P431&amp;" | "&amp;CD$6,'Job Master'!$F$12:$J$102,3,0),"")</f>
        <v/>
      </c>
      <c r="CF431" s="19" t="str">
        <f>IFERROR(IF(AND(CM431&lt;&gt;"",VLOOKUP($P431&amp;" | "&amp;CD$6,'Job Master'!$F$12:$I$102,4,0)&lt;&gt;""),IF(WEEKDAY(CM431-VLOOKUP($P431&amp;" | "&amp;CD$6,'Job Master'!$F$12:$I$102,4,0))&lt;&gt;7,CM431-VLOOKUP($P431&amp;" | "&amp;CD$6,'Job Master'!$F$12:$I$102,4,0),CM431-VLOOKUP($P431&amp;" | "&amp;CD$6,'Job Master'!$F$12:$I$102,4,0)-1),""),"")</f>
        <v/>
      </c>
      <c r="CG431" s="73"/>
      <c r="CH431" s="123" t="str">
        <f t="shared" si="795"/>
        <v/>
      </c>
      <c r="CI431" s="123" t="str">
        <f t="shared" si="796"/>
        <v/>
      </c>
      <c r="CJ431" s="97" t="str">
        <f t="shared" ca="1" si="797"/>
        <v/>
      </c>
      <c r="CK431" s="98" t="str">
        <f>IF(CM431&lt;&gt;"",VLOOKUP($P431&amp;" | "&amp;CK$6,'Job Master'!$F$12:$J$102,5,0),"")</f>
        <v/>
      </c>
      <c r="CL431" s="19" t="str">
        <f>IF(CM431&lt;&gt;"",VLOOKUP($P431&amp;" | "&amp;CK$6,'Job Master'!$F$12:$J$102,3,0),"")</f>
        <v/>
      </c>
      <c r="CM431" s="19" t="str">
        <f>IFERROR(IF(AND(CT431&lt;&gt;"",VLOOKUP($P431&amp;" | "&amp;CK$6,'Job Master'!$F$12:$I$102,4,0)&lt;&gt;""),IF(WEEKDAY(CT431-VLOOKUP($P431&amp;" | "&amp;CK$6,'Job Master'!$F$12:$I$102,4,0))&lt;&gt;7,CT431-VLOOKUP($P431&amp;" | "&amp;CK$6,'Job Master'!$F$12:$I$102,4,0),CT431-VLOOKUP($P431&amp;" | "&amp;CK$6,'Job Master'!$F$12:$I$102,4,0)-1),""),"")</f>
        <v/>
      </c>
      <c r="CN431" s="73"/>
      <c r="CO431" s="123" t="str">
        <f t="shared" si="798"/>
        <v/>
      </c>
      <c r="CP431" s="123" t="str">
        <f t="shared" si="799"/>
        <v/>
      </c>
      <c r="CQ431" s="97" t="str">
        <f t="shared" ca="1" si="800"/>
        <v/>
      </c>
      <c r="CR431" s="98" t="str">
        <f>IF(CT431&lt;&gt;"",VLOOKUP($P431&amp;" | "&amp;CR$6,'Job Master'!$F$12:$J$102,5,0),"")</f>
        <v/>
      </c>
      <c r="CS431" s="19" t="str">
        <f>IF(CT431&lt;&gt;"",VLOOKUP($P431&amp;" | "&amp;CR$6,'Job Master'!$F$12:$J$102,3,0),"")</f>
        <v/>
      </c>
      <c r="CT431" s="19" t="str">
        <f>IFERROR(IF(AND(DA431&lt;&gt;"",VLOOKUP($P431&amp;" | "&amp;CR$6,'Job Master'!$F$12:$I$102,4,0)&lt;&gt;""),IF(WEEKDAY(DA431-VLOOKUP($P431&amp;" | "&amp;CR$6,'Job Master'!$F$12:$I$102,4,0))&lt;&gt;7,DA431-VLOOKUP($P431&amp;" | "&amp;CR$6,'Job Master'!$F$12:$I$102,4,0),DA431-VLOOKUP($P431&amp;" | "&amp;CR$6,'Job Master'!$F$12:$I$102,4,0)-1),""),"")</f>
        <v/>
      </c>
      <c r="CU431" s="73"/>
      <c r="CV431" s="123" t="str">
        <f t="shared" si="801"/>
        <v/>
      </c>
      <c r="CW431" s="123" t="str">
        <f t="shared" si="802"/>
        <v/>
      </c>
      <c r="CX431" s="97" t="str">
        <f t="shared" ca="1" si="803"/>
        <v/>
      </c>
      <c r="CY431" s="98" t="str">
        <f>IF(DA431&lt;&gt;"",VLOOKUP($P431&amp;" | "&amp;CY$6,'Job Master'!$F$12:$J$102,5,0),"")</f>
        <v/>
      </c>
      <c r="CZ431" s="19" t="str">
        <f>IF(DA431&lt;&gt;"",VLOOKUP($P431&amp;" | "&amp;CY$6,'Job Master'!$F$12:$J$102,3,0),"")</f>
        <v/>
      </c>
      <c r="DA431" s="19" t="str">
        <f>IFERROR(IF(AND(DH431&lt;&gt;"",VLOOKUP($P431&amp;" | "&amp;CY$6,'Job Master'!$F$12:$I$102,4,0)&lt;&gt;""),IF(WEEKDAY(DH431-VLOOKUP($P431&amp;" | "&amp;CY$6,'Job Master'!$F$12:$I$102,4,0))&lt;&gt;7,DH431-VLOOKUP($P431&amp;" | "&amp;CY$6,'Job Master'!$F$12:$I$102,4,0),DH431-VLOOKUP($P431&amp;" | "&amp;CY$6,'Job Master'!$F$12:$I$102,4,0)-1),""),"")</f>
        <v/>
      </c>
      <c r="DB431" s="73"/>
      <c r="DC431" s="123" t="str">
        <f t="shared" si="804"/>
        <v/>
      </c>
      <c r="DD431" s="123" t="str">
        <f t="shared" si="805"/>
        <v/>
      </c>
      <c r="DE431" s="97" t="str">
        <f t="shared" ca="1" si="806"/>
        <v/>
      </c>
      <c r="DF431" s="98" t="str">
        <f>IF(DH431&lt;&gt;"",VLOOKUP($P431&amp;" | "&amp;DF$6,'Job Master'!$F$12:$J$102,5,0),"")</f>
        <v/>
      </c>
      <c r="DG431" s="19" t="str">
        <f>IF(DH431&lt;&gt;"",VLOOKUP($P431&amp;" | "&amp;DF$6,'Job Master'!$F$12:$J$102,3,0),"")</f>
        <v/>
      </c>
      <c r="DH431" s="19" t="str">
        <f>IFERROR(IF(AND(DO431&lt;&gt;"",VLOOKUP($P431&amp;" | "&amp;DF$6,'Job Master'!$F$12:$I$102,4,0)&lt;&gt;""),IF(WEEKDAY(DO431-VLOOKUP($P431&amp;" | "&amp;DF$6,'Job Master'!$F$12:$I$102,4,0))&lt;&gt;7,DO431-VLOOKUP($P431&amp;" | "&amp;DF$6,'Job Master'!$F$12:$I$102,4,0),DO431-VLOOKUP($P431&amp;" | "&amp;DF$6,'Job Master'!$F$12:$I$102,4,0)-1),""),"")</f>
        <v/>
      </c>
      <c r="DI431" s="73"/>
      <c r="DJ431" s="123" t="str">
        <f t="shared" si="807"/>
        <v/>
      </c>
      <c r="DK431" s="123" t="str">
        <f t="shared" si="808"/>
        <v/>
      </c>
      <c r="DL431" s="97" t="str">
        <f t="shared" ca="1" si="809"/>
        <v/>
      </c>
      <c r="DM431" s="98" t="str">
        <f>IF(DO431&lt;&gt;"",VLOOKUP($P431&amp;" | "&amp;DM$6,'Job Master'!$F$12:$J$102,5,0),"")</f>
        <v/>
      </c>
      <c r="DN431" s="19" t="str">
        <f>IF(DO431&lt;&gt;"",VLOOKUP($P431&amp;" | "&amp;DM$6,'Job Master'!$F$12:$J$102,3,0),"")</f>
        <v/>
      </c>
      <c r="DO431" s="19" t="str">
        <f>IFERROR(IF(AND(DT431&lt;&gt;"",VLOOKUP($P431&amp;" | "&amp;DM$6,'Job Master'!$F$12:$I$102,4,0)&lt;&gt;""),IF(WEEKDAY(DT431-VLOOKUP($P431&amp;" | "&amp;DM$6,'Job Master'!$F$12:$I$102,4,0))&lt;&gt;7,DT431-VLOOKUP($P431&amp;" | "&amp;DM$6,'Job Master'!$F$12:$I$102,4,0),DT431-VLOOKUP($P431&amp;" | "&amp;DM$6,'Job Master'!$F$12:$I$102,4,0)-1),""),"")</f>
        <v/>
      </c>
      <c r="DP431" s="73"/>
      <c r="DQ431" s="123" t="str">
        <f t="shared" si="810"/>
        <v/>
      </c>
      <c r="DR431" s="123" t="str">
        <f t="shared" si="811"/>
        <v/>
      </c>
      <c r="DS431" s="97" t="str">
        <f t="shared" ca="1" si="812"/>
        <v/>
      </c>
      <c r="DT431" s="70" t="str">
        <f t="shared" si="813"/>
        <v/>
      </c>
      <c r="DU431" s="90"/>
      <c r="DV431" s="123" t="str">
        <f t="shared" si="814"/>
        <v/>
      </c>
      <c r="DW431" s="123" t="str">
        <f t="shared" si="815"/>
        <v/>
      </c>
      <c r="DX431" s="132" t="str">
        <f t="shared" ref="DX431" ca="1" si="864">IF(DT431&lt;&gt;"",IF(WEEKNUM(DT431)=WEEKNUM(TODAY()),"This Week",IF(WEEKNUM(DT431)=WEEKNUM(TODAY())+1,"Next Week",IF(WEEKNUM(DT431)=WEEKNUM(TODAY())-1,"Previous Week",""))),"")</f>
        <v/>
      </c>
      <c r="DY431" s="134" t="str">
        <f t="shared" si="817"/>
        <v/>
      </c>
      <c r="DZ431" s="95"/>
      <c r="EB431" s="8" t="str">
        <f t="shared" si="823"/>
        <v/>
      </c>
      <c r="EC431" s="8" t="str">
        <f>IF(O431&lt;&gt;"",VLOOKUP(O431,'Job Master'!$N$12:$O$18,2,0),"")</f>
        <v/>
      </c>
      <c r="ED431" s="8">
        <f t="shared" si="824"/>
        <v>19.5</v>
      </c>
      <c r="EE431" s="8">
        <f t="shared" si="825"/>
        <v>6</v>
      </c>
      <c r="EF431" s="8">
        <f t="shared" si="826"/>
        <v>-2506.5</v>
      </c>
      <c r="EG431" s="8" t="str">
        <f t="shared" si="827"/>
        <v/>
      </c>
      <c r="EH431" s="8" t="str">
        <f t="shared" si="828"/>
        <v/>
      </c>
    </row>
    <row r="432" spans="2:138" x14ac:dyDescent="0.3">
      <c r="B432" s="112"/>
      <c r="C432" s="27"/>
      <c r="D432" s="7" t="str">
        <f t="shared" si="765"/>
        <v/>
      </c>
      <c r="E432" s="25"/>
      <c r="F432" s="7" t="str">
        <f t="shared" si="765"/>
        <v/>
      </c>
      <c r="G432" s="25"/>
      <c r="H432" s="7" t="str">
        <f t="shared" si="765"/>
        <v/>
      </c>
      <c r="I432" s="25"/>
      <c r="J432" s="7" t="str">
        <f t="shared" si="765"/>
        <v/>
      </c>
      <c r="K432" s="25"/>
      <c r="L432" s="7" t="str">
        <f t="shared" si="766"/>
        <v/>
      </c>
      <c r="M432" s="25"/>
      <c r="N432" s="7" t="str">
        <f t="shared" si="767"/>
        <v/>
      </c>
      <c r="O432" s="81"/>
      <c r="P432" s="81" t="str">
        <f t="shared" si="768"/>
        <v/>
      </c>
      <c r="Q432" s="81"/>
      <c r="R432" s="7" t="str">
        <f t="shared" si="769"/>
        <v/>
      </c>
      <c r="S432" s="25"/>
      <c r="T432" s="7" t="str">
        <f t="shared" si="770"/>
        <v/>
      </c>
      <c r="U432" s="25"/>
      <c r="V432" s="7" t="str">
        <f t="shared" si="771"/>
        <v/>
      </c>
      <c r="W432" s="25"/>
      <c r="X432" s="7" t="str">
        <f t="shared" si="772"/>
        <v/>
      </c>
      <c r="Y432" s="18" t="str">
        <f t="shared" si="773"/>
        <v/>
      </c>
      <c r="Z432" s="7" t="str">
        <f t="shared" si="774"/>
        <v/>
      </c>
      <c r="AA432" s="18" t="str">
        <f t="shared" si="775"/>
        <v/>
      </c>
      <c r="AB432" s="19" t="str">
        <f t="shared" si="776"/>
        <v/>
      </c>
      <c r="AC432" s="26"/>
      <c r="AD432" s="26"/>
      <c r="AE432" s="25"/>
      <c r="AF432" s="26"/>
      <c r="AG432" s="25"/>
      <c r="AH432" s="25"/>
      <c r="AI432" s="18" t="str">
        <f t="shared" si="839"/>
        <v/>
      </c>
      <c r="AJ432" s="25"/>
      <c r="AK432" s="18" t="str">
        <f t="shared" si="840"/>
        <v/>
      </c>
      <c r="AL432" s="79"/>
      <c r="AM432" s="126" t="str">
        <f t="shared" si="841"/>
        <v/>
      </c>
      <c r="AN432" s="128" t="str">
        <f>IF(AP432&lt;&gt;"",VLOOKUP($P432&amp;" | "&amp;AN$6,'Job Master'!$F$12:$J$102,5,0),"")</f>
        <v/>
      </c>
      <c r="AO432" s="19" t="str">
        <f>IF(AP432&lt;&gt;"",VLOOKUP($P432&amp;" | "&amp;AN$6,'Job Master'!$F$12:$J$102,3,0),"")</f>
        <v/>
      </c>
      <c r="AP432" s="19" t="str">
        <f>IFERROR(IF(AND(AW432&lt;&gt;"",VLOOKUP($P432&amp;" | "&amp;AN$6,'Job Master'!$F$12:$I$102,4,0)&lt;&gt;""),IF(WEEKDAY(AW432-VLOOKUP($P432&amp;" | "&amp;AN$6,'Job Master'!$F$12:$I$102,4,0))&lt;&gt;7,AW432-VLOOKUP($P432&amp;" | "&amp;AN$6,'Job Master'!$F$12:$I$102,4,0),AW432-VLOOKUP($P432&amp;" | "&amp;AN$6,'Job Master'!$F$12:$I$102,4,0)-1),""),"")</f>
        <v/>
      </c>
      <c r="AQ432" s="73"/>
      <c r="AR432" s="123" t="str">
        <f t="shared" si="777"/>
        <v/>
      </c>
      <c r="AS432" s="123" t="str">
        <f t="shared" si="778"/>
        <v/>
      </c>
      <c r="AT432" s="97" t="str">
        <f t="shared" ca="1" si="779"/>
        <v/>
      </c>
      <c r="AU432" s="98" t="str">
        <f>IF(AW432&lt;&gt;"",VLOOKUP($P432&amp;" | "&amp;AU$6,'Job Master'!$F$12:$J$102,5,0),"")</f>
        <v/>
      </c>
      <c r="AV432" s="19" t="str">
        <f>IF(AW432&lt;&gt;"",VLOOKUP($P432&amp;" | "&amp;AU$6,'Job Master'!$F$12:$J$102,3,0),"")</f>
        <v/>
      </c>
      <c r="AW432" s="19" t="str">
        <f>IFERROR(IF(AND(BD432&lt;&gt;"",VLOOKUP($P432&amp;" | "&amp;AU$6,'Job Master'!$F$12:$I$102,4,0)&lt;&gt;""),IF(WEEKDAY(BD432-VLOOKUP($P432&amp;" | "&amp;AU$6,'Job Master'!$F$12:$I$102,4,0))&lt;&gt;7,BD432-VLOOKUP($P432&amp;" | "&amp;AU$6,'Job Master'!$F$12:$I$102,4,0),BD432-VLOOKUP($P432&amp;" | "&amp;AU$6,'Job Master'!$F$12:$I$102,4,0)-1),""),"")</f>
        <v/>
      </c>
      <c r="AX432" s="73"/>
      <c r="AY432" s="123" t="str">
        <f t="shared" si="780"/>
        <v/>
      </c>
      <c r="AZ432" s="123" t="str">
        <f t="shared" si="781"/>
        <v/>
      </c>
      <c r="BA432" s="97" t="str">
        <f t="shared" ca="1" si="782"/>
        <v/>
      </c>
      <c r="BB432" s="98" t="str">
        <f>IF(BD432&lt;&gt;"",VLOOKUP($P432&amp;" | "&amp;BB$6,'Job Master'!$F$12:$J$102,5,0),"")</f>
        <v/>
      </c>
      <c r="BC432" s="19" t="str">
        <f>IF(BD432&lt;&gt;"",VLOOKUP($P432&amp;" | "&amp;BB$6,'Job Master'!$F$12:$J$102,3,0),"")</f>
        <v/>
      </c>
      <c r="BD432" s="19" t="str">
        <f>IFERROR(IF(AND(BK432&lt;&gt;"",VLOOKUP($P432&amp;" | "&amp;BB$6,'Job Master'!$F$12:$I$102,4,0)&lt;&gt;""),IF(WEEKDAY(BK432-VLOOKUP($P432&amp;" | "&amp;BB$6,'Job Master'!$F$12:$I$102,4,0))&lt;&gt;7,BK432-VLOOKUP($P432&amp;" | "&amp;BB$6,'Job Master'!$F$12:$I$102,4,0),BK432-VLOOKUP($P432&amp;" | "&amp;BB$6,'Job Master'!$F$12:$I$102,4,0)-1),""),"")</f>
        <v/>
      </c>
      <c r="BE432" s="73"/>
      <c r="BF432" s="123" t="str">
        <f t="shared" si="783"/>
        <v/>
      </c>
      <c r="BG432" s="123" t="str">
        <f t="shared" si="784"/>
        <v/>
      </c>
      <c r="BH432" s="97" t="str">
        <f t="shared" ca="1" si="785"/>
        <v/>
      </c>
      <c r="BI432" s="98" t="str">
        <f>IF(BK432&lt;&gt;"",VLOOKUP($P432&amp;" | "&amp;BI$6,'Job Master'!$F$12:$J$102,5,0),"")</f>
        <v/>
      </c>
      <c r="BJ432" s="19" t="str">
        <f>IF(BK432&lt;&gt;"",VLOOKUP($P432&amp;" | "&amp;BI$6,'Job Master'!$F$12:$J$102,3,0),"")</f>
        <v/>
      </c>
      <c r="BK432" s="19" t="str">
        <f>IFERROR(IF(AND(BR432&lt;&gt;"",VLOOKUP($P432&amp;" | "&amp;BI$6,'Job Master'!$F$12:$I$102,4,0)&lt;&gt;""),IF(WEEKDAY(BR432-VLOOKUP($P432&amp;" | "&amp;BI$6,'Job Master'!$F$12:$I$102,4,0))&lt;&gt;7,BR432-VLOOKUP($P432&amp;" | "&amp;BI$6,'Job Master'!$F$12:$I$102,4,0),BR432-VLOOKUP($P432&amp;" | "&amp;BI$6,'Job Master'!$F$12:$I$102,4,0)-1),""),"")</f>
        <v/>
      </c>
      <c r="BL432" s="73"/>
      <c r="BM432" s="123" t="str">
        <f t="shared" si="786"/>
        <v/>
      </c>
      <c r="BN432" s="123" t="str">
        <f t="shared" si="787"/>
        <v/>
      </c>
      <c r="BO432" s="97" t="str">
        <f t="shared" ca="1" si="788"/>
        <v/>
      </c>
      <c r="BP432" s="98" t="str">
        <f>IF(BR432&lt;&gt;"",VLOOKUP($P432&amp;" | "&amp;BP$6,'Job Master'!$F$12:$J$102,5,0),"")</f>
        <v/>
      </c>
      <c r="BQ432" s="19" t="str">
        <f>IF(BR432&lt;&gt;"",VLOOKUP($P432&amp;" | "&amp;BP$6,'Job Master'!$F$12:$J$102,3,0),"")</f>
        <v/>
      </c>
      <c r="BR432" s="19" t="str">
        <f>IFERROR(IF(AND(BY432&lt;&gt;"",VLOOKUP($P432&amp;" | "&amp;BP$6,'Job Master'!$F$12:$I$102,4,0)&lt;&gt;""),IF(WEEKDAY(BY432-VLOOKUP($P432&amp;" | "&amp;BP$6,'Job Master'!$F$12:$I$102,4,0))&lt;&gt;7,BY432-VLOOKUP($P432&amp;" | "&amp;BP$6,'Job Master'!$F$12:$I$102,4,0),BY432-VLOOKUP($P432&amp;" | "&amp;BP$6,'Job Master'!$F$12:$I$102,4,0)-1),""),"")</f>
        <v/>
      </c>
      <c r="BS432" s="73"/>
      <c r="BT432" s="123" t="str">
        <f t="shared" si="789"/>
        <v/>
      </c>
      <c r="BU432" s="123" t="str">
        <f t="shared" si="790"/>
        <v/>
      </c>
      <c r="BV432" s="97" t="str">
        <f t="shared" ca="1" si="791"/>
        <v/>
      </c>
      <c r="BW432" s="98" t="str">
        <f>IF(BY432&lt;&gt;"",VLOOKUP($P432&amp;" | "&amp;BW$6,'Job Master'!$F$12:$J$102,5,0),"")</f>
        <v/>
      </c>
      <c r="BX432" s="19" t="str">
        <f>IF(BY432&lt;&gt;"",VLOOKUP($P432&amp;" | "&amp;BW$6,'Job Master'!$F$12:$J$102,3,0),"")</f>
        <v/>
      </c>
      <c r="BY432" s="19" t="str">
        <f>IFERROR(IF(AND(CF432&lt;&gt;"",VLOOKUP($P432&amp;" | "&amp;BW$6,'Job Master'!$F$12:$I$102,4,0)&lt;&gt;""),IF(WEEKDAY(CF432-VLOOKUP($P432&amp;" | "&amp;BW$6,'Job Master'!$F$12:$I$102,4,0))&lt;&gt;7,CF432-VLOOKUP($P432&amp;" | "&amp;BW$6,'Job Master'!$F$12:$I$102,4,0),CF432-VLOOKUP($P432&amp;" | "&amp;BW$6,'Job Master'!$F$12:$I$102,4,0)-1),""),"")</f>
        <v/>
      </c>
      <c r="BZ432" s="73"/>
      <c r="CA432" s="123" t="str">
        <f t="shared" si="792"/>
        <v/>
      </c>
      <c r="CB432" s="123" t="str">
        <f t="shared" si="793"/>
        <v/>
      </c>
      <c r="CC432" s="97" t="str">
        <f t="shared" ca="1" si="794"/>
        <v/>
      </c>
      <c r="CD432" s="98" t="str">
        <f>IF(CF432&lt;&gt;"",VLOOKUP($P432&amp;" | "&amp;CD$6,'Job Master'!$F$12:$J$102,5,0),"")</f>
        <v/>
      </c>
      <c r="CE432" s="19" t="str">
        <f>IF(CF432&lt;&gt;"",VLOOKUP($P432&amp;" | "&amp;CD$6,'Job Master'!$F$12:$J$102,3,0),"")</f>
        <v/>
      </c>
      <c r="CF432" s="19" t="str">
        <f>IFERROR(IF(AND(CM432&lt;&gt;"",VLOOKUP($P432&amp;" | "&amp;CD$6,'Job Master'!$F$12:$I$102,4,0)&lt;&gt;""),IF(WEEKDAY(CM432-VLOOKUP($P432&amp;" | "&amp;CD$6,'Job Master'!$F$12:$I$102,4,0))&lt;&gt;7,CM432-VLOOKUP($P432&amp;" | "&amp;CD$6,'Job Master'!$F$12:$I$102,4,0),CM432-VLOOKUP($P432&amp;" | "&amp;CD$6,'Job Master'!$F$12:$I$102,4,0)-1),""),"")</f>
        <v/>
      </c>
      <c r="CG432" s="73"/>
      <c r="CH432" s="123" t="str">
        <f t="shared" si="795"/>
        <v/>
      </c>
      <c r="CI432" s="123" t="str">
        <f t="shared" si="796"/>
        <v/>
      </c>
      <c r="CJ432" s="97" t="str">
        <f t="shared" ca="1" si="797"/>
        <v/>
      </c>
      <c r="CK432" s="98" t="str">
        <f>IF(CM432&lt;&gt;"",VLOOKUP($P432&amp;" | "&amp;CK$6,'Job Master'!$F$12:$J$102,5,0),"")</f>
        <v/>
      </c>
      <c r="CL432" s="19" t="str">
        <f>IF(CM432&lt;&gt;"",VLOOKUP($P432&amp;" | "&amp;CK$6,'Job Master'!$F$12:$J$102,3,0),"")</f>
        <v/>
      </c>
      <c r="CM432" s="19" t="str">
        <f>IFERROR(IF(AND(CT432&lt;&gt;"",VLOOKUP($P432&amp;" | "&amp;CK$6,'Job Master'!$F$12:$I$102,4,0)&lt;&gt;""),IF(WEEKDAY(CT432-VLOOKUP($P432&amp;" | "&amp;CK$6,'Job Master'!$F$12:$I$102,4,0))&lt;&gt;7,CT432-VLOOKUP($P432&amp;" | "&amp;CK$6,'Job Master'!$F$12:$I$102,4,0),CT432-VLOOKUP($P432&amp;" | "&amp;CK$6,'Job Master'!$F$12:$I$102,4,0)-1),""),"")</f>
        <v/>
      </c>
      <c r="CN432" s="73"/>
      <c r="CO432" s="123" t="str">
        <f t="shared" si="798"/>
        <v/>
      </c>
      <c r="CP432" s="123" t="str">
        <f t="shared" si="799"/>
        <v/>
      </c>
      <c r="CQ432" s="97" t="str">
        <f t="shared" ca="1" si="800"/>
        <v/>
      </c>
      <c r="CR432" s="98" t="str">
        <f>IF(CT432&lt;&gt;"",VLOOKUP($P432&amp;" | "&amp;CR$6,'Job Master'!$F$12:$J$102,5,0),"")</f>
        <v/>
      </c>
      <c r="CS432" s="19" t="str">
        <f>IF(CT432&lt;&gt;"",VLOOKUP($P432&amp;" | "&amp;CR$6,'Job Master'!$F$12:$J$102,3,0),"")</f>
        <v/>
      </c>
      <c r="CT432" s="19" t="str">
        <f>IFERROR(IF(AND(DA432&lt;&gt;"",VLOOKUP($P432&amp;" | "&amp;CR$6,'Job Master'!$F$12:$I$102,4,0)&lt;&gt;""),IF(WEEKDAY(DA432-VLOOKUP($P432&amp;" | "&amp;CR$6,'Job Master'!$F$12:$I$102,4,0))&lt;&gt;7,DA432-VLOOKUP($P432&amp;" | "&amp;CR$6,'Job Master'!$F$12:$I$102,4,0),DA432-VLOOKUP($P432&amp;" | "&amp;CR$6,'Job Master'!$F$12:$I$102,4,0)-1),""),"")</f>
        <v/>
      </c>
      <c r="CU432" s="73"/>
      <c r="CV432" s="123" t="str">
        <f t="shared" si="801"/>
        <v/>
      </c>
      <c r="CW432" s="123" t="str">
        <f t="shared" si="802"/>
        <v/>
      </c>
      <c r="CX432" s="97" t="str">
        <f t="shared" ca="1" si="803"/>
        <v/>
      </c>
      <c r="CY432" s="98" t="str">
        <f>IF(DA432&lt;&gt;"",VLOOKUP($P432&amp;" | "&amp;CY$6,'Job Master'!$F$12:$J$102,5,0),"")</f>
        <v/>
      </c>
      <c r="CZ432" s="19" t="str">
        <f>IF(DA432&lt;&gt;"",VLOOKUP($P432&amp;" | "&amp;CY$6,'Job Master'!$F$12:$J$102,3,0),"")</f>
        <v/>
      </c>
      <c r="DA432" s="19" t="str">
        <f>IFERROR(IF(AND(DH432&lt;&gt;"",VLOOKUP($P432&amp;" | "&amp;CY$6,'Job Master'!$F$12:$I$102,4,0)&lt;&gt;""),IF(WEEKDAY(DH432-VLOOKUP($P432&amp;" | "&amp;CY$6,'Job Master'!$F$12:$I$102,4,0))&lt;&gt;7,DH432-VLOOKUP($P432&amp;" | "&amp;CY$6,'Job Master'!$F$12:$I$102,4,0),DH432-VLOOKUP($P432&amp;" | "&amp;CY$6,'Job Master'!$F$12:$I$102,4,0)-1),""),"")</f>
        <v/>
      </c>
      <c r="DB432" s="73"/>
      <c r="DC432" s="123" t="str">
        <f t="shared" si="804"/>
        <v/>
      </c>
      <c r="DD432" s="123" t="str">
        <f t="shared" si="805"/>
        <v/>
      </c>
      <c r="DE432" s="97" t="str">
        <f t="shared" ca="1" si="806"/>
        <v/>
      </c>
      <c r="DF432" s="98" t="str">
        <f>IF(DH432&lt;&gt;"",VLOOKUP($P432&amp;" | "&amp;DF$6,'Job Master'!$F$12:$J$102,5,0),"")</f>
        <v/>
      </c>
      <c r="DG432" s="19" t="str">
        <f>IF(DH432&lt;&gt;"",VLOOKUP($P432&amp;" | "&amp;DF$6,'Job Master'!$F$12:$J$102,3,0),"")</f>
        <v/>
      </c>
      <c r="DH432" s="19" t="str">
        <f>IFERROR(IF(AND(DO432&lt;&gt;"",VLOOKUP($P432&amp;" | "&amp;DF$6,'Job Master'!$F$12:$I$102,4,0)&lt;&gt;""),IF(WEEKDAY(DO432-VLOOKUP($P432&amp;" | "&amp;DF$6,'Job Master'!$F$12:$I$102,4,0))&lt;&gt;7,DO432-VLOOKUP($P432&amp;" | "&amp;DF$6,'Job Master'!$F$12:$I$102,4,0),DO432-VLOOKUP($P432&amp;" | "&amp;DF$6,'Job Master'!$F$12:$I$102,4,0)-1),""),"")</f>
        <v/>
      </c>
      <c r="DI432" s="73"/>
      <c r="DJ432" s="123" t="str">
        <f t="shared" si="807"/>
        <v/>
      </c>
      <c r="DK432" s="123" t="str">
        <f t="shared" si="808"/>
        <v/>
      </c>
      <c r="DL432" s="97" t="str">
        <f t="shared" ca="1" si="809"/>
        <v/>
      </c>
      <c r="DM432" s="98" t="str">
        <f>IF(DO432&lt;&gt;"",VLOOKUP($P432&amp;" | "&amp;DM$6,'Job Master'!$F$12:$J$102,5,0),"")</f>
        <v/>
      </c>
      <c r="DN432" s="19" t="str">
        <f>IF(DO432&lt;&gt;"",VLOOKUP($P432&amp;" | "&amp;DM$6,'Job Master'!$F$12:$J$102,3,0),"")</f>
        <v/>
      </c>
      <c r="DO432" s="19" t="str">
        <f>IFERROR(IF(AND(DT432&lt;&gt;"",VLOOKUP($P432&amp;" | "&amp;DM$6,'Job Master'!$F$12:$I$102,4,0)&lt;&gt;""),IF(WEEKDAY(DT432-VLOOKUP($P432&amp;" | "&amp;DM$6,'Job Master'!$F$12:$I$102,4,0))&lt;&gt;7,DT432-VLOOKUP($P432&amp;" | "&amp;DM$6,'Job Master'!$F$12:$I$102,4,0),DT432-VLOOKUP($P432&amp;" | "&amp;DM$6,'Job Master'!$F$12:$I$102,4,0)-1),""),"")</f>
        <v/>
      </c>
      <c r="DP432" s="73"/>
      <c r="DQ432" s="123" t="str">
        <f t="shared" si="810"/>
        <v/>
      </c>
      <c r="DR432" s="123" t="str">
        <f t="shared" si="811"/>
        <v/>
      </c>
      <c r="DS432" s="97" t="str">
        <f t="shared" ca="1" si="812"/>
        <v/>
      </c>
      <c r="DT432" s="70" t="str">
        <f t="shared" si="813"/>
        <v/>
      </c>
      <c r="DU432" s="90"/>
      <c r="DV432" s="123" t="str">
        <f t="shared" si="814"/>
        <v/>
      </c>
      <c r="DW432" s="123" t="str">
        <f t="shared" si="815"/>
        <v/>
      </c>
      <c r="DX432" s="132" t="str">
        <f t="shared" ref="DX432" ca="1" si="865">IF(DT432&lt;&gt;"",IF(WEEKNUM(DT432)=WEEKNUM(TODAY()),"This Week",IF(WEEKNUM(DT432)=WEEKNUM(TODAY())+1,"Next Week",IF(WEEKNUM(DT432)=WEEKNUM(TODAY())-1,"Previous Week",""))),"")</f>
        <v/>
      </c>
      <c r="DY432" s="134" t="str">
        <f t="shared" si="817"/>
        <v/>
      </c>
      <c r="DZ432" s="95"/>
      <c r="EB432" s="8" t="str">
        <f t="shared" si="823"/>
        <v/>
      </c>
      <c r="EC432" s="8" t="str">
        <f>IF(O432&lt;&gt;"",VLOOKUP(O432,'Job Master'!$N$12:$O$18,2,0),"")</f>
        <v/>
      </c>
      <c r="ED432" s="8">
        <f t="shared" si="824"/>
        <v>19.5</v>
      </c>
      <c r="EE432" s="8">
        <f t="shared" si="825"/>
        <v>6</v>
      </c>
      <c r="EF432" s="8">
        <f t="shared" si="826"/>
        <v>-2512.5</v>
      </c>
      <c r="EG432" s="8" t="str">
        <f t="shared" si="827"/>
        <v/>
      </c>
      <c r="EH432" s="8" t="str">
        <f t="shared" si="828"/>
        <v/>
      </c>
    </row>
    <row r="433" spans="2:138" x14ac:dyDescent="0.3">
      <c r="B433" s="112"/>
      <c r="C433" s="27"/>
      <c r="D433" s="7" t="str">
        <f t="shared" si="765"/>
        <v/>
      </c>
      <c r="E433" s="25"/>
      <c r="F433" s="7" t="str">
        <f t="shared" si="765"/>
        <v/>
      </c>
      <c r="G433" s="25"/>
      <c r="H433" s="7" t="str">
        <f t="shared" si="765"/>
        <v/>
      </c>
      <c r="I433" s="25"/>
      <c r="J433" s="7" t="str">
        <f t="shared" si="765"/>
        <v/>
      </c>
      <c r="K433" s="25"/>
      <c r="L433" s="7" t="str">
        <f t="shared" si="766"/>
        <v/>
      </c>
      <c r="M433" s="25"/>
      <c r="N433" s="7" t="str">
        <f t="shared" si="767"/>
        <v/>
      </c>
      <c r="O433" s="81"/>
      <c r="P433" s="81" t="str">
        <f t="shared" si="768"/>
        <v/>
      </c>
      <c r="Q433" s="81"/>
      <c r="R433" s="7" t="str">
        <f t="shared" si="769"/>
        <v/>
      </c>
      <c r="S433" s="25"/>
      <c r="T433" s="7" t="str">
        <f t="shared" si="770"/>
        <v/>
      </c>
      <c r="U433" s="25"/>
      <c r="V433" s="7" t="str">
        <f t="shared" si="771"/>
        <v/>
      </c>
      <c r="W433" s="25"/>
      <c r="X433" s="7" t="str">
        <f t="shared" si="772"/>
        <v/>
      </c>
      <c r="Y433" s="18" t="str">
        <f t="shared" si="773"/>
        <v/>
      </c>
      <c r="Z433" s="7" t="str">
        <f t="shared" si="774"/>
        <v/>
      </c>
      <c r="AA433" s="18" t="str">
        <f t="shared" si="775"/>
        <v/>
      </c>
      <c r="AB433" s="19" t="str">
        <f t="shared" si="776"/>
        <v/>
      </c>
      <c r="AC433" s="26"/>
      <c r="AD433" s="26"/>
      <c r="AE433" s="25"/>
      <c r="AF433" s="26"/>
      <c r="AG433" s="25"/>
      <c r="AH433" s="25"/>
      <c r="AI433" s="18" t="str">
        <f t="shared" si="839"/>
        <v/>
      </c>
      <c r="AJ433" s="25"/>
      <c r="AK433" s="18" t="str">
        <f t="shared" si="840"/>
        <v/>
      </c>
      <c r="AL433" s="79"/>
      <c r="AM433" s="126" t="str">
        <f t="shared" si="841"/>
        <v/>
      </c>
      <c r="AN433" s="128" t="str">
        <f>IF(AP433&lt;&gt;"",VLOOKUP($P433&amp;" | "&amp;AN$6,'Job Master'!$F$12:$J$102,5,0),"")</f>
        <v/>
      </c>
      <c r="AO433" s="19" t="str">
        <f>IF(AP433&lt;&gt;"",VLOOKUP($P433&amp;" | "&amp;AN$6,'Job Master'!$F$12:$J$102,3,0),"")</f>
        <v/>
      </c>
      <c r="AP433" s="19" t="str">
        <f>IFERROR(IF(AND(AW433&lt;&gt;"",VLOOKUP($P433&amp;" | "&amp;AN$6,'Job Master'!$F$12:$I$102,4,0)&lt;&gt;""),IF(WEEKDAY(AW433-VLOOKUP($P433&amp;" | "&amp;AN$6,'Job Master'!$F$12:$I$102,4,0))&lt;&gt;7,AW433-VLOOKUP($P433&amp;" | "&amp;AN$6,'Job Master'!$F$12:$I$102,4,0),AW433-VLOOKUP($P433&amp;" | "&amp;AN$6,'Job Master'!$F$12:$I$102,4,0)-1),""),"")</f>
        <v/>
      </c>
      <c r="AQ433" s="73"/>
      <c r="AR433" s="123" t="str">
        <f t="shared" si="777"/>
        <v/>
      </c>
      <c r="AS433" s="123" t="str">
        <f t="shared" si="778"/>
        <v/>
      </c>
      <c r="AT433" s="97" t="str">
        <f t="shared" ca="1" si="779"/>
        <v/>
      </c>
      <c r="AU433" s="98" t="str">
        <f>IF(AW433&lt;&gt;"",VLOOKUP($P433&amp;" | "&amp;AU$6,'Job Master'!$F$12:$J$102,5,0),"")</f>
        <v/>
      </c>
      <c r="AV433" s="19" t="str">
        <f>IF(AW433&lt;&gt;"",VLOOKUP($P433&amp;" | "&amp;AU$6,'Job Master'!$F$12:$J$102,3,0),"")</f>
        <v/>
      </c>
      <c r="AW433" s="19" t="str">
        <f>IFERROR(IF(AND(BD433&lt;&gt;"",VLOOKUP($P433&amp;" | "&amp;AU$6,'Job Master'!$F$12:$I$102,4,0)&lt;&gt;""),IF(WEEKDAY(BD433-VLOOKUP($P433&amp;" | "&amp;AU$6,'Job Master'!$F$12:$I$102,4,0))&lt;&gt;7,BD433-VLOOKUP($P433&amp;" | "&amp;AU$6,'Job Master'!$F$12:$I$102,4,0),BD433-VLOOKUP($P433&amp;" | "&amp;AU$6,'Job Master'!$F$12:$I$102,4,0)-1),""),"")</f>
        <v/>
      </c>
      <c r="AX433" s="73"/>
      <c r="AY433" s="123" t="str">
        <f t="shared" si="780"/>
        <v/>
      </c>
      <c r="AZ433" s="123" t="str">
        <f t="shared" si="781"/>
        <v/>
      </c>
      <c r="BA433" s="97" t="str">
        <f t="shared" ca="1" si="782"/>
        <v/>
      </c>
      <c r="BB433" s="98" t="str">
        <f>IF(BD433&lt;&gt;"",VLOOKUP($P433&amp;" | "&amp;BB$6,'Job Master'!$F$12:$J$102,5,0),"")</f>
        <v/>
      </c>
      <c r="BC433" s="19" t="str">
        <f>IF(BD433&lt;&gt;"",VLOOKUP($P433&amp;" | "&amp;BB$6,'Job Master'!$F$12:$J$102,3,0),"")</f>
        <v/>
      </c>
      <c r="BD433" s="19" t="str">
        <f>IFERROR(IF(AND(BK433&lt;&gt;"",VLOOKUP($P433&amp;" | "&amp;BB$6,'Job Master'!$F$12:$I$102,4,0)&lt;&gt;""),IF(WEEKDAY(BK433-VLOOKUP($P433&amp;" | "&amp;BB$6,'Job Master'!$F$12:$I$102,4,0))&lt;&gt;7,BK433-VLOOKUP($P433&amp;" | "&amp;BB$6,'Job Master'!$F$12:$I$102,4,0),BK433-VLOOKUP($P433&amp;" | "&amp;BB$6,'Job Master'!$F$12:$I$102,4,0)-1),""),"")</f>
        <v/>
      </c>
      <c r="BE433" s="73"/>
      <c r="BF433" s="123" t="str">
        <f t="shared" si="783"/>
        <v/>
      </c>
      <c r="BG433" s="123" t="str">
        <f t="shared" si="784"/>
        <v/>
      </c>
      <c r="BH433" s="97" t="str">
        <f t="shared" ca="1" si="785"/>
        <v/>
      </c>
      <c r="BI433" s="98" t="str">
        <f>IF(BK433&lt;&gt;"",VLOOKUP($P433&amp;" | "&amp;BI$6,'Job Master'!$F$12:$J$102,5,0),"")</f>
        <v/>
      </c>
      <c r="BJ433" s="19" t="str">
        <f>IF(BK433&lt;&gt;"",VLOOKUP($P433&amp;" | "&amp;BI$6,'Job Master'!$F$12:$J$102,3,0),"")</f>
        <v/>
      </c>
      <c r="BK433" s="19" t="str">
        <f>IFERROR(IF(AND(BR433&lt;&gt;"",VLOOKUP($P433&amp;" | "&amp;BI$6,'Job Master'!$F$12:$I$102,4,0)&lt;&gt;""),IF(WEEKDAY(BR433-VLOOKUP($P433&amp;" | "&amp;BI$6,'Job Master'!$F$12:$I$102,4,0))&lt;&gt;7,BR433-VLOOKUP($P433&amp;" | "&amp;BI$6,'Job Master'!$F$12:$I$102,4,0),BR433-VLOOKUP($P433&amp;" | "&amp;BI$6,'Job Master'!$F$12:$I$102,4,0)-1),""),"")</f>
        <v/>
      </c>
      <c r="BL433" s="73"/>
      <c r="BM433" s="123" t="str">
        <f t="shared" si="786"/>
        <v/>
      </c>
      <c r="BN433" s="123" t="str">
        <f t="shared" si="787"/>
        <v/>
      </c>
      <c r="BO433" s="97" t="str">
        <f t="shared" ca="1" si="788"/>
        <v/>
      </c>
      <c r="BP433" s="98" t="str">
        <f>IF(BR433&lt;&gt;"",VLOOKUP($P433&amp;" | "&amp;BP$6,'Job Master'!$F$12:$J$102,5,0),"")</f>
        <v/>
      </c>
      <c r="BQ433" s="19" t="str">
        <f>IF(BR433&lt;&gt;"",VLOOKUP($P433&amp;" | "&amp;BP$6,'Job Master'!$F$12:$J$102,3,0),"")</f>
        <v/>
      </c>
      <c r="BR433" s="19" t="str">
        <f>IFERROR(IF(AND(BY433&lt;&gt;"",VLOOKUP($P433&amp;" | "&amp;BP$6,'Job Master'!$F$12:$I$102,4,0)&lt;&gt;""),IF(WEEKDAY(BY433-VLOOKUP($P433&amp;" | "&amp;BP$6,'Job Master'!$F$12:$I$102,4,0))&lt;&gt;7,BY433-VLOOKUP($P433&amp;" | "&amp;BP$6,'Job Master'!$F$12:$I$102,4,0),BY433-VLOOKUP($P433&amp;" | "&amp;BP$6,'Job Master'!$F$12:$I$102,4,0)-1),""),"")</f>
        <v/>
      </c>
      <c r="BS433" s="73"/>
      <c r="BT433" s="123" t="str">
        <f t="shared" si="789"/>
        <v/>
      </c>
      <c r="BU433" s="123" t="str">
        <f t="shared" si="790"/>
        <v/>
      </c>
      <c r="BV433" s="97" t="str">
        <f t="shared" ca="1" si="791"/>
        <v/>
      </c>
      <c r="BW433" s="98" t="str">
        <f>IF(BY433&lt;&gt;"",VLOOKUP($P433&amp;" | "&amp;BW$6,'Job Master'!$F$12:$J$102,5,0),"")</f>
        <v/>
      </c>
      <c r="BX433" s="19" t="str">
        <f>IF(BY433&lt;&gt;"",VLOOKUP($P433&amp;" | "&amp;BW$6,'Job Master'!$F$12:$J$102,3,0),"")</f>
        <v/>
      </c>
      <c r="BY433" s="19" t="str">
        <f>IFERROR(IF(AND(CF433&lt;&gt;"",VLOOKUP($P433&amp;" | "&amp;BW$6,'Job Master'!$F$12:$I$102,4,0)&lt;&gt;""),IF(WEEKDAY(CF433-VLOOKUP($P433&amp;" | "&amp;BW$6,'Job Master'!$F$12:$I$102,4,0))&lt;&gt;7,CF433-VLOOKUP($P433&amp;" | "&amp;BW$6,'Job Master'!$F$12:$I$102,4,0),CF433-VLOOKUP($P433&amp;" | "&amp;BW$6,'Job Master'!$F$12:$I$102,4,0)-1),""),"")</f>
        <v/>
      </c>
      <c r="BZ433" s="73"/>
      <c r="CA433" s="123" t="str">
        <f t="shared" si="792"/>
        <v/>
      </c>
      <c r="CB433" s="123" t="str">
        <f t="shared" si="793"/>
        <v/>
      </c>
      <c r="CC433" s="97" t="str">
        <f t="shared" ca="1" si="794"/>
        <v/>
      </c>
      <c r="CD433" s="98" t="str">
        <f>IF(CF433&lt;&gt;"",VLOOKUP($P433&amp;" | "&amp;CD$6,'Job Master'!$F$12:$J$102,5,0),"")</f>
        <v/>
      </c>
      <c r="CE433" s="19" t="str">
        <f>IF(CF433&lt;&gt;"",VLOOKUP($P433&amp;" | "&amp;CD$6,'Job Master'!$F$12:$J$102,3,0),"")</f>
        <v/>
      </c>
      <c r="CF433" s="19" t="str">
        <f>IFERROR(IF(AND(CM433&lt;&gt;"",VLOOKUP($P433&amp;" | "&amp;CD$6,'Job Master'!$F$12:$I$102,4,0)&lt;&gt;""),IF(WEEKDAY(CM433-VLOOKUP($P433&amp;" | "&amp;CD$6,'Job Master'!$F$12:$I$102,4,0))&lt;&gt;7,CM433-VLOOKUP($P433&amp;" | "&amp;CD$6,'Job Master'!$F$12:$I$102,4,0),CM433-VLOOKUP($P433&amp;" | "&amp;CD$6,'Job Master'!$F$12:$I$102,4,0)-1),""),"")</f>
        <v/>
      </c>
      <c r="CG433" s="73"/>
      <c r="CH433" s="123" t="str">
        <f t="shared" si="795"/>
        <v/>
      </c>
      <c r="CI433" s="123" t="str">
        <f t="shared" si="796"/>
        <v/>
      </c>
      <c r="CJ433" s="97" t="str">
        <f t="shared" ca="1" si="797"/>
        <v/>
      </c>
      <c r="CK433" s="98" t="str">
        <f>IF(CM433&lt;&gt;"",VLOOKUP($P433&amp;" | "&amp;CK$6,'Job Master'!$F$12:$J$102,5,0),"")</f>
        <v/>
      </c>
      <c r="CL433" s="19" t="str">
        <f>IF(CM433&lt;&gt;"",VLOOKUP($P433&amp;" | "&amp;CK$6,'Job Master'!$F$12:$J$102,3,0),"")</f>
        <v/>
      </c>
      <c r="CM433" s="19" t="str">
        <f>IFERROR(IF(AND(CT433&lt;&gt;"",VLOOKUP($P433&amp;" | "&amp;CK$6,'Job Master'!$F$12:$I$102,4,0)&lt;&gt;""),IF(WEEKDAY(CT433-VLOOKUP($P433&amp;" | "&amp;CK$6,'Job Master'!$F$12:$I$102,4,0))&lt;&gt;7,CT433-VLOOKUP($P433&amp;" | "&amp;CK$6,'Job Master'!$F$12:$I$102,4,0),CT433-VLOOKUP($P433&amp;" | "&amp;CK$6,'Job Master'!$F$12:$I$102,4,0)-1),""),"")</f>
        <v/>
      </c>
      <c r="CN433" s="73"/>
      <c r="CO433" s="123" t="str">
        <f t="shared" si="798"/>
        <v/>
      </c>
      <c r="CP433" s="123" t="str">
        <f t="shared" si="799"/>
        <v/>
      </c>
      <c r="CQ433" s="97" t="str">
        <f t="shared" ca="1" si="800"/>
        <v/>
      </c>
      <c r="CR433" s="98" t="str">
        <f>IF(CT433&lt;&gt;"",VLOOKUP($P433&amp;" | "&amp;CR$6,'Job Master'!$F$12:$J$102,5,0),"")</f>
        <v/>
      </c>
      <c r="CS433" s="19" t="str">
        <f>IF(CT433&lt;&gt;"",VLOOKUP($P433&amp;" | "&amp;CR$6,'Job Master'!$F$12:$J$102,3,0),"")</f>
        <v/>
      </c>
      <c r="CT433" s="19" t="str">
        <f>IFERROR(IF(AND(DA433&lt;&gt;"",VLOOKUP($P433&amp;" | "&amp;CR$6,'Job Master'!$F$12:$I$102,4,0)&lt;&gt;""),IF(WEEKDAY(DA433-VLOOKUP($P433&amp;" | "&amp;CR$6,'Job Master'!$F$12:$I$102,4,0))&lt;&gt;7,DA433-VLOOKUP($P433&amp;" | "&amp;CR$6,'Job Master'!$F$12:$I$102,4,0),DA433-VLOOKUP($P433&amp;" | "&amp;CR$6,'Job Master'!$F$12:$I$102,4,0)-1),""),"")</f>
        <v/>
      </c>
      <c r="CU433" s="73"/>
      <c r="CV433" s="123" t="str">
        <f t="shared" si="801"/>
        <v/>
      </c>
      <c r="CW433" s="123" t="str">
        <f t="shared" si="802"/>
        <v/>
      </c>
      <c r="CX433" s="97" t="str">
        <f t="shared" ca="1" si="803"/>
        <v/>
      </c>
      <c r="CY433" s="98" t="str">
        <f>IF(DA433&lt;&gt;"",VLOOKUP($P433&amp;" | "&amp;CY$6,'Job Master'!$F$12:$J$102,5,0),"")</f>
        <v/>
      </c>
      <c r="CZ433" s="19" t="str">
        <f>IF(DA433&lt;&gt;"",VLOOKUP($P433&amp;" | "&amp;CY$6,'Job Master'!$F$12:$J$102,3,0),"")</f>
        <v/>
      </c>
      <c r="DA433" s="19" t="str">
        <f>IFERROR(IF(AND(DH433&lt;&gt;"",VLOOKUP($P433&amp;" | "&amp;CY$6,'Job Master'!$F$12:$I$102,4,0)&lt;&gt;""),IF(WEEKDAY(DH433-VLOOKUP($P433&amp;" | "&amp;CY$6,'Job Master'!$F$12:$I$102,4,0))&lt;&gt;7,DH433-VLOOKUP($P433&amp;" | "&amp;CY$6,'Job Master'!$F$12:$I$102,4,0),DH433-VLOOKUP($P433&amp;" | "&amp;CY$6,'Job Master'!$F$12:$I$102,4,0)-1),""),"")</f>
        <v/>
      </c>
      <c r="DB433" s="73"/>
      <c r="DC433" s="123" t="str">
        <f t="shared" si="804"/>
        <v/>
      </c>
      <c r="DD433" s="123" t="str">
        <f t="shared" si="805"/>
        <v/>
      </c>
      <c r="DE433" s="97" t="str">
        <f t="shared" ca="1" si="806"/>
        <v/>
      </c>
      <c r="DF433" s="98" t="str">
        <f>IF(DH433&lt;&gt;"",VLOOKUP($P433&amp;" | "&amp;DF$6,'Job Master'!$F$12:$J$102,5,0),"")</f>
        <v/>
      </c>
      <c r="DG433" s="19" t="str">
        <f>IF(DH433&lt;&gt;"",VLOOKUP($P433&amp;" | "&amp;DF$6,'Job Master'!$F$12:$J$102,3,0),"")</f>
        <v/>
      </c>
      <c r="DH433" s="19" t="str">
        <f>IFERROR(IF(AND(DO433&lt;&gt;"",VLOOKUP($P433&amp;" | "&amp;DF$6,'Job Master'!$F$12:$I$102,4,0)&lt;&gt;""),IF(WEEKDAY(DO433-VLOOKUP($P433&amp;" | "&amp;DF$6,'Job Master'!$F$12:$I$102,4,0))&lt;&gt;7,DO433-VLOOKUP($P433&amp;" | "&amp;DF$6,'Job Master'!$F$12:$I$102,4,0),DO433-VLOOKUP($P433&amp;" | "&amp;DF$6,'Job Master'!$F$12:$I$102,4,0)-1),""),"")</f>
        <v/>
      </c>
      <c r="DI433" s="73"/>
      <c r="DJ433" s="123" t="str">
        <f t="shared" si="807"/>
        <v/>
      </c>
      <c r="DK433" s="123" t="str">
        <f t="shared" si="808"/>
        <v/>
      </c>
      <c r="DL433" s="97" t="str">
        <f t="shared" ca="1" si="809"/>
        <v/>
      </c>
      <c r="DM433" s="98" t="str">
        <f>IF(DO433&lt;&gt;"",VLOOKUP($P433&amp;" | "&amp;DM$6,'Job Master'!$F$12:$J$102,5,0),"")</f>
        <v/>
      </c>
      <c r="DN433" s="19" t="str">
        <f>IF(DO433&lt;&gt;"",VLOOKUP($P433&amp;" | "&amp;DM$6,'Job Master'!$F$12:$J$102,3,0),"")</f>
        <v/>
      </c>
      <c r="DO433" s="19" t="str">
        <f>IFERROR(IF(AND(DT433&lt;&gt;"",VLOOKUP($P433&amp;" | "&amp;DM$6,'Job Master'!$F$12:$I$102,4,0)&lt;&gt;""),IF(WEEKDAY(DT433-VLOOKUP($P433&amp;" | "&amp;DM$6,'Job Master'!$F$12:$I$102,4,0))&lt;&gt;7,DT433-VLOOKUP($P433&amp;" | "&amp;DM$6,'Job Master'!$F$12:$I$102,4,0),DT433-VLOOKUP($P433&amp;" | "&amp;DM$6,'Job Master'!$F$12:$I$102,4,0)-1),""),"")</f>
        <v/>
      </c>
      <c r="DP433" s="73"/>
      <c r="DQ433" s="123" t="str">
        <f t="shared" si="810"/>
        <v/>
      </c>
      <c r="DR433" s="123" t="str">
        <f t="shared" si="811"/>
        <v/>
      </c>
      <c r="DS433" s="97" t="str">
        <f t="shared" ca="1" si="812"/>
        <v/>
      </c>
      <c r="DT433" s="70" t="str">
        <f t="shared" si="813"/>
        <v/>
      </c>
      <c r="DU433" s="90"/>
      <c r="DV433" s="123" t="str">
        <f t="shared" si="814"/>
        <v/>
      </c>
      <c r="DW433" s="123" t="str">
        <f t="shared" si="815"/>
        <v/>
      </c>
      <c r="DX433" s="132" t="str">
        <f t="shared" ref="DX433" ca="1" si="866">IF(DT433&lt;&gt;"",IF(WEEKNUM(DT433)=WEEKNUM(TODAY()),"This Week",IF(WEEKNUM(DT433)=WEEKNUM(TODAY())+1,"Next Week",IF(WEEKNUM(DT433)=WEEKNUM(TODAY())-1,"Previous Week",""))),"")</f>
        <v/>
      </c>
      <c r="DY433" s="134" t="str">
        <f t="shared" si="817"/>
        <v/>
      </c>
      <c r="DZ433" s="95"/>
      <c r="EB433" s="8" t="str">
        <f t="shared" si="823"/>
        <v/>
      </c>
      <c r="EC433" s="8" t="str">
        <f>IF(O433&lt;&gt;"",VLOOKUP(O433,'Job Master'!$N$12:$O$18,2,0),"")</f>
        <v/>
      </c>
      <c r="ED433" s="8">
        <f t="shared" si="824"/>
        <v>19.5</v>
      </c>
      <c r="EE433" s="8">
        <f t="shared" si="825"/>
        <v>6</v>
      </c>
      <c r="EF433" s="8">
        <f t="shared" si="826"/>
        <v>-2518.5</v>
      </c>
      <c r="EG433" s="8" t="str">
        <f t="shared" si="827"/>
        <v/>
      </c>
      <c r="EH433" s="8" t="str">
        <f t="shared" si="828"/>
        <v/>
      </c>
    </row>
    <row r="434" spans="2:138" x14ac:dyDescent="0.3">
      <c r="B434" s="112"/>
      <c r="C434" s="27"/>
      <c r="D434" s="7" t="str">
        <f t="shared" si="765"/>
        <v/>
      </c>
      <c r="E434" s="25"/>
      <c r="F434" s="7" t="str">
        <f t="shared" si="765"/>
        <v/>
      </c>
      <c r="G434" s="25"/>
      <c r="H434" s="7" t="str">
        <f t="shared" si="765"/>
        <v/>
      </c>
      <c r="I434" s="25"/>
      <c r="J434" s="7" t="str">
        <f t="shared" si="765"/>
        <v/>
      </c>
      <c r="K434" s="25"/>
      <c r="L434" s="7" t="str">
        <f t="shared" si="766"/>
        <v/>
      </c>
      <c r="M434" s="25"/>
      <c r="N434" s="7" t="str">
        <f t="shared" si="767"/>
        <v/>
      </c>
      <c r="O434" s="81"/>
      <c r="P434" s="81" t="str">
        <f t="shared" si="768"/>
        <v/>
      </c>
      <c r="Q434" s="81"/>
      <c r="R434" s="7" t="str">
        <f t="shared" si="769"/>
        <v/>
      </c>
      <c r="S434" s="25"/>
      <c r="T434" s="7" t="str">
        <f t="shared" si="770"/>
        <v/>
      </c>
      <c r="U434" s="25"/>
      <c r="V434" s="7" t="str">
        <f t="shared" si="771"/>
        <v/>
      </c>
      <c r="W434" s="25"/>
      <c r="X434" s="7" t="str">
        <f t="shared" si="772"/>
        <v/>
      </c>
      <c r="Y434" s="18" t="str">
        <f t="shared" si="773"/>
        <v/>
      </c>
      <c r="Z434" s="7" t="str">
        <f t="shared" si="774"/>
        <v/>
      </c>
      <c r="AA434" s="18" t="str">
        <f t="shared" si="775"/>
        <v/>
      </c>
      <c r="AB434" s="19" t="str">
        <f t="shared" si="776"/>
        <v/>
      </c>
      <c r="AC434" s="26"/>
      <c r="AD434" s="26"/>
      <c r="AE434" s="25"/>
      <c r="AF434" s="26"/>
      <c r="AG434" s="25"/>
      <c r="AH434" s="25"/>
      <c r="AI434" s="18" t="str">
        <f t="shared" si="839"/>
        <v/>
      </c>
      <c r="AJ434" s="25"/>
      <c r="AK434" s="18" t="str">
        <f t="shared" si="840"/>
        <v/>
      </c>
      <c r="AL434" s="79"/>
      <c r="AM434" s="126" t="str">
        <f t="shared" si="841"/>
        <v/>
      </c>
      <c r="AN434" s="128" t="str">
        <f>IF(AP434&lt;&gt;"",VLOOKUP($P434&amp;" | "&amp;AN$6,'Job Master'!$F$12:$J$102,5,0),"")</f>
        <v/>
      </c>
      <c r="AO434" s="19" t="str">
        <f>IF(AP434&lt;&gt;"",VLOOKUP($P434&amp;" | "&amp;AN$6,'Job Master'!$F$12:$J$102,3,0),"")</f>
        <v/>
      </c>
      <c r="AP434" s="19" t="str">
        <f>IFERROR(IF(AND(AW434&lt;&gt;"",VLOOKUP($P434&amp;" | "&amp;AN$6,'Job Master'!$F$12:$I$102,4,0)&lt;&gt;""),IF(WEEKDAY(AW434-VLOOKUP($P434&amp;" | "&amp;AN$6,'Job Master'!$F$12:$I$102,4,0))&lt;&gt;7,AW434-VLOOKUP($P434&amp;" | "&amp;AN$6,'Job Master'!$F$12:$I$102,4,0),AW434-VLOOKUP($P434&amp;" | "&amp;AN$6,'Job Master'!$F$12:$I$102,4,0)-1),""),"")</f>
        <v/>
      </c>
      <c r="AQ434" s="73"/>
      <c r="AR434" s="123" t="str">
        <f t="shared" si="777"/>
        <v/>
      </c>
      <c r="AS434" s="123" t="str">
        <f t="shared" si="778"/>
        <v/>
      </c>
      <c r="AT434" s="97" t="str">
        <f t="shared" ca="1" si="779"/>
        <v/>
      </c>
      <c r="AU434" s="98" t="str">
        <f>IF(AW434&lt;&gt;"",VLOOKUP($P434&amp;" | "&amp;AU$6,'Job Master'!$F$12:$J$102,5,0),"")</f>
        <v/>
      </c>
      <c r="AV434" s="19" t="str">
        <f>IF(AW434&lt;&gt;"",VLOOKUP($P434&amp;" | "&amp;AU$6,'Job Master'!$F$12:$J$102,3,0),"")</f>
        <v/>
      </c>
      <c r="AW434" s="19" t="str">
        <f>IFERROR(IF(AND(BD434&lt;&gt;"",VLOOKUP($P434&amp;" | "&amp;AU$6,'Job Master'!$F$12:$I$102,4,0)&lt;&gt;""),IF(WEEKDAY(BD434-VLOOKUP($P434&amp;" | "&amp;AU$6,'Job Master'!$F$12:$I$102,4,0))&lt;&gt;7,BD434-VLOOKUP($P434&amp;" | "&amp;AU$6,'Job Master'!$F$12:$I$102,4,0),BD434-VLOOKUP($P434&amp;" | "&amp;AU$6,'Job Master'!$F$12:$I$102,4,0)-1),""),"")</f>
        <v/>
      </c>
      <c r="AX434" s="73"/>
      <c r="AY434" s="123" t="str">
        <f t="shared" si="780"/>
        <v/>
      </c>
      <c r="AZ434" s="123" t="str">
        <f t="shared" si="781"/>
        <v/>
      </c>
      <c r="BA434" s="97" t="str">
        <f t="shared" ca="1" si="782"/>
        <v/>
      </c>
      <c r="BB434" s="98" t="str">
        <f>IF(BD434&lt;&gt;"",VLOOKUP($P434&amp;" | "&amp;BB$6,'Job Master'!$F$12:$J$102,5,0),"")</f>
        <v/>
      </c>
      <c r="BC434" s="19" t="str">
        <f>IF(BD434&lt;&gt;"",VLOOKUP($P434&amp;" | "&amp;BB$6,'Job Master'!$F$12:$J$102,3,0),"")</f>
        <v/>
      </c>
      <c r="BD434" s="19" t="str">
        <f>IFERROR(IF(AND(BK434&lt;&gt;"",VLOOKUP($P434&amp;" | "&amp;BB$6,'Job Master'!$F$12:$I$102,4,0)&lt;&gt;""),IF(WEEKDAY(BK434-VLOOKUP($P434&amp;" | "&amp;BB$6,'Job Master'!$F$12:$I$102,4,0))&lt;&gt;7,BK434-VLOOKUP($P434&amp;" | "&amp;BB$6,'Job Master'!$F$12:$I$102,4,0),BK434-VLOOKUP($P434&amp;" | "&amp;BB$6,'Job Master'!$F$12:$I$102,4,0)-1),""),"")</f>
        <v/>
      </c>
      <c r="BE434" s="73"/>
      <c r="BF434" s="123" t="str">
        <f t="shared" si="783"/>
        <v/>
      </c>
      <c r="BG434" s="123" t="str">
        <f t="shared" si="784"/>
        <v/>
      </c>
      <c r="BH434" s="97" t="str">
        <f t="shared" ca="1" si="785"/>
        <v/>
      </c>
      <c r="BI434" s="98" t="str">
        <f>IF(BK434&lt;&gt;"",VLOOKUP($P434&amp;" | "&amp;BI$6,'Job Master'!$F$12:$J$102,5,0),"")</f>
        <v/>
      </c>
      <c r="BJ434" s="19" t="str">
        <f>IF(BK434&lt;&gt;"",VLOOKUP($P434&amp;" | "&amp;BI$6,'Job Master'!$F$12:$J$102,3,0),"")</f>
        <v/>
      </c>
      <c r="BK434" s="19" t="str">
        <f>IFERROR(IF(AND(BR434&lt;&gt;"",VLOOKUP($P434&amp;" | "&amp;BI$6,'Job Master'!$F$12:$I$102,4,0)&lt;&gt;""),IF(WEEKDAY(BR434-VLOOKUP($P434&amp;" | "&amp;BI$6,'Job Master'!$F$12:$I$102,4,0))&lt;&gt;7,BR434-VLOOKUP($P434&amp;" | "&amp;BI$6,'Job Master'!$F$12:$I$102,4,0),BR434-VLOOKUP($P434&amp;" | "&amp;BI$6,'Job Master'!$F$12:$I$102,4,0)-1),""),"")</f>
        <v/>
      </c>
      <c r="BL434" s="73"/>
      <c r="BM434" s="123" t="str">
        <f t="shared" si="786"/>
        <v/>
      </c>
      <c r="BN434" s="123" t="str">
        <f t="shared" si="787"/>
        <v/>
      </c>
      <c r="BO434" s="97" t="str">
        <f t="shared" ca="1" si="788"/>
        <v/>
      </c>
      <c r="BP434" s="98" t="str">
        <f>IF(BR434&lt;&gt;"",VLOOKUP($P434&amp;" | "&amp;BP$6,'Job Master'!$F$12:$J$102,5,0),"")</f>
        <v/>
      </c>
      <c r="BQ434" s="19" t="str">
        <f>IF(BR434&lt;&gt;"",VLOOKUP($P434&amp;" | "&amp;BP$6,'Job Master'!$F$12:$J$102,3,0),"")</f>
        <v/>
      </c>
      <c r="BR434" s="19" t="str">
        <f>IFERROR(IF(AND(BY434&lt;&gt;"",VLOOKUP($P434&amp;" | "&amp;BP$6,'Job Master'!$F$12:$I$102,4,0)&lt;&gt;""),IF(WEEKDAY(BY434-VLOOKUP($P434&amp;" | "&amp;BP$6,'Job Master'!$F$12:$I$102,4,0))&lt;&gt;7,BY434-VLOOKUP($P434&amp;" | "&amp;BP$6,'Job Master'!$F$12:$I$102,4,0),BY434-VLOOKUP($P434&amp;" | "&amp;BP$6,'Job Master'!$F$12:$I$102,4,0)-1),""),"")</f>
        <v/>
      </c>
      <c r="BS434" s="73"/>
      <c r="BT434" s="123" t="str">
        <f t="shared" si="789"/>
        <v/>
      </c>
      <c r="BU434" s="123" t="str">
        <f t="shared" si="790"/>
        <v/>
      </c>
      <c r="BV434" s="97" t="str">
        <f t="shared" ca="1" si="791"/>
        <v/>
      </c>
      <c r="BW434" s="98" t="str">
        <f>IF(BY434&lt;&gt;"",VLOOKUP($P434&amp;" | "&amp;BW$6,'Job Master'!$F$12:$J$102,5,0),"")</f>
        <v/>
      </c>
      <c r="BX434" s="19" t="str">
        <f>IF(BY434&lt;&gt;"",VLOOKUP($P434&amp;" | "&amp;BW$6,'Job Master'!$F$12:$J$102,3,0),"")</f>
        <v/>
      </c>
      <c r="BY434" s="19" t="str">
        <f>IFERROR(IF(AND(CF434&lt;&gt;"",VLOOKUP($P434&amp;" | "&amp;BW$6,'Job Master'!$F$12:$I$102,4,0)&lt;&gt;""),IF(WEEKDAY(CF434-VLOOKUP($P434&amp;" | "&amp;BW$6,'Job Master'!$F$12:$I$102,4,0))&lt;&gt;7,CF434-VLOOKUP($P434&amp;" | "&amp;BW$6,'Job Master'!$F$12:$I$102,4,0),CF434-VLOOKUP($P434&amp;" | "&amp;BW$6,'Job Master'!$F$12:$I$102,4,0)-1),""),"")</f>
        <v/>
      </c>
      <c r="BZ434" s="73"/>
      <c r="CA434" s="123" t="str">
        <f t="shared" si="792"/>
        <v/>
      </c>
      <c r="CB434" s="123" t="str">
        <f t="shared" si="793"/>
        <v/>
      </c>
      <c r="CC434" s="97" t="str">
        <f t="shared" ca="1" si="794"/>
        <v/>
      </c>
      <c r="CD434" s="98" t="str">
        <f>IF(CF434&lt;&gt;"",VLOOKUP($P434&amp;" | "&amp;CD$6,'Job Master'!$F$12:$J$102,5,0),"")</f>
        <v/>
      </c>
      <c r="CE434" s="19" t="str">
        <f>IF(CF434&lt;&gt;"",VLOOKUP($P434&amp;" | "&amp;CD$6,'Job Master'!$F$12:$J$102,3,0),"")</f>
        <v/>
      </c>
      <c r="CF434" s="19" t="str">
        <f>IFERROR(IF(AND(CM434&lt;&gt;"",VLOOKUP($P434&amp;" | "&amp;CD$6,'Job Master'!$F$12:$I$102,4,0)&lt;&gt;""),IF(WEEKDAY(CM434-VLOOKUP($P434&amp;" | "&amp;CD$6,'Job Master'!$F$12:$I$102,4,0))&lt;&gt;7,CM434-VLOOKUP($P434&amp;" | "&amp;CD$6,'Job Master'!$F$12:$I$102,4,0),CM434-VLOOKUP($P434&amp;" | "&amp;CD$6,'Job Master'!$F$12:$I$102,4,0)-1),""),"")</f>
        <v/>
      </c>
      <c r="CG434" s="73"/>
      <c r="CH434" s="123" t="str">
        <f t="shared" si="795"/>
        <v/>
      </c>
      <c r="CI434" s="123" t="str">
        <f t="shared" si="796"/>
        <v/>
      </c>
      <c r="CJ434" s="97" t="str">
        <f t="shared" ca="1" si="797"/>
        <v/>
      </c>
      <c r="CK434" s="98" t="str">
        <f>IF(CM434&lt;&gt;"",VLOOKUP($P434&amp;" | "&amp;CK$6,'Job Master'!$F$12:$J$102,5,0),"")</f>
        <v/>
      </c>
      <c r="CL434" s="19" t="str">
        <f>IF(CM434&lt;&gt;"",VLOOKUP($P434&amp;" | "&amp;CK$6,'Job Master'!$F$12:$J$102,3,0),"")</f>
        <v/>
      </c>
      <c r="CM434" s="19" t="str">
        <f>IFERROR(IF(AND(CT434&lt;&gt;"",VLOOKUP($P434&amp;" | "&amp;CK$6,'Job Master'!$F$12:$I$102,4,0)&lt;&gt;""),IF(WEEKDAY(CT434-VLOOKUP($P434&amp;" | "&amp;CK$6,'Job Master'!$F$12:$I$102,4,0))&lt;&gt;7,CT434-VLOOKUP($P434&amp;" | "&amp;CK$6,'Job Master'!$F$12:$I$102,4,0),CT434-VLOOKUP($P434&amp;" | "&amp;CK$6,'Job Master'!$F$12:$I$102,4,0)-1),""),"")</f>
        <v/>
      </c>
      <c r="CN434" s="73"/>
      <c r="CO434" s="123" t="str">
        <f t="shared" si="798"/>
        <v/>
      </c>
      <c r="CP434" s="123" t="str">
        <f t="shared" si="799"/>
        <v/>
      </c>
      <c r="CQ434" s="97" t="str">
        <f t="shared" ca="1" si="800"/>
        <v/>
      </c>
      <c r="CR434" s="98" t="str">
        <f>IF(CT434&lt;&gt;"",VLOOKUP($P434&amp;" | "&amp;CR$6,'Job Master'!$F$12:$J$102,5,0),"")</f>
        <v/>
      </c>
      <c r="CS434" s="19" t="str">
        <f>IF(CT434&lt;&gt;"",VLOOKUP($P434&amp;" | "&amp;CR$6,'Job Master'!$F$12:$J$102,3,0),"")</f>
        <v/>
      </c>
      <c r="CT434" s="19" t="str">
        <f>IFERROR(IF(AND(DA434&lt;&gt;"",VLOOKUP($P434&amp;" | "&amp;CR$6,'Job Master'!$F$12:$I$102,4,0)&lt;&gt;""),IF(WEEKDAY(DA434-VLOOKUP($P434&amp;" | "&amp;CR$6,'Job Master'!$F$12:$I$102,4,0))&lt;&gt;7,DA434-VLOOKUP($P434&amp;" | "&amp;CR$6,'Job Master'!$F$12:$I$102,4,0),DA434-VLOOKUP($P434&amp;" | "&amp;CR$6,'Job Master'!$F$12:$I$102,4,0)-1),""),"")</f>
        <v/>
      </c>
      <c r="CU434" s="73"/>
      <c r="CV434" s="123" t="str">
        <f t="shared" si="801"/>
        <v/>
      </c>
      <c r="CW434" s="123" t="str">
        <f t="shared" si="802"/>
        <v/>
      </c>
      <c r="CX434" s="97" t="str">
        <f t="shared" ca="1" si="803"/>
        <v/>
      </c>
      <c r="CY434" s="98" t="str">
        <f>IF(DA434&lt;&gt;"",VLOOKUP($P434&amp;" | "&amp;CY$6,'Job Master'!$F$12:$J$102,5,0),"")</f>
        <v/>
      </c>
      <c r="CZ434" s="19" t="str">
        <f>IF(DA434&lt;&gt;"",VLOOKUP($P434&amp;" | "&amp;CY$6,'Job Master'!$F$12:$J$102,3,0),"")</f>
        <v/>
      </c>
      <c r="DA434" s="19" t="str">
        <f>IFERROR(IF(AND(DH434&lt;&gt;"",VLOOKUP($P434&amp;" | "&amp;CY$6,'Job Master'!$F$12:$I$102,4,0)&lt;&gt;""),IF(WEEKDAY(DH434-VLOOKUP($P434&amp;" | "&amp;CY$6,'Job Master'!$F$12:$I$102,4,0))&lt;&gt;7,DH434-VLOOKUP($P434&amp;" | "&amp;CY$6,'Job Master'!$F$12:$I$102,4,0),DH434-VLOOKUP($P434&amp;" | "&amp;CY$6,'Job Master'!$F$12:$I$102,4,0)-1),""),"")</f>
        <v/>
      </c>
      <c r="DB434" s="73"/>
      <c r="DC434" s="123" t="str">
        <f t="shared" si="804"/>
        <v/>
      </c>
      <c r="DD434" s="123" t="str">
        <f t="shared" si="805"/>
        <v/>
      </c>
      <c r="DE434" s="97" t="str">
        <f t="shared" ca="1" si="806"/>
        <v/>
      </c>
      <c r="DF434" s="98" t="str">
        <f>IF(DH434&lt;&gt;"",VLOOKUP($P434&amp;" | "&amp;DF$6,'Job Master'!$F$12:$J$102,5,0),"")</f>
        <v/>
      </c>
      <c r="DG434" s="19" t="str">
        <f>IF(DH434&lt;&gt;"",VLOOKUP($P434&amp;" | "&amp;DF$6,'Job Master'!$F$12:$J$102,3,0),"")</f>
        <v/>
      </c>
      <c r="DH434" s="19" t="str">
        <f>IFERROR(IF(AND(DO434&lt;&gt;"",VLOOKUP($P434&amp;" | "&amp;DF$6,'Job Master'!$F$12:$I$102,4,0)&lt;&gt;""),IF(WEEKDAY(DO434-VLOOKUP($P434&amp;" | "&amp;DF$6,'Job Master'!$F$12:$I$102,4,0))&lt;&gt;7,DO434-VLOOKUP($P434&amp;" | "&amp;DF$6,'Job Master'!$F$12:$I$102,4,0),DO434-VLOOKUP($P434&amp;" | "&amp;DF$6,'Job Master'!$F$12:$I$102,4,0)-1),""),"")</f>
        <v/>
      </c>
      <c r="DI434" s="73"/>
      <c r="DJ434" s="123" t="str">
        <f t="shared" si="807"/>
        <v/>
      </c>
      <c r="DK434" s="123" t="str">
        <f t="shared" si="808"/>
        <v/>
      </c>
      <c r="DL434" s="97" t="str">
        <f t="shared" ca="1" si="809"/>
        <v/>
      </c>
      <c r="DM434" s="98" t="str">
        <f>IF(DO434&lt;&gt;"",VLOOKUP($P434&amp;" | "&amp;DM$6,'Job Master'!$F$12:$J$102,5,0),"")</f>
        <v/>
      </c>
      <c r="DN434" s="19" t="str">
        <f>IF(DO434&lt;&gt;"",VLOOKUP($P434&amp;" | "&amp;DM$6,'Job Master'!$F$12:$J$102,3,0),"")</f>
        <v/>
      </c>
      <c r="DO434" s="19" t="str">
        <f>IFERROR(IF(AND(DT434&lt;&gt;"",VLOOKUP($P434&amp;" | "&amp;DM$6,'Job Master'!$F$12:$I$102,4,0)&lt;&gt;""),IF(WEEKDAY(DT434-VLOOKUP($P434&amp;" | "&amp;DM$6,'Job Master'!$F$12:$I$102,4,0))&lt;&gt;7,DT434-VLOOKUP($P434&amp;" | "&amp;DM$6,'Job Master'!$F$12:$I$102,4,0),DT434-VLOOKUP($P434&amp;" | "&amp;DM$6,'Job Master'!$F$12:$I$102,4,0)-1),""),"")</f>
        <v/>
      </c>
      <c r="DP434" s="73"/>
      <c r="DQ434" s="123" t="str">
        <f t="shared" si="810"/>
        <v/>
      </c>
      <c r="DR434" s="123" t="str">
        <f t="shared" si="811"/>
        <v/>
      </c>
      <c r="DS434" s="97" t="str">
        <f t="shared" ca="1" si="812"/>
        <v/>
      </c>
      <c r="DT434" s="70" t="str">
        <f t="shared" si="813"/>
        <v/>
      </c>
      <c r="DU434" s="90"/>
      <c r="DV434" s="123" t="str">
        <f t="shared" si="814"/>
        <v/>
      </c>
      <c r="DW434" s="123" t="str">
        <f t="shared" si="815"/>
        <v/>
      </c>
      <c r="DX434" s="132" t="str">
        <f t="shared" ref="DX434" ca="1" si="867">IF(DT434&lt;&gt;"",IF(WEEKNUM(DT434)=WEEKNUM(TODAY()),"This Week",IF(WEEKNUM(DT434)=WEEKNUM(TODAY())+1,"Next Week",IF(WEEKNUM(DT434)=WEEKNUM(TODAY())-1,"Previous Week",""))),"")</f>
        <v/>
      </c>
      <c r="DY434" s="134" t="str">
        <f t="shared" si="817"/>
        <v/>
      </c>
      <c r="DZ434" s="95"/>
      <c r="EB434" s="8" t="str">
        <f t="shared" si="823"/>
        <v/>
      </c>
      <c r="EC434" s="8" t="str">
        <f>IF(O434&lt;&gt;"",VLOOKUP(O434,'Job Master'!$N$12:$O$18,2,0),"")</f>
        <v/>
      </c>
      <c r="ED434" s="8">
        <f t="shared" si="824"/>
        <v>19.5</v>
      </c>
      <c r="EE434" s="8">
        <f t="shared" si="825"/>
        <v>6</v>
      </c>
      <c r="EF434" s="8">
        <f t="shared" si="826"/>
        <v>-2524.5</v>
      </c>
      <c r="EG434" s="8" t="str">
        <f t="shared" si="827"/>
        <v/>
      </c>
      <c r="EH434" s="8" t="str">
        <f t="shared" si="828"/>
        <v/>
      </c>
    </row>
    <row r="435" spans="2:138" x14ac:dyDescent="0.3">
      <c r="B435" s="112"/>
      <c r="C435" s="27"/>
      <c r="D435" s="7" t="str">
        <f t="shared" si="765"/>
        <v/>
      </c>
      <c r="E435" s="25"/>
      <c r="F435" s="7" t="str">
        <f t="shared" si="765"/>
        <v/>
      </c>
      <c r="G435" s="25"/>
      <c r="H435" s="7" t="str">
        <f t="shared" si="765"/>
        <v/>
      </c>
      <c r="I435" s="25"/>
      <c r="J435" s="7" t="str">
        <f t="shared" si="765"/>
        <v/>
      </c>
      <c r="K435" s="25"/>
      <c r="L435" s="7" t="str">
        <f t="shared" si="766"/>
        <v/>
      </c>
      <c r="M435" s="25"/>
      <c r="N435" s="7" t="str">
        <f t="shared" si="767"/>
        <v/>
      </c>
      <c r="O435" s="81"/>
      <c r="P435" s="81" t="str">
        <f t="shared" si="768"/>
        <v/>
      </c>
      <c r="Q435" s="81"/>
      <c r="R435" s="7" t="str">
        <f t="shared" si="769"/>
        <v/>
      </c>
      <c r="S435" s="25"/>
      <c r="T435" s="7" t="str">
        <f t="shared" si="770"/>
        <v/>
      </c>
      <c r="U435" s="25"/>
      <c r="V435" s="7" t="str">
        <f t="shared" si="771"/>
        <v/>
      </c>
      <c r="W435" s="25"/>
      <c r="X435" s="7" t="str">
        <f t="shared" si="772"/>
        <v/>
      </c>
      <c r="Y435" s="18" t="str">
        <f t="shared" si="773"/>
        <v/>
      </c>
      <c r="Z435" s="7" t="str">
        <f t="shared" si="774"/>
        <v/>
      </c>
      <c r="AA435" s="18" t="str">
        <f t="shared" si="775"/>
        <v/>
      </c>
      <c r="AB435" s="19" t="str">
        <f t="shared" si="776"/>
        <v/>
      </c>
      <c r="AC435" s="26"/>
      <c r="AD435" s="26"/>
      <c r="AE435" s="25"/>
      <c r="AF435" s="26"/>
      <c r="AG435" s="25"/>
      <c r="AH435" s="25"/>
      <c r="AI435" s="18" t="str">
        <f t="shared" si="839"/>
        <v/>
      </c>
      <c r="AJ435" s="25"/>
      <c r="AK435" s="18" t="str">
        <f t="shared" si="840"/>
        <v/>
      </c>
      <c r="AL435" s="79"/>
      <c r="AM435" s="126" t="str">
        <f t="shared" si="841"/>
        <v/>
      </c>
      <c r="AN435" s="128" t="str">
        <f>IF(AP435&lt;&gt;"",VLOOKUP($P435&amp;" | "&amp;AN$6,'Job Master'!$F$12:$J$102,5,0),"")</f>
        <v/>
      </c>
      <c r="AO435" s="19" t="str">
        <f>IF(AP435&lt;&gt;"",VLOOKUP($P435&amp;" | "&amp;AN$6,'Job Master'!$F$12:$J$102,3,0),"")</f>
        <v/>
      </c>
      <c r="AP435" s="19" t="str">
        <f>IFERROR(IF(AND(AW435&lt;&gt;"",VLOOKUP($P435&amp;" | "&amp;AN$6,'Job Master'!$F$12:$I$102,4,0)&lt;&gt;""),IF(WEEKDAY(AW435-VLOOKUP($P435&amp;" | "&amp;AN$6,'Job Master'!$F$12:$I$102,4,0))&lt;&gt;7,AW435-VLOOKUP($P435&amp;" | "&amp;AN$6,'Job Master'!$F$12:$I$102,4,0),AW435-VLOOKUP($P435&amp;" | "&amp;AN$6,'Job Master'!$F$12:$I$102,4,0)-1),""),"")</f>
        <v/>
      </c>
      <c r="AQ435" s="73"/>
      <c r="AR435" s="123" t="str">
        <f t="shared" si="777"/>
        <v/>
      </c>
      <c r="AS435" s="123" t="str">
        <f t="shared" si="778"/>
        <v/>
      </c>
      <c r="AT435" s="97" t="str">
        <f t="shared" ca="1" si="779"/>
        <v/>
      </c>
      <c r="AU435" s="98" t="str">
        <f>IF(AW435&lt;&gt;"",VLOOKUP($P435&amp;" | "&amp;AU$6,'Job Master'!$F$12:$J$102,5,0),"")</f>
        <v/>
      </c>
      <c r="AV435" s="19" t="str">
        <f>IF(AW435&lt;&gt;"",VLOOKUP($P435&amp;" | "&amp;AU$6,'Job Master'!$F$12:$J$102,3,0),"")</f>
        <v/>
      </c>
      <c r="AW435" s="19" t="str">
        <f>IFERROR(IF(AND(BD435&lt;&gt;"",VLOOKUP($P435&amp;" | "&amp;AU$6,'Job Master'!$F$12:$I$102,4,0)&lt;&gt;""),IF(WEEKDAY(BD435-VLOOKUP($P435&amp;" | "&amp;AU$6,'Job Master'!$F$12:$I$102,4,0))&lt;&gt;7,BD435-VLOOKUP($P435&amp;" | "&amp;AU$6,'Job Master'!$F$12:$I$102,4,0),BD435-VLOOKUP($P435&amp;" | "&amp;AU$6,'Job Master'!$F$12:$I$102,4,0)-1),""),"")</f>
        <v/>
      </c>
      <c r="AX435" s="73"/>
      <c r="AY435" s="123" t="str">
        <f t="shared" si="780"/>
        <v/>
      </c>
      <c r="AZ435" s="123" t="str">
        <f t="shared" si="781"/>
        <v/>
      </c>
      <c r="BA435" s="97" t="str">
        <f t="shared" ca="1" si="782"/>
        <v/>
      </c>
      <c r="BB435" s="98" t="str">
        <f>IF(BD435&lt;&gt;"",VLOOKUP($P435&amp;" | "&amp;BB$6,'Job Master'!$F$12:$J$102,5,0),"")</f>
        <v/>
      </c>
      <c r="BC435" s="19" t="str">
        <f>IF(BD435&lt;&gt;"",VLOOKUP($P435&amp;" | "&amp;BB$6,'Job Master'!$F$12:$J$102,3,0),"")</f>
        <v/>
      </c>
      <c r="BD435" s="19" t="str">
        <f>IFERROR(IF(AND(BK435&lt;&gt;"",VLOOKUP($P435&amp;" | "&amp;BB$6,'Job Master'!$F$12:$I$102,4,0)&lt;&gt;""),IF(WEEKDAY(BK435-VLOOKUP($P435&amp;" | "&amp;BB$6,'Job Master'!$F$12:$I$102,4,0))&lt;&gt;7,BK435-VLOOKUP($P435&amp;" | "&amp;BB$6,'Job Master'!$F$12:$I$102,4,0),BK435-VLOOKUP($P435&amp;" | "&amp;BB$6,'Job Master'!$F$12:$I$102,4,0)-1),""),"")</f>
        <v/>
      </c>
      <c r="BE435" s="73"/>
      <c r="BF435" s="123" t="str">
        <f t="shared" si="783"/>
        <v/>
      </c>
      <c r="BG435" s="123" t="str">
        <f t="shared" si="784"/>
        <v/>
      </c>
      <c r="BH435" s="97" t="str">
        <f t="shared" ca="1" si="785"/>
        <v/>
      </c>
      <c r="BI435" s="98" t="str">
        <f>IF(BK435&lt;&gt;"",VLOOKUP($P435&amp;" | "&amp;BI$6,'Job Master'!$F$12:$J$102,5,0),"")</f>
        <v/>
      </c>
      <c r="BJ435" s="19" t="str">
        <f>IF(BK435&lt;&gt;"",VLOOKUP($P435&amp;" | "&amp;BI$6,'Job Master'!$F$12:$J$102,3,0),"")</f>
        <v/>
      </c>
      <c r="BK435" s="19" t="str">
        <f>IFERROR(IF(AND(BR435&lt;&gt;"",VLOOKUP($P435&amp;" | "&amp;BI$6,'Job Master'!$F$12:$I$102,4,0)&lt;&gt;""),IF(WEEKDAY(BR435-VLOOKUP($P435&amp;" | "&amp;BI$6,'Job Master'!$F$12:$I$102,4,0))&lt;&gt;7,BR435-VLOOKUP($P435&amp;" | "&amp;BI$6,'Job Master'!$F$12:$I$102,4,0),BR435-VLOOKUP($P435&amp;" | "&amp;BI$6,'Job Master'!$F$12:$I$102,4,0)-1),""),"")</f>
        <v/>
      </c>
      <c r="BL435" s="73"/>
      <c r="BM435" s="123" t="str">
        <f t="shared" si="786"/>
        <v/>
      </c>
      <c r="BN435" s="123" t="str">
        <f t="shared" si="787"/>
        <v/>
      </c>
      <c r="BO435" s="97" t="str">
        <f t="shared" ca="1" si="788"/>
        <v/>
      </c>
      <c r="BP435" s="98" t="str">
        <f>IF(BR435&lt;&gt;"",VLOOKUP($P435&amp;" | "&amp;BP$6,'Job Master'!$F$12:$J$102,5,0),"")</f>
        <v/>
      </c>
      <c r="BQ435" s="19" t="str">
        <f>IF(BR435&lt;&gt;"",VLOOKUP($P435&amp;" | "&amp;BP$6,'Job Master'!$F$12:$J$102,3,0),"")</f>
        <v/>
      </c>
      <c r="BR435" s="19" t="str">
        <f>IFERROR(IF(AND(BY435&lt;&gt;"",VLOOKUP($P435&amp;" | "&amp;BP$6,'Job Master'!$F$12:$I$102,4,0)&lt;&gt;""),IF(WEEKDAY(BY435-VLOOKUP($P435&amp;" | "&amp;BP$6,'Job Master'!$F$12:$I$102,4,0))&lt;&gt;7,BY435-VLOOKUP($P435&amp;" | "&amp;BP$6,'Job Master'!$F$12:$I$102,4,0),BY435-VLOOKUP($P435&amp;" | "&amp;BP$6,'Job Master'!$F$12:$I$102,4,0)-1),""),"")</f>
        <v/>
      </c>
      <c r="BS435" s="73"/>
      <c r="BT435" s="123" t="str">
        <f t="shared" si="789"/>
        <v/>
      </c>
      <c r="BU435" s="123" t="str">
        <f t="shared" si="790"/>
        <v/>
      </c>
      <c r="BV435" s="97" t="str">
        <f t="shared" ca="1" si="791"/>
        <v/>
      </c>
      <c r="BW435" s="98" t="str">
        <f>IF(BY435&lt;&gt;"",VLOOKUP($P435&amp;" | "&amp;BW$6,'Job Master'!$F$12:$J$102,5,0),"")</f>
        <v/>
      </c>
      <c r="BX435" s="19" t="str">
        <f>IF(BY435&lt;&gt;"",VLOOKUP($P435&amp;" | "&amp;BW$6,'Job Master'!$F$12:$J$102,3,0),"")</f>
        <v/>
      </c>
      <c r="BY435" s="19" t="str">
        <f>IFERROR(IF(AND(CF435&lt;&gt;"",VLOOKUP($P435&amp;" | "&amp;BW$6,'Job Master'!$F$12:$I$102,4,0)&lt;&gt;""),IF(WEEKDAY(CF435-VLOOKUP($P435&amp;" | "&amp;BW$6,'Job Master'!$F$12:$I$102,4,0))&lt;&gt;7,CF435-VLOOKUP($P435&amp;" | "&amp;BW$6,'Job Master'!$F$12:$I$102,4,0),CF435-VLOOKUP($P435&amp;" | "&amp;BW$6,'Job Master'!$F$12:$I$102,4,0)-1),""),"")</f>
        <v/>
      </c>
      <c r="BZ435" s="73"/>
      <c r="CA435" s="123" t="str">
        <f t="shared" si="792"/>
        <v/>
      </c>
      <c r="CB435" s="123" t="str">
        <f t="shared" si="793"/>
        <v/>
      </c>
      <c r="CC435" s="97" t="str">
        <f t="shared" ca="1" si="794"/>
        <v/>
      </c>
      <c r="CD435" s="98" t="str">
        <f>IF(CF435&lt;&gt;"",VLOOKUP($P435&amp;" | "&amp;CD$6,'Job Master'!$F$12:$J$102,5,0),"")</f>
        <v/>
      </c>
      <c r="CE435" s="19" t="str">
        <f>IF(CF435&lt;&gt;"",VLOOKUP($P435&amp;" | "&amp;CD$6,'Job Master'!$F$12:$J$102,3,0),"")</f>
        <v/>
      </c>
      <c r="CF435" s="19" t="str">
        <f>IFERROR(IF(AND(CM435&lt;&gt;"",VLOOKUP($P435&amp;" | "&amp;CD$6,'Job Master'!$F$12:$I$102,4,0)&lt;&gt;""),IF(WEEKDAY(CM435-VLOOKUP($P435&amp;" | "&amp;CD$6,'Job Master'!$F$12:$I$102,4,0))&lt;&gt;7,CM435-VLOOKUP($P435&amp;" | "&amp;CD$6,'Job Master'!$F$12:$I$102,4,0),CM435-VLOOKUP($P435&amp;" | "&amp;CD$6,'Job Master'!$F$12:$I$102,4,0)-1),""),"")</f>
        <v/>
      </c>
      <c r="CG435" s="73"/>
      <c r="CH435" s="123" t="str">
        <f t="shared" si="795"/>
        <v/>
      </c>
      <c r="CI435" s="123" t="str">
        <f t="shared" si="796"/>
        <v/>
      </c>
      <c r="CJ435" s="97" t="str">
        <f t="shared" ca="1" si="797"/>
        <v/>
      </c>
      <c r="CK435" s="98" t="str">
        <f>IF(CM435&lt;&gt;"",VLOOKUP($P435&amp;" | "&amp;CK$6,'Job Master'!$F$12:$J$102,5,0),"")</f>
        <v/>
      </c>
      <c r="CL435" s="19" t="str">
        <f>IF(CM435&lt;&gt;"",VLOOKUP($P435&amp;" | "&amp;CK$6,'Job Master'!$F$12:$J$102,3,0),"")</f>
        <v/>
      </c>
      <c r="CM435" s="19" t="str">
        <f>IFERROR(IF(AND(CT435&lt;&gt;"",VLOOKUP($P435&amp;" | "&amp;CK$6,'Job Master'!$F$12:$I$102,4,0)&lt;&gt;""),IF(WEEKDAY(CT435-VLOOKUP($P435&amp;" | "&amp;CK$6,'Job Master'!$F$12:$I$102,4,0))&lt;&gt;7,CT435-VLOOKUP($P435&amp;" | "&amp;CK$6,'Job Master'!$F$12:$I$102,4,0),CT435-VLOOKUP($P435&amp;" | "&amp;CK$6,'Job Master'!$F$12:$I$102,4,0)-1),""),"")</f>
        <v/>
      </c>
      <c r="CN435" s="73"/>
      <c r="CO435" s="123" t="str">
        <f t="shared" si="798"/>
        <v/>
      </c>
      <c r="CP435" s="123" t="str">
        <f t="shared" si="799"/>
        <v/>
      </c>
      <c r="CQ435" s="97" t="str">
        <f t="shared" ca="1" si="800"/>
        <v/>
      </c>
      <c r="CR435" s="98" t="str">
        <f>IF(CT435&lt;&gt;"",VLOOKUP($P435&amp;" | "&amp;CR$6,'Job Master'!$F$12:$J$102,5,0),"")</f>
        <v/>
      </c>
      <c r="CS435" s="19" t="str">
        <f>IF(CT435&lt;&gt;"",VLOOKUP($P435&amp;" | "&amp;CR$6,'Job Master'!$F$12:$J$102,3,0),"")</f>
        <v/>
      </c>
      <c r="CT435" s="19" t="str">
        <f>IFERROR(IF(AND(DA435&lt;&gt;"",VLOOKUP($P435&amp;" | "&amp;CR$6,'Job Master'!$F$12:$I$102,4,0)&lt;&gt;""),IF(WEEKDAY(DA435-VLOOKUP($P435&amp;" | "&amp;CR$6,'Job Master'!$F$12:$I$102,4,0))&lt;&gt;7,DA435-VLOOKUP($P435&amp;" | "&amp;CR$6,'Job Master'!$F$12:$I$102,4,0),DA435-VLOOKUP($P435&amp;" | "&amp;CR$6,'Job Master'!$F$12:$I$102,4,0)-1),""),"")</f>
        <v/>
      </c>
      <c r="CU435" s="73"/>
      <c r="CV435" s="123" t="str">
        <f t="shared" si="801"/>
        <v/>
      </c>
      <c r="CW435" s="123" t="str">
        <f t="shared" si="802"/>
        <v/>
      </c>
      <c r="CX435" s="97" t="str">
        <f t="shared" ca="1" si="803"/>
        <v/>
      </c>
      <c r="CY435" s="98" t="str">
        <f>IF(DA435&lt;&gt;"",VLOOKUP($P435&amp;" | "&amp;CY$6,'Job Master'!$F$12:$J$102,5,0),"")</f>
        <v/>
      </c>
      <c r="CZ435" s="19" t="str">
        <f>IF(DA435&lt;&gt;"",VLOOKUP($P435&amp;" | "&amp;CY$6,'Job Master'!$F$12:$J$102,3,0),"")</f>
        <v/>
      </c>
      <c r="DA435" s="19" t="str">
        <f>IFERROR(IF(AND(DH435&lt;&gt;"",VLOOKUP($P435&amp;" | "&amp;CY$6,'Job Master'!$F$12:$I$102,4,0)&lt;&gt;""),IF(WEEKDAY(DH435-VLOOKUP($P435&amp;" | "&amp;CY$6,'Job Master'!$F$12:$I$102,4,0))&lt;&gt;7,DH435-VLOOKUP($P435&amp;" | "&amp;CY$6,'Job Master'!$F$12:$I$102,4,0),DH435-VLOOKUP($P435&amp;" | "&amp;CY$6,'Job Master'!$F$12:$I$102,4,0)-1),""),"")</f>
        <v/>
      </c>
      <c r="DB435" s="73"/>
      <c r="DC435" s="123" t="str">
        <f t="shared" si="804"/>
        <v/>
      </c>
      <c r="DD435" s="123" t="str">
        <f t="shared" si="805"/>
        <v/>
      </c>
      <c r="DE435" s="97" t="str">
        <f t="shared" ca="1" si="806"/>
        <v/>
      </c>
      <c r="DF435" s="98" t="str">
        <f>IF(DH435&lt;&gt;"",VLOOKUP($P435&amp;" | "&amp;DF$6,'Job Master'!$F$12:$J$102,5,0),"")</f>
        <v/>
      </c>
      <c r="DG435" s="19" t="str">
        <f>IF(DH435&lt;&gt;"",VLOOKUP($P435&amp;" | "&amp;DF$6,'Job Master'!$F$12:$J$102,3,0),"")</f>
        <v/>
      </c>
      <c r="DH435" s="19" t="str">
        <f>IFERROR(IF(AND(DO435&lt;&gt;"",VLOOKUP($P435&amp;" | "&amp;DF$6,'Job Master'!$F$12:$I$102,4,0)&lt;&gt;""),IF(WEEKDAY(DO435-VLOOKUP($P435&amp;" | "&amp;DF$6,'Job Master'!$F$12:$I$102,4,0))&lt;&gt;7,DO435-VLOOKUP($P435&amp;" | "&amp;DF$6,'Job Master'!$F$12:$I$102,4,0),DO435-VLOOKUP($P435&amp;" | "&amp;DF$6,'Job Master'!$F$12:$I$102,4,0)-1),""),"")</f>
        <v/>
      </c>
      <c r="DI435" s="73"/>
      <c r="DJ435" s="123" t="str">
        <f t="shared" si="807"/>
        <v/>
      </c>
      <c r="DK435" s="123" t="str">
        <f t="shared" si="808"/>
        <v/>
      </c>
      <c r="DL435" s="97" t="str">
        <f t="shared" ca="1" si="809"/>
        <v/>
      </c>
      <c r="DM435" s="98" t="str">
        <f>IF(DO435&lt;&gt;"",VLOOKUP($P435&amp;" | "&amp;DM$6,'Job Master'!$F$12:$J$102,5,0),"")</f>
        <v/>
      </c>
      <c r="DN435" s="19" t="str">
        <f>IF(DO435&lt;&gt;"",VLOOKUP($P435&amp;" | "&amp;DM$6,'Job Master'!$F$12:$J$102,3,0),"")</f>
        <v/>
      </c>
      <c r="DO435" s="19" t="str">
        <f>IFERROR(IF(AND(DT435&lt;&gt;"",VLOOKUP($P435&amp;" | "&amp;DM$6,'Job Master'!$F$12:$I$102,4,0)&lt;&gt;""),IF(WEEKDAY(DT435-VLOOKUP($P435&amp;" | "&amp;DM$6,'Job Master'!$F$12:$I$102,4,0))&lt;&gt;7,DT435-VLOOKUP($P435&amp;" | "&amp;DM$6,'Job Master'!$F$12:$I$102,4,0),DT435-VLOOKUP($P435&amp;" | "&amp;DM$6,'Job Master'!$F$12:$I$102,4,0)-1),""),"")</f>
        <v/>
      </c>
      <c r="DP435" s="73"/>
      <c r="DQ435" s="123" t="str">
        <f t="shared" si="810"/>
        <v/>
      </c>
      <c r="DR435" s="123" t="str">
        <f t="shared" si="811"/>
        <v/>
      </c>
      <c r="DS435" s="97" t="str">
        <f t="shared" ca="1" si="812"/>
        <v/>
      </c>
      <c r="DT435" s="70" t="str">
        <f t="shared" si="813"/>
        <v/>
      </c>
      <c r="DU435" s="90"/>
      <c r="DV435" s="123" t="str">
        <f t="shared" si="814"/>
        <v/>
      </c>
      <c r="DW435" s="123" t="str">
        <f t="shared" si="815"/>
        <v/>
      </c>
      <c r="DX435" s="132" t="str">
        <f t="shared" ref="DX435" ca="1" si="868">IF(DT435&lt;&gt;"",IF(WEEKNUM(DT435)=WEEKNUM(TODAY()),"This Week",IF(WEEKNUM(DT435)=WEEKNUM(TODAY())+1,"Next Week",IF(WEEKNUM(DT435)=WEEKNUM(TODAY())-1,"Previous Week",""))),"")</f>
        <v/>
      </c>
      <c r="DY435" s="134" t="str">
        <f t="shared" si="817"/>
        <v/>
      </c>
      <c r="DZ435" s="95"/>
      <c r="EB435" s="8" t="str">
        <f t="shared" si="823"/>
        <v/>
      </c>
      <c r="EC435" s="8" t="str">
        <f>IF(O435&lt;&gt;"",VLOOKUP(O435,'Job Master'!$N$12:$O$18,2,0),"")</f>
        <v/>
      </c>
      <c r="ED435" s="8">
        <f t="shared" si="824"/>
        <v>19.5</v>
      </c>
      <c r="EE435" s="8">
        <f t="shared" si="825"/>
        <v>6</v>
      </c>
      <c r="EF435" s="8">
        <f t="shared" si="826"/>
        <v>-2530.5</v>
      </c>
      <c r="EG435" s="8" t="str">
        <f t="shared" si="827"/>
        <v/>
      </c>
      <c r="EH435" s="8" t="str">
        <f t="shared" si="828"/>
        <v/>
      </c>
    </row>
    <row r="436" spans="2:138" x14ac:dyDescent="0.3">
      <c r="B436" s="112"/>
      <c r="C436" s="27"/>
      <c r="D436" s="7" t="str">
        <f t="shared" si="765"/>
        <v/>
      </c>
      <c r="E436" s="25"/>
      <c r="F436" s="7" t="str">
        <f t="shared" si="765"/>
        <v/>
      </c>
      <c r="G436" s="25"/>
      <c r="H436" s="7" t="str">
        <f t="shared" si="765"/>
        <v/>
      </c>
      <c r="I436" s="25"/>
      <c r="J436" s="7" t="str">
        <f t="shared" si="765"/>
        <v/>
      </c>
      <c r="K436" s="25"/>
      <c r="L436" s="7" t="str">
        <f t="shared" si="766"/>
        <v/>
      </c>
      <c r="M436" s="25"/>
      <c r="N436" s="7" t="str">
        <f t="shared" si="767"/>
        <v/>
      </c>
      <c r="O436" s="81"/>
      <c r="P436" s="81" t="str">
        <f t="shared" si="768"/>
        <v/>
      </c>
      <c r="Q436" s="81"/>
      <c r="R436" s="7" t="str">
        <f t="shared" si="769"/>
        <v/>
      </c>
      <c r="S436" s="25"/>
      <c r="T436" s="7" t="str">
        <f t="shared" si="770"/>
        <v/>
      </c>
      <c r="U436" s="25"/>
      <c r="V436" s="7" t="str">
        <f t="shared" si="771"/>
        <v/>
      </c>
      <c r="W436" s="25"/>
      <c r="X436" s="7" t="str">
        <f t="shared" si="772"/>
        <v/>
      </c>
      <c r="Y436" s="18" t="str">
        <f t="shared" si="773"/>
        <v/>
      </c>
      <c r="Z436" s="7" t="str">
        <f t="shared" si="774"/>
        <v/>
      </c>
      <c r="AA436" s="18" t="str">
        <f t="shared" si="775"/>
        <v/>
      </c>
      <c r="AB436" s="19" t="str">
        <f t="shared" si="776"/>
        <v/>
      </c>
      <c r="AC436" s="26"/>
      <c r="AD436" s="26"/>
      <c r="AE436" s="25"/>
      <c r="AF436" s="26"/>
      <c r="AG436" s="25"/>
      <c r="AH436" s="25"/>
      <c r="AI436" s="18" t="str">
        <f t="shared" si="839"/>
        <v/>
      </c>
      <c r="AJ436" s="25"/>
      <c r="AK436" s="18" t="str">
        <f t="shared" si="840"/>
        <v/>
      </c>
      <c r="AL436" s="79"/>
      <c r="AM436" s="126" t="str">
        <f t="shared" si="841"/>
        <v/>
      </c>
      <c r="AN436" s="128" t="str">
        <f>IF(AP436&lt;&gt;"",VLOOKUP($P436&amp;" | "&amp;AN$6,'Job Master'!$F$12:$J$102,5,0),"")</f>
        <v/>
      </c>
      <c r="AO436" s="19" t="str">
        <f>IF(AP436&lt;&gt;"",VLOOKUP($P436&amp;" | "&amp;AN$6,'Job Master'!$F$12:$J$102,3,0),"")</f>
        <v/>
      </c>
      <c r="AP436" s="19" t="str">
        <f>IFERROR(IF(AND(AW436&lt;&gt;"",VLOOKUP($P436&amp;" | "&amp;AN$6,'Job Master'!$F$12:$I$102,4,0)&lt;&gt;""),IF(WEEKDAY(AW436-VLOOKUP($P436&amp;" | "&amp;AN$6,'Job Master'!$F$12:$I$102,4,0))&lt;&gt;7,AW436-VLOOKUP($P436&amp;" | "&amp;AN$6,'Job Master'!$F$12:$I$102,4,0),AW436-VLOOKUP($P436&amp;" | "&amp;AN$6,'Job Master'!$F$12:$I$102,4,0)-1),""),"")</f>
        <v/>
      </c>
      <c r="AQ436" s="73"/>
      <c r="AR436" s="123" t="str">
        <f t="shared" si="777"/>
        <v/>
      </c>
      <c r="AS436" s="123" t="str">
        <f t="shared" si="778"/>
        <v/>
      </c>
      <c r="AT436" s="97" t="str">
        <f t="shared" ca="1" si="779"/>
        <v/>
      </c>
      <c r="AU436" s="98" t="str">
        <f>IF(AW436&lt;&gt;"",VLOOKUP($P436&amp;" | "&amp;AU$6,'Job Master'!$F$12:$J$102,5,0),"")</f>
        <v/>
      </c>
      <c r="AV436" s="19" t="str">
        <f>IF(AW436&lt;&gt;"",VLOOKUP($P436&amp;" | "&amp;AU$6,'Job Master'!$F$12:$J$102,3,0),"")</f>
        <v/>
      </c>
      <c r="AW436" s="19" t="str">
        <f>IFERROR(IF(AND(BD436&lt;&gt;"",VLOOKUP($P436&amp;" | "&amp;AU$6,'Job Master'!$F$12:$I$102,4,0)&lt;&gt;""),IF(WEEKDAY(BD436-VLOOKUP($P436&amp;" | "&amp;AU$6,'Job Master'!$F$12:$I$102,4,0))&lt;&gt;7,BD436-VLOOKUP($P436&amp;" | "&amp;AU$6,'Job Master'!$F$12:$I$102,4,0),BD436-VLOOKUP($P436&amp;" | "&amp;AU$6,'Job Master'!$F$12:$I$102,4,0)-1),""),"")</f>
        <v/>
      </c>
      <c r="AX436" s="73"/>
      <c r="AY436" s="123" t="str">
        <f t="shared" si="780"/>
        <v/>
      </c>
      <c r="AZ436" s="123" t="str">
        <f t="shared" si="781"/>
        <v/>
      </c>
      <c r="BA436" s="97" t="str">
        <f t="shared" ca="1" si="782"/>
        <v/>
      </c>
      <c r="BB436" s="98" t="str">
        <f>IF(BD436&lt;&gt;"",VLOOKUP($P436&amp;" | "&amp;BB$6,'Job Master'!$F$12:$J$102,5,0),"")</f>
        <v/>
      </c>
      <c r="BC436" s="19" t="str">
        <f>IF(BD436&lt;&gt;"",VLOOKUP($P436&amp;" | "&amp;BB$6,'Job Master'!$F$12:$J$102,3,0),"")</f>
        <v/>
      </c>
      <c r="BD436" s="19" t="str">
        <f>IFERROR(IF(AND(BK436&lt;&gt;"",VLOOKUP($P436&amp;" | "&amp;BB$6,'Job Master'!$F$12:$I$102,4,0)&lt;&gt;""),IF(WEEKDAY(BK436-VLOOKUP($P436&amp;" | "&amp;BB$6,'Job Master'!$F$12:$I$102,4,0))&lt;&gt;7,BK436-VLOOKUP($P436&amp;" | "&amp;BB$6,'Job Master'!$F$12:$I$102,4,0),BK436-VLOOKUP($P436&amp;" | "&amp;BB$6,'Job Master'!$F$12:$I$102,4,0)-1),""),"")</f>
        <v/>
      </c>
      <c r="BE436" s="73"/>
      <c r="BF436" s="123" t="str">
        <f t="shared" si="783"/>
        <v/>
      </c>
      <c r="BG436" s="123" t="str">
        <f t="shared" si="784"/>
        <v/>
      </c>
      <c r="BH436" s="97" t="str">
        <f t="shared" ca="1" si="785"/>
        <v/>
      </c>
      <c r="BI436" s="98" t="str">
        <f>IF(BK436&lt;&gt;"",VLOOKUP($P436&amp;" | "&amp;BI$6,'Job Master'!$F$12:$J$102,5,0),"")</f>
        <v/>
      </c>
      <c r="BJ436" s="19" t="str">
        <f>IF(BK436&lt;&gt;"",VLOOKUP($P436&amp;" | "&amp;BI$6,'Job Master'!$F$12:$J$102,3,0),"")</f>
        <v/>
      </c>
      <c r="BK436" s="19" t="str">
        <f>IFERROR(IF(AND(BR436&lt;&gt;"",VLOOKUP($P436&amp;" | "&amp;BI$6,'Job Master'!$F$12:$I$102,4,0)&lt;&gt;""),IF(WEEKDAY(BR436-VLOOKUP($P436&amp;" | "&amp;BI$6,'Job Master'!$F$12:$I$102,4,0))&lt;&gt;7,BR436-VLOOKUP($P436&amp;" | "&amp;BI$6,'Job Master'!$F$12:$I$102,4,0),BR436-VLOOKUP($P436&amp;" | "&amp;BI$6,'Job Master'!$F$12:$I$102,4,0)-1),""),"")</f>
        <v/>
      </c>
      <c r="BL436" s="73"/>
      <c r="BM436" s="123" t="str">
        <f t="shared" si="786"/>
        <v/>
      </c>
      <c r="BN436" s="123" t="str">
        <f t="shared" si="787"/>
        <v/>
      </c>
      <c r="BO436" s="97" t="str">
        <f t="shared" ca="1" si="788"/>
        <v/>
      </c>
      <c r="BP436" s="98" t="str">
        <f>IF(BR436&lt;&gt;"",VLOOKUP($P436&amp;" | "&amp;BP$6,'Job Master'!$F$12:$J$102,5,0),"")</f>
        <v/>
      </c>
      <c r="BQ436" s="19" t="str">
        <f>IF(BR436&lt;&gt;"",VLOOKUP($P436&amp;" | "&amp;BP$6,'Job Master'!$F$12:$J$102,3,0),"")</f>
        <v/>
      </c>
      <c r="BR436" s="19" t="str">
        <f>IFERROR(IF(AND(BY436&lt;&gt;"",VLOOKUP($P436&amp;" | "&amp;BP$6,'Job Master'!$F$12:$I$102,4,0)&lt;&gt;""),IF(WEEKDAY(BY436-VLOOKUP($P436&amp;" | "&amp;BP$6,'Job Master'!$F$12:$I$102,4,0))&lt;&gt;7,BY436-VLOOKUP($P436&amp;" | "&amp;BP$6,'Job Master'!$F$12:$I$102,4,0),BY436-VLOOKUP($P436&amp;" | "&amp;BP$6,'Job Master'!$F$12:$I$102,4,0)-1),""),"")</f>
        <v/>
      </c>
      <c r="BS436" s="73"/>
      <c r="BT436" s="123" t="str">
        <f t="shared" si="789"/>
        <v/>
      </c>
      <c r="BU436" s="123" t="str">
        <f t="shared" si="790"/>
        <v/>
      </c>
      <c r="BV436" s="97" t="str">
        <f t="shared" ca="1" si="791"/>
        <v/>
      </c>
      <c r="BW436" s="98" t="str">
        <f>IF(BY436&lt;&gt;"",VLOOKUP($P436&amp;" | "&amp;BW$6,'Job Master'!$F$12:$J$102,5,0),"")</f>
        <v/>
      </c>
      <c r="BX436" s="19" t="str">
        <f>IF(BY436&lt;&gt;"",VLOOKUP($P436&amp;" | "&amp;BW$6,'Job Master'!$F$12:$J$102,3,0),"")</f>
        <v/>
      </c>
      <c r="BY436" s="19" t="str">
        <f>IFERROR(IF(AND(CF436&lt;&gt;"",VLOOKUP($P436&amp;" | "&amp;BW$6,'Job Master'!$F$12:$I$102,4,0)&lt;&gt;""),IF(WEEKDAY(CF436-VLOOKUP($P436&amp;" | "&amp;BW$6,'Job Master'!$F$12:$I$102,4,0))&lt;&gt;7,CF436-VLOOKUP($P436&amp;" | "&amp;BW$6,'Job Master'!$F$12:$I$102,4,0),CF436-VLOOKUP($P436&amp;" | "&amp;BW$6,'Job Master'!$F$12:$I$102,4,0)-1),""),"")</f>
        <v/>
      </c>
      <c r="BZ436" s="73"/>
      <c r="CA436" s="123" t="str">
        <f t="shared" si="792"/>
        <v/>
      </c>
      <c r="CB436" s="123" t="str">
        <f t="shared" si="793"/>
        <v/>
      </c>
      <c r="CC436" s="97" t="str">
        <f t="shared" ca="1" si="794"/>
        <v/>
      </c>
      <c r="CD436" s="98" t="str">
        <f>IF(CF436&lt;&gt;"",VLOOKUP($P436&amp;" | "&amp;CD$6,'Job Master'!$F$12:$J$102,5,0),"")</f>
        <v/>
      </c>
      <c r="CE436" s="19" t="str">
        <f>IF(CF436&lt;&gt;"",VLOOKUP($P436&amp;" | "&amp;CD$6,'Job Master'!$F$12:$J$102,3,0),"")</f>
        <v/>
      </c>
      <c r="CF436" s="19" t="str">
        <f>IFERROR(IF(AND(CM436&lt;&gt;"",VLOOKUP($P436&amp;" | "&amp;CD$6,'Job Master'!$F$12:$I$102,4,0)&lt;&gt;""),IF(WEEKDAY(CM436-VLOOKUP($P436&amp;" | "&amp;CD$6,'Job Master'!$F$12:$I$102,4,0))&lt;&gt;7,CM436-VLOOKUP($P436&amp;" | "&amp;CD$6,'Job Master'!$F$12:$I$102,4,0),CM436-VLOOKUP($P436&amp;" | "&amp;CD$6,'Job Master'!$F$12:$I$102,4,0)-1),""),"")</f>
        <v/>
      </c>
      <c r="CG436" s="73"/>
      <c r="CH436" s="123" t="str">
        <f t="shared" si="795"/>
        <v/>
      </c>
      <c r="CI436" s="123" t="str">
        <f t="shared" si="796"/>
        <v/>
      </c>
      <c r="CJ436" s="97" t="str">
        <f t="shared" ca="1" si="797"/>
        <v/>
      </c>
      <c r="CK436" s="98" t="str">
        <f>IF(CM436&lt;&gt;"",VLOOKUP($P436&amp;" | "&amp;CK$6,'Job Master'!$F$12:$J$102,5,0),"")</f>
        <v/>
      </c>
      <c r="CL436" s="19" t="str">
        <f>IF(CM436&lt;&gt;"",VLOOKUP($P436&amp;" | "&amp;CK$6,'Job Master'!$F$12:$J$102,3,0),"")</f>
        <v/>
      </c>
      <c r="CM436" s="19" t="str">
        <f>IFERROR(IF(AND(CT436&lt;&gt;"",VLOOKUP($P436&amp;" | "&amp;CK$6,'Job Master'!$F$12:$I$102,4,0)&lt;&gt;""),IF(WEEKDAY(CT436-VLOOKUP($P436&amp;" | "&amp;CK$6,'Job Master'!$F$12:$I$102,4,0))&lt;&gt;7,CT436-VLOOKUP($P436&amp;" | "&amp;CK$6,'Job Master'!$F$12:$I$102,4,0),CT436-VLOOKUP($P436&amp;" | "&amp;CK$6,'Job Master'!$F$12:$I$102,4,0)-1),""),"")</f>
        <v/>
      </c>
      <c r="CN436" s="73"/>
      <c r="CO436" s="123" t="str">
        <f t="shared" si="798"/>
        <v/>
      </c>
      <c r="CP436" s="123" t="str">
        <f t="shared" si="799"/>
        <v/>
      </c>
      <c r="CQ436" s="97" t="str">
        <f t="shared" ca="1" si="800"/>
        <v/>
      </c>
      <c r="CR436" s="98" t="str">
        <f>IF(CT436&lt;&gt;"",VLOOKUP($P436&amp;" | "&amp;CR$6,'Job Master'!$F$12:$J$102,5,0),"")</f>
        <v/>
      </c>
      <c r="CS436" s="19" t="str">
        <f>IF(CT436&lt;&gt;"",VLOOKUP($P436&amp;" | "&amp;CR$6,'Job Master'!$F$12:$J$102,3,0),"")</f>
        <v/>
      </c>
      <c r="CT436" s="19" t="str">
        <f>IFERROR(IF(AND(DA436&lt;&gt;"",VLOOKUP($P436&amp;" | "&amp;CR$6,'Job Master'!$F$12:$I$102,4,0)&lt;&gt;""),IF(WEEKDAY(DA436-VLOOKUP($P436&amp;" | "&amp;CR$6,'Job Master'!$F$12:$I$102,4,0))&lt;&gt;7,DA436-VLOOKUP($P436&amp;" | "&amp;CR$6,'Job Master'!$F$12:$I$102,4,0),DA436-VLOOKUP($P436&amp;" | "&amp;CR$6,'Job Master'!$F$12:$I$102,4,0)-1),""),"")</f>
        <v/>
      </c>
      <c r="CU436" s="73"/>
      <c r="CV436" s="123" t="str">
        <f t="shared" si="801"/>
        <v/>
      </c>
      <c r="CW436" s="123" t="str">
        <f t="shared" si="802"/>
        <v/>
      </c>
      <c r="CX436" s="97" t="str">
        <f t="shared" ca="1" si="803"/>
        <v/>
      </c>
      <c r="CY436" s="98" t="str">
        <f>IF(DA436&lt;&gt;"",VLOOKUP($P436&amp;" | "&amp;CY$6,'Job Master'!$F$12:$J$102,5,0),"")</f>
        <v/>
      </c>
      <c r="CZ436" s="19" t="str">
        <f>IF(DA436&lt;&gt;"",VLOOKUP($P436&amp;" | "&amp;CY$6,'Job Master'!$F$12:$J$102,3,0),"")</f>
        <v/>
      </c>
      <c r="DA436" s="19" t="str">
        <f>IFERROR(IF(AND(DH436&lt;&gt;"",VLOOKUP($P436&amp;" | "&amp;CY$6,'Job Master'!$F$12:$I$102,4,0)&lt;&gt;""),IF(WEEKDAY(DH436-VLOOKUP($P436&amp;" | "&amp;CY$6,'Job Master'!$F$12:$I$102,4,0))&lt;&gt;7,DH436-VLOOKUP($P436&amp;" | "&amp;CY$6,'Job Master'!$F$12:$I$102,4,0),DH436-VLOOKUP($P436&amp;" | "&amp;CY$6,'Job Master'!$F$12:$I$102,4,0)-1),""),"")</f>
        <v/>
      </c>
      <c r="DB436" s="73"/>
      <c r="DC436" s="123" t="str">
        <f t="shared" si="804"/>
        <v/>
      </c>
      <c r="DD436" s="123" t="str">
        <f t="shared" si="805"/>
        <v/>
      </c>
      <c r="DE436" s="97" t="str">
        <f t="shared" ca="1" si="806"/>
        <v/>
      </c>
      <c r="DF436" s="98" t="str">
        <f>IF(DH436&lt;&gt;"",VLOOKUP($P436&amp;" | "&amp;DF$6,'Job Master'!$F$12:$J$102,5,0),"")</f>
        <v/>
      </c>
      <c r="DG436" s="19" t="str">
        <f>IF(DH436&lt;&gt;"",VLOOKUP($P436&amp;" | "&amp;DF$6,'Job Master'!$F$12:$J$102,3,0),"")</f>
        <v/>
      </c>
      <c r="DH436" s="19" t="str">
        <f>IFERROR(IF(AND(DO436&lt;&gt;"",VLOOKUP($P436&amp;" | "&amp;DF$6,'Job Master'!$F$12:$I$102,4,0)&lt;&gt;""),IF(WEEKDAY(DO436-VLOOKUP($P436&amp;" | "&amp;DF$6,'Job Master'!$F$12:$I$102,4,0))&lt;&gt;7,DO436-VLOOKUP($P436&amp;" | "&amp;DF$6,'Job Master'!$F$12:$I$102,4,0),DO436-VLOOKUP($P436&amp;" | "&amp;DF$6,'Job Master'!$F$12:$I$102,4,0)-1),""),"")</f>
        <v/>
      </c>
      <c r="DI436" s="73"/>
      <c r="DJ436" s="123" t="str">
        <f t="shared" si="807"/>
        <v/>
      </c>
      <c r="DK436" s="123" t="str">
        <f t="shared" si="808"/>
        <v/>
      </c>
      <c r="DL436" s="97" t="str">
        <f t="shared" ca="1" si="809"/>
        <v/>
      </c>
      <c r="DM436" s="98" t="str">
        <f>IF(DO436&lt;&gt;"",VLOOKUP($P436&amp;" | "&amp;DM$6,'Job Master'!$F$12:$J$102,5,0),"")</f>
        <v/>
      </c>
      <c r="DN436" s="19" t="str">
        <f>IF(DO436&lt;&gt;"",VLOOKUP($P436&amp;" | "&amp;DM$6,'Job Master'!$F$12:$J$102,3,0),"")</f>
        <v/>
      </c>
      <c r="DO436" s="19" t="str">
        <f>IFERROR(IF(AND(DT436&lt;&gt;"",VLOOKUP($P436&amp;" | "&amp;DM$6,'Job Master'!$F$12:$I$102,4,0)&lt;&gt;""),IF(WEEKDAY(DT436-VLOOKUP($P436&amp;" | "&amp;DM$6,'Job Master'!$F$12:$I$102,4,0))&lt;&gt;7,DT436-VLOOKUP($P436&amp;" | "&amp;DM$6,'Job Master'!$F$12:$I$102,4,0),DT436-VLOOKUP($P436&amp;" | "&amp;DM$6,'Job Master'!$F$12:$I$102,4,0)-1),""),"")</f>
        <v/>
      </c>
      <c r="DP436" s="73"/>
      <c r="DQ436" s="123" t="str">
        <f t="shared" si="810"/>
        <v/>
      </c>
      <c r="DR436" s="123" t="str">
        <f t="shared" si="811"/>
        <v/>
      </c>
      <c r="DS436" s="97" t="str">
        <f t="shared" ca="1" si="812"/>
        <v/>
      </c>
      <c r="DT436" s="70" t="str">
        <f t="shared" si="813"/>
        <v/>
      </c>
      <c r="DU436" s="90"/>
      <c r="DV436" s="123" t="str">
        <f t="shared" si="814"/>
        <v/>
      </c>
      <c r="DW436" s="123" t="str">
        <f t="shared" si="815"/>
        <v/>
      </c>
      <c r="DX436" s="132" t="str">
        <f t="shared" ref="DX436" ca="1" si="869">IF(DT436&lt;&gt;"",IF(WEEKNUM(DT436)=WEEKNUM(TODAY()),"This Week",IF(WEEKNUM(DT436)=WEEKNUM(TODAY())+1,"Next Week",IF(WEEKNUM(DT436)=WEEKNUM(TODAY())-1,"Previous Week",""))),"")</f>
        <v/>
      </c>
      <c r="DY436" s="134" t="str">
        <f t="shared" si="817"/>
        <v/>
      </c>
      <c r="DZ436" s="95"/>
      <c r="EB436" s="8" t="str">
        <f t="shared" si="823"/>
        <v/>
      </c>
      <c r="EC436" s="8" t="str">
        <f>IF(O436&lt;&gt;"",VLOOKUP(O436,'Job Master'!$N$12:$O$18,2,0),"")</f>
        <v/>
      </c>
      <c r="ED436" s="8">
        <f t="shared" si="824"/>
        <v>19.5</v>
      </c>
      <c r="EE436" s="8">
        <f t="shared" si="825"/>
        <v>6</v>
      </c>
      <c r="EF436" s="8">
        <f t="shared" si="826"/>
        <v>-2536.5</v>
      </c>
      <c r="EG436" s="8" t="str">
        <f t="shared" si="827"/>
        <v/>
      </c>
      <c r="EH436" s="8" t="str">
        <f t="shared" si="828"/>
        <v/>
      </c>
    </row>
    <row r="437" spans="2:138" x14ac:dyDescent="0.3">
      <c r="B437" s="112"/>
      <c r="C437" s="27"/>
      <c r="D437" s="7" t="str">
        <f t="shared" si="765"/>
        <v/>
      </c>
      <c r="E437" s="25"/>
      <c r="F437" s="7" t="str">
        <f t="shared" si="765"/>
        <v/>
      </c>
      <c r="G437" s="25"/>
      <c r="H437" s="7" t="str">
        <f t="shared" si="765"/>
        <v/>
      </c>
      <c r="I437" s="25"/>
      <c r="J437" s="7" t="str">
        <f t="shared" si="765"/>
        <v/>
      </c>
      <c r="K437" s="25"/>
      <c r="L437" s="7" t="str">
        <f t="shared" si="766"/>
        <v/>
      </c>
      <c r="M437" s="25"/>
      <c r="N437" s="7" t="str">
        <f t="shared" si="767"/>
        <v/>
      </c>
      <c r="O437" s="81"/>
      <c r="P437" s="81" t="str">
        <f t="shared" si="768"/>
        <v/>
      </c>
      <c r="Q437" s="81"/>
      <c r="R437" s="7" t="str">
        <f t="shared" si="769"/>
        <v/>
      </c>
      <c r="S437" s="25"/>
      <c r="T437" s="7" t="str">
        <f t="shared" si="770"/>
        <v/>
      </c>
      <c r="U437" s="25"/>
      <c r="V437" s="7" t="str">
        <f t="shared" si="771"/>
        <v/>
      </c>
      <c r="W437" s="25"/>
      <c r="X437" s="7" t="str">
        <f t="shared" si="772"/>
        <v/>
      </c>
      <c r="Y437" s="18" t="str">
        <f t="shared" si="773"/>
        <v/>
      </c>
      <c r="Z437" s="7" t="str">
        <f t="shared" si="774"/>
        <v/>
      </c>
      <c r="AA437" s="18" t="str">
        <f t="shared" si="775"/>
        <v/>
      </c>
      <c r="AB437" s="19" t="str">
        <f t="shared" si="776"/>
        <v/>
      </c>
      <c r="AC437" s="26"/>
      <c r="AD437" s="26"/>
      <c r="AE437" s="25"/>
      <c r="AF437" s="26"/>
      <c r="AG437" s="25"/>
      <c r="AH437" s="25"/>
      <c r="AI437" s="18" t="str">
        <f t="shared" si="839"/>
        <v/>
      </c>
      <c r="AJ437" s="25"/>
      <c r="AK437" s="18" t="str">
        <f t="shared" si="840"/>
        <v/>
      </c>
      <c r="AL437" s="79"/>
      <c r="AM437" s="126" t="str">
        <f t="shared" si="841"/>
        <v/>
      </c>
      <c r="AN437" s="128" t="str">
        <f>IF(AP437&lt;&gt;"",VLOOKUP($P437&amp;" | "&amp;AN$6,'Job Master'!$F$12:$J$102,5,0),"")</f>
        <v/>
      </c>
      <c r="AO437" s="19" t="str">
        <f>IF(AP437&lt;&gt;"",VLOOKUP($P437&amp;" | "&amp;AN$6,'Job Master'!$F$12:$J$102,3,0),"")</f>
        <v/>
      </c>
      <c r="AP437" s="19" t="str">
        <f>IFERROR(IF(AND(AW437&lt;&gt;"",VLOOKUP($P437&amp;" | "&amp;AN$6,'Job Master'!$F$12:$I$102,4,0)&lt;&gt;""),IF(WEEKDAY(AW437-VLOOKUP($P437&amp;" | "&amp;AN$6,'Job Master'!$F$12:$I$102,4,0))&lt;&gt;7,AW437-VLOOKUP($P437&amp;" | "&amp;AN$6,'Job Master'!$F$12:$I$102,4,0),AW437-VLOOKUP($P437&amp;" | "&amp;AN$6,'Job Master'!$F$12:$I$102,4,0)-1),""),"")</f>
        <v/>
      </c>
      <c r="AQ437" s="73"/>
      <c r="AR437" s="123" t="str">
        <f t="shared" si="777"/>
        <v/>
      </c>
      <c r="AS437" s="123" t="str">
        <f t="shared" si="778"/>
        <v/>
      </c>
      <c r="AT437" s="97" t="str">
        <f t="shared" ca="1" si="779"/>
        <v/>
      </c>
      <c r="AU437" s="98" t="str">
        <f>IF(AW437&lt;&gt;"",VLOOKUP($P437&amp;" | "&amp;AU$6,'Job Master'!$F$12:$J$102,5,0),"")</f>
        <v/>
      </c>
      <c r="AV437" s="19" t="str">
        <f>IF(AW437&lt;&gt;"",VLOOKUP($P437&amp;" | "&amp;AU$6,'Job Master'!$F$12:$J$102,3,0),"")</f>
        <v/>
      </c>
      <c r="AW437" s="19" t="str">
        <f>IFERROR(IF(AND(BD437&lt;&gt;"",VLOOKUP($P437&amp;" | "&amp;AU$6,'Job Master'!$F$12:$I$102,4,0)&lt;&gt;""),IF(WEEKDAY(BD437-VLOOKUP($P437&amp;" | "&amp;AU$6,'Job Master'!$F$12:$I$102,4,0))&lt;&gt;7,BD437-VLOOKUP($P437&amp;" | "&amp;AU$6,'Job Master'!$F$12:$I$102,4,0),BD437-VLOOKUP($P437&amp;" | "&amp;AU$6,'Job Master'!$F$12:$I$102,4,0)-1),""),"")</f>
        <v/>
      </c>
      <c r="AX437" s="73"/>
      <c r="AY437" s="123" t="str">
        <f t="shared" si="780"/>
        <v/>
      </c>
      <c r="AZ437" s="123" t="str">
        <f t="shared" si="781"/>
        <v/>
      </c>
      <c r="BA437" s="97" t="str">
        <f t="shared" ca="1" si="782"/>
        <v/>
      </c>
      <c r="BB437" s="98" t="str">
        <f>IF(BD437&lt;&gt;"",VLOOKUP($P437&amp;" | "&amp;BB$6,'Job Master'!$F$12:$J$102,5,0),"")</f>
        <v/>
      </c>
      <c r="BC437" s="19" t="str">
        <f>IF(BD437&lt;&gt;"",VLOOKUP($P437&amp;" | "&amp;BB$6,'Job Master'!$F$12:$J$102,3,0),"")</f>
        <v/>
      </c>
      <c r="BD437" s="19" t="str">
        <f>IFERROR(IF(AND(BK437&lt;&gt;"",VLOOKUP($P437&amp;" | "&amp;BB$6,'Job Master'!$F$12:$I$102,4,0)&lt;&gt;""),IF(WEEKDAY(BK437-VLOOKUP($P437&amp;" | "&amp;BB$6,'Job Master'!$F$12:$I$102,4,0))&lt;&gt;7,BK437-VLOOKUP($P437&amp;" | "&amp;BB$6,'Job Master'!$F$12:$I$102,4,0),BK437-VLOOKUP($P437&amp;" | "&amp;BB$6,'Job Master'!$F$12:$I$102,4,0)-1),""),"")</f>
        <v/>
      </c>
      <c r="BE437" s="73"/>
      <c r="BF437" s="123" t="str">
        <f t="shared" si="783"/>
        <v/>
      </c>
      <c r="BG437" s="123" t="str">
        <f t="shared" si="784"/>
        <v/>
      </c>
      <c r="BH437" s="97" t="str">
        <f t="shared" ca="1" si="785"/>
        <v/>
      </c>
      <c r="BI437" s="98" t="str">
        <f>IF(BK437&lt;&gt;"",VLOOKUP($P437&amp;" | "&amp;BI$6,'Job Master'!$F$12:$J$102,5,0),"")</f>
        <v/>
      </c>
      <c r="BJ437" s="19" t="str">
        <f>IF(BK437&lt;&gt;"",VLOOKUP($P437&amp;" | "&amp;BI$6,'Job Master'!$F$12:$J$102,3,0),"")</f>
        <v/>
      </c>
      <c r="BK437" s="19" t="str">
        <f>IFERROR(IF(AND(BR437&lt;&gt;"",VLOOKUP($P437&amp;" | "&amp;BI$6,'Job Master'!$F$12:$I$102,4,0)&lt;&gt;""),IF(WEEKDAY(BR437-VLOOKUP($P437&amp;" | "&amp;BI$6,'Job Master'!$F$12:$I$102,4,0))&lt;&gt;7,BR437-VLOOKUP($P437&amp;" | "&amp;BI$6,'Job Master'!$F$12:$I$102,4,0),BR437-VLOOKUP($P437&amp;" | "&amp;BI$6,'Job Master'!$F$12:$I$102,4,0)-1),""),"")</f>
        <v/>
      </c>
      <c r="BL437" s="73"/>
      <c r="BM437" s="123" t="str">
        <f t="shared" si="786"/>
        <v/>
      </c>
      <c r="BN437" s="123" t="str">
        <f t="shared" si="787"/>
        <v/>
      </c>
      <c r="BO437" s="97" t="str">
        <f t="shared" ca="1" si="788"/>
        <v/>
      </c>
      <c r="BP437" s="98" t="str">
        <f>IF(BR437&lt;&gt;"",VLOOKUP($P437&amp;" | "&amp;BP$6,'Job Master'!$F$12:$J$102,5,0),"")</f>
        <v/>
      </c>
      <c r="BQ437" s="19" t="str">
        <f>IF(BR437&lt;&gt;"",VLOOKUP($P437&amp;" | "&amp;BP$6,'Job Master'!$F$12:$J$102,3,0),"")</f>
        <v/>
      </c>
      <c r="BR437" s="19" t="str">
        <f>IFERROR(IF(AND(BY437&lt;&gt;"",VLOOKUP($P437&amp;" | "&amp;BP$6,'Job Master'!$F$12:$I$102,4,0)&lt;&gt;""),IF(WEEKDAY(BY437-VLOOKUP($P437&amp;" | "&amp;BP$6,'Job Master'!$F$12:$I$102,4,0))&lt;&gt;7,BY437-VLOOKUP($P437&amp;" | "&amp;BP$6,'Job Master'!$F$12:$I$102,4,0),BY437-VLOOKUP($P437&amp;" | "&amp;BP$6,'Job Master'!$F$12:$I$102,4,0)-1),""),"")</f>
        <v/>
      </c>
      <c r="BS437" s="73"/>
      <c r="BT437" s="123" t="str">
        <f t="shared" si="789"/>
        <v/>
      </c>
      <c r="BU437" s="123" t="str">
        <f t="shared" si="790"/>
        <v/>
      </c>
      <c r="BV437" s="97" t="str">
        <f t="shared" ca="1" si="791"/>
        <v/>
      </c>
      <c r="BW437" s="98" t="str">
        <f>IF(BY437&lt;&gt;"",VLOOKUP($P437&amp;" | "&amp;BW$6,'Job Master'!$F$12:$J$102,5,0),"")</f>
        <v/>
      </c>
      <c r="BX437" s="19" t="str">
        <f>IF(BY437&lt;&gt;"",VLOOKUP($P437&amp;" | "&amp;BW$6,'Job Master'!$F$12:$J$102,3,0),"")</f>
        <v/>
      </c>
      <c r="BY437" s="19" t="str">
        <f>IFERROR(IF(AND(CF437&lt;&gt;"",VLOOKUP($P437&amp;" | "&amp;BW$6,'Job Master'!$F$12:$I$102,4,0)&lt;&gt;""),IF(WEEKDAY(CF437-VLOOKUP($P437&amp;" | "&amp;BW$6,'Job Master'!$F$12:$I$102,4,0))&lt;&gt;7,CF437-VLOOKUP($P437&amp;" | "&amp;BW$6,'Job Master'!$F$12:$I$102,4,0),CF437-VLOOKUP($P437&amp;" | "&amp;BW$6,'Job Master'!$F$12:$I$102,4,0)-1),""),"")</f>
        <v/>
      </c>
      <c r="BZ437" s="73"/>
      <c r="CA437" s="123" t="str">
        <f t="shared" si="792"/>
        <v/>
      </c>
      <c r="CB437" s="123" t="str">
        <f t="shared" si="793"/>
        <v/>
      </c>
      <c r="CC437" s="97" t="str">
        <f t="shared" ca="1" si="794"/>
        <v/>
      </c>
      <c r="CD437" s="98" t="str">
        <f>IF(CF437&lt;&gt;"",VLOOKUP($P437&amp;" | "&amp;CD$6,'Job Master'!$F$12:$J$102,5,0),"")</f>
        <v/>
      </c>
      <c r="CE437" s="19" t="str">
        <f>IF(CF437&lt;&gt;"",VLOOKUP($P437&amp;" | "&amp;CD$6,'Job Master'!$F$12:$J$102,3,0),"")</f>
        <v/>
      </c>
      <c r="CF437" s="19" t="str">
        <f>IFERROR(IF(AND(CM437&lt;&gt;"",VLOOKUP($P437&amp;" | "&amp;CD$6,'Job Master'!$F$12:$I$102,4,0)&lt;&gt;""),IF(WEEKDAY(CM437-VLOOKUP($P437&amp;" | "&amp;CD$6,'Job Master'!$F$12:$I$102,4,0))&lt;&gt;7,CM437-VLOOKUP($P437&amp;" | "&amp;CD$6,'Job Master'!$F$12:$I$102,4,0),CM437-VLOOKUP($P437&amp;" | "&amp;CD$6,'Job Master'!$F$12:$I$102,4,0)-1),""),"")</f>
        <v/>
      </c>
      <c r="CG437" s="73"/>
      <c r="CH437" s="123" t="str">
        <f t="shared" si="795"/>
        <v/>
      </c>
      <c r="CI437" s="123" t="str">
        <f t="shared" si="796"/>
        <v/>
      </c>
      <c r="CJ437" s="97" t="str">
        <f t="shared" ca="1" si="797"/>
        <v/>
      </c>
      <c r="CK437" s="98" t="str">
        <f>IF(CM437&lt;&gt;"",VLOOKUP($P437&amp;" | "&amp;CK$6,'Job Master'!$F$12:$J$102,5,0),"")</f>
        <v/>
      </c>
      <c r="CL437" s="19" t="str">
        <f>IF(CM437&lt;&gt;"",VLOOKUP($P437&amp;" | "&amp;CK$6,'Job Master'!$F$12:$J$102,3,0),"")</f>
        <v/>
      </c>
      <c r="CM437" s="19" t="str">
        <f>IFERROR(IF(AND(CT437&lt;&gt;"",VLOOKUP($P437&amp;" | "&amp;CK$6,'Job Master'!$F$12:$I$102,4,0)&lt;&gt;""),IF(WEEKDAY(CT437-VLOOKUP($P437&amp;" | "&amp;CK$6,'Job Master'!$F$12:$I$102,4,0))&lt;&gt;7,CT437-VLOOKUP($P437&amp;" | "&amp;CK$6,'Job Master'!$F$12:$I$102,4,0),CT437-VLOOKUP($P437&amp;" | "&amp;CK$6,'Job Master'!$F$12:$I$102,4,0)-1),""),"")</f>
        <v/>
      </c>
      <c r="CN437" s="73"/>
      <c r="CO437" s="123" t="str">
        <f t="shared" si="798"/>
        <v/>
      </c>
      <c r="CP437" s="123" t="str">
        <f t="shared" si="799"/>
        <v/>
      </c>
      <c r="CQ437" s="97" t="str">
        <f t="shared" ca="1" si="800"/>
        <v/>
      </c>
      <c r="CR437" s="98" t="str">
        <f>IF(CT437&lt;&gt;"",VLOOKUP($P437&amp;" | "&amp;CR$6,'Job Master'!$F$12:$J$102,5,0),"")</f>
        <v/>
      </c>
      <c r="CS437" s="19" t="str">
        <f>IF(CT437&lt;&gt;"",VLOOKUP($P437&amp;" | "&amp;CR$6,'Job Master'!$F$12:$J$102,3,0),"")</f>
        <v/>
      </c>
      <c r="CT437" s="19" t="str">
        <f>IFERROR(IF(AND(DA437&lt;&gt;"",VLOOKUP($P437&amp;" | "&amp;CR$6,'Job Master'!$F$12:$I$102,4,0)&lt;&gt;""),IF(WEEKDAY(DA437-VLOOKUP($P437&amp;" | "&amp;CR$6,'Job Master'!$F$12:$I$102,4,0))&lt;&gt;7,DA437-VLOOKUP($P437&amp;" | "&amp;CR$6,'Job Master'!$F$12:$I$102,4,0),DA437-VLOOKUP($P437&amp;" | "&amp;CR$6,'Job Master'!$F$12:$I$102,4,0)-1),""),"")</f>
        <v/>
      </c>
      <c r="CU437" s="73"/>
      <c r="CV437" s="123" t="str">
        <f t="shared" si="801"/>
        <v/>
      </c>
      <c r="CW437" s="123" t="str">
        <f t="shared" si="802"/>
        <v/>
      </c>
      <c r="CX437" s="97" t="str">
        <f t="shared" ca="1" si="803"/>
        <v/>
      </c>
      <c r="CY437" s="98" t="str">
        <f>IF(DA437&lt;&gt;"",VLOOKUP($P437&amp;" | "&amp;CY$6,'Job Master'!$F$12:$J$102,5,0),"")</f>
        <v/>
      </c>
      <c r="CZ437" s="19" t="str">
        <f>IF(DA437&lt;&gt;"",VLOOKUP($P437&amp;" | "&amp;CY$6,'Job Master'!$F$12:$J$102,3,0),"")</f>
        <v/>
      </c>
      <c r="DA437" s="19" t="str">
        <f>IFERROR(IF(AND(DH437&lt;&gt;"",VLOOKUP($P437&amp;" | "&amp;CY$6,'Job Master'!$F$12:$I$102,4,0)&lt;&gt;""),IF(WEEKDAY(DH437-VLOOKUP($P437&amp;" | "&amp;CY$6,'Job Master'!$F$12:$I$102,4,0))&lt;&gt;7,DH437-VLOOKUP($P437&amp;" | "&amp;CY$6,'Job Master'!$F$12:$I$102,4,0),DH437-VLOOKUP($P437&amp;" | "&amp;CY$6,'Job Master'!$F$12:$I$102,4,0)-1),""),"")</f>
        <v/>
      </c>
      <c r="DB437" s="73"/>
      <c r="DC437" s="123" t="str">
        <f t="shared" si="804"/>
        <v/>
      </c>
      <c r="DD437" s="123" t="str">
        <f t="shared" si="805"/>
        <v/>
      </c>
      <c r="DE437" s="97" t="str">
        <f t="shared" ca="1" si="806"/>
        <v/>
      </c>
      <c r="DF437" s="98" t="str">
        <f>IF(DH437&lt;&gt;"",VLOOKUP($P437&amp;" | "&amp;DF$6,'Job Master'!$F$12:$J$102,5,0),"")</f>
        <v/>
      </c>
      <c r="DG437" s="19" t="str">
        <f>IF(DH437&lt;&gt;"",VLOOKUP($P437&amp;" | "&amp;DF$6,'Job Master'!$F$12:$J$102,3,0),"")</f>
        <v/>
      </c>
      <c r="DH437" s="19" t="str">
        <f>IFERROR(IF(AND(DO437&lt;&gt;"",VLOOKUP($P437&amp;" | "&amp;DF$6,'Job Master'!$F$12:$I$102,4,0)&lt;&gt;""),IF(WEEKDAY(DO437-VLOOKUP($P437&amp;" | "&amp;DF$6,'Job Master'!$F$12:$I$102,4,0))&lt;&gt;7,DO437-VLOOKUP($P437&amp;" | "&amp;DF$6,'Job Master'!$F$12:$I$102,4,0),DO437-VLOOKUP($P437&amp;" | "&amp;DF$6,'Job Master'!$F$12:$I$102,4,0)-1),""),"")</f>
        <v/>
      </c>
      <c r="DI437" s="73"/>
      <c r="DJ437" s="123" t="str">
        <f t="shared" si="807"/>
        <v/>
      </c>
      <c r="DK437" s="123" t="str">
        <f t="shared" si="808"/>
        <v/>
      </c>
      <c r="DL437" s="97" t="str">
        <f t="shared" ca="1" si="809"/>
        <v/>
      </c>
      <c r="DM437" s="98" t="str">
        <f>IF(DO437&lt;&gt;"",VLOOKUP($P437&amp;" | "&amp;DM$6,'Job Master'!$F$12:$J$102,5,0),"")</f>
        <v/>
      </c>
      <c r="DN437" s="19" t="str">
        <f>IF(DO437&lt;&gt;"",VLOOKUP($P437&amp;" | "&amp;DM$6,'Job Master'!$F$12:$J$102,3,0),"")</f>
        <v/>
      </c>
      <c r="DO437" s="19" t="str">
        <f>IFERROR(IF(AND(DT437&lt;&gt;"",VLOOKUP($P437&amp;" | "&amp;DM$6,'Job Master'!$F$12:$I$102,4,0)&lt;&gt;""),IF(WEEKDAY(DT437-VLOOKUP($P437&amp;" | "&amp;DM$6,'Job Master'!$F$12:$I$102,4,0))&lt;&gt;7,DT437-VLOOKUP($P437&amp;" | "&amp;DM$6,'Job Master'!$F$12:$I$102,4,0),DT437-VLOOKUP($P437&amp;" | "&amp;DM$6,'Job Master'!$F$12:$I$102,4,0)-1),""),"")</f>
        <v/>
      </c>
      <c r="DP437" s="73"/>
      <c r="DQ437" s="123" t="str">
        <f t="shared" si="810"/>
        <v/>
      </c>
      <c r="DR437" s="123" t="str">
        <f t="shared" si="811"/>
        <v/>
      </c>
      <c r="DS437" s="97" t="str">
        <f t="shared" ca="1" si="812"/>
        <v/>
      </c>
      <c r="DT437" s="70" t="str">
        <f t="shared" si="813"/>
        <v/>
      </c>
      <c r="DU437" s="90"/>
      <c r="DV437" s="123" t="str">
        <f t="shared" si="814"/>
        <v/>
      </c>
      <c r="DW437" s="123" t="str">
        <f t="shared" si="815"/>
        <v/>
      </c>
      <c r="DX437" s="132" t="str">
        <f t="shared" ref="DX437" ca="1" si="870">IF(DT437&lt;&gt;"",IF(WEEKNUM(DT437)=WEEKNUM(TODAY()),"This Week",IF(WEEKNUM(DT437)=WEEKNUM(TODAY())+1,"Next Week",IF(WEEKNUM(DT437)=WEEKNUM(TODAY())-1,"Previous Week",""))),"")</f>
        <v/>
      </c>
      <c r="DY437" s="134" t="str">
        <f t="shared" si="817"/>
        <v/>
      </c>
      <c r="DZ437" s="95"/>
      <c r="EB437" s="8" t="str">
        <f t="shared" si="823"/>
        <v/>
      </c>
      <c r="EC437" s="8" t="str">
        <f>IF(O437&lt;&gt;"",VLOOKUP(O437,'Job Master'!$N$12:$O$18,2,0),"")</f>
        <v/>
      </c>
      <c r="ED437" s="8">
        <f t="shared" si="824"/>
        <v>19.5</v>
      </c>
      <c r="EE437" s="8">
        <f t="shared" si="825"/>
        <v>6</v>
      </c>
      <c r="EF437" s="8">
        <f t="shared" si="826"/>
        <v>-2542.5</v>
      </c>
      <c r="EG437" s="8" t="str">
        <f t="shared" si="827"/>
        <v/>
      </c>
      <c r="EH437" s="8" t="str">
        <f t="shared" si="828"/>
        <v/>
      </c>
    </row>
    <row r="438" spans="2:138" x14ac:dyDescent="0.3">
      <c r="B438" s="112"/>
      <c r="C438" s="27"/>
      <c r="D438" s="7" t="str">
        <f t="shared" si="765"/>
        <v/>
      </c>
      <c r="E438" s="25"/>
      <c r="F438" s="7" t="str">
        <f t="shared" si="765"/>
        <v/>
      </c>
      <c r="G438" s="25"/>
      <c r="H438" s="7" t="str">
        <f t="shared" si="765"/>
        <v/>
      </c>
      <c r="I438" s="25"/>
      <c r="J438" s="7" t="str">
        <f t="shared" si="765"/>
        <v/>
      </c>
      <c r="K438" s="25"/>
      <c r="L438" s="7" t="str">
        <f t="shared" si="766"/>
        <v/>
      </c>
      <c r="M438" s="25"/>
      <c r="N438" s="7" t="str">
        <f t="shared" si="767"/>
        <v/>
      </c>
      <c r="O438" s="81"/>
      <c r="P438" s="81" t="str">
        <f t="shared" si="768"/>
        <v/>
      </c>
      <c r="Q438" s="81"/>
      <c r="R438" s="7" t="str">
        <f t="shared" si="769"/>
        <v/>
      </c>
      <c r="S438" s="25"/>
      <c r="T438" s="7" t="str">
        <f t="shared" si="770"/>
        <v/>
      </c>
      <c r="U438" s="25"/>
      <c r="V438" s="7" t="str">
        <f t="shared" si="771"/>
        <v/>
      </c>
      <c r="W438" s="25"/>
      <c r="X438" s="7" t="str">
        <f t="shared" si="772"/>
        <v/>
      </c>
      <c r="Y438" s="18" t="str">
        <f t="shared" si="773"/>
        <v/>
      </c>
      <c r="Z438" s="7" t="str">
        <f t="shared" si="774"/>
        <v/>
      </c>
      <c r="AA438" s="18" t="str">
        <f t="shared" si="775"/>
        <v/>
      </c>
      <c r="AB438" s="19" t="str">
        <f t="shared" si="776"/>
        <v/>
      </c>
      <c r="AC438" s="26"/>
      <c r="AD438" s="26"/>
      <c r="AE438" s="25"/>
      <c r="AF438" s="26"/>
      <c r="AG438" s="25"/>
      <c r="AH438" s="25"/>
      <c r="AI438" s="18" t="str">
        <f t="shared" si="839"/>
        <v/>
      </c>
      <c r="AJ438" s="25"/>
      <c r="AK438" s="18" t="str">
        <f t="shared" si="840"/>
        <v/>
      </c>
      <c r="AL438" s="79"/>
      <c r="AM438" s="126" t="str">
        <f t="shared" si="841"/>
        <v/>
      </c>
      <c r="AN438" s="128" t="str">
        <f>IF(AP438&lt;&gt;"",VLOOKUP($P438&amp;" | "&amp;AN$6,'Job Master'!$F$12:$J$102,5,0),"")</f>
        <v/>
      </c>
      <c r="AO438" s="19" t="str">
        <f>IF(AP438&lt;&gt;"",VLOOKUP($P438&amp;" | "&amp;AN$6,'Job Master'!$F$12:$J$102,3,0),"")</f>
        <v/>
      </c>
      <c r="AP438" s="19" t="str">
        <f>IFERROR(IF(AND(AW438&lt;&gt;"",VLOOKUP($P438&amp;" | "&amp;AN$6,'Job Master'!$F$12:$I$102,4,0)&lt;&gt;""),IF(WEEKDAY(AW438-VLOOKUP($P438&amp;" | "&amp;AN$6,'Job Master'!$F$12:$I$102,4,0))&lt;&gt;7,AW438-VLOOKUP($P438&amp;" | "&amp;AN$6,'Job Master'!$F$12:$I$102,4,0),AW438-VLOOKUP($P438&amp;" | "&amp;AN$6,'Job Master'!$F$12:$I$102,4,0)-1),""),"")</f>
        <v/>
      </c>
      <c r="AQ438" s="73"/>
      <c r="AR438" s="123" t="str">
        <f t="shared" si="777"/>
        <v/>
      </c>
      <c r="AS438" s="123" t="str">
        <f t="shared" si="778"/>
        <v/>
      </c>
      <c r="AT438" s="97" t="str">
        <f t="shared" ca="1" si="779"/>
        <v/>
      </c>
      <c r="AU438" s="98" t="str">
        <f>IF(AW438&lt;&gt;"",VLOOKUP($P438&amp;" | "&amp;AU$6,'Job Master'!$F$12:$J$102,5,0),"")</f>
        <v/>
      </c>
      <c r="AV438" s="19" t="str">
        <f>IF(AW438&lt;&gt;"",VLOOKUP($P438&amp;" | "&amp;AU$6,'Job Master'!$F$12:$J$102,3,0),"")</f>
        <v/>
      </c>
      <c r="AW438" s="19" t="str">
        <f>IFERROR(IF(AND(BD438&lt;&gt;"",VLOOKUP($P438&amp;" | "&amp;AU$6,'Job Master'!$F$12:$I$102,4,0)&lt;&gt;""),IF(WEEKDAY(BD438-VLOOKUP($P438&amp;" | "&amp;AU$6,'Job Master'!$F$12:$I$102,4,0))&lt;&gt;7,BD438-VLOOKUP($P438&amp;" | "&amp;AU$6,'Job Master'!$F$12:$I$102,4,0),BD438-VLOOKUP($P438&amp;" | "&amp;AU$6,'Job Master'!$F$12:$I$102,4,0)-1),""),"")</f>
        <v/>
      </c>
      <c r="AX438" s="73"/>
      <c r="AY438" s="123" t="str">
        <f t="shared" si="780"/>
        <v/>
      </c>
      <c r="AZ438" s="123" t="str">
        <f t="shared" si="781"/>
        <v/>
      </c>
      <c r="BA438" s="97" t="str">
        <f t="shared" ca="1" si="782"/>
        <v/>
      </c>
      <c r="BB438" s="98" t="str">
        <f>IF(BD438&lt;&gt;"",VLOOKUP($P438&amp;" | "&amp;BB$6,'Job Master'!$F$12:$J$102,5,0),"")</f>
        <v/>
      </c>
      <c r="BC438" s="19" t="str">
        <f>IF(BD438&lt;&gt;"",VLOOKUP($P438&amp;" | "&amp;BB$6,'Job Master'!$F$12:$J$102,3,0),"")</f>
        <v/>
      </c>
      <c r="BD438" s="19" t="str">
        <f>IFERROR(IF(AND(BK438&lt;&gt;"",VLOOKUP($P438&amp;" | "&amp;BB$6,'Job Master'!$F$12:$I$102,4,0)&lt;&gt;""),IF(WEEKDAY(BK438-VLOOKUP($P438&amp;" | "&amp;BB$6,'Job Master'!$F$12:$I$102,4,0))&lt;&gt;7,BK438-VLOOKUP($P438&amp;" | "&amp;BB$6,'Job Master'!$F$12:$I$102,4,0),BK438-VLOOKUP($P438&amp;" | "&amp;BB$6,'Job Master'!$F$12:$I$102,4,0)-1),""),"")</f>
        <v/>
      </c>
      <c r="BE438" s="73"/>
      <c r="BF438" s="123" t="str">
        <f t="shared" si="783"/>
        <v/>
      </c>
      <c r="BG438" s="123" t="str">
        <f t="shared" si="784"/>
        <v/>
      </c>
      <c r="BH438" s="97" t="str">
        <f t="shared" ca="1" si="785"/>
        <v/>
      </c>
      <c r="BI438" s="98" t="str">
        <f>IF(BK438&lt;&gt;"",VLOOKUP($P438&amp;" | "&amp;BI$6,'Job Master'!$F$12:$J$102,5,0),"")</f>
        <v/>
      </c>
      <c r="BJ438" s="19" t="str">
        <f>IF(BK438&lt;&gt;"",VLOOKUP($P438&amp;" | "&amp;BI$6,'Job Master'!$F$12:$J$102,3,0),"")</f>
        <v/>
      </c>
      <c r="BK438" s="19" t="str">
        <f>IFERROR(IF(AND(BR438&lt;&gt;"",VLOOKUP($P438&amp;" | "&amp;BI$6,'Job Master'!$F$12:$I$102,4,0)&lt;&gt;""),IF(WEEKDAY(BR438-VLOOKUP($P438&amp;" | "&amp;BI$6,'Job Master'!$F$12:$I$102,4,0))&lt;&gt;7,BR438-VLOOKUP($P438&amp;" | "&amp;BI$6,'Job Master'!$F$12:$I$102,4,0),BR438-VLOOKUP($P438&amp;" | "&amp;BI$6,'Job Master'!$F$12:$I$102,4,0)-1),""),"")</f>
        <v/>
      </c>
      <c r="BL438" s="73"/>
      <c r="BM438" s="123" t="str">
        <f t="shared" si="786"/>
        <v/>
      </c>
      <c r="BN438" s="123" t="str">
        <f t="shared" si="787"/>
        <v/>
      </c>
      <c r="BO438" s="97" t="str">
        <f t="shared" ca="1" si="788"/>
        <v/>
      </c>
      <c r="BP438" s="98" t="str">
        <f>IF(BR438&lt;&gt;"",VLOOKUP($P438&amp;" | "&amp;BP$6,'Job Master'!$F$12:$J$102,5,0),"")</f>
        <v/>
      </c>
      <c r="BQ438" s="19" t="str">
        <f>IF(BR438&lt;&gt;"",VLOOKUP($P438&amp;" | "&amp;BP$6,'Job Master'!$F$12:$J$102,3,0),"")</f>
        <v/>
      </c>
      <c r="BR438" s="19" t="str">
        <f>IFERROR(IF(AND(BY438&lt;&gt;"",VLOOKUP($P438&amp;" | "&amp;BP$6,'Job Master'!$F$12:$I$102,4,0)&lt;&gt;""),IF(WEEKDAY(BY438-VLOOKUP($P438&amp;" | "&amp;BP$6,'Job Master'!$F$12:$I$102,4,0))&lt;&gt;7,BY438-VLOOKUP($P438&amp;" | "&amp;BP$6,'Job Master'!$F$12:$I$102,4,0),BY438-VLOOKUP($P438&amp;" | "&amp;BP$6,'Job Master'!$F$12:$I$102,4,0)-1),""),"")</f>
        <v/>
      </c>
      <c r="BS438" s="73"/>
      <c r="BT438" s="123" t="str">
        <f t="shared" si="789"/>
        <v/>
      </c>
      <c r="BU438" s="123" t="str">
        <f t="shared" si="790"/>
        <v/>
      </c>
      <c r="BV438" s="97" t="str">
        <f t="shared" ca="1" si="791"/>
        <v/>
      </c>
      <c r="BW438" s="98" t="str">
        <f>IF(BY438&lt;&gt;"",VLOOKUP($P438&amp;" | "&amp;BW$6,'Job Master'!$F$12:$J$102,5,0),"")</f>
        <v/>
      </c>
      <c r="BX438" s="19" t="str">
        <f>IF(BY438&lt;&gt;"",VLOOKUP($P438&amp;" | "&amp;BW$6,'Job Master'!$F$12:$J$102,3,0),"")</f>
        <v/>
      </c>
      <c r="BY438" s="19" t="str">
        <f>IFERROR(IF(AND(CF438&lt;&gt;"",VLOOKUP($P438&amp;" | "&amp;BW$6,'Job Master'!$F$12:$I$102,4,0)&lt;&gt;""),IF(WEEKDAY(CF438-VLOOKUP($P438&amp;" | "&amp;BW$6,'Job Master'!$F$12:$I$102,4,0))&lt;&gt;7,CF438-VLOOKUP($P438&amp;" | "&amp;BW$6,'Job Master'!$F$12:$I$102,4,0),CF438-VLOOKUP($P438&amp;" | "&amp;BW$6,'Job Master'!$F$12:$I$102,4,0)-1),""),"")</f>
        <v/>
      </c>
      <c r="BZ438" s="73"/>
      <c r="CA438" s="123" t="str">
        <f t="shared" si="792"/>
        <v/>
      </c>
      <c r="CB438" s="123" t="str">
        <f t="shared" si="793"/>
        <v/>
      </c>
      <c r="CC438" s="97" t="str">
        <f t="shared" ca="1" si="794"/>
        <v/>
      </c>
      <c r="CD438" s="98" t="str">
        <f>IF(CF438&lt;&gt;"",VLOOKUP($P438&amp;" | "&amp;CD$6,'Job Master'!$F$12:$J$102,5,0),"")</f>
        <v/>
      </c>
      <c r="CE438" s="19" t="str">
        <f>IF(CF438&lt;&gt;"",VLOOKUP($P438&amp;" | "&amp;CD$6,'Job Master'!$F$12:$J$102,3,0),"")</f>
        <v/>
      </c>
      <c r="CF438" s="19" t="str">
        <f>IFERROR(IF(AND(CM438&lt;&gt;"",VLOOKUP($P438&amp;" | "&amp;CD$6,'Job Master'!$F$12:$I$102,4,0)&lt;&gt;""),IF(WEEKDAY(CM438-VLOOKUP($P438&amp;" | "&amp;CD$6,'Job Master'!$F$12:$I$102,4,0))&lt;&gt;7,CM438-VLOOKUP($P438&amp;" | "&amp;CD$6,'Job Master'!$F$12:$I$102,4,0),CM438-VLOOKUP($P438&amp;" | "&amp;CD$6,'Job Master'!$F$12:$I$102,4,0)-1),""),"")</f>
        <v/>
      </c>
      <c r="CG438" s="73"/>
      <c r="CH438" s="123" t="str">
        <f t="shared" si="795"/>
        <v/>
      </c>
      <c r="CI438" s="123" t="str">
        <f t="shared" si="796"/>
        <v/>
      </c>
      <c r="CJ438" s="97" t="str">
        <f t="shared" ca="1" si="797"/>
        <v/>
      </c>
      <c r="CK438" s="98" t="str">
        <f>IF(CM438&lt;&gt;"",VLOOKUP($P438&amp;" | "&amp;CK$6,'Job Master'!$F$12:$J$102,5,0),"")</f>
        <v/>
      </c>
      <c r="CL438" s="19" t="str">
        <f>IF(CM438&lt;&gt;"",VLOOKUP($P438&amp;" | "&amp;CK$6,'Job Master'!$F$12:$J$102,3,0),"")</f>
        <v/>
      </c>
      <c r="CM438" s="19" t="str">
        <f>IFERROR(IF(AND(CT438&lt;&gt;"",VLOOKUP($P438&amp;" | "&amp;CK$6,'Job Master'!$F$12:$I$102,4,0)&lt;&gt;""),IF(WEEKDAY(CT438-VLOOKUP($P438&amp;" | "&amp;CK$6,'Job Master'!$F$12:$I$102,4,0))&lt;&gt;7,CT438-VLOOKUP($P438&amp;" | "&amp;CK$6,'Job Master'!$F$12:$I$102,4,0),CT438-VLOOKUP($P438&amp;" | "&amp;CK$6,'Job Master'!$F$12:$I$102,4,0)-1),""),"")</f>
        <v/>
      </c>
      <c r="CN438" s="73"/>
      <c r="CO438" s="123" t="str">
        <f t="shared" si="798"/>
        <v/>
      </c>
      <c r="CP438" s="123" t="str">
        <f t="shared" si="799"/>
        <v/>
      </c>
      <c r="CQ438" s="97" t="str">
        <f t="shared" ca="1" si="800"/>
        <v/>
      </c>
      <c r="CR438" s="98" t="str">
        <f>IF(CT438&lt;&gt;"",VLOOKUP($P438&amp;" | "&amp;CR$6,'Job Master'!$F$12:$J$102,5,0),"")</f>
        <v/>
      </c>
      <c r="CS438" s="19" t="str">
        <f>IF(CT438&lt;&gt;"",VLOOKUP($P438&amp;" | "&amp;CR$6,'Job Master'!$F$12:$J$102,3,0),"")</f>
        <v/>
      </c>
      <c r="CT438" s="19" t="str">
        <f>IFERROR(IF(AND(DA438&lt;&gt;"",VLOOKUP($P438&amp;" | "&amp;CR$6,'Job Master'!$F$12:$I$102,4,0)&lt;&gt;""),IF(WEEKDAY(DA438-VLOOKUP($P438&amp;" | "&amp;CR$6,'Job Master'!$F$12:$I$102,4,0))&lt;&gt;7,DA438-VLOOKUP($P438&amp;" | "&amp;CR$6,'Job Master'!$F$12:$I$102,4,0),DA438-VLOOKUP($P438&amp;" | "&amp;CR$6,'Job Master'!$F$12:$I$102,4,0)-1),""),"")</f>
        <v/>
      </c>
      <c r="CU438" s="73"/>
      <c r="CV438" s="123" t="str">
        <f t="shared" si="801"/>
        <v/>
      </c>
      <c r="CW438" s="123" t="str">
        <f t="shared" si="802"/>
        <v/>
      </c>
      <c r="CX438" s="97" t="str">
        <f t="shared" ca="1" si="803"/>
        <v/>
      </c>
      <c r="CY438" s="98" t="str">
        <f>IF(DA438&lt;&gt;"",VLOOKUP($P438&amp;" | "&amp;CY$6,'Job Master'!$F$12:$J$102,5,0),"")</f>
        <v/>
      </c>
      <c r="CZ438" s="19" t="str">
        <f>IF(DA438&lt;&gt;"",VLOOKUP($P438&amp;" | "&amp;CY$6,'Job Master'!$F$12:$J$102,3,0),"")</f>
        <v/>
      </c>
      <c r="DA438" s="19" t="str">
        <f>IFERROR(IF(AND(DH438&lt;&gt;"",VLOOKUP($P438&amp;" | "&amp;CY$6,'Job Master'!$F$12:$I$102,4,0)&lt;&gt;""),IF(WEEKDAY(DH438-VLOOKUP($P438&amp;" | "&amp;CY$6,'Job Master'!$F$12:$I$102,4,0))&lt;&gt;7,DH438-VLOOKUP($P438&amp;" | "&amp;CY$6,'Job Master'!$F$12:$I$102,4,0),DH438-VLOOKUP($P438&amp;" | "&amp;CY$6,'Job Master'!$F$12:$I$102,4,0)-1),""),"")</f>
        <v/>
      </c>
      <c r="DB438" s="73"/>
      <c r="DC438" s="123" t="str">
        <f t="shared" si="804"/>
        <v/>
      </c>
      <c r="DD438" s="123" t="str">
        <f t="shared" si="805"/>
        <v/>
      </c>
      <c r="DE438" s="97" t="str">
        <f t="shared" ca="1" si="806"/>
        <v/>
      </c>
      <c r="DF438" s="98" t="str">
        <f>IF(DH438&lt;&gt;"",VLOOKUP($P438&amp;" | "&amp;DF$6,'Job Master'!$F$12:$J$102,5,0),"")</f>
        <v/>
      </c>
      <c r="DG438" s="19" t="str">
        <f>IF(DH438&lt;&gt;"",VLOOKUP($P438&amp;" | "&amp;DF$6,'Job Master'!$F$12:$J$102,3,0),"")</f>
        <v/>
      </c>
      <c r="DH438" s="19" t="str">
        <f>IFERROR(IF(AND(DO438&lt;&gt;"",VLOOKUP($P438&amp;" | "&amp;DF$6,'Job Master'!$F$12:$I$102,4,0)&lt;&gt;""),IF(WEEKDAY(DO438-VLOOKUP($P438&amp;" | "&amp;DF$6,'Job Master'!$F$12:$I$102,4,0))&lt;&gt;7,DO438-VLOOKUP($P438&amp;" | "&amp;DF$6,'Job Master'!$F$12:$I$102,4,0),DO438-VLOOKUP($P438&amp;" | "&amp;DF$6,'Job Master'!$F$12:$I$102,4,0)-1),""),"")</f>
        <v/>
      </c>
      <c r="DI438" s="73"/>
      <c r="DJ438" s="123" t="str">
        <f t="shared" si="807"/>
        <v/>
      </c>
      <c r="DK438" s="123" t="str">
        <f t="shared" si="808"/>
        <v/>
      </c>
      <c r="DL438" s="97" t="str">
        <f t="shared" ca="1" si="809"/>
        <v/>
      </c>
      <c r="DM438" s="98" t="str">
        <f>IF(DO438&lt;&gt;"",VLOOKUP($P438&amp;" | "&amp;DM$6,'Job Master'!$F$12:$J$102,5,0),"")</f>
        <v/>
      </c>
      <c r="DN438" s="19" t="str">
        <f>IF(DO438&lt;&gt;"",VLOOKUP($P438&amp;" | "&amp;DM$6,'Job Master'!$F$12:$J$102,3,0),"")</f>
        <v/>
      </c>
      <c r="DO438" s="19" t="str">
        <f>IFERROR(IF(AND(DT438&lt;&gt;"",VLOOKUP($P438&amp;" | "&amp;DM$6,'Job Master'!$F$12:$I$102,4,0)&lt;&gt;""),IF(WEEKDAY(DT438-VLOOKUP($P438&amp;" | "&amp;DM$6,'Job Master'!$F$12:$I$102,4,0))&lt;&gt;7,DT438-VLOOKUP($P438&amp;" | "&amp;DM$6,'Job Master'!$F$12:$I$102,4,0),DT438-VLOOKUP($P438&amp;" | "&amp;DM$6,'Job Master'!$F$12:$I$102,4,0)-1),""),"")</f>
        <v/>
      </c>
      <c r="DP438" s="73"/>
      <c r="DQ438" s="123" t="str">
        <f t="shared" si="810"/>
        <v/>
      </c>
      <c r="DR438" s="123" t="str">
        <f t="shared" si="811"/>
        <v/>
      </c>
      <c r="DS438" s="97" t="str">
        <f t="shared" ca="1" si="812"/>
        <v/>
      </c>
      <c r="DT438" s="70" t="str">
        <f t="shared" si="813"/>
        <v/>
      </c>
      <c r="DU438" s="90"/>
      <c r="DV438" s="123" t="str">
        <f t="shared" si="814"/>
        <v/>
      </c>
      <c r="DW438" s="123" t="str">
        <f t="shared" si="815"/>
        <v/>
      </c>
      <c r="DX438" s="132" t="str">
        <f t="shared" ref="DX438" ca="1" si="871">IF(DT438&lt;&gt;"",IF(WEEKNUM(DT438)=WEEKNUM(TODAY()),"This Week",IF(WEEKNUM(DT438)=WEEKNUM(TODAY())+1,"Next Week",IF(WEEKNUM(DT438)=WEEKNUM(TODAY())-1,"Previous Week",""))),"")</f>
        <v/>
      </c>
      <c r="DY438" s="134" t="str">
        <f t="shared" si="817"/>
        <v/>
      </c>
      <c r="DZ438" s="95"/>
      <c r="EB438" s="8" t="str">
        <f t="shared" si="823"/>
        <v/>
      </c>
      <c r="EC438" s="8" t="str">
        <f>IF(O438&lt;&gt;"",VLOOKUP(O438,'Job Master'!$N$12:$O$18,2,0),"")</f>
        <v/>
      </c>
      <c r="ED438" s="8">
        <f t="shared" si="824"/>
        <v>19.5</v>
      </c>
      <c r="EE438" s="8">
        <f t="shared" si="825"/>
        <v>6</v>
      </c>
      <c r="EF438" s="8">
        <f t="shared" si="826"/>
        <v>-2548.5</v>
      </c>
      <c r="EG438" s="8" t="str">
        <f t="shared" si="827"/>
        <v/>
      </c>
      <c r="EH438" s="8" t="str">
        <f t="shared" si="828"/>
        <v/>
      </c>
    </row>
    <row r="439" spans="2:138" x14ac:dyDescent="0.3">
      <c r="B439" s="112"/>
      <c r="C439" s="27"/>
      <c r="D439" s="7" t="str">
        <f t="shared" si="765"/>
        <v/>
      </c>
      <c r="E439" s="25"/>
      <c r="F439" s="7" t="str">
        <f t="shared" si="765"/>
        <v/>
      </c>
      <c r="G439" s="25"/>
      <c r="H439" s="7" t="str">
        <f t="shared" si="765"/>
        <v/>
      </c>
      <c r="I439" s="25"/>
      <c r="J439" s="7" t="str">
        <f t="shared" si="765"/>
        <v/>
      </c>
      <c r="K439" s="25"/>
      <c r="L439" s="7" t="str">
        <f t="shared" si="766"/>
        <v/>
      </c>
      <c r="M439" s="25"/>
      <c r="N439" s="7" t="str">
        <f t="shared" si="767"/>
        <v/>
      </c>
      <c r="O439" s="81"/>
      <c r="P439" s="81" t="str">
        <f t="shared" si="768"/>
        <v/>
      </c>
      <c r="Q439" s="81"/>
      <c r="R439" s="7" t="str">
        <f t="shared" si="769"/>
        <v/>
      </c>
      <c r="S439" s="25"/>
      <c r="T439" s="7" t="str">
        <f t="shared" si="770"/>
        <v/>
      </c>
      <c r="U439" s="25"/>
      <c r="V439" s="7" t="str">
        <f t="shared" si="771"/>
        <v/>
      </c>
      <c r="W439" s="25"/>
      <c r="X439" s="7" t="str">
        <f t="shared" si="772"/>
        <v/>
      </c>
      <c r="Y439" s="18" t="str">
        <f t="shared" si="773"/>
        <v/>
      </c>
      <c r="Z439" s="7" t="str">
        <f t="shared" si="774"/>
        <v/>
      </c>
      <c r="AA439" s="18" t="str">
        <f t="shared" si="775"/>
        <v/>
      </c>
      <c r="AB439" s="19" t="str">
        <f t="shared" si="776"/>
        <v/>
      </c>
      <c r="AC439" s="26"/>
      <c r="AD439" s="26"/>
      <c r="AE439" s="25"/>
      <c r="AF439" s="26"/>
      <c r="AG439" s="25"/>
      <c r="AH439" s="25"/>
      <c r="AI439" s="18" t="str">
        <f t="shared" si="839"/>
        <v/>
      </c>
      <c r="AJ439" s="25"/>
      <c r="AK439" s="18" t="str">
        <f t="shared" si="840"/>
        <v/>
      </c>
      <c r="AL439" s="79"/>
      <c r="AM439" s="126" t="str">
        <f t="shared" si="841"/>
        <v/>
      </c>
      <c r="AN439" s="128" t="str">
        <f>IF(AP439&lt;&gt;"",VLOOKUP($P439&amp;" | "&amp;AN$6,'Job Master'!$F$12:$J$102,5,0),"")</f>
        <v/>
      </c>
      <c r="AO439" s="19" t="str">
        <f>IF(AP439&lt;&gt;"",VLOOKUP($P439&amp;" | "&amp;AN$6,'Job Master'!$F$12:$J$102,3,0),"")</f>
        <v/>
      </c>
      <c r="AP439" s="19" t="str">
        <f>IFERROR(IF(AND(AW439&lt;&gt;"",VLOOKUP($P439&amp;" | "&amp;AN$6,'Job Master'!$F$12:$I$102,4,0)&lt;&gt;""),IF(WEEKDAY(AW439-VLOOKUP($P439&amp;" | "&amp;AN$6,'Job Master'!$F$12:$I$102,4,0))&lt;&gt;7,AW439-VLOOKUP($P439&amp;" | "&amp;AN$6,'Job Master'!$F$12:$I$102,4,0),AW439-VLOOKUP($P439&amp;" | "&amp;AN$6,'Job Master'!$F$12:$I$102,4,0)-1),""),"")</f>
        <v/>
      </c>
      <c r="AQ439" s="73"/>
      <c r="AR439" s="123" t="str">
        <f t="shared" si="777"/>
        <v/>
      </c>
      <c r="AS439" s="123" t="str">
        <f t="shared" si="778"/>
        <v/>
      </c>
      <c r="AT439" s="97" t="str">
        <f t="shared" ca="1" si="779"/>
        <v/>
      </c>
      <c r="AU439" s="98" t="str">
        <f>IF(AW439&lt;&gt;"",VLOOKUP($P439&amp;" | "&amp;AU$6,'Job Master'!$F$12:$J$102,5,0),"")</f>
        <v/>
      </c>
      <c r="AV439" s="19" t="str">
        <f>IF(AW439&lt;&gt;"",VLOOKUP($P439&amp;" | "&amp;AU$6,'Job Master'!$F$12:$J$102,3,0),"")</f>
        <v/>
      </c>
      <c r="AW439" s="19" t="str">
        <f>IFERROR(IF(AND(BD439&lt;&gt;"",VLOOKUP($P439&amp;" | "&amp;AU$6,'Job Master'!$F$12:$I$102,4,0)&lt;&gt;""),IF(WEEKDAY(BD439-VLOOKUP($P439&amp;" | "&amp;AU$6,'Job Master'!$F$12:$I$102,4,0))&lt;&gt;7,BD439-VLOOKUP($P439&amp;" | "&amp;AU$6,'Job Master'!$F$12:$I$102,4,0),BD439-VLOOKUP($P439&amp;" | "&amp;AU$6,'Job Master'!$F$12:$I$102,4,0)-1),""),"")</f>
        <v/>
      </c>
      <c r="AX439" s="73"/>
      <c r="AY439" s="123" t="str">
        <f t="shared" si="780"/>
        <v/>
      </c>
      <c r="AZ439" s="123" t="str">
        <f t="shared" si="781"/>
        <v/>
      </c>
      <c r="BA439" s="97" t="str">
        <f t="shared" ca="1" si="782"/>
        <v/>
      </c>
      <c r="BB439" s="98" t="str">
        <f>IF(BD439&lt;&gt;"",VLOOKUP($P439&amp;" | "&amp;BB$6,'Job Master'!$F$12:$J$102,5,0),"")</f>
        <v/>
      </c>
      <c r="BC439" s="19" t="str">
        <f>IF(BD439&lt;&gt;"",VLOOKUP($P439&amp;" | "&amp;BB$6,'Job Master'!$F$12:$J$102,3,0),"")</f>
        <v/>
      </c>
      <c r="BD439" s="19" t="str">
        <f>IFERROR(IF(AND(BK439&lt;&gt;"",VLOOKUP($P439&amp;" | "&amp;BB$6,'Job Master'!$F$12:$I$102,4,0)&lt;&gt;""),IF(WEEKDAY(BK439-VLOOKUP($P439&amp;" | "&amp;BB$6,'Job Master'!$F$12:$I$102,4,0))&lt;&gt;7,BK439-VLOOKUP($P439&amp;" | "&amp;BB$6,'Job Master'!$F$12:$I$102,4,0),BK439-VLOOKUP($P439&amp;" | "&amp;BB$6,'Job Master'!$F$12:$I$102,4,0)-1),""),"")</f>
        <v/>
      </c>
      <c r="BE439" s="73"/>
      <c r="BF439" s="123" t="str">
        <f t="shared" si="783"/>
        <v/>
      </c>
      <c r="BG439" s="123" t="str">
        <f t="shared" si="784"/>
        <v/>
      </c>
      <c r="BH439" s="97" t="str">
        <f t="shared" ca="1" si="785"/>
        <v/>
      </c>
      <c r="BI439" s="98" t="str">
        <f>IF(BK439&lt;&gt;"",VLOOKUP($P439&amp;" | "&amp;BI$6,'Job Master'!$F$12:$J$102,5,0),"")</f>
        <v/>
      </c>
      <c r="BJ439" s="19" t="str">
        <f>IF(BK439&lt;&gt;"",VLOOKUP($P439&amp;" | "&amp;BI$6,'Job Master'!$F$12:$J$102,3,0),"")</f>
        <v/>
      </c>
      <c r="BK439" s="19" t="str">
        <f>IFERROR(IF(AND(BR439&lt;&gt;"",VLOOKUP($P439&amp;" | "&amp;BI$6,'Job Master'!$F$12:$I$102,4,0)&lt;&gt;""),IF(WEEKDAY(BR439-VLOOKUP($P439&amp;" | "&amp;BI$6,'Job Master'!$F$12:$I$102,4,0))&lt;&gt;7,BR439-VLOOKUP($P439&amp;" | "&amp;BI$6,'Job Master'!$F$12:$I$102,4,0),BR439-VLOOKUP($P439&amp;" | "&amp;BI$6,'Job Master'!$F$12:$I$102,4,0)-1),""),"")</f>
        <v/>
      </c>
      <c r="BL439" s="73"/>
      <c r="BM439" s="123" t="str">
        <f t="shared" si="786"/>
        <v/>
      </c>
      <c r="BN439" s="123" t="str">
        <f t="shared" si="787"/>
        <v/>
      </c>
      <c r="BO439" s="97" t="str">
        <f t="shared" ca="1" si="788"/>
        <v/>
      </c>
      <c r="BP439" s="98" t="str">
        <f>IF(BR439&lt;&gt;"",VLOOKUP($P439&amp;" | "&amp;BP$6,'Job Master'!$F$12:$J$102,5,0),"")</f>
        <v/>
      </c>
      <c r="BQ439" s="19" t="str">
        <f>IF(BR439&lt;&gt;"",VLOOKUP($P439&amp;" | "&amp;BP$6,'Job Master'!$F$12:$J$102,3,0),"")</f>
        <v/>
      </c>
      <c r="BR439" s="19" t="str">
        <f>IFERROR(IF(AND(BY439&lt;&gt;"",VLOOKUP($P439&amp;" | "&amp;BP$6,'Job Master'!$F$12:$I$102,4,0)&lt;&gt;""),IF(WEEKDAY(BY439-VLOOKUP($P439&amp;" | "&amp;BP$6,'Job Master'!$F$12:$I$102,4,0))&lt;&gt;7,BY439-VLOOKUP($P439&amp;" | "&amp;BP$6,'Job Master'!$F$12:$I$102,4,0),BY439-VLOOKUP($P439&amp;" | "&amp;BP$6,'Job Master'!$F$12:$I$102,4,0)-1),""),"")</f>
        <v/>
      </c>
      <c r="BS439" s="73"/>
      <c r="BT439" s="123" t="str">
        <f t="shared" si="789"/>
        <v/>
      </c>
      <c r="BU439" s="123" t="str">
        <f t="shared" si="790"/>
        <v/>
      </c>
      <c r="BV439" s="97" t="str">
        <f t="shared" ca="1" si="791"/>
        <v/>
      </c>
      <c r="BW439" s="98" t="str">
        <f>IF(BY439&lt;&gt;"",VLOOKUP($P439&amp;" | "&amp;BW$6,'Job Master'!$F$12:$J$102,5,0),"")</f>
        <v/>
      </c>
      <c r="BX439" s="19" t="str">
        <f>IF(BY439&lt;&gt;"",VLOOKUP($P439&amp;" | "&amp;BW$6,'Job Master'!$F$12:$J$102,3,0),"")</f>
        <v/>
      </c>
      <c r="BY439" s="19" t="str">
        <f>IFERROR(IF(AND(CF439&lt;&gt;"",VLOOKUP($P439&amp;" | "&amp;BW$6,'Job Master'!$F$12:$I$102,4,0)&lt;&gt;""),IF(WEEKDAY(CF439-VLOOKUP($P439&amp;" | "&amp;BW$6,'Job Master'!$F$12:$I$102,4,0))&lt;&gt;7,CF439-VLOOKUP($P439&amp;" | "&amp;BW$6,'Job Master'!$F$12:$I$102,4,0),CF439-VLOOKUP($P439&amp;" | "&amp;BW$6,'Job Master'!$F$12:$I$102,4,0)-1),""),"")</f>
        <v/>
      </c>
      <c r="BZ439" s="73"/>
      <c r="CA439" s="123" t="str">
        <f t="shared" si="792"/>
        <v/>
      </c>
      <c r="CB439" s="123" t="str">
        <f t="shared" si="793"/>
        <v/>
      </c>
      <c r="CC439" s="97" t="str">
        <f t="shared" ca="1" si="794"/>
        <v/>
      </c>
      <c r="CD439" s="98" t="str">
        <f>IF(CF439&lt;&gt;"",VLOOKUP($P439&amp;" | "&amp;CD$6,'Job Master'!$F$12:$J$102,5,0),"")</f>
        <v/>
      </c>
      <c r="CE439" s="19" t="str">
        <f>IF(CF439&lt;&gt;"",VLOOKUP($P439&amp;" | "&amp;CD$6,'Job Master'!$F$12:$J$102,3,0),"")</f>
        <v/>
      </c>
      <c r="CF439" s="19" t="str">
        <f>IFERROR(IF(AND(CM439&lt;&gt;"",VLOOKUP($P439&amp;" | "&amp;CD$6,'Job Master'!$F$12:$I$102,4,0)&lt;&gt;""),IF(WEEKDAY(CM439-VLOOKUP($P439&amp;" | "&amp;CD$6,'Job Master'!$F$12:$I$102,4,0))&lt;&gt;7,CM439-VLOOKUP($P439&amp;" | "&amp;CD$6,'Job Master'!$F$12:$I$102,4,0),CM439-VLOOKUP($P439&amp;" | "&amp;CD$6,'Job Master'!$F$12:$I$102,4,0)-1),""),"")</f>
        <v/>
      </c>
      <c r="CG439" s="73"/>
      <c r="CH439" s="123" t="str">
        <f t="shared" si="795"/>
        <v/>
      </c>
      <c r="CI439" s="123" t="str">
        <f t="shared" si="796"/>
        <v/>
      </c>
      <c r="CJ439" s="97" t="str">
        <f t="shared" ca="1" si="797"/>
        <v/>
      </c>
      <c r="CK439" s="98" t="str">
        <f>IF(CM439&lt;&gt;"",VLOOKUP($P439&amp;" | "&amp;CK$6,'Job Master'!$F$12:$J$102,5,0),"")</f>
        <v/>
      </c>
      <c r="CL439" s="19" t="str">
        <f>IF(CM439&lt;&gt;"",VLOOKUP($P439&amp;" | "&amp;CK$6,'Job Master'!$F$12:$J$102,3,0),"")</f>
        <v/>
      </c>
      <c r="CM439" s="19" t="str">
        <f>IFERROR(IF(AND(CT439&lt;&gt;"",VLOOKUP($P439&amp;" | "&amp;CK$6,'Job Master'!$F$12:$I$102,4,0)&lt;&gt;""),IF(WEEKDAY(CT439-VLOOKUP($P439&amp;" | "&amp;CK$6,'Job Master'!$F$12:$I$102,4,0))&lt;&gt;7,CT439-VLOOKUP($P439&amp;" | "&amp;CK$6,'Job Master'!$F$12:$I$102,4,0),CT439-VLOOKUP($P439&amp;" | "&amp;CK$6,'Job Master'!$F$12:$I$102,4,0)-1),""),"")</f>
        <v/>
      </c>
      <c r="CN439" s="73"/>
      <c r="CO439" s="123" t="str">
        <f t="shared" si="798"/>
        <v/>
      </c>
      <c r="CP439" s="123" t="str">
        <f t="shared" si="799"/>
        <v/>
      </c>
      <c r="CQ439" s="97" t="str">
        <f t="shared" ca="1" si="800"/>
        <v/>
      </c>
      <c r="CR439" s="98" t="str">
        <f>IF(CT439&lt;&gt;"",VLOOKUP($P439&amp;" | "&amp;CR$6,'Job Master'!$F$12:$J$102,5,0),"")</f>
        <v/>
      </c>
      <c r="CS439" s="19" t="str">
        <f>IF(CT439&lt;&gt;"",VLOOKUP($P439&amp;" | "&amp;CR$6,'Job Master'!$F$12:$J$102,3,0),"")</f>
        <v/>
      </c>
      <c r="CT439" s="19" t="str">
        <f>IFERROR(IF(AND(DA439&lt;&gt;"",VLOOKUP($P439&amp;" | "&amp;CR$6,'Job Master'!$F$12:$I$102,4,0)&lt;&gt;""),IF(WEEKDAY(DA439-VLOOKUP($P439&amp;" | "&amp;CR$6,'Job Master'!$F$12:$I$102,4,0))&lt;&gt;7,DA439-VLOOKUP($P439&amp;" | "&amp;CR$6,'Job Master'!$F$12:$I$102,4,0),DA439-VLOOKUP($P439&amp;" | "&amp;CR$6,'Job Master'!$F$12:$I$102,4,0)-1),""),"")</f>
        <v/>
      </c>
      <c r="CU439" s="73"/>
      <c r="CV439" s="123" t="str">
        <f t="shared" si="801"/>
        <v/>
      </c>
      <c r="CW439" s="123" t="str">
        <f t="shared" si="802"/>
        <v/>
      </c>
      <c r="CX439" s="97" t="str">
        <f t="shared" ca="1" si="803"/>
        <v/>
      </c>
      <c r="CY439" s="98" t="str">
        <f>IF(DA439&lt;&gt;"",VLOOKUP($P439&amp;" | "&amp;CY$6,'Job Master'!$F$12:$J$102,5,0),"")</f>
        <v/>
      </c>
      <c r="CZ439" s="19" t="str">
        <f>IF(DA439&lt;&gt;"",VLOOKUP($P439&amp;" | "&amp;CY$6,'Job Master'!$F$12:$J$102,3,0),"")</f>
        <v/>
      </c>
      <c r="DA439" s="19" t="str">
        <f>IFERROR(IF(AND(DH439&lt;&gt;"",VLOOKUP($P439&amp;" | "&amp;CY$6,'Job Master'!$F$12:$I$102,4,0)&lt;&gt;""),IF(WEEKDAY(DH439-VLOOKUP($P439&amp;" | "&amp;CY$6,'Job Master'!$F$12:$I$102,4,0))&lt;&gt;7,DH439-VLOOKUP($P439&amp;" | "&amp;CY$6,'Job Master'!$F$12:$I$102,4,0),DH439-VLOOKUP($P439&amp;" | "&amp;CY$6,'Job Master'!$F$12:$I$102,4,0)-1),""),"")</f>
        <v/>
      </c>
      <c r="DB439" s="73"/>
      <c r="DC439" s="123" t="str">
        <f t="shared" si="804"/>
        <v/>
      </c>
      <c r="DD439" s="123" t="str">
        <f t="shared" si="805"/>
        <v/>
      </c>
      <c r="DE439" s="97" t="str">
        <f t="shared" ca="1" si="806"/>
        <v/>
      </c>
      <c r="DF439" s="98" t="str">
        <f>IF(DH439&lt;&gt;"",VLOOKUP($P439&amp;" | "&amp;DF$6,'Job Master'!$F$12:$J$102,5,0),"")</f>
        <v/>
      </c>
      <c r="DG439" s="19" t="str">
        <f>IF(DH439&lt;&gt;"",VLOOKUP($P439&amp;" | "&amp;DF$6,'Job Master'!$F$12:$J$102,3,0),"")</f>
        <v/>
      </c>
      <c r="DH439" s="19" t="str">
        <f>IFERROR(IF(AND(DO439&lt;&gt;"",VLOOKUP($P439&amp;" | "&amp;DF$6,'Job Master'!$F$12:$I$102,4,0)&lt;&gt;""),IF(WEEKDAY(DO439-VLOOKUP($P439&amp;" | "&amp;DF$6,'Job Master'!$F$12:$I$102,4,0))&lt;&gt;7,DO439-VLOOKUP($P439&amp;" | "&amp;DF$6,'Job Master'!$F$12:$I$102,4,0),DO439-VLOOKUP($P439&amp;" | "&amp;DF$6,'Job Master'!$F$12:$I$102,4,0)-1),""),"")</f>
        <v/>
      </c>
      <c r="DI439" s="73"/>
      <c r="DJ439" s="123" t="str">
        <f t="shared" si="807"/>
        <v/>
      </c>
      <c r="DK439" s="123" t="str">
        <f t="shared" si="808"/>
        <v/>
      </c>
      <c r="DL439" s="97" t="str">
        <f t="shared" ca="1" si="809"/>
        <v/>
      </c>
      <c r="DM439" s="98" t="str">
        <f>IF(DO439&lt;&gt;"",VLOOKUP($P439&amp;" | "&amp;DM$6,'Job Master'!$F$12:$J$102,5,0),"")</f>
        <v/>
      </c>
      <c r="DN439" s="19" t="str">
        <f>IF(DO439&lt;&gt;"",VLOOKUP($P439&amp;" | "&amp;DM$6,'Job Master'!$F$12:$J$102,3,0),"")</f>
        <v/>
      </c>
      <c r="DO439" s="19" t="str">
        <f>IFERROR(IF(AND(DT439&lt;&gt;"",VLOOKUP($P439&amp;" | "&amp;DM$6,'Job Master'!$F$12:$I$102,4,0)&lt;&gt;""),IF(WEEKDAY(DT439-VLOOKUP($P439&amp;" | "&amp;DM$6,'Job Master'!$F$12:$I$102,4,0))&lt;&gt;7,DT439-VLOOKUP($P439&amp;" | "&amp;DM$6,'Job Master'!$F$12:$I$102,4,0),DT439-VLOOKUP($P439&amp;" | "&amp;DM$6,'Job Master'!$F$12:$I$102,4,0)-1),""),"")</f>
        <v/>
      </c>
      <c r="DP439" s="73"/>
      <c r="DQ439" s="123" t="str">
        <f t="shared" si="810"/>
        <v/>
      </c>
      <c r="DR439" s="123" t="str">
        <f t="shared" si="811"/>
        <v/>
      </c>
      <c r="DS439" s="97" t="str">
        <f t="shared" ca="1" si="812"/>
        <v/>
      </c>
      <c r="DT439" s="70" t="str">
        <f t="shared" si="813"/>
        <v/>
      </c>
      <c r="DU439" s="90"/>
      <c r="DV439" s="123" t="str">
        <f t="shared" si="814"/>
        <v/>
      </c>
      <c r="DW439" s="123" t="str">
        <f t="shared" si="815"/>
        <v/>
      </c>
      <c r="DX439" s="132" t="str">
        <f t="shared" ref="DX439" ca="1" si="872">IF(DT439&lt;&gt;"",IF(WEEKNUM(DT439)=WEEKNUM(TODAY()),"This Week",IF(WEEKNUM(DT439)=WEEKNUM(TODAY())+1,"Next Week",IF(WEEKNUM(DT439)=WEEKNUM(TODAY())-1,"Previous Week",""))),"")</f>
        <v/>
      </c>
      <c r="DY439" s="134" t="str">
        <f t="shared" si="817"/>
        <v/>
      </c>
      <c r="DZ439" s="95"/>
      <c r="EB439" s="8" t="str">
        <f t="shared" si="823"/>
        <v/>
      </c>
      <c r="EC439" s="8" t="str">
        <f>IF(O439&lt;&gt;"",VLOOKUP(O439,'Job Master'!$N$12:$O$18,2,0),"")</f>
        <v/>
      </c>
      <c r="ED439" s="8">
        <f t="shared" si="824"/>
        <v>19.5</v>
      </c>
      <c r="EE439" s="8">
        <f t="shared" si="825"/>
        <v>6</v>
      </c>
      <c r="EF439" s="8">
        <f t="shared" si="826"/>
        <v>-2554.5</v>
      </c>
      <c r="EG439" s="8" t="str">
        <f t="shared" si="827"/>
        <v/>
      </c>
      <c r="EH439" s="8" t="str">
        <f t="shared" si="828"/>
        <v/>
      </c>
    </row>
    <row r="440" spans="2:138" x14ac:dyDescent="0.3">
      <c r="B440" s="112"/>
      <c r="C440" s="27"/>
      <c r="D440" s="7" t="str">
        <f t="shared" si="765"/>
        <v/>
      </c>
      <c r="E440" s="25"/>
      <c r="F440" s="7" t="str">
        <f t="shared" si="765"/>
        <v/>
      </c>
      <c r="G440" s="25"/>
      <c r="H440" s="7" t="str">
        <f t="shared" si="765"/>
        <v/>
      </c>
      <c r="I440" s="25"/>
      <c r="J440" s="7" t="str">
        <f t="shared" si="765"/>
        <v/>
      </c>
      <c r="K440" s="25"/>
      <c r="L440" s="7" t="str">
        <f t="shared" si="766"/>
        <v/>
      </c>
      <c r="M440" s="25"/>
      <c r="N440" s="7" t="str">
        <f t="shared" si="767"/>
        <v/>
      </c>
      <c r="O440" s="81"/>
      <c r="P440" s="81" t="str">
        <f t="shared" si="768"/>
        <v/>
      </c>
      <c r="Q440" s="81"/>
      <c r="R440" s="7" t="str">
        <f t="shared" si="769"/>
        <v/>
      </c>
      <c r="S440" s="25"/>
      <c r="T440" s="7" t="str">
        <f t="shared" si="770"/>
        <v/>
      </c>
      <c r="U440" s="25"/>
      <c r="V440" s="7" t="str">
        <f t="shared" si="771"/>
        <v/>
      </c>
      <c r="W440" s="25"/>
      <c r="X440" s="7" t="str">
        <f t="shared" si="772"/>
        <v/>
      </c>
      <c r="Y440" s="18" t="str">
        <f t="shared" si="773"/>
        <v/>
      </c>
      <c r="Z440" s="7" t="str">
        <f t="shared" si="774"/>
        <v/>
      </c>
      <c r="AA440" s="18" t="str">
        <f t="shared" si="775"/>
        <v/>
      </c>
      <c r="AB440" s="19" t="str">
        <f t="shared" si="776"/>
        <v/>
      </c>
      <c r="AC440" s="26"/>
      <c r="AD440" s="26"/>
      <c r="AE440" s="25"/>
      <c r="AF440" s="26"/>
      <c r="AG440" s="25"/>
      <c r="AH440" s="25"/>
      <c r="AI440" s="18" t="str">
        <f t="shared" si="839"/>
        <v/>
      </c>
      <c r="AJ440" s="25"/>
      <c r="AK440" s="18" t="str">
        <f t="shared" si="840"/>
        <v/>
      </c>
      <c r="AL440" s="79"/>
      <c r="AM440" s="126" t="str">
        <f t="shared" si="841"/>
        <v/>
      </c>
      <c r="AN440" s="128" t="str">
        <f>IF(AP440&lt;&gt;"",VLOOKUP($P440&amp;" | "&amp;AN$6,'Job Master'!$F$12:$J$102,5,0),"")</f>
        <v/>
      </c>
      <c r="AO440" s="19" t="str">
        <f>IF(AP440&lt;&gt;"",VLOOKUP($P440&amp;" | "&amp;AN$6,'Job Master'!$F$12:$J$102,3,0),"")</f>
        <v/>
      </c>
      <c r="AP440" s="19" t="str">
        <f>IFERROR(IF(AND(AW440&lt;&gt;"",VLOOKUP($P440&amp;" | "&amp;AN$6,'Job Master'!$F$12:$I$102,4,0)&lt;&gt;""),IF(WEEKDAY(AW440-VLOOKUP($P440&amp;" | "&amp;AN$6,'Job Master'!$F$12:$I$102,4,0))&lt;&gt;7,AW440-VLOOKUP($P440&amp;" | "&amp;AN$6,'Job Master'!$F$12:$I$102,4,0),AW440-VLOOKUP($P440&amp;" | "&amp;AN$6,'Job Master'!$F$12:$I$102,4,0)-1),""),"")</f>
        <v/>
      </c>
      <c r="AQ440" s="73"/>
      <c r="AR440" s="123" t="str">
        <f t="shared" si="777"/>
        <v/>
      </c>
      <c r="AS440" s="123" t="str">
        <f t="shared" si="778"/>
        <v/>
      </c>
      <c r="AT440" s="97" t="str">
        <f t="shared" ca="1" si="779"/>
        <v/>
      </c>
      <c r="AU440" s="98" t="str">
        <f>IF(AW440&lt;&gt;"",VLOOKUP($P440&amp;" | "&amp;AU$6,'Job Master'!$F$12:$J$102,5,0),"")</f>
        <v/>
      </c>
      <c r="AV440" s="19" t="str">
        <f>IF(AW440&lt;&gt;"",VLOOKUP($P440&amp;" | "&amp;AU$6,'Job Master'!$F$12:$J$102,3,0),"")</f>
        <v/>
      </c>
      <c r="AW440" s="19" t="str">
        <f>IFERROR(IF(AND(BD440&lt;&gt;"",VLOOKUP($P440&amp;" | "&amp;AU$6,'Job Master'!$F$12:$I$102,4,0)&lt;&gt;""),IF(WEEKDAY(BD440-VLOOKUP($P440&amp;" | "&amp;AU$6,'Job Master'!$F$12:$I$102,4,0))&lt;&gt;7,BD440-VLOOKUP($P440&amp;" | "&amp;AU$6,'Job Master'!$F$12:$I$102,4,0),BD440-VLOOKUP($P440&amp;" | "&amp;AU$6,'Job Master'!$F$12:$I$102,4,0)-1),""),"")</f>
        <v/>
      </c>
      <c r="AX440" s="73"/>
      <c r="AY440" s="123" t="str">
        <f t="shared" si="780"/>
        <v/>
      </c>
      <c r="AZ440" s="123" t="str">
        <f t="shared" si="781"/>
        <v/>
      </c>
      <c r="BA440" s="97" t="str">
        <f t="shared" ca="1" si="782"/>
        <v/>
      </c>
      <c r="BB440" s="98" t="str">
        <f>IF(BD440&lt;&gt;"",VLOOKUP($P440&amp;" | "&amp;BB$6,'Job Master'!$F$12:$J$102,5,0),"")</f>
        <v/>
      </c>
      <c r="BC440" s="19" t="str">
        <f>IF(BD440&lt;&gt;"",VLOOKUP($P440&amp;" | "&amp;BB$6,'Job Master'!$F$12:$J$102,3,0),"")</f>
        <v/>
      </c>
      <c r="BD440" s="19" t="str">
        <f>IFERROR(IF(AND(BK440&lt;&gt;"",VLOOKUP($P440&amp;" | "&amp;BB$6,'Job Master'!$F$12:$I$102,4,0)&lt;&gt;""),IF(WEEKDAY(BK440-VLOOKUP($P440&amp;" | "&amp;BB$6,'Job Master'!$F$12:$I$102,4,0))&lt;&gt;7,BK440-VLOOKUP($P440&amp;" | "&amp;BB$6,'Job Master'!$F$12:$I$102,4,0),BK440-VLOOKUP($P440&amp;" | "&amp;BB$6,'Job Master'!$F$12:$I$102,4,0)-1),""),"")</f>
        <v/>
      </c>
      <c r="BE440" s="73"/>
      <c r="BF440" s="123" t="str">
        <f t="shared" si="783"/>
        <v/>
      </c>
      <c r="BG440" s="123" t="str">
        <f t="shared" si="784"/>
        <v/>
      </c>
      <c r="BH440" s="97" t="str">
        <f t="shared" ca="1" si="785"/>
        <v/>
      </c>
      <c r="BI440" s="98" t="str">
        <f>IF(BK440&lt;&gt;"",VLOOKUP($P440&amp;" | "&amp;BI$6,'Job Master'!$F$12:$J$102,5,0),"")</f>
        <v/>
      </c>
      <c r="BJ440" s="19" t="str">
        <f>IF(BK440&lt;&gt;"",VLOOKUP($P440&amp;" | "&amp;BI$6,'Job Master'!$F$12:$J$102,3,0),"")</f>
        <v/>
      </c>
      <c r="BK440" s="19" t="str">
        <f>IFERROR(IF(AND(BR440&lt;&gt;"",VLOOKUP($P440&amp;" | "&amp;BI$6,'Job Master'!$F$12:$I$102,4,0)&lt;&gt;""),IF(WEEKDAY(BR440-VLOOKUP($P440&amp;" | "&amp;BI$6,'Job Master'!$F$12:$I$102,4,0))&lt;&gt;7,BR440-VLOOKUP($P440&amp;" | "&amp;BI$6,'Job Master'!$F$12:$I$102,4,0),BR440-VLOOKUP($P440&amp;" | "&amp;BI$6,'Job Master'!$F$12:$I$102,4,0)-1),""),"")</f>
        <v/>
      </c>
      <c r="BL440" s="73"/>
      <c r="BM440" s="123" t="str">
        <f t="shared" si="786"/>
        <v/>
      </c>
      <c r="BN440" s="123" t="str">
        <f t="shared" si="787"/>
        <v/>
      </c>
      <c r="BO440" s="97" t="str">
        <f t="shared" ca="1" si="788"/>
        <v/>
      </c>
      <c r="BP440" s="98" t="str">
        <f>IF(BR440&lt;&gt;"",VLOOKUP($P440&amp;" | "&amp;BP$6,'Job Master'!$F$12:$J$102,5,0),"")</f>
        <v/>
      </c>
      <c r="BQ440" s="19" t="str">
        <f>IF(BR440&lt;&gt;"",VLOOKUP($P440&amp;" | "&amp;BP$6,'Job Master'!$F$12:$J$102,3,0),"")</f>
        <v/>
      </c>
      <c r="BR440" s="19" t="str">
        <f>IFERROR(IF(AND(BY440&lt;&gt;"",VLOOKUP($P440&amp;" | "&amp;BP$6,'Job Master'!$F$12:$I$102,4,0)&lt;&gt;""),IF(WEEKDAY(BY440-VLOOKUP($P440&amp;" | "&amp;BP$6,'Job Master'!$F$12:$I$102,4,0))&lt;&gt;7,BY440-VLOOKUP($P440&amp;" | "&amp;BP$6,'Job Master'!$F$12:$I$102,4,0),BY440-VLOOKUP($P440&amp;" | "&amp;BP$6,'Job Master'!$F$12:$I$102,4,0)-1),""),"")</f>
        <v/>
      </c>
      <c r="BS440" s="73"/>
      <c r="BT440" s="123" t="str">
        <f t="shared" si="789"/>
        <v/>
      </c>
      <c r="BU440" s="123" t="str">
        <f t="shared" si="790"/>
        <v/>
      </c>
      <c r="BV440" s="97" t="str">
        <f t="shared" ca="1" si="791"/>
        <v/>
      </c>
      <c r="BW440" s="98" t="str">
        <f>IF(BY440&lt;&gt;"",VLOOKUP($P440&amp;" | "&amp;BW$6,'Job Master'!$F$12:$J$102,5,0),"")</f>
        <v/>
      </c>
      <c r="BX440" s="19" t="str">
        <f>IF(BY440&lt;&gt;"",VLOOKUP($P440&amp;" | "&amp;BW$6,'Job Master'!$F$12:$J$102,3,0),"")</f>
        <v/>
      </c>
      <c r="BY440" s="19" t="str">
        <f>IFERROR(IF(AND(CF440&lt;&gt;"",VLOOKUP($P440&amp;" | "&amp;BW$6,'Job Master'!$F$12:$I$102,4,0)&lt;&gt;""),IF(WEEKDAY(CF440-VLOOKUP($P440&amp;" | "&amp;BW$6,'Job Master'!$F$12:$I$102,4,0))&lt;&gt;7,CF440-VLOOKUP($P440&amp;" | "&amp;BW$6,'Job Master'!$F$12:$I$102,4,0),CF440-VLOOKUP($P440&amp;" | "&amp;BW$6,'Job Master'!$F$12:$I$102,4,0)-1),""),"")</f>
        <v/>
      </c>
      <c r="BZ440" s="73"/>
      <c r="CA440" s="123" t="str">
        <f t="shared" si="792"/>
        <v/>
      </c>
      <c r="CB440" s="123" t="str">
        <f t="shared" si="793"/>
        <v/>
      </c>
      <c r="CC440" s="97" t="str">
        <f t="shared" ca="1" si="794"/>
        <v/>
      </c>
      <c r="CD440" s="98" t="str">
        <f>IF(CF440&lt;&gt;"",VLOOKUP($P440&amp;" | "&amp;CD$6,'Job Master'!$F$12:$J$102,5,0),"")</f>
        <v/>
      </c>
      <c r="CE440" s="19" t="str">
        <f>IF(CF440&lt;&gt;"",VLOOKUP($P440&amp;" | "&amp;CD$6,'Job Master'!$F$12:$J$102,3,0),"")</f>
        <v/>
      </c>
      <c r="CF440" s="19" t="str">
        <f>IFERROR(IF(AND(CM440&lt;&gt;"",VLOOKUP($P440&amp;" | "&amp;CD$6,'Job Master'!$F$12:$I$102,4,0)&lt;&gt;""),IF(WEEKDAY(CM440-VLOOKUP($P440&amp;" | "&amp;CD$6,'Job Master'!$F$12:$I$102,4,0))&lt;&gt;7,CM440-VLOOKUP($P440&amp;" | "&amp;CD$6,'Job Master'!$F$12:$I$102,4,0),CM440-VLOOKUP($P440&amp;" | "&amp;CD$6,'Job Master'!$F$12:$I$102,4,0)-1),""),"")</f>
        <v/>
      </c>
      <c r="CG440" s="73"/>
      <c r="CH440" s="123" t="str">
        <f t="shared" si="795"/>
        <v/>
      </c>
      <c r="CI440" s="123" t="str">
        <f t="shared" si="796"/>
        <v/>
      </c>
      <c r="CJ440" s="97" t="str">
        <f t="shared" ca="1" si="797"/>
        <v/>
      </c>
      <c r="CK440" s="98" t="str">
        <f>IF(CM440&lt;&gt;"",VLOOKUP($P440&amp;" | "&amp;CK$6,'Job Master'!$F$12:$J$102,5,0),"")</f>
        <v/>
      </c>
      <c r="CL440" s="19" t="str">
        <f>IF(CM440&lt;&gt;"",VLOOKUP($P440&amp;" | "&amp;CK$6,'Job Master'!$F$12:$J$102,3,0),"")</f>
        <v/>
      </c>
      <c r="CM440" s="19" t="str">
        <f>IFERROR(IF(AND(CT440&lt;&gt;"",VLOOKUP($P440&amp;" | "&amp;CK$6,'Job Master'!$F$12:$I$102,4,0)&lt;&gt;""),IF(WEEKDAY(CT440-VLOOKUP($P440&amp;" | "&amp;CK$6,'Job Master'!$F$12:$I$102,4,0))&lt;&gt;7,CT440-VLOOKUP($P440&amp;" | "&amp;CK$6,'Job Master'!$F$12:$I$102,4,0),CT440-VLOOKUP($P440&amp;" | "&amp;CK$6,'Job Master'!$F$12:$I$102,4,0)-1),""),"")</f>
        <v/>
      </c>
      <c r="CN440" s="73"/>
      <c r="CO440" s="123" t="str">
        <f t="shared" si="798"/>
        <v/>
      </c>
      <c r="CP440" s="123" t="str">
        <f t="shared" si="799"/>
        <v/>
      </c>
      <c r="CQ440" s="97" t="str">
        <f t="shared" ca="1" si="800"/>
        <v/>
      </c>
      <c r="CR440" s="98" t="str">
        <f>IF(CT440&lt;&gt;"",VLOOKUP($P440&amp;" | "&amp;CR$6,'Job Master'!$F$12:$J$102,5,0),"")</f>
        <v/>
      </c>
      <c r="CS440" s="19" t="str">
        <f>IF(CT440&lt;&gt;"",VLOOKUP($P440&amp;" | "&amp;CR$6,'Job Master'!$F$12:$J$102,3,0),"")</f>
        <v/>
      </c>
      <c r="CT440" s="19" t="str">
        <f>IFERROR(IF(AND(DA440&lt;&gt;"",VLOOKUP($P440&amp;" | "&amp;CR$6,'Job Master'!$F$12:$I$102,4,0)&lt;&gt;""),IF(WEEKDAY(DA440-VLOOKUP($P440&amp;" | "&amp;CR$6,'Job Master'!$F$12:$I$102,4,0))&lt;&gt;7,DA440-VLOOKUP($P440&amp;" | "&amp;CR$6,'Job Master'!$F$12:$I$102,4,0),DA440-VLOOKUP($P440&amp;" | "&amp;CR$6,'Job Master'!$F$12:$I$102,4,0)-1),""),"")</f>
        <v/>
      </c>
      <c r="CU440" s="73"/>
      <c r="CV440" s="123" t="str">
        <f t="shared" si="801"/>
        <v/>
      </c>
      <c r="CW440" s="123" t="str">
        <f t="shared" si="802"/>
        <v/>
      </c>
      <c r="CX440" s="97" t="str">
        <f t="shared" ca="1" si="803"/>
        <v/>
      </c>
      <c r="CY440" s="98" t="str">
        <f>IF(DA440&lt;&gt;"",VLOOKUP($P440&amp;" | "&amp;CY$6,'Job Master'!$F$12:$J$102,5,0),"")</f>
        <v/>
      </c>
      <c r="CZ440" s="19" t="str">
        <f>IF(DA440&lt;&gt;"",VLOOKUP($P440&amp;" | "&amp;CY$6,'Job Master'!$F$12:$J$102,3,0),"")</f>
        <v/>
      </c>
      <c r="DA440" s="19" t="str">
        <f>IFERROR(IF(AND(DH440&lt;&gt;"",VLOOKUP($P440&amp;" | "&amp;CY$6,'Job Master'!$F$12:$I$102,4,0)&lt;&gt;""),IF(WEEKDAY(DH440-VLOOKUP($P440&amp;" | "&amp;CY$6,'Job Master'!$F$12:$I$102,4,0))&lt;&gt;7,DH440-VLOOKUP($P440&amp;" | "&amp;CY$6,'Job Master'!$F$12:$I$102,4,0),DH440-VLOOKUP($P440&amp;" | "&amp;CY$6,'Job Master'!$F$12:$I$102,4,0)-1),""),"")</f>
        <v/>
      </c>
      <c r="DB440" s="73"/>
      <c r="DC440" s="123" t="str">
        <f t="shared" si="804"/>
        <v/>
      </c>
      <c r="DD440" s="123" t="str">
        <f t="shared" si="805"/>
        <v/>
      </c>
      <c r="DE440" s="97" t="str">
        <f t="shared" ca="1" si="806"/>
        <v/>
      </c>
      <c r="DF440" s="98" t="str">
        <f>IF(DH440&lt;&gt;"",VLOOKUP($P440&amp;" | "&amp;DF$6,'Job Master'!$F$12:$J$102,5,0),"")</f>
        <v/>
      </c>
      <c r="DG440" s="19" t="str">
        <f>IF(DH440&lt;&gt;"",VLOOKUP($P440&amp;" | "&amp;DF$6,'Job Master'!$F$12:$J$102,3,0),"")</f>
        <v/>
      </c>
      <c r="DH440" s="19" t="str">
        <f>IFERROR(IF(AND(DO440&lt;&gt;"",VLOOKUP($P440&amp;" | "&amp;DF$6,'Job Master'!$F$12:$I$102,4,0)&lt;&gt;""),IF(WEEKDAY(DO440-VLOOKUP($P440&amp;" | "&amp;DF$6,'Job Master'!$F$12:$I$102,4,0))&lt;&gt;7,DO440-VLOOKUP($P440&amp;" | "&amp;DF$6,'Job Master'!$F$12:$I$102,4,0),DO440-VLOOKUP($P440&amp;" | "&amp;DF$6,'Job Master'!$F$12:$I$102,4,0)-1),""),"")</f>
        <v/>
      </c>
      <c r="DI440" s="73"/>
      <c r="DJ440" s="123" t="str">
        <f t="shared" si="807"/>
        <v/>
      </c>
      <c r="DK440" s="123" t="str">
        <f t="shared" si="808"/>
        <v/>
      </c>
      <c r="DL440" s="97" t="str">
        <f t="shared" ca="1" si="809"/>
        <v/>
      </c>
      <c r="DM440" s="98" t="str">
        <f>IF(DO440&lt;&gt;"",VLOOKUP($P440&amp;" | "&amp;DM$6,'Job Master'!$F$12:$J$102,5,0),"")</f>
        <v/>
      </c>
      <c r="DN440" s="19" t="str">
        <f>IF(DO440&lt;&gt;"",VLOOKUP($P440&amp;" | "&amp;DM$6,'Job Master'!$F$12:$J$102,3,0),"")</f>
        <v/>
      </c>
      <c r="DO440" s="19" t="str">
        <f>IFERROR(IF(AND(DT440&lt;&gt;"",VLOOKUP($P440&amp;" | "&amp;DM$6,'Job Master'!$F$12:$I$102,4,0)&lt;&gt;""),IF(WEEKDAY(DT440-VLOOKUP($P440&amp;" | "&amp;DM$6,'Job Master'!$F$12:$I$102,4,0))&lt;&gt;7,DT440-VLOOKUP($P440&amp;" | "&amp;DM$6,'Job Master'!$F$12:$I$102,4,0),DT440-VLOOKUP($P440&amp;" | "&amp;DM$6,'Job Master'!$F$12:$I$102,4,0)-1),""),"")</f>
        <v/>
      </c>
      <c r="DP440" s="73"/>
      <c r="DQ440" s="123" t="str">
        <f t="shared" si="810"/>
        <v/>
      </c>
      <c r="DR440" s="123" t="str">
        <f t="shared" si="811"/>
        <v/>
      </c>
      <c r="DS440" s="97" t="str">
        <f t="shared" ca="1" si="812"/>
        <v/>
      </c>
      <c r="DT440" s="70" t="str">
        <f t="shared" si="813"/>
        <v/>
      </c>
      <c r="DU440" s="90"/>
      <c r="DV440" s="123" t="str">
        <f t="shared" si="814"/>
        <v/>
      </c>
      <c r="DW440" s="123" t="str">
        <f t="shared" si="815"/>
        <v/>
      </c>
      <c r="DX440" s="132" t="str">
        <f t="shared" ref="DX440" ca="1" si="873">IF(DT440&lt;&gt;"",IF(WEEKNUM(DT440)=WEEKNUM(TODAY()),"This Week",IF(WEEKNUM(DT440)=WEEKNUM(TODAY())+1,"Next Week",IF(WEEKNUM(DT440)=WEEKNUM(TODAY())-1,"Previous Week",""))),"")</f>
        <v/>
      </c>
      <c r="DY440" s="134" t="str">
        <f t="shared" si="817"/>
        <v/>
      </c>
      <c r="DZ440" s="95"/>
      <c r="EB440" s="8" t="str">
        <f t="shared" si="823"/>
        <v/>
      </c>
      <c r="EC440" s="8" t="str">
        <f>IF(O440&lt;&gt;"",VLOOKUP(O440,'Job Master'!$N$12:$O$18,2,0),"")</f>
        <v/>
      </c>
      <c r="ED440" s="8">
        <f t="shared" si="824"/>
        <v>19.5</v>
      </c>
      <c r="EE440" s="8">
        <f t="shared" si="825"/>
        <v>6</v>
      </c>
      <c r="EF440" s="8">
        <f t="shared" si="826"/>
        <v>-2560.5</v>
      </c>
      <c r="EG440" s="8" t="str">
        <f t="shared" si="827"/>
        <v/>
      </c>
      <c r="EH440" s="8" t="str">
        <f t="shared" si="828"/>
        <v/>
      </c>
    </row>
    <row r="441" spans="2:138" x14ac:dyDescent="0.3">
      <c r="B441" s="112"/>
      <c r="C441" s="27"/>
      <c r="D441" s="7" t="str">
        <f t="shared" si="765"/>
        <v/>
      </c>
      <c r="E441" s="25"/>
      <c r="F441" s="7" t="str">
        <f t="shared" si="765"/>
        <v/>
      </c>
      <c r="G441" s="25"/>
      <c r="H441" s="7" t="str">
        <f t="shared" si="765"/>
        <v/>
      </c>
      <c r="I441" s="25"/>
      <c r="J441" s="7" t="str">
        <f t="shared" si="765"/>
        <v/>
      </c>
      <c r="K441" s="25"/>
      <c r="L441" s="7" t="str">
        <f t="shared" si="766"/>
        <v/>
      </c>
      <c r="M441" s="25"/>
      <c r="N441" s="7" t="str">
        <f t="shared" si="767"/>
        <v/>
      </c>
      <c r="O441" s="81"/>
      <c r="P441" s="81" t="str">
        <f t="shared" si="768"/>
        <v/>
      </c>
      <c r="Q441" s="81"/>
      <c r="R441" s="7" t="str">
        <f t="shared" si="769"/>
        <v/>
      </c>
      <c r="S441" s="25"/>
      <c r="T441" s="7" t="str">
        <f t="shared" si="770"/>
        <v/>
      </c>
      <c r="U441" s="25"/>
      <c r="V441" s="7" t="str">
        <f t="shared" si="771"/>
        <v/>
      </c>
      <c r="W441" s="25"/>
      <c r="X441" s="7" t="str">
        <f t="shared" si="772"/>
        <v/>
      </c>
      <c r="Y441" s="18" t="str">
        <f t="shared" si="773"/>
        <v/>
      </c>
      <c r="Z441" s="7" t="str">
        <f t="shared" si="774"/>
        <v/>
      </c>
      <c r="AA441" s="18" t="str">
        <f t="shared" si="775"/>
        <v/>
      </c>
      <c r="AB441" s="19" t="str">
        <f t="shared" si="776"/>
        <v/>
      </c>
      <c r="AC441" s="26"/>
      <c r="AD441" s="26"/>
      <c r="AE441" s="25"/>
      <c r="AF441" s="26"/>
      <c r="AG441" s="25"/>
      <c r="AH441" s="25"/>
      <c r="AI441" s="18" t="str">
        <f t="shared" si="839"/>
        <v/>
      </c>
      <c r="AJ441" s="25"/>
      <c r="AK441" s="18" t="str">
        <f t="shared" si="840"/>
        <v/>
      </c>
      <c r="AL441" s="79"/>
      <c r="AM441" s="126" t="str">
        <f t="shared" si="841"/>
        <v/>
      </c>
      <c r="AN441" s="128" t="str">
        <f>IF(AP441&lt;&gt;"",VLOOKUP($P441&amp;" | "&amp;AN$6,'Job Master'!$F$12:$J$102,5,0),"")</f>
        <v/>
      </c>
      <c r="AO441" s="19" t="str">
        <f>IF(AP441&lt;&gt;"",VLOOKUP($P441&amp;" | "&amp;AN$6,'Job Master'!$F$12:$J$102,3,0),"")</f>
        <v/>
      </c>
      <c r="AP441" s="19" t="str">
        <f>IFERROR(IF(AND(AW441&lt;&gt;"",VLOOKUP($P441&amp;" | "&amp;AN$6,'Job Master'!$F$12:$I$102,4,0)&lt;&gt;""),IF(WEEKDAY(AW441-VLOOKUP($P441&amp;" | "&amp;AN$6,'Job Master'!$F$12:$I$102,4,0))&lt;&gt;7,AW441-VLOOKUP($P441&amp;" | "&amp;AN$6,'Job Master'!$F$12:$I$102,4,0),AW441-VLOOKUP($P441&amp;" | "&amp;AN$6,'Job Master'!$F$12:$I$102,4,0)-1),""),"")</f>
        <v/>
      </c>
      <c r="AQ441" s="73"/>
      <c r="AR441" s="123" t="str">
        <f t="shared" si="777"/>
        <v/>
      </c>
      <c r="AS441" s="123" t="str">
        <f t="shared" si="778"/>
        <v/>
      </c>
      <c r="AT441" s="97" t="str">
        <f t="shared" ca="1" si="779"/>
        <v/>
      </c>
      <c r="AU441" s="98" t="str">
        <f>IF(AW441&lt;&gt;"",VLOOKUP($P441&amp;" | "&amp;AU$6,'Job Master'!$F$12:$J$102,5,0),"")</f>
        <v/>
      </c>
      <c r="AV441" s="19" t="str">
        <f>IF(AW441&lt;&gt;"",VLOOKUP($P441&amp;" | "&amp;AU$6,'Job Master'!$F$12:$J$102,3,0),"")</f>
        <v/>
      </c>
      <c r="AW441" s="19" t="str">
        <f>IFERROR(IF(AND(BD441&lt;&gt;"",VLOOKUP($P441&amp;" | "&amp;AU$6,'Job Master'!$F$12:$I$102,4,0)&lt;&gt;""),IF(WEEKDAY(BD441-VLOOKUP($P441&amp;" | "&amp;AU$6,'Job Master'!$F$12:$I$102,4,0))&lt;&gt;7,BD441-VLOOKUP($P441&amp;" | "&amp;AU$6,'Job Master'!$F$12:$I$102,4,0),BD441-VLOOKUP($P441&amp;" | "&amp;AU$6,'Job Master'!$F$12:$I$102,4,0)-1),""),"")</f>
        <v/>
      </c>
      <c r="AX441" s="73"/>
      <c r="AY441" s="123" t="str">
        <f t="shared" si="780"/>
        <v/>
      </c>
      <c r="AZ441" s="123" t="str">
        <f t="shared" si="781"/>
        <v/>
      </c>
      <c r="BA441" s="97" t="str">
        <f t="shared" ca="1" si="782"/>
        <v/>
      </c>
      <c r="BB441" s="98" t="str">
        <f>IF(BD441&lt;&gt;"",VLOOKUP($P441&amp;" | "&amp;BB$6,'Job Master'!$F$12:$J$102,5,0),"")</f>
        <v/>
      </c>
      <c r="BC441" s="19" t="str">
        <f>IF(BD441&lt;&gt;"",VLOOKUP($P441&amp;" | "&amp;BB$6,'Job Master'!$F$12:$J$102,3,0),"")</f>
        <v/>
      </c>
      <c r="BD441" s="19" t="str">
        <f>IFERROR(IF(AND(BK441&lt;&gt;"",VLOOKUP($P441&amp;" | "&amp;BB$6,'Job Master'!$F$12:$I$102,4,0)&lt;&gt;""),IF(WEEKDAY(BK441-VLOOKUP($P441&amp;" | "&amp;BB$6,'Job Master'!$F$12:$I$102,4,0))&lt;&gt;7,BK441-VLOOKUP($P441&amp;" | "&amp;BB$6,'Job Master'!$F$12:$I$102,4,0),BK441-VLOOKUP($P441&amp;" | "&amp;BB$6,'Job Master'!$F$12:$I$102,4,0)-1),""),"")</f>
        <v/>
      </c>
      <c r="BE441" s="73"/>
      <c r="BF441" s="123" t="str">
        <f t="shared" si="783"/>
        <v/>
      </c>
      <c r="BG441" s="123" t="str">
        <f t="shared" si="784"/>
        <v/>
      </c>
      <c r="BH441" s="97" t="str">
        <f t="shared" ca="1" si="785"/>
        <v/>
      </c>
      <c r="BI441" s="98" t="str">
        <f>IF(BK441&lt;&gt;"",VLOOKUP($P441&amp;" | "&amp;BI$6,'Job Master'!$F$12:$J$102,5,0),"")</f>
        <v/>
      </c>
      <c r="BJ441" s="19" t="str">
        <f>IF(BK441&lt;&gt;"",VLOOKUP($P441&amp;" | "&amp;BI$6,'Job Master'!$F$12:$J$102,3,0),"")</f>
        <v/>
      </c>
      <c r="BK441" s="19" t="str">
        <f>IFERROR(IF(AND(BR441&lt;&gt;"",VLOOKUP($P441&amp;" | "&amp;BI$6,'Job Master'!$F$12:$I$102,4,0)&lt;&gt;""),IF(WEEKDAY(BR441-VLOOKUP($P441&amp;" | "&amp;BI$6,'Job Master'!$F$12:$I$102,4,0))&lt;&gt;7,BR441-VLOOKUP($P441&amp;" | "&amp;BI$6,'Job Master'!$F$12:$I$102,4,0),BR441-VLOOKUP($P441&amp;" | "&amp;BI$6,'Job Master'!$F$12:$I$102,4,0)-1),""),"")</f>
        <v/>
      </c>
      <c r="BL441" s="73"/>
      <c r="BM441" s="123" t="str">
        <f t="shared" si="786"/>
        <v/>
      </c>
      <c r="BN441" s="123" t="str">
        <f t="shared" si="787"/>
        <v/>
      </c>
      <c r="BO441" s="97" t="str">
        <f t="shared" ca="1" si="788"/>
        <v/>
      </c>
      <c r="BP441" s="98" t="str">
        <f>IF(BR441&lt;&gt;"",VLOOKUP($P441&amp;" | "&amp;BP$6,'Job Master'!$F$12:$J$102,5,0),"")</f>
        <v/>
      </c>
      <c r="BQ441" s="19" t="str">
        <f>IF(BR441&lt;&gt;"",VLOOKUP($P441&amp;" | "&amp;BP$6,'Job Master'!$F$12:$J$102,3,0),"")</f>
        <v/>
      </c>
      <c r="BR441" s="19" t="str">
        <f>IFERROR(IF(AND(BY441&lt;&gt;"",VLOOKUP($P441&amp;" | "&amp;BP$6,'Job Master'!$F$12:$I$102,4,0)&lt;&gt;""),IF(WEEKDAY(BY441-VLOOKUP($P441&amp;" | "&amp;BP$6,'Job Master'!$F$12:$I$102,4,0))&lt;&gt;7,BY441-VLOOKUP($P441&amp;" | "&amp;BP$6,'Job Master'!$F$12:$I$102,4,0),BY441-VLOOKUP($P441&amp;" | "&amp;BP$6,'Job Master'!$F$12:$I$102,4,0)-1),""),"")</f>
        <v/>
      </c>
      <c r="BS441" s="73"/>
      <c r="BT441" s="123" t="str">
        <f t="shared" si="789"/>
        <v/>
      </c>
      <c r="BU441" s="123" t="str">
        <f t="shared" si="790"/>
        <v/>
      </c>
      <c r="BV441" s="97" t="str">
        <f t="shared" ca="1" si="791"/>
        <v/>
      </c>
      <c r="BW441" s="98" t="str">
        <f>IF(BY441&lt;&gt;"",VLOOKUP($P441&amp;" | "&amp;BW$6,'Job Master'!$F$12:$J$102,5,0),"")</f>
        <v/>
      </c>
      <c r="BX441" s="19" t="str">
        <f>IF(BY441&lt;&gt;"",VLOOKUP($P441&amp;" | "&amp;BW$6,'Job Master'!$F$12:$J$102,3,0),"")</f>
        <v/>
      </c>
      <c r="BY441" s="19" t="str">
        <f>IFERROR(IF(AND(CF441&lt;&gt;"",VLOOKUP($P441&amp;" | "&amp;BW$6,'Job Master'!$F$12:$I$102,4,0)&lt;&gt;""),IF(WEEKDAY(CF441-VLOOKUP($P441&amp;" | "&amp;BW$6,'Job Master'!$F$12:$I$102,4,0))&lt;&gt;7,CF441-VLOOKUP($P441&amp;" | "&amp;BW$6,'Job Master'!$F$12:$I$102,4,0),CF441-VLOOKUP($P441&amp;" | "&amp;BW$6,'Job Master'!$F$12:$I$102,4,0)-1),""),"")</f>
        <v/>
      </c>
      <c r="BZ441" s="73"/>
      <c r="CA441" s="123" t="str">
        <f t="shared" si="792"/>
        <v/>
      </c>
      <c r="CB441" s="123" t="str">
        <f t="shared" si="793"/>
        <v/>
      </c>
      <c r="CC441" s="97" t="str">
        <f t="shared" ca="1" si="794"/>
        <v/>
      </c>
      <c r="CD441" s="98" t="str">
        <f>IF(CF441&lt;&gt;"",VLOOKUP($P441&amp;" | "&amp;CD$6,'Job Master'!$F$12:$J$102,5,0),"")</f>
        <v/>
      </c>
      <c r="CE441" s="19" t="str">
        <f>IF(CF441&lt;&gt;"",VLOOKUP($P441&amp;" | "&amp;CD$6,'Job Master'!$F$12:$J$102,3,0),"")</f>
        <v/>
      </c>
      <c r="CF441" s="19" t="str">
        <f>IFERROR(IF(AND(CM441&lt;&gt;"",VLOOKUP($P441&amp;" | "&amp;CD$6,'Job Master'!$F$12:$I$102,4,0)&lt;&gt;""),IF(WEEKDAY(CM441-VLOOKUP($P441&amp;" | "&amp;CD$6,'Job Master'!$F$12:$I$102,4,0))&lt;&gt;7,CM441-VLOOKUP($P441&amp;" | "&amp;CD$6,'Job Master'!$F$12:$I$102,4,0),CM441-VLOOKUP($P441&amp;" | "&amp;CD$6,'Job Master'!$F$12:$I$102,4,0)-1),""),"")</f>
        <v/>
      </c>
      <c r="CG441" s="73"/>
      <c r="CH441" s="123" t="str">
        <f t="shared" si="795"/>
        <v/>
      </c>
      <c r="CI441" s="123" t="str">
        <f t="shared" si="796"/>
        <v/>
      </c>
      <c r="CJ441" s="97" t="str">
        <f t="shared" ca="1" si="797"/>
        <v/>
      </c>
      <c r="CK441" s="98" t="str">
        <f>IF(CM441&lt;&gt;"",VLOOKUP($P441&amp;" | "&amp;CK$6,'Job Master'!$F$12:$J$102,5,0),"")</f>
        <v/>
      </c>
      <c r="CL441" s="19" t="str">
        <f>IF(CM441&lt;&gt;"",VLOOKUP($P441&amp;" | "&amp;CK$6,'Job Master'!$F$12:$J$102,3,0),"")</f>
        <v/>
      </c>
      <c r="CM441" s="19" t="str">
        <f>IFERROR(IF(AND(CT441&lt;&gt;"",VLOOKUP($P441&amp;" | "&amp;CK$6,'Job Master'!$F$12:$I$102,4,0)&lt;&gt;""),IF(WEEKDAY(CT441-VLOOKUP($P441&amp;" | "&amp;CK$6,'Job Master'!$F$12:$I$102,4,0))&lt;&gt;7,CT441-VLOOKUP($P441&amp;" | "&amp;CK$6,'Job Master'!$F$12:$I$102,4,0),CT441-VLOOKUP($P441&amp;" | "&amp;CK$6,'Job Master'!$F$12:$I$102,4,0)-1),""),"")</f>
        <v/>
      </c>
      <c r="CN441" s="73"/>
      <c r="CO441" s="123" t="str">
        <f t="shared" si="798"/>
        <v/>
      </c>
      <c r="CP441" s="123" t="str">
        <f t="shared" si="799"/>
        <v/>
      </c>
      <c r="CQ441" s="97" t="str">
        <f t="shared" ca="1" si="800"/>
        <v/>
      </c>
      <c r="CR441" s="98" t="str">
        <f>IF(CT441&lt;&gt;"",VLOOKUP($P441&amp;" | "&amp;CR$6,'Job Master'!$F$12:$J$102,5,0),"")</f>
        <v/>
      </c>
      <c r="CS441" s="19" t="str">
        <f>IF(CT441&lt;&gt;"",VLOOKUP($P441&amp;" | "&amp;CR$6,'Job Master'!$F$12:$J$102,3,0),"")</f>
        <v/>
      </c>
      <c r="CT441" s="19" t="str">
        <f>IFERROR(IF(AND(DA441&lt;&gt;"",VLOOKUP($P441&amp;" | "&amp;CR$6,'Job Master'!$F$12:$I$102,4,0)&lt;&gt;""),IF(WEEKDAY(DA441-VLOOKUP($P441&amp;" | "&amp;CR$6,'Job Master'!$F$12:$I$102,4,0))&lt;&gt;7,DA441-VLOOKUP($P441&amp;" | "&amp;CR$6,'Job Master'!$F$12:$I$102,4,0),DA441-VLOOKUP($P441&amp;" | "&amp;CR$6,'Job Master'!$F$12:$I$102,4,0)-1),""),"")</f>
        <v/>
      </c>
      <c r="CU441" s="73"/>
      <c r="CV441" s="123" t="str">
        <f t="shared" si="801"/>
        <v/>
      </c>
      <c r="CW441" s="123" t="str">
        <f t="shared" si="802"/>
        <v/>
      </c>
      <c r="CX441" s="97" t="str">
        <f t="shared" ca="1" si="803"/>
        <v/>
      </c>
      <c r="CY441" s="98" t="str">
        <f>IF(DA441&lt;&gt;"",VLOOKUP($P441&amp;" | "&amp;CY$6,'Job Master'!$F$12:$J$102,5,0),"")</f>
        <v/>
      </c>
      <c r="CZ441" s="19" t="str">
        <f>IF(DA441&lt;&gt;"",VLOOKUP($P441&amp;" | "&amp;CY$6,'Job Master'!$F$12:$J$102,3,0),"")</f>
        <v/>
      </c>
      <c r="DA441" s="19" t="str">
        <f>IFERROR(IF(AND(DH441&lt;&gt;"",VLOOKUP($P441&amp;" | "&amp;CY$6,'Job Master'!$F$12:$I$102,4,0)&lt;&gt;""),IF(WEEKDAY(DH441-VLOOKUP($P441&amp;" | "&amp;CY$6,'Job Master'!$F$12:$I$102,4,0))&lt;&gt;7,DH441-VLOOKUP($P441&amp;" | "&amp;CY$6,'Job Master'!$F$12:$I$102,4,0),DH441-VLOOKUP($P441&amp;" | "&amp;CY$6,'Job Master'!$F$12:$I$102,4,0)-1),""),"")</f>
        <v/>
      </c>
      <c r="DB441" s="73"/>
      <c r="DC441" s="123" t="str">
        <f t="shared" si="804"/>
        <v/>
      </c>
      <c r="DD441" s="123" t="str">
        <f t="shared" si="805"/>
        <v/>
      </c>
      <c r="DE441" s="97" t="str">
        <f t="shared" ca="1" si="806"/>
        <v/>
      </c>
      <c r="DF441" s="98" t="str">
        <f>IF(DH441&lt;&gt;"",VLOOKUP($P441&amp;" | "&amp;DF$6,'Job Master'!$F$12:$J$102,5,0),"")</f>
        <v/>
      </c>
      <c r="DG441" s="19" t="str">
        <f>IF(DH441&lt;&gt;"",VLOOKUP($P441&amp;" | "&amp;DF$6,'Job Master'!$F$12:$J$102,3,0),"")</f>
        <v/>
      </c>
      <c r="DH441" s="19" t="str">
        <f>IFERROR(IF(AND(DO441&lt;&gt;"",VLOOKUP($P441&amp;" | "&amp;DF$6,'Job Master'!$F$12:$I$102,4,0)&lt;&gt;""),IF(WEEKDAY(DO441-VLOOKUP($P441&amp;" | "&amp;DF$6,'Job Master'!$F$12:$I$102,4,0))&lt;&gt;7,DO441-VLOOKUP($P441&amp;" | "&amp;DF$6,'Job Master'!$F$12:$I$102,4,0),DO441-VLOOKUP($P441&amp;" | "&amp;DF$6,'Job Master'!$F$12:$I$102,4,0)-1),""),"")</f>
        <v/>
      </c>
      <c r="DI441" s="73"/>
      <c r="DJ441" s="123" t="str">
        <f t="shared" si="807"/>
        <v/>
      </c>
      <c r="DK441" s="123" t="str">
        <f t="shared" si="808"/>
        <v/>
      </c>
      <c r="DL441" s="97" t="str">
        <f t="shared" ca="1" si="809"/>
        <v/>
      </c>
      <c r="DM441" s="98" t="str">
        <f>IF(DO441&lt;&gt;"",VLOOKUP($P441&amp;" | "&amp;DM$6,'Job Master'!$F$12:$J$102,5,0),"")</f>
        <v/>
      </c>
      <c r="DN441" s="19" t="str">
        <f>IF(DO441&lt;&gt;"",VLOOKUP($P441&amp;" | "&amp;DM$6,'Job Master'!$F$12:$J$102,3,0),"")</f>
        <v/>
      </c>
      <c r="DO441" s="19" t="str">
        <f>IFERROR(IF(AND(DT441&lt;&gt;"",VLOOKUP($P441&amp;" | "&amp;DM$6,'Job Master'!$F$12:$I$102,4,0)&lt;&gt;""),IF(WEEKDAY(DT441-VLOOKUP($P441&amp;" | "&amp;DM$6,'Job Master'!$F$12:$I$102,4,0))&lt;&gt;7,DT441-VLOOKUP($P441&amp;" | "&amp;DM$6,'Job Master'!$F$12:$I$102,4,0),DT441-VLOOKUP($P441&amp;" | "&amp;DM$6,'Job Master'!$F$12:$I$102,4,0)-1),""),"")</f>
        <v/>
      </c>
      <c r="DP441" s="73"/>
      <c r="DQ441" s="123" t="str">
        <f t="shared" si="810"/>
        <v/>
      </c>
      <c r="DR441" s="123" t="str">
        <f t="shared" si="811"/>
        <v/>
      </c>
      <c r="DS441" s="97" t="str">
        <f t="shared" ca="1" si="812"/>
        <v/>
      </c>
      <c r="DT441" s="70" t="str">
        <f t="shared" si="813"/>
        <v/>
      </c>
      <c r="DU441" s="90"/>
      <c r="DV441" s="123" t="str">
        <f t="shared" si="814"/>
        <v/>
      </c>
      <c r="DW441" s="123" t="str">
        <f t="shared" si="815"/>
        <v/>
      </c>
      <c r="DX441" s="132" t="str">
        <f t="shared" ref="DX441" ca="1" si="874">IF(DT441&lt;&gt;"",IF(WEEKNUM(DT441)=WEEKNUM(TODAY()),"This Week",IF(WEEKNUM(DT441)=WEEKNUM(TODAY())+1,"Next Week",IF(WEEKNUM(DT441)=WEEKNUM(TODAY())-1,"Previous Week",""))),"")</f>
        <v/>
      </c>
      <c r="DY441" s="134" t="str">
        <f t="shared" si="817"/>
        <v/>
      </c>
      <c r="DZ441" s="95"/>
      <c r="EB441" s="8" t="str">
        <f t="shared" si="823"/>
        <v/>
      </c>
      <c r="EC441" s="8" t="str">
        <f>IF(O441&lt;&gt;"",VLOOKUP(O441,'Job Master'!$N$12:$O$18,2,0),"")</f>
        <v/>
      </c>
      <c r="ED441" s="8">
        <f t="shared" si="824"/>
        <v>19.5</v>
      </c>
      <c r="EE441" s="8">
        <f t="shared" si="825"/>
        <v>6</v>
      </c>
      <c r="EF441" s="8">
        <f t="shared" si="826"/>
        <v>-2566.5</v>
      </c>
      <c r="EG441" s="8" t="str">
        <f t="shared" si="827"/>
        <v/>
      </c>
      <c r="EH441" s="8" t="str">
        <f t="shared" si="828"/>
        <v/>
      </c>
    </row>
    <row r="442" spans="2:138" x14ac:dyDescent="0.3">
      <c r="B442" s="112"/>
      <c r="C442" s="27"/>
      <c r="D442" s="7" t="str">
        <f t="shared" si="765"/>
        <v/>
      </c>
      <c r="E442" s="25"/>
      <c r="F442" s="7" t="str">
        <f t="shared" si="765"/>
        <v/>
      </c>
      <c r="G442" s="25"/>
      <c r="H442" s="7" t="str">
        <f t="shared" si="765"/>
        <v/>
      </c>
      <c r="I442" s="25"/>
      <c r="J442" s="7" t="str">
        <f t="shared" si="765"/>
        <v/>
      </c>
      <c r="K442" s="25"/>
      <c r="L442" s="7" t="str">
        <f t="shared" si="766"/>
        <v/>
      </c>
      <c r="M442" s="25"/>
      <c r="N442" s="7" t="str">
        <f t="shared" si="767"/>
        <v/>
      </c>
      <c r="O442" s="81"/>
      <c r="P442" s="81" t="str">
        <f t="shared" si="768"/>
        <v/>
      </c>
      <c r="Q442" s="81"/>
      <c r="R442" s="7" t="str">
        <f t="shared" si="769"/>
        <v/>
      </c>
      <c r="S442" s="25"/>
      <c r="T442" s="7" t="str">
        <f t="shared" si="770"/>
        <v/>
      </c>
      <c r="U442" s="25"/>
      <c r="V442" s="7" t="str">
        <f t="shared" si="771"/>
        <v/>
      </c>
      <c r="W442" s="25"/>
      <c r="X442" s="7" t="str">
        <f t="shared" si="772"/>
        <v/>
      </c>
      <c r="Y442" s="18" t="str">
        <f t="shared" si="773"/>
        <v/>
      </c>
      <c r="Z442" s="7" t="str">
        <f t="shared" si="774"/>
        <v/>
      </c>
      <c r="AA442" s="18" t="str">
        <f t="shared" si="775"/>
        <v/>
      </c>
      <c r="AB442" s="19" t="str">
        <f t="shared" si="776"/>
        <v/>
      </c>
      <c r="AC442" s="26"/>
      <c r="AD442" s="26"/>
      <c r="AE442" s="25"/>
      <c r="AF442" s="26"/>
      <c r="AG442" s="25"/>
      <c r="AH442" s="25"/>
      <c r="AI442" s="18" t="str">
        <f t="shared" si="839"/>
        <v/>
      </c>
      <c r="AJ442" s="25"/>
      <c r="AK442" s="18" t="str">
        <f t="shared" si="840"/>
        <v/>
      </c>
      <c r="AL442" s="79"/>
      <c r="AM442" s="126" t="str">
        <f t="shared" si="841"/>
        <v/>
      </c>
      <c r="AN442" s="128" t="str">
        <f>IF(AP442&lt;&gt;"",VLOOKUP($P442&amp;" | "&amp;AN$6,'Job Master'!$F$12:$J$102,5,0),"")</f>
        <v/>
      </c>
      <c r="AO442" s="19" t="str">
        <f>IF(AP442&lt;&gt;"",VLOOKUP($P442&amp;" | "&amp;AN$6,'Job Master'!$F$12:$J$102,3,0),"")</f>
        <v/>
      </c>
      <c r="AP442" s="19" t="str">
        <f>IFERROR(IF(AND(AW442&lt;&gt;"",VLOOKUP($P442&amp;" | "&amp;AN$6,'Job Master'!$F$12:$I$102,4,0)&lt;&gt;""),IF(WEEKDAY(AW442-VLOOKUP($P442&amp;" | "&amp;AN$6,'Job Master'!$F$12:$I$102,4,0))&lt;&gt;7,AW442-VLOOKUP($P442&amp;" | "&amp;AN$6,'Job Master'!$F$12:$I$102,4,0),AW442-VLOOKUP($P442&amp;" | "&amp;AN$6,'Job Master'!$F$12:$I$102,4,0)-1),""),"")</f>
        <v/>
      </c>
      <c r="AQ442" s="73"/>
      <c r="AR442" s="123" t="str">
        <f t="shared" si="777"/>
        <v/>
      </c>
      <c r="AS442" s="123" t="str">
        <f t="shared" si="778"/>
        <v/>
      </c>
      <c r="AT442" s="97" t="str">
        <f t="shared" ca="1" si="779"/>
        <v/>
      </c>
      <c r="AU442" s="98" t="str">
        <f>IF(AW442&lt;&gt;"",VLOOKUP($P442&amp;" | "&amp;AU$6,'Job Master'!$F$12:$J$102,5,0),"")</f>
        <v/>
      </c>
      <c r="AV442" s="19" t="str">
        <f>IF(AW442&lt;&gt;"",VLOOKUP($P442&amp;" | "&amp;AU$6,'Job Master'!$F$12:$J$102,3,0),"")</f>
        <v/>
      </c>
      <c r="AW442" s="19" t="str">
        <f>IFERROR(IF(AND(BD442&lt;&gt;"",VLOOKUP($P442&amp;" | "&amp;AU$6,'Job Master'!$F$12:$I$102,4,0)&lt;&gt;""),IF(WEEKDAY(BD442-VLOOKUP($P442&amp;" | "&amp;AU$6,'Job Master'!$F$12:$I$102,4,0))&lt;&gt;7,BD442-VLOOKUP($P442&amp;" | "&amp;AU$6,'Job Master'!$F$12:$I$102,4,0),BD442-VLOOKUP($P442&amp;" | "&amp;AU$6,'Job Master'!$F$12:$I$102,4,0)-1),""),"")</f>
        <v/>
      </c>
      <c r="AX442" s="73"/>
      <c r="AY442" s="123" t="str">
        <f t="shared" si="780"/>
        <v/>
      </c>
      <c r="AZ442" s="123" t="str">
        <f t="shared" si="781"/>
        <v/>
      </c>
      <c r="BA442" s="97" t="str">
        <f t="shared" ca="1" si="782"/>
        <v/>
      </c>
      <c r="BB442" s="98" t="str">
        <f>IF(BD442&lt;&gt;"",VLOOKUP($P442&amp;" | "&amp;BB$6,'Job Master'!$F$12:$J$102,5,0),"")</f>
        <v/>
      </c>
      <c r="BC442" s="19" t="str">
        <f>IF(BD442&lt;&gt;"",VLOOKUP($P442&amp;" | "&amp;BB$6,'Job Master'!$F$12:$J$102,3,0),"")</f>
        <v/>
      </c>
      <c r="BD442" s="19" t="str">
        <f>IFERROR(IF(AND(BK442&lt;&gt;"",VLOOKUP($P442&amp;" | "&amp;BB$6,'Job Master'!$F$12:$I$102,4,0)&lt;&gt;""),IF(WEEKDAY(BK442-VLOOKUP($P442&amp;" | "&amp;BB$6,'Job Master'!$F$12:$I$102,4,0))&lt;&gt;7,BK442-VLOOKUP($P442&amp;" | "&amp;BB$6,'Job Master'!$F$12:$I$102,4,0),BK442-VLOOKUP($P442&amp;" | "&amp;BB$6,'Job Master'!$F$12:$I$102,4,0)-1),""),"")</f>
        <v/>
      </c>
      <c r="BE442" s="73"/>
      <c r="BF442" s="123" t="str">
        <f t="shared" si="783"/>
        <v/>
      </c>
      <c r="BG442" s="123" t="str">
        <f t="shared" si="784"/>
        <v/>
      </c>
      <c r="BH442" s="97" t="str">
        <f t="shared" ca="1" si="785"/>
        <v/>
      </c>
      <c r="BI442" s="98" t="str">
        <f>IF(BK442&lt;&gt;"",VLOOKUP($P442&amp;" | "&amp;BI$6,'Job Master'!$F$12:$J$102,5,0),"")</f>
        <v/>
      </c>
      <c r="BJ442" s="19" t="str">
        <f>IF(BK442&lt;&gt;"",VLOOKUP($P442&amp;" | "&amp;BI$6,'Job Master'!$F$12:$J$102,3,0),"")</f>
        <v/>
      </c>
      <c r="BK442" s="19" t="str">
        <f>IFERROR(IF(AND(BR442&lt;&gt;"",VLOOKUP($P442&amp;" | "&amp;BI$6,'Job Master'!$F$12:$I$102,4,0)&lt;&gt;""),IF(WEEKDAY(BR442-VLOOKUP($P442&amp;" | "&amp;BI$6,'Job Master'!$F$12:$I$102,4,0))&lt;&gt;7,BR442-VLOOKUP($P442&amp;" | "&amp;BI$6,'Job Master'!$F$12:$I$102,4,0),BR442-VLOOKUP($P442&amp;" | "&amp;BI$6,'Job Master'!$F$12:$I$102,4,0)-1),""),"")</f>
        <v/>
      </c>
      <c r="BL442" s="73"/>
      <c r="BM442" s="123" t="str">
        <f t="shared" si="786"/>
        <v/>
      </c>
      <c r="BN442" s="123" t="str">
        <f t="shared" si="787"/>
        <v/>
      </c>
      <c r="BO442" s="97" t="str">
        <f t="shared" ca="1" si="788"/>
        <v/>
      </c>
      <c r="BP442" s="98" t="str">
        <f>IF(BR442&lt;&gt;"",VLOOKUP($P442&amp;" | "&amp;BP$6,'Job Master'!$F$12:$J$102,5,0),"")</f>
        <v/>
      </c>
      <c r="BQ442" s="19" t="str">
        <f>IF(BR442&lt;&gt;"",VLOOKUP($P442&amp;" | "&amp;BP$6,'Job Master'!$F$12:$J$102,3,0),"")</f>
        <v/>
      </c>
      <c r="BR442" s="19" t="str">
        <f>IFERROR(IF(AND(BY442&lt;&gt;"",VLOOKUP($P442&amp;" | "&amp;BP$6,'Job Master'!$F$12:$I$102,4,0)&lt;&gt;""),IF(WEEKDAY(BY442-VLOOKUP($P442&amp;" | "&amp;BP$6,'Job Master'!$F$12:$I$102,4,0))&lt;&gt;7,BY442-VLOOKUP($P442&amp;" | "&amp;BP$6,'Job Master'!$F$12:$I$102,4,0),BY442-VLOOKUP($P442&amp;" | "&amp;BP$6,'Job Master'!$F$12:$I$102,4,0)-1),""),"")</f>
        <v/>
      </c>
      <c r="BS442" s="73"/>
      <c r="BT442" s="123" t="str">
        <f t="shared" si="789"/>
        <v/>
      </c>
      <c r="BU442" s="123" t="str">
        <f t="shared" si="790"/>
        <v/>
      </c>
      <c r="BV442" s="97" t="str">
        <f t="shared" ca="1" si="791"/>
        <v/>
      </c>
      <c r="BW442" s="98" t="str">
        <f>IF(BY442&lt;&gt;"",VLOOKUP($P442&amp;" | "&amp;BW$6,'Job Master'!$F$12:$J$102,5,0),"")</f>
        <v/>
      </c>
      <c r="BX442" s="19" t="str">
        <f>IF(BY442&lt;&gt;"",VLOOKUP($P442&amp;" | "&amp;BW$6,'Job Master'!$F$12:$J$102,3,0),"")</f>
        <v/>
      </c>
      <c r="BY442" s="19" t="str">
        <f>IFERROR(IF(AND(CF442&lt;&gt;"",VLOOKUP($P442&amp;" | "&amp;BW$6,'Job Master'!$F$12:$I$102,4,0)&lt;&gt;""),IF(WEEKDAY(CF442-VLOOKUP($P442&amp;" | "&amp;BW$6,'Job Master'!$F$12:$I$102,4,0))&lt;&gt;7,CF442-VLOOKUP($P442&amp;" | "&amp;BW$6,'Job Master'!$F$12:$I$102,4,0),CF442-VLOOKUP($P442&amp;" | "&amp;BW$6,'Job Master'!$F$12:$I$102,4,0)-1),""),"")</f>
        <v/>
      </c>
      <c r="BZ442" s="73"/>
      <c r="CA442" s="123" t="str">
        <f t="shared" si="792"/>
        <v/>
      </c>
      <c r="CB442" s="123" t="str">
        <f t="shared" si="793"/>
        <v/>
      </c>
      <c r="CC442" s="97" t="str">
        <f t="shared" ca="1" si="794"/>
        <v/>
      </c>
      <c r="CD442" s="98" t="str">
        <f>IF(CF442&lt;&gt;"",VLOOKUP($P442&amp;" | "&amp;CD$6,'Job Master'!$F$12:$J$102,5,0),"")</f>
        <v/>
      </c>
      <c r="CE442" s="19" t="str">
        <f>IF(CF442&lt;&gt;"",VLOOKUP($P442&amp;" | "&amp;CD$6,'Job Master'!$F$12:$J$102,3,0),"")</f>
        <v/>
      </c>
      <c r="CF442" s="19" t="str">
        <f>IFERROR(IF(AND(CM442&lt;&gt;"",VLOOKUP($P442&amp;" | "&amp;CD$6,'Job Master'!$F$12:$I$102,4,0)&lt;&gt;""),IF(WEEKDAY(CM442-VLOOKUP($P442&amp;" | "&amp;CD$6,'Job Master'!$F$12:$I$102,4,0))&lt;&gt;7,CM442-VLOOKUP($P442&amp;" | "&amp;CD$6,'Job Master'!$F$12:$I$102,4,0),CM442-VLOOKUP($P442&amp;" | "&amp;CD$6,'Job Master'!$F$12:$I$102,4,0)-1),""),"")</f>
        <v/>
      </c>
      <c r="CG442" s="73"/>
      <c r="CH442" s="123" t="str">
        <f t="shared" si="795"/>
        <v/>
      </c>
      <c r="CI442" s="123" t="str">
        <f t="shared" si="796"/>
        <v/>
      </c>
      <c r="CJ442" s="97" t="str">
        <f t="shared" ca="1" si="797"/>
        <v/>
      </c>
      <c r="CK442" s="98" t="str">
        <f>IF(CM442&lt;&gt;"",VLOOKUP($P442&amp;" | "&amp;CK$6,'Job Master'!$F$12:$J$102,5,0),"")</f>
        <v/>
      </c>
      <c r="CL442" s="19" t="str">
        <f>IF(CM442&lt;&gt;"",VLOOKUP($P442&amp;" | "&amp;CK$6,'Job Master'!$F$12:$J$102,3,0),"")</f>
        <v/>
      </c>
      <c r="CM442" s="19" t="str">
        <f>IFERROR(IF(AND(CT442&lt;&gt;"",VLOOKUP($P442&amp;" | "&amp;CK$6,'Job Master'!$F$12:$I$102,4,0)&lt;&gt;""),IF(WEEKDAY(CT442-VLOOKUP($P442&amp;" | "&amp;CK$6,'Job Master'!$F$12:$I$102,4,0))&lt;&gt;7,CT442-VLOOKUP($P442&amp;" | "&amp;CK$6,'Job Master'!$F$12:$I$102,4,0),CT442-VLOOKUP($P442&amp;" | "&amp;CK$6,'Job Master'!$F$12:$I$102,4,0)-1),""),"")</f>
        <v/>
      </c>
      <c r="CN442" s="73"/>
      <c r="CO442" s="123" t="str">
        <f t="shared" si="798"/>
        <v/>
      </c>
      <c r="CP442" s="123" t="str">
        <f t="shared" si="799"/>
        <v/>
      </c>
      <c r="CQ442" s="97" t="str">
        <f t="shared" ca="1" si="800"/>
        <v/>
      </c>
      <c r="CR442" s="98" t="str">
        <f>IF(CT442&lt;&gt;"",VLOOKUP($P442&amp;" | "&amp;CR$6,'Job Master'!$F$12:$J$102,5,0),"")</f>
        <v/>
      </c>
      <c r="CS442" s="19" t="str">
        <f>IF(CT442&lt;&gt;"",VLOOKUP($P442&amp;" | "&amp;CR$6,'Job Master'!$F$12:$J$102,3,0),"")</f>
        <v/>
      </c>
      <c r="CT442" s="19" t="str">
        <f>IFERROR(IF(AND(DA442&lt;&gt;"",VLOOKUP($P442&amp;" | "&amp;CR$6,'Job Master'!$F$12:$I$102,4,0)&lt;&gt;""),IF(WEEKDAY(DA442-VLOOKUP($P442&amp;" | "&amp;CR$6,'Job Master'!$F$12:$I$102,4,0))&lt;&gt;7,DA442-VLOOKUP($P442&amp;" | "&amp;CR$6,'Job Master'!$F$12:$I$102,4,0),DA442-VLOOKUP($P442&amp;" | "&amp;CR$6,'Job Master'!$F$12:$I$102,4,0)-1),""),"")</f>
        <v/>
      </c>
      <c r="CU442" s="73"/>
      <c r="CV442" s="123" t="str">
        <f t="shared" si="801"/>
        <v/>
      </c>
      <c r="CW442" s="123" t="str">
        <f t="shared" si="802"/>
        <v/>
      </c>
      <c r="CX442" s="97" t="str">
        <f t="shared" ca="1" si="803"/>
        <v/>
      </c>
      <c r="CY442" s="98" t="str">
        <f>IF(DA442&lt;&gt;"",VLOOKUP($P442&amp;" | "&amp;CY$6,'Job Master'!$F$12:$J$102,5,0),"")</f>
        <v/>
      </c>
      <c r="CZ442" s="19" t="str">
        <f>IF(DA442&lt;&gt;"",VLOOKUP($P442&amp;" | "&amp;CY$6,'Job Master'!$F$12:$J$102,3,0),"")</f>
        <v/>
      </c>
      <c r="DA442" s="19" t="str">
        <f>IFERROR(IF(AND(DH442&lt;&gt;"",VLOOKUP($P442&amp;" | "&amp;CY$6,'Job Master'!$F$12:$I$102,4,0)&lt;&gt;""),IF(WEEKDAY(DH442-VLOOKUP($P442&amp;" | "&amp;CY$6,'Job Master'!$F$12:$I$102,4,0))&lt;&gt;7,DH442-VLOOKUP($P442&amp;" | "&amp;CY$6,'Job Master'!$F$12:$I$102,4,0),DH442-VLOOKUP($P442&amp;" | "&amp;CY$6,'Job Master'!$F$12:$I$102,4,0)-1),""),"")</f>
        <v/>
      </c>
      <c r="DB442" s="73"/>
      <c r="DC442" s="123" t="str">
        <f t="shared" si="804"/>
        <v/>
      </c>
      <c r="DD442" s="123" t="str">
        <f t="shared" si="805"/>
        <v/>
      </c>
      <c r="DE442" s="97" t="str">
        <f t="shared" ca="1" si="806"/>
        <v/>
      </c>
      <c r="DF442" s="98" t="str">
        <f>IF(DH442&lt;&gt;"",VLOOKUP($P442&amp;" | "&amp;DF$6,'Job Master'!$F$12:$J$102,5,0),"")</f>
        <v/>
      </c>
      <c r="DG442" s="19" t="str">
        <f>IF(DH442&lt;&gt;"",VLOOKUP($P442&amp;" | "&amp;DF$6,'Job Master'!$F$12:$J$102,3,0),"")</f>
        <v/>
      </c>
      <c r="DH442" s="19" t="str">
        <f>IFERROR(IF(AND(DO442&lt;&gt;"",VLOOKUP($P442&amp;" | "&amp;DF$6,'Job Master'!$F$12:$I$102,4,0)&lt;&gt;""),IF(WEEKDAY(DO442-VLOOKUP($P442&amp;" | "&amp;DF$6,'Job Master'!$F$12:$I$102,4,0))&lt;&gt;7,DO442-VLOOKUP($P442&amp;" | "&amp;DF$6,'Job Master'!$F$12:$I$102,4,0),DO442-VLOOKUP($P442&amp;" | "&amp;DF$6,'Job Master'!$F$12:$I$102,4,0)-1),""),"")</f>
        <v/>
      </c>
      <c r="DI442" s="73"/>
      <c r="DJ442" s="123" t="str">
        <f t="shared" si="807"/>
        <v/>
      </c>
      <c r="DK442" s="123" t="str">
        <f t="shared" si="808"/>
        <v/>
      </c>
      <c r="DL442" s="97" t="str">
        <f t="shared" ca="1" si="809"/>
        <v/>
      </c>
      <c r="DM442" s="98" t="str">
        <f>IF(DO442&lt;&gt;"",VLOOKUP($P442&amp;" | "&amp;DM$6,'Job Master'!$F$12:$J$102,5,0),"")</f>
        <v/>
      </c>
      <c r="DN442" s="19" t="str">
        <f>IF(DO442&lt;&gt;"",VLOOKUP($P442&amp;" | "&amp;DM$6,'Job Master'!$F$12:$J$102,3,0),"")</f>
        <v/>
      </c>
      <c r="DO442" s="19" t="str">
        <f>IFERROR(IF(AND(DT442&lt;&gt;"",VLOOKUP($P442&amp;" | "&amp;DM$6,'Job Master'!$F$12:$I$102,4,0)&lt;&gt;""),IF(WEEKDAY(DT442-VLOOKUP($P442&amp;" | "&amp;DM$6,'Job Master'!$F$12:$I$102,4,0))&lt;&gt;7,DT442-VLOOKUP($P442&amp;" | "&amp;DM$6,'Job Master'!$F$12:$I$102,4,0),DT442-VLOOKUP($P442&amp;" | "&amp;DM$6,'Job Master'!$F$12:$I$102,4,0)-1),""),"")</f>
        <v/>
      </c>
      <c r="DP442" s="73"/>
      <c r="DQ442" s="123" t="str">
        <f t="shared" si="810"/>
        <v/>
      </c>
      <c r="DR442" s="123" t="str">
        <f t="shared" si="811"/>
        <v/>
      </c>
      <c r="DS442" s="97" t="str">
        <f t="shared" ca="1" si="812"/>
        <v/>
      </c>
      <c r="DT442" s="70" t="str">
        <f t="shared" si="813"/>
        <v/>
      </c>
      <c r="DU442" s="90"/>
      <c r="DV442" s="123" t="str">
        <f t="shared" si="814"/>
        <v/>
      </c>
      <c r="DW442" s="123" t="str">
        <f t="shared" si="815"/>
        <v/>
      </c>
      <c r="DX442" s="132" t="str">
        <f t="shared" ref="DX442" ca="1" si="875">IF(DT442&lt;&gt;"",IF(WEEKNUM(DT442)=WEEKNUM(TODAY()),"This Week",IF(WEEKNUM(DT442)=WEEKNUM(TODAY())+1,"Next Week",IF(WEEKNUM(DT442)=WEEKNUM(TODAY())-1,"Previous Week",""))),"")</f>
        <v/>
      </c>
      <c r="DY442" s="134" t="str">
        <f t="shared" si="817"/>
        <v/>
      </c>
      <c r="DZ442" s="95"/>
      <c r="EB442" s="8" t="str">
        <f t="shared" si="823"/>
        <v/>
      </c>
      <c r="EC442" s="8" t="str">
        <f>IF(O442&lt;&gt;"",VLOOKUP(O442,'Job Master'!$N$12:$O$18,2,0),"")</f>
        <v/>
      </c>
      <c r="ED442" s="8">
        <f t="shared" si="824"/>
        <v>19.5</v>
      </c>
      <c r="EE442" s="8">
        <f t="shared" si="825"/>
        <v>6</v>
      </c>
      <c r="EF442" s="8">
        <f t="shared" si="826"/>
        <v>-2572.5</v>
      </c>
      <c r="EG442" s="8" t="str">
        <f t="shared" si="827"/>
        <v/>
      </c>
      <c r="EH442" s="8" t="str">
        <f t="shared" si="828"/>
        <v/>
      </c>
    </row>
    <row r="443" spans="2:138" x14ac:dyDescent="0.3">
      <c r="B443" s="112"/>
      <c r="C443" s="27"/>
      <c r="D443" s="7" t="str">
        <f t="shared" si="765"/>
        <v/>
      </c>
      <c r="E443" s="25"/>
      <c r="F443" s="7" t="str">
        <f t="shared" si="765"/>
        <v/>
      </c>
      <c r="G443" s="25"/>
      <c r="H443" s="7" t="str">
        <f t="shared" si="765"/>
        <v/>
      </c>
      <c r="I443" s="25"/>
      <c r="J443" s="7" t="str">
        <f t="shared" si="765"/>
        <v/>
      </c>
      <c r="K443" s="25"/>
      <c r="L443" s="7" t="str">
        <f t="shared" si="766"/>
        <v/>
      </c>
      <c r="M443" s="25"/>
      <c r="N443" s="7" t="str">
        <f t="shared" si="767"/>
        <v/>
      </c>
      <c r="O443" s="81"/>
      <c r="P443" s="81" t="str">
        <f t="shared" si="768"/>
        <v/>
      </c>
      <c r="Q443" s="81"/>
      <c r="R443" s="7" t="str">
        <f t="shared" si="769"/>
        <v/>
      </c>
      <c r="S443" s="25"/>
      <c r="T443" s="7" t="str">
        <f t="shared" si="770"/>
        <v/>
      </c>
      <c r="U443" s="25"/>
      <c r="V443" s="7" t="str">
        <f t="shared" si="771"/>
        <v/>
      </c>
      <c r="W443" s="25"/>
      <c r="X443" s="7" t="str">
        <f t="shared" si="772"/>
        <v/>
      </c>
      <c r="Y443" s="18" t="str">
        <f t="shared" si="773"/>
        <v/>
      </c>
      <c r="Z443" s="7" t="str">
        <f t="shared" si="774"/>
        <v/>
      </c>
      <c r="AA443" s="18" t="str">
        <f t="shared" si="775"/>
        <v/>
      </c>
      <c r="AB443" s="19" t="str">
        <f t="shared" si="776"/>
        <v/>
      </c>
      <c r="AC443" s="26"/>
      <c r="AD443" s="26"/>
      <c r="AE443" s="25"/>
      <c r="AF443" s="26"/>
      <c r="AG443" s="25"/>
      <c r="AH443" s="25"/>
      <c r="AI443" s="18" t="str">
        <f t="shared" si="839"/>
        <v/>
      </c>
      <c r="AJ443" s="25"/>
      <c r="AK443" s="18" t="str">
        <f t="shared" si="840"/>
        <v/>
      </c>
      <c r="AL443" s="79"/>
      <c r="AM443" s="126" t="str">
        <f t="shared" si="841"/>
        <v/>
      </c>
      <c r="AN443" s="128" t="str">
        <f>IF(AP443&lt;&gt;"",VLOOKUP($P443&amp;" | "&amp;AN$6,'Job Master'!$F$12:$J$102,5,0),"")</f>
        <v/>
      </c>
      <c r="AO443" s="19" t="str">
        <f>IF(AP443&lt;&gt;"",VLOOKUP($P443&amp;" | "&amp;AN$6,'Job Master'!$F$12:$J$102,3,0),"")</f>
        <v/>
      </c>
      <c r="AP443" s="19" t="str">
        <f>IFERROR(IF(AND(AW443&lt;&gt;"",VLOOKUP($P443&amp;" | "&amp;AN$6,'Job Master'!$F$12:$I$102,4,0)&lt;&gt;""),IF(WEEKDAY(AW443-VLOOKUP($P443&amp;" | "&amp;AN$6,'Job Master'!$F$12:$I$102,4,0))&lt;&gt;7,AW443-VLOOKUP($P443&amp;" | "&amp;AN$6,'Job Master'!$F$12:$I$102,4,0),AW443-VLOOKUP($P443&amp;" | "&amp;AN$6,'Job Master'!$F$12:$I$102,4,0)-1),""),"")</f>
        <v/>
      </c>
      <c r="AQ443" s="73"/>
      <c r="AR443" s="123" t="str">
        <f t="shared" si="777"/>
        <v/>
      </c>
      <c r="AS443" s="123" t="str">
        <f t="shared" si="778"/>
        <v/>
      </c>
      <c r="AT443" s="97" t="str">
        <f t="shared" ca="1" si="779"/>
        <v/>
      </c>
      <c r="AU443" s="98" t="str">
        <f>IF(AW443&lt;&gt;"",VLOOKUP($P443&amp;" | "&amp;AU$6,'Job Master'!$F$12:$J$102,5,0),"")</f>
        <v/>
      </c>
      <c r="AV443" s="19" t="str">
        <f>IF(AW443&lt;&gt;"",VLOOKUP($P443&amp;" | "&amp;AU$6,'Job Master'!$F$12:$J$102,3,0),"")</f>
        <v/>
      </c>
      <c r="AW443" s="19" t="str">
        <f>IFERROR(IF(AND(BD443&lt;&gt;"",VLOOKUP($P443&amp;" | "&amp;AU$6,'Job Master'!$F$12:$I$102,4,0)&lt;&gt;""),IF(WEEKDAY(BD443-VLOOKUP($P443&amp;" | "&amp;AU$6,'Job Master'!$F$12:$I$102,4,0))&lt;&gt;7,BD443-VLOOKUP($P443&amp;" | "&amp;AU$6,'Job Master'!$F$12:$I$102,4,0),BD443-VLOOKUP($P443&amp;" | "&amp;AU$6,'Job Master'!$F$12:$I$102,4,0)-1),""),"")</f>
        <v/>
      </c>
      <c r="AX443" s="73"/>
      <c r="AY443" s="123" t="str">
        <f t="shared" si="780"/>
        <v/>
      </c>
      <c r="AZ443" s="123" t="str">
        <f t="shared" si="781"/>
        <v/>
      </c>
      <c r="BA443" s="97" t="str">
        <f t="shared" ca="1" si="782"/>
        <v/>
      </c>
      <c r="BB443" s="98" t="str">
        <f>IF(BD443&lt;&gt;"",VLOOKUP($P443&amp;" | "&amp;BB$6,'Job Master'!$F$12:$J$102,5,0),"")</f>
        <v/>
      </c>
      <c r="BC443" s="19" t="str">
        <f>IF(BD443&lt;&gt;"",VLOOKUP($P443&amp;" | "&amp;BB$6,'Job Master'!$F$12:$J$102,3,0),"")</f>
        <v/>
      </c>
      <c r="BD443" s="19" t="str">
        <f>IFERROR(IF(AND(BK443&lt;&gt;"",VLOOKUP($P443&amp;" | "&amp;BB$6,'Job Master'!$F$12:$I$102,4,0)&lt;&gt;""),IF(WEEKDAY(BK443-VLOOKUP($P443&amp;" | "&amp;BB$6,'Job Master'!$F$12:$I$102,4,0))&lt;&gt;7,BK443-VLOOKUP($P443&amp;" | "&amp;BB$6,'Job Master'!$F$12:$I$102,4,0),BK443-VLOOKUP($P443&amp;" | "&amp;BB$6,'Job Master'!$F$12:$I$102,4,0)-1),""),"")</f>
        <v/>
      </c>
      <c r="BE443" s="73"/>
      <c r="BF443" s="123" t="str">
        <f t="shared" si="783"/>
        <v/>
      </c>
      <c r="BG443" s="123" t="str">
        <f t="shared" si="784"/>
        <v/>
      </c>
      <c r="BH443" s="97" t="str">
        <f t="shared" ca="1" si="785"/>
        <v/>
      </c>
      <c r="BI443" s="98" t="str">
        <f>IF(BK443&lt;&gt;"",VLOOKUP($P443&amp;" | "&amp;BI$6,'Job Master'!$F$12:$J$102,5,0),"")</f>
        <v/>
      </c>
      <c r="BJ443" s="19" t="str">
        <f>IF(BK443&lt;&gt;"",VLOOKUP($P443&amp;" | "&amp;BI$6,'Job Master'!$F$12:$J$102,3,0),"")</f>
        <v/>
      </c>
      <c r="BK443" s="19" t="str">
        <f>IFERROR(IF(AND(BR443&lt;&gt;"",VLOOKUP($P443&amp;" | "&amp;BI$6,'Job Master'!$F$12:$I$102,4,0)&lt;&gt;""),IF(WEEKDAY(BR443-VLOOKUP($P443&amp;" | "&amp;BI$6,'Job Master'!$F$12:$I$102,4,0))&lt;&gt;7,BR443-VLOOKUP($P443&amp;" | "&amp;BI$6,'Job Master'!$F$12:$I$102,4,0),BR443-VLOOKUP($P443&amp;" | "&amp;BI$6,'Job Master'!$F$12:$I$102,4,0)-1),""),"")</f>
        <v/>
      </c>
      <c r="BL443" s="73"/>
      <c r="BM443" s="123" t="str">
        <f t="shared" si="786"/>
        <v/>
      </c>
      <c r="BN443" s="123" t="str">
        <f t="shared" si="787"/>
        <v/>
      </c>
      <c r="BO443" s="97" t="str">
        <f t="shared" ca="1" si="788"/>
        <v/>
      </c>
      <c r="BP443" s="98" t="str">
        <f>IF(BR443&lt;&gt;"",VLOOKUP($P443&amp;" | "&amp;BP$6,'Job Master'!$F$12:$J$102,5,0),"")</f>
        <v/>
      </c>
      <c r="BQ443" s="19" t="str">
        <f>IF(BR443&lt;&gt;"",VLOOKUP($P443&amp;" | "&amp;BP$6,'Job Master'!$F$12:$J$102,3,0),"")</f>
        <v/>
      </c>
      <c r="BR443" s="19" t="str">
        <f>IFERROR(IF(AND(BY443&lt;&gt;"",VLOOKUP($P443&amp;" | "&amp;BP$6,'Job Master'!$F$12:$I$102,4,0)&lt;&gt;""),IF(WEEKDAY(BY443-VLOOKUP($P443&amp;" | "&amp;BP$6,'Job Master'!$F$12:$I$102,4,0))&lt;&gt;7,BY443-VLOOKUP($P443&amp;" | "&amp;BP$6,'Job Master'!$F$12:$I$102,4,0),BY443-VLOOKUP($P443&amp;" | "&amp;BP$6,'Job Master'!$F$12:$I$102,4,0)-1),""),"")</f>
        <v/>
      </c>
      <c r="BS443" s="73"/>
      <c r="BT443" s="123" t="str">
        <f t="shared" si="789"/>
        <v/>
      </c>
      <c r="BU443" s="123" t="str">
        <f t="shared" si="790"/>
        <v/>
      </c>
      <c r="BV443" s="97" t="str">
        <f t="shared" ca="1" si="791"/>
        <v/>
      </c>
      <c r="BW443" s="98" t="str">
        <f>IF(BY443&lt;&gt;"",VLOOKUP($P443&amp;" | "&amp;BW$6,'Job Master'!$F$12:$J$102,5,0),"")</f>
        <v/>
      </c>
      <c r="BX443" s="19" t="str">
        <f>IF(BY443&lt;&gt;"",VLOOKUP($P443&amp;" | "&amp;BW$6,'Job Master'!$F$12:$J$102,3,0),"")</f>
        <v/>
      </c>
      <c r="BY443" s="19" t="str">
        <f>IFERROR(IF(AND(CF443&lt;&gt;"",VLOOKUP($P443&amp;" | "&amp;BW$6,'Job Master'!$F$12:$I$102,4,0)&lt;&gt;""),IF(WEEKDAY(CF443-VLOOKUP($P443&amp;" | "&amp;BW$6,'Job Master'!$F$12:$I$102,4,0))&lt;&gt;7,CF443-VLOOKUP($P443&amp;" | "&amp;BW$6,'Job Master'!$F$12:$I$102,4,0),CF443-VLOOKUP($P443&amp;" | "&amp;BW$6,'Job Master'!$F$12:$I$102,4,0)-1),""),"")</f>
        <v/>
      </c>
      <c r="BZ443" s="73"/>
      <c r="CA443" s="123" t="str">
        <f t="shared" si="792"/>
        <v/>
      </c>
      <c r="CB443" s="123" t="str">
        <f t="shared" si="793"/>
        <v/>
      </c>
      <c r="CC443" s="97" t="str">
        <f t="shared" ca="1" si="794"/>
        <v/>
      </c>
      <c r="CD443" s="98" t="str">
        <f>IF(CF443&lt;&gt;"",VLOOKUP($P443&amp;" | "&amp;CD$6,'Job Master'!$F$12:$J$102,5,0),"")</f>
        <v/>
      </c>
      <c r="CE443" s="19" t="str">
        <f>IF(CF443&lt;&gt;"",VLOOKUP($P443&amp;" | "&amp;CD$6,'Job Master'!$F$12:$J$102,3,0),"")</f>
        <v/>
      </c>
      <c r="CF443" s="19" t="str">
        <f>IFERROR(IF(AND(CM443&lt;&gt;"",VLOOKUP($P443&amp;" | "&amp;CD$6,'Job Master'!$F$12:$I$102,4,0)&lt;&gt;""),IF(WEEKDAY(CM443-VLOOKUP($P443&amp;" | "&amp;CD$6,'Job Master'!$F$12:$I$102,4,0))&lt;&gt;7,CM443-VLOOKUP($P443&amp;" | "&amp;CD$6,'Job Master'!$F$12:$I$102,4,0),CM443-VLOOKUP($P443&amp;" | "&amp;CD$6,'Job Master'!$F$12:$I$102,4,0)-1),""),"")</f>
        <v/>
      </c>
      <c r="CG443" s="73"/>
      <c r="CH443" s="123" t="str">
        <f t="shared" si="795"/>
        <v/>
      </c>
      <c r="CI443" s="123" t="str">
        <f t="shared" si="796"/>
        <v/>
      </c>
      <c r="CJ443" s="97" t="str">
        <f t="shared" ca="1" si="797"/>
        <v/>
      </c>
      <c r="CK443" s="98" t="str">
        <f>IF(CM443&lt;&gt;"",VLOOKUP($P443&amp;" | "&amp;CK$6,'Job Master'!$F$12:$J$102,5,0),"")</f>
        <v/>
      </c>
      <c r="CL443" s="19" t="str">
        <f>IF(CM443&lt;&gt;"",VLOOKUP($P443&amp;" | "&amp;CK$6,'Job Master'!$F$12:$J$102,3,0),"")</f>
        <v/>
      </c>
      <c r="CM443" s="19" t="str">
        <f>IFERROR(IF(AND(CT443&lt;&gt;"",VLOOKUP($P443&amp;" | "&amp;CK$6,'Job Master'!$F$12:$I$102,4,0)&lt;&gt;""),IF(WEEKDAY(CT443-VLOOKUP($P443&amp;" | "&amp;CK$6,'Job Master'!$F$12:$I$102,4,0))&lt;&gt;7,CT443-VLOOKUP($P443&amp;" | "&amp;CK$6,'Job Master'!$F$12:$I$102,4,0),CT443-VLOOKUP($P443&amp;" | "&amp;CK$6,'Job Master'!$F$12:$I$102,4,0)-1),""),"")</f>
        <v/>
      </c>
      <c r="CN443" s="73"/>
      <c r="CO443" s="123" t="str">
        <f t="shared" si="798"/>
        <v/>
      </c>
      <c r="CP443" s="123" t="str">
        <f t="shared" si="799"/>
        <v/>
      </c>
      <c r="CQ443" s="97" t="str">
        <f t="shared" ca="1" si="800"/>
        <v/>
      </c>
      <c r="CR443" s="98" t="str">
        <f>IF(CT443&lt;&gt;"",VLOOKUP($P443&amp;" | "&amp;CR$6,'Job Master'!$F$12:$J$102,5,0),"")</f>
        <v/>
      </c>
      <c r="CS443" s="19" t="str">
        <f>IF(CT443&lt;&gt;"",VLOOKUP($P443&amp;" | "&amp;CR$6,'Job Master'!$F$12:$J$102,3,0),"")</f>
        <v/>
      </c>
      <c r="CT443" s="19" t="str">
        <f>IFERROR(IF(AND(DA443&lt;&gt;"",VLOOKUP($P443&amp;" | "&amp;CR$6,'Job Master'!$F$12:$I$102,4,0)&lt;&gt;""),IF(WEEKDAY(DA443-VLOOKUP($P443&amp;" | "&amp;CR$6,'Job Master'!$F$12:$I$102,4,0))&lt;&gt;7,DA443-VLOOKUP($P443&amp;" | "&amp;CR$6,'Job Master'!$F$12:$I$102,4,0),DA443-VLOOKUP($P443&amp;" | "&amp;CR$6,'Job Master'!$F$12:$I$102,4,0)-1),""),"")</f>
        <v/>
      </c>
      <c r="CU443" s="73"/>
      <c r="CV443" s="123" t="str">
        <f t="shared" si="801"/>
        <v/>
      </c>
      <c r="CW443" s="123" t="str">
        <f t="shared" si="802"/>
        <v/>
      </c>
      <c r="CX443" s="97" t="str">
        <f t="shared" ca="1" si="803"/>
        <v/>
      </c>
      <c r="CY443" s="98" t="str">
        <f>IF(DA443&lt;&gt;"",VLOOKUP($P443&amp;" | "&amp;CY$6,'Job Master'!$F$12:$J$102,5,0),"")</f>
        <v/>
      </c>
      <c r="CZ443" s="19" t="str">
        <f>IF(DA443&lt;&gt;"",VLOOKUP($P443&amp;" | "&amp;CY$6,'Job Master'!$F$12:$J$102,3,0),"")</f>
        <v/>
      </c>
      <c r="DA443" s="19" t="str">
        <f>IFERROR(IF(AND(DH443&lt;&gt;"",VLOOKUP($P443&amp;" | "&amp;CY$6,'Job Master'!$F$12:$I$102,4,0)&lt;&gt;""),IF(WEEKDAY(DH443-VLOOKUP($P443&amp;" | "&amp;CY$6,'Job Master'!$F$12:$I$102,4,0))&lt;&gt;7,DH443-VLOOKUP($P443&amp;" | "&amp;CY$6,'Job Master'!$F$12:$I$102,4,0),DH443-VLOOKUP($P443&amp;" | "&amp;CY$6,'Job Master'!$F$12:$I$102,4,0)-1),""),"")</f>
        <v/>
      </c>
      <c r="DB443" s="73"/>
      <c r="DC443" s="123" t="str">
        <f t="shared" si="804"/>
        <v/>
      </c>
      <c r="DD443" s="123" t="str">
        <f t="shared" si="805"/>
        <v/>
      </c>
      <c r="DE443" s="97" t="str">
        <f t="shared" ca="1" si="806"/>
        <v/>
      </c>
      <c r="DF443" s="98" t="str">
        <f>IF(DH443&lt;&gt;"",VLOOKUP($P443&amp;" | "&amp;DF$6,'Job Master'!$F$12:$J$102,5,0),"")</f>
        <v/>
      </c>
      <c r="DG443" s="19" t="str">
        <f>IF(DH443&lt;&gt;"",VLOOKUP($P443&amp;" | "&amp;DF$6,'Job Master'!$F$12:$J$102,3,0),"")</f>
        <v/>
      </c>
      <c r="DH443" s="19" t="str">
        <f>IFERROR(IF(AND(DO443&lt;&gt;"",VLOOKUP($P443&amp;" | "&amp;DF$6,'Job Master'!$F$12:$I$102,4,0)&lt;&gt;""),IF(WEEKDAY(DO443-VLOOKUP($P443&amp;" | "&amp;DF$6,'Job Master'!$F$12:$I$102,4,0))&lt;&gt;7,DO443-VLOOKUP($P443&amp;" | "&amp;DF$6,'Job Master'!$F$12:$I$102,4,0),DO443-VLOOKUP($P443&amp;" | "&amp;DF$6,'Job Master'!$F$12:$I$102,4,0)-1),""),"")</f>
        <v/>
      </c>
      <c r="DI443" s="73"/>
      <c r="DJ443" s="123" t="str">
        <f t="shared" si="807"/>
        <v/>
      </c>
      <c r="DK443" s="123" t="str">
        <f t="shared" si="808"/>
        <v/>
      </c>
      <c r="DL443" s="97" t="str">
        <f t="shared" ca="1" si="809"/>
        <v/>
      </c>
      <c r="DM443" s="98" t="str">
        <f>IF(DO443&lt;&gt;"",VLOOKUP($P443&amp;" | "&amp;DM$6,'Job Master'!$F$12:$J$102,5,0),"")</f>
        <v/>
      </c>
      <c r="DN443" s="19" t="str">
        <f>IF(DO443&lt;&gt;"",VLOOKUP($P443&amp;" | "&amp;DM$6,'Job Master'!$F$12:$J$102,3,0),"")</f>
        <v/>
      </c>
      <c r="DO443" s="19" t="str">
        <f>IFERROR(IF(AND(DT443&lt;&gt;"",VLOOKUP($P443&amp;" | "&amp;DM$6,'Job Master'!$F$12:$I$102,4,0)&lt;&gt;""),IF(WEEKDAY(DT443-VLOOKUP($P443&amp;" | "&amp;DM$6,'Job Master'!$F$12:$I$102,4,0))&lt;&gt;7,DT443-VLOOKUP($P443&amp;" | "&amp;DM$6,'Job Master'!$F$12:$I$102,4,0),DT443-VLOOKUP($P443&amp;" | "&amp;DM$6,'Job Master'!$F$12:$I$102,4,0)-1),""),"")</f>
        <v/>
      </c>
      <c r="DP443" s="73"/>
      <c r="DQ443" s="123" t="str">
        <f t="shared" si="810"/>
        <v/>
      </c>
      <c r="DR443" s="123" t="str">
        <f t="shared" si="811"/>
        <v/>
      </c>
      <c r="DS443" s="97" t="str">
        <f t="shared" ca="1" si="812"/>
        <v/>
      </c>
      <c r="DT443" s="70" t="str">
        <f t="shared" si="813"/>
        <v/>
      </c>
      <c r="DU443" s="90"/>
      <c r="DV443" s="123" t="str">
        <f t="shared" si="814"/>
        <v/>
      </c>
      <c r="DW443" s="123" t="str">
        <f t="shared" si="815"/>
        <v/>
      </c>
      <c r="DX443" s="132" t="str">
        <f t="shared" ref="DX443" ca="1" si="876">IF(DT443&lt;&gt;"",IF(WEEKNUM(DT443)=WEEKNUM(TODAY()),"This Week",IF(WEEKNUM(DT443)=WEEKNUM(TODAY())+1,"Next Week",IF(WEEKNUM(DT443)=WEEKNUM(TODAY())-1,"Previous Week",""))),"")</f>
        <v/>
      </c>
      <c r="DY443" s="134" t="str">
        <f t="shared" si="817"/>
        <v/>
      </c>
      <c r="DZ443" s="95"/>
      <c r="EB443" s="8" t="str">
        <f t="shared" si="823"/>
        <v/>
      </c>
      <c r="EC443" s="8" t="str">
        <f>IF(O443&lt;&gt;"",VLOOKUP(O443,'Job Master'!$N$12:$O$18,2,0),"")</f>
        <v/>
      </c>
      <c r="ED443" s="8">
        <f t="shared" si="824"/>
        <v>19.5</v>
      </c>
      <c r="EE443" s="8">
        <f t="shared" si="825"/>
        <v>6</v>
      </c>
      <c r="EF443" s="8">
        <f t="shared" si="826"/>
        <v>-2578.5</v>
      </c>
      <c r="EG443" s="8" t="str">
        <f t="shared" si="827"/>
        <v/>
      </c>
      <c r="EH443" s="8" t="str">
        <f t="shared" si="828"/>
        <v/>
      </c>
    </row>
    <row r="444" spans="2:138" x14ac:dyDescent="0.3">
      <c r="B444" s="112"/>
      <c r="C444" s="27"/>
      <c r="D444" s="7" t="str">
        <f t="shared" si="765"/>
        <v/>
      </c>
      <c r="E444" s="25"/>
      <c r="F444" s="7" t="str">
        <f t="shared" si="765"/>
        <v/>
      </c>
      <c r="G444" s="25"/>
      <c r="H444" s="7" t="str">
        <f t="shared" si="765"/>
        <v/>
      </c>
      <c r="I444" s="25"/>
      <c r="J444" s="7" t="str">
        <f t="shared" si="765"/>
        <v/>
      </c>
      <c r="K444" s="25"/>
      <c r="L444" s="7" t="str">
        <f t="shared" si="766"/>
        <v/>
      </c>
      <c r="M444" s="25"/>
      <c r="N444" s="7" t="str">
        <f t="shared" si="767"/>
        <v/>
      </c>
      <c r="O444" s="81"/>
      <c r="P444" s="81" t="str">
        <f t="shared" si="768"/>
        <v/>
      </c>
      <c r="Q444" s="81"/>
      <c r="R444" s="7" t="str">
        <f t="shared" si="769"/>
        <v/>
      </c>
      <c r="S444" s="25"/>
      <c r="T444" s="7" t="str">
        <f t="shared" si="770"/>
        <v/>
      </c>
      <c r="U444" s="25"/>
      <c r="V444" s="7" t="str">
        <f t="shared" si="771"/>
        <v/>
      </c>
      <c r="W444" s="25"/>
      <c r="X444" s="7" t="str">
        <f t="shared" si="772"/>
        <v/>
      </c>
      <c r="Y444" s="18" t="str">
        <f t="shared" si="773"/>
        <v/>
      </c>
      <c r="Z444" s="7" t="str">
        <f t="shared" si="774"/>
        <v/>
      </c>
      <c r="AA444" s="18" t="str">
        <f t="shared" si="775"/>
        <v/>
      </c>
      <c r="AB444" s="19" t="str">
        <f t="shared" si="776"/>
        <v/>
      </c>
      <c r="AC444" s="26"/>
      <c r="AD444" s="26"/>
      <c r="AE444" s="25"/>
      <c r="AF444" s="26"/>
      <c r="AG444" s="25"/>
      <c r="AH444" s="25"/>
      <c r="AI444" s="18" t="str">
        <f t="shared" si="839"/>
        <v/>
      </c>
      <c r="AJ444" s="25"/>
      <c r="AK444" s="18" t="str">
        <f t="shared" si="840"/>
        <v/>
      </c>
      <c r="AL444" s="79"/>
      <c r="AM444" s="126" t="str">
        <f t="shared" si="841"/>
        <v/>
      </c>
      <c r="AN444" s="128" t="str">
        <f>IF(AP444&lt;&gt;"",VLOOKUP($P444&amp;" | "&amp;AN$6,'Job Master'!$F$12:$J$102,5,0),"")</f>
        <v/>
      </c>
      <c r="AO444" s="19" t="str">
        <f>IF(AP444&lt;&gt;"",VLOOKUP($P444&amp;" | "&amp;AN$6,'Job Master'!$F$12:$J$102,3,0),"")</f>
        <v/>
      </c>
      <c r="AP444" s="19" t="str">
        <f>IFERROR(IF(AND(AW444&lt;&gt;"",VLOOKUP($P444&amp;" | "&amp;AN$6,'Job Master'!$F$12:$I$102,4,0)&lt;&gt;""),IF(WEEKDAY(AW444-VLOOKUP($P444&amp;" | "&amp;AN$6,'Job Master'!$F$12:$I$102,4,0))&lt;&gt;7,AW444-VLOOKUP($P444&amp;" | "&amp;AN$6,'Job Master'!$F$12:$I$102,4,0),AW444-VLOOKUP($P444&amp;" | "&amp;AN$6,'Job Master'!$F$12:$I$102,4,0)-1),""),"")</f>
        <v/>
      </c>
      <c r="AQ444" s="73"/>
      <c r="AR444" s="123" t="str">
        <f t="shared" si="777"/>
        <v/>
      </c>
      <c r="AS444" s="123" t="str">
        <f t="shared" si="778"/>
        <v/>
      </c>
      <c r="AT444" s="97" t="str">
        <f t="shared" ca="1" si="779"/>
        <v/>
      </c>
      <c r="AU444" s="98" t="str">
        <f>IF(AW444&lt;&gt;"",VLOOKUP($P444&amp;" | "&amp;AU$6,'Job Master'!$F$12:$J$102,5,0),"")</f>
        <v/>
      </c>
      <c r="AV444" s="19" t="str">
        <f>IF(AW444&lt;&gt;"",VLOOKUP($P444&amp;" | "&amp;AU$6,'Job Master'!$F$12:$J$102,3,0),"")</f>
        <v/>
      </c>
      <c r="AW444" s="19" t="str">
        <f>IFERROR(IF(AND(BD444&lt;&gt;"",VLOOKUP($P444&amp;" | "&amp;AU$6,'Job Master'!$F$12:$I$102,4,0)&lt;&gt;""),IF(WEEKDAY(BD444-VLOOKUP($P444&amp;" | "&amp;AU$6,'Job Master'!$F$12:$I$102,4,0))&lt;&gt;7,BD444-VLOOKUP($P444&amp;" | "&amp;AU$6,'Job Master'!$F$12:$I$102,4,0),BD444-VLOOKUP($P444&amp;" | "&amp;AU$6,'Job Master'!$F$12:$I$102,4,0)-1),""),"")</f>
        <v/>
      </c>
      <c r="AX444" s="73"/>
      <c r="AY444" s="123" t="str">
        <f t="shared" si="780"/>
        <v/>
      </c>
      <c r="AZ444" s="123" t="str">
        <f t="shared" si="781"/>
        <v/>
      </c>
      <c r="BA444" s="97" t="str">
        <f t="shared" ca="1" si="782"/>
        <v/>
      </c>
      <c r="BB444" s="98" t="str">
        <f>IF(BD444&lt;&gt;"",VLOOKUP($P444&amp;" | "&amp;BB$6,'Job Master'!$F$12:$J$102,5,0),"")</f>
        <v/>
      </c>
      <c r="BC444" s="19" t="str">
        <f>IF(BD444&lt;&gt;"",VLOOKUP($P444&amp;" | "&amp;BB$6,'Job Master'!$F$12:$J$102,3,0),"")</f>
        <v/>
      </c>
      <c r="BD444" s="19" t="str">
        <f>IFERROR(IF(AND(BK444&lt;&gt;"",VLOOKUP($P444&amp;" | "&amp;BB$6,'Job Master'!$F$12:$I$102,4,0)&lt;&gt;""),IF(WEEKDAY(BK444-VLOOKUP($P444&amp;" | "&amp;BB$6,'Job Master'!$F$12:$I$102,4,0))&lt;&gt;7,BK444-VLOOKUP($P444&amp;" | "&amp;BB$6,'Job Master'!$F$12:$I$102,4,0),BK444-VLOOKUP($P444&amp;" | "&amp;BB$6,'Job Master'!$F$12:$I$102,4,0)-1),""),"")</f>
        <v/>
      </c>
      <c r="BE444" s="73"/>
      <c r="BF444" s="123" t="str">
        <f t="shared" si="783"/>
        <v/>
      </c>
      <c r="BG444" s="123" t="str">
        <f t="shared" si="784"/>
        <v/>
      </c>
      <c r="BH444" s="97" t="str">
        <f t="shared" ca="1" si="785"/>
        <v/>
      </c>
      <c r="BI444" s="98" t="str">
        <f>IF(BK444&lt;&gt;"",VLOOKUP($P444&amp;" | "&amp;BI$6,'Job Master'!$F$12:$J$102,5,0),"")</f>
        <v/>
      </c>
      <c r="BJ444" s="19" t="str">
        <f>IF(BK444&lt;&gt;"",VLOOKUP($P444&amp;" | "&amp;BI$6,'Job Master'!$F$12:$J$102,3,0),"")</f>
        <v/>
      </c>
      <c r="BK444" s="19" t="str">
        <f>IFERROR(IF(AND(BR444&lt;&gt;"",VLOOKUP($P444&amp;" | "&amp;BI$6,'Job Master'!$F$12:$I$102,4,0)&lt;&gt;""),IF(WEEKDAY(BR444-VLOOKUP($P444&amp;" | "&amp;BI$6,'Job Master'!$F$12:$I$102,4,0))&lt;&gt;7,BR444-VLOOKUP($P444&amp;" | "&amp;BI$6,'Job Master'!$F$12:$I$102,4,0),BR444-VLOOKUP($P444&amp;" | "&amp;BI$6,'Job Master'!$F$12:$I$102,4,0)-1),""),"")</f>
        <v/>
      </c>
      <c r="BL444" s="73"/>
      <c r="BM444" s="123" t="str">
        <f t="shared" si="786"/>
        <v/>
      </c>
      <c r="BN444" s="123" t="str">
        <f t="shared" si="787"/>
        <v/>
      </c>
      <c r="BO444" s="97" t="str">
        <f t="shared" ca="1" si="788"/>
        <v/>
      </c>
      <c r="BP444" s="98" t="str">
        <f>IF(BR444&lt;&gt;"",VLOOKUP($P444&amp;" | "&amp;BP$6,'Job Master'!$F$12:$J$102,5,0),"")</f>
        <v/>
      </c>
      <c r="BQ444" s="19" t="str">
        <f>IF(BR444&lt;&gt;"",VLOOKUP($P444&amp;" | "&amp;BP$6,'Job Master'!$F$12:$J$102,3,0),"")</f>
        <v/>
      </c>
      <c r="BR444" s="19" t="str">
        <f>IFERROR(IF(AND(BY444&lt;&gt;"",VLOOKUP($P444&amp;" | "&amp;BP$6,'Job Master'!$F$12:$I$102,4,0)&lt;&gt;""),IF(WEEKDAY(BY444-VLOOKUP($P444&amp;" | "&amp;BP$6,'Job Master'!$F$12:$I$102,4,0))&lt;&gt;7,BY444-VLOOKUP($P444&amp;" | "&amp;BP$6,'Job Master'!$F$12:$I$102,4,0),BY444-VLOOKUP($P444&amp;" | "&amp;BP$6,'Job Master'!$F$12:$I$102,4,0)-1),""),"")</f>
        <v/>
      </c>
      <c r="BS444" s="73"/>
      <c r="BT444" s="123" t="str">
        <f t="shared" si="789"/>
        <v/>
      </c>
      <c r="BU444" s="123" t="str">
        <f t="shared" si="790"/>
        <v/>
      </c>
      <c r="BV444" s="97" t="str">
        <f t="shared" ca="1" si="791"/>
        <v/>
      </c>
      <c r="BW444" s="98" t="str">
        <f>IF(BY444&lt;&gt;"",VLOOKUP($P444&amp;" | "&amp;BW$6,'Job Master'!$F$12:$J$102,5,0),"")</f>
        <v/>
      </c>
      <c r="BX444" s="19" t="str">
        <f>IF(BY444&lt;&gt;"",VLOOKUP($P444&amp;" | "&amp;BW$6,'Job Master'!$F$12:$J$102,3,0),"")</f>
        <v/>
      </c>
      <c r="BY444" s="19" t="str">
        <f>IFERROR(IF(AND(CF444&lt;&gt;"",VLOOKUP($P444&amp;" | "&amp;BW$6,'Job Master'!$F$12:$I$102,4,0)&lt;&gt;""),IF(WEEKDAY(CF444-VLOOKUP($P444&amp;" | "&amp;BW$6,'Job Master'!$F$12:$I$102,4,0))&lt;&gt;7,CF444-VLOOKUP($P444&amp;" | "&amp;BW$6,'Job Master'!$F$12:$I$102,4,0),CF444-VLOOKUP($P444&amp;" | "&amp;BW$6,'Job Master'!$F$12:$I$102,4,0)-1),""),"")</f>
        <v/>
      </c>
      <c r="BZ444" s="73"/>
      <c r="CA444" s="123" t="str">
        <f t="shared" si="792"/>
        <v/>
      </c>
      <c r="CB444" s="123" t="str">
        <f t="shared" si="793"/>
        <v/>
      </c>
      <c r="CC444" s="97" t="str">
        <f t="shared" ca="1" si="794"/>
        <v/>
      </c>
      <c r="CD444" s="98" t="str">
        <f>IF(CF444&lt;&gt;"",VLOOKUP($P444&amp;" | "&amp;CD$6,'Job Master'!$F$12:$J$102,5,0),"")</f>
        <v/>
      </c>
      <c r="CE444" s="19" t="str">
        <f>IF(CF444&lt;&gt;"",VLOOKUP($P444&amp;" | "&amp;CD$6,'Job Master'!$F$12:$J$102,3,0),"")</f>
        <v/>
      </c>
      <c r="CF444" s="19" t="str">
        <f>IFERROR(IF(AND(CM444&lt;&gt;"",VLOOKUP($P444&amp;" | "&amp;CD$6,'Job Master'!$F$12:$I$102,4,0)&lt;&gt;""),IF(WEEKDAY(CM444-VLOOKUP($P444&amp;" | "&amp;CD$6,'Job Master'!$F$12:$I$102,4,0))&lt;&gt;7,CM444-VLOOKUP($P444&amp;" | "&amp;CD$6,'Job Master'!$F$12:$I$102,4,0),CM444-VLOOKUP($P444&amp;" | "&amp;CD$6,'Job Master'!$F$12:$I$102,4,0)-1),""),"")</f>
        <v/>
      </c>
      <c r="CG444" s="73"/>
      <c r="CH444" s="123" t="str">
        <f t="shared" si="795"/>
        <v/>
      </c>
      <c r="CI444" s="123" t="str">
        <f t="shared" si="796"/>
        <v/>
      </c>
      <c r="CJ444" s="97" t="str">
        <f t="shared" ca="1" si="797"/>
        <v/>
      </c>
      <c r="CK444" s="98" t="str">
        <f>IF(CM444&lt;&gt;"",VLOOKUP($P444&amp;" | "&amp;CK$6,'Job Master'!$F$12:$J$102,5,0),"")</f>
        <v/>
      </c>
      <c r="CL444" s="19" t="str">
        <f>IF(CM444&lt;&gt;"",VLOOKUP($P444&amp;" | "&amp;CK$6,'Job Master'!$F$12:$J$102,3,0),"")</f>
        <v/>
      </c>
      <c r="CM444" s="19" t="str">
        <f>IFERROR(IF(AND(CT444&lt;&gt;"",VLOOKUP($P444&amp;" | "&amp;CK$6,'Job Master'!$F$12:$I$102,4,0)&lt;&gt;""),IF(WEEKDAY(CT444-VLOOKUP($P444&amp;" | "&amp;CK$6,'Job Master'!$F$12:$I$102,4,0))&lt;&gt;7,CT444-VLOOKUP($P444&amp;" | "&amp;CK$6,'Job Master'!$F$12:$I$102,4,0),CT444-VLOOKUP($P444&amp;" | "&amp;CK$6,'Job Master'!$F$12:$I$102,4,0)-1),""),"")</f>
        <v/>
      </c>
      <c r="CN444" s="73"/>
      <c r="CO444" s="123" t="str">
        <f t="shared" si="798"/>
        <v/>
      </c>
      <c r="CP444" s="123" t="str">
        <f t="shared" si="799"/>
        <v/>
      </c>
      <c r="CQ444" s="97" t="str">
        <f t="shared" ca="1" si="800"/>
        <v/>
      </c>
      <c r="CR444" s="98" t="str">
        <f>IF(CT444&lt;&gt;"",VLOOKUP($P444&amp;" | "&amp;CR$6,'Job Master'!$F$12:$J$102,5,0),"")</f>
        <v/>
      </c>
      <c r="CS444" s="19" t="str">
        <f>IF(CT444&lt;&gt;"",VLOOKUP($P444&amp;" | "&amp;CR$6,'Job Master'!$F$12:$J$102,3,0),"")</f>
        <v/>
      </c>
      <c r="CT444" s="19" t="str">
        <f>IFERROR(IF(AND(DA444&lt;&gt;"",VLOOKUP($P444&amp;" | "&amp;CR$6,'Job Master'!$F$12:$I$102,4,0)&lt;&gt;""),IF(WEEKDAY(DA444-VLOOKUP($P444&amp;" | "&amp;CR$6,'Job Master'!$F$12:$I$102,4,0))&lt;&gt;7,DA444-VLOOKUP($P444&amp;" | "&amp;CR$6,'Job Master'!$F$12:$I$102,4,0),DA444-VLOOKUP($P444&amp;" | "&amp;CR$6,'Job Master'!$F$12:$I$102,4,0)-1),""),"")</f>
        <v/>
      </c>
      <c r="CU444" s="73"/>
      <c r="CV444" s="123" t="str">
        <f t="shared" si="801"/>
        <v/>
      </c>
      <c r="CW444" s="123" t="str">
        <f t="shared" si="802"/>
        <v/>
      </c>
      <c r="CX444" s="97" t="str">
        <f t="shared" ca="1" si="803"/>
        <v/>
      </c>
      <c r="CY444" s="98" t="str">
        <f>IF(DA444&lt;&gt;"",VLOOKUP($P444&amp;" | "&amp;CY$6,'Job Master'!$F$12:$J$102,5,0),"")</f>
        <v/>
      </c>
      <c r="CZ444" s="19" t="str">
        <f>IF(DA444&lt;&gt;"",VLOOKUP($P444&amp;" | "&amp;CY$6,'Job Master'!$F$12:$J$102,3,0),"")</f>
        <v/>
      </c>
      <c r="DA444" s="19" t="str">
        <f>IFERROR(IF(AND(DH444&lt;&gt;"",VLOOKUP($P444&amp;" | "&amp;CY$6,'Job Master'!$F$12:$I$102,4,0)&lt;&gt;""),IF(WEEKDAY(DH444-VLOOKUP($P444&amp;" | "&amp;CY$6,'Job Master'!$F$12:$I$102,4,0))&lt;&gt;7,DH444-VLOOKUP($P444&amp;" | "&amp;CY$6,'Job Master'!$F$12:$I$102,4,0),DH444-VLOOKUP($P444&amp;" | "&amp;CY$6,'Job Master'!$F$12:$I$102,4,0)-1),""),"")</f>
        <v/>
      </c>
      <c r="DB444" s="73"/>
      <c r="DC444" s="123" t="str">
        <f t="shared" si="804"/>
        <v/>
      </c>
      <c r="DD444" s="123" t="str">
        <f t="shared" si="805"/>
        <v/>
      </c>
      <c r="DE444" s="97" t="str">
        <f t="shared" ca="1" si="806"/>
        <v/>
      </c>
      <c r="DF444" s="98" t="str">
        <f>IF(DH444&lt;&gt;"",VLOOKUP($P444&amp;" | "&amp;DF$6,'Job Master'!$F$12:$J$102,5,0),"")</f>
        <v/>
      </c>
      <c r="DG444" s="19" t="str">
        <f>IF(DH444&lt;&gt;"",VLOOKUP($P444&amp;" | "&amp;DF$6,'Job Master'!$F$12:$J$102,3,0),"")</f>
        <v/>
      </c>
      <c r="DH444" s="19" t="str">
        <f>IFERROR(IF(AND(DO444&lt;&gt;"",VLOOKUP($P444&amp;" | "&amp;DF$6,'Job Master'!$F$12:$I$102,4,0)&lt;&gt;""),IF(WEEKDAY(DO444-VLOOKUP($P444&amp;" | "&amp;DF$6,'Job Master'!$F$12:$I$102,4,0))&lt;&gt;7,DO444-VLOOKUP($P444&amp;" | "&amp;DF$6,'Job Master'!$F$12:$I$102,4,0),DO444-VLOOKUP($P444&amp;" | "&amp;DF$6,'Job Master'!$F$12:$I$102,4,0)-1),""),"")</f>
        <v/>
      </c>
      <c r="DI444" s="73"/>
      <c r="DJ444" s="123" t="str">
        <f t="shared" si="807"/>
        <v/>
      </c>
      <c r="DK444" s="123" t="str">
        <f t="shared" si="808"/>
        <v/>
      </c>
      <c r="DL444" s="97" t="str">
        <f t="shared" ca="1" si="809"/>
        <v/>
      </c>
      <c r="DM444" s="98" t="str">
        <f>IF(DO444&lt;&gt;"",VLOOKUP($P444&amp;" | "&amp;DM$6,'Job Master'!$F$12:$J$102,5,0),"")</f>
        <v/>
      </c>
      <c r="DN444" s="19" t="str">
        <f>IF(DO444&lt;&gt;"",VLOOKUP($P444&amp;" | "&amp;DM$6,'Job Master'!$F$12:$J$102,3,0),"")</f>
        <v/>
      </c>
      <c r="DO444" s="19" t="str">
        <f>IFERROR(IF(AND(DT444&lt;&gt;"",VLOOKUP($P444&amp;" | "&amp;DM$6,'Job Master'!$F$12:$I$102,4,0)&lt;&gt;""),IF(WEEKDAY(DT444-VLOOKUP($P444&amp;" | "&amp;DM$6,'Job Master'!$F$12:$I$102,4,0))&lt;&gt;7,DT444-VLOOKUP($P444&amp;" | "&amp;DM$6,'Job Master'!$F$12:$I$102,4,0),DT444-VLOOKUP($P444&amp;" | "&amp;DM$6,'Job Master'!$F$12:$I$102,4,0)-1),""),"")</f>
        <v/>
      </c>
      <c r="DP444" s="73"/>
      <c r="DQ444" s="123" t="str">
        <f t="shared" si="810"/>
        <v/>
      </c>
      <c r="DR444" s="123" t="str">
        <f t="shared" si="811"/>
        <v/>
      </c>
      <c r="DS444" s="97" t="str">
        <f t="shared" ca="1" si="812"/>
        <v/>
      </c>
      <c r="DT444" s="70" t="str">
        <f t="shared" si="813"/>
        <v/>
      </c>
      <c r="DU444" s="90"/>
      <c r="DV444" s="123" t="str">
        <f t="shared" si="814"/>
        <v/>
      </c>
      <c r="DW444" s="123" t="str">
        <f t="shared" si="815"/>
        <v/>
      </c>
      <c r="DX444" s="132" t="str">
        <f t="shared" ref="DX444" ca="1" si="877">IF(DT444&lt;&gt;"",IF(WEEKNUM(DT444)=WEEKNUM(TODAY()),"This Week",IF(WEEKNUM(DT444)=WEEKNUM(TODAY())+1,"Next Week",IF(WEEKNUM(DT444)=WEEKNUM(TODAY())-1,"Previous Week",""))),"")</f>
        <v/>
      </c>
      <c r="DY444" s="134" t="str">
        <f t="shared" si="817"/>
        <v/>
      </c>
      <c r="DZ444" s="95"/>
      <c r="EB444" s="8" t="str">
        <f t="shared" si="823"/>
        <v/>
      </c>
      <c r="EC444" s="8" t="str">
        <f>IF(O444&lt;&gt;"",VLOOKUP(O444,'Job Master'!$N$12:$O$18,2,0),"")</f>
        <v/>
      </c>
      <c r="ED444" s="8">
        <f t="shared" si="824"/>
        <v>19.5</v>
      </c>
      <c r="EE444" s="8">
        <f t="shared" si="825"/>
        <v>6</v>
      </c>
      <c r="EF444" s="8">
        <f t="shared" si="826"/>
        <v>-2584.5</v>
      </c>
      <c r="EG444" s="8" t="str">
        <f t="shared" si="827"/>
        <v/>
      </c>
      <c r="EH444" s="8" t="str">
        <f t="shared" si="828"/>
        <v/>
      </c>
    </row>
    <row r="445" spans="2:138" x14ac:dyDescent="0.3">
      <c r="B445" s="112"/>
      <c r="C445" s="27"/>
      <c r="D445" s="7" t="str">
        <f t="shared" si="765"/>
        <v/>
      </c>
      <c r="E445" s="25"/>
      <c r="F445" s="7" t="str">
        <f t="shared" si="765"/>
        <v/>
      </c>
      <c r="G445" s="25"/>
      <c r="H445" s="7" t="str">
        <f t="shared" si="765"/>
        <v/>
      </c>
      <c r="I445" s="25"/>
      <c r="J445" s="7" t="str">
        <f t="shared" si="765"/>
        <v/>
      </c>
      <c r="K445" s="25"/>
      <c r="L445" s="7" t="str">
        <f t="shared" si="766"/>
        <v/>
      </c>
      <c r="M445" s="25"/>
      <c r="N445" s="7" t="str">
        <f t="shared" si="767"/>
        <v/>
      </c>
      <c r="O445" s="81"/>
      <c r="P445" s="81" t="str">
        <f t="shared" si="768"/>
        <v/>
      </c>
      <c r="Q445" s="81"/>
      <c r="R445" s="7" t="str">
        <f t="shared" si="769"/>
        <v/>
      </c>
      <c r="S445" s="25"/>
      <c r="T445" s="7" t="str">
        <f t="shared" si="770"/>
        <v/>
      </c>
      <c r="U445" s="25"/>
      <c r="V445" s="7" t="str">
        <f t="shared" si="771"/>
        <v/>
      </c>
      <c r="W445" s="25"/>
      <c r="X445" s="7" t="str">
        <f t="shared" si="772"/>
        <v/>
      </c>
      <c r="Y445" s="18" t="str">
        <f t="shared" si="773"/>
        <v/>
      </c>
      <c r="Z445" s="7" t="str">
        <f t="shared" si="774"/>
        <v/>
      </c>
      <c r="AA445" s="18" t="str">
        <f t="shared" si="775"/>
        <v/>
      </c>
      <c r="AB445" s="19" t="str">
        <f t="shared" si="776"/>
        <v/>
      </c>
      <c r="AC445" s="26"/>
      <c r="AD445" s="26"/>
      <c r="AE445" s="25"/>
      <c r="AF445" s="26"/>
      <c r="AG445" s="25"/>
      <c r="AH445" s="25"/>
      <c r="AI445" s="18" t="str">
        <f t="shared" si="839"/>
        <v/>
      </c>
      <c r="AJ445" s="25"/>
      <c r="AK445" s="18" t="str">
        <f t="shared" si="840"/>
        <v/>
      </c>
      <c r="AL445" s="79"/>
      <c r="AM445" s="126" t="str">
        <f t="shared" si="841"/>
        <v/>
      </c>
      <c r="AN445" s="128" t="str">
        <f>IF(AP445&lt;&gt;"",VLOOKUP($P445&amp;" | "&amp;AN$6,'Job Master'!$F$12:$J$102,5,0),"")</f>
        <v/>
      </c>
      <c r="AO445" s="19" t="str">
        <f>IF(AP445&lt;&gt;"",VLOOKUP($P445&amp;" | "&amp;AN$6,'Job Master'!$F$12:$J$102,3,0),"")</f>
        <v/>
      </c>
      <c r="AP445" s="19" t="str">
        <f>IFERROR(IF(AND(AW445&lt;&gt;"",VLOOKUP($P445&amp;" | "&amp;AN$6,'Job Master'!$F$12:$I$102,4,0)&lt;&gt;""),IF(WEEKDAY(AW445-VLOOKUP($P445&amp;" | "&amp;AN$6,'Job Master'!$F$12:$I$102,4,0))&lt;&gt;7,AW445-VLOOKUP($P445&amp;" | "&amp;AN$6,'Job Master'!$F$12:$I$102,4,0),AW445-VLOOKUP($P445&amp;" | "&amp;AN$6,'Job Master'!$F$12:$I$102,4,0)-1),""),"")</f>
        <v/>
      </c>
      <c r="AQ445" s="73"/>
      <c r="AR445" s="123" t="str">
        <f t="shared" si="777"/>
        <v/>
      </c>
      <c r="AS445" s="123" t="str">
        <f t="shared" si="778"/>
        <v/>
      </c>
      <c r="AT445" s="97" t="str">
        <f t="shared" ca="1" si="779"/>
        <v/>
      </c>
      <c r="AU445" s="98" t="str">
        <f>IF(AW445&lt;&gt;"",VLOOKUP($P445&amp;" | "&amp;AU$6,'Job Master'!$F$12:$J$102,5,0),"")</f>
        <v/>
      </c>
      <c r="AV445" s="19" t="str">
        <f>IF(AW445&lt;&gt;"",VLOOKUP($P445&amp;" | "&amp;AU$6,'Job Master'!$F$12:$J$102,3,0),"")</f>
        <v/>
      </c>
      <c r="AW445" s="19" t="str">
        <f>IFERROR(IF(AND(BD445&lt;&gt;"",VLOOKUP($P445&amp;" | "&amp;AU$6,'Job Master'!$F$12:$I$102,4,0)&lt;&gt;""),IF(WEEKDAY(BD445-VLOOKUP($P445&amp;" | "&amp;AU$6,'Job Master'!$F$12:$I$102,4,0))&lt;&gt;7,BD445-VLOOKUP($P445&amp;" | "&amp;AU$6,'Job Master'!$F$12:$I$102,4,0),BD445-VLOOKUP($P445&amp;" | "&amp;AU$6,'Job Master'!$F$12:$I$102,4,0)-1),""),"")</f>
        <v/>
      </c>
      <c r="AX445" s="73"/>
      <c r="AY445" s="123" t="str">
        <f t="shared" si="780"/>
        <v/>
      </c>
      <c r="AZ445" s="123" t="str">
        <f t="shared" si="781"/>
        <v/>
      </c>
      <c r="BA445" s="97" t="str">
        <f t="shared" ca="1" si="782"/>
        <v/>
      </c>
      <c r="BB445" s="98" t="str">
        <f>IF(BD445&lt;&gt;"",VLOOKUP($P445&amp;" | "&amp;BB$6,'Job Master'!$F$12:$J$102,5,0),"")</f>
        <v/>
      </c>
      <c r="BC445" s="19" t="str">
        <f>IF(BD445&lt;&gt;"",VLOOKUP($P445&amp;" | "&amp;BB$6,'Job Master'!$F$12:$J$102,3,0),"")</f>
        <v/>
      </c>
      <c r="BD445" s="19" t="str">
        <f>IFERROR(IF(AND(BK445&lt;&gt;"",VLOOKUP($P445&amp;" | "&amp;BB$6,'Job Master'!$F$12:$I$102,4,0)&lt;&gt;""),IF(WEEKDAY(BK445-VLOOKUP($P445&amp;" | "&amp;BB$6,'Job Master'!$F$12:$I$102,4,0))&lt;&gt;7,BK445-VLOOKUP($P445&amp;" | "&amp;BB$6,'Job Master'!$F$12:$I$102,4,0),BK445-VLOOKUP($P445&amp;" | "&amp;BB$6,'Job Master'!$F$12:$I$102,4,0)-1),""),"")</f>
        <v/>
      </c>
      <c r="BE445" s="73"/>
      <c r="BF445" s="123" t="str">
        <f t="shared" si="783"/>
        <v/>
      </c>
      <c r="BG445" s="123" t="str">
        <f t="shared" si="784"/>
        <v/>
      </c>
      <c r="BH445" s="97" t="str">
        <f t="shared" ca="1" si="785"/>
        <v/>
      </c>
      <c r="BI445" s="98" t="str">
        <f>IF(BK445&lt;&gt;"",VLOOKUP($P445&amp;" | "&amp;BI$6,'Job Master'!$F$12:$J$102,5,0),"")</f>
        <v/>
      </c>
      <c r="BJ445" s="19" t="str">
        <f>IF(BK445&lt;&gt;"",VLOOKUP($P445&amp;" | "&amp;BI$6,'Job Master'!$F$12:$J$102,3,0),"")</f>
        <v/>
      </c>
      <c r="BK445" s="19" t="str">
        <f>IFERROR(IF(AND(BR445&lt;&gt;"",VLOOKUP($P445&amp;" | "&amp;BI$6,'Job Master'!$F$12:$I$102,4,0)&lt;&gt;""),IF(WEEKDAY(BR445-VLOOKUP($P445&amp;" | "&amp;BI$6,'Job Master'!$F$12:$I$102,4,0))&lt;&gt;7,BR445-VLOOKUP($P445&amp;" | "&amp;BI$6,'Job Master'!$F$12:$I$102,4,0),BR445-VLOOKUP($P445&amp;" | "&amp;BI$6,'Job Master'!$F$12:$I$102,4,0)-1),""),"")</f>
        <v/>
      </c>
      <c r="BL445" s="73"/>
      <c r="BM445" s="123" t="str">
        <f t="shared" si="786"/>
        <v/>
      </c>
      <c r="BN445" s="123" t="str">
        <f t="shared" si="787"/>
        <v/>
      </c>
      <c r="BO445" s="97" t="str">
        <f t="shared" ca="1" si="788"/>
        <v/>
      </c>
      <c r="BP445" s="98" t="str">
        <f>IF(BR445&lt;&gt;"",VLOOKUP($P445&amp;" | "&amp;BP$6,'Job Master'!$F$12:$J$102,5,0),"")</f>
        <v/>
      </c>
      <c r="BQ445" s="19" t="str">
        <f>IF(BR445&lt;&gt;"",VLOOKUP($P445&amp;" | "&amp;BP$6,'Job Master'!$F$12:$J$102,3,0),"")</f>
        <v/>
      </c>
      <c r="BR445" s="19" t="str">
        <f>IFERROR(IF(AND(BY445&lt;&gt;"",VLOOKUP($P445&amp;" | "&amp;BP$6,'Job Master'!$F$12:$I$102,4,0)&lt;&gt;""),IF(WEEKDAY(BY445-VLOOKUP($P445&amp;" | "&amp;BP$6,'Job Master'!$F$12:$I$102,4,0))&lt;&gt;7,BY445-VLOOKUP($P445&amp;" | "&amp;BP$6,'Job Master'!$F$12:$I$102,4,0),BY445-VLOOKUP($P445&amp;" | "&amp;BP$6,'Job Master'!$F$12:$I$102,4,0)-1),""),"")</f>
        <v/>
      </c>
      <c r="BS445" s="73"/>
      <c r="BT445" s="123" t="str">
        <f t="shared" si="789"/>
        <v/>
      </c>
      <c r="BU445" s="123" t="str">
        <f t="shared" si="790"/>
        <v/>
      </c>
      <c r="BV445" s="97" t="str">
        <f t="shared" ca="1" si="791"/>
        <v/>
      </c>
      <c r="BW445" s="98" t="str">
        <f>IF(BY445&lt;&gt;"",VLOOKUP($P445&amp;" | "&amp;BW$6,'Job Master'!$F$12:$J$102,5,0),"")</f>
        <v/>
      </c>
      <c r="BX445" s="19" t="str">
        <f>IF(BY445&lt;&gt;"",VLOOKUP($P445&amp;" | "&amp;BW$6,'Job Master'!$F$12:$J$102,3,0),"")</f>
        <v/>
      </c>
      <c r="BY445" s="19" t="str">
        <f>IFERROR(IF(AND(CF445&lt;&gt;"",VLOOKUP($P445&amp;" | "&amp;BW$6,'Job Master'!$F$12:$I$102,4,0)&lt;&gt;""),IF(WEEKDAY(CF445-VLOOKUP($P445&amp;" | "&amp;BW$6,'Job Master'!$F$12:$I$102,4,0))&lt;&gt;7,CF445-VLOOKUP($P445&amp;" | "&amp;BW$6,'Job Master'!$F$12:$I$102,4,0),CF445-VLOOKUP($P445&amp;" | "&amp;BW$6,'Job Master'!$F$12:$I$102,4,0)-1),""),"")</f>
        <v/>
      </c>
      <c r="BZ445" s="73"/>
      <c r="CA445" s="123" t="str">
        <f t="shared" si="792"/>
        <v/>
      </c>
      <c r="CB445" s="123" t="str">
        <f t="shared" si="793"/>
        <v/>
      </c>
      <c r="CC445" s="97" t="str">
        <f t="shared" ca="1" si="794"/>
        <v/>
      </c>
      <c r="CD445" s="98" t="str">
        <f>IF(CF445&lt;&gt;"",VLOOKUP($P445&amp;" | "&amp;CD$6,'Job Master'!$F$12:$J$102,5,0),"")</f>
        <v/>
      </c>
      <c r="CE445" s="19" t="str">
        <f>IF(CF445&lt;&gt;"",VLOOKUP($P445&amp;" | "&amp;CD$6,'Job Master'!$F$12:$J$102,3,0),"")</f>
        <v/>
      </c>
      <c r="CF445" s="19" t="str">
        <f>IFERROR(IF(AND(CM445&lt;&gt;"",VLOOKUP($P445&amp;" | "&amp;CD$6,'Job Master'!$F$12:$I$102,4,0)&lt;&gt;""),IF(WEEKDAY(CM445-VLOOKUP($P445&amp;" | "&amp;CD$6,'Job Master'!$F$12:$I$102,4,0))&lt;&gt;7,CM445-VLOOKUP($P445&amp;" | "&amp;CD$6,'Job Master'!$F$12:$I$102,4,0),CM445-VLOOKUP($P445&amp;" | "&amp;CD$6,'Job Master'!$F$12:$I$102,4,0)-1),""),"")</f>
        <v/>
      </c>
      <c r="CG445" s="73"/>
      <c r="CH445" s="123" t="str">
        <f t="shared" si="795"/>
        <v/>
      </c>
      <c r="CI445" s="123" t="str">
        <f t="shared" si="796"/>
        <v/>
      </c>
      <c r="CJ445" s="97" t="str">
        <f t="shared" ca="1" si="797"/>
        <v/>
      </c>
      <c r="CK445" s="98" t="str">
        <f>IF(CM445&lt;&gt;"",VLOOKUP($P445&amp;" | "&amp;CK$6,'Job Master'!$F$12:$J$102,5,0),"")</f>
        <v/>
      </c>
      <c r="CL445" s="19" t="str">
        <f>IF(CM445&lt;&gt;"",VLOOKUP($P445&amp;" | "&amp;CK$6,'Job Master'!$F$12:$J$102,3,0),"")</f>
        <v/>
      </c>
      <c r="CM445" s="19" t="str">
        <f>IFERROR(IF(AND(CT445&lt;&gt;"",VLOOKUP($P445&amp;" | "&amp;CK$6,'Job Master'!$F$12:$I$102,4,0)&lt;&gt;""),IF(WEEKDAY(CT445-VLOOKUP($P445&amp;" | "&amp;CK$6,'Job Master'!$F$12:$I$102,4,0))&lt;&gt;7,CT445-VLOOKUP($P445&amp;" | "&amp;CK$6,'Job Master'!$F$12:$I$102,4,0),CT445-VLOOKUP($P445&amp;" | "&amp;CK$6,'Job Master'!$F$12:$I$102,4,0)-1),""),"")</f>
        <v/>
      </c>
      <c r="CN445" s="73"/>
      <c r="CO445" s="123" t="str">
        <f t="shared" si="798"/>
        <v/>
      </c>
      <c r="CP445" s="123" t="str">
        <f t="shared" si="799"/>
        <v/>
      </c>
      <c r="CQ445" s="97" t="str">
        <f t="shared" ca="1" si="800"/>
        <v/>
      </c>
      <c r="CR445" s="98" t="str">
        <f>IF(CT445&lt;&gt;"",VLOOKUP($P445&amp;" | "&amp;CR$6,'Job Master'!$F$12:$J$102,5,0),"")</f>
        <v/>
      </c>
      <c r="CS445" s="19" t="str">
        <f>IF(CT445&lt;&gt;"",VLOOKUP($P445&amp;" | "&amp;CR$6,'Job Master'!$F$12:$J$102,3,0),"")</f>
        <v/>
      </c>
      <c r="CT445" s="19" t="str">
        <f>IFERROR(IF(AND(DA445&lt;&gt;"",VLOOKUP($P445&amp;" | "&amp;CR$6,'Job Master'!$F$12:$I$102,4,0)&lt;&gt;""),IF(WEEKDAY(DA445-VLOOKUP($P445&amp;" | "&amp;CR$6,'Job Master'!$F$12:$I$102,4,0))&lt;&gt;7,DA445-VLOOKUP($P445&amp;" | "&amp;CR$6,'Job Master'!$F$12:$I$102,4,0),DA445-VLOOKUP($P445&amp;" | "&amp;CR$6,'Job Master'!$F$12:$I$102,4,0)-1),""),"")</f>
        <v/>
      </c>
      <c r="CU445" s="73"/>
      <c r="CV445" s="123" t="str">
        <f t="shared" si="801"/>
        <v/>
      </c>
      <c r="CW445" s="123" t="str">
        <f t="shared" si="802"/>
        <v/>
      </c>
      <c r="CX445" s="97" t="str">
        <f t="shared" ca="1" si="803"/>
        <v/>
      </c>
      <c r="CY445" s="98" t="str">
        <f>IF(DA445&lt;&gt;"",VLOOKUP($P445&amp;" | "&amp;CY$6,'Job Master'!$F$12:$J$102,5,0),"")</f>
        <v/>
      </c>
      <c r="CZ445" s="19" t="str">
        <f>IF(DA445&lt;&gt;"",VLOOKUP($P445&amp;" | "&amp;CY$6,'Job Master'!$F$12:$J$102,3,0),"")</f>
        <v/>
      </c>
      <c r="DA445" s="19" t="str">
        <f>IFERROR(IF(AND(DH445&lt;&gt;"",VLOOKUP($P445&amp;" | "&amp;CY$6,'Job Master'!$F$12:$I$102,4,0)&lt;&gt;""),IF(WEEKDAY(DH445-VLOOKUP($P445&amp;" | "&amp;CY$6,'Job Master'!$F$12:$I$102,4,0))&lt;&gt;7,DH445-VLOOKUP($P445&amp;" | "&amp;CY$6,'Job Master'!$F$12:$I$102,4,0),DH445-VLOOKUP($P445&amp;" | "&amp;CY$6,'Job Master'!$F$12:$I$102,4,0)-1),""),"")</f>
        <v/>
      </c>
      <c r="DB445" s="73"/>
      <c r="DC445" s="123" t="str">
        <f t="shared" si="804"/>
        <v/>
      </c>
      <c r="DD445" s="123" t="str">
        <f t="shared" si="805"/>
        <v/>
      </c>
      <c r="DE445" s="97" t="str">
        <f t="shared" ca="1" si="806"/>
        <v/>
      </c>
      <c r="DF445" s="98" t="str">
        <f>IF(DH445&lt;&gt;"",VLOOKUP($P445&amp;" | "&amp;DF$6,'Job Master'!$F$12:$J$102,5,0),"")</f>
        <v/>
      </c>
      <c r="DG445" s="19" t="str">
        <f>IF(DH445&lt;&gt;"",VLOOKUP($P445&amp;" | "&amp;DF$6,'Job Master'!$F$12:$J$102,3,0),"")</f>
        <v/>
      </c>
      <c r="DH445" s="19" t="str">
        <f>IFERROR(IF(AND(DO445&lt;&gt;"",VLOOKUP($P445&amp;" | "&amp;DF$6,'Job Master'!$F$12:$I$102,4,0)&lt;&gt;""),IF(WEEKDAY(DO445-VLOOKUP($P445&amp;" | "&amp;DF$6,'Job Master'!$F$12:$I$102,4,0))&lt;&gt;7,DO445-VLOOKUP($P445&amp;" | "&amp;DF$6,'Job Master'!$F$12:$I$102,4,0),DO445-VLOOKUP($P445&amp;" | "&amp;DF$6,'Job Master'!$F$12:$I$102,4,0)-1),""),"")</f>
        <v/>
      </c>
      <c r="DI445" s="73"/>
      <c r="DJ445" s="123" t="str">
        <f t="shared" si="807"/>
        <v/>
      </c>
      <c r="DK445" s="123" t="str">
        <f t="shared" si="808"/>
        <v/>
      </c>
      <c r="DL445" s="97" t="str">
        <f t="shared" ca="1" si="809"/>
        <v/>
      </c>
      <c r="DM445" s="98" t="str">
        <f>IF(DO445&lt;&gt;"",VLOOKUP($P445&amp;" | "&amp;DM$6,'Job Master'!$F$12:$J$102,5,0),"")</f>
        <v/>
      </c>
      <c r="DN445" s="19" t="str">
        <f>IF(DO445&lt;&gt;"",VLOOKUP($P445&amp;" | "&amp;DM$6,'Job Master'!$F$12:$J$102,3,0),"")</f>
        <v/>
      </c>
      <c r="DO445" s="19" t="str">
        <f>IFERROR(IF(AND(DT445&lt;&gt;"",VLOOKUP($P445&amp;" | "&amp;DM$6,'Job Master'!$F$12:$I$102,4,0)&lt;&gt;""),IF(WEEKDAY(DT445-VLOOKUP($P445&amp;" | "&amp;DM$6,'Job Master'!$F$12:$I$102,4,0))&lt;&gt;7,DT445-VLOOKUP($P445&amp;" | "&amp;DM$6,'Job Master'!$F$12:$I$102,4,0),DT445-VLOOKUP($P445&amp;" | "&amp;DM$6,'Job Master'!$F$12:$I$102,4,0)-1),""),"")</f>
        <v/>
      </c>
      <c r="DP445" s="73"/>
      <c r="DQ445" s="123" t="str">
        <f t="shared" si="810"/>
        <v/>
      </c>
      <c r="DR445" s="123" t="str">
        <f t="shared" si="811"/>
        <v/>
      </c>
      <c r="DS445" s="97" t="str">
        <f t="shared" ca="1" si="812"/>
        <v/>
      </c>
      <c r="DT445" s="70" t="str">
        <f t="shared" si="813"/>
        <v/>
      </c>
      <c r="DU445" s="90"/>
      <c r="DV445" s="123" t="str">
        <f t="shared" si="814"/>
        <v/>
      </c>
      <c r="DW445" s="123" t="str">
        <f t="shared" si="815"/>
        <v/>
      </c>
      <c r="DX445" s="132" t="str">
        <f t="shared" ref="DX445" ca="1" si="878">IF(DT445&lt;&gt;"",IF(WEEKNUM(DT445)=WEEKNUM(TODAY()),"This Week",IF(WEEKNUM(DT445)=WEEKNUM(TODAY())+1,"Next Week",IF(WEEKNUM(DT445)=WEEKNUM(TODAY())-1,"Previous Week",""))),"")</f>
        <v/>
      </c>
      <c r="DY445" s="134" t="str">
        <f t="shared" si="817"/>
        <v/>
      </c>
      <c r="DZ445" s="95"/>
      <c r="EB445" s="8" t="str">
        <f t="shared" si="823"/>
        <v/>
      </c>
      <c r="EC445" s="8" t="str">
        <f>IF(O445&lt;&gt;"",VLOOKUP(O445,'Job Master'!$N$12:$O$18,2,0),"")</f>
        <v/>
      </c>
      <c r="ED445" s="8">
        <f t="shared" si="824"/>
        <v>19.5</v>
      </c>
      <c r="EE445" s="8">
        <f t="shared" si="825"/>
        <v>6</v>
      </c>
      <c r="EF445" s="8">
        <f t="shared" si="826"/>
        <v>-2590.5</v>
      </c>
      <c r="EG445" s="8" t="str">
        <f t="shared" si="827"/>
        <v/>
      </c>
      <c r="EH445" s="8" t="str">
        <f t="shared" si="828"/>
        <v/>
      </c>
    </row>
    <row r="446" spans="2:138" x14ac:dyDescent="0.3">
      <c r="B446" s="112"/>
      <c r="C446" s="27"/>
      <c r="D446" s="7" t="str">
        <f t="shared" si="765"/>
        <v/>
      </c>
      <c r="E446" s="25"/>
      <c r="F446" s="7" t="str">
        <f t="shared" si="765"/>
        <v/>
      </c>
      <c r="G446" s="25"/>
      <c r="H446" s="7" t="str">
        <f t="shared" si="765"/>
        <v/>
      </c>
      <c r="I446" s="25"/>
      <c r="J446" s="7" t="str">
        <f t="shared" si="765"/>
        <v/>
      </c>
      <c r="K446" s="25"/>
      <c r="L446" s="7" t="str">
        <f t="shared" si="766"/>
        <v/>
      </c>
      <c r="M446" s="25"/>
      <c r="N446" s="7" t="str">
        <f t="shared" si="767"/>
        <v/>
      </c>
      <c r="O446" s="81"/>
      <c r="P446" s="81" t="str">
        <f t="shared" si="768"/>
        <v/>
      </c>
      <c r="Q446" s="81"/>
      <c r="R446" s="7" t="str">
        <f t="shared" si="769"/>
        <v/>
      </c>
      <c r="S446" s="25"/>
      <c r="T446" s="7" t="str">
        <f t="shared" si="770"/>
        <v/>
      </c>
      <c r="U446" s="25"/>
      <c r="V446" s="7" t="str">
        <f t="shared" si="771"/>
        <v/>
      </c>
      <c r="W446" s="25"/>
      <c r="X446" s="7" t="str">
        <f t="shared" si="772"/>
        <v/>
      </c>
      <c r="Y446" s="18" t="str">
        <f t="shared" si="773"/>
        <v/>
      </c>
      <c r="Z446" s="7" t="str">
        <f t="shared" si="774"/>
        <v/>
      </c>
      <c r="AA446" s="18" t="str">
        <f t="shared" si="775"/>
        <v/>
      </c>
      <c r="AB446" s="19" t="str">
        <f t="shared" si="776"/>
        <v/>
      </c>
      <c r="AC446" s="26"/>
      <c r="AD446" s="26"/>
      <c r="AE446" s="25"/>
      <c r="AF446" s="26"/>
      <c r="AG446" s="25"/>
      <c r="AH446" s="25"/>
      <c r="AI446" s="18" t="str">
        <f t="shared" si="839"/>
        <v/>
      </c>
      <c r="AJ446" s="25"/>
      <c r="AK446" s="18" t="str">
        <f t="shared" si="840"/>
        <v/>
      </c>
      <c r="AL446" s="79"/>
      <c r="AM446" s="126" t="str">
        <f t="shared" si="841"/>
        <v/>
      </c>
      <c r="AN446" s="128" t="str">
        <f>IF(AP446&lt;&gt;"",VLOOKUP($P446&amp;" | "&amp;AN$6,'Job Master'!$F$12:$J$102,5,0),"")</f>
        <v/>
      </c>
      <c r="AO446" s="19" t="str">
        <f>IF(AP446&lt;&gt;"",VLOOKUP($P446&amp;" | "&amp;AN$6,'Job Master'!$F$12:$J$102,3,0),"")</f>
        <v/>
      </c>
      <c r="AP446" s="19" t="str">
        <f>IFERROR(IF(AND(AW446&lt;&gt;"",VLOOKUP($P446&amp;" | "&amp;AN$6,'Job Master'!$F$12:$I$102,4,0)&lt;&gt;""),IF(WEEKDAY(AW446-VLOOKUP($P446&amp;" | "&amp;AN$6,'Job Master'!$F$12:$I$102,4,0))&lt;&gt;7,AW446-VLOOKUP($P446&amp;" | "&amp;AN$6,'Job Master'!$F$12:$I$102,4,0),AW446-VLOOKUP($P446&amp;" | "&amp;AN$6,'Job Master'!$F$12:$I$102,4,0)-1),""),"")</f>
        <v/>
      </c>
      <c r="AQ446" s="73"/>
      <c r="AR446" s="123" t="str">
        <f t="shared" si="777"/>
        <v/>
      </c>
      <c r="AS446" s="123" t="str">
        <f t="shared" si="778"/>
        <v/>
      </c>
      <c r="AT446" s="97" t="str">
        <f t="shared" ca="1" si="779"/>
        <v/>
      </c>
      <c r="AU446" s="98" t="str">
        <f>IF(AW446&lt;&gt;"",VLOOKUP($P446&amp;" | "&amp;AU$6,'Job Master'!$F$12:$J$102,5,0),"")</f>
        <v/>
      </c>
      <c r="AV446" s="19" t="str">
        <f>IF(AW446&lt;&gt;"",VLOOKUP($P446&amp;" | "&amp;AU$6,'Job Master'!$F$12:$J$102,3,0),"")</f>
        <v/>
      </c>
      <c r="AW446" s="19" t="str">
        <f>IFERROR(IF(AND(BD446&lt;&gt;"",VLOOKUP($P446&amp;" | "&amp;AU$6,'Job Master'!$F$12:$I$102,4,0)&lt;&gt;""),IF(WEEKDAY(BD446-VLOOKUP($P446&amp;" | "&amp;AU$6,'Job Master'!$F$12:$I$102,4,0))&lt;&gt;7,BD446-VLOOKUP($P446&amp;" | "&amp;AU$6,'Job Master'!$F$12:$I$102,4,0),BD446-VLOOKUP($P446&amp;" | "&amp;AU$6,'Job Master'!$F$12:$I$102,4,0)-1),""),"")</f>
        <v/>
      </c>
      <c r="AX446" s="73"/>
      <c r="AY446" s="123" t="str">
        <f t="shared" si="780"/>
        <v/>
      </c>
      <c r="AZ446" s="123" t="str">
        <f t="shared" si="781"/>
        <v/>
      </c>
      <c r="BA446" s="97" t="str">
        <f t="shared" ca="1" si="782"/>
        <v/>
      </c>
      <c r="BB446" s="98" t="str">
        <f>IF(BD446&lt;&gt;"",VLOOKUP($P446&amp;" | "&amp;BB$6,'Job Master'!$F$12:$J$102,5,0),"")</f>
        <v/>
      </c>
      <c r="BC446" s="19" t="str">
        <f>IF(BD446&lt;&gt;"",VLOOKUP($P446&amp;" | "&amp;BB$6,'Job Master'!$F$12:$J$102,3,0),"")</f>
        <v/>
      </c>
      <c r="BD446" s="19" t="str">
        <f>IFERROR(IF(AND(BK446&lt;&gt;"",VLOOKUP($P446&amp;" | "&amp;BB$6,'Job Master'!$F$12:$I$102,4,0)&lt;&gt;""),IF(WEEKDAY(BK446-VLOOKUP($P446&amp;" | "&amp;BB$6,'Job Master'!$F$12:$I$102,4,0))&lt;&gt;7,BK446-VLOOKUP($P446&amp;" | "&amp;BB$6,'Job Master'!$F$12:$I$102,4,0),BK446-VLOOKUP($P446&amp;" | "&amp;BB$6,'Job Master'!$F$12:$I$102,4,0)-1),""),"")</f>
        <v/>
      </c>
      <c r="BE446" s="73"/>
      <c r="BF446" s="123" t="str">
        <f t="shared" si="783"/>
        <v/>
      </c>
      <c r="BG446" s="123" t="str">
        <f t="shared" si="784"/>
        <v/>
      </c>
      <c r="BH446" s="97" t="str">
        <f t="shared" ca="1" si="785"/>
        <v/>
      </c>
      <c r="BI446" s="98" t="str">
        <f>IF(BK446&lt;&gt;"",VLOOKUP($P446&amp;" | "&amp;BI$6,'Job Master'!$F$12:$J$102,5,0),"")</f>
        <v/>
      </c>
      <c r="BJ446" s="19" t="str">
        <f>IF(BK446&lt;&gt;"",VLOOKUP($P446&amp;" | "&amp;BI$6,'Job Master'!$F$12:$J$102,3,0),"")</f>
        <v/>
      </c>
      <c r="BK446" s="19" t="str">
        <f>IFERROR(IF(AND(BR446&lt;&gt;"",VLOOKUP($P446&amp;" | "&amp;BI$6,'Job Master'!$F$12:$I$102,4,0)&lt;&gt;""),IF(WEEKDAY(BR446-VLOOKUP($P446&amp;" | "&amp;BI$6,'Job Master'!$F$12:$I$102,4,0))&lt;&gt;7,BR446-VLOOKUP($P446&amp;" | "&amp;BI$6,'Job Master'!$F$12:$I$102,4,0),BR446-VLOOKUP($P446&amp;" | "&amp;BI$6,'Job Master'!$F$12:$I$102,4,0)-1),""),"")</f>
        <v/>
      </c>
      <c r="BL446" s="73"/>
      <c r="BM446" s="123" t="str">
        <f t="shared" si="786"/>
        <v/>
      </c>
      <c r="BN446" s="123" t="str">
        <f t="shared" si="787"/>
        <v/>
      </c>
      <c r="BO446" s="97" t="str">
        <f t="shared" ca="1" si="788"/>
        <v/>
      </c>
      <c r="BP446" s="98" t="str">
        <f>IF(BR446&lt;&gt;"",VLOOKUP($P446&amp;" | "&amp;BP$6,'Job Master'!$F$12:$J$102,5,0),"")</f>
        <v/>
      </c>
      <c r="BQ446" s="19" t="str">
        <f>IF(BR446&lt;&gt;"",VLOOKUP($P446&amp;" | "&amp;BP$6,'Job Master'!$F$12:$J$102,3,0),"")</f>
        <v/>
      </c>
      <c r="BR446" s="19" t="str">
        <f>IFERROR(IF(AND(BY446&lt;&gt;"",VLOOKUP($P446&amp;" | "&amp;BP$6,'Job Master'!$F$12:$I$102,4,0)&lt;&gt;""),IF(WEEKDAY(BY446-VLOOKUP($P446&amp;" | "&amp;BP$6,'Job Master'!$F$12:$I$102,4,0))&lt;&gt;7,BY446-VLOOKUP($P446&amp;" | "&amp;BP$6,'Job Master'!$F$12:$I$102,4,0),BY446-VLOOKUP($P446&amp;" | "&amp;BP$6,'Job Master'!$F$12:$I$102,4,0)-1),""),"")</f>
        <v/>
      </c>
      <c r="BS446" s="73"/>
      <c r="BT446" s="123" t="str">
        <f t="shared" si="789"/>
        <v/>
      </c>
      <c r="BU446" s="123" t="str">
        <f t="shared" si="790"/>
        <v/>
      </c>
      <c r="BV446" s="97" t="str">
        <f t="shared" ca="1" si="791"/>
        <v/>
      </c>
      <c r="BW446" s="98" t="str">
        <f>IF(BY446&lt;&gt;"",VLOOKUP($P446&amp;" | "&amp;BW$6,'Job Master'!$F$12:$J$102,5,0),"")</f>
        <v/>
      </c>
      <c r="BX446" s="19" t="str">
        <f>IF(BY446&lt;&gt;"",VLOOKUP($P446&amp;" | "&amp;BW$6,'Job Master'!$F$12:$J$102,3,0),"")</f>
        <v/>
      </c>
      <c r="BY446" s="19" t="str">
        <f>IFERROR(IF(AND(CF446&lt;&gt;"",VLOOKUP($P446&amp;" | "&amp;BW$6,'Job Master'!$F$12:$I$102,4,0)&lt;&gt;""),IF(WEEKDAY(CF446-VLOOKUP($P446&amp;" | "&amp;BW$6,'Job Master'!$F$12:$I$102,4,0))&lt;&gt;7,CF446-VLOOKUP($P446&amp;" | "&amp;BW$6,'Job Master'!$F$12:$I$102,4,0),CF446-VLOOKUP($P446&amp;" | "&amp;BW$6,'Job Master'!$F$12:$I$102,4,0)-1),""),"")</f>
        <v/>
      </c>
      <c r="BZ446" s="73"/>
      <c r="CA446" s="123" t="str">
        <f t="shared" si="792"/>
        <v/>
      </c>
      <c r="CB446" s="123" t="str">
        <f t="shared" si="793"/>
        <v/>
      </c>
      <c r="CC446" s="97" t="str">
        <f t="shared" ca="1" si="794"/>
        <v/>
      </c>
      <c r="CD446" s="98" t="str">
        <f>IF(CF446&lt;&gt;"",VLOOKUP($P446&amp;" | "&amp;CD$6,'Job Master'!$F$12:$J$102,5,0),"")</f>
        <v/>
      </c>
      <c r="CE446" s="19" t="str">
        <f>IF(CF446&lt;&gt;"",VLOOKUP($P446&amp;" | "&amp;CD$6,'Job Master'!$F$12:$J$102,3,0),"")</f>
        <v/>
      </c>
      <c r="CF446" s="19" t="str">
        <f>IFERROR(IF(AND(CM446&lt;&gt;"",VLOOKUP($P446&amp;" | "&amp;CD$6,'Job Master'!$F$12:$I$102,4,0)&lt;&gt;""),IF(WEEKDAY(CM446-VLOOKUP($P446&amp;" | "&amp;CD$6,'Job Master'!$F$12:$I$102,4,0))&lt;&gt;7,CM446-VLOOKUP($P446&amp;" | "&amp;CD$6,'Job Master'!$F$12:$I$102,4,0),CM446-VLOOKUP($P446&amp;" | "&amp;CD$6,'Job Master'!$F$12:$I$102,4,0)-1),""),"")</f>
        <v/>
      </c>
      <c r="CG446" s="73"/>
      <c r="CH446" s="123" t="str">
        <f t="shared" si="795"/>
        <v/>
      </c>
      <c r="CI446" s="123" t="str">
        <f t="shared" si="796"/>
        <v/>
      </c>
      <c r="CJ446" s="97" t="str">
        <f t="shared" ca="1" si="797"/>
        <v/>
      </c>
      <c r="CK446" s="98" t="str">
        <f>IF(CM446&lt;&gt;"",VLOOKUP($P446&amp;" | "&amp;CK$6,'Job Master'!$F$12:$J$102,5,0),"")</f>
        <v/>
      </c>
      <c r="CL446" s="19" t="str">
        <f>IF(CM446&lt;&gt;"",VLOOKUP($P446&amp;" | "&amp;CK$6,'Job Master'!$F$12:$J$102,3,0),"")</f>
        <v/>
      </c>
      <c r="CM446" s="19" t="str">
        <f>IFERROR(IF(AND(CT446&lt;&gt;"",VLOOKUP($P446&amp;" | "&amp;CK$6,'Job Master'!$F$12:$I$102,4,0)&lt;&gt;""),IF(WEEKDAY(CT446-VLOOKUP($P446&amp;" | "&amp;CK$6,'Job Master'!$F$12:$I$102,4,0))&lt;&gt;7,CT446-VLOOKUP($P446&amp;" | "&amp;CK$6,'Job Master'!$F$12:$I$102,4,0),CT446-VLOOKUP($P446&amp;" | "&amp;CK$6,'Job Master'!$F$12:$I$102,4,0)-1),""),"")</f>
        <v/>
      </c>
      <c r="CN446" s="73"/>
      <c r="CO446" s="123" t="str">
        <f t="shared" si="798"/>
        <v/>
      </c>
      <c r="CP446" s="123" t="str">
        <f t="shared" si="799"/>
        <v/>
      </c>
      <c r="CQ446" s="97" t="str">
        <f t="shared" ca="1" si="800"/>
        <v/>
      </c>
      <c r="CR446" s="98" t="str">
        <f>IF(CT446&lt;&gt;"",VLOOKUP($P446&amp;" | "&amp;CR$6,'Job Master'!$F$12:$J$102,5,0),"")</f>
        <v/>
      </c>
      <c r="CS446" s="19" t="str">
        <f>IF(CT446&lt;&gt;"",VLOOKUP($P446&amp;" | "&amp;CR$6,'Job Master'!$F$12:$J$102,3,0),"")</f>
        <v/>
      </c>
      <c r="CT446" s="19" t="str">
        <f>IFERROR(IF(AND(DA446&lt;&gt;"",VLOOKUP($P446&amp;" | "&amp;CR$6,'Job Master'!$F$12:$I$102,4,0)&lt;&gt;""),IF(WEEKDAY(DA446-VLOOKUP($P446&amp;" | "&amp;CR$6,'Job Master'!$F$12:$I$102,4,0))&lt;&gt;7,DA446-VLOOKUP($P446&amp;" | "&amp;CR$6,'Job Master'!$F$12:$I$102,4,0),DA446-VLOOKUP($P446&amp;" | "&amp;CR$6,'Job Master'!$F$12:$I$102,4,0)-1),""),"")</f>
        <v/>
      </c>
      <c r="CU446" s="73"/>
      <c r="CV446" s="123" t="str">
        <f t="shared" si="801"/>
        <v/>
      </c>
      <c r="CW446" s="123" t="str">
        <f t="shared" si="802"/>
        <v/>
      </c>
      <c r="CX446" s="97" t="str">
        <f t="shared" ca="1" si="803"/>
        <v/>
      </c>
      <c r="CY446" s="98" t="str">
        <f>IF(DA446&lt;&gt;"",VLOOKUP($P446&amp;" | "&amp;CY$6,'Job Master'!$F$12:$J$102,5,0),"")</f>
        <v/>
      </c>
      <c r="CZ446" s="19" t="str">
        <f>IF(DA446&lt;&gt;"",VLOOKUP($P446&amp;" | "&amp;CY$6,'Job Master'!$F$12:$J$102,3,0),"")</f>
        <v/>
      </c>
      <c r="DA446" s="19" t="str">
        <f>IFERROR(IF(AND(DH446&lt;&gt;"",VLOOKUP($P446&amp;" | "&amp;CY$6,'Job Master'!$F$12:$I$102,4,0)&lt;&gt;""),IF(WEEKDAY(DH446-VLOOKUP($P446&amp;" | "&amp;CY$6,'Job Master'!$F$12:$I$102,4,0))&lt;&gt;7,DH446-VLOOKUP($P446&amp;" | "&amp;CY$6,'Job Master'!$F$12:$I$102,4,0),DH446-VLOOKUP($P446&amp;" | "&amp;CY$6,'Job Master'!$F$12:$I$102,4,0)-1),""),"")</f>
        <v/>
      </c>
      <c r="DB446" s="73"/>
      <c r="DC446" s="123" t="str">
        <f t="shared" si="804"/>
        <v/>
      </c>
      <c r="DD446" s="123" t="str">
        <f t="shared" si="805"/>
        <v/>
      </c>
      <c r="DE446" s="97" t="str">
        <f t="shared" ca="1" si="806"/>
        <v/>
      </c>
      <c r="DF446" s="98" t="str">
        <f>IF(DH446&lt;&gt;"",VLOOKUP($P446&amp;" | "&amp;DF$6,'Job Master'!$F$12:$J$102,5,0),"")</f>
        <v/>
      </c>
      <c r="DG446" s="19" t="str">
        <f>IF(DH446&lt;&gt;"",VLOOKUP($P446&amp;" | "&amp;DF$6,'Job Master'!$F$12:$J$102,3,0),"")</f>
        <v/>
      </c>
      <c r="DH446" s="19" t="str">
        <f>IFERROR(IF(AND(DO446&lt;&gt;"",VLOOKUP($P446&amp;" | "&amp;DF$6,'Job Master'!$F$12:$I$102,4,0)&lt;&gt;""),IF(WEEKDAY(DO446-VLOOKUP($P446&amp;" | "&amp;DF$6,'Job Master'!$F$12:$I$102,4,0))&lt;&gt;7,DO446-VLOOKUP($P446&amp;" | "&amp;DF$6,'Job Master'!$F$12:$I$102,4,0),DO446-VLOOKUP($P446&amp;" | "&amp;DF$6,'Job Master'!$F$12:$I$102,4,0)-1),""),"")</f>
        <v/>
      </c>
      <c r="DI446" s="73"/>
      <c r="DJ446" s="123" t="str">
        <f t="shared" si="807"/>
        <v/>
      </c>
      <c r="DK446" s="123" t="str">
        <f t="shared" si="808"/>
        <v/>
      </c>
      <c r="DL446" s="97" t="str">
        <f t="shared" ca="1" si="809"/>
        <v/>
      </c>
      <c r="DM446" s="98" t="str">
        <f>IF(DO446&lt;&gt;"",VLOOKUP($P446&amp;" | "&amp;DM$6,'Job Master'!$F$12:$J$102,5,0),"")</f>
        <v/>
      </c>
      <c r="DN446" s="19" t="str">
        <f>IF(DO446&lt;&gt;"",VLOOKUP($P446&amp;" | "&amp;DM$6,'Job Master'!$F$12:$J$102,3,0),"")</f>
        <v/>
      </c>
      <c r="DO446" s="19" t="str">
        <f>IFERROR(IF(AND(DT446&lt;&gt;"",VLOOKUP($P446&amp;" | "&amp;DM$6,'Job Master'!$F$12:$I$102,4,0)&lt;&gt;""),IF(WEEKDAY(DT446-VLOOKUP($P446&amp;" | "&amp;DM$6,'Job Master'!$F$12:$I$102,4,0))&lt;&gt;7,DT446-VLOOKUP($P446&amp;" | "&amp;DM$6,'Job Master'!$F$12:$I$102,4,0),DT446-VLOOKUP($P446&amp;" | "&amp;DM$6,'Job Master'!$F$12:$I$102,4,0)-1),""),"")</f>
        <v/>
      </c>
      <c r="DP446" s="73"/>
      <c r="DQ446" s="123" t="str">
        <f t="shared" si="810"/>
        <v/>
      </c>
      <c r="DR446" s="123" t="str">
        <f t="shared" si="811"/>
        <v/>
      </c>
      <c r="DS446" s="97" t="str">
        <f t="shared" ca="1" si="812"/>
        <v/>
      </c>
      <c r="DT446" s="70" t="str">
        <f t="shared" si="813"/>
        <v/>
      </c>
      <c r="DU446" s="90"/>
      <c r="DV446" s="123" t="str">
        <f t="shared" si="814"/>
        <v/>
      </c>
      <c r="DW446" s="123" t="str">
        <f t="shared" si="815"/>
        <v/>
      </c>
      <c r="DX446" s="132" t="str">
        <f t="shared" ref="DX446" ca="1" si="879">IF(DT446&lt;&gt;"",IF(WEEKNUM(DT446)=WEEKNUM(TODAY()),"This Week",IF(WEEKNUM(DT446)=WEEKNUM(TODAY())+1,"Next Week",IF(WEEKNUM(DT446)=WEEKNUM(TODAY())-1,"Previous Week",""))),"")</f>
        <v/>
      </c>
      <c r="DY446" s="134" t="str">
        <f t="shared" si="817"/>
        <v/>
      </c>
      <c r="DZ446" s="95"/>
      <c r="EB446" s="8" t="str">
        <f t="shared" si="823"/>
        <v/>
      </c>
      <c r="EC446" s="8" t="str">
        <f>IF(O446&lt;&gt;"",VLOOKUP(O446,'Job Master'!$N$12:$O$18,2,0),"")</f>
        <v/>
      </c>
      <c r="ED446" s="8">
        <f t="shared" si="824"/>
        <v>19.5</v>
      </c>
      <c r="EE446" s="8">
        <f t="shared" si="825"/>
        <v>6</v>
      </c>
      <c r="EF446" s="8">
        <f t="shared" si="826"/>
        <v>-2596.5</v>
      </c>
      <c r="EG446" s="8" t="str">
        <f t="shared" si="827"/>
        <v/>
      </c>
      <c r="EH446" s="8" t="str">
        <f t="shared" si="828"/>
        <v/>
      </c>
    </row>
    <row r="447" spans="2:138" x14ac:dyDescent="0.3">
      <c r="B447" s="112"/>
      <c r="C447" s="27"/>
      <c r="D447" s="7" t="str">
        <f t="shared" si="765"/>
        <v/>
      </c>
      <c r="E447" s="25"/>
      <c r="F447" s="7" t="str">
        <f t="shared" si="765"/>
        <v/>
      </c>
      <c r="G447" s="25"/>
      <c r="H447" s="7" t="str">
        <f t="shared" si="765"/>
        <v/>
      </c>
      <c r="I447" s="25"/>
      <c r="J447" s="7" t="str">
        <f t="shared" si="765"/>
        <v/>
      </c>
      <c r="K447" s="25"/>
      <c r="L447" s="7" t="str">
        <f t="shared" si="766"/>
        <v/>
      </c>
      <c r="M447" s="25"/>
      <c r="N447" s="7" t="str">
        <f t="shared" si="767"/>
        <v/>
      </c>
      <c r="O447" s="81"/>
      <c r="P447" s="81" t="str">
        <f t="shared" si="768"/>
        <v/>
      </c>
      <c r="Q447" s="81"/>
      <c r="R447" s="7" t="str">
        <f t="shared" si="769"/>
        <v/>
      </c>
      <c r="S447" s="25"/>
      <c r="T447" s="7" t="str">
        <f t="shared" si="770"/>
        <v/>
      </c>
      <c r="U447" s="25"/>
      <c r="V447" s="7" t="str">
        <f t="shared" si="771"/>
        <v/>
      </c>
      <c r="W447" s="25"/>
      <c r="X447" s="7" t="str">
        <f t="shared" si="772"/>
        <v/>
      </c>
      <c r="Y447" s="18" t="str">
        <f t="shared" si="773"/>
        <v/>
      </c>
      <c r="Z447" s="7" t="str">
        <f t="shared" si="774"/>
        <v/>
      </c>
      <c r="AA447" s="18" t="str">
        <f t="shared" si="775"/>
        <v/>
      </c>
      <c r="AB447" s="19" t="str">
        <f t="shared" si="776"/>
        <v/>
      </c>
      <c r="AC447" s="26"/>
      <c r="AD447" s="26"/>
      <c r="AE447" s="25"/>
      <c r="AF447" s="26"/>
      <c r="AG447" s="25"/>
      <c r="AH447" s="25"/>
      <c r="AI447" s="18" t="str">
        <f t="shared" si="839"/>
        <v/>
      </c>
      <c r="AJ447" s="25"/>
      <c r="AK447" s="18" t="str">
        <f t="shared" si="840"/>
        <v/>
      </c>
      <c r="AL447" s="79"/>
      <c r="AM447" s="126" t="str">
        <f t="shared" si="841"/>
        <v/>
      </c>
      <c r="AN447" s="128" t="str">
        <f>IF(AP447&lt;&gt;"",VLOOKUP($P447&amp;" | "&amp;AN$6,'Job Master'!$F$12:$J$102,5,0),"")</f>
        <v/>
      </c>
      <c r="AO447" s="19" t="str">
        <f>IF(AP447&lt;&gt;"",VLOOKUP($P447&amp;" | "&amp;AN$6,'Job Master'!$F$12:$J$102,3,0),"")</f>
        <v/>
      </c>
      <c r="AP447" s="19" t="str">
        <f>IFERROR(IF(AND(AW447&lt;&gt;"",VLOOKUP($P447&amp;" | "&amp;AN$6,'Job Master'!$F$12:$I$102,4,0)&lt;&gt;""),IF(WEEKDAY(AW447-VLOOKUP($P447&amp;" | "&amp;AN$6,'Job Master'!$F$12:$I$102,4,0))&lt;&gt;7,AW447-VLOOKUP($P447&amp;" | "&amp;AN$6,'Job Master'!$F$12:$I$102,4,0),AW447-VLOOKUP($P447&amp;" | "&amp;AN$6,'Job Master'!$F$12:$I$102,4,0)-1),""),"")</f>
        <v/>
      </c>
      <c r="AQ447" s="73"/>
      <c r="AR447" s="123" t="str">
        <f t="shared" si="777"/>
        <v/>
      </c>
      <c r="AS447" s="123" t="str">
        <f t="shared" si="778"/>
        <v/>
      </c>
      <c r="AT447" s="97" t="str">
        <f t="shared" ca="1" si="779"/>
        <v/>
      </c>
      <c r="AU447" s="98" t="str">
        <f>IF(AW447&lt;&gt;"",VLOOKUP($P447&amp;" | "&amp;AU$6,'Job Master'!$F$12:$J$102,5,0),"")</f>
        <v/>
      </c>
      <c r="AV447" s="19" t="str">
        <f>IF(AW447&lt;&gt;"",VLOOKUP($P447&amp;" | "&amp;AU$6,'Job Master'!$F$12:$J$102,3,0),"")</f>
        <v/>
      </c>
      <c r="AW447" s="19" t="str">
        <f>IFERROR(IF(AND(BD447&lt;&gt;"",VLOOKUP($P447&amp;" | "&amp;AU$6,'Job Master'!$F$12:$I$102,4,0)&lt;&gt;""),IF(WEEKDAY(BD447-VLOOKUP($P447&amp;" | "&amp;AU$6,'Job Master'!$F$12:$I$102,4,0))&lt;&gt;7,BD447-VLOOKUP($P447&amp;" | "&amp;AU$6,'Job Master'!$F$12:$I$102,4,0),BD447-VLOOKUP($P447&amp;" | "&amp;AU$6,'Job Master'!$F$12:$I$102,4,0)-1),""),"")</f>
        <v/>
      </c>
      <c r="AX447" s="73"/>
      <c r="AY447" s="123" t="str">
        <f t="shared" si="780"/>
        <v/>
      </c>
      <c r="AZ447" s="123" t="str">
        <f t="shared" si="781"/>
        <v/>
      </c>
      <c r="BA447" s="97" t="str">
        <f t="shared" ca="1" si="782"/>
        <v/>
      </c>
      <c r="BB447" s="98" t="str">
        <f>IF(BD447&lt;&gt;"",VLOOKUP($P447&amp;" | "&amp;BB$6,'Job Master'!$F$12:$J$102,5,0),"")</f>
        <v/>
      </c>
      <c r="BC447" s="19" t="str">
        <f>IF(BD447&lt;&gt;"",VLOOKUP($P447&amp;" | "&amp;BB$6,'Job Master'!$F$12:$J$102,3,0),"")</f>
        <v/>
      </c>
      <c r="BD447" s="19" t="str">
        <f>IFERROR(IF(AND(BK447&lt;&gt;"",VLOOKUP($P447&amp;" | "&amp;BB$6,'Job Master'!$F$12:$I$102,4,0)&lt;&gt;""),IF(WEEKDAY(BK447-VLOOKUP($P447&amp;" | "&amp;BB$6,'Job Master'!$F$12:$I$102,4,0))&lt;&gt;7,BK447-VLOOKUP($P447&amp;" | "&amp;BB$6,'Job Master'!$F$12:$I$102,4,0),BK447-VLOOKUP($P447&amp;" | "&amp;BB$6,'Job Master'!$F$12:$I$102,4,0)-1),""),"")</f>
        <v/>
      </c>
      <c r="BE447" s="73"/>
      <c r="BF447" s="123" t="str">
        <f t="shared" si="783"/>
        <v/>
      </c>
      <c r="BG447" s="123" t="str">
        <f t="shared" si="784"/>
        <v/>
      </c>
      <c r="BH447" s="97" t="str">
        <f t="shared" ca="1" si="785"/>
        <v/>
      </c>
      <c r="BI447" s="98" t="str">
        <f>IF(BK447&lt;&gt;"",VLOOKUP($P447&amp;" | "&amp;BI$6,'Job Master'!$F$12:$J$102,5,0),"")</f>
        <v/>
      </c>
      <c r="BJ447" s="19" t="str">
        <f>IF(BK447&lt;&gt;"",VLOOKUP($P447&amp;" | "&amp;BI$6,'Job Master'!$F$12:$J$102,3,0),"")</f>
        <v/>
      </c>
      <c r="BK447" s="19" t="str">
        <f>IFERROR(IF(AND(BR447&lt;&gt;"",VLOOKUP($P447&amp;" | "&amp;BI$6,'Job Master'!$F$12:$I$102,4,0)&lt;&gt;""),IF(WEEKDAY(BR447-VLOOKUP($P447&amp;" | "&amp;BI$6,'Job Master'!$F$12:$I$102,4,0))&lt;&gt;7,BR447-VLOOKUP($P447&amp;" | "&amp;BI$6,'Job Master'!$F$12:$I$102,4,0),BR447-VLOOKUP($P447&amp;" | "&amp;BI$6,'Job Master'!$F$12:$I$102,4,0)-1),""),"")</f>
        <v/>
      </c>
      <c r="BL447" s="73"/>
      <c r="BM447" s="123" t="str">
        <f t="shared" si="786"/>
        <v/>
      </c>
      <c r="BN447" s="123" t="str">
        <f t="shared" si="787"/>
        <v/>
      </c>
      <c r="BO447" s="97" t="str">
        <f t="shared" ca="1" si="788"/>
        <v/>
      </c>
      <c r="BP447" s="98" t="str">
        <f>IF(BR447&lt;&gt;"",VLOOKUP($P447&amp;" | "&amp;BP$6,'Job Master'!$F$12:$J$102,5,0),"")</f>
        <v/>
      </c>
      <c r="BQ447" s="19" t="str">
        <f>IF(BR447&lt;&gt;"",VLOOKUP($P447&amp;" | "&amp;BP$6,'Job Master'!$F$12:$J$102,3,0),"")</f>
        <v/>
      </c>
      <c r="BR447" s="19" t="str">
        <f>IFERROR(IF(AND(BY447&lt;&gt;"",VLOOKUP($P447&amp;" | "&amp;BP$6,'Job Master'!$F$12:$I$102,4,0)&lt;&gt;""),IF(WEEKDAY(BY447-VLOOKUP($P447&amp;" | "&amp;BP$6,'Job Master'!$F$12:$I$102,4,0))&lt;&gt;7,BY447-VLOOKUP($P447&amp;" | "&amp;BP$6,'Job Master'!$F$12:$I$102,4,0),BY447-VLOOKUP($P447&amp;" | "&amp;BP$6,'Job Master'!$F$12:$I$102,4,0)-1),""),"")</f>
        <v/>
      </c>
      <c r="BS447" s="73"/>
      <c r="BT447" s="123" t="str">
        <f t="shared" si="789"/>
        <v/>
      </c>
      <c r="BU447" s="123" t="str">
        <f t="shared" si="790"/>
        <v/>
      </c>
      <c r="BV447" s="97" t="str">
        <f t="shared" ca="1" si="791"/>
        <v/>
      </c>
      <c r="BW447" s="98" t="str">
        <f>IF(BY447&lt;&gt;"",VLOOKUP($P447&amp;" | "&amp;BW$6,'Job Master'!$F$12:$J$102,5,0),"")</f>
        <v/>
      </c>
      <c r="BX447" s="19" t="str">
        <f>IF(BY447&lt;&gt;"",VLOOKUP($P447&amp;" | "&amp;BW$6,'Job Master'!$F$12:$J$102,3,0),"")</f>
        <v/>
      </c>
      <c r="BY447" s="19" t="str">
        <f>IFERROR(IF(AND(CF447&lt;&gt;"",VLOOKUP($P447&amp;" | "&amp;BW$6,'Job Master'!$F$12:$I$102,4,0)&lt;&gt;""),IF(WEEKDAY(CF447-VLOOKUP($P447&amp;" | "&amp;BW$6,'Job Master'!$F$12:$I$102,4,0))&lt;&gt;7,CF447-VLOOKUP($P447&amp;" | "&amp;BW$6,'Job Master'!$F$12:$I$102,4,0),CF447-VLOOKUP($P447&amp;" | "&amp;BW$6,'Job Master'!$F$12:$I$102,4,0)-1),""),"")</f>
        <v/>
      </c>
      <c r="BZ447" s="73"/>
      <c r="CA447" s="123" t="str">
        <f t="shared" si="792"/>
        <v/>
      </c>
      <c r="CB447" s="123" t="str">
        <f t="shared" si="793"/>
        <v/>
      </c>
      <c r="CC447" s="97" t="str">
        <f t="shared" ca="1" si="794"/>
        <v/>
      </c>
      <c r="CD447" s="98" t="str">
        <f>IF(CF447&lt;&gt;"",VLOOKUP($P447&amp;" | "&amp;CD$6,'Job Master'!$F$12:$J$102,5,0),"")</f>
        <v/>
      </c>
      <c r="CE447" s="19" t="str">
        <f>IF(CF447&lt;&gt;"",VLOOKUP($P447&amp;" | "&amp;CD$6,'Job Master'!$F$12:$J$102,3,0),"")</f>
        <v/>
      </c>
      <c r="CF447" s="19" t="str">
        <f>IFERROR(IF(AND(CM447&lt;&gt;"",VLOOKUP($P447&amp;" | "&amp;CD$6,'Job Master'!$F$12:$I$102,4,0)&lt;&gt;""),IF(WEEKDAY(CM447-VLOOKUP($P447&amp;" | "&amp;CD$6,'Job Master'!$F$12:$I$102,4,0))&lt;&gt;7,CM447-VLOOKUP($P447&amp;" | "&amp;CD$6,'Job Master'!$F$12:$I$102,4,0),CM447-VLOOKUP($P447&amp;" | "&amp;CD$6,'Job Master'!$F$12:$I$102,4,0)-1),""),"")</f>
        <v/>
      </c>
      <c r="CG447" s="73"/>
      <c r="CH447" s="123" t="str">
        <f t="shared" si="795"/>
        <v/>
      </c>
      <c r="CI447" s="123" t="str">
        <f t="shared" si="796"/>
        <v/>
      </c>
      <c r="CJ447" s="97" t="str">
        <f t="shared" ca="1" si="797"/>
        <v/>
      </c>
      <c r="CK447" s="98" t="str">
        <f>IF(CM447&lt;&gt;"",VLOOKUP($P447&amp;" | "&amp;CK$6,'Job Master'!$F$12:$J$102,5,0),"")</f>
        <v/>
      </c>
      <c r="CL447" s="19" t="str">
        <f>IF(CM447&lt;&gt;"",VLOOKUP($P447&amp;" | "&amp;CK$6,'Job Master'!$F$12:$J$102,3,0),"")</f>
        <v/>
      </c>
      <c r="CM447" s="19" t="str">
        <f>IFERROR(IF(AND(CT447&lt;&gt;"",VLOOKUP($P447&amp;" | "&amp;CK$6,'Job Master'!$F$12:$I$102,4,0)&lt;&gt;""),IF(WEEKDAY(CT447-VLOOKUP($P447&amp;" | "&amp;CK$6,'Job Master'!$F$12:$I$102,4,0))&lt;&gt;7,CT447-VLOOKUP($P447&amp;" | "&amp;CK$6,'Job Master'!$F$12:$I$102,4,0),CT447-VLOOKUP($P447&amp;" | "&amp;CK$6,'Job Master'!$F$12:$I$102,4,0)-1),""),"")</f>
        <v/>
      </c>
      <c r="CN447" s="73"/>
      <c r="CO447" s="123" t="str">
        <f t="shared" si="798"/>
        <v/>
      </c>
      <c r="CP447" s="123" t="str">
        <f t="shared" si="799"/>
        <v/>
      </c>
      <c r="CQ447" s="97" t="str">
        <f t="shared" ca="1" si="800"/>
        <v/>
      </c>
      <c r="CR447" s="98" t="str">
        <f>IF(CT447&lt;&gt;"",VLOOKUP($P447&amp;" | "&amp;CR$6,'Job Master'!$F$12:$J$102,5,0),"")</f>
        <v/>
      </c>
      <c r="CS447" s="19" t="str">
        <f>IF(CT447&lt;&gt;"",VLOOKUP($P447&amp;" | "&amp;CR$6,'Job Master'!$F$12:$J$102,3,0),"")</f>
        <v/>
      </c>
      <c r="CT447" s="19" t="str">
        <f>IFERROR(IF(AND(DA447&lt;&gt;"",VLOOKUP($P447&amp;" | "&amp;CR$6,'Job Master'!$F$12:$I$102,4,0)&lt;&gt;""),IF(WEEKDAY(DA447-VLOOKUP($P447&amp;" | "&amp;CR$6,'Job Master'!$F$12:$I$102,4,0))&lt;&gt;7,DA447-VLOOKUP($P447&amp;" | "&amp;CR$6,'Job Master'!$F$12:$I$102,4,0),DA447-VLOOKUP($P447&amp;" | "&amp;CR$6,'Job Master'!$F$12:$I$102,4,0)-1),""),"")</f>
        <v/>
      </c>
      <c r="CU447" s="73"/>
      <c r="CV447" s="123" t="str">
        <f t="shared" si="801"/>
        <v/>
      </c>
      <c r="CW447" s="123" t="str">
        <f t="shared" si="802"/>
        <v/>
      </c>
      <c r="CX447" s="97" t="str">
        <f t="shared" ca="1" si="803"/>
        <v/>
      </c>
      <c r="CY447" s="98" t="str">
        <f>IF(DA447&lt;&gt;"",VLOOKUP($P447&amp;" | "&amp;CY$6,'Job Master'!$F$12:$J$102,5,0),"")</f>
        <v/>
      </c>
      <c r="CZ447" s="19" t="str">
        <f>IF(DA447&lt;&gt;"",VLOOKUP($P447&amp;" | "&amp;CY$6,'Job Master'!$F$12:$J$102,3,0),"")</f>
        <v/>
      </c>
      <c r="DA447" s="19" t="str">
        <f>IFERROR(IF(AND(DH447&lt;&gt;"",VLOOKUP($P447&amp;" | "&amp;CY$6,'Job Master'!$F$12:$I$102,4,0)&lt;&gt;""),IF(WEEKDAY(DH447-VLOOKUP($P447&amp;" | "&amp;CY$6,'Job Master'!$F$12:$I$102,4,0))&lt;&gt;7,DH447-VLOOKUP($P447&amp;" | "&amp;CY$6,'Job Master'!$F$12:$I$102,4,0),DH447-VLOOKUP($P447&amp;" | "&amp;CY$6,'Job Master'!$F$12:$I$102,4,0)-1),""),"")</f>
        <v/>
      </c>
      <c r="DB447" s="73"/>
      <c r="DC447" s="123" t="str">
        <f t="shared" si="804"/>
        <v/>
      </c>
      <c r="DD447" s="123" t="str">
        <f t="shared" si="805"/>
        <v/>
      </c>
      <c r="DE447" s="97" t="str">
        <f t="shared" ca="1" si="806"/>
        <v/>
      </c>
      <c r="DF447" s="98" t="str">
        <f>IF(DH447&lt;&gt;"",VLOOKUP($P447&amp;" | "&amp;DF$6,'Job Master'!$F$12:$J$102,5,0),"")</f>
        <v/>
      </c>
      <c r="DG447" s="19" t="str">
        <f>IF(DH447&lt;&gt;"",VLOOKUP($P447&amp;" | "&amp;DF$6,'Job Master'!$F$12:$J$102,3,0),"")</f>
        <v/>
      </c>
      <c r="DH447" s="19" t="str">
        <f>IFERROR(IF(AND(DO447&lt;&gt;"",VLOOKUP($P447&amp;" | "&amp;DF$6,'Job Master'!$F$12:$I$102,4,0)&lt;&gt;""),IF(WEEKDAY(DO447-VLOOKUP($P447&amp;" | "&amp;DF$6,'Job Master'!$F$12:$I$102,4,0))&lt;&gt;7,DO447-VLOOKUP($P447&amp;" | "&amp;DF$6,'Job Master'!$F$12:$I$102,4,0),DO447-VLOOKUP($P447&amp;" | "&amp;DF$6,'Job Master'!$F$12:$I$102,4,0)-1),""),"")</f>
        <v/>
      </c>
      <c r="DI447" s="73"/>
      <c r="DJ447" s="123" t="str">
        <f t="shared" si="807"/>
        <v/>
      </c>
      <c r="DK447" s="123" t="str">
        <f t="shared" si="808"/>
        <v/>
      </c>
      <c r="DL447" s="97" t="str">
        <f t="shared" ca="1" si="809"/>
        <v/>
      </c>
      <c r="DM447" s="98" t="str">
        <f>IF(DO447&lt;&gt;"",VLOOKUP($P447&amp;" | "&amp;DM$6,'Job Master'!$F$12:$J$102,5,0),"")</f>
        <v/>
      </c>
      <c r="DN447" s="19" t="str">
        <f>IF(DO447&lt;&gt;"",VLOOKUP($P447&amp;" | "&amp;DM$6,'Job Master'!$F$12:$J$102,3,0),"")</f>
        <v/>
      </c>
      <c r="DO447" s="19" t="str">
        <f>IFERROR(IF(AND(DT447&lt;&gt;"",VLOOKUP($P447&amp;" | "&amp;DM$6,'Job Master'!$F$12:$I$102,4,0)&lt;&gt;""),IF(WEEKDAY(DT447-VLOOKUP($P447&amp;" | "&amp;DM$6,'Job Master'!$F$12:$I$102,4,0))&lt;&gt;7,DT447-VLOOKUP($P447&amp;" | "&amp;DM$6,'Job Master'!$F$12:$I$102,4,0),DT447-VLOOKUP($P447&amp;" | "&amp;DM$6,'Job Master'!$F$12:$I$102,4,0)-1),""),"")</f>
        <v/>
      </c>
      <c r="DP447" s="73"/>
      <c r="DQ447" s="123" t="str">
        <f t="shared" si="810"/>
        <v/>
      </c>
      <c r="DR447" s="123" t="str">
        <f t="shared" si="811"/>
        <v/>
      </c>
      <c r="DS447" s="97" t="str">
        <f t="shared" ca="1" si="812"/>
        <v/>
      </c>
      <c r="DT447" s="70" t="str">
        <f t="shared" si="813"/>
        <v/>
      </c>
      <c r="DU447" s="90"/>
      <c r="DV447" s="123" t="str">
        <f t="shared" si="814"/>
        <v/>
      </c>
      <c r="DW447" s="123" t="str">
        <f t="shared" si="815"/>
        <v/>
      </c>
      <c r="DX447" s="132" t="str">
        <f t="shared" ref="DX447" ca="1" si="880">IF(DT447&lt;&gt;"",IF(WEEKNUM(DT447)=WEEKNUM(TODAY()),"This Week",IF(WEEKNUM(DT447)=WEEKNUM(TODAY())+1,"Next Week",IF(WEEKNUM(DT447)=WEEKNUM(TODAY())-1,"Previous Week",""))),"")</f>
        <v/>
      </c>
      <c r="DY447" s="134" t="str">
        <f t="shared" si="817"/>
        <v/>
      </c>
      <c r="DZ447" s="95"/>
      <c r="EB447" s="8" t="str">
        <f t="shared" si="823"/>
        <v/>
      </c>
      <c r="EC447" s="8" t="str">
        <f>IF(O447&lt;&gt;"",VLOOKUP(O447,'Job Master'!$N$12:$O$18,2,0),"")</f>
        <v/>
      </c>
      <c r="ED447" s="8">
        <f t="shared" si="824"/>
        <v>19.5</v>
      </c>
      <c r="EE447" s="8">
        <f t="shared" si="825"/>
        <v>6</v>
      </c>
      <c r="EF447" s="8">
        <f t="shared" si="826"/>
        <v>-2602.5</v>
      </c>
      <c r="EG447" s="8" t="str">
        <f t="shared" si="827"/>
        <v/>
      </c>
      <c r="EH447" s="8" t="str">
        <f t="shared" si="828"/>
        <v/>
      </c>
    </row>
    <row r="448" spans="2:138" x14ac:dyDescent="0.3">
      <c r="B448" s="112"/>
      <c r="C448" s="27"/>
      <c r="D448" s="7" t="str">
        <f t="shared" si="765"/>
        <v/>
      </c>
      <c r="E448" s="25"/>
      <c r="F448" s="7" t="str">
        <f t="shared" si="765"/>
        <v/>
      </c>
      <c r="G448" s="25"/>
      <c r="H448" s="7" t="str">
        <f t="shared" si="765"/>
        <v/>
      </c>
      <c r="I448" s="25"/>
      <c r="J448" s="7" t="str">
        <f t="shared" si="765"/>
        <v/>
      </c>
      <c r="K448" s="25"/>
      <c r="L448" s="7" t="str">
        <f t="shared" si="766"/>
        <v/>
      </c>
      <c r="M448" s="25"/>
      <c r="N448" s="7" t="str">
        <f t="shared" si="767"/>
        <v/>
      </c>
      <c r="O448" s="81"/>
      <c r="P448" s="81" t="str">
        <f t="shared" si="768"/>
        <v/>
      </c>
      <c r="Q448" s="81"/>
      <c r="R448" s="7" t="str">
        <f t="shared" si="769"/>
        <v/>
      </c>
      <c r="S448" s="25"/>
      <c r="T448" s="7" t="str">
        <f t="shared" si="770"/>
        <v/>
      </c>
      <c r="U448" s="25"/>
      <c r="V448" s="7" t="str">
        <f t="shared" si="771"/>
        <v/>
      </c>
      <c r="W448" s="25"/>
      <c r="X448" s="7" t="str">
        <f t="shared" si="772"/>
        <v/>
      </c>
      <c r="Y448" s="18" t="str">
        <f t="shared" si="773"/>
        <v/>
      </c>
      <c r="Z448" s="7" t="str">
        <f t="shared" si="774"/>
        <v/>
      </c>
      <c r="AA448" s="18" t="str">
        <f t="shared" si="775"/>
        <v/>
      </c>
      <c r="AB448" s="19" t="str">
        <f t="shared" si="776"/>
        <v/>
      </c>
      <c r="AC448" s="26"/>
      <c r="AD448" s="26"/>
      <c r="AE448" s="25"/>
      <c r="AF448" s="26"/>
      <c r="AG448" s="25"/>
      <c r="AH448" s="25"/>
      <c r="AI448" s="18" t="str">
        <f t="shared" si="839"/>
        <v/>
      </c>
      <c r="AJ448" s="25"/>
      <c r="AK448" s="18" t="str">
        <f t="shared" si="840"/>
        <v/>
      </c>
      <c r="AL448" s="79"/>
      <c r="AM448" s="126" t="str">
        <f t="shared" si="841"/>
        <v/>
      </c>
      <c r="AN448" s="128" t="str">
        <f>IF(AP448&lt;&gt;"",VLOOKUP($P448&amp;" | "&amp;AN$6,'Job Master'!$F$12:$J$102,5,0),"")</f>
        <v/>
      </c>
      <c r="AO448" s="19" t="str">
        <f>IF(AP448&lt;&gt;"",VLOOKUP($P448&amp;" | "&amp;AN$6,'Job Master'!$F$12:$J$102,3,0),"")</f>
        <v/>
      </c>
      <c r="AP448" s="19" t="str">
        <f>IFERROR(IF(AND(AW448&lt;&gt;"",VLOOKUP($P448&amp;" | "&amp;AN$6,'Job Master'!$F$12:$I$102,4,0)&lt;&gt;""),IF(WEEKDAY(AW448-VLOOKUP($P448&amp;" | "&amp;AN$6,'Job Master'!$F$12:$I$102,4,0))&lt;&gt;7,AW448-VLOOKUP($P448&amp;" | "&amp;AN$6,'Job Master'!$F$12:$I$102,4,0),AW448-VLOOKUP($P448&amp;" | "&amp;AN$6,'Job Master'!$F$12:$I$102,4,0)-1),""),"")</f>
        <v/>
      </c>
      <c r="AQ448" s="73"/>
      <c r="AR448" s="123" t="str">
        <f t="shared" si="777"/>
        <v/>
      </c>
      <c r="AS448" s="123" t="str">
        <f t="shared" si="778"/>
        <v/>
      </c>
      <c r="AT448" s="97" t="str">
        <f t="shared" ca="1" si="779"/>
        <v/>
      </c>
      <c r="AU448" s="98" t="str">
        <f>IF(AW448&lt;&gt;"",VLOOKUP($P448&amp;" | "&amp;AU$6,'Job Master'!$F$12:$J$102,5,0),"")</f>
        <v/>
      </c>
      <c r="AV448" s="19" t="str">
        <f>IF(AW448&lt;&gt;"",VLOOKUP($P448&amp;" | "&amp;AU$6,'Job Master'!$F$12:$J$102,3,0),"")</f>
        <v/>
      </c>
      <c r="AW448" s="19" t="str">
        <f>IFERROR(IF(AND(BD448&lt;&gt;"",VLOOKUP($P448&amp;" | "&amp;AU$6,'Job Master'!$F$12:$I$102,4,0)&lt;&gt;""),IF(WEEKDAY(BD448-VLOOKUP($P448&amp;" | "&amp;AU$6,'Job Master'!$F$12:$I$102,4,0))&lt;&gt;7,BD448-VLOOKUP($P448&amp;" | "&amp;AU$6,'Job Master'!$F$12:$I$102,4,0),BD448-VLOOKUP($P448&amp;" | "&amp;AU$6,'Job Master'!$F$12:$I$102,4,0)-1),""),"")</f>
        <v/>
      </c>
      <c r="AX448" s="73"/>
      <c r="AY448" s="123" t="str">
        <f t="shared" si="780"/>
        <v/>
      </c>
      <c r="AZ448" s="123" t="str">
        <f t="shared" si="781"/>
        <v/>
      </c>
      <c r="BA448" s="97" t="str">
        <f t="shared" ca="1" si="782"/>
        <v/>
      </c>
      <c r="BB448" s="98" t="str">
        <f>IF(BD448&lt;&gt;"",VLOOKUP($P448&amp;" | "&amp;BB$6,'Job Master'!$F$12:$J$102,5,0),"")</f>
        <v/>
      </c>
      <c r="BC448" s="19" t="str">
        <f>IF(BD448&lt;&gt;"",VLOOKUP($P448&amp;" | "&amp;BB$6,'Job Master'!$F$12:$J$102,3,0),"")</f>
        <v/>
      </c>
      <c r="BD448" s="19" t="str">
        <f>IFERROR(IF(AND(BK448&lt;&gt;"",VLOOKUP($P448&amp;" | "&amp;BB$6,'Job Master'!$F$12:$I$102,4,0)&lt;&gt;""),IF(WEEKDAY(BK448-VLOOKUP($P448&amp;" | "&amp;BB$6,'Job Master'!$F$12:$I$102,4,0))&lt;&gt;7,BK448-VLOOKUP($P448&amp;" | "&amp;BB$6,'Job Master'!$F$12:$I$102,4,0),BK448-VLOOKUP($P448&amp;" | "&amp;BB$6,'Job Master'!$F$12:$I$102,4,0)-1),""),"")</f>
        <v/>
      </c>
      <c r="BE448" s="73"/>
      <c r="BF448" s="123" t="str">
        <f t="shared" si="783"/>
        <v/>
      </c>
      <c r="BG448" s="123" t="str">
        <f t="shared" si="784"/>
        <v/>
      </c>
      <c r="BH448" s="97" t="str">
        <f t="shared" ca="1" si="785"/>
        <v/>
      </c>
      <c r="BI448" s="98" t="str">
        <f>IF(BK448&lt;&gt;"",VLOOKUP($P448&amp;" | "&amp;BI$6,'Job Master'!$F$12:$J$102,5,0),"")</f>
        <v/>
      </c>
      <c r="BJ448" s="19" t="str">
        <f>IF(BK448&lt;&gt;"",VLOOKUP($P448&amp;" | "&amp;BI$6,'Job Master'!$F$12:$J$102,3,0),"")</f>
        <v/>
      </c>
      <c r="BK448" s="19" t="str">
        <f>IFERROR(IF(AND(BR448&lt;&gt;"",VLOOKUP($P448&amp;" | "&amp;BI$6,'Job Master'!$F$12:$I$102,4,0)&lt;&gt;""),IF(WEEKDAY(BR448-VLOOKUP($P448&amp;" | "&amp;BI$6,'Job Master'!$F$12:$I$102,4,0))&lt;&gt;7,BR448-VLOOKUP($P448&amp;" | "&amp;BI$6,'Job Master'!$F$12:$I$102,4,0),BR448-VLOOKUP($P448&amp;" | "&amp;BI$6,'Job Master'!$F$12:$I$102,4,0)-1),""),"")</f>
        <v/>
      </c>
      <c r="BL448" s="73"/>
      <c r="BM448" s="123" t="str">
        <f t="shared" si="786"/>
        <v/>
      </c>
      <c r="BN448" s="123" t="str">
        <f t="shared" si="787"/>
        <v/>
      </c>
      <c r="BO448" s="97" t="str">
        <f t="shared" ca="1" si="788"/>
        <v/>
      </c>
      <c r="BP448" s="98" t="str">
        <f>IF(BR448&lt;&gt;"",VLOOKUP($P448&amp;" | "&amp;BP$6,'Job Master'!$F$12:$J$102,5,0),"")</f>
        <v/>
      </c>
      <c r="BQ448" s="19" t="str">
        <f>IF(BR448&lt;&gt;"",VLOOKUP($P448&amp;" | "&amp;BP$6,'Job Master'!$F$12:$J$102,3,0),"")</f>
        <v/>
      </c>
      <c r="BR448" s="19" t="str">
        <f>IFERROR(IF(AND(BY448&lt;&gt;"",VLOOKUP($P448&amp;" | "&amp;BP$6,'Job Master'!$F$12:$I$102,4,0)&lt;&gt;""),IF(WEEKDAY(BY448-VLOOKUP($P448&amp;" | "&amp;BP$6,'Job Master'!$F$12:$I$102,4,0))&lt;&gt;7,BY448-VLOOKUP($P448&amp;" | "&amp;BP$6,'Job Master'!$F$12:$I$102,4,0),BY448-VLOOKUP($P448&amp;" | "&amp;BP$6,'Job Master'!$F$12:$I$102,4,0)-1),""),"")</f>
        <v/>
      </c>
      <c r="BS448" s="73"/>
      <c r="BT448" s="123" t="str">
        <f t="shared" si="789"/>
        <v/>
      </c>
      <c r="BU448" s="123" t="str">
        <f t="shared" si="790"/>
        <v/>
      </c>
      <c r="BV448" s="97" t="str">
        <f t="shared" ca="1" si="791"/>
        <v/>
      </c>
      <c r="BW448" s="98" t="str">
        <f>IF(BY448&lt;&gt;"",VLOOKUP($P448&amp;" | "&amp;BW$6,'Job Master'!$F$12:$J$102,5,0),"")</f>
        <v/>
      </c>
      <c r="BX448" s="19" t="str">
        <f>IF(BY448&lt;&gt;"",VLOOKUP($P448&amp;" | "&amp;BW$6,'Job Master'!$F$12:$J$102,3,0),"")</f>
        <v/>
      </c>
      <c r="BY448" s="19" t="str">
        <f>IFERROR(IF(AND(CF448&lt;&gt;"",VLOOKUP($P448&amp;" | "&amp;BW$6,'Job Master'!$F$12:$I$102,4,0)&lt;&gt;""),IF(WEEKDAY(CF448-VLOOKUP($P448&amp;" | "&amp;BW$6,'Job Master'!$F$12:$I$102,4,0))&lt;&gt;7,CF448-VLOOKUP($P448&amp;" | "&amp;BW$6,'Job Master'!$F$12:$I$102,4,0),CF448-VLOOKUP($P448&amp;" | "&amp;BW$6,'Job Master'!$F$12:$I$102,4,0)-1),""),"")</f>
        <v/>
      </c>
      <c r="BZ448" s="73"/>
      <c r="CA448" s="123" t="str">
        <f t="shared" si="792"/>
        <v/>
      </c>
      <c r="CB448" s="123" t="str">
        <f t="shared" si="793"/>
        <v/>
      </c>
      <c r="CC448" s="97" t="str">
        <f t="shared" ca="1" si="794"/>
        <v/>
      </c>
      <c r="CD448" s="98" t="str">
        <f>IF(CF448&lt;&gt;"",VLOOKUP($P448&amp;" | "&amp;CD$6,'Job Master'!$F$12:$J$102,5,0),"")</f>
        <v/>
      </c>
      <c r="CE448" s="19" t="str">
        <f>IF(CF448&lt;&gt;"",VLOOKUP($P448&amp;" | "&amp;CD$6,'Job Master'!$F$12:$J$102,3,0),"")</f>
        <v/>
      </c>
      <c r="CF448" s="19" t="str">
        <f>IFERROR(IF(AND(CM448&lt;&gt;"",VLOOKUP($P448&amp;" | "&amp;CD$6,'Job Master'!$F$12:$I$102,4,0)&lt;&gt;""),IF(WEEKDAY(CM448-VLOOKUP($P448&amp;" | "&amp;CD$6,'Job Master'!$F$12:$I$102,4,0))&lt;&gt;7,CM448-VLOOKUP($P448&amp;" | "&amp;CD$6,'Job Master'!$F$12:$I$102,4,0),CM448-VLOOKUP($P448&amp;" | "&amp;CD$6,'Job Master'!$F$12:$I$102,4,0)-1),""),"")</f>
        <v/>
      </c>
      <c r="CG448" s="73"/>
      <c r="CH448" s="123" t="str">
        <f t="shared" si="795"/>
        <v/>
      </c>
      <c r="CI448" s="123" t="str">
        <f t="shared" si="796"/>
        <v/>
      </c>
      <c r="CJ448" s="97" t="str">
        <f t="shared" ca="1" si="797"/>
        <v/>
      </c>
      <c r="CK448" s="98" t="str">
        <f>IF(CM448&lt;&gt;"",VLOOKUP($P448&amp;" | "&amp;CK$6,'Job Master'!$F$12:$J$102,5,0),"")</f>
        <v/>
      </c>
      <c r="CL448" s="19" t="str">
        <f>IF(CM448&lt;&gt;"",VLOOKUP($P448&amp;" | "&amp;CK$6,'Job Master'!$F$12:$J$102,3,0),"")</f>
        <v/>
      </c>
      <c r="CM448" s="19" t="str">
        <f>IFERROR(IF(AND(CT448&lt;&gt;"",VLOOKUP($P448&amp;" | "&amp;CK$6,'Job Master'!$F$12:$I$102,4,0)&lt;&gt;""),IF(WEEKDAY(CT448-VLOOKUP($P448&amp;" | "&amp;CK$6,'Job Master'!$F$12:$I$102,4,0))&lt;&gt;7,CT448-VLOOKUP($P448&amp;" | "&amp;CK$6,'Job Master'!$F$12:$I$102,4,0),CT448-VLOOKUP($P448&amp;" | "&amp;CK$6,'Job Master'!$F$12:$I$102,4,0)-1),""),"")</f>
        <v/>
      </c>
      <c r="CN448" s="73"/>
      <c r="CO448" s="123" t="str">
        <f t="shared" si="798"/>
        <v/>
      </c>
      <c r="CP448" s="123" t="str">
        <f t="shared" si="799"/>
        <v/>
      </c>
      <c r="CQ448" s="97" t="str">
        <f t="shared" ca="1" si="800"/>
        <v/>
      </c>
      <c r="CR448" s="98" t="str">
        <f>IF(CT448&lt;&gt;"",VLOOKUP($P448&amp;" | "&amp;CR$6,'Job Master'!$F$12:$J$102,5,0),"")</f>
        <v/>
      </c>
      <c r="CS448" s="19" t="str">
        <f>IF(CT448&lt;&gt;"",VLOOKUP($P448&amp;" | "&amp;CR$6,'Job Master'!$F$12:$J$102,3,0),"")</f>
        <v/>
      </c>
      <c r="CT448" s="19" t="str">
        <f>IFERROR(IF(AND(DA448&lt;&gt;"",VLOOKUP($P448&amp;" | "&amp;CR$6,'Job Master'!$F$12:$I$102,4,0)&lt;&gt;""),IF(WEEKDAY(DA448-VLOOKUP($P448&amp;" | "&amp;CR$6,'Job Master'!$F$12:$I$102,4,0))&lt;&gt;7,DA448-VLOOKUP($P448&amp;" | "&amp;CR$6,'Job Master'!$F$12:$I$102,4,0),DA448-VLOOKUP($P448&amp;" | "&amp;CR$6,'Job Master'!$F$12:$I$102,4,0)-1),""),"")</f>
        <v/>
      </c>
      <c r="CU448" s="73"/>
      <c r="CV448" s="123" t="str">
        <f t="shared" si="801"/>
        <v/>
      </c>
      <c r="CW448" s="123" t="str">
        <f t="shared" si="802"/>
        <v/>
      </c>
      <c r="CX448" s="97" t="str">
        <f t="shared" ca="1" si="803"/>
        <v/>
      </c>
      <c r="CY448" s="98" t="str">
        <f>IF(DA448&lt;&gt;"",VLOOKUP($P448&amp;" | "&amp;CY$6,'Job Master'!$F$12:$J$102,5,0),"")</f>
        <v/>
      </c>
      <c r="CZ448" s="19" t="str">
        <f>IF(DA448&lt;&gt;"",VLOOKUP($P448&amp;" | "&amp;CY$6,'Job Master'!$F$12:$J$102,3,0),"")</f>
        <v/>
      </c>
      <c r="DA448" s="19" t="str">
        <f>IFERROR(IF(AND(DH448&lt;&gt;"",VLOOKUP($P448&amp;" | "&amp;CY$6,'Job Master'!$F$12:$I$102,4,0)&lt;&gt;""),IF(WEEKDAY(DH448-VLOOKUP($P448&amp;" | "&amp;CY$6,'Job Master'!$F$12:$I$102,4,0))&lt;&gt;7,DH448-VLOOKUP($P448&amp;" | "&amp;CY$6,'Job Master'!$F$12:$I$102,4,0),DH448-VLOOKUP($P448&amp;" | "&amp;CY$6,'Job Master'!$F$12:$I$102,4,0)-1),""),"")</f>
        <v/>
      </c>
      <c r="DB448" s="73"/>
      <c r="DC448" s="123" t="str">
        <f t="shared" si="804"/>
        <v/>
      </c>
      <c r="DD448" s="123" t="str">
        <f t="shared" si="805"/>
        <v/>
      </c>
      <c r="DE448" s="97" t="str">
        <f t="shared" ca="1" si="806"/>
        <v/>
      </c>
      <c r="DF448" s="98" t="str">
        <f>IF(DH448&lt;&gt;"",VLOOKUP($P448&amp;" | "&amp;DF$6,'Job Master'!$F$12:$J$102,5,0),"")</f>
        <v/>
      </c>
      <c r="DG448" s="19" t="str">
        <f>IF(DH448&lt;&gt;"",VLOOKUP($P448&amp;" | "&amp;DF$6,'Job Master'!$F$12:$J$102,3,0),"")</f>
        <v/>
      </c>
      <c r="DH448" s="19" t="str">
        <f>IFERROR(IF(AND(DO448&lt;&gt;"",VLOOKUP($P448&amp;" | "&amp;DF$6,'Job Master'!$F$12:$I$102,4,0)&lt;&gt;""),IF(WEEKDAY(DO448-VLOOKUP($P448&amp;" | "&amp;DF$6,'Job Master'!$F$12:$I$102,4,0))&lt;&gt;7,DO448-VLOOKUP($P448&amp;" | "&amp;DF$6,'Job Master'!$F$12:$I$102,4,0),DO448-VLOOKUP($P448&amp;" | "&amp;DF$6,'Job Master'!$F$12:$I$102,4,0)-1),""),"")</f>
        <v/>
      </c>
      <c r="DI448" s="73"/>
      <c r="DJ448" s="123" t="str">
        <f t="shared" si="807"/>
        <v/>
      </c>
      <c r="DK448" s="123" t="str">
        <f t="shared" si="808"/>
        <v/>
      </c>
      <c r="DL448" s="97" t="str">
        <f t="shared" ca="1" si="809"/>
        <v/>
      </c>
      <c r="DM448" s="98" t="str">
        <f>IF(DO448&lt;&gt;"",VLOOKUP($P448&amp;" | "&amp;DM$6,'Job Master'!$F$12:$J$102,5,0),"")</f>
        <v/>
      </c>
      <c r="DN448" s="19" t="str">
        <f>IF(DO448&lt;&gt;"",VLOOKUP($P448&amp;" | "&amp;DM$6,'Job Master'!$F$12:$J$102,3,0),"")</f>
        <v/>
      </c>
      <c r="DO448" s="19" t="str">
        <f>IFERROR(IF(AND(DT448&lt;&gt;"",VLOOKUP($P448&amp;" | "&amp;DM$6,'Job Master'!$F$12:$I$102,4,0)&lt;&gt;""),IF(WEEKDAY(DT448-VLOOKUP($P448&amp;" | "&amp;DM$6,'Job Master'!$F$12:$I$102,4,0))&lt;&gt;7,DT448-VLOOKUP($P448&amp;" | "&amp;DM$6,'Job Master'!$F$12:$I$102,4,0),DT448-VLOOKUP($P448&amp;" | "&amp;DM$6,'Job Master'!$F$12:$I$102,4,0)-1),""),"")</f>
        <v/>
      </c>
      <c r="DP448" s="73"/>
      <c r="DQ448" s="123" t="str">
        <f t="shared" si="810"/>
        <v/>
      </c>
      <c r="DR448" s="123" t="str">
        <f t="shared" si="811"/>
        <v/>
      </c>
      <c r="DS448" s="97" t="str">
        <f t="shared" ca="1" si="812"/>
        <v/>
      </c>
      <c r="DT448" s="70" t="str">
        <f t="shared" si="813"/>
        <v/>
      </c>
      <c r="DU448" s="90"/>
      <c r="DV448" s="123" t="str">
        <f t="shared" si="814"/>
        <v/>
      </c>
      <c r="DW448" s="123" t="str">
        <f t="shared" si="815"/>
        <v/>
      </c>
      <c r="DX448" s="132" t="str">
        <f t="shared" ref="DX448" ca="1" si="881">IF(DT448&lt;&gt;"",IF(WEEKNUM(DT448)=WEEKNUM(TODAY()),"This Week",IF(WEEKNUM(DT448)=WEEKNUM(TODAY())+1,"Next Week",IF(WEEKNUM(DT448)=WEEKNUM(TODAY())-1,"Previous Week",""))),"")</f>
        <v/>
      </c>
      <c r="DY448" s="134" t="str">
        <f t="shared" si="817"/>
        <v/>
      </c>
      <c r="DZ448" s="95"/>
      <c r="EB448" s="8" t="str">
        <f t="shared" si="823"/>
        <v/>
      </c>
      <c r="EC448" s="8" t="str">
        <f>IF(O448&lt;&gt;"",VLOOKUP(O448,'Job Master'!$N$12:$O$18,2,0),"")</f>
        <v/>
      </c>
      <c r="ED448" s="8">
        <f t="shared" si="824"/>
        <v>19.5</v>
      </c>
      <c r="EE448" s="8">
        <f t="shared" si="825"/>
        <v>6</v>
      </c>
      <c r="EF448" s="8">
        <f t="shared" si="826"/>
        <v>-2608.5</v>
      </c>
      <c r="EG448" s="8" t="str">
        <f t="shared" si="827"/>
        <v/>
      </c>
      <c r="EH448" s="8" t="str">
        <f t="shared" si="828"/>
        <v/>
      </c>
    </row>
    <row r="449" spans="2:138" x14ac:dyDescent="0.3">
      <c r="B449" s="112"/>
      <c r="C449" s="27"/>
      <c r="D449" s="7" t="str">
        <f t="shared" si="765"/>
        <v/>
      </c>
      <c r="E449" s="25"/>
      <c r="F449" s="7" t="str">
        <f t="shared" si="765"/>
        <v/>
      </c>
      <c r="G449" s="25"/>
      <c r="H449" s="7" t="str">
        <f t="shared" si="765"/>
        <v/>
      </c>
      <c r="I449" s="25"/>
      <c r="J449" s="7" t="str">
        <f t="shared" si="765"/>
        <v/>
      </c>
      <c r="K449" s="25"/>
      <c r="L449" s="7" t="str">
        <f t="shared" si="766"/>
        <v/>
      </c>
      <c r="M449" s="25"/>
      <c r="N449" s="7" t="str">
        <f t="shared" si="767"/>
        <v/>
      </c>
      <c r="O449" s="81"/>
      <c r="P449" s="81" t="str">
        <f t="shared" si="768"/>
        <v/>
      </c>
      <c r="Q449" s="81"/>
      <c r="R449" s="7" t="str">
        <f t="shared" si="769"/>
        <v/>
      </c>
      <c r="S449" s="25"/>
      <c r="T449" s="7" t="str">
        <f t="shared" si="770"/>
        <v/>
      </c>
      <c r="U449" s="25"/>
      <c r="V449" s="7" t="str">
        <f t="shared" si="771"/>
        <v/>
      </c>
      <c r="W449" s="25"/>
      <c r="X449" s="7" t="str">
        <f t="shared" si="772"/>
        <v/>
      </c>
      <c r="Y449" s="18" t="str">
        <f t="shared" si="773"/>
        <v/>
      </c>
      <c r="Z449" s="7" t="str">
        <f t="shared" si="774"/>
        <v/>
      </c>
      <c r="AA449" s="18" t="str">
        <f t="shared" si="775"/>
        <v/>
      </c>
      <c r="AB449" s="19" t="str">
        <f t="shared" si="776"/>
        <v/>
      </c>
      <c r="AC449" s="26"/>
      <c r="AD449" s="26"/>
      <c r="AE449" s="25"/>
      <c r="AF449" s="26"/>
      <c r="AG449" s="25"/>
      <c r="AH449" s="25"/>
      <c r="AI449" s="18" t="str">
        <f t="shared" si="839"/>
        <v/>
      </c>
      <c r="AJ449" s="25"/>
      <c r="AK449" s="18" t="str">
        <f t="shared" si="840"/>
        <v/>
      </c>
      <c r="AL449" s="79"/>
      <c r="AM449" s="126" t="str">
        <f t="shared" si="841"/>
        <v/>
      </c>
      <c r="AN449" s="128" t="str">
        <f>IF(AP449&lt;&gt;"",VLOOKUP($P449&amp;" | "&amp;AN$6,'Job Master'!$F$12:$J$102,5,0),"")</f>
        <v/>
      </c>
      <c r="AO449" s="19" t="str">
        <f>IF(AP449&lt;&gt;"",VLOOKUP($P449&amp;" | "&amp;AN$6,'Job Master'!$F$12:$J$102,3,0),"")</f>
        <v/>
      </c>
      <c r="AP449" s="19" t="str">
        <f>IFERROR(IF(AND(AW449&lt;&gt;"",VLOOKUP($P449&amp;" | "&amp;AN$6,'Job Master'!$F$12:$I$102,4,0)&lt;&gt;""),IF(WEEKDAY(AW449-VLOOKUP($P449&amp;" | "&amp;AN$6,'Job Master'!$F$12:$I$102,4,0))&lt;&gt;7,AW449-VLOOKUP($P449&amp;" | "&amp;AN$6,'Job Master'!$F$12:$I$102,4,0),AW449-VLOOKUP($P449&amp;" | "&amp;AN$6,'Job Master'!$F$12:$I$102,4,0)-1),""),"")</f>
        <v/>
      </c>
      <c r="AQ449" s="73"/>
      <c r="AR449" s="123" t="str">
        <f t="shared" si="777"/>
        <v/>
      </c>
      <c r="AS449" s="123" t="str">
        <f t="shared" si="778"/>
        <v/>
      </c>
      <c r="AT449" s="97" t="str">
        <f t="shared" ca="1" si="779"/>
        <v/>
      </c>
      <c r="AU449" s="98" t="str">
        <f>IF(AW449&lt;&gt;"",VLOOKUP($P449&amp;" | "&amp;AU$6,'Job Master'!$F$12:$J$102,5,0),"")</f>
        <v/>
      </c>
      <c r="AV449" s="19" t="str">
        <f>IF(AW449&lt;&gt;"",VLOOKUP($P449&amp;" | "&amp;AU$6,'Job Master'!$F$12:$J$102,3,0),"")</f>
        <v/>
      </c>
      <c r="AW449" s="19" t="str">
        <f>IFERROR(IF(AND(BD449&lt;&gt;"",VLOOKUP($P449&amp;" | "&amp;AU$6,'Job Master'!$F$12:$I$102,4,0)&lt;&gt;""),IF(WEEKDAY(BD449-VLOOKUP($P449&amp;" | "&amp;AU$6,'Job Master'!$F$12:$I$102,4,0))&lt;&gt;7,BD449-VLOOKUP($P449&amp;" | "&amp;AU$6,'Job Master'!$F$12:$I$102,4,0),BD449-VLOOKUP($P449&amp;" | "&amp;AU$6,'Job Master'!$F$12:$I$102,4,0)-1),""),"")</f>
        <v/>
      </c>
      <c r="AX449" s="73"/>
      <c r="AY449" s="123" t="str">
        <f t="shared" si="780"/>
        <v/>
      </c>
      <c r="AZ449" s="123" t="str">
        <f t="shared" si="781"/>
        <v/>
      </c>
      <c r="BA449" s="97" t="str">
        <f t="shared" ca="1" si="782"/>
        <v/>
      </c>
      <c r="BB449" s="98" t="str">
        <f>IF(BD449&lt;&gt;"",VLOOKUP($P449&amp;" | "&amp;BB$6,'Job Master'!$F$12:$J$102,5,0),"")</f>
        <v/>
      </c>
      <c r="BC449" s="19" t="str">
        <f>IF(BD449&lt;&gt;"",VLOOKUP($P449&amp;" | "&amp;BB$6,'Job Master'!$F$12:$J$102,3,0),"")</f>
        <v/>
      </c>
      <c r="BD449" s="19" t="str">
        <f>IFERROR(IF(AND(BK449&lt;&gt;"",VLOOKUP($P449&amp;" | "&amp;BB$6,'Job Master'!$F$12:$I$102,4,0)&lt;&gt;""),IF(WEEKDAY(BK449-VLOOKUP($P449&amp;" | "&amp;BB$6,'Job Master'!$F$12:$I$102,4,0))&lt;&gt;7,BK449-VLOOKUP($P449&amp;" | "&amp;BB$6,'Job Master'!$F$12:$I$102,4,0),BK449-VLOOKUP($P449&amp;" | "&amp;BB$6,'Job Master'!$F$12:$I$102,4,0)-1),""),"")</f>
        <v/>
      </c>
      <c r="BE449" s="73"/>
      <c r="BF449" s="123" t="str">
        <f t="shared" si="783"/>
        <v/>
      </c>
      <c r="BG449" s="123" t="str">
        <f t="shared" si="784"/>
        <v/>
      </c>
      <c r="BH449" s="97" t="str">
        <f t="shared" ca="1" si="785"/>
        <v/>
      </c>
      <c r="BI449" s="98" t="str">
        <f>IF(BK449&lt;&gt;"",VLOOKUP($P449&amp;" | "&amp;BI$6,'Job Master'!$F$12:$J$102,5,0),"")</f>
        <v/>
      </c>
      <c r="BJ449" s="19" t="str">
        <f>IF(BK449&lt;&gt;"",VLOOKUP($P449&amp;" | "&amp;BI$6,'Job Master'!$F$12:$J$102,3,0),"")</f>
        <v/>
      </c>
      <c r="BK449" s="19" t="str">
        <f>IFERROR(IF(AND(BR449&lt;&gt;"",VLOOKUP($P449&amp;" | "&amp;BI$6,'Job Master'!$F$12:$I$102,4,0)&lt;&gt;""),IF(WEEKDAY(BR449-VLOOKUP($P449&amp;" | "&amp;BI$6,'Job Master'!$F$12:$I$102,4,0))&lt;&gt;7,BR449-VLOOKUP($P449&amp;" | "&amp;BI$6,'Job Master'!$F$12:$I$102,4,0),BR449-VLOOKUP($P449&amp;" | "&amp;BI$6,'Job Master'!$F$12:$I$102,4,0)-1),""),"")</f>
        <v/>
      </c>
      <c r="BL449" s="73"/>
      <c r="BM449" s="123" t="str">
        <f t="shared" si="786"/>
        <v/>
      </c>
      <c r="BN449" s="123" t="str">
        <f t="shared" si="787"/>
        <v/>
      </c>
      <c r="BO449" s="97" t="str">
        <f t="shared" ca="1" si="788"/>
        <v/>
      </c>
      <c r="BP449" s="98" t="str">
        <f>IF(BR449&lt;&gt;"",VLOOKUP($P449&amp;" | "&amp;BP$6,'Job Master'!$F$12:$J$102,5,0),"")</f>
        <v/>
      </c>
      <c r="BQ449" s="19" t="str">
        <f>IF(BR449&lt;&gt;"",VLOOKUP($P449&amp;" | "&amp;BP$6,'Job Master'!$F$12:$J$102,3,0),"")</f>
        <v/>
      </c>
      <c r="BR449" s="19" t="str">
        <f>IFERROR(IF(AND(BY449&lt;&gt;"",VLOOKUP($P449&amp;" | "&amp;BP$6,'Job Master'!$F$12:$I$102,4,0)&lt;&gt;""),IF(WEEKDAY(BY449-VLOOKUP($P449&amp;" | "&amp;BP$6,'Job Master'!$F$12:$I$102,4,0))&lt;&gt;7,BY449-VLOOKUP($P449&amp;" | "&amp;BP$6,'Job Master'!$F$12:$I$102,4,0),BY449-VLOOKUP($P449&amp;" | "&amp;BP$6,'Job Master'!$F$12:$I$102,4,0)-1),""),"")</f>
        <v/>
      </c>
      <c r="BS449" s="73"/>
      <c r="BT449" s="123" t="str">
        <f t="shared" si="789"/>
        <v/>
      </c>
      <c r="BU449" s="123" t="str">
        <f t="shared" si="790"/>
        <v/>
      </c>
      <c r="BV449" s="97" t="str">
        <f t="shared" ca="1" si="791"/>
        <v/>
      </c>
      <c r="BW449" s="98" t="str">
        <f>IF(BY449&lt;&gt;"",VLOOKUP($P449&amp;" | "&amp;BW$6,'Job Master'!$F$12:$J$102,5,0),"")</f>
        <v/>
      </c>
      <c r="BX449" s="19" t="str">
        <f>IF(BY449&lt;&gt;"",VLOOKUP($P449&amp;" | "&amp;BW$6,'Job Master'!$F$12:$J$102,3,0),"")</f>
        <v/>
      </c>
      <c r="BY449" s="19" t="str">
        <f>IFERROR(IF(AND(CF449&lt;&gt;"",VLOOKUP($P449&amp;" | "&amp;BW$6,'Job Master'!$F$12:$I$102,4,0)&lt;&gt;""),IF(WEEKDAY(CF449-VLOOKUP($P449&amp;" | "&amp;BW$6,'Job Master'!$F$12:$I$102,4,0))&lt;&gt;7,CF449-VLOOKUP($P449&amp;" | "&amp;BW$6,'Job Master'!$F$12:$I$102,4,0),CF449-VLOOKUP($P449&amp;" | "&amp;BW$6,'Job Master'!$F$12:$I$102,4,0)-1),""),"")</f>
        <v/>
      </c>
      <c r="BZ449" s="73"/>
      <c r="CA449" s="123" t="str">
        <f t="shared" si="792"/>
        <v/>
      </c>
      <c r="CB449" s="123" t="str">
        <f t="shared" si="793"/>
        <v/>
      </c>
      <c r="CC449" s="97" t="str">
        <f t="shared" ca="1" si="794"/>
        <v/>
      </c>
      <c r="CD449" s="98" t="str">
        <f>IF(CF449&lt;&gt;"",VLOOKUP($P449&amp;" | "&amp;CD$6,'Job Master'!$F$12:$J$102,5,0),"")</f>
        <v/>
      </c>
      <c r="CE449" s="19" t="str">
        <f>IF(CF449&lt;&gt;"",VLOOKUP($P449&amp;" | "&amp;CD$6,'Job Master'!$F$12:$J$102,3,0),"")</f>
        <v/>
      </c>
      <c r="CF449" s="19" t="str">
        <f>IFERROR(IF(AND(CM449&lt;&gt;"",VLOOKUP($P449&amp;" | "&amp;CD$6,'Job Master'!$F$12:$I$102,4,0)&lt;&gt;""),IF(WEEKDAY(CM449-VLOOKUP($P449&amp;" | "&amp;CD$6,'Job Master'!$F$12:$I$102,4,0))&lt;&gt;7,CM449-VLOOKUP($P449&amp;" | "&amp;CD$6,'Job Master'!$F$12:$I$102,4,0),CM449-VLOOKUP($P449&amp;" | "&amp;CD$6,'Job Master'!$F$12:$I$102,4,0)-1),""),"")</f>
        <v/>
      </c>
      <c r="CG449" s="73"/>
      <c r="CH449" s="123" t="str">
        <f t="shared" si="795"/>
        <v/>
      </c>
      <c r="CI449" s="123" t="str">
        <f t="shared" si="796"/>
        <v/>
      </c>
      <c r="CJ449" s="97" t="str">
        <f t="shared" ca="1" si="797"/>
        <v/>
      </c>
      <c r="CK449" s="98" t="str">
        <f>IF(CM449&lt;&gt;"",VLOOKUP($P449&amp;" | "&amp;CK$6,'Job Master'!$F$12:$J$102,5,0),"")</f>
        <v/>
      </c>
      <c r="CL449" s="19" t="str">
        <f>IF(CM449&lt;&gt;"",VLOOKUP($P449&amp;" | "&amp;CK$6,'Job Master'!$F$12:$J$102,3,0),"")</f>
        <v/>
      </c>
      <c r="CM449" s="19" t="str">
        <f>IFERROR(IF(AND(CT449&lt;&gt;"",VLOOKUP($P449&amp;" | "&amp;CK$6,'Job Master'!$F$12:$I$102,4,0)&lt;&gt;""),IF(WEEKDAY(CT449-VLOOKUP($P449&amp;" | "&amp;CK$6,'Job Master'!$F$12:$I$102,4,0))&lt;&gt;7,CT449-VLOOKUP($P449&amp;" | "&amp;CK$6,'Job Master'!$F$12:$I$102,4,0),CT449-VLOOKUP($P449&amp;" | "&amp;CK$6,'Job Master'!$F$12:$I$102,4,0)-1),""),"")</f>
        <v/>
      </c>
      <c r="CN449" s="73"/>
      <c r="CO449" s="123" t="str">
        <f t="shared" si="798"/>
        <v/>
      </c>
      <c r="CP449" s="123" t="str">
        <f t="shared" si="799"/>
        <v/>
      </c>
      <c r="CQ449" s="97" t="str">
        <f t="shared" ca="1" si="800"/>
        <v/>
      </c>
      <c r="CR449" s="98" t="str">
        <f>IF(CT449&lt;&gt;"",VLOOKUP($P449&amp;" | "&amp;CR$6,'Job Master'!$F$12:$J$102,5,0),"")</f>
        <v/>
      </c>
      <c r="CS449" s="19" t="str">
        <f>IF(CT449&lt;&gt;"",VLOOKUP($P449&amp;" | "&amp;CR$6,'Job Master'!$F$12:$J$102,3,0),"")</f>
        <v/>
      </c>
      <c r="CT449" s="19" t="str">
        <f>IFERROR(IF(AND(DA449&lt;&gt;"",VLOOKUP($P449&amp;" | "&amp;CR$6,'Job Master'!$F$12:$I$102,4,0)&lt;&gt;""),IF(WEEKDAY(DA449-VLOOKUP($P449&amp;" | "&amp;CR$6,'Job Master'!$F$12:$I$102,4,0))&lt;&gt;7,DA449-VLOOKUP($P449&amp;" | "&amp;CR$6,'Job Master'!$F$12:$I$102,4,0),DA449-VLOOKUP($P449&amp;" | "&amp;CR$6,'Job Master'!$F$12:$I$102,4,0)-1),""),"")</f>
        <v/>
      </c>
      <c r="CU449" s="73"/>
      <c r="CV449" s="123" t="str">
        <f t="shared" si="801"/>
        <v/>
      </c>
      <c r="CW449" s="123" t="str">
        <f t="shared" si="802"/>
        <v/>
      </c>
      <c r="CX449" s="97" t="str">
        <f t="shared" ca="1" si="803"/>
        <v/>
      </c>
      <c r="CY449" s="98" t="str">
        <f>IF(DA449&lt;&gt;"",VLOOKUP($P449&amp;" | "&amp;CY$6,'Job Master'!$F$12:$J$102,5,0),"")</f>
        <v/>
      </c>
      <c r="CZ449" s="19" t="str">
        <f>IF(DA449&lt;&gt;"",VLOOKUP($P449&amp;" | "&amp;CY$6,'Job Master'!$F$12:$J$102,3,0),"")</f>
        <v/>
      </c>
      <c r="DA449" s="19" t="str">
        <f>IFERROR(IF(AND(DH449&lt;&gt;"",VLOOKUP($P449&amp;" | "&amp;CY$6,'Job Master'!$F$12:$I$102,4,0)&lt;&gt;""),IF(WEEKDAY(DH449-VLOOKUP($P449&amp;" | "&amp;CY$6,'Job Master'!$F$12:$I$102,4,0))&lt;&gt;7,DH449-VLOOKUP($P449&amp;" | "&amp;CY$6,'Job Master'!$F$12:$I$102,4,0),DH449-VLOOKUP($P449&amp;" | "&amp;CY$6,'Job Master'!$F$12:$I$102,4,0)-1),""),"")</f>
        <v/>
      </c>
      <c r="DB449" s="73"/>
      <c r="DC449" s="123" t="str">
        <f t="shared" si="804"/>
        <v/>
      </c>
      <c r="DD449" s="123" t="str">
        <f t="shared" si="805"/>
        <v/>
      </c>
      <c r="DE449" s="97" t="str">
        <f t="shared" ca="1" si="806"/>
        <v/>
      </c>
      <c r="DF449" s="98" t="str">
        <f>IF(DH449&lt;&gt;"",VLOOKUP($P449&amp;" | "&amp;DF$6,'Job Master'!$F$12:$J$102,5,0),"")</f>
        <v/>
      </c>
      <c r="DG449" s="19" t="str">
        <f>IF(DH449&lt;&gt;"",VLOOKUP($P449&amp;" | "&amp;DF$6,'Job Master'!$F$12:$J$102,3,0),"")</f>
        <v/>
      </c>
      <c r="DH449" s="19" t="str">
        <f>IFERROR(IF(AND(DO449&lt;&gt;"",VLOOKUP($P449&amp;" | "&amp;DF$6,'Job Master'!$F$12:$I$102,4,0)&lt;&gt;""),IF(WEEKDAY(DO449-VLOOKUP($P449&amp;" | "&amp;DF$6,'Job Master'!$F$12:$I$102,4,0))&lt;&gt;7,DO449-VLOOKUP($P449&amp;" | "&amp;DF$6,'Job Master'!$F$12:$I$102,4,0),DO449-VLOOKUP($P449&amp;" | "&amp;DF$6,'Job Master'!$F$12:$I$102,4,0)-1),""),"")</f>
        <v/>
      </c>
      <c r="DI449" s="73"/>
      <c r="DJ449" s="123" t="str">
        <f t="shared" si="807"/>
        <v/>
      </c>
      <c r="DK449" s="123" t="str">
        <f t="shared" si="808"/>
        <v/>
      </c>
      <c r="DL449" s="97" t="str">
        <f t="shared" ca="1" si="809"/>
        <v/>
      </c>
      <c r="DM449" s="98" t="str">
        <f>IF(DO449&lt;&gt;"",VLOOKUP($P449&amp;" | "&amp;DM$6,'Job Master'!$F$12:$J$102,5,0),"")</f>
        <v/>
      </c>
      <c r="DN449" s="19" t="str">
        <f>IF(DO449&lt;&gt;"",VLOOKUP($P449&amp;" | "&amp;DM$6,'Job Master'!$F$12:$J$102,3,0),"")</f>
        <v/>
      </c>
      <c r="DO449" s="19" t="str">
        <f>IFERROR(IF(AND(DT449&lt;&gt;"",VLOOKUP($P449&amp;" | "&amp;DM$6,'Job Master'!$F$12:$I$102,4,0)&lt;&gt;""),IF(WEEKDAY(DT449-VLOOKUP($P449&amp;" | "&amp;DM$6,'Job Master'!$F$12:$I$102,4,0))&lt;&gt;7,DT449-VLOOKUP($P449&amp;" | "&amp;DM$6,'Job Master'!$F$12:$I$102,4,0),DT449-VLOOKUP($P449&amp;" | "&amp;DM$6,'Job Master'!$F$12:$I$102,4,0)-1),""),"")</f>
        <v/>
      </c>
      <c r="DP449" s="73"/>
      <c r="DQ449" s="123" t="str">
        <f t="shared" si="810"/>
        <v/>
      </c>
      <c r="DR449" s="123" t="str">
        <f t="shared" si="811"/>
        <v/>
      </c>
      <c r="DS449" s="97" t="str">
        <f t="shared" ca="1" si="812"/>
        <v/>
      </c>
      <c r="DT449" s="70" t="str">
        <f t="shared" si="813"/>
        <v/>
      </c>
      <c r="DU449" s="90"/>
      <c r="DV449" s="123" t="str">
        <f t="shared" si="814"/>
        <v/>
      </c>
      <c r="DW449" s="123" t="str">
        <f t="shared" si="815"/>
        <v/>
      </c>
      <c r="DX449" s="132" t="str">
        <f t="shared" ref="DX449" ca="1" si="882">IF(DT449&lt;&gt;"",IF(WEEKNUM(DT449)=WEEKNUM(TODAY()),"This Week",IF(WEEKNUM(DT449)=WEEKNUM(TODAY())+1,"Next Week",IF(WEEKNUM(DT449)=WEEKNUM(TODAY())-1,"Previous Week",""))),"")</f>
        <v/>
      </c>
      <c r="DY449" s="134" t="str">
        <f t="shared" si="817"/>
        <v/>
      </c>
      <c r="DZ449" s="95"/>
      <c r="EB449" s="8" t="str">
        <f t="shared" si="823"/>
        <v/>
      </c>
      <c r="EC449" s="8" t="str">
        <f>IF(O449&lt;&gt;"",VLOOKUP(O449,'Job Master'!$N$12:$O$18,2,0),"")</f>
        <v/>
      </c>
      <c r="ED449" s="8">
        <f t="shared" si="824"/>
        <v>19.5</v>
      </c>
      <c r="EE449" s="8">
        <f t="shared" si="825"/>
        <v>6</v>
      </c>
      <c r="EF449" s="8">
        <f t="shared" si="826"/>
        <v>-2614.5</v>
      </c>
      <c r="EG449" s="8" t="str">
        <f t="shared" si="827"/>
        <v/>
      </c>
      <c r="EH449" s="8" t="str">
        <f t="shared" si="828"/>
        <v/>
      </c>
    </row>
    <row r="450" spans="2:138" x14ac:dyDescent="0.3">
      <c r="B450" s="112"/>
      <c r="C450" s="27"/>
      <c r="D450" s="7" t="str">
        <f t="shared" si="765"/>
        <v/>
      </c>
      <c r="E450" s="25"/>
      <c r="F450" s="7" t="str">
        <f t="shared" si="765"/>
        <v/>
      </c>
      <c r="G450" s="25"/>
      <c r="H450" s="7" t="str">
        <f t="shared" si="765"/>
        <v/>
      </c>
      <c r="I450" s="25"/>
      <c r="J450" s="7" t="str">
        <f t="shared" si="765"/>
        <v/>
      </c>
      <c r="K450" s="25"/>
      <c r="L450" s="7" t="str">
        <f t="shared" si="766"/>
        <v/>
      </c>
      <c r="M450" s="25"/>
      <c r="N450" s="7" t="str">
        <f t="shared" si="767"/>
        <v/>
      </c>
      <c r="O450" s="81"/>
      <c r="P450" s="81" t="str">
        <f t="shared" si="768"/>
        <v/>
      </c>
      <c r="Q450" s="81"/>
      <c r="R450" s="7" t="str">
        <f t="shared" si="769"/>
        <v/>
      </c>
      <c r="S450" s="25"/>
      <c r="T450" s="7" t="str">
        <f t="shared" si="770"/>
        <v/>
      </c>
      <c r="U450" s="25"/>
      <c r="V450" s="7" t="str">
        <f t="shared" si="771"/>
        <v/>
      </c>
      <c r="W450" s="25"/>
      <c r="X450" s="7" t="str">
        <f t="shared" si="772"/>
        <v/>
      </c>
      <c r="Y450" s="18" t="str">
        <f t="shared" si="773"/>
        <v/>
      </c>
      <c r="Z450" s="7" t="str">
        <f t="shared" si="774"/>
        <v/>
      </c>
      <c r="AA450" s="18" t="str">
        <f t="shared" si="775"/>
        <v/>
      </c>
      <c r="AB450" s="19" t="str">
        <f t="shared" si="776"/>
        <v/>
      </c>
      <c r="AC450" s="26"/>
      <c r="AD450" s="26"/>
      <c r="AE450" s="25"/>
      <c r="AF450" s="26"/>
      <c r="AG450" s="25"/>
      <c r="AH450" s="25"/>
      <c r="AI450" s="18" t="str">
        <f t="shared" si="839"/>
        <v/>
      </c>
      <c r="AJ450" s="25"/>
      <c r="AK450" s="18" t="str">
        <f t="shared" si="840"/>
        <v/>
      </c>
      <c r="AL450" s="79"/>
      <c r="AM450" s="126" t="str">
        <f t="shared" si="841"/>
        <v/>
      </c>
      <c r="AN450" s="128" t="str">
        <f>IF(AP450&lt;&gt;"",VLOOKUP($P450&amp;" | "&amp;AN$6,'Job Master'!$F$12:$J$102,5,0),"")</f>
        <v/>
      </c>
      <c r="AO450" s="19" t="str">
        <f>IF(AP450&lt;&gt;"",VLOOKUP($P450&amp;" | "&amp;AN$6,'Job Master'!$F$12:$J$102,3,0),"")</f>
        <v/>
      </c>
      <c r="AP450" s="19" t="str">
        <f>IFERROR(IF(AND(AW450&lt;&gt;"",VLOOKUP($P450&amp;" | "&amp;AN$6,'Job Master'!$F$12:$I$102,4,0)&lt;&gt;""),IF(WEEKDAY(AW450-VLOOKUP($P450&amp;" | "&amp;AN$6,'Job Master'!$F$12:$I$102,4,0))&lt;&gt;7,AW450-VLOOKUP($P450&amp;" | "&amp;AN$6,'Job Master'!$F$12:$I$102,4,0),AW450-VLOOKUP($P450&amp;" | "&amp;AN$6,'Job Master'!$F$12:$I$102,4,0)-1),""),"")</f>
        <v/>
      </c>
      <c r="AQ450" s="73"/>
      <c r="AR450" s="123" t="str">
        <f t="shared" si="777"/>
        <v/>
      </c>
      <c r="AS450" s="123" t="str">
        <f t="shared" si="778"/>
        <v/>
      </c>
      <c r="AT450" s="97" t="str">
        <f t="shared" ca="1" si="779"/>
        <v/>
      </c>
      <c r="AU450" s="98" t="str">
        <f>IF(AW450&lt;&gt;"",VLOOKUP($P450&amp;" | "&amp;AU$6,'Job Master'!$F$12:$J$102,5,0),"")</f>
        <v/>
      </c>
      <c r="AV450" s="19" t="str">
        <f>IF(AW450&lt;&gt;"",VLOOKUP($P450&amp;" | "&amp;AU$6,'Job Master'!$F$12:$J$102,3,0),"")</f>
        <v/>
      </c>
      <c r="AW450" s="19" t="str">
        <f>IFERROR(IF(AND(BD450&lt;&gt;"",VLOOKUP($P450&amp;" | "&amp;AU$6,'Job Master'!$F$12:$I$102,4,0)&lt;&gt;""),IF(WEEKDAY(BD450-VLOOKUP($P450&amp;" | "&amp;AU$6,'Job Master'!$F$12:$I$102,4,0))&lt;&gt;7,BD450-VLOOKUP($P450&amp;" | "&amp;AU$6,'Job Master'!$F$12:$I$102,4,0),BD450-VLOOKUP($P450&amp;" | "&amp;AU$6,'Job Master'!$F$12:$I$102,4,0)-1),""),"")</f>
        <v/>
      </c>
      <c r="AX450" s="73"/>
      <c r="AY450" s="123" t="str">
        <f t="shared" si="780"/>
        <v/>
      </c>
      <c r="AZ450" s="123" t="str">
        <f t="shared" si="781"/>
        <v/>
      </c>
      <c r="BA450" s="97" t="str">
        <f t="shared" ca="1" si="782"/>
        <v/>
      </c>
      <c r="BB450" s="98" t="str">
        <f>IF(BD450&lt;&gt;"",VLOOKUP($P450&amp;" | "&amp;BB$6,'Job Master'!$F$12:$J$102,5,0),"")</f>
        <v/>
      </c>
      <c r="BC450" s="19" t="str">
        <f>IF(BD450&lt;&gt;"",VLOOKUP($P450&amp;" | "&amp;BB$6,'Job Master'!$F$12:$J$102,3,0),"")</f>
        <v/>
      </c>
      <c r="BD450" s="19" t="str">
        <f>IFERROR(IF(AND(BK450&lt;&gt;"",VLOOKUP($P450&amp;" | "&amp;BB$6,'Job Master'!$F$12:$I$102,4,0)&lt;&gt;""),IF(WEEKDAY(BK450-VLOOKUP($P450&amp;" | "&amp;BB$6,'Job Master'!$F$12:$I$102,4,0))&lt;&gt;7,BK450-VLOOKUP($P450&amp;" | "&amp;BB$6,'Job Master'!$F$12:$I$102,4,0),BK450-VLOOKUP($P450&amp;" | "&amp;BB$6,'Job Master'!$F$12:$I$102,4,0)-1),""),"")</f>
        <v/>
      </c>
      <c r="BE450" s="73"/>
      <c r="BF450" s="123" t="str">
        <f t="shared" si="783"/>
        <v/>
      </c>
      <c r="BG450" s="123" t="str">
        <f t="shared" si="784"/>
        <v/>
      </c>
      <c r="BH450" s="97" t="str">
        <f t="shared" ca="1" si="785"/>
        <v/>
      </c>
      <c r="BI450" s="98" t="str">
        <f>IF(BK450&lt;&gt;"",VLOOKUP($P450&amp;" | "&amp;BI$6,'Job Master'!$F$12:$J$102,5,0),"")</f>
        <v/>
      </c>
      <c r="BJ450" s="19" t="str">
        <f>IF(BK450&lt;&gt;"",VLOOKUP($P450&amp;" | "&amp;BI$6,'Job Master'!$F$12:$J$102,3,0),"")</f>
        <v/>
      </c>
      <c r="BK450" s="19" t="str">
        <f>IFERROR(IF(AND(BR450&lt;&gt;"",VLOOKUP($P450&amp;" | "&amp;BI$6,'Job Master'!$F$12:$I$102,4,0)&lt;&gt;""),IF(WEEKDAY(BR450-VLOOKUP($P450&amp;" | "&amp;BI$6,'Job Master'!$F$12:$I$102,4,0))&lt;&gt;7,BR450-VLOOKUP($P450&amp;" | "&amp;BI$6,'Job Master'!$F$12:$I$102,4,0),BR450-VLOOKUP($P450&amp;" | "&amp;BI$6,'Job Master'!$F$12:$I$102,4,0)-1),""),"")</f>
        <v/>
      </c>
      <c r="BL450" s="73"/>
      <c r="BM450" s="123" t="str">
        <f t="shared" si="786"/>
        <v/>
      </c>
      <c r="BN450" s="123" t="str">
        <f t="shared" si="787"/>
        <v/>
      </c>
      <c r="BO450" s="97" t="str">
        <f t="shared" ca="1" si="788"/>
        <v/>
      </c>
      <c r="BP450" s="98" t="str">
        <f>IF(BR450&lt;&gt;"",VLOOKUP($P450&amp;" | "&amp;BP$6,'Job Master'!$F$12:$J$102,5,0),"")</f>
        <v/>
      </c>
      <c r="BQ450" s="19" t="str">
        <f>IF(BR450&lt;&gt;"",VLOOKUP($P450&amp;" | "&amp;BP$6,'Job Master'!$F$12:$J$102,3,0),"")</f>
        <v/>
      </c>
      <c r="BR450" s="19" t="str">
        <f>IFERROR(IF(AND(BY450&lt;&gt;"",VLOOKUP($P450&amp;" | "&amp;BP$6,'Job Master'!$F$12:$I$102,4,0)&lt;&gt;""),IF(WEEKDAY(BY450-VLOOKUP($P450&amp;" | "&amp;BP$6,'Job Master'!$F$12:$I$102,4,0))&lt;&gt;7,BY450-VLOOKUP($P450&amp;" | "&amp;BP$6,'Job Master'!$F$12:$I$102,4,0),BY450-VLOOKUP($P450&amp;" | "&amp;BP$6,'Job Master'!$F$12:$I$102,4,0)-1),""),"")</f>
        <v/>
      </c>
      <c r="BS450" s="73"/>
      <c r="BT450" s="123" t="str">
        <f t="shared" si="789"/>
        <v/>
      </c>
      <c r="BU450" s="123" t="str">
        <f t="shared" si="790"/>
        <v/>
      </c>
      <c r="BV450" s="97" t="str">
        <f t="shared" ca="1" si="791"/>
        <v/>
      </c>
      <c r="BW450" s="98" t="str">
        <f>IF(BY450&lt;&gt;"",VLOOKUP($P450&amp;" | "&amp;BW$6,'Job Master'!$F$12:$J$102,5,0),"")</f>
        <v/>
      </c>
      <c r="BX450" s="19" t="str">
        <f>IF(BY450&lt;&gt;"",VLOOKUP($P450&amp;" | "&amp;BW$6,'Job Master'!$F$12:$J$102,3,0),"")</f>
        <v/>
      </c>
      <c r="BY450" s="19" t="str">
        <f>IFERROR(IF(AND(CF450&lt;&gt;"",VLOOKUP($P450&amp;" | "&amp;BW$6,'Job Master'!$F$12:$I$102,4,0)&lt;&gt;""),IF(WEEKDAY(CF450-VLOOKUP($P450&amp;" | "&amp;BW$6,'Job Master'!$F$12:$I$102,4,0))&lt;&gt;7,CF450-VLOOKUP($P450&amp;" | "&amp;BW$6,'Job Master'!$F$12:$I$102,4,0),CF450-VLOOKUP($P450&amp;" | "&amp;BW$6,'Job Master'!$F$12:$I$102,4,0)-1),""),"")</f>
        <v/>
      </c>
      <c r="BZ450" s="73"/>
      <c r="CA450" s="123" t="str">
        <f t="shared" si="792"/>
        <v/>
      </c>
      <c r="CB450" s="123" t="str">
        <f t="shared" si="793"/>
        <v/>
      </c>
      <c r="CC450" s="97" t="str">
        <f t="shared" ca="1" si="794"/>
        <v/>
      </c>
      <c r="CD450" s="98" t="str">
        <f>IF(CF450&lt;&gt;"",VLOOKUP($P450&amp;" | "&amp;CD$6,'Job Master'!$F$12:$J$102,5,0),"")</f>
        <v/>
      </c>
      <c r="CE450" s="19" t="str">
        <f>IF(CF450&lt;&gt;"",VLOOKUP($P450&amp;" | "&amp;CD$6,'Job Master'!$F$12:$J$102,3,0),"")</f>
        <v/>
      </c>
      <c r="CF450" s="19" t="str">
        <f>IFERROR(IF(AND(CM450&lt;&gt;"",VLOOKUP($P450&amp;" | "&amp;CD$6,'Job Master'!$F$12:$I$102,4,0)&lt;&gt;""),IF(WEEKDAY(CM450-VLOOKUP($P450&amp;" | "&amp;CD$6,'Job Master'!$F$12:$I$102,4,0))&lt;&gt;7,CM450-VLOOKUP($P450&amp;" | "&amp;CD$6,'Job Master'!$F$12:$I$102,4,0),CM450-VLOOKUP($P450&amp;" | "&amp;CD$6,'Job Master'!$F$12:$I$102,4,0)-1),""),"")</f>
        <v/>
      </c>
      <c r="CG450" s="73"/>
      <c r="CH450" s="123" t="str">
        <f t="shared" si="795"/>
        <v/>
      </c>
      <c r="CI450" s="123" t="str">
        <f t="shared" si="796"/>
        <v/>
      </c>
      <c r="CJ450" s="97" t="str">
        <f t="shared" ca="1" si="797"/>
        <v/>
      </c>
      <c r="CK450" s="98" t="str">
        <f>IF(CM450&lt;&gt;"",VLOOKUP($P450&amp;" | "&amp;CK$6,'Job Master'!$F$12:$J$102,5,0),"")</f>
        <v/>
      </c>
      <c r="CL450" s="19" t="str">
        <f>IF(CM450&lt;&gt;"",VLOOKUP($P450&amp;" | "&amp;CK$6,'Job Master'!$F$12:$J$102,3,0),"")</f>
        <v/>
      </c>
      <c r="CM450" s="19" t="str">
        <f>IFERROR(IF(AND(CT450&lt;&gt;"",VLOOKUP($P450&amp;" | "&amp;CK$6,'Job Master'!$F$12:$I$102,4,0)&lt;&gt;""),IF(WEEKDAY(CT450-VLOOKUP($P450&amp;" | "&amp;CK$6,'Job Master'!$F$12:$I$102,4,0))&lt;&gt;7,CT450-VLOOKUP($P450&amp;" | "&amp;CK$6,'Job Master'!$F$12:$I$102,4,0),CT450-VLOOKUP($P450&amp;" | "&amp;CK$6,'Job Master'!$F$12:$I$102,4,0)-1),""),"")</f>
        <v/>
      </c>
      <c r="CN450" s="73"/>
      <c r="CO450" s="123" t="str">
        <f t="shared" si="798"/>
        <v/>
      </c>
      <c r="CP450" s="123" t="str">
        <f t="shared" si="799"/>
        <v/>
      </c>
      <c r="CQ450" s="97" t="str">
        <f t="shared" ca="1" si="800"/>
        <v/>
      </c>
      <c r="CR450" s="98" t="str">
        <f>IF(CT450&lt;&gt;"",VLOOKUP($P450&amp;" | "&amp;CR$6,'Job Master'!$F$12:$J$102,5,0),"")</f>
        <v/>
      </c>
      <c r="CS450" s="19" t="str">
        <f>IF(CT450&lt;&gt;"",VLOOKUP($P450&amp;" | "&amp;CR$6,'Job Master'!$F$12:$J$102,3,0),"")</f>
        <v/>
      </c>
      <c r="CT450" s="19" t="str">
        <f>IFERROR(IF(AND(DA450&lt;&gt;"",VLOOKUP($P450&amp;" | "&amp;CR$6,'Job Master'!$F$12:$I$102,4,0)&lt;&gt;""),IF(WEEKDAY(DA450-VLOOKUP($P450&amp;" | "&amp;CR$6,'Job Master'!$F$12:$I$102,4,0))&lt;&gt;7,DA450-VLOOKUP($P450&amp;" | "&amp;CR$6,'Job Master'!$F$12:$I$102,4,0),DA450-VLOOKUP($P450&amp;" | "&amp;CR$6,'Job Master'!$F$12:$I$102,4,0)-1),""),"")</f>
        <v/>
      </c>
      <c r="CU450" s="73"/>
      <c r="CV450" s="123" t="str">
        <f t="shared" si="801"/>
        <v/>
      </c>
      <c r="CW450" s="123" t="str">
        <f t="shared" si="802"/>
        <v/>
      </c>
      <c r="CX450" s="97" t="str">
        <f t="shared" ca="1" si="803"/>
        <v/>
      </c>
      <c r="CY450" s="98" t="str">
        <f>IF(DA450&lt;&gt;"",VLOOKUP($P450&amp;" | "&amp;CY$6,'Job Master'!$F$12:$J$102,5,0),"")</f>
        <v/>
      </c>
      <c r="CZ450" s="19" t="str">
        <f>IF(DA450&lt;&gt;"",VLOOKUP($P450&amp;" | "&amp;CY$6,'Job Master'!$F$12:$J$102,3,0),"")</f>
        <v/>
      </c>
      <c r="DA450" s="19" t="str">
        <f>IFERROR(IF(AND(DH450&lt;&gt;"",VLOOKUP($P450&amp;" | "&amp;CY$6,'Job Master'!$F$12:$I$102,4,0)&lt;&gt;""),IF(WEEKDAY(DH450-VLOOKUP($P450&amp;" | "&amp;CY$6,'Job Master'!$F$12:$I$102,4,0))&lt;&gt;7,DH450-VLOOKUP($P450&amp;" | "&amp;CY$6,'Job Master'!$F$12:$I$102,4,0),DH450-VLOOKUP($P450&amp;" | "&amp;CY$6,'Job Master'!$F$12:$I$102,4,0)-1),""),"")</f>
        <v/>
      </c>
      <c r="DB450" s="73"/>
      <c r="DC450" s="123" t="str">
        <f t="shared" si="804"/>
        <v/>
      </c>
      <c r="DD450" s="123" t="str">
        <f t="shared" si="805"/>
        <v/>
      </c>
      <c r="DE450" s="97" t="str">
        <f t="shared" ca="1" si="806"/>
        <v/>
      </c>
      <c r="DF450" s="98" t="str">
        <f>IF(DH450&lt;&gt;"",VLOOKUP($P450&amp;" | "&amp;DF$6,'Job Master'!$F$12:$J$102,5,0),"")</f>
        <v/>
      </c>
      <c r="DG450" s="19" t="str">
        <f>IF(DH450&lt;&gt;"",VLOOKUP($P450&amp;" | "&amp;DF$6,'Job Master'!$F$12:$J$102,3,0),"")</f>
        <v/>
      </c>
      <c r="DH450" s="19" t="str">
        <f>IFERROR(IF(AND(DO450&lt;&gt;"",VLOOKUP($P450&amp;" | "&amp;DF$6,'Job Master'!$F$12:$I$102,4,0)&lt;&gt;""),IF(WEEKDAY(DO450-VLOOKUP($P450&amp;" | "&amp;DF$6,'Job Master'!$F$12:$I$102,4,0))&lt;&gt;7,DO450-VLOOKUP($P450&amp;" | "&amp;DF$6,'Job Master'!$F$12:$I$102,4,0),DO450-VLOOKUP($P450&amp;" | "&amp;DF$6,'Job Master'!$F$12:$I$102,4,0)-1),""),"")</f>
        <v/>
      </c>
      <c r="DI450" s="73"/>
      <c r="DJ450" s="123" t="str">
        <f t="shared" si="807"/>
        <v/>
      </c>
      <c r="DK450" s="123" t="str">
        <f t="shared" si="808"/>
        <v/>
      </c>
      <c r="DL450" s="97" t="str">
        <f t="shared" ca="1" si="809"/>
        <v/>
      </c>
      <c r="DM450" s="98" t="str">
        <f>IF(DO450&lt;&gt;"",VLOOKUP($P450&amp;" | "&amp;DM$6,'Job Master'!$F$12:$J$102,5,0),"")</f>
        <v/>
      </c>
      <c r="DN450" s="19" t="str">
        <f>IF(DO450&lt;&gt;"",VLOOKUP($P450&amp;" | "&amp;DM$6,'Job Master'!$F$12:$J$102,3,0),"")</f>
        <v/>
      </c>
      <c r="DO450" s="19" t="str">
        <f>IFERROR(IF(AND(DT450&lt;&gt;"",VLOOKUP($P450&amp;" | "&amp;DM$6,'Job Master'!$F$12:$I$102,4,0)&lt;&gt;""),IF(WEEKDAY(DT450-VLOOKUP($P450&amp;" | "&amp;DM$6,'Job Master'!$F$12:$I$102,4,0))&lt;&gt;7,DT450-VLOOKUP($P450&amp;" | "&amp;DM$6,'Job Master'!$F$12:$I$102,4,0),DT450-VLOOKUP($P450&amp;" | "&amp;DM$6,'Job Master'!$F$12:$I$102,4,0)-1),""),"")</f>
        <v/>
      </c>
      <c r="DP450" s="73"/>
      <c r="DQ450" s="123" t="str">
        <f t="shared" si="810"/>
        <v/>
      </c>
      <c r="DR450" s="123" t="str">
        <f t="shared" si="811"/>
        <v/>
      </c>
      <c r="DS450" s="97" t="str">
        <f t="shared" ca="1" si="812"/>
        <v/>
      </c>
      <c r="DT450" s="70" t="str">
        <f t="shared" si="813"/>
        <v/>
      </c>
      <c r="DU450" s="90"/>
      <c r="DV450" s="123" t="str">
        <f t="shared" si="814"/>
        <v/>
      </c>
      <c r="DW450" s="123" t="str">
        <f t="shared" si="815"/>
        <v/>
      </c>
      <c r="DX450" s="132" t="str">
        <f t="shared" ref="DX450" ca="1" si="883">IF(DT450&lt;&gt;"",IF(WEEKNUM(DT450)=WEEKNUM(TODAY()),"This Week",IF(WEEKNUM(DT450)=WEEKNUM(TODAY())+1,"Next Week",IF(WEEKNUM(DT450)=WEEKNUM(TODAY())-1,"Previous Week",""))),"")</f>
        <v/>
      </c>
      <c r="DY450" s="134" t="str">
        <f t="shared" si="817"/>
        <v/>
      </c>
      <c r="DZ450" s="95"/>
      <c r="EB450" s="8" t="str">
        <f t="shared" si="823"/>
        <v/>
      </c>
      <c r="EC450" s="8" t="str">
        <f>IF(O450&lt;&gt;"",VLOOKUP(O450,'Job Master'!$N$12:$O$18,2,0),"")</f>
        <v/>
      </c>
      <c r="ED450" s="8">
        <f t="shared" si="824"/>
        <v>19.5</v>
      </c>
      <c r="EE450" s="8">
        <f t="shared" si="825"/>
        <v>6</v>
      </c>
      <c r="EF450" s="8">
        <f t="shared" si="826"/>
        <v>-2620.5</v>
      </c>
      <c r="EG450" s="8" t="str">
        <f t="shared" si="827"/>
        <v/>
      </c>
      <c r="EH450" s="8" t="str">
        <f t="shared" si="828"/>
        <v/>
      </c>
    </row>
    <row r="451" spans="2:138" x14ac:dyDescent="0.3">
      <c r="B451" s="112"/>
      <c r="C451" s="27"/>
      <c r="D451" s="7" t="str">
        <f t="shared" si="765"/>
        <v/>
      </c>
      <c r="E451" s="25"/>
      <c r="F451" s="7" t="str">
        <f t="shared" si="765"/>
        <v/>
      </c>
      <c r="G451" s="25"/>
      <c r="H451" s="7" t="str">
        <f t="shared" si="765"/>
        <v/>
      </c>
      <c r="I451" s="25"/>
      <c r="J451" s="7" t="str">
        <f t="shared" si="765"/>
        <v/>
      </c>
      <c r="K451" s="25"/>
      <c r="L451" s="7" t="str">
        <f t="shared" si="766"/>
        <v/>
      </c>
      <c r="M451" s="25"/>
      <c r="N451" s="7" t="str">
        <f t="shared" si="767"/>
        <v/>
      </c>
      <c r="O451" s="81"/>
      <c r="P451" s="81" t="str">
        <f t="shared" si="768"/>
        <v/>
      </c>
      <c r="Q451" s="81"/>
      <c r="R451" s="7" t="str">
        <f t="shared" si="769"/>
        <v/>
      </c>
      <c r="S451" s="25"/>
      <c r="T451" s="7" t="str">
        <f t="shared" si="770"/>
        <v/>
      </c>
      <c r="U451" s="25"/>
      <c r="V451" s="7" t="str">
        <f t="shared" si="771"/>
        <v/>
      </c>
      <c r="W451" s="25"/>
      <c r="X451" s="7" t="str">
        <f t="shared" si="772"/>
        <v/>
      </c>
      <c r="Y451" s="18" t="str">
        <f t="shared" si="773"/>
        <v/>
      </c>
      <c r="Z451" s="7" t="str">
        <f t="shared" si="774"/>
        <v/>
      </c>
      <c r="AA451" s="18" t="str">
        <f t="shared" si="775"/>
        <v/>
      </c>
      <c r="AB451" s="19" t="str">
        <f t="shared" si="776"/>
        <v/>
      </c>
      <c r="AC451" s="26"/>
      <c r="AD451" s="26"/>
      <c r="AE451" s="25"/>
      <c r="AF451" s="26"/>
      <c r="AG451" s="25"/>
      <c r="AH451" s="25"/>
      <c r="AI451" s="18" t="str">
        <f t="shared" si="839"/>
        <v/>
      </c>
      <c r="AJ451" s="25"/>
      <c r="AK451" s="18" t="str">
        <f t="shared" si="840"/>
        <v/>
      </c>
      <c r="AL451" s="79"/>
      <c r="AM451" s="126" t="str">
        <f t="shared" si="841"/>
        <v/>
      </c>
      <c r="AN451" s="128" t="str">
        <f>IF(AP451&lt;&gt;"",VLOOKUP($P451&amp;" | "&amp;AN$6,'Job Master'!$F$12:$J$102,5,0),"")</f>
        <v/>
      </c>
      <c r="AO451" s="19" t="str">
        <f>IF(AP451&lt;&gt;"",VLOOKUP($P451&amp;" | "&amp;AN$6,'Job Master'!$F$12:$J$102,3,0),"")</f>
        <v/>
      </c>
      <c r="AP451" s="19" t="str">
        <f>IFERROR(IF(AND(AW451&lt;&gt;"",VLOOKUP($P451&amp;" | "&amp;AN$6,'Job Master'!$F$12:$I$102,4,0)&lt;&gt;""),IF(WEEKDAY(AW451-VLOOKUP($P451&amp;" | "&amp;AN$6,'Job Master'!$F$12:$I$102,4,0))&lt;&gt;7,AW451-VLOOKUP($P451&amp;" | "&amp;AN$6,'Job Master'!$F$12:$I$102,4,0),AW451-VLOOKUP($P451&amp;" | "&amp;AN$6,'Job Master'!$F$12:$I$102,4,0)-1),""),"")</f>
        <v/>
      </c>
      <c r="AQ451" s="73"/>
      <c r="AR451" s="123" t="str">
        <f t="shared" si="777"/>
        <v/>
      </c>
      <c r="AS451" s="123" t="str">
        <f t="shared" si="778"/>
        <v/>
      </c>
      <c r="AT451" s="97" t="str">
        <f t="shared" ca="1" si="779"/>
        <v/>
      </c>
      <c r="AU451" s="98" t="str">
        <f>IF(AW451&lt;&gt;"",VLOOKUP($P451&amp;" | "&amp;AU$6,'Job Master'!$F$12:$J$102,5,0),"")</f>
        <v/>
      </c>
      <c r="AV451" s="19" t="str">
        <f>IF(AW451&lt;&gt;"",VLOOKUP($P451&amp;" | "&amp;AU$6,'Job Master'!$F$12:$J$102,3,0),"")</f>
        <v/>
      </c>
      <c r="AW451" s="19" t="str">
        <f>IFERROR(IF(AND(BD451&lt;&gt;"",VLOOKUP($P451&amp;" | "&amp;AU$6,'Job Master'!$F$12:$I$102,4,0)&lt;&gt;""),IF(WEEKDAY(BD451-VLOOKUP($P451&amp;" | "&amp;AU$6,'Job Master'!$F$12:$I$102,4,0))&lt;&gt;7,BD451-VLOOKUP($P451&amp;" | "&amp;AU$6,'Job Master'!$F$12:$I$102,4,0),BD451-VLOOKUP($P451&amp;" | "&amp;AU$6,'Job Master'!$F$12:$I$102,4,0)-1),""),"")</f>
        <v/>
      </c>
      <c r="AX451" s="73"/>
      <c r="AY451" s="123" t="str">
        <f t="shared" si="780"/>
        <v/>
      </c>
      <c r="AZ451" s="123" t="str">
        <f t="shared" si="781"/>
        <v/>
      </c>
      <c r="BA451" s="97" t="str">
        <f t="shared" ca="1" si="782"/>
        <v/>
      </c>
      <c r="BB451" s="98" t="str">
        <f>IF(BD451&lt;&gt;"",VLOOKUP($P451&amp;" | "&amp;BB$6,'Job Master'!$F$12:$J$102,5,0),"")</f>
        <v/>
      </c>
      <c r="BC451" s="19" t="str">
        <f>IF(BD451&lt;&gt;"",VLOOKUP($P451&amp;" | "&amp;BB$6,'Job Master'!$F$12:$J$102,3,0),"")</f>
        <v/>
      </c>
      <c r="BD451" s="19" t="str">
        <f>IFERROR(IF(AND(BK451&lt;&gt;"",VLOOKUP($P451&amp;" | "&amp;BB$6,'Job Master'!$F$12:$I$102,4,0)&lt;&gt;""),IF(WEEKDAY(BK451-VLOOKUP($P451&amp;" | "&amp;BB$6,'Job Master'!$F$12:$I$102,4,0))&lt;&gt;7,BK451-VLOOKUP($P451&amp;" | "&amp;BB$6,'Job Master'!$F$12:$I$102,4,0),BK451-VLOOKUP($P451&amp;" | "&amp;BB$6,'Job Master'!$F$12:$I$102,4,0)-1),""),"")</f>
        <v/>
      </c>
      <c r="BE451" s="73"/>
      <c r="BF451" s="123" t="str">
        <f t="shared" si="783"/>
        <v/>
      </c>
      <c r="BG451" s="123" t="str">
        <f t="shared" si="784"/>
        <v/>
      </c>
      <c r="BH451" s="97" t="str">
        <f t="shared" ca="1" si="785"/>
        <v/>
      </c>
      <c r="BI451" s="98" t="str">
        <f>IF(BK451&lt;&gt;"",VLOOKUP($P451&amp;" | "&amp;BI$6,'Job Master'!$F$12:$J$102,5,0),"")</f>
        <v/>
      </c>
      <c r="BJ451" s="19" t="str">
        <f>IF(BK451&lt;&gt;"",VLOOKUP($P451&amp;" | "&amp;BI$6,'Job Master'!$F$12:$J$102,3,0),"")</f>
        <v/>
      </c>
      <c r="BK451" s="19" t="str">
        <f>IFERROR(IF(AND(BR451&lt;&gt;"",VLOOKUP($P451&amp;" | "&amp;BI$6,'Job Master'!$F$12:$I$102,4,0)&lt;&gt;""),IF(WEEKDAY(BR451-VLOOKUP($P451&amp;" | "&amp;BI$6,'Job Master'!$F$12:$I$102,4,0))&lt;&gt;7,BR451-VLOOKUP($P451&amp;" | "&amp;BI$6,'Job Master'!$F$12:$I$102,4,0),BR451-VLOOKUP($P451&amp;" | "&amp;BI$6,'Job Master'!$F$12:$I$102,4,0)-1),""),"")</f>
        <v/>
      </c>
      <c r="BL451" s="73"/>
      <c r="BM451" s="123" t="str">
        <f t="shared" si="786"/>
        <v/>
      </c>
      <c r="BN451" s="123" t="str">
        <f t="shared" si="787"/>
        <v/>
      </c>
      <c r="BO451" s="97" t="str">
        <f t="shared" ca="1" si="788"/>
        <v/>
      </c>
      <c r="BP451" s="98" t="str">
        <f>IF(BR451&lt;&gt;"",VLOOKUP($P451&amp;" | "&amp;BP$6,'Job Master'!$F$12:$J$102,5,0),"")</f>
        <v/>
      </c>
      <c r="BQ451" s="19" t="str">
        <f>IF(BR451&lt;&gt;"",VLOOKUP($P451&amp;" | "&amp;BP$6,'Job Master'!$F$12:$J$102,3,0),"")</f>
        <v/>
      </c>
      <c r="BR451" s="19" t="str">
        <f>IFERROR(IF(AND(BY451&lt;&gt;"",VLOOKUP($P451&amp;" | "&amp;BP$6,'Job Master'!$F$12:$I$102,4,0)&lt;&gt;""),IF(WEEKDAY(BY451-VLOOKUP($P451&amp;" | "&amp;BP$6,'Job Master'!$F$12:$I$102,4,0))&lt;&gt;7,BY451-VLOOKUP($P451&amp;" | "&amp;BP$6,'Job Master'!$F$12:$I$102,4,0),BY451-VLOOKUP($P451&amp;" | "&amp;BP$6,'Job Master'!$F$12:$I$102,4,0)-1),""),"")</f>
        <v/>
      </c>
      <c r="BS451" s="73"/>
      <c r="BT451" s="123" t="str">
        <f t="shared" si="789"/>
        <v/>
      </c>
      <c r="BU451" s="123" t="str">
        <f t="shared" si="790"/>
        <v/>
      </c>
      <c r="BV451" s="97" t="str">
        <f t="shared" ca="1" si="791"/>
        <v/>
      </c>
      <c r="BW451" s="98" t="str">
        <f>IF(BY451&lt;&gt;"",VLOOKUP($P451&amp;" | "&amp;BW$6,'Job Master'!$F$12:$J$102,5,0),"")</f>
        <v/>
      </c>
      <c r="BX451" s="19" t="str">
        <f>IF(BY451&lt;&gt;"",VLOOKUP($P451&amp;" | "&amp;BW$6,'Job Master'!$F$12:$J$102,3,0),"")</f>
        <v/>
      </c>
      <c r="BY451" s="19" t="str">
        <f>IFERROR(IF(AND(CF451&lt;&gt;"",VLOOKUP($P451&amp;" | "&amp;BW$6,'Job Master'!$F$12:$I$102,4,0)&lt;&gt;""),IF(WEEKDAY(CF451-VLOOKUP($P451&amp;" | "&amp;BW$6,'Job Master'!$F$12:$I$102,4,0))&lt;&gt;7,CF451-VLOOKUP($P451&amp;" | "&amp;BW$6,'Job Master'!$F$12:$I$102,4,0),CF451-VLOOKUP($P451&amp;" | "&amp;BW$6,'Job Master'!$F$12:$I$102,4,0)-1),""),"")</f>
        <v/>
      </c>
      <c r="BZ451" s="73"/>
      <c r="CA451" s="123" t="str">
        <f t="shared" si="792"/>
        <v/>
      </c>
      <c r="CB451" s="123" t="str">
        <f t="shared" si="793"/>
        <v/>
      </c>
      <c r="CC451" s="97" t="str">
        <f t="shared" ca="1" si="794"/>
        <v/>
      </c>
      <c r="CD451" s="98" t="str">
        <f>IF(CF451&lt;&gt;"",VLOOKUP($P451&amp;" | "&amp;CD$6,'Job Master'!$F$12:$J$102,5,0),"")</f>
        <v/>
      </c>
      <c r="CE451" s="19" t="str">
        <f>IF(CF451&lt;&gt;"",VLOOKUP($P451&amp;" | "&amp;CD$6,'Job Master'!$F$12:$J$102,3,0),"")</f>
        <v/>
      </c>
      <c r="CF451" s="19" t="str">
        <f>IFERROR(IF(AND(CM451&lt;&gt;"",VLOOKUP($P451&amp;" | "&amp;CD$6,'Job Master'!$F$12:$I$102,4,0)&lt;&gt;""),IF(WEEKDAY(CM451-VLOOKUP($P451&amp;" | "&amp;CD$6,'Job Master'!$F$12:$I$102,4,0))&lt;&gt;7,CM451-VLOOKUP($P451&amp;" | "&amp;CD$6,'Job Master'!$F$12:$I$102,4,0),CM451-VLOOKUP($P451&amp;" | "&amp;CD$6,'Job Master'!$F$12:$I$102,4,0)-1),""),"")</f>
        <v/>
      </c>
      <c r="CG451" s="73"/>
      <c r="CH451" s="123" t="str">
        <f t="shared" si="795"/>
        <v/>
      </c>
      <c r="CI451" s="123" t="str">
        <f t="shared" si="796"/>
        <v/>
      </c>
      <c r="CJ451" s="97" t="str">
        <f t="shared" ca="1" si="797"/>
        <v/>
      </c>
      <c r="CK451" s="98" t="str">
        <f>IF(CM451&lt;&gt;"",VLOOKUP($P451&amp;" | "&amp;CK$6,'Job Master'!$F$12:$J$102,5,0),"")</f>
        <v/>
      </c>
      <c r="CL451" s="19" t="str">
        <f>IF(CM451&lt;&gt;"",VLOOKUP($P451&amp;" | "&amp;CK$6,'Job Master'!$F$12:$J$102,3,0),"")</f>
        <v/>
      </c>
      <c r="CM451" s="19" t="str">
        <f>IFERROR(IF(AND(CT451&lt;&gt;"",VLOOKUP($P451&amp;" | "&amp;CK$6,'Job Master'!$F$12:$I$102,4,0)&lt;&gt;""),IF(WEEKDAY(CT451-VLOOKUP($P451&amp;" | "&amp;CK$6,'Job Master'!$F$12:$I$102,4,0))&lt;&gt;7,CT451-VLOOKUP($P451&amp;" | "&amp;CK$6,'Job Master'!$F$12:$I$102,4,0),CT451-VLOOKUP($P451&amp;" | "&amp;CK$6,'Job Master'!$F$12:$I$102,4,0)-1),""),"")</f>
        <v/>
      </c>
      <c r="CN451" s="73"/>
      <c r="CO451" s="123" t="str">
        <f t="shared" si="798"/>
        <v/>
      </c>
      <c r="CP451" s="123" t="str">
        <f t="shared" si="799"/>
        <v/>
      </c>
      <c r="CQ451" s="97" t="str">
        <f t="shared" ca="1" si="800"/>
        <v/>
      </c>
      <c r="CR451" s="98" t="str">
        <f>IF(CT451&lt;&gt;"",VLOOKUP($P451&amp;" | "&amp;CR$6,'Job Master'!$F$12:$J$102,5,0),"")</f>
        <v/>
      </c>
      <c r="CS451" s="19" t="str">
        <f>IF(CT451&lt;&gt;"",VLOOKUP($P451&amp;" | "&amp;CR$6,'Job Master'!$F$12:$J$102,3,0),"")</f>
        <v/>
      </c>
      <c r="CT451" s="19" t="str">
        <f>IFERROR(IF(AND(DA451&lt;&gt;"",VLOOKUP($P451&amp;" | "&amp;CR$6,'Job Master'!$F$12:$I$102,4,0)&lt;&gt;""),IF(WEEKDAY(DA451-VLOOKUP($P451&amp;" | "&amp;CR$6,'Job Master'!$F$12:$I$102,4,0))&lt;&gt;7,DA451-VLOOKUP($P451&amp;" | "&amp;CR$6,'Job Master'!$F$12:$I$102,4,0),DA451-VLOOKUP($P451&amp;" | "&amp;CR$6,'Job Master'!$F$12:$I$102,4,0)-1),""),"")</f>
        <v/>
      </c>
      <c r="CU451" s="73"/>
      <c r="CV451" s="123" t="str">
        <f t="shared" si="801"/>
        <v/>
      </c>
      <c r="CW451" s="123" t="str">
        <f t="shared" si="802"/>
        <v/>
      </c>
      <c r="CX451" s="97" t="str">
        <f t="shared" ca="1" si="803"/>
        <v/>
      </c>
      <c r="CY451" s="98" t="str">
        <f>IF(DA451&lt;&gt;"",VLOOKUP($P451&amp;" | "&amp;CY$6,'Job Master'!$F$12:$J$102,5,0),"")</f>
        <v/>
      </c>
      <c r="CZ451" s="19" t="str">
        <f>IF(DA451&lt;&gt;"",VLOOKUP($P451&amp;" | "&amp;CY$6,'Job Master'!$F$12:$J$102,3,0),"")</f>
        <v/>
      </c>
      <c r="DA451" s="19" t="str">
        <f>IFERROR(IF(AND(DH451&lt;&gt;"",VLOOKUP($P451&amp;" | "&amp;CY$6,'Job Master'!$F$12:$I$102,4,0)&lt;&gt;""),IF(WEEKDAY(DH451-VLOOKUP($P451&amp;" | "&amp;CY$6,'Job Master'!$F$12:$I$102,4,0))&lt;&gt;7,DH451-VLOOKUP($P451&amp;" | "&amp;CY$6,'Job Master'!$F$12:$I$102,4,0),DH451-VLOOKUP($P451&amp;" | "&amp;CY$6,'Job Master'!$F$12:$I$102,4,0)-1),""),"")</f>
        <v/>
      </c>
      <c r="DB451" s="73"/>
      <c r="DC451" s="123" t="str">
        <f t="shared" si="804"/>
        <v/>
      </c>
      <c r="DD451" s="123" t="str">
        <f t="shared" si="805"/>
        <v/>
      </c>
      <c r="DE451" s="97" t="str">
        <f t="shared" ca="1" si="806"/>
        <v/>
      </c>
      <c r="DF451" s="98" t="str">
        <f>IF(DH451&lt;&gt;"",VLOOKUP($P451&amp;" | "&amp;DF$6,'Job Master'!$F$12:$J$102,5,0),"")</f>
        <v/>
      </c>
      <c r="DG451" s="19" t="str">
        <f>IF(DH451&lt;&gt;"",VLOOKUP($P451&amp;" | "&amp;DF$6,'Job Master'!$F$12:$J$102,3,0),"")</f>
        <v/>
      </c>
      <c r="DH451" s="19" t="str">
        <f>IFERROR(IF(AND(DO451&lt;&gt;"",VLOOKUP($P451&amp;" | "&amp;DF$6,'Job Master'!$F$12:$I$102,4,0)&lt;&gt;""),IF(WEEKDAY(DO451-VLOOKUP($P451&amp;" | "&amp;DF$6,'Job Master'!$F$12:$I$102,4,0))&lt;&gt;7,DO451-VLOOKUP($P451&amp;" | "&amp;DF$6,'Job Master'!$F$12:$I$102,4,0),DO451-VLOOKUP($P451&amp;" | "&amp;DF$6,'Job Master'!$F$12:$I$102,4,0)-1),""),"")</f>
        <v/>
      </c>
      <c r="DI451" s="73"/>
      <c r="DJ451" s="123" t="str">
        <f t="shared" si="807"/>
        <v/>
      </c>
      <c r="DK451" s="123" t="str">
        <f t="shared" si="808"/>
        <v/>
      </c>
      <c r="DL451" s="97" t="str">
        <f t="shared" ca="1" si="809"/>
        <v/>
      </c>
      <c r="DM451" s="98" t="str">
        <f>IF(DO451&lt;&gt;"",VLOOKUP($P451&amp;" | "&amp;DM$6,'Job Master'!$F$12:$J$102,5,0),"")</f>
        <v/>
      </c>
      <c r="DN451" s="19" t="str">
        <f>IF(DO451&lt;&gt;"",VLOOKUP($P451&amp;" | "&amp;DM$6,'Job Master'!$F$12:$J$102,3,0),"")</f>
        <v/>
      </c>
      <c r="DO451" s="19" t="str">
        <f>IFERROR(IF(AND(DT451&lt;&gt;"",VLOOKUP($P451&amp;" | "&amp;DM$6,'Job Master'!$F$12:$I$102,4,0)&lt;&gt;""),IF(WEEKDAY(DT451-VLOOKUP($P451&amp;" | "&amp;DM$6,'Job Master'!$F$12:$I$102,4,0))&lt;&gt;7,DT451-VLOOKUP($P451&amp;" | "&amp;DM$6,'Job Master'!$F$12:$I$102,4,0),DT451-VLOOKUP($P451&amp;" | "&amp;DM$6,'Job Master'!$F$12:$I$102,4,0)-1),""),"")</f>
        <v/>
      </c>
      <c r="DP451" s="73"/>
      <c r="DQ451" s="123" t="str">
        <f t="shared" si="810"/>
        <v/>
      </c>
      <c r="DR451" s="123" t="str">
        <f t="shared" si="811"/>
        <v/>
      </c>
      <c r="DS451" s="97" t="str">
        <f t="shared" ca="1" si="812"/>
        <v/>
      </c>
      <c r="DT451" s="70" t="str">
        <f t="shared" si="813"/>
        <v/>
      </c>
      <c r="DU451" s="90"/>
      <c r="DV451" s="123" t="str">
        <f t="shared" si="814"/>
        <v/>
      </c>
      <c r="DW451" s="123" t="str">
        <f t="shared" si="815"/>
        <v/>
      </c>
      <c r="DX451" s="132" t="str">
        <f t="shared" ref="DX451" ca="1" si="884">IF(DT451&lt;&gt;"",IF(WEEKNUM(DT451)=WEEKNUM(TODAY()),"This Week",IF(WEEKNUM(DT451)=WEEKNUM(TODAY())+1,"Next Week",IF(WEEKNUM(DT451)=WEEKNUM(TODAY())-1,"Previous Week",""))),"")</f>
        <v/>
      </c>
      <c r="DY451" s="134" t="str">
        <f t="shared" si="817"/>
        <v/>
      </c>
      <c r="DZ451" s="95"/>
      <c r="EB451" s="8" t="str">
        <f t="shared" si="823"/>
        <v/>
      </c>
      <c r="EC451" s="8" t="str">
        <f>IF(O451&lt;&gt;"",VLOOKUP(O451,'Job Master'!$N$12:$O$18,2,0),"")</f>
        <v/>
      </c>
      <c r="ED451" s="8">
        <f t="shared" si="824"/>
        <v>19.5</v>
      </c>
      <c r="EE451" s="8">
        <f t="shared" si="825"/>
        <v>6</v>
      </c>
      <c r="EF451" s="8">
        <f t="shared" si="826"/>
        <v>-2626.5</v>
      </c>
      <c r="EG451" s="8" t="str">
        <f t="shared" si="827"/>
        <v/>
      </c>
      <c r="EH451" s="8" t="str">
        <f t="shared" si="828"/>
        <v/>
      </c>
    </row>
    <row r="452" spans="2:138" x14ac:dyDescent="0.3">
      <c r="B452" s="112"/>
      <c r="C452" s="27"/>
      <c r="D452" s="7" t="str">
        <f t="shared" si="765"/>
        <v/>
      </c>
      <c r="E452" s="25"/>
      <c r="F452" s="7" t="str">
        <f t="shared" si="765"/>
        <v/>
      </c>
      <c r="G452" s="25"/>
      <c r="H452" s="7" t="str">
        <f t="shared" si="765"/>
        <v/>
      </c>
      <c r="I452" s="25"/>
      <c r="J452" s="7" t="str">
        <f t="shared" si="765"/>
        <v/>
      </c>
      <c r="K452" s="25"/>
      <c r="L452" s="7" t="str">
        <f t="shared" si="766"/>
        <v/>
      </c>
      <c r="M452" s="25"/>
      <c r="N452" s="7" t="str">
        <f t="shared" si="767"/>
        <v/>
      </c>
      <c r="O452" s="81"/>
      <c r="P452" s="81" t="str">
        <f t="shared" si="768"/>
        <v/>
      </c>
      <c r="Q452" s="81"/>
      <c r="R452" s="7" t="str">
        <f t="shared" si="769"/>
        <v/>
      </c>
      <c r="S452" s="25"/>
      <c r="T452" s="7" t="str">
        <f t="shared" si="770"/>
        <v/>
      </c>
      <c r="U452" s="25"/>
      <c r="V452" s="7" t="str">
        <f t="shared" si="771"/>
        <v/>
      </c>
      <c r="W452" s="25"/>
      <c r="X452" s="7" t="str">
        <f t="shared" si="772"/>
        <v/>
      </c>
      <c r="Y452" s="18" t="str">
        <f t="shared" si="773"/>
        <v/>
      </c>
      <c r="Z452" s="7" t="str">
        <f t="shared" si="774"/>
        <v/>
      </c>
      <c r="AA452" s="18" t="str">
        <f t="shared" si="775"/>
        <v/>
      </c>
      <c r="AB452" s="19" t="str">
        <f t="shared" si="776"/>
        <v/>
      </c>
      <c r="AC452" s="26"/>
      <c r="AD452" s="26"/>
      <c r="AE452" s="25"/>
      <c r="AF452" s="26"/>
      <c r="AG452" s="25"/>
      <c r="AH452" s="25"/>
      <c r="AI452" s="18" t="str">
        <f t="shared" si="839"/>
        <v/>
      </c>
      <c r="AJ452" s="25"/>
      <c r="AK452" s="18" t="str">
        <f t="shared" si="840"/>
        <v/>
      </c>
      <c r="AL452" s="79"/>
      <c r="AM452" s="126" t="str">
        <f t="shared" si="841"/>
        <v/>
      </c>
      <c r="AN452" s="128" t="str">
        <f>IF(AP452&lt;&gt;"",VLOOKUP($P452&amp;" | "&amp;AN$6,'Job Master'!$F$12:$J$102,5,0),"")</f>
        <v/>
      </c>
      <c r="AO452" s="19" t="str">
        <f>IF(AP452&lt;&gt;"",VLOOKUP($P452&amp;" | "&amp;AN$6,'Job Master'!$F$12:$J$102,3,0),"")</f>
        <v/>
      </c>
      <c r="AP452" s="19" t="str">
        <f>IFERROR(IF(AND(AW452&lt;&gt;"",VLOOKUP($P452&amp;" | "&amp;AN$6,'Job Master'!$F$12:$I$102,4,0)&lt;&gt;""),IF(WEEKDAY(AW452-VLOOKUP($P452&amp;" | "&amp;AN$6,'Job Master'!$F$12:$I$102,4,0))&lt;&gt;7,AW452-VLOOKUP($P452&amp;" | "&amp;AN$6,'Job Master'!$F$12:$I$102,4,0),AW452-VLOOKUP($P452&amp;" | "&amp;AN$6,'Job Master'!$F$12:$I$102,4,0)-1),""),"")</f>
        <v/>
      </c>
      <c r="AQ452" s="73"/>
      <c r="AR452" s="123" t="str">
        <f t="shared" si="777"/>
        <v/>
      </c>
      <c r="AS452" s="123" t="str">
        <f t="shared" si="778"/>
        <v/>
      </c>
      <c r="AT452" s="97" t="str">
        <f t="shared" ca="1" si="779"/>
        <v/>
      </c>
      <c r="AU452" s="98" t="str">
        <f>IF(AW452&lt;&gt;"",VLOOKUP($P452&amp;" | "&amp;AU$6,'Job Master'!$F$12:$J$102,5,0),"")</f>
        <v/>
      </c>
      <c r="AV452" s="19" t="str">
        <f>IF(AW452&lt;&gt;"",VLOOKUP($P452&amp;" | "&amp;AU$6,'Job Master'!$F$12:$J$102,3,0),"")</f>
        <v/>
      </c>
      <c r="AW452" s="19" t="str">
        <f>IFERROR(IF(AND(BD452&lt;&gt;"",VLOOKUP($P452&amp;" | "&amp;AU$6,'Job Master'!$F$12:$I$102,4,0)&lt;&gt;""),IF(WEEKDAY(BD452-VLOOKUP($P452&amp;" | "&amp;AU$6,'Job Master'!$F$12:$I$102,4,0))&lt;&gt;7,BD452-VLOOKUP($P452&amp;" | "&amp;AU$6,'Job Master'!$F$12:$I$102,4,0),BD452-VLOOKUP($P452&amp;" | "&amp;AU$6,'Job Master'!$F$12:$I$102,4,0)-1),""),"")</f>
        <v/>
      </c>
      <c r="AX452" s="73"/>
      <c r="AY452" s="123" t="str">
        <f t="shared" si="780"/>
        <v/>
      </c>
      <c r="AZ452" s="123" t="str">
        <f t="shared" si="781"/>
        <v/>
      </c>
      <c r="BA452" s="97" t="str">
        <f t="shared" ca="1" si="782"/>
        <v/>
      </c>
      <c r="BB452" s="98" t="str">
        <f>IF(BD452&lt;&gt;"",VLOOKUP($P452&amp;" | "&amp;BB$6,'Job Master'!$F$12:$J$102,5,0),"")</f>
        <v/>
      </c>
      <c r="BC452" s="19" t="str">
        <f>IF(BD452&lt;&gt;"",VLOOKUP($P452&amp;" | "&amp;BB$6,'Job Master'!$F$12:$J$102,3,0),"")</f>
        <v/>
      </c>
      <c r="BD452" s="19" t="str">
        <f>IFERROR(IF(AND(BK452&lt;&gt;"",VLOOKUP($P452&amp;" | "&amp;BB$6,'Job Master'!$F$12:$I$102,4,0)&lt;&gt;""),IF(WEEKDAY(BK452-VLOOKUP($P452&amp;" | "&amp;BB$6,'Job Master'!$F$12:$I$102,4,0))&lt;&gt;7,BK452-VLOOKUP($P452&amp;" | "&amp;BB$6,'Job Master'!$F$12:$I$102,4,0),BK452-VLOOKUP($P452&amp;" | "&amp;BB$6,'Job Master'!$F$12:$I$102,4,0)-1),""),"")</f>
        <v/>
      </c>
      <c r="BE452" s="73"/>
      <c r="BF452" s="123" t="str">
        <f t="shared" si="783"/>
        <v/>
      </c>
      <c r="BG452" s="123" t="str">
        <f t="shared" si="784"/>
        <v/>
      </c>
      <c r="BH452" s="97" t="str">
        <f t="shared" ca="1" si="785"/>
        <v/>
      </c>
      <c r="BI452" s="98" t="str">
        <f>IF(BK452&lt;&gt;"",VLOOKUP($P452&amp;" | "&amp;BI$6,'Job Master'!$F$12:$J$102,5,0),"")</f>
        <v/>
      </c>
      <c r="BJ452" s="19" t="str">
        <f>IF(BK452&lt;&gt;"",VLOOKUP($P452&amp;" | "&amp;BI$6,'Job Master'!$F$12:$J$102,3,0),"")</f>
        <v/>
      </c>
      <c r="BK452" s="19" t="str">
        <f>IFERROR(IF(AND(BR452&lt;&gt;"",VLOOKUP($P452&amp;" | "&amp;BI$6,'Job Master'!$F$12:$I$102,4,0)&lt;&gt;""),IF(WEEKDAY(BR452-VLOOKUP($P452&amp;" | "&amp;BI$6,'Job Master'!$F$12:$I$102,4,0))&lt;&gt;7,BR452-VLOOKUP($P452&amp;" | "&amp;BI$6,'Job Master'!$F$12:$I$102,4,0),BR452-VLOOKUP($P452&amp;" | "&amp;BI$6,'Job Master'!$F$12:$I$102,4,0)-1),""),"")</f>
        <v/>
      </c>
      <c r="BL452" s="73"/>
      <c r="BM452" s="123" t="str">
        <f t="shared" si="786"/>
        <v/>
      </c>
      <c r="BN452" s="123" t="str">
        <f t="shared" si="787"/>
        <v/>
      </c>
      <c r="BO452" s="97" t="str">
        <f t="shared" ca="1" si="788"/>
        <v/>
      </c>
      <c r="BP452" s="98" t="str">
        <f>IF(BR452&lt;&gt;"",VLOOKUP($P452&amp;" | "&amp;BP$6,'Job Master'!$F$12:$J$102,5,0),"")</f>
        <v/>
      </c>
      <c r="BQ452" s="19" t="str">
        <f>IF(BR452&lt;&gt;"",VLOOKUP($P452&amp;" | "&amp;BP$6,'Job Master'!$F$12:$J$102,3,0),"")</f>
        <v/>
      </c>
      <c r="BR452" s="19" t="str">
        <f>IFERROR(IF(AND(BY452&lt;&gt;"",VLOOKUP($P452&amp;" | "&amp;BP$6,'Job Master'!$F$12:$I$102,4,0)&lt;&gt;""),IF(WEEKDAY(BY452-VLOOKUP($P452&amp;" | "&amp;BP$6,'Job Master'!$F$12:$I$102,4,0))&lt;&gt;7,BY452-VLOOKUP($P452&amp;" | "&amp;BP$6,'Job Master'!$F$12:$I$102,4,0),BY452-VLOOKUP($P452&amp;" | "&amp;BP$6,'Job Master'!$F$12:$I$102,4,0)-1),""),"")</f>
        <v/>
      </c>
      <c r="BS452" s="73"/>
      <c r="BT452" s="123" t="str">
        <f t="shared" si="789"/>
        <v/>
      </c>
      <c r="BU452" s="123" t="str">
        <f t="shared" si="790"/>
        <v/>
      </c>
      <c r="BV452" s="97" t="str">
        <f t="shared" ca="1" si="791"/>
        <v/>
      </c>
      <c r="BW452" s="98" t="str">
        <f>IF(BY452&lt;&gt;"",VLOOKUP($P452&amp;" | "&amp;BW$6,'Job Master'!$F$12:$J$102,5,0),"")</f>
        <v/>
      </c>
      <c r="BX452" s="19" t="str">
        <f>IF(BY452&lt;&gt;"",VLOOKUP($P452&amp;" | "&amp;BW$6,'Job Master'!$F$12:$J$102,3,0),"")</f>
        <v/>
      </c>
      <c r="BY452" s="19" t="str">
        <f>IFERROR(IF(AND(CF452&lt;&gt;"",VLOOKUP($P452&amp;" | "&amp;BW$6,'Job Master'!$F$12:$I$102,4,0)&lt;&gt;""),IF(WEEKDAY(CF452-VLOOKUP($P452&amp;" | "&amp;BW$6,'Job Master'!$F$12:$I$102,4,0))&lt;&gt;7,CF452-VLOOKUP($P452&amp;" | "&amp;BW$6,'Job Master'!$F$12:$I$102,4,0),CF452-VLOOKUP($P452&amp;" | "&amp;BW$6,'Job Master'!$F$12:$I$102,4,0)-1),""),"")</f>
        <v/>
      </c>
      <c r="BZ452" s="73"/>
      <c r="CA452" s="123" t="str">
        <f t="shared" si="792"/>
        <v/>
      </c>
      <c r="CB452" s="123" t="str">
        <f t="shared" si="793"/>
        <v/>
      </c>
      <c r="CC452" s="97" t="str">
        <f t="shared" ca="1" si="794"/>
        <v/>
      </c>
      <c r="CD452" s="98" t="str">
        <f>IF(CF452&lt;&gt;"",VLOOKUP($P452&amp;" | "&amp;CD$6,'Job Master'!$F$12:$J$102,5,0),"")</f>
        <v/>
      </c>
      <c r="CE452" s="19" t="str">
        <f>IF(CF452&lt;&gt;"",VLOOKUP($P452&amp;" | "&amp;CD$6,'Job Master'!$F$12:$J$102,3,0),"")</f>
        <v/>
      </c>
      <c r="CF452" s="19" t="str">
        <f>IFERROR(IF(AND(CM452&lt;&gt;"",VLOOKUP($P452&amp;" | "&amp;CD$6,'Job Master'!$F$12:$I$102,4,0)&lt;&gt;""),IF(WEEKDAY(CM452-VLOOKUP($P452&amp;" | "&amp;CD$6,'Job Master'!$F$12:$I$102,4,0))&lt;&gt;7,CM452-VLOOKUP($P452&amp;" | "&amp;CD$6,'Job Master'!$F$12:$I$102,4,0),CM452-VLOOKUP($P452&amp;" | "&amp;CD$6,'Job Master'!$F$12:$I$102,4,0)-1),""),"")</f>
        <v/>
      </c>
      <c r="CG452" s="73"/>
      <c r="CH452" s="123" t="str">
        <f t="shared" si="795"/>
        <v/>
      </c>
      <c r="CI452" s="123" t="str">
        <f t="shared" si="796"/>
        <v/>
      </c>
      <c r="CJ452" s="97" t="str">
        <f t="shared" ca="1" si="797"/>
        <v/>
      </c>
      <c r="CK452" s="98" t="str">
        <f>IF(CM452&lt;&gt;"",VLOOKUP($P452&amp;" | "&amp;CK$6,'Job Master'!$F$12:$J$102,5,0),"")</f>
        <v/>
      </c>
      <c r="CL452" s="19" t="str">
        <f>IF(CM452&lt;&gt;"",VLOOKUP($P452&amp;" | "&amp;CK$6,'Job Master'!$F$12:$J$102,3,0),"")</f>
        <v/>
      </c>
      <c r="CM452" s="19" t="str">
        <f>IFERROR(IF(AND(CT452&lt;&gt;"",VLOOKUP($P452&amp;" | "&amp;CK$6,'Job Master'!$F$12:$I$102,4,0)&lt;&gt;""),IF(WEEKDAY(CT452-VLOOKUP($P452&amp;" | "&amp;CK$6,'Job Master'!$F$12:$I$102,4,0))&lt;&gt;7,CT452-VLOOKUP($P452&amp;" | "&amp;CK$6,'Job Master'!$F$12:$I$102,4,0),CT452-VLOOKUP($P452&amp;" | "&amp;CK$6,'Job Master'!$F$12:$I$102,4,0)-1),""),"")</f>
        <v/>
      </c>
      <c r="CN452" s="73"/>
      <c r="CO452" s="123" t="str">
        <f t="shared" si="798"/>
        <v/>
      </c>
      <c r="CP452" s="123" t="str">
        <f t="shared" si="799"/>
        <v/>
      </c>
      <c r="CQ452" s="97" t="str">
        <f t="shared" ca="1" si="800"/>
        <v/>
      </c>
      <c r="CR452" s="98" t="str">
        <f>IF(CT452&lt;&gt;"",VLOOKUP($P452&amp;" | "&amp;CR$6,'Job Master'!$F$12:$J$102,5,0),"")</f>
        <v/>
      </c>
      <c r="CS452" s="19" t="str">
        <f>IF(CT452&lt;&gt;"",VLOOKUP($P452&amp;" | "&amp;CR$6,'Job Master'!$F$12:$J$102,3,0),"")</f>
        <v/>
      </c>
      <c r="CT452" s="19" t="str">
        <f>IFERROR(IF(AND(DA452&lt;&gt;"",VLOOKUP($P452&amp;" | "&amp;CR$6,'Job Master'!$F$12:$I$102,4,0)&lt;&gt;""),IF(WEEKDAY(DA452-VLOOKUP($P452&amp;" | "&amp;CR$6,'Job Master'!$F$12:$I$102,4,0))&lt;&gt;7,DA452-VLOOKUP($P452&amp;" | "&amp;CR$6,'Job Master'!$F$12:$I$102,4,0),DA452-VLOOKUP($P452&amp;" | "&amp;CR$6,'Job Master'!$F$12:$I$102,4,0)-1),""),"")</f>
        <v/>
      </c>
      <c r="CU452" s="73"/>
      <c r="CV452" s="123" t="str">
        <f t="shared" si="801"/>
        <v/>
      </c>
      <c r="CW452" s="123" t="str">
        <f t="shared" si="802"/>
        <v/>
      </c>
      <c r="CX452" s="97" t="str">
        <f t="shared" ca="1" si="803"/>
        <v/>
      </c>
      <c r="CY452" s="98" t="str">
        <f>IF(DA452&lt;&gt;"",VLOOKUP($P452&amp;" | "&amp;CY$6,'Job Master'!$F$12:$J$102,5,0),"")</f>
        <v/>
      </c>
      <c r="CZ452" s="19" t="str">
        <f>IF(DA452&lt;&gt;"",VLOOKUP($P452&amp;" | "&amp;CY$6,'Job Master'!$F$12:$J$102,3,0),"")</f>
        <v/>
      </c>
      <c r="DA452" s="19" t="str">
        <f>IFERROR(IF(AND(DH452&lt;&gt;"",VLOOKUP($P452&amp;" | "&amp;CY$6,'Job Master'!$F$12:$I$102,4,0)&lt;&gt;""),IF(WEEKDAY(DH452-VLOOKUP($P452&amp;" | "&amp;CY$6,'Job Master'!$F$12:$I$102,4,0))&lt;&gt;7,DH452-VLOOKUP($P452&amp;" | "&amp;CY$6,'Job Master'!$F$12:$I$102,4,0),DH452-VLOOKUP($P452&amp;" | "&amp;CY$6,'Job Master'!$F$12:$I$102,4,0)-1),""),"")</f>
        <v/>
      </c>
      <c r="DB452" s="73"/>
      <c r="DC452" s="123" t="str">
        <f t="shared" si="804"/>
        <v/>
      </c>
      <c r="DD452" s="123" t="str">
        <f t="shared" si="805"/>
        <v/>
      </c>
      <c r="DE452" s="97" t="str">
        <f t="shared" ca="1" si="806"/>
        <v/>
      </c>
      <c r="DF452" s="98" t="str">
        <f>IF(DH452&lt;&gt;"",VLOOKUP($P452&amp;" | "&amp;DF$6,'Job Master'!$F$12:$J$102,5,0),"")</f>
        <v/>
      </c>
      <c r="DG452" s="19" t="str">
        <f>IF(DH452&lt;&gt;"",VLOOKUP($P452&amp;" | "&amp;DF$6,'Job Master'!$F$12:$J$102,3,0),"")</f>
        <v/>
      </c>
      <c r="DH452" s="19" t="str">
        <f>IFERROR(IF(AND(DO452&lt;&gt;"",VLOOKUP($P452&amp;" | "&amp;DF$6,'Job Master'!$F$12:$I$102,4,0)&lt;&gt;""),IF(WEEKDAY(DO452-VLOOKUP($P452&amp;" | "&amp;DF$6,'Job Master'!$F$12:$I$102,4,0))&lt;&gt;7,DO452-VLOOKUP($P452&amp;" | "&amp;DF$6,'Job Master'!$F$12:$I$102,4,0),DO452-VLOOKUP($P452&amp;" | "&amp;DF$6,'Job Master'!$F$12:$I$102,4,0)-1),""),"")</f>
        <v/>
      </c>
      <c r="DI452" s="73"/>
      <c r="DJ452" s="123" t="str">
        <f t="shared" si="807"/>
        <v/>
      </c>
      <c r="DK452" s="123" t="str">
        <f t="shared" si="808"/>
        <v/>
      </c>
      <c r="DL452" s="97" t="str">
        <f t="shared" ca="1" si="809"/>
        <v/>
      </c>
      <c r="DM452" s="98" t="str">
        <f>IF(DO452&lt;&gt;"",VLOOKUP($P452&amp;" | "&amp;DM$6,'Job Master'!$F$12:$J$102,5,0),"")</f>
        <v/>
      </c>
      <c r="DN452" s="19" t="str">
        <f>IF(DO452&lt;&gt;"",VLOOKUP($P452&amp;" | "&amp;DM$6,'Job Master'!$F$12:$J$102,3,0),"")</f>
        <v/>
      </c>
      <c r="DO452" s="19" t="str">
        <f>IFERROR(IF(AND(DT452&lt;&gt;"",VLOOKUP($P452&amp;" | "&amp;DM$6,'Job Master'!$F$12:$I$102,4,0)&lt;&gt;""),IF(WEEKDAY(DT452-VLOOKUP($P452&amp;" | "&amp;DM$6,'Job Master'!$F$12:$I$102,4,0))&lt;&gt;7,DT452-VLOOKUP($P452&amp;" | "&amp;DM$6,'Job Master'!$F$12:$I$102,4,0),DT452-VLOOKUP($P452&amp;" | "&amp;DM$6,'Job Master'!$F$12:$I$102,4,0)-1),""),"")</f>
        <v/>
      </c>
      <c r="DP452" s="73"/>
      <c r="DQ452" s="123" t="str">
        <f t="shared" si="810"/>
        <v/>
      </c>
      <c r="DR452" s="123" t="str">
        <f t="shared" si="811"/>
        <v/>
      </c>
      <c r="DS452" s="97" t="str">
        <f t="shared" ca="1" si="812"/>
        <v/>
      </c>
      <c r="DT452" s="70" t="str">
        <f t="shared" si="813"/>
        <v/>
      </c>
      <c r="DU452" s="90"/>
      <c r="DV452" s="123" t="str">
        <f t="shared" si="814"/>
        <v/>
      </c>
      <c r="DW452" s="123" t="str">
        <f t="shared" si="815"/>
        <v/>
      </c>
      <c r="DX452" s="132" t="str">
        <f t="shared" ref="DX452" ca="1" si="885">IF(DT452&lt;&gt;"",IF(WEEKNUM(DT452)=WEEKNUM(TODAY()),"This Week",IF(WEEKNUM(DT452)=WEEKNUM(TODAY())+1,"Next Week",IF(WEEKNUM(DT452)=WEEKNUM(TODAY())-1,"Previous Week",""))),"")</f>
        <v/>
      </c>
      <c r="DY452" s="134" t="str">
        <f t="shared" si="817"/>
        <v/>
      </c>
      <c r="DZ452" s="95"/>
      <c r="EB452" s="8" t="str">
        <f t="shared" si="823"/>
        <v/>
      </c>
      <c r="EC452" s="8" t="str">
        <f>IF(O452&lt;&gt;"",VLOOKUP(O452,'Job Master'!$N$12:$O$18,2,0),"")</f>
        <v/>
      </c>
      <c r="ED452" s="8">
        <f t="shared" si="824"/>
        <v>19.5</v>
      </c>
      <c r="EE452" s="8">
        <f t="shared" si="825"/>
        <v>6</v>
      </c>
      <c r="EF452" s="8">
        <f t="shared" si="826"/>
        <v>-2632.5</v>
      </c>
      <c r="EG452" s="8" t="str">
        <f t="shared" si="827"/>
        <v/>
      </c>
      <c r="EH452" s="8" t="str">
        <f t="shared" si="828"/>
        <v/>
      </c>
    </row>
    <row r="453" spans="2:138" x14ac:dyDescent="0.3">
      <c r="B453" s="112"/>
      <c r="C453" s="27"/>
      <c r="D453" s="7" t="str">
        <f t="shared" si="765"/>
        <v/>
      </c>
      <c r="E453" s="25"/>
      <c r="F453" s="7" t="str">
        <f t="shared" si="765"/>
        <v/>
      </c>
      <c r="G453" s="25"/>
      <c r="H453" s="7" t="str">
        <f t="shared" si="765"/>
        <v/>
      </c>
      <c r="I453" s="25"/>
      <c r="J453" s="7" t="str">
        <f t="shared" si="765"/>
        <v/>
      </c>
      <c r="K453" s="25"/>
      <c r="L453" s="7" t="str">
        <f t="shared" si="766"/>
        <v/>
      </c>
      <c r="M453" s="25"/>
      <c r="N453" s="7" t="str">
        <f t="shared" si="767"/>
        <v/>
      </c>
      <c r="O453" s="81"/>
      <c r="P453" s="81" t="str">
        <f t="shared" si="768"/>
        <v/>
      </c>
      <c r="Q453" s="81"/>
      <c r="R453" s="7" t="str">
        <f t="shared" si="769"/>
        <v/>
      </c>
      <c r="S453" s="25"/>
      <c r="T453" s="7" t="str">
        <f t="shared" si="770"/>
        <v/>
      </c>
      <c r="U453" s="25"/>
      <c r="V453" s="7" t="str">
        <f t="shared" si="771"/>
        <v/>
      </c>
      <c r="W453" s="25"/>
      <c r="X453" s="7" t="str">
        <f t="shared" si="772"/>
        <v/>
      </c>
      <c r="Y453" s="18" t="str">
        <f t="shared" si="773"/>
        <v/>
      </c>
      <c r="Z453" s="7" t="str">
        <f t="shared" si="774"/>
        <v/>
      </c>
      <c r="AA453" s="18" t="str">
        <f t="shared" si="775"/>
        <v/>
      </c>
      <c r="AB453" s="19" t="str">
        <f t="shared" si="776"/>
        <v/>
      </c>
      <c r="AC453" s="26"/>
      <c r="AD453" s="26"/>
      <c r="AE453" s="25"/>
      <c r="AF453" s="26"/>
      <c r="AG453" s="25"/>
      <c r="AH453" s="25"/>
      <c r="AI453" s="18" t="str">
        <f t="shared" si="839"/>
        <v/>
      </c>
      <c r="AJ453" s="25"/>
      <c r="AK453" s="18" t="str">
        <f t="shared" si="840"/>
        <v/>
      </c>
      <c r="AL453" s="79"/>
      <c r="AM453" s="126" t="str">
        <f t="shared" si="841"/>
        <v/>
      </c>
      <c r="AN453" s="128" t="str">
        <f>IF(AP453&lt;&gt;"",VLOOKUP($P453&amp;" | "&amp;AN$6,'Job Master'!$F$12:$J$102,5,0),"")</f>
        <v/>
      </c>
      <c r="AO453" s="19" t="str">
        <f>IF(AP453&lt;&gt;"",VLOOKUP($P453&amp;" | "&amp;AN$6,'Job Master'!$F$12:$J$102,3,0),"")</f>
        <v/>
      </c>
      <c r="AP453" s="19" t="str">
        <f>IFERROR(IF(AND(AW453&lt;&gt;"",VLOOKUP($P453&amp;" | "&amp;AN$6,'Job Master'!$F$12:$I$102,4,0)&lt;&gt;""),IF(WEEKDAY(AW453-VLOOKUP($P453&amp;" | "&amp;AN$6,'Job Master'!$F$12:$I$102,4,0))&lt;&gt;7,AW453-VLOOKUP($P453&amp;" | "&amp;AN$6,'Job Master'!$F$12:$I$102,4,0),AW453-VLOOKUP($P453&amp;" | "&amp;AN$6,'Job Master'!$F$12:$I$102,4,0)-1),""),"")</f>
        <v/>
      </c>
      <c r="AQ453" s="73"/>
      <c r="AR453" s="123" t="str">
        <f t="shared" si="777"/>
        <v/>
      </c>
      <c r="AS453" s="123" t="str">
        <f t="shared" si="778"/>
        <v/>
      </c>
      <c r="AT453" s="97" t="str">
        <f t="shared" ca="1" si="779"/>
        <v/>
      </c>
      <c r="AU453" s="98" t="str">
        <f>IF(AW453&lt;&gt;"",VLOOKUP($P453&amp;" | "&amp;AU$6,'Job Master'!$F$12:$J$102,5,0),"")</f>
        <v/>
      </c>
      <c r="AV453" s="19" t="str">
        <f>IF(AW453&lt;&gt;"",VLOOKUP($P453&amp;" | "&amp;AU$6,'Job Master'!$F$12:$J$102,3,0),"")</f>
        <v/>
      </c>
      <c r="AW453" s="19" t="str">
        <f>IFERROR(IF(AND(BD453&lt;&gt;"",VLOOKUP($P453&amp;" | "&amp;AU$6,'Job Master'!$F$12:$I$102,4,0)&lt;&gt;""),IF(WEEKDAY(BD453-VLOOKUP($P453&amp;" | "&amp;AU$6,'Job Master'!$F$12:$I$102,4,0))&lt;&gt;7,BD453-VLOOKUP($P453&amp;" | "&amp;AU$6,'Job Master'!$F$12:$I$102,4,0),BD453-VLOOKUP($P453&amp;" | "&amp;AU$6,'Job Master'!$F$12:$I$102,4,0)-1),""),"")</f>
        <v/>
      </c>
      <c r="AX453" s="73"/>
      <c r="AY453" s="123" t="str">
        <f t="shared" si="780"/>
        <v/>
      </c>
      <c r="AZ453" s="123" t="str">
        <f t="shared" si="781"/>
        <v/>
      </c>
      <c r="BA453" s="97" t="str">
        <f t="shared" ca="1" si="782"/>
        <v/>
      </c>
      <c r="BB453" s="98" t="str">
        <f>IF(BD453&lt;&gt;"",VLOOKUP($P453&amp;" | "&amp;BB$6,'Job Master'!$F$12:$J$102,5,0),"")</f>
        <v/>
      </c>
      <c r="BC453" s="19" t="str">
        <f>IF(BD453&lt;&gt;"",VLOOKUP($P453&amp;" | "&amp;BB$6,'Job Master'!$F$12:$J$102,3,0),"")</f>
        <v/>
      </c>
      <c r="BD453" s="19" t="str">
        <f>IFERROR(IF(AND(BK453&lt;&gt;"",VLOOKUP($P453&amp;" | "&amp;BB$6,'Job Master'!$F$12:$I$102,4,0)&lt;&gt;""),IF(WEEKDAY(BK453-VLOOKUP($P453&amp;" | "&amp;BB$6,'Job Master'!$F$12:$I$102,4,0))&lt;&gt;7,BK453-VLOOKUP($P453&amp;" | "&amp;BB$6,'Job Master'!$F$12:$I$102,4,0),BK453-VLOOKUP($P453&amp;" | "&amp;BB$6,'Job Master'!$F$12:$I$102,4,0)-1),""),"")</f>
        <v/>
      </c>
      <c r="BE453" s="73"/>
      <c r="BF453" s="123" t="str">
        <f t="shared" si="783"/>
        <v/>
      </c>
      <c r="BG453" s="123" t="str">
        <f t="shared" si="784"/>
        <v/>
      </c>
      <c r="BH453" s="97" t="str">
        <f t="shared" ca="1" si="785"/>
        <v/>
      </c>
      <c r="BI453" s="98" t="str">
        <f>IF(BK453&lt;&gt;"",VLOOKUP($P453&amp;" | "&amp;BI$6,'Job Master'!$F$12:$J$102,5,0),"")</f>
        <v/>
      </c>
      <c r="BJ453" s="19" t="str">
        <f>IF(BK453&lt;&gt;"",VLOOKUP($P453&amp;" | "&amp;BI$6,'Job Master'!$F$12:$J$102,3,0),"")</f>
        <v/>
      </c>
      <c r="BK453" s="19" t="str">
        <f>IFERROR(IF(AND(BR453&lt;&gt;"",VLOOKUP($P453&amp;" | "&amp;BI$6,'Job Master'!$F$12:$I$102,4,0)&lt;&gt;""),IF(WEEKDAY(BR453-VLOOKUP($P453&amp;" | "&amp;BI$6,'Job Master'!$F$12:$I$102,4,0))&lt;&gt;7,BR453-VLOOKUP($P453&amp;" | "&amp;BI$6,'Job Master'!$F$12:$I$102,4,0),BR453-VLOOKUP($P453&amp;" | "&amp;BI$6,'Job Master'!$F$12:$I$102,4,0)-1),""),"")</f>
        <v/>
      </c>
      <c r="BL453" s="73"/>
      <c r="BM453" s="123" t="str">
        <f t="shared" si="786"/>
        <v/>
      </c>
      <c r="BN453" s="123" t="str">
        <f t="shared" si="787"/>
        <v/>
      </c>
      <c r="BO453" s="97" t="str">
        <f t="shared" ca="1" si="788"/>
        <v/>
      </c>
      <c r="BP453" s="98" t="str">
        <f>IF(BR453&lt;&gt;"",VLOOKUP($P453&amp;" | "&amp;BP$6,'Job Master'!$F$12:$J$102,5,0),"")</f>
        <v/>
      </c>
      <c r="BQ453" s="19" t="str">
        <f>IF(BR453&lt;&gt;"",VLOOKUP($P453&amp;" | "&amp;BP$6,'Job Master'!$F$12:$J$102,3,0),"")</f>
        <v/>
      </c>
      <c r="BR453" s="19" t="str">
        <f>IFERROR(IF(AND(BY453&lt;&gt;"",VLOOKUP($P453&amp;" | "&amp;BP$6,'Job Master'!$F$12:$I$102,4,0)&lt;&gt;""),IF(WEEKDAY(BY453-VLOOKUP($P453&amp;" | "&amp;BP$6,'Job Master'!$F$12:$I$102,4,0))&lt;&gt;7,BY453-VLOOKUP($P453&amp;" | "&amp;BP$6,'Job Master'!$F$12:$I$102,4,0),BY453-VLOOKUP($P453&amp;" | "&amp;BP$6,'Job Master'!$F$12:$I$102,4,0)-1),""),"")</f>
        <v/>
      </c>
      <c r="BS453" s="73"/>
      <c r="BT453" s="123" t="str">
        <f t="shared" si="789"/>
        <v/>
      </c>
      <c r="BU453" s="123" t="str">
        <f t="shared" si="790"/>
        <v/>
      </c>
      <c r="BV453" s="97" t="str">
        <f t="shared" ca="1" si="791"/>
        <v/>
      </c>
      <c r="BW453" s="98" t="str">
        <f>IF(BY453&lt;&gt;"",VLOOKUP($P453&amp;" | "&amp;BW$6,'Job Master'!$F$12:$J$102,5,0),"")</f>
        <v/>
      </c>
      <c r="BX453" s="19" t="str">
        <f>IF(BY453&lt;&gt;"",VLOOKUP($P453&amp;" | "&amp;BW$6,'Job Master'!$F$12:$J$102,3,0),"")</f>
        <v/>
      </c>
      <c r="BY453" s="19" t="str">
        <f>IFERROR(IF(AND(CF453&lt;&gt;"",VLOOKUP($P453&amp;" | "&amp;BW$6,'Job Master'!$F$12:$I$102,4,0)&lt;&gt;""),IF(WEEKDAY(CF453-VLOOKUP($P453&amp;" | "&amp;BW$6,'Job Master'!$F$12:$I$102,4,0))&lt;&gt;7,CF453-VLOOKUP($P453&amp;" | "&amp;BW$6,'Job Master'!$F$12:$I$102,4,0),CF453-VLOOKUP($P453&amp;" | "&amp;BW$6,'Job Master'!$F$12:$I$102,4,0)-1),""),"")</f>
        <v/>
      </c>
      <c r="BZ453" s="73"/>
      <c r="CA453" s="123" t="str">
        <f t="shared" si="792"/>
        <v/>
      </c>
      <c r="CB453" s="123" t="str">
        <f t="shared" si="793"/>
        <v/>
      </c>
      <c r="CC453" s="97" t="str">
        <f t="shared" ca="1" si="794"/>
        <v/>
      </c>
      <c r="CD453" s="98" t="str">
        <f>IF(CF453&lt;&gt;"",VLOOKUP($P453&amp;" | "&amp;CD$6,'Job Master'!$F$12:$J$102,5,0),"")</f>
        <v/>
      </c>
      <c r="CE453" s="19" t="str">
        <f>IF(CF453&lt;&gt;"",VLOOKUP($P453&amp;" | "&amp;CD$6,'Job Master'!$F$12:$J$102,3,0),"")</f>
        <v/>
      </c>
      <c r="CF453" s="19" t="str">
        <f>IFERROR(IF(AND(CM453&lt;&gt;"",VLOOKUP($P453&amp;" | "&amp;CD$6,'Job Master'!$F$12:$I$102,4,0)&lt;&gt;""),IF(WEEKDAY(CM453-VLOOKUP($P453&amp;" | "&amp;CD$6,'Job Master'!$F$12:$I$102,4,0))&lt;&gt;7,CM453-VLOOKUP($P453&amp;" | "&amp;CD$6,'Job Master'!$F$12:$I$102,4,0),CM453-VLOOKUP($P453&amp;" | "&amp;CD$6,'Job Master'!$F$12:$I$102,4,0)-1),""),"")</f>
        <v/>
      </c>
      <c r="CG453" s="73"/>
      <c r="CH453" s="123" t="str">
        <f t="shared" si="795"/>
        <v/>
      </c>
      <c r="CI453" s="123" t="str">
        <f t="shared" si="796"/>
        <v/>
      </c>
      <c r="CJ453" s="97" t="str">
        <f t="shared" ca="1" si="797"/>
        <v/>
      </c>
      <c r="CK453" s="98" t="str">
        <f>IF(CM453&lt;&gt;"",VLOOKUP($P453&amp;" | "&amp;CK$6,'Job Master'!$F$12:$J$102,5,0),"")</f>
        <v/>
      </c>
      <c r="CL453" s="19" t="str">
        <f>IF(CM453&lt;&gt;"",VLOOKUP($P453&amp;" | "&amp;CK$6,'Job Master'!$F$12:$J$102,3,0),"")</f>
        <v/>
      </c>
      <c r="CM453" s="19" t="str">
        <f>IFERROR(IF(AND(CT453&lt;&gt;"",VLOOKUP($P453&amp;" | "&amp;CK$6,'Job Master'!$F$12:$I$102,4,0)&lt;&gt;""),IF(WEEKDAY(CT453-VLOOKUP($P453&amp;" | "&amp;CK$6,'Job Master'!$F$12:$I$102,4,0))&lt;&gt;7,CT453-VLOOKUP($P453&amp;" | "&amp;CK$6,'Job Master'!$F$12:$I$102,4,0),CT453-VLOOKUP($P453&amp;" | "&amp;CK$6,'Job Master'!$F$12:$I$102,4,0)-1),""),"")</f>
        <v/>
      </c>
      <c r="CN453" s="73"/>
      <c r="CO453" s="123" t="str">
        <f t="shared" si="798"/>
        <v/>
      </c>
      <c r="CP453" s="123" t="str">
        <f t="shared" si="799"/>
        <v/>
      </c>
      <c r="CQ453" s="97" t="str">
        <f t="shared" ca="1" si="800"/>
        <v/>
      </c>
      <c r="CR453" s="98" t="str">
        <f>IF(CT453&lt;&gt;"",VLOOKUP($P453&amp;" | "&amp;CR$6,'Job Master'!$F$12:$J$102,5,0),"")</f>
        <v/>
      </c>
      <c r="CS453" s="19" t="str">
        <f>IF(CT453&lt;&gt;"",VLOOKUP($P453&amp;" | "&amp;CR$6,'Job Master'!$F$12:$J$102,3,0),"")</f>
        <v/>
      </c>
      <c r="CT453" s="19" t="str">
        <f>IFERROR(IF(AND(DA453&lt;&gt;"",VLOOKUP($P453&amp;" | "&amp;CR$6,'Job Master'!$F$12:$I$102,4,0)&lt;&gt;""),IF(WEEKDAY(DA453-VLOOKUP($P453&amp;" | "&amp;CR$6,'Job Master'!$F$12:$I$102,4,0))&lt;&gt;7,DA453-VLOOKUP($P453&amp;" | "&amp;CR$6,'Job Master'!$F$12:$I$102,4,0),DA453-VLOOKUP($P453&amp;" | "&amp;CR$6,'Job Master'!$F$12:$I$102,4,0)-1),""),"")</f>
        <v/>
      </c>
      <c r="CU453" s="73"/>
      <c r="CV453" s="123" t="str">
        <f t="shared" si="801"/>
        <v/>
      </c>
      <c r="CW453" s="123" t="str">
        <f t="shared" si="802"/>
        <v/>
      </c>
      <c r="CX453" s="97" t="str">
        <f t="shared" ca="1" si="803"/>
        <v/>
      </c>
      <c r="CY453" s="98" t="str">
        <f>IF(DA453&lt;&gt;"",VLOOKUP($P453&amp;" | "&amp;CY$6,'Job Master'!$F$12:$J$102,5,0),"")</f>
        <v/>
      </c>
      <c r="CZ453" s="19" t="str">
        <f>IF(DA453&lt;&gt;"",VLOOKUP($P453&amp;" | "&amp;CY$6,'Job Master'!$F$12:$J$102,3,0),"")</f>
        <v/>
      </c>
      <c r="DA453" s="19" t="str">
        <f>IFERROR(IF(AND(DH453&lt;&gt;"",VLOOKUP($P453&amp;" | "&amp;CY$6,'Job Master'!$F$12:$I$102,4,0)&lt;&gt;""),IF(WEEKDAY(DH453-VLOOKUP($P453&amp;" | "&amp;CY$6,'Job Master'!$F$12:$I$102,4,0))&lt;&gt;7,DH453-VLOOKUP($P453&amp;" | "&amp;CY$6,'Job Master'!$F$12:$I$102,4,0),DH453-VLOOKUP($P453&amp;" | "&amp;CY$6,'Job Master'!$F$12:$I$102,4,0)-1),""),"")</f>
        <v/>
      </c>
      <c r="DB453" s="73"/>
      <c r="DC453" s="123" t="str">
        <f t="shared" si="804"/>
        <v/>
      </c>
      <c r="DD453" s="123" t="str">
        <f t="shared" si="805"/>
        <v/>
      </c>
      <c r="DE453" s="97" t="str">
        <f t="shared" ca="1" si="806"/>
        <v/>
      </c>
      <c r="DF453" s="98" t="str">
        <f>IF(DH453&lt;&gt;"",VLOOKUP($P453&amp;" | "&amp;DF$6,'Job Master'!$F$12:$J$102,5,0),"")</f>
        <v/>
      </c>
      <c r="DG453" s="19" t="str">
        <f>IF(DH453&lt;&gt;"",VLOOKUP($P453&amp;" | "&amp;DF$6,'Job Master'!$F$12:$J$102,3,0),"")</f>
        <v/>
      </c>
      <c r="DH453" s="19" t="str">
        <f>IFERROR(IF(AND(DO453&lt;&gt;"",VLOOKUP($P453&amp;" | "&amp;DF$6,'Job Master'!$F$12:$I$102,4,0)&lt;&gt;""),IF(WEEKDAY(DO453-VLOOKUP($P453&amp;" | "&amp;DF$6,'Job Master'!$F$12:$I$102,4,0))&lt;&gt;7,DO453-VLOOKUP($P453&amp;" | "&amp;DF$6,'Job Master'!$F$12:$I$102,4,0),DO453-VLOOKUP($P453&amp;" | "&amp;DF$6,'Job Master'!$F$12:$I$102,4,0)-1),""),"")</f>
        <v/>
      </c>
      <c r="DI453" s="73"/>
      <c r="DJ453" s="123" t="str">
        <f t="shared" si="807"/>
        <v/>
      </c>
      <c r="DK453" s="123" t="str">
        <f t="shared" si="808"/>
        <v/>
      </c>
      <c r="DL453" s="97" t="str">
        <f t="shared" ca="1" si="809"/>
        <v/>
      </c>
      <c r="DM453" s="98" t="str">
        <f>IF(DO453&lt;&gt;"",VLOOKUP($P453&amp;" | "&amp;DM$6,'Job Master'!$F$12:$J$102,5,0),"")</f>
        <v/>
      </c>
      <c r="DN453" s="19" t="str">
        <f>IF(DO453&lt;&gt;"",VLOOKUP($P453&amp;" | "&amp;DM$6,'Job Master'!$F$12:$J$102,3,0),"")</f>
        <v/>
      </c>
      <c r="DO453" s="19" t="str">
        <f>IFERROR(IF(AND(DT453&lt;&gt;"",VLOOKUP($P453&amp;" | "&amp;DM$6,'Job Master'!$F$12:$I$102,4,0)&lt;&gt;""),IF(WEEKDAY(DT453-VLOOKUP($P453&amp;" | "&amp;DM$6,'Job Master'!$F$12:$I$102,4,0))&lt;&gt;7,DT453-VLOOKUP($P453&amp;" | "&amp;DM$6,'Job Master'!$F$12:$I$102,4,0),DT453-VLOOKUP($P453&amp;" | "&amp;DM$6,'Job Master'!$F$12:$I$102,4,0)-1),""),"")</f>
        <v/>
      </c>
      <c r="DP453" s="73"/>
      <c r="DQ453" s="123" t="str">
        <f t="shared" si="810"/>
        <v/>
      </c>
      <c r="DR453" s="123" t="str">
        <f t="shared" si="811"/>
        <v/>
      </c>
      <c r="DS453" s="97" t="str">
        <f t="shared" ca="1" si="812"/>
        <v/>
      </c>
      <c r="DT453" s="70" t="str">
        <f t="shared" si="813"/>
        <v/>
      </c>
      <c r="DU453" s="90"/>
      <c r="DV453" s="123" t="str">
        <f t="shared" si="814"/>
        <v/>
      </c>
      <c r="DW453" s="123" t="str">
        <f t="shared" si="815"/>
        <v/>
      </c>
      <c r="DX453" s="132" t="str">
        <f t="shared" ref="DX453" ca="1" si="886">IF(DT453&lt;&gt;"",IF(WEEKNUM(DT453)=WEEKNUM(TODAY()),"This Week",IF(WEEKNUM(DT453)=WEEKNUM(TODAY())+1,"Next Week",IF(WEEKNUM(DT453)=WEEKNUM(TODAY())-1,"Previous Week",""))),"")</f>
        <v/>
      </c>
      <c r="DY453" s="134" t="str">
        <f t="shared" si="817"/>
        <v/>
      </c>
      <c r="DZ453" s="95"/>
      <c r="EB453" s="8" t="str">
        <f t="shared" si="823"/>
        <v/>
      </c>
      <c r="EC453" s="8" t="str">
        <f>IF(O453&lt;&gt;"",VLOOKUP(O453,'Job Master'!$N$12:$O$18,2,0),"")</f>
        <v/>
      </c>
      <c r="ED453" s="8">
        <f t="shared" si="824"/>
        <v>19.5</v>
      </c>
      <c r="EE453" s="8">
        <f t="shared" si="825"/>
        <v>6</v>
      </c>
      <c r="EF453" s="8">
        <f t="shared" si="826"/>
        <v>-2638.5</v>
      </c>
      <c r="EG453" s="8" t="str">
        <f t="shared" si="827"/>
        <v/>
      </c>
      <c r="EH453" s="8" t="str">
        <f t="shared" si="828"/>
        <v/>
      </c>
    </row>
    <row r="454" spans="2:138" x14ac:dyDescent="0.3">
      <c r="B454" s="112"/>
      <c r="C454" s="27"/>
      <c r="D454" s="7" t="str">
        <f t="shared" si="765"/>
        <v/>
      </c>
      <c r="E454" s="25"/>
      <c r="F454" s="7" t="str">
        <f t="shared" si="765"/>
        <v/>
      </c>
      <c r="G454" s="25"/>
      <c r="H454" s="7" t="str">
        <f t="shared" si="765"/>
        <v/>
      </c>
      <c r="I454" s="25"/>
      <c r="J454" s="7" t="str">
        <f t="shared" si="765"/>
        <v/>
      </c>
      <c r="K454" s="25"/>
      <c r="L454" s="7" t="str">
        <f t="shared" si="766"/>
        <v/>
      </c>
      <c r="M454" s="25"/>
      <c r="N454" s="7" t="str">
        <f t="shared" si="767"/>
        <v/>
      </c>
      <c r="O454" s="81"/>
      <c r="P454" s="81" t="str">
        <f t="shared" si="768"/>
        <v/>
      </c>
      <c r="Q454" s="81"/>
      <c r="R454" s="7" t="str">
        <f t="shared" si="769"/>
        <v/>
      </c>
      <c r="S454" s="25"/>
      <c r="T454" s="7" t="str">
        <f t="shared" si="770"/>
        <v/>
      </c>
      <c r="U454" s="25"/>
      <c r="V454" s="7" t="str">
        <f t="shared" si="771"/>
        <v/>
      </c>
      <c r="W454" s="25"/>
      <c r="X454" s="7" t="str">
        <f t="shared" si="772"/>
        <v/>
      </c>
      <c r="Y454" s="18" t="str">
        <f t="shared" si="773"/>
        <v/>
      </c>
      <c r="Z454" s="7" t="str">
        <f t="shared" si="774"/>
        <v/>
      </c>
      <c r="AA454" s="18" t="str">
        <f t="shared" si="775"/>
        <v/>
      </c>
      <c r="AB454" s="19" t="str">
        <f t="shared" si="776"/>
        <v/>
      </c>
      <c r="AC454" s="26"/>
      <c r="AD454" s="26"/>
      <c r="AE454" s="25"/>
      <c r="AF454" s="26"/>
      <c r="AG454" s="25"/>
      <c r="AH454" s="25"/>
      <c r="AI454" s="18" t="str">
        <f t="shared" si="839"/>
        <v/>
      </c>
      <c r="AJ454" s="25"/>
      <c r="AK454" s="18" t="str">
        <f t="shared" si="840"/>
        <v/>
      </c>
      <c r="AL454" s="79"/>
      <c r="AM454" s="126" t="str">
        <f t="shared" si="841"/>
        <v/>
      </c>
      <c r="AN454" s="128" t="str">
        <f>IF(AP454&lt;&gt;"",VLOOKUP($P454&amp;" | "&amp;AN$6,'Job Master'!$F$12:$J$102,5,0),"")</f>
        <v/>
      </c>
      <c r="AO454" s="19" t="str">
        <f>IF(AP454&lt;&gt;"",VLOOKUP($P454&amp;" | "&amp;AN$6,'Job Master'!$F$12:$J$102,3,0),"")</f>
        <v/>
      </c>
      <c r="AP454" s="19" t="str">
        <f>IFERROR(IF(AND(AW454&lt;&gt;"",VLOOKUP($P454&amp;" | "&amp;AN$6,'Job Master'!$F$12:$I$102,4,0)&lt;&gt;""),IF(WEEKDAY(AW454-VLOOKUP($P454&amp;" | "&amp;AN$6,'Job Master'!$F$12:$I$102,4,0))&lt;&gt;7,AW454-VLOOKUP($P454&amp;" | "&amp;AN$6,'Job Master'!$F$12:$I$102,4,0),AW454-VLOOKUP($P454&amp;" | "&amp;AN$6,'Job Master'!$F$12:$I$102,4,0)-1),""),"")</f>
        <v/>
      </c>
      <c r="AQ454" s="73"/>
      <c r="AR454" s="123" t="str">
        <f t="shared" si="777"/>
        <v/>
      </c>
      <c r="AS454" s="123" t="str">
        <f t="shared" si="778"/>
        <v/>
      </c>
      <c r="AT454" s="97" t="str">
        <f t="shared" ca="1" si="779"/>
        <v/>
      </c>
      <c r="AU454" s="98" t="str">
        <f>IF(AW454&lt;&gt;"",VLOOKUP($P454&amp;" | "&amp;AU$6,'Job Master'!$F$12:$J$102,5,0),"")</f>
        <v/>
      </c>
      <c r="AV454" s="19" t="str">
        <f>IF(AW454&lt;&gt;"",VLOOKUP($P454&amp;" | "&amp;AU$6,'Job Master'!$F$12:$J$102,3,0),"")</f>
        <v/>
      </c>
      <c r="AW454" s="19" t="str">
        <f>IFERROR(IF(AND(BD454&lt;&gt;"",VLOOKUP($P454&amp;" | "&amp;AU$6,'Job Master'!$F$12:$I$102,4,0)&lt;&gt;""),IF(WEEKDAY(BD454-VLOOKUP($P454&amp;" | "&amp;AU$6,'Job Master'!$F$12:$I$102,4,0))&lt;&gt;7,BD454-VLOOKUP($P454&amp;" | "&amp;AU$6,'Job Master'!$F$12:$I$102,4,0),BD454-VLOOKUP($P454&amp;" | "&amp;AU$6,'Job Master'!$F$12:$I$102,4,0)-1),""),"")</f>
        <v/>
      </c>
      <c r="AX454" s="73"/>
      <c r="AY454" s="123" t="str">
        <f t="shared" si="780"/>
        <v/>
      </c>
      <c r="AZ454" s="123" t="str">
        <f t="shared" si="781"/>
        <v/>
      </c>
      <c r="BA454" s="97" t="str">
        <f t="shared" ca="1" si="782"/>
        <v/>
      </c>
      <c r="BB454" s="98" t="str">
        <f>IF(BD454&lt;&gt;"",VLOOKUP($P454&amp;" | "&amp;BB$6,'Job Master'!$F$12:$J$102,5,0),"")</f>
        <v/>
      </c>
      <c r="BC454" s="19" t="str">
        <f>IF(BD454&lt;&gt;"",VLOOKUP($P454&amp;" | "&amp;BB$6,'Job Master'!$F$12:$J$102,3,0),"")</f>
        <v/>
      </c>
      <c r="BD454" s="19" t="str">
        <f>IFERROR(IF(AND(BK454&lt;&gt;"",VLOOKUP($P454&amp;" | "&amp;BB$6,'Job Master'!$F$12:$I$102,4,0)&lt;&gt;""),IF(WEEKDAY(BK454-VLOOKUP($P454&amp;" | "&amp;BB$6,'Job Master'!$F$12:$I$102,4,0))&lt;&gt;7,BK454-VLOOKUP($P454&amp;" | "&amp;BB$6,'Job Master'!$F$12:$I$102,4,0),BK454-VLOOKUP($P454&amp;" | "&amp;BB$6,'Job Master'!$F$12:$I$102,4,0)-1),""),"")</f>
        <v/>
      </c>
      <c r="BE454" s="73"/>
      <c r="BF454" s="123" t="str">
        <f t="shared" si="783"/>
        <v/>
      </c>
      <c r="BG454" s="123" t="str">
        <f t="shared" si="784"/>
        <v/>
      </c>
      <c r="BH454" s="97" t="str">
        <f t="shared" ca="1" si="785"/>
        <v/>
      </c>
      <c r="BI454" s="98" t="str">
        <f>IF(BK454&lt;&gt;"",VLOOKUP($P454&amp;" | "&amp;BI$6,'Job Master'!$F$12:$J$102,5,0),"")</f>
        <v/>
      </c>
      <c r="BJ454" s="19" t="str">
        <f>IF(BK454&lt;&gt;"",VLOOKUP($P454&amp;" | "&amp;BI$6,'Job Master'!$F$12:$J$102,3,0),"")</f>
        <v/>
      </c>
      <c r="BK454" s="19" t="str">
        <f>IFERROR(IF(AND(BR454&lt;&gt;"",VLOOKUP($P454&amp;" | "&amp;BI$6,'Job Master'!$F$12:$I$102,4,0)&lt;&gt;""),IF(WEEKDAY(BR454-VLOOKUP($P454&amp;" | "&amp;BI$6,'Job Master'!$F$12:$I$102,4,0))&lt;&gt;7,BR454-VLOOKUP($P454&amp;" | "&amp;BI$6,'Job Master'!$F$12:$I$102,4,0),BR454-VLOOKUP($P454&amp;" | "&amp;BI$6,'Job Master'!$F$12:$I$102,4,0)-1),""),"")</f>
        <v/>
      </c>
      <c r="BL454" s="73"/>
      <c r="BM454" s="123" t="str">
        <f t="shared" si="786"/>
        <v/>
      </c>
      <c r="BN454" s="123" t="str">
        <f t="shared" si="787"/>
        <v/>
      </c>
      <c r="BO454" s="97" t="str">
        <f t="shared" ca="1" si="788"/>
        <v/>
      </c>
      <c r="BP454" s="98" t="str">
        <f>IF(BR454&lt;&gt;"",VLOOKUP($P454&amp;" | "&amp;BP$6,'Job Master'!$F$12:$J$102,5,0),"")</f>
        <v/>
      </c>
      <c r="BQ454" s="19" t="str">
        <f>IF(BR454&lt;&gt;"",VLOOKUP($P454&amp;" | "&amp;BP$6,'Job Master'!$F$12:$J$102,3,0),"")</f>
        <v/>
      </c>
      <c r="BR454" s="19" t="str">
        <f>IFERROR(IF(AND(BY454&lt;&gt;"",VLOOKUP($P454&amp;" | "&amp;BP$6,'Job Master'!$F$12:$I$102,4,0)&lt;&gt;""),IF(WEEKDAY(BY454-VLOOKUP($P454&amp;" | "&amp;BP$6,'Job Master'!$F$12:$I$102,4,0))&lt;&gt;7,BY454-VLOOKUP($P454&amp;" | "&amp;BP$6,'Job Master'!$F$12:$I$102,4,0),BY454-VLOOKUP($P454&amp;" | "&amp;BP$6,'Job Master'!$F$12:$I$102,4,0)-1),""),"")</f>
        <v/>
      </c>
      <c r="BS454" s="73"/>
      <c r="BT454" s="123" t="str">
        <f t="shared" si="789"/>
        <v/>
      </c>
      <c r="BU454" s="123" t="str">
        <f t="shared" si="790"/>
        <v/>
      </c>
      <c r="BV454" s="97" t="str">
        <f t="shared" ca="1" si="791"/>
        <v/>
      </c>
      <c r="BW454" s="98" t="str">
        <f>IF(BY454&lt;&gt;"",VLOOKUP($P454&amp;" | "&amp;BW$6,'Job Master'!$F$12:$J$102,5,0),"")</f>
        <v/>
      </c>
      <c r="BX454" s="19" t="str">
        <f>IF(BY454&lt;&gt;"",VLOOKUP($P454&amp;" | "&amp;BW$6,'Job Master'!$F$12:$J$102,3,0),"")</f>
        <v/>
      </c>
      <c r="BY454" s="19" t="str">
        <f>IFERROR(IF(AND(CF454&lt;&gt;"",VLOOKUP($P454&amp;" | "&amp;BW$6,'Job Master'!$F$12:$I$102,4,0)&lt;&gt;""),IF(WEEKDAY(CF454-VLOOKUP($P454&amp;" | "&amp;BW$6,'Job Master'!$F$12:$I$102,4,0))&lt;&gt;7,CF454-VLOOKUP($P454&amp;" | "&amp;BW$6,'Job Master'!$F$12:$I$102,4,0),CF454-VLOOKUP($P454&amp;" | "&amp;BW$6,'Job Master'!$F$12:$I$102,4,0)-1),""),"")</f>
        <v/>
      </c>
      <c r="BZ454" s="73"/>
      <c r="CA454" s="123" t="str">
        <f t="shared" si="792"/>
        <v/>
      </c>
      <c r="CB454" s="123" t="str">
        <f t="shared" si="793"/>
        <v/>
      </c>
      <c r="CC454" s="97" t="str">
        <f t="shared" ca="1" si="794"/>
        <v/>
      </c>
      <c r="CD454" s="98" t="str">
        <f>IF(CF454&lt;&gt;"",VLOOKUP($P454&amp;" | "&amp;CD$6,'Job Master'!$F$12:$J$102,5,0),"")</f>
        <v/>
      </c>
      <c r="CE454" s="19" t="str">
        <f>IF(CF454&lt;&gt;"",VLOOKUP($P454&amp;" | "&amp;CD$6,'Job Master'!$F$12:$J$102,3,0),"")</f>
        <v/>
      </c>
      <c r="CF454" s="19" t="str">
        <f>IFERROR(IF(AND(CM454&lt;&gt;"",VLOOKUP($P454&amp;" | "&amp;CD$6,'Job Master'!$F$12:$I$102,4,0)&lt;&gt;""),IF(WEEKDAY(CM454-VLOOKUP($P454&amp;" | "&amp;CD$6,'Job Master'!$F$12:$I$102,4,0))&lt;&gt;7,CM454-VLOOKUP($P454&amp;" | "&amp;CD$6,'Job Master'!$F$12:$I$102,4,0),CM454-VLOOKUP($P454&amp;" | "&amp;CD$6,'Job Master'!$F$12:$I$102,4,0)-1),""),"")</f>
        <v/>
      </c>
      <c r="CG454" s="73"/>
      <c r="CH454" s="123" t="str">
        <f t="shared" si="795"/>
        <v/>
      </c>
      <c r="CI454" s="123" t="str">
        <f t="shared" si="796"/>
        <v/>
      </c>
      <c r="CJ454" s="97" t="str">
        <f t="shared" ca="1" si="797"/>
        <v/>
      </c>
      <c r="CK454" s="98" t="str">
        <f>IF(CM454&lt;&gt;"",VLOOKUP($P454&amp;" | "&amp;CK$6,'Job Master'!$F$12:$J$102,5,0),"")</f>
        <v/>
      </c>
      <c r="CL454" s="19" t="str">
        <f>IF(CM454&lt;&gt;"",VLOOKUP($P454&amp;" | "&amp;CK$6,'Job Master'!$F$12:$J$102,3,0),"")</f>
        <v/>
      </c>
      <c r="CM454" s="19" t="str">
        <f>IFERROR(IF(AND(CT454&lt;&gt;"",VLOOKUP($P454&amp;" | "&amp;CK$6,'Job Master'!$F$12:$I$102,4,0)&lt;&gt;""),IF(WEEKDAY(CT454-VLOOKUP($P454&amp;" | "&amp;CK$6,'Job Master'!$F$12:$I$102,4,0))&lt;&gt;7,CT454-VLOOKUP($P454&amp;" | "&amp;CK$6,'Job Master'!$F$12:$I$102,4,0),CT454-VLOOKUP($P454&amp;" | "&amp;CK$6,'Job Master'!$F$12:$I$102,4,0)-1),""),"")</f>
        <v/>
      </c>
      <c r="CN454" s="73"/>
      <c r="CO454" s="123" t="str">
        <f t="shared" si="798"/>
        <v/>
      </c>
      <c r="CP454" s="123" t="str">
        <f t="shared" si="799"/>
        <v/>
      </c>
      <c r="CQ454" s="97" t="str">
        <f t="shared" ca="1" si="800"/>
        <v/>
      </c>
      <c r="CR454" s="98" t="str">
        <f>IF(CT454&lt;&gt;"",VLOOKUP($P454&amp;" | "&amp;CR$6,'Job Master'!$F$12:$J$102,5,0),"")</f>
        <v/>
      </c>
      <c r="CS454" s="19" t="str">
        <f>IF(CT454&lt;&gt;"",VLOOKUP($P454&amp;" | "&amp;CR$6,'Job Master'!$F$12:$J$102,3,0),"")</f>
        <v/>
      </c>
      <c r="CT454" s="19" t="str">
        <f>IFERROR(IF(AND(DA454&lt;&gt;"",VLOOKUP($P454&amp;" | "&amp;CR$6,'Job Master'!$F$12:$I$102,4,0)&lt;&gt;""),IF(WEEKDAY(DA454-VLOOKUP($P454&amp;" | "&amp;CR$6,'Job Master'!$F$12:$I$102,4,0))&lt;&gt;7,DA454-VLOOKUP($P454&amp;" | "&amp;CR$6,'Job Master'!$F$12:$I$102,4,0),DA454-VLOOKUP($P454&amp;" | "&amp;CR$6,'Job Master'!$F$12:$I$102,4,0)-1),""),"")</f>
        <v/>
      </c>
      <c r="CU454" s="73"/>
      <c r="CV454" s="123" t="str">
        <f t="shared" si="801"/>
        <v/>
      </c>
      <c r="CW454" s="123" t="str">
        <f t="shared" si="802"/>
        <v/>
      </c>
      <c r="CX454" s="97" t="str">
        <f t="shared" ca="1" si="803"/>
        <v/>
      </c>
      <c r="CY454" s="98" t="str">
        <f>IF(DA454&lt;&gt;"",VLOOKUP($P454&amp;" | "&amp;CY$6,'Job Master'!$F$12:$J$102,5,0),"")</f>
        <v/>
      </c>
      <c r="CZ454" s="19" t="str">
        <f>IF(DA454&lt;&gt;"",VLOOKUP($P454&amp;" | "&amp;CY$6,'Job Master'!$F$12:$J$102,3,0),"")</f>
        <v/>
      </c>
      <c r="DA454" s="19" t="str">
        <f>IFERROR(IF(AND(DH454&lt;&gt;"",VLOOKUP($P454&amp;" | "&amp;CY$6,'Job Master'!$F$12:$I$102,4,0)&lt;&gt;""),IF(WEEKDAY(DH454-VLOOKUP($P454&amp;" | "&amp;CY$6,'Job Master'!$F$12:$I$102,4,0))&lt;&gt;7,DH454-VLOOKUP($P454&amp;" | "&amp;CY$6,'Job Master'!$F$12:$I$102,4,0),DH454-VLOOKUP($P454&amp;" | "&amp;CY$6,'Job Master'!$F$12:$I$102,4,0)-1),""),"")</f>
        <v/>
      </c>
      <c r="DB454" s="73"/>
      <c r="DC454" s="123" t="str">
        <f t="shared" si="804"/>
        <v/>
      </c>
      <c r="DD454" s="123" t="str">
        <f t="shared" si="805"/>
        <v/>
      </c>
      <c r="DE454" s="97" t="str">
        <f t="shared" ca="1" si="806"/>
        <v/>
      </c>
      <c r="DF454" s="98" t="str">
        <f>IF(DH454&lt;&gt;"",VLOOKUP($P454&amp;" | "&amp;DF$6,'Job Master'!$F$12:$J$102,5,0),"")</f>
        <v/>
      </c>
      <c r="DG454" s="19" t="str">
        <f>IF(DH454&lt;&gt;"",VLOOKUP($P454&amp;" | "&amp;DF$6,'Job Master'!$F$12:$J$102,3,0),"")</f>
        <v/>
      </c>
      <c r="DH454" s="19" t="str">
        <f>IFERROR(IF(AND(DO454&lt;&gt;"",VLOOKUP($P454&amp;" | "&amp;DF$6,'Job Master'!$F$12:$I$102,4,0)&lt;&gt;""),IF(WEEKDAY(DO454-VLOOKUP($P454&amp;" | "&amp;DF$6,'Job Master'!$F$12:$I$102,4,0))&lt;&gt;7,DO454-VLOOKUP($P454&amp;" | "&amp;DF$6,'Job Master'!$F$12:$I$102,4,0),DO454-VLOOKUP($P454&amp;" | "&amp;DF$6,'Job Master'!$F$12:$I$102,4,0)-1),""),"")</f>
        <v/>
      </c>
      <c r="DI454" s="73"/>
      <c r="DJ454" s="123" t="str">
        <f t="shared" si="807"/>
        <v/>
      </c>
      <c r="DK454" s="123" t="str">
        <f t="shared" si="808"/>
        <v/>
      </c>
      <c r="DL454" s="97" t="str">
        <f t="shared" ca="1" si="809"/>
        <v/>
      </c>
      <c r="DM454" s="98" t="str">
        <f>IF(DO454&lt;&gt;"",VLOOKUP($P454&amp;" | "&amp;DM$6,'Job Master'!$F$12:$J$102,5,0),"")</f>
        <v/>
      </c>
      <c r="DN454" s="19" t="str">
        <f>IF(DO454&lt;&gt;"",VLOOKUP($P454&amp;" | "&amp;DM$6,'Job Master'!$F$12:$J$102,3,0),"")</f>
        <v/>
      </c>
      <c r="DO454" s="19" t="str">
        <f>IFERROR(IF(AND(DT454&lt;&gt;"",VLOOKUP($P454&amp;" | "&amp;DM$6,'Job Master'!$F$12:$I$102,4,0)&lt;&gt;""),IF(WEEKDAY(DT454-VLOOKUP($P454&amp;" | "&amp;DM$6,'Job Master'!$F$12:$I$102,4,0))&lt;&gt;7,DT454-VLOOKUP($P454&amp;" | "&amp;DM$6,'Job Master'!$F$12:$I$102,4,0),DT454-VLOOKUP($P454&amp;" | "&amp;DM$6,'Job Master'!$F$12:$I$102,4,0)-1),""),"")</f>
        <v/>
      </c>
      <c r="DP454" s="73"/>
      <c r="DQ454" s="123" t="str">
        <f t="shared" si="810"/>
        <v/>
      </c>
      <c r="DR454" s="123" t="str">
        <f t="shared" si="811"/>
        <v/>
      </c>
      <c r="DS454" s="97" t="str">
        <f t="shared" ca="1" si="812"/>
        <v/>
      </c>
      <c r="DT454" s="70" t="str">
        <f t="shared" si="813"/>
        <v/>
      </c>
      <c r="DU454" s="90"/>
      <c r="DV454" s="123" t="str">
        <f t="shared" si="814"/>
        <v/>
      </c>
      <c r="DW454" s="123" t="str">
        <f t="shared" si="815"/>
        <v/>
      </c>
      <c r="DX454" s="132" t="str">
        <f t="shared" ref="DX454" ca="1" si="887">IF(DT454&lt;&gt;"",IF(WEEKNUM(DT454)=WEEKNUM(TODAY()),"This Week",IF(WEEKNUM(DT454)=WEEKNUM(TODAY())+1,"Next Week",IF(WEEKNUM(DT454)=WEEKNUM(TODAY())-1,"Previous Week",""))),"")</f>
        <v/>
      </c>
      <c r="DY454" s="134" t="str">
        <f t="shared" si="817"/>
        <v/>
      </c>
      <c r="DZ454" s="95"/>
      <c r="EB454" s="8" t="str">
        <f t="shared" si="823"/>
        <v/>
      </c>
      <c r="EC454" s="8" t="str">
        <f>IF(O454&lt;&gt;"",VLOOKUP(O454,'Job Master'!$N$12:$O$18,2,0),"")</f>
        <v/>
      </c>
      <c r="ED454" s="8">
        <f t="shared" si="824"/>
        <v>19.5</v>
      </c>
      <c r="EE454" s="8">
        <f t="shared" si="825"/>
        <v>6</v>
      </c>
      <c r="EF454" s="8">
        <f t="shared" si="826"/>
        <v>-2644.5</v>
      </c>
      <c r="EG454" s="8" t="str">
        <f t="shared" si="827"/>
        <v/>
      </c>
      <c r="EH454" s="8" t="str">
        <f t="shared" si="828"/>
        <v/>
      </c>
    </row>
    <row r="455" spans="2:138" x14ac:dyDescent="0.3">
      <c r="B455" s="112"/>
      <c r="C455" s="27"/>
      <c r="D455" s="7" t="str">
        <f t="shared" si="765"/>
        <v/>
      </c>
      <c r="E455" s="25"/>
      <c r="F455" s="7" t="str">
        <f t="shared" si="765"/>
        <v/>
      </c>
      <c r="G455" s="25"/>
      <c r="H455" s="7" t="str">
        <f t="shared" si="765"/>
        <v/>
      </c>
      <c r="I455" s="25"/>
      <c r="J455" s="7" t="str">
        <f t="shared" si="765"/>
        <v/>
      </c>
      <c r="K455" s="25"/>
      <c r="L455" s="7" t="str">
        <f t="shared" si="766"/>
        <v/>
      </c>
      <c r="M455" s="25"/>
      <c r="N455" s="7" t="str">
        <f t="shared" si="767"/>
        <v/>
      </c>
      <c r="O455" s="81"/>
      <c r="P455" s="81" t="str">
        <f t="shared" si="768"/>
        <v/>
      </c>
      <c r="Q455" s="81"/>
      <c r="R455" s="7" t="str">
        <f t="shared" si="769"/>
        <v/>
      </c>
      <c r="S455" s="25"/>
      <c r="T455" s="7" t="str">
        <f t="shared" si="770"/>
        <v/>
      </c>
      <c r="U455" s="25"/>
      <c r="V455" s="7" t="str">
        <f t="shared" si="771"/>
        <v/>
      </c>
      <c r="W455" s="25"/>
      <c r="X455" s="7" t="str">
        <f t="shared" si="772"/>
        <v/>
      </c>
      <c r="Y455" s="18" t="str">
        <f t="shared" si="773"/>
        <v/>
      </c>
      <c r="Z455" s="7" t="str">
        <f t="shared" si="774"/>
        <v/>
      </c>
      <c r="AA455" s="18" t="str">
        <f t="shared" si="775"/>
        <v/>
      </c>
      <c r="AB455" s="19" t="str">
        <f t="shared" si="776"/>
        <v/>
      </c>
      <c r="AC455" s="26"/>
      <c r="AD455" s="26"/>
      <c r="AE455" s="25"/>
      <c r="AF455" s="26"/>
      <c r="AG455" s="25"/>
      <c r="AH455" s="25"/>
      <c r="AI455" s="18" t="str">
        <f t="shared" si="839"/>
        <v/>
      </c>
      <c r="AJ455" s="25"/>
      <c r="AK455" s="18" t="str">
        <f t="shared" si="840"/>
        <v/>
      </c>
      <c r="AL455" s="79"/>
      <c r="AM455" s="126" t="str">
        <f t="shared" si="841"/>
        <v/>
      </c>
      <c r="AN455" s="128" t="str">
        <f>IF(AP455&lt;&gt;"",VLOOKUP($P455&amp;" | "&amp;AN$6,'Job Master'!$F$12:$J$102,5,0),"")</f>
        <v/>
      </c>
      <c r="AO455" s="19" t="str">
        <f>IF(AP455&lt;&gt;"",VLOOKUP($P455&amp;" | "&amp;AN$6,'Job Master'!$F$12:$J$102,3,0),"")</f>
        <v/>
      </c>
      <c r="AP455" s="19" t="str">
        <f>IFERROR(IF(AND(AW455&lt;&gt;"",VLOOKUP($P455&amp;" | "&amp;AN$6,'Job Master'!$F$12:$I$102,4,0)&lt;&gt;""),IF(WEEKDAY(AW455-VLOOKUP($P455&amp;" | "&amp;AN$6,'Job Master'!$F$12:$I$102,4,0))&lt;&gt;7,AW455-VLOOKUP($P455&amp;" | "&amp;AN$6,'Job Master'!$F$12:$I$102,4,0),AW455-VLOOKUP($P455&amp;" | "&amp;AN$6,'Job Master'!$F$12:$I$102,4,0)-1),""),"")</f>
        <v/>
      </c>
      <c r="AQ455" s="73"/>
      <c r="AR455" s="123" t="str">
        <f t="shared" si="777"/>
        <v/>
      </c>
      <c r="AS455" s="123" t="str">
        <f t="shared" si="778"/>
        <v/>
      </c>
      <c r="AT455" s="97" t="str">
        <f t="shared" ca="1" si="779"/>
        <v/>
      </c>
      <c r="AU455" s="98" t="str">
        <f>IF(AW455&lt;&gt;"",VLOOKUP($P455&amp;" | "&amp;AU$6,'Job Master'!$F$12:$J$102,5,0),"")</f>
        <v/>
      </c>
      <c r="AV455" s="19" t="str">
        <f>IF(AW455&lt;&gt;"",VLOOKUP($P455&amp;" | "&amp;AU$6,'Job Master'!$F$12:$J$102,3,0),"")</f>
        <v/>
      </c>
      <c r="AW455" s="19" t="str">
        <f>IFERROR(IF(AND(BD455&lt;&gt;"",VLOOKUP($P455&amp;" | "&amp;AU$6,'Job Master'!$F$12:$I$102,4,0)&lt;&gt;""),IF(WEEKDAY(BD455-VLOOKUP($P455&amp;" | "&amp;AU$6,'Job Master'!$F$12:$I$102,4,0))&lt;&gt;7,BD455-VLOOKUP($P455&amp;" | "&amp;AU$6,'Job Master'!$F$12:$I$102,4,0),BD455-VLOOKUP($P455&amp;" | "&amp;AU$6,'Job Master'!$F$12:$I$102,4,0)-1),""),"")</f>
        <v/>
      </c>
      <c r="AX455" s="73"/>
      <c r="AY455" s="123" t="str">
        <f t="shared" si="780"/>
        <v/>
      </c>
      <c r="AZ455" s="123" t="str">
        <f t="shared" si="781"/>
        <v/>
      </c>
      <c r="BA455" s="97" t="str">
        <f t="shared" ca="1" si="782"/>
        <v/>
      </c>
      <c r="BB455" s="98" t="str">
        <f>IF(BD455&lt;&gt;"",VLOOKUP($P455&amp;" | "&amp;BB$6,'Job Master'!$F$12:$J$102,5,0),"")</f>
        <v/>
      </c>
      <c r="BC455" s="19" t="str">
        <f>IF(BD455&lt;&gt;"",VLOOKUP($P455&amp;" | "&amp;BB$6,'Job Master'!$F$12:$J$102,3,0),"")</f>
        <v/>
      </c>
      <c r="BD455" s="19" t="str">
        <f>IFERROR(IF(AND(BK455&lt;&gt;"",VLOOKUP($P455&amp;" | "&amp;BB$6,'Job Master'!$F$12:$I$102,4,0)&lt;&gt;""),IF(WEEKDAY(BK455-VLOOKUP($P455&amp;" | "&amp;BB$6,'Job Master'!$F$12:$I$102,4,0))&lt;&gt;7,BK455-VLOOKUP($P455&amp;" | "&amp;BB$6,'Job Master'!$F$12:$I$102,4,0),BK455-VLOOKUP($P455&amp;" | "&amp;BB$6,'Job Master'!$F$12:$I$102,4,0)-1),""),"")</f>
        <v/>
      </c>
      <c r="BE455" s="73"/>
      <c r="BF455" s="123" t="str">
        <f t="shared" si="783"/>
        <v/>
      </c>
      <c r="BG455" s="123" t="str">
        <f t="shared" si="784"/>
        <v/>
      </c>
      <c r="BH455" s="97" t="str">
        <f t="shared" ca="1" si="785"/>
        <v/>
      </c>
      <c r="BI455" s="98" t="str">
        <f>IF(BK455&lt;&gt;"",VLOOKUP($P455&amp;" | "&amp;BI$6,'Job Master'!$F$12:$J$102,5,0),"")</f>
        <v/>
      </c>
      <c r="BJ455" s="19" t="str">
        <f>IF(BK455&lt;&gt;"",VLOOKUP($P455&amp;" | "&amp;BI$6,'Job Master'!$F$12:$J$102,3,0),"")</f>
        <v/>
      </c>
      <c r="BK455" s="19" t="str">
        <f>IFERROR(IF(AND(BR455&lt;&gt;"",VLOOKUP($P455&amp;" | "&amp;BI$6,'Job Master'!$F$12:$I$102,4,0)&lt;&gt;""),IF(WEEKDAY(BR455-VLOOKUP($P455&amp;" | "&amp;BI$6,'Job Master'!$F$12:$I$102,4,0))&lt;&gt;7,BR455-VLOOKUP($P455&amp;" | "&amp;BI$6,'Job Master'!$F$12:$I$102,4,0),BR455-VLOOKUP($P455&amp;" | "&amp;BI$6,'Job Master'!$F$12:$I$102,4,0)-1),""),"")</f>
        <v/>
      </c>
      <c r="BL455" s="73"/>
      <c r="BM455" s="123" t="str">
        <f t="shared" si="786"/>
        <v/>
      </c>
      <c r="BN455" s="123" t="str">
        <f t="shared" si="787"/>
        <v/>
      </c>
      <c r="BO455" s="97" t="str">
        <f t="shared" ca="1" si="788"/>
        <v/>
      </c>
      <c r="BP455" s="98" t="str">
        <f>IF(BR455&lt;&gt;"",VLOOKUP($P455&amp;" | "&amp;BP$6,'Job Master'!$F$12:$J$102,5,0),"")</f>
        <v/>
      </c>
      <c r="BQ455" s="19" t="str">
        <f>IF(BR455&lt;&gt;"",VLOOKUP($P455&amp;" | "&amp;BP$6,'Job Master'!$F$12:$J$102,3,0),"")</f>
        <v/>
      </c>
      <c r="BR455" s="19" t="str">
        <f>IFERROR(IF(AND(BY455&lt;&gt;"",VLOOKUP($P455&amp;" | "&amp;BP$6,'Job Master'!$F$12:$I$102,4,0)&lt;&gt;""),IF(WEEKDAY(BY455-VLOOKUP($P455&amp;" | "&amp;BP$6,'Job Master'!$F$12:$I$102,4,0))&lt;&gt;7,BY455-VLOOKUP($P455&amp;" | "&amp;BP$6,'Job Master'!$F$12:$I$102,4,0),BY455-VLOOKUP($P455&amp;" | "&amp;BP$6,'Job Master'!$F$12:$I$102,4,0)-1),""),"")</f>
        <v/>
      </c>
      <c r="BS455" s="73"/>
      <c r="BT455" s="123" t="str">
        <f t="shared" si="789"/>
        <v/>
      </c>
      <c r="BU455" s="123" t="str">
        <f t="shared" si="790"/>
        <v/>
      </c>
      <c r="BV455" s="97" t="str">
        <f t="shared" ca="1" si="791"/>
        <v/>
      </c>
      <c r="BW455" s="98" t="str">
        <f>IF(BY455&lt;&gt;"",VLOOKUP($P455&amp;" | "&amp;BW$6,'Job Master'!$F$12:$J$102,5,0),"")</f>
        <v/>
      </c>
      <c r="BX455" s="19" t="str">
        <f>IF(BY455&lt;&gt;"",VLOOKUP($P455&amp;" | "&amp;BW$6,'Job Master'!$F$12:$J$102,3,0),"")</f>
        <v/>
      </c>
      <c r="BY455" s="19" t="str">
        <f>IFERROR(IF(AND(CF455&lt;&gt;"",VLOOKUP($P455&amp;" | "&amp;BW$6,'Job Master'!$F$12:$I$102,4,0)&lt;&gt;""),IF(WEEKDAY(CF455-VLOOKUP($P455&amp;" | "&amp;BW$6,'Job Master'!$F$12:$I$102,4,0))&lt;&gt;7,CF455-VLOOKUP($P455&amp;" | "&amp;BW$6,'Job Master'!$F$12:$I$102,4,0),CF455-VLOOKUP($P455&amp;" | "&amp;BW$6,'Job Master'!$F$12:$I$102,4,0)-1),""),"")</f>
        <v/>
      </c>
      <c r="BZ455" s="73"/>
      <c r="CA455" s="123" t="str">
        <f t="shared" si="792"/>
        <v/>
      </c>
      <c r="CB455" s="123" t="str">
        <f t="shared" si="793"/>
        <v/>
      </c>
      <c r="CC455" s="97" t="str">
        <f t="shared" ca="1" si="794"/>
        <v/>
      </c>
      <c r="CD455" s="98" t="str">
        <f>IF(CF455&lt;&gt;"",VLOOKUP($P455&amp;" | "&amp;CD$6,'Job Master'!$F$12:$J$102,5,0),"")</f>
        <v/>
      </c>
      <c r="CE455" s="19" t="str">
        <f>IF(CF455&lt;&gt;"",VLOOKUP($P455&amp;" | "&amp;CD$6,'Job Master'!$F$12:$J$102,3,0),"")</f>
        <v/>
      </c>
      <c r="CF455" s="19" t="str">
        <f>IFERROR(IF(AND(CM455&lt;&gt;"",VLOOKUP($P455&amp;" | "&amp;CD$6,'Job Master'!$F$12:$I$102,4,0)&lt;&gt;""),IF(WEEKDAY(CM455-VLOOKUP($P455&amp;" | "&amp;CD$6,'Job Master'!$F$12:$I$102,4,0))&lt;&gt;7,CM455-VLOOKUP($P455&amp;" | "&amp;CD$6,'Job Master'!$F$12:$I$102,4,0),CM455-VLOOKUP($P455&amp;" | "&amp;CD$6,'Job Master'!$F$12:$I$102,4,0)-1),""),"")</f>
        <v/>
      </c>
      <c r="CG455" s="73"/>
      <c r="CH455" s="123" t="str">
        <f t="shared" si="795"/>
        <v/>
      </c>
      <c r="CI455" s="123" t="str">
        <f t="shared" si="796"/>
        <v/>
      </c>
      <c r="CJ455" s="97" t="str">
        <f t="shared" ca="1" si="797"/>
        <v/>
      </c>
      <c r="CK455" s="98" t="str">
        <f>IF(CM455&lt;&gt;"",VLOOKUP($P455&amp;" | "&amp;CK$6,'Job Master'!$F$12:$J$102,5,0),"")</f>
        <v/>
      </c>
      <c r="CL455" s="19" t="str">
        <f>IF(CM455&lt;&gt;"",VLOOKUP($P455&amp;" | "&amp;CK$6,'Job Master'!$F$12:$J$102,3,0),"")</f>
        <v/>
      </c>
      <c r="CM455" s="19" t="str">
        <f>IFERROR(IF(AND(CT455&lt;&gt;"",VLOOKUP($P455&amp;" | "&amp;CK$6,'Job Master'!$F$12:$I$102,4,0)&lt;&gt;""),IF(WEEKDAY(CT455-VLOOKUP($P455&amp;" | "&amp;CK$6,'Job Master'!$F$12:$I$102,4,0))&lt;&gt;7,CT455-VLOOKUP($P455&amp;" | "&amp;CK$6,'Job Master'!$F$12:$I$102,4,0),CT455-VLOOKUP($P455&amp;" | "&amp;CK$6,'Job Master'!$F$12:$I$102,4,0)-1),""),"")</f>
        <v/>
      </c>
      <c r="CN455" s="73"/>
      <c r="CO455" s="123" t="str">
        <f t="shared" si="798"/>
        <v/>
      </c>
      <c r="CP455" s="123" t="str">
        <f t="shared" si="799"/>
        <v/>
      </c>
      <c r="CQ455" s="97" t="str">
        <f t="shared" ca="1" si="800"/>
        <v/>
      </c>
      <c r="CR455" s="98" t="str">
        <f>IF(CT455&lt;&gt;"",VLOOKUP($P455&amp;" | "&amp;CR$6,'Job Master'!$F$12:$J$102,5,0),"")</f>
        <v/>
      </c>
      <c r="CS455" s="19" t="str">
        <f>IF(CT455&lt;&gt;"",VLOOKUP($P455&amp;" | "&amp;CR$6,'Job Master'!$F$12:$J$102,3,0),"")</f>
        <v/>
      </c>
      <c r="CT455" s="19" t="str">
        <f>IFERROR(IF(AND(DA455&lt;&gt;"",VLOOKUP($P455&amp;" | "&amp;CR$6,'Job Master'!$F$12:$I$102,4,0)&lt;&gt;""),IF(WEEKDAY(DA455-VLOOKUP($P455&amp;" | "&amp;CR$6,'Job Master'!$F$12:$I$102,4,0))&lt;&gt;7,DA455-VLOOKUP($P455&amp;" | "&amp;CR$6,'Job Master'!$F$12:$I$102,4,0),DA455-VLOOKUP($P455&amp;" | "&amp;CR$6,'Job Master'!$F$12:$I$102,4,0)-1),""),"")</f>
        <v/>
      </c>
      <c r="CU455" s="73"/>
      <c r="CV455" s="123" t="str">
        <f t="shared" si="801"/>
        <v/>
      </c>
      <c r="CW455" s="123" t="str">
        <f t="shared" si="802"/>
        <v/>
      </c>
      <c r="CX455" s="97" t="str">
        <f t="shared" ca="1" si="803"/>
        <v/>
      </c>
      <c r="CY455" s="98" t="str">
        <f>IF(DA455&lt;&gt;"",VLOOKUP($P455&amp;" | "&amp;CY$6,'Job Master'!$F$12:$J$102,5,0),"")</f>
        <v/>
      </c>
      <c r="CZ455" s="19" t="str">
        <f>IF(DA455&lt;&gt;"",VLOOKUP($P455&amp;" | "&amp;CY$6,'Job Master'!$F$12:$J$102,3,0),"")</f>
        <v/>
      </c>
      <c r="DA455" s="19" t="str">
        <f>IFERROR(IF(AND(DH455&lt;&gt;"",VLOOKUP($P455&amp;" | "&amp;CY$6,'Job Master'!$F$12:$I$102,4,0)&lt;&gt;""),IF(WEEKDAY(DH455-VLOOKUP($P455&amp;" | "&amp;CY$6,'Job Master'!$F$12:$I$102,4,0))&lt;&gt;7,DH455-VLOOKUP($P455&amp;" | "&amp;CY$6,'Job Master'!$F$12:$I$102,4,0),DH455-VLOOKUP($P455&amp;" | "&amp;CY$6,'Job Master'!$F$12:$I$102,4,0)-1),""),"")</f>
        <v/>
      </c>
      <c r="DB455" s="73"/>
      <c r="DC455" s="123" t="str">
        <f t="shared" si="804"/>
        <v/>
      </c>
      <c r="DD455" s="123" t="str">
        <f t="shared" si="805"/>
        <v/>
      </c>
      <c r="DE455" s="97" t="str">
        <f t="shared" ca="1" si="806"/>
        <v/>
      </c>
      <c r="DF455" s="98" t="str">
        <f>IF(DH455&lt;&gt;"",VLOOKUP($P455&amp;" | "&amp;DF$6,'Job Master'!$F$12:$J$102,5,0),"")</f>
        <v/>
      </c>
      <c r="DG455" s="19" t="str">
        <f>IF(DH455&lt;&gt;"",VLOOKUP($P455&amp;" | "&amp;DF$6,'Job Master'!$F$12:$J$102,3,0),"")</f>
        <v/>
      </c>
      <c r="DH455" s="19" t="str">
        <f>IFERROR(IF(AND(DO455&lt;&gt;"",VLOOKUP($P455&amp;" | "&amp;DF$6,'Job Master'!$F$12:$I$102,4,0)&lt;&gt;""),IF(WEEKDAY(DO455-VLOOKUP($P455&amp;" | "&amp;DF$6,'Job Master'!$F$12:$I$102,4,0))&lt;&gt;7,DO455-VLOOKUP($P455&amp;" | "&amp;DF$6,'Job Master'!$F$12:$I$102,4,0),DO455-VLOOKUP($P455&amp;" | "&amp;DF$6,'Job Master'!$F$12:$I$102,4,0)-1),""),"")</f>
        <v/>
      </c>
      <c r="DI455" s="73"/>
      <c r="DJ455" s="123" t="str">
        <f t="shared" si="807"/>
        <v/>
      </c>
      <c r="DK455" s="123" t="str">
        <f t="shared" si="808"/>
        <v/>
      </c>
      <c r="DL455" s="97" t="str">
        <f t="shared" ca="1" si="809"/>
        <v/>
      </c>
      <c r="DM455" s="98" t="str">
        <f>IF(DO455&lt;&gt;"",VLOOKUP($P455&amp;" | "&amp;DM$6,'Job Master'!$F$12:$J$102,5,0),"")</f>
        <v/>
      </c>
      <c r="DN455" s="19" t="str">
        <f>IF(DO455&lt;&gt;"",VLOOKUP($P455&amp;" | "&amp;DM$6,'Job Master'!$F$12:$J$102,3,0),"")</f>
        <v/>
      </c>
      <c r="DO455" s="19" t="str">
        <f>IFERROR(IF(AND(DT455&lt;&gt;"",VLOOKUP($P455&amp;" | "&amp;DM$6,'Job Master'!$F$12:$I$102,4,0)&lt;&gt;""),IF(WEEKDAY(DT455-VLOOKUP($P455&amp;" | "&amp;DM$6,'Job Master'!$F$12:$I$102,4,0))&lt;&gt;7,DT455-VLOOKUP($P455&amp;" | "&amp;DM$6,'Job Master'!$F$12:$I$102,4,0),DT455-VLOOKUP($P455&amp;" | "&amp;DM$6,'Job Master'!$F$12:$I$102,4,0)-1),""),"")</f>
        <v/>
      </c>
      <c r="DP455" s="73"/>
      <c r="DQ455" s="123" t="str">
        <f t="shared" si="810"/>
        <v/>
      </c>
      <c r="DR455" s="123" t="str">
        <f t="shared" si="811"/>
        <v/>
      </c>
      <c r="DS455" s="97" t="str">
        <f t="shared" ca="1" si="812"/>
        <v/>
      </c>
      <c r="DT455" s="70" t="str">
        <f t="shared" si="813"/>
        <v/>
      </c>
      <c r="DU455" s="90"/>
      <c r="DV455" s="123" t="str">
        <f t="shared" si="814"/>
        <v/>
      </c>
      <c r="DW455" s="123" t="str">
        <f t="shared" si="815"/>
        <v/>
      </c>
      <c r="DX455" s="132" t="str">
        <f t="shared" ref="DX455" ca="1" si="888">IF(DT455&lt;&gt;"",IF(WEEKNUM(DT455)=WEEKNUM(TODAY()),"This Week",IF(WEEKNUM(DT455)=WEEKNUM(TODAY())+1,"Next Week",IF(WEEKNUM(DT455)=WEEKNUM(TODAY())-1,"Previous Week",""))),"")</f>
        <v/>
      </c>
      <c r="DY455" s="134" t="str">
        <f t="shared" si="817"/>
        <v/>
      </c>
      <c r="DZ455" s="95"/>
      <c r="EB455" s="8" t="str">
        <f t="shared" si="823"/>
        <v/>
      </c>
      <c r="EC455" s="8" t="str">
        <f>IF(O455&lt;&gt;"",VLOOKUP(O455,'Job Master'!$N$12:$O$18,2,0),"")</f>
        <v/>
      </c>
      <c r="ED455" s="8">
        <f t="shared" si="824"/>
        <v>19.5</v>
      </c>
      <c r="EE455" s="8">
        <f t="shared" si="825"/>
        <v>6</v>
      </c>
      <c r="EF455" s="8">
        <f t="shared" si="826"/>
        <v>-2650.5</v>
      </c>
      <c r="EG455" s="8" t="str">
        <f t="shared" si="827"/>
        <v/>
      </c>
      <c r="EH455" s="8" t="str">
        <f t="shared" si="828"/>
        <v/>
      </c>
    </row>
    <row r="456" spans="2:138" x14ac:dyDescent="0.3">
      <c r="B456" s="112"/>
      <c r="C456" s="27"/>
      <c r="D456" s="7" t="str">
        <f t="shared" si="765"/>
        <v/>
      </c>
      <c r="E456" s="25"/>
      <c r="F456" s="7" t="str">
        <f t="shared" si="765"/>
        <v/>
      </c>
      <c r="G456" s="25"/>
      <c r="H456" s="7" t="str">
        <f t="shared" si="765"/>
        <v/>
      </c>
      <c r="I456" s="25"/>
      <c r="J456" s="7" t="str">
        <f t="shared" ref="J456" si="889">IF(IF(I456&lt;&gt;"",I456,IF($AA456&lt;&gt;"",J455,""))&lt;&gt;0,IF(I456&lt;&gt;"",I456,IF($AA456&lt;&gt;"",J455,"")),"")</f>
        <v/>
      </c>
      <c r="K456" s="25"/>
      <c r="L456" s="7" t="str">
        <f t="shared" si="766"/>
        <v/>
      </c>
      <c r="M456" s="25"/>
      <c r="N456" s="7" t="str">
        <f t="shared" si="767"/>
        <v/>
      </c>
      <c r="O456" s="81"/>
      <c r="P456" s="81" t="str">
        <f t="shared" si="768"/>
        <v/>
      </c>
      <c r="Q456" s="81"/>
      <c r="R456" s="7" t="str">
        <f t="shared" si="769"/>
        <v/>
      </c>
      <c r="S456" s="25"/>
      <c r="T456" s="7" t="str">
        <f t="shared" si="770"/>
        <v/>
      </c>
      <c r="U456" s="25"/>
      <c r="V456" s="7" t="str">
        <f t="shared" si="771"/>
        <v/>
      </c>
      <c r="W456" s="25"/>
      <c r="X456" s="7" t="str">
        <f t="shared" si="772"/>
        <v/>
      </c>
      <c r="Y456" s="18" t="str">
        <f t="shared" si="773"/>
        <v/>
      </c>
      <c r="Z456" s="7" t="str">
        <f t="shared" si="774"/>
        <v/>
      </c>
      <c r="AA456" s="18" t="str">
        <f t="shared" si="775"/>
        <v/>
      </c>
      <c r="AB456" s="19" t="str">
        <f t="shared" si="776"/>
        <v/>
      </c>
      <c r="AC456" s="26"/>
      <c r="AD456" s="26"/>
      <c r="AE456" s="25"/>
      <c r="AF456" s="26"/>
      <c r="AG456" s="25"/>
      <c r="AH456" s="25"/>
      <c r="AI456" s="18" t="str">
        <f t="shared" si="839"/>
        <v/>
      </c>
      <c r="AJ456" s="25"/>
      <c r="AK456" s="18" t="str">
        <f t="shared" si="840"/>
        <v/>
      </c>
      <c r="AL456" s="79"/>
      <c r="AM456" s="126" t="str">
        <f t="shared" si="841"/>
        <v/>
      </c>
      <c r="AN456" s="128" t="str">
        <f>IF(AP456&lt;&gt;"",VLOOKUP($P456&amp;" | "&amp;AN$6,'Job Master'!$F$12:$J$102,5,0),"")</f>
        <v/>
      </c>
      <c r="AO456" s="19" t="str">
        <f>IF(AP456&lt;&gt;"",VLOOKUP($P456&amp;" | "&amp;AN$6,'Job Master'!$F$12:$J$102,3,0),"")</f>
        <v/>
      </c>
      <c r="AP456" s="19" t="str">
        <f>IFERROR(IF(AND(AW456&lt;&gt;"",VLOOKUP($P456&amp;" | "&amp;AN$6,'Job Master'!$F$12:$I$102,4,0)&lt;&gt;""),IF(WEEKDAY(AW456-VLOOKUP($P456&amp;" | "&amp;AN$6,'Job Master'!$F$12:$I$102,4,0))&lt;&gt;7,AW456-VLOOKUP($P456&amp;" | "&amp;AN$6,'Job Master'!$F$12:$I$102,4,0),AW456-VLOOKUP($P456&amp;" | "&amp;AN$6,'Job Master'!$F$12:$I$102,4,0)-1),""),"")</f>
        <v/>
      </c>
      <c r="AQ456" s="73"/>
      <c r="AR456" s="123" t="str">
        <f t="shared" si="777"/>
        <v/>
      </c>
      <c r="AS456" s="123" t="str">
        <f t="shared" si="778"/>
        <v/>
      </c>
      <c r="AT456" s="97" t="str">
        <f t="shared" ca="1" si="779"/>
        <v/>
      </c>
      <c r="AU456" s="98" t="str">
        <f>IF(AW456&lt;&gt;"",VLOOKUP($P456&amp;" | "&amp;AU$6,'Job Master'!$F$12:$J$102,5,0),"")</f>
        <v/>
      </c>
      <c r="AV456" s="19" t="str">
        <f>IF(AW456&lt;&gt;"",VLOOKUP($P456&amp;" | "&amp;AU$6,'Job Master'!$F$12:$J$102,3,0),"")</f>
        <v/>
      </c>
      <c r="AW456" s="19" t="str">
        <f>IFERROR(IF(AND(BD456&lt;&gt;"",VLOOKUP($P456&amp;" | "&amp;AU$6,'Job Master'!$F$12:$I$102,4,0)&lt;&gt;""),IF(WEEKDAY(BD456-VLOOKUP($P456&amp;" | "&amp;AU$6,'Job Master'!$F$12:$I$102,4,0))&lt;&gt;7,BD456-VLOOKUP($P456&amp;" | "&amp;AU$6,'Job Master'!$F$12:$I$102,4,0),BD456-VLOOKUP($P456&amp;" | "&amp;AU$6,'Job Master'!$F$12:$I$102,4,0)-1),""),"")</f>
        <v/>
      </c>
      <c r="AX456" s="73"/>
      <c r="AY456" s="123" t="str">
        <f t="shared" si="780"/>
        <v/>
      </c>
      <c r="AZ456" s="123" t="str">
        <f t="shared" si="781"/>
        <v/>
      </c>
      <c r="BA456" s="97" t="str">
        <f t="shared" ca="1" si="782"/>
        <v/>
      </c>
      <c r="BB456" s="98" t="str">
        <f>IF(BD456&lt;&gt;"",VLOOKUP($P456&amp;" | "&amp;BB$6,'Job Master'!$F$12:$J$102,5,0),"")</f>
        <v/>
      </c>
      <c r="BC456" s="19" t="str">
        <f>IF(BD456&lt;&gt;"",VLOOKUP($P456&amp;" | "&amp;BB$6,'Job Master'!$F$12:$J$102,3,0),"")</f>
        <v/>
      </c>
      <c r="BD456" s="19" t="str">
        <f>IFERROR(IF(AND(BK456&lt;&gt;"",VLOOKUP($P456&amp;" | "&amp;BB$6,'Job Master'!$F$12:$I$102,4,0)&lt;&gt;""),IF(WEEKDAY(BK456-VLOOKUP($P456&amp;" | "&amp;BB$6,'Job Master'!$F$12:$I$102,4,0))&lt;&gt;7,BK456-VLOOKUP($P456&amp;" | "&amp;BB$6,'Job Master'!$F$12:$I$102,4,0),BK456-VLOOKUP($P456&amp;" | "&amp;BB$6,'Job Master'!$F$12:$I$102,4,0)-1),""),"")</f>
        <v/>
      </c>
      <c r="BE456" s="73"/>
      <c r="BF456" s="123" t="str">
        <f t="shared" si="783"/>
        <v/>
      </c>
      <c r="BG456" s="123" t="str">
        <f t="shared" si="784"/>
        <v/>
      </c>
      <c r="BH456" s="97" t="str">
        <f t="shared" ca="1" si="785"/>
        <v/>
      </c>
      <c r="BI456" s="98" t="str">
        <f>IF(BK456&lt;&gt;"",VLOOKUP($P456&amp;" | "&amp;BI$6,'Job Master'!$F$12:$J$102,5,0),"")</f>
        <v/>
      </c>
      <c r="BJ456" s="19" t="str">
        <f>IF(BK456&lt;&gt;"",VLOOKUP($P456&amp;" | "&amp;BI$6,'Job Master'!$F$12:$J$102,3,0),"")</f>
        <v/>
      </c>
      <c r="BK456" s="19" t="str">
        <f>IFERROR(IF(AND(BR456&lt;&gt;"",VLOOKUP($P456&amp;" | "&amp;BI$6,'Job Master'!$F$12:$I$102,4,0)&lt;&gt;""),IF(WEEKDAY(BR456-VLOOKUP($P456&amp;" | "&amp;BI$6,'Job Master'!$F$12:$I$102,4,0))&lt;&gt;7,BR456-VLOOKUP($P456&amp;" | "&amp;BI$6,'Job Master'!$F$12:$I$102,4,0),BR456-VLOOKUP($P456&amp;" | "&amp;BI$6,'Job Master'!$F$12:$I$102,4,0)-1),""),"")</f>
        <v/>
      </c>
      <c r="BL456" s="73"/>
      <c r="BM456" s="123" t="str">
        <f t="shared" si="786"/>
        <v/>
      </c>
      <c r="BN456" s="123" t="str">
        <f t="shared" si="787"/>
        <v/>
      </c>
      <c r="BO456" s="97" t="str">
        <f t="shared" ca="1" si="788"/>
        <v/>
      </c>
      <c r="BP456" s="98" t="str">
        <f>IF(BR456&lt;&gt;"",VLOOKUP($P456&amp;" | "&amp;BP$6,'Job Master'!$F$12:$J$102,5,0),"")</f>
        <v/>
      </c>
      <c r="BQ456" s="19" t="str">
        <f>IF(BR456&lt;&gt;"",VLOOKUP($P456&amp;" | "&amp;BP$6,'Job Master'!$F$12:$J$102,3,0),"")</f>
        <v/>
      </c>
      <c r="BR456" s="19" t="str">
        <f>IFERROR(IF(AND(BY456&lt;&gt;"",VLOOKUP($P456&amp;" | "&amp;BP$6,'Job Master'!$F$12:$I$102,4,0)&lt;&gt;""),IF(WEEKDAY(BY456-VLOOKUP($P456&amp;" | "&amp;BP$6,'Job Master'!$F$12:$I$102,4,0))&lt;&gt;7,BY456-VLOOKUP($P456&amp;" | "&amp;BP$6,'Job Master'!$F$12:$I$102,4,0),BY456-VLOOKUP($P456&amp;" | "&amp;BP$6,'Job Master'!$F$12:$I$102,4,0)-1),""),"")</f>
        <v/>
      </c>
      <c r="BS456" s="73"/>
      <c r="BT456" s="123" t="str">
        <f t="shared" si="789"/>
        <v/>
      </c>
      <c r="BU456" s="123" t="str">
        <f t="shared" si="790"/>
        <v/>
      </c>
      <c r="BV456" s="97" t="str">
        <f t="shared" ca="1" si="791"/>
        <v/>
      </c>
      <c r="BW456" s="98" t="str">
        <f>IF(BY456&lt;&gt;"",VLOOKUP($P456&amp;" | "&amp;BW$6,'Job Master'!$F$12:$J$102,5,0),"")</f>
        <v/>
      </c>
      <c r="BX456" s="19" t="str">
        <f>IF(BY456&lt;&gt;"",VLOOKUP($P456&amp;" | "&amp;BW$6,'Job Master'!$F$12:$J$102,3,0),"")</f>
        <v/>
      </c>
      <c r="BY456" s="19" t="str">
        <f>IFERROR(IF(AND(CF456&lt;&gt;"",VLOOKUP($P456&amp;" | "&amp;BW$6,'Job Master'!$F$12:$I$102,4,0)&lt;&gt;""),IF(WEEKDAY(CF456-VLOOKUP($P456&amp;" | "&amp;BW$6,'Job Master'!$F$12:$I$102,4,0))&lt;&gt;7,CF456-VLOOKUP($P456&amp;" | "&amp;BW$6,'Job Master'!$F$12:$I$102,4,0),CF456-VLOOKUP($P456&amp;" | "&amp;BW$6,'Job Master'!$F$12:$I$102,4,0)-1),""),"")</f>
        <v/>
      </c>
      <c r="BZ456" s="73"/>
      <c r="CA456" s="123" t="str">
        <f t="shared" si="792"/>
        <v/>
      </c>
      <c r="CB456" s="123" t="str">
        <f t="shared" si="793"/>
        <v/>
      </c>
      <c r="CC456" s="97" t="str">
        <f t="shared" ca="1" si="794"/>
        <v/>
      </c>
      <c r="CD456" s="98" t="str">
        <f>IF(CF456&lt;&gt;"",VLOOKUP($P456&amp;" | "&amp;CD$6,'Job Master'!$F$12:$J$102,5,0),"")</f>
        <v/>
      </c>
      <c r="CE456" s="19" t="str">
        <f>IF(CF456&lt;&gt;"",VLOOKUP($P456&amp;" | "&amp;CD$6,'Job Master'!$F$12:$J$102,3,0),"")</f>
        <v/>
      </c>
      <c r="CF456" s="19" t="str">
        <f>IFERROR(IF(AND(CM456&lt;&gt;"",VLOOKUP($P456&amp;" | "&amp;CD$6,'Job Master'!$F$12:$I$102,4,0)&lt;&gt;""),IF(WEEKDAY(CM456-VLOOKUP($P456&amp;" | "&amp;CD$6,'Job Master'!$F$12:$I$102,4,0))&lt;&gt;7,CM456-VLOOKUP($P456&amp;" | "&amp;CD$6,'Job Master'!$F$12:$I$102,4,0),CM456-VLOOKUP($P456&amp;" | "&amp;CD$6,'Job Master'!$F$12:$I$102,4,0)-1),""),"")</f>
        <v/>
      </c>
      <c r="CG456" s="73"/>
      <c r="CH456" s="123" t="str">
        <f t="shared" si="795"/>
        <v/>
      </c>
      <c r="CI456" s="123" t="str">
        <f t="shared" si="796"/>
        <v/>
      </c>
      <c r="CJ456" s="97" t="str">
        <f t="shared" ca="1" si="797"/>
        <v/>
      </c>
      <c r="CK456" s="98" t="str">
        <f>IF(CM456&lt;&gt;"",VLOOKUP($P456&amp;" | "&amp;CK$6,'Job Master'!$F$12:$J$102,5,0),"")</f>
        <v/>
      </c>
      <c r="CL456" s="19" t="str">
        <f>IF(CM456&lt;&gt;"",VLOOKUP($P456&amp;" | "&amp;CK$6,'Job Master'!$F$12:$J$102,3,0),"")</f>
        <v/>
      </c>
      <c r="CM456" s="19" t="str">
        <f>IFERROR(IF(AND(CT456&lt;&gt;"",VLOOKUP($P456&amp;" | "&amp;CK$6,'Job Master'!$F$12:$I$102,4,0)&lt;&gt;""),IF(WEEKDAY(CT456-VLOOKUP($P456&amp;" | "&amp;CK$6,'Job Master'!$F$12:$I$102,4,0))&lt;&gt;7,CT456-VLOOKUP($P456&amp;" | "&amp;CK$6,'Job Master'!$F$12:$I$102,4,0),CT456-VLOOKUP($P456&amp;" | "&amp;CK$6,'Job Master'!$F$12:$I$102,4,0)-1),""),"")</f>
        <v/>
      </c>
      <c r="CN456" s="73"/>
      <c r="CO456" s="123" t="str">
        <f t="shared" si="798"/>
        <v/>
      </c>
      <c r="CP456" s="123" t="str">
        <f t="shared" si="799"/>
        <v/>
      </c>
      <c r="CQ456" s="97" t="str">
        <f t="shared" ca="1" si="800"/>
        <v/>
      </c>
      <c r="CR456" s="98" t="str">
        <f>IF(CT456&lt;&gt;"",VLOOKUP($P456&amp;" | "&amp;CR$6,'Job Master'!$F$12:$J$102,5,0),"")</f>
        <v/>
      </c>
      <c r="CS456" s="19" t="str">
        <f>IF(CT456&lt;&gt;"",VLOOKUP($P456&amp;" | "&amp;CR$6,'Job Master'!$F$12:$J$102,3,0),"")</f>
        <v/>
      </c>
      <c r="CT456" s="19" t="str">
        <f>IFERROR(IF(AND(DA456&lt;&gt;"",VLOOKUP($P456&amp;" | "&amp;CR$6,'Job Master'!$F$12:$I$102,4,0)&lt;&gt;""),IF(WEEKDAY(DA456-VLOOKUP($P456&amp;" | "&amp;CR$6,'Job Master'!$F$12:$I$102,4,0))&lt;&gt;7,DA456-VLOOKUP($P456&amp;" | "&amp;CR$6,'Job Master'!$F$12:$I$102,4,0),DA456-VLOOKUP($P456&amp;" | "&amp;CR$6,'Job Master'!$F$12:$I$102,4,0)-1),""),"")</f>
        <v/>
      </c>
      <c r="CU456" s="73"/>
      <c r="CV456" s="123" t="str">
        <f t="shared" si="801"/>
        <v/>
      </c>
      <c r="CW456" s="123" t="str">
        <f t="shared" si="802"/>
        <v/>
      </c>
      <c r="CX456" s="97" t="str">
        <f t="shared" ca="1" si="803"/>
        <v/>
      </c>
      <c r="CY456" s="98" t="str">
        <f>IF(DA456&lt;&gt;"",VLOOKUP($P456&amp;" | "&amp;CY$6,'Job Master'!$F$12:$J$102,5,0),"")</f>
        <v/>
      </c>
      <c r="CZ456" s="19" t="str">
        <f>IF(DA456&lt;&gt;"",VLOOKUP($P456&amp;" | "&amp;CY$6,'Job Master'!$F$12:$J$102,3,0),"")</f>
        <v/>
      </c>
      <c r="DA456" s="19" t="str">
        <f>IFERROR(IF(AND(DH456&lt;&gt;"",VLOOKUP($P456&amp;" | "&amp;CY$6,'Job Master'!$F$12:$I$102,4,0)&lt;&gt;""),IF(WEEKDAY(DH456-VLOOKUP($P456&amp;" | "&amp;CY$6,'Job Master'!$F$12:$I$102,4,0))&lt;&gt;7,DH456-VLOOKUP($P456&amp;" | "&amp;CY$6,'Job Master'!$F$12:$I$102,4,0),DH456-VLOOKUP($P456&amp;" | "&amp;CY$6,'Job Master'!$F$12:$I$102,4,0)-1),""),"")</f>
        <v/>
      </c>
      <c r="DB456" s="73"/>
      <c r="DC456" s="123" t="str">
        <f t="shared" si="804"/>
        <v/>
      </c>
      <c r="DD456" s="123" t="str">
        <f t="shared" si="805"/>
        <v/>
      </c>
      <c r="DE456" s="97" t="str">
        <f t="shared" ca="1" si="806"/>
        <v/>
      </c>
      <c r="DF456" s="98" t="str">
        <f>IF(DH456&lt;&gt;"",VLOOKUP($P456&amp;" | "&amp;DF$6,'Job Master'!$F$12:$J$102,5,0),"")</f>
        <v/>
      </c>
      <c r="DG456" s="19" t="str">
        <f>IF(DH456&lt;&gt;"",VLOOKUP($P456&amp;" | "&amp;DF$6,'Job Master'!$F$12:$J$102,3,0),"")</f>
        <v/>
      </c>
      <c r="DH456" s="19" t="str">
        <f>IFERROR(IF(AND(DO456&lt;&gt;"",VLOOKUP($P456&amp;" | "&amp;DF$6,'Job Master'!$F$12:$I$102,4,0)&lt;&gt;""),IF(WEEKDAY(DO456-VLOOKUP($P456&amp;" | "&amp;DF$6,'Job Master'!$F$12:$I$102,4,0))&lt;&gt;7,DO456-VLOOKUP($P456&amp;" | "&amp;DF$6,'Job Master'!$F$12:$I$102,4,0),DO456-VLOOKUP($P456&amp;" | "&amp;DF$6,'Job Master'!$F$12:$I$102,4,0)-1),""),"")</f>
        <v/>
      </c>
      <c r="DI456" s="73"/>
      <c r="DJ456" s="123" t="str">
        <f t="shared" si="807"/>
        <v/>
      </c>
      <c r="DK456" s="123" t="str">
        <f t="shared" si="808"/>
        <v/>
      </c>
      <c r="DL456" s="97" t="str">
        <f t="shared" ca="1" si="809"/>
        <v/>
      </c>
      <c r="DM456" s="98" t="str">
        <f>IF(DO456&lt;&gt;"",VLOOKUP($P456&amp;" | "&amp;DM$6,'Job Master'!$F$12:$J$102,5,0),"")</f>
        <v/>
      </c>
      <c r="DN456" s="19" t="str">
        <f>IF(DO456&lt;&gt;"",VLOOKUP($P456&amp;" | "&amp;DM$6,'Job Master'!$F$12:$J$102,3,0),"")</f>
        <v/>
      </c>
      <c r="DO456" s="19" t="str">
        <f>IFERROR(IF(AND(DT456&lt;&gt;"",VLOOKUP($P456&amp;" | "&amp;DM$6,'Job Master'!$F$12:$I$102,4,0)&lt;&gt;""),IF(WEEKDAY(DT456-VLOOKUP($P456&amp;" | "&amp;DM$6,'Job Master'!$F$12:$I$102,4,0))&lt;&gt;7,DT456-VLOOKUP($P456&amp;" | "&amp;DM$6,'Job Master'!$F$12:$I$102,4,0),DT456-VLOOKUP($P456&amp;" | "&amp;DM$6,'Job Master'!$F$12:$I$102,4,0)-1),""),"")</f>
        <v/>
      </c>
      <c r="DP456" s="73"/>
      <c r="DQ456" s="123" t="str">
        <f t="shared" si="810"/>
        <v/>
      </c>
      <c r="DR456" s="123" t="str">
        <f t="shared" si="811"/>
        <v/>
      </c>
      <c r="DS456" s="97" t="str">
        <f t="shared" ca="1" si="812"/>
        <v/>
      </c>
      <c r="DT456" s="70" t="str">
        <f t="shared" si="813"/>
        <v/>
      </c>
      <c r="DU456" s="90"/>
      <c r="DV456" s="123" t="str">
        <f t="shared" si="814"/>
        <v/>
      </c>
      <c r="DW456" s="123" t="str">
        <f t="shared" si="815"/>
        <v/>
      </c>
      <c r="DX456" s="132" t="str">
        <f t="shared" ref="DX456" ca="1" si="890">IF(DT456&lt;&gt;"",IF(WEEKNUM(DT456)=WEEKNUM(TODAY()),"This Week",IF(WEEKNUM(DT456)=WEEKNUM(TODAY())+1,"Next Week",IF(WEEKNUM(DT456)=WEEKNUM(TODAY())-1,"Previous Week",""))),"")</f>
        <v/>
      </c>
      <c r="DY456" s="134" t="str">
        <f t="shared" si="817"/>
        <v/>
      </c>
      <c r="DZ456" s="95"/>
      <c r="EB456" s="8" t="str">
        <f t="shared" si="823"/>
        <v/>
      </c>
      <c r="EC456" s="8" t="str">
        <f>IF(O456&lt;&gt;"",VLOOKUP(O456,'Job Master'!$N$12:$O$18,2,0),"")</f>
        <v/>
      </c>
      <c r="ED456" s="8">
        <f t="shared" si="824"/>
        <v>19.5</v>
      </c>
      <c r="EE456" s="8">
        <f t="shared" si="825"/>
        <v>6</v>
      </c>
      <c r="EF456" s="8">
        <f t="shared" si="826"/>
        <v>-2656.5</v>
      </c>
      <c r="EG456" s="8" t="str">
        <f t="shared" si="827"/>
        <v/>
      </c>
      <c r="EH456" s="8" t="str">
        <f t="shared" si="828"/>
        <v/>
      </c>
    </row>
    <row r="457" spans="2:138" x14ac:dyDescent="0.3">
      <c r="B457" s="112"/>
      <c r="C457" s="27"/>
      <c r="D457" s="7" t="str">
        <f t="shared" ref="D457:N500" si="891">IF(IF(C457&lt;&gt;"",C457,IF($AA457&lt;&gt;"",D456,""))&lt;&gt;0,IF(C457&lt;&gt;"",C457,IF($AA457&lt;&gt;"",D456,"")),"")</f>
        <v/>
      </c>
      <c r="E457" s="25"/>
      <c r="F457" s="7" t="str">
        <f t="shared" si="891"/>
        <v/>
      </c>
      <c r="G457" s="25"/>
      <c r="H457" s="7" t="str">
        <f t="shared" si="891"/>
        <v/>
      </c>
      <c r="I457" s="25"/>
      <c r="J457" s="7" t="str">
        <f t="shared" si="891"/>
        <v/>
      </c>
      <c r="K457" s="25"/>
      <c r="L457" s="7" t="str">
        <f t="shared" si="891"/>
        <v/>
      </c>
      <c r="M457" s="25"/>
      <c r="N457" s="7" t="str">
        <f t="shared" si="891"/>
        <v/>
      </c>
      <c r="O457" s="81"/>
      <c r="P457" s="81" t="str">
        <f t="shared" ref="P457:P500" si="892">IF(IF(O457&lt;&gt;"",O457,IF($AA457&lt;&gt;"",P456,""))&lt;&gt;0,IF(O457&lt;&gt;"",O457,IF($AA457&lt;&gt;"",P456,"")),"")</f>
        <v/>
      </c>
      <c r="Q457" s="81"/>
      <c r="R457" s="7" t="str">
        <f t="shared" ref="R457:R500" si="893">IF(IF(Q457&lt;&gt;"",Q457,IF($AA457&lt;&gt;"",R456,""))&lt;&gt;0,IF(Q457&lt;&gt;"",Q457,IF($AA457&lt;&gt;"",R456,"")),"")</f>
        <v/>
      </c>
      <c r="S457" s="25"/>
      <c r="T457" s="7" t="str">
        <f t="shared" ref="T457:T500" si="894">IF(IF(S457&lt;&gt;"",S457,IF($AA457&lt;&gt;"",T456,""))&lt;&gt;0,IF(S457&lt;&gt;"",S457,IF($AA457&lt;&gt;"",T456,"")),"")</f>
        <v/>
      </c>
      <c r="U457" s="25"/>
      <c r="V457" s="7" t="str">
        <f t="shared" ref="V457:V500" si="895">IF(IF(U457&lt;&gt;"",U457,IF($AA457&lt;&gt;"",V456,""))&lt;&gt;0,IF(U457&lt;&gt;"",U457,IF($AA457&lt;&gt;"",V456,"")),"")</f>
        <v/>
      </c>
      <c r="W457" s="25"/>
      <c r="X457" s="7" t="str">
        <f t="shared" ref="X457:X500" si="896">IF(IF(W457&lt;&gt;"",W457,IF($AA457&lt;&gt;"",X456,""))&lt;&gt;0,IF(W457&lt;&gt;"",W457,IF($AA457&lt;&gt;"",X456,"")),"")</f>
        <v/>
      </c>
      <c r="Y457" s="18" t="str">
        <f t="shared" ref="Y457:Y500" si="897">IF(AND(W457&lt;&gt;"",U457&lt;&gt;""),U457*W457,"")</f>
        <v/>
      </c>
      <c r="Z457" s="7" t="str">
        <f t="shared" ref="Z457:Z500" si="898">IF(IF(Y457&lt;&gt;"",Y457,IF($AA457&lt;&gt;"",Z456,""))&lt;&gt;0,IF(Y457&lt;&gt;"",Y457,IF($AA457&lt;&gt;"",Z456,"")),"")</f>
        <v/>
      </c>
      <c r="AA457" s="18" t="str">
        <f t="shared" ref="AA457:AA500" si="899">IF(EH457&lt;&gt;"",EH457,"")</f>
        <v/>
      </c>
      <c r="AB457" s="19" t="str">
        <f t="shared" ref="AB457:AB500" si="900">IF(AA457&lt;&gt;"",IF(WEEKDAY(IF(AF457&lt;&gt;"",AF457,IF(AD457&lt;&gt;"",AD457,IF(AC457&lt;&gt;"",AC457,IF(AND(AC457="",AD457="",AF457="",AA457&lt;&gt;""),AB456-1,"")))))&lt;&gt;7,IF(AF457&lt;&gt;"",AF457,IF(AD457&lt;&gt;"",AD457,IF(AC457&lt;&gt;"",AC457,IF(AND(AC457="",AD457="",AF457="",AA457&lt;&gt;""),AB456-1,"")))),IF(AF457&lt;&gt;"",AF457,IF(AD457&lt;&gt;"",AD457,IF(AC457&lt;&gt;"",AC457,IF(AND(AC457="",AD457="",AF457="",AA457&lt;&gt;""),AB456-1,""))))-1),"")</f>
        <v/>
      </c>
      <c r="AC457" s="26"/>
      <c r="AD457" s="26"/>
      <c r="AE457" s="25"/>
      <c r="AF457" s="26"/>
      <c r="AG457" s="25"/>
      <c r="AH457" s="25"/>
      <c r="AI457" s="18" t="str">
        <f t="shared" si="839"/>
        <v/>
      </c>
      <c r="AJ457" s="25"/>
      <c r="AK457" s="18" t="str">
        <f t="shared" si="840"/>
        <v/>
      </c>
      <c r="AL457" s="79"/>
      <c r="AM457" s="126" t="str">
        <f t="shared" si="841"/>
        <v/>
      </c>
      <c r="AN457" s="128" t="str">
        <f>IF(AP457&lt;&gt;"",VLOOKUP($P457&amp;" | "&amp;AN$6,'Job Master'!$F$12:$J$102,5,0),"")</f>
        <v/>
      </c>
      <c r="AO457" s="19" t="str">
        <f>IF(AP457&lt;&gt;"",VLOOKUP($P457&amp;" | "&amp;AN$6,'Job Master'!$F$12:$J$102,3,0),"")</f>
        <v/>
      </c>
      <c r="AP457" s="19" t="str">
        <f>IFERROR(IF(AND(AW457&lt;&gt;"",VLOOKUP($P457&amp;" | "&amp;AN$6,'Job Master'!$F$12:$I$102,4,0)&lt;&gt;""),IF(WEEKDAY(AW457-VLOOKUP($P457&amp;" | "&amp;AN$6,'Job Master'!$F$12:$I$102,4,0))&lt;&gt;7,AW457-VLOOKUP($P457&amp;" | "&amp;AN$6,'Job Master'!$F$12:$I$102,4,0),AW457-VLOOKUP($P457&amp;" | "&amp;AN$6,'Job Master'!$F$12:$I$102,4,0)-1),""),"")</f>
        <v/>
      </c>
      <c r="AQ457" s="73"/>
      <c r="AR457" s="123" t="str">
        <f t="shared" ref="AR457:AR500" si="901">IF(AP457&lt;&gt;"",MONTH(AP457),"")</f>
        <v/>
      </c>
      <c r="AS457" s="123" t="str">
        <f t="shared" ref="AS457:AS500" si="902">IF(AND(AQ457&lt;&gt;"",AP457&lt;&gt;""),IF(AQ457&gt;AP457,"Delayed",IF(AQ457=AP457,"On Time",IF(AQ457&lt;AP457,"In Advance"))),"")</f>
        <v/>
      </c>
      <c r="AT457" s="97" t="str">
        <f t="shared" ref="AT457:AT500" ca="1" si="903">IF(AP457&lt;&gt;"",IF(WEEKNUM(AP457)=WEEKNUM(TODAY()),"This Week",IF(WEEKNUM(AP457)=WEEKNUM(TODAY())+1,"Next Week",IF(WEEKNUM(AP457)=WEEKNUM(TODAY())-1,"Previous Week",""))),"")</f>
        <v/>
      </c>
      <c r="AU457" s="98" t="str">
        <f>IF(AW457&lt;&gt;"",VLOOKUP($P457&amp;" | "&amp;AU$6,'Job Master'!$F$12:$J$102,5,0),"")</f>
        <v/>
      </c>
      <c r="AV457" s="19" t="str">
        <f>IF(AW457&lt;&gt;"",VLOOKUP($P457&amp;" | "&amp;AU$6,'Job Master'!$F$12:$J$102,3,0),"")</f>
        <v/>
      </c>
      <c r="AW457" s="19" t="str">
        <f>IFERROR(IF(AND(BD457&lt;&gt;"",VLOOKUP($P457&amp;" | "&amp;AU$6,'Job Master'!$F$12:$I$102,4,0)&lt;&gt;""),IF(WEEKDAY(BD457-VLOOKUP($P457&amp;" | "&amp;AU$6,'Job Master'!$F$12:$I$102,4,0))&lt;&gt;7,BD457-VLOOKUP($P457&amp;" | "&amp;AU$6,'Job Master'!$F$12:$I$102,4,0),BD457-VLOOKUP($P457&amp;" | "&amp;AU$6,'Job Master'!$F$12:$I$102,4,0)-1),""),"")</f>
        <v/>
      </c>
      <c r="AX457" s="73"/>
      <c r="AY457" s="123" t="str">
        <f t="shared" ref="AY457:AY500" si="904">IF(AW457&lt;&gt;"",MONTH(AW457),"")</f>
        <v/>
      </c>
      <c r="AZ457" s="123" t="str">
        <f t="shared" ref="AZ457:AZ500" si="905">IF(AND(AX457&lt;&gt;"",AW457&lt;&gt;""),IF(AX457&gt;AW457,"Delayed",IF(AX457=AW457,"On Time",IF(AX457&lt;AW457,"In Advance"))),"")</f>
        <v/>
      </c>
      <c r="BA457" s="97" t="str">
        <f t="shared" ref="BA457:BA500" ca="1" si="906">IF(AW457&lt;&gt;"",IF(WEEKNUM(AW457)=WEEKNUM(TODAY()),"This Week",IF(WEEKNUM(AW457)=WEEKNUM(TODAY())+1,"Next Week",IF(WEEKNUM(AW457)=WEEKNUM(TODAY())-1,"Previous Week",""))),"")</f>
        <v/>
      </c>
      <c r="BB457" s="98" t="str">
        <f>IF(BD457&lt;&gt;"",VLOOKUP($P457&amp;" | "&amp;BB$6,'Job Master'!$F$12:$J$102,5,0),"")</f>
        <v/>
      </c>
      <c r="BC457" s="19" t="str">
        <f>IF(BD457&lt;&gt;"",VLOOKUP($P457&amp;" | "&amp;BB$6,'Job Master'!$F$12:$J$102,3,0),"")</f>
        <v/>
      </c>
      <c r="BD457" s="19" t="str">
        <f>IFERROR(IF(AND(BK457&lt;&gt;"",VLOOKUP($P457&amp;" | "&amp;BB$6,'Job Master'!$F$12:$I$102,4,0)&lt;&gt;""),IF(WEEKDAY(BK457-VLOOKUP($P457&amp;" | "&amp;BB$6,'Job Master'!$F$12:$I$102,4,0))&lt;&gt;7,BK457-VLOOKUP($P457&amp;" | "&amp;BB$6,'Job Master'!$F$12:$I$102,4,0),BK457-VLOOKUP($P457&amp;" | "&amp;BB$6,'Job Master'!$F$12:$I$102,4,0)-1),""),"")</f>
        <v/>
      </c>
      <c r="BE457" s="73"/>
      <c r="BF457" s="123" t="str">
        <f t="shared" ref="BF457:BF500" si="907">IF(BD457&lt;&gt;"",MONTH(BD457),"")</f>
        <v/>
      </c>
      <c r="BG457" s="123" t="str">
        <f t="shared" ref="BG457:BG500" si="908">IF(AND(BE457&lt;&gt;"",BD457&lt;&gt;""),IF(BE457&gt;BD457,"Delayed",IF(BE457=BD457,"On Time",IF(BE457&lt;BD457,"In Advance"))),"")</f>
        <v/>
      </c>
      <c r="BH457" s="97" t="str">
        <f t="shared" ref="BH457:BH500" ca="1" si="909">IF(BD457&lt;&gt;"",IF(WEEKNUM(BD457)=WEEKNUM(TODAY()),"This Week",IF(WEEKNUM(BD457)=WEEKNUM(TODAY())+1,"Next Week",IF(WEEKNUM(BD457)=WEEKNUM(TODAY())-1,"Previous Week",""))),"")</f>
        <v/>
      </c>
      <c r="BI457" s="98" t="str">
        <f>IF(BK457&lt;&gt;"",VLOOKUP($P457&amp;" | "&amp;BI$6,'Job Master'!$F$12:$J$102,5,0),"")</f>
        <v/>
      </c>
      <c r="BJ457" s="19" t="str">
        <f>IF(BK457&lt;&gt;"",VLOOKUP($P457&amp;" | "&amp;BI$6,'Job Master'!$F$12:$J$102,3,0),"")</f>
        <v/>
      </c>
      <c r="BK457" s="19" t="str">
        <f>IFERROR(IF(AND(BR457&lt;&gt;"",VLOOKUP($P457&amp;" | "&amp;BI$6,'Job Master'!$F$12:$I$102,4,0)&lt;&gt;""),IF(WEEKDAY(BR457-VLOOKUP($P457&amp;" | "&amp;BI$6,'Job Master'!$F$12:$I$102,4,0))&lt;&gt;7,BR457-VLOOKUP($P457&amp;" | "&amp;BI$6,'Job Master'!$F$12:$I$102,4,0),BR457-VLOOKUP($P457&amp;" | "&amp;BI$6,'Job Master'!$F$12:$I$102,4,0)-1),""),"")</f>
        <v/>
      </c>
      <c r="BL457" s="73"/>
      <c r="BM457" s="123" t="str">
        <f t="shared" ref="BM457:BM500" si="910">IF(BK457&lt;&gt;"",MONTH(BK457),"")</f>
        <v/>
      </c>
      <c r="BN457" s="123" t="str">
        <f t="shared" ref="BN457:BN500" si="911">IF(AND(BL457&lt;&gt;"",BK457&lt;&gt;""),IF(BL457&gt;BK457,"Delayed",IF(BL457=BK457,"On Time",IF(BL457&lt;BK457,"In Advance"))),"")</f>
        <v/>
      </c>
      <c r="BO457" s="97" t="str">
        <f t="shared" ref="BO457:BO500" ca="1" si="912">IF(BK457&lt;&gt;"",IF(WEEKNUM(BK457)=WEEKNUM(TODAY()),"This Week",IF(WEEKNUM(BK457)=WEEKNUM(TODAY())+1,"Next Week",IF(WEEKNUM(BK457)=WEEKNUM(TODAY())-1,"Previous Week",""))),"")</f>
        <v/>
      </c>
      <c r="BP457" s="98" t="str">
        <f>IF(BR457&lt;&gt;"",VLOOKUP($P457&amp;" | "&amp;BP$6,'Job Master'!$F$12:$J$102,5,0),"")</f>
        <v/>
      </c>
      <c r="BQ457" s="19" t="str">
        <f>IF(BR457&lt;&gt;"",VLOOKUP($P457&amp;" | "&amp;BP$6,'Job Master'!$F$12:$J$102,3,0),"")</f>
        <v/>
      </c>
      <c r="BR457" s="19" t="str">
        <f>IFERROR(IF(AND(BY457&lt;&gt;"",VLOOKUP($P457&amp;" | "&amp;BP$6,'Job Master'!$F$12:$I$102,4,0)&lt;&gt;""),IF(WEEKDAY(BY457-VLOOKUP($P457&amp;" | "&amp;BP$6,'Job Master'!$F$12:$I$102,4,0))&lt;&gt;7,BY457-VLOOKUP($P457&amp;" | "&amp;BP$6,'Job Master'!$F$12:$I$102,4,0),BY457-VLOOKUP($P457&amp;" | "&amp;BP$6,'Job Master'!$F$12:$I$102,4,0)-1),""),"")</f>
        <v/>
      </c>
      <c r="BS457" s="73"/>
      <c r="BT457" s="123" t="str">
        <f t="shared" ref="BT457:BT500" si="913">IF(BR457&lt;&gt;"",MONTH(BR457),"")</f>
        <v/>
      </c>
      <c r="BU457" s="123" t="str">
        <f t="shared" ref="BU457:BU500" si="914">IF(AND(BS457&lt;&gt;"",BR457&lt;&gt;""),IF(BS457&gt;BR457,"Delayed",IF(BS457=BR457,"On Time",IF(BS457&lt;BR457,"In Advance"))),"")</f>
        <v/>
      </c>
      <c r="BV457" s="97" t="str">
        <f t="shared" ref="BV457:BV500" ca="1" si="915">IF(BR457&lt;&gt;"",IF(WEEKNUM(BR457)=WEEKNUM(TODAY()),"This Week",IF(WEEKNUM(BR457)=WEEKNUM(TODAY())+1,"Next Week",IF(WEEKNUM(BR457)=WEEKNUM(TODAY())-1,"Previous Week",""))),"")</f>
        <v/>
      </c>
      <c r="BW457" s="98" t="str">
        <f>IF(BY457&lt;&gt;"",VLOOKUP($P457&amp;" | "&amp;BW$6,'Job Master'!$F$12:$J$102,5,0),"")</f>
        <v/>
      </c>
      <c r="BX457" s="19" t="str">
        <f>IF(BY457&lt;&gt;"",VLOOKUP($P457&amp;" | "&amp;BW$6,'Job Master'!$F$12:$J$102,3,0),"")</f>
        <v/>
      </c>
      <c r="BY457" s="19" t="str">
        <f>IFERROR(IF(AND(CF457&lt;&gt;"",VLOOKUP($P457&amp;" | "&amp;BW$6,'Job Master'!$F$12:$I$102,4,0)&lt;&gt;""),IF(WEEKDAY(CF457-VLOOKUP($P457&amp;" | "&amp;BW$6,'Job Master'!$F$12:$I$102,4,0))&lt;&gt;7,CF457-VLOOKUP($P457&amp;" | "&amp;BW$6,'Job Master'!$F$12:$I$102,4,0),CF457-VLOOKUP($P457&amp;" | "&amp;BW$6,'Job Master'!$F$12:$I$102,4,0)-1),""),"")</f>
        <v/>
      </c>
      <c r="BZ457" s="73"/>
      <c r="CA457" s="123" t="str">
        <f t="shared" ref="CA457:CA500" si="916">IF(BY457&lt;&gt;"",MONTH(BY457),"")</f>
        <v/>
      </c>
      <c r="CB457" s="123" t="str">
        <f t="shared" ref="CB457:CB500" si="917">IF(AND(BZ457&lt;&gt;"",BY457&lt;&gt;""),IF(BZ457&gt;BY457,"Delayed",IF(BZ457=BY457,"On Time",IF(BZ457&lt;BY457,"In Advance"))),"")</f>
        <v/>
      </c>
      <c r="CC457" s="97" t="str">
        <f t="shared" ref="CC457:CC500" ca="1" si="918">IF(BY457&lt;&gt;"",IF(WEEKNUM(BY457)=WEEKNUM(TODAY()),"This Week",IF(WEEKNUM(BY457)=WEEKNUM(TODAY())+1,"Next Week",IF(WEEKNUM(BY457)=WEEKNUM(TODAY())-1,"Previous Week",""))),"")</f>
        <v/>
      </c>
      <c r="CD457" s="98" t="str">
        <f>IF(CF457&lt;&gt;"",VLOOKUP($P457&amp;" | "&amp;CD$6,'Job Master'!$F$12:$J$102,5,0),"")</f>
        <v/>
      </c>
      <c r="CE457" s="19" t="str">
        <f>IF(CF457&lt;&gt;"",VLOOKUP($P457&amp;" | "&amp;CD$6,'Job Master'!$F$12:$J$102,3,0),"")</f>
        <v/>
      </c>
      <c r="CF457" s="19" t="str">
        <f>IFERROR(IF(AND(CM457&lt;&gt;"",VLOOKUP($P457&amp;" | "&amp;CD$6,'Job Master'!$F$12:$I$102,4,0)&lt;&gt;""),IF(WEEKDAY(CM457-VLOOKUP($P457&amp;" | "&amp;CD$6,'Job Master'!$F$12:$I$102,4,0))&lt;&gt;7,CM457-VLOOKUP($P457&amp;" | "&amp;CD$6,'Job Master'!$F$12:$I$102,4,0),CM457-VLOOKUP($P457&amp;" | "&amp;CD$6,'Job Master'!$F$12:$I$102,4,0)-1),""),"")</f>
        <v/>
      </c>
      <c r="CG457" s="73"/>
      <c r="CH457" s="123" t="str">
        <f t="shared" ref="CH457:CH500" si="919">IF(CF457&lt;&gt;"",MONTH(CF457),"")</f>
        <v/>
      </c>
      <c r="CI457" s="123" t="str">
        <f t="shared" ref="CI457:CI500" si="920">IF(AND(CG457&lt;&gt;"",CF457&lt;&gt;""),IF(CG457&gt;CF457,"Delayed",IF(CG457=CF457,"On Time",IF(CG457&lt;CF457,"In Advance"))),"")</f>
        <v/>
      </c>
      <c r="CJ457" s="97" t="str">
        <f t="shared" ref="CJ457:CJ500" ca="1" si="921">IF(CF457&lt;&gt;"",IF(WEEKNUM(CF457)=WEEKNUM(TODAY()),"This Week",IF(WEEKNUM(CF457)=WEEKNUM(TODAY())+1,"Next Week",IF(WEEKNUM(CF457)=WEEKNUM(TODAY())-1,"Previous Week",""))),"")</f>
        <v/>
      </c>
      <c r="CK457" s="98" t="str">
        <f>IF(CM457&lt;&gt;"",VLOOKUP($P457&amp;" | "&amp;CK$6,'Job Master'!$F$12:$J$102,5,0),"")</f>
        <v/>
      </c>
      <c r="CL457" s="19" t="str">
        <f>IF(CM457&lt;&gt;"",VLOOKUP($P457&amp;" | "&amp;CK$6,'Job Master'!$F$12:$J$102,3,0),"")</f>
        <v/>
      </c>
      <c r="CM457" s="19" t="str">
        <f>IFERROR(IF(AND(CT457&lt;&gt;"",VLOOKUP($P457&amp;" | "&amp;CK$6,'Job Master'!$F$12:$I$102,4,0)&lt;&gt;""),IF(WEEKDAY(CT457-VLOOKUP($P457&amp;" | "&amp;CK$6,'Job Master'!$F$12:$I$102,4,0))&lt;&gt;7,CT457-VLOOKUP($P457&amp;" | "&amp;CK$6,'Job Master'!$F$12:$I$102,4,0),CT457-VLOOKUP($P457&amp;" | "&amp;CK$6,'Job Master'!$F$12:$I$102,4,0)-1),""),"")</f>
        <v/>
      </c>
      <c r="CN457" s="73"/>
      <c r="CO457" s="123" t="str">
        <f t="shared" ref="CO457:CO500" si="922">IF(CM457&lt;&gt;"",MONTH(CM457),"")</f>
        <v/>
      </c>
      <c r="CP457" s="123" t="str">
        <f t="shared" ref="CP457:CP500" si="923">IF(AND(CN457&lt;&gt;"",CM457&lt;&gt;""),IF(CN457&gt;CM457,"Delayed",IF(CN457=CM457,"On Time",IF(CN457&lt;CM457,"In Advance"))),"")</f>
        <v/>
      </c>
      <c r="CQ457" s="97" t="str">
        <f t="shared" ref="CQ457:CQ500" ca="1" si="924">IF(CM457&lt;&gt;"",IF(WEEKNUM(CM457)=WEEKNUM(TODAY()),"This Week",IF(WEEKNUM(CM457)=WEEKNUM(TODAY())+1,"Next Week",IF(WEEKNUM(CM457)=WEEKNUM(TODAY())-1,"Previous Week",""))),"")</f>
        <v/>
      </c>
      <c r="CR457" s="98" t="str">
        <f>IF(CT457&lt;&gt;"",VLOOKUP($P457&amp;" | "&amp;CR$6,'Job Master'!$F$12:$J$102,5,0),"")</f>
        <v/>
      </c>
      <c r="CS457" s="19" t="str">
        <f>IF(CT457&lt;&gt;"",VLOOKUP($P457&amp;" | "&amp;CR$6,'Job Master'!$F$12:$J$102,3,0),"")</f>
        <v/>
      </c>
      <c r="CT457" s="19" t="str">
        <f>IFERROR(IF(AND(DA457&lt;&gt;"",VLOOKUP($P457&amp;" | "&amp;CR$6,'Job Master'!$F$12:$I$102,4,0)&lt;&gt;""),IF(WEEKDAY(DA457-VLOOKUP($P457&amp;" | "&amp;CR$6,'Job Master'!$F$12:$I$102,4,0))&lt;&gt;7,DA457-VLOOKUP($P457&amp;" | "&amp;CR$6,'Job Master'!$F$12:$I$102,4,0),DA457-VLOOKUP($P457&amp;" | "&amp;CR$6,'Job Master'!$F$12:$I$102,4,0)-1),""),"")</f>
        <v/>
      </c>
      <c r="CU457" s="73"/>
      <c r="CV457" s="123" t="str">
        <f t="shared" ref="CV457:CV500" si="925">IF(CT457&lt;&gt;"",MONTH(CT457),"")</f>
        <v/>
      </c>
      <c r="CW457" s="123" t="str">
        <f t="shared" ref="CW457:CW500" si="926">IF(AND(CU457&lt;&gt;"",CT457&lt;&gt;""),IF(CU457&gt;CT457,"Delayed",IF(CU457=CT457,"On Time",IF(CU457&lt;CT457,"In Advance"))),"")</f>
        <v/>
      </c>
      <c r="CX457" s="97" t="str">
        <f t="shared" ref="CX457:CX500" ca="1" si="927">IF(CT457&lt;&gt;"",IF(WEEKNUM(CT457)=WEEKNUM(TODAY()),"This Week",IF(WEEKNUM(CT457)=WEEKNUM(TODAY())+1,"Next Week",IF(WEEKNUM(CT457)=WEEKNUM(TODAY())-1,"Previous Week",""))),"")</f>
        <v/>
      </c>
      <c r="CY457" s="98" t="str">
        <f>IF(DA457&lt;&gt;"",VLOOKUP($P457&amp;" | "&amp;CY$6,'Job Master'!$F$12:$J$102,5,0),"")</f>
        <v/>
      </c>
      <c r="CZ457" s="19" t="str">
        <f>IF(DA457&lt;&gt;"",VLOOKUP($P457&amp;" | "&amp;CY$6,'Job Master'!$F$12:$J$102,3,0),"")</f>
        <v/>
      </c>
      <c r="DA457" s="19" t="str">
        <f>IFERROR(IF(AND(DH457&lt;&gt;"",VLOOKUP($P457&amp;" | "&amp;CY$6,'Job Master'!$F$12:$I$102,4,0)&lt;&gt;""),IF(WEEKDAY(DH457-VLOOKUP($P457&amp;" | "&amp;CY$6,'Job Master'!$F$12:$I$102,4,0))&lt;&gt;7,DH457-VLOOKUP($P457&amp;" | "&amp;CY$6,'Job Master'!$F$12:$I$102,4,0),DH457-VLOOKUP($P457&amp;" | "&amp;CY$6,'Job Master'!$F$12:$I$102,4,0)-1),""),"")</f>
        <v/>
      </c>
      <c r="DB457" s="73"/>
      <c r="DC457" s="123" t="str">
        <f t="shared" ref="DC457:DC500" si="928">IF(DA457&lt;&gt;"",MONTH(DA457),"")</f>
        <v/>
      </c>
      <c r="DD457" s="123" t="str">
        <f t="shared" ref="DD457:DD500" si="929">IF(AND(DB457&lt;&gt;"",DA457&lt;&gt;""),IF(DB457&gt;DA457,"Delayed",IF(DB457=DA457,"On Time",IF(DB457&lt;DA457,"In Advance"))),"")</f>
        <v/>
      </c>
      <c r="DE457" s="97" t="str">
        <f t="shared" ref="DE457:DE500" ca="1" si="930">IF(DA457&lt;&gt;"",IF(WEEKNUM(DA457)=WEEKNUM(TODAY()),"This Week",IF(WEEKNUM(DA457)=WEEKNUM(TODAY())+1,"Next Week",IF(WEEKNUM(DA457)=WEEKNUM(TODAY())-1,"Previous Week",""))),"")</f>
        <v/>
      </c>
      <c r="DF457" s="98" t="str">
        <f>IF(DH457&lt;&gt;"",VLOOKUP($P457&amp;" | "&amp;DF$6,'Job Master'!$F$12:$J$102,5,0),"")</f>
        <v/>
      </c>
      <c r="DG457" s="19" t="str">
        <f>IF(DH457&lt;&gt;"",VLOOKUP($P457&amp;" | "&amp;DF$6,'Job Master'!$F$12:$J$102,3,0),"")</f>
        <v/>
      </c>
      <c r="DH457" s="19" t="str">
        <f>IFERROR(IF(AND(DO457&lt;&gt;"",VLOOKUP($P457&amp;" | "&amp;DF$6,'Job Master'!$F$12:$I$102,4,0)&lt;&gt;""),IF(WEEKDAY(DO457-VLOOKUP($P457&amp;" | "&amp;DF$6,'Job Master'!$F$12:$I$102,4,0))&lt;&gt;7,DO457-VLOOKUP($P457&amp;" | "&amp;DF$6,'Job Master'!$F$12:$I$102,4,0),DO457-VLOOKUP($P457&amp;" | "&amp;DF$6,'Job Master'!$F$12:$I$102,4,0)-1),""),"")</f>
        <v/>
      </c>
      <c r="DI457" s="73"/>
      <c r="DJ457" s="123" t="str">
        <f t="shared" ref="DJ457:DJ500" si="931">IF(DH457&lt;&gt;"",MONTH(DH457),"")</f>
        <v/>
      </c>
      <c r="DK457" s="123" t="str">
        <f t="shared" ref="DK457:DK500" si="932">IF(AND(DI457&lt;&gt;"",DH457&lt;&gt;""),IF(DI457&gt;DH457,"Delayed",IF(DI457=DH457,"On Time",IF(DI457&lt;DH457,"In Advance"))),"")</f>
        <v/>
      </c>
      <c r="DL457" s="97" t="str">
        <f t="shared" ref="DL457:DL500" ca="1" si="933">IF(DH457&lt;&gt;"",IF(WEEKNUM(DH457)=WEEKNUM(TODAY()),"This Week",IF(WEEKNUM(DH457)=WEEKNUM(TODAY())+1,"Next Week",IF(WEEKNUM(DH457)=WEEKNUM(TODAY())-1,"Previous Week",""))),"")</f>
        <v/>
      </c>
      <c r="DM457" s="98" t="str">
        <f>IF(DO457&lt;&gt;"",VLOOKUP($P457&amp;" | "&amp;DM$6,'Job Master'!$F$12:$J$102,5,0),"")</f>
        <v/>
      </c>
      <c r="DN457" s="19" t="str">
        <f>IF(DO457&lt;&gt;"",VLOOKUP($P457&amp;" | "&amp;DM$6,'Job Master'!$F$12:$J$102,3,0),"")</f>
        <v/>
      </c>
      <c r="DO457" s="19" t="str">
        <f>IFERROR(IF(AND(DT457&lt;&gt;"",VLOOKUP($P457&amp;" | "&amp;DM$6,'Job Master'!$F$12:$I$102,4,0)&lt;&gt;""),IF(WEEKDAY(DT457-VLOOKUP($P457&amp;" | "&amp;DM$6,'Job Master'!$F$12:$I$102,4,0))&lt;&gt;7,DT457-VLOOKUP($P457&amp;" | "&amp;DM$6,'Job Master'!$F$12:$I$102,4,0),DT457-VLOOKUP($P457&amp;" | "&amp;DM$6,'Job Master'!$F$12:$I$102,4,0)-1),""),"")</f>
        <v/>
      </c>
      <c r="DP457" s="73"/>
      <c r="DQ457" s="123" t="str">
        <f t="shared" ref="DQ457:DQ500" si="934">IF(DO457&lt;&gt;"",MONTH(DO457),"")</f>
        <v/>
      </c>
      <c r="DR457" s="123" t="str">
        <f t="shared" ref="DR457:DR500" si="935">IF(AND(DP457&lt;&gt;"",DO457&lt;&gt;""),IF(DP457&gt;DO457,"Delayed",IF(DP457=DO457,"On Time",IF(DP457&lt;DO457,"In Advance"))),"")</f>
        <v/>
      </c>
      <c r="DS457" s="97" t="str">
        <f t="shared" ref="DS457:DS500" ca="1" si="936">IF(DO457&lt;&gt;"",IF(WEEKNUM(DO457)=WEEKNUM(TODAY()),"This Week",IF(WEEKNUM(DO457)=WEEKNUM(TODAY())+1,"Next Week",IF(WEEKNUM(DO457)=WEEKNUM(TODAY())-1,"Previous Week",""))),"")</f>
        <v/>
      </c>
      <c r="DT457" s="70" t="str">
        <f t="shared" ref="DT457:DT500" si="937">IF(AB457&lt;&gt;"",AB457,"")</f>
        <v/>
      </c>
      <c r="DU457" s="90"/>
      <c r="DV457" s="123" t="str">
        <f t="shared" ref="DV457:DV500" si="938">IF(DT457&lt;&gt;"",MONTH(DT457),"")</f>
        <v/>
      </c>
      <c r="DW457" s="123" t="str">
        <f t="shared" ref="DW457:DW500" si="939">IF(AND(DU457&lt;&gt;"",DT457&lt;&gt;""),IF(DU457&gt;DT457,"Delayed",IF(DU457=DT457,"On Time",IF(DU457&lt;DT457,"In Advance"))),"")</f>
        <v/>
      </c>
      <c r="DX457" s="132" t="str">
        <f t="shared" ref="DX457" ca="1" si="940">IF(DT457&lt;&gt;"",IF(WEEKNUM(DT457)=WEEKNUM(TODAY()),"This Week",IF(WEEKNUM(DT457)=WEEKNUM(TODAY())+1,"Next Week",IF(WEEKNUM(DT457)=WEEKNUM(TODAY())-1,"Previous Week",""))),"")</f>
        <v/>
      </c>
      <c r="DY457" s="134" t="str">
        <f t="shared" ref="DY457:DY500" si="941">IF(AND(DT457&lt;&gt;"",DU457&lt;&gt;""),DU457-DT457,"")</f>
        <v/>
      </c>
      <c r="DZ457" s="95"/>
      <c r="EB457" s="8" t="str">
        <f t="shared" si="823"/>
        <v/>
      </c>
      <c r="EC457" s="8" t="str">
        <f>IF(O457&lt;&gt;"",VLOOKUP(O457,'Job Master'!$N$12:$O$18,2,0),"")</f>
        <v/>
      </c>
      <c r="ED457" s="8">
        <f t="shared" si="824"/>
        <v>19.5</v>
      </c>
      <c r="EE457" s="8">
        <f t="shared" si="825"/>
        <v>6</v>
      </c>
      <c r="EF457" s="8">
        <f t="shared" si="826"/>
        <v>-2662.5</v>
      </c>
      <c r="EG457" s="8" t="str">
        <f t="shared" si="827"/>
        <v/>
      </c>
      <c r="EH457" s="8" t="str">
        <f t="shared" si="828"/>
        <v/>
      </c>
    </row>
    <row r="458" spans="2:138" x14ac:dyDescent="0.3">
      <c r="B458" s="112"/>
      <c r="C458" s="27"/>
      <c r="D458" s="7" t="str">
        <f t="shared" si="891"/>
        <v/>
      </c>
      <c r="E458" s="25"/>
      <c r="F458" s="7" t="str">
        <f t="shared" si="891"/>
        <v/>
      </c>
      <c r="G458" s="25"/>
      <c r="H458" s="7" t="str">
        <f t="shared" si="891"/>
        <v/>
      </c>
      <c r="I458" s="25"/>
      <c r="J458" s="7" t="str">
        <f t="shared" si="891"/>
        <v/>
      </c>
      <c r="K458" s="25"/>
      <c r="L458" s="7" t="str">
        <f t="shared" si="891"/>
        <v/>
      </c>
      <c r="M458" s="25"/>
      <c r="N458" s="7" t="str">
        <f t="shared" si="891"/>
        <v/>
      </c>
      <c r="O458" s="81"/>
      <c r="P458" s="81" t="str">
        <f t="shared" si="892"/>
        <v/>
      </c>
      <c r="Q458" s="81"/>
      <c r="R458" s="7" t="str">
        <f t="shared" si="893"/>
        <v/>
      </c>
      <c r="S458" s="25"/>
      <c r="T458" s="7" t="str">
        <f t="shared" si="894"/>
        <v/>
      </c>
      <c r="U458" s="25"/>
      <c r="V458" s="7" t="str">
        <f t="shared" si="895"/>
        <v/>
      </c>
      <c r="W458" s="25"/>
      <c r="X458" s="7" t="str">
        <f t="shared" si="896"/>
        <v/>
      </c>
      <c r="Y458" s="18" t="str">
        <f t="shared" si="897"/>
        <v/>
      </c>
      <c r="Z458" s="7" t="str">
        <f t="shared" si="898"/>
        <v/>
      </c>
      <c r="AA458" s="18" t="str">
        <f t="shared" si="899"/>
        <v/>
      </c>
      <c r="AB458" s="19" t="str">
        <f t="shared" si="900"/>
        <v/>
      </c>
      <c r="AC458" s="26"/>
      <c r="AD458" s="26"/>
      <c r="AE458" s="25"/>
      <c r="AF458" s="26"/>
      <c r="AG458" s="25"/>
      <c r="AH458" s="25"/>
      <c r="AI458" s="18" t="str">
        <f t="shared" si="839"/>
        <v/>
      </c>
      <c r="AJ458" s="25"/>
      <c r="AK458" s="18" t="str">
        <f t="shared" si="840"/>
        <v/>
      </c>
      <c r="AL458" s="79"/>
      <c r="AM458" s="126" t="str">
        <f t="shared" si="841"/>
        <v/>
      </c>
      <c r="AN458" s="128" t="str">
        <f>IF(AP458&lt;&gt;"",VLOOKUP($P458&amp;" | "&amp;AN$6,'Job Master'!$F$12:$J$102,5,0),"")</f>
        <v/>
      </c>
      <c r="AO458" s="19" t="str">
        <f>IF(AP458&lt;&gt;"",VLOOKUP($P458&amp;" | "&amp;AN$6,'Job Master'!$F$12:$J$102,3,0),"")</f>
        <v/>
      </c>
      <c r="AP458" s="19" t="str">
        <f>IFERROR(IF(AND(AW458&lt;&gt;"",VLOOKUP($P458&amp;" | "&amp;AN$6,'Job Master'!$F$12:$I$102,4,0)&lt;&gt;""),IF(WEEKDAY(AW458-VLOOKUP($P458&amp;" | "&amp;AN$6,'Job Master'!$F$12:$I$102,4,0))&lt;&gt;7,AW458-VLOOKUP($P458&amp;" | "&amp;AN$6,'Job Master'!$F$12:$I$102,4,0),AW458-VLOOKUP($P458&amp;" | "&amp;AN$6,'Job Master'!$F$12:$I$102,4,0)-1),""),"")</f>
        <v/>
      </c>
      <c r="AQ458" s="73"/>
      <c r="AR458" s="123" t="str">
        <f t="shared" si="901"/>
        <v/>
      </c>
      <c r="AS458" s="123" t="str">
        <f t="shared" si="902"/>
        <v/>
      </c>
      <c r="AT458" s="97" t="str">
        <f t="shared" ca="1" si="903"/>
        <v/>
      </c>
      <c r="AU458" s="98" t="str">
        <f>IF(AW458&lt;&gt;"",VLOOKUP($P458&amp;" | "&amp;AU$6,'Job Master'!$F$12:$J$102,5,0),"")</f>
        <v/>
      </c>
      <c r="AV458" s="19" t="str">
        <f>IF(AW458&lt;&gt;"",VLOOKUP($P458&amp;" | "&amp;AU$6,'Job Master'!$F$12:$J$102,3,0),"")</f>
        <v/>
      </c>
      <c r="AW458" s="19" t="str">
        <f>IFERROR(IF(AND(BD458&lt;&gt;"",VLOOKUP($P458&amp;" | "&amp;AU$6,'Job Master'!$F$12:$I$102,4,0)&lt;&gt;""),IF(WEEKDAY(BD458-VLOOKUP($P458&amp;" | "&amp;AU$6,'Job Master'!$F$12:$I$102,4,0))&lt;&gt;7,BD458-VLOOKUP($P458&amp;" | "&amp;AU$6,'Job Master'!$F$12:$I$102,4,0),BD458-VLOOKUP($P458&amp;" | "&amp;AU$6,'Job Master'!$F$12:$I$102,4,0)-1),""),"")</f>
        <v/>
      </c>
      <c r="AX458" s="73"/>
      <c r="AY458" s="123" t="str">
        <f t="shared" si="904"/>
        <v/>
      </c>
      <c r="AZ458" s="123" t="str">
        <f t="shared" si="905"/>
        <v/>
      </c>
      <c r="BA458" s="97" t="str">
        <f t="shared" ca="1" si="906"/>
        <v/>
      </c>
      <c r="BB458" s="98" t="str">
        <f>IF(BD458&lt;&gt;"",VLOOKUP($P458&amp;" | "&amp;BB$6,'Job Master'!$F$12:$J$102,5,0),"")</f>
        <v/>
      </c>
      <c r="BC458" s="19" t="str">
        <f>IF(BD458&lt;&gt;"",VLOOKUP($P458&amp;" | "&amp;BB$6,'Job Master'!$F$12:$J$102,3,0),"")</f>
        <v/>
      </c>
      <c r="BD458" s="19" t="str">
        <f>IFERROR(IF(AND(BK458&lt;&gt;"",VLOOKUP($P458&amp;" | "&amp;BB$6,'Job Master'!$F$12:$I$102,4,0)&lt;&gt;""),IF(WEEKDAY(BK458-VLOOKUP($P458&amp;" | "&amp;BB$6,'Job Master'!$F$12:$I$102,4,0))&lt;&gt;7,BK458-VLOOKUP($P458&amp;" | "&amp;BB$6,'Job Master'!$F$12:$I$102,4,0),BK458-VLOOKUP($P458&amp;" | "&amp;BB$6,'Job Master'!$F$12:$I$102,4,0)-1),""),"")</f>
        <v/>
      </c>
      <c r="BE458" s="73"/>
      <c r="BF458" s="123" t="str">
        <f t="shared" si="907"/>
        <v/>
      </c>
      <c r="BG458" s="123" t="str">
        <f t="shared" si="908"/>
        <v/>
      </c>
      <c r="BH458" s="97" t="str">
        <f t="shared" ca="1" si="909"/>
        <v/>
      </c>
      <c r="BI458" s="98" t="str">
        <f>IF(BK458&lt;&gt;"",VLOOKUP($P458&amp;" | "&amp;BI$6,'Job Master'!$F$12:$J$102,5,0),"")</f>
        <v/>
      </c>
      <c r="BJ458" s="19" t="str">
        <f>IF(BK458&lt;&gt;"",VLOOKUP($P458&amp;" | "&amp;BI$6,'Job Master'!$F$12:$J$102,3,0),"")</f>
        <v/>
      </c>
      <c r="BK458" s="19" t="str">
        <f>IFERROR(IF(AND(BR458&lt;&gt;"",VLOOKUP($P458&amp;" | "&amp;BI$6,'Job Master'!$F$12:$I$102,4,0)&lt;&gt;""),IF(WEEKDAY(BR458-VLOOKUP($P458&amp;" | "&amp;BI$6,'Job Master'!$F$12:$I$102,4,0))&lt;&gt;7,BR458-VLOOKUP($P458&amp;" | "&amp;BI$6,'Job Master'!$F$12:$I$102,4,0),BR458-VLOOKUP($P458&amp;" | "&amp;BI$6,'Job Master'!$F$12:$I$102,4,0)-1),""),"")</f>
        <v/>
      </c>
      <c r="BL458" s="73"/>
      <c r="BM458" s="123" t="str">
        <f t="shared" si="910"/>
        <v/>
      </c>
      <c r="BN458" s="123" t="str">
        <f t="shared" si="911"/>
        <v/>
      </c>
      <c r="BO458" s="97" t="str">
        <f t="shared" ca="1" si="912"/>
        <v/>
      </c>
      <c r="BP458" s="98" t="str">
        <f>IF(BR458&lt;&gt;"",VLOOKUP($P458&amp;" | "&amp;BP$6,'Job Master'!$F$12:$J$102,5,0),"")</f>
        <v/>
      </c>
      <c r="BQ458" s="19" t="str">
        <f>IF(BR458&lt;&gt;"",VLOOKUP($P458&amp;" | "&amp;BP$6,'Job Master'!$F$12:$J$102,3,0),"")</f>
        <v/>
      </c>
      <c r="BR458" s="19" t="str">
        <f>IFERROR(IF(AND(BY458&lt;&gt;"",VLOOKUP($P458&amp;" | "&amp;BP$6,'Job Master'!$F$12:$I$102,4,0)&lt;&gt;""),IF(WEEKDAY(BY458-VLOOKUP($P458&amp;" | "&amp;BP$6,'Job Master'!$F$12:$I$102,4,0))&lt;&gt;7,BY458-VLOOKUP($P458&amp;" | "&amp;BP$6,'Job Master'!$F$12:$I$102,4,0),BY458-VLOOKUP($P458&amp;" | "&amp;BP$6,'Job Master'!$F$12:$I$102,4,0)-1),""),"")</f>
        <v/>
      </c>
      <c r="BS458" s="73"/>
      <c r="BT458" s="123" t="str">
        <f t="shared" si="913"/>
        <v/>
      </c>
      <c r="BU458" s="123" t="str">
        <f t="shared" si="914"/>
        <v/>
      </c>
      <c r="BV458" s="97" t="str">
        <f t="shared" ca="1" si="915"/>
        <v/>
      </c>
      <c r="BW458" s="98" t="str">
        <f>IF(BY458&lt;&gt;"",VLOOKUP($P458&amp;" | "&amp;BW$6,'Job Master'!$F$12:$J$102,5,0),"")</f>
        <v/>
      </c>
      <c r="BX458" s="19" t="str">
        <f>IF(BY458&lt;&gt;"",VLOOKUP($P458&amp;" | "&amp;BW$6,'Job Master'!$F$12:$J$102,3,0),"")</f>
        <v/>
      </c>
      <c r="BY458" s="19" t="str">
        <f>IFERROR(IF(AND(CF458&lt;&gt;"",VLOOKUP($P458&amp;" | "&amp;BW$6,'Job Master'!$F$12:$I$102,4,0)&lt;&gt;""),IF(WEEKDAY(CF458-VLOOKUP($P458&amp;" | "&amp;BW$6,'Job Master'!$F$12:$I$102,4,0))&lt;&gt;7,CF458-VLOOKUP($P458&amp;" | "&amp;BW$6,'Job Master'!$F$12:$I$102,4,0),CF458-VLOOKUP($P458&amp;" | "&amp;BW$6,'Job Master'!$F$12:$I$102,4,0)-1),""),"")</f>
        <v/>
      </c>
      <c r="BZ458" s="73"/>
      <c r="CA458" s="123" t="str">
        <f t="shared" si="916"/>
        <v/>
      </c>
      <c r="CB458" s="123" t="str">
        <f t="shared" si="917"/>
        <v/>
      </c>
      <c r="CC458" s="97" t="str">
        <f t="shared" ca="1" si="918"/>
        <v/>
      </c>
      <c r="CD458" s="98" t="str">
        <f>IF(CF458&lt;&gt;"",VLOOKUP($P458&amp;" | "&amp;CD$6,'Job Master'!$F$12:$J$102,5,0),"")</f>
        <v/>
      </c>
      <c r="CE458" s="19" t="str">
        <f>IF(CF458&lt;&gt;"",VLOOKUP($P458&amp;" | "&amp;CD$6,'Job Master'!$F$12:$J$102,3,0),"")</f>
        <v/>
      </c>
      <c r="CF458" s="19" t="str">
        <f>IFERROR(IF(AND(CM458&lt;&gt;"",VLOOKUP($P458&amp;" | "&amp;CD$6,'Job Master'!$F$12:$I$102,4,0)&lt;&gt;""),IF(WEEKDAY(CM458-VLOOKUP($P458&amp;" | "&amp;CD$6,'Job Master'!$F$12:$I$102,4,0))&lt;&gt;7,CM458-VLOOKUP($P458&amp;" | "&amp;CD$6,'Job Master'!$F$12:$I$102,4,0),CM458-VLOOKUP($P458&amp;" | "&amp;CD$6,'Job Master'!$F$12:$I$102,4,0)-1),""),"")</f>
        <v/>
      </c>
      <c r="CG458" s="73"/>
      <c r="CH458" s="123" t="str">
        <f t="shared" si="919"/>
        <v/>
      </c>
      <c r="CI458" s="123" t="str">
        <f t="shared" si="920"/>
        <v/>
      </c>
      <c r="CJ458" s="97" t="str">
        <f t="shared" ca="1" si="921"/>
        <v/>
      </c>
      <c r="CK458" s="98" t="str">
        <f>IF(CM458&lt;&gt;"",VLOOKUP($P458&amp;" | "&amp;CK$6,'Job Master'!$F$12:$J$102,5,0),"")</f>
        <v/>
      </c>
      <c r="CL458" s="19" t="str">
        <f>IF(CM458&lt;&gt;"",VLOOKUP($P458&amp;" | "&amp;CK$6,'Job Master'!$F$12:$J$102,3,0),"")</f>
        <v/>
      </c>
      <c r="CM458" s="19" t="str">
        <f>IFERROR(IF(AND(CT458&lt;&gt;"",VLOOKUP($P458&amp;" | "&amp;CK$6,'Job Master'!$F$12:$I$102,4,0)&lt;&gt;""),IF(WEEKDAY(CT458-VLOOKUP($P458&amp;" | "&amp;CK$6,'Job Master'!$F$12:$I$102,4,0))&lt;&gt;7,CT458-VLOOKUP($P458&amp;" | "&amp;CK$6,'Job Master'!$F$12:$I$102,4,0),CT458-VLOOKUP($P458&amp;" | "&amp;CK$6,'Job Master'!$F$12:$I$102,4,0)-1),""),"")</f>
        <v/>
      </c>
      <c r="CN458" s="73"/>
      <c r="CO458" s="123" t="str">
        <f t="shared" si="922"/>
        <v/>
      </c>
      <c r="CP458" s="123" t="str">
        <f t="shared" si="923"/>
        <v/>
      </c>
      <c r="CQ458" s="97" t="str">
        <f t="shared" ca="1" si="924"/>
        <v/>
      </c>
      <c r="CR458" s="98" t="str">
        <f>IF(CT458&lt;&gt;"",VLOOKUP($P458&amp;" | "&amp;CR$6,'Job Master'!$F$12:$J$102,5,0),"")</f>
        <v/>
      </c>
      <c r="CS458" s="19" t="str">
        <f>IF(CT458&lt;&gt;"",VLOOKUP($P458&amp;" | "&amp;CR$6,'Job Master'!$F$12:$J$102,3,0),"")</f>
        <v/>
      </c>
      <c r="CT458" s="19" t="str">
        <f>IFERROR(IF(AND(DA458&lt;&gt;"",VLOOKUP($P458&amp;" | "&amp;CR$6,'Job Master'!$F$12:$I$102,4,0)&lt;&gt;""),IF(WEEKDAY(DA458-VLOOKUP($P458&amp;" | "&amp;CR$6,'Job Master'!$F$12:$I$102,4,0))&lt;&gt;7,DA458-VLOOKUP($P458&amp;" | "&amp;CR$6,'Job Master'!$F$12:$I$102,4,0),DA458-VLOOKUP($P458&amp;" | "&amp;CR$6,'Job Master'!$F$12:$I$102,4,0)-1),""),"")</f>
        <v/>
      </c>
      <c r="CU458" s="73"/>
      <c r="CV458" s="123" t="str">
        <f t="shared" si="925"/>
        <v/>
      </c>
      <c r="CW458" s="123" t="str">
        <f t="shared" si="926"/>
        <v/>
      </c>
      <c r="CX458" s="97" t="str">
        <f t="shared" ca="1" si="927"/>
        <v/>
      </c>
      <c r="CY458" s="98" t="str">
        <f>IF(DA458&lt;&gt;"",VLOOKUP($P458&amp;" | "&amp;CY$6,'Job Master'!$F$12:$J$102,5,0),"")</f>
        <v/>
      </c>
      <c r="CZ458" s="19" t="str">
        <f>IF(DA458&lt;&gt;"",VLOOKUP($P458&amp;" | "&amp;CY$6,'Job Master'!$F$12:$J$102,3,0),"")</f>
        <v/>
      </c>
      <c r="DA458" s="19" t="str">
        <f>IFERROR(IF(AND(DH458&lt;&gt;"",VLOOKUP($P458&amp;" | "&amp;CY$6,'Job Master'!$F$12:$I$102,4,0)&lt;&gt;""),IF(WEEKDAY(DH458-VLOOKUP($P458&amp;" | "&amp;CY$6,'Job Master'!$F$12:$I$102,4,0))&lt;&gt;7,DH458-VLOOKUP($P458&amp;" | "&amp;CY$6,'Job Master'!$F$12:$I$102,4,0),DH458-VLOOKUP($P458&amp;" | "&amp;CY$6,'Job Master'!$F$12:$I$102,4,0)-1),""),"")</f>
        <v/>
      </c>
      <c r="DB458" s="73"/>
      <c r="DC458" s="123" t="str">
        <f t="shared" si="928"/>
        <v/>
      </c>
      <c r="DD458" s="123" t="str">
        <f t="shared" si="929"/>
        <v/>
      </c>
      <c r="DE458" s="97" t="str">
        <f t="shared" ca="1" si="930"/>
        <v/>
      </c>
      <c r="DF458" s="98" t="str">
        <f>IF(DH458&lt;&gt;"",VLOOKUP($P458&amp;" | "&amp;DF$6,'Job Master'!$F$12:$J$102,5,0),"")</f>
        <v/>
      </c>
      <c r="DG458" s="19" t="str">
        <f>IF(DH458&lt;&gt;"",VLOOKUP($P458&amp;" | "&amp;DF$6,'Job Master'!$F$12:$J$102,3,0),"")</f>
        <v/>
      </c>
      <c r="DH458" s="19" t="str">
        <f>IFERROR(IF(AND(DO458&lt;&gt;"",VLOOKUP($P458&amp;" | "&amp;DF$6,'Job Master'!$F$12:$I$102,4,0)&lt;&gt;""),IF(WEEKDAY(DO458-VLOOKUP($P458&amp;" | "&amp;DF$6,'Job Master'!$F$12:$I$102,4,0))&lt;&gt;7,DO458-VLOOKUP($P458&amp;" | "&amp;DF$6,'Job Master'!$F$12:$I$102,4,0),DO458-VLOOKUP($P458&amp;" | "&amp;DF$6,'Job Master'!$F$12:$I$102,4,0)-1),""),"")</f>
        <v/>
      </c>
      <c r="DI458" s="73"/>
      <c r="DJ458" s="123" t="str">
        <f t="shared" si="931"/>
        <v/>
      </c>
      <c r="DK458" s="123" t="str">
        <f t="shared" si="932"/>
        <v/>
      </c>
      <c r="DL458" s="97" t="str">
        <f t="shared" ca="1" si="933"/>
        <v/>
      </c>
      <c r="DM458" s="98" t="str">
        <f>IF(DO458&lt;&gt;"",VLOOKUP($P458&amp;" | "&amp;DM$6,'Job Master'!$F$12:$J$102,5,0),"")</f>
        <v/>
      </c>
      <c r="DN458" s="19" t="str">
        <f>IF(DO458&lt;&gt;"",VLOOKUP($P458&amp;" | "&amp;DM$6,'Job Master'!$F$12:$J$102,3,0),"")</f>
        <v/>
      </c>
      <c r="DO458" s="19" t="str">
        <f>IFERROR(IF(AND(DT458&lt;&gt;"",VLOOKUP($P458&amp;" | "&amp;DM$6,'Job Master'!$F$12:$I$102,4,0)&lt;&gt;""),IF(WEEKDAY(DT458-VLOOKUP($P458&amp;" | "&amp;DM$6,'Job Master'!$F$12:$I$102,4,0))&lt;&gt;7,DT458-VLOOKUP($P458&amp;" | "&amp;DM$6,'Job Master'!$F$12:$I$102,4,0),DT458-VLOOKUP($P458&amp;" | "&amp;DM$6,'Job Master'!$F$12:$I$102,4,0)-1),""),"")</f>
        <v/>
      </c>
      <c r="DP458" s="73"/>
      <c r="DQ458" s="123" t="str">
        <f t="shared" si="934"/>
        <v/>
      </c>
      <c r="DR458" s="123" t="str">
        <f t="shared" si="935"/>
        <v/>
      </c>
      <c r="DS458" s="97" t="str">
        <f t="shared" ca="1" si="936"/>
        <v/>
      </c>
      <c r="DT458" s="70" t="str">
        <f t="shared" si="937"/>
        <v/>
      </c>
      <c r="DU458" s="90"/>
      <c r="DV458" s="123" t="str">
        <f t="shared" si="938"/>
        <v/>
      </c>
      <c r="DW458" s="123" t="str">
        <f t="shared" si="939"/>
        <v/>
      </c>
      <c r="DX458" s="132" t="str">
        <f t="shared" ref="DX458" ca="1" si="942">IF(DT458&lt;&gt;"",IF(WEEKNUM(DT458)=WEEKNUM(TODAY()),"This Week",IF(WEEKNUM(DT458)=WEEKNUM(TODAY())+1,"Next Week",IF(WEEKNUM(DT458)=WEEKNUM(TODAY())-1,"Previous Week",""))),"")</f>
        <v/>
      </c>
      <c r="DY458" s="134" t="str">
        <f t="shared" si="941"/>
        <v/>
      </c>
      <c r="DZ458" s="95"/>
      <c r="EB458" s="8" t="str">
        <f t="shared" si="823"/>
        <v/>
      </c>
      <c r="EC458" s="8" t="str">
        <f>IF(O458&lt;&gt;"",VLOOKUP(O458,'Job Master'!$N$12:$O$18,2,0),"")</f>
        <v/>
      </c>
      <c r="ED458" s="8">
        <f t="shared" si="824"/>
        <v>19.5</v>
      </c>
      <c r="EE458" s="8">
        <f t="shared" si="825"/>
        <v>6</v>
      </c>
      <c r="EF458" s="8">
        <f t="shared" si="826"/>
        <v>-2668.5</v>
      </c>
      <c r="EG458" s="8" t="str">
        <f t="shared" si="827"/>
        <v/>
      </c>
      <c r="EH458" s="8" t="str">
        <f t="shared" si="828"/>
        <v/>
      </c>
    </row>
    <row r="459" spans="2:138" x14ac:dyDescent="0.3">
      <c r="B459" s="112"/>
      <c r="C459" s="27"/>
      <c r="D459" s="7" t="str">
        <f t="shared" si="891"/>
        <v/>
      </c>
      <c r="E459" s="25"/>
      <c r="F459" s="7" t="str">
        <f t="shared" si="891"/>
        <v/>
      </c>
      <c r="G459" s="25"/>
      <c r="H459" s="7" t="str">
        <f t="shared" si="891"/>
        <v/>
      </c>
      <c r="I459" s="25"/>
      <c r="J459" s="7" t="str">
        <f t="shared" si="891"/>
        <v/>
      </c>
      <c r="K459" s="25"/>
      <c r="L459" s="7" t="str">
        <f t="shared" si="891"/>
        <v/>
      </c>
      <c r="M459" s="25"/>
      <c r="N459" s="7" t="str">
        <f t="shared" si="891"/>
        <v/>
      </c>
      <c r="O459" s="81"/>
      <c r="P459" s="81" t="str">
        <f t="shared" si="892"/>
        <v/>
      </c>
      <c r="Q459" s="81"/>
      <c r="R459" s="7" t="str">
        <f t="shared" si="893"/>
        <v/>
      </c>
      <c r="S459" s="25"/>
      <c r="T459" s="7" t="str">
        <f t="shared" si="894"/>
        <v/>
      </c>
      <c r="U459" s="25"/>
      <c r="V459" s="7" t="str">
        <f t="shared" si="895"/>
        <v/>
      </c>
      <c r="W459" s="25"/>
      <c r="X459" s="7" t="str">
        <f t="shared" si="896"/>
        <v/>
      </c>
      <c r="Y459" s="18" t="str">
        <f t="shared" si="897"/>
        <v/>
      </c>
      <c r="Z459" s="7" t="str">
        <f t="shared" si="898"/>
        <v/>
      </c>
      <c r="AA459" s="18" t="str">
        <f t="shared" si="899"/>
        <v/>
      </c>
      <c r="AB459" s="19" t="str">
        <f t="shared" si="900"/>
        <v/>
      </c>
      <c r="AC459" s="26"/>
      <c r="AD459" s="26"/>
      <c r="AE459" s="25"/>
      <c r="AF459" s="26"/>
      <c r="AG459" s="25"/>
      <c r="AH459" s="25"/>
      <c r="AI459" s="18" t="str">
        <f t="shared" si="839"/>
        <v/>
      </c>
      <c r="AJ459" s="25"/>
      <c r="AK459" s="18" t="str">
        <f t="shared" si="840"/>
        <v/>
      </c>
      <c r="AL459" s="79"/>
      <c r="AM459" s="126" t="str">
        <f t="shared" si="841"/>
        <v/>
      </c>
      <c r="AN459" s="128" t="str">
        <f>IF(AP459&lt;&gt;"",VLOOKUP($P459&amp;" | "&amp;AN$6,'Job Master'!$F$12:$J$102,5,0),"")</f>
        <v/>
      </c>
      <c r="AO459" s="19" t="str">
        <f>IF(AP459&lt;&gt;"",VLOOKUP($P459&amp;" | "&amp;AN$6,'Job Master'!$F$12:$J$102,3,0),"")</f>
        <v/>
      </c>
      <c r="AP459" s="19" t="str">
        <f>IFERROR(IF(AND(AW459&lt;&gt;"",VLOOKUP($P459&amp;" | "&amp;AN$6,'Job Master'!$F$12:$I$102,4,0)&lt;&gt;""),IF(WEEKDAY(AW459-VLOOKUP($P459&amp;" | "&amp;AN$6,'Job Master'!$F$12:$I$102,4,0))&lt;&gt;7,AW459-VLOOKUP($P459&amp;" | "&amp;AN$6,'Job Master'!$F$12:$I$102,4,0),AW459-VLOOKUP($P459&amp;" | "&amp;AN$6,'Job Master'!$F$12:$I$102,4,0)-1),""),"")</f>
        <v/>
      </c>
      <c r="AQ459" s="73"/>
      <c r="AR459" s="123" t="str">
        <f t="shared" si="901"/>
        <v/>
      </c>
      <c r="AS459" s="123" t="str">
        <f t="shared" si="902"/>
        <v/>
      </c>
      <c r="AT459" s="97" t="str">
        <f t="shared" ca="1" si="903"/>
        <v/>
      </c>
      <c r="AU459" s="98" t="str">
        <f>IF(AW459&lt;&gt;"",VLOOKUP($P459&amp;" | "&amp;AU$6,'Job Master'!$F$12:$J$102,5,0),"")</f>
        <v/>
      </c>
      <c r="AV459" s="19" t="str">
        <f>IF(AW459&lt;&gt;"",VLOOKUP($P459&amp;" | "&amp;AU$6,'Job Master'!$F$12:$J$102,3,0),"")</f>
        <v/>
      </c>
      <c r="AW459" s="19" t="str">
        <f>IFERROR(IF(AND(BD459&lt;&gt;"",VLOOKUP($P459&amp;" | "&amp;AU$6,'Job Master'!$F$12:$I$102,4,0)&lt;&gt;""),IF(WEEKDAY(BD459-VLOOKUP($P459&amp;" | "&amp;AU$6,'Job Master'!$F$12:$I$102,4,0))&lt;&gt;7,BD459-VLOOKUP($P459&amp;" | "&amp;AU$6,'Job Master'!$F$12:$I$102,4,0),BD459-VLOOKUP($P459&amp;" | "&amp;AU$6,'Job Master'!$F$12:$I$102,4,0)-1),""),"")</f>
        <v/>
      </c>
      <c r="AX459" s="73"/>
      <c r="AY459" s="123" t="str">
        <f t="shared" si="904"/>
        <v/>
      </c>
      <c r="AZ459" s="123" t="str">
        <f t="shared" si="905"/>
        <v/>
      </c>
      <c r="BA459" s="97" t="str">
        <f t="shared" ca="1" si="906"/>
        <v/>
      </c>
      <c r="BB459" s="98" t="str">
        <f>IF(BD459&lt;&gt;"",VLOOKUP($P459&amp;" | "&amp;BB$6,'Job Master'!$F$12:$J$102,5,0),"")</f>
        <v/>
      </c>
      <c r="BC459" s="19" t="str">
        <f>IF(BD459&lt;&gt;"",VLOOKUP($P459&amp;" | "&amp;BB$6,'Job Master'!$F$12:$J$102,3,0),"")</f>
        <v/>
      </c>
      <c r="BD459" s="19" t="str">
        <f>IFERROR(IF(AND(BK459&lt;&gt;"",VLOOKUP($P459&amp;" | "&amp;BB$6,'Job Master'!$F$12:$I$102,4,0)&lt;&gt;""),IF(WEEKDAY(BK459-VLOOKUP($P459&amp;" | "&amp;BB$6,'Job Master'!$F$12:$I$102,4,0))&lt;&gt;7,BK459-VLOOKUP($P459&amp;" | "&amp;BB$6,'Job Master'!$F$12:$I$102,4,0),BK459-VLOOKUP($P459&amp;" | "&amp;BB$6,'Job Master'!$F$12:$I$102,4,0)-1),""),"")</f>
        <v/>
      </c>
      <c r="BE459" s="73"/>
      <c r="BF459" s="123" t="str">
        <f t="shared" si="907"/>
        <v/>
      </c>
      <c r="BG459" s="123" t="str">
        <f t="shared" si="908"/>
        <v/>
      </c>
      <c r="BH459" s="97" t="str">
        <f t="shared" ca="1" si="909"/>
        <v/>
      </c>
      <c r="BI459" s="98" t="str">
        <f>IF(BK459&lt;&gt;"",VLOOKUP($P459&amp;" | "&amp;BI$6,'Job Master'!$F$12:$J$102,5,0),"")</f>
        <v/>
      </c>
      <c r="BJ459" s="19" t="str">
        <f>IF(BK459&lt;&gt;"",VLOOKUP($P459&amp;" | "&amp;BI$6,'Job Master'!$F$12:$J$102,3,0),"")</f>
        <v/>
      </c>
      <c r="BK459" s="19" t="str">
        <f>IFERROR(IF(AND(BR459&lt;&gt;"",VLOOKUP($P459&amp;" | "&amp;BI$6,'Job Master'!$F$12:$I$102,4,0)&lt;&gt;""),IF(WEEKDAY(BR459-VLOOKUP($P459&amp;" | "&amp;BI$6,'Job Master'!$F$12:$I$102,4,0))&lt;&gt;7,BR459-VLOOKUP($P459&amp;" | "&amp;BI$6,'Job Master'!$F$12:$I$102,4,0),BR459-VLOOKUP($P459&amp;" | "&amp;BI$6,'Job Master'!$F$12:$I$102,4,0)-1),""),"")</f>
        <v/>
      </c>
      <c r="BL459" s="73"/>
      <c r="BM459" s="123" t="str">
        <f t="shared" si="910"/>
        <v/>
      </c>
      <c r="BN459" s="123" t="str">
        <f t="shared" si="911"/>
        <v/>
      </c>
      <c r="BO459" s="97" t="str">
        <f t="shared" ca="1" si="912"/>
        <v/>
      </c>
      <c r="BP459" s="98" t="str">
        <f>IF(BR459&lt;&gt;"",VLOOKUP($P459&amp;" | "&amp;BP$6,'Job Master'!$F$12:$J$102,5,0),"")</f>
        <v/>
      </c>
      <c r="BQ459" s="19" t="str">
        <f>IF(BR459&lt;&gt;"",VLOOKUP($P459&amp;" | "&amp;BP$6,'Job Master'!$F$12:$J$102,3,0),"")</f>
        <v/>
      </c>
      <c r="BR459" s="19" t="str">
        <f>IFERROR(IF(AND(BY459&lt;&gt;"",VLOOKUP($P459&amp;" | "&amp;BP$6,'Job Master'!$F$12:$I$102,4,0)&lt;&gt;""),IF(WEEKDAY(BY459-VLOOKUP($P459&amp;" | "&amp;BP$6,'Job Master'!$F$12:$I$102,4,0))&lt;&gt;7,BY459-VLOOKUP($P459&amp;" | "&amp;BP$6,'Job Master'!$F$12:$I$102,4,0),BY459-VLOOKUP($P459&amp;" | "&amp;BP$6,'Job Master'!$F$12:$I$102,4,0)-1),""),"")</f>
        <v/>
      </c>
      <c r="BS459" s="73"/>
      <c r="BT459" s="123" t="str">
        <f t="shared" si="913"/>
        <v/>
      </c>
      <c r="BU459" s="123" t="str">
        <f t="shared" si="914"/>
        <v/>
      </c>
      <c r="BV459" s="97" t="str">
        <f t="shared" ca="1" si="915"/>
        <v/>
      </c>
      <c r="BW459" s="98" t="str">
        <f>IF(BY459&lt;&gt;"",VLOOKUP($P459&amp;" | "&amp;BW$6,'Job Master'!$F$12:$J$102,5,0),"")</f>
        <v/>
      </c>
      <c r="BX459" s="19" t="str">
        <f>IF(BY459&lt;&gt;"",VLOOKUP($P459&amp;" | "&amp;BW$6,'Job Master'!$F$12:$J$102,3,0),"")</f>
        <v/>
      </c>
      <c r="BY459" s="19" t="str">
        <f>IFERROR(IF(AND(CF459&lt;&gt;"",VLOOKUP($P459&amp;" | "&amp;BW$6,'Job Master'!$F$12:$I$102,4,0)&lt;&gt;""),IF(WEEKDAY(CF459-VLOOKUP($P459&amp;" | "&amp;BW$6,'Job Master'!$F$12:$I$102,4,0))&lt;&gt;7,CF459-VLOOKUP($P459&amp;" | "&amp;BW$6,'Job Master'!$F$12:$I$102,4,0),CF459-VLOOKUP($P459&amp;" | "&amp;BW$6,'Job Master'!$F$12:$I$102,4,0)-1),""),"")</f>
        <v/>
      </c>
      <c r="BZ459" s="73"/>
      <c r="CA459" s="123" t="str">
        <f t="shared" si="916"/>
        <v/>
      </c>
      <c r="CB459" s="123" t="str">
        <f t="shared" si="917"/>
        <v/>
      </c>
      <c r="CC459" s="97" t="str">
        <f t="shared" ca="1" si="918"/>
        <v/>
      </c>
      <c r="CD459" s="98" t="str">
        <f>IF(CF459&lt;&gt;"",VLOOKUP($P459&amp;" | "&amp;CD$6,'Job Master'!$F$12:$J$102,5,0),"")</f>
        <v/>
      </c>
      <c r="CE459" s="19" t="str">
        <f>IF(CF459&lt;&gt;"",VLOOKUP($P459&amp;" | "&amp;CD$6,'Job Master'!$F$12:$J$102,3,0),"")</f>
        <v/>
      </c>
      <c r="CF459" s="19" t="str">
        <f>IFERROR(IF(AND(CM459&lt;&gt;"",VLOOKUP($P459&amp;" | "&amp;CD$6,'Job Master'!$F$12:$I$102,4,0)&lt;&gt;""),IF(WEEKDAY(CM459-VLOOKUP($P459&amp;" | "&amp;CD$6,'Job Master'!$F$12:$I$102,4,0))&lt;&gt;7,CM459-VLOOKUP($P459&amp;" | "&amp;CD$6,'Job Master'!$F$12:$I$102,4,0),CM459-VLOOKUP($P459&amp;" | "&amp;CD$6,'Job Master'!$F$12:$I$102,4,0)-1),""),"")</f>
        <v/>
      </c>
      <c r="CG459" s="73"/>
      <c r="CH459" s="123" t="str">
        <f t="shared" si="919"/>
        <v/>
      </c>
      <c r="CI459" s="123" t="str">
        <f t="shared" si="920"/>
        <v/>
      </c>
      <c r="CJ459" s="97" t="str">
        <f t="shared" ca="1" si="921"/>
        <v/>
      </c>
      <c r="CK459" s="98" t="str">
        <f>IF(CM459&lt;&gt;"",VLOOKUP($P459&amp;" | "&amp;CK$6,'Job Master'!$F$12:$J$102,5,0),"")</f>
        <v/>
      </c>
      <c r="CL459" s="19" t="str">
        <f>IF(CM459&lt;&gt;"",VLOOKUP($P459&amp;" | "&amp;CK$6,'Job Master'!$F$12:$J$102,3,0),"")</f>
        <v/>
      </c>
      <c r="CM459" s="19" t="str">
        <f>IFERROR(IF(AND(CT459&lt;&gt;"",VLOOKUP($P459&amp;" | "&amp;CK$6,'Job Master'!$F$12:$I$102,4,0)&lt;&gt;""),IF(WEEKDAY(CT459-VLOOKUP($P459&amp;" | "&amp;CK$6,'Job Master'!$F$12:$I$102,4,0))&lt;&gt;7,CT459-VLOOKUP($P459&amp;" | "&amp;CK$6,'Job Master'!$F$12:$I$102,4,0),CT459-VLOOKUP($P459&amp;" | "&amp;CK$6,'Job Master'!$F$12:$I$102,4,0)-1),""),"")</f>
        <v/>
      </c>
      <c r="CN459" s="73"/>
      <c r="CO459" s="123" t="str">
        <f t="shared" si="922"/>
        <v/>
      </c>
      <c r="CP459" s="123" t="str">
        <f t="shared" si="923"/>
        <v/>
      </c>
      <c r="CQ459" s="97" t="str">
        <f t="shared" ca="1" si="924"/>
        <v/>
      </c>
      <c r="CR459" s="98" t="str">
        <f>IF(CT459&lt;&gt;"",VLOOKUP($P459&amp;" | "&amp;CR$6,'Job Master'!$F$12:$J$102,5,0),"")</f>
        <v/>
      </c>
      <c r="CS459" s="19" t="str">
        <f>IF(CT459&lt;&gt;"",VLOOKUP($P459&amp;" | "&amp;CR$6,'Job Master'!$F$12:$J$102,3,0),"")</f>
        <v/>
      </c>
      <c r="CT459" s="19" t="str">
        <f>IFERROR(IF(AND(DA459&lt;&gt;"",VLOOKUP($P459&amp;" | "&amp;CR$6,'Job Master'!$F$12:$I$102,4,0)&lt;&gt;""),IF(WEEKDAY(DA459-VLOOKUP($P459&amp;" | "&amp;CR$6,'Job Master'!$F$12:$I$102,4,0))&lt;&gt;7,DA459-VLOOKUP($P459&amp;" | "&amp;CR$6,'Job Master'!$F$12:$I$102,4,0),DA459-VLOOKUP($P459&amp;" | "&amp;CR$6,'Job Master'!$F$12:$I$102,4,0)-1),""),"")</f>
        <v/>
      </c>
      <c r="CU459" s="73"/>
      <c r="CV459" s="123" t="str">
        <f t="shared" si="925"/>
        <v/>
      </c>
      <c r="CW459" s="123" t="str">
        <f t="shared" si="926"/>
        <v/>
      </c>
      <c r="CX459" s="97" t="str">
        <f t="shared" ca="1" si="927"/>
        <v/>
      </c>
      <c r="CY459" s="98" t="str">
        <f>IF(DA459&lt;&gt;"",VLOOKUP($P459&amp;" | "&amp;CY$6,'Job Master'!$F$12:$J$102,5,0),"")</f>
        <v/>
      </c>
      <c r="CZ459" s="19" t="str">
        <f>IF(DA459&lt;&gt;"",VLOOKUP($P459&amp;" | "&amp;CY$6,'Job Master'!$F$12:$J$102,3,0),"")</f>
        <v/>
      </c>
      <c r="DA459" s="19" t="str">
        <f>IFERROR(IF(AND(DH459&lt;&gt;"",VLOOKUP($P459&amp;" | "&amp;CY$6,'Job Master'!$F$12:$I$102,4,0)&lt;&gt;""),IF(WEEKDAY(DH459-VLOOKUP($P459&amp;" | "&amp;CY$6,'Job Master'!$F$12:$I$102,4,0))&lt;&gt;7,DH459-VLOOKUP($P459&amp;" | "&amp;CY$6,'Job Master'!$F$12:$I$102,4,0),DH459-VLOOKUP($P459&amp;" | "&amp;CY$6,'Job Master'!$F$12:$I$102,4,0)-1),""),"")</f>
        <v/>
      </c>
      <c r="DB459" s="73"/>
      <c r="DC459" s="123" t="str">
        <f t="shared" si="928"/>
        <v/>
      </c>
      <c r="DD459" s="123" t="str">
        <f t="shared" si="929"/>
        <v/>
      </c>
      <c r="DE459" s="97" t="str">
        <f t="shared" ca="1" si="930"/>
        <v/>
      </c>
      <c r="DF459" s="98" t="str">
        <f>IF(DH459&lt;&gt;"",VLOOKUP($P459&amp;" | "&amp;DF$6,'Job Master'!$F$12:$J$102,5,0),"")</f>
        <v/>
      </c>
      <c r="DG459" s="19" t="str">
        <f>IF(DH459&lt;&gt;"",VLOOKUP($P459&amp;" | "&amp;DF$6,'Job Master'!$F$12:$J$102,3,0),"")</f>
        <v/>
      </c>
      <c r="DH459" s="19" t="str">
        <f>IFERROR(IF(AND(DO459&lt;&gt;"",VLOOKUP($P459&amp;" | "&amp;DF$6,'Job Master'!$F$12:$I$102,4,0)&lt;&gt;""),IF(WEEKDAY(DO459-VLOOKUP($P459&amp;" | "&amp;DF$6,'Job Master'!$F$12:$I$102,4,0))&lt;&gt;7,DO459-VLOOKUP($P459&amp;" | "&amp;DF$6,'Job Master'!$F$12:$I$102,4,0),DO459-VLOOKUP($P459&amp;" | "&amp;DF$6,'Job Master'!$F$12:$I$102,4,0)-1),""),"")</f>
        <v/>
      </c>
      <c r="DI459" s="73"/>
      <c r="DJ459" s="123" t="str">
        <f t="shared" si="931"/>
        <v/>
      </c>
      <c r="DK459" s="123" t="str">
        <f t="shared" si="932"/>
        <v/>
      </c>
      <c r="DL459" s="97" t="str">
        <f t="shared" ca="1" si="933"/>
        <v/>
      </c>
      <c r="DM459" s="98" t="str">
        <f>IF(DO459&lt;&gt;"",VLOOKUP($P459&amp;" | "&amp;DM$6,'Job Master'!$F$12:$J$102,5,0),"")</f>
        <v/>
      </c>
      <c r="DN459" s="19" t="str">
        <f>IF(DO459&lt;&gt;"",VLOOKUP($P459&amp;" | "&amp;DM$6,'Job Master'!$F$12:$J$102,3,0),"")</f>
        <v/>
      </c>
      <c r="DO459" s="19" t="str">
        <f>IFERROR(IF(AND(DT459&lt;&gt;"",VLOOKUP($P459&amp;" | "&amp;DM$6,'Job Master'!$F$12:$I$102,4,0)&lt;&gt;""),IF(WEEKDAY(DT459-VLOOKUP($P459&amp;" | "&amp;DM$6,'Job Master'!$F$12:$I$102,4,0))&lt;&gt;7,DT459-VLOOKUP($P459&amp;" | "&amp;DM$6,'Job Master'!$F$12:$I$102,4,0),DT459-VLOOKUP($P459&amp;" | "&amp;DM$6,'Job Master'!$F$12:$I$102,4,0)-1),""),"")</f>
        <v/>
      </c>
      <c r="DP459" s="73"/>
      <c r="DQ459" s="123" t="str">
        <f t="shared" si="934"/>
        <v/>
      </c>
      <c r="DR459" s="123" t="str">
        <f t="shared" si="935"/>
        <v/>
      </c>
      <c r="DS459" s="97" t="str">
        <f t="shared" ca="1" si="936"/>
        <v/>
      </c>
      <c r="DT459" s="70" t="str">
        <f t="shared" si="937"/>
        <v/>
      </c>
      <c r="DU459" s="90"/>
      <c r="DV459" s="123" t="str">
        <f t="shared" si="938"/>
        <v/>
      </c>
      <c r="DW459" s="123" t="str">
        <f t="shared" si="939"/>
        <v/>
      </c>
      <c r="DX459" s="132" t="str">
        <f t="shared" ref="DX459" ca="1" si="943">IF(DT459&lt;&gt;"",IF(WEEKNUM(DT459)=WEEKNUM(TODAY()),"This Week",IF(WEEKNUM(DT459)=WEEKNUM(TODAY())+1,"Next Week",IF(WEEKNUM(DT459)=WEEKNUM(TODAY())-1,"Previous Week",""))),"")</f>
        <v/>
      </c>
      <c r="DY459" s="134" t="str">
        <f t="shared" si="941"/>
        <v/>
      </c>
      <c r="DZ459" s="95"/>
      <c r="EB459" s="8" t="str">
        <f t="shared" si="823"/>
        <v/>
      </c>
      <c r="EC459" s="8" t="str">
        <f>IF(O459&lt;&gt;"",VLOOKUP(O459,'Job Master'!$N$12:$O$18,2,0),"")</f>
        <v/>
      </c>
      <c r="ED459" s="8">
        <f t="shared" si="824"/>
        <v>19.5</v>
      </c>
      <c r="EE459" s="8">
        <f t="shared" si="825"/>
        <v>6</v>
      </c>
      <c r="EF459" s="8">
        <f t="shared" si="826"/>
        <v>-2674.5</v>
      </c>
      <c r="EG459" s="8" t="str">
        <f t="shared" si="827"/>
        <v/>
      </c>
      <c r="EH459" s="8" t="str">
        <f t="shared" si="828"/>
        <v/>
      </c>
    </row>
    <row r="460" spans="2:138" x14ac:dyDescent="0.3">
      <c r="B460" s="112"/>
      <c r="C460" s="27"/>
      <c r="D460" s="7" t="str">
        <f t="shared" si="891"/>
        <v/>
      </c>
      <c r="E460" s="25"/>
      <c r="F460" s="7" t="str">
        <f t="shared" si="891"/>
        <v/>
      </c>
      <c r="G460" s="25"/>
      <c r="H460" s="7" t="str">
        <f t="shared" si="891"/>
        <v/>
      </c>
      <c r="I460" s="25"/>
      <c r="J460" s="7" t="str">
        <f t="shared" si="891"/>
        <v/>
      </c>
      <c r="K460" s="25"/>
      <c r="L460" s="7" t="str">
        <f t="shared" si="891"/>
        <v/>
      </c>
      <c r="M460" s="25"/>
      <c r="N460" s="7" t="str">
        <f t="shared" si="891"/>
        <v/>
      </c>
      <c r="O460" s="81"/>
      <c r="P460" s="81" t="str">
        <f t="shared" si="892"/>
        <v/>
      </c>
      <c r="Q460" s="81"/>
      <c r="R460" s="7" t="str">
        <f t="shared" si="893"/>
        <v/>
      </c>
      <c r="S460" s="25"/>
      <c r="T460" s="7" t="str">
        <f t="shared" si="894"/>
        <v/>
      </c>
      <c r="U460" s="25"/>
      <c r="V460" s="7" t="str">
        <f t="shared" si="895"/>
        <v/>
      </c>
      <c r="W460" s="25"/>
      <c r="X460" s="7" t="str">
        <f t="shared" si="896"/>
        <v/>
      </c>
      <c r="Y460" s="18" t="str">
        <f t="shared" si="897"/>
        <v/>
      </c>
      <c r="Z460" s="7" t="str">
        <f t="shared" si="898"/>
        <v/>
      </c>
      <c r="AA460" s="18" t="str">
        <f t="shared" si="899"/>
        <v/>
      </c>
      <c r="AB460" s="19" t="str">
        <f t="shared" si="900"/>
        <v/>
      </c>
      <c r="AC460" s="26"/>
      <c r="AD460" s="26"/>
      <c r="AE460" s="25"/>
      <c r="AF460" s="26"/>
      <c r="AG460" s="25"/>
      <c r="AH460" s="25"/>
      <c r="AI460" s="18" t="str">
        <f t="shared" si="839"/>
        <v/>
      </c>
      <c r="AJ460" s="25"/>
      <c r="AK460" s="18" t="str">
        <f t="shared" si="840"/>
        <v/>
      </c>
      <c r="AL460" s="79"/>
      <c r="AM460" s="126" t="str">
        <f t="shared" si="841"/>
        <v/>
      </c>
      <c r="AN460" s="128" t="str">
        <f>IF(AP460&lt;&gt;"",VLOOKUP($P460&amp;" | "&amp;AN$6,'Job Master'!$F$12:$J$102,5,0),"")</f>
        <v/>
      </c>
      <c r="AO460" s="19" t="str">
        <f>IF(AP460&lt;&gt;"",VLOOKUP($P460&amp;" | "&amp;AN$6,'Job Master'!$F$12:$J$102,3,0),"")</f>
        <v/>
      </c>
      <c r="AP460" s="19" t="str">
        <f>IFERROR(IF(AND(AW460&lt;&gt;"",VLOOKUP($P460&amp;" | "&amp;AN$6,'Job Master'!$F$12:$I$102,4,0)&lt;&gt;""),IF(WEEKDAY(AW460-VLOOKUP($P460&amp;" | "&amp;AN$6,'Job Master'!$F$12:$I$102,4,0))&lt;&gt;7,AW460-VLOOKUP($P460&amp;" | "&amp;AN$6,'Job Master'!$F$12:$I$102,4,0),AW460-VLOOKUP($P460&amp;" | "&amp;AN$6,'Job Master'!$F$12:$I$102,4,0)-1),""),"")</f>
        <v/>
      </c>
      <c r="AQ460" s="73"/>
      <c r="AR460" s="123" t="str">
        <f t="shared" si="901"/>
        <v/>
      </c>
      <c r="AS460" s="123" t="str">
        <f t="shared" si="902"/>
        <v/>
      </c>
      <c r="AT460" s="97" t="str">
        <f t="shared" ca="1" si="903"/>
        <v/>
      </c>
      <c r="AU460" s="98" t="str">
        <f>IF(AW460&lt;&gt;"",VLOOKUP($P460&amp;" | "&amp;AU$6,'Job Master'!$F$12:$J$102,5,0),"")</f>
        <v/>
      </c>
      <c r="AV460" s="19" t="str">
        <f>IF(AW460&lt;&gt;"",VLOOKUP($P460&amp;" | "&amp;AU$6,'Job Master'!$F$12:$J$102,3,0),"")</f>
        <v/>
      </c>
      <c r="AW460" s="19" t="str">
        <f>IFERROR(IF(AND(BD460&lt;&gt;"",VLOOKUP($P460&amp;" | "&amp;AU$6,'Job Master'!$F$12:$I$102,4,0)&lt;&gt;""),IF(WEEKDAY(BD460-VLOOKUP($P460&amp;" | "&amp;AU$6,'Job Master'!$F$12:$I$102,4,0))&lt;&gt;7,BD460-VLOOKUP($P460&amp;" | "&amp;AU$6,'Job Master'!$F$12:$I$102,4,0),BD460-VLOOKUP($P460&amp;" | "&amp;AU$6,'Job Master'!$F$12:$I$102,4,0)-1),""),"")</f>
        <v/>
      </c>
      <c r="AX460" s="73"/>
      <c r="AY460" s="123" t="str">
        <f t="shared" si="904"/>
        <v/>
      </c>
      <c r="AZ460" s="123" t="str">
        <f t="shared" si="905"/>
        <v/>
      </c>
      <c r="BA460" s="97" t="str">
        <f t="shared" ca="1" si="906"/>
        <v/>
      </c>
      <c r="BB460" s="98" t="str">
        <f>IF(BD460&lt;&gt;"",VLOOKUP($P460&amp;" | "&amp;BB$6,'Job Master'!$F$12:$J$102,5,0),"")</f>
        <v/>
      </c>
      <c r="BC460" s="19" t="str">
        <f>IF(BD460&lt;&gt;"",VLOOKUP($P460&amp;" | "&amp;BB$6,'Job Master'!$F$12:$J$102,3,0),"")</f>
        <v/>
      </c>
      <c r="BD460" s="19" t="str">
        <f>IFERROR(IF(AND(BK460&lt;&gt;"",VLOOKUP($P460&amp;" | "&amp;BB$6,'Job Master'!$F$12:$I$102,4,0)&lt;&gt;""),IF(WEEKDAY(BK460-VLOOKUP($P460&amp;" | "&amp;BB$6,'Job Master'!$F$12:$I$102,4,0))&lt;&gt;7,BK460-VLOOKUP($P460&amp;" | "&amp;BB$6,'Job Master'!$F$12:$I$102,4,0),BK460-VLOOKUP($P460&amp;" | "&amp;BB$6,'Job Master'!$F$12:$I$102,4,0)-1),""),"")</f>
        <v/>
      </c>
      <c r="BE460" s="73"/>
      <c r="BF460" s="123" t="str">
        <f t="shared" si="907"/>
        <v/>
      </c>
      <c r="BG460" s="123" t="str">
        <f t="shared" si="908"/>
        <v/>
      </c>
      <c r="BH460" s="97" t="str">
        <f t="shared" ca="1" si="909"/>
        <v/>
      </c>
      <c r="BI460" s="98" t="str">
        <f>IF(BK460&lt;&gt;"",VLOOKUP($P460&amp;" | "&amp;BI$6,'Job Master'!$F$12:$J$102,5,0),"")</f>
        <v/>
      </c>
      <c r="BJ460" s="19" t="str">
        <f>IF(BK460&lt;&gt;"",VLOOKUP($P460&amp;" | "&amp;BI$6,'Job Master'!$F$12:$J$102,3,0),"")</f>
        <v/>
      </c>
      <c r="BK460" s="19" t="str">
        <f>IFERROR(IF(AND(BR460&lt;&gt;"",VLOOKUP($P460&amp;" | "&amp;BI$6,'Job Master'!$F$12:$I$102,4,0)&lt;&gt;""),IF(WEEKDAY(BR460-VLOOKUP($P460&amp;" | "&amp;BI$6,'Job Master'!$F$12:$I$102,4,0))&lt;&gt;7,BR460-VLOOKUP($P460&amp;" | "&amp;BI$6,'Job Master'!$F$12:$I$102,4,0),BR460-VLOOKUP($P460&amp;" | "&amp;BI$6,'Job Master'!$F$12:$I$102,4,0)-1),""),"")</f>
        <v/>
      </c>
      <c r="BL460" s="73"/>
      <c r="BM460" s="123" t="str">
        <f t="shared" si="910"/>
        <v/>
      </c>
      <c r="BN460" s="123" t="str">
        <f t="shared" si="911"/>
        <v/>
      </c>
      <c r="BO460" s="97" t="str">
        <f t="shared" ca="1" si="912"/>
        <v/>
      </c>
      <c r="BP460" s="98" t="str">
        <f>IF(BR460&lt;&gt;"",VLOOKUP($P460&amp;" | "&amp;BP$6,'Job Master'!$F$12:$J$102,5,0),"")</f>
        <v/>
      </c>
      <c r="BQ460" s="19" t="str">
        <f>IF(BR460&lt;&gt;"",VLOOKUP($P460&amp;" | "&amp;BP$6,'Job Master'!$F$12:$J$102,3,0),"")</f>
        <v/>
      </c>
      <c r="BR460" s="19" t="str">
        <f>IFERROR(IF(AND(BY460&lt;&gt;"",VLOOKUP($P460&amp;" | "&amp;BP$6,'Job Master'!$F$12:$I$102,4,0)&lt;&gt;""),IF(WEEKDAY(BY460-VLOOKUP($P460&amp;" | "&amp;BP$6,'Job Master'!$F$12:$I$102,4,0))&lt;&gt;7,BY460-VLOOKUP($P460&amp;" | "&amp;BP$6,'Job Master'!$F$12:$I$102,4,0),BY460-VLOOKUP($P460&amp;" | "&amp;BP$6,'Job Master'!$F$12:$I$102,4,0)-1),""),"")</f>
        <v/>
      </c>
      <c r="BS460" s="73"/>
      <c r="BT460" s="123" t="str">
        <f t="shared" si="913"/>
        <v/>
      </c>
      <c r="BU460" s="123" t="str">
        <f t="shared" si="914"/>
        <v/>
      </c>
      <c r="BV460" s="97" t="str">
        <f t="shared" ca="1" si="915"/>
        <v/>
      </c>
      <c r="BW460" s="98" t="str">
        <f>IF(BY460&lt;&gt;"",VLOOKUP($P460&amp;" | "&amp;BW$6,'Job Master'!$F$12:$J$102,5,0),"")</f>
        <v/>
      </c>
      <c r="BX460" s="19" t="str">
        <f>IF(BY460&lt;&gt;"",VLOOKUP($P460&amp;" | "&amp;BW$6,'Job Master'!$F$12:$J$102,3,0),"")</f>
        <v/>
      </c>
      <c r="BY460" s="19" t="str">
        <f>IFERROR(IF(AND(CF460&lt;&gt;"",VLOOKUP($P460&amp;" | "&amp;BW$6,'Job Master'!$F$12:$I$102,4,0)&lt;&gt;""),IF(WEEKDAY(CF460-VLOOKUP($P460&amp;" | "&amp;BW$6,'Job Master'!$F$12:$I$102,4,0))&lt;&gt;7,CF460-VLOOKUP($P460&amp;" | "&amp;BW$6,'Job Master'!$F$12:$I$102,4,0),CF460-VLOOKUP($P460&amp;" | "&amp;BW$6,'Job Master'!$F$12:$I$102,4,0)-1),""),"")</f>
        <v/>
      </c>
      <c r="BZ460" s="73"/>
      <c r="CA460" s="123" t="str">
        <f t="shared" si="916"/>
        <v/>
      </c>
      <c r="CB460" s="123" t="str">
        <f t="shared" si="917"/>
        <v/>
      </c>
      <c r="CC460" s="97" t="str">
        <f t="shared" ca="1" si="918"/>
        <v/>
      </c>
      <c r="CD460" s="98" t="str">
        <f>IF(CF460&lt;&gt;"",VLOOKUP($P460&amp;" | "&amp;CD$6,'Job Master'!$F$12:$J$102,5,0),"")</f>
        <v/>
      </c>
      <c r="CE460" s="19" t="str">
        <f>IF(CF460&lt;&gt;"",VLOOKUP($P460&amp;" | "&amp;CD$6,'Job Master'!$F$12:$J$102,3,0),"")</f>
        <v/>
      </c>
      <c r="CF460" s="19" t="str">
        <f>IFERROR(IF(AND(CM460&lt;&gt;"",VLOOKUP($P460&amp;" | "&amp;CD$6,'Job Master'!$F$12:$I$102,4,0)&lt;&gt;""),IF(WEEKDAY(CM460-VLOOKUP($P460&amp;" | "&amp;CD$6,'Job Master'!$F$12:$I$102,4,0))&lt;&gt;7,CM460-VLOOKUP($P460&amp;" | "&amp;CD$6,'Job Master'!$F$12:$I$102,4,0),CM460-VLOOKUP($P460&amp;" | "&amp;CD$6,'Job Master'!$F$12:$I$102,4,0)-1),""),"")</f>
        <v/>
      </c>
      <c r="CG460" s="73"/>
      <c r="CH460" s="123" t="str">
        <f t="shared" si="919"/>
        <v/>
      </c>
      <c r="CI460" s="123" t="str">
        <f t="shared" si="920"/>
        <v/>
      </c>
      <c r="CJ460" s="97" t="str">
        <f t="shared" ca="1" si="921"/>
        <v/>
      </c>
      <c r="CK460" s="98" t="str">
        <f>IF(CM460&lt;&gt;"",VLOOKUP($P460&amp;" | "&amp;CK$6,'Job Master'!$F$12:$J$102,5,0),"")</f>
        <v/>
      </c>
      <c r="CL460" s="19" t="str">
        <f>IF(CM460&lt;&gt;"",VLOOKUP($P460&amp;" | "&amp;CK$6,'Job Master'!$F$12:$J$102,3,0),"")</f>
        <v/>
      </c>
      <c r="CM460" s="19" t="str">
        <f>IFERROR(IF(AND(CT460&lt;&gt;"",VLOOKUP($P460&amp;" | "&amp;CK$6,'Job Master'!$F$12:$I$102,4,0)&lt;&gt;""),IF(WEEKDAY(CT460-VLOOKUP($P460&amp;" | "&amp;CK$6,'Job Master'!$F$12:$I$102,4,0))&lt;&gt;7,CT460-VLOOKUP($P460&amp;" | "&amp;CK$6,'Job Master'!$F$12:$I$102,4,0),CT460-VLOOKUP($P460&amp;" | "&amp;CK$6,'Job Master'!$F$12:$I$102,4,0)-1),""),"")</f>
        <v/>
      </c>
      <c r="CN460" s="73"/>
      <c r="CO460" s="123" t="str">
        <f t="shared" si="922"/>
        <v/>
      </c>
      <c r="CP460" s="123" t="str">
        <f t="shared" si="923"/>
        <v/>
      </c>
      <c r="CQ460" s="97" t="str">
        <f t="shared" ca="1" si="924"/>
        <v/>
      </c>
      <c r="CR460" s="98" t="str">
        <f>IF(CT460&lt;&gt;"",VLOOKUP($P460&amp;" | "&amp;CR$6,'Job Master'!$F$12:$J$102,5,0),"")</f>
        <v/>
      </c>
      <c r="CS460" s="19" t="str">
        <f>IF(CT460&lt;&gt;"",VLOOKUP($P460&amp;" | "&amp;CR$6,'Job Master'!$F$12:$J$102,3,0),"")</f>
        <v/>
      </c>
      <c r="CT460" s="19" t="str">
        <f>IFERROR(IF(AND(DA460&lt;&gt;"",VLOOKUP($P460&amp;" | "&amp;CR$6,'Job Master'!$F$12:$I$102,4,0)&lt;&gt;""),IF(WEEKDAY(DA460-VLOOKUP($P460&amp;" | "&amp;CR$6,'Job Master'!$F$12:$I$102,4,0))&lt;&gt;7,DA460-VLOOKUP($P460&amp;" | "&amp;CR$6,'Job Master'!$F$12:$I$102,4,0),DA460-VLOOKUP($P460&amp;" | "&amp;CR$6,'Job Master'!$F$12:$I$102,4,0)-1),""),"")</f>
        <v/>
      </c>
      <c r="CU460" s="73"/>
      <c r="CV460" s="123" t="str">
        <f t="shared" si="925"/>
        <v/>
      </c>
      <c r="CW460" s="123" t="str">
        <f t="shared" si="926"/>
        <v/>
      </c>
      <c r="CX460" s="97" t="str">
        <f t="shared" ca="1" si="927"/>
        <v/>
      </c>
      <c r="CY460" s="98" t="str">
        <f>IF(DA460&lt;&gt;"",VLOOKUP($P460&amp;" | "&amp;CY$6,'Job Master'!$F$12:$J$102,5,0),"")</f>
        <v/>
      </c>
      <c r="CZ460" s="19" t="str">
        <f>IF(DA460&lt;&gt;"",VLOOKUP($P460&amp;" | "&amp;CY$6,'Job Master'!$F$12:$J$102,3,0),"")</f>
        <v/>
      </c>
      <c r="DA460" s="19" t="str">
        <f>IFERROR(IF(AND(DH460&lt;&gt;"",VLOOKUP($P460&amp;" | "&amp;CY$6,'Job Master'!$F$12:$I$102,4,0)&lt;&gt;""),IF(WEEKDAY(DH460-VLOOKUP($P460&amp;" | "&amp;CY$6,'Job Master'!$F$12:$I$102,4,0))&lt;&gt;7,DH460-VLOOKUP($P460&amp;" | "&amp;CY$6,'Job Master'!$F$12:$I$102,4,0),DH460-VLOOKUP($P460&amp;" | "&amp;CY$6,'Job Master'!$F$12:$I$102,4,0)-1),""),"")</f>
        <v/>
      </c>
      <c r="DB460" s="73"/>
      <c r="DC460" s="123" t="str">
        <f t="shared" si="928"/>
        <v/>
      </c>
      <c r="DD460" s="123" t="str">
        <f t="shared" si="929"/>
        <v/>
      </c>
      <c r="DE460" s="97" t="str">
        <f t="shared" ca="1" si="930"/>
        <v/>
      </c>
      <c r="DF460" s="98" t="str">
        <f>IF(DH460&lt;&gt;"",VLOOKUP($P460&amp;" | "&amp;DF$6,'Job Master'!$F$12:$J$102,5,0),"")</f>
        <v/>
      </c>
      <c r="DG460" s="19" t="str">
        <f>IF(DH460&lt;&gt;"",VLOOKUP($P460&amp;" | "&amp;DF$6,'Job Master'!$F$12:$J$102,3,0),"")</f>
        <v/>
      </c>
      <c r="DH460" s="19" t="str">
        <f>IFERROR(IF(AND(DO460&lt;&gt;"",VLOOKUP($P460&amp;" | "&amp;DF$6,'Job Master'!$F$12:$I$102,4,0)&lt;&gt;""),IF(WEEKDAY(DO460-VLOOKUP($P460&amp;" | "&amp;DF$6,'Job Master'!$F$12:$I$102,4,0))&lt;&gt;7,DO460-VLOOKUP($P460&amp;" | "&amp;DF$6,'Job Master'!$F$12:$I$102,4,0),DO460-VLOOKUP($P460&amp;" | "&amp;DF$6,'Job Master'!$F$12:$I$102,4,0)-1),""),"")</f>
        <v/>
      </c>
      <c r="DI460" s="73"/>
      <c r="DJ460" s="123" t="str">
        <f t="shared" si="931"/>
        <v/>
      </c>
      <c r="DK460" s="123" t="str">
        <f t="shared" si="932"/>
        <v/>
      </c>
      <c r="DL460" s="97" t="str">
        <f t="shared" ca="1" si="933"/>
        <v/>
      </c>
      <c r="DM460" s="98" t="str">
        <f>IF(DO460&lt;&gt;"",VLOOKUP($P460&amp;" | "&amp;DM$6,'Job Master'!$F$12:$J$102,5,0),"")</f>
        <v/>
      </c>
      <c r="DN460" s="19" t="str">
        <f>IF(DO460&lt;&gt;"",VLOOKUP($P460&amp;" | "&amp;DM$6,'Job Master'!$F$12:$J$102,3,0),"")</f>
        <v/>
      </c>
      <c r="DO460" s="19" t="str">
        <f>IFERROR(IF(AND(DT460&lt;&gt;"",VLOOKUP($P460&amp;" | "&amp;DM$6,'Job Master'!$F$12:$I$102,4,0)&lt;&gt;""),IF(WEEKDAY(DT460-VLOOKUP($P460&amp;" | "&amp;DM$6,'Job Master'!$F$12:$I$102,4,0))&lt;&gt;7,DT460-VLOOKUP($P460&amp;" | "&amp;DM$6,'Job Master'!$F$12:$I$102,4,0),DT460-VLOOKUP($P460&amp;" | "&amp;DM$6,'Job Master'!$F$12:$I$102,4,0)-1),""),"")</f>
        <v/>
      </c>
      <c r="DP460" s="73"/>
      <c r="DQ460" s="123" t="str">
        <f t="shared" si="934"/>
        <v/>
      </c>
      <c r="DR460" s="123" t="str">
        <f t="shared" si="935"/>
        <v/>
      </c>
      <c r="DS460" s="97" t="str">
        <f t="shared" ca="1" si="936"/>
        <v/>
      </c>
      <c r="DT460" s="70" t="str">
        <f t="shared" si="937"/>
        <v/>
      </c>
      <c r="DU460" s="90"/>
      <c r="DV460" s="123" t="str">
        <f t="shared" si="938"/>
        <v/>
      </c>
      <c r="DW460" s="123" t="str">
        <f t="shared" si="939"/>
        <v/>
      </c>
      <c r="DX460" s="132" t="str">
        <f t="shared" ref="DX460" ca="1" si="944">IF(DT460&lt;&gt;"",IF(WEEKNUM(DT460)=WEEKNUM(TODAY()),"This Week",IF(WEEKNUM(DT460)=WEEKNUM(TODAY())+1,"Next Week",IF(WEEKNUM(DT460)=WEEKNUM(TODAY())-1,"Previous Week",""))),"")</f>
        <v/>
      </c>
      <c r="DY460" s="134" t="str">
        <f t="shared" si="941"/>
        <v/>
      </c>
      <c r="DZ460" s="95"/>
      <c r="EB460" s="8" t="str">
        <f t="shared" si="823"/>
        <v/>
      </c>
      <c r="EC460" s="8" t="str">
        <f>IF(O460&lt;&gt;"",VLOOKUP(O460,'Job Master'!$N$12:$O$18,2,0),"")</f>
        <v/>
      </c>
      <c r="ED460" s="8">
        <f t="shared" si="824"/>
        <v>19.5</v>
      </c>
      <c r="EE460" s="8">
        <f t="shared" si="825"/>
        <v>6</v>
      </c>
      <c r="EF460" s="8">
        <f t="shared" si="826"/>
        <v>-2680.5</v>
      </c>
      <c r="EG460" s="8" t="str">
        <f t="shared" si="827"/>
        <v/>
      </c>
      <c r="EH460" s="8" t="str">
        <f t="shared" si="828"/>
        <v/>
      </c>
    </row>
    <row r="461" spans="2:138" x14ac:dyDescent="0.3">
      <c r="B461" s="112"/>
      <c r="C461" s="27"/>
      <c r="D461" s="7" t="str">
        <f t="shared" si="891"/>
        <v/>
      </c>
      <c r="E461" s="25"/>
      <c r="F461" s="7" t="str">
        <f t="shared" si="891"/>
        <v/>
      </c>
      <c r="G461" s="25"/>
      <c r="H461" s="7" t="str">
        <f t="shared" si="891"/>
        <v/>
      </c>
      <c r="I461" s="25"/>
      <c r="J461" s="7" t="str">
        <f t="shared" si="891"/>
        <v/>
      </c>
      <c r="K461" s="25"/>
      <c r="L461" s="7" t="str">
        <f t="shared" si="891"/>
        <v/>
      </c>
      <c r="M461" s="25"/>
      <c r="N461" s="7" t="str">
        <f t="shared" si="891"/>
        <v/>
      </c>
      <c r="O461" s="81"/>
      <c r="P461" s="81" t="str">
        <f t="shared" si="892"/>
        <v/>
      </c>
      <c r="Q461" s="81"/>
      <c r="R461" s="7" t="str">
        <f t="shared" si="893"/>
        <v/>
      </c>
      <c r="S461" s="25"/>
      <c r="T461" s="7" t="str">
        <f t="shared" si="894"/>
        <v/>
      </c>
      <c r="U461" s="25"/>
      <c r="V461" s="7" t="str">
        <f t="shared" si="895"/>
        <v/>
      </c>
      <c r="W461" s="25"/>
      <c r="X461" s="7" t="str">
        <f t="shared" si="896"/>
        <v/>
      </c>
      <c r="Y461" s="18" t="str">
        <f t="shared" si="897"/>
        <v/>
      </c>
      <c r="Z461" s="7" t="str">
        <f t="shared" si="898"/>
        <v/>
      </c>
      <c r="AA461" s="18" t="str">
        <f t="shared" si="899"/>
        <v/>
      </c>
      <c r="AB461" s="19" t="str">
        <f t="shared" si="900"/>
        <v/>
      </c>
      <c r="AC461" s="26"/>
      <c r="AD461" s="26"/>
      <c r="AE461" s="25"/>
      <c r="AF461" s="26"/>
      <c r="AG461" s="25"/>
      <c r="AH461" s="25"/>
      <c r="AI461" s="18" t="str">
        <f t="shared" si="839"/>
        <v/>
      </c>
      <c r="AJ461" s="25"/>
      <c r="AK461" s="18" t="str">
        <f t="shared" si="840"/>
        <v/>
      </c>
      <c r="AL461" s="79"/>
      <c r="AM461" s="126" t="str">
        <f t="shared" si="841"/>
        <v/>
      </c>
      <c r="AN461" s="128" t="str">
        <f>IF(AP461&lt;&gt;"",VLOOKUP($P461&amp;" | "&amp;AN$6,'Job Master'!$F$12:$J$102,5,0),"")</f>
        <v/>
      </c>
      <c r="AO461" s="19" t="str">
        <f>IF(AP461&lt;&gt;"",VLOOKUP($P461&amp;" | "&amp;AN$6,'Job Master'!$F$12:$J$102,3,0),"")</f>
        <v/>
      </c>
      <c r="AP461" s="19" t="str">
        <f>IFERROR(IF(AND(AW461&lt;&gt;"",VLOOKUP($P461&amp;" | "&amp;AN$6,'Job Master'!$F$12:$I$102,4,0)&lt;&gt;""),IF(WEEKDAY(AW461-VLOOKUP($P461&amp;" | "&amp;AN$6,'Job Master'!$F$12:$I$102,4,0))&lt;&gt;7,AW461-VLOOKUP($P461&amp;" | "&amp;AN$6,'Job Master'!$F$12:$I$102,4,0),AW461-VLOOKUP($P461&amp;" | "&amp;AN$6,'Job Master'!$F$12:$I$102,4,0)-1),""),"")</f>
        <v/>
      </c>
      <c r="AQ461" s="73"/>
      <c r="AR461" s="123" t="str">
        <f t="shared" si="901"/>
        <v/>
      </c>
      <c r="AS461" s="123" t="str">
        <f t="shared" si="902"/>
        <v/>
      </c>
      <c r="AT461" s="97" t="str">
        <f t="shared" ca="1" si="903"/>
        <v/>
      </c>
      <c r="AU461" s="98" t="str">
        <f>IF(AW461&lt;&gt;"",VLOOKUP($P461&amp;" | "&amp;AU$6,'Job Master'!$F$12:$J$102,5,0),"")</f>
        <v/>
      </c>
      <c r="AV461" s="19" t="str">
        <f>IF(AW461&lt;&gt;"",VLOOKUP($P461&amp;" | "&amp;AU$6,'Job Master'!$F$12:$J$102,3,0),"")</f>
        <v/>
      </c>
      <c r="AW461" s="19" t="str">
        <f>IFERROR(IF(AND(BD461&lt;&gt;"",VLOOKUP($P461&amp;" | "&amp;AU$6,'Job Master'!$F$12:$I$102,4,0)&lt;&gt;""),IF(WEEKDAY(BD461-VLOOKUP($P461&amp;" | "&amp;AU$6,'Job Master'!$F$12:$I$102,4,0))&lt;&gt;7,BD461-VLOOKUP($P461&amp;" | "&amp;AU$6,'Job Master'!$F$12:$I$102,4,0),BD461-VLOOKUP($P461&amp;" | "&amp;AU$6,'Job Master'!$F$12:$I$102,4,0)-1),""),"")</f>
        <v/>
      </c>
      <c r="AX461" s="73"/>
      <c r="AY461" s="123" t="str">
        <f t="shared" si="904"/>
        <v/>
      </c>
      <c r="AZ461" s="123" t="str">
        <f t="shared" si="905"/>
        <v/>
      </c>
      <c r="BA461" s="97" t="str">
        <f t="shared" ca="1" si="906"/>
        <v/>
      </c>
      <c r="BB461" s="98" t="str">
        <f>IF(BD461&lt;&gt;"",VLOOKUP($P461&amp;" | "&amp;BB$6,'Job Master'!$F$12:$J$102,5,0),"")</f>
        <v/>
      </c>
      <c r="BC461" s="19" t="str">
        <f>IF(BD461&lt;&gt;"",VLOOKUP($P461&amp;" | "&amp;BB$6,'Job Master'!$F$12:$J$102,3,0),"")</f>
        <v/>
      </c>
      <c r="BD461" s="19" t="str">
        <f>IFERROR(IF(AND(BK461&lt;&gt;"",VLOOKUP($P461&amp;" | "&amp;BB$6,'Job Master'!$F$12:$I$102,4,0)&lt;&gt;""),IF(WEEKDAY(BK461-VLOOKUP($P461&amp;" | "&amp;BB$6,'Job Master'!$F$12:$I$102,4,0))&lt;&gt;7,BK461-VLOOKUP($P461&amp;" | "&amp;BB$6,'Job Master'!$F$12:$I$102,4,0),BK461-VLOOKUP($P461&amp;" | "&amp;BB$6,'Job Master'!$F$12:$I$102,4,0)-1),""),"")</f>
        <v/>
      </c>
      <c r="BE461" s="73"/>
      <c r="BF461" s="123" t="str">
        <f t="shared" si="907"/>
        <v/>
      </c>
      <c r="BG461" s="123" t="str">
        <f t="shared" si="908"/>
        <v/>
      </c>
      <c r="BH461" s="97" t="str">
        <f t="shared" ca="1" si="909"/>
        <v/>
      </c>
      <c r="BI461" s="98" t="str">
        <f>IF(BK461&lt;&gt;"",VLOOKUP($P461&amp;" | "&amp;BI$6,'Job Master'!$F$12:$J$102,5,0),"")</f>
        <v/>
      </c>
      <c r="BJ461" s="19" t="str">
        <f>IF(BK461&lt;&gt;"",VLOOKUP($P461&amp;" | "&amp;BI$6,'Job Master'!$F$12:$J$102,3,0),"")</f>
        <v/>
      </c>
      <c r="BK461" s="19" t="str">
        <f>IFERROR(IF(AND(BR461&lt;&gt;"",VLOOKUP($P461&amp;" | "&amp;BI$6,'Job Master'!$F$12:$I$102,4,0)&lt;&gt;""),IF(WEEKDAY(BR461-VLOOKUP($P461&amp;" | "&amp;BI$6,'Job Master'!$F$12:$I$102,4,0))&lt;&gt;7,BR461-VLOOKUP($P461&amp;" | "&amp;BI$6,'Job Master'!$F$12:$I$102,4,0),BR461-VLOOKUP($P461&amp;" | "&amp;BI$6,'Job Master'!$F$12:$I$102,4,0)-1),""),"")</f>
        <v/>
      </c>
      <c r="BL461" s="73"/>
      <c r="BM461" s="123" t="str">
        <f t="shared" si="910"/>
        <v/>
      </c>
      <c r="BN461" s="123" t="str">
        <f t="shared" si="911"/>
        <v/>
      </c>
      <c r="BO461" s="97" t="str">
        <f t="shared" ca="1" si="912"/>
        <v/>
      </c>
      <c r="BP461" s="98" t="str">
        <f>IF(BR461&lt;&gt;"",VLOOKUP($P461&amp;" | "&amp;BP$6,'Job Master'!$F$12:$J$102,5,0),"")</f>
        <v/>
      </c>
      <c r="BQ461" s="19" t="str">
        <f>IF(BR461&lt;&gt;"",VLOOKUP($P461&amp;" | "&amp;BP$6,'Job Master'!$F$12:$J$102,3,0),"")</f>
        <v/>
      </c>
      <c r="BR461" s="19" t="str">
        <f>IFERROR(IF(AND(BY461&lt;&gt;"",VLOOKUP($P461&amp;" | "&amp;BP$6,'Job Master'!$F$12:$I$102,4,0)&lt;&gt;""),IF(WEEKDAY(BY461-VLOOKUP($P461&amp;" | "&amp;BP$6,'Job Master'!$F$12:$I$102,4,0))&lt;&gt;7,BY461-VLOOKUP($P461&amp;" | "&amp;BP$6,'Job Master'!$F$12:$I$102,4,0),BY461-VLOOKUP($P461&amp;" | "&amp;BP$6,'Job Master'!$F$12:$I$102,4,0)-1),""),"")</f>
        <v/>
      </c>
      <c r="BS461" s="73"/>
      <c r="BT461" s="123" t="str">
        <f t="shared" si="913"/>
        <v/>
      </c>
      <c r="BU461" s="123" t="str">
        <f t="shared" si="914"/>
        <v/>
      </c>
      <c r="BV461" s="97" t="str">
        <f t="shared" ca="1" si="915"/>
        <v/>
      </c>
      <c r="BW461" s="98" t="str">
        <f>IF(BY461&lt;&gt;"",VLOOKUP($P461&amp;" | "&amp;BW$6,'Job Master'!$F$12:$J$102,5,0),"")</f>
        <v/>
      </c>
      <c r="BX461" s="19" t="str">
        <f>IF(BY461&lt;&gt;"",VLOOKUP($P461&amp;" | "&amp;BW$6,'Job Master'!$F$12:$J$102,3,0),"")</f>
        <v/>
      </c>
      <c r="BY461" s="19" t="str">
        <f>IFERROR(IF(AND(CF461&lt;&gt;"",VLOOKUP($P461&amp;" | "&amp;BW$6,'Job Master'!$F$12:$I$102,4,0)&lt;&gt;""),IF(WEEKDAY(CF461-VLOOKUP($P461&amp;" | "&amp;BW$6,'Job Master'!$F$12:$I$102,4,0))&lt;&gt;7,CF461-VLOOKUP($P461&amp;" | "&amp;BW$6,'Job Master'!$F$12:$I$102,4,0),CF461-VLOOKUP($P461&amp;" | "&amp;BW$6,'Job Master'!$F$12:$I$102,4,0)-1),""),"")</f>
        <v/>
      </c>
      <c r="BZ461" s="73"/>
      <c r="CA461" s="123" t="str">
        <f t="shared" si="916"/>
        <v/>
      </c>
      <c r="CB461" s="123" t="str">
        <f t="shared" si="917"/>
        <v/>
      </c>
      <c r="CC461" s="97" t="str">
        <f t="shared" ca="1" si="918"/>
        <v/>
      </c>
      <c r="CD461" s="98" t="str">
        <f>IF(CF461&lt;&gt;"",VLOOKUP($P461&amp;" | "&amp;CD$6,'Job Master'!$F$12:$J$102,5,0),"")</f>
        <v/>
      </c>
      <c r="CE461" s="19" t="str">
        <f>IF(CF461&lt;&gt;"",VLOOKUP($P461&amp;" | "&amp;CD$6,'Job Master'!$F$12:$J$102,3,0),"")</f>
        <v/>
      </c>
      <c r="CF461" s="19" t="str">
        <f>IFERROR(IF(AND(CM461&lt;&gt;"",VLOOKUP($P461&amp;" | "&amp;CD$6,'Job Master'!$F$12:$I$102,4,0)&lt;&gt;""),IF(WEEKDAY(CM461-VLOOKUP($P461&amp;" | "&amp;CD$6,'Job Master'!$F$12:$I$102,4,0))&lt;&gt;7,CM461-VLOOKUP($P461&amp;" | "&amp;CD$6,'Job Master'!$F$12:$I$102,4,0),CM461-VLOOKUP($P461&amp;" | "&amp;CD$6,'Job Master'!$F$12:$I$102,4,0)-1),""),"")</f>
        <v/>
      </c>
      <c r="CG461" s="73"/>
      <c r="CH461" s="123" t="str">
        <f t="shared" si="919"/>
        <v/>
      </c>
      <c r="CI461" s="123" t="str">
        <f t="shared" si="920"/>
        <v/>
      </c>
      <c r="CJ461" s="97" t="str">
        <f t="shared" ca="1" si="921"/>
        <v/>
      </c>
      <c r="CK461" s="98" t="str">
        <f>IF(CM461&lt;&gt;"",VLOOKUP($P461&amp;" | "&amp;CK$6,'Job Master'!$F$12:$J$102,5,0),"")</f>
        <v/>
      </c>
      <c r="CL461" s="19" t="str">
        <f>IF(CM461&lt;&gt;"",VLOOKUP($P461&amp;" | "&amp;CK$6,'Job Master'!$F$12:$J$102,3,0),"")</f>
        <v/>
      </c>
      <c r="CM461" s="19" t="str">
        <f>IFERROR(IF(AND(CT461&lt;&gt;"",VLOOKUP($P461&amp;" | "&amp;CK$6,'Job Master'!$F$12:$I$102,4,0)&lt;&gt;""),IF(WEEKDAY(CT461-VLOOKUP($P461&amp;" | "&amp;CK$6,'Job Master'!$F$12:$I$102,4,0))&lt;&gt;7,CT461-VLOOKUP($P461&amp;" | "&amp;CK$6,'Job Master'!$F$12:$I$102,4,0),CT461-VLOOKUP($P461&amp;" | "&amp;CK$6,'Job Master'!$F$12:$I$102,4,0)-1),""),"")</f>
        <v/>
      </c>
      <c r="CN461" s="73"/>
      <c r="CO461" s="123" t="str">
        <f t="shared" si="922"/>
        <v/>
      </c>
      <c r="CP461" s="123" t="str">
        <f t="shared" si="923"/>
        <v/>
      </c>
      <c r="CQ461" s="97" t="str">
        <f t="shared" ca="1" si="924"/>
        <v/>
      </c>
      <c r="CR461" s="98" t="str">
        <f>IF(CT461&lt;&gt;"",VLOOKUP($P461&amp;" | "&amp;CR$6,'Job Master'!$F$12:$J$102,5,0),"")</f>
        <v/>
      </c>
      <c r="CS461" s="19" t="str">
        <f>IF(CT461&lt;&gt;"",VLOOKUP($P461&amp;" | "&amp;CR$6,'Job Master'!$F$12:$J$102,3,0),"")</f>
        <v/>
      </c>
      <c r="CT461" s="19" t="str">
        <f>IFERROR(IF(AND(DA461&lt;&gt;"",VLOOKUP($P461&amp;" | "&amp;CR$6,'Job Master'!$F$12:$I$102,4,0)&lt;&gt;""),IF(WEEKDAY(DA461-VLOOKUP($P461&amp;" | "&amp;CR$6,'Job Master'!$F$12:$I$102,4,0))&lt;&gt;7,DA461-VLOOKUP($P461&amp;" | "&amp;CR$6,'Job Master'!$F$12:$I$102,4,0),DA461-VLOOKUP($P461&amp;" | "&amp;CR$6,'Job Master'!$F$12:$I$102,4,0)-1),""),"")</f>
        <v/>
      </c>
      <c r="CU461" s="73"/>
      <c r="CV461" s="123" t="str">
        <f t="shared" si="925"/>
        <v/>
      </c>
      <c r="CW461" s="123" t="str">
        <f t="shared" si="926"/>
        <v/>
      </c>
      <c r="CX461" s="97" t="str">
        <f t="shared" ca="1" si="927"/>
        <v/>
      </c>
      <c r="CY461" s="98" t="str">
        <f>IF(DA461&lt;&gt;"",VLOOKUP($P461&amp;" | "&amp;CY$6,'Job Master'!$F$12:$J$102,5,0),"")</f>
        <v/>
      </c>
      <c r="CZ461" s="19" t="str">
        <f>IF(DA461&lt;&gt;"",VLOOKUP($P461&amp;" | "&amp;CY$6,'Job Master'!$F$12:$J$102,3,0),"")</f>
        <v/>
      </c>
      <c r="DA461" s="19" t="str">
        <f>IFERROR(IF(AND(DH461&lt;&gt;"",VLOOKUP($P461&amp;" | "&amp;CY$6,'Job Master'!$F$12:$I$102,4,0)&lt;&gt;""),IF(WEEKDAY(DH461-VLOOKUP($P461&amp;" | "&amp;CY$6,'Job Master'!$F$12:$I$102,4,0))&lt;&gt;7,DH461-VLOOKUP($P461&amp;" | "&amp;CY$6,'Job Master'!$F$12:$I$102,4,0),DH461-VLOOKUP($P461&amp;" | "&amp;CY$6,'Job Master'!$F$12:$I$102,4,0)-1),""),"")</f>
        <v/>
      </c>
      <c r="DB461" s="73"/>
      <c r="DC461" s="123" t="str">
        <f t="shared" si="928"/>
        <v/>
      </c>
      <c r="DD461" s="123" t="str">
        <f t="shared" si="929"/>
        <v/>
      </c>
      <c r="DE461" s="97" t="str">
        <f t="shared" ca="1" si="930"/>
        <v/>
      </c>
      <c r="DF461" s="98" t="str">
        <f>IF(DH461&lt;&gt;"",VLOOKUP($P461&amp;" | "&amp;DF$6,'Job Master'!$F$12:$J$102,5,0),"")</f>
        <v/>
      </c>
      <c r="DG461" s="19" t="str">
        <f>IF(DH461&lt;&gt;"",VLOOKUP($P461&amp;" | "&amp;DF$6,'Job Master'!$F$12:$J$102,3,0),"")</f>
        <v/>
      </c>
      <c r="DH461" s="19" t="str">
        <f>IFERROR(IF(AND(DO461&lt;&gt;"",VLOOKUP($P461&amp;" | "&amp;DF$6,'Job Master'!$F$12:$I$102,4,0)&lt;&gt;""),IF(WEEKDAY(DO461-VLOOKUP($P461&amp;" | "&amp;DF$6,'Job Master'!$F$12:$I$102,4,0))&lt;&gt;7,DO461-VLOOKUP($P461&amp;" | "&amp;DF$6,'Job Master'!$F$12:$I$102,4,0),DO461-VLOOKUP($P461&amp;" | "&amp;DF$6,'Job Master'!$F$12:$I$102,4,0)-1),""),"")</f>
        <v/>
      </c>
      <c r="DI461" s="73"/>
      <c r="DJ461" s="123" t="str">
        <f t="shared" si="931"/>
        <v/>
      </c>
      <c r="DK461" s="123" t="str">
        <f t="shared" si="932"/>
        <v/>
      </c>
      <c r="DL461" s="97" t="str">
        <f t="shared" ca="1" si="933"/>
        <v/>
      </c>
      <c r="DM461" s="98" t="str">
        <f>IF(DO461&lt;&gt;"",VLOOKUP($P461&amp;" | "&amp;DM$6,'Job Master'!$F$12:$J$102,5,0),"")</f>
        <v/>
      </c>
      <c r="DN461" s="19" t="str">
        <f>IF(DO461&lt;&gt;"",VLOOKUP($P461&amp;" | "&amp;DM$6,'Job Master'!$F$12:$J$102,3,0),"")</f>
        <v/>
      </c>
      <c r="DO461" s="19" t="str">
        <f>IFERROR(IF(AND(DT461&lt;&gt;"",VLOOKUP($P461&amp;" | "&amp;DM$6,'Job Master'!$F$12:$I$102,4,0)&lt;&gt;""),IF(WEEKDAY(DT461-VLOOKUP($P461&amp;" | "&amp;DM$6,'Job Master'!$F$12:$I$102,4,0))&lt;&gt;7,DT461-VLOOKUP($P461&amp;" | "&amp;DM$6,'Job Master'!$F$12:$I$102,4,0),DT461-VLOOKUP($P461&amp;" | "&amp;DM$6,'Job Master'!$F$12:$I$102,4,0)-1),""),"")</f>
        <v/>
      </c>
      <c r="DP461" s="73"/>
      <c r="DQ461" s="123" t="str">
        <f t="shared" si="934"/>
        <v/>
      </c>
      <c r="DR461" s="123" t="str">
        <f t="shared" si="935"/>
        <v/>
      </c>
      <c r="DS461" s="97" t="str">
        <f t="shared" ca="1" si="936"/>
        <v/>
      </c>
      <c r="DT461" s="70" t="str">
        <f t="shared" si="937"/>
        <v/>
      </c>
      <c r="DU461" s="90"/>
      <c r="DV461" s="123" t="str">
        <f t="shared" si="938"/>
        <v/>
      </c>
      <c r="DW461" s="123" t="str">
        <f t="shared" si="939"/>
        <v/>
      </c>
      <c r="DX461" s="132" t="str">
        <f t="shared" ref="DX461" ca="1" si="945">IF(DT461&lt;&gt;"",IF(WEEKNUM(DT461)=WEEKNUM(TODAY()),"This Week",IF(WEEKNUM(DT461)=WEEKNUM(TODAY())+1,"Next Week",IF(WEEKNUM(DT461)=WEEKNUM(TODAY())-1,"Previous Week",""))),"")</f>
        <v/>
      </c>
      <c r="DY461" s="134" t="str">
        <f t="shared" si="941"/>
        <v/>
      </c>
      <c r="DZ461" s="95"/>
      <c r="EB461" s="8" t="str">
        <f t="shared" si="823"/>
        <v/>
      </c>
      <c r="EC461" s="8" t="str">
        <f>IF(O461&lt;&gt;"",VLOOKUP(O461,'Job Master'!$N$12:$O$18,2,0),"")</f>
        <v/>
      </c>
      <c r="ED461" s="8">
        <f t="shared" si="824"/>
        <v>19.5</v>
      </c>
      <c r="EE461" s="8">
        <f t="shared" si="825"/>
        <v>6</v>
      </c>
      <c r="EF461" s="8">
        <f t="shared" si="826"/>
        <v>-2686.5</v>
      </c>
      <c r="EG461" s="8" t="str">
        <f t="shared" si="827"/>
        <v/>
      </c>
      <c r="EH461" s="8" t="str">
        <f t="shared" si="828"/>
        <v/>
      </c>
    </row>
    <row r="462" spans="2:138" x14ac:dyDescent="0.3">
      <c r="B462" s="112"/>
      <c r="C462" s="27"/>
      <c r="D462" s="7" t="str">
        <f t="shared" si="891"/>
        <v/>
      </c>
      <c r="E462" s="25"/>
      <c r="F462" s="7" t="str">
        <f t="shared" si="891"/>
        <v/>
      </c>
      <c r="G462" s="25"/>
      <c r="H462" s="7" t="str">
        <f t="shared" si="891"/>
        <v/>
      </c>
      <c r="I462" s="25"/>
      <c r="J462" s="7" t="str">
        <f t="shared" si="891"/>
        <v/>
      </c>
      <c r="K462" s="25"/>
      <c r="L462" s="7" t="str">
        <f t="shared" si="891"/>
        <v/>
      </c>
      <c r="M462" s="25"/>
      <c r="N462" s="7" t="str">
        <f t="shared" si="891"/>
        <v/>
      </c>
      <c r="O462" s="81"/>
      <c r="P462" s="81" t="str">
        <f t="shared" si="892"/>
        <v/>
      </c>
      <c r="Q462" s="81"/>
      <c r="R462" s="7" t="str">
        <f t="shared" si="893"/>
        <v/>
      </c>
      <c r="S462" s="25"/>
      <c r="T462" s="7" t="str">
        <f t="shared" si="894"/>
        <v/>
      </c>
      <c r="U462" s="25"/>
      <c r="V462" s="7" t="str">
        <f t="shared" si="895"/>
        <v/>
      </c>
      <c r="W462" s="25"/>
      <c r="X462" s="7" t="str">
        <f t="shared" si="896"/>
        <v/>
      </c>
      <c r="Y462" s="18" t="str">
        <f t="shared" si="897"/>
        <v/>
      </c>
      <c r="Z462" s="7" t="str">
        <f t="shared" si="898"/>
        <v/>
      </c>
      <c r="AA462" s="18" t="str">
        <f t="shared" si="899"/>
        <v/>
      </c>
      <c r="AB462" s="19" t="str">
        <f t="shared" si="900"/>
        <v/>
      </c>
      <c r="AC462" s="26"/>
      <c r="AD462" s="26"/>
      <c r="AE462" s="25"/>
      <c r="AF462" s="26"/>
      <c r="AG462" s="25"/>
      <c r="AH462" s="25"/>
      <c r="AI462" s="18" t="str">
        <f t="shared" si="839"/>
        <v/>
      </c>
      <c r="AJ462" s="25"/>
      <c r="AK462" s="18" t="str">
        <f t="shared" si="840"/>
        <v/>
      </c>
      <c r="AL462" s="79"/>
      <c r="AM462" s="126" t="str">
        <f t="shared" si="841"/>
        <v/>
      </c>
      <c r="AN462" s="128" t="str">
        <f>IF(AP462&lt;&gt;"",VLOOKUP($P462&amp;" | "&amp;AN$6,'Job Master'!$F$12:$J$102,5,0),"")</f>
        <v/>
      </c>
      <c r="AO462" s="19" t="str">
        <f>IF(AP462&lt;&gt;"",VLOOKUP($P462&amp;" | "&amp;AN$6,'Job Master'!$F$12:$J$102,3,0),"")</f>
        <v/>
      </c>
      <c r="AP462" s="19" t="str">
        <f>IFERROR(IF(AND(AW462&lt;&gt;"",VLOOKUP($P462&amp;" | "&amp;AN$6,'Job Master'!$F$12:$I$102,4,0)&lt;&gt;""),IF(WEEKDAY(AW462-VLOOKUP($P462&amp;" | "&amp;AN$6,'Job Master'!$F$12:$I$102,4,0))&lt;&gt;7,AW462-VLOOKUP($P462&amp;" | "&amp;AN$6,'Job Master'!$F$12:$I$102,4,0),AW462-VLOOKUP($P462&amp;" | "&amp;AN$6,'Job Master'!$F$12:$I$102,4,0)-1),""),"")</f>
        <v/>
      </c>
      <c r="AQ462" s="73"/>
      <c r="AR462" s="123" t="str">
        <f t="shared" si="901"/>
        <v/>
      </c>
      <c r="AS462" s="123" t="str">
        <f t="shared" si="902"/>
        <v/>
      </c>
      <c r="AT462" s="97" t="str">
        <f t="shared" ca="1" si="903"/>
        <v/>
      </c>
      <c r="AU462" s="98" t="str">
        <f>IF(AW462&lt;&gt;"",VLOOKUP($P462&amp;" | "&amp;AU$6,'Job Master'!$F$12:$J$102,5,0),"")</f>
        <v/>
      </c>
      <c r="AV462" s="19" t="str">
        <f>IF(AW462&lt;&gt;"",VLOOKUP($P462&amp;" | "&amp;AU$6,'Job Master'!$F$12:$J$102,3,0),"")</f>
        <v/>
      </c>
      <c r="AW462" s="19" t="str">
        <f>IFERROR(IF(AND(BD462&lt;&gt;"",VLOOKUP($P462&amp;" | "&amp;AU$6,'Job Master'!$F$12:$I$102,4,0)&lt;&gt;""),IF(WEEKDAY(BD462-VLOOKUP($P462&amp;" | "&amp;AU$6,'Job Master'!$F$12:$I$102,4,0))&lt;&gt;7,BD462-VLOOKUP($P462&amp;" | "&amp;AU$6,'Job Master'!$F$12:$I$102,4,0),BD462-VLOOKUP($P462&amp;" | "&amp;AU$6,'Job Master'!$F$12:$I$102,4,0)-1),""),"")</f>
        <v/>
      </c>
      <c r="AX462" s="73"/>
      <c r="AY462" s="123" t="str">
        <f t="shared" si="904"/>
        <v/>
      </c>
      <c r="AZ462" s="123" t="str">
        <f t="shared" si="905"/>
        <v/>
      </c>
      <c r="BA462" s="97" t="str">
        <f t="shared" ca="1" si="906"/>
        <v/>
      </c>
      <c r="BB462" s="98" t="str">
        <f>IF(BD462&lt;&gt;"",VLOOKUP($P462&amp;" | "&amp;BB$6,'Job Master'!$F$12:$J$102,5,0),"")</f>
        <v/>
      </c>
      <c r="BC462" s="19" t="str">
        <f>IF(BD462&lt;&gt;"",VLOOKUP($P462&amp;" | "&amp;BB$6,'Job Master'!$F$12:$J$102,3,0),"")</f>
        <v/>
      </c>
      <c r="BD462" s="19" t="str">
        <f>IFERROR(IF(AND(BK462&lt;&gt;"",VLOOKUP($P462&amp;" | "&amp;BB$6,'Job Master'!$F$12:$I$102,4,0)&lt;&gt;""),IF(WEEKDAY(BK462-VLOOKUP($P462&amp;" | "&amp;BB$6,'Job Master'!$F$12:$I$102,4,0))&lt;&gt;7,BK462-VLOOKUP($P462&amp;" | "&amp;BB$6,'Job Master'!$F$12:$I$102,4,0),BK462-VLOOKUP($P462&amp;" | "&amp;BB$6,'Job Master'!$F$12:$I$102,4,0)-1),""),"")</f>
        <v/>
      </c>
      <c r="BE462" s="73"/>
      <c r="BF462" s="123" t="str">
        <f t="shared" si="907"/>
        <v/>
      </c>
      <c r="BG462" s="123" t="str">
        <f t="shared" si="908"/>
        <v/>
      </c>
      <c r="BH462" s="97" t="str">
        <f t="shared" ca="1" si="909"/>
        <v/>
      </c>
      <c r="BI462" s="98" t="str">
        <f>IF(BK462&lt;&gt;"",VLOOKUP($P462&amp;" | "&amp;BI$6,'Job Master'!$F$12:$J$102,5,0),"")</f>
        <v/>
      </c>
      <c r="BJ462" s="19" t="str">
        <f>IF(BK462&lt;&gt;"",VLOOKUP($P462&amp;" | "&amp;BI$6,'Job Master'!$F$12:$J$102,3,0),"")</f>
        <v/>
      </c>
      <c r="BK462" s="19" t="str">
        <f>IFERROR(IF(AND(BR462&lt;&gt;"",VLOOKUP($P462&amp;" | "&amp;BI$6,'Job Master'!$F$12:$I$102,4,0)&lt;&gt;""),IF(WEEKDAY(BR462-VLOOKUP($P462&amp;" | "&amp;BI$6,'Job Master'!$F$12:$I$102,4,0))&lt;&gt;7,BR462-VLOOKUP($P462&amp;" | "&amp;BI$6,'Job Master'!$F$12:$I$102,4,0),BR462-VLOOKUP($P462&amp;" | "&amp;BI$6,'Job Master'!$F$12:$I$102,4,0)-1),""),"")</f>
        <v/>
      </c>
      <c r="BL462" s="73"/>
      <c r="BM462" s="123" t="str">
        <f t="shared" si="910"/>
        <v/>
      </c>
      <c r="BN462" s="123" t="str">
        <f t="shared" si="911"/>
        <v/>
      </c>
      <c r="BO462" s="97" t="str">
        <f t="shared" ca="1" si="912"/>
        <v/>
      </c>
      <c r="BP462" s="98" t="str">
        <f>IF(BR462&lt;&gt;"",VLOOKUP($P462&amp;" | "&amp;BP$6,'Job Master'!$F$12:$J$102,5,0),"")</f>
        <v/>
      </c>
      <c r="BQ462" s="19" t="str">
        <f>IF(BR462&lt;&gt;"",VLOOKUP($P462&amp;" | "&amp;BP$6,'Job Master'!$F$12:$J$102,3,0),"")</f>
        <v/>
      </c>
      <c r="BR462" s="19" t="str">
        <f>IFERROR(IF(AND(BY462&lt;&gt;"",VLOOKUP($P462&amp;" | "&amp;BP$6,'Job Master'!$F$12:$I$102,4,0)&lt;&gt;""),IF(WEEKDAY(BY462-VLOOKUP($P462&amp;" | "&amp;BP$6,'Job Master'!$F$12:$I$102,4,0))&lt;&gt;7,BY462-VLOOKUP($P462&amp;" | "&amp;BP$6,'Job Master'!$F$12:$I$102,4,0),BY462-VLOOKUP($P462&amp;" | "&amp;BP$6,'Job Master'!$F$12:$I$102,4,0)-1),""),"")</f>
        <v/>
      </c>
      <c r="BS462" s="73"/>
      <c r="BT462" s="123" t="str">
        <f t="shared" si="913"/>
        <v/>
      </c>
      <c r="BU462" s="123" t="str">
        <f t="shared" si="914"/>
        <v/>
      </c>
      <c r="BV462" s="97" t="str">
        <f t="shared" ca="1" si="915"/>
        <v/>
      </c>
      <c r="BW462" s="98" t="str">
        <f>IF(BY462&lt;&gt;"",VLOOKUP($P462&amp;" | "&amp;BW$6,'Job Master'!$F$12:$J$102,5,0),"")</f>
        <v/>
      </c>
      <c r="BX462" s="19" t="str">
        <f>IF(BY462&lt;&gt;"",VLOOKUP($P462&amp;" | "&amp;BW$6,'Job Master'!$F$12:$J$102,3,0),"")</f>
        <v/>
      </c>
      <c r="BY462" s="19" t="str">
        <f>IFERROR(IF(AND(CF462&lt;&gt;"",VLOOKUP($P462&amp;" | "&amp;BW$6,'Job Master'!$F$12:$I$102,4,0)&lt;&gt;""),IF(WEEKDAY(CF462-VLOOKUP($P462&amp;" | "&amp;BW$6,'Job Master'!$F$12:$I$102,4,0))&lt;&gt;7,CF462-VLOOKUP($P462&amp;" | "&amp;BW$6,'Job Master'!$F$12:$I$102,4,0),CF462-VLOOKUP($P462&amp;" | "&amp;BW$6,'Job Master'!$F$12:$I$102,4,0)-1),""),"")</f>
        <v/>
      </c>
      <c r="BZ462" s="73"/>
      <c r="CA462" s="123" t="str">
        <f t="shared" si="916"/>
        <v/>
      </c>
      <c r="CB462" s="123" t="str">
        <f t="shared" si="917"/>
        <v/>
      </c>
      <c r="CC462" s="97" t="str">
        <f t="shared" ca="1" si="918"/>
        <v/>
      </c>
      <c r="CD462" s="98" t="str">
        <f>IF(CF462&lt;&gt;"",VLOOKUP($P462&amp;" | "&amp;CD$6,'Job Master'!$F$12:$J$102,5,0),"")</f>
        <v/>
      </c>
      <c r="CE462" s="19" t="str">
        <f>IF(CF462&lt;&gt;"",VLOOKUP($P462&amp;" | "&amp;CD$6,'Job Master'!$F$12:$J$102,3,0),"")</f>
        <v/>
      </c>
      <c r="CF462" s="19" t="str">
        <f>IFERROR(IF(AND(CM462&lt;&gt;"",VLOOKUP($P462&amp;" | "&amp;CD$6,'Job Master'!$F$12:$I$102,4,0)&lt;&gt;""),IF(WEEKDAY(CM462-VLOOKUP($P462&amp;" | "&amp;CD$6,'Job Master'!$F$12:$I$102,4,0))&lt;&gt;7,CM462-VLOOKUP($P462&amp;" | "&amp;CD$6,'Job Master'!$F$12:$I$102,4,0),CM462-VLOOKUP($P462&amp;" | "&amp;CD$6,'Job Master'!$F$12:$I$102,4,0)-1),""),"")</f>
        <v/>
      </c>
      <c r="CG462" s="73"/>
      <c r="CH462" s="123" t="str">
        <f t="shared" si="919"/>
        <v/>
      </c>
      <c r="CI462" s="123" t="str">
        <f t="shared" si="920"/>
        <v/>
      </c>
      <c r="CJ462" s="97" t="str">
        <f t="shared" ca="1" si="921"/>
        <v/>
      </c>
      <c r="CK462" s="98" t="str">
        <f>IF(CM462&lt;&gt;"",VLOOKUP($P462&amp;" | "&amp;CK$6,'Job Master'!$F$12:$J$102,5,0),"")</f>
        <v/>
      </c>
      <c r="CL462" s="19" t="str">
        <f>IF(CM462&lt;&gt;"",VLOOKUP($P462&amp;" | "&amp;CK$6,'Job Master'!$F$12:$J$102,3,0),"")</f>
        <v/>
      </c>
      <c r="CM462" s="19" t="str">
        <f>IFERROR(IF(AND(CT462&lt;&gt;"",VLOOKUP($P462&amp;" | "&amp;CK$6,'Job Master'!$F$12:$I$102,4,0)&lt;&gt;""),IF(WEEKDAY(CT462-VLOOKUP($P462&amp;" | "&amp;CK$6,'Job Master'!$F$12:$I$102,4,0))&lt;&gt;7,CT462-VLOOKUP($P462&amp;" | "&amp;CK$6,'Job Master'!$F$12:$I$102,4,0),CT462-VLOOKUP($P462&amp;" | "&amp;CK$6,'Job Master'!$F$12:$I$102,4,0)-1),""),"")</f>
        <v/>
      </c>
      <c r="CN462" s="73"/>
      <c r="CO462" s="123" t="str">
        <f t="shared" si="922"/>
        <v/>
      </c>
      <c r="CP462" s="123" t="str">
        <f t="shared" si="923"/>
        <v/>
      </c>
      <c r="CQ462" s="97" t="str">
        <f t="shared" ca="1" si="924"/>
        <v/>
      </c>
      <c r="CR462" s="98" t="str">
        <f>IF(CT462&lt;&gt;"",VLOOKUP($P462&amp;" | "&amp;CR$6,'Job Master'!$F$12:$J$102,5,0),"")</f>
        <v/>
      </c>
      <c r="CS462" s="19" t="str">
        <f>IF(CT462&lt;&gt;"",VLOOKUP($P462&amp;" | "&amp;CR$6,'Job Master'!$F$12:$J$102,3,0),"")</f>
        <v/>
      </c>
      <c r="CT462" s="19" t="str">
        <f>IFERROR(IF(AND(DA462&lt;&gt;"",VLOOKUP($P462&amp;" | "&amp;CR$6,'Job Master'!$F$12:$I$102,4,0)&lt;&gt;""),IF(WEEKDAY(DA462-VLOOKUP($P462&amp;" | "&amp;CR$6,'Job Master'!$F$12:$I$102,4,0))&lt;&gt;7,DA462-VLOOKUP($P462&amp;" | "&amp;CR$6,'Job Master'!$F$12:$I$102,4,0),DA462-VLOOKUP($P462&amp;" | "&amp;CR$6,'Job Master'!$F$12:$I$102,4,0)-1),""),"")</f>
        <v/>
      </c>
      <c r="CU462" s="73"/>
      <c r="CV462" s="123" t="str">
        <f t="shared" si="925"/>
        <v/>
      </c>
      <c r="CW462" s="123" t="str">
        <f t="shared" si="926"/>
        <v/>
      </c>
      <c r="CX462" s="97" t="str">
        <f t="shared" ca="1" si="927"/>
        <v/>
      </c>
      <c r="CY462" s="98" t="str">
        <f>IF(DA462&lt;&gt;"",VLOOKUP($P462&amp;" | "&amp;CY$6,'Job Master'!$F$12:$J$102,5,0),"")</f>
        <v/>
      </c>
      <c r="CZ462" s="19" t="str">
        <f>IF(DA462&lt;&gt;"",VLOOKUP($P462&amp;" | "&amp;CY$6,'Job Master'!$F$12:$J$102,3,0),"")</f>
        <v/>
      </c>
      <c r="DA462" s="19" t="str">
        <f>IFERROR(IF(AND(DH462&lt;&gt;"",VLOOKUP($P462&amp;" | "&amp;CY$6,'Job Master'!$F$12:$I$102,4,0)&lt;&gt;""),IF(WEEKDAY(DH462-VLOOKUP($P462&amp;" | "&amp;CY$6,'Job Master'!$F$12:$I$102,4,0))&lt;&gt;7,DH462-VLOOKUP($P462&amp;" | "&amp;CY$6,'Job Master'!$F$12:$I$102,4,0),DH462-VLOOKUP($P462&amp;" | "&amp;CY$6,'Job Master'!$F$12:$I$102,4,0)-1),""),"")</f>
        <v/>
      </c>
      <c r="DB462" s="73"/>
      <c r="DC462" s="123" t="str">
        <f t="shared" si="928"/>
        <v/>
      </c>
      <c r="DD462" s="123" t="str">
        <f t="shared" si="929"/>
        <v/>
      </c>
      <c r="DE462" s="97" t="str">
        <f t="shared" ca="1" si="930"/>
        <v/>
      </c>
      <c r="DF462" s="98" t="str">
        <f>IF(DH462&lt;&gt;"",VLOOKUP($P462&amp;" | "&amp;DF$6,'Job Master'!$F$12:$J$102,5,0),"")</f>
        <v/>
      </c>
      <c r="DG462" s="19" t="str">
        <f>IF(DH462&lt;&gt;"",VLOOKUP($P462&amp;" | "&amp;DF$6,'Job Master'!$F$12:$J$102,3,0),"")</f>
        <v/>
      </c>
      <c r="DH462" s="19" t="str">
        <f>IFERROR(IF(AND(DO462&lt;&gt;"",VLOOKUP($P462&amp;" | "&amp;DF$6,'Job Master'!$F$12:$I$102,4,0)&lt;&gt;""),IF(WEEKDAY(DO462-VLOOKUP($P462&amp;" | "&amp;DF$6,'Job Master'!$F$12:$I$102,4,0))&lt;&gt;7,DO462-VLOOKUP($P462&amp;" | "&amp;DF$6,'Job Master'!$F$12:$I$102,4,0),DO462-VLOOKUP($P462&amp;" | "&amp;DF$6,'Job Master'!$F$12:$I$102,4,0)-1),""),"")</f>
        <v/>
      </c>
      <c r="DI462" s="73"/>
      <c r="DJ462" s="123" t="str">
        <f t="shared" si="931"/>
        <v/>
      </c>
      <c r="DK462" s="123" t="str">
        <f t="shared" si="932"/>
        <v/>
      </c>
      <c r="DL462" s="97" t="str">
        <f t="shared" ca="1" si="933"/>
        <v/>
      </c>
      <c r="DM462" s="98" t="str">
        <f>IF(DO462&lt;&gt;"",VLOOKUP($P462&amp;" | "&amp;DM$6,'Job Master'!$F$12:$J$102,5,0),"")</f>
        <v/>
      </c>
      <c r="DN462" s="19" t="str">
        <f>IF(DO462&lt;&gt;"",VLOOKUP($P462&amp;" | "&amp;DM$6,'Job Master'!$F$12:$J$102,3,0),"")</f>
        <v/>
      </c>
      <c r="DO462" s="19" t="str">
        <f>IFERROR(IF(AND(DT462&lt;&gt;"",VLOOKUP($P462&amp;" | "&amp;DM$6,'Job Master'!$F$12:$I$102,4,0)&lt;&gt;""),IF(WEEKDAY(DT462-VLOOKUP($P462&amp;" | "&amp;DM$6,'Job Master'!$F$12:$I$102,4,0))&lt;&gt;7,DT462-VLOOKUP($P462&amp;" | "&amp;DM$6,'Job Master'!$F$12:$I$102,4,0),DT462-VLOOKUP($P462&amp;" | "&amp;DM$6,'Job Master'!$F$12:$I$102,4,0)-1),""),"")</f>
        <v/>
      </c>
      <c r="DP462" s="73"/>
      <c r="DQ462" s="123" t="str">
        <f t="shared" si="934"/>
        <v/>
      </c>
      <c r="DR462" s="123" t="str">
        <f t="shared" si="935"/>
        <v/>
      </c>
      <c r="DS462" s="97" t="str">
        <f t="shared" ca="1" si="936"/>
        <v/>
      </c>
      <c r="DT462" s="70" t="str">
        <f t="shared" si="937"/>
        <v/>
      </c>
      <c r="DU462" s="90"/>
      <c r="DV462" s="123" t="str">
        <f t="shared" si="938"/>
        <v/>
      </c>
      <c r="DW462" s="123" t="str">
        <f t="shared" si="939"/>
        <v/>
      </c>
      <c r="DX462" s="132" t="str">
        <f t="shared" ref="DX462" ca="1" si="946">IF(DT462&lt;&gt;"",IF(WEEKNUM(DT462)=WEEKNUM(TODAY()),"This Week",IF(WEEKNUM(DT462)=WEEKNUM(TODAY())+1,"Next Week",IF(WEEKNUM(DT462)=WEEKNUM(TODAY())-1,"Previous Week",""))),"")</f>
        <v/>
      </c>
      <c r="DY462" s="134" t="str">
        <f t="shared" si="941"/>
        <v/>
      </c>
      <c r="DZ462" s="95"/>
      <c r="EB462" s="8" t="str">
        <f t="shared" ref="EB462:EB500" si="947">IF(Y462&lt;&gt;"",Y462,"")</f>
        <v/>
      </c>
      <c r="EC462" s="8" t="str">
        <f>IF(O462&lt;&gt;"",VLOOKUP(O462,'Job Master'!$N$12:$O$18,2,0),"")</f>
        <v/>
      </c>
      <c r="ED462" s="8">
        <f t="shared" ref="ED462:ED500" si="948">IF(EC462&lt;&gt;"",IF(EF462&gt;EC462,EB462,MOD(EB462,EC462)),ED461)</f>
        <v>19.5</v>
      </c>
      <c r="EE462" s="8">
        <f t="shared" ref="EE462:EE500" si="949">IF(EC462&lt;&gt;"",EC462,IF(EE461&lt;&gt;"",EE461,""))</f>
        <v>6</v>
      </c>
      <c r="EF462" s="8">
        <f t="shared" ref="EF462:EF500" si="950">IF(EC462&lt;&gt;"",EB462,IF(EF461&lt;&gt;"",EF461-EE462,""))</f>
        <v>-2692.5</v>
      </c>
      <c r="EG462" s="8" t="str">
        <f t="shared" ref="EG462:EG500" si="951">IF(EF461&lt;&gt;0,IF(EF462&gt;0,EF462,""),IF(EF462&lt;&gt;"",IF(EF462&gt;0,EF462,""),""))</f>
        <v/>
      </c>
      <c r="EH462" s="8" t="str">
        <f t="shared" ref="EH462:EH500" si="952">IF(EG462&lt;&gt;"",IF(EG462&gt;=EE462,EE462,MOD(ED462,EE462)),"")</f>
        <v/>
      </c>
    </row>
    <row r="463" spans="2:138" x14ac:dyDescent="0.3">
      <c r="B463" s="112"/>
      <c r="C463" s="27"/>
      <c r="D463" s="7" t="str">
        <f t="shared" si="891"/>
        <v/>
      </c>
      <c r="E463" s="25"/>
      <c r="F463" s="7" t="str">
        <f t="shared" si="891"/>
        <v/>
      </c>
      <c r="G463" s="25"/>
      <c r="H463" s="7" t="str">
        <f t="shared" si="891"/>
        <v/>
      </c>
      <c r="I463" s="25"/>
      <c r="J463" s="7" t="str">
        <f t="shared" si="891"/>
        <v/>
      </c>
      <c r="K463" s="25"/>
      <c r="L463" s="7" t="str">
        <f t="shared" si="891"/>
        <v/>
      </c>
      <c r="M463" s="25"/>
      <c r="N463" s="7" t="str">
        <f t="shared" si="891"/>
        <v/>
      </c>
      <c r="O463" s="81"/>
      <c r="P463" s="81" t="str">
        <f t="shared" si="892"/>
        <v/>
      </c>
      <c r="Q463" s="81"/>
      <c r="R463" s="7" t="str">
        <f t="shared" si="893"/>
        <v/>
      </c>
      <c r="S463" s="25"/>
      <c r="T463" s="7" t="str">
        <f t="shared" si="894"/>
        <v/>
      </c>
      <c r="U463" s="25"/>
      <c r="V463" s="7" t="str">
        <f t="shared" si="895"/>
        <v/>
      </c>
      <c r="W463" s="25"/>
      <c r="X463" s="7" t="str">
        <f t="shared" si="896"/>
        <v/>
      </c>
      <c r="Y463" s="18" t="str">
        <f t="shared" si="897"/>
        <v/>
      </c>
      <c r="Z463" s="7" t="str">
        <f t="shared" si="898"/>
        <v/>
      </c>
      <c r="AA463" s="18" t="str">
        <f t="shared" si="899"/>
        <v/>
      </c>
      <c r="AB463" s="19" t="str">
        <f t="shared" si="900"/>
        <v/>
      </c>
      <c r="AC463" s="26"/>
      <c r="AD463" s="26"/>
      <c r="AE463" s="25"/>
      <c r="AF463" s="26"/>
      <c r="AG463" s="25"/>
      <c r="AH463" s="25"/>
      <c r="AI463" s="18" t="str">
        <f t="shared" si="839"/>
        <v/>
      </c>
      <c r="AJ463" s="25"/>
      <c r="AK463" s="18" t="str">
        <f t="shared" si="840"/>
        <v/>
      </c>
      <c r="AL463" s="79"/>
      <c r="AM463" s="126" t="str">
        <f t="shared" si="841"/>
        <v/>
      </c>
      <c r="AN463" s="128" t="str">
        <f>IF(AP463&lt;&gt;"",VLOOKUP($P463&amp;" | "&amp;AN$6,'Job Master'!$F$12:$J$102,5,0),"")</f>
        <v/>
      </c>
      <c r="AO463" s="19" t="str">
        <f>IF(AP463&lt;&gt;"",VLOOKUP($P463&amp;" | "&amp;AN$6,'Job Master'!$F$12:$J$102,3,0),"")</f>
        <v/>
      </c>
      <c r="AP463" s="19" t="str">
        <f>IFERROR(IF(AND(AW463&lt;&gt;"",VLOOKUP($P463&amp;" | "&amp;AN$6,'Job Master'!$F$12:$I$102,4,0)&lt;&gt;""),IF(WEEKDAY(AW463-VLOOKUP($P463&amp;" | "&amp;AN$6,'Job Master'!$F$12:$I$102,4,0))&lt;&gt;7,AW463-VLOOKUP($P463&amp;" | "&amp;AN$6,'Job Master'!$F$12:$I$102,4,0),AW463-VLOOKUP($P463&amp;" | "&amp;AN$6,'Job Master'!$F$12:$I$102,4,0)-1),""),"")</f>
        <v/>
      </c>
      <c r="AQ463" s="73"/>
      <c r="AR463" s="123" t="str">
        <f t="shared" si="901"/>
        <v/>
      </c>
      <c r="AS463" s="123" t="str">
        <f t="shared" si="902"/>
        <v/>
      </c>
      <c r="AT463" s="97" t="str">
        <f t="shared" ca="1" si="903"/>
        <v/>
      </c>
      <c r="AU463" s="98" t="str">
        <f>IF(AW463&lt;&gt;"",VLOOKUP($P463&amp;" | "&amp;AU$6,'Job Master'!$F$12:$J$102,5,0),"")</f>
        <v/>
      </c>
      <c r="AV463" s="19" t="str">
        <f>IF(AW463&lt;&gt;"",VLOOKUP($P463&amp;" | "&amp;AU$6,'Job Master'!$F$12:$J$102,3,0),"")</f>
        <v/>
      </c>
      <c r="AW463" s="19" t="str">
        <f>IFERROR(IF(AND(BD463&lt;&gt;"",VLOOKUP($P463&amp;" | "&amp;AU$6,'Job Master'!$F$12:$I$102,4,0)&lt;&gt;""),IF(WEEKDAY(BD463-VLOOKUP($P463&amp;" | "&amp;AU$6,'Job Master'!$F$12:$I$102,4,0))&lt;&gt;7,BD463-VLOOKUP($P463&amp;" | "&amp;AU$6,'Job Master'!$F$12:$I$102,4,0),BD463-VLOOKUP($P463&amp;" | "&amp;AU$6,'Job Master'!$F$12:$I$102,4,0)-1),""),"")</f>
        <v/>
      </c>
      <c r="AX463" s="73"/>
      <c r="AY463" s="123" t="str">
        <f t="shared" si="904"/>
        <v/>
      </c>
      <c r="AZ463" s="123" t="str">
        <f t="shared" si="905"/>
        <v/>
      </c>
      <c r="BA463" s="97" t="str">
        <f t="shared" ca="1" si="906"/>
        <v/>
      </c>
      <c r="BB463" s="98" t="str">
        <f>IF(BD463&lt;&gt;"",VLOOKUP($P463&amp;" | "&amp;BB$6,'Job Master'!$F$12:$J$102,5,0),"")</f>
        <v/>
      </c>
      <c r="BC463" s="19" t="str">
        <f>IF(BD463&lt;&gt;"",VLOOKUP($P463&amp;" | "&amp;BB$6,'Job Master'!$F$12:$J$102,3,0),"")</f>
        <v/>
      </c>
      <c r="BD463" s="19" t="str">
        <f>IFERROR(IF(AND(BK463&lt;&gt;"",VLOOKUP($P463&amp;" | "&amp;BB$6,'Job Master'!$F$12:$I$102,4,0)&lt;&gt;""),IF(WEEKDAY(BK463-VLOOKUP($P463&amp;" | "&amp;BB$6,'Job Master'!$F$12:$I$102,4,0))&lt;&gt;7,BK463-VLOOKUP($P463&amp;" | "&amp;BB$6,'Job Master'!$F$12:$I$102,4,0),BK463-VLOOKUP($P463&amp;" | "&amp;BB$6,'Job Master'!$F$12:$I$102,4,0)-1),""),"")</f>
        <v/>
      </c>
      <c r="BE463" s="73"/>
      <c r="BF463" s="123" t="str">
        <f t="shared" si="907"/>
        <v/>
      </c>
      <c r="BG463" s="123" t="str">
        <f t="shared" si="908"/>
        <v/>
      </c>
      <c r="BH463" s="97" t="str">
        <f t="shared" ca="1" si="909"/>
        <v/>
      </c>
      <c r="BI463" s="98" t="str">
        <f>IF(BK463&lt;&gt;"",VLOOKUP($P463&amp;" | "&amp;BI$6,'Job Master'!$F$12:$J$102,5,0),"")</f>
        <v/>
      </c>
      <c r="BJ463" s="19" t="str">
        <f>IF(BK463&lt;&gt;"",VLOOKUP($P463&amp;" | "&amp;BI$6,'Job Master'!$F$12:$J$102,3,0),"")</f>
        <v/>
      </c>
      <c r="BK463" s="19" t="str">
        <f>IFERROR(IF(AND(BR463&lt;&gt;"",VLOOKUP($P463&amp;" | "&amp;BI$6,'Job Master'!$F$12:$I$102,4,0)&lt;&gt;""),IF(WEEKDAY(BR463-VLOOKUP($P463&amp;" | "&amp;BI$6,'Job Master'!$F$12:$I$102,4,0))&lt;&gt;7,BR463-VLOOKUP($P463&amp;" | "&amp;BI$6,'Job Master'!$F$12:$I$102,4,0),BR463-VLOOKUP($P463&amp;" | "&amp;BI$6,'Job Master'!$F$12:$I$102,4,0)-1),""),"")</f>
        <v/>
      </c>
      <c r="BL463" s="73"/>
      <c r="BM463" s="123" t="str">
        <f t="shared" si="910"/>
        <v/>
      </c>
      <c r="BN463" s="123" t="str">
        <f t="shared" si="911"/>
        <v/>
      </c>
      <c r="BO463" s="97" t="str">
        <f t="shared" ca="1" si="912"/>
        <v/>
      </c>
      <c r="BP463" s="98" t="str">
        <f>IF(BR463&lt;&gt;"",VLOOKUP($P463&amp;" | "&amp;BP$6,'Job Master'!$F$12:$J$102,5,0),"")</f>
        <v/>
      </c>
      <c r="BQ463" s="19" t="str">
        <f>IF(BR463&lt;&gt;"",VLOOKUP($P463&amp;" | "&amp;BP$6,'Job Master'!$F$12:$J$102,3,0),"")</f>
        <v/>
      </c>
      <c r="BR463" s="19" t="str">
        <f>IFERROR(IF(AND(BY463&lt;&gt;"",VLOOKUP($P463&amp;" | "&amp;BP$6,'Job Master'!$F$12:$I$102,4,0)&lt;&gt;""),IF(WEEKDAY(BY463-VLOOKUP($P463&amp;" | "&amp;BP$6,'Job Master'!$F$12:$I$102,4,0))&lt;&gt;7,BY463-VLOOKUP($P463&amp;" | "&amp;BP$6,'Job Master'!$F$12:$I$102,4,0),BY463-VLOOKUP($P463&amp;" | "&amp;BP$6,'Job Master'!$F$12:$I$102,4,0)-1),""),"")</f>
        <v/>
      </c>
      <c r="BS463" s="73"/>
      <c r="BT463" s="123" t="str">
        <f t="shared" si="913"/>
        <v/>
      </c>
      <c r="BU463" s="123" t="str">
        <f t="shared" si="914"/>
        <v/>
      </c>
      <c r="BV463" s="97" t="str">
        <f t="shared" ca="1" si="915"/>
        <v/>
      </c>
      <c r="BW463" s="98" t="str">
        <f>IF(BY463&lt;&gt;"",VLOOKUP($P463&amp;" | "&amp;BW$6,'Job Master'!$F$12:$J$102,5,0),"")</f>
        <v/>
      </c>
      <c r="BX463" s="19" t="str">
        <f>IF(BY463&lt;&gt;"",VLOOKUP($P463&amp;" | "&amp;BW$6,'Job Master'!$F$12:$J$102,3,0),"")</f>
        <v/>
      </c>
      <c r="BY463" s="19" t="str">
        <f>IFERROR(IF(AND(CF463&lt;&gt;"",VLOOKUP($P463&amp;" | "&amp;BW$6,'Job Master'!$F$12:$I$102,4,0)&lt;&gt;""),IF(WEEKDAY(CF463-VLOOKUP($P463&amp;" | "&amp;BW$6,'Job Master'!$F$12:$I$102,4,0))&lt;&gt;7,CF463-VLOOKUP($P463&amp;" | "&amp;BW$6,'Job Master'!$F$12:$I$102,4,0),CF463-VLOOKUP($P463&amp;" | "&amp;BW$6,'Job Master'!$F$12:$I$102,4,0)-1),""),"")</f>
        <v/>
      </c>
      <c r="BZ463" s="73"/>
      <c r="CA463" s="123" t="str">
        <f t="shared" si="916"/>
        <v/>
      </c>
      <c r="CB463" s="123" t="str">
        <f t="shared" si="917"/>
        <v/>
      </c>
      <c r="CC463" s="97" t="str">
        <f t="shared" ca="1" si="918"/>
        <v/>
      </c>
      <c r="CD463" s="98" t="str">
        <f>IF(CF463&lt;&gt;"",VLOOKUP($P463&amp;" | "&amp;CD$6,'Job Master'!$F$12:$J$102,5,0),"")</f>
        <v/>
      </c>
      <c r="CE463" s="19" t="str">
        <f>IF(CF463&lt;&gt;"",VLOOKUP($P463&amp;" | "&amp;CD$6,'Job Master'!$F$12:$J$102,3,0),"")</f>
        <v/>
      </c>
      <c r="CF463" s="19" t="str">
        <f>IFERROR(IF(AND(CM463&lt;&gt;"",VLOOKUP($P463&amp;" | "&amp;CD$6,'Job Master'!$F$12:$I$102,4,0)&lt;&gt;""),IF(WEEKDAY(CM463-VLOOKUP($P463&amp;" | "&amp;CD$6,'Job Master'!$F$12:$I$102,4,0))&lt;&gt;7,CM463-VLOOKUP($P463&amp;" | "&amp;CD$6,'Job Master'!$F$12:$I$102,4,0),CM463-VLOOKUP($P463&amp;" | "&amp;CD$6,'Job Master'!$F$12:$I$102,4,0)-1),""),"")</f>
        <v/>
      </c>
      <c r="CG463" s="73"/>
      <c r="CH463" s="123" t="str">
        <f t="shared" si="919"/>
        <v/>
      </c>
      <c r="CI463" s="123" t="str">
        <f t="shared" si="920"/>
        <v/>
      </c>
      <c r="CJ463" s="97" t="str">
        <f t="shared" ca="1" si="921"/>
        <v/>
      </c>
      <c r="CK463" s="98" t="str">
        <f>IF(CM463&lt;&gt;"",VLOOKUP($P463&amp;" | "&amp;CK$6,'Job Master'!$F$12:$J$102,5,0),"")</f>
        <v/>
      </c>
      <c r="CL463" s="19" t="str">
        <f>IF(CM463&lt;&gt;"",VLOOKUP($P463&amp;" | "&amp;CK$6,'Job Master'!$F$12:$J$102,3,0),"")</f>
        <v/>
      </c>
      <c r="CM463" s="19" t="str">
        <f>IFERROR(IF(AND(CT463&lt;&gt;"",VLOOKUP($P463&amp;" | "&amp;CK$6,'Job Master'!$F$12:$I$102,4,0)&lt;&gt;""),IF(WEEKDAY(CT463-VLOOKUP($P463&amp;" | "&amp;CK$6,'Job Master'!$F$12:$I$102,4,0))&lt;&gt;7,CT463-VLOOKUP($P463&amp;" | "&amp;CK$6,'Job Master'!$F$12:$I$102,4,0),CT463-VLOOKUP($P463&amp;" | "&amp;CK$6,'Job Master'!$F$12:$I$102,4,0)-1),""),"")</f>
        <v/>
      </c>
      <c r="CN463" s="73"/>
      <c r="CO463" s="123" t="str">
        <f t="shared" si="922"/>
        <v/>
      </c>
      <c r="CP463" s="123" t="str">
        <f t="shared" si="923"/>
        <v/>
      </c>
      <c r="CQ463" s="97" t="str">
        <f t="shared" ca="1" si="924"/>
        <v/>
      </c>
      <c r="CR463" s="98" t="str">
        <f>IF(CT463&lt;&gt;"",VLOOKUP($P463&amp;" | "&amp;CR$6,'Job Master'!$F$12:$J$102,5,0),"")</f>
        <v/>
      </c>
      <c r="CS463" s="19" t="str">
        <f>IF(CT463&lt;&gt;"",VLOOKUP($P463&amp;" | "&amp;CR$6,'Job Master'!$F$12:$J$102,3,0),"")</f>
        <v/>
      </c>
      <c r="CT463" s="19" t="str">
        <f>IFERROR(IF(AND(DA463&lt;&gt;"",VLOOKUP($P463&amp;" | "&amp;CR$6,'Job Master'!$F$12:$I$102,4,0)&lt;&gt;""),IF(WEEKDAY(DA463-VLOOKUP($P463&amp;" | "&amp;CR$6,'Job Master'!$F$12:$I$102,4,0))&lt;&gt;7,DA463-VLOOKUP($P463&amp;" | "&amp;CR$6,'Job Master'!$F$12:$I$102,4,0),DA463-VLOOKUP($P463&amp;" | "&amp;CR$6,'Job Master'!$F$12:$I$102,4,0)-1),""),"")</f>
        <v/>
      </c>
      <c r="CU463" s="73"/>
      <c r="CV463" s="123" t="str">
        <f t="shared" si="925"/>
        <v/>
      </c>
      <c r="CW463" s="123" t="str">
        <f t="shared" si="926"/>
        <v/>
      </c>
      <c r="CX463" s="97" t="str">
        <f t="shared" ca="1" si="927"/>
        <v/>
      </c>
      <c r="CY463" s="98" t="str">
        <f>IF(DA463&lt;&gt;"",VLOOKUP($P463&amp;" | "&amp;CY$6,'Job Master'!$F$12:$J$102,5,0),"")</f>
        <v/>
      </c>
      <c r="CZ463" s="19" t="str">
        <f>IF(DA463&lt;&gt;"",VLOOKUP($P463&amp;" | "&amp;CY$6,'Job Master'!$F$12:$J$102,3,0),"")</f>
        <v/>
      </c>
      <c r="DA463" s="19" t="str">
        <f>IFERROR(IF(AND(DH463&lt;&gt;"",VLOOKUP($P463&amp;" | "&amp;CY$6,'Job Master'!$F$12:$I$102,4,0)&lt;&gt;""),IF(WEEKDAY(DH463-VLOOKUP($P463&amp;" | "&amp;CY$6,'Job Master'!$F$12:$I$102,4,0))&lt;&gt;7,DH463-VLOOKUP($P463&amp;" | "&amp;CY$6,'Job Master'!$F$12:$I$102,4,0),DH463-VLOOKUP($P463&amp;" | "&amp;CY$6,'Job Master'!$F$12:$I$102,4,0)-1),""),"")</f>
        <v/>
      </c>
      <c r="DB463" s="73"/>
      <c r="DC463" s="123" t="str">
        <f t="shared" si="928"/>
        <v/>
      </c>
      <c r="DD463" s="123" t="str">
        <f t="shared" si="929"/>
        <v/>
      </c>
      <c r="DE463" s="97" t="str">
        <f t="shared" ca="1" si="930"/>
        <v/>
      </c>
      <c r="DF463" s="98" t="str">
        <f>IF(DH463&lt;&gt;"",VLOOKUP($P463&amp;" | "&amp;DF$6,'Job Master'!$F$12:$J$102,5,0),"")</f>
        <v/>
      </c>
      <c r="DG463" s="19" t="str">
        <f>IF(DH463&lt;&gt;"",VLOOKUP($P463&amp;" | "&amp;DF$6,'Job Master'!$F$12:$J$102,3,0),"")</f>
        <v/>
      </c>
      <c r="DH463" s="19" t="str">
        <f>IFERROR(IF(AND(DO463&lt;&gt;"",VLOOKUP($P463&amp;" | "&amp;DF$6,'Job Master'!$F$12:$I$102,4,0)&lt;&gt;""),IF(WEEKDAY(DO463-VLOOKUP($P463&amp;" | "&amp;DF$6,'Job Master'!$F$12:$I$102,4,0))&lt;&gt;7,DO463-VLOOKUP($P463&amp;" | "&amp;DF$6,'Job Master'!$F$12:$I$102,4,0),DO463-VLOOKUP($P463&amp;" | "&amp;DF$6,'Job Master'!$F$12:$I$102,4,0)-1),""),"")</f>
        <v/>
      </c>
      <c r="DI463" s="73"/>
      <c r="DJ463" s="123" t="str">
        <f t="shared" si="931"/>
        <v/>
      </c>
      <c r="DK463" s="123" t="str">
        <f t="shared" si="932"/>
        <v/>
      </c>
      <c r="DL463" s="97" t="str">
        <f t="shared" ca="1" si="933"/>
        <v/>
      </c>
      <c r="DM463" s="98" t="str">
        <f>IF(DO463&lt;&gt;"",VLOOKUP($P463&amp;" | "&amp;DM$6,'Job Master'!$F$12:$J$102,5,0),"")</f>
        <v/>
      </c>
      <c r="DN463" s="19" t="str">
        <f>IF(DO463&lt;&gt;"",VLOOKUP($P463&amp;" | "&amp;DM$6,'Job Master'!$F$12:$J$102,3,0),"")</f>
        <v/>
      </c>
      <c r="DO463" s="19" t="str">
        <f>IFERROR(IF(AND(DT463&lt;&gt;"",VLOOKUP($P463&amp;" | "&amp;DM$6,'Job Master'!$F$12:$I$102,4,0)&lt;&gt;""),IF(WEEKDAY(DT463-VLOOKUP($P463&amp;" | "&amp;DM$6,'Job Master'!$F$12:$I$102,4,0))&lt;&gt;7,DT463-VLOOKUP($P463&amp;" | "&amp;DM$6,'Job Master'!$F$12:$I$102,4,0),DT463-VLOOKUP($P463&amp;" | "&amp;DM$6,'Job Master'!$F$12:$I$102,4,0)-1),""),"")</f>
        <v/>
      </c>
      <c r="DP463" s="73"/>
      <c r="DQ463" s="123" t="str">
        <f t="shared" si="934"/>
        <v/>
      </c>
      <c r="DR463" s="123" t="str">
        <f t="shared" si="935"/>
        <v/>
      </c>
      <c r="DS463" s="97" t="str">
        <f t="shared" ca="1" si="936"/>
        <v/>
      </c>
      <c r="DT463" s="70" t="str">
        <f t="shared" si="937"/>
        <v/>
      </c>
      <c r="DU463" s="90"/>
      <c r="DV463" s="123" t="str">
        <f t="shared" si="938"/>
        <v/>
      </c>
      <c r="DW463" s="123" t="str">
        <f t="shared" si="939"/>
        <v/>
      </c>
      <c r="DX463" s="132" t="str">
        <f t="shared" ref="DX463" ca="1" si="953">IF(DT463&lt;&gt;"",IF(WEEKNUM(DT463)=WEEKNUM(TODAY()),"This Week",IF(WEEKNUM(DT463)=WEEKNUM(TODAY())+1,"Next Week",IF(WEEKNUM(DT463)=WEEKNUM(TODAY())-1,"Previous Week",""))),"")</f>
        <v/>
      </c>
      <c r="DY463" s="134" t="str">
        <f t="shared" si="941"/>
        <v/>
      </c>
      <c r="DZ463" s="95"/>
      <c r="EB463" s="8" t="str">
        <f t="shared" si="947"/>
        <v/>
      </c>
      <c r="EC463" s="8" t="str">
        <f>IF(O463&lt;&gt;"",VLOOKUP(O463,'Job Master'!$N$12:$O$18,2,0),"")</f>
        <v/>
      </c>
      <c r="ED463" s="8">
        <f t="shared" si="948"/>
        <v>19.5</v>
      </c>
      <c r="EE463" s="8">
        <f t="shared" si="949"/>
        <v>6</v>
      </c>
      <c r="EF463" s="8">
        <f t="shared" si="950"/>
        <v>-2698.5</v>
      </c>
      <c r="EG463" s="8" t="str">
        <f t="shared" si="951"/>
        <v/>
      </c>
      <c r="EH463" s="8" t="str">
        <f t="shared" si="952"/>
        <v/>
      </c>
    </row>
    <row r="464" spans="2:138" x14ac:dyDescent="0.3">
      <c r="B464" s="112"/>
      <c r="C464" s="27"/>
      <c r="D464" s="7" t="str">
        <f t="shared" si="891"/>
        <v/>
      </c>
      <c r="E464" s="25"/>
      <c r="F464" s="7" t="str">
        <f t="shared" si="891"/>
        <v/>
      </c>
      <c r="G464" s="25"/>
      <c r="H464" s="7" t="str">
        <f t="shared" si="891"/>
        <v/>
      </c>
      <c r="I464" s="25"/>
      <c r="J464" s="7" t="str">
        <f t="shared" si="891"/>
        <v/>
      </c>
      <c r="K464" s="25"/>
      <c r="L464" s="7" t="str">
        <f t="shared" si="891"/>
        <v/>
      </c>
      <c r="M464" s="25"/>
      <c r="N464" s="7" t="str">
        <f t="shared" si="891"/>
        <v/>
      </c>
      <c r="O464" s="81"/>
      <c r="P464" s="81" t="str">
        <f t="shared" si="892"/>
        <v/>
      </c>
      <c r="Q464" s="81"/>
      <c r="R464" s="7" t="str">
        <f t="shared" si="893"/>
        <v/>
      </c>
      <c r="S464" s="25"/>
      <c r="T464" s="7" t="str">
        <f t="shared" si="894"/>
        <v/>
      </c>
      <c r="U464" s="25"/>
      <c r="V464" s="7" t="str">
        <f t="shared" si="895"/>
        <v/>
      </c>
      <c r="W464" s="25"/>
      <c r="X464" s="7" t="str">
        <f t="shared" si="896"/>
        <v/>
      </c>
      <c r="Y464" s="18" t="str">
        <f t="shared" si="897"/>
        <v/>
      </c>
      <c r="Z464" s="7" t="str">
        <f t="shared" si="898"/>
        <v/>
      </c>
      <c r="AA464" s="18" t="str">
        <f t="shared" si="899"/>
        <v/>
      </c>
      <c r="AB464" s="19" t="str">
        <f t="shared" si="900"/>
        <v/>
      </c>
      <c r="AC464" s="26"/>
      <c r="AD464" s="26"/>
      <c r="AE464" s="25"/>
      <c r="AF464" s="26"/>
      <c r="AG464" s="25"/>
      <c r="AH464" s="25"/>
      <c r="AI464" s="18" t="str">
        <f t="shared" si="839"/>
        <v/>
      </c>
      <c r="AJ464" s="25"/>
      <c r="AK464" s="18" t="str">
        <f t="shared" si="840"/>
        <v/>
      </c>
      <c r="AL464" s="79"/>
      <c r="AM464" s="126" t="str">
        <f t="shared" si="841"/>
        <v/>
      </c>
      <c r="AN464" s="128" t="str">
        <f>IF(AP464&lt;&gt;"",VLOOKUP($P464&amp;" | "&amp;AN$6,'Job Master'!$F$12:$J$102,5,0),"")</f>
        <v/>
      </c>
      <c r="AO464" s="19" t="str">
        <f>IF(AP464&lt;&gt;"",VLOOKUP($P464&amp;" | "&amp;AN$6,'Job Master'!$F$12:$J$102,3,0),"")</f>
        <v/>
      </c>
      <c r="AP464" s="19" t="str">
        <f>IFERROR(IF(AND(AW464&lt;&gt;"",VLOOKUP($P464&amp;" | "&amp;AN$6,'Job Master'!$F$12:$I$102,4,0)&lt;&gt;""),IF(WEEKDAY(AW464-VLOOKUP($P464&amp;" | "&amp;AN$6,'Job Master'!$F$12:$I$102,4,0))&lt;&gt;7,AW464-VLOOKUP($P464&amp;" | "&amp;AN$6,'Job Master'!$F$12:$I$102,4,0),AW464-VLOOKUP($P464&amp;" | "&amp;AN$6,'Job Master'!$F$12:$I$102,4,0)-1),""),"")</f>
        <v/>
      </c>
      <c r="AQ464" s="73"/>
      <c r="AR464" s="123" t="str">
        <f t="shared" si="901"/>
        <v/>
      </c>
      <c r="AS464" s="123" t="str">
        <f t="shared" si="902"/>
        <v/>
      </c>
      <c r="AT464" s="97" t="str">
        <f t="shared" ca="1" si="903"/>
        <v/>
      </c>
      <c r="AU464" s="98" t="str">
        <f>IF(AW464&lt;&gt;"",VLOOKUP($P464&amp;" | "&amp;AU$6,'Job Master'!$F$12:$J$102,5,0),"")</f>
        <v/>
      </c>
      <c r="AV464" s="19" t="str">
        <f>IF(AW464&lt;&gt;"",VLOOKUP($P464&amp;" | "&amp;AU$6,'Job Master'!$F$12:$J$102,3,0),"")</f>
        <v/>
      </c>
      <c r="AW464" s="19" t="str">
        <f>IFERROR(IF(AND(BD464&lt;&gt;"",VLOOKUP($P464&amp;" | "&amp;AU$6,'Job Master'!$F$12:$I$102,4,0)&lt;&gt;""),IF(WEEKDAY(BD464-VLOOKUP($P464&amp;" | "&amp;AU$6,'Job Master'!$F$12:$I$102,4,0))&lt;&gt;7,BD464-VLOOKUP($P464&amp;" | "&amp;AU$6,'Job Master'!$F$12:$I$102,4,0),BD464-VLOOKUP($P464&amp;" | "&amp;AU$6,'Job Master'!$F$12:$I$102,4,0)-1),""),"")</f>
        <v/>
      </c>
      <c r="AX464" s="73"/>
      <c r="AY464" s="123" t="str">
        <f t="shared" si="904"/>
        <v/>
      </c>
      <c r="AZ464" s="123" t="str">
        <f t="shared" si="905"/>
        <v/>
      </c>
      <c r="BA464" s="97" t="str">
        <f t="shared" ca="1" si="906"/>
        <v/>
      </c>
      <c r="BB464" s="98" t="str">
        <f>IF(BD464&lt;&gt;"",VLOOKUP($P464&amp;" | "&amp;BB$6,'Job Master'!$F$12:$J$102,5,0),"")</f>
        <v/>
      </c>
      <c r="BC464" s="19" t="str">
        <f>IF(BD464&lt;&gt;"",VLOOKUP($P464&amp;" | "&amp;BB$6,'Job Master'!$F$12:$J$102,3,0),"")</f>
        <v/>
      </c>
      <c r="BD464" s="19" t="str">
        <f>IFERROR(IF(AND(BK464&lt;&gt;"",VLOOKUP($P464&amp;" | "&amp;BB$6,'Job Master'!$F$12:$I$102,4,0)&lt;&gt;""),IF(WEEKDAY(BK464-VLOOKUP($P464&amp;" | "&amp;BB$6,'Job Master'!$F$12:$I$102,4,0))&lt;&gt;7,BK464-VLOOKUP($P464&amp;" | "&amp;BB$6,'Job Master'!$F$12:$I$102,4,0),BK464-VLOOKUP($P464&amp;" | "&amp;BB$6,'Job Master'!$F$12:$I$102,4,0)-1),""),"")</f>
        <v/>
      </c>
      <c r="BE464" s="73"/>
      <c r="BF464" s="123" t="str">
        <f t="shared" si="907"/>
        <v/>
      </c>
      <c r="BG464" s="123" t="str">
        <f t="shared" si="908"/>
        <v/>
      </c>
      <c r="BH464" s="97" t="str">
        <f t="shared" ca="1" si="909"/>
        <v/>
      </c>
      <c r="BI464" s="98" t="str">
        <f>IF(BK464&lt;&gt;"",VLOOKUP($P464&amp;" | "&amp;BI$6,'Job Master'!$F$12:$J$102,5,0),"")</f>
        <v/>
      </c>
      <c r="BJ464" s="19" t="str">
        <f>IF(BK464&lt;&gt;"",VLOOKUP($P464&amp;" | "&amp;BI$6,'Job Master'!$F$12:$J$102,3,0),"")</f>
        <v/>
      </c>
      <c r="BK464" s="19" t="str">
        <f>IFERROR(IF(AND(BR464&lt;&gt;"",VLOOKUP($P464&amp;" | "&amp;BI$6,'Job Master'!$F$12:$I$102,4,0)&lt;&gt;""),IF(WEEKDAY(BR464-VLOOKUP($P464&amp;" | "&amp;BI$6,'Job Master'!$F$12:$I$102,4,0))&lt;&gt;7,BR464-VLOOKUP($P464&amp;" | "&amp;BI$6,'Job Master'!$F$12:$I$102,4,0),BR464-VLOOKUP($P464&amp;" | "&amp;BI$6,'Job Master'!$F$12:$I$102,4,0)-1),""),"")</f>
        <v/>
      </c>
      <c r="BL464" s="73"/>
      <c r="BM464" s="123" t="str">
        <f t="shared" si="910"/>
        <v/>
      </c>
      <c r="BN464" s="123" t="str">
        <f t="shared" si="911"/>
        <v/>
      </c>
      <c r="BO464" s="97" t="str">
        <f t="shared" ca="1" si="912"/>
        <v/>
      </c>
      <c r="BP464" s="98" t="str">
        <f>IF(BR464&lt;&gt;"",VLOOKUP($P464&amp;" | "&amp;BP$6,'Job Master'!$F$12:$J$102,5,0),"")</f>
        <v/>
      </c>
      <c r="BQ464" s="19" t="str">
        <f>IF(BR464&lt;&gt;"",VLOOKUP($P464&amp;" | "&amp;BP$6,'Job Master'!$F$12:$J$102,3,0),"")</f>
        <v/>
      </c>
      <c r="BR464" s="19" t="str">
        <f>IFERROR(IF(AND(BY464&lt;&gt;"",VLOOKUP($P464&amp;" | "&amp;BP$6,'Job Master'!$F$12:$I$102,4,0)&lt;&gt;""),IF(WEEKDAY(BY464-VLOOKUP($P464&amp;" | "&amp;BP$6,'Job Master'!$F$12:$I$102,4,0))&lt;&gt;7,BY464-VLOOKUP($P464&amp;" | "&amp;BP$6,'Job Master'!$F$12:$I$102,4,0),BY464-VLOOKUP($P464&amp;" | "&amp;BP$6,'Job Master'!$F$12:$I$102,4,0)-1),""),"")</f>
        <v/>
      </c>
      <c r="BS464" s="73"/>
      <c r="BT464" s="123" t="str">
        <f t="shared" si="913"/>
        <v/>
      </c>
      <c r="BU464" s="123" t="str">
        <f t="shared" si="914"/>
        <v/>
      </c>
      <c r="BV464" s="97" t="str">
        <f t="shared" ca="1" si="915"/>
        <v/>
      </c>
      <c r="BW464" s="98" t="str">
        <f>IF(BY464&lt;&gt;"",VLOOKUP($P464&amp;" | "&amp;BW$6,'Job Master'!$F$12:$J$102,5,0),"")</f>
        <v/>
      </c>
      <c r="BX464" s="19" t="str">
        <f>IF(BY464&lt;&gt;"",VLOOKUP($P464&amp;" | "&amp;BW$6,'Job Master'!$F$12:$J$102,3,0),"")</f>
        <v/>
      </c>
      <c r="BY464" s="19" t="str">
        <f>IFERROR(IF(AND(CF464&lt;&gt;"",VLOOKUP($P464&amp;" | "&amp;BW$6,'Job Master'!$F$12:$I$102,4,0)&lt;&gt;""),IF(WEEKDAY(CF464-VLOOKUP($P464&amp;" | "&amp;BW$6,'Job Master'!$F$12:$I$102,4,0))&lt;&gt;7,CF464-VLOOKUP($P464&amp;" | "&amp;BW$6,'Job Master'!$F$12:$I$102,4,0),CF464-VLOOKUP($P464&amp;" | "&amp;BW$6,'Job Master'!$F$12:$I$102,4,0)-1),""),"")</f>
        <v/>
      </c>
      <c r="BZ464" s="73"/>
      <c r="CA464" s="123" t="str">
        <f t="shared" si="916"/>
        <v/>
      </c>
      <c r="CB464" s="123" t="str">
        <f t="shared" si="917"/>
        <v/>
      </c>
      <c r="CC464" s="97" t="str">
        <f t="shared" ca="1" si="918"/>
        <v/>
      </c>
      <c r="CD464" s="98" t="str">
        <f>IF(CF464&lt;&gt;"",VLOOKUP($P464&amp;" | "&amp;CD$6,'Job Master'!$F$12:$J$102,5,0),"")</f>
        <v/>
      </c>
      <c r="CE464" s="19" t="str">
        <f>IF(CF464&lt;&gt;"",VLOOKUP($P464&amp;" | "&amp;CD$6,'Job Master'!$F$12:$J$102,3,0),"")</f>
        <v/>
      </c>
      <c r="CF464" s="19" t="str">
        <f>IFERROR(IF(AND(CM464&lt;&gt;"",VLOOKUP($P464&amp;" | "&amp;CD$6,'Job Master'!$F$12:$I$102,4,0)&lt;&gt;""),IF(WEEKDAY(CM464-VLOOKUP($P464&amp;" | "&amp;CD$6,'Job Master'!$F$12:$I$102,4,0))&lt;&gt;7,CM464-VLOOKUP($P464&amp;" | "&amp;CD$6,'Job Master'!$F$12:$I$102,4,0),CM464-VLOOKUP($P464&amp;" | "&amp;CD$6,'Job Master'!$F$12:$I$102,4,0)-1),""),"")</f>
        <v/>
      </c>
      <c r="CG464" s="73"/>
      <c r="CH464" s="123" t="str">
        <f t="shared" si="919"/>
        <v/>
      </c>
      <c r="CI464" s="123" t="str">
        <f t="shared" si="920"/>
        <v/>
      </c>
      <c r="CJ464" s="97" t="str">
        <f t="shared" ca="1" si="921"/>
        <v/>
      </c>
      <c r="CK464" s="98" t="str">
        <f>IF(CM464&lt;&gt;"",VLOOKUP($P464&amp;" | "&amp;CK$6,'Job Master'!$F$12:$J$102,5,0),"")</f>
        <v/>
      </c>
      <c r="CL464" s="19" t="str">
        <f>IF(CM464&lt;&gt;"",VLOOKUP($P464&amp;" | "&amp;CK$6,'Job Master'!$F$12:$J$102,3,0),"")</f>
        <v/>
      </c>
      <c r="CM464" s="19" t="str">
        <f>IFERROR(IF(AND(CT464&lt;&gt;"",VLOOKUP($P464&amp;" | "&amp;CK$6,'Job Master'!$F$12:$I$102,4,0)&lt;&gt;""),IF(WEEKDAY(CT464-VLOOKUP($P464&amp;" | "&amp;CK$6,'Job Master'!$F$12:$I$102,4,0))&lt;&gt;7,CT464-VLOOKUP($P464&amp;" | "&amp;CK$6,'Job Master'!$F$12:$I$102,4,0),CT464-VLOOKUP($P464&amp;" | "&amp;CK$6,'Job Master'!$F$12:$I$102,4,0)-1),""),"")</f>
        <v/>
      </c>
      <c r="CN464" s="73"/>
      <c r="CO464" s="123" t="str">
        <f t="shared" si="922"/>
        <v/>
      </c>
      <c r="CP464" s="123" t="str">
        <f t="shared" si="923"/>
        <v/>
      </c>
      <c r="CQ464" s="97" t="str">
        <f t="shared" ca="1" si="924"/>
        <v/>
      </c>
      <c r="CR464" s="98" t="str">
        <f>IF(CT464&lt;&gt;"",VLOOKUP($P464&amp;" | "&amp;CR$6,'Job Master'!$F$12:$J$102,5,0),"")</f>
        <v/>
      </c>
      <c r="CS464" s="19" t="str">
        <f>IF(CT464&lt;&gt;"",VLOOKUP($P464&amp;" | "&amp;CR$6,'Job Master'!$F$12:$J$102,3,0),"")</f>
        <v/>
      </c>
      <c r="CT464" s="19" t="str">
        <f>IFERROR(IF(AND(DA464&lt;&gt;"",VLOOKUP($P464&amp;" | "&amp;CR$6,'Job Master'!$F$12:$I$102,4,0)&lt;&gt;""),IF(WEEKDAY(DA464-VLOOKUP($P464&amp;" | "&amp;CR$6,'Job Master'!$F$12:$I$102,4,0))&lt;&gt;7,DA464-VLOOKUP($P464&amp;" | "&amp;CR$6,'Job Master'!$F$12:$I$102,4,0),DA464-VLOOKUP($P464&amp;" | "&amp;CR$6,'Job Master'!$F$12:$I$102,4,0)-1),""),"")</f>
        <v/>
      </c>
      <c r="CU464" s="73"/>
      <c r="CV464" s="123" t="str">
        <f t="shared" si="925"/>
        <v/>
      </c>
      <c r="CW464" s="123" t="str">
        <f t="shared" si="926"/>
        <v/>
      </c>
      <c r="CX464" s="97" t="str">
        <f t="shared" ca="1" si="927"/>
        <v/>
      </c>
      <c r="CY464" s="98" t="str">
        <f>IF(DA464&lt;&gt;"",VLOOKUP($P464&amp;" | "&amp;CY$6,'Job Master'!$F$12:$J$102,5,0),"")</f>
        <v/>
      </c>
      <c r="CZ464" s="19" t="str">
        <f>IF(DA464&lt;&gt;"",VLOOKUP($P464&amp;" | "&amp;CY$6,'Job Master'!$F$12:$J$102,3,0),"")</f>
        <v/>
      </c>
      <c r="DA464" s="19" t="str">
        <f>IFERROR(IF(AND(DH464&lt;&gt;"",VLOOKUP($P464&amp;" | "&amp;CY$6,'Job Master'!$F$12:$I$102,4,0)&lt;&gt;""),IF(WEEKDAY(DH464-VLOOKUP($P464&amp;" | "&amp;CY$6,'Job Master'!$F$12:$I$102,4,0))&lt;&gt;7,DH464-VLOOKUP($P464&amp;" | "&amp;CY$6,'Job Master'!$F$12:$I$102,4,0),DH464-VLOOKUP($P464&amp;" | "&amp;CY$6,'Job Master'!$F$12:$I$102,4,0)-1),""),"")</f>
        <v/>
      </c>
      <c r="DB464" s="73"/>
      <c r="DC464" s="123" t="str">
        <f t="shared" si="928"/>
        <v/>
      </c>
      <c r="DD464" s="123" t="str">
        <f t="shared" si="929"/>
        <v/>
      </c>
      <c r="DE464" s="97" t="str">
        <f t="shared" ca="1" si="930"/>
        <v/>
      </c>
      <c r="DF464" s="98" t="str">
        <f>IF(DH464&lt;&gt;"",VLOOKUP($P464&amp;" | "&amp;DF$6,'Job Master'!$F$12:$J$102,5,0),"")</f>
        <v/>
      </c>
      <c r="DG464" s="19" t="str">
        <f>IF(DH464&lt;&gt;"",VLOOKUP($P464&amp;" | "&amp;DF$6,'Job Master'!$F$12:$J$102,3,0),"")</f>
        <v/>
      </c>
      <c r="DH464" s="19" t="str">
        <f>IFERROR(IF(AND(DO464&lt;&gt;"",VLOOKUP($P464&amp;" | "&amp;DF$6,'Job Master'!$F$12:$I$102,4,0)&lt;&gt;""),IF(WEEKDAY(DO464-VLOOKUP($P464&amp;" | "&amp;DF$6,'Job Master'!$F$12:$I$102,4,0))&lt;&gt;7,DO464-VLOOKUP($P464&amp;" | "&amp;DF$6,'Job Master'!$F$12:$I$102,4,0),DO464-VLOOKUP($P464&amp;" | "&amp;DF$6,'Job Master'!$F$12:$I$102,4,0)-1),""),"")</f>
        <v/>
      </c>
      <c r="DI464" s="73"/>
      <c r="DJ464" s="123" t="str">
        <f t="shared" si="931"/>
        <v/>
      </c>
      <c r="DK464" s="123" t="str">
        <f t="shared" si="932"/>
        <v/>
      </c>
      <c r="DL464" s="97" t="str">
        <f t="shared" ca="1" si="933"/>
        <v/>
      </c>
      <c r="DM464" s="98" t="str">
        <f>IF(DO464&lt;&gt;"",VLOOKUP($P464&amp;" | "&amp;DM$6,'Job Master'!$F$12:$J$102,5,0),"")</f>
        <v/>
      </c>
      <c r="DN464" s="19" t="str">
        <f>IF(DO464&lt;&gt;"",VLOOKUP($P464&amp;" | "&amp;DM$6,'Job Master'!$F$12:$J$102,3,0),"")</f>
        <v/>
      </c>
      <c r="DO464" s="19" t="str">
        <f>IFERROR(IF(AND(DT464&lt;&gt;"",VLOOKUP($P464&amp;" | "&amp;DM$6,'Job Master'!$F$12:$I$102,4,0)&lt;&gt;""),IF(WEEKDAY(DT464-VLOOKUP($P464&amp;" | "&amp;DM$6,'Job Master'!$F$12:$I$102,4,0))&lt;&gt;7,DT464-VLOOKUP($P464&amp;" | "&amp;DM$6,'Job Master'!$F$12:$I$102,4,0),DT464-VLOOKUP($P464&amp;" | "&amp;DM$6,'Job Master'!$F$12:$I$102,4,0)-1),""),"")</f>
        <v/>
      </c>
      <c r="DP464" s="73"/>
      <c r="DQ464" s="123" t="str">
        <f t="shared" si="934"/>
        <v/>
      </c>
      <c r="DR464" s="123" t="str">
        <f t="shared" si="935"/>
        <v/>
      </c>
      <c r="DS464" s="97" t="str">
        <f t="shared" ca="1" si="936"/>
        <v/>
      </c>
      <c r="DT464" s="70" t="str">
        <f t="shared" si="937"/>
        <v/>
      </c>
      <c r="DU464" s="90"/>
      <c r="DV464" s="123" t="str">
        <f t="shared" si="938"/>
        <v/>
      </c>
      <c r="DW464" s="123" t="str">
        <f t="shared" si="939"/>
        <v/>
      </c>
      <c r="DX464" s="132" t="str">
        <f t="shared" ref="DX464" ca="1" si="954">IF(DT464&lt;&gt;"",IF(WEEKNUM(DT464)=WEEKNUM(TODAY()),"This Week",IF(WEEKNUM(DT464)=WEEKNUM(TODAY())+1,"Next Week",IF(WEEKNUM(DT464)=WEEKNUM(TODAY())-1,"Previous Week",""))),"")</f>
        <v/>
      </c>
      <c r="DY464" s="134" t="str">
        <f t="shared" si="941"/>
        <v/>
      </c>
      <c r="DZ464" s="95"/>
      <c r="EB464" s="8" t="str">
        <f t="shared" si="947"/>
        <v/>
      </c>
      <c r="EC464" s="8" t="str">
        <f>IF(O464&lt;&gt;"",VLOOKUP(O464,'Job Master'!$N$12:$O$18,2,0),"")</f>
        <v/>
      </c>
      <c r="ED464" s="8">
        <f t="shared" si="948"/>
        <v>19.5</v>
      </c>
      <c r="EE464" s="8">
        <f t="shared" si="949"/>
        <v>6</v>
      </c>
      <c r="EF464" s="8">
        <f t="shared" si="950"/>
        <v>-2704.5</v>
      </c>
      <c r="EG464" s="8" t="str">
        <f t="shared" si="951"/>
        <v/>
      </c>
      <c r="EH464" s="8" t="str">
        <f t="shared" si="952"/>
        <v/>
      </c>
    </row>
    <row r="465" spans="2:138" x14ac:dyDescent="0.3">
      <c r="B465" s="112"/>
      <c r="C465" s="27"/>
      <c r="D465" s="7" t="str">
        <f t="shared" si="891"/>
        <v/>
      </c>
      <c r="E465" s="25"/>
      <c r="F465" s="7" t="str">
        <f t="shared" si="891"/>
        <v/>
      </c>
      <c r="G465" s="25"/>
      <c r="H465" s="7" t="str">
        <f t="shared" si="891"/>
        <v/>
      </c>
      <c r="I465" s="25"/>
      <c r="J465" s="7" t="str">
        <f t="shared" si="891"/>
        <v/>
      </c>
      <c r="K465" s="25"/>
      <c r="L465" s="7" t="str">
        <f t="shared" si="891"/>
        <v/>
      </c>
      <c r="M465" s="25"/>
      <c r="N465" s="7" t="str">
        <f t="shared" si="891"/>
        <v/>
      </c>
      <c r="O465" s="81"/>
      <c r="P465" s="81" t="str">
        <f t="shared" si="892"/>
        <v/>
      </c>
      <c r="Q465" s="81"/>
      <c r="R465" s="7" t="str">
        <f t="shared" si="893"/>
        <v/>
      </c>
      <c r="S465" s="25"/>
      <c r="T465" s="7" t="str">
        <f t="shared" si="894"/>
        <v/>
      </c>
      <c r="U465" s="25"/>
      <c r="V465" s="7" t="str">
        <f t="shared" si="895"/>
        <v/>
      </c>
      <c r="W465" s="25"/>
      <c r="X465" s="7" t="str">
        <f t="shared" si="896"/>
        <v/>
      </c>
      <c r="Y465" s="18" t="str">
        <f t="shared" si="897"/>
        <v/>
      </c>
      <c r="Z465" s="7" t="str">
        <f t="shared" si="898"/>
        <v/>
      </c>
      <c r="AA465" s="18" t="str">
        <f t="shared" si="899"/>
        <v/>
      </c>
      <c r="AB465" s="19" t="str">
        <f t="shared" si="900"/>
        <v/>
      </c>
      <c r="AC465" s="26"/>
      <c r="AD465" s="26"/>
      <c r="AE465" s="25"/>
      <c r="AF465" s="26"/>
      <c r="AG465" s="25"/>
      <c r="AH465" s="25"/>
      <c r="AI465" s="18" t="str">
        <f t="shared" si="839"/>
        <v/>
      </c>
      <c r="AJ465" s="25"/>
      <c r="AK465" s="18" t="str">
        <f t="shared" si="840"/>
        <v/>
      </c>
      <c r="AL465" s="79"/>
      <c r="AM465" s="126" t="str">
        <f t="shared" si="841"/>
        <v/>
      </c>
      <c r="AN465" s="128" t="str">
        <f>IF(AP465&lt;&gt;"",VLOOKUP($P465&amp;" | "&amp;AN$6,'Job Master'!$F$12:$J$102,5,0),"")</f>
        <v/>
      </c>
      <c r="AO465" s="19" t="str">
        <f>IF(AP465&lt;&gt;"",VLOOKUP($P465&amp;" | "&amp;AN$6,'Job Master'!$F$12:$J$102,3,0),"")</f>
        <v/>
      </c>
      <c r="AP465" s="19" t="str">
        <f>IFERROR(IF(AND(AW465&lt;&gt;"",VLOOKUP($P465&amp;" | "&amp;AN$6,'Job Master'!$F$12:$I$102,4,0)&lt;&gt;""),IF(WEEKDAY(AW465-VLOOKUP($P465&amp;" | "&amp;AN$6,'Job Master'!$F$12:$I$102,4,0))&lt;&gt;7,AW465-VLOOKUP($P465&amp;" | "&amp;AN$6,'Job Master'!$F$12:$I$102,4,0),AW465-VLOOKUP($P465&amp;" | "&amp;AN$6,'Job Master'!$F$12:$I$102,4,0)-1),""),"")</f>
        <v/>
      </c>
      <c r="AQ465" s="73"/>
      <c r="AR465" s="123" t="str">
        <f t="shared" si="901"/>
        <v/>
      </c>
      <c r="AS465" s="123" t="str">
        <f t="shared" si="902"/>
        <v/>
      </c>
      <c r="AT465" s="97" t="str">
        <f t="shared" ca="1" si="903"/>
        <v/>
      </c>
      <c r="AU465" s="98" t="str">
        <f>IF(AW465&lt;&gt;"",VLOOKUP($P465&amp;" | "&amp;AU$6,'Job Master'!$F$12:$J$102,5,0),"")</f>
        <v/>
      </c>
      <c r="AV465" s="19" t="str">
        <f>IF(AW465&lt;&gt;"",VLOOKUP($P465&amp;" | "&amp;AU$6,'Job Master'!$F$12:$J$102,3,0),"")</f>
        <v/>
      </c>
      <c r="AW465" s="19" t="str">
        <f>IFERROR(IF(AND(BD465&lt;&gt;"",VLOOKUP($P465&amp;" | "&amp;AU$6,'Job Master'!$F$12:$I$102,4,0)&lt;&gt;""),IF(WEEKDAY(BD465-VLOOKUP($P465&amp;" | "&amp;AU$6,'Job Master'!$F$12:$I$102,4,0))&lt;&gt;7,BD465-VLOOKUP($P465&amp;" | "&amp;AU$6,'Job Master'!$F$12:$I$102,4,0),BD465-VLOOKUP($P465&amp;" | "&amp;AU$6,'Job Master'!$F$12:$I$102,4,0)-1),""),"")</f>
        <v/>
      </c>
      <c r="AX465" s="73"/>
      <c r="AY465" s="123" t="str">
        <f t="shared" si="904"/>
        <v/>
      </c>
      <c r="AZ465" s="123" t="str">
        <f t="shared" si="905"/>
        <v/>
      </c>
      <c r="BA465" s="97" t="str">
        <f t="shared" ca="1" si="906"/>
        <v/>
      </c>
      <c r="BB465" s="98" t="str">
        <f>IF(BD465&lt;&gt;"",VLOOKUP($P465&amp;" | "&amp;BB$6,'Job Master'!$F$12:$J$102,5,0),"")</f>
        <v/>
      </c>
      <c r="BC465" s="19" t="str">
        <f>IF(BD465&lt;&gt;"",VLOOKUP($P465&amp;" | "&amp;BB$6,'Job Master'!$F$12:$J$102,3,0),"")</f>
        <v/>
      </c>
      <c r="BD465" s="19" t="str">
        <f>IFERROR(IF(AND(BK465&lt;&gt;"",VLOOKUP($P465&amp;" | "&amp;BB$6,'Job Master'!$F$12:$I$102,4,0)&lt;&gt;""),IF(WEEKDAY(BK465-VLOOKUP($P465&amp;" | "&amp;BB$6,'Job Master'!$F$12:$I$102,4,0))&lt;&gt;7,BK465-VLOOKUP($P465&amp;" | "&amp;BB$6,'Job Master'!$F$12:$I$102,4,0),BK465-VLOOKUP($P465&amp;" | "&amp;BB$6,'Job Master'!$F$12:$I$102,4,0)-1),""),"")</f>
        <v/>
      </c>
      <c r="BE465" s="73"/>
      <c r="BF465" s="123" t="str">
        <f t="shared" si="907"/>
        <v/>
      </c>
      <c r="BG465" s="123" t="str">
        <f t="shared" si="908"/>
        <v/>
      </c>
      <c r="BH465" s="97" t="str">
        <f t="shared" ca="1" si="909"/>
        <v/>
      </c>
      <c r="BI465" s="98" t="str">
        <f>IF(BK465&lt;&gt;"",VLOOKUP($P465&amp;" | "&amp;BI$6,'Job Master'!$F$12:$J$102,5,0),"")</f>
        <v/>
      </c>
      <c r="BJ465" s="19" t="str">
        <f>IF(BK465&lt;&gt;"",VLOOKUP($P465&amp;" | "&amp;BI$6,'Job Master'!$F$12:$J$102,3,0),"")</f>
        <v/>
      </c>
      <c r="BK465" s="19" t="str">
        <f>IFERROR(IF(AND(BR465&lt;&gt;"",VLOOKUP($P465&amp;" | "&amp;BI$6,'Job Master'!$F$12:$I$102,4,0)&lt;&gt;""),IF(WEEKDAY(BR465-VLOOKUP($P465&amp;" | "&amp;BI$6,'Job Master'!$F$12:$I$102,4,0))&lt;&gt;7,BR465-VLOOKUP($P465&amp;" | "&amp;BI$6,'Job Master'!$F$12:$I$102,4,0),BR465-VLOOKUP($P465&amp;" | "&amp;BI$6,'Job Master'!$F$12:$I$102,4,0)-1),""),"")</f>
        <v/>
      </c>
      <c r="BL465" s="73"/>
      <c r="BM465" s="123" t="str">
        <f t="shared" si="910"/>
        <v/>
      </c>
      <c r="BN465" s="123" t="str">
        <f t="shared" si="911"/>
        <v/>
      </c>
      <c r="BO465" s="97" t="str">
        <f t="shared" ca="1" si="912"/>
        <v/>
      </c>
      <c r="BP465" s="98" t="str">
        <f>IF(BR465&lt;&gt;"",VLOOKUP($P465&amp;" | "&amp;BP$6,'Job Master'!$F$12:$J$102,5,0),"")</f>
        <v/>
      </c>
      <c r="BQ465" s="19" t="str">
        <f>IF(BR465&lt;&gt;"",VLOOKUP($P465&amp;" | "&amp;BP$6,'Job Master'!$F$12:$J$102,3,0),"")</f>
        <v/>
      </c>
      <c r="BR465" s="19" t="str">
        <f>IFERROR(IF(AND(BY465&lt;&gt;"",VLOOKUP($P465&amp;" | "&amp;BP$6,'Job Master'!$F$12:$I$102,4,0)&lt;&gt;""),IF(WEEKDAY(BY465-VLOOKUP($P465&amp;" | "&amp;BP$6,'Job Master'!$F$12:$I$102,4,0))&lt;&gt;7,BY465-VLOOKUP($P465&amp;" | "&amp;BP$6,'Job Master'!$F$12:$I$102,4,0),BY465-VLOOKUP($P465&amp;" | "&amp;BP$6,'Job Master'!$F$12:$I$102,4,0)-1),""),"")</f>
        <v/>
      </c>
      <c r="BS465" s="73"/>
      <c r="BT465" s="123" t="str">
        <f t="shared" si="913"/>
        <v/>
      </c>
      <c r="BU465" s="123" t="str">
        <f t="shared" si="914"/>
        <v/>
      </c>
      <c r="BV465" s="97" t="str">
        <f t="shared" ca="1" si="915"/>
        <v/>
      </c>
      <c r="BW465" s="98" t="str">
        <f>IF(BY465&lt;&gt;"",VLOOKUP($P465&amp;" | "&amp;BW$6,'Job Master'!$F$12:$J$102,5,0),"")</f>
        <v/>
      </c>
      <c r="BX465" s="19" t="str">
        <f>IF(BY465&lt;&gt;"",VLOOKUP($P465&amp;" | "&amp;BW$6,'Job Master'!$F$12:$J$102,3,0),"")</f>
        <v/>
      </c>
      <c r="BY465" s="19" t="str">
        <f>IFERROR(IF(AND(CF465&lt;&gt;"",VLOOKUP($P465&amp;" | "&amp;BW$6,'Job Master'!$F$12:$I$102,4,0)&lt;&gt;""),IF(WEEKDAY(CF465-VLOOKUP($P465&amp;" | "&amp;BW$6,'Job Master'!$F$12:$I$102,4,0))&lt;&gt;7,CF465-VLOOKUP($P465&amp;" | "&amp;BW$6,'Job Master'!$F$12:$I$102,4,0),CF465-VLOOKUP($P465&amp;" | "&amp;BW$6,'Job Master'!$F$12:$I$102,4,0)-1),""),"")</f>
        <v/>
      </c>
      <c r="BZ465" s="73"/>
      <c r="CA465" s="123" t="str">
        <f t="shared" si="916"/>
        <v/>
      </c>
      <c r="CB465" s="123" t="str">
        <f t="shared" si="917"/>
        <v/>
      </c>
      <c r="CC465" s="97" t="str">
        <f t="shared" ca="1" si="918"/>
        <v/>
      </c>
      <c r="CD465" s="98" t="str">
        <f>IF(CF465&lt;&gt;"",VLOOKUP($P465&amp;" | "&amp;CD$6,'Job Master'!$F$12:$J$102,5,0),"")</f>
        <v/>
      </c>
      <c r="CE465" s="19" t="str">
        <f>IF(CF465&lt;&gt;"",VLOOKUP($P465&amp;" | "&amp;CD$6,'Job Master'!$F$12:$J$102,3,0),"")</f>
        <v/>
      </c>
      <c r="CF465" s="19" t="str">
        <f>IFERROR(IF(AND(CM465&lt;&gt;"",VLOOKUP($P465&amp;" | "&amp;CD$6,'Job Master'!$F$12:$I$102,4,0)&lt;&gt;""),IF(WEEKDAY(CM465-VLOOKUP($P465&amp;" | "&amp;CD$6,'Job Master'!$F$12:$I$102,4,0))&lt;&gt;7,CM465-VLOOKUP($P465&amp;" | "&amp;CD$6,'Job Master'!$F$12:$I$102,4,0),CM465-VLOOKUP($P465&amp;" | "&amp;CD$6,'Job Master'!$F$12:$I$102,4,0)-1),""),"")</f>
        <v/>
      </c>
      <c r="CG465" s="73"/>
      <c r="CH465" s="123" t="str">
        <f t="shared" si="919"/>
        <v/>
      </c>
      <c r="CI465" s="123" t="str">
        <f t="shared" si="920"/>
        <v/>
      </c>
      <c r="CJ465" s="97" t="str">
        <f t="shared" ca="1" si="921"/>
        <v/>
      </c>
      <c r="CK465" s="98" t="str">
        <f>IF(CM465&lt;&gt;"",VLOOKUP($P465&amp;" | "&amp;CK$6,'Job Master'!$F$12:$J$102,5,0),"")</f>
        <v/>
      </c>
      <c r="CL465" s="19" t="str">
        <f>IF(CM465&lt;&gt;"",VLOOKUP($P465&amp;" | "&amp;CK$6,'Job Master'!$F$12:$J$102,3,0),"")</f>
        <v/>
      </c>
      <c r="CM465" s="19" t="str">
        <f>IFERROR(IF(AND(CT465&lt;&gt;"",VLOOKUP($P465&amp;" | "&amp;CK$6,'Job Master'!$F$12:$I$102,4,0)&lt;&gt;""),IF(WEEKDAY(CT465-VLOOKUP($P465&amp;" | "&amp;CK$6,'Job Master'!$F$12:$I$102,4,0))&lt;&gt;7,CT465-VLOOKUP($P465&amp;" | "&amp;CK$6,'Job Master'!$F$12:$I$102,4,0),CT465-VLOOKUP($P465&amp;" | "&amp;CK$6,'Job Master'!$F$12:$I$102,4,0)-1),""),"")</f>
        <v/>
      </c>
      <c r="CN465" s="73"/>
      <c r="CO465" s="123" t="str">
        <f t="shared" si="922"/>
        <v/>
      </c>
      <c r="CP465" s="123" t="str">
        <f t="shared" si="923"/>
        <v/>
      </c>
      <c r="CQ465" s="97" t="str">
        <f t="shared" ca="1" si="924"/>
        <v/>
      </c>
      <c r="CR465" s="98" t="str">
        <f>IF(CT465&lt;&gt;"",VLOOKUP($P465&amp;" | "&amp;CR$6,'Job Master'!$F$12:$J$102,5,0),"")</f>
        <v/>
      </c>
      <c r="CS465" s="19" t="str">
        <f>IF(CT465&lt;&gt;"",VLOOKUP($P465&amp;" | "&amp;CR$6,'Job Master'!$F$12:$J$102,3,0),"")</f>
        <v/>
      </c>
      <c r="CT465" s="19" t="str">
        <f>IFERROR(IF(AND(DA465&lt;&gt;"",VLOOKUP($P465&amp;" | "&amp;CR$6,'Job Master'!$F$12:$I$102,4,0)&lt;&gt;""),IF(WEEKDAY(DA465-VLOOKUP($P465&amp;" | "&amp;CR$6,'Job Master'!$F$12:$I$102,4,0))&lt;&gt;7,DA465-VLOOKUP($P465&amp;" | "&amp;CR$6,'Job Master'!$F$12:$I$102,4,0),DA465-VLOOKUP($P465&amp;" | "&amp;CR$6,'Job Master'!$F$12:$I$102,4,0)-1),""),"")</f>
        <v/>
      </c>
      <c r="CU465" s="73"/>
      <c r="CV465" s="123" t="str">
        <f t="shared" si="925"/>
        <v/>
      </c>
      <c r="CW465" s="123" t="str">
        <f t="shared" si="926"/>
        <v/>
      </c>
      <c r="CX465" s="97" t="str">
        <f t="shared" ca="1" si="927"/>
        <v/>
      </c>
      <c r="CY465" s="98" t="str">
        <f>IF(DA465&lt;&gt;"",VLOOKUP($P465&amp;" | "&amp;CY$6,'Job Master'!$F$12:$J$102,5,0),"")</f>
        <v/>
      </c>
      <c r="CZ465" s="19" t="str">
        <f>IF(DA465&lt;&gt;"",VLOOKUP($P465&amp;" | "&amp;CY$6,'Job Master'!$F$12:$J$102,3,0),"")</f>
        <v/>
      </c>
      <c r="DA465" s="19" t="str">
        <f>IFERROR(IF(AND(DH465&lt;&gt;"",VLOOKUP($P465&amp;" | "&amp;CY$6,'Job Master'!$F$12:$I$102,4,0)&lt;&gt;""),IF(WEEKDAY(DH465-VLOOKUP($P465&amp;" | "&amp;CY$6,'Job Master'!$F$12:$I$102,4,0))&lt;&gt;7,DH465-VLOOKUP($P465&amp;" | "&amp;CY$6,'Job Master'!$F$12:$I$102,4,0),DH465-VLOOKUP($P465&amp;" | "&amp;CY$6,'Job Master'!$F$12:$I$102,4,0)-1),""),"")</f>
        <v/>
      </c>
      <c r="DB465" s="73"/>
      <c r="DC465" s="123" t="str">
        <f t="shared" si="928"/>
        <v/>
      </c>
      <c r="DD465" s="123" t="str">
        <f t="shared" si="929"/>
        <v/>
      </c>
      <c r="DE465" s="97" t="str">
        <f t="shared" ca="1" si="930"/>
        <v/>
      </c>
      <c r="DF465" s="98" t="str">
        <f>IF(DH465&lt;&gt;"",VLOOKUP($P465&amp;" | "&amp;DF$6,'Job Master'!$F$12:$J$102,5,0),"")</f>
        <v/>
      </c>
      <c r="DG465" s="19" t="str">
        <f>IF(DH465&lt;&gt;"",VLOOKUP($P465&amp;" | "&amp;DF$6,'Job Master'!$F$12:$J$102,3,0),"")</f>
        <v/>
      </c>
      <c r="DH465" s="19" t="str">
        <f>IFERROR(IF(AND(DO465&lt;&gt;"",VLOOKUP($P465&amp;" | "&amp;DF$6,'Job Master'!$F$12:$I$102,4,0)&lt;&gt;""),IF(WEEKDAY(DO465-VLOOKUP($P465&amp;" | "&amp;DF$6,'Job Master'!$F$12:$I$102,4,0))&lt;&gt;7,DO465-VLOOKUP($P465&amp;" | "&amp;DF$6,'Job Master'!$F$12:$I$102,4,0),DO465-VLOOKUP($P465&amp;" | "&amp;DF$6,'Job Master'!$F$12:$I$102,4,0)-1),""),"")</f>
        <v/>
      </c>
      <c r="DI465" s="73"/>
      <c r="DJ465" s="123" t="str">
        <f t="shared" si="931"/>
        <v/>
      </c>
      <c r="DK465" s="123" t="str">
        <f t="shared" si="932"/>
        <v/>
      </c>
      <c r="DL465" s="97" t="str">
        <f t="shared" ca="1" si="933"/>
        <v/>
      </c>
      <c r="DM465" s="98" t="str">
        <f>IF(DO465&lt;&gt;"",VLOOKUP($P465&amp;" | "&amp;DM$6,'Job Master'!$F$12:$J$102,5,0),"")</f>
        <v/>
      </c>
      <c r="DN465" s="19" t="str">
        <f>IF(DO465&lt;&gt;"",VLOOKUP($P465&amp;" | "&amp;DM$6,'Job Master'!$F$12:$J$102,3,0),"")</f>
        <v/>
      </c>
      <c r="DO465" s="19" t="str">
        <f>IFERROR(IF(AND(DT465&lt;&gt;"",VLOOKUP($P465&amp;" | "&amp;DM$6,'Job Master'!$F$12:$I$102,4,0)&lt;&gt;""),IF(WEEKDAY(DT465-VLOOKUP($P465&amp;" | "&amp;DM$6,'Job Master'!$F$12:$I$102,4,0))&lt;&gt;7,DT465-VLOOKUP($P465&amp;" | "&amp;DM$6,'Job Master'!$F$12:$I$102,4,0),DT465-VLOOKUP($P465&amp;" | "&amp;DM$6,'Job Master'!$F$12:$I$102,4,0)-1),""),"")</f>
        <v/>
      </c>
      <c r="DP465" s="73"/>
      <c r="DQ465" s="123" t="str">
        <f t="shared" si="934"/>
        <v/>
      </c>
      <c r="DR465" s="123" t="str">
        <f t="shared" si="935"/>
        <v/>
      </c>
      <c r="DS465" s="97" t="str">
        <f t="shared" ca="1" si="936"/>
        <v/>
      </c>
      <c r="DT465" s="70" t="str">
        <f t="shared" si="937"/>
        <v/>
      </c>
      <c r="DU465" s="90"/>
      <c r="DV465" s="123" t="str">
        <f t="shared" si="938"/>
        <v/>
      </c>
      <c r="DW465" s="123" t="str">
        <f t="shared" si="939"/>
        <v/>
      </c>
      <c r="DX465" s="132" t="str">
        <f t="shared" ref="DX465" ca="1" si="955">IF(DT465&lt;&gt;"",IF(WEEKNUM(DT465)=WEEKNUM(TODAY()),"This Week",IF(WEEKNUM(DT465)=WEEKNUM(TODAY())+1,"Next Week",IF(WEEKNUM(DT465)=WEEKNUM(TODAY())-1,"Previous Week",""))),"")</f>
        <v/>
      </c>
      <c r="DY465" s="134" t="str">
        <f t="shared" si="941"/>
        <v/>
      </c>
      <c r="DZ465" s="95"/>
      <c r="EB465" s="8" t="str">
        <f t="shared" si="947"/>
        <v/>
      </c>
      <c r="EC465" s="8" t="str">
        <f>IF(O465&lt;&gt;"",VLOOKUP(O465,'Job Master'!$N$12:$O$18,2,0),"")</f>
        <v/>
      </c>
      <c r="ED465" s="8">
        <f t="shared" si="948"/>
        <v>19.5</v>
      </c>
      <c r="EE465" s="8">
        <f t="shared" si="949"/>
        <v>6</v>
      </c>
      <c r="EF465" s="8">
        <f t="shared" si="950"/>
        <v>-2710.5</v>
      </c>
      <c r="EG465" s="8" t="str">
        <f t="shared" si="951"/>
        <v/>
      </c>
      <c r="EH465" s="8" t="str">
        <f t="shared" si="952"/>
        <v/>
      </c>
    </row>
    <row r="466" spans="2:138" x14ac:dyDescent="0.3">
      <c r="B466" s="112"/>
      <c r="C466" s="27"/>
      <c r="D466" s="7" t="str">
        <f t="shared" si="891"/>
        <v/>
      </c>
      <c r="E466" s="25"/>
      <c r="F466" s="7" t="str">
        <f t="shared" si="891"/>
        <v/>
      </c>
      <c r="G466" s="25"/>
      <c r="H466" s="7" t="str">
        <f t="shared" si="891"/>
        <v/>
      </c>
      <c r="I466" s="25"/>
      <c r="J466" s="7" t="str">
        <f t="shared" si="891"/>
        <v/>
      </c>
      <c r="K466" s="25"/>
      <c r="L466" s="7" t="str">
        <f t="shared" si="891"/>
        <v/>
      </c>
      <c r="M466" s="25"/>
      <c r="N466" s="7" t="str">
        <f t="shared" si="891"/>
        <v/>
      </c>
      <c r="O466" s="81"/>
      <c r="P466" s="81" t="str">
        <f t="shared" si="892"/>
        <v/>
      </c>
      <c r="Q466" s="81"/>
      <c r="R466" s="7" t="str">
        <f t="shared" si="893"/>
        <v/>
      </c>
      <c r="S466" s="25"/>
      <c r="T466" s="7" t="str">
        <f t="shared" si="894"/>
        <v/>
      </c>
      <c r="U466" s="25"/>
      <c r="V466" s="7" t="str">
        <f t="shared" si="895"/>
        <v/>
      </c>
      <c r="W466" s="25"/>
      <c r="X466" s="7" t="str">
        <f t="shared" si="896"/>
        <v/>
      </c>
      <c r="Y466" s="18" t="str">
        <f t="shared" si="897"/>
        <v/>
      </c>
      <c r="Z466" s="7" t="str">
        <f t="shared" si="898"/>
        <v/>
      </c>
      <c r="AA466" s="18" t="str">
        <f t="shared" si="899"/>
        <v/>
      </c>
      <c r="AB466" s="19" t="str">
        <f t="shared" si="900"/>
        <v/>
      </c>
      <c r="AC466" s="26"/>
      <c r="AD466" s="26"/>
      <c r="AE466" s="25"/>
      <c r="AF466" s="26"/>
      <c r="AG466" s="25"/>
      <c r="AH466" s="25"/>
      <c r="AI466" s="18" t="str">
        <f t="shared" si="839"/>
        <v/>
      </c>
      <c r="AJ466" s="25"/>
      <c r="AK466" s="18" t="str">
        <f t="shared" si="840"/>
        <v/>
      </c>
      <c r="AL466" s="79"/>
      <c r="AM466" s="126" t="str">
        <f t="shared" si="841"/>
        <v/>
      </c>
      <c r="AN466" s="128" t="str">
        <f>IF(AP466&lt;&gt;"",VLOOKUP($P466&amp;" | "&amp;AN$6,'Job Master'!$F$12:$J$102,5,0),"")</f>
        <v/>
      </c>
      <c r="AO466" s="19" t="str">
        <f>IF(AP466&lt;&gt;"",VLOOKUP($P466&amp;" | "&amp;AN$6,'Job Master'!$F$12:$J$102,3,0),"")</f>
        <v/>
      </c>
      <c r="AP466" s="19" t="str">
        <f>IFERROR(IF(AND(AW466&lt;&gt;"",VLOOKUP($P466&amp;" | "&amp;AN$6,'Job Master'!$F$12:$I$102,4,0)&lt;&gt;""),IF(WEEKDAY(AW466-VLOOKUP($P466&amp;" | "&amp;AN$6,'Job Master'!$F$12:$I$102,4,0))&lt;&gt;7,AW466-VLOOKUP($P466&amp;" | "&amp;AN$6,'Job Master'!$F$12:$I$102,4,0),AW466-VLOOKUP($P466&amp;" | "&amp;AN$6,'Job Master'!$F$12:$I$102,4,0)-1),""),"")</f>
        <v/>
      </c>
      <c r="AQ466" s="73"/>
      <c r="AR466" s="123" t="str">
        <f t="shared" si="901"/>
        <v/>
      </c>
      <c r="AS466" s="123" t="str">
        <f t="shared" si="902"/>
        <v/>
      </c>
      <c r="AT466" s="97" t="str">
        <f t="shared" ca="1" si="903"/>
        <v/>
      </c>
      <c r="AU466" s="98" t="str">
        <f>IF(AW466&lt;&gt;"",VLOOKUP($P466&amp;" | "&amp;AU$6,'Job Master'!$F$12:$J$102,5,0),"")</f>
        <v/>
      </c>
      <c r="AV466" s="19" t="str">
        <f>IF(AW466&lt;&gt;"",VLOOKUP($P466&amp;" | "&amp;AU$6,'Job Master'!$F$12:$J$102,3,0),"")</f>
        <v/>
      </c>
      <c r="AW466" s="19" t="str">
        <f>IFERROR(IF(AND(BD466&lt;&gt;"",VLOOKUP($P466&amp;" | "&amp;AU$6,'Job Master'!$F$12:$I$102,4,0)&lt;&gt;""),IF(WEEKDAY(BD466-VLOOKUP($P466&amp;" | "&amp;AU$6,'Job Master'!$F$12:$I$102,4,0))&lt;&gt;7,BD466-VLOOKUP($P466&amp;" | "&amp;AU$6,'Job Master'!$F$12:$I$102,4,0),BD466-VLOOKUP($P466&amp;" | "&amp;AU$6,'Job Master'!$F$12:$I$102,4,0)-1),""),"")</f>
        <v/>
      </c>
      <c r="AX466" s="73"/>
      <c r="AY466" s="123" t="str">
        <f t="shared" si="904"/>
        <v/>
      </c>
      <c r="AZ466" s="123" t="str">
        <f t="shared" si="905"/>
        <v/>
      </c>
      <c r="BA466" s="97" t="str">
        <f t="shared" ca="1" si="906"/>
        <v/>
      </c>
      <c r="BB466" s="98" t="str">
        <f>IF(BD466&lt;&gt;"",VLOOKUP($P466&amp;" | "&amp;BB$6,'Job Master'!$F$12:$J$102,5,0),"")</f>
        <v/>
      </c>
      <c r="BC466" s="19" t="str">
        <f>IF(BD466&lt;&gt;"",VLOOKUP($P466&amp;" | "&amp;BB$6,'Job Master'!$F$12:$J$102,3,0),"")</f>
        <v/>
      </c>
      <c r="BD466" s="19" t="str">
        <f>IFERROR(IF(AND(BK466&lt;&gt;"",VLOOKUP($P466&amp;" | "&amp;BB$6,'Job Master'!$F$12:$I$102,4,0)&lt;&gt;""),IF(WEEKDAY(BK466-VLOOKUP($P466&amp;" | "&amp;BB$6,'Job Master'!$F$12:$I$102,4,0))&lt;&gt;7,BK466-VLOOKUP($P466&amp;" | "&amp;BB$6,'Job Master'!$F$12:$I$102,4,0),BK466-VLOOKUP($P466&amp;" | "&amp;BB$6,'Job Master'!$F$12:$I$102,4,0)-1),""),"")</f>
        <v/>
      </c>
      <c r="BE466" s="73"/>
      <c r="BF466" s="123" t="str">
        <f t="shared" si="907"/>
        <v/>
      </c>
      <c r="BG466" s="123" t="str">
        <f t="shared" si="908"/>
        <v/>
      </c>
      <c r="BH466" s="97" t="str">
        <f t="shared" ca="1" si="909"/>
        <v/>
      </c>
      <c r="BI466" s="98" t="str">
        <f>IF(BK466&lt;&gt;"",VLOOKUP($P466&amp;" | "&amp;BI$6,'Job Master'!$F$12:$J$102,5,0),"")</f>
        <v/>
      </c>
      <c r="BJ466" s="19" t="str">
        <f>IF(BK466&lt;&gt;"",VLOOKUP($P466&amp;" | "&amp;BI$6,'Job Master'!$F$12:$J$102,3,0),"")</f>
        <v/>
      </c>
      <c r="BK466" s="19" t="str">
        <f>IFERROR(IF(AND(BR466&lt;&gt;"",VLOOKUP($P466&amp;" | "&amp;BI$6,'Job Master'!$F$12:$I$102,4,0)&lt;&gt;""),IF(WEEKDAY(BR466-VLOOKUP($P466&amp;" | "&amp;BI$6,'Job Master'!$F$12:$I$102,4,0))&lt;&gt;7,BR466-VLOOKUP($P466&amp;" | "&amp;BI$6,'Job Master'!$F$12:$I$102,4,0),BR466-VLOOKUP($P466&amp;" | "&amp;BI$6,'Job Master'!$F$12:$I$102,4,0)-1),""),"")</f>
        <v/>
      </c>
      <c r="BL466" s="73"/>
      <c r="BM466" s="123" t="str">
        <f t="shared" si="910"/>
        <v/>
      </c>
      <c r="BN466" s="123" t="str">
        <f t="shared" si="911"/>
        <v/>
      </c>
      <c r="BO466" s="97" t="str">
        <f t="shared" ca="1" si="912"/>
        <v/>
      </c>
      <c r="BP466" s="98" t="str">
        <f>IF(BR466&lt;&gt;"",VLOOKUP($P466&amp;" | "&amp;BP$6,'Job Master'!$F$12:$J$102,5,0),"")</f>
        <v/>
      </c>
      <c r="BQ466" s="19" t="str">
        <f>IF(BR466&lt;&gt;"",VLOOKUP($P466&amp;" | "&amp;BP$6,'Job Master'!$F$12:$J$102,3,0),"")</f>
        <v/>
      </c>
      <c r="BR466" s="19" t="str">
        <f>IFERROR(IF(AND(BY466&lt;&gt;"",VLOOKUP($P466&amp;" | "&amp;BP$6,'Job Master'!$F$12:$I$102,4,0)&lt;&gt;""),IF(WEEKDAY(BY466-VLOOKUP($P466&amp;" | "&amp;BP$6,'Job Master'!$F$12:$I$102,4,0))&lt;&gt;7,BY466-VLOOKUP($P466&amp;" | "&amp;BP$6,'Job Master'!$F$12:$I$102,4,0),BY466-VLOOKUP($P466&amp;" | "&amp;BP$6,'Job Master'!$F$12:$I$102,4,0)-1),""),"")</f>
        <v/>
      </c>
      <c r="BS466" s="73"/>
      <c r="BT466" s="123" t="str">
        <f t="shared" si="913"/>
        <v/>
      </c>
      <c r="BU466" s="123" t="str">
        <f t="shared" si="914"/>
        <v/>
      </c>
      <c r="BV466" s="97" t="str">
        <f t="shared" ca="1" si="915"/>
        <v/>
      </c>
      <c r="BW466" s="98" t="str">
        <f>IF(BY466&lt;&gt;"",VLOOKUP($P466&amp;" | "&amp;BW$6,'Job Master'!$F$12:$J$102,5,0),"")</f>
        <v/>
      </c>
      <c r="BX466" s="19" t="str">
        <f>IF(BY466&lt;&gt;"",VLOOKUP($P466&amp;" | "&amp;BW$6,'Job Master'!$F$12:$J$102,3,0),"")</f>
        <v/>
      </c>
      <c r="BY466" s="19" t="str">
        <f>IFERROR(IF(AND(CF466&lt;&gt;"",VLOOKUP($P466&amp;" | "&amp;BW$6,'Job Master'!$F$12:$I$102,4,0)&lt;&gt;""),IF(WEEKDAY(CF466-VLOOKUP($P466&amp;" | "&amp;BW$6,'Job Master'!$F$12:$I$102,4,0))&lt;&gt;7,CF466-VLOOKUP($P466&amp;" | "&amp;BW$6,'Job Master'!$F$12:$I$102,4,0),CF466-VLOOKUP($P466&amp;" | "&amp;BW$6,'Job Master'!$F$12:$I$102,4,0)-1),""),"")</f>
        <v/>
      </c>
      <c r="BZ466" s="73"/>
      <c r="CA466" s="123" t="str">
        <f t="shared" si="916"/>
        <v/>
      </c>
      <c r="CB466" s="123" t="str">
        <f t="shared" si="917"/>
        <v/>
      </c>
      <c r="CC466" s="97" t="str">
        <f t="shared" ca="1" si="918"/>
        <v/>
      </c>
      <c r="CD466" s="98" t="str">
        <f>IF(CF466&lt;&gt;"",VLOOKUP($P466&amp;" | "&amp;CD$6,'Job Master'!$F$12:$J$102,5,0),"")</f>
        <v/>
      </c>
      <c r="CE466" s="19" t="str">
        <f>IF(CF466&lt;&gt;"",VLOOKUP($P466&amp;" | "&amp;CD$6,'Job Master'!$F$12:$J$102,3,0),"")</f>
        <v/>
      </c>
      <c r="CF466" s="19" t="str">
        <f>IFERROR(IF(AND(CM466&lt;&gt;"",VLOOKUP($P466&amp;" | "&amp;CD$6,'Job Master'!$F$12:$I$102,4,0)&lt;&gt;""),IF(WEEKDAY(CM466-VLOOKUP($P466&amp;" | "&amp;CD$6,'Job Master'!$F$12:$I$102,4,0))&lt;&gt;7,CM466-VLOOKUP($P466&amp;" | "&amp;CD$6,'Job Master'!$F$12:$I$102,4,0),CM466-VLOOKUP($P466&amp;" | "&amp;CD$6,'Job Master'!$F$12:$I$102,4,0)-1),""),"")</f>
        <v/>
      </c>
      <c r="CG466" s="73"/>
      <c r="CH466" s="123" t="str">
        <f t="shared" si="919"/>
        <v/>
      </c>
      <c r="CI466" s="123" t="str">
        <f t="shared" si="920"/>
        <v/>
      </c>
      <c r="CJ466" s="97" t="str">
        <f t="shared" ca="1" si="921"/>
        <v/>
      </c>
      <c r="CK466" s="98" t="str">
        <f>IF(CM466&lt;&gt;"",VLOOKUP($P466&amp;" | "&amp;CK$6,'Job Master'!$F$12:$J$102,5,0),"")</f>
        <v/>
      </c>
      <c r="CL466" s="19" t="str">
        <f>IF(CM466&lt;&gt;"",VLOOKUP($P466&amp;" | "&amp;CK$6,'Job Master'!$F$12:$J$102,3,0),"")</f>
        <v/>
      </c>
      <c r="CM466" s="19" t="str">
        <f>IFERROR(IF(AND(CT466&lt;&gt;"",VLOOKUP($P466&amp;" | "&amp;CK$6,'Job Master'!$F$12:$I$102,4,0)&lt;&gt;""),IF(WEEKDAY(CT466-VLOOKUP($P466&amp;" | "&amp;CK$6,'Job Master'!$F$12:$I$102,4,0))&lt;&gt;7,CT466-VLOOKUP($P466&amp;" | "&amp;CK$6,'Job Master'!$F$12:$I$102,4,0),CT466-VLOOKUP($P466&amp;" | "&amp;CK$6,'Job Master'!$F$12:$I$102,4,0)-1),""),"")</f>
        <v/>
      </c>
      <c r="CN466" s="73"/>
      <c r="CO466" s="123" t="str">
        <f t="shared" si="922"/>
        <v/>
      </c>
      <c r="CP466" s="123" t="str">
        <f t="shared" si="923"/>
        <v/>
      </c>
      <c r="CQ466" s="97" t="str">
        <f t="shared" ca="1" si="924"/>
        <v/>
      </c>
      <c r="CR466" s="98" t="str">
        <f>IF(CT466&lt;&gt;"",VLOOKUP($P466&amp;" | "&amp;CR$6,'Job Master'!$F$12:$J$102,5,0),"")</f>
        <v/>
      </c>
      <c r="CS466" s="19" t="str">
        <f>IF(CT466&lt;&gt;"",VLOOKUP($P466&amp;" | "&amp;CR$6,'Job Master'!$F$12:$J$102,3,0),"")</f>
        <v/>
      </c>
      <c r="CT466" s="19" t="str">
        <f>IFERROR(IF(AND(DA466&lt;&gt;"",VLOOKUP($P466&amp;" | "&amp;CR$6,'Job Master'!$F$12:$I$102,4,0)&lt;&gt;""),IF(WEEKDAY(DA466-VLOOKUP($P466&amp;" | "&amp;CR$6,'Job Master'!$F$12:$I$102,4,0))&lt;&gt;7,DA466-VLOOKUP($P466&amp;" | "&amp;CR$6,'Job Master'!$F$12:$I$102,4,0),DA466-VLOOKUP($P466&amp;" | "&amp;CR$6,'Job Master'!$F$12:$I$102,4,0)-1),""),"")</f>
        <v/>
      </c>
      <c r="CU466" s="73"/>
      <c r="CV466" s="123" t="str">
        <f t="shared" si="925"/>
        <v/>
      </c>
      <c r="CW466" s="123" t="str">
        <f t="shared" si="926"/>
        <v/>
      </c>
      <c r="CX466" s="97" t="str">
        <f t="shared" ca="1" si="927"/>
        <v/>
      </c>
      <c r="CY466" s="98" t="str">
        <f>IF(DA466&lt;&gt;"",VLOOKUP($P466&amp;" | "&amp;CY$6,'Job Master'!$F$12:$J$102,5,0),"")</f>
        <v/>
      </c>
      <c r="CZ466" s="19" t="str">
        <f>IF(DA466&lt;&gt;"",VLOOKUP($P466&amp;" | "&amp;CY$6,'Job Master'!$F$12:$J$102,3,0),"")</f>
        <v/>
      </c>
      <c r="DA466" s="19" t="str">
        <f>IFERROR(IF(AND(DH466&lt;&gt;"",VLOOKUP($P466&amp;" | "&amp;CY$6,'Job Master'!$F$12:$I$102,4,0)&lt;&gt;""),IF(WEEKDAY(DH466-VLOOKUP($P466&amp;" | "&amp;CY$6,'Job Master'!$F$12:$I$102,4,0))&lt;&gt;7,DH466-VLOOKUP($P466&amp;" | "&amp;CY$6,'Job Master'!$F$12:$I$102,4,0),DH466-VLOOKUP($P466&amp;" | "&amp;CY$6,'Job Master'!$F$12:$I$102,4,0)-1),""),"")</f>
        <v/>
      </c>
      <c r="DB466" s="73"/>
      <c r="DC466" s="123" t="str">
        <f t="shared" si="928"/>
        <v/>
      </c>
      <c r="DD466" s="123" t="str">
        <f t="shared" si="929"/>
        <v/>
      </c>
      <c r="DE466" s="97" t="str">
        <f t="shared" ca="1" si="930"/>
        <v/>
      </c>
      <c r="DF466" s="98" t="str">
        <f>IF(DH466&lt;&gt;"",VLOOKUP($P466&amp;" | "&amp;DF$6,'Job Master'!$F$12:$J$102,5,0),"")</f>
        <v/>
      </c>
      <c r="DG466" s="19" t="str">
        <f>IF(DH466&lt;&gt;"",VLOOKUP($P466&amp;" | "&amp;DF$6,'Job Master'!$F$12:$J$102,3,0),"")</f>
        <v/>
      </c>
      <c r="DH466" s="19" t="str">
        <f>IFERROR(IF(AND(DO466&lt;&gt;"",VLOOKUP($P466&amp;" | "&amp;DF$6,'Job Master'!$F$12:$I$102,4,0)&lt;&gt;""),IF(WEEKDAY(DO466-VLOOKUP($P466&amp;" | "&amp;DF$6,'Job Master'!$F$12:$I$102,4,0))&lt;&gt;7,DO466-VLOOKUP($P466&amp;" | "&amp;DF$6,'Job Master'!$F$12:$I$102,4,0),DO466-VLOOKUP($P466&amp;" | "&amp;DF$6,'Job Master'!$F$12:$I$102,4,0)-1),""),"")</f>
        <v/>
      </c>
      <c r="DI466" s="73"/>
      <c r="DJ466" s="123" t="str">
        <f t="shared" si="931"/>
        <v/>
      </c>
      <c r="DK466" s="123" t="str">
        <f t="shared" si="932"/>
        <v/>
      </c>
      <c r="DL466" s="97" t="str">
        <f t="shared" ca="1" si="933"/>
        <v/>
      </c>
      <c r="DM466" s="98" t="str">
        <f>IF(DO466&lt;&gt;"",VLOOKUP($P466&amp;" | "&amp;DM$6,'Job Master'!$F$12:$J$102,5,0),"")</f>
        <v/>
      </c>
      <c r="DN466" s="19" t="str">
        <f>IF(DO466&lt;&gt;"",VLOOKUP($P466&amp;" | "&amp;DM$6,'Job Master'!$F$12:$J$102,3,0),"")</f>
        <v/>
      </c>
      <c r="DO466" s="19" t="str">
        <f>IFERROR(IF(AND(DT466&lt;&gt;"",VLOOKUP($P466&amp;" | "&amp;DM$6,'Job Master'!$F$12:$I$102,4,0)&lt;&gt;""),IF(WEEKDAY(DT466-VLOOKUP($P466&amp;" | "&amp;DM$6,'Job Master'!$F$12:$I$102,4,0))&lt;&gt;7,DT466-VLOOKUP($P466&amp;" | "&amp;DM$6,'Job Master'!$F$12:$I$102,4,0),DT466-VLOOKUP($P466&amp;" | "&amp;DM$6,'Job Master'!$F$12:$I$102,4,0)-1),""),"")</f>
        <v/>
      </c>
      <c r="DP466" s="73"/>
      <c r="DQ466" s="123" t="str">
        <f t="shared" si="934"/>
        <v/>
      </c>
      <c r="DR466" s="123" t="str">
        <f t="shared" si="935"/>
        <v/>
      </c>
      <c r="DS466" s="97" t="str">
        <f t="shared" ca="1" si="936"/>
        <v/>
      </c>
      <c r="DT466" s="70" t="str">
        <f t="shared" si="937"/>
        <v/>
      </c>
      <c r="DU466" s="90"/>
      <c r="DV466" s="123" t="str">
        <f t="shared" si="938"/>
        <v/>
      </c>
      <c r="DW466" s="123" t="str">
        <f t="shared" si="939"/>
        <v/>
      </c>
      <c r="DX466" s="132" t="str">
        <f t="shared" ref="DX466" ca="1" si="956">IF(DT466&lt;&gt;"",IF(WEEKNUM(DT466)=WEEKNUM(TODAY()),"This Week",IF(WEEKNUM(DT466)=WEEKNUM(TODAY())+1,"Next Week",IF(WEEKNUM(DT466)=WEEKNUM(TODAY())-1,"Previous Week",""))),"")</f>
        <v/>
      </c>
      <c r="DY466" s="134" t="str">
        <f t="shared" si="941"/>
        <v/>
      </c>
      <c r="DZ466" s="95"/>
      <c r="EB466" s="8" t="str">
        <f t="shared" si="947"/>
        <v/>
      </c>
      <c r="EC466" s="8" t="str">
        <f>IF(O466&lt;&gt;"",VLOOKUP(O466,'Job Master'!$N$12:$O$18,2,0),"")</f>
        <v/>
      </c>
      <c r="ED466" s="8">
        <f t="shared" si="948"/>
        <v>19.5</v>
      </c>
      <c r="EE466" s="8">
        <f t="shared" si="949"/>
        <v>6</v>
      </c>
      <c r="EF466" s="8">
        <f t="shared" si="950"/>
        <v>-2716.5</v>
      </c>
      <c r="EG466" s="8" t="str">
        <f t="shared" si="951"/>
        <v/>
      </c>
      <c r="EH466" s="8" t="str">
        <f t="shared" si="952"/>
        <v/>
      </c>
    </row>
    <row r="467" spans="2:138" x14ac:dyDescent="0.3">
      <c r="B467" s="112"/>
      <c r="C467" s="27"/>
      <c r="D467" s="7" t="str">
        <f t="shared" si="891"/>
        <v/>
      </c>
      <c r="E467" s="25"/>
      <c r="F467" s="7" t="str">
        <f t="shared" si="891"/>
        <v/>
      </c>
      <c r="G467" s="25"/>
      <c r="H467" s="7" t="str">
        <f t="shared" si="891"/>
        <v/>
      </c>
      <c r="I467" s="25"/>
      <c r="J467" s="7" t="str">
        <f t="shared" si="891"/>
        <v/>
      </c>
      <c r="K467" s="25"/>
      <c r="L467" s="7" t="str">
        <f t="shared" si="891"/>
        <v/>
      </c>
      <c r="M467" s="25"/>
      <c r="N467" s="7" t="str">
        <f t="shared" si="891"/>
        <v/>
      </c>
      <c r="O467" s="81"/>
      <c r="P467" s="81" t="str">
        <f t="shared" si="892"/>
        <v/>
      </c>
      <c r="Q467" s="81"/>
      <c r="R467" s="7" t="str">
        <f t="shared" si="893"/>
        <v/>
      </c>
      <c r="S467" s="25"/>
      <c r="T467" s="7" t="str">
        <f t="shared" si="894"/>
        <v/>
      </c>
      <c r="U467" s="25"/>
      <c r="V467" s="7" t="str">
        <f t="shared" si="895"/>
        <v/>
      </c>
      <c r="W467" s="25"/>
      <c r="X467" s="7" t="str">
        <f t="shared" si="896"/>
        <v/>
      </c>
      <c r="Y467" s="18" t="str">
        <f t="shared" si="897"/>
        <v/>
      </c>
      <c r="Z467" s="7" t="str">
        <f t="shared" si="898"/>
        <v/>
      </c>
      <c r="AA467" s="18" t="str">
        <f t="shared" si="899"/>
        <v/>
      </c>
      <c r="AB467" s="19" t="str">
        <f t="shared" si="900"/>
        <v/>
      </c>
      <c r="AC467" s="26"/>
      <c r="AD467" s="26"/>
      <c r="AE467" s="25"/>
      <c r="AF467" s="26"/>
      <c r="AG467" s="25"/>
      <c r="AH467" s="25"/>
      <c r="AI467" s="18" t="str">
        <f t="shared" si="839"/>
        <v/>
      </c>
      <c r="AJ467" s="25"/>
      <c r="AK467" s="18" t="str">
        <f t="shared" si="840"/>
        <v/>
      </c>
      <c r="AL467" s="79"/>
      <c r="AM467" s="126" t="str">
        <f t="shared" si="841"/>
        <v/>
      </c>
      <c r="AN467" s="128" t="str">
        <f>IF(AP467&lt;&gt;"",VLOOKUP($P467&amp;" | "&amp;AN$6,'Job Master'!$F$12:$J$102,5,0),"")</f>
        <v/>
      </c>
      <c r="AO467" s="19" t="str">
        <f>IF(AP467&lt;&gt;"",VLOOKUP($P467&amp;" | "&amp;AN$6,'Job Master'!$F$12:$J$102,3,0),"")</f>
        <v/>
      </c>
      <c r="AP467" s="19" t="str">
        <f>IFERROR(IF(AND(AW467&lt;&gt;"",VLOOKUP($P467&amp;" | "&amp;AN$6,'Job Master'!$F$12:$I$102,4,0)&lt;&gt;""),IF(WEEKDAY(AW467-VLOOKUP($P467&amp;" | "&amp;AN$6,'Job Master'!$F$12:$I$102,4,0))&lt;&gt;7,AW467-VLOOKUP($P467&amp;" | "&amp;AN$6,'Job Master'!$F$12:$I$102,4,0),AW467-VLOOKUP($P467&amp;" | "&amp;AN$6,'Job Master'!$F$12:$I$102,4,0)-1),""),"")</f>
        <v/>
      </c>
      <c r="AQ467" s="73"/>
      <c r="AR467" s="123" t="str">
        <f t="shared" si="901"/>
        <v/>
      </c>
      <c r="AS467" s="123" t="str">
        <f t="shared" si="902"/>
        <v/>
      </c>
      <c r="AT467" s="97" t="str">
        <f t="shared" ca="1" si="903"/>
        <v/>
      </c>
      <c r="AU467" s="98" t="str">
        <f>IF(AW467&lt;&gt;"",VLOOKUP($P467&amp;" | "&amp;AU$6,'Job Master'!$F$12:$J$102,5,0),"")</f>
        <v/>
      </c>
      <c r="AV467" s="19" t="str">
        <f>IF(AW467&lt;&gt;"",VLOOKUP($P467&amp;" | "&amp;AU$6,'Job Master'!$F$12:$J$102,3,0),"")</f>
        <v/>
      </c>
      <c r="AW467" s="19" t="str">
        <f>IFERROR(IF(AND(BD467&lt;&gt;"",VLOOKUP($P467&amp;" | "&amp;AU$6,'Job Master'!$F$12:$I$102,4,0)&lt;&gt;""),IF(WEEKDAY(BD467-VLOOKUP($P467&amp;" | "&amp;AU$6,'Job Master'!$F$12:$I$102,4,0))&lt;&gt;7,BD467-VLOOKUP($P467&amp;" | "&amp;AU$6,'Job Master'!$F$12:$I$102,4,0),BD467-VLOOKUP($P467&amp;" | "&amp;AU$6,'Job Master'!$F$12:$I$102,4,0)-1),""),"")</f>
        <v/>
      </c>
      <c r="AX467" s="73"/>
      <c r="AY467" s="123" t="str">
        <f t="shared" si="904"/>
        <v/>
      </c>
      <c r="AZ467" s="123" t="str">
        <f t="shared" si="905"/>
        <v/>
      </c>
      <c r="BA467" s="97" t="str">
        <f t="shared" ca="1" si="906"/>
        <v/>
      </c>
      <c r="BB467" s="98" t="str">
        <f>IF(BD467&lt;&gt;"",VLOOKUP($P467&amp;" | "&amp;BB$6,'Job Master'!$F$12:$J$102,5,0),"")</f>
        <v/>
      </c>
      <c r="BC467" s="19" t="str">
        <f>IF(BD467&lt;&gt;"",VLOOKUP($P467&amp;" | "&amp;BB$6,'Job Master'!$F$12:$J$102,3,0),"")</f>
        <v/>
      </c>
      <c r="BD467" s="19" t="str">
        <f>IFERROR(IF(AND(BK467&lt;&gt;"",VLOOKUP($P467&amp;" | "&amp;BB$6,'Job Master'!$F$12:$I$102,4,0)&lt;&gt;""),IF(WEEKDAY(BK467-VLOOKUP($P467&amp;" | "&amp;BB$6,'Job Master'!$F$12:$I$102,4,0))&lt;&gt;7,BK467-VLOOKUP($P467&amp;" | "&amp;BB$6,'Job Master'!$F$12:$I$102,4,0),BK467-VLOOKUP($P467&amp;" | "&amp;BB$6,'Job Master'!$F$12:$I$102,4,0)-1),""),"")</f>
        <v/>
      </c>
      <c r="BE467" s="73"/>
      <c r="BF467" s="123" t="str">
        <f t="shared" si="907"/>
        <v/>
      </c>
      <c r="BG467" s="123" t="str">
        <f t="shared" si="908"/>
        <v/>
      </c>
      <c r="BH467" s="97" t="str">
        <f t="shared" ca="1" si="909"/>
        <v/>
      </c>
      <c r="BI467" s="98" t="str">
        <f>IF(BK467&lt;&gt;"",VLOOKUP($P467&amp;" | "&amp;BI$6,'Job Master'!$F$12:$J$102,5,0),"")</f>
        <v/>
      </c>
      <c r="BJ467" s="19" t="str">
        <f>IF(BK467&lt;&gt;"",VLOOKUP($P467&amp;" | "&amp;BI$6,'Job Master'!$F$12:$J$102,3,0),"")</f>
        <v/>
      </c>
      <c r="BK467" s="19" t="str">
        <f>IFERROR(IF(AND(BR467&lt;&gt;"",VLOOKUP($P467&amp;" | "&amp;BI$6,'Job Master'!$F$12:$I$102,4,0)&lt;&gt;""),IF(WEEKDAY(BR467-VLOOKUP($P467&amp;" | "&amp;BI$6,'Job Master'!$F$12:$I$102,4,0))&lt;&gt;7,BR467-VLOOKUP($P467&amp;" | "&amp;BI$6,'Job Master'!$F$12:$I$102,4,0),BR467-VLOOKUP($P467&amp;" | "&amp;BI$6,'Job Master'!$F$12:$I$102,4,0)-1),""),"")</f>
        <v/>
      </c>
      <c r="BL467" s="73"/>
      <c r="BM467" s="123" t="str">
        <f t="shared" si="910"/>
        <v/>
      </c>
      <c r="BN467" s="123" t="str">
        <f t="shared" si="911"/>
        <v/>
      </c>
      <c r="BO467" s="97" t="str">
        <f t="shared" ca="1" si="912"/>
        <v/>
      </c>
      <c r="BP467" s="98" t="str">
        <f>IF(BR467&lt;&gt;"",VLOOKUP($P467&amp;" | "&amp;BP$6,'Job Master'!$F$12:$J$102,5,0),"")</f>
        <v/>
      </c>
      <c r="BQ467" s="19" t="str">
        <f>IF(BR467&lt;&gt;"",VLOOKUP($P467&amp;" | "&amp;BP$6,'Job Master'!$F$12:$J$102,3,0),"")</f>
        <v/>
      </c>
      <c r="BR467" s="19" t="str">
        <f>IFERROR(IF(AND(BY467&lt;&gt;"",VLOOKUP($P467&amp;" | "&amp;BP$6,'Job Master'!$F$12:$I$102,4,0)&lt;&gt;""),IF(WEEKDAY(BY467-VLOOKUP($P467&amp;" | "&amp;BP$6,'Job Master'!$F$12:$I$102,4,0))&lt;&gt;7,BY467-VLOOKUP($P467&amp;" | "&amp;BP$6,'Job Master'!$F$12:$I$102,4,0),BY467-VLOOKUP($P467&amp;" | "&amp;BP$6,'Job Master'!$F$12:$I$102,4,0)-1),""),"")</f>
        <v/>
      </c>
      <c r="BS467" s="73"/>
      <c r="BT467" s="123" t="str">
        <f t="shared" si="913"/>
        <v/>
      </c>
      <c r="BU467" s="123" t="str">
        <f t="shared" si="914"/>
        <v/>
      </c>
      <c r="BV467" s="97" t="str">
        <f t="shared" ca="1" si="915"/>
        <v/>
      </c>
      <c r="BW467" s="98" t="str">
        <f>IF(BY467&lt;&gt;"",VLOOKUP($P467&amp;" | "&amp;BW$6,'Job Master'!$F$12:$J$102,5,0),"")</f>
        <v/>
      </c>
      <c r="BX467" s="19" t="str">
        <f>IF(BY467&lt;&gt;"",VLOOKUP($P467&amp;" | "&amp;BW$6,'Job Master'!$F$12:$J$102,3,0),"")</f>
        <v/>
      </c>
      <c r="BY467" s="19" t="str">
        <f>IFERROR(IF(AND(CF467&lt;&gt;"",VLOOKUP($P467&amp;" | "&amp;BW$6,'Job Master'!$F$12:$I$102,4,0)&lt;&gt;""),IF(WEEKDAY(CF467-VLOOKUP($P467&amp;" | "&amp;BW$6,'Job Master'!$F$12:$I$102,4,0))&lt;&gt;7,CF467-VLOOKUP($P467&amp;" | "&amp;BW$6,'Job Master'!$F$12:$I$102,4,0),CF467-VLOOKUP($P467&amp;" | "&amp;BW$6,'Job Master'!$F$12:$I$102,4,0)-1),""),"")</f>
        <v/>
      </c>
      <c r="BZ467" s="73"/>
      <c r="CA467" s="123" t="str">
        <f t="shared" si="916"/>
        <v/>
      </c>
      <c r="CB467" s="123" t="str">
        <f t="shared" si="917"/>
        <v/>
      </c>
      <c r="CC467" s="97" t="str">
        <f t="shared" ca="1" si="918"/>
        <v/>
      </c>
      <c r="CD467" s="98" t="str">
        <f>IF(CF467&lt;&gt;"",VLOOKUP($P467&amp;" | "&amp;CD$6,'Job Master'!$F$12:$J$102,5,0),"")</f>
        <v/>
      </c>
      <c r="CE467" s="19" t="str">
        <f>IF(CF467&lt;&gt;"",VLOOKUP($P467&amp;" | "&amp;CD$6,'Job Master'!$F$12:$J$102,3,0),"")</f>
        <v/>
      </c>
      <c r="CF467" s="19" t="str">
        <f>IFERROR(IF(AND(CM467&lt;&gt;"",VLOOKUP($P467&amp;" | "&amp;CD$6,'Job Master'!$F$12:$I$102,4,0)&lt;&gt;""),IF(WEEKDAY(CM467-VLOOKUP($P467&amp;" | "&amp;CD$6,'Job Master'!$F$12:$I$102,4,0))&lt;&gt;7,CM467-VLOOKUP($P467&amp;" | "&amp;CD$6,'Job Master'!$F$12:$I$102,4,0),CM467-VLOOKUP($P467&amp;" | "&amp;CD$6,'Job Master'!$F$12:$I$102,4,0)-1),""),"")</f>
        <v/>
      </c>
      <c r="CG467" s="73"/>
      <c r="CH467" s="123" t="str">
        <f t="shared" si="919"/>
        <v/>
      </c>
      <c r="CI467" s="123" t="str">
        <f t="shared" si="920"/>
        <v/>
      </c>
      <c r="CJ467" s="97" t="str">
        <f t="shared" ca="1" si="921"/>
        <v/>
      </c>
      <c r="CK467" s="98" t="str">
        <f>IF(CM467&lt;&gt;"",VLOOKUP($P467&amp;" | "&amp;CK$6,'Job Master'!$F$12:$J$102,5,0),"")</f>
        <v/>
      </c>
      <c r="CL467" s="19" t="str">
        <f>IF(CM467&lt;&gt;"",VLOOKUP($P467&amp;" | "&amp;CK$6,'Job Master'!$F$12:$J$102,3,0),"")</f>
        <v/>
      </c>
      <c r="CM467" s="19" t="str">
        <f>IFERROR(IF(AND(CT467&lt;&gt;"",VLOOKUP($P467&amp;" | "&amp;CK$6,'Job Master'!$F$12:$I$102,4,0)&lt;&gt;""),IF(WEEKDAY(CT467-VLOOKUP($P467&amp;" | "&amp;CK$6,'Job Master'!$F$12:$I$102,4,0))&lt;&gt;7,CT467-VLOOKUP($P467&amp;" | "&amp;CK$6,'Job Master'!$F$12:$I$102,4,0),CT467-VLOOKUP($P467&amp;" | "&amp;CK$6,'Job Master'!$F$12:$I$102,4,0)-1),""),"")</f>
        <v/>
      </c>
      <c r="CN467" s="73"/>
      <c r="CO467" s="123" t="str">
        <f t="shared" si="922"/>
        <v/>
      </c>
      <c r="CP467" s="123" t="str">
        <f t="shared" si="923"/>
        <v/>
      </c>
      <c r="CQ467" s="97" t="str">
        <f t="shared" ca="1" si="924"/>
        <v/>
      </c>
      <c r="CR467" s="98" t="str">
        <f>IF(CT467&lt;&gt;"",VLOOKUP($P467&amp;" | "&amp;CR$6,'Job Master'!$F$12:$J$102,5,0),"")</f>
        <v/>
      </c>
      <c r="CS467" s="19" t="str">
        <f>IF(CT467&lt;&gt;"",VLOOKUP($P467&amp;" | "&amp;CR$6,'Job Master'!$F$12:$J$102,3,0),"")</f>
        <v/>
      </c>
      <c r="CT467" s="19" t="str">
        <f>IFERROR(IF(AND(DA467&lt;&gt;"",VLOOKUP($P467&amp;" | "&amp;CR$6,'Job Master'!$F$12:$I$102,4,0)&lt;&gt;""),IF(WEEKDAY(DA467-VLOOKUP($P467&amp;" | "&amp;CR$6,'Job Master'!$F$12:$I$102,4,0))&lt;&gt;7,DA467-VLOOKUP($P467&amp;" | "&amp;CR$6,'Job Master'!$F$12:$I$102,4,0),DA467-VLOOKUP($P467&amp;" | "&amp;CR$6,'Job Master'!$F$12:$I$102,4,0)-1),""),"")</f>
        <v/>
      </c>
      <c r="CU467" s="73"/>
      <c r="CV467" s="123" t="str">
        <f t="shared" si="925"/>
        <v/>
      </c>
      <c r="CW467" s="123" t="str">
        <f t="shared" si="926"/>
        <v/>
      </c>
      <c r="CX467" s="97" t="str">
        <f t="shared" ca="1" si="927"/>
        <v/>
      </c>
      <c r="CY467" s="98" t="str">
        <f>IF(DA467&lt;&gt;"",VLOOKUP($P467&amp;" | "&amp;CY$6,'Job Master'!$F$12:$J$102,5,0),"")</f>
        <v/>
      </c>
      <c r="CZ467" s="19" t="str">
        <f>IF(DA467&lt;&gt;"",VLOOKUP($P467&amp;" | "&amp;CY$6,'Job Master'!$F$12:$J$102,3,0),"")</f>
        <v/>
      </c>
      <c r="DA467" s="19" t="str">
        <f>IFERROR(IF(AND(DH467&lt;&gt;"",VLOOKUP($P467&amp;" | "&amp;CY$6,'Job Master'!$F$12:$I$102,4,0)&lt;&gt;""),IF(WEEKDAY(DH467-VLOOKUP($P467&amp;" | "&amp;CY$6,'Job Master'!$F$12:$I$102,4,0))&lt;&gt;7,DH467-VLOOKUP($P467&amp;" | "&amp;CY$6,'Job Master'!$F$12:$I$102,4,0),DH467-VLOOKUP($P467&amp;" | "&amp;CY$6,'Job Master'!$F$12:$I$102,4,0)-1),""),"")</f>
        <v/>
      </c>
      <c r="DB467" s="73"/>
      <c r="DC467" s="123" t="str">
        <f t="shared" si="928"/>
        <v/>
      </c>
      <c r="DD467" s="123" t="str">
        <f t="shared" si="929"/>
        <v/>
      </c>
      <c r="DE467" s="97" t="str">
        <f t="shared" ca="1" si="930"/>
        <v/>
      </c>
      <c r="DF467" s="98" t="str">
        <f>IF(DH467&lt;&gt;"",VLOOKUP($P467&amp;" | "&amp;DF$6,'Job Master'!$F$12:$J$102,5,0),"")</f>
        <v/>
      </c>
      <c r="DG467" s="19" t="str">
        <f>IF(DH467&lt;&gt;"",VLOOKUP($P467&amp;" | "&amp;DF$6,'Job Master'!$F$12:$J$102,3,0),"")</f>
        <v/>
      </c>
      <c r="DH467" s="19" t="str">
        <f>IFERROR(IF(AND(DO467&lt;&gt;"",VLOOKUP($P467&amp;" | "&amp;DF$6,'Job Master'!$F$12:$I$102,4,0)&lt;&gt;""),IF(WEEKDAY(DO467-VLOOKUP($P467&amp;" | "&amp;DF$6,'Job Master'!$F$12:$I$102,4,0))&lt;&gt;7,DO467-VLOOKUP($P467&amp;" | "&amp;DF$6,'Job Master'!$F$12:$I$102,4,0),DO467-VLOOKUP($P467&amp;" | "&amp;DF$6,'Job Master'!$F$12:$I$102,4,0)-1),""),"")</f>
        <v/>
      </c>
      <c r="DI467" s="73"/>
      <c r="DJ467" s="123" t="str">
        <f t="shared" si="931"/>
        <v/>
      </c>
      <c r="DK467" s="123" t="str">
        <f t="shared" si="932"/>
        <v/>
      </c>
      <c r="DL467" s="97" t="str">
        <f t="shared" ca="1" si="933"/>
        <v/>
      </c>
      <c r="DM467" s="98" t="str">
        <f>IF(DO467&lt;&gt;"",VLOOKUP($P467&amp;" | "&amp;DM$6,'Job Master'!$F$12:$J$102,5,0),"")</f>
        <v/>
      </c>
      <c r="DN467" s="19" t="str">
        <f>IF(DO467&lt;&gt;"",VLOOKUP($P467&amp;" | "&amp;DM$6,'Job Master'!$F$12:$J$102,3,0),"")</f>
        <v/>
      </c>
      <c r="DO467" s="19" t="str">
        <f>IFERROR(IF(AND(DT467&lt;&gt;"",VLOOKUP($P467&amp;" | "&amp;DM$6,'Job Master'!$F$12:$I$102,4,0)&lt;&gt;""),IF(WEEKDAY(DT467-VLOOKUP($P467&amp;" | "&amp;DM$6,'Job Master'!$F$12:$I$102,4,0))&lt;&gt;7,DT467-VLOOKUP($P467&amp;" | "&amp;DM$6,'Job Master'!$F$12:$I$102,4,0),DT467-VLOOKUP($P467&amp;" | "&amp;DM$6,'Job Master'!$F$12:$I$102,4,0)-1),""),"")</f>
        <v/>
      </c>
      <c r="DP467" s="73"/>
      <c r="DQ467" s="123" t="str">
        <f t="shared" si="934"/>
        <v/>
      </c>
      <c r="DR467" s="123" t="str">
        <f t="shared" si="935"/>
        <v/>
      </c>
      <c r="DS467" s="97" t="str">
        <f t="shared" ca="1" si="936"/>
        <v/>
      </c>
      <c r="DT467" s="70" t="str">
        <f t="shared" si="937"/>
        <v/>
      </c>
      <c r="DU467" s="90"/>
      <c r="DV467" s="123" t="str">
        <f t="shared" si="938"/>
        <v/>
      </c>
      <c r="DW467" s="123" t="str">
        <f t="shared" si="939"/>
        <v/>
      </c>
      <c r="DX467" s="132" t="str">
        <f t="shared" ref="DX467" ca="1" si="957">IF(DT467&lt;&gt;"",IF(WEEKNUM(DT467)=WEEKNUM(TODAY()),"This Week",IF(WEEKNUM(DT467)=WEEKNUM(TODAY())+1,"Next Week",IF(WEEKNUM(DT467)=WEEKNUM(TODAY())-1,"Previous Week",""))),"")</f>
        <v/>
      </c>
      <c r="DY467" s="134" t="str">
        <f t="shared" si="941"/>
        <v/>
      </c>
      <c r="DZ467" s="95"/>
      <c r="EB467" s="8" t="str">
        <f t="shared" si="947"/>
        <v/>
      </c>
      <c r="EC467" s="8" t="str">
        <f>IF(O467&lt;&gt;"",VLOOKUP(O467,'Job Master'!$N$12:$O$18,2,0),"")</f>
        <v/>
      </c>
      <c r="ED467" s="8">
        <f t="shared" si="948"/>
        <v>19.5</v>
      </c>
      <c r="EE467" s="8">
        <f t="shared" si="949"/>
        <v>6</v>
      </c>
      <c r="EF467" s="8">
        <f t="shared" si="950"/>
        <v>-2722.5</v>
      </c>
      <c r="EG467" s="8" t="str">
        <f t="shared" si="951"/>
        <v/>
      </c>
      <c r="EH467" s="8" t="str">
        <f t="shared" si="952"/>
        <v/>
      </c>
    </row>
    <row r="468" spans="2:138" x14ac:dyDescent="0.3">
      <c r="B468" s="112"/>
      <c r="C468" s="27"/>
      <c r="D468" s="7" t="str">
        <f t="shared" si="891"/>
        <v/>
      </c>
      <c r="E468" s="25"/>
      <c r="F468" s="7" t="str">
        <f t="shared" si="891"/>
        <v/>
      </c>
      <c r="G468" s="25"/>
      <c r="H468" s="7" t="str">
        <f t="shared" si="891"/>
        <v/>
      </c>
      <c r="I468" s="25"/>
      <c r="J468" s="7" t="str">
        <f t="shared" si="891"/>
        <v/>
      </c>
      <c r="K468" s="25"/>
      <c r="L468" s="7" t="str">
        <f t="shared" si="891"/>
        <v/>
      </c>
      <c r="M468" s="25"/>
      <c r="N468" s="7" t="str">
        <f t="shared" si="891"/>
        <v/>
      </c>
      <c r="O468" s="81"/>
      <c r="P468" s="81" t="str">
        <f t="shared" si="892"/>
        <v/>
      </c>
      <c r="Q468" s="81"/>
      <c r="R468" s="7" t="str">
        <f t="shared" si="893"/>
        <v/>
      </c>
      <c r="S468" s="25"/>
      <c r="T468" s="7" t="str">
        <f t="shared" si="894"/>
        <v/>
      </c>
      <c r="U468" s="25"/>
      <c r="V468" s="7" t="str">
        <f t="shared" si="895"/>
        <v/>
      </c>
      <c r="W468" s="25"/>
      <c r="X468" s="7" t="str">
        <f t="shared" si="896"/>
        <v/>
      </c>
      <c r="Y468" s="18" t="str">
        <f t="shared" si="897"/>
        <v/>
      </c>
      <c r="Z468" s="7" t="str">
        <f t="shared" si="898"/>
        <v/>
      </c>
      <c r="AA468" s="18" t="str">
        <f t="shared" si="899"/>
        <v/>
      </c>
      <c r="AB468" s="19" t="str">
        <f t="shared" si="900"/>
        <v/>
      </c>
      <c r="AC468" s="26"/>
      <c r="AD468" s="26"/>
      <c r="AE468" s="25"/>
      <c r="AF468" s="26"/>
      <c r="AG468" s="25"/>
      <c r="AH468" s="25"/>
      <c r="AI468" s="18" t="str">
        <f t="shared" si="839"/>
        <v/>
      </c>
      <c r="AJ468" s="25"/>
      <c r="AK468" s="18" t="str">
        <f t="shared" si="840"/>
        <v/>
      </c>
      <c r="AL468" s="79"/>
      <c r="AM468" s="126" t="str">
        <f t="shared" si="841"/>
        <v/>
      </c>
      <c r="AN468" s="128" t="str">
        <f>IF(AP468&lt;&gt;"",VLOOKUP($P468&amp;" | "&amp;AN$6,'Job Master'!$F$12:$J$102,5,0),"")</f>
        <v/>
      </c>
      <c r="AO468" s="19" t="str">
        <f>IF(AP468&lt;&gt;"",VLOOKUP($P468&amp;" | "&amp;AN$6,'Job Master'!$F$12:$J$102,3,0),"")</f>
        <v/>
      </c>
      <c r="AP468" s="19" t="str">
        <f>IFERROR(IF(AND(AW468&lt;&gt;"",VLOOKUP($P468&amp;" | "&amp;AN$6,'Job Master'!$F$12:$I$102,4,0)&lt;&gt;""),IF(WEEKDAY(AW468-VLOOKUP($P468&amp;" | "&amp;AN$6,'Job Master'!$F$12:$I$102,4,0))&lt;&gt;7,AW468-VLOOKUP($P468&amp;" | "&amp;AN$6,'Job Master'!$F$12:$I$102,4,0),AW468-VLOOKUP($P468&amp;" | "&amp;AN$6,'Job Master'!$F$12:$I$102,4,0)-1),""),"")</f>
        <v/>
      </c>
      <c r="AQ468" s="73"/>
      <c r="AR468" s="123" t="str">
        <f t="shared" si="901"/>
        <v/>
      </c>
      <c r="AS468" s="123" t="str">
        <f t="shared" si="902"/>
        <v/>
      </c>
      <c r="AT468" s="97" t="str">
        <f t="shared" ca="1" si="903"/>
        <v/>
      </c>
      <c r="AU468" s="98" t="str">
        <f>IF(AW468&lt;&gt;"",VLOOKUP($P468&amp;" | "&amp;AU$6,'Job Master'!$F$12:$J$102,5,0),"")</f>
        <v/>
      </c>
      <c r="AV468" s="19" t="str">
        <f>IF(AW468&lt;&gt;"",VLOOKUP($P468&amp;" | "&amp;AU$6,'Job Master'!$F$12:$J$102,3,0),"")</f>
        <v/>
      </c>
      <c r="AW468" s="19" t="str">
        <f>IFERROR(IF(AND(BD468&lt;&gt;"",VLOOKUP($P468&amp;" | "&amp;AU$6,'Job Master'!$F$12:$I$102,4,0)&lt;&gt;""),IF(WEEKDAY(BD468-VLOOKUP($P468&amp;" | "&amp;AU$6,'Job Master'!$F$12:$I$102,4,0))&lt;&gt;7,BD468-VLOOKUP($P468&amp;" | "&amp;AU$6,'Job Master'!$F$12:$I$102,4,0),BD468-VLOOKUP($P468&amp;" | "&amp;AU$6,'Job Master'!$F$12:$I$102,4,0)-1),""),"")</f>
        <v/>
      </c>
      <c r="AX468" s="73"/>
      <c r="AY468" s="123" t="str">
        <f t="shared" si="904"/>
        <v/>
      </c>
      <c r="AZ468" s="123" t="str">
        <f t="shared" si="905"/>
        <v/>
      </c>
      <c r="BA468" s="97" t="str">
        <f t="shared" ca="1" si="906"/>
        <v/>
      </c>
      <c r="BB468" s="98" t="str">
        <f>IF(BD468&lt;&gt;"",VLOOKUP($P468&amp;" | "&amp;BB$6,'Job Master'!$F$12:$J$102,5,0),"")</f>
        <v/>
      </c>
      <c r="BC468" s="19" t="str">
        <f>IF(BD468&lt;&gt;"",VLOOKUP($P468&amp;" | "&amp;BB$6,'Job Master'!$F$12:$J$102,3,0),"")</f>
        <v/>
      </c>
      <c r="BD468" s="19" t="str">
        <f>IFERROR(IF(AND(BK468&lt;&gt;"",VLOOKUP($P468&amp;" | "&amp;BB$6,'Job Master'!$F$12:$I$102,4,0)&lt;&gt;""),IF(WEEKDAY(BK468-VLOOKUP($P468&amp;" | "&amp;BB$6,'Job Master'!$F$12:$I$102,4,0))&lt;&gt;7,BK468-VLOOKUP($P468&amp;" | "&amp;BB$6,'Job Master'!$F$12:$I$102,4,0),BK468-VLOOKUP($P468&amp;" | "&amp;BB$6,'Job Master'!$F$12:$I$102,4,0)-1),""),"")</f>
        <v/>
      </c>
      <c r="BE468" s="73"/>
      <c r="BF468" s="123" t="str">
        <f t="shared" si="907"/>
        <v/>
      </c>
      <c r="BG468" s="123" t="str">
        <f t="shared" si="908"/>
        <v/>
      </c>
      <c r="BH468" s="97" t="str">
        <f t="shared" ca="1" si="909"/>
        <v/>
      </c>
      <c r="BI468" s="98" t="str">
        <f>IF(BK468&lt;&gt;"",VLOOKUP($P468&amp;" | "&amp;BI$6,'Job Master'!$F$12:$J$102,5,0),"")</f>
        <v/>
      </c>
      <c r="BJ468" s="19" t="str">
        <f>IF(BK468&lt;&gt;"",VLOOKUP($P468&amp;" | "&amp;BI$6,'Job Master'!$F$12:$J$102,3,0),"")</f>
        <v/>
      </c>
      <c r="BK468" s="19" t="str">
        <f>IFERROR(IF(AND(BR468&lt;&gt;"",VLOOKUP($P468&amp;" | "&amp;BI$6,'Job Master'!$F$12:$I$102,4,0)&lt;&gt;""),IF(WEEKDAY(BR468-VLOOKUP($P468&amp;" | "&amp;BI$6,'Job Master'!$F$12:$I$102,4,0))&lt;&gt;7,BR468-VLOOKUP($P468&amp;" | "&amp;BI$6,'Job Master'!$F$12:$I$102,4,0),BR468-VLOOKUP($P468&amp;" | "&amp;BI$6,'Job Master'!$F$12:$I$102,4,0)-1),""),"")</f>
        <v/>
      </c>
      <c r="BL468" s="73"/>
      <c r="BM468" s="123" t="str">
        <f t="shared" si="910"/>
        <v/>
      </c>
      <c r="BN468" s="123" t="str">
        <f t="shared" si="911"/>
        <v/>
      </c>
      <c r="BO468" s="97" t="str">
        <f t="shared" ca="1" si="912"/>
        <v/>
      </c>
      <c r="BP468" s="98" t="str">
        <f>IF(BR468&lt;&gt;"",VLOOKUP($P468&amp;" | "&amp;BP$6,'Job Master'!$F$12:$J$102,5,0),"")</f>
        <v/>
      </c>
      <c r="BQ468" s="19" t="str">
        <f>IF(BR468&lt;&gt;"",VLOOKUP($P468&amp;" | "&amp;BP$6,'Job Master'!$F$12:$J$102,3,0),"")</f>
        <v/>
      </c>
      <c r="BR468" s="19" t="str">
        <f>IFERROR(IF(AND(BY468&lt;&gt;"",VLOOKUP($P468&amp;" | "&amp;BP$6,'Job Master'!$F$12:$I$102,4,0)&lt;&gt;""),IF(WEEKDAY(BY468-VLOOKUP($P468&amp;" | "&amp;BP$6,'Job Master'!$F$12:$I$102,4,0))&lt;&gt;7,BY468-VLOOKUP($P468&amp;" | "&amp;BP$6,'Job Master'!$F$12:$I$102,4,0),BY468-VLOOKUP($P468&amp;" | "&amp;BP$6,'Job Master'!$F$12:$I$102,4,0)-1),""),"")</f>
        <v/>
      </c>
      <c r="BS468" s="73"/>
      <c r="BT468" s="123" t="str">
        <f t="shared" si="913"/>
        <v/>
      </c>
      <c r="BU468" s="123" t="str">
        <f t="shared" si="914"/>
        <v/>
      </c>
      <c r="BV468" s="97" t="str">
        <f t="shared" ca="1" si="915"/>
        <v/>
      </c>
      <c r="BW468" s="98" t="str">
        <f>IF(BY468&lt;&gt;"",VLOOKUP($P468&amp;" | "&amp;BW$6,'Job Master'!$F$12:$J$102,5,0),"")</f>
        <v/>
      </c>
      <c r="BX468" s="19" t="str">
        <f>IF(BY468&lt;&gt;"",VLOOKUP($P468&amp;" | "&amp;BW$6,'Job Master'!$F$12:$J$102,3,0),"")</f>
        <v/>
      </c>
      <c r="BY468" s="19" t="str">
        <f>IFERROR(IF(AND(CF468&lt;&gt;"",VLOOKUP($P468&amp;" | "&amp;BW$6,'Job Master'!$F$12:$I$102,4,0)&lt;&gt;""),IF(WEEKDAY(CF468-VLOOKUP($P468&amp;" | "&amp;BW$6,'Job Master'!$F$12:$I$102,4,0))&lt;&gt;7,CF468-VLOOKUP($P468&amp;" | "&amp;BW$6,'Job Master'!$F$12:$I$102,4,0),CF468-VLOOKUP($P468&amp;" | "&amp;BW$6,'Job Master'!$F$12:$I$102,4,0)-1),""),"")</f>
        <v/>
      </c>
      <c r="BZ468" s="73"/>
      <c r="CA468" s="123" t="str">
        <f t="shared" si="916"/>
        <v/>
      </c>
      <c r="CB468" s="123" t="str">
        <f t="shared" si="917"/>
        <v/>
      </c>
      <c r="CC468" s="97" t="str">
        <f t="shared" ca="1" si="918"/>
        <v/>
      </c>
      <c r="CD468" s="98" t="str">
        <f>IF(CF468&lt;&gt;"",VLOOKUP($P468&amp;" | "&amp;CD$6,'Job Master'!$F$12:$J$102,5,0),"")</f>
        <v/>
      </c>
      <c r="CE468" s="19" t="str">
        <f>IF(CF468&lt;&gt;"",VLOOKUP($P468&amp;" | "&amp;CD$6,'Job Master'!$F$12:$J$102,3,0),"")</f>
        <v/>
      </c>
      <c r="CF468" s="19" t="str">
        <f>IFERROR(IF(AND(CM468&lt;&gt;"",VLOOKUP($P468&amp;" | "&amp;CD$6,'Job Master'!$F$12:$I$102,4,0)&lt;&gt;""),IF(WEEKDAY(CM468-VLOOKUP($P468&amp;" | "&amp;CD$6,'Job Master'!$F$12:$I$102,4,0))&lt;&gt;7,CM468-VLOOKUP($P468&amp;" | "&amp;CD$6,'Job Master'!$F$12:$I$102,4,0),CM468-VLOOKUP($P468&amp;" | "&amp;CD$6,'Job Master'!$F$12:$I$102,4,0)-1),""),"")</f>
        <v/>
      </c>
      <c r="CG468" s="73"/>
      <c r="CH468" s="123" t="str">
        <f t="shared" si="919"/>
        <v/>
      </c>
      <c r="CI468" s="123" t="str">
        <f t="shared" si="920"/>
        <v/>
      </c>
      <c r="CJ468" s="97" t="str">
        <f t="shared" ca="1" si="921"/>
        <v/>
      </c>
      <c r="CK468" s="98" t="str">
        <f>IF(CM468&lt;&gt;"",VLOOKUP($P468&amp;" | "&amp;CK$6,'Job Master'!$F$12:$J$102,5,0),"")</f>
        <v/>
      </c>
      <c r="CL468" s="19" t="str">
        <f>IF(CM468&lt;&gt;"",VLOOKUP($P468&amp;" | "&amp;CK$6,'Job Master'!$F$12:$J$102,3,0),"")</f>
        <v/>
      </c>
      <c r="CM468" s="19" t="str">
        <f>IFERROR(IF(AND(CT468&lt;&gt;"",VLOOKUP($P468&amp;" | "&amp;CK$6,'Job Master'!$F$12:$I$102,4,0)&lt;&gt;""),IF(WEEKDAY(CT468-VLOOKUP($P468&amp;" | "&amp;CK$6,'Job Master'!$F$12:$I$102,4,0))&lt;&gt;7,CT468-VLOOKUP($P468&amp;" | "&amp;CK$6,'Job Master'!$F$12:$I$102,4,0),CT468-VLOOKUP($P468&amp;" | "&amp;CK$6,'Job Master'!$F$12:$I$102,4,0)-1),""),"")</f>
        <v/>
      </c>
      <c r="CN468" s="73"/>
      <c r="CO468" s="123" t="str">
        <f t="shared" si="922"/>
        <v/>
      </c>
      <c r="CP468" s="123" t="str">
        <f t="shared" si="923"/>
        <v/>
      </c>
      <c r="CQ468" s="97" t="str">
        <f t="shared" ca="1" si="924"/>
        <v/>
      </c>
      <c r="CR468" s="98" t="str">
        <f>IF(CT468&lt;&gt;"",VLOOKUP($P468&amp;" | "&amp;CR$6,'Job Master'!$F$12:$J$102,5,0),"")</f>
        <v/>
      </c>
      <c r="CS468" s="19" t="str">
        <f>IF(CT468&lt;&gt;"",VLOOKUP($P468&amp;" | "&amp;CR$6,'Job Master'!$F$12:$J$102,3,0),"")</f>
        <v/>
      </c>
      <c r="CT468" s="19" t="str">
        <f>IFERROR(IF(AND(DA468&lt;&gt;"",VLOOKUP($P468&amp;" | "&amp;CR$6,'Job Master'!$F$12:$I$102,4,0)&lt;&gt;""),IF(WEEKDAY(DA468-VLOOKUP($P468&amp;" | "&amp;CR$6,'Job Master'!$F$12:$I$102,4,0))&lt;&gt;7,DA468-VLOOKUP($P468&amp;" | "&amp;CR$6,'Job Master'!$F$12:$I$102,4,0),DA468-VLOOKUP($P468&amp;" | "&amp;CR$6,'Job Master'!$F$12:$I$102,4,0)-1),""),"")</f>
        <v/>
      </c>
      <c r="CU468" s="73"/>
      <c r="CV468" s="123" t="str">
        <f t="shared" si="925"/>
        <v/>
      </c>
      <c r="CW468" s="123" t="str">
        <f t="shared" si="926"/>
        <v/>
      </c>
      <c r="CX468" s="97" t="str">
        <f t="shared" ca="1" si="927"/>
        <v/>
      </c>
      <c r="CY468" s="98" t="str">
        <f>IF(DA468&lt;&gt;"",VLOOKUP($P468&amp;" | "&amp;CY$6,'Job Master'!$F$12:$J$102,5,0),"")</f>
        <v/>
      </c>
      <c r="CZ468" s="19" t="str">
        <f>IF(DA468&lt;&gt;"",VLOOKUP($P468&amp;" | "&amp;CY$6,'Job Master'!$F$12:$J$102,3,0),"")</f>
        <v/>
      </c>
      <c r="DA468" s="19" t="str">
        <f>IFERROR(IF(AND(DH468&lt;&gt;"",VLOOKUP($P468&amp;" | "&amp;CY$6,'Job Master'!$F$12:$I$102,4,0)&lt;&gt;""),IF(WEEKDAY(DH468-VLOOKUP($P468&amp;" | "&amp;CY$6,'Job Master'!$F$12:$I$102,4,0))&lt;&gt;7,DH468-VLOOKUP($P468&amp;" | "&amp;CY$6,'Job Master'!$F$12:$I$102,4,0),DH468-VLOOKUP($P468&amp;" | "&amp;CY$6,'Job Master'!$F$12:$I$102,4,0)-1),""),"")</f>
        <v/>
      </c>
      <c r="DB468" s="73"/>
      <c r="DC468" s="123" t="str">
        <f t="shared" si="928"/>
        <v/>
      </c>
      <c r="DD468" s="123" t="str">
        <f t="shared" si="929"/>
        <v/>
      </c>
      <c r="DE468" s="97" t="str">
        <f t="shared" ca="1" si="930"/>
        <v/>
      </c>
      <c r="DF468" s="98" t="str">
        <f>IF(DH468&lt;&gt;"",VLOOKUP($P468&amp;" | "&amp;DF$6,'Job Master'!$F$12:$J$102,5,0),"")</f>
        <v/>
      </c>
      <c r="DG468" s="19" t="str">
        <f>IF(DH468&lt;&gt;"",VLOOKUP($P468&amp;" | "&amp;DF$6,'Job Master'!$F$12:$J$102,3,0),"")</f>
        <v/>
      </c>
      <c r="DH468" s="19" t="str">
        <f>IFERROR(IF(AND(DO468&lt;&gt;"",VLOOKUP($P468&amp;" | "&amp;DF$6,'Job Master'!$F$12:$I$102,4,0)&lt;&gt;""),IF(WEEKDAY(DO468-VLOOKUP($P468&amp;" | "&amp;DF$6,'Job Master'!$F$12:$I$102,4,0))&lt;&gt;7,DO468-VLOOKUP($P468&amp;" | "&amp;DF$6,'Job Master'!$F$12:$I$102,4,0),DO468-VLOOKUP($P468&amp;" | "&amp;DF$6,'Job Master'!$F$12:$I$102,4,0)-1),""),"")</f>
        <v/>
      </c>
      <c r="DI468" s="73"/>
      <c r="DJ468" s="123" t="str">
        <f t="shared" si="931"/>
        <v/>
      </c>
      <c r="DK468" s="123" t="str">
        <f t="shared" si="932"/>
        <v/>
      </c>
      <c r="DL468" s="97" t="str">
        <f t="shared" ca="1" si="933"/>
        <v/>
      </c>
      <c r="DM468" s="98" t="str">
        <f>IF(DO468&lt;&gt;"",VLOOKUP($P468&amp;" | "&amp;DM$6,'Job Master'!$F$12:$J$102,5,0),"")</f>
        <v/>
      </c>
      <c r="DN468" s="19" t="str">
        <f>IF(DO468&lt;&gt;"",VLOOKUP($P468&amp;" | "&amp;DM$6,'Job Master'!$F$12:$J$102,3,0),"")</f>
        <v/>
      </c>
      <c r="DO468" s="19" t="str">
        <f>IFERROR(IF(AND(DT468&lt;&gt;"",VLOOKUP($P468&amp;" | "&amp;DM$6,'Job Master'!$F$12:$I$102,4,0)&lt;&gt;""),IF(WEEKDAY(DT468-VLOOKUP($P468&amp;" | "&amp;DM$6,'Job Master'!$F$12:$I$102,4,0))&lt;&gt;7,DT468-VLOOKUP($P468&amp;" | "&amp;DM$6,'Job Master'!$F$12:$I$102,4,0),DT468-VLOOKUP($P468&amp;" | "&amp;DM$6,'Job Master'!$F$12:$I$102,4,0)-1),""),"")</f>
        <v/>
      </c>
      <c r="DP468" s="73"/>
      <c r="DQ468" s="123" t="str">
        <f t="shared" si="934"/>
        <v/>
      </c>
      <c r="DR468" s="123" t="str">
        <f t="shared" si="935"/>
        <v/>
      </c>
      <c r="DS468" s="97" t="str">
        <f t="shared" ca="1" si="936"/>
        <v/>
      </c>
      <c r="DT468" s="70" t="str">
        <f t="shared" si="937"/>
        <v/>
      </c>
      <c r="DU468" s="90"/>
      <c r="DV468" s="123" t="str">
        <f t="shared" si="938"/>
        <v/>
      </c>
      <c r="DW468" s="123" t="str">
        <f t="shared" si="939"/>
        <v/>
      </c>
      <c r="DX468" s="132" t="str">
        <f t="shared" ref="DX468" ca="1" si="958">IF(DT468&lt;&gt;"",IF(WEEKNUM(DT468)=WEEKNUM(TODAY()),"This Week",IF(WEEKNUM(DT468)=WEEKNUM(TODAY())+1,"Next Week",IF(WEEKNUM(DT468)=WEEKNUM(TODAY())-1,"Previous Week",""))),"")</f>
        <v/>
      </c>
      <c r="DY468" s="134" t="str">
        <f t="shared" si="941"/>
        <v/>
      </c>
      <c r="DZ468" s="95"/>
      <c r="EB468" s="8" t="str">
        <f t="shared" si="947"/>
        <v/>
      </c>
      <c r="EC468" s="8" t="str">
        <f>IF(O468&lt;&gt;"",VLOOKUP(O468,'Job Master'!$N$12:$O$18,2,0),"")</f>
        <v/>
      </c>
      <c r="ED468" s="8">
        <f t="shared" si="948"/>
        <v>19.5</v>
      </c>
      <c r="EE468" s="8">
        <f t="shared" si="949"/>
        <v>6</v>
      </c>
      <c r="EF468" s="8">
        <f t="shared" si="950"/>
        <v>-2728.5</v>
      </c>
      <c r="EG468" s="8" t="str">
        <f t="shared" si="951"/>
        <v/>
      </c>
      <c r="EH468" s="8" t="str">
        <f t="shared" si="952"/>
        <v/>
      </c>
    </row>
    <row r="469" spans="2:138" x14ac:dyDescent="0.3">
      <c r="B469" s="112"/>
      <c r="C469" s="27"/>
      <c r="D469" s="7" t="str">
        <f t="shared" si="891"/>
        <v/>
      </c>
      <c r="E469" s="25"/>
      <c r="F469" s="7" t="str">
        <f t="shared" si="891"/>
        <v/>
      </c>
      <c r="G469" s="25"/>
      <c r="H469" s="7" t="str">
        <f t="shared" si="891"/>
        <v/>
      </c>
      <c r="I469" s="25"/>
      <c r="J469" s="7" t="str">
        <f t="shared" si="891"/>
        <v/>
      </c>
      <c r="K469" s="25"/>
      <c r="L469" s="7" t="str">
        <f t="shared" si="891"/>
        <v/>
      </c>
      <c r="M469" s="25"/>
      <c r="N469" s="7" t="str">
        <f t="shared" si="891"/>
        <v/>
      </c>
      <c r="O469" s="81"/>
      <c r="P469" s="81" t="str">
        <f t="shared" si="892"/>
        <v/>
      </c>
      <c r="Q469" s="81"/>
      <c r="R469" s="7" t="str">
        <f t="shared" si="893"/>
        <v/>
      </c>
      <c r="S469" s="25"/>
      <c r="T469" s="7" t="str">
        <f t="shared" si="894"/>
        <v/>
      </c>
      <c r="U469" s="25"/>
      <c r="V469" s="7" t="str">
        <f t="shared" si="895"/>
        <v/>
      </c>
      <c r="W469" s="25"/>
      <c r="X469" s="7" t="str">
        <f t="shared" si="896"/>
        <v/>
      </c>
      <c r="Y469" s="18" t="str">
        <f t="shared" si="897"/>
        <v/>
      </c>
      <c r="Z469" s="7" t="str">
        <f t="shared" si="898"/>
        <v/>
      </c>
      <c r="AA469" s="18" t="str">
        <f t="shared" si="899"/>
        <v/>
      </c>
      <c r="AB469" s="19" t="str">
        <f t="shared" si="900"/>
        <v/>
      </c>
      <c r="AC469" s="26"/>
      <c r="AD469" s="26"/>
      <c r="AE469" s="25"/>
      <c r="AF469" s="26"/>
      <c r="AG469" s="25"/>
      <c r="AH469" s="25"/>
      <c r="AI469" s="18" t="str">
        <f t="shared" si="839"/>
        <v/>
      </c>
      <c r="AJ469" s="25"/>
      <c r="AK469" s="18" t="str">
        <f t="shared" si="840"/>
        <v/>
      </c>
      <c r="AL469" s="79"/>
      <c r="AM469" s="126" t="str">
        <f t="shared" si="841"/>
        <v/>
      </c>
      <c r="AN469" s="128" t="str">
        <f>IF(AP469&lt;&gt;"",VLOOKUP($P469&amp;" | "&amp;AN$6,'Job Master'!$F$12:$J$102,5,0),"")</f>
        <v/>
      </c>
      <c r="AO469" s="19" t="str">
        <f>IF(AP469&lt;&gt;"",VLOOKUP($P469&amp;" | "&amp;AN$6,'Job Master'!$F$12:$J$102,3,0),"")</f>
        <v/>
      </c>
      <c r="AP469" s="19" t="str">
        <f>IFERROR(IF(AND(AW469&lt;&gt;"",VLOOKUP($P469&amp;" | "&amp;AN$6,'Job Master'!$F$12:$I$102,4,0)&lt;&gt;""),IF(WEEKDAY(AW469-VLOOKUP($P469&amp;" | "&amp;AN$6,'Job Master'!$F$12:$I$102,4,0))&lt;&gt;7,AW469-VLOOKUP($P469&amp;" | "&amp;AN$6,'Job Master'!$F$12:$I$102,4,0),AW469-VLOOKUP($P469&amp;" | "&amp;AN$6,'Job Master'!$F$12:$I$102,4,0)-1),""),"")</f>
        <v/>
      </c>
      <c r="AQ469" s="73"/>
      <c r="AR469" s="123" t="str">
        <f t="shared" si="901"/>
        <v/>
      </c>
      <c r="AS469" s="123" t="str">
        <f t="shared" si="902"/>
        <v/>
      </c>
      <c r="AT469" s="97" t="str">
        <f t="shared" ca="1" si="903"/>
        <v/>
      </c>
      <c r="AU469" s="98" t="str">
        <f>IF(AW469&lt;&gt;"",VLOOKUP($P469&amp;" | "&amp;AU$6,'Job Master'!$F$12:$J$102,5,0),"")</f>
        <v/>
      </c>
      <c r="AV469" s="19" t="str">
        <f>IF(AW469&lt;&gt;"",VLOOKUP($P469&amp;" | "&amp;AU$6,'Job Master'!$F$12:$J$102,3,0),"")</f>
        <v/>
      </c>
      <c r="AW469" s="19" t="str">
        <f>IFERROR(IF(AND(BD469&lt;&gt;"",VLOOKUP($P469&amp;" | "&amp;AU$6,'Job Master'!$F$12:$I$102,4,0)&lt;&gt;""),IF(WEEKDAY(BD469-VLOOKUP($P469&amp;" | "&amp;AU$6,'Job Master'!$F$12:$I$102,4,0))&lt;&gt;7,BD469-VLOOKUP($P469&amp;" | "&amp;AU$6,'Job Master'!$F$12:$I$102,4,0),BD469-VLOOKUP($P469&amp;" | "&amp;AU$6,'Job Master'!$F$12:$I$102,4,0)-1),""),"")</f>
        <v/>
      </c>
      <c r="AX469" s="73"/>
      <c r="AY469" s="123" t="str">
        <f t="shared" si="904"/>
        <v/>
      </c>
      <c r="AZ469" s="123" t="str">
        <f t="shared" si="905"/>
        <v/>
      </c>
      <c r="BA469" s="97" t="str">
        <f t="shared" ca="1" si="906"/>
        <v/>
      </c>
      <c r="BB469" s="98" t="str">
        <f>IF(BD469&lt;&gt;"",VLOOKUP($P469&amp;" | "&amp;BB$6,'Job Master'!$F$12:$J$102,5,0),"")</f>
        <v/>
      </c>
      <c r="BC469" s="19" t="str">
        <f>IF(BD469&lt;&gt;"",VLOOKUP($P469&amp;" | "&amp;BB$6,'Job Master'!$F$12:$J$102,3,0),"")</f>
        <v/>
      </c>
      <c r="BD469" s="19" t="str">
        <f>IFERROR(IF(AND(BK469&lt;&gt;"",VLOOKUP($P469&amp;" | "&amp;BB$6,'Job Master'!$F$12:$I$102,4,0)&lt;&gt;""),IF(WEEKDAY(BK469-VLOOKUP($P469&amp;" | "&amp;BB$6,'Job Master'!$F$12:$I$102,4,0))&lt;&gt;7,BK469-VLOOKUP($P469&amp;" | "&amp;BB$6,'Job Master'!$F$12:$I$102,4,0),BK469-VLOOKUP($P469&amp;" | "&amp;BB$6,'Job Master'!$F$12:$I$102,4,0)-1),""),"")</f>
        <v/>
      </c>
      <c r="BE469" s="73"/>
      <c r="BF469" s="123" t="str">
        <f t="shared" si="907"/>
        <v/>
      </c>
      <c r="BG469" s="123" t="str">
        <f t="shared" si="908"/>
        <v/>
      </c>
      <c r="BH469" s="97" t="str">
        <f t="shared" ca="1" si="909"/>
        <v/>
      </c>
      <c r="BI469" s="98" t="str">
        <f>IF(BK469&lt;&gt;"",VLOOKUP($P469&amp;" | "&amp;BI$6,'Job Master'!$F$12:$J$102,5,0),"")</f>
        <v/>
      </c>
      <c r="BJ469" s="19" t="str">
        <f>IF(BK469&lt;&gt;"",VLOOKUP($P469&amp;" | "&amp;BI$6,'Job Master'!$F$12:$J$102,3,0),"")</f>
        <v/>
      </c>
      <c r="BK469" s="19" t="str">
        <f>IFERROR(IF(AND(BR469&lt;&gt;"",VLOOKUP($P469&amp;" | "&amp;BI$6,'Job Master'!$F$12:$I$102,4,0)&lt;&gt;""),IF(WEEKDAY(BR469-VLOOKUP($P469&amp;" | "&amp;BI$6,'Job Master'!$F$12:$I$102,4,0))&lt;&gt;7,BR469-VLOOKUP($P469&amp;" | "&amp;BI$6,'Job Master'!$F$12:$I$102,4,0),BR469-VLOOKUP($P469&amp;" | "&amp;BI$6,'Job Master'!$F$12:$I$102,4,0)-1),""),"")</f>
        <v/>
      </c>
      <c r="BL469" s="73"/>
      <c r="BM469" s="123" t="str">
        <f t="shared" si="910"/>
        <v/>
      </c>
      <c r="BN469" s="123" t="str">
        <f t="shared" si="911"/>
        <v/>
      </c>
      <c r="BO469" s="97" t="str">
        <f t="shared" ca="1" si="912"/>
        <v/>
      </c>
      <c r="BP469" s="98" t="str">
        <f>IF(BR469&lt;&gt;"",VLOOKUP($P469&amp;" | "&amp;BP$6,'Job Master'!$F$12:$J$102,5,0),"")</f>
        <v/>
      </c>
      <c r="BQ469" s="19" t="str">
        <f>IF(BR469&lt;&gt;"",VLOOKUP($P469&amp;" | "&amp;BP$6,'Job Master'!$F$12:$J$102,3,0),"")</f>
        <v/>
      </c>
      <c r="BR469" s="19" t="str">
        <f>IFERROR(IF(AND(BY469&lt;&gt;"",VLOOKUP($P469&amp;" | "&amp;BP$6,'Job Master'!$F$12:$I$102,4,0)&lt;&gt;""),IF(WEEKDAY(BY469-VLOOKUP($P469&amp;" | "&amp;BP$6,'Job Master'!$F$12:$I$102,4,0))&lt;&gt;7,BY469-VLOOKUP($P469&amp;" | "&amp;BP$6,'Job Master'!$F$12:$I$102,4,0),BY469-VLOOKUP($P469&amp;" | "&amp;BP$6,'Job Master'!$F$12:$I$102,4,0)-1),""),"")</f>
        <v/>
      </c>
      <c r="BS469" s="73"/>
      <c r="BT469" s="123" t="str">
        <f t="shared" si="913"/>
        <v/>
      </c>
      <c r="BU469" s="123" t="str">
        <f t="shared" si="914"/>
        <v/>
      </c>
      <c r="BV469" s="97" t="str">
        <f t="shared" ca="1" si="915"/>
        <v/>
      </c>
      <c r="BW469" s="98" t="str">
        <f>IF(BY469&lt;&gt;"",VLOOKUP($P469&amp;" | "&amp;BW$6,'Job Master'!$F$12:$J$102,5,0),"")</f>
        <v/>
      </c>
      <c r="BX469" s="19" t="str">
        <f>IF(BY469&lt;&gt;"",VLOOKUP($P469&amp;" | "&amp;BW$6,'Job Master'!$F$12:$J$102,3,0),"")</f>
        <v/>
      </c>
      <c r="BY469" s="19" t="str">
        <f>IFERROR(IF(AND(CF469&lt;&gt;"",VLOOKUP($P469&amp;" | "&amp;BW$6,'Job Master'!$F$12:$I$102,4,0)&lt;&gt;""),IF(WEEKDAY(CF469-VLOOKUP($P469&amp;" | "&amp;BW$6,'Job Master'!$F$12:$I$102,4,0))&lt;&gt;7,CF469-VLOOKUP($P469&amp;" | "&amp;BW$6,'Job Master'!$F$12:$I$102,4,0),CF469-VLOOKUP($P469&amp;" | "&amp;BW$6,'Job Master'!$F$12:$I$102,4,0)-1),""),"")</f>
        <v/>
      </c>
      <c r="BZ469" s="73"/>
      <c r="CA469" s="123" t="str">
        <f t="shared" si="916"/>
        <v/>
      </c>
      <c r="CB469" s="123" t="str">
        <f t="shared" si="917"/>
        <v/>
      </c>
      <c r="CC469" s="97" t="str">
        <f t="shared" ca="1" si="918"/>
        <v/>
      </c>
      <c r="CD469" s="98" t="str">
        <f>IF(CF469&lt;&gt;"",VLOOKUP($P469&amp;" | "&amp;CD$6,'Job Master'!$F$12:$J$102,5,0),"")</f>
        <v/>
      </c>
      <c r="CE469" s="19" t="str">
        <f>IF(CF469&lt;&gt;"",VLOOKUP($P469&amp;" | "&amp;CD$6,'Job Master'!$F$12:$J$102,3,0),"")</f>
        <v/>
      </c>
      <c r="CF469" s="19" t="str">
        <f>IFERROR(IF(AND(CM469&lt;&gt;"",VLOOKUP($P469&amp;" | "&amp;CD$6,'Job Master'!$F$12:$I$102,4,0)&lt;&gt;""),IF(WEEKDAY(CM469-VLOOKUP($P469&amp;" | "&amp;CD$6,'Job Master'!$F$12:$I$102,4,0))&lt;&gt;7,CM469-VLOOKUP($P469&amp;" | "&amp;CD$6,'Job Master'!$F$12:$I$102,4,0),CM469-VLOOKUP($P469&amp;" | "&amp;CD$6,'Job Master'!$F$12:$I$102,4,0)-1),""),"")</f>
        <v/>
      </c>
      <c r="CG469" s="73"/>
      <c r="CH469" s="123" t="str">
        <f t="shared" si="919"/>
        <v/>
      </c>
      <c r="CI469" s="123" t="str">
        <f t="shared" si="920"/>
        <v/>
      </c>
      <c r="CJ469" s="97" t="str">
        <f t="shared" ca="1" si="921"/>
        <v/>
      </c>
      <c r="CK469" s="98" t="str">
        <f>IF(CM469&lt;&gt;"",VLOOKUP($P469&amp;" | "&amp;CK$6,'Job Master'!$F$12:$J$102,5,0),"")</f>
        <v/>
      </c>
      <c r="CL469" s="19" t="str">
        <f>IF(CM469&lt;&gt;"",VLOOKUP($P469&amp;" | "&amp;CK$6,'Job Master'!$F$12:$J$102,3,0),"")</f>
        <v/>
      </c>
      <c r="CM469" s="19" t="str">
        <f>IFERROR(IF(AND(CT469&lt;&gt;"",VLOOKUP($P469&amp;" | "&amp;CK$6,'Job Master'!$F$12:$I$102,4,0)&lt;&gt;""),IF(WEEKDAY(CT469-VLOOKUP($P469&amp;" | "&amp;CK$6,'Job Master'!$F$12:$I$102,4,0))&lt;&gt;7,CT469-VLOOKUP($P469&amp;" | "&amp;CK$6,'Job Master'!$F$12:$I$102,4,0),CT469-VLOOKUP($P469&amp;" | "&amp;CK$6,'Job Master'!$F$12:$I$102,4,0)-1),""),"")</f>
        <v/>
      </c>
      <c r="CN469" s="73"/>
      <c r="CO469" s="123" t="str">
        <f t="shared" si="922"/>
        <v/>
      </c>
      <c r="CP469" s="123" t="str">
        <f t="shared" si="923"/>
        <v/>
      </c>
      <c r="CQ469" s="97" t="str">
        <f t="shared" ca="1" si="924"/>
        <v/>
      </c>
      <c r="CR469" s="98" t="str">
        <f>IF(CT469&lt;&gt;"",VLOOKUP($P469&amp;" | "&amp;CR$6,'Job Master'!$F$12:$J$102,5,0),"")</f>
        <v/>
      </c>
      <c r="CS469" s="19" t="str">
        <f>IF(CT469&lt;&gt;"",VLOOKUP($P469&amp;" | "&amp;CR$6,'Job Master'!$F$12:$J$102,3,0),"")</f>
        <v/>
      </c>
      <c r="CT469" s="19" t="str">
        <f>IFERROR(IF(AND(DA469&lt;&gt;"",VLOOKUP($P469&amp;" | "&amp;CR$6,'Job Master'!$F$12:$I$102,4,0)&lt;&gt;""),IF(WEEKDAY(DA469-VLOOKUP($P469&amp;" | "&amp;CR$6,'Job Master'!$F$12:$I$102,4,0))&lt;&gt;7,DA469-VLOOKUP($P469&amp;" | "&amp;CR$6,'Job Master'!$F$12:$I$102,4,0),DA469-VLOOKUP($P469&amp;" | "&amp;CR$6,'Job Master'!$F$12:$I$102,4,0)-1),""),"")</f>
        <v/>
      </c>
      <c r="CU469" s="73"/>
      <c r="CV469" s="123" t="str">
        <f t="shared" si="925"/>
        <v/>
      </c>
      <c r="CW469" s="123" t="str">
        <f t="shared" si="926"/>
        <v/>
      </c>
      <c r="CX469" s="97" t="str">
        <f t="shared" ca="1" si="927"/>
        <v/>
      </c>
      <c r="CY469" s="98" t="str">
        <f>IF(DA469&lt;&gt;"",VLOOKUP($P469&amp;" | "&amp;CY$6,'Job Master'!$F$12:$J$102,5,0),"")</f>
        <v/>
      </c>
      <c r="CZ469" s="19" t="str">
        <f>IF(DA469&lt;&gt;"",VLOOKUP($P469&amp;" | "&amp;CY$6,'Job Master'!$F$12:$J$102,3,0),"")</f>
        <v/>
      </c>
      <c r="DA469" s="19" t="str">
        <f>IFERROR(IF(AND(DH469&lt;&gt;"",VLOOKUP($P469&amp;" | "&amp;CY$6,'Job Master'!$F$12:$I$102,4,0)&lt;&gt;""),IF(WEEKDAY(DH469-VLOOKUP($P469&amp;" | "&amp;CY$6,'Job Master'!$F$12:$I$102,4,0))&lt;&gt;7,DH469-VLOOKUP($P469&amp;" | "&amp;CY$6,'Job Master'!$F$12:$I$102,4,0),DH469-VLOOKUP($P469&amp;" | "&amp;CY$6,'Job Master'!$F$12:$I$102,4,0)-1),""),"")</f>
        <v/>
      </c>
      <c r="DB469" s="73"/>
      <c r="DC469" s="123" t="str">
        <f t="shared" si="928"/>
        <v/>
      </c>
      <c r="DD469" s="123" t="str">
        <f t="shared" si="929"/>
        <v/>
      </c>
      <c r="DE469" s="97" t="str">
        <f t="shared" ca="1" si="930"/>
        <v/>
      </c>
      <c r="DF469" s="98" t="str">
        <f>IF(DH469&lt;&gt;"",VLOOKUP($P469&amp;" | "&amp;DF$6,'Job Master'!$F$12:$J$102,5,0),"")</f>
        <v/>
      </c>
      <c r="DG469" s="19" t="str">
        <f>IF(DH469&lt;&gt;"",VLOOKUP($P469&amp;" | "&amp;DF$6,'Job Master'!$F$12:$J$102,3,0),"")</f>
        <v/>
      </c>
      <c r="DH469" s="19" t="str">
        <f>IFERROR(IF(AND(DO469&lt;&gt;"",VLOOKUP($P469&amp;" | "&amp;DF$6,'Job Master'!$F$12:$I$102,4,0)&lt;&gt;""),IF(WEEKDAY(DO469-VLOOKUP($P469&amp;" | "&amp;DF$6,'Job Master'!$F$12:$I$102,4,0))&lt;&gt;7,DO469-VLOOKUP($P469&amp;" | "&amp;DF$6,'Job Master'!$F$12:$I$102,4,0),DO469-VLOOKUP($P469&amp;" | "&amp;DF$6,'Job Master'!$F$12:$I$102,4,0)-1),""),"")</f>
        <v/>
      </c>
      <c r="DI469" s="73"/>
      <c r="DJ469" s="123" t="str">
        <f t="shared" si="931"/>
        <v/>
      </c>
      <c r="DK469" s="123" t="str">
        <f t="shared" si="932"/>
        <v/>
      </c>
      <c r="DL469" s="97" t="str">
        <f t="shared" ca="1" si="933"/>
        <v/>
      </c>
      <c r="DM469" s="98" t="str">
        <f>IF(DO469&lt;&gt;"",VLOOKUP($P469&amp;" | "&amp;DM$6,'Job Master'!$F$12:$J$102,5,0),"")</f>
        <v/>
      </c>
      <c r="DN469" s="19" t="str">
        <f>IF(DO469&lt;&gt;"",VLOOKUP($P469&amp;" | "&amp;DM$6,'Job Master'!$F$12:$J$102,3,0),"")</f>
        <v/>
      </c>
      <c r="DO469" s="19" t="str">
        <f>IFERROR(IF(AND(DT469&lt;&gt;"",VLOOKUP($P469&amp;" | "&amp;DM$6,'Job Master'!$F$12:$I$102,4,0)&lt;&gt;""),IF(WEEKDAY(DT469-VLOOKUP($P469&amp;" | "&amp;DM$6,'Job Master'!$F$12:$I$102,4,0))&lt;&gt;7,DT469-VLOOKUP($P469&amp;" | "&amp;DM$6,'Job Master'!$F$12:$I$102,4,0),DT469-VLOOKUP($P469&amp;" | "&amp;DM$6,'Job Master'!$F$12:$I$102,4,0)-1),""),"")</f>
        <v/>
      </c>
      <c r="DP469" s="73"/>
      <c r="DQ469" s="123" t="str">
        <f t="shared" si="934"/>
        <v/>
      </c>
      <c r="DR469" s="123" t="str">
        <f t="shared" si="935"/>
        <v/>
      </c>
      <c r="DS469" s="97" t="str">
        <f t="shared" ca="1" si="936"/>
        <v/>
      </c>
      <c r="DT469" s="70" t="str">
        <f t="shared" si="937"/>
        <v/>
      </c>
      <c r="DU469" s="90"/>
      <c r="DV469" s="123" t="str">
        <f t="shared" si="938"/>
        <v/>
      </c>
      <c r="DW469" s="123" t="str">
        <f t="shared" si="939"/>
        <v/>
      </c>
      <c r="DX469" s="132" t="str">
        <f t="shared" ref="DX469" ca="1" si="959">IF(DT469&lt;&gt;"",IF(WEEKNUM(DT469)=WEEKNUM(TODAY()),"This Week",IF(WEEKNUM(DT469)=WEEKNUM(TODAY())+1,"Next Week",IF(WEEKNUM(DT469)=WEEKNUM(TODAY())-1,"Previous Week",""))),"")</f>
        <v/>
      </c>
      <c r="DY469" s="134" t="str">
        <f t="shared" si="941"/>
        <v/>
      </c>
      <c r="DZ469" s="95"/>
      <c r="EB469" s="8" t="str">
        <f t="shared" si="947"/>
        <v/>
      </c>
      <c r="EC469" s="8" t="str">
        <f>IF(O469&lt;&gt;"",VLOOKUP(O469,'Job Master'!$N$12:$O$18,2,0),"")</f>
        <v/>
      </c>
      <c r="ED469" s="8">
        <f t="shared" si="948"/>
        <v>19.5</v>
      </c>
      <c r="EE469" s="8">
        <f t="shared" si="949"/>
        <v>6</v>
      </c>
      <c r="EF469" s="8">
        <f t="shared" si="950"/>
        <v>-2734.5</v>
      </c>
      <c r="EG469" s="8" t="str">
        <f t="shared" si="951"/>
        <v/>
      </c>
      <c r="EH469" s="8" t="str">
        <f t="shared" si="952"/>
        <v/>
      </c>
    </row>
    <row r="470" spans="2:138" x14ac:dyDescent="0.3">
      <c r="B470" s="112"/>
      <c r="C470" s="27"/>
      <c r="D470" s="7" t="str">
        <f t="shared" si="891"/>
        <v/>
      </c>
      <c r="E470" s="25"/>
      <c r="F470" s="7" t="str">
        <f t="shared" si="891"/>
        <v/>
      </c>
      <c r="G470" s="25"/>
      <c r="H470" s="7" t="str">
        <f t="shared" si="891"/>
        <v/>
      </c>
      <c r="I470" s="25"/>
      <c r="J470" s="7" t="str">
        <f t="shared" si="891"/>
        <v/>
      </c>
      <c r="K470" s="25"/>
      <c r="L470" s="7" t="str">
        <f t="shared" si="891"/>
        <v/>
      </c>
      <c r="M470" s="25"/>
      <c r="N470" s="7" t="str">
        <f t="shared" si="891"/>
        <v/>
      </c>
      <c r="O470" s="81"/>
      <c r="P470" s="81" t="str">
        <f t="shared" si="892"/>
        <v/>
      </c>
      <c r="Q470" s="81"/>
      <c r="R470" s="7" t="str">
        <f t="shared" si="893"/>
        <v/>
      </c>
      <c r="S470" s="25"/>
      <c r="T470" s="7" t="str">
        <f t="shared" si="894"/>
        <v/>
      </c>
      <c r="U470" s="25"/>
      <c r="V470" s="7" t="str">
        <f t="shared" si="895"/>
        <v/>
      </c>
      <c r="W470" s="25"/>
      <c r="X470" s="7" t="str">
        <f t="shared" si="896"/>
        <v/>
      </c>
      <c r="Y470" s="18" t="str">
        <f t="shared" si="897"/>
        <v/>
      </c>
      <c r="Z470" s="7" t="str">
        <f t="shared" si="898"/>
        <v/>
      </c>
      <c r="AA470" s="18" t="str">
        <f t="shared" si="899"/>
        <v/>
      </c>
      <c r="AB470" s="19" t="str">
        <f t="shared" si="900"/>
        <v/>
      </c>
      <c r="AC470" s="26"/>
      <c r="AD470" s="26"/>
      <c r="AE470" s="25"/>
      <c r="AF470" s="26"/>
      <c r="AG470" s="25"/>
      <c r="AH470" s="25"/>
      <c r="AI470" s="18" t="str">
        <f t="shared" si="839"/>
        <v/>
      </c>
      <c r="AJ470" s="25"/>
      <c r="AK470" s="18" t="str">
        <f t="shared" si="840"/>
        <v/>
      </c>
      <c r="AL470" s="79"/>
      <c r="AM470" s="126" t="str">
        <f t="shared" si="841"/>
        <v/>
      </c>
      <c r="AN470" s="128" t="str">
        <f>IF(AP470&lt;&gt;"",VLOOKUP($P470&amp;" | "&amp;AN$6,'Job Master'!$F$12:$J$102,5,0),"")</f>
        <v/>
      </c>
      <c r="AO470" s="19" t="str">
        <f>IF(AP470&lt;&gt;"",VLOOKUP($P470&amp;" | "&amp;AN$6,'Job Master'!$F$12:$J$102,3,0),"")</f>
        <v/>
      </c>
      <c r="AP470" s="19" t="str">
        <f>IFERROR(IF(AND(AW470&lt;&gt;"",VLOOKUP($P470&amp;" | "&amp;AN$6,'Job Master'!$F$12:$I$102,4,0)&lt;&gt;""),IF(WEEKDAY(AW470-VLOOKUP($P470&amp;" | "&amp;AN$6,'Job Master'!$F$12:$I$102,4,0))&lt;&gt;7,AW470-VLOOKUP($P470&amp;" | "&amp;AN$6,'Job Master'!$F$12:$I$102,4,0),AW470-VLOOKUP($P470&amp;" | "&amp;AN$6,'Job Master'!$F$12:$I$102,4,0)-1),""),"")</f>
        <v/>
      </c>
      <c r="AQ470" s="73"/>
      <c r="AR470" s="123" t="str">
        <f t="shared" si="901"/>
        <v/>
      </c>
      <c r="AS470" s="123" t="str">
        <f t="shared" si="902"/>
        <v/>
      </c>
      <c r="AT470" s="97" t="str">
        <f t="shared" ca="1" si="903"/>
        <v/>
      </c>
      <c r="AU470" s="98" t="str">
        <f>IF(AW470&lt;&gt;"",VLOOKUP($P470&amp;" | "&amp;AU$6,'Job Master'!$F$12:$J$102,5,0),"")</f>
        <v/>
      </c>
      <c r="AV470" s="19" t="str">
        <f>IF(AW470&lt;&gt;"",VLOOKUP($P470&amp;" | "&amp;AU$6,'Job Master'!$F$12:$J$102,3,0),"")</f>
        <v/>
      </c>
      <c r="AW470" s="19" t="str">
        <f>IFERROR(IF(AND(BD470&lt;&gt;"",VLOOKUP($P470&amp;" | "&amp;AU$6,'Job Master'!$F$12:$I$102,4,0)&lt;&gt;""),IF(WEEKDAY(BD470-VLOOKUP($P470&amp;" | "&amp;AU$6,'Job Master'!$F$12:$I$102,4,0))&lt;&gt;7,BD470-VLOOKUP($P470&amp;" | "&amp;AU$6,'Job Master'!$F$12:$I$102,4,0),BD470-VLOOKUP($P470&amp;" | "&amp;AU$6,'Job Master'!$F$12:$I$102,4,0)-1),""),"")</f>
        <v/>
      </c>
      <c r="AX470" s="73"/>
      <c r="AY470" s="123" t="str">
        <f t="shared" si="904"/>
        <v/>
      </c>
      <c r="AZ470" s="123" t="str">
        <f t="shared" si="905"/>
        <v/>
      </c>
      <c r="BA470" s="97" t="str">
        <f t="shared" ca="1" si="906"/>
        <v/>
      </c>
      <c r="BB470" s="98" t="str">
        <f>IF(BD470&lt;&gt;"",VLOOKUP($P470&amp;" | "&amp;BB$6,'Job Master'!$F$12:$J$102,5,0),"")</f>
        <v/>
      </c>
      <c r="BC470" s="19" t="str">
        <f>IF(BD470&lt;&gt;"",VLOOKUP($P470&amp;" | "&amp;BB$6,'Job Master'!$F$12:$J$102,3,0),"")</f>
        <v/>
      </c>
      <c r="BD470" s="19" t="str">
        <f>IFERROR(IF(AND(BK470&lt;&gt;"",VLOOKUP($P470&amp;" | "&amp;BB$6,'Job Master'!$F$12:$I$102,4,0)&lt;&gt;""),IF(WEEKDAY(BK470-VLOOKUP($P470&amp;" | "&amp;BB$6,'Job Master'!$F$12:$I$102,4,0))&lt;&gt;7,BK470-VLOOKUP($P470&amp;" | "&amp;BB$6,'Job Master'!$F$12:$I$102,4,0),BK470-VLOOKUP($P470&amp;" | "&amp;BB$6,'Job Master'!$F$12:$I$102,4,0)-1),""),"")</f>
        <v/>
      </c>
      <c r="BE470" s="73"/>
      <c r="BF470" s="123" t="str">
        <f t="shared" si="907"/>
        <v/>
      </c>
      <c r="BG470" s="123" t="str">
        <f t="shared" si="908"/>
        <v/>
      </c>
      <c r="BH470" s="97" t="str">
        <f t="shared" ca="1" si="909"/>
        <v/>
      </c>
      <c r="BI470" s="98" t="str">
        <f>IF(BK470&lt;&gt;"",VLOOKUP($P470&amp;" | "&amp;BI$6,'Job Master'!$F$12:$J$102,5,0),"")</f>
        <v/>
      </c>
      <c r="BJ470" s="19" t="str">
        <f>IF(BK470&lt;&gt;"",VLOOKUP($P470&amp;" | "&amp;BI$6,'Job Master'!$F$12:$J$102,3,0),"")</f>
        <v/>
      </c>
      <c r="BK470" s="19" t="str">
        <f>IFERROR(IF(AND(BR470&lt;&gt;"",VLOOKUP($P470&amp;" | "&amp;BI$6,'Job Master'!$F$12:$I$102,4,0)&lt;&gt;""),IF(WEEKDAY(BR470-VLOOKUP($P470&amp;" | "&amp;BI$6,'Job Master'!$F$12:$I$102,4,0))&lt;&gt;7,BR470-VLOOKUP($P470&amp;" | "&amp;BI$6,'Job Master'!$F$12:$I$102,4,0),BR470-VLOOKUP($P470&amp;" | "&amp;BI$6,'Job Master'!$F$12:$I$102,4,0)-1),""),"")</f>
        <v/>
      </c>
      <c r="BL470" s="73"/>
      <c r="BM470" s="123" t="str">
        <f t="shared" si="910"/>
        <v/>
      </c>
      <c r="BN470" s="123" t="str">
        <f t="shared" si="911"/>
        <v/>
      </c>
      <c r="BO470" s="97" t="str">
        <f t="shared" ca="1" si="912"/>
        <v/>
      </c>
      <c r="BP470" s="98" t="str">
        <f>IF(BR470&lt;&gt;"",VLOOKUP($P470&amp;" | "&amp;BP$6,'Job Master'!$F$12:$J$102,5,0),"")</f>
        <v/>
      </c>
      <c r="BQ470" s="19" t="str">
        <f>IF(BR470&lt;&gt;"",VLOOKUP($P470&amp;" | "&amp;BP$6,'Job Master'!$F$12:$J$102,3,0),"")</f>
        <v/>
      </c>
      <c r="BR470" s="19" t="str">
        <f>IFERROR(IF(AND(BY470&lt;&gt;"",VLOOKUP($P470&amp;" | "&amp;BP$6,'Job Master'!$F$12:$I$102,4,0)&lt;&gt;""),IF(WEEKDAY(BY470-VLOOKUP($P470&amp;" | "&amp;BP$6,'Job Master'!$F$12:$I$102,4,0))&lt;&gt;7,BY470-VLOOKUP($P470&amp;" | "&amp;BP$6,'Job Master'!$F$12:$I$102,4,0),BY470-VLOOKUP($P470&amp;" | "&amp;BP$6,'Job Master'!$F$12:$I$102,4,0)-1),""),"")</f>
        <v/>
      </c>
      <c r="BS470" s="73"/>
      <c r="BT470" s="123" t="str">
        <f t="shared" si="913"/>
        <v/>
      </c>
      <c r="BU470" s="123" t="str">
        <f t="shared" si="914"/>
        <v/>
      </c>
      <c r="BV470" s="97" t="str">
        <f t="shared" ca="1" si="915"/>
        <v/>
      </c>
      <c r="BW470" s="98" t="str">
        <f>IF(BY470&lt;&gt;"",VLOOKUP($P470&amp;" | "&amp;BW$6,'Job Master'!$F$12:$J$102,5,0),"")</f>
        <v/>
      </c>
      <c r="BX470" s="19" t="str">
        <f>IF(BY470&lt;&gt;"",VLOOKUP($P470&amp;" | "&amp;BW$6,'Job Master'!$F$12:$J$102,3,0),"")</f>
        <v/>
      </c>
      <c r="BY470" s="19" t="str">
        <f>IFERROR(IF(AND(CF470&lt;&gt;"",VLOOKUP($P470&amp;" | "&amp;BW$6,'Job Master'!$F$12:$I$102,4,0)&lt;&gt;""),IF(WEEKDAY(CF470-VLOOKUP($P470&amp;" | "&amp;BW$6,'Job Master'!$F$12:$I$102,4,0))&lt;&gt;7,CF470-VLOOKUP($P470&amp;" | "&amp;BW$6,'Job Master'!$F$12:$I$102,4,0),CF470-VLOOKUP($P470&amp;" | "&amp;BW$6,'Job Master'!$F$12:$I$102,4,0)-1),""),"")</f>
        <v/>
      </c>
      <c r="BZ470" s="73"/>
      <c r="CA470" s="123" t="str">
        <f t="shared" si="916"/>
        <v/>
      </c>
      <c r="CB470" s="123" t="str">
        <f t="shared" si="917"/>
        <v/>
      </c>
      <c r="CC470" s="97" t="str">
        <f t="shared" ca="1" si="918"/>
        <v/>
      </c>
      <c r="CD470" s="98" t="str">
        <f>IF(CF470&lt;&gt;"",VLOOKUP($P470&amp;" | "&amp;CD$6,'Job Master'!$F$12:$J$102,5,0),"")</f>
        <v/>
      </c>
      <c r="CE470" s="19" t="str">
        <f>IF(CF470&lt;&gt;"",VLOOKUP($P470&amp;" | "&amp;CD$6,'Job Master'!$F$12:$J$102,3,0),"")</f>
        <v/>
      </c>
      <c r="CF470" s="19" t="str">
        <f>IFERROR(IF(AND(CM470&lt;&gt;"",VLOOKUP($P470&amp;" | "&amp;CD$6,'Job Master'!$F$12:$I$102,4,0)&lt;&gt;""),IF(WEEKDAY(CM470-VLOOKUP($P470&amp;" | "&amp;CD$6,'Job Master'!$F$12:$I$102,4,0))&lt;&gt;7,CM470-VLOOKUP($P470&amp;" | "&amp;CD$6,'Job Master'!$F$12:$I$102,4,0),CM470-VLOOKUP($P470&amp;" | "&amp;CD$6,'Job Master'!$F$12:$I$102,4,0)-1),""),"")</f>
        <v/>
      </c>
      <c r="CG470" s="73"/>
      <c r="CH470" s="123" t="str">
        <f t="shared" si="919"/>
        <v/>
      </c>
      <c r="CI470" s="123" t="str">
        <f t="shared" si="920"/>
        <v/>
      </c>
      <c r="CJ470" s="97" t="str">
        <f t="shared" ca="1" si="921"/>
        <v/>
      </c>
      <c r="CK470" s="98" t="str">
        <f>IF(CM470&lt;&gt;"",VLOOKUP($P470&amp;" | "&amp;CK$6,'Job Master'!$F$12:$J$102,5,0),"")</f>
        <v/>
      </c>
      <c r="CL470" s="19" t="str">
        <f>IF(CM470&lt;&gt;"",VLOOKUP($P470&amp;" | "&amp;CK$6,'Job Master'!$F$12:$J$102,3,0),"")</f>
        <v/>
      </c>
      <c r="CM470" s="19" t="str">
        <f>IFERROR(IF(AND(CT470&lt;&gt;"",VLOOKUP($P470&amp;" | "&amp;CK$6,'Job Master'!$F$12:$I$102,4,0)&lt;&gt;""),IF(WEEKDAY(CT470-VLOOKUP($P470&amp;" | "&amp;CK$6,'Job Master'!$F$12:$I$102,4,0))&lt;&gt;7,CT470-VLOOKUP($P470&amp;" | "&amp;CK$6,'Job Master'!$F$12:$I$102,4,0),CT470-VLOOKUP($P470&amp;" | "&amp;CK$6,'Job Master'!$F$12:$I$102,4,0)-1),""),"")</f>
        <v/>
      </c>
      <c r="CN470" s="73"/>
      <c r="CO470" s="123" t="str">
        <f t="shared" si="922"/>
        <v/>
      </c>
      <c r="CP470" s="123" t="str">
        <f t="shared" si="923"/>
        <v/>
      </c>
      <c r="CQ470" s="97" t="str">
        <f t="shared" ca="1" si="924"/>
        <v/>
      </c>
      <c r="CR470" s="98" t="str">
        <f>IF(CT470&lt;&gt;"",VLOOKUP($P470&amp;" | "&amp;CR$6,'Job Master'!$F$12:$J$102,5,0),"")</f>
        <v/>
      </c>
      <c r="CS470" s="19" t="str">
        <f>IF(CT470&lt;&gt;"",VLOOKUP($P470&amp;" | "&amp;CR$6,'Job Master'!$F$12:$J$102,3,0),"")</f>
        <v/>
      </c>
      <c r="CT470" s="19" t="str">
        <f>IFERROR(IF(AND(DA470&lt;&gt;"",VLOOKUP($P470&amp;" | "&amp;CR$6,'Job Master'!$F$12:$I$102,4,0)&lt;&gt;""),IF(WEEKDAY(DA470-VLOOKUP($P470&amp;" | "&amp;CR$6,'Job Master'!$F$12:$I$102,4,0))&lt;&gt;7,DA470-VLOOKUP($P470&amp;" | "&amp;CR$6,'Job Master'!$F$12:$I$102,4,0),DA470-VLOOKUP($P470&amp;" | "&amp;CR$6,'Job Master'!$F$12:$I$102,4,0)-1),""),"")</f>
        <v/>
      </c>
      <c r="CU470" s="73"/>
      <c r="CV470" s="123" t="str">
        <f t="shared" si="925"/>
        <v/>
      </c>
      <c r="CW470" s="123" t="str">
        <f t="shared" si="926"/>
        <v/>
      </c>
      <c r="CX470" s="97" t="str">
        <f t="shared" ca="1" si="927"/>
        <v/>
      </c>
      <c r="CY470" s="98" t="str">
        <f>IF(DA470&lt;&gt;"",VLOOKUP($P470&amp;" | "&amp;CY$6,'Job Master'!$F$12:$J$102,5,0),"")</f>
        <v/>
      </c>
      <c r="CZ470" s="19" t="str">
        <f>IF(DA470&lt;&gt;"",VLOOKUP($P470&amp;" | "&amp;CY$6,'Job Master'!$F$12:$J$102,3,0),"")</f>
        <v/>
      </c>
      <c r="DA470" s="19" t="str">
        <f>IFERROR(IF(AND(DH470&lt;&gt;"",VLOOKUP($P470&amp;" | "&amp;CY$6,'Job Master'!$F$12:$I$102,4,0)&lt;&gt;""),IF(WEEKDAY(DH470-VLOOKUP($P470&amp;" | "&amp;CY$6,'Job Master'!$F$12:$I$102,4,0))&lt;&gt;7,DH470-VLOOKUP($P470&amp;" | "&amp;CY$6,'Job Master'!$F$12:$I$102,4,0),DH470-VLOOKUP($P470&amp;" | "&amp;CY$6,'Job Master'!$F$12:$I$102,4,0)-1),""),"")</f>
        <v/>
      </c>
      <c r="DB470" s="73"/>
      <c r="DC470" s="123" t="str">
        <f t="shared" si="928"/>
        <v/>
      </c>
      <c r="DD470" s="123" t="str">
        <f t="shared" si="929"/>
        <v/>
      </c>
      <c r="DE470" s="97" t="str">
        <f t="shared" ca="1" si="930"/>
        <v/>
      </c>
      <c r="DF470" s="98" t="str">
        <f>IF(DH470&lt;&gt;"",VLOOKUP($P470&amp;" | "&amp;DF$6,'Job Master'!$F$12:$J$102,5,0),"")</f>
        <v/>
      </c>
      <c r="DG470" s="19" t="str">
        <f>IF(DH470&lt;&gt;"",VLOOKUP($P470&amp;" | "&amp;DF$6,'Job Master'!$F$12:$J$102,3,0),"")</f>
        <v/>
      </c>
      <c r="DH470" s="19" t="str">
        <f>IFERROR(IF(AND(DO470&lt;&gt;"",VLOOKUP($P470&amp;" | "&amp;DF$6,'Job Master'!$F$12:$I$102,4,0)&lt;&gt;""),IF(WEEKDAY(DO470-VLOOKUP($P470&amp;" | "&amp;DF$6,'Job Master'!$F$12:$I$102,4,0))&lt;&gt;7,DO470-VLOOKUP($P470&amp;" | "&amp;DF$6,'Job Master'!$F$12:$I$102,4,0),DO470-VLOOKUP($P470&amp;" | "&amp;DF$6,'Job Master'!$F$12:$I$102,4,0)-1),""),"")</f>
        <v/>
      </c>
      <c r="DI470" s="73"/>
      <c r="DJ470" s="123" t="str">
        <f t="shared" si="931"/>
        <v/>
      </c>
      <c r="DK470" s="123" t="str">
        <f t="shared" si="932"/>
        <v/>
      </c>
      <c r="DL470" s="97" t="str">
        <f t="shared" ca="1" si="933"/>
        <v/>
      </c>
      <c r="DM470" s="98" t="str">
        <f>IF(DO470&lt;&gt;"",VLOOKUP($P470&amp;" | "&amp;DM$6,'Job Master'!$F$12:$J$102,5,0),"")</f>
        <v/>
      </c>
      <c r="DN470" s="19" t="str">
        <f>IF(DO470&lt;&gt;"",VLOOKUP($P470&amp;" | "&amp;DM$6,'Job Master'!$F$12:$J$102,3,0),"")</f>
        <v/>
      </c>
      <c r="DO470" s="19" t="str">
        <f>IFERROR(IF(AND(DT470&lt;&gt;"",VLOOKUP($P470&amp;" | "&amp;DM$6,'Job Master'!$F$12:$I$102,4,0)&lt;&gt;""),IF(WEEKDAY(DT470-VLOOKUP($P470&amp;" | "&amp;DM$6,'Job Master'!$F$12:$I$102,4,0))&lt;&gt;7,DT470-VLOOKUP($P470&amp;" | "&amp;DM$6,'Job Master'!$F$12:$I$102,4,0),DT470-VLOOKUP($P470&amp;" | "&amp;DM$6,'Job Master'!$F$12:$I$102,4,0)-1),""),"")</f>
        <v/>
      </c>
      <c r="DP470" s="73"/>
      <c r="DQ470" s="123" t="str">
        <f t="shared" si="934"/>
        <v/>
      </c>
      <c r="DR470" s="123" t="str">
        <f t="shared" si="935"/>
        <v/>
      </c>
      <c r="DS470" s="97" t="str">
        <f t="shared" ca="1" si="936"/>
        <v/>
      </c>
      <c r="DT470" s="70" t="str">
        <f t="shared" si="937"/>
        <v/>
      </c>
      <c r="DU470" s="90"/>
      <c r="DV470" s="123" t="str">
        <f t="shared" si="938"/>
        <v/>
      </c>
      <c r="DW470" s="123" t="str">
        <f t="shared" si="939"/>
        <v/>
      </c>
      <c r="DX470" s="132" t="str">
        <f t="shared" ref="DX470" ca="1" si="960">IF(DT470&lt;&gt;"",IF(WEEKNUM(DT470)=WEEKNUM(TODAY()),"This Week",IF(WEEKNUM(DT470)=WEEKNUM(TODAY())+1,"Next Week",IF(WEEKNUM(DT470)=WEEKNUM(TODAY())-1,"Previous Week",""))),"")</f>
        <v/>
      </c>
      <c r="DY470" s="134" t="str">
        <f t="shared" si="941"/>
        <v/>
      </c>
      <c r="DZ470" s="95"/>
      <c r="EB470" s="8" t="str">
        <f t="shared" si="947"/>
        <v/>
      </c>
      <c r="EC470" s="8" t="str">
        <f>IF(O470&lt;&gt;"",VLOOKUP(O470,'Job Master'!$N$12:$O$18,2,0),"")</f>
        <v/>
      </c>
      <c r="ED470" s="8">
        <f t="shared" si="948"/>
        <v>19.5</v>
      </c>
      <c r="EE470" s="8">
        <f t="shared" si="949"/>
        <v>6</v>
      </c>
      <c r="EF470" s="8">
        <f t="shared" si="950"/>
        <v>-2740.5</v>
      </c>
      <c r="EG470" s="8" t="str">
        <f t="shared" si="951"/>
        <v/>
      </c>
      <c r="EH470" s="8" t="str">
        <f t="shared" si="952"/>
        <v/>
      </c>
    </row>
    <row r="471" spans="2:138" x14ac:dyDescent="0.3">
      <c r="B471" s="112"/>
      <c r="C471" s="27"/>
      <c r="D471" s="7" t="str">
        <f t="shared" si="891"/>
        <v/>
      </c>
      <c r="E471" s="25"/>
      <c r="F471" s="7" t="str">
        <f t="shared" si="891"/>
        <v/>
      </c>
      <c r="G471" s="25"/>
      <c r="H471" s="7" t="str">
        <f t="shared" si="891"/>
        <v/>
      </c>
      <c r="I471" s="25"/>
      <c r="J471" s="7" t="str">
        <f t="shared" si="891"/>
        <v/>
      </c>
      <c r="K471" s="25"/>
      <c r="L471" s="7" t="str">
        <f t="shared" si="891"/>
        <v/>
      </c>
      <c r="M471" s="25"/>
      <c r="N471" s="7" t="str">
        <f t="shared" si="891"/>
        <v/>
      </c>
      <c r="O471" s="81"/>
      <c r="P471" s="81" t="str">
        <f t="shared" si="892"/>
        <v/>
      </c>
      <c r="Q471" s="81"/>
      <c r="R471" s="7" t="str">
        <f t="shared" si="893"/>
        <v/>
      </c>
      <c r="S471" s="25"/>
      <c r="T471" s="7" t="str">
        <f t="shared" si="894"/>
        <v/>
      </c>
      <c r="U471" s="25"/>
      <c r="V471" s="7" t="str">
        <f t="shared" si="895"/>
        <v/>
      </c>
      <c r="W471" s="25"/>
      <c r="X471" s="7" t="str">
        <f t="shared" si="896"/>
        <v/>
      </c>
      <c r="Y471" s="18" t="str">
        <f t="shared" si="897"/>
        <v/>
      </c>
      <c r="Z471" s="7" t="str">
        <f t="shared" si="898"/>
        <v/>
      </c>
      <c r="AA471" s="18" t="str">
        <f t="shared" si="899"/>
        <v/>
      </c>
      <c r="AB471" s="19" t="str">
        <f t="shared" si="900"/>
        <v/>
      </c>
      <c r="AC471" s="26"/>
      <c r="AD471" s="26"/>
      <c r="AE471" s="25"/>
      <c r="AF471" s="26"/>
      <c r="AG471" s="25"/>
      <c r="AH471" s="25"/>
      <c r="AI471" s="18" t="str">
        <f t="shared" si="839"/>
        <v/>
      </c>
      <c r="AJ471" s="25"/>
      <c r="AK471" s="18" t="str">
        <f t="shared" si="840"/>
        <v/>
      </c>
      <c r="AL471" s="79"/>
      <c r="AM471" s="126" t="str">
        <f t="shared" si="841"/>
        <v/>
      </c>
      <c r="AN471" s="128" t="str">
        <f>IF(AP471&lt;&gt;"",VLOOKUP($P471&amp;" | "&amp;AN$6,'Job Master'!$F$12:$J$102,5,0),"")</f>
        <v/>
      </c>
      <c r="AO471" s="19" t="str">
        <f>IF(AP471&lt;&gt;"",VLOOKUP($P471&amp;" | "&amp;AN$6,'Job Master'!$F$12:$J$102,3,0),"")</f>
        <v/>
      </c>
      <c r="AP471" s="19" t="str">
        <f>IFERROR(IF(AND(AW471&lt;&gt;"",VLOOKUP($P471&amp;" | "&amp;AN$6,'Job Master'!$F$12:$I$102,4,0)&lt;&gt;""),IF(WEEKDAY(AW471-VLOOKUP($P471&amp;" | "&amp;AN$6,'Job Master'!$F$12:$I$102,4,0))&lt;&gt;7,AW471-VLOOKUP($P471&amp;" | "&amp;AN$6,'Job Master'!$F$12:$I$102,4,0),AW471-VLOOKUP($P471&amp;" | "&amp;AN$6,'Job Master'!$F$12:$I$102,4,0)-1),""),"")</f>
        <v/>
      </c>
      <c r="AQ471" s="73"/>
      <c r="AR471" s="123" t="str">
        <f t="shared" si="901"/>
        <v/>
      </c>
      <c r="AS471" s="123" t="str">
        <f t="shared" si="902"/>
        <v/>
      </c>
      <c r="AT471" s="97" t="str">
        <f t="shared" ca="1" si="903"/>
        <v/>
      </c>
      <c r="AU471" s="98" t="str">
        <f>IF(AW471&lt;&gt;"",VLOOKUP($P471&amp;" | "&amp;AU$6,'Job Master'!$F$12:$J$102,5,0),"")</f>
        <v/>
      </c>
      <c r="AV471" s="19" t="str">
        <f>IF(AW471&lt;&gt;"",VLOOKUP($P471&amp;" | "&amp;AU$6,'Job Master'!$F$12:$J$102,3,0),"")</f>
        <v/>
      </c>
      <c r="AW471" s="19" t="str">
        <f>IFERROR(IF(AND(BD471&lt;&gt;"",VLOOKUP($P471&amp;" | "&amp;AU$6,'Job Master'!$F$12:$I$102,4,0)&lt;&gt;""),IF(WEEKDAY(BD471-VLOOKUP($P471&amp;" | "&amp;AU$6,'Job Master'!$F$12:$I$102,4,0))&lt;&gt;7,BD471-VLOOKUP($P471&amp;" | "&amp;AU$6,'Job Master'!$F$12:$I$102,4,0),BD471-VLOOKUP($P471&amp;" | "&amp;AU$6,'Job Master'!$F$12:$I$102,4,0)-1),""),"")</f>
        <v/>
      </c>
      <c r="AX471" s="73"/>
      <c r="AY471" s="123" t="str">
        <f t="shared" si="904"/>
        <v/>
      </c>
      <c r="AZ471" s="123" t="str">
        <f t="shared" si="905"/>
        <v/>
      </c>
      <c r="BA471" s="97" t="str">
        <f t="shared" ca="1" si="906"/>
        <v/>
      </c>
      <c r="BB471" s="98" t="str">
        <f>IF(BD471&lt;&gt;"",VLOOKUP($P471&amp;" | "&amp;BB$6,'Job Master'!$F$12:$J$102,5,0),"")</f>
        <v/>
      </c>
      <c r="BC471" s="19" t="str">
        <f>IF(BD471&lt;&gt;"",VLOOKUP($P471&amp;" | "&amp;BB$6,'Job Master'!$F$12:$J$102,3,0),"")</f>
        <v/>
      </c>
      <c r="BD471" s="19" t="str">
        <f>IFERROR(IF(AND(BK471&lt;&gt;"",VLOOKUP($P471&amp;" | "&amp;BB$6,'Job Master'!$F$12:$I$102,4,0)&lt;&gt;""),IF(WEEKDAY(BK471-VLOOKUP($P471&amp;" | "&amp;BB$6,'Job Master'!$F$12:$I$102,4,0))&lt;&gt;7,BK471-VLOOKUP($P471&amp;" | "&amp;BB$6,'Job Master'!$F$12:$I$102,4,0),BK471-VLOOKUP($P471&amp;" | "&amp;BB$6,'Job Master'!$F$12:$I$102,4,0)-1),""),"")</f>
        <v/>
      </c>
      <c r="BE471" s="73"/>
      <c r="BF471" s="123" t="str">
        <f t="shared" si="907"/>
        <v/>
      </c>
      <c r="BG471" s="123" t="str">
        <f t="shared" si="908"/>
        <v/>
      </c>
      <c r="BH471" s="97" t="str">
        <f t="shared" ca="1" si="909"/>
        <v/>
      </c>
      <c r="BI471" s="98" t="str">
        <f>IF(BK471&lt;&gt;"",VLOOKUP($P471&amp;" | "&amp;BI$6,'Job Master'!$F$12:$J$102,5,0),"")</f>
        <v/>
      </c>
      <c r="BJ471" s="19" t="str">
        <f>IF(BK471&lt;&gt;"",VLOOKUP($P471&amp;" | "&amp;BI$6,'Job Master'!$F$12:$J$102,3,0),"")</f>
        <v/>
      </c>
      <c r="BK471" s="19" t="str">
        <f>IFERROR(IF(AND(BR471&lt;&gt;"",VLOOKUP($P471&amp;" | "&amp;BI$6,'Job Master'!$F$12:$I$102,4,0)&lt;&gt;""),IF(WEEKDAY(BR471-VLOOKUP($P471&amp;" | "&amp;BI$6,'Job Master'!$F$12:$I$102,4,0))&lt;&gt;7,BR471-VLOOKUP($P471&amp;" | "&amp;BI$6,'Job Master'!$F$12:$I$102,4,0),BR471-VLOOKUP($P471&amp;" | "&amp;BI$6,'Job Master'!$F$12:$I$102,4,0)-1),""),"")</f>
        <v/>
      </c>
      <c r="BL471" s="73"/>
      <c r="BM471" s="123" t="str">
        <f t="shared" si="910"/>
        <v/>
      </c>
      <c r="BN471" s="123" t="str">
        <f t="shared" si="911"/>
        <v/>
      </c>
      <c r="BO471" s="97" t="str">
        <f t="shared" ca="1" si="912"/>
        <v/>
      </c>
      <c r="BP471" s="98" t="str">
        <f>IF(BR471&lt;&gt;"",VLOOKUP($P471&amp;" | "&amp;BP$6,'Job Master'!$F$12:$J$102,5,0),"")</f>
        <v/>
      </c>
      <c r="BQ471" s="19" t="str">
        <f>IF(BR471&lt;&gt;"",VLOOKUP($P471&amp;" | "&amp;BP$6,'Job Master'!$F$12:$J$102,3,0),"")</f>
        <v/>
      </c>
      <c r="BR471" s="19" t="str">
        <f>IFERROR(IF(AND(BY471&lt;&gt;"",VLOOKUP($P471&amp;" | "&amp;BP$6,'Job Master'!$F$12:$I$102,4,0)&lt;&gt;""),IF(WEEKDAY(BY471-VLOOKUP($P471&amp;" | "&amp;BP$6,'Job Master'!$F$12:$I$102,4,0))&lt;&gt;7,BY471-VLOOKUP($P471&amp;" | "&amp;BP$6,'Job Master'!$F$12:$I$102,4,0),BY471-VLOOKUP($P471&amp;" | "&amp;BP$6,'Job Master'!$F$12:$I$102,4,0)-1),""),"")</f>
        <v/>
      </c>
      <c r="BS471" s="73"/>
      <c r="BT471" s="123" t="str">
        <f t="shared" si="913"/>
        <v/>
      </c>
      <c r="BU471" s="123" t="str">
        <f t="shared" si="914"/>
        <v/>
      </c>
      <c r="BV471" s="97" t="str">
        <f t="shared" ca="1" si="915"/>
        <v/>
      </c>
      <c r="BW471" s="98" t="str">
        <f>IF(BY471&lt;&gt;"",VLOOKUP($P471&amp;" | "&amp;BW$6,'Job Master'!$F$12:$J$102,5,0),"")</f>
        <v/>
      </c>
      <c r="BX471" s="19" t="str">
        <f>IF(BY471&lt;&gt;"",VLOOKUP($P471&amp;" | "&amp;BW$6,'Job Master'!$F$12:$J$102,3,0),"")</f>
        <v/>
      </c>
      <c r="BY471" s="19" t="str">
        <f>IFERROR(IF(AND(CF471&lt;&gt;"",VLOOKUP($P471&amp;" | "&amp;BW$6,'Job Master'!$F$12:$I$102,4,0)&lt;&gt;""),IF(WEEKDAY(CF471-VLOOKUP($P471&amp;" | "&amp;BW$6,'Job Master'!$F$12:$I$102,4,0))&lt;&gt;7,CF471-VLOOKUP($P471&amp;" | "&amp;BW$6,'Job Master'!$F$12:$I$102,4,0),CF471-VLOOKUP($P471&amp;" | "&amp;BW$6,'Job Master'!$F$12:$I$102,4,0)-1),""),"")</f>
        <v/>
      </c>
      <c r="BZ471" s="73"/>
      <c r="CA471" s="123" t="str">
        <f t="shared" si="916"/>
        <v/>
      </c>
      <c r="CB471" s="123" t="str">
        <f t="shared" si="917"/>
        <v/>
      </c>
      <c r="CC471" s="97" t="str">
        <f t="shared" ca="1" si="918"/>
        <v/>
      </c>
      <c r="CD471" s="98" t="str">
        <f>IF(CF471&lt;&gt;"",VLOOKUP($P471&amp;" | "&amp;CD$6,'Job Master'!$F$12:$J$102,5,0),"")</f>
        <v/>
      </c>
      <c r="CE471" s="19" t="str">
        <f>IF(CF471&lt;&gt;"",VLOOKUP($P471&amp;" | "&amp;CD$6,'Job Master'!$F$12:$J$102,3,0),"")</f>
        <v/>
      </c>
      <c r="CF471" s="19" t="str">
        <f>IFERROR(IF(AND(CM471&lt;&gt;"",VLOOKUP($P471&amp;" | "&amp;CD$6,'Job Master'!$F$12:$I$102,4,0)&lt;&gt;""),IF(WEEKDAY(CM471-VLOOKUP($P471&amp;" | "&amp;CD$6,'Job Master'!$F$12:$I$102,4,0))&lt;&gt;7,CM471-VLOOKUP($P471&amp;" | "&amp;CD$6,'Job Master'!$F$12:$I$102,4,0),CM471-VLOOKUP($P471&amp;" | "&amp;CD$6,'Job Master'!$F$12:$I$102,4,0)-1),""),"")</f>
        <v/>
      </c>
      <c r="CG471" s="73"/>
      <c r="CH471" s="123" t="str">
        <f t="shared" si="919"/>
        <v/>
      </c>
      <c r="CI471" s="123" t="str">
        <f t="shared" si="920"/>
        <v/>
      </c>
      <c r="CJ471" s="97" t="str">
        <f t="shared" ca="1" si="921"/>
        <v/>
      </c>
      <c r="CK471" s="98" t="str">
        <f>IF(CM471&lt;&gt;"",VLOOKUP($P471&amp;" | "&amp;CK$6,'Job Master'!$F$12:$J$102,5,0),"")</f>
        <v/>
      </c>
      <c r="CL471" s="19" t="str">
        <f>IF(CM471&lt;&gt;"",VLOOKUP($P471&amp;" | "&amp;CK$6,'Job Master'!$F$12:$J$102,3,0),"")</f>
        <v/>
      </c>
      <c r="CM471" s="19" t="str">
        <f>IFERROR(IF(AND(CT471&lt;&gt;"",VLOOKUP($P471&amp;" | "&amp;CK$6,'Job Master'!$F$12:$I$102,4,0)&lt;&gt;""),IF(WEEKDAY(CT471-VLOOKUP($P471&amp;" | "&amp;CK$6,'Job Master'!$F$12:$I$102,4,0))&lt;&gt;7,CT471-VLOOKUP($P471&amp;" | "&amp;CK$6,'Job Master'!$F$12:$I$102,4,0),CT471-VLOOKUP($P471&amp;" | "&amp;CK$6,'Job Master'!$F$12:$I$102,4,0)-1),""),"")</f>
        <v/>
      </c>
      <c r="CN471" s="73"/>
      <c r="CO471" s="123" t="str">
        <f t="shared" si="922"/>
        <v/>
      </c>
      <c r="CP471" s="123" t="str">
        <f t="shared" si="923"/>
        <v/>
      </c>
      <c r="CQ471" s="97" t="str">
        <f t="shared" ca="1" si="924"/>
        <v/>
      </c>
      <c r="CR471" s="98" t="str">
        <f>IF(CT471&lt;&gt;"",VLOOKUP($P471&amp;" | "&amp;CR$6,'Job Master'!$F$12:$J$102,5,0),"")</f>
        <v/>
      </c>
      <c r="CS471" s="19" t="str">
        <f>IF(CT471&lt;&gt;"",VLOOKUP($P471&amp;" | "&amp;CR$6,'Job Master'!$F$12:$J$102,3,0),"")</f>
        <v/>
      </c>
      <c r="CT471" s="19" t="str">
        <f>IFERROR(IF(AND(DA471&lt;&gt;"",VLOOKUP($P471&amp;" | "&amp;CR$6,'Job Master'!$F$12:$I$102,4,0)&lt;&gt;""),IF(WEEKDAY(DA471-VLOOKUP($P471&amp;" | "&amp;CR$6,'Job Master'!$F$12:$I$102,4,0))&lt;&gt;7,DA471-VLOOKUP($P471&amp;" | "&amp;CR$6,'Job Master'!$F$12:$I$102,4,0),DA471-VLOOKUP($P471&amp;" | "&amp;CR$6,'Job Master'!$F$12:$I$102,4,0)-1),""),"")</f>
        <v/>
      </c>
      <c r="CU471" s="73"/>
      <c r="CV471" s="123" t="str">
        <f t="shared" si="925"/>
        <v/>
      </c>
      <c r="CW471" s="123" t="str">
        <f t="shared" si="926"/>
        <v/>
      </c>
      <c r="CX471" s="97" t="str">
        <f t="shared" ca="1" si="927"/>
        <v/>
      </c>
      <c r="CY471" s="98" t="str">
        <f>IF(DA471&lt;&gt;"",VLOOKUP($P471&amp;" | "&amp;CY$6,'Job Master'!$F$12:$J$102,5,0),"")</f>
        <v/>
      </c>
      <c r="CZ471" s="19" t="str">
        <f>IF(DA471&lt;&gt;"",VLOOKUP($P471&amp;" | "&amp;CY$6,'Job Master'!$F$12:$J$102,3,0),"")</f>
        <v/>
      </c>
      <c r="DA471" s="19" t="str">
        <f>IFERROR(IF(AND(DH471&lt;&gt;"",VLOOKUP($P471&amp;" | "&amp;CY$6,'Job Master'!$F$12:$I$102,4,0)&lt;&gt;""),IF(WEEKDAY(DH471-VLOOKUP($P471&amp;" | "&amp;CY$6,'Job Master'!$F$12:$I$102,4,0))&lt;&gt;7,DH471-VLOOKUP($P471&amp;" | "&amp;CY$6,'Job Master'!$F$12:$I$102,4,0),DH471-VLOOKUP($P471&amp;" | "&amp;CY$6,'Job Master'!$F$12:$I$102,4,0)-1),""),"")</f>
        <v/>
      </c>
      <c r="DB471" s="73"/>
      <c r="DC471" s="123" t="str">
        <f t="shared" si="928"/>
        <v/>
      </c>
      <c r="DD471" s="123" t="str">
        <f t="shared" si="929"/>
        <v/>
      </c>
      <c r="DE471" s="97" t="str">
        <f t="shared" ca="1" si="930"/>
        <v/>
      </c>
      <c r="DF471" s="98" t="str">
        <f>IF(DH471&lt;&gt;"",VLOOKUP($P471&amp;" | "&amp;DF$6,'Job Master'!$F$12:$J$102,5,0),"")</f>
        <v/>
      </c>
      <c r="DG471" s="19" t="str">
        <f>IF(DH471&lt;&gt;"",VLOOKUP($P471&amp;" | "&amp;DF$6,'Job Master'!$F$12:$J$102,3,0),"")</f>
        <v/>
      </c>
      <c r="DH471" s="19" t="str">
        <f>IFERROR(IF(AND(DO471&lt;&gt;"",VLOOKUP($P471&amp;" | "&amp;DF$6,'Job Master'!$F$12:$I$102,4,0)&lt;&gt;""),IF(WEEKDAY(DO471-VLOOKUP($P471&amp;" | "&amp;DF$6,'Job Master'!$F$12:$I$102,4,0))&lt;&gt;7,DO471-VLOOKUP($P471&amp;" | "&amp;DF$6,'Job Master'!$F$12:$I$102,4,0),DO471-VLOOKUP($P471&amp;" | "&amp;DF$6,'Job Master'!$F$12:$I$102,4,0)-1),""),"")</f>
        <v/>
      </c>
      <c r="DI471" s="73"/>
      <c r="DJ471" s="123" t="str">
        <f t="shared" si="931"/>
        <v/>
      </c>
      <c r="DK471" s="123" t="str">
        <f t="shared" si="932"/>
        <v/>
      </c>
      <c r="DL471" s="97" t="str">
        <f t="shared" ca="1" si="933"/>
        <v/>
      </c>
      <c r="DM471" s="98" t="str">
        <f>IF(DO471&lt;&gt;"",VLOOKUP($P471&amp;" | "&amp;DM$6,'Job Master'!$F$12:$J$102,5,0),"")</f>
        <v/>
      </c>
      <c r="DN471" s="19" t="str">
        <f>IF(DO471&lt;&gt;"",VLOOKUP($P471&amp;" | "&amp;DM$6,'Job Master'!$F$12:$J$102,3,0),"")</f>
        <v/>
      </c>
      <c r="DO471" s="19" t="str">
        <f>IFERROR(IF(AND(DT471&lt;&gt;"",VLOOKUP($P471&amp;" | "&amp;DM$6,'Job Master'!$F$12:$I$102,4,0)&lt;&gt;""),IF(WEEKDAY(DT471-VLOOKUP($P471&amp;" | "&amp;DM$6,'Job Master'!$F$12:$I$102,4,0))&lt;&gt;7,DT471-VLOOKUP($P471&amp;" | "&amp;DM$6,'Job Master'!$F$12:$I$102,4,0),DT471-VLOOKUP($P471&amp;" | "&amp;DM$6,'Job Master'!$F$12:$I$102,4,0)-1),""),"")</f>
        <v/>
      </c>
      <c r="DP471" s="73"/>
      <c r="DQ471" s="123" t="str">
        <f t="shared" si="934"/>
        <v/>
      </c>
      <c r="DR471" s="123" t="str">
        <f t="shared" si="935"/>
        <v/>
      </c>
      <c r="DS471" s="97" t="str">
        <f t="shared" ca="1" si="936"/>
        <v/>
      </c>
      <c r="DT471" s="70" t="str">
        <f t="shared" si="937"/>
        <v/>
      </c>
      <c r="DU471" s="90"/>
      <c r="DV471" s="123" t="str">
        <f t="shared" si="938"/>
        <v/>
      </c>
      <c r="DW471" s="123" t="str">
        <f t="shared" si="939"/>
        <v/>
      </c>
      <c r="DX471" s="132" t="str">
        <f t="shared" ref="DX471" ca="1" si="961">IF(DT471&lt;&gt;"",IF(WEEKNUM(DT471)=WEEKNUM(TODAY()),"This Week",IF(WEEKNUM(DT471)=WEEKNUM(TODAY())+1,"Next Week",IF(WEEKNUM(DT471)=WEEKNUM(TODAY())-1,"Previous Week",""))),"")</f>
        <v/>
      </c>
      <c r="DY471" s="134" t="str">
        <f t="shared" si="941"/>
        <v/>
      </c>
      <c r="DZ471" s="95"/>
      <c r="EB471" s="8" t="str">
        <f t="shared" si="947"/>
        <v/>
      </c>
      <c r="EC471" s="8" t="str">
        <f>IF(O471&lt;&gt;"",VLOOKUP(O471,'Job Master'!$N$12:$O$18,2,0),"")</f>
        <v/>
      </c>
      <c r="ED471" s="8">
        <f t="shared" si="948"/>
        <v>19.5</v>
      </c>
      <c r="EE471" s="8">
        <f t="shared" si="949"/>
        <v>6</v>
      </c>
      <c r="EF471" s="8">
        <f t="shared" si="950"/>
        <v>-2746.5</v>
      </c>
      <c r="EG471" s="8" t="str">
        <f t="shared" si="951"/>
        <v/>
      </c>
      <c r="EH471" s="8" t="str">
        <f t="shared" si="952"/>
        <v/>
      </c>
    </row>
    <row r="472" spans="2:138" x14ac:dyDescent="0.3">
      <c r="B472" s="112"/>
      <c r="C472" s="27"/>
      <c r="D472" s="7" t="str">
        <f t="shared" si="891"/>
        <v/>
      </c>
      <c r="E472" s="25"/>
      <c r="F472" s="7" t="str">
        <f t="shared" si="891"/>
        <v/>
      </c>
      <c r="G472" s="25"/>
      <c r="H472" s="7" t="str">
        <f t="shared" si="891"/>
        <v/>
      </c>
      <c r="I472" s="25"/>
      <c r="J472" s="7" t="str">
        <f t="shared" si="891"/>
        <v/>
      </c>
      <c r="K472" s="25"/>
      <c r="L472" s="7" t="str">
        <f t="shared" si="891"/>
        <v/>
      </c>
      <c r="M472" s="25"/>
      <c r="N472" s="7" t="str">
        <f t="shared" si="891"/>
        <v/>
      </c>
      <c r="O472" s="81"/>
      <c r="P472" s="81" t="str">
        <f t="shared" si="892"/>
        <v/>
      </c>
      <c r="Q472" s="81"/>
      <c r="R472" s="7" t="str">
        <f t="shared" si="893"/>
        <v/>
      </c>
      <c r="S472" s="25"/>
      <c r="T472" s="7" t="str">
        <f t="shared" si="894"/>
        <v/>
      </c>
      <c r="U472" s="25"/>
      <c r="V472" s="7" t="str">
        <f t="shared" si="895"/>
        <v/>
      </c>
      <c r="W472" s="25"/>
      <c r="X472" s="7" t="str">
        <f t="shared" si="896"/>
        <v/>
      </c>
      <c r="Y472" s="18" t="str">
        <f t="shared" si="897"/>
        <v/>
      </c>
      <c r="Z472" s="7" t="str">
        <f t="shared" si="898"/>
        <v/>
      </c>
      <c r="AA472" s="18" t="str">
        <f t="shared" si="899"/>
        <v/>
      </c>
      <c r="AB472" s="19" t="str">
        <f t="shared" si="900"/>
        <v/>
      </c>
      <c r="AC472" s="26"/>
      <c r="AD472" s="26"/>
      <c r="AE472" s="25"/>
      <c r="AF472" s="26"/>
      <c r="AG472" s="25"/>
      <c r="AH472" s="25"/>
      <c r="AI472" s="18" t="str">
        <f t="shared" si="839"/>
        <v/>
      </c>
      <c r="AJ472" s="25"/>
      <c r="AK472" s="18" t="str">
        <f t="shared" si="840"/>
        <v/>
      </c>
      <c r="AL472" s="79"/>
      <c r="AM472" s="126" t="str">
        <f t="shared" si="841"/>
        <v/>
      </c>
      <c r="AN472" s="128" t="str">
        <f>IF(AP472&lt;&gt;"",VLOOKUP($P472&amp;" | "&amp;AN$6,'Job Master'!$F$12:$J$102,5,0),"")</f>
        <v/>
      </c>
      <c r="AO472" s="19" t="str">
        <f>IF(AP472&lt;&gt;"",VLOOKUP($P472&amp;" | "&amp;AN$6,'Job Master'!$F$12:$J$102,3,0),"")</f>
        <v/>
      </c>
      <c r="AP472" s="19" t="str">
        <f>IFERROR(IF(AND(AW472&lt;&gt;"",VLOOKUP($P472&amp;" | "&amp;AN$6,'Job Master'!$F$12:$I$102,4,0)&lt;&gt;""),IF(WEEKDAY(AW472-VLOOKUP($P472&amp;" | "&amp;AN$6,'Job Master'!$F$12:$I$102,4,0))&lt;&gt;7,AW472-VLOOKUP($P472&amp;" | "&amp;AN$6,'Job Master'!$F$12:$I$102,4,0),AW472-VLOOKUP($P472&amp;" | "&amp;AN$6,'Job Master'!$F$12:$I$102,4,0)-1),""),"")</f>
        <v/>
      </c>
      <c r="AQ472" s="73"/>
      <c r="AR472" s="123" t="str">
        <f t="shared" si="901"/>
        <v/>
      </c>
      <c r="AS472" s="123" t="str">
        <f t="shared" si="902"/>
        <v/>
      </c>
      <c r="AT472" s="97" t="str">
        <f t="shared" ca="1" si="903"/>
        <v/>
      </c>
      <c r="AU472" s="98" t="str">
        <f>IF(AW472&lt;&gt;"",VLOOKUP($P472&amp;" | "&amp;AU$6,'Job Master'!$F$12:$J$102,5,0),"")</f>
        <v/>
      </c>
      <c r="AV472" s="19" t="str">
        <f>IF(AW472&lt;&gt;"",VLOOKUP($P472&amp;" | "&amp;AU$6,'Job Master'!$F$12:$J$102,3,0),"")</f>
        <v/>
      </c>
      <c r="AW472" s="19" t="str">
        <f>IFERROR(IF(AND(BD472&lt;&gt;"",VLOOKUP($P472&amp;" | "&amp;AU$6,'Job Master'!$F$12:$I$102,4,0)&lt;&gt;""),IF(WEEKDAY(BD472-VLOOKUP($P472&amp;" | "&amp;AU$6,'Job Master'!$F$12:$I$102,4,0))&lt;&gt;7,BD472-VLOOKUP($P472&amp;" | "&amp;AU$6,'Job Master'!$F$12:$I$102,4,0),BD472-VLOOKUP($P472&amp;" | "&amp;AU$6,'Job Master'!$F$12:$I$102,4,0)-1),""),"")</f>
        <v/>
      </c>
      <c r="AX472" s="73"/>
      <c r="AY472" s="123" t="str">
        <f t="shared" si="904"/>
        <v/>
      </c>
      <c r="AZ472" s="123" t="str">
        <f t="shared" si="905"/>
        <v/>
      </c>
      <c r="BA472" s="97" t="str">
        <f t="shared" ca="1" si="906"/>
        <v/>
      </c>
      <c r="BB472" s="98" t="str">
        <f>IF(BD472&lt;&gt;"",VLOOKUP($P472&amp;" | "&amp;BB$6,'Job Master'!$F$12:$J$102,5,0),"")</f>
        <v/>
      </c>
      <c r="BC472" s="19" t="str">
        <f>IF(BD472&lt;&gt;"",VLOOKUP($P472&amp;" | "&amp;BB$6,'Job Master'!$F$12:$J$102,3,0),"")</f>
        <v/>
      </c>
      <c r="BD472" s="19" t="str">
        <f>IFERROR(IF(AND(BK472&lt;&gt;"",VLOOKUP($P472&amp;" | "&amp;BB$6,'Job Master'!$F$12:$I$102,4,0)&lt;&gt;""),IF(WEEKDAY(BK472-VLOOKUP($P472&amp;" | "&amp;BB$6,'Job Master'!$F$12:$I$102,4,0))&lt;&gt;7,BK472-VLOOKUP($P472&amp;" | "&amp;BB$6,'Job Master'!$F$12:$I$102,4,0),BK472-VLOOKUP($P472&amp;" | "&amp;BB$6,'Job Master'!$F$12:$I$102,4,0)-1),""),"")</f>
        <v/>
      </c>
      <c r="BE472" s="73"/>
      <c r="BF472" s="123" t="str">
        <f t="shared" si="907"/>
        <v/>
      </c>
      <c r="BG472" s="123" t="str">
        <f t="shared" si="908"/>
        <v/>
      </c>
      <c r="BH472" s="97" t="str">
        <f t="shared" ca="1" si="909"/>
        <v/>
      </c>
      <c r="BI472" s="98" t="str">
        <f>IF(BK472&lt;&gt;"",VLOOKUP($P472&amp;" | "&amp;BI$6,'Job Master'!$F$12:$J$102,5,0),"")</f>
        <v/>
      </c>
      <c r="BJ472" s="19" t="str">
        <f>IF(BK472&lt;&gt;"",VLOOKUP($P472&amp;" | "&amp;BI$6,'Job Master'!$F$12:$J$102,3,0),"")</f>
        <v/>
      </c>
      <c r="BK472" s="19" t="str">
        <f>IFERROR(IF(AND(BR472&lt;&gt;"",VLOOKUP($P472&amp;" | "&amp;BI$6,'Job Master'!$F$12:$I$102,4,0)&lt;&gt;""),IF(WEEKDAY(BR472-VLOOKUP($P472&amp;" | "&amp;BI$6,'Job Master'!$F$12:$I$102,4,0))&lt;&gt;7,BR472-VLOOKUP($P472&amp;" | "&amp;BI$6,'Job Master'!$F$12:$I$102,4,0),BR472-VLOOKUP($P472&amp;" | "&amp;BI$6,'Job Master'!$F$12:$I$102,4,0)-1),""),"")</f>
        <v/>
      </c>
      <c r="BL472" s="73"/>
      <c r="BM472" s="123" t="str">
        <f t="shared" si="910"/>
        <v/>
      </c>
      <c r="BN472" s="123" t="str">
        <f t="shared" si="911"/>
        <v/>
      </c>
      <c r="BO472" s="97" t="str">
        <f t="shared" ca="1" si="912"/>
        <v/>
      </c>
      <c r="BP472" s="98" t="str">
        <f>IF(BR472&lt;&gt;"",VLOOKUP($P472&amp;" | "&amp;BP$6,'Job Master'!$F$12:$J$102,5,0),"")</f>
        <v/>
      </c>
      <c r="BQ472" s="19" t="str">
        <f>IF(BR472&lt;&gt;"",VLOOKUP($P472&amp;" | "&amp;BP$6,'Job Master'!$F$12:$J$102,3,0),"")</f>
        <v/>
      </c>
      <c r="BR472" s="19" t="str">
        <f>IFERROR(IF(AND(BY472&lt;&gt;"",VLOOKUP($P472&amp;" | "&amp;BP$6,'Job Master'!$F$12:$I$102,4,0)&lt;&gt;""),IF(WEEKDAY(BY472-VLOOKUP($P472&amp;" | "&amp;BP$6,'Job Master'!$F$12:$I$102,4,0))&lt;&gt;7,BY472-VLOOKUP($P472&amp;" | "&amp;BP$6,'Job Master'!$F$12:$I$102,4,0),BY472-VLOOKUP($P472&amp;" | "&amp;BP$6,'Job Master'!$F$12:$I$102,4,0)-1),""),"")</f>
        <v/>
      </c>
      <c r="BS472" s="73"/>
      <c r="BT472" s="123" t="str">
        <f t="shared" si="913"/>
        <v/>
      </c>
      <c r="BU472" s="123" t="str">
        <f t="shared" si="914"/>
        <v/>
      </c>
      <c r="BV472" s="97" t="str">
        <f t="shared" ca="1" si="915"/>
        <v/>
      </c>
      <c r="BW472" s="98" t="str">
        <f>IF(BY472&lt;&gt;"",VLOOKUP($P472&amp;" | "&amp;BW$6,'Job Master'!$F$12:$J$102,5,0),"")</f>
        <v/>
      </c>
      <c r="BX472" s="19" t="str">
        <f>IF(BY472&lt;&gt;"",VLOOKUP($P472&amp;" | "&amp;BW$6,'Job Master'!$F$12:$J$102,3,0),"")</f>
        <v/>
      </c>
      <c r="BY472" s="19" t="str">
        <f>IFERROR(IF(AND(CF472&lt;&gt;"",VLOOKUP($P472&amp;" | "&amp;BW$6,'Job Master'!$F$12:$I$102,4,0)&lt;&gt;""),IF(WEEKDAY(CF472-VLOOKUP($P472&amp;" | "&amp;BW$6,'Job Master'!$F$12:$I$102,4,0))&lt;&gt;7,CF472-VLOOKUP($P472&amp;" | "&amp;BW$6,'Job Master'!$F$12:$I$102,4,0),CF472-VLOOKUP($P472&amp;" | "&amp;BW$6,'Job Master'!$F$12:$I$102,4,0)-1),""),"")</f>
        <v/>
      </c>
      <c r="BZ472" s="73"/>
      <c r="CA472" s="123" t="str">
        <f t="shared" si="916"/>
        <v/>
      </c>
      <c r="CB472" s="123" t="str">
        <f t="shared" si="917"/>
        <v/>
      </c>
      <c r="CC472" s="97" t="str">
        <f t="shared" ca="1" si="918"/>
        <v/>
      </c>
      <c r="CD472" s="98" t="str">
        <f>IF(CF472&lt;&gt;"",VLOOKUP($P472&amp;" | "&amp;CD$6,'Job Master'!$F$12:$J$102,5,0),"")</f>
        <v/>
      </c>
      <c r="CE472" s="19" t="str">
        <f>IF(CF472&lt;&gt;"",VLOOKUP($P472&amp;" | "&amp;CD$6,'Job Master'!$F$12:$J$102,3,0),"")</f>
        <v/>
      </c>
      <c r="CF472" s="19" t="str">
        <f>IFERROR(IF(AND(CM472&lt;&gt;"",VLOOKUP($P472&amp;" | "&amp;CD$6,'Job Master'!$F$12:$I$102,4,0)&lt;&gt;""),IF(WEEKDAY(CM472-VLOOKUP($P472&amp;" | "&amp;CD$6,'Job Master'!$F$12:$I$102,4,0))&lt;&gt;7,CM472-VLOOKUP($P472&amp;" | "&amp;CD$6,'Job Master'!$F$12:$I$102,4,0),CM472-VLOOKUP($P472&amp;" | "&amp;CD$6,'Job Master'!$F$12:$I$102,4,0)-1),""),"")</f>
        <v/>
      </c>
      <c r="CG472" s="73"/>
      <c r="CH472" s="123" t="str">
        <f t="shared" si="919"/>
        <v/>
      </c>
      <c r="CI472" s="123" t="str">
        <f t="shared" si="920"/>
        <v/>
      </c>
      <c r="CJ472" s="97" t="str">
        <f t="shared" ca="1" si="921"/>
        <v/>
      </c>
      <c r="CK472" s="98" t="str">
        <f>IF(CM472&lt;&gt;"",VLOOKUP($P472&amp;" | "&amp;CK$6,'Job Master'!$F$12:$J$102,5,0),"")</f>
        <v/>
      </c>
      <c r="CL472" s="19" t="str">
        <f>IF(CM472&lt;&gt;"",VLOOKUP($P472&amp;" | "&amp;CK$6,'Job Master'!$F$12:$J$102,3,0),"")</f>
        <v/>
      </c>
      <c r="CM472" s="19" t="str">
        <f>IFERROR(IF(AND(CT472&lt;&gt;"",VLOOKUP($P472&amp;" | "&amp;CK$6,'Job Master'!$F$12:$I$102,4,0)&lt;&gt;""),IF(WEEKDAY(CT472-VLOOKUP($P472&amp;" | "&amp;CK$6,'Job Master'!$F$12:$I$102,4,0))&lt;&gt;7,CT472-VLOOKUP($P472&amp;" | "&amp;CK$6,'Job Master'!$F$12:$I$102,4,0),CT472-VLOOKUP($P472&amp;" | "&amp;CK$6,'Job Master'!$F$12:$I$102,4,0)-1),""),"")</f>
        <v/>
      </c>
      <c r="CN472" s="73"/>
      <c r="CO472" s="123" t="str">
        <f t="shared" si="922"/>
        <v/>
      </c>
      <c r="CP472" s="123" t="str">
        <f t="shared" si="923"/>
        <v/>
      </c>
      <c r="CQ472" s="97" t="str">
        <f t="shared" ca="1" si="924"/>
        <v/>
      </c>
      <c r="CR472" s="98" t="str">
        <f>IF(CT472&lt;&gt;"",VLOOKUP($P472&amp;" | "&amp;CR$6,'Job Master'!$F$12:$J$102,5,0),"")</f>
        <v/>
      </c>
      <c r="CS472" s="19" t="str">
        <f>IF(CT472&lt;&gt;"",VLOOKUP($P472&amp;" | "&amp;CR$6,'Job Master'!$F$12:$J$102,3,0),"")</f>
        <v/>
      </c>
      <c r="CT472" s="19" t="str">
        <f>IFERROR(IF(AND(DA472&lt;&gt;"",VLOOKUP($P472&amp;" | "&amp;CR$6,'Job Master'!$F$12:$I$102,4,0)&lt;&gt;""),IF(WEEKDAY(DA472-VLOOKUP($P472&amp;" | "&amp;CR$6,'Job Master'!$F$12:$I$102,4,0))&lt;&gt;7,DA472-VLOOKUP($P472&amp;" | "&amp;CR$6,'Job Master'!$F$12:$I$102,4,0),DA472-VLOOKUP($P472&amp;" | "&amp;CR$6,'Job Master'!$F$12:$I$102,4,0)-1),""),"")</f>
        <v/>
      </c>
      <c r="CU472" s="73"/>
      <c r="CV472" s="123" t="str">
        <f t="shared" si="925"/>
        <v/>
      </c>
      <c r="CW472" s="123" t="str">
        <f t="shared" si="926"/>
        <v/>
      </c>
      <c r="CX472" s="97" t="str">
        <f t="shared" ca="1" si="927"/>
        <v/>
      </c>
      <c r="CY472" s="98" t="str">
        <f>IF(DA472&lt;&gt;"",VLOOKUP($P472&amp;" | "&amp;CY$6,'Job Master'!$F$12:$J$102,5,0),"")</f>
        <v/>
      </c>
      <c r="CZ472" s="19" t="str">
        <f>IF(DA472&lt;&gt;"",VLOOKUP($P472&amp;" | "&amp;CY$6,'Job Master'!$F$12:$J$102,3,0),"")</f>
        <v/>
      </c>
      <c r="DA472" s="19" t="str">
        <f>IFERROR(IF(AND(DH472&lt;&gt;"",VLOOKUP($P472&amp;" | "&amp;CY$6,'Job Master'!$F$12:$I$102,4,0)&lt;&gt;""),IF(WEEKDAY(DH472-VLOOKUP($P472&amp;" | "&amp;CY$6,'Job Master'!$F$12:$I$102,4,0))&lt;&gt;7,DH472-VLOOKUP($P472&amp;" | "&amp;CY$6,'Job Master'!$F$12:$I$102,4,0),DH472-VLOOKUP($P472&amp;" | "&amp;CY$6,'Job Master'!$F$12:$I$102,4,0)-1),""),"")</f>
        <v/>
      </c>
      <c r="DB472" s="73"/>
      <c r="DC472" s="123" t="str">
        <f t="shared" si="928"/>
        <v/>
      </c>
      <c r="DD472" s="123" t="str">
        <f t="shared" si="929"/>
        <v/>
      </c>
      <c r="DE472" s="97" t="str">
        <f t="shared" ca="1" si="930"/>
        <v/>
      </c>
      <c r="DF472" s="98" t="str">
        <f>IF(DH472&lt;&gt;"",VLOOKUP($P472&amp;" | "&amp;DF$6,'Job Master'!$F$12:$J$102,5,0),"")</f>
        <v/>
      </c>
      <c r="DG472" s="19" t="str">
        <f>IF(DH472&lt;&gt;"",VLOOKUP($P472&amp;" | "&amp;DF$6,'Job Master'!$F$12:$J$102,3,0),"")</f>
        <v/>
      </c>
      <c r="DH472" s="19" t="str">
        <f>IFERROR(IF(AND(DO472&lt;&gt;"",VLOOKUP($P472&amp;" | "&amp;DF$6,'Job Master'!$F$12:$I$102,4,0)&lt;&gt;""),IF(WEEKDAY(DO472-VLOOKUP($P472&amp;" | "&amp;DF$6,'Job Master'!$F$12:$I$102,4,0))&lt;&gt;7,DO472-VLOOKUP($P472&amp;" | "&amp;DF$6,'Job Master'!$F$12:$I$102,4,0),DO472-VLOOKUP($P472&amp;" | "&amp;DF$6,'Job Master'!$F$12:$I$102,4,0)-1),""),"")</f>
        <v/>
      </c>
      <c r="DI472" s="73"/>
      <c r="DJ472" s="123" t="str">
        <f t="shared" si="931"/>
        <v/>
      </c>
      <c r="DK472" s="123" t="str">
        <f t="shared" si="932"/>
        <v/>
      </c>
      <c r="DL472" s="97" t="str">
        <f t="shared" ca="1" si="933"/>
        <v/>
      </c>
      <c r="DM472" s="98" t="str">
        <f>IF(DO472&lt;&gt;"",VLOOKUP($P472&amp;" | "&amp;DM$6,'Job Master'!$F$12:$J$102,5,0),"")</f>
        <v/>
      </c>
      <c r="DN472" s="19" t="str">
        <f>IF(DO472&lt;&gt;"",VLOOKUP($P472&amp;" | "&amp;DM$6,'Job Master'!$F$12:$J$102,3,0),"")</f>
        <v/>
      </c>
      <c r="DO472" s="19" t="str">
        <f>IFERROR(IF(AND(DT472&lt;&gt;"",VLOOKUP($P472&amp;" | "&amp;DM$6,'Job Master'!$F$12:$I$102,4,0)&lt;&gt;""),IF(WEEKDAY(DT472-VLOOKUP($P472&amp;" | "&amp;DM$6,'Job Master'!$F$12:$I$102,4,0))&lt;&gt;7,DT472-VLOOKUP($P472&amp;" | "&amp;DM$6,'Job Master'!$F$12:$I$102,4,0),DT472-VLOOKUP($P472&amp;" | "&amp;DM$6,'Job Master'!$F$12:$I$102,4,0)-1),""),"")</f>
        <v/>
      </c>
      <c r="DP472" s="73"/>
      <c r="DQ472" s="123" t="str">
        <f t="shared" si="934"/>
        <v/>
      </c>
      <c r="DR472" s="123" t="str">
        <f t="shared" si="935"/>
        <v/>
      </c>
      <c r="DS472" s="97" t="str">
        <f t="shared" ca="1" si="936"/>
        <v/>
      </c>
      <c r="DT472" s="70" t="str">
        <f t="shared" si="937"/>
        <v/>
      </c>
      <c r="DU472" s="90"/>
      <c r="DV472" s="123" t="str">
        <f t="shared" si="938"/>
        <v/>
      </c>
      <c r="DW472" s="123" t="str">
        <f t="shared" si="939"/>
        <v/>
      </c>
      <c r="DX472" s="132" t="str">
        <f t="shared" ref="DX472" ca="1" si="962">IF(DT472&lt;&gt;"",IF(WEEKNUM(DT472)=WEEKNUM(TODAY()),"This Week",IF(WEEKNUM(DT472)=WEEKNUM(TODAY())+1,"Next Week",IF(WEEKNUM(DT472)=WEEKNUM(TODAY())-1,"Previous Week",""))),"")</f>
        <v/>
      </c>
      <c r="DY472" s="134" t="str">
        <f t="shared" si="941"/>
        <v/>
      </c>
      <c r="DZ472" s="95"/>
      <c r="EB472" s="8" t="str">
        <f t="shared" si="947"/>
        <v/>
      </c>
      <c r="EC472" s="8" t="str">
        <f>IF(O472&lt;&gt;"",VLOOKUP(O472,'Job Master'!$N$12:$O$18,2,0),"")</f>
        <v/>
      </c>
      <c r="ED472" s="8">
        <f t="shared" si="948"/>
        <v>19.5</v>
      </c>
      <c r="EE472" s="8">
        <f t="shared" si="949"/>
        <v>6</v>
      </c>
      <c r="EF472" s="8">
        <f t="shared" si="950"/>
        <v>-2752.5</v>
      </c>
      <c r="EG472" s="8" t="str">
        <f t="shared" si="951"/>
        <v/>
      </c>
      <c r="EH472" s="8" t="str">
        <f t="shared" si="952"/>
        <v/>
      </c>
    </row>
    <row r="473" spans="2:138" x14ac:dyDescent="0.3">
      <c r="B473" s="112"/>
      <c r="C473" s="27"/>
      <c r="D473" s="7" t="str">
        <f t="shared" si="891"/>
        <v/>
      </c>
      <c r="E473" s="25"/>
      <c r="F473" s="7" t="str">
        <f t="shared" si="891"/>
        <v/>
      </c>
      <c r="G473" s="25"/>
      <c r="H473" s="7" t="str">
        <f t="shared" si="891"/>
        <v/>
      </c>
      <c r="I473" s="25"/>
      <c r="J473" s="7" t="str">
        <f t="shared" si="891"/>
        <v/>
      </c>
      <c r="K473" s="25"/>
      <c r="L473" s="7" t="str">
        <f t="shared" si="891"/>
        <v/>
      </c>
      <c r="M473" s="25"/>
      <c r="N473" s="7" t="str">
        <f t="shared" si="891"/>
        <v/>
      </c>
      <c r="O473" s="81"/>
      <c r="P473" s="81" t="str">
        <f t="shared" si="892"/>
        <v/>
      </c>
      <c r="Q473" s="81"/>
      <c r="R473" s="7" t="str">
        <f t="shared" si="893"/>
        <v/>
      </c>
      <c r="S473" s="25"/>
      <c r="T473" s="7" t="str">
        <f t="shared" si="894"/>
        <v/>
      </c>
      <c r="U473" s="25"/>
      <c r="V473" s="7" t="str">
        <f t="shared" si="895"/>
        <v/>
      </c>
      <c r="W473" s="25"/>
      <c r="X473" s="7" t="str">
        <f t="shared" si="896"/>
        <v/>
      </c>
      <c r="Y473" s="18" t="str">
        <f t="shared" si="897"/>
        <v/>
      </c>
      <c r="Z473" s="7" t="str">
        <f t="shared" si="898"/>
        <v/>
      </c>
      <c r="AA473" s="18" t="str">
        <f t="shared" si="899"/>
        <v/>
      </c>
      <c r="AB473" s="19" t="str">
        <f t="shared" si="900"/>
        <v/>
      </c>
      <c r="AC473" s="26"/>
      <c r="AD473" s="26"/>
      <c r="AE473" s="25"/>
      <c r="AF473" s="26"/>
      <c r="AG473" s="25"/>
      <c r="AH473" s="25"/>
      <c r="AI473" s="18" t="str">
        <f t="shared" ref="AI473:AI500" si="963">IF(IF(AH473&lt;&gt;"",AH473,IF($AA473&lt;&gt;"",AI472,""))&lt;&gt;0,IF(AH473&lt;&gt;"",AH473,IF($AA473&lt;&gt;"",AI472,"")),"")</f>
        <v/>
      </c>
      <c r="AJ473" s="25"/>
      <c r="AK473" s="18" t="str">
        <f t="shared" ref="AK473:AK500" si="964">IF(IF(AJ473&lt;&gt;"",AJ473,IF($AA473&lt;&gt;"",AK472,""))&lt;&gt;0,IF(AJ473&lt;&gt;"",AJ473,IF($AA473&lt;&gt;"",AK472,"")),"")</f>
        <v/>
      </c>
      <c r="AL473" s="79"/>
      <c r="AM473" s="126" t="str">
        <f t="shared" ref="AM473:AM500" si="965">IF(IF(AL473&lt;&gt;"",AL473,IF($AA473&lt;&gt;"",AM472,""))&lt;&gt;0,IF(AL473&lt;&gt;"",AL473,IF($AA473&lt;&gt;"",AM472,"")),"")</f>
        <v/>
      </c>
      <c r="AN473" s="128" t="str">
        <f>IF(AP473&lt;&gt;"",VLOOKUP($P473&amp;" | "&amp;AN$6,'Job Master'!$F$12:$J$102,5,0),"")</f>
        <v/>
      </c>
      <c r="AO473" s="19" t="str">
        <f>IF(AP473&lt;&gt;"",VLOOKUP($P473&amp;" | "&amp;AN$6,'Job Master'!$F$12:$J$102,3,0),"")</f>
        <v/>
      </c>
      <c r="AP473" s="19" t="str">
        <f>IFERROR(IF(AND(AW473&lt;&gt;"",VLOOKUP($P473&amp;" | "&amp;AN$6,'Job Master'!$F$12:$I$102,4,0)&lt;&gt;""),IF(WEEKDAY(AW473-VLOOKUP($P473&amp;" | "&amp;AN$6,'Job Master'!$F$12:$I$102,4,0))&lt;&gt;7,AW473-VLOOKUP($P473&amp;" | "&amp;AN$6,'Job Master'!$F$12:$I$102,4,0),AW473-VLOOKUP($P473&amp;" | "&amp;AN$6,'Job Master'!$F$12:$I$102,4,0)-1),""),"")</f>
        <v/>
      </c>
      <c r="AQ473" s="73"/>
      <c r="AR473" s="123" t="str">
        <f t="shared" si="901"/>
        <v/>
      </c>
      <c r="AS473" s="123" t="str">
        <f t="shared" si="902"/>
        <v/>
      </c>
      <c r="AT473" s="97" t="str">
        <f t="shared" ca="1" si="903"/>
        <v/>
      </c>
      <c r="AU473" s="98" t="str">
        <f>IF(AW473&lt;&gt;"",VLOOKUP($P473&amp;" | "&amp;AU$6,'Job Master'!$F$12:$J$102,5,0),"")</f>
        <v/>
      </c>
      <c r="AV473" s="19" t="str">
        <f>IF(AW473&lt;&gt;"",VLOOKUP($P473&amp;" | "&amp;AU$6,'Job Master'!$F$12:$J$102,3,0),"")</f>
        <v/>
      </c>
      <c r="AW473" s="19" t="str">
        <f>IFERROR(IF(AND(BD473&lt;&gt;"",VLOOKUP($P473&amp;" | "&amp;AU$6,'Job Master'!$F$12:$I$102,4,0)&lt;&gt;""),IF(WEEKDAY(BD473-VLOOKUP($P473&amp;" | "&amp;AU$6,'Job Master'!$F$12:$I$102,4,0))&lt;&gt;7,BD473-VLOOKUP($P473&amp;" | "&amp;AU$6,'Job Master'!$F$12:$I$102,4,0),BD473-VLOOKUP($P473&amp;" | "&amp;AU$6,'Job Master'!$F$12:$I$102,4,0)-1),""),"")</f>
        <v/>
      </c>
      <c r="AX473" s="73"/>
      <c r="AY473" s="123" t="str">
        <f t="shared" si="904"/>
        <v/>
      </c>
      <c r="AZ473" s="123" t="str">
        <f t="shared" si="905"/>
        <v/>
      </c>
      <c r="BA473" s="97" t="str">
        <f t="shared" ca="1" si="906"/>
        <v/>
      </c>
      <c r="BB473" s="98" t="str">
        <f>IF(BD473&lt;&gt;"",VLOOKUP($P473&amp;" | "&amp;BB$6,'Job Master'!$F$12:$J$102,5,0),"")</f>
        <v/>
      </c>
      <c r="BC473" s="19" t="str">
        <f>IF(BD473&lt;&gt;"",VLOOKUP($P473&amp;" | "&amp;BB$6,'Job Master'!$F$12:$J$102,3,0),"")</f>
        <v/>
      </c>
      <c r="BD473" s="19" t="str">
        <f>IFERROR(IF(AND(BK473&lt;&gt;"",VLOOKUP($P473&amp;" | "&amp;BB$6,'Job Master'!$F$12:$I$102,4,0)&lt;&gt;""),IF(WEEKDAY(BK473-VLOOKUP($P473&amp;" | "&amp;BB$6,'Job Master'!$F$12:$I$102,4,0))&lt;&gt;7,BK473-VLOOKUP($P473&amp;" | "&amp;BB$6,'Job Master'!$F$12:$I$102,4,0),BK473-VLOOKUP($P473&amp;" | "&amp;BB$6,'Job Master'!$F$12:$I$102,4,0)-1),""),"")</f>
        <v/>
      </c>
      <c r="BE473" s="73"/>
      <c r="BF473" s="123" t="str">
        <f t="shared" si="907"/>
        <v/>
      </c>
      <c r="BG473" s="123" t="str">
        <f t="shared" si="908"/>
        <v/>
      </c>
      <c r="BH473" s="97" t="str">
        <f t="shared" ca="1" si="909"/>
        <v/>
      </c>
      <c r="BI473" s="98" t="str">
        <f>IF(BK473&lt;&gt;"",VLOOKUP($P473&amp;" | "&amp;BI$6,'Job Master'!$F$12:$J$102,5,0),"")</f>
        <v/>
      </c>
      <c r="BJ473" s="19" t="str">
        <f>IF(BK473&lt;&gt;"",VLOOKUP($P473&amp;" | "&amp;BI$6,'Job Master'!$F$12:$J$102,3,0),"")</f>
        <v/>
      </c>
      <c r="BK473" s="19" t="str">
        <f>IFERROR(IF(AND(BR473&lt;&gt;"",VLOOKUP($P473&amp;" | "&amp;BI$6,'Job Master'!$F$12:$I$102,4,0)&lt;&gt;""),IF(WEEKDAY(BR473-VLOOKUP($P473&amp;" | "&amp;BI$6,'Job Master'!$F$12:$I$102,4,0))&lt;&gt;7,BR473-VLOOKUP($P473&amp;" | "&amp;BI$6,'Job Master'!$F$12:$I$102,4,0),BR473-VLOOKUP($P473&amp;" | "&amp;BI$6,'Job Master'!$F$12:$I$102,4,0)-1),""),"")</f>
        <v/>
      </c>
      <c r="BL473" s="73"/>
      <c r="BM473" s="123" t="str">
        <f t="shared" si="910"/>
        <v/>
      </c>
      <c r="BN473" s="123" t="str">
        <f t="shared" si="911"/>
        <v/>
      </c>
      <c r="BO473" s="97" t="str">
        <f t="shared" ca="1" si="912"/>
        <v/>
      </c>
      <c r="BP473" s="98" t="str">
        <f>IF(BR473&lt;&gt;"",VLOOKUP($P473&amp;" | "&amp;BP$6,'Job Master'!$F$12:$J$102,5,0),"")</f>
        <v/>
      </c>
      <c r="BQ473" s="19" t="str">
        <f>IF(BR473&lt;&gt;"",VLOOKUP($P473&amp;" | "&amp;BP$6,'Job Master'!$F$12:$J$102,3,0),"")</f>
        <v/>
      </c>
      <c r="BR473" s="19" t="str">
        <f>IFERROR(IF(AND(BY473&lt;&gt;"",VLOOKUP($P473&amp;" | "&amp;BP$6,'Job Master'!$F$12:$I$102,4,0)&lt;&gt;""),IF(WEEKDAY(BY473-VLOOKUP($P473&amp;" | "&amp;BP$6,'Job Master'!$F$12:$I$102,4,0))&lt;&gt;7,BY473-VLOOKUP($P473&amp;" | "&amp;BP$6,'Job Master'!$F$12:$I$102,4,0),BY473-VLOOKUP($P473&amp;" | "&amp;BP$6,'Job Master'!$F$12:$I$102,4,0)-1),""),"")</f>
        <v/>
      </c>
      <c r="BS473" s="73"/>
      <c r="BT473" s="123" t="str">
        <f t="shared" si="913"/>
        <v/>
      </c>
      <c r="BU473" s="123" t="str">
        <f t="shared" si="914"/>
        <v/>
      </c>
      <c r="BV473" s="97" t="str">
        <f t="shared" ca="1" si="915"/>
        <v/>
      </c>
      <c r="BW473" s="98" t="str">
        <f>IF(BY473&lt;&gt;"",VLOOKUP($P473&amp;" | "&amp;BW$6,'Job Master'!$F$12:$J$102,5,0),"")</f>
        <v/>
      </c>
      <c r="BX473" s="19" t="str">
        <f>IF(BY473&lt;&gt;"",VLOOKUP($P473&amp;" | "&amp;BW$6,'Job Master'!$F$12:$J$102,3,0),"")</f>
        <v/>
      </c>
      <c r="BY473" s="19" t="str">
        <f>IFERROR(IF(AND(CF473&lt;&gt;"",VLOOKUP($P473&amp;" | "&amp;BW$6,'Job Master'!$F$12:$I$102,4,0)&lt;&gt;""),IF(WEEKDAY(CF473-VLOOKUP($P473&amp;" | "&amp;BW$6,'Job Master'!$F$12:$I$102,4,0))&lt;&gt;7,CF473-VLOOKUP($P473&amp;" | "&amp;BW$6,'Job Master'!$F$12:$I$102,4,0),CF473-VLOOKUP($P473&amp;" | "&amp;BW$6,'Job Master'!$F$12:$I$102,4,0)-1),""),"")</f>
        <v/>
      </c>
      <c r="BZ473" s="73"/>
      <c r="CA473" s="123" t="str">
        <f t="shared" si="916"/>
        <v/>
      </c>
      <c r="CB473" s="123" t="str">
        <f t="shared" si="917"/>
        <v/>
      </c>
      <c r="CC473" s="97" t="str">
        <f t="shared" ca="1" si="918"/>
        <v/>
      </c>
      <c r="CD473" s="98" t="str">
        <f>IF(CF473&lt;&gt;"",VLOOKUP($P473&amp;" | "&amp;CD$6,'Job Master'!$F$12:$J$102,5,0),"")</f>
        <v/>
      </c>
      <c r="CE473" s="19" t="str">
        <f>IF(CF473&lt;&gt;"",VLOOKUP($P473&amp;" | "&amp;CD$6,'Job Master'!$F$12:$J$102,3,0),"")</f>
        <v/>
      </c>
      <c r="CF473" s="19" t="str">
        <f>IFERROR(IF(AND(CM473&lt;&gt;"",VLOOKUP($P473&amp;" | "&amp;CD$6,'Job Master'!$F$12:$I$102,4,0)&lt;&gt;""),IF(WEEKDAY(CM473-VLOOKUP($P473&amp;" | "&amp;CD$6,'Job Master'!$F$12:$I$102,4,0))&lt;&gt;7,CM473-VLOOKUP($P473&amp;" | "&amp;CD$6,'Job Master'!$F$12:$I$102,4,0),CM473-VLOOKUP($P473&amp;" | "&amp;CD$6,'Job Master'!$F$12:$I$102,4,0)-1),""),"")</f>
        <v/>
      </c>
      <c r="CG473" s="73"/>
      <c r="CH473" s="123" t="str">
        <f t="shared" si="919"/>
        <v/>
      </c>
      <c r="CI473" s="123" t="str">
        <f t="shared" si="920"/>
        <v/>
      </c>
      <c r="CJ473" s="97" t="str">
        <f t="shared" ca="1" si="921"/>
        <v/>
      </c>
      <c r="CK473" s="98" t="str">
        <f>IF(CM473&lt;&gt;"",VLOOKUP($P473&amp;" | "&amp;CK$6,'Job Master'!$F$12:$J$102,5,0),"")</f>
        <v/>
      </c>
      <c r="CL473" s="19" t="str">
        <f>IF(CM473&lt;&gt;"",VLOOKUP($P473&amp;" | "&amp;CK$6,'Job Master'!$F$12:$J$102,3,0),"")</f>
        <v/>
      </c>
      <c r="CM473" s="19" t="str">
        <f>IFERROR(IF(AND(CT473&lt;&gt;"",VLOOKUP($P473&amp;" | "&amp;CK$6,'Job Master'!$F$12:$I$102,4,0)&lt;&gt;""),IF(WEEKDAY(CT473-VLOOKUP($P473&amp;" | "&amp;CK$6,'Job Master'!$F$12:$I$102,4,0))&lt;&gt;7,CT473-VLOOKUP($P473&amp;" | "&amp;CK$6,'Job Master'!$F$12:$I$102,4,0),CT473-VLOOKUP($P473&amp;" | "&amp;CK$6,'Job Master'!$F$12:$I$102,4,0)-1),""),"")</f>
        <v/>
      </c>
      <c r="CN473" s="73"/>
      <c r="CO473" s="123" t="str">
        <f t="shared" si="922"/>
        <v/>
      </c>
      <c r="CP473" s="123" t="str">
        <f t="shared" si="923"/>
        <v/>
      </c>
      <c r="CQ473" s="97" t="str">
        <f t="shared" ca="1" si="924"/>
        <v/>
      </c>
      <c r="CR473" s="98" t="str">
        <f>IF(CT473&lt;&gt;"",VLOOKUP($P473&amp;" | "&amp;CR$6,'Job Master'!$F$12:$J$102,5,0),"")</f>
        <v/>
      </c>
      <c r="CS473" s="19" t="str">
        <f>IF(CT473&lt;&gt;"",VLOOKUP($P473&amp;" | "&amp;CR$6,'Job Master'!$F$12:$J$102,3,0),"")</f>
        <v/>
      </c>
      <c r="CT473" s="19" t="str">
        <f>IFERROR(IF(AND(DA473&lt;&gt;"",VLOOKUP($P473&amp;" | "&amp;CR$6,'Job Master'!$F$12:$I$102,4,0)&lt;&gt;""),IF(WEEKDAY(DA473-VLOOKUP($P473&amp;" | "&amp;CR$6,'Job Master'!$F$12:$I$102,4,0))&lt;&gt;7,DA473-VLOOKUP($P473&amp;" | "&amp;CR$6,'Job Master'!$F$12:$I$102,4,0),DA473-VLOOKUP($P473&amp;" | "&amp;CR$6,'Job Master'!$F$12:$I$102,4,0)-1),""),"")</f>
        <v/>
      </c>
      <c r="CU473" s="73"/>
      <c r="CV473" s="123" t="str">
        <f t="shared" si="925"/>
        <v/>
      </c>
      <c r="CW473" s="123" t="str">
        <f t="shared" si="926"/>
        <v/>
      </c>
      <c r="CX473" s="97" t="str">
        <f t="shared" ca="1" si="927"/>
        <v/>
      </c>
      <c r="CY473" s="98" t="str">
        <f>IF(DA473&lt;&gt;"",VLOOKUP($P473&amp;" | "&amp;CY$6,'Job Master'!$F$12:$J$102,5,0),"")</f>
        <v/>
      </c>
      <c r="CZ473" s="19" t="str">
        <f>IF(DA473&lt;&gt;"",VLOOKUP($P473&amp;" | "&amp;CY$6,'Job Master'!$F$12:$J$102,3,0),"")</f>
        <v/>
      </c>
      <c r="DA473" s="19" t="str">
        <f>IFERROR(IF(AND(DH473&lt;&gt;"",VLOOKUP($P473&amp;" | "&amp;CY$6,'Job Master'!$F$12:$I$102,4,0)&lt;&gt;""),IF(WEEKDAY(DH473-VLOOKUP($P473&amp;" | "&amp;CY$6,'Job Master'!$F$12:$I$102,4,0))&lt;&gt;7,DH473-VLOOKUP($P473&amp;" | "&amp;CY$6,'Job Master'!$F$12:$I$102,4,0),DH473-VLOOKUP($P473&amp;" | "&amp;CY$6,'Job Master'!$F$12:$I$102,4,0)-1),""),"")</f>
        <v/>
      </c>
      <c r="DB473" s="73"/>
      <c r="DC473" s="123" t="str">
        <f t="shared" si="928"/>
        <v/>
      </c>
      <c r="DD473" s="123" t="str">
        <f t="shared" si="929"/>
        <v/>
      </c>
      <c r="DE473" s="97" t="str">
        <f t="shared" ca="1" si="930"/>
        <v/>
      </c>
      <c r="DF473" s="98" t="str">
        <f>IF(DH473&lt;&gt;"",VLOOKUP($P473&amp;" | "&amp;DF$6,'Job Master'!$F$12:$J$102,5,0),"")</f>
        <v/>
      </c>
      <c r="DG473" s="19" t="str">
        <f>IF(DH473&lt;&gt;"",VLOOKUP($P473&amp;" | "&amp;DF$6,'Job Master'!$F$12:$J$102,3,0),"")</f>
        <v/>
      </c>
      <c r="DH473" s="19" t="str">
        <f>IFERROR(IF(AND(DO473&lt;&gt;"",VLOOKUP($P473&amp;" | "&amp;DF$6,'Job Master'!$F$12:$I$102,4,0)&lt;&gt;""),IF(WEEKDAY(DO473-VLOOKUP($P473&amp;" | "&amp;DF$6,'Job Master'!$F$12:$I$102,4,0))&lt;&gt;7,DO473-VLOOKUP($P473&amp;" | "&amp;DF$6,'Job Master'!$F$12:$I$102,4,0),DO473-VLOOKUP($P473&amp;" | "&amp;DF$6,'Job Master'!$F$12:$I$102,4,0)-1),""),"")</f>
        <v/>
      </c>
      <c r="DI473" s="73"/>
      <c r="DJ473" s="123" t="str">
        <f t="shared" si="931"/>
        <v/>
      </c>
      <c r="DK473" s="123" t="str">
        <f t="shared" si="932"/>
        <v/>
      </c>
      <c r="DL473" s="97" t="str">
        <f t="shared" ca="1" si="933"/>
        <v/>
      </c>
      <c r="DM473" s="98" t="str">
        <f>IF(DO473&lt;&gt;"",VLOOKUP($P473&amp;" | "&amp;DM$6,'Job Master'!$F$12:$J$102,5,0),"")</f>
        <v/>
      </c>
      <c r="DN473" s="19" t="str">
        <f>IF(DO473&lt;&gt;"",VLOOKUP($P473&amp;" | "&amp;DM$6,'Job Master'!$F$12:$J$102,3,0),"")</f>
        <v/>
      </c>
      <c r="DO473" s="19" t="str">
        <f>IFERROR(IF(AND(DT473&lt;&gt;"",VLOOKUP($P473&amp;" | "&amp;DM$6,'Job Master'!$F$12:$I$102,4,0)&lt;&gt;""),IF(WEEKDAY(DT473-VLOOKUP($P473&amp;" | "&amp;DM$6,'Job Master'!$F$12:$I$102,4,0))&lt;&gt;7,DT473-VLOOKUP($P473&amp;" | "&amp;DM$6,'Job Master'!$F$12:$I$102,4,0),DT473-VLOOKUP($P473&amp;" | "&amp;DM$6,'Job Master'!$F$12:$I$102,4,0)-1),""),"")</f>
        <v/>
      </c>
      <c r="DP473" s="73"/>
      <c r="DQ473" s="123" t="str">
        <f t="shared" si="934"/>
        <v/>
      </c>
      <c r="DR473" s="123" t="str">
        <f t="shared" si="935"/>
        <v/>
      </c>
      <c r="DS473" s="97" t="str">
        <f t="shared" ca="1" si="936"/>
        <v/>
      </c>
      <c r="DT473" s="70" t="str">
        <f t="shared" si="937"/>
        <v/>
      </c>
      <c r="DU473" s="90"/>
      <c r="DV473" s="123" t="str">
        <f t="shared" si="938"/>
        <v/>
      </c>
      <c r="DW473" s="123" t="str">
        <f t="shared" si="939"/>
        <v/>
      </c>
      <c r="DX473" s="132" t="str">
        <f t="shared" ref="DX473" ca="1" si="966">IF(DT473&lt;&gt;"",IF(WEEKNUM(DT473)=WEEKNUM(TODAY()),"This Week",IF(WEEKNUM(DT473)=WEEKNUM(TODAY())+1,"Next Week",IF(WEEKNUM(DT473)=WEEKNUM(TODAY())-1,"Previous Week",""))),"")</f>
        <v/>
      </c>
      <c r="DY473" s="134" t="str">
        <f t="shared" si="941"/>
        <v/>
      </c>
      <c r="DZ473" s="95"/>
      <c r="EB473" s="8" t="str">
        <f t="shared" si="947"/>
        <v/>
      </c>
      <c r="EC473" s="8" t="str">
        <f>IF(O473&lt;&gt;"",VLOOKUP(O473,'Job Master'!$N$12:$O$18,2,0),"")</f>
        <v/>
      </c>
      <c r="ED473" s="8">
        <f t="shared" si="948"/>
        <v>19.5</v>
      </c>
      <c r="EE473" s="8">
        <f t="shared" si="949"/>
        <v>6</v>
      </c>
      <c r="EF473" s="8">
        <f t="shared" si="950"/>
        <v>-2758.5</v>
      </c>
      <c r="EG473" s="8" t="str">
        <f t="shared" si="951"/>
        <v/>
      </c>
      <c r="EH473" s="8" t="str">
        <f t="shared" si="952"/>
        <v/>
      </c>
    </row>
    <row r="474" spans="2:138" x14ac:dyDescent="0.3">
      <c r="B474" s="112"/>
      <c r="C474" s="27"/>
      <c r="D474" s="7" t="str">
        <f t="shared" si="891"/>
        <v/>
      </c>
      <c r="E474" s="25"/>
      <c r="F474" s="7" t="str">
        <f t="shared" si="891"/>
        <v/>
      </c>
      <c r="G474" s="25"/>
      <c r="H474" s="7" t="str">
        <f t="shared" si="891"/>
        <v/>
      </c>
      <c r="I474" s="25"/>
      <c r="J474" s="7" t="str">
        <f t="shared" si="891"/>
        <v/>
      </c>
      <c r="K474" s="25"/>
      <c r="L474" s="7" t="str">
        <f t="shared" si="891"/>
        <v/>
      </c>
      <c r="M474" s="25"/>
      <c r="N474" s="7" t="str">
        <f t="shared" si="891"/>
        <v/>
      </c>
      <c r="O474" s="81"/>
      <c r="P474" s="81" t="str">
        <f t="shared" si="892"/>
        <v/>
      </c>
      <c r="Q474" s="81"/>
      <c r="R474" s="7" t="str">
        <f t="shared" si="893"/>
        <v/>
      </c>
      <c r="S474" s="25"/>
      <c r="T474" s="7" t="str">
        <f t="shared" si="894"/>
        <v/>
      </c>
      <c r="U474" s="25"/>
      <c r="V474" s="7" t="str">
        <f t="shared" si="895"/>
        <v/>
      </c>
      <c r="W474" s="25"/>
      <c r="X474" s="7" t="str">
        <f t="shared" si="896"/>
        <v/>
      </c>
      <c r="Y474" s="18" t="str">
        <f t="shared" si="897"/>
        <v/>
      </c>
      <c r="Z474" s="7" t="str">
        <f t="shared" si="898"/>
        <v/>
      </c>
      <c r="AA474" s="18" t="str">
        <f t="shared" si="899"/>
        <v/>
      </c>
      <c r="AB474" s="19" t="str">
        <f t="shared" si="900"/>
        <v/>
      </c>
      <c r="AC474" s="26"/>
      <c r="AD474" s="26"/>
      <c r="AE474" s="25"/>
      <c r="AF474" s="26"/>
      <c r="AG474" s="25"/>
      <c r="AH474" s="25"/>
      <c r="AI474" s="18" t="str">
        <f t="shared" si="963"/>
        <v/>
      </c>
      <c r="AJ474" s="25"/>
      <c r="AK474" s="18" t="str">
        <f t="shared" si="964"/>
        <v/>
      </c>
      <c r="AL474" s="79"/>
      <c r="AM474" s="126" t="str">
        <f t="shared" si="965"/>
        <v/>
      </c>
      <c r="AN474" s="128" t="str">
        <f>IF(AP474&lt;&gt;"",VLOOKUP($P474&amp;" | "&amp;AN$6,'Job Master'!$F$12:$J$102,5,0),"")</f>
        <v/>
      </c>
      <c r="AO474" s="19" t="str">
        <f>IF(AP474&lt;&gt;"",VLOOKUP($P474&amp;" | "&amp;AN$6,'Job Master'!$F$12:$J$102,3,0),"")</f>
        <v/>
      </c>
      <c r="AP474" s="19" t="str">
        <f>IFERROR(IF(AND(AW474&lt;&gt;"",VLOOKUP($P474&amp;" | "&amp;AN$6,'Job Master'!$F$12:$I$102,4,0)&lt;&gt;""),IF(WEEKDAY(AW474-VLOOKUP($P474&amp;" | "&amp;AN$6,'Job Master'!$F$12:$I$102,4,0))&lt;&gt;7,AW474-VLOOKUP($P474&amp;" | "&amp;AN$6,'Job Master'!$F$12:$I$102,4,0),AW474-VLOOKUP($P474&amp;" | "&amp;AN$6,'Job Master'!$F$12:$I$102,4,0)-1),""),"")</f>
        <v/>
      </c>
      <c r="AQ474" s="73"/>
      <c r="AR474" s="123" t="str">
        <f t="shared" si="901"/>
        <v/>
      </c>
      <c r="AS474" s="123" t="str">
        <f t="shared" si="902"/>
        <v/>
      </c>
      <c r="AT474" s="97" t="str">
        <f t="shared" ca="1" si="903"/>
        <v/>
      </c>
      <c r="AU474" s="98" t="str">
        <f>IF(AW474&lt;&gt;"",VLOOKUP($P474&amp;" | "&amp;AU$6,'Job Master'!$F$12:$J$102,5,0),"")</f>
        <v/>
      </c>
      <c r="AV474" s="19" t="str">
        <f>IF(AW474&lt;&gt;"",VLOOKUP($P474&amp;" | "&amp;AU$6,'Job Master'!$F$12:$J$102,3,0),"")</f>
        <v/>
      </c>
      <c r="AW474" s="19" t="str">
        <f>IFERROR(IF(AND(BD474&lt;&gt;"",VLOOKUP($P474&amp;" | "&amp;AU$6,'Job Master'!$F$12:$I$102,4,0)&lt;&gt;""),IF(WEEKDAY(BD474-VLOOKUP($P474&amp;" | "&amp;AU$6,'Job Master'!$F$12:$I$102,4,0))&lt;&gt;7,BD474-VLOOKUP($P474&amp;" | "&amp;AU$6,'Job Master'!$F$12:$I$102,4,0),BD474-VLOOKUP($P474&amp;" | "&amp;AU$6,'Job Master'!$F$12:$I$102,4,0)-1),""),"")</f>
        <v/>
      </c>
      <c r="AX474" s="73"/>
      <c r="AY474" s="123" t="str">
        <f t="shared" si="904"/>
        <v/>
      </c>
      <c r="AZ474" s="123" t="str">
        <f t="shared" si="905"/>
        <v/>
      </c>
      <c r="BA474" s="97" t="str">
        <f t="shared" ca="1" si="906"/>
        <v/>
      </c>
      <c r="BB474" s="98" t="str">
        <f>IF(BD474&lt;&gt;"",VLOOKUP($P474&amp;" | "&amp;BB$6,'Job Master'!$F$12:$J$102,5,0),"")</f>
        <v/>
      </c>
      <c r="BC474" s="19" t="str">
        <f>IF(BD474&lt;&gt;"",VLOOKUP($P474&amp;" | "&amp;BB$6,'Job Master'!$F$12:$J$102,3,0),"")</f>
        <v/>
      </c>
      <c r="BD474" s="19" t="str">
        <f>IFERROR(IF(AND(BK474&lt;&gt;"",VLOOKUP($P474&amp;" | "&amp;BB$6,'Job Master'!$F$12:$I$102,4,0)&lt;&gt;""),IF(WEEKDAY(BK474-VLOOKUP($P474&amp;" | "&amp;BB$6,'Job Master'!$F$12:$I$102,4,0))&lt;&gt;7,BK474-VLOOKUP($P474&amp;" | "&amp;BB$6,'Job Master'!$F$12:$I$102,4,0),BK474-VLOOKUP($P474&amp;" | "&amp;BB$6,'Job Master'!$F$12:$I$102,4,0)-1),""),"")</f>
        <v/>
      </c>
      <c r="BE474" s="73"/>
      <c r="BF474" s="123" t="str">
        <f t="shared" si="907"/>
        <v/>
      </c>
      <c r="BG474" s="123" t="str">
        <f t="shared" si="908"/>
        <v/>
      </c>
      <c r="BH474" s="97" t="str">
        <f t="shared" ca="1" si="909"/>
        <v/>
      </c>
      <c r="BI474" s="98" t="str">
        <f>IF(BK474&lt;&gt;"",VLOOKUP($P474&amp;" | "&amp;BI$6,'Job Master'!$F$12:$J$102,5,0),"")</f>
        <v/>
      </c>
      <c r="BJ474" s="19" t="str">
        <f>IF(BK474&lt;&gt;"",VLOOKUP($P474&amp;" | "&amp;BI$6,'Job Master'!$F$12:$J$102,3,0),"")</f>
        <v/>
      </c>
      <c r="BK474" s="19" t="str">
        <f>IFERROR(IF(AND(BR474&lt;&gt;"",VLOOKUP($P474&amp;" | "&amp;BI$6,'Job Master'!$F$12:$I$102,4,0)&lt;&gt;""),IF(WEEKDAY(BR474-VLOOKUP($P474&amp;" | "&amp;BI$6,'Job Master'!$F$12:$I$102,4,0))&lt;&gt;7,BR474-VLOOKUP($P474&amp;" | "&amp;BI$6,'Job Master'!$F$12:$I$102,4,0),BR474-VLOOKUP($P474&amp;" | "&amp;BI$6,'Job Master'!$F$12:$I$102,4,0)-1),""),"")</f>
        <v/>
      </c>
      <c r="BL474" s="73"/>
      <c r="BM474" s="123" t="str">
        <f t="shared" si="910"/>
        <v/>
      </c>
      <c r="BN474" s="123" t="str">
        <f t="shared" si="911"/>
        <v/>
      </c>
      <c r="BO474" s="97" t="str">
        <f t="shared" ca="1" si="912"/>
        <v/>
      </c>
      <c r="BP474" s="98" t="str">
        <f>IF(BR474&lt;&gt;"",VLOOKUP($P474&amp;" | "&amp;BP$6,'Job Master'!$F$12:$J$102,5,0),"")</f>
        <v/>
      </c>
      <c r="BQ474" s="19" t="str">
        <f>IF(BR474&lt;&gt;"",VLOOKUP($P474&amp;" | "&amp;BP$6,'Job Master'!$F$12:$J$102,3,0),"")</f>
        <v/>
      </c>
      <c r="BR474" s="19" t="str">
        <f>IFERROR(IF(AND(BY474&lt;&gt;"",VLOOKUP($P474&amp;" | "&amp;BP$6,'Job Master'!$F$12:$I$102,4,0)&lt;&gt;""),IF(WEEKDAY(BY474-VLOOKUP($P474&amp;" | "&amp;BP$6,'Job Master'!$F$12:$I$102,4,0))&lt;&gt;7,BY474-VLOOKUP($P474&amp;" | "&amp;BP$6,'Job Master'!$F$12:$I$102,4,0),BY474-VLOOKUP($P474&amp;" | "&amp;BP$6,'Job Master'!$F$12:$I$102,4,0)-1),""),"")</f>
        <v/>
      </c>
      <c r="BS474" s="73"/>
      <c r="BT474" s="123" t="str">
        <f t="shared" si="913"/>
        <v/>
      </c>
      <c r="BU474" s="123" t="str">
        <f t="shared" si="914"/>
        <v/>
      </c>
      <c r="BV474" s="97" t="str">
        <f t="shared" ca="1" si="915"/>
        <v/>
      </c>
      <c r="BW474" s="98" t="str">
        <f>IF(BY474&lt;&gt;"",VLOOKUP($P474&amp;" | "&amp;BW$6,'Job Master'!$F$12:$J$102,5,0),"")</f>
        <v/>
      </c>
      <c r="BX474" s="19" t="str">
        <f>IF(BY474&lt;&gt;"",VLOOKUP($P474&amp;" | "&amp;BW$6,'Job Master'!$F$12:$J$102,3,0),"")</f>
        <v/>
      </c>
      <c r="BY474" s="19" t="str">
        <f>IFERROR(IF(AND(CF474&lt;&gt;"",VLOOKUP($P474&amp;" | "&amp;BW$6,'Job Master'!$F$12:$I$102,4,0)&lt;&gt;""),IF(WEEKDAY(CF474-VLOOKUP($P474&amp;" | "&amp;BW$6,'Job Master'!$F$12:$I$102,4,0))&lt;&gt;7,CF474-VLOOKUP($P474&amp;" | "&amp;BW$6,'Job Master'!$F$12:$I$102,4,0),CF474-VLOOKUP($P474&amp;" | "&amp;BW$6,'Job Master'!$F$12:$I$102,4,0)-1),""),"")</f>
        <v/>
      </c>
      <c r="BZ474" s="73"/>
      <c r="CA474" s="123" t="str">
        <f t="shared" si="916"/>
        <v/>
      </c>
      <c r="CB474" s="123" t="str">
        <f t="shared" si="917"/>
        <v/>
      </c>
      <c r="CC474" s="97" t="str">
        <f t="shared" ca="1" si="918"/>
        <v/>
      </c>
      <c r="CD474" s="98" t="str">
        <f>IF(CF474&lt;&gt;"",VLOOKUP($P474&amp;" | "&amp;CD$6,'Job Master'!$F$12:$J$102,5,0),"")</f>
        <v/>
      </c>
      <c r="CE474" s="19" t="str">
        <f>IF(CF474&lt;&gt;"",VLOOKUP($P474&amp;" | "&amp;CD$6,'Job Master'!$F$12:$J$102,3,0),"")</f>
        <v/>
      </c>
      <c r="CF474" s="19" t="str">
        <f>IFERROR(IF(AND(CM474&lt;&gt;"",VLOOKUP($P474&amp;" | "&amp;CD$6,'Job Master'!$F$12:$I$102,4,0)&lt;&gt;""),IF(WEEKDAY(CM474-VLOOKUP($P474&amp;" | "&amp;CD$6,'Job Master'!$F$12:$I$102,4,0))&lt;&gt;7,CM474-VLOOKUP($P474&amp;" | "&amp;CD$6,'Job Master'!$F$12:$I$102,4,0),CM474-VLOOKUP($P474&amp;" | "&amp;CD$6,'Job Master'!$F$12:$I$102,4,0)-1),""),"")</f>
        <v/>
      </c>
      <c r="CG474" s="73"/>
      <c r="CH474" s="123" t="str">
        <f t="shared" si="919"/>
        <v/>
      </c>
      <c r="CI474" s="123" t="str">
        <f t="shared" si="920"/>
        <v/>
      </c>
      <c r="CJ474" s="97" t="str">
        <f t="shared" ca="1" si="921"/>
        <v/>
      </c>
      <c r="CK474" s="98" t="str">
        <f>IF(CM474&lt;&gt;"",VLOOKUP($P474&amp;" | "&amp;CK$6,'Job Master'!$F$12:$J$102,5,0),"")</f>
        <v/>
      </c>
      <c r="CL474" s="19" t="str">
        <f>IF(CM474&lt;&gt;"",VLOOKUP($P474&amp;" | "&amp;CK$6,'Job Master'!$F$12:$J$102,3,0),"")</f>
        <v/>
      </c>
      <c r="CM474" s="19" t="str">
        <f>IFERROR(IF(AND(CT474&lt;&gt;"",VLOOKUP($P474&amp;" | "&amp;CK$6,'Job Master'!$F$12:$I$102,4,0)&lt;&gt;""),IF(WEEKDAY(CT474-VLOOKUP($P474&amp;" | "&amp;CK$6,'Job Master'!$F$12:$I$102,4,0))&lt;&gt;7,CT474-VLOOKUP($P474&amp;" | "&amp;CK$6,'Job Master'!$F$12:$I$102,4,0),CT474-VLOOKUP($P474&amp;" | "&amp;CK$6,'Job Master'!$F$12:$I$102,4,0)-1),""),"")</f>
        <v/>
      </c>
      <c r="CN474" s="73"/>
      <c r="CO474" s="123" t="str">
        <f t="shared" si="922"/>
        <v/>
      </c>
      <c r="CP474" s="123" t="str">
        <f t="shared" si="923"/>
        <v/>
      </c>
      <c r="CQ474" s="97" t="str">
        <f t="shared" ca="1" si="924"/>
        <v/>
      </c>
      <c r="CR474" s="98" t="str">
        <f>IF(CT474&lt;&gt;"",VLOOKUP($P474&amp;" | "&amp;CR$6,'Job Master'!$F$12:$J$102,5,0),"")</f>
        <v/>
      </c>
      <c r="CS474" s="19" t="str">
        <f>IF(CT474&lt;&gt;"",VLOOKUP($P474&amp;" | "&amp;CR$6,'Job Master'!$F$12:$J$102,3,0),"")</f>
        <v/>
      </c>
      <c r="CT474" s="19" t="str">
        <f>IFERROR(IF(AND(DA474&lt;&gt;"",VLOOKUP($P474&amp;" | "&amp;CR$6,'Job Master'!$F$12:$I$102,4,0)&lt;&gt;""),IF(WEEKDAY(DA474-VLOOKUP($P474&amp;" | "&amp;CR$6,'Job Master'!$F$12:$I$102,4,0))&lt;&gt;7,DA474-VLOOKUP($P474&amp;" | "&amp;CR$6,'Job Master'!$F$12:$I$102,4,0),DA474-VLOOKUP($P474&amp;" | "&amp;CR$6,'Job Master'!$F$12:$I$102,4,0)-1),""),"")</f>
        <v/>
      </c>
      <c r="CU474" s="73"/>
      <c r="CV474" s="123" t="str">
        <f t="shared" si="925"/>
        <v/>
      </c>
      <c r="CW474" s="123" t="str">
        <f t="shared" si="926"/>
        <v/>
      </c>
      <c r="CX474" s="97" t="str">
        <f t="shared" ca="1" si="927"/>
        <v/>
      </c>
      <c r="CY474" s="98" t="str">
        <f>IF(DA474&lt;&gt;"",VLOOKUP($P474&amp;" | "&amp;CY$6,'Job Master'!$F$12:$J$102,5,0),"")</f>
        <v/>
      </c>
      <c r="CZ474" s="19" t="str">
        <f>IF(DA474&lt;&gt;"",VLOOKUP($P474&amp;" | "&amp;CY$6,'Job Master'!$F$12:$J$102,3,0),"")</f>
        <v/>
      </c>
      <c r="DA474" s="19" t="str">
        <f>IFERROR(IF(AND(DH474&lt;&gt;"",VLOOKUP($P474&amp;" | "&amp;CY$6,'Job Master'!$F$12:$I$102,4,0)&lt;&gt;""),IF(WEEKDAY(DH474-VLOOKUP($P474&amp;" | "&amp;CY$6,'Job Master'!$F$12:$I$102,4,0))&lt;&gt;7,DH474-VLOOKUP($P474&amp;" | "&amp;CY$6,'Job Master'!$F$12:$I$102,4,0),DH474-VLOOKUP($P474&amp;" | "&amp;CY$6,'Job Master'!$F$12:$I$102,4,0)-1),""),"")</f>
        <v/>
      </c>
      <c r="DB474" s="73"/>
      <c r="DC474" s="123" t="str">
        <f t="shared" si="928"/>
        <v/>
      </c>
      <c r="DD474" s="123" t="str">
        <f t="shared" si="929"/>
        <v/>
      </c>
      <c r="DE474" s="97" t="str">
        <f t="shared" ca="1" si="930"/>
        <v/>
      </c>
      <c r="DF474" s="98" t="str">
        <f>IF(DH474&lt;&gt;"",VLOOKUP($P474&amp;" | "&amp;DF$6,'Job Master'!$F$12:$J$102,5,0),"")</f>
        <v/>
      </c>
      <c r="DG474" s="19" t="str">
        <f>IF(DH474&lt;&gt;"",VLOOKUP($P474&amp;" | "&amp;DF$6,'Job Master'!$F$12:$J$102,3,0),"")</f>
        <v/>
      </c>
      <c r="DH474" s="19" t="str">
        <f>IFERROR(IF(AND(DO474&lt;&gt;"",VLOOKUP($P474&amp;" | "&amp;DF$6,'Job Master'!$F$12:$I$102,4,0)&lt;&gt;""),IF(WEEKDAY(DO474-VLOOKUP($P474&amp;" | "&amp;DF$6,'Job Master'!$F$12:$I$102,4,0))&lt;&gt;7,DO474-VLOOKUP($P474&amp;" | "&amp;DF$6,'Job Master'!$F$12:$I$102,4,0),DO474-VLOOKUP($P474&amp;" | "&amp;DF$6,'Job Master'!$F$12:$I$102,4,0)-1),""),"")</f>
        <v/>
      </c>
      <c r="DI474" s="73"/>
      <c r="DJ474" s="123" t="str">
        <f t="shared" si="931"/>
        <v/>
      </c>
      <c r="DK474" s="123" t="str">
        <f t="shared" si="932"/>
        <v/>
      </c>
      <c r="DL474" s="97" t="str">
        <f t="shared" ca="1" si="933"/>
        <v/>
      </c>
      <c r="DM474" s="98" t="str">
        <f>IF(DO474&lt;&gt;"",VLOOKUP($P474&amp;" | "&amp;DM$6,'Job Master'!$F$12:$J$102,5,0),"")</f>
        <v/>
      </c>
      <c r="DN474" s="19" t="str">
        <f>IF(DO474&lt;&gt;"",VLOOKUP($P474&amp;" | "&amp;DM$6,'Job Master'!$F$12:$J$102,3,0),"")</f>
        <v/>
      </c>
      <c r="DO474" s="19" t="str">
        <f>IFERROR(IF(AND(DT474&lt;&gt;"",VLOOKUP($P474&amp;" | "&amp;DM$6,'Job Master'!$F$12:$I$102,4,0)&lt;&gt;""),IF(WEEKDAY(DT474-VLOOKUP($P474&amp;" | "&amp;DM$6,'Job Master'!$F$12:$I$102,4,0))&lt;&gt;7,DT474-VLOOKUP($P474&amp;" | "&amp;DM$6,'Job Master'!$F$12:$I$102,4,0),DT474-VLOOKUP($P474&amp;" | "&amp;DM$6,'Job Master'!$F$12:$I$102,4,0)-1),""),"")</f>
        <v/>
      </c>
      <c r="DP474" s="73"/>
      <c r="DQ474" s="123" t="str">
        <f t="shared" si="934"/>
        <v/>
      </c>
      <c r="DR474" s="123" t="str">
        <f t="shared" si="935"/>
        <v/>
      </c>
      <c r="DS474" s="97" t="str">
        <f t="shared" ca="1" si="936"/>
        <v/>
      </c>
      <c r="DT474" s="70" t="str">
        <f t="shared" si="937"/>
        <v/>
      </c>
      <c r="DU474" s="90"/>
      <c r="DV474" s="123" t="str">
        <f t="shared" si="938"/>
        <v/>
      </c>
      <c r="DW474" s="123" t="str">
        <f t="shared" si="939"/>
        <v/>
      </c>
      <c r="DX474" s="132" t="str">
        <f t="shared" ref="DX474" ca="1" si="967">IF(DT474&lt;&gt;"",IF(WEEKNUM(DT474)=WEEKNUM(TODAY()),"This Week",IF(WEEKNUM(DT474)=WEEKNUM(TODAY())+1,"Next Week",IF(WEEKNUM(DT474)=WEEKNUM(TODAY())-1,"Previous Week",""))),"")</f>
        <v/>
      </c>
      <c r="DY474" s="134" t="str">
        <f t="shared" si="941"/>
        <v/>
      </c>
      <c r="DZ474" s="95"/>
      <c r="EB474" s="8" t="str">
        <f t="shared" si="947"/>
        <v/>
      </c>
      <c r="EC474" s="8" t="str">
        <f>IF(O474&lt;&gt;"",VLOOKUP(O474,'Job Master'!$N$12:$O$18,2,0),"")</f>
        <v/>
      </c>
      <c r="ED474" s="8">
        <f t="shared" si="948"/>
        <v>19.5</v>
      </c>
      <c r="EE474" s="8">
        <f t="shared" si="949"/>
        <v>6</v>
      </c>
      <c r="EF474" s="8">
        <f t="shared" si="950"/>
        <v>-2764.5</v>
      </c>
      <c r="EG474" s="8" t="str">
        <f t="shared" si="951"/>
        <v/>
      </c>
      <c r="EH474" s="8" t="str">
        <f t="shared" si="952"/>
        <v/>
      </c>
    </row>
    <row r="475" spans="2:138" x14ac:dyDescent="0.3">
      <c r="B475" s="112"/>
      <c r="C475" s="27"/>
      <c r="D475" s="7" t="str">
        <f t="shared" si="891"/>
        <v/>
      </c>
      <c r="E475" s="25"/>
      <c r="F475" s="7" t="str">
        <f t="shared" si="891"/>
        <v/>
      </c>
      <c r="G475" s="25"/>
      <c r="H475" s="7" t="str">
        <f t="shared" si="891"/>
        <v/>
      </c>
      <c r="I475" s="25"/>
      <c r="J475" s="7" t="str">
        <f t="shared" si="891"/>
        <v/>
      </c>
      <c r="K475" s="25"/>
      <c r="L475" s="7" t="str">
        <f t="shared" si="891"/>
        <v/>
      </c>
      <c r="M475" s="25"/>
      <c r="N475" s="7" t="str">
        <f t="shared" si="891"/>
        <v/>
      </c>
      <c r="O475" s="81"/>
      <c r="P475" s="81" t="str">
        <f t="shared" si="892"/>
        <v/>
      </c>
      <c r="Q475" s="81"/>
      <c r="R475" s="7" t="str">
        <f t="shared" si="893"/>
        <v/>
      </c>
      <c r="S475" s="25"/>
      <c r="T475" s="7" t="str">
        <f t="shared" si="894"/>
        <v/>
      </c>
      <c r="U475" s="25"/>
      <c r="V475" s="7" t="str">
        <f t="shared" si="895"/>
        <v/>
      </c>
      <c r="W475" s="25"/>
      <c r="X475" s="7" t="str">
        <f t="shared" si="896"/>
        <v/>
      </c>
      <c r="Y475" s="18" t="str">
        <f t="shared" si="897"/>
        <v/>
      </c>
      <c r="Z475" s="7" t="str">
        <f t="shared" si="898"/>
        <v/>
      </c>
      <c r="AA475" s="18" t="str">
        <f t="shared" si="899"/>
        <v/>
      </c>
      <c r="AB475" s="19" t="str">
        <f t="shared" si="900"/>
        <v/>
      </c>
      <c r="AC475" s="26"/>
      <c r="AD475" s="26"/>
      <c r="AE475" s="25"/>
      <c r="AF475" s="26"/>
      <c r="AG475" s="25"/>
      <c r="AH475" s="25"/>
      <c r="AI475" s="18" t="str">
        <f t="shared" si="963"/>
        <v/>
      </c>
      <c r="AJ475" s="25"/>
      <c r="AK475" s="18" t="str">
        <f t="shared" si="964"/>
        <v/>
      </c>
      <c r="AL475" s="79"/>
      <c r="AM475" s="126" t="str">
        <f t="shared" si="965"/>
        <v/>
      </c>
      <c r="AN475" s="128" t="str">
        <f>IF(AP475&lt;&gt;"",VLOOKUP($P475&amp;" | "&amp;AN$6,'Job Master'!$F$12:$J$102,5,0),"")</f>
        <v/>
      </c>
      <c r="AO475" s="19" t="str">
        <f>IF(AP475&lt;&gt;"",VLOOKUP($P475&amp;" | "&amp;AN$6,'Job Master'!$F$12:$J$102,3,0),"")</f>
        <v/>
      </c>
      <c r="AP475" s="19" t="str">
        <f>IFERROR(IF(AND(AW475&lt;&gt;"",VLOOKUP($P475&amp;" | "&amp;AN$6,'Job Master'!$F$12:$I$102,4,0)&lt;&gt;""),IF(WEEKDAY(AW475-VLOOKUP($P475&amp;" | "&amp;AN$6,'Job Master'!$F$12:$I$102,4,0))&lt;&gt;7,AW475-VLOOKUP($P475&amp;" | "&amp;AN$6,'Job Master'!$F$12:$I$102,4,0),AW475-VLOOKUP($P475&amp;" | "&amp;AN$6,'Job Master'!$F$12:$I$102,4,0)-1),""),"")</f>
        <v/>
      </c>
      <c r="AQ475" s="73"/>
      <c r="AR475" s="123" t="str">
        <f t="shared" si="901"/>
        <v/>
      </c>
      <c r="AS475" s="123" t="str">
        <f t="shared" si="902"/>
        <v/>
      </c>
      <c r="AT475" s="97" t="str">
        <f t="shared" ca="1" si="903"/>
        <v/>
      </c>
      <c r="AU475" s="98" t="str">
        <f>IF(AW475&lt;&gt;"",VLOOKUP($P475&amp;" | "&amp;AU$6,'Job Master'!$F$12:$J$102,5,0),"")</f>
        <v/>
      </c>
      <c r="AV475" s="19" t="str">
        <f>IF(AW475&lt;&gt;"",VLOOKUP($P475&amp;" | "&amp;AU$6,'Job Master'!$F$12:$J$102,3,0),"")</f>
        <v/>
      </c>
      <c r="AW475" s="19" t="str">
        <f>IFERROR(IF(AND(BD475&lt;&gt;"",VLOOKUP($P475&amp;" | "&amp;AU$6,'Job Master'!$F$12:$I$102,4,0)&lt;&gt;""),IF(WEEKDAY(BD475-VLOOKUP($P475&amp;" | "&amp;AU$6,'Job Master'!$F$12:$I$102,4,0))&lt;&gt;7,BD475-VLOOKUP($P475&amp;" | "&amp;AU$6,'Job Master'!$F$12:$I$102,4,0),BD475-VLOOKUP($P475&amp;" | "&amp;AU$6,'Job Master'!$F$12:$I$102,4,0)-1),""),"")</f>
        <v/>
      </c>
      <c r="AX475" s="73"/>
      <c r="AY475" s="123" t="str">
        <f t="shared" si="904"/>
        <v/>
      </c>
      <c r="AZ475" s="123" t="str">
        <f t="shared" si="905"/>
        <v/>
      </c>
      <c r="BA475" s="97" t="str">
        <f t="shared" ca="1" si="906"/>
        <v/>
      </c>
      <c r="BB475" s="98" t="str">
        <f>IF(BD475&lt;&gt;"",VLOOKUP($P475&amp;" | "&amp;BB$6,'Job Master'!$F$12:$J$102,5,0),"")</f>
        <v/>
      </c>
      <c r="BC475" s="19" t="str">
        <f>IF(BD475&lt;&gt;"",VLOOKUP($P475&amp;" | "&amp;BB$6,'Job Master'!$F$12:$J$102,3,0),"")</f>
        <v/>
      </c>
      <c r="BD475" s="19" t="str">
        <f>IFERROR(IF(AND(BK475&lt;&gt;"",VLOOKUP($P475&amp;" | "&amp;BB$6,'Job Master'!$F$12:$I$102,4,0)&lt;&gt;""),IF(WEEKDAY(BK475-VLOOKUP($P475&amp;" | "&amp;BB$6,'Job Master'!$F$12:$I$102,4,0))&lt;&gt;7,BK475-VLOOKUP($P475&amp;" | "&amp;BB$6,'Job Master'!$F$12:$I$102,4,0),BK475-VLOOKUP($P475&amp;" | "&amp;BB$6,'Job Master'!$F$12:$I$102,4,0)-1),""),"")</f>
        <v/>
      </c>
      <c r="BE475" s="73"/>
      <c r="BF475" s="123" t="str">
        <f t="shared" si="907"/>
        <v/>
      </c>
      <c r="BG475" s="123" t="str">
        <f t="shared" si="908"/>
        <v/>
      </c>
      <c r="BH475" s="97" t="str">
        <f t="shared" ca="1" si="909"/>
        <v/>
      </c>
      <c r="BI475" s="98" t="str">
        <f>IF(BK475&lt;&gt;"",VLOOKUP($P475&amp;" | "&amp;BI$6,'Job Master'!$F$12:$J$102,5,0),"")</f>
        <v/>
      </c>
      <c r="BJ475" s="19" t="str">
        <f>IF(BK475&lt;&gt;"",VLOOKUP($P475&amp;" | "&amp;BI$6,'Job Master'!$F$12:$J$102,3,0),"")</f>
        <v/>
      </c>
      <c r="BK475" s="19" t="str">
        <f>IFERROR(IF(AND(BR475&lt;&gt;"",VLOOKUP($P475&amp;" | "&amp;BI$6,'Job Master'!$F$12:$I$102,4,0)&lt;&gt;""),IF(WEEKDAY(BR475-VLOOKUP($P475&amp;" | "&amp;BI$6,'Job Master'!$F$12:$I$102,4,0))&lt;&gt;7,BR475-VLOOKUP($P475&amp;" | "&amp;BI$6,'Job Master'!$F$12:$I$102,4,0),BR475-VLOOKUP($P475&amp;" | "&amp;BI$6,'Job Master'!$F$12:$I$102,4,0)-1),""),"")</f>
        <v/>
      </c>
      <c r="BL475" s="73"/>
      <c r="BM475" s="123" t="str">
        <f t="shared" si="910"/>
        <v/>
      </c>
      <c r="BN475" s="123" t="str">
        <f t="shared" si="911"/>
        <v/>
      </c>
      <c r="BO475" s="97" t="str">
        <f t="shared" ca="1" si="912"/>
        <v/>
      </c>
      <c r="BP475" s="98" t="str">
        <f>IF(BR475&lt;&gt;"",VLOOKUP($P475&amp;" | "&amp;BP$6,'Job Master'!$F$12:$J$102,5,0),"")</f>
        <v/>
      </c>
      <c r="BQ475" s="19" t="str">
        <f>IF(BR475&lt;&gt;"",VLOOKUP($P475&amp;" | "&amp;BP$6,'Job Master'!$F$12:$J$102,3,0),"")</f>
        <v/>
      </c>
      <c r="BR475" s="19" t="str">
        <f>IFERROR(IF(AND(BY475&lt;&gt;"",VLOOKUP($P475&amp;" | "&amp;BP$6,'Job Master'!$F$12:$I$102,4,0)&lt;&gt;""),IF(WEEKDAY(BY475-VLOOKUP($P475&amp;" | "&amp;BP$6,'Job Master'!$F$12:$I$102,4,0))&lt;&gt;7,BY475-VLOOKUP($P475&amp;" | "&amp;BP$6,'Job Master'!$F$12:$I$102,4,0),BY475-VLOOKUP($P475&amp;" | "&amp;BP$6,'Job Master'!$F$12:$I$102,4,0)-1),""),"")</f>
        <v/>
      </c>
      <c r="BS475" s="73"/>
      <c r="BT475" s="123" t="str">
        <f t="shared" si="913"/>
        <v/>
      </c>
      <c r="BU475" s="123" t="str">
        <f t="shared" si="914"/>
        <v/>
      </c>
      <c r="BV475" s="97" t="str">
        <f t="shared" ca="1" si="915"/>
        <v/>
      </c>
      <c r="BW475" s="98" t="str">
        <f>IF(BY475&lt;&gt;"",VLOOKUP($P475&amp;" | "&amp;BW$6,'Job Master'!$F$12:$J$102,5,0),"")</f>
        <v/>
      </c>
      <c r="BX475" s="19" t="str">
        <f>IF(BY475&lt;&gt;"",VLOOKUP($P475&amp;" | "&amp;BW$6,'Job Master'!$F$12:$J$102,3,0),"")</f>
        <v/>
      </c>
      <c r="BY475" s="19" t="str">
        <f>IFERROR(IF(AND(CF475&lt;&gt;"",VLOOKUP($P475&amp;" | "&amp;BW$6,'Job Master'!$F$12:$I$102,4,0)&lt;&gt;""),IF(WEEKDAY(CF475-VLOOKUP($P475&amp;" | "&amp;BW$6,'Job Master'!$F$12:$I$102,4,0))&lt;&gt;7,CF475-VLOOKUP($P475&amp;" | "&amp;BW$6,'Job Master'!$F$12:$I$102,4,0),CF475-VLOOKUP($P475&amp;" | "&amp;BW$6,'Job Master'!$F$12:$I$102,4,0)-1),""),"")</f>
        <v/>
      </c>
      <c r="BZ475" s="73"/>
      <c r="CA475" s="123" t="str">
        <f t="shared" si="916"/>
        <v/>
      </c>
      <c r="CB475" s="123" t="str">
        <f t="shared" si="917"/>
        <v/>
      </c>
      <c r="CC475" s="97" t="str">
        <f t="shared" ca="1" si="918"/>
        <v/>
      </c>
      <c r="CD475" s="98" t="str">
        <f>IF(CF475&lt;&gt;"",VLOOKUP($P475&amp;" | "&amp;CD$6,'Job Master'!$F$12:$J$102,5,0),"")</f>
        <v/>
      </c>
      <c r="CE475" s="19" t="str">
        <f>IF(CF475&lt;&gt;"",VLOOKUP($P475&amp;" | "&amp;CD$6,'Job Master'!$F$12:$J$102,3,0),"")</f>
        <v/>
      </c>
      <c r="CF475" s="19" t="str">
        <f>IFERROR(IF(AND(CM475&lt;&gt;"",VLOOKUP($P475&amp;" | "&amp;CD$6,'Job Master'!$F$12:$I$102,4,0)&lt;&gt;""),IF(WEEKDAY(CM475-VLOOKUP($P475&amp;" | "&amp;CD$6,'Job Master'!$F$12:$I$102,4,0))&lt;&gt;7,CM475-VLOOKUP($P475&amp;" | "&amp;CD$6,'Job Master'!$F$12:$I$102,4,0),CM475-VLOOKUP($P475&amp;" | "&amp;CD$6,'Job Master'!$F$12:$I$102,4,0)-1),""),"")</f>
        <v/>
      </c>
      <c r="CG475" s="73"/>
      <c r="CH475" s="123" t="str">
        <f t="shared" si="919"/>
        <v/>
      </c>
      <c r="CI475" s="123" t="str">
        <f t="shared" si="920"/>
        <v/>
      </c>
      <c r="CJ475" s="97" t="str">
        <f t="shared" ca="1" si="921"/>
        <v/>
      </c>
      <c r="CK475" s="98" t="str">
        <f>IF(CM475&lt;&gt;"",VLOOKUP($P475&amp;" | "&amp;CK$6,'Job Master'!$F$12:$J$102,5,0),"")</f>
        <v/>
      </c>
      <c r="CL475" s="19" t="str">
        <f>IF(CM475&lt;&gt;"",VLOOKUP($P475&amp;" | "&amp;CK$6,'Job Master'!$F$12:$J$102,3,0),"")</f>
        <v/>
      </c>
      <c r="CM475" s="19" t="str">
        <f>IFERROR(IF(AND(CT475&lt;&gt;"",VLOOKUP($P475&amp;" | "&amp;CK$6,'Job Master'!$F$12:$I$102,4,0)&lt;&gt;""),IF(WEEKDAY(CT475-VLOOKUP($P475&amp;" | "&amp;CK$6,'Job Master'!$F$12:$I$102,4,0))&lt;&gt;7,CT475-VLOOKUP($P475&amp;" | "&amp;CK$6,'Job Master'!$F$12:$I$102,4,0),CT475-VLOOKUP($P475&amp;" | "&amp;CK$6,'Job Master'!$F$12:$I$102,4,0)-1),""),"")</f>
        <v/>
      </c>
      <c r="CN475" s="73"/>
      <c r="CO475" s="123" t="str">
        <f t="shared" si="922"/>
        <v/>
      </c>
      <c r="CP475" s="123" t="str">
        <f t="shared" si="923"/>
        <v/>
      </c>
      <c r="CQ475" s="97" t="str">
        <f t="shared" ca="1" si="924"/>
        <v/>
      </c>
      <c r="CR475" s="98" t="str">
        <f>IF(CT475&lt;&gt;"",VLOOKUP($P475&amp;" | "&amp;CR$6,'Job Master'!$F$12:$J$102,5,0),"")</f>
        <v/>
      </c>
      <c r="CS475" s="19" t="str">
        <f>IF(CT475&lt;&gt;"",VLOOKUP($P475&amp;" | "&amp;CR$6,'Job Master'!$F$12:$J$102,3,0),"")</f>
        <v/>
      </c>
      <c r="CT475" s="19" t="str">
        <f>IFERROR(IF(AND(DA475&lt;&gt;"",VLOOKUP($P475&amp;" | "&amp;CR$6,'Job Master'!$F$12:$I$102,4,0)&lt;&gt;""),IF(WEEKDAY(DA475-VLOOKUP($P475&amp;" | "&amp;CR$6,'Job Master'!$F$12:$I$102,4,0))&lt;&gt;7,DA475-VLOOKUP($P475&amp;" | "&amp;CR$6,'Job Master'!$F$12:$I$102,4,0),DA475-VLOOKUP($P475&amp;" | "&amp;CR$6,'Job Master'!$F$12:$I$102,4,0)-1),""),"")</f>
        <v/>
      </c>
      <c r="CU475" s="73"/>
      <c r="CV475" s="123" t="str">
        <f t="shared" si="925"/>
        <v/>
      </c>
      <c r="CW475" s="123" t="str">
        <f t="shared" si="926"/>
        <v/>
      </c>
      <c r="CX475" s="97" t="str">
        <f t="shared" ca="1" si="927"/>
        <v/>
      </c>
      <c r="CY475" s="98" t="str">
        <f>IF(DA475&lt;&gt;"",VLOOKUP($P475&amp;" | "&amp;CY$6,'Job Master'!$F$12:$J$102,5,0),"")</f>
        <v/>
      </c>
      <c r="CZ475" s="19" t="str">
        <f>IF(DA475&lt;&gt;"",VLOOKUP($P475&amp;" | "&amp;CY$6,'Job Master'!$F$12:$J$102,3,0),"")</f>
        <v/>
      </c>
      <c r="DA475" s="19" t="str">
        <f>IFERROR(IF(AND(DH475&lt;&gt;"",VLOOKUP($P475&amp;" | "&amp;CY$6,'Job Master'!$F$12:$I$102,4,0)&lt;&gt;""),IF(WEEKDAY(DH475-VLOOKUP($P475&amp;" | "&amp;CY$6,'Job Master'!$F$12:$I$102,4,0))&lt;&gt;7,DH475-VLOOKUP($P475&amp;" | "&amp;CY$6,'Job Master'!$F$12:$I$102,4,0),DH475-VLOOKUP($P475&amp;" | "&amp;CY$6,'Job Master'!$F$12:$I$102,4,0)-1),""),"")</f>
        <v/>
      </c>
      <c r="DB475" s="73"/>
      <c r="DC475" s="123" t="str">
        <f t="shared" si="928"/>
        <v/>
      </c>
      <c r="DD475" s="123" t="str">
        <f t="shared" si="929"/>
        <v/>
      </c>
      <c r="DE475" s="97" t="str">
        <f t="shared" ca="1" si="930"/>
        <v/>
      </c>
      <c r="DF475" s="98" t="str">
        <f>IF(DH475&lt;&gt;"",VLOOKUP($P475&amp;" | "&amp;DF$6,'Job Master'!$F$12:$J$102,5,0),"")</f>
        <v/>
      </c>
      <c r="DG475" s="19" t="str">
        <f>IF(DH475&lt;&gt;"",VLOOKUP($P475&amp;" | "&amp;DF$6,'Job Master'!$F$12:$J$102,3,0),"")</f>
        <v/>
      </c>
      <c r="DH475" s="19" t="str">
        <f>IFERROR(IF(AND(DO475&lt;&gt;"",VLOOKUP($P475&amp;" | "&amp;DF$6,'Job Master'!$F$12:$I$102,4,0)&lt;&gt;""),IF(WEEKDAY(DO475-VLOOKUP($P475&amp;" | "&amp;DF$6,'Job Master'!$F$12:$I$102,4,0))&lt;&gt;7,DO475-VLOOKUP($P475&amp;" | "&amp;DF$6,'Job Master'!$F$12:$I$102,4,0),DO475-VLOOKUP($P475&amp;" | "&amp;DF$6,'Job Master'!$F$12:$I$102,4,0)-1),""),"")</f>
        <v/>
      </c>
      <c r="DI475" s="73"/>
      <c r="DJ475" s="123" t="str">
        <f t="shared" si="931"/>
        <v/>
      </c>
      <c r="DK475" s="123" t="str">
        <f t="shared" si="932"/>
        <v/>
      </c>
      <c r="DL475" s="97" t="str">
        <f t="shared" ca="1" si="933"/>
        <v/>
      </c>
      <c r="DM475" s="98" t="str">
        <f>IF(DO475&lt;&gt;"",VLOOKUP($P475&amp;" | "&amp;DM$6,'Job Master'!$F$12:$J$102,5,0),"")</f>
        <v/>
      </c>
      <c r="DN475" s="19" t="str">
        <f>IF(DO475&lt;&gt;"",VLOOKUP($P475&amp;" | "&amp;DM$6,'Job Master'!$F$12:$J$102,3,0),"")</f>
        <v/>
      </c>
      <c r="DO475" s="19" t="str">
        <f>IFERROR(IF(AND(DT475&lt;&gt;"",VLOOKUP($P475&amp;" | "&amp;DM$6,'Job Master'!$F$12:$I$102,4,0)&lt;&gt;""),IF(WEEKDAY(DT475-VLOOKUP($P475&amp;" | "&amp;DM$6,'Job Master'!$F$12:$I$102,4,0))&lt;&gt;7,DT475-VLOOKUP($P475&amp;" | "&amp;DM$6,'Job Master'!$F$12:$I$102,4,0),DT475-VLOOKUP($P475&amp;" | "&amp;DM$6,'Job Master'!$F$12:$I$102,4,0)-1),""),"")</f>
        <v/>
      </c>
      <c r="DP475" s="73"/>
      <c r="DQ475" s="123" t="str">
        <f t="shared" si="934"/>
        <v/>
      </c>
      <c r="DR475" s="123" t="str">
        <f t="shared" si="935"/>
        <v/>
      </c>
      <c r="DS475" s="97" t="str">
        <f t="shared" ca="1" si="936"/>
        <v/>
      </c>
      <c r="DT475" s="70" t="str">
        <f t="shared" si="937"/>
        <v/>
      </c>
      <c r="DU475" s="90"/>
      <c r="DV475" s="123" t="str">
        <f t="shared" si="938"/>
        <v/>
      </c>
      <c r="DW475" s="123" t="str">
        <f t="shared" si="939"/>
        <v/>
      </c>
      <c r="DX475" s="132" t="str">
        <f t="shared" ref="DX475" ca="1" si="968">IF(DT475&lt;&gt;"",IF(WEEKNUM(DT475)=WEEKNUM(TODAY()),"This Week",IF(WEEKNUM(DT475)=WEEKNUM(TODAY())+1,"Next Week",IF(WEEKNUM(DT475)=WEEKNUM(TODAY())-1,"Previous Week",""))),"")</f>
        <v/>
      </c>
      <c r="DY475" s="134" t="str">
        <f t="shared" si="941"/>
        <v/>
      </c>
      <c r="DZ475" s="95"/>
      <c r="EB475" s="8" t="str">
        <f t="shared" si="947"/>
        <v/>
      </c>
      <c r="EC475" s="8" t="str">
        <f>IF(O475&lt;&gt;"",VLOOKUP(O475,'Job Master'!$N$12:$O$18,2,0),"")</f>
        <v/>
      </c>
      <c r="ED475" s="8">
        <f t="shared" si="948"/>
        <v>19.5</v>
      </c>
      <c r="EE475" s="8">
        <f t="shared" si="949"/>
        <v>6</v>
      </c>
      <c r="EF475" s="8">
        <f t="shared" si="950"/>
        <v>-2770.5</v>
      </c>
      <c r="EG475" s="8" t="str">
        <f t="shared" si="951"/>
        <v/>
      </c>
      <c r="EH475" s="8" t="str">
        <f t="shared" si="952"/>
        <v/>
      </c>
    </row>
    <row r="476" spans="2:138" x14ac:dyDescent="0.3">
      <c r="B476" s="112"/>
      <c r="C476" s="27"/>
      <c r="D476" s="7" t="str">
        <f t="shared" si="891"/>
        <v/>
      </c>
      <c r="E476" s="25"/>
      <c r="F476" s="7" t="str">
        <f t="shared" si="891"/>
        <v/>
      </c>
      <c r="G476" s="25"/>
      <c r="H476" s="7" t="str">
        <f t="shared" si="891"/>
        <v/>
      </c>
      <c r="I476" s="25"/>
      <c r="J476" s="7" t="str">
        <f t="shared" si="891"/>
        <v/>
      </c>
      <c r="K476" s="25"/>
      <c r="L476" s="7" t="str">
        <f t="shared" si="891"/>
        <v/>
      </c>
      <c r="M476" s="25"/>
      <c r="N476" s="7" t="str">
        <f t="shared" si="891"/>
        <v/>
      </c>
      <c r="O476" s="81"/>
      <c r="P476" s="81" t="str">
        <f t="shared" si="892"/>
        <v/>
      </c>
      <c r="Q476" s="81"/>
      <c r="R476" s="7" t="str">
        <f t="shared" si="893"/>
        <v/>
      </c>
      <c r="S476" s="25"/>
      <c r="T476" s="7" t="str">
        <f t="shared" si="894"/>
        <v/>
      </c>
      <c r="U476" s="25"/>
      <c r="V476" s="7" t="str">
        <f t="shared" si="895"/>
        <v/>
      </c>
      <c r="W476" s="25"/>
      <c r="X476" s="7" t="str">
        <f t="shared" si="896"/>
        <v/>
      </c>
      <c r="Y476" s="18" t="str">
        <f t="shared" si="897"/>
        <v/>
      </c>
      <c r="Z476" s="7" t="str">
        <f t="shared" si="898"/>
        <v/>
      </c>
      <c r="AA476" s="18" t="str">
        <f t="shared" si="899"/>
        <v/>
      </c>
      <c r="AB476" s="19" t="str">
        <f t="shared" si="900"/>
        <v/>
      </c>
      <c r="AC476" s="26"/>
      <c r="AD476" s="26"/>
      <c r="AE476" s="25"/>
      <c r="AF476" s="26"/>
      <c r="AG476" s="25"/>
      <c r="AH476" s="25"/>
      <c r="AI476" s="18" t="str">
        <f t="shared" si="963"/>
        <v/>
      </c>
      <c r="AJ476" s="25"/>
      <c r="AK476" s="18" t="str">
        <f t="shared" si="964"/>
        <v/>
      </c>
      <c r="AL476" s="79"/>
      <c r="AM476" s="126" t="str">
        <f t="shared" si="965"/>
        <v/>
      </c>
      <c r="AN476" s="128" t="str">
        <f>IF(AP476&lt;&gt;"",VLOOKUP($P476&amp;" | "&amp;AN$6,'Job Master'!$F$12:$J$102,5,0),"")</f>
        <v/>
      </c>
      <c r="AO476" s="19" t="str">
        <f>IF(AP476&lt;&gt;"",VLOOKUP($P476&amp;" | "&amp;AN$6,'Job Master'!$F$12:$J$102,3,0),"")</f>
        <v/>
      </c>
      <c r="AP476" s="19" t="str">
        <f>IFERROR(IF(AND(AW476&lt;&gt;"",VLOOKUP($P476&amp;" | "&amp;AN$6,'Job Master'!$F$12:$I$102,4,0)&lt;&gt;""),IF(WEEKDAY(AW476-VLOOKUP($P476&amp;" | "&amp;AN$6,'Job Master'!$F$12:$I$102,4,0))&lt;&gt;7,AW476-VLOOKUP($P476&amp;" | "&amp;AN$6,'Job Master'!$F$12:$I$102,4,0),AW476-VLOOKUP($P476&amp;" | "&amp;AN$6,'Job Master'!$F$12:$I$102,4,0)-1),""),"")</f>
        <v/>
      </c>
      <c r="AQ476" s="73"/>
      <c r="AR476" s="123" t="str">
        <f t="shared" si="901"/>
        <v/>
      </c>
      <c r="AS476" s="123" t="str">
        <f t="shared" si="902"/>
        <v/>
      </c>
      <c r="AT476" s="97" t="str">
        <f t="shared" ca="1" si="903"/>
        <v/>
      </c>
      <c r="AU476" s="98" t="str">
        <f>IF(AW476&lt;&gt;"",VLOOKUP($P476&amp;" | "&amp;AU$6,'Job Master'!$F$12:$J$102,5,0),"")</f>
        <v/>
      </c>
      <c r="AV476" s="19" t="str">
        <f>IF(AW476&lt;&gt;"",VLOOKUP($P476&amp;" | "&amp;AU$6,'Job Master'!$F$12:$J$102,3,0),"")</f>
        <v/>
      </c>
      <c r="AW476" s="19" t="str">
        <f>IFERROR(IF(AND(BD476&lt;&gt;"",VLOOKUP($P476&amp;" | "&amp;AU$6,'Job Master'!$F$12:$I$102,4,0)&lt;&gt;""),IF(WEEKDAY(BD476-VLOOKUP($P476&amp;" | "&amp;AU$6,'Job Master'!$F$12:$I$102,4,0))&lt;&gt;7,BD476-VLOOKUP($P476&amp;" | "&amp;AU$6,'Job Master'!$F$12:$I$102,4,0),BD476-VLOOKUP($P476&amp;" | "&amp;AU$6,'Job Master'!$F$12:$I$102,4,0)-1),""),"")</f>
        <v/>
      </c>
      <c r="AX476" s="73"/>
      <c r="AY476" s="123" t="str">
        <f t="shared" si="904"/>
        <v/>
      </c>
      <c r="AZ476" s="123" t="str">
        <f t="shared" si="905"/>
        <v/>
      </c>
      <c r="BA476" s="97" t="str">
        <f t="shared" ca="1" si="906"/>
        <v/>
      </c>
      <c r="BB476" s="98" t="str">
        <f>IF(BD476&lt;&gt;"",VLOOKUP($P476&amp;" | "&amp;BB$6,'Job Master'!$F$12:$J$102,5,0),"")</f>
        <v/>
      </c>
      <c r="BC476" s="19" t="str">
        <f>IF(BD476&lt;&gt;"",VLOOKUP($P476&amp;" | "&amp;BB$6,'Job Master'!$F$12:$J$102,3,0),"")</f>
        <v/>
      </c>
      <c r="BD476" s="19" t="str">
        <f>IFERROR(IF(AND(BK476&lt;&gt;"",VLOOKUP($P476&amp;" | "&amp;BB$6,'Job Master'!$F$12:$I$102,4,0)&lt;&gt;""),IF(WEEKDAY(BK476-VLOOKUP($P476&amp;" | "&amp;BB$6,'Job Master'!$F$12:$I$102,4,0))&lt;&gt;7,BK476-VLOOKUP($P476&amp;" | "&amp;BB$6,'Job Master'!$F$12:$I$102,4,0),BK476-VLOOKUP($P476&amp;" | "&amp;BB$6,'Job Master'!$F$12:$I$102,4,0)-1),""),"")</f>
        <v/>
      </c>
      <c r="BE476" s="73"/>
      <c r="BF476" s="123" t="str">
        <f t="shared" si="907"/>
        <v/>
      </c>
      <c r="BG476" s="123" t="str">
        <f t="shared" si="908"/>
        <v/>
      </c>
      <c r="BH476" s="97" t="str">
        <f t="shared" ca="1" si="909"/>
        <v/>
      </c>
      <c r="BI476" s="98" t="str">
        <f>IF(BK476&lt;&gt;"",VLOOKUP($P476&amp;" | "&amp;BI$6,'Job Master'!$F$12:$J$102,5,0),"")</f>
        <v/>
      </c>
      <c r="BJ476" s="19" t="str">
        <f>IF(BK476&lt;&gt;"",VLOOKUP($P476&amp;" | "&amp;BI$6,'Job Master'!$F$12:$J$102,3,0),"")</f>
        <v/>
      </c>
      <c r="BK476" s="19" t="str">
        <f>IFERROR(IF(AND(BR476&lt;&gt;"",VLOOKUP($P476&amp;" | "&amp;BI$6,'Job Master'!$F$12:$I$102,4,0)&lt;&gt;""),IF(WEEKDAY(BR476-VLOOKUP($P476&amp;" | "&amp;BI$6,'Job Master'!$F$12:$I$102,4,0))&lt;&gt;7,BR476-VLOOKUP($P476&amp;" | "&amp;BI$6,'Job Master'!$F$12:$I$102,4,0),BR476-VLOOKUP($P476&amp;" | "&amp;BI$6,'Job Master'!$F$12:$I$102,4,0)-1),""),"")</f>
        <v/>
      </c>
      <c r="BL476" s="73"/>
      <c r="BM476" s="123" t="str">
        <f t="shared" si="910"/>
        <v/>
      </c>
      <c r="BN476" s="123" t="str">
        <f t="shared" si="911"/>
        <v/>
      </c>
      <c r="BO476" s="97" t="str">
        <f t="shared" ca="1" si="912"/>
        <v/>
      </c>
      <c r="BP476" s="98" t="str">
        <f>IF(BR476&lt;&gt;"",VLOOKUP($P476&amp;" | "&amp;BP$6,'Job Master'!$F$12:$J$102,5,0),"")</f>
        <v/>
      </c>
      <c r="BQ476" s="19" t="str">
        <f>IF(BR476&lt;&gt;"",VLOOKUP($P476&amp;" | "&amp;BP$6,'Job Master'!$F$12:$J$102,3,0),"")</f>
        <v/>
      </c>
      <c r="BR476" s="19" t="str">
        <f>IFERROR(IF(AND(BY476&lt;&gt;"",VLOOKUP($P476&amp;" | "&amp;BP$6,'Job Master'!$F$12:$I$102,4,0)&lt;&gt;""),IF(WEEKDAY(BY476-VLOOKUP($P476&amp;" | "&amp;BP$6,'Job Master'!$F$12:$I$102,4,0))&lt;&gt;7,BY476-VLOOKUP($P476&amp;" | "&amp;BP$6,'Job Master'!$F$12:$I$102,4,0),BY476-VLOOKUP($P476&amp;" | "&amp;BP$6,'Job Master'!$F$12:$I$102,4,0)-1),""),"")</f>
        <v/>
      </c>
      <c r="BS476" s="73"/>
      <c r="BT476" s="123" t="str">
        <f t="shared" si="913"/>
        <v/>
      </c>
      <c r="BU476" s="123" t="str">
        <f t="shared" si="914"/>
        <v/>
      </c>
      <c r="BV476" s="97" t="str">
        <f t="shared" ca="1" si="915"/>
        <v/>
      </c>
      <c r="BW476" s="98" t="str">
        <f>IF(BY476&lt;&gt;"",VLOOKUP($P476&amp;" | "&amp;BW$6,'Job Master'!$F$12:$J$102,5,0),"")</f>
        <v/>
      </c>
      <c r="BX476" s="19" t="str">
        <f>IF(BY476&lt;&gt;"",VLOOKUP($P476&amp;" | "&amp;BW$6,'Job Master'!$F$12:$J$102,3,0),"")</f>
        <v/>
      </c>
      <c r="BY476" s="19" t="str">
        <f>IFERROR(IF(AND(CF476&lt;&gt;"",VLOOKUP($P476&amp;" | "&amp;BW$6,'Job Master'!$F$12:$I$102,4,0)&lt;&gt;""),IF(WEEKDAY(CF476-VLOOKUP($P476&amp;" | "&amp;BW$6,'Job Master'!$F$12:$I$102,4,0))&lt;&gt;7,CF476-VLOOKUP($P476&amp;" | "&amp;BW$6,'Job Master'!$F$12:$I$102,4,0),CF476-VLOOKUP($P476&amp;" | "&amp;BW$6,'Job Master'!$F$12:$I$102,4,0)-1),""),"")</f>
        <v/>
      </c>
      <c r="BZ476" s="73"/>
      <c r="CA476" s="123" t="str">
        <f t="shared" si="916"/>
        <v/>
      </c>
      <c r="CB476" s="123" t="str">
        <f t="shared" si="917"/>
        <v/>
      </c>
      <c r="CC476" s="97" t="str">
        <f t="shared" ca="1" si="918"/>
        <v/>
      </c>
      <c r="CD476" s="98" t="str">
        <f>IF(CF476&lt;&gt;"",VLOOKUP($P476&amp;" | "&amp;CD$6,'Job Master'!$F$12:$J$102,5,0),"")</f>
        <v/>
      </c>
      <c r="CE476" s="19" t="str">
        <f>IF(CF476&lt;&gt;"",VLOOKUP($P476&amp;" | "&amp;CD$6,'Job Master'!$F$12:$J$102,3,0),"")</f>
        <v/>
      </c>
      <c r="CF476" s="19" t="str">
        <f>IFERROR(IF(AND(CM476&lt;&gt;"",VLOOKUP($P476&amp;" | "&amp;CD$6,'Job Master'!$F$12:$I$102,4,0)&lt;&gt;""),IF(WEEKDAY(CM476-VLOOKUP($P476&amp;" | "&amp;CD$6,'Job Master'!$F$12:$I$102,4,0))&lt;&gt;7,CM476-VLOOKUP($P476&amp;" | "&amp;CD$6,'Job Master'!$F$12:$I$102,4,0),CM476-VLOOKUP($P476&amp;" | "&amp;CD$6,'Job Master'!$F$12:$I$102,4,0)-1),""),"")</f>
        <v/>
      </c>
      <c r="CG476" s="73"/>
      <c r="CH476" s="123" t="str">
        <f t="shared" si="919"/>
        <v/>
      </c>
      <c r="CI476" s="123" t="str">
        <f t="shared" si="920"/>
        <v/>
      </c>
      <c r="CJ476" s="97" t="str">
        <f t="shared" ca="1" si="921"/>
        <v/>
      </c>
      <c r="CK476" s="98" t="str">
        <f>IF(CM476&lt;&gt;"",VLOOKUP($P476&amp;" | "&amp;CK$6,'Job Master'!$F$12:$J$102,5,0),"")</f>
        <v/>
      </c>
      <c r="CL476" s="19" t="str">
        <f>IF(CM476&lt;&gt;"",VLOOKUP($P476&amp;" | "&amp;CK$6,'Job Master'!$F$12:$J$102,3,0),"")</f>
        <v/>
      </c>
      <c r="CM476" s="19" t="str">
        <f>IFERROR(IF(AND(CT476&lt;&gt;"",VLOOKUP($P476&amp;" | "&amp;CK$6,'Job Master'!$F$12:$I$102,4,0)&lt;&gt;""),IF(WEEKDAY(CT476-VLOOKUP($P476&amp;" | "&amp;CK$6,'Job Master'!$F$12:$I$102,4,0))&lt;&gt;7,CT476-VLOOKUP($P476&amp;" | "&amp;CK$6,'Job Master'!$F$12:$I$102,4,0),CT476-VLOOKUP($P476&amp;" | "&amp;CK$6,'Job Master'!$F$12:$I$102,4,0)-1),""),"")</f>
        <v/>
      </c>
      <c r="CN476" s="73"/>
      <c r="CO476" s="123" t="str">
        <f t="shared" si="922"/>
        <v/>
      </c>
      <c r="CP476" s="123" t="str">
        <f t="shared" si="923"/>
        <v/>
      </c>
      <c r="CQ476" s="97" t="str">
        <f t="shared" ca="1" si="924"/>
        <v/>
      </c>
      <c r="CR476" s="98" t="str">
        <f>IF(CT476&lt;&gt;"",VLOOKUP($P476&amp;" | "&amp;CR$6,'Job Master'!$F$12:$J$102,5,0),"")</f>
        <v/>
      </c>
      <c r="CS476" s="19" t="str">
        <f>IF(CT476&lt;&gt;"",VLOOKUP($P476&amp;" | "&amp;CR$6,'Job Master'!$F$12:$J$102,3,0),"")</f>
        <v/>
      </c>
      <c r="CT476" s="19" t="str">
        <f>IFERROR(IF(AND(DA476&lt;&gt;"",VLOOKUP($P476&amp;" | "&amp;CR$6,'Job Master'!$F$12:$I$102,4,0)&lt;&gt;""),IF(WEEKDAY(DA476-VLOOKUP($P476&amp;" | "&amp;CR$6,'Job Master'!$F$12:$I$102,4,0))&lt;&gt;7,DA476-VLOOKUP($P476&amp;" | "&amp;CR$6,'Job Master'!$F$12:$I$102,4,0),DA476-VLOOKUP($P476&amp;" | "&amp;CR$6,'Job Master'!$F$12:$I$102,4,0)-1),""),"")</f>
        <v/>
      </c>
      <c r="CU476" s="73"/>
      <c r="CV476" s="123" t="str">
        <f t="shared" si="925"/>
        <v/>
      </c>
      <c r="CW476" s="123" t="str">
        <f t="shared" si="926"/>
        <v/>
      </c>
      <c r="CX476" s="97" t="str">
        <f t="shared" ca="1" si="927"/>
        <v/>
      </c>
      <c r="CY476" s="98" t="str">
        <f>IF(DA476&lt;&gt;"",VLOOKUP($P476&amp;" | "&amp;CY$6,'Job Master'!$F$12:$J$102,5,0),"")</f>
        <v/>
      </c>
      <c r="CZ476" s="19" t="str">
        <f>IF(DA476&lt;&gt;"",VLOOKUP($P476&amp;" | "&amp;CY$6,'Job Master'!$F$12:$J$102,3,0),"")</f>
        <v/>
      </c>
      <c r="DA476" s="19" t="str">
        <f>IFERROR(IF(AND(DH476&lt;&gt;"",VLOOKUP($P476&amp;" | "&amp;CY$6,'Job Master'!$F$12:$I$102,4,0)&lt;&gt;""),IF(WEEKDAY(DH476-VLOOKUP($P476&amp;" | "&amp;CY$6,'Job Master'!$F$12:$I$102,4,0))&lt;&gt;7,DH476-VLOOKUP($P476&amp;" | "&amp;CY$6,'Job Master'!$F$12:$I$102,4,0),DH476-VLOOKUP($P476&amp;" | "&amp;CY$6,'Job Master'!$F$12:$I$102,4,0)-1),""),"")</f>
        <v/>
      </c>
      <c r="DB476" s="73"/>
      <c r="DC476" s="123" t="str">
        <f t="shared" si="928"/>
        <v/>
      </c>
      <c r="DD476" s="123" t="str">
        <f t="shared" si="929"/>
        <v/>
      </c>
      <c r="DE476" s="97" t="str">
        <f t="shared" ca="1" si="930"/>
        <v/>
      </c>
      <c r="DF476" s="98" t="str">
        <f>IF(DH476&lt;&gt;"",VLOOKUP($P476&amp;" | "&amp;DF$6,'Job Master'!$F$12:$J$102,5,0),"")</f>
        <v/>
      </c>
      <c r="DG476" s="19" t="str">
        <f>IF(DH476&lt;&gt;"",VLOOKUP($P476&amp;" | "&amp;DF$6,'Job Master'!$F$12:$J$102,3,0),"")</f>
        <v/>
      </c>
      <c r="DH476" s="19" t="str">
        <f>IFERROR(IF(AND(DO476&lt;&gt;"",VLOOKUP($P476&amp;" | "&amp;DF$6,'Job Master'!$F$12:$I$102,4,0)&lt;&gt;""),IF(WEEKDAY(DO476-VLOOKUP($P476&amp;" | "&amp;DF$6,'Job Master'!$F$12:$I$102,4,0))&lt;&gt;7,DO476-VLOOKUP($P476&amp;" | "&amp;DF$6,'Job Master'!$F$12:$I$102,4,0),DO476-VLOOKUP($P476&amp;" | "&amp;DF$6,'Job Master'!$F$12:$I$102,4,0)-1),""),"")</f>
        <v/>
      </c>
      <c r="DI476" s="73"/>
      <c r="DJ476" s="123" t="str">
        <f t="shared" si="931"/>
        <v/>
      </c>
      <c r="DK476" s="123" t="str">
        <f t="shared" si="932"/>
        <v/>
      </c>
      <c r="DL476" s="97" t="str">
        <f t="shared" ca="1" si="933"/>
        <v/>
      </c>
      <c r="DM476" s="98" t="str">
        <f>IF(DO476&lt;&gt;"",VLOOKUP($P476&amp;" | "&amp;DM$6,'Job Master'!$F$12:$J$102,5,0),"")</f>
        <v/>
      </c>
      <c r="DN476" s="19" t="str">
        <f>IF(DO476&lt;&gt;"",VLOOKUP($P476&amp;" | "&amp;DM$6,'Job Master'!$F$12:$J$102,3,0),"")</f>
        <v/>
      </c>
      <c r="DO476" s="19" t="str">
        <f>IFERROR(IF(AND(DT476&lt;&gt;"",VLOOKUP($P476&amp;" | "&amp;DM$6,'Job Master'!$F$12:$I$102,4,0)&lt;&gt;""),IF(WEEKDAY(DT476-VLOOKUP($P476&amp;" | "&amp;DM$6,'Job Master'!$F$12:$I$102,4,0))&lt;&gt;7,DT476-VLOOKUP($P476&amp;" | "&amp;DM$6,'Job Master'!$F$12:$I$102,4,0),DT476-VLOOKUP($P476&amp;" | "&amp;DM$6,'Job Master'!$F$12:$I$102,4,0)-1),""),"")</f>
        <v/>
      </c>
      <c r="DP476" s="73"/>
      <c r="DQ476" s="123" t="str">
        <f t="shared" si="934"/>
        <v/>
      </c>
      <c r="DR476" s="123" t="str">
        <f t="shared" si="935"/>
        <v/>
      </c>
      <c r="DS476" s="97" t="str">
        <f t="shared" ca="1" si="936"/>
        <v/>
      </c>
      <c r="DT476" s="70" t="str">
        <f t="shared" si="937"/>
        <v/>
      </c>
      <c r="DU476" s="90"/>
      <c r="DV476" s="123" t="str">
        <f t="shared" si="938"/>
        <v/>
      </c>
      <c r="DW476" s="123" t="str">
        <f t="shared" si="939"/>
        <v/>
      </c>
      <c r="DX476" s="132" t="str">
        <f t="shared" ref="DX476" ca="1" si="969">IF(DT476&lt;&gt;"",IF(WEEKNUM(DT476)=WEEKNUM(TODAY()),"This Week",IF(WEEKNUM(DT476)=WEEKNUM(TODAY())+1,"Next Week",IF(WEEKNUM(DT476)=WEEKNUM(TODAY())-1,"Previous Week",""))),"")</f>
        <v/>
      </c>
      <c r="DY476" s="134" t="str">
        <f t="shared" si="941"/>
        <v/>
      </c>
      <c r="DZ476" s="95"/>
      <c r="EB476" s="8" t="str">
        <f t="shared" si="947"/>
        <v/>
      </c>
      <c r="EC476" s="8" t="str">
        <f>IF(O476&lt;&gt;"",VLOOKUP(O476,'Job Master'!$N$12:$O$18,2,0),"")</f>
        <v/>
      </c>
      <c r="ED476" s="8">
        <f t="shared" si="948"/>
        <v>19.5</v>
      </c>
      <c r="EE476" s="8">
        <f t="shared" si="949"/>
        <v>6</v>
      </c>
      <c r="EF476" s="8">
        <f t="shared" si="950"/>
        <v>-2776.5</v>
      </c>
      <c r="EG476" s="8" t="str">
        <f t="shared" si="951"/>
        <v/>
      </c>
      <c r="EH476" s="8" t="str">
        <f t="shared" si="952"/>
        <v/>
      </c>
    </row>
    <row r="477" spans="2:138" x14ac:dyDescent="0.3">
      <c r="B477" s="112"/>
      <c r="C477" s="27"/>
      <c r="D477" s="7" t="str">
        <f t="shared" si="891"/>
        <v/>
      </c>
      <c r="E477" s="25"/>
      <c r="F477" s="7" t="str">
        <f t="shared" si="891"/>
        <v/>
      </c>
      <c r="G477" s="25"/>
      <c r="H477" s="7" t="str">
        <f t="shared" si="891"/>
        <v/>
      </c>
      <c r="I477" s="25"/>
      <c r="J477" s="7" t="str">
        <f t="shared" si="891"/>
        <v/>
      </c>
      <c r="K477" s="25"/>
      <c r="L477" s="7" t="str">
        <f t="shared" si="891"/>
        <v/>
      </c>
      <c r="M477" s="25"/>
      <c r="N477" s="7" t="str">
        <f t="shared" si="891"/>
        <v/>
      </c>
      <c r="O477" s="81"/>
      <c r="P477" s="81" t="str">
        <f t="shared" si="892"/>
        <v/>
      </c>
      <c r="Q477" s="81"/>
      <c r="R477" s="7" t="str">
        <f t="shared" si="893"/>
        <v/>
      </c>
      <c r="S477" s="25"/>
      <c r="T477" s="7" t="str">
        <f t="shared" si="894"/>
        <v/>
      </c>
      <c r="U477" s="25"/>
      <c r="V477" s="7" t="str">
        <f t="shared" si="895"/>
        <v/>
      </c>
      <c r="W477" s="25"/>
      <c r="X477" s="7" t="str">
        <f t="shared" si="896"/>
        <v/>
      </c>
      <c r="Y477" s="18" t="str">
        <f t="shared" si="897"/>
        <v/>
      </c>
      <c r="Z477" s="7" t="str">
        <f t="shared" si="898"/>
        <v/>
      </c>
      <c r="AA477" s="18" t="str">
        <f t="shared" si="899"/>
        <v/>
      </c>
      <c r="AB477" s="19" t="str">
        <f t="shared" si="900"/>
        <v/>
      </c>
      <c r="AC477" s="26"/>
      <c r="AD477" s="26"/>
      <c r="AE477" s="25"/>
      <c r="AF477" s="26"/>
      <c r="AG477" s="25"/>
      <c r="AH477" s="25"/>
      <c r="AI477" s="18" t="str">
        <f t="shared" si="963"/>
        <v/>
      </c>
      <c r="AJ477" s="25"/>
      <c r="AK477" s="18" t="str">
        <f t="shared" si="964"/>
        <v/>
      </c>
      <c r="AL477" s="79"/>
      <c r="AM477" s="126" t="str">
        <f t="shared" si="965"/>
        <v/>
      </c>
      <c r="AN477" s="128" t="str">
        <f>IF(AP477&lt;&gt;"",VLOOKUP($P477&amp;" | "&amp;AN$6,'Job Master'!$F$12:$J$102,5,0),"")</f>
        <v/>
      </c>
      <c r="AO477" s="19" t="str">
        <f>IF(AP477&lt;&gt;"",VLOOKUP($P477&amp;" | "&amp;AN$6,'Job Master'!$F$12:$J$102,3,0),"")</f>
        <v/>
      </c>
      <c r="AP477" s="19" t="str">
        <f>IFERROR(IF(AND(AW477&lt;&gt;"",VLOOKUP($P477&amp;" | "&amp;AN$6,'Job Master'!$F$12:$I$102,4,0)&lt;&gt;""),IF(WEEKDAY(AW477-VLOOKUP($P477&amp;" | "&amp;AN$6,'Job Master'!$F$12:$I$102,4,0))&lt;&gt;7,AW477-VLOOKUP($P477&amp;" | "&amp;AN$6,'Job Master'!$F$12:$I$102,4,0),AW477-VLOOKUP($P477&amp;" | "&amp;AN$6,'Job Master'!$F$12:$I$102,4,0)-1),""),"")</f>
        <v/>
      </c>
      <c r="AQ477" s="73"/>
      <c r="AR477" s="123" t="str">
        <f t="shared" si="901"/>
        <v/>
      </c>
      <c r="AS477" s="123" t="str">
        <f t="shared" si="902"/>
        <v/>
      </c>
      <c r="AT477" s="97" t="str">
        <f t="shared" ca="1" si="903"/>
        <v/>
      </c>
      <c r="AU477" s="98" t="str">
        <f>IF(AW477&lt;&gt;"",VLOOKUP($P477&amp;" | "&amp;AU$6,'Job Master'!$F$12:$J$102,5,0),"")</f>
        <v/>
      </c>
      <c r="AV477" s="19" t="str">
        <f>IF(AW477&lt;&gt;"",VLOOKUP($P477&amp;" | "&amp;AU$6,'Job Master'!$F$12:$J$102,3,0),"")</f>
        <v/>
      </c>
      <c r="AW477" s="19" t="str">
        <f>IFERROR(IF(AND(BD477&lt;&gt;"",VLOOKUP($P477&amp;" | "&amp;AU$6,'Job Master'!$F$12:$I$102,4,0)&lt;&gt;""),IF(WEEKDAY(BD477-VLOOKUP($P477&amp;" | "&amp;AU$6,'Job Master'!$F$12:$I$102,4,0))&lt;&gt;7,BD477-VLOOKUP($P477&amp;" | "&amp;AU$6,'Job Master'!$F$12:$I$102,4,0),BD477-VLOOKUP($P477&amp;" | "&amp;AU$6,'Job Master'!$F$12:$I$102,4,0)-1),""),"")</f>
        <v/>
      </c>
      <c r="AX477" s="73"/>
      <c r="AY477" s="123" t="str">
        <f t="shared" si="904"/>
        <v/>
      </c>
      <c r="AZ477" s="123" t="str">
        <f t="shared" si="905"/>
        <v/>
      </c>
      <c r="BA477" s="97" t="str">
        <f t="shared" ca="1" si="906"/>
        <v/>
      </c>
      <c r="BB477" s="98" t="str">
        <f>IF(BD477&lt;&gt;"",VLOOKUP($P477&amp;" | "&amp;BB$6,'Job Master'!$F$12:$J$102,5,0),"")</f>
        <v/>
      </c>
      <c r="BC477" s="19" t="str">
        <f>IF(BD477&lt;&gt;"",VLOOKUP($P477&amp;" | "&amp;BB$6,'Job Master'!$F$12:$J$102,3,0),"")</f>
        <v/>
      </c>
      <c r="BD477" s="19" t="str">
        <f>IFERROR(IF(AND(BK477&lt;&gt;"",VLOOKUP($P477&amp;" | "&amp;BB$6,'Job Master'!$F$12:$I$102,4,0)&lt;&gt;""),IF(WEEKDAY(BK477-VLOOKUP($P477&amp;" | "&amp;BB$6,'Job Master'!$F$12:$I$102,4,0))&lt;&gt;7,BK477-VLOOKUP($P477&amp;" | "&amp;BB$6,'Job Master'!$F$12:$I$102,4,0),BK477-VLOOKUP($P477&amp;" | "&amp;BB$6,'Job Master'!$F$12:$I$102,4,0)-1),""),"")</f>
        <v/>
      </c>
      <c r="BE477" s="73"/>
      <c r="BF477" s="123" t="str">
        <f t="shared" si="907"/>
        <v/>
      </c>
      <c r="BG477" s="123" t="str">
        <f t="shared" si="908"/>
        <v/>
      </c>
      <c r="BH477" s="97" t="str">
        <f t="shared" ca="1" si="909"/>
        <v/>
      </c>
      <c r="BI477" s="98" t="str">
        <f>IF(BK477&lt;&gt;"",VLOOKUP($P477&amp;" | "&amp;BI$6,'Job Master'!$F$12:$J$102,5,0),"")</f>
        <v/>
      </c>
      <c r="BJ477" s="19" t="str">
        <f>IF(BK477&lt;&gt;"",VLOOKUP($P477&amp;" | "&amp;BI$6,'Job Master'!$F$12:$J$102,3,0),"")</f>
        <v/>
      </c>
      <c r="BK477" s="19" t="str">
        <f>IFERROR(IF(AND(BR477&lt;&gt;"",VLOOKUP($P477&amp;" | "&amp;BI$6,'Job Master'!$F$12:$I$102,4,0)&lt;&gt;""),IF(WEEKDAY(BR477-VLOOKUP($P477&amp;" | "&amp;BI$6,'Job Master'!$F$12:$I$102,4,0))&lt;&gt;7,BR477-VLOOKUP($P477&amp;" | "&amp;BI$6,'Job Master'!$F$12:$I$102,4,0),BR477-VLOOKUP($P477&amp;" | "&amp;BI$6,'Job Master'!$F$12:$I$102,4,0)-1),""),"")</f>
        <v/>
      </c>
      <c r="BL477" s="73"/>
      <c r="BM477" s="123" t="str">
        <f t="shared" si="910"/>
        <v/>
      </c>
      <c r="BN477" s="123" t="str">
        <f t="shared" si="911"/>
        <v/>
      </c>
      <c r="BO477" s="97" t="str">
        <f t="shared" ca="1" si="912"/>
        <v/>
      </c>
      <c r="BP477" s="98" t="str">
        <f>IF(BR477&lt;&gt;"",VLOOKUP($P477&amp;" | "&amp;BP$6,'Job Master'!$F$12:$J$102,5,0),"")</f>
        <v/>
      </c>
      <c r="BQ477" s="19" t="str">
        <f>IF(BR477&lt;&gt;"",VLOOKUP($P477&amp;" | "&amp;BP$6,'Job Master'!$F$12:$J$102,3,0),"")</f>
        <v/>
      </c>
      <c r="BR477" s="19" t="str">
        <f>IFERROR(IF(AND(BY477&lt;&gt;"",VLOOKUP($P477&amp;" | "&amp;BP$6,'Job Master'!$F$12:$I$102,4,0)&lt;&gt;""),IF(WEEKDAY(BY477-VLOOKUP($P477&amp;" | "&amp;BP$6,'Job Master'!$F$12:$I$102,4,0))&lt;&gt;7,BY477-VLOOKUP($P477&amp;" | "&amp;BP$6,'Job Master'!$F$12:$I$102,4,0),BY477-VLOOKUP($P477&amp;" | "&amp;BP$6,'Job Master'!$F$12:$I$102,4,0)-1),""),"")</f>
        <v/>
      </c>
      <c r="BS477" s="73"/>
      <c r="BT477" s="123" t="str">
        <f t="shared" si="913"/>
        <v/>
      </c>
      <c r="BU477" s="123" t="str">
        <f t="shared" si="914"/>
        <v/>
      </c>
      <c r="BV477" s="97" t="str">
        <f t="shared" ca="1" si="915"/>
        <v/>
      </c>
      <c r="BW477" s="98" t="str">
        <f>IF(BY477&lt;&gt;"",VLOOKUP($P477&amp;" | "&amp;BW$6,'Job Master'!$F$12:$J$102,5,0),"")</f>
        <v/>
      </c>
      <c r="BX477" s="19" t="str">
        <f>IF(BY477&lt;&gt;"",VLOOKUP($P477&amp;" | "&amp;BW$6,'Job Master'!$F$12:$J$102,3,0),"")</f>
        <v/>
      </c>
      <c r="BY477" s="19" t="str">
        <f>IFERROR(IF(AND(CF477&lt;&gt;"",VLOOKUP($P477&amp;" | "&amp;BW$6,'Job Master'!$F$12:$I$102,4,0)&lt;&gt;""),IF(WEEKDAY(CF477-VLOOKUP($P477&amp;" | "&amp;BW$6,'Job Master'!$F$12:$I$102,4,0))&lt;&gt;7,CF477-VLOOKUP($P477&amp;" | "&amp;BW$6,'Job Master'!$F$12:$I$102,4,0),CF477-VLOOKUP($P477&amp;" | "&amp;BW$6,'Job Master'!$F$12:$I$102,4,0)-1),""),"")</f>
        <v/>
      </c>
      <c r="BZ477" s="73"/>
      <c r="CA477" s="123" t="str">
        <f t="shared" si="916"/>
        <v/>
      </c>
      <c r="CB477" s="123" t="str">
        <f t="shared" si="917"/>
        <v/>
      </c>
      <c r="CC477" s="97" t="str">
        <f t="shared" ca="1" si="918"/>
        <v/>
      </c>
      <c r="CD477" s="98" t="str">
        <f>IF(CF477&lt;&gt;"",VLOOKUP($P477&amp;" | "&amp;CD$6,'Job Master'!$F$12:$J$102,5,0),"")</f>
        <v/>
      </c>
      <c r="CE477" s="19" t="str">
        <f>IF(CF477&lt;&gt;"",VLOOKUP($P477&amp;" | "&amp;CD$6,'Job Master'!$F$12:$J$102,3,0),"")</f>
        <v/>
      </c>
      <c r="CF477" s="19" t="str">
        <f>IFERROR(IF(AND(CM477&lt;&gt;"",VLOOKUP($P477&amp;" | "&amp;CD$6,'Job Master'!$F$12:$I$102,4,0)&lt;&gt;""),IF(WEEKDAY(CM477-VLOOKUP($P477&amp;" | "&amp;CD$6,'Job Master'!$F$12:$I$102,4,0))&lt;&gt;7,CM477-VLOOKUP($P477&amp;" | "&amp;CD$6,'Job Master'!$F$12:$I$102,4,0),CM477-VLOOKUP($P477&amp;" | "&amp;CD$6,'Job Master'!$F$12:$I$102,4,0)-1),""),"")</f>
        <v/>
      </c>
      <c r="CG477" s="73"/>
      <c r="CH477" s="123" t="str">
        <f t="shared" si="919"/>
        <v/>
      </c>
      <c r="CI477" s="123" t="str">
        <f t="shared" si="920"/>
        <v/>
      </c>
      <c r="CJ477" s="97" t="str">
        <f t="shared" ca="1" si="921"/>
        <v/>
      </c>
      <c r="CK477" s="98" t="str">
        <f>IF(CM477&lt;&gt;"",VLOOKUP($P477&amp;" | "&amp;CK$6,'Job Master'!$F$12:$J$102,5,0),"")</f>
        <v/>
      </c>
      <c r="CL477" s="19" t="str">
        <f>IF(CM477&lt;&gt;"",VLOOKUP($P477&amp;" | "&amp;CK$6,'Job Master'!$F$12:$J$102,3,0),"")</f>
        <v/>
      </c>
      <c r="CM477" s="19" t="str">
        <f>IFERROR(IF(AND(CT477&lt;&gt;"",VLOOKUP($P477&amp;" | "&amp;CK$6,'Job Master'!$F$12:$I$102,4,0)&lt;&gt;""),IF(WEEKDAY(CT477-VLOOKUP($P477&amp;" | "&amp;CK$6,'Job Master'!$F$12:$I$102,4,0))&lt;&gt;7,CT477-VLOOKUP($P477&amp;" | "&amp;CK$6,'Job Master'!$F$12:$I$102,4,0),CT477-VLOOKUP($P477&amp;" | "&amp;CK$6,'Job Master'!$F$12:$I$102,4,0)-1),""),"")</f>
        <v/>
      </c>
      <c r="CN477" s="73"/>
      <c r="CO477" s="123" t="str">
        <f t="shared" si="922"/>
        <v/>
      </c>
      <c r="CP477" s="123" t="str">
        <f t="shared" si="923"/>
        <v/>
      </c>
      <c r="CQ477" s="97" t="str">
        <f t="shared" ca="1" si="924"/>
        <v/>
      </c>
      <c r="CR477" s="98" t="str">
        <f>IF(CT477&lt;&gt;"",VLOOKUP($P477&amp;" | "&amp;CR$6,'Job Master'!$F$12:$J$102,5,0),"")</f>
        <v/>
      </c>
      <c r="CS477" s="19" t="str">
        <f>IF(CT477&lt;&gt;"",VLOOKUP($P477&amp;" | "&amp;CR$6,'Job Master'!$F$12:$J$102,3,0),"")</f>
        <v/>
      </c>
      <c r="CT477" s="19" t="str">
        <f>IFERROR(IF(AND(DA477&lt;&gt;"",VLOOKUP($P477&amp;" | "&amp;CR$6,'Job Master'!$F$12:$I$102,4,0)&lt;&gt;""),IF(WEEKDAY(DA477-VLOOKUP($P477&amp;" | "&amp;CR$6,'Job Master'!$F$12:$I$102,4,0))&lt;&gt;7,DA477-VLOOKUP($P477&amp;" | "&amp;CR$6,'Job Master'!$F$12:$I$102,4,0),DA477-VLOOKUP($P477&amp;" | "&amp;CR$6,'Job Master'!$F$12:$I$102,4,0)-1),""),"")</f>
        <v/>
      </c>
      <c r="CU477" s="73"/>
      <c r="CV477" s="123" t="str">
        <f t="shared" si="925"/>
        <v/>
      </c>
      <c r="CW477" s="123" t="str">
        <f t="shared" si="926"/>
        <v/>
      </c>
      <c r="CX477" s="97" t="str">
        <f t="shared" ca="1" si="927"/>
        <v/>
      </c>
      <c r="CY477" s="98" t="str">
        <f>IF(DA477&lt;&gt;"",VLOOKUP($P477&amp;" | "&amp;CY$6,'Job Master'!$F$12:$J$102,5,0),"")</f>
        <v/>
      </c>
      <c r="CZ477" s="19" t="str">
        <f>IF(DA477&lt;&gt;"",VLOOKUP($P477&amp;" | "&amp;CY$6,'Job Master'!$F$12:$J$102,3,0),"")</f>
        <v/>
      </c>
      <c r="DA477" s="19" t="str">
        <f>IFERROR(IF(AND(DH477&lt;&gt;"",VLOOKUP($P477&amp;" | "&amp;CY$6,'Job Master'!$F$12:$I$102,4,0)&lt;&gt;""),IF(WEEKDAY(DH477-VLOOKUP($P477&amp;" | "&amp;CY$6,'Job Master'!$F$12:$I$102,4,0))&lt;&gt;7,DH477-VLOOKUP($P477&amp;" | "&amp;CY$6,'Job Master'!$F$12:$I$102,4,0),DH477-VLOOKUP($P477&amp;" | "&amp;CY$6,'Job Master'!$F$12:$I$102,4,0)-1),""),"")</f>
        <v/>
      </c>
      <c r="DB477" s="73"/>
      <c r="DC477" s="123" t="str">
        <f t="shared" si="928"/>
        <v/>
      </c>
      <c r="DD477" s="123" t="str">
        <f t="shared" si="929"/>
        <v/>
      </c>
      <c r="DE477" s="97" t="str">
        <f t="shared" ca="1" si="930"/>
        <v/>
      </c>
      <c r="DF477" s="98" t="str">
        <f>IF(DH477&lt;&gt;"",VLOOKUP($P477&amp;" | "&amp;DF$6,'Job Master'!$F$12:$J$102,5,0),"")</f>
        <v/>
      </c>
      <c r="DG477" s="19" t="str">
        <f>IF(DH477&lt;&gt;"",VLOOKUP($P477&amp;" | "&amp;DF$6,'Job Master'!$F$12:$J$102,3,0),"")</f>
        <v/>
      </c>
      <c r="DH477" s="19" t="str">
        <f>IFERROR(IF(AND(DO477&lt;&gt;"",VLOOKUP($P477&amp;" | "&amp;DF$6,'Job Master'!$F$12:$I$102,4,0)&lt;&gt;""),IF(WEEKDAY(DO477-VLOOKUP($P477&amp;" | "&amp;DF$6,'Job Master'!$F$12:$I$102,4,0))&lt;&gt;7,DO477-VLOOKUP($P477&amp;" | "&amp;DF$6,'Job Master'!$F$12:$I$102,4,0),DO477-VLOOKUP($P477&amp;" | "&amp;DF$6,'Job Master'!$F$12:$I$102,4,0)-1),""),"")</f>
        <v/>
      </c>
      <c r="DI477" s="73"/>
      <c r="DJ477" s="123" t="str">
        <f t="shared" si="931"/>
        <v/>
      </c>
      <c r="DK477" s="123" t="str">
        <f t="shared" si="932"/>
        <v/>
      </c>
      <c r="DL477" s="97" t="str">
        <f t="shared" ca="1" si="933"/>
        <v/>
      </c>
      <c r="DM477" s="98" t="str">
        <f>IF(DO477&lt;&gt;"",VLOOKUP($P477&amp;" | "&amp;DM$6,'Job Master'!$F$12:$J$102,5,0),"")</f>
        <v/>
      </c>
      <c r="DN477" s="19" t="str">
        <f>IF(DO477&lt;&gt;"",VLOOKUP($P477&amp;" | "&amp;DM$6,'Job Master'!$F$12:$J$102,3,0),"")</f>
        <v/>
      </c>
      <c r="DO477" s="19" t="str">
        <f>IFERROR(IF(AND(DT477&lt;&gt;"",VLOOKUP($P477&amp;" | "&amp;DM$6,'Job Master'!$F$12:$I$102,4,0)&lt;&gt;""),IF(WEEKDAY(DT477-VLOOKUP($P477&amp;" | "&amp;DM$6,'Job Master'!$F$12:$I$102,4,0))&lt;&gt;7,DT477-VLOOKUP($P477&amp;" | "&amp;DM$6,'Job Master'!$F$12:$I$102,4,0),DT477-VLOOKUP($P477&amp;" | "&amp;DM$6,'Job Master'!$F$12:$I$102,4,0)-1),""),"")</f>
        <v/>
      </c>
      <c r="DP477" s="73"/>
      <c r="DQ477" s="123" t="str">
        <f t="shared" si="934"/>
        <v/>
      </c>
      <c r="DR477" s="123" t="str">
        <f t="shared" si="935"/>
        <v/>
      </c>
      <c r="DS477" s="97" t="str">
        <f t="shared" ca="1" si="936"/>
        <v/>
      </c>
      <c r="DT477" s="70" t="str">
        <f t="shared" si="937"/>
        <v/>
      </c>
      <c r="DU477" s="90"/>
      <c r="DV477" s="123" t="str">
        <f t="shared" si="938"/>
        <v/>
      </c>
      <c r="DW477" s="123" t="str">
        <f t="shared" si="939"/>
        <v/>
      </c>
      <c r="DX477" s="132" t="str">
        <f t="shared" ref="DX477" ca="1" si="970">IF(DT477&lt;&gt;"",IF(WEEKNUM(DT477)=WEEKNUM(TODAY()),"This Week",IF(WEEKNUM(DT477)=WEEKNUM(TODAY())+1,"Next Week",IF(WEEKNUM(DT477)=WEEKNUM(TODAY())-1,"Previous Week",""))),"")</f>
        <v/>
      </c>
      <c r="DY477" s="134" t="str">
        <f t="shared" si="941"/>
        <v/>
      </c>
      <c r="DZ477" s="95"/>
      <c r="EB477" s="8" t="str">
        <f t="shared" si="947"/>
        <v/>
      </c>
      <c r="EC477" s="8" t="str">
        <f>IF(O477&lt;&gt;"",VLOOKUP(O477,'Job Master'!$N$12:$O$18,2,0),"")</f>
        <v/>
      </c>
      <c r="ED477" s="8">
        <f t="shared" si="948"/>
        <v>19.5</v>
      </c>
      <c r="EE477" s="8">
        <f t="shared" si="949"/>
        <v>6</v>
      </c>
      <c r="EF477" s="8">
        <f t="shared" si="950"/>
        <v>-2782.5</v>
      </c>
      <c r="EG477" s="8" t="str">
        <f t="shared" si="951"/>
        <v/>
      </c>
      <c r="EH477" s="8" t="str">
        <f t="shared" si="952"/>
        <v/>
      </c>
    </row>
    <row r="478" spans="2:138" x14ac:dyDescent="0.3">
      <c r="B478" s="112"/>
      <c r="C478" s="27"/>
      <c r="D478" s="7" t="str">
        <f t="shared" si="891"/>
        <v/>
      </c>
      <c r="E478" s="25"/>
      <c r="F478" s="7" t="str">
        <f t="shared" si="891"/>
        <v/>
      </c>
      <c r="G478" s="25"/>
      <c r="H478" s="7" t="str">
        <f t="shared" si="891"/>
        <v/>
      </c>
      <c r="I478" s="25"/>
      <c r="J478" s="7" t="str">
        <f t="shared" si="891"/>
        <v/>
      </c>
      <c r="K478" s="25"/>
      <c r="L478" s="7" t="str">
        <f t="shared" si="891"/>
        <v/>
      </c>
      <c r="M478" s="25"/>
      <c r="N478" s="7" t="str">
        <f t="shared" si="891"/>
        <v/>
      </c>
      <c r="O478" s="81"/>
      <c r="P478" s="81" t="str">
        <f t="shared" si="892"/>
        <v/>
      </c>
      <c r="Q478" s="81"/>
      <c r="R478" s="7" t="str">
        <f t="shared" si="893"/>
        <v/>
      </c>
      <c r="S478" s="25"/>
      <c r="T478" s="7" t="str">
        <f t="shared" si="894"/>
        <v/>
      </c>
      <c r="U478" s="25"/>
      <c r="V478" s="7" t="str">
        <f t="shared" si="895"/>
        <v/>
      </c>
      <c r="W478" s="25"/>
      <c r="X478" s="7" t="str">
        <f t="shared" si="896"/>
        <v/>
      </c>
      <c r="Y478" s="18" t="str">
        <f t="shared" si="897"/>
        <v/>
      </c>
      <c r="Z478" s="7" t="str">
        <f t="shared" si="898"/>
        <v/>
      </c>
      <c r="AA478" s="18" t="str">
        <f t="shared" si="899"/>
        <v/>
      </c>
      <c r="AB478" s="19" t="str">
        <f t="shared" si="900"/>
        <v/>
      </c>
      <c r="AC478" s="26"/>
      <c r="AD478" s="26"/>
      <c r="AE478" s="25"/>
      <c r="AF478" s="26"/>
      <c r="AG478" s="25"/>
      <c r="AH478" s="25"/>
      <c r="AI478" s="18" t="str">
        <f t="shared" si="963"/>
        <v/>
      </c>
      <c r="AJ478" s="25"/>
      <c r="AK478" s="18" t="str">
        <f t="shared" si="964"/>
        <v/>
      </c>
      <c r="AL478" s="79"/>
      <c r="AM478" s="126" t="str">
        <f t="shared" si="965"/>
        <v/>
      </c>
      <c r="AN478" s="128" t="str">
        <f>IF(AP478&lt;&gt;"",VLOOKUP($P478&amp;" | "&amp;AN$6,'Job Master'!$F$12:$J$102,5,0),"")</f>
        <v/>
      </c>
      <c r="AO478" s="19" t="str">
        <f>IF(AP478&lt;&gt;"",VLOOKUP($P478&amp;" | "&amp;AN$6,'Job Master'!$F$12:$J$102,3,0),"")</f>
        <v/>
      </c>
      <c r="AP478" s="19" t="str">
        <f>IFERROR(IF(AND(AW478&lt;&gt;"",VLOOKUP($P478&amp;" | "&amp;AN$6,'Job Master'!$F$12:$I$102,4,0)&lt;&gt;""),IF(WEEKDAY(AW478-VLOOKUP($P478&amp;" | "&amp;AN$6,'Job Master'!$F$12:$I$102,4,0))&lt;&gt;7,AW478-VLOOKUP($P478&amp;" | "&amp;AN$6,'Job Master'!$F$12:$I$102,4,0),AW478-VLOOKUP($P478&amp;" | "&amp;AN$6,'Job Master'!$F$12:$I$102,4,0)-1),""),"")</f>
        <v/>
      </c>
      <c r="AQ478" s="73"/>
      <c r="AR478" s="123" t="str">
        <f t="shared" si="901"/>
        <v/>
      </c>
      <c r="AS478" s="123" t="str">
        <f t="shared" si="902"/>
        <v/>
      </c>
      <c r="AT478" s="97" t="str">
        <f t="shared" ca="1" si="903"/>
        <v/>
      </c>
      <c r="AU478" s="98" t="str">
        <f>IF(AW478&lt;&gt;"",VLOOKUP($P478&amp;" | "&amp;AU$6,'Job Master'!$F$12:$J$102,5,0),"")</f>
        <v/>
      </c>
      <c r="AV478" s="19" t="str">
        <f>IF(AW478&lt;&gt;"",VLOOKUP($P478&amp;" | "&amp;AU$6,'Job Master'!$F$12:$J$102,3,0),"")</f>
        <v/>
      </c>
      <c r="AW478" s="19" t="str">
        <f>IFERROR(IF(AND(BD478&lt;&gt;"",VLOOKUP($P478&amp;" | "&amp;AU$6,'Job Master'!$F$12:$I$102,4,0)&lt;&gt;""),IF(WEEKDAY(BD478-VLOOKUP($P478&amp;" | "&amp;AU$6,'Job Master'!$F$12:$I$102,4,0))&lt;&gt;7,BD478-VLOOKUP($P478&amp;" | "&amp;AU$6,'Job Master'!$F$12:$I$102,4,0),BD478-VLOOKUP($P478&amp;" | "&amp;AU$6,'Job Master'!$F$12:$I$102,4,0)-1),""),"")</f>
        <v/>
      </c>
      <c r="AX478" s="73"/>
      <c r="AY478" s="123" t="str">
        <f t="shared" si="904"/>
        <v/>
      </c>
      <c r="AZ478" s="123" t="str">
        <f t="shared" si="905"/>
        <v/>
      </c>
      <c r="BA478" s="97" t="str">
        <f t="shared" ca="1" si="906"/>
        <v/>
      </c>
      <c r="BB478" s="98" t="str">
        <f>IF(BD478&lt;&gt;"",VLOOKUP($P478&amp;" | "&amp;BB$6,'Job Master'!$F$12:$J$102,5,0),"")</f>
        <v/>
      </c>
      <c r="BC478" s="19" t="str">
        <f>IF(BD478&lt;&gt;"",VLOOKUP($P478&amp;" | "&amp;BB$6,'Job Master'!$F$12:$J$102,3,0),"")</f>
        <v/>
      </c>
      <c r="BD478" s="19" t="str">
        <f>IFERROR(IF(AND(BK478&lt;&gt;"",VLOOKUP($P478&amp;" | "&amp;BB$6,'Job Master'!$F$12:$I$102,4,0)&lt;&gt;""),IF(WEEKDAY(BK478-VLOOKUP($P478&amp;" | "&amp;BB$6,'Job Master'!$F$12:$I$102,4,0))&lt;&gt;7,BK478-VLOOKUP($P478&amp;" | "&amp;BB$6,'Job Master'!$F$12:$I$102,4,0),BK478-VLOOKUP($P478&amp;" | "&amp;BB$6,'Job Master'!$F$12:$I$102,4,0)-1),""),"")</f>
        <v/>
      </c>
      <c r="BE478" s="73"/>
      <c r="BF478" s="123" t="str">
        <f t="shared" si="907"/>
        <v/>
      </c>
      <c r="BG478" s="123" t="str">
        <f t="shared" si="908"/>
        <v/>
      </c>
      <c r="BH478" s="97" t="str">
        <f t="shared" ca="1" si="909"/>
        <v/>
      </c>
      <c r="BI478" s="98" t="str">
        <f>IF(BK478&lt;&gt;"",VLOOKUP($P478&amp;" | "&amp;BI$6,'Job Master'!$F$12:$J$102,5,0),"")</f>
        <v/>
      </c>
      <c r="BJ478" s="19" t="str">
        <f>IF(BK478&lt;&gt;"",VLOOKUP($P478&amp;" | "&amp;BI$6,'Job Master'!$F$12:$J$102,3,0),"")</f>
        <v/>
      </c>
      <c r="BK478" s="19" t="str">
        <f>IFERROR(IF(AND(BR478&lt;&gt;"",VLOOKUP($P478&amp;" | "&amp;BI$6,'Job Master'!$F$12:$I$102,4,0)&lt;&gt;""),IF(WEEKDAY(BR478-VLOOKUP($P478&amp;" | "&amp;BI$6,'Job Master'!$F$12:$I$102,4,0))&lt;&gt;7,BR478-VLOOKUP($P478&amp;" | "&amp;BI$6,'Job Master'!$F$12:$I$102,4,0),BR478-VLOOKUP($P478&amp;" | "&amp;BI$6,'Job Master'!$F$12:$I$102,4,0)-1),""),"")</f>
        <v/>
      </c>
      <c r="BL478" s="73"/>
      <c r="BM478" s="123" t="str">
        <f t="shared" si="910"/>
        <v/>
      </c>
      <c r="BN478" s="123" t="str">
        <f t="shared" si="911"/>
        <v/>
      </c>
      <c r="BO478" s="97" t="str">
        <f t="shared" ca="1" si="912"/>
        <v/>
      </c>
      <c r="BP478" s="98" t="str">
        <f>IF(BR478&lt;&gt;"",VLOOKUP($P478&amp;" | "&amp;BP$6,'Job Master'!$F$12:$J$102,5,0),"")</f>
        <v/>
      </c>
      <c r="BQ478" s="19" t="str">
        <f>IF(BR478&lt;&gt;"",VLOOKUP($P478&amp;" | "&amp;BP$6,'Job Master'!$F$12:$J$102,3,0),"")</f>
        <v/>
      </c>
      <c r="BR478" s="19" t="str">
        <f>IFERROR(IF(AND(BY478&lt;&gt;"",VLOOKUP($P478&amp;" | "&amp;BP$6,'Job Master'!$F$12:$I$102,4,0)&lt;&gt;""),IF(WEEKDAY(BY478-VLOOKUP($P478&amp;" | "&amp;BP$6,'Job Master'!$F$12:$I$102,4,0))&lt;&gt;7,BY478-VLOOKUP($P478&amp;" | "&amp;BP$6,'Job Master'!$F$12:$I$102,4,0),BY478-VLOOKUP($P478&amp;" | "&amp;BP$6,'Job Master'!$F$12:$I$102,4,0)-1),""),"")</f>
        <v/>
      </c>
      <c r="BS478" s="73"/>
      <c r="BT478" s="123" t="str">
        <f t="shared" si="913"/>
        <v/>
      </c>
      <c r="BU478" s="123" t="str">
        <f t="shared" si="914"/>
        <v/>
      </c>
      <c r="BV478" s="97" t="str">
        <f t="shared" ca="1" si="915"/>
        <v/>
      </c>
      <c r="BW478" s="98" t="str">
        <f>IF(BY478&lt;&gt;"",VLOOKUP($P478&amp;" | "&amp;BW$6,'Job Master'!$F$12:$J$102,5,0),"")</f>
        <v/>
      </c>
      <c r="BX478" s="19" t="str">
        <f>IF(BY478&lt;&gt;"",VLOOKUP($P478&amp;" | "&amp;BW$6,'Job Master'!$F$12:$J$102,3,0),"")</f>
        <v/>
      </c>
      <c r="BY478" s="19" t="str">
        <f>IFERROR(IF(AND(CF478&lt;&gt;"",VLOOKUP($P478&amp;" | "&amp;BW$6,'Job Master'!$F$12:$I$102,4,0)&lt;&gt;""),IF(WEEKDAY(CF478-VLOOKUP($P478&amp;" | "&amp;BW$6,'Job Master'!$F$12:$I$102,4,0))&lt;&gt;7,CF478-VLOOKUP($P478&amp;" | "&amp;BW$6,'Job Master'!$F$12:$I$102,4,0),CF478-VLOOKUP($P478&amp;" | "&amp;BW$6,'Job Master'!$F$12:$I$102,4,0)-1),""),"")</f>
        <v/>
      </c>
      <c r="BZ478" s="73"/>
      <c r="CA478" s="123" t="str">
        <f t="shared" si="916"/>
        <v/>
      </c>
      <c r="CB478" s="123" t="str">
        <f t="shared" si="917"/>
        <v/>
      </c>
      <c r="CC478" s="97" t="str">
        <f t="shared" ca="1" si="918"/>
        <v/>
      </c>
      <c r="CD478" s="98" t="str">
        <f>IF(CF478&lt;&gt;"",VLOOKUP($P478&amp;" | "&amp;CD$6,'Job Master'!$F$12:$J$102,5,0),"")</f>
        <v/>
      </c>
      <c r="CE478" s="19" t="str">
        <f>IF(CF478&lt;&gt;"",VLOOKUP($P478&amp;" | "&amp;CD$6,'Job Master'!$F$12:$J$102,3,0),"")</f>
        <v/>
      </c>
      <c r="CF478" s="19" t="str">
        <f>IFERROR(IF(AND(CM478&lt;&gt;"",VLOOKUP($P478&amp;" | "&amp;CD$6,'Job Master'!$F$12:$I$102,4,0)&lt;&gt;""),IF(WEEKDAY(CM478-VLOOKUP($P478&amp;" | "&amp;CD$6,'Job Master'!$F$12:$I$102,4,0))&lt;&gt;7,CM478-VLOOKUP($P478&amp;" | "&amp;CD$6,'Job Master'!$F$12:$I$102,4,0),CM478-VLOOKUP($P478&amp;" | "&amp;CD$6,'Job Master'!$F$12:$I$102,4,0)-1),""),"")</f>
        <v/>
      </c>
      <c r="CG478" s="73"/>
      <c r="CH478" s="123" t="str">
        <f t="shared" si="919"/>
        <v/>
      </c>
      <c r="CI478" s="123" t="str">
        <f t="shared" si="920"/>
        <v/>
      </c>
      <c r="CJ478" s="97" t="str">
        <f t="shared" ca="1" si="921"/>
        <v/>
      </c>
      <c r="CK478" s="98" t="str">
        <f>IF(CM478&lt;&gt;"",VLOOKUP($P478&amp;" | "&amp;CK$6,'Job Master'!$F$12:$J$102,5,0),"")</f>
        <v/>
      </c>
      <c r="CL478" s="19" t="str">
        <f>IF(CM478&lt;&gt;"",VLOOKUP($P478&amp;" | "&amp;CK$6,'Job Master'!$F$12:$J$102,3,0),"")</f>
        <v/>
      </c>
      <c r="CM478" s="19" t="str">
        <f>IFERROR(IF(AND(CT478&lt;&gt;"",VLOOKUP($P478&amp;" | "&amp;CK$6,'Job Master'!$F$12:$I$102,4,0)&lt;&gt;""),IF(WEEKDAY(CT478-VLOOKUP($P478&amp;" | "&amp;CK$6,'Job Master'!$F$12:$I$102,4,0))&lt;&gt;7,CT478-VLOOKUP($P478&amp;" | "&amp;CK$6,'Job Master'!$F$12:$I$102,4,0),CT478-VLOOKUP($P478&amp;" | "&amp;CK$6,'Job Master'!$F$12:$I$102,4,0)-1),""),"")</f>
        <v/>
      </c>
      <c r="CN478" s="73"/>
      <c r="CO478" s="123" t="str">
        <f t="shared" si="922"/>
        <v/>
      </c>
      <c r="CP478" s="123" t="str">
        <f t="shared" si="923"/>
        <v/>
      </c>
      <c r="CQ478" s="97" t="str">
        <f t="shared" ca="1" si="924"/>
        <v/>
      </c>
      <c r="CR478" s="98" t="str">
        <f>IF(CT478&lt;&gt;"",VLOOKUP($P478&amp;" | "&amp;CR$6,'Job Master'!$F$12:$J$102,5,0),"")</f>
        <v/>
      </c>
      <c r="CS478" s="19" t="str">
        <f>IF(CT478&lt;&gt;"",VLOOKUP($P478&amp;" | "&amp;CR$6,'Job Master'!$F$12:$J$102,3,0),"")</f>
        <v/>
      </c>
      <c r="CT478" s="19" t="str">
        <f>IFERROR(IF(AND(DA478&lt;&gt;"",VLOOKUP($P478&amp;" | "&amp;CR$6,'Job Master'!$F$12:$I$102,4,0)&lt;&gt;""),IF(WEEKDAY(DA478-VLOOKUP($P478&amp;" | "&amp;CR$6,'Job Master'!$F$12:$I$102,4,0))&lt;&gt;7,DA478-VLOOKUP($P478&amp;" | "&amp;CR$6,'Job Master'!$F$12:$I$102,4,0),DA478-VLOOKUP($P478&amp;" | "&amp;CR$6,'Job Master'!$F$12:$I$102,4,0)-1),""),"")</f>
        <v/>
      </c>
      <c r="CU478" s="73"/>
      <c r="CV478" s="123" t="str">
        <f t="shared" si="925"/>
        <v/>
      </c>
      <c r="CW478" s="123" t="str">
        <f t="shared" si="926"/>
        <v/>
      </c>
      <c r="CX478" s="97" t="str">
        <f t="shared" ca="1" si="927"/>
        <v/>
      </c>
      <c r="CY478" s="98" t="str">
        <f>IF(DA478&lt;&gt;"",VLOOKUP($P478&amp;" | "&amp;CY$6,'Job Master'!$F$12:$J$102,5,0),"")</f>
        <v/>
      </c>
      <c r="CZ478" s="19" t="str">
        <f>IF(DA478&lt;&gt;"",VLOOKUP($P478&amp;" | "&amp;CY$6,'Job Master'!$F$12:$J$102,3,0),"")</f>
        <v/>
      </c>
      <c r="DA478" s="19" t="str">
        <f>IFERROR(IF(AND(DH478&lt;&gt;"",VLOOKUP($P478&amp;" | "&amp;CY$6,'Job Master'!$F$12:$I$102,4,0)&lt;&gt;""),IF(WEEKDAY(DH478-VLOOKUP($P478&amp;" | "&amp;CY$6,'Job Master'!$F$12:$I$102,4,0))&lt;&gt;7,DH478-VLOOKUP($P478&amp;" | "&amp;CY$6,'Job Master'!$F$12:$I$102,4,0),DH478-VLOOKUP($P478&amp;" | "&amp;CY$6,'Job Master'!$F$12:$I$102,4,0)-1),""),"")</f>
        <v/>
      </c>
      <c r="DB478" s="73"/>
      <c r="DC478" s="123" t="str">
        <f t="shared" si="928"/>
        <v/>
      </c>
      <c r="DD478" s="123" t="str">
        <f t="shared" si="929"/>
        <v/>
      </c>
      <c r="DE478" s="97" t="str">
        <f t="shared" ca="1" si="930"/>
        <v/>
      </c>
      <c r="DF478" s="98" t="str">
        <f>IF(DH478&lt;&gt;"",VLOOKUP($P478&amp;" | "&amp;DF$6,'Job Master'!$F$12:$J$102,5,0),"")</f>
        <v/>
      </c>
      <c r="DG478" s="19" t="str">
        <f>IF(DH478&lt;&gt;"",VLOOKUP($P478&amp;" | "&amp;DF$6,'Job Master'!$F$12:$J$102,3,0),"")</f>
        <v/>
      </c>
      <c r="DH478" s="19" t="str">
        <f>IFERROR(IF(AND(DO478&lt;&gt;"",VLOOKUP($P478&amp;" | "&amp;DF$6,'Job Master'!$F$12:$I$102,4,0)&lt;&gt;""),IF(WEEKDAY(DO478-VLOOKUP($P478&amp;" | "&amp;DF$6,'Job Master'!$F$12:$I$102,4,0))&lt;&gt;7,DO478-VLOOKUP($P478&amp;" | "&amp;DF$6,'Job Master'!$F$12:$I$102,4,0),DO478-VLOOKUP($P478&amp;" | "&amp;DF$6,'Job Master'!$F$12:$I$102,4,0)-1),""),"")</f>
        <v/>
      </c>
      <c r="DI478" s="73"/>
      <c r="DJ478" s="123" t="str">
        <f t="shared" si="931"/>
        <v/>
      </c>
      <c r="DK478" s="123" t="str">
        <f t="shared" si="932"/>
        <v/>
      </c>
      <c r="DL478" s="97" t="str">
        <f t="shared" ca="1" si="933"/>
        <v/>
      </c>
      <c r="DM478" s="98" t="str">
        <f>IF(DO478&lt;&gt;"",VLOOKUP($P478&amp;" | "&amp;DM$6,'Job Master'!$F$12:$J$102,5,0),"")</f>
        <v/>
      </c>
      <c r="DN478" s="19" t="str">
        <f>IF(DO478&lt;&gt;"",VLOOKUP($P478&amp;" | "&amp;DM$6,'Job Master'!$F$12:$J$102,3,0),"")</f>
        <v/>
      </c>
      <c r="DO478" s="19" t="str">
        <f>IFERROR(IF(AND(DT478&lt;&gt;"",VLOOKUP($P478&amp;" | "&amp;DM$6,'Job Master'!$F$12:$I$102,4,0)&lt;&gt;""),IF(WEEKDAY(DT478-VLOOKUP($P478&amp;" | "&amp;DM$6,'Job Master'!$F$12:$I$102,4,0))&lt;&gt;7,DT478-VLOOKUP($P478&amp;" | "&amp;DM$6,'Job Master'!$F$12:$I$102,4,0),DT478-VLOOKUP($P478&amp;" | "&amp;DM$6,'Job Master'!$F$12:$I$102,4,0)-1),""),"")</f>
        <v/>
      </c>
      <c r="DP478" s="73"/>
      <c r="DQ478" s="123" t="str">
        <f t="shared" si="934"/>
        <v/>
      </c>
      <c r="DR478" s="123" t="str">
        <f t="shared" si="935"/>
        <v/>
      </c>
      <c r="DS478" s="97" t="str">
        <f t="shared" ca="1" si="936"/>
        <v/>
      </c>
      <c r="DT478" s="70" t="str">
        <f t="shared" si="937"/>
        <v/>
      </c>
      <c r="DU478" s="90"/>
      <c r="DV478" s="123" t="str">
        <f t="shared" si="938"/>
        <v/>
      </c>
      <c r="DW478" s="123" t="str">
        <f t="shared" si="939"/>
        <v/>
      </c>
      <c r="DX478" s="132" t="str">
        <f t="shared" ref="DX478" ca="1" si="971">IF(DT478&lt;&gt;"",IF(WEEKNUM(DT478)=WEEKNUM(TODAY()),"This Week",IF(WEEKNUM(DT478)=WEEKNUM(TODAY())+1,"Next Week",IF(WEEKNUM(DT478)=WEEKNUM(TODAY())-1,"Previous Week",""))),"")</f>
        <v/>
      </c>
      <c r="DY478" s="134" t="str">
        <f t="shared" si="941"/>
        <v/>
      </c>
      <c r="DZ478" s="95"/>
      <c r="EB478" s="8" t="str">
        <f t="shared" si="947"/>
        <v/>
      </c>
      <c r="EC478" s="8" t="str">
        <f>IF(O478&lt;&gt;"",VLOOKUP(O478,'Job Master'!$N$12:$O$18,2,0),"")</f>
        <v/>
      </c>
      <c r="ED478" s="8">
        <f t="shared" si="948"/>
        <v>19.5</v>
      </c>
      <c r="EE478" s="8">
        <f t="shared" si="949"/>
        <v>6</v>
      </c>
      <c r="EF478" s="8">
        <f t="shared" si="950"/>
        <v>-2788.5</v>
      </c>
      <c r="EG478" s="8" t="str">
        <f t="shared" si="951"/>
        <v/>
      </c>
      <c r="EH478" s="8" t="str">
        <f t="shared" si="952"/>
        <v/>
      </c>
    </row>
    <row r="479" spans="2:138" x14ac:dyDescent="0.3">
      <c r="B479" s="112"/>
      <c r="C479" s="27"/>
      <c r="D479" s="7" t="str">
        <f t="shared" si="891"/>
        <v/>
      </c>
      <c r="E479" s="25"/>
      <c r="F479" s="7" t="str">
        <f t="shared" si="891"/>
        <v/>
      </c>
      <c r="G479" s="25"/>
      <c r="H479" s="7" t="str">
        <f t="shared" si="891"/>
        <v/>
      </c>
      <c r="I479" s="25"/>
      <c r="J479" s="7" t="str">
        <f t="shared" si="891"/>
        <v/>
      </c>
      <c r="K479" s="25"/>
      <c r="L479" s="7" t="str">
        <f t="shared" si="891"/>
        <v/>
      </c>
      <c r="M479" s="25"/>
      <c r="N479" s="7" t="str">
        <f t="shared" si="891"/>
        <v/>
      </c>
      <c r="O479" s="81"/>
      <c r="P479" s="81" t="str">
        <f t="shared" si="892"/>
        <v/>
      </c>
      <c r="Q479" s="81"/>
      <c r="R479" s="7" t="str">
        <f t="shared" si="893"/>
        <v/>
      </c>
      <c r="S479" s="25"/>
      <c r="T479" s="7" t="str">
        <f t="shared" si="894"/>
        <v/>
      </c>
      <c r="U479" s="25"/>
      <c r="V479" s="7" t="str">
        <f t="shared" si="895"/>
        <v/>
      </c>
      <c r="W479" s="25"/>
      <c r="X479" s="7" t="str">
        <f t="shared" si="896"/>
        <v/>
      </c>
      <c r="Y479" s="18" t="str">
        <f t="shared" si="897"/>
        <v/>
      </c>
      <c r="Z479" s="7" t="str">
        <f t="shared" si="898"/>
        <v/>
      </c>
      <c r="AA479" s="18" t="str">
        <f t="shared" si="899"/>
        <v/>
      </c>
      <c r="AB479" s="19" t="str">
        <f t="shared" si="900"/>
        <v/>
      </c>
      <c r="AC479" s="26"/>
      <c r="AD479" s="26"/>
      <c r="AE479" s="25"/>
      <c r="AF479" s="26"/>
      <c r="AG479" s="25"/>
      <c r="AH479" s="25"/>
      <c r="AI479" s="18" t="str">
        <f t="shared" si="963"/>
        <v/>
      </c>
      <c r="AJ479" s="25"/>
      <c r="AK479" s="18" t="str">
        <f t="shared" si="964"/>
        <v/>
      </c>
      <c r="AL479" s="79"/>
      <c r="AM479" s="126" t="str">
        <f t="shared" si="965"/>
        <v/>
      </c>
      <c r="AN479" s="128" t="str">
        <f>IF(AP479&lt;&gt;"",VLOOKUP($P479&amp;" | "&amp;AN$6,'Job Master'!$F$12:$J$102,5,0),"")</f>
        <v/>
      </c>
      <c r="AO479" s="19" t="str">
        <f>IF(AP479&lt;&gt;"",VLOOKUP($P479&amp;" | "&amp;AN$6,'Job Master'!$F$12:$J$102,3,0),"")</f>
        <v/>
      </c>
      <c r="AP479" s="19" t="str">
        <f>IFERROR(IF(AND(AW479&lt;&gt;"",VLOOKUP($P479&amp;" | "&amp;AN$6,'Job Master'!$F$12:$I$102,4,0)&lt;&gt;""),IF(WEEKDAY(AW479-VLOOKUP($P479&amp;" | "&amp;AN$6,'Job Master'!$F$12:$I$102,4,0))&lt;&gt;7,AW479-VLOOKUP($P479&amp;" | "&amp;AN$6,'Job Master'!$F$12:$I$102,4,0),AW479-VLOOKUP($P479&amp;" | "&amp;AN$6,'Job Master'!$F$12:$I$102,4,0)-1),""),"")</f>
        <v/>
      </c>
      <c r="AQ479" s="73"/>
      <c r="AR479" s="123" t="str">
        <f t="shared" si="901"/>
        <v/>
      </c>
      <c r="AS479" s="123" t="str">
        <f t="shared" si="902"/>
        <v/>
      </c>
      <c r="AT479" s="97" t="str">
        <f t="shared" ca="1" si="903"/>
        <v/>
      </c>
      <c r="AU479" s="98" t="str">
        <f>IF(AW479&lt;&gt;"",VLOOKUP($P479&amp;" | "&amp;AU$6,'Job Master'!$F$12:$J$102,5,0),"")</f>
        <v/>
      </c>
      <c r="AV479" s="19" t="str">
        <f>IF(AW479&lt;&gt;"",VLOOKUP($P479&amp;" | "&amp;AU$6,'Job Master'!$F$12:$J$102,3,0),"")</f>
        <v/>
      </c>
      <c r="AW479" s="19" t="str">
        <f>IFERROR(IF(AND(BD479&lt;&gt;"",VLOOKUP($P479&amp;" | "&amp;AU$6,'Job Master'!$F$12:$I$102,4,0)&lt;&gt;""),IF(WEEKDAY(BD479-VLOOKUP($P479&amp;" | "&amp;AU$6,'Job Master'!$F$12:$I$102,4,0))&lt;&gt;7,BD479-VLOOKUP($P479&amp;" | "&amp;AU$6,'Job Master'!$F$12:$I$102,4,0),BD479-VLOOKUP($P479&amp;" | "&amp;AU$6,'Job Master'!$F$12:$I$102,4,0)-1),""),"")</f>
        <v/>
      </c>
      <c r="AX479" s="73"/>
      <c r="AY479" s="123" t="str">
        <f t="shared" si="904"/>
        <v/>
      </c>
      <c r="AZ479" s="123" t="str">
        <f t="shared" si="905"/>
        <v/>
      </c>
      <c r="BA479" s="97" t="str">
        <f t="shared" ca="1" si="906"/>
        <v/>
      </c>
      <c r="BB479" s="98" t="str">
        <f>IF(BD479&lt;&gt;"",VLOOKUP($P479&amp;" | "&amp;BB$6,'Job Master'!$F$12:$J$102,5,0),"")</f>
        <v/>
      </c>
      <c r="BC479" s="19" t="str">
        <f>IF(BD479&lt;&gt;"",VLOOKUP($P479&amp;" | "&amp;BB$6,'Job Master'!$F$12:$J$102,3,0),"")</f>
        <v/>
      </c>
      <c r="BD479" s="19" t="str">
        <f>IFERROR(IF(AND(BK479&lt;&gt;"",VLOOKUP($P479&amp;" | "&amp;BB$6,'Job Master'!$F$12:$I$102,4,0)&lt;&gt;""),IF(WEEKDAY(BK479-VLOOKUP($P479&amp;" | "&amp;BB$6,'Job Master'!$F$12:$I$102,4,0))&lt;&gt;7,BK479-VLOOKUP($P479&amp;" | "&amp;BB$6,'Job Master'!$F$12:$I$102,4,0),BK479-VLOOKUP($P479&amp;" | "&amp;BB$6,'Job Master'!$F$12:$I$102,4,0)-1),""),"")</f>
        <v/>
      </c>
      <c r="BE479" s="73"/>
      <c r="BF479" s="123" t="str">
        <f t="shared" si="907"/>
        <v/>
      </c>
      <c r="BG479" s="123" t="str">
        <f t="shared" si="908"/>
        <v/>
      </c>
      <c r="BH479" s="97" t="str">
        <f t="shared" ca="1" si="909"/>
        <v/>
      </c>
      <c r="BI479" s="98" t="str">
        <f>IF(BK479&lt;&gt;"",VLOOKUP($P479&amp;" | "&amp;BI$6,'Job Master'!$F$12:$J$102,5,0),"")</f>
        <v/>
      </c>
      <c r="BJ479" s="19" t="str">
        <f>IF(BK479&lt;&gt;"",VLOOKUP($P479&amp;" | "&amp;BI$6,'Job Master'!$F$12:$J$102,3,0),"")</f>
        <v/>
      </c>
      <c r="BK479" s="19" t="str">
        <f>IFERROR(IF(AND(BR479&lt;&gt;"",VLOOKUP($P479&amp;" | "&amp;BI$6,'Job Master'!$F$12:$I$102,4,0)&lt;&gt;""),IF(WEEKDAY(BR479-VLOOKUP($P479&amp;" | "&amp;BI$6,'Job Master'!$F$12:$I$102,4,0))&lt;&gt;7,BR479-VLOOKUP($P479&amp;" | "&amp;BI$6,'Job Master'!$F$12:$I$102,4,0),BR479-VLOOKUP($P479&amp;" | "&amp;BI$6,'Job Master'!$F$12:$I$102,4,0)-1),""),"")</f>
        <v/>
      </c>
      <c r="BL479" s="73"/>
      <c r="BM479" s="123" t="str">
        <f t="shared" si="910"/>
        <v/>
      </c>
      <c r="BN479" s="123" t="str">
        <f t="shared" si="911"/>
        <v/>
      </c>
      <c r="BO479" s="97" t="str">
        <f t="shared" ca="1" si="912"/>
        <v/>
      </c>
      <c r="BP479" s="98" t="str">
        <f>IF(BR479&lt;&gt;"",VLOOKUP($P479&amp;" | "&amp;BP$6,'Job Master'!$F$12:$J$102,5,0),"")</f>
        <v/>
      </c>
      <c r="BQ479" s="19" t="str">
        <f>IF(BR479&lt;&gt;"",VLOOKUP($P479&amp;" | "&amp;BP$6,'Job Master'!$F$12:$J$102,3,0),"")</f>
        <v/>
      </c>
      <c r="BR479" s="19" t="str">
        <f>IFERROR(IF(AND(BY479&lt;&gt;"",VLOOKUP($P479&amp;" | "&amp;BP$6,'Job Master'!$F$12:$I$102,4,0)&lt;&gt;""),IF(WEEKDAY(BY479-VLOOKUP($P479&amp;" | "&amp;BP$6,'Job Master'!$F$12:$I$102,4,0))&lt;&gt;7,BY479-VLOOKUP($P479&amp;" | "&amp;BP$6,'Job Master'!$F$12:$I$102,4,0),BY479-VLOOKUP($P479&amp;" | "&amp;BP$6,'Job Master'!$F$12:$I$102,4,0)-1),""),"")</f>
        <v/>
      </c>
      <c r="BS479" s="73"/>
      <c r="BT479" s="123" t="str">
        <f t="shared" si="913"/>
        <v/>
      </c>
      <c r="BU479" s="123" t="str">
        <f t="shared" si="914"/>
        <v/>
      </c>
      <c r="BV479" s="97" t="str">
        <f t="shared" ca="1" si="915"/>
        <v/>
      </c>
      <c r="BW479" s="98" t="str">
        <f>IF(BY479&lt;&gt;"",VLOOKUP($P479&amp;" | "&amp;BW$6,'Job Master'!$F$12:$J$102,5,0),"")</f>
        <v/>
      </c>
      <c r="BX479" s="19" t="str">
        <f>IF(BY479&lt;&gt;"",VLOOKUP($P479&amp;" | "&amp;BW$6,'Job Master'!$F$12:$J$102,3,0),"")</f>
        <v/>
      </c>
      <c r="BY479" s="19" t="str">
        <f>IFERROR(IF(AND(CF479&lt;&gt;"",VLOOKUP($P479&amp;" | "&amp;BW$6,'Job Master'!$F$12:$I$102,4,0)&lt;&gt;""),IF(WEEKDAY(CF479-VLOOKUP($P479&amp;" | "&amp;BW$6,'Job Master'!$F$12:$I$102,4,0))&lt;&gt;7,CF479-VLOOKUP($P479&amp;" | "&amp;BW$6,'Job Master'!$F$12:$I$102,4,0),CF479-VLOOKUP($P479&amp;" | "&amp;BW$6,'Job Master'!$F$12:$I$102,4,0)-1),""),"")</f>
        <v/>
      </c>
      <c r="BZ479" s="73"/>
      <c r="CA479" s="123" t="str">
        <f t="shared" si="916"/>
        <v/>
      </c>
      <c r="CB479" s="123" t="str">
        <f t="shared" si="917"/>
        <v/>
      </c>
      <c r="CC479" s="97" t="str">
        <f t="shared" ca="1" si="918"/>
        <v/>
      </c>
      <c r="CD479" s="98" t="str">
        <f>IF(CF479&lt;&gt;"",VLOOKUP($P479&amp;" | "&amp;CD$6,'Job Master'!$F$12:$J$102,5,0),"")</f>
        <v/>
      </c>
      <c r="CE479" s="19" t="str">
        <f>IF(CF479&lt;&gt;"",VLOOKUP($P479&amp;" | "&amp;CD$6,'Job Master'!$F$12:$J$102,3,0),"")</f>
        <v/>
      </c>
      <c r="CF479" s="19" t="str">
        <f>IFERROR(IF(AND(CM479&lt;&gt;"",VLOOKUP($P479&amp;" | "&amp;CD$6,'Job Master'!$F$12:$I$102,4,0)&lt;&gt;""),IF(WEEKDAY(CM479-VLOOKUP($P479&amp;" | "&amp;CD$6,'Job Master'!$F$12:$I$102,4,0))&lt;&gt;7,CM479-VLOOKUP($P479&amp;" | "&amp;CD$6,'Job Master'!$F$12:$I$102,4,0),CM479-VLOOKUP($P479&amp;" | "&amp;CD$6,'Job Master'!$F$12:$I$102,4,0)-1),""),"")</f>
        <v/>
      </c>
      <c r="CG479" s="73"/>
      <c r="CH479" s="123" t="str">
        <f t="shared" si="919"/>
        <v/>
      </c>
      <c r="CI479" s="123" t="str">
        <f t="shared" si="920"/>
        <v/>
      </c>
      <c r="CJ479" s="97" t="str">
        <f t="shared" ca="1" si="921"/>
        <v/>
      </c>
      <c r="CK479" s="98" t="str">
        <f>IF(CM479&lt;&gt;"",VLOOKUP($P479&amp;" | "&amp;CK$6,'Job Master'!$F$12:$J$102,5,0),"")</f>
        <v/>
      </c>
      <c r="CL479" s="19" t="str">
        <f>IF(CM479&lt;&gt;"",VLOOKUP($P479&amp;" | "&amp;CK$6,'Job Master'!$F$12:$J$102,3,0),"")</f>
        <v/>
      </c>
      <c r="CM479" s="19" t="str">
        <f>IFERROR(IF(AND(CT479&lt;&gt;"",VLOOKUP($P479&amp;" | "&amp;CK$6,'Job Master'!$F$12:$I$102,4,0)&lt;&gt;""),IF(WEEKDAY(CT479-VLOOKUP($P479&amp;" | "&amp;CK$6,'Job Master'!$F$12:$I$102,4,0))&lt;&gt;7,CT479-VLOOKUP($P479&amp;" | "&amp;CK$6,'Job Master'!$F$12:$I$102,4,0),CT479-VLOOKUP($P479&amp;" | "&amp;CK$6,'Job Master'!$F$12:$I$102,4,0)-1),""),"")</f>
        <v/>
      </c>
      <c r="CN479" s="73"/>
      <c r="CO479" s="123" t="str">
        <f t="shared" si="922"/>
        <v/>
      </c>
      <c r="CP479" s="123" t="str">
        <f t="shared" si="923"/>
        <v/>
      </c>
      <c r="CQ479" s="97" t="str">
        <f t="shared" ca="1" si="924"/>
        <v/>
      </c>
      <c r="CR479" s="98" t="str">
        <f>IF(CT479&lt;&gt;"",VLOOKUP($P479&amp;" | "&amp;CR$6,'Job Master'!$F$12:$J$102,5,0),"")</f>
        <v/>
      </c>
      <c r="CS479" s="19" t="str">
        <f>IF(CT479&lt;&gt;"",VLOOKUP($P479&amp;" | "&amp;CR$6,'Job Master'!$F$12:$J$102,3,0),"")</f>
        <v/>
      </c>
      <c r="CT479" s="19" t="str">
        <f>IFERROR(IF(AND(DA479&lt;&gt;"",VLOOKUP($P479&amp;" | "&amp;CR$6,'Job Master'!$F$12:$I$102,4,0)&lt;&gt;""),IF(WEEKDAY(DA479-VLOOKUP($P479&amp;" | "&amp;CR$6,'Job Master'!$F$12:$I$102,4,0))&lt;&gt;7,DA479-VLOOKUP($P479&amp;" | "&amp;CR$6,'Job Master'!$F$12:$I$102,4,0),DA479-VLOOKUP($P479&amp;" | "&amp;CR$6,'Job Master'!$F$12:$I$102,4,0)-1),""),"")</f>
        <v/>
      </c>
      <c r="CU479" s="73"/>
      <c r="CV479" s="123" t="str">
        <f t="shared" si="925"/>
        <v/>
      </c>
      <c r="CW479" s="123" t="str">
        <f t="shared" si="926"/>
        <v/>
      </c>
      <c r="CX479" s="97" t="str">
        <f t="shared" ca="1" si="927"/>
        <v/>
      </c>
      <c r="CY479" s="98" t="str">
        <f>IF(DA479&lt;&gt;"",VLOOKUP($P479&amp;" | "&amp;CY$6,'Job Master'!$F$12:$J$102,5,0),"")</f>
        <v/>
      </c>
      <c r="CZ479" s="19" t="str">
        <f>IF(DA479&lt;&gt;"",VLOOKUP($P479&amp;" | "&amp;CY$6,'Job Master'!$F$12:$J$102,3,0),"")</f>
        <v/>
      </c>
      <c r="DA479" s="19" t="str">
        <f>IFERROR(IF(AND(DH479&lt;&gt;"",VLOOKUP($P479&amp;" | "&amp;CY$6,'Job Master'!$F$12:$I$102,4,0)&lt;&gt;""),IF(WEEKDAY(DH479-VLOOKUP($P479&amp;" | "&amp;CY$6,'Job Master'!$F$12:$I$102,4,0))&lt;&gt;7,DH479-VLOOKUP($P479&amp;" | "&amp;CY$6,'Job Master'!$F$12:$I$102,4,0),DH479-VLOOKUP($P479&amp;" | "&amp;CY$6,'Job Master'!$F$12:$I$102,4,0)-1),""),"")</f>
        <v/>
      </c>
      <c r="DB479" s="73"/>
      <c r="DC479" s="123" t="str">
        <f t="shared" si="928"/>
        <v/>
      </c>
      <c r="DD479" s="123" t="str">
        <f t="shared" si="929"/>
        <v/>
      </c>
      <c r="DE479" s="97" t="str">
        <f t="shared" ca="1" si="930"/>
        <v/>
      </c>
      <c r="DF479" s="98" t="str">
        <f>IF(DH479&lt;&gt;"",VLOOKUP($P479&amp;" | "&amp;DF$6,'Job Master'!$F$12:$J$102,5,0),"")</f>
        <v/>
      </c>
      <c r="DG479" s="19" t="str">
        <f>IF(DH479&lt;&gt;"",VLOOKUP($P479&amp;" | "&amp;DF$6,'Job Master'!$F$12:$J$102,3,0),"")</f>
        <v/>
      </c>
      <c r="DH479" s="19" t="str">
        <f>IFERROR(IF(AND(DO479&lt;&gt;"",VLOOKUP($P479&amp;" | "&amp;DF$6,'Job Master'!$F$12:$I$102,4,0)&lt;&gt;""),IF(WEEKDAY(DO479-VLOOKUP($P479&amp;" | "&amp;DF$6,'Job Master'!$F$12:$I$102,4,0))&lt;&gt;7,DO479-VLOOKUP($P479&amp;" | "&amp;DF$6,'Job Master'!$F$12:$I$102,4,0),DO479-VLOOKUP($P479&amp;" | "&amp;DF$6,'Job Master'!$F$12:$I$102,4,0)-1),""),"")</f>
        <v/>
      </c>
      <c r="DI479" s="73"/>
      <c r="DJ479" s="123" t="str">
        <f t="shared" si="931"/>
        <v/>
      </c>
      <c r="DK479" s="123" t="str">
        <f t="shared" si="932"/>
        <v/>
      </c>
      <c r="DL479" s="97" t="str">
        <f t="shared" ca="1" si="933"/>
        <v/>
      </c>
      <c r="DM479" s="98" t="str">
        <f>IF(DO479&lt;&gt;"",VLOOKUP($P479&amp;" | "&amp;DM$6,'Job Master'!$F$12:$J$102,5,0),"")</f>
        <v/>
      </c>
      <c r="DN479" s="19" t="str">
        <f>IF(DO479&lt;&gt;"",VLOOKUP($P479&amp;" | "&amp;DM$6,'Job Master'!$F$12:$J$102,3,0),"")</f>
        <v/>
      </c>
      <c r="DO479" s="19" t="str">
        <f>IFERROR(IF(AND(DT479&lt;&gt;"",VLOOKUP($P479&amp;" | "&amp;DM$6,'Job Master'!$F$12:$I$102,4,0)&lt;&gt;""),IF(WEEKDAY(DT479-VLOOKUP($P479&amp;" | "&amp;DM$6,'Job Master'!$F$12:$I$102,4,0))&lt;&gt;7,DT479-VLOOKUP($P479&amp;" | "&amp;DM$6,'Job Master'!$F$12:$I$102,4,0),DT479-VLOOKUP($P479&amp;" | "&amp;DM$6,'Job Master'!$F$12:$I$102,4,0)-1),""),"")</f>
        <v/>
      </c>
      <c r="DP479" s="73"/>
      <c r="DQ479" s="123" t="str">
        <f t="shared" si="934"/>
        <v/>
      </c>
      <c r="DR479" s="123" t="str">
        <f t="shared" si="935"/>
        <v/>
      </c>
      <c r="DS479" s="97" t="str">
        <f t="shared" ca="1" si="936"/>
        <v/>
      </c>
      <c r="DT479" s="70" t="str">
        <f t="shared" si="937"/>
        <v/>
      </c>
      <c r="DU479" s="90"/>
      <c r="DV479" s="123" t="str">
        <f t="shared" si="938"/>
        <v/>
      </c>
      <c r="DW479" s="123" t="str">
        <f t="shared" si="939"/>
        <v/>
      </c>
      <c r="DX479" s="132" t="str">
        <f t="shared" ref="DX479" ca="1" si="972">IF(DT479&lt;&gt;"",IF(WEEKNUM(DT479)=WEEKNUM(TODAY()),"This Week",IF(WEEKNUM(DT479)=WEEKNUM(TODAY())+1,"Next Week",IF(WEEKNUM(DT479)=WEEKNUM(TODAY())-1,"Previous Week",""))),"")</f>
        <v/>
      </c>
      <c r="DY479" s="134" t="str">
        <f t="shared" si="941"/>
        <v/>
      </c>
      <c r="DZ479" s="95"/>
      <c r="EB479" s="8" t="str">
        <f t="shared" si="947"/>
        <v/>
      </c>
      <c r="EC479" s="8" t="str">
        <f>IF(O479&lt;&gt;"",VLOOKUP(O479,'Job Master'!$N$12:$O$18,2,0),"")</f>
        <v/>
      </c>
      <c r="ED479" s="8">
        <f t="shared" si="948"/>
        <v>19.5</v>
      </c>
      <c r="EE479" s="8">
        <f t="shared" si="949"/>
        <v>6</v>
      </c>
      <c r="EF479" s="8">
        <f t="shared" si="950"/>
        <v>-2794.5</v>
      </c>
      <c r="EG479" s="8" t="str">
        <f t="shared" si="951"/>
        <v/>
      </c>
      <c r="EH479" s="8" t="str">
        <f t="shared" si="952"/>
        <v/>
      </c>
    </row>
    <row r="480" spans="2:138" x14ac:dyDescent="0.3">
      <c r="B480" s="112"/>
      <c r="C480" s="27"/>
      <c r="D480" s="7" t="str">
        <f t="shared" si="891"/>
        <v/>
      </c>
      <c r="E480" s="25"/>
      <c r="F480" s="7" t="str">
        <f t="shared" si="891"/>
        <v/>
      </c>
      <c r="G480" s="25"/>
      <c r="H480" s="7" t="str">
        <f t="shared" si="891"/>
        <v/>
      </c>
      <c r="I480" s="25"/>
      <c r="J480" s="7" t="str">
        <f t="shared" si="891"/>
        <v/>
      </c>
      <c r="K480" s="25"/>
      <c r="L480" s="7" t="str">
        <f t="shared" si="891"/>
        <v/>
      </c>
      <c r="M480" s="25"/>
      <c r="N480" s="7" t="str">
        <f t="shared" si="891"/>
        <v/>
      </c>
      <c r="O480" s="81"/>
      <c r="P480" s="81" t="str">
        <f t="shared" si="892"/>
        <v/>
      </c>
      <c r="Q480" s="81"/>
      <c r="R480" s="7" t="str">
        <f t="shared" si="893"/>
        <v/>
      </c>
      <c r="S480" s="25"/>
      <c r="T480" s="7" t="str">
        <f t="shared" si="894"/>
        <v/>
      </c>
      <c r="U480" s="25"/>
      <c r="V480" s="7" t="str">
        <f t="shared" si="895"/>
        <v/>
      </c>
      <c r="W480" s="25"/>
      <c r="X480" s="7" t="str">
        <f t="shared" si="896"/>
        <v/>
      </c>
      <c r="Y480" s="18" t="str">
        <f t="shared" si="897"/>
        <v/>
      </c>
      <c r="Z480" s="7" t="str">
        <f t="shared" si="898"/>
        <v/>
      </c>
      <c r="AA480" s="18" t="str">
        <f t="shared" si="899"/>
        <v/>
      </c>
      <c r="AB480" s="19" t="str">
        <f t="shared" si="900"/>
        <v/>
      </c>
      <c r="AC480" s="26"/>
      <c r="AD480" s="26"/>
      <c r="AE480" s="25"/>
      <c r="AF480" s="26"/>
      <c r="AG480" s="25"/>
      <c r="AH480" s="25"/>
      <c r="AI480" s="18" t="str">
        <f t="shared" si="963"/>
        <v/>
      </c>
      <c r="AJ480" s="25"/>
      <c r="AK480" s="18" t="str">
        <f t="shared" si="964"/>
        <v/>
      </c>
      <c r="AL480" s="79"/>
      <c r="AM480" s="126" t="str">
        <f t="shared" si="965"/>
        <v/>
      </c>
      <c r="AN480" s="128" t="str">
        <f>IF(AP480&lt;&gt;"",VLOOKUP($P480&amp;" | "&amp;AN$6,'Job Master'!$F$12:$J$102,5,0),"")</f>
        <v/>
      </c>
      <c r="AO480" s="19" t="str">
        <f>IF(AP480&lt;&gt;"",VLOOKUP($P480&amp;" | "&amp;AN$6,'Job Master'!$F$12:$J$102,3,0),"")</f>
        <v/>
      </c>
      <c r="AP480" s="19" t="str">
        <f>IFERROR(IF(AND(AW480&lt;&gt;"",VLOOKUP($P480&amp;" | "&amp;AN$6,'Job Master'!$F$12:$I$102,4,0)&lt;&gt;""),IF(WEEKDAY(AW480-VLOOKUP($P480&amp;" | "&amp;AN$6,'Job Master'!$F$12:$I$102,4,0))&lt;&gt;7,AW480-VLOOKUP($P480&amp;" | "&amp;AN$6,'Job Master'!$F$12:$I$102,4,0),AW480-VLOOKUP($P480&amp;" | "&amp;AN$6,'Job Master'!$F$12:$I$102,4,0)-1),""),"")</f>
        <v/>
      </c>
      <c r="AQ480" s="73"/>
      <c r="AR480" s="123" t="str">
        <f t="shared" si="901"/>
        <v/>
      </c>
      <c r="AS480" s="123" t="str">
        <f t="shared" si="902"/>
        <v/>
      </c>
      <c r="AT480" s="97" t="str">
        <f t="shared" ca="1" si="903"/>
        <v/>
      </c>
      <c r="AU480" s="98" t="str">
        <f>IF(AW480&lt;&gt;"",VLOOKUP($P480&amp;" | "&amp;AU$6,'Job Master'!$F$12:$J$102,5,0),"")</f>
        <v/>
      </c>
      <c r="AV480" s="19" t="str">
        <f>IF(AW480&lt;&gt;"",VLOOKUP($P480&amp;" | "&amp;AU$6,'Job Master'!$F$12:$J$102,3,0),"")</f>
        <v/>
      </c>
      <c r="AW480" s="19" t="str">
        <f>IFERROR(IF(AND(BD480&lt;&gt;"",VLOOKUP($P480&amp;" | "&amp;AU$6,'Job Master'!$F$12:$I$102,4,0)&lt;&gt;""),IF(WEEKDAY(BD480-VLOOKUP($P480&amp;" | "&amp;AU$6,'Job Master'!$F$12:$I$102,4,0))&lt;&gt;7,BD480-VLOOKUP($P480&amp;" | "&amp;AU$6,'Job Master'!$F$12:$I$102,4,0),BD480-VLOOKUP($P480&amp;" | "&amp;AU$6,'Job Master'!$F$12:$I$102,4,0)-1),""),"")</f>
        <v/>
      </c>
      <c r="AX480" s="73"/>
      <c r="AY480" s="123" t="str">
        <f t="shared" si="904"/>
        <v/>
      </c>
      <c r="AZ480" s="123" t="str">
        <f t="shared" si="905"/>
        <v/>
      </c>
      <c r="BA480" s="97" t="str">
        <f t="shared" ca="1" si="906"/>
        <v/>
      </c>
      <c r="BB480" s="98" t="str">
        <f>IF(BD480&lt;&gt;"",VLOOKUP($P480&amp;" | "&amp;BB$6,'Job Master'!$F$12:$J$102,5,0),"")</f>
        <v/>
      </c>
      <c r="BC480" s="19" t="str">
        <f>IF(BD480&lt;&gt;"",VLOOKUP($P480&amp;" | "&amp;BB$6,'Job Master'!$F$12:$J$102,3,0),"")</f>
        <v/>
      </c>
      <c r="BD480" s="19" t="str">
        <f>IFERROR(IF(AND(BK480&lt;&gt;"",VLOOKUP($P480&amp;" | "&amp;BB$6,'Job Master'!$F$12:$I$102,4,0)&lt;&gt;""),IF(WEEKDAY(BK480-VLOOKUP($P480&amp;" | "&amp;BB$6,'Job Master'!$F$12:$I$102,4,0))&lt;&gt;7,BK480-VLOOKUP($P480&amp;" | "&amp;BB$6,'Job Master'!$F$12:$I$102,4,0),BK480-VLOOKUP($P480&amp;" | "&amp;BB$6,'Job Master'!$F$12:$I$102,4,0)-1),""),"")</f>
        <v/>
      </c>
      <c r="BE480" s="73"/>
      <c r="BF480" s="123" t="str">
        <f t="shared" si="907"/>
        <v/>
      </c>
      <c r="BG480" s="123" t="str">
        <f t="shared" si="908"/>
        <v/>
      </c>
      <c r="BH480" s="97" t="str">
        <f t="shared" ca="1" si="909"/>
        <v/>
      </c>
      <c r="BI480" s="98" t="str">
        <f>IF(BK480&lt;&gt;"",VLOOKUP($P480&amp;" | "&amp;BI$6,'Job Master'!$F$12:$J$102,5,0),"")</f>
        <v/>
      </c>
      <c r="BJ480" s="19" t="str">
        <f>IF(BK480&lt;&gt;"",VLOOKUP($P480&amp;" | "&amp;BI$6,'Job Master'!$F$12:$J$102,3,0),"")</f>
        <v/>
      </c>
      <c r="BK480" s="19" t="str">
        <f>IFERROR(IF(AND(BR480&lt;&gt;"",VLOOKUP($P480&amp;" | "&amp;BI$6,'Job Master'!$F$12:$I$102,4,0)&lt;&gt;""),IF(WEEKDAY(BR480-VLOOKUP($P480&amp;" | "&amp;BI$6,'Job Master'!$F$12:$I$102,4,0))&lt;&gt;7,BR480-VLOOKUP($P480&amp;" | "&amp;BI$6,'Job Master'!$F$12:$I$102,4,0),BR480-VLOOKUP($P480&amp;" | "&amp;BI$6,'Job Master'!$F$12:$I$102,4,0)-1),""),"")</f>
        <v/>
      </c>
      <c r="BL480" s="73"/>
      <c r="BM480" s="123" t="str">
        <f t="shared" si="910"/>
        <v/>
      </c>
      <c r="BN480" s="123" t="str">
        <f t="shared" si="911"/>
        <v/>
      </c>
      <c r="BO480" s="97" t="str">
        <f t="shared" ca="1" si="912"/>
        <v/>
      </c>
      <c r="BP480" s="98" t="str">
        <f>IF(BR480&lt;&gt;"",VLOOKUP($P480&amp;" | "&amp;BP$6,'Job Master'!$F$12:$J$102,5,0),"")</f>
        <v/>
      </c>
      <c r="BQ480" s="19" t="str">
        <f>IF(BR480&lt;&gt;"",VLOOKUP($P480&amp;" | "&amp;BP$6,'Job Master'!$F$12:$J$102,3,0),"")</f>
        <v/>
      </c>
      <c r="BR480" s="19" t="str">
        <f>IFERROR(IF(AND(BY480&lt;&gt;"",VLOOKUP($P480&amp;" | "&amp;BP$6,'Job Master'!$F$12:$I$102,4,0)&lt;&gt;""),IF(WEEKDAY(BY480-VLOOKUP($P480&amp;" | "&amp;BP$6,'Job Master'!$F$12:$I$102,4,0))&lt;&gt;7,BY480-VLOOKUP($P480&amp;" | "&amp;BP$6,'Job Master'!$F$12:$I$102,4,0),BY480-VLOOKUP($P480&amp;" | "&amp;BP$6,'Job Master'!$F$12:$I$102,4,0)-1),""),"")</f>
        <v/>
      </c>
      <c r="BS480" s="73"/>
      <c r="BT480" s="123" t="str">
        <f t="shared" si="913"/>
        <v/>
      </c>
      <c r="BU480" s="123" t="str">
        <f t="shared" si="914"/>
        <v/>
      </c>
      <c r="BV480" s="97" t="str">
        <f t="shared" ca="1" si="915"/>
        <v/>
      </c>
      <c r="BW480" s="98" t="str">
        <f>IF(BY480&lt;&gt;"",VLOOKUP($P480&amp;" | "&amp;BW$6,'Job Master'!$F$12:$J$102,5,0),"")</f>
        <v/>
      </c>
      <c r="BX480" s="19" t="str">
        <f>IF(BY480&lt;&gt;"",VLOOKUP($P480&amp;" | "&amp;BW$6,'Job Master'!$F$12:$J$102,3,0),"")</f>
        <v/>
      </c>
      <c r="BY480" s="19" t="str">
        <f>IFERROR(IF(AND(CF480&lt;&gt;"",VLOOKUP($P480&amp;" | "&amp;BW$6,'Job Master'!$F$12:$I$102,4,0)&lt;&gt;""),IF(WEEKDAY(CF480-VLOOKUP($P480&amp;" | "&amp;BW$6,'Job Master'!$F$12:$I$102,4,0))&lt;&gt;7,CF480-VLOOKUP($P480&amp;" | "&amp;BW$6,'Job Master'!$F$12:$I$102,4,0),CF480-VLOOKUP($P480&amp;" | "&amp;BW$6,'Job Master'!$F$12:$I$102,4,0)-1),""),"")</f>
        <v/>
      </c>
      <c r="BZ480" s="73"/>
      <c r="CA480" s="123" t="str">
        <f t="shared" si="916"/>
        <v/>
      </c>
      <c r="CB480" s="123" t="str">
        <f t="shared" si="917"/>
        <v/>
      </c>
      <c r="CC480" s="97" t="str">
        <f t="shared" ca="1" si="918"/>
        <v/>
      </c>
      <c r="CD480" s="98" t="str">
        <f>IF(CF480&lt;&gt;"",VLOOKUP($P480&amp;" | "&amp;CD$6,'Job Master'!$F$12:$J$102,5,0),"")</f>
        <v/>
      </c>
      <c r="CE480" s="19" t="str">
        <f>IF(CF480&lt;&gt;"",VLOOKUP($P480&amp;" | "&amp;CD$6,'Job Master'!$F$12:$J$102,3,0),"")</f>
        <v/>
      </c>
      <c r="CF480" s="19" t="str">
        <f>IFERROR(IF(AND(CM480&lt;&gt;"",VLOOKUP($P480&amp;" | "&amp;CD$6,'Job Master'!$F$12:$I$102,4,0)&lt;&gt;""),IF(WEEKDAY(CM480-VLOOKUP($P480&amp;" | "&amp;CD$6,'Job Master'!$F$12:$I$102,4,0))&lt;&gt;7,CM480-VLOOKUP($P480&amp;" | "&amp;CD$6,'Job Master'!$F$12:$I$102,4,0),CM480-VLOOKUP($P480&amp;" | "&amp;CD$6,'Job Master'!$F$12:$I$102,4,0)-1),""),"")</f>
        <v/>
      </c>
      <c r="CG480" s="73"/>
      <c r="CH480" s="123" t="str">
        <f t="shared" si="919"/>
        <v/>
      </c>
      <c r="CI480" s="123" t="str">
        <f t="shared" si="920"/>
        <v/>
      </c>
      <c r="CJ480" s="97" t="str">
        <f t="shared" ca="1" si="921"/>
        <v/>
      </c>
      <c r="CK480" s="98" t="str">
        <f>IF(CM480&lt;&gt;"",VLOOKUP($P480&amp;" | "&amp;CK$6,'Job Master'!$F$12:$J$102,5,0),"")</f>
        <v/>
      </c>
      <c r="CL480" s="19" t="str">
        <f>IF(CM480&lt;&gt;"",VLOOKUP($P480&amp;" | "&amp;CK$6,'Job Master'!$F$12:$J$102,3,0),"")</f>
        <v/>
      </c>
      <c r="CM480" s="19" t="str">
        <f>IFERROR(IF(AND(CT480&lt;&gt;"",VLOOKUP($P480&amp;" | "&amp;CK$6,'Job Master'!$F$12:$I$102,4,0)&lt;&gt;""),IF(WEEKDAY(CT480-VLOOKUP($P480&amp;" | "&amp;CK$6,'Job Master'!$F$12:$I$102,4,0))&lt;&gt;7,CT480-VLOOKUP($P480&amp;" | "&amp;CK$6,'Job Master'!$F$12:$I$102,4,0),CT480-VLOOKUP($P480&amp;" | "&amp;CK$6,'Job Master'!$F$12:$I$102,4,0)-1),""),"")</f>
        <v/>
      </c>
      <c r="CN480" s="73"/>
      <c r="CO480" s="123" t="str">
        <f t="shared" si="922"/>
        <v/>
      </c>
      <c r="CP480" s="123" t="str">
        <f t="shared" si="923"/>
        <v/>
      </c>
      <c r="CQ480" s="97" t="str">
        <f t="shared" ca="1" si="924"/>
        <v/>
      </c>
      <c r="CR480" s="98" t="str">
        <f>IF(CT480&lt;&gt;"",VLOOKUP($P480&amp;" | "&amp;CR$6,'Job Master'!$F$12:$J$102,5,0),"")</f>
        <v/>
      </c>
      <c r="CS480" s="19" t="str">
        <f>IF(CT480&lt;&gt;"",VLOOKUP($P480&amp;" | "&amp;CR$6,'Job Master'!$F$12:$J$102,3,0),"")</f>
        <v/>
      </c>
      <c r="CT480" s="19" t="str">
        <f>IFERROR(IF(AND(DA480&lt;&gt;"",VLOOKUP($P480&amp;" | "&amp;CR$6,'Job Master'!$F$12:$I$102,4,0)&lt;&gt;""),IF(WEEKDAY(DA480-VLOOKUP($P480&amp;" | "&amp;CR$6,'Job Master'!$F$12:$I$102,4,0))&lt;&gt;7,DA480-VLOOKUP($P480&amp;" | "&amp;CR$6,'Job Master'!$F$12:$I$102,4,0),DA480-VLOOKUP($P480&amp;" | "&amp;CR$6,'Job Master'!$F$12:$I$102,4,0)-1),""),"")</f>
        <v/>
      </c>
      <c r="CU480" s="73"/>
      <c r="CV480" s="123" t="str">
        <f t="shared" si="925"/>
        <v/>
      </c>
      <c r="CW480" s="123" t="str">
        <f t="shared" si="926"/>
        <v/>
      </c>
      <c r="CX480" s="97" t="str">
        <f t="shared" ca="1" si="927"/>
        <v/>
      </c>
      <c r="CY480" s="98" t="str">
        <f>IF(DA480&lt;&gt;"",VLOOKUP($P480&amp;" | "&amp;CY$6,'Job Master'!$F$12:$J$102,5,0),"")</f>
        <v/>
      </c>
      <c r="CZ480" s="19" t="str">
        <f>IF(DA480&lt;&gt;"",VLOOKUP($P480&amp;" | "&amp;CY$6,'Job Master'!$F$12:$J$102,3,0),"")</f>
        <v/>
      </c>
      <c r="DA480" s="19" t="str">
        <f>IFERROR(IF(AND(DH480&lt;&gt;"",VLOOKUP($P480&amp;" | "&amp;CY$6,'Job Master'!$F$12:$I$102,4,0)&lt;&gt;""),IF(WEEKDAY(DH480-VLOOKUP($P480&amp;" | "&amp;CY$6,'Job Master'!$F$12:$I$102,4,0))&lt;&gt;7,DH480-VLOOKUP($P480&amp;" | "&amp;CY$6,'Job Master'!$F$12:$I$102,4,0),DH480-VLOOKUP($P480&amp;" | "&amp;CY$6,'Job Master'!$F$12:$I$102,4,0)-1),""),"")</f>
        <v/>
      </c>
      <c r="DB480" s="73"/>
      <c r="DC480" s="123" t="str">
        <f t="shared" si="928"/>
        <v/>
      </c>
      <c r="DD480" s="123" t="str">
        <f t="shared" si="929"/>
        <v/>
      </c>
      <c r="DE480" s="97" t="str">
        <f t="shared" ca="1" si="930"/>
        <v/>
      </c>
      <c r="DF480" s="98" t="str">
        <f>IF(DH480&lt;&gt;"",VLOOKUP($P480&amp;" | "&amp;DF$6,'Job Master'!$F$12:$J$102,5,0),"")</f>
        <v/>
      </c>
      <c r="DG480" s="19" t="str">
        <f>IF(DH480&lt;&gt;"",VLOOKUP($P480&amp;" | "&amp;DF$6,'Job Master'!$F$12:$J$102,3,0),"")</f>
        <v/>
      </c>
      <c r="DH480" s="19" t="str">
        <f>IFERROR(IF(AND(DO480&lt;&gt;"",VLOOKUP($P480&amp;" | "&amp;DF$6,'Job Master'!$F$12:$I$102,4,0)&lt;&gt;""),IF(WEEKDAY(DO480-VLOOKUP($P480&amp;" | "&amp;DF$6,'Job Master'!$F$12:$I$102,4,0))&lt;&gt;7,DO480-VLOOKUP($P480&amp;" | "&amp;DF$6,'Job Master'!$F$12:$I$102,4,0),DO480-VLOOKUP($P480&amp;" | "&amp;DF$6,'Job Master'!$F$12:$I$102,4,0)-1),""),"")</f>
        <v/>
      </c>
      <c r="DI480" s="73"/>
      <c r="DJ480" s="123" t="str">
        <f t="shared" si="931"/>
        <v/>
      </c>
      <c r="DK480" s="123" t="str">
        <f t="shared" si="932"/>
        <v/>
      </c>
      <c r="DL480" s="97" t="str">
        <f t="shared" ca="1" si="933"/>
        <v/>
      </c>
      <c r="DM480" s="98" t="str">
        <f>IF(DO480&lt;&gt;"",VLOOKUP($P480&amp;" | "&amp;DM$6,'Job Master'!$F$12:$J$102,5,0),"")</f>
        <v/>
      </c>
      <c r="DN480" s="19" t="str">
        <f>IF(DO480&lt;&gt;"",VLOOKUP($P480&amp;" | "&amp;DM$6,'Job Master'!$F$12:$J$102,3,0),"")</f>
        <v/>
      </c>
      <c r="DO480" s="19" t="str">
        <f>IFERROR(IF(AND(DT480&lt;&gt;"",VLOOKUP($P480&amp;" | "&amp;DM$6,'Job Master'!$F$12:$I$102,4,0)&lt;&gt;""),IF(WEEKDAY(DT480-VLOOKUP($P480&amp;" | "&amp;DM$6,'Job Master'!$F$12:$I$102,4,0))&lt;&gt;7,DT480-VLOOKUP($P480&amp;" | "&amp;DM$6,'Job Master'!$F$12:$I$102,4,0),DT480-VLOOKUP($P480&amp;" | "&amp;DM$6,'Job Master'!$F$12:$I$102,4,0)-1),""),"")</f>
        <v/>
      </c>
      <c r="DP480" s="73"/>
      <c r="DQ480" s="123" t="str">
        <f t="shared" si="934"/>
        <v/>
      </c>
      <c r="DR480" s="123" t="str">
        <f t="shared" si="935"/>
        <v/>
      </c>
      <c r="DS480" s="97" t="str">
        <f t="shared" ca="1" si="936"/>
        <v/>
      </c>
      <c r="DT480" s="70" t="str">
        <f t="shared" si="937"/>
        <v/>
      </c>
      <c r="DU480" s="90"/>
      <c r="DV480" s="123" t="str">
        <f t="shared" si="938"/>
        <v/>
      </c>
      <c r="DW480" s="123" t="str">
        <f t="shared" si="939"/>
        <v/>
      </c>
      <c r="DX480" s="132" t="str">
        <f t="shared" ref="DX480" ca="1" si="973">IF(DT480&lt;&gt;"",IF(WEEKNUM(DT480)=WEEKNUM(TODAY()),"This Week",IF(WEEKNUM(DT480)=WEEKNUM(TODAY())+1,"Next Week",IF(WEEKNUM(DT480)=WEEKNUM(TODAY())-1,"Previous Week",""))),"")</f>
        <v/>
      </c>
      <c r="DY480" s="134" t="str">
        <f t="shared" si="941"/>
        <v/>
      </c>
      <c r="DZ480" s="95"/>
      <c r="EB480" s="8" t="str">
        <f t="shared" si="947"/>
        <v/>
      </c>
      <c r="EC480" s="8" t="str">
        <f>IF(O480&lt;&gt;"",VLOOKUP(O480,'Job Master'!$N$12:$O$18,2,0),"")</f>
        <v/>
      </c>
      <c r="ED480" s="8">
        <f t="shared" si="948"/>
        <v>19.5</v>
      </c>
      <c r="EE480" s="8">
        <f t="shared" si="949"/>
        <v>6</v>
      </c>
      <c r="EF480" s="8">
        <f t="shared" si="950"/>
        <v>-2800.5</v>
      </c>
      <c r="EG480" s="8" t="str">
        <f t="shared" si="951"/>
        <v/>
      </c>
      <c r="EH480" s="8" t="str">
        <f t="shared" si="952"/>
        <v/>
      </c>
    </row>
    <row r="481" spans="2:138" x14ac:dyDescent="0.3">
      <c r="B481" s="112"/>
      <c r="C481" s="27"/>
      <c r="D481" s="7" t="str">
        <f t="shared" si="891"/>
        <v/>
      </c>
      <c r="E481" s="25"/>
      <c r="F481" s="7" t="str">
        <f t="shared" si="891"/>
        <v/>
      </c>
      <c r="G481" s="25"/>
      <c r="H481" s="7" t="str">
        <f t="shared" si="891"/>
        <v/>
      </c>
      <c r="I481" s="25"/>
      <c r="J481" s="7" t="str">
        <f t="shared" si="891"/>
        <v/>
      </c>
      <c r="K481" s="25"/>
      <c r="L481" s="7" t="str">
        <f t="shared" si="891"/>
        <v/>
      </c>
      <c r="M481" s="25"/>
      <c r="N481" s="7" t="str">
        <f t="shared" si="891"/>
        <v/>
      </c>
      <c r="O481" s="81"/>
      <c r="P481" s="81" t="str">
        <f t="shared" si="892"/>
        <v/>
      </c>
      <c r="Q481" s="81"/>
      <c r="R481" s="7" t="str">
        <f t="shared" si="893"/>
        <v/>
      </c>
      <c r="S481" s="25"/>
      <c r="T481" s="7" t="str">
        <f t="shared" si="894"/>
        <v/>
      </c>
      <c r="U481" s="25"/>
      <c r="V481" s="7" t="str">
        <f t="shared" si="895"/>
        <v/>
      </c>
      <c r="W481" s="25"/>
      <c r="X481" s="7" t="str">
        <f t="shared" si="896"/>
        <v/>
      </c>
      <c r="Y481" s="18" t="str">
        <f t="shared" si="897"/>
        <v/>
      </c>
      <c r="Z481" s="7" t="str">
        <f t="shared" si="898"/>
        <v/>
      </c>
      <c r="AA481" s="18" t="str">
        <f t="shared" si="899"/>
        <v/>
      </c>
      <c r="AB481" s="19" t="str">
        <f t="shared" si="900"/>
        <v/>
      </c>
      <c r="AC481" s="26"/>
      <c r="AD481" s="26"/>
      <c r="AE481" s="25"/>
      <c r="AF481" s="26"/>
      <c r="AG481" s="25"/>
      <c r="AH481" s="25"/>
      <c r="AI481" s="18" t="str">
        <f t="shared" si="963"/>
        <v/>
      </c>
      <c r="AJ481" s="25"/>
      <c r="AK481" s="18" t="str">
        <f t="shared" si="964"/>
        <v/>
      </c>
      <c r="AL481" s="79"/>
      <c r="AM481" s="126" t="str">
        <f t="shared" si="965"/>
        <v/>
      </c>
      <c r="AN481" s="128" t="str">
        <f>IF(AP481&lt;&gt;"",VLOOKUP($P481&amp;" | "&amp;AN$6,'Job Master'!$F$12:$J$102,5,0),"")</f>
        <v/>
      </c>
      <c r="AO481" s="19" t="str">
        <f>IF(AP481&lt;&gt;"",VLOOKUP($P481&amp;" | "&amp;AN$6,'Job Master'!$F$12:$J$102,3,0),"")</f>
        <v/>
      </c>
      <c r="AP481" s="19" t="str">
        <f>IFERROR(IF(AND(AW481&lt;&gt;"",VLOOKUP($P481&amp;" | "&amp;AN$6,'Job Master'!$F$12:$I$102,4,0)&lt;&gt;""),IF(WEEKDAY(AW481-VLOOKUP($P481&amp;" | "&amp;AN$6,'Job Master'!$F$12:$I$102,4,0))&lt;&gt;7,AW481-VLOOKUP($P481&amp;" | "&amp;AN$6,'Job Master'!$F$12:$I$102,4,0),AW481-VLOOKUP($P481&amp;" | "&amp;AN$6,'Job Master'!$F$12:$I$102,4,0)-1),""),"")</f>
        <v/>
      </c>
      <c r="AQ481" s="73"/>
      <c r="AR481" s="123" t="str">
        <f t="shared" si="901"/>
        <v/>
      </c>
      <c r="AS481" s="123" t="str">
        <f t="shared" si="902"/>
        <v/>
      </c>
      <c r="AT481" s="97" t="str">
        <f t="shared" ca="1" si="903"/>
        <v/>
      </c>
      <c r="AU481" s="98" t="str">
        <f>IF(AW481&lt;&gt;"",VLOOKUP($P481&amp;" | "&amp;AU$6,'Job Master'!$F$12:$J$102,5,0),"")</f>
        <v/>
      </c>
      <c r="AV481" s="19" t="str">
        <f>IF(AW481&lt;&gt;"",VLOOKUP($P481&amp;" | "&amp;AU$6,'Job Master'!$F$12:$J$102,3,0),"")</f>
        <v/>
      </c>
      <c r="AW481" s="19" t="str">
        <f>IFERROR(IF(AND(BD481&lt;&gt;"",VLOOKUP($P481&amp;" | "&amp;AU$6,'Job Master'!$F$12:$I$102,4,0)&lt;&gt;""),IF(WEEKDAY(BD481-VLOOKUP($P481&amp;" | "&amp;AU$6,'Job Master'!$F$12:$I$102,4,0))&lt;&gt;7,BD481-VLOOKUP($P481&amp;" | "&amp;AU$6,'Job Master'!$F$12:$I$102,4,0),BD481-VLOOKUP($P481&amp;" | "&amp;AU$6,'Job Master'!$F$12:$I$102,4,0)-1),""),"")</f>
        <v/>
      </c>
      <c r="AX481" s="73"/>
      <c r="AY481" s="123" t="str">
        <f t="shared" si="904"/>
        <v/>
      </c>
      <c r="AZ481" s="123" t="str">
        <f t="shared" si="905"/>
        <v/>
      </c>
      <c r="BA481" s="97" t="str">
        <f t="shared" ca="1" si="906"/>
        <v/>
      </c>
      <c r="BB481" s="98" t="str">
        <f>IF(BD481&lt;&gt;"",VLOOKUP($P481&amp;" | "&amp;BB$6,'Job Master'!$F$12:$J$102,5,0),"")</f>
        <v/>
      </c>
      <c r="BC481" s="19" t="str">
        <f>IF(BD481&lt;&gt;"",VLOOKUP($P481&amp;" | "&amp;BB$6,'Job Master'!$F$12:$J$102,3,0),"")</f>
        <v/>
      </c>
      <c r="BD481" s="19" t="str">
        <f>IFERROR(IF(AND(BK481&lt;&gt;"",VLOOKUP($P481&amp;" | "&amp;BB$6,'Job Master'!$F$12:$I$102,4,0)&lt;&gt;""),IF(WEEKDAY(BK481-VLOOKUP($P481&amp;" | "&amp;BB$6,'Job Master'!$F$12:$I$102,4,0))&lt;&gt;7,BK481-VLOOKUP($P481&amp;" | "&amp;BB$6,'Job Master'!$F$12:$I$102,4,0),BK481-VLOOKUP($P481&amp;" | "&amp;BB$6,'Job Master'!$F$12:$I$102,4,0)-1),""),"")</f>
        <v/>
      </c>
      <c r="BE481" s="73"/>
      <c r="BF481" s="123" t="str">
        <f t="shared" si="907"/>
        <v/>
      </c>
      <c r="BG481" s="123" t="str">
        <f t="shared" si="908"/>
        <v/>
      </c>
      <c r="BH481" s="97" t="str">
        <f t="shared" ca="1" si="909"/>
        <v/>
      </c>
      <c r="BI481" s="98" t="str">
        <f>IF(BK481&lt;&gt;"",VLOOKUP($P481&amp;" | "&amp;BI$6,'Job Master'!$F$12:$J$102,5,0),"")</f>
        <v/>
      </c>
      <c r="BJ481" s="19" t="str">
        <f>IF(BK481&lt;&gt;"",VLOOKUP($P481&amp;" | "&amp;BI$6,'Job Master'!$F$12:$J$102,3,0),"")</f>
        <v/>
      </c>
      <c r="BK481" s="19" t="str">
        <f>IFERROR(IF(AND(BR481&lt;&gt;"",VLOOKUP($P481&amp;" | "&amp;BI$6,'Job Master'!$F$12:$I$102,4,0)&lt;&gt;""),IF(WEEKDAY(BR481-VLOOKUP($P481&amp;" | "&amp;BI$6,'Job Master'!$F$12:$I$102,4,0))&lt;&gt;7,BR481-VLOOKUP($P481&amp;" | "&amp;BI$6,'Job Master'!$F$12:$I$102,4,0),BR481-VLOOKUP($P481&amp;" | "&amp;BI$6,'Job Master'!$F$12:$I$102,4,0)-1),""),"")</f>
        <v/>
      </c>
      <c r="BL481" s="73"/>
      <c r="BM481" s="123" t="str">
        <f t="shared" si="910"/>
        <v/>
      </c>
      <c r="BN481" s="123" t="str">
        <f t="shared" si="911"/>
        <v/>
      </c>
      <c r="BO481" s="97" t="str">
        <f t="shared" ca="1" si="912"/>
        <v/>
      </c>
      <c r="BP481" s="98" t="str">
        <f>IF(BR481&lt;&gt;"",VLOOKUP($P481&amp;" | "&amp;BP$6,'Job Master'!$F$12:$J$102,5,0),"")</f>
        <v/>
      </c>
      <c r="BQ481" s="19" t="str">
        <f>IF(BR481&lt;&gt;"",VLOOKUP($P481&amp;" | "&amp;BP$6,'Job Master'!$F$12:$J$102,3,0),"")</f>
        <v/>
      </c>
      <c r="BR481" s="19" t="str">
        <f>IFERROR(IF(AND(BY481&lt;&gt;"",VLOOKUP($P481&amp;" | "&amp;BP$6,'Job Master'!$F$12:$I$102,4,0)&lt;&gt;""),IF(WEEKDAY(BY481-VLOOKUP($P481&amp;" | "&amp;BP$6,'Job Master'!$F$12:$I$102,4,0))&lt;&gt;7,BY481-VLOOKUP($P481&amp;" | "&amp;BP$6,'Job Master'!$F$12:$I$102,4,0),BY481-VLOOKUP($P481&amp;" | "&amp;BP$6,'Job Master'!$F$12:$I$102,4,0)-1),""),"")</f>
        <v/>
      </c>
      <c r="BS481" s="73"/>
      <c r="BT481" s="123" t="str">
        <f t="shared" si="913"/>
        <v/>
      </c>
      <c r="BU481" s="123" t="str">
        <f t="shared" si="914"/>
        <v/>
      </c>
      <c r="BV481" s="97" t="str">
        <f t="shared" ca="1" si="915"/>
        <v/>
      </c>
      <c r="BW481" s="98" t="str">
        <f>IF(BY481&lt;&gt;"",VLOOKUP($P481&amp;" | "&amp;BW$6,'Job Master'!$F$12:$J$102,5,0),"")</f>
        <v/>
      </c>
      <c r="BX481" s="19" t="str">
        <f>IF(BY481&lt;&gt;"",VLOOKUP($P481&amp;" | "&amp;BW$6,'Job Master'!$F$12:$J$102,3,0),"")</f>
        <v/>
      </c>
      <c r="BY481" s="19" t="str">
        <f>IFERROR(IF(AND(CF481&lt;&gt;"",VLOOKUP($P481&amp;" | "&amp;BW$6,'Job Master'!$F$12:$I$102,4,0)&lt;&gt;""),IF(WEEKDAY(CF481-VLOOKUP($P481&amp;" | "&amp;BW$6,'Job Master'!$F$12:$I$102,4,0))&lt;&gt;7,CF481-VLOOKUP($P481&amp;" | "&amp;BW$6,'Job Master'!$F$12:$I$102,4,0),CF481-VLOOKUP($P481&amp;" | "&amp;BW$6,'Job Master'!$F$12:$I$102,4,0)-1),""),"")</f>
        <v/>
      </c>
      <c r="BZ481" s="73"/>
      <c r="CA481" s="123" t="str">
        <f t="shared" si="916"/>
        <v/>
      </c>
      <c r="CB481" s="123" t="str">
        <f t="shared" si="917"/>
        <v/>
      </c>
      <c r="CC481" s="97" t="str">
        <f t="shared" ca="1" si="918"/>
        <v/>
      </c>
      <c r="CD481" s="98" t="str">
        <f>IF(CF481&lt;&gt;"",VLOOKUP($P481&amp;" | "&amp;CD$6,'Job Master'!$F$12:$J$102,5,0),"")</f>
        <v/>
      </c>
      <c r="CE481" s="19" t="str">
        <f>IF(CF481&lt;&gt;"",VLOOKUP($P481&amp;" | "&amp;CD$6,'Job Master'!$F$12:$J$102,3,0),"")</f>
        <v/>
      </c>
      <c r="CF481" s="19" t="str">
        <f>IFERROR(IF(AND(CM481&lt;&gt;"",VLOOKUP($P481&amp;" | "&amp;CD$6,'Job Master'!$F$12:$I$102,4,0)&lt;&gt;""),IF(WEEKDAY(CM481-VLOOKUP($P481&amp;" | "&amp;CD$6,'Job Master'!$F$12:$I$102,4,0))&lt;&gt;7,CM481-VLOOKUP($P481&amp;" | "&amp;CD$6,'Job Master'!$F$12:$I$102,4,0),CM481-VLOOKUP($P481&amp;" | "&amp;CD$6,'Job Master'!$F$12:$I$102,4,0)-1),""),"")</f>
        <v/>
      </c>
      <c r="CG481" s="73"/>
      <c r="CH481" s="123" t="str">
        <f t="shared" si="919"/>
        <v/>
      </c>
      <c r="CI481" s="123" t="str">
        <f t="shared" si="920"/>
        <v/>
      </c>
      <c r="CJ481" s="97" t="str">
        <f t="shared" ca="1" si="921"/>
        <v/>
      </c>
      <c r="CK481" s="98" t="str">
        <f>IF(CM481&lt;&gt;"",VLOOKUP($P481&amp;" | "&amp;CK$6,'Job Master'!$F$12:$J$102,5,0),"")</f>
        <v/>
      </c>
      <c r="CL481" s="19" t="str">
        <f>IF(CM481&lt;&gt;"",VLOOKUP($P481&amp;" | "&amp;CK$6,'Job Master'!$F$12:$J$102,3,0),"")</f>
        <v/>
      </c>
      <c r="CM481" s="19" t="str">
        <f>IFERROR(IF(AND(CT481&lt;&gt;"",VLOOKUP($P481&amp;" | "&amp;CK$6,'Job Master'!$F$12:$I$102,4,0)&lt;&gt;""),IF(WEEKDAY(CT481-VLOOKUP($P481&amp;" | "&amp;CK$6,'Job Master'!$F$12:$I$102,4,0))&lt;&gt;7,CT481-VLOOKUP($P481&amp;" | "&amp;CK$6,'Job Master'!$F$12:$I$102,4,0),CT481-VLOOKUP($P481&amp;" | "&amp;CK$6,'Job Master'!$F$12:$I$102,4,0)-1),""),"")</f>
        <v/>
      </c>
      <c r="CN481" s="73"/>
      <c r="CO481" s="123" t="str">
        <f t="shared" si="922"/>
        <v/>
      </c>
      <c r="CP481" s="123" t="str">
        <f t="shared" si="923"/>
        <v/>
      </c>
      <c r="CQ481" s="97" t="str">
        <f t="shared" ca="1" si="924"/>
        <v/>
      </c>
      <c r="CR481" s="98" t="str">
        <f>IF(CT481&lt;&gt;"",VLOOKUP($P481&amp;" | "&amp;CR$6,'Job Master'!$F$12:$J$102,5,0),"")</f>
        <v/>
      </c>
      <c r="CS481" s="19" t="str">
        <f>IF(CT481&lt;&gt;"",VLOOKUP($P481&amp;" | "&amp;CR$6,'Job Master'!$F$12:$J$102,3,0),"")</f>
        <v/>
      </c>
      <c r="CT481" s="19" t="str">
        <f>IFERROR(IF(AND(DA481&lt;&gt;"",VLOOKUP($P481&amp;" | "&amp;CR$6,'Job Master'!$F$12:$I$102,4,0)&lt;&gt;""),IF(WEEKDAY(DA481-VLOOKUP($P481&amp;" | "&amp;CR$6,'Job Master'!$F$12:$I$102,4,0))&lt;&gt;7,DA481-VLOOKUP($P481&amp;" | "&amp;CR$6,'Job Master'!$F$12:$I$102,4,0),DA481-VLOOKUP($P481&amp;" | "&amp;CR$6,'Job Master'!$F$12:$I$102,4,0)-1),""),"")</f>
        <v/>
      </c>
      <c r="CU481" s="73"/>
      <c r="CV481" s="123" t="str">
        <f t="shared" si="925"/>
        <v/>
      </c>
      <c r="CW481" s="123" t="str">
        <f t="shared" si="926"/>
        <v/>
      </c>
      <c r="CX481" s="97" t="str">
        <f t="shared" ca="1" si="927"/>
        <v/>
      </c>
      <c r="CY481" s="98" t="str">
        <f>IF(DA481&lt;&gt;"",VLOOKUP($P481&amp;" | "&amp;CY$6,'Job Master'!$F$12:$J$102,5,0),"")</f>
        <v/>
      </c>
      <c r="CZ481" s="19" t="str">
        <f>IF(DA481&lt;&gt;"",VLOOKUP($P481&amp;" | "&amp;CY$6,'Job Master'!$F$12:$J$102,3,0),"")</f>
        <v/>
      </c>
      <c r="DA481" s="19" t="str">
        <f>IFERROR(IF(AND(DH481&lt;&gt;"",VLOOKUP($P481&amp;" | "&amp;CY$6,'Job Master'!$F$12:$I$102,4,0)&lt;&gt;""),IF(WEEKDAY(DH481-VLOOKUP($P481&amp;" | "&amp;CY$6,'Job Master'!$F$12:$I$102,4,0))&lt;&gt;7,DH481-VLOOKUP($P481&amp;" | "&amp;CY$6,'Job Master'!$F$12:$I$102,4,0),DH481-VLOOKUP($P481&amp;" | "&amp;CY$6,'Job Master'!$F$12:$I$102,4,0)-1),""),"")</f>
        <v/>
      </c>
      <c r="DB481" s="73"/>
      <c r="DC481" s="123" t="str">
        <f t="shared" si="928"/>
        <v/>
      </c>
      <c r="DD481" s="123" t="str">
        <f t="shared" si="929"/>
        <v/>
      </c>
      <c r="DE481" s="97" t="str">
        <f t="shared" ca="1" si="930"/>
        <v/>
      </c>
      <c r="DF481" s="98" t="str">
        <f>IF(DH481&lt;&gt;"",VLOOKUP($P481&amp;" | "&amp;DF$6,'Job Master'!$F$12:$J$102,5,0),"")</f>
        <v/>
      </c>
      <c r="DG481" s="19" t="str">
        <f>IF(DH481&lt;&gt;"",VLOOKUP($P481&amp;" | "&amp;DF$6,'Job Master'!$F$12:$J$102,3,0),"")</f>
        <v/>
      </c>
      <c r="DH481" s="19" t="str">
        <f>IFERROR(IF(AND(DO481&lt;&gt;"",VLOOKUP($P481&amp;" | "&amp;DF$6,'Job Master'!$F$12:$I$102,4,0)&lt;&gt;""),IF(WEEKDAY(DO481-VLOOKUP($P481&amp;" | "&amp;DF$6,'Job Master'!$F$12:$I$102,4,0))&lt;&gt;7,DO481-VLOOKUP($P481&amp;" | "&amp;DF$6,'Job Master'!$F$12:$I$102,4,0),DO481-VLOOKUP($P481&amp;" | "&amp;DF$6,'Job Master'!$F$12:$I$102,4,0)-1),""),"")</f>
        <v/>
      </c>
      <c r="DI481" s="73"/>
      <c r="DJ481" s="123" t="str">
        <f t="shared" si="931"/>
        <v/>
      </c>
      <c r="DK481" s="123" t="str">
        <f t="shared" si="932"/>
        <v/>
      </c>
      <c r="DL481" s="97" t="str">
        <f t="shared" ca="1" si="933"/>
        <v/>
      </c>
      <c r="DM481" s="98" t="str">
        <f>IF(DO481&lt;&gt;"",VLOOKUP($P481&amp;" | "&amp;DM$6,'Job Master'!$F$12:$J$102,5,0),"")</f>
        <v/>
      </c>
      <c r="DN481" s="19" t="str">
        <f>IF(DO481&lt;&gt;"",VLOOKUP($P481&amp;" | "&amp;DM$6,'Job Master'!$F$12:$J$102,3,0),"")</f>
        <v/>
      </c>
      <c r="DO481" s="19" t="str">
        <f>IFERROR(IF(AND(DT481&lt;&gt;"",VLOOKUP($P481&amp;" | "&amp;DM$6,'Job Master'!$F$12:$I$102,4,0)&lt;&gt;""),IF(WEEKDAY(DT481-VLOOKUP($P481&amp;" | "&amp;DM$6,'Job Master'!$F$12:$I$102,4,0))&lt;&gt;7,DT481-VLOOKUP($P481&amp;" | "&amp;DM$6,'Job Master'!$F$12:$I$102,4,0),DT481-VLOOKUP($P481&amp;" | "&amp;DM$6,'Job Master'!$F$12:$I$102,4,0)-1),""),"")</f>
        <v/>
      </c>
      <c r="DP481" s="73"/>
      <c r="DQ481" s="123" t="str">
        <f t="shared" si="934"/>
        <v/>
      </c>
      <c r="DR481" s="123" t="str">
        <f t="shared" si="935"/>
        <v/>
      </c>
      <c r="DS481" s="97" t="str">
        <f t="shared" ca="1" si="936"/>
        <v/>
      </c>
      <c r="DT481" s="70" t="str">
        <f t="shared" si="937"/>
        <v/>
      </c>
      <c r="DU481" s="90"/>
      <c r="DV481" s="123" t="str">
        <f t="shared" si="938"/>
        <v/>
      </c>
      <c r="DW481" s="123" t="str">
        <f t="shared" si="939"/>
        <v/>
      </c>
      <c r="DX481" s="132" t="str">
        <f t="shared" ref="DX481" ca="1" si="974">IF(DT481&lt;&gt;"",IF(WEEKNUM(DT481)=WEEKNUM(TODAY()),"This Week",IF(WEEKNUM(DT481)=WEEKNUM(TODAY())+1,"Next Week",IF(WEEKNUM(DT481)=WEEKNUM(TODAY())-1,"Previous Week",""))),"")</f>
        <v/>
      </c>
      <c r="DY481" s="134" t="str">
        <f t="shared" si="941"/>
        <v/>
      </c>
      <c r="DZ481" s="95"/>
      <c r="EB481" s="8" t="str">
        <f t="shared" si="947"/>
        <v/>
      </c>
      <c r="EC481" s="8" t="str">
        <f>IF(O481&lt;&gt;"",VLOOKUP(O481,'Job Master'!$N$12:$O$18,2,0),"")</f>
        <v/>
      </c>
      <c r="ED481" s="8">
        <f t="shared" si="948"/>
        <v>19.5</v>
      </c>
      <c r="EE481" s="8">
        <f t="shared" si="949"/>
        <v>6</v>
      </c>
      <c r="EF481" s="8">
        <f t="shared" si="950"/>
        <v>-2806.5</v>
      </c>
      <c r="EG481" s="8" t="str">
        <f t="shared" si="951"/>
        <v/>
      </c>
      <c r="EH481" s="8" t="str">
        <f t="shared" si="952"/>
        <v/>
      </c>
    </row>
    <row r="482" spans="2:138" x14ac:dyDescent="0.3">
      <c r="B482" s="112"/>
      <c r="C482" s="27"/>
      <c r="D482" s="7" t="str">
        <f t="shared" si="891"/>
        <v/>
      </c>
      <c r="E482" s="25"/>
      <c r="F482" s="7" t="str">
        <f t="shared" si="891"/>
        <v/>
      </c>
      <c r="G482" s="25"/>
      <c r="H482" s="7" t="str">
        <f t="shared" si="891"/>
        <v/>
      </c>
      <c r="I482" s="25"/>
      <c r="J482" s="7" t="str">
        <f t="shared" si="891"/>
        <v/>
      </c>
      <c r="K482" s="25"/>
      <c r="L482" s="7" t="str">
        <f t="shared" si="891"/>
        <v/>
      </c>
      <c r="M482" s="25"/>
      <c r="N482" s="7" t="str">
        <f t="shared" si="891"/>
        <v/>
      </c>
      <c r="O482" s="81"/>
      <c r="P482" s="81" t="str">
        <f t="shared" si="892"/>
        <v/>
      </c>
      <c r="Q482" s="81"/>
      <c r="R482" s="7" t="str">
        <f t="shared" si="893"/>
        <v/>
      </c>
      <c r="S482" s="25"/>
      <c r="T482" s="7" t="str">
        <f t="shared" si="894"/>
        <v/>
      </c>
      <c r="U482" s="25"/>
      <c r="V482" s="7" t="str">
        <f t="shared" si="895"/>
        <v/>
      </c>
      <c r="W482" s="25"/>
      <c r="X482" s="7" t="str">
        <f t="shared" si="896"/>
        <v/>
      </c>
      <c r="Y482" s="18" t="str">
        <f t="shared" si="897"/>
        <v/>
      </c>
      <c r="Z482" s="7" t="str">
        <f t="shared" si="898"/>
        <v/>
      </c>
      <c r="AA482" s="18" t="str">
        <f t="shared" si="899"/>
        <v/>
      </c>
      <c r="AB482" s="19" t="str">
        <f t="shared" si="900"/>
        <v/>
      </c>
      <c r="AC482" s="26"/>
      <c r="AD482" s="26"/>
      <c r="AE482" s="25"/>
      <c r="AF482" s="26"/>
      <c r="AG482" s="25"/>
      <c r="AH482" s="25"/>
      <c r="AI482" s="18" t="str">
        <f t="shared" si="963"/>
        <v/>
      </c>
      <c r="AJ482" s="25"/>
      <c r="AK482" s="18" t="str">
        <f t="shared" si="964"/>
        <v/>
      </c>
      <c r="AL482" s="79"/>
      <c r="AM482" s="126" t="str">
        <f t="shared" si="965"/>
        <v/>
      </c>
      <c r="AN482" s="128" t="str">
        <f>IF(AP482&lt;&gt;"",VLOOKUP($P482&amp;" | "&amp;AN$6,'Job Master'!$F$12:$J$102,5,0),"")</f>
        <v/>
      </c>
      <c r="AO482" s="19" t="str">
        <f>IF(AP482&lt;&gt;"",VLOOKUP($P482&amp;" | "&amp;AN$6,'Job Master'!$F$12:$J$102,3,0),"")</f>
        <v/>
      </c>
      <c r="AP482" s="19" t="str">
        <f>IFERROR(IF(AND(AW482&lt;&gt;"",VLOOKUP($P482&amp;" | "&amp;AN$6,'Job Master'!$F$12:$I$102,4,0)&lt;&gt;""),IF(WEEKDAY(AW482-VLOOKUP($P482&amp;" | "&amp;AN$6,'Job Master'!$F$12:$I$102,4,0))&lt;&gt;7,AW482-VLOOKUP($P482&amp;" | "&amp;AN$6,'Job Master'!$F$12:$I$102,4,0),AW482-VLOOKUP($P482&amp;" | "&amp;AN$6,'Job Master'!$F$12:$I$102,4,0)-1),""),"")</f>
        <v/>
      </c>
      <c r="AQ482" s="73"/>
      <c r="AR482" s="123" t="str">
        <f t="shared" si="901"/>
        <v/>
      </c>
      <c r="AS482" s="123" t="str">
        <f t="shared" si="902"/>
        <v/>
      </c>
      <c r="AT482" s="97" t="str">
        <f t="shared" ca="1" si="903"/>
        <v/>
      </c>
      <c r="AU482" s="98" t="str">
        <f>IF(AW482&lt;&gt;"",VLOOKUP($P482&amp;" | "&amp;AU$6,'Job Master'!$F$12:$J$102,5,0),"")</f>
        <v/>
      </c>
      <c r="AV482" s="19" t="str">
        <f>IF(AW482&lt;&gt;"",VLOOKUP($P482&amp;" | "&amp;AU$6,'Job Master'!$F$12:$J$102,3,0),"")</f>
        <v/>
      </c>
      <c r="AW482" s="19" t="str">
        <f>IFERROR(IF(AND(BD482&lt;&gt;"",VLOOKUP($P482&amp;" | "&amp;AU$6,'Job Master'!$F$12:$I$102,4,0)&lt;&gt;""),IF(WEEKDAY(BD482-VLOOKUP($P482&amp;" | "&amp;AU$6,'Job Master'!$F$12:$I$102,4,0))&lt;&gt;7,BD482-VLOOKUP($P482&amp;" | "&amp;AU$6,'Job Master'!$F$12:$I$102,4,0),BD482-VLOOKUP($P482&amp;" | "&amp;AU$6,'Job Master'!$F$12:$I$102,4,0)-1),""),"")</f>
        <v/>
      </c>
      <c r="AX482" s="73"/>
      <c r="AY482" s="123" t="str">
        <f t="shared" si="904"/>
        <v/>
      </c>
      <c r="AZ482" s="123" t="str">
        <f t="shared" si="905"/>
        <v/>
      </c>
      <c r="BA482" s="97" t="str">
        <f t="shared" ca="1" si="906"/>
        <v/>
      </c>
      <c r="BB482" s="98" t="str">
        <f>IF(BD482&lt;&gt;"",VLOOKUP($P482&amp;" | "&amp;BB$6,'Job Master'!$F$12:$J$102,5,0),"")</f>
        <v/>
      </c>
      <c r="BC482" s="19" t="str">
        <f>IF(BD482&lt;&gt;"",VLOOKUP($P482&amp;" | "&amp;BB$6,'Job Master'!$F$12:$J$102,3,0),"")</f>
        <v/>
      </c>
      <c r="BD482" s="19" t="str">
        <f>IFERROR(IF(AND(BK482&lt;&gt;"",VLOOKUP($P482&amp;" | "&amp;BB$6,'Job Master'!$F$12:$I$102,4,0)&lt;&gt;""),IF(WEEKDAY(BK482-VLOOKUP($P482&amp;" | "&amp;BB$6,'Job Master'!$F$12:$I$102,4,0))&lt;&gt;7,BK482-VLOOKUP($P482&amp;" | "&amp;BB$6,'Job Master'!$F$12:$I$102,4,0),BK482-VLOOKUP($P482&amp;" | "&amp;BB$6,'Job Master'!$F$12:$I$102,4,0)-1),""),"")</f>
        <v/>
      </c>
      <c r="BE482" s="73"/>
      <c r="BF482" s="123" t="str">
        <f t="shared" si="907"/>
        <v/>
      </c>
      <c r="BG482" s="123" t="str">
        <f t="shared" si="908"/>
        <v/>
      </c>
      <c r="BH482" s="97" t="str">
        <f t="shared" ca="1" si="909"/>
        <v/>
      </c>
      <c r="BI482" s="98" t="str">
        <f>IF(BK482&lt;&gt;"",VLOOKUP($P482&amp;" | "&amp;BI$6,'Job Master'!$F$12:$J$102,5,0),"")</f>
        <v/>
      </c>
      <c r="BJ482" s="19" t="str">
        <f>IF(BK482&lt;&gt;"",VLOOKUP($P482&amp;" | "&amp;BI$6,'Job Master'!$F$12:$J$102,3,0),"")</f>
        <v/>
      </c>
      <c r="BK482" s="19" t="str">
        <f>IFERROR(IF(AND(BR482&lt;&gt;"",VLOOKUP($P482&amp;" | "&amp;BI$6,'Job Master'!$F$12:$I$102,4,0)&lt;&gt;""),IF(WEEKDAY(BR482-VLOOKUP($P482&amp;" | "&amp;BI$6,'Job Master'!$F$12:$I$102,4,0))&lt;&gt;7,BR482-VLOOKUP($P482&amp;" | "&amp;BI$6,'Job Master'!$F$12:$I$102,4,0),BR482-VLOOKUP($P482&amp;" | "&amp;BI$6,'Job Master'!$F$12:$I$102,4,0)-1),""),"")</f>
        <v/>
      </c>
      <c r="BL482" s="73"/>
      <c r="BM482" s="123" t="str">
        <f t="shared" si="910"/>
        <v/>
      </c>
      <c r="BN482" s="123" t="str">
        <f t="shared" si="911"/>
        <v/>
      </c>
      <c r="BO482" s="97" t="str">
        <f t="shared" ca="1" si="912"/>
        <v/>
      </c>
      <c r="BP482" s="98" t="str">
        <f>IF(BR482&lt;&gt;"",VLOOKUP($P482&amp;" | "&amp;BP$6,'Job Master'!$F$12:$J$102,5,0),"")</f>
        <v/>
      </c>
      <c r="BQ482" s="19" t="str">
        <f>IF(BR482&lt;&gt;"",VLOOKUP($P482&amp;" | "&amp;BP$6,'Job Master'!$F$12:$J$102,3,0),"")</f>
        <v/>
      </c>
      <c r="BR482" s="19" t="str">
        <f>IFERROR(IF(AND(BY482&lt;&gt;"",VLOOKUP($P482&amp;" | "&amp;BP$6,'Job Master'!$F$12:$I$102,4,0)&lt;&gt;""),IF(WEEKDAY(BY482-VLOOKUP($P482&amp;" | "&amp;BP$6,'Job Master'!$F$12:$I$102,4,0))&lt;&gt;7,BY482-VLOOKUP($P482&amp;" | "&amp;BP$6,'Job Master'!$F$12:$I$102,4,0),BY482-VLOOKUP($P482&amp;" | "&amp;BP$6,'Job Master'!$F$12:$I$102,4,0)-1),""),"")</f>
        <v/>
      </c>
      <c r="BS482" s="73"/>
      <c r="BT482" s="123" t="str">
        <f t="shared" si="913"/>
        <v/>
      </c>
      <c r="BU482" s="123" t="str">
        <f t="shared" si="914"/>
        <v/>
      </c>
      <c r="BV482" s="97" t="str">
        <f t="shared" ca="1" si="915"/>
        <v/>
      </c>
      <c r="BW482" s="98" t="str">
        <f>IF(BY482&lt;&gt;"",VLOOKUP($P482&amp;" | "&amp;BW$6,'Job Master'!$F$12:$J$102,5,0),"")</f>
        <v/>
      </c>
      <c r="BX482" s="19" t="str">
        <f>IF(BY482&lt;&gt;"",VLOOKUP($P482&amp;" | "&amp;BW$6,'Job Master'!$F$12:$J$102,3,0),"")</f>
        <v/>
      </c>
      <c r="BY482" s="19" t="str">
        <f>IFERROR(IF(AND(CF482&lt;&gt;"",VLOOKUP($P482&amp;" | "&amp;BW$6,'Job Master'!$F$12:$I$102,4,0)&lt;&gt;""),IF(WEEKDAY(CF482-VLOOKUP($P482&amp;" | "&amp;BW$6,'Job Master'!$F$12:$I$102,4,0))&lt;&gt;7,CF482-VLOOKUP($P482&amp;" | "&amp;BW$6,'Job Master'!$F$12:$I$102,4,0),CF482-VLOOKUP($P482&amp;" | "&amp;BW$6,'Job Master'!$F$12:$I$102,4,0)-1),""),"")</f>
        <v/>
      </c>
      <c r="BZ482" s="73"/>
      <c r="CA482" s="123" t="str">
        <f t="shared" si="916"/>
        <v/>
      </c>
      <c r="CB482" s="123" t="str">
        <f t="shared" si="917"/>
        <v/>
      </c>
      <c r="CC482" s="97" t="str">
        <f t="shared" ca="1" si="918"/>
        <v/>
      </c>
      <c r="CD482" s="98" t="str">
        <f>IF(CF482&lt;&gt;"",VLOOKUP($P482&amp;" | "&amp;CD$6,'Job Master'!$F$12:$J$102,5,0),"")</f>
        <v/>
      </c>
      <c r="CE482" s="19" t="str">
        <f>IF(CF482&lt;&gt;"",VLOOKUP($P482&amp;" | "&amp;CD$6,'Job Master'!$F$12:$J$102,3,0),"")</f>
        <v/>
      </c>
      <c r="CF482" s="19" t="str">
        <f>IFERROR(IF(AND(CM482&lt;&gt;"",VLOOKUP($P482&amp;" | "&amp;CD$6,'Job Master'!$F$12:$I$102,4,0)&lt;&gt;""),IF(WEEKDAY(CM482-VLOOKUP($P482&amp;" | "&amp;CD$6,'Job Master'!$F$12:$I$102,4,0))&lt;&gt;7,CM482-VLOOKUP($P482&amp;" | "&amp;CD$6,'Job Master'!$F$12:$I$102,4,0),CM482-VLOOKUP($P482&amp;" | "&amp;CD$6,'Job Master'!$F$12:$I$102,4,0)-1),""),"")</f>
        <v/>
      </c>
      <c r="CG482" s="73"/>
      <c r="CH482" s="123" t="str">
        <f t="shared" si="919"/>
        <v/>
      </c>
      <c r="CI482" s="123" t="str">
        <f t="shared" si="920"/>
        <v/>
      </c>
      <c r="CJ482" s="97" t="str">
        <f t="shared" ca="1" si="921"/>
        <v/>
      </c>
      <c r="CK482" s="98" t="str">
        <f>IF(CM482&lt;&gt;"",VLOOKUP($P482&amp;" | "&amp;CK$6,'Job Master'!$F$12:$J$102,5,0),"")</f>
        <v/>
      </c>
      <c r="CL482" s="19" t="str">
        <f>IF(CM482&lt;&gt;"",VLOOKUP($P482&amp;" | "&amp;CK$6,'Job Master'!$F$12:$J$102,3,0),"")</f>
        <v/>
      </c>
      <c r="CM482" s="19" t="str">
        <f>IFERROR(IF(AND(CT482&lt;&gt;"",VLOOKUP($P482&amp;" | "&amp;CK$6,'Job Master'!$F$12:$I$102,4,0)&lt;&gt;""),IF(WEEKDAY(CT482-VLOOKUP($P482&amp;" | "&amp;CK$6,'Job Master'!$F$12:$I$102,4,0))&lt;&gt;7,CT482-VLOOKUP($P482&amp;" | "&amp;CK$6,'Job Master'!$F$12:$I$102,4,0),CT482-VLOOKUP($P482&amp;" | "&amp;CK$6,'Job Master'!$F$12:$I$102,4,0)-1),""),"")</f>
        <v/>
      </c>
      <c r="CN482" s="73"/>
      <c r="CO482" s="123" t="str">
        <f t="shared" si="922"/>
        <v/>
      </c>
      <c r="CP482" s="123" t="str">
        <f t="shared" si="923"/>
        <v/>
      </c>
      <c r="CQ482" s="97" t="str">
        <f t="shared" ca="1" si="924"/>
        <v/>
      </c>
      <c r="CR482" s="98" t="str">
        <f>IF(CT482&lt;&gt;"",VLOOKUP($P482&amp;" | "&amp;CR$6,'Job Master'!$F$12:$J$102,5,0),"")</f>
        <v/>
      </c>
      <c r="CS482" s="19" t="str">
        <f>IF(CT482&lt;&gt;"",VLOOKUP($P482&amp;" | "&amp;CR$6,'Job Master'!$F$12:$J$102,3,0),"")</f>
        <v/>
      </c>
      <c r="CT482" s="19" t="str">
        <f>IFERROR(IF(AND(DA482&lt;&gt;"",VLOOKUP($P482&amp;" | "&amp;CR$6,'Job Master'!$F$12:$I$102,4,0)&lt;&gt;""),IF(WEEKDAY(DA482-VLOOKUP($P482&amp;" | "&amp;CR$6,'Job Master'!$F$12:$I$102,4,0))&lt;&gt;7,DA482-VLOOKUP($P482&amp;" | "&amp;CR$6,'Job Master'!$F$12:$I$102,4,0),DA482-VLOOKUP($P482&amp;" | "&amp;CR$6,'Job Master'!$F$12:$I$102,4,0)-1),""),"")</f>
        <v/>
      </c>
      <c r="CU482" s="73"/>
      <c r="CV482" s="123" t="str">
        <f t="shared" si="925"/>
        <v/>
      </c>
      <c r="CW482" s="123" t="str">
        <f t="shared" si="926"/>
        <v/>
      </c>
      <c r="CX482" s="97" t="str">
        <f t="shared" ca="1" si="927"/>
        <v/>
      </c>
      <c r="CY482" s="98" t="str">
        <f>IF(DA482&lt;&gt;"",VLOOKUP($P482&amp;" | "&amp;CY$6,'Job Master'!$F$12:$J$102,5,0),"")</f>
        <v/>
      </c>
      <c r="CZ482" s="19" t="str">
        <f>IF(DA482&lt;&gt;"",VLOOKUP($P482&amp;" | "&amp;CY$6,'Job Master'!$F$12:$J$102,3,0),"")</f>
        <v/>
      </c>
      <c r="DA482" s="19" t="str">
        <f>IFERROR(IF(AND(DH482&lt;&gt;"",VLOOKUP($P482&amp;" | "&amp;CY$6,'Job Master'!$F$12:$I$102,4,0)&lt;&gt;""),IF(WEEKDAY(DH482-VLOOKUP($P482&amp;" | "&amp;CY$6,'Job Master'!$F$12:$I$102,4,0))&lt;&gt;7,DH482-VLOOKUP($P482&amp;" | "&amp;CY$6,'Job Master'!$F$12:$I$102,4,0),DH482-VLOOKUP($P482&amp;" | "&amp;CY$6,'Job Master'!$F$12:$I$102,4,0)-1),""),"")</f>
        <v/>
      </c>
      <c r="DB482" s="73"/>
      <c r="DC482" s="123" t="str">
        <f t="shared" si="928"/>
        <v/>
      </c>
      <c r="DD482" s="123" t="str">
        <f t="shared" si="929"/>
        <v/>
      </c>
      <c r="DE482" s="97" t="str">
        <f t="shared" ca="1" si="930"/>
        <v/>
      </c>
      <c r="DF482" s="98" t="str">
        <f>IF(DH482&lt;&gt;"",VLOOKUP($P482&amp;" | "&amp;DF$6,'Job Master'!$F$12:$J$102,5,0),"")</f>
        <v/>
      </c>
      <c r="DG482" s="19" t="str">
        <f>IF(DH482&lt;&gt;"",VLOOKUP($P482&amp;" | "&amp;DF$6,'Job Master'!$F$12:$J$102,3,0),"")</f>
        <v/>
      </c>
      <c r="DH482" s="19" t="str">
        <f>IFERROR(IF(AND(DO482&lt;&gt;"",VLOOKUP($P482&amp;" | "&amp;DF$6,'Job Master'!$F$12:$I$102,4,0)&lt;&gt;""),IF(WEEKDAY(DO482-VLOOKUP($P482&amp;" | "&amp;DF$6,'Job Master'!$F$12:$I$102,4,0))&lt;&gt;7,DO482-VLOOKUP($P482&amp;" | "&amp;DF$6,'Job Master'!$F$12:$I$102,4,0),DO482-VLOOKUP($P482&amp;" | "&amp;DF$6,'Job Master'!$F$12:$I$102,4,0)-1),""),"")</f>
        <v/>
      </c>
      <c r="DI482" s="73"/>
      <c r="DJ482" s="123" t="str">
        <f t="shared" si="931"/>
        <v/>
      </c>
      <c r="DK482" s="123" t="str">
        <f t="shared" si="932"/>
        <v/>
      </c>
      <c r="DL482" s="97" t="str">
        <f t="shared" ca="1" si="933"/>
        <v/>
      </c>
      <c r="DM482" s="98" t="str">
        <f>IF(DO482&lt;&gt;"",VLOOKUP($P482&amp;" | "&amp;DM$6,'Job Master'!$F$12:$J$102,5,0),"")</f>
        <v/>
      </c>
      <c r="DN482" s="19" t="str">
        <f>IF(DO482&lt;&gt;"",VLOOKUP($P482&amp;" | "&amp;DM$6,'Job Master'!$F$12:$J$102,3,0),"")</f>
        <v/>
      </c>
      <c r="DO482" s="19" t="str">
        <f>IFERROR(IF(AND(DT482&lt;&gt;"",VLOOKUP($P482&amp;" | "&amp;DM$6,'Job Master'!$F$12:$I$102,4,0)&lt;&gt;""),IF(WEEKDAY(DT482-VLOOKUP($P482&amp;" | "&amp;DM$6,'Job Master'!$F$12:$I$102,4,0))&lt;&gt;7,DT482-VLOOKUP($P482&amp;" | "&amp;DM$6,'Job Master'!$F$12:$I$102,4,0),DT482-VLOOKUP($P482&amp;" | "&amp;DM$6,'Job Master'!$F$12:$I$102,4,0)-1),""),"")</f>
        <v/>
      </c>
      <c r="DP482" s="73"/>
      <c r="DQ482" s="123" t="str">
        <f t="shared" si="934"/>
        <v/>
      </c>
      <c r="DR482" s="123" t="str">
        <f t="shared" si="935"/>
        <v/>
      </c>
      <c r="DS482" s="97" t="str">
        <f t="shared" ca="1" si="936"/>
        <v/>
      </c>
      <c r="DT482" s="70" t="str">
        <f t="shared" si="937"/>
        <v/>
      </c>
      <c r="DU482" s="90"/>
      <c r="DV482" s="123" t="str">
        <f t="shared" si="938"/>
        <v/>
      </c>
      <c r="DW482" s="123" t="str">
        <f t="shared" si="939"/>
        <v/>
      </c>
      <c r="DX482" s="132" t="str">
        <f t="shared" ref="DX482" ca="1" si="975">IF(DT482&lt;&gt;"",IF(WEEKNUM(DT482)=WEEKNUM(TODAY()),"This Week",IF(WEEKNUM(DT482)=WEEKNUM(TODAY())+1,"Next Week",IF(WEEKNUM(DT482)=WEEKNUM(TODAY())-1,"Previous Week",""))),"")</f>
        <v/>
      </c>
      <c r="DY482" s="134" t="str">
        <f t="shared" si="941"/>
        <v/>
      </c>
      <c r="DZ482" s="95"/>
      <c r="EB482" s="8" t="str">
        <f t="shared" si="947"/>
        <v/>
      </c>
      <c r="EC482" s="8" t="str">
        <f>IF(O482&lt;&gt;"",VLOOKUP(O482,'Job Master'!$N$12:$O$18,2,0),"")</f>
        <v/>
      </c>
      <c r="ED482" s="8">
        <f t="shared" si="948"/>
        <v>19.5</v>
      </c>
      <c r="EE482" s="8">
        <f t="shared" si="949"/>
        <v>6</v>
      </c>
      <c r="EF482" s="8">
        <f t="shared" si="950"/>
        <v>-2812.5</v>
      </c>
      <c r="EG482" s="8" t="str">
        <f t="shared" si="951"/>
        <v/>
      </c>
      <c r="EH482" s="8" t="str">
        <f t="shared" si="952"/>
        <v/>
      </c>
    </row>
    <row r="483" spans="2:138" x14ac:dyDescent="0.3">
      <c r="B483" s="112"/>
      <c r="C483" s="27"/>
      <c r="D483" s="7" t="str">
        <f t="shared" si="891"/>
        <v/>
      </c>
      <c r="E483" s="25"/>
      <c r="F483" s="7" t="str">
        <f t="shared" si="891"/>
        <v/>
      </c>
      <c r="G483" s="25"/>
      <c r="H483" s="7" t="str">
        <f t="shared" si="891"/>
        <v/>
      </c>
      <c r="I483" s="25"/>
      <c r="J483" s="7" t="str">
        <f t="shared" si="891"/>
        <v/>
      </c>
      <c r="K483" s="25"/>
      <c r="L483" s="7" t="str">
        <f t="shared" si="891"/>
        <v/>
      </c>
      <c r="M483" s="25"/>
      <c r="N483" s="7" t="str">
        <f t="shared" si="891"/>
        <v/>
      </c>
      <c r="O483" s="81"/>
      <c r="P483" s="81" t="str">
        <f t="shared" si="892"/>
        <v/>
      </c>
      <c r="Q483" s="81"/>
      <c r="R483" s="7" t="str">
        <f t="shared" si="893"/>
        <v/>
      </c>
      <c r="S483" s="25"/>
      <c r="T483" s="7" t="str">
        <f t="shared" si="894"/>
        <v/>
      </c>
      <c r="U483" s="25"/>
      <c r="V483" s="7" t="str">
        <f t="shared" si="895"/>
        <v/>
      </c>
      <c r="W483" s="25"/>
      <c r="X483" s="7" t="str">
        <f t="shared" si="896"/>
        <v/>
      </c>
      <c r="Y483" s="18" t="str">
        <f t="shared" si="897"/>
        <v/>
      </c>
      <c r="Z483" s="7" t="str">
        <f t="shared" si="898"/>
        <v/>
      </c>
      <c r="AA483" s="18" t="str">
        <f t="shared" si="899"/>
        <v/>
      </c>
      <c r="AB483" s="19" t="str">
        <f t="shared" si="900"/>
        <v/>
      </c>
      <c r="AC483" s="26"/>
      <c r="AD483" s="26"/>
      <c r="AE483" s="25"/>
      <c r="AF483" s="26"/>
      <c r="AG483" s="25"/>
      <c r="AH483" s="25"/>
      <c r="AI483" s="18" t="str">
        <f t="shared" si="963"/>
        <v/>
      </c>
      <c r="AJ483" s="25"/>
      <c r="AK483" s="18" t="str">
        <f t="shared" si="964"/>
        <v/>
      </c>
      <c r="AL483" s="79"/>
      <c r="AM483" s="126" t="str">
        <f t="shared" si="965"/>
        <v/>
      </c>
      <c r="AN483" s="128" t="str">
        <f>IF(AP483&lt;&gt;"",VLOOKUP($P483&amp;" | "&amp;AN$6,'Job Master'!$F$12:$J$102,5,0),"")</f>
        <v/>
      </c>
      <c r="AO483" s="19" t="str">
        <f>IF(AP483&lt;&gt;"",VLOOKUP($P483&amp;" | "&amp;AN$6,'Job Master'!$F$12:$J$102,3,0),"")</f>
        <v/>
      </c>
      <c r="AP483" s="19" t="str">
        <f>IFERROR(IF(AND(AW483&lt;&gt;"",VLOOKUP($P483&amp;" | "&amp;AN$6,'Job Master'!$F$12:$I$102,4,0)&lt;&gt;""),IF(WEEKDAY(AW483-VLOOKUP($P483&amp;" | "&amp;AN$6,'Job Master'!$F$12:$I$102,4,0))&lt;&gt;7,AW483-VLOOKUP($P483&amp;" | "&amp;AN$6,'Job Master'!$F$12:$I$102,4,0),AW483-VLOOKUP($P483&amp;" | "&amp;AN$6,'Job Master'!$F$12:$I$102,4,0)-1),""),"")</f>
        <v/>
      </c>
      <c r="AQ483" s="73"/>
      <c r="AR483" s="123" t="str">
        <f t="shared" si="901"/>
        <v/>
      </c>
      <c r="AS483" s="123" t="str">
        <f t="shared" si="902"/>
        <v/>
      </c>
      <c r="AT483" s="97" t="str">
        <f t="shared" ca="1" si="903"/>
        <v/>
      </c>
      <c r="AU483" s="98" t="str">
        <f>IF(AW483&lt;&gt;"",VLOOKUP($P483&amp;" | "&amp;AU$6,'Job Master'!$F$12:$J$102,5,0),"")</f>
        <v/>
      </c>
      <c r="AV483" s="19" t="str">
        <f>IF(AW483&lt;&gt;"",VLOOKUP($P483&amp;" | "&amp;AU$6,'Job Master'!$F$12:$J$102,3,0),"")</f>
        <v/>
      </c>
      <c r="AW483" s="19" t="str">
        <f>IFERROR(IF(AND(BD483&lt;&gt;"",VLOOKUP($P483&amp;" | "&amp;AU$6,'Job Master'!$F$12:$I$102,4,0)&lt;&gt;""),IF(WEEKDAY(BD483-VLOOKUP($P483&amp;" | "&amp;AU$6,'Job Master'!$F$12:$I$102,4,0))&lt;&gt;7,BD483-VLOOKUP($P483&amp;" | "&amp;AU$6,'Job Master'!$F$12:$I$102,4,0),BD483-VLOOKUP($P483&amp;" | "&amp;AU$6,'Job Master'!$F$12:$I$102,4,0)-1),""),"")</f>
        <v/>
      </c>
      <c r="AX483" s="73"/>
      <c r="AY483" s="123" t="str">
        <f t="shared" si="904"/>
        <v/>
      </c>
      <c r="AZ483" s="123" t="str">
        <f t="shared" si="905"/>
        <v/>
      </c>
      <c r="BA483" s="97" t="str">
        <f t="shared" ca="1" si="906"/>
        <v/>
      </c>
      <c r="BB483" s="98" t="str">
        <f>IF(BD483&lt;&gt;"",VLOOKUP($P483&amp;" | "&amp;BB$6,'Job Master'!$F$12:$J$102,5,0),"")</f>
        <v/>
      </c>
      <c r="BC483" s="19" t="str">
        <f>IF(BD483&lt;&gt;"",VLOOKUP($P483&amp;" | "&amp;BB$6,'Job Master'!$F$12:$J$102,3,0),"")</f>
        <v/>
      </c>
      <c r="BD483" s="19" t="str">
        <f>IFERROR(IF(AND(BK483&lt;&gt;"",VLOOKUP($P483&amp;" | "&amp;BB$6,'Job Master'!$F$12:$I$102,4,0)&lt;&gt;""),IF(WEEKDAY(BK483-VLOOKUP($P483&amp;" | "&amp;BB$6,'Job Master'!$F$12:$I$102,4,0))&lt;&gt;7,BK483-VLOOKUP($P483&amp;" | "&amp;BB$6,'Job Master'!$F$12:$I$102,4,0),BK483-VLOOKUP($P483&amp;" | "&amp;BB$6,'Job Master'!$F$12:$I$102,4,0)-1),""),"")</f>
        <v/>
      </c>
      <c r="BE483" s="73"/>
      <c r="BF483" s="123" t="str">
        <f t="shared" si="907"/>
        <v/>
      </c>
      <c r="BG483" s="123" t="str">
        <f t="shared" si="908"/>
        <v/>
      </c>
      <c r="BH483" s="97" t="str">
        <f t="shared" ca="1" si="909"/>
        <v/>
      </c>
      <c r="BI483" s="98" t="str">
        <f>IF(BK483&lt;&gt;"",VLOOKUP($P483&amp;" | "&amp;BI$6,'Job Master'!$F$12:$J$102,5,0),"")</f>
        <v/>
      </c>
      <c r="BJ483" s="19" t="str">
        <f>IF(BK483&lt;&gt;"",VLOOKUP($P483&amp;" | "&amp;BI$6,'Job Master'!$F$12:$J$102,3,0),"")</f>
        <v/>
      </c>
      <c r="BK483" s="19" t="str">
        <f>IFERROR(IF(AND(BR483&lt;&gt;"",VLOOKUP($P483&amp;" | "&amp;BI$6,'Job Master'!$F$12:$I$102,4,0)&lt;&gt;""),IF(WEEKDAY(BR483-VLOOKUP($P483&amp;" | "&amp;BI$6,'Job Master'!$F$12:$I$102,4,0))&lt;&gt;7,BR483-VLOOKUP($P483&amp;" | "&amp;BI$6,'Job Master'!$F$12:$I$102,4,0),BR483-VLOOKUP($P483&amp;" | "&amp;BI$6,'Job Master'!$F$12:$I$102,4,0)-1),""),"")</f>
        <v/>
      </c>
      <c r="BL483" s="73"/>
      <c r="BM483" s="123" t="str">
        <f t="shared" si="910"/>
        <v/>
      </c>
      <c r="BN483" s="123" t="str">
        <f t="shared" si="911"/>
        <v/>
      </c>
      <c r="BO483" s="97" t="str">
        <f t="shared" ca="1" si="912"/>
        <v/>
      </c>
      <c r="BP483" s="98" t="str">
        <f>IF(BR483&lt;&gt;"",VLOOKUP($P483&amp;" | "&amp;BP$6,'Job Master'!$F$12:$J$102,5,0),"")</f>
        <v/>
      </c>
      <c r="BQ483" s="19" t="str">
        <f>IF(BR483&lt;&gt;"",VLOOKUP($P483&amp;" | "&amp;BP$6,'Job Master'!$F$12:$J$102,3,0),"")</f>
        <v/>
      </c>
      <c r="BR483" s="19" t="str">
        <f>IFERROR(IF(AND(BY483&lt;&gt;"",VLOOKUP($P483&amp;" | "&amp;BP$6,'Job Master'!$F$12:$I$102,4,0)&lt;&gt;""),IF(WEEKDAY(BY483-VLOOKUP($P483&amp;" | "&amp;BP$6,'Job Master'!$F$12:$I$102,4,0))&lt;&gt;7,BY483-VLOOKUP($P483&amp;" | "&amp;BP$6,'Job Master'!$F$12:$I$102,4,0),BY483-VLOOKUP($P483&amp;" | "&amp;BP$6,'Job Master'!$F$12:$I$102,4,0)-1),""),"")</f>
        <v/>
      </c>
      <c r="BS483" s="73"/>
      <c r="BT483" s="123" t="str">
        <f t="shared" si="913"/>
        <v/>
      </c>
      <c r="BU483" s="123" t="str">
        <f t="shared" si="914"/>
        <v/>
      </c>
      <c r="BV483" s="97" t="str">
        <f t="shared" ca="1" si="915"/>
        <v/>
      </c>
      <c r="BW483" s="98" t="str">
        <f>IF(BY483&lt;&gt;"",VLOOKUP($P483&amp;" | "&amp;BW$6,'Job Master'!$F$12:$J$102,5,0),"")</f>
        <v/>
      </c>
      <c r="BX483" s="19" t="str">
        <f>IF(BY483&lt;&gt;"",VLOOKUP($P483&amp;" | "&amp;BW$6,'Job Master'!$F$12:$J$102,3,0),"")</f>
        <v/>
      </c>
      <c r="BY483" s="19" t="str">
        <f>IFERROR(IF(AND(CF483&lt;&gt;"",VLOOKUP($P483&amp;" | "&amp;BW$6,'Job Master'!$F$12:$I$102,4,0)&lt;&gt;""),IF(WEEKDAY(CF483-VLOOKUP($P483&amp;" | "&amp;BW$6,'Job Master'!$F$12:$I$102,4,0))&lt;&gt;7,CF483-VLOOKUP($P483&amp;" | "&amp;BW$6,'Job Master'!$F$12:$I$102,4,0),CF483-VLOOKUP($P483&amp;" | "&amp;BW$6,'Job Master'!$F$12:$I$102,4,0)-1),""),"")</f>
        <v/>
      </c>
      <c r="BZ483" s="73"/>
      <c r="CA483" s="123" t="str">
        <f t="shared" si="916"/>
        <v/>
      </c>
      <c r="CB483" s="123" t="str">
        <f t="shared" si="917"/>
        <v/>
      </c>
      <c r="CC483" s="97" t="str">
        <f t="shared" ca="1" si="918"/>
        <v/>
      </c>
      <c r="CD483" s="98" t="str">
        <f>IF(CF483&lt;&gt;"",VLOOKUP($P483&amp;" | "&amp;CD$6,'Job Master'!$F$12:$J$102,5,0),"")</f>
        <v/>
      </c>
      <c r="CE483" s="19" t="str">
        <f>IF(CF483&lt;&gt;"",VLOOKUP($P483&amp;" | "&amp;CD$6,'Job Master'!$F$12:$J$102,3,0),"")</f>
        <v/>
      </c>
      <c r="CF483" s="19" t="str">
        <f>IFERROR(IF(AND(CM483&lt;&gt;"",VLOOKUP($P483&amp;" | "&amp;CD$6,'Job Master'!$F$12:$I$102,4,0)&lt;&gt;""),IF(WEEKDAY(CM483-VLOOKUP($P483&amp;" | "&amp;CD$6,'Job Master'!$F$12:$I$102,4,0))&lt;&gt;7,CM483-VLOOKUP($P483&amp;" | "&amp;CD$6,'Job Master'!$F$12:$I$102,4,0),CM483-VLOOKUP($P483&amp;" | "&amp;CD$6,'Job Master'!$F$12:$I$102,4,0)-1),""),"")</f>
        <v/>
      </c>
      <c r="CG483" s="73"/>
      <c r="CH483" s="123" t="str">
        <f t="shared" si="919"/>
        <v/>
      </c>
      <c r="CI483" s="123" t="str">
        <f t="shared" si="920"/>
        <v/>
      </c>
      <c r="CJ483" s="97" t="str">
        <f t="shared" ca="1" si="921"/>
        <v/>
      </c>
      <c r="CK483" s="98" t="str">
        <f>IF(CM483&lt;&gt;"",VLOOKUP($P483&amp;" | "&amp;CK$6,'Job Master'!$F$12:$J$102,5,0),"")</f>
        <v/>
      </c>
      <c r="CL483" s="19" t="str">
        <f>IF(CM483&lt;&gt;"",VLOOKUP($P483&amp;" | "&amp;CK$6,'Job Master'!$F$12:$J$102,3,0),"")</f>
        <v/>
      </c>
      <c r="CM483" s="19" t="str">
        <f>IFERROR(IF(AND(CT483&lt;&gt;"",VLOOKUP($P483&amp;" | "&amp;CK$6,'Job Master'!$F$12:$I$102,4,0)&lt;&gt;""),IF(WEEKDAY(CT483-VLOOKUP($P483&amp;" | "&amp;CK$6,'Job Master'!$F$12:$I$102,4,0))&lt;&gt;7,CT483-VLOOKUP($P483&amp;" | "&amp;CK$6,'Job Master'!$F$12:$I$102,4,0),CT483-VLOOKUP($P483&amp;" | "&amp;CK$6,'Job Master'!$F$12:$I$102,4,0)-1),""),"")</f>
        <v/>
      </c>
      <c r="CN483" s="73"/>
      <c r="CO483" s="123" t="str">
        <f t="shared" si="922"/>
        <v/>
      </c>
      <c r="CP483" s="123" t="str">
        <f t="shared" si="923"/>
        <v/>
      </c>
      <c r="CQ483" s="97" t="str">
        <f t="shared" ca="1" si="924"/>
        <v/>
      </c>
      <c r="CR483" s="98" t="str">
        <f>IF(CT483&lt;&gt;"",VLOOKUP($P483&amp;" | "&amp;CR$6,'Job Master'!$F$12:$J$102,5,0),"")</f>
        <v/>
      </c>
      <c r="CS483" s="19" t="str">
        <f>IF(CT483&lt;&gt;"",VLOOKUP($P483&amp;" | "&amp;CR$6,'Job Master'!$F$12:$J$102,3,0),"")</f>
        <v/>
      </c>
      <c r="CT483" s="19" t="str">
        <f>IFERROR(IF(AND(DA483&lt;&gt;"",VLOOKUP($P483&amp;" | "&amp;CR$6,'Job Master'!$F$12:$I$102,4,0)&lt;&gt;""),IF(WEEKDAY(DA483-VLOOKUP($P483&amp;" | "&amp;CR$6,'Job Master'!$F$12:$I$102,4,0))&lt;&gt;7,DA483-VLOOKUP($P483&amp;" | "&amp;CR$6,'Job Master'!$F$12:$I$102,4,0),DA483-VLOOKUP($P483&amp;" | "&amp;CR$6,'Job Master'!$F$12:$I$102,4,0)-1),""),"")</f>
        <v/>
      </c>
      <c r="CU483" s="73"/>
      <c r="CV483" s="123" t="str">
        <f t="shared" si="925"/>
        <v/>
      </c>
      <c r="CW483" s="123" t="str">
        <f t="shared" si="926"/>
        <v/>
      </c>
      <c r="CX483" s="97" t="str">
        <f t="shared" ca="1" si="927"/>
        <v/>
      </c>
      <c r="CY483" s="98" t="str">
        <f>IF(DA483&lt;&gt;"",VLOOKUP($P483&amp;" | "&amp;CY$6,'Job Master'!$F$12:$J$102,5,0),"")</f>
        <v/>
      </c>
      <c r="CZ483" s="19" t="str">
        <f>IF(DA483&lt;&gt;"",VLOOKUP($P483&amp;" | "&amp;CY$6,'Job Master'!$F$12:$J$102,3,0),"")</f>
        <v/>
      </c>
      <c r="DA483" s="19" t="str">
        <f>IFERROR(IF(AND(DH483&lt;&gt;"",VLOOKUP($P483&amp;" | "&amp;CY$6,'Job Master'!$F$12:$I$102,4,0)&lt;&gt;""),IF(WEEKDAY(DH483-VLOOKUP($P483&amp;" | "&amp;CY$6,'Job Master'!$F$12:$I$102,4,0))&lt;&gt;7,DH483-VLOOKUP($P483&amp;" | "&amp;CY$6,'Job Master'!$F$12:$I$102,4,0),DH483-VLOOKUP($P483&amp;" | "&amp;CY$6,'Job Master'!$F$12:$I$102,4,0)-1),""),"")</f>
        <v/>
      </c>
      <c r="DB483" s="73"/>
      <c r="DC483" s="123" t="str">
        <f t="shared" si="928"/>
        <v/>
      </c>
      <c r="DD483" s="123" t="str">
        <f t="shared" si="929"/>
        <v/>
      </c>
      <c r="DE483" s="97" t="str">
        <f t="shared" ca="1" si="930"/>
        <v/>
      </c>
      <c r="DF483" s="98" t="str">
        <f>IF(DH483&lt;&gt;"",VLOOKUP($P483&amp;" | "&amp;DF$6,'Job Master'!$F$12:$J$102,5,0),"")</f>
        <v/>
      </c>
      <c r="DG483" s="19" t="str">
        <f>IF(DH483&lt;&gt;"",VLOOKUP($P483&amp;" | "&amp;DF$6,'Job Master'!$F$12:$J$102,3,0),"")</f>
        <v/>
      </c>
      <c r="DH483" s="19" t="str">
        <f>IFERROR(IF(AND(DO483&lt;&gt;"",VLOOKUP($P483&amp;" | "&amp;DF$6,'Job Master'!$F$12:$I$102,4,0)&lt;&gt;""),IF(WEEKDAY(DO483-VLOOKUP($P483&amp;" | "&amp;DF$6,'Job Master'!$F$12:$I$102,4,0))&lt;&gt;7,DO483-VLOOKUP($P483&amp;" | "&amp;DF$6,'Job Master'!$F$12:$I$102,4,0),DO483-VLOOKUP($P483&amp;" | "&amp;DF$6,'Job Master'!$F$12:$I$102,4,0)-1),""),"")</f>
        <v/>
      </c>
      <c r="DI483" s="73"/>
      <c r="DJ483" s="123" t="str">
        <f t="shared" si="931"/>
        <v/>
      </c>
      <c r="DK483" s="123" t="str">
        <f t="shared" si="932"/>
        <v/>
      </c>
      <c r="DL483" s="97" t="str">
        <f t="shared" ca="1" si="933"/>
        <v/>
      </c>
      <c r="DM483" s="98" t="str">
        <f>IF(DO483&lt;&gt;"",VLOOKUP($P483&amp;" | "&amp;DM$6,'Job Master'!$F$12:$J$102,5,0),"")</f>
        <v/>
      </c>
      <c r="DN483" s="19" t="str">
        <f>IF(DO483&lt;&gt;"",VLOOKUP($P483&amp;" | "&amp;DM$6,'Job Master'!$F$12:$J$102,3,0),"")</f>
        <v/>
      </c>
      <c r="DO483" s="19" t="str">
        <f>IFERROR(IF(AND(DT483&lt;&gt;"",VLOOKUP($P483&amp;" | "&amp;DM$6,'Job Master'!$F$12:$I$102,4,0)&lt;&gt;""),IF(WEEKDAY(DT483-VLOOKUP($P483&amp;" | "&amp;DM$6,'Job Master'!$F$12:$I$102,4,0))&lt;&gt;7,DT483-VLOOKUP($P483&amp;" | "&amp;DM$6,'Job Master'!$F$12:$I$102,4,0),DT483-VLOOKUP($P483&amp;" | "&amp;DM$6,'Job Master'!$F$12:$I$102,4,0)-1),""),"")</f>
        <v/>
      </c>
      <c r="DP483" s="73"/>
      <c r="DQ483" s="123" t="str">
        <f t="shared" si="934"/>
        <v/>
      </c>
      <c r="DR483" s="123" t="str">
        <f t="shared" si="935"/>
        <v/>
      </c>
      <c r="DS483" s="97" t="str">
        <f t="shared" ca="1" si="936"/>
        <v/>
      </c>
      <c r="DT483" s="70" t="str">
        <f t="shared" si="937"/>
        <v/>
      </c>
      <c r="DU483" s="90"/>
      <c r="DV483" s="123" t="str">
        <f t="shared" si="938"/>
        <v/>
      </c>
      <c r="DW483" s="123" t="str">
        <f t="shared" si="939"/>
        <v/>
      </c>
      <c r="DX483" s="132" t="str">
        <f t="shared" ref="DX483" ca="1" si="976">IF(DT483&lt;&gt;"",IF(WEEKNUM(DT483)=WEEKNUM(TODAY()),"This Week",IF(WEEKNUM(DT483)=WEEKNUM(TODAY())+1,"Next Week",IF(WEEKNUM(DT483)=WEEKNUM(TODAY())-1,"Previous Week",""))),"")</f>
        <v/>
      </c>
      <c r="DY483" s="134" t="str">
        <f t="shared" si="941"/>
        <v/>
      </c>
      <c r="DZ483" s="95"/>
      <c r="EB483" s="8" t="str">
        <f t="shared" si="947"/>
        <v/>
      </c>
      <c r="EC483" s="8" t="str">
        <f>IF(O483&lt;&gt;"",VLOOKUP(O483,'Job Master'!$N$12:$O$18,2,0),"")</f>
        <v/>
      </c>
      <c r="ED483" s="8">
        <f t="shared" si="948"/>
        <v>19.5</v>
      </c>
      <c r="EE483" s="8">
        <f t="shared" si="949"/>
        <v>6</v>
      </c>
      <c r="EF483" s="8">
        <f t="shared" si="950"/>
        <v>-2818.5</v>
      </c>
      <c r="EG483" s="8" t="str">
        <f t="shared" si="951"/>
        <v/>
      </c>
      <c r="EH483" s="8" t="str">
        <f t="shared" si="952"/>
        <v/>
      </c>
    </row>
    <row r="484" spans="2:138" x14ac:dyDescent="0.3">
      <c r="B484" s="112"/>
      <c r="C484" s="27"/>
      <c r="D484" s="7" t="str">
        <f t="shared" si="891"/>
        <v/>
      </c>
      <c r="E484" s="25"/>
      <c r="F484" s="7" t="str">
        <f t="shared" si="891"/>
        <v/>
      </c>
      <c r="G484" s="25"/>
      <c r="H484" s="7" t="str">
        <f t="shared" si="891"/>
        <v/>
      </c>
      <c r="I484" s="25"/>
      <c r="J484" s="7" t="str">
        <f t="shared" si="891"/>
        <v/>
      </c>
      <c r="K484" s="25"/>
      <c r="L484" s="7" t="str">
        <f t="shared" si="891"/>
        <v/>
      </c>
      <c r="M484" s="25"/>
      <c r="N484" s="7" t="str">
        <f t="shared" si="891"/>
        <v/>
      </c>
      <c r="O484" s="81"/>
      <c r="P484" s="81" t="str">
        <f t="shared" si="892"/>
        <v/>
      </c>
      <c r="Q484" s="81"/>
      <c r="R484" s="7" t="str">
        <f t="shared" si="893"/>
        <v/>
      </c>
      <c r="S484" s="25"/>
      <c r="T484" s="7" t="str">
        <f t="shared" si="894"/>
        <v/>
      </c>
      <c r="U484" s="25"/>
      <c r="V484" s="7" t="str">
        <f t="shared" si="895"/>
        <v/>
      </c>
      <c r="W484" s="25"/>
      <c r="X484" s="7" t="str">
        <f t="shared" si="896"/>
        <v/>
      </c>
      <c r="Y484" s="18" t="str">
        <f t="shared" si="897"/>
        <v/>
      </c>
      <c r="Z484" s="7" t="str">
        <f t="shared" si="898"/>
        <v/>
      </c>
      <c r="AA484" s="18" t="str">
        <f t="shared" si="899"/>
        <v/>
      </c>
      <c r="AB484" s="19" t="str">
        <f t="shared" si="900"/>
        <v/>
      </c>
      <c r="AC484" s="26"/>
      <c r="AD484" s="26"/>
      <c r="AE484" s="25"/>
      <c r="AF484" s="26"/>
      <c r="AG484" s="25"/>
      <c r="AH484" s="25"/>
      <c r="AI484" s="18" t="str">
        <f t="shared" si="963"/>
        <v/>
      </c>
      <c r="AJ484" s="25"/>
      <c r="AK484" s="18" t="str">
        <f t="shared" si="964"/>
        <v/>
      </c>
      <c r="AL484" s="79"/>
      <c r="AM484" s="126" t="str">
        <f t="shared" si="965"/>
        <v/>
      </c>
      <c r="AN484" s="128" t="str">
        <f>IF(AP484&lt;&gt;"",VLOOKUP($P484&amp;" | "&amp;AN$6,'Job Master'!$F$12:$J$102,5,0),"")</f>
        <v/>
      </c>
      <c r="AO484" s="19" t="str">
        <f>IF(AP484&lt;&gt;"",VLOOKUP($P484&amp;" | "&amp;AN$6,'Job Master'!$F$12:$J$102,3,0),"")</f>
        <v/>
      </c>
      <c r="AP484" s="19" t="str">
        <f>IFERROR(IF(AND(AW484&lt;&gt;"",VLOOKUP($P484&amp;" | "&amp;AN$6,'Job Master'!$F$12:$I$102,4,0)&lt;&gt;""),IF(WEEKDAY(AW484-VLOOKUP($P484&amp;" | "&amp;AN$6,'Job Master'!$F$12:$I$102,4,0))&lt;&gt;7,AW484-VLOOKUP($P484&amp;" | "&amp;AN$6,'Job Master'!$F$12:$I$102,4,0),AW484-VLOOKUP($P484&amp;" | "&amp;AN$6,'Job Master'!$F$12:$I$102,4,0)-1),""),"")</f>
        <v/>
      </c>
      <c r="AQ484" s="73"/>
      <c r="AR484" s="123" t="str">
        <f t="shared" si="901"/>
        <v/>
      </c>
      <c r="AS484" s="123" t="str">
        <f t="shared" si="902"/>
        <v/>
      </c>
      <c r="AT484" s="97" t="str">
        <f t="shared" ca="1" si="903"/>
        <v/>
      </c>
      <c r="AU484" s="98" t="str">
        <f>IF(AW484&lt;&gt;"",VLOOKUP($P484&amp;" | "&amp;AU$6,'Job Master'!$F$12:$J$102,5,0),"")</f>
        <v/>
      </c>
      <c r="AV484" s="19" t="str">
        <f>IF(AW484&lt;&gt;"",VLOOKUP($P484&amp;" | "&amp;AU$6,'Job Master'!$F$12:$J$102,3,0),"")</f>
        <v/>
      </c>
      <c r="AW484" s="19" t="str">
        <f>IFERROR(IF(AND(BD484&lt;&gt;"",VLOOKUP($P484&amp;" | "&amp;AU$6,'Job Master'!$F$12:$I$102,4,0)&lt;&gt;""),IF(WEEKDAY(BD484-VLOOKUP($P484&amp;" | "&amp;AU$6,'Job Master'!$F$12:$I$102,4,0))&lt;&gt;7,BD484-VLOOKUP($P484&amp;" | "&amp;AU$6,'Job Master'!$F$12:$I$102,4,0),BD484-VLOOKUP($P484&amp;" | "&amp;AU$6,'Job Master'!$F$12:$I$102,4,0)-1),""),"")</f>
        <v/>
      </c>
      <c r="AX484" s="73"/>
      <c r="AY484" s="123" t="str">
        <f t="shared" si="904"/>
        <v/>
      </c>
      <c r="AZ484" s="123" t="str">
        <f t="shared" si="905"/>
        <v/>
      </c>
      <c r="BA484" s="97" t="str">
        <f t="shared" ca="1" si="906"/>
        <v/>
      </c>
      <c r="BB484" s="98" t="str">
        <f>IF(BD484&lt;&gt;"",VLOOKUP($P484&amp;" | "&amp;BB$6,'Job Master'!$F$12:$J$102,5,0),"")</f>
        <v/>
      </c>
      <c r="BC484" s="19" t="str">
        <f>IF(BD484&lt;&gt;"",VLOOKUP($P484&amp;" | "&amp;BB$6,'Job Master'!$F$12:$J$102,3,0),"")</f>
        <v/>
      </c>
      <c r="BD484" s="19" t="str">
        <f>IFERROR(IF(AND(BK484&lt;&gt;"",VLOOKUP($P484&amp;" | "&amp;BB$6,'Job Master'!$F$12:$I$102,4,0)&lt;&gt;""),IF(WEEKDAY(BK484-VLOOKUP($P484&amp;" | "&amp;BB$6,'Job Master'!$F$12:$I$102,4,0))&lt;&gt;7,BK484-VLOOKUP($P484&amp;" | "&amp;BB$6,'Job Master'!$F$12:$I$102,4,0),BK484-VLOOKUP($P484&amp;" | "&amp;BB$6,'Job Master'!$F$12:$I$102,4,0)-1),""),"")</f>
        <v/>
      </c>
      <c r="BE484" s="73"/>
      <c r="BF484" s="123" t="str">
        <f t="shared" si="907"/>
        <v/>
      </c>
      <c r="BG484" s="123" t="str">
        <f t="shared" si="908"/>
        <v/>
      </c>
      <c r="BH484" s="97" t="str">
        <f t="shared" ca="1" si="909"/>
        <v/>
      </c>
      <c r="BI484" s="98" t="str">
        <f>IF(BK484&lt;&gt;"",VLOOKUP($P484&amp;" | "&amp;BI$6,'Job Master'!$F$12:$J$102,5,0),"")</f>
        <v/>
      </c>
      <c r="BJ484" s="19" t="str">
        <f>IF(BK484&lt;&gt;"",VLOOKUP($P484&amp;" | "&amp;BI$6,'Job Master'!$F$12:$J$102,3,0),"")</f>
        <v/>
      </c>
      <c r="BK484" s="19" t="str">
        <f>IFERROR(IF(AND(BR484&lt;&gt;"",VLOOKUP($P484&amp;" | "&amp;BI$6,'Job Master'!$F$12:$I$102,4,0)&lt;&gt;""),IF(WEEKDAY(BR484-VLOOKUP($P484&amp;" | "&amp;BI$6,'Job Master'!$F$12:$I$102,4,0))&lt;&gt;7,BR484-VLOOKUP($P484&amp;" | "&amp;BI$6,'Job Master'!$F$12:$I$102,4,0),BR484-VLOOKUP($P484&amp;" | "&amp;BI$6,'Job Master'!$F$12:$I$102,4,0)-1),""),"")</f>
        <v/>
      </c>
      <c r="BL484" s="73"/>
      <c r="BM484" s="123" t="str">
        <f t="shared" si="910"/>
        <v/>
      </c>
      <c r="BN484" s="123" t="str">
        <f t="shared" si="911"/>
        <v/>
      </c>
      <c r="BO484" s="97" t="str">
        <f t="shared" ca="1" si="912"/>
        <v/>
      </c>
      <c r="BP484" s="98" t="str">
        <f>IF(BR484&lt;&gt;"",VLOOKUP($P484&amp;" | "&amp;BP$6,'Job Master'!$F$12:$J$102,5,0),"")</f>
        <v/>
      </c>
      <c r="BQ484" s="19" t="str">
        <f>IF(BR484&lt;&gt;"",VLOOKUP($P484&amp;" | "&amp;BP$6,'Job Master'!$F$12:$J$102,3,0),"")</f>
        <v/>
      </c>
      <c r="BR484" s="19" t="str">
        <f>IFERROR(IF(AND(BY484&lt;&gt;"",VLOOKUP($P484&amp;" | "&amp;BP$6,'Job Master'!$F$12:$I$102,4,0)&lt;&gt;""),IF(WEEKDAY(BY484-VLOOKUP($P484&amp;" | "&amp;BP$6,'Job Master'!$F$12:$I$102,4,0))&lt;&gt;7,BY484-VLOOKUP($P484&amp;" | "&amp;BP$6,'Job Master'!$F$12:$I$102,4,0),BY484-VLOOKUP($P484&amp;" | "&amp;BP$6,'Job Master'!$F$12:$I$102,4,0)-1),""),"")</f>
        <v/>
      </c>
      <c r="BS484" s="73"/>
      <c r="BT484" s="123" t="str">
        <f t="shared" si="913"/>
        <v/>
      </c>
      <c r="BU484" s="123" t="str">
        <f t="shared" si="914"/>
        <v/>
      </c>
      <c r="BV484" s="97" t="str">
        <f t="shared" ca="1" si="915"/>
        <v/>
      </c>
      <c r="BW484" s="98" t="str">
        <f>IF(BY484&lt;&gt;"",VLOOKUP($P484&amp;" | "&amp;BW$6,'Job Master'!$F$12:$J$102,5,0),"")</f>
        <v/>
      </c>
      <c r="BX484" s="19" t="str">
        <f>IF(BY484&lt;&gt;"",VLOOKUP($P484&amp;" | "&amp;BW$6,'Job Master'!$F$12:$J$102,3,0),"")</f>
        <v/>
      </c>
      <c r="BY484" s="19" t="str">
        <f>IFERROR(IF(AND(CF484&lt;&gt;"",VLOOKUP($P484&amp;" | "&amp;BW$6,'Job Master'!$F$12:$I$102,4,0)&lt;&gt;""),IF(WEEKDAY(CF484-VLOOKUP($P484&amp;" | "&amp;BW$6,'Job Master'!$F$12:$I$102,4,0))&lt;&gt;7,CF484-VLOOKUP($P484&amp;" | "&amp;BW$6,'Job Master'!$F$12:$I$102,4,0),CF484-VLOOKUP($P484&amp;" | "&amp;BW$6,'Job Master'!$F$12:$I$102,4,0)-1),""),"")</f>
        <v/>
      </c>
      <c r="BZ484" s="73"/>
      <c r="CA484" s="123" t="str">
        <f t="shared" si="916"/>
        <v/>
      </c>
      <c r="CB484" s="123" t="str">
        <f t="shared" si="917"/>
        <v/>
      </c>
      <c r="CC484" s="97" t="str">
        <f t="shared" ca="1" si="918"/>
        <v/>
      </c>
      <c r="CD484" s="98" t="str">
        <f>IF(CF484&lt;&gt;"",VLOOKUP($P484&amp;" | "&amp;CD$6,'Job Master'!$F$12:$J$102,5,0),"")</f>
        <v/>
      </c>
      <c r="CE484" s="19" t="str">
        <f>IF(CF484&lt;&gt;"",VLOOKUP($P484&amp;" | "&amp;CD$6,'Job Master'!$F$12:$J$102,3,0),"")</f>
        <v/>
      </c>
      <c r="CF484" s="19" t="str">
        <f>IFERROR(IF(AND(CM484&lt;&gt;"",VLOOKUP($P484&amp;" | "&amp;CD$6,'Job Master'!$F$12:$I$102,4,0)&lt;&gt;""),IF(WEEKDAY(CM484-VLOOKUP($P484&amp;" | "&amp;CD$6,'Job Master'!$F$12:$I$102,4,0))&lt;&gt;7,CM484-VLOOKUP($P484&amp;" | "&amp;CD$6,'Job Master'!$F$12:$I$102,4,0),CM484-VLOOKUP($P484&amp;" | "&amp;CD$6,'Job Master'!$F$12:$I$102,4,0)-1),""),"")</f>
        <v/>
      </c>
      <c r="CG484" s="73"/>
      <c r="CH484" s="123" t="str">
        <f t="shared" si="919"/>
        <v/>
      </c>
      <c r="CI484" s="123" t="str">
        <f t="shared" si="920"/>
        <v/>
      </c>
      <c r="CJ484" s="97" t="str">
        <f t="shared" ca="1" si="921"/>
        <v/>
      </c>
      <c r="CK484" s="98" t="str">
        <f>IF(CM484&lt;&gt;"",VLOOKUP($P484&amp;" | "&amp;CK$6,'Job Master'!$F$12:$J$102,5,0),"")</f>
        <v/>
      </c>
      <c r="CL484" s="19" t="str">
        <f>IF(CM484&lt;&gt;"",VLOOKUP($P484&amp;" | "&amp;CK$6,'Job Master'!$F$12:$J$102,3,0),"")</f>
        <v/>
      </c>
      <c r="CM484" s="19" t="str">
        <f>IFERROR(IF(AND(CT484&lt;&gt;"",VLOOKUP($P484&amp;" | "&amp;CK$6,'Job Master'!$F$12:$I$102,4,0)&lt;&gt;""),IF(WEEKDAY(CT484-VLOOKUP($P484&amp;" | "&amp;CK$6,'Job Master'!$F$12:$I$102,4,0))&lt;&gt;7,CT484-VLOOKUP($P484&amp;" | "&amp;CK$6,'Job Master'!$F$12:$I$102,4,0),CT484-VLOOKUP($P484&amp;" | "&amp;CK$6,'Job Master'!$F$12:$I$102,4,0)-1),""),"")</f>
        <v/>
      </c>
      <c r="CN484" s="73"/>
      <c r="CO484" s="123" t="str">
        <f t="shared" si="922"/>
        <v/>
      </c>
      <c r="CP484" s="123" t="str">
        <f t="shared" si="923"/>
        <v/>
      </c>
      <c r="CQ484" s="97" t="str">
        <f t="shared" ca="1" si="924"/>
        <v/>
      </c>
      <c r="CR484" s="98" t="str">
        <f>IF(CT484&lt;&gt;"",VLOOKUP($P484&amp;" | "&amp;CR$6,'Job Master'!$F$12:$J$102,5,0),"")</f>
        <v/>
      </c>
      <c r="CS484" s="19" t="str">
        <f>IF(CT484&lt;&gt;"",VLOOKUP($P484&amp;" | "&amp;CR$6,'Job Master'!$F$12:$J$102,3,0),"")</f>
        <v/>
      </c>
      <c r="CT484" s="19" t="str">
        <f>IFERROR(IF(AND(DA484&lt;&gt;"",VLOOKUP($P484&amp;" | "&amp;CR$6,'Job Master'!$F$12:$I$102,4,0)&lt;&gt;""),IF(WEEKDAY(DA484-VLOOKUP($P484&amp;" | "&amp;CR$6,'Job Master'!$F$12:$I$102,4,0))&lt;&gt;7,DA484-VLOOKUP($P484&amp;" | "&amp;CR$6,'Job Master'!$F$12:$I$102,4,0),DA484-VLOOKUP($P484&amp;" | "&amp;CR$6,'Job Master'!$F$12:$I$102,4,0)-1),""),"")</f>
        <v/>
      </c>
      <c r="CU484" s="73"/>
      <c r="CV484" s="123" t="str">
        <f t="shared" si="925"/>
        <v/>
      </c>
      <c r="CW484" s="123" t="str">
        <f t="shared" si="926"/>
        <v/>
      </c>
      <c r="CX484" s="97" t="str">
        <f t="shared" ca="1" si="927"/>
        <v/>
      </c>
      <c r="CY484" s="98" t="str">
        <f>IF(DA484&lt;&gt;"",VLOOKUP($P484&amp;" | "&amp;CY$6,'Job Master'!$F$12:$J$102,5,0),"")</f>
        <v/>
      </c>
      <c r="CZ484" s="19" t="str">
        <f>IF(DA484&lt;&gt;"",VLOOKUP($P484&amp;" | "&amp;CY$6,'Job Master'!$F$12:$J$102,3,0),"")</f>
        <v/>
      </c>
      <c r="DA484" s="19" t="str">
        <f>IFERROR(IF(AND(DH484&lt;&gt;"",VLOOKUP($P484&amp;" | "&amp;CY$6,'Job Master'!$F$12:$I$102,4,0)&lt;&gt;""),IF(WEEKDAY(DH484-VLOOKUP($P484&amp;" | "&amp;CY$6,'Job Master'!$F$12:$I$102,4,0))&lt;&gt;7,DH484-VLOOKUP($P484&amp;" | "&amp;CY$6,'Job Master'!$F$12:$I$102,4,0),DH484-VLOOKUP($P484&amp;" | "&amp;CY$6,'Job Master'!$F$12:$I$102,4,0)-1),""),"")</f>
        <v/>
      </c>
      <c r="DB484" s="73"/>
      <c r="DC484" s="123" t="str">
        <f t="shared" si="928"/>
        <v/>
      </c>
      <c r="DD484" s="123" t="str">
        <f t="shared" si="929"/>
        <v/>
      </c>
      <c r="DE484" s="97" t="str">
        <f t="shared" ca="1" si="930"/>
        <v/>
      </c>
      <c r="DF484" s="98" t="str">
        <f>IF(DH484&lt;&gt;"",VLOOKUP($P484&amp;" | "&amp;DF$6,'Job Master'!$F$12:$J$102,5,0),"")</f>
        <v/>
      </c>
      <c r="DG484" s="19" t="str">
        <f>IF(DH484&lt;&gt;"",VLOOKUP($P484&amp;" | "&amp;DF$6,'Job Master'!$F$12:$J$102,3,0),"")</f>
        <v/>
      </c>
      <c r="DH484" s="19" t="str">
        <f>IFERROR(IF(AND(DO484&lt;&gt;"",VLOOKUP($P484&amp;" | "&amp;DF$6,'Job Master'!$F$12:$I$102,4,0)&lt;&gt;""),IF(WEEKDAY(DO484-VLOOKUP($P484&amp;" | "&amp;DF$6,'Job Master'!$F$12:$I$102,4,0))&lt;&gt;7,DO484-VLOOKUP($P484&amp;" | "&amp;DF$6,'Job Master'!$F$12:$I$102,4,0),DO484-VLOOKUP($P484&amp;" | "&amp;DF$6,'Job Master'!$F$12:$I$102,4,0)-1),""),"")</f>
        <v/>
      </c>
      <c r="DI484" s="73"/>
      <c r="DJ484" s="123" t="str">
        <f t="shared" si="931"/>
        <v/>
      </c>
      <c r="DK484" s="123" t="str">
        <f t="shared" si="932"/>
        <v/>
      </c>
      <c r="DL484" s="97" t="str">
        <f t="shared" ca="1" si="933"/>
        <v/>
      </c>
      <c r="DM484" s="98" t="str">
        <f>IF(DO484&lt;&gt;"",VLOOKUP($P484&amp;" | "&amp;DM$6,'Job Master'!$F$12:$J$102,5,0),"")</f>
        <v/>
      </c>
      <c r="DN484" s="19" t="str">
        <f>IF(DO484&lt;&gt;"",VLOOKUP($P484&amp;" | "&amp;DM$6,'Job Master'!$F$12:$J$102,3,0),"")</f>
        <v/>
      </c>
      <c r="DO484" s="19" t="str">
        <f>IFERROR(IF(AND(DT484&lt;&gt;"",VLOOKUP($P484&amp;" | "&amp;DM$6,'Job Master'!$F$12:$I$102,4,0)&lt;&gt;""),IF(WEEKDAY(DT484-VLOOKUP($P484&amp;" | "&amp;DM$6,'Job Master'!$F$12:$I$102,4,0))&lt;&gt;7,DT484-VLOOKUP($P484&amp;" | "&amp;DM$6,'Job Master'!$F$12:$I$102,4,0),DT484-VLOOKUP($P484&amp;" | "&amp;DM$6,'Job Master'!$F$12:$I$102,4,0)-1),""),"")</f>
        <v/>
      </c>
      <c r="DP484" s="73"/>
      <c r="DQ484" s="123" t="str">
        <f t="shared" si="934"/>
        <v/>
      </c>
      <c r="DR484" s="123" t="str">
        <f t="shared" si="935"/>
        <v/>
      </c>
      <c r="DS484" s="97" t="str">
        <f t="shared" ca="1" si="936"/>
        <v/>
      </c>
      <c r="DT484" s="70" t="str">
        <f t="shared" si="937"/>
        <v/>
      </c>
      <c r="DU484" s="90"/>
      <c r="DV484" s="123" t="str">
        <f t="shared" si="938"/>
        <v/>
      </c>
      <c r="DW484" s="123" t="str">
        <f t="shared" si="939"/>
        <v/>
      </c>
      <c r="DX484" s="132" t="str">
        <f t="shared" ref="DX484" ca="1" si="977">IF(DT484&lt;&gt;"",IF(WEEKNUM(DT484)=WEEKNUM(TODAY()),"This Week",IF(WEEKNUM(DT484)=WEEKNUM(TODAY())+1,"Next Week",IF(WEEKNUM(DT484)=WEEKNUM(TODAY())-1,"Previous Week",""))),"")</f>
        <v/>
      </c>
      <c r="DY484" s="134" t="str">
        <f t="shared" si="941"/>
        <v/>
      </c>
      <c r="DZ484" s="95"/>
      <c r="EB484" s="8" t="str">
        <f t="shared" si="947"/>
        <v/>
      </c>
      <c r="EC484" s="8" t="str">
        <f>IF(O484&lt;&gt;"",VLOOKUP(O484,'Job Master'!$N$12:$O$18,2,0),"")</f>
        <v/>
      </c>
      <c r="ED484" s="8">
        <f t="shared" si="948"/>
        <v>19.5</v>
      </c>
      <c r="EE484" s="8">
        <f t="shared" si="949"/>
        <v>6</v>
      </c>
      <c r="EF484" s="8">
        <f t="shared" si="950"/>
        <v>-2824.5</v>
      </c>
      <c r="EG484" s="8" t="str">
        <f t="shared" si="951"/>
        <v/>
      </c>
      <c r="EH484" s="8" t="str">
        <f t="shared" si="952"/>
        <v/>
      </c>
    </row>
    <row r="485" spans="2:138" x14ac:dyDescent="0.3">
      <c r="B485" s="112"/>
      <c r="C485" s="27"/>
      <c r="D485" s="7" t="str">
        <f t="shared" si="891"/>
        <v/>
      </c>
      <c r="E485" s="25"/>
      <c r="F485" s="7" t="str">
        <f t="shared" si="891"/>
        <v/>
      </c>
      <c r="G485" s="25"/>
      <c r="H485" s="7" t="str">
        <f t="shared" si="891"/>
        <v/>
      </c>
      <c r="I485" s="25"/>
      <c r="J485" s="7" t="str">
        <f t="shared" si="891"/>
        <v/>
      </c>
      <c r="K485" s="25"/>
      <c r="L485" s="7" t="str">
        <f t="shared" si="891"/>
        <v/>
      </c>
      <c r="M485" s="25"/>
      <c r="N485" s="7" t="str">
        <f t="shared" si="891"/>
        <v/>
      </c>
      <c r="O485" s="81"/>
      <c r="P485" s="81" t="str">
        <f t="shared" si="892"/>
        <v/>
      </c>
      <c r="Q485" s="81"/>
      <c r="R485" s="7" t="str">
        <f t="shared" si="893"/>
        <v/>
      </c>
      <c r="S485" s="25"/>
      <c r="T485" s="7" t="str">
        <f t="shared" si="894"/>
        <v/>
      </c>
      <c r="U485" s="25"/>
      <c r="V485" s="7" t="str">
        <f t="shared" si="895"/>
        <v/>
      </c>
      <c r="W485" s="25"/>
      <c r="X485" s="7" t="str">
        <f t="shared" si="896"/>
        <v/>
      </c>
      <c r="Y485" s="18" t="str">
        <f t="shared" si="897"/>
        <v/>
      </c>
      <c r="Z485" s="7" t="str">
        <f t="shared" si="898"/>
        <v/>
      </c>
      <c r="AA485" s="18" t="str">
        <f t="shared" si="899"/>
        <v/>
      </c>
      <c r="AB485" s="19" t="str">
        <f t="shared" si="900"/>
        <v/>
      </c>
      <c r="AC485" s="26"/>
      <c r="AD485" s="26"/>
      <c r="AE485" s="25"/>
      <c r="AF485" s="26"/>
      <c r="AG485" s="25"/>
      <c r="AH485" s="25"/>
      <c r="AI485" s="18" t="str">
        <f t="shared" si="963"/>
        <v/>
      </c>
      <c r="AJ485" s="25"/>
      <c r="AK485" s="18" t="str">
        <f t="shared" si="964"/>
        <v/>
      </c>
      <c r="AL485" s="79"/>
      <c r="AM485" s="126" t="str">
        <f t="shared" si="965"/>
        <v/>
      </c>
      <c r="AN485" s="128" t="str">
        <f>IF(AP485&lt;&gt;"",VLOOKUP($P485&amp;" | "&amp;AN$6,'Job Master'!$F$12:$J$102,5,0),"")</f>
        <v/>
      </c>
      <c r="AO485" s="19" t="str">
        <f>IF(AP485&lt;&gt;"",VLOOKUP($P485&amp;" | "&amp;AN$6,'Job Master'!$F$12:$J$102,3,0),"")</f>
        <v/>
      </c>
      <c r="AP485" s="19" t="str">
        <f>IFERROR(IF(AND(AW485&lt;&gt;"",VLOOKUP($P485&amp;" | "&amp;AN$6,'Job Master'!$F$12:$I$102,4,0)&lt;&gt;""),IF(WEEKDAY(AW485-VLOOKUP($P485&amp;" | "&amp;AN$6,'Job Master'!$F$12:$I$102,4,0))&lt;&gt;7,AW485-VLOOKUP($P485&amp;" | "&amp;AN$6,'Job Master'!$F$12:$I$102,4,0),AW485-VLOOKUP($P485&amp;" | "&amp;AN$6,'Job Master'!$F$12:$I$102,4,0)-1),""),"")</f>
        <v/>
      </c>
      <c r="AQ485" s="73"/>
      <c r="AR485" s="123" t="str">
        <f t="shared" si="901"/>
        <v/>
      </c>
      <c r="AS485" s="123" t="str">
        <f t="shared" si="902"/>
        <v/>
      </c>
      <c r="AT485" s="97" t="str">
        <f t="shared" ca="1" si="903"/>
        <v/>
      </c>
      <c r="AU485" s="98" t="str">
        <f>IF(AW485&lt;&gt;"",VLOOKUP($P485&amp;" | "&amp;AU$6,'Job Master'!$F$12:$J$102,5,0),"")</f>
        <v/>
      </c>
      <c r="AV485" s="19" t="str">
        <f>IF(AW485&lt;&gt;"",VLOOKUP($P485&amp;" | "&amp;AU$6,'Job Master'!$F$12:$J$102,3,0),"")</f>
        <v/>
      </c>
      <c r="AW485" s="19" t="str">
        <f>IFERROR(IF(AND(BD485&lt;&gt;"",VLOOKUP($P485&amp;" | "&amp;AU$6,'Job Master'!$F$12:$I$102,4,0)&lt;&gt;""),IF(WEEKDAY(BD485-VLOOKUP($P485&amp;" | "&amp;AU$6,'Job Master'!$F$12:$I$102,4,0))&lt;&gt;7,BD485-VLOOKUP($P485&amp;" | "&amp;AU$6,'Job Master'!$F$12:$I$102,4,0),BD485-VLOOKUP($P485&amp;" | "&amp;AU$6,'Job Master'!$F$12:$I$102,4,0)-1),""),"")</f>
        <v/>
      </c>
      <c r="AX485" s="73"/>
      <c r="AY485" s="123" t="str">
        <f t="shared" si="904"/>
        <v/>
      </c>
      <c r="AZ485" s="123" t="str">
        <f t="shared" si="905"/>
        <v/>
      </c>
      <c r="BA485" s="97" t="str">
        <f t="shared" ca="1" si="906"/>
        <v/>
      </c>
      <c r="BB485" s="98" t="str">
        <f>IF(BD485&lt;&gt;"",VLOOKUP($P485&amp;" | "&amp;BB$6,'Job Master'!$F$12:$J$102,5,0),"")</f>
        <v/>
      </c>
      <c r="BC485" s="19" t="str">
        <f>IF(BD485&lt;&gt;"",VLOOKUP($P485&amp;" | "&amp;BB$6,'Job Master'!$F$12:$J$102,3,0),"")</f>
        <v/>
      </c>
      <c r="BD485" s="19" t="str">
        <f>IFERROR(IF(AND(BK485&lt;&gt;"",VLOOKUP($P485&amp;" | "&amp;BB$6,'Job Master'!$F$12:$I$102,4,0)&lt;&gt;""),IF(WEEKDAY(BK485-VLOOKUP($P485&amp;" | "&amp;BB$6,'Job Master'!$F$12:$I$102,4,0))&lt;&gt;7,BK485-VLOOKUP($P485&amp;" | "&amp;BB$6,'Job Master'!$F$12:$I$102,4,0),BK485-VLOOKUP($P485&amp;" | "&amp;BB$6,'Job Master'!$F$12:$I$102,4,0)-1),""),"")</f>
        <v/>
      </c>
      <c r="BE485" s="73"/>
      <c r="BF485" s="123" t="str">
        <f t="shared" si="907"/>
        <v/>
      </c>
      <c r="BG485" s="123" t="str">
        <f t="shared" si="908"/>
        <v/>
      </c>
      <c r="BH485" s="97" t="str">
        <f t="shared" ca="1" si="909"/>
        <v/>
      </c>
      <c r="BI485" s="98" t="str">
        <f>IF(BK485&lt;&gt;"",VLOOKUP($P485&amp;" | "&amp;BI$6,'Job Master'!$F$12:$J$102,5,0),"")</f>
        <v/>
      </c>
      <c r="BJ485" s="19" t="str">
        <f>IF(BK485&lt;&gt;"",VLOOKUP($P485&amp;" | "&amp;BI$6,'Job Master'!$F$12:$J$102,3,0),"")</f>
        <v/>
      </c>
      <c r="BK485" s="19" t="str">
        <f>IFERROR(IF(AND(BR485&lt;&gt;"",VLOOKUP($P485&amp;" | "&amp;BI$6,'Job Master'!$F$12:$I$102,4,0)&lt;&gt;""),IF(WEEKDAY(BR485-VLOOKUP($P485&amp;" | "&amp;BI$6,'Job Master'!$F$12:$I$102,4,0))&lt;&gt;7,BR485-VLOOKUP($P485&amp;" | "&amp;BI$6,'Job Master'!$F$12:$I$102,4,0),BR485-VLOOKUP($P485&amp;" | "&amp;BI$6,'Job Master'!$F$12:$I$102,4,0)-1),""),"")</f>
        <v/>
      </c>
      <c r="BL485" s="73"/>
      <c r="BM485" s="123" t="str">
        <f t="shared" si="910"/>
        <v/>
      </c>
      <c r="BN485" s="123" t="str">
        <f t="shared" si="911"/>
        <v/>
      </c>
      <c r="BO485" s="97" t="str">
        <f t="shared" ca="1" si="912"/>
        <v/>
      </c>
      <c r="BP485" s="98" t="str">
        <f>IF(BR485&lt;&gt;"",VLOOKUP($P485&amp;" | "&amp;BP$6,'Job Master'!$F$12:$J$102,5,0),"")</f>
        <v/>
      </c>
      <c r="BQ485" s="19" t="str">
        <f>IF(BR485&lt;&gt;"",VLOOKUP($P485&amp;" | "&amp;BP$6,'Job Master'!$F$12:$J$102,3,0),"")</f>
        <v/>
      </c>
      <c r="BR485" s="19" t="str">
        <f>IFERROR(IF(AND(BY485&lt;&gt;"",VLOOKUP($P485&amp;" | "&amp;BP$6,'Job Master'!$F$12:$I$102,4,0)&lt;&gt;""),IF(WEEKDAY(BY485-VLOOKUP($P485&amp;" | "&amp;BP$6,'Job Master'!$F$12:$I$102,4,0))&lt;&gt;7,BY485-VLOOKUP($P485&amp;" | "&amp;BP$6,'Job Master'!$F$12:$I$102,4,0),BY485-VLOOKUP($P485&amp;" | "&amp;BP$6,'Job Master'!$F$12:$I$102,4,0)-1),""),"")</f>
        <v/>
      </c>
      <c r="BS485" s="73"/>
      <c r="BT485" s="123" t="str">
        <f t="shared" si="913"/>
        <v/>
      </c>
      <c r="BU485" s="123" t="str">
        <f t="shared" si="914"/>
        <v/>
      </c>
      <c r="BV485" s="97" t="str">
        <f t="shared" ca="1" si="915"/>
        <v/>
      </c>
      <c r="BW485" s="98" t="str">
        <f>IF(BY485&lt;&gt;"",VLOOKUP($P485&amp;" | "&amp;BW$6,'Job Master'!$F$12:$J$102,5,0),"")</f>
        <v/>
      </c>
      <c r="BX485" s="19" t="str">
        <f>IF(BY485&lt;&gt;"",VLOOKUP($P485&amp;" | "&amp;BW$6,'Job Master'!$F$12:$J$102,3,0),"")</f>
        <v/>
      </c>
      <c r="BY485" s="19" t="str">
        <f>IFERROR(IF(AND(CF485&lt;&gt;"",VLOOKUP($P485&amp;" | "&amp;BW$6,'Job Master'!$F$12:$I$102,4,0)&lt;&gt;""),IF(WEEKDAY(CF485-VLOOKUP($P485&amp;" | "&amp;BW$6,'Job Master'!$F$12:$I$102,4,0))&lt;&gt;7,CF485-VLOOKUP($P485&amp;" | "&amp;BW$6,'Job Master'!$F$12:$I$102,4,0),CF485-VLOOKUP($P485&amp;" | "&amp;BW$6,'Job Master'!$F$12:$I$102,4,0)-1),""),"")</f>
        <v/>
      </c>
      <c r="BZ485" s="73"/>
      <c r="CA485" s="123" t="str">
        <f t="shared" si="916"/>
        <v/>
      </c>
      <c r="CB485" s="123" t="str">
        <f t="shared" si="917"/>
        <v/>
      </c>
      <c r="CC485" s="97" t="str">
        <f t="shared" ca="1" si="918"/>
        <v/>
      </c>
      <c r="CD485" s="98" t="str">
        <f>IF(CF485&lt;&gt;"",VLOOKUP($P485&amp;" | "&amp;CD$6,'Job Master'!$F$12:$J$102,5,0),"")</f>
        <v/>
      </c>
      <c r="CE485" s="19" t="str">
        <f>IF(CF485&lt;&gt;"",VLOOKUP($P485&amp;" | "&amp;CD$6,'Job Master'!$F$12:$J$102,3,0),"")</f>
        <v/>
      </c>
      <c r="CF485" s="19" t="str">
        <f>IFERROR(IF(AND(CM485&lt;&gt;"",VLOOKUP($P485&amp;" | "&amp;CD$6,'Job Master'!$F$12:$I$102,4,0)&lt;&gt;""),IF(WEEKDAY(CM485-VLOOKUP($P485&amp;" | "&amp;CD$6,'Job Master'!$F$12:$I$102,4,0))&lt;&gt;7,CM485-VLOOKUP($P485&amp;" | "&amp;CD$6,'Job Master'!$F$12:$I$102,4,0),CM485-VLOOKUP($P485&amp;" | "&amp;CD$6,'Job Master'!$F$12:$I$102,4,0)-1),""),"")</f>
        <v/>
      </c>
      <c r="CG485" s="73"/>
      <c r="CH485" s="123" t="str">
        <f t="shared" si="919"/>
        <v/>
      </c>
      <c r="CI485" s="123" t="str">
        <f t="shared" si="920"/>
        <v/>
      </c>
      <c r="CJ485" s="97" t="str">
        <f t="shared" ca="1" si="921"/>
        <v/>
      </c>
      <c r="CK485" s="98" t="str">
        <f>IF(CM485&lt;&gt;"",VLOOKUP($P485&amp;" | "&amp;CK$6,'Job Master'!$F$12:$J$102,5,0),"")</f>
        <v/>
      </c>
      <c r="CL485" s="19" t="str">
        <f>IF(CM485&lt;&gt;"",VLOOKUP($P485&amp;" | "&amp;CK$6,'Job Master'!$F$12:$J$102,3,0),"")</f>
        <v/>
      </c>
      <c r="CM485" s="19" t="str">
        <f>IFERROR(IF(AND(CT485&lt;&gt;"",VLOOKUP($P485&amp;" | "&amp;CK$6,'Job Master'!$F$12:$I$102,4,0)&lt;&gt;""),IF(WEEKDAY(CT485-VLOOKUP($P485&amp;" | "&amp;CK$6,'Job Master'!$F$12:$I$102,4,0))&lt;&gt;7,CT485-VLOOKUP($P485&amp;" | "&amp;CK$6,'Job Master'!$F$12:$I$102,4,0),CT485-VLOOKUP($P485&amp;" | "&amp;CK$6,'Job Master'!$F$12:$I$102,4,0)-1),""),"")</f>
        <v/>
      </c>
      <c r="CN485" s="73"/>
      <c r="CO485" s="123" t="str">
        <f t="shared" si="922"/>
        <v/>
      </c>
      <c r="CP485" s="123" t="str">
        <f t="shared" si="923"/>
        <v/>
      </c>
      <c r="CQ485" s="97" t="str">
        <f t="shared" ca="1" si="924"/>
        <v/>
      </c>
      <c r="CR485" s="98" t="str">
        <f>IF(CT485&lt;&gt;"",VLOOKUP($P485&amp;" | "&amp;CR$6,'Job Master'!$F$12:$J$102,5,0),"")</f>
        <v/>
      </c>
      <c r="CS485" s="19" t="str">
        <f>IF(CT485&lt;&gt;"",VLOOKUP($P485&amp;" | "&amp;CR$6,'Job Master'!$F$12:$J$102,3,0),"")</f>
        <v/>
      </c>
      <c r="CT485" s="19" t="str">
        <f>IFERROR(IF(AND(DA485&lt;&gt;"",VLOOKUP($P485&amp;" | "&amp;CR$6,'Job Master'!$F$12:$I$102,4,0)&lt;&gt;""),IF(WEEKDAY(DA485-VLOOKUP($P485&amp;" | "&amp;CR$6,'Job Master'!$F$12:$I$102,4,0))&lt;&gt;7,DA485-VLOOKUP($P485&amp;" | "&amp;CR$6,'Job Master'!$F$12:$I$102,4,0),DA485-VLOOKUP($P485&amp;" | "&amp;CR$6,'Job Master'!$F$12:$I$102,4,0)-1),""),"")</f>
        <v/>
      </c>
      <c r="CU485" s="73"/>
      <c r="CV485" s="123" t="str">
        <f t="shared" si="925"/>
        <v/>
      </c>
      <c r="CW485" s="123" t="str">
        <f t="shared" si="926"/>
        <v/>
      </c>
      <c r="CX485" s="97" t="str">
        <f t="shared" ca="1" si="927"/>
        <v/>
      </c>
      <c r="CY485" s="98" t="str">
        <f>IF(DA485&lt;&gt;"",VLOOKUP($P485&amp;" | "&amp;CY$6,'Job Master'!$F$12:$J$102,5,0),"")</f>
        <v/>
      </c>
      <c r="CZ485" s="19" t="str">
        <f>IF(DA485&lt;&gt;"",VLOOKUP($P485&amp;" | "&amp;CY$6,'Job Master'!$F$12:$J$102,3,0),"")</f>
        <v/>
      </c>
      <c r="DA485" s="19" t="str">
        <f>IFERROR(IF(AND(DH485&lt;&gt;"",VLOOKUP($P485&amp;" | "&amp;CY$6,'Job Master'!$F$12:$I$102,4,0)&lt;&gt;""),IF(WEEKDAY(DH485-VLOOKUP($P485&amp;" | "&amp;CY$6,'Job Master'!$F$12:$I$102,4,0))&lt;&gt;7,DH485-VLOOKUP($P485&amp;" | "&amp;CY$6,'Job Master'!$F$12:$I$102,4,0),DH485-VLOOKUP($P485&amp;" | "&amp;CY$6,'Job Master'!$F$12:$I$102,4,0)-1),""),"")</f>
        <v/>
      </c>
      <c r="DB485" s="73"/>
      <c r="DC485" s="123" t="str">
        <f t="shared" si="928"/>
        <v/>
      </c>
      <c r="DD485" s="123" t="str">
        <f t="shared" si="929"/>
        <v/>
      </c>
      <c r="DE485" s="97" t="str">
        <f t="shared" ca="1" si="930"/>
        <v/>
      </c>
      <c r="DF485" s="98" t="str">
        <f>IF(DH485&lt;&gt;"",VLOOKUP($P485&amp;" | "&amp;DF$6,'Job Master'!$F$12:$J$102,5,0),"")</f>
        <v/>
      </c>
      <c r="DG485" s="19" t="str">
        <f>IF(DH485&lt;&gt;"",VLOOKUP($P485&amp;" | "&amp;DF$6,'Job Master'!$F$12:$J$102,3,0),"")</f>
        <v/>
      </c>
      <c r="DH485" s="19" t="str">
        <f>IFERROR(IF(AND(DO485&lt;&gt;"",VLOOKUP($P485&amp;" | "&amp;DF$6,'Job Master'!$F$12:$I$102,4,0)&lt;&gt;""),IF(WEEKDAY(DO485-VLOOKUP($P485&amp;" | "&amp;DF$6,'Job Master'!$F$12:$I$102,4,0))&lt;&gt;7,DO485-VLOOKUP($P485&amp;" | "&amp;DF$6,'Job Master'!$F$12:$I$102,4,0),DO485-VLOOKUP($P485&amp;" | "&amp;DF$6,'Job Master'!$F$12:$I$102,4,0)-1),""),"")</f>
        <v/>
      </c>
      <c r="DI485" s="73"/>
      <c r="DJ485" s="123" t="str">
        <f t="shared" si="931"/>
        <v/>
      </c>
      <c r="DK485" s="123" t="str">
        <f t="shared" si="932"/>
        <v/>
      </c>
      <c r="DL485" s="97" t="str">
        <f t="shared" ca="1" si="933"/>
        <v/>
      </c>
      <c r="DM485" s="98" t="str">
        <f>IF(DO485&lt;&gt;"",VLOOKUP($P485&amp;" | "&amp;DM$6,'Job Master'!$F$12:$J$102,5,0),"")</f>
        <v/>
      </c>
      <c r="DN485" s="19" t="str">
        <f>IF(DO485&lt;&gt;"",VLOOKUP($P485&amp;" | "&amp;DM$6,'Job Master'!$F$12:$J$102,3,0),"")</f>
        <v/>
      </c>
      <c r="DO485" s="19" t="str">
        <f>IFERROR(IF(AND(DT485&lt;&gt;"",VLOOKUP($P485&amp;" | "&amp;DM$6,'Job Master'!$F$12:$I$102,4,0)&lt;&gt;""),IF(WEEKDAY(DT485-VLOOKUP($P485&amp;" | "&amp;DM$6,'Job Master'!$F$12:$I$102,4,0))&lt;&gt;7,DT485-VLOOKUP($P485&amp;" | "&amp;DM$6,'Job Master'!$F$12:$I$102,4,0),DT485-VLOOKUP($P485&amp;" | "&amp;DM$6,'Job Master'!$F$12:$I$102,4,0)-1),""),"")</f>
        <v/>
      </c>
      <c r="DP485" s="73"/>
      <c r="DQ485" s="123" t="str">
        <f t="shared" si="934"/>
        <v/>
      </c>
      <c r="DR485" s="123" t="str">
        <f t="shared" si="935"/>
        <v/>
      </c>
      <c r="DS485" s="97" t="str">
        <f t="shared" ca="1" si="936"/>
        <v/>
      </c>
      <c r="DT485" s="70" t="str">
        <f t="shared" si="937"/>
        <v/>
      </c>
      <c r="DU485" s="90"/>
      <c r="DV485" s="123" t="str">
        <f t="shared" si="938"/>
        <v/>
      </c>
      <c r="DW485" s="123" t="str">
        <f t="shared" si="939"/>
        <v/>
      </c>
      <c r="DX485" s="132" t="str">
        <f t="shared" ref="DX485" ca="1" si="978">IF(DT485&lt;&gt;"",IF(WEEKNUM(DT485)=WEEKNUM(TODAY()),"This Week",IF(WEEKNUM(DT485)=WEEKNUM(TODAY())+1,"Next Week",IF(WEEKNUM(DT485)=WEEKNUM(TODAY())-1,"Previous Week",""))),"")</f>
        <v/>
      </c>
      <c r="DY485" s="134" t="str">
        <f t="shared" si="941"/>
        <v/>
      </c>
      <c r="DZ485" s="95"/>
      <c r="EB485" s="8" t="str">
        <f t="shared" si="947"/>
        <v/>
      </c>
      <c r="EC485" s="8" t="str">
        <f>IF(O485&lt;&gt;"",VLOOKUP(O485,'Job Master'!$N$12:$O$18,2,0),"")</f>
        <v/>
      </c>
      <c r="ED485" s="8">
        <f t="shared" si="948"/>
        <v>19.5</v>
      </c>
      <c r="EE485" s="8">
        <f t="shared" si="949"/>
        <v>6</v>
      </c>
      <c r="EF485" s="8">
        <f t="shared" si="950"/>
        <v>-2830.5</v>
      </c>
      <c r="EG485" s="8" t="str">
        <f t="shared" si="951"/>
        <v/>
      </c>
      <c r="EH485" s="8" t="str">
        <f t="shared" si="952"/>
        <v/>
      </c>
    </row>
    <row r="486" spans="2:138" x14ac:dyDescent="0.3">
      <c r="B486" s="112"/>
      <c r="C486" s="27"/>
      <c r="D486" s="7" t="str">
        <f t="shared" si="891"/>
        <v/>
      </c>
      <c r="E486" s="25"/>
      <c r="F486" s="7" t="str">
        <f t="shared" si="891"/>
        <v/>
      </c>
      <c r="G486" s="25"/>
      <c r="H486" s="7" t="str">
        <f t="shared" si="891"/>
        <v/>
      </c>
      <c r="I486" s="25"/>
      <c r="J486" s="7" t="str">
        <f t="shared" si="891"/>
        <v/>
      </c>
      <c r="K486" s="25"/>
      <c r="L486" s="7" t="str">
        <f t="shared" si="891"/>
        <v/>
      </c>
      <c r="M486" s="25"/>
      <c r="N486" s="7" t="str">
        <f t="shared" si="891"/>
        <v/>
      </c>
      <c r="O486" s="81"/>
      <c r="P486" s="81" t="str">
        <f t="shared" si="892"/>
        <v/>
      </c>
      <c r="Q486" s="81"/>
      <c r="R486" s="7" t="str">
        <f t="shared" si="893"/>
        <v/>
      </c>
      <c r="S486" s="25"/>
      <c r="T486" s="7" t="str">
        <f t="shared" si="894"/>
        <v/>
      </c>
      <c r="U486" s="25"/>
      <c r="V486" s="7" t="str">
        <f t="shared" si="895"/>
        <v/>
      </c>
      <c r="W486" s="25"/>
      <c r="X486" s="7" t="str">
        <f t="shared" si="896"/>
        <v/>
      </c>
      <c r="Y486" s="18" t="str">
        <f t="shared" si="897"/>
        <v/>
      </c>
      <c r="Z486" s="7" t="str">
        <f t="shared" si="898"/>
        <v/>
      </c>
      <c r="AA486" s="18" t="str">
        <f t="shared" si="899"/>
        <v/>
      </c>
      <c r="AB486" s="19" t="str">
        <f t="shared" si="900"/>
        <v/>
      </c>
      <c r="AC486" s="26"/>
      <c r="AD486" s="26"/>
      <c r="AE486" s="25"/>
      <c r="AF486" s="26"/>
      <c r="AG486" s="25"/>
      <c r="AH486" s="25"/>
      <c r="AI486" s="18" t="str">
        <f t="shared" si="963"/>
        <v/>
      </c>
      <c r="AJ486" s="25"/>
      <c r="AK486" s="18" t="str">
        <f t="shared" si="964"/>
        <v/>
      </c>
      <c r="AL486" s="79"/>
      <c r="AM486" s="126" t="str">
        <f t="shared" si="965"/>
        <v/>
      </c>
      <c r="AN486" s="128" t="str">
        <f>IF(AP486&lt;&gt;"",VLOOKUP($P486&amp;" | "&amp;AN$6,'Job Master'!$F$12:$J$102,5,0),"")</f>
        <v/>
      </c>
      <c r="AO486" s="19" t="str">
        <f>IF(AP486&lt;&gt;"",VLOOKUP($P486&amp;" | "&amp;AN$6,'Job Master'!$F$12:$J$102,3,0),"")</f>
        <v/>
      </c>
      <c r="AP486" s="19" t="str">
        <f>IFERROR(IF(AND(AW486&lt;&gt;"",VLOOKUP($P486&amp;" | "&amp;AN$6,'Job Master'!$F$12:$I$102,4,0)&lt;&gt;""),IF(WEEKDAY(AW486-VLOOKUP($P486&amp;" | "&amp;AN$6,'Job Master'!$F$12:$I$102,4,0))&lt;&gt;7,AW486-VLOOKUP($P486&amp;" | "&amp;AN$6,'Job Master'!$F$12:$I$102,4,0),AW486-VLOOKUP($P486&amp;" | "&amp;AN$6,'Job Master'!$F$12:$I$102,4,0)-1),""),"")</f>
        <v/>
      </c>
      <c r="AQ486" s="73"/>
      <c r="AR486" s="123" t="str">
        <f t="shared" si="901"/>
        <v/>
      </c>
      <c r="AS486" s="123" t="str">
        <f t="shared" si="902"/>
        <v/>
      </c>
      <c r="AT486" s="97" t="str">
        <f t="shared" ca="1" si="903"/>
        <v/>
      </c>
      <c r="AU486" s="98" t="str">
        <f>IF(AW486&lt;&gt;"",VLOOKUP($P486&amp;" | "&amp;AU$6,'Job Master'!$F$12:$J$102,5,0),"")</f>
        <v/>
      </c>
      <c r="AV486" s="19" t="str">
        <f>IF(AW486&lt;&gt;"",VLOOKUP($P486&amp;" | "&amp;AU$6,'Job Master'!$F$12:$J$102,3,0),"")</f>
        <v/>
      </c>
      <c r="AW486" s="19" t="str">
        <f>IFERROR(IF(AND(BD486&lt;&gt;"",VLOOKUP($P486&amp;" | "&amp;AU$6,'Job Master'!$F$12:$I$102,4,0)&lt;&gt;""),IF(WEEKDAY(BD486-VLOOKUP($P486&amp;" | "&amp;AU$6,'Job Master'!$F$12:$I$102,4,0))&lt;&gt;7,BD486-VLOOKUP($P486&amp;" | "&amp;AU$6,'Job Master'!$F$12:$I$102,4,0),BD486-VLOOKUP($P486&amp;" | "&amp;AU$6,'Job Master'!$F$12:$I$102,4,0)-1),""),"")</f>
        <v/>
      </c>
      <c r="AX486" s="73"/>
      <c r="AY486" s="123" t="str">
        <f t="shared" si="904"/>
        <v/>
      </c>
      <c r="AZ486" s="123" t="str">
        <f t="shared" si="905"/>
        <v/>
      </c>
      <c r="BA486" s="97" t="str">
        <f t="shared" ca="1" si="906"/>
        <v/>
      </c>
      <c r="BB486" s="98" t="str">
        <f>IF(BD486&lt;&gt;"",VLOOKUP($P486&amp;" | "&amp;BB$6,'Job Master'!$F$12:$J$102,5,0),"")</f>
        <v/>
      </c>
      <c r="BC486" s="19" t="str">
        <f>IF(BD486&lt;&gt;"",VLOOKUP($P486&amp;" | "&amp;BB$6,'Job Master'!$F$12:$J$102,3,0),"")</f>
        <v/>
      </c>
      <c r="BD486" s="19" t="str">
        <f>IFERROR(IF(AND(BK486&lt;&gt;"",VLOOKUP($P486&amp;" | "&amp;BB$6,'Job Master'!$F$12:$I$102,4,0)&lt;&gt;""),IF(WEEKDAY(BK486-VLOOKUP($P486&amp;" | "&amp;BB$6,'Job Master'!$F$12:$I$102,4,0))&lt;&gt;7,BK486-VLOOKUP($P486&amp;" | "&amp;BB$6,'Job Master'!$F$12:$I$102,4,0),BK486-VLOOKUP($P486&amp;" | "&amp;BB$6,'Job Master'!$F$12:$I$102,4,0)-1),""),"")</f>
        <v/>
      </c>
      <c r="BE486" s="73"/>
      <c r="BF486" s="123" t="str">
        <f t="shared" si="907"/>
        <v/>
      </c>
      <c r="BG486" s="123" t="str">
        <f t="shared" si="908"/>
        <v/>
      </c>
      <c r="BH486" s="97" t="str">
        <f t="shared" ca="1" si="909"/>
        <v/>
      </c>
      <c r="BI486" s="98" t="str">
        <f>IF(BK486&lt;&gt;"",VLOOKUP($P486&amp;" | "&amp;BI$6,'Job Master'!$F$12:$J$102,5,0),"")</f>
        <v/>
      </c>
      <c r="BJ486" s="19" t="str">
        <f>IF(BK486&lt;&gt;"",VLOOKUP($P486&amp;" | "&amp;BI$6,'Job Master'!$F$12:$J$102,3,0),"")</f>
        <v/>
      </c>
      <c r="BK486" s="19" t="str">
        <f>IFERROR(IF(AND(BR486&lt;&gt;"",VLOOKUP($P486&amp;" | "&amp;BI$6,'Job Master'!$F$12:$I$102,4,0)&lt;&gt;""),IF(WEEKDAY(BR486-VLOOKUP($P486&amp;" | "&amp;BI$6,'Job Master'!$F$12:$I$102,4,0))&lt;&gt;7,BR486-VLOOKUP($P486&amp;" | "&amp;BI$6,'Job Master'!$F$12:$I$102,4,0),BR486-VLOOKUP($P486&amp;" | "&amp;BI$6,'Job Master'!$F$12:$I$102,4,0)-1),""),"")</f>
        <v/>
      </c>
      <c r="BL486" s="73"/>
      <c r="BM486" s="123" t="str">
        <f t="shared" si="910"/>
        <v/>
      </c>
      <c r="BN486" s="123" t="str">
        <f t="shared" si="911"/>
        <v/>
      </c>
      <c r="BO486" s="97" t="str">
        <f t="shared" ca="1" si="912"/>
        <v/>
      </c>
      <c r="BP486" s="98" t="str">
        <f>IF(BR486&lt;&gt;"",VLOOKUP($P486&amp;" | "&amp;BP$6,'Job Master'!$F$12:$J$102,5,0),"")</f>
        <v/>
      </c>
      <c r="BQ486" s="19" t="str">
        <f>IF(BR486&lt;&gt;"",VLOOKUP($P486&amp;" | "&amp;BP$6,'Job Master'!$F$12:$J$102,3,0),"")</f>
        <v/>
      </c>
      <c r="BR486" s="19" t="str">
        <f>IFERROR(IF(AND(BY486&lt;&gt;"",VLOOKUP($P486&amp;" | "&amp;BP$6,'Job Master'!$F$12:$I$102,4,0)&lt;&gt;""),IF(WEEKDAY(BY486-VLOOKUP($P486&amp;" | "&amp;BP$6,'Job Master'!$F$12:$I$102,4,0))&lt;&gt;7,BY486-VLOOKUP($P486&amp;" | "&amp;BP$6,'Job Master'!$F$12:$I$102,4,0),BY486-VLOOKUP($P486&amp;" | "&amp;BP$6,'Job Master'!$F$12:$I$102,4,0)-1),""),"")</f>
        <v/>
      </c>
      <c r="BS486" s="73"/>
      <c r="BT486" s="123" t="str">
        <f t="shared" si="913"/>
        <v/>
      </c>
      <c r="BU486" s="123" t="str">
        <f t="shared" si="914"/>
        <v/>
      </c>
      <c r="BV486" s="97" t="str">
        <f t="shared" ca="1" si="915"/>
        <v/>
      </c>
      <c r="BW486" s="98" t="str">
        <f>IF(BY486&lt;&gt;"",VLOOKUP($P486&amp;" | "&amp;BW$6,'Job Master'!$F$12:$J$102,5,0),"")</f>
        <v/>
      </c>
      <c r="BX486" s="19" t="str">
        <f>IF(BY486&lt;&gt;"",VLOOKUP($P486&amp;" | "&amp;BW$6,'Job Master'!$F$12:$J$102,3,0),"")</f>
        <v/>
      </c>
      <c r="BY486" s="19" t="str">
        <f>IFERROR(IF(AND(CF486&lt;&gt;"",VLOOKUP($P486&amp;" | "&amp;BW$6,'Job Master'!$F$12:$I$102,4,0)&lt;&gt;""),IF(WEEKDAY(CF486-VLOOKUP($P486&amp;" | "&amp;BW$6,'Job Master'!$F$12:$I$102,4,0))&lt;&gt;7,CF486-VLOOKUP($P486&amp;" | "&amp;BW$6,'Job Master'!$F$12:$I$102,4,0),CF486-VLOOKUP($P486&amp;" | "&amp;BW$6,'Job Master'!$F$12:$I$102,4,0)-1),""),"")</f>
        <v/>
      </c>
      <c r="BZ486" s="73"/>
      <c r="CA486" s="123" t="str">
        <f t="shared" si="916"/>
        <v/>
      </c>
      <c r="CB486" s="123" t="str">
        <f t="shared" si="917"/>
        <v/>
      </c>
      <c r="CC486" s="97" t="str">
        <f t="shared" ca="1" si="918"/>
        <v/>
      </c>
      <c r="CD486" s="98" t="str">
        <f>IF(CF486&lt;&gt;"",VLOOKUP($P486&amp;" | "&amp;CD$6,'Job Master'!$F$12:$J$102,5,0),"")</f>
        <v/>
      </c>
      <c r="CE486" s="19" t="str">
        <f>IF(CF486&lt;&gt;"",VLOOKUP($P486&amp;" | "&amp;CD$6,'Job Master'!$F$12:$J$102,3,0),"")</f>
        <v/>
      </c>
      <c r="CF486" s="19" t="str">
        <f>IFERROR(IF(AND(CM486&lt;&gt;"",VLOOKUP($P486&amp;" | "&amp;CD$6,'Job Master'!$F$12:$I$102,4,0)&lt;&gt;""),IF(WEEKDAY(CM486-VLOOKUP($P486&amp;" | "&amp;CD$6,'Job Master'!$F$12:$I$102,4,0))&lt;&gt;7,CM486-VLOOKUP($P486&amp;" | "&amp;CD$6,'Job Master'!$F$12:$I$102,4,0),CM486-VLOOKUP($P486&amp;" | "&amp;CD$6,'Job Master'!$F$12:$I$102,4,0)-1),""),"")</f>
        <v/>
      </c>
      <c r="CG486" s="73"/>
      <c r="CH486" s="123" t="str">
        <f t="shared" si="919"/>
        <v/>
      </c>
      <c r="CI486" s="123" t="str">
        <f t="shared" si="920"/>
        <v/>
      </c>
      <c r="CJ486" s="97" t="str">
        <f t="shared" ca="1" si="921"/>
        <v/>
      </c>
      <c r="CK486" s="98" t="str">
        <f>IF(CM486&lt;&gt;"",VLOOKUP($P486&amp;" | "&amp;CK$6,'Job Master'!$F$12:$J$102,5,0),"")</f>
        <v/>
      </c>
      <c r="CL486" s="19" t="str">
        <f>IF(CM486&lt;&gt;"",VLOOKUP($P486&amp;" | "&amp;CK$6,'Job Master'!$F$12:$J$102,3,0),"")</f>
        <v/>
      </c>
      <c r="CM486" s="19" t="str">
        <f>IFERROR(IF(AND(CT486&lt;&gt;"",VLOOKUP($P486&amp;" | "&amp;CK$6,'Job Master'!$F$12:$I$102,4,0)&lt;&gt;""),IF(WEEKDAY(CT486-VLOOKUP($P486&amp;" | "&amp;CK$6,'Job Master'!$F$12:$I$102,4,0))&lt;&gt;7,CT486-VLOOKUP($P486&amp;" | "&amp;CK$6,'Job Master'!$F$12:$I$102,4,0),CT486-VLOOKUP($P486&amp;" | "&amp;CK$6,'Job Master'!$F$12:$I$102,4,0)-1),""),"")</f>
        <v/>
      </c>
      <c r="CN486" s="73"/>
      <c r="CO486" s="123" t="str">
        <f t="shared" si="922"/>
        <v/>
      </c>
      <c r="CP486" s="123" t="str">
        <f t="shared" si="923"/>
        <v/>
      </c>
      <c r="CQ486" s="97" t="str">
        <f t="shared" ca="1" si="924"/>
        <v/>
      </c>
      <c r="CR486" s="98" t="str">
        <f>IF(CT486&lt;&gt;"",VLOOKUP($P486&amp;" | "&amp;CR$6,'Job Master'!$F$12:$J$102,5,0),"")</f>
        <v/>
      </c>
      <c r="CS486" s="19" t="str">
        <f>IF(CT486&lt;&gt;"",VLOOKUP($P486&amp;" | "&amp;CR$6,'Job Master'!$F$12:$J$102,3,0),"")</f>
        <v/>
      </c>
      <c r="CT486" s="19" t="str">
        <f>IFERROR(IF(AND(DA486&lt;&gt;"",VLOOKUP($P486&amp;" | "&amp;CR$6,'Job Master'!$F$12:$I$102,4,0)&lt;&gt;""),IF(WEEKDAY(DA486-VLOOKUP($P486&amp;" | "&amp;CR$6,'Job Master'!$F$12:$I$102,4,0))&lt;&gt;7,DA486-VLOOKUP($P486&amp;" | "&amp;CR$6,'Job Master'!$F$12:$I$102,4,0),DA486-VLOOKUP($P486&amp;" | "&amp;CR$6,'Job Master'!$F$12:$I$102,4,0)-1),""),"")</f>
        <v/>
      </c>
      <c r="CU486" s="73"/>
      <c r="CV486" s="123" t="str">
        <f t="shared" si="925"/>
        <v/>
      </c>
      <c r="CW486" s="123" t="str">
        <f t="shared" si="926"/>
        <v/>
      </c>
      <c r="CX486" s="97" t="str">
        <f t="shared" ca="1" si="927"/>
        <v/>
      </c>
      <c r="CY486" s="98" t="str">
        <f>IF(DA486&lt;&gt;"",VLOOKUP($P486&amp;" | "&amp;CY$6,'Job Master'!$F$12:$J$102,5,0),"")</f>
        <v/>
      </c>
      <c r="CZ486" s="19" t="str">
        <f>IF(DA486&lt;&gt;"",VLOOKUP($P486&amp;" | "&amp;CY$6,'Job Master'!$F$12:$J$102,3,0),"")</f>
        <v/>
      </c>
      <c r="DA486" s="19" t="str">
        <f>IFERROR(IF(AND(DH486&lt;&gt;"",VLOOKUP($P486&amp;" | "&amp;CY$6,'Job Master'!$F$12:$I$102,4,0)&lt;&gt;""),IF(WEEKDAY(DH486-VLOOKUP($P486&amp;" | "&amp;CY$6,'Job Master'!$F$12:$I$102,4,0))&lt;&gt;7,DH486-VLOOKUP($P486&amp;" | "&amp;CY$6,'Job Master'!$F$12:$I$102,4,0),DH486-VLOOKUP($P486&amp;" | "&amp;CY$6,'Job Master'!$F$12:$I$102,4,0)-1),""),"")</f>
        <v/>
      </c>
      <c r="DB486" s="73"/>
      <c r="DC486" s="123" t="str">
        <f t="shared" si="928"/>
        <v/>
      </c>
      <c r="DD486" s="123" t="str">
        <f t="shared" si="929"/>
        <v/>
      </c>
      <c r="DE486" s="97" t="str">
        <f t="shared" ca="1" si="930"/>
        <v/>
      </c>
      <c r="DF486" s="98" t="str">
        <f>IF(DH486&lt;&gt;"",VLOOKUP($P486&amp;" | "&amp;DF$6,'Job Master'!$F$12:$J$102,5,0),"")</f>
        <v/>
      </c>
      <c r="DG486" s="19" t="str">
        <f>IF(DH486&lt;&gt;"",VLOOKUP($P486&amp;" | "&amp;DF$6,'Job Master'!$F$12:$J$102,3,0),"")</f>
        <v/>
      </c>
      <c r="DH486" s="19" t="str">
        <f>IFERROR(IF(AND(DO486&lt;&gt;"",VLOOKUP($P486&amp;" | "&amp;DF$6,'Job Master'!$F$12:$I$102,4,0)&lt;&gt;""),IF(WEEKDAY(DO486-VLOOKUP($P486&amp;" | "&amp;DF$6,'Job Master'!$F$12:$I$102,4,0))&lt;&gt;7,DO486-VLOOKUP($P486&amp;" | "&amp;DF$6,'Job Master'!$F$12:$I$102,4,0),DO486-VLOOKUP($P486&amp;" | "&amp;DF$6,'Job Master'!$F$12:$I$102,4,0)-1),""),"")</f>
        <v/>
      </c>
      <c r="DI486" s="73"/>
      <c r="DJ486" s="123" t="str">
        <f t="shared" si="931"/>
        <v/>
      </c>
      <c r="DK486" s="123" t="str">
        <f t="shared" si="932"/>
        <v/>
      </c>
      <c r="DL486" s="97" t="str">
        <f t="shared" ca="1" si="933"/>
        <v/>
      </c>
      <c r="DM486" s="98" t="str">
        <f>IF(DO486&lt;&gt;"",VLOOKUP($P486&amp;" | "&amp;DM$6,'Job Master'!$F$12:$J$102,5,0),"")</f>
        <v/>
      </c>
      <c r="DN486" s="19" t="str">
        <f>IF(DO486&lt;&gt;"",VLOOKUP($P486&amp;" | "&amp;DM$6,'Job Master'!$F$12:$J$102,3,0),"")</f>
        <v/>
      </c>
      <c r="DO486" s="19" t="str">
        <f>IFERROR(IF(AND(DT486&lt;&gt;"",VLOOKUP($P486&amp;" | "&amp;DM$6,'Job Master'!$F$12:$I$102,4,0)&lt;&gt;""),IF(WEEKDAY(DT486-VLOOKUP($P486&amp;" | "&amp;DM$6,'Job Master'!$F$12:$I$102,4,0))&lt;&gt;7,DT486-VLOOKUP($P486&amp;" | "&amp;DM$6,'Job Master'!$F$12:$I$102,4,0),DT486-VLOOKUP($P486&amp;" | "&amp;DM$6,'Job Master'!$F$12:$I$102,4,0)-1),""),"")</f>
        <v/>
      </c>
      <c r="DP486" s="73"/>
      <c r="DQ486" s="123" t="str">
        <f t="shared" si="934"/>
        <v/>
      </c>
      <c r="DR486" s="123" t="str">
        <f t="shared" si="935"/>
        <v/>
      </c>
      <c r="DS486" s="97" t="str">
        <f t="shared" ca="1" si="936"/>
        <v/>
      </c>
      <c r="DT486" s="70" t="str">
        <f t="shared" si="937"/>
        <v/>
      </c>
      <c r="DU486" s="90"/>
      <c r="DV486" s="123" t="str">
        <f t="shared" si="938"/>
        <v/>
      </c>
      <c r="DW486" s="123" t="str">
        <f t="shared" si="939"/>
        <v/>
      </c>
      <c r="DX486" s="132" t="str">
        <f t="shared" ref="DX486" ca="1" si="979">IF(DT486&lt;&gt;"",IF(WEEKNUM(DT486)=WEEKNUM(TODAY()),"This Week",IF(WEEKNUM(DT486)=WEEKNUM(TODAY())+1,"Next Week",IF(WEEKNUM(DT486)=WEEKNUM(TODAY())-1,"Previous Week",""))),"")</f>
        <v/>
      </c>
      <c r="DY486" s="134" t="str">
        <f t="shared" si="941"/>
        <v/>
      </c>
      <c r="DZ486" s="95"/>
      <c r="EB486" s="8" t="str">
        <f t="shared" si="947"/>
        <v/>
      </c>
      <c r="EC486" s="8" t="str">
        <f>IF(O486&lt;&gt;"",VLOOKUP(O486,'Job Master'!$N$12:$O$18,2,0),"")</f>
        <v/>
      </c>
      <c r="ED486" s="8">
        <f t="shared" si="948"/>
        <v>19.5</v>
      </c>
      <c r="EE486" s="8">
        <f t="shared" si="949"/>
        <v>6</v>
      </c>
      <c r="EF486" s="8">
        <f t="shared" si="950"/>
        <v>-2836.5</v>
      </c>
      <c r="EG486" s="8" t="str">
        <f t="shared" si="951"/>
        <v/>
      </c>
      <c r="EH486" s="8" t="str">
        <f t="shared" si="952"/>
        <v/>
      </c>
    </row>
    <row r="487" spans="2:138" x14ac:dyDescent="0.3">
      <c r="B487" s="112"/>
      <c r="C487" s="27"/>
      <c r="D487" s="7" t="str">
        <f t="shared" si="891"/>
        <v/>
      </c>
      <c r="E487" s="25"/>
      <c r="F487" s="7" t="str">
        <f t="shared" si="891"/>
        <v/>
      </c>
      <c r="G487" s="25"/>
      <c r="H487" s="7" t="str">
        <f t="shared" si="891"/>
        <v/>
      </c>
      <c r="I487" s="25"/>
      <c r="J487" s="7" t="str">
        <f t="shared" si="891"/>
        <v/>
      </c>
      <c r="K487" s="25"/>
      <c r="L487" s="7" t="str">
        <f t="shared" si="891"/>
        <v/>
      </c>
      <c r="M487" s="25"/>
      <c r="N487" s="7" t="str">
        <f t="shared" si="891"/>
        <v/>
      </c>
      <c r="O487" s="81"/>
      <c r="P487" s="81" t="str">
        <f t="shared" si="892"/>
        <v/>
      </c>
      <c r="Q487" s="81"/>
      <c r="R487" s="7" t="str">
        <f t="shared" si="893"/>
        <v/>
      </c>
      <c r="S487" s="25"/>
      <c r="T487" s="7" t="str">
        <f t="shared" si="894"/>
        <v/>
      </c>
      <c r="U487" s="25"/>
      <c r="V487" s="7" t="str">
        <f t="shared" si="895"/>
        <v/>
      </c>
      <c r="W487" s="25"/>
      <c r="X487" s="7" t="str">
        <f t="shared" si="896"/>
        <v/>
      </c>
      <c r="Y487" s="18" t="str">
        <f t="shared" si="897"/>
        <v/>
      </c>
      <c r="Z487" s="7" t="str">
        <f t="shared" si="898"/>
        <v/>
      </c>
      <c r="AA487" s="18" t="str">
        <f t="shared" si="899"/>
        <v/>
      </c>
      <c r="AB487" s="19" t="str">
        <f t="shared" si="900"/>
        <v/>
      </c>
      <c r="AC487" s="26"/>
      <c r="AD487" s="26"/>
      <c r="AE487" s="25"/>
      <c r="AF487" s="26"/>
      <c r="AG487" s="25"/>
      <c r="AH487" s="25"/>
      <c r="AI487" s="18" t="str">
        <f t="shared" si="963"/>
        <v/>
      </c>
      <c r="AJ487" s="25"/>
      <c r="AK487" s="18" t="str">
        <f t="shared" si="964"/>
        <v/>
      </c>
      <c r="AL487" s="79"/>
      <c r="AM487" s="126" t="str">
        <f t="shared" si="965"/>
        <v/>
      </c>
      <c r="AN487" s="128" t="str">
        <f>IF(AP487&lt;&gt;"",VLOOKUP($P487&amp;" | "&amp;AN$6,'Job Master'!$F$12:$J$102,5,0),"")</f>
        <v/>
      </c>
      <c r="AO487" s="19" t="str">
        <f>IF(AP487&lt;&gt;"",VLOOKUP($P487&amp;" | "&amp;AN$6,'Job Master'!$F$12:$J$102,3,0),"")</f>
        <v/>
      </c>
      <c r="AP487" s="19" t="str">
        <f>IFERROR(IF(AND(AW487&lt;&gt;"",VLOOKUP($P487&amp;" | "&amp;AN$6,'Job Master'!$F$12:$I$102,4,0)&lt;&gt;""),IF(WEEKDAY(AW487-VLOOKUP($P487&amp;" | "&amp;AN$6,'Job Master'!$F$12:$I$102,4,0))&lt;&gt;7,AW487-VLOOKUP($P487&amp;" | "&amp;AN$6,'Job Master'!$F$12:$I$102,4,0),AW487-VLOOKUP($P487&amp;" | "&amp;AN$6,'Job Master'!$F$12:$I$102,4,0)-1),""),"")</f>
        <v/>
      </c>
      <c r="AQ487" s="73"/>
      <c r="AR487" s="123" t="str">
        <f t="shared" si="901"/>
        <v/>
      </c>
      <c r="AS487" s="123" t="str">
        <f t="shared" si="902"/>
        <v/>
      </c>
      <c r="AT487" s="97" t="str">
        <f t="shared" ca="1" si="903"/>
        <v/>
      </c>
      <c r="AU487" s="98" t="str">
        <f>IF(AW487&lt;&gt;"",VLOOKUP($P487&amp;" | "&amp;AU$6,'Job Master'!$F$12:$J$102,5,0),"")</f>
        <v/>
      </c>
      <c r="AV487" s="19" t="str">
        <f>IF(AW487&lt;&gt;"",VLOOKUP($P487&amp;" | "&amp;AU$6,'Job Master'!$F$12:$J$102,3,0),"")</f>
        <v/>
      </c>
      <c r="AW487" s="19" t="str">
        <f>IFERROR(IF(AND(BD487&lt;&gt;"",VLOOKUP($P487&amp;" | "&amp;AU$6,'Job Master'!$F$12:$I$102,4,0)&lt;&gt;""),IF(WEEKDAY(BD487-VLOOKUP($P487&amp;" | "&amp;AU$6,'Job Master'!$F$12:$I$102,4,0))&lt;&gt;7,BD487-VLOOKUP($P487&amp;" | "&amp;AU$6,'Job Master'!$F$12:$I$102,4,0),BD487-VLOOKUP($P487&amp;" | "&amp;AU$6,'Job Master'!$F$12:$I$102,4,0)-1),""),"")</f>
        <v/>
      </c>
      <c r="AX487" s="73"/>
      <c r="AY487" s="123" t="str">
        <f t="shared" si="904"/>
        <v/>
      </c>
      <c r="AZ487" s="123" t="str">
        <f t="shared" si="905"/>
        <v/>
      </c>
      <c r="BA487" s="97" t="str">
        <f t="shared" ca="1" si="906"/>
        <v/>
      </c>
      <c r="BB487" s="98" t="str">
        <f>IF(BD487&lt;&gt;"",VLOOKUP($P487&amp;" | "&amp;BB$6,'Job Master'!$F$12:$J$102,5,0),"")</f>
        <v/>
      </c>
      <c r="BC487" s="19" t="str">
        <f>IF(BD487&lt;&gt;"",VLOOKUP($P487&amp;" | "&amp;BB$6,'Job Master'!$F$12:$J$102,3,0),"")</f>
        <v/>
      </c>
      <c r="BD487" s="19" t="str">
        <f>IFERROR(IF(AND(BK487&lt;&gt;"",VLOOKUP($P487&amp;" | "&amp;BB$6,'Job Master'!$F$12:$I$102,4,0)&lt;&gt;""),IF(WEEKDAY(BK487-VLOOKUP($P487&amp;" | "&amp;BB$6,'Job Master'!$F$12:$I$102,4,0))&lt;&gt;7,BK487-VLOOKUP($P487&amp;" | "&amp;BB$6,'Job Master'!$F$12:$I$102,4,0),BK487-VLOOKUP($P487&amp;" | "&amp;BB$6,'Job Master'!$F$12:$I$102,4,0)-1),""),"")</f>
        <v/>
      </c>
      <c r="BE487" s="73"/>
      <c r="BF487" s="123" t="str">
        <f t="shared" si="907"/>
        <v/>
      </c>
      <c r="BG487" s="123" t="str">
        <f t="shared" si="908"/>
        <v/>
      </c>
      <c r="BH487" s="97" t="str">
        <f t="shared" ca="1" si="909"/>
        <v/>
      </c>
      <c r="BI487" s="98" t="str">
        <f>IF(BK487&lt;&gt;"",VLOOKUP($P487&amp;" | "&amp;BI$6,'Job Master'!$F$12:$J$102,5,0),"")</f>
        <v/>
      </c>
      <c r="BJ487" s="19" t="str">
        <f>IF(BK487&lt;&gt;"",VLOOKUP($P487&amp;" | "&amp;BI$6,'Job Master'!$F$12:$J$102,3,0),"")</f>
        <v/>
      </c>
      <c r="BK487" s="19" t="str">
        <f>IFERROR(IF(AND(BR487&lt;&gt;"",VLOOKUP($P487&amp;" | "&amp;BI$6,'Job Master'!$F$12:$I$102,4,0)&lt;&gt;""),IF(WEEKDAY(BR487-VLOOKUP($P487&amp;" | "&amp;BI$6,'Job Master'!$F$12:$I$102,4,0))&lt;&gt;7,BR487-VLOOKUP($P487&amp;" | "&amp;BI$6,'Job Master'!$F$12:$I$102,4,0),BR487-VLOOKUP($P487&amp;" | "&amp;BI$6,'Job Master'!$F$12:$I$102,4,0)-1),""),"")</f>
        <v/>
      </c>
      <c r="BL487" s="73"/>
      <c r="BM487" s="123" t="str">
        <f t="shared" si="910"/>
        <v/>
      </c>
      <c r="BN487" s="123" t="str">
        <f t="shared" si="911"/>
        <v/>
      </c>
      <c r="BO487" s="97" t="str">
        <f t="shared" ca="1" si="912"/>
        <v/>
      </c>
      <c r="BP487" s="98" t="str">
        <f>IF(BR487&lt;&gt;"",VLOOKUP($P487&amp;" | "&amp;BP$6,'Job Master'!$F$12:$J$102,5,0),"")</f>
        <v/>
      </c>
      <c r="BQ487" s="19" t="str">
        <f>IF(BR487&lt;&gt;"",VLOOKUP($P487&amp;" | "&amp;BP$6,'Job Master'!$F$12:$J$102,3,0),"")</f>
        <v/>
      </c>
      <c r="BR487" s="19" t="str">
        <f>IFERROR(IF(AND(BY487&lt;&gt;"",VLOOKUP($P487&amp;" | "&amp;BP$6,'Job Master'!$F$12:$I$102,4,0)&lt;&gt;""),IF(WEEKDAY(BY487-VLOOKUP($P487&amp;" | "&amp;BP$6,'Job Master'!$F$12:$I$102,4,0))&lt;&gt;7,BY487-VLOOKUP($P487&amp;" | "&amp;BP$6,'Job Master'!$F$12:$I$102,4,0),BY487-VLOOKUP($P487&amp;" | "&amp;BP$6,'Job Master'!$F$12:$I$102,4,0)-1),""),"")</f>
        <v/>
      </c>
      <c r="BS487" s="73"/>
      <c r="BT487" s="123" t="str">
        <f t="shared" si="913"/>
        <v/>
      </c>
      <c r="BU487" s="123" t="str">
        <f t="shared" si="914"/>
        <v/>
      </c>
      <c r="BV487" s="97" t="str">
        <f t="shared" ca="1" si="915"/>
        <v/>
      </c>
      <c r="BW487" s="98" t="str">
        <f>IF(BY487&lt;&gt;"",VLOOKUP($P487&amp;" | "&amp;BW$6,'Job Master'!$F$12:$J$102,5,0),"")</f>
        <v/>
      </c>
      <c r="BX487" s="19" t="str">
        <f>IF(BY487&lt;&gt;"",VLOOKUP($P487&amp;" | "&amp;BW$6,'Job Master'!$F$12:$J$102,3,0),"")</f>
        <v/>
      </c>
      <c r="BY487" s="19" t="str">
        <f>IFERROR(IF(AND(CF487&lt;&gt;"",VLOOKUP($P487&amp;" | "&amp;BW$6,'Job Master'!$F$12:$I$102,4,0)&lt;&gt;""),IF(WEEKDAY(CF487-VLOOKUP($P487&amp;" | "&amp;BW$6,'Job Master'!$F$12:$I$102,4,0))&lt;&gt;7,CF487-VLOOKUP($P487&amp;" | "&amp;BW$6,'Job Master'!$F$12:$I$102,4,0),CF487-VLOOKUP($P487&amp;" | "&amp;BW$6,'Job Master'!$F$12:$I$102,4,0)-1),""),"")</f>
        <v/>
      </c>
      <c r="BZ487" s="73"/>
      <c r="CA487" s="123" t="str">
        <f t="shared" si="916"/>
        <v/>
      </c>
      <c r="CB487" s="123" t="str">
        <f t="shared" si="917"/>
        <v/>
      </c>
      <c r="CC487" s="97" t="str">
        <f t="shared" ca="1" si="918"/>
        <v/>
      </c>
      <c r="CD487" s="98" t="str">
        <f>IF(CF487&lt;&gt;"",VLOOKUP($P487&amp;" | "&amp;CD$6,'Job Master'!$F$12:$J$102,5,0),"")</f>
        <v/>
      </c>
      <c r="CE487" s="19" t="str">
        <f>IF(CF487&lt;&gt;"",VLOOKUP($P487&amp;" | "&amp;CD$6,'Job Master'!$F$12:$J$102,3,0),"")</f>
        <v/>
      </c>
      <c r="CF487" s="19" t="str">
        <f>IFERROR(IF(AND(CM487&lt;&gt;"",VLOOKUP($P487&amp;" | "&amp;CD$6,'Job Master'!$F$12:$I$102,4,0)&lt;&gt;""),IF(WEEKDAY(CM487-VLOOKUP($P487&amp;" | "&amp;CD$6,'Job Master'!$F$12:$I$102,4,0))&lt;&gt;7,CM487-VLOOKUP($P487&amp;" | "&amp;CD$6,'Job Master'!$F$12:$I$102,4,0),CM487-VLOOKUP($P487&amp;" | "&amp;CD$6,'Job Master'!$F$12:$I$102,4,0)-1),""),"")</f>
        <v/>
      </c>
      <c r="CG487" s="73"/>
      <c r="CH487" s="123" t="str">
        <f t="shared" si="919"/>
        <v/>
      </c>
      <c r="CI487" s="123" t="str">
        <f t="shared" si="920"/>
        <v/>
      </c>
      <c r="CJ487" s="97" t="str">
        <f t="shared" ca="1" si="921"/>
        <v/>
      </c>
      <c r="CK487" s="98" t="str">
        <f>IF(CM487&lt;&gt;"",VLOOKUP($P487&amp;" | "&amp;CK$6,'Job Master'!$F$12:$J$102,5,0),"")</f>
        <v/>
      </c>
      <c r="CL487" s="19" t="str">
        <f>IF(CM487&lt;&gt;"",VLOOKUP($P487&amp;" | "&amp;CK$6,'Job Master'!$F$12:$J$102,3,0),"")</f>
        <v/>
      </c>
      <c r="CM487" s="19" t="str">
        <f>IFERROR(IF(AND(CT487&lt;&gt;"",VLOOKUP($P487&amp;" | "&amp;CK$6,'Job Master'!$F$12:$I$102,4,0)&lt;&gt;""),IF(WEEKDAY(CT487-VLOOKUP($P487&amp;" | "&amp;CK$6,'Job Master'!$F$12:$I$102,4,0))&lt;&gt;7,CT487-VLOOKUP($P487&amp;" | "&amp;CK$6,'Job Master'!$F$12:$I$102,4,0),CT487-VLOOKUP($P487&amp;" | "&amp;CK$6,'Job Master'!$F$12:$I$102,4,0)-1),""),"")</f>
        <v/>
      </c>
      <c r="CN487" s="73"/>
      <c r="CO487" s="123" t="str">
        <f t="shared" si="922"/>
        <v/>
      </c>
      <c r="CP487" s="123" t="str">
        <f t="shared" si="923"/>
        <v/>
      </c>
      <c r="CQ487" s="97" t="str">
        <f t="shared" ca="1" si="924"/>
        <v/>
      </c>
      <c r="CR487" s="98" t="str">
        <f>IF(CT487&lt;&gt;"",VLOOKUP($P487&amp;" | "&amp;CR$6,'Job Master'!$F$12:$J$102,5,0),"")</f>
        <v/>
      </c>
      <c r="CS487" s="19" t="str">
        <f>IF(CT487&lt;&gt;"",VLOOKUP($P487&amp;" | "&amp;CR$6,'Job Master'!$F$12:$J$102,3,0),"")</f>
        <v/>
      </c>
      <c r="CT487" s="19" t="str">
        <f>IFERROR(IF(AND(DA487&lt;&gt;"",VLOOKUP($P487&amp;" | "&amp;CR$6,'Job Master'!$F$12:$I$102,4,0)&lt;&gt;""),IF(WEEKDAY(DA487-VLOOKUP($P487&amp;" | "&amp;CR$6,'Job Master'!$F$12:$I$102,4,0))&lt;&gt;7,DA487-VLOOKUP($P487&amp;" | "&amp;CR$6,'Job Master'!$F$12:$I$102,4,0),DA487-VLOOKUP($P487&amp;" | "&amp;CR$6,'Job Master'!$F$12:$I$102,4,0)-1),""),"")</f>
        <v/>
      </c>
      <c r="CU487" s="73"/>
      <c r="CV487" s="123" t="str">
        <f t="shared" si="925"/>
        <v/>
      </c>
      <c r="CW487" s="123" t="str">
        <f t="shared" si="926"/>
        <v/>
      </c>
      <c r="CX487" s="97" t="str">
        <f t="shared" ca="1" si="927"/>
        <v/>
      </c>
      <c r="CY487" s="98" t="str">
        <f>IF(DA487&lt;&gt;"",VLOOKUP($P487&amp;" | "&amp;CY$6,'Job Master'!$F$12:$J$102,5,0),"")</f>
        <v/>
      </c>
      <c r="CZ487" s="19" t="str">
        <f>IF(DA487&lt;&gt;"",VLOOKUP($P487&amp;" | "&amp;CY$6,'Job Master'!$F$12:$J$102,3,0),"")</f>
        <v/>
      </c>
      <c r="DA487" s="19" t="str">
        <f>IFERROR(IF(AND(DH487&lt;&gt;"",VLOOKUP($P487&amp;" | "&amp;CY$6,'Job Master'!$F$12:$I$102,4,0)&lt;&gt;""),IF(WEEKDAY(DH487-VLOOKUP($P487&amp;" | "&amp;CY$6,'Job Master'!$F$12:$I$102,4,0))&lt;&gt;7,DH487-VLOOKUP($P487&amp;" | "&amp;CY$6,'Job Master'!$F$12:$I$102,4,0),DH487-VLOOKUP($P487&amp;" | "&amp;CY$6,'Job Master'!$F$12:$I$102,4,0)-1),""),"")</f>
        <v/>
      </c>
      <c r="DB487" s="73"/>
      <c r="DC487" s="123" t="str">
        <f t="shared" si="928"/>
        <v/>
      </c>
      <c r="DD487" s="123" t="str">
        <f t="shared" si="929"/>
        <v/>
      </c>
      <c r="DE487" s="97" t="str">
        <f t="shared" ca="1" si="930"/>
        <v/>
      </c>
      <c r="DF487" s="98" t="str">
        <f>IF(DH487&lt;&gt;"",VLOOKUP($P487&amp;" | "&amp;DF$6,'Job Master'!$F$12:$J$102,5,0),"")</f>
        <v/>
      </c>
      <c r="DG487" s="19" t="str">
        <f>IF(DH487&lt;&gt;"",VLOOKUP($P487&amp;" | "&amp;DF$6,'Job Master'!$F$12:$J$102,3,0),"")</f>
        <v/>
      </c>
      <c r="DH487" s="19" t="str">
        <f>IFERROR(IF(AND(DO487&lt;&gt;"",VLOOKUP($P487&amp;" | "&amp;DF$6,'Job Master'!$F$12:$I$102,4,0)&lt;&gt;""),IF(WEEKDAY(DO487-VLOOKUP($P487&amp;" | "&amp;DF$6,'Job Master'!$F$12:$I$102,4,0))&lt;&gt;7,DO487-VLOOKUP($P487&amp;" | "&amp;DF$6,'Job Master'!$F$12:$I$102,4,0),DO487-VLOOKUP($P487&amp;" | "&amp;DF$6,'Job Master'!$F$12:$I$102,4,0)-1),""),"")</f>
        <v/>
      </c>
      <c r="DI487" s="73"/>
      <c r="DJ487" s="123" t="str">
        <f t="shared" si="931"/>
        <v/>
      </c>
      <c r="DK487" s="123" t="str">
        <f t="shared" si="932"/>
        <v/>
      </c>
      <c r="DL487" s="97" t="str">
        <f t="shared" ca="1" si="933"/>
        <v/>
      </c>
      <c r="DM487" s="98" t="str">
        <f>IF(DO487&lt;&gt;"",VLOOKUP($P487&amp;" | "&amp;DM$6,'Job Master'!$F$12:$J$102,5,0),"")</f>
        <v/>
      </c>
      <c r="DN487" s="19" t="str">
        <f>IF(DO487&lt;&gt;"",VLOOKUP($P487&amp;" | "&amp;DM$6,'Job Master'!$F$12:$J$102,3,0),"")</f>
        <v/>
      </c>
      <c r="DO487" s="19" t="str">
        <f>IFERROR(IF(AND(DT487&lt;&gt;"",VLOOKUP($P487&amp;" | "&amp;DM$6,'Job Master'!$F$12:$I$102,4,0)&lt;&gt;""),IF(WEEKDAY(DT487-VLOOKUP($P487&amp;" | "&amp;DM$6,'Job Master'!$F$12:$I$102,4,0))&lt;&gt;7,DT487-VLOOKUP($P487&amp;" | "&amp;DM$6,'Job Master'!$F$12:$I$102,4,0),DT487-VLOOKUP($P487&amp;" | "&amp;DM$6,'Job Master'!$F$12:$I$102,4,0)-1),""),"")</f>
        <v/>
      </c>
      <c r="DP487" s="73"/>
      <c r="DQ487" s="123" t="str">
        <f t="shared" si="934"/>
        <v/>
      </c>
      <c r="DR487" s="123" t="str">
        <f t="shared" si="935"/>
        <v/>
      </c>
      <c r="DS487" s="97" t="str">
        <f t="shared" ca="1" si="936"/>
        <v/>
      </c>
      <c r="DT487" s="70" t="str">
        <f t="shared" si="937"/>
        <v/>
      </c>
      <c r="DU487" s="90"/>
      <c r="DV487" s="123" t="str">
        <f t="shared" si="938"/>
        <v/>
      </c>
      <c r="DW487" s="123" t="str">
        <f t="shared" si="939"/>
        <v/>
      </c>
      <c r="DX487" s="132" t="str">
        <f t="shared" ref="DX487" ca="1" si="980">IF(DT487&lt;&gt;"",IF(WEEKNUM(DT487)=WEEKNUM(TODAY()),"This Week",IF(WEEKNUM(DT487)=WEEKNUM(TODAY())+1,"Next Week",IF(WEEKNUM(DT487)=WEEKNUM(TODAY())-1,"Previous Week",""))),"")</f>
        <v/>
      </c>
      <c r="DY487" s="134" t="str">
        <f t="shared" si="941"/>
        <v/>
      </c>
      <c r="DZ487" s="95"/>
      <c r="EB487" s="8" t="str">
        <f t="shared" si="947"/>
        <v/>
      </c>
      <c r="EC487" s="8" t="str">
        <f>IF(O487&lt;&gt;"",VLOOKUP(O487,'Job Master'!$N$12:$O$18,2,0),"")</f>
        <v/>
      </c>
      <c r="ED487" s="8">
        <f t="shared" si="948"/>
        <v>19.5</v>
      </c>
      <c r="EE487" s="8">
        <f t="shared" si="949"/>
        <v>6</v>
      </c>
      <c r="EF487" s="8">
        <f t="shared" si="950"/>
        <v>-2842.5</v>
      </c>
      <c r="EG487" s="8" t="str">
        <f t="shared" si="951"/>
        <v/>
      </c>
      <c r="EH487" s="8" t="str">
        <f t="shared" si="952"/>
        <v/>
      </c>
    </row>
    <row r="488" spans="2:138" x14ac:dyDescent="0.3">
      <c r="B488" s="112"/>
      <c r="C488" s="27"/>
      <c r="D488" s="7" t="str">
        <f t="shared" si="891"/>
        <v/>
      </c>
      <c r="E488" s="25"/>
      <c r="F488" s="7" t="str">
        <f t="shared" si="891"/>
        <v/>
      </c>
      <c r="G488" s="25"/>
      <c r="H488" s="7" t="str">
        <f t="shared" si="891"/>
        <v/>
      </c>
      <c r="I488" s="25"/>
      <c r="J488" s="7" t="str">
        <f t="shared" si="891"/>
        <v/>
      </c>
      <c r="K488" s="25"/>
      <c r="L488" s="7" t="str">
        <f t="shared" si="891"/>
        <v/>
      </c>
      <c r="M488" s="25"/>
      <c r="N488" s="7" t="str">
        <f t="shared" si="891"/>
        <v/>
      </c>
      <c r="O488" s="81"/>
      <c r="P488" s="81" t="str">
        <f t="shared" si="892"/>
        <v/>
      </c>
      <c r="Q488" s="81"/>
      <c r="R488" s="7" t="str">
        <f t="shared" si="893"/>
        <v/>
      </c>
      <c r="S488" s="25"/>
      <c r="T488" s="7" t="str">
        <f t="shared" si="894"/>
        <v/>
      </c>
      <c r="U488" s="25"/>
      <c r="V488" s="7" t="str">
        <f t="shared" si="895"/>
        <v/>
      </c>
      <c r="W488" s="25"/>
      <c r="X488" s="7" t="str">
        <f t="shared" si="896"/>
        <v/>
      </c>
      <c r="Y488" s="18" t="str">
        <f t="shared" si="897"/>
        <v/>
      </c>
      <c r="Z488" s="7" t="str">
        <f t="shared" si="898"/>
        <v/>
      </c>
      <c r="AA488" s="18" t="str">
        <f t="shared" si="899"/>
        <v/>
      </c>
      <c r="AB488" s="19" t="str">
        <f t="shared" si="900"/>
        <v/>
      </c>
      <c r="AC488" s="26"/>
      <c r="AD488" s="26"/>
      <c r="AE488" s="25"/>
      <c r="AF488" s="26"/>
      <c r="AG488" s="25"/>
      <c r="AH488" s="25"/>
      <c r="AI488" s="18" t="str">
        <f t="shared" si="963"/>
        <v/>
      </c>
      <c r="AJ488" s="25"/>
      <c r="AK488" s="18" t="str">
        <f t="shared" si="964"/>
        <v/>
      </c>
      <c r="AL488" s="79"/>
      <c r="AM488" s="126" t="str">
        <f t="shared" si="965"/>
        <v/>
      </c>
      <c r="AN488" s="128" t="str">
        <f>IF(AP488&lt;&gt;"",VLOOKUP($P488&amp;" | "&amp;AN$6,'Job Master'!$F$12:$J$102,5,0),"")</f>
        <v/>
      </c>
      <c r="AO488" s="19" t="str">
        <f>IF(AP488&lt;&gt;"",VLOOKUP($P488&amp;" | "&amp;AN$6,'Job Master'!$F$12:$J$102,3,0),"")</f>
        <v/>
      </c>
      <c r="AP488" s="19" t="str">
        <f>IFERROR(IF(AND(AW488&lt;&gt;"",VLOOKUP($P488&amp;" | "&amp;AN$6,'Job Master'!$F$12:$I$102,4,0)&lt;&gt;""),IF(WEEKDAY(AW488-VLOOKUP($P488&amp;" | "&amp;AN$6,'Job Master'!$F$12:$I$102,4,0))&lt;&gt;7,AW488-VLOOKUP($P488&amp;" | "&amp;AN$6,'Job Master'!$F$12:$I$102,4,0),AW488-VLOOKUP($P488&amp;" | "&amp;AN$6,'Job Master'!$F$12:$I$102,4,0)-1),""),"")</f>
        <v/>
      </c>
      <c r="AQ488" s="73"/>
      <c r="AR488" s="123" t="str">
        <f t="shared" si="901"/>
        <v/>
      </c>
      <c r="AS488" s="123" t="str">
        <f t="shared" si="902"/>
        <v/>
      </c>
      <c r="AT488" s="97" t="str">
        <f t="shared" ca="1" si="903"/>
        <v/>
      </c>
      <c r="AU488" s="98" t="str">
        <f>IF(AW488&lt;&gt;"",VLOOKUP($P488&amp;" | "&amp;AU$6,'Job Master'!$F$12:$J$102,5,0),"")</f>
        <v/>
      </c>
      <c r="AV488" s="19" t="str">
        <f>IF(AW488&lt;&gt;"",VLOOKUP($P488&amp;" | "&amp;AU$6,'Job Master'!$F$12:$J$102,3,0),"")</f>
        <v/>
      </c>
      <c r="AW488" s="19" t="str">
        <f>IFERROR(IF(AND(BD488&lt;&gt;"",VLOOKUP($P488&amp;" | "&amp;AU$6,'Job Master'!$F$12:$I$102,4,0)&lt;&gt;""),IF(WEEKDAY(BD488-VLOOKUP($P488&amp;" | "&amp;AU$6,'Job Master'!$F$12:$I$102,4,0))&lt;&gt;7,BD488-VLOOKUP($P488&amp;" | "&amp;AU$6,'Job Master'!$F$12:$I$102,4,0),BD488-VLOOKUP($P488&amp;" | "&amp;AU$6,'Job Master'!$F$12:$I$102,4,0)-1),""),"")</f>
        <v/>
      </c>
      <c r="AX488" s="73"/>
      <c r="AY488" s="123" t="str">
        <f t="shared" si="904"/>
        <v/>
      </c>
      <c r="AZ488" s="123" t="str">
        <f t="shared" si="905"/>
        <v/>
      </c>
      <c r="BA488" s="97" t="str">
        <f t="shared" ca="1" si="906"/>
        <v/>
      </c>
      <c r="BB488" s="98" t="str">
        <f>IF(BD488&lt;&gt;"",VLOOKUP($P488&amp;" | "&amp;BB$6,'Job Master'!$F$12:$J$102,5,0),"")</f>
        <v/>
      </c>
      <c r="BC488" s="19" t="str">
        <f>IF(BD488&lt;&gt;"",VLOOKUP($P488&amp;" | "&amp;BB$6,'Job Master'!$F$12:$J$102,3,0),"")</f>
        <v/>
      </c>
      <c r="BD488" s="19" t="str">
        <f>IFERROR(IF(AND(BK488&lt;&gt;"",VLOOKUP($P488&amp;" | "&amp;BB$6,'Job Master'!$F$12:$I$102,4,0)&lt;&gt;""),IF(WEEKDAY(BK488-VLOOKUP($P488&amp;" | "&amp;BB$6,'Job Master'!$F$12:$I$102,4,0))&lt;&gt;7,BK488-VLOOKUP($P488&amp;" | "&amp;BB$6,'Job Master'!$F$12:$I$102,4,0),BK488-VLOOKUP($P488&amp;" | "&amp;BB$6,'Job Master'!$F$12:$I$102,4,0)-1),""),"")</f>
        <v/>
      </c>
      <c r="BE488" s="73"/>
      <c r="BF488" s="123" t="str">
        <f t="shared" si="907"/>
        <v/>
      </c>
      <c r="BG488" s="123" t="str">
        <f t="shared" si="908"/>
        <v/>
      </c>
      <c r="BH488" s="97" t="str">
        <f t="shared" ca="1" si="909"/>
        <v/>
      </c>
      <c r="BI488" s="98" t="str">
        <f>IF(BK488&lt;&gt;"",VLOOKUP($P488&amp;" | "&amp;BI$6,'Job Master'!$F$12:$J$102,5,0),"")</f>
        <v/>
      </c>
      <c r="BJ488" s="19" t="str">
        <f>IF(BK488&lt;&gt;"",VLOOKUP($P488&amp;" | "&amp;BI$6,'Job Master'!$F$12:$J$102,3,0),"")</f>
        <v/>
      </c>
      <c r="BK488" s="19" t="str">
        <f>IFERROR(IF(AND(BR488&lt;&gt;"",VLOOKUP($P488&amp;" | "&amp;BI$6,'Job Master'!$F$12:$I$102,4,0)&lt;&gt;""),IF(WEEKDAY(BR488-VLOOKUP($P488&amp;" | "&amp;BI$6,'Job Master'!$F$12:$I$102,4,0))&lt;&gt;7,BR488-VLOOKUP($P488&amp;" | "&amp;BI$6,'Job Master'!$F$12:$I$102,4,0),BR488-VLOOKUP($P488&amp;" | "&amp;BI$6,'Job Master'!$F$12:$I$102,4,0)-1),""),"")</f>
        <v/>
      </c>
      <c r="BL488" s="73"/>
      <c r="BM488" s="123" t="str">
        <f t="shared" si="910"/>
        <v/>
      </c>
      <c r="BN488" s="123" t="str">
        <f t="shared" si="911"/>
        <v/>
      </c>
      <c r="BO488" s="97" t="str">
        <f t="shared" ca="1" si="912"/>
        <v/>
      </c>
      <c r="BP488" s="98" t="str">
        <f>IF(BR488&lt;&gt;"",VLOOKUP($P488&amp;" | "&amp;BP$6,'Job Master'!$F$12:$J$102,5,0),"")</f>
        <v/>
      </c>
      <c r="BQ488" s="19" t="str">
        <f>IF(BR488&lt;&gt;"",VLOOKUP($P488&amp;" | "&amp;BP$6,'Job Master'!$F$12:$J$102,3,0),"")</f>
        <v/>
      </c>
      <c r="BR488" s="19" t="str">
        <f>IFERROR(IF(AND(BY488&lt;&gt;"",VLOOKUP($P488&amp;" | "&amp;BP$6,'Job Master'!$F$12:$I$102,4,0)&lt;&gt;""),IF(WEEKDAY(BY488-VLOOKUP($P488&amp;" | "&amp;BP$6,'Job Master'!$F$12:$I$102,4,0))&lt;&gt;7,BY488-VLOOKUP($P488&amp;" | "&amp;BP$6,'Job Master'!$F$12:$I$102,4,0),BY488-VLOOKUP($P488&amp;" | "&amp;BP$6,'Job Master'!$F$12:$I$102,4,0)-1),""),"")</f>
        <v/>
      </c>
      <c r="BS488" s="73"/>
      <c r="BT488" s="123" t="str">
        <f t="shared" si="913"/>
        <v/>
      </c>
      <c r="BU488" s="123" t="str">
        <f t="shared" si="914"/>
        <v/>
      </c>
      <c r="BV488" s="97" t="str">
        <f t="shared" ca="1" si="915"/>
        <v/>
      </c>
      <c r="BW488" s="98" t="str">
        <f>IF(BY488&lt;&gt;"",VLOOKUP($P488&amp;" | "&amp;BW$6,'Job Master'!$F$12:$J$102,5,0),"")</f>
        <v/>
      </c>
      <c r="BX488" s="19" t="str">
        <f>IF(BY488&lt;&gt;"",VLOOKUP($P488&amp;" | "&amp;BW$6,'Job Master'!$F$12:$J$102,3,0),"")</f>
        <v/>
      </c>
      <c r="BY488" s="19" t="str">
        <f>IFERROR(IF(AND(CF488&lt;&gt;"",VLOOKUP($P488&amp;" | "&amp;BW$6,'Job Master'!$F$12:$I$102,4,0)&lt;&gt;""),IF(WEEKDAY(CF488-VLOOKUP($P488&amp;" | "&amp;BW$6,'Job Master'!$F$12:$I$102,4,0))&lt;&gt;7,CF488-VLOOKUP($P488&amp;" | "&amp;BW$6,'Job Master'!$F$12:$I$102,4,0),CF488-VLOOKUP($P488&amp;" | "&amp;BW$6,'Job Master'!$F$12:$I$102,4,0)-1),""),"")</f>
        <v/>
      </c>
      <c r="BZ488" s="73"/>
      <c r="CA488" s="123" t="str">
        <f t="shared" si="916"/>
        <v/>
      </c>
      <c r="CB488" s="123" t="str">
        <f t="shared" si="917"/>
        <v/>
      </c>
      <c r="CC488" s="97" t="str">
        <f t="shared" ca="1" si="918"/>
        <v/>
      </c>
      <c r="CD488" s="98" t="str">
        <f>IF(CF488&lt;&gt;"",VLOOKUP($P488&amp;" | "&amp;CD$6,'Job Master'!$F$12:$J$102,5,0),"")</f>
        <v/>
      </c>
      <c r="CE488" s="19" t="str">
        <f>IF(CF488&lt;&gt;"",VLOOKUP($P488&amp;" | "&amp;CD$6,'Job Master'!$F$12:$J$102,3,0),"")</f>
        <v/>
      </c>
      <c r="CF488" s="19" t="str">
        <f>IFERROR(IF(AND(CM488&lt;&gt;"",VLOOKUP($P488&amp;" | "&amp;CD$6,'Job Master'!$F$12:$I$102,4,0)&lt;&gt;""),IF(WEEKDAY(CM488-VLOOKUP($P488&amp;" | "&amp;CD$6,'Job Master'!$F$12:$I$102,4,0))&lt;&gt;7,CM488-VLOOKUP($P488&amp;" | "&amp;CD$6,'Job Master'!$F$12:$I$102,4,0),CM488-VLOOKUP($P488&amp;" | "&amp;CD$6,'Job Master'!$F$12:$I$102,4,0)-1),""),"")</f>
        <v/>
      </c>
      <c r="CG488" s="73"/>
      <c r="CH488" s="123" t="str">
        <f t="shared" si="919"/>
        <v/>
      </c>
      <c r="CI488" s="123" t="str">
        <f t="shared" si="920"/>
        <v/>
      </c>
      <c r="CJ488" s="97" t="str">
        <f t="shared" ca="1" si="921"/>
        <v/>
      </c>
      <c r="CK488" s="98" t="str">
        <f>IF(CM488&lt;&gt;"",VLOOKUP($P488&amp;" | "&amp;CK$6,'Job Master'!$F$12:$J$102,5,0),"")</f>
        <v/>
      </c>
      <c r="CL488" s="19" t="str">
        <f>IF(CM488&lt;&gt;"",VLOOKUP($P488&amp;" | "&amp;CK$6,'Job Master'!$F$12:$J$102,3,0),"")</f>
        <v/>
      </c>
      <c r="CM488" s="19" t="str">
        <f>IFERROR(IF(AND(CT488&lt;&gt;"",VLOOKUP($P488&amp;" | "&amp;CK$6,'Job Master'!$F$12:$I$102,4,0)&lt;&gt;""),IF(WEEKDAY(CT488-VLOOKUP($P488&amp;" | "&amp;CK$6,'Job Master'!$F$12:$I$102,4,0))&lt;&gt;7,CT488-VLOOKUP($P488&amp;" | "&amp;CK$6,'Job Master'!$F$12:$I$102,4,0),CT488-VLOOKUP($P488&amp;" | "&amp;CK$6,'Job Master'!$F$12:$I$102,4,0)-1),""),"")</f>
        <v/>
      </c>
      <c r="CN488" s="73"/>
      <c r="CO488" s="123" t="str">
        <f t="shared" si="922"/>
        <v/>
      </c>
      <c r="CP488" s="123" t="str">
        <f t="shared" si="923"/>
        <v/>
      </c>
      <c r="CQ488" s="97" t="str">
        <f t="shared" ca="1" si="924"/>
        <v/>
      </c>
      <c r="CR488" s="98" t="str">
        <f>IF(CT488&lt;&gt;"",VLOOKUP($P488&amp;" | "&amp;CR$6,'Job Master'!$F$12:$J$102,5,0),"")</f>
        <v/>
      </c>
      <c r="CS488" s="19" t="str">
        <f>IF(CT488&lt;&gt;"",VLOOKUP($P488&amp;" | "&amp;CR$6,'Job Master'!$F$12:$J$102,3,0),"")</f>
        <v/>
      </c>
      <c r="CT488" s="19" t="str">
        <f>IFERROR(IF(AND(DA488&lt;&gt;"",VLOOKUP($P488&amp;" | "&amp;CR$6,'Job Master'!$F$12:$I$102,4,0)&lt;&gt;""),IF(WEEKDAY(DA488-VLOOKUP($P488&amp;" | "&amp;CR$6,'Job Master'!$F$12:$I$102,4,0))&lt;&gt;7,DA488-VLOOKUP($P488&amp;" | "&amp;CR$6,'Job Master'!$F$12:$I$102,4,0),DA488-VLOOKUP($P488&amp;" | "&amp;CR$6,'Job Master'!$F$12:$I$102,4,0)-1),""),"")</f>
        <v/>
      </c>
      <c r="CU488" s="73"/>
      <c r="CV488" s="123" t="str">
        <f t="shared" si="925"/>
        <v/>
      </c>
      <c r="CW488" s="123" t="str">
        <f t="shared" si="926"/>
        <v/>
      </c>
      <c r="CX488" s="97" t="str">
        <f t="shared" ca="1" si="927"/>
        <v/>
      </c>
      <c r="CY488" s="98" t="str">
        <f>IF(DA488&lt;&gt;"",VLOOKUP($P488&amp;" | "&amp;CY$6,'Job Master'!$F$12:$J$102,5,0),"")</f>
        <v/>
      </c>
      <c r="CZ488" s="19" t="str">
        <f>IF(DA488&lt;&gt;"",VLOOKUP($P488&amp;" | "&amp;CY$6,'Job Master'!$F$12:$J$102,3,0),"")</f>
        <v/>
      </c>
      <c r="DA488" s="19" t="str">
        <f>IFERROR(IF(AND(DH488&lt;&gt;"",VLOOKUP($P488&amp;" | "&amp;CY$6,'Job Master'!$F$12:$I$102,4,0)&lt;&gt;""),IF(WEEKDAY(DH488-VLOOKUP($P488&amp;" | "&amp;CY$6,'Job Master'!$F$12:$I$102,4,0))&lt;&gt;7,DH488-VLOOKUP($P488&amp;" | "&amp;CY$6,'Job Master'!$F$12:$I$102,4,0),DH488-VLOOKUP($P488&amp;" | "&amp;CY$6,'Job Master'!$F$12:$I$102,4,0)-1),""),"")</f>
        <v/>
      </c>
      <c r="DB488" s="73"/>
      <c r="DC488" s="123" t="str">
        <f t="shared" si="928"/>
        <v/>
      </c>
      <c r="DD488" s="123" t="str">
        <f t="shared" si="929"/>
        <v/>
      </c>
      <c r="DE488" s="97" t="str">
        <f t="shared" ca="1" si="930"/>
        <v/>
      </c>
      <c r="DF488" s="98" t="str">
        <f>IF(DH488&lt;&gt;"",VLOOKUP($P488&amp;" | "&amp;DF$6,'Job Master'!$F$12:$J$102,5,0),"")</f>
        <v/>
      </c>
      <c r="DG488" s="19" t="str">
        <f>IF(DH488&lt;&gt;"",VLOOKUP($P488&amp;" | "&amp;DF$6,'Job Master'!$F$12:$J$102,3,0),"")</f>
        <v/>
      </c>
      <c r="DH488" s="19" t="str">
        <f>IFERROR(IF(AND(DO488&lt;&gt;"",VLOOKUP($P488&amp;" | "&amp;DF$6,'Job Master'!$F$12:$I$102,4,0)&lt;&gt;""),IF(WEEKDAY(DO488-VLOOKUP($P488&amp;" | "&amp;DF$6,'Job Master'!$F$12:$I$102,4,0))&lt;&gt;7,DO488-VLOOKUP($P488&amp;" | "&amp;DF$6,'Job Master'!$F$12:$I$102,4,0),DO488-VLOOKUP($P488&amp;" | "&amp;DF$6,'Job Master'!$F$12:$I$102,4,0)-1),""),"")</f>
        <v/>
      </c>
      <c r="DI488" s="73"/>
      <c r="DJ488" s="123" t="str">
        <f t="shared" si="931"/>
        <v/>
      </c>
      <c r="DK488" s="123" t="str">
        <f t="shared" si="932"/>
        <v/>
      </c>
      <c r="DL488" s="97" t="str">
        <f t="shared" ca="1" si="933"/>
        <v/>
      </c>
      <c r="DM488" s="98" t="str">
        <f>IF(DO488&lt;&gt;"",VLOOKUP($P488&amp;" | "&amp;DM$6,'Job Master'!$F$12:$J$102,5,0),"")</f>
        <v/>
      </c>
      <c r="DN488" s="19" t="str">
        <f>IF(DO488&lt;&gt;"",VLOOKUP($P488&amp;" | "&amp;DM$6,'Job Master'!$F$12:$J$102,3,0),"")</f>
        <v/>
      </c>
      <c r="DO488" s="19" t="str">
        <f>IFERROR(IF(AND(DT488&lt;&gt;"",VLOOKUP($P488&amp;" | "&amp;DM$6,'Job Master'!$F$12:$I$102,4,0)&lt;&gt;""),IF(WEEKDAY(DT488-VLOOKUP($P488&amp;" | "&amp;DM$6,'Job Master'!$F$12:$I$102,4,0))&lt;&gt;7,DT488-VLOOKUP($P488&amp;" | "&amp;DM$6,'Job Master'!$F$12:$I$102,4,0),DT488-VLOOKUP($P488&amp;" | "&amp;DM$6,'Job Master'!$F$12:$I$102,4,0)-1),""),"")</f>
        <v/>
      </c>
      <c r="DP488" s="73"/>
      <c r="DQ488" s="123" t="str">
        <f t="shared" si="934"/>
        <v/>
      </c>
      <c r="DR488" s="123" t="str">
        <f t="shared" si="935"/>
        <v/>
      </c>
      <c r="DS488" s="97" t="str">
        <f t="shared" ca="1" si="936"/>
        <v/>
      </c>
      <c r="DT488" s="70" t="str">
        <f t="shared" si="937"/>
        <v/>
      </c>
      <c r="DU488" s="90"/>
      <c r="DV488" s="123" t="str">
        <f t="shared" si="938"/>
        <v/>
      </c>
      <c r="DW488" s="123" t="str">
        <f t="shared" si="939"/>
        <v/>
      </c>
      <c r="DX488" s="132" t="str">
        <f t="shared" ref="DX488" ca="1" si="981">IF(DT488&lt;&gt;"",IF(WEEKNUM(DT488)=WEEKNUM(TODAY()),"This Week",IF(WEEKNUM(DT488)=WEEKNUM(TODAY())+1,"Next Week",IF(WEEKNUM(DT488)=WEEKNUM(TODAY())-1,"Previous Week",""))),"")</f>
        <v/>
      </c>
      <c r="DY488" s="134" t="str">
        <f t="shared" si="941"/>
        <v/>
      </c>
      <c r="DZ488" s="95"/>
      <c r="EB488" s="8" t="str">
        <f t="shared" si="947"/>
        <v/>
      </c>
      <c r="EC488" s="8" t="str">
        <f>IF(O488&lt;&gt;"",VLOOKUP(O488,'Job Master'!$N$12:$O$18,2,0),"")</f>
        <v/>
      </c>
      <c r="ED488" s="8">
        <f t="shared" si="948"/>
        <v>19.5</v>
      </c>
      <c r="EE488" s="8">
        <f t="shared" si="949"/>
        <v>6</v>
      </c>
      <c r="EF488" s="8">
        <f t="shared" si="950"/>
        <v>-2848.5</v>
      </c>
      <c r="EG488" s="8" t="str">
        <f t="shared" si="951"/>
        <v/>
      </c>
      <c r="EH488" s="8" t="str">
        <f t="shared" si="952"/>
        <v/>
      </c>
    </row>
    <row r="489" spans="2:138" x14ac:dyDescent="0.3">
      <c r="B489" s="112"/>
      <c r="C489" s="27"/>
      <c r="D489" s="7" t="str">
        <f t="shared" si="891"/>
        <v/>
      </c>
      <c r="E489" s="25"/>
      <c r="F489" s="7" t="str">
        <f t="shared" si="891"/>
        <v/>
      </c>
      <c r="G489" s="25"/>
      <c r="H489" s="7" t="str">
        <f t="shared" si="891"/>
        <v/>
      </c>
      <c r="I489" s="25"/>
      <c r="J489" s="7" t="str">
        <f t="shared" si="891"/>
        <v/>
      </c>
      <c r="K489" s="25"/>
      <c r="L489" s="7" t="str">
        <f t="shared" si="891"/>
        <v/>
      </c>
      <c r="M489" s="25"/>
      <c r="N489" s="7" t="str">
        <f t="shared" si="891"/>
        <v/>
      </c>
      <c r="O489" s="81"/>
      <c r="P489" s="81" t="str">
        <f t="shared" si="892"/>
        <v/>
      </c>
      <c r="Q489" s="81"/>
      <c r="R489" s="7" t="str">
        <f t="shared" si="893"/>
        <v/>
      </c>
      <c r="S489" s="25"/>
      <c r="T489" s="7" t="str">
        <f t="shared" si="894"/>
        <v/>
      </c>
      <c r="U489" s="25"/>
      <c r="V489" s="7" t="str">
        <f t="shared" si="895"/>
        <v/>
      </c>
      <c r="W489" s="25"/>
      <c r="X489" s="7" t="str">
        <f t="shared" si="896"/>
        <v/>
      </c>
      <c r="Y489" s="18" t="str">
        <f t="shared" si="897"/>
        <v/>
      </c>
      <c r="Z489" s="7" t="str">
        <f t="shared" si="898"/>
        <v/>
      </c>
      <c r="AA489" s="18" t="str">
        <f t="shared" si="899"/>
        <v/>
      </c>
      <c r="AB489" s="19" t="str">
        <f t="shared" si="900"/>
        <v/>
      </c>
      <c r="AC489" s="26"/>
      <c r="AD489" s="26"/>
      <c r="AE489" s="25"/>
      <c r="AF489" s="26"/>
      <c r="AG489" s="25"/>
      <c r="AH489" s="25"/>
      <c r="AI489" s="18" t="str">
        <f t="shared" si="963"/>
        <v/>
      </c>
      <c r="AJ489" s="25"/>
      <c r="AK489" s="18" t="str">
        <f t="shared" si="964"/>
        <v/>
      </c>
      <c r="AL489" s="79"/>
      <c r="AM489" s="126" t="str">
        <f t="shared" si="965"/>
        <v/>
      </c>
      <c r="AN489" s="128" t="str">
        <f>IF(AP489&lt;&gt;"",VLOOKUP($P489&amp;" | "&amp;AN$6,'Job Master'!$F$12:$J$102,5,0),"")</f>
        <v/>
      </c>
      <c r="AO489" s="19" t="str">
        <f>IF(AP489&lt;&gt;"",VLOOKUP($P489&amp;" | "&amp;AN$6,'Job Master'!$F$12:$J$102,3,0),"")</f>
        <v/>
      </c>
      <c r="AP489" s="19" t="str">
        <f>IFERROR(IF(AND(AW489&lt;&gt;"",VLOOKUP($P489&amp;" | "&amp;AN$6,'Job Master'!$F$12:$I$102,4,0)&lt;&gt;""),IF(WEEKDAY(AW489-VLOOKUP($P489&amp;" | "&amp;AN$6,'Job Master'!$F$12:$I$102,4,0))&lt;&gt;7,AW489-VLOOKUP($P489&amp;" | "&amp;AN$6,'Job Master'!$F$12:$I$102,4,0),AW489-VLOOKUP($P489&amp;" | "&amp;AN$6,'Job Master'!$F$12:$I$102,4,0)-1),""),"")</f>
        <v/>
      </c>
      <c r="AQ489" s="73"/>
      <c r="AR489" s="123" t="str">
        <f t="shared" si="901"/>
        <v/>
      </c>
      <c r="AS489" s="123" t="str">
        <f t="shared" si="902"/>
        <v/>
      </c>
      <c r="AT489" s="97" t="str">
        <f t="shared" ca="1" si="903"/>
        <v/>
      </c>
      <c r="AU489" s="98" t="str">
        <f>IF(AW489&lt;&gt;"",VLOOKUP($P489&amp;" | "&amp;AU$6,'Job Master'!$F$12:$J$102,5,0),"")</f>
        <v/>
      </c>
      <c r="AV489" s="19" t="str">
        <f>IF(AW489&lt;&gt;"",VLOOKUP($P489&amp;" | "&amp;AU$6,'Job Master'!$F$12:$J$102,3,0),"")</f>
        <v/>
      </c>
      <c r="AW489" s="19" t="str">
        <f>IFERROR(IF(AND(BD489&lt;&gt;"",VLOOKUP($P489&amp;" | "&amp;AU$6,'Job Master'!$F$12:$I$102,4,0)&lt;&gt;""),IF(WEEKDAY(BD489-VLOOKUP($P489&amp;" | "&amp;AU$6,'Job Master'!$F$12:$I$102,4,0))&lt;&gt;7,BD489-VLOOKUP($P489&amp;" | "&amp;AU$6,'Job Master'!$F$12:$I$102,4,0),BD489-VLOOKUP($P489&amp;" | "&amp;AU$6,'Job Master'!$F$12:$I$102,4,0)-1),""),"")</f>
        <v/>
      </c>
      <c r="AX489" s="73"/>
      <c r="AY489" s="123" t="str">
        <f t="shared" si="904"/>
        <v/>
      </c>
      <c r="AZ489" s="123" t="str">
        <f t="shared" si="905"/>
        <v/>
      </c>
      <c r="BA489" s="97" t="str">
        <f t="shared" ca="1" si="906"/>
        <v/>
      </c>
      <c r="BB489" s="98" t="str">
        <f>IF(BD489&lt;&gt;"",VLOOKUP($P489&amp;" | "&amp;BB$6,'Job Master'!$F$12:$J$102,5,0),"")</f>
        <v/>
      </c>
      <c r="BC489" s="19" t="str">
        <f>IF(BD489&lt;&gt;"",VLOOKUP($P489&amp;" | "&amp;BB$6,'Job Master'!$F$12:$J$102,3,0),"")</f>
        <v/>
      </c>
      <c r="BD489" s="19" t="str">
        <f>IFERROR(IF(AND(BK489&lt;&gt;"",VLOOKUP($P489&amp;" | "&amp;BB$6,'Job Master'!$F$12:$I$102,4,0)&lt;&gt;""),IF(WEEKDAY(BK489-VLOOKUP($P489&amp;" | "&amp;BB$6,'Job Master'!$F$12:$I$102,4,0))&lt;&gt;7,BK489-VLOOKUP($P489&amp;" | "&amp;BB$6,'Job Master'!$F$12:$I$102,4,0),BK489-VLOOKUP($P489&amp;" | "&amp;BB$6,'Job Master'!$F$12:$I$102,4,0)-1),""),"")</f>
        <v/>
      </c>
      <c r="BE489" s="73"/>
      <c r="BF489" s="123" t="str">
        <f t="shared" si="907"/>
        <v/>
      </c>
      <c r="BG489" s="123" t="str">
        <f t="shared" si="908"/>
        <v/>
      </c>
      <c r="BH489" s="97" t="str">
        <f t="shared" ca="1" si="909"/>
        <v/>
      </c>
      <c r="BI489" s="98" t="str">
        <f>IF(BK489&lt;&gt;"",VLOOKUP($P489&amp;" | "&amp;BI$6,'Job Master'!$F$12:$J$102,5,0),"")</f>
        <v/>
      </c>
      <c r="BJ489" s="19" t="str">
        <f>IF(BK489&lt;&gt;"",VLOOKUP($P489&amp;" | "&amp;BI$6,'Job Master'!$F$12:$J$102,3,0),"")</f>
        <v/>
      </c>
      <c r="BK489" s="19" t="str">
        <f>IFERROR(IF(AND(BR489&lt;&gt;"",VLOOKUP($P489&amp;" | "&amp;BI$6,'Job Master'!$F$12:$I$102,4,0)&lt;&gt;""),IF(WEEKDAY(BR489-VLOOKUP($P489&amp;" | "&amp;BI$6,'Job Master'!$F$12:$I$102,4,0))&lt;&gt;7,BR489-VLOOKUP($P489&amp;" | "&amp;BI$6,'Job Master'!$F$12:$I$102,4,0),BR489-VLOOKUP($P489&amp;" | "&amp;BI$6,'Job Master'!$F$12:$I$102,4,0)-1),""),"")</f>
        <v/>
      </c>
      <c r="BL489" s="73"/>
      <c r="BM489" s="123" t="str">
        <f t="shared" si="910"/>
        <v/>
      </c>
      <c r="BN489" s="123" t="str">
        <f t="shared" si="911"/>
        <v/>
      </c>
      <c r="BO489" s="97" t="str">
        <f t="shared" ca="1" si="912"/>
        <v/>
      </c>
      <c r="BP489" s="98" t="str">
        <f>IF(BR489&lt;&gt;"",VLOOKUP($P489&amp;" | "&amp;BP$6,'Job Master'!$F$12:$J$102,5,0),"")</f>
        <v/>
      </c>
      <c r="BQ489" s="19" t="str">
        <f>IF(BR489&lt;&gt;"",VLOOKUP($P489&amp;" | "&amp;BP$6,'Job Master'!$F$12:$J$102,3,0),"")</f>
        <v/>
      </c>
      <c r="BR489" s="19" t="str">
        <f>IFERROR(IF(AND(BY489&lt;&gt;"",VLOOKUP($P489&amp;" | "&amp;BP$6,'Job Master'!$F$12:$I$102,4,0)&lt;&gt;""),IF(WEEKDAY(BY489-VLOOKUP($P489&amp;" | "&amp;BP$6,'Job Master'!$F$12:$I$102,4,0))&lt;&gt;7,BY489-VLOOKUP($P489&amp;" | "&amp;BP$6,'Job Master'!$F$12:$I$102,4,0),BY489-VLOOKUP($P489&amp;" | "&amp;BP$6,'Job Master'!$F$12:$I$102,4,0)-1),""),"")</f>
        <v/>
      </c>
      <c r="BS489" s="73"/>
      <c r="BT489" s="123" t="str">
        <f t="shared" si="913"/>
        <v/>
      </c>
      <c r="BU489" s="123" t="str">
        <f t="shared" si="914"/>
        <v/>
      </c>
      <c r="BV489" s="97" t="str">
        <f t="shared" ca="1" si="915"/>
        <v/>
      </c>
      <c r="BW489" s="98" t="str">
        <f>IF(BY489&lt;&gt;"",VLOOKUP($P489&amp;" | "&amp;BW$6,'Job Master'!$F$12:$J$102,5,0),"")</f>
        <v/>
      </c>
      <c r="BX489" s="19" t="str">
        <f>IF(BY489&lt;&gt;"",VLOOKUP($P489&amp;" | "&amp;BW$6,'Job Master'!$F$12:$J$102,3,0),"")</f>
        <v/>
      </c>
      <c r="BY489" s="19" t="str">
        <f>IFERROR(IF(AND(CF489&lt;&gt;"",VLOOKUP($P489&amp;" | "&amp;BW$6,'Job Master'!$F$12:$I$102,4,0)&lt;&gt;""),IF(WEEKDAY(CF489-VLOOKUP($P489&amp;" | "&amp;BW$6,'Job Master'!$F$12:$I$102,4,0))&lt;&gt;7,CF489-VLOOKUP($P489&amp;" | "&amp;BW$6,'Job Master'!$F$12:$I$102,4,0),CF489-VLOOKUP($P489&amp;" | "&amp;BW$6,'Job Master'!$F$12:$I$102,4,0)-1),""),"")</f>
        <v/>
      </c>
      <c r="BZ489" s="73"/>
      <c r="CA489" s="123" t="str">
        <f t="shared" si="916"/>
        <v/>
      </c>
      <c r="CB489" s="123" t="str">
        <f t="shared" si="917"/>
        <v/>
      </c>
      <c r="CC489" s="97" t="str">
        <f t="shared" ca="1" si="918"/>
        <v/>
      </c>
      <c r="CD489" s="98" t="str">
        <f>IF(CF489&lt;&gt;"",VLOOKUP($P489&amp;" | "&amp;CD$6,'Job Master'!$F$12:$J$102,5,0),"")</f>
        <v/>
      </c>
      <c r="CE489" s="19" t="str">
        <f>IF(CF489&lt;&gt;"",VLOOKUP($P489&amp;" | "&amp;CD$6,'Job Master'!$F$12:$J$102,3,0),"")</f>
        <v/>
      </c>
      <c r="CF489" s="19" t="str">
        <f>IFERROR(IF(AND(CM489&lt;&gt;"",VLOOKUP($P489&amp;" | "&amp;CD$6,'Job Master'!$F$12:$I$102,4,0)&lt;&gt;""),IF(WEEKDAY(CM489-VLOOKUP($P489&amp;" | "&amp;CD$6,'Job Master'!$F$12:$I$102,4,0))&lt;&gt;7,CM489-VLOOKUP($P489&amp;" | "&amp;CD$6,'Job Master'!$F$12:$I$102,4,0),CM489-VLOOKUP($P489&amp;" | "&amp;CD$6,'Job Master'!$F$12:$I$102,4,0)-1),""),"")</f>
        <v/>
      </c>
      <c r="CG489" s="73"/>
      <c r="CH489" s="123" t="str">
        <f t="shared" si="919"/>
        <v/>
      </c>
      <c r="CI489" s="123" t="str">
        <f t="shared" si="920"/>
        <v/>
      </c>
      <c r="CJ489" s="97" t="str">
        <f t="shared" ca="1" si="921"/>
        <v/>
      </c>
      <c r="CK489" s="98" t="str">
        <f>IF(CM489&lt;&gt;"",VLOOKUP($P489&amp;" | "&amp;CK$6,'Job Master'!$F$12:$J$102,5,0),"")</f>
        <v/>
      </c>
      <c r="CL489" s="19" t="str">
        <f>IF(CM489&lt;&gt;"",VLOOKUP($P489&amp;" | "&amp;CK$6,'Job Master'!$F$12:$J$102,3,0),"")</f>
        <v/>
      </c>
      <c r="CM489" s="19" t="str">
        <f>IFERROR(IF(AND(CT489&lt;&gt;"",VLOOKUP($P489&amp;" | "&amp;CK$6,'Job Master'!$F$12:$I$102,4,0)&lt;&gt;""),IF(WEEKDAY(CT489-VLOOKUP($P489&amp;" | "&amp;CK$6,'Job Master'!$F$12:$I$102,4,0))&lt;&gt;7,CT489-VLOOKUP($P489&amp;" | "&amp;CK$6,'Job Master'!$F$12:$I$102,4,0),CT489-VLOOKUP($P489&amp;" | "&amp;CK$6,'Job Master'!$F$12:$I$102,4,0)-1),""),"")</f>
        <v/>
      </c>
      <c r="CN489" s="73"/>
      <c r="CO489" s="123" t="str">
        <f t="shared" si="922"/>
        <v/>
      </c>
      <c r="CP489" s="123" t="str">
        <f t="shared" si="923"/>
        <v/>
      </c>
      <c r="CQ489" s="97" t="str">
        <f t="shared" ca="1" si="924"/>
        <v/>
      </c>
      <c r="CR489" s="98" t="str">
        <f>IF(CT489&lt;&gt;"",VLOOKUP($P489&amp;" | "&amp;CR$6,'Job Master'!$F$12:$J$102,5,0),"")</f>
        <v/>
      </c>
      <c r="CS489" s="19" t="str">
        <f>IF(CT489&lt;&gt;"",VLOOKUP($P489&amp;" | "&amp;CR$6,'Job Master'!$F$12:$J$102,3,0),"")</f>
        <v/>
      </c>
      <c r="CT489" s="19" t="str">
        <f>IFERROR(IF(AND(DA489&lt;&gt;"",VLOOKUP($P489&amp;" | "&amp;CR$6,'Job Master'!$F$12:$I$102,4,0)&lt;&gt;""),IF(WEEKDAY(DA489-VLOOKUP($P489&amp;" | "&amp;CR$6,'Job Master'!$F$12:$I$102,4,0))&lt;&gt;7,DA489-VLOOKUP($P489&amp;" | "&amp;CR$6,'Job Master'!$F$12:$I$102,4,0),DA489-VLOOKUP($P489&amp;" | "&amp;CR$6,'Job Master'!$F$12:$I$102,4,0)-1),""),"")</f>
        <v/>
      </c>
      <c r="CU489" s="73"/>
      <c r="CV489" s="123" t="str">
        <f t="shared" si="925"/>
        <v/>
      </c>
      <c r="CW489" s="123" t="str">
        <f t="shared" si="926"/>
        <v/>
      </c>
      <c r="CX489" s="97" t="str">
        <f t="shared" ca="1" si="927"/>
        <v/>
      </c>
      <c r="CY489" s="98" t="str">
        <f>IF(DA489&lt;&gt;"",VLOOKUP($P489&amp;" | "&amp;CY$6,'Job Master'!$F$12:$J$102,5,0),"")</f>
        <v/>
      </c>
      <c r="CZ489" s="19" t="str">
        <f>IF(DA489&lt;&gt;"",VLOOKUP($P489&amp;" | "&amp;CY$6,'Job Master'!$F$12:$J$102,3,0),"")</f>
        <v/>
      </c>
      <c r="DA489" s="19" t="str">
        <f>IFERROR(IF(AND(DH489&lt;&gt;"",VLOOKUP($P489&amp;" | "&amp;CY$6,'Job Master'!$F$12:$I$102,4,0)&lt;&gt;""),IF(WEEKDAY(DH489-VLOOKUP($P489&amp;" | "&amp;CY$6,'Job Master'!$F$12:$I$102,4,0))&lt;&gt;7,DH489-VLOOKUP($P489&amp;" | "&amp;CY$6,'Job Master'!$F$12:$I$102,4,0),DH489-VLOOKUP($P489&amp;" | "&amp;CY$6,'Job Master'!$F$12:$I$102,4,0)-1),""),"")</f>
        <v/>
      </c>
      <c r="DB489" s="73"/>
      <c r="DC489" s="123" t="str">
        <f t="shared" si="928"/>
        <v/>
      </c>
      <c r="DD489" s="123" t="str">
        <f t="shared" si="929"/>
        <v/>
      </c>
      <c r="DE489" s="97" t="str">
        <f t="shared" ca="1" si="930"/>
        <v/>
      </c>
      <c r="DF489" s="98" t="str">
        <f>IF(DH489&lt;&gt;"",VLOOKUP($P489&amp;" | "&amp;DF$6,'Job Master'!$F$12:$J$102,5,0),"")</f>
        <v/>
      </c>
      <c r="DG489" s="19" t="str">
        <f>IF(DH489&lt;&gt;"",VLOOKUP($P489&amp;" | "&amp;DF$6,'Job Master'!$F$12:$J$102,3,0),"")</f>
        <v/>
      </c>
      <c r="DH489" s="19" t="str">
        <f>IFERROR(IF(AND(DO489&lt;&gt;"",VLOOKUP($P489&amp;" | "&amp;DF$6,'Job Master'!$F$12:$I$102,4,0)&lt;&gt;""),IF(WEEKDAY(DO489-VLOOKUP($P489&amp;" | "&amp;DF$6,'Job Master'!$F$12:$I$102,4,0))&lt;&gt;7,DO489-VLOOKUP($P489&amp;" | "&amp;DF$6,'Job Master'!$F$12:$I$102,4,0),DO489-VLOOKUP($P489&amp;" | "&amp;DF$6,'Job Master'!$F$12:$I$102,4,0)-1),""),"")</f>
        <v/>
      </c>
      <c r="DI489" s="73"/>
      <c r="DJ489" s="123" t="str">
        <f t="shared" si="931"/>
        <v/>
      </c>
      <c r="DK489" s="123" t="str">
        <f t="shared" si="932"/>
        <v/>
      </c>
      <c r="DL489" s="97" t="str">
        <f t="shared" ca="1" si="933"/>
        <v/>
      </c>
      <c r="DM489" s="98" t="str">
        <f>IF(DO489&lt;&gt;"",VLOOKUP($P489&amp;" | "&amp;DM$6,'Job Master'!$F$12:$J$102,5,0),"")</f>
        <v/>
      </c>
      <c r="DN489" s="19" t="str">
        <f>IF(DO489&lt;&gt;"",VLOOKUP($P489&amp;" | "&amp;DM$6,'Job Master'!$F$12:$J$102,3,0),"")</f>
        <v/>
      </c>
      <c r="DO489" s="19" t="str">
        <f>IFERROR(IF(AND(DT489&lt;&gt;"",VLOOKUP($P489&amp;" | "&amp;DM$6,'Job Master'!$F$12:$I$102,4,0)&lt;&gt;""),IF(WEEKDAY(DT489-VLOOKUP($P489&amp;" | "&amp;DM$6,'Job Master'!$F$12:$I$102,4,0))&lt;&gt;7,DT489-VLOOKUP($P489&amp;" | "&amp;DM$6,'Job Master'!$F$12:$I$102,4,0),DT489-VLOOKUP($P489&amp;" | "&amp;DM$6,'Job Master'!$F$12:$I$102,4,0)-1),""),"")</f>
        <v/>
      </c>
      <c r="DP489" s="73"/>
      <c r="DQ489" s="123" t="str">
        <f t="shared" si="934"/>
        <v/>
      </c>
      <c r="DR489" s="123" t="str">
        <f t="shared" si="935"/>
        <v/>
      </c>
      <c r="DS489" s="97" t="str">
        <f t="shared" ca="1" si="936"/>
        <v/>
      </c>
      <c r="DT489" s="70" t="str">
        <f t="shared" si="937"/>
        <v/>
      </c>
      <c r="DU489" s="90"/>
      <c r="DV489" s="123" t="str">
        <f t="shared" si="938"/>
        <v/>
      </c>
      <c r="DW489" s="123" t="str">
        <f t="shared" si="939"/>
        <v/>
      </c>
      <c r="DX489" s="132" t="str">
        <f t="shared" ref="DX489" ca="1" si="982">IF(DT489&lt;&gt;"",IF(WEEKNUM(DT489)=WEEKNUM(TODAY()),"This Week",IF(WEEKNUM(DT489)=WEEKNUM(TODAY())+1,"Next Week",IF(WEEKNUM(DT489)=WEEKNUM(TODAY())-1,"Previous Week",""))),"")</f>
        <v/>
      </c>
      <c r="DY489" s="134" t="str">
        <f t="shared" si="941"/>
        <v/>
      </c>
      <c r="DZ489" s="95"/>
      <c r="EB489" s="8" t="str">
        <f t="shared" si="947"/>
        <v/>
      </c>
      <c r="EC489" s="8" t="str">
        <f>IF(O489&lt;&gt;"",VLOOKUP(O489,'Job Master'!$N$12:$O$18,2,0),"")</f>
        <v/>
      </c>
      <c r="ED489" s="8">
        <f t="shared" si="948"/>
        <v>19.5</v>
      </c>
      <c r="EE489" s="8">
        <f t="shared" si="949"/>
        <v>6</v>
      </c>
      <c r="EF489" s="8">
        <f t="shared" si="950"/>
        <v>-2854.5</v>
      </c>
      <c r="EG489" s="8" t="str">
        <f t="shared" si="951"/>
        <v/>
      </c>
      <c r="EH489" s="8" t="str">
        <f t="shared" si="952"/>
        <v/>
      </c>
    </row>
    <row r="490" spans="2:138" x14ac:dyDescent="0.3">
      <c r="B490" s="112"/>
      <c r="C490" s="27"/>
      <c r="D490" s="7" t="str">
        <f t="shared" si="891"/>
        <v/>
      </c>
      <c r="E490" s="25"/>
      <c r="F490" s="7" t="str">
        <f t="shared" si="891"/>
        <v/>
      </c>
      <c r="G490" s="25"/>
      <c r="H490" s="7" t="str">
        <f t="shared" si="891"/>
        <v/>
      </c>
      <c r="I490" s="25"/>
      <c r="J490" s="7" t="str">
        <f t="shared" si="891"/>
        <v/>
      </c>
      <c r="K490" s="25"/>
      <c r="L490" s="7" t="str">
        <f t="shared" si="891"/>
        <v/>
      </c>
      <c r="M490" s="25"/>
      <c r="N490" s="7" t="str">
        <f t="shared" si="891"/>
        <v/>
      </c>
      <c r="O490" s="81"/>
      <c r="P490" s="81" t="str">
        <f t="shared" si="892"/>
        <v/>
      </c>
      <c r="Q490" s="81"/>
      <c r="R490" s="7" t="str">
        <f t="shared" si="893"/>
        <v/>
      </c>
      <c r="S490" s="25"/>
      <c r="T490" s="7" t="str">
        <f t="shared" si="894"/>
        <v/>
      </c>
      <c r="U490" s="25"/>
      <c r="V490" s="7" t="str">
        <f t="shared" si="895"/>
        <v/>
      </c>
      <c r="W490" s="25"/>
      <c r="X490" s="7" t="str">
        <f t="shared" si="896"/>
        <v/>
      </c>
      <c r="Y490" s="18" t="str">
        <f t="shared" si="897"/>
        <v/>
      </c>
      <c r="Z490" s="7" t="str">
        <f t="shared" si="898"/>
        <v/>
      </c>
      <c r="AA490" s="18" t="str">
        <f t="shared" si="899"/>
        <v/>
      </c>
      <c r="AB490" s="19" t="str">
        <f t="shared" si="900"/>
        <v/>
      </c>
      <c r="AC490" s="26"/>
      <c r="AD490" s="26"/>
      <c r="AE490" s="25"/>
      <c r="AF490" s="26"/>
      <c r="AG490" s="25"/>
      <c r="AH490" s="25"/>
      <c r="AI490" s="18" t="str">
        <f t="shared" si="963"/>
        <v/>
      </c>
      <c r="AJ490" s="25"/>
      <c r="AK490" s="18" t="str">
        <f t="shared" si="964"/>
        <v/>
      </c>
      <c r="AL490" s="79"/>
      <c r="AM490" s="126" t="str">
        <f t="shared" si="965"/>
        <v/>
      </c>
      <c r="AN490" s="128" t="str">
        <f>IF(AP490&lt;&gt;"",VLOOKUP($P490&amp;" | "&amp;AN$6,'Job Master'!$F$12:$J$102,5,0),"")</f>
        <v/>
      </c>
      <c r="AO490" s="19" t="str">
        <f>IF(AP490&lt;&gt;"",VLOOKUP($P490&amp;" | "&amp;AN$6,'Job Master'!$F$12:$J$102,3,0),"")</f>
        <v/>
      </c>
      <c r="AP490" s="19" t="str">
        <f>IFERROR(IF(AND(AW490&lt;&gt;"",VLOOKUP($P490&amp;" | "&amp;AN$6,'Job Master'!$F$12:$I$102,4,0)&lt;&gt;""),IF(WEEKDAY(AW490-VLOOKUP($P490&amp;" | "&amp;AN$6,'Job Master'!$F$12:$I$102,4,0))&lt;&gt;7,AW490-VLOOKUP($P490&amp;" | "&amp;AN$6,'Job Master'!$F$12:$I$102,4,0),AW490-VLOOKUP($P490&amp;" | "&amp;AN$6,'Job Master'!$F$12:$I$102,4,0)-1),""),"")</f>
        <v/>
      </c>
      <c r="AQ490" s="73"/>
      <c r="AR490" s="123" t="str">
        <f t="shared" si="901"/>
        <v/>
      </c>
      <c r="AS490" s="123" t="str">
        <f t="shared" si="902"/>
        <v/>
      </c>
      <c r="AT490" s="97" t="str">
        <f t="shared" ca="1" si="903"/>
        <v/>
      </c>
      <c r="AU490" s="98" t="str">
        <f>IF(AW490&lt;&gt;"",VLOOKUP($P490&amp;" | "&amp;AU$6,'Job Master'!$F$12:$J$102,5,0),"")</f>
        <v/>
      </c>
      <c r="AV490" s="19" t="str">
        <f>IF(AW490&lt;&gt;"",VLOOKUP($P490&amp;" | "&amp;AU$6,'Job Master'!$F$12:$J$102,3,0),"")</f>
        <v/>
      </c>
      <c r="AW490" s="19" t="str">
        <f>IFERROR(IF(AND(BD490&lt;&gt;"",VLOOKUP($P490&amp;" | "&amp;AU$6,'Job Master'!$F$12:$I$102,4,0)&lt;&gt;""),IF(WEEKDAY(BD490-VLOOKUP($P490&amp;" | "&amp;AU$6,'Job Master'!$F$12:$I$102,4,0))&lt;&gt;7,BD490-VLOOKUP($P490&amp;" | "&amp;AU$6,'Job Master'!$F$12:$I$102,4,0),BD490-VLOOKUP($P490&amp;" | "&amp;AU$6,'Job Master'!$F$12:$I$102,4,0)-1),""),"")</f>
        <v/>
      </c>
      <c r="AX490" s="73"/>
      <c r="AY490" s="123" t="str">
        <f t="shared" si="904"/>
        <v/>
      </c>
      <c r="AZ490" s="123" t="str">
        <f t="shared" si="905"/>
        <v/>
      </c>
      <c r="BA490" s="97" t="str">
        <f t="shared" ca="1" si="906"/>
        <v/>
      </c>
      <c r="BB490" s="98" t="str">
        <f>IF(BD490&lt;&gt;"",VLOOKUP($P490&amp;" | "&amp;BB$6,'Job Master'!$F$12:$J$102,5,0),"")</f>
        <v/>
      </c>
      <c r="BC490" s="19" t="str">
        <f>IF(BD490&lt;&gt;"",VLOOKUP($P490&amp;" | "&amp;BB$6,'Job Master'!$F$12:$J$102,3,0),"")</f>
        <v/>
      </c>
      <c r="BD490" s="19" t="str">
        <f>IFERROR(IF(AND(BK490&lt;&gt;"",VLOOKUP($P490&amp;" | "&amp;BB$6,'Job Master'!$F$12:$I$102,4,0)&lt;&gt;""),IF(WEEKDAY(BK490-VLOOKUP($P490&amp;" | "&amp;BB$6,'Job Master'!$F$12:$I$102,4,0))&lt;&gt;7,BK490-VLOOKUP($P490&amp;" | "&amp;BB$6,'Job Master'!$F$12:$I$102,4,0),BK490-VLOOKUP($P490&amp;" | "&amp;BB$6,'Job Master'!$F$12:$I$102,4,0)-1),""),"")</f>
        <v/>
      </c>
      <c r="BE490" s="73"/>
      <c r="BF490" s="123" t="str">
        <f t="shared" si="907"/>
        <v/>
      </c>
      <c r="BG490" s="123" t="str">
        <f t="shared" si="908"/>
        <v/>
      </c>
      <c r="BH490" s="97" t="str">
        <f t="shared" ca="1" si="909"/>
        <v/>
      </c>
      <c r="BI490" s="98" t="str">
        <f>IF(BK490&lt;&gt;"",VLOOKUP($P490&amp;" | "&amp;BI$6,'Job Master'!$F$12:$J$102,5,0),"")</f>
        <v/>
      </c>
      <c r="BJ490" s="19" t="str">
        <f>IF(BK490&lt;&gt;"",VLOOKUP($P490&amp;" | "&amp;BI$6,'Job Master'!$F$12:$J$102,3,0),"")</f>
        <v/>
      </c>
      <c r="BK490" s="19" t="str">
        <f>IFERROR(IF(AND(BR490&lt;&gt;"",VLOOKUP($P490&amp;" | "&amp;BI$6,'Job Master'!$F$12:$I$102,4,0)&lt;&gt;""),IF(WEEKDAY(BR490-VLOOKUP($P490&amp;" | "&amp;BI$6,'Job Master'!$F$12:$I$102,4,0))&lt;&gt;7,BR490-VLOOKUP($P490&amp;" | "&amp;BI$6,'Job Master'!$F$12:$I$102,4,0),BR490-VLOOKUP($P490&amp;" | "&amp;BI$6,'Job Master'!$F$12:$I$102,4,0)-1),""),"")</f>
        <v/>
      </c>
      <c r="BL490" s="73"/>
      <c r="BM490" s="123" t="str">
        <f t="shared" si="910"/>
        <v/>
      </c>
      <c r="BN490" s="123" t="str">
        <f t="shared" si="911"/>
        <v/>
      </c>
      <c r="BO490" s="97" t="str">
        <f t="shared" ca="1" si="912"/>
        <v/>
      </c>
      <c r="BP490" s="98" t="str">
        <f>IF(BR490&lt;&gt;"",VLOOKUP($P490&amp;" | "&amp;BP$6,'Job Master'!$F$12:$J$102,5,0),"")</f>
        <v/>
      </c>
      <c r="BQ490" s="19" t="str">
        <f>IF(BR490&lt;&gt;"",VLOOKUP($P490&amp;" | "&amp;BP$6,'Job Master'!$F$12:$J$102,3,0),"")</f>
        <v/>
      </c>
      <c r="BR490" s="19" t="str">
        <f>IFERROR(IF(AND(BY490&lt;&gt;"",VLOOKUP($P490&amp;" | "&amp;BP$6,'Job Master'!$F$12:$I$102,4,0)&lt;&gt;""),IF(WEEKDAY(BY490-VLOOKUP($P490&amp;" | "&amp;BP$6,'Job Master'!$F$12:$I$102,4,0))&lt;&gt;7,BY490-VLOOKUP($P490&amp;" | "&amp;BP$6,'Job Master'!$F$12:$I$102,4,0),BY490-VLOOKUP($P490&amp;" | "&amp;BP$6,'Job Master'!$F$12:$I$102,4,0)-1),""),"")</f>
        <v/>
      </c>
      <c r="BS490" s="73"/>
      <c r="BT490" s="123" t="str">
        <f t="shared" si="913"/>
        <v/>
      </c>
      <c r="BU490" s="123" t="str">
        <f t="shared" si="914"/>
        <v/>
      </c>
      <c r="BV490" s="97" t="str">
        <f t="shared" ca="1" si="915"/>
        <v/>
      </c>
      <c r="BW490" s="98" t="str">
        <f>IF(BY490&lt;&gt;"",VLOOKUP($P490&amp;" | "&amp;BW$6,'Job Master'!$F$12:$J$102,5,0),"")</f>
        <v/>
      </c>
      <c r="BX490" s="19" t="str">
        <f>IF(BY490&lt;&gt;"",VLOOKUP($P490&amp;" | "&amp;BW$6,'Job Master'!$F$12:$J$102,3,0),"")</f>
        <v/>
      </c>
      <c r="BY490" s="19" t="str">
        <f>IFERROR(IF(AND(CF490&lt;&gt;"",VLOOKUP($P490&amp;" | "&amp;BW$6,'Job Master'!$F$12:$I$102,4,0)&lt;&gt;""),IF(WEEKDAY(CF490-VLOOKUP($P490&amp;" | "&amp;BW$6,'Job Master'!$F$12:$I$102,4,0))&lt;&gt;7,CF490-VLOOKUP($P490&amp;" | "&amp;BW$6,'Job Master'!$F$12:$I$102,4,0),CF490-VLOOKUP($P490&amp;" | "&amp;BW$6,'Job Master'!$F$12:$I$102,4,0)-1),""),"")</f>
        <v/>
      </c>
      <c r="BZ490" s="73"/>
      <c r="CA490" s="123" t="str">
        <f t="shared" si="916"/>
        <v/>
      </c>
      <c r="CB490" s="123" t="str">
        <f t="shared" si="917"/>
        <v/>
      </c>
      <c r="CC490" s="97" t="str">
        <f t="shared" ca="1" si="918"/>
        <v/>
      </c>
      <c r="CD490" s="98" t="str">
        <f>IF(CF490&lt;&gt;"",VLOOKUP($P490&amp;" | "&amp;CD$6,'Job Master'!$F$12:$J$102,5,0),"")</f>
        <v/>
      </c>
      <c r="CE490" s="19" t="str">
        <f>IF(CF490&lt;&gt;"",VLOOKUP($P490&amp;" | "&amp;CD$6,'Job Master'!$F$12:$J$102,3,0),"")</f>
        <v/>
      </c>
      <c r="CF490" s="19" t="str">
        <f>IFERROR(IF(AND(CM490&lt;&gt;"",VLOOKUP($P490&amp;" | "&amp;CD$6,'Job Master'!$F$12:$I$102,4,0)&lt;&gt;""),IF(WEEKDAY(CM490-VLOOKUP($P490&amp;" | "&amp;CD$6,'Job Master'!$F$12:$I$102,4,0))&lt;&gt;7,CM490-VLOOKUP($P490&amp;" | "&amp;CD$6,'Job Master'!$F$12:$I$102,4,0),CM490-VLOOKUP($P490&amp;" | "&amp;CD$6,'Job Master'!$F$12:$I$102,4,0)-1),""),"")</f>
        <v/>
      </c>
      <c r="CG490" s="73"/>
      <c r="CH490" s="123" t="str">
        <f t="shared" si="919"/>
        <v/>
      </c>
      <c r="CI490" s="123" t="str">
        <f t="shared" si="920"/>
        <v/>
      </c>
      <c r="CJ490" s="97" t="str">
        <f t="shared" ca="1" si="921"/>
        <v/>
      </c>
      <c r="CK490" s="98" t="str">
        <f>IF(CM490&lt;&gt;"",VLOOKUP($P490&amp;" | "&amp;CK$6,'Job Master'!$F$12:$J$102,5,0),"")</f>
        <v/>
      </c>
      <c r="CL490" s="19" t="str">
        <f>IF(CM490&lt;&gt;"",VLOOKUP($P490&amp;" | "&amp;CK$6,'Job Master'!$F$12:$J$102,3,0),"")</f>
        <v/>
      </c>
      <c r="CM490" s="19" t="str">
        <f>IFERROR(IF(AND(CT490&lt;&gt;"",VLOOKUP($P490&amp;" | "&amp;CK$6,'Job Master'!$F$12:$I$102,4,0)&lt;&gt;""),IF(WEEKDAY(CT490-VLOOKUP($P490&amp;" | "&amp;CK$6,'Job Master'!$F$12:$I$102,4,0))&lt;&gt;7,CT490-VLOOKUP($P490&amp;" | "&amp;CK$6,'Job Master'!$F$12:$I$102,4,0),CT490-VLOOKUP($P490&amp;" | "&amp;CK$6,'Job Master'!$F$12:$I$102,4,0)-1),""),"")</f>
        <v/>
      </c>
      <c r="CN490" s="73"/>
      <c r="CO490" s="123" t="str">
        <f t="shared" si="922"/>
        <v/>
      </c>
      <c r="CP490" s="123" t="str">
        <f t="shared" si="923"/>
        <v/>
      </c>
      <c r="CQ490" s="97" t="str">
        <f t="shared" ca="1" si="924"/>
        <v/>
      </c>
      <c r="CR490" s="98" t="str">
        <f>IF(CT490&lt;&gt;"",VLOOKUP($P490&amp;" | "&amp;CR$6,'Job Master'!$F$12:$J$102,5,0),"")</f>
        <v/>
      </c>
      <c r="CS490" s="19" t="str">
        <f>IF(CT490&lt;&gt;"",VLOOKUP($P490&amp;" | "&amp;CR$6,'Job Master'!$F$12:$J$102,3,0),"")</f>
        <v/>
      </c>
      <c r="CT490" s="19" t="str">
        <f>IFERROR(IF(AND(DA490&lt;&gt;"",VLOOKUP($P490&amp;" | "&amp;CR$6,'Job Master'!$F$12:$I$102,4,0)&lt;&gt;""),IF(WEEKDAY(DA490-VLOOKUP($P490&amp;" | "&amp;CR$6,'Job Master'!$F$12:$I$102,4,0))&lt;&gt;7,DA490-VLOOKUP($P490&amp;" | "&amp;CR$6,'Job Master'!$F$12:$I$102,4,0),DA490-VLOOKUP($P490&amp;" | "&amp;CR$6,'Job Master'!$F$12:$I$102,4,0)-1),""),"")</f>
        <v/>
      </c>
      <c r="CU490" s="73"/>
      <c r="CV490" s="123" t="str">
        <f t="shared" si="925"/>
        <v/>
      </c>
      <c r="CW490" s="123" t="str">
        <f t="shared" si="926"/>
        <v/>
      </c>
      <c r="CX490" s="97" t="str">
        <f t="shared" ca="1" si="927"/>
        <v/>
      </c>
      <c r="CY490" s="98" t="str">
        <f>IF(DA490&lt;&gt;"",VLOOKUP($P490&amp;" | "&amp;CY$6,'Job Master'!$F$12:$J$102,5,0),"")</f>
        <v/>
      </c>
      <c r="CZ490" s="19" t="str">
        <f>IF(DA490&lt;&gt;"",VLOOKUP($P490&amp;" | "&amp;CY$6,'Job Master'!$F$12:$J$102,3,0),"")</f>
        <v/>
      </c>
      <c r="DA490" s="19" t="str">
        <f>IFERROR(IF(AND(DH490&lt;&gt;"",VLOOKUP($P490&amp;" | "&amp;CY$6,'Job Master'!$F$12:$I$102,4,0)&lt;&gt;""),IF(WEEKDAY(DH490-VLOOKUP($P490&amp;" | "&amp;CY$6,'Job Master'!$F$12:$I$102,4,0))&lt;&gt;7,DH490-VLOOKUP($P490&amp;" | "&amp;CY$6,'Job Master'!$F$12:$I$102,4,0),DH490-VLOOKUP($P490&amp;" | "&amp;CY$6,'Job Master'!$F$12:$I$102,4,0)-1),""),"")</f>
        <v/>
      </c>
      <c r="DB490" s="73"/>
      <c r="DC490" s="123" t="str">
        <f t="shared" si="928"/>
        <v/>
      </c>
      <c r="DD490" s="123" t="str">
        <f t="shared" si="929"/>
        <v/>
      </c>
      <c r="DE490" s="97" t="str">
        <f t="shared" ca="1" si="930"/>
        <v/>
      </c>
      <c r="DF490" s="98" t="str">
        <f>IF(DH490&lt;&gt;"",VLOOKUP($P490&amp;" | "&amp;DF$6,'Job Master'!$F$12:$J$102,5,0),"")</f>
        <v/>
      </c>
      <c r="DG490" s="19" t="str">
        <f>IF(DH490&lt;&gt;"",VLOOKUP($P490&amp;" | "&amp;DF$6,'Job Master'!$F$12:$J$102,3,0),"")</f>
        <v/>
      </c>
      <c r="DH490" s="19" t="str">
        <f>IFERROR(IF(AND(DO490&lt;&gt;"",VLOOKUP($P490&amp;" | "&amp;DF$6,'Job Master'!$F$12:$I$102,4,0)&lt;&gt;""),IF(WEEKDAY(DO490-VLOOKUP($P490&amp;" | "&amp;DF$6,'Job Master'!$F$12:$I$102,4,0))&lt;&gt;7,DO490-VLOOKUP($P490&amp;" | "&amp;DF$6,'Job Master'!$F$12:$I$102,4,0),DO490-VLOOKUP($P490&amp;" | "&amp;DF$6,'Job Master'!$F$12:$I$102,4,0)-1),""),"")</f>
        <v/>
      </c>
      <c r="DI490" s="73"/>
      <c r="DJ490" s="123" t="str">
        <f t="shared" si="931"/>
        <v/>
      </c>
      <c r="DK490" s="123" t="str">
        <f t="shared" si="932"/>
        <v/>
      </c>
      <c r="DL490" s="97" t="str">
        <f t="shared" ca="1" si="933"/>
        <v/>
      </c>
      <c r="DM490" s="98" t="str">
        <f>IF(DO490&lt;&gt;"",VLOOKUP($P490&amp;" | "&amp;DM$6,'Job Master'!$F$12:$J$102,5,0),"")</f>
        <v/>
      </c>
      <c r="DN490" s="19" t="str">
        <f>IF(DO490&lt;&gt;"",VLOOKUP($P490&amp;" | "&amp;DM$6,'Job Master'!$F$12:$J$102,3,0),"")</f>
        <v/>
      </c>
      <c r="DO490" s="19" t="str">
        <f>IFERROR(IF(AND(DT490&lt;&gt;"",VLOOKUP($P490&amp;" | "&amp;DM$6,'Job Master'!$F$12:$I$102,4,0)&lt;&gt;""),IF(WEEKDAY(DT490-VLOOKUP($P490&amp;" | "&amp;DM$6,'Job Master'!$F$12:$I$102,4,0))&lt;&gt;7,DT490-VLOOKUP($P490&amp;" | "&amp;DM$6,'Job Master'!$F$12:$I$102,4,0),DT490-VLOOKUP($P490&amp;" | "&amp;DM$6,'Job Master'!$F$12:$I$102,4,0)-1),""),"")</f>
        <v/>
      </c>
      <c r="DP490" s="73"/>
      <c r="DQ490" s="123" t="str">
        <f t="shared" si="934"/>
        <v/>
      </c>
      <c r="DR490" s="123" t="str">
        <f t="shared" si="935"/>
        <v/>
      </c>
      <c r="DS490" s="97" t="str">
        <f t="shared" ca="1" si="936"/>
        <v/>
      </c>
      <c r="DT490" s="70" t="str">
        <f t="shared" si="937"/>
        <v/>
      </c>
      <c r="DU490" s="90"/>
      <c r="DV490" s="123" t="str">
        <f t="shared" si="938"/>
        <v/>
      </c>
      <c r="DW490" s="123" t="str">
        <f t="shared" si="939"/>
        <v/>
      </c>
      <c r="DX490" s="132" t="str">
        <f t="shared" ref="DX490" ca="1" si="983">IF(DT490&lt;&gt;"",IF(WEEKNUM(DT490)=WEEKNUM(TODAY()),"This Week",IF(WEEKNUM(DT490)=WEEKNUM(TODAY())+1,"Next Week",IF(WEEKNUM(DT490)=WEEKNUM(TODAY())-1,"Previous Week",""))),"")</f>
        <v/>
      </c>
      <c r="DY490" s="134" t="str">
        <f t="shared" si="941"/>
        <v/>
      </c>
      <c r="DZ490" s="95"/>
      <c r="EB490" s="8" t="str">
        <f t="shared" si="947"/>
        <v/>
      </c>
      <c r="EC490" s="8" t="str">
        <f>IF(O490&lt;&gt;"",VLOOKUP(O490,'Job Master'!$N$12:$O$18,2,0),"")</f>
        <v/>
      </c>
      <c r="ED490" s="8">
        <f t="shared" si="948"/>
        <v>19.5</v>
      </c>
      <c r="EE490" s="8">
        <f t="shared" si="949"/>
        <v>6</v>
      </c>
      <c r="EF490" s="8">
        <f t="shared" si="950"/>
        <v>-2860.5</v>
      </c>
      <c r="EG490" s="8" t="str">
        <f t="shared" si="951"/>
        <v/>
      </c>
      <c r="EH490" s="8" t="str">
        <f t="shared" si="952"/>
        <v/>
      </c>
    </row>
    <row r="491" spans="2:138" x14ac:dyDescent="0.3">
      <c r="B491" s="112"/>
      <c r="C491" s="27"/>
      <c r="D491" s="7" t="str">
        <f t="shared" si="891"/>
        <v/>
      </c>
      <c r="E491" s="25"/>
      <c r="F491" s="7" t="str">
        <f t="shared" si="891"/>
        <v/>
      </c>
      <c r="G491" s="25"/>
      <c r="H491" s="7" t="str">
        <f t="shared" si="891"/>
        <v/>
      </c>
      <c r="I491" s="25"/>
      <c r="J491" s="7" t="str">
        <f t="shared" si="891"/>
        <v/>
      </c>
      <c r="K491" s="25"/>
      <c r="L491" s="7" t="str">
        <f t="shared" si="891"/>
        <v/>
      </c>
      <c r="M491" s="25"/>
      <c r="N491" s="7" t="str">
        <f t="shared" si="891"/>
        <v/>
      </c>
      <c r="O491" s="81"/>
      <c r="P491" s="81" t="str">
        <f t="shared" si="892"/>
        <v/>
      </c>
      <c r="Q491" s="81"/>
      <c r="R491" s="7" t="str">
        <f t="shared" si="893"/>
        <v/>
      </c>
      <c r="S491" s="25"/>
      <c r="T491" s="7" t="str">
        <f t="shared" si="894"/>
        <v/>
      </c>
      <c r="U491" s="25"/>
      <c r="V491" s="7" t="str">
        <f t="shared" si="895"/>
        <v/>
      </c>
      <c r="W491" s="25"/>
      <c r="X491" s="7" t="str">
        <f t="shared" si="896"/>
        <v/>
      </c>
      <c r="Y491" s="18" t="str">
        <f t="shared" si="897"/>
        <v/>
      </c>
      <c r="Z491" s="7" t="str">
        <f t="shared" si="898"/>
        <v/>
      </c>
      <c r="AA491" s="18" t="str">
        <f t="shared" si="899"/>
        <v/>
      </c>
      <c r="AB491" s="19" t="str">
        <f t="shared" si="900"/>
        <v/>
      </c>
      <c r="AC491" s="26"/>
      <c r="AD491" s="26"/>
      <c r="AE491" s="25"/>
      <c r="AF491" s="26"/>
      <c r="AG491" s="25"/>
      <c r="AH491" s="25"/>
      <c r="AI491" s="18" t="str">
        <f t="shared" si="963"/>
        <v/>
      </c>
      <c r="AJ491" s="25"/>
      <c r="AK491" s="18" t="str">
        <f t="shared" si="964"/>
        <v/>
      </c>
      <c r="AL491" s="79"/>
      <c r="AM491" s="126" t="str">
        <f t="shared" si="965"/>
        <v/>
      </c>
      <c r="AN491" s="128" t="str">
        <f>IF(AP491&lt;&gt;"",VLOOKUP($P491&amp;" | "&amp;AN$6,'Job Master'!$F$12:$J$102,5,0),"")</f>
        <v/>
      </c>
      <c r="AO491" s="19" t="str">
        <f>IF(AP491&lt;&gt;"",VLOOKUP($P491&amp;" | "&amp;AN$6,'Job Master'!$F$12:$J$102,3,0),"")</f>
        <v/>
      </c>
      <c r="AP491" s="19" t="str">
        <f>IFERROR(IF(AND(AW491&lt;&gt;"",VLOOKUP($P491&amp;" | "&amp;AN$6,'Job Master'!$F$12:$I$102,4,0)&lt;&gt;""),IF(WEEKDAY(AW491-VLOOKUP($P491&amp;" | "&amp;AN$6,'Job Master'!$F$12:$I$102,4,0))&lt;&gt;7,AW491-VLOOKUP($P491&amp;" | "&amp;AN$6,'Job Master'!$F$12:$I$102,4,0),AW491-VLOOKUP($P491&amp;" | "&amp;AN$6,'Job Master'!$F$12:$I$102,4,0)-1),""),"")</f>
        <v/>
      </c>
      <c r="AQ491" s="73"/>
      <c r="AR491" s="123" t="str">
        <f t="shared" si="901"/>
        <v/>
      </c>
      <c r="AS491" s="123" t="str">
        <f t="shared" si="902"/>
        <v/>
      </c>
      <c r="AT491" s="97" t="str">
        <f t="shared" ca="1" si="903"/>
        <v/>
      </c>
      <c r="AU491" s="98" t="str">
        <f>IF(AW491&lt;&gt;"",VLOOKUP($P491&amp;" | "&amp;AU$6,'Job Master'!$F$12:$J$102,5,0),"")</f>
        <v/>
      </c>
      <c r="AV491" s="19" t="str">
        <f>IF(AW491&lt;&gt;"",VLOOKUP($P491&amp;" | "&amp;AU$6,'Job Master'!$F$12:$J$102,3,0),"")</f>
        <v/>
      </c>
      <c r="AW491" s="19" t="str">
        <f>IFERROR(IF(AND(BD491&lt;&gt;"",VLOOKUP($P491&amp;" | "&amp;AU$6,'Job Master'!$F$12:$I$102,4,0)&lt;&gt;""),IF(WEEKDAY(BD491-VLOOKUP($P491&amp;" | "&amp;AU$6,'Job Master'!$F$12:$I$102,4,0))&lt;&gt;7,BD491-VLOOKUP($P491&amp;" | "&amp;AU$6,'Job Master'!$F$12:$I$102,4,0),BD491-VLOOKUP($P491&amp;" | "&amp;AU$6,'Job Master'!$F$12:$I$102,4,0)-1),""),"")</f>
        <v/>
      </c>
      <c r="AX491" s="73"/>
      <c r="AY491" s="123" t="str">
        <f t="shared" si="904"/>
        <v/>
      </c>
      <c r="AZ491" s="123" t="str">
        <f t="shared" si="905"/>
        <v/>
      </c>
      <c r="BA491" s="97" t="str">
        <f t="shared" ca="1" si="906"/>
        <v/>
      </c>
      <c r="BB491" s="98" t="str">
        <f>IF(BD491&lt;&gt;"",VLOOKUP($P491&amp;" | "&amp;BB$6,'Job Master'!$F$12:$J$102,5,0),"")</f>
        <v/>
      </c>
      <c r="BC491" s="19" t="str">
        <f>IF(BD491&lt;&gt;"",VLOOKUP($P491&amp;" | "&amp;BB$6,'Job Master'!$F$12:$J$102,3,0),"")</f>
        <v/>
      </c>
      <c r="BD491" s="19" t="str">
        <f>IFERROR(IF(AND(BK491&lt;&gt;"",VLOOKUP($P491&amp;" | "&amp;BB$6,'Job Master'!$F$12:$I$102,4,0)&lt;&gt;""),IF(WEEKDAY(BK491-VLOOKUP($P491&amp;" | "&amp;BB$6,'Job Master'!$F$12:$I$102,4,0))&lt;&gt;7,BK491-VLOOKUP($P491&amp;" | "&amp;BB$6,'Job Master'!$F$12:$I$102,4,0),BK491-VLOOKUP($P491&amp;" | "&amp;BB$6,'Job Master'!$F$12:$I$102,4,0)-1),""),"")</f>
        <v/>
      </c>
      <c r="BE491" s="73"/>
      <c r="BF491" s="123" t="str">
        <f t="shared" si="907"/>
        <v/>
      </c>
      <c r="BG491" s="123" t="str">
        <f t="shared" si="908"/>
        <v/>
      </c>
      <c r="BH491" s="97" t="str">
        <f t="shared" ca="1" si="909"/>
        <v/>
      </c>
      <c r="BI491" s="98" t="str">
        <f>IF(BK491&lt;&gt;"",VLOOKUP($P491&amp;" | "&amp;BI$6,'Job Master'!$F$12:$J$102,5,0),"")</f>
        <v/>
      </c>
      <c r="BJ491" s="19" t="str">
        <f>IF(BK491&lt;&gt;"",VLOOKUP($P491&amp;" | "&amp;BI$6,'Job Master'!$F$12:$J$102,3,0),"")</f>
        <v/>
      </c>
      <c r="BK491" s="19" t="str">
        <f>IFERROR(IF(AND(BR491&lt;&gt;"",VLOOKUP($P491&amp;" | "&amp;BI$6,'Job Master'!$F$12:$I$102,4,0)&lt;&gt;""),IF(WEEKDAY(BR491-VLOOKUP($P491&amp;" | "&amp;BI$6,'Job Master'!$F$12:$I$102,4,0))&lt;&gt;7,BR491-VLOOKUP($P491&amp;" | "&amp;BI$6,'Job Master'!$F$12:$I$102,4,0),BR491-VLOOKUP($P491&amp;" | "&amp;BI$6,'Job Master'!$F$12:$I$102,4,0)-1),""),"")</f>
        <v/>
      </c>
      <c r="BL491" s="73"/>
      <c r="BM491" s="123" t="str">
        <f t="shared" si="910"/>
        <v/>
      </c>
      <c r="BN491" s="123" t="str">
        <f t="shared" si="911"/>
        <v/>
      </c>
      <c r="BO491" s="97" t="str">
        <f t="shared" ca="1" si="912"/>
        <v/>
      </c>
      <c r="BP491" s="98" t="str">
        <f>IF(BR491&lt;&gt;"",VLOOKUP($P491&amp;" | "&amp;BP$6,'Job Master'!$F$12:$J$102,5,0),"")</f>
        <v/>
      </c>
      <c r="BQ491" s="19" t="str">
        <f>IF(BR491&lt;&gt;"",VLOOKUP($P491&amp;" | "&amp;BP$6,'Job Master'!$F$12:$J$102,3,0),"")</f>
        <v/>
      </c>
      <c r="BR491" s="19" t="str">
        <f>IFERROR(IF(AND(BY491&lt;&gt;"",VLOOKUP($P491&amp;" | "&amp;BP$6,'Job Master'!$F$12:$I$102,4,0)&lt;&gt;""),IF(WEEKDAY(BY491-VLOOKUP($P491&amp;" | "&amp;BP$6,'Job Master'!$F$12:$I$102,4,0))&lt;&gt;7,BY491-VLOOKUP($P491&amp;" | "&amp;BP$6,'Job Master'!$F$12:$I$102,4,0),BY491-VLOOKUP($P491&amp;" | "&amp;BP$6,'Job Master'!$F$12:$I$102,4,0)-1),""),"")</f>
        <v/>
      </c>
      <c r="BS491" s="73"/>
      <c r="BT491" s="123" t="str">
        <f t="shared" si="913"/>
        <v/>
      </c>
      <c r="BU491" s="123" t="str">
        <f t="shared" si="914"/>
        <v/>
      </c>
      <c r="BV491" s="97" t="str">
        <f t="shared" ca="1" si="915"/>
        <v/>
      </c>
      <c r="BW491" s="98" t="str">
        <f>IF(BY491&lt;&gt;"",VLOOKUP($P491&amp;" | "&amp;BW$6,'Job Master'!$F$12:$J$102,5,0),"")</f>
        <v/>
      </c>
      <c r="BX491" s="19" t="str">
        <f>IF(BY491&lt;&gt;"",VLOOKUP($P491&amp;" | "&amp;BW$6,'Job Master'!$F$12:$J$102,3,0),"")</f>
        <v/>
      </c>
      <c r="BY491" s="19" t="str">
        <f>IFERROR(IF(AND(CF491&lt;&gt;"",VLOOKUP($P491&amp;" | "&amp;BW$6,'Job Master'!$F$12:$I$102,4,0)&lt;&gt;""),IF(WEEKDAY(CF491-VLOOKUP($P491&amp;" | "&amp;BW$6,'Job Master'!$F$12:$I$102,4,0))&lt;&gt;7,CF491-VLOOKUP($P491&amp;" | "&amp;BW$6,'Job Master'!$F$12:$I$102,4,0),CF491-VLOOKUP($P491&amp;" | "&amp;BW$6,'Job Master'!$F$12:$I$102,4,0)-1),""),"")</f>
        <v/>
      </c>
      <c r="BZ491" s="73"/>
      <c r="CA491" s="123" t="str">
        <f t="shared" si="916"/>
        <v/>
      </c>
      <c r="CB491" s="123" t="str">
        <f t="shared" si="917"/>
        <v/>
      </c>
      <c r="CC491" s="97" t="str">
        <f t="shared" ca="1" si="918"/>
        <v/>
      </c>
      <c r="CD491" s="98" t="str">
        <f>IF(CF491&lt;&gt;"",VLOOKUP($P491&amp;" | "&amp;CD$6,'Job Master'!$F$12:$J$102,5,0),"")</f>
        <v/>
      </c>
      <c r="CE491" s="19" t="str">
        <f>IF(CF491&lt;&gt;"",VLOOKUP($P491&amp;" | "&amp;CD$6,'Job Master'!$F$12:$J$102,3,0),"")</f>
        <v/>
      </c>
      <c r="CF491" s="19" t="str">
        <f>IFERROR(IF(AND(CM491&lt;&gt;"",VLOOKUP($P491&amp;" | "&amp;CD$6,'Job Master'!$F$12:$I$102,4,0)&lt;&gt;""),IF(WEEKDAY(CM491-VLOOKUP($P491&amp;" | "&amp;CD$6,'Job Master'!$F$12:$I$102,4,0))&lt;&gt;7,CM491-VLOOKUP($P491&amp;" | "&amp;CD$6,'Job Master'!$F$12:$I$102,4,0),CM491-VLOOKUP($P491&amp;" | "&amp;CD$6,'Job Master'!$F$12:$I$102,4,0)-1),""),"")</f>
        <v/>
      </c>
      <c r="CG491" s="73"/>
      <c r="CH491" s="123" t="str">
        <f t="shared" si="919"/>
        <v/>
      </c>
      <c r="CI491" s="123" t="str">
        <f t="shared" si="920"/>
        <v/>
      </c>
      <c r="CJ491" s="97" t="str">
        <f t="shared" ca="1" si="921"/>
        <v/>
      </c>
      <c r="CK491" s="98" t="str">
        <f>IF(CM491&lt;&gt;"",VLOOKUP($P491&amp;" | "&amp;CK$6,'Job Master'!$F$12:$J$102,5,0),"")</f>
        <v/>
      </c>
      <c r="CL491" s="19" t="str">
        <f>IF(CM491&lt;&gt;"",VLOOKUP($P491&amp;" | "&amp;CK$6,'Job Master'!$F$12:$J$102,3,0),"")</f>
        <v/>
      </c>
      <c r="CM491" s="19" t="str">
        <f>IFERROR(IF(AND(CT491&lt;&gt;"",VLOOKUP($P491&amp;" | "&amp;CK$6,'Job Master'!$F$12:$I$102,4,0)&lt;&gt;""),IF(WEEKDAY(CT491-VLOOKUP($P491&amp;" | "&amp;CK$6,'Job Master'!$F$12:$I$102,4,0))&lt;&gt;7,CT491-VLOOKUP($P491&amp;" | "&amp;CK$6,'Job Master'!$F$12:$I$102,4,0),CT491-VLOOKUP($P491&amp;" | "&amp;CK$6,'Job Master'!$F$12:$I$102,4,0)-1),""),"")</f>
        <v/>
      </c>
      <c r="CN491" s="73"/>
      <c r="CO491" s="123" t="str">
        <f t="shared" si="922"/>
        <v/>
      </c>
      <c r="CP491" s="123" t="str">
        <f t="shared" si="923"/>
        <v/>
      </c>
      <c r="CQ491" s="97" t="str">
        <f t="shared" ca="1" si="924"/>
        <v/>
      </c>
      <c r="CR491" s="98" t="str">
        <f>IF(CT491&lt;&gt;"",VLOOKUP($P491&amp;" | "&amp;CR$6,'Job Master'!$F$12:$J$102,5,0),"")</f>
        <v/>
      </c>
      <c r="CS491" s="19" t="str">
        <f>IF(CT491&lt;&gt;"",VLOOKUP($P491&amp;" | "&amp;CR$6,'Job Master'!$F$12:$J$102,3,0),"")</f>
        <v/>
      </c>
      <c r="CT491" s="19" t="str">
        <f>IFERROR(IF(AND(DA491&lt;&gt;"",VLOOKUP($P491&amp;" | "&amp;CR$6,'Job Master'!$F$12:$I$102,4,0)&lt;&gt;""),IF(WEEKDAY(DA491-VLOOKUP($P491&amp;" | "&amp;CR$6,'Job Master'!$F$12:$I$102,4,0))&lt;&gt;7,DA491-VLOOKUP($P491&amp;" | "&amp;CR$6,'Job Master'!$F$12:$I$102,4,0),DA491-VLOOKUP($P491&amp;" | "&amp;CR$6,'Job Master'!$F$12:$I$102,4,0)-1),""),"")</f>
        <v/>
      </c>
      <c r="CU491" s="73"/>
      <c r="CV491" s="123" t="str">
        <f t="shared" si="925"/>
        <v/>
      </c>
      <c r="CW491" s="123" t="str">
        <f t="shared" si="926"/>
        <v/>
      </c>
      <c r="CX491" s="97" t="str">
        <f t="shared" ca="1" si="927"/>
        <v/>
      </c>
      <c r="CY491" s="98" t="str">
        <f>IF(DA491&lt;&gt;"",VLOOKUP($P491&amp;" | "&amp;CY$6,'Job Master'!$F$12:$J$102,5,0),"")</f>
        <v/>
      </c>
      <c r="CZ491" s="19" t="str">
        <f>IF(DA491&lt;&gt;"",VLOOKUP($P491&amp;" | "&amp;CY$6,'Job Master'!$F$12:$J$102,3,0),"")</f>
        <v/>
      </c>
      <c r="DA491" s="19" t="str">
        <f>IFERROR(IF(AND(DH491&lt;&gt;"",VLOOKUP($P491&amp;" | "&amp;CY$6,'Job Master'!$F$12:$I$102,4,0)&lt;&gt;""),IF(WEEKDAY(DH491-VLOOKUP($P491&amp;" | "&amp;CY$6,'Job Master'!$F$12:$I$102,4,0))&lt;&gt;7,DH491-VLOOKUP($P491&amp;" | "&amp;CY$6,'Job Master'!$F$12:$I$102,4,0),DH491-VLOOKUP($P491&amp;" | "&amp;CY$6,'Job Master'!$F$12:$I$102,4,0)-1),""),"")</f>
        <v/>
      </c>
      <c r="DB491" s="73"/>
      <c r="DC491" s="123" t="str">
        <f t="shared" si="928"/>
        <v/>
      </c>
      <c r="DD491" s="123" t="str">
        <f t="shared" si="929"/>
        <v/>
      </c>
      <c r="DE491" s="97" t="str">
        <f t="shared" ca="1" si="930"/>
        <v/>
      </c>
      <c r="DF491" s="98" t="str">
        <f>IF(DH491&lt;&gt;"",VLOOKUP($P491&amp;" | "&amp;DF$6,'Job Master'!$F$12:$J$102,5,0),"")</f>
        <v/>
      </c>
      <c r="DG491" s="19" t="str">
        <f>IF(DH491&lt;&gt;"",VLOOKUP($P491&amp;" | "&amp;DF$6,'Job Master'!$F$12:$J$102,3,0),"")</f>
        <v/>
      </c>
      <c r="DH491" s="19" t="str">
        <f>IFERROR(IF(AND(DO491&lt;&gt;"",VLOOKUP($P491&amp;" | "&amp;DF$6,'Job Master'!$F$12:$I$102,4,0)&lt;&gt;""),IF(WEEKDAY(DO491-VLOOKUP($P491&amp;" | "&amp;DF$6,'Job Master'!$F$12:$I$102,4,0))&lt;&gt;7,DO491-VLOOKUP($P491&amp;" | "&amp;DF$6,'Job Master'!$F$12:$I$102,4,0),DO491-VLOOKUP($P491&amp;" | "&amp;DF$6,'Job Master'!$F$12:$I$102,4,0)-1),""),"")</f>
        <v/>
      </c>
      <c r="DI491" s="73"/>
      <c r="DJ491" s="123" t="str">
        <f t="shared" si="931"/>
        <v/>
      </c>
      <c r="DK491" s="123" t="str">
        <f t="shared" si="932"/>
        <v/>
      </c>
      <c r="DL491" s="97" t="str">
        <f t="shared" ca="1" si="933"/>
        <v/>
      </c>
      <c r="DM491" s="98" t="str">
        <f>IF(DO491&lt;&gt;"",VLOOKUP($P491&amp;" | "&amp;DM$6,'Job Master'!$F$12:$J$102,5,0),"")</f>
        <v/>
      </c>
      <c r="DN491" s="19" t="str">
        <f>IF(DO491&lt;&gt;"",VLOOKUP($P491&amp;" | "&amp;DM$6,'Job Master'!$F$12:$J$102,3,0),"")</f>
        <v/>
      </c>
      <c r="DO491" s="19" t="str">
        <f>IFERROR(IF(AND(DT491&lt;&gt;"",VLOOKUP($P491&amp;" | "&amp;DM$6,'Job Master'!$F$12:$I$102,4,0)&lt;&gt;""),IF(WEEKDAY(DT491-VLOOKUP($P491&amp;" | "&amp;DM$6,'Job Master'!$F$12:$I$102,4,0))&lt;&gt;7,DT491-VLOOKUP($P491&amp;" | "&amp;DM$6,'Job Master'!$F$12:$I$102,4,0),DT491-VLOOKUP($P491&amp;" | "&amp;DM$6,'Job Master'!$F$12:$I$102,4,0)-1),""),"")</f>
        <v/>
      </c>
      <c r="DP491" s="73"/>
      <c r="DQ491" s="123" t="str">
        <f t="shared" si="934"/>
        <v/>
      </c>
      <c r="DR491" s="123" t="str">
        <f t="shared" si="935"/>
        <v/>
      </c>
      <c r="DS491" s="97" t="str">
        <f t="shared" ca="1" si="936"/>
        <v/>
      </c>
      <c r="DT491" s="70" t="str">
        <f t="shared" si="937"/>
        <v/>
      </c>
      <c r="DU491" s="90"/>
      <c r="DV491" s="123" t="str">
        <f t="shared" si="938"/>
        <v/>
      </c>
      <c r="DW491" s="123" t="str">
        <f t="shared" si="939"/>
        <v/>
      </c>
      <c r="DX491" s="132" t="str">
        <f t="shared" ref="DX491" ca="1" si="984">IF(DT491&lt;&gt;"",IF(WEEKNUM(DT491)=WEEKNUM(TODAY()),"This Week",IF(WEEKNUM(DT491)=WEEKNUM(TODAY())+1,"Next Week",IF(WEEKNUM(DT491)=WEEKNUM(TODAY())-1,"Previous Week",""))),"")</f>
        <v/>
      </c>
      <c r="DY491" s="134" t="str">
        <f t="shared" si="941"/>
        <v/>
      </c>
      <c r="DZ491" s="95"/>
      <c r="EB491" s="8" t="str">
        <f t="shared" si="947"/>
        <v/>
      </c>
      <c r="EC491" s="8" t="str">
        <f>IF(O491&lt;&gt;"",VLOOKUP(O491,'Job Master'!$N$12:$O$18,2,0),"")</f>
        <v/>
      </c>
      <c r="ED491" s="8">
        <f t="shared" si="948"/>
        <v>19.5</v>
      </c>
      <c r="EE491" s="8">
        <f t="shared" si="949"/>
        <v>6</v>
      </c>
      <c r="EF491" s="8">
        <f t="shared" si="950"/>
        <v>-2866.5</v>
      </c>
      <c r="EG491" s="8" t="str">
        <f t="shared" si="951"/>
        <v/>
      </c>
      <c r="EH491" s="8" t="str">
        <f t="shared" si="952"/>
        <v/>
      </c>
    </row>
    <row r="492" spans="2:138" x14ac:dyDescent="0.3">
      <c r="B492" s="112"/>
      <c r="C492" s="27"/>
      <c r="D492" s="7" t="str">
        <f t="shared" si="891"/>
        <v/>
      </c>
      <c r="E492" s="25"/>
      <c r="F492" s="7" t="str">
        <f t="shared" si="891"/>
        <v/>
      </c>
      <c r="G492" s="25"/>
      <c r="H492" s="7" t="str">
        <f t="shared" si="891"/>
        <v/>
      </c>
      <c r="I492" s="25"/>
      <c r="J492" s="7" t="str">
        <f t="shared" si="891"/>
        <v/>
      </c>
      <c r="K492" s="25"/>
      <c r="L492" s="7" t="str">
        <f t="shared" si="891"/>
        <v/>
      </c>
      <c r="M492" s="25"/>
      <c r="N492" s="7" t="str">
        <f t="shared" ref="N492:N500" si="985">IF(IF(M492&lt;&gt;"",M492,IF($AA492&lt;&gt;"",N491,""))&lt;&gt;0,IF(M492&lt;&gt;"",M492,IF($AA492&lt;&gt;"",N491,"")),"")</f>
        <v/>
      </c>
      <c r="O492" s="81"/>
      <c r="P492" s="81" t="str">
        <f t="shared" si="892"/>
        <v/>
      </c>
      <c r="Q492" s="81"/>
      <c r="R492" s="7" t="str">
        <f t="shared" si="893"/>
        <v/>
      </c>
      <c r="S492" s="25"/>
      <c r="T492" s="7" t="str">
        <f t="shared" si="894"/>
        <v/>
      </c>
      <c r="U492" s="25"/>
      <c r="V492" s="7" t="str">
        <f t="shared" si="895"/>
        <v/>
      </c>
      <c r="W492" s="25"/>
      <c r="X492" s="7" t="str">
        <f t="shared" si="896"/>
        <v/>
      </c>
      <c r="Y492" s="18" t="str">
        <f t="shared" si="897"/>
        <v/>
      </c>
      <c r="Z492" s="7" t="str">
        <f t="shared" si="898"/>
        <v/>
      </c>
      <c r="AA492" s="18" t="str">
        <f t="shared" si="899"/>
        <v/>
      </c>
      <c r="AB492" s="19" t="str">
        <f t="shared" si="900"/>
        <v/>
      </c>
      <c r="AC492" s="26"/>
      <c r="AD492" s="26"/>
      <c r="AE492" s="25"/>
      <c r="AF492" s="26"/>
      <c r="AG492" s="25"/>
      <c r="AH492" s="25"/>
      <c r="AI492" s="18" t="str">
        <f t="shared" si="963"/>
        <v/>
      </c>
      <c r="AJ492" s="25"/>
      <c r="AK492" s="18" t="str">
        <f t="shared" si="964"/>
        <v/>
      </c>
      <c r="AL492" s="79"/>
      <c r="AM492" s="126" t="str">
        <f t="shared" si="965"/>
        <v/>
      </c>
      <c r="AN492" s="128" t="str">
        <f>IF(AP492&lt;&gt;"",VLOOKUP($P492&amp;" | "&amp;AN$6,'Job Master'!$F$12:$J$102,5,0),"")</f>
        <v/>
      </c>
      <c r="AO492" s="19" t="str">
        <f>IF(AP492&lt;&gt;"",VLOOKUP($P492&amp;" | "&amp;AN$6,'Job Master'!$F$12:$J$102,3,0),"")</f>
        <v/>
      </c>
      <c r="AP492" s="19" t="str">
        <f>IFERROR(IF(AND(AW492&lt;&gt;"",VLOOKUP($P492&amp;" | "&amp;AN$6,'Job Master'!$F$12:$I$102,4,0)&lt;&gt;""),IF(WEEKDAY(AW492-VLOOKUP($P492&amp;" | "&amp;AN$6,'Job Master'!$F$12:$I$102,4,0))&lt;&gt;7,AW492-VLOOKUP($P492&amp;" | "&amp;AN$6,'Job Master'!$F$12:$I$102,4,0),AW492-VLOOKUP($P492&amp;" | "&amp;AN$6,'Job Master'!$F$12:$I$102,4,0)-1),""),"")</f>
        <v/>
      </c>
      <c r="AQ492" s="73"/>
      <c r="AR492" s="123" t="str">
        <f t="shared" si="901"/>
        <v/>
      </c>
      <c r="AS492" s="123" t="str">
        <f t="shared" si="902"/>
        <v/>
      </c>
      <c r="AT492" s="97" t="str">
        <f t="shared" ca="1" si="903"/>
        <v/>
      </c>
      <c r="AU492" s="98" t="str">
        <f>IF(AW492&lt;&gt;"",VLOOKUP($P492&amp;" | "&amp;AU$6,'Job Master'!$F$12:$J$102,5,0),"")</f>
        <v/>
      </c>
      <c r="AV492" s="19" t="str">
        <f>IF(AW492&lt;&gt;"",VLOOKUP($P492&amp;" | "&amp;AU$6,'Job Master'!$F$12:$J$102,3,0),"")</f>
        <v/>
      </c>
      <c r="AW492" s="19" t="str">
        <f>IFERROR(IF(AND(BD492&lt;&gt;"",VLOOKUP($P492&amp;" | "&amp;AU$6,'Job Master'!$F$12:$I$102,4,0)&lt;&gt;""),IF(WEEKDAY(BD492-VLOOKUP($P492&amp;" | "&amp;AU$6,'Job Master'!$F$12:$I$102,4,0))&lt;&gt;7,BD492-VLOOKUP($P492&amp;" | "&amp;AU$6,'Job Master'!$F$12:$I$102,4,0),BD492-VLOOKUP($P492&amp;" | "&amp;AU$6,'Job Master'!$F$12:$I$102,4,0)-1),""),"")</f>
        <v/>
      </c>
      <c r="AX492" s="73"/>
      <c r="AY492" s="123" t="str">
        <f t="shared" si="904"/>
        <v/>
      </c>
      <c r="AZ492" s="123" t="str">
        <f t="shared" si="905"/>
        <v/>
      </c>
      <c r="BA492" s="97" t="str">
        <f t="shared" ca="1" si="906"/>
        <v/>
      </c>
      <c r="BB492" s="98" t="str">
        <f>IF(BD492&lt;&gt;"",VLOOKUP($P492&amp;" | "&amp;BB$6,'Job Master'!$F$12:$J$102,5,0),"")</f>
        <v/>
      </c>
      <c r="BC492" s="19" t="str">
        <f>IF(BD492&lt;&gt;"",VLOOKUP($P492&amp;" | "&amp;BB$6,'Job Master'!$F$12:$J$102,3,0),"")</f>
        <v/>
      </c>
      <c r="BD492" s="19" t="str">
        <f>IFERROR(IF(AND(BK492&lt;&gt;"",VLOOKUP($P492&amp;" | "&amp;BB$6,'Job Master'!$F$12:$I$102,4,0)&lt;&gt;""),IF(WEEKDAY(BK492-VLOOKUP($P492&amp;" | "&amp;BB$6,'Job Master'!$F$12:$I$102,4,0))&lt;&gt;7,BK492-VLOOKUP($P492&amp;" | "&amp;BB$6,'Job Master'!$F$12:$I$102,4,0),BK492-VLOOKUP($P492&amp;" | "&amp;BB$6,'Job Master'!$F$12:$I$102,4,0)-1),""),"")</f>
        <v/>
      </c>
      <c r="BE492" s="73"/>
      <c r="BF492" s="123" t="str">
        <f t="shared" si="907"/>
        <v/>
      </c>
      <c r="BG492" s="123" t="str">
        <f t="shared" si="908"/>
        <v/>
      </c>
      <c r="BH492" s="97" t="str">
        <f t="shared" ca="1" si="909"/>
        <v/>
      </c>
      <c r="BI492" s="98" t="str">
        <f>IF(BK492&lt;&gt;"",VLOOKUP($P492&amp;" | "&amp;BI$6,'Job Master'!$F$12:$J$102,5,0),"")</f>
        <v/>
      </c>
      <c r="BJ492" s="19" t="str">
        <f>IF(BK492&lt;&gt;"",VLOOKUP($P492&amp;" | "&amp;BI$6,'Job Master'!$F$12:$J$102,3,0),"")</f>
        <v/>
      </c>
      <c r="BK492" s="19" t="str">
        <f>IFERROR(IF(AND(BR492&lt;&gt;"",VLOOKUP($P492&amp;" | "&amp;BI$6,'Job Master'!$F$12:$I$102,4,0)&lt;&gt;""),IF(WEEKDAY(BR492-VLOOKUP($P492&amp;" | "&amp;BI$6,'Job Master'!$F$12:$I$102,4,0))&lt;&gt;7,BR492-VLOOKUP($P492&amp;" | "&amp;BI$6,'Job Master'!$F$12:$I$102,4,0),BR492-VLOOKUP($P492&amp;" | "&amp;BI$6,'Job Master'!$F$12:$I$102,4,0)-1),""),"")</f>
        <v/>
      </c>
      <c r="BL492" s="73"/>
      <c r="BM492" s="123" t="str">
        <f t="shared" si="910"/>
        <v/>
      </c>
      <c r="BN492" s="123" t="str">
        <f t="shared" si="911"/>
        <v/>
      </c>
      <c r="BO492" s="97" t="str">
        <f t="shared" ca="1" si="912"/>
        <v/>
      </c>
      <c r="BP492" s="98" t="str">
        <f>IF(BR492&lt;&gt;"",VLOOKUP($P492&amp;" | "&amp;BP$6,'Job Master'!$F$12:$J$102,5,0),"")</f>
        <v/>
      </c>
      <c r="BQ492" s="19" t="str">
        <f>IF(BR492&lt;&gt;"",VLOOKUP($P492&amp;" | "&amp;BP$6,'Job Master'!$F$12:$J$102,3,0),"")</f>
        <v/>
      </c>
      <c r="BR492" s="19" t="str">
        <f>IFERROR(IF(AND(BY492&lt;&gt;"",VLOOKUP($P492&amp;" | "&amp;BP$6,'Job Master'!$F$12:$I$102,4,0)&lt;&gt;""),IF(WEEKDAY(BY492-VLOOKUP($P492&amp;" | "&amp;BP$6,'Job Master'!$F$12:$I$102,4,0))&lt;&gt;7,BY492-VLOOKUP($P492&amp;" | "&amp;BP$6,'Job Master'!$F$12:$I$102,4,0),BY492-VLOOKUP($P492&amp;" | "&amp;BP$6,'Job Master'!$F$12:$I$102,4,0)-1),""),"")</f>
        <v/>
      </c>
      <c r="BS492" s="73"/>
      <c r="BT492" s="123" t="str">
        <f t="shared" si="913"/>
        <v/>
      </c>
      <c r="BU492" s="123" t="str">
        <f t="shared" si="914"/>
        <v/>
      </c>
      <c r="BV492" s="97" t="str">
        <f t="shared" ca="1" si="915"/>
        <v/>
      </c>
      <c r="BW492" s="98" t="str">
        <f>IF(BY492&lt;&gt;"",VLOOKUP($P492&amp;" | "&amp;BW$6,'Job Master'!$F$12:$J$102,5,0),"")</f>
        <v/>
      </c>
      <c r="BX492" s="19" t="str">
        <f>IF(BY492&lt;&gt;"",VLOOKUP($P492&amp;" | "&amp;BW$6,'Job Master'!$F$12:$J$102,3,0),"")</f>
        <v/>
      </c>
      <c r="BY492" s="19" t="str">
        <f>IFERROR(IF(AND(CF492&lt;&gt;"",VLOOKUP($P492&amp;" | "&amp;BW$6,'Job Master'!$F$12:$I$102,4,0)&lt;&gt;""),IF(WEEKDAY(CF492-VLOOKUP($P492&amp;" | "&amp;BW$6,'Job Master'!$F$12:$I$102,4,0))&lt;&gt;7,CF492-VLOOKUP($P492&amp;" | "&amp;BW$6,'Job Master'!$F$12:$I$102,4,0),CF492-VLOOKUP($P492&amp;" | "&amp;BW$6,'Job Master'!$F$12:$I$102,4,0)-1),""),"")</f>
        <v/>
      </c>
      <c r="BZ492" s="73"/>
      <c r="CA492" s="123" t="str">
        <f t="shared" si="916"/>
        <v/>
      </c>
      <c r="CB492" s="123" t="str">
        <f t="shared" si="917"/>
        <v/>
      </c>
      <c r="CC492" s="97" t="str">
        <f t="shared" ca="1" si="918"/>
        <v/>
      </c>
      <c r="CD492" s="98" t="str">
        <f>IF(CF492&lt;&gt;"",VLOOKUP($P492&amp;" | "&amp;CD$6,'Job Master'!$F$12:$J$102,5,0),"")</f>
        <v/>
      </c>
      <c r="CE492" s="19" t="str">
        <f>IF(CF492&lt;&gt;"",VLOOKUP($P492&amp;" | "&amp;CD$6,'Job Master'!$F$12:$J$102,3,0),"")</f>
        <v/>
      </c>
      <c r="CF492" s="19" t="str">
        <f>IFERROR(IF(AND(CM492&lt;&gt;"",VLOOKUP($P492&amp;" | "&amp;CD$6,'Job Master'!$F$12:$I$102,4,0)&lt;&gt;""),IF(WEEKDAY(CM492-VLOOKUP($P492&amp;" | "&amp;CD$6,'Job Master'!$F$12:$I$102,4,0))&lt;&gt;7,CM492-VLOOKUP($P492&amp;" | "&amp;CD$6,'Job Master'!$F$12:$I$102,4,0),CM492-VLOOKUP($P492&amp;" | "&amp;CD$6,'Job Master'!$F$12:$I$102,4,0)-1),""),"")</f>
        <v/>
      </c>
      <c r="CG492" s="73"/>
      <c r="CH492" s="123" t="str">
        <f t="shared" si="919"/>
        <v/>
      </c>
      <c r="CI492" s="123" t="str">
        <f t="shared" si="920"/>
        <v/>
      </c>
      <c r="CJ492" s="97" t="str">
        <f t="shared" ca="1" si="921"/>
        <v/>
      </c>
      <c r="CK492" s="98" t="str">
        <f>IF(CM492&lt;&gt;"",VLOOKUP($P492&amp;" | "&amp;CK$6,'Job Master'!$F$12:$J$102,5,0),"")</f>
        <v/>
      </c>
      <c r="CL492" s="19" t="str">
        <f>IF(CM492&lt;&gt;"",VLOOKUP($P492&amp;" | "&amp;CK$6,'Job Master'!$F$12:$J$102,3,0),"")</f>
        <v/>
      </c>
      <c r="CM492" s="19" t="str">
        <f>IFERROR(IF(AND(CT492&lt;&gt;"",VLOOKUP($P492&amp;" | "&amp;CK$6,'Job Master'!$F$12:$I$102,4,0)&lt;&gt;""),IF(WEEKDAY(CT492-VLOOKUP($P492&amp;" | "&amp;CK$6,'Job Master'!$F$12:$I$102,4,0))&lt;&gt;7,CT492-VLOOKUP($P492&amp;" | "&amp;CK$6,'Job Master'!$F$12:$I$102,4,0),CT492-VLOOKUP($P492&amp;" | "&amp;CK$6,'Job Master'!$F$12:$I$102,4,0)-1),""),"")</f>
        <v/>
      </c>
      <c r="CN492" s="73"/>
      <c r="CO492" s="123" t="str">
        <f t="shared" si="922"/>
        <v/>
      </c>
      <c r="CP492" s="123" t="str">
        <f t="shared" si="923"/>
        <v/>
      </c>
      <c r="CQ492" s="97" t="str">
        <f t="shared" ca="1" si="924"/>
        <v/>
      </c>
      <c r="CR492" s="98" t="str">
        <f>IF(CT492&lt;&gt;"",VLOOKUP($P492&amp;" | "&amp;CR$6,'Job Master'!$F$12:$J$102,5,0),"")</f>
        <v/>
      </c>
      <c r="CS492" s="19" t="str">
        <f>IF(CT492&lt;&gt;"",VLOOKUP($P492&amp;" | "&amp;CR$6,'Job Master'!$F$12:$J$102,3,0),"")</f>
        <v/>
      </c>
      <c r="CT492" s="19" t="str">
        <f>IFERROR(IF(AND(DA492&lt;&gt;"",VLOOKUP($P492&amp;" | "&amp;CR$6,'Job Master'!$F$12:$I$102,4,0)&lt;&gt;""),IF(WEEKDAY(DA492-VLOOKUP($P492&amp;" | "&amp;CR$6,'Job Master'!$F$12:$I$102,4,0))&lt;&gt;7,DA492-VLOOKUP($P492&amp;" | "&amp;CR$6,'Job Master'!$F$12:$I$102,4,0),DA492-VLOOKUP($P492&amp;" | "&amp;CR$6,'Job Master'!$F$12:$I$102,4,0)-1),""),"")</f>
        <v/>
      </c>
      <c r="CU492" s="73"/>
      <c r="CV492" s="123" t="str">
        <f t="shared" si="925"/>
        <v/>
      </c>
      <c r="CW492" s="123" t="str">
        <f t="shared" si="926"/>
        <v/>
      </c>
      <c r="CX492" s="97" t="str">
        <f t="shared" ca="1" si="927"/>
        <v/>
      </c>
      <c r="CY492" s="98" t="str">
        <f>IF(DA492&lt;&gt;"",VLOOKUP($P492&amp;" | "&amp;CY$6,'Job Master'!$F$12:$J$102,5,0),"")</f>
        <v/>
      </c>
      <c r="CZ492" s="19" t="str">
        <f>IF(DA492&lt;&gt;"",VLOOKUP($P492&amp;" | "&amp;CY$6,'Job Master'!$F$12:$J$102,3,0),"")</f>
        <v/>
      </c>
      <c r="DA492" s="19" t="str">
        <f>IFERROR(IF(AND(DH492&lt;&gt;"",VLOOKUP($P492&amp;" | "&amp;CY$6,'Job Master'!$F$12:$I$102,4,0)&lt;&gt;""),IF(WEEKDAY(DH492-VLOOKUP($P492&amp;" | "&amp;CY$6,'Job Master'!$F$12:$I$102,4,0))&lt;&gt;7,DH492-VLOOKUP($P492&amp;" | "&amp;CY$6,'Job Master'!$F$12:$I$102,4,0),DH492-VLOOKUP($P492&amp;" | "&amp;CY$6,'Job Master'!$F$12:$I$102,4,0)-1),""),"")</f>
        <v/>
      </c>
      <c r="DB492" s="73"/>
      <c r="DC492" s="123" t="str">
        <f t="shared" si="928"/>
        <v/>
      </c>
      <c r="DD492" s="123" t="str">
        <f t="shared" si="929"/>
        <v/>
      </c>
      <c r="DE492" s="97" t="str">
        <f t="shared" ca="1" si="930"/>
        <v/>
      </c>
      <c r="DF492" s="98" t="str">
        <f>IF(DH492&lt;&gt;"",VLOOKUP($P492&amp;" | "&amp;DF$6,'Job Master'!$F$12:$J$102,5,0),"")</f>
        <v/>
      </c>
      <c r="DG492" s="19" t="str">
        <f>IF(DH492&lt;&gt;"",VLOOKUP($P492&amp;" | "&amp;DF$6,'Job Master'!$F$12:$J$102,3,0),"")</f>
        <v/>
      </c>
      <c r="DH492" s="19" t="str">
        <f>IFERROR(IF(AND(DO492&lt;&gt;"",VLOOKUP($P492&amp;" | "&amp;DF$6,'Job Master'!$F$12:$I$102,4,0)&lt;&gt;""),IF(WEEKDAY(DO492-VLOOKUP($P492&amp;" | "&amp;DF$6,'Job Master'!$F$12:$I$102,4,0))&lt;&gt;7,DO492-VLOOKUP($P492&amp;" | "&amp;DF$6,'Job Master'!$F$12:$I$102,4,0),DO492-VLOOKUP($P492&amp;" | "&amp;DF$6,'Job Master'!$F$12:$I$102,4,0)-1),""),"")</f>
        <v/>
      </c>
      <c r="DI492" s="73"/>
      <c r="DJ492" s="123" t="str">
        <f t="shared" si="931"/>
        <v/>
      </c>
      <c r="DK492" s="123" t="str">
        <f t="shared" si="932"/>
        <v/>
      </c>
      <c r="DL492" s="97" t="str">
        <f t="shared" ca="1" si="933"/>
        <v/>
      </c>
      <c r="DM492" s="98" t="str">
        <f>IF(DO492&lt;&gt;"",VLOOKUP($P492&amp;" | "&amp;DM$6,'Job Master'!$F$12:$J$102,5,0),"")</f>
        <v/>
      </c>
      <c r="DN492" s="19" t="str">
        <f>IF(DO492&lt;&gt;"",VLOOKUP($P492&amp;" | "&amp;DM$6,'Job Master'!$F$12:$J$102,3,0),"")</f>
        <v/>
      </c>
      <c r="DO492" s="19" t="str">
        <f>IFERROR(IF(AND(DT492&lt;&gt;"",VLOOKUP($P492&amp;" | "&amp;DM$6,'Job Master'!$F$12:$I$102,4,0)&lt;&gt;""),IF(WEEKDAY(DT492-VLOOKUP($P492&amp;" | "&amp;DM$6,'Job Master'!$F$12:$I$102,4,0))&lt;&gt;7,DT492-VLOOKUP($P492&amp;" | "&amp;DM$6,'Job Master'!$F$12:$I$102,4,0),DT492-VLOOKUP($P492&amp;" | "&amp;DM$6,'Job Master'!$F$12:$I$102,4,0)-1),""),"")</f>
        <v/>
      </c>
      <c r="DP492" s="73"/>
      <c r="DQ492" s="123" t="str">
        <f t="shared" si="934"/>
        <v/>
      </c>
      <c r="DR492" s="123" t="str">
        <f t="shared" si="935"/>
        <v/>
      </c>
      <c r="DS492" s="97" t="str">
        <f t="shared" ca="1" si="936"/>
        <v/>
      </c>
      <c r="DT492" s="70" t="str">
        <f t="shared" si="937"/>
        <v/>
      </c>
      <c r="DU492" s="90"/>
      <c r="DV492" s="123" t="str">
        <f t="shared" si="938"/>
        <v/>
      </c>
      <c r="DW492" s="123" t="str">
        <f t="shared" si="939"/>
        <v/>
      </c>
      <c r="DX492" s="132" t="str">
        <f t="shared" ref="DX492" ca="1" si="986">IF(DT492&lt;&gt;"",IF(WEEKNUM(DT492)=WEEKNUM(TODAY()),"This Week",IF(WEEKNUM(DT492)=WEEKNUM(TODAY())+1,"Next Week",IF(WEEKNUM(DT492)=WEEKNUM(TODAY())-1,"Previous Week",""))),"")</f>
        <v/>
      </c>
      <c r="DY492" s="134" t="str">
        <f t="shared" si="941"/>
        <v/>
      </c>
      <c r="DZ492" s="95"/>
      <c r="EB492" s="8" t="str">
        <f t="shared" si="947"/>
        <v/>
      </c>
      <c r="EC492" s="8" t="str">
        <f>IF(O492&lt;&gt;"",VLOOKUP(O492,'Job Master'!$N$12:$O$18,2,0),"")</f>
        <v/>
      </c>
      <c r="ED492" s="8">
        <f t="shared" si="948"/>
        <v>19.5</v>
      </c>
      <c r="EE492" s="8">
        <f t="shared" si="949"/>
        <v>6</v>
      </c>
      <c r="EF492" s="8">
        <f t="shared" si="950"/>
        <v>-2872.5</v>
      </c>
      <c r="EG492" s="8" t="str">
        <f t="shared" si="951"/>
        <v/>
      </c>
      <c r="EH492" s="8" t="str">
        <f t="shared" si="952"/>
        <v/>
      </c>
    </row>
    <row r="493" spans="2:138" x14ac:dyDescent="0.3">
      <c r="B493" s="112"/>
      <c r="C493" s="27"/>
      <c r="D493" s="7" t="str">
        <f t="shared" si="891"/>
        <v/>
      </c>
      <c r="E493" s="25"/>
      <c r="F493" s="7" t="str">
        <f t="shared" si="891"/>
        <v/>
      </c>
      <c r="G493" s="25"/>
      <c r="H493" s="7" t="str">
        <f t="shared" si="891"/>
        <v/>
      </c>
      <c r="I493" s="25"/>
      <c r="J493" s="7" t="str">
        <f t="shared" si="891"/>
        <v/>
      </c>
      <c r="K493" s="25"/>
      <c r="L493" s="7" t="str">
        <f t="shared" si="891"/>
        <v/>
      </c>
      <c r="M493" s="25"/>
      <c r="N493" s="7" t="str">
        <f t="shared" si="985"/>
        <v/>
      </c>
      <c r="O493" s="81"/>
      <c r="P493" s="81" t="str">
        <f t="shared" si="892"/>
        <v/>
      </c>
      <c r="Q493" s="81"/>
      <c r="R493" s="7" t="str">
        <f t="shared" si="893"/>
        <v/>
      </c>
      <c r="S493" s="25"/>
      <c r="T493" s="7" t="str">
        <f t="shared" si="894"/>
        <v/>
      </c>
      <c r="U493" s="25"/>
      <c r="V493" s="7" t="str">
        <f t="shared" si="895"/>
        <v/>
      </c>
      <c r="W493" s="25"/>
      <c r="X493" s="7" t="str">
        <f t="shared" si="896"/>
        <v/>
      </c>
      <c r="Y493" s="18" t="str">
        <f t="shared" si="897"/>
        <v/>
      </c>
      <c r="Z493" s="7" t="str">
        <f t="shared" si="898"/>
        <v/>
      </c>
      <c r="AA493" s="18" t="str">
        <f t="shared" si="899"/>
        <v/>
      </c>
      <c r="AB493" s="19" t="str">
        <f t="shared" si="900"/>
        <v/>
      </c>
      <c r="AC493" s="26"/>
      <c r="AD493" s="26"/>
      <c r="AE493" s="25"/>
      <c r="AF493" s="26"/>
      <c r="AG493" s="25"/>
      <c r="AH493" s="25"/>
      <c r="AI493" s="18" t="str">
        <f t="shared" si="963"/>
        <v/>
      </c>
      <c r="AJ493" s="25"/>
      <c r="AK493" s="18" t="str">
        <f t="shared" si="964"/>
        <v/>
      </c>
      <c r="AL493" s="79"/>
      <c r="AM493" s="126" t="str">
        <f t="shared" si="965"/>
        <v/>
      </c>
      <c r="AN493" s="128" t="str">
        <f>IF(AP493&lt;&gt;"",VLOOKUP($P493&amp;" | "&amp;AN$6,'Job Master'!$F$12:$J$102,5,0),"")</f>
        <v/>
      </c>
      <c r="AO493" s="19" t="str">
        <f>IF(AP493&lt;&gt;"",VLOOKUP($P493&amp;" | "&amp;AN$6,'Job Master'!$F$12:$J$102,3,0),"")</f>
        <v/>
      </c>
      <c r="AP493" s="19" t="str">
        <f>IFERROR(IF(AND(AW493&lt;&gt;"",VLOOKUP($P493&amp;" | "&amp;AN$6,'Job Master'!$F$12:$I$102,4,0)&lt;&gt;""),IF(WEEKDAY(AW493-VLOOKUP($P493&amp;" | "&amp;AN$6,'Job Master'!$F$12:$I$102,4,0))&lt;&gt;7,AW493-VLOOKUP($P493&amp;" | "&amp;AN$6,'Job Master'!$F$12:$I$102,4,0),AW493-VLOOKUP($P493&amp;" | "&amp;AN$6,'Job Master'!$F$12:$I$102,4,0)-1),""),"")</f>
        <v/>
      </c>
      <c r="AQ493" s="73"/>
      <c r="AR493" s="123" t="str">
        <f t="shared" si="901"/>
        <v/>
      </c>
      <c r="AS493" s="123" t="str">
        <f t="shared" si="902"/>
        <v/>
      </c>
      <c r="AT493" s="97" t="str">
        <f t="shared" ca="1" si="903"/>
        <v/>
      </c>
      <c r="AU493" s="98" t="str">
        <f>IF(AW493&lt;&gt;"",VLOOKUP($P493&amp;" | "&amp;AU$6,'Job Master'!$F$12:$J$102,5,0),"")</f>
        <v/>
      </c>
      <c r="AV493" s="19" t="str">
        <f>IF(AW493&lt;&gt;"",VLOOKUP($P493&amp;" | "&amp;AU$6,'Job Master'!$F$12:$J$102,3,0),"")</f>
        <v/>
      </c>
      <c r="AW493" s="19" t="str">
        <f>IFERROR(IF(AND(BD493&lt;&gt;"",VLOOKUP($P493&amp;" | "&amp;AU$6,'Job Master'!$F$12:$I$102,4,0)&lt;&gt;""),IF(WEEKDAY(BD493-VLOOKUP($P493&amp;" | "&amp;AU$6,'Job Master'!$F$12:$I$102,4,0))&lt;&gt;7,BD493-VLOOKUP($P493&amp;" | "&amp;AU$6,'Job Master'!$F$12:$I$102,4,0),BD493-VLOOKUP($P493&amp;" | "&amp;AU$6,'Job Master'!$F$12:$I$102,4,0)-1),""),"")</f>
        <v/>
      </c>
      <c r="AX493" s="73"/>
      <c r="AY493" s="123" t="str">
        <f t="shared" si="904"/>
        <v/>
      </c>
      <c r="AZ493" s="123" t="str">
        <f t="shared" si="905"/>
        <v/>
      </c>
      <c r="BA493" s="97" t="str">
        <f t="shared" ca="1" si="906"/>
        <v/>
      </c>
      <c r="BB493" s="98" t="str">
        <f>IF(BD493&lt;&gt;"",VLOOKUP($P493&amp;" | "&amp;BB$6,'Job Master'!$F$12:$J$102,5,0),"")</f>
        <v/>
      </c>
      <c r="BC493" s="19" t="str">
        <f>IF(BD493&lt;&gt;"",VLOOKUP($P493&amp;" | "&amp;BB$6,'Job Master'!$F$12:$J$102,3,0),"")</f>
        <v/>
      </c>
      <c r="BD493" s="19" t="str">
        <f>IFERROR(IF(AND(BK493&lt;&gt;"",VLOOKUP($P493&amp;" | "&amp;BB$6,'Job Master'!$F$12:$I$102,4,0)&lt;&gt;""),IF(WEEKDAY(BK493-VLOOKUP($P493&amp;" | "&amp;BB$6,'Job Master'!$F$12:$I$102,4,0))&lt;&gt;7,BK493-VLOOKUP($P493&amp;" | "&amp;BB$6,'Job Master'!$F$12:$I$102,4,0),BK493-VLOOKUP($P493&amp;" | "&amp;BB$6,'Job Master'!$F$12:$I$102,4,0)-1),""),"")</f>
        <v/>
      </c>
      <c r="BE493" s="73"/>
      <c r="BF493" s="123" t="str">
        <f t="shared" si="907"/>
        <v/>
      </c>
      <c r="BG493" s="123" t="str">
        <f t="shared" si="908"/>
        <v/>
      </c>
      <c r="BH493" s="97" t="str">
        <f t="shared" ca="1" si="909"/>
        <v/>
      </c>
      <c r="BI493" s="98" t="str">
        <f>IF(BK493&lt;&gt;"",VLOOKUP($P493&amp;" | "&amp;BI$6,'Job Master'!$F$12:$J$102,5,0),"")</f>
        <v/>
      </c>
      <c r="BJ493" s="19" t="str">
        <f>IF(BK493&lt;&gt;"",VLOOKUP($P493&amp;" | "&amp;BI$6,'Job Master'!$F$12:$J$102,3,0),"")</f>
        <v/>
      </c>
      <c r="BK493" s="19" t="str">
        <f>IFERROR(IF(AND(BR493&lt;&gt;"",VLOOKUP($P493&amp;" | "&amp;BI$6,'Job Master'!$F$12:$I$102,4,0)&lt;&gt;""),IF(WEEKDAY(BR493-VLOOKUP($P493&amp;" | "&amp;BI$6,'Job Master'!$F$12:$I$102,4,0))&lt;&gt;7,BR493-VLOOKUP($P493&amp;" | "&amp;BI$6,'Job Master'!$F$12:$I$102,4,0),BR493-VLOOKUP($P493&amp;" | "&amp;BI$6,'Job Master'!$F$12:$I$102,4,0)-1),""),"")</f>
        <v/>
      </c>
      <c r="BL493" s="73"/>
      <c r="BM493" s="123" t="str">
        <f t="shared" si="910"/>
        <v/>
      </c>
      <c r="BN493" s="123" t="str">
        <f t="shared" si="911"/>
        <v/>
      </c>
      <c r="BO493" s="97" t="str">
        <f t="shared" ca="1" si="912"/>
        <v/>
      </c>
      <c r="BP493" s="98" t="str">
        <f>IF(BR493&lt;&gt;"",VLOOKUP($P493&amp;" | "&amp;BP$6,'Job Master'!$F$12:$J$102,5,0),"")</f>
        <v/>
      </c>
      <c r="BQ493" s="19" t="str">
        <f>IF(BR493&lt;&gt;"",VLOOKUP($P493&amp;" | "&amp;BP$6,'Job Master'!$F$12:$J$102,3,0),"")</f>
        <v/>
      </c>
      <c r="BR493" s="19" t="str">
        <f>IFERROR(IF(AND(BY493&lt;&gt;"",VLOOKUP($P493&amp;" | "&amp;BP$6,'Job Master'!$F$12:$I$102,4,0)&lt;&gt;""),IF(WEEKDAY(BY493-VLOOKUP($P493&amp;" | "&amp;BP$6,'Job Master'!$F$12:$I$102,4,0))&lt;&gt;7,BY493-VLOOKUP($P493&amp;" | "&amp;BP$6,'Job Master'!$F$12:$I$102,4,0),BY493-VLOOKUP($P493&amp;" | "&amp;BP$6,'Job Master'!$F$12:$I$102,4,0)-1),""),"")</f>
        <v/>
      </c>
      <c r="BS493" s="73"/>
      <c r="BT493" s="123" t="str">
        <f t="shared" si="913"/>
        <v/>
      </c>
      <c r="BU493" s="123" t="str">
        <f t="shared" si="914"/>
        <v/>
      </c>
      <c r="BV493" s="97" t="str">
        <f t="shared" ca="1" si="915"/>
        <v/>
      </c>
      <c r="BW493" s="98" t="str">
        <f>IF(BY493&lt;&gt;"",VLOOKUP($P493&amp;" | "&amp;BW$6,'Job Master'!$F$12:$J$102,5,0),"")</f>
        <v/>
      </c>
      <c r="BX493" s="19" t="str">
        <f>IF(BY493&lt;&gt;"",VLOOKUP($P493&amp;" | "&amp;BW$6,'Job Master'!$F$12:$J$102,3,0),"")</f>
        <v/>
      </c>
      <c r="BY493" s="19" t="str">
        <f>IFERROR(IF(AND(CF493&lt;&gt;"",VLOOKUP($P493&amp;" | "&amp;BW$6,'Job Master'!$F$12:$I$102,4,0)&lt;&gt;""),IF(WEEKDAY(CF493-VLOOKUP($P493&amp;" | "&amp;BW$6,'Job Master'!$F$12:$I$102,4,0))&lt;&gt;7,CF493-VLOOKUP($P493&amp;" | "&amp;BW$6,'Job Master'!$F$12:$I$102,4,0),CF493-VLOOKUP($P493&amp;" | "&amp;BW$6,'Job Master'!$F$12:$I$102,4,0)-1),""),"")</f>
        <v/>
      </c>
      <c r="BZ493" s="73"/>
      <c r="CA493" s="123" t="str">
        <f t="shared" si="916"/>
        <v/>
      </c>
      <c r="CB493" s="123" t="str">
        <f t="shared" si="917"/>
        <v/>
      </c>
      <c r="CC493" s="97" t="str">
        <f t="shared" ca="1" si="918"/>
        <v/>
      </c>
      <c r="CD493" s="98" t="str">
        <f>IF(CF493&lt;&gt;"",VLOOKUP($P493&amp;" | "&amp;CD$6,'Job Master'!$F$12:$J$102,5,0),"")</f>
        <v/>
      </c>
      <c r="CE493" s="19" t="str">
        <f>IF(CF493&lt;&gt;"",VLOOKUP($P493&amp;" | "&amp;CD$6,'Job Master'!$F$12:$J$102,3,0),"")</f>
        <v/>
      </c>
      <c r="CF493" s="19" t="str">
        <f>IFERROR(IF(AND(CM493&lt;&gt;"",VLOOKUP($P493&amp;" | "&amp;CD$6,'Job Master'!$F$12:$I$102,4,0)&lt;&gt;""),IF(WEEKDAY(CM493-VLOOKUP($P493&amp;" | "&amp;CD$6,'Job Master'!$F$12:$I$102,4,0))&lt;&gt;7,CM493-VLOOKUP($P493&amp;" | "&amp;CD$6,'Job Master'!$F$12:$I$102,4,0),CM493-VLOOKUP($P493&amp;" | "&amp;CD$6,'Job Master'!$F$12:$I$102,4,0)-1),""),"")</f>
        <v/>
      </c>
      <c r="CG493" s="73"/>
      <c r="CH493" s="123" t="str">
        <f t="shared" si="919"/>
        <v/>
      </c>
      <c r="CI493" s="123" t="str">
        <f t="shared" si="920"/>
        <v/>
      </c>
      <c r="CJ493" s="97" t="str">
        <f t="shared" ca="1" si="921"/>
        <v/>
      </c>
      <c r="CK493" s="98" t="str">
        <f>IF(CM493&lt;&gt;"",VLOOKUP($P493&amp;" | "&amp;CK$6,'Job Master'!$F$12:$J$102,5,0),"")</f>
        <v/>
      </c>
      <c r="CL493" s="19" t="str">
        <f>IF(CM493&lt;&gt;"",VLOOKUP($P493&amp;" | "&amp;CK$6,'Job Master'!$F$12:$J$102,3,0),"")</f>
        <v/>
      </c>
      <c r="CM493" s="19" t="str">
        <f>IFERROR(IF(AND(CT493&lt;&gt;"",VLOOKUP($P493&amp;" | "&amp;CK$6,'Job Master'!$F$12:$I$102,4,0)&lt;&gt;""),IF(WEEKDAY(CT493-VLOOKUP($P493&amp;" | "&amp;CK$6,'Job Master'!$F$12:$I$102,4,0))&lt;&gt;7,CT493-VLOOKUP($P493&amp;" | "&amp;CK$6,'Job Master'!$F$12:$I$102,4,0),CT493-VLOOKUP($P493&amp;" | "&amp;CK$6,'Job Master'!$F$12:$I$102,4,0)-1),""),"")</f>
        <v/>
      </c>
      <c r="CN493" s="73"/>
      <c r="CO493" s="123" t="str">
        <f t="shared" si="922"/>
        <v/>
      </c>
      <c r="CP493" s="123" t="str">
        <f t="shared" si="923"/>
        <v/>
      </c>
      <c r="CQ493" s="97" t="str">
        <f t="shared" ca="1" si="924"/>
        <v/>
      </c>
      <c r="CR493" s="98" t="str">
        <f>IF(CT493&lt;&gt;"",VLOOKUP($P493&amp;" | "&amp;CR$6,'Job Master'!$F$12:$J$102,5,0),"")</f>
        <v/>
      </c>
      <c r="CS493" s="19" t="str">
        <f>IF(CT493&lt;&gt;"",VLOOKUP($P493&amp;" | "&amp;CR$6,'Job Master'!$F$12:$J$102,3,0),"")</f>
        <v/>
      </c>
      <c r="CT493" s="19" t="str">
        <f>IFERROR(IF(AND(DA493&lt;&gt;"",VLOOKUP($P493&amp;" | "&amp;CR$6,'Job Master'!$F$12:$I$102,4,0)&lt;&gt;""),IF(WEEKDAY(DA493-VLOOKUP($P493&amp;" | "&amp;CR$6,'Job Master'!$F$12:$I$102,4,0))&lt;&gt;7,DA493-VLOOKUP($P493&amp;" | "&amp;CR$6,'Job Master'!$F$12:$I$102,4,0),DA493-VLOOKUP($P493&amp;" | "&amp;CR$6,'Job Master'!$F$12:$I$102,4,0)-1),""),"")</f>
        <v/>
      </c>
      <c r="CU493" s="73"/>
      <c r="CV493" s="123" t="str">
        <f t="shared" si="925"/>
        <v/>
      </c>
      <c r="CW493" s="123" t="str">
        <f t="shared" si="926"/>
        <v/>
      </c>
      <c r="CX493" s="97" t="str">
        <f t="shared" ca="1" si="927"/>
        <v/>
      </c>
      <c r="CY493" s="98" t="str">
        <f>IF(DA493&lt;&gt;"",VLOOKUP($P493&amp;" | "&amp;CY$6,'Job Master'!$F$12:$J$102,5,0),"")</f>
        <v/>
      </c>
      <c r="CZ493" s="19" t="str">
        <f>IF(DA493&lt;&gt;"",VLOOKUP($P493&amp;" | "&amp;CY$6,'Job Master'!$F$12:$J$102,3,0),"")</f>
        <v/>
      </c>
      <c r="DA493" s="19" t="str">
        <f>IFERROR(IF(AND(DH493&lt;&gt;"",VLOOKUP($P493&amp;" | "&amp;CY$6,'Job Master'!$F$12:$I$102,4,0)&lt;&gt;""),IF(WEEKDAY(DH493-VLOOKUP($P493&amp;" | "&amp;CY$6,'Job Master'!$F$12:$I$102,4,0))&lt;&gt;7,DH493-VLOOKUP($P493&amp;" | "&amp;CY$6,'Job Master'!$F$12:$I$102,4,0),DH493-VLOOKUP($P493&amp;" | "&amp;CY$6,'Job Master'!$F$12:$I$102,4,0)-1),""),"")</f>
        <v/>
      </c>
      <c r="DB493" s="73"/>
      <c r="DC493" s="123" t="str">
        <f t="shared" si="928"/>
        <v/>
      </c>
      <c r="DD493" s="123" t="str">
        <f t="shared" si="929"/>
        <v/>
      </c>
      <c r="DE493" s="97" t="str">
        <f t="shared" ca="1" si="930"/>
        <v/>
      </c>
      <c r="DF493" s="98" t="str">
        <f>IF(DH493&lt;&gt;"",VLOOKUP($P493&amp;" | "&amp;DF$6,'Job Master'!$F$12:$J$102,5,0),"")</f>
        <v/>
      </c>
      <c r="DG493" s="19" t="str">
        <f>IF(DH493&lt;&gt;"",VLOOKUP($P493&amp;" | "&amp;DF$6,'Job Master'!$F$12:$J$102,3,0),"")</f>
        <v/>
      </c>
      <c r="DH493" s="19" t="str">
        <f>IFERROR(IF(AND(DO493&lt;&gt;"",VLOOKUP($P493&amp;" | "&amp;DF$6,'Job Master'!$F$12:$I$102,4,0)&lt;&gt;""),IF(WEEKDAY(DO493-VLOOKUP($P493&amp;" | "&amp;DF$6,'Job Master'!$F$12:$I$102,4,0))&lt;&gt;7,DO493-VLOOKUP($P493&amp;" | "&amp;DF$6,'Job Master'!$F$12:$I$102,4,0),DO493-VLOOKUP($P493&amp;" | "&amp;DF$6,'Job Master'!$F$12:$I$102,4,0)-1),""),"")</f>
        <v/>
      </c>
      <c r="DI493" s="73"/>
      <c r="DJ493" s="123" t="str">
        <f t="shared" si="931"/>
        <v/>
      </c>
      <c r="DK493" s="123" t="str">
        <f t="shared" si="932"/>
        <v/>
      </c>
      <c r="DL493" s="97" t="str">
        <f t="shared" ca="1" si="933"/>
        <v/>
      </c>
      <c r="DM493" s="98" t="str">
        <f>IF(DO493&lt;&gt;"",VLOOKUP($P493&amp;" | "&amp;DM$6,'Job Master'!$F$12:$J$102,5,0),"")</f>
        <v/>
      </c>
      <c r="DN493" s="19" t="str">
        <f>IF(DO493&lt;&gt;"",VLOOKUP($P493&amp;" | "&amp;DM$6,'Job Master'!$F$12:$J$102,3,0),"")</f>
        <v/>
      </c>
      <c r="DO493" s="19" t="str">
        <f>IFERROR(IF(AND(DT493&lt;&gt;"",VLOOKUP($P493&amp;" | "&amp;DM$6,'Job Master'!$F$12:$I$102,4,0)&lt;&gt;""),IF(WEEKDAY(DT493-VLOOKUP($P493&amp;" | "&amp;DM$6,'Job Master'!$F$12:$I$102,4,0))&lt;&gt;7,DT493-VLOOKUP($P493&amp;" | "&amp;DM$6,'Job Master'!$F$12:$I$102,4,0),DT493-VLOOKUP($P493&amp;" | "&amp;DM$6,'Job Master'!$F$12:$I$102,4,0)-1),""),"")</f>
        <v/>
      </c>
      <c r="DP493" s="73"/>
      <c r="DQ493" s="123" t="str">
        <f t="shared" si="934"/>
        <v/>
      </c>
      <c r="DR493" s="123" t="str">
        <f t="shared" si="935"/>
        <v/>
      </c>
      <c r="DS493" s="97" t="str">
        <f t="shared" ca="1" si="936"/>
        <v/>
      </c>
      <c r="DT493" s="70" t="str">
        <f t="shared" si="937"/>
        <v/>
      </c>
      <c r="DU493" s="90"/>
      <c r="DV493" s="123" t="str">
        <f t="shared" si="938"/>
        <v/>
      </c>
      <c r="DW493" s="123" t="str">
        <f t="shared" si="939"/>
        <v/>
      </c>
      <c r="DX493" s="132" t="str">
        <f t="shared" ref="DX493" ca="1" si="987">IF(DT493&lt;&gt;"",IF(WEEKNUM(DT493)=WEEKNUM(TODAY()),"This Week",IF(WEEKNUM(DT493)=WEEKNUM(TODAY())+1,"Next Week",IF(WEEKNUM(DT493)=WEEKNUM(TODAY())-1,"Previous Week",""))),"")</f>
        <v/>
      </c>
      <c r="DY493" s="134" t="str">
        <f t="shared" si="941"/>
        <v/>
      </c>
      <c r="DZ493" s="95"/>
      <c r="EB493" s="8" t="str">
        <f t="shared" si="947"/>
        <v/>
      </c>
      <c r="EC493" s="8" t="str">
        <f>IF(O493&lt;&gt;"",VLOOKUP(O493,'Job Master'!$N$12:$O$18,2,0),"")</f>
        <v/>
      </c>
      <c r="ED493" s="8">
        <f t="shared" si="948"/>
        <v>19.5</v>
      </c>
      <c r="EE493" s="8">
        <f t="shared" si="949"/>
        <v>6</v>
      </c>
      <c r="EF493" s="8">
        <f t="shared" si="950"/>
        <v>-2878.5</v>
      </c>
      <c r="EG493" s="8" t="str">
        <f t="shared" si="951"/>
        <v/>
      </c>
      <c r="EH493" s="8" t="str">
        <f t="shared" si="952"/>
        <v/>
      </c>
    </row>
    <row r="494" spans="2:138" x14ac:dyDescent="0.3">
      <c r="B494" s="112"/>
      <c r="C494" s="27"/>
      <c r="D494" s="7" t="str">
        <f t="shared" si="891"/>
        <v/>
      </c>
      <c r="E494" s="25"/>
      <c r="F494" s="7" t="str">
        <f t="shared" si="891"/>
        <v/>
      </c>
      <c r="G494" s="25"/>
      <c r="H494" s="7" t="str">
        <f t="shared" si="891"/>
        <v/>
      </c>
      <c r="I494" s="25"/>
      <c r="J494" s="7" t="str">
        <f t="shared" si="891"/>
        <v/>
      </c>
      <c r="K494" s="25"/>
      <c r="L494" s="7" t="str">
        <f t="shared" si="891"/>
        <v/>
      </c>
      <c r="M494" s="25"/>
      <c r="N494" s="7" t="str">
        <f t="shared" si="985"/>
        <v/>
      </c>
      <c r="O494" s="81"/>
      <c r="P494" s="81" t="str">
        <f t="shared" si="892"/>
        <v/>
      </c>
      <c r="Q494" s="81"/>
      <c r="R494" s="7" t="str">
        <f t="shared" si="893"/>
        <v/>
      </c>
      <c r="S494" s="25"/>
      <c r="T494" s="7" t="str">
        <f t="shared" si="894"/>
        <v/>
      </c>
      <c r="U494" s="25"/>
      <c r="V494" s="7" t="str">
        <f t="shared" si="895"/>
        <v/>
      </c>
      <c r="W494" s="25"/>
      <c r="X494" s="7" t="str">
        <f t="shared" si="896"/>
        <v/>
      </c>
      <c r="Y494" s="18" t="str">
        <f t="shared" si="897"/>
        <v/>
      </c>
      <c r="Z494" s="7" t="str">
        <f t="shared" si="898"/>
        <v/>
      </c>
      <c r="AA494" s="18" t="str">
        <f t="shared" si="899"/>
        <v/>
      </c>
      <c r="AB494" s="19" t="str">
        <f t="shared" si="900"/>
        <v/>
      </c>
      <c r="AC494" s="26"/>
      <c r="AD494" s="26"/>
      <c r="AE494" s="25"/>
      <c r="AF494" s="26"/>
      <c r="AG494" s="25"/>
      <c r="AH494" s="25"/>
      <c r="AI494" s="18" t="str">
        <f t="shared" si="963"/>
        <v/>
      </c>
      <c r="AJ494" s="25"/>
      <c r="AK494" s="18" t="str">
        <f t="shared" si="964"/>
        <v/>
      </c>
      <c r="AL494" s="79"/>
      <c r="AM494" s="126" t="str">
        <f t="shared" si="965"/>
        <v/>
      </c>
      <c r="AN494" s="128" t="str">
        <f>IF(AP494&lt;&gt;"",VLOOKUP($P494&amp;" | "&amp;AN$6,'Job Master'!$F$12:$J$102,5,0),"")</f>
        <v/>
      </c>
      <c r="AO494" s="19" t="str">
        <f>IF(AP494&lt;&gt;"",VLOOKUP($P494&amp;" | "&amp;AN$6,'Job Master'!$F$12:$J$102,3,0),"")</f>
        <v/>
      </c>
      <c r="AP494" s="19" t="str">
        <f>IFERROR(IF(AND(AW494&lt;&gt;"",VLOOKUP($P494&amp;" | "&amp;AN$6,'Job Master'!$F$12:$I$102,4,0)&lt;&gt;""),IF(WEEKDAY(AW494-VLOOKUP($P494&amp;" | "&amp;AN$6,'Job Master'!$F$12:$I$102,4,0))&lt;&gt;7,AW494-VLOOKUP($P494&amp;" | "&amp;AN$6,'Job Master'!$F$12:$I$102,4,0),AW494-VLOOKUP($P494&amp;" | "&amp;AN$6,'Job Master'!$F$12:$I$102,4,0)-1),""),"")</f>
        <v/>
      </c>
      <c r="AQ494" s="73"/>
      <c r="AR494" s="123" t="str">
        <f t="shared" si="901"/>
        <v/>
      </c>
      <c r="AS494" s="123" t="str">
        <f t="shared" si="902"/>
        <v/>
      </c>
      <c r="AT494" s="97" t="str">
        <f t="shared" ca="1" si="903"/>
        <v/>
      </c>
      <c r="AU494" s="98" t="str">
        <f>IF(AW494&lt;&gt;"",VLOOKUP($P494&amp;" | "&amp;AU$6,'Job Master'!$F$12:$J$102,5,0),"")</f>
        <v/>
      </c>
      <c r="AV494" s="19" t="str">
        <f>IF(AW494&lt;&gt;"",VLOOKUP($P494&amp;" | "&amp;AU$6,'Job Master'!$F$12:$J$102,3,0),"")</f>
        <v/>
      </c>
      <c r="AW494" s="19" t="str">
        <f>IFERROR(IF(AND(BD494&lt;&gt;"",VLOOKUP($P494&amp;" | "&amp;AU$6,'Job Master'!$F$12:$I$102,4,0)&lt;&gt;""),IF(WEEKDAY(BD494-VLOOKUP($P494&amp;" | "&amp;AU$6,'Job Master'!$F$12:$I$102,4,0))&lt;&gt;7,BD494-VLOOKUP($P494&amp;" | "&amp;AU$6,'Job Master'!$F$12:$I$102,4,0),BD494-VLOOKUP($P494&amp;" | "&amp;AU$6,'Job Master'!$F$12:$I$102,4,0)-1),""),"")</f>
        <v/>
      </c>
      <c r="AX494" s="73"/>
      <c r="AY494" s="123" t="str">
        <f t="shared" si="904"/>
        <v/>
      </c>
      <c r="AZ494" s="123" t="str">
        <f t="shared" si="905"/>
        <v/>
      </c>
      <c r="BA494" s="97" t="str">
        <f t="shared" ca="1" si="906"/>
        <v/>
      </c>
      <c r="BB494" s="98" t="str">
        <f>IF(BD494&lt;&gt;"",VLOOKUP($P494&amp;" | "&amp;BB$6,'Job Master'!$F$12:$J$102,5,0),"")</f>
        <v/>
      </c>
      <c r="BC494" s="19" t="str">
        <f>IF(BD494&lt;&gt;"",VLOOKUP($P494&amp;" | "&amp;BB$6,'Job Master'!$F$12:$J$102,3,0),"")</f>
        <v/>
      </c>
      <c r="BD494" s="19" t="str">
        <f>IFERROR(IF(AND(BK494&lt;&gt;"",VLOOKUP($P494&amp;" | "&amp;BB$6,'Job Master'!$F$12:$I$102,4,0)&lt;&gt;""),IF(WEEKDAY(BK494-VLOOKUP($P494&amp;" | "&amp;BB$6,'Job Master'!$F$12:$I$102,4,0))&lt;&gt;7,BK494-VLOOKUP($P494&amp;" | "&amp;BB$6,'Job Master'!$F$12:$I$102,4,0),BK494-VLOOKUP($P494&amp;" | "&amp;BB$6,'Job Master'!$F$12:$I$102,4,0)-1),""),"")</f>
        <v/>
      </c>
      <c r="BE494" s="73"/>
      <c r="BF494" s="123" t="str">
        <f t="shared" si="907"/>
        <v/>
      </c>
      <c r="BG494" s="123" t="str">
        <f t="shared" si="908"/>
        <v/>
      </c>
      <c r="BH494" s="97" t="str">
        <f t="shared" ca="1" si="909"/>
        <v/>
      </c>
      <c r="BI494" s="98" t="str">
        <f>IF(BK494&lt;&gt;"",VLOOKUP($P494&amp;" | "&amp;BI$6,'Job Master'!$F$12:$J$102,5,0),"")</f>
        <v/>
      </c>
      <c r="BJ494" s="19" t="str">
        <f>IF(BK494&lt;&gt;"",VLOOKUP($P494&amp;" | "&amp;BI$6,'Job Master'!$F$12:$J$102,3,0),"")</f>
        <v/>
      </c>
      <c r="BK494" s="19" t="str">
        <f>IFERROR(IF(AND(BR494&lt;&gt;"",VLOOKUP($P494&amp;" | "&amp;BI$6,'Job Master'!$F$12:$I$102,4,0)&lt;&gt;""),IF(WEEKDAY(BR494-VLOOKUP($P494&amp;" | "&amp;BI$6,'Job Master'!$F$12:$I$102,4,0))&lt;&gt;7,BR494-VLOOKUP($P494&amp;" | "&amp;BI$6,'Job Master'!$F$12:$I$102,4,0),BR494-VLOOKUP($P494&amp;" | "&amp;BI$6,'Job Master'!$F$12:$I$102,4,0)-1),""),"")</f>
        <v/>
      </c>
      <c r="BL494" s="73"/>
      <c r="BM494" s="123" t="str">
        <f t="shared" si="910"/>
        <v/>
      </c>
      <c r="BN494" s="123" t="str">
        <f t="shared" si="911"/>
        <v/>
      </c>
      <c r="BO494" s="97" t="str">
        <f t="shared" ca="1" si="912"/>
        <v/>
      </c>
      <c r="BP494" s="98" t="str">
        <f>IF(BR494&lt;&gt;"",VLOOKUP($P494&amp;" | "&amp;BP$6,'Job Master'!$F$12:$J$102,5,0),"")</f>
        <v/>
      </c>
      <c r="BQ494" s="19" t="str">
        <f>IF(BR494&lt;&gt;"",VLOOKUP($P494&amp;" | "&amp;BP$6,'Job Master'!$F$12:$J$102,3,0),"")</f>
        <v/>
      </c>
      <c r="BR494" s="19" t="str">
        <f>IFERROR(IF(AND(BY494&lt;&gt;"",VLOOKUP($P494&amp;" | "&amp;BP$6,'Job Master'!$F$12:$I$102,4,0)&lt;&gt;""),IF(WEEKDAY(BY494-VLOOKUP($P494&amp;" | "&amp;BP$6,'Job Master'!$F$12:$I$102,4,0))&lt;&gt;7,BY494-VLOOKUP($P494&amp;" | "&amp;BP$6,'Job Master'!$F$12:$I$102,4,0),BY494-VLOOKUP($P494&amp;" | "&amp;BP$6,'Job Master'!$F$12:$I$102,4,0)-1),""),"")</f>
        <v/>
      </c>
      <c r="BS494" s="73"/>
      <c r="BT494" s="123" t="str">
        <f t="shared" si="913"/>
        <v/>
      </c>
      <c r="BU494" s="123" t="str">
        <f t="shared" si="914"/>
        <v/>
      </c>
      <c r="BV494" s="97" t="str">
        <f t="shared" ca="1" si="915"/>
        <v/>
      </c>
      <c r="BW494" s="98" t="str">
        <f>IF(BY494&lt;&gt;"",VLOOKUP($P494&amp;" | "&amp;BW$6,'Job Master'!$F$12:$J$102,5,0),"")</f>
        <v/>
      </c>
      <c r="BX494" s="19" t="str">
        <f>IF(BY494&lt;&gt;"",VLOOKUP($P494&amp;" | "&amp;BW$6,'Job Master'!$F$12:$J$102,3,0),"")</f>
        <v/>
      </c>
      <c r="BY494" s="19" t="str">
        <f>IFERROR(IF(AND(CF494&lt;&gt;"",VLOOKUP($P494&amp;" | "&amp;BW$6,'Job Master'!$F$12:$I$102,4,0)&lt;&gt;""),IF(WEEKDAY(CF494-VLOOKUP($P494&amp;" | "&amp;BW$6,'Job Master'!$F$12:$I$102,4,0))&lt;&gt;7,CF494-VLOOKUP($P494&amp;" | "&amp;BW$6,'Job Master'!$F$12:$I$102,4,0),CF494-VLOOKUP($P494&amp;" | "&amp;BW$6,'Job Master'!$F$12:$I$102,4,0)-1),""),"")</f>
        <v/>
      </c>
      <c r="BZ494" s="73"/>
      <c r="CA494" s="123" t="str">
        <f t="shared" si="916"/>
        <v/>
      </c>
      <c r="CB494" s="123" t="str">
        <f t="shared" si="917"/>
        <v/>
      </c>
      <c r="CC494" s="97" t="str">
        <f t="shared" ca="1" si="918"/>
        <v/>
      </c>
      <c r="CD494" s="98" t="str">
        <f>IF(CF494&lt;&gt;"",VLOOKUP($P494&amp;" | "&amp;CD$6,'Job Master'!$F$12:$J$102,5,0),"")</f>
        <v/>
      </c>
      <c r="CE494" s="19" t="str">
        <f>IF(CF494&lt;&gt;"",VLOOKUP($P494&amp;" | "&amp;CD$6,'Job Master'!$F$12:$J$102,3,0),"")</f>
        <v/>
      </c>
      <c r="CF494" s="19" t="str">
        <f>IFERROR(IF(AND(CM494&lt;&gt;"",VLOOKUP($P494&amp;" | "&amp;CD$6,'Job Master'!$F$12:$I$102,4,0)&lt;&gt;""),IF(WEEKDAY(CM494-VLOOKUP($P494&amp;" | "&amp;CD$6,'Job Master'!$F$12:$I$102,4,0))&lt;&gt;7,CM494-VLOOKUP($P494&amp;" | "&amp;CD$6,'Job Master'!$F$12:$I$102,4,0),CM494-VLOOKUP($P494&amp;" | "&amp;CD$6,'Job Master'!$F$12:$I$102,4,0)-1),""),"")</f>
        <v/>
      </c>
      <c r="CG494" s="73"/>
      <c r="CH494" s="123" t="str">
        <f t="shared" si="919"/>
        <v/>
      </c>
      <c r="CI494" s="123" t="str">
        <f t="shared" si="920"/>
        <v/>
      </c>
      <c r="CJ494" s="97" t="str">
        <f t="shared" ca="1" si="921"/>
        <v/>
      </c>
      <c r="CK494" s="98" t="str">
        <f>IF(CM494&lt;&gt;"",VLOOKUP($P494&amp;" | "&amp;CK$6,'Job Master'!$F$12:$J$102,5,0),"")</f>
        <v/>
      </c>
      <c r="CL494" s="19" t="str">
        <f>IF(CM494&lt;&gt;"",VLOOKUP($P494&amp;" | "&amp;CK$6,'Job Master'!$F$12:$J$102,3,0),"")</f>
        <v/>
      </c>
      <c r="CM494" s="19" t="str">
        <f>IFERROR(IF(AND(CT494&lt;&gt;"",VLOOKUP($P494&amp;" | "&amp;CK$6,'Job Master'!$F$12:$I$102,4,0)&lt;&gt;""),IF(WEEKDAY(CT494-VLOOKUP($P494&amp;" | "&amp;CK$6,'Job Master'!$F$12:$I$102,4,0))&lt;&gt;7,CT494-VLOOKUP($P494&amp;" | "&amp;CK$6,'Job Master'!$F$12:$I$102,4,0),CT494-VLOOKUP($P494&amp;" | "&amp;CK$6,'Job Master'!$F$12:$I$102,4,0)-1),""),"")</f>
        <v/>
      </c>
      <c r="CN494" s="73"/>
      <c r="CO494" s="123" t="str">
        <f t="shared" si="922"/>
        <v/>
      </c>
      <c r="CP494" s="123" t="str">
        <f t="shared" si="923"/>
        <v/>
      </c>
      <c r="CQ494" s="97" t="str">
        <f t="shared" ca="1" si="924"/>
        <v/>
      </c>
      <c r="CR494" s="98" t="str">
        <f>IF(CT494&lt;&gt;"",VLOOKUP($P494&amp;" | "&amp;CR$6,'Job Master'!$F$12:$J$102,5,0),"")</f>
        <v/>
      </c>
      <c r="CS494" s="19" t="str">
        <f>IF(CT494&lt;&gt;"",VLOOKUP($P494&amp;" | "&amp;CR$6,'Job Master'!$F$12:$J$102,3,0),"")</f>
        <v/>
      </c>
      <c r="CT494" s="19" t="str">
        <f>IFERROR(IF(AND(DA494&lt;&gt;"",VLOOKUP($P494&amp;" | "&amp;CR$6,'Job Master'!$F$12:$I$102,4,0)&lt;&gt;""),IF(WEEKDAY(DA494-VLOOKUP($P494&amp;" | "&amp;CR$6,'Job Master'!$F$12:$I$102,4,0))&lt;&gt;7,DA494-VLOOKUP($P494&amp;" | "&amp;CR$6,'Job Master'!$F$12:$I$102,4,0),DA494-VLOOKUP($P494&amp;" | "&amp;CR$6,'Job Master'!$F$12:$I$102,4,0)-1),""),"")</f>
        <v/>
      </c>
      <c r="CU494" s="73"/>
      <c r="CV494" s="123" t="str">
        <f t="shared" si="925"/>
        <v/>
      </c>
      <c r="CW494" s="123" t="str">
        <f t="shared" si="926"/>
        <v/>
      </c>
      <c r="CX494" s="97" t="str">
        <f t="shared" ca="1" si="927"/>
        <v/>
      </c>
      <c r="CY494" s="98" t="str">
        <f>IF(DA494&lt;&gt;"",VLOOKUP($P494&amp;" | "&amp;CY$6,'Job Master'!$F$12:$J$102,5,0),"")</f>
        <v/>
      </c>
      <c r="CZ494" s="19" t="str">
        <f>IF(DA494&lt;&gt;"",VLOOKUP($P494&amp;" | "&amp;CY$6,'Job Master'!$F$12:$J$102,3,0),"")</f>
        <v/>
      </c>
      <c r="DA494" s="19" t="str">
        <f>IFERROR(IF(AND(DH494&lt;&gt;"",VLOOKUP($P494&amp;" | "&amp;CY$6,'Job Master'!$F$12:$I$102,4,0)&lt;&gt;""),IF(WEEKDAY(DH494-VLOOKUP($P494&amp;" | "&amp;CY$6,'Job Master'!$F$12:$I$102,4,0))&lt;&gt;7,DH494-VLOOKUP($P494&amp;" | "&amp;CY$6,'Job Master'!$F$12:$I$102,4,0),DH494-VLOOKUP($P494&amp;" | "&amp;CY$6,'Job Master'!$F$12:$I$102,4,0)-1),""),"")</f>
        <v/>
      </c>
      <c r="DB494" s="73"/>
      <c r="DC494" s="123" t="str">
        <f t="shared" si="928"/>
        <v/>
      </c>
      <c r="DD494" s="123" t="str">
        <f t="shared" si="929"/>
        <v/>
      </c>
      <c r="DE494" s="97" t="str">
        <f t="shared" ca="1" si="930"/>
        <v/>
      </c>
      <c r="DF494" s="98" t="str">
        <f>IF(DH494&lt;&gt;"",VLOOKUP($P494&amp;" | "&amp;DF$6,'Job Master'!$F$12:$J$102,5,0),"")</f>
        <v/>
      </c>
      <c r="DG494" s="19" t="str">
        <f>IF(DH494&lt;&gt;"",VLOOKUP($P494&amp;" | "&amp;DF$6,'Job Master'!$F$12:$J$102,3,0),"")</f>
        <v/>
      </c>
      <c r="DH494" s="19" t="str">
        <f>IFERROR(IF(AND(DO494&lt;&gt;"",VLOOKUP($P494&amp;" | "&amp;DF$6,'Job Master'!$F$12:$I$102,4,0)&lt;&gt;""),IF(WEEKDAY(DO494-VLOOKUP($P494&amp;" | "&amp;DF$6,'Job Master'!$F$12:$I$102,4,0))&lt;&gt;7,DO494-VLOOKUP($P494&amp;" | "&amp;DF$6,'Job Master'!$F$12:$I$102,4,0),DO494-VLOOKUP($P494&amp;" | "&amp;DF$6,'Job Master'!$F$12:$I$102,4,0)-1),""),"")</f>
        <v/>
      </c>
      <c r="DI494" s="73"/>
      <c r="DJ494" s="123" t="str">
        <f t="shared" si="931"/>
        <v/>
      </c>
      <c r="DK494" s="123" t="str">
        <f t="shared" si="932"/>
        <v/>
      </c>
      <c r="DL494" s="97" t="str">
        <f t="shared" ca="1" si="933"/>
        <v/>
      </c>
      <c r="DM494" s="98" t="str">
        <f>IF(DO494&lt;&gt;"",VLOOKUP($P494&amp;" | "&amp;DM$6,'Job Master'!$F$12:$J$102,5,0),"")</f>
        <v/>
      </c>
      <c r="DN494" s="19" t="str">
        <f>IF(DO494&lt;&gt;"",VLOOKUP($P494&amp;" | "&amp;DM$6,'Job Master'!$F$12:$J$102,3,0),"")</f>
        <v/>
      </c>
      <c r="DO494" s="19" t="str">
        <f>IFERROR(IF(AND(DT494&lt;&gt;"",VLOOKUP($P494&amp;" | "&amp;DM$6,'Job Master'!$F$12:$I$102,4,0)&lt;&gt;""),IF(WEEKDAY(DT494-VLOOKUP($P494&amp;" | "&amp;DM$6,'Job Master'!$F$12:$I$102,4,0))&lt;&gt;7,DT494-VLOOKUP($P494&amp;" | "&amp;DM$6,'Job Master'!$F$12:$I$102,4,0),DT494-VLOOKUP($P494&amp;" | "&amp;DM$6,'Job Master'!$F$12:$I$102,4,0)-1),""),"")</f>
        <v/>
      </c>
      <c r="DP494" s="73"/>
      <c r="DQ494" s="123" t="str">
        <f t="shared" si="934"/>
        <v/>
      </c>
      <c r="DR494" s="123" t="str">
        <f t="shared" si="935"/>
        <v/>
      </c>
      <c r="DS494" s="97" t="str">
        <f t="shared" ca="1" si="936"/>
        <v/>
      </c>
      <c r="DT494" s="70" t="str">
        <f t="shared" si="937"/>
        <v/>
      </c>
      <c r="DU494" s="90"/>
      <c r="DV494" s="123" t="str">
        <f t="shared" si="938"/>
        <v/>
      </c>
      <c r="DW494" s="123" t="str">
        <f t="shared" si="939"/>
        <v/>
      </c>
      <c r="DX494" s="132" t="str">
        <f t="shared" ref="DX494" ca="1" si="988">IF(DT494&lt;&gt;"",IF(WEEKNUM(DT494)=WEEKNUM(TODAY()),"This Week",IF(WEEKNUM(DT494)=WEEKNUM(TODAY())+1,"Next Week",IF(WEEKNUM(DT494)=WEEKNUM(TODAY())-1,"Previous Week",""))),"")</f>
        <v/>
      </c>
      <c r="DY494" s="134" t="str">
        <f t="shared" si="941"/>
        <v/>
      </c>
      <c r="DZ494" s="95"/>
      <c r="EB494" s="8" t="str">
        <f t="shared" si="947"/>
        <v/>
      </c>
      <c r="EC494" s="8" t="str">
        <f>IF(O494&lt;&gt;"",VLOOKUP(O494,'Job Master'!$N$12:$O$18,2,0),"")</f>
        <v/>
      </c>
      <c r="ED494" s="8">
        <f t="shared" si="948"/>
        <v>19.5</v>
      </c>
      <c r="EE494" s="8">
        <f t="shared" si="949"/>
        <v>6</v>
      </c>
      <c r="EF494" s="8">
        <f t="shared" si="950"/>
        <v>-2884.5</v>
      </c>
      <c r="EG494" s="8" t="str">
        <f t="shared" si="951"/>
        <v/>
      </c>
      <c r="EH494" s="8" t="str">
        <f t="shared" si="952"/>
        <v/>
      </c>
    </row>
    <row r="495" spans="2:138" x14ac:dyDescent="0.3">
      <c r="B495" s="112"/>
      <c r="C495" s="27"/>
      <c r="D495" s="7" t="str">
        <f t="shared" si="891"/>
        <v/>
      </c>
      <c r="E495" s="25"/>
      <c r="F495" s="7" t="str">
        <f t="shared" si="891"/>
        <v/>
      </c>
      <c r="G495" s="25"/>
      <c r="H495" s="7" t="str">
        <f t="shared" si="891"/>
        <v/>
      </c>
      <c r="I495" s="25"/>
      <c r="J495" s="7" t="str">
        <f t="shared" si="891"/>
        <v/>
      </c>
      <c r="K495" s="25"/>
      <c r="L495" s="7" t="str">
        <f t="shared" si="891"/>
        <v/>
      </c>
      <c r="M495" s="25"/>
      <c r="N495" s="7" t="str">
        <f t="shared" si="985"/>
        <v/>
      </c>
      <c r="O495" s="81"/>
      <c r="P495" s="81" t="str">
        <f t="shared" si="892"/>
        <v/>
      </c>
      <c r="Q495" s="81"/>
      <c r="R495" s="7" t="str">
        <f t="shared" si="893"/>
        <v/>
      </c>
      <c r="S495" s="25"/>
      <c r="T495" s="7" t="str">
        <f t="shared" si="894"/>
        <v/>
      </c>
      <c r="U495" s="25"/>
      <c r="V495" s="7" t="str">
        <f t="shared" si="895"/>
        <v/>
      </c>
      <c r="W495" s="25"/>
      <c r="X495" s="7" t="str">
        <f t="shared" si="896"/>
        <v/>
      </c>
      <c r="Y495" s="18" t="str">
        <f t="shared" si="897"/>
        <v/>
      </c>
      <c r="Z495" s="7" t="str">
        <f t="shared" si="898"/>
        <v/>
      </c>
      <c r="AA495" s="18" t="str">
        <f t="shared" si="899"/>
        <v/>
      </c>
      <c r="AB495" s="19" t="str">
        <f t="shared" si="900"/>
        <v/>
      </c>
      <c r="AC495" s="26"/>
      <c r="AD495" s="26"/>
      <c r="AE495" s="25"/>
      <c r="AF495" s="26"/>
      <c r="AG495" s="25"/>
      <c r="AH495" s="25"/>
      <c r="AI495" s="18" t="str">
        <f t="shared" si="963"/>
        <v/>
      </c>
      <c r="AJ495" s="25"/>
      <c r="AK495" s="18" t="str">
        <f t="shared" si="964"/>
        <v/>
      </c>
      <c r="AL495" s="79"/>
      <c r="AM495" s="126" t="str">
        <f t="shared" si="965"/>
        <v/>
      </c>
      <c r="AN495" s="128" t="str">
        <f>IF(AP495&lt;&gt;"",VLOOKUP($P495&amp;" | "&amp;AN$6,'Job Master'!$F$12:$J$102,5,0),"")</f>
        <v/>
      </c>
      <c r="AO495" s="19" t="str">
        <f>IF(AP495&lt;&gt;"",VLOOKUP($P495&amp;" | "&amp;AN$6,'Job Master'!$F$12:$J$102,3,0),"")</f>
        <v/>
      </c>
      <c r="AP495" s="19" t="str">
        <f>IFERROR(IF(AND(AW495&lt;&gt;"",VLOOKUP($P495&amp;" | "&amp;AN$6,'Job Master'!$F$12:$I$102,4,0)&lt;&gt;""),IF(WEEKDAY(AW495-VLOOKUP($P495&amp;" | "&amp;AN$6,'Job Master'!$F$12:$I$102,4,0))&lt;&gt;7,AW495-VLOOKUP($P495&amp;" | "&amp;AN$6,'Job Master'!$F$12:$I$102,4,0),AW495-VLOOKUP($P495&amp;" | "&amp;AN$6,'Job Master'!$F$12:$I$102,4,0)-1),""),"")</f>
        <v/>
      </c>
      <c r="AQ495" s="73"/>
      <c r="AR495" s="123" t="str">
        <f t="shared" si="901"/>
        <v/>
      </c>
      <c r="AS495" s="123" t="str">
        <f t="shared" si="902"/>
        <v/>
      </c>
      <c r="AT495" s="97" t="str">
        <f t="shared" ca="1" si="903"/>
        <v/>
      </c>
      <c r="AU495" s="98" t="str">
        <f>IF(AW495&lt;&gt;"",VLOOKUP($P495&amp;" | "&amp;AU$6,'Job Master'!$F$12:$J$102,5,0),"")</f>
        <v/>
      </c>
      <c r="AV495" s="19" t="str">
        <f>IF(AW495&lt;&gt;"",VLOOKUP($P495&amp;" | "&amp;AU$6,'Job Master'!$F$12:$J$102,3,0),"")</f>
        <v/>
      </c>
      <c r="AW495" s="19" t="str">
        <f>IFERROR(IF(AND(BD495&lt;&gt;"",VLOOKUP($P495&amp;" | "&amp;AU$6,'Job Master'!$F$12:$I$102,4,0)&lt;&gt;""),IF(WEEKDAY(BD495-VLOOKUP($P495&amp;" | "&amp;AU$6,'Job Master'!$F$12:$I$102,4,0))&lt;&gt;7,BD495-VLOOKUP($P495&amp;" | "&amp;AU$6,'Job Master'!$F$12:$I$102,4,0),BD495-VLOOKUP($P495&amp;" | "&amp;AU$6,'Job Master'!$F$12:$I$102,4,0)-1),""),"")</f>
        <v/>
      </c>
      <c r="AX495" s="73"/>
      <c r="AY495" s="123" t="str">
        <f t="shared" si="904"/>
        <v/>
      </c>
      <c r="AZ495" s="123" t="str">
        <f t="shared" si="905"/>
        <v/>
      </c>
      <c r="BA495" s="97" t="str">
        <f t="shared" ca="1" si="906"/>
        <v/>
      </c>
      <c r="BB495" s="98" t="str">
        <f>IF(BD495&lt;&gt;"",VLOOKUP($P495&amp;" | "&amp;BB$6,'Job Master'!$F$12:$J$102,5,0),"")</f>
        <v/>
      </c>
      <c r="BC495" s="19" t="str">
        <f>IF(BD495&lt;&gt;"",VLOOKUP($P495&amp;" | "&amp;BB$6,'Job Master'!$F$12:$J$102,3,0),"")</f>
        <v/>
      </c>
      <c r="BD495" s="19" t="str">
        <f>IFERROR(IF(AND(BK495&lt;&gt;"",VLOOKUP($P495&amp;" | "&amp;BB$6,'Job Master'!$F$12:$I$102,4,0)&lt;&gt;""),IF(WEEKDAY(BK495-VLOOKUP($P495&amp;" | "&amp;BB$6,'Job Master'!$F$12:$I$102,4,0))&lt;&gt;7,BK495-VLOOKUP($P495&amp;" | "&amp;BB$6,'Job Master'!$F$12:$I$102,4,0),BK495-VLOOKUP($P495&amp;" | "&amp;BB$6,'Job Master'!$F$12:$I$102,4,0)-1),""),"")</f>
        <v/>
      </c>
      <c r="BE495" s="73"/>
      <c r="BF495" s="123" t="str">
        <f t="shared" si="907"/>
        <v/>
      </c>
      <c r="BG495" s="123" t="str">
        <f t="shared" si="908"/>
        <v/>
      </c>
      <c r="BH495" s="97" t="str">
        <f t="shared" ca="1" si="909"/>
        <v/>
      </c>
      <c r="BI495" s="98" t="str">
        <f>IF(BK495&lt;&gt;"",VLOOKUP($P495&amp;" | "&amp;BI$6,'Job Master'!$F$12:$J$102,5,0),"")</f>
        <v/>
      </c>
      <c r="BJ495" s="19" t="str">
        <f>IF(BK495&lt;&gt;"",VLOOKUP($P495&amp;" | "&amp;BI$6,'Job Master'!$F$12:$J$102,3,0),"")</f>
        <v/>
      </c>
      <c r="BK495" s="19" t="str">
        <f>IFERROR(IF(AND(BR495&lt;&gt;"",VLOOKUP($P495&amp;" | "&amp;BI$6,'Job Master'!$F$12:$I$102,4,0)&lt;&gt;""),IF(WEEKDAY(BR495-VLOOKUP($P495&amp;" | "&amp;BI$6,'Job Master'!$F$12:$I$102,4,0))&lt;&gt;7,BR495-VLOOKUP($P495&amp;" | "&amp;BI$6,'Job Master'!$F$12:$I$102,4,0),BR495-VLOOKUP($P495&amp;" | "&amp;BI$6,'Job Master'!$F$12:$I$102,4,0)-1),""),"")</f>
        <v/>
      </c>
      <c r="BL495" s="73"/>
      <c r="BM495" s="123" t="str">
        <f t="shared" si="910"/>
        <v/>
      </c>
      <c r="BN495" s="123" t="str">
        <f t="shared" si="911"/>
        <v/>
      </c>
      <c r="BO495" s="97" t="str">
        <f t="shared" ca="1" si="912"/>
        <v/>
      </c>
      <c r="BP495" s="98" t="str">
        <f>IF(BR495&lt;&gt;"",VLOOKUP($P495&amp;" | "&amp;BP$6,'Job Master'!$F$12:$J$102,5,0),"")</f>
        <v/>
      </c>
      <c r="BQ495" s="19" t="str">
        <f>IF(BR495&lt;&gt;"",VLOOKUP($P495&amp;" | "&amp;BP$6,'Job Master'!$F$12:$J$102,3,0),"")</f>
        <v/>
      </c>
      <c r="BR495" s="19" t="str">
        <f>IFERROR(IF(AND(BY495&lt;&gt;"",VLOOKUP($P495&amp;" | "&amp;BP$6,'Job Master'!$F$12:$I$102,4,0)&lt;&gt;""),IF(WEEKDAY(BY495-VLOOKUP($P495&amp;" | "&amp;BP$6,'Job Master'!$F$12:$I$102,4,0))&lt;&gt;7,BY495-VLOOKUP($P495&amp;" | "&amp;BP$6,'Job Master'!$F$12:$I$102,4,0),BY495-VLOOKUP($P495&amp;" | "&amp;BP$6,'Job Master'!$F$12:$I$102,4,0)-1),""),"")</f>
        <v/>
      </c>
      <c r="BS495" s="73"/>
      <c r="BT495" s="123" t="str">
        <f t="shared" si="913"/>
        <v/>
      </c>
      <c r="BU495" s="123" t="str">
        <f t="shared" si="914"/>
        <v/>
      </c>
      <c r="BV495" s="97" t="str">
        <f t="shared" ca="1" si="915"/>
        <v/>
      </c>
      <c r="BW495" s="98" t="str">
        <f>IF(BY495&lt;&gt;"",VLOOKUP($P495&amp;" | "&amp;BW$6,'Job Master'!$F$12:$J$102,5,0),"")</f>
        <v/>
      </c>
      <c r="BX495" s="19" t="str">
        <f>IF(BY495&lt;&gt;"",VLOOKUP($P495&amp;" | "&amp;BW$6,'Job Master'!$F$12:$J$102,3,0),"")</f>
        <v/>
      </c>
      <c r="BY495" s="19" t="str">
        <f>IFERROR(IF(AND(CF495&lt;&gt;"",VLOOKUP($P495&amp;" | "&amp;BW$6,'Job Master'!$F$12:$I$102,4,0)&lt;&gt;""),IF(WEEKDAY(CF495-VLOOKUP($P495&amp;" | "&amp;BW$6,'Job Master'!$F$12:$I$102,4,0))&lt;&gt;7,CF495-VLOOKUP($P495&amp;" | "&amp;BW$6,'Job Master'!$F$12:$I$102,4,0),CF495-VLOOKUP($P495&amp;" | "&amp;BW$6,'Job Master'!$F$12:$I$102,4,0)-1),""),"")</f>
        <v/>
      </c>
      <c r="BZ495" s="73"/>
      <c r="CA495" s="123" t="str">
        <f t="shared" si="916"/>
        <v/>
      </c>
      <c r="CB495" s="123" t="str">
        <f t="shared" si="917"/>
        <v/>
      </c>
      <c r="CC495" s="97" t="str">
        <f t="shared" ca="1" si="918"/>
        <v/>
      </c>
      <c r="CD495" s="98" t="str">
        <f>IF(CF495&lt;&gt;"",VLOOKUP($P495&amp;" | "&amp;CD$6,'Job Master'!$F$12:$J$102,5,0),"")</f>
        <v/>
      </c>
      <c r="CE495" s="19" t="str">
        <f>IF(CF495&lt;&gt;"",VLOOKUP($P495&amp;" | "&amp;CD$6,'Job Master'!$F$12:$J$102,3,0),"")</f>
        <v/>
      </c>
      <c r="CF495" s="19" t="str">
        <f>IFERROR(IF(AND(CM495&lt;&gt;"",VLOOKUP($P495&amp;" | "&amp;CD$6,'Job Master'!$F$12:$I$102,4,0)&lt;&gt;""),IF(WEEKDAY(CM495-VLOOKUP($P495&amp;" | "&amp;CD$6,'Job Master'!$F$12:$I$102,4,0))&lt;&gt;7,CM495-VLOOKUP($P495&amp;" | "&amp;CD$6,'Job Master'!$F$12:$I$102,4,0),CM495-VLOOKUP($P495&amp;" | "&amp;CD$6,'Job Master'!$F$12:$I$102,4,0)-1),""),"")</f>
        <v/>
      </c>
      <c r="CG495" s="73"/>
      <c r="CH495" s="123" t="str">
        <f t="shared" si="919"/>
        <v/>
      </c>
      <c r="CI495" s="123" t="str">
        <f t="shared" si="920"/>
        <v/>
      </c>
      <c r="CJ495" s="97" t="str">
        <f t="shared" ca="1" si="921"/>
        <v/>
      </c>
      <c r="CK495" s="98" t="str">
        <f>IF(CM495&lt;&gt;"",VLOOKUP($P495&amp;" | "&amp;CK$6,'Job Master'!$F$12:$J$102,5,0),"")</f>
        <v/>
      </c>
      <c r="CL495" s="19" t="str">
        <f>IF(CM495&lt;&gt;"",VLOOKUP($P495&amp;" | "&amp;CK$6,'Job Master'!$F$12:$J$102,3,0),"")</f>
        <v/>
      </c>
      <c r="CM495" s="19" t="str">
        <f>IFERROR(IF(AND(CT495&lt;&gt;"",VLOOKUP($P495&amp;" | "&amp;CK$6,'Job Master'!$F$12:$I$102,4,0)&lt;&gt;""),IF(WEEKDAY(CT495-VLOOKUP($P495&amp;" | "&amp;CK$6,'Job Master'!$F$12:$I$102,4,0))&lt;&gt;7,CT495-VLOOKUP($P495&amp;" | "&amp;CK$6,'Job Master'!$F$12:$I$102,4,0),CT495-VLOOKUP($P495&amp;" | "&amp;CK$6,'Job Master'!$F$12:$I$102,4,0)-1),""),"")</f>
        <v/>
      </c>
      <c r="CN495" s="73"/>
      <c r="CO495" s="123" t="str">
        <f t="shared" si="922"/>
        <v/>
      </c>
      <c r="CP495" s="123" t="str">
        <f t="shared" si="923"/>
        <v/>
      </c>
      <c r="CQ495" s="97" t="str">
        <f t="shared" ca="1" si="924"/>
        <v/>
      </c>
      <c r="CR495" s="98" t="str">
        <f>IF(CT495&lt;&gt;"",VLOOKUP($P495&amp;" | "&amp;CR$6,'Job Master'!$F$12:$J$102,5,0),"")</f>
        <v/>
      </c>
      <c r="CS495" s="19" t="str">
        <f>IF(CT495&lt;&gt;"",VLOOKUP($P495&amp;" | "&amp;CR$6,'Job Master'!$F$12:$J$102,3,0),"")</f>
        <v/>
      </c>
      <c r="CT495" s="19" t="str">
        <f>IFERROR(IF(AND(DA495&lt;&gt;"",VLOOKUP($P495&amp;" | "&amp;CR$6,'Job Master'!$F$12:$I$102,4,0)&lt;&gt;""),IF(WEEKDAY(DA495-VLOOKUP($P495&amp;" | "&amp;CR$6,'Job Master'!$F$12:$I$102,4,0))&lt;&gt;7,DA495-VLOOKUP($P495&amp;" | "&amp;CR$6,'Job Master'!$F$12:$I$102,4,0),DA495-VLOOKUP($P495&amp;" | "&amp;CR$6,'Job Master'!$F$12:$I$102,4,0)-1),""),"")</f>
        <v/>
      </c>
      <c r="CU495" s="73"/>
      <c r="CV495" s="123" t="str">
        <f t="shared" si="925"/>
        <v/>
      </c>
      <c r="CW495" s="123" t="str">
        <f t="shared" si="926"/>
        <v/>
      </c>
      <c r="CX495" s="97" t="str">
        <f t="shared" ca="1" si="927"/>
        <v/>
      </c>
      <c r="CY495" s="98" t="str">
        <f>IF(DA495&lt;&gt;"",VLOOKUP($P495&amp;" | "&amp;CY$6,'Job Master'!$F$12:$J$102,5,0),"")</f>
        <v/>
      </c>
      <c r="CZ495" s="19" t="str">
        <f>IF(DA495&lt;&gt;"",VLOOKUP($P495&amp;" | "&amp;CY$6,'Job Master'!$F$12:$J$102,3,0),"")</f>
        <v/>
      </c>
      <c r="DA495" s="19" t="str">
        <f>IFERROR(IF(AND(DH495&lt;&gt;"",VLOOKUP($P495&amp;" | "&amp;CY$6,'Job Master'!$F$12:$I$102,4,0)&lt;&gt;""),IF(WEEKDAY(DH495-VLOOKUP($P495&amp;" | "&amp;CY$6,'Job Master'!$F$12:$I$102,4,0))&lt;&gt;7,DH495-VLOOKUP($P495&amp;" | "&amp;CY$6,'Job Master'!$F$12:$I$102,4,0),DH495-VLOOKUP($P495&amp;" | "&amp;CY$6,'Job Master'!$F$12:$I$102,4,0)-1),""),"")</f>
        <v/>
      </c>
      <c r="DB495" s="73"/>
      <c r="DC495" s="123" t="str">
        <f t="shared" si="928"/>
        <v/>
      </c>
      <c r="DD495" s="123" t="str">
        <f t="shared" si="929"/>
        <v/>
      </c>
      <c r="DE495" s="97" t="str">
        <f t="shared" ca="1" si="930"/>
        <v/>
      </c>
      <c r="DF495" s="98" t="str">
        <f>IF(DH495&lt;&gt;"",VLOOKUP($P495&amp;" | "&amp;DF$6,'Job Master'!$F$12:$J$102,5,0),"")</f>
        <v/>
      </c>
      <c r="DG495" s="19" t="str">
        <f>IF(DH495&lt;&gt;"",VLOOKUP($P495&amp;" | "&amp;DF$6,'Job Master'!$F$12:$J$102,3,0),"")</f>
        <v/>
      </c>
      <c r="DH495" s="19" t="str">
        <f>IFERROR(IF(AND(DO495&lt;&gt;"",VLOOKUP($P495&amp;" | "&amp;DF$6,'Job Master'!$F$12:$I$102,4,0)&lt;&gt;""),IF(WEEKDAY(DO495-VLOOKUP($P495&amp;" | "&amp;DF$6,'Job Master'!$F$12:$I$102,4,0))&lt;&gt;7,DO495-VLOOKUP($P495&amp;" | "&amp;DF$6,'Job Master'!$F$12:$I$102,4,0),DO495-VLOOKUP($P495&amp;" | "&amp;DF$6,'Job Master'!$F$12:$I$102,4,0)-1),""),"")</f>
        <v/>
      </c>
      <c r="DI495" s="73"/>
      <c r="DJ495" s="123" t="str">
        <f t="shared" si="931"/>
        <v/>
      </c>
      <c r="DK495" s="123" t="str">
        <f t="shared" si="932"/>
        <v/>
      </c>
      <c r="DL495" s="97" t="str">
        <f t="shared" ca="1" si="933"/>
        <v/>
      </c>
      <c r="DM495" s="98" t="str">
        <f>IF(DO495&lt;&gt;"",VLOOKUP($P495&amp;" | "&amp;DM$6,'Job Master'!$F$12:$J$102,5,0),"")</f>
        <v/>
      </c>
      <c r="DN495" s="19" t="str">
        <f>IF(DO495&lt;&gt;"",VLOOKUP($P495&amp;" | "&amp;DM$6,'Job Master'!$F$12:$J$102,3,0),"")</f>
        <v/>
      </c>
      <c r="DO495" s="19" t="str">
        <f>IFERROR(IF(AND(DT495&lt;&gt;"",VLOOKUP($P495&amp;" | "&amp;DM$6,'Job Master'!$F$12:$I$102,4,0)&lt;&gt;""),IF(WEEKDAY(DT495-VLOOKUP($P495&amp;" | "&amp;DM$6,'Job Master'!$F$12:$I$102,4,0))&lt;&gt;7,DT495-VLOOKUP($P495&amp;" | "&amp;DM$6,'Job Master'!$F$12:$I$102,4,0),DT495-VLOOKUP($P495&amp;" | "&amp;DM$6,'Job Master'!$F$12:$I$102,4,0)-1),""),"")</f>
        <v/>
      </c>
      <c r="DP495" s="73"/>
      <c r="DQ495" s="123" t="str">
        <f t="shared" si="934"/>
        <v/>
      </c>
      <c r="DR495" s="123" t="str">
        <f t="shared" si="935"/>
        <v/>
      </c>
      <c r="DS495" s="97" t="str">
        <f t="shared" ca="1" si="936"/>
        <v/>
      </c>
      <c r="DT495" s="70" t="str">
        <f t="shared" si="937"/>
        <v/>
      </c>
      <c r="DU495" s="90"/>
      <c r="DV495" s="123" t="str">
        <f t="shared" si="938"/>
        <v/>
      </c>
      <c r="DW495" s="123" t="str">
        <f t="shared" si="939"/>
        <v/>
      </c>
      <c r="DX495" s="132" t="str">
        <f t="shared" ref="DX495" ca="1" si="989">IF(DT495&lt;&gt;"",IF(WEEKNUM(DT495)=WEEKNUM(TODAY()),"This Week",IF(WEEKNUM(DT495)=WEEKNUM(TODAY())+1,"Next Week",IF(WEEKNUM(DT495)=WEEKNUM(TODAY())-1,"Previous Week",""))),"")</f>
        <v/>
      </c>
      <c r="DY495" s="134" t="str">
        <f t="shared" si="941"/>
        <v/>
      </c>
      <c r="DZ495" s="95"/>
      <c r="EB495" s="8" t="str">
        <f t="shared" si="947"/>
        <v/>
      </c>
      <c r="EC495" s="8" t="str">
        <f>IF(O495&lt;&gt;"",VLOOKUP(O495,'Job Master'!$N$12:$O$18,2,0),"")</f>
        <v/>
      </c>
      <c r="ED495" s="8">
        <f t="shared" si="948"/>
        <v>19.5</v>
      </c>
      <c r="EE495" s="8">
        <f t="shared" si="949"/>
        <v>6</v>
      </c>
      <c r="EF495" s="8">
        <f t="shared" si="950"/>
        <v>-2890.5</v>
      </c>
      <c r="EG495" s="8" t="str">
        <f t="shared" si="951"/>
        <v/>
      </c>
      <c r="EH495" s="8" t="str">
        <f t="shared" si="952"/>
        <v/>
      </c>
    </row>
    <row r="496" spans="2:138" x14ac:dyDescent="0.3">
      <c r="B496" s="112"/>
      <c r="C496" s="27"/>
      <c r="D496" s="7" t="str">
        <f t="shared" si="891"/>
        <v/>
      </c>
      <c r="E496" s="25"/>
      <c r="F496" s="7" t="str">
        <f t="shared" si="891"/>
        <v/>
      </c>
      <c r="G496" s="25"/>
      <c r="H496" s="7" t="str">
        <f t="shared" si="891"/>
        <v/>
      </c>
      <c r="I496" s="25"/>
      <c r="J496" s="7" t="str">
        <f t="shared" si="891"/>
        <v/>
      </c>
      <c r="K496" s="25"/>
      <c r="L496" s="7" t="str">
        <f t="shared" si="891"/>
        <v/>
      </c>
      <c r="M496" s="25"/>
      <c r="N496" s="7" t="str">
        <f t="shared" si="985"/>
        <v/>
      </c>
      <c r="O496" s="81"/>
      <c r="P496" s="81" t="str">
        <f t="shared" si="892"/>
        <v/>
      </c>
      <c r="Q496" s="81"/>
      <c r="R496" s="7" t="str">
        <f t="shared" si="893"/>
        <v/>
      </c>
      <c r="S496" s="25"/>
      <c r="T496" s="7" t="str">
        <f t="shared" si="894"/>
        <v/>
      </c>
      <c r="U496" s="25"/>
      <c r="V496" s="7" t="str">
        <f t="shared" si="895"/>
        <v/>
      </c>
      <c r="W496" s="25"/>
      <c r="X496" s="7" t="str">
        <f t="shared" si="896"/>
        <v/>
      </c>
      <c r="Y496" s="18" t="str">
        <f t="shared" si="897"/>
        <v/>
      </c>
      <c r="Z496" s="7" t="str">
        <f t="shared" si="898"/>
        <v/>
      </c>
      <c r="AA496" s="18" t="str">
        <f t="shared" si="899"/>
        <v/>
      </c>
      <c r="AB496" s="19" t="str">
        <f t="shared" si="900"/>
        <v/>
      </c>
      <c r="AC496" s="26"/>
      <c r="AD496" s="26"/>
      <c r="AE496" s="25"/>
      <c r="AF496" s="26"/>
      <c r="AG496" s="25"/>
      <c r="AH496" s="25"/>
      <c r="AI496" s="18" t="str">
        <f t="shared" si="963"/>
        <v/>
      </c>
      <c r="AJ496" s="25"/>
      <c r="AK496" s="18" t="str">
        <f t="shared" si="964"/>
        <v/>
      </c>
      <c r="AL496" s="79"/>
      <c r="AM496" s="126" t="str">
        <f t="shared" si="965"/>
        <v/>
      </c>
      <c r="AN496" s="128" t="str">
        <f>IF(AP496&lt;&gt;"",VLOOKUP($P496&amp;" | "&amp;AN$6,'Job Master'!$F$12:$J$102,5,0),"")</f>
        <v/>
      </c>
      <c r="AO496" s="19" t="str">
        <f>IF(AP496&lt;&gt;"",VLOOKUP($P496&amp;" | "&amp;AN$6,'Job Master'!$F$12:$J$102,3,0),"")</f>
        <v/>
      </c>
      <c r="AP496" s="19" t="str">
        <f>IFERROR(IF(AND(AW496&lt;&gt;"",VLOOKUP($P496&amp;" | "&amp;AN$6,'Job Master'!$F$12:$I$102,4,0)&lt;&gt;""),IF(WEEKDAY(AW496-VLOOKUP($P496&amp;" | "&amp;AN$6,'Job Master'!$F$12:$I$102,4,0))&lt;&gt;7,AW496-VLOOKUP($P496&amp;" | "&amp;AN$6,'Job Master'!$F$12:$I$102,4,0),AW496-VLOOKUP($P496&amp;" | "&amp;AN$6,'Job Master'!$F$12:$I$102,4,0)-1),""),"")</f>
        <v/>
      </c>
      <c r="AQ496" s="73"/>
      <c r="AR496" s="123" t="str">
        <f t="shared" si="901"/>
        <v/>
      </c>
      <c r="AS496" s="123" t="str">
        <f t="shared" si="902"/>
        <v/>
      </c>
      <c r="AT496" s="97" t="str">
        <f t="shared" ca="1" si="903"/>
        <v/>
      </c>
      <c r="AU496" s="98" t="str">
        <f>IF(AW496&lt;&gt;"",VLOOKUP($P496&amp;" | "&amp;AU$6,'Job Master'!$F$12:$J$102,5,0),"")</f>
        <v/>
      </c>
      <c r="AV496" s="19" t="str">
        <f>IF(AW496&lt;&gt;"",VLOOKUP($P496&amp;" | "&amp;AU$6,'Job Master'!$F$12:$J$102,3,0),"")</f>
        <v/>
      </c>
      <c r="AW496" s="19" t="str">
        <f>IFERROR(IF(AND(BD496&lt;&gt;"",VLOOKUP($P496&amp;" | "&amp;AU$6,'Job Master'!$F$12:$I$102,4,0)&lt;&gt;""),IF(WEEKDAY(BD496-VLOOKUP($P496&amp;" | "&amp;AU$6,'Job Master'!$F$12:$I$102,4,0))&lt;&gt;7,BD496-VLOOKUP($P496&amp;" | "&amp;AU$6,'Job Master'!$F$12:$I$102,4,0),BD496-VLOOKUP($P496&amp;" | "&amp;AU$6,'Job Master'!$F$12:$I$102,4,0)-1),""),"")</f>
        <v/>
      </c>
      <c r="AX496" s="73"/>
      <c r="AY496" s="123" t="str">
        <f t="shared" si="904"/>
        <v/>
      </c>
      <c r="AZ496" s="123" t="str">
        <f t="shared" si="905"/>
        <v/>
      </c>
      <c r="BA496" s="97" t="str">
        <f t="shared" ca="1" si="906"/>
        <v/>
      </c>
      <c r="BB496" s="98" t="str">
        <f>IF(BD496&lt;&gt;"",VLOOKUP($P496&amp;" | "&amp;BB$6,'Job Master'!$F$12:$J$102,5,0),"")</f>
        <v/>
      </c>
      <c r="BC496" s="19" t="str">
        <f>IF(BD496&lt;&gt;"",VLOOKUP($P496&amp;" | "&amp;BB$6,'Job Master'!$F$12:$J$102,3,0),"")</f>
        <v/>
      </c>
      <c r="BD496" s="19" t="str">
        <f>IFERROR(IF(AND(BK496&lt;&gt;"",VLOOKUP($P496&amp;" | "&amp;BB$6,'Job Master'!$F$12:$I$102,4,0)&lt;&gt;""),IF(WEEKDAY(BK496-VLOOKUP($P496&amp;" | "&amp;BB$6,'Job Master'!$F$12:$I$102,4,0))&lt;&gt;7,BK496-VLOOKUP($P496&amp;" | "&amp;BB$6,'Job Master'!$F$12:$I$102,4,0),BK496-VLOOKUP($P496&amp;" | "&amp;BB$6,'Job Master'!$F$12:$I$102,4,0)-1),""),"")</f>
        <v/>
      </c>
      <c r="BE496" s="73"/>
      <c r="BF496" s="123" t="str">
        <f t="shared" si="907"/>
        <v/>
      </c>
      <c r="BG496" s="123" t="str">
        <f t="shared" si="908"/>
        <v/>
      </c>
      <c r="BH496" s="97" t="str">
        <f t="shared" ca="1" si="909"/>
        <v/>
      </c>
      <c r="BI496" s="98" t="str">
        <f>IF(BK496&lt;&gt;"",VLOOKUP($P496&amp;" | "&amp;BI$6,'Job Master'!$F$12:$J$102,5,0),"")</f>
        <v/>
      </c>
      <c r="BJ496" s="19" t="str">
        <f>IF(BK496&lt;&gt;"",VLOOKUP($P496&amp;" | "&amp;BI$6,'Job Master'!$F$12:$J$102,3,0),"")</f>
        <v/>
      </c>
      <c r="BK496" s="19" t="str">
        <f>IFERROR(IF(AND(BR496&lt;&gt;"",VLOOKUP($P496&amp;" | "&amp;BI$6,'Job Master'!$F$12:$I$102,4,0)&lt;&gt;""),IF(WEEKDAY(BR496-VLOOKUP($P496&amp;" | "&amp;BI$6,'Job Master'!$F$12:$I$102,4,0))&lt;&gt;7,BR496-VLOOKUP($P496&amp;" | "&amp;BI$6,'Job Master'!$F$12:$I$102,4,0),BR496-VLOOKUP($P496&amp;" | "&amp;BI$6,'Job Master'!$F$12:$I$102,4,0)-1),""),"")</f>
        <v/>
      </c>
      <c r="BL496" s="73"/>
      <c r="BM496" s="123" t="str">
        <f t="shared" si="910"/>
        <v/>
      </c>
      <c r="BN496" s="123" t="str">
        <f t="shared" si="911"/>
        <v/>
      </c>
      <c r="BO496" s="97" t="str">
        <f t="shared" ca="1" si="912"/>
        <v/>
      </c>
      <c r="BP496" s="98" t="str">
        <f>IF(BR496&lt;&gt;"",VLOOKUP($P496&amp;" | "&amp;BP$6,'Job Master'!$F$12:$J$102,5,0),"")</f>
        <v/>
      </c>
      <c r="BQ496" s="19" t="str">
        <f>IF(BR496&lt;&gt;"",VLOOKUP($P496&amp;" | "&amp;BP$6,'Job Master'!$F$12:$J$102,3,0),"")</f>
        <v/>
      </c>
      <c r="BR496" s="19" t="str">
        <f>IFERROR(IF(AND(BY496&lt;&gt;"",VLOOKUP($P496&amp;" | "&amp;BP$6,'Job Master'!$F$12:$I$102,4,0)&lt;&gt;""),IF(WEEKDAY(BY496-VLOOKUP($P496&amp;" | "&amp;BP$6,'Job Master'!$F$12:$I$102,4,0))&lt;&gt;7,BY496-VLOOKUP($P496&amp;" | "&amp;BP$6,'Job Master'!$F$12:$I$102,4,0),BY496-VLOOKUP($P496&amp;" | "&amp;BP$6,'Job Master'!$F$12:$I$102,4,0)-1),""),"")</f>
        <v/>
      </c>
      <c r="BS496" s="73"/>
      <c r="BT496" s="123" t="str">
        <f t="shared" si="913"/>
        <v/>
      </c>
      <c r="BU496" s="123" t="str">
        <f t="shared" si="914"/>
        <v/>
      </c>
      <c r="BV496" s="97" t="str">
        <f t="shared" ca="1" si="915"/>
        <v/>
      </c>
      <c r="BW496" s="98" t="str">
        <f>IF(BY496&lt;&gt;"",VLOOKUP($P496&amp;" | "&amp;BW$6,'Job Master'!$F$12:$J$102,5,0),"")</f>
        <v/>
      </c>
      <c r="BX496" s="19" t="str">
        <f>IF(BY496&lt;&gt;"",VLOOKUP($P496&amp;" | "&amp;BW$6,'Job Master'!$F$12:$J$102,3,0),"")</f>
        <v/>
      </c>
      <c r="BY496" s="19" t="str">
        <f>IFERROR(IF(AND(CF496&lt;&gt;"",VLOOKUP($P496&amp;" | "&amp;BW$6,'Job Master'!$F$12:$I$102,4,0)&lt;&gt;""),IF(WEEKDAY(CF496-VLOOKUP($P496&amp;" | "&amp;BW$6,'Job Master'!$F$12:$I$102,4,0))&lt;&gt;7,CF496-VLOOKUP($P496&amp;" | "&amp;BW$6,'Job Master'!$F$12:$I$102,4,0),CF496-VLOOKUP($P496&amp;" | "&amp;BW$6,'Job Master'!$F$12:$I$102,4,0)-1),""),"")</f>
        <v/>
      </c>
      <c r="BZ496" s="73"/>
      <c r="CA496" s="123" t="str">
        <f t="shared" si="916"/>
        <v/>
      </c>
      <c r="CB496" s="123" t="str">
        <f t="shared" si="917"/>
        <v/>
      </c>
      <c r="CC496" s="97" t="str">
        <f t="shared" ca="1" si="918"/>
        <v/>
      </c>
      <c r="CD496" s="98" t="str">
        <f>IF(CF496&lt;&gt;"",VLOOKUP($P496&amp;" | "&amp;CD$6,'Job Master'!$F$12:$J$102,5,0),"")</f>
        <v/>
      </c>
      <c r="CE496" s="19" t="str">
        <f>IF(CF496&lt;&gt;"",VLOOKUP($P496&amp;" | "&amp;CD$6,'Job Master'!$F$12:$J$102,3,0),"")</f>
        <v/>
      </c>
      <c r="CF496" s="19" t="str">
        <f>IFERROR(IF(AND(CM496&lt;&gt;"",VLOOKUP($P496&amp;" | "&amp;CD$6,'Job Master'!$F$12:$I$102,4,0)&lt;&gt;""),IF(WEEKDAY(CM496-VLOOKUP($P496&amp;" | "&amp;CD$6,'Job Master'!$F$12:$I$102,4,0))&lt;&gt;7,CM496-VLOOKUP($P496&amp;" | "&amp;CD$6,'Job Master'!$F$12:$I$102,4,0),CM496-VLOOKUP($P496&amp;" | "&amp;CD$6,'Job Master'!$F$12:$I$102,4,0)-1),""),"")</f>
        <v/>
      </c>
      <c r="CG496" s="73"/>
      <c r="CH496" s="123" t="str">
        <f t="shared" si="919"/>
        <v/>
      </c>
      <c r="CI496" s="123" t="str">
        <f t="shared" si="920"/>
        <v/>
      </c>
      <c r="CJ496" s="97" t="str">
        <f t="shared" ca="1" si="921"/>
        <v/>
      </c>
      <c r="CK496" s="98" t="str">
        <f>IF(CM496&lt;&gt;"",VLOOKUP($P496&amp;" | "&amp;CK$6,'Job Master'!$F$12:$J$102,5,0),"")</f>
        <v/>
      </c>
      <c r="CL496" s="19" t="str">
        <f>IF(CM496&lt;&gt;"",VLOOKUP($P496&amp;" | "&amp;CK$6,'Job Master'!$F$12:$J$102,3,0),"")</f>
        <v/>
      </c>
      <c r="CM496" s="19" t="str">
        <f>IFERROR(IF(AND(CT496&lt;&gt;"",VLOOKUP($P496&amp;" | "&amp;CK$6,'Job Master'!$F$12:$I$102,4,0)&lt;&gt;""),IF(WEEKDAY(CT496-VLOOKUP($P496&amp;" | "&amp;CK$6,'Job Master'!$F$12:$I$102,4,0))&lt;&gt;7,CT496-VLOOKUP($P496&amp;" | "&amp;CK$6,'Job Master'!$F$12:$I$102,4,0),CT496-VLOOKUP($P496&amp;" | "&amp;CK$6,'Job Master'!$F$12:$I$102,4,0)-1),""),"")</f>
        <v/>
      </c>
      <c r="CN496" s="73"/>
      <c r="CO496" s="123" t="str">
        <f t="shared" si="922"/>
        <v/>
      </c>
      <c r="CP496" s="123" t="str">
        <f t="shared" si="923"/>
        <v/>
      </c>
      <c r="CQ496" s="97" t="str">
        <f t="shared" ca="1" si="924"/>
        <v/>
      </c>
      <c r="CR496" s="98" t="str">
        <f>IF(CT496&lt;&gt;"",VLOOKUP($P496&amp;" | "&amp;CR$6,'Job Master'!$F$12:$J$102,5,0),"")</f>
        <v/>
      </c>
      <c r="CS496" s="19" t="str">
        <f>IF(CT496&lt;&gt;"",VLOOKUP($P496&amp;" | "&amp;CR$6,'Job Master'!$F$12:$J$102,3,0),"")</f>
        <v/>
      </c>
      <c r="CT496" s="19" t="str">
        <f>IFERROR(IF(AND(DA496&lt;&gt;"",VLOOKUP($P496&amp;" | "&amp;CR$6,'Job Master'!$F$12:$I$102,4,0)&lt;&gt;""),IF(WEEKDAY(DA496-VLOOKUP($P496&amp;" | "&amp;CR$6,'Job Master'!$F$12:$I$102,4,0))&lt;&gt;7,DA496-VLOOKUP($P496&amp;" | "&amp;CR$6,'Job Master'!$F$12:$I$102,4,0),DA496-VLOOKUP($P496&amp;" | "&amp;CR$6,'Job Master'!$F$12:$I$102,4,0)-1),""),"")</f>
        <v/>
      </c>
      <c r="CU496" s="73"/>
      <c r="CV496" s="123" t="str">
        <f t="shared" si="925"/>
        <v/>
      </c>
      <c r="CW496" s="123" t="str">
        <f t="shared" si="926"/>
        <v/>
      </c>
      <c r="CX496" s="97" t="str">
        <f t="shared" ca="1" si="927"/>
        <v/>
      </c>
      <c r="CY496" s="98" t="str">
        <f>IF(DA496&lt;&gt;"",VLOOKUP($P496&amp;" | "&amp;CY$6,'Job Master'!$F$12:$J$102,5,0),"")</f>
        <v/>
      </c>
      <c r="CZ496" s="19" t="str">
        <f>IF(DA496&lt;&gt;"",VLOOKUP($P496&amp;" | "&amp;CY$6,'Job Master'!$F$12:$J$102,3,0),"")</f>
        <v/>
      </c>
      <c r="DA496" s="19" t="str">
        <f>IFERROR(IF(AND(DH496&lt;&gt;"",VLOOKUP($P496&amp;" | "&amp;CY$6,'Job Master'!$F$12:$I$102,4,0)&lt;&gt;""),IF(WEEKDAY(DH496-VLOOKUP($P496&amp;" | "&amp;CY$6,'Job Master'!$F$12:$I$102,4,0))&lt;&gt;7,DH496-VLOOKUP($P496&amp;" | "&amp;CY$6,'Job Master'!$F$12:$I$102,4,0),DH496-VLOOKUP($P496&amp;" | "&amp;CY$6,'Job Master'!$F$12:$I$102,4,0)-1),""),"")</f>
        <v/>
      </c>
      <c r="DB496" s="73"/>
      <c r="DC496" s="123" t="str">
        <f t="shared" si="928"/>
        <v/>
      </c>
      <c r="DD496" s="123" t="str">
        <f t="shared" si="929"/>
        <v/>
      </c>
      <c r="DE496" s="97" t="str">
        <f t="shared" ca="1" si="930"/>
        <v/>
      </c>
      <c r="DF496" s="98" t="str">
        <f>IF(DH496&lt;&gt;"",VLOOKUP($P496&amp;" | "&amp;DF$6,'Job Master'!$F$12:$J$102,5,0),"")</f>
        <v/>
      </c>
      <c r="DG496" s="19" t="str">
        <f>IF(DH496&lt;&gt;"",VLOOKUP($P496&amp;" | "&amp;DF$6,'Job Master'!$F$12:$J$102,3,0),"")</f>
        <v/>
      </c>
      <c r="DH496" s="19" t="str">
        <f>IFERROR(IF(AND(DO496&lt;&gt;"",VLOOKUP($P496&amp;" | "&amp;DF$6,'Job Master'!$F$12:$I$102,4,0)&lt;&gt;""),IF(WEEKDAY(DO496-VLOOKUP($P496&amp;" | "&amp;DF$6,'Job Master'!$F$12:$I$102,4,0))&lt;&gt;7,DO496-VLOOKUP($P496&amp;" | "&amp;DF$6,'Job Master'!$F$12:$I$102,4,0),DO496-VLOOKUP($P496&amp;" | "&amp;DF$6,'Job Master'!$F$12:$I$102,4,0)-1),""),"")</f>
        <v/>
      </c>
      <c r="DI496" s="73"/>
      <c r="DJ496" s="123" t="str">
        <f t="shared" si="931"/>
        <v/>
      </c>
      <c r="DK496" s="123" t="str">
        <f t="shared" si="932"/>
        <v/>
      </c>
      <c r="DL496" s="97" t="str">
        <f t="shared" ca="1" si="933"/>
        <v/>
      </c>
      <c r="DM496" s="98" t="str">
        <f>IF(DO496&lt;&gt;"",VLOOKUP($P496&amp;" | "&amp;DM$6,'Job Master'!$F$12:$J$102,5,0),"")</f>
        <v/>
      </c>
      <c r="DN496" s="19" t="str">
        <f>IF(DO496&lt;&gt;"",VLOOKUP($P496&amp;" | "&amp;DM$6,'Job Master'!$F$12:$J$102,3,0),"")</f>
        <v/>
      </c>
      <c r="DO496" s="19" t="str">
        <f>IFERROR(IF(AND(DT496&lt;&gt;"",VLOOKUP($P496&amp;" | "&amp;DM$6,'Job Master'!$F$12:$I$102,4,0)&lt;&gt;""),IF(WEEKDAY(DT496-VLOOKUP($P496&amp;" | "&amp;DM$6,'Job Master'!$F$12:$I$102,4,0))&lt;&gt;7,DT496-VLOOKUP($P496&amp;" | "&amp;DM$6,'Job Master'!$F$12:$I$102,4,0),DT496-VLOOKUP($P496&amp;" | "&amp;DM$6,'Job Master'!$F$12:$I$102,4,0)-1),""),"")</f>
        <v/>
      </c>
      <c r="DP496" s="73"/>
      <c r="DQ496" s="123" t="str">
        <f t="shared" si="934"/>
        <v/>
      </c>
      <c r="DR496" s="123" t="str">
        <f t="shared" si="935"/>
        <v/>
      </c>
      <c r="DS496" s="97" t="str">
        <f t="shared" ca="1" si="936"/>
        <v/>
      </c>
      <c r="DT496" s="70" t="str">
        <f t="shared" si="937"/>
        <v/>
      </c>
      <c r="DU496" s="90"/>
      <c r="DV496" s="123" t="str">
        <f t="shared" si="938"/>
        <v/>
      </c>
      <c r="DW496" s="123" t="str">
        <f t="shared" si="939"/>
        <v/>
      </c>
      <c r="DX496" s="132" t="str">
        <f t="shared" ref="DX496" ca="1" si="990">IF(DT496&lt;&gt;"",IF(WEEKNUM(DT496)=WEEKNUM(TODAY()),"This Week",IF(WEEKNUM(DT496)=WEEKNUM(TODAY())+1,"Next Week",IF(WEEKNUM(DT496)=WEEKNUM(TODAY())-1,"Previous Week",""))),"")</f>
        <v/>
      </c>
      <c r="DY496" s="134" t="str">
        <f t="shared" si="941"/>
        <v/>
      </c>
      <c r="DZ496" s="95"/>
      <c r="EB496" s="8" t="str">
        <f t="shared" si="947"/>
        <v/>
      </c>
      <c r="EC496" s="8" t="str">
        <f>IF(O496&lt;&gt;"",VLOOKUP(O496,'Job Master'!$N$12:$O$18,2,0),"")</f>
        <v/>
      </c>
      <c r="ED496" s="8">
        <f t="shared" si="948"/>
        <v>19.5</v>
      </c>
      <c r="EE496" s="8">
        <f t="shared" si="949"/>
        <v>6</v>
      </c>
      <c r="EF496" s="8">
        <f t="shared" si="950"/>
        <v>-2896.5</v>
      </c>
      <c r="EG496" s="8" t="str">
        <f t="shared" si="951"/>
        <v/>
      </c>
      <c r="EH496" s="8" t="str">
        <f t="shared" si="952"/>
        <v/>
      </c>
    </row>
    <row r="497" spans="2:138" x14ac:dyDescent="0.3">
      <c r="B497" s="112"/>
      <c r="C497" s="27"/>
      <c r="D497" s="7" t="str">
        <f t="shared" si="891"/>
        <v/>
      </c>
      <c r="E497" s="25"/>
      <c r="F497" s="7" t="str">
        <f t="shared" si="891"/>
        <v/>
      </c>
      <c r="G497" s="25"/>
      <c r="H497" s="7" t="str">
        <f t="shared" si="891"/>
        <v/>
      </c>
      <c r="I497" s="25"/>
      <c r="J497" s="7" t="str">
        <f t="shared" si="891"/>
        <v/>
      </c>
      <c r="K497" s="25"/>
      <c r="L497" s="7" t="str">
        <f t="shared" si="891"/>
        <v/>
      </c>
      <c r="M497" s="25"/>
      <c r="N497" s="7" t="str">
        <f t="shared" si="985"/>
        <v/>
      </c>
      <c r="O497" s="81"/>
      <c r="P497" s="81" t="str">
        <f t="shared" si="892"/>
        <v/>
      </c>
      <c r="Q497" s="81"/>
      <c r="R497" s="7" t="str">
        <f t="shared" si="893"/>
        <v/>
      </c>
      <c r="S497" s="25"/>
      <c r="T497" s="7" t="str">
        <f t="shared" si="894"/>
        <v/>
      </c>
      <c r="U497" s="25"/>
      <c r="V497" s="7" t="str">
        <f t="shared" si="895"/>
        <v/>
      </c>
      <c r="W497" s="25"/>
      <c r="X497" s="7" t="str">
        <f t="shared" si="896"/>
        <v/>
      </c>
      <c r="Y497" s="18" t="str">
        <f t="shared" si="897"/>
        <v/>
      </c>
      <c r="Z497" s="7" t="str">
        <f t="shared" si="898"/>
        <v/>
      </c>
      <c r="AA497" s="18" t="str">
        <f t="shared" si="899"/>
        <v/>
      </c>
      <c r="AB497" s="19" t="str">
        <f t="shared" si="900"/>
        <v/>
      </c>
      <c r="AC497" s="26"/>
      <c r="AD497" s="26"/>
      <c r="AE497" s="25"/>
      <c r="AF497" s="26"/>
      <c r="AG497" s="25"/>
      <c r="AH497" s="25"/>
      <c r="AI497" s="18" t="str">
        <f t="shared" si="963"/>
        <v/>
      </c>
      <c r="AJ497" s="25"/>
      <c r="AK497" s="18" t="str">
        <f t="shared" si="964"/>
        <v/>
      </c>
      <c r="AL497" s="79"/>
      <c r="AM497" s="126" t="str">
        <f t="shared" si="965"/>
        <v/>
      </c>
      <c r="AN497" s="128" t="str">
        <f>IF(AP497&lt;&gt;"",VLOOKUP($P497&amp;" | "&amp;AN$6,'Job Master'!$F$12:$J$102,5,0),"")</f>
        <v/>
      </c>
      <c r="AO497" s="19" t="str">
        <f>IF(AP497&lt;&gt;"",VLOOKUP($P497&amp;" | "&amp;AN$6,'Job Master'!$F$12:$J$102,3,0),"")</f>
        <v/>
      </c>
      <c r="AP497" s="19" t="str">
        <f>IFERROR(IF(AND(AW497&lt;&gt;"",VLOOKUP($P497&amp;" | "&amp;AN$6,'Job Master'!$F$12:$I$102,4,0)&lt;&gt;""),IF(WEEKDAY(AW497-VLOOKUP($P497&amp;" | "&amp;AN$6,'Job Master'!$F$12:$I$102,4,0))&lt;&gt;7,AW497-VLOOKUP($P497&amp;" | "&amp;AN$6,'Job Master'!$F$12:$I$102,4,0),AW497-VLOOKUP($P497&amp;" | "&amp;AN$6,'Job Master'!$F$12:$I$102,4,0)-1),""),"")</f>
        <v/>
      </c>
      <c r="AQ497" s="73"/>
      <c r="AR497" s="123" t="str">
        <f t="shared" si="901"/>
        <v/>
      </c>
      <c r="AS497" s="123" t="str">
        <f t="shared" si="902"/>
        <v/>
      </c>
      <c r="AT497" s="97" t="str">
        <f t="shared" ca="1" si="903"/>
        <v/>
      </c>
      <c r="AU497" s="98" t="str">
        <f>IF(AW497&lt;&gt;"",VLOOKUP($P497&amp;" | "&amp;AU$6,'Job Master'!$F$12:$J$102,5,0),"")</f>
        <v/>
      </c>
      <c r="AV497" s="19" t="str">
        <f>IF(AW497&lt;&gt;"",VLOOKUP($P497&amp;" | "&amp;AU$6,'Job Master'!$F$12:$J$102,3,0),"")</f>
        <v/>
      </c>
      <c r="AW497" s="19" t="str">
        <f>IFERROR(IF(AND(BD497&lt;&gt;"",VLOOKUP($P497&amp;" | "&amp;AU$6,'Job Master'!$F$12:$I$102,4,0)&lt;&gt;""),IF(WEEKDAY(BD497-VLOOKUP($P497&amp;" | "&amp;AU$6,'Job Master'!$F$12:$I$102,4,0))&lt;&gt;7,BD497-VLOOKUP($P497&amp;" | "&amp;AU$6,'Job Master'!$F$12:$I$102,4,0),BD497-VLOOKUP($P497&amp;" | "&amp;AU$6,'Job Master'!$F$12:$I$102,4,0)-1),""),"")</f>
        <v/>
      </c>
      <c r="AX497" s="73"/>
      <c r="AY497" s="123" t="str">
        <f t="shared" si="904"/>
        <v/>
      </c>
      <c r="AZ497" s="123" t="str">
        <f t="shared" si="905"/>
        <v/>
      </c>
      <c r="BA497" s="97" t="str">
        <f t="shared" ca="1" si="906"/>
        <v/>
      </c>
      <c r="BB497" s="98" t="str">
        <f>IF(BD497&lt;&gt;"",VLOOKUP($P497&amp;" | "&amp;BB$6,'Job Master'!$F$12:$J$102,5,0),"")</f>
        <v/>
      </c>
      <c r="BC497" s="19" t="str">
        <f>IF(BD497&lt;&gt;"",VLOOKUP($P497&amp;" | "&amp;BB$6,'Job Master'!$F$12:$J$102,3,0),"")</f>
        <v/>
      </c>
      <c r="BD497" s="19" t="str">
        <f>IFERROR(IF(AND(BK497&lt;&gt;"",VLOOKUP($P497&amp;" | "&amp;BB$6,'Job Master'!$F$12:$I$102,4,0)&lt;&gt;""),IF(WEEKDAY(BK497-VLOOKUP($P497&amp;" | "&amp;BB$6,'Job Master'!$F$12:$I$102,4,0))&lt;&gt;7,BK497-VLOOKUP($P497&amp;" | "&amp;BB$6,'Job Master'!$F$12:$I$102,4,0),BK497-VLOOKUP($P497&amp;" | "&amp;BB$6,'Job Master'!$F$12:$I$102,4,0)-1),""),"")</f>
        <v/>
      </c>
      <c r="BE497" s="73"/>
      <c r="BF497" s="123" t="str">
        <f t="shared" si="907"/>
        <v/>
      </c>
      <c r="BG497" s="123" t="str">
        <f t="shared" si="908"/>
        <v/>
      </c>
      <c r="BH497" s="97" t="str">
        <f t="shared" ca="1" si="909"/>
        <v/>
      </c>
      <c r="BI497" s="98" t="str">
        <f>IF(BK497&lt;&gt;"",VLOOKUP($P497&amp;" | "&amp;BI$6,'Job Master'!$F$12:$J$102,5,0),"")</f>
        <v/>
      </c>
      <c r="BJ497" s="19" t="str">
        <f>IF(BK497&lt;&gt;"",VLOOKUP($P497&amp;" | "&amp;BI$6,'Job Master'!$F$12:$J$102,3,0),"")</f>
        <v/>
      </c>
      <c r="BK497" s="19" t="str">
        <f>IFERROR(IF(AND(BR497&lt;&gt;"",VLOOKUP($P497&amp;" | "&amp;BI$6,'Job Master'!$F$12:$I$102,4,0)&lt;&gt;""),IF(WEEKDAY(BR497-VLOOKUP($P497&amp;" | "&amp;BI$6,'Job Master'!$F$12:$I$102,4,0))&lt;&gt;7,BR497-VLOOKUP($P497&amp;" | "&amp;BI$6,'Job Master'!$F$12:$I$102,4,0),BR497-VLOOKUP($P497&amp;" | "&amp;BI$6,'Job Master'!$F$12:$I$102,4,0)-1),""),"")</f>
        <v/>
      </c>
      <c r="BL497" s="73"/>
      <c r="BM497" s="123" t="str">
        <f t="shared" si="910"/>
        <v/>
      </c>
      <c r="BN497" s="123" t="str">
        <f t="shared" si="911"/>
        <v/>
      </c>
      <c r="BO497" s="97" t="str">
        <f t="shared" ca="1" si="912"/>
        <v/>
      </c>
      <c r="BP497" s="98" t="str">
        <f>IF(BR497&lt;&gt;"",VLOOKUP($P497&amp;" | "&amp;BP$6,'Job Master'!$F$12:$J$102,5,0),"")</f>
        <v/>
      </c>
      <c r="BQ497" s="19" t="str">
        <f>IF(BR497&lt;&gt;"",VLOOKUP($P497&amp;" | "&amp;BP$6,'Job Master'!$F$12:$J$102,3,0),"")</f>
        <v/>
      </c>
      <c r="BR497" s="19" t="str">
        <f>IFERROR(IF(AND(BY497&lt;&gt;"",VLOOKUP($P497&amp;" | "&amp;BP$6,'Job Master'!$F$12:$I$102,4,0)&lt;&gt;""),IF(WEEKDAY(BY497-VLOOKUP($P497&amp;" | "&amp;BP$6,'Job Master'!$F$12:$I$102,4,0))&lt;&gt;7,BY497-VLOOKUP($P497&amp;" | "&amp;BP$6,'Job Master'!$F$12:$I$102,4,0),BY497-VLOOKUP($P497&amp;" | "&amp;BP$6,'Job Master'!$F$12:$I$102,4,0)-1),""),"")</f>
        <v/>
      </c>
      <c r="BS497" s="73"/>
      <c r="BT497" s="123" t="str">
        <f t="shared" si="913"/>
        <v/>
      </c>
      <c r="BU497" s="123" t="str">
        <f t="shared" si="914"/>
        <v/>
      </c>
      <c r="BV497" s="97" t="str">
        <f t="shared" ca="1" si="915"/>
        <v/>
      </c>
      <c r="BW497" s="98" t="str">
        <f>IF(BY497&lt;&gt;"",VLOOKUP($P497&amp;" | "&amp;BW$6,'Job Master'!$F$12:$J$102,5,0),"")</f>
        <v/>
      </c>
      <c r="BX497" s="19" t="str">
        <f>IF(BY497&lt;&gt;"",VLOOKUP($P497&amp;" | "&amp;BW$6,'Job Master'!$F$12:$J$102,3,0),"")</f>
        <v/>
      </c>
      <c r="BY497" s="19" t="str">
        <f>IFERROR(IF(AND(CF497&lt;&gt;"",VLOOKUP($P497&amp;" | "&amp;BW$6,'Job Master'!$F$12:$I$102,4,0)&lt;&gt;""),IF(WEEKDAY(CF497-VLOOKUP($P497&amp;" | "&amp;BW$6,'Job Master'!$F$12:$I$102,4,0))&lt;&gt;7,CF497-VLOOKUP($P497&amp;" | "&amp;BW$6,'Job Master'!$F$12:$I$102,4,0),CF497-VLOOKUP($P497&amp;" | "&amp;BW$6,'Job Master'!$F$12:$I$102,4,0)-1),""),"")</f>
        <v/>
      </c>
      <c r="BZ497" s="73"/>
      <c r="CA497" s="123" t="str">
        <f t="shared" si="916"/>
        <v/>
      </c>
      <c r="CB497" s="123" t="str">
        <f t="shared" si="917"/>
        <v/>
      </c>
      <c r="CC497" s="97" t="str">
        <f t="shared" ca="1" si="918"/>
        <v/>
      </c>
      <c r="CD497" s="98" t="str">
        <f>IF(CF497&lt;&gt;"",VLOOKUP($P497&amp;" | "&amp;CD$6,'Job Master'!$F$12:$J$102,5,0),"")</f>
        <v/>
      </c>
      <c r="CE497" s="19" t="str">
        <f>IF(CF497&lt;&gt;"",VLOOKUP($P497&amp;" | "&amp;CD$6,'Job Master'!$F$12:$J$102,3,0),"")</f>
        <v/>
      </c>
      <c r="CF497" s="19" t="str">
        <f>IFERROR(IF(AND(CM497&lt;&gt;"",VLOOKUP($P497&amp;" | "&amp;CD$6,'Job Master'!$F$12:$I$102,4,0)&lt;&gt;""),IF(WEEKDAY(CM497-VLOOKUP($P497&amp;" | "&amp;CD$6,'Job Master'!$F$12:$I$102,4,0))&lt;&gt;7,CM497-VLOOKUP($P497&amp;" | "&amp;CD$6,'Job Master'!$F$12:$I$102,4,0),CM497-VLOOKUP($P497&amp;" | "&amp;CD$6,'Job Master'!$F$12:$I$102,4,0)-1),""),"")</f>
        <v/>
      </c>
      <c r="CG497" s="73"/>
      <c r="CH497" s="123" t="str">
        <f t="shared" si="919"/>
        <v/>
      </c>
      <c r="CI497" s="123" t="str">
        <f t="shared" si="920"/>
        <v/>
      </c>
      <c r="CJ497" s="97" t="str">
        <f t="shared" ca="1" si="921"/>
        <v/>
      </c>
      <c r="CK497" s="98" t="str">
        <f>IF(CM497&lt;&gt;"",VLOOKUP($P497&amp;" | "&amp;CK$6,'Job Master'!$F$12:$J$102,5,0),"")</f>
        <v/>
      </c>
      <c r="CL497" s="19" t="str">
        <f>IF(CM497&lt;&gt;"",VLOOKUP($P497&amp;" | "&amp;CK$6,'Job Master'!$F$12:$J$102,3,0),"")</f>
        <v/>
      </c>
      <c r="CM497" s="19" t="str">
        <f>IFERROR(IF(AND(CT497&lt;&gt;"",VLOOKUP($P497&amp;" | "&amp;CK$6,'Job Master'!$F$12:$I$102,4,0)&lt;&gt;""),IF(WEEKDAY(CT497-VLOOKUP($P497&amp;" | "&amp;CK$6,'Job Master'!$F$12:$I$102,4,0))&lt;&gt;7,CT497-VLOOKUP($P497&amp;" | "&amp;CK$6,'Job Master'!$F$12:$I$102,4,0),CT497-VLOOKUP($P497&amp;" | "&amp;CK$6,'Job Master'!$F$12:$I$102,4,0)-1),""),"")</f>
        <v/>
      </c>
      <c r="CN497" s="73"/>
      <c r="CO497" s="123" t="str">
        <f t="shared" si="922"/>
        <v/>
      </c>
      <c r="CP497" s="123" t="str">
        <f t="shared" si="923"/>
        <v/>
      </c>
      <c r="CQ497" s="97" t="str">
        <f t="shared" ca="1" si="924"/>
        <v/>
      </c>
      <c r="CR497" s="98" t="str">
        <f>IF(CT497&lt;&gt;"",VLOOKUP($P497&amp;" | "&amp;CR$6,'Job Master'!$F$12:$J$102,5,0),"")</f>
        <v/>
      </c>
      <c r="CS497" s="19" t="str">
        <f>IF(CT497&lt;&gt;"",VLOOKUP($P497&amp;" | "&amp;CR$6,'Job Master'!$F$12:$J$102,3,0),"")</f>
        <v/>
      </c>
      <c r="CT497" s="19" t="str">
        <f>IFERROR(IF(AND(DA497&lt;&gt;"",VLOOKUP($P497&amp;" | "&amp;CR$6,'Job Master'!$F$12:$I$102,4,0)&lt;&gt;""),IF(WEEKDAY(DA497-VLOOKUP($P497&amp;" | "&amp;CR$6,'Job Master'!$F$12:$I$102,4,0))&lt;&gt;7,DA497-VLOOKUP($P497&amp;" | "&amp;CR$6,'Job Master'!$F$12:$I$102,4,0),DA497-VLOOKUP($P497&amp;" | "&amp;CR$6,'Job Master'!$F$12:$I$102,4,0)-1),""),"")</f>
        <v/>
      </c>
      <c r="CU497" s="73"/>
      <c r="CV497" s="123" t="str">
        <f t="shared" si="925"/>
        <v/>
      </c>
      <c r="CW497" s="123" t="str">
        <f t="shared" si="926"/>
        <v/>
      </c>
      <c r="CX497" s="97" t="str">
        <f t="shared" ca="1" si="927"/>
        <v/>
      </c>
      <c r="CY497" s="98" t="str">
        <f>IF(DA497&lt;&gt;"",VLOOKUP($P497&amp;" | "&amp;CY$6,'Job Master'!$F$12:$J$102,5,0),"")</f>
        <v/>
      </c>
      <c r="CZ497" s="19" t="str">
        <f>IF(DA497&lt;&gt;"",VLOOKUP($P497&amp;" | "&amp;CY$6,'Job Master'!$F$12:$J$102,3,0),"")</f>
        <v/>
      </c>
      <c r="DA497" s="19" t="str">
        <f>IFERROR(IF(AND(DH497&lt;&gt;"",VLOOKUP($P497&amp;" | "&amp;CY$6,'Job Master'!$F$12:$I$102,4,0)&lt;&gt;""),IF(WEEKDAY(DH497-VLOOKUP($P497&amp;" | "&amp;CY$6,'Job Master'!$F$12:$I$102,4,0))&lt;&gt;7,DH497-VLOOKUP($P497&amp;" | "&amp;CY$6,'Job Master'!$F$12:$I$102,4,0),DH497-VLOOKUP($P497&amp;" | "&amp;CY$6,'Job Master'!$F$12:$I$102,4,0)-1),""),"")</f>
        <v/>
      </c>
      <c r="DB497" s="73"/>
      <c r="DC497" s="123" t="str">
        <f t="shared" si="928"/>
        <v/>
      </c>
      <c r="DD497" s="123" t="str">
        <f t="shared" si="929"/>
        <v/>
      </c>
      <c r="DE497" s="97" t="str">
        <f t="shared" ca="1" si="930"/>
        <v/>
      </c>
      <c r="DF497" s="98" t="str">
        <f>IF(DH497&lt;&gt;"",VLOOKUP($P497&amp;" | "&amp;DF$6,'Job Master'!$F$12:$J$102,5,0),"")</f>
        <v/>
      </c>
      <c r="DG497" s="19" t="str">
        <f>IF(DH497&lt;&gt;"",VLOOKUP($P497&amp;" | "&amp;DF$6,'Job Master'!$F$12:$J$102,3,0),"")</f>
        <v/>
      </c>
      <c r="DH497" s="19" t="str">
        <f>IFERROR(IF(AND(DO497&lt;&gt;"",VLOOKUP($P497&amp;" | "&amp;DF$6,'Job Master'!$F$12:$I$102,4,0)&lt;&gt;""),IF(WEEKDAY(DO497-VLOOKUP($P497&amp;" | "&amp;DF$6,'Job Master'!$F$12:$I$102,4,0))&lt;&gt;7,DO497-VLOOKUP($P497&amp;" | "&amp;DF$6,'Job Master'!$F$12:$I$102,4,0),DO497-VLOOKUP($P497&amp;" | "&amp;DF$6,'Job Master'!$F$12:$I$102,4,0)-1),""),"")</f>
        <v/>
      </c>
      <c r="DI497" s="73"/>
      <c r="DJ497" s="123" t="str">
        <f t="shared" si="931"/>
        <v/>
      </c>
      <c r="DK497" s="123" t="str">
        <f t="shared" si="932"/>
        <v/>
      </c>
      <c r="DL497" s="97" t="str">
        <f t="shared" ca="1" si="933"/>
        <v/>
      </c>
      <c r="DM497" s="98" t="str">
        <f>IF(DO497&lt;&gt;"",VLOOKUP($P497&amp;" | "&amp;DM$6,'Job Master'!$F$12:$J$102,5,0),"")</f>
        <v/>
      </c>
      <c r="DN497" s="19" t="str">
        <f>IF(DO497&lt;&gt;"",VLOOKUP($P497&amp;" | "&amp;DM$6,'Job Master'!$F$12:$J$102,3,0),"")</f>
        <v/>
      </c>
      <c r="DO497" s="19" t="str">
        <f>IFERROR(IF(AND(DT497&lt;&gt;"",VLOOKUP($P497&amp;" | "&amp;DM$6,'Job Master'!$F$12:$I$102,4,0)&lt;&gt;""),IF(WEEKDAY(DT497-VLOOKUP($P497&amp;" | "&amp;DM$6,'Job Master'!$F$12:$I$102,4,0))&lt;&gt;7,DT497-VLOOKUP($P497&amp;" | "&amp;DM$6,'Job Master'!$F$12:$I$102,4,0),DT497-VLOOKUP($P497&amp;" | "&amp;DM$6,'Job Master'!$F$12:$I$102,4,0)-1),""),"")</f>
        <v/>
      </c>
      <c r="DP497" s="73"/>
      <c r="DQ497" s="123" t="str">
        <f t="shared" si="934"/>
        <v/>
      </c>
      <c r="DR497" s="123" t="str">
        <f t="shared" si="935"/>
        <v/>
      </c>
      <c r="DS497" s="97" t="str">
        <f t="shared" ca="1" si="936"/>
        <v/>
      </c>
      <c r="DT497" s="70" t="str">
        <f t="shared" si="937"/>
        <v/>
      </c>
      <c r="DU497" s="90"/>
      <c r="DV497" s="123" t="str">
        <f t="shared" si="938"/>
        <v/>
      </c>
      <c r="DW497" s="123" t="str">
        <f t="shared" si="939"/>
        <v/>
      </c>
      <c r="DX497" s="132" t="str">
        <f t="shared" ref="DX497" ca="1" si="991">IF(DT497&lt;&gt;"",IF(WEEKNUM(DT497)=WEEKNUM(TODAY()),"This Week",IF(WEEKNUM(DT497)=WEEKNUM(TODAY())+1,"Next Week",IF(WEEKNUM(DT497)=WEEKNUM(TODAY())-1,"Previous Week",""))),"")</f>
        <v/>
      </c>
      <c r="DY497" s="134" t="str">
        <f t="shared" si="941"/>
        <v/>
      </c>
      <c r="DZ497" s="95"/>
      <c r="EB497" s="8" t="str">
        <f t="shared" si="947"/>
        <v/>
      </c>
      <c r="EC497" s="8" t="str">
        <f>IF(O497&lt;&gt;"",VLOOKUP(O497,'Job Master'!$N$12:$O$18,2,0),"")</f>
        <v/>
      </c>
      <c r="ED497" s="8">
        <f t="shared" si="948"/>
        <v>19.5</v>
      </c>
      <c r="EE497" s="8">
        <f t="shared" si="949"/>
        <v>6</v>
      </c>
      <c r="EF497" s="8">
        <f t="shared" si="950"/>
        <v>-2902.5</v>
      </c>
      <c r="EG497" s="8" t="str">
        <f t="shared" si="951"/>
        <v/>
      </c>
      <c r="EH497" s="8" t="str">
        <f t="shared" si="952"/>
        <v/>
      </c>
    </row>
    <row r="498" spans="2:138" x14ac:dyDescent="0.3">
      <c r="B498" s="112" t="s">
        <v>5</v>
      </c>
      <c r="C498" s="27"/>
      <c r="D498" s="7" t="str">
        <f t="shared" si="891"/>
        <v/>
      </c>
      <c r="E498" s="25"/>
      <c r="F498" s="7" t="str">
        <f t="shared" si="891"/>
        <v/>
      </c>
      <c r="G498" s="25"/>
      <c r="H498" s="7" t="str">
        <f t="shared" si="891"/>
        <v/>
      </c>
      <c r="I498" s="25"/>
      <c r="J498" s="7" t="str">
        <f t="shared" si="891"/>
        <v/>
      </c>
      <c r="K498" s="25"/>
      <c r="L498" s="7" t="str">
        <f t="shared" si="891"/>
        <v/>
      </c>
      <c r="M498" s="25"/>
      <c r="N498" s="7" t="str">
        <f t="shared" si="985"/>
        <v/>
      </c>
      <c r="O498" s="81"/>
      <c r="P498" s="81" t="str">
        <f t="shared" si="892"/>
        <v/>
      </c>
      <c r="Q498" s="81"/>
      <c r="R498" s="7" t="str">
        <f t="shared" si="893"/>
        <v/>
      </c>
      <c r="S498" s="25"/>
      <c r="T498" s="7" t="str">
        <f t="shared" si="894"/>
        <v/>
      </c>
      <c r="U498" s="25"/>
      <c r="V498" s="7" t="str">
        <f t="shared" si="895"/>
        <v/>
      </c>
      <c r="W498" s="25"/>
      <c r="X498" s="7" t="str">
        <f t="shared" si="896"/>
        <v/>
      </c>
      <c r="Y498" s="18" t="str">
        <f t="shared" si="897"/>
        <v/>
      </c>
      <c r="Z498" s="7" t="str">
        <f t="shared" si="898"/>
        <v/>
      </c>
      <c r="AA498" s="18" t="str">
        <f t="shared" si="899"/>
        <v/>
      </c>
      <c r="AB498" s="19" t="str">
        <f t="shared" si="900"/>
        <v/>
      </c>
      <c r="AC498" s="26"/>
      <c r="AD498" s="26"/>
      <c r="AE498" s="25"/>
      <c r="AF498" s="26"/>
      <c r="AG498" s="25"/>
      <c r="AH498" s="25"/>
      <c r="AI498" s="18" t="str">
        <f t="shared" si="963"/>
        <v/>
      </c>
      <c r="AJ498" s="25"/>
      <c r="AK498" s="18" t="str">
        <f t="shared" si="964"/>
        <v/>
      </c>
      <c r="AL498" s="79"/>
      <c r="AM498" s="126" t="str">
        <f t="shared" si="965"/>
        <v/>
      </c>
      <c r="AN498" s="128" t="str">
        <f>IF(AP498&lt;&gt;"",VLOOKUP($P498&amp;" | "&amp;AN$6,'Job Master'!$F$12:$J$102,5,0),"")</f>
        <v/>
      </c>
      <c r="AO498" s="19" t="str">
        <f>IF(AP498&lt;&gt;"",VLOOKUP($P498&amp;" | "&amp;AN$6,'Job Master'!$F$12:$J$102,3,0),"")</f>
        <v/>
      </c>
      <c r="AP498" s="19" t="str">
        <f>IFERROR(IF(AND(AW498&lt;&gt;"",VLOOKUP($P498&amp;" | "&amp;AN$6,'Job Master'!$F$12:$I$102,4,0)&lt;&gt;""),IF(WEEKDAY(AW498-VLOOKUP($P498&amp;" | "&amp;AN$6,'Job Master'!$F$12:$I$102,4,0))&lt;&gt;7,AW498-VLOOKUP($P498&amp;" | "&amp;AN$6,'Job Master'!$F$12:$I$102,4,0),AW498-VLOOKUP($P498&amp;" | "&amp;AN$6,'Job Master'!$F$12:$I$102,4,0)-1),""),"")</f>
        <v/>
      </c>
      <c r="AQ498" s="73"/>
      <c r="AR498" s="123" t="str">
        <f t="shared" si="901"/>
        <v/>
      </c>
      <c r="AS498" s="123" t="str">
        <f t="shared" si="902"/>
        <v/>
      </c>
      <c r="AT498" s="97" t="str">
        <f t="shared" ca="1" si="903"/>
        <v/>
      </c>
      <c r="AU498" s="98" t="str">
        <f>IF(AW498&lt;&gt;"",VLOOKUP($P498&amp;" | "&amp;AU$6,'Job Master'!$F$12:$J$102,5,0),"")</f>
        <v/>
      </c>
      <c r="AV498" s="19" t="str">
        <f>IF(AW498&lt;&gt;"",VLOOKUP($P498&amp;" | "&amp;AU$6,'Job Master'!$F$12:$J$102,3,0),"")</f>
        <v/>
      </c>
      <c r="AW498" s="19" t="str">
        <f>IFERROR(IF(AND(BD498&lt;&gt;"",VLOOKUP($P498&amp;" | "&amp;AU$6,'Job Master'!$F$12:$I$102,4,0)&lt;&gt;""),IF(WEEKDAY(BD498-VLOOKUP($P498&amp;" | "&amp;AU$6,'Job Master'!$F$12:$I$102,4,0))&lt;&gt;7,BD498-VLOOKUP($P498&amp;" | "&amp;AU$6,'Job Master'!$F$12:$I$102,4,0),BD498-VLOOKUP($P498&amp;" | "&amp;AU$6,'Job Master'!$F$12:$I$102,4,0)-1),""),"")</f>
        <v/>
      </c>
      <c r="AX498" s="73"/>
      <c r="AY498" s="123" t="str">
        <f t="shared" si="904"/>
        <v/>
      </c>
      <c r="AZ498" s="123" t="str">
        <f t="shared" si="905"/>
        <v/>
      </c>
      <c r="BA498" s="97" t="str">
        <f t="shared" ca="1" si="906"/>
        <v/>
      </c>
      <c r="BB498" s="98" t="str">
        <f>IF(BD498&lt;&gt;"",VLOOKUP($P498&amp;" | "&amp;BB$6,'Job Master'!$F$12:$J$102,5,0),"")</f>
        <v/>
      </c>
      <c r="BC498" s="19" t="str">
        <f>IF(BD498&lt;&gt;"",VLOOKUP($P498&amp;" | "&amp;BB$6,'Job Master'!$F$12:$J$102,3,0),"")</f>
        <v/>
      </c>
      <c r="BD498" s="19" t="str">
        <f>IFERROR(IF(AND(BK498&lt;&gt;"",VLOOKUP($P498&amp;" | "&amp;BB$6,'Job Master'!$F$12:$I$102,4,0)&lt;&gt;""),IF(WEEKDAY(BK498-VLOOKUP($P498&amp;" | "&amp;BB$6,'Job Master'!$F$12:$I$102,4,0))&lt;&gt;7,BK498-VLOOKUP($P498&amp;" | "&amp;BB$6,'Job Master'!$F$12:$I$102,4,0),BK498-VLOOKUP($P498&amp;" | "&amp;BB$6,'Job Master'!$F$12:$I$102,4,0)-1),""),"")</f>
        <v/>
      </c>
      <c r="BE498" s="73"/>
      <c r="BF498" s="123" t="str">
        <f t="shared" si="907"/>
        <v/>
      </c>
      <c r="BG498" s="123" t="str">
        <f t="shared" si="908"/>
        <v/>
      </c>
      <c r="BH498" s="97" t="str">
        <f t="shared" ca="1" si="909"/>
        <v/>
      </c>
      <c r="BI498" s="98" t="str">
        <f>IF(BK498&lt;&gt;"",VLOOKUP($P498&amp;" | "&amp;BI$6,'Job Master'!$F$12:$J$102,5,0),"")</f>
        <v/>
      </c>
      <c r="BJ498" s="19" t="str">
        <f>IF(BK498&lt;&gt;"",VLOOKUP($P498&amp;" | "&amp;BI$6,'Job Master'!$F$12:$J$102,3,0),"")</f>
        <v/>
      </c>
      <c r="BK498" s="19" t="str">
        <f>IFERROR(IF(AND(BR498&lt;&gt;"",VLOOKUP($P498&amp;" | "&amp;BI$6,'Job Master'!$F$12:$I$102,4,0)&lt;&gt;""),IF(WEEKDAY(BR498-VLOOKUP($P498&amp;" | "&amp;BI$6,'Job Master'!$F$12:$I$102,4,0))&lt;&gt;7,BR498-VLOOKUP($P498&amp;" | "&amp;BI$6,'Job Master'!$F$12:$I$102,4,0),BR498-VLOOKUP($P498&amp;" | "&amp;BI$6,'Job Master'!$F$12:$I$102,4,0)-1),""),"")</f>
        <v/>
      </c>
      <c r="BL498" s="73"/>
      <c r="BM498" s="123" t="str">
        <f t="shared" si="910"/>
        <v/>
      </c>
      <c r="BN498" s="123" t="str">
        <f t="shared" si="911"/>
        <v/>
      </c>
      <c r="BO498" s="97" t="str">
        <f t="shared" ca="1" si="912"/>
        <v/>
      </c>
      <c r="BP498" s="98" t="str">
        <f>IF(BR498&lt;&gt;"",VLOOKUP($P498&amp;" | "&amp;BP$6,'Job Master'!$F$12:$J$102,5,0),"")</f>
        <v/>
      </c>
      <c r="BQ498" s="19" t="str">
        <f>IF(BR498&lt;&gt;"",VLOOKUP($P498&amp;" | "&amp;BP$6,'Job Master'!$F$12:$J$102,3,0),"")</f>
        <v/>
      </c>
      <c r="BR498" s="19" t="str">
        <f>IFERROR(IF(AND(BY498&lt;&gt;"",VLOOKUP($P498&amp;" | "&amp;BP$6,'Job Master'!$F$12:$I$102,4,0)&lt;&gt;""),IF(WEEKDAY(BY498-VLOOKUP($P498&amp;" | "&amp;BP$6,'Job Master'!$F$12:$I$102,4,0))&lt;&gt;7,BY498-VLOOKUP($P498&amp;" | "&amp;BP$6,'Job Master'!$F$12:$I$102,4,0),BY498-VLOOKUP($P498&amp;" | "&amp;BP$6,'Job Master'!$F$12:$I$102,4,0)-1),""),"")</f>
        <v/>
      </c>
      <c r="BS498" s="73"/>
      <c r="BT498" s="123" t="str">
        <f t="shared" si="913"/>
        <v/>
      </c>
      <c r="BU498" s="123" t="str">
        <f t="shared" si="914"/>
        <v/>
      </c>
      <c r="BV498" s="97" t="str">
        <f t="shared" ca="1" si="915"/>
        <v/>
      </c>
      <c r="BW498" s="98" t="str">
        <f>IF(BY498&lt;&gt;"",VLOOKUP($P498&amp;" | "&amp;BW$6,'Job Master'!$F$12:$J$102,5,0),"")</f>
        <v/>
      </c>
      <c r="BX498" s="19" t="str">
        <f>IF(BY498&lt;&gt;"",VLOOKUP($P498&amp;" | "&amp;BW$6,'Job Master'!$F$12:$J$102,3,0),"")</f>
        <v/>
      </c>
      <c r="BY498" s="19" t="str">
        <f>IFERROR(IF(AND(CF498&lt;&gt;"",VLOOKUP($P498&amp;" | "&amp;BW$6,'Job Master'!$F$12:$I$102,4,0)&lt;&gt;""),IF(WEEKDAY(CF498-VLOOKUP($P498&amp;" | "&amp;BW$6,'Job Master'!$F$12:$I$102,4,0))&lt;&gt;7,CF498-VLOOKUP($P498&amp;" | "&amp;BW$6,'Job Master'!$F$12:$I$102,4,0),CF498-VLOOKUP($P498&amp;" | "&amp;BW$6,'Job Master'!$F$12:$I$102,4,0)-1),""),"")</f>
        <v/>
      </c>
      <c r="BZ498" s="73"/>
      <c r="CA498" s="123" t="str">
        <f t="shared" si="916"/>
        <v/>
      </c>
      <c r="CB498" s="123" t="str">
        <f t="shared" si="917"/>
        <v/>
      </c>
      <c r="CC498" s="97" t="str">
        <f t="shared" ca="1" si="918"/>
        <v/>
      </c>
      <c r="CD498" s="98" t="str">
        <f>IF(CF498&lt;&gt;"",VLOOKUP($P498&amp;" | "&amp;CD$6,'Job Master'!$F$12:$J$102,5,0),"")</f>
        <v/>
      </c>
      <c r="CE498" s="19" t="str">
        <f>IF(CF498&lt;&gt;"",VLOOKUP($P498&amp;" | "&amp;CD$6,'Job Master'!$F$12:$J$102,3,0),"")</f>
        <v/>
      </c>
      <c r="CF498" s="19" t="str">
        <f>IFERROR(IF(AND(CM498&lt;&gt;"",VLOOKUP($P498&amp;" | "&amp;CD$6,'Job Master'!$F$12:$I$102,4,0)&lt;&gt;""),IF(WEEKDAY(CM498-VLOOKUP($P498&amp;" | "&amp;CD$6,'Job Master'!$F$12:$I$102,4,0))&lt;&gt;7,CM498-VLOOKUP($P498&amp;" | "&amp;CD$6,'Job Master'!$F$12:$I$102,4,0),CM498-VLOOKUP($P498&amp;" | "&amp;CD$6,'Job Master'!$F$12:$I$102,4,0)-1),""),"")</f>
        <v/>
      </c>
      <c r="CG498" s="73"/>
      <c r="CH498" s="123" t="str">
        <f t="shared" si="919"/>
        <v/>
      </c>
      <c r="CI498" s="123" t="str">
        <f t="shared" si="920"/>
        <v/>
      </c>
      <c r="CJ498" s="97" t="str">
        <f t="shared" ca="1" si="921"/>
        <v/>
      </c>
      <c r="CK498" s="98" t="str">
        <f>IF(CM498&lt;&gt;"",VLOOKUP($P498&amp;" | "&amp;CK$6,'Job Master'!$F$12:$J$102,5,0),"")</f>
        <v/>
      </c>
      <c r="CL498" s="19" t="str">
        <f>IF(CM498&lt;&gt;"",VLOOKUP($P498&amp;" | "&amp;CK$6,'Job Master'!$F$12:$J$102,3,0),"")</f>
        <v/>
      </c>
      <c r="CM498" s="19" t="str">
        <f>IFERROR(IF(AND(CT498&lt;&gt;"",VLOOKUP($P498&amp;" | "&amp;CK$6,'Job Master'!$F$12:$I$102,4,0)&lt;&gt;""),IF(WEEKDAY(CT498-VLOOKUP($P498&amp;" | "&amp;CK$6,'Job Master'!$F$12:$I$102,4,0))&lt;&gt;7,CT498-VLOOKUP($P498&amp;" | "&amp;CK$6,'Job Master'!$F$12:$I$102,4,0),CT498-VLOOKUP($P498&amp;" | "&amp;CK$6,'Job Master'!$F$12:$I$102,4,0)-1),""),"")</f>
        <v/>
      </c>
      <c r="CN498" s="73"/>
      <c r="CO498" s="123" t="str">
        <f t="shared" si="922"/>
        <v/>
      </c>
      <c r="CP498" s="123" t="str">
        <f t="shared" si="923"/>
        <v/>
      </c>
      <c r="CQ498" s="97" t="str">
        <f t="shared" ca="1" si="924"/>
        <v/>
      </c>
      <c r="CR498" s="98" t="str">
        <f>IF(CT498&lt;&gt;"",VLOOKUP($P498&amp;" | "&amp;CR$6,'Job Master'!$F$12:$J$102,5,0),"")</f>
        <v/>
      </c>
      <c r="CS498" s="19" t="str">
        <f>IF(CT498&lt;&gt;"",VLOOKUP($P498&amp;" | "&amp;CR$6,'Job Master'!$F$12:$J$102,3,0),"")</f>
        <v/>
      </c>
      <c r="CT498" s="19" t="str">
        <f>IFERROR(IF(AND(DA498&lt;&gt;"",VLOOKUP($P498&amp;" | "&amp;CR$6,'Job Master'!$F$12:$I$102,4,0)&lt;&gt;""),IF(WEEKDAY(DA498-VLOOKUP($P498&amp;" | "&amp;CR$6,'Job Master'!$F$12:$I$102,4,0))&lt;&gt;7,DA498-VLOOKUP($P498&amp;" | "&amp;CR$6,'Job Master'!$F$12:$I$102,4,0),DA498-VLOOKUP($P498&amp;" | "&amp;CR$6,'Job Master'!$F$12:$I$102,4,0)-1),""),"")</f>
        <v/>
      </c>
      <c r="CU498" s="73"/>
      <c r="CV498" s="123" t="str">
        <f t="shared" si="925"/>
        <v/>
      </c>
      <c r="CW498" s="123" t="str">
        <f t="shared" si="926"/>
        <v/>
      </c>
      <c r="CX498" s="97" t="str">
        <f t="shared" ca="1" si="927"/>
        <v/>
      </c>
      <c r="CY498" s="98" t="str">
        <f>IF(DA498&lt;&gt;"",VLOOKUP($P498&amp;" | "&amp;CY$6,'Job Master'!$F$12:$J$102,5,0),"")</f>
        <v/>
      </c>
      <c r="CZ498" s="19" t="str">
        <f>IF(DA498&lt;&gt;"",VLOOKUP($P498&amp;" | "&amp;CY$6,'Job Master'!$F$12:$J$102,3,0),"")</f>
        <v/>
      </c>
      <c r="DA498" s="19" t="str">
        <f>IFERROR(IF(AND(DH498&lt;&gt;"",VLOOKUP($P498&amp;" | "&amp;CY$6,'Job Master'!$F$12:$I$102,4,0)&lt;&gt;""),IF(WEEKDAY(DH498-VLOOKUP($P498&amp;" | "&amp;CY$6,'Job Master'!$F$12:$I$102,4,0))&lt;&gt;7,DH498-VLOOKUP($P498&amp;" | "&amp;CY$6,'Job Master'!$F$12:$I$102,4,0),DH498-VLOOKUP($P498&amp;" | "&amp;CY$6,'Job Master'!$F$12:$I$102,4,0)-1),""),"")</f>
        <v/>
      </c>
      <c r="DB498" s="73"/>
      <c r="DC498" s="123" t="str">
        <f t="shared" si="928"/>
        <v/>
      </c>
      <c r="DD498" s="123" t="str">
        <f t="shared" si="929"/>
        <v/>
      </c>
      <c r="DE498" s="97" t="str">
        <f t="shared" ca="1" si="930"/>
        <v/>
      </c>
      <c r="DF498" s="98" t="str">
        <f>IF(DH498&lt;&gt;"",VLOOKUP($P498&amp;" | "&amp;DF$6,'Job Master'!$F$12:$J$102,5,0),"")</f>
        <v/>
      </c>
      <c r="DG498" s="19" t="str">
        <f>IF(DH498&lt;&gt;"",VLOOKUP($P498&amp;" | "&amp;DF$6,'Job Master'!$F$12:$J$102,3,0),"")</f>
        <v/>
      </c>
      <c r="DH498" s="19" t="str">
        <f>IFERROR(IF(AND(DO498&lt;&gt;"",VLOOKUP($P498&amp;" | "&amp;DF$6,'Job Master'!$F$12:$I$102,4,0)&lt;&gt;""),IF(WEEKDAY(DO498-VLOOKUP($P498&amp;" | "&amp;DF$6,'Job Master'!$F$12:$I$102,4,0))&lt;&gt;7,DO498-VLOOKUP($P498&amp;" | "&amp;DF$6,'Job Master'!$F$12:$I$102,4,0),DO498-VLOOKUP($P498&amp;" | "&amp;DF$6,'Job Master'!$F$12:$I$102,4,0)-1),""),"")</f>
        <v/>
      </c>
      <c r="DI498" s="73"/>
      <c r="DJ498" s="123" t="str">
        <f t="shared" si="931"/>
        <v/>
      </c>
      <c r="DK498" s="123" t="str">
        <f t="shared" si="932"/>
        <v/>
      </c>
      <c r="DL498" s="97" t="str">
        <f t="shared" ca="1" si="933"/>
        <v/>
      </c>
      <c r="DM498" s="98" t="str">
        <f>IF(DO498&lt;&gt;"",VLOOKUP($P498&amp;" | "&amp;DM$6,'Job Master'!$F$12:$J$102,5,0),"")</f>
        <v/>
      </c>
      <c r="DN498" s="19" t="str">
        <f>IF(DO498&lt;&gt;"",VLOOKUP($P498&amp;" | "&amp;DM$6,'Job Master'!$F$12:$J$102,3,0),"")</f>
        <v/>
      </c>
      <c r="DO498" s="19" t="str">
        <f>IFERROR(IF(AND(DT498&lt;&gt;"",VLOOKUP($P498&amp;" | "&amp;DM$6,'Job Master'!$F$12:$I$102,4,0)&lt;&gt;""),IF(WEEKDAY(DT498-VLOOKUP($P498&amp;" | "&amp;DM$6,'Job Master'!$F$12:$I$102,4,0))&lt;&gt;7,DT498-VLOOKUP($P498&amp;" | "&amp;DM$6,'Job Master'!$F$12:$I$102,4,0),DT498-VLOOKUP($P498&amp;" | "&amp;DM$6,'Job Master'!$F$12:$I$102,4,0)-1),""),"")</f>
        <v/>
      </c>
      <c r="DP498" s="73"/>
      <c r="DQ498" s="123" t="str">
        <f t="shared" si="934"/>
        <v/>
      </c>
      <c r="DR498" s="123" t="str">
        <f t="shared" si="935"/>
        <v/>
      </c>
      <c r="DS498" s="97" t="str">
        <f t="shared" ca="1" si="936"/>
        <v/>
      </c>
      <c r="DT498" s="70" t="str">
        <f t="shared" si="937"/>
        <v/>
      </c>
      <c r="DU498" s="90"/>
      <c r="DV498" s="123" t="str">
        <f t="shared" si="938"/>
        <v/>
      </c>
      <c r="DW498" s="123" t="str">
        <f t="shared" si="939"/>
        <v/>
      </c>
      <c r="DX498" s="132" t="str">
        <f t="shared" ref="DX498" ca="1" si="992">IF(DT498&lt;&gt;"",IF(WEEKNUM(DT498)=WEEKNUM(TODAY()),"This Week",IF(WEEKNUM(DT498)=WEEKNUM(TODAY())+1,"Next Week",IF(WEEKNUM(DT498)=WEEKNUM(TODAY())-1,"Previous Week",""))),"")</f>
        <v/>
      </c>
      <c r="DY498" s="134" t="str">
        <f t="shared" si="941"/>
        <v/>
      </c>
      <c r="DZ498" s="95"/>
      <c r="EB498" s="8" t="str">
        <f t="shared" si="947"/>
        <v/>
      </c>
      <c r="EC498" s="8" t="str">
        <f>IF(O498&lt;&gt;"",VLOOKUP(O498,'Job Master'!$N$12:$O$18,2,0),"")</f>
        <v/>
      </c>
      <c r="ED498" s="8">
        <f t="shared" si="948"/>
        <v>19.5</v>
      </c>
      <c r="EE498" s="8">
        <f t="shared" si="949"/>
        <v>6</v>
      </c>
      <c r="EF498" s="8">
        <f t="shared" si="950"/>
        <v>-2908.5</v>
      </c>
      <c r="EG498" s="8" t="str">
        <f t="shared" si="951"/>
        <v/>
      </c>
      <c r="EH498" s="8" t="str">
        <f t="shared" si="952"/>
        <v/>
      </c>
    </row>
    <row r="499" spans="2:138" x14ac:dyDescent="0.3">
      <c r="B499" s="112"/>
      <c r="C499" s="27"/>
      <c r="D499" s="7" t="str">
        <f t="shared" si="891"/>
        <v/>
      </c>
      <c r="E499" s="25"/>
      <c r="F499" s="7" t="str">
        <f t="shared" si="891"/>
        <v/>
      </c>
      <c r="G499" s="25"/>
      <c r="H499" s="7" t="str">
        <f t="shared" si="891"/>
        <v/>
      </c>
      <c r="I499" s="25"/>
      <c r="J499" s="7" t="str">
        <f t="shared" si="891"/>
        <v/>
      </c>
      <c r="K499" s="25"/>
      <c r="L499" s="7" t="str">
        <f t="shared" si="891"/>
        <v/>
      </c>
      <c r="M499" s="25"/>
      <c r="N499" s="7" t="str">
        <f t="shared" si="985"/>
        <v/>
      </c>
      <c r="O499" s="81"/>
      <c r="P499" s="81" t="str">
        <f t="shared" si="892"/>
        <v/>
      </c>
      <c r="Q499" s="81"/>
      <c r="R499" s="7" t="str">
        <f t="shared" si="893"/>
        <v/>
      </c>
      <c r="S499" s="25"/>
      <c r="T499" s="7" t="str">
        <f t="shared" si="894"/>
        <v/>
      </c>
      <c r="U499" s="25"/>
      <c r="V499" s="7" t="str">
        <f t="shared" si="895"/>
        <v/>
      </c>
      <c r="W499" s="25"/>
      <c r="X499" s="7" t="str">
        <f t="shared" si="896"/>
        <v/>
      </c>
      <c r="Y499" s="18" t="str">
        <f t="shared" si="897"/>
        <v/>
      </c>
      <c r="Z499" s="7" t="str">
        <f t="shared" si="898"/>
        <v/>
      </c>
      <c r="AA499" s="18" t="str">
        <f t="shared" si="899"/>
        <v/>
      </c>
      <c r="AB499" s="19" t="str">
        <f t="shared" si="900"/>
        <v/>
      </c>
      <c r="AC499" s="26"/>
      <c r="AD499" s="26"/>
      <c r="AE499" s="25"/>
      <c r="AF499" s="26"/>
      <c r="AG499" s="25"/>
      <c r="AH499" s="25"/>
      <c r="AI499" s="18" t="str">
        <f t="shared" si="963"/>
        <v/>
      </c>
      <c r="AJ499" s="25"/>
      <c r="AK499" s="18" t="str">
        <f t="shared" si="964"/>
        <v/>
      </c>
      <c r="AL499" s="79"/>
      <c r="AM499" s="126" t="str">
        <f t="shared" si="965"/>
        <v/>
      </c>
      <c r="AN499" s="128" t="str">
        <f>IF(AP499&lt;&gt;"",VLOOKUP($P499&amp;" | "&amp;AN$6,'Job Master'!$F$12:$J$102,5,0),"")</f>
        <v/>
      </c>
      <c r="AO499" s="19" t="str">
        <f>IF(AP499&lt;&gt;"",VLOOKUP($P499&amp;" | "&amp;AN$6,'Job Master'!$F$12:$J$102,3,0),"")</f>
        <v/>
      </c>
      <c r="AP499" s="19" t="str">
        <f>IFERROR(IF(AND(AW499&lt;&gt;"",VLOOKUP($P499&amp;" | "&amp;AN$6,'Job Master'!$F$12:$I$102,4,0)&lt;&gt;""),IF(WEEKDAY(AW499-VLOOKUP($P499&amp;" | "&amp;AN$6,'Job Master'!$F$12:$I$102,4,0))&lt;&gt;7,AW499-VLOOKUP($P499&amp;" | "&amp;AN$6,'Job Master'!$F$12:$I$102,4,0),AW499-VLOOKUP($P499&amp;" | "&amp;AN$6,'Job Master'!$F$12:$I$102,4,0)-1),""),"")</f>
        <v/>
      </c>
      <c r="AQ499" s="73"/>
      <c r="AR499" s="123" t="str">
        <f t="shared" si="901"/>
        <v/>
      </c>
      <c r="AS499" s="123" t="str">
        <f t="shared" si="902"/>
        <v/>
      </c>
      <c r="AT499" s="97" t="str">
        <f t="shared" ca="1" si="903"/>
        <v/>
      </c>
      <c r="AU499" s="98" t="str">
        <f>IF(AW499&lt;&gt;"",VLOOKUP($P499&amp;" | "&amp;AU$6,'Job Master'!$F$12:$J$102,5,0),"")</f>
        <v/>
      </c>
      <c r="AV499" s="19" t="str">
        <f>IF(AW499&lt;&gt;"",VLOOKUP($P499&amp;" | "&amp;AU$6,'Job Master'!$F$12:$J$102,3,0),"")</f>
        <v/>
      </c>
      <c r="AW499" s="19" t="str">
        <f>IFERROR(IF(AND(BD499&lt;&gt;"",VLOOKUP($P499&amp;" | "&amp;AU$6,'Job Master'!$F$12:$I$102,4,0)&lt;&gt;""),IF(WEEKDAY(BD499-VLOOKUP($P499&amp;" | "&amp;AU$6,'Job Master'!$F$12:$I$102,4,0))&lt;&gt;7,BD499-VLOOKUP($P499&amp;" | "&amp;AU$6,'Job Master'!$F$12:$I$102,4,0),BD499-VLOOKUP($P499&amp;" | "&amp;AU$6,'Job Master'!$F$12:$I$102,4,0)-1),""),"")</f>
        <v/>
      </c>
      <c r="AX499" s="73"/>
      <c r="AY499" s="123" t="str">
        <f t="shared" si="904"/>
        <v/>
      </c>
      <c r="AZ499" s="123" t="str">
        <f t="shared" si="905"/>
        <v/>
      </c>
      <c r="BA499" s="97" t="str">
        <f t="shared" ca="1" si="906"/>
        <v/>
      </c>
      <c r="BB499" s="98" t="str">
        <f>IF(BD499&lt;&gt;"",VLOOKUP($P499&amp;" | "&amp;BB$6,'Job Master'!$F$12:$J$102,5,0),"")</f>
        <v/>
      </c>
      <c r="BC499" s="19" t="str">
        <f>IF(BD499&lt;&gt;"",VLOOKUP($P499&amp;" | "&amp;BB$6,'Job Master'!$F$12:$J$102,3,0),"")</f>
        <v/>
      </c>
      <c r="BD499" s="19" t="str">
        <f>IFERROR(IF(AND(BK499&lt;&gt;"",VLOOKUP($P499&amp;" | "&amp;BB$6,'Job Master'!$F$12:$I$102,4,0)&lt;&gt;""),IF(WEEKDAY(BK499-VLOOKUP($P499&amp;" | "&amp;BB$6,'Job Master'!$F$12:$I$102,4,0))&lt;&gt;7,BK499-VLOOKUP($P499&amp;" | "&amp;BB$6,'Job Master'!$F$12:$I$102,4,0),BK499-VLOOKUP($P499&amp;" | "&amp;BB$6,'Job Master'!$F$12:$I$102,4,0)-1),""),"")</f>
        <v/>
      </c>
      <c r="BE499" s="73"/>
      <c r="BF499" s="123" t="str">
        <f t="shared" si="907"/>
        <v/>
      </c>
      <c r="BG499" s="123" t="str">
        <f t="shared" si="908"/>
        <v/>
      </c>
      <c r="BH499" s="97" t="str">
        <f t="shared" ca="1" si="909"/>
        <v/>
      </c>
      <c r="BI499" s="98" t="str">
        <f>IF(BK499&lt;&gt;"",VLOOKUP($P499&amp;" | "&amp;BI$6,'Job Master'!$F$12:$J$102,5,0),"")</f>
        <v/>
      </c>
      <c r="BJ499" s="19" t="str">
        <f>IF(BK499&lt;&gt;"",VLOOKUP($P499&amp;" | "&amp;BI$6,'Job Master'!$F$12:$J$102,3,0),"")</f>
        <v/>
      </c>
      <c r="BK499" s="19" t="str">
        <f>IFERROR(IF(AND(BR499&lt;&gt;"",VLOOKUP($P499&amp;" | "&amp;BI$6,'Job Master'!$F$12:$I$102,4,0)&lt;&gt;""),IF(WEEKDAY(BR499-VLOOKUP($P499&amp;" | "&amp;BI$6,'Job Master'!$F$12:$I$102,4,0))&lt;&gt;7,BR499-VLOOKUP($P499&amp;" | "&amp;BI$6,'Job Master'!$F$12:$I$102,4,0),BR499-VLOOKUP($P499&amp;" | "&amp;BI$6,'Job Master'!$F$12:$I$102,4,0)-1),""),"")</f>
        <v/>
      </c>
      <c r="BL499" s="73"/>
      <c r="BM499" s="123" t="str">
        <f t="shared" si="910"/>
        <v/>
      </c>
      <c r="BN499" s="123" t="str">
        <f t="shared" si="911"/>
        <v/>
      </c>
      <c r="BO499" s="97" t="str">
        <f t="shared" ca="1" si="912"/>
        <v/>
      </c>
      <c r="BP499" s="98" t="str">
        <f>IF(BR499&lt;&gt;"",VLOOKUP($P499&amp;" | "&amp;BP$6,'Job Master'!$F$12:$J$102,5,0),"")</f>
        <v/>
      </c>
      <c r="BQ499" s="19" t="str">
        <f>IF(BR499&lt;&gt;"",VLOOKUP($P499&amp;" | "&amp;BP$6,'Job Master'!$F$12:$J$102,3,0),"")</f>
        <v/>
      </c>
      <c r="BR499" s="19" t="str">
        <f>IFERROR(IF(AND(BY499&lt;&gt;"",VLOOKUP($P499&amp;" | "&amp;BP$6,'Job Master'!$F$12:$I$102,4,0)&lt;&gt;""),IF(WEEKDAY(BY499-VLOOKUP($P499&amp;" | "&amp;BP$6,'Job Master'!$F$12:$I$102,4,0))&lt;&gt;7,BY499-VLOOKUP($P499&amp;" | "&amp;BP$6,'Job Master'!$F$12:$I$102,4,0),BY499-VLOOKUP($P499&amp;" | "&amp;BP$6,'Job Master'!$F$12:$I$102,4,0)-1),""),"")</f>
        <v/>
      </c>
      <c r="BS499" s="73"/>
      <c r="BT499" s="123" t="str">
        <f t="shared" si="913"/>
        <v/>
      </c>
      <c r="BU499" s="123" t="str">
        <f t="shared" si="914"/>
        <v/>
      </c>
      <c r="BV499" s="97" t="str">
        <f t="shared" ca="1" si="915"/>
        <v/>
      </c>
      <c r="BW499" s="98" t="str">
        <f>IF(BY499&lt;&gt;"",VLOOKUP($P499&amp;" | "&amp;BW$6,'Job Master'!$F$12:$J$102,5,0),"")</f>
        <v/>
      </c>
      <c r="BX499" s="19" t="str">
        <f>IF(BY499&lt;&gt;"",VLOOKUP($P499&amp;" | "&amp;BW$6,'Job Master'!$F$12:$J$102,3,0),"")</f>
        <v/>
      </c>
      <c r="BY499" s="19" t="str">
        <f>IFERROR(IF(AND(CF499&lt;&gt;"",VLOOKUP($P499&amp;" | "&amp;BW$6,'Job Master'!$F$12:$I$102,4,0)&lt;&gt;""),IF(WEEKDAY(CF499-VLOOKUP($P499&amp;" | "&amp;BW$6,'Job Master'!$F$12:$I$102,4,0))&lt;&gt;7,CF499-VLOOKUP($P499&amp;" | "&amp;BW$6,'Job Master'!$F$12:$I$102,4,0),CF499-VLOOKUP($P499&amp;" | "&amp;BW$6,'Job Master'!$F$12:$I$102,4,0)-1),""),"")</f>
        <v/>
      </c>
      <c r="BZ499" s="73"/>
      <c r="CA499" s="123" t="str">
        <f t="shared" si="916"/>
        <v/>
      </c>
      <c r="CB499" s="123" t="str">
        <f t="shared" si="917"/>
        <v/>
      </c>
      <c r="CC499" s="97" t="str">
        <f t="shared" ca="1" si="918"/>
        <v/>
      </c>
      <c r="CD499" s="98" t="str">
        <f>IF(CF499&lt;&gt;"",VLOOKUP($P499&amp;" | "&amp;CD$6,'Job Master'!$F$12:$J$102,5,0),"")</f>
        <v/>
      </c>
      <c r="CE499" s="19" t="str">
        <f>IF(CF499&lt;&gt;"",VLOOKUP($P499&amp;" | "&amp;CD$6,'Job Master'!$F$12:$J$102,3,0),"")</f>
        <v/>
      </c>
      <c r="CF499" s="19" t="str">
        <f>IFERROR(IF(AND(CM499&lt;&gt;"",VLOOKUP($P499&amp;" | "&amp;CD$6,'Job Master'!$F$12:$I$102,4,0)&lt;&gt;""),IF(WEEKDAY(CM499-VLOOKUP($P499&amp;" | "&amp;CD$6,'Job Master'!$F$12:$I$102,4,0))&lt;&gt;7,CM499-VLOOKUP($P499&amp;" | "&amp;CD$6,'Job Master'!$F$12:$I$102,4,0),CM499-VLOOKUP($P499&amp;" | "&amp;CD$6,'Job Master'!$F$12:$I$102,4,0)-1),""),"")</f>
        <v/>
      </c>
      <c r="CG499" s="73"/>
      <c r="CH499" s="123" t="str">
        <f t="shared" si="919"/>
        <v/>
      </c>
      <c r="CI499" s="123" t="str">
        <f t="shared" si="920"/>
        <v/>
      </c>
      <c r="CJ499" s="97" t="str">
        <f t="shared" ca="1" si="921"/>
        <v/>
      </c>
      <c r="CK499" s="98" t="str">
        <f>IF(CM499&lt;&gt;"",VLOOKUP($P499&amp;" | "&amp;CK$6,'Job Master'!$F$12:$J$102,5,0),"")</f>
        <v/>
      </c>
      <c r="CL499" s="19" t="str">
        <f>IF(CM499&lt;&gt;"",VLOOKUP($P499&amp;" | "&amp;CK$6,'Job Master'!$F$12:$J$102,3,0),"")</f>
        <v/>
      </c>
      <c r="CM499" s="19" t="str">
        <f>IFERROR(IF(AND(CT499&lt;&gt;"",VLOOKUP($P499&amp;" | "&amp;CK$6,'Job Master'!$F$12:$I$102,4,0)&lt;&gt;""),IF(WEEKDAY(CT499-VLOOKUP($P499&amp;" | "&amp;CK$6,'Job Master'!$F$12:$I$102,4,0))&lt;&gt;7,CT499-VLOOKUP($P499&amp;" | "&amp;CK$6,'Job Master'!$F$12:$I$102,4,0),CT499-VLOOKUP($P499&amp;" | "&amp;CK$6,'Job Master'!$F$12:$I$102,4,0)-1),""),"")</f>
        <v/>
      </c>
      <c r="CN499" s="73"/>
      <c r="CO499" s="123" t="str">
        <f t="shared" si="922"/>
        <v/>
      </c>
      <c r="CP499" s="123" t="str">
        <f t="shared" si="923"/>
        <v/>
      </c>
      <c r="CQ499" s="97" t="str">
        <f t="shared" ca="1" si="924"/>
        <v/>
      </c>
      <c r="CR499" s="98" t="str">
        <f>IF(CT499&lt;&gt;"",VLOOKUP($P499&amp;" | "&amp;CR$6,'Job Master'!$F$12:$J$102,5,0),"")</f>
        <v/>
      </c>
      <c r="CS499" s="19" t="str">
        <f>IF(CT499&lt;&gt;"",VLOOKUP($P499&amp;" | "&amp;CR$6,'Job Master'!$F$12:$J$102,3,0),"")</f>
        <v/>
      </c>
      <c r="CT499" s="19" t="str">
        <f>IFERROR(IF(AND(DA499&lt;&gt;"",VLOOKUP($P499&amp;" | "&amp;CR$6,'Job Master'!$F$12:$I$102,4,0)&lt;&gt;""),IF(WEEKDAY(DA499-VLOOKUP($P499&amp;" | "&amp;CR$6,'Job Master'!$F$12:$I$102,4,0))&lt;&gt;7,DA499-VLOOKUP($P499&amp;" | "&amp;CR$6,'Job Master'!$F$12:$I$102,4,0),DA499-VLOOKUP($P499&amp;" | "&amp;CR$6,'Job Master'!$F$12:$I$102,4,0)-1),""),"")</f>
        <v/>
      </c>
      <c r="CU499" s="73"/>
      <c r="CV499" s="123" t="str">
        <f t="shared" si="925"/>
        <v/>
      </c>
      <c r="CW499" s="123" t="str">
        <f t="shared" si="926"/>
        <v/>
      </c>
      <c r="CX499" s="97" t="str">
        <f t="shared" ca="1" si="927"/>
        <v/>
      </c>
      <c r="CY499" s="98" t="str">
        <f>IF(DA499&lt;&gt;"",VLOOKUP($P499&amp;" | "&amp;CY$6,'Job Master'!$F$12:$J$102,5,0),"")</f>
        <v/>
      </c>
      <c r="CZ499" s="19" t="str">
        <f>IF(DA499&lt;&gt;"",VLOOKUP($P499&amp;" | "&amp;CY$6,'Job Master'!$F$12:$J$102,3,0),"")</f>
        <v/>
      </c>
      <c r="DA499" s="19" t="str">
        <f>IFERROR(IF(AND(DH499&lt;&gt;"",VLOOKUP($P499&amp;" | "&amp;CY$6,'Job Master'!$F$12:$I$102,4,0)&lt;&gt;""),IF(WEEKDAY(DH499-VLOOKUP($P499&amp;" | "&amp;CY$6,'Job Master'!$F$12:$I$102,4,0))&lt;&gt;7,DH499-VLOOKUP($P499&amp;" | "&amp;CY$6,'Job Master'!$F$12:$I$102,4,0),DH499-VLOOKUP($P499&amp;" | "&amp;CY$6,'Job Master'!$F$12:$I$102,4,0)-1),""),"")</f>
        <v/>
      </c>
      <c r="DB499" s="73"/>
      <c r="DC499" s="123" t="str">
        <f t="shared" si="928"/>
        <v/>
      </c>
      <c r="DD499" s="123" t="str">
        <f t="shared" si="929"/>
        <v/>
      </c>
      <c r="DE499" s="97" t="str">
        <f t="shared" ca="1" si="930"/>
        <v/>
      </c>
      <c r="DF499" s="98" t="str">
        <f>IF(DH499&lt;&gt;"",VLOOKUP($P499&amp;" | "&amp;DF$6,'Job Master'!$F$12:$J$102,5,0),"")</f>
        <v/>
      </c>
      <c r="DG499" s="19" t="str">
        <f>IF(DH499&lt;&gt;"",VLOOKUP($P499&amp;" | "&amp;DF$6,'Job Master'!$F$12:$J$102,3,0),"")</f>
        <v/>
      </c>
      <c r="DH499" s="19" t="str">
        <f>IFERROR(IF(AND(DO499&lt;&gt;"",VLOOKUP($P499&amp;" | "&amp;DF$6,'Job Master'!$F$12:$I$102,4,0)&lt;&gt;""),IF(WEEKDAY(DO499-VLOOKUP($P499&amp;" | "&amp;DF$6,'Job Master'!$F$12:$I$102,4,0))&lt;&gt;7,DO499-VLOOKUP($P499&amp;" | "&amp;DF$6,'Job Master'!$F$12:$I$102,4,0),DO499-VLOOKUP($P499&amp;" | "&amp;DF$6,'Job Master'!$F$12:$I$102,4,0)-1),""),"")</f>
        <v/>
      </c>
      <c r="DI499" s="73"/>
      <c r="DJ499" s="123" t="str">
        <f t="shared" si="931"/>
        <v/>
      </c>
      <c r="DK499" s="123" t="str">
        <f t="shared" si="932"/>
        <v/>
      </c>
      <c r="DL499" s="97" t="str">
        <f t="shared" ca="1" si="933"/>
        <v/>
      </c>
      <c r="DM499" s="98" t="str">
        <f>IF(DO499&lt;&gt;"",VLOOKUP($P499&amp;" | "&amp;DM$6,'Job Master'!$F$12:$J$102,5,0),"")</f>
        <v/>
      </c>
      <c r="DN499" s="19" t="str">
        <f>IF(DO499&lt;&gt;"",VLOOKUP($P499&amp;" | "&amp;DM$6,'Job Master'!$F$12:$J$102,3,0),"")</f>
        <v/>
      </c>
      <c r="DO499" s="19" t="str">
        <f>IFERROR(IF(AND(DT499&lt;&gt;"",VLOOKUP($P499&amp;" | "&amp;DM$6,'Job Master'!$F$12:$I$102,4,0)&lt;&gt;""),IF(WEEKDAY(DT499-VLOOKUP($P499&amp;" | "&amp;DM$6,'Job Master'!$F$12:$I$102,4,0))&lt;&gt;7,DT499-VLOOKUP($P499&amp;" | "&amp;DM$6,'Job Master'!$F$12:$I$102,4,0),DT499-VLOOKUP($P499&amp;" | "&amp;DM$6,'Job Master'!$F$12:$I$102,4,0)-1),""),"")</f>
        <v/>
      </c>
      <c r="DP499" s="73"/>
      <c r="DQ499" s="123" t="str">
        <f t="shared" si="934"/>
        <v/>
      </c>
      <c r="DR499" s="123" t="str">
        <f t="shared" si="935"/>
        <v/>
      </c>
      <c r="DS499" s="97" t="str">
        <f t="shared" ca="1" si="936"/>
        <v/>
      </c>
      <c r="DT499" s="70" t="str">
        <f t="shared" si="937"/>
        <v/>
      </c>
      <c r="DU499" s="90"/>
      <c r="DV499" s="123" t="str">
        <f t="shared" si="938"/>
        <v/>
      </c>
      <c r="DW499" s="123" t="str">
        <f t="shared" si="939"/>
        <v/>
      </c>
      <c r="DX499" s="132" t="str">
        <f t="shared" ref="DX499" ca="1" si="993">IF(DT499&lt;&gt;"",IF(WEEKNUM(DT499)=WEEKNUM(TODAY()),"This Week",IF(WEEKNUM(DT499)=WEEKNUM(TODAY())+1,"Next Week",IF(WEEKNUM(DT499)=WEEKNUM(TODAY())-1,"Previous Week",""))),"")</f>
        <v/>
      </c>
      <c r="DY499" s="134" t="str">
        <f t="shared" si="941"/>
        <v/>
      </c>
      <c r="DZ499" s="95"/>
      <c r="EB499" s="8" t="str">
        <f t="shared" si="947"/>
        <v/>
      </c>
      <c r="EC499" s="8" t="str">
        <f>IF(O499&lt;&gt;"",VLOOKUP(O499,'Job Master'!$N$12:$O$18,2,0),"")</f>
        <v/>
      </c>
      <c r="ED499" s="8">
        <f t="shared" si="948"/>
        <v>19.5</v>
      </c>
      <c r="EE499" s="8">
        <f t="shared" si="949"/>
        <v>6</v>
      </c>
      <c r="EF499" s="8">
        <f t="shared" si="950"/>
        <v>-2914.5</v>
      </c>
      <c r="EG499" s="8" t="str">
        <f t="shared" si="951"/>
        <v/>
      </c>
      <c r="EH499" s="8" t="str">
        <f t="shared" si="952"/>
        <v/>
      </c>
    </row>
    <row r="500" spans="2:138" ht="15" thickBot="1" x14ac:dyDescent="0.35">
      <c r="B500" s="113"/>
      <c r="C500" s="28"/>
      <c r="D500" s="29" t="str">
        <f t="shared" si="891"/>
        <v/>
      </c>
      <c r="E500" s="30"/>
      <c r="F500" s="29" t="str">
        <f t="shared" si="891"/>
        <v/>
      </c>
      <c r="G500" s="30"/>
      <c r="H500" s="29" t="str">
        <f t="shared" si="891"/>
        <v/>
      </c>
      <c r="I500" s="30"/>
      <c r="J500" s="29" t="str">
        <f t="shared" si="891"/>
        <v/>
      </c>
      <c r="K500" s="30"/>
      <c r="L500" s="29" t="str">
        <f t="shared" si="891"/>
        <v/>
      </c>
      <c r="M500" s="30"/>
      <c r="N500" s="29" t="str">
        <f t="shared" si="985"/>
        <v/>
      </c>
      <c r="O500" s="82"/>
      <c r="P500" s="82" t="str">
        <f t="shared" si="892"/>
        <v/>
      </c>
      <c r="Q500" s="82"/>
      <c r="R500" s="29" t="str">
        <f t="shared" si="893"/>
        <v/>
      </c>
      <c r="S500" s="30"/>
      <c r="T500" s="29" t="str">
        <f t="shared" si="894"/>
        <v/>
      </c>
      <c r="U500" s="30"/>
      <c r="V500" s="29" t="str">
        <f t="shared" si="895"/>
        <v/>
      </c>
      <c r="W500" s="30"/>
      <c r="X500" s="29" t="str">
        <f t="shared" si="896"/>
        <v/>
      </c>
      <c r="Y500" s="31" t="str">
        <f t="shared" si="897"/>
        <v/>
      </c>
      <c r="Z500" s="29" t="str">
        <f t="shared" si="898"/>
        <v/>
      </c>
      <c r="AA500" s="31" t="str">
        <f t="shared" si="899"/>
        <v/>
      </c>
      <c r="AB500" s="32" t="str">
        <f t="shared" si="900"/>
        <v/>
      </c>
      <c r="AC500" s="33"/>
      <c r="AD500" s="33"/>
      <c r="AE500" s="30"/>
      <c r="AF500" s="33"/>
      <c r="AG500" s="30"/>
      <c r="AH500" s="30"/>
      <c r="AI500" s="31" t="str">
        <f t="shared" si="963"/>
        <v/>
      </c>
      <c r="AJ500" s="30"/>
      <c r="AK500" s="31" t="str">
        <f t="shared" si="964"/>
        <v/>
      </c>
      <c r="AL500" s="80"/>
      <c r="AM500" s="127" t="str">
        <f t="shared" si="965"/>
        <v/>
      </c>
      <c r="AN500" s="129" t="str">
        <f>IF(AP500&lt;&gt;"",VLOOKUP($P500&amp;" | "&amp;AN$6,'Job Master'!$F$12:$J$102,5,0),"")</f>
        <v/>
      </c>
      <c r="AO500" s="32" t="str">
        <f>IF(AP500&lt;&gt;"",VLOOKUP($P500&amp;" | "&amp;AN$6,'Job Master'!$F$12:$J$102,3,0),"")</f>
        <v/>
      </c>
      <c r="AP500" s="32" t="str">
        <f>IFERROR(IF(AND(AW500&lt;&gt;"",VLOOKUP($P500&amp;" | "&amp;AN$6,'Job Master'!$F$12:$I$102,4,0)&lt;&gt;""),IF(WEEKDAY(AW500-VLOOKUP($P500&amp;" | "&amp;AN$6,'Job Master'!$F$12:$I$102,4,0))&lt;&gt;7,AW500-VLOOKUP($P500&amp;" | "&amp;AN$6,'Job Master'!$F$12:$I$102,4,0),AW500-VLOOKUP($P500&amp;" | "&amp;AN$6,'Job Master'!$F$12:$I$102,4,0)-1),""),"")</f>
        <v/>
      </c>
      <c r="AQ500" s="74"/>
      <c r="AR500" s="130" t="str">
        <f t="shared" si="901"/>
        <v/>
      </c>
      <c r="AS500" s="130" t="str">
        <f t="shared" si="902"/>
        <v/>
      </c>
      <c r="AT500" s="115" t="str">
        <f t="shared" ca="1" si="903"/>
        <v/>
      </c>
      <c r="AU500" s="114" t="str">
        <f>IF(AW500&lt;&gt;"",VLOOKUP($P500&amp;" | "&amp;AU$6,'Job Master'!$F$12:$J$102,5,0),"")</f>
        <v/>
      </c>
      <c r="AV500" s="32" t="str">
        <f>IF(AW500&lt;&gt;"",VLOOKUP($P500&amp;" | "&amp;AU$6,'Job Master'!$F$12:$J$102,3,0),"")</f>
        <v/>
      </c>
      <c r="AW500" s="32" t="str">
        <f>IFERROR(IF(AND(BD500&lt;&gt;"",VLOOKUP($P500&amp;" | "&amp;AU$6,'Job Master'!$F$12:$I$102,4,0)&lt;&gt;""),IF(WEEKDAY(BD500-VLOOKUP($P500&amp;" | "&amp;AU$6,'Job Master'!$F$12:$I$102,4,0))&lt;&gt;7,BD500-VLOOKUP($P500&amp;" | "&amp;AU$6,'Job Master'!$F$12:$I$102,4,0),BD500-VLOOKUP($P500&amp;" | "&amp;AU$6,'Job Master'!$F$12:$I$102,4,0)-1),""),"")</f>
        <v/>
      </c>
      <c r="AX500" s="74"/>
      <c r="AY500" s="130" t="str">
        <f t="shared" si="904"/>
        <v/>
      </c>
      <c r="AZ500" s="130" t="str">
        <f t="shared" si="905"/>
        <v/>
      </c>
      <c r="BA500" s="115" t="str">
        <f t="shared" ca="1" si="906"/>
        <v/>
      </c>
      <c r="BB500" s="114" t="str">
        <f>IF(BD500&lt;&gt;"",VLOOKUP($P500&amp;" | "&amp;BB$6,'Job Master'!$F$12:$J$102,5,0),"")</f>
        <v/>
      </c>
      <c r="BC500" s="32" t="str">
        <f>IF(BD500&lt;&gt;"",VLOOKUP($P500&amp;" | "&amp;BB$6,'Job Master'!$F$12:$J$102,3,0),"")</f>
        <v/>
      </c>
      <c r="BD500" s="32" t="str">
        <f>IFERROR(IF(AND(BK500&lt;&gt;"",VLOOKUP($P500&amp;" | "&amp;BB$6,'Job Master'!$F$12:$I$102,4,0)&lt;&gt;""),IF(WEEKDAY(BK500-VLOOKUP($P500&amp;" | "&amp;BB$6,'Job Master'!$F$12:$I$102,4,0))&lt;&gt;7,BK500-VLOOKUP($P500&amp;" | "&amp;BB$6,'Job Master'!$F$12:$I$102,4,0),BK500-VLOOKUP($P500&amp;" | "&amp;BB$6,'Job Master'!$F$12:$I$102,4,0)-1),""),"")</f>
        <v/>
      </c>
      <c r="BE500" s="74"/>
      <c r="BF500" s="130" t="str">
        <f t="shared" si="907"/>
        <v/>
      </c>
      <c r="BG500" s="130" t="str">
        <f t="shared" si="908"/>
        <v/>
      </c>
      <c r="BH500" s="115" t="str">
        <f t="shared" ca="1" si="909"/>
        <v/>
      </c>
      <c r="BI500" s="114" t="str">
        <f>IF(BK500&lt;&gt;"",VLOOKUP($P500&amp;" | "&amp;BI$6,'Job Master'!$F$12:$J$102,5,0),"")</f>
        <v/>
      </c>
      <c r="BJ500" s="32" t="str">
        <f>IF(BK500&lt;&gt;"",VLOOKUP($P500&amp;" | "&amp;BI$6,'Job Master'!$F$12:$J$102,3,0),"")</f>
        <v/>
      </c>
      <c r="BK500" s="32" t="str">
        <f>IFERROR(IF(AND(BR500&lt;&gt;"",VLOOKUP($P500&amp;" | "&amp;BI$6,'Job Master'!$F$12:$I$102,4,0)&lt;&gt;""),IF(WEEKDAY(BR500-VLOOKUP($P500&amp;" | "&amp;BI$6,'Job Master'!$F$12:$I$102,4,0))&lt;&gt;7,BR500-VLOOKUP($P500&amp;" | "&amp;BI$6,'Job Master'!$F$12:$I$102,4,0),BR500-VLOOKUP($P500&amp;" | "&amp;BI$6,'Job Master'!$F$12:$I$102,4,0)-1),""),"")</f>
        <v/>
      </c>
      <c r="BL500" s="74"/>
      <c r="BM500" s="130" t="str">
        <f t="shared" si="910"/>
        <v/>
      </c>
      <c r="BN500" s="130" t="str">
        <f t="shared" si="911"/>
        <v/>
      </c>
      <c r="BO500" s="115" t="str">
        <f t="shared" ca="1" si="912"/>
        <v/>
      </c>
      <c r="BP500" s="114" t="str">
        <f>IF(BR500&lt;&gt;"",VLOOKUP($P500&amp;" | "&amp;BP$6,'Job Master'!$F$12:$J$102,5,0),"")</f>
        <v/>
      </c>
      <c r="BQ500" s="32" t="str">
        <f>IF(BR500&lt;&gt;"",VLOOKUP($P500&amp;" | "&amp;BP$6,'Job Master'!$F$12:$J$102,3,0),"")</f>
        <v/>
      </c>
      <c r="BR500" s="32" t="str">
        <f>IFERROR(IF(AND(BY500&lt;&gt;"",VLOOKUP($P500&amp;" | "&amp;BP$6,'Job Master'!$F$12:$I$102,4,0)&lt;&gt;""),IF(WEEKDAY(BY500-VLOOKUP($P500&amp;" | "&amp;BP$6,'Job Master'!$F$12:$I$102,4,0))&lt;&gt;7,BY500-VLOOKUP($P500&amp;" | "&amp;BP$6,'Job Master'!$F$12:$I$102,4,0),BY500-VLOOKUP($P500&amp;" | "&amp;BP$6,'Job Master'!$F$12:$I$102,4,0)-1),""),"")</f>
        <v/>
      </c>
      <c r="BS500" s="74"/>
      <c r="BT500" s="130" t="str">
        <f t="shared" si="913"/>
        <v/>
      </c>
      <c r="BU500" s="130" t="str">
        <f t="shared" si="914"/>
        <v/>
      </c>
      <c r="BV500" s="115" t="str">
        <f t="shared" ca="1" si="915"/>
        <v/>
      </c>
      <c r="BW500" s="114" t="str">
        <f>IF(BY500&lt;&gt;"",VLOOKUP($P500&amp;" | "&amp;BW$6,'Job Master'!$F$12:$J$102,5,0),"")</f>
        <v/>
      </c>
      <c r="BX500" s="32" t="str">
        <f>IF(BY500&lt;&gt;"",VLOOKUP($P500&amp;" | "&amp;BW$6,'Job Master'!$F$12:$J$102,3,0),"")</f>
        <v/>
      </c>
      <c r="BY500" s="32" t="str">
        <f>IFERROR(IF(AND(CF500&lt;&gt;"",VLOOKUP($P500&amp;" | "&amp;BW$6,'Job Master'!$F$12:$I$102,4,0)&lt;&gt;""),IF(WEEKDAY(CF500-VLOOKUP($P500&amp;" | "&amp;BW$6,'Job Master'!$F$12:$I$102,4,0))&lt;&gt;7,CF500-VLOOKUP($P500&amp;" | "&amp;BW$6,'Job Master'!$F$12:$I$102,4,0),CF500-VLOOKUP($P500&amp;" | "&amp;BW$6,'Job Master'!$F$12:$I$102,4,0)-1),""),"")</f>
        <v/>
      </c>
      <c r="BZ500" s="74"/>
      <c r="CA500" s="130" t="str">
        <f t="shared" si="916"/>
        <v/>
      </c>
      <c r="CB500" s="130" t="str">
        <f t="shared" si="917"/>
        <v/>
      </c>
      <c r="CC500" s="115" t="str">
        <f t="shared" ca="1" si="918"/>
        <v/>
      </c>
      <c r="CD500" s="114" t="str">
        <f>IF(CF500&lt;&gt;"",VLOOKUP($P500&amp;" | "&amp;CD$6,'Job Master'!$F$12:$J$102,5,0),"")</f>
        <v/>
      </c>
      <c r="CE500" s="32" t="str">
        <f>IF(CF500&lt;&gt;"",VLOOKUP($P500&amp;" | "&amp;CD$6,'Job Master'!$F$12:$J$102,3,0),"")</f>
        <v/>
      </c>
      <c r="CF500" s="32" t="str">
        <f>IFERROR(IF(AND(CM500&lt;&gt;"",VLOOKUP($P500&amp;" | "&amp;CD$6,'Job Master'!$F$12:$I$102,4,0)&lt;&gt;""),IF(WEEKDAY(CM500-VLOOKUP($P500&amp;" | "&amp;CD$6,'Job Master'!$F$12:$I$102,4,0))&lt;&gt;7,CM500-VLOOKUP($P500&amp;" | "&amp;CD$6,'Job Master'!$F$12:$I$102,4,0),CM500-VLOOKUP($P500&amp;" | "&amp;CD$6,'Job Master'!$F$12:$I$102,4,0)-1),""),"")</f>
        <v/>
      </c>
      <c r="CG500" s="74"/>
      <c r="CH500" s="130" t="str">
        <f t="shared" si="919"/>
        <v/>
      </c>
      <c r="CI500" s="130" t="str">
        <f t="shared" si="920"/>
        <v/>
      </c>
      <c r="CJ500" s="115" t="str">
        <f t="shared" ca="1" si="921"/>
        <v/>
      </c>
      <c r="CK500" s="114" t="str">
        <f>IF(CM500&lt;&gt;"",VLOOKUP($P500&amp;" | "&amp;CK$6,'Job Master'!$F$12:$J$102,5,0),"")</f>
        <v/>
      </c>
      <c r="CL500" s="32" t="str">
        <f>IF(CM500&lt;&gt;"",VLOOKUP($P500&amp;" | "&amp;CK$6,'Job Master'!$F$12:$J$102,3,0),"")</f>
        <v/>
      </c>
      <c r="CM500" s="32" t="str">
        <f>IFERROR(IF(AND(CT500&lt;&gt;"",VLOOKUP($P500&amp;" | "&amp;CK$6,'Job Master'!$F$12:$I$102,4,0)&lt;&gt;""),IF(WEEKDAY(CT500-VLOOKUP($P500&amp;" | "&amp;CK$6,'Job Master'!$F$12:$I$102,4,0))&lt;&gt;7,CT500-VLOOKUP($P500&amp;" | "&amp;CK$6,'Job Master'!$F$12:$I$102,4,0),CT500-VLOOKUP($P500&amp;" | "&amp;CK$6,'Job Master'!$F$12:$I$102,4,0)-1),""),"")</f>
        <v/>
      </c>
      <c r="CN500" s="74"/>
      <c r="CO500" s="130" t="str">
        <f t="shared" si="922"/>
        <v/>
      </c>
      <c r="CP500" s="130" t="str">
        <f t="shared" si="923"/>
        <v/>
      </c>
      <c r="CQ500" s="115" t="str">
        <f t="shared" ca="1" si="924"/>
        <v/>
      </c>
      <c r="CR500" s="114" t="str">
        <f>IF(CT500&lt;&gt;"",VLOOKUP($P500&amp;" | "&amp;CR$6,'Job Master'!$F$12:$J$102,5,0),"")</f>
        <v/>
      </c>
      <c r="CS500" s="32" t="str">
        <f>IF(CT500&lt;&gt;"",VLOOKUP($P500&amp;" | "&amp;CR$6,'Job Master'!$F$12:$J$102,3,0),"")</f>
        <v/>
      </c>
      <c r="CT500" s="32" t="str">
        <f>IFERROR(IF(AND(DA500&lt;&gt;"",VLOOKUP($P500&amp;" | "&amp;CR$6,'Job Master'!$F$12:$I$102,4,0)&lt;&gt;""),IF(WEEKDAY(DA500-VLOOKUP($P500&amp;" | "&amp;CR$6,'Job Master'!$F$12:$I$102,4,0))&lt;&gt;7,DA500-VLOOKUP($P500&amp;" | "&amp;CR$6,'Job Master'!$F$12:$I$102,4,0),DA500-VLOOKUP($P500&amp;" | "&amp;CR$6,'Job Master'!$F$12:$I$102,4,0)-1),""),"")</f>
        <v/>
      </c>
      <c r="CU500" s="74"/>
      <c r="CV500" s="130" t="str">
        <f t="shared" si="925"/>
        <v/>
      </c>
      <c r="CW500" s="130" t="str">
        <f t="shared" si="926"/>
        <v/>
      </c>
      <c r="CX500" s="115" t="str">
        <f t="shared" ca="1" si="927"/>
        <v/>
      </c>
      <c r="CY500" s="114" t="str">
        <f>IF(DA500&lt;&gt;"",VLOOKUP($P500&amp;" | "&amp;CY$6,'Job Master'!$F$12:$J$102,5,0),"")</f>
        <v/>
      </c>
      <c r="CZ500" s="32" t="str">
        <f>IF(DA500&lt;&gt;"",VLOOKUP($P500&amp;" | "&amp;CY$6,'Job Master'!$F$12:$J$102,3,0),"")</f>
        <v/>
      </c>
      <c r="DA500" s="32" t="str">
        <f>IFERROR(IF(AND(DH500&lt;&gt;"",VLOOKUP($P500&amp;" | "&amp;CY$6,'Job Master'!$F$12:$I$102,4,0)&lt;&gt;""),IF(WEEKDAY(DH500-VLOOKUP($P500&amp;" | "&amp;CY$6,'Job Master'!$F$12:$I$102,4,0))&lt;&gt;7,DH500-VLOOKUP($P500&amp;" | "&amp;CY$6,'Job Master'!$F$12:$I$102,4,0),DH500-VLOOKUP($P500&amp;" | "&amp;CY$6,'Job Master'!$F$12:$I$102,4,0)-1),""),"")</f>
        <v/>
      </c>
      <c r="DB500" s="74"/>
      <c r="DC500" s="130" t="str">
        <f t="shared" si="928"/>
        <v/>
      </c>
      <c r="DD500" s="130" t="str">
        <f t="shared" si="929"/>
        <v/>
      </c>
      <c r="DE500" s="115" t="str">
        <f t="shared" ca="1" si="930"/>
        <v/>
      </c>
      <c r="DF500" s="114" t="str">
        <f>IF(DH500&lt;&gt;"",VLOOKUP($P500&amp;" | "&amp;DF$6,'Job Master'!$F$12:$J$102,5,0),"")</f>
        <v/>
      </c>
      <c r="DG500" s="32" t="str">
        <f>IF(DH500&lt;&gt;"",VLOOKUP($P500&amp;" | "&amp;DF$6,'Job Master'!$F$12:$J$102,3,0),"")</f>
        <v/>
      </c>
      <c r="DH500" s="32" t="str">
        <f>IFERROR(IF(AND(DO500&lt;&gt;"",VLOOKUP($P500&amp;" | "&amp;DF$6,'Job Master'!$F$12:$I$102,4,0)&lt;&gt;""),IF(WEEKDAY(DO500-VLOOKUP($P500&amp;" | "&amp;DF$6,'Job Master'!$F$12:$I$102,4,0))&lt;&gt;7,DO500-VLOOKUP($P500&amp;" | "&amp;DF$6,'Job Master'!$F$12:$I$102,4,0),DO500-VLOOKUP($P500&amp;" | "&amp;DF$6,'Job Master'!$F$12:$I$102,4,0)-1),""),"")</f>
        <v/>
      </c>
      <c r="DI500" s="74"/>
      <c r="DJ500" s="130" t="str">
        <f t="shared" si="931"/>
        <v/>
      </c>
      <c r="DK500" s="130" t="str">
        <f t="shared" si="932"/>
        <v/>
      </c>
      <c r="DL500" s="115" t="str">
        <f t="shared" ca="1" si="933"/>
        <v/>
      </c>
      <c r="DM500" s="114" t="str">
        <f>IF(DO500&lt;&gt;"",VLOOKUP($P500&amp;" | "&amp;DM$6,'Job Master'!$F$12:$J$102,5,0),"")</f>
        <v/>
      </c>
      <c r="DN500" s="32" t="str">
        <f>IF(DO500&lt;&gt;"",VLOOKUP($P500&amp;" | "&amp;DM$6,'Job Master'!$F$12:$J$102,3,0),"")</f>
        <v/>
      </c>
      <c r="DO500" s="32" t="str">
        <f>IFERROR(IF(AND(DT500&lt;&gt;"",VLOOKUP($P500&amp;" | "&amp;DM$6,'Job Master'!$F$12:$I$102,4,0)&lt;&gt;""),IF(WEEKDAY(DT500-VLOOKUP($P500&amp;" | "&amp;DM$6,'Job Master'!$F$12:$I$102,4,0))&lt;&gt;7,DT500-VLOOKUP($P500&amp;" | "&amp;DM$6,'Job Master'!$F$12:$I$102,4,0),DT500-VLOOKUP($P500&amp;" | "&amp;DM$6,'Job Master'!$F$12:$I$102,4,0)-1),""),"")</f>
        <v/>
      </c>
      <c r="DP500" s="74"/>
      <c r="DQ500" s="130" t="str">
        <f t="shared" si="934"/>
        <v/>
      </c>
      <c r="DR500" s="130" t="str">
        <f t="shared" si="935"/>
        <v/>
      </c>
      <c r="DS500" s="115" t="str">
        <f t="shared" ca="1" si="936"/>
        <v/>
      </c>
      <c r="DT500" s="71" t="str">
        <f t="shared" si="937"/>
        <v/>
      </c>
      <c r="DU500" s="91"/>
      <c r="DV500" s="130" t="str">
        <f t="shared" si="938"/>
        <v/>
      </c>
      <c r="DW500" s="130" t="str">
        <f t="shared" si="939"/>
        <v/>
      </c>
      <c r="DX500" s="133" t="str">
        <f t="shared" ref="DX500" ca="1" si="994">IF(DT500&lt;&gt;"",IF(WEEKNUM(DT500)=WEEKNUM(TODAY()),"This Week",IF(WEEKNUM(DT500)=WEEKNUM(TODAY())+1,"Next Week",IF(WEEKNUM(DT500)=WEEKNUM(TODAY())-1,"Previous Week",""))),"")</f>
        <v/>
      </c>
      <c r="DY500" s="135" t="str">
        <f t="shared" si="941"/>
        <v/>
      </c>
      <c r="DZ500" s="96"/>
      <c r="EB500" s="8" t="str">
        <f t="shared" si="947"/>
        <v/>
      </c>
      <c r="EC500" s="8" t="str">
        <f>IF(O500&lt;&gt;"",VLOOKUP(O500,'Job Master'!$N$12:$O$18,2,0),"")</f>
        <v/>
      </c>
      <c r="ED500" s="8">
        <f t="shared" si="948"/>
        <v>19.5</v>
      </c>
      <c r="EE500" s="8">
        <f t="shared" si="949"/>
        <v>6</v>
      </c>
      <c r="EF500" s="8">
        <f t="shared" si="950"/>
        <v>-2920.5</v>
      </c>
      <c r="EG500" s="8" t="str">
        <f t="shared" si="951"/>
        <v/>
      </c>
      <c r="EH500" s="8" t="str">
        <f t="shared" si="952"/>
        <v/>
      </c>
    </row>
  </sheetData>
  <sheetProtection algorithmName="SHA-512" hashValue="yhAMravZXXIP4Wuw9wCQb7m5wrruTkYdeOJHUH9hKCYOdcjfG8o04kHT08ENg+7wMY7/SlSEDrHwDL6Swq1/sQ==" saltValue="UP8fPNd+RSRLTXVdLUZQPQ==" spinCount="100000" sheet="1" selectLockedCells="1"/>
  <mergeCells count="17">
    <mergeCell ref="BP6:BV6"/>
    <mergeCell ref="DT6:DX6"/>
    <mergeCell ref="E2:I5"/>
    <mergeCell ref="K2:M5"/>
    <mergeCell ref="CR2:DZ5"/>
    <mergeCell ref="O2:CN5"/>
    <mergeCell ref="DF6:DL6"/>
    <mergeCell ref="DM6:DS6"/>
    <mergeCell ref="BW6:CC6"/>
    <mergeCell ref="CD6:CJ6"/>
    <mergeCell ref="CK6:CQ6"/>
    <mergeCell ref="CR6:CX6"/>
    <mergeCell ref="CY6:DE6"/>
    <mergeCell ref="AN6:AT6"/>
    <mergeCell ref="AU6:BA6"/>
    <mergeCell ref="BB6:BH6"/>
    <mergeCell ref="BI6:BO6"/>
  </mergeCells>
  <conditionalFormatting sqref="C8:M500">
    <cfRule type="expression" dxfId="3" priority="40">
      <formula>$AA8&lt;&gt;""</formula>
    </cfRule>
  </conditionalFormatting>
  <conditionalFormatting sqref="AQ8:AQ500 AX8:AX500 BE8:BE500 BL8:BL500 BS8:BS500 BZ8:BZ500 CG8:CG500 CN8:CN500 CU8:CU500 DB8:DB500 DI8:DI500 DP8:DP500 DU8:DU500">
    <cfRule type="expression" dxfId="2" priority="3">
      <formula>AQ8&gt;AP8</formula>
    </cfRule>
    <cfRule type="expression" dxfId="1" priority="2">
      <formula>AQ8&lt;=AP8</formula>
    </cfRule>
    <cfRule type="containsBlanks" dxfId="0" priority="1">
      <formula>LEN(TRIM(AQ8))=0</formula>
    </cfRule>
  </conditionalFormatting>
  <dataValidations count="3">
    <dataValidation type="list" allowBlank="1" showInputMessage="1" showErrorMessage="1" sqref="Q8:Q500" xr:uid="{9C74596E-4875-4AEC-B5A5-46B3E42D636D}">
      <formula1>"1 Way, 2 Way, 3 Way, 4 Way, 5 Way"</formula1>
    </dataValidation>
    <dataValidation type="list" allowBlank="1" showInputMessage="1" showErrorMessage="1" sqref="O8:O500" xr:uid="{EB7ACDFA-A01C-406F-9475-13ABD063C76A}">
      <formula1>"AEGIS+, AEGIS 12, AEGIS 36, MCR, OIL, SABRE, SPARES"</formula1>
    </dataValidation>
    <dataValidation type="list" allowBlank="1" showInputMessage="1" showErrorMessage="1" sqref="AL8:AL500" xr:uid="{AA986B13-2BD5-4DD0-8238-D8081F58FFB8}">
      <formula1>"Manual, Motorized"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E0D248-96BC-4D85-A66E-EFA05DF6FB9A}">
  <sheetPr codeName="Sheet3"/>
  <dimension ref="B1:AA6426"/>
  <sheetViews>
    <sheetView zoomScale="80" workbookViewId="0">
      <selection activeCell="D6" sqref="D6"/>
    </sheetView>
  </sheetViews>
  <sheetFormatPr defaultRowHeight="14.4" x14ac:dyDescent="0.3"/>
  <cols>
    <col min="1" max="1" width="1.77734375" style="8" customWidth="1"/>
    <col min="2" max="2" width="15.33203125" style="8" hidden="1" customWidth="1"/>
    <col min="3" max="3" width="8.88671875" style="8"/>
    <col min="4" max="4" width="13.5546875" style="8" bestFit="1" customWidth="1"/>
    <col min="5" max="5" width="16.33203125" style="8" customWidth="1"/>
    <col min="6" max="6" width="8.88671875" style="8"/>
    <col min="7" max="7" width="24.88671875" style="8" customWidth="1"/>
    <col min="8" max="8" width="8.88671875" style="8"/>
    <col min="9" max="9" width="12.109375" style="8" customWidth="1"/>
    <col min="10" max="10" width="12.5546875" style="8" bestFit="1" customWidth="1"/>
    <col min="11" max="11" width="16.33203125" style="8" customWidth="1"/>
    <col min="12" max="12" width="12" style="8" customWidth="1"/>
    <col min="13" max="15" width="8.88671875" style="8" customWidth="1"/>
    <col min="16" max="16" width="10.77734375" style="8" customWidth="1"/>
    <col min="17" max="18" width="12.5546875" style="8" bestFit="1" customWidth="1"/>
    <col min="19" max="19" width="11.33203125" style="8" bestFit="1" customWidth="1"/>
    <col min="20" max="20" width="16.6640625" style="8" customWidth="1"/>
    <col min="21" max="21" width="15" style="8" customWidth="1"/>
    <col min="22" max="24" width="8.88671875" style="8"/>
    <col min="25" max="25" width="12" style="8" hidden="1" customWidth="1"/>
    <col min="26" max="26" width="13.44140625" style="8" hidden="1" customWidth="1"/>
    <col min="27" max="27" width="0" style="48" hidden="1" customWidth="1"/>
    <col min="28" max="16384" width="8.88671875" style="8"/>
  </cols>
  <sheetData>
    <row r="1" spans="2:27" ht="10.050000000000001" customHeight="1" thickBot="1" x14ac:dyDescent="0.35">
      <c r="Y1" s="9"/>
      <c r="Z1" s="9"/>
      <c r="AA1" s="8"/>
    </row>
    <row r="2" spans="2:27" ht="14.4" customHeight="1" x14ac:dyDescent="0.3">
      <c r="B2" s="10"/>
      <c r="C2" s="21"/>
      <c r="D2" s="22"/>
      <c r="E2" s="22"/>
      <c r="F2" s="188" t="s">
        <v>110</v>
      </c>
      <c r="G2" s="189"/>
      <c r="H2" s="189"/>
      <c r="I2" s="173"/>
      <c r="J2" s="173"/>
      <c r="K2" s="173"/>
      <c r="L2" s="173"/>
      <c r="M2" s="173"/>
      <c r="N2" s="173"/>
      <c r="O2" s="173"/>
      <c r="P2" s="173"/>
      <c r="Q2" s="173"/>
      <c r="R2" s="155"/>
      <c r="S2" s="155"/>
      <c r="T2" s="155"/>
      <c r="U2" s="156"/>
      <c r="AA2" s="8"/>
    </row>
    <row r="3" spans="2:27" x14ac:dyDescent="0.3">
      <c r="B3" s="12"/>
      <c r="C3" s="23"/>
      <c r="D3" s="24"/>
      <c r="E3" s="24"/>
      <c r="F3" s="190"/>
      <c r="G3" s="190"/>
      <c r="H3" s="190"/>
      <c r="I3" s="174"/>
      <c r="J3" s="174"/>
      <c r="K3" s="174"/>
      <c r="L3" s="174"/>
      <c r="M3" s="174"/>
      <c r="N3" s="174"/>
      <c r="O3" s="174"/>
      <c r="P3" s="174"/>
      <c r="Q3" s="174"/>
      <c r="R3" s="157"/>
      <c r="S3" s="157"/>
      <c r="T3" s="157"/>
      <c r="U3" s="158"/>
      <c r="Y3" s="47" t="str">
        <f ca="1">IF(AND('Planning Sheet'!$AT8='Weeks Plan'!$D$6,'Planning Sheet'!$AN8='Weeks Plan'!$G$6),'Planning Sheet'!$B8,"")</f>
        <v/>
      </c>
      <c r="Z3" s="47" t="str">
        <f ca="1">IF(AND('Planning Sheet'!$AT8='Weeks Plan'!$D$6,'Planning Sheet'!$AN8='Weeks Plan'!$G$6),'Planning Sheet'!AO8,"")</f>
        <v/>
      </c>
      <c r="AA3" s="47" t="str">
        <f ca="1">IF(AND('Planning Sheet'!$AT8='Weeks Plan'!$D$6,'Planning Sheet'!$AN8='Weeks Plan'!$G$6),'Planning Sheet'!AP8,"")</f>
        <v/>
      </c>
    </row>
    <row r="4" spans="2:27" x14ac:dyDescent="0.3">
      <c r="B4" s="12"/>
      <c r="C4" s="23"/>
      <c r="D4" s="24"/>
      <c r="E4" s="24"/>
      <c r="F4" s="190"/>
      <c r="G4" s="190"/>
      <c r="H4" s="190"/>
      <c r="I4" s="174"/>
      <c r="J4" s="174"/>
      <c r="K4" s="174"/>
      <c r="L4" s="174"/>
      <c r="M4" s="174"/>
      <c r="N4" s="174"/>
      <c r="O4" s="174"/>
      <c r="P4" s="174"/>
      <c r="Q4" s="174"/>
      <c r="R4" s="157"/>
      <c r="S4" s="157"/>
      <c r="T4" s="157"/>
      <c r="U4" s="158"/>
      <c r="Y4" s="48" t="str">
        <f ca="1">IF(AND('Planning Sheet'!$AT9='Weeks Plan'!$D$6,'Planning Sheet'!$AN9='Weeks Plan'!$G$6),'Planning Sheet'!$B9,"")</f>
        <v/>
      </c>
      <c r="Z4" s="48" t="str">
        <f ca="1">IF(AND('Planning Sheet'!$AT9='Weeks Plan'!$D$6,'Planning Sheet'!$AN9='Weeks Plan'!$G$6),'Planning Sheet'!$AO9,"")</f>
        <v/>
      </c>
      <c r="AA4" s="48" t="str">
        <f ca="1">IF(AND('Planning Sheet'!$AT9='Weeks Plan'!$D$6,'Planning Sheet'!$AN9='Weeks Plan'!$G$6),'Planning Sheet'!AP9,"")</f>
        <v/>
      </c>
    </row>
    <row r="5" spans="2:27" ht="15" thickBot="1" x14ac:dyDescent="0.35">
      <c r="B5" s="12"/>
      <c r="C5" s="52"/>
      <c r="D5" s="53"/>
      <c r="E5" s="53"/>
      <c r="F5" s="191"/>
      <c r="G5" s="191"/>
      <c r="H5" s="191"/>
      <c r="I5" s="175"/>
      <c r="J5" s="175"/>
      <c r="K5" s="175"/>
      <c r="L5" s="175"/>
      <c r="M5" s="175"/>
      <c r="N5" s="175"/>
      <c r="O5" s="175"/>
      <c r="P5" s="175"/>
      <c r="Q5" s="175"/>
      <c r="R5" s="159"/>
      <c r="S5" s="159"/>
      <c r="T5" s="159"/>
      <c r="U5" s="160"/>
      <c r="Y5" s="48" t="str">
        <f ca="1">IF(AND('Planning Sheet'!$AT10='Weeks Plan'!$D$6,'Planning Sheet'!$AN10='Weeks Plan'!$G$6),'Planning Sheet'!$B10,"")</f>
        <v/>
      </c>
      <c r="Z5" s="48" t="str">
        <f ca="1">IF(AND('Planning Sheet'!$AT10='Weeks Plan'!$D$6,'Planning Sheet'!$AN10='Weeks Plan'!$G$6),'Planning Sheet'!$AO10,"")</f>
        <v/>
      </c>
      <c r="AA5" s="48" t="str">
        <f ca="1">IF(AND('Planning Sheet'!$AT10='Weeks Plan'!$D$6,'Planning Sheet'!$AN10='Weeks Plan'!$G$6),'Planning Sheet'!AP10,"")</f>
        <v/>
      </c>
    </row>
    <row r="6" spans="2:27" s="13" customFormat="1" x14ac:dyDescent="0.3">
      <c r="B6" s="14"/>
      <c r="C6" s="106" t="s">
        <v>76</v>
      </c>
      <c r="D6" s="104" t="s">
        <v>77</v>
      </c>
      <c r="E6" s="103"/>
      <c r="F6" s="105" t="s">
        <v>84</v>
      </c>
      <c r="G6" s="104" t="s">
        <v>83</v>
      </c>
      <c r="H6" s="103"/>
      <c r="I6" s="103"/>
      <c r="J6" s="103"/>
      <c r="K6" s="103"/>
      <c r="L6" s="103"/>
      <c r="M6" s="103"/>
      <c r="N6" s="103"/>
      <c r="O6" s="103"/>
      <c r="P6" s="103"/>
      <c r="Q6" s="103"/>
      <c r="R6" s="103"/>
      <c r="S6" s="103"/>
      <c r="T6" s="103"/>
      <c r="U6" s="107"/>
      <c r="Y6" s="48" t="str">
        <f ca="1">IF(AND('Planning Sheet'!$AT11='Weeks Plan'!$D$6,'Planning Sheet'!$AN11='Weeks Plan'!$G$6),'Planning Sheet'!$B11,"")</f>
        <v/>
      </c>
      <c r="Z6" s="48" t="str">
        <f ca="1">IF(AND('Planning Sheet'!$AT11='Weeks Plan'!$D$6,'Planning Sheet'!$AN11='Weeks Plan'!$G$6),'Planning Sheet'!$AO11,"")</f>
        <v/>
      </c>
      <c r="AA6" s="48" t="str">
        <f ca="1">IF(AND('Planning Sheet'!$AT11='Weeks Plan'!$D$6,'Planning Sheet'!$AN11='Weeks Plan'!$G$6),'Planning Sheet'!AP11,"")</f>
        <v/>
      </c>
    </row>
    <row r="7" spans="2:27" s="15" customFormat="1" ht="28.8" x14ac:dyDescent="0.3">
      <c r="B7" s="16" t="s">
        <v>0</v>
      </c>
      <c r="C7" s="108" t="s">
        <v>1</v>
      </c>
      <c r="D7" s="55" t="s">
        <v>85</v>
      </c>
      <c r="E7" s="55" t="s">
        <v>16</v>
      </c>
      <c r="F7" s="55" t="s">
        <v>17</v>
      </c>
      <c r="G7" s="55" t="s">
        <v>2</v>
      </c>
      <c r="H7" s="55" t="s">
        <v>8</v>
      </c>
      <c r="I7" s="55" t="s">
        <v>9</v>
      </c>
      <c r="J7" s="55" t="s">
        <v>4</v>
      </c>
      <c r="K7" s="55" t="s">
        <v>19</v>
      </c>
      <c r="L7" s="55" t="s">
        <v>10</v>
      </c>
      <c r="M7" s="55" t="s">
        <v>11</v>
      </c>
      <c r="N7" s="55" t="s">
        <v>12</v>
      </c>
      <c r="O7" s="55" t="s">
        <v>23</v>
      </c>
      <c r="P7" s="55" t="s">
        <v>86</v>
      </c>
      <c r="Q7" s="55" t="s">
        <v>13</v>
      </c>
      <c r="R7" s="55" t="s">
        <v>14</v>
      </c>
      <c r="S7" s="55" t="s">
        <v>18</v>
      </c>
      <c r="T7" s="55" t="s">
        <v>45</v>
      </c>
      <c r="U7" s="56" t="s">
        <v>96</v>
      </c>
      <c r="Y7" s="48" t="str">
        <f ca="1">IF(AND('Planning Sheet'!$AT12='Weeks Plan'!$D$6,'Planning Sheet'!$AN12='Weeks Plan'!$G$6),'Planning Sheet'!$B12,"")</f>
        <v/>
      </c>
      <c r="Z7" s="48" t="str">
        <f ca="1">IF(AND('Planning Sheet'!$AT12='Weeks Plan'!$D$6,'Planning Sheet'!$AN12='Weeks Plan'!$G$6),'Planning Sheet'!$AO12,"")</f>
        <v/>
      </c>
      <c r="AA7" s="48" t="str">
        <f ca="1">IF(AND('Planning Sheet'!$AT12='Weeks Plan'!$D$6,'Planning Sheet'!$AN12='Weeks Plan'!$G$6),'Planning Sheet'!AP12,"")</f>
        <v/>
      </c>
    </row>
    <row r="8" spans="2:27" hidden="1" x14ac:dyDescent="0.3">
      <c r="B8" s="17" cm="1">
        <f t="array" aca="1" ref="B8:B9" ca="1">_xlfn.UNIQUE(Y2:Y6425)</f>
        <v>0</v>
      </c>
      <c r="C8" s="75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76"/>
      <c r="Y8" s="48" t="str">
        <f ca="1">IF(AND('Planning Sheet'!$AT13='Weeks Plan'!$D$6,'Planning Sheet'!$AN13='Weeks Plan'!$G$6),'Planning Sheet'!$B13,"")</f>
        <v/>
      </c>
      <c r="Z8" s="48" t="str">
        <f ca="1">IF(AND('Planning Sheet'!$AT13='Weeks Plan'!$D$6,'Planning Sheet'!$AN13='Weeks Plan'!$G$6),'Planning Sheet'!$AO13,"")</f>
        <v/>
      </c>
      <c r="AA8" s="48" t="str">
        <f ca="1">IF(AND('Planning Sheet'!$AT13='Weeks Plan'!$D$6,'Planning Sheet'!$AN13='Weeks Plan'!$G$6),'Planning Sheet'!AP13,"")</f>
        <v/>
      </c>
    </row>
    <row r="9" spans="2:27" hidden="1" x14ac:dyDescent="0.3">
      <c r="B9" s="17" t="str">
        <f ca="1"/>
        <v/>
      </c>
      <c r="C9" s="75"/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18"/>
      <c r="R9" s="18"/>
      <c r="S9" s="18"/>
      <c r="T9" s="18"/>
      <c r="U9" s="76"/>
      <c r="Y9" s="48" t="str">
        <f ca="1">IF(AND('Planning Sheet'!$AT14='Weeks Plan'!$D$6,'Planning Sheet'!$AN14='Weeks Plan'!$G$6),'Planning Sheet'!$B14,"")</f>
        <v/>
      </c>
      <c r="Z9" s="48" t="str">
        <f ca="1">IF(AND('Planning Sheet'!$AT14='Weeks Plan'!$D$6,'Planning Sheet'!$AN14='Weeks Plan'!$G$6),'Planning Sheet'!$AO14,"")</f>
        <v/>
      </c>
      <c r="AA9" s="48" t="str">
        <f ca="1">IF(AND('Planning Sheet'!$AT14='Weeks Plan'!$D$6,'Planning Sheet'!$AN14='Weeks Plan'!$G$6),'Planning Sheet'!AP14,"")</f>
        <v/>
      </c>
    </row>
    <row r="10" spans="2:27" x14ac:dyDescent="0.3">
      <c r="B10" s="17"/>
      <c r="C10" s="75" t="str">
        <f>IF($B10&lt;&gt;"",VLOOKUP($B10,'Planning Sheet'!$B$8:$AL$500,3,0),"")</f>
        <v/>
      </c>
      <c r="D10" s="18" t="str">
        <f>IF($B10&lt;&gt;"",VLOOKUP($B10,'Planning Sheet'!$B$8:$AL$500,5,0),"")</f>
        <v/>
      </c>
      <c r="E10" s="18" t="str">
        <f>IF($B10&lt;&gt;"",VLOOKUP($B10,'Planning Sheet'!$B$8:$AL$500,7,0),"")</f>
        <v/>
      </c>
      <c r="F10" s="18" t="str">
        <f>IF($B10&lt;&gt;"",VLOOKUP($B10,'Planning Sheet'!$B$8:$AL$500,9,0),"")</f>
        <v/>
      </c>
      <c r="G10" s="18" t="str">
        <f>IF($B10&lt;&gt;"",VLOOKUP($B10,'Planning Sheet'!$B$8:$AL$500,11,0),"")</f>
        <v/>
      </c>
      <c r="H10" s="18" t="str">
        <f>IF($B10&lt;&gt;"",VLOOKUP($B10,'Planning Sheet'!$B$8:$AL$500,13,0),"")</f>
        <v/>
      </c>
      <c r="I10" s="18" t="str">
        <f>IF($B10&lt;&gt;"",VLOOKUP($B10,'Planning Sheet'!$B$8:$AL$500,15,0),"")</f>
        <v/>
      </c>
      <c r="J10" s="18" t="str">
        <f>IF($B10&lt;&gt;"",VLOOKUP($B10,'Planning Sheet'!$B$8:$AL$500,17,0),"")</f>
        <v/>
      </c>
      <c r="K10" s="18" t="str">
        <f>IF($B10&lt;&gt;"",VLOOKUP($B10,'Planning Sheet'!$B$8:$AL$500,19,0),"")</f>
        <v/>
      </c>
      <c r="L10" s="18" t="str">
        <f>IF($B10&lt;&gt;"",VLOOKUP($B10,'Planning Sheet'!$B$8:$AL$500,21,0),"")</f>
        <v/>
      </c>
      <c r="M10" s="18" t="str">
        <f>IF($B10&lt;&gt;"",VLOOKUP($B10,'Planning Sheet'!$B$8:$AL$500,23,0),"")</f>
        <v/>
      </c>
      <c r="N10" s="18" t="str">
        <f>IF($B10&lt;&gt;"",VLOOKUP($B10,'Planning Sheet'!$B$8:$AL$500,25,0),"")</f>
        <v/>
      </c>
      <c r="O10" s="18" t="str">
        <f>IF($B10&lt;&gt;"",VLOOKUP($B10,'Planning Sheet'!$B$8:$AL$500,26,0),"")</f>
        <v/>
      </c>
      <c r="P10" s="19" t="str">
        <f>IF($B10&lt;&gt;"",VLOOKUP($B10,'Planning Sheet'!$B$8:$AL$500,27,0),"")</f>
        <v/>
      </c>
      <c r="Q10" s="19" t="str">
        <f>IF($B10&lt;&gt;"",VLOOKUP($B10,'Planning Sheet'!$B$8:$AL$500,34,0),"")</f>
        <v/>
      </c>
      <c r="R10" s="19" t="str">
        <f>IF($B10&lt;&gt;"",VLOOKUP($B10,'Planning Sheet'!$B$8:$AL$500,36,0),"")</f>
        <v/>
      </c>
      <c r="S10" s="19" t="str">
        <f>IF($B10&lt;&gt;"",VLOOKUP($B10,'Planning Sheet'!$B$8:$AM$500,38,0),"")</f>
        <v/>
      </c>
      <c r="T10" s="18" t="str">
        <f>IF(B10&lt;&gt;"",VLOOKUP(B10,$Y$3:$Z$6425,2,0),"")</f>
        <v/>
      </c>
      <c r="U10" s="100" t="str">
        <f>IF(B10&lt;&gt;"",VLOOKUP(B10,$Y$3:$AA$6425,3,0),"")</f>
        <v/>
      </c>
      <c r="Y10" s="48" t="str">
        <f ca="1">IF(AND('Planning Sheet'!$AT15='Weeks Plan'!$D$6,'Planning Sheet'!$AN15='Weeks Plan'!$G$6),'Planning Sheet'!$B15,"")</f>
        <v/>
      </c>
      <c r="Z10" s="48" t="str">
        <f ca="1">IF(AND('Planning Sheet'!$AT15='Weeks Plan'!$D$6,'Planning Sheet'!$AN15='Weeks Plan'!$G$6),'Planning Sheet'!$AO15,"")</f>
        <v/>
      </c>
      <c r="AA10" s="48" t="str">
        <f ca="1">IF(AND('Planning Sheet'!$AT15='Weeks Plan'!$D$6,'Planning Sheet'!$AN15='Weeks Plan'!$G$6),'Planning Sheet'!AP15,"")</f>
        <v/>
      </c>
    </row>
    <row r="11" spans="2:27" x14ac:dyDescent="0.3">
      <c r="B11" s="17"/>
      <c r="C11" s="75" t="str">
        <f>IF($B11&lt;&gt;"",VLOOKUP($B11,'Planning Sheet'!$B$8:$AL$500,3,0),"")</f>
        <v/>
      </c>
      <c r="D11" s="18" t="str">
        <f>IF($B11&lt;&gt;"",VLOOKUP($B11,'Planning Sheet'!$B$8:$AL$500,5,0),"")</f>
        <v/>
      </c>
      <c r="E11" s="18" t="str">
        <f>IF($B11&lt;&gt;"",VLOOKUP($B11,'Planning Sheet'!$B$8:$AL$500,7,0),"")</f>
        <v/>
      </c>
      <c r="F11" s="18" t="str">
        <f>IF($B11&lt;&gt;"",VLOOKUP($B11,'Planning Sheet'!$B$8:$AL$500,9,0),"")</f>
        <v/>
      </c>
      <c r="G11" s="18" t="str">
        <f>IF($B11&lt;&gt;"",VLOOKUP($B11,'Planning Sheet'!$B$8:$AL$500,11,0),"")</f>
        <v/>
      </c>
      <c r="H11" s="18" t="str">
        <f>IF($B11&lt;&gt;"",VLOOKUP($B11,'Planning Sheet'!$B$8:$AL$500,13,0),"")</f>
        <v/>
      </c>
      <c r="I11" s="18" t="str">
        <f>IF($B11&lt;&gt;"",VLOOKUP($B11,'Planning Sheet'!$B$8:$AL$500,15,0),"")</f>
        <v/>
      </c>
      <c r="J11" s="18" t="str">
        <f>IF($B11&lt;&gt;"",VLOOKUP($B11,'Planning Sheet'!$B$8:$AL$500,17,0),"")</f>
        <v/>
      </c>
      <c r="K11" s="18" t="str">
        <f>IF($B11&lt;&gt;"",VLOOKUP($B11,'Planning Sheet'!$B$8:$AL$500,19,0),"")</f>
        <v/>
      </c>
      <c r="L11" s="18" t="str">
        <f>IF($B11&lt;&gt;"",VLOOKUP($B11,'Planning Sheet'!$B$8:$AL$500,21,0),"")</f>
        <v/>
      </c>
      <c r="M11" s="18" t="str">
        <f>IF($B11&lt;&gt;"",VLOOKUP($B11,'Planning Sheet'!$B$8:$AL$500,23,0),"")</f>
        <v/>
      </c>
      <c r="N11" s="18" t="str">
        <f>IF($B11&lt;&gt;"",VLOOKUP($B11,'Planning Sheet'!$B$8:$AL$500,25,0),"")</f>
        <v/>
      </c>
      <c r="O11" s="18" t="str">
        <f>IF($B11&lt;&gt;"",VLOOKUP($B11,'Planning Sheet'!$B$8:$AL$500,26,0),"")</f>
        <v/>
      </c>
      <c r="P11" s="19" t="str">
        <f>IF($B11&lt;&gt;"",VLOOKUP($B11,'Planning Sheet'!$B$8:$AL$500,27,0),"")</f>
        <v/>
      </c>
      <c r="Q11" s="19" t="str">
        <f>IF($B11&lt;&gt;"",VLOOKUP($B11,'Planning Sheet'!$B$8:$AL$500,34,0),"")</f>
        <v/>
      </c>
      <c r="R11" s="19" t="str">
        <f>IF($B11&lt;&gt;"",VLOOKUP($B11,'Planning Sheet'!$B$8:$AL$500,36,0),"")</f>
        <v/>
      </c>
      <c r="S11" s="19" t="str">
        <f>IF($B11&lt;&gt;"",VLOOKUP($B11,'Planning Sheet'!$B$8:$AM$500,38,0),"")</f>
        <v/>
      </c>
      <c r="T11" s="18" t="str">
        <f>IF(B11&lt;&gt;"",VLOOKUP(B11,$Y$3:$Z$6425,2,0),"")</f>
        <v/>
      </c>
      <c r="U11" s="100" t="str">
        <f t="shared" ref="U11:U74" si="0">IF(B11&lt;&gt;"",VLOOKUP(B11,$Y$3:$AA$6425,3,0),"")</f>
        <v/>
      </c>
      <c r="Y11" s="48" t="str">
        <f ca="1">IF(AND('Planning Sheet'!$AT16='Weeks Plan'!$D$6,'Planning Sheet'!$AN16='Weeks Plan'!$G$6),'Planning Sheet'!$B16,"")</f>
        <v/>
      </c>
      <c r="Z11" s="48" t="str">
        <f ca="1">IF(AND('Planning Sheet'!$AT16='Weeks Plan'!$D$6,'Planning Sheet'!$AN16='Weeks Plan'!$G$6),'Planning Sheet'!$AO16,"")</f>
        <v/>
      </c>
      <c r="AA11" s="48" t="str">
        <f ca="1">IF(AND('Planning Sheet'!$AT16='Weeks Plan'!$D$6,'Planning Sheet'!$AN16='Weeks Plan'!$G$6),'Planning Sheet'!AP16,"")</f>
        <v/>
      </c>
    </row>
    <row r="12" spans="2:27" x14ac:dyDescent="0.3">
      <c r="B12" s="17"/>
      <c r="C12" s="75" t="str">
        <f>IF($B12&lt;&gt;"",VLOOKUP($B12,'Planning Sheet'!$B$8:$AL$500,3,0),"")</f>
        <v/>
      </c>
      <c r="D12" s="18" t="str">
        <f>IF($B12&lt;&gt;"",VLOOKUP($B12,'Planning Sheet'!$B$8:$AL$500,5,0),"")</f>
        <v/>
      </c>
      <c r="E12" s="18" t="str">
        <f>IF($B12&lt;&gt;"",VLOOKUP($B12,'Planning Sheet'!$B$8:$AL$500,7,0),"")</f>
        <v/>
      </c>
      <c r="F12" s="18" t="str">
        <f>IF($B12&lt;&gt;"",VLOOKUP($B12,'Planning Sheet'!$B$8:$AL$500,9,0),"")</f>
        <v/>
      </c>
      <c r="G12" s="18" t="str">
        <f>IF($B12&lt;&gt;"",VLOOKUP($B12,'Planning Sheet'!$B$8:$AL$500,11,0),"")</f>
        <v/>
      </c>
      <c r="H12" s="18" t="str">
        <f>IF($B12&lt;&gt;"",VLOOKUP($B12,'Planning Sheet'!$B$8:$AL$500,13,0),"")</f>
        <v/>
      </c>
      <c r="I12" s="18" t="str">
        <f>IF($B12&lt;&gt;"",VLOOKUP($B12,'Planning Sheet'!$B$8:$AL$500,15,0),"")</f>
        <v/>
      </c>
      <c r="J12" s="18" t="str">
        <f>IF($B12&lt;&gt;"",VLOOKUP($B12,'Planning Sheet'!$B$8:$AL$500,17,0),"")</f>
        <v/>
      </c>
      <c r="K12" s="18" t="str">
        <f>IF($B12&lt;&gt;"",VLOOKUP($B12,'Planning Sheet'!$B$8:$AL$500,19,0),"")</f>
        <v/>
      </c>
      <c r="L12" s="18" t="str">
        <f>IF($B12&lt;&gt;"",VLOOKUP($B12,'Planning Sheet'!$B$8:$AL$500,21,0),"")</f>
        <v/>
      </c>
      <c r="M12" s="18" t="str">
        <f>IF($B12&lt;&gt;"",VLOOKUP($B12,'Planning Sheet'!$B$8:$AL$500,23,0),"")</f>
        <v/>
      </c>
      <c r="N12" s="18" t="str">
        <f>IF($B12&lt;&gt;"",VLOOKUP($B12,'Planning Sheet'!$B$8:$AL$500,25,0),"")</f>
        <v/>
      </c>
      <c r="O12" s="18" t="str">
        <f>IF($B12&lt;&gt;"",VLOOKUP($B12,'Planning Sheet'!$B$8:$AL$500,26,0),"")</f>
        <v/>
      </c>
      <c r="P12" s="19" t="str">
        <f>IF($B12&lt;&gt;"",VLOOKUP($B12,'Planning Sheet'!$B$8:$AL$500,27,0),"")</f>
        <v/>
      </c>
      <c r="Q12" s="19" t="str">
        <f>IF($B12&lt;&gt;"",VLOOKUP($B12,'Planning Sheet'!$B$8:$AL$500,34,0),"")</f>
        <v/>
      </c>
      <c r="R12" s="19" t="str">
        <f>IF($B12&lt;&gt;"",VLOOKUP($B12,'Planning Sheet'!$B$8:$AL$500,36,0),"")</f>
        <v/>
      </c>
      <c r="S12" s="19" t="str">
        <f>IF($B12&lt;&gt;"",VLOOKUP($B12,'Planning Sheet'!$B$8:$AM$500,38,0),"")</f>
        <v/>
      </c>
      <c r="T12" s="18" t="str">
        <f t="shared" ref="T12:T75" si="1">IF(B12&lt;&gt;"",VLOOKUP(B12,$Y$3:$Z$6425,2,0),"")</f>
        <v/>
      </c>
      <c r="U12" s="100" t="str">
        <f t="shared" si="0"/>
        <v/>
      </c>
      <c r="Y12" s="48" t="str">
        <f ca="1">IF(AND('Planning Sheet'!$AT17='Weeks Plan'!$D$6,'Planning Sheet'!$AN17='Weeks Plan'!$G$6),'Planning Sheet'!$B17,"")</f>
        <v/>
      </c>
      <c r="Z12" s="48" t="str">
        <f ca="1">IF(AND('Planning Sheet'!$AT17='Weeks Plan'!$D$6,'Planning Sheet'!$AN17='Weeks Plan'!$G$6),'Planning Sheet'!$AO17,"")</f>
        <v/>
      </c>
      <c r="AA12" s="48" t="str">
        <f ca="1">IF(AND('Planning Sheet'!$AT17='Weeks Plan'!$D$6,'Planning Sheet'!$AN17='Weeks Plan'!$G$6),'Planning Sheet'!AP17,"")</f>
        <v/>
      </c>
    </row>
    <row r="13" spans="2:27" x14ac:dyDescent="0.3">
      <c r="B13" s="17"/>
      <c r="C13" s="75" t="str">
        <f>IF($B13&lt;&gt;"",VLOOKUP($B13,'Planning Sheet'!$B$8:$AL$500,3,0),"")</f>
        <v/>
      </c>
      <c r="D13" s="18" t="str">
        <f>IF($B13&lt;&gt;"",VLOOKUP($B13,'Planning Sheet'!$B$8:$AL$500,5,0),"")</f>
        <v/>
      </c>
      <c r="E13" s="18" t="str">
        <f>IF($B13&lt;&gt;"",VLOOKUP($B13,'Planning Sheet'!$B$8:$AL$500,7,0),"")</f>
        <v/>
      </c>
      <c r="F13" s="18" t="str">
        <f>IF($B13&lt;&gt;"",VLOOKUP($B13,'Planning Sheet'!$B$8:$AL$500,9,0),"")</f>
        <v/>
      </c>
      <c r="G13" s="18" t="str">
        <f>IF($B13&lt;&gt;"",VLOOKUP($B13,'Planning Sheet'!$B$8:$AL$500,11,0),"")</f>
        <v/>
      </c>
      <c r="H13" s="18" t="str">
        <f>IF($B13&lt;&gt;"",VLOOKUP($B13,'Planning Sheet'!$B$8:$AL$500,13,0),"")</f>
        <v/>
      </c>
      <c r="I13" s="18" t="str">
        <f>IF($B13&lt;&gt;"",VLOOKUP($B13,'Planning Sheet'!$B$8:$AL$500,15,0),"")</f>
        <v/>
      </c>
      <c r="J13" s="18" t="str">
        <f>IF($B13&lt;&gt;"",VLOOKUP($B13,'Planning Sheet'!$B$8:$AL$500,17,0),"")</f>
        <v/>
      </c>
      <c r="K13" s="18" t="str">
        <f>IF($B13&lt;&gt;"",VLOOKUP($B13,'Planning Sheet'!$B$8:$AL$500,19,0),"")</f>
        <v/>
      </c>
      <c r="L13" s="18" t="str">
        <f>IF($B13&lt;&gt;"",VLOOKUP($B13,'Planning Sheet'!$B$8:$AL$500,21,0),"")</f>
        <v/>
      </c>
      <c r="M13" s="18" t="str">
        <f>IF($B13&lt;&gt;"",VLOOKUP($B13,'Planning Sheet'!$B$8:$AL$500,23,0),"")</f>
        <v/>
      </c>
      <c r="N13" s="18" t="str">
        <f>IF($B13&lt;&gt;"",VLOOKUP($B13,'Planning Sheet'!$B$8:$AL$500,25,0),"")</f>
        <v/>
      </c>
      <c r="O13" s="18" t="str">
        <f>IF($B13&lt;&gt;"",VLOOKUP($B13,'Planning Sheet'!$B$8:$AL$500,26,0),"")</f>
        <v/>
      </c>
      <c r="P13" s="19" t="str">
        <f>IF($B13&lt;&gt;"",VLOOKUP($B13,'Planning Sheet'!$B$8:$AL$500,27,0),"")</f>
        <v/>
      </c>
      <c r="Q13" s="19" t="str">
        <f>IF($B13&lt;&gt;"",VLOOKUP($B13,'Planning Sheet'!$B$8:$AL$500,34,0),"")</f>
        <v/>
      </c>
      <c r="R13" s="19" t="str">
        <f>IF($B13&lt;&gt;"",VLOOKUP($B13,'Planning Sheet'!$B$8:$AL$500,36,0),"")</f>
        <v/>
      </c>
      <c r="S13" s="19" t="str">
        <f>IF($B13&lt;&gt;"",VLOOKUP($B13,'Planning Sheet'!$B$8:$AM$500,38,0),"")</f>
        <v/>
      </c>
      <c r="T13" s="18" t="str">
        <f t="shared" si="1"/>
        <v/>
      </c>
      <c r="U13" s="100" t="str">
        <f t="shared" si="0"/>
        <v/>
      </c>
      <c r="Y13" s="48" t="str">
        <f ca="1">IF(AND('Planning Sheet'!$AT18='Weeks Plan'!$D$6,'Planning Sheet'!$AN18='Weeks Plan'!$G$6),'Planning Sheet'!$B18,"")</f>
        <v/>
      </c>
      <c r="Z13" s="48" t="str">
        <f ca="1">IF(AND('Planning Sheet'!$AT18='Weeks Plan'!$D$6,'Planning Sheet'!$AN18='Weeks Plan'!$G$6),'Planning Sheet'!$AO18,"")</f>
        <v/>
      </c>
      <c r="AA13" s="48" t="str">
        <f ca="1">IF(AND('Planning Sheet'!$AT18='Weeks Plan'!$D$6,'Planning Sheet'!$AN18='Weeks Plan'!$G$6),'Planning Sheet'!AP18,"")</f>
        <v/>
      </c>
    </row>
    <row r="14" spans="2:27" x14ac:dyDescent="0.3">
      <c r="B14" s="17"/>
      <c r="C14" s="75" t="str">
        <f>IF($B14&lt;&gt;"",VLOOKUP($B14,'Planning Sheet'!$B$8:$AL$500,3,0),"")</f>
        <v/>
      </c>
      <c r="D14" s="18" t="str">
        <f>IF($B14&lt;&gt;"",VLOOKUP($B14,'Planning Sheet'!$B$8:$AL$500,5,0),"")</f>
        <v/>
      </c>
      <c r="E14" s="18" t="str">
        <f>IF($B14&lt;&gt;"",VLOOKUP($B14,'Planning Sheet'!$B$8:$AL$500,7,0),"")</f>
        <v/>
      </c>
      <c r="F14" s="18" t="str">
        <f>IF($B14&lt;&gt;"",VLOOKUP($B14,'Planning Sheet'!$B$8:$AL$500,9,0),"")</f>
        <v/>
      </c>
      <c r="G14" s="18" t="str">
        <f>IF($B14&lt;&gt;"",VLOOKUP($B14,'Planning Sheet'!$B$8:$AL$500,11,0),"")</f>
        <v/>
      </c>
      <c r="H14" s="18" t="str">
        <f>IF($B14&lt;&gt;"",VLOOKUP($B14,'Planning Sheet'!$B$8:$AL$500,13,0),"")</f>
        <v/>
      </c>
      <c r="I14" s="18" t="str">
        <f>IF($B14&lt;&gt;"",VLOOKUP($B14,'Planning Sheet'!$B$8:$AL$500,15,0),"")</f>
        <v/>
      </c>
      <c r="J14" s="18" t="str">
        <f>IF($B14&lt;&gt;"",VLOOKUP($B14,'Planning Sheet'!$B$8:$AL$500,17,0),"")</f>
        <v/>
      </c>
      <c r="K14" s="18" t="str">
        <f>IF($B14&lt;&gt;"",VLOOKUP($B14,'Planning Sheet'!$B$8:$AL$500,19,0),"")</f>
        <v/>
      </c>
      <c r="L14" s="18" t="str">
        <f>IF($B14&lt;&gt;"",VLOOKUP($B14,'Planning Sheet'!$B$8:$AL$500,21,0),"")</f>
        <v/>
      </c>
      <c r="M14" s="18" t="str">
        <f>IF($B14&lt;&gt;"",VLOOKUP($B14,'Planning Sheet'!$B$8:$AL$500,23,0),"")</f>
        <v/>
      </c>
      <c r="N14" s="18" t="str">
        <f>IF($B14&lt;&gt;"",VLOOKUP($B14,'Planning Sheet'!$B$8:$AL$500,25,0),"")</f>
        <v/>
      </c>
      <c r="O14" s="18" t="str">
        <f>IF($B14&lt;&gt;"",VLOOKUP($B14,'Planning Sheet'!$B$8:$AL$500,26,0),"")</f>
        <v/>
      </c>
      <c r="P14" s="19" t="str">
        <f>IF($B14&lt;&gt;"",VLOOKUP($B14,'Planning Sheet'!$B$8:$AL$500,27,0),"")</f>
        <v/>
      </c>
      <c r="Q14" s="19" t="str">
        <f>IF($B14&lt;&gt;"",VLOOKUP($B14,'Planning Sheet'!$B$8:$AL$500,34,0),"")</f>
        <v/>
      </c>
      <c r="R14" s="19" t="str">
        <f>IF($B14&lt;&gt;"",VLOOKUP($B14,'Planning Sheet'!$B$8:$AL$500,36,0),"")</f>
        <v/>
      </c>
      <c r="S14" s="19" t="str">
        <f>IF($B14&lt;&gt;"",VLOOKUP($B14,'Planning Sheet'!$B$8:$AM$500,38,0),"")</f>
        <v/>
      </c>
      <c r="T14" s="18" t="str">
        <f t="shared" si="1"/>
        <v/>
      </c>
      <c r="U14" s="100" t="str">
        <f t="shared" si="0"/>
        <v/>
      </c>
      <c r="Y14" s="48" t="str">
        <f ca="1">IF(AND('Planning Sheet'!$AT19='Weeks Plan'!$D$6,'Planning Sheet'!$AN19='Weeks Plan'!$G$6),'Planning Sheet'!$B19,"")</f>
        <v/>
      </c>
      <c r="Z14" s="48" t="str">
        <f ca="1">IF(AND('Planning Sheet'!$AT19='Weeks Plan'!$D$6,'Planning Sheet'!$AN19='Weeks Plan'!$G$6),'Planning Sheet'!$AO19,"")</f>
        <v/>
      </c>
      <c r="AA14" s="48" t="str">
        <f ca="1">IF(AND('Planning Sheet'!$AT19='Weeks Plan'!$D$6,'Planning Sheet'!$AN19='Weeks Plan'!$G$6),'Planning Sheet'!AP19,"")</f>
        <v/>
      </c>
    </row>
    <row r="15" spans="2:27" x14ac:dyDescent="0.3">
      <c r="B15" s="17"/>
      <c r="C15" s="75" t="str">
        <f>IF($B15&lt;&gt;"",VLOOKUP($B15,'Planning Sheet'!$B$8:$AL$500,3,0),"")</f>
        <v/>
      </c>
      <c r="D15" s="18" t="str">
        <f>IF($B15&lt;&gt;"",VLOOKUP($B15,'Planning Sheet'!$B$8:$AL$500,5,0),"")</f>
        <v/>
      </c>
      <c r="E15" s="18" t="str">
        <f>IF($B15&lt;&gt;"",VLOOKUP($B15,'Planning Sheet'!$B$8:$AL$500,7,0),"")</f>
        <v/>
      </c>
      <c r="F15" s="18" t="str">
        <f>IF($B15&lt;&gt;"",VLOOKUP($B15,'Planning Sheet'!$B$8:$AL$500,9,0),"")</f>
        <v/>
      </c>
      <c r="G15" s="18" t="str">
        <f>IF($B15&lt;&gt;"",VLOOKUP($B15,'Planning Sheet'!$B$8:$AL$500,11,0),"")</f>
        <v/>
      </c>
      <c r="H15" s="18" t="str">
        <f>IF($B15&lt;&gt;"",VLOOKUP($B15,'Planning Sheet'!$B$8:$AL$500,13,0),"")</f>
        <v/>
      </c>
      <c r="I15" s="18" t="str">
        <f>IF($B15&lt;&gt;"",VLOOKUP($B15,'Planning Sheet'!$B$8:$AL$500,15,0),"")</f>
        <v/>
      </c>
      <c r="J15" s="18" t="str">
        <f>IF($B15&lt;&gt;"",VLOOKUP($B15,'Planning Sheet'!$B$8:$AL$500,17,0),"")</f>
        <v/>
      </c>
      <c r="K15" s="18" t="str">
        <f>IF($B15&lt;&gt;"",VLOOKUP($B15,'Planning Sheet'!$B$8:$AL$500,19,0),"")</f>
        <v/>
      </c>
      <c r="L15" s="18" t="str">
        <f>IF($B15&lt;&gt;"",VLOOKUP($B15,'Planning Sheet'!$B$8:$AL$500,21,0),"")</f>
        <v/>
      </c>
      <c r="M15" s="18" t="str">
        <f>IF($B15&lt;&gt;"",VLOOKUP($B15,'Planning Sheet'!$B$8:$AL$500,23,0),"")</f>
        <v/>
      </c>
      <c r="N15" s="18" t="str">
        <f>IF($B15&lt;&gt;"",VLOOKUP($B15,'Planning Sheet'!$B$8:$AL$500,25,0),"")</f>
        <v/>
      </c>
      <c r="O15" s="18" t="str">
        <f>IF($B15&lt;&gt;"",VLOOKUP($B15,'Planning Sheet'!$B$8:$AL$500,26,0),"")</f>
        <v/>
      </c>
      <c r="P15" s="19" t="str">
        <f>IF($B15&lt;&gt;"",VLOOKUP($B15,'Planning Sheet'!$B$8:$AL$500,27,0),"")</f>
        <v/>
      </c>
      <c r="Q15" s="19" t="str">
        <f>IF($B15&lt;&gt;"",VLOOKUP($B15,'Planning Sheet'!$B$8:$AL$500,34,0),"")</f>
        <v/>
      </c>
      <c r="R15" s="19" t="str">
        <f>IF($B15&lt;&gt;"",VLOOKUP($B15,'Planning Sheet'!$B$8:$AL$500,36,0),"")</f>
        <v/>
      </c>
      <c r="S15" s="19" t="str">
        <f>IF($B15&lt;&gt;"",VLOOKUP($B15,'Planning Sheet'!$B$8:$AM$500,38,0),"")</f>
        <v/>
      </c>
      <c r="T15" s="18" t="str">
        <f t="shared" si="1"/>
        <v/>
      </c>
      <c r="U15" s="100" t="str">
        <f t="shared" si="0"/>
        <v/>
      </c>
      <c r="Y15" s="48" t="str">
        <f ca="1">IF(AND('Planning Sheet'!$AT20='Weeks Plan'!$D$6,'Planning Sheet'!$AN20='Weeks Plan'!$G$6),'Planning Sheet'!$B20,"")</f>
        <v/>
      </c>
      <c r="Z15" s="48" t="str">
        <f ca="1">IF(AND('Planning Sheet'!$AT20='Weeks Plan'!$D$6,'Planning Sheet'!$AN20='Weeks Plan'!$G$6),'Planning Sheet'!$AO20,"")</f>
        <v/>
      </c>
      <c r="AA15" s="48" t="str">
        <f ca="1">IF(AND('Planning Sheet'!$AT20='Weeks Plan'!$D$6,'Planning Sheet'!$AN20='Weeks Plan'!$G$6),'Planning Sheet'!AP20,"")</f>
        <v/>
      </c>
    </row>
    <row r="16" spans="2:27" x14ac:dyDescent="0.3">
      <c r="B16" s="17"/>
      <c r="C16" s="75" t="str">
        <f>IF($B16&lt;&gt;"",VLOOKUP($B16,'Planning Sheet'!$B$8:$AL$500,3,0),"")</f>
        <v/>
      </c>
      <c r="D16" s="18" t="str">
        <f>IF($B16&lt;&gt;"",VLOOKUP($B16,'Planning Sheet'!$B$8:$AL$500,5,0),"")</f>
        <v/>
      </c>
      <c r="E16" s="18" t="str">
        <f>IF($B16&lt;&gt;"",VLOOKUP($B16,'Planning Sheet'!$B$8:$AL$500,7,0),"")</f>
        <v/>
      </c>
      <c r="F16" s="18" t="str">
        <f>IF($B16&lt;&gt;"",VLOOKUP($B16,'Planning Sheet'!$B$8:$AL$500,9,0),"")</f>
        <v/>
      </c>
      <c r="G16" s="18" t="str">
        <f>IF($B16&lt;&gt;"",VLOOKUP($B16,'Planning Sheet'!$B$8:$AL$500,11,0),"")</f>
        <v/>
      </c>
      <c r="H16" s="18" t="str">
        <f>IF($B16&lt;&gt;"",VLOOKUP($B16,'Planning Sheet'!$B$8:$AL$500,13,0),"")</f>
        <v/>
      </c>
      <c r="I16" s="18" t="str">
        <f>IF($B16&lt;&gt;"",VLOOKUP($B16,'Planning Sheet'!$B$8:$AL$500,15,0),"")</f>
        <v/>
      </c>
      <c r="J16" s="18" t="str">
        <f>IF($B16&lt;&gt;"",VLOOKUP($B16,'Planning Sheet'!$B$8:$AL$500,17,0),"")</f>
        <v/>
      </c>
      <c r="K16" s="18" t="str">
        <f>IF($B16&lt;&gt;"",VLOOKUP($B16,'Planning Sheet'!$B$8:$AL$500,19,0),"")</f>
        <v/>
      </c>
      <c r="L16" s="18" t="str">
        <f>IF($B16&lt;&gt;"",VLOOKUP($B16,'Planning Sheet'!$B$8:$AL$500,21,0),"")</f>
        <v/>
      </c>
      <c r="M16" s="18" t="str">
        <f>IF($B16&lt;&gt;"",VLOOKUP($B16,'Planning Sheet'!$B$8:$AL$500,23,0),"")</f>
        <v/>
      </c>
      <c r="N16" s="18" t="str">
        <f>IF($B16&lt;&gt;"",VLOOKUP($B16,'Planning Sheet'!$B$8:$AL$500,25,0),"")</f>
        <v/>
      </c>
      <c r="O16" s="18" t="str">
        <f>IF($B16&lt;&gt;"",VLOOKUP($B16,'Planning Sheet'!$B$8:$AL$500,26,0),"")</f>
        <v/>
      </c>
      <c r="P16" s="19" t="str">
        <f>IF($B16&lt;&gt;"",VLOOKUP($B16,'Planning Sheet'!$B$8:$AL$500,27,0),"")</f>
        <v/>
      </c>
      <c r="Q16" s="19" t="str">
        <f>IF($B16&lt;&gt;"",VLOOKUP($B16,'Planning Sheet'!$B$8:$AL$500,34,0),"")</f>
        <v/>
      </c>
      <c r="R16" s="19" t="str">
        <f>IF($B16&lt;&gt;"",VLOOKUP($B16,'Planning Sheet'!$B$8:$AL$500,36,0),"")</f>
        <v/>
      </c>
      <c r="S16" s="19" t="str">
        <f>IF($B16&lt;&gt;"",VLOOKUP($B16,'Planning Sheet'!$B$8:$AM$500,38,0),"")</f>
        <v/>
      </c>
      <c r="T16" s="18" t="str">
        <f t="shared" si="1"/>
        <v/>
      </c>
      <c r="U16" s="100" t="str">
        <f t="shared" si="0"/>
        <v/>
      </c>
      <c r="Y16" s="48" t="str">
        <f ca="1">IF(AND('Planning Sheet'!$AT21='Weeks Plan'!$D$6,'Planning Sheet'!$AN21='Weeks Plan'!$G$6),'Planning Sheet'!$B21,"")</f>
        <v/>
      </c>
      <c r="Z16" s="48" t="str">
        <f ca="1">IF(AND('Planning Sheet'!$AT21='Weeks Plan'!$D$6,'Planning Sheet'!$AN21='Weeks Plan'!$G$6),'Planning Sheet'!$AO21,"")</f>
        <v/>
      </c>
      <c r="AA16" s="48" t="str">
        <f ca="1">IF(AND('Planning Sheet'!$AT21='Weeks Plan'!$D$6,'Planning Sheet'!$AN21='Weeks Plan'!$G$6),'Planning Sheet'!AP21,"")</f>
        <v/>
      </c>
    </row>
    <row r="17" spans="2:27" x14ac:dyDescent="0.3">
      <c r="B17" s="17"/>
      <c r="C17" s="75" t="str">
        <f>IF($B17&lt;&gt;"",VLOOKUP($B17,'Planning Sheet'!$B$8:$AL$500,3,0),"")</f>
        <v/>
      </c>
      <c r="D17" s="18" t="str">
        <f>IF($B17&lt;&gt;"",VLOOKUP($B17,'Planning Sheet'!$B$8:$AL$500,5,0),"")</f>
        <v/>
      </c>
      <c r="E17" s="18" t="str">
        <f>IF($B17&lt;&gt;"",VLOOKUP($B17,'Planning Sheet'!$B$8:$AL$500,7,0),"")</f>
        <v/>
      </c>
      <c r="F17" s="18" t="str">
        <f>IF($B17&lt;&gt;"",VLOOKUP($B17,'Planning Sheet'!$B$8:$AL$500,9,0),"")</f>
        <v/>
      </c>
      <c r="G17" s="18" t="str">
        <f>IF($B17&lt;&gt;"",VLOOKUP($B17,'Planning Sheet'!$B$8:$AL$500,11,0),"")</f>
        <v/>
      </c>
      <c r="H17" s="18" t="str">
        <f>IF($B17&lt;&gt;"",VLOOKUP($B17,'Planning Sheet'!$B$8:$AL$500,13,0),"")</f>
        <v/>
      </c>
      <c r="I17" s="18" t="str">
        <f>IF($B17&lt;&gt;"",VLOOKUP($B17,'Planning Sheet'!$B$8:$AL$500,15,0),"")</f>
        <v/>
      </c>
      <c r="J17" s="18" t="str">
        <f>IF($B17&lt;&gt;"",VLOOKUP($B17,'Planning Sheet'!$B$8:$AL$500,17,0),"")</f>
        <v/>
      </c>
      <c r="K17" s="18" t="str">
        <f>IF($B17&lt;&gt;"",VLOOKUP($B17,'Planning Sheet'!$B$8:$AL$500,19,0),"")</f>
        <v/>
      </c>
      <c r="L17" s="18" t="str">
        <f>IF($B17&lt;&gt;"",VLOOKUP($B17,'Planning Sheet'!$B$8:$AL$500,21,0),"")</f>
        <v/>
      </c>
      <c r="M17" s="18" t="str">
        <f>IF($B17&lt;&gt;"",VLOOKUP($B17,'Planning Sheet'!$B$8:$AL$500,23,0),"")</f>
        <v/>
      </c>
      <c r="N17" s="18" t="str">
        <f>IF($B17&lt;&gt;"",VLOOKUP($B17,'Planning Sheet'!$B$8:$AL$500,25,0),"")</f>
        <v/>
      </c>
      <c r="O17" s="18" t="str">
        <f>IF($B17&lt;&gt;"",VLOOKUP($B17,'Planning Sheet'!$B$8:$AL$500,26,0),"")</f>
        <v/>
      </c>
      <c r="P17" s="19" t="str">
        <f>IF($B17&lt;&gt;"",VLOOKUP($B17,'Planning Sheet'!$B$8:$AL$500,27,0),"")</f>
        <v/>
      </c>
      <c r="Q17" s="19" t="str">
        <f>IF($B17&lt;&gt;"",VLOOKUP($B17,'Planning Sheet'!$B$8:$AL$500,34,0),"")</f>
        <v/>
      </c>
      <c r="R17" s="19" t="str">
        <f>IF($B17&lt;&gt;"",VLOOKUP($B17,'Planning Sheet'!$B$8:$AL$500,36,0),"")</f>
        <v/>
      </c>
      <c r="S17" s="19" t="str">
        <f>IF($B17&lt;&gt;"",VLOOKUP($B17,'Planning Sheet'!$B$8:$AM$500,38,0),"")</f>
        <v/>
      </c>
      <c r="T17" s="18" t="str">
        <f t="shared" si="1"/>
        <v/>
      </c>
      <c r="U17" s="100" t="str">
        <f t="shared" si="0"/>
        <v/>
      </c>
      <c r="Y17" s="48" t="str">
        <f ca="1">IF(AND('Planning Sheet'!$AT22='Weeks Plan'!$D$6,'Planning Sheet'!$AN22='Weeks Plan'!$G$6),'Planning Sheet'!$B22,"")</f>
        <v/>
      </c>
      <c r="Z17" s="48" t="str">
        <f ca="1">IF(AND('Planning Sheet'!$AT22='Weeks Plan'!$D$6,'Planning Sheet'!$AN22='Weeks Plan'!$G$6),'Planning Sheet'!$AO22,"")</f>
        <v/>
      </c>
      <c r="AA17" s="48" t="str">
        <f ca="1">IF(AND('Planning Sheet'!$AT22='Weeks Plan'!$D$6,'Planning Sheet'!$AN22='Weeks Plan'!$G$6),'Planning Sheet'!AP22,"")</f>
        <v/>
      </c>
    </row>
    <row r="18" spans="2:27" x14ac:dyDescent="0.3">
      <c r="B18" s="17"/>
      <c r="C18" s="75" t="str">
        <f>IF($B18&lt;&gt;"",VLOOKUP($B18,'Planning Sheet'!$B$8:$AL$500,3,0),"")</f>
        <v/>
      </c>
      <c r="D18" s="18" t="str">
        <f>IF($B18&lt;&gt;"",VLOOKUP($B18,'Planning Sheet'!$B$8:$AL$500,5,0),"")</f>
        <v/>
      </c>
      <c r="E18" s="18" t="str">
        <f>IF($B18&lt;&gt;"",VLOOKUP($B18,'Planning Sheet'!$B$8:$AL$500,7,0),"")</f>
        <v/>
      </c>
      <c r="F18" s="18" t="str">
        <f>IF($B18&lt;&gt;"",VLOOKUP($B18,'Planning Sheet'!$B$8:$AL$500,9,0),"")</f>
        <v/>
      </c>
      <c r="G18" s="18" t="str">
        <f>IF($B18&lt;&gt;"",VLOOKUP($B18,'Planning Sheet'!$B$8:$AL$500,11,0),"")</f>
        <v/>
      </c>
      <c r="H18" s="18" t="str">
        <f>IF($B18&lt;&gt;"",VLOOKUP($B18,'Planning Sheet'!$B$8:$AL$500,13,0),"")</f>
        <v/>
      </c>
      <c r="I18" s="18" t="str">
        <f>IF($B18&lt;&gt;"",VLOOKUP($B18,'Planning Sheet'!$B$8:$AL$500,15,0),"")</f>
        <v/>
      </c>
      <c r="J18" s="18" t="str">
        <f>IF($B18&lt;&gt;"",VLOOKUP($B18,'Planning Sheet'!$B$8:$AL$500,17,0),"")</f>
        <v/>
      </c>
      <c r="K18" s="18" t="str">
        <f>IF($B18&lt;&gt;"",VLOOKUP($B18,'Planning Sheet'!$B$8:$AL$500,19,0),"")</f>
        <v/>
      </c>
      <c r="L18" s="18" t="str">
        <f>IF($B18&lt;&gt;"",VLOOKUP($B18,'Planning Sheet'!$B$8:$AL$500,21,0),"")</f>
        <v/>
      </c>
      <c r="M18" s="18" t="str">
        <f>IF($B18&lt;&gt;"",VLOOKUP($B18,'Planning Sheet'!$B$8:$AL$500,23,0),"")</f>
        <v/>
      </c>
      <c r="N18" s="18" t="str">
        <f>IF($B18&lt;&gt;"",VLOOKUP($B18,'Planning Sheet'!$B$8:$AL$500,25,0),"")</f>
        <v/>
      </c>
      <c r="O18" s="18" t="str">
        <f>IF($B18&lt;&gt;"",VLOOKUP($B18,'Planning Sheet'!$B$8:$AL$500,26,0),"")</f>
        <v/>
      </c>
      <c r="P18" s="19" t="str">
        <f>IF($B18&lt;&gt;"",VLOOKUP($B18,'Planning Sheet'!$B$8:$AL$500,27,0),"")</f>
        <v/>
      </c>
      <c r="Q18" s="19" t="str">
        <f>IF($B18&lt;&gt;"",VLOOKUP($B18,'Planning Sheet'!$B$8:$AL$500,34,0),"")</f>
        <v/>
      </c>
      <c r="R18" s="19" t="str">
        <f>IF($B18&lt;&gt;"",VLOOKUP($B18,'Planning Sheet'!$B$8:$AL$500,36,0),"")</f>
        <v/>
      </c>
      <c r="S18" s="19" t="str">
        <f>IF($B18&lt;&gt;"",VLOOKUP($B18,'Planning Sheet'!$B$8:$AM$500,38,0),"")</f>
        <v/>
      </c>
      <c r="T18" s="18" t="str">
        <f t="shared" si="1"/>
        <v/>
      </c>
      <c r="U18" s="100" t="str">
        <f t="shared" si="0"/>
        <v/>
      </c>
      <c r="Y18" s="48" t="str">
        <f ca="1">IF(AND('Planning Sheet'!$AT23='Weeks Plan'!$D$6,'Planning Sheet'!$AN23='Weeks Plan'!$G$6),'Planning Sheet'!$B23,"")</f>
        <v/>
      </c>
      <c r="Z18" s="48" t="str">
        <f ca="1">IF(AND('Planning Sheet'!$AT23='Weeks Plan'!$D$6,'Planning Sheet'!$AN23='Weeks Plan'!$G$6),'Planning Sheet'!$AO23,"")</f>
        <v/>
      </c>
      <c r="AA18" s="48" t="str">
        <f ca="1">IF(AND('Planning Sheet'!$AT23='Weeks Plan'!$D$6,'Planning Sheet'!$AN23='Weeks Plan'!$G$6),'Planning Sheet'!AP23,"")</f>
        <v/>
      </c>
    </row>
    <row r="19" spans="2:27" x14ac:dyDescent="0.3">
      <c r="B19" s="17"/>
      <c r="C19" s="75" t="str">
        <f>IF($B19&lt;&gt;"",VLOOKUP($B19,'Planning Sheet'!$B$8:$AL$500,3,0),"")</f>
        <v/>
      </c>
      <c r="D19" s="18" t="str">
        <f>IF($B19&lt;&gt;"",VLOOKUP($B19,'Planning Sheet'!$B$8:$AL$500,5,0),"")</f>
        <v/>
      </c>
      <c r="E19" s="18" t="str">
        <f>IF($B19&lt;&gt;"",VLOOKUP($B19,'Planning Sheet'!$B$8:$AL$500,7,0),"")</f>
        <v/>
      </c>
      <c r="F19" s="18" t="str">
        <f>IF($B19&lt;&gt;"",VLOOKUP($B19,'Planning Sheet'!$B$8:$AL$500,9,0),"")</f>
        <v/>
      </c>
      <c r="G19" s="18" t="str">
        <f>IF($B19&lt;&gt;"",VLOOKUP($B19,'Planning Sheet'!$B$8:$AL$500,11,0),"")</f>
        <v/>
      </c>
      <c r="H19" s="18" t="str">
        <f>IF($B19&lt;&gt;"",VLOOKUP($B19,'Planning Sheet'!$B$8:$AL$500,13,0),"")</f>
        <v/>
      </c>
      <c r="I19" s="18" t="str">
        <f>IF($B19&lt;&gt;"",VLOOKUP($B19,'Planning Sheet'!$B$8:$AL$500,15,0),"")</f>
        <v/>
      </c>
      <c r="J19" s="18" t="str">
        <f>IF($B19&lt;&gt;"",VLOOKUP($B19,'Planning Sheet'!$B$8:$AL$500,17,0),"")</f>
        <v/>
      </c>
      <c r="K19" s="18" t="str">
        <f>IF($B19&lt;&gt;"",VLOOKUP($B19,'Planning Sheet'!$B$8:$AL$500,19,0),"")</f>
        <v/>
      </c>
      <c r="L19" s="18" t="str">
        <f>IF($B19&lt;&gt;"",VLOOKUP($B19,'Planning Sheet'!$B$8:$AL$500,21,0),"")</f>
        <v/>
      </c>
      <c r="M19" s="18" t="str">
        <f>IF($B19&lt;&gt;"",VLOOKUP($B19,'Planning Sheet'!$B$8:$AL$500,23,0),"")</f>
        <v/>
      </c>
      <c r="N19" s="18" t="str">
        <f>IF($B19&lt;&gt;"",VLOOKUP($B19,'Planning Sheet'!$B$8:$AL$500,25,0),"")</f>
        <v/>
      </c>
      <c r="O19" s="18" t="str">
        <f>IF($B19&lt;&gt;"",VLOOKUP($B19,'Planning Sheet'!$B$8:$AL$500,26,0),"")</f>
        <v/>
      </c>
      <c r="P19" s="19" t="str">
        <f>IF($B19&lt;&gt;"",VLOOKUP($B19,'Planning Sheet'!$B$8:$AL$500,27,0),"")</f>
        <v/>
      </c>
      <c r="Q19" s="19" t="str">
        <f>IF($B19&lt;&gt;"",VLOOKUP($B19,'Planning Sheet'!$B$8:$AL$500,34,0),"")</f>
        <v/>
      </c>
      <c r="R19" s="19" t="str">
        <f>IF($B19&lt;&gt;"",VLOOKUP($B19,'Planning Sheet'!$B$8:$AL$500,36,0),"")</f>
        <v/>
      </c>
      <c r="S19" s="19" t="str">
        <f>IF($B19&lt;&gt;"",VLOOKUP($B19,'Planning Sheet'!$B$8:$AM$500,38,0),"")</f>
        <v/>
      </c>
      <c r="T19" s="18" t="str">
        <f t="shared" si="1"/>
        <v/>
      </c>
      <c r="U19" s="100" t="str">
        <f t="shared" si="0"/>
        <v/>
      </c>
      <c r="Y19" s="48" t="str">
        <f ca="1">IF(AND('Planning Sheet'!$AT24='Weeks Plan'!$D$6,'Planning Sheet'!$AN24='Weeks Plan'!$G$6),'Planning Sheet'!$B24,"")</f>
        <v/>
      </c>
      <c r="Z19" s="48" t="str">
        <f ca="1">IF(AND('Planning Sheet'!$AT24='Weeks Plan'!$D$6,'Planning Sheet'!$AN24='Weeks Plan'!$G$6),'Planning Sheet'!$AO24,"")</f>
        <v/>
      </c>
      <c r="AA19" s="48" t="str">
        <f ca="1">IF(AND('Planning Sheet'!$AT24='Weeks Plan'!$D$6,'Planning Sheet'!$AN24='Weeks Plan'!$G$6),'Planning Sheet'!AP24,"")</f>
        <v/>
      </c>
    </row>
    <row r="20" spans="2:27" x14ac:dyDescent="0.3">
      <c r="B20" s="17"/>
      <c r="C20" s="75" t="str">
        <f>IF($B20&lt;&gt;"",VLOOKUP($B20,'Planning Sheet'!$B$8:$AL$500,3,0),"")</f>
        <v/>
      </c>
      <c r="D20" s="18" t="str">
        <f>IF($B20&lt;&gt;"",VLOOKUP($B20,'Planning Sheet'!$B$8:$AL$500,5,0),"")</f>
        <v/>
      </c>
      <c r="E20" s="18" t="str">
        <f>IF($B20&lt;&gt;"",VLOOKUP($B20,'Planning Sheet'!$B$8:$AL$500,7,0),"")</f>
        <v/>
      </c>
      <c r="F20" s="18" t="str">
        <f>IF($B20&lt;&gt;"",VLOOKUP($B20,'Planning Sheet'!$B$8:$AL$500,9,0),"")</f>
        <v/>
      </c>
      <c r="G20" s="18" t="str">
        <f>IF($B20&lt;&gt;"",VLOOKUP($B20,'Planning Sheet'!$B$8:$AL$500,11,0),"")</f>
        <v/>
      </c>
      <c r="H20" s="18" t="str">
        <f>IF($B20&lt;&gt;"",VLOOKUP($B20,'Planning Sheet'!$B$8:$AL$500,13,0),"")</f>
        <v/>
      </c>
      <c r="I20" s="18" t="str">
        <f>IF($B20&lt;&gt;"",VLOOKUP($B20,'Planning Sheet'!$B$8:$AL$500,15,0),"")</f>
        <v/>
      </c>
      <c r="J20" s="18" t="str">
        <f>IF($B20&lt;&gt;"",VLOOKUP($B20,'Planning Sheet'!$B$8:$AL$500,17,0),"")</f>
        <v/>
      </c>
      <c r="K20" s="18" t="str">
        <f>IF($B20&lt;&gt;"",VLOOKUP($B20,'Planning Sheet'!$B$8:$AL$500,19,0),"")</f>
        <v/>
      </c>
      <c r="L20" s="18" t="str">
        <f>IF($B20&lt;&gt;"",VLOOKUP($B20,'Planning Sheet'!$B$8:$AL$500,21,0),"")</f>
        <v/>
      </c>
      <c r="M20" s="18" t="str">
        <f>IF($B20&lt;&gt;"",VLOOKUP($B20,'Planning Sheet'!$B$8:$AL$500,23,0),"")</f>
        <v/>
      </c>
      <c r="N20" s="18" t="str">
        <f>IF($B20&lt;&gt;"",VLOOKUP($B20,'Planning Sheet'!$B$8:$AL$500,25,0),"")</f>
        <v/>
      </c>
      <c r="O20" s="18" t="str">
        <f>IF($B20&lt;&gt;"",VLOOKUP($B20,'Planning Sheet'!$B$8:$AL$500,26,0),"")</f>
        <v/>
      </c>
      <c r="P20" s="19" t="str">
        <f>IF($B20&lt;&gt;"",VLOOKUP($B20,'Planning Sheet'!$B$8:$AL$500,27,0),"")</f>
        <v/>
      </c>
      <c r="Q20" s="19" t="str">
        <f>IF($B20&lt;&gt;"",VLOOKUP($B20,'Planning Sheet'!$B$8:$AL$500,34,0),"")</f>
        <v/>
      </c>
      <c r="R20" s="19" t="str">
        <f>IF($B20&lt;&gt;"",VLOOKUP($B20,'Planning Sheet'!$B$8:$AL$500,36,0),"")</f>
        <v/>
      </c>
      <c r="S20" s="19" t="str">
        <f>IF($B20&lt;&gt;"",VLOOKUP($B20,'Planning Sheet'!$B$8:$AM$500,38,0),"")</f>
        <v/>
      </c>
      <c r="T20" s="18" t="str">
        <f t="shared" si="1"/>
        <v/>
      </c>
      <c r="U20" s="100" t="str">
        <f t="shared" si="0"/>
        <v/>
      </c>
      <c r="Y20" s="48" t="str">
        <f ca="1">IF(AND('Planning Sheet'!$AT25='Weeks Plan'!$D$6,'Planning Sheet'!$AN25='Weeks Plan'!$G$6),'Planning Sheet'!$B25,"")</f>
        <v/>
      </c>
      <c r="Z20" s="48" t="str">
        <f ca="1">IF(AND('Planning Sheet'!$AT25='Weeks Plan'!$D$6,'Planning Sheet'!$AN25='Weeks Plan'!$G$6),'Planning Sheet'!$AO25,"")</f>
        <v/>
      </c>
      <c r="AA20" s="48" t="str">
        <f ca="1">IF(AND('Planning Sheet'!$AT25='Weeks Plan'!$D$6,'Planning Sheet'!$AN25='Weeks Plan'!$G$6),'Planning Sheet'!AP25,"")</f>
        <v/>
      </c>
    </row>
    <row r="21" spans="2:27" x14ac:dyDescent="0.3">
      <c r="B21" s="11"/>
      <c r="C21" s="75" t="str">
        <f>IF($B21&lt;&gt;"",VLOOKUP($B21,'Planning Sheet'!$B$8:$AL$500,3,0),"")</f>
        <v/>
      </c>
      <c r="D21" s="18" t="str">
        <f>IF($B21&lt;&gt;"",VLOOKUP($B21,'Planning Sheet'!$B$8:$AL$500,5,0),"")</f>
        <v/>
      </c>
      <c r="E21" s="18" t="str">
        <f>IF($B21&lt;&gt;"",VLOOKUP($B21,'Planning Sheet'!$B$8:$AL$500,7,0),"")</f>
        <v/>
      </c>
      <c r="F21" s="18" t="str">
        <f>IF($B21&lt;&gt;"",VLOOKUP($B21,'Planning Sheet'!$B$8:$AL$500,9,0),"")</f>
        <v/>
      </c>
      <c r="G21" s="18" t="str">
        <f>IF($B21&lt;&gt;"",VLOOKUP($B21,'Planning Sheet'!$B$8:$AL$500,11,0),"")</f>
        <v/>
      </c>
      <c r="H21" s="18" t="str">
        <f>IF($B21&lt;&gt;"",VLOOKUP($B21,'Planning Sheet'!$B$8:$AL$500,13,0),"")</f>
        <v/>
      </c>
      <c r="I21" s="18" t="str">
        <f>IF($B21&lt;&gt;"",VLOOKUP($B21,'Planning Sheet'!$B$8:$AL$500,15,0),"")</f>
        <v/>
      </c>
      <c r="J21" s="18" t="str">
        <f>IF($B21&lt;&gt;"",VLOOKUP($B21,'Planning Sheet'!$B$8:$AL$500,17,0),"")</f>
        <v/>
      </c>
      <c r="K21" s="18" t="str">
        <f>IF($B21&lt;&gt;"",VLOOKUP($B21,'Planning Sheet'!$B$8:$AL$500,19,0),"")</f>
        <v/>
      </c>
      <c r="L21" s="18" t="str">
        <f>IF($B21&lt;&gt;"",VLOOKUP($B21,'Planning Sheet'!$B$8:$AL$500,21,0),"")</f>
        <v/>
      </c>
      <c r="M21" s="18" t="str">
        <f>IF($B21&lt;&gt;"",VLOOKUP($B21,'Planning Sheet'!$B$8:$AL$500,23,0),"")</f>
        <v/>
      </c>
      <c r="N21" s="18" t="str">
        <f>IF($B21&lt;&gt;"",VLOOKUP($B21,'Planning Sheet'!$B$8:$AL$500,25,0),"")</f>
        <v/>
      </c>
      <c r="O21" s="18" t="str">
        <f>IF($B21&lt;&gt;"",VLOOKUP($B21,'Planning Sheet'!$B$8:$AL$500,26,0),"")</f>
        <v/>
      </c>
      <c r="P21" s="19" t="str">
        <f>IF($B21&lt;&gt;"",VLOOKUP($B21,'Planning Sheet'!$B$8:$AL$500,27,0),"")</f>
        <v/>
      </c>
      <c r="Q21" s="19" t="str">
        <f>IF($B21&lt;&gt;"",VLOOKUP($B21,'Planning Sheet'!$B$8:$AL$500,34,0),"")</f>
        <v/>
      </c>
      <c r="R21" s="19" t="str">
        <f>IF($B21&lt;&gt;"",VLOOKUP($B21,'Planning Sheet'!$B$8:$AL$500,36,0),"")</f>
        <v/>
      </c>
      <c r="S21" s="19" t="str">
        <f>IF($B21&lt;&gt;"",VLOOKUP($B21,'Planning Sheet'!$B$8:$AM$500,38,0),"")</f>
        <v/>
      </c>
      <c r="T21" s="18" t="str">
        <f t="shared" si="1"/>
        <v/>
      </c>
      <c r="U21" s="100" t="str">
        <f t="shared" si="0"/>
        <v/>
      </c>
      <c r="Y21" s="48" t="str">
        <f ca="1">IF(AND('Planning Sheet'!$AT26='Weeks Plan'!$D$6,'Planning Sheet'!$AN26='Weeks Plan'!$G$6),'Planning Sheet'!$B26,"")</f>
        <v/>
      </c>
      <c r="Z21" s="48" t="str">
        <f ca="1">IF(AND('Planning Sheet'!$AT26='Weeks Plan'!$D$6,'Planning Sheet'!$AN26='Weeks Plan'!$G$6),'Planning Sheet'!$AO26,"")</f>
        <v/>
      </c>
      <c r="AA21" s="48" t="str">
        <f ca="1">IF(AND('Planning Sheet'!$AT26='Weeks Plan'!$D$6,'Planning Sheet'!$AN26='Weeks Plan'!$G$6),'Planning Sheet'!AP26,"")</f>
        <v/>
      </c>
    </row>
    <row r="22" spans="2:27" x14ac:dyDescent="0.3">
      <c r="B22" s="11"/>
      <c r="C22" s="75" t="str">
        <f>IF($B22&lt;&gt;"",VLOOKUP($B22,'Planning Sheet'!$B$8:$AL$500,3,0),"")</f>
        <v/>
      </c>
      <c r="D22" s="18" t="str">
        <f>IF($B22&lt;&gt;"",VLOOKUP($B22,'Planning Sheet'!$B$8:$AL$500,5,0),"")</f>
        <v/>
      </c>
      <c r="E22" s="18" t="str">
        <f>IF($B22&lt;&gt;"",VLOOKUP($B22,'Planning Sheet'!$B$8:$AL$500,7,0),"")</f>
        <v/>
      </c>
      <c r="F22" s="18" t="str">
        <f>IF($B22&lt;&gt;"",VLOOKUP($B22,'Planning Sheet'!$B$8:$AL$500,9,0),"")</f>
        <v/>
      </c>
      <c r="G22" s="18" t="str">
        <f>IF($B22&lt;&gt;"",VLOOKUP($B22,'Planning Sheet'!$B$8:$AL$500,11,0),"")</f>
        <v/>
      </c>
      <c r="H22" s="18" t="str">
        <f>IF($B22&lt;&gt;"",VLOOKUP($B22,'Planning Sheet'!$B$8:$AL$500,13,0),"")</f>
        <v/>
      </c>
      <c r="I22" s="18" t="str">
        <f>IF($B22&lt;&gt;"",VLOOKUP($B22,'Planning Sheet'!$B$8:$AL$500,15,0),"")</f>
        <v/>
      </c>
      <c r="J22" s="18" t="str">
        <f>IF($B22&lt;&gt;"",VLOOKUP($B22,'Planning Sheet'!$B$8:$AL$500,17,0),"")</f>
        <v/>
      </c>
      <c r="K22" s="18" t="str">
        <f>IF($B22&lt;&gt;"",VLOOKUP($B22,'Planning Sheet'!$B$8:$AL$500,19,0),"")</f>
        <v/>
      </c>
      <c r="L22" s="18" t="str">
        <f>IF($B22&lt;&gt;"",VLOOKUP($B22,'Planning Sheet'!$B$8:$AL$500,21,0),"")</f>
        <v/>
      </c>
      <c r="M22" s="18" t="str">
        <f>IF($B22&lt;&gt;"",VLOOKUP($B22,'Planning Sheet'!$B$8:$AL$500,23,0),"")</f>
        <v/>
      </c>
      <c r="N22" s="18" t="str">
        <f>IF($B22&lt;&gt;"",VLOOKUP($B22,'Planning Sheet'!$B$8:$AL$500,25,0),"")</f>
        <v/>
      </c>
      <c r="O22" s="18" t="str">
        <f>IF($B22&lt;&gt;"",VLOOKUP($B22,'Planning Sheet'!$B$8:$AL$500,26,0),"")</f>
        <v/>
      </c>
      <c r="P22" s="19" t="str">
        <f>IF($B22&lt;&gt;"",VLOOKUP($B22,'Planning Sheet'!$B$8:$AL$500,27,0),"")</f>
        <v/>
      </c>
      <c r="Q22" s="19" t="str">
        <f>IF($B22&lt;&gt;"",VLOOKUP($B22,'Planning Sheet'!$B$8:$AL$500,34,0),"")</f>
        <v/>
      </c>
      <c r="R22" s="19" t="str">
        <f>IF($B22&lt;&gt;"",VLOOKUP($B22,'Planning Sheet'!$B$8:$AL$500,36,0),"")</f>
        <v/>
      </c>
      <c r="S22" s="19" t="str">
        <f>IF($B22&lt;&gt;"",VLOOKUP($B22,'Planning Sheet'!$B$8:$AM$500,38,0),"")</f>
        <v/>
      </c>
      <c r="T22" s="18" t="str">
        <f t="shared" si="1"/>
        <v/>
      </c>
      <c r="U22" s="100" t="str">
        <f t="shared" si="0"/>
        <v/>
      </c>
      <c r="Y22" s="48" t="str">
        <f ca="1">IF(AND('Planning Sheet'!$AT27='Weeks Plan'!$D$6,'Planning Sheet'!$AN27='Weeks Plan'!$G$6),'Planning Sheet'!$B27,"")</f>
        <v/>
      </c>
      <c r="Z22" s="48" t="str">
        <f ca="1">IF(AND('Planning Sheet'!$AT27='Weeks Plan'!$D$6,'Planning Sheet'!$AN27='Weeks Plan'!$G$6),'Planning Sheet'!$AO27,"")</f>
        <v/>
      </c>
      <c r="AA22" s="48" t="str">
        <f ca="1">IF(AND('Planning Sheet'!$AT27='Weeks Plan'!$D$6,'Planning Sheet'!$AN27='Weeks Plan'!$G$6),'Planning Sheet'!AP27,"")</f>
        <v/>
      </c>
    </row>
    <row r="23" spans="2:27" x14ac:dyDescent="0.3">
      <c r="B23" s="11"/>
      <c r="C23" s="75" t="str">
        <f>IF($B23&lt;&gt;"",VLOOKUP($B23,'Planning Sheet'!$B$8:$AL$500,3,0),"")</f>
        <v/>
      </c>
      <c r="D23" s="18" t="str">
        <f>IF($B23&lt;&gt;"",VLOOKUP($B23,'Planning Sheet'!$B$8:$AL$500,5,0),"")</f>
        <v/>
      </c>
      <c r="E23" s="18" t="str">
        <f>IF($B23&lt;&gt;"",VLOOKUP($B23,'Planning Sheet'!$B$8:$AL$500,7,0),"")</f>
        <v/>
      </c>
      <c r="F23" s="18" t="str">
        <f>IF($B23&lt;&gt;"",VLOOKUP($B23,'Planning Sheet'!$B$8:$AL$500,9,0),"")</f>
        <v/>
      </c>
      <c r="G23" s="18" t="str">
        <f>IF($B23&lt;&gt;"",VLOOKUP($B23,'Planning Sheet'!$B$8:$AL$500,11,0),"")</f>
        <v/>
      </c>
      <c r="H23" s="18" t="str">
        <f>IF($B23&lt;&gt;"",VLOOKUP($B23,'Planning Sheet'!$B$8:$AL$500,13,0),"")</f>
        <v/>
      </c>
      <c r="I23" s="18" t="str">
        <f>IF($B23&lt;&gt;"",VLOOKUP($B23,'Planning Sheet'!$B$8:$AL$500,15,0),"")</f>
        <v/>
      </c>
      <c r="J23" s="18" t="str">
        <f>IF($B23&lt;&gt;"",VLOOKUP($B23,'Planning Sheet'!$B$8:$AL$500,17,0),"")</f>
        <v/>
      </c>
      <c r="K23" s="18" t="str">
        <f>IF($B23&lt;&gt;"",VLOOKUP($B23,'Planning Sheet'!$B$8:$AL$500,19,0),"")</f>
        <v/>
      </c>
      <c r="L23" s="18" t="str">
        <f>IF($B23&lt;&gt;"",VLOOKUP($B23,'Planning Sheet'!$B$8:$AL$500,21,0),"")</f>
        <v/>
      </c>
      <c r="M23" s="18" t="str">
        <f>IF($B23&lt;&gt;"",VLOOKUP($B23,'Planning Sheet'!$B$8:$AL$500,23,0),"")</f>
        <v/>
      </c>
      <c r="N23" s="18" t="str">
        <f>IF($B23&lt;&gt;"",VLOOKUP($B23,'Planning Sheet'!$B$8:$AL$500,25,0),"")</f>
        <v/>
      </c>
      <c r="O23" s="18" t="str">
        <f>IF($B23&lt;&gt;"",VLOOKUP($B23,'Planning Sheet'!$B$8:$AL$500,26,0),"")</f>
        <v/>
      </c>
      <c r="P23" s="19" t="str">
        <f>IF($B23&lt;&gt;"",VLOOKUP($B23,'Planning Sheet'!$B$8:$AL$500,27,0),"")</f>
        <v/>
      </c>
      <c r="Q23" s="19" t="str">
        <f>IF($B23&lt;&gt;"",VLOOKUP($B23,'Planning Sheet'!$B$8:$AL$500,34,0),"")</f>
        <v/>
      </c>
      <c r="R23" s="19" t="str">
        <f>IF($B23&lt;&gt;"",VLOOKUP($B23,'Planning Sheet'!$B$8:$AL$500,36,0),"")</f>
        <v/>
      </c>
      <c r="S23" s="19" t="str">
        <f>IF($B23&lt;&gt;"",VLOOKUP($B23,'Planning Sheet'!$B$8:$AM$500,38,0),"")</f>
        <v/>
      </c>
      <c r="T23" s="18" t="str">
        <f t="shared" si="1"/>
        <v/>
      </c>
      <c r="U23" s="100" t="str">
        <f t="shared" si="0"/>
        <v/>
      </c>
      <c r="Y23" s="48" t="str">
        <f ca="1">IF(AND('Planning Sheet'!$AT28='Weeks Plan'!$D$6,'Planning Sheet'!$AN28='Weeks Plan'!$G$6),'Planning Sheet'!$B28,"")</f>
        <v/>
      </c>
      <c r="Z23" s="48" t="str">
        <f ca="1">IF(AND('Planning Sheet'!$AT28='Weeks Plan'!$D$6,'Planning Sheet'!$AN28='Weeks Plan'!$G$6),'Planning Sheet'!$AO28,"")</f>
        <v/>
      </c>
      <c r="AA23" s="48" t="str">
        <f ca="1">IF(AND('Planning Sheet'!$AT28='Weeks Plan'!$D$6,'Planning Sheet'!$AN28='Weeks Plan'!$G$6),'Planning Sheet'!AP28,"")</f>
        <v/>
      </c>
    </row>
    <row r="24" spans="2:27" x14ac:dyDescent="0.3">
      <c r="B24" s="11"/>
      <c r="C24" s="75" t="str">
        <f>IF($B24&lt;&gt;"",VLOOKUP($B24,'Planning Sheet'!$B$8:$AL$500,3,0),"")</f>
        <v/>
      </c>
      <c r="D24" s="18" t="str">
        <f>IF($B24&lt;&gt;"",VLOOKUP($B24,'Planning Sheet'!$B$8:$AL$500,5,0),"")</f>
        <v/>
      </c>
      <c r="E24" s="18" t="str">
        <f>IF($B24&lt;&gt;"",VLOOKUP($B24,'Planning Sheet'!$B$8:$AL$500,7,0),"")</f>
        <v/>
      </c>
      <c r="F24" s="18" t="str">
        <f>IF($B24&lt;&gt;"",VLOOKUP($B24,'Planning Sheet'!$B$8:$AL$500,9,0),"")</f>
        <v/>
      </c>
      <c r="G24" s="18" t="str">
        <f>IF($B24&lt;&gt;"",VLOOKUP($B24,'Planning Sheet'!$B$8:$AL$500,11,0),"")</f>
        <v/>
      </c>
      <c r="H24" s="18" t="str">
        <f>IF($B24&lt;&gt;"",VLOOKUP($B24,'Planning Sheet'!$B$8:$AL$500,13,0),"")</f>
        <v/>
      </c>
      <c r="I24" s="18" t="str">
        <f>IF($B24&lt;&gt;"",VLOOKUP($B24,'Planning Sheet'!$B$8:$AL$500,15,0),"")</f>
        <v/>
      </c>
      <c r="J24" s="18" t="str">
        <f>IF($B24&lt;&gt;"",VLOOKUP($B24,'Planning Sheet'!$B$8:$AL$500,17,0),"")</f>
        <v/>
      </c>
      <c r="K24" s="18" t="str">
        <f>IF($B24&lt;&gt;"",VLOOKUP($B24,'Planning Sheet'!$B$8:$AL$500,19,0),"")</f>
        <v/>
      </c>
      <c r="L24" s="18" t="str">
        <f>IF($B24&lt;&gt;"",VLOOKUP($B24,'Planning Sheet'!$B$8:$AL$500,21,0),"")</f>
        <v/>
      </c>
      <c r="M24" s="18" t="str">
        <f>IF($B24&lt;&gt;"",VLOOKUP($B24,'Planning Sheet'!$B$8:$AL$500,23,0),"")</f>
        <v/>
      </c>
      <c r="N24" s="18" t="str">
        <f>IF($B24&lt;&gt;"",VLOOKUP($B24,'Planning Sheet'!$B$8:$AL$500,25,0),"")</f>
        <v/>
      </c>
      <c r="O24" s="18" t="str">
        <f>IF($B24&lt;&gt;"",VLOOKUP($B24,'Planning Sheet'!$B$8:$AL$500,26,0),"")</f>
        <v/>
      </c>
      <c r="P24" s="19" t="str">
        <f>IF($B24&lt;&gt;"",VLOOKUP($B24,'Planning Sheet'!$B$8:$AL$500,27,0),"")</f>
        <v/>
      </c>
      <c r="Q24" s="19" t="str">
        <f>IF($B24&lt;&gt;"",VLOOKUP($B24,'Planning Sheet'!$B$8:$AL$500,34,0),"")</f>
        <v/>
      </c>
      <c r="R24" s="19" t="str">
        <f>IF($B24&lt;&gt;"",VLOOKUP($B24,'Planning Sheet'!$B$8:$AL$500,36,0),"")</f>
        <v/>
      </c>
      <c r="S24" s="19" t="str">
        <f>IF($B24&lt;&gt;"",VLOOKUP($B24,'Planning Sheet'!$B$8:$AM$500,38,0),"")</f>
        <v/>
      </c>
      <c r="T24" s="18" t="str">
        <f t="shared" si="1"/>
        <v/>
      </c>
      <c r="U24" s="100" t="str">
        <f t="shared" si="0"/>
        <v/>
      </c>
      <c r="Y24" s="48" t="str">
        <f ca="1">IF(AND('Planning Sheet'!$AT29='Weeks Plan'!$D$6,'Planning Sheet'!$AN29='Weeks Plan'!$G$6),'Planning Sheet'!$B29,"")</f>
        <v/>
      </c>
      <c r="Z24" s="48" t="str">
        <f ca="1">IF(AND('Planning Sheet'!$AT29='Weeks Plan'!$D$6,'Planning Sheet'!$AN29='Weeks Plan'!$G$6),'Planning Sheet'!$AO29,"")</f>
        <v/>
      </c>
      <c r="AA24" s="48" t="str">
        <f ca="1">IF(AND('Planning Sheet'!$AT29='Weeks Plan'!$D$6,'Planning Sheet'!$AN29='Weeks Plan'!$G$6),'Planning Sheet'!AP29,"")</f>
        <v/>
      </c>
    </row>
    <row r="25" spans="2:27" x14ac:dyDescent="0.3">
      <c r="B25" s="11"/>
      <c r="C25" s="75" t="str">
        <f>IF($B25&lt;&gt;"",VLOOKUP($B25,'Planning Sheet'!$B$8:$AL$500,3,0),"")</f>
        <v/>
      </c>
      <c r="D25" s="18" t="str">
        <f>IF($B25&lt;&gt;"",VLOOKUP($B25,'Planning Sheet'!$B$8:$AL$500,5,0),"")</f>
        <v/>
      </c>
      <c r="E25" s="18" t="str">
        <f>IF($B25&lt;&gt;"",VLOOKUP($B25,'Planning Sheet'!$B$8:$AL$500,7,0),"")</f>
        <v/>
      </c>
      <c r="F25" s="18" t="str">
        <f>IF($B25&lt;&gt;"",VLOOKUP($B25,'Planning Sheet'!$B$8:$AL$500,9,0),"")</f>
        <v/>
      </c>
      <c r="G25" s="18" t="str">
        <f>IF($B25&lt;&gt;"",VLOOKUP($B25,'Planning Sheet'!$B$8:$AL$500,11,0),"")</f>
        <v/>
      </c>
      <c r="H25" s="18" t="str">
        <f>IF($B25&lt;&gt;"",VLOOKUP($B25,'Planning Sheet'!$B$8:$AL$500,13,0),"")</f>
        <v/>
      </c>
      <c r="I25" s="18" t="str">
        <f>IF($B25&lt;&gt;"",VLOOKUP($B25,'Planning Sheet'!$B$8:$AL$500,15,0),"")</f>
        <v/>
      </c>
      <c r="J25" s="18" t="str">
        <f>IF($B25&lt;&gt;"",VLOOKUP($B25,'Planning Sheet'!$B$8:$AL$500,17,0),"")</f>
        <v/>
      </c>
      <c r="K25" s="18" t="str">
        <f>IF($B25&lt;&gt;"",VLOOKUP($B25,'Planning Sheet'!$B$8:$AL$500,19,0),"")</f>
        <v/>
      </c>
      <c r="L25" s="18" t="str">
        <f>IF($B25&lt;&gt;"",VLOOKUP($B25,'Planning Sheet'!$B$8:$AL$500,21,0),"")</f>
        <v/>
      </c>
      <c r="M25" s="18" t="str">
        <f>IF($B25&lt;&gt;"",VLOOKUP($B25,'Planning Sheet'!$B$8:$AL$500,23,0),"")</f>
        <v/>
      </c>
      <c r="N25" s="18" t="str">
        <f>IF($B25&lt;&gt;"",VLOOKUP($B25,'Planning Sheet'!$B$8:$AL$500,25,0),"")</f>
        <v/>
      </c>
      <c r="O25" s="18" t="str">
        <f>IF($B25&lt;&gt;"",VLOOKUP($B25,'Planning Sheet'!$B$8:$AL$500,26,0),"")</f>
        <v/>
      </c>
      <c r="P25" s="19" t="str">
        <f>IF($B25&lt;&gt;"",VLOOKUP($B25,'Planning Sheet'!$B$8:$AL$500,27,0),"")</f>
        <v/>
      </c>
      <c r="Q25" s="19" t="str">
        <f>IF($B25&lt;&gt;"",VLOOKUP($B25,'Planning Sheet'!$B$8:$AL$500,34,0),"")</f>
        <v/>
      </c>
      <c r="R25" s="19" t="str">
        <f>IF($B25&lt;&gt;"",VLOOKUP($B25,'Planning Sheet'!$B$8:$AL$500,36,0),"")</f>
        <v/>
      </c>
      <c r="S25" s="19" t="str">
        <f>IF($B25&lt;&gt;"",VLOOKUP($B25,'Planning Sheet'!$B$8:$AM$500,38,0),"")</f>
        <v/>
      </c>
      <c r="T25" s="18" t="str">
        <f t="shared" si="1"/>
        <v/>
      </c>
      <c r="U25" s="100" t="str">
        <f t="shared" si="0"/>
        <v/>
      </c>
      <c r="Y25" s="48" t="str">
        <f ca="1">IF(AND('Planning Sheet'!$AT30='Weeks Plan'!$D$6,'Planning Sheet'!$AN30='Weeks Plan'!$G$6),'Planning Sheet'!$B30,"")</f>
        <v/>
      </c>
      <c r="Z25" s="48" t="str">
        <f ca="1">IF(AND('Planning Sheet'!$AT30='Weeks Plan'!$D$6,'Planning Sheet'!$AN30='Weeks Plan'!$G$6),'Planning Sheet'!$AO30,"")</f>
        <v/>
      </c>
      <c r="AA25" s="48" t="str">
        <f ca="1">IF(AND('Planning Sheet'!$AT30='Weeks Plan'!$D$6,'Planning Sheet'!$AN30='Weeks Plan'!$G$6),'Planning Sheet'!AP30,"")</f>
        <v/>
      </c>
    </row>
    <row r="26" spans="2:27" x14ac:dyDescent="0.3">
      <c r="B26" s="11"/>
      <c r="C26" s="75" t="str">
        <f>IF($B26&lt;&gt;"",VLOOKUP($B26,'Planning Sheet'!$B$8:$AL$500,3,0),"")</f>
        <v/>
      </c>
      <c r="D26" s="18" t="str">
        <f>IF($B26&lt;&gt;"",VLOOKUP($B26,'Planning Sheet'!$B$8:$AL$500,5,0),"")</f>
        <v/>
      </c>
      <c r="E26" s="18" t="str">
        <f>IF($B26&lt;&gt;"",VLOOKUP($B26,'Planning Sheet'!$B$8:$AL$500,7,0),"")</f>
        <v/>
      </c>
      <c r="F26" s="18" t="str">
        <f>IF($B26&lt;&gt;"",VLOOKUP($B26,'Planning Sheet'!$B$8:$AL$500,9,0),"")</f>
        <v/>
      </c>
      <c r="G26" s="18" t="str">
        <f>IF($B26&lt;&gt;"",VLOOKUP($B26,'Planning Sheet'!$B$8:$AL$500,11,0),"")</f>
        <v/>
      </c>
      <c r="H26" s="18" t="str">
        <f>IF($B26&lt;&gt;"",VLOOKUP($B26,'Planning Sheet'!$B$8:$AL$500,13,0),"")</f>
        <v/>
      </c>
      <c r="I26" s="18" t="str">
        <f>IF($B26&lt;&gt;"",VLOOKUP($B26,'Planning Sheet'!$B$8:$AL$500,15,0),"")</f>
        <v/>
      </c>
      <c r="J26" s="18" t="str">
        <f>IF($B26&lt;&gt;"",VLOOKUP($B26,'Planning Sheet'!$B$8:$AL$500,17,0),"")</f>
        <v/>
      </c>
      <c r="K26" s="18" t="str">
        <f>IF($B26&lt;&gt;"",VLOOKUP($B26,'Planning Sheet'!$B$8:$AL$500,19,0),"")</f>
        <v/>
      </c>
      <c r="L26" s="18" t="str">
        <f>IF($B26&lt;&gt;"",VLOOKUP($B26,'Planning Sheet'!$B$8:$AL$500,21,0),"")</f>
        <v/>
      </c>
      <c r="M26" s="18" t="str">
        <f>IF($B26&lt;&gt;"",VLOOKUP($B26,'Planning Sheet'!$B$8:$AL$500,23,0),"")</f>
        <v/>
      </c>
      <c r="N26" s="18" t="str">
        <f>IF($B26&lt;&gt;"",VLOOKUP($B26,'Planning Sheet'!$B$8:$AL$500,25,0),"")</f>
        <v/>
      </c>
      <c r="O26" s="18" t="str">
        <f>IF($B26&lt;&gt;"",VLOOKUP($B26,'Planning Sheet'!$B$8:$AL$500,26,0),"")</f>
        <v/>
      </c>
      <c r="P26" s="19" t="str">
        <f>IF($B26&lt;&gt;"",VLOOKUP($B26,'Planning Sheet'!$B$8:$AL$500,27,0),"")</f>
        <v/>
      </c>
      <c r="Q26" s="19" t="str">
        <f>IF($B26&lt;&gt;"",VLOOKUP($B26,'Planning Sheet'!$B$8:$AL$500,34,0),"")</f>
        <v/>
      </c>
      <c r="R26" s="19" t="str">
        <f>IF($B26&lt;&gt;"",VLOOKUP($B26,'Planning Sheet'!$B$8:$AL$500,36,0),"")</f>
        <v/>
      </c>
      <c r="S26" s="19" t="str">
        <f>IF($B26&lt;&gt;"",VLOOKUP($B26,'Planning Sheet'!$B$8:$AM$500,38,0),"")</f>
        <v/>
      </c>
      <c r="T26" s="18" t="str">
        <f t="shared" si="1"/>
        <v/>
      </c>
      <c r="U26" s="100" t="str">
        <f t="shared" si="0"/>
        <v/>
      </c>
      <c r="Y26" s="48" t="str">
        <f ca="1">IF(AND('Planning Sheet'!$AT31='Weeks Plan'!$D$6,'Planning Sheet'!$AN31='Weeks Plan'!$G$6),'Planning Sheet'!$B31,"")</f>
        <v/>
      </c>
      <c r="Z26" s="48" t="str">
        <f ca="1">IF(AND('Planning Sheet'!$AT31='Weeks Plan'!$D$6,'Planning Sheet'!$AN31='Weeks Plan'!$G$6),'Planning Sheet'!$AO31,"")</f>
        <v/>
      </c>
      <c r="AA26" s="48" t="str">
        <f ca="1">IF(AND('Planning Sheet'!$AT31='Weeks Plan'!$D$6,'Planning Sheet'!$AN31='Weeks Plan'!$G$6),'Planning Sheet'!AP31,"")</f>
        <v/>
      </c>
    </row>
    <row r="27" spans="2:27" x14ac:dyDescent="0.3">
      <c r="B27" s="11"/>
      <c r="C27" s="75" t="str">
        <f>IF($B27&lt;&gt;"",VLOOKUP($B27,'Planning Sheet'!$B$8:$AL$500,3,0),"")</f>
        <v/>
      </c>
      <c r="D27" s="18" t="str">
        <f>IF($B27&lt;&gt;"",VLOOKUP($B27,'Planning Sheet'!$B$8:$AL$500,5,0),"")</f>
        <v/>
      </c>
      <c r="E27" s="18" t="str">
        <f>IF($B27&lt;&gt;"",VLOOKUP($B27,'Planning Sheet'!$B$8:$AL$500,7,0),"")</f>
        <v/>
      </c>
      <c r="F27" s="18" t="str">
        <f>IF($B27&lt;&gt;"",VLOOKUP($B27,'Planning Sheet'!$B$8:$AL$500,9,0),"")</f>
        <v/>
      </c>
      <c r="G27" s="18" t="str">
        <f>IF($B27&lt;&gt;"",VLOOKUP($B27,'Planning Sheet'!$B$8:$AL$500,11,0),"")</f>
        <v/>
      </c>
      <c r="H27" s="18" t="str">
        <f>IF($B27&lt;&gt;"",VLOOKUP($B27,'Planning Sheet'!$B$8:$AL$500,13,0),"")</f>
        <v/>
      </c>
      <c r="I27" s="18" t="str">
        <f>IF($B27&lt;&gt;"",VLOOKUP($B27,'Planning Sheet'!$B$8:$AL$500,15,0),"")</f>
        <v/>
      </c>
      <c r="J27" s="18" t="str">
        <f>IF($B27&lt;&gt;"",VLOOKUP($B27,'Planning Sheet'!$B$8:$AL$500,17,0),"")</f>
        <v/>
      </c>
      <c r="K27" s="18" t="str">
        <f>IF($B27&lt;&gt;"",VLOOKUP($B27,'Planning Sheet'!$B$8:$AL$500,19,0),"")</f>
        <v/>
      </c>
      <c r="L27" s="18" t="str">
        <f>IF($B27&lt;&gt;"",VLOOKUP($B27,'Planning Sheet'!$B$8:$AL$500,21,0),"")</f>
        <v/>
      </c>
      <c r="M27" s="18" t="str">
        <f>IF($B27&lt;&gt;"",VLOOKUP($B27,'Planning Sheet'!$B$8:$AL$500,23,0),"")</f>
        <v/>
      </c>
      <c r="N27" s="18" t="str">
        <f>IF($B27&lt;&gt;"",VLOOKUP($B27,'Planning Sheet'!$B$8:$AL$500,25,0),"")</f>
        <v/>
      </c>
      <c r="O27" s="18" t="str">
        <f>IF($B27&lt;&gt;"",VLOOKUP($B27,'Planning Sheet'!$B$8:$AL$500,26,0),"")</f>
        <v/>
      </c>
      <c r="P27" s="19" t="str">
        <f>IF($B27&lt;&gt;"",VLOOKUP($B27,'Planning Sheet'!$B$8:$AL$500,27,0),"")</f>
        <v/>
      </c>
      <c r="Q27" s="19" t="str">
        <f>IF($B27&lt;&gt;"",VLOOKUP($B27,'Planning Sheet'!$B$8:$AL$500,34,0),"")</f>
        <v/>
      </c>
      <c r="R27" s="19" t="str">
        <f>IF($B27&lt;&gt;"",VLOOKUP($B27,'Planning Sheet'!$B$8:$AL$500,36,0),"")</f>
        <v/>
      </c>
      <c r="S27" s="19" t="str">
        <f>IF($B27&lt;&gt;"",VLOOKUP($B27,'Planning Sheet'!$B$8:$AM$500,38,0),"")</f>
        <v/>
      </c>
      <c r="T27" s="18" t="str">
        <f t="shared" si="1"/>
        <v/>
      </c>
      <c r="U27" s="100" t="str">
        <f t="shared" si="0"/>
        <v/>
      </c>
      <c r="Y27" s="48" t="str">
        <f ca="1">IF(AND('Planning Sheet'!$AT32='Weeks Plan'!$D$6,'Planning Sheet'!$AN32='Weeks Plan'!$G$6),'Planning Sheet'!$B32,"")</f>
        <v/>
      </c>
      <c r="Z27" s="48" t="str">
        <f ca="1">IF(AND('Planning Sheet'!$AT32='Weeks Plan'!$D$6,'Planning Sheet'!$AN32='Weeks Plan'!$G$6),'Planning Sheet'!$AO32,"")</f>
        <v/>
      </c>
      <c r="AA27" s="48" t="str">
        <f ca="1">IF(AND('Planning Sheet'!$AT32='Weeks Plan'!$D$6,'Planning Sheet'!$AN32='Weeks Plan'!$G$6),'Planning Sheet'!AP32,"")</f>
        <v/>
      </c>
    </row>
    <row r="28" spans="2:27" x14ac:dyDescent="0.3">
      <c r="B28" s="11"/>
      <c r="C28" s="75" t="str">
        <f>IF($B28&lt;&gt;"",VLOOKUP($B28,'Planning Sheet'!$B$8:$AL$500,3,0),"")</f>
        <v/>
      </c>
      <c r="D28" s="18" t="str">
        <f>IF($B28&lt;&gt;"",VLOOKUP($B28,'Planning Sheet'!$B$8:$AL$500,5,0),"")</f>
        <v/>
      </c>
      <c r="E28" s="18" t="str">
        <f>IF($B28&lt;&gt;"",VLOOKUP($B28,'Planning Sheet'!$B$8:$AL$500,7,0),"")</f>
        <v/>
      </c>
      <c r="F28" s="18" t="str">
        <f>IF($B28&lt;&gt;"",VLOOKUP($B28,'Planning Sheet'!$B$8:$AL$500,9,0),"")</f>
        <v/>
      </c>
      <c r="G28" s="18" t="str">
        <f>IF($B28&lt;&gt;"",VLOOKUP($B28,'Planning Sheet'!$B$8:$AL$500,11,0),"")</f>
        <v/>
      </c>
      <c r="H28" s="18" t="str">
        <f>IF($B28&lt;&gt;"",VLOOKUP($B28,'Planning Sheet'!$B$8:$AL$500,13,0),"")</f>
        <v/>
      </c>
      <c r="I28" s="18" t="str">
        <f>IF($B28&lt;&gt;"",VLOOKUP($B28,'Planning Sheet'!$B$8:$AL$500,15,0),"")</f>
        <v/>
      </c>
      <c r="J28" s="18" t="str">
        <f>IF($B28&lt;&gt;"",VLOOKUP($B28,'Planning Sheet'!$B$8:$AL$500,17,0),"")</f>
        <v/>
      </c>
      <c r="K28" s="18" t="str">
        <f>IF($B28&lt;&gt;"",VLOOKUP($B28,'Planning Sheet'!$B$8:$AL$500,19,0),"")</f>
        <v/>
      </c>
      <c r="L28" s="18" t="str">
        <f>IF($B28&lt;&gt;"",VLOOKUP($B28,'Planning Sheet'!$B$8:$AL$500,21,0),"")</f>
        <v/>
      </c>
      <c r="M28" s="18" t="str">
        <f>IF($B28&lt;&gt;"",VLOOKUP($B28,'Planning Sheet'!$B$8:$AL$500,23,0),"")</f>
        <v/>
      </c>
      <c r="N28" s="18" t="str">
        <f>IF($B28&lt;&gt;"",VLOOKUP($B28,'Planning Sheet'!$B$8:$AL$500,25,0),"")</f>
        <v/>
      </c>
      <c r="O28" s="18" t="str">
        <f>IF($B28&lt;&gt;"",VLOOKUP($B28,'Planning Sheet'!$B$8:$AL$500,26,0),"")</f>
        <v/>
      </c>
      <c r="P28" s="19" t="str">
        <f>IF($B28&lt;&gt;"",VLOOKUP($B28,'Planning Sheet'!$B$8:$AL$500,27,0),"")</f>
        <v/>
      </c>
      <c r="Q28" s="19" t="str">
        <f>IF($B28&lt;&gt;"",VLOOKUP($B28,'Planning Sheet'!$B$8:$AL$500,34,0),"")</f>
        <v/>
      </c>
      <c r="R28" s="19" t="str">
        <f>IF($B28&lt;&gt;"",VLOOKUP($B28,'Planning Sheet'!$B$8:$AL$500,36,0),"")</f>
        <v/>
      </c>
      <c r="S28" s="19" t="str">
        <f>IF($B28&lt;&gt;"",VLOOKUP($B28,'Planning Sheet'!$B$8:$AM$500,38,0),"")</f>
        <v/>
      </c>
      <c r="T28" s="18" t="str">
        <f t="shared" si="1"/>
        <v/>
      </c>
      <c r="U28" s="100" t="str">
        <f t="shared" si="0"/>
        <v/>
      </c>
      <c r="Y28" s="48" t="str">
        <f ca="1">IF(AND('Planning Sheet'!$AT33='Weeks Plan'!$D$6,'Planning Sheet'!$AN33='Weeks Plan'!$G$6),'Planning Sheet'!$B33,"")</f>
        <v/>
      </c>
      <c r="Z28" s="48" t="str">
        <f ca="1">IF(AND('Planning Sheet'!$AT33='Weeks Plan'!$D$6,'Planning Sheet'!$AN33='Weeks Plan'!$G$6),'Planning Sheet'!$AO33,"")</f>
        <v/>
      </c>
      <c r="AA28" s="48" t="str">
        <f ca="1">IF(AND('Planning Sheet'!$AT33='Weeks Plan'!$D$6,'Planning Sheet'!$AN33='Weeks Plan'!$G$6),'Planning Sheet'!AP33,"")</f>
        <v/>
      </c>
    </row>
    <row r="29" spans="2:27" x14ac:dyDescent="0.3">
      <c r="B29" s="11"/>
      <c r="C29" s="75" t="str">
        <f>IF($B29&lt;&gt;"",VLOOKUP($B29,'Planning Sheet'!$B$8:$AL$500,3,0),"")</f>
        <v/>
      </c>
      <c r="D29" s="18" t="str">
        <f>IF($B29&lt;&gt;"",VLOOKUP($B29,'Planning Sheet'!$B$8:$AL$500,5,0),"")</f>
        <v/>
      </c>
      <c r="E29" s="18" t="str">
        <f>IF($B29&lt;&gt;"",VLOOKUP($B29,'Planning Sheet'!$B$8:$AL$500,7,0),"")</f>
        <v/>
      </c>
      <c r="F29" s="18" t="str">
        <f>IF($B29&lt;&gt;"",VLOOKUP($B29,'Planning Sheet'!$B$8:$AL$500,9,0),"")</f>
        <v/>
      </c>
      <c r="G29" s="18" t="str">
        <f>IF($B29&lt;&gt;"",VLOOKUP($B29,'Planning Sheet'!$B$8:$AL$500,11,0),"")</f>
        <v/>
      </c>
      <c r="H29" s="18" t="str">
        <f>IF($B29&lt;&gt;"",VLOOKUP($B29,'Planning Sheet'!$B$8:$AL$500,13,0),"")</f>
        <v/>
      </c>
      <c r="I29" s="18" t="str">
        <f>IF($B29&lt;&gt;"",VLOOKUP($B29,'Planning Sheet'!$B$8:$AL$500,15,0),"")</f>
        <v/>
      </c>
      <c r="J29" s="18" t="str">
        <f>IF($B29&lt;&gt;"",VLOOKUP($B29,'Planning Sheet'!$B$8:$AL$500,17,0),"")</f>
        <v/>
      </c>
      <c r="K29" s="18" t="str">
        <f>IF($B29&lt;&gt;"",VLOOKUP($B29,'Planning Sheet'!$B$8:$AL$500,19,0),"")</f>
        <v/>
      </c>
      <c r="L29" s="18" t="str">
        <f>IF($B29&lt;&gt;"",VLOOKUP($B29,'Planning Sheet'!$B$8:$AL$500,21,0),"")</f>
        <v/>
      </c>
      <c r="M29" s="18" t="str">
        <f>IF($B29&lt;&gt;"",VLOOKUP($B29,'Planning Sheet'!$B$8:$AL$500,23,0),"")</f>
        <v/>
      </c>
      <c r="N29" s="18" t="str">
        <f>IF($B29&lt;&gt;"",VLOOKUP($B29,'Planning Sheet'!$B$8:$AL$500,25,0),"")</f>
        <v/>
      </c>
      <c r="O29" s="18" t="str">
        <f>IF($B29&lt;&gt;"",VLOOKUP($B29,'Planning Sheet'!$B$8:$AL$500,26,0),"")</f>
        <v/>
      </c>
      <c r="P29" s="19" t="str">
        <f>IF($B29&lt;&gt;"",VLOOKUP($B29,'Planning Sheet'!$B$8:$AL$500,27,0),"")</f>
        <v/>
      </c>
      <c r="Q29" s="19" t="str">
        <f>IF($B29&lt;&gt;"",VLOOKUP($B29,'Planning Sheet'!$B$8:$AL$500,34,0),"")</f>
        <v/>
      </c>
      <c r="R29" s="19" t="str">
        <f>IF($B29&lt;&gt;"",VLOOKUP($B29,'Planning Sheet'!$B$8:$AL$500,36,0),"")</f>
        <v/>
      </c>
      <c r="S29" s="19" t="str">
        <f>IF($B29&lt;&gt;"",VLOOKUP($B29,'Planning Sheet'!$B$8:$AM$500,38,0),"")</f>
        <v/>
      </c>
      <c r="T29" s="18" t="str">
        <f t="shared" si="1"/>
        <v/>
      </c>
      <c r="U29" s="100" t="str">
        <f t="shared" si="0"/>
        <v/>
      </c>
      <c r="Y29" s="48" t="str">
        <f ca="1">IF(AND('Planning Sheet'!$AT34='Weeks Plan'!$D$6,'Planning Sheet'!$AN34='Weeks Plan'!$G$6),'Planning Sheet'!$B34,"")</f>
        <v/>
      </c>
      <c r="Z29" s="48" t="str">
        <f ca="1">IF(AND('Planning Sheet'!$AT34='Weeks Plan'!$D$6,'Planning Sheet'!$AN34='Weeks Plan'!$G$6),'Planning Sheet'!$AO34,"")</f>
        <v/>
      </c>
      <c r="AA29" s="48" t="str">
        <f ca="1">IF(AND('Planning Sheet'!$AT34='Weeks Plan'!$D$6,'Planning Sheet'!$AN34='Weeks Plan'!$G$6),'Planning Sheet'!AP34,"")</f>
        <v/>
      </c>
    </row>
    <row r="30" spans="2:27" x14ac:dyDescent="0.3">
      <c r="B30" s="11"/>
      <c r="C30" s="75" t="str">
        <f>IF($B30&lt;&gt;"",VLOOKUP($B30,'Planning Sheet'!$B$8:$AL$500,3,0),"")</f>
        <v/>
      </c>
      <c r="D30" s="18" t="str">
        <f>IF($B30&lt;&gt;"",VLOOKUP($B30,'Planning Sheet'!$B$8:$AL$500,5,0),"")</f>
        <v/>
      </c>
      <c r="E30" s="18" t="str">
        <f>IF($B30&lt;&gt;"",VLOOKUP($B30,'Planning Sheet'!$B$8:$AL$500,7,0),"")</f>
        <v/>
      </c>
      <c r="F30" s="18" t="str">
        <f>IF($B30&lt;&gt;"",VLOOKUP($B30,'Planning Sheet'!$B$8:$AL$500,9,0),"")</f>
        <v/>
      </c>
      <c r="G30" s="18" t="str">
        <f>IF($B30&lt;&gt;"",VLOOKUP($B30,'Planning Sheet'!$B$8:$AL$500,11,0),"")</f>
        <v/>
      </c>
      <c r="H30" s="18" t="str">
        <f>IF($B30&lt;&gt;"",VLOOKUP($B30,'Planning Sheet'!$B$8:$AL$500,13,0),"")</f>
        <v/>
      </c>
      <c r="I30" s="18" t="str">
        <f>IF($B30&lt;&gt;"",VLOOKUP($B30,'Planning Sheet'!$B$8:$AL$500,15,0),"")</f>
        <v/>
      </c>
      <c r="J30" s="18" t="str">
        <f>IF($B30&lt;&gt;"",VLOOKUP($B30,'Planning Sheet'!$B$8:$AL$500,17,0),"")</f>
        <v/>
      </c>
      <c r="K30" s="18" t="str">
        <f>IF($B30&lt;&gt;"",VLOOKUP($B30,'Planning Sheet'!$B$8:$AL$500,19,0),"")</f>
        <v/>
      </c>
      <c r="L30" s="18" t="str">
        <f>IF($B30&lt;&gt;"",VLOOKUP($B30,'Planning Sheet'!$B$8:$AL$500,21,0),"")</f>
        <v/>
      </c>
      <c r="M30" s="18" t="str">
        <f>IF($B30&lt;&gt;"",VLOOKUP($B30,'Planning Sheet'!$B$8:$AL$500,23,0),"")</f>
        <v/>
      </c>
      <c r="N30" s="18" t="str">
        <f>IF($B30&lt;&gt;"",VLOOKUP($B30,'Planning Sheet'!$B$8:$AL$500,25,0),"")</f>
        <v/>
      </c>
      <c r="O30" s="18" t="str">
        <f>IF($B30&lt;&gt;"",VLOOKUP($B30,'Planning Sheet'!$B$8:$AL$500,26,0),"")</f>
        <v/>
      </c>
      <c r="P30" s="19" t="str">
        <f>IF($B30&lt;&gt;"",VLOOKUP($B30,'Planning Sheet'!$B$8:$AL$500,27,0),"")</f>
        <v/>
      </c>
      <c r="Q30" s="19" t="str">
        <f>IF($B30&lt;&gt;"",VLOOKUP($B30,'Planning Sheet'!$B$8:$AL$500,34,0),"")</f>
        <v/>
      </c>
      <c r="R30" s="19" t="str">
        <f>IF($B30&lt;&gt;"",VLOOKUP($B30,'Planning Sheet'!$B$8:$AL$500,36,0),"")</f>
        <v/>
      </c>
      <c r="S30" s="19" t="str">
        <f>IF($B30&lt;&gt;"",VLOOKUP($B30,'Planning Sheet'!$B$8:$AM$500,38,0),"")</f>
        <v/>
      </c>
      <c r="T30" s="18" t="str">
        <f t="shared" si="1"/>
        <v/>
      </c>
      <c r="U30" s="100" t="str">
        <f t="shared" si="0"/>
        <v/>
      </c>
      <c r="Y30" s="48" t="str">
        <f ca="1">IF(AND('Planning Sheet'!$AT35='Weeks Plan'!$D$6,'Planning Sheet'!$AN35='Weeks Plan'!$G$6),'Planning Sheet'!$B35,"")</f>
        <v/>
      </c>
      <c r="Z30" s="48" t="str">
        <f ca="1">IF(AND('Planning Sheet'!$AT35='Weeks Plan'!$D$6,'Planning Sheet'!$AN35='Weeks Plan'!$G$6),'Planning Sheet'!$AO35,"")</f>
        <v/>
      </c>
      <c r="AA30" s="48" t="str">
        <f ca="1">IF(AND('Planning Sheet'!$AT35='Weeks Plan'!$D$6,'Planning Sheet'!$AN35='Weeks Plan'!$G$6),'Planning Sheet'!AP35,"")</f>
        <v/>
      </c>
    </row>
    <row r="31" spans="2:27" x14ac:dyDescent="0.3">
      <c r="B31" s="11"/>
      <c r="C31" s="75" t="str">
        <f>IF($B31&lt;&gt;"",VLOOKUP($B31,'Planning Sheet'!$B$8:$AL$500,3,0),"")</f>
        <v/>
      </c>
      <c r="D31" s="18" t="str">
        <f>IF($B31&lt;&gt;"",VLOOKUP($B31,'Planning Sheet'!$B$8:$AL$500,5,0),"")</f>
        <v/>
      </c>
      <c r="E31" s="18" t="str">
        <f>IF($B31&lt;&gt;"",VLOOKUP($B31,'Planning Sheet'!$B$8:$AL$500,7,0),"")</f>
        <v/>
      </c>
      <c r="F31" s="18" t="str">
        <f>IF($B31&lt;&gt;"",VLOOKUP($B31,'Planning Sheet'!$B$8:$AL$500,9,0),"")</f>
        <v/>
      </c>
      <c r="G31" s="18" t="str">
        <f>IF($B31&lt;&gt;"",VLOOKUP($B31,'Planning Sheet'!$B$8:$AL$500,11,0),"")</f>
        <v/>
      </c>
      <c r="H31" s="18" t="str">
        <f>IF($B31&lt;&gt;"",VLOOKUP($B31,'Planning Sheet'!$B$8:$AL$500,13,0),"")</f>
        <v/>
      </c>
      <c r="I31" s="18" t="str">
        <f>IF($B31&lt;&gt;"",VLOOKUP($B31,'Planning Sheet'!$B$8:$AL$500,15,0),"")</f>
        <v/>
      </c>
      <c r="J31" s="18" t="str">
        <f>IF($B31&lt;&gt;"",VLOOKUP($B31,'Planning Sheet'!$B$8:$AL$500,17,0),"")</f>
        <v/>
      </c>
      <c r="K31" s="18" t="str">
        <f>IF($B31&lt;&gt;"",VLOOKUP($B31,'Planning Sheet'!$B$8:$AL$500,19,0),"")</f>
        <v/>
      </c>
      <c r="L31" s="18" t="str">
        <f>IF($B31&lt;&gt;"",VLOOKUP($B31,'Planning Sheet'!$B$8:$AL$500,21,0),"")</f>
        <v/>
      </c>
      <c r="M31" s="18" t="str">
        <f>IF($B31&lt;&gt;"",VLOOKUP($B31,'Planning Sheet'!$B$8:$AL$500,23,0),"")</f>
        <v/>
      </c>
      <c r="N31" s="18" t="str">
        <f>IF($B31&lt;&gt;"",VLOOKUP($B31,'Planning Sheet'!$B$8:$AL$500,25,0),"")</f>
        <v/>
      </c>
      <c r="O31" s="18" t="str">
        <f>IF($B31&lt;&gt;"",VLOOKUP($B31,'Planning Sheet'!$B$8:$AL$500,26,0),"")</f>
        <v/>
      </c>
      <c r="P31" s="19" t="str">
        <f>IF($B31&lt;&gt;"",VLOOKUP($B31,'Planning Sheet'!$B$8:$AL$500,27,0),"")</f>
        <v/>
      </c>
      <c r="Q31" s="19" t="str">
        <f>IF($B31&lt;&gt;"",VLOOKUP($B31,'Planning Sheet'!$B$8:$AL$500,34,0),"")</f>
        <v/>
      </c>
      <c r="R31" s="19" t="str">
        <f>IF($B31&lt;&gt;"",VLOOKUP($B31,'Planning Sheet'!$B$8:$AL$500,36,0),"")</f>
        <v/>
      </c>
      <c r="S31" s="19" t="str">
        <f>IF($B31&lt;&gt;"",VLOOKUP($B31,'Planning Sheet'!$B$8:$AM$500,38,0),"")</f>
        <v/>
      </c>
      <c r="T31" s="18" t="str">
        <f t="shared" si="1"/>
        <v/>
      </c>
      <c r="U31" s="100" t="str">
        <f t="shared" si="0"/>
        <v/>
      </c>
      <c r="Y31" s="48" t="str">
        <f ca="1">IF(AND('Planning Sheet'!$AT36='Weeks Plan'!$D$6,'Planning Sheet'!$AN36='Weeks Plan'!$G$6),'Planning Sheet'!$B36,"")</f>
        <v/>
      </c>
      <c r="Z31" s="48" t="str">
        <f ca="1">IF(AND('Planning Sheet'!$AT36='Weeks Plan'!$D$6,'Planning Sheet'!$AN36='Weeks Plan'!$G$6),'Planning Sheet'!$AO36,"")</f>
        <v/>
      </c>
      <c r="AA31" s="48" t="str">
        <f ca="1">IF(AND('Planning Sheet'!$AT36='Weeks Plan'!$D$6,'Planning Sheet'!$AN36='Weeks Plan'!$G$6),'Planning Sheet'!AP36,"")</f>
        <v/>
      </c>
    </row>
    <row r="32" spans="2:27" x14ac:dyDescent="0.3">
      <c r="B32" s="11"/>
      <c r="C32" s="75" t="str">
        <f>IF($B32&lt;&gt;"",VLOOKUP($B32,'Planning Sheet'!$B$8:$AL$500,3,0),"")</f>
        <v/>
      </c>
      <c r="D32" s="18" t="str">
        <f>IF($B32&lt;&gt;"",VLOOKUP($B32,'Planning Sheet'!$B$8:$AL$500,5,0),"")</f>
        <v/>
      </c>
      <c r="E32" s="18" t="str">
        <f>IF($B32&lt;&gt;"",VLOOKUP($B32,'Planning Sheet'!$B$8:$AL$500,7,0),"")</f>
        <v/>
      </c>
      <c r="F32" s="18" t="str">
        <f>IF($B32&lt;&gt;"",VLOOKUP($B32,'Planning Sheet'!$B$8:$AL$500,9,0),"")</f>
        <v/>
      </c>
      <c r="G32" s="18" t="str">
        <f>IF($B32&lt;&gt;"",VLOOKUP($B32,'Planning Sheet'!$B$8:$AL$500,11,0),"")</f>
        <v/>
      </c>
      <c r="H32" s="18" t="str">
        <f>IF($B32&lt;&gt;"",VLOOKUP($B32,'Planning Sheet'!$B$8:$AL$500,13,0),"")</f>
        <v/>
      </c>
      <c r="I32" s="18" t="str">
        <f>IF($B32&lt;&gt;"",VLOOKUP($B32,'Planning Sheet'!$B$8:$AL$500,15,0),"")</f>
        <v/>
      </c>
      <c r="J32" s="18" t="str">
        <f>IF($B32&lt;&gt;"",VLOOKUP($B32,'Planning Sheet'!$B$8:$AL$500,17,0),"")</f>
        <v/>
      </c>
      <c r="K32" s="18" t="str">
        <f>IF($B32&lt;&gt;"",VLOOKUP($B32,'Planning Sheet'!$B$8:$AL$500,19,0),"")</f>
        <v/>
      </c>
      <c r="L32" s="18" t="str">
        <f>IF($B32&lt;&gt;"",VLOOKUP($B32,'Planning Sheet'!$B$8:$AL$500,21,0),"")</f>
        <v/>
      </c>
      <c r="M32" s="18" t="str">
        <f>IF($B32&lt;&gt;"",VLOOKUP($B32,'Planning Sheet'!$B$8:$AL$500,23,0),"")</f>
        <v/>
      </c>
      <c r="N32" s="18" t="str">
        <f>IF($B32&lt;&gt;"",VLOOKUP($B32,'Planning Sheet'!$B$8:$AL$500,25,0),"")</f>
        <v/>
      </c>
      <c r="O32" s="18" t="str">
        <f>IF($B32&lt;&gt;"",VLOOKUP($B32,'Planning Sheet'!$B$8:$AL$500,26,0),"")</f>
        <v/>
      </c>
      <c r="P32" s="19" t="str">
        <f>IF($B32&lt;&gt;"",VLOOKUP($B32,'Planning Sheet'!$B$8:$AL$500,27,0),"")</f>
        <v/>
      </c>
      <c r="Q32" s="19" t="str">
        <f>IF($B32&lt;&gt;"",VLOOKUP($B32,'Planning Sheet'!$B$8:$AL$500,34,0),"")</f>
        <v/>
      </c>
      <c r="R32" s="19" t="str">
        <f>IF($B32&lt;&gt;"",VLOOKUP($B32,'Planning Sheet'!$B$8:$AL$500,36,0),"")</f>
        <v/>
      </c>
      <c r="S32" s="19" t="str">
        <f>IF($B32&lt;&gt;"",VLOOKUP($B32,'Planning Sheet'!$B$8:$AM$500,38,0),"")</f>
        <v/>
      </c>
      <c r="T32" s="18" t="str">
        <f t="shared" si="1"/>
        <v/>
      </c>
      <c r="U32" s="100" t="str">
        <f t="shared" si="0"/>
        <v/>
      </c>
      <c r="Y32" s="48" t="str">
        <f ca="1">IF(AND('Planning Sheet'!$AT37='Weeks Plan'!$D$6,'Planning Sheet'!$AN37='Weeks Plan'!$G$6),'Planning Sheet'!$B37,"")</f>
        <v/>
      </c>
      <c r="Z32" s="48" t="str">
        <f ca="1">IF(AND('Planning Sheet'!$AT37='Weeks Plan'!$D$6,'Planning Sheet'!$AN37='Weeks Plan'!$G$6),'Planning Sheet'!$AO37,"")</f>
        <v/>
      </c>
      <c r="AA32" s="48" t="str">
        <f ca="1">IF(AND('Planning Sheet'!$AT37='Weeks Plan'!$D$6,'Planning Sheet'!$AN37='Weeks Plan'!$G$6),'Planning Sheet'!AP37,"")</f>
        <v/>
      </c>
    </row>
    <row r="33" spans="2:27" x14ac:dyDescent="0.3">
      <c r="B33" s="11"/>
      <c r="C33" s="75" t="str">
        <f>IF($B33&lt;&gt;"",VLOOKUP($B33,'Planning Sheet'!$B$8:$AL$500,3,0),"")</f>
        <v/>
      </c>
      <c r="D33" s="18" t="str">
        <f>IF($B33&lt;&gt;"",VLOOKUP($B33,'Planning Sheet'!$B$8:$AL$500,5,0),"")</f>
        <v/>
      </c>
      <c r="E33" s="18" t="str">
        <f>IF($B33&lt;&gt;"",VLOOKUP($B33,'Planning Sheet'!$B$8:$AL$500,7,0),"")</f>
        <v/>
      </c>
      <c r="F33" s="18" t="str">
        <f>IF($B33&lt;&gt;"",VLOOKUP($B33,'Planning Sheet'!$B$8:$AL$500,9,0),"")</f>
        <v/>
      </c>
      <c r="G33" s="18" t="str">
        <f>IF($B33&lt;&gt;"",VLOOKUP($B33,'Planning Sheet'!$B$8:$AL$500,11,0),"")</f>
        <v/>
      </c>
      <c r="H33" s="18" t="str">
        <f>IF($B33&lt;&gt;"",VLOOKUP($B33,'Planning Sheet'!$B$8:$AL$500,13,0),"")</f>
        <v/>
      </c>
      <c r="I33" s="18" t="str">
        <f>IF($B33&lt;&gt;"",VLOOKUP($B33,'Planning Sheet'!$B$8:$AL$500,15,0),"")</f>
        <v/>
      </c>
      <c r="J33" s="18" t="str">
        <f>IF($B33&lt;&gt;"",VLOOKUP($B33,'Planning Sheet'!$B$8:$AL$500,17,0),"")</f>
        <v/>
      </c>
      <c r="K33" s="18" t="str">
        <f>IF($B33&lt;&gt;"",VLOOKUP($B33,'Planning Sheet'!$B$8:$AL$500,19,0),"")</f>
        <v/>
      </c>
      <c r="L33" s="18" t="str">
        <f>IF($B33&lt;&gt;"",VLOOKUP($B33,'Planning Sheet'!$B$8:$AL$500,21,0),"")</f>
        <v/>
      </c>
      <c r="M33" s="18" t="str">
        <f>IF($B33&lt;&gt;"",VLOOKUP($B33,'Planning Sheet'!$B$8:$AL$500,23,0),"")</f>
        <v/>
      </c>
      <c r="N33" s="18" t="str">
        <f>IF($B33&lt;&gt;"",VLOOKUP($B33,'Planning Sheet'!$B$8:$AL$500,25,0),"")</f>
        <v/>
      </c>
      <c r="O33" s="18" t="str">
        <f>IF($B33&lt;&gt;"",VLOOKUP($B33,'Planning Sheet'!$B$8:$AL$500,26,0),"")</f>
        <v/>
      </c>
      <c r="P33" s="19" t="str">
        <f>IF($B33&lt;&gt;"",VLOOKUP($B33,'Planning Sheet'!$B$8:$AL$500,27,0),"")</f>
        <v/>
      </c>
      <c r="Q33" s="19" t="str">
        <f>IF($B33&lt;&gt;"",VLOOKUP($B33,'Planning Sheet'!$B$8:$AL$500,34,0),"")</f>
        <v/>
      </c>
      <c r="R33" s="19" t="str">
        <f>IF($B33&lt;&gt;"",VLOOKUP($B33,'Planning Sheet'!$B$8:$AL$500,36,0),"")</f>
        <v/>
      </c>
      <c r="S33" s="19" t="str">
        <f>IF($B33&lt;&gt;"",VLOOKUP($B33,'Planning Sheet'!$B$8:$AM$500,38,0),"")</f>
        <v/>
      </c>
      <c r="T33" s="18" t="str">
        <f t="shared" si="1"/>
        <v/>
      </c>
      <c r="U33" s="100" t="str">
        <f t="shared" si="0"/>
        <v/>
      </c>
      <c r="Y33" s="48" t="str">
        <f ca="1">IF(AND('Planning Sheet'!$AT38='Weeks Plan'!$D$6,'Planning Sheet'!$AN38='Weeks Plan'!$G$6),'Planning Sheet'!$B38,"")</f>
        <v/>
      </c>
      <c r="Z33" s="48" t="str">
        <f ca="1">IF(AND('Planning Sheet'!$AT38='Weeks Plan'!$D$6,'Planning Sheet'!$AN38='Weeks Plan'!$G$6),'Planning Sheet'!$AO38,"")</f>
        <v/>
      </c>
      <c r="AA33" s="48" t="str">
        <f ca="1">IF(AND('Planning Sheet'!$AT38='Weeks Plan'!$D$6,'Planning Sheet'!$AN38='Weeks Plan'!$G$6),'Planning Sheet'!AP38,"")</f>
        <v/>
      </c>
    </row>
    <row r="34" spans="2:27" x14ac:dyDescent="0.3">
      <c r="B34" s="11"/>
      <c r="C34" s="75" t="str">
        <f>IF($B34&lt;&gt;"",VLOOKUP($B34,'Planning Sheet'!$B$8:$AL$500,3,0),"")</f>
        <v/>
      </c>
      <c r="D34" s="18" t="str">
        <f>IF($B34&lt;&gt;"",VLOOKUP($B34,'Planning Sheet'!$B$8:$AL$500,5,0),"")</f>
        <v/>
      </c>
      <c r="E34" s="18" t="str">
        <f>IF($B34&lt;&gt;"",VLOOKUP($B34,'Planning Sheet'!$B$8:$AL$500,7,0),"")</f>
        <v/>
      </c>
      <c r="F34" s="18" t="str">
        <f>IF($B34&lt;&gt;"",VLOOKUP($B34,'Planning Sheet'!$B$8:$AL$500,9,0),"")</f>
        <v/>
      </c>
      <c r="G34" s="18" t="str">
        <f>IF($B34&lt;&gt;"",VLOOKUP($B34,'Planning Sheet'!$B$8:$AL$500,11,0),"")</f>
        <v/>
      </c>
      <c r="H34" s="18" t="str">
        <f>IF($B34&lt;&gt;"",VLOOKUP($B34,'Planning Sheet'!$B$8:$AL$500,13,0),"")</f>
        <v/>
      </c>
      <c r="I34" s="18" t="str">
        <f>IF($B34&lt;&gt;"",VLOOKUP($B34,'Planning Sheet'!$B$8:$AL$500,15,0),"")</f>
        <v/>
      </c>
      <c r="J34" s="18" t="str">
        <f>IF($B34&lt;&gt;"",VLOOKUP($B34,'Planning Sheet'!$B$8:$AL$500,17,0),"")</f>
        <v/>
      </c>
      <c r="K34" s="18" t="str">
        <f>IF($B34&lt;&gt;"",VLOOKUP($B34,'Planning Sheet'!$B$8:$AL$500,19,0),"")</f>
        <v/>
      </c>
      <c r="L34" s="18" t="str">
        <f>IF($B34&lt;&gt;"",VLOOKUP($B34,'Planning Sheet'!$B$8:$AL$500,21,0),"")</f>
        <v/>
      </c>
      <c r="M34" s="18" t="str">
        <f>IF($B34&lt;&gt;"",VLOOKUP($B34,'Planning Sheet'!$B$8:$AL$500,23,0),"")</f>
        <v/>
      </c>
      <c r="N34" s="18" t="str">
        <f>IF($B34&lt;&gt;"",VLOOKUP($B34,'Planning Sheet'!$B$8:$AL$500,25,0),"")</f>
        <v/>
      </c>
      <c r="O34" s="18" t="str">
        <f>IF($B34&lt;&gt;"",VLOOKUP($B34,'Planning Sheet'!$B$8:$AL$500,26,0),"")</f>
        <v/>
      </c>
      <c r="P34" s="19" t="str">
        <f>IF($B34&lt;&gt;"",VLOOKUP($B34,'Planning Sheet'!$B$8:$AL$500,27,0),"")</f>
        <v/>
      </c>
      <c r="Q34" s="19" t="str">
        <f>IF($B34&lt;&gt;"",VLOOKUP($B34,'Planning Sheet'!$B$8:$AL$500,34,0),"")</f>
        <v/>
      </c>
      <c r="R34" s="19" t="str">
        <f>IF($B34&lt;&gt;"",VLOOKUP($B34,'Planning Sheet'!$B$8:$AL$500,36,0),"")</f>
        <v/>
      </c>
      <c r="S34" s="19" t="str">
        <f>IF($B34&lt;&gt;"",VLOOKUP($B34,'Planning Sheet'!$B$8:$AM$500,38,0),"")</f>
        <v/>
      </c>
      <c r="T34" s="18" t="str">
        <f t="shared" si="1"/>
        <v/>
      </c>
      <c r="U34" s="100" t="str">
        <f t="shared" si="0"/>
        <v/>
      </c>
      <c r="Y34" s="48" t="str">
        <f ca="1">IF(AND('Planning Sheet'!$AT39='Weeks Plan'!$D$6,'Planning Sheet'!$AN39='Weeks Plan'!$G$6),'Planning Sheet'!$B39,"")</f>
        <v/>
      </c>
      <c r="Z34" s="48" t="str">
        <f ca="1">IF(AND('Planning Sheet'!$AT39='Weeks Plan'!$D$6,'Planning Sheet'!$AN39='Weeks Plan'!$G$6),'Planning Sheet'!$AO39,"")</f>
        <v/>
      </c>
      <c r="AA34" s="48" t="str">
        <f ca="1">IF(AND('Planning Sheet'!$AT39='Weeks Plan'!$D$6,'Planning Sheet'!$AN39='Weeks Plan'!$G$6),'Planning Sheet'!AP39,"")</f>
        <v/>
      </c>
    </row>
    <row r="35" spans="2:27" x14ac:dyDescent="0.3">
      <c r="B35" s="11"/>
      <c r="C35" s="75" t="str">
        <f>IF($B35&lt;&gt;"",VLOOKUP($B35,'Planning Sheet'!$B$8:$AL$500,3,0),"")</f>
        <v/>
      </c>
      <c r="D35" s="18" t="str">
        <f>IF($B35&lt;&gt;"",VLOOKUP($B35,'Planning Sheet'!$B$8:$AL$500,5,0),"")</f>
        <v/>
      </c>
      <c r="E35" s="18" t="str">
        <f>IF($B35&lt;&gt;"",VLOOKUP($B35,'Planning Sheet'!$B$8:$AL$500,7,0),"")</f>
        <v/>
      </c>
      <c r="F35" s="18" t="str">
        <f>IF($B35&lt;&gt;"",VLOOKUP($B35,'Planning Sheet'!$B$8:$AL$500,9,0),"")</f>
        <v/>
      </c>
      <c r="G35" s="18" t="str">
        <f>IF($B35&lt;&gt;"",VLOOKUP($B35,'Planning Sheet'!$B$8:$AL$500,11,0),"")</f>
        <v/>
      </c>
      <c r="H35" s="18" t="str">
        <f>IF($B35&lt;&gt;"",VLOOKUP($B35,'Planning Sheet'!$B$8:$AL$500,13,0),"")</f>
        <v/>
      </c>
      <c r="I35" s="18" t="str">
        <f>IF($B35&lt;&gt;"",VLOOKUP($B35,'Planning Sheet'!$B$8:$AL$500,15,0),"")</f>
        <v/>
      </c>
      <c r="J35" s="18" t="str">
        <f>IF($B35&lt;&gt;"",VLOOKUP($B35,'Planning Sheet'!$B$8:$AL$500,17,0),"")</f>
        <v/>
      </c>
      <c r="K35" s="18" t="str">
        <f>IF($B35&lt;&gt;"",VLOOKUP($B35,'Planning Sheet'!$B$8:$AL$500,19,0),"")</f>
        <v/>
      </c>
      <c r="L35" s="18" t="str">
        <f>IF($B35&lt;&gt;"",VLOOKUP($B35,'Planning Sheet'!$B$8:$AL$500,21,0),"")</f>
        <v/>
      </c>
      <c r="M35" s="18" t="str">
        <f>IF($B35&lt;&gt;"",VLOOKUP($B35,'Planning Sheet'!$B$8:$AL$500,23,0),"")</f>
        <v/>
      </c>
      <c r="N35" s="18" t="str">
        <f>IF($B35&lt;&gt;"",VLOOKUP($B35,'Planning Sheet'!$B$8:$AL$500,25,0),"")</f>
        <v/>
      </c>
      <c r="O35" s="18" t="str">
        <f>IF($B35&lt;&gt;"",VLOOKUP($B35,'Planning Sheet'!$B$8:$AL$500,26,0),"")</f>
        <v/>
      </c>
      <c r="P35" s="19" t="str">
        <f>IF($B35&lt;&gt;"",VLOOKUP($B35,'Planning Sheet'!$B$8:$AL$500,27,0),"")</f>
        <v/>
      </c>
      <c r="Q35" s="19" t="str">
        <f>IF($B35&lt;&gt;"",VLOOKUP($B35,'Planning Sheet'!$B$8:$AL$500,34,0),"")</f>
        <v/>
      </c>
      <c r="R35" s="19" t="str">
        <f>IF($B35&lt;&gt;"",VLOOKUP($B35,'Planning Sheet'!$B$8:$AL$500,36,0),"")</f>
        <v/>
      </c>
      <c r="S35" s="19" t="str">
        <f>IF($B35&lt;&gt;"",VLOOKUP($B35,'Planning Sheet'!$B$8:$AM$500,38,0),"")</f>
        <v/>
      </c>
      <c r="T35" s="18" t="str">
        <f t="shared" si="1"/>
        <v/>
      </c>
      <c r="U35" s="100" t="str">
        <f t="shared" si="0"/>
        <v/>
      </c>
      <c r="Y35" s="48" t="str">
        <f ca="1">IF(AND('Planning Sheet'!$AT40='Weeks Plan'!$D$6,'Planning Sheet'!$AN40='Weeks Plan'!$G$6),'Planning Sheet'!$B40,"")</f>
        <v/>
      </c>
      <c r="Z35" s="48" t="str">
        <f ca="1">IF(AND('Planning Sheet'!$AT40='Weeks Plan'!$D$6,'Planning Sheet'!$AN40='Weeks Plan'!$G$6),'Planning Sheet'!$AO40,"")</f>
        <v/>
      </c>
      <c r="AA35" s="48" t="str">
        <f ca="1">IF(AND('Planning Sheet'!$AT40='Weeks Plan'!$D$6,'Planning Sheet'!$AN40='Weeks Plan'!$G$6),'Planning Sheet'!AP40,"")</f>
        <v/>
      </c>
    </row>
    <row r="36" spans="2:27" x14ac:dyDescent="0.3">
      <c r="B36" s="11"/>
      <c r="C36" s="75" t="str">
        <f>IF($B36&lt;&gt;"",VLOOKUP($B36,'Planning Sheet'!$B$8:$AL$500,3,0),"")</f>
        <v/>
      </c>
      <c r="D36" s="18" t="str">
        <f>IF($B36&lt;&gt;"",VLOOKUP($B36,'Planning Sheet'!$B$8:$AL$500,5,0),"")</f>
        <v/>
      </c>
      <c r="E36" s="18" t="str">
        <f>IF($B36&lt;&gt;"",VLOOKUP($B36,'Planning Sheet'!$B$8:$AL$500,7,0),"")</f>
        <v/>
      </c>
      <c r="F36" s="18" t="str">
        <f>IF($B36&lt;&gt;"",VLOOKUP($B36,'Planning Sheet'!$B$8:$AL$500,9,0),"")</f>
        <v/>
      </c>
      <c r="G36" s="18" t="str">
        <f>IF($B36&lt;&gt;"",VLOOKUP($B36,'Planning Sheet'!$B$8:$AL$500,11,0),"")</f>
        <v/>
      </c>
      <c r="H36" s="18" t="str">
        <f>IF($B36&lt;&gt;"",VLOOKUP($B36,'Planning Sheet'!$B$8:$AL$500,13,0),"")</f>
        <v/>
      </c>
      <c r="I36" s="18" t="str">
        <f>IF($B36&lt;&gt;"",VLOOKUP($B36,'Planning Sheet'!$B$8:$AL$500,15,0),"")</f>
        <v/>
      </c>
      <c r="J36" s="18" t="str">
        <f>IF($B36&lt;&gt;"",VLOOKUP($B36,'Planning Sheet'!$B$8:$AL$500,17,0),"")</f>
        <v/>
      </c>
      <c r="K36" s="18" t="str">
        <f>IF($B36&lt;&gt;"",VLOOKUP($B36,'Planning Sheet'!$B$8:$AL$500,19,0),"")</f>
        <v/>
      </c>
      <c r="L36" s="18" t="str">
        <f>IF($B36&lt;&gt;"",VLOOKUP($B36,'Planning Sheet'!$B$8:$AL$500,21,0),"")</f>
        <v/>
      </c>
      <c r="M36" s="18" t="str">
        <f>IF($B36&lt;&gt;"",VLOOKUP($B36,'Planning Sheet'!$B$8:$AL$500,23,0),"")</f>
        <v/>
      </c>
      <c r="N36" s="18" t="str">
        <f>IF($B36&lt;&gt;"",VLOOKUP($B36,'Planning Sheet'!$B$8:$AL$500,25,0),"")</f>
        <v/>
      </c>
      <c r="O36" s="18" t="str">
        <f>IF($B36&lt;&gt;"",VLOOKUP($B36,'Planning Sheet'!$B$8:$AL$500,26,0),"")</f>
        <v/>
      </c>
      <c r="P36" s="19" t="str">
        <f>IF($B36&lt;&gt;"",VLOOKUP($B36,'Planning Sheet'!$B$8:$AL$500,27,0),"")</f>
        <v/>
      </c>
      <c r="Q36" s="19" t="str">
        <f>IF($B36&lt;&gt;"",VLOOKUP($B36,'Planning Sheet'!$B$8:$AL$500,34,0),"")</f>
        <v/>
      </c>
      <c r="R36" s="19" t="str">
        <f>IF($B36&lt;&gt;"",VLOOKUP($B36,'Planning Sheet'!$B$8:$AL$500,36,0),"")</f>
        <v/>
      </c>
      <c r="S36" s="19" t="str">
        <f>IF($B36&lt;&gt;"",VLOOKUP($B36,'Planning Sheet'!$B$8:$AM$500,38,0),"")</f>
        <v/>
      </c>
      <c r="T36" s="18" t="str">
        <f t="shared" si="1"/>
        <v/>
      </c>
      <c r="U36" s="100" t="str">
        <f t="shared" si="0"/>
        <v/>
      </c>
      <c r="Y36" s="48" t="str">
        <f ca="1">IF(AND('Planning Sheet'!$AT41='Weeks Plan'!$D$6,'Planning Sheet'!$AN41='Weeks Plan'!$G$6),'Planning Sheet'!$B41,"")</f>
        <v/>
      </c>
      <c r="Z36" s="48" t="str">
        <f ca="1">IF(AND('Planning Sheet'!$AT41='Weeks Plan'!$D$6,'Planning Sheet'!$AN41='Weeks Plan'!$G$6),'Planning Sheet'!$AO41,"")</f>
        <v/>
      </c>
      <c r="AA36" s="48" t="str">
        <f ca="1">IF(AND('Planning Sheet'!$AT41='Weeks Plan'!$D$6,'Planning Sheet'!$AN41='Weeks Plan'!$G$6),'Planning Sheet'!AP41,"")</f>
        <v/>
      </c>
    </row>
    <row r="37" spans="2:27" x14ac:dyDescent="0.3">
      <c r="B37" s="11"/>
      <c r="C37" s="75" t="str">
        <f>IF($B37&lt;&gt;"",VLOOKUP($B37,'Planning Sheet'!$B$8:$AL$500,3,0),"")</f>
        <v/>
      </c>
      <c r="D37" s="18" t="str">
        <f>IF($B37&lt;&gt;"",VLOOKUP($B37,'Planning Sheet'!$B$8:$AL$500,5,0),"")</f>
        <v/>
      </c>
      <c r="E37" s="18" t="str">
        <f>IF($B37&lt;&gt;"",VLOOKUP($B37,'Planning Sheet'!$B$8:$AL$500,7,0),"")</f>
        <v/>
      </c>
      <c r="F37" s="18" t="str">
        <f>IF($B37&lt;&gt;"",VLOOKUP($B37,'Planning Sheet'!$B$8:$AL$500,9,0),"")</f>
        <v/>
      </c>
      <c r="G37" s="18" t="str">
        <f>IF($B37&lt;&gt;"",VLOOKUP($B37,'Planning Sheet'!$B$8:$AL$500,11,0),"")</f>
        <v/>
      </c>
      <c r="H37" s="18" t="str">
        <f>IF($B37&lt;&gt;"",VLOOKUP($B37,'Planning Sheet'!$B$8:$AL$500,13,0),"")</f>
        <v/>
      </c>
      <c r="I37" s="18" t="str">
        <f>IF($B37&lt;&gt;"",VLOOKUP($B37,'Planning Sheet'!$B$8:$AL$500,15,0),"")</f>
        <v/>
      </c>
      <c r="J37" s="18" t="str">
        <f>IF($B37&lt;&gt;"",VLOOKUP($B37,'Planning Sheet'!$B$8:$AL$500,17,0),"")</f>
        <v/>
      </c>
      <c r="K37" s="18" t="str">
        <f>IF($B37&lt;&gt;"",VLOOKUP($B37,'Planning Sheet'!$B$8:$AL$500,19,0),"")</f>
        <v/>
      </c>
      <c r="L37" s="18" t="str">
        <f>IF($B37&lt;&gt;"",VLOOKUP($B37,'Planning Sheet'!$B$8:$AL$500,21,0),"")</f>
        <v/>
      </c>
      <c r="M37" s="18" t="str">
        <f>IF($B37&lt;&gt;"",VLOOKUP($B37,'Planning Sheet'!$B$8:$AL$500,23,0),"")</f>
        <v/>
      </c>
      <c r="N37" s="18" t="str">
        <f>IF($B37&lt;&gt;"",VLOOKUP($B37,'Planning Sheet'!$B$8:$AL$500,25,0),"")</f>
        <v/>
      </c>
      <c r="O37" s="18" t="str">
        <f>IF($B37&lt;&gt;"",VLOOKUP($B37,'Planning Sheet'!$B$8:$AL$500,26,0),"")</f>
        <v/>
      </c>
      <c r="P37" s="19" t="str">
        <f>IF($B37&lt;&gt;"",VLOOKUP($B37,'Planning Sheet'!$B$8:$AL$500,27,0),"")</f>
        <v/>
      </c>
      <c r="Q37" s="19" t="str">
        <f>IF($B37&lt;&gt;"",VLOOKUP($B37,'Planning Sheet'!$B$8:$AL$500,34,0),"")</f>
        <v/>
      </c>
      <c r="R37" s="19" t="str">
        <f>IF($B37&lt;&gt;"",VLOOKUP($B37,'Planning Sheet'!$B$8:$AL$500,36,0),"")</f>
        <v/>
      </c>
      <c r="S37" s="19" t="str">
        <f>IF($B37&lt;&gt;"",VLOOKUP($B37,'Planning Sheet'!$B$8:$AM$500,38,0),"")</f>
        <v/>
      </c>
      <c r="T37" s="18" t="str">
        <f t="shared" si="1"/>
        <v/>
      </c>
      <c r="U37" s="100" t="str">
        <f t="shared" si="0"/>
        <v/>
      </c>
      <c r="Y37" s="48" t="str">
        <f ca="1">IF(AND('Planning Sheet'!$AT42='Weeks Plan'!$D$6,'Planning Sheet'!$AN42='Weeks Plan'!$G$6),'Planning Sheet'!$B42,"")</f>
        <v/>
      </c>
      <c r="Z37" s="48" t="str">
        <f ca="1">IF(AND('Planning Sheet'!$AT42='Weeks Plan'!$D$6,'Planning Sheet'!$AN42='Weeks Plan'!$G$6),'Planning Sheet'!$AO42,"")</f>
        <v/>
      </c>
      <c r="AA37" s="48" t="str">
        <f ca="1">IF(AND('Planning Sheet'!$AT42='Weeks Plan'!$D$6,'Planning Sheet'!$AN42='Weeks Plan'!$G$6),'Planning Sheet'!AP42,"")</f>
        <v/>
      </c>
    </row>
    <row r="38" spans="2:27" x14ac:dyDescent="0.3">
      <c r="B38" s="11"/>
      <c r="C38" s="75" t="str">
        <f>IF($B38&lt;&gt;"",VLOOKUP($B38,'Planning Sheet'!$B$8:$AL$500,3,0),"")</f>
        <v/>
      </c>
      <c r="D38" s="18" t="str">
        <f>IF($B38&lt;&gt;"",VLOOKUP($B38,'Planning Sheet'!$B$8:$AL$500,5,0),"")</f>
        <v/>
      </c>
      <c r="E38" s="18" t="str">
        <f>IF($B38&lt;&gt;"",VLOOKUP($B38,'Planning Sheet'!$B$8:$AL$500,7,0),"")</f>
        <v/>
      </c>
      <c r="F38" s="18" t="str">
        <f>IF($B38&lt;&gt;"",VLOOKUP($B38,'Planning Sheet'!$B$8:$AL$500,9,0),"")</f>
        <v/>
      </c>
      <c r="G38" s="18" t="str">
        <f>IF($B38&lt;&gt;"",VLOOKUP($B38,'Planning Sheet'!$B$8:$AL$500,11,0),"")</f>
        <v/>
      </c>
      <c r="H38" s="18" t="str">
        <f>IF($B38&lt;&gt;"",VLOOKUP($B38,'Planning Sheet'!$B$8:$AL$500,13,0),"")</f>
        <v/>
      </c>
      <c r="I38" s="18" t="str">
        <f>IF($B38&lt;&gt;"",VLOOKUP($B38,'Planning Sheet'!$B$8:$AL$500,15,0),"")</f>
        <v/>
      </c>
      <c r="J38" s="18" t="str">
        <f>IF($B38&lt;&gt;"",VLOOKUP($B38,'Planning Sheet'!$B$8:$AL$500,17,0),"")</f>
        <v/>
      </c>
      <c r="K38" s="18" t="str">
        <f>IF($B38&lt;&gt;"",VLOOKUP($B38,'Planning Sheet'!$B$8:$AL$500,19,0),"")</f>
        <v/>
      </c>
      <c r="L38" s="18" t="str">
        <f>IF($B38&lt;&gt;"",VLOOKUP($B38,'Planning Sheet'!$B$8:$AL$500,21,0),"")</f>
        <v/>
      </c>
      <c r="M38" s="18" t="str">
        <f>IF($B38&lt;&gt;"",VLOOKUP($B38,'Planning Sheet'!$B$8:$AL$500,23,0),"")</f>
        <v/>
      </c>
      <c r="N38" s="18" t="str">
        <f>IF($B38&lt;&gt;"",VLOOKUP($B38,'Planning Sheet'!$B$8:$AL$500,25,0),"")</f>
        <v/>
      </c>
      <c r="O38" s="18" t="str">
        <f>IF($B38&lt;&gt;"",VLOOKUP($B38,'Planning Sheet'!$B$8:$AL$500,26,0),"")</f>
        <v/>
      </c>
      <c r="P38" s="19" t="str">
        <f>IF($B38&lt;&gt;"",VLOOKUP($B38,'Planning Sheet'!$B$8:$AL$500,27,0),"")</f>
        <v/>
      </c>
      <c r="Q38" s="19" t="str">
        <f>IF($B38&lt;&gt;"",VLOOKUP($B38,'Planning Sheet'!$B$8:$AL$500,34,0),"")</f>
        <v/>
      </c>
      <c r="R38" s="19" t="str">
        <f>IF($B38&lt;&gt;"",VLOOKUP($B38,'Planning Sheet'!$B$8:$AL$500,36,0),"")</f>
        <v/>
      </c>
      <c r="S38" s="19" t="str">
        <f>IF($B38&lt;&gt;"",VLOOKUP($B38,'Planning Sheet'!$B$8:$AM$500,38,0),"")</f>
        <v/>
      </c>
      <c r="T38" s="18" t="str">
        <f t="shared" si="1"/>
        <v/>
      </c>
      <c r="U38" s="100" t="str">
        <f t="shared" si="0"/>
        <v/>
      </c>
      <c r="Y38" s="48" t="str">
        <f ca="1">IF(AND('Planning Sheet'!$AT43='Weeks Plan'!$D$6,'Planning Sheet'!$AN43='Weeks Plan'!$G$6),'Planning Sheet'!$B43,"")</f>
        <v/>
      </c>
      <c r="Z38" s="48" t="str">
        <f ca="1">IF(AND('Planning Sheet'!$AT43='Weeks Plan'!$D$6,'Planning Sheet'!$AN43='Weeks Plan'!$G$6),'Planning Sheet'!$AO43,"")</f>
        <v/>
      </c>
      <c r="AA38" s="48" t="str">
        <f ca="1">IF(AND('Planning Sheet'!$AT43='Weeks Plan'!$D$6,'Planning Sheet'!$AN43='Weeks Plan'!$G$6),'Planning Sheet'!AP43,"")</f>
        <v/>
      </c>
    </row>
    <row r="39" spans="2:27" x14ac:dyDescent="0.3">
      <c r="B39" s="11"/>
      <c r="C39" s="75" t="str">
        <f>IF($B39&lt;&gt;"",VLOOKUP($B39,'Planning Sheet'!$B$8:$AL$500,3,0),"")</f>
        <v/>
      </c>
      <c r="D39" s="18" t="str">
        <f>IF($B39&lt;&gt;"",VLOOKUP($B39,'Planning Sheet'!$B$8:$AL$500,5,0),"")</f>
        <v/>
      </c>
      <c r="E39" s="18" t="str">
        <f>IF($B39&lt;&gt;"",VLOOKUP($B39,'Planning Sheet'!$B$8:$AL$500,7,0),"")</f>
        <v/>
      </c>
      <c r="F39" s="18" t="str">
        <f>IF($B39&lt;&gt;"",VLOOKUP($B39,'Planning Sheet'!$B$8:$AL$500,9,0),"")</f>
        <v/>
      </c>
      <c r="G39" s="18" t="str">
        <f>IF($B39&lt;&gt;"",VLOOKUP($B39,'Planning Sheet'!$B$8:$AL$500,11,0),"")</f>
        <v/>
      </c>
      <c r="H39" s="18" t="str">
        <f>IF($B39&lt;&gt;"",VLOOKUP($B39,'Planning Sheet'!$B$8:$AL$500,13,0),"")</f>
        <v/>
      </c>
      <c r="I39" s="18" t="str">
        <f>IF($B39&lt;&gt;"",VLOOKUP($B39,'Planning Sheet'!$B$8:$AL$500,15,0),"")</f>
        <v/>
      </c>
      <c r="J39" s="18" t="str">
        <f>IF($B39&lt;&gt;"",VLOOKUP($B39,'Planning Sheet'!$B$8:$AL$500,17,0),"")</f>
        <v/>
      </c>
      <c r="K39" s="18" t="str">
        <f>IF($B39&lt;&gt;"",VLOOKUP($B39,'Planning Sheet'!$B$8:$AL$500,19,0),"")</f>
        <v/>
      </c>
      <c r="L39" s="18" t="str">
        <f>IF($B39&lt;&gt;"",VLOOKUP($B39,'Planning Sheet'!$B$8:$AL$500,21,0),"")</f>
        <v/>
      </c>
      <c r="M39" s="18" t="str">
        <f>IF($B39&lt;&gt;"",VLOOKUP($B39,'Planning Sheet'!$B$8:$AL$500,23,0),"")</f>
        <v/>
      </c>
      <c r="N39" s="18" t="str">
        <f>IF($B39&lt;&gt;"",VLOOKUP($B39,'Planning Sheet'!$B$8:$AL$500,25,0),"")</f>
        <v/>
      </c>
      <c r="O39" s="18" t="str">
        <f>IF($B39&lt;&gt;"",VLOOKUP($B39,'Planning Sheet'!$B$8:$AL$500,26,0),"")</f>
        <v/>
      </c>
      <c r="P39" s="19" t="str">
        <f>IF($B39&lt;&gt;"",VLOOKUP($B39,'Planning Sheet'!$B$8:$AL$500,27,0),"")</f>
        <v/>
      </c>
      <c r="Q39" s="19" t="str">
        <f>IF($B39&lt;&gt;"",VLOOKUP($B39,'Planning Sheet'!$B$8:$AL$500,34,0),"")</f>
        <v/>
      </c>
      <c r="R39" s="19" t="str">
        <f>IF($B39&lt;&gt;"",VLOOKUP($B39,'Planning Sheet'!$B$8:$AL$500,36,0),"")</f>
        <v/>
      </c>
      <c r="S39" s="19" t="str">
        <f>IF($B39&lt;&gt;"",VLOOKUP($B39,'Planning Sheet'!$B$8:$AM$500,38,0),"")</f>
        <v/>
      </c>
      <c r="T39" s="18" t="str">
        <f t="shared" si="1"/>
        <v/>
      </c>
      <c r="U39" s="100" t="str">
        <f t="shared" si="0"/>
        <v/>
      </c>
      <c r="Y39" s="48" t="str">
        <f ca="1">IF(AND('Planning Sheet'!$AT44='Weeks Plan'!$D$6,'Planning Sheet'!$AN44='Weeks Plan'!$G$6),'Planning Sheet'!$B44,"")</f>
        <v/>
      </c>
      <c r="Z39" s="48" t="str">
        <f ca="1">IF(AND('Planning Sheet'!$AT44='Weeks Plan'!$D$6,'Planning Sheet'!$AN44='Weeks Plan'!$G$6),'Planning Sheet'!$AO44,"")</f>
        <v/>
      </c>
      <c r="AA39" s="48" t="str">
        <f ca="1">IF(AND('Planning Sheet'!$AT44='Weeks Plan'!$D$6,'Planning Sheet'!$AN44='Weeks Plan'!$G$6),'Planning Sheet'!AP44,"")</f>
        <v/>
      </c>
    </row>
    <row r="40" spans="2:27" x14ac:dyDescent="0.3">
      <c r="B40" s="11"/>
      <c r="C40" s="75" t="str">
        <f>IF($B40&lt;&gt;"",VLOOKUP($B40,'Planning Sheet'!$B$8:$AL$500,3,0),"")</f>
        <v/>
      </c>
      <c r="D40" s="18" t="str">
        <f>IF($B40&lt;&gt;"",VLOOKUP($B40,'Planning Sheet'!$B$8:$AL$500,5,0),"")</f>
        <v/>
      </c>
      <c r="E40" s="18" t="str">
        <f>IF($B40&lt;&gt;"",VLOOKUP($B40,'Planning Sheet'!$B$8:$AL$500,7,0),"")</f>
        <v/>
      </c>
      <c r="F40" s="18" t="str">
        <f>IF($B40&lt;&gt;"",VLOOKUP($B40,'Planning Sheet'!$B$8:$AL$500,9,0),"")</f>
        <v/>
      </c>
      <c r="G40" s="18" t="str">
        <f>IF($B40&lt;&gt;"",VLOOKUP($B40,'Planning Sheet'!$B$8:$AL$500,11,0),"")</f>
        <v/>
      </c>
      <c r="H40" s="18" t="str">
        <f>IF($B40&lt;&gt;"",VLOOKUP($B40,'Planning Sheet'!$B$8:$AL$500,13,0),"")</f>
        <v/>
      </c>
      <c r="I40" s="18" t="str">
        <f>IF($B40&lt;&gt;"",VLOOKUP($B40,'Planning Sheet'!$B$8:$AL$500,15,0),"")</f>
        <v/>
      </c>
      <c r="J40" s="18" t="str">
        <f>IF($B40&lt;&gt;"",VLOOKUP($B40,'Planning Sheet'!$B$8:$AL$500,17,0),"")</f>
        <v/>
      </c>
      <c r="K40" s="18" t="str">
        <f>IF($B40&lt;&gt;"",VLOOKUP($B40,'Planning Sheet'!$B$8:$AL$500,19,0),"")</f>
        <v/>
      </c>
      <c r="L40" s="18" t="str">
        <f>IF($B40&lt;&gt;"",VLOOKUP($B40,'Planning Sheet'!$B$8:$AL$500,21,0),"")</f>
        <v/>
      </c>
      <c r="M40" s="18" t="str">
        <f>IF($B40&lt;&gt;"",VLOOKUP($B40,'Planning Sheet'!$B$8:$AL$500,23,0),"")</f>
        <v/>
      </c>
      <c r="N40" s="18" t="str">
        <f>IF($B40&lt;&gt;"",VLOOKUP($B40,'Planning Sheet'!$B$8:$AL$500,25,0),"")</f>
        <v/>
      </c>
      <c r="O40" s="18" t="str">
        <f>IF($B40&lt;&gt;"",VLOOKUP($B40,'Planning Sheet'!$B$8:$AL$500,26,0),"")</f>
        <v/>
      </c>
      <c r="P40" s="19" t="str">
        <f>IF($B40&lt;&gt;"",VLOOKUP($B40,'Planning Sheet'!$B$8:$AL$500,27,0),"")</f>
        <v/>
      </c>
      <c r="Q40" s="19" t="str">
        <f>IF($B40&lt;&gt;"",VLOOKUP($B40,'Planning Sheet'!$B$8:$AL$500,34,0),"")</f>
        <v/>
      </c>
      <c r="R40" s="19" t="str">
        <f>IF($B40&lt;&gt;"",VLOOKUP($B40,'Planning Sheet'!$B$8:$AL$500,36,0),"")</f>
        <v/>
      </c>
      <c r="S40" s="19" t="str">
        <f>IF($B40&lt;&gt;"",VLOOKUP($B40,'Planning Sheet'!$B$8:$AM$500,38,0),"")</f>
        <v/>
      </c>
      <c r="T40" s="18" t="str">
        <f t="shared" si="1"/>
        <v/>
      </c>
      <c r="U40" s="100" t="str">
        <f t="shared" si="0"/>
        <v/>
      </c>
      <c r="Y40" s="48" t="str">
        <f ca="1">IF(AND('Planning Sheet'!$AT45='Weeks Plan'!$D$6,'Planning Sheet'!$AN45='Weeks Plan'!$G$6),'Planning Sheet'!$B45,"")</f>
        <v/>
      </c>
      <c r="Z40" s="48" t="str">
        <f ca="1">IF(AND('Planning Sheet'!$AT45='Weeks Plan'!$D$6,'Planning Sheet'!$AN45='Weeks Plan'!$G$6),'Planning Sheet'!$AO45,"")</f>
        <v/>
      </c>
      <c r="AA40" s="48" t="str">
        <f ca="1">IF(AND('Planning Sheet'!$AT45='Weeks Plan'!$D$6,'Planning Sheet'!$AN45='Weeks Plan'!$G$6),'Planning Sheet'!AP45,"")</f>
        <v/>
      </c>
    </row>
    <row r="41" spans="2:27" x14ac:dyDescent="0.3">
      <c r="B41" s="11"/>
      <c r="C41" s="75" t="str">
        <f>IF($B41&lt;&gt;"",VLOOKUP($B41,'Planning Sheet'!$B$8:$AL$500,3,0),"")</f>
        <v/>
      </c>
      <c r="D41" s="18" t="str">
        <f>IF($B41&lt;&gt;"",VLOOKUP($B41,'Planning Sheet'!$B$8:$AL$500,5,0),"")</f>
        <v/>
      </c>
      <c r="E41" s="18" t="str">
        <f>IF($B41&lt;&gt;"",VLOOKUP($B41,'Planning Sheet'!$B$8:$AL$500,7,0),"")</f>
        <v/>
      </c>
      <c r="F41" s="18" t="str">
        <f>IF($B41&lt;&gt;"",VLOOKUP($B41,'Planning Sheet'!$B$8:$AL$500,9,0),"")</f>
        <v/>
      </c>
      <c r="G41" s="18" t="str">
        <f>IF($B41&lt;&gt;"",VLOOKUP($B41,'Planning Sheet'!$B$8:$AL$500,11,0),"")</f>
        <v/>
      </c>
      <c r="H41" s="18" t="str">
        <f>IF($B41&lt;&gt;"",VLOOKUP($B41,'Planning Sheet'!$B$8:$AL$500,13,0),"")</f>
        <v/>
      </c>
      <c r="I41" s="18" t="str">
        <f>IF($B41&lt;&gt;"",VLOOKUP($B41,'Planning Sheet'!$B$8:$AL$500,15,0),"")</f>
        <v/>
      </c>
      <c r="J41" s="18" t="str">
        <f>IF($B41&lt;&gt;"",VLOOKUP($B41,'Planning Sheet'!$B$8:$AL$500,17,0),"")</f>
        <v/>
      </c>
      <c r="K41" s="18" t="str">
        <f>IF($B41&lt;&gt;"",VLOOKUP($B41,'Planning Sheet'!$B$8:$AL$500,19,0),"")</f>
        <v/>
      </c>
      <c r="L41" s="18" t="str">
        <f>IF($B41&lt;&gt;"",VLOOKUP($B41,'Planning Sheet'!$B$8:$AL$500,21,0),"")</f>
        <v/>
      </c>
      <c r="M41" s="18" t="str">
        <f>IF($B41&lt;&gt;"",VLOOKUP($B41,'Planning Sheet'!$B$8:$AL$500,23,0),"")</f>
        <v/>
      </c>
      <c r="N41" s="18" t="str">
        <f>IF($B41&lt;&gt;"",VLOOKUP($B41,'Planning Sheet'!$B$8:$AL$500,25,0),"")</f>
        <v/>
      </c>
      <c r="O41" s="18" t="str">
        <f>IF($B41&lt;&gt;"",VLOOKUP($B41,'Planning Sheet'!$B$8:$AL$500,26,0),"")</f>
        <v/>
      </c>
      <c r="P41" s="19" t="str">
        <f>IF($B41&lt;&gt;"",VLOOKUP($B41,'Planning Sheet'!$B$8:$AL$500,27,0),"")</f>
        <v/>
      </c>
      <c r="Q41" s="19" t="str">
        <f>IF($B41&lt;&gt;"",VLOOKUP($B41,'Planning Sheet'!$B$8:$AL$500,34,0),"")</f>
        <v/>
      </c>
      <c r="R41" s="19" t="str">
        <f>IF($B41&lt;&gt;"",VLOOKUP($B41,'Planning Sheet'!$B$8:$AL$500,36,0),"")</f>
        <v/>
      </c>
      <c r="S41" s="19" t="str">
        <f>IF($B41&lt;&gt;"",VLOOKUP($B41,'Planning Sheet'!$B$8:$AM$500,38,0),"")</f>
        <v/>
      </c>
      <c r="T41" s="18" t="str">
        <f t="shared" si="1"/>
        <v/>
      </c>
      <c r="U41" s="100" t="str">
        <f t="shared" si="0"/>
        <v/>
      </c>
      <c r="Y41" s="48" t="str">
        <f ca="1">IF(AND('Planning Sheet'!$AT46='Weeks Plan'!$D$6,'Planning Sheet'!$AN46='Weeks Plan'!$G$6),'Planning Sheet'!$B46,"")</f>
        <v/>
      </c>
      <c r="Z41" s="48" t="str">
        <f ca="1">IF(AND('Planning Sheet'!$AT46='Weeks Plan'!$D$6,'Planning Sheet'!$AN46='Weeks Plan'!$G$6),'Planning Sheet'!$AO46,"")</f>
        <v/>
      </c>
      <c r="AA41" s="48" t="str">
        <f ca="1">IF(AND('Planning Sheet'!$AT46='Weeks Plan'!$D$6,'Planning Sheet'!$AN46='Weeks Plan'!$G$6),'Planning Sheet'!AP46,"")</f>
        <v/>
      </c>
    </row>
    <row r="42" spans="2:27" x14ac:dyDescent="0.3">
      <c r="B42" s="11"/>
      <c r="C42" s="75" t="str">
        <f>IF($B42&lt;&gt;"",VLOOKUP($B42,'Planning Sheet'!$B$8:$AL$500,3,0),"")</f>
        <v/>
      </c>
      <c r="D42" s="18" t="str">
        <f>IF($B42&lt;&gt;"",VLOOKUP($B42,'Planning Sheet'!$B$8:$AL$500,5,0),"")</f>
        <v/>
      </c>
      <c r="E42" s="18" t="str">
        <f>IF($B42&lt;&gt;"",VLOOKUP($B42,'Planning Sheet'!$B$8:$AL$500,7,0),"")</f>
        <v/>
      </c>
      <c r="F42" s="18" t="str">
        <f>IF($B42&lt;&gt;"",VLOOKUP($B42,'Planning Sheet'!$B$8:$AL$500,9,0),"")</f>
        <v/>
      </c>
      <c r="G42" s="18" t="str">
        <f>IF($B42&lt;&gt;"",VLOOKUP($B42,'Planning Sheet'!$B$8:$AL$500,11,0),"")</f>
        <v/>
      </c>
      <c r="H42" s="18" t="str">
        <f>IF($B42&lt;&gt;"",VLOOKUP($B42,'Planning Sheet'!$B$8:$AL$500,13,0),"")</f>
        <v/>
      </c>
      <c r="I42" s="18" t="str">
        <f>IF($B42&lt;&gt;"",VLOOKUP($B42,'Planning Sheet'!$B$8:$AL$500,15,0),"")</f>
        <v/>
      </c>
      <c r="J42" s="18" t="str">
        <f>IF($B42&lt;&gt;"",VLOOKUP($B42,'Planning Sheet'!$B$8:$AL$500,17,0),"")</f>
        <v/>
      </c>
      <c r="K42" s="18" t="str">
        <f>IF($B42&lt;&gt;"",VLOOKUP($B42,'Planning Sheet'!$B$8:$AL$500,19,0),"")</f>
        <v/>
      </c>
      <c r="L42" s="18" t="str">
        <f>IF($B42&lt;&gt;"",VLOOKUP($B42,'Planning Sheet'!$B$8:$AL$500,21,0),"")</f>
        <v/>
      </c>
      <c r="M42" s="18" t="str">
        <f>IF($B42&lt;&gt;"",VLOOKUP($B42,'Planning Sheet'!$B$8:$AL$500,23,0),"")</f>
        <v/>
      </c>
      <c r="N42" s="18" t="str">
        <f>IF($B42&lt;&gt;"",VLOOKUP($B42,'Planning Sheet'!$B$8:$AL$500,25,0),"")</f>
        <v/>
      </c>
      <c r="O42" s="18" t="str">
        <f>IF($B42&lt;&gt;"",VLOOKUP($B42,'Planning Sheet'!$B$8:$AL$500,26,0),"")</f>
        <v/>
      </c>
      <c r="P42" s="19" t="str">
        <f>IF($B42&lt;&gt;"",VLOOKUP($B42,'Planning Sheet'!$B$8:$AL$500,27,0),"")</f>
        <v/>
      </c>
      <c r="Q42" s="19" t="str">
        <f>IF($B42&lt;&gt;"",VLOOKUP($B42,'Planning Sheet'!$B$8:$AL$500,34,0),"")</f>
        <v/>
      </c>
      <c r="R42" s="19" t="str">
        <f>IF($B42&lt;&gt;"",VLOOKUP($B42,'Planning Sheet'!$B$8:$AL$500,36,0),"")</f>
        <v/>
      </c>
      <c r="S42" s="19" t="str">
        <f>IF($B42&lt;&gt;"",VLOOKUP($B42,'Planning Sheet'!$B$8:$AM$500,38,0),"")</f>
        <v/>
      </c>
      <c r="T42" s="18" t="str">
        <f t="shared" si="1"/>
        <v/>
      </c>
      <c r="U42" s="100" t="str">
        <f t="shared" si="0"/>
        <v/>
      </c>
      <c r="Y42" s="48" t="str">
        <f ca="1">IF(AND('Planning Sheet'!$AT47='Weeks Plan'!$D$6,'Planning Sheet'!$AN47='Weeks Plan'!$G$6),'Planning Sheet'!$B47,"")</f>
        <v/>
      </c>
      <c r="Z42" s="48" t="str">
        <f ca="1">IF(AND('Planning Sheet'!$AT47='Weeks Plan'!$D$6,'Planning Sheet'!$AN47='Weeks Plan'!$G$6),'Planning Sheet'!$AO47,"")</f>
        <v/>
      </c>
      <c r="AA42" s="48" t="str">
        <f ca="1">IF(AND('Planning Sheet'!$AT47='Weeks Plan'!$D$6,'Planning Sheet'!$AN47='Weeks Plan'!$G$6),'Planning Sheet'!AP47,"")</f>
        <v/>
      </c>
    </row>
    <row r="43" spans="2:27" x14ac:dyDescent="0.3">
      <c r="B43" s="11"/>
      <c r="C43" s="75" t="str">
        <f>IF($B43&lt;&gt;"",VLOOKUP($B43,'Planning Sheet'!$B$8:$AL$500,3,0),"")</f>
        <v/>
      </c>
      <c r="D43" s="18" t="str">
        <f>IF($B43&lt;&gt;"",VLOOKUP($B43,'Planning Sheet'!$B$8:$AL$500,5,0),"")</f>
        <v/>
      </c>
      <c r="E43" s="18" t="str">
        <f>IF($B43&lt;&gt;"",VLOOKUP($B43,'Planning Sheet'!$B$8:$AL$500,7,0),"")</f>
        <v/>
      </c>
      <c r="F43" s="18" t="str">
        <f>IF($B43&lt;&gt;"",VLOOKUP($B43,'Planning Sheet'!$B$8:$AL$500,9,0),"")</f>
        <v/>
      </c>
      <c r="G43" s="18" t="str">
        <f>IF($B43&lt;&gt;"",VLOOKUP($B43,'Planning Sheet'!$B$8:$AL$500,11,0),"")</f>
        <v/>
      </c>
      <c r="H43" s="18" t="str">
        <f>IF($B43&lt;&gt;"",VLOOKUP($B43,'Planning Sheet'!$B$8:$AL$500,13,0),"")</f>
        <v/>
      </c>
      <c r="I43" s="18" t="str">
        <f>IF($B43&lt;&gt;"",VLOOKUP($B43,'Planning Sheet'!$B$8:$AL$500,15,0),"")</f>
        <v/>
      </c>
      <c r="J43" s="18" t="str">
        <f>IF($B43&lt;&gt;"",VLOOKUP($B43,'Planning Sheet'!$B$8:$AL$500,17,0),"")</f>
        <v/>
      </c>
      <c r="K43" s="18" t="str">
        <f>IF($B43&lt;&gt;"",VLOOKUP($B43,'Planning Sheet'!$B$8:$AL$500,19,0),"")</f>
        <v/>
      </c>
      <c r="L43" s="18" t="str">
        <f>IF($B43&lt;&gt;"",VLOOKUP($B43,'Planning Sheet'!$B$8:$AL$500,21,0),"")</f>
        <v/>
      </c>
      <c r="M43" s="18" t="str">
        <f>IF($B43&lt;&gt;"",VLOOKUP($B43,'Planning Sheet'!$B$8:$AL$500,23,0),"")</f>
        <v/>
      </c>
      <c r="N43" s="18" t="str">
        <f>IF($B43&lt;&gt;"",VLOOKUP($B43,'Planning Sheet'!$B$8:$AL$500,25,0),"")</f>
        <v/>
      </c>
      <c r="O43" s="18" t="str">
        <f>IF($B43&lt;&gt;"",VLOOKUP($B43,'Planning Sheet'!$B$8:$AL$500,26,0),"")</f>
        <v/>
      </c>
      <c r="P43" s="19" t="str">
        <f>IF($B43&lt;&gt;"",VLOOKUP($B43,'Planning Sheet'!$B$8:$AL$500,27,0),"")</f>
        <v/>
      </c>
      <c r="Q43" s="19" t="str">
        <f>IF($B43&lt;&gt;"",VLOOKUP($B43,'Planning Sheet'!$B$8:$AL$500,34,0),"")</f>
        <v/>
      </c>
      <c r="R43" s="19" t="str">
        <f>IF($B43&lt;&gt;"",VLOOKUP($B43,'Planning Sheet'!$B$8:$AL$500,36,0),"")</f>
        <v/>
      </c>
      <c r="S43" s="19" t="str">
        <f>IF($B43&lt;&gt;"",VLOOKUP($B43,'Planning Sheet'!$B$8:$AM$500,38,0),"")</f>
        <v/>
      </c>
      <c r="T43" s="18" t="str">
        <f t="shared" si="1"/>
        <v/>
      </c>
      <c r="U43" s="100" t="str">
        <f t="shared" si="0"/>
        <v/>
      </c>
      <c r="Y43" s="48" t="str">
        <f ca="1">IF(AND('Planning Sheet'!$AT48='Weeks Plan'!$D$6,'Planning Sheet'!$AN48='Weeks Plan'!$G$6),'Planning Sheet'!$B48,"")</f>
        <v/>
      </c>
      <c r="Z43" s="48" t="str">
        <f ca="1">IF(AND('Planning Sheet'!$AT48='Weeks Plan'!$D$6,'Planning Sheet'!$AN48='Weeks Plan'!$G$6),'Planning Sheet'!$AO48,"")</f>
        <v/>
      </c>
      <c r="AA43" s="48" t="str">
        <f ca="1">IF(AND('Planning Sheet'!$AT48='Weeks Plan'!$D$6,'Planning Sheet'!$AN48='Weeks Plan'!$G$6),'Planning Sheet'!AP48,"")</f>
        <v/>
      </c>
    </row>
    <row r="44" spans="2:27" x14ac:dyDescent="0.3">
      <c r="B44" s="11"/>
      <c r="C44" s="75" t="str">
        <f>IF($B44&lt;&gt;"",VLOOKUP($B44,'Planning Sheet'!$B$8:$AL$500,3,0),"")</f>
        <v/>
      </c>
      <c r="D44" s="18" t="str">
        <f>IF($B44&lt;&gt;"",VLOOKUP($B44,'Planning Sheet'!$B$8:$AL$500,5,0),"")</f>
        <v/>
      </c>
      <c r="E44" s="18" t="str">
        <f>IF($B44&lt;&gt;"",VLOOKUP($B44,'Planning Sheet'!$B$8:$AL$500,7,0),"")</f>
        <v/>
      </c>
      <c r="F44" s="18" t="str">
        <f>IF($B44&lt;&gt;"",VLOOKUP($B44,'Planning Sheet'!$B$8:$AL$500,9,0),"")</f>
        <v/>
      </c>
      <c r="G44" s="18" t="str">
        <f>IF($B44&lt;&gt;"",VLOOKUP($B44,'Planning Sheet'!$B$8:$AL$500,11,0),"")</f>
        <v/>
      </c>
      <c r="H44" s="18" t="str">
        <f>IF($B44&lt;&gt;"",VLOOKUP($B44,'Planning Sheet'!$B$8:$AL$500,13,0),"")</f>
        <v/>
      </c>
      <c r="I44" s="18" t="str">
        <f>IF($B44&lt;&gt;"",VLOOKUP($B44,'Planning Sheet'!$B$8:$AL$500,15,0),"")</f>
        <v/>
      </c>
      <c r="J44" s="18" t="str">
        <f>IF($B44&lt;&gt;"",VLOOKUP($B44,'Planning Sheet'!$B$8:$AL$500,17,0),"")</f>
        <v/>
      </c>
      <c r="K44" s="18" t="str">
        <f>IF($B44&lt;&gt;"",VLOOKUP($B44,'Planning Sheet'!$B$8:$AL$500,19,0),"")</f>
        <v/>
      </c>
      <c r="L44" s="18" t="str">
        <f>IF($B44&lt;&gt;"",VLOOKUP($B44,'Planning Sheet'!$B$8:$AL$500,21,0),"")</f>
        <v/>
      </c>
      <c r="M44" s="18" t="str">
        <f>IF($B44&lt;&gt;"",VLOOKUP($B44,'Planning Sheet'!$B$8:$AL$500,23,0),"")</f>
        <v/>
      </c>
      <c r="N44" s="18" t="str">
        <f>IF($B44&lt;&gt;"",VLOOKUP($B44,'Planning Sheet'!$B$8:$AL$500,25,0),"")</f>
        <v/>
      </c>
      <c r="O44" s="18" t="str">
        <f>IF($B44&lt;&gt;"",VLOOKUP($B44,'Planning Sheet'!$B$8:$AL$500,26,0),"")</f>
        <v/>
      </c>
      <c r="P44" s="19" t="str">
        <f>IF($B44&lt;&gt;"",VLOOKUP($B44,'Planning Sheet'!$B$8:$AL$500,27,0),"")</f>
        <v/>
      </c>
      <c r="Q44" s="19" t="str">
        <f>IF($B44&lt;&gt;"",VLOOKUP($B44,'Planning Sheet'!$B$8:$AL$500,34,0),"")</f>
        <v/>
      </c>
      <c r="R44" s="19" t="str">
        <f>IF($B44&lt;&gt;"",VLOOKUP($B44,'Planning Sheet'!$B$8:$AL$500,36,0),"")</f>
        <v/>
      </c>
      <c r="S44" s="19" t="str">
        <f>IF($B44&lt;&gt;"",VLOOKUP($B44,'Planning Sheet'!$B$8:$AM$500,38,0),"")</f>
        <v/>
      </c>
      <c r="T44" s="18" t="str">
        <f t="shared" si="1"/>
        <v/>
      </c>
      <c r="U44" s="100" t="str">
        <f t="shared" si="0"/>
        <v/>
      </c>
      <c r="Y44" s="48" t="str">
        <f ca="1">IF(AND('Planning Sheet'!$AT49='Weeks Plan'!$D$6,'Planning Sheet'!$AN49='Weeks Plan'!$G$6),'Planning Sheet'!$B49,"")</f>
        <v/>
      </c>
      <c r="Z44" s="48" t="str">
        <f ca="1">IF(AND('Planning Sheet'!$AT49='Weeks Plan'!$D$6,'Planning Sheet'!$AN49='Weeks Plan'!$G$6),'Planning Sheet'!$AO49,"")</f>
        <v/>
      </c>
      <c r="AA44" s="48" t="str">
        <f ca="1">IF(AND('Planning Sheet'!$AT49='Weeks Plan'!$D$6,'Planning Sheet'!$AN49='Weeks Plan'!$G$6),'Planning Sheet'!AP49,"")</f>
        <v/>
      </c>
    </row>
    <row r="45" spans="2:27" x14ac:dyDescent="0.3">
      <c r="B45" s="11"/>
      <c r="C45" s="75" t="str">
        <f>IF($B45&lt;&gt;"",VLOOKUP($B45,'Planning Sheet'!$B$8:$AL$500,3,0),"")</f>
        <v/>
      </c>
      <c r="D45" s="18" t="str">
        <f>IF($B45&lt;&gt;"",VLOOKUP($B45,'Planning Sheet'!$B$8:$AL$500,5,0),"")</f>
        <v/>
      </c>
      <c r="E45" s="18" t="str">
        <f>IF($B45&lt;&gt;"",VLOOKUP($B45,'Planning Sheet'!$B$8:$AL$500,7,0),"")</f>
        <v/>
      </c>
      <c r="F45" s="18" t="str">
        <f>IF($B45&lt;&gt;"",VLOOKUP($B45,'Planning Sheet'!$B$8:$AL$500,9,0),"")</f>
        <v/>
      </c>
      <c r="G45" s="18" t="str">
        <f>IF($B45&lt;&gt;"",VLOOKUP($B45,'Planning Sheet'!$B$8:$AL$500,11,0),"")</f>
        <v/>
      </c>
      <c r="H45" s="18" t="str">
        <f>IF($B45&lt;&gt;"",VLOOKUP($B45,'Planning Sheet'!$B$8:$AL$500,13,0),"")</f>
        <v/>
      </c>
      <c r="I45" s="18" t="str">
        <f>IF($B45&lt;&gt;"",VLOOKUP($B45,'Planning Sheet'!$B$8:$AL$500,15,0),"")</f>
        <v/>
      </c>
      <c r="J45" s="18" t="str">
        <f>IF($B45&lt;&gt;"",VLOOKUP($B45,'Planning Sheet'!$B$8:$AL$500,17,0),"")</f>
        <v/>
      </c>
      <c r="K45" s="18" t="str">
        <f>IF($B45&lt;&gt;"",VLOOKUP($B45,'Planning Sheet'!$B$8:$AL$500,19,0),"")</f>
        <v/>
      </c>
      <c r="L45" s="18" t="str">
        <f>IF($B45&lt;&gt;"",VLOOKUP($B45,'Planning Sheet'!$B$8:$AL$500,21,0),"")</f>
        <v/>
      </c>
      <c r="M45" s="18" t="str">
        <f>IF($B45&lt;&gt;"",VLOOKUP($B45,'Planning Sheet'!$B$8:$AL$500,23,0),"")</f>
        <v/>
      </c>
      <c r="N45" s="18" t="str">
        <f>IF($B45&lt;&gt;"",VLOOKUP($B45,'Planning Sheet'!$B$8:$AL$500,25,0),"")</f>
        <v/>
      </c>
      <c r="O45" s="18" t="str">
        <f>IF($B45&lt;&gt;"",VLOOKUP($B45,'Planning Sheet'!$B$8:$AL$500,26,0),"")</f>
        <v/>
      </c>
      <c r="P45" s="19" t="str">
        <f>IF($B45&lt;&gt;"",VLOOKUP($B45,'Planning Sheet'!$B$8:$AL$500,27,0),"")</f>
        <v/>
      </c>
      <c r="Q45" s="19" t="str">
        <f>IF($B45&lt;&gt;"",VLOOKUP($B45,'Planning Sheet'!$B$8:$AL$500,34,0),"")</f>
        <v/>
      </c>
      <c r="R45" s="19" t="str">
        <f>IF($B45&lt;&gt;"",VLOOKUP($B45,'Planning Sheet'!$B$8:$AL$500,36,0),"")</f>
        <v/>
      </c>
      <c r="S45" s="19" t="str">
        <f>IF($B45&lt;&gt;"",VLOOKUP($B45,'Planning Sheet'!$B$8:$AM$500,38,0),"")</f>
        <v/>
      </c>
      <c r="T45" s="18" t="str">
        <f t="shared" si="1"/>
        <v/>
      </c>
      <c r="U45" s="100" t="str">
        <f t="shared" si="0"/>
        <v/>
      </c>
      <c r="Y45" s="48" t="str">
        <f ca="1">IF(AND('Planning Sheet'!$AT50='Weeks Plan'!$D$6,'Planning Sheet'!$AN50='Weeks Plan'!$G$6),'Planning Sheet'!$B50,"")</f>
        <v/>
      </c>
      <c r="Z45" s="48" t="str">
        <f ca="1">IF(AND('Planning Sheet'!$AT50='Weeks Plan'!$D$6,'Planning Sheet'!$AN50='Weeks Plan'!$G$6),'Planning Sheet'!$AO50,"")</f>
        <v/>
      </c>
      <c r="AA45" s="48" t="str">
        <f ca="1">IF(AND('Planning Sheet'!$AT50='Weeks Plan'!$D$6,'Planning Sheet'!$AN50='Weeks Plan'!$G$6),'Planning Sheet'!AP50,"")</f>
        <v/>
      </c>
    </row>
    <row r="46" spans="2:27" x14ac:dyDescent="0.3">
      <c r="B46" s="11"/>
      <c r="C46" s="75" t="str">
        <f>IF($B46&lt;&gt;"",VLOOKUP($B46,'Planning Sheet'!$B$8:$AL$500,3,0),"")</f>
        <v/>
      </c>
      <c r="D46" s="18" t="str">
        <f>IF($B46&lt;&gt;"",VLOOKUP($B46,'Planning Sheet'!$B$8:$AL$500,5,0),"")</f>
        <v/>
      </c>
      <c r="E46" s="18" t="str">
        <f>IF($B46&lt;&gt;"",VLOOKUP($B46,'Planning Sheet'!$B$8:$AL$500,7,0),"")</f>
        <v/>
      </c>
      <c r="F46" s="18" t="str">
        <f>IF($B46&lt;&gt;"",VLOOKUP($B46,'Planning Sheet'!$B$8:$AL$500,9,0),"")</f>
        <v/>
      </c>
      <c r="G46" s="18" t="str">
        <f>IF($B46&lt;&gt;"",VLOOKUP($B46,'Planning Sheet'!$B$8:$AL$500,11,0),"")</f>
        <v/>
      </c>
      <c r="H46" s="18" t="str">
        <f>IF($B46&lt;&gt;"",VLOOKUP($B46,'Planning Sheet'!$B$8:$AL$500,13,0),"")</f>
        <v/>
      </c>
      <c r="I46" s="18" t="str">
        <f>IF($B46&lt;&gt;"",VLOOKUP($B46,'Planning Sheet'!$B$8:$AL$500,15,0),"")</f>
        <v/>
      </c>
      <c r="J46" s="18" t="str">
        <f>IF($B46&lt;&gt;"",VLOOKUP($B46,'Planning Sheet'!$B$8:$AL$500,17,0),"")</f>
        <v/>
      </c>
      <c r="K46" s="18" t="str">
        <f>IF($B46&lt;&gt;"",VLOOKUP($B46,'Planning Sheet'!$B$8:$AL$500,19,0),"")</f>
        <v/>
      </c>
      <c r="L46" s="18" t="str">
        <f>IF($B46&lt;&gt;"",VLOOKUP($B46,'Planning Sheet'!$B$8:$AL$500,21,0),"")</f>
        <v/>
      </c>
      <c r="M46" s="18" t="str">
        <f>IF($B46&lt;&gt;"",VLOOKUP($B46,'Planning Sheet'!$B$8:$AL$500,23,0),"")</f>
        <v/>
      </c>
      <c r="N46" s="18" t="str">
        <f>IF($B46&lt;&gt;"",VLOOKUP($B46,'Planning Sheet'!$B$8:$AL$500,25,0),"")</f>
        <v/>
      </c>
      <c r="O46" s="18" t="str">
        <f>IF($B46&lt;&gt;"",VLOOKUP($B46,'Planning Sheet'!$B$8:$AL$500,26,0),"")</f>
        <v/>
      </c>
      <c r="P46" s="19" t="str">
        <f>IF($B46&lt;&gt;"",VLOOKUP($B46,'Planning Sheet'!$B$8:$AL$500,27,0),"")</f>
        <v/>
      </c>
      <c r="Q46" s="19" t="str">
        <f>IF($B46&lt;&gt;"",VLOOKUP($B46,'Planning Sheet'!$B$8:$AL$500,34,0),"")</f>
        <v/>
      </c>
      <c r="R46" s="19" t="str">
        <f>IF($B46&lt;&gt;"",VLOOKUP($B46,'Planning Sheet'!$B$8:$AL$500,36,0),"")</f>
        <v/>
      </c>
      <c r="S46" s="19" t="str">
        <f>IF($B46&lt;&gt;"",VLOOKUP($B46,'Planning Sheet'!$B$8:$AM$500,38,0),"")</f>
        <v/>
      </c>
      <c r="T46" s="18" t="str">
        <f t="shared" si="1"/>
        <v/>
      </c>
      <c r="U46" s="100" t="str">
        <f t="shared" si="0"/>
        <v/>
      </c>
      <c r="Y46" s="48" t="str">
        <f ca="1">IF(AND('Planning Sheet'!$AT51='Weeks Plan'!$D$6,'Planning Sheet'!$AN51='Weeks Plan'!$G$6),'Planning Sheet'!$B51,"")</f>
        <v/>
      </c>
      <c r="Z46" s="48" t="str">
        <f ca="1">IF(AND('Planning Sheet'!$AT51='Weeks Plan'!$D$6,'Planning Sheet'!$AN51='Weeks Plan'!$G$6),'Planning Sheet'!$AO51,"")</f>
        <v/>
      </c>
      <c r="AA46" s="48" t="str">
        <f ca="1">IF(AND('Planning Sheet'!$AT51='Weeks Plan'!$D$6,'Planning Sheet'!$AN51='Weeks Plan'!$G$6),'Planning Sheet'!AP51,"")</f>
        <v/>
      </c>
    </row>
    <row r="47" spans="2:27" x14ac:dyDescent="0.3">
      <c r="B47" s="11"/>
      <c r="C47" s="75" t="str">
        <f>IF($B47&lt;&gt;"",VLOOKUP($B47,'Planning Sheet'!$B$8:$AL$500,3,0),"")</f>
        <v/>
      </c>
      <c r="D47" s="18" t="str">
        <f>IF($B47&lt;&gt;"",VLOOKUP($B47,'Planning Sheet'!$B$8:$AL$500,5,0),"")</f>
        <v/>
      </c>
      <c r="E47" s="18" t="str">
        <f>IF($B47&lt;&gt;"",VLOOKUP($B47,'Planning Sheet'!$B$8:$AL$500,7,0),"")</f>
        <v/>
      </c>
      <c r="F47" s="18" t="str">
        <f>IF($B47&lt;&gt;"",VLOOKUP($B47,'Planning Sheet'!$B$8:$AL$500,9,0),"")</f>
        <v/>
      </c>
      <c r="G47" s="18" t="str">
        <f>IF($B47&lt;&gt;"",VLOOKUP($B47,'Planning Sheet'!$B$8:$AL$500,11,0),"")</f>
        <v/>
      </c>
      <c r="H47" s="18" t="str">
        <f>IF($B47&lt;&gt;"",VLOOKUP($B47,'Planning Sheet'!$B$8:$AL$500,13,0),"")</f>
        <v/>
      </c>
      <c r="I47" s="18" t="str">
        <f>IF($B47&lt;&gt;"",VLOOKUP($B47,'Planning Sheet'!$B$8:$AL$500,15,0),"")</f>
        <v/>
      </c>
      <c r="J47" s="18" t="str">
        <f>IF($B47&lt;&gt;"",VLOOKUP($B47,'Planning Sheet'!$B$8:$AL$500,17,0),"")</f>
        <v/>
      </c>
      <c r="K47" s="18" t="str">
        <f>IF($B47&lt;&gt;"",VLOOKUP($B47,'Planning Sheet'!$B$8:$AL$500,19,0),"")</f>
        <v/>
      </c>
      <c r="L47" s="18" t="str">
        <f>IF($B47&lt;&gt;"",VLOOKUP($B47,'Planning Sheet'!$B$8:$AL$500,21,0),"")</f>
        <v/>
      </c>
      <c r="M47" s="18" t="str">
        <f>IF($B47&lt;&gt;"",VLOOKUP($B47,'Planning Sheet'!$B$8:$AL$500,23,0),"")</f>
        <v/>
      </c>
      <c r="N47" s="18" t="str">
        <f>IF($B47&lt;&gt;"",VLOOKUP($B47,'Planning Sheet'!$B$8:$AL$500,25,0),"")</f>
        <v/>
      </c>
      <c r="O47" s="18" t="str">
        <f>IF($B47&lt;&gt;"",VLOOKUP($B47,'Planning Sheet'!$B$8:$AL$500,26,0),"")</f>
        <v/>
      </c>
      <c r="P47" s="19" t="str">
        <f>IF($B47&lt;&gt;"",VLOOKUP($B47,'Planning Sheet'!$B$8:$AL$500,27,0),"")</f>
        <v/>
      </c>
      <c r="Q47" s="19" t="str">
        <f>IF($B47&lt;&gt;"",VLOOKUP($B47,'Planning Sheet'!$B$8:$AL$500,34,0),"")</f>
        <v/>
      </c>
      <c r="R47" s="19" t="str">
        <f>IF($B47&lt;&gt;"",VLOOKUP($B47,'Planning Sheet'!$B$8:$AL$500,36,0),"")</f>
        <v/>
      </c>
      <c r="S47" s="19" t="str">
        <f>IF($B47&lt;&gt;"",VLOOKUP($B47,'Planning Sheet'!$B$8:$AM$500,38,0),"")</f>
        <v/>
      </c>
      <c r="T47" s="18" t="str">
        <f t="shared" si="1"/>
        <v/>
      </c>
      <c r="U47" s="100" t="str">
        <f t="shared" si="0"/>
        <v/>
      </c>
      <c r="Y47" s="48" t="str">
        <f ca="1">IF(AND('Planning Sheet'!$AT52='Weeks Plan'!$D$6,'Planning Sheet'!$AN52='Weeks Plan'!$G$6),'Planning Sheet'!$B52,"")</f>
        <v/>
      </c>
      <c r="Z47" s="48" t="str">
        <f ca="1">IF(AND('Planning Sheet'!$AT52='Weeks Plan'!$D$6,'Planning Sheet'!$AN52='Weeks Plan'!$G$6),'Planning Sheet'!$AO52,"")</f>
        <v/>
      </c>
      <c r="AA47" s="48" t="str">
        <f ca="1">IF(AND('Planning Sheet'!$AT52='Weeks Plan'!$D$6,'Planning Sheet'!$AN52='Weeks Plan'!$G$6),'Planning Sheet'!AP52,"")</f>
        <v/>
      </c>
    </row>
    <row r="48" spans="2:27" x14ac:dyDescent="0.3">
      <c r="B48" s="11"/>
      <c r="C48" s="75" t="str">
        <f>IF($B48&lt;&gt;"",VLOOKUP($B48,'Planning Sheet'!$B$8:$AL$500,3,0),"")</f>
        <v/>
      </c>
      <c r="D48" s="18" t="str">
        <f>IF($B48&lt;&gt;"",VLOOKUP($B48,'Planning Sheet'!$B$8:$AL$500,5,0),"")</f>
        <v/>
      </c>
      <c r="E48" s="18" t="str">
        <f>IF($B48&lt;&gt;"",VLOOKUP($B48,'Planning Sheet'!$B$8:$AL$500,7,0),"")</f>
        <v/>
      </c>
      <c r="F48" s="18" t="str">
        <f>IF($B48&lt;&gt;"",VLOOKUP($B48,'Planning Sheet'!$B$8:$AL$500,9,0),"")</f>
        <v/>
      </c>
      <c r="G48" s="18" t="str">
        <f>IF($B48&lt;&gt;"",VLOOKUP($B48,'Planning Sheet'!$B$8:$AL$500,11,0),"")</f>
        <v/>
      </c>
      <c r="H48" s="18" t="str">
        <f>IF($B48&lt;&gt;"",VLOOKUP($B48,'Planning Sheet'!$B$8:$AL$500,13,0),"")</f>
        <v/>
      </c>
      <c r="I48" s="18" t="str">
        <f>IF($B48&lt;&gt;"",VLOOKUP($B48,'Planning Sheet'!$B$8:$AL$500,15,0),"")</f>
        <v/>
      </c>
      <c r="J48" s="18" t="str">
        <f>IF($B48&lt;&gt;"",VLOOKUP($B48,'Planning Sheet'!$B$8:$AL$500,17,0),"")</f>
        <v/>
      </c>
      <c r="K48" s="18" t="str">
        <f>IF($B48&lt;&gt;"",VLOOKUP($B48,'Planning Sheet'!$B$8:$AL$500,19,0),"")</f>
        <v/>
      </c>
      <c r="L48" s="18" t="str">
        <f>IF($B48&lt;&gt;"",VLOOKUP($B48,'Planning Sheet'!$B$8:$AL$500,21,0),"")</f>
        <v/>
      </c>
      <c r="M48" s="18" t="str">
        <f>IF($B48&lt;&gt;"",VLOOKUP($B48,'Planning Sheet'!$B$8:$AL$500,23,0),"")</f>
        <v/>
      </c>
      <c r="N48" s="18" t="str">
        <f>IF($B48&lt;&gt;"",VLOOKUP($B48,'Planning Sheet'!$B$8:$AL$500,25,0),"")</f>
        <v/>
      </c>
      <c r="O48" s="18" t="str">
        <f>IF($B48&lt;&gt;"",VLOOKUP($B48,'Planning Sheet'!$B$8:$AL$500,26,0),"")</f>
        <v/>
      </c>
      <c r="P48" s="19" t="str">
        <f>IF($B48&lt;&gt;"",VLOOKUP($B48,'Planning Sheet'!$B$8:$AL$500,27,0),"")</f>
        <v/>
      </c>
      <c r="Q48" s="19" t="str">
        <f>IF($B48&lt;&gt;"",VLOOKUP($B48,'Planning Sheet'!$B$8:$AL$500,34,0),"")</f>
        <v/>
      </c>
      <c r="R48" s="19" t="str">
        <f>IF($B48&lt;&gt;"",VLOOKUP($B48,'Planning Sheet'!$B$8:$AL$500,36,0),"")</f>
        <v/>
      </c>
      <c r="S48" s="19" t="str">
        <f>IF($B48&lt;&gt;"",VLOOKUP($B48,'Planning Sheet'!$B$8:$AM$500,38,0),"")</f>
        <v/>
      </c>
      <c r="T48" s="18" t="str">
        <f t="shared" si="1"/>
        <v/>
      </c>
      <c r="U48" s="100" t="str">
        <f t="shared" si="0"/>
        <v/>
      </c>
      <c r="Y48" s="48" t="str">
        <f ca="1">IF(AND('Planning Sheet'!$AT53='Weeks Plan'!$D$6,'Planning Sheet'!$AN53='Weeks Plan'!$G$6),'Planning Sheet'!$B53,"")</f>
        <v/>
      </c>
      <c r="Z48" s="48" t="str">
        <f ca="1">IF(AND('Planning Sheet'!$AT53='Weeks Plan'!$D$6,'Planning Sheet'!$AN53='Weeks Plan'!$G$6),'Planning Sheet'!$AO53,"")</f>
        <v/>
      </c>
      <c r="AA48" s="48" t="str">
        <f ca="1">IF(AND('Planning Sheet'!$AT53='Weeks Plan'!$D$6,'Planning Sheet'!$AN53='Weeks Plan'!$G$6),'Planning Sheet'!AP53,"")</f>
        <v/>
      </c>
    </row>
    <row r="49" spans="2:27" x14ac:dyDescent="0.3">
      <c r="B49" s="11"/>
      <c r="C49" s="75" t="str">
        <f>IF($B49&lt;&gt;"",VLOOKUP($B49,'Planning Sheet'!$B$8:$AL$500,3,0),"")</f>
        <v/>
      </c>
      <c r="D49" s="18" t="str">
        <f>IF($B49&lt;&gt;"",VLOOKUP($B49,'Planning Sheet'!$B$8:$AL$500,5,0),"")</f>
        <v/>
      </c>
      <c r="E49" s="18" t="str">
        <f>IF($B49&lt;&gt;"",VLOOKUP($B49,'Planning Sheet'!$B$8:$AL$500,7,0),"")</f>
        <v/>
      </c>
      <c r="F49" s="18" t="str">
        <f>IF($B49&lt;&gt;"",VLOOKUP($B49,'Planning Sheet'!$B$8:$AL$500,9,0),"")</f>
        <v/>
      </c>
      <c r="G49" s="18" t="str">
        <f>IF($B49&lt;&gt;"",VLOOKUP($B49,'Planning Sheet'!$B$8:$AL$500,11,0),"")</f>
        <v/>
      </c>
      <c r="H49" s="18" t="str">
        <f>IF($B49&lt;&gt;"",VLOOKUP($B49,'Planning Sheet'!$B$8:$AL$500,13,0),"")</f>
        <v/>
      </c>
      <c r="I49" s="18" t="str">
        <f>IF($B49&lt;&gt;"",VLOOKUP($B49,'Planning Sheet'!$B$8:$AL$500,15,0),"")</f>
        <v/>
      </c>
      <c r="J49" s="18" t="str">
        <f>IF($B49&lt;&gt;"",VLOOKUP($B49,'Planning Sheet'!$B$8:$AL$500,17,0),"")</f>
        <v/>
      </c>
      <c r="K49" s="18" t="str">
        <f>IF($B49&lt;&gt;"",VLOOKUP($B49,'Planning Sheet'!$B$8:$AL$500,19,0),"")</f>
        <v/>
      </c>
      <c r="L49" s="18" t="str">
        <f>IF($B49&lt;&gt;"",VLOOKUP($B49,'Planning Sheet'!$B$8:$AL$500,21,0),"")</f>
        <v/>
      </c>
      <c r="M49" s="18" t="str">
        <f>IF($B49&lt;&gt;"",VLOOKUP($B49,'Planning Sheet'!$B$8:$AL$500,23,0),"")</f>
        <v/>
      </c>
      <c r="N49" s="18" t="str">
        <f>IF($B49&lt;&gt;"",VLOOKUP($B49,'Planning Sheet'!$B$8:$AL$500,25,0),"")</f>
        <v/>
      </c>
      <c r="O49" s="18" t="str">
        <f>IF($B49&lt;&gt;"",VLOOKUP($B49,'Planning Sheet'!$B$8:$AL$500,26,0),"")</f>
        <v/>
      </c>
      <c r="P49" s="19" t="str">
        <f>IF($B49&lt;&gt;"",VLOOKUP($B49,'Planning Sheet'!$B$8:$AL$500,27,0),"")</f>
        <v/>
      </c>
      <c r="Q49" s="19" t="str">
        <f>IF($B49&lt;&gt;"",VLOOKUP($B49,'Planning Sheet'!$B$8:$AL$500,34,0),"")</f>
        <v/>
      </c>
      <c r="R49" s="19" t="str">
        <f>IF($B49&lt;&gt;"",VLOOKUP($B49,'Planning Sheet'!$B$8:$AL$500,36,0),"")</f>
        <v/>
      </c>
      <c r="S49" s="19" t="str">
        <f>IF($B49&lt;&gt;"",VLOOKUP($B49,'Planning Sheet'!$B$8:$AM$500,38,0),"")</f>
        <v/>
      </c>
      <c r="T49" s="18" t="str">
        <f t="shared" si="1"/>
        <v/>
      </c>
      <c r="U49" s="100" t="str">
        <f t="shared" si="0"/>
        <v/>
      </c>
      <c r="Y49" s="48" t="str">
        <f ca="1">IF(AND('Planning Sheet'!$AT54='Weeks Plan'!$D$6,'Planning Sheet'!$AN54='Weeks Plan'!$G$6),'Planning Sheet'!$B54,"")</f>
        <v/>
      </c>
      <c r="Z49" s="48" t="str">
        <f ca="1">IF(AND('Planning Sheet'!$AT54='Weeks Plan'!$D$6,'Planning Sheet'!$AN54='Weeks Plan'!$G$6),'Planning Sheet'!$AO54,"")</f>
        <v/>
      </c>
      <c r="AA49" s="48" t="str">
        <f ca="1">IF(AND('Planning Sheet'!$AT54='Weeks Plan'!$D$6,'Planning Sheet'!$AN54='Weeks Plan'!$G$6),'Planning Sheet'!AP54,"")</f>
        <v/>
      </c>
    </row>
    <row r="50" spans="2:27" x14ac:dyDescent="0.3">
      <c r="B50" s="11"/>
      <c r="C50" s="75" t="str">
        <f>IF($B50&lt;&gt;"",VLOOKUP($B50,'Planning Sheet'!$B$8:$AL$500,3,0),"")</f>
        <v/>
      </c>
      <c r="D50" s="18" t="str">
        <f>IF($B50&lt;&gt;"",VLOOKUP($B50,'Planning Sheet'!$B$8:$AL$500,5,0),"")</f>
        <v/>
      </c>
      <c r="E50" s="18" t="str">
        <f>IF($B50&lt;&gt;"",VLOOKUP($B50,'Planning Sheet'!$B$8:$AL$500,7,0),"")</f>
        <v/>
      </c>
      <c r="F50" s="18" t="str">
        <f>IF($B50&lt;&gt;"",VLOOKUP($B50,'Planning Sheet'!$B$8:$AL$500,9,0),"")</f>
        <v/>
      </c>
      <c r="G50" s="18" t="str">
        <f>IF($B50&lt;&gt;"",VLOOKUP($B50,'Planning Sheet'!$B$8:$AL$500,11,0),"")</f>
        <v/>
      </c>
      <c r="H50" s="18" t="str">
        <f>IF($B50&lt;&gt;"",VLOOKUP($B50,'Planning Sheet'!$B$8:$AL$500,13,0),"")</f>
        <v/>
      </c>
      <c r="I50" s="18" t="str">
        <f>IF($B50&lt;&gt;"",VLOOKUP($B50,'Planning Sheet'!$B$8:$AL$500,15,0),"")</f>
        <v/>
      </c>
      <c r="J50" s="18" t="str">
        <f>IF($B50&lt;&gt;"",VLOOKUP($B50,'Planning Sheet'!$B$8:$AL$500,17,0),"")</f>
        <v/>
      </c>
      <c r="K50" s="18" t="str">
        <f>IF($B50&lt;&gt;"",VLOOKUP($B50,'Planning Sheet'!$B$8:$AL$500,19,0),"")</f>
        <v/>
      </c>
      <c r="L50" s="18" t="str">
        <f>IF($B50&lt;&gt;"",VLOOKUP($B50,'Planning Sheet'!$B$8:$AL$500,21,0),"")</f>
        <v/>
      </c>
      <c r="M50" s="18" t="str">
        <f>IF($B50&lt;&gt;"",VLOOKUP($B50,'Planning Sheet'!$B$8:$AL$500,23,0),"")</f>
        <v/>
      </c>
      <c r="N50" s="18" t="str">
        <f>IF($B50&lt;&gt;"",VLOOKUP($B50,'Planning Sheet'!$B$8:$AL$500,25,0),"")</f>
        <v/>
      </c>
      <c r="O50" s="18" t="str">
        <f>IF($B50&lt;&gt;"",VLOOKUP($B50,'Planning Sheet'!$B$8:$AL$500,26,0),"")</f>
        <v/>
      </c>
      <c r="P50" s="19" t="str">
        <f>IF($B50&lt;&gt;"",VLOOKUP($B50,'Planning Sheet'!$B$8:$AL$500,27,0),"")</f>
        <v/>
      </c>
      <c r="Q50" s="19" t="str">
        <f>IF($B50&lt;&gt;"",VLOOKUP($B50,'Planning Sheet'!$B$8:$AL$500,34,0),"")</f>
        <v/>
      </c>
      <c r="R50" s="19" t="str">
        <f>IF($B50&lt;&gt;"",VLOOKUP($B50,'Planning Sheet'!$B$8:$AL$500,36,0),"")</f>
        <v/>
      </c>
      <c r="S50" s="19" t="str">
        <f>IF($B50&lt;&gt;"",VLOOKUP($B50,'Planning Sheet'!$B$8:$AM$500,38,0),"")</f>
        <v/>
      </c>
      <c r="T50" s="18" t="str">
        <f t="shared" si="1"/>
        <v/>
      </c>
      <c r="U50" s="100" t="str">
        <f t="shared" si="0"/>
        <v/>
      </c>
      <c r="Y50" s="48" t="str">
        <f ca="1">IF(AND('Planning Sheet'!$AT55='Weeks Plan'!$D$6,'Planning Sheet'!$AN55='Weeks Plan'!$G$6),'Planning Sheet'!$B55,"")</f>
        <v/>
      </c>
      <c r="Z50" s="48" t="str">
        <f ca="1">IF(AND('Planning Sheet'!$AT55='Weeks Plan'!$D$6,'Planning Sheet'!$AN55='Weeks Plan'!$G$6),'Planning Sheet'!$AO55,"")</f>
        <v/>
      </c>
      <c r="AA50" s="48" t="str">
        <f ca="1">IF(AND('Planning Sheet'!$AT55='Weeks Plan'!$D$6,'Planning Sheet'!$AN55='Weeks Plan'!$G$6),'Planning Sheet'!AP55,"")</f>
        <v/>
      </c>
    </row>
    <row r="51" spans="2:27" x14ac:dyDescent="0.3">
      <c r="B51" s="11"/>
      <c r="C51" s="75" t="str">
        <f>IF($B51&lt;&gt;"",VLOOKUP($B51,'Planning Sheet'!$B$8:$AL$500,3,0),"")</f>
        <v/>
      </c>
      <c r="D51" s="18" t="str">
        <f>IF($B51&lt;&gt;"",VLOOKUP($B51,'Planning Sheet'!$B$8:$AL$500,5,0),"")</f>
        <v/>
      </c>
      <c r="E51" s="18" t="str">
        <f>IF($B51&lt;&gt;"",VLOOKUP($B51,'Planning Sheet'!$B$8:$AL$500,7,0),"")</f>
        <v/>
      </c>
      <c r="F51" s="18" t="str">
        <f>IF($B51&lt;&gt;"",VLOOKUP($B51,'Planning Sheet'!$B$8:$AL$500,9,0),"")</f>
        <v/>
      </c>
      <c r="G51" s="18" t="str">
        <f>IF($B51&lt;&gt;"",VLOOKUP($B51,'Planning Sheet'!$B$8:$AL$500,11,0),"")</f>
        <v/>
      </c>
      <c r="H51" s="18" t="str">
        <f>IF($B51&lt;&gt;"",VLOOKUP($B51,'Planning Sheet'!$B$8:$AL$500,13,0),"")</f>
        <v/>
      </c>
      <c r="I51" s="18" t="str">
        <f>IF($B51&lt;&gt;"",VLOOKUP($B51,'Planning Sheet'!$B$8:$AL$500,15,0),"")</f>
        <v/>
      </c>
      <c r="J51" s="18" t="str">
        <f>IF($B51&lt;&gt;"",VLOOKUP($B51,'Planning Sheet'!$B$8:$AL$500,17,0),"")</f>
        <v/>
      </c>
      <c r="K51" s="18" t="str">
        <f>IF($B51&lt;&gt;"",VLOOKUP($B51,'Planning Sheet'!$B$8:$AL$500,19,0),"")</f>
        <v/>
      </c>
      <c r="L51" s="18" t="str">
        <f>IF($B51&lt;&gt;"",VLOOKUP($B51,'Planning Sheet'!$B$8:$AL$500,21,0),"")</f>
        <v/>
      </c>
      <c r="M51" s="18" t="str">
        <f>IF($B51&lt;&gt;"",VLOOKUP($B51,'Planning Sheet'!$B$8:$AL$500,23,0),"")</f>
        <v/>
      </c>
      <c r="N51" s="18" t="str">
        <f>IF($B51&lt;&gt;"",VLOOKUP($B51,'Planning Sheet'!$B$8:$AL$500,25,0),"")</f>
        <v/>
      </c>
      <c r="O51" s="18" t="str">
        <f>IF($B51&lt;&gt;"",VLOOKUP($B51,'Planning Sheet'!$B$8:$AL$500,26,0),"")</f>
        <v/>
      </c>
      <c r="P51" s="19" t="str">
        <f>IF($B51&lt;&gt;"",VLOOKUP($B51,'Planning Sheet'!$B$8:$AL$500,27,0),"")</f>
        <v/>
      </c>
      <c r="Q51" s="19" t="str">
        <f>IF($B51&lt;&gt;"",VLOOKUP($B51,'Planning Sheet'!$B$8:$AL$500,34,0),"")</f>
        <v/>
      </c>
      <c r="R51" s="19" t="str">
        <f>IF($B51&lt;&gt;"",VLOOKUP($B51,'Planning Sheet'!$B$8:$AL$500,36,0),"")</f>
        <v/>
      </c>
      <c r="S51" s="19" t="str">
        <f>IF($B51&lt;&gt;"",VLOOKUP($B51,'Planning Sheet'!$B$8:$AM$500,38,0),"")</f>
        <v/>
      </c>
      <c r="T51" s="18" t="str">
        <f t="shared" si="1"/>
        <v/>
      </c>
      <c r="U51" s="100" t="str">
        <f t="shared" si="0"/>
        <v/>
      </c>
      <c r="Y51" s="48" t="str">
        <f ca="1">IF(AND('Planning Sheet'!$AT56='Weeks Plan'!$D$6,'Planning Sheet'!$AN56='Weeks Plan'!$G$6),'Planning Sheet'!$B56,"")</f>
        <v/>
      </c>
      <c r="Z51" s="48" t="str">
        <f ca="1">IF(AND('Planning Sheet'!$AT56='Weeks Plan'!$D$6,'Planning Sheet'!$AN56='Weeks Plan'!$G$6),'Planning Sheet'!$AO56,"")</f>
        <v/>
      </c>
      <c r="AA51" s="48" t="str">
        <f ca="1">IF(AND('Planning Sheet'!$AT56='Weeks Plan'!$D$6,'Planning Sheet'!$AN56='Weeks Plan'!$G$6),'Planning Sheet'!AP56,"")</f>
        <v/>
      </c>
    </row>
    <row r="52" spans="2:27" x14ac:dyDescent="0.3">
      <c r="B52" s="11"/>
      <c r="C52" s="75" t="str">
        <f>IF($B52&lt;&gt;"",VLOOKUP($B52,'Planning Sheet'!$B$8:$AL$500,3,0),"")</f>
        <v/>
      </c>
      <c r="D52" s="18" t="str">
        <f>IF($B52&lt;&gt;"",VLOOKUP($B52,'Planning Sheet'!$B$8:$AL$500,5,0),"")</f>
        <v/>
      </c>
      <c r="E52" s="18" t="str">
        <f>IF($B52&lt;&gt;"",VLOOKUP($B52,'Planning Sheet'!$B$8:$AL$500,7,0),"")</f>
        <v/>
      </c>
      <c r="F52" s="18" t="str">
        <f>IF($B52&lt;&gt;"",VLOOKUP($B52,'Planning Sheet'!$B$8:$AL$500,9,0),"")</f>
        <v/>
      </c>
      <c r="G52" s="18" t="str">
        <f>IF($B52&lt;&gt;"",VLOOKUP($B52,'Planning Sheet'!$B$8:$AL$500,11,0),"")</f>
        <v/>
      </c>
      <c r="H52" s="18" t="str">
        <f>IF($B52&lt;&gt;"",VLOOKUP($B52,'Planning Sheet'!$B$8:$AL$500,13,0),"")</f>
        <v/>
      </c>
      <c r="I52" s="18" t="str">
        <f>IF($B52&lt;&gt;"",VLOOKUP($B52,'Planning Sheet'!$B$8:$AL$500,15,0),"")</f>
        <v/>
      </c>
      <c r="J52" s="18" t="str">
        <f>IF($B52&lt;&gt;"",VLOOKUP($B52,'Planning Sheet'!$B$8:$AL$500,17,0),"")</f>
        <v/>
      </c>
      <c r="K52" s="18" t="str">
        <f>IF($B52&lt;&gt;"",VLOOKUP($B52,'Planning Sheet'!$B$8:$AL$500,19,0),"")</f>
        <v/>
      </c>
      <c r="L52" s="18" t="str">
        <f>IF($B52&lt;&gt;"",VLOOKUP($B52,'Planning Sheet'!$B$8:$AL$500,21,0),"")</f>
        <v/>
      </c>
      <c r="M52" s="18" t="str">
        <f>IF($B52&lt;&gt;"",VLOOKUP($B52,'Planning Sheet'!$B$8:$AL$500,23,0),"")</f>
        <v/>
      </c>
      <c r="N52" s="18" t="str">
        <f>IF($B52&lt;&gt;"",VLOOKUP($B52,'Planning Sheet'!$B$8:$AL$500,25,0),"")</f>
        <v/>
      </c>
      <c r="O52" s="18" t="str">
        <f>IF($B52&lt;&gt;"",VLOOKUP($B52,'Planning Sheet'!$B$8:$AL$500,26,0),"")</f>
        <v/>
      </c>
      <c r="P52" s="19" t="str">
        <f>IF($B52&lt;&gt;"",VLOOKUP($B52,'Planning Sheet'!$B$8:$AL$500,27,0),"")</f>
        <v/>
      </c>
      <c r="Q52" s="19" t="str">
        <f>IF($B52&lt;&gt;"",VLOOKUP($B52,'Planning Sheet'!$B$8:$AL$500,34,0),"")</f>
        <v/>
      </c>
      <c r="R52" s="19" t="str">
        <f>IF($B52&lt;&gt;"",VLOOKUP($B52,'Planning Sheet'!$B$8:$AL$500,36,0),"")</f>
        <v/>
      </c>
      <c r="S52" s="19" t="str">
        <f>IF($B52&lt;&gt;"",VLOOKUP($B52,'Planning Sheet'!$B$8:$AM$500,38,0),"")</f>
        <v/>
      </c>
      <c r="T52" s="18" t="str">
        <f t="shared" si="1"/>
        <v/>
      </c>
      <c r="U52" s="100" t="str">
        <f t="shared" si="0"/>
        <v/>
      </c>
      <c r="Y52" s="48" t="str">
        <f ca="1">IF(AND('Planning Sheet'!$AT57='Weeks Plan'!$D$6,'Planning Sheet'!$AN57='Weeks Plan'!$G$6),'Planning Sheet'!$B57,"")</f>
        <v/>
      </c>
      <c r="Z52" s="48" t="str">
        <f ca="1">IF(AND('Planning Sheet'!$AT57='Weeks Plan'!$D$6,'Planning Sheet'!$AN57='Weeks Plan'!$G$6),'Planning Sheet'!$AO57,"")</f>
        <v/>
      </c>
      <c r="AA52" s="48" t="str">
        <f ca="1">IF(AND('Planning Sheet'!$AT57='Weeks Plan'!$D$6,'Planning Sheet'!$AN57='Weeks Plan'!$G$6),'Planning Sheet'!AP57,"")</f>
        <v/>
      </c>
    </row>
    <row r="53" spans="2:27" x14ac:dyDescent="0.3">
      <c r="B53" s="11"/>
      <c r="C53" s="75" t="str">
        <f>IF($B53&lt;&gt;"",VLOOKUP($B53,'Planning Sheet'!$B$8:$AL$500,3,0),"")</f>
        <v/>
      </c>
      <c r="D53" s="18" t="str">
        <f>IF($B53&lt;&gt;"",VLOOKUP($B53,'Planning Sheet'!$B$8:$AL$500,5,0),"")</f>
        <v/>
      </c>
      <c r="E53" s="18" t="str">
        <f>IF($B53&lt;&gt;"",VLOOKUP($B53,'Planning Sheet'!$B$8:$AL$500,7,0),"")</f>
        <v/>
      </c>
      <c r="F53" s="18" t="str">
        <f>IF($B53&lt;&gt;"",VLOOKUP($B53,'Planning Sheet'!$B$8:$AL$500,9,0),"")</f>
        <v/>
      </c>
      <c r="G53" s="18" t="str">
        <f>IF($B53&lt;&gt;"",VLOOKUP($B53,'Planning Sheet'!$B$8:$AL$500,11,0),"")</f>
        <v/>
      </c>
      <c r="H53" s="18" t="str">
        <f>IF($B53&lt;&gt;"",VLOOKUP($B53,'Planning Sheet'!$B$8:$AL$500,13,0),"")</f>
        <v/>
      </c>
      <c r="I53" s="18" t="str">
        <f>IF($B53&lt;&gt;"",VLOOKUP($B53,'Planning Sheet'!$B$8:$AL$500,15,0),"")</f>
        <v/>
      </c>
      <c r="J53" s="18" t="str">
        <f>IF($B53&lt;&gt;"",VLOOKUP($B53,'Planning Sheet'!$B$8:$AL$500,17,0),"")</f>
        <v/>
      </c>
      <c r="K53" s="18" t="str">
        <f>IF($B53&lt;&gt;"",VLOOKUP($B53,'Planning Sheet'!$B$8:$AL$500,19,0),"")</f>
        <v/>
      </c>
      <c r="L53" s="18" t="str">
        <f>IF($B53&lt;&gt;"",VLOOKUP($B53,'Planning Sheet'!$B$8:$AL$500,21,0),"")</f>
        <v/>
      </c>
      <c r="M53" s="18" t="str">
        <f>IF($B53&lt;&gt;"",VLOOKUP($B53,'Planning Sheet'!$B$8:$AL$500,23,0),"")</f>
        <v/>
      </c>
      <c r="N53" s="18" t="str">
        <f>IF($B53&lt;&gt;"",VLOOKUP($B53,'Planning Sheet'!$B$8:$AL$500,25,0),"")</f>
        <v/>
      </c>
      <c r="O53" s="18" t="str">
        <f>IF($B53&lt;&gt;"",VLOOKUP($B53,'Planning Sheet'!$B$8:$AL$500,26,0),"")</f>
        <v/>
      </c>
      <c r="P53" s="19" t="str">
        <f>IF($B53&lt;&gt;"",VLOOKUP($B53,'Planning Sheet'!$B$8:$AL$500,27,0),"")</f>
        <v/>
      </c>
      <c r="Q53" s="19" t="str">
        <f>IF($B53&lt;&gt;"",VLOOKUP($B53,'Planning Sheet'!$B$8:$AL$500,34,0),"")</f>
        <v/>
      </c>
      <c r="R53" s="19" t="str">
        <f>IF($B53&lt;&gt;"",VLOOKUP($B53,'Planning Sheet'!$B$8:$AL$500,36,0),"")</f>
        <v/>
      </c>
      <c r="S53" s="19" t="str">
        <f>IF($B53&lt;&gt;"",VLOOKUP($B53,'Planning Sheet'!$B$8:$AM$500,38,0),"")</f>
        <v/>
      </c>
      <c r="T53" s="18" t="str">
        <f t="shared" si="1"/>
        <v/>
      </c>
      <c r="U53" s="100" t="str">
        <f t="shared" si="0"/>
        <v/>
      </c>
      <c r="Y53" s="48" t="str">
        <f ca="1">IF(AND('Planning Sheet'!$AT58='Weeks Plan'!$D$6,'Planning Sheet'!$AN58='Weeks Plan'!$G$6),'Planning Sheet'!$B58,"")</f>
        <v/>
      </c>
      <c r="Z53" s="48" t="str">
        <f ca="1">IF(AND('Planning Sheet'!$AT58='Weeks Plan'!$D$6,'Planning Sheet'!$AN58='Weeks Plan'!$G$6),'Planning Sheet'!$AO58,"")</f>
        <v/>
      </c>
      <c r="AA53" s="48" t="str">
        <f ca="1">IF(AND('Planning Sheet'!$AT58='Weeks Plan'!$D$6,'Planning Sheet'!$AN58='Weeks Plan'!$G$6),'Planning Sheet'!AP58,"")</f>
        <v/>
      </c>
    </row>
    <row r="54" spans="2:27" x14ac:dyDescent="0.3">
      <c r="B54" s="11"/>
      <c r="C54" s="75" t="str">
        <f>IF($B54&lt;&gt;"",VLOOKUP($B54,'Planning Sheet'!$B$8:$AL$500,3,0),"")</f>
        <v/>
      </c>
      <c r="D54" s="18" t="str">
        <f>IF($B54&lt;&gt;"",VLOOKUP($B54,'Planning Sheet'!$B$8:$AL$500,5,0),"")</f>
        <v/>
      </c>
      <c r="E54" s="18" t="str">
        <f>IF($B54&lt;&gt;"",VLOOKUP($B54,'Planning Sheet'!$B$8:$AL$500,7,0),"")</f>
        <v/>
      </c>
      <c r="F54" s="18" t="str">
        <f>IF($B54&lt;&gt;"",VLOOKUP($B54,'Planning Sheet'!$B$8:$AL$500,9,0),"")</f>
        <v/>
      </c>
      <c r="G54" s="18" t="str">
        <f>IF($B54&lt;&gt;"",VLOOKUP($B54,'Planning Sheet'!$B$8:$AL$500,11,0),"")</f>
        <v/>
      </c>
      <c r="H54" s="18" t="str">
        <f>IF($B54&lt;&gt;"",VLOOKUP($B54,'Planning Sheet'!$B$8:$AL$500,13,0),"")</f>
        <v/>
      </c>
      <c r="I54" s="18" t="str">
        <f>IF($B54&lt;&gt;"",VLOOKUP($B54,'Planning Sheet'!$B$8:$AL$500,15,0),"")</f>
        <v/>
      </c>
      <c r="J54" s="18" t="str">
        <f>IF($B54&lt;&gt;"",VLOOKUP($B54,'Planning Sheet'!$B$8:$AL$500,17,0),"")</f>
        <v/>
      </c>
      <c r="K54" s="18" t="str">
        <f>IF($B54&lt;&gt;"",VLOOKUP($B54,'Planning Sheet'!$B$8:$AL$500,19,0),"")</f>
        <v/>
      </c>
      <c r="L54" s="18" t="str">
        <f>IF($B54&lt;&gt;"",VLOOKUP($B54,'Planning Sheet'!$B$8:$AL$500,21,0),"")</f>
        <v/>
      </c>
      <c r="M54" s="18" t="str">
        <f>IF($B54&lt;&gt;"",VLOOKUP($B54,'Planning Sheet'!$B$8:$AL$500,23,0),"")</f>
        <v/>
      </c>
      <c r="N54" s="18" t="str">
        <f>IF($B54&lt;&gt;"",VLOOKUP($B54,'Planning Sheet'!$B$8:$AL$500,25,0),"")</f>
        <v/>
      </c>
      <c r="O54" s="18" t="str">
        <f>IF($B54&lt;&gt;"",VLOOKUP($B54,'Planning Sheet'!$B$8:$AL$500,26,0),"")</f>
        <v/>
      </c>
      <c r="P54" s="19" t="str">
        <f>IF($B54&lt;&gt;"",VLOOKUP($B54,'Planning Sheet'!$B$8:$AL$500,27,0),"")</f>
        <v/>
      </c>
      <c r="Q54" s="19" t="str">
        <f>IF($B54&lt;&gt;"",VLOOKUP($B54,'Planning Sheet'!$B$8:$AL$500,34,0),"")</f>
        <v/>
      </c>
      <c r="R54" s="19" t="str">
        <f>IF($B54&lt;&gt;"",VLOOKUP($B54,'Planning Sheet'!$B$8:$AL$500,36,0),"")</f>
        <v/>
      </c>
      <c r="S54" s="19" t="str">
        <f>IF($B54&lt;&gt;"",VLOOKUP($B54,'Planning Sheet'!$B$8:$AM$500,38,0),"")</f>
        <v/>
      </c>
      <c r="T54" s="18" t="str">
        <f t="shared" si="1"/>
        <v/>
      </c>
      <c r="U54" s="100" t="str">
        <f t="shared" si="0"/>
        <v/>
      </c>
      <c r="Y54" s="48" t="str">
        <f ca="1">IF(AND('Planning Sheet'!$AT59='Weeks Plan'!$D$6,'Planning Sheet'!$AN59='Weeks Plan'!$G$6),'Planning Sheet'!$B59,"")</f>
        <v/>
      </c>
      <c r="Z54" s="48" t="str">
        <f ca="1">IF(AND('Planning Sheet'!$AT59='Weeks Plan'!$D$6,'Planning Sheet'!$AN59='Weeks Plan'!$G$6),'Planning Sheet'!$AO59,"")</f>
        <v/>
      </c>
      <c r="AA54" s="48" t="str">
        <f ca="1">IF(AND('Planning Sheet'!$AT59='Weeks Plan'!$D$6,'Planning Sheet'!$AN59='Weeks Plan'!$G$6),'Planning Sheet'!AP59,"")</f>
        <v/>
      </c>
    </row>
    <row r="55" spans="2:27" x14ac:dyDescent="0.3">
      <c r="B55" s="11"/>
      <c r="C55" s="75" t="str">
        <f>IF($B55&lt;&gt;"",VLOOKUP($B55,'Planning Sheet'!$B$8:$AL$500,3,0),"")</f>
        <v/>
      </c>
      <c r="D55" s="18" t="str">
        <f>IF($B55&lt;&gt;"",VLOOKUP($B55,'Planning Sheet'!$B$8:$AL$500,5,0),"")</f>
        <v/>
      </c>
      <c r="E55" s="18" t="str">
        <f>IF($B55&lt;&gt;"",VLOOKUP($B55,'Planning Sheet'!$B$8:$AL$500,7,0),"")</f>
        <v/>
      </c>
      <c r="F55" s="18" t="str">
        <f>IF($B55&lt;&gt;"",VLOOKUP($B55,'Planning Sheet'!$B$8:$AL$500,9,0),"")</f>
        <v/>
      </c>
      <c r="G55" s="18" t="str">
        <f>IF($B55&lt;&gt;"",VLOOKUP($B55,'Planning Sheet'!$B$8:$AL$500,11,0),"")</f>
        <v/>
      </c>
      <c r="H55" s="18" t="str">
        <f>IF($B55&lt;&gt;"",VLOOKUP($B55,'Planning Sheet'!$B$8:$AL$500,13,0),"")</f>
        <v/>
      </c>
      <c r="I55" s="18" t="str">
        <f>IF($B55&lt;&gt;"",VLOOKUP($B55,'Planning Sheet'!$B$8:$AL$500,15,0),"")</f>
        <v/>
      </c>
      <c r="J55" s="18" t="str">
        <f>IF($B55&lt;&gt;"",VLOOKUP($B55,'Planning Sheet'!$B$8:$AL$500,17,0),"")</f>
        <v/>
      </c>
      <c r="K55" s="18" t="str">
        <f>IF($B55&lt;&gt;"",VLOOKUP($B55,'Planning Sheet'!$B$8:$AL$500,19,0),"")</f>
        <v/>
      </c>
      <c r="L55" s="18" t="str">
        <f>IF($B55&lt;&gt;"",VLOOKUP($B55,'Planning Sheet'!$B$8:$AL$500,21,0),"")</f>
        <v/>
      </c>
      <c r="M55" s="18" t="str">
        <f>IF($B55&lt;&gt;"",VLOOKUP($B55,'Planning Sheet'!$B$8:$AL$500,23,0),"")</f>
        <v/>
      </c>
      <c r="N55" s="18" t="str">
        <f>IF($B55&lt;&gt;"",VLOOKUP($B55,'Planning Sheet'!$B$8:$AL$500,25,0),"")</f>
        <v/>
      </c>
      <c r="O55" s="18" t="str">
        <f>IF($B55&lt;&gt;"",VLOOKUP($B55,'Planning Sheet'!$B$8:$AL$500,26,0),"")</f>
        <v/>
      </c>
      <c r="P55" s="19" t="str">
        <f>IF($B55&lt;&gt;"",VLOOKUP($B55,'Planning Sheet'!$B$8:$AL$500,27,0),"")</f>
        <v/>
      </c>
      <c r="Q55" s="19" t="str">
        <f>IF($B55&lt;&gt;"",VLOOKUP($B55,'Planning Sheet'!$B$8:$AL$500,34,0),"")</f>
        <v/>
      </c>
      <c r="R55" s="19" t="str">
        <f>IF($B55&lt;&gt;"",VLOOKUP($B55,'Planning Sheet'!$B$8:$AL$500,36,0),"")</f>
        <v/>
      </c>
      <c r="S55" s="19" t="str">
        <f>IF($B55&lt;&gt;"",VLOOKUP($B55,'Planning Sheet'!$B$8:$AM$500,38,0),"")</f>
        <v/>
      </c>
      <c r="T55" s="18" t="str">
        <f t="shared" si="1"/>
        <v/>
      </c>
      <c r="U55" s="100" t="str">
        <f t="shared" si="0"/>
        <v/>
      </c>
      <c r="Y55" s="48" t="str">
        <f ca="1">IF(AND('Planning Sheet'!$AT60='Weeks Plan'!$D$6,'Planning Sheet'!$AN60='Weeks Plan'!$G$6),'Planning Sheet'!$B60,"")</f>
        <v/>
      </c>
      <c r="Z55" s="48" t="str">
        <f ca="1">IF(AND('Planning Sheet'!$AT60='Weeks Plan'!$D$6,'Planning Sheet'!$AN60='Weeks Plan'!$G$6),'Planning Sheet'!$AO60,"")</f>
        <v/>
      </c>
      <c r="AA55" s="48" t="str">
        <f ca="1">IF(AND('Planning Sheet'!$AT60='Weeks Plan'!$D$6,'Planning Sheet'!$AN60='Weeks Plan'!$G$6),'Planning Sheet'!AP60,"")</f>
        <v/>
      </c>
    </row>
    <row r="56" spans="2:27" x14ac:dyDescent="0.3">
      <c r="B56" s="11"/>
      <c r="C56" s="75" t="str">
        <f>IF($B56&lt;&gt;"",VLOOKUP($B56,'Planning Sheet'!$B$8:$AL$500,3,0),"")</f>
        <v/>
      </c>
      <c r="D56" s="18" t="str">
        <f>IF($B56&lt;&gt;"",VLOOKUP($B56,'Planning Sheet'!$B$8:$AL$500,5,0),"")</f>
        <v/>
      </c>
      <c r="E56" s="18" t="str">
        <f>IF($B56&lt;&gt;"",VLOOKUP($B56,'Planning Sheet'!$B$8:$AL$500,7,0),"")</f>
        <v/>
      </c>
      <c r="F56" s="18" t="str">
        <f>IF($B56&lt;&gt;"",VLOOKUP($B56,'Planning Sheet'!$B$8:$AL$500,9,0),"")</f>
        <v/>
      </c>
      <c r="G56" s="18" t="str">
        <f>IF($B56&lt;&gt;"",VLOOKUP($B56,'Planning Sheet'!$B$8:$AL$500,11,0),"")</f>
        <v/>
      </c>
      <c r="H56" s="18" t="str">
        <f>IF($B56&lt;&gt;"",VLOOKUP($B56,'Planning Sheet'!$B$8:$AL$500,13,0),"")</f>
        <v/>
      </c>
      <c r="I56" s="18" t="str">
        <f>IF($B56&lt;&gt;"",VLOOKUP($B56,'Planning Sheet'!$B$8:$AL$500,15,0),"")</f>
        <v/>
      </c>
      <c r="J56" s="18" t="str">
        <f>IF($B56&lt;&gt;"",VLOOKUP($B56,'Planning Sheet'!$B$8:$AL$500,17,0),"")</f>
        <v/>
      </c>
      <c r="K56" s="18" t="str">
        <f>IF($B56&lt;&gt;"",VLOOKUP($B56,'Planning Sheet'!$B$8:$AL$500,19,0),"")</f>
        <v/>
      </c>
      <c r="L56" s="18" t="str">
        <f>IF($B56&lt;&gt;"",VLOOKUP($B56,'Planning Sheet'!$B$8:$AL$500,21,0),"")</f>
        <v/>
      </c>
      <c r="M56" s="18" t="str">
        <f>IF($B56&lt;&gt;"",VLOOKUP($B56,'Planning Sheet'!$B$8:$AL$500,23,0),"")</f>
        <v/>
      </c>
      <c r="N56" s="18" t="str">
        <f>IF($B56&lt;&gt;"",VLOOKUP($B56,'Planning Sheet'!$B$8:$AL$500,25,0),"")</f>
        <v/>
      </c>
      <c r="O56" s="18" t="str">
        <f>IF($B56&lt;&gt;"",VLOOKUP($B56,'Planning Sheet'!$B$8:$AL$500,26,0),"")</f>
        <v/>
      </c>
      <c r="P56" s="19" t="str">
        <f>IF($B56&lt;&gt;"",VLOOKUP($B56,'Planning Sheet'!$B$8:$AL$500,27,0),"")</f>
        <v/>
      </c>
      <c r="Q56" s="19" t="str">
        <f>IF($B56&lt;&gt;"",VLOOKUP($B56,'Planning Sheet'!$B$8:$AL$500,34,0),"")</f>
        <v/>
      </c>
      <c r="R56" s="19" t="str">
        <f>IF($B56&lt;&gt;"",VLOOKUP($B56,'Planning Sheet'!$B$8:$AL$500,36,0),"")</f>
        <v/>
      </c>
      <c r="S56" s="19" t="str">
        <f>IF($B56&lt;&gt;"",VLOOKUP($B56,'Planning Sheet'!$B$8:$AM$500,38,0),"")</f>
        <v/>
      </c>
      <c r="T56" s="18" t="str">
        <f t="shared" si="1"/>
        <v/>
      </c>
      <c r="U56" s="100" t="str">
        <f t="shared" si="0"/>
        <v/>
      </c>
      <c r="Y56" s="48" t="str">
        <f ca="1">IF(AND('Planning Sheet'!$AT61='Weeks Plan'!$D$6,'Planning Sheet'!$AN61='Weeks Plan'!$G$6),'Planning Sheet'!$B61,"")</f>
        <v/>
      </c>
      <c r="Z56" s="48" t="str">
        <f ca="1">IF(AND('Planning Sheet'!$AT61='Weeks Plan'!$D$6,'Planning Sheet'!$AN61='Weeks Plan'!$G$6),'Planning Sheet'!$AO61,"")</f>
        <v/>
      </c>
      <c r="AA56" s="48" t="str">
        <f ca="1">IF(AND('Planning Sheet'!$AT61='Weeks Plan'!$D$6,'Planning Sheet'!$AN61='Weeks Plan'!$G$6),'Planning Sheet'!AP61,"")</f>
        <v/>
      </c>
    </row>
    <row r="57" spans="2:27" x14ac:dyDescent="0.3">
      <c r="B57" s="11"/>
      <c r="C57" s="75" t="str">
        <f>IF($B57&lt;&gt;"",VLOOKUP($B57,'Planning Sheet'!$B$8:$AL$500,3,0),"")</f>
        <v/>
      </c>
      <c r="D57" s="18" t="str">
        <f>IF($B57&lt;&gt;"",VLOOKUP($B57,'Planning Sheet'!$B$8:$AL$500,5,0),"")</f>
        <v/>
      </c>
      <c r="E57" s="18" t="str">
        <f>IF($B57&lt;&gt;"",VLOOKUP($B57,'Planning Sheet'!$B$8:$AL$500,7,0),"")</f>
        <v/>
      </c>
      <c r="F57" s="18" t="str">
        <f>IF($B57&lt;&gt;"",VLOOKUP($B57,'Planning Sheet'!$B$8:$AL$500,9,0),"")</f>
        <v/>
      </c>
      <c r="G57" s="18" t="str">
        <f>IF($B57&lt;&gt;"",VLOOKUP($B57,'Planning Sheet'!$B$8:$AL$500,11,0),"")</f>
        <v/>
      </c>
      <c r="H57" s="18" t="str">
        <f>IF($B57&lt;&gt;"",VLOOKUP($B57,'Planning Sheet'!$B$8:$AL$500,13,0),"")</f>
        <v/>
      </c>
      <c r="I57" s="18" t="str">
        <f>IF($B57&lt;&gt;"",VLOOKUP($B57,'Planning Sheet'!$B$8:$AL$500,15,0),"")</f>
        <v/>
      </c>
      <c r="J57" s="18" t="str">
        <f>IF($B57&lt;&gt;"",VLOOKUP($B57,'Planning Sheet'!$B$8:$AL$500,17,0),"")</f>
        <v/>
      </c>
      <c r="K57" s="18" t="str">
        <f>IF($B57&lt;&gt;"",VLOOKUP($B57,'Planning Sheet'!$B$8:$AL$500,19,0),"")</f>
        <v/>
      </c>
      <c r="L57" s="18" t="str">
        <f>IF($B57&lt;&gt;"",VLOOKUP($B57,'Planning Sheet'!$B$8:$AL$500,21,0),"")</f>
        <v/>
      </c>
      <c r="M57" s="18" t="str">
        <f>IF($B57&lt;&gt;"",VLOOKUP($B57,'Planning Sheet'!$B$8:$AL$500,23,0),"")</f>
        <v/>
      </c>
      <c r="N57" s="18" t="str">
        <f>IF($B57&lt;&gt;"",VLOOKUP($B57,'Planning Sheet'!$B$8:$AL$500,25,0),"")</f>
        <v/>
      </c>
      <c r="O57" s="18" t="str">
        <f>IF($B57&lt;&gt;"",VLOOKUP($B57,'Planning Sheet'!$B$8:$AL$500,26,0),"")</f>
        <v/>
      </c>
      <c r="P57" s="19" t="str">
        <f>IF($B57&lt;&gt;"",VLOOKUP($B57,'Planning Sheet'!$B$8:$AL$500,27,0),"")</f>
        <v/>
      </c>
      <c r="Q57" s="19" t="str">
        <f>IF($B57&lt;&gt;"",VLOOKUP($B57,'Planning Sheet'!$B$8:$AL$500,34,0),"")</f>
        <v/>
      </c>
      <c r="R57" s="19" t="str">
        <f>IF($B57&lt;&gt;"",VLOOKUP($B57,'Planning Sheet'!$B$8:$AL$500,36,0),"")</f>
        <v/>
      </c>
      <c r="S57" s="19" t="str">
        <f>IF($B57&lt;&gt;"",VLOOKUP($B57,'Planning Sheet'!$B$8:$AM$500,38,0),"")</f>
        <v/>
      </c>
      <c r="T57" s="18" t="str">
        <f t="shared" si="1"/>
        <v/>
      </c>
      <c r="U57" s="100" t="str">
        <f t="shared" si="0"/>
        <v/>
      </c>
      <c r="Y57" s="48" t="str">
        <f ca="1">IF(AND('Planning Sheet'!$AT62='Weeks Plan'!$D$6,'Planning Sheet'!$AN62='Weeks Plan'!$G$6),'Planning Sheet'!$B62,"")</f>
        <v/>
      </c>
      <c r="Z57" s="48" t="str">
        <f ca="1">IF(AND('Planning Sheet'!$AT62='Weeks Plan'!$D$6,'Planning Sheet'!$AN62='Weeks Plan'!$G$6),'Planning Sheet'!$AO62,"")</f>
        <v/>
      </c>
      <c r="AA57" s="48" t="str">
        <f ca="1">IF(AND('Planning Sheet'!$AT62='Weeks Plan'!$D$6,'Planning Sheet'!$AN62='Weeks Plan'!$G$6),'Planning Sheet'!AP62,"")</f>
        <v/>
      </c>
    </row>
    <row r="58" spans="2:27" x14ac:dyDescent="0.3">
      <c r="B58" s="11"/>
      <c r="C58" s="75" t="str">
        <f>IF($B58&lt;&gt;"",VLOOKUP($B58,'Planning Sheet'!$B$8:$AL$500,3,0),"")</f>
        <v/>
      </c>
      <c r="D58" s="18" t="str">
        <f>IF($B58&lt;&gt;"",VLOOKUP($B58,'Planning Sheet'!$B$8:$AL$500,5,0),"")</f>
        <v/>
      </c>
      <c r="E58" s="18" t="str">
        <f>IF($B58&lt;&gt;"",VLOOKUP($B58,'Planning Sheet'!$B$8:$AL$500,7,0),"")</f>
        <v/>
      </c>
      <c r="F58" s="18" t="str">
        <f>IF($B58&lt;&gt;"",VLOOKUP($B58,'Planning Sheet'!$B$8:$AL$500,9,0),"")</f>
        <v/>
      </c>
      <c r="G58" s="18" t="str">
        <f>IF($B58&lt;&gt;"",VLOOKUP($B58,'Planning Sheet'!$B$8:$AL$500,11,0),"")</f>
        <v/>
      </c>
      <c r="H58" s="18" t="str">
        <f>IF($B58&lt;&gt;"",VLOOKUP($B58,'Planning Sheet'!$B$8:$AL$500,13,0),"")</f>
        <v/>
      </c>
      <c r="I58" s="18" t="str">
        <f>IF($B58&lt;&gt;"",VLOOKUP($B58,'Planning Sheet'!$B$8:$AL$500,15,0),"")</f>
        <v/>
      </c>
      <c r="J58" s="18" t="str">
        <f>IF($B58&lt;&gt;"",VLOOKUP($B58,'Planning Sheet'!$B$8:$AL$500,17,0),"")</f>
        <v/>
      </c>
      <c r="K58" s="18" t="str">
        <f>IF($B58&lt;&gt;"",VLOOKUP($B58,'Planning Sheet'!$B$8:$AL$500,19,0),"")</f>
        <v/>
      </c>
      <c r="L58" s="18" t="str">
        <f>IF($B58&lt;&gt;"",VLOOKUP($B58,'Planning Sheet'!$B$8:$AL$500,21,0),"")</f>
        <v/>
      </c>
      <c r="M58" s="18" t="str">
        <f>IF($B58&lt;&gt;"",VLOOKUP($B58,'Planning Sheet'!$B$8:$AL$500,23,0),"")</f>
        <v/>
      </c>
      <c r="N58" s="18" t="str">
        <f>IF($B58&lt;&gt;"",VLOOKUP($B58,'Planning Sheet'!$B$8:$AL$500,25,0),"")</f>
        <v/>
      </c>
      <c r="O58" s="18" t="str">
        <f>IF($B58&lt;&gt;"",VLOOKUP($B58,'Planning Sheet'!$B$8:$AL$500,26,0),"")</f>
        <v/>
      </c>
      <c r="P58" s="19" t="str">
        <f>IF($B58&lt;&gt;"",VLOOKUP($B58,'Planning Sheet'!$B$8:$AL$500,27,0),"")</f>
        <v/>
      </c>
      <c r="Q58" s="19" t="str">
        <f>IF($B58&lt;&gt;"",VLOOKUP($B58,'Planning Sheet'!$B$8:$AL$500,34,0),"")</f>
        <v/>
      </c>
      <c r="R58" s="19" t="str">
        <f>IF($B58&lt;&gt;"",VLOOKUP($B58,'Planning Sheet'!$B$8:$AL$500,36,0),"")</f>
        <v/>
      </c>
      <c r="S58" s="19" t="str">
        <f>IF($B58&lt;&gt;"",VLOOKUP($B58,'Planning Sheet'!$B$8:$AM$500,38,0),"")</f>
        <v/>
      </c>
      <c r="T58" s="18" t="str">
        <f t="shared" si="1"/>
        <v/>
      </c>
      <c r="U58" s="100" t="str">
        <f t="shared" si="0"/>
        <v/>
      </c>
      <c r="Y58" s="48" t="str">
        <f ca="1">IF(AND('Planning Sheet'!$AT63='Weeks Plan'!$D$6,'Planning Sheet'!$AN63='Weeks Plan'!$G$6),'Planning Sheet'!$B63,"")</f>
        <v/>
      </c>
      <c r="Z58" s="48" t="str">
        <f ca="1">IF(AND('Planning Sheet'!$AT63='Weeks Plan'!$D$6,'Planning Sheet'!$AN63='Weeks Plan'!$G$6),'Planning Sheet'!$AO63,"")</f>
        <v/>
      </c>
      <c r="AA58" s="48" t="str">
        <f ca="1">IF(AND('Planning Sheet'!$AT63='Weeks Plan'!$D$6,'Planning Sheet'!$AN63='Weeks Plan'!$G$6),'Planning Sheet'!AP63,"")</f>
        <v/>
      </c>
    </row>
    <row r="59" spans="2:27" x14ac:dyDescent="0.3">
      <c r="B59" s="11"/>
      <c r="C59" s="75" t="str">
        <f>IF($B59&lt;&gt;"",VLOOKUP($B59,'Planning Sheet'!$B$8:$AL$500,3,0),"")</f>
        <v/>
      </c>
      <c r="D59" s="18" t="str">
        <f>IF($B59&lt;&gt;"",VLOOKUP($B59,'Planning Sheet'!$B$8:$AL$500,5,0),"")</f>
        <v/>
      </c>
      <c r="E59" s="18" t="str">
        <f>IF($B59&lt;&gt;"",VLOOKUP($B59,'Planning Sheet'!$B$8:$AL$500,7,0),"")</f>
        <v/>
      </c>
      <c r="F59" s="18" t="str">
        <f>IF($B59&lt;&gt;"",VLOOKUP($B59,'Planning Sheet'!$B$8:$AL$500,9,0),"")</f>
        <v/>
      </c>
      <c r="G59" s="18" t="str">
        <f>IF($B59&lt;&gt;"",VLOOKUP($B59,'Planning Sheet'!$B$8:$AL$500,11,0),"")</f>
        <v/>
      </c>
      <c r="H59" s="18" t="str">
        <f>IF($B59&lt;&gt;"",VLOOKUP($B59,'Planning Sheet'!$B$8:$AL$500,13,0),"")</f>
        <v/>
      </c>
      <c r="I59" s="18" t="str">
        <f>IF($B59&lt;&gt;"",VLOOKUP($B59,'Planning Sheet'!$B$8:$AL$500,15,0),"")</f>
        <v/>
      </c>
      <c r="J59" s="18" t="str">
        <f>IF($B59&lt;&gt;"",VLOOKUP($B59,'Planning Sheet'!$B$8:$AL$500,17,0),"")</f>
        <v/>
      </c>
      <c r="K59" s="18" t="str">
        <f>IF($B59&lt;&gt;"",VLOOKUP($B59,'Planning Sheet'!$B$8:$AL$500,19,0),"")</f>
        <v/>
      </c>
      <c r="L59" s="18" t="str">
        <f>IF($B59&lt;&gt;"",VLOOKUP($B59,'Planning Sheet'!$B$8:$AL$500,21,0),"")</f>
        <v/>
      </c>
      <c r="M59" s="18" t="str">
        <f>IF($B59&lt;&gt;"",VLOOKUP($B59,'Planning Sheet'!$B$8:$AL$500,23,0),"")</f>
        <v/>
      </c>
      <c r="N59" s="18" t="str">
        <f>IF($B59&lt;&gt;"",VLOOKUP($B59,'Planning Sheet'!$B$8:$AL$500,25,0),"")</f>
        <v/>
      </c>
      <c r="O59" s="18" t="str">
        <f>IF($B59&lt;&gt;"",VLOOKUP($B59,'Planning Sheet'!$B$8:$AL$500,26,0),"")</f>
        <v/>
      </c>
      <c r="P59" s="19" t="str">
        <f>IF($B59&lt;&gt;"",VLOOKUP($B59,'Planning Sheet'!$B$8:$AL$500,27,0),"")</f>
        <v/>
      </c>
      <c r="Q59" s="19" t="str">
        <f>IF($B59&lt;&gt;"",VLOOKUP($B59,'Planning Sheet'!$B$8:$AL$500,34,0),"")</f>
        <v/>
      </c>
      <c r="R59" s="19" t="str">
        <f>IF($B59&lt;&gt;"",VLOOKUP($B59,'Planning Sheet'!$B$8:$AL$500,36,0),"")</f>
        <v/>
      </c>
      <c r="S59" s="19" t="str">
        <f>IF($B59&lt;&gt;"",VLOOKUP($B59,'Planning Sheet'!$B$8:$AM$500,38,0),"")</f>
        <v/>
      </c>
      <c r="T59" s="18" t="str">
        <f t="shared" si="1"/>
        <v/>
      </c>
      <c r="U59" s="100" t="str">
        <f t="shared" si="0"/>
        <v/>
      </c>
      <c r="Y59" s="48" t="str">
        <f ca="1">IF(AND('Planning Sheet'!$AT64='Weeks Plan'!$D$6,'Planning Sheet'!$AN64='Weeks Plan'!$G$6),'Planning Sheet'!$B64,"")</f>
        <v/>
      </c>
      <c r="Z59" s="48" t="str">
        <f ca="1">IF(AND('Planning Sheet'!$AT64='Weeks Plan'!$D$6,'Planning Sheet'!$AN64='Weeks Plan'!$G$6),'Planning Sheet'!$AO64,"")</f>
        <v/>
      </c>
      <c r="AA59" s="48" t="str">
        <f ca="1">IF(AND('Planning Sheet'!$AT64='Weeks Plan'!$D$6,'Planning Sheet'!$AN64='Weeks Plan'!$G$6),'Planning Sheet'!AP64,"")</f>
        <v/>
      </c>
    </row>
    <row r="60" spans="2:27" x14ac:dyDescent="0.3">
      <c r="B60" s="11"/>
      <c r="C60" s="75" t="str">
        <f>IF($B60&lt;&gt;"",VLOOKUP($B60,'Planning Sheet'!$B$8:$AL$500,3,0),"")</f>
        <v/>
      </c>
      <c r="D60" s="18" t="str">
        <f>IF($B60&lt;&gt;"",VLOOKUP($B60,'Planning Sheet'!$B$8:$AL$500,5,0),"")</f>
        <v/>
      </c>
      <c r="E60" s="18" t="str">
        <f>IF($B60&lt;&gt;"",VLOOKUP($B60,'Planning Sheet'!$B$8:$AL$500,7,0),"")</f>
        <v/>
      </c>
      <c r="F60" s="18" t="str">
        <f>IF($B60&lt;&gt;"",VLOOKUP($B60,'Planning Sheet'!$B$8:$AL$500,9,0),"")</f>
        <v/>
      </c>
      <c r="G60" s="18" t="str">
        <f>IF($B60&lt;&gt;"",VLOOKUP($B60,'Planning Sheet'!$B$8:$AL$500,11,0),"")</f>
        <v/>
      </c>
      <c r="H60" s="18" t="str">
        <f>IF($B60&lt;&gt;"",VLOOKUP($B60,'Planning Sheet'!$B$8:$AL$500,13,0),"")</f>
        <v/>
      </c>
      <c r="I60" s="18" t="str">
        <f>IF($B60&lt;&gt;"",VLOOKUP($B60,'Planning Sheet'!$B$8:$AL$500,15,0),"")</f>
        <v/>
      </c>
      <c r="J60" s="18" t="str">
        <f>IF($B60&lt;&gt;"",VLOOKUP($B60,'Planning Sheet'!$B$8:$AL$500,17,0),"")</f>
        <v/>
      </c>
      <c r="K60" s="18" t="str">
        <f>IF($B60&lt;&gt;"",VLOOKUP($B60,'Planning Sheet'!$B$8:$AL$500,19,0),"")</f>
        <v/>
      </c>
      <c r="L60" s="18" t="str">
        <f>IF($B60&lt;&gt;"",VLOOKUP($B60,'Planning Sheet'!$B$8:$AL$500,21,0),"")</f>
        <v/>
      </c>
      <c r="M60" s="18" t="str">
        <f>IF($B60&lt;&gt;"",VLOOKUP($B60,'Planning Sheet'!$B$8:$AL$500,23,0),"")</f>
        <v/>
      </c>
      <c r="N60" s="18" t="str">
        <f>IF($B60&lt;&gt;"",VLOOKUP($B60,'Planning Sheet'!$B$8:$AL$500,25,0),"")</f>
        <v/>
      </c>
      <c r="O60" s="18" t="str">
        <f>IF($B60&lt;&gt;"",VLOOKUP($B60,'Planning Sheet'!$B$8:$AL$500,26,0),"")</f>
        <v/>
      </c>
      <c r="P60" s="19" t="str">
        <f>IF($B60&lt;&gt;"",VLOOKUP($B60,'Planning Sheet'!$B$8:$AL$500,27,0),"")</f>
        <v/>
      </c>
      <c r="Q60" s="19" t="str">
        <f>IF($B60&lt;&gt;"",VLOOKUP($B60,'Planning Sheet'!$B$8:$AL$500,34,0),"")</f>
        <v/>
      </c>
      <c r="R60" s="19" t="str">
        <f>IF($B60&lt;&gt;"",VLOOKUP($B60,'Planning Sheet'!$B$8:$AL$500,36,0),"")</f>
        <v/>
      </c>
      <c r="S60" s="19" t="str">
        <f>IF($B60&lt;&gt;"",VLOOKUP($B60,'Planning Sheet'!$B$8:$AM$500,38,0),"")</f>
        <v/>
      </c>
      <c r="T60" s="18" t="str">
        <f t="shared" si="1"/>
        <v/>
      </c>
      <c r="U60" s="100" t="str">
        <f t="shared" si="0"/>
        <v/>
      </c>
      <c r="Y60" s="48" t="str">
        <f ca="1">IF(AND('Planning Sheet'!$AT65='Weeks Plan'!$D$6,'Planning Sheet'!$AN65='Weeks Plan'!$G$6),'Planning Sheet'!$B65,"")</f>
        <v/>
      </c>
      <c r="Z60" s="48" t="str">
        <f ca="1">IF(AND('Planning Sheet'!$AT65='Weeks Plan'!$D$6,'Planning Sheet'!$AN65='Weeks Plan'!$G$6),'Planning Sheet'!$AO65,"")</f>
        <v/>
      </c>
      <c r="AA60" s="48" t="str">
        <f ca="1">IF(AND('Planning Sheet'!$AT65='Weeks Plan'!$D$6,'Planning Sheet'!$AN65='Weeks Plan'!$G$6),'Planning Sheet'!AP65,"")</f>
        <v/>
      </c>
    </row>
    <row r="61" spans="2:27" x14ac:dyDescent="0.3">
      <c r="B61" s="11"/>
      <c r="C61" s="75" t="str">
        <f>IF($B61&lt;&gt;"",VLOOKUP($B61,'Planning Sheet'!$B$8:$AL$500,3,0),"")</f>
        <v/>
      </c>
      <c r="D61" s="18" t="str">
        <f>IF($B61&lt;&gt;"",VLOOKUP($B61,'Planning Sheet'!$B$8:$AL$500,5,0),"")</f>
        <v/>
      </c>
      <c r="E61" s="18" t="str">
        <f>IF($B61&lt;&gt;"",VLOOKUP($B61,'Planning Sheet'!$B$8:$AL$500,7,0),"")</f>
        <v/>
      </c>
      <c r="F61" s="18" t="str">
        <f>IF($B61&lt;&gt;"",VLOOKUP($B61,'Planning Sheet'!$B$8:$AL$500,9,0),"")</f>
        <v/>
      </c>
      <c r="G61" s="18" t="str">
        <f>IF($B61&lt;&gt;"",VLOOKUP($B61,'Planning Sheet'!$B$8:$AL$500,11,0),"")</f>
        <v/>
      </c>
      <c r="H61" s="18" t="str">
        <f>IF($B61&lt;&gt;"",VLOOKUP($B61,'Planning Sheet'!$B$8:$AL$500,13,0),"")</f>
        <v/>
      </c>
      <c r="I61" s="18" t="str">
        <f>IF($B61&lt;&gt;"",VLOOKUP($B61,'Planning Sheet'!$B$8:$AL$500,15,0),"")</f>
        <v/>
      </c>
      <c r="J61" s="18" t="str">
        <f>IF($B61&lt;&gt;"",VLOOKUP($B61,'Planning Sheet'!$B$8:$AL$500,17,0),"")</f>
        <v/>
      </c>
      <c r="K61" s="18" t="str">
        <f>IF($B61&lt;&gt;"",VLOOKUP($B61,'Planning Sheet'!$B$8:$AL$500,19,0),"")</f>
        <v/>
      </c>
      <c r="L61" s="18" t="str">
        <f>IF($B61&lt;&gt;"",VLOOKUP($B61,'Planning Sheet'!$B$8:$AL$500,21,0),"")</f>
        <v/>
      </c>
      <c r="M61" s="18" t="str">
        <f>IF($B61&lt;&gt;"",VLOOKUP($B61,'Planning Sheet'!$B$8:$AL$500,23,0),"")</f>
        <v/>
      </c>
      <c r="N61" s="18" t="str">
        <f>IF($B61&lt;&gt;"",VLOOKUP($B61,'Planning Sheet'!$B$8:$AL$500,25,0),"")</f>
        <v/>
      </c>
      <c r="O61" s="18" t="str">
        <f>IF($B61&lt;&gt;"",VLOOKUP($B61,'Planning Sheet'!$B$8:$AL$500,26,0),"")</f>
        <v/>
      </c>
      <c r="P61" s="19" t="str">
        <f>IF($B61&lt;&gt;"",VLOOKUP($B61,'Planning Sheet'!$B$8:$AL$500,27,0),"")</f>
        <v/>
      </c>
      <c r="Q61" s="19" t="str">
        <f>IF($B61&lt;&gt;"",VLOOKUP($B61,'Planning Sheet'!$B$8:$AL$500,34,0),"")</f>
        <v/>
      </c>
      <c r="R61" s="19" t="str">
        <f>IF($B61&lt;&gt;"",VLOOKUP($B61,'Planning Sheet'!$B$8:$AL$500,36,0),"")</f>
        <v/>
      </c>
      <c r="S61" s="19" t="str">
        <f>IF($B61&lt;&gt;"",VLOOKUP($B61,'Planning Sheet'!$B$8:$AM$500,38,0),"")</f>
        <v/>
      </c>
      <c r="T61" s="18" t="str">
        <f t="shared" si="1"/>
        <v/>
      </c>
      <c r="U61" s="100" t="str">
        <f t="shared" si="0"/>
        <v/>
      </c>
      <c r="Y61" s="48" t="str">
        <f ca="1">IF(AND('Planning Sheet'!$AT66='Weeks Plan'!$D$6,'Planning Sheet'!$AN66='Weeks Plan'!$G$6),'Planning Sheet'!$B66,"")</f>
        <v/>
      </c>
      <c r="Z61" s="48" t="str">
        <f ca="1">IF(AND('Planning Sheet'!$AT66='Weeks Plan'!$D$6,'Planning Sheet'!$AN66='Weeks Plan'!$G$6),'Planning Sheet'!$AO66,"")</f>
        <v/>
      </c>
      <c r="AA61" s="48" t="str">
        <f ca="1">IF(AND('Planning Sheet'!$AT66='Weeks Plan'!$D$6,'Planning Sheet'!$AN66='Weeks Plan'!$G$6),'Planning Sheet'!AP66,"")</f>
        <v/>
      </c>
    </row>
    <row r="62" spans="2:27" x14ac:dyDescent="0.3">
      <c r="B62" s="11"/>
      <c r="C62" s="75" t="str">
        <f>IF($B62&lt;&gt;"",VLOOKUP($B62,'Planning Sheet'!$B$8:$AL$500,3,0),"")</f>
        <v/>
      </c>
      <c r="D62" s="18" t="str">
        <f>IF($B62&lt;&gt;"",VLOOKUP($B62,'Planning Sheet'!$B$8:$AL$500,5,0),"")</f>
        <v/>
      </c>
      <c r="E62" s="18" t="str">
        <f>IF($B62&lt;&gt;"",VLOOKUP($B62,'Planning Sheet'!$B$8:$AL$500,7,0),"")</f>
        <v/>
      </c>
      <c r="F62" s="18" t="str">
        <f>IF($B62&lt;&gt;"",VLOOKUP($B62,'Planning Sheet'!$B$8:$AL$500,9,0),"")</f>
        <v/>
      </c>
      <c r="G62" s="18" t="str">
        <f>IF($B62&lt;&gt;"",VLOOKUP($B62,'Planning Sheet'!$B$8:$AL$500,11,0),"")</f>
        <v/>
      </c>
      <c r="H62" s="18" t="str">
        <f>IF($B62&lt;&gt;"",VLOOKUP($B62,'Planning Sheet'!$B$8:$AL$500,13,0),"")</f>
        <v/>
      </c>
      <c r="I62" s="18" t="str">
        <f>IF($B62&lt;&gt;"",VLOOKUP($B62,'Planning Sheet'!$B$8:$AL$500,15,0),"")</f>
        <v/>
      </c>
      <c r="J62" s="18" t="str">
        <f>IF($B62&lt;&gt;"",VLOOKUP($B62,'Planning Sheet'!$B$8:$AL$500,17,0),"")</f>
        <v/>
      </c>
      <c r="K62" s="18" t="str">
        <f>IF($B62&lt;&gt;"",VLOOKUP($B62,'Planning Sheet'!$B$8:$AL$500,19,0),"")</f>
        <v/>
      </c>
      <c r="L62" s="18" t="str">
        <f>IF($B62&lt;&gt;"",VLOOKUP($B62,'Planning Sheet'!$B$8:$AL$500,21,0),"")</f>
        <v/>
      </c>
      <c r="M62" s="18" t="str">
        <f>IF($B62&lt;&gt;"",VLOOKUP($B62,'Planning Sheet'!$B$8:$AL$500,23,0),"")</f>
        <v/>
      </c>
      <c r="N62" s="18" t="str">
        <f>IF($B62&lt;&gt;"",VLOOKUP($B62,'Planning Sheet'!$B$8:$AL$500,25,0),"")</f>
        <v/>
      </c>
      <c r="O62" s="18" t="str">
        <f>IF($B62&lt;&gt;"",VLOOKUP($B62,'Planning Sheet'!$B$8:$AL$500,26,0),"")</f>
        <v/>
      </c>
      <c r="P62" s="19" t="str">
        <f>IF($B62&lt;&gt;"",VLOOKUP($B62,'Planning Sheet'!$B$8:$AL$500,27,0),"")</f>
        <v/>
      </c>
      <c r="Q62" s="19" t="str">
        <f>IF($B62&lt;&gt;"",VLOOKUP($B62,'Planning Sheet'!$B$8:$AL$500,34,0),"")</f>
        <v/>
      </c>
      <c r="R62" s="19" t="str">
        <f>IF($B62&lt;&gt;"",VLOOKUP($B62,'Planning Sheet'!$B$8:$AL$500,36,0),"")</f>
        <v/>
      </c>
      <c r="S62" s="19" t="str">
        <f>IF($B62&lt;&gt;"",VLOOKUP($B62,'Planning Sheet'!$B$8:$AM$500,38,0),"")</f>
        <v/>
      </c>
      <c r="T62" s="18" t="str">
        <f t="shared" si="1"/>
        <v/>
      </c>
      <c r="U62" s="100" t="str">
        <f t="shared" si="0"/>
        <v/>
      </c>
      <c r="Y62" s="48" t="str">
        <f ca="1">IF(AND('Planning Sheet'!$AT67='Weeks Plan'!$D$6,'Planning Sheet'!$AN67='Weeks Plan'!$G$6),'Planning Sheet'!$B67,"")</f>
        <v/>
      </c>
      <c r="Z62" s="48" t="str">
        <f ca="1">IF(AND('Planning Sheet'!$AT67='Weeks Plan'!$D$6,'Planning Sheet'!$AN67='Weeks Plan'!$G$6),'Planning Sheet'!$AO67,"")</f>
        <v/>
      </c>
      <c r="AA62" s="48" t="str">
        <f ca="1">IF(AND('Planning Sheet'!$AT67='Weeks Plan'!$D$6,'Planning Sheet'!$AN67='Weeks Plan'!$G$6),'Planning Sheet'!AP67,"")</f>
        <v/>
      </c>
    </row>
    <row r="63" spans="2:27" x14ac:dyDescent="0.3">
      <c r="B63" s="11"/>
      <c r="C63" s="75" t="str">
        <f>IF($B63&lt;&gt;"",VLOOKUP($B63,'Planning Sheet'!$B$8:$AL$500,3,0),"")</f>
        <v/>
      </c>
      <c r="D63" s="18" t="str">
        <f>IF($B63&lt;&gt;"",VLOOKUP($B63,'Planning Sheet'!$B$8:$AL$500,5,0),"")</f>
        <v/>
      </c>
      <c r="E63" s="18" t="str">
        <f>IF($B63&lt;&gt;"",VLOOKUP($B63,'Planning Sheet'!$B$8:$AL$500,7,0),"")</f>
        <v/>
      </c>
      <c r="F63" s="18" t="str">
        <f>IF($B63&lt;&gt;"",VLOOKUP($B63,'Planning Sheet'!$B$8:$AL$500,9,0),"")</f>
        <v/>
      </c>
      <c r="G63" s="18" t="str">
        <f>IF($B63&lt;&gt;"",VLOOKUP($B63,'Planning Sheet'!$B$8:$AL$500,11,0),"")</f>
        <v/>
      </c>
      <c r="H63" s="18" t="str">
        <f>IF($B63&lt;&gt;"",VLOOKUP($B63,'Planning Sheet'!$B$8:$AL$500,13,0),"")</f>
        <v/>
      </c>
      <c r="I63" s="18" t="str">
        <f>IF($B63&lt;&gt;"",VLOOKUP($B63,'Planning Sheet'!$B$8:$AL$500,15,0),"")</f>
        <v/>
      </c>
      <c r="J63" s="18" t="str">
        <f>IF($B63&lt;&gt;"",VLOOKUP($B63,'Planning Sheet'!$B$8:$AL$500,17,0),"")</f>
        <v/>
      </c>
      <c r="K63" s="18" t="str">
        <f>IF($B63&lt;&gt;"",VLOOKUP($B63,'Planning Sheet'!$B$8:$AL$500,19,0),"")</f>
        <v/>
      </c>
      <c r="L63" s="18" t="str">
        <f>IF($B63&lt;&gt;"",VLOOKUP($B63,'Planning Sheet'!$B$8:$AL$500,21,0),"")</f>
        <v/>
      </c>
      <c r="M63" s="18" t="str">
        <f>IF($B63&lt;&gt;"",VLOOKUP($B63,'Planning Sheet'!$B$8:$AL$500,23,0),"")</f>
        <v/>
      </c>
      <c r="N63" s="18" t="str">
        <f>IF($B63&lt;&gt;"",VLOOKUP($B63,'Planning Sheet'!$B$8:$AL$500,25,0),"")</f>
        <v/>
      </c>
      <c r="O63" s="18" t="str">
        <f>IF($B63&lt;&gt;"",VLOOKUP($B63,'Planning Sheet'!$B$8:$AL$500,26,0),"")</f>
        <v/>
      </c>
      <c r="P63" s="19" t="str">
        <f>IF($B63&lt;&gt;"",VLOOKUP($B63,'Planning Sheet'!$B$8:$AL$500,27,0),"")</f>
        <v/>
      </c>
      <c r="Q63" s="19" t="str">
        <f>IF($B63&lt;&gt;"",VLOOKUP($B63,'Planning Sheet'!$B$8:$AL$500,34,0),"")</f>
        <v/>
      </c>
      <c r="R63" s="19" t="str">
        <f>IF($B63&lt;&gt;"",VLOOKUP($B63,'Planning Sheet'!$B$8:$AL$500,36,0),"")</f>
        <v/>
      </c>
      <c r="S63" s="19" t="str">
        <f>IF($B63&lt;&gt;"",VLOOKUP($B63,'Planning Sheet'!$B$8:$AM$500,38,0),"")</f>
        <v/>
      </c>
      <c r="T63" s="18" t="str">
        <f t="shared" si="1"/>
        <v/>
      </c>
      <c r="U63" s="100" t="str">
        <f t="shared" si="0"/>
        <v/>
      </c>
      <c r="Y63" s="48" t="str">
        <f ca="1">IF(AND('Planning Sheet'!$AT68='Weeks Plan'!$D$6,'Planning Sheet'!$AN68='Weeks Plan'!$G$6),'Planning Sheet'!$B68,"")</f>
        <v/>
      </c>
      <c r="Z63" s="48" t="str">
        <f ca="1">IF(AND('Planning Sheet'!$AT68='Weeks Plan'!$D$6,'Planning Sheet'!$AN68='Weeks Plan'!$G$6),'Planning Sheet'!$AO68,"")</f>
        <v/>
      </c>
      <c r="AA63" s="48" t="str">
        <f ca="1">IF(AND('Planning Sheet'!$AT68='Weeks Plan'!$D$6,'Planning Sheet'!$AN68='Weeks Plan'!$G$6),'Planning Sheet'!AP68,"")</f>
        <v/>
      </c>
    </row>
    <row r="64" spans="2:27" x14ac:dyDescent="0.3">
      <c r="B64" s="11"/>
      <c r="C64" s="75" t="str">
        <f>IF($B64&lt;&gt;"",VLOOKUP($B64,'Planning Sheet'!$B$8:$AL$500,3,0),"")</f>
        <v/>
      </c>
      <c r="D64" s="18" t="str">
        <f>IF($B64&lt;&gt;"",VLOOKUP($B64,'Planning Sheet'!$B$8:$AL$500,5,0),"")</f>
        <v/>
      </c>
      <c r="E64" s="18" t="str">
        <f>IF($B64&lt;&gt;"",VLOOKUP($B64,'Planning Sheet'!$B$8:$AL$500,7,0),"")</f>
        <v/>
      </c>
      <c r="F64" s="18" t="str">
        <f>IF($B64&lt;&gt;"",VLOOKUP($B64,'Planning Sheet'!$B$8:$AL$500,9,0),"")</f>
        <v/>
      </c>
      <c r="G64" s="18" t="str">
        <f>IF($B64&lt;&gt;"",VLOOKUP($B64,'Planning Sheet'!$B$8:$AL$500,11,0),"")</f>
        <v/>
      </c>
      <c r="H64" s="18" t="str">
        <f>IF($B64&lt;&gt;"",VLOOKUP($B64,'Planning Sheet'!$B$8:$AL$500,13,0),"")</f>
        <v/>
      </c>
      <c r="I64" s="18" t="str">
        <f>IF($B64&lt;&gt;"",VLOOKUP($B64,'Planning Sheet'!$B$8:$AL$500,15,0),"")</f>
        <v/>
      </c>
      <c r="J64" s="18" t="str">
        <f>IF($B64&lt;&gt;"",VLOOKUP($B64,'Planning Sheet'!$B$8:$AL$500,17,0),"")</f>
        <v/>
      </c>
      <c r="K64" s="18" t="str">
        <f>IF($B64&lt;&gt;"",VLOOKUP($B64,'Planning Sheet'!$B$8:$AL$500,19,0),"")</f>
        <v/>
      </c>
      <c r="L64" s="18" t="str">
        <f>IF($B64&lt;&gt;"",VLOOKUP($B64,'Planning Sheet'!$B$8:$AL$500,21,0),"")</f>
        <v/>
      </c>
      <c r="M64" s="18" t="str">
        <f>IF($B64&lt;&gt;"",VLOOKUP($B64,'Planning Sheet'!$B$8:$AL$500,23,0),"")</f>
        <v/>
      </c>
      <c r="N64" s="18" t="str">
        <f>IF($B64&lt;&gt;"",VLOOKUP($B64,'Planning Sheet'!$B$8:$AL$500,25,0),"")</f>
        <v/>
      </c>
      <c r="O64" s="18" t="str">
        <f>IF($B64&lt;&gt;"",VLOOKUP($B64,'Planning Sheet'!$B$8:$AL$500,26,0),"")</f>
        <v/>
      </c>
      <c r="P64" s="19" t="str">
        <f>IF($B64&lt;&gt;"",VLOOKUP($B64,'Planning Sheet'!$B$8:$AL$500,27,0),"")</f>
        <v/>
      </c>
      <c r="Q64" s="19" t="str">
        <f>IF($B64&lt;&gt;"",VLOOKUP($B64,'Planning Sheet'!$B$8:$AL$500,34,0),"")</f>
        <v/>
      </c>
      <c r="R64" s="19" t="str">
        <f>IF($B64&lt;&gt;"",VLOOKUP($B64,'Planning Sheet'!$B$8:$AL$500,36,0),"")</f>
        <v/>
      </c>
      <c r="S64" s="19" t="str">
        <f>IF($B64&lt;&gt;"",VLOOKUP($B64,'Planning Sheet'!$B$8:$AM$500,38,0),"")</f>
        <v/>
      </c>
      <c r="T64" s="18" t="str">
        <f t="shared" si="1"/>
        <v/>
      </c>
      <c r="U64" s="100" t="str">
        <f t="shared" si="0"/>
        <v/>
      </c>
      <c r="Y64" s="48" t="str">
        <f ca="1">IF(AND('Planning Sheet'!$AT69='Weeks Plan'!$D$6,'Planning Sheet'!$AN69='Weeks Plan'!$G$6),'Planning Sheet'!$B69,"")</f>
        <v/>
      </c>
      <c r="Z64" s="48" t="str">
        <f ca="1">IF(AND('Planning Sheet'!$AT69='Weeks Plan'!$D$6,'Planning Sheet'!$AN69='Weeks Plan'!$G$6),'Planning Sheet'!$AO69,"")</f>
        <v/>
      </c>
      <c r="AA64" s="48" t="str">
        <f ca="1">IF(AND('Planning Sheet'!$AT69='Weeks Plan'!$D$6,'Planning Sheet'!$AN69='Weeks Plan'!$G$6),'Planning Sheet'!AP69,"")</f>
        <v/>
      </c>
    </row>
    <row r="65" spans="2:27" x14ac:dyDescent="0.3">
      <c r="B65" s="11"/>
      <c r="C65" s="75" t="str">
        <f>IF($B65&lt;&gt;"",VLOOKUP($B65,'Planning Sheet'!$B$8:$AL$500,3,0),"")</f>
        <v/>
      </c>
      <c r="D65" s="18" t="str">
        <f>IF($B65&lt;&gt;"",VLOOKUP($B65,'Planning Sheet'!$B$8:$AL$500,5,0),"")</f>
        <v/>
      </c>
      <c r="E65" s="18" t="str">
        <f>IF($B65&lt;&gt;"",VLOOKUP($B65,'Planning Sheet'!$B$8:$AL$500,7,0),"")</f>
        <v/>
      </c>
      <c r="F65" s="18" t="str">
        <f>IF($B65&lt;&gt;"",VLOOKUP($B65,'Planning Sheet'!$B$8:$AL$500,9,0),"")</f>
        <v/>
      </c>
      <c r="G65" s="18" t="str">
        <f>IF($B65&lt;&gt;"",VLOOKUP($B65,'Planning Sheet'!$B$8:$AL$500,11,0),"")</f>
        <v/>
      </c>
      <c r="H65" s="18" t="str">
        <f>IF($B65&lt;&gt;"",VLOOKUP($B65,'Planning Sheet'!$B$8:$AL$500,13,0),"")</f>
        <v/>
      </c>
      <c r="I65" s="18" t="str">
        <f>IF($B65&lt;&gt;"",VLOOKUP($B65,'Planning Sheet'!$B$8:$AL$500,15,0),"")</f>
        <v/>
      </c>
      <c r="J65" s="18" t="str">
        <f>IF($B65&lt;&gt;"",VLOOKUP($B65,'Planning Sheet'!$B$8:$AL$500,17,0),"")</f>
        <v/>
      </c>
      <c r="K65" s="18" t="str">
        <f>IF($B65&lt;&gt;"",VLOOKUP($B65,'Planning Sheet'!$B$8:$AL$500,19,0),"")</f>
        <v/>
      </c>
      <c r="L65" s="18" t="str">
        <f>IF($B65&lt;&gt;"",VLOOKUP($B65,'Planning Sheet'!$B$8:$AL$500,21,0),"")</f>
        <v/>
      </c>
      <c r="M65" s="18" t="str">
        <f>IF($B65&lt;&gt;"",VLOOKUP($B65,'Planning Sheet'!$B$8:$AL$500,23,0),"")</f>
        <v/>
      </c>
      <c r="N65" s="18" t="str">
        <f>IF($B65&lt;&gt;"",VLOOKUP($B65,'Planning Sheet'!$B$8:$AL$500,25,0),"")</f>
        <v/>
      </c>
      <c r="O65" s="18" t="str">
        <f>IF($B65&lt;&gt;"",VLOOKUP($B65,'Planning Sheet'!$B$8:$AL$500,26,0),"")</f>
        <v/>
      </c>
      <c r="P65" s="19" t="str">
        <f>IF($B65&lt;&gt;"",VLOOKUP($B65,'Planning Sheet'!$B$8:$AL$500,27,0),"")</f>
        <v/>
      </c>
      <c r="Q65" s="19" t="str">
        <f>IF($B65&lt;&gt;"",VLOOKUP($B65,'Planning Sheet'!$B$8:$AL$500,34,0),"")</f>
        <v/>
      </c>
      <c r="R65" s="19" t="str">
        <f>IF($B65&lt;&gt;"",VLOOKUP($B65,'Planning Sheet'!$B$8:$AL$500,36,0),"")</f>
        <v/>
      </c>
      <c r="S65" s="19" t="str">
        <f>IF($B65&lt;&gt;"",VLOOKUP($B65,'Planning Sheet'!$B$8:$AM$500,38,0),"")</f>
        <v/>
      </c>
      <c r="T65" s="18" t="str">
        <f t="shared" si="1"/>
        <v/>
      </c>
      <c r="U65" s="100" t="str">
        <f t="shared" si="0"/>
        <v/>
      </c>
      <c r="Y65" s="48" t="str">
        <f ca="1">IF(AND('Planning Sheet'!$AT70='Weeks Plan'!$D$6,'Planning Sheet'!$AN70='Weeks Plan'!$G$6),'Planning Sheet'!$B70,"")</f>
        <v/>
      </c>
      <c r="Z65" s="48" t="str">
        <f ca="1">IF(AND('Planning Sheet'!$AT70='Weeks Plan'!$D$6,'Planning Sheet'!$AN70='Weeks Plan'!$G$6),'Planning Sheet'!$AO70,"")</f>
        <v/>
      </c>
      <c r="AA65" s="48" t="str">
        <f ca="1">IF(AND('Planning Sheet'!$AT70='Weeks Plan'!$D$6,'Planning Sheet'!$AN70='Weeks Plan'!$G$6),'Planning Sheet'!AP70,"")</f>
        <v/>
      </c>
    </row>
    <row r="66" spans="2:27" x14ac:dyDescent="0.3">
      <c r="B66" s="11"/>
      <c r="C66" s="75" t="str">
        <f>IF($B66&lt;&gt;"",VLOOKUP($B66,'Planning Sheet'!$B$8:$AL$500,3,0),"")</f>
        <v/>
      </c>
      <c r="D66" s="18" t="str">
        <f>IF($B66&lt;&gt;"",VLOOKUP($B66,'Planning Sheet'!$B$8:$AL$500,5,0),"")</f>
        <v/>
      </c>
      <c r="E66" s="18" t="str">
        <f>IF($B66&lt;&gt;"",VLOOKUP($B66,'Planning Sheet'!$B$8:$AL$500,7,0),"")</f>
        <v/>
      </c>
      <c r="F66" s="18" t="str">
        <f>IF($B66&lt;&gt;"",VLOOKUP($B66,'Planning Sheet'!$B$8:$AL$500,9,0),"")</f>
        <v/>
      </c>
      <c r="G66" s="18" t="str">
        <f>IF($B66&lt;&gt;"",VLOOKUP($B66,'Planning Sheet'!$B$8:$AL$500,11,0),"")</f>
        <v/>
      </c>
      <c r="H66" s="18" t="str">
        <f>IF($B66&lt;&gt;"",VLOOKUP($B66,'Planning Sheet'!$B$8:$AL$500,13,0),"")</f>
        <v/>
      </c>
      <c r="I66" s="18" t="str">
        <f>IF($B66&lt;&gt;"",VLOOKUP($B66,'Planning Sheet'!$B$8:$AL$500,15,0),"")</f>
        <v/>
      </c>
      <c r="J66" s="18" t="str">
        <f>IF($B66&lt;&gt;"",VLOOKUP($B66,'Planning Sheet'!$B$8:$AL$500,17,0),"")</f>
        <v/>
      </c>
      <c r="K66" s="18" t="str">
        <f>IF($B66&lt;&gt;"",VLOOKUP($B66,'Planning Sheet'!$B$8:$AL$500,19,0),"")</f>
        <v/>
      </c>
      <c r="L66" s="18" t="str">
        <f>IF($B66&lt;&gt;"",VLOOKUP($B66,'Planning Sheet'!$B$8:$AL$500,21,0),"")</f>
        <v/>
      </c>
      <c r="M66" s="18" t="str">
        <f>IF($B66&lt;&gt;"",VLOOKUP($B66,'Planning Sheet'!$B$8:$AL$500,23,0),"")</f>
        <v/>
      </c>
      <c r="N66" s="18" t="str">
        <f>IF($B66&lt;&gt;"",VLOOKUP($B66,'Planning Sheet'!$B$8:$AL$500,25,0),"")</f>
        <v/>
      </c>
      <c r="O66" s="18" t="str">
        <f>IF($B66&lt;&gt;"",VLOOKUP($B66,'Planning Sheet'!$B$8:$AL$500,26,0),"")</f>
        <v/>
      </c>
      <c r="P66" s="19" t="str">
        <f>IF($B66&lt;&gt;"",VLOOKUP($B66,'Planning Sheet'!$B$8:$AL$500,27,0),"")</f>
        <v/>
      </c>
      <c r="Q66" s="19" t="str">
        <f>IF($B66&lt;&gt;"",VLOOKUP($B66,'Planning Sheet'!$B$8:$AL$500,34,0),"")</f>
        <v/>
      </c>
      <c r="R66" s="19" t="str">
        <f>IF($B66&lt;&gt;"",VLOOKUP($B66,'Planning Sheet'!$B$8:$AL$500,36,0),"")</f>
        <v/>
      </c>
      <c r="S66" s="19" t="str">
        <f>IF($B66&lt;&gt;"",VLOOKUP($B66,'Planning Sheet'!$B$8:$AM$500,38,0),"")</f>
        <v/>
      </c>
      <c r="T66" s="18" t="str">
        <f t="shared" si="1"/>
        <v/>
      </c>
      <c r="U66" s="100" t="str">
        <f t="shared" si="0"/>
        <v/>
      </c>
      <c r="Y66" s="48" t="str">
        <f ca="1">IF(AND('Planning Sheet'!$AT71='Weeks Plan'!$D$6,'Planning Sheet'!$AN71='Weeks Plan'!$G$6),'Planning Sheet'!$B71,"")</f>
        <v/>
      </c>
      <c r="Z66" s="48" t="str">
        <f ca="1">IF(AND('Planning Sheet'!$AT71='Weeks Plan'!$D$6,'Planning Sheet'!$AN71='Weeks Plan'!$G$6),'Planning Sheet'!$AO71,"")</f>
        <v/>
      </c>
      <c r="AA66" s="48" t="str">
        <f ca="1">IF(AND('Planning Sheet'!$AT71='Weeks Plan'!$D$6,'Planning Sheet'!$AN71='Weeks Plan'!$G$6),'Planning Sheet'!AP71,"")</f>
        <v/>
      </c>
    </row>
    <row r="67" spans="2:27" x14ac:dyDescent="0.3">
      <c r="B67" s="11"/>
      <c r="C67" s="75" t="str">
        <f>IF($B67&lt;&gt;"",VLOOKUP($B67,'Planning Sheet'!$B$8:$AL$500,3,0),"")</f>
        <v/>
      </c>
      <c r="D67" s="18" t="str">
        <f>IF($B67&lt;&gt;"",VLOOKUP($B67,'Planning Sheet'!$B$8:$AL$500,5,0),"")</f>
        <v/>
      </c>
      <c r="E67" s="18" t="str">
        <f>IF($B67&lt;&gt;"",VLOOKUP($B67,'Planning Sheet'!$B$8:$AL$500,7,0),"")</f>
        <v/>
      </c>
      <c r="F67" s="18" t="str">
        <f>IF($B67&lt;&gt;"",VLOOKUP($B67,'Planning Sheet'!$B$8:$AL$500,9,0),"")</f>
        <v/>
      </c>
      <c r="G67" s="18" t="str">
        <f>IF($B67&lt;&gt;"",VLOOKUP($B67,'Planning Sheet'!$B$8:$AL$500,11,0),"")</f>
        <v/>
      </c>
      <c r="H67" s="18" t="str">
        <f>IF($B67&lt;&gt;"",VLOOKUP($B67,'Planning Sheet'!$B$8:$AL$500,13,0),"")</f>
        <v/>
      </c>
      <c r="I67" s="18" t="str">
        <f>IF($B67&lt;&gt;"",VLOOKUP($B67,'Planning Sheet'!$B$8:$AL$500,15,0),"")</f>
        <v/>
      </c>
      <c r="J67" s="18" t="str">
        <f>IF($B67&lt;&gt;"",VLOOKUP($B67,'Planning Sheet'!$B$8:$AL$500,17,0),"")</f>
        <v/>
      </c>
      <c r="K67" s="18" t="str">
        <f>IF($B67&lt;&gt;"",VLOOKUP($B67,'Planning Sheet'!$B$8:$AL$500,19,0),"")</f>
        <v/>
      </c>
      <c r="L67" s="18" t="str">
        <f>IF($B67&lt;&gt;"",VLOOKUP($B67,'Planning Sheet'!$B$8:$AL$500,21,0),"")</f>
        <v/>
      </c>
      <c r="M67" s="18" t="str">
        <f>IF($B67&lt;&gt;"",VLOOKUP($B67,'Planning Sheet'!$B$8:$AL$500,23,0),"")</f>
        <v/>
      </c>
      <c r="N67" s="18" t="str">
        <f>IF($B67&lt;&gt;"",VLOOKUP($B67,'Planning Sheet'!$B$8:$AL$500,25,0),"")</f>
        <v/>
      </c>
      <c r="O67" s="18" t="str">
        <f>IF($B67&lt;&gt;"",VLOOKUP($B67,'Planning Sheet'!$B$8:$AL$500,26,0),"")</f>
        <v/>
      </c>
      <c r="P67" s="19" t="str">
        <f>IF($B67&lt;&gt;"",VLOOKUP($B67,'Planning Sheet'!$B$8:$AL$500,27,0),"")</f>
        <v/>
      </c>
      <c r="Q67" s="19" t="str">
        <f>IF($B67&lt;&gt;"",VLOOKUP($B67,'Planning Sheet'!$B$8:$AL$500,34,0),"")</f>
        <v/>
      </c>
      <c r="R67" s="19" t="str">
        <f>IF($B67&lt;&gt;"",VLOOKUP($B67,'Planning Sheet'!$B$8:$AL$500,36,0),"")</f>
        <v/>
      </c>
      <c r="S67" s="19" t="str">
        <f>IF($B67&lt;&gt;"",VLOOKUP($B67,'Planning Sheet'!$B$8:$AM$500,38,0),"")</f>
        <v/>
      </c>
      <c r="T67" s="18" t="str">
        <f t="shared" si="1"/>
        <v/>
      </c>
      <c r="U67" s="100" t="str">
        <f t="shared" si="0"/>
        <v/>
      </c>
      <c r="Y67" s="48" t="str">
        <f ca="1">IF(AND('Planning Sheet'!$AT72='Weeks Plan'!$D$6,'Planning Sheet'!$AN72='Weeks Plan'!$G$6),'Planning Sheet'!$B72,"")</f>
        <v/>
      </c>
      <c r="Z67" s="48" t="str">
        <f ca="1">IF(AND('Planning Sheet'!$AT72='Weeks Plan'!$D$6,'Planning Sheet'!$AN72='Weeks Plan'!$G$6),'Planning Sheet'!$AO72,"")</f>
        <v/>
      </c>
      <c r="AA67" s="48" t="str">
        <f ca="1">IF(AND('Planning Sheet'!$AT72='Weeks Plan'!$D$6,'Planning Sheet'!$AN72='Weeks Plan'!$G$6),'Planning Sheet'!AP72,"")</f>
        <v/>
      </c>
    </row>
    <row r="68" spans="2:27" x14ac:dyDescent="0.3">
      <c r="B68" s="11"/>
      <c r="C68" s="75" t="str">
        <f>IF($B68&lt;&gt;"",VLOOKUP($B68,'Planning Sheet'!$B$8:$AL$500,3,0),"")</f>
        <v/>
      </c>
      <c r="D68" s="18" t="str">
        <f>IF($B68&lt;&gt;"",VLOOKUP($B68,'Planning Sheet'!$B$8:$AL$500,5,0),"")</f>
        <v/>
      </c>
      <c r="E68" s="18" t="str">
        <f>IF($B68&lt;&gt;"",VLOOKUP($B68,'Planning Sheet'!$B$8:$AL$500,7,0),"")</f>
        <v/>
      </c>
      <c r="F68" s="18" t="str">
        <f>IF($B68&lt;&gt;"",VLOOKUP($B68,'Planning Sheet'!$B$8:$AL$500,9,0),"")</f>
        <v/>
      </c>
      <c r="G68" s="18" t="str">
        <f>IF($B68&lt;&gt;"",VLOOKUP($B68,'Planning Sheet'!$B$8:$AL$500,11,0),"")</f>
        <v/>
      </c>
      <c r="H68" s="18" t="str">
        <f>IF($B68&lt;&gt;"",VLOOKUP($B68,'Planning Sheet'!$B$8:$AL$500,13,0),"")</f>
        <v/>
      </c>
      <c r="I68" s="18" t="str">
        <f>IF($B68&lt;&gt;"",VLOOKUP($B68,'Planning Sheet'!$B$8:$AL$500,15,0),"")</f>
        <v/>
      </c>
      <c r="J68" s="18" t="str">
        <f>IF($B68&lt;&gt;"",VLOOKUP($B68,'Planning Sheet'!$B$8:$AL$500,17,0),"")</f>
        <v/>
      </c>
      <c r="K68" s="18" t="str">
        <f>IF($B68&lt;&gt;"",VLOOKUP($B68,'Planning Sheet'!$B$8:$AL$500,19,0),"")</f>
        <v/>
      </c>
      <c r="L68" s="18" t="str">
        <f>IF($B68&lt;&gt;"",VLOOKUP($B68,'Planning Sheet'!$B$8:$AL$500,21,0),"")</f>
        <v/>
      </c>
      <c r="M68" s="18" t="str">
        <f>IF($B68&lt;&gt;"",VLOOKUP($B68,'Planning Sheet'!$B$8:$AL$500,23,0),"")</f>
        <v/>
      </c>
      <c r="N68" s="18" t="str">
        <f>IF($B68&lt;&gt;"",VLOOKUP($B68,'Planning Sheet'!$B$8:$AL$500,25,0),"")</f>
        <v/>
      </c>
      <c r="O68" s="18" t="str">
        <f>IF($B68&lt;&gt;"",VLOOKUP($B68,'Planning Sheet'!$B$8:$AL$500,26,0),"")</f>
        <v/>
      </c>
      <c r="P68" s="19" t="str">
        <f>IF($B68&lt;&gt;"",VLOOKUP($B68,'Planning Sheet'!$B$8:$AL$500,27,0),"")</f>
        <v/>
      </c>
      <c r="Q68" s="19" t="str">
        <f>IF($B68&lt;&gt;"",VLOOKUP($B68,'Planning Sheet'!$B$8:$AL$500,34,0),"")</f>
        <v/>
      </c>
      <c r="R68" s="19" t="str">
        <f>IF($B68&lt;&gt;"",VLOOKUP($B68,'Planning Sheet'!$B$8:$AL$500,36,0),"")</f>
        <v/>
      </c>
      <c r="S68" s="19" t="str">
        <f>IF($B68&lt;&gt;"",VLOOKUP($B68,'Planning Sheet'!$B$8:$AM$500,38,0),"")</f>
        <v/>
      </c>
      <c r="T68" s="18" t="str">
        <f t="shared" si="1"/>
        <v/>
      </c>
      <c r="U68" s="100" t="str">
        <f t="shared" si="0"/>
        <v/>
      </c>
      <c r="Y68" s="48" t="str">
        <f ca="1">IF(AND('Planning Sheet'!$AT73='Weeks Plan'!$D$6,'Planning Sheet'!$AN73='Weeks Plan'!$G$6),'Planning Sheet'!$B73,"")</f>
        <v/>
      </c>
      <c r="Z68" s="48" t="str">
        <f ca="1">IF(AND('Planning Sheet'!$AT73='Weeks Plan'!$D$6,'Planning Sheet'!$AN73='Weeks Plan'!$G$6),'Planning Sheet'!$AO73,"")</f>
        <v/>
      </c>
      <c r="AA68" s="48" t="str">
        <f ca="1">IF(AND('Planning Sheet'!$AT73='Weeks Plan'!$D$6,'Planning Sheet'!$AN73='Weeks Plan'!$G$6),'Planning Sheet'!AP73,"")</f>
        <v/>
      </c>
    </row>
    <row r="69" spans="2:27" x14ac:dyDescent="0.3">
      <c r="B69" s="11"/>
      <c r="C69" s="75" t="str">
        <f>IF($B69&lt;&gt;"",VLOOKUP($B69,'Planning Sheet'!$B$8:$AL$500,3,0),"")</f>
        <v/>
      </c>
      <c r="D69" s="18" t="str">
        <f>IF($B69&lt;&gt;"",VLOOKUP($B69,'Planning Sheet'!$B$8:$AL$500,5,0),"")</f>
        <v/>
      </c>
      <c r="E69" s="18" t="str">
        <f>IF($B69&lt;&gt;"",VLOOKUP($B69,'Planning Sheet'!$B$8:$AL$500,7,0),"")</f>
        <v/>
      </c>
      <c r="F69" s="18" t="str">
        <f>IF($B69&lt;&gt;"",VLOOKUP($B69,'Planning Sheet'!$B$8:$AL$500,9,0),"")</f>
        <v/>
      </c>
      <c r="G69" s="18" t="str">
        <f>IF($B69&lt;&gt;"",VLOOKUP($B69,'Planning Sheet'!$B$8:$AL$500,11,0),"")</f>
        <v/>
      </c>
      <c r="H69" s="18" t="str">
        <f>IF($B69&lt;&gt;"",VLOOKUP($B69,'Planning Sheet'!$B$8:$AL$500,13,0),"")</f>
        <v/>
      </c>
      <c r="I69" s="18" t="str">
        <f>IF($B69&lt;&gt;"",VLOOKUP($B69,'Planning Sheet'!$B$8:$AL$500,15,0),"")</f>
        <v/>
      </c>
      <c r="J69" s="18" t="str">
        <f>IF($B69&lt;&gt;"",VLOOKUP($B69,'Planning Sheet'!$B$8:$AL$500,17,0),"")</f>
        <v/>
      </c>
      <c r="K69" s="18" t="str">
        <f>IF($B69&lt;&gt;"",VLOOKUP($B69,'Planning Sheet'!$B$8:$AL$500,19,0),"")</f>
        <v/>
      </c>
      <c r="L69" s="18" t="str">
        <f>IF($B69&lt;&gt;"",VLOOKUP($B69,'Planning Sheet'!$B$8:$AL$500,21,0),"")</f>
        <v/>
      </c>
      <c r="M69" s="18" t="str">
        <f>IF($B69&lt;&gt;"",VLOOKUP($B69,'Planning Sheet'!$B$8:$AL$500,23,0),"")</f>
        <v/>
      </c>
      <c r="N69" s="18" t="str">
        <f>IF($B69&lt;&gt;"",VLOOKUP($B69,'Planning Sheet'!$B$8:$AL$500,25,0),"")</f>
        <v/>
      </c>
      <c r="O69" s="18" t="str">
        <f>IF($B69&lt;&gt;"",VLOOKUP($B69,'Planning Sheet'!$B$8:$AL$500,26,0),"")</f>
        <v/>
      </c>
      <c r="P69" s="19" t="str">
        <f>IF($B69&lt;&gt;"",VLOOKUP($B69,'Planning Sheet'!$B$8:$AL$500,27,0),"")</f>
        <v/>
      </c>
      <c r="Q69" s="19" t="str">
        <f>IF($B69&lt;&gt;"",VLOOKUP($B69,'Planning Sheet'!$B$8:$AL$500,34,0),"")</f>
        <v/>
      </c>
      <c r="R69" s="19" t="str">
        <f>IF($B69&lt;&gt;"",VLOOKUP($B69,'Planning Sheet'!$B$8:$AL$500,36,0),"")</f>
        <v/>
      </c>
      <c r="S69" s="19" t="str">
        <f>IF($B69&lt;&gt;"",VLOOKUP($B69,'Planning Sheet'!$B$8:$AM$500,38,0),"")</f>
        <v/>
      </c>
      <c r="T69" s="18" t="str">
        <f t="shared" si="1"/>
        <v/>
      </c>
      <c r="U69" s="100" t="str">
        <f t="shared" si="0"/>
        <v/>
      </c>
      <c r="Y69" s="48" t="str">
        <f ca="1">IF(AND('Planning Sheet'!$AT74='Weeks Plan'!$D$6,'Planning Sheet'!$AN74='Weeks Plan'!$G$6),'Planning Sheet'!$B74,"")</f>
        <v/>
      </c>
      <c r="Z69" s="48" t="str">
        <f ca="1">IF(AND('Planning Sheet'!$AT74='Weeks Plan'!$D$6,'Planning Sheet'!$AN74='Weeks Plan'!$G$6),'Planning Sheet'!$AO74,"")</f>
        <v/>
      </c>
      <c r="AA69" s="48" t="str">
        <f ca="1">IF(AND('Planning Sheet'!$AT74='Weeks Plan'!$D$6,'Planning Sheet'!$AN74='Weeks Plan'!$G$6),'Planning Sheet'!AP74,"")</f>
        <v/>
      </c>
    </row>
    <row r="70" spans="2:27" x14ac:dyDescent="0.3">
      <c r="B70" s="11"/>
      <c r="C70" s="75" t="str">
        <f>IF($B70&lt;&gt;"",VLOOKUP($B70,'Planning Sheet'!$B$8:$AL$500,3,0),"")</f>
        <v/>
      </c>
      <c r="D70" s="18" t="str">
        <f>IF($B70&lt;&gt;"",VLOOKUP($B70,'Planning Sheet'!$B$8:$AL$500,5,0),"")</f>
        <v/>
      </c>
      <c r="E70" s="18" t="str">
        <f>IF($B70&lt;&gt;"",VLOOKUP($B70,'Planning Sheet'!$B$8:$AL$500,7,0),"")</f>
        <v/>
      </c>
      <c r="F70" s="18" t="str">
        <f>IF($B70&lt;&gt;"",VLOOKUP($B70,'Planning Sheet'!$B$8:$AL$500,9,0),"")</f>
        <v/>
      </c>
      <c r="G70" s="18" t="str">
        <f>IF($B70&lt;&gt;"",VLOOKUP($B70,'Planning Sheet'!$B$8:$AL$500,11,0),"")</f>
        <v/>
      </c>
      <c r="H70" s="18" t="str">
        <f>IF($B70&lt;&gt;"",VLOOKUP($B70,'Planning Sheet'!$B$8:$AL$500,13,0),"")</f>
        <v/>
      </c>
      <c r="I70" s="18" t="str">
        <f>IF($B70&lt;&gt;"",VLOOKUP($B70,'Planning Sheet'!$B$8:$AL$500,15,0),"")</f>
        <v/>
      </c>
      <c r="J70" s="18" t="str">
        <f>IF($B70&lt;&gt;"",VLOOKUP($B70,'Planning Sheet'!$B$8:$AL$500,17,0),"")</f>
        <v/>
      </c>
      <c r="K70" s="18" t="str">
        <f>IF($B70&lt;&gt;"",VLOOKUP($B70,'Planning Sheet'!$B$8:$AL$500,19,0),"")</f>
        <v/>
      </c>
      <c r="L70" s="18" t="str">
        <f>IF($B70&lt;&gt;"",VLOOKUP($B70,'Planning Sheet'!$B$8:$AL$500,21,0),"")</f>
        <v/>
      </c>
      <c r="M70" s="18" t="str">
        <f>IF($B70&lt;&gt;"",VLOOKUP($B70,'Planning Sheet'!$B$8:$AL$500,23,0),"")</f>
        <v/>
      </c>
      <c r="N70" s="18" t="str">
        <f>IF($B70&lt;&gt;"",VLOOKUP($B70,'Planning Sheet'!$B$8:$AL$500,25,0),"")</f>
        <v/>
      </c>
      <c r="O70" s="18" t="str">
        <f>IF($B70&lt;&gt;"",VLOOKUP($B70,'Planning Sheet'!$B$8:$AL$500,26,0),"")</f>
        <v/>
      </c>
      <c r="P70" s="19" t="str">
        <f>IF($B70&lt;&gt;"",VLOOKUP($B70,'Planning Sheet'!$B$8:$AL$500,27,0),"")</f>
        <v/>
      </c>
      <c r="Q70" s="19" t="str">
        <f>IF($B70&lt;&gt;"",VLOOKUP($B70,'Planning Sheet'!$B$8:$AL$500,34,0),"")</f>
        <v/>
      </c>
      <c r="R70" s="19" t="str">
        <f>IF($B70&lt;&gt;"",VLOOKUP($B70,'Planning Sheet'!$B$8:$AL$500,36,0),"")</f>
        <v/>
      </c>
      <c r="S70" s="19" t="str">
        <f>IF($B70&lt;&gt;"",VLOOKUP($B70,'Planning Sheet'!$B$8:$AM$500,38,0),"")</f>
        <v/>
      </c>
      <c r="T70" s="18" t="str">
        <f t="shared" si="1"/>
        <v/>
      </c>
      <c r="U70" s="100" t="str">
        <f t="shared" si="0"/>
        <v/>
      </c>
      <c r="Y70" s="48" t="str">
        <f ca="1">IF(AND('Planning Sheet'!$AT75='Weeks Plan'!$D$6,'Planning Sheet'!$AN75='Weeks Plan'!$G$6),'Planning Sheet'!$B75,"")</f>
        <v/>
      </c>
      <c r="Z70" s="48" t="str">
        <f ca="1">IF(AND('Planning Sheet'!$AT75='Weeks Plan'!$D$6,'Planning Sheet'!$AN75='Weeks Plan'!$G$6),'Planning Sheet'!$AO75,"")</f>
        <v/>
      </c>
      <c r="AA70" s="48" t="str">
        <f ca="1">IF(AND('Planning Sheet'!$AT75='Weeks Plan'!$D$6,'Planning Sheet'!$AN75='Weeks Plan'!$G$6),'Planning Sheet'!AP75,"")</f>
        <v/>
      </c>
    </row>
    <row r="71" spans="2:27" x14ac:dyDescent="0.3">
      <c r="B71" s="11"/>
      <c r="C71" s="75" t="str">
        <f>IF($B71&lt;&gt;"",VLOOKUP($B71,'Planning Sheet'!$B$8:$AL$500,3,0),"")</f>
        <v/>
      </c>
      <c r="D71" s="18" t="str">
        <f>IF($B71&lt;&gt;"",VLOOKUP($B71,'Planning Sheet'!$B$8:$AL$500,5,0),"")</f>
        <v/>
      </c>
      <c r="E71" s="18" t="str">
        <f>IF($B71&lt;&gt;"",VLOOKUP($B71,'Planning Sheet'!$B$8:$AL$500,7,0),"")</f>
        <v/>
      </c>
      <c r="F71" s="18" t="str">
        <f>IF($B71&lt;&gt;"",VLOOKUP($B71,'Planning Sheet'!$B$8:$AL$500,9,0),"")</f>
        <v/>
      </c>
      <c r="G71" s="18" t="str">
        <f>IF($B71&lt;&gt;"",VLOOKUP($B71,'Planning Sheet'!$B$8:$AL$500,11,0),"")</f>
        <v/>
      </c>
      <c r="H71" s="18" t="str">
        <f>IF($B71&lt;&gt;"",VLOOKUP($B71,'Planning Sheet'!$B$8:$AL$500,13,0),"")</f>
        <v/>
      </c>
      <c r="I71" s="18" t="str">
        <f>IF($B71&lt;&gt;"",VLOOKUP($B71,'Planning Sheet'!$B$8:$AL$500,15,0),"")</f>
        <v/>
      </c>
      <c r="J71" s="18" t="str">
        <f>IF($B71&lt;&gt;"",VLOOKUP($B71,'Planning Sheet'!$B$8:$AL$500,17,0),"")</f>
        <v/>
      </c>
      <c r="K71" s="18" t="str">
        <f>IF($B71&lt;&gt;"",VLOOKUP($B71,'Planning Sheet'!$B$8:$AL$500,19,0),"")</f>
        <v/>
      </c>
      <c r="L71" s="18" t="str">
        <f>IF($B71&lt;&gt;"",VLOOKUP($B71,'Planning Sheet'!$B$8:$AL$500,21,0),"")</f>
        <v/>
      </c>
      <c r="M71" s="18" t="str">
        <f>IF($B71&lt;&gt;"",VLOOKUP($B71,'Planning Sheet'!$B$8:$AL$500,23,0),"")</f>
        <v/>
      </c>
      <c r="N71" s="18" t="str">
        <f>IF($B71&lt;&gt;"",VLOOKUP($B71,'Planning Sheet'!$B$8:$AL$500,25,0),"")</f>
        <v/>
      </c>
      <c r="O71" s="18" t="str">
        <f>IF($B71&lt;&gt;"",VLOOKUP($B71,'Planning Sheet'!$B$8:$AL$500,26,0),"")</f>
        <v/>
      </c>
      <c r="P71" s="19" t="str">
        <f>IF($B71&lt;&gt;"",VLOOKUP($B71,'Planning Sheet'!$B$8:$AL$500,27,0),"")</f>
        <v/>
      </c>
      <c r="Q71" s="19" t="str">
        <f>IF($B71&lt;&gt;"",VLOOKUP($B71,'Planning Sheet'!$B$8:$AL$500,34,0),"")</f>
        <v/>
      </c>
      <c r="R71" s="19" t="str">
        <f>IF($B71&lt;&gt;"",VLOOKUP($B71,'Planning Sheet'!$B$8:$AL$500,36,0),"")</f>
        <v/>
      </c>
      <c r="S71" s="19" t="str">
        <f>IF($B71&lt;&gt;"",VLOOKUP($B71,'Planning Sheet'!$B$8:$AM$500,38,0),"")</f>
        <v/>
      </c>
      <c r="T71" s="18" t="str">
        <f t="shared" si="1"/>
        <v/>
      </c>
      <c r="U71" s="100" t="str">
        <f t="shared" si="0"/>
        <v/>
      </c>
      <c r="Y71" s="48" t="str">
        <f ca="1">IF(AND('Planning Sheet'!$AT76='Weeks Plan'!$D$6,'Planning Sheet'!$AN76='Weeks Plan'!$G$6),'Planning Sheet'!$B76,"")</f>
        <v/>
      </c>
      <c r="Z71" s="48" t="str">
        <f ca="1">IF(AND('Planning Sheet'!$AT76='Weeks Plan'!$D$6,'Planning Sheet'!$AN76='Weeks Plan'!$G$6),'Planning Sheet'!$AO76,"")</f>
        <v/>
      </c>
      <c r="AA71" s="48" t="str">
        <f ca="1">IF(AND('Planning Sheet'!$AT76='Weeks Plan'!$D$6,'Planning Sheet'!$AN76='Weeks Plan'!$G$6),'Planning Sheet'!AP76,"")</f>
        <v/>
      </c>
    </row>
    <row r="72" spans="2:27" x14ac:dyDescent="0.3">
      <c r="B72" s="11"/>
      <c r="C72" s="75" t="str">
        <f>IF($B72&lt;&gt;"",VLOOKUP($B72,'Planning Sheet'!$B$8:$AL$500,3,0),"")</f>
        <v/>
      </c>
      <c r="D72" s="18" t="str">
        <f>IF($B72&lt;&gt;"",VLOOKUP($B72,'Planning Sheet'!$B$8:$AL$500,5,0),"")</f>
        <v/>
      </c>
      <c r="E72" s="18" t="str">
        <f>IF($B72&lt;&gt;"",VLOOKUP($B72,'Planning Sheet'!$B$8:$AL$500,7,0),"")</f>
        <v/>
      </c>
      <c r="F72" s="18" t="str">
        <f>IF($B72&lt;&gt;"",VLOOKUP($B72,'Planning Sheet'!$B$8:$AL$500,9,0),"")</f>
        <v/>
      </c>
      <c r="G72" s="18" t="str">
        <f>IF($B72&lt;&gt;"",VLOOKUP($B72,'Planning Sheet'!$B$8:$AL$500,11,0),"")</f>
        <v/>
      </c>
      <c r="H72" s="18" t="str">
        <f>IF($B72&lt;&gt;"",VLOOKUP($B72,'Planning Sheet'!$B$8:$AL$500,13,0),"")</f>
        <v/>
      </c>
      <c r="I72" s="18" t="str">
        <f>IF($B72&lt;&gt;"",VLOOKUP($B72,'Planning Sheet'!$B$8:$AL$500,15,0),"")</f>
        <v/>
      </c>
      <c r="J72" s="18" t="str">
        <f>IF($B72&lt;&gt;"",VLOOKUP($B72,'Planning Sheet'!$B$8:$AL$500,17,0),"")</f>
        <v/>
      </c>
      <c r="K72" s="18" t="str">
        <f>IF($B72&lt;&gt;"",VLOOKUP($B72,'Planning Sheet'!$B$8:$AL$500,19,0),"")</f>
        <v/>
      </c>
      <c r="L72" s="18" t="str">
        <f>IF($B72&lt;&gt;"",VLOOKUP($B72,'Planning Sheet'!$B$8:$AL$500,21,0),"")</f>
        <v/>
      </c>
      <c r="M72" s="18" t="str">
        <f>IF($B72&lt;&gt;"",VLOOKUP($B72,'Planning Sheet'!$B$8:$AL$500,23,0),"")</f>
        <v/>
      </c>
      <c r="N72" s="18" t="str">
        <f>IF($B72&lt;&gt;"",VLOOKUP($B72,'Planning Sheet'!$B$8:$AL$500,25,0),"")</f>
        <v/>
      </c>
      <c r="O72" s="18" t="str">
        <f>IF($B72&lt;&gt;"",VLOOKUP($B72,'Planning Sheet'!$B$8:$AL$500,26,0),"")</f>
        <v/>
      </c>
      <c r="P72" s="19" t="str">
        <f>IF($B72&lt;&gt;"",VLOOKUP($B72,'Planning Sheet'!$B$8:$AL$500,27,0),"")</f>
        <v/>
      </c>
      <c r="Q72" s="19" t="str">
        <f>IF($B72&lt;&gt;"",VLOOKUP($B72,'Planning Sheet'!$B$8:$AL$500,34,0),"")</f>
        <v/>
      </c>
      <c r="R72" s="19" t="str">
        <f>IF($B72&lt;&gt;"",VLOOKUP($B72,'Planning Sheet'!$B$8:$AL$500,36,0),"")</f>
        <v/>
      </c>
      <c r="S72" s="19" t="str">
        <f>IF($B72&lt;&gt;"",VLOOKUP($B72,'Planning Sheet'!$B$8:$AM$500,38,0),"")</f>
        <v/>
      </c>
      <c r="T72" s="18" t="str">
        <f t="shared" si="1"/>
        <v/>
      </c>
      <c r="U72" s="100" t="str">
        <f t="shared" si="0"/>
        <v/>
      </c>
      <c r="Y72" s="48" t="str">
        <f ca="1">IF(AND('Planning Sheet'!$AT77='Weeks Plan'!$D$6,'Planning Sheet'!$AN77='Weeks Plan'!$G$6),'Planning Sheet'!$B77,"")</f>
        <v/>
      </c>
      <c r="Z72" s="48" t="str">
        <f ca="1">IF(AND('Planning Sheet'!$AT77='Weeks Plan'!$D$6,'Planning Sheet'!$AN77='Weeks Plan'!$G$6),'Planning Sheet'!$AO77,"")</f>
        <v/>
      </c>
      <c r="AA72" s="48" t="str">
        <f ca="1">IF(AND('Planning Sheet'!$AT77='Weeks Plan'!$D$6,'Planning Sheet'!$AN77='Weeks Plan'!$G$6),'Planning Sheet'!AP77,"")</f>
        <v/>
      </c>
    </row>
    <row r="73" spans="2:27" x14ac:dyDescent="0.3">
      <c r="B73" s="11"/>
      <c r="C73" s="75" t="str">
        <f>IF($B73&lt;&gt;"",VLOOKUP($B73,'Planning Sheet'!$B$8:$AL$500,3,0),"")</f>
        <v/>
      </c>
      <c r="D73" s="18" t="str">
        <f>IF($B73&lt;&gt;"",VLOOKUP($B73,'Planning Sheet'!$B$8:$AL$500,5,0),"")</f>
        <v/>
      </c>
      <c r="E73" s="18" t="str">
        <f>IF($B73&lt;&gt;"",VLOOKUP($B73,'Planning Sheet'!$B$8:$AL$500,7,0),"")</f>
        <v/>
      </c>
      <c r="F73" s="18" t="str">
        <f>IF($B73&lt;&gt;"",VLOOKUP($B73,'Planning Sheet'!$B$8:$AL$500,9,0),"")</f>
        <v/>
      </c>
      <c r="G73" s="18" t="str">
        <f>IF($B73&lt;&gt;"",VLOOKUP($B73,'Planning Sheet'!$B$8:$AL$500,11,0),"")</f>
        <v/>
      </c>
      <c r="H73" s="18" t="str">
        <f>IF($B73&lt;&gt;"",VLOOKUP($B73,'Planning Sheet'!$B$8:$AL$500,13,0),"")</f>
        <v/>
      </c>
      <c r="I73" s="18" t="str">
        <f>IF($B73&lt;&gt;"",VLOOKUP($B73,'Planning Sheet'!$B$8:$AL$500,15,0),"")</f>
        <v/>
      </c>
      <c r="J73" s="18" t="str">
        <f>IF($B73&lt;&gt;"",VLOOKUP($B73,'Planning Sheet'!$B$8:$AL$500,17,0),"")</f>
        <v/>
      </c>
      <c r="K73" s="18" t="str">
        <f>IF($B73&lt;&gt;"",VLOOKUP($B73,'Planning Sheet'!$B$8:$AL$500,19,0),"")</f>
        <v/>
      </c>
      <c r="L73" s="18" t="str">
        <f>IF($B73&lt;&gt;"",VLOOKUP($B73,'Planning Sheet'!$B$8:$AL$500,21,0),"")</f>
        <v/>
      </c>
      <c r="M73" s="18" t="str">
        <f>IF($B73&lt;&gt;"",VLOOKUP($B73,'Planning Sheet'!$B$8:$AL$500,23,0),"")</f>
        <v/>
      </c>
      <c r="N73" s="18" t="str">
        <f>IF($B73&lt;&gt;"",VLOOKUP($B73,'Planning Sheet'!$B$8:$AL$500,25,0),"")</f>
        <v/>
      </c>
      <c r="O73" s="18" t="str">
        <f>IF($B73&lt;&gt;"",VLOOKUP($B73,'Planning Sheet'!$B$8:$AL$500,26,0),"")</f>
        <v/>
      </c>
      <c r="P73" s="19" t="str">
        <f>IF($B73&lt;&gt;"",VLOOKUP($B73,'Planning Sheet'!$B$8:$AL$500,27,0),"")</f>
        <v/>
      </c>
      <c r="Q73" s="19" t="str">
        <f>IF($B73&lt;&gt;"",VLOOKUP($B73,'Planning Sheet'!$B$8:$AL$500,34,0),"")</f>
        <v/>
      </c>
      <c r="R73" s="19" t="str">
        <f>IF($B73&lt;&gt;"",VLOOKUP($B73,'Planning Sheet'!$B$8:$AL$500,36,0),"")</f>
        <v/>
      </c>
      <c r="S73" s="19" t="str">
        <f>IF($B73&lt;&gt;"",VLOOKUP($B73,'Planning Sheet'!$B$8:$AM$500,38,0),"")</f>
        <v/>
      </c>
      <c r="T73" s="18" t="str">
        <f t="shared" si="1"/>
        <v/>
      </c>
      <c r="U73" s="100" t="str">
        <f t="shared" si="0"/>
        <v/>
      </c>
      <c r="Y73" s="48" t="str">
        <f ca="1">IF(AND('Planning Sheet'!$AT78='Weeks Plan'!$D$6,'Planning Sheet'!$AN78='Weeks Plan'!$G$6),'Planning Sheet'!$B78,"")</f>
        <v/>
      </c>
      <c r="Z73" s="48" t="str">
        <f ca="1">IF(AND('Planning Sheet'!$AT78='Weeks Plan'!$D$6,'Planning Sheet'!$AN78='Weeks Plan'!$G$6),'Planning Sheet'!$AO78,"")</f>
        <v/>
      </c>
      <c r="AA73" s="48" t="str">
        <f ca="1">IF(AND('Planning Sheet'!$AT78='Weeks Plan'!$D$6,'Planning Sheet'!$AN78='Weeks Plan'!$G$6),'Planning Sheet'!AP78,"")</f>
        <v/>
      </c>
    </row>
    <row r="74" spans="2:27" x14ac:dyDescent="0.3">
      <c r="B74" s="11"/>
      <c r="C74" s="75" t="str">
        <f>IF($B74&lt;&gt;"",VLOOKUP($B74,'Planning Sheet'!$B$8:$AL$500,3,0),"")</f>
        <v/>
      </c>
      <c r="D74" s="18" t="str">
        <f>IF($B74&lt;&gt;"",VLOOKUP($B74,'Planning Sheet'!$B$8:$AL$500,5,0),"")</f>
        <v/>
      </c>
      <c r="E74" s="18" t="str">
        <f>IF($B74&lt;&gt;"",VLOOKUP($B74,'Planning Sheet'!$B$8:$AL$500,7,0),"")</f>
        <v/>
      </c>
      <c r="F74" s="18" t="str">
        <f>IF($B74&lt;&gt;"",VLOOKUP($B74,'Planning Sheet'!$B$8:$AL$500,9,0),"")</f>
        <v/>
      </c>
      <c r="G74" s="18" t="str">
        <f>IF($B74&lt;&gt;"",VLOOKUP($B74,'Planning Sheet'!$B$8:$AL$500,11,0),"")</f>
        <v/>
      </c>
      <c r="H74" s="18" t="str">
        <f>IF($B74&lt;&gt;"",VLOOKUP($B74,'Planning Sheet'!$B$8:$AL$500,13,0),"")</f>
        <v/>
      </c>
      <c r="I74" s="18" t="str">
        <f>IF($B74&lt;&gt;"",VLOOKUP($B74,'Planning Sheet'!$B$8:$AL$500,15,0),"")</f>
        <v/>
      </c>
      <c r="J74" s="18" t="str">
        <f>IF($B74&lt;&gt;"",VLOOKUP($B74,'Planning Sheet'!$B$8:$AL$500,17,0),"")</f>
        <v/>
      </c>
      <c r="K74" s="18" t="str">
        <f>IF($B74&lt;&gt;"",VLOOKUP($B74,'Planning Sheet'!$B$8:$AL$500,19,0),"")</f>
        <v/>
      </c>
      <c r="L74" s="18" t="str">
        <f>IF($B74&lt;&gt;"",VLOOKUP($B74,'Planning Sheet'!$B$8:$AL$500,21,0),"")</f>
        <v/>
      </c>
      <c r="M74" s="18" t="str">
        <f>IF($B74&lt;&gt;"",VLOOKUP($B74,'Planning Sheet'!$B$8:$AL$500,23,0),"")</f>
        <v/>
      </c>
      <c r="N74" s="18" t="str">
        <f>IF($B74&lt;&gt;"",VLOOKUP($B74,'Planning Sheet'!$B$8:$AL$500,25,0),"")</f>
        <v/>
      </c>
      <c r="O74" s="18" t="str">
        <f>IF($B74&lt;&gt;"",VLOOKUP($B74,'Planning Sheet'!$B$8:$AL$500,26,0),"")</f>
        <v/>
      </c>
      <c r="P74" s="19" t="str">
        <f>IF($B74&lt;&gt;"",VLOOKUP($B74,'Planning Sheet'!$B$8:$AL$500,27,0),"")</f>
        <v/>
      </c>
      <c r="Q74" s="19" t="str">
        <f>IF($B74&lt;&gt;"",VLOOKUP($B74,'Planning Sheet'!$B$8:$AL$500,34,0),"")</f>
        <v/>
      </c>
      <c r="R74" s="19" t="str">
        <f>IF($B74&lt;&gt;"",VLOOKUP($B74,'Planning Sheet'!$B$8:$AL$500,36,0),"")</f>
        <v/>
      </c>
      <c r="S74" s="19" t="str">
        <f>IF($B74&lt;&gt;"",VLOOKUP($B74,'Planning Sheet'!$B$8:$AM$500,38,0),"")</f>
        <v/>
      </c>
      <c r="T74" s="18" t="str">
        <f t="shared" si="1"/>
        <v/>
      </c>
      <c r="U74" s="100" t="str">
        <f t="shared" si="0"/>
        <v/>
      </c>
      <c r="Y74" s="48" t="str">
        <f ca="1">IF(AND('Planning Sheet'!$AT79='Weeks Plan'!$D$6,'Planning Sheet'!$AN79='Weeks Plan'!$G$6),'Planning Sheet'!$B79,"")</f>
        <v/>
      </c>
      <c r="Z74" s="48" t="str">
        <f ca="1">IF(AND('Planning Sheet'!$AT79='Weeks Plan'!$D$6,'Planning Sheet'!$AN79='Weeks Plan'!$G$6),'Planning Sheet'!$AO79,"")</f>
        <v/>
      </c>
      <c r="AA74" s="48" t="str">
        <f ca="1">IF(AND('Planning Sheet'!$AT79='Weeks Plan'!$D$6,'Planning Sheet'!$AN79='Weeks Plan'!$G$6),'Planning Sheet'!AP79,"")</f>
        <v/>
      </c>
    </row>
    <row r="75" spans="2:27" x14ac:dyDescent="0.3">
      <c r="B75" s="11"/>
      <c r="C75" s="75" t="str">
        <f>IF($B75&lt;&gt;"",VLOOKUP($B75,'Planning Sheet'!$B$8:$AL$500,3,0),"")</f>
        <v/>
      </c>
      <c r="D75" s="18" t="str">
        <f>IF($B75&lt;&gt;"",VLOOKUP($B75,'Planning Sheet'!$B$8:$AL$500,5,0),"")</f>
        <v/>
      </c>
      <c r="E75" s="18" t="str">
        <f>IF($B75&lt;&gt;"",VLOOKUP($B75,'Planning Sheet'!$B$8:$AL$500,7,0),"")</f>
        <v/>
      </c>
      <c r="F75" s="18" t="str">
        <f>IF($B75&lt;&gt;"",VLOOKUP($B75,'Planning Sheet'!$B$8:$AL$500,9,0),"")</f>
        <v/>
      </c>
      <c r="G75" s="18" t="str">
        <f>IF($B75&lt;&gt;"",VLOOKUP($B75,'Planning Sheet'!$B$8:$AL$500,11,0),"")</f>
        <v/>
      </c>
      <c r="H75" s="18" t="str">
        <f>IF($B75&lt;&gt;"",VLOOKUP($B75,'Planning Sheet'!$B$8:$AL$500,13,0),"")</f>
        <v/>
      </c>
      <c r="I75" s="18" t="str">
        <f>IF($B75&lt;&gt;"",VLOOKUP($B75,'Planning Sheet'!$B$8:$AL$500,15,0),"")</f>
        <v/>
      </c>
      <c r="J75" s="18" t="str">
        <f>IF($B75&lt;&gt;"",VLOOKUP($B75,'Planning Sheet'!$B$8:$AL$500,17,0),"")</f>
        <v/>
      </c>
      <c r="K75" s="18" t="str">
        <f>IF($B75&lt;&gt;"",VLOOKUP($B75,'Planning Sheet'!$B$8:$AL$500,19,0),"")</f>
        <v/>
      </c>
      <c r="L75" s="18" t="str">
        <f>IF($B75&lt;&gt;"",VLOOKUP($B75,'Planning Sheet'!$B$8:$AL$500,21,0),"")</f>
        <v/>
      </c>
      <c r="M75" s="18" t="str">
        <f>IF($B75&lt;&gt;"",VLOOKUP($B75,'Planning Sheet'!$B$8:$AL$500,23,0),"")</f>
        <v/>
      </c>
      <c r="N75" s="18" t="str">
        <f>IF($B75&lt;&gt;"",VLOOKUP($B75,'Planning Sheet'!$B$8:$AL$500,25,0),"")</f>
        <v/>
      </c>
      <c r="O75" s="18" t="str">
        <f>IF($B75&lt;&gt;"",VLOOKUP($B75,'Planning Sheet'!$B$8:$AL$500,26,0),"")</f>
        <v/>
      </c>
      <c r="P75" s="19" t="str">
        <f>IF($B75&lt;&gt;"",VLOOKUP($B75,'Planning Sheet'!$B$8:$AL$500,27,0),"")</f>
        <v/>
      </c>
      <c r="Q75" s="19" t="str">
        <f>IF($B75&lt;&gt;"",VLOOKUP($B75,'Planning Sheet'!$B$8:$AL$500,34,0),"")</f>
        <v/>
      </c>
      <c r="R75" s="19" t="str">
        <f>IF($B75&lt;&gt;"",VLOOKUP($B75,'Planning Sheet'!$B$8:$AL$500,36,0),"")</f>
        <v/>
      </c>
      <c r="S75" s="19" t="str">
        <f>IF($B75&lt;&gt;"",VLOOKUP($B75,'Planning Sheet'!$B$8:$AM$500,38,0),"")</f>
        <v/>
      </c>
      <c r="T75" s="18" t="str">
        <f t="shared" si="1"/>
        <v/>
      </c>
      <c r="U75" s="100" t="str">
        <f t="shared" ref="U75:U138" si="2">IF(B75&lt;&gt;"",VLOOKUP(B75,$Y$3:$AA$6425,3,0),"")</f>
        <v/>
      </c>
      <c r="Y75" s="48" t="str">
        <f ca="1">IF(AND('Planning Sheet'!$AT80='Weeks Plan'!$D$6,'Planning Sheet'!$AN80='Weeks Plan'!$G$6),'Planning Sheet'!$B80,"")</f>
        <v/>
      </c>
      <c r="Z75" s="48" t="str">
        <f ca="1">IF(AND('Planning Sheet'!$AT80='Weeks Plan'!$D$6,'Planning Sheet'!$AN80='Weeks Plan'!$G$6),'Planning Sheet'!$AO80,"")</f>
        <v/>
      </c>
      <c r="AA75" s="48" t="str">
        <f ca="1">IF(AND('Planning Sheet'!$AT80='Weeks Plan'!$D$6,'Planning Sheet'!$AN80='Weeks Plan'!$G$6),'Planning Sheet'!AP80,"")</f>
        <v/>
      </c>
    </row>
    <row r="76" spans="2:27" x14ac:dyDescent="0.3">
      <c r="B76" s="11"/>
      <c r="C76" s="75" t="str">
        <f>IF($B76&lt;&gt;"",VLOOKUP($B76,'Planning Sheet'!$B$8:$AL$500,3,0),"")</f>
        <v/>
      </c>
      <c r="D76" s="18" t="str">
        <f>IF($B76&lt;&gt;"",VLOOKUP($B76,'Planning Sheet'!$B$8:$AL$500,5,0),"")</f>
        <v/>
      </c>
      <c r="E76" s="18" t="str">
        <f>IF($B76&lt;&gt;"",VLOOKUP($B76,'Planning Sheet'!$B$8:$AL$500,7,0),"")</f>
        <v/>
      </c>
      <c r="F76" s="18" t="str">
        <f>IF($B76&lt;&gt;"",VLOOKUP($B76,'Planning Sheet'!$B$8:$AL$500,9,0),"")</f>
        <v/>
      </c>
      <c r="G76" s="18" t="str">
        <f>IF($B76&lt;&gt;"",VLOOKUP($B76,'Planning Sheet'!$B$8:$AL$500,11,0),"")</f>
        <v/>
      </c>
      <c r="H76" s="18" t="str">
        <f>IF($B76&lt;&gt;"",VLOOKUP($B76,'Planning Sheet'!$B$8:$AL$500,13,0),"")</f>
        <v/>
      </c>
      <c r="I76" s="18" t="str">
        <f>IF($B76&lt;&gt;"",VLOOKUP($B76,'Planning Sheet'!$B$8:$AL$500,15,0),"")</f>
        <v/>
      </c>
      <c r="J76" s="18" t="str">
        <f>IF($B76&lt;&gt;"",VLOOKUP($B76,'Planning Sheet'!$B$8:$AL$500,17,0),"")</f>
        <v/>
      </c>
      <c r="K76" s="18" t="str">
        <f>IF($B76&lt;&gt;"",VLOOKUP($B76,'Planning Sheet'!$B$8:$AL$500,19,0),"")</f>
        <v/>
      </c>
      <c r="L76" s="18" t="str">
        <f>IF($B76&lt;&gt;"",VLOOKUP($B76,'Planning Sheet'!$B$8:$AL$500,21,0),"")</f>
        <v/>
      </c>
      <c r="M76" s="18" t="str">
        <f>IF($B76&lt;&gt;"",VLOOKUP($B76,'Planning Sheet'!$B$8:$AL$500,23,0),"")</f>
        <v/>
      </c>
      <c r="N76" s="18" t="str">
        <f>IF($B76&lt;&gt;"",VLOOKUP($B76,'Planning Sheet'!$B$8:$AL$500,25,0),"")</f>
        <v/>
      </c>
      <c r="O76" s="18" t="str">
        <f>IF($B76&lt;&gt;"",VLOOKUP($B76,'Planning Sheet'!$B$8:$AL$500,26,0),"")</f>
        <v/>
      </c>
      <c r="P76" s="19" t="str">
        <f>IF($B76&lt;&gt;"",VLOOKUP($B76,'Planning Sheet'!$B$8:$AL$500,27,0),"")</f>
        <v/>
      </c>
      <c r="Q76" s="19" t="str">
        <f>IF($B76&lt;&gt;"",VLOOKUP($B76,'Planning Sheet'!$B$8:$AL$500,34,0),"")</f>
        <v/>
      </c>
      <c r="R76" s="19" t="str">
        <f>IF($B76&lt;&gt;"",VLOOKUP($B76,'Planning Sheet'!$B$8:$AL$500,36,0),"")</f>
        <v/>
      </c>
      <c r="S76" s="19" t="str">
        <f>IF($B76&lt;&gt;"",VLOOKUP($B76,'Planning Sheet'!$B$8:$AM$500,38,0),"")</f>
        <v/>
      </c>
      <c r="T76" s="18" t="str">
        <f t="shared" ref="T76:T139" si="3">IF(B76&lt;&gt;"",VLOOKUP(B76,$Y$3:$Z$6425,2,0),"")</f>
        <v/>
      </c>
      <c r="U76" s="100" t="str">
        <f t="shared" si="2"/>
        <v/>
      </c>
      <c r="Y76" s="48" t="str">
        <f ca="1">IF(AND('Planning Sheet'!$AT81='Weeks Plan'!$D$6,'Planning Sheet'!$AN81='Weeks Plan'!$G$6),'Planning Sheet'!$B81,"")</f>
        <v/>
      </c>
      <c r="Z76" s="48" t="str">
        <f ca="1">IF(AND('Planning Sheet'!$AT81='Weeks Plan'!$D$6,'Planning Sheet'!$AN81='Weeks Plan'!$G$6),'Planning Sheet'!$AO81,"")</f>
        <v/>
      </c>
      <c r="AA76" s="48" t="str">
        <f ca="1">IF(AND('Planning Sheet'!$AT81='Weeks Plan'!$D$6,'Planning Sheet'!$AN81='Weeks Plan'!$G$6),'Planning Sheet'!AP81,"")</f>
        <v/>
      </c>
    </row>
    <row r="77" spans="2:27" x14ac:dyDescent="0.3">
      <c r="B77" s="11"/>
      <c r="C77" s="75" t="str">
        <f>IF($B77&lt;&gt;"",VLOOKUP($B77,'Planning Sheet'!$B$8:$AL$500,3,0),"")</f>
        <v/>
      </c>
      <c r="D77" s="18" t="str">
        <f>IF($B77&lt;&gt;"",VLOOKUP($B77,'Planning Sheet'!$B$8:$AL$500,5,0),"")</f>
        <v/>
      </c>
      <c r="E77" s="18" t="str">
        <f>IF($B77&lt;&gt;"",VLOOKUP($B77,'Planning Sheet'!$B$8:$AL$500,7,0),"")</f>
        <v/>
      </c>
      <c r="F77" s="18" t="str">
        <f>IF($B77&lt;&gt;"",VLOOKUP($B77,'Planning Sheet'!$B$8:$AL$500,9,0),"")</f>
        <v/>
      </c>
      <c r="G77" s="18" t="str">
        <f>IF($B77&lt;&gt;"",VLOOKUP($B77,'Planning Sheet'!$B$8:$AL$500,11,0),"")</f>
        <v/>
      </c>
      <c r="H77" s="18" t="str">
        <f>IF($B77&lt;&gt;"",VLOOKUP($B77,'Planning Sheet'!$B$8:$AL$500,13,0),"")</f>
        <v/>
      </c>
      <c r="I77" s="18" t="str">
        <f>IF($B77&lt;&gt;"",VLOOKUP($B77,'Planning Sheet'!$B$8:$AL$500,15,0),"")</f>
        <v/>
      </c>
      <c r="J77" s="18" t="str">
        <f>IF($B77&lt;&gt;"",VLOOKUP($B77,'Planning Sheet'!$B$8:$AL$500,17,0),"")</f>
        <v/>
      </c>
      <c r="K77" s="18" t="str">
        <f>IF($B77&lt;&gt;"",VLOOKUP($B77,'Planning Sheet'!$B$8:$AL$500,19,0),"")</f>
        <v/>
      </c>
      <c r="L77" s="18" t="str">
        <f>IF($B77&lt;&gt;"",VLOOKUP($B77,'Planning Sheet'!$B$8:$AL$500,21,0),"")</f>
        <v/>
      </c>
      <c r="M77" s="18" t="str">
        <f>IF($B77&lt;&gt;"",VLOOKUP($B77,'Planning Sheet'!$B$8:$AL$500,23,0),"")</f>
        <v/>
      </c>
      <c r="N77" s="18" t="str">
        <f>IF($B77&lt;&gt;"",VLOOKUP($B77,'Planning Sheet'!$B$8:$AL$500,25,0),"")</f>
        <v/>
      </c>
      <c r="O77" s="18" t="str">
        <f>IF($B77&lt;&gt;"",VLOOKUP($B77,'Planning Sheet'!$B$8:$AL$500,26,0),"")</f>
        <v/>
      </c>
      <c r="P77" s="19" t="str">
        <f>IF($B77&lt;&gt;"",VLOOKUP($B77,'Planning Sheet'!$B$8:$AL$500,27,0),"")</f>
        <v/>
      </c>
      <c r="Q77" s="19" t="str">
        <f>IF($B77&lt;&gt;"",VLOOKUP($B77,'Planning Sheet'!$B$8:$AL$500,34,0),"")</f>
        <v/>
      </c>
      <c r="R77" s="19" t="str">
        <f>IF($B77&lt;&gt;"",VLOOKUP($B77,'Planning Sheet'!$B$8:$AL$500,36,0),"")</f>
        <v/>
      </c>
      <c r="S77" s="19" t="str">
        <f>IF($B77&lt;&gt;"",VLOOKUP($B77,'Planning Sheet'!$B$8:$AM$500,38,0),"")</f>
        <v/>
      </c>
      <c r="T77" s="18" t="str">
        <f t="shared" si="3"/>
        <v/>
      </c>
      <c r="U77" s="100" t="str">
        <f t="shared" si="2"/>
        <v/>
      </c>
      <c r="Y77" s="48" t="str">
        <f ca="1">IF(AND('Planning Sheet'!$AT82='Weeks Plan'!$D$6,'Planning Sheet'!$AN82='Weeks Plan'!$G$6),'Planning Sheet'!$B82,"")</f>
        <v/>
      </c>
      <c r="Z77" s="48" t="str">
        <f ca="1">IF(AND('Planning Sheet'!$AT82='Weeks Plan'!$D$6,'Planning Sheet'!$AN82='Weeks Plan'!$G$6),'Planning Sheet'!$AO82,"")</f>
        <v/>
      </c>
      <c r="AA77" s="48" t="str">
        <f ca="1">IF(AND('Planning Sheet'!$AT82='Weeks Plan'!$D$6,'Planning Sheet'!$AN82='Weeks Plan'!$G$6),'Planning Sheet'!AP82,"")</f>
        <v/>
      </c>
    </row>
    <row r="78" spans="2:27" x14ac:dyDescent="0.3">
      <c r="B78" s="11"/>
      <c r="C78" s="75" t="str">
        <f>IF($B78&lt;&gt;"",VLOOKUP($B78,'Planning Sheet'!$B$8:$AL$500,3,0),"")</f>
        <v/>
      </c>
      <c r="D78" s="18" t="str">
        <f>IF($B78&lt;&gt;"",VLOOKUP($B78,'Planning Sheet'!$B$8:$AL$500,5,0),"")</f>
        <v/>
      </c>
      <c r="E78" s="18" t="str">
        <f>IF($B78&lt;&gt;"",VLOOKUP($B78,'Planning Sheet'!$B$8:$AL$500,7,0),"")</f>
        <v/>
      </c>
      <c r="F78" s="18" t="str">
        <f>IF($B78&lt;&gt;"",VLOOKUP($B78,'Planning Sheet'!$B$8:$AL$500,9,0),"")</f>
        <v/>
      </c>
      <c r="G78" s="18" t="str">
        <f>IF($B78&lt;&gt;"",VLOOKUP($B78,'Planning Sheet'!$B$8:$AL$500,11,0),"")</f>
        <v/>
      </c>
      <c r="H78" s="18" t="str">
        <f>IF($B78&lt;&gt;"",VLOOKUP($B78,'Planning Sheet'!$B$8:$AL$500,13,0),"")</f>
        <v/>
      </c>
      <c r="I78" s="18" t="str">
        <f>IF($B78&lt;&gt;"",VLOOKUP($B78,'Planning Sheet'!$B$8:$AL$500,15,0),"")</f>
        <v/>
      </c>
      <c r="J78" s="18" t="str">
        <f>IF($B78&lt;&gt;"",VLOOKUP($B78,'Planning Sheet'!$B$8:$AL$500,17,0),"")</f>
        <v/>
      </c>
      <c r="K78" s="18" t="str">
        <f>IF($B78&lt;&gt;"",VLOOKUP($B78,'Planning Sheet'!$B$8:$AL$500,19,0),"")</f>
        <v/>
      </c>
      <c r="L78" s="18" t="str">
        <f>IF($B78&lt;&gt;"",VLOOKUP($B78,'Planning Sheet'!$B$8:$AL$500,21,0),"")</f>
        <v/>
      </c>
      <c r="M78" s="18" t="str">
        <f>IF($B78&lt;&gt;"",VLOOKUP($B78,'Planning Sheet'!$B$8:$AL$500,23,0),"")</f>
        <v/>
      </c>
      <c r="N78" s="18" t="str">
        <f>IF($B78&lt;&gt;"",VLOOKUP($B78,'Planning Sheet'!$B$8:$AL$500,25,0),"")</f>
        <v/>
      </c>
      <c r="O78" s="18" t="str">
        <f>IF($B78&lt;&gt;"",VLOOKUP($B78,'Planning Sheet'!$B$8:$AL$500,26,0),"")</f>
        <v/>
      </c>
      <c r="P78" s="19" t="str">
        <f>IF($B78&lt;&gt;"",VLOOKUP($B78,'Planning Sheet'!$B$8:$AL$500,27,0),"")</f>
        <v/>
      </c>
      <c r="Q78" s="19" t="str">
        <f>IF($B78&lt;&gt;"",VLOOKUP($B78,'Planning Sheet'!$B$8:$AL$500,34,0),"")</f>
        <v/>
      </c>
      <c r="R78" s="19" t="str">
        <f>IF($B78&lt;&gt;"",VLOOKUP($B78,'Planning Sheet'!$B$8:$AL$500,36,0),"")</f>
        <v/>
      </c>
      <c r="S78" s="19" t="str">
        <f>IF($B78&lt;&gt;"",VLOOKUP($B78,'Planning Sheet'!$B$8:$AM$500,38,0),"")</f>
        <v/>
      </c>
      <c r="T78" s="18" t="str">
        <f t="shared" si="3"/>
        <v/>
      </c>
      <c r="U78" s="100" t="str">
        <f t="shared" si="2"/>
        <v/>
      </c>
      <c r="Y78" s="48" t="str">
        <f ca="1">IF(AND('Planning Sheet'!$AT83='Weeks Plan'!$D$6,'Planning Sheet'!$AN83='Weeks Plan'!$G$6),'Planning Sheet'!$B83,"")</f>
        <v/>
      </c>
      <c r="Z78" s="48" t="str">
        <f ca="1">IF(AND('Planning Sheet'!$AT83='Weeks Plan'!$D$6,'Planning Sheet'!$AN83='Weeks Plan'!$G$6),'Planning Sheet'!$AO83,"")</f>
        <v/>
      </c>
      <c r="AA78" s="48" t="str">
        <f ca="1">IF(AND('Planning Sheet'!$AT83='Weeks Plan'!$D$6,'Planning Sheet'!$AN83='Weeks Plan'!$G$6),'Planning Sheet'!AP83,"")</f>
        <v/>
      </c>
    </row>
    <row r="79" spans="2:27" x14ac:dyDescent="0.3">
      <c r="B79" s="11"/>
      <c r="C79" s="75" t="str">
        <f>IF($B79&lt;&gt;"",VLOOKUP($B79,'Planning Sheet'!$B$8:$AL$500,3,0),"")</f>
        <v/>
      </c>
      <c r="D79" s="18" t="str">
        <f>IF($B79&lt;&gt;"",VLOOKUP($B79,'Planning Sheet'!$B$8:$AL$500,5,0),"")</f>
        <v/>
      </c>
      <c r="E79" s="18" t="str">
        <f>IF($B79&lt;&gt;"",VLOOKUP($B79,'Planning Sheet'!$B$8:$AL$500,7,0),"")</f>
        <v/>
      </c>
      <c r="F79" s="18" t="str">
        <f>IF($B79&lt;&gt;"",VLOOKUP($B79,'Planning Sheet'!$B$8:$AL$500,9,0),"")</f>
        <v/>
      </c>
      <c r="G79" s="18" t="str">
        <f>IF($B79&lt;&gt;"",VLOOKUP($B79,'Planning Sheet'!$B$8:$AL$500,11,0),"")</f>
        <v/>
      </c>
      <c r="H79" s="18" t="str">
        <f>IF($B79&lt;&gt;"",VLOOKUP($B79,'Planning Sheet'!$B$8:$AL$500,13,0),"")</f>
        <v/>
      </c>
      <c r="I79" s="18" t="str">
        <f>IF($B79&lt;&gt;"",VLOOKUP($B79,'Planning Sheet'!$B$8:$AL$500,15,0),"")</f>
        <v/>
      </c>
      <c r="J79" s="18" t="str">
        <f>IF($B79&lt;&gt;"",VLOOKUP($B79,'Planning Sheet'!$B$8:$AL$500,17,0),"")</f>
        <v/>
      </c>
      <c r="K79" s="18" t="str">
        <f>IF($B79&lt;&gt;"",VLOOKUP($B79,'Planning Sheet'!$B$8:$AL$500,19,0),"")</f>
        <v/>
      </c>
      <c r="L79" s="18" t="str">
        <f>IF($B79&lt;&gt;"",VLOOKUP($B79,'Planning Sheet'!$B$8:$AL$500,21,0),"")</f>
        <v/>
      </c>
      <c r="M79" s="18" t="str">
        <f>IF($B79&lt;&gt;"",VLOOKUP($B79,'Planning Sheet'!$B$8:$AL$500,23,0),"")</f>
        <v/>
      </c>
      <c r="N79" s="18" t="str">
        <f>IF($B79&lt;&gt;"",VLOOKUP($B79,'Planning Sheet'!$B$8:$AL$500,25,0),"")</f>
        <v/>
      </c>
      <c r="O79" s="18" t="str">
        <f>IF($B79&lt;&gt;"",VLOOKUP($B79,'Planning Sheet'!$B$8:$AL$500,26,0),"")</f>
        <v/>
      </c>
      <c r="P79" s="19" t="str">
        <f>IF($B79&lt;&gt;"",VLOOKUP($B79,'Planning Sheet'!$B$8:$AL$500,27,0),"")</f>
        <v/>
      </c>
      <c r="Q79" s="19" t="str">
        <f>IF($B79&lt;&gt;"",VLOOKUP($B79,'Planning Sheet'!$B$8:$AL$500,34,0),"")</f>
        <v/>
      </c>
      <c r="R79" s="19" t="str">
        <f>IF($B79&lt;&gt;"",VLOOKUP($B79,'Planning Sheet'!$B$8:$AL$500,36,0),"")</f>
        <v/>
      </c>
      <c r="S79" s="19" t="str">
        <f>IF($B79&lt;&gt;"",VLOOKUP($B79,'Planning Sheet'!$B$8:$AM$500,38,0),"")</f>
        <v/>
      </c>
      <c r="T79" s="18" t="str">
        <f t="shared" si="3"/>
        <v/>
      </c>
      <c r="U79" s="100" t="str">
        <f t="shared" si="2"/>
        <v/>
      </c>
      <c r="Y79" s="48" t="str">
        <f ca="1">IF(AND('Planning Sheet'!$AT84='Weeks Plan'!$D$6,'Planning Sheet'!$AN84='Weeks Plan'!$G$6),'Planning Sheet'!$B84,"")</f>
        <v/>
      </c>
      <c r="Z79" s="48" t="str">
        <f ca="1">IF(AND('Planning Sheet'!$AT84='Weeks Plan'!$D$6,'Planning Sheet'!$AN84='Weeks Plan'!$G$6),'Planning Sheet'!$AO84,"")</f>
        <v/>
      </c>
      <c r="AA79" s="48" t="str">
        <f ca="1">IF(AND('Planning Sheet'!$AT84='Weeks Plan'!$D$6,'Planning Sheet'!$AN84='Weeks Plan'!$G$6),'Planning Sheet'!AP84,"")</f>
        <v/>
      </c>
    </row>
    <row r="80" spans="2:27" x14ac:dyDescent="0.3">
      <c r="B80" s="11"/>
      <c r="C80" s="75" t="str">
        <f>IF($B80&lt;&gt;"",VLOOKUP($B80,'Planning Sheet'!$B$8:$AL$500,3,0),"")</f>
        <v/>
      </c>
      <c r="D80" s="18" t="str">
        <f>IF($B80&lt;&gt;"",VLOOKUP($B80,'Planning Sheet'!$B$8:$AL$500,5,0),"")</f>
        <v/>
      </c>
      <c r="E80" s="18" t="str">
        <f>IF($B80&lt;&gt;"",VLOOKUP($B80,'Planning Sheet'!$B$8:$AL$500,7,0),"")</f>
        <v/>
      </c>
      <c r="F80" s="18" t="str">
        <f>IF($B80&lt;&gt;"",VLOOKUP($B80,'Planning Sheet'!$B$8:$AL$500,9,0),"")</f>
        <v/>
      </c>
      <c r="G80" s="18" t="str">
        <f>IF($B80&lt;&gt;"",VLOOKUP($B80,'Planning Sheet'!$B$8:$AL$500,11,0),"")</f>
        <v/>
      </c>
      <c r="H80" s="18" t="str">
        <f>IF($B80&lt;&gt;"",VLOOKUP($B80,'Planning Sheet'!$B$8:$AL$500,13,0),"")</f>
        <v/>
      </c>
      <c r="I80" s="18" t="str">
        <f>IF($B80&lt;&gt;"",VLOOKUP($B80,'Planning Sheet'!$B$8:$AL$500,15,0),"")</f>
        <v/>
      </c>
      <c r="J80" s="18" t="str">
        <f>IF($B80&lt;&gt;"",VLOOKUP($B80,'Planning Sheet'!$B$8:$AL$500,17,0),"")</f>
        <v/>
      </c>
      <c r="K80" s="18" t="str">
        <f>IF($B80&lt;&gt;"",VLOOKUP($B80,'Planning Sheet'!$B$8:$AL$500,19,0),"")</f>
        <v/>
      </c>
      <c r="L80" s="18" t="str">
        <f>IF($B80&lt;&gt;"",VLOOKUP($B80,'Planning Sheet'!$B$8:$AL$500,21,0),"")</f>
        <v/>
      </c>
      <c r="M80" s="18" t="str">
        <f>IF($B80&lt;&gt;"",VLOOKUP($B80,'Planning Sheet'!$B$8:$AL$500,23,0),"")</f>
        <v/>
      </c>
      <c r="N80" s="18" t="str">
        <f>IF($B80&lt;&gt;"",VLOOKUP($B80,'Planning Sheet'!$B$8:$AL$500,25,0),"")</f>
        <v/>
      </c>
      <c r="O80" s="18" t="str">
        <f>IF($B80&lt;&gt;"",VLOOKUP($B80,'Planning Sheet'!$B$8:$AL$500,26,0),"")</f>
        <v/>
      </c>
      <c r="P80" s="19" t="str">
        <f>IF($B80&lt;&gt;"",VLOOKUP($B80,'Planning Sheet'!$B$8:$AL$500,27,0),"")</f>
        <v/>
      </c>
      <c r="Q80" s="19" t="str">
        <f>IF($B80&lt;&gt;"",VLOOKUP($B80,'Planning Sheet'!$B$8:$AL$500,34,0),"")</f>
        <v/>
      </c>
      <c r="R80" s="19" t="str">
        <f>IF($B80&lt;&gt;"",VLOOKUP($B80,'Planning Sheet'!$B$8:$AL$500,36,0),"")</f>
        <v/>
      </c>
      <c r="S80" s="19" t="str">
        <f>IF($B80&lt;&gt;"",VLOOKUP($B80,'Planning Sheet'!$B$8:$AM$500,38,0),"")</f>
        <v/>
      </c>
      <c r="T80" s="18" t="str">
        <f t="shared" si="3"/>
        <v/>
      </c>
      <c r="U80" s="100" t="str">
        <f t="shared" si="2"/>
        <v/>
      </c>
      <c r="Y80" s="48" t="str">
        <f ca="1">IF(AND('Planning Sheet'!$AT85='Weeks Plan'!$D$6,'Planning Sheet'!$AN85='Weeks Plan'!$G$6),'Planning Sheet'!$B85,"")</f>
        <v/>
      </c>
      <c r="Z80" s="48" t="str">
        <f ca="1">IF(AND('Planning Sheet'!$AT85='Weeks Plan'!$D$6,'Planning Sheet'!$AN85='Weeks Plan'!$G$6),'Planning Sheet'!$AO85,"")</f>
        <v/>
      </c>
      <c r="AA80" s="48" t="str">
        <f ca="1">IF(AND('Planning Sheet'!$AT85='Weeks Plan'!$D$6,'Planning Sheet'!$AN85='Weeks Plan'!$G$6),'Planning Sheet'!AP85,"")</f>
        <v/>
      </c>
    </row>
    <row r="81" spans="2:27" x14ac:dyDescent="0.3">
      <c r="B81" s="11"/>
      <c r="C81" s="75" t="str">
        <f>IF($B81&lt;&gt;"",VLOOKUP($B81,'Planning Sheet'!$B$8:$AL$500,3,0),"")</f>
        <v/>
      </c>
      <c r="D81" s="18" t="str">
        <f>IF($B81&lt;&gt;"",VLOOKUP($B81,'Planning Sheet'!$B$8:$AL$500,5,0),"")</f>
        <v/>
      </c>
      <c r="E81" s="18" t="str">
        <f>IF($B81&lt;&gt;"",VLOOKUP($B81,'Planning Sheet'!$B$8:$AL$500,7,0),"")</f>
        <v/>
      </c>
      <c r="F81" s="18" t="str">
        <f>IF($B81&lt;&gt;"",VLOOKUP($B81,'Planning Sheet'!$B$8:$AL$500,9,0),"")</f>
        <v/>
      </c>
      <c r="G81" s="18" t="str">
        <f>IF($B81&lt;&gt;"",VLOOKUP($B81,'Planning Sheet'!$B$8:$AL$500,11,0),"")</f>
        <v/>
      </c>
      <c r="H81" s="18" t="str">
        <f>IF($B81&lt;&gt;"",VLOOKUP($B81,'Planning Sheet'!$B$8:$AL$500,13,0),"")</f>
        <v/>
      </c>
      <c r="I81" s="18" t="str">
        <f>IF($B81&lt;&gt;"",VLOOKUP($B81,'Planning Sheet'!$B$8:$AL$500,15,0),"")</f>
        <v/>
      </c>
      <c r="J81" s="18" t="str">
        <f>IF($B81&lt;&gt;"",VLOOKUP($B81,'Planning Sheet'!$B$8:$AL$500,17,0),"")</f>
        <v/>
      </c>
      <c r="K81" s="18" t="str">
        <f>IF($B81&lt;&gt;"",VLOOKUP($B81,'Planning Sheet'!$B$8:$AL$500,19,0),"")</f>
        <v/>
      </c>
      <c r="L81" s="18" t="str">
        <f>IF($B81&lt;&gt;"",VLOOKUP($B81,'Planning Sheet'!$B$8:$AL$500,21,0),"")</f>
        <v/>
      </c>
      <c r="M81" s="18" t="str">
        <f>IF($B81&lt;&gt;"",VLOOKUP($B81,'Planning Sheet'!$B$8:$AL$500,23,0),"")</f>
        <v/>
      </c>
      <c r="N81" s="18" t="str">
        <f>IF($B81&lt;&gt;"",VLOOKUP($B81,'Planning Sheet'!$B$8:$AL$500,25,0),"")</f>
        <v/>
      </c>
      <c r="O81" s="18" t="str">
        <f>IF($B81&lt;&gt;"",VLOOKUP($B81,'Planning Sheet'!$B$8:$AL$500,26,0),"")</f>
        <v/>
      </c>
      <c r="P81" s="19" t="str">
        <f>IF($B81&lt;&gt;"",VLOOKUP($B81,'Planning Sheet'!$B$8:$AL$500,27,0),"")</f>
        <v/>
      </c>
      <c r="Q81" s="19" t="str">
        <f>IF($B81&lt;&gt;"",VLOOKUP($B81,'Planning Sheet'!$B$8:$AL$500,34,0),"")</f>
        <v/>
      </c>
      <c r="R81" s="19" t="str">
        <f>IF($B81&lt;&gt;"",VLOOKUP($B81,'Planning Sheet'!$B$8:$AL$500,36,0),"")</f>
        <v/>
      </c>
      <c r="S81" s="19" t="str">
        <f>IF($B81&lt;&gt;"",VLOOKUP($B81,'Planning Sheet'!$B$8:$AM$500,38,0),"")</f>
        <v/>
      </c>
      <c r="T81" s="18" t="str">
        <f t="shared" si="3"/>
        <v/>
      </c>
      <c r="U81" s="100" t="str">
        <f t="shared" si="2"/>
        <v/>
      </c>
      <c r="Y81" s="48" t="str">
        <f ca="1">IF(AND('Planning Sheet'!$AT86='Weeks Plan'!$D$6,'Planning Sheet'!$AN86='Weeks Plan'!$G$6),'Planning Sheet'!$B86,"")</f>
        <v/>
      </c>
      <c r="Z81" s="48" t="str">
        <f ca="1">IF(AND('Planning Sheet'!$AT86='Weeks Plan'!$D$6,'Planning Sheet'!$AN86='Weeks Plan'!$G$6),'Planning Sheet'!$AO86,"")</f>
        <v/>
      </c>
      <c r="AA81" s="48" t="str">
        <f ca="1">IF(AND('Planning Sheet'!$AT86='Weeks Plan'!$D$6,'Planning Sheet'!$AN86='Weeks Plan'!$G$6),'Planning Sheet'!AP86,"")</f>
        <v/>
      </c>
    </row>
    <row r="82" spans="2:27" x14ac:dyDescent="0.3">
      <c r="B82" s="11"/>
      <c r="C82" s="75" t="str">
        <f>IF($B82&lt;&gt;"",VLOOKUP($B82,'Planning Sheet'!$B$8:$AL$500,3,0),"")</f>
        <v/>
      </c>
      <c r="D82" s="18" t="str">
        <f>IF($B82&lt;&gt;"",VLOOKUP($B82,'Planning Sheet'!$B$8:$AL$500,5,0),"")</f>
        <v/>
      </c>
      <c r="E82" s="18" t="str">
        <f>IF($B82&lt;&gt;"",VLOOKUP($B82,'Planning Sheet'!$B$8:$AL$500,7,0),"")</f>
        <v/>
      </c>
      <c r="F82" s="18" t="str">
        <f>IF($B82&lt;&gt;"",VLOOKUP($B82,'Planning Sheet'!$B$8:$AL$500,9,0),"")</f>
        <v/>
      </c>
      <c r="G82" s="18" t="str">
        <f>IF($B82&lt;&gt;"",VLOOKUP($B82,'Planning Sheet'!$B$8:$AL$500,11,0),"")</f>
        <v/>
      </c>
      <c r="H82" s="18" t="str">
        <f>IF($B82&lt;&gt;"",VLOOKUP($B82,'Planning Sheet'!$B$8:$AL$500,13,0),"")</f>
        <v/>
      </c>
      <c r="I82" s="18" t="str">
        <f>IF($B82&lt;&gt;"",VLOOKUP($B82,'Planning Sheet'!$B$8:$AL$500,15,0),"")</f>
        <v/>
      </c>
      <c r="J82" s="18" t="str">
        <f>IF($B82&lt;&gt;"",VLOOKUP($B82,'Planning Sheet'!$B$8:$AL$500,17,0),"")</f>
        <v/>
      </c>
      <c r="K82" s="18" t="str">
        <f>IF($B82&lt;&gt;"",VLOOKUP($B82,'Planning Sheet'!$B$8:$AL$500,19,0),"")</f>
        <v/>
      </c>
      <c r="L82" s="18" t="str">
        <f>IF($B82&lt;&gt;"",VLOOKUP($B82,'Planning Sheet'!$B$8:$AL$500,21,0),"")</f>
        <v/>
      </c>
      <c r="M82" s="18" t="str">
        <f>IF($B82&lt;&gt;"",VLOOKUP($B82,'Planning Sheet'!$B$8:$AL$500,23,0),"")</f>
        <v/>
      </c>
      <c r="N82" s="18" t="str">
        <f>IF($B82&lt;&gt;"",VLOOKUP($B82,'Planning Sheet'!$B$8:$AL$500,25,0),"")</f>
        <v/>
      </c>
      <c r="O82" s="18" t="str">
        <f>IF($B82&lt;&gt;"",VLOOKUP($B82,'Planning Sheet'!$B$8:$AL$500,26,0),"")</f>
        <v/>
      </c>
      <c r="P82" s="19" t="str">
        <f>IF($B82&lt;&gt;"",VLOOKUP($B82,'Planning Sheet'!$B$8:$AL$500,27,0),"")</f>
        <v/>
      </c>
      <c r="Q82" s="19" t="str">
        <f>IF($B82&lt;&gt;"",VLOOKUP($B82,'Planning Sheet'!$B$8:$AL$500,34,0),"")</f>
        <v/>
      </c>
      <c r="R82" s="19" t="str">
        <f>IF($B82&lt;&gt;"",VLOOKUP($B82,'Planning Sheet'!$B$8:$AL$500,36,0),"")</f>
        <v/>
      </c>
      <c r="S82" s="19" t="str">
        <f>IF($B82&lt;&gt;"",VLOOKUP($B82,'Planning Sheet'!$B$8:$AM$500,38,0),"")</f>
        <v/>
      </c>
      <c r="T82" s="18" t="str">
        <f t="shared" si="3"/>
        <v/>
      </c>
      <c r="U82" s="100" t="str">
        <f t="shared" si="2"/>
        <v/>
      </c>
      <c r="Y82" s="48" t="str">
        <f ca="1">IF(AND('Planning Sheet'!$AT87='Weeks Plan'!$D$6,'Planning Sheet'!$AN87='Weeks Plan'!$G$6),'Planning Sheet'!$B87,"")</f>
        <v/>
      </c>
      <c r="Z82" s="48" t="str">
        <f ca="1">IF(AND('Planning Sheet'!$AT87='Weeks Plan'!$D$6,'Planning Sheet'!$AN87='Weeks Plan'!$G$6),'Planning Sheet'!$AO87,"")</f>
        <v/>
      </c>
      <c r="AA82" s="48" t="str">
        <f ca="1">IF(AND('Planning Sheet'!$AT87='Weeks Plan'!$D$6,'Planning Sheet'!$AN87='Weeks Plan'!$G$6),'Planning Sheet'!AP87,"")</f>
        <v/>
      </c>
    </row>
    <row r="83" spans="2:27" x14ac:dyDescent="0.3">
      <c r="B83" s="11"/>
      <c r="C83" s="75" t="str">
        <f>IF($B83&lt;&gt;"",VLOOKUP($B83,'Planning Sheet'!$B$8:$AL$500,3,0),"")</f>
        <v/>
      </c>
      <c r="D83" s="18" t="str">
        <f>IF($B83&lt;&gt;"",VLOOKUP($B83,'Planning Sheet'!$B$8:$AL$500,5,0),"")</f>
        <v/>
      </c>
      <c r="E83" s="18" t="str">
        <f>IF($B83&lt;&gt;"",VLOOKUP($B83,'Planning Sheet'!$B$8:$AL$500,7,0),"")</f>
        <v/>
      </c>
      <c r="F83" s="18" t="str">
        <f>IF($B83&lt;&gt;"",VLOOKUP($B83,'Planning Sheet'!$B$8:$AL$500,9,0),"")</f>
        <v/>
      </c>
      <c r="G83" s="18" t="str">
        <f>IF($B83&lt;&gt;"",VLOOKUP($B83,'Planning Sheet'!$B$8:$AL$500,11,0),"")</f>
        <v/>
      </c>
      <c r="H83" s="18" t="str">
        <f>IF($B83&lt;&gt;"",VLOOKUP($B83,'Planning Sheet'!$B$8:$AL$500,13,0),"")</f>
        <v/>
      </c>
      <c r="I83" s="18" t="str">
        <f>IF($B83&lt;&gt;"",VLOOKUP($B83,'Planning Sheet'!$B$8:$AL$500,15,0),"")</f>
        <v/>
      </c>
      <c r="J83" s="18" t="str">
        <f>IF($B83&lt;&gt;"",VLOOKUP($B83,'Planning Sheet'!$B$8:$AL$500,17,0),"")</f>
        <v/>
      </c>
      <c r="K83" s="18" t="str">
        <f>IF($B83&lt;&gt;"",VLOOKUP($B83,'Planning Sheet'!$B$8:$AL$500,19,0),"")</f>
        <v/>
      </c>
      <c r="L83" s="18" t="str">
        <f>IF($B83&lt;&gt;"",VLOOKUP($B83,'Planning Sheet'!$B$8:$AL$500,21,0),"")</f>
        <v/>
      </c>
      <c r="M83" s="18" t="str">
        <f>IF($B83&lt;&gt;"",VLOOKUP($B83,'Planning Sheet'!$B$8:$AL$500,23,0),"")</f>
        <v/>
      </c>
      <c r="N83" s="18" t="str">
        <f>IF($B83&lt;&gt;"",VLOOKUP($B83,'Planning Sheet'!$B$8:$AL$500,25,0),"")</f>
        <v/>
      </c>
      <c r="O83" s="18" t="str">
        <f>IF($B83&lt;&gt;"",VLOOKUP($B83,'Planning Sheet'!$B$8:$AL$500,26,0),"")</f>
        <v/>
      </c>
      <c r="P83" s="19" t="str">
        <f>IF($B83&lt;&gt;"",VLOOKUP($B83,'Planning Sheet'!$B$8:$AL$500,27,0),"")</f>
        <v/>
      </c>
      <c r="Q83" s="19" t="str">
        <f>IF($B83&lt;&gt;"",VLOOKUP($B83,'Planning Sheet'!$B$8:$AL$500,34,0),"")</f>
        <v/>
      </c>
      <c r="R83" s="19" t="str">
        <f>IF($B83&lt;&gt;"",VLOOKUP($B83,'Planning Sheet'!$B$8:$AL$500,36,0),"")</f>
        <v/>
      </c>
      <c r="S83" s="19" t="str">
        <f>IF($B83&lt;&gt;"",VLOOKUP($B83,'Planning Sheet'!$B$8:$AM$500,38,0),"")</f>
        <v/>
      </c>
      <c r="T83" s="18" t="str">
        <f t="shared" si="3"/>
        <v/>
      </c>
      <c r="U83" s="100" t="str">
        <f t="shared" si="2"/>
        <v/>
      </c>
      <c r="Y83" s="48" t="str">
        <f ca="1">IF(AND('Planning Sheet'!$AT88='Weeks Plan'!$D$6,'Planning Sheet'!$AN88='Weeks Plan'!$G$6),'Planning Sheet'!$B88,"")</f>
        <v/>
      </c>
      <c r="Z83" s="48" t="str">
        <f ca="1">IF(AND('Planning Sheet'!$AT88='Weeks Plan'!$D$6,'Planning Sheet'!$AN88='Weeks Plan'!$G$6),'Planning Sheet'!$AO88,"")</f>
        <v/>
      </c>
      <c r="AA83" s="48" t="str">
        <f ca="1">IF(AND('Planning Sheet'!$AT88='Weeks Plan'!$D$6,'Planning Sheet'!$AN88='Weeks Plan'!$G$6),'Planning Sheet'!AP88,"")</f>
        <v/>
      </c>
    </row>
    <row r="84" spans="2:27" x14ac:dyDescent="0.3">
      <c r="B84" s="11"/>
      <c r="C84" s="75" t="str">
        <f>IF($B84&lt;&gt;"",VLOOKUP($B84,'Planning Sheet'!$B$8:$AL$500,3,0),"")</f>
        <v/>
      </c>
      <c r="D84" s="18" t="str">
        <f>IF($B84&lt;&gt;"",VLOOKUP($B84,'Planning Sheet'!$B$8:$AL$500,5,0),"")</f>
        <v/>
      </c>
      <c r="E84" s="18" t="str">
        <f>IF($B84&lt;&gt;"",VLOOKUP($B84,'Planning Sheet'!$B$8:$AL$500,7,0),"")</f>
        <v/>
      </c>
      <c r="F84" s="18" t="str">
        <f>IF($B84&lt;&gt;"",VLOOKUP($B84,'Planning Sheet'!$B$8:$AL$500,9,0),"")</f>
        <v/>
      </c>
      <c r="G84" s="18" t="str">
        <f>IF($B84&lt;&gt;"",VLOOKUP($B84,'Planning Sheet'!$B$8:$AL$500,11,0),"")</f>
        <v/>
      </c>
      <c r="H84" s="18" t="str">
        <f>IF($B84&lt;&gt;"",VLOOKUP($B84,'Planning Sheet'!$B$8:$AL$500,13,0),"")</f>
        <v/>
      </c>
      <c r="I84" s="18" t="str">
        <f>IF($B84&lt;&gt;"",VLOOKUP($B84,'Planning Sheet'!$B$8:$AL$500,15,0),"")</f>
        <v/>
      </c>
      <c r="J84" s="18" t="str">
        <f>IF($B84&lt;&gt;"",VLOOKUP($B84,'Planning Sheet'!$B$8:$AL$500,17,0),"")</f>
        <v/>
      </c>
      <c r="K84" s="18" t="str">
        <f>IF($B84&lt;&gt;"",VLOOKUP($B84,'Planning Sheet'!$B$8:$AL$500,19,0),"")</f>
        <v/>
      </c>
      <c r="L84" s="18" t="str">
        <f>IF($B84&lt;&gt;"",VLOOKUP($B84,'Planning Sheet'!$B$8:$AL$500,21,0),"")</f>
        <v/>
      </c>
      <c r="M84" s="18" t="str">
        <f>IF($B84&lt;&gt;"",VLOOKUP($B84,'Planning Sheet'!$B$8:$AL$500,23,0),"")</f>
        <v/>
      </c>
      <c r="N84" s="18" t="str">
        <f>IF($B84&lt;&gt;"",VLOOKUP($B84,'Planning Sheet'!$B$8:$AL$500,25,0),"")</f>
        <v/>
      </c>
      <c r="O84" s="18" t="str">
        <f>IF($B84&lt;&gt;"",VLOOKUP($B84,'Planning Sheet'!$B$8:$AL$500,26,0),"")</f>
        <v/>
      </c>
      <c r="P84" s="19" t="str">
        <f>IF($B84&lt;&gt;"",VLOOKUP($B84,'Planning Sheet'!$B$8:$AL$500,27,0),"")</f>
        <v/>
      </c>
      <c r="Q84" s="19" t="str">
        <f>IF($B84&lt;&gt;"",VLOOKUP($B84,'Planning Sheet'!$B$8:$AL$500,34,0),"")</f>
        <v/>
      </c>
      <c r="R84" s="19" t="str">
        <f>IF($B84&lt;&gt;"",VLOOKUP($B84,'Planning Sheet'!$B$8:$AL$500,36,0),"")</f>
        <v/>
      </c>
      <c r="S84" s="19" t="str">
        <f>IF($B84&lt;&gt;"",VLOOKUP($B84,'Planning Sheet'!$B$8:$AM$500,38,0),"")</f>
        <v/>
      </c>
      <c r="T84" s="18" t="str">
        <f t="shared" si="3"/>
        <v/>
      </c>
      <c r="U84" s="100" t="str">
        <f t="shared" si="2"/>
        <v/>
      </c>
      <c r="Y84" s="48" t="str">
        <f ca="1">IF(AND('Planning Sheet'!$AT89='Weeks Plan'!$D$6,'Planning Sheet'!$AN89='Weeks Plan'!$G$6),'Planning Sheet'!$B89,"")</f>
        <v/>
      </c>
      <c r="Z84" s="48" t="str">
        <f ca="1">IF(AND('Planning Sheet'!$AT89='Weeks Plan'!$D$6,'Planning Sheet'!$AN89='Weeks Plan'!$G$6),'Planning Sheet'!$AO89,"")</f>
        <v/>
      </c>
      <c r="AA84" s="48" t="str">
        <f ca="1">IF(AND('Planning Sheet'!$AT89='Weeks Plan'!$D$6,'Planning Sheet'!$AN89='Weeks Plan'!$G$6),'Planning Sheet'!AP89,"")</f>
        <v/>
      </c>
    </row>
    <row r="85" spans="2:27" x14ac:dyDescent="0.3">
      <c r="B85" s="11"/>
      <c r="C85" s="75" t="str">
        <f>IF($B85&lt;&gt;"",VLOOKUP($B85,'Planning Sheet'!$B$8:$AL$500,3,0),"")</f>
        <v/>
      </c>
      <c r="D85" s="18" t="str">
        <f>IF($B85&lt;&gt;"",VLOOKUP($B85,'Planning Sheet'!$B$8:$AL$500,5,0),"")</f>
        <v/>
      </c>
      <c r="E85" s="18" t="str">
        <f>IF($B85&lt;&gt;"",VLOOKUP($B85,'Planning Sheet'!$B$8:$AL$500,7,0),"")</f>
        <v/>
      </c>
      <c r="F85" s="18" t="str">
        <f>IF($B85&lt;&gt;"",VLOOKUP($B85,'Planning Sheet'!$B$8:$AL$500,9,0),"")</f>
        <v/>
      </c>
      <c r="G85" s="18" t="str">
        <f>IF($B85&lt;&gt;"",VLOOKUP($B85,'Planning Sheet'!$B$8:$AL$500,11,0),"")</f>
        <v/>
      </c>
      <c r="H85" s="18" t="str">
        <f>IF($B85&lt;&gt;"",VLOOKUP($B85,'Planning Sheet'!$B$8:$AL$500,13,0),"")</f>
        <v/>
      </c>
      <c r="I85" s="18" t="str">
        <f>IF($B85&lt;&gt;"",VLOOKUP($B85,'Planning Sheet'!$B$8:$AL$500,15,0),"")</f>
        <v/>
      </c>
      <c r="J85" s="18" t="str">
        <f>IF($B85&lt;&gt;"",VLOOKUP($B85,'Planning Sheet'!$B$8:$AL$500,17,0),"")</f>
        <v/>
      </c>
      <c r="K85" s="18" t="str">
        <f>IF($B85&lt;&gt;"",VLOOKUP($B85,'Planning Sheet'!$B$8:$AL$500,19,0),"")</f>
        <v/>
      </c>
      <c r="L85" s="18" t="str">
        <f>IF($B85&lt;&gt;"",VLOOKUP($B85,'Planning Sheet'!$B$8:$AL$500,21,0),"")</f>
        <v/>
      </c>
      <c r="M85" s="18" t="str">
        <f>IF($B85&lt;&gt;"",VLOOKUP($B85,'Planning Sheet'!$B$8:$AL$500,23,0),"")</f>
        <v/>
      </c>
      <c r="N85" s="18" t="str">
        <f>IF($B85&lt;&gt;"",VLOOKUP($B85,'Planning Sheet'!$B$8:$AL$500,25,0),"")</f>
        <v/>
      </c>
      <c r="O85" s="18" t="str">
        <f>IF($B85&lt;&gt;"",VLOOKUP($B85,'Planning Sheet'!$B$8:$AL$500,26,0),"")</f>
        <v/>
      </c>
      <c r="P85" s="19" t="str">
        <f>IF($B85&lt;&gt;"",VLOOKUP($B85,'Planning Sheet'!$B$8:$AL$500,27,0),"")</f>
        <v/>
      </c>
      <c r="Q85" s="19" t="str">
        <f>IF($B85&lt;&gt;"",VLOOKUP($B85,'Planning Sheet'!$B$8:$AL$500,34,0),"")</f>
        <v/>
      </c>
      <c r="R85" s="19" t="str">
        <f>IF($B85&lt;&gt;"",VLOOKUP($B85,'Planning Sheet'!$B$8:$AL$500,36,0),"")</f>
        <v/>
      </c>
      <c r="S85" s="19" t="str">
        <f>IF($B85&lt;&gt;"",VLOOKUP($B85,'Planning Sheet'!$B$8:$AM$500,38,0),"")</f>
        <v/>
      </c>
      <c r="T85" s="18" t="str">
        <f t="shared" si="3"/>
        <v/>
      </c>
      <c r="U85" s="100" t="str">
        <f t="shared" si="2"/>
        <v/>
      </c>
      <c r="Y85" s="48" t="str">
        <f ca="1">IF(AND('Planning Sheet'!$AT90='Weeks Plan'!$D$6,'Planning Sheet'!$AN90='Weeks Plan'!$G$6),'Planning Sheet'!$B90,"")</f>
        <v/>
      </c>
      <c r="Z85" s="48" t="str">
        <f ca="1">IF(AND('Planning Sheet'!$AT90='Weeks Plan'!$D$6,'Planning Sheet'!$AN90='Weeks Plan'!$G$6),'Planning Sheet'!$AO90,"")</f>
        <v/>
      </c>
      <c r="AA85" s="48" t="str">
        <f ca="1">IF(AND('Planning Sheet'!$AT90='Weeks Plan'!$D$6,'Planning Sheet'!$AN90='Weeks Plan'!$G$6),'Planning Sheet'!AP90,"")</f>
        <v/>
      </c>
    </row>
    <row r="86" spans="2:27" x14ac:dyDescent="0.3">
      <c r="B86" s="11"/>
      <c r="C86" s="75" t="str">
        <f>IF($B86&lt;&gt;"",VLOOKUP($B86,'Planning Sheet'!$B$8:$AL$500,3,0),"")</f>
        <v/>
      </c>
      <c r="D86" s="18" t="str">
        <f>IF($B86&lt;&gt;"",VLOOKUP($B86,'Planning Sheet'!$B$8:$AL$500,5,0),"")</f>
        <v/>
      </c>
      <c r="E86" s="18" t="str">
        <f>IF($B86&lt;&gt;"",VLOOKUP($B86,'Planning Sheet'!$B$8:$AL$500,7,0),"")</f>
        <v/>
      </c>
      <c r="F86" s="18" t="str">
        <f>IF($B86&lt;&gt;"",VLOOKUP($B86,'Planning Sheet'!$B$8:$AL$500,9,0),"")</f>
        <v/>
      </c>
      <c r="G86" s="18" t="str">
        <f>IF($B86&lt;&gt;"",VLOOKUP($B86,'Planning Sheet'!$B$8:$AL$500,11,0),"")</f>
        <v/>
      </c>
      <c r="H86" s="18" t="str">
        <f>IF($B86&lt;&gt;"",VLOOKUP($B86,'Planning Sheet'!$B$8:$AL$500,13,0),"")</f>
        <v/>
      </c>
      <c r="I86" s="18" t="str">
        <f>IF($B86&lt;&gt;"",VLOOKUP($B86,'Planning Sheet'!$B$8:$AL$500,15,0),"")</f>
        <v/>
      </c>
      <c r="J86" s="18" t="str">
        <f>IF($B86&lt;&gt;"",VLOOKUP($B86,'Planning Sheet'!$B$8:$AL$500,17,0),"")</f>
        <v/>
      </c>
      <c r="K86" s="18" t="str">
        <f>IF($B86&lt;&gt;"",VLOOKUP($B86,'Planning Sheet'!$B$8:$AL$500,19,0),"")</f>
        <v/>
      </c>
      <c r="L86" s="18" t="str">
        <f>IF($B86&lt;&gt;"",VLOOKUP($B86,'Planning Sheet'!$B$8:$AL$500,21,0),"")</f>
        <v/>
      </c>
      <c r="M86" s="18" t="str">
        <f>IF($B86&lt;&gt;"",VLOOKUP($B86,'Planning Sheet'!$B$8:$AL$500,23,0),"")</f>
        <v/>
      </c>
      <c r="N86" s="18" t="str">
        <f>IF($B86&lt;&gt;"",VLOOKUP($B86,'Planning Sheet'!$B$8:$AL$500,25,0),"")</f>
        <v/>
      </c>
      <c r="O86" s="18" t="str">
        <f>IF($B86&lt;&gt;"",VLOOKUP($B86,'Planning Sheet'!$B$8:$AL$500,26,0),"")</f>
        <v/>
      </c>
      <c r="P86" s="19" t="str">
        <f>IF($B86&lt;&gt;"",VLOOKUP($B86,'Planning Sheet'!$B$8:$AL$500,27,0),"")</f>
        <v/>
      </c>
      <c r="Q86" s="19" t="str">
        <f>IF($B86&lt;&gt;"",VLOOKUP($B86,'Planning Sheet'!$B$8:$AL$500,34,0),"")</f>
        <v/>
      </c>
      <c r="R86" s="19" t="str">
        <f>IF($B86&lt;&gt;"",VLOOKUP($B86,'Planning Sheet'!$B$8:$AL$500,36,0),"")</f>
        <v/>
      </c>
      <c r="S86" s="19" t="str">
        <f>IF($B86&lt;&gt;"",VLOOKUP($B86,'Planning Sheet'!$B$8:$AM$500,38,0),"")</f>
        <v/>
      </c>
      <c r="T86" s="18" t="str">
        <f t="shared" si="3"/>
        <v/>
      </c>
      <c r="U86" s="100" t="str">
        <f t="shared" si="2"/>
        <v/>
      </c>
      <c r="Y86" s="48" t="str">
        <f ca="1">IF(AND('Planning Sheet'!$AT91='Weeks Plan'!$D$6,'Planning Sheet'!$AN91='Weeks Plan'!$G$6),'Planning Sheet'!$B91,"")</f>
        <v/>
      </c>
      <c r="Z86" s="48" t="str">
        <f ca="1">IF(AND('Planning Sheet'!$AT91='Weeks Plan'!$D$6,'Planning Sheet'!$AN91='Weeks Plan'!$G$6),'Planning Sheet'!$AO91,"")</f>
        <v/>
      </c>
      <c r="AA86" s="48" t="str">
        <f ca="1">IF(AND('Planning Sheet'!$AT91='Weeks Plan'!$D$6,'Planning Sheet'!$AN91='Weeks Plan'!$G$6),'Planning Sheet'!AP91,"")</f>
        <v/>
      </c>
    </row>
    <row r="87" spans="2:27" x14ac:dyDescent="0.3">
      <c r="B87" s="11"/>
      <c r="C87" s="75" t="str">
        <f>IF($B87&lt;&gt;"",VLOOKUP($B87,'Planning Sheet'!$B$8:$AL$500,3,0),"")</f>
        <v/>
      </c>
      <c r="D87" s="18" t="str">
        <f>IF($B87&lt;&gt;"",VLOOKUP($B87,'Planning Sheet'!$B$8:$AL$500,5,0),"")</f>
        <v/>
      </c>
      <c r="E87" s="18" t="str">
        <f>IF($B87&lt;&gt;"",VLOOKUP($B87,'Planning Sheet'!$B$8:$AL$500,7,0),"")</f>
        <v/>
      </c>
      <c r="F87" s="18" t="str">
        <f>IF($B87&lt;&gt;"",VLOOKUP($B87,'Planning Sheet'!$B$8:$AL$500,9,0),"")</f>
        <v/>
      </c>
      <c r="G87" s="18" t="str">
        <f>IF($B87&lt;&gt;"",VLOOKUP($B87,'Planning Sheet'!$B$8:$AL$500,11,0),"")</f>
        <v/>
      </c>
      <c r="H87" s="18" t="str">
        <f>IF($B87&lt;&gt;"",VLOOKUP($B87,'Planning Sheet'!$B$8:$AL$500,13,0),"")</f>
        <v/>
      </c>
      <c r="I87" s="18" t="str">
        <f>IF($B87&lt;&gt;"",VLOOKUP($B87,'Planning Sheet'!$B$8:$AL$500,15,0),"")</f>
        <v/>
      </c>
      <c r="J87" s="18" t="str">
        <f>IF($B87&lt;&gt;"",VLOOKUP($B87,'Planning Sheet'!$B$8:$AL$500,17,0),"")</f>
        <v/>
      </c>
      <c r="K87" s="18" t="str">
        <f>IF($B87&lt;&gt;"",VLOOKUP($B87,'Planning Sheet'!$B$8:$AL$500,19,0),"")</f>
        <v/>
      </c>
      <c r="L87" s="18" t="str">
        <f>IF($B87&lt;&gt;"",VLOOKUP($B87,'Planning Sheet'!$B$8:$AL$500,21,0),"")</f>
        <v/>
      </c>
      <c r="M87" s="18" t="str">
        <f>IF($B87&lt;&gt;"",VLOOKUP($B87,'Planning Sheet'!$B$8:$AL$500,23,0),"")</f>
        <v/>
      </c>
      <c r="N87" s="18" t="str">
        <f>IF($B87&lt;&gt;"",VLOOKUP($B87,'Planning Sheet'!$B$8:$AL$500,25,0),"")</f>
        <v/>
      </c>
      <c r="O87" s="18" t="str">
        <f>IF($B87&lt;&gt;"",VLOOKUP($B87,'Planning Sheet'!$B$8:$AL$500,26,0),"")</f>
        <v/>
      </c>
      <c r="P87" s="19" t="str">
        <f>IF($B87&lt;&gt;"",VLOOKUP($B87,'Planning Sheet'!$B$8:$AL$500,27,0),"")</f>
        <v/>
      </c>
      <c r="Q87" s="19" t="str">
        <f>IF($B87&lt;&gt;"",VLOOKUP($B87,'Planning Sheet'!$B$8:$AL$500,34,0),"")</f>
        <v/>
      </c>
      <c r="R87" s="19" t="str">
        <f>IF($B87&lt;&gt;"",VLOOKUP($B87,'Planning Sheet'!$B$8:$AL$500,36,0),"")</f>
        <v/>
      </c>
      <c r="S87" s="19" t="str">
        <f>IF($B87&lt;&gt;"",VLOOKUP($B87,'Planning Sheet'!$B$8:$AM$500,38,0),"")</f>
        <v/>
      </c>
      <c r="T87" s="18" t="str">
        <f t="shared" si="3"/>
        <v/>
      </c>
      <c r="U87" s="100" t="str">
        <f t="shared" si="2"/>
        <v/>
      </c>
      <c r="Y87" s="48" t="str">
        <f ca="1">IF(AND('Planning Sheet'!$AT92='Weeks Plan'!$D$6,'Planning Sheet'!$AN92='Weeks Plan'!$G$6),'Planning Sheet'!$B92,"")</f>
        <v/>
      </c>
      <c r="Z87" s="48" t="str">
        <f ca="1">IF(AND('Planning Sheet'!$AT92='Weeks Plan'!$D$6,'Planning Sheet'!$AN92='Weeks Plan'!$G$6),'Planning Sheet'!$AO92,"")</f>
        <v/>
      </c>
      <c r="AA87" s="48" t="str">
        <f ca="1">IF(AND('Planning Sheet'!$AT92='Weeks Plan'!$D$6,'Planning Sheet'!$AN92='Weeks Plan'!$G$6),'Planning Sheet'!AP92,"")</f>
        <v/>
      </c>
    </row>
    <row r="88" spans="2:27" x14ac:dyDescent="0.3">
      <c r="B88" s="11"/>
      <c r="C88" s="75" t="str">
        <f>IF($B88&lt;&gt;"",VLOOKUP($B88,'Planning Sheet'!$B$8:$AL$500,3,0),"")</f>
        <v/>
      </c>
      <c r="D88" s="18" t="str">
        <f>IF($B88&lt;&gt;"",VLOOKUP($B88,'Planning Sheet'!$B$8:$AL$500,5,0),"")</f>
        <v/>
      </c>
      <c r="E88" s="18" t="str">
        <f>IF($B88&lt;&gt;"",VLOOKUP($B88,'Planning Sheet'!$B$8:$AL$500,7,0),"")</f>
        <v/>
      </c>
      <c r="F88" s="18" t="str">
        <f>IF($B88&lt;&gt;"",VLOOKUP($B88,'Planning Sheet'!$B$8:$AL$500,9,0),"")</f>
        <v/>
      </c>
      <c r="G88" s="18" t="str">
        <f>IF($B88&lt;&gt;"",VLOOKUP($B88,'Planning Sheet'!$B$8:$AL$500,11,0),"")</f>
        <v/>
      </c>
      <c r="H88" s="18" t="str">
        <f>IF($B88&lt;&gt;"",VLOOKUP($B88,'Planning Sheet'!$B$8:$AL$500,13,0),"")</f>
        <v/>
      </c>
      <c r="I88" s="18" t="str">
        <f>IF($B88&lt;&gt;"",VLOOKUP($B88,'Planning Sheet'!$B$8:$AL$500,15,0),"")</f>
        <v/>
      </c>
      <c r="J88" s="18" t="str">
        <f>IF($B88&lt;&gt;"",VLOOKUP($B88,'Planning Sheet'!$B$8:$AL$500,17,0),"")</f>
        <v/>
      </c>
      <c r="K88" s="18" t="str">
        <f>IF($B88&lt;&gt;"",VLOOKUP($B88,'Planning Sheet'!$B$8:$AL$500,19,0),"")</f>
        <v/>
      </c>
      <c r="L88" s="18" t="str">
        <f>IF($B88&lt;&gt;"",VLOOKUP($B88,'Planning Sheet'!$B$8:$AL$500,21,0),"")</f>
        <v/>
      </c>
      <c r="M88" s="18" t="str">
        <f>IF($B88&lt;&gt;"",VLOOKUP($B88,'Planning Sheet'!$B$8:$AL$500,23,0),"")</f>
        <v/>
      </c>
      <c r="N88" s="18" t="str">
        <f>IF($B88&lt;&gt;"",VLOOKUP($B88,'Planning Sheet'!$B$8:$AL$500,25,0),"")</f>
        <v/>
      </c>
      <c r="O88" s="18" t="str">
        <f>IF($B88&lt;&gt;"",VLOOKUP($B88,'Planning Sheet'!$B$8:$AL$500,26,0),"")</f>
        <v/>
      </c>
      <c r="P88" s="19" t="str">
        <f>IF($B88&lt;&gt;"",VLOOKUP($B88,'Planning Sheet'!$B$8:$AL$500,27,0),"")</f>
        <v/>
      </c>
      <c r="Q88" s="19" t="str">
        <f>IF($B88&lt;&gt;"",VLOOKUP($B88,'Planning Sheet'!$B$8:$AL$500,34,0),"")</f>
        <v/>
      </c>
      <c r="R88" s="19" t="str">
        <f>IF($B88&lt;&gt;"",VLOOKUP($B88,'Planning Sheet'!$B$8:$AL$500,36,0),"")</f>
        <v/>
      </c>
      <c r="S88" s="19" t="str">
        <f>IF($B88&lt;&gt;"",VLOOKUP($B88,'Planning Sheet'!$B$8:$AM$500,38,0),"")</f>
        <v/>
      </c>
      <c r="T88" s="18" t="str">
        <f t="shared" si="3"/>
        <v/>
      </c>
      <c r="U88" s="100" t="str">
        <f t="shared" si="2"/>
        <v/>
      </c>
      <c r="Y88" s="48" t="str">
        <f ca="1">IF(AND('Planning Sheet'!$AT93='Weeks Plan'!$D$6,'Planning Sheet'!$AN93='Weeks Plan'!$G$6),'Planning Sheet'!$B93,"")</f>
        <v/>
      </c>
      <c r="Z88" s="48" t="str">
        <f ca="1">IF(AND('Planning Sheet'!$AT93='Weeks Plan'!$D$6,'Planning Sheet'!$AN93='Weeks Plan'!$G$6),'Planning Sheet'!$AO93,"")</f>
        <v/>
      </c>
      <c r="AA88" s="48" t="str">
        <f ca="1">IF(AND('Planning Sheet'!$AT93='Weeks Plan'!$D$6,'Planning Sheet'!$AN93='Weeks Plan'!$G$6),'Planning Sheet'!AP93,"")</f>
        <v/>
      </c>
    </row>
    <row r="89" spans="2:27" x14ac:dyDescent="0.3">
      <c r="B89" s="11"/>
      <c r="C89" s="75" t="str">
        <f>IF($B89&lt;&gt;"",VLOOKUP($B89,'Planning Sheet'!$B$8:$AL$500,3,0),"")</f>
        <v/>
      </c>
      <c r="D89" s="18" t="str">
        <f>IF($B89&lt;&gt;"",VLOOKUP($B89,'Planning Sheet'!$B$8:$AL$500,5,0),"")</f>
        <v/>
      </c>
      <c r="E89" s="18" t="str">
        <f>IF($B89&lt;&gt;"",VLOOKUP($B89,'Planning Sheet'!$B$8:$AL$500,7,0),"")</f>
        <v/>
      </c>
      <c r="F89" s="18" t="str">
        <f>IF($B89&lt;&gt;"",VLOOKUP($B89,'Planning Sheet'!$B$8:$AL$500,9,0),"")</f>
        <v/>
      </c>
      <c r="G89" s="18" t="str">
        <f>IF($B89&lt;&gt;"",VLOOKUP($B89,'Planning Sheet'!$B$8:$AL$500,11,0),"")</f>
        <v/>
      </c>
      <c r="H89" s="18" t="str">
        <f>IF($B89&lt;&gt;"",VLOOKUP($B89,'Planning Sheet'!$B$8:$AL$500,13,0),"")</f>
        <v/>
      </c>
      <c r="I89" s="18" t="str">
        <f>IF($B89&lt;&gt;"",VLOOKUP($B89,'Planning Sheet'!$B$8:$AL$500,15,0),"")</f>
        <v/>
      </c>
      <c r="J89" s="18" t="str">
        <f>IF($B89&lt;&gt;"",VLOOKUP($B89,'Planning Sheet'!$B$8:$AL$500,17,0),"")</f>
        <v/>
      </c>
      <c r="K89" s="18" t="str">
        <f>IF($B89&lt;&gt;"",VLOOKUP($B89,'Planning Sheet'!$B$8:$AL$500,19,0),"")</f>
        <v/>
      </c>
      <c r="L89" s="18" t="str">
        <f>IF($B89&lt;&gt;"",VLOOKUP($B89,'Planning Sheet'!$B$8:$AL$500,21,0),"")</f>
        <v/>
      </c>
      <c r="M89" s="18" t="str">
        <f>IF($B89&lt;&gt;"",VLOOKUP($B89,'Planning Sheet'!$B$8:$AL$500,23,0),"")</f>
        <v/>
      </c>
      <c r="N89" s="18" t="str">
        <f>IF($B89&lt;&gt;"",VLOOKUP($B89,'Planning Sheet'!$B$8:$AL$500,25,0),"")</f>
        <v/>
      </c>
      <c r="O89" s="18" t="str">
        <f>IF($B89&lt;&gt;"",VLOOKUP($B89,'Planning Sheet'!$B$8:$AL$500,26,0),"")</f>
        <v/>
      </c>
      <c r="P89" s="19" t="str">
        <f>IF($B89&lt;&gt;"",VLOOKUP($B89,'Planning Sheet'!$B$8:$AL$500,27,0),"")</f>
        <v/>
      </c>
      <c r="Q89" s="19" t="str">
        <f>IF($B89&lt;&gt;"",VLOOKUP($B89,'Planning Sheet'!$B$8:$AL$500,34,0),"")</f>
        <v/>
      </c>
      <c r="R89" s="19" t="str">
        <f>IF($B89&lt;&gt;"",VLOOKUP($B89,'Planning Sheet'!$B$8:$AL$500,36,0),"")</f>
        <v/>
      </c>
      <c r="S89" s="19" t="str">
        <f>IF($B89&lt;&gt;"",VLOOKUP($B89,'Planning Sheet'!$B$8:$AM$500,38,0),"")</f>
        <v/>
      </c>
      <c r="T89" s="18" t="str">
        <f t="shared" si="3"/>
        <v/>
      </c>
      <c r="U89" s="100" t="str">
        <f t="shared" si="2"/>
        <v/>
      </c>
      <c r="Y89" s="48" t="str">
        <f ca="1">IF(AND('Planning Sheet'!$AT94='Weeks Plan'!$D$6,'Planning Sheet'!$AN94='Weeks Plan'!$G$6),'Planning Sheet'!$B94,"")</f>
        <v/>
      </c>
      <c r="Z89" s="48" t="str">
        <f ca="1">IF(AND('Planning Sheet'!$AT94='Weeks Plan'!$D$6,'Planning Sheet'!$AN94='Weeks Plan'!$G$6),'Planning Sheet'!$AO94,"")</f>
        <v/>
      </c>
      <c r="AA89" s="48" t="str">
        <f ca="1">IF(AND('Planning Sheet'!$AT94='Weeks Plan'!$D$6,'Planning Sheet'!$AN94='Weeks Plan'!$G$6),'Planning Sheet'!AP94,"")</f>
        <v/>
      </c>
    </row>
    <row r="90" spans="2:27" x14ac:dyDescent="0.3">
      <c r="B90" s="11"/>
      <c r="C90" s="75" t="str">
        <f>IF($B90&lt;&gt;"",VLOOKUP($B90,'Planning Sheet'!$B$8:$AL$500,3,0),"")</f>
        <v/>
      </c>
      <c r="D90" s="18" t="str">
        <f>IF($B90&lt;&gt;"",VLOOKUP($B90,'Planning Sheet'!$B$8:$AL$500,5,0),"")</f>
        <v/>
      </c>
      <c r="E90" s="18" t="str">
        <f>IF($B90&lt;&gt;"",VLOOKUP($B90,'Planning Sheet'!$B$8:$AL$500,7,0),"")</f>
        <v/>
      </c>
      <c r="F90" s="18" t="str">
        <f>IF($B90&lt;&gt;"",VLOOKUP($B90,'Planning Sheet'!$B$8:$AL$500,9,0),"")</f>
        <v/>
      </c>
      <c r="G90" s="18" t="str">
        <f>IF($B90&lt;&gt;"",VLOOKUP($B90,'Planning Sheet'!$B$8:$AL$500,11,0),"")</f>
        <v/>
      </c>
      <c r="H90" s="18" t="str">
        <f>IF($B90&lt;&gt;"",VLOOKUP($B90,'Planning Sheet'!$B$8:$AL$500,13,0),"")</f>
        <v/>
      </c>
      <c r="I90" s="18" t="str">
        <f>IF($B90&lt;&gt;"",VLOOKUP($B90,'Planning Sheet'!$B$8:$AL$500,15,0),"")</f>
        <v/>
      </c>
      <c r="J90" s="18" t="str">
        <f>IF($B90&lt;&gt;"",VLOOKUP($B90,'Planning Sheet'!$B$8:$AL$500,17,0),"")</f>
        <v/>
      </c>
      <c r="K90" s="18" t="str">
        <f>IF($B90&lt;&gt;"",VLOOKUP($B90,'Planning Sheet'!$B$8:$AL$500,19,0),"")</f>
        <v/>
      </c>
      <c r="L90" s="18" t="str">
        <f>IF($B90&lt;&gt;"",VLOOKUP($B90,'Planning Sheet'!$B$8:$AL$500,21,0),"")</f>
        <v/>
      </c>
      <c r="M90" s="18" t="str">
        <f>IF($B90&lt;&gt;"",VLOOKUP($B90,'Planning Sheet'!$B$8:$AL$500,23,0),"")</f>
        <v/>
      </c>
      <c r="N90" s="18" t="str">
        <f>IF($B90&lt;&gt;"",VLOOKUP($B90,'Planning Sheet'!$B$8:$AL$500,25,0),"")</f>
        <v/>
      </c>
      <c r="O90" s="18" t="str">
        <f>IF($B90&lt;&gt;"",VLOOKUP($B90,'Planning Sheet'!$B$8:$AL$500,26,0),"")</f>
        <v/>
      </c>
      <c r="P90" s="19" t="str">
        <f>IF($B90&lt;&gt;"",VLOOKUP($B90,'Planning Sheet'!$B$8:$AL$500,27,0),"")</f>
        <v/>
      </c>
      <c r="Q90" s="19" t="str">
        <f>IF($B90&lt;&gt;"",VLOOKUP($B90,'Planning Sheet'!$B$8:$AL$500,34,0),"")</f>
        <v/>
      </c>
      <c r="R90" s="19" t="str">
        <f>IF($B90&lt;&gt;"",VLOOKUP($B90,'Planning Sheet'!$B$8:$AL$500,36,0),"")</f>
        <v/>
      </c>
      <c r="S90" s="19" t="str">
        <f>IF($B90&lt;&gt;"",VLOOKUP($B90,'Planning Sheet'!$B$8:$AM$500,38,0),"")</f>
        <v/>
      </c>
      <c r="T90" s="18" t="str">
        <f t="shared" si="3"/>
        <v/>
      </c>
      <c r="U90" s="100" t="str">
        <f t="shared" si="2"/>
        <v/>
      </c>
      <c r="Y90" s="48" t="str">
        <f ca="1">IF(AND('Planning Sheet'!$AT95='Weeks Plan'!$D$6,'Planning Sheet'!$AN95='Weeks Plan'!$G$6),'Planning Sheet'!$B95,"")</f>
        <v/>
      </c>
      <c r="Z90" s="48" t="str">
        <f ca="1">IF(AND('Planning Sheet'!$AT95='Weeks Plan'!$D$6,'Planning Sheet'!$AN95='Weeks Plan'!$G$6),'Planning Sheet'!$AO95,"")</f>
        <v/>
      </c>
      <c r="AA90" s="48" t="str">
        <f ca="1">IF(AND('Planning Sheet'!$AT95='Weeks Plan'!$D$6,'Planning Sheet'!$AN95='Weeks Plan'!$G$6),'Planning Sheet'!AP95,"")</f>
        <v/>
      </c>
    </row>
    <row r="91" spans="2:27" x14ac:dyDescent="0.3">
      <c r="B91" s="11"/>
      <c r="C91" s="75" t="str">
        <f>IF($B91&lt;&gt;"",VLOOKUP($B91,'Planning Sheet'!$B$8:$AL$500,3,0),"")</f>
        <v/>
      </c>
      <c r="D91" s="18" t="str">
        <f>IF($B91&lt;&gt;"",VLOOKUP($B91,'Planning Sheet'!$B$8:$AL$500,5,0),"")</f>
        <v/>
      </c>
      <c r="E91" s="18" t="str">
        <f>IF($B91&lt;&gt;"",VLOOKUP($B91,'Planning Sheet'!$B$8:$AL$500,7,0),"")</f>
        <v/>
      </c>
      <c r="F91" s="18" t="str">
        <f>IF($B91&lt;&gt;"",VLOOKUP($B91,'Planning Sheet'!$B$8:$AL$500,9,0),"")</f>
        <v/>
      </c>
      <c r="G91" s="18" t="str">
        <f>IF($B91&lt;&gt;"",VLOOKUP($B91,'Planning Sheet'!$B$8:$AL$500,11,0),"")</f>
        <v/>
      </c>
      <c r="H91" s="18" t="str">
        <f>IF($B91&lt;&gt;"",VLOOKUP($B91,'Planning Sheet'!$B$8:$AL$500,13,0),"")</f>
        <v/>
      </c>
      <c r="I91" s="18" t="str">
        <f>IF($B91&lt;&gt;"",VLOOKUP($B91,'Planning Sheet'!$B$8:$AL$500,15,0),"")</f>
        <v/>
      </c>
      <c r="J91" s="18" t="str">
        <f>IF($B91&lt;&gt;"",VLOOKUP($B91,'Planning Sheet'!$B$8:$AL$500,17,0),"")</f>
        <v/>
      </c>
      <c r="K91" s="18" t="str">
        <f>IF($B91&lt;&gt;"",VLOOKUP($B91,'Planning Sheet'!$B$8:$AL$500,19,0),"")</f>
        <v/>
      </c>
      <c r="L91" s="18" t="str">
        <f>IF($B91&lt;&gt;"",VLOOKUP($B91,'Planning Sheet'!$B$8:$AL$500,21,0),"")</f>
        <v/>
      </c>
      <c r="M91" s="18" t="str">
        <f>IF($B91&lt;&gt;"",VLOOKUP($B91,'Planning Sheet'!$B$8:$AL$500,23,0),"")</f>
        <v/>
      </c>
      <c r="N91" s="18" t="str">
        <f>IF($B91&lt;&gt;"",VLOOKUP($B91,'Planning Sheet'!$B$8:$AL$500,25,0),"")</f>
        <v/>
      </c>
      <c r="O91" s="18" t="str">
        <f>IF($B91&lt;&gt;"",VLOOKUP($B91,'Planning Sheet'!$B$8:$AL$500,26,0),"")</f>
        <v/>
      </c>
      <c r="P91" s="19" t="str">
        <f>IF($B91&lt;&gt;"",VLOOKUP($B91,'Planning Sheet'!$B$8:$AL$500,27,0),"")</f>
        <v/>
      </c>
      <c r="Q91" s="19" t="str">
        <f>IF($B91&lt;&gt;"",VLOOKUP($B91,'Planning Sheet'!$B$8:$AL$500,34,0),"")</f>
        <v/>
      </c>
      <c r="R91" s="19" t="str">
        <f>IF($B91&lt;&gt;"",VLOOKUP($B91,'Planning Sheet'!$B$8:$AL$500,36,0),"")</f>
        <v/>
      </c>
      <c r="S91" s="19" t="str">
        <f>IF($B91&lt;&gt;"",VLOOKUP($B91,'Planning Sheet'!$B$8:$AM$500,38,0),"")</f>
        <v/>
      </c>
      <c r="T91" s="18" t="str">
        <f t="shared" si="3"/>
        <v/>
      </c>
      <c r="U91" s="100" t="str">
        <f t="shared" si="2"/>
        <v/>
      </c>
      <c r="Y91" s="48" t="str">
        <f ca="1">IF(AND('Planning Sheet'!$AT96='Weeks Plan'!$D$6,'Planning Sheet'!$AN96='Weeks Plan'!$G$6),'Planning Sheet'!$B96,"")</f>
        <v/>
      </c>
      <c r="Z91" s="48" t="str">
        <f ca="1">IF(AND('Planning Sheet'!$AT96='Weeks Plan'!$D$6,'Planning Sheet'!$AN96='Weeks Plan'!$G$6),'Planning Sheet'!$AO96,"")</f>
        <v/>
      </c>
      <c r="AA91" s="48" t="str">
        <f ca="1">IF(AND('Planning Sheet'!$AT96='Weeks Plan'!$D$6,'Planning Sheet'!$AN96='Weeks Plan'!$G$6),'Planning Sheet'!AP96,"")</f>
        <v/>
      </c>
    </row>
    <row r="92" spans="2:27" x14ac:dyDescent="0.3">
      <c r="B92" s="11"/>
      <c r="C92" s="75" t="str">
        <f>IF($B92&lt;&gt;"",VLOOKUP($B92,'Planning Sheet'!$B$8:$AL$500,3,0),"")</f>
        <v/>
      </c>
      <c r="D92" s="18" t="str">
        <f>IF($B92&lt;&gt;"",VLOOKUP($B92,'Planning Sheet'!$B$8:$AL$500,5,0),"")</f>
        <v/>
      </c>
      <c r="E92" s="18" t="str">
        <f>IF($B92&lt;&gt;"",VLOOKUP($B92,'Planning Sheet'!$B$8:$AL$500,7,0),"")</f>
        <v/>
      </c>
      <c r="F92" s="18" t="str">
        <f>IF($B92&lt;&gt;"",VLOOKUP($B92,'Planning Sheet'!$B$8:$AL$500,9,0),"")</f>
        <v/>
      </c>
      <c r="G92" s="18" t="str">
        <f>IF($B92&lt;&gt;"",VLOOKUP($B92,'Planning Sheet'!$B$8:$AL$500,11,0),"")</f>
        <v/>
      </c>
      <c r="H92" s="18" t="str">
        <f>IF($B92&lt;&gt;"",VLOOKUP($B92,'Planning Sheet'!$B$8:$AL$500,13,0),"")</f>
        <v/>
      </c>
      <c r="I92" s="18" t="str">
        <f>IF($B92&lt;&gt;"",VLOOKUP($B92,'Planning Sheet'!$B$8:$AL$500,15,0),"")</f>
        <v/>
      </c>
      <c r="J92" s="18" t="str">
        <f>IF($B92&lt;&gt;"",VLOOKUP($B92,'Planning Sheet'!$B$8:$AL$500,17,0),"")</f>
        <v/>
      </c>
      <c r="K92" s="18" t="str">
        <f>IF($B92&lt;&gt;"",VLOOKUP($B92,'Planning Sheet'!$B$8:$AL$500,19,0),"")</f>
        <v/>
      </c>
      <c r="L92" s="18" t="str">
        <f>IF($B92&lt;&gt;"",VLOOKUP($B92,'Planning Sheet'!$B$8:$AL$500,21,0),"")</f>
        <v/>
      </c>
      <c r="M92" s="18" t="str">
        <f>IF($B92&lt;&gt;"",VLOOKUP($B92,'Planning Sheet'!$B$8:$AL$500,23,0),"")</f>
        <v/>
      </c>
      <c r="N92" s="18" t="str">
        <f>IF($B92&lt;&gt;"",VLOOKUP($B92,'Planning Sheet'!$B$8:$AL$500,25,0),"")</f>
        <v/>
      </c>
      <c r="O92" s="18" t="str">
        <f>IF($B92&lt;&gt;"",VLOOKUP($B92,'Planning Sheet'!$B$8:$AL$500,26,0),"")</f>
        <v/>
      </c>
      <c r="P92" s="19" t="str">
        <f>IF($B92&lt;&gt;"",VLOOKUP($B92,'Planning Sheet'!$B$8:$AL$500,27,0),"")</f>
        <v/>
      </c>
      <c r="Q92" s="19" t="str">
        <f>IF($B92&lt;&gt;"",VLOOKUP($B92,'Planning Sheet'!$B$8:$AL$500,34,0),"")</f>
        <v/>
      </c>
      <c r="R92" s="19" t="str">
        <f>IF($B92&lt;&gt;"",VLOOKUP($B92,'Planning Sheet'!$B$8:$AL$500,36,0),"")</f>
        <v/>
      </c>
      <c r="S92" s="19" t="str">
        <f>IF($B92&lt;&gt;"",VLOOKUP($B92,'Planning Sheet'!$B$8:$AM$500,38,0),"")</f>
        <v/>
      </c>
      <c r="T92" s="18" t="str">
        <f t="shared" si="3"/>
        <v/>
      </c>
      <c r="U92" s="100" t="str">
        <f t="shared" si="2"/>
        <v/>
      </c>
      <c r="Y92" s="48" t="str">
        <f ca="1">IF(AND('Planning Sheet'!$AT97='Weeks Plan'!$D$6,'Planning Sheet'!$AN97='Weeks Plan'!$G$6),'Planning Sheet'!$B97,"")</f>
        <v/>
      </c>
      <c r="Z92" s="48" t="str">
        <f ca="1">IF(AND('Planning Sheet'!$AT97='Weeks Plan'!$D$6,'Planning Sheet'!$AN97='Weeks Plan'!$G$6),'Planning Sheet'!$AO97,"")</f>
        <v/>
      </c>
      <c r="AA92" s="48" t="str">
        <f ca="1">IF(AND('Planning Sheet'!$AT97='Weeks Plan'!$D$6,'Planning Sheet'!$AN97='Weeks Plan'!$G$6),'Planning Sheet'!AP97,"")</f>
        <v/>
      </c>
    </row>
    <row r="93" spans="2:27" x14ac:dyDescent="0.3">
      <c r="B93" s="11"/>
      <c r="C93" s="75" t="str">
        <f>IF($B93&lt;&gt;"",VLOOKUP($B93,'Planning Sheet'!$B$8:$AL$500,3,0),"")</f>
        <v/>
      </c>
      <c r="D93" s="18" t="str">
        <f>IF($B93&lt;&gt;"",VLOOKUP($B93,'Planning Sheet'!$B$8:$AL$500,5,0),"")</f>
        <v/>
      </c>
      <c r="E93" s="18" t="str">
        <f>IF($B93&lt;&gt;"",VLOOKUP($B93,'Planning Sheet'!$B$8:$AL$500,7,0),"")</f>
        <v/>
      </c>
      <c r="F93" s="18" t="str">
        <f>IF($B93&lt;&gt;"",VLOOKUP($B93,'Planning Sheet'!$B$8:$AL$500,9,0),"")</f>
        <v/>
      </c>
      <c r="G93" s="18" t="str">
        <f>IF($B93&lt;&gt;"",VLOOKUP($B93,'Planning Sheet'!$B$8:$AL$500,11,0),"")</f>
        <v/>
      </c>
      <c r="H93" s="18" t="str">
        <f>IF($B93&lt;&gt;"",VLOOKUP($B93,'Planning Sheet'!$B$8:$AL$500,13,0),"")</f>
        <v/>
      </c>
      <c r="I93" s="18" t="str">
        <f>IF($B93&lt;&gt;"",VLOOKUP($B93,'Planning Sheet'!$B$8:$AL$500,15,0),"")</f>
        <v/>
      </c>
      <c r="J93" s="18" t="str">
        <f>IF($B93&lt;&gt;"",VLOOKUP($B93,'Planning Sheet'!$B$8:$AL$500,17,0),"")</f>
        <v/>
      </c>
      <c r="K93" s="18" t="str">
        <f>IF($B93&lt;&gt;"",VLOOKUP($B93,'Planning Sheet'!$B$8:$AL$500,19,0),"")</f>
        <v/>
      </c>
      <c r="L93" s="18" t="str">
        <f>IF($B93&lt;&gt;"",VLOOKUP($B93,'Planning Sheet'!$B$8:$AL$500,21,0),"")</f>
        <v/>
      </c>
      <c r="M93" s="18" t="str">
        <f>IF($B93&lt;&gt;"",VLOOKUP($B93,'Planning Sheet'!$B$8:$AL$500,23,0),"")</f>
        <v/>
      </c>
      <c r="N93" s="18" t="str">
        <f>IF($B93&lt;&gt;"",VLOOKUP($B93,'Planning Sheet'!$B$8:$AL$500,25,0),"")</f>
        <v/>
      </c>
      <c r="O93" s="18" t="str">
        <f>IF($B93&lt;&gt;"",VLOOKUP($B93,'Planning Sheet'!$B$8:$AL$500,26,0),"")</f>
        <v/>
      </c>
      <c r="P93" s="19" t="str">
        <f>IF($B93&lt;&gt;"",VLOOKUP($B93,'Planning Sheet'!$B$8:$AL$500,27,0),"")</f>
        <v/>
      </c>
      <c r="Q93" s="19" t="str">
        <f>IF($B93&lt;&gt;"",VLOOKUP($B93,'Planning Sheet'!$B$8:$AL$500,34,0),"")</f>
        <v/>
      </c>
      <c r="R93" s="19" t="str">
        <f>IF($B93&lt;&gt;"",VLOOKUP($B93,'Planning Sheet'!$B$8:$AL$500,36,0),"")</f>
        <v/>
      </c>
      <c r="S93" s="19" t="str">
        <f>IF($B93&lt;&gt;"",VLOOKUP($B93,'Planning Sheet'!$B$8:$AM$500,38,0),"")</f>
        <v/>
      </c>
      <c r="T93" s="18" t="str">
        <f t="shared" si="3"/>
        <v/>
      </c>
      <c r="U93" s="100" t="str">
        <f t="shared" si="2"/>
        <v/>
      </c>
      <c r="Y93" s="48" t="str">
        <f ca="1">IF(AND('Planning Sheet'!$AT98='Weeks Plan'!$D$6,'Planning Sheet'!$AN98='Weeks Plan'!$G$6),'Planning Sheet'!$B98,"")</f>
        <v/>
      </c>
      <c r="Z93" s="48" t="str">
        <f ca="1">IF(AND('Planning Sheet'!$AT98='Weeks Plan'!$D$6,'Planning Sheet'!$AN98='Weeks Plan'!$G$6),'Planning Sheet'!$AO98,"")</f>
        <v/>
      </c>
      <c r="AA93" s="48" t="str">
        <f ca="1">IF(AND('Planning Sheet'!$AT98='Weeks Plan'!$D$6,'Planning Sheet'!$AN98='Weeks Plan'!$G$6),'Planning Sheet'!AP98,"")</f>
        <v/>
      </c>
    </row>
    <row r="94" spans="2:27" x14ac:dyDescent="0.3">
      <c r="B94" s="11"/>
      <c r="C94" s="75" t="str">
        <f>IF($B94&lt;&gt;"",VLOOKUP($B94,'Planning Sheet'!$B$8:$AL$500,3,0),"")</f>
        <v/>
      </c>
      <c r="D94" s="18" t="str">
        <f>IF($B94&lt;&gt;"",VLOOKUP($B94,'Planning Sheet'!$B$8:$AL$500,5,0),"")</f>
        <v/>
      </c>
      <c r="E94" s="18" t="str">
        <f>IF($B94&lt;&gt;"",VLOOKUP($B94,'Planning Sheet'!$B$8:$AL$500,7,0),"")</f>
        <v/>
      </c>
      <c r="F94" s="18" t="str">
        <f>IF($B94&lt;&gt;"",VLOOKUP($B94,'Planning Sheet'!$B$8:$AL$500,9,0),"")</f>
        <v/>
      </c>
      <c r="G94" s="18" t="str">
        <f>IF($B94&lt;&gt;"",VLOOKUP($B94,'Planning Sheet'!$B$8:$AL$500,11,0),"")</f>
        <v/>
      </c>
      <c r="H94" s="18" t="str">
        <f>IF($B94&lt;&gt;"",VLOOKUP($B94,'Planning Sheet'!$B$8:$AL$500,13,0),"")</f>
        <v/>
      </c>
      <c r="I94" s="18" t="str">
        <f>IF($B94&lt;&gt;"",VLOOKUP($B94,'Planning Sheet'!$B$8:$AL$500,15,0),"")</f>
        <v/>
      </c>
      <c r="J94" s="18" t="str">
        <f>IF($B94&lt;&gt;"",VLOOKUP($B94,'Planning Sheet'!$B$8:$AL$500,17,0),"")</f>
        <v/>
      </c>
      <c r="K94" s="18" t="str">
        <f>IF($B94&lt;&gt;"",VLOOKUP($B94,'Planning Sheet'!$B$8:$AL$500,19,0),"")</f>
        <v/>
      </c>
      <c r="L94" s="18" t="str">
        <f>IF($B94&lt;&gt;"",VLOOKUP($B94,'Planning Sheet'!$B$8:$AL$500,21,0),"")</f>
        <v/>
      </c>
      <c r="M94" s="18" t="str">
        <f>IF($B94&lt;&gt;"",VLOOKUP($B94,'Planning Sheet'!$B$8:$AL$500,23,0),"")</f>
        <v/>
      </c>
      <c r="N94" s="18" t="str">
        <f>IF($B94&lt;&gt;"",VLOOKUP($B94,'Planning Sheet'!$B$8:$AL$500,25,0),"")</f>
        <v/>
      </c>
      <c r="O94" s="18" t="str">
        <f>IF($B94&lt;&gt;"",VLOOKUP($B94,'Planning Sheet'!$B$8:$AL$500,26,0),"")</f>
        <v/>
      </c>
      <c r="P94" s="19" t="str">
        <f>IF($B94&lt;&gt;"",VLOOKUP($B94,'Planning Sheet'!$B$8:$AL$500,27,0),"")</f>
        <v/>
      </c>
      <c r="Q94" s="19" t="str">
        <f>IF($B94&lt;&gt;"",VLOOKUP($B94,'Planning Sheet'!$B$8:$AL$500,34,0),"")</f>
        <v/>
      </c>
      <c r="R94" s="19" t="str">
        <f>IF($B94&lt;&gt;"",VLOOKUP($B94,'Planning Sheet'!$B$8:$AL$500,36,0),"")</f>
        <v/>
      </c>
      <c r="S94" s="19" t="str">
        <f>IF($B94&lt;&gt;"",VLOOKUP($B94,'Planning Sheet'!$B$8:$AM$500,38,0),"")</f>
        <v/>
      </c>
      <c r="T94" s="18" t="str">
        <f t="shared" si="3"/>
        <v/>
      </c>
      <c r="U94" s="100" t="str">
        <f t="shared" si="2"/>
        <v/>
      </c>
      <c r="Y94" s="48" t="str">
        <f ca="1">IF(AND('Planning Sheet'!$AT99='Weeks Plan'!$D$6,'Planning Sheet'!$AN99='Weeks Plan'!$G$6),'Planning Sheet'!$B99,"")</f>
        <v/>
      </c>
      <c r="Z94" s="48" t="str">
        <f ca="1">IF(AND('Planning Sheet'!$AT99='Weeks Plan'!$D$6,'Planning Sheet'!$AN99='Weeks Plan'!$G$6),'Planning Sheet'!$AO99,"")</f>
        <v/>
      </c>
      <c r="AA94" s="48" t="str">
        <f ca="1">IF(AND('Planning Sheet'!$AT99='Weeks Plan'!$D$6,'Planning Sheet'!$AN99='Weeks Plan'!$G$6),'Planning Sheet'!AP99,"")</f>
        <v/>
      </c>
    </row>
    <row r="95" spans="2:27" x14ac:dyDescent="0.3">
      <c r="B95" s="11"/>
      <c r="C95" s="75" t="str">
        <f>IF($B95&lt;&gt;"",VLOOKUP($B95,'Planning Sheet'!$B$8:$AL$500,3,0),"")</f>
        <v/>
      </c>
      <c r="D95" s="18" t="str">
        <f>IF($B95&lt;&gt;"",VLOOKUP($B95,'Planning Sheet'!$B$8:$AL$500,5,0),"")</f>
        <v/>
      </c>
      <c r="E95" s="18" t="str">
        <f>IF($B95&lt;&gt;"",VLOOKUP($B95,'Planning Sheet'!$B$8:$AL$500,7,0),"")</f>
        <v/>
      </c>
      <c r="F95" s="18" t="str">
        <f>IF($B95&lt;&gt;"",VLOOKUP($B95,'Planning Sheet'!$B$8:$AL$500,9,0),"")</f>
        <v/>
      </c>
      <c r="G95" s="18" t="str">
        <f>IF($B95&lt;&gt;"",VLOOKUP($B95,'Planning Sheet'!$B$8:$AL$500,11,0),"")</f>
        <v/>
      </c>
      <c r="H95" s="18" t="str">
        <f>IF($B95&lt;&gt;"",VLOOKUP($B95,'Planning Sheet'!$B$8:$AL$500,13,0),"")</f>
        <v/>
      </c>
      <c r="I95" s="18" t="str">
        <f>IF($B95&lt;&gt;"",VLOOKUP($B95,'Planning Sheet'!$B$8:$AL$500,15,0),"")</f>
        <v/>
      </c>
      <c r="J95" s="18" t="str">
        <f>IF($B95&lt;&gt;"",VLOOKUP($B95,'Planning Sheet'!$B$8:$AL$500,17,0),"")</f>
        <v/>
      </c>
      <c r="K95" s="18" t="str">
        <f>IF($B95&lt;&gt;"",VLOOKUP($B95,'Planning Sheet'!$B$8:$AL$500,19,0),"")</f>
        <v/>
      </c>
      <c r="L95" s="18" t="str">
        <f>IF($B95&lt;&gt;"",VLOOKUP($B95,'Planning Sheet'!$B$8:$AL$500,21,0),"")</f>
        <v/>
      </c>
      <c r="M95" s="18" t="str">
        <f>IF($B95&lt;&gt;"",VLOOKUP($B95,'Planning Sheet'!$B$8:$AL$500,23,0),"")</f>
        <v/>
      </c>
      <c r="N95" s="18" t="str">
        <f>IF($B95&lt;&gt;"",VLOOKUP($B95,'Planning Sheet'!$B$8:$AL$500,25,0),"")</f>
        <v/>
      </c>
      <c r="O95" s="18" t="str">
        <f>IF($B95&lt;&gt;"",VLOOKUP($B95,'Planning Sheet'!$B$8:$AL$500,26,0),"")</f>
        <v/>
      </c>
      <c r="P95" s="19" t="str">
        <f>IF($B95&lt;&gt;"",VLOOKUP($B95,'Planning Sheet'!$B$8:$AL$500,27,0),"")</f>
        <v/>
      </c>
      <c r="Q95" s="19" t="str">
        <f>IF($B95&lt;&gt;"",VLOOKUP($B95,'Planning Sheet'!$B$8:$AL$500,34,0),"")</f>
        <v/>
      </c>
      <c r="R95" s="19" t="str">
        <f>IF($B95&lt;&gt;"",VLOOKUP($B95,'Planning Sheet'!$B$8:$AL$500,36,0),"")</f>
        <v/>
      </c>
      <c r="S95" s="19" t="str">
        <f>IF($B95&lt;&gt;"",VLOOKUP($B95,'Planning Sheet'!$B$8:$AM$500,38,0),"")</f>
        <v/>
      </c>
      <c r="T95" s="18" t="str">
        <f t="shared" si="3"/>
        <v/>
      </c>
      <c r="U95" s="100" t="str">
        <f t="shared" si="2"/>
        <v/>
      </c>
      <c r="Y95" s="48" t="str">
        <f ca="1">IF(AND('Planning Sheet'!$AT100='Weeks Plan'!$D$6,'Planning Sheet'!$AN100='Weeks Plan'!$G$6),'Planning Sheet'!$B100,"")</f>
        <v/>
      </c>
      <c r="Z95" s="48" t="str">
        <f ca="1">IF(AND('Planning Sheet'!$AT100='Weeks Plan'!$D$6,'Planning Sheet'!$AN100='Weeks Plan'!$G$6),'Planning Sheet'!$AO100,"")</f>
        <v/>
      </c>
      <c r="AA95" s="48" t="str">
        <f ca="1">IF(AND('Planning Sheet'!$AT100='Weeks Plan'!$D$6,'Planning Sheet'!$AN100='Weeks Plan'!$G$6),'Planning Sheet'!AP100,"")</f>
        <v/>
      </c>
    </row>
    <row r="96" spans="2:27" x14ac:dyDescent="0.3">
      <c r="B96" s="11"/>
      <c r="C96" s="75" t="str">
        <f>IF($B96&lt;&gt;"",VLOOKUP($B96,'Planning Sheet'!$B$8:$AL$500,3,0),"")</f>
        <v/>
      </c>
      <c r="D96" s="18" t="str">
        <f>IF($B96&lt;&gt;"",VLOOKUP($B96,'Planning Sheet'!$B$8:$AL$500,5,0),"")</f>
        <v/>
      </c>
      <c r="E96" s="18" t="str">
        <f>IF($B96&lt;&gt;"",VLOOKUP($B96,'Planning Sheet'!$B$8:$AL$500,7,0),"")</f>
        <v/>
      </c>
      <c r="F96" s="18" t="str">
        <f>IF($B96&lt;&gt;"",VLOOKUP($B96,'Planning Sheet'!$B$8:$AL$500,9,0),"")</f>
        <v/>
      </c>
      <c r="G96" s="18" t="str">
        <f>IF($B96&lt;&gt;"",VLOOKUP($B96,'Planning Sheet'!$B$8:$AL$500,11,0),"")</f>
        <v/>
      </c>
      <c r="H96" s="18" t="str">
        <f>IF($B96&lt;&gt;"",VLOOKUP($B96,'Planning Sheet'!$B$8:$AL$500,13,0),"")</f>
        <v/>
      </c>
      <c r="I96" s="18" t="str">
        <f>IF($B96&lt;&gt;"",VLOOKUP($B96,'Planning Sheet'!$B$8:$AL$500,15,0),"")</f>
        <v/>
      </c>
      <c r="J96" s="18" t="str">
        <f>IF($B96&lt;&gt;"",VLOOKUP($B96,'Planning Sheet'!$B$8:$AL$500,17,0),"")</f>
        <v/>
      </c>
      <c r="K96" s="18" t="str">
        <f>IF($B96&lt;&gt;"",VLOOKUP($B96,'Planning Sheet'!$B$8:$AL$500,19,0),"")</f>
        <v/>
      </c>
      <c r="L96" s="18" t="str">
        <f>IF($B96&lt;&gt;"",VLOOKUP($B96,'Planning Sheet'!$B$8:$AL$500,21,0),"")</f>
        <v/>
      </c>
      <c r="M96" s="18" t="str">
        <f>IF($B96&lt;&gt;"",VLOOKUP($B96,'Planning Sheet'!$B$8:$AL$500,23,0),"")</f>
        <v/>
      </c>
      <c r="N96" s="18" t="str">
        <f>IF($B96&lt;&gt;"",VLOOKUP($B96,'Planning Sheet'!$B$8:$AL$500,25,0),"")</f>
        <v/>
      </c>
      <c r="O96" s="18" t="str">
        <f>IF($B96&lt;&gt;"",VLOOKUP($B96,'Planning Sheet'!$B$8:$AL$500,26,0),"")</f>
        <v/>
      </c>
      <c r="P96" s="19" t="str">
        <f>IF($B96&lt;&gt;"",VLOOKUP($B96,'Planning Sheet'!$B$8:$AL$500,27,0),"")</f>
        <v/>
      </c>
      <c r="Q96" s="19" t="str">
        <f>IF($B96&lt;&gt;"",VLOOKUP($B96,'Planning Sheet'!$B$8:$AL$500,34,0),"")</f>
        <v/>
      </c>
      <c r="R96" s="19" t="str">
        <f>IF($B96&lt;&gt;"",VLOOKUP($B96,'Planning Sheet'!$B$8:$AL$500,36,0),"")</f>
        <v/>
      </c>
      <c r="S96" s="19" t="str">
        <f>IF($B96&lt;&gt;"",VLOOKUP($B96,'Planning Sheet'!$B$8:$AM$500,38,0),"")</f>
        <v/>
      </c>
      <c r="T96" s="18" t="str">
        <f t="shared" si="3"/>
        <v/>
      </c>
      <c r="U96" s="100" t="str">
        <f t="shared" si="2"/>
        <v/>
      </c>
      <c r="Y96" s="48" t="str">
        <f ca="1">IF(AND('Planning Sheet'!$AT101='Weeks Plan'!$D$6,'Planning Sheet'!$AN101='Weeks Plan'!$G$6),'Planning Sheet'!$B101,"")</f>
        <v/>
      </c>
      <c r="Z96" s="48" t="str">
        <f ca="1">IF(AND('Planning Sheet'!$AT101='Weeks Plan'!$D$6,'Planning Sheet'!$AN101='Weeks Plan'!$G$6),'Planning Sheet'!$AO101,"")</f>
        <v/>
      </c>
      <c r="AA96" s="48" t="str">
        <f ca="1">IF(AND('Planning Sheet'!$AT101='Weeks Plan'!$D$6,'Planning Sheet'!$AN101='Weeks Plan'!$G$6),'Planning Sheet'!AP101,"")</f>
        <v/>
      </c>
    </row>
    <row r="97" spans="2:27" x14ac:dyDescent="0.3">
      <c r="B97" s="11"/>
      <c r="C97" s="75" t="str">
        <f>IF($B97&lt;&gt;"",VLOOKUP($B97,'Planning Sheet'!$B$8:$AL$500,3,0),"")</f>
        <v/>
      </c>
      <c r="D97" s="18" t="str">
        <f>IF($B97&lt;&gt;"",VLOOKUP($B97,'Planning Sheet'!$B$8:$AL$500,5,0),"")</f>
        <v/>
      </c>
      <c r="E97" s="18" t="str">
        <f>IF($B97&lt;&gt;"",VLOOKUP($B97,'Planning Sheet'!$B$8:$AL$500,7,0),"")</f>
        <v/>
      </c>
      <c r="F97" s="18" t="str">
        <f>IF($B97&lt;&gt;"",VLOOKUP($B97,'Planning Sheet'!$B$8:$AL$500,9,0),"")</f>
        <v/>
      </c>
      <c r="G97" s="18" t="str">
        <f>IF($B97&lt;&gt;"",VLOOKUP($B97,'Planning Sheet'!$B$8:$AL$500,11,0),"")</f>
        <v/>
      </c>
      <c r="H97" s="18" t="str">
        <f>IF($B97&lt;&gt;"",VLOOKUP($B97,'Planning Sheet'!$B$8:$AL$500,13,0),"")</f>
        <v/>
      </c>
      <c r="I97" s="18" t="str">
        <f>IF($B97&lt;&gt;"",VLOOKUP($B97,'Planning Sheet'!$B$8:$AL$500,15,0),"")</f>
        <v/>
      </c>
      <c r="J97" s="18" t="str">
        <f>IF($B97&lt;&gt;"",VLOOKUP($B97,'Planning Sheet'!$B$8:$AL$500,17,0),"")</f>
        <v/>
      </c>
      <c r="K97" s="18" t="str">
        <f>IF($B97&lt;&gt;"",VLOOKUP($B97,'Planning Sheet'!$B$8:$AL$500,19,0),"")</f>
        <v/>
      </c>
      <c r="L97" s="18" t="str">
        <f>IF($B97&lt;&gt;"",VLOOKUP($B97,'Planning Sheet'!$B$8:$AL$500,21,0),"")</f>
        <v/>
      </c>
      <c r="M97" s="18" t="str">
        <f>IF($B97&lt;&gt;"",VLOOKUP($B97,'Planning Sheet'!$B$8:$AL$500,23,0),"")</f>
        <v/>
      </c>
      <c r="N97" s="18" t="str">
        <f>IF($B97&lt;&gt;"",VLOOKUP($B97,'Planning Sheet'!$B$8:$AL$500,25,0),"")</f>
        <v/>
      </c>
      <c r="O97" s="18" t="str">
        <f>IF($B97&lt;&gt;"",VLOOKUP($B97,'Planning Sheet'!$B$8:$AL$500,26,0),"")</f>
        <v/>
      </c>
      <c r="P97" s="19" t="str">
        <f>IF($B97&lt;&gt;"",VLOOKUP($B97,'Planning Sheet'!$B$8:$AL$500,27,0),"")</f>
        <v/>
      </c>
      <c r="Q97" s="19" t="str">
        <f>IF($B97&lt;&gt;"",VLOOKUP($B97,'Planning Sheet'!$B$8:$AL$500,34,0),"")</f>
        <v/>
      </c>
      <c r="R97" s="19" t="str">
        <f>IF($B97&lt;&gt;"",VLOOKUP($B97,'Planning Sheet'!$B$8:$AL$500,36,0),"")</f>
        <v/>
      </c>
      <c r="S97" s="19" t="str">
        <f>IF($B97&lt;&gt;"",VLOOKUP($B97,'Planning Sheet'!$B$8:$AM$500,38,0),"")</f>
        <v/>
      </c>
      <c r="T97" s="18" t="str">
        <f t="shared" si="3"/>
        <v/>
      </c>
      <c r="U97" s="100" t="str">
        <f t="shared" si="2"/>
        <v/>
      </c>
      <c r="Y97" s="48" t="str">
        <f ca="1">IF(AND('Planning Sheet'!$AT102='Weeks Plan'!$D$6,'Planning Sheet'!$AN102='Weeks Plan'!$G$6),'Planning Sheet'!$B102,"")</f>
        <v/>
      </c>
      <c r="Z97" s="48" t="str">
        <f ca="1">IF(AND('Planning Sheet'!$AT102='Weeks Plan'!$D$6,'Planning Sheet'!$AN102='Weeks Plan'!$G$6),'Planning Sheet'!$AO102,"")</f>
        <v/>
      </c>
      <c r="AA97" s="48" t="str">
        <f ca="1">IF(AND('Planning Sheet'!$AT102='Weeks Plan'!$D$6,'Planning Sheet'!$AN102='Weeks Plan'!$G$6),'Planning Sheet'!AP102,"")</f>
        <v/>
      </c>
    </row>
    <row r="98" spans="2:27" x14ac:dyDescent="0.3">
      <c r="B98" s="11"/>
      <c r="C98" s="75" t="str">
        <f>IF($B98&lt;&gt;"",VLOOKUP($B98,'Planning Sheet'!$B$8:$AL$500,3,0),"")</f>
        <v/>
      </c>
      <c r="D98" s="18" t="str">
        <f>IF($B98&lt;&gt;"",VLOOKUP($B98,'Planning Sheet'!$B$8:$AL$500,5,0),"")</f>
        <v/>
      </c>
      <c r="E98" s="18" t="str">
        <f>IF($B98&lt;&gt;"",VLOOKUP($B98,'Planning Sheet'!$B$8:$AL$500,7,0),"")</f>
        <v/>
      </c>
      <c r="F98" s="18" t="str">
        <f>IF($B98&lt;&gt;"",VLOOKUP($B98,'Planning Sheet'!$B$8:$AL$500,9,0),"")</f>
        <v/>
      </c>
      <c r="G98" s="18" t="str">
        <f>IF($B98&lt;&gt;"",VLOOKUP($B98,'Planning Sheet'!$B$8:$AL$500,11,0),"")</f>
        <v/>
      </c>
      <c r="H98" s="18" t="str">
        <f>IF($B98&lt;&gt;"",VLOOKUP($B98,'Planning Sheet'!$B$8:$AL$500,13,0),"")</f>
        <v/>
      </c>
      <c r="I98" s="18" t="str">
        <f>IF($B98&lt;&gt;"",VLOOKUP($B98,'Planning Sheet'!$B$8:$AL$500,15,0),"")</f>
        <v/>
      </c>
      <c r="J98" s="18" t="str">
        <f>IF($B98&lt;&gt;"",VLOOKUP($B98,'Planning Sheet'!$B$8:$AL$500,17,0),"")</f>
        <v/>
      </c>
      <c r="K98" s="18" t="str">
        <f>IF($B98&lt;&gt;"",VLOOKUP($B98,'Planning Sheet'!$B$8:$AL$500,19,0),"")</f>
        <v/>
      </c>
      <c r="L98" s="18" t="str">
        <f>IF($B98&lt;&gt;"",VLOOKUP($B98,'Planning Sheet'!$B$8:$AL$500,21,0),"")</f>
        <v/>
      </c>
      <c r="M98" s="18" t="str">
        <f>IF($B98&lt;&gt;"",VLOOKUP($B98,'Planning Sheet'!$B$8:$AL$500,23,0),"")</f>
        <v/>
      </c>
      <c r="N98" s="18" t="str">
        <f>IF($B98&lt;&gt;"",VLOOKUP($B98,'Planning Sheet'!$B$8:$AL$500,25,0),"")</f>
        <v/>
      </c>
      <c r="O98" s="18" t="str">
        <f>IF($B98&lt;&gt;"",VLOOKUP($B98,'Planning Sheet'!$B$8:$AL$500,26,0),"")</f>
        <v/>
      </c>
      <c r="P98" s="19" t="str">
        <f>IF($B98&lt;&gt;"",VLOOKUP($B98,'Planning Sheet'!$B$8:$AL$500,27,0),"")</f>
        <v/>
      </c>
      <c r="Q98" s="19" t="str">
        <f>IF($B98&lt;&gt;"",VLOOKUP($B98,'Planning Sheet'!$B$8:$AL$500,34,0),"")</f>
        <v/>
      </c>
      <c r="R98" s="19" t="str">
        <f>IF($B98&lt;&gt;"",VLOOKUP($B98,'Planning Sheet'!$B$8:$AL$500,36,0),"")</f>
        <v/>
      </c>
      <c r="S98" s="19" t="str">
        <f>IF($B98&lt;&gt;"",VLOOKUP($B98,'Planning Sheet'!$B$8:$AM$500,38,0),"")</f>
        <v/>
      </c>
      <c r="T98" s="18" t="str">
        <f t="shared" si="3"/>
        <v/>
      </c>
      <c r="U98" s="100" t="str">
        <f t="shared" si="2"/>
        <v/>
      </c>
      <c r="Y98" s="48" t="str">
        <f ca="1">IF(AND('Planning Sheet'!$AT103='Weeks Plan'!$D$6,'Planning Sheet'!$AN103='Weeks Plan'!$G$6),'Planning Sheet'!$B103,"")</f>
        <v/>
      </c>
      <c r="Z98" s="48" t="str">
        <f ca="1">IF(AND('Planning Sheet'!$AT103='Weeks Plan'!$D$6,'Planning Sheet'!$AN103='Weeks Plan'!$G$6),'Planning Sheet'!$AO103,"")</f>
        <v/>
      </c>
      <c r="AA98" s="48" t="str">
        <f ca="1">IF(AND('Planning Sheet'!$AT103='Weeks Plan'!$D$6,'Planning Sheet'!$AN103='Weeks Plan'!$G$6),'Planning Sheet'!AP103,"")</f>
        <v/>
      </c>
    </row>
    <row r="99" spans="2:27" x14ac:dyDescent="0.3">
      <c r="B99" s="11"/>
      <c r="C99" s="75" t="str">
        <f>IF($B99&lt;&gt;"",VLOOKUP($B99,'Planning Sheet'!$B$8:$AL$500,3,0),"")</f>
        <v/>
      </c>
      <c r="D99" s="18" t="str">
        <f>IF($B99&lt;&gt;"",VLOOKUP($B99,'Planning Sheet'!$B$8:$AL$500,5,0),"")</f>
        <v/>
      </c>
      <c r="E99" s="18" t="str">
        <f>IF($B99&lt;&gt;"",VLOOKUP($B99,'Planning Sheet'!$B$8:$AL$500,7,0),"")</f>
        <v/>
      </c>
      <c r="F99" s="18" t="str">
        <f>IF($B99&lt;&gt;"",VLOOKUP($B99,'Planning Sheet'!$B$8:$AL$500,9,0),"")</f>
        <v/>
      </c>
      <c r="G99" s="18" t="str">
        <f>IF($B99&lt;&gt;"",VLOOKUP($B99,'Planning Sheet'!$B$8:$AL$500,11,0),"")</f>
        <v/>
      </c>
      <c r="H99" s="18" t="str">
        <f>IF($B99&lt;&gt;"",VLOOKUP($B99,'Planning Sheet'!$B$8:$AL$500,13,0),"")</f>
        <v/>
      </c>
      <c r="I99" s="18" t="str">
        <f>IF($B99&lt;&gt;"",VLOOKUP($B99,'Planning Sheet'!$B$8:$AL$500,15,0),"")</f>
        <v/>
      </c>
      <c r="J99" s="18" t="str">
        <f>IF($B99&lt;&gt;"",VLOOKUP($B99,'Planning Sheet'!$B$8:$AL$500,17,0),"")</f>
        <v/>
      </c>
      <c r="K99" s="18" t="str">
        <f>IF($B99&lt;&gt;"",VLOOKUP($B99,'Planning Sheet'!$B$8:$AL$500,19,0),"")</f>
        <v/>
      </c>
      <c r="L99" s="18" t="str">
        <f>IF($B99&lt;&gt;"",VLOOKUP($B99,'Planning Sheet'!$B$8:$AL$500,21,0),"")</f>
        <v/>
      </c>
      <c r="M99" s="18" t="str">
        <f>IF($B99&lt;&gt;"",VLOOKUP($B99,'Planning Sheet'!$B$8:$AL$500,23,0),"")</f>
        <v/>
      </c>
      <c r="N99" s="18" t="str">
        <f>IF($B99&lt;&gt;"",VLOOKUP($B99,'Planning Sheet'!$B$8:$AL$500,25,0),"")</f>
        <v/>
      </c>
      <c r="O99" s="18" t="str">
        <f>IF($B99&lt;&gt;"",VLOOKUP($B99,'Planning Sheet'!$B$8:$AL$500,26,0),"")</f>
        <v/>
      </c>
      <c r="P99" s="19" t="str">
        <f>IF($B99&lt;&gt;"",VLOOKUP($B99,'Planning Sheet'!$B$8:$AL$500,27,0),"")</f>
        <v/>
      </c>
      <c r="Q99" s="19" t="str">
        <f>IF($B99&lt;&gt;"",VLOOKUP($B99,'Planning Sheet'!$B$8:$AL$500,34,0),"")</f>
        <v/>
      </c>
      <c r="R99" s="19" t="str">
        <f>IF($B99&lt;&gt;"",VLOOKUP($B99,'Planning Sheet'!$B$8:$AL$500,36,0),"")</f>
        <v/>
      </c>
      <c r="S99" s="19" t="str">
        <f>IF($B99&lt;&gt;"",VLOOKUP($B99,'Planning Sheet'!$B$8:$AM$500,38,0),"")</f>
        <v/>
      </c>
      <c r="T99" s="18" t="str">
        <f t="shared" si="3"/>
        <v/>
      </c>
      <c r="U99" s="100" t="str">
        <f t="shared" si="2"/>
        <v/>
      </c>
      <c r="Y99" s="48" t="str">
        <f ca="1">IF(AND('Planning Sheet'!$AT104='Weeks Plan'!$D$6,'Planning Sheet'!$AN104='Weeks Plan'!$G$6),'Planning Sheet'!$B104,"")</f>
        <v/>
      </c>
      <c r="Z99" s="48" t="str">
        <f ca="1">IF(AND('Planning Sheet'!$AT104='Weeks Plan'!$D$6,'Planning Sheet'!$AN104='Weeks Plan'!$G$6),'Planning Sheet'!$AO104,"")</f>
        <v/>
      </c>
      <c r="AA99" s="48" t="str">
        <f ca="1">IF(AND('Planning Sheet'!$AT104='Weeks Plan'!$D$6,'Planning Sheet'!$AN104='Weeks Plan'!$G$6),'Planning Sheet'!AP104,"")</f>
        <v/>
      </c>
    </row>
    <row r="100" spans="2:27" x14ac:dyDescent="0.3">
      <c r="B100" s="11"/>
      <c r="C100" s="75" t="str">
        <f>IF($B100&lt;&gt;"",VLOOKUP($B100,'Planning Sheet'!$B$8:$AL$500,3,0),"")</f>
        <v/>
      </c>
      <c r="D100" s="18" t="str">
        <f>IF($B100&lt;&gt;"",VLOOKUP($B100,'Planning Sheet'!$B$8:$AL$500,5,0),"")</f>
        <v/>
      </c>
      <c r="E100" s="18" t="str">
        <f>IF($B100&lt;&gt;"",VLOOKUP($B100,'Planning Sheet'!$B$8:$AL$500,7,0),"")</f>
        <v/>
      </c>
      <c r="F100" s="18" t="str">
        <f>IF($B100&lt;&gt;"",VLOOKUP($B100,'Planning Sheet'!$B$8:$AL$500,9,0),"")</f>
        <v/>
      </c>
      <c r="G100" s="18" t="str">
        <f>IF($B100&lt;&gt;"",VLOOKUP($B100,'Planning Sheet'!$B$8:$AL$500,11,0),"")</f>
        <v/>
      </c>
      <c r="H100" s="18" t="str">
        <f>IF($B100&lt;&gt;"",VLOOKUP($B100,'Planning Sheet'!$B$8:$AL$500,13,0),"")</f>
        <v/>
      </c>
      <c r="I100" s="18" t="str">
        <f>IF($B100&lt;&gt;"",VLOOKUP($B100,'Planning Sheet'!$B$8:$AL$500,15,0),"")</f>
        <v/>
      </c>
      <c r="J100" s="18" t="str">
        <f>IF($B100&lt;&gt;"",VLOOKUP($B100,'Planning Sheet'!$B$8:$AL$500,17,0),"")</f>
        <v/>
      </c>
      <c r="K100" s="18" t="str">
        <f>IF($B100&lt;&gt;"",VLOOKUP($B100,'Planning Sheet'!$B$8:$AL$500,19,0),"")</f>
        <v/>
      </c>
      <c r="L100" s="18" t="str">
        <f>IF($B100&lt;&gt;"",VLOOKUP($B100,'Planning Sheet'!$B$8:$AL$500,21,0),"")</f>
        <v/>
      </c>
      <c r="M100" s="18" t="str">
        <f>IF($B100&lt;&gt;"",VLOOKUP($B100,'Planning Sheet'!$B$8:$AL$500,23,0),"")</f>
        <v/>
      </c>
      <c r="N100" s="18" t="str">
        <f>IF($B100&lt;&gt;"",VLOOKUP($B100,'Planning Sheet'!$B$8:$AL$500,25,0),"")</f>
        <v/>
      </c>
      <c r="O100" s="18" t="str">
        <f>IF($B100&lt;&gt;"",VLOOKUP($B100,'Planning Sheet'!$B$8:$AL$500,26,0),"")</f>
        <v/>
      </c>
      <c r="P100" s="19" t="str">
        <f>IF($B100&lt;&gt;"",VLOOKUP($B100,'Planning Sheet'!$B$8:$AL$500,27,0),"")</f>
        <v/>
      </c>
      <c r="Q100" s="19" t="str">
        <f>IF($B100&lt;&gt;"",VLOOKUP($B100,'Planning Sheet'!$B$8:$AL$500,34,0),"")</f>
        <v/>
      </c>
      <c r="R100" s="19" t="str">
        <f>IF($B100&lt;&gt;"",VLOOKUP($B100,'Planning Sheet'!$B$8:$AL$500,36,0),"")</f>
        <v/>
      </c>
      <c r="S100" s="19" t="str">
        <f>IF($B100&lt;&gt;"",VLOOKUP($B100,'Planning Sheet'!$B$8:$AM$500,38,0),"")</f>
        <v/>
      </c>
      <c r="T100" s="18" t="str">
        <f t="shared" si="3"/>
        <v/>
      </c>
      <c r="U100" s="100" t="str">
        <f t="shared" si="2"/>
        <v/>
      </c>
      <c r="Y100" s="48" t="str">
        <f ca="1">IF(AND('Planning Sheet'!$AT105='Weeks Plan'!$D$6,'Planning Sheet'!$AN105='Weeks Plan'!$G$6),'Planning Sheet'!$B105,"")</f>
        <v/>
      </c>
      <c r="Z100" s="48" t="str">
        <f ca="1">IF(AND('Planning Sheet'!$AT105='Weeks Plan'!$D$6,'Planning Sheet'!$AN105='Weeks Plan'!$G$6),'Planning Sheet'!$AO105,"")</f>
        <v/>
      </c>
      <c r="AA100" s="48" t="str">
        <f ca="1">IF(AND('Planning Sheet'!$AT105='Weeks Plan'!$D$6,'Planning Sheet'!$AN105='Weeks Plan'!$G$6),'Planning Sheet'!AP105,"")</f>
        <v/>
      </c>
    </row>
    <row r="101" spans="2:27" x14ac:dyDescent="0.3">
      <c r="B101" s="11"/>
      <c r="C101" s="75" t="str">
        <f>IF($B101&lt;&gt;"",VLOOKUP($B101,'Planning Sheet'!$B$8:$AL$500,3,0),"")</f>
        <v/>
      </c>
      <c r="D101" s="18" t="str">
        <f>IF($B101&lt;&gt;"",VLOOKUP($B101,'Planning Sheet'!$B$8:$AL$500,5,0),"")</f>
        <v/>
      </c>
      <c r="E101" s="18" t="str">
        <f>IF($B101&lt;&gt;"",VLOOKUP($B101,'Planning Sheet'!$B$8:$AL$500,7,0),"")</f>
        <v/>
      </c>
      <c r="F101" s="18" t="str">
        <f>IF($B101&lt;&gt;"",VLOOKUP($B101,'Planning Sheet'!$B$8:$AL$500,9,0),"")</f>
        <v/>
      </c>
      <c r="G101" s="18" t="str">
        <f>IF($B101&lt;&gt;"",VLOOKUP($B101,'Planning Sheet'!$B$8:$AL$500,11,0),"")</f>
        <v/>
      </c>
      <c r="H101" s="18" t="str">
        <f>IF($B101&lt;&gt;"",VLOOKUP($B101,'Planning Sheet'!$B$8:$AL$500,13,0),"")</f>
        <v/>
      </c>
      <c r="I101" s="18" t="str">
        <f>IF($B101&lt;&gt;"",VLOOKUP($B101,'Planning Sheet'!$B$8:$AL$500,15,0),"")</f>
        <v/>
      </c>
      <c r="J101" s="18" t="str">
        <f>IF($B101&lt;&gt;"",VLOOKUP($B101,'Planning Sheet'!$B$8:$AL$500,17,0),"")</f>
        <v/>
      </c>
      <c r="K101" s="18" t="str">
        <f>IF($B101&lt;&gt;"",VLOOKUP($B101,'Planning Sheet'!$B$8:$AL$500,19,0),"")</f>
        <v/>
      </c>
      <c r="L101" s="18" t="str">
        <f>IF($B101&lt;&gt;"",VLOOKUP($B101,'Planning Sheet'!$B$8:$AL$500,21,0),"")</f>
        <v/>
      </c>
      <c r="M101" s="18" t="str">
        <f>IF($B101&lt;&gt;"",VLOOKUP($B101,'Planning Sheet'!$B$8:$AL$500,23,0),"")</f>
        <v/>
      </c>
      <c r="N101" s="18" t="str">
        <f>IF($B101&lt;&gt;"",VLOOKUP($B101,'Planning Sheet'!$B$8:$AL$500,25,0),"")</f>
        <v/>
      </c>
      <c r="O101" s="18" t="str">
        <f>IF($B101&lt;&gt;"",VLOOKUP($B101,'Planning Sheet'!$B$8:$AL$500,26,0),"")</f>
        <v/>
      </c>
      <c r="P101" s="19" t="str">
        <f>IF($B101&lt;&gt;"",VLOOKUP($B101,'Planning Sheet'!$B$8:$AL$500,27,0),"")</f>
        <v/>
      </c>
      <c r="Q101" s="19" t="str">
        <f>IF($B101&lt;&gt;"",VLOOKUP($B101,'Planning Sheet'!$B$8:$AL$500,34,0),"")</f>
        <v/>
      </c>
      <c r="R101" s="19" t="str">
        <f>IF($B101&lt;&gt;"",VLOOKUP($B101,'Planning Sheet'!$B$8:$AL$500,36,0),"")</f>
        <v/>
      </c>
      <c r="S101" s="19" t="str">
        <f>IF($B101&lt;&gt;"",VLOOKUP($B101,'Planning Sheet'!$B$8:$AM$500,38,0),"")</f>
        <v/>
      </c>
      <c r="T101" s="18" t="str">
        <f t="shared" si="3"/>
        <v/>
      </c>
      <c r="U101" s="100" t="str">
        <f t="shared" si="2"/>
        <v/>
      </c>
      <c r="Y101" s="48" t="str">
        <f ca="1">IF(AND('Planning Sheet'!$AT106='Weeks Plan'!$D$6,'Planning Sheet'!$AN106='Weeks Plan'!$G$6),'Planning Sheet'!$B106,"")</f>
        <v/>
      </c>
      <c r="Z101" s="48" t="str">
        <f ca="1">IF(AND('Planning Sheet'!$AT106='Weeks Plan'!$D$6,'Planning Sheet'!$AN106='Weeks Plan'!$G$6),'Planning Sheet'!$AO106,"")</f>
        <v/>
      </c>
      <c r="AA101" s="48" t="str">
        <f ca="1">IF(AND('Planning Sheet'!$AT106='Weeks Plan'!$D$6,'Planning Sheet'!$AN106='Weeks Plan'!$G$6),'Planning Sheet'!AP106,"")</f>
        <v/>
      </c>
    </row>
    <row r="102" spans="2:27" x14ac:dyDescent="0.3">
      <c r="B102" s="11"/>
      <c r="C102" s="75" t="str">
        <f>IF($B102&lt;&gt;"",VLOOKUP($B102,'Planning Sheet'!$B$8:$AL$500,3,0),"")</f>
        <v/>
      </c>
      <c r="D102" s="18" t="str">
        <f>IF($B102&lt;&gt;"",VLOOKUP($B102,'Planning Sheet'!$B$8:$AL$500,5,0),"")</f>
        <v/>
      </c>
      <c r="E102" s="18" t="str">
        <f>IF($B102&lt;&gt;"",VLOOKUP($B102,'Planning Sheet'!$B$8:$AL$500,7,0),"")</f>
        <v/>
      </c>
      <c r="F102" s="18" t="str">
        <f>IF($B102&lt;&gt;"",VLOOKUP($B102,'Planning Sheet'!$B$8:$AL$500,9,0),"")</f>
        <v/>
      </c>
      <c r="G102" s="18" t="str">
        <f>IF($B102&lt;&gt;"",VLOOKUP($B102,'Planning Sheet'!$B$8:$AL$500,11,0),"")</f>
        <v/>
      </c>
      <c r="H102" s="18" t="str">
        <f>IF($B102&lt;&gt;"",VLOOKUP($B102,'Planning Sheet'!$B$8:$AL$500,13,0),"")</f>
        <v/>
      </c>
      <c r="I102" s="18" t="str">
        <f>IF($B102&lt;&gt;"",VLOOKUP($B102,'Planning Sheet'!$B$8:$AL$500,15,0),"")</f>
        <v/>
      </c>
      <c r="J102" s="18" t="str">
        <f>IF($B102&lt;&gt;"",VLOOKUP($B102,'Planning Sheet'!$B$8:$AL$500,17,0),"")</f>
        <v/>
      </c>
      <c r="K102" s="18" t="str">
        <f>IF($B102&lt;&gt;"",VLOOKUP($B102,'Planning Sheet'!$B$8:$AL$500,19,0),"")</f>
        <v/>
      </c>
      <c r="L102" s="18" t="str">
        <f>IF($B102&lt;&gt;"",VLOOKUP($B102,'Planning Sheet'!$B$8:$AL$500,21,0),"")</f>
        <v/>
      </c>
      <c r="M102" s="18" t="str">
        <f>IF($B102&lt;&gt;"",VLOOKUP($B102,'Planning Sheet'!$B$8:$AL$500,23,0),"")</f>
        <v/>
      </c>
      <c r="N102" s="18" t="str">
        <f>IF($B102&lt;&gt;"",VLOOKUP($B102,'Planning Sheet'!$B$8:$AL$500,25,0),"")</f>
        <v/>
      </c>
      <c r="O102" s="18" t="str">
        <f>IF($B102&lt;&gt;"",VLOOKUP($B102,'Planning Sheet'!$B$8:$AL$500,26,0),"")</f>
        <v/>
      </c>
      <c r="P102" s="19" t="str">
        <f>IF($B102&lt;&gt;"",VLOOKUP($B102,'Planning Sheet'!$B$8:$AL$500,27,0),"")</f>
        <v/>
      </c>
      <c r="Q102" s="19" t="str">
        <f>IF($B102&lt;&gt;"",VLOOKUP($B102,'Planning Sheet'!$B$8:$AL$500,34,0),"")</f>
        <v/>
      </c>
      <c r="R102" s="19" t="str">
        <f>IF($B102&lt;&gt;"",VLOOKUP($B102,'Planning Sheet'!$B$8:$AL$500,36,0),"")</f>
        <v/>
      </c>
      <c r="S102" s="19" t="str">
        <f>IF($B102&lt;&gt;"",VLOOKUP($B102,'Planning Sheet'!$B$8:$AM$500,38,0),"")</f>
        <v/>
      </c>
      <c r="T102" s="18" t="str">
        <f t="shared" si="3"/>
        <v/>
      </c>
      <c r="U102" s="100" t="str">
        <f t="shared" si="2"/>
        <v/>
      </c>
      <c r="Y102" s="48" t="str">
        <f ca="1">IF(AND('Planning Sheet'!$AT107='Weeks Plan'!$D$6,'Planning Sheet'!$AN107='Weeks Plan'!$G$6),'Planning Sheet'!$B107,"")</f>
        <v/>
      </c>
      <c r="Z102" s="48" t="str">
        <f ca="1">IF(AND('Planning Sheet'!$AT107='Weeks Plan'!$D$6,'Planning Sheet'!$AN107='Weeks Plan'!$G$6),'Planning Sheet'!$AO107,"")</f>
        <v/>
      </c>
      <c r="AA102" s="48" t="str">
        <f ca="1">IF(AND('Planning Sheet'!$AT107='Weeks Plan'!$D$6,'Planning Sheet'!$AN107='Weeks Plan'!$G$6),'Planning Sheet'!AP107,"")</f>
        <v/>
      </c>
    </row>
    <row r="103" spans="2:27" x14ac:dyDescent="0.3">
      <c r="B103" s="11"/>
      <c r="C103" s="75" t="str">
        <f>IF($B103&lt;&gt;"",VLOOKUP($B103,'Planning Sheet'!$B$8:$AL$500,3,0),"")</f>
        <v/>
      </c>
      <c r="D103" s="18" t="str">
        <f>IF($B103&lt;&gt;"",VLOOKUP($B103,'Planning Sheet'!$B$8:$AL$500,5,0),"")</f>
        <v/>
      </c>
      <c r="E103" s="18" t="str">
        <f>IF($B103&lt;&gt;"",VLOOKUP($B103,'Planning Sheet'!$B$8:$AL$500,7,0),"")</f>
        <v/>
      </c>
      <c r="F103" s="18" t="str">
        <f>IF($B103&lt;&gt;"",VLOOKUP($B103,'Planning Sheet'!$B$8:$AL$500,9,0),"")</f>
        <v/>
      </c>
      <c r="G103" s="18" t="str">
        <f>IF($B103&lt;&gt;"",VLOOKUP($B103,'Planning Sheet'!$B$8:$AL$500,11,0),"")</f>
        <v/>
      </c>
      <c r="H103" s="18" t="str">
        <f>IF($B103&lt;&gt;"",VLOOKUP($B103,'Planning Sheet'!$B$8:$AL$500,13,0),"")</f>
        <v/>
      </c>
      <c r="I103" s="18" t="str">
        <f>IF($B103&lt;&gt;"",VLOOKUP($B103,'Planning Sheet'!$B$8:$AL$500,15,0),"")</f>
        <v/>
      </c>
      <c r="J103" s="18" t="str">
        <f>IF($B103&lt;&gt;"",VLOOKUP($B103,'Planning Sheet'!$B$8:$AL$500,17,0),"")</f>
        <v/>
      </c>
      <c r="K103" s="18" t="str">
        <f>IF($B103&lt;&gt;"",VLOOKUP($B103,'Planning Sheet'!$B$8:$AL$500,19,0),"")</f>
        <v/>
      </c>
      <c r="L103" s="18" t="str">
        <f>IF($B103&lt;&gt;"",VLOOKUP($B103,'Planning Sheet'!$B$8:$AL$500,21,0),"")</f>
        <v/>
      </c>
      <c r="M103" s="18" t="str">
        <f>IF($B103&lt;&gt;"",VLOOKUP($B103,'Planning Sheet'!$B$8:$AL$500,23,0),"")</f>
        <v/>
      </c>
      <c r="N103" s="18" t="str">
        <f>IF($B103&lt;&gt;"",VLOOKUP($B103,'Planning Sheet'!$B$8:$AL$500,25,0),"")</f>
        <v/>
      </c>
      <c r="O103" s="18" t="str">
        <f>IF($B103&lt;&gt;"",VLOOKUP($B103,'Planning Sheet'!$B$8:$AL$500,26,0),"")</f>
        <v/>
      </c>
      <c r="P103" s="19" t="str">
        <f>IF($B103&lt;&gt;"",VLOOKUP($B103,'Planning Sheet'!$B$8:$AL$500,27,0),"")</f>
        <v/>
      </c>
      <c r="Q103" s="19" t="str">
        <f>IF($B103&lt;&gt;"",VLOOKUP($B103,'Planning Sheet'!$B$8:$AL$500,34,0),"")</f>
        <v/>
      </c>
      <c r="R103" s="19" t="str">
        <f>IF($B103&lt;&gt;"",VLOOKUP($B103,'Planning Sheet'!$B$8:$AL$500,36,0),"")</f>
        <v/>
      </c>
      <c r="S103" s="19" t="str">
        <f>IF($B103&lt;&gt;"",VLOOKUP($B103,'Planning Sheet'!$B$8:$AM$500,38,0),"")</f>
        <v/>
      </c>
      <c r="T103" s="18" t="str">
        <f t="shared" si="3"/>
        <v/>
      </c>
      <c r="U103" s="100" t="str">
        <f t="shared" si="2"/>
        <v/>
      </c>
      <c r="Y103" s="48" t="str">
        <f ca="1">IF(AND('Planning Sheet'!$AT108='Weeks Plan'!$D$6,'Planning Sheet'!$AN108='Weeks Plan'!$G$6),'Planning Sheet'!$B108,"")</f>
        <v/>
      </c>
      <c r="Z103" s="48" t="str">
        <f ca="1">IF(AND('Planning Sheet'!$AT108='Weeks Plan'!$D$6,'Planning Sheet'!$AN108='Weeks Plan'!$G$6),'Planning Sheet'!$AO108,"")</f>
        <v/>
      </c>
      <c r="AA103" s="48" t="str">
        <f ca="1">IF(AND('Planning Sheet'!$AT108='Weeks Plan'!$D$6,'Planning Sheet'!$AN108='Weeks Plan'!$G$6),'Planning Sheet'!AP108,"")</f>
        <v/>
      </c>
    </row>
    <row r="104" spans="2:27" x14ac:dyDescent="0.3">
      <c r="B104" s="11"/>
      <c r="C104" s="75" t="str">
        <f>IF($B104&lt;&gt;"",VLOOKUP($B104,'Planning Sheet'!$B$8:$AL$500,3,0),"")</f>
        <v/>
      </c>
      <c r="D104" s="18" t="str">
        <f>IF($B104&lt;&gt;"",VLOOKUP($B104,'Planning Sheet'!$B$8:$AL$500,5,0),"")</f>
        <v/>
      </c>
      <c r="E104" s="18" t="str">
        <f>IF($B104&lt;&gt;"",VLOOKUP($B104,'Planning Sheet'!$B$8:$AL$500,7,0),"")</f>
        <v/>
      </c>
      <c r="F104" s="18" t="str">
        <f>IF($B104&lt;&gt;"",VLOOKUP($B104,'Planning Sheet'!$B$8:$AL$500,9,0),"")</f>
        <v/>
      </c>
      <c r="G104" s="18" t="str">
        <f>IF($B104&lt;&gt;"",VLOOKUP($B104,'Planning Sheet'!$B$8:$AL$500,11,0),"")</f>
        <v/>
      </c>
      <c r="H104" s="18" t="str">
        <f>IF($B104&lt;&gt;"",VLOOKUP($B104,'Planning Sheet'!$B$8:$AL$500,13,0),"")</f>
        <v/>
      </c>
      <c r="I104" s="18" t="str">
        <f>IF($B104&lt;&gt;"",VLOOKUP($B104,'Planning Sheet'!$B$8:$AL$500,15,0),"")</f>
        <v/>
      </c>
      <c r="J104" s="18" t="str">
        <f>IF($B104&lt;&gt;"",VLOOKUP($B104,'Planning Sheet'!$B$8:$AL$500,17,0),"")</f>
        <v/>
      </c>
      <c r="K104" s="18" t="str">
        <f>IF($B104&lt;&gt;"",VLOOKUP($B104,'Planning Sheet'!$B$8:$AL$500,19,0),"")</f>
        <v/>
      </c>
      <c r="L104" s="18" t="str">
        <f>IF($B104&lt;&gt;"",VLOOKUP($B104,'Planning Sheet'!$B$8:$AL$500,21,0),"")</f>
        <v/>
      </c>
      <c r="M104" s="18" t="str">
        <f>IF($B104&lt;&gt;"",VLOOKUP($B104,'Planning Sheet'!$B$8:$AL$500,23,0),"")</f>
        <v/>
      </c>
      <c r="N104" s="18" t="str">
        <f>IF($B104&lt;&gt;"",VLOOKUP($B104,'Planning Sheet'!$B$8:$AL$500,25,0),"")</f>
        <v/>
      </c>
      <c r="O104" s="18" t="str">
        <f>IF($B104&lt;&gt;"",VLOOKUP($B104,'Planning Sheet'!$B$8:$AL$500,26,0),"")</f>
        <v/>
      </c>
      <c r="P104" s="19" t="str">
        <f>IF($B104&lt;&gt;"",VLOOKUP($B104,'Planning Sheet'!$B$8:$AL$500,27,0),"")</f>
        <v/>
      </c>
      <c r="Q104" s="19" t="str">
        <f>IF($B104&lt;&gt;"",VLOOKUP($B104,'Planning Sheet'!$B$8:$AL$500,34,0),"")</f>
        <v/>
      </c>
      <c r="R104" s="19" t="str">
        <f>IF($B104&lt;&gt;"",VLOOKUP($B104,'Planning Sheet'!$B$8:$AL$500,36,0),"")</f>
        <v/>
      </c>
      <c r="S104" s="19" t="str">
        <f>IF($B104&lt;&gt;"",VLOOKUP($B104,'Planning Sheet'!$B$8:$AM$500,38,0),"")</f>
        <v/>
      </c>
      <c r="T104" s="18" t="str">
        <f t="shared" si="3"/>
        <v/>
      </c>
      <c r="U104" s="100" t="str">
        <f t="shared" si="2"/>
        <v/>
      </c>
      <c r="Y104" s="48" t="str">
        <f ca="1">IF(AND('Planning Sheet'!$AT109='Weeks Plan'!$D$6,'Planning Sheet'!$AN109='Weeks Plan'!$G$6),'Planning Sheet'!$B109,"")</f>
        <v/>
      </c>
      <c r="Z104" s="48" t="str">
        <f ca="1">IF(AND('Planning Sheet'!$AT109='Weeks Plan'!$D$6,'Planning Sheet'!$AN109='Weeks Plan'!$G$6),'Planning Sheet'!$AO109,"")</f>
        <v/>
      </c>
      <c r="AA104" s="48" t="str">
        <f ca="1">IF(AND('Planning Sheet'!$AT109='Weeks Plan'!$D$6,'Planning Sheet'!$AN109='Weeks Plan'!$G$6),'Planning Sheet'!AP109,"")</f>
        <v/>
      </c>
    </row>
    <row r="105" spans="2:27" x14ac:dyDescent="0.3">
      <c r="B105" s="11"/>
      <c r="C105" s="75" t="str">
        <f>IF($B105&lt;&gt;"",VLOOKUP($B105,'Planning Sheet'!$B$8:$AL$500,3,0),"")</f>
        <v/>
      </c>
      <c r="D105" s="18" t="str">
        <f>IF($B105&lt;&gt;"",VLOOKUP($B105,'Planning Sheet'!$B$8:$AL$500,5,0),"")</f>
        <v/>
      </c>
      <c r="E105" s="18" t="str">
        <f>IF($B105&lt;&gt;"",VLOOKUP($B105,'Planning Sheet'!$B$8:$AL$500,7,0),"")</f>
        <v/>
      </c>
      <c r="F105" s="18" t="str">
        <f>IF($B105&lt;&gt;"",VLOOKUP($B105,'Planning Sheet'!$B$8:$AL$500,9,0),"")</f>
        <v/>
      </c>
      <c r="G105" s="18" t="str">
        <f>IF($B105&lt;&gt;"",VLOOKUP($B105,'Planning Sheet'!$B$8:$AL$500,11,0),"")</f>
        <v/>
      </c>
      <c r="H105" s="18" t="str">
        <f>IF($B105&lt;&gt;"",VLOOKUP($B105,'Planning Sheet'!$B$8:$AL$500,13,0),"")</f>
        <v/>
      </c>
      <c r="I105" s="18" t="str">
        <f>IF($B105&lt;&gt;"",VLOOKUP($B105,'Planning Sheet'!$B$8:$AL$500,15,0),"")</f>
        <v/>
      </c>
      <c r="J105" s="18" t="str">
        <f>IF($B105&lt;&gt;"",VLOOKUP($B105,'Planning Sheet'!$B$8:$AL$500,17,0),"")</f>
        <v/>
      </c>
      <c r="K105" s="18" t="str">
        <f>IF($B105&lt;&gt;"",VLOOKUP($B105,'Planning Sheet'!$B$8:$AL$500,19,0),"")</f>
        <v/>
      </c>
      <c r="L105" s="18" t="str">
        <f>IF($B105&lt;&gt;"",VLOOKUP($B105,'Planning Sheet'!$B$8:$AL$500,21,0),"")</f>
        <v/>
      </c>
      <c r="M105" s="18" t="str">
        <f>IF($B105&lt;&gt;"",VLOOKUP($B105,'Planning Sheet'!$B$8:$AL$500,23,0),"")</f>
        <v/>
      </c>
      <c r="N105" s="18" t="str">
        <f>IF($B105&lt;&gt;"",VLOOKUP($B105,'Planning Sheet'!$B$8:$AL$500,25,0),"")</f>
        <v/>
      </c>
      <c r="O105" s="18" t="str">
        <f>IF($B105&lt;&gt;"",VLOOKUP($B105,'Planning Sheet'!$B$8:$AL$500,26,0),"")</f>
        <v/>
      </c>
      <c r="P105" s="19" t="str">
        <f>IF($B105&lt;&gt;"",VLOOKUP($B105,'Planning Sheet'!$B$8:$AL$500,27,0),"")</f>
        <v/>
      </c>
      <c r="Q105" s="19" t="str">
        <f>IF($B105&lt;&gt;"",VLOOKUP($B105,'Planning Sheet'!$B$8:$AL$500,34,0),"")</f>
        <v/>
      </c>
      <c r="R105" s="19" t="str">
        <f>IF($B105&lt;&gt;"",VLOOKUP($B105,'Planning Sheet'!$B$8:$AL$500,36,0),"")</f>
        <v/>
      </c>
      <c r="S105" s="19" t="str">
        <f>IF($B105&lt;&gt;"",VLOOKUP($B105,'Planning Sheet'!$B$8:$AM$500,38,0),"")</f>
        <v/>
      </c>
      <c r="T105" s="18" t="str">
        <f t="shared" si="3"/>
        <v/>
      </c>
      <c r="U105" s="100" t="str">
        <f t="shared" si="2"/>
        <v/>
      </c>
      <c r="Y105" s="48" t="str">
        <f ca="1">IF(AND('Planning Sheet'!$AT110='Weeks Plan'!$D$6,'Planning Sheet'!$AN110='Weeks Plan'!$G$6),'Planning Sheet'!$B110,"")</f>
        <v/>
      </c>
      <c r="Z105" s="48" t="str">
        <f ca="1">IF(AND('Planning Sheet'!$AT110='Weeks Plan'!$D$6,'Planning Sheet'!$AN110='Weeks Plan'!$G$6),'Planning Sheet'!$AO110,"")</f>
        <v/>
      </c>
      <c r="AA105" s="48" t="str">
        <f ca="1">IF(AND('Planning Sheet'!$AT110='Weeks Plan'!$D$6,'Planning Sheet'!$AN110='Weeks Plan'!$G$6),'Planning Sheet'!AP110,"")</f>
        <v/>
      </c>
    </row>
    <row r="106" spans="2:27" x14ac:dyDescent="0.3">
      <c r="B106" s="11"/>
      <c r="C106" s="75" t="str">
        <f>IF($B106&lt;&gt;"",VLOOKUP($B106,'Planning Sheet'!$B$8:$AL$500,3,0),"")</f>
        <v/>
      </c>
      <c r="D106" s="18" t="str">
        <f>IF($B106&lt;&gt;"",VLOOKUP($B106,'Planning Sheet'!$B$8:$AL$500,5,0),"")</f>
        <v/>
      </c>
      <c r="E106" s="18" t="str">
        <f>IF($B106&lt;&gt;"",VLOOKUP($B106,'Planning Sheet'!$B$8:$AL$500,7,0),"")</f>
        <v/>
      </c>
      <c r="F106" s="18" t="str">
        <f>IF($B106&lt;&gt;"",VLOOKUP($B106,'Planning Sheet'!$B$8:$AL$500,9,0),"")</f>
        <v/>
      </c>
      <c r="G106" s="18" t="str">
        <f>IF($B106&lt;&gt;"",VLOOKUP($B106,'Planning Sheet'!$B$8:$AL$500,11,0),"")</f>
        <v/>
      </c>
      <c r="H106" s="18" t="str">
        <f>IF($B106&lt;&gt;"",VLOOKUP($B106,'Planning Sheet'!$B$8:$AL$500,13,0),"")</f>
        <v/>
      </c>
      <c r="I106" s="18" t="str">
        <f>IF($B106&lt;&gt;"",VLOOKUP($B106,'Planning Sheet'!$B$8:$AL$500,15,0),"")</f>
        <v/>
      </c>
      <c r="J106" s="18" t="str">
        <f>IF($B106&lt;&gt;"",VLOOKUP($B106,'Planning Sheet'!$B$8:$AL$500,17,0),"")</f>
        <v/>
      </c>
      <c r="K106" s="18" t="str">
        <f>IF($B106&lt;&gt;"",VLOOKUP($B106,'Planning Sheet'!$B$8:$AL$500,19,0),"")</f>
        <v/>
      </c>
      <c r="L106" s="18" t="str">
        <f>IF($B106&lt;&gt;"",VLOOKUP($B106,'Planning Sheet'!$B$8:$AL$500,21,0),"")</f>
        <v/>
      </c>
      <c r="M106" s="18" t="str">
        <f>IF($B106&lt;&gt;"",VLOOKUP($B106,'Planning Sheet'!$B$8:$AL$500,23,0),"")</f>
        <v/>
      </c>
      <c r="N106" s="18" t="str">
        <f>IF($B106&lt;&gt;"",VLOOKUP($B106,'Planning Sheet'!$B$8:$AL$500,25,0),"")</f>
        <v/>
      </c>
      <c r="O106" s="18" t="str">
        <f>IF($B106&lt;&gt;"",VLOOKUP($B106,'Planning Sheet'!$B$8:$AL$500,26,0),"")</f>
        <v/>
      </c>
      <c r="P106" s="19" t="str">
        <f>IF($B106&lt;&gt;"",VLOOKUP($B106,'Planning Sheet'!$B$8:$AL$500,27,0),"")</f>
        <v/>
      </c>
      <c r="Q106" s="19" t="str">
        <f>IF($B106&lt;&gt;"",VLOOKUP($B106,'Planning Sheet'!$B$8:$AL$500,34,0),"")</f>
        <v/>
      </c>
      <c r="R106" s="19" t="str">
        <f>IF($B106&lt;&gt;"",VLOOKUP($B106,'Planning Sheet'!$B$8:$AL$500,36,0),"")</f>
        <v/>
      </c>
      <c r="S106" s="19" t="str">
        <f>IF($B106&lt;&gt;"",VLOOKUP($B106,'Planning Sheet'!$B$8:$AM$500,38,0),"")</f>
        <v/>
      </c>
      <c r="T106" s="18" t="str">
        <f t="shared" si="3"/>
        <v/>
      </c>
      <c r="U106" s="100" t="str">
        <f t="shared" si="2"/>
        <v/>
      </c>
      <c r="Y106" s="48" t="str">
        <f ca="1">IF(AND('Planning Sheet'!$AT111='Weeks Plan'!$D$6,'Planning Sheet'!$AN111='Weeks Plan'!$G$6),'Planning Sheet'!$B111,"")</f>
        <v/>
      </c>
      <c r="Z106" s="48" t="str">
        <f ca="1">IF(AND('Planning Sheet'!$AT111='Weeks Plan'!$D$6,'Planning Sheet'!$AN111='Weeks Plan'!$G$6),'Planning Sheet'!$AO111,"")</f>
        <v/>
      </c>
      <c r="AA106" s="48" t="str">
        <f ca="1">IF(AND('Planning Sheet'!$AT111='Weeks Plan'!$D$6,'Planning Sheet'!$AN111='Weeks Plan'!$G$6),'Planning Sheet'!AP111,"")</f>
        <v/>
      </c>
    </row>
    <row r="107" spans="2:27" x14ac:dyDescent="0.3">
      <c r="B107" s="11"/>
      <c r="C107" s="75" t="str">
        <f>IF($B107&lt;&gt;"",VLOOKUP($B107,'Planning Sheet'!$B$8:$AL$500,3,0),"")</f>
        <v/>
      </c>
      <c r="D107" s="18" t="str">
        <f>IF($B107&lt;&gt;"",VLOOKUP($B107,'Planning Sheet'!$B$8:$AL$500,5,0),"")</f>
        <v/>
      </c>
      <c r="E107" s="18" t="str">
        <f>IF($B107&lt;&gt;"",VLOOKUP($B107,'Planning Sheet'!$B$8:$AL$500,7,0),"")</f>
        <v/>
      </c>
      <c r="F107" s="18" t="str">
        <f>IF($B107&lt;&gt;"",VLOOKUP($B107,'Planning Sheet'!$B$8:$AL$500,9,0),"")</f>
        <v/>
      </c>
      <c r="G107" s="18" t="str">
        <f>IF($B107&lt;&gt;"",VLOOKUP($B107,'Planning Sheet'!$B$8:$AL$500,11,0),"")</f>
        <v/>
      </c>
      <c r="H107" s="18" t="str">
        <f>IF($B107&lt;&gt;"",VLOOKUP($B107,'Planning Sheet'!$B$8:$AL$500,13,0),"")</f>
        <v/>
      </c>
      <c r="I107" s="18" t="str">
        <f>IF($B107&lt;&gt;"",VLOOKUP($B107,'Planning Sheet'!$B$8:$AL$500,15,0),"")</f>
        <v/>
      </c>
      <c r="J107" s="18" t="str">
        <f>IF($B107&lt;&gt;"",VLOOKUP($B107,'Planning Sheet'!$B$8:$AL$500,17,0),"")</f>
        <v/>
      </c>
      <c r="K107" s="18" t="str">
        <f>IF($B107&lt;&gt;"",VLOOKUP($B107,'Planning Sheet'!$B$8:$AL$500,19,0),"")</f>
        <v/>
      </c>
      <c r="L107" s="18" t="str">
        <f>IF($B107&lt;&gt;"",VLOOKUP($B107,'Planning Sheet'!$B$8:$AL$500,21,0),"")</f>
        <v/>
      </c>
      <c r="M107" s="18" t="str">
        <f>IF($B107&lt;&gt;"",VLOOKUP($B107,'Planning Sheet'!$B$8:$AL$500,23,0),"")</f>
        <v/>
      </c>
      <c r="N107" s="18" t="str">
        <f>IF($B107&lt;&gt;"",VLOOKUP($B107,'Planning Sheet'!$B$8:$AL$500,25,0),"")</f>
        <v/>
      </c>
      <c r="O107" s="18" t="str">
        <f>IF($B107&lt;&gt;"",VLOOKUP($B107,'Planning Sheet'!$B$8:$AL$500,26,0),"")</f>
        <v/>
      </c>
      <c r="P107" s="19" t="str">
        <f>IF($B107&lt;&gt;"",VLOOKUP($B107,'Planning Sheet'!$B$8:$AL$500,27,0),"")</f>
        <v/>
      </c>
      <c r="Q107" s="19" t="str">
        <f>IF($B107&lt;&gt;"",VLOOKUP($B107,'Planning Sheet'!$B$8:$AL$500,34,0),"")</f>
        <v/>
      </c>
      <c r="R107" s="19" t="str">
        <f>IF($B107&lt;&gt;"",VLOOKUP($B107,'Planning Sheet'!$B$8:$AL$500,36,0),"")</f>
        <v/>
      </c>
      <c r="S107" s="19" t="str">
        <f>IF($B107&lt;&gt;"",VLOOKUP($B107,'Planning Sheet'!$B$8:$AM$500,38,0),"")</f>
        <v/>
      </c>
      <c r="T107" s="18" t="str">
        <f t="shared" si="3"/>
        <v/>
      </c>
      <c r="U107" s="100" t="str">
        <f t="shared" si="2"/>
        <v/>
      </c>
      <c r="Y107" s="48" t="str">
        <f ca="1">IF(AND('Planning Sheet'!$AT112='Weeks Plan'!$D$6,'Planning Sheet'!$AN112='Weeks Plan'!$G$6),'Planning Sheet'!$B112,"")</f>
        <v/>
      </c>
      <c r="Z107" s="48" t="str">
        <f ca="1">IF(AND('Planning Sheet'!$AT112='Weeks Plan'!$D$6,'Planning Sheet'!$AN112='Weeks Plan'!$G$6),'Planning Sheet'!$AO112,"")</f>
        <v/>
      </c>
      <c r="AA107" s="48" t="str">
        <f ca="1">IF(AND('Planning Sheet'!$AT112='Weeks Plan'!$D$6,'Planning Sheet'!$AN112='Weeks Plan'!$G$6),'Planning Sheet'!AP112,"")</f>
        <v/>
      </c>
    </row>
    <row r="108" spans="2:27" x14ac:dyDescent="0.3">
      <c r="B108" s="11"/>
      <c r="C108" s="75" t="str">
        <f>IF($B108&lt;&gt;"",VLOOKUP($B108,'Planning Sheet'!$B$8:$AL$500,3,0),"")</f>
        <v/>
      </c>
      <c r="D108" s="18" t="str">
        <f>IF($B108&lt;&gt;"",VLOOKUP($B108,'Planning Sheet'!$B$8:$AL$500,5,0),"")</f>
        <v/>
      </c>
      <c r="E108" s="18" t="str">
        <f>IF($B108&lt;&gt;"",VLOOKUP($B108,'Planning Sheet'!$B$8:$AL$500,7,0),"")</f>
        <v/>
      </c>
      <c r="F108" s="18" t="str">
        <f>IF($B108&lt;&gt;"",VLOOKUP($B108,'Planning Sheet'!$B$8:$AL$500,9,0),"")</f>
        <v/>
      </c>
      <c r="G108" s="18" t="str">
        <f>IF($B108&lt;&gt;"",VLOOKUP($B108,'Planning Sheet'!$B$8:$AL$500,11,0),"")</f>
        <v/>
      </c>
      <c r="H108" s="18" t="str">
        <f>IF($B108&lt;&gt;"",VLOOKUP($B108,'Planning Sheet'!$B$8:$AL$500,13,0),"")</f>
        <v/>
      </c>
      <c r="I108" s="18" t="str">
        <f>IF($B108&lt;&gt;"",VLOOKUP($B108,'Planning Sheet'!$B$8:$AL$500,15,0),"")</f>
        <v/>
      </c>
      <c r="J108" s="18" t="str">
        <f>IF($B108&lt;&gt;"",VLOOKUP($B108,'Planning Sheet'!$B$8:$AL$500,17,0),"")</f>
        <v/>
      </c>
      <c r="K108" s="18" t="str">
        <f>IF($B108&lt;&gt;"",VLOOKUP($B108,'Planning Sheet'!$B$8:$AL$500,19,0),"")</f>
        <v/>
      </c>
      <c r="L108" s="18" t="str">
        <f>IF($B108&lt;&gt;"",VLOOKUP($B108,'Planning Sheet'!$B$8:$AL$500,21,0),"")</f>
        <v/>
      </c>
      <c r="M108" s="18" t="str">
        <f>IF($B108&lt;&gt;"",VLOOKUP($B108,'Planning Sheet'!$B$8:$AL$500,23,0),"")</f>
        <v/>
      </c>
      <c r="N108" s="18" t="str">
        <f>IF($B108&lt;&gt;"",VLOOKUP($B108,'Planning Sheet'!$B$8:$AL$500,25,0),"")</f>
        <v/>
      </c>
      <c r="O108" s="18" t="str">
        <f>IF($B108&lt;&gt;"",VLOOKUP($B108,'Planning Sheet'!$B$8:$AL$500,26,0),"")</f>
        <v/>
      </c>
      <c r="P108" s="19" t="str">
        <f>IF($B108&lt;&gt;"",VLOOKUP($B108,'Planning Sheet'!$B$8:$AL$500,27,0),"")</f>
        <v/>
      </c>
      <c r="Q108" s="19" t="str">
        <f>IF($B108&lt;&gt;"",VLOOKUP($B108,'Planning Sheet'!$B$8:$AL$500,34,0),"")</f>
        <v/>
      </c>
      <c r="R108" s="19" t="str">
        <f>IF($B108&lt;&gt;"",VLOOKUP($B108,'Planning Sheet'!$B$8:$AL$500,36,0),"")</f>
        <v/>
      </c>
      <c r="S108" s="19" t="str">
        <f>IF($B108&lt;&gt;"",VLOOKUP($B108,'Planning Sheet'!$B$8:$AM$500,38,0),"")</f>
        <v/>
      </c>
      <c r="T108" s="18" t="str">
        <f t="shared" si="3"/>
        <v/>
      </c>
      <c r="U108" s="100" t="str">
        <f t="shared" si="2"/>
        <v/>
      </c>
      <c r="Y108" s="48" t="str">
        <f ca="1">IF(AND('Planning Sheet'!$AT113='Weeks Plan'!$D$6,'Planning Sheet'!$AN113='Weeks Plan'!$G$6),'Planning Sheet'!$B113,"")</f>
        <v/>
      </c>
      <c r="Z108" s="48" t="str">
        <f ca="1">IF(AND('Planning Sheet'!$AT113='Weeks Plan'!$D$6,'Planning Sheet'!$AN113='Weeks Plan'!$G$6),'Planning Sheet'!$AO113,"")</f>
        <v/>
      </c>
      <c r="AA108" s="48" t="str">
        <f ca="1">IF(AND('Planning Sheet'!$AT113='Weeks Plan'!$D$6,'Planning Sheet'!$AN113='Weeks Plan'!$G$6),'Planning Sheet'!AP113,"")</f>
        <v/>
      </c>
    </row>
    <row r="109" spans="2:27" x14ac:dyDescent="0.3">
      <c r="B109" s="11"/>
      <c r="C109" s="75" t="str">
        <f>IF($B109&lt;&gt;"",VLOOKUP($B109,'Planning Sheet'!$B$8:$AL$500,3,0),"")</f>
        <v/>
      </c>
      <c r="D109" s="18" t="str">
        <f>IF($B109&lt;&gt;"",VLOOKUP($B109,'Planning Sheet'!$B$8:$AL$500,5,0),"")</f>
        <v/>
      </c>
      <c r="E109" s="18" t="str">
        <f>IF($B109&lt;&gt;"",VLOOKUP($B109,'Planning Sheet'!$B$8:$AL$500,7,0),"")</f>
        <v/>
      </c>
      <c r="F109" s="18" t="str">
        <f>IF($B109&lt;&gt;"",VLOOKUP($B109,'Planning Sheet'!$B$8:$AL$500,9,0),"")</f>
        <v/>
      </c>
      <c r="G109" s="18" t="str">
        <f>IF($B109&lt;&gt;"",VLOOKUP($B109,'Planning Sheet'!$B$8:$AL$500,11,0),"")</f>
        <v/>
      </c>
      <c r="H109" s="18" t="str">
        <f>IF($B109&lt;&gt;"",VLOOKUP($B109,'Planning Sheet'!$B$8:$AL$500,13,0),"")</f>
        <v/>
      </c>
      <c r="I109" s="18" t="str">
        <f>IF($B109&lt;&gt;"",VLOOKUP($B109,'Planning Sheet'!$B$8:$AL$500,15,0),"")</f>
        <v/>
      </c>
      <c r="J109" s="18" t="str">
        <f>IF($B109&lt;&gt;"",VLOOKUP($B109,'Planning Sheet'!$B$8:$AL$500,17,0),"")</f>
        <v/>
      </c>
      <c r="K109" s="18" t="str">
        <f>IF($B109&lt;&gt;"",VLOOKUP($B109,'Planning Sheet'!$B$8:$AL$500,19,0),"")</f>
        <v/>
      </c>
      <c r="L109" s="18" t="str">
        <f>IF($B109&lt;&gt;"",VLOOKUP($B109,'Planning Sheet'!$B$8:$AL$500,21,0),"")</f>
        <v/>
      </c>
      <c r="M109" s="18" t="str">
        <f>IF($B109&lt;&gt;"",VLOOKUP($B109,'Planning Sheet'!$B$8:$AL$500,23,0),"")</f>
        <v/>
      </c>
      <c r="N109" s="18" t="str">
        <f>IF($B109&lt;&gt;"",VLOOKUP($B109,'Planning Sheet'!$B$8:$AL$500,25,0),"")</f>
        <v/>
      </c>
      <c r="O109" s="18" t="str">
        <f>IF($B109&lt;&gt;"",VLOOKUP($B109,'Planning Sheet'!$B$8:$AL$500,26,0),"")</f>
        <v/>
      </c>
      <c r="P109" s="19" t="str">
        <f>IF($B109&lt;&gt;"",VLOOKUP($B109,'Planning Sheet'!$B$8:$AL$500,27,0),"")</f>
        <v/>
      </c>
      <c r="Q109" s="19" t="str">
        <f>IF($B109&lt;&gt;"",VLOOKUP($B109,'Planning Sheet'!$B$8:$AL$500,34,0),"")</f>
        <v/>
      </c>
      <c r="R109" s="19" t="str">
        <f>IF($B109&lt;&gt;"",VLOOKUP($B109,'Planning Sheet'!$B$8:$AL$500,36,0),"")</f>
        <v/>
      </c>
      <c r="S109" s="19" t="str">
        <f>IF($B109&lt;&gt;"",VLOOKUP($B109,'Planning Sheet'!$B$8:$AM$500,38,0),"")</f>
        <v/>
      </c>
      <c r="T109" s="18" t="str">
        <f t="shared" si="3"/>
        <v/>
      </c>
      <c r="U109" s="100" t="str">
        <f t="shared" si="2"/>
        <v/>
      </c>
      <c r="Y109" s="48" t="str">
        <f ca="1">IF(AND('Planning Sheet'!$AT114='Weeks Plan'!$D$6,'Planning Sheet'!$AN114='Weeks Plan'!$G$6),'Planning Sheet'!$B114,"")</f>
        <v/>
      </c>
      <c r="Z109" s="48" t="str">
        <f ca="1">IF(AND('Planning Sheet'!$AT114='Weeks Plan'!$D$6,'Planning Sheet'!$AN114='Weeks Plan'!$G$6),'Planning Sheet'!$AO114,"")</f>
        <v/>
      </c>
      <c r="AA109" s="48" t="str">
        <f ca="1">IF(AND('Planning Sheet'!$AT114='Weeks Plan'!$D$6,'Planning Sheet'!$AN114='Weeks Plan'!$G$6),'Planning Sheet'!AP114,"")</f>
        <v/>
      </c>
    </row>
    <row r="110" spans="2:27" x14ac:dyDescent="0.3">
      <c r="B110" s="11"/>
      <c r="C110" s="75" t="str">
        <f>IF($B110&lt;&gt;"",VLOOKUP($B110,'Planning Sheet'!$B$8:$AL$500,3,0),"")</f>
        <v/>
      </c>
      <c r="D110" s="18" t="str">
        <f>IF($B110&lt;&gt;"",VLOOKUP($B110,'Planning Sheet'!$B$8:$AL$500,5,0),"")</f>
        <v/>
      </c>
      <c r="E110" s="18" t="str">
        <f>IF($B110&lt;&gt;"",VLOOKUP($B110,'Planning Sheet'!$B$8:$AL$500,7,0),"")</f>
        <v/>
      </c>
      <c r="F110" s="18" t="str">
        <f>IF($B110&lt;&gt;"",VLOOKUP($B110,'Planning Sheet'!$B$8:$AL$500,9,0),"")</f>
        <v/>
      </c>
      <c r="G110" s="18" t="str">
        <f>IF($B110&lt;&gt;"",VLOOKUP($B110,'Planning Sheet'!$B$8:$AL$500,11,0),"")</f>
        <v/>
      </c>
      <c r="H110" s="18" t="str">
        <f>IF($B110&lt;&gt;"",VLOOKUP($B110,'Planning Sheet'!$B$8:$AL$500,13,0),"")</f>
        <v/>
      </c>
      <c r="I110" s="18" t="str">
        <f>IF($B110&lt;&gt;"",VLOOKUP($B110,'Planning Sheet'!$B$8:$AL$500,15,0),"")</f>
        <v/>
      </c>
      <c r="J110" s="18" t="str">
        <f>IF($B110&lt;&gt;"",VLOOKUP($B110,'Planning Sheet'!$B$8:$AL$500,17,0),"")</f>
        <v/>
      </c>
      <c r="K110" s="18" t="str">
        <f>IF($B110&lt;&gt;"",VLOOKUP($B110,'Planning Sheet'!$B$8:$AL$500,19,0),"")</f>
        <v/>
      </c>
      <c r="L110" s="18" t="str">
        <f>IF($B110&lt;&gt;"",VLOOKUP($B110,'Planning Sheet'!$B$8:$AL$500,21,0),"")</f>
        <v/>
      </c>
      <c r="M110" s="18" t="str">
        <f>IF($B110&lt;&gt;"",VLOOKUP($B110,'Planning Sheet'!$B$8:$AL$500,23,0),"")</f>
        <v/>
      </c>
      <c r="N110" s="18" t="str">
        <f>IF($B110&lt;&gt;"",VLOOKUP($B110,'Planning Sheet'!$B$8:$AL$500,25,0),"")</f>
        <v/>
      </c>
      <c r="O110" s="18" t="str">
        <f>IF($B110&lt;&gt;"",VLOOKUP($B110,'Planning Sheet'!$B$8:$AL$500,26,0),"")</f>
        <v/>
      </c>
      <c r="P110" s="19" t="str">
        <f>IF($B110&lt;&gt;"",VLOOKUP($B110,'Planning Sheet'!$B$8:$AL$500,27,0),"")</f>
        <v/>
      </c>
      <c r="Q110" s="19" t="str">
        <f>IF($B110&lt;&gt;"",VLOOKUP($B110,'Planning Sheet'!$B$8:$AL$500,34,0),"")</f>
        <v/>
      </c>
      <c r="R110" s="19" t="str">
        <f>IF($B110&lt;&gt;"",VLOOKUP($B110,'Planning Sheet'!$B$8:$AL$500,36,0),"")</f>
        <v/>
      </c>
      <c r="S110" s="19" t="str">
        <f>IF($B110&lt;&gt;"",VLOOKUP($B110,'Planning Sheet'!$B$8:$AM$500,38,0),"")</f>
        <v/>
      </c>
      <c r="T110" s="18" t="str">
        <f t="shared" si="3"/>
        <v/>
      </c>
      <c r="U110" s="100" t="str">
        <f t="shared" si="2"/>
        <v/>
      </c>
      <c r="Y110" s="48" t="str">
        <f ca="1">IF(AND('Planning Sheet'!$AT115='Weeks Plan'!$D$6,'Planning Sheet'!$AN115='Weeks Plan'!$G$6),'Planning Sheet'!$B115,"")</f>
        <v/>
      </c>
      <c r="Z110" s="48" t="str">
        <f ca="1">IF(AND('Planning Sheet'!$AT115='Weeks Plan'!$D$6,'Planning Sheet'!$AN115='Weeks Plan'!$G$6),'Planning Sheet'!$AO115,"")</f>
        <v/>
      </c>
      <c r="AA110" s="48" t="str">
        <f ca="1">IF(AND('Planning Sheet'!$AT115='Weeks Plan'!$D$6,'Planning Sheet'!$AN115='Weeks Plan'!$G$6),'Planning Sheet'!AP115,"")</f>
        <v/>
      </c>
    </row>
    <row r="111" spans="2:27" x14ac:dyDescent="0.3">
      <c r="B111" s="11"/>
      <c r="C111" s="75" t="str">
        <f>IF($B111&lt;&gt;"",VLOOKUP($B111,'Planning Sheet'!$B$8:$AL$500,3,0),"")</f>
        <v/>
      </c>
      <c r="D111" s="18" t="str">
        <f>IF($B111&lt;&gt;"",VLOOKUP($B111,'Planning Sheet'!$B$8:$AL$500,5,0),"")</f>
        <v/>
      </c>
      <c r="E111" s="18" t="str">
        <f>IF($B111&lt;&gt;"",VLOOKUP($B111,'Planning Sheet'!$B$8:$AL$500,7,0),"")</f>
        <v/>
      </c>
      <c r="F111" s="18" t="str">
        <f>IF($B111&lt;&gt;"",VLOOKUP($B111,'Planning Sheet'!$B$8:$AL$500,9,0),"")</f>
        <v/>
      </c>
      <c r="G111" s="18" t="str">
        <f>IF($B111&lt;&gt;"",VLOOKUP($B111,'Planning Sheet'!$B$8:$AL$500,11,0),"")</f>
        <v/>
      </c>
      <c r="H111" s="18" t="str">
        <f>IF($B111&lt;&gt;"",VLOOKUP($B111,'Planning Sheet'!$B$8:$AL$500,13,0),"")</f>
        <v/>
      </c>
      <c r="I111" s="18" t="str">
        <f>IF($B111&lt;&gt;"",VLOOKUP($B111,'Planning Sheet'!$B$8:$AL$500,15,0),"")</f>
        <v/>
      </c>
      <c r="J111" s="18" t="str">
        <f>IF($B111&lt;&gt;"",VLOOKUP($B111,'Planning Sheet'!$B$8:$AL$500,17,0),"")</f>
        <v/>
      </c>
      <c r="K111" s="18" t="str">
        <f>IF($B111&lt;&gt;"",VLOOKUP($B111,'Planning Sheet'!$B$8:$AL$500,19,0),"")</f>
        <v/>
      </c>
      <c r="L111" s="18" t="str">
        <f>IF($B111&lt;&gt;"",VLOOKUP($B111,'Planning Sheet'!$B$8:$AL$500,21,0),"")</f>
        <v/>
      </c>
      <c r="M111" s="18" t="str">
        <f>IF($B111&lt;&gt;"",VLOOKUP($B111,'Planning Sheet'!$B$8:$AL$500,23,0),"")</f>
        <v/>
      </c>
      <c r="N111" s="18" t="str">
        <f>IF($B111&lt;&gt;"",VLOOKUP($B111,'Planning Sheet'!$B$8:$AL$500,25,0),"")</f>
        <v/>
      </c>
      <c r="O111" s="18" t="str">
        <f>IF($B111&lt;&gt;"",VLOOKUP($B111,'Planning Sheet'!$B$8:$AL$500,26,0),"")</f>
        <v/>
      </c>
      <c r="P111" s="19" t="str">
        <f>IF($B111&lt;&gt;"",VLOOKUP($B111,'Planning Sheet'!$B$8:$AL$500,27,0),"")</f>
        <v/>
      </c>
      <c r="Q111" s="19" t="str">
        <f>IF($B111&lt;&gt;"",VLOOKUP($B111,'Planning Sheet'!$B$8:$AL$500,34,0),"")</f>
        <v/>
      </c>
      <c r="R111" s="19" t="str">
        <f>IF($B111&lt;&gt;"",VLOOKUP($B111,'Planning Sheet'!$B$8:$AL$500,36,0),"")</f>
        <v/>
      </c>
      <c r="S111" s="19" t="str">
        <f>IF($B111&lt;&gt;"",VLOOKUP($B111,'Planning Sheet'!$B$8:$AM$500,38,0),"")</f>
        <v/>
      </c>
      <c r="T111" s="18" t="str">
        <f t="shared" si="3"/>
        <v/>
      </c>
      <c r="U111" s="100" t="str">
        <f t="shared" si="2"/>
        <v/>
      </c>
      <c r="Y111" s="48" t="str">
        <f ca="1">IF(AND('Planning Sheet'!$AT116='Weeks Plan'!$D$6,'Planning Sheet'!$AN116='Weeks Plan'!$G$6),'Planning Sheet'!$B116,"")</f>
        <v/>
      </c>
      <c r="Z111" s="48" t="str">
        <f ca="1">IF(AND('Planning Sheet'!$AT116='Weeks Plan'!$D$6,'Planning Sheet'!$AN116='Weeks Plan'!$G$6),'Planning Sheet'!$AO116,"")</f>
        <v/>
      </c>
      <c r="AA111" s="48" t="str">
        <f ca="1">IF(AND('Planning Sheet'!$AT116='Weeks Plan'!$D$6,'Planning Sheet'!$AN116='Weeks Plan'!$G$6),'Planning Sheet'!AP116,"")</f>
        <v/>
      </c>
    </row>
    <row r="112" spans="2:27" x14ac:dyDescent="0.3">
      <c r="B112" s="11"/>
      <c r="C112" s="75" t="str">
        <f>IF($B112&lt;&gt;"",VLOOKUP($B112,'Planning Sheet'!$B$8:$AL$500,3,0),"")</f>
        <v/>
      </c>
      <c r="D112" s="18" t="str">
        <f>IF($B112&lt;&gt;"",VLOOKUP($B112,'Planning Sheet'!$B$8:$AL$500,5,0),"")</f>
        <v/>
      </c>
      <c r="E112" s="18" t="str">
        <f>IF($B112&lt;&gt;"",VLOOKUP($B112,'Planning Sheet'!$B$8:$AL$500,7,0),"")</f>
        <v/>
      </c>
      <c r="F112" s="18" t="str">
        <f>IF($B112&lt;&gt;"",VLOOKUP($B112,'Planning Sheet'!$B$8:$AL$500,9,0),"")</f>
        <v/>
      </c>
      <c r="G112" s="18" t="str">
        <f>IF($B112&lt;&gt;"",VLOOKUP($B112,'Planning Sheet'!$B$8:$AL$500,11,0),"")</f>
        <v/>
      </c>
      <c r="H112" s="18" t="str">
        <f>IF($B112&lt;&gt;"",VLOOKUP($B112,'Planning Sheet'!$B$8:$AL$500,13,0),"")</f>
        <v/>
      </c>
      <c r="I112" s="18" t="str">
        <f>IF($B112&lt;&gt;"",VLOOKUP($B112,'Planning Sheet'!$B$8:$AL$500,15,0),"")</f>
        <v/>
      </c>
      <c r="J112" s="18" t="str">
        <f>IF($B112&lt;&gt;"",VLOOKUP($B112,'Planning Sheet'!$B$8:$AL$500,17,0),"")</f>
        <v/>
      </c>
      <c r="K112" s="18" t="str">
        <f>IF($B112&lt;&gt;"",VLOOKUP($B112,'Planning Sheet'!$B$8:$AL$500,19,0),"")</f>
        <v/>
      </c>
      <c r="L112" s="18" t="str">
        <f>IF($B112&lt;&gt;"",VLOOKUP($B112,'Planning Sheet'!$B$8:$AL$500,21,0),"")</f>
        <v/>
      </c>
      <c r="M112" s="18" t="str">
        <f>IF($B112&lt;&gt;"",VLOOKUP($B112,'Planning Sheet'!$B$8:$AL$500,23,0),"")</f>
        <v/>
      </c>
      <c r="N112" s="18" t="str">
        <f>IF($B112&lt;&gt;"",VLOOKUP($B112,'Planning Sheet'!$B$8:$AL$500,25,0),"")</f>
        <v/>
      </c>
      <c r="O112" s="18" t="str">
        <f>IF($B112&lt;&gt;"",VLOOKUP($B112,'Planning Sheet'!$B$8:$AL$500,26,0),"")</f>
        <v/>
      </c>
      <c r="P112" s="19" t="str">
        <f>IF($B112&lt;&gt;"",VLOOKUP($B112,'Planning Sheet'!$B$8:$AL$500,27,0),"")</f>
        <v/>
      </c>
      <c r="Q112" s="19" t="str">
        <f>IF($B112&lt;&gt;"",VLOOKUP($B112,'Planning Sheet'!$B$8:$AL$500,34,0),"")</f>
        <v/>
      </c>
      <c r="R112" s="19" t="str">
        <f>IF($B112&lt;&gt;"",VLOOKUP($B112,'Planning Sheet'!$B$8:$AL$500,36,0),"")</f>
        <v/>
      </c>
      <c r="S112" s="19" t="str">
        <f>IF($B112&lt;&gt;"",VLOOKUP($B112,'Planning Sheet'!$B$8:$AM$500,38,0),"")</f>
        <v/>
      </c>
      <c r="T112" s="18" t="str">
        <f t="shared" si="3"/>
        <v/>
      </c>
      <c r="U112" s="100" t="str">
        <f t="shared" si="2"/>
        <v/>
      </c>
      <c r="Y112" s="48" t="str">
        <f ca="1">IF(AND('Planning Sheet'!$AT117='Weeks Plan'!$D$6,'Planning Sheet'!$AN117='Weeks Plan'!$G$6),'Planning Sheet'!$B117,"")</f>
        <v/>
      </c>
      <c r="Z112" s="48" t="str">
        <f ca="1">IF(AND('Planning Sheet'!$AT117='Weeks Plan'!$D$6,'Planning Sheet'!$AN117='Weeks Plan'!$G$6),'Planning Sheet'!$AO117,"")</f>
        <v/>
      </c>
      <c r="AA112" s="48" t="str">
        <f ca="1">IF(AND('Planning Sheet'!$AT117='Weeks Plan'!$D$6,'Planning Sheet'!$AN117='Weeks Plan'!$G$6),'Planning Sheet'!AP117,"")</f>
        <v/>
      </c>
    </row>
    <row r="113" spans="2:27" x14ac:dyDescent="0.3">
      <c r="B113" s="11"/>
      <c r="C113" s="75" t="str">
        <f>IF($B113&lt;&gt;"",VLOOKUP($B113,'Planning Sheet'!$B$8:$AL$500,3,0),"")</f>
        <v/>
      </c>
      <c r="D113" s="18" t="str">
        <f>IF($B113&lt;&gt;"",VLOOKUP($B113,'Planning Sheet'!$B$8:$AL$500,5,0),"")</f>
        <v/>
      </c>
      <c r="E113" s="18" t="str">
        <f>IF($B113&lt;&gt;"",VLOOKUP($B113,'Planning Sheet'!$B$8:$AL$500,7,0),"")</f>
        <v/>
      </c>
      <c r="F113" s="18" t="str">
        <f>IF($B113&lt;&gt;"",VLOOKUP($B113,'Planning Sheet'!$B$8:$AL$500,9,0),"")</f>
        <v/>
      </c>
      <c r="G113" s="18" t="str">
        <f>IF($B113&lt;&gt;"",VLOOKUP($B113,'Planning Sheet'!$B$8:$AL$500,11,0),"")</f>
        <v/>
      </c>
      <c r="H113" s="18" t="str">
        <f>IF($B113&lt;&gt;"",VLOOKUP($B113,'Planning Sheet'!$B$8:$AL$500,13,0),"")</f>
        <v/>
      </c>
      <c r="I113" s="18" t="str">
        <f>IF($B113&lt;&gt;"",VLOOKUP($B113,'Planning Sheet'!$B$8:$AL$500,15,0),"")</f>
        <v/>
      </c>
      <c r="J113" s="18" t="str">
        <f>IF($B113&lt;&gt;"",VLOOKUP($B113,'Planning Sheet'!$B$8:$AL$500,17,0),"")</f>
        <v/>
      </c>
      <c r="K113" s="18" t="str">
        <f>IF($B113&lt;&gt;"",VLOOKUP($B113,'Planning Sheet'!$B$8:$AL$500,19,0),"")</f>
        <v/>
      </c>
      <c r="L113" s="18" t="str">
        <f>IF($B113&lt;&gt;"",VLOOKUP($B113,'Planning Sheet'!$B$8:$AL$500,21,0),"")</f>
        <v/>
      </c>
      <c r="M113" s="18" t="str">
        <f>IF($B113&lt;&gt;"",VLOOKUP($B113,'Planning Sheet'!$B$8:$AL$500,23,0),"")</f>
        <v/>
      </c>
      <c r="N113" s="18" t="str">
        <f>IF($B113&lt;&gt;"",VLOOKUP($B113,'Planning Sheet'!$B$8:$AL$500,25,0),"")</f>
        <v/>
      </c>
      <c r="O113" s="18" t="str">
        <f>IF($B113&lt;&gt;"",VLOOKUP($B113,'Planning Sheet'!$B$8:$AL$500,26,0),"")</f>
        <v/>
      </c>
      <c r="P113" s="19" t="str">
        <f>IF($B113&lt;&gt;"",VLOOKUP($B113,'Planning Sheet'!$B$8:$AL$500,27,0),"")</f>
        <v/>
      </c>
      <c r="Q113" s="19" t="str">
        <f>IF($B113&lt;&gt;"",VLOOKUP($B113,'Planning Sheet'!$B$8:$AL$500,34,0),"")</f>
        <v/>
      </c>
      <c r="R113" s="19" t="str">
        <f>IF($B113&lt;&gt;"",VLOOKUP($B113,'Planning Sheet'!$B$8:$AL$500,36,0),"")</f>
        <v/>
      </c>
      <c r="S113" s="19" t="str">
        <f>IF($B113&lt;&gt;"",VLOOKUP($B113,'Planning Sheet'!$B$8:$AM$500,38,0),"")</f>
        <v/>
      </c>
      <c r="T113" s="18" t="str">
        <f t="shared" si="3"/>
        <v/>
      </c>
      <c r="U113" s="100" t="str">
        <f t="shared" si="2"/>
        <v/>
      </c>
      <c r="Y113" s="48" t="str">
        <f ca="1">IF(AND('Planning Sheet'!$AT118='Weeks Plan'!$D$6,'Planning Sheet'!$AN118='Weeks Plan'!$G$6),'Planning Sheet'!$B118,"")</f>
        <v/>
      </c>
      <c r="Z113" s="48" t="str">
        <f ca="1">IF(AND('Planning Sheet'!$AT118='Weeks Plan'!$D$6,'Planning Sheet'!$AN118='Weeks Plan'!$G$6),'Planning Sheet'!$AO118,"")</f>
        <v/>
      </c>
      <c r="AA113" s="48" t="str">
        <f ca="1">IF(AND('Planning Sheet'!$AT118='Weeks Plan'!$D$6,'Planning Sheet'!$AN118='Weeks Plan'!$G$6),'Planning Sheet'!AP118,"")</f>
        <v/>
      </c>
    </row>
    <row r="114" spans="2:27" x14ac:dyDescent="0.3">
      <c r="B114" s="11"/>
      <c r="C114" s="75" t="str">
        <f>IF($B114&lt;&gt;"",VLOOKUP($B114,'Planning Sheet'!$B$8:$AL$500,3,0),"")</f>
        <v/>
      </c>
      <c r="D114" s="18" t="str">
        <f>IF($B114&lt;&gt;"",VLOOKUP($B114,'Planning Sheet'!$B$8:$AL$500,5,0),"")</f>
        <v/>
      </c>
      <c r="E114" s="18" t="str">
        <f>IF($B114&lt;&gt;"",VLOOKUP($B114,'Planning Sheet'!$B$8:$AL$500,7,0),"")</f>
        <v/>
      </c>
      <c r="F114" s="18" t="str">
        <f>IF($B114&lt;&gt;"",VLOOKUP($B114,'Planning Sheet'!$B$8:$AL$500,9,0),"")</f>
        <v/>
      </c>
      <c r="G114" s="18" t="str">
        <f>IF($B114&lt;&gt;"",VLOOKUP($B114,'Planning Sheet'!$B$8:$AL$500,11,0),"")</f>
        <v/>
      </c>
      <c r="H114" s="18" t="str">
        <f>IF($B114&lt;&gt;"",VLOOKUP($B114,'Planning Sheet'!$B$8:$AL$500,13,0),"")</f>
        <v/>
      </c>
      <c r="I114" s="18" t="str">
        <f>IF($B114&lt;&gt;"",VLOOKUP($B114,'Planning Sheet'!$B$8:$AL$500,15,0),"")</f>
        <v/>
      </c>
      <c r="J114" s="18" t="str">
        <f>IF($B114&lt;&gt;"",VLOOKUP($B114,'Planning Sheet'!$B$8:$AL$500,17,0),"")</f>
        <v/>
      </c>
      <c r="K114" s="18" t="str">
        <f>IF($B114&lt;&gt;"",VLOOKUP($B114,'Planning Sheet'!$B$8:$AL$500,19,0),"")</f>
        <v/>
      </c>
      <c r="L114" s="18" t="str">
        <f>IF($B114&lt;&gt;"",VLOOKUP($B114,'Planning Sheet'!$B$8:$AL$500,21,0),"")</f>
        <v/>
      </c>
      <c r="M114" s="18" t="str">
        <f>IF($B114&lt;&gt;"",VLOOKUP($B114,'Planning Sheet'!$B$8:$AL$500,23,0),"")</f>
        <v/>
      </c>
      <c r="N114" s="18" t="str">
        <f>IF($B114&lt;&gt;"",VLOOKUP($B114,'Planning Sheet'!$B$8:$AL$500,25,0),"")</f>
        <v/>
      </c>
      <c r="O114" s="18" t="str">
        <f>IF($B114&lt;&gt;"",VLOOKUP($B114,'Planning Sheet'!$B$8:$AL$500,26,0),"")</f>
        <v/>
      </c>
      <c r="P114" s="19" t="str">
        <f>IF($B114&lt;&gt;"",VLOOKUP($B114,'Planning Sheet'!$B$8:$AL$500,27,0),"")</f>
        <v/>
      </c>
      <c r="Q114" s="19" t="str">
        <f>IF($B114&lt;&gt;"",VLOOKUP($B114,'Planning Sheet'!$B$8:$AL$500,34,0),"")</f>
        <v/>
      </c>
      <c r="R114" s="19" t="str">
        <f>IF($B114&lt;&gt;"",VLOOKUP($B114,'Planning Sheet'!$B$8:$AL$500,36,0),"")</f>
        <v/>
      </c>
      <c r="S114" s="19" t="str">
        <f>IF($B114&lt;&gt;"",VLOOKUP($B114,'Planning Sheet'!$B$8:$AM$500,38,0),"")</f>
        <v/>
      </c>
      <c r="T114" s="18" t="str">
        <f t="shared" si="3"/>
        <v/>
      </c>
      <c r="U114" s="100" t="str">
        <f t="shared" si="2"/>
        <v/>
      </c>
      <c r="Y114" s="48" t="str">
        <f ca="1">IF(AND('Planning Sheet'!$AT119='Weeks Plan'!$D$6,'Planning Sheet'!$AN119='Weeks Plan'!$G$6),'Planning Sheet'!$B119,"")</f>
        <v/>
      </c>
      <c r="Z114" s="48" t="str">
        <f ca="1">IF(AND('Planning Sheet'!$AT119='Weeks Plan'!$D$6,'Planning Sheet'!$AN119='Weeks Plan'!$G$6),'Planning Sheet'!$AO119,"")</f>
        <v/>
      </c>
      <c r="AA114" s="48" t="str">
        <f ca="1">IF(AND('Planning Sheet'!$AT119='Weeks Plan'!$D$6,'Planning Sheet'!$AN119='Weeks Plan'!$G$6),'Planning Sheet'!AP119,"")</f>
        <v/>
      </c>
    </row>
    <row r="115" spans="2:27" x14ac:dyDescent="0.3">
      <c r="B115" s="11"/>
      <c r="C115" s="75" t="str">
        <f>IF($B115&lt;&gt;"",VLOOKUP($B115,'Planning Sheet'!$B$8:$AL$500,3,0),"")</f>
        <v/>
      </c>
      <c r="D115" s="18" t="str">
        <f>IF($B115&lt;&gt;"",VLOOKUP($B115,'Planning Sheet'!$B$8:$AL$500,5,0),"")</f>
        <v/>
      </c>
      <c r="E115" s="18" t="str">
        <f>IF($B115&lt;&gt;"",VLOOKUP($B115,'Planning Sheet'!$B$8:$AL$500,7,0),"")</f>
        <v/>
      </c>
      <c r="F115" s="18" t="str">
        <f>IF($B115&lt;&gt;"",VLOOKUP($B115,'Planning Sheet'!$B$8:$AL$500,9,0),"")</f>
        <v/>
      </c>
      <c r="G115" s="18" t="str">
        <f>IF($B115&lt;&gt;"",VLOOKUP($B115,'Planning Sheet'!$B$8:$AL$500,11,0),"")</f>
        <v/>
      </c>
      <c r="H115" s="18" t="str">
        <f>IF($B115&lt;&gt;"",VLOOKUP($B115,'Planning Sheet'!$B$8:$AL$500,13,0),"")</f>
        <v/>
      </c>
      <c r="I115" s="18" t="str">
        <f>IF($B115&lt;&gt;"",VLOOKUP($B115,'Planning Sheet'!$B$8:$AL$500,15,0),"")</f>
        <v/>
      </c>
      <c r="J115" s="18" t="str">
        <f>IF($B115&lt;&gt;"",VLOOKUP($B115,'Planning Sheet'!$B$8:$AL$500,17,0),"")</f>
        <v/>
      </c>
      <c r="K115" s="18" t="str">
        <f>IF($B115&lt;&gt;"",VLOOKUP($B115,'Planning Sheet'!$B$8:$AL$500,19,0),"")</f>
        <v/>
      </c>
      <c r="L115" s="18" t="str">
        <f>IF($B115&lt;&gt;"",VLOOKUP($B115,'Planning Sheet'!$B$8:$AL$500,21,0),"")</f>
        <v/>
      </c>
      <c r="M115" s="18" t="str">
        <f>IF($B115&lt;&gt;"",VLOOKUP($B115,'Planning Sheet'!$B$8:$AL$500,23,0),"")</f>
        <v/>
      </c>
      <c r="N115" s="18" t="str">
        <f>IF($B115&lt;&gt;"",VLOOKUP($B115,'Planning Sheet'!$B$8:$AL$500,25,0),"")</f>
        <v/>
      </c>
      <c r="O115" s="18" t="str">
        <f>IF($B115&lt;&gt;"",VLOOKUP($B115,'Planning Sheet'!$B$8:$AL$500,26,0),"")</f>
        <v/>
      </c>
      <c r="P115" s="19" t="str">
        <f>IF($B115&lt;&gt;"",VLOOKUP($B115,'Planning Sheet'!$B$8:$AL$500,27,0),"")</f>
        <v/>
      </c>
      <c r="Q115" s="19" t="str">
        <f>IF($B115&lt;&gt;"",VLOOKUP($B115,'Planning Sheet'!$B$8:$AL$500,34,0),"")</f>
        <v/>
      </c>
      <c r="R115" s="19" t="str">
        <f>IF($B115&lt;&gt;"",VLOOKUP($B115,'Planning Sheet'!$B$8:$AL$500,36,0),"")</f>
        <v/>
      </c>
      <c r="S115" s="19" t="str">
        <f>IF($B115&lt;&gt;"",VLOOKUP($B115,'Planning Sheet'!$B$8:$AM$500,38,0),"")</f>
        <v/>
      </c>
      <c r="T115" s="18" t="str">
        <f t="shared" si="3"/>
        <v/>
      </c>
      <c r="U115" s="100" t="str">
        <f t="shared" si="2"/>
        <v/>
      </c>
      <c r="Y115" s="48" t="str">
        <f ca="1">IF(AND('Planning Sheet'!$AT120='Weeks Plan'!$D$6,'Planning Sheet'!$AN120='Weeks Plan'!$G$6),'Planning Sheet'!$B120,"")</f>
        <v/>
      </c>
      <c r="Z115" s="48" t="str">
        <f ca="1">IF(AND('Planning Sheet'!$AT120='Weeks Plan'!$D$6,'Planning Sheet'!$AN120='Weeks Plan'!$G$6),'Planning Sheet'!$AO120,"")</f>
        <v/>
      </c>
      <c r="AA115" s="48" t="str">
        <f ca="1">IF(AND('Planning Sheet'!$AT120='Weeks Plan'!$D$6,'Planning Sheet'!$AN120='Weeks Plan'!$G$6),'Planning Sheet'!AP120,"")</f>
        <v/>
      </c>
    </row>
    <row r="116" spans="2:27" x14ac:dyDescent="0.3">
      <c r="B116" s="11"/>
      <c r="C116" s="75" t="str">
        <f>IF($B116&lt;&gt;"",VLOOKUP($B116,'Planning Sheet'!$B$8:$AL$500,3,0),"")</f>
        <v/>
      </c>
      <c r="D116" s="18" t="str">
        <f>IF($B116&lt;&gt;"",VLOOKUP($B116,'Planning Sheet'!$B$8:$AL$500,5,0),"")</f>
        <v/>
      </c>
      <c r="E116" s="18" t="str">
        <f>IF($B116&lt;&gt;"",VLOOKUP($B116,'Planning Sheet'!$B$8:$AL$500,7,0),"")</f>
        <v/>
      </c>
      <c r="F116" s="18" t="str">
        <f>IF($B116&lt;&gt;"",VLOOKUP($B116,'Planning Sheet'!$B$8:$AL$500,9,0),"")</f>
        <v/>
      </c>
      <c r="G116" s="18" t="str">
        <f>IF($B116&lt;&gt;"",VLOOKUP($B116,'Planning Sheet'!$B$8:$AL$500,11,0),"")</f>
        <v/>
      </c>
      <c r="H116" s="18" t="str">
        <f>IF($B116&lt;&gt;"",VLOOKUP($B116,'Planning Sheet'!$B$8:$AL$500,13,0),"")</f>
        <v/>
      </c>
      <c r="I116" s="18" t="str">
        <f>IF($B116&lt;&gt;"",VLOOKUP($B116,'Planning Sheet'!$B$8:$AL$500,15,0),"")</f>
        <v/>
      </c>
      <c r="J116" s="18" t="str">
        <f>IF($B116&lt;&gt;"",VLOOKUP($B116,'Planning Sheet'!$B$8:$AL$500,17,0),"")</f>
        <v/>
      </c>
      <c r="K116" s="18" t="str">
        <f>IF($B116&lt;&gt;"",VLOOKUP($B116,'Planning Sheet'!$B$8:$AL$500,19,0),"")</f>
        <v/>
      </c>
      <c r="L116" s="18" t="str">
        <f>IF($B116&lt;&gt;"",VLOOKUP($B116,'Planning Sheet'!$B$8:$AL$500,21,0),"")</f>
        <v/>
      </c>
      <c r="M116" s="18" t="str">
        <f>IF($B116&lt;&gt;"",VLOOKUP($B116,'Planning Sheet'!$B$8:$AL$500,23,0),"")</f>
        <v/>
      </c>
      <c r="N116" s="18" t="str">
        <f>IF($B116&lt;&gt;"",VLOOKUP($B116,'Planning Sheet'!$B$8:$AL$500,25,0),"")</f>
        <v/>
      </c>
      <c r="O116" s="18" t="str">
        <f>IF($B116&lt;&gt;"",VLOOKUP($B116,'Planning Sheet'!$B$8:$AL$500,26,0),"")</f>
        <v/>
      </c>
      <c r="P116" s="19" t="str">
        <f>IF($B116&lt;&gt;"",VLOOKUP($B116,'Planning Sheet'!$B$8:$AL$500,27,0),"")</f>
        <v/>
      </c>
      <c r="Q116" s="19" t="str">
        <f>IF($B116&lt;&gt;"",VLOOKUP($B116,'Planning Sheet'!$B$8:$AL$500,34,0),"")</f>
        <v/>
      </c>
      <c r="R116" s="19" t="str">
        <f>IF($B116&lt;&gt;"",VLOOKUP($B116,'Planning Sheet'!$B$8:$AL$500,36,0),"")</f>
        <v/>
      </c>
      <c r="S116" s="19" t="str">
        <f>IF($B116&lt;&gt;"",VLOOKUP($B116,'Planning Sheet'!$B$8:$AM$500,38,0),"")</f>
        <v/>
      </c>
      <c r="T116" s="18" t="str">
        <f t="shared" si="3"/>
        <v/>
      </c>
      <c r="U116" s="100" t="str">
        <f t="shared" si="2"/>
        <v/>
      </c>
      <c r="Y116" s="48" t="str">
        <f ca="1">IF(AND('Planning Sheet'!$AT121='Weeks Plan'!$D$6,'Planning Sheet'!$AN121='Weeks Plan'!$G$6),'Planning Sheet'!$B121,"")</f>
        <v/>
      </c>
      <c r="Z116" s="48" t="str">
        <f ca="1">IF(AND('Planning Sheet'!$AT121='Weeks Plan'!$D$6,'Planning Sheet'!$AN121='Weeks Plan'!$G$6),'Planning Sheet'!$AO121,"")</f>
        <v/>
      </c>
      <c r="AA116" s="48" t="str">
        <f ca="1">IF(AND('Planning Sheet'!$AT121='Weeks Plan'!$D$6,'Planning Sheet'!$AN121='Weeks Plan'!$G$6),'Planning Sheet'!AP121,"")</f>
        <v/>
      </c>
    </row>
    <row r="117" spans="2:27" x14ac:dyDescent="0.3">
      <c r="B117" s="11"/>
      <c r="C117" s="75" t="str">
        <f>IF($B117&lt;&gt;"",VLOOKUP($B117,'Planning Sheet'!$B$8:$AL$500,3,0),"")</f>
        <v/>
      </c>
      <c r="D117" s="18" t="str">
        <f>IF($B117&lt;&gt;"",VLOOKUP($B117,'Planning Sheet'!$B$8:$AL$500,5,0),"")</f>
        <v/>
      </c>
      <c r="E117" s="18" t="str">
        <f>IF($B117&lt;&gt;"",VLOOKUP($B117,'Planning Sheet'!$B$8:$AL$500,7,0),"")</f>
        <v/>
      </c>
      <c r="F117" s="18" t="str">
        <f>IF($B117&lt;&gt;"",VLOOKUP($B117,'Planning Sheet'!$B$8:$AL$500,9,0),"")</f>
        <v/>
      </c>
      <c r="G117" s="18" t="str">
        <f>IF($B117&lt;&gt;"",VLOOKUP($B117,'Planning Sheet'!$B$8:$AL$500,11,0),"")</f>
        <v/>
      </c>
      <c r="H117" s="18" t="str">
        <f>IF($B117&lt;&gt;"",VLOOKUP($B117,'Planning Sheet'!$B$8:$AL$500,13,0),"")</f>
        <v/>
      </c>
      <c r="I117" s="18" t="str">
        <f>IF($B117&lt;&gt;"",VLOOKUP($B117,'Planning Sheet'!$B$8:$AL$500,15,0),"")</f>
        <v/>
      </c>
      <c r="J117" s="18" t="str">
        <f>IF($B117&lt;&gt;"",VLOOKUP($B117,'Planning Sheet'!$B$8:$AL$500,17,0),"")</f>
        <v/>
      </c>
      <c r="K117" s="18" t="str">
        <f>IF($B117&lt;&gt;"",VLOOKUP($B117,'Planning Sheet'!$B$8:$AL$500,19,0),"")</f>
        <v/>
      </c>
      <c r="L117" s="18" t="str">
        <f>IF($B117&lt;&gt;"",VLOOKUP($B117,'Planning Sheet'!$B$8:$AL$500,21,0),"")</f>
        <v/>
      </c>
      <c r="M117" s="18" t="str">
        <f>IF($B117&lt;&gt;"",VLOOKUP($B117,'Planning Sheet'!$B$8:$AL$500,23,0),"")</f>
        <v/>
      </c>
      <c r="N117" s="18" t="str">
        <f>IF($B117&lt;&gt;"",VLOOKUP($B117,'Planning Sheet'!$B$8:$AL$500,25,0),"")</f>
        <v/>
      </c>
      <c r="O117" s="18" t="str">
        <f>IF($B117&lt;&gt;"",VLOOKUP($B117,'Planning Sheet'!$B$8:$AL$500,26,0),"")</f>
        <v/>
      </c>
      <c r="P117" s="19" t="str">
        <f>IF($B117&lt;&gt;"",VLOOKUP($B117,'Planning Sheet'!$B$8:$AL$500,27,0),"")</f>
        <v/>
      </c>
      <c r="Q117" s="19" t="str">
        <f>IF($B117&lt;&gt;"",VLOOKUP($B117,'Planning Sheet'!$B$8:$AL$500,34,0),"")</f>
        <v/>
      </c>
      <c r="R117" s="19" t="str">
        <f>IF($B117&lt;&gt;"",VLOOKUP($B117,'Planning Sheet'!$B$8:$AL$500,36,0),"")</f>
        <v/>
      </c>
      <c r="S117" s="19" t="str">
        <f>IF($B117&lt;&gt;"",VLOOKUP($B117,'Planning Sheet'!$B$8:$AM$500,38,0),"")</f>
        <v/>
      </c>
      <c r="T117" s="18" t="str">
        <f t="shared" si="3"/>
        <v/>
      </c>
      <c r="U117" s="100" t="str">
        <f t="shared" si="2"/>
        <v/>
      </c>
      <c r="Y117" s="48" t="str">
        <f ca="1">IF(AND('Planning Sheet'!$AT122='Weeks Plan'!$D$6,'Planning Sheet'!$AN122='Weeks Plan'!$G$6),'Planning Sheet'!$B122,"")</f>
        <v/>
      </c>
      <c r="Z117" s="48" t="str">
        <f ca="1">IF(AND('Planning Sheet'!$AT122='Weeks Plan'!$D$6,'Planning Sheet'!$AN122='Weeks Plan'!$G$6),'Planning Sheet'!$AO122,"")</f>
        <v/>
      </c>
      <c r="AA117" s="48" t="str">
        <f ca="1">IF(AND('Planning Sheet'!$AT122='Weeks Plan'!$D$6,'Planning Sheet'!$AN122='Weeks Plan'!$G$6),'Planning Sheet'!AP122,"")</f>
        <v/>
      </c>
    </row>
    <row r="118" spans="2:27" x14ac:dyDescent="0.3">
      <c r="B118" s="11"/>
      <c r="C118" s="75" t="str">
        <f>IF($B118&lt;&gt;"",VLOOKUP($B118,'Planning Sheet'!$B$8:$AL$500,3,0),"")</f>
        <v/>
      </c>
      <c r="D118" s="18" t="str">
        <f>IF($B118&lt;&gt;"",VLOOKUP($B118,'Planning Sheet'!$B$8:$AL$500,5,0),"")</f>
        <v/>
      </c>
      <c r="E118" s="18" t="str">
        <f>IF($B118&lt;&gt;"",VLOOKUP($B118,'Planning Sheet'!$B$8:$AL$500,7,0),"")</f>
        <v/>
      </c>
      <c r="F118" s="18" t="str">
        <f>IF($B118&lt;&gt;"",VLOOKUP($B118,'Planning Sheet'!$B$8:$AL$500,9,0),"")</f>
        <v/>
      </c>
      <c r="G118" s="18" t="str">
        <f>IF($B118&lt;&gt;"",VLOOKUP($B118,'Planning Sheet'!$B$8:$AL$500,11,0),"")</f>
        <v/>
      </c>
      <c r="H118" s="18" t="str">
        <f>IF($B118&lt;&gt;"",VLOOKUP($B118,'Planning Sheet'!$B$8:$AL$500,13,0),"")</f>
        <v/>
      </c>
      <c r="I118" s="18" t="str">
        <f>IF($B118&lt;&gt;"",VLOOKUP($B118,'Planning Sheet'!$B$8:$AL$500,15,0),"")</f>
        <v/>
      </c>
      <c r="J118" s="18" t="str">
        <f>IF($B118&lt;&gt;"",VLOOKUP($B118,'Planning Sheet'!$B$8:$AL$500,17,0),"")</f>
        <v/>
      </c>
      <c r="K118" s="18" t="str">
        <f>IF($B118&lt;&gt;"",VLOOKUP($B118,'Planning Sheet'!$B$8:$AL$500,19,0),"")</f>
        <v/>
      </c>
      <c r="L118" s="18" t="str">
        <f>IF($B118&lt;&gt;"",VLOOKUP($B118,'Planning Sheet'!$B$8:$AL$500,21,0),"")</f>
        <v/>
      </c>
      <c r="M118" s="18" t="str">
        <f>IF($B118&lt;&gt;"",VLOOKUP($B118,'Planning Sheet'!$B$8:$AL$500,23,0),"")</f>
        <v/>
      </c>
      <c r="N118" s="18" t="str">
        <f>IF($B118&lt;&gt;"",VLOOKUP($B118,'Planning Sheet'!$B$8:$AL$500,25,0),"")</f>
        <v/>
      </c>
      <c r="O118" s="18" t="str">
        <f>IF($B118&lt;&gt;"",VLOOKUP($B118,'Planning Sheet'!$B$8:$AL$500,26,0),"")</f>
        <v/>
      </c>
      <c r="P118" s="19" t="str">
        <f>IF($B118&lt;&gt;"",VLOOKUP($B118,'Planning Sheet'!$B$8:$AL$500,27,0),"")</f>
        <v/>
      </c>
      <c r="Q118" s="19" t="str">
        <f>IF($B118&lt;&gt;"",VLOOKUP($B118,'Planning Sheet'!$B$8:$AL$500,34,0),"")</f>
        <v/>
      </c>
      <c r="R118" s="19" t="str">
        <f>IF($B118&lt;&gt;"",VLOOKUP($B118,'Planning Sheet'!$B$8:$AL$500,36,0),"")</f>
        <v/>
      </c>
      <c r="S118" s="19" t="str">
        <f>IF($B118&lt;&gt;"",VLOOKUP($B118,'Planning Sheet'!$B$8:$AM$500,38,0),"")</f>
        <v/>
      </c>
      <c r="T118" s="18" t="str">
        <f t="shared" si="3"/>
        <v/>
      </c>
      <c r="U118" s="100" t="str">
        <f t="shared" si="2"/>
        <v/>
      </c>
      <c r="Y118" s="48" t="str">
        <f ca="1">IF(AND('Planning Sheet'!$AT123='Weeks Plan'!$D$6,'Planning Sheet'!$AN123='Weeks Plan'!$G$6),'Planning Sheet'!$B123,"")</f>
        <v/>
      </c>
      <c r="Z118" s="48" t="str">
        <f ca="1">IF(AND('Planning Sheet'!$AT123='Weeks Plan'!$D$6,'Planning Sheet'!$AN123='Weeks Plan'!$G$6),'Planning Sheet'!$AO123,"")</f>
        <v/>
      </c>
      <c r="AA118" s="48" t="str">
        <f ca="1">IF(AND('Planning Sheet'!$AT123='Weeks Plan'!$D$6,'Planning Sheet'!$AN123='Weeks Plan'!$G$6),'Planning Sheet'!AP123,"")</f>
        <v/>
      </c>
    </row>
    <row r="119" spans="2:27" x14ac:dyDescent="0.3">
      <c r="B119" s="11"/>
      <c r="C119" s="75" t="str">
        <f>IF($B119&lt;&gt;"",VLOOKUP($B119,'Planning Sheet'!$B$8:$AL$500,3,0),"")</f>
        <v/>
      </c>
      <c r="D119" s="18" t="str">
        <f>IF($B119&lt;&gt;"",VLOOKUP($B119,'Planning Sheet'!$B$8:$AL$500,5,0),"")</f>
        <v/>
      </c>
      <c r="E119" s="18" t="str">
        <f>IF($B119&lt;&gt;"",VLOOKUP($B119,'Planning Sheet'!$B$8:$AL$500,7,0),"")</f>
        <v/>
      </c>
      <c r="F119" s="18" t="str">
        <f>IF($B119&lt;&gt;"",VLOOKUP($B119,'Planning Sheet'!$B$8:$AL$500,9,0),"")</f>
        <v/>
      </c>
      <c r="G119" s="18" t="str">
        <f>IF($B119&lt;&gt;"",VLOOKUP($B119,'Planning Sheet'!$B$8:$AL$500,11,0),"")</f>
        <v/>
      </c>
      <c r="H119" s="18" t="str">
        <f>IF($B119&lt;&gt;"",VLOOKUP($B119,'Planning Sheet'!$B$8:$AL$500,13,0),"")</f>
        <v/>
      </c>
      <c r="I119" s="18" t="str">
        <f>IF($B119&lt;&gt;"",VLOOKUP($B119,'Planning Sheet'!$B$8:$AL$500,15,0),"")</f>
        <v/>
      </c>
      <c r="J119" s="18" t="str">
        <f>IF($B119&lt;&gt;"",VLOOKUP($B119,'Planning Sheet'!$B$8:$AL$500,17,0),"")</f>
        <v/>
      </c>
      <c r="K119" s="18" t="str">
        <f>IF($B119&lt;&gt;"",VLOOKUP($B119,'Planning Sheet'!$B$8:$AL$500,19,0),"")</f>
        <v/>
      </c>
      <c r="L119" s="18" t="str">
        <f>IF($B119&lt;&gt;"",VLOOKUP($B119,'Planning Sheet'!$B$8:$AL$500,21,0),"")</f>
        <v/>
      </c>
      <c r="M119" s="18" t="str">
        <f>IF($B119&lt;&gt;"",VLOOKUP($B119,'Planning Sheet'!$B$8:$AL$500,23,0),"")</f>
        <v/>
      </c>
      <c r="N119" s="18" t="str">
        <f>IF($B119&lt;&gt;"",VLOOKUP($B119,'Planning Sheet'!$B$8:$AL$500,25,0),"")</f>
        <v/>
      </c>
      <c r="O119" s="18" t="str">
        <f>IF($B119&lt;&gt;"",VLOOKUP($B119,'Planning Sheet'!$B$8:$AL$500,26,0),"")</f>
        <v/>
      </c>
      <c r="P119" s="19" t="str">
        <f>IF($B119&lt;&gt;"",VLOOKUP($B119,'Planning Sheet'!$B$8:$AL$500,27,0),"")</f>
        <v/>
      </c>
      <c r="Q119" s="19" t="str">
        <f>IF($B119&lt;&gt;"",VLOOKUP($B119,'Planning Sheet'!$B$8:$AL$500,34,0),"")</f>
        <v/>
      </c>
      <c r="R119" s="19" t="str">
        <f>IF($B119&lt;&gt;"",VLOOKUP($B119,'Planning Sheet'!$B$8:$AL$500,36,0),"")</f>
        <v/>
      </c>
      <c r="S119" s="19" t="str">
        <f>IF($B119&lt;&gt;"",VLOOKUP($B119,'Planning Sheet'!$B$8:$AM$500,38,0),"")</f>
        <v/>
      </c>
      <c r="T119" s="18" t="str">
        <f t="shared" si="3"/>
        <v/>
      </c>
      <c r="U119" s="100" t="str">
        <f t="shared" si="2"/>
        <v/>
      </c>
      <c r="Y119" s="48" t="str">
        <f ca="1">IF(AND('Planning Sheet'!$AT124='Weeks Plan'!$D$6,'Planning Sheet'!$AN124='Weeks Plan'!$G$6),'Planning Sheet'!$B124,"")</f>
        <v/>
      </c>
      <c r="Z119" s="48" t="str">
        <f ca="1">IF(AND('Planning Sheet'!$AT124='Weeks Plan'!$D$6,'Planning Sheet'!$AN124='Weeks Plan'!$G$6),'Planning Sheet'!$AO124,"")</f>
        <v/>
      </c>
      <c r="AA119" s="48" t="str">
        <f ca="1">IF(AND('Planning Sheet'!$AT124='Weeks Plan'!$D$6,'Planning Sheet'!$AN124='Weeks Plan'!$G$6),'Planning Sheet'!AP124,"")</f>
        <v/>
      </c>
    </row>
    <row r="120" spans="2:27" x14ac:dyDescent="0.3">
      <c r="B120" s="11"/>
      <c r="C120" s="75" t="str">
        <f>IF($B120&lt;&gt;"",VLOOKUP($B120,'Planning Sheet'!$B$8:$AL$500,3,0),"")</f>
        <v/>
      </c>
      <c r="D120" s="18" t="str">
        <f>IF($B120&lt;&gt;"",VLOOKUP($B120,'Planning Sheet'!$B$8:$AL$500,5,0),"")</f>
        <v/>
      </c>
      <c r="E120" s="18" t="str">
        <f>IF($B120&lt;&gt;"",VLOOKUP($B120,'Planning Sheet'!$B$8:$AL$500,7,0),"")</f>
        <v/>
      </c>
      <c r="F120" s="18" t="str">
        <f>IF($B120&lt;&gt;"",VLOOKUP($B120,'Planning Sheet'!$B$8:$AL$500,9,0),"")</f>
        <v/>
      </c>
      <c r="G120" s="18" t="str">
        <f>IF($B120&lt;&gt;"",VLOOKUP($B120,'Planning Sheet'!$B$8:$AL$500,11,0),"")</f>
        <v/>
      </c>
      <c r="H120" s="18" t="str">
        <f>IF($B120&lt;&gt;"",VLOOKUP($B120,'Planning Sheet'!$B$8:$AL$500,13,0),"")</f>
        <v/>
      </c>
      <c r="I120" s="18" t="str">
        <f>IF($B120&lt;&gt;"",VLOOKUP($B120,'Planning Sheet'!$B$8:$AL$500,15,0),"")</f>
        <v/>
      </c>
      <c r="J120" s="18" t="str">
        <f>IF($B120&lt;&gt;"",VLOOKUP($B120,'Planning Sheet'!$B$8:$AL$500,17,0),"")</f>
        <v/>
      </c>
      <c r="K120" s="18" t="str">
        <f>IF($B120&lt;&gt;"",VLOOKUP($B120,'Planning Sheet'!$B$8:$AL$500,19,0),"")</f>
        <v/>
      </c>
      <c r="L120" s="18" t="str">
        <f>IF($B120&lt;&gt;"",VLOOKUP($B120,'Planning Sheet'!$B$8:$AL$500,21,0),"")</f>
        <v/>
      </c>
      <c r="M120" s="18" t="str">
        <f>IF($B120&lt;&gt;"",VLOOKUP($B120,'Planning Sheet'!$B$8:$AL$500,23,0),"")</f>
        <v/>
      </c>
      <c r="N120" s="18" t="str">
        <f>IF($B120&lt;&gt;"",VLOOKUP($B120,'Planning Sheet'!$B$8:$AL$500,25,0),"")</f>
        <v/>
      </c>
      <c r="O120" s="18" t="str">
        <f>IF($B120&lt;&gt;"",VLOOKUP($B120,'Planning Sheet'!$B$8:$AL$500,26,0),"")</f>
        <v/>
      </c>
      <c r="P120" s="19" t="str">
        <f>IF($B120&lt;&gt;"",VLOOKUP($B120,'Planning Sheet'!$B$8:$AL$500,27,0),"")</f>
        <v/>
      </c>
      <c r="Q120" s="19" t="str">
        <f>IF($B120&lt;&gt;"",VLOOKUP($B120,'Planning Sheet'!$B$8:$AL$500,34,0),"")</f>
        <v/>
      </c>
      <c r="R120" s="19" t="str">
        <f>IF($B120&lt;&gt;"",VLOOKUP($B120,'Planning Sheet'!$B$8:$AL$500,36,0),"")</f>
        <v/>
      </c>
      <c r="S120" s="19" t="str">
        <f>IF($B120&lt;&gt;"",VLOOKUP($B120,'Planning Sheet'!$B$8:$AM$500,38,0),"")</f>
        <v/>
      </c>
      <c r="T120" s="18" t="str">
        <f t="shared" si="3"/>
        <v/>
      </c>
      <c r="U120" s="100" t="str">
        <f t="shared" si="2"/>
        <v/>
      </c>
      <c r="Y120" s="48" t="str">
        <f ca="1">IF(AND('Planning Sheet'!$AT125='Weeks Plan'!$D$6,'Planning Sheet'!$AN125='Weeks Plan'!$G$6),'Planning Sheet'!$B125,"")</f>
        <v/>
      </c>
      <c r="Z120" s="48" t="str">
        <f ca="1">IF(AND('Planning Sheet'!$AT125='Weeks Plan'!$D$6,'Planning Sheet'!$AN125='Weeks Plan'!$G$6),'Planning Sheet'!$AO125,"")</f>
        <v/>
      </c>
      <c r="AA120" s="48" t="str">
        <f ca="1">IF(AND('Planning Sheet'!$AT125='Weeks Plan'!$D$6,'Planning Sheet'!$AN125='Weeks Plan'!$G$6),'Planning Sheet'!AP125,"")</f>
        <v/>
      </c>
    </row>
    <row r="121" spans="2:27" x14ac:dyDescent="0.3">
      <c r="B121" s="11"/>
      <c r="C121" s="75" t="str">
        <f>IF($B121&lt;&gt;"",VLOOKUP($B121,'Planning Sheet'!$B$8:$AL$500,3,0),"")</f>
        <v/>
      </c>
      <c r="D121" s="18" t="str">
        <f>IF($B121&lt;&gt;"",VLOOKUP($B121,'Planning Sheet'!$B$8:$AL$500,5,0),"")</f>
        <v/>
      </c>
      <c r="E121" s="18" t="str">
        <f>IF($B121&lt;&gt;"",VLOOKUP($B121,'Planning Sheet'!$B$8:$AL$500,7,0),"")</f>
        <v/>
      </c>
      <c r="F121" s="18" t="str">
        <f>IF($B121&lt;&gt;"",VLOOKUP($B121,'Planning Sheet'!$B$8:$AL$500,9,0),"")</f>
        <v/>
      </c>
      <c r="G121" s="18" t="str">
        <f>IF($B121&lt;&gt;"",VLOOKUP($B121,'Planning Sheet'!$B$8:$AL$500,11,0),"")</f>
        <v/>
      </c>
      <c r="H121" s="18" t="str">
        <f>IF($B121&lt;&gt;"",VLOOKUP($B121,'Planning Sheet'!$B$8:$AL$500,13,0),"")</f>
        <v/>
      </c>
      <c r="I121" s="18" t="str">
        <f>IF($B121&lt;&gt;"",VLOOKUP($B121,'Planning Sheet'!$B$8:$AL$500,15,0),"")</f>
        <v/>
      </c>
      <c r="J121" s="18" t="str">
        <f>IF($B121&lt;&gt;"",VLOOKUP($B121,'Planning Sheet'!$B$8:$AL$500,17,0),"")</f>
        <v/>
      </c>
      <c r="K121" s="18" t="str">
        <f>IF($B121&lt;&gt;"",VLOOKUP($B121,'Planning Sheet'!$B$8:$AL$500,19,0),"")</f>
        <v/>
      </c>
      <c r="L121" s="18" t="str">
        <f>IF($B121&lt;&gt;"",VLOOKUP($B121,'Planning Sheet'!$B$8:$AL$500,21,0),"")</f>
        <v/>
      </c>
      <c r="M121" s="18" t="str">
        <f>IF($B121&lt;&gt;"",VLOOKUP($B121,'Planning Sheet'!$B$8:$AL$500,23,0),"")</f>
        <v/>
      </c>
      <c r="N121" s="18" t="str">
        <f>IF($B121&lt;&gt;"",VLOOKUP($B121,'Planning Sheet'!$B$8:$AL$500,25,0),"")</f>
        <v/>
      </c>
      <c r="O121" s="18" t="str">
        <f>IF($B121&lt;&gt;"",VLOOKUP($B121,'Planning Sheet'!$B$8:$AL$500,26,0),"")</f>
        <v/>
      </c>
      <c r="P121" s="19" t="str">
        <f>IF($B121&lt;&gt;"",VLOOKUP($B121,'Planning Sheet'!$B$8:$AL$500,27,0),"")</f>
        <v/>
      </c>
      <c r="Q121" s="19" t="str">
        <f>IF($B121&lt;&gt;"",VLOOKUP($B121,'Planning Sheet'!$B$8:$AL$500,34,0),"")</f>
        <v/>
      </c>
      <c r="R121" s="19" t="str">
        <f>IF($B121&lt;&gt;"",VLOOKUP($B121,'Planning Sheet'!$B$8:$AL$500,36,0),"")</f>
        <v/>
      </c>
      <c r="S121" s="19" t="str">
        <f>IF($B121&lt;&gt;"",VLOOKUP($B121,'Planning Sheet'!$B$8:$AM$500,38,0),"")</f>
        <v/>
      </c>
      <c r="T121" s="18" t="str">
        <f t="shared" si="3"/>
        <v/>
      </c>
      <c r="U121" s="100" t="str">
        <f t="shared" si="2"/>
        <v/>
      </c>
      <c r="Y121" s="48" t="str">
        <f ca="1">IF(AND('Planning Sheet'!$AT126='Weeks Plan'!$D$6,'Planning Sheet'!$AN126='Weeks Plan'!$G$6),'Planning Sheet'!$B126,"")</f>
        <v/>
      </c>
      <c r="Z121" s="48" t="str">
        <f ca="1">IF(AND('Planning Sheet'!$AT126='Weeks Plan'!$D$6,'Planning Sheet'!$AN126='Weeks Plan'!$G$6),'Planning Sheet'!$AO126,"")</f>
        <v/>
      </c>
      <c r="AA121" s="48" t="str">
        <f ca="1">IF(AND('Planning Sheet'!$AT126='Weeks Plan'!$D$6,'Planning Sheet'!$AN126='Weeks Plan'!$G$6),'Planning Sheet'!AP126,"")</f>
        <v/>
      </c>
    </row>
    <row r="122" spans="2:27" x14ac:dyDescent="0.3">
      <c r="B122" s="11"/>
      <c r="C122" s="75" t="str">
        <f>IF($B122&lt;&gt;"",VLOOKUP($B122,'Planning Sheet'!$B$8:$AL$500,3,0),"")</f>
        <v/>
      </c>
      <c r="D122" s="18" t="str">
        <f>IF($B122&lt;&gt;"",VLOOKUP($B122,'Planning Sheet'!$B$8:$AL$500,5,0),"")</f>
        <v/>
      </c>
      <c r="E122" s="18" t="str">
        <f>IF($B122&lt;&gt;"",VLOOKUP($B122,'Planning Sheet'!$B$8:$AL$500,7,0),"")</f>
        <v/>
      </c>
      <c r="F122" s="18" t="str">
        <f>IF($B122&lt;&gt;"",VLOOKUP($B122,'Planning Sheet'!$B$8:$AL$500,9,0),"")</f>
        <v/>
      </c>
      <c r="G122" s="18" t="str">
        <f>IF($B122&lt;&gt;"",VLOOKUP($B122,'Planning Sheet'!$B$8:$AL$500,11,0),"")</f>
        <v/>
      </c>
      <c r="H122" s="18" t="str">
        <f>IF($B122&lt;&gt;"",VLOOKUP($B122,'Planning Sheet'!$B$8:$AL$500,13,0),"")</f>
        <v/>
      </c>
      <c r="I122" s="18" t="str">
        <f>IF($B122&lt;&gt;"",VLOOKUP($B122,'Planning Sheet'!$B$8:$AL$500,15,0),"")</f>
        <v/>
      </c>
      <c r="J122" s="18" t="str">
        <f>IF($B122&lt;&gt;"",VLOOKUP($B122,'Planning Sheet'!$B$8:$AL$500,17,0),"")</f>
        <v/>
      </c>
      <c r="K122" s="18" t="str">
        <f>IF($B122&lt;&gt;"",VLOOKUP($B122,'Planning Sheet'!$B$8:$AL$500,19,0),"")</f>
        <v/>
      </c>
      <c r="L122" s="18" t="str">
        <f>IF($B122&lt;&gt;"",VLOOKUP($B122,'Planning Sheet'!$B$8:$AL$500,21,0),"")</f>
        <v/>
      </c>
      <c r="M122" s="18" t="str">
        <f>IF($B122&lt;&gt;"",VLOOKUP($B122,'Planning Sheet'!$B$8:$AL$500,23,0),"")</f>
        <v/>
      </c>
      <c r="N122" s="18" t="str">
        <f>IF($B122&lt;&gt;"",VLOOKUP($B122,'Planning Sheet'!$B$8:$AL$500,25,0),"")</f>
        <v/>
      </c>
      <c r="O122" s="18" t="str">
        <f>IF($B122&lt;&gt;"",VLOOKUP($B122,'Planning Sheet'!$B$8:$AL$500,26,0),"")</f>
        <v/>
      </c>
      <c r="P122" s="19" t="str">
        <f>IF($B122&lt;&gt;"",VLOOKUP($B122,'Planning Sheet'!$B$8:$AL$500,27,0),"")</f>
        <v/>
      </c>
      <c r="Q122" s="19" t="str">
        <f>IF($B122&lt;&gt;"",VLOOKUP($B122,'Planning Sheet'!$B$8:$AL$500,34,0),"")</f>
        <v/>
      </c>
      <c r="R122" s="19" t="str">
        <f>IF($B122&lt;&gt;"",VLOOKUP($B122,'Planning Sheet'!$B$8:$AL$500,36,0),"")</f>
        <v/>
      </c>
      <c r="S122" s="19" t="str">
        <f>IF($B122&lt;&gt;"",VLOOKUP($B122,'Planning Sheet'!$B$8:$AM$500,38,0),"")</f>
        <v/>
      </c>
      <c r="T122" s="18" t="str">
        <f t="shared" si="3"/>
        <v/>
      </c>
      <c r="U122" s="100" t="str">
        <f t="shared" si="2"/>
        <v/>
      </c>
      <c r="Y122" s="48" t="str">
        <f ca="1">IF(AND('Planning Sheet'!$AT127='Weeks Plan'!$D$6,'Planning Sheet'!$AN127='Weeks Plan'!$G$6),'Planning Sheet'!$B127,"")</f>
        <v/>
      </c>
      <c r="Z122" s="48" t="str">
        <f ca="1">IF(AND('Planning Sheet'!$AT127='Weeks Plan'!$D$6,'Planning Sheet'!$AN127='Weeks Plan'!$G$6),'Planning Sheet'!$AO127,"")</f>
        <v/>
      </c>
      <c r="AA122" s="48" t="str">
        <f ca="1">IF(AND('Planning Sheet'!$AT127='Weeks Plan'!$D$6,'Planning Sheet'!$AN127='Weeks Plan'!$G$6),'Planning Sheet'!AP127,"")</f>
        <v/>
      </c>
    </row>
    <row r="123" spans="2:27" x14ac:dyDescent="0.3">
      <c r="B123" s="11"/>
      <c r="C123" s="75" t="str">
        <f>IF($B123&lt;&gt;"",VLOOKUP($B123,'Planning Sheet'!$B$8:$AL$500,3,0),"")</f>
        <v/>
      </c>
      <c r="D123" s="18" t="str">
        <f>IF($B123&lt;&gt;"",VLOOKUP($B123,'Planning Sheet'!$B$8:$AL$500,5,0),"")</f>
        <v/>
      </c>
      <c r="E123" s="18" t="str">
        <f>IF($B123&lt;&gt;"",VLOOKUP($B123,'Planning Sheet'!$B$8:$AL$500,7,0),"")</f>
        <v/>
      </c>
      <c r="F123" s="18" t="str">
        <f>IF($B123&lt;&gt;"",VLOOKUP($B123,'Planning Sheet'!$B$8:$AL$500,9,0),"")</f>
        <v/>
      </c>
      <c r="G123" s="18" t="str">
        <f>IF($B123&lt;&gt;"",VLOOKUP($B123,'Planning Sheet'!$B$8:$AL$500,11,0),"")</f>
        <v/>
      </c>
      <c r="H123" s="18" t="str">
        <f>IF($B123&lt;&gt;"",VLOOKUP($B123,'Planning Sheet'!$B$8:$AL$500,13,0),"")</f>
        <v/>
      </c>
      <c r="I123" s="18" t="str">
        <f>IF($B123&lt;&gt;"",VLOOKUP($B123,'Planning Sheet'!$B$8:$AL$500,15,0),"")</f>
        <v/>
      </c>
      <c r="J123" s="18" t="str">
        <f>IF($B123&lt;&gt;"",VLOOKUP($B123,'Planning Sheet'!$B$8:$AL$500,17,0),"")</f>
        <v/>
      </c>
      <c r="K123" s="18" t="str">
        <f>IF($B123&lt;&gt;"",VLOOKUP($B123,'Planning Sheet'!$B$8:$AL$500,19,0),"")</f>
        <v/>
      </c>
      <c r="L123" s="18" t="str">
        <f>IF($B123&lt;&gt;"",VLOOKUP($B123,'Planning Sheet'!$B$8:$AL$500,21,0),"")</f>
        <v/>
      </c>
      <c r="M123" s="18" t="str">
        <f>IF($B123&lt;&gt;"",VLOOKUP($B123,'Planning Sheet'!$B$8:$AL$500,23,0),"")</f>
        <v/>
      </c>
      <c r="N123" s="18" t="str">
        <f>IF($B123&lt;&gt;"",VLOOKUP($B123,'Planning Sheet'!$B$8:$AL$500,25,0),"")</f>
        <v/>
      </c>
      <c r="O123" s="18" t="str">
        <f>IF($B123&lt;&gt;"",VLOOKUP($B123,'Planning Sheet'!$B$8:$AL$500,26,0),"")</f>
        <v/>
      </c>
      <c r="P123" s="19" t="str">
        <f>IF($B123&lt;&gt;"",VLOOKUP($B123,'Planning Sheet'!$B$8:$AL$500,27,0),"")</f>
        <v/>
      </c>
      <c r="Q123" s="19" t="str">
        <f>IF($B123&lt;&gt;"",VLOOKUP($B123,'Planning Sheet'!$B$8:$AL$500,34,0),"")</f>
        <v/>
      </c>
      <c r="R123" s="19" t="str">
        <f>IF($B123&lt;&gt;"",VLOOKUP($B123,'Planning Sheet'!$B$8:$AL$500,36,0),"")</f>
        <v/>
      </c>
      <c r="S123" s="19" t="str">
        <f>IF($B123&lt;&gt;"",VLOOKUP($B123,'Planning Sheet'!$B$8:$AM$500,38,0),"")</f>
        <v/>
      </c>
      <c r="T123" s="18" t="str">
        <f t="shared" si="3"/>
        <v/>
      </c>
      <c r="U123" s="100" t="str">
        <f t="shared" si="2"/>
        <v/>
      </c>
      <c r="Y123" s="48" t="str">
        <f ca="1">IF(AND('Planning Sheet'!$AT128='Weeks Plan'!$D$6,'Planning Sheet'!$AN128='Weeks Plan'!$G$6),'Planning Sheet'!$B128,"")</f>
        <v/>
      </c>
      <c r="Z123" s="48" t="str">
        <f ca="1">IF(AND('Planning Sheet'!$AT128='Weeks Plan'!$D$6,'Planning Sheet'!$AN128='Weeks Plan'!$G$6),'Planning Sheet'!$AO128,"")</f>
        <v/>
      </c>
      <c r="AA123" s="48" t="str">
        <f ca="1">IF(AND('Planning Sheet'!$AT128='Weeks Plan'!$D$6,'Planning Sheet'!$AN128='Weeks Plan'!$G$6),'Planning Sheet'!AP128,"")</f>
        <v/>
      </c>
    </row>
    <row r="124" spans="2:27" x14ac:dyDescent="0.3">
      <c r="B124" s="11"/>
      <c r="C124" s="75" t="str">
        <f>IF($B124&lt;&gt;"",VLOOKUP($B124,'Planning Sheet'!$B$8:$AL$500,3,0),"")</f>
        <v/>
      </c>
      <c r="D124" s="18" t="str">
        <f>IF($B124&lt;&gt;"",VLOOKUP($B124,'Planning Sheet'!$B$8:$AL$500,5,0),"")</f>
        <v/>
      </c>
      <c r="E124" s="18" t="str">
        <f>IF($B124&lt;&gt;"",VLOOKUP($B124,'Planning Sheet'!$B$8:$AL$500,7,0),"")</f>
        <v/>
      </c>
      <c r="F124" s="18" t="str">
        <f>IF($B124&lt;&gt;"",VLOOKUP($B124,'Planning Sheet'!$B$8:$AL$500,9,0),"")</f>
        <v/>
      </c>
      <c r="G124" s="18" t="str">
        <f>IF($B124&lt;&gt;"",VLOOKUP($B124,'Planning Sheet'!$B$8:$AL$500,11,0),"")</f>
        <v/>
      </c>
      <c r="H124" s="18" t="str">
        <f>IF($B124&lt;&gt;"",VLOOKUP($B124,'Planning Sheet'!$B$8:$AL$500,13,0),"")</f>
        <v/>
      </c>
      <c r="I124" s="18" t="str">
        <f>IF($B124&lt;&gt;"",VLOOKUP($B124,'Planning Sheet'!$B$8:$AL$500,15,0),"")</f>
        <v/>
      </c>
      <c r="J124" s="18" t="str">
        <f>IF($B124&lt;&gt;"",VLOOKUP($B124,'Planning Sheet'!$B$8:$AL$500,17,0),"")</f>
        <v/>
      </c>
      <c r="K124" s="18" t="str">
        <f>IF($B124&lt;&gt;"",VLOOKUP($B124,'Planning Sheet'!$B$8:$AL$500,19,0),"")</f>
        <v/>
      </c>
      <c r="L124" s="18" t="str">
        <f>IF($B124&lt;&gt;"",VLOOKUP($B124,'Planning Sheet'!$B$8:$AL$500,21,0),"")</f>
        <v/>
      </c>
      <c r="M124" s="18" t="str">
        <f>IF($B124&lt;&gt;"",VLOOKUP($B124,'Planning Sheet'!$B$8:$AL$500,23,0),"")</f>
        <v/>
      </c>
      <c r="N124" s="18" t="str">
        <f>IF($B124&lt;&gt;"",VLOOKUP($B124,'Planning Sheet'!$B$8:$AL$500,25,0),"")</f>
        <v/>
      </c>
      <c r="O124" s="18" t="str">
        <f>IF($B124&lt;&gt;"",VLOOKUP($B124,'Planning Sheet'!$B$8:$AL$500,26,0),"")</f>
        <v/>
      </c>
      <c r="P124" s="19" t="str">
        <f>IF($B124&lt;&gt;"",VLOOKUP($B124,'Planning Sheet'!$B$8:$AL$500,27,0),"")</f>
        <v/>
      </c>
      <c r="Q124" s="19" t="str">
        <f>IF($B124&lt;&gt;"",VLOOKUP($B124,'Planning Sheet'!$B$8:$AL$500,34,0),"")</f>
        <v/>
      </c>
      <c r="R124" s="19" t="str">
        <f>IF($B124&lt;&gt;"",VLOOKUP($B124,'Planning Sheet'!$B$8:$AL$500,36,0),"")</f>
        <v/>
      </c>
      <c r="S124" s="19" t="str">
        <f>IF($B124&lt;&gt;"",VLOOKUP($B124,'Planning Sheet'!$B$8:$AM$500,38,0),"")</f>
        <v/>
      </c>
      <c r="T124" s="18" t="str">
        <f t="shared" si="3"/>
        <v/>
      </c>
      <c r="U124" s="100" t="str">
        <f t="shared" si="2"/>
        <v/>
      </c>
      <c r="Y124" s="48" t="str">
        <f ca="1">IF(AND('Planning Sheet'!$AT129='Weeks Plan'!$D$6,'Planning Sheet'!$AN129='Weeks Plan'!$G$6),'Planning Sheet'!$B129,"")</f>
        <v/>
      </c>
      <c r="Z124" s="48" t="str">
        <f ca="1">IF(AND('Planning Sheet'!$AT129='Weeks Plan'!$D$6,'Planning Sheet'!$AN129='Weeks Plan'!$G$6),'Planning Sheet'!$AO129,"")</f>
        <v/>
      </c>
      <c r="AA124" s="48" t="str">
        <f ca="1">IF(AND('Planning Sheet'!$AT129='Weeks Plan'!$D$6,'Planning Sheet'!$AN129='Weeks Plan'!$G$6),'Planning Sheet'!AP129,"")</f>
        <v/>
      </c>
    </row>
    <row r="125" spans="2:27" x14ac:dyDescent="0.3">
      <c r="B125" s="11"/>
      <c r="C125" s="75" t="str">
        <f>IF($B125&lt;&gt;"",VLOOKUP($B125,'Planning Sheet'!$B$8:$AL$500,3,0),"")</f>
        <v/>
      </c>
      <c r="D125" s="18" t="str">
        <f>IF($B125&lt;&gt;"",VLOOKUP($B125,'Planning Sheet'!$B$8:$AL$500,5,0),"")</f>
        <v/>
      </c>
      <c r="E125" s="18" t="str">
        <f>IF($B125&lt;&gt;"",VLOOKUP($B125,'Planning Sheet'!$B$8:$AL$500,7,0),"")</f>
        <v/>
      </c>
      <c r="F125" s="18" t="str">
        <f>IF($B125&lt;&gt;"",VLOOKUP($B125,'Planning Sheet'!$B$8:$AL$500,9,0),"")</f>
        <v/>
      </c>
      <c r="G125" s="18" t="str">
        <f>IF($B125&lt;&gt;"",VLOOKUP($B125,'Planning Sheet'!$B$8:$AL$500,11,0),"")</f>
        <v/>
      </c>
      <c r="H125" s="18" t="str">
        <f>IF($B125&lt;&gt;"",VLOOKUP($B125,'Planning Sheet'!$B$8:$AL$500,13,0),"")</f>
        <v/>
      </c>
      <c r="I125" s="18" t="str">
        <f>IF($B125&lt;&gt;"",VLOOKUP($B125,'Planning Sheet'!$B$8:$AL$500,15,0),"")</f>
        <v/>
      </c>
      <c r="J125" s="18" t="str">
        <f>IF($B125&lt;&gt;"",VLOOKUP($B125,'Planning Sheet'!$B$8:$AL$500,17,0),"")</f>
        <v/>
      </c>
      <c r="K125" s="18" t="str">
        <f>IF($B125&lt;&gt;"",VLOOKUP($B125,'Planning Sheet'!$B$8:$AL$500,19,0),"")</f>
        <v/>
      </c>
      <c r="L125" s="18" t="str">
        <f>IF($B125&lt;&gt;"",VLOOKUP($B125,'Planning Sheet'!$B$8:$AL$500,21,0),"")</f>
        <v/>
      </c>
      <c r="M125" s="18" t="str">
        <f>IF($B125&lt;&gt;"",VLOOKUP($B125,'Planning Sheet'!$B$8:$AL$500,23,0),"")</f>
        <v/>
      </c>
      <c r="N125" s="18" t="str">
        <f>IF($B125&lt;&gt;"",VLOOKUP($B125,'Planning Sheet'!$B$8:$AL$500,25,0),"")</f>
        <v/>
      </c>
      <c r="O125" s="18" t="str">
        <f>IF($B125&lt;&gt;"",VLOOKUP($B125,'Planning Sheet'!$B$8:$AL$500,26,0),"")</f>
        <v/>
      </c>
      <c r="P125" s="19" t="str">
        <f>IF($B125&lt;&gt;"",VLOOKUP($B125,'Planning Sheet'!$B$8:$AL$500,27,0),"")</f>
        <v/>
      </c>
      <c r="Q125" s="19" t="str">
        <f>IF($B125&lt;&gt;"",VLOOKUP($B125,'Planning Sheet'!$B$8:$AL$500,34,0),"")</f>
        <v/>
      </c>
      <c r="R125" s="19" t="str">
        <f>IF($B125&lt;&gt;"",VLOOKUP($B125,'Planning Sheet'!$B$8:$AL$500,36,0),"")</f>
        <v/>
      </c>
      <c r="S125" s="19" t="str">
        <f>IF($B125&lt;&gt;"",VLOOKUP($B125,'Planning Sheet'!$B$8:$AM$500,38,0),"")</f>
        <v/>
      </c>
      <c r="T125" s="18" t="str">
        <f t="shared" si="3"/>
        <v/>
      </c>
      <c r="U125" s="100" t="str">
        <f t="shared" si="2"/>
        <v/>
      </c>
      <c r="Y125" s="48" t="str">
        <f ca="1">IF(AND('Planning Sheet'!$AT130='Weeks Plan'!$D$6,'Planning Sheet'!$AN130='Weeks Plan'!$G$6),'Planning Sheet'!$B130,"")</f>
        <v/>
      </c>
      <c r="Z125" s="48" t="str">
        <f ca="1">IF(AND('Planning Sheet'!$AT130='Weeks Plan'!$D$6,'Planning Sheet'!$AN130='Weeks Plan'!$G$6),'Planning Sheet'!$AO130,"")</f>
        <v/>
      </c>
      <c r="AA125" s="48" t="str">
        <f ca="1">IF(AND('Planning Sheet'!$AT130='Weeks Plan'!$D$6,'Planning Sheet'!$AN130='Weeks Plan'!$G$6),'Planning Sheet'!AP130,"")</f>
        <v/>
      </c>
    </row>
    <row r="126" spans="2:27" x14ac:dyDescent="0.3">
      <c r="B126" s="11"/>
      <c r="C126" s="75" t="str">
        <f>IF($B126&lt;&gt;"",VLOOKUP($B126,'Planning Sheet'!$B$8:$AL$500,3,0),"")</f>
        <v/>
      </c>
      <c r="D126" s="18" t="str">
        <f>IF($B126&lt;&gt;"",VLOOKUP($B126,'Planning Sheet'!$B$8:$AL$500,5,0),"")</f>
        <v/>
      </c>
      <c r="E126" s="18" t="str">
        <f>IF($B126&lt;&gt;"",VLOOKUP($B126,'Planning Sheet'!$B$8:$AL$500,7,0),"")</f>
        <v/>
      </c>
      <c r="F126" s="18" t="str">
        <f>IF($B126&lt;&gt;"",VLOOKUP($B126,'Planning Sheet'!$B$8:$AL$500,9,0),"")</f>
        <v/>
      </c>
      <c r="G126" s="18" t="str">
        <f>IF($B126&lt;&gt;"",VLOOKUP($B126,'Planning Sheet'!$B$8:$AL$500,11,0),"")</f>
        <v/>
      </c>
      <c r="H126" s="18" t="str">
        <f>IF($B126&lt;&gt;"",VLOOKUP($B126,'Planning Sheet'!$B$8:$AL$500,13,0),"")</f>
        <v/>
      </c>
      <c r="I126" s="18" t="str">
        <f>IF($B126&lt;&gt;"",VLOOKUP($B126,'Planning Sheet'!$B$8:$AL$500,15,0),"")</f>
        <v/>
      </c>
      <c r="J126" s="18" t="str">
        <f>IF($B126&lt;&gt;"",VLOOKUP($B126,'Planning Sheet'!$B$8:$AL$500,17,0),"")</f>
        <v/>
      </c>
      <c r="K126" s="18" t="str">
        <f>IF($B126&lt;&gt;"",VLOOKUP($B126,'Planning Sheet'!$B$8:$AL$500,19,0),"")</f>
        <v/>
      </c>
      <c r="L126" s="18" t="str">
        <f>IF($B126&lt;&gt;"",VLOOKUP($B126,'Planning Sheet'!$B$8:$AL$500,21,0),"")</f>
        <v/>
      </c>
      <c r="M126" s="18" t="str">
        <f>IF($B126&lt;&gt;"",VLOOKUP($B126,'Planning Sheet'!$B$8:$AL$500,23,0),"")</f>
        <v/>
      </c>
      <c r="N126" s="18" t="str">
        <f>IF($B126&lt;&gt;"",VLOOKUP($B126,'Planning Sheet'!$B$8:$AL$500,25,0),"")</f>
        <v/>
      </c>
      <c r="O126" s="18" t="str">
        <f>IF($B126&lt;&gt;"",VLOOKUP($B126,'Planning Sheet'!$B$8:$AL$500,26,0),"")</f>
        <v/>
      </c>
      <c r="P126" s="19" t="str">
        <f>IF($B126&lt;&gt;"",VLOOKUP($B126,'Planning Sheet'!$B$8:$AL$500,27,0),"")</f>
        <v/>
      </c>
      <c r="Q126" s="19" t="str">
        <f>IF($B126&lt;&gt;"",VLOOKUP($B126,'Planning Sheet'!$B$8:$AL$500,34,0),"")</f>
        <v/>
      </c>
      <c r="R126" s="19" t="str">
        <f>IF($B126&lt;&gt;"",VLOOKUP($B126,'Planning Sheet'!$B$8:$AL$500,36,0),"")</f>
        <v/>
      </c>
      <c r="S126" s="19" t="str">
        <f>IF($B126&lt;&gt;"",VLOOKUP($B126,'Planning Sheet'!$B$8:$AM$500,38,0),"")</f>
        <v/>
      </c>
      <c r="T126" s="18" t="str">
        <f t="shared" si="3"/>
        <v/>
      </c>
      <c r="U126" s="100" t="str">
        <f t="shared" si="2"/>
        <v/>
      </c>
      <c r="Y126" s="48" t="str">
        <f ca="1">IF(AND('Planning Sheet'!$AT131='Weeks Plan'!$D$6,'Planning Sheet'!$AN131='Weeks Plan'!$G$6),'Planning Sheet'!$B131,"")</f>
        <v/>
      </c>
      <c r="Z126" s="48" t="str">
        <f ca="1">IF(AND('Planning Sheet'!$AT131='Weeks Plan'!$D$6,'Planning Sheet'!$AN131='Weeks Plan'!$G$6),'Planning Sheet'!$AO131,"")</f>
        <v/>
      </c>
      <c r="AA126" s="48" t="str">
        <f ca="1">IF(AND('Planning Sheet'!$AT131='Weeks Plan'!$D$6,'Planning Sheet'!$AN131='Weeks Plan'!$G$6),'Planning Sheet'!AP131,"")</f>
        <v/>
      </c>
    </row>
    <row r="127" spans="2:27" x14ac:dyDescent="0.3">
      <c r="B127" s="11"/>
      <c r="C127" s="75" t="str">
        <f>IF($B127&lt;&gt;"",VLOOKUP($B127,'Planning Sheet'!$B$8:$AL$500,3,0),"")</f>
        <v/>
      </c>
      <c r="D127" s="18" t="str">
        <f>IF($B127&lt;&gt;"",VLOOKUP($B127,'Planning Sheet'!$B$8:$AL$500,5,0),"")</f>
        <v/>
      </c>
      <c r="E127" s="18" t="str">
        <f>IF($B127&lt;&gt;"",VLOOKUP($B127,'Planning Sheet'!$B$8:$AL$500,7,0),"")</f>
        <v/>
      </c>
      <c r="F127" s="18" t="str">
        <f>IF($B127&lt;&gt;"",VLOOKUP($B127,'Planning Sheet'!$B$8:$AL$500,9,0),"")</f>
        <v/>
      </c>
      <c r="G127" s="18" t="str">
        <f>IF($B127&lt;&gt;"",VLOOKUP($B127,'Planning Sheet'!$B$8:$AL$500,11,0),"")</f>
        <v/>
      </c>
      <c r="H127" s="18" t="str">
        <f>IF($B127&lt;&gt;"",VLOOKUP($B127,'Planning Sheet'!$B$8:$AL$500,13,0),"")</f>
        <v/>
      </c>
      <c r="I127" s="18" t="str">
        <f>IF($B127&lt;&gt;"",VLOOKUP($B127,'Planning Sheet'!$B$8:$AL$500,15,0),"")</f>
        <v/>
      </c>
      <c r="J127" s="18" t="str">
        <f>IF($B127&lt;&gt;"",VLOOKUP($B127,'Planning Sheet'!$B$8:$AL$500,17,0),"")</f>
        <v/>
      </c>
      <c r="K127" s="18" t="str">
        <f>IF($B127&lt;&gt;"",VLOOKUP($B127,'Planning Sheet'!$B$8:$AL$500,19,0),"")</f>
        <v/>
      </c>
      <c r="L127" s="18" t="str">
        <f>IF($B127&lt;&gt;"",VLOOKUP($B127,'Planning Sheet'!$B$8:$AL$500,21,0),"")</f>
        <v/>
      </c>
      <c r="M127" s="18" t="str">
        <f>IF($B127&lt;&gt;"",VLOOKUP($B127,'Planning Sheet'!$B$8:$AL$500,23,0),"")</f>
        <v/>
      </c>
      <c r="N127" s="18" t="str">
        <f>IF($B127&lt;&gt;"",VLOOKUP($B127,'Planning Sheet'!$B$8:$AL$500,25,0),"")</f>
        <v/>
      </c>
      <c r="O127" s="18" t="str">
        <f>IF($B127&lt;&gt;"",VLOOKUP($B127,'Planning Sheet'!$B$8:$AL$500,26,0),"")</f>
        <v/>
      </c>
      <c r="P127" s="19" t="str">
        <f>IF($B127&lt;&gt;"",VLOOKUP($B127,'Planning Sheet'!$B$8:$AL$500,27,0),"")</f>
        <v/>
      </c>
      <c r="Q127" s="19" t="str">
        <f>IF($B127&lt;&gt;"",VLOOKUP($B127,'Planning Sheet'!$B$8:$AL$500,34,0),"")</f>
        <v/>
      </c>
      <c r="R127" s="19" t="str">
        <f>IF($B127&lt;&gt;"",VLOOKUP($B127,'Planning Sheet'!$B$8:$AL$500,36,0),"")</f>
        <v/>
      </c>
      <c r="S127" s="19" t="str">
        <f>IF($B127&lt;&gt;"",VLOOKUP($B127,'Planning Sheet'!$B$8:$AM$500,38,0),"")</f>
        <v/>
      </c>
      <c r="T127" s="18" t="str">
        <f t="shared" si="3"/>
        <v/>
      </c>
      <c r="U127" s="100" t="str">
        <f t="shared" si="2"/>
        <v/>
      </c>
      <c r="Y127" s="48" t="str">
        <f ca="1">IF(AND('Planning Sheet'!$AT132='Weeks Plan'!$D$6,'Planning Sheet'!$AN132='Weeks Plan'!$G$6),'Planning Sheet'!$B132,"")</f>
        <v/>
      </c>
      <c r="Z127" s="48" t="str">
        <f ca="1">IF(AND('Planning Sheet'!$AT132='Weeks Plan'!$D$6,'Planning Sheet'!$AN132='Weeks Plan'!$G$6),'Planning Sheet'!$AO132,"")</f>
        <v/>
      </c>
      <c r="AA127" s="48" t="str">
        <f ca="1">IF(AND('Planning Sheet'!$AT132='Weeks Plan'!$D$6,'Planning Sheet'!$AN132='Weeks Plan'!$G$6),'Planning Sheet'!AP132,"")</f>
        <v/>
      </c>
    </row>
    <row r="128" spans="2:27" x14ac:dyDescent="0.3">
      <c r="B128" s="11"/>
      <c r="C128" s="75" t="str">
        <f>IF($B128&lt;&gt;"",VLOOKUP($B128,'Planning Sheet'!$B$8:$AL$500,3,0),"")</f>
        <v/>
      </c>
      <c r="D128" s="18" t="str">
        <f>IF($B128&lt;&gt;"",VLOOKUP($B128,'Planning Sheet'!$B$8:$AL$500,5,0),"")</f>
        <v/>
      </c>
      <c r="E128" s="18" t="str">
        <f>IF($B128&lt;&gt;"",VLOOKUP($B128,'Planning Sheet'!$B$8:$AL$500,7,0),"")</f>
        <v/>
      </c>
      <c r="F128" s="18" t="str">
        <f>IF($B128&lt;&gt;"",VLOOKUP($B128,'Planning Sheet'!$B$8:$AL$500,9,0),"")</f>
        <v/>
      </c>
      <c r="G128" s="18" t="str">
        <f>IF($B128&lt;&gt;"",VLOOKUP($B128,'Planning Sheet'!$B$8:$AL$500,11,0),"")</f>
        <v/>
      </c>
      <c r="H128" s="18" t="str">
        <f>IF($B128&lt;&gt;"",VLOOKUP($B128,'Planning Sheet'!$B$8:$AL$500,13,0),"")</f>
        <v/>
      </c>
      <c r="I128" s="18" t="str">
        <f>IF($B128&lt;&gt;"",VLOOKUP($B128,'Planning Sheet'!$B$8:$AL$500,15,0),"")</f>
        <v/>
      </c>
      <c r="J128" s="18" t="str">
        <f>IF($B128&lt;&gt;"",VLOOKUP($B128,'Planning Sheet'!$B$8:$AL$500,17,0),"")</f>
        <v/>
      </c>
      <c r="K128" s="18" t="str">
        <f>IF($B128&lt;&gt;"",VLOOKUP($B128,'Planning Sheet'!$B$8:$AL$500,19,0),"")</f>
        <v/>
      </c>
      <c r="L128" s="18" t="str">
        <f>IF($B128&lt;&gt;"",VLOOKUP($B128,'Planning Sheet'!$B$8:$AL$500,21,0),"")</f>
        <v/>
      </c>
      <c r="M128" s="18" t="str">
        <f>IF($B128&lt;&gt;"",VLOOKUP($B128,'Planning Sheet'!$B$8:$AL$500,23,0),"")</f>
        <v/>
      </c>
      <c r="N128" s="18" t="str">
        <f>IF($B128&lt;&gt;"",VLOOKUP($B128,'Planning Sheet'!$B$8:$AL$500,25,0),"")</f>
        <v/>
      </c>
      <c r="O128" s="18" t="str">
        <f>IF($B128&lt;&gt;"",VLOOKUP($B128,'Planning Sheet'!$B$8:$AL$500,26,0),"")</f>
        <v/>
      </c>
      <c r="P128" s="19" t="str">
        <f>IF($B128&lt;&gt;"",VLOOKUP($B128,'Planning Sheet'!$B$8:$AL$500,27,0),"")</f>
        <v/>
      </c>
      <c r="Q128" s="19" t="str">
        <f>IF($B128&lt;&gt;"",VLOOKUP($B128,'Planning Sheet'!$B$8:$AL$500,34,0),"")</f>
        <v/>
      </c>
      <c r="R128" s="19" t="str">
        <f>IF($B128&lt;&gt;"",VLOOKUP($B128,'Planning Sheet'!$B$8:$AL$500,36,0),"")</f>
        <v/>
      </c>
      <c r="S128" s="19" t="str">
        <f>IF($B128&lt;&gt;"",VLOOKUP($B128,'Planning Sheet'!$B$8:$AM$500,38,0),"")</f>
        <v/>
      </c>
      <c r="T128" s="18" t="str">
        <f t="shared" si="3"/>
        <v/>
      </c>
      <c r="U128" s="100" t="str">
        <f t="shared" si="2"/>
        <v/>
      </c>
      <c r="Y128" s="48" t="str">
        <f ca="1">IF(AND('Planning Sheet'!$AT133='Weeks Plan'!$D$6,'Planning Sheet'!$AN133='Weeks Plan'!$G$6),'Planning Sheet'!$B133,"")</f>
        <v/>
      </c>
      <c r="Z128" s="48" t="str">
        <f ca="1">IF(AND('Planning Sheet'!$AT133='Weeks Plan'!$D$6,'Planning Sheet'!$AN133='Weeks Plan'!$G$6),'Planning Sheet'!$AO133,"")</f>
        <v/>
      </c>
      <c r="AA128" s="48" t="str">
        <f ca="1">IF(AND('Planning Sheet'!$AT133='Weeks Plan'!$D$6,'Planning Sheet'!$AN133='Weeks Plan'!$G$6),'Planning Sheet'!AP133,"")</f>
        <v/>
      </c>
    </row>
    <row r="129" spans="2:27" x14ac:dyDescent="0.3">
      <c r="B129" s="11"/>
      <c r="C129" s="75" t="str">
        <f>IF($B129&lt;&gt;"",VLOOKUP($B129,'Planning Sheet'!$B$8:$AL$500,3,0),"")</f>
        <v/>
      </c>
      <c r="D129" s="18" t="str">
        <f>IF($B129&lt;&gt;"",VLOOKUP($B129,'Planning Sheet'!$B$8:$AL$500,5,0),"")</f>
        <v/>
      </c>
      <c r="E129" s="18" t="str">
        <f>IF($B129&lt;&gt;"",VLOOKUP($B129,'Planning Sheet'!$B$8:$AL$500,7,0),"")</f>
        <v/>
      </c>
      <c r="F129" s="18" t="str">
        <f>IF($B129&lt;&gt;"",VLOOKUP($B129,'Planning Sheet'!$B$8:$AL$500,9,0),"")</f>
        <v/>
      </c>
      <c r="G129" s="18" t="str">
        <f>IF($B129&lt;&gt;"",VLOOKUP($B129,'Planning Sheet'!$B$8:$AL$500,11,0),"")</f>
        <v/>
      </c>
      <c r="H129" s="18" t="str">
        <f>IF($B129&lt;&gt;"",VLOOKUP($B129,'Planning Sheet'!$B$8:$AL$500,13,0),"")</f>
        <v/>
      </c>
      <c r="I129" s="18" t="str">
        <f>IF($B129&lt;&gt;"",VLOOKUP($B129,'Planning Sheet'!$B$8:$AL$500,15,0),"")</f>
        <v/>
      </c>
      <c r="J129" s="18" t="str">
        <f>IF($B129&lt;&gt;"",VLOOKUP($B129,'Planning Sheet'!$B$8:$AL$500,17,0),"")</f>
        <v/>
      </c>
      <c r="K129" s="18" t="str">
        <f>IF($B129&lt;&gt;"",VLOOKUP($B129,'Planning Sheet'!$B$8:$AL$500,19,0),"")</f>
        <v/>
      </c>
      <c r="L129" s="18" t="str">
        <f>IF($B129&lt;&gt;"",VLOOKUP($B129,'Planning Sheet'!$B$8:$AL$500,21,0),"")</f>
        <v/>
      </c>
      <c r="M129" s="18" t="str">
        <f>IF($B129&lt;&gt;"",VLOOKUP($B129,'Planning Sheet'!$B$8:$AL$500,23,0),"")</f>
        <v/>
      </c>
      <c r="N129" s="18" t="str">
        <f>IF($B129&lt;&gt;"",VLOOKUP($B129,'Planning Sheet'!$B$8:$AL$500,25,0),"")</f>
        <v/>
      </c>
      <c r="O129" s="18" t="str">
        <f>IF($B129&lt;&gt;"",VLOOKUP($B129,'Planning Sheet'!$B$8:$AL$500,26,0),"")</f>
        <v/>
      </c>
      <c r="P129" s="19" t="str">
        <f>IF($B129&lt;&gt;"",VLOOKUP($B129,'Planning Sheet'!$B$8:$AL$500,27,0),"")</f>
        <v/>
      </c>
      <c r="Q129" s="19" t="str">
        <f>IF($B129&lt;&gt;"",VLOOKUP($B129,'Planning Sheet'!$B$8:$AL$500,34,0),"")</f>
        <v/>
      </c>
      <c r="R129" s="19" t="str">
        <f>IF($B129&lt;&gt;"",VLOOKUP($B129,'Planning Sheet'!$B$8:$AL$500,36,0),"")</f>
        <v/>
      </c>
      <c r="S129" s="19" t="str">
        <f>IF($B129&lt;&gt;"",VLOOKUP($B129,'Planning Sheet'!$B$8:$AM$500,38,0),"")</f>
        <v/>
      </c>
      <c r="T129" s="18" t="str">
        <f t="shared" si="3"/>
        <v/>
      </c>
      <c r="U129" s="100" t="str">
        <f t="shared" si="2"/>
        <v/>
      </c>
      <c r="Y129" s="48" t="str">
        <f ca="1">IF(AND('Planning Sheet'!$AT134='Weeks Plan'!$D$6,'Planning Sheet'!$AN134='Weeks Plan'!$G$6),'Planning Sheet'!$B134,"")</f>
        <v/>
      </c>
      <c r="Z129" s="48" t="str">
        <f ca="1">IF(AND('Planning Sheet'!$AT134='Weeks Plan'!$D$6,'Planning Sheet'!$AN134='Weeks Plan'!$G$6),'Planning Sheet'!$AO134,"")</f>
        <v/>
      </c>
      <c r="AA129" s="48" t="str">
        <f ca="1">IF(AND('Planning Sheet'!$AT134='Weeks Plan'!$D$6,'Planning Sheet'!$AN134='Weeks Plan'!$G$6),'Planning Sheet'!AP134,"")</f>
        <v/>
      </c>
    </row>
    <row r="130" spans="2:27" x14ac:dyDescent="0.3">
      <c r="B130" s="11"/>
      <c r="C130" s="75" t="str">
        <f>IF($B130&lt;&gt;"",VLOOKUP($B130,'Planning Sheet'!$B$8:$AL$500,3,0),"")</f>
        <v/>
      </c>
      <c r="D130" s="18" t="str">
        <f>IF($B130&lt;&gt;"",VLOOKUP($B130,'Planning Sheet'!$B$8:$AL$500,5,0),"")</f>
        <v/>
      </c>
      <c r="E130" s="18" t="str">
        <f>IF($B130&lt;&gt;"",VLOOKUP($B130,'Planning Sheet'!$B$8:$AL$500,7,0),"")</f>
        <v/>
      </c>
      <c r="F130" s="18" t="str">
        <f>IF($B130&lt;&gt;"",VLOOKUP($B130,'Planning Sheet'!$B$8:$AL$500,9,0),"")</f>
        <v/>
      </c>
      <c r="G130" s="18" t="str">
        <f>IF($B130&lt;&gt;"",VLOOKUP($B130,'Planning Sheet'!$B$8:$AL$500,11,0),"")</f>
        <v/>
      </c>
      <c r="H130" s="18" t="str">
        <f>IF($B130&lt;&gt;"",VLOOKUP($B130,'Planning Sheet'!$B$8:$AL$500,13,0),"")</f>
        <v/>
      </c>
      <c r="I130" s="18" t="str">
        <f>IF($B130&lt;&gt;"",VLOOKUP($B130,'Planning Sheet'!$B$8:$AL$500,15,0),"")</f>
        <v/>
      </c>
      <c r="J130" s="18" t="str">
        <f>IF($B130&lt;&gt;"",VLOOKUP($B130,'Planning Sheet'!$B$8:$AL$500,17,0),"")</f>
        <v/>
      </c>
      <c r="K130" s="18" t="str">
        <f>IF($B130&lt;&gt;"",VLOOKUP($B130,'Planning Sheet'!$B$8:$AL$500,19,0),"")</f>
        <v/>
      </c>
      <c r="L130" s="18" t="str">
        <f>IF($B130&lt;&gt;"",VLOOKUP($B130,'Planning Sheet'!$B$8:$AL$500,21,0),"")</f>
        <v/>
      </c>
      <c r="M130" s="18" t="str">
        <f>IF($B130&lt;&gt;"",VLOOKUP($B130,'Planning Sheet'!$B$8:$AL$500,23,0),"")</f>
        <v/>
      </c>
      <c r="N130" s="18" t="str">
        <f>IF($B130&lt;&gt;"",VLOOKUP($B130,'Planning Sheet'!$B$8:$AL$500,25,0),"")</f>
        <v/>
      </c>
      <c r="O130" s="18" t="str">
        <f>IF($B130&lt;&gt;"",VLOOKUP($B130,'Planning Sheet'!$B$8:$AL$500,26,0),"")</f>
        <v/>
      </c>
      <c r="P130" s="19" t="str">
        <f>IF($B130&lt;&gt;"",VLOOKUP($B130,'Planning Sheet'!$B$8:$AL$500,27,0),"")</f>
        <v/>
      </c>
      <c r="Q130" s="19" t="str">
        <f>IF($B130&lt;&gt;"",VLOOKUP($B130,'Planning Sheet'!$B$8:$AL$500,34,0),"")</f>
        <v/>
      </c>
      <c r="R130" s="19" t="str">
        <f>IF($B130&lt;&gt;"",VLOOKUP($B130,'Planning Sheet'!$B$8:$AL$500,36,0),"")</f>
        <v/>
      </c>
      <c r="S130" s="19" t="str">
        <f>IF($B130&lt;&gt;"",VLOOKUP($B130,'Planning Sheet'!$B$8:$AM$500,38,0),"")</f>
        <v/>
      </c>
      <c r="T130" s="18" t="str">
        <f t="shared" si="3"/>
        <v/>
      </c>
      <c r="U130" s="100" t="str">
        <f t="shared" si="2"/>
        <v/>
      </c>
      <c r="Y130" s="48" t="str">
        <f ca="1">IF(AND('Planning Sheet'!$AT135='Weeks Plan'!$D$6,'Planning Sheet'!$AN135='Weeks Plan'!$G$6),'Planning Sheet'!$B135,"")</f>
        <v/>
      </c>
      <c r="Z130" s="48" t="str">
        <f ca="1">IF(AND('Planning Sheet'!$AT135='Weeks Plan'!$D$6,'Planning Sheet'!$AN135='Weeks Plan'!$G$6),'Planning Sheet'!$AO135,"")</f>
        <v/>
      </c>
      <c r="AA130" s="48" t="str">
        <f ca="1">IF(AND('Planning Sheet'!$AT135='Weeks Plan'!$D$6,'Planning Sheet'!$AN135='Weeks Plan'!$G$6),'Planning Sheet'!AP135,"")</f>
        <v/>
      </c>
    </row>
    <row r="131" spans="2:27" x14ac:dyDescent="0.3">
      <c r="B131" s="11"/>
      <c r="C131" s="75" t="str">
        <f>IF($B131&lt;&gt;"",VLOOKUP($B131,'Planning Sheet'!$B$8:$AL$500,3,0),"")</f>
        <v/>
      </c>
      <c r="D131" s="18" t="str">
        <f>IF($B131&lt;&gt;"",VLOOKUP($B131,'Planning Sheet'!$B$8:$AL$500,5,0),"")</f>
        <v/>
      </c>
      <c r="E131" s="18" t="str">
        <f>IF($B131&lt;&gt;"",VLOOKUP($B131,'Planning Sheet'!$B$8:$AL$500,7,0),"")</f>
        <v/>
      </c>
      <c r="F131" s="18" t="str">
        <f>IF($B131&lt;&gt;"",VLOOKUP($B131,'Planning Sheet'!$B$8:$AL$500,9,0),"")</f>
        <v/>
      </c>
      <c r="G131" s="18" t="str">
        <f>IF($B131&lt;&gt;"",VLOOKUP($B131,'Planning Sheet'!$B$8:$AL$500,11,0),"")</f>
        <v/>
      </c>
      <c r="H131" s="18" t="str">
        <f>IF($B131&lt;&gt;"",VLOOKUP($B131,'Planning Sheet'!$B$8:$AL$500,13,0),"")</f>
        <v/>
      </c>
      <c r="I131" s="18" t="str">
        <f>IF($B131&lt;&gt;"",VLOOKUP($B131,'Planning Sheet'!$B$8:$AL$500,15,0),"")</f>
        <v/>
      </c>
      <c r="J131" s="18" t="str">
        <f>IF($B131&lt;&gt;"",VLOOKUP($B131,'Planning Sheet'!$B$8:$AL$500,17,0),"")</f>
        <v/>
      </c>
      <c r="K131" s="18" t="str">
        <f>IF($B131&lt;&gt;"",VLOOKUP($B131,'Planning Sheet'!$B$8:$AL$500,19,0),"")</f>
        <v/>
      </c>
      <c r="L131" s="18" t="str">
        <f>IF($B131&lt;&gt;"",VLOOKUP($B131,'Planning Sheet'!$B$8:$AL$500,21,0),"")</f>
        <v/>
      </c>
      <c r="M131" s="18" t="str">
        <f>IF($B131&lt;&gt;"",VLOOKUP($B131,'Planning Sheet'!$B$8:$AL$500,23,0),"")</f>
        <v/>
      </c>
      <c r="N131" s="18" t="str">
        <f>IF($B131&lt;&gt;"",VLOOKUP($B131,'Planning Sheet'!$B$8:$AL$500,25,0),"")</f>
        <v/>
      </c>
      <c r="O131" s="18" t="str">
        <f>IF($B131&lt;&gt;"",VLOOKUP($B131,'Planning Sheet'!$B$8:$AL$500,26,0),"")</f>
        <v/>
      </c>
      <c r="P131" s="19" t="str">
        <f>IF($B131&lt;&gt;"",VLOOKUP($B131,'Planning Sheet'!$B$8:$AL$500,27,0),"")</f>
        <v/>
      </c>
      <c r="Q131" s="19" t="str">
        <f>IF($B131&lt;&gt;"",VLOOKUP($B131,'Planning Sheet'!$B$8:$AL$500,34,0),"")</f>
        <v/>
      </c>
      <c r="R131" s="19" t="str">
        <f>IF($B131&lt;&gt;"",VLOOKUP($B131,'Planning Sheet'!$B$8:$AL$500,36,0),"")</f>
        <v/>
      </c>
      <c r="S131" s="19" t="str">
        <f>IF($B131&lt;&gt;"",VLOOKUP($B131,'Planning Sheet'!$B$8:$AM$500,38,0),"")</f>
        <v/>
      </c>
      <c r="T131" s="18" t="str">
        <f t="shared" si="3"/>
        <v/>
      </c>
      <c r="U131" s="100" t="str">
        <f t="shared" si="2"/>
        <v/>
      </c>
      <c r="Y131" s="48" t="str">
        <f ca="1">IF(AND('Planning Sheet'!$AT136='Weeks Plan'!$D$6,'Planning Sheet'!$AN136='Weeks Plan'!$G$6),'Planning Sheet'!$B136,"")</f>
        <v/>
      </c>
      <c r="Z131" s="48" t="str">
        <f ca="1">IF(AND('Planning Sheet'!$AT136='Weeks Plan'!$D$6,'Planning Sheet'!$AN136='Weeks Plan'!$G$6),'Planning Sheet'!$AO136,"")</f>
        <v/>
      </c>
      <c r="AA131" s="48" t="str">
        <f ca="1">IF(AND('Planning Sheet'!$AT136='Weeks Plan'!$D$6,'Planning Sheet'!$AN136='Weeks Plan'!$G$6),'Planning Sheet'!AP136,"")</f>
        <v/>
      </c>
    </row>
    <row r="132" spans="2:27" x14ac:dyDescent="0.3">
      <c r="B132" s="11"/>
      <c r="C132" s="75" t="str">
        <f>IF($B132&lt;&gt;"",VLOOKUP($B132,'Planning Sheet'!$B$8:$AL$500,3,0),"")</f>
        <v/>
      </c>
      <c r="D132" s="18" t="str">
        <f>IF($B132&lt;&gt;"",VLOOKUP($B132,'Planning Sheet'!$B$8:$AL$500,5,0),"")</f>
        <v/>
      </c>
      <c r="E132" s="18" t="str">
        <f>IF($B132&lt;&gt;"",VLOOKUP($B132,'Planning Sheet'!$B$8:$AL$500,7,0),"")</f>
        <v/>
      </c>
      <c r="F132" s="18" t="str">
        <f>IF($B132&lt;&gt;"",VLOOKUP($B132,'Planning Sheet'!$B$8:$AL$500,9,0),"")</f>
        <v/>
      </c>
      <c r="G132" s="18" t="str">
        <f>IF($B132&lt;&gt;"",VLOOKUP($B132,'Planning Sheet'!$B$8:$AL$500,11,0),"")</f>
        <v/>
      </c>
      <c r="H132" s="18" t="str">
        <f>IF($B132&lt;&gt;"",VLOOKUP($B132,'Planning Sheet'!$B$8:$AL$500,13,0),"")</f>
        <v/>
      </c>
      <c r="I132" s="18" t="str">
        <f>IF($B132&lt;&gt;"",VLOOKUP($B132,'Planning Sheet'!$B$8:$AL$500,15,0),"")</f>
        <v/>
      </c>
      <c r="J132" s="18" t="str">
        <f>IF($B132&lt;&gt;"",VLOOKUP($B132,'Planning Sheet'!$B$8:$AL$500,17,0),"")</f>
        <v/>
      </c>
      <c r="K132" s="18" t="str">
        <f>IF($B132&lt;&gt;"",VLOOKUP($B132,'Planning Sheet'!$B$8:$AL$500,19,0),"")</f>
        <v/>
      </c>
      <c r="L132" s="18" t="str">
        <f>IF($B132&lt;&gt;"",VLOOKUP($B132,'Planning Sheet'!$B$8:$AL$500,21,0),"")</f>
        <v/>
      </c>
      <c r="M132" s="18" t="str">
        <f>IF($B132&lt;&gt;"",VLOOKUP($B132,'Planning Sheet'!$B$8:$AL$500,23,0),"")</f>
        <v/>
      </c>
      <c r="N132" s="18" t="str">
        <f>IF($B132&lt;&gt;"",VLOOKUP($B132,'Planning Sheet'!$B$8:$AL$500,25,0),"")</f>
        <v/>
      </c>
      <c r="O132" s="18" t="str">
        <f>IF($B132&lt;&gt;"",VLOOKUP($B132,'Planning Sheet'!$B$8:$AL$500,26,0),"")</f>
        <v/>
      </c>
      <c r="P132" s="19" t="str">
        <f>IF($B132&lt;&gt;"",VLOOKUP($B132,'Planning Sheet'!$B$8:$AL$500,27,0),"")</f>
        <v/>
      </c>
      <c r="Q132" s="19" t="str">
        <f>IF($B132&lt;&gt;"",VLOOKUP($B132,'Planning Sheet'!$B$8:$AL$500,34,0),"")</f>
        <v/>
      </c>
      <c r="R132" s="19" t="str">
        <f>IF($B132&lt;&gt;"",VLOOKUP($B132,'Planning Sheet'!$B$8:$AL$500,36,0),"")</f>
        <v/>
      </c>
      <c r="S132" s="19" t="str">
        <f>IF($B132&lt;&gt;"",VLOOKUP($B132,'Planning Sheet'!$B$8:$AM$500,38,0),"")</f>
        <v/>
      </c>
      <c r="T132" s="18" t="str">
        <f t="shared" si="3"/>
        <v/>
      </c>
      <c r="U132" s="100" t="str">
        <f t="shared" si="2"/>
        <v/>
      </c>
      <c r="Y132" s="48" t="str">
        <f ca="1">IF(AND('Planning Sheet'!$AT137='Weeks Plan'!$D$6,'Planning Sheet'!$AN137='Weeks Plan'!$G$6),'Planning Sheet'!$B137,"")</f>
        <v/>
      </c>
      <c r="Z132" s="48" t="str">
        <f ca="1">IF(AND('Planning Sheet'!$AT137='Weeks Plan'!$D$6,'Planning Sheet'!$AN137='Weeks Plan'!$G$6),'Planning Sheet'!$AO137,"")</f>
        <v/>
      </c>
      <c r="AA132" s="48" t="str">
        <f ca="1">IF(AND('Planning Sheet'!$AT137='Weeks Plan'!$D$6,'Planning Sheet'!$AN137='Weeks Plan'!$G$6),'Planning Sheet'!AP137,"")</f>
        <v/>
      </c>
    </row>
    <row r="133" spans="2:27" x14ac:dyDescent="0.3">
      <c r="B133" s="11"/>
      <c r="C133" s="75" t="str">
        <f>IF($B133&lt;&gt;"",VLOOKUP($B133,'Planning Sheet'!$B$8:$AL$500,3,0),"")</f>
        <v/>
      </c>
      <c r="D133" s="18" t="str">
        <f>IF($B133&lt;&gt;"",VLOOKUP($B133,'Planning Sheet'!$B$8:$AL$500,5,0),"")</f>
        <v/>
      </c>
      <c r="E133" s="18" t="str">
        <f>IF($B133&lt;&gt;"",VLOOKUP($B133,'Planning Sheet'!$B$8:$AL$500,7,0),"")</f>
        <v/>
      </c>
      <c r="F133" s="18" t="str">
        <f>IF($B133&lt;&gt;"",VLOOKUP($B133,'Planning Sheet'!$B$8:$AL$500,9,0),"")</f>
        <v/>
      </c>
      <c r="G133" s="18" t="str">
        <f>IF($B133&lt;&gt;"",VLOOKUP($B133,'Planning Sheet'!$B$8:$AL$500,11,0),"")</f>
        <v/>
      </c>
      <c r="H133" s="18" t="str">
        <f>IF($B133&lt;&gt;"",VLOOKUP($B133,'Planning Sheet'!$B$8:$AL$500,13,0),"")</f>
        <v/>
      </c>
      <c r="I133" s="18" t="str">
        <f>IF($B133&lt;&gt;"",VLOOKUP($B133,'Planning Sheet'!$B$8:$AL$500,15,0),"")</f>
        <v/>
      </c>
      <c r="J133" s="18" t="str">
        <f>IF($B133&lt;&gt;"",VLOOKUP($B133,'Planning Sheet'!$B$8:$AL$500,17,0),"")</f>
        <v/>
      </c>
      <c r="K133" s="18" t="str">
        <f>IF($B133&lt;&gt;"",VLOOKUP($B133,'Planning Sheet'!$B$8:$AL$500,19,0),"")</f>
        <v/>
      </c>
      <c r="L133" s="18" t="str">
        <f>IF($B133&lt;&gt;"",VLOOKUP($B133,'Planning Sheet'!$B$8:$AL$500,21,0),"")</f>
        <v/>
      </c>
      <c r="M133" s="18" t="str">
        <f>IF($B133&lt;&gt;"",VLOOKUP($B133,'Planning Sheet'!$B$8:$AL$500,23,0),"")</f>
        <v/>
      </c>
      <c r="N133" s="18" t="str">
        <f>IF($B133&lt;&gt;"",VLOOKUP($B133,'Planning Sheet'!$B$8:$AL$500,25,0),"")</f>
        <v/>
      </c>
      <c r="O133" s="18" t="str">
        <f>IF($B133&lt;&gt;"",VLOOKUP($B133,'Planning Sheet'!$B$8:$AL$500,26,0),"")</f>
        <v/>
      </c>
      <c r="P133" s="19" t="str">
        <f>IF($B133&lt;&gt;"",VLOOKUP($B133,'Planning Sheet'!$B$8:$AL$500,27,0),"")</f>
        <v/>
      </c>
      <c r="Q133" s="19" t="str">
        <f>IF($B133&lt;&gt;"",VLOOKUP($B133,'Planning Sheet'!$B$8:$AL$500,34,0),"")</f>
        <v/>
      </c>
      <c r="R133" s="19" t="str">
        <f>IF($B133&lt;&gt;"",VLOOKUP($B133,'Planning Sheet'!$B$8:$AL$500,36,0),"")</f>
        <v/>
      </c>
      <c r="S133" s="19" t="str">
        <f>IF($B133&lt;&gt;"",VLOOKUP($B133,'Planning Sheet'!$B$8:$AM$500,38,0),"")</f>
        <v/>
      </c>
      <c r="T133" s="18" t="str">
        <f t="shared" si="3"/>
        <v/>
      </c>
      <c r="U133" s="100" t="str">
        <f t="shared" si="2"/>
        <v/>
      </c>
      <c r="Y133" s="48" t="str">
        <f ca="1">IF(AND('Planning Sheet'!$AT138='Weeks Plan'!$D$6,'Planning Sheet'!$AN138='Weeks Plan'!$G$6),'Planning Sheet'!$B138,"")</f>
        <v/>
      </c>
      <c r="Z133" s="48" t="str">
        <f ca="1">IF(AND('Planning Sheet'!$AT138='Weeks Plan'!$D$6,'Planning Sheet'!$AN138='Weeks Plan'!$G$6),'Planning Sheet'!$AO138,"")</f>
        <v/>
      </c>
      <c r="AA133" s="48" t="str">
        <f ca="1">IF(AND('Planning Sheet'!$AT138='Weeks Plan'!$D$6,'Planning Sheet'!$AN138='Weeks Plan'!$G$6),'Planning Sheet'!AP138,"")</f>
        <v/>
      </c>
    </row>
    <row r="134" spans="2:27" x14ac:dyDescent="0.3">
      <c r="B134" s="11"/>
      <c r="C134" s="75" t="str">
        <f>IF($B134&lt;&gt;"",VLOOKUP($B134,'Planning Sheet'!$B$8:$AL$500,3,0),"")</f>
        <v/>
      </c>
      <c r="D134" s="18" t="str">
        <f>IF($B134&lt;&gt;"",VLOOKUP($B134,'Planning Sheet'!$B$8:$AL$500,5,0),"")</f>
        <v/>
      </c>
      <c r="E134" s="18" t="str">
        <f>IF($B134&lt;&gt;"",VLOOKUP($B134,'Planning Sheet'!$B$8:$AL$500,7,0),"")</f>
        <v/>
      </c>
      <c r="F134" s="18" t="str">
        <f>IF($B134&lt;&gt;"",VLOOKUP($B134,'Planning Sheet'!$B$8:$AL$500,9,0),"")</f>
        <v/>
      </c>
      <c r="G134" s="18" t="str">
        <f>IF($B134&lt;&gt;"",VLOOKUP($B134,'Planning Sheet'!$B$8:$AL$500,11,0),"")</f>
        <v/>
      </c>
      <c r="H134" s="18" t="str">
        <f>IF($B134&lt;&gt;"",VLOOKUP($B134,'Planning Sheet'!$B$8:$AL$500,13,0),"")</f>
        <v/>
      </c>
      <c r="I134" s="18" t="str">
        <f>IF($B134&lt;&gt;"",VLOOKUP($B134,'Planning Sheet'!$B$8:$AL$500,15,0),"")</f>
        <v/>
      </c>
      <c r="J134" s="18" t="str">
        <f>IF($B134&lt;&gt;"",VLOOKUP($B134,'Planning Sheet'!$B$8:$AL$500,17,0),"")</f>
        <v/>
      </c>
      <c r="K134" s="18" t="str">
        <f>IF($B134&lt;&gt;"",VLOOKUP($B134,'Planning Sheet'!$B$8:$AL$500,19,0),"")</f>
        <v/>
      </c>
      <c r="L134" s="18" t="str">
        <f>IF($B134&lt;&gt;"",VLOOKUP($B134,'Planning Sheet'!$B$8:$AL$500,21,0),"")</f>
        <v/>
      </c>
      <c r="M134" s="18" t="str">
        <f>IF($B134&lt;&gt;"",VLOOKUP($B134,'Planning Sheet'!$B$8:$AL$500,23,0),"")</f>
        <v/>
      </c>
      <c r="N134" s="18" t="str">
        <f>IF($B134&lt;&gt;"",VLOOKUP($B134,'Planning Sheet'!$B$8:$AL$500,25,0),"")</f>
        <v/>
      </c>
      <c r="O134" s="18" t="str">
        <f>IF($B134&lt;&gt;"",VLOOKUP($B134,'Planning Sheet'!$B$8:$AL$500,26,0),"")</f>
        <v/>
      </c>
      <c r="P134" s="19" t="str">
        <f>IF($B134&lt;&gt;"",VLOOKUP($B134,'Planning Sheet'!$B$8:$AL$500,27,0),"")</f>
        <v/>
      </c>
      <c r="Q134" s="19" t="str">
        <f>IF($B134&lt;&gt;"",VLOOKUP($B134,'Planning Sheet'!$B$8:$AL$500,34,0),"")</f>
        <v/>
      </c>
      <c r="R134" s="19" t="str">
        <f>IF($B134&lt;&gt;"",VLOOKUP($B134,'Planning Sheet'!$B$8:$AL$500,36,0),"")</f>
        <v/>
      </c>
      <c r="S134" s="19" t="str">
        <f>IF($B134&lt;&gt;"",VLOOKUP($B134,'Planning Sheet'!$B$8:$AM$500,38,0),"")</f>
        <v/>
      </c>
      <c r="T134" s="18" t="str">
        <f t="shared" si="3"/>
        <v/>
      </c>
      <c r="U134" s="100" t="str">
        <f t="shared" si="2"/>
        <v/>
      </c>
      <c r="Y134" s="48" t="str">
        <f ca="1">IF(AND('Planning Sheet'!$AT139='Weeks Plan'!$D$6,'Planning Sheet'!$AN139='Weeks Plan'!$G$6),'Planning Sheet'!$B139,"")</f>
        <v/>
      </c>
      <c r="Z134" s="48" t="str">
        <f ca="1">IF(AND('Planning Sheet'!$AT139='Weeks Plan'!$D$6,'Planning Sheet'!$AN139='Weeks Plan'!$G$6),'Planning Sheet'!$AO139,"")</f>
        <v/>
      </c>
      <c r="AA134" s="48" t="str">
        <f ca="1">IF(AND('Planning Sheet'!$AT139='Weeks Plan'!$D$6,'Planning Sheet'!$AN139='Weeks Plan'!$G$6),'Planning Sheet'!AP139,"")</f>
        <v/>
      </c>
    </row>
    <row r="135" spans="2:27" x14ac:dyDescent="0.3">
      <c r="B135" s="11"/>
      <c r="C135" s="75" t="str">
        <f>IF($B135&lt;&gt;"",VLOOKUP($B135,'Planning Sheet'!$B$8:$AL$500,3,0),"")</f>
        <v/>
      </c>
      <c r="D135" s="18" t="str">
        <f>IF($B135&lt;&gt;"",VLOOKUP($B135,'Planning Sheet'!$B$8:$AL$500,5,0),"")</f>
        <v/>
      </c>
      <c r="E135" s="18" t="str">
        <f>IF($B135&lt;&gt;"",VLOOKUP($B135,'Planning Sheet'!$B$8:$AL$500,7,0),"")</f>
        <v/>
      </c>
      <c r="F135" s="18" t="str">
        <f>IF($B135&lt;&gt;"",VLOOKUP($B135,'Planning Sheet'!$B$8:$AL$500,9,0),"")</f>
        <v/>
      </c>
      <c r="G135" s="18" t="str">
        <f>IF($B135&lt;&gt;"",VLOOKUP($B135,'Planning Sheet'!$B$8:$AL$500,11,0),"")</f>
        <v/>
      </c>
      <c r="H135" s="18" t="str">
        <f>IF($B135&lt;&gt;"",VLOOKUP($B135,'Planning Sheet'!$B$8:$AL$500,13,0),"")</f>
        <v/>
      </c>
      <c r="I135" s="18" t="str">
        <f>IF($B135&lt;&gt;"",VLOOKUP($B135,'Planning Sheet'!$B$8:$AL$500,15,0),"")</f>
        <v/>
      </c>
      <c r="J135" s="18" t="str">
        <f>IF($B135&lt;&gt;"",VLOOKUP($B135,'Planning Sheet'!$B$8:$AL$500,17,0),"")</f>
        <v/>
      </c>
      <c r="K135" s="18" t="str">
        <f>IF($B135&lt;&gt;"",VLOOKUP($B135,'Planning Sheet'!$B$8:$AL$500,19,0),"")</f>
        <v/>
      </c>
      <c r="L135" s="18" t="str">
        <f>IF($B135&lt;&gt;"",VLOOKUP($B135,'Planning Sheet'!$B$8:$AL$500,21,0),"")</f>
        <v/>
      </c>
      <c r="M135" s="18" t="str">
        <f>IF($B135&lt;&gt;"",VLOOKUP($B135,'Planning Sheet'!$B$8:$AL$500,23,0),"")</f>
        <v/>
      </c>
      <c r="N135" s="18" t="str">
        <f>IF($B135&lt;&gt;"",VLOOKUP($B135,'Planning Sheet'!$B$8:$AL$500,25,0),"")</f>
        <v/>
      </c>
      <c r="O135" s="18" t="str">
        <f>IF($B135&lt;&gt;"",VLOOKUP($B135,'Planning Sheet'!$B$8:$AL$500,26,0),"")</f>
        <v/>
      </c>
      <c r="P135" s="19" t="str">
        <f>IF($B135&lt;&gt;"",VLOOKUP($B135,'Planning Sheet'!$B$8:$AL$500,27,0),"")</f>
        <v/>
      </c>
      <c r="Q135" s="19" t="str">
        <f>IF($B135&lt;&gt;"",VLOOKUP($B135,'Planning Sheet'!$B$8:$AL$500,34,0),"")</f>
        <v/>
      </c>
      <c r="R135" s="19" t="str">
        <f>IF($B135&lt;&gt;"",VLOOKUP($B135,'Planning Sheet'!$B$8:$AL$500,36,0),"")</f>
        <v/>
      </c>
      <c r="S135" s="19" t="str">
        <f>IF($B135&lt;&gt;"",VLOOKUP($B135,'Planning Sheet'!$B$8:$AM$500,38,0),"")</f>
        <v/>
      </c>
      <c r="T135" s="18" t="str">
        <f t="shared" si="3"/>
        <v/>
      </c>
      <c r="U135" s="100" t="str">
        <f t="shared" si="2"/>
        <v/>
      </c>
      <c r="Y135" s="48" t="str">
        <f ca="1">IF(AND('Planning Sheet'!$AT140='Weeks Plan'!$D$6,'Planning Sheet'!$AN140='Weeks Plan'!$G$6),'Planning Sheet'!$B140,"")</f>
        <v/>
      </c>
      <c r="Z135" s="48" t="str">
        <f ca="1">IF(AND('Planning Sheet'!$AT140='Weeks Plan'!$D$6,'Planning Sheet'!$AN140='Weeks Plan'!$G$6),'Planning Sheet'!$AO140,"")</f>
        <v/>
      </c>
      <c r="AA135" s="48" t="str">
        <f ca="1">IF(AND('Planning Sheet'!$AT140='Weeks Plan'!$D$6,'Planning Sheet'!$AN140='Weeks Plan'!$G$6),'Planning Sheet'!AP140,"")</f>
        <v/>
      </c>
    </row>
    <row r="136" spans="2:27" x14ac:dyDescent="0.3">
      <c r="B136" s="11"/>
      <c r="C136" s="75" t="str">
        <f>IF($B136&lt;&gt;"",VLOOKUP($B136,'Planning Sheet'!$B$8:$AL$500,3,0),"")</f>
        <v/>
      </c>
      <c r="D136" s="18" t="str">
        <f>IF($B136&lt;&gt;"",VLOOKUP($B136,'Planning Sheet'!$B$8:$AL$500,5,0),"")</f>
        <v/>
      </c>
      <c r="E136" s="18" t="str">
        <f>IF($B136&lt;&gt;"",VLOOKUP($B136,'Planning Sheet'!$B$8:$AL$500,7,0),"")</f>
        <v/>
      </c>
      <c r="F136" s="18" t="str">
        <f>IF($B136&lt;&gt;"",VLOOKUP($B136,'Planning Sheet'!$B$8:$AL$500,9,0),"")</f>
        <v/>
      </c>
      <c r="G136" s="18" t="str">
        <f>IF($B136&lt;&gt;"",VLOOKUP($B136,'Planning Sheet'!$B$8:$AL$500,11,0),"")</f>
        <v/>
      </c>
      <c r="H136" s="18" t="str">
        <f>IF($B136&lt;&gt;"",VLOOKUP($B136,'Planning Sheet'!$B$8:$AL$500,13,0),"")</f>
        <v/>
      </c>
      <c r="I136" s="18" t="str">
        <f>IF($B136&lt;&gt;"",VLOOKUP($B136,'Planning Sheet'!$B$8:$AL$500,15,0),"")</f>
        <v/>
      </c>
      <c r="J136" s="18" t="str">
        <f>IF($B136&lt;&gt;"",VLOOKUP($B136,'Planning Sheet'!$B$8:$AL$500,17,0),"")</f>
        <v/>
      </c>
      <c r="K136" s="18" t="str">
        <f>IF($B136&lt;&gt;"",VLOOKUP($B136,'Planning Sheet'!$B$8:$AL$500,19,0),"")</f>
        <v/>
      </c>
      <c r="L136" s="18" t="str">
        <f>IF($B136&lt;&gt;"",VLOOKUP($B136,'Planning Sheet'!$B$8:$AL$500,21,0),"")</f>
        <v/>
      </c>
      <c r="M136" s="18" t="str">
        <f>IF($B136&lt;&gt;"",VLOOKUP($B136,'Planning Sheet'!$B$8:$AL$500,23,0),"")</f>
        <v/>
      </c>
      <c r="N136" s="18" t="str">
        <f>IF($B136&lt;&gt;"",VLOOKUP($B136,'Planning Sheet'!$B$8:$AL$500,25,0),"")</f>
        <v/>
      </c>
      <c r="O136" s="18" t="str">
        <f>IF($B136&lt;&gt;"",VLOOKUP($B136,'Planning Sheet'!$B$8:$AL$500,26,0),"")</f>
        <v/>
      </c>
      <c r="P136" s="19" t="str">
        <f>IF($B136&lt;&gt;"",VLOOKUP($B136,'Planning Sheet'!$B$8:$AL$500,27,0),"")</f>
        <v/>
      </c>
      <c r="Q136" s="19" t="str">
        <f>IF($B136&lt;&gt;"",VLOOKUP($B136,'Planning Sheet'!$B$8:$AL$500,34,0),"")</f>
        <v/>
      </c>
      <c r="R136" s="19" t="str">
        <f>IF($B136&lt;&gt;"",VLOOKUP($B136,'Planning Sheet'!$B$8:$AL$500,36,0),"")</f>
        <v/>
      </c>
      <c r="S136" s="19" t="str">
        <f>IF($B136&lt;&gt;"",VLOOKUP($B136,'Planning Sheet'!$B$8:$AM$500,38,0),"")</f>
        <v/>
      </c>
      <c r="T136" s="18" t="str">
        <f t="shared" si="3"/>
        <v/>
      </c>
      <c r="U136" s="100" t="str">
        <f t="shared" si="2"/>
        <v/>
      </c>
      <c r="Y136" s="48" t="str">
        <f ca="1">IF(AND('Planning Sheet'!$AT141='Weeks Plan'!$D$6,'Planning Sheet'!$AN141='Weeks Plan'!$G$6),'Planning Sheet'!$B141,"")</f>
        <v/>
      </c>
      <c r="Z136" s="48" t="str">
        <f ca="1">IF(AND('Planning Sheet'!$AT141='Weeks Plan'!$D$6,'Planning Sheet'!$AN141='Weeks Plan'!$G$6),'Planning Sheet'!$AO141,"")</f>
        <v/>
      </c>
      <c r="AA136" s="48" t="str">
        <f ca="1">IF(AND('Planning Sheet'!$AT141='Weeks Plan'!$D$6,'Planning Sheet'!$AN141='Weeks Plan'!$G$6),'Planning Sheet'!AP141,"")</f>
        <v/>
      </c>
    </row>
    <row r="137" spans="2:27" x14ac:dyDescent="0.3">
      <c r="B137" s="11"/>
      <c r="C137" s="75" t="str">
        <f>IF($B137&lt;&gt;"",VLOOKUP($B137,'Planning Sheet'!$B$8:$AL$500,3,0),"")</f>
        <v/>
      </c>
      <c r="D137" s="18" t="str">
        <f>IF($B137&lt;&gt;"",VLOOKUP($B137,'Planning Sheet'!$B$8:$AL$500,5,0),"")</f>
        <v/>
      </c>
      <c r="E137" s="18" t="str">
        <f>IF($B137&lt;&gt;"",VLOOKUP($B137,'Planning Sheet'!$B$8:$AL$500,7,0),"")</f>
        <v/>
      </c>
      <c r="F137" s="18" t="str">
        <f>IF($B137&lt;&gt;"",VLOOKUP($B137,'Planning Sheet'!$B$8:$AL$500,9,0),"")</f>
        <v/>
      </c>
      <c r="G137" s="18" t="str">
        <f>IF($B137&lt;&gt;"",VLOOKUP($B137,'Planning Sheet'!$B$8:$AL$500,11,0),"")</f>
        <v/>
      </c>
      <c r="H137" s="18" t="str">
        <f>IF($B137&lt;&gt;"",VLOOKUP($B137,'Planning Sheet'!$B$8:$AL$500,13,0),"")</f>
        <v/>
      </c>
      <c r="I137" s="18" t="str">
        <f>IF($B137&lt;&gt;"",VLOOKUP($B137,'Planning Sheet'!$B$8:$AL$500,15,0),"")</f>
        <v/>
      </c>
      <c r="J137" s="18" t="str">
        <f>IF($B137&lt;&gt;"",VLOOKUP($B137,'Planning Sheet'!$B$8:$AL$500,17,0),"")</f>
        <v/>
      </c>
      <c r="K137" s="18" t="str">
        <f>IF($B137&lt;&gt;"",VLOOKUP($B137,'Planning Sheet'!$B$8:$AL$500,19,0),"")</f>
        <v/>
      </c>
      <c r="L137" s="18" t="str">
        <f>IF($B137&lt;&gt;"",VLOOKUP($B137,'Planning Sheet'!$B$8:$AL$500,21,0),"")</f>
        <v/>
      </c>
      <c r="M137" s="18" t="str">
        <f>IF($B137&lt;&gt;"",VLOOKUP($B137,'Planning Sheet'!$B$8:$AL$500,23,0),"")</f>
        <v/>
      </c>
      <c r="N137" s="18" t="str">
        <f>IF($B137&lt;&gt;"",VLOOKUP($B137,'Planning Sheet'!$B$8:$AL$500,25,0),"")</f>
        <v/>
      </c>
      <c r="O137" s="18" t="str">
        <f>IF($B137&lt;&gt;"",VLOOKUP($B137,'Planning Sheet'!$B$8:$AL$500,26,0),"")</f>
        <v/>
      </c>
      <c r="P137" s="19" t="str">
        <f>IF($B137&lt;&gt;"",VLOOKUP($B137,'Planning Sheet'!$B$8:$AL$500,27,0),"")</f>
        <v/>
      </c>
      <c r="Q137" s="19" t="str">
        <f>IF($B137&lt;&gt;"",VLOOKUP($B137,'Planning Sheet'!$B$8:$AL$500,34,0),"")</f>
        <v/>
      </c>
      <c r="R137" s="19" t="str">
        <f>IF($B137&lt;&gt;"",VLOOKUP($B137,'Planning Sheet'!$B$8:$AL$500,36,0),"")</f>
        <v/>
      </c>
      <c r="S137" s="19" t="str">
        <f>IF($B137&lt;&gt;"",VLOOKUP($B137,'Planning Sheet'!$B$8:$AM$500,38,0),"")</f>
        <v/>
      </c>
      <c r="T137" s="18" t="str">
        <f t="shared" si="3"/>
        <v/>
      </c>
      <c r="U137" s="100" t="str">
        <f t="shared" si="2"/>
        <v/>
      </c>
      <c r="Y137" s="48" t="str">
        <f ca="1">IF(AND('Planning Sheet'!$AT142='Weeks Plan'!$D$6,'Planning Sheet'!$AN142='Weeks Plan'!$G$6),'Planning Sheet'!$B142,"")</f>
        <v/>
      </c>
      <c r="Z137" s="48" t="str">
        <f ca="1">IF(AND('Planning Sheet'!$AT142='Weeks Plan'!$D$6,'Planning Sheet'!$AN142='Weeks Plan'!$G$6),'Planning Sheet'!$AO142,"")</f>
        <v/>
      </c>
      <c r="AA137" s="48" t="str">
        <f ca="1">IF(AND('Planning Sheet'!$AT142='Weeks Plan'!$D$6,'Planning Sheet'!$AN142='Weeks Plan'!$G$6),'Planning Sheet'!AP142,"")</f>
        <v/>
      </c>
    </row>
    <row r="138" spans="2:27" x14ac:dyDescent="0.3">
      <c r="B138" s="11"/>
      <c r="C138" s="75" t="str">
        <f>IF($B138&lt;&gt;"",VLOOKUP($B138,'Planning Sheet'!$B$8:$AL$500,3,0),"")</f>
        <v/>
      </c>
      <c r="D138" s="18" t="str">
        <f>IF($B138&lt;&gt;"",VLOOKUP($B138,'Planning Sheet'!$B$8:$AL$500,5,0),"")</f>
        <v/>
      </c>
      <c r="E138" s="18" t="str">
        <f>IF($B138&lt;&gt;"",VLOOKUP($B138,'Planning Sheet'!$B$8:$AL$500,7,0),"")</f>
        <v/>
      </c>
      <c r="F138" s="18" t="str">
        <f>IF($B138&lt;&gt;"",VLOOKUP($B138,'Planning Sheet'!$B$8:$AL$500,9,0),"")</f>
        <v/>
      </c>
      <c r="G138" s="18" t="str">
        <f>IF($B138&lt;&gt;"",VLOOKUP($B138,'Planning Sheet'!$B$8:$AL$500,11,0),"")</f>
        <v/>
      </c>
      <c r="H138" s="18" t="str">
        <f>IF($B138&lt;&gt;"",VLOOKUP($B138,'Planning Sheet'!$B$8:$AL$500,13,0),"")</f>
        <v/>
      </c>
      <c r="I138" s="18" t="str">
        <f>IF($B138&lt;&gt;"",VLOOKUP($B138,'Planning Sheet'!$B$8:$AL$500,15,0),"")</f>
        <v/>
      </c>
      <c r="J138" s="18" t="str">
        <f>IF($B138&lt;&gt;"",VLOOKUP($B138,'Planning Sheet'!$B$8:$AL$500,17,0),"")</f>
        <v/>
      </c>
      <c r="K138" s="18" t="str">
        <f>IF($B138&lt;&gt;"",VLOOKUP($B138,'Planning Sheet'!$B$8:$AL$500,19,0),"")</f>
        <v/>
      </c>
      <c r="L138" s="18" t="str">
        <f>IF($B138&lt;&gt;"",VLOOKUP($B138,'Planning Sheet'!$B$8:$AL$500,21,0),"")</f>
        <v/>
      </c>
      <c r="M138" s="18" t="str">
        <f>IF($B138&lt;&gt;"",VLOOKUP($B138,'Planning Sheet'!$B$8:$AL$500,23,0),"")</f>
        <v/>
      </c>
      <c r="N138" s="18" t="str">
        <f>IF($B138&lt;&gt;"",VLOOKUP($B138,'Planning Sheet'!$B$8:$AL$500,25,0),"")</f>
        <v/>
      </c>
      <c r="O138" s="18" t="str">
        <f>IF($B138&lt;&gt;"",VLOOKUP($B138,'Planning Sheet'!$B$8:$AL$500,26,0),"")</f>
        <v/>
      </c>
      <c r="P138" s="19" t="str">
        <f>IF($B138&lt;&gt;"",VLOOKUP($B138,'Planning Sheet'!$B$8:$AL$500,27,0),"")</f>
        <v/>
      </c>
      <c r="Q138" s="19" t="str">
        <f>IF($B138&lt;&gt;"",VLOOKUP($B138,'Planning Sheet'!$B$8:$AL$500,34,0),"")</f>
        <v/>
      </c>
      <c r="R138" s="19" t="str">
        <f>IF($B138&lt;&gt;"",VLOOKUP($B138,'Planning Sheet'!$B$8:$AL$500,36,0),"")</f>
        <v/>
      </c>
      <c r="S138" s="19" t="str">
        <f>IF($B138&lt;&gt;"",VLOOKUP($B138,'Planning Sheet'!$B$8:$AM$500,38,0),"")</f>
        <v/>
      </c>
      <c r="T138" s="18" t="str">
        <f t="shared" si="3"/>
        <v/>
      </c>
      <c r="U138" s="100" t="str">
        <f t="shared" si="2"/>
        <v/>
      </c>
      <c r="Y138" s="48" t="str">
        <f ca="1">IF(AND('Planning Sheet'!$AT143='Weeks Plan'!$D$6,'Planning Sheet'!$AN143='Weeks Plan'!$G$6),'Planning Sheet'!$B143,"")</f>
        <v/>
      </c>
      <c r="Z138" s="48" t="str">
        <f ca="1">IF(AND('Planning Sheet'!$AT143='Weeks Plan'!$D$6,'Planning Sheet'!$AN143='Weeks Plan'!$G$6),'Planning Sheet'!$AO143,"")</f>
        <v/>
      </c>
      <c r="AA138" s="48" t="str">
        <f ca="1">IF(AND('Planning Sheet'!$AT143='Weeks Plan'!$D$6,'Planning Sheet'!$AN143='Weeks Plan'!$G$6),'Planning Sheet'!AP143,"")</f>
        <v/>
      </c>
    </row>
    <row r="139" spans="2:27" x14ac:dyDescent="0.3">
      <c r="B139" s="11"/>
      <c r="C139" s="75" t="str">
        <f>IF($B139&lt;&gt;"",VLOOKUP($B139,'Planning Sheet'!$B$8:$AL$500,3,0),"")</f>
        <v/>
      </c>
      <c r="D139" s="18" t="str">
        <f>IF($B139&lt;&gt;"",VLOOKUP($B139,'Planning Sheet'!$B$8:$AL$500,5,0),"")</f>
        <v/>
      </c>
      <c r="E139" s="18" t="str">
        <f>IF($B139&lt;&gt;"",VLOOKUP($B139,'Planning Sheet'!$B$8:$AL$500,7,0),"")</f>
        <v/>
      </c>
      <c r="F139" s="18" t="str">
        <f>IF($B139&lt;&gt;"",VLOOKUP($B139,'Planning Sheet'!$B$8:$AL$500,9,0),"")</f>
        <v/>
      </c>
      <c r="G139" s="18" t="str">
        <f>IF($B139&lt;&gt;"",VLOOKUP($B139,'Planning Sheet'!$B$8:$AL$500,11,0),"")</f>
        <v/>
      </c>
      <c r="H139" s="18" t="str">
        <f>IF($B139&lt;&gt;"",VLOOKUP($B139,'Planning Sheet'!$B$8:$AL$500,13,0),"")</f>
        <v/>
      </c>
      <c r="I139" s="18" t="str">
        <f>IF($B139&lt;&gt;"",VLOOKUP($B139,'Planning Sheet'!$B$8:$AL$500,15,0),"")</f>
        <v/>
      </c>
      <c r="J139" s="18" t="str">
        <f>IF($B139&lt;&gt;"",VLOOKUP($B139,'Planning Sheet'!$B$8:$AL$500,17,0),"")</f>
        <v/>
      </c>
      <c r="K139" s="18" t="str">
        <f>IF($B139&lt;&gt;"",VLOOKUP($B139,'Planning Sheet'!$B$8:$AL$500,19,0),"")</f>
        <v/>
      </c>
      <c r="L139" s="18" t="str">
        <f>IF($B139&lt;&gt;"",VLOOKUP($B139,'Planning Sheet'!$B$8:$AL$500,21,0),"")</f>
        <v/>
      </c>
      <c r="M139" s="18" t="str">
        <f>IF($B139&lt;&gt;"",VLOOKUP($B139,'Planning Sheet'!$B$8:$AL$500,23,0),"")</f>
        <v/>
      </c>
      <c r="N139" s="18" t="str">
        <f>IF($B139&lt;&gt;"",VLOOKUP($B139,'Planning Sheet'!$B$8:$AL$500,25,0),"")</f>
        <v/>
      </c>
      <c r="O139" s="18" t="str">
        <f>IF($B139&lt;&gt;"",VLOOKUP($B139,'Planning Sheet'!$B$8:$AL$500,26,0),"")</f>
        <v/>
      </c>
      <c r="P139" s="19" t="str">
        <f>IF($B139&lt;&gt;"",VLOOKUP($B139,'Planning Sheet'!$B$8:$AL$500,27,0),"")</f>
        <v/>
      </c>
      <c r="Q139" s="19" t="str">
        <f>IF($B139&lt;&gt;"",VLOOKUP($B139,'Planning Sheet'!$B$8:$AL$500,34,0),"")</f>
        <v/>
      </c>
      <c r="R139" s="19" t="str">
        <f>IF($B139&lt;&gt;"",VLOOKUP($B139,'Planning Sheet'!$B$8:$AL$500,36,0),"")</f>
        <v/>
      </c>
      <c r="S139" s="19" t="str">
        <f>IF($B139&lt;&gt;"",VLOOKUP($B139,'Planning Sheet'!$B$8:$AM$500,38,0),"")</f>
        <v/>
      </c>
      <c r="T139" s="18" t="str">
        <f t="shared" si="3"/>
        <v/>
      </c>
      <c r="U139" s="100" t="str">
        <f t="shared" ref="U139:U200" si="4">IF(B139&lt;&gt;"",VLOOKUP(B139,$Y$3:$AA$6425,3,0),"")</f>
        <v/>
      </c>
      <c r="Y139" s="48" t="str">
        <f ca="1">IF(AND('Planning Sheet'!$AT144='Weeks Plan'!$D$6,'Planning Sheet'!$AN144='Weeks Plan'!$G$6),'Planning Sheet'!$B144,"")</f>
        <v/>
      </c>
      <c r="Z139" s="48" t="str">
        <f ca="1">IF(AND('Planning Sheet'!$AT144='Weeks Plan'!$D$6,'Planning Sheet'!$AN144='Weeks Plan'!$G$6),'Planning Sheet'!$AO144,"")</f>
        <v/>
      </c>
      <c r="AA139" s="48" t="str">
        <f ca="1">IF(AND('Planning Sheet'!$AT144='Weeks Plan'!$D$6,'Planning Sheet'!$AN144='Weeks Plan'!$G$6),'Planning Sheet'!AP144,"")</f>
        <v/>
      </c>
    </row>
    <row r="140" spans="2:27" x14ac:dyDescent="0.3">
      <c r="B140" s="11"/>
      <c r="C140" s="75" t="str">
        <f>IF($B140&lt;&gt;"",VLOOKUP($B140,'Planning Sheet'!$B$8:$AL$500,3,0),"")</f>
        <v/>
      </c>
      <c r="D140" s="18" t="str">
        <f>IF($B140&lt;&gt;"",VLOOKUP($B140,'Planning Sheet'!$B$8:$AL$500,5,0),"")</f>
        <v/>
      </c>
      <c r="E140" s="18" t="str">
        <f>IF($B140&lt;&gt;"",VLOOKUP($B140,'Planning Sheet'!$B$8:$AL$500,7,0),"")</f>
        <v/>
      </c>
      <c r="F140" s="18" t="str">
        <f>IF($B140&lt;&gt;"",VLOOKUP($B140,'Planning Sheet'!$B$8:$AL$500,9,0),"")</f>
        <v/>
      </c>
      <c r="G140" s="18" t="str">
        <f>IF($B140&lt;&gt;"",VLOOKUP($B140,'Planning Sheet'!$B$8:$AL$500,11,0),"")</f>
        <v/>
      </c>
      <c r="H140" s="18" t="str">
        <f>IF($B140&lt;&gt;"",VLOOKUP($B140,'Planning Sheet'!$B$8:$AL$500,13,0),"")</f>
        <v/>
      </c>
      <c r="I140" s="18" t="str">
        <f>IF($B140&lt;&gt;"",VLOOKUP($B140,'Planning Sheet'!$B$8:$AL$500,15,0),"")</f>
        <v/>
      </c>
      <c r="J140" s="18" t="str">
        <f>IF($B140&lt;&gt;"",VLOOKUP($B140,'Planning Sheet'!$B$8:$AL$500,17,0),"")</f>
        <v/>
      </c>
      <c r="K140" s="18" t="str">
        <f>IF($B140&lt;&gt;"",VLOOKUP($B140,'Planning Sheet'!$B$8:$AL$500,19,0),"")</f>
        <v/>
      </c>
      <c r="L140" s="18" t="str">
        <f>IF($B140&lt;&gt;"",VLOOKUP($B140,'Planning Sheet'!$B$8:$AL$500,21,0),"")</f>
        <v/>
      </c>
      <c r="M140" s="18" t="str">
        <f>IF($B140&lt;&gt;"",VLOOKUP($B140,'Planning Sheet'!$B$8:$AL$500,23,0),"")</f>
        <v/>
      </c>
      <c r="N140" s="18" t="str">
        <f>IF($B140&lt;&gt;"",VLOOKUP($B140,'Planning Sheet'!$B$8:$AL$500,25,0),"")</f>
        <v/>
      </c>
      <c r="O140" s="18" t="str">
        <f>IF($B140&lt;&gt;"",VLOOKUP($B140,'Planning Sheet'!$B$8:$AL$500,26,0),"")</f>
        <v/>
      </c>
      <c r="P140" s="19" t="str">
        <f>IF($B140&lt;&gt;"",VLOOKUP($B140,'Planning Sheet'!$B$8:$AL$500,27,0),"")</f>
        <v/>
      </c>
      <c r="Q140" s="19" t="str">
        <f>IF($B140&lt;&gt;"",VLOOKUP($B140,'Planning Sheet'!$B$8:$AL$500,34,0),"")</f>
        <v/>
      </c>
      <c r="R140" s="19" t="str">
        <f>IF($B140&lt;&gt;"",VLOOKUP($B140,'Planning Sheet'!$B$8:$AL$500,36,0),"")</f>
        <v/>
      </c>
      <c r="S140" s="19" t="str">
        <f>IF($B140&lt;&gt;"",VLOOKUP($B140,'Planning Sheet'!$B$8:$AM$500,38,0),"")</f>
        <v/>
      </c>
      <c r="T140" s="18" t="str">
        <f t="shared" ref="T140:T200" si="5">IF(B140&lt;&gt;"",VLOOKUP(B140,$Y$3:$Z$6425,2,0),"")</f>
        <v/>
      </c>
      <c r="U140" s="100" t="str">
        <f t="shared" si="4"/>
        <v/>
      </c>
      <c r="Y140" s="48" t="str">
        <f ca="1">IF(AND('Planning Sheet'!$AT145='Weeks Plan'!$D$6,'Planning Sheet'!$AN145='Weeks Plan'!$G$6),'Planning Sheet'!$B145,"")</f>
        <v/>
      </c>
      <c r="Z140" s="48" t="str">
        <f ca="1">IF(AND('Planning Sheet'!$AT145='Weeks Plan'!$D$6,'Planning Sheet'!$AN145='Weeks Plan'!$G$6),'Planning Sheet'!$AO145,"")</f>
        <v/>
      </c>
      <c r="AA140" s="48" t="str">
        <f ca="1">IF(AND('Planning Sheet'!$AT145='Weeks Plan'!$D$6,'Planning Sheet'!$AN145='Weeks Plan'!$G$6),'Planning Sheet'!AP145,"")</f>
        <v/>
      </c>
    </row>
    <row r="141" spans="2:27" x14ac:dyDescent="0.3">
      <c r="B141" s="11"/>
      <c r="C141" s="75" t="str">
        <f>IF($B141&lt;&gt;"",VLOOKUP($B141,'Planning Sheet'!$B$8:$AL$500,3,0),"")</f>
        <v/>
      </c>
      <c r="D141" s="18" t="str">
        <f>IF($B141&lt;&gt;"",VLOOKUP($B141,'Planning Sheet'!$B$8:$AL$500,5,0),"")</f>
        <v/>
      </c>
      <c r="E141" s="18" t="str">
        <f>IF($B141&lt;&gt;"",VLOOKUP($B141,'Planning Sheet'!$B$8:$AL$500,7,0),"")</f>
        <v/>
      </c>
      <c r="F141" s="18" t="str">
        <f>IF($B141&lt;&gt;"",VLOOKUP($B141,'Planning Sheet'!$B$8:$AL$500,9,0),"")</f>
        <v/>
      </c>
      <c r="G141" s="18" t="str">
        <f>IF($B141&lt;&gt;"",VLOOKUP($B141,'Planning Sheet'!$B$8:$AL$500,11,0),"")</f>
        <v/>
      </c>
      <c r="H141" s="18" t="str">
        <f>IF($B141&lt;&gt;"",VLOOKUP($B141,'Planning Sheet'!$B$8:$AL$500,13,0),"")</f>
        <v/>
      </c>
      <c r="I141" s="18" t="str">
        <f>IF($B141&lt;&gt;"",VLOOKUP($B141,'Planning Sheet'!$B$8:$AL$500,15,0),"")</f>
        <v/>
      </c>
      <c r="J141" s="18" t="str">
        <f>IF($B141&lt;&gt;"",VLOOKUP($B141,'Planning Sheet'!$B$8:$AL$500,17,0),"")</f>
        <v/>
      </c>
      <c r="K141" s="18" t="str">
        <f>IF($B141&lt;&gt;"",VLOOKUP($B141,'Planning Sheet'!$B$8:$AL$500,19,0),"")</f>
        <v/>
      </c>
      <c r="L141" s="18" t="str">
        <f>IF($B141&lt;&gt;"",VLOOKUP($B141,'Planning Sheet'!$B$8:$AL$500,21,0),"")</f>
        <v/>
      </c>
      <c r="M141" s="18" t="str">
        <f>IF($B141&lt;&gt;"",VLOOKUP($B141,'Planning Sheet'!$B$8:$AL$500,23,0),"")</f>
        <v/>
      </c>
      <c r="N141" s="18" t="str">
        <f>IF($B141&lt;&gt;"",VLOOKUP($B141,'Planning Sheet'!$B$8:$AL$500,25,0),"")</f>
        <v/>
      </c>
      <c r="O141" s="18" t="str">
        <f>IF($B141&lt;&gt;"",VLOOKUP($B141,'Planning Sheet'!$B$8:$AL$500,26,0),"")</f>
        <v/>
      </c>
      <c r="P141" s="19" t="str">
        <f>IF($B141&lt;&gt;"",VLOOKUP($B141,'Planning Sheet'!$B$8:$AL$500,27,0),"")</f>
        <v/>
      </c>
      <c r="Q141" s="19" t="str">
        <f>IF($B141&lt;&gt;"",VLOOKUP($B141,'Planning Sheet'!$B$8:$AL$500,34,0),"")</f>
        <v/>
      </c>
      <c r="R141" s="19" t="str">
        <f>IF($B141&lt;&gt;"",VLOOKUP($B141,'Planning Sheet'!$B$8:$AL$500,36,0),"")</f>
        <v/>
      </c>
      <c r="S141" s="19" t="str">
        <f>IF($B141&lt;&gt;"",VLOOKUP($B141,'Planning Sheet'!$B$8:$AM$500,38,0),"")</f>
        <v/>
      </c>
      <c r="T141" s="18" t="str">
        <f t="shared" si="5"/>
        <v/>
      </c>
      <c r="U141" s="100" t="str">
        <f t="shared" si="4"/>
        <v/>
      </c>
      <c r="Y141" s="48" t="str">
        <f ca="1">IF(AND('Planning Sheet'!$AT146='Weeks Plan'!$D$6,'Planning Sheet'!$AN146='Weeks Plan'!$G$6),'Planning Sheet'!$B146,"")</f>
        <v/>
      </c>
      <c r="Z141" s="48" t="str">
        <f ca="1">IF(AND('Planning Sheet'!$AT146='Weeks Plan'!$D$6,'Planning Sheet'!$AN146='Weeks Plan'!$G$6),'Planning Sheet'!$AO146,"")</f>
        <v/>
      </c>
      <c r="AA141" s="48" t="str">
        <f ca="1">IF(AND('Planning Sheet'!$AT146='Weeks Plan'!$D$6,'Planning Sheet'!$AN146='Weeks Plan'!$G$6),'Planning Sheet'!AP146,"")</f>
        <v/>
      </c>
    </row>
    <row r="142" spans="2:27" x14ac:dyDescent="0.3">
      <c r="B142" s="11"/>
      <c r="C142" s="75" t="str">
        <f>IF($B142&lt;&gt;"",VLOOKUP($B142,'Planning Sheet'!$B$8:$AL$500,3,0),"")</f>
        <v/>
      </c>
      <c r="D142" s="18" t="str">
        <f>IF($B142&lt;&gt;"",VLOOKUP($B142,'Planning Sheet'!$B$8:$AL$500,5,0),"")</f>
        <v/>
      </c>
      <c r="E142" s="18" t="str">
        <f>IF($B142&lt;&gt;"",VLOOKUP($B142,'Planning Sheet'!$B$8:$AL$500,7,0),"")</f>
        <v/>
      </c>
      <c r="F142" s="18" t="str">
        <f>IF($B142&lt;&gt;"",VLOOKUP($B142,'Planning Sheet'!$B$8:$AL$500,9,0),"")</f>
        <v/>
      </c>
      <c r="G142" s="18" t="str">
        <f>IF($B142&lt;&gt;"",VLOOKUP($B142,'Planning Sheet'!$B$8:$AL$500,11,0),"")</f>
        <v/>
      </c>
      <c r="H142" s="18" t="str">
        <f>IF($B142&lt;&gt;"",VLOOKUP($B142,'Planning Sheet'!$B$8:$AL$500,13,0),"")</f>
        <v/>
      </c>
      <c r="I142" s="18" t="str">
        <f>IF($B142&lt;&gt;"",VLOOKUP($B142,'Planning Sheet'!$B$8:$AL$500,15,0),"")</f>
        <v/>
      </c>
      <c r="J142" s="18" t="str">
        <f>IF($B142&lt;&gt;"",VLOOKUP($B142,'Planning Sheet'!$B$8:$AL$500,17,0),"")</f>
        <v/>
      </c>
      <c r="K142" s="18" t="str">
        <f>IF($B142&lt;&gt;"",VLOOKUP($B142,'Planning Sheet'!$B$8:$AL$500,19,0),"")</f>
        <v/>
      </c>
      <c r="L142" s="18" t="str">
        <f>IF($B142&lt;&gt;"",VLOOKUP($B142,'Planning Sheet'!$B$8:$AL$500,21,0),"")</f>
        <v/>
      </c>
      <c r="M142" s="18" t="str">
        <f>IF($B142&lt;&gt;"",VLOOKUP($B142,'Planning Sheet'!$B$8:$AL$500,23,0),"")</f>
        <v/>
      </c>
      <c r="N142" s="18" t="str">
        <f>IF($B142&lt;&gt;"",VLOOKUP($B142,'Planning Sheet'!$B$8:$AL$500,25,0),"")</f>
        <v/>
      </c>
      <c r="O142" s="18" t="str">
        <f>IF($B142&lt;&gt;"",VLOOKUP($B142,'Planning Sheet'!$B$8:$AL$500,26,0),"")</f>
        <v/>
      </c>
      <c r="P142" s="19" t="str">
        <f>IF($B142&lt;&gt;"",VLOOKUP($B142,'Planning Sheet'!$B$8:$AL$500,27,0),"")</f>
        <v/>
      </c>
      <c r="Q142" s="19" t="str">
        <f>IF($B142&lt;&gt;"",VLOOKUP($B142,'Planning Sheet'!$B$8:$AL$500,34,0),"")</f>
        <v/>
      </c>
      <c r="R142" s="19" t="str">
        <f>IF($B142&lt;&gt;"",VLOOKUP($B142,'Planning Sheet'!$B$8:$AL$500,36,0),"")</f>
        <v/>
      </c>
      <c r="S142" s="19" t="str">
        <f>IF($B142&lt;&gt;"",VLOOKUP($B142,'Planning Sheet'!$B$8:$AM$500,38,0),"")</f>
        <v/>
      </c>
      <c r="T142" s="18" t="str">
        <f t="shared" si="5"/>
        <v/>
      </c>
      <c r="U142" s="100" t="str">
        <f t="shared" si="4"/>
        <v/>
      </c>
      <c r="Y142" s="48" t="str">
        <f ca="1">IF(AND('Planning Sheet'!$AT147='Weeks Plan'!$D$6,'Planning Sheet'!$AN147='Weeks Plan'!$G$6),'Planning Sheet'!$B147,"")</f>
        <v/>
      </c>
      <c r="Z142" s="48" t="str">
        <f ca="1">IF(AND('Planning Sheet'!$AT147='Weeks Plan'!$D$6,'Planning Sheet'!$AN147='Weeks Plan'!$G$6),'Planning Sheet'!$AO147,"")</f>
        <v/>
      </c>
      <c r="AA142" s="48" t="str">
        <f ca="1">IF(AND('Planning Sheet'!$AT147='Weeks Plan'!$D$6,'Planning Sheet'!$AN147='Weeks Plan'!$G$6),'Planning Sheet'!AP147,"")</f>
        <v/>
      </c>
    </row>
    <row r="143" spans="2:27" x14ac:dyDescent="0.3">
      <c r="B143" s="11"/>
      <c r="C143" s="75" t="str">
        <f>IF($B143&lt;&gt;"",VLOOKUP($B143,'Planning Sheet'!$B$8:$AL$500,3,0),"")</f>
        <v/>
      </c>
      <c r="D143" s="18" t="str">
        <f>IF($B143&lt;&gt;"",VLOOKUP($B143,'Planning Sheet'!$B$8:$AL$500,5,0),"")</f>
        <v/>
      </c>
      <c r="E143" s="18" t="str">
        <f>IF($B143&lt;&gt;"",VLOOKUP($B143,'Planning Sheet'!$B$8:$AL$500,7,0),"")</f>
        <v/>
      </c>
      <c r="F143" s="18" t="str">
        <f>IF($B143&lt;&gt;"",VLOOKUP($B143,'Planning Sheet'!$B$8:$AL$500,9,0),"")</f>
        <v/>
      </c>
      <c r="G143" s="18" t="str">
        <f>IF($B143&lt;&gt;"",VLOOKUP($B143,'Planning Sheet'!$B$8:$AL$500,11,0),"")</f>
        <v/>
      </c>
      <c r="H143" s="18" t="str">
        <f>IF($B143&lt;&gt;"",VLOOKUP($B143,'Planning Sheet'!$B$8:$AL$500,13,0),"")</f>
        <v/>
      </c>
      <c r="I143" s="18" t="str">
        <f>IF($B143&lt;&gt;"",VLOOKUP($B143,'Planning Sheet'!$B$8:$AL$500,15,0),"")</f>
        <v/>
      </c>
      <c r="J143" s="18" t="str">
        <f>IF($B143&lt;&gt;"",VLOOKUP($B143,'Planning Sheet'!$B$8:$AL$500,17,0),"")</f>
        <v/>
      </c>
      <c r="K143" s="18" t="str">
        <f>IF($B143&lt;&gt;"",VLOOKUP($B143,'Planning Sheet'!$B$8:$AL$500,19,0),"")</f>
        <v/>
      </c>
      <c r="L143" s="18" t="str">
        <f>IF($B143&lt;&gt;"",VLOOKUP($B143,'Planning Sheet'!$B$8:$AL$500,21,0),"")</f>
        <v/>
      </c>
      <c r="M143" s="18" t="str">
        <f>IF($B143&lt;&gt;"",VLOOKUP($B143,'Planning Sheet'!$B$8:$AL$500,23,0),"")</f>
        <v/>
      </c>
      <c r="N143" s="18" t="str">
        <f>IF($B143&lt;&gt;"",VLOOKUP($B143,'Planning Sheet'!$B$8:$AL$500,25,0),"")</f>
        <v/>
      </c>
      <c r="O143" s="18" t="str">
        <f>IF($B143&lt;&gt;"",VLOOKUP($B143,'Planning Sheet'!$B$8:$AL$500,26,0),"")</f>
        <v/>
      </c>
      <c r="P143" s="19" t="str">
        <f>IF($B143&lt;&gt;"",VLOOKUP($B143,'Planning Sheet'!$B$8:$AL$500,27,0),"")</f>
        <v/>
      </c>
      <c r="Q143" s="19" t="str">
        <f>IF($B143&lt;&gt;"",VLOOKUP($B143,'Planning Sheet'!$B$8:$AL$500,34,0),"")</f>
        <v/>
      </c>
      <c r="R143" s="19" t="str">
        <f>IF($B143&lt;&gt;"",VLOOKUP($B143,'Planning Sheet'!$B$8:$AL$500,36,0),"")</f>
        <v/>
      </c>
      <c r="S143" s="19" t="str">
        <f>IF($B143&lt;&gt;"",VLOOKUP($B143,'Planning Sheet'!$B$8:$AM$500,38,0),"")</f>
        <v/>
      </c>
      <c r="T143" s="18" t="str">
        <f t="shared" si="5"/>
        <v/>
      </c>
      <c r="U143" s="100" t="str">
        <f t="shared" si="4"/>
        <v/>
      </c>
      <c r="Y143" s="48" t="str">
        <f ca="1">IF(AND('Planning Sheet'!$AT148='Weeks Plan'!$D$6,'Planning Sheet'!$AN148='Weeks Plan'!$G$6),'Planning Sheet'!$B148,"")</f>
        <v/>
      </c>
      <c r="Z143" s="48" t="str">
        <f ca="1">IF(AND('Planning Sheet'!$AT148='Weeks Plan'!$D$6,'Planning Sheet'!$AN148='Weeks Plan'!$G$6),'Planning Sheet'!$AO148,"")</f>
        <v/>
      </c>
      <c r="AA143" s="48" t="str">
        <f ca="1">IF(AND('Planning Sheet'!$AT148='Weeks Plan'!$D$6,'Planning Sheet'!$AN148='Weeks Plan'!$G$6),'Planning Sheet'!AP148,"")</f>
        <v/>
      </c>
    </row>
    <row r="144" spans="2:27" x14ac:dyDescent="0.3">
      <c r="B144" s="11"/>
      <c r="C144" s="75" t="str">
        <f>IF($B144&lt;&gt;"",VLOOKUP($B144,'Planning Sheet'!$B$8:$AL$500,3,0),"")</f>
        <v/>
      </c>
      <c r="D144" s="18" t="str">
        <f>IF($B144&lt;&gt;"",VLOOKUP($B144,'Planning Sheet'!$B$8:$AL$500,5,0),"")</f>
        <v/>
      </c>
      <c r="E144" s="18" t="str">
        <f>IF($B144&lt;&gt;"",VLOOKUP($B144,'Planning Sheet'!$B$8:$AL$500,7,0),"")</f>
        <v/>
      </c>
      <c r="F144" s="18" t="str">
        <f>IF($B144&lt;&gt;"",VLOOKUP($B144,'Planning Sheet'!$B$8:$AL$500,9,0),"")</f>
        <v/>
      </c>
      <c r="G144" s="18" t="str">
        <f>IF($B144&lt;&gt;"",VLOOKUP($B144,'Planning Sheet'!$B$8:$AL$500,11,0),"")</f>
        <v/>
      </c>
      <c r="H144" s="18" t="str">
        <f>IF($B144&lt;&gt;"",VLOOKUP($B144,'Planning Sheet'!$B$8:$AL$500,13,0),"")</f>
        <v/>
      </c>
      <c r="I144" s="18" t="str">
        <f>IF($B144&lt;&gt;"",VLOOKUP($B144,'Planning Sheet'!$B$8:$AL$500,15,0),"")</f>
        <v/>
      </c>
      <c r="J144" s="18" t="str">
        <f>IF($B144&lt;&gt;"",VLOOKUP($B144,'Planning Sheet'!$B$8:$AL$500,17,0),"")</f>
        <v/>
      </c>
      <c r="K144" s="18" t="str">
        <f>IF($B144&lt;&gt;"",VLOOKUP($B144,'Planning Sheet'!$B$8:$AL$500,19,0),"")</f>
        <v/>
      </c>
      <c r="L144" s="18" t="str">
        <f>IF($B144&lt;&gt;"",VLOOKUP($B144,'Planning Sheet'!$B$8:$AL$500,21,0),"")</f>
        <v/>
      </c>
      <c r="M144" s="18" t="str">
        <f>IF($B144&lt;&gt;"",VLOOKUP($B144,'Planning Sheet'!$B$8:$AL$500,23,0),"")</f>
        <v/>
      </c>
      <c r="N144" s="18" t="str">
        <f>IF($B144&lt;&gt;"",VLOOKUP($B144,'Planning Sheet'!$B$8:$AL$500,25,0),"")</f>
        <v/>
      </c>
      <c r="O144" s="18" t="str">
        <f>IF($B144&lt;&gt;"",VLOOKUP($B144,'Planning Sheet'!$B$8:$AL$500,26,0),"")</f>
        <v/>
      </c>
      <c r="P144" s="19" t="str">
        <f>IF($B144&lt;&gt;"",VLOOKUP($B144,'Planning Sheet'!$B$8:$AL$500,27,0),"")</f>
        <v/>
      </c>
      <c r="Q144" s="19" t="str">
        <f>IF($B144&lt;&gt;"",VLOOKUP($B144,'Planning Sheet'!$B$8:$AL$500,34,0),"")</f>
        <v/>
      </c>
      <c r="R144" s="19" t="str">
        <f>IF($B144&lt;&gt;"",VLOOKUP($B144,'Planning Sheet'!$B$8:$AL$500,36,0),"")</f>
        <v/>
      </c>
      <c r="S144" s="19" t="str">
        <f>IF($B144&lt;&gt;"",VLOOKUP($B144,'Planning Sheet'!$B$8:$AM$500,38,0),"")</f>
        <v/>
      </c>
      <c r="T144" s="18" t="str">
        <f t="shared" si="5"/>
        <v/>
      </c>
      <c r="U144" s="100" t="str">
        <f t="shared" si="4"/>
        <v/>
      </c>
      <c r="Y144" s="48" t="str">
        <f ca="1">IF(AND('Planning Sheet'!$AT149='Weeks Plan'!$D$6,'Planning Sheet'!$AN149='Weeks Plan'!$G$6),'Planning Sheet'!$B149,"")</f>
        <v/>
      </c>
      <c r="Z144" s="48" t="str">
        <f ca="1">IF(AND('Planning Sheet'!$AT149='Weeks Plan'!$D$6,'Planning Sheet'!$AN149='Weeks Plan'!$G$6),'Planning Sheet'!$AO149,"")</f>
        <v/>
      </c>
      <c r="AA144" s="48" t="str">
        <f ca="1">IF(AND('Planning Sheet'!$AT149='Weeks Plan'!$D$6,'Planning Sheet'!$AN149='Weeks Plan'!$G$6),'Planning Sheet'!AP149,"")</f>
        <v/>
      </c>
    </row>
    <row r="145" spans="2:27" x14ac:dyDescent="0.3">
      <c r="B145" s="11"/>
      <c r="C145" s="75" t="str">
        <f>IF($B145&lt;&gt;"",VLOOKUP($B145,'Planning Sheet'!$B$8:$AL$500,3,0),"")</f>
        <v/>
      </c>
      <c r="D145" s="18" t="str">
        <f>IF($B145&lt;&gt;"",VLOOKUP($B145,'Planning Sheet'!$B$8:$AL$500,5,0),"")</f>
        <v/>
      </c>
      <c r="E145" s="18" t="str">
        <f>IF($B145&lt;&gt;"",VLOOKUP($B145,'Planning Sheet'!$B$8:$AL$500,7,0),"")</f>
        <v/>
      </c>
      <c r="F145" s="18" t="str">
        <f>IF($B145&lt;&gt;"",VLOOKUP($B145,'Planning Sheet'!$B$8:$AL$500,9,0),"")</f>
        <v/>
      </c>
      <c r="G145" s="18" t="str">
        <f>IF($B145&lt;&gt;"",VLOOKUP($B145,'Planning Sheet'!$B$8:$AL$500,11,0),"")</f>
        <v/>
      </c>
      <c r="H145" s="18" t="str">
        <f>IF($B145&lt;&gt;"",VLOOKUP($B145,'Planning Sheet'!$B$8:$AL$500,13,0),"")</f>
        <v/>
      </c>
      <c r="I145" s="18" t="str">
        <f>IF($B145&lt;&gt;"",VLOOKUP($B145,'Planning Sheet'!$B$8:$AL$500,15,0),"")</f>
        <v/>
      </c>
      <c r="J145" s="18" t="str">
        <f>IF($B145&lt;&gt;"",VLOOKUP($B145,'Planning Sheet'!$B$8:$AL$500,17,0),"")</f>
        <v/>
      </c>
      <c r="K145" s="18" t="str">
        <f>IF($B145&lt;&gt;"",VLOOKUP($B145,'Planning Sheet'!$B$8:$AL$500,19,0),"")</f>
        <v/>
      </c>
      <c r="L145" s="18" t="str">
        <f>IF($B145&lt;&gt;"",VLOOKUP($B145,'Planning Sheet'!$B$8:$AL$500,21,0),"")</f>
        <v/>
      </c>
      <c r="M145" s="18" t="str">
        <f>IF($B145&lt;&gt;"",VLOOKUP($B145,'Planning Sheet'!$B$8:$AL$500,23,0),"")</f>
        <v/>
      </c>
      <c r="N145" s="18" t="str">
        <f>IF($B145&lt;&gt;"",VLOOKUP($B145,'Planning Sheet'!$B$8:$AL$500,25,0),"")</f>
        <v/>
      </c>
      <c r="O145" s="18" t="str">
        <f>IF($B145&lt;&gt;"",VLOOKUP($B145,'Planning Sheet'!$B$8:$AL$500,26,0),"")</f>
        <v/>
      </c>
      <c r="P145" s="19" t="str">
        <f>IF($B145&lt;&gt;"",VLOOKUP($B145,'Planning Sheet'!$B$8:$AL$500,27,0),"")</f>
        <v/>
      </c>
      <c r="Q145" s="19" t="str">
        <f>IF($B145&lt;&gt;"",VLOOKUP($B145,'Planning Sheet'!$B$8:$AL$500,34,0),"")</f>
        <v/>
      </c>
      <c r="R145" s="19" t="str">
        <f>IF($B145&lt;&gt;"",VLOOKUP($B145,'Planning Sheet'!$B$8:$AL$500,36,0),"")</f>
        <v/>
      </c>
      <c r="S145" s="19" t="str">
        <f>IF($B145&lt;&gt;"",VLOOKUP($B145,'Planning Sheet'!$B$8:$AM$500,38,0),"")</f>
        <v/>
      </c>
      <c r="T145" s="18" t="str">
        <f t="shared" si="5"/>
        <v/>
      </c>
      <c r="U145" s="100" t="str">
        <f t="shared" si="4"/>
        <v/>
      </c>
      <c r="Y145" s="48" t="str">
        <f ca="1">IF(AND('Planning Sheet'!$AT150='Weeks Plan'!$D$6,'Planning Sheet'!$AN150='Weeks Plan'!$G$6),'Planning Sheet'!$B150,"")</f>
        <v/>
      </c>
      <c r="Z145" s="48" t="str">
        <f ca="1">IF(AND('Planning Sheet'!$AT150='Weeks Plan'!$D$6,'Planning Sheet'!$AN150='Weeks Plan'!$G$6),'Planning Sheet'!$AO150,"")</f>
        <v/>
      </c>
      <c r="AA145" s="48" t="str">
        <f ca="1">IF(AND('Planning Sheet'!$AT150='Weeks Plan'!$D$6,'Planning Sheet'!$AN150='Weeks Plan'!$G$6),'Planning Sheet'!AP150,"")</f>
        <v/>
      </c>
    </row>
    <row r="146" spans="2:27" x14ac:dyDescent="0.3">
      <c r="B146" s="11"/>
      <c r="C146" s="75" t="str">
        <f>IF($B146&lt;&gt;"",VLOOKUP($B146,'Planning Sheet'!$B$8:$AL$500,3,0),"")</f>
        <v/>
      </c>
      <c r="D146" s="18" t="str">
        <f>IF($B146&lt;&gt;"",VLOOKUP($B146,'Planning Sheet'!$B$8:$AL$500,5,0),"")</f>
        <v/>
      </c>
      <c r="E146" s="18" t="str">
        <f>IF($B146&lt;&gt;"",VLOOKUP($B146,'Planning Sheet'!$B$8:$AL$500,7,0),"")</f>
        <v/>
      </c>
      <c r="F146" s="18" t="str">
        <f>IF($B146&lt;&gt;"",VLOOKUP($B146,'Planning Sheet'!$B$8:$AL$500,9,0),"")</f>
        <v/>
      </c>
      <c r="G146" s="18" t="str">
        <f>IF($B146&lt;&gt;"",VLOOKUP($B146,'Planning Sheet'!$B$8:$AL$500,11,0),"")</f>
        <v/>
      </c>
      <c r="H146" s="18" t="str">
        <f>IF($B146&lt;&gt;"",VLOOKUP($B146,'Planning Sheet'!$B$8:$AL$500,13,0),"")</f>
        <v/>
      </c>
      <c r="I146" s="18" t="str">
        <f>IF($B146&lt;&gt;"",VLOOKUP($B146,'Planning Sheet'!$B$8:$AL$500,15,0),"")</f>
        <v/>
      </c>
      <c r="J146" s="18" t="str">
        <f>IF($B146&lt;&gt;"",VLOOKUP($B146,'Planning Sheet'!$B$8:$AL$500,17,0),"")</f>
        <v/>
      </c>
      <c r="K146" s="18" t="str">
        <f>IF($B146&lt;&gt;"",VLOOKUP($B146,'Planning Sheet'!$B$8:$AL$500,19,0),"")</f>
        <v/>
      </c>
      <c r="L146" s="18" t="str">
        <f>IF($B146&lt;&gt;"",VLOOKUP($B146,'Planning Sheet'!$B$8:$AL$500,21,0),"")</f>
        <v/>
      </c>
      <c r="M146" s="18" t="str">
        <f>IF($B146&lt;&gt;"",VLOOKUP($B146,'Planning Sheet'!$B$8:$AL$500,23,0),"")</f>
        <v/>
      </c>
      <c r="N146" s="18" t="str">
        <f>IF($B146&lt;&gt;"",VLOOKUP($B146,'Planning Sheet'!$B$8:$AL$500,25,0),"")</f>
        <v/>
      </c>
      <c r="O146" s="18" t="str">
        <f>IF($B146&lt;&gt;"",VLOOKUP($B146,'Planning Sheet'!$B$8:$AL$500,26,0),"")</f>
        <v/>
      </c>
      <c r="P146" s="19" t="str">
        <f>IF($B146&lt;&gt;"",VLOOKUP($B146,'Planning Sheet'!$B$8:$AL$500,27,0),"")</f>
        <v/>
      </c>
      <c r="Q146" s="19" t="str">
        <f>IF($B146&lt;&gt;"",VLOOKUP($B146,'Planning Sheet'!$B$8:$AL$500,34,0),"")</f>
        <v/>
      </c>
      <c r="R146" s="19" t="str">
        <f>IF($B146&lt;&gt;"",VLOOKUP($B146,'Planning Sheet'!$B$8:$AL$500,36,0),"")</f>
        <v/>
      </c>
      <c r="S146" s="19" t="str">
        <f>IF($B146&lt;&gt;"",VLOOKUP($B146,'Planning Sheet'!$B$8:$AM$500,38,0),"")</f>
        <v/>
      </c>
      <c r="T146" s="18" t="str">
        <f t="shared" si="5"/>
        <v/>
      </c>
      <c r="U146" s="100" t="str">
        <f t="shared" si="4"/>
        <v/>
      </c>
      <c r="Y146" s="48" t="str">
        <f ca="1">IF(AND('Planning Sheet'!$AT151='Weeks Plan'!$D$6,'Planning Sheet'!$AN151='Weeks Plan'!$G$6),'Planning Sheet'!$B151,"")</f>
        <v/>
      </c>
      <c r="Z146" s="48" t="str">
        <f ca="1">IF(AND('Planning Sheet'!$AT151='Weeks Plan'!$D$6,'Planning Sheet'!$AN151='Weeks Plan'!$G$6),'Planning Sheet'!$AO151,"")</f>
        <v/>
      </c>
      <c r="AA146" s="48" t="str">
        <f ca="1">IF(AND('Planning Sheet'!$AT151='Weeks Plan'!$D$6,'Planning Sheet'!$AN151='Weeks Plan'!$G$6),'Planning Sheet'!AP151,"")</f>
        <v/>
      </c>
    </row>
    <row r="147" spans="2:27" x14ac:dyDescent="0.3">
      <c r="B147" s="11"/>
      <c r="C147" s="75" t="str">
        <f>IF($B147&lt;&gt;"",VLOOKUP($B147,'Planning Sheet'!$B$8:$AL$500,3,0),"")</f>
        <v/>
      </c>
      <c r="D147" s="18" t="str">
        <f>IF($B147&lt;&gt;"",VLOOKUP($B147,'Planning Sheet'!$B$8:$AL$500,5,0),"")</f>
        <v/>
      </c>
      <c r="E147" s="18" t="str">
        <f>IF($B147&lt;&gt;"",VLOOKUP($B147,'Planning Sheet'!$B$8:$AL$500,7,0),"")</f>
        <v/>
      </c>
      <c r="F147" s="18" t="str">
        <f>IF($B147&lt;&gt;"",VLOOKUP($B147,'Planning Sheet'!$B$8:$AL$500,9,0),"")</f>
        <v/>
      </c>
      <c r="G147" s="18" t="str">
        <f>IF($B147&lt;&gt;"",VLOOKUP($B147,'Planning Sheet'!$B$8:$AL$500,11,0),"")</f>
        <v/>
      </c>
      <c r="H147" s="18" t="str">
        <f>IF($B147&lt;&gt;"",VLOOKUP($B147,'Planning Sheet'!$B$8:$AL$500,13,0),"")</f>
        <v/>
      </c>
      <c r="I147" s="18" t="str">
        <f>IF($B147&lt;&gt;"",VLOOKUP($B147,'Planning Sheet'!$B$8:$AL$500,15,0),"")</f>
        <v/>
      </c>
      <c r="J147" s="18" t="str">
        <f>IF($B147&lt;&gt;"",VLOOKUP($B147,'Planning Sheet'!$B$8:$AL$500,17,0),"")</f>
        <v/>
      </c>
      <c r="K147" s="18" t="str">
        <f>IF($B147&lt;&gt;"",VLOOKUP($B147,'Planning Sheet'!$B$8:$AL$500,19,0),"")</f>
        <v/>
      </c>
      <c r="L147" s="18" t="str">
        <f>IF($B147&lt;&gt;"",VLOOKUP($B147,'Planning Sheet'!$B$8:$AL$500,21,0),"")</f>
        <v/>
      </c>
      <c r="M147" s="18" t="str">
        <f>IF($B147&lt;&gt;"",VLOOKUP($B147,'Planning Sheet'!$B$8:$AL$500,23,0),"")</f>
        <v/>
      </c>
      <c r="N147" s="18" t="str">
        <f>IF($B147&lt;&gt;"",VLOOKUP($B147,'Planning Sheet'!$B$8:$AL$500,25,0),"")</f>
        <v/>
      </c>
      <c r="O147" s="18" t="str">
        <f>IF($B147&lt;&gt;"",VLOOKUP($B147,'Planning Sheet'!$B$8:$AL$500,26,0),"")</f>
        <v/>
      </c>
      <c r="P147" s="19" t="str">
        <f>IF($B147&lt;&gt;"",VLOOKUP($B147,'Planning Sheet'!$B$8:$AL$500,27,0),"")</f>
        <v/>
      </c>
      <c r="Q147" s="19" t="str">
        <f>IF($B147&lt;&gt;"",VLOOKUP($B147,'Planning Sheet'!$B$8:$AL$500,34,0),"")</f>
        <v/>
      </c>
      <c r="R147" s="19" t="str">
        <f>IF($B147&lt;&gt;"",VLOOKUP($B147,'Planning Sheet'!$B$8:$AL$500,36,0),"")</f>
        <v/>
      </c>
      <c r="S147" s="19" t="str">
        <f>IF($B147&lt;&gt;"",VLOOKUP($B147,'Planning Sheet'!$B$8:$AM$500,38,0),"")</f>
        <v/>
      </c>
      <c r="T147" s="18" t="str">
        <f t="shared" si="5"/>
        <v/>
      </c>
      <c r="U147" s="100" t="str">
        <f t="shared" si="4"/>
        <v/>
      </c>
      <c r="Y147" s="48" t="str">
        <f ca="1">IF(AND('Planning Sheet'!$AT152='Weeks Plan'!$D$6,'Planning Sheet'!$AN152='Weeks Plan'!$G$6),'Planning Sheet'!$B152,"")</f>
        <v/>
      </c>
      <c r="Z147" s="48" t="str">
        <f ca="1">IF(AND('Planning Sheet'!$AT152='Weeks Plan'!$D$6,'Planning Sheet'!$AN152='Weeks Plan'!$G$6),'Planning Sheet'!$AO152,"")</f>
        <v/>
      </c>
      <c r="AA147" s="48" t="str">
        <f ca="1">IF(AND('Planning Sheet'!$AT152='Weeks Plan'!$D$6,'Planning Sheet'!$AN152='Weeks Plan'!$G$6),'Planning Sheet'!AP152,"")</f>
        <v/>
      </c>
    </row>
    <row r="148" spans="2:27" x14ac:dyDescent="0.3">
      <c r="B148" s="11"/>
      <c r="C148" s="75" t="str">
        <f>IF($B148&lt;&gt;"",VLOOKUP($B148,'Planning Sheet'!$B$8:$AL$500,3,0),"")</f>
        <v/>
      </c>
      <c r="D148" s="18" t="str">
        <f>IF($B148&lt;&gt;"",VLOOKUP($B148,'Planning Sheet'!$B$8:$AL$500,5,0),"")</f>
        <v/>
      </c>
      <c r="E148" s="18" t="str">
        <f>IF($B148&lt;&gt;"",VLOOKUP($B148,'Planning Sheet'!$B$8:$AL$500,7,0),"")</f>
        <v/>
      </c>
      <c r="F148" s="18" t="str">
        <f>IF($B148&lt;&gt;"",VLOOKUP($B148,'Planning Sheet'!$B$8:$AL$500,9,0),"")</f>
        <v/>
      </c>
      <c r="G148" s="18" t="str">
        <f>IF($B148&lt;&gt;"",VLOOKUP($B148,'Planning Sheet'!$B$8:$AL$500,11,0),"")</f>
        <v/>
      </c>
      <c r="H148" s="18" t="str">
        <f>IF($B148&lt;&gt;"",VLOOKUP($B148,'Planning Sheet'!$B$8:$AL$500,13,0),"")</f>
        <v/>
      </c>
      <c r="I148" s="18" t="str">
        <f>IF($B148&lt;&gt;"",VLOOKUP($B148,'Planning Sheet'!$B$8:$AL$500,15,0),"")</f>
        <v/>
      </c>
      <c r="J148" s="18" t="str">
        <f>IF($B148&lt;&gt;"",VLOOKUP($B148,'Planning Sheet'!$B$8:$AL$500,17,0),"")</f>
        <v/>
      </c>
      <c r="K148" s="18" t="str">
        <f>IF($B148&lt;&gt;"",VLOOKUP($B148,'Planning Sheet'!$B$8:$AL$500,19,0),"")</f>
        <v/>
      </c>
      <c r="L148" s="18" t="str">
        <f>IF($B148&lt;&gt;"",VLOOKUP($B148,'Planning Sheet'!$B$8:$AL$500,21,0),"")</f>
        <v/>
      </c>
      <c r="M148" s="18" t="str">
        <f>IF($B148&lt;&gt;"",VLOOKUP($B148,'Planning Sheet'!$B$8:$AL$500,23,0),"")</f>
        <v/>
      </c>
      <c r="N148" s="18" t="str">
        <f>IF($B148&lt;&gt;"",VLOOKUP($B148,'Planning Sheet'!$B$8:$AL$500,25,0),"")</f>
        <v/>
      </c>
      <c r="O148" s="18" t="str">
        <f>IF($B148&lt;&gt;"",VLOOKUP($B148,'Planning Sheet'!$B$8:$AL$500,26,0),"")</f>
        <v/>
      </c>
      <c r="P148" s="19" t="str">
        <f>IF($B148&lt;&gt;"",VLOOKUP($B148,'Planning Sheet'!$B$8:$AL$500,27,0),"")</f>
        <v/>
      </c>
      <c r="Q148" s="19" t="str">
        <f>IF($B148&lt;&gt;"",VLOOKUP($B148,'Planning Sheet'!$B$8:$AL$500,34,0),"")</f>
        <v/>
      </c>
      <c r="R148" s="19" t="str">
        <f>IF($B148&lt;&gt;"",VLOOKUP($B148,'Planning Sheet'!$B$8:$AL$500,36,0),"")</f>
        <v/>
      </c>
      <c r="S148" s="19" t="str">
        <f>IF($B148&lt;&gt;"",VLOOKUP($B148,'Planning Sheet'!$B$8:$AM$500,38,0),"")</f>
        <v/>
      </c>
      <c r="T148" s="18" t="str">
        <f t="shared" si="5"/>
        <v/>
      </c>
      <c r="U148" s="100" t="str">
        <f t="shared" si="4"/>
        <v/>
      </c>
      <c r="Y148" s="48" t="str">
        <f ca="1">IF(AND('Planning Sheet'!$AT153='Weeks Plan'!$D$6,'Planning Sheet'!$AN153='Weeks Plan'!$G$6),'Planning Sheet'!$B153,"")</f>
        <v/>
      </c>
      <c r="Z148" s="48" t="str">
        <f ca="1">IF(AND('Planning Sheet'!$AT153='Weeks Plan'!$D$6,'Planning Sheet'!$AN153='Weeks Plan'!$G$6),'Planning Sheet'!$AO153,"")</f>
        <v/>
      </c>
      <c r="AA148" s="48" t="str">
        <f ca="1">IF(AND('Planning Sheet'!$AT153='Weeks Plan'!$D$6,'Planning Sheet'!$AN153='Weeks Plan'!$G$6),'Planning Sheet'!AP153,"")</f>
        <v/>
      </c>
    </row>
    <row r="149" spans="2:27" x14ac:dyDescent="0.3">
      <c r="B149" s="11"/>
      <c r="C149" s="75" t="str">
        <f>IF($B149&lt;&gt;"",VLOOKUP($B149,'Planning Sheet'!$B$8:$AL$500,3,0),"")</f>
        <v/>
      </c>
      <c r="D149" s="18" t="str">
        <f>IF($B149&lt;&gt;"",VLOOKUP($B149,'Planning Sheet'!$B$8:$AL$500,5,0),"")</f>
        <v/>
      </c>
      <c r="E149" s="18" t="str">
        <f>IF($B149&lt;&gt;"",VLOOKUP($B149,'Planning Sheet'!$B$8:$AL$500,7,0),"")</f>
        <v/>
      </c>
      <c r="F149" s="18" t="str">
        <f>IF($B149&lt;&gt;"",VLOOKUP($B149,'Planning Sheet'!$B$8:$AL$500,9,0),"")</f>
        <v/>
      </c>
      <c r="G149" s="18" t="str">
        <f>IF($B149&lt;&gt;"",VLOOKUP($B149,'Planning Sheet'!$B$8:$AL$500,11,0),"")</f>
        <v/>
      </c>
      <c r="H149" s="18" t="str">
        <f>IF($B149&lt;&gt;"",VLOOKUP($B149,'Planning Sheet'!$B$8:$AL$500,13,0),"")</f>
        <v/>
      </c>
      <c r="I149" s="18" t="str">
        <f>IF($B149&lt;&gt;"",VLOOKUP($B149,'Planning Sheet'!$B$8:$AL$500,15,0),"")</f>
        <v/>
      </c>
      <c r="J149" s="18" t="str">
        <f>IF($B149&lt;&gt;"",VLOOKUP($B149,'Planning Sheet'!$B$8:$AL$500,17,0),"")</f>
        <v/>
      </c>
      <c r="K149" s="18" t="str">
        <f>IF($B149&lt;&gt;"",VLOOKUP($B149,'Planning Sheet'!$B$8:$AL$500,19,0),"")</f>
        <v/>
      </c>
      <c r="L149" s="18" t="str">
        <f>IF($B149&lt;&gt;"",VLOOKUP($B149,'Planning Sheet'!$B$8:$AL$500,21,0),"")</f>
        <v/>
      </c>
      <c r="M149" s="18" t="str">
        <f>IF($B149&lt;&gt;"",VLOOKUP($B149,'Planning Sheet'!$B$8:$AL$500,23,0),"")</f>
        <v/>
      </c>
      <c r="N149" s="18" t="str">
        <f>IF($B149&lt;&gt;"",VLOOKUP($B149,'Planning Sheet'!$B$8:$AL$500,25,0),"")</f>
        <v/>
      </c>
      <c r="O149" s="18" t="str">
        <f>IF($B149&lt;&gt;"",VLOOKUP($B149,'Planning Sheet'!$B$8:$AL$500,26,0),"")</f>
        <v/>
      </c>
      <c r="P149" s="19" t="str">
        <f>IF($B149&lt;&gt;"",VLOOKUP($B149,'Planning Sheet'!$B$8:$AL$500,27,0),"")</f>
        <v/>
      </c>
      <c r="Q149" s="19" t="str">
        <f>IF($B149&lt;&gt;"",VLOOKUP($B149,'Planning Sheet'!$B$8:$AL$500,34,0),"")</f>
        <v/>
      </c>
      <c r="R149" s="19" t="str">
        <f>IF($B149&lt;&gt;"",VLOOKUP($B149,'Planning Sheet'!$B$8:$AL$500,36,0),"")</f>
        <v/>
      </c>
      <c r="S149" s="19" t="str">
        <f>IF($B149&lt;&gt;"",VLOOKUP($B149,'Planning Sheet'!$B$8:$AM$500,38,0),"")</f>
        <v/>
      </c>
      <c r="T149" s="18" t="str">
        <f t="shared" si="5"/>
        <v/>
      </c>
      <c r="U149" s="100" t="str">
        <f t="shared" si="4"/>
        <v/>
      </c>
      <c r="Y149" s="48" t="str">
        <f ca="1">IF(AND('Planning Sheet'!$AT154='Weeks Plan'!$D$6,'Planning Sheet'!$AN154='Weeks Plan'!$G$6),'Planning Sheet'!$B154,"")</f>
        <v/>
      </c>
      <c r="Z149" s="48" t="str">
        <f ca="1">IF(AND('Planning Sheet'!$AT154='Weeks Plan'!$D$6,'Planning Sheet'!$AN154='Weeks Plan'!$G$6),'Planning Sheet'!$AO154,"")</f>
        <v/>
      </c>
      <c r="AA149" s="48" t="str">
        <f ca="1">IF(AND('Planning Sheet'!$AT154='Weeks Plan'!$D$6,'Planning Sheet'!$AN154='Weeks Plan'!$G$6),'Planning Sheet'!AP154,"")</f>
        <v/>
      </c>
    </row>
    <row r="150" spans="2:27" x14ac:dyDescent="0.3">
      <c r="B150" s="11"/>
      <c r="C150" s="75" t="str">
        <f>IF($B150&lt;&gt;"",VLOOKUP($B150,'Planning Sheet'!$B$8:$AL$500,3,0),"")</f>
        <v/>
      </c>
      <c r="D150" s="18" t="str">
        <f>IF($B150&lt;&gt;"",VLOOKUP($B150,'Planning Sheet'!$B$8:$AL$500,5,0),"")</f>
        <v/>
      </c>
      <c r="E150" s="18" t="str">
        <f>IF($B150&lt;&gt;"",VLOOKUP($B150,'Planning Sheet'!$B$8:$AL$500,7,0),"")</f>
        <v/>
      </c>
      <c r="F150" s="18" t="str">
        <f>IF($B150&lt;&gt;"",VLOOKUP($B150,'Planning Sheet'!$B$8:$AL$500,9,0),"")</f>
        <v/>
      </c>
      <c r="G150" s="18" t="str">
        <f>IF($B150&lt;&gt;"",VLOOKUP($B150,'Planning Sheet'!$B$8:$AL$500,11,0),"")</f>
        <v/>
      </c>
      <c r="H150" s="18" t="str">
        <f>IF($B150&lt;&gt;"",VLOOKUP($B150,'Planning Sheet'!$B$8:$AL$500,13,0),"")</f>
        <v/>
      </c>
      <c r="I150" s="18" t="str">
        <f>IF($B150&lt;&gt;"",VLOOKUP($B150,'Planning Sheet'!$B$8:$AL$500,15,0),"")</f>
        <v/>
      </c>
      <c r="J150" s="18" t="str">
        <f>IF($B150&lt;&gt;"",VLOOKUP($B150,'Planning Sheet'!$B$8:$AL$500,17,0),"")</f>
        <v/>
      </c>
      <c r="K150" s="18" t="str">
        <f>IF($B150&lt;&gt;"",VLOOKUP($B150,'Planning Sheet'!$B$8:$AL$500,19,0),"")</f>
        <v/>
      </c>
      <c r="L150" s="18" t="str">
        <f>IF($B150&lt;&gt;"",VLOOKUP($B150,'Planning Sheet'!$B$8:$AL$500,21,0),"")</f>
        <v/>
      </c>
      <c r="M150" s="18" t="str">
        <f>IF($B150&lt;&gt;"",VLOOKUP($B150,'Planning Sheet'!$B$8:$AL$500,23,0),"")</f>
        <v/>
      </c>
      <c r="N150" s="18" t="str">
        <f>IF($B150&lt;&gt;"",VLOOKUP($B150,'Planning Sheet'!$B$8:$AL$500,25,0),"")</f>
        <v/>
      </c>
      <c r="O150" s="18" t="str">
        <f>IF($B150&lt;&gt;"",VLOOKUP($B150,'Planning Sheet'!$B$8:$AL$500,26,0),"")</f>
        <v/>
      </c>
      <c r="P150" s="19" t="str">
        <f>IF($B150&lt;&gt;"",VLOOKUP($B150,'Planning Sheet'!$B$8:$AL$500,27,0),"")</f>
        <v/>
      </c>
      <c r="Q150" s="19" t="str">
        <f>IF($B150&lt;&gt;"",VLOOKUP($B150,'Planning Sheet'!$B$8:$AL$500,34,0),"")</f>
        <v/>
      </c>
      <c r="R150" s="19" t="str">
        <f>IF($B150&lt;&gt;"",VLOOKUP($B150,'Planning Sheet'!$B$8:$AL$500,36,0),"")</f>
        <v/>
      </c>
      <c r="S150" s="19" t="str">
        <f>IF($B150&lt;&gt;"",VLOOKUP($B150,'Planning Sheet'!$B$8:$AM$500,38,0),"")</f>
        <v/>
      </c>
      <c r="T150" s="18" t="str">
        <f t="shared" si="5"/>
        <v/>
      </c>
      <c r="U150" s="100" t="str">
        <f t="shared" si="4"/>
        <v/>
      </c>
      <c r="Y150" s="48" t="str">
        <f ca="1">IF(AND('Planning Sheet'!$AT155='Weeks Plan'!$D$6,'Planning Sheet'!$AN155='Weeks Plan'!$G$6),'Planning Sheet'!$B155,"")</f>
        <v/>
      </c>
      <c r="Z150" s="48" t="str">
        <f ca="1">IF(AND('Planning Sheet'!$AT155='Weeks Plan'!$D$6,'Planning Sheet'!$AN155='Weeks Plan'!$G$6),'Planning Sheet'!$AO155,"")</f>
        <v/>
      </c>
      <c r="AA150" s="48" t="str">
        <f ca="1">IF(AND('Planning Sheet'!$AT155='Weeks Plan'!$D$6,'Planning Sheet'!$AN155='Weeks Plan'!$G$6),'Planning Sheet'!AP155,"")</f>
        <v/>
      </c>
    </row>
    <row r="151" spans="2:27" x14ac:dyDescent="0.3">
      <c r="B151" s="11"/>
      <c r="C151" s="75" t="str">
        <f>IF($B151&lt;&gt;"",VLOOKUP($B151,'Planning Sheet'!$B$8:$AL$500,3,0),"")</f>
        <v/>
      </c>
      <c r="D151" s="18" t="str">
        <f>IF($B151&lt;&gt;"",VLOOKUP($B151,'Planning Sheet'!$B$8:$AL$500,5,0),"")</f>
        <v/>
      </c>
      <c r="E151" s="18" t="str">
        <f>IF($B151&lt;&gt;"",VLOOKUP($B151,'Planning Sheet'!$B$8:$AL$500,7,0),"")</f>
        <v/>
      </c>
      <c r="F151" s="18" t="str">
        <f>IF($B151&lt;&gt;"",VLOOKUP($B151,'Planning Sheet'!$B$8:$AL$500,9,0),"")</f>
        <v/>
      </c>
      <c r="G151" s="18" t="str">
        <f>IF($B151&lt;&gt;"",VLOOKUP($B151,'Planning Sheet'!$B$8:$AL$500,11,0),"")</f>
        <v/>
      </c>
      <c r="H151" s="18" t="str">
        <f>IF($B151&lt;&gt;"",VLOOKUP($B151,'Planning Sheet'!$B$8:$AL$500,13,0),"")</f>
        <v/>
      </c>
      <c r="I151" s="18" t="str">
        <f>IF($B151&lt;&gt;"",VLOOKUP($B151,'Planning Sheet'!$B$8:$AL$500,15,0),"")</f>
        <v/>
      </c>
      <c r="J151" s="18" t="str">
        <f>IF($B151&lt;&gt;"",VLOOKUP($B151,'Planning Sheet'!$B$8:$AL$500,17,0),"")</f>
        <v/>
      </c>
      <c r="K151" s="18" t="str">
        <f>IF($B151&lt;&gt;"",VLOOKUP($B151,'Planning Sheet'!$B$8:$AL$500,19,0),"")</f>
        <v/>
      </c>
      <c r="L151" s="18" t="str">
        <f>IF($B151&lt;&gt;"",VLOOKUP($B151,'Planning Sheet'!$B$8:$AL$500,21,0),"")</f>
        <v/>
      </c>
      <c r="M151" s="18" t="str">
        <f>IF($B151&lt;&gt;"",VLOOKUP($B151,'Planning Sheet'!$B$8:$AL$500,23,0),"")</f>
        <v/>
      </c>
      <c r="N151" s="18" t="str">
        <f>IF($B151&lt;&gt;"",VLOOKUP($B151,'Planning Sheet'!$B$8:$AL$500,25,0),"")</f>
        <v/>
      </c>
      <c r="O151" s="18" t="str">
        <f>IF($B151&lt;&gt;"",VLOOKUP($B151,'Planning Sheet'!$B$8:$AL$500,26,0),"")</f>
        <v/>
      </c>
      <c r="P151" s="19" t="str">
        <f>IF($B151&lt;&gt;"",VLOOKUP($B151,'Planning Sheet'!$B$8:$AL$500,27,0),"")</f>
        <v/>
      </c>
      <c r="Q151" s="19" t="str">
        <f>IF($B151&lt;&gt;"",VLOOKUP($B151,'Planning Sheet'!$B$8:$AL$500,34,0),"")</f>
        <v/>
      </c>
      <c r="R151" s="19" t="str">
        <f>IF($B151&lt;&gt;"",VLOOKUP($B151,'Planning Sheet'!$B$8:$AL$500,36,0),"")</f>
        <v/>
      </c>
      <c r="S151" s="19" t="str">
        <f>IF($B151&lt;&gt;"",VLOOKUP($B151,'Planning Sheet'!$B$8:$AM$500,38,0),"")</f>
        <v/>
      </c>
      <c r="T151" s="18" t="str">
        <f t="shared" si="5"/>
        <v/>
      </c>
      <c r="U151" s="100" t="str">
        <f t="shared" si="4"/>
        <v/>
      </c>
      <c r="Y151" s="48" t="str">
        <f ca="1">IF(AND('Planning Sheet'!$AT156='Weeks Plan'!$D$6,'Planning Sheet'!$AN156='Weeks Plan'!$G$6),'Planning Sheet'!$B156,"")</f>
        <v/>
      </c>
      <c r="Z151" s="48" t="str">
        <f ca="1">IF(AND('Planning Sheet'!$AT156='Weeks Plan'!$D$6,'Planning Sheet'!$AN156='Weeks Plan'!$G$6),'Planning Sheet'!$AO156,"")</f>
        <v/>
      </c>
      <c r="AA151" s="48" t="str">
        <f ca="1">IF(AND('Planning Sheet'!$AT156='Weeks Plan'!$D$6,'Planning Sheet'!$AN156='Weeks Plan'!$G$6),'Planning Sheet'!AP156,"")</f>
        <v/>
      </c>
    </row>
    <row r="152" spans="2:27" x14ac:dyDescent="0.3">
      <c r="B152" s="11"/>
      <c r="C152" s="75" t="str">
        <f>IF($B152&lt;&gt;"",VLOOKUP($B152,'Planning Sheet'!$B$8:$AL$500,3,0),"")</f>
        <v/>
      </c>
      <c r="D152" s="18" t="str">
        <f>IF($B152&lt;&gt;"",VLOOKUP($B152,'Planning Sheet'!$B$8:$AL$500,5,0),"")</f>
        <v/>
      </c>
      <c r="E152" s="18" t="str">
        <f>IF($B152&lt;&gt;"",VLOOKUP($B152,'Planning Sheet'!$B$8:$AL$500,7,0),"")</f>
        <v/>
      </c>
      <c r="F152" s="18" t="str">
        <f>IF($B152&lt;&gt;"",VLOOKUP($B152,'Planning Sheet'!$B$8:$AL$500,9,0),"")</f>
        <v/>
      </c>
      <c r="G152" s="18" t="str">
        <f>IF($B152&lt;&gt;"",VLOOKUP($B152,'Planning Sheet'!$B$8:$AL$500,11,0),"")</f>
        <v/>
      </c>
      <c r="H152" s="18" t="str">
        <f>IF($B152&lt;&gt;"",VLOOKUP($B152,'Planning Sheet'!$B$8:$AL$500,13,0),"")</f>
        <v/>
      </c>
      <c r="I152" s="18" t="str">
        <f>IF($B152&lt;&gt;"",VLOOKUP($B152,'Planning Sheet'!$B$8:$AL$500,15,0),"")</f>
        <v/>
      </c>
      <c r="J152" s="18" t="str">
        <f>IF($B152&lt;&gt;"",VLOOKUP($B152,'Planning Sheet'!$B$8:$AL$500,17,0),"")</f>
        <v/>
      </c>
      <c r="K152" s="18" t="str">
        <f>IF($B152&lt;&gt;"",VLOOKUP($B152,'Planning Sheet'!$B$8:$AL$500,19,0),"")</f>
        <v/>
      </c>
      <c r="L152" s="18" t="str">
        <f>IF($B152&lt;&gt;"",VLOOKUP($B152,'Planning Sheet'!$B$8:$AL$500,21,0),"")</f>
        <v/>
      </c>
      <c r="M152" s="18" t="str">
        <f>IF($B152&lt;&gt;"",VLOOKUP($B152,'Planning Sheet'!$B$8:$AL$500,23,0),"")</f>
        <v/>
      </c>
      <c r="N152" s="18" t="str">
        <f>IF($B152&lt;&gt;"",VLOOKUP($B152,'Planning Sheet'!$B$8:$AL$500,25,0),"")</f>
        <v/>
      </c>
      <c r="O152" s="18" t="str">
        <f>IF($B152&lt;&gt;"",VLOOKUP($B152,'Planning Sheet'!$B$8:$AL$500,26,0),"")</f>
        <v/>
      </c>
      <c r="P152" s="19" t="str">
        <f>IF($B152&lt;&gt;"",VLOOKUP($B152,'Planning Sheet'!$B$8:$AL$500,27,0),"")</f>
        <v/>
      </c>
      <c r="Q152" s="19" t="str">
        <f>IF($B152&lt;&gt;"",VLOOKUP($B152,'Planning Sheet'!$B$8:$AL$500,34,0),"")</f>
        <v/>
      </c>
      <c r="R152" s="19" t="str">
        <f>IF($B152&lt;&gt;"",VLOOKUP($B152,'Planning Sheet'!$B$8:$AL$500,36,0),"")</f>
        <v/>
      </c>
      <c r="S152" s="19" t="str">
        <f>IF($B152&lt;&gt;"",VLOOKUP($B152,'Planning Sheet'!$B$8:$AM$500,38,0),"")</f>
        <v/>
      </c>
      <c r="T152" s="18" t="str">
        <f t="shared" si="5"/>
        <v/>
      </c>
      <c r="U152" s="100" t="str">
        <f t="shared" si="4"/>
        <v/>
      </c>
      <c r="Y152" s="48" t="str">
        <f ca="1">IF(AND('Planning Sheet'!$AT157='Weeks Plan'!$D$6,'Planning Sheet'!$AN157='Weeks Plan'!$G$6),'Planning Sheet'!$B157,"")</f>
        <v/>
      </c>
      <c r="Z152" s="48" t="str">
        <f ca="1">IF(AND('Planning Sheet'!$AT157='Weeks Plan'!$D$6,'Planning Sheet'!$AN157='Weeks Plan'!$G$6),'Planning Sheet'!$AO157,"")</f>
        <v/>
      </c>
      <c r="AA152" s="48" t="str">
        <f ca="1">IF(AND('Planning Sheet'!$AT157='Weeks Plan'!$D$6,'Planning Sheet'!$AN157='Weeks Plan'!$G$6),'Planning Sheet'!AP157,"")</f>
        <v/>
      </c>
    </row>
    <row r="153" spans="2:27" x14ac:dyDescent="0.3">
      <c r="B153" s="11"/>
      <c r="C153" s="75" t="str">
        <f>IF($B153&lt;&gt;"",VLOOKUP($B153,'Planning Sheet'!$B$8:$AL$500,3,0),"")</f>
        <v/>
      </c>
      <c r="D153" s="18" t="str">
        <f>IF($B153&lt;&gt;"",VLOOKUP($B153,'Planning Sheet'!$B$8:$AL$500,5,0),"")</f>
        <v/>
      </c>
      <c r="E153" s="18" t="str">
        <f>IF($B153&lt;&gt;"",VLOOKUP($B153,'Planning Sheet'!$B$8:$AL$500,7,0),"")</f>
        <v/>
      </c>
      <c r="F153" s="18" t="str">
        <f>IF($B153&lt;&gt;"",VLOOKUP($B153,'Planning Sheet'!$B$8:$AL$500,9,0),"")</f>
        <v/>
      </c>
      <c r="G153" s="18" t="str">
        <f>IF($B153&lt;&gt;"",VLOOKUP($B153,'Planning Sheet'!$B$8:$AL$500,11,0),"")</f>
        <v/>
      </c>
      <c r="H153" s="18" t="str">
        <f>IF($B153&lt;&gt;"",VLOOKUP($B153,'Planning Sheet'!$B$8:$AL$500,13,0),"")</f>
        <v/>
      </c>
      <c r="I153" s="18" t="str">
        <f>IF($B153&lt;&gt;"",VLOOKUP($B153,'Planning Sheet'!$B$8:$AL$500,15,0),"")</f>
        <v/>
      </c>
      <c r="J153" s="18" t="str">
        <f>IF($B153&lt;&gt;"",VLOOKUP($B153,'Planning Sheet'!$B$8:$AL$500,17,0),"")</f>
        <v/>
      </c>
      <c r="K153" s="18" t="str">
        <f>IF($B153&lt;&gt;"",VLOOKUP($B153,'Planning Sheet'!$B$8:$AL$500,19,0),"")</f>
        <v/>
      </c>
      <c r="L153" s="18" t="str">
        <f>IF($B153&lt;&gt;"",VLOOKUP($B153,'Planning Sheet'!$B$8:$AL$500,21,0),"")</f>
        <v/>
      </c>
      <c r="M153" s="18" t="str">
        <f>IF($B153&lt;&gt;"",VLOOKUP($B153,'Planning Sheet'!$B$8:$AL$500,23,0),"")</f>
        <v/>
      </c>
      <c r="N153" s="18" t="str">
        <f>IF($B153&lt;&gt;"",VLOOKUP($B153,'Planning Sheet'!$B$8:$AL$500,25,0),"")</f>
        <v/>
      </c>
      <c r="O153" s="18" t="str">
        <f>IF($B153&lt;&gt;"",VLOOKUP($B153,'Planning Sheet'!$B$8:$AL$500,26,0),"")</f>
        <v/>
      </c>
      <c r="P153" s="19" t="str">
        <f>IF($B153&lt;&gt;"",VLOOKUP($B153,'Planning Sheet'!$B$8:$AL$500,27,0),"")</f>
        <v/>
      </c>
      <c r="Q153" s="19" t="str">
        <f>IF($B153&lt;&gt;"",VLOOKUP($B153,'Planning Sheet'!$B$8:$AL$500,34,0),"")</f>
        <v/>
      </c>
      <c r="R153" s="19" t="str">
        <f>IF($B153&lt;&gt;"",VLOOKUP($B153,'Planning Sheet'!$B$8:$AL$500,36,0),"")</f>
        <v/>
      </c>
      <c r="S153" s="19" t="str">
        <f>IF($B153&lt;&gt;"",VLOOKUP($B153,'Planning Sheet'!$B$8:$AM$500,38,0),"")</f>
        <v/>
      </c>
      <c r="T153" s="18" t="str">
        <f t="shared" si="5"/>
        <v/>
      </c>
      <c r="U153" s="100" t="str">
        <f t="shared" si="4"/>
        <v/>
      </c>
      <c r="Y153" s="48" t="str">
        <f ca="1">IF(AND('Planning Sheet'!$AT158='Weeks Plan'!$D$6,'Planning Sheet'!$AN158='Weeks Plan'!$G$6),'Planning Sheet'!$B158,"")</f>
        <v/>
      </c>
      <c r="Z153" s="48" t="str">
        <f ca="1">IF(AND('Planning Sheet'!$AT158='Weeks Plan'!$D$6,'Planning Sheet'!$AN158='Weeks Plan'!$G$6),'Planning Sheet'!$AO158,"")</f>
        <v/>
      </c>
      <c r="AA153" s="48" t="str">
        <f ca="1">IF(AND('Planning Sheet'!$AT158='Weeks Plan'!$D$6,'Planning Sheet'!$AN158='Weeks Plan'!$G$6),'Planning Sheet'!AP158,"")</f>
        <v/>
      </c>
    </row>
    <row r="154" spans="2:27" x14ac:dyDescent="0.3">
      <c r="B154" s="11"/>
      <c r="C154" s="75" t="str">
        <f>IF($B154&lt;&gt;"",VLOOKUP($B154,'Planning Sheet'!$B$8:$AL$500,3,0),"")</f>
        <v/>
      </c>
      <c r="D154" s="18" t="str">
        <f>IF($B154&lt;&gt;"",VLOOKUP($B154,'Planning Sheet'!$B$8:$AL$500,5,0),"")</f>
        <v/>
      </c>
      <c r="E154" s="18" t="str">
        <f>IF($B154&lt;&gt;"",VLOOKUP($B154,'Planning Sheet'!$B$8:$AL$500,7,0),"")</f>
        <v/>
      </c>
      <c r="F154" s="18" t="str">
        <f>IF($B154&lt;&gt;"",VLOOKUP($B154,'Planning Sheet'!$B$8:$AL$500,9,0),"")</f>
        <v/>
      </c>
      <c r="G154" s="18" t="str">
        <f>IF($B154&lt;&gt;"",VLOOKUP($B154,'Planning Sheet'!$B$8:$AL$500,11,0),"")</f>
        <v/>
      </c>
      <c r="H154" s="18" t="str">
        <f>IF($B154&lt;&gt;"",VLOOKUP($B154,'Planning Sheet'!$B$8:$AL$500,13,0),"")</f>
        <v/>
      </c>
      <c r="I154" s="18" t="str">
        <f>IF($B154&lt;&gt;"",VLOOKUP($B154,'Planning Sheet'!$B$8:$AL$500,15,0),"")</f>
        <v/>
      </c>
      <c r="J154" s="18" t="str">
        <f>IF($B154&lt;&gt;"",VLOOKUP($B154,'Planning Sheet'!$B$8:$AL$500,17,0),"")</f>
        <v/>
      </c>
      <c r="K154" s="18" t="str">
        <f>IF($B154&lt;&gt;"",VLOOKUP($B154,'Planning Sheet'!$B$8:$AL$500,19,0),"")</f>
        <v/>
      </c>
      <c r="L154" s="18" t="str">
        <f>IF($B154&lt;&gt;"",VLOOKUP($B154,'Planning Sheet'!$B$8:$AL$500,21,0),"")</f>
        <v/>
      </c>
      <c r="M154" s="18" t="str">
        <f>IF($B154&lt;&gt;"",VLOOKUP($B154,'Planning Sheet'!$B$8:$AL$500,23,0),"")</f>
        <v/>
      </c>
      <c r="N154" s="18" t="str">
        <f>IF($B154&lt;&gt;"",VLOOKUP($B154,'Planning Sheet'!$B$8:$AL$500,25,0),"")</f>
        <v/>
      </c>
      <c r="O154" s="18" t="str">
        <f>IF($B154&lt;&gt;"",VLOOKUP($B154,'Planning Sheet'!$B$8:$AL$500,26,0),"")</f>
        <v/>
      </c>
      <c r="P154" s="19" t="str">
        <f>IF($B154&lt;&gt;"",VLOOKUP($B154,'Planning Sheet'!$B$8:$AL$500,27,0),"")</f>
        <v/>
      </c>
      <c r="Q154" s="19" t="str">
        <f>IF($B154&lt;&gt;"",VLOOKUP($B154,'Planning Sheet'!$B$8:$AL$500,34,0),"")</f>
        <v/>
      </c>
      <c r="R154" s="19" t="str">
        <f>IF($B154&lt;&gt;"",VLOOKUP($B154,'Planning Sheet'!$B$8:$AL$500,36,0),"")</f>
        <v/>
      </c>
      <c r="S154" s="19" t="str">
        <f>IF($B154&lt;&gt;"",VLOOKUP($B154,'Planning Sheet'!$B$8:$AM$500,38,0),"")</f>
        <v/>
      </c>
      <c r="T154" s="18" t="str">
        <f t="shared" si="5"/>
        <v/>
      </c>
      <c r="U154" s="100" t="str">
        <f t="shared" si="4"/>
        <v/>
      </c>
      <c r="Y154" s="48" t="str">
        <f ca="1">IF(AND('Planning Sheet'!$AT159='Weeks Plan'!$D$6,'Planning Sheet'!$AN159='Weeks Plan'!$G$6),'Planning Sheet'!$B159,"")</f>
        <v/>
      </c>
      <c r="Z154" s="48" t="str">
        <f ca="1">IF(AND('Planning Sheet'!$AT159='Weeks Plan'!$D$6,'Planning Sheet'!$AN159='Weeks Plan'!$G$6),'Planning Sheet'!$AO159,"")</f>
        <v/>
      </c>
      <c r="AA154" s="48" t="str">
        <f ca="1">IF(AND('Planning Sheet'!$AT159='Weeks Plan'!$D$6,'Planning Sheet'!$AN159='Weeks Plan'!$G$6),'Planning Sheet'!AP159,"")</f>
        <v/>
      </c>
    </row>
    <row r="155" spans="2:27" x14ac:dyDescent="0.3">
      <c r="B155" s="11"/>
      <c r="C155" s="75" t="str">
        <f>IF($B155&lt;&gt;"",VLOOKUP($B155,'Planning Sheet'!$B$8:$AL$500,3,0),"")</f>
        <v/>
      </c>
      <c r="D155" s="18" t="str">
        <f>IF($B155&lt;&gt;"",VLOOKUP($B155,'Planning Sheet'!$B$8:$AL$500,5,0),"")</f>
        <v/>
      </c>
      <c r="E155" s="18" t="str">
        <f>IF($B155&lt;&gt;"",VLOOKUP($B155,'Planning Sheet'!$B$8:$AL$500,7,0),"")</f>
        <v/>
      </c>
      <c r="F155" s="18" t="str">
        <f>IF($B155&lt;&gt;"",VLOOKUP($B155,'Planning Sheet'!$B$8:$AL$500,9,0),"")</f>
        <v/>
      </c>
      <c r="G155" s="18" t="str">
        <f>IF($B155&lt;&gt;"",VLOOKUP($B155,'Planning Sheet'!$B$8:$AL$500,11,0),"")</f>
        <v/>
      </c>
      <c r="H155" s="18" t="str">
        <f>IF($B155&lt;&gt;"",VLOOKUP($B155,'Planning Sheet'!$B$8:$AL$500,13,0),"")</f>
        <v/>
      </c>
      <c r="I155" s="18" t="str">
        <f>IF($B155&lt;&gt;"",VLOOKUP($B155,'Planning Sheet'!$B$8:$AL$500,15,0),"")</f>
        <v/>
      </c>
      <c r="J155" s="18" t="str">
        <f>IF($B155&lt;&gt;"",VLOOKUP($B155,'Planning Sheet'!$B$8:$AL$500,17,0),"")</f>
        <v/>
      </c>
      <c r="K155" s="18" t="str">
        <f>IF($B155&lt;&gt;"",VLOOKUP($B155,'Planning Sheet'!$B$8:$AL$500,19,0),"")</f>
        <v/>
      </c>
      <c r="L155" s="18" t="str">
        <f>IF($B155&lt;&gt;"",VLOOKUP($B155,'Planning Sheet'!$B$8:$AL$500,21,0),"")</f>
        <v/>
      </c>
      <c r="M155" s="18" t="str">
        <f>IF($B155&lt;&gt;"",VLOOKUP($B155,'Planning Sheet'!$B$8:$AL$500,23,0),"")</f>
        <v/>
      </c>
      <c r="N155" s="18" t="str">
        <f>IF($B155&lt;&gt;"",VLOOKUP($B155,'Planning Sheet'!$B$8:$AL$500,25,0),"")</f>
        <v/>
      </c>
      <c r="O155" s="18" t="str">
        <f>IF($B155&lt;&gt;"",VLOOKUP($B155,'Planning Sheet'!$B$8:$AL$500,26,0),"")</f>
        <v/>
      </c>
      <c r="P155" s="19" t="str">
        <f>IF($B155&lt;&gt;"",VLOOKUP($B155,'Planning Sheet'!$B$8:$AL$500,27,0),"")</f>
        <v/>
      </c>
      <c r="Q155" s="19" t="str">
        <f>IF($B155&lt;&gt;"",VLOOKUP($B155,'Planning Sheet'!$B$8:$AL$500,34,0),"")</f>
        <v/>
      </c>
      <c r="R155" s="19" t="str">
        <f>IF($B155&lt;&gt;"",VLOOKUP($B155,'Planning Sheet'!$B$8:$AL$500,36,0),"")</f>
        <v/>
      </c>
      <c r="S155" s="19" t="str">
        <f>IF($B155&lt;&gt;"",VLOOKUP($B155,'Planning Sheet'!$B$8:$AM$500,38,0),"")</f>
        <v/>
      </c>
      <c r="T155" s="18" t="str">
        <f t="shared" si="5"/>
        <v/>
      </c>
      <c r="U155" s="100" t="str">
        <f t="shared" si="4"/>
        <v/>
      </c>
      <c r="Y155" s="48" t="str">
        <f ca="1">IF(AND('Planning Sheet'!$AT160='Weeks Plan'!$D$6,'Planning Sheet'!$AN160='Weeks Plan'!$G$6),'Planning Sheet'!$B160,"")</f>
        <v/>
      </c>
      <c r="Z155" s="48" t="str">
        <f ca="1">IF(AND('Planning Sheet'!$AT160='Weeks Plan'!$D$6,'Planning Sheet'!$AN160='Weeks Plan'!$G$6),'Planning Sheet'!$AO160,"")</f>
        <v/>
      </c>
      <c r="AA155" s="48" t="str">
        <f ca="1">IF(AND('Planning Sheet'!$AT160='Weeks Plan'!$D$6,'Planning Sheet'!$AN160='Weeks Plan'!$G$6),'Planning Sheet'!AP160,"")</f>
        <v/>
      </c>
    </row>
    <row r="156" spans="2:27" x14ac:dyDescent="0.3">
      <c r="B156" s="11"/>
      <c r="C156" s="75" t="str">
        <f>IF($B156&lt;&gt;"",VLOOKUP($B156,'Planning Sheet'!$B$8:$AL$500,3,0),"")</f>
        <v/>
      </c>
      <c r="D156" s="18" t="str">
        <f>IF($B156&lt;&gt;"",VLOOKUP($B156,'Planning Sheet'!$B$8:$AL$500,5,0),"")</f>
        <v/>
      </c>
      <c r="E156" s="18" t="str">
        <f>IF($B156&lt;&gt;"",VLOOKUP($B156,'Planning Sheet'!$B$8:$AL$500,7,0),"")</f>
        <v/>
      </c>
      <c r="F156" s="18" t="str">
        <f>IF($B156&lt;&gt;"",VLOOKUP($B156,'Planning Sheet'!$B$8:$AL$500,9,0),"")</f>
        <v/>
      </c>
      <c r="G156" s="18" t="str">
        <f>IF($B156&lt;&gt;"",VLOOKUP($B156,'Planning Sheet'!$B$8:$AL$500,11,0),"")</f>
        <v/>
      </c>
      <c r="H156" s="18" t="str">
        <f>IF($B156&lt;&gt;"",VLOOKUP($B156,'Planning Sheet'!$B$8:$AL$500,13,0),"")</f>
        <v/>
      </c>
      <c r="I156" s="18" t="str">
        <f>IF($B156&lt;&gt;"",VLOOKUP($B156,'Planning Sheet'!$B$8:$AL$500,15,0),"")</f>
        <v/>
      </c>
      <c r="J156" s="18" t="str">
        <f>IF($B156&lt;&gt;"",VLOOKUP($B156,'Planning Sheet'!$B$8:$AL$500,17,0),"")</f>
        <v/>
      </c>
      <c r="K156" s="18" t="str">
        <f>IF($B156&lt;&gt;"",VLOOKUP($B156,'Planning Sheet'!$B$8:$AL$500,19,0),"")</f>
        <v/>
      </c>
      <c r="L156" s="18" t="str">
        <f>IF($B156&lt;&gt;"",VLOOKUP($B156,'Planning Sheet'!$B$8:$AL$500,21,0),"")</f>
        <v/>
      </c>
      <c r="M156" s="18" t="str">
        <f>IF($B156&lt;&gt;"",VLOOKUP($B156,'Planning Sheet'!$B$8:$AL$500,23,0),"")</f>
        <v/>
      </c>
      <c r="N156" s="18" t="str">
        <f>IF($B156&lt;&gt;"",VLOOKUP($B156,'Planning Sheet'!$B$8:$AL$500,25,0),"")</f>
        <v/>
      </c>
      <c r="O156" s="18" t="str">
        <f>IF($B156&lt;&gt;"",VLOOKUP($B156,'Planning Sheet'!$B$8:$AL$500,26,0),"")</f>
        <v/>
      </c>
      <c r="P156" s="19" t="str">
        <f>IF($B156&lt;&gt;"",VLOOKUP($B156,'Planning Sheet'!$B$8:$AL$500,27,0),"")</f>
        <v/>
      </c>
      <c r="Q156" s="19" t="str">
        <f>IF($B156&lt;&gt;"",VLOOKUP($B156,'Planning Sheet'!$B$8:$AL$500,34,0),"")</f>
        <v/>
      </c>
      <c r="R156" s="19" t="str">
        <f>IF($B156&lt;&gt;"",VLOOKUP($B156,'Planning Sheet'!$B$8:$AL$500,36,0),"")</f>
        <v/>
      </c>
      <c r="S156" s="19" t="str">
        <f>IF($B156&lt;&gt;"",VLOOKUP($B156,'Planning Sheet'!$B$8:$AM$500,38,0),"")</f>
        <v/>
      </c>
      <c r="T156" s="18" t="str">
        <f t="shared" si="5"/>
        <v/>
      </c>
      <c r="U156" s="100" t="str">
        <f t="shared" si="4"/>
        <v/>
      </c>
      <c r="Y156" s="48" t="str">
        <f ca="1">IF(AND('Planning Sheet'!$AT161='Weeks Plan'!$D$6,'Planning Sheet'!$AN161='Weeks Plan'!$G$6),'Planning Sheet'!$B161,"")</f>
        <v/>
      </c>
      <c r="Z156" s="48" t="str">
        <f ca="1">IF(AND('Planning Sheet'!$AT161='Weeks Plan'!$D$6,'Planning Sheet'!$AN161='Weeks Plan'!$G$6),'Planning Sheet'!$AO161,"")</f>
        <v/>
      </c>
      <c r="AA156" s="48" t="str">
        <f ca="1">IF(AND('Planning Sheet'!$AT161='Weeks Plan'!$D$6,'Planning Sheet'!$AN161='Weeks Plan'!$G$6),'Planning Sheet'!AP161,"")</f>
        <v/>
      </c>
    </row>
    <row r="157" spans="2:27" x14ac:dyDescent="0.3">
      <c r="B157" s="11"/>
      <c r="C157" s="75" t="str">
        <f>IF($B157&lt;&gt;"",VLOOKUP($B157,'Planning Sheet'!$B$8:$AL$500,3,0),"")</f>
        <v/>
      </c>
      <c r="D157" s="18" t="str">
        <f>IF($B157&lt;&gt;"",VLOOKUP($B157,'Planning Sheet'!$B$8:$AL$500,5,0),"")</f>
        <v/>
      </c>
      <c r="E157" s="18" t="str">
        <f>IF($B157&lt;&gt;"",VLOOKUP($B157,'Planning Sheet'!$B$8:$AL$500,7,0),"")</f>
        <v/>
      </c>
      <c r="F157" s="18" t="str">
        <f>IF($B157&lt;&gt;"",VLOOKUP($B157,'Planning Sheet'!$B$8:$AL$500,9,0),"")</f>
        <v/>
      </c>
      <c r="G157" s="18" t="str">
        <f>IF($B157&lt;&gt;"",VLOOKUP($B157,'Planning Sheet'!$B$8:$AL$500,11,0),"")</f>
        <v/>
      </c>
      <c r="H157" s="18" t="str">
        <f>IF($B157&lt;&gt;"",VLOOKUP($B157,'Planning Sheet'!$B$8:$AL$500,13,0),"")</f>
        <v/>
      </c>
      <c r="I157" s="18" t="str">
        <f>IF($B157&lt;&gt;"",VLOOKUP($B157,'Planning Sheet'!$B$8:$AL$500,15,0),"")</f>
        <v/>
      </c>
      <c r="J157" s="18" t="str">
        <f>IF($B157&lt;&gt;"",VLOOKUP($B157,'Planning Sheet'!$B$8:$AL$500,17,0),"")</f>
        <v/>
      </c>
      <c r="K157" s="18" t="str">
        <f>IF($B157&lt;&gt;"",VLOOKUP($B157,'Planning Sheet'!$B$8:$AL$500,19,0),"")</f>
        <v/>
      </c>
      <c r="L157" s="18" t="str">
        <f>IF($B157&lt;&gt;"",VLOOKUP($B157,'Planning Sheet'!$B$8:$AL$500,21,0),"")</f>
        <v/>
      </c>
      <c r="M157" s="18" t="str">
        <f>IF($B157&lt;&gt;"",VLOOKUP($B157,'Planning Sheet'!$B$8:$AL$500,23,0),"")</f>
        <v/>
      </c>
      <c r="N157" s="18" t="str">
        <f>IF($B157&lt;&gt;"",VLOOKUP($B157,'Planning Sheet'!$B$8:$AL$500,25,0),"")</f>
        <v/>
      </c>
      <c r="O157" s="18" t="str">
        <f>IF($B157&lt;&gt;"",VLOOKUP($B157,'Planning Sheet'!$B$8:$AL$500,26,0),"")</f>
        <v/>
      </c>
      <c r="P157" s="19" t="str">
        <f>IF($B157&lt;&gt;"",VLOOKUP($B157,'Planning Sheet'!$B$8:$AL$500,27,0),"")</f>
        <v/>
      </c>
      <c r="Q157" s="19" t="str">
        <f>IF($B157&lt;&gt;"",VLOOKUP($B157,'Planning Sheet'!$B$8:$AL$500,34,0),"")</f>
        <v/>
      </c>
      <c r="R157" s="19" t="str">
        <f>IF($B157&lt;&gt;"",VLOOKUP($B157,'Planning Sheet'!$B$8:$AL$500,36,0),"")</f>
        <v/>
      </c>
      <c r="S157" s="19" t="str">
        <f>IF($B157&lt;&gt;"",VLOOKUP($B157,'Planning Sheet'!$B$8:$AM$500,38,0),"")</f>
        <v/>
      </c>
      <c r="T157" s="18" t="str">
        <f t="shared" si="5"/>
        <v/>
      </c>
      <c r="U157" s="100" t="str">
        <f t="shared" si="4"/>
        <v/>
      </c>
      <c r="Y157" s="48" t="str">
        <f ca="1">IF(AND('Planning Sheet'!$AT162='Weeks Plan'!$D$6,'Planning Sheet'!$AN162='Weeks Plan'!$G$6),'Planning Sheet'!$B162,"")</f>
        <v/>
      </c>
      <c r="Z157" s="48" t="str">
        <f ca="1">IF(AND('Planning Sheet'!$AT162='Weeks Plan'!$D$6,'Planning Sheet'!$AN162='Weeks Plan'!$G$6),'Planning Sheet'!$AO162,"")</f>
        <v/>
      </c>
      <c r="AA157" s="48" t="str">
        <f ca="1">IF(AND('Planning Sheet'!$AT162='Weeks Plan'!$D$6,'Planning Sheet'!$AN162='Weeks Plan'!$G$6),'Planning Sheet'!AP162,"")</f>
        <v/>
      </c>
    </row>
    <row r="158" spans="2:27" x14ac:dyDescent="0.3">
      <c r="B158" s="11"/>
      <c r="C158" s="75" t="str">
        <f>IF($B158&lt;&gt;"",VLOOKUP($B158,'Planning Sheet'!$B$8:$AL$500,3,0),"")</f>
        <v/>
      </c>
      <c r="D158" s="18" t="str">
        <f>IF($B158&lt;&gt;"",VLOOKUP($B158,'Planning Sheet'!$B$8:$AL$500,5,0),"")</f>
        <v/>
      </c>
      <c r="E158" s="18" t="str">
        <f>IF($B158&lt;&gt;"",VLOOKUP($B158,'Planning Sheet'!$B$8:$AL$500,7,0),"")</f>
        <v/>
      </c>
      <c r="F158" s="18" t="str">
        <f>IF($B158&lt;&gt;"",VLOOKUP($B158,'Planning Sheet'!$B$8:$AL$500,9,0),"")</f>
        <v/>
      </c>
      <c r="G158" s="18" t="str">
        <f>IF($B158&lt;&gt;"",VLOOKUP($B158,'Planning Sheet'!$B$8:$AL$500,11,0),"")</f>
        <v/>
      </c>
      <c r="H158" s="18" t="str">
        <f>IF($B158&lt;&gt;"",VLOOKUP($B158,'Planning Sheet'!$B$8:$AL$500,13,0),"")</f>
        <v/>
      </c>
      <c r="I158" s="18" t="str">
        <f>IF($B158&lt;&gt;"",VLOOKUP($B158,'Planning Sheet'!$B$8:$AL$500,15,0),"")</f>
        <v/>
      </c>
      <c r="J158" s="18" t="str">
        <f>IF($B158&lt;&gt;"",VLOOKUP($B158,'Planning Sheet'!$B$8:$AL$500,17,0),"")</f>
        <v/>
      </c>
      <c r="K158" s="18" t="str">
        <f>IF($B158&lt;&gt;"",VLOOKUP($B158,'Planning Sheet'!$B$8:$AL$500,19,0),"")</f>
        <v/>
      </c>
      <c r="L158" s="18" t="str">
        <f>IF($B158&lt;&gt;"",VLOOKUP($B158,'Planning Sheet'!$B$8:$AL$500,21,0),"")</f>
        <v/>
      </c>
      <c r="M158" s="18" t="str">
        <f>IF($B158&lt;&gt;"",VLOOKUP($B158,'Planning Sheet'!$B$8:$AL$500,23,0),"")</f>
        <v/>
      </c>
      <c r="N158" s="18" t="str">
        <f>IF($B158&lt;&gt;"",VLOOKUP($B158,'Planning Sheet'!$B$8:$AL$500,25,0),"")</f>
        <v/>
      </c>
      <c r="O158" s="18" t="str">
        <f>IF($B158&lt;&gt;"",VLOOKUP($B158,'Planning Sheet'!$B$8:$AL$500,26,0),"")</f>
        <v/>
      </c>
      <c r="P158" s="19" t="str">
        <f>IF($B158&lt;&gt;"",VLOOKUP($B158,'Planning Sheet'!$B$8:$AL$500,27,0),"")</f>
        <v/>
      </c>
      <c r="Q158" s="19" t="str">
        <f>IF($B158&lt;&gt;"",VLOOKUP($B158,'Planning Sheet'!$B$8:$AL$500,34,0),"")</f>
        <v/>
      </c>
      <c r="R158" s="19" t="str">
        <f>IF($B158&lt;&gt;"",VLOOKUP($B158,'Planning Sheet'!$B$8:$AL$500,36,0),"")</f>
        <v/>
      </c>
      <c r="S158" s="19" t="str">
        <f>IF($B158&lt;&gt;"",VLOOKUP($B158,'Planning Sheet'!$B$8:$AM$500,38,0),"")</f>
        <v/>
      </c>
      <c r="T158" s="18" t="str">
        <f t="shared" si="5"/>
        <v/>
      </c>
      <c r="U158" s="100" t="str">
        <f t="shared" si="4"/>
        <v/>
      </c>
      <c r="Y158" s="48" t="str">
        <f ca="1">IF(AND('Planning Sheet'!$AT163='Weeks Plan'!$D$6,'Planning Sheet'!$AN163='Weeks Plan'!$G$6),'Planning Sheet'!$B163,"")</f>
        <v/>
      </c>
      <c r="Z158" s="48" t="str">
        <f ca="1">IF(AND('Planning Sheet'!$AT163='Weeks Plan'!$D$6,'Planning Sheet'!$AN163='Weeks Plan'!$G$6),'Planning Sheet'!$AO163,"")</f>
        <v/>
      </c>
      <c r="AA158" s="48" t="str">
        <f ca="1">IF(AND('Planning Sheet'!$AT163='Weeks Plan'!$D$6,'Planning Sheet'!$AN163='Weeks Plan'!$G$6),'Planning Sheet'!AP163,"")</f>
        <v/>
      </c>
    </row>
    <row r="159" spans="2:27" x14ac:dyDescent="0.3">
      <c r="B159" s="11"/>
      <c r="C159" s="75" t="str">
        <f>IF($B159&lt;&gt;"",VLOOKUP($B159,'Planning Sheet'!$B$8:$AL$500,3,0),"")</f>
        <v/>
      </c>
      <c r="D159" s="18" t="str">
        <f>IF($B159&lt;&gt;"",VLOOKUP($B159,'Planning Sheet'!$B$8:$AL$500,5,0),"")</f>
        <v/>
      </c>
      <c r="E159" s="18" t="str">
        <f>IF($B159&lt;&gt;"",VLOOKUP($B159,'Planning Sheet'!$B$8:$AL$500,7,0),"")</f>
        <v/>
      </c>
      <c r="F159" s="18" t="str">
        <f>IF($B159&lt;&gt;"",VLOOKUP($B159,'Planning Sheet'!$B$8:$AL$500,9,0),"")</f>
        <v/>
      </c>
      <c r="G159" s="18" t="str">
        <f>IF($B159&lt;&gt;"",VLOOKUP($B159,'Planning Sheet'!$B$8:$AL$500,11,0),"")</f>
        <v/>
      </c>
      <c r="H159" s="18" t="str">
        <f>IF($B159&lt;&gt;"",VLOOKUP($B159,'Planning Sheet'!$B$8:$AL$500,13,0),"")</f>
        <v/>
      </c>
      <c r="I159" s="18" t="str">
        <f>IF($B159&lt;&gt;"",VLOOKUP($B159,'Planning Sheet'!$B$8:$AL$500,15,0),"")</f>
        <v/>
      </c>
      <c r="J159" s="18" t="str">
        <f>IF($B159&lt;&gt;"",VLOOKUP($B159,'Planning Sheet'!$B$8:$AL$500,17,0),"")</f>
        <v/>
      </c>
      <c r="K159" s="18" t="str">
        <f>IF($B159&lt;&gt;"",VLOOKUP($B159,'Planning Sheet'!$B$8:$AL$500,19,0),"")</f>
        <v/>
      </c>
      <c r="L159" s="18" t="str">
        <f>IF($B159&lt;&gt;"",VLOOKUP($B159,'Planning Sheet'!$B$8:$AL$500,21,0),"")</f>
        <v/>
      </c>
      <c r="M159" s="18" t="str">
        <f>IF($B159&lt;&gt;"",VLOOKUP($B159,'Planning Sheet'!$B$8:$AL$500,23,0),"")</f>
        <v/>
      </c>
      <c r="N159" s="18" t="str">
        <f>IF($B159&lt;&gt;"",VLOOKUP($B159,'Planning Sheet'!$B$8:$AL$500,25,0),"")</f>
        <v/>
      </c>
      <c r="O159" s="18" t="str">
        <f>IF($B159&lt;&gt;"",VLOOKUP($B159,'Planning Sheet'!$B$8:$AL$500,26,0),"")</f>
        <v/>
      </c>
      <c r="P159" s="19" t="str">
        <f>IF($B159&lt;&gt;"",VLOOKUP($B159,'Planning Sheet'!$B$8:$AL$500,27,0),"")</f>
        <v/>
      </c>
      <c r="Q159" s="19" t="str">
        <f>IF($B159&lt;&gt;"",VLOOKUP($B159,'Planning Sheet'!$B$8:$AL$500,34,0),"")</f>
        <v/>
      </c>
      <c r="R159" s="19" t="str">
        <f>IF($B159&lt;&gt;"",VLOOKUP($B159,'Planning Sheet'!$B$8:$AL$500,36,0),"")</f>
        <v/>
      </c>
      <c r="S159" s="19" t="str">
        <f>IF($B159&lt;&gt;"",VLOOKUP($B159,'Planning Sheet'!$B$8:$AM$500,38,0),"")</f>
        <v/>
      </c>
      <c r="T159" s="18" t="str">
        <f t="shared" si="5"/>
        <v/>
      </c>
      <c r="U159" s="100" t="str">
        <f t="shared" si="4"/>
        <v/>
      </c>
      <c r="Y159" s="48" t="str">
        <f ca="1">IF(AND('Planning Sheet'!$AT164='Weeks Plan'!$D$6,'Planning Sheet'!$AN164='Weeks Plan'!$G$6),'Planning Sheet'!$B164,"")</f>
        <v/>
      </c>
      <c r="Z159" s="48" t="str">
        <f ca="1">IF(AND('Planning Sheet'!$AT164='Weeks Plan'!$D$6,'Planning Sheet'!$AN164='Weeks Plan'!$G$6),'Planning Sheet'!$AO164,"")</f>
        <v/>
      </c>
      <c r="AA159" s="48" t="str">
        <f ca="1">IF(AND('Planning Sheet'!$AT164='Weeks Plan'!$D$6,'Planning Sheet'!$AN164='Weeks Plan'!$G$6),'Planning Sheet'!AP164,"")</f>
        <v/>
      </c>
    </row>
    <row r="160" spans="2:27" x14ac:dyDescent="0.3">
      <c r="B160" s="11"/>
      <c r="C160" s="75" t="str">
        <f>IF($B160&lt;&gt;"",VLOOKUP($B160,'Planning Sheet'!$B$8:$AL$500,3,0),"")</f>
        <v/>
      </c>
      <c r="D160" s="18" t="str">
        <f>IF($B160&lt;&gt;"",VLOOKUP($B160,'Planning Sheet'!$B$8:$AL$500,5,0),"")</f>
        <v/>
      </c>
      <c r="E160" s="18" t="str">
        <f>IF($B160&lt;&gt;"",VLOOKUP($B160,'Planning Sheet'!$B$8:$AL$500,7,0),"")</f>
        <v/>
      </c>
      <c r="F160" s="18" t="str">
        <f>IF($B160&lt;&gt;"",VLOOKUP($B160,'Planning Sheet'!$B$8:$AL$500,9,0),"")</f>
        <v/>
      </c>
      <c r="G160" s="18" t="str">
        <f>IF($B160&lt;&gt;"",VLOOKUP($B160,'Planning Sheet'!$B$8:$AL$500,11,0),"")</f>
        <v/>
      </c>
      <c r="H160" s="18" t="str">
        <f>IF($B160&lt;&gt;"",VLOOKUP($B160,'Planning Sheet'!$B$8:$AL$500,13,0),"")</f>
        <v/>
      </c>
      <c r="I160" s="18" t="str">
        <f>IF($B160&lt;&gt;"",VLOOKUP($B160,'Planning Sheet'!$B$8:$AL$500,15,0),"")</f>
        <v/>
      </c>
      <c r="J160" s="18" t="str">
        <f>IF($B160&lt;&gt;"",VLOOKUP($B160,'Planning Sheet'!$B$8:$AL$500,17,0),"")</f>
        <v/>
      </c>
      <c r="K160" s="18" t="str">
        <f>IF($B160&lt;&gt;"",VLOOKUP($B160,'Planning Sheet'!$B$8:$AL$500,19,0),"")</f>
        <v/>
      </c>
      <c r="L160" s="18" t="str">
        <f>IF($B160&lt;&gt;"",VLOOKUP($B160,'Planning Sheet'!$B$8:$AL$500,21,0),"")</f>
        <v/>
      </c>
      <c r="M160" s="18" t="str">
        <f>IF($B160&lt;&gt;"",VLOOKUP($B160,'Planning Sheet'!$B$8:$AL$500,23,0),"")</f>
        <v/>
      </c>
      <c r="N160" s="18" t="str">
        <f>IF($B160&lt;&gt;"",VLOOKUP($B160,'Planning Sheet'!$B$8:$AL$500,25,0),"")</f>
        <v/>
      </c>
      <c r="O160" s="18" t="str">
        <f>IF($B160&lt;&gt;"",VLOOKUP($B160,'Planning Sheet'!$B$8:$AL$500,26,0),"")</f>
        <v/>
      </c>
      <c r="P160" s="19" t="str">
        <f>IF($B160&lt;&gt;"",VLOOKUP($B160,'Planning Sheet'!$B$8:$AL$500,27,0),"")</f>
        <v/>
      </c>
      <c r="Q160" s="19" t="str">
        <f>IF($B160&lt;&gt;"",VLOOKUP($B160,'Planning Sheet'!$B$8:$AL$500,34,0),"")</f>
        <v/>
      </c>
      <c r="R160" s="19" t="str">
        <f>IF($B160&lt;&gt;"",VLOOKUP($B160,'Planning Sheet'!$B$8:$AL$500,36,0),"")</f>
        <v/>
      </c>
      <c r="S160" s="19" t="str">
        <f>IF($B160&lt;&gt;"",VLOOKUP($B160,'Planning Sheet'!$B$8:$AM$500,38,0),"")</f>
        <v/>
      </c>
      <c r="T160" s="18" t="str">
        <f t="shared" si="5"/>
        <v/>
      </c>
      <c r="U160" s="100" t="str">
        <f t="shared" si="4"/>
        <v/>
      </c>
      <c r="Y160" s="48" t="str">
        <f ca="1">IF(AND('Planning Sheet'!$AT165='Weeks Plan'!$D$6,'Planning Sheet'!$AN165='Weeks Plan'!$G$6),'Planning Sheet'!$B165,"")</f>
        <v/>
      </c>
      <c r="Z160" s="48" t="str">
        <f ca="1">IF(AND('Planning Sheet'!$AT165='Weeks Plan'!$D$6,'Planning Sheet'!$AN165='Weeks Plan'!$G$6),'Planning Sheet'!$AO165,"")</f>
        <v/>
      </c>
      <c r="AA160" s="48" t="str">
        <f ca="1">IF(AND('Planning Sheet'!$AT165='Weeks Plan'!$D$6,'Planning Sheet'!$AN165='Weeks Plan'!$G$6),'Planning Sheet'!AP165,"")</f>
        <v/>
      </c>
    </row>
    <row r="161" spans="2:27" x14ac:dyDescent="0.3">
      <c r="B161" s="11"/>
      <c r="C161" s="75" t="str">
        <f>IF($B161&lt;&gt;"",VLOOKUP($B161,'Planning Sheet'!$B$8:$AL$500,3,0),"")</f>
        <v/>
      </c>
      <c r="D161" s="18" t="str">
        <f>IF($B161&lt;&gt;"",VLOOKUP($B161,'Planning Sheet'!$B$8:$AL$500,5,0),"")</f>
        <v/>
      </c>
      <c r="E161" s="18" t="str">
        <f>IF($B161&lt;&gt;"",VLOOKUP($B161,'Planning Sheet'!$B$8:$AL$500,7,0),"")</f>
        <v/>
      </c>
      <c r="F161" s="18" t="str">
        <f>IF($B161&lt;&gt;"",VLOOKUP($B161,'Planning Sheet'!$B$8:$AL$500,9,0),"")</f>
        <v/>
      </c>
      <c r="G161" s="18" t="str">
        <f>IF($B161&lt;&gt;"",VLOOKUP($B161,'Planning Sheet'!$B$8:$AL$500,11,0),"")</f>
        <v/>
      </c>
      <c r="H161" s="18" t="str">
        <f>IF($B161&lt;&gt;"",VLOOKUP($B161,'Planning Sheet'!$B$8:$AL$500,13,0),"")</f>
        <v/>
      </c>
      <c r="I161" s="18" t="str">
        <f>IF($B161&lt;&gt;"",VLOOKUP($B161,'Planning Sheet'!$B$8:$AL$500,15,0),"")</f>
        <v/>
      </c>
      <c r="J161" s="18" t="str">
        <f>IF($B161&lt;&gt;"",VLOOKUP($B161,'Planning Sheet'!$B$8:$AL$500,17,0),"")</f>
        <v/>
      </c>
      <c r="K161" s="18" t="str">
        <f>IF($B161&lt;&gt;"",VLOOKUP($B161,'Planning Sheet'!$B$8:$AL$500,19,0),"")</f>
        <v/>
      </c>
      <c r="L161" s="18" t="str">
        <f>IF($B161&lt;&gt;"",VLOOKUP($B161,'Planning Sheet'!$B$8:$AL$500,21,0),"")</f>
        <v/>
      </c>
      <c r="M161" s="18" t="str">
        <f>IF($B161&lt;&gt;"",VLOOKUP($B161,'Planning Sheet'!$B$8:$AL$500,23,0),"")</f>
        <v/>
      </c>
      <c r="N161" s="18" t="str">
        <f>IF($B161&lt;&gt;"",VLOOKUP($B161,'Planning Sheet'!$B$8:$AL$500,25,0),"")</f>
        <v/>
      </c>
      <c r="O161" s="18" t="str">
        <f>IF($B161&lt;&gt;"",VLOOKUP($B161,'Planning Sheet'!$B$8:$AL$500,26,0),"")</f>
        <v/>
      </c>
      <c r="P161" s="19" t="str">
        <f>IF($B161&lt;&gt;"",VLOOKUP($B161,'Planning Sheet'!$B$8:$AL$500,27,0),"")</f>
        <v/>
      </c>
      <c r="Q161" s="19" t="str">
        <f>IF($B161&lt;&gt;"",VLOOKUP($B161,'Planning Sheet'!$B$8:$AL$500,34,0),"")</f>
        <v/>
      </c>
      <c r="R161" s="19" t="str">
        <f>IF($B161&lt;&gt;"",VLOOKUP($B161,'Planning Sheet'!$B$8:$AL$500,36,0),"")</f>
        <v/>
      </c>
      <c r="S161" s="19" t="str">
        <f>IF($B161&lt;&gt;"",VLOOKUP($B161,'Planning Sheet'!$B$8:$AM$500,38,0),"")</f>
        <v/>
      </c>
      <c r="T161" s="18" t="str">
        <f t="shared" si="5"/>
        <v/>
      </c>
      <c r="U161" s="100" t="str">
        <f t="shared" si="4"/>
        <v/>
      </c>
      <c r="Y161" s="48" t="str">
        <f ca="1">IF(AND('Planning Sheet'!$AT166='Weeks Plan'!$D$6,'Planning Sheet'!$AN166='Weeks Plan'!$G$6),'Planning Sheet'!$B166,"")</f>
        <v/>
      </c>
      <c r="Z161" s="48" t="str">
        <f ca="1">IF(AND('Planning Sheet'!$AT166='Weeks Plan'!$D$6,'Planning Sheet'!$AN166='Weeks Plan'!$G$6),'Planning Sheet'!$AO166,"")</f>
        <v/>
      </c>
      <c r="AA161" s="48" t="str">
        <f ca="1">IF(AND('Planning Sheet'!$AT166='Weeks Plan'!$D$6,'Planning Sheet'!$AN166='Weeks Plan'!$G$6),'Planning Sheet'!AP166,"")</f>
        <v/>
      </c>
    </row>
    <row r="162" spans="2:27" x14ac:dyDescent="0.3">
      <c r="B162" s="11"/>
      <c r="C162" s="75" t="str">
        <f>IF($B162&lt;&gt;"",VLOOKUP($B162,'Planning Sheet'!$B$8:$AL$500,3,0),"")</f>
        <v/>
      </c>
      <c r="D162" s="18" t="str">
        <f>IF($B162&lt;&gt;"",VLOOKUP($B162,'Planning Sheet'!$B$8:$AL$500,5,0),"")</f>
        <v/>
      </c>
      <c r="E162" s="18" t="str">
        <f>IF($B162&lt;&gt;"",VLOOKUP($B162,'Planning Sheet'!$B$8:$AL$500,7,0),"")</f>
        <v/>
      </c>
      <c r="F162" s="18" t="str">
        <f>IF($B162&lt;&gt;"",VLOOKUP($B162,'Planning Sheet'!$B$8:$AL$500,9,0),"")</f>
        <v/>
      </c>
      <c r="G162" s="18" t="str">
        <f>IF($B162&lt;&gt;"",VLOOKUP($B162,'Planning Sheet'!$B$8:$AL$500,11,0),"")</f>
        <v/>
      </c>
      <c r="H162" s="18" t="str">
        <f>IF($B162&lt;&gt;"",VLOOKUP($B162,'Planning Sheet'!$B$8:$AL$500,13,0),"")</f>
        <v/>
      </c>
      <c r="I162" s="18" t="str">
        <f>IF($B162&lt;&gt;"",VLOOKUP($B162,'Planning Sheet'!$B$8:$AL$500,15,0),"")</f>
        <v/>
      </c>
      <c r="J162" s="18" t="str">
        <f>IF($B162&lt;&gt;"",VLOOKUP($B162,'Planning Sheet'!$B$8:$AL$500,17,0),"")</f>
        <v/>
      </c>
      <c r="K162" s="18" t="str">
        <f>IF($B162&lt;&gt;"",VLOOKUP($B162,'Planning Sheet'!$B$8:$AL$500,19,0),"")</f>
        <v/>
      </c>
      <c r="L162" s="18" t="str">
        <f>IF($B162&lt;&gt;"",VLOOKUP($B162,'Planning Sheet'!$B$8:$AL$500,21,0),"")</f>
        <v/>
      </c>
      <c r="M162" s="18" t="str">
        <f>IF($B162&lt;&gt;"",VLOOKUP($B162,'Planning Sheet'!$B$8:$AL$500,23,0),"")</f>
        <v/>
      </c>
      <c r="N162" s="18" t="str">
        <f>IF($B162&lt;&gt;"",VLOOKUP($B162,'Planning Sheet'!$B$8:$AL$500,25,0),"")</f>
        <v/>
      </c>
      <c r="O162" s="18" t="str">
        <f>IF($B162&lt;&gt;"",VLOOKUP($B162,'Planning Sheet'!$B$8:$AL$500,26,0),"")</f>
        <v/>
      </c>
      <c r="P162" s="19" t="str">
        <f>IF($B162&lt;&gt;"",VLOOKUP($B162,'Planning Sheet'!$B$8:$AL$500,27,0),"")</f>
        <v/>
      </c>
      <c r="Q162" s="19" t="str">
        <f>IF($B162&lt;&gt;"",VLOOKUP($B162,'Planning Sheet'!$B$8:$AL$500,34,0),"")</f>
        <v/>
      </c>
      <c r="R162" s="19" t="str">
        <f>IF($B162&lt;&gt;"",VLOOKUP($B162,'Planning Sheet'!$B$8:$AL$500,36,0),"")</f>
        <v/>
      </c>
      <c r="S162" s="19" t="str">
        <f>IF($B162&lt;&gt;"",VLOOKUP($B162,'Planning Sheet'!$B$8:$AM$500,38,0),"")</f>
        <v/>
      </c>
      <c r="T162" s="18" t="str">
        <f t="shared" si="5"/>
        <v/>
      </c>
      <c r="U162" s="100" t="str">
        <f t="shared" si="4"/>
        <v/>
      </c>
      <c r="Y162" s="48" t="str">
        <f ca="1">IF(AND('Planning Sheet'!$AT167='Weeks Plan'!$D$6,'Planning Sheet'!$AN167='Weeks Plan'!$G$6),'Planning Sheet'!$B167,"")</f>
        <v/>
      </c>
      <c r="Z162" s="48" t="str">
        <f ca="1">IF(AND('Planning Sheet'!$AT167='Weeks Plan'!$D$6,'Planning Sheet'!$AN167='Weeks Plan'!$G$6),'Planning Sheet'!$AO167,"")</f>
        <v/>
      </c>
      <c r="AA162" s="48" t="str">
        <f ca="1">IF(AND('Planning Sheet'!$AT167='Weeks Plan'!$D$6,'Planning Sheet'!$AN167='Weeks Plan'!$G$6),'Planning Sheet'!AP167,"")</f>
        <v/>
      </c>
    </row>
    <row r="163" spans="2:27" x14ac:dyDescent="0.3">
      <c r="B163" s="11"/>
      <c r="C163" s="75" t="str">
        <f>IF($B163&lt;&gt;"",VLOOKUP($B163,'Planning Sheet'!$B$8:$AL$500,3,0),"")</f>
        <v/>
      </c>
      <c r="D163" s="18" t="str">
        <f>IF($B163&lt;&gt;"",VLOOKUP($B163,'Planning Sheet'!$B$8:$AL$500,5,0),"")</f>
        <v/>
      </c>
      <c r="E163" s="18" t="str">
        <f>IF($B163&lt;&gt;"",VLOOKUP($B163,'Planning Sheet'!$B$8:$AL$500,7,0),"")</f>
        <v/>
      </c>
      <c r="F163" s="18" t="str">
        <f>IF($B163&lt;&gt;"",VLOOKUP($B163,'Planning Sheet'!$B$8:$AL$500,9,0),"")</f>
        <v/>
      </c>
      <c r="G163" s="18" t="str">
        <f>IF($B163&lt;&gt;"",VLOOKUP($B163,'Planning Sheet'!$B$8:$AL$500,11,0),"")</f>
        <v/>
      </c>
      <c r="H163" s="18" t="str">
        <f>IF($B163&lt;&gt;"",VLOOKUP($B163,'Planning Sheet'!$B$8:$AL$500,13,0),"")</f>
        <v/>
      </c>
      <c r="I163" s="18" t="str">
        <f>IF($B163&lt;&gt;"",VLOOKUP($B163,'Planning Sheet'!$B$8:$AL$500,15,0),"")</f>
        <v/>
      </c>
      <c r="J163" s="18" t="str">
        <f>IF($B163&lt;&gt;"",VLOOKUP($B163,'Planning Sheet'!$B$8:$AL$500,17,0),"")</f>
        <v/>
      </c>
      <c r="K163" s="18" t="str">
        <f>IF($B163&lt;&gt;"",VLOOKUP($B163,'Planning Sheet'!$B$8:$AL$500,19,0),"")</f>
        <v/>
      </c>
      <c r="L163" s="18" t="str">
        <f>IF($B163&lt;&gt;"",VLOOKUP($B163,'Planning Sheet'!$B$8:$AL$500,21,0),"")</f>
        <v/>
      </c>
      <c r="M163" s="18" t="str">
        <f>IF($B163&lt;&gt;"",VLOOKUP($B163,'Planning Sheet'!$B$8:$AL$500,23,0),"")</f>
        <v/>
      </c>
      <c r="N163" s="18" t="str">
        <f>IF($B163&lt;&gt;"",VLOOKUP($B163,'Planning Sheet'!$B$8:$AL$500,25,0),"")</f>
        <v/>
      </c>
      <c r="O163" s="18" t="str">
        <f>IF($B163&lt;&gt;"",VLOOKUP($B163,'Planning Sheet'!$B$8:$AL$500,26,0),"")</f>
        <v/>
      </c>
      <c r="P163" s="19" t="str">
        <f>IF($B163&lt;&gt;"",VLOOKUP($B163,'Planning Sheet'!$B$8:$AL$500,27,0),"")</f>
        <v/>
      </c>
      <c r="Q163" s="19" t="str">
        <f>IF($B163&lt;&gt;"",VLOOKUP($B163,'Planning Sheet'!$B$8:$AL$500,34,0),"")</f>
        <v/>
      </c>
      <c r="R163" s="19" t="str">
        <f>IF($B163&lt;&gt;"",VLOOKUP($B163,'Planning Sheet'!$B$8:$AL$500,36,0),"")</f>
        <v/>
      </c>
      <c r="S163" s="19" t="str">
        <f>IF($B163&lt;&gt;"",VLOOKUP($B163,'Planning Sheet'!$B$8:$AM$500,38,0),"")</f>
        <v/>
      </c>
      <c r="T163" s="18" t="str">
        <f t="shared" si="5"/>
        <v/>
      </c>
      <c r="U163" s="100" t="str">
        <f t="shared" si="4"/>
        <v/>
      </c>
      <c r="Y163" s="48" t="str">
        <f ca="1">IF(AND('Planning Sheet'!$AT168='Weeks Plan'!$D$6,'Planning Sheet'!$AN168='Weeks Plan'!$G$6),'Planning Sheet'!$B168,"")</f>
        <v/>
      </c>
      <c r="Z163" s="48" t="str">
        <f ca="1">IF(AND('Planning Sheet'!$AT168='Weeks Plan'!$D$6,'Planning Sheet'!$AN168='Weeks Plan'!$G$6),'Planning Sheet'!$AO168,"")</f>
        <v/>
      </c>
      <c r="AA163" s="48" t="str">
        <f ca="1">IF(AND('Planning Sheet'!$AT168='Weeks Plan'!$D$6,'Planning Sheet'!$AN168='Weeks Plan'!$G$6),'Planning Sheet'!AP168,"")</f>
        <v/>
      </c>
    </row>
    <row r="164" spans="2:27" x14ac:dyDescent="0.3">
      <c r="B164" s="11"/>
      <c r="C164" s="75" t="str">
        <f>IF($B164&lt;&gt;"",VLOOKUP($B164,'Planning Sheet'!$B$8:$AL$500,3,0),"")</f>
        <v/>
      </c>
      <c r="D164" s="18" t="str">
        <f>IF($B164&lt;&gt;"",VLOOKUP($B164,'Planning Sheet'!$B$8:$AL$500,5,0),"")</f>
        <v/>
      </c>
      <c r="E164" s="18" t="str">
        <f>IF($B164&lt;&gt;"",VLOOKUP($B164,'Planning Sheet'!$B$8:$AL$500,7,0),"")</f>
        <v/>
      </c>
      <c r="F164" s="18" t="str">
        <f>IF($B164&lt;&gt;"",VLOOKUP($B164,'Planning Sheet'!$B$8:$AL$500,9,0),"")</f>
        <v/>
      </c>
      <c r="G164" s="18" t="str">
        <f>IF($B164&lt;&gt;"",VLOOKUP($B164,'Planning Sheet'!$B$8:$AL$500,11,0),"")</f>
        <v/>
      </c>
      <c r="H164" s="18" t="str">
        <f>IF($B164&lt;&gt;"",VLOOKUP($B164,'Planning Sheet'!$B$8:$AL$500,13,0),"")</f>
        <v/>
      </c>
      <c r="I164" s="18" t="str">
        <f>IF($B164&lt;&gt;"",VLOOKUP($B164,'Planning Sheet'!$B$8:$AL$500,15,0),"")</f>
        <v/>
      </c>
      <c r="J164" s="18" t="str">
        <f>IF($B164&lt;&gt;"",VLOOKUP($B164,'Planning Sheet'!$B$8:$AL$500,17,0),"")</f>
        <v/>
      </c>
      <c r="K164" s="18" t="str">
        <f>IF($B164&lt;&gt;"",VLOOKUP($B164,'Planning Sheet'!$B$8:$AL$500,19,0),"")</f>
        <v/>
      </c>
      <c r="L164" s="18" t="str">
        <f>IF($B164&lt;&gt;"",VLOOKUP($B164,'Planning Sheet'!$B$8:$AL$500,21,0),"")</f>
        <v/>
      </c>
      <c r="M164" s="18" t="str">
        <f>IF($B164&lt;&gt;"",VLOOKUP($B164,'Planning Sheet'!$B$8:$AL$500,23,0),"")</f>
        <v/>
      </c>
      <c r="N164" s="18" t="str">
        <f>IF($B164&lt;&gt;"",VLOOKUP($B164,'Planning Sheet'!$B$8:$AL$500,25,0),"")</f>
        <v/>
      </c>
      <c r="O164" s="18" t="str">
        <f>IF($B164&lt;&gt;"",VLOOKUP($B164,'Planning Sheet'!$B$8:$AL$500,26,0),"")</f>
        <v/>
      </c>
      <c r="P164" s="19" t="str">
        <f>IF($B164&lt;&gt;"",VLOOKUP($B164,'Planning Sheet'!$B$8:$AL$500,27,0),"")</f>
        <v/>
      </c>
      <c r="Q164" s="19" t="str">
        <f>IF($B164&lt;&gt;"",VLOOKUP($B164,'Planning Sheet'!$B$8:$AL$500,34,0),"")</f>
        <v/>
      </c>
      <c r="R164" s="19" t="str">
        <f>IF($B164&lt;&gt;"",VLOOKUP($B164,'Planning Sheet'!$B$8:$AL$500,36,0),"")</f>
        <v/>
      </c>
      <c r="S164" s="19" t="str">
        <f>IF($B164&lt;&gt;"",VLOOKUP($B164,'Planning Sheet'!$B$8:$AM$500,38,0),"")</f>
        <v/>
      </c>
      <c r="T164" s="18" t="str">
        <f t="shared" si="5"/>
        <v/>
      </c>
      <c r="U164" s="100" t="str">
        <f t="shared" si="4"/>
        <v/>
      </c>
      <c r="Y164" s="48" t="str">
        <f ca="1">IF(AND('Planning Sheet'!$AT169='Weeks Plan'!$D$6,'Planning Sheet'!$AN169='Weeks Plan'!$G$6),'Planning Sheet'!$B169,"")</f>
        <v/>
      </c>
      <c r="Z164" s="48" t="str">
        <f ca="1">IF(AND('Planning Sheet'!$AT169='Weeks Plan'!$D$6,'Planning Sheet'!$AN169='Weeks Plan'!$G$6),'Planning Sheet'!$AO169,"")</f>
        <v/>
      </c>
      <c r="AA164" s="48" t="str">
        <f ca="1">IF(AND('Planning Sheet'!$AT169='Weeks Plan'!$D$6,'Planning Sheet'!$AN169='Weeks Plan'!$G$6),'Planning Sheet'!AP169,"")</f>
        <v/>
      </c>
    </row>
    <row r="165" spans="2:27" x14ac:dyDescent="0.3">
      <c r="B165" s="11"/>
      <c r="C165" s="75" t="str">
        <f>IF($B165&lt;&gt;"",VLOOKUP($B165,'Planning Sheet'!$B$8:$AL$500,3,0),"")</f>
        <v/>
      </c>
      <c r="D165" s="18" t="str">
        <f>IF($B165&lt;&gt;"",VLOOKUP($B165,'Planning Sheet'!$B$8:$AL$500,5,0),"")</f>
        <v/>
      </c>
      <c r="E165" s="18" t="str">
        <f>IF($B165&lt;&gt;"",VLOOKUP($B165,'Planning Sheet'!$B$8:$AL$500,7,0),"")</f>
        <v/>
      </c>
      <c r="F165" s="18" t="str">
        <f>IF($B165&lt;&gt;"",VLOOKUP($B165,'Planning Sheet'!$B$8:$AL$500,9,0),"")</f>
        <v/>
      </c>
      <c r="G165" s="18" t="str">
        <f>IF($B165&lt;&gt;"",VLOOKUP($B165,'Planning Sheet'!$B$8:$AL$500,11,0),"")</f>
        <v/>
      </c>
      <c r="H165" s="18" t="str">
        <f>IF($B165&lt;&gt;"",VLOOKUP($B165,'Planning Sheet'!$B$8:$AL$500,13,0),"")</f>
        <v/>
      </c>
      <c r="I165" s="18" t="str">
        <f>IF($B165&lt;&gt;"",VLOOKUP($B165,'Planning Sheet'!$B$8:$AL$500,15,0),"")</f>
        <v/>
      </c>
      <c r="J165" s="18" t="str">
        <f>IF($B165&lt;&gt;"",VLOOKUP($B165,'Planning Sheet'!$B$8:$AL$500,17,0),"")</f>
        <v/>
      </c>
      <c r="K165" s="18" t="str">
        <f>IF($B165&lt;&gt;"",VLOOKUP($B165,'Planning Sheet'!$B$8:$AL$500,19,0),"")</f>
        <v/>
      </c>
      <c r="L165" s="18" t="str">
        <f>IF($B165&lt;&gt;"",VLOOKUP($B165,'Planning Sheet'!$B$8:$AL$500,21,0),"")</f>
        <v/>
      </c>
      <c r="M165" s="18" t="str">
        <f>IF($B165&lt;&gt;"",VLOOKUP($B165,'Planning Sheet'!$B$8:$AL$500,23,0),"")</f>
        <v/>
      </c>
      <c r="N165" s="18" t="str">
        <f>IF($B165&lt;&gt;"",VLOOKUP($B165,'Planning Sheet'!$B$8:$AL$500,25,0),"")</f>
        <v/>
      </c>
      <c r="O165" s="18" t="str">
        <f>IF($B165&lt;&gt;"",VLOOKUP($B165,'Planning Sheet'!$B$8:$AL$500,26,0),"")</f>
        <v/>
      </c>
      <c r="P165" s="19" t="str">
        <f>IF($B165&lt;&gt;"",VLOOKUP($B165,'Planning Sheet'!$B$8:$AL$500,27,0),"")</f>
        <v/>
      </c>
      <c r="Q165" s="19" t="str">
        <f>IF($B165&lt;&gt;"",VLOOKUP($B165,'Planning Sheet'!$B$8:$AL$500,34,0),"")</f>
        <v/>
      </c>
      <c r="R165" s="19" t="str">
        <f>IF($B165&lt;&gt;"",VLOOKUP($B165,'Planning Sheet'!$B$8:$AL$500,36,0),"")</f>
        <v/>
      </c>
      <c r="S165" s="19" t="str">
        <f>IF($B165&lt;&gt;"",VLOOKUP($B165,'Planning Sheet'!$B$8:$AM$500,38,0),"")</f>
        <v/>
      </c>
      <c r="T165" s="18" t="str">
        <f t="shared" si="5"/>
        <v/>
      </c>
      <c r="U165" s="100" t="str">
        <f t="shared" si="4"/>
        <v/>
      </c>
      <c r="Y165" s="48" t="str">
        <f ca="1">IF(AND('Planning Sheet'!$AT170='Weeks Plan'!$D$6,'Planning Sheet'!$AN170='Weeks Plan'!$G$6),'Planning Sheet'!$B170,"")</f>
        <v/>
      </c>
      <c r="Z165" s="48" t="str">
        <f ca="1">IF(AND('Planning Sheet'!$AT170='Weeks Plan'!$D$6,'Planning Sheet'!$AN170='Weeks Plan'!$G$6),'Planning Sheet'!$AO170,"")</f>
        <v/>
      </c>
      <c r="AA165" s="48" t="str">
        <f ca="1">IF(AND('Planning Sheet'!$AT170='Weeks Plan'!$D$6,'Planning Sheet'!$AN170='Weeks Plan'!$G$6),'Planning Sheet'!AP170,"")</f>
        <v/>
      </c>
    </row>
    <row r="166" spans="2:27" x14ac:dyDescent="0.3">
      <c r="B166" s="11"/>
      <c r="C166" s="75" t="str">
        <f>IF($B166&lt;&gt;"",VLOOKUP($B166,'Planning Sheet'!$B$8:$AL$500,3,0),"")</f>
        <v/>
      </c>
      <c r="D166" s="18" t="str">
        <f>IF($B166&lt;&gt;"",VLOOKUP($B166,'Planning Sheet'!$B$8:$AL$500,5,0),"")</f>
        <v/>
      </c>
      <c r="E166" s="18" t="str">
        <f>IF($B166&lt;&gt;"",VLOOKUP($B166,'Planning Sheet'!$B$8:$AL$500,7,0),"")</f>
        <v/>
      </c>
      <c r="F166" s="18" t="str">
        <f>IF($B166&lt;&gt;"",VLOOKUP($B166,'Planning Sheet'!$B$8:$AL$500,9,0),"")</f>
        <v/>
      </c>
      <c r="G166" s="18" t="str">
        <f>IF($B166&lt;&gt;"",VLOOKUP($B166,'Planning Sheet'!$B$8:$AL$500,11,0),"")</f>
        <v/>
      </c>
      <c r="H166" s="18" t="str">
        <f>IF($B166&lt;&gt;"",VLOOKUP($B166,'Planning Sheet'!$B$8:$AL$500,13,0),"")</f>
        <v/>
      </c>
      <c r="I166" s="18" t="str">
        <f>IF($B166&lt;&gt;"",VLOOKUP($B166,'Planning Sheet'!$B$8:$AL$500,15,0),"")</f>
        <v/>
      </c>
      <c r="J166" s="18" t="str">
        <f>IF($B166&lt;&gt;"",VLOOKUP($B166,'Planning Sheet'!$B$8:$AL$500,17,0),"")</f>
        <v/>
      </c>
      <c r="K166" s="18" t="str">
        <f>IF($B166&lt;&gt;"",VLOOKUP($B166,'Planning Sheet'!$B$8:$AL$500,19,0),"")</f>
        <v/>
      </c>
      <c r="L166" s="18" t="str">
        <f>IF($B166&lt;&gt;"",VLOOKUP($B166,'Planning Sheet'!$B$8:$AL$500,21,0),"")</f>
        <v/>
      </c>
      <c r="M166" s="18" t="str">
        <f>IF($B166&lt;&gt;"",VLOOKUP($B166,'Planning Sheet'!$B$8:$AL$500,23,0),"")</f>
        <v/>
      </c>
      <c r="N166" s="18" t="str">
        <f>IF($B166&lt;&gt;"",VLOOKUP($B166,'Planning Sheet'!$B$8:$AL$500,25,0),"")</f>
        <v/>
      </c>
      <c r="O166" s="18" t="str">
        <f>IF($B166&lt;&gt;"",VLOOKUP($B166,'Planning Sheet'!$B$8:$AL$500,26,0),"")</f>
        <v/>
      </c>
      <c r="P166" s="19" t="str">
        <f>IF($B166&lt;&gt;"",VLOOKUP($B166,'Planning Sheet'!$B$8:$AL$500,27,0),"")</f>
        <v/>
      </c>
      <c r="Q166" s="19" t="str">
        <f>IF($B166&lt;&gt;"",VLOOKUP($B166,'Planning Sheet'!$B$8:$AL$500,34,0),"")</f>
        <v/>
      </c>
      <c r="R166" s="19" t="str">
        <f>IF($B166&lt;&gt;"",VLOOKUP($B166,'Planning Sheet'!$B$8:$AL$500,36,0),"")</f>
        <v/>
      </c>
      <c r="S166" s="19" t="str">
        <f>IF($B166&lt;&gt;"",VLOOKUP($B166,'Planning Sheet'!$B$8:$AM$500,38,0),"")</f>
        <v/>
      </c>
      <c r="T166" s="18" t="str">
        <f t="shared" si="5"/>
        <v/>
      </c>
      <c r="U166" s="100" t="str">
        <f t="shared" si="4"/>
        <v/>
      </c>
      <c r="Y166" s="48" t="str">
        <f ca="1">IF(AND('Planning Sheet'!$AT171='Weeks Plan'!$D$6,'Planning Sheet'!$AN171='Weeks Plan'!$G$6),'Planning Sheet'!$B171,"")</f>
        <v/>
      </c>
      <c r="Z166" s="48" t="str">
        <f ca="1">IF(AND('Planning Sheet'!$AT171='Weeks Plan'!$D$6,'Planning Sheet'!$AN171='Weeks Plan'!$G$6),'Planning Sheet'!$AO171,"")</f>
        <v/>
      </c>
      <c r="AA166" s="48" t="str">
        <f ca="1">IF(AND('Planning Sheet'!$AT171='Weeks Plan'!$D$6,'Planning Sheet'!$AN171='Weeks Plan'!$G$6),'Planning Sheet'!AP171,"")</f>
        <v/>
      </c>
    </row>
    <row r="167" spans="2:27" x14ac:dyDescent="0.3">
      <c r="B167" s="11"/>
      <c r="C167" s="75" t="str">
        <f>IF($B167&lt;&gt;"",VLOOKUP($B167,'Planning Sheet'!$B$8:$AL$500,3,0),"")</f>
        <v/>
      </c>
      <c r="D167" s="18" t="str">
        <f>IF($B167&lt;&gt;"",VLOOKUP($B167,'Planning Sheet'!$B$8:$AL$500,5,0),"")</f>
        <v/>
      </c>
      <c r="E167" s="18" t="str">
        <f>IF($B167&lt;&gt;"",VLOOKUP($B167,'Planning Sheet'!$B$8:$AL$500,7,0),"")</f>
        <v/>
      </c>
      <c r="F167" s="18" t="str">
        <f>IF($B167&lt;&gt;"",VLOOKUP($B167,'Planning Sheet'!$B$8:$AL$500,9,0),"")</f>
        <v/>
      </c>
      <c r="G167" s="18" t="str">
        <f>IF($B167&lt;&gt;"",VLOOKUP($B167,'Planning Sheet'!$B$8:$AL$500,11,0),"")</f>
        <v/>
      </c>
      <c r="H167" s="18" t="str">
        <f>IF($B167&lt;&gt;"",VLOOKUP($B167,'Planning Sheet'!$B$8:$AL$500,13,0),"")</f>
        <v/>
      </c>
      <c r="I167" s="18" t="str">
        <f>IF($B167&lt;&gt;"",VLOOKUP($B167,'Planning Sheet'!$B$8:$AL$500,15,0),"")</f>
        <v/>
      </c>
      <c r="J167" s="18" t="str">
        <f>IF($B167&lt;&gt;"",VLOOKUP($B167,'Planning Sheet'!$B$8:$AL$500,17,0),"")</f>
        <v/>
      </c>
      <c r="K167" s="18" t="str">
        <f>IF($B167&lt;&gt;"",VLOOKUP($B167,'Planning Sheet'!$B$8:$AL$500,19,0),"")</f>
        <v/>
      </c>
      <c r="L167" s="18" t="str">
        <f>IF($B167&lt;&gt;"",VLOOKUP($B167,'Planning Sheet'!$B$8:$AL$500,21,0),"")</f>
        <v/>
      </c>
      <c r="M167" s="18" t="str">
        <f>IF($B167&lt;&gt;"",VLOOKUP($B167,'Planning Sheet'!$B$8:$AL$500,23,0),"")</f>
        <v/>
      </c>
      <c r="N167" s="18" t="str">
        <f>IF($B167&lt;&gt;"",VLOOKUP($B167,'Planning Sheet'!$B$8:$AL$500,25,0),"")</f>
        <v/>
      </c>
      <c r="O167" s="18" t="str">
        <f>IF($B167&lt;&gt;"",VLOOKUP($B167,'Planning Sheet'!$B$8:$AL$500,26,0),"")</f>
        <v/>
      </c>
      <c r="P167" s="19" t="str">
        <f>IF($B167&lt;&gt;"",VLOOKUP($B167,'Planning Sheet'!$B$8:$AL$500,27,0),"")</f>
        <v/>
      </c>
      <c r="Q167" s="19" t="str">
        <f>IF($B167&lt;&gt;"",VLOOKUP($B167,'Planning Sheet'!$B$8:$AL$500,34,0),"")</f>
        <v/>
      </c>
      <c r="R167" s="19" t="str">
        <f>IF($B167&lt;&gt;"",VLOOKUP($B167,'Planning Sheet'!$B$8:$AL$500,36,0),"")</f>
        <v/>
      </c>
      <c r="S167" s="19" t="str">
        <f>IF($B167&lt;&gt;"",VLOOKUP($B167,'Planning Sheet'!$B$8:$AM$500,38,0),"")</f>
        <v/>
      </c>
      <c r="T167" s="18" t="str">
        <f t="shared" si="5"/>
        <v/>
      </c>
      <c r="U167" s="100" t="str">
        <f t="shared" si="4"/>
        <v/>
      </c>
      <c r="Y167" s="48" t="str">
        <f ca="1">IF(AND('Planning Sheet'!$AT172='Weeks Plan'!$D$6,'Planning Sheet'!$AN172='Weeks Plan'!$G$6),'Planning Sheet'!$B172,"")</f>
        <v/>
      </c>
      <c r="Z167" s="48" t="str">
        <f ca="1">IF(AND('Planning Sheet'!$AT172='Weeks Plan'!$D$6,'Planning Sheet'!$AN172='Weeks Plan'!$G$6),'Planning Sheet'!$AO172,"")</f>
        <v/>
      </c>
      <c r="AA167" s="48" t="str">
        <f ca="1">IF(AND('Planning Sheet'!$AT172='Weeks Plan'!$D$6,'Planning Sheet'!$AN172='Weeks Plan'!$G$6),'Planning Sheet'!AP172,"")</f>
        <v/>
      </c>
    </row>
    <row r="168" spans="2:27" x14ac:dyDescent="0.3">
      <c r="B168" s="11"/>
      <c r="C168" s="75" t="str">
        <f>IF($B168&lt;&gt;"",VLOOKUP($B168,'Planning Sheet'!$B$8:$AL$500,3,0),"")</f>
        <v/>
      </c>
      <c r="D168" s="18" t="str">
        <f>IF($B168&lt;&gt;"",VLOOKUP($B168,'Planning Sheet'!$B$8:$AL$500,5,0),"")</f>
        <v/>
      </c>
      <c r="E168" s="18" t="str">
        <f>IF($B168&lt;&gt;"",VLOOKUP($B168,'Planning Sheet'!$B$8:$AL$500,7,0),"")</f>
        <v/>
      </c>
      <c r="F168" s="18" t="str">
        <f>IF($B168&lt;&gt;"",VLOOKUP($B168,'Planning Sheet'!$B$8:$AL$500,9,0),"")</f>
        <v/>
      </c>
      <c r="G168" s="18" t="str">
        <f>IF($B168&lt;&gt;"",VLOOKUP($B168,'Planning Sheet'!$B$8:$AL$500,11,0),"")</f>
        <v/>
      </c>
      <c r="H168" s="18" t="str">
        <f>IF($B168&lt;&gt;"",VLOOKUP($B168,'Planning Sheet'!$B$8:$AL$500,13,0),"")</f>
        <v/>
      </c>
      <c r="I168" s="18" t="str">
        <f>IF($B168&lt;&gt;"",VLOOKUP($B168,'Planning Sheet'!$B$8:$AL$500,15,0),"")</f>
        <v/>
      </c>
      <c r="J168" s="18" t="str">
        <f>IF($B168&lt;&gt;"",VLOOKUP($B168,'Planning Sheet'!$B$8:$AL$500,17,0),"")</f>
        <v/>
      </c>
      <c r="K168" s="18" t="str">
        <f>IF($B168&lt;&gt;"",VLOOKUP($B168,'Planning Sheet'!$B$8:$AL$500,19,0),"")</f>
        <v/>
      </c>
      <c r="L168" s="18" t="str">
        <f>IF($B168&lt;&gt;"",VLOOKUP($B168,'Planning Sheet'!$B$8:$AL$500,21,0),"")</f>
        <v/>
      </c>
      <c r="M168" s="18" t="str">
        <f>IF($B168&lt;&gt;"",VLOOKUP($B168,'Planning Sheet'!$B$8:$AL$500,23,0),"")</f>
        <v/>
      </c>
      <c r="N168" s="18" t="str">
        <f>IF($B168&lt;&gt;"",VLOOKUP($B168,'Planning Sheet'!$B$8:$AL$500,25,0),"")</f>
        <v/>
      </c>
      <c r="O168" s="18" t="str">
        <f>IF($B168&lt;&gt;"",VLOOKUP($B168,'Planning Sheet'!$B$8:$AL$500,26,0),"")</f>
        <v/>
      </c>
      <c r="P168" s="19" t="str">
        <f>IF($B168&lt;&gt;"",VLOOKUP($B168,'Planning Sheet'!$B$8:$AL$500,27,0),"")</f>
        <v/>
      </c>
      <c r="Q168" s="19" t="str">
        <f>IF($B168&lt;&gt;"",VLOOKUP($B168,'Planning Sheet'!$B$8:$AL$500,34,0),"")</f>
        <v/>
      </c>
      <c r="R168" s="19" t="str">
        <f>IF($B168&lt;&gt;"",VLOOKUP($B168,'Planning Sheet'!$B$8:$AL$500,36,0),"")</f>
        <v/>
      </c>
      <c r="S168" s="19" t="str">
        <f>IF($B168&lt;&gt;"",VLOOKUP($B168,'Planning Sheet'!$B$8:$AM$500,38,0),"")</f>
        <v/>
      </c>
      <c r="T168" s="18" t="str">
        <f t="shared" si="5"/>
        <v/>
      </c>
      <c r="U168" s="100" t="str">
        <f t="shared" si="4"/>
        <v/>
      </c>
      <c r="Y168" s="48" t="str">
        <f ca="1">IF(AND('Planning Sheet'!$AT173='Weeks Plan'!$D$6,'Planning Sheet'!$AN173='Weeks Plan'!$G$6),'Planning Sheet'!$B173,"")</f>
        <v/>
      </c>
      <c r="Z168" s="48" t="str">
        <f ca="1">IF(AND('Planning Sheet'!$AT173='Weeks Plan'!$D$6,'Planning Sheet'!$AN173='Weeks Plan'!$G$6),'Planning Sheet'!$AO173,"")</f>
        <v/>
      </c>
      <c r="AA168" s="48" t="str">
        <f ca="1">IF(AND('Planning Sheet'!$AT173='Weeks Plan'!$D$6,'Planning Sheet'!$AN173='Weeks Plan'!$G$6),'Planning Sheet'!AP173,"")</f>
        <v/>
      </c>
    </row>
    <row r="169" spans="2:27" x14ac:dyDescent="0.3">
      <c r="B169" s="11"/>
      <c r="C169" s="75" t="str">
        <f>IF($B169&lt;&gt;"",VLOOKUP($B169,'Planning Sheet'!$B$8:$AL$500,3,0),"")</f>
        <v/>
      </c>
      <c r="D169" s="18" t="str">
        <f>IF($B169&lt;&gt;"",VLOOKUP($B169,'Planning Sheet'!$B$8:$AL$500,5,0),"")</f>
        <v/>
      </c>
      <c r="E169" s="18" t="str">
        <f>IF($B169&lt;&gt;"",VLOOKUP($B169,'Planning Sheet'!$B$8:$AL$500,7,0),"")</f>
        <v/>
      </c>
      <c r="F169" s="18" t="str">
        <f>IF($B169&lt;&gt;"",VLOOKUP($B169,'Planning Sheet'!$B$8:$AL$500,9,0),"")</f>
        <v/>
      </c>
      <c r="G169" s="18" t="str">
        <f>IF($B169&lt;&gt;"",VLOOKUP($B169,'Planning Sheet'!$B$8:$AL$500,11,0),"")</f>
        <v/>
      </c>
      <c r="H169" s="18" t="str">
        <f>IF($B169&lt;&gt;"",VLOOKUP($B169,'Planning Sheet'!$B$8:$AL$500,13,0),"")</f>
        <v/>
      </c>
      <c r="I169" s="18" t="str">
        <f>IF($B169&lt;&gt;"",VLOOKUP($B169,'Planning Sheet'!$B$8:$AL$500,15,0),"")</f>
        <v/>
      </c>
      <c r="J169" s="18" t="str">
        <f>IF($B169&lt;&gt;"",VLOOKUP($B169,'Planning Sheet'!$B$8:$AL$500,17,0),"")</f>
        <v/>
      </c>
      <c r="K169" s="18" t="str">
        <f>IF($B169&lt;&gt;"",VLOOKUP($B169,'Planning Sheet'!$B$8:$AL$500,19,0),"")</f>
        <v/>
      </c>
      <c r="L169" s="18" t="str">
        <f>IF($B169&lt;&gt;"",VLOOKUP($B169,'Planning Sheet'!$B$8:$AL$500,21,0),"")</f>
        <v/>
      </c>
      <c r="M169" s="18" t="str">
        <f>IF($B169&lt;&gt;"",VLOOKUP($B169,'Planning Sheet'!$B$8:$AL$500,23,0),"")</f>
        <v/>
      </c>
      <c r="N169" s="18" t="str">
        <f>IF($B169&lt;&gt;"",VLOOKUP($B169,'Planning Sheet'!$B$8:$AL$500,25,0),"")</f>
        <v/>
      </c>
      <c r="O169" s="18" t="str">
        <f>IF($B169&lt;&gt;"",VLOOKUP($B169,'Planning Sheet'!$B$8:$AL$500,26,0),"")</f>
        <v/>
      </c>
      <c r="P169" s="19" t="str">
        <f>IF($B169&lt;&gt;"",VLOOKUP($B169,'Planning Sheet'!$B$8:$AL$500,27,0),"")</f>
        <v/>
      </c>
      <c r="Q169" s="19" t="str">
        <f>IF($B169&lt;&gt;"",VLOOKUP($B169,'Planning Sheet'!$B$8:$AL$500,34,0),"")</f>
        <v/>
      </c>
      <c r="R169" s="19" t="str">
        <f>IF($B169&lt;&gt;"",VLOOKUP($B169,'Planning Sheet'!$B$8:$AL$500,36,0),"")</f>
        <v/>
      </c>
      <c r="S169" s="19" t="str">
        <f>IF($B169&lt;&gt;"",VLOOKUP($B169,'Planning Sheet'!$B$8:$AM$500,38,0),"")</f>
        <v/>
      </c>
      <c r="T169" s="18" t="str">
        <f t="shared" si="5"/>
        <v/>
      </c>
      <c r="U169" s="100" t="str">
        <f t="shared" si="4"/>
        <v/>
      </c>
      <c r="Y169" s="48" t="str">
        <f ca="1">IF(AND('Planning Sheet'!$AT174='Weeks Plan'!$D$6,'Planning Sheet'!$AN174='Weeks Plan'!$G$6),'Planning Sheet'!$B174,"")</f>
        <v/>
      </c>
      <c r="Z169" s="48" t="str">
        <f ca="1">IF(AND('Planning Sheet'!$AT174='Weeks Plan'!$D$6,'Planning Sheet'!$AN174='Weeks Plan'!$G$6),'Planning Sheet'!$AO174,"")</f>
        <v/>
      </c>
      <c r="AA169" s="48" t="str">
        <f ca="1">IF(AND('Planning Sheet'!$AT174='Weeks Plan'!$D$6,'Planning Sheet'!$AN174='Weeks Plan'!$G$6),'Planning Sheet'!AP174,"")</f>
        <v/>
      </c>
    </row>
    <row r="170" spans="2:27" x14ac:dyDescent="0.3">
      <c r="B170" s="11"/>
      <c r="C170" s="75" t="str">
        <f>IF($B170&lt;&gt;"",VLOOKUP($B170,'Planning Sheet'!$B$8:$AL$500,3,0),"")</f>
        <v/>
      </c>
      <c r="D170" s="18" t="str">
        <f>IF($B170&lt;&gt;"",VLOOKUP($B170,'Planning Sheet'!$B$8:$AL$500,5,0),"")</f>
        <v/>
      </c>
      <c r="E170" s="18" t="str">
        <f>IF($B170&lt;&gt;"",VLOOKUP($B170,'Planning Sheet'!$B$8:$AL$500,7,0),"")</f>
        <v/>
      </c>
      <c r="F170" s="18" t="str">
        <f>IF($B170&lt;&gt;"",VLOOKUP($B170,'Planning Sheet'!$B$8:$AL$500,9,0),"")</f>
        <v/>
      </c>
      <c r="G170" s="18" t="str">
        <f>IF($B170&lt;&gt;"",VLOOKUP($B170,'Planning Sheet'!$B$8:$AL$500,11,0),"")</f>
        <v/>
      </c>
      <c r="H170" s="18" t="str">
        <f>IF($B170&lt;&gt;"",VLOOKUP($B170,'Planning Sheet'!$B$8:$AL$500,13,0),"")</f>
        <v/>
      </c>
      <c r="I170" s="18" t="str">
        <f>IF($B170&lt;&gt;"",VLOOKUP($B170,'Planning Sheet'!$B$8:$AL$500,15,0),"")</f>
        <v/>
      </c>
      <c r="J170" s="18" t="str">
        <f>IF($B170&lt;&gt;"",VLOOKUP($B170,'Planning Sheet'!$B$8:$AL$500,17,0),"")</f>
        <v/>
      </c>
      <c r="K170" s="18" t="str">
        <f>IF($B170&lt;&gt;"",VLOOKUP($B170,'Planning Sheet'!$B$8:$AL$500,19,0),"")</f>
        <v/>
      </c>
      <c r="L170" s="18" t="str">
        <f>IF($B170&lt;&gt;"",VLOOKUP($B170,'Planning Sheet'!$B$8:$AL$500,21,0),"")</f>
        <v/>
      </c>
      <c r="M170" s="18" t="str">
        <f>IF($B170&lt;&gt;"",VLOOKUP($B170,'Planning Sheet'!$B$8:$AL$500,23,0),"")</f>
        <v/>
      </c>
      <c r="N170" s="18" t="str">
        <f>IF($B170&lt;&gt;"",VLOOKUP($B170,'Planning Sheet'!$B$8:$AL$500,25,0),"")</f>
        <v/>
      </c>
      <c r="O170" s="18" t="str">
        <f>IF($B170&lt;&gt;"",VLOOKUP($B170,'Planning Sheet'!$B$8:$AL$500,26,0),"")</f>
        <v/>
      </c>
      <c r="P170" s="19" t="str">
        <f>IF($B170&lt;&gt;"",VLOOKUP($B170,'Planning Sheet'!$B$8:$AL$500,27,0),"")</f>
        <v/>
      </c>
      <c r="Q170" s="19" t="str">
        <f>IF($B170&lt;&gt;"",VLOOKUP($B170,'Planning Sheet'!$B$8:$AL$500,34,0),"")</f>
        <v/>
      </c>
      <c r="R170" s="19" t="str">
        <f>IF($B170&lt;&gt;"",VLOOKUP($B170,'Planning Sheet'!$B$8:$AL$500,36,0),"")</f>
        <v/>
      </c>
      <c r="S170" s="19" t="str">
        <f>IF($B170&lt;&gt;"",VLOOKUP($B170,'Planning Sheet'!$B$8:$AM$500,38,0),"")</f>
        <v/>
      </c>
      <c r="T170" s="18" t="str">
        <f t="shared" si="5"/>
        <v/>
      </c>
      <c r="U170" s="100" t="str">
        <f t="shared" si="4"/>
        <v/>
      </c>
      <c r="Y170" s="48" t="str">
        <f ca="1">IF(AND('Planning Sheet'!$AT175='Weeks Plan'!$D$6,'Planning Sheet'!$AN175='Weeks Plan'!$G$6),'Planning Sheet'!$B175,"")</f>
        <v/>
      </c>
      <c r="Z170" s="48" t="str">
        <f ca="1">IF(AND('Planning Sheet'!$AT175='Weeks Plan'!$D$6,'Planning Sheet'!$AN175='Weeks Plan'!$G$6),'Planning Sheet'!$AO175,"")</f>
        <v/>
      </c>
      <c r="AA170" s="48" t="str">
        <f ca="1">IF(AND('Planning Sheet'!$AT175='Weeks Plan'!$D$6,'Planning Sheet'!$AN175='Weeks Plan'!$G$6),'Planning Sheet'!AP175,"")</f>
        <v/>
      </c>
    </row>
    <row r="171" spans="2:27" x14ac:dyDescent="0.3">
      <c r="B171" s="11"/>
      <c r="C171" s="75" t="str">
        <f>IF($B171&lt;&gt;"",VLOOKUP($B171,'Planning Sheet'!$B$8:$AL$500,3,0),"")</f>
        <v/>
      </c>
      <c r="D171" s="18" t="str">
        <f>IF($B171&lt;&gt;"",VLOOKUP($B171,'Planning Sheet'!$B$8:$AL$500,5,0),"")</f>
        <v/>
      </c>
      <c r="E171" s="18" t="str">
        <f>IF($B171&lt;&gt;"",VLOOKUP($B171,'Planning Sheet'!$B$8:$AL$500,7,0),"")</f>
        <v/>
      </c>
      <c r="F171" s="18" t="str">
        <f>IF($B171&lt;&gt;"",VLOOKUP($B171,'Planning Sheet'!$B$8:$AL$500,9,0),"")</f>
        <v/>
      </c>
      <c r="G171" s="18" t="str">
        <f>IF($B171&lt;&gt;"",VLOOKUP($B171,'Planning Sheet'!$B$8:$AL$500,11,0),"")</f>
        <v/>
      </c>
      <c r="H171" s="18" t="str">
        <f>IF($B171&lt;&gt;"",VLOOKUP($B171,'Planning Sheet'!$B$8:$AL$500,13,0),"")</f>
        <v/>
      </c>
      <c r="I171" s="18" t="str">
        <f>IF($B171&lt;&gt;"",VLOOKUP($B171,'Planning Sheet'!$B$8:$AL$500,15,0),"")</f>
        <v/>
      </c>
      <c r="J171" s="18" t="str">
        <f>IF($B171&lt;&gt;"",VLOOKUP($B171,'Planning Sheet'!$B$8:$AL$500,17,0),"")</f>
        <v/>
      </c>
      <c r="K171" s="18" t="str">
        <f>IF($B171&lt;&gt;"",VLOOKUP($B171,'Planning Sheet'!$B$8:$AL$500,19,0),"")</f>
        <v/>
      </c>
      <c r="L171" s="18" t="str">
        <f>IF($B171&lt;&gt;"",VLOOKUP($B171,'Planning Sheet'!$B$8:$AL$500,21,0),"")</f>
        <v/>
      </c>
      <c r="M171" s="18" t="str">
        <f>IF($B171&lt;&gt;"",VLOOKUP($B171,'Planning Sheet'!$B$8:$AL$500,23,0),"")</f>
        <v/>
      </c>
      <c r="N171" s="18" t="str">
        <f>IF($B171&lt;&gt;"",VLOOKUP($B171,'Planning Sheet'!$B$8:$AL$500,25,0),"")</f>
        <v/>
      </c>
      <c r="O171" s="18" t="str">
        <f>IF($B171&lt;&gt;"",VLOOKUP($B171,'Planning Sheet'!$B$8:$AL$500,26,0),"")</f>
        <v/>
      </c>
      <c r="P171" s="19" t="str">
        <f>IF($B171&lt;&gt;"",VLOOKUP($B171,'Planning Sheet'!$B$8:$AL$500,27,0),"")</f>
        <v/>
      </c>
      <c r="Q171" s="19" t="str">
        <f>IF($B171&lt;&gt;"",VLOOKUP($B171,'Planning Sheet'!$B$8:$AL$500,34,0),"")</f>
        <v/>
      </c>
      <c r="R171" s="19" t="str">
        <f>IF($B171&lt;&gt;"",VLOOKUP($B171,'Planning Sheet'!$B$8:$AL$500,36,0),"")</f>
        <v/>
      </c>
      <c r="S171" s="19" t="str">
        <f>IF($B171&lt;&gt;"",VLOOKUP($B171,'Planning Sheet'!$B$8:$AM$500,38,0),"")</f>
        <v/>
      </c>
      <c r="T171" s="18" t="str">
        <f t="shared" si="5"/>
        <v/>
      </c>
      <c r="U171" s="100" t="str">
        <f t="shared" si="4"/>
        <v/>
      </c>
      <c r="Y171" s="48" t="str">
        <f ca="1">IF(AND('Planning Sheet'!$AT176='Weeks Plan'!$D$6,'Planning Sheet'!$AN176='Weeks Plan'!$G$6),'Planning Sheet'!$B176,"")</f>
        <v/>
      </c>
      <c r="Z171" s="48" t="str">
        <f ca="1">IF(AND('Planning Sheet'!$AT176='Weeks Plan'!$D$6,'Planning Sheet'!$AN176='Weeks Plan'!$G$6),'Planning Sheet'!$AO176,"")</f>
        <v/>
      </c>
      <c r="AA171" s="48" t="str">
        <f ca="1">IF(AND('Planning Sheet'!$AT176='Weeks Plan'!$D$6,'Planning Sheet'!$AN176='Weeks Plan'!$G$6),'Planning Sheet'!AP176,"")</f>
        <v/>
      </c>
    </row>
    <row r="172" spans="2:27" x14ac:dyDescent="0.3">
      <c r="B172" s="11"/>
      <c r="C172" s="75" t="str">
        <f>IF($B172&lt;&gt;"",VLOOKUP($B172,'Planning Sheet'!$B$8:$AL$500,3,0),"")</f>
        <v/>
      </c>
      <c r="D172" s="18" t="str">
        <f>IF($B172&lt;&gt;"",VLOOKUP($B172,'Planning Sheet'!$B$8:$AL$500,5,0),"")</f>
        <v/>
      </c>
      <c r="E172" s="18" t="str">
        <f>IF($B172&lt;&gt;"",VLOOKUP($B172,'Planning Sheet'!$B$8:$AL$500,7,0),"")</f>
        <v/>
      </c>
      <c r="F172" s="18" t="str">
        <f>IF($B172&lt;&gt;"",VLOOKUP($B172,'Planning Sheet'!$B$8:$AL$500,9,0),"")</f>
        <v/>
      </c>
      <c r="G172" s="18" t="str">
        <f>IF($B172&lt;&gt;"",VLOOKUP($B172,'Planning Sheet'!$B$8:$AL$500,11,0),"")</f>
        <v/>
      </c>
      <c r="H172" s="18" t="str">
        <f>IF($B172&lt;&gt;"",VLOOKUP($B172,'Planning Sheet'!$B$8:$AL$500,13,0),"")</f>
        <v/>
      </c>
      <c r="I172" s="18" t="str">
        <f>IF($B172&lt;&gt;"",VLOOKUP($B172,'Planning Sheet'!$B$8:$AL$500,15,0),"")</f>
        <v/>
      </c>
      <c r="J172" s="18" t="str">
        <f>IF($B172&lt;&gt;"",VLOOKUP($B172,'Planning Sheet'!$B$8:$AL$500,17,0),"")</f>
        <v/>
      </c>
      <c r="K172" s="18" t="str">
        <f>IF($B172&lt;&gt;"",VLOOKUP($B172,'Planning Sheet'!$B$8:$AL$500,19,0),"")</f>
        <v/>
      </c>
      <c r="L172" s="18" t="str">
        <f>IF($B172&lt;&gt;"",VLOOKUP($B172,'Planning Sheet'!$B$8:$AL$500,21,0),"")</f>
        <v/>
      </c>
      <c r="M172" s="18" t="str">
        <f>IF($B172&lt;&gt;"",VLOOKUP($B172,'Planning Sheet'!$B$8:$AL$500,23,0),"")</f>
        <v/>
      </c>
      <c r="N172" s="18" t="str">
        <f>IF($B172&lt;&gt;"",VLOOKUP($B172,'Planning Sheet'!$B$8:$AL$500,25,0),"")</f>
        <v/>
      </c>
      <c r="O172" s="18" t="str">
        <f>IF($B172&lt;&gt;"",VLOOKUP($B172,'Planning Sheet'!$B$8:$AL$500,26,0),"")</f>
        <v/>
      </c>
      <c r="P172" s="19" t="str">
        <f>IF($B172&lt;&gt;"",VLOOKUP($B172,'Planning Sheet'!$B$8:$AL$500,27,0),"")</f>
        <v/>
      </c>
      <c r="Q172" s="19" t="str">
        <f>IF($B172&lt;&gt;"",VLOOKUP($B172,'Planning Sheet'!$B$8:$AL$500,34,0),"")</f>
        <v/>
      </c>
      <c r="R172" s="19" t="str">
        <f>IF($B172&lt;&gt;"",VLOOKUP($B172,'Planning Sheet'!$B$8:$AL$500,36,0),"")</f>
        <v/>
      </c>
      <c r="S172" s="19" t="str">
        <f>IF($B172&lt;&gt;"",VLOOKUP($B172,'Planning Sheet'!$B$8:$AM$500,38,0),"")</f>
        <v/>
      </c>
      <c r="T172" s="18" t="str">
        <f t="shared" si="5"/>
        <v/>
      </c>
      <c r="U172" s="100" t="str">
        <f t="shared" si="4"/>
        <v/>
      </c>
      <c r="Y172" s="48" t="str">
        <f ca="1">IF(AND('Planning Sheet'!$AT177='Weeks Plan'!$D$6,'Planning Sheet'!$AN177='Weeks Plan'!$G$6),'Planning Sheet'!$B177,"")</f>
        <v/>
      </c>
      <c r="Z172" s="48" t="str">
        <f ca="1">IF(AND('Planning Sheet'!$AT177='Weeks Plan'!$D$6,'Planning Sheet'!$AN177='Weeks Plan'!$G$6),'Planning Sheet'!$AO177,"")</f>
        <v/>
      </c>
      <c r="AA172" s="48" t="str">
        <f ca="1">IF(AND('Planning Sheet'!$AT177='Weeks Plan'!$D$6,'Planning Sheet'!$AN177='Weeks Plan'!$G$6),'Planning Sheet'!AP177,"")</f>
        <v/>
      </c>
    </row>
    <row r="173" spans="2:27" x14ac:dyDescent="0.3">
      <c r="B173" s="11"/>
      <c r="C173" s="75" t="str">
        <f>IF($B173&lt;&gt;"",VLOOKUP($B173,'Planning Sheet'!$B$8:$AL$500,3,0),"")</f>
        <v/>
      </c>
      <c r="D173" s="18" t="str">
        <f>IF($B173&lt;&gt;"",VLOOKUP($B173,'Planning Sheet'!$B$8:$AL$500,5,0),"")</f>
        <v/>
      </c>
      <c r="E173" s="18" t="str">
        <f>IF($B173&lt;&gt;"",VLOOKUP($B173,'Planning Sheet'!$B$8:$AL$500,7,0),"")</f>
        <v/>
      </c>
      <c r="F173" s="18" t="str">
        <f>IF($B173&lt;&gt;"",VLOOKUP($B173,'Planning Sheet'!$B$8:$AL$500,9,0),"")</f>
        <v/>
      </c>
      <c r="G173" s="18" t="str">
        <f>IF($B173&lt;&gt;"",VLOOKUP($B173,'Planning Sheet'!$B$8:$AL$500,11,0),"")</f>
        <v/>
      </c>
      <c r="H173" s="18" t="str">
        <f>IF($B173&lt;&gt;"",VLOOKUP($B173,'Planning Sheet'!$B$8:$AL$500,13,0),"")</f>
        <v/>
      </c>
      <c r="I173" s="18" t="str">
        <f>IF($B173&lt;&gt;"",VLOOKUP($B173,'Planning Sheet'!$B$8:$AL$500,15,0),"")</f>
        <v/>
      </c>
      <c r="J173" s="18" t="str">
        <f>IF($B173&lt;&gt;"",VLOOKUP($B173,'Planning Sheet'!$B$8:$AL$500,17,0),"")</f>
        <v/>
      </c>
      <c r="K173" s="18" t="str">
        <f>IF($B173&lt;&gt;"",VLOOKUP($B173,'Planning Sheet'!$B$8:$AL$500,19,0),"")</f>
        <v/>
      </c>
      <c r="L173" s="18" t="str">
        <f>IF($B173&lt;&gt;"",VLOOKUP($B173,'Planning Sheet'!$B$8:$AL$500,21,0),"")</f>
        <v/>
      </c>
      <c r="M173" s="18" t="str">
        <f>IF($B173&lt;&gt;"",VLOOKUP($B173,'Planning Sheet'!$B$8:$AL$500,23,0),"")</f>
        <v/>
      </c>
      <c r="N173" s="18" t="str">
        <f>IF($B173&lt;&gt;"",VLOOKUP($B173,'Planning Sheet'!$B$8:$AL$500,25,0),"")</f>
        <v/>
      </c>
      <c r="O173" s="18" t="str">
        <f>IF($B173&lt;&gt;"",VLOOKUP($B173,'Planning Sheet'!$B$8:$AL$500,26,0),"")</f>
        <v/>
      </c>
      <c r="P173" s="19" t="str">
        <f>IF($B173&lt;&gt;"",VLOOKUP($B173,'Planning Sheet'!$B$8:$AL$500,27,0),"")</f>
        <v/>
      </c>
      <c r="Q173" s="19" t="str">
        <f>IF($B173&lt;&gt;"",VLOOKUP($B173,'Planning Sheet'!$B$8:$AL$500,34,0),"")</f>
        <v/>
      </c>
      <c r="R173" s="19" t="str">
        <f>IF($B173&lt;&gt;"",VLOOKUP($B173,'Planning Sheet'!$B$8:$AL$500,36,0),"")</f>
        <v/>
      </c>
      <c r="S173" s="19" t="str">
        <f>IF($B173&lt;&gt;"",VLOOKUP($B173,'Planning Sheet'!$B$8:$AM$500,38,0),"")</f>
        <v/>
      </c>
      <c r="T173" s="18" t="str">
        <f t="shared" si="5"/>
        <v/>
      </c>
      <c r="U173" s="100" t="str">
        <f t="shared" si="4"/>
        <v/>
      </c>
      <c r="Y173" s="48" t="str">
        <f ca="1">IF(AND('Planning Sheet'!$AT178='Weeks Plan'!$D$6,'Planning Sheet'!$AN178='Weeks Plan'!$G$6),'Planning Sheet'!$B178,"")</f>
        <v/>
      </c>
      <c r="Z173" s="48" t="str">
        <f ca="1">IF(AND('Planning Sheet'!$AT178='Weeks Plan'!$D$6,'Planning Sheet'!$AN178='Weeks Plan'!$G$6),'Planning Sheet'!$AO178,"")</f>
        <v/>
      </c>
      <c r="AA173" s="48" t="str">
        <f ca="1">IF(AND('Planning Sheet'!$AT178='Weeks Plan'!$D$6,'Planning Sheet'!$AN178='Weeks Plan'!$G$6),'Planning Sheet'!AP178,"")</f>
        <v/>
      </c>
    </row>
    <row r="174" spans="2:27" x14ac:dyDescent="0.3">
      <c r="B174" s="11"/>
      <c r="C174" s="75" t="str">
        <f>IF($B174&lt;&gt;"",VLOOKUP($B174,'Planning Sheet'!$B$8:$AL$500,3,0),"")</f>
        <v/>
      </c>
      <c r="D174" s="18" t="str">
        <f>IF($B174&lt;&gt;"",VLOOKUP($B174,'Planning Sheet'!$B$8:$AL$500,5,0),"")</f>
        <v/>
      </c>
      <c r="E174" s="18" t="str">
        <f>IF($B174&lt;&gt;"",VLOOKUP($B174,'Planning Sheet'!$B$8:$AL$500,7,0),"")</f>
        <v/>
      </c>
      <c r="F174" s="18" t="str">
        <f>IF($B174&lt;&gt;"",VLOOKUP($B174,'Planning Sheet'!$B$8:$AL$500,9,0),"")</f>
        <v/>
      </c>
      <c r="G174" s="18" t="str">
        <f>IF($B174&lt;&gt;"",VLOOKUP($B174,'Planning Sheet'!$B$8:$AL$500,11,0),"")</f>
        <v/>
      </c>
      <c r="H174" s="18" t="str">
        <f>IF($B174&lt;&gt;"",VLOOKUP($B174,'Planning Sheet'!$B$8:$AL$500,13,0),"")</f>
        <v/>
      </c>
      <c r="I174" s="18" t="str">
        <f>IF($B174&lt;&gt;"",VLOOKUP($B174,'Planning Sheet'!$B$8:$AL$500,15,0),"")</f>
        <v/>
      </c>
      <c r="J174" s="18" t="str">
        <f>IF($B174&lt;&gt;"",VLOOKUP($B174,'Planning Sheet'!$B$8:$AL$500,17,0),"")</f>
        <v/>
      </c>
      <c r="K174" s="18" t="str">
        <f>IF($B174&lt;&gt;"",VLOOKUP($B174,'Planning Sheet'!$B$8:$AL$500,19,0),"")</f>
        <v/>
      </c>
      <c r="L174" s="18" t="str">
        <f>IF($B174&lt;&gt;"",VLOOKUP($B174,'Planning Sheet'!$B$8:$AL$500,21,0),"")</f>
        <v/>
      </c>
      <c r="M174" s="18" t="str">
        <f>IF($B174&lt;&gt;"",VLOOKUP($B174,'Planning Sheet'!$B$8:$AL$500,23,0),"")</f>
        <v/>
      </c>
      <c r="N174" s="18" t="str">
        <f>IF($B174&lt;&gt;"",VLOOKUP($B174,'Planning Sheet'!$B$8:$AL$500,25,0),"")</f>
        <v/>
      </c>
      <c r="O174" s="18" t="str">
        <f>IF($B174&lt;&gt;"",VLOOKUP($B174,'Planning Sheet'!$B$8:$AL$500,26,0),"")</f>
        <v/>
      </c>
      <c r="P174" s="19" t="str">
        <f>IF($B174&lt;&gt;"",VLOOKUP($B174,'Planning Sheet'!$B$8:$AL$500,27,0),"")</f>
        <v/>
      </c>
      <c r="Q174" s="19" t="str">
        <f>IF($B174&lt;&gt;"",VLOOKUP($B174,'Planning Sheet'!$B$8:$AL$500,34,0),"")</f>
        <v/>
      </c>
      <c r="R174" s="19" t="str">
        <f>IF($B174&lt;&gt;"",VLOOKUP($B174,'Planning Sheet'!$B$8:$AL$500,36,0),"")</f>
        <v/>
      </c>
      <c r="S174" s="19" t="str">
        <f>IF($B174&lt;&gt;"",VLOOKUP($B174,'Planning Sheet'!$B$8:$AM$500,38,0),"")</f>
        <v/>
      </c>
      <c r="T174" s="18" t="str">
        <f t="shared" si="5"/>
        <v/>
      </c>
      <c r="U174" s="100" t="str">
        <f t="shared" si="4"/>
        <v/>
      </c>
      <c r="Y174" s="48" t="str">
        <f ca="1">IF(AND('Planning Sheet'!$AT179='Weeks Plan'!$D$6,'Planning Sheet'!$AN179='Weeks Plan'!$G$6),'Planning Sheet'!$B179,"")</f>
        <v/>
      </c>
      <c r="Z174" s="48" t="str">
        <f ca="1">IF(AND('Planning Sheet'!$AT179='Weeks Plan'!$D$6,'Planning Sheet'!$AN179='Weeks Plan'!$G$6),'Planning Sheet'!$AO179,"")</f>
        <v/>
      </c>
      <c r="AA174" s="48" t="str">
        <f ca="1">IF(AND('Planning Sheet'!$AT179='Weeks Plan'!$D$6,'Planning Sheet'!$AN179='Weeks Plan'!$G$6),'Planning Sheet'!AP179,"")</f>
        <v/>
      </c>
    </row>
    <row r="175" spans="2:27" x14ac:dyDescent="0.3">
      <c r="B175" s="11"/>
      <c r="C175" s="75" t="str">
        <f>IF($B175&lt;&gt;"",VLOOKUP($B175,'Planning Sheet'!$B$8:$AL$500,3,0),"")</f>
        <v/>
      </c>
      <c r="D175" s="18" t="str">
        <f>IF($B175&lt;&gt;"",VLOOKUP($B175,'Planning Sheet'!$B$8:$AL$500,5,0),"")</f>
        <v/>
      </c>
      <c r="E175" s="18" t="str">
        <f>IF($B175&lt;&gt;"",VLOOKUP($B175,'Planning Sheet'!$B$8:$AL$500,7,0),"")</f>
        <v/>
      </c>
      <c r="F175" s="18" t="str">
        <f>IF($B175&lt;&gt;"",VLOOKUP($B175,'Planning Sheet'!$B$8:$AL$500,9,0),"")</f>
        <v/>
      </c>
      <c r="G175" s="18" t="str">
        <f>IF($B175&lt;&gt;"",VLOOKUP($B175,'Planning Sheet'!$B$8:$AL$500,11,0),"")</f>
        <v/>
      </c>
      <c r="H175" s="18" t="str">
        <f>IF($B175&lt;&gt;"",VLOOKUP($B175,'Planning Sheet'!$B$8:$AL$500,13,0),"")</f>
        <v/>
      </c>
      <c r="I175" s="18" t="str">
        <f>IF($B175&lt;&gt;"",VLOOKUP($B175,'Planning Sheet'!$B$8:$AL$500,15,0),"")</f>
        <v/>
      </c>
      <c r="J175" s="18" t="str">
        <f>IF($B175&lt;&gt;"",VLOOKUP($B175,'Planning Sheet'!$B$8:$AL$500,17,0),"")</f>
        <v/>
      </c>
      <c r="K175" s="18" t="str">
        <f>IF($B175&lt;&gt;"",VLOOKUP($B175,'Planning Sheet'!$B$8:$AL$500,19,0),"")</f>
        <v/>
      </c>
      <c r="L175" s="18" t="str">
        <f>IF($B175&lt;&gt;"",VLOOKUP($B175,'Planning Sheet'!$B$8:$AL$500,21,0),"")</f>
        <v/>
      </c>
      <c r="M175" s="18" t="str">
        <f>IF($B175&lt;&gt;"",VLOOKUP($B175,'Planning Sheet'!$B$8:$AL$500,23,0),"")</f>
        <v/>
      </c>
      <c r="N175" s="18" t="str">
        <f>IF($B175&lt;&gt;"",VLOOKUP($B175,'Planning Sheet'!$B$8:$AL$500,25,0),"")</f>
        <v/>
      </c>
      <c r="O175" s="18" t="str">
        <f>IF($B175&lt;&gt;"",VLOOKUP($B175,'Planning Sheet'!$B$8:$AL$500,26,0),"")</f>
        <v/>
      </c>
      <c r="P175" s="19" t="str">
        <f>IF($B175&lt;&gt;"",VLOOKUP($B175,'Planning Sheet'!$B$8:$AL$500,27,0),"")</f>
        <v/>
      </c>
      <c r="Q175" s="19" t="str">
        <f>IF($B175&lt;&gt;"",VLOOKUP($B175,'Planning Sheet'!$B$8:$AL$500,34,0),"")</f>
        <v/>
      </c>
      <c r="R175" s="19" t="str">
        <f>IF($B175&lt;&gt;"",VLOOKUP($B175,'Planning Sheet'!$B$8:$AL$500,36,0),"")</f>
        <v/>
      </c>
      <c r="S175" s="19" t="str">
        <f>IF($B175&lt;&gt;"",VLOOKUP($B175,'Planning Sheet'!$B$8:$AM$500,38,0),"")</f>
        <v/>
      </c>
      <c r="T175" s="18" t="str">
        <f t="shared" si="5"/>
        <v/>
      </c>
      <c r="U175" s="100" t="str">
        <f t="shared" si="4"/>
        <v/>
      </c>
      <c r="Y175" s="48" t="str">
        <f ca="1">IF(AND('Planning Sheet'!$AT180='Weeks Plan'!$D$6,'Planning Sheet'!$AN180='Weeks Plan'!$G$6),'Planning Sheet'!$B180,"")</f>
        <v/>
      </c>
      <c r="Z175" s="48" t="str">
        <f ca="1">IF(AND('Planning Sheet'!$AT180='Weeks Plan'!$D$6,'Planning Sheet'!$AN180='Weeks Plan'!$G$6),'Planning Sheet'!$AO180,"")</f>
        <v/>
      </c>
      <c r="AA175" s="48" t="str">
        <f ca="1">IF(AND('Planning Sheet'!$AT180='Weeks Plan'!$D$6,'Planning Sheet'!$AN180='Weeks Plan'!$G$6),'Planning Sheet'!AP180,"")</f>
        <v/>
      </c>
    </row>
    <row r="176" spans="2:27" x14ac:dyDescent="0.3">
      <c r="B176" s="11"/>
      <c r="C176" s="75" t="str">
        <f>IF($B176&lt;&gt;"",VLOOKUP($B176,'Planning Sheet'!$B$8:$AL$500,3,0),"")</f>
        <v/>
      </c>
      <c r="D176" s="18" t="str">
        <f>IF($B176&lt;&gt;"",VLOOKUP($B176,'Planning Sheet'!$B$8:$AL$500,5,0),"")</f>
        <v/>
      </c>
      <c r="E176" s="18" t="str">
        <f>IF($B176&lt;&gt;"",VLOOKUP($B176,'Planning Sheet'!$B$8:$AL$500,7,0),"")</f>
        <v/>
      </c>
      <c r="F176" s="18" t="str">
        <f>IF($B176&lt;&gt;"",VLOOKUP($B176,'Planning Sheet'!$B$8:$AL$500,9,0),"")</f>
        <v/>
      </c>
      <c r="G176" s="18" t="str">
        <f>IF($B176&lt;&gt;"",VLOOKUP($B176,'Planning Sheet'!$B$8:$AL$500,11,0),"")</f>
        <v/>
      </c>
      <c r="H176" s="18" t="str">
        <f>IF($B176&lt;&gt;"",VLOOKUP($B176,'Planning Sheet'!$B$8:$AL$500,13,0),"")</f>
        <v/>
      </c>
      <c r="I176" s="18" t="str">
        <f>IF($B176&lt;&gt;"",VLOOKUP($B176,'Planning Sheet'!$B$8:$AL$500,15,0),"")</f>
        <v/>
      </c>
      <c r="J176" s="18" t="str">
        <f>IF($B176&lt;&gt;"",VLOOKUP($B176,'Planning Sheet'!$B$8:$AL$500,17,0),"")</f>
        <v/>
      </c>
      <c r="K176" s="18" t="str">
        <f>IF($B176&lt;&gt;"",VLOOKUP($B176,'Planning Sheet'!$B$8:$AL$500,19,0),"")</f>
        <v/>
      </c>
      <c r="L176" s="18" t="str">
        <f>IF($B176&lt;&gt;"",VLOOKUP($B176,'Planning Sheet'!$B$8:$AL$500,21,0),"")</f>
        <v/>
      </c>
      <c r="M176" s="18" t="str">
        <f>IF($B176&lt;&gt;"",VLOOKUP($B176,'Planning Sheet'!$B$8:$AL$500,23,0),"")</f>
        <v/>
      </c>
      <c r="N176" s="18" t="str">
        <f>IF($B176&lt;&gt;"",VLOOKUP($B176,'Planning Sheet'!$B$8:$AL$500,25,0),"")</f>
        <v/>
      </c>
      <c r="O176" s="18" t="str">
        <f>IF($B176&lt;&gt;"",VLOOKUP($B176,'Planning Sheet'!$B$8:$AL$500,26,0),"")</f>
        <v/>
      </c>
      <c r="P176" s="19" t="str">
        <f>IF($B176&lt;&gt;"",VLOOKUP($B176,'Planning Sheet'!$B$8:$AL$500,27,0),"")</f>
        <v/>
      </c>
      <c r="Q176" s="19" t="str">
        <f>IF($B176&lt;&gt;"",VLOOKUP($B176,'Planning Sheet'!$B$8:$AL$500,34,0),"")</f>
        <v/>
      </c>
      <c r="R176" s="19" t="str">
        <f>IF($B176&lt;&gt;"",VLOOKUP($B176,'Planning Sheet'!$B$8:$AL$500,36,0),"")</f>
        <v/>
      </c>
      <c r="S176" s="19" t="str">
        <f>IF($B176&lt;&gt;"",VLOOKUP($B176,'Planning Sheet'!$B$8:$AM$500,38,0),"")</f>
        <v/>
      </c>
      <c r="T176" s="18" t="str">
        <f t="shared" si="5"/>
        <v/>
      </c>
      <c r="U176" s="100" t="str">
        <f t="shared" si="4"/>
        <v/>
      </c>
      <c r="Y176" s="48" t="str">
        <f ca="1">IF(AND('Planning Sheet'!$AT181='Weeks Plan'!$D$6,'Planning Sheet'!$AN181='Weeks Plan'!$G$6),'Planning Sheet'!$B181,"")</f>
        <v/>
      </c>
      <c r="Z176" s="48" t="str">
        <f ca="1">IF(AND('Planning Sheet'!$AT181='Weeks Plan'!$D$6,'Planning Sheet'!$AN181='Weeks Plan'!$G$6),'Planning Sheet'!$AO181,"")</f>
        <v/>
      </c>
      <c r="AA176" s="48" t="str">
        <f ca="1">IF(AND('Planning Sheet'!$AT181='Weeks Plan'!$D$6,'Planning Sheet'!$AN181='Weeks Plan'!$G$6),'Planning Sheet'!AP181,"")</f>
        <v/>
      </c>
    </row>
    <row r="177" spans="2:27" x14ac:dyDescent="0.3">
      <c r="B177" s="11"/>
      <c r="C177" s="75" t="str">
        <f>IF($B177&lt;&gt;"",VLOOKUP($B177,'Planning Sheet'!$B$8:$AL$500,3,0),"")</f>
        <v/>
      </c>
      <c r="D177" s="18" t="str">
        <f>IF($B177&lt;&gt;"",VLOOKUP($B177,'Planning Sheet'!$B$8:$AL$500,5,0),"")</f>
        <v/>
      </c>
      <c r="E177" s="18" t="str">
        <f>IF($B177&lt;&gt;"",VLOOKUP($B177,'Planning Sheet'!$B$8:$AL$500,7,0),"")</f>
        <v/>
      </c>
      <c r="F177" s="18" t="str">
        <f>IF($B177&lt;&gt;"",VLOOKUP($B177,'Planning Sheet'!$B$8:$AL$500,9,0),"")</f>
        <v/>
      </c>
      <c r="G177" s="18" t="str">
        <f>IF($B177&lt;&gt;"",VLOOKUP($B177,'Planning Sheet'!$B$8:$AL$500,11,0),"")</f>
        <v/>
      </c>
      <c r="H177" s="18" t="str">
        <f>IF($B177&lt;&gt;"",VLOOKUP($B177,'Planning Sheet'!$B$8:$AL$500,13,0),"")</f>
        <v/>
      </c>
      <c r="I177" s="18" t="str">
        <f>IF($B177&lt;&gt;"",VLOOKUP($B177,'Planning Sheet'!$B$8:$AL$500,15,0),"")</f>
        <v/>
      </c>
      <c r="J177" s="18" t="str">
        <f>IF($B177&lt;&gt;"",VLOOKUP($B177,'Planning Sheet'!$B$8:$AL$500,17,0),"")</f>
        <v/>
      </c>
      <c r="K177" s="18" t="str">
        <f>IF($B177&lt;&gt;"",VLOOKUP($B177,'Planning Sheet'!$B$8:$AL$500,19,0),"")</f>
        <v/>
      </c>
      <c r="L177" s="18" t="str">
        <f>IF($B177&lt;&gt;"",VLOOKUP($B177,'Planning Sheet'!$B$8:$AL$500,21,0),"")</f>
        <v/>
      </c>
      <c r="M177" s="18" t="str">
        <f>IF($B177&lt;&gt;"",VLOOKUP($B177,'Planning Sheet'!$B$8:$AL$500,23,0),"")</f>
        <v/>
      </c>
      <c r="N177" s="18" t="str">
        <f>IF($B177&lt;&gt;"",VLOOKUP($B177,'Planning Sheet'!$B$8:$AL$500,25,0),"")</f>
        <v/>
      </c>
      <c r="O177" s="18" t="str">
        <f>IF($B177&lt;&gt;"",VLOOKUP($B177,'Planning Sheet'!$B$8:$AL$500,26,0),"")</f>
        <v/>
      </c>
      <c r="P177" s="19" t="str">
        <f>IF($B177&lt;&gt;"",VLOOKUP($B177,'Planning Sheet'!$B$8:$AL$500,27,0),"")</f>
        <v/>
      </c>
      <c r="Q177" s="19" t="str">
        <f>IF($B177&lt;&gt;"",VLOOKUP($B177,'Planning Sheet'!$B$8:$AL$500,34,0),"")</f>
        <v/>
      </c>
      <c r="R177" s="19" t="str">
        <f>IF($B177&lt;&gt;"",VLOOKUP($B177,'Planning Sheet'!$B$8:$AL$500,36,0),"")</f>
        <v/>
      </c>
      <c r="S177" s="19" t="str">
        <f>IF($B177&lt;&gt;"",VLOOKUP($B177,'Planning Sheet'!$B$8:$AM$500,38,0),"")</f>
        <v/>
      </c>
      <c r="T177" s="18" t="str">
        <f t="shared" si="5"/>
        <v/>
      </c>
      <c r="U177" s="100" t="str">
        <f t="shared" si="4"/>
        <v/>
      </c>
      <c r="Y177" s="48" t="str">
        <f ca="1">IF(AND('Planning Sheet'!$AT182='Weeks Plan'!$D$6,'Planning Sheet'!$AN182='Weeks Plan'!$G$6),'Planning Sheet'!$B182,"")</f>
        <v/>
      </c>
      <c r="Z177" s="48" t="str">
        <f ca="1">IF(AND('Planning Sheet'!$AT182='Weeks Plan'!$D$6,'Planning Sheet'!$AN182='Weeks Plan'!$G$6),'Planning Sheet'!$AO182,"")</f>
        <v/>
      </c>
      <c r="AA177" s="48" t="str">
        <f ca="1">IF(AND('Planning Sheet'!$AT182='Weeks Plan'!$D$6,'Planning Sheet'!$AN182='Weeks Plan'!$G$6),'Planning Sheet'!AP182,"")</f>
        <v/>
      </c>
    </row>
    <row r="178" spans="2:27" x14ac:dyDescent="0.3">
      <c r="B178" s="11"/>
      <c r="C178" s="75" t="str">
        <f>IF($B178&lt;&gt;"",VLOOKUP($B178,'Planning Sheet'!$B$8:$AL$500,3,0),"")</f>
        <v/>
      </c>
      <c r="D178" s="18" t="str">
        <f>IF($B178&lt;&gt;"",VLOOKUP($B178,'Planning Sheet'!$B$8:$AL$500,5,0),"")</f>
        <v/>
      </c>
      <c r="E178" s="18" t="str">
        <f>IF($B178&lt;&gt;"",VLOOKUP($B178,'Planning Sheet'!$B$8:$AL$500,7,0),"")</f>
        <v/>
      </c>
      <c r="F178" s="18" t="str">
        <f>IF($B178&lt;&gt;"",VLOOKUP($B178,'Planning Sheet'!$B$8:$AL$500,9,0),"")</f>
        <v/>
      </c>
      <c r="G178" s="18" t="str">
        <f>IF($B178&lt;&gt;"",VLOOKUP($B178,'Planning Sheet'!$B$8:$AL$500,11,0),"")</f>
        <v/>
      </c>
      <c r="H178" s="18" t="str">
        <f>IF($B178&lt;&gt;"",VLOOKUP($B178,'Planning Sheet'!$B$8:$AL$500,13,0),"")</f>
        <v/>
      </c>
      <c r="I178" s="18" t="str">
        <f>IF($B178&lt;&gt;"",VLOOKUP($B178,'Planning Sheet'!$B$8:$AL$500,15,0),"")</f>
        <v/>
      </c>
      <c r="J178" s="18" t="str">
        <f>IF($B178&lt;&gt;"",VLOOKUP($B178,'Planning Sheet'!$B$8:$AL$500,17,0),"")</f>
        <v/>
      </c>
      <c r="K178" s="18" t="str">
        <f>IF($B178&lt;&gt;"",VLOOKUP($B178,'Planning Sheet'!$B$8:$AL$500,19,0),"")</f>
        <v/>
      </c>
      <c r="L178" s="18" t="str">
        <f>IF($B178&lt;&gt;"",VLOOKUP($B178,'Planning Sheet'!$B$8:$AL$500,21,0),"")</f>
        <v/>
      </c>
      <c r="M178" s="18" t="str">
        <f>IF($B178&lt;&gt;"",VLOOKUP($B178,'Planning Sheet'!$B$8:$AL$500,23,0),"")</f>
        <v/>
      </c>
      <c r="N178" s="18" t="str">
        <f>IF($B178&lt;&gt;"",VLOOKUP($B178,'Planning Sheet'!$B$8:$AL$500,25,0),"")</f>
        <v/>
      </c>
      <c r="O178" s="18" t="str">
        <f>IF($B178&lt;&gt;"",VLOOKUP($B178,'Planning Sheet'!$B$8:$AL$500,26,0),"")</f>
        <v/>
      </c>
      <c r="P178" s="19" t="str">
        <f>IF($B178&lt;&gt;"",VLOOKUP($B178,'Planning Sheet'!$B$8:$AL$500,27,0),"")</f>
        <v/>
      </c>
      <c r="Q178" s="19" t="str">
        <f>IF($B178&lt;&gt;"",VLOOKUP($B178,'Planning Sheet'!$B$8:$AL$500,34,0),"")</f>
        <v/>
      </c>
      <c r="R178" s="19" t="str">
        <f>IF($B178&lt;&gt;"",VLOOKUP($B178,'Planning Sheet'!$B$8:$AL$500,36,0),"")</f>
        <v/>
      </c>
      <c r="S178" s="19" t="str">
        <f>IF($B178&lt;&gt;"",VLOOKUP($B178,'Planning Sheet'!$B$8:$AM$500,38,0),"")</f>
        <v/>
      </c>
      <c r="T178" s="18" t="str">
        <f t="shared" si="5"/>
        <v/>
      </c>
      <c r="U178" s="100" t="str">
        <f t="shared" si="4"/>
        <v/>
      </c>
      <c r="Y178" s="48" t="str">
        <f ca="1">IF(AND('Planning Sheet'!$AT183='Weeks Plan'!$D$6,'Planning Sheet'!$AN183='Weeks Plan'!$G$6),'Planning Sheet'!$B183,"")</f>
        <v/>
      </c>
      <c r="Z178" s="48" t="str">
        <f ca="1">IF(AND('Planning Sheet'!$AT183='Weeks Plan'!$D$6,'Planning Sheet'!$AN183='Weeks Plan'!$G$6),'Planning Sheet'!$AO183,"")</f>
        <v/>
      </c>
      <c r="AA178" s="48" t="str">
        <f ca="1">IF(AND('Planning Sheet'!$AT183='Weeks Plan'!$D$6,'Planning Sheet'!$AN183='Weeks Plan'!$G$6),'Planning Sheet'!AP183,"")</f>
        <v/>
      </c>
    </row>
    <row r="179" spans="2:27" x14ac:dyDescent="0.3">
      <c r="B179" s="11"/>
      <c r="C179" s="75" t="str">
        <f>IF($B179&lt;&gt;"",VLOOKUP($B179,'Planning Sheet'!$B$8:$AL$500,3,0),"")</f>
        <v/>
      </c>
      <c r="D179" s="18" t="str">
        <f>IF($B179&lt;&gt;"",VLOOKUP($B179,'Planning Sheet'!$B$8:$AL$500,5,0),"")</f>
        <v/>
      </c>
      <c r="E179" s="18" t="str">
        <f>IF($B179&lt;&gt;"",VLOOKUP($B179,'Planning Sheet'!$B$8:$AL$500,7,0),"")</f>
        <v/>
      </c>
      <c r="F179" s="18" t="str">
        <f>IF($B179&lt;&gt;"",VLOOKUP($B179,'Planning Sheet'!$B$8:$AL$500,9,0),"")</f>
        <v/>
      </c>
      <c r="G179" s="18" t="str">
        <f>IF($B179&lt;&gt;"",VLOOKUP($B179,'Planning Sheet'!$B$8:$AL$500,11,0),"")</f>
        <v/>
      </c>
      <c r="H179" s="18" t="str">
        <f>IF($B179&lt;&gt;"",VLOOKUP($B179,'Planning Sheet'!$B$8:$AL$500,13,0),"")</f>
        <v/>
      </c>
      <c r="I179" s="18" t="str">
        <f>IF($B179&lt;&gt;"",VLOOKUP($B179,'Planning Sheet'!$B$8:$AL$500,15,0),"")</f>
        <v/>
      </c>
      <c r="J179" s="18" t="str">
        <f>IF($B179&lt;&gt;"",VLOOKUP($B179,'Planning Sheet'!$B$8:$AL$500,17,0),"")</f>
        <v/>
      </c>
      <c r="K179" s="18" t="str">
        <f>IF($B179&lt;&gt;"",VLOOKUP($B179,'Planning Sheet'!$B$8:$AL$500,19,0),"")</f>
        <v/>
      </c>
      <c r="L179" s="18" t="str">
        <f>IF($B179&lt;&gt;"",VLOOKUP($B179,'Planning Sheet'!$B$8:$AL$500,21,0),"")</f>
        <v/>
      </c>
      <c r="M179" s="18" t="str">
        <f>IF($B179&lt;&gt;"",VLOOKUP($B179,'Planning Sheet'!$B$8:$AL$500,23,0),"")</f>
        <v/>
      </c>
      <c r="N179" s="18" t="str">
        <f>IF($B179&lt;&gt;"",VLOOKUP($B179,'Planning Sheet'!$B$8:$AL$500,25,0),"")</f>
        <v/>
      </c>
      <c r="O179" s="18" t="str">
        <f>IF($B179&lt;&gt;"",VLOOKUP($B179,'Planning Sheet'!$B$8:$AL$500,26,0),"")</f>
        <v/>
      </c>
      <c r="P179" s="19" t="str">
        <f>IF($B179&lt;&gt;"",VLOOKUP($B179,'Planning Sheet'!$B$8:$AL$500,27,0),"")</f>
        <v/>
      </c>
      <c r="Q179" s="19" t="str">
        <f>IF($B179&lt;&gt;"",VLOOKUP($B179,'Planning Sheet'!$B$8:$AL$500,34,0),"")</f>
        <v/>
      </c>
      <c r="R179" s="19" t="str">
        <f>IF($B179&lt;&gt;"",VLOOKUP($B179,'Planning Sheet'!$B$8:$AL$500,36,0),"")</f>
        <v/>
      </c>
      <c r="S179" s="19" t="str">
        <f>IF($B179&lt;&gt;"",VLOOKUP($B179,'Planning Sheet'!$B$8:$AM$500,38,0),"")</f>
        <v/>
      </c>
      <c r="T179" s="18" t="str">
        <f t="shared" si="5"/>
        <v/>
      </c>
      <c r="U179" s="100" t="str">
        <f t="shared" si="4"/>
        <v/>
      </c>
      <c r="Y179" s="48" t="str">
        <f ca="1">IF(AND('Planning Sheet'!$AT184='Weeks Plan'!$D$6,'Planning Sheet'!$AN184='Weeks Plan'!$G$6),'Planning Sheet'!$B184,"")</f>
        <v/>
      </c>
      <c r="Z179" s="48" t="str">
        <f ca="1">IF(AND('Planning Sheet'!$AT184='Weeks Plan'!$D$6,'Planning Sheet'!$AN184='Weeks Plan'!$G$6),'Planning Sheet'!$AO184,"")</f>
        <v/>
      </c>
      <c r="AA179" s="48" t="str">
        <f ca="1">IF(AND('Planning Sheet'!$AT184='Weeks Plan'!$D$6,'Planning Sheet'!$AN184='Weeks Plan'!$G$6),'Planning Sheet'!AP184,"")</f>
        <v/>
      </c>
    </row>
    <row r="180" spans="2:27" x14ac:dyDescent="0.3">
      <c r="B180" s="11"/>
      <c r="C180" s="75" t="str">
        <f>IF($B180&lt;&gt;"",VLOOKUP($B180,'Planning Sheet'!$B$8:$AL$500,3,0),"")</f>
        <v/>
      </c>
      <c r="D180" s="18" t="str">
        <f>IF($B180&lt;&gt;"",VLOOKUP($B180,'Planning Sheet'!$B$8:$AL$500,5,0),"")</f>
        <v/>
      </c>
      <c r="E180" s="18" t="str">
        <f>IF($B180&lt;&gt;"",VLOOKUP($B180,'Planning Sheet'!$B$8:$AL$500,7,0),"")</f>
        <v/>
      </c>
      <c r="F180" s="18" t="str">
        <f>IF($B180&lt;&gt;"",VLOOKUP($B180,'Planning Sheet'!$B$8:$AL$500,9,0),"")</f>
        <v/>
      </c>
      <c r="G180" s="18" t="str">
        <f>IF($B180&lt;&gt;"",VLOOKUP($B180,'Planning Sheet'!$B$8:$AL$500,11,0),"")</f>
        <v/>
      </c>
      <c r="H180" s="18" t="str">
        <f>IF($B180&lt;&gt;"",VLOOKUP($B180,'Planning Sheet'!$B$8:$AL$500,13,0),"")</f>
        <v/>
      </c>
      <c r="I180" s="18" t="str">
        <f>IF($B180&lt;&gt;"",VLOOKUP($B180,'Planning Sheet'!$B$8:$AL$500,15,0),"")</f>
        <v/>
      </c>
      <c r="J180" s="18" t="str">
        <f>IF($B180&lt;&gt;"",VLOOKUP($B180,'Planning Sheet'!$B$8:$AL$500,17,0),"")</f>
        <v/>
      </c>
      <c r="K180" s="18" t="str">
        <f>IF($B180&lt;&gt;"",VLOOKUP($B180,'Planning Sheet'!$B$8:$AL$500,19,0),"")</f>
        <v/>
      </c>
      <c r="L180" s="18" t="str">
        <f>IF($B180&lt;&gt;"",VLOOKUP($B180,'Planning Sheet'!$B$8:$AL$500,21,0),"")</f>
        <v/>
      </c>
      <c r="M180" s="18" t="str">
        <f>IF($B180&lt;&gt;"",VLOOKUP($B180,'Planning Sheet'!$B$8:$AL$500,23,0),"")</f>
        <v/>
      </c>
      <c r="N180" s="18" t="str">
        <f>IF($B180&lt;&gt;"",VLOOKUP($B180,'Planning Sheet'!$B$8:$AL$500,25,0),"")</f>
        <v/>
      </c>
      <c r="O180" s="18" t="str">
        <f>IF($B180&lt;&gt;"",VLOOKUP($B180,'Planning Sheet'!$B$8:$AL$500,26,0),"")</f>
        <v/>
      </c>
      <c r="P180" s="19" t="str">
        <f>IF($B180&lt;&gt;"",VLOOKUP($B180,'Planning Sheet'!$B$8:$AL$500,27,0),"")</f>
        <v/>
      </c>
      <c r="Q180" s="19" t="str">
        <f>IF($B180&lt;&gt;"",VLOOKUP($B180,'Planning Sheet'!$B$8:$AL$500,34,0),"")</f>
        <v/>
      </c>
      <c r="R180" s="19" t="str">
        <f>IF($B180&lt;&gt;"",VLOOKUP($B180,'Planning Sheet'!$B$8:$AL$500,36,0),"")</f>
        <v/>
      </c>
      <c r="S180" s="19" t="str">
        <f>IF($B180&lt;&gt;"",VLOOKUP($B180,'Planning Sheet'!$B$8:$AM$500,38,0),"")</f>
        <v/>
      </c>
      <c r="T180" s="18" t="str">
        <f t="shared" si="5"/>
        <v/>
      </c>
      <c r="U180" s="100" t="str">
        <f t="shared" si="4"/>
        <v/>
      </c>
      <c r="Y180" s="48" t="str">
        <f ca="1">IF(AND('Planning Sheet'!$AT185='Weeks Plan'!$D$6,'Planning Sheet'!$AN185='Weeks Plan'!$G$6),'Planning Sheet'!$B185,"")</f>
        <v/>
      </c>
      <c r="Z180" s="48" t="str">
        <f ca="1">IF(AND('Planning Sheet'!$AT185='Weeks Plan'!$D$6,'Planning Sheet'!$AN185='Weeks Plan'!$G$6),'Planning Sheet'!$AO185,"")</f>
        <v/>
      </c>
      <c r="AA180" s="48" t="str">
        <f ca="1">IF(AND('Planning Sheet'!$AT185='Weeks Plan'!$D$6,'Planning Sheet'!$AN185='Weeks Plan'!$G$6),'Planning Sheet'!AP185,"")</f>
        <v/>
      </c>
    </row>
    <row r="181" spans="2:27" x14ac:dyDescent="0.3">
      <c r="B181" s="11"/>
      <c r="C181" s="75" t="str">
        <f>IF($B181&lt;&gt;"",VLOOKUP($B181,'Planning Sheet'!$B$8:$AL$500,3,0),"")</f>
        <v/>
      </c>
      <c r="D181" s="18" t="str">
        <f>IF($B181&lt;&gt;"",VLOOKUP($B181,'Planning Sheet'!$B$8:$AL$500,5,0),"")</f>
        <v/>
      </c>
      <c r="E181" s="18" t="str">
        <f>IF($B181&lt;&gt;"",VLOOKUP($B181,'Planning Sheet'!$B$8:$AL$500,7,0),"")</f>
        <v/>
      </c>
      <c r="F181" s="18" t="str">
        <f>IF($B181&lt;&gt;"",VLOOKUP($B181,'Planning Sheet'!$B$8:$AL$500,9,0),"")</f>
        <v/>
      </c>
      <c r="G181" s="18" t="str">
        <f>IF($B181&lt;&gt;"",VLOOKUP($B181,'Planning Sheet'!$B$8:$AL$500,11,0),"")</f>
        <v/>
      </c>
      <c r="H181" s="18" t="str">
        <f>IF($B181&lt;&gt;"",VLOOKUP($B181,'Planning Sheet'!$B$8:$AL$500,13,0),"")</f>
        <v/>
      </c>
      <c r="I181" s="18" t="str">
        <f>IF($B181&lt;&gt;"",VLOOKUP($B181,'Planning Sheet'!$B$8:$AL$500,15,0),"")</f>
        <v/>
      </c>
      <c r="J181" s="18" t="str">
        <f>IF($B181&lt;&gt;"",VLOOKUP($B181,'Planning Sheet'!$B$8:$AL$500,17,0),"")</f>
        <v/>
      </c>
      <c r="K181" s="18" t="str">
        <f>IF($B181&lt;&gt;"",VLOOKUP($B181,'Planning Sheet'!$B$8:$AL$500,19,0),"")</f>
        <v/>
      </c>
      <c r="L181" s="18" t="str">
        <f>IF($B181&lt;&gt;"",VLOOKUP($B181,'Planning Sheet'!$B$8:$AL$500,21,0),"")</f>
        <v/>
      </c>
      <c r="M181" s="18" t="str">
        <f>IF($B181&lt;&gt;"",VLOOKUP($B181,'Planning Sheet'!$B$8:$AL$500,23,0),"")</f>
        <v/>
      </c>
      <c r="N181" s="18" t="str">
        <f>IF($B181&lt;&gt;"",VLOOKUP($B181,'Planning Sheet'!$B$8:$AL$500,25,0),"")</f>
        <v/>
      </c>
      <c r="O181" s="18" t="str">
        <f>IF($B181&lt;&gt;"",VLOOKUP($B181,'Planning Sheet'!$B$8:$AL$500,26,0),"")</f>
        <v/>
      </c>
      <c r="P181" s="19" t="str">
        <f>IF($B181&lt;&gt;"",VLOOKUP($B181,'Planning Sheet'!$B$8:$AL$500,27,0),"")</f>
        <v/>
      </c>
      <c r="Q181" s="19" t="str">
        <f>IF($B181&lt;&gt;"",VLOOKUP($B181,'Planning Sheet'!$B$8:$AL$500,34,0),"")</f>
        <v/>
      </c>
      <c r="R181" s="19" t="str">
        <f>IF($B181&lt;&gt;"",VLOOKUP($B181,'Planning Sheet'!$B$8:$AL$500,36,0),"")</f>
        <v/>
      </c>
      <c r="S181" s="19" t="str">
        <f>IF($B181&lt;&gt;"",VLOOKUP($B181,'Planning Sheet'!$B$8:$AM$500,38,0),"")</f>
        <v/>
      </c>
      <c r="T181" s="18" t="str">
        <f t="shared" si="5"/>
        <v/>
      </c>
      <c r="U181" s="100" t="str">
        <f t="shared" si="4"/>
        <v/>
      </c>
      <c r="Y181" s="48" t="str">
        <f ca="1">IF(AND('Planning Sheet'!$AT186='Weeks Plan'!$D$6,'Planning Sheet'!$AN186='Weeks Plan'!$G$6),'Planning Sheet'!$B186,"")</f>
        <v/>
      </c>
      <c r="Z181" s="48" t="str">
        <f ca="1">IF(AND('Planning Sheet'!$AT186='Weeks Plan'!$D$6,'Planning Sheet'!$AN186='Weeks Plan'!$G$6),'Planning Sheet'!$AO186,"")</f>
        <v/>
      </c>
      <c r="AA181" s="48" t="str">
        <f ca="1">IF(AND('Planning Sheet'!$AT186='Weeks Plan'!$D$6,'Planning Sheet'!$AN186='Weeks Plan'!$G$6),'Planning Sheet'!AP186,"")</f>
        <v/>
      </c>
    </row>
    <row r="182" spans="2:27" x14ac:dyDescent="0.3">
      <c r="B182" s="11"/>
      <c r="C182" s="75" t="str">
        <f>IF($B182&lt;&gt;"",VLOOKUP($B182,'Planning Sheet'!$B$8:$AL$500,3,0),"")</f>
        <v/>
      </c>
      <c r="D182" s="18" t="str">
        <f>IF($B182&lt;&gt;"",VLOOKUP($B182,'Planning Sheet'!$B$8:$AL$500,5,0),"")</f>
        <v/>
      </c>
      <c r="E182" s="18" t="str">
        <f>IF($B182&lt;&gt;"",VLOOKUP($B182,'Planning Sheet'!$B$8:$AL$500,7,0),"")</f>
        <v/>
      </c>
      <c r="F182" s="18" t="str">
        <f>IF($B182&lt;&gt;"",VLOOKUP($B182,'Planning Sheet'!$B$8:$AL$500,9,0),"")</f>
        <v/>
      </c>
      <c r="G182" s="18" t="str">
        <f>IF($B182&lt;&gt;"",VLOOKUP($B182,'Planning Sheet'!$B$8:$AL$500,11,0),"")</f>
        <v/>
      </c>
      <c r="H182" s="18" t="str">
        <f>IF($B182&lt;&gt;"",VLOOKUP($B182,'Planning Sheet'!$B$8:$AL$500,13,0),"")</f>
        <v/>
      </c>
      <c r="I182" s="18" t="str">
        <f>IF($B182&lt;&gt;"",VLOOKUP($B182,'Planning Sheet'!$B$8:$AL$500,15,0),"")</f>
        <v/>
      </c>
      <c r="J182" s="18" t="str">
        <f>IF($B182&lt;&gt;"",VLOOKUP($B182,'Planning Sheet'!$B$8:$AL$500,17,0),"")</f>
        <v/>
      </c>
      <c r="K182" s="18" t="str">
        <f>IF($B182&lt;&gt;"",VLOOKUP($B182,'Planning Sheet'!$B$8:$AL$500,19,0),"")</f>
        <v/>
      </c>
      <c r="L182" s="18" t="str">
        <f>IF($B182&lt;&gt;"",VLOOKUP($B182,'Planning Sheet'!$B$8:$AL$500,21,0),"")</f>
        <v/>
      </c>
      <c r="M182" s="18" t="str">
        <f>IF($B182&lt;&gt;"",VLOOKUP($B182,'Planning Sheet'!$B$8:$AL$500,23,0),"")</f>
        <v/>
      </c>
      <c r="N182" s="18" t="str">
        <f>IF($B182&lt;&gt;"",VLOOKUP($B182,'Planning Sheet'!$B$8:$AL$500,25,0),"")</f>
        <v/>
      </c>
      <c r="O182" s="18" t="str">
        <f>IF($B182&lt;&gt;"",VLOOKUP($B182,'Planning Sheet'!$B$8:$AL$500,26,0),"")</f>
        <v/>
      </c>
      <c r="P182" s="19" t="str">
        <f>IF($B182&lt;&gt;"",VLOOKUP($B182,'Planning Sheet'!$B$8:$AL$500,27,0),"")</f>
        <v/>
      </c>
      <c r="Q182" s="19" t="str">
        <f>IF($B182&lt;&gt;"",VLOOKUP($B182,'Planning Sheet'!$B$8:$AL$500,34,0),"")</f>
        <v/>
      </c>
      <c r="R182" s="19" t="str">
        <f>IF($B182&lt;&gt;"",VLOOKUP($B182,'Planning Sheet'!$B$8:$AL$500,36,0),"")</f>
        <v/>
      </c>
      <c r="S182" s="19" t="str">
        <f>IF($B182&lt;&gt;"",VLOOKUP($B182,'Planning Sheet'!$B$8:$AM$500,38,0),"")</f>
        <v/>
      </c>
      <c r="T182" s="18" t="str">
        <f t="shared" si="5"/>
        <v/>
      </c>
      <c r="U182" s="100" t="str">
        <f t="shared" si="4"/>
        <v/>
      </c>
      <c r="Y182" s="48" t="str">
        <f ca="1">IF(AND('Planning Sheet'!$AT187='Weeks Plan'!$D$6,'Planning Sheet'!$AN187='Weeks Plan'!$G$6),'Planning Sheet'!$B187,"")</f>
        <v/>
      </c>
      <c r="Z182" s="48" t="str">
        <f ca="1">IF(AND('Planning Sheet'!$AT187='Weeks Plan'!$D$6,'Planning Sheet'!$AN187='Weeks Plan'!$G$6),'Planning Sheet'!$AO187,"")</f>
        <v/>
      </c>
      <c r="AA182" s="48" t="str">
        <f ca="1">IF(AND('Planning Sheet'!$AT187='Weeks Plan'!$D$6,'Planning Sheet'!$AN187='Weeks Plan'!$G$6),'Planning Sheet'!AP187,"")</f>
        <v/>
      </c>
    </row>
    <row r="183" spans="2:27" x14ac:dyDescent="0.3">
      <c r="B183" s="11"/>
      <c r="C183" s="75" t="str">
        <f>IF($B183&lt;&gt;"",VLOOKUP($B183,'Planning Sheet'!$B$8:$AL$500,3,0),"")</f>
        <v/>
      </c>
      <c r="D183" s="18" t="str">
        <f>IF($B183&lt;&gt;"",VLOOKUP($B183,'Planning Sheet'!$B$8:$AL$500,5,0),"")</f>
        <v/>
      </c>
      <c r="E183" s="18" t="str">
        <f>IF($B183&lt;&gt;"",VLOOKUP($B183,'Planning Sheet'!$B$8:$AL$500,7,0),"")</f>
        <v/>
      </c>
      <c r="F183" s="18" t="str">
        <f>IF($B183&lt;&gt;"",VLOOKUP($B183,'Planning Sheet'!$B$8:$AL$500,9,0),"")</f>
        <v/>
      </c>
      <c r="G183" s="18" t="str">
        <f>IF($B183&lt;&gt;"",VLOOKUP($B183,'Planning Sheet'!$B$8:$AL$500,11,0),"")</f>
        <v/>
      </c>
      <c r="H183" s="18" t="str">
        <f>IF($B183&lt;&gt;"",VLOOKUP($B183,'Planning Sheet'!$B$8:$AL$500,13,0),"")</f>
        <v/>
      </c>
      <c r="I183" s="18" t="str">
        <f>IF($B183&lt;&gt;"",VLOOKUP($B183,'Planning Sheet'!$B$8:$AL$500,15,0),"")</f>
        <v/>
      </c>
      <c r="J183" s="18" t="str">
        <f>IF($B183&lt;&gt;"",VLOOKUP($B183,'Planning Sheet'!$B$8:$AL$500,17,0),"")</f>
        <v/>
      </c>
      <c r="K183" s="18" t="str">
        <f>IF($B183&lt;&gt;"",VLOOKUP($B183,'Planning Sheet'!$B$8:$AL$500,19,0),"")</f>
        <v/>
      </c>
      <c r="L183" s="18" t="str">
        <f>IF($B183&lt;&gt;"",VLOOKUP($B183,'Planning Sheet'!$B$8:$AL$500,21,0),"")</f>
        <v/>
      </c>
      <c r="M183" s="18" t="str">
        <f>IF($B183&lt;&gt;"",VLOOKUP($B183,'Planning Sheet'!$B$8:$AL$500,23,0),"")</f>
        <v/>
      </c>
      <c r="N183" s="18" t="str">
        <f>IF($B183&lt;&gt;"",VLOOKUP($B183,'Planning Sheet'!$B$8:$AL$500,25,0),"")</f>
        <v/>
      </c>
      <c r="O183" s="18" t="str">
        <f>IF($B183&lt;&gt;"",VLOOKUP($B183,'Planning Sheet'!$B$8:$AL$500,26,0),"")</f>
        <v/>
      </c>
      <c r="P183" s="19" t="str">
        <f>IF($B183&lt;&gt;"",VLOOKUP($B183,'Planning Sheet'!$B$8:$AL$500,27,0),"")</f>
        <v/>
      </c>
      <c r="Q183" s="19" t="str">
        <f>IF($B183&lt;&gt;"",VLOOKUP($B183,'Planning Sheet'!$B$8:$AL$500,34,0),"")</f>
        <v/>
      </c>
      <c r="R183" s="19" t="str">
        <f>IF($B183&lt;&gt;"",VLOOKUP($B183,'Planning Sheet'!$B$8:$AL$500,36,0),"")</f>
        <v/>
      </c>
      <c r="S183" s="19" t="str">
        <f>IF($B183&lt;&gt;"",VLOOKUP($B183,'Planning Sheet'!$B$8:$AM$500,38,0),"")</f>
        <v/>
      </c>
      <c r="T183" s="18" t="str">
        <f t="shared" si="5"/>
        <v/>
      </c>
      <c r="U183" s="100" t="str">
        <f t="shared" si="4"/>
        <v/>
      </c>
      <c r="Y183" s="48" t="str">
        <f ca="1">IF(AND('Planning Sheet'!$AT188='Weeks Plan'!$D$6,'Planning Sheet'!$AN188='Weeks Plan'!$G$6),'Planning Sheet'!$B188,"")</f>
        <v/>
      </c>
      <c r="Z183" s="48" t="str">
        <f ca="1">IF(AND('Planning Sheet'!$AT188='Weeks Plan'!$D$6,'Planning Sheet'!$AN188='Weeks Plan'!$G$6),'Planning Sheet'!$AO188,"")</f>
        <v/>
      </c>
      <c r="AA183" s="48" t="str">
        <f ca="1">IF(AND('Planning Sheet'!$AT188='Weeks Plan'!$D$6,'Planning Sheet'!$AN188='Weeks Plan'!$G$6),'Planning Sheet'!AP188,"")</f>
        <v/>
      </c>
    </row>
    <row r="184" spans="2:27" x14ac:dyDescent="0.3">
      <c r="B184" s="11"/>
      <c r="C184" s="75" t="str">
        <f>IF($B184&lt;&gt;"",VLOOKUP($B184,'Planning Sheet'!$B$8:$AL$500,3,0),"")</f>
        <v/>
      </c>
      <c r="D184" s="18" t="str">
        <f>IF($B184&lt;&gt;"",VLOOKUP($B184,'Planning Sheet'!$B$8:$AL$500,5,0),"")</f>
        <v/>
      </c>
      <c r="E184" s="18" t="str">
        <f>IF($B184&lt;&gt;"",VLOOKUP($B184,'Planning Sheet'!$B$8:$AL$500,7,0),"")</f>
        <v/>
      </c>
      <c r="F184" s="18" t="str">
        <f>IF($B184&lt;&gt;"",VLOOKUP($B184,'Planning Sheet'!$B$8:$AL$500,9,0),"")</f>
        <v/>
      </c>
      <c r="G184" s="18" t="str">
        <f>IF($B184&lt;&gt;"",VLOOKUP($B184,'Planning Sheet'!$B$8:$AL$500,11,0),"")</f>
        <v/>
      </c>
      <c r="H184" s="18" t="str">
        <f>IF($B184&lt;&gt;"",VLOOKUP($B184,'Planning Sheet'!$B$8:$AL$500,13,0),"")</f>
        <v/>
      </c>
      <c r="I184" s="18" t="str">
        <f>IF($B184&lt;&gt;"",VLOOKUP($B184,'Planning Sheet'!$B$8:$AL$500,15,0),"")</f>
        <v/>
      </c>
      <c r="J184" s="18" t="str">
        <f>IF($B184&lt;&gt;"",VLOOKUP($B184,'Planning Sheet'!$B$8:$AL$500,17,0),"")</f>
        <v/>
      </c>
      <c r="K184" s="18" t="str">
        <f>IF($B184&lt;&gt;"",VLOOKUP($B184,'Planning Sheet'!$B$8:$AL$500,19,0),"")</f>
        <v/>
      </c>
      <c r="L184" s="18" t="str">
        <f>IF($B184&lt;&gt;"",VLOOKUP($B184,'Planning Sheet'!$B$8:$AL$500,21,0),"")</f>
        <v/>
      </c>
      <c r="M184" s="18" t="str">
        <f>IF($B184&lt;&gt;"",VLOOKUP($B184,'Planning Sheet'!$B$8:$AL$500,23,0),"")</f>
        <v/>
      </c>
      <c r="N184" s="18" t="str">
        <f>IF($B184&lt;&gt;"",VLOOKUP($B184,'Planning Sheet'!$B$8:$AL$500,25,0),"")</f>
        <v/>
      </c>
      <c r="O184" s="18" t="str">
        <f>IF($B184&lt;&gt;"",VLOOKUP($B184,'Planning Sheet'!$B$8:$AL$500,26,0),"")</f>
        <v/>
      </c>
      <c r="P184" s="19" t="str">
        <f>IF($B184&lt;&gt;"",VLOOKUP($B184,'Planning Sheet'!$B$8:$AL$500,27,0),"")</f>
        <v/>
      </c>
      <c r="Q184" s="19" t="str">
        <f>IF($B184&lt;&gt;"",VLOOKUP($B184,'Planning Sheet'!$B$8:$AL$500,34,0),"")</f>
        <v/>
      </c>
      <c r="R184" s="19" t="str">
        <f>IF($B184&lt;&gt;"",VLOOKUP($B184,'Planning Sheet'!$B$8:$AL$500,36,0),"")</f>
        <v/>
      </c>
      <c r="S184" s="19" t="str">
        <f>IF($B184&lt;&gt;"",VLOOKUP($B184,'Planning Sheet'!$B$8:$AM$500,38,0),"")</f>
        <v/>
      </c>
      <c r="T184" s="18" t="str">
        <f t="shared" si="5"/>
        <v/>
      </c>
      <c r="U184" s="100" t="str">
        <f t="shared" si="4"/>
        <v/>
      </c>
      <c r="Y184" s="48" t="str">
        <f ca="1">IF(AND('Planning Sheet'!$AT189='Weeks Plan'!$D$6,'Planning Sheet'!$AN189='Weeks Plan'!$G$6),'Planning Sheet'!$B189,"")</f>
        <v/>
      </c>
      <c r="Z184" s="48" t="str">
        <f ca="1">IF(AND('Planning Sheet'!$AT189='Weeks Plan'!$D$6,'Planning Sheet'!$AN189='Weeks Plan'!$G$6),'Planning Sheet'!$AO189,"")</f>
        <v/>
      </c>
      <c r="AA184" s="48" t="str">
        <f ca="1">IF(AND('Planning Sheet'!$AT189='Weeks Plan'!$D$6,'Planning Sheet'!$AN189='Weeks Plan'!$G$6),'Planning Sheet'!AP189,"")</f>
        <v/>
      </c>
    </row>
    <row r="185" spans="2:27" x14ac:dyDescent="0.3">
      <c r="B185" s="11"/>
      <c r="C185" s="75" t="str">
        <f>IF($B185&lt;&gt;"",VLOOKUP($B185,'Planning Sheet'!$B$8:$AL$500,3,0),"")</f>
        <v/>
      </c>
      <c r="D185" s="18" t="str">
        <f>IF($B185&lt;&gt;"",VLOOKUP($B185,'Planning Sheet'!$B$8:$AL$500,5,0),"")</f>
        <v/>
      </c>
      <c r="E185" s="18" t="str">
        <f>IF($B185&lt;&gt;"",VLOOKUP($B185,'Planning Sheet'!$B$8:$AL$500,7,0),"")</f>
        <v/>
      </c>
      <c r="F185" s="18" t="str">
        <f>IF($B185&lt;&gt;"",VLOOKUP($B185,'Planning Sheet'!$B$8:$AL$500,9,0),"")</f>
        <v/>
      </c>
      <c r="G185" s="18" t="str">
        <f>IF($B185&lt;&gt;"",VLOOKUP($B185,'Planning Sheet'!$B$8:$AL$500,11,0),"")</f>
        <v/>
      </c>
      <c r="H185" s="18" t="str">
        <f>IF($B185&lt;&gt;"",VLOOKUP($B185,'Planning Sheet'!$B$8:$AL$500,13,0),"")</f>
        <v/>
      </c>
      <c r="I185" s="18" t="str">
        <f>IF($B185&lt;&gt;"",VLOOKUP($B185,'Planning Sheet'!$B$8:$AL$500,15,0),"")</f>
        <v/>
      </c>
      <c r="J185" s="18" t="str">
        <f>IF($B185&lt;&gt;"",VLOOKUP($B185,'Planning Sheet'!$B$8:$AL$500,17,0),"")</f>
        <v/>
      </c>
      <c r="K185" s="18" t="str">
        <f>IF($B185&lt;&gt;"",VLOOKUP($B185,'Planning Sheet'!$B$8:$AL$500,19,0),"")</f>
        <v/>
      </c>
      <c r="L185" s="18" t="str">
        <f>IF($B185&lt;&gt;"",VLOOKUP($B185,'Planning Sheet'!$B$8:$AL$500,21,0),"")</f>
        <v/>
      </c>
      <c r="M185" s="18" t="str">
        <f>IF($B185&lt;&gt;"",VLOOKUP($B185,'Planning Sheet'!$B$8:$AL$500,23,0),"")</f>
        <v/>
      </c>
      <c r="N185" s="18" t="str">
        <f>IF($B185&lt;&gt;"",VLOOKUP($B185,'Planning Sheet'!$B$8:$AL$500,25,0),"")</f>
        <v/>
      </c>
      <c r="O185" s="18" t="str">
        <f>IF($B185&lt;&gt;"",VLOOKUP($B185,'Planning Sheet'!$B$8:$AL$500,26,0),"")</f>
        <v/>
      </c>
      <c r="P185" s="19" t="str">
        <f>IF($B185&lt;&gt;"",VLOOKUP($B185,'Planning Sheet'!$B$8:$AL$500,27,0),"")</f>
        <v/>
      </c>
      <c r="Q185" s="19" t="str">
        <f>IF($B185&lt;&gt;"",VLOOKUP($B185,'Planning Sheet'!$B$8:$AL$500,34,0),"")</f>
        <v/>
      </c>
      <c r="R185" s="19" t="str">
        <f>IF($B185&lt;&gt;"",VLOOKUP($B185,'Planning Sheet'!$B$8:$AL$500,36,0),"")</f>
        <v/>
      </c>
      <c r="S185" s="19" t="str">
        <f>IF($B185&lt;&gt;"",VLOOKUP($B185,'Planning Sheet'!$B$8:$AM$500,38,0),"")</f>
        <v/>
      </c>
      <c r="T185" s="18" t="str">
        <f t="shared" si="5"/>
        <v/>
      </c>
      <c r="U185" s="100" t="str">
        <f t="shared" si="4"/>
        <v/>
      </c>
      <c r="Y185" s="48" t="str">
        <f ca="1">IF(AND('Planning Sheet'!$AT190='Weeks Plan'!$D$6,'Planning Sheet'!$AN190='Weeks Plan'!$G$6),'Planning Sheet'!$B190,"")</f>
        <v/>
      </c>
      <c r="Z185" s="48" t="str">
        <f ca="1">IF(AND('Planning Sheet'!$AT190='Weeks Plan'!$D$6,'Planning Sheet'!$AN190='Weeks Plan'!$G$6),'Planning Sheet'!$AO190,"")</f>
        <v/>
      </c>
      <c r="AA185" s="48" t="str">
        <f ca="1">IF(AND('Planning Sheet'!$AT190='Weeks Plan'!$D$6,'Planning Sheet'!$AN190='Weeks Plan'!$G$6),'Planning Sheet'!AP190,"")</f>
        <v/>
      </c>
    </row>
    <row r="186" spans="2:27" x14ac:dyDescent="0.3">
      <c r="B186" s="11"/>
      <c r="C186" s="75" t="str">
        <f>IF($B186&lt;&gt;"",VLOOKUP($B186,'Planning Sheet'!$B$8:$AL$500,3,0),"")</f>
        <v/>
      </c>
      <c r="D186" s="18" t="str">
        <f>IF($B186&lt;&gt;"",VLOOKUP($B186,'Planning Sheet'!$B$8:$AL$500,5,0),"")</f>
        <v/>
      </c>
      <c r="E186" s="18" t="str">
        <f>IF($B186&lt;&gt;"",VLOOKUP($B186,'Planning Sheet'!$B$8:$AL$500,7,0),"")</f>
        <v/>
      </c>
      <c r="F186" s="18" t="str">
        <f>IF($B186&lt;&gt;"",VLOOKUP($B186,'Planning Sheet'!$B$8:$AL$500,9,0),"")</f>
        <v/>
      </c>
      <c r="G186" s="18" t="str">
        <f>IF($B186&lt;&gt;"",VLOOKUP($B186,'Planning Sheet'!$B$8:$AL$500,11,0),"")</f>
        <v/>
      </c>
      <c r="H186" s="18" t="str">
        <f>IF($B186&lt;&gt;"",VLOOKUP($B186,'Planning Sheet'!$B$8:$AL$500,13,0),"")</f>
        <v/>
      </c>
      <c r="I186" s="18" t="str">
        <f>IF($B186&lt;&gt;"",VLOOKUP($B186,'Planning Sheet'!$B$8:$AL$500,15,0),"")</f>
        <v/>
      </c>
      <c r="J186" s="18" t="str">
        <f>IF($B186&lt;&gt;"",VLOOKUP($B186,'Planning Sheet'!$B$8:$AL$500,17,0),"")</f>
        <v/>
      </c>
      <c r="K186" s="18" t="str">
        <f>IF($B186&lt;&gt;"",VLOOKUP($B186,'Planning Sheet'!$B$8:$AL$500,19,0),"")</f>
        <v/>
      </c>
      <c r="L186" s="18" t="str">
        <f>IF($B186&lt;&gt;"",VLOOKUP($B186,'Planning Sheet'!$B$8:$AL$500,21,0),"")</f>
        <v/>
      </c>
      <c r="M186" s="18" t="str">
        <f>IF($B186&lt;&gt;"",VLOOKUP($B186,'Planning Sheet'!$B$8:$AL$500,23,0),"")</f>
        <v/>
      </c>
      <c r="N186" s="18" t="str">
        <f>IF($B186&lt;&gt;"",VLOOKUP($B186,'Planning Sheet'!$B$8:$AL$500,25,0),"")</f>
        <v/>
      </c>
      <c r="O186" s="18" t="str">
        <f>IF($B186&lt;&gt;"",VLOOKUP($B186,'Planning Sheet'!$B$8:$AL$500,26,0),"")</f>
        <v/>
      </c>
      <c r="P186" s="19" t="str">
        <f>IF($B186&lt;&gt;"",VLOOKUP($B186,'Planning Sheet'!$B$8:$AL$500,27,0),"")</f>
        <v/>
      </c>
      <c r="Q186" s="19" t="str">
        <f>IF($B186&lt;&gt;"",VLOOKUP($B186,'Planning Sheet'!$B$8:$AL$500,34,0),"")</f>
        <v/>
      </c>
      <c r="R186" s="19" t="str">
        <f>IF($B186&lt;&gt;"",VLOOKUP($B186,'Planning Sheet'!$B$8:$AL$500,36,0),"")</f>
        <v/>
      </c>
      <c r="S186" s="19" t="str">
        <f>IF($B186&lt;&gt;"",VLOOKUP($B186,'Planning Sheet'!$B$8:$AM$500,38,0),"")</f>
        <v/>
      </c>
      <c r="T186" s="18" t="str">
        <f t="shared" si="5"/>
        <v/>
      </c>
      <c r="U186" s="100" t="str">
        <f t="shared" si="4"/>
        <v/>
      </c>
      <c r="Y186" s="48" t="str">
        <f ca="1">IF(AND('Planning Sheet'!$AT191='Weeks Plan'!$D$6,'Planning Sheet'!$AN191='Weeks Plan'!$G$6),'Planning Sheet'!$B191,"")</f>
        <v/>
      </c>
      <c r="Z186" s="48" t="str">
        <f ca="1">IF(AND('Planning Sheet'!$AT191='Weeks Plan'!$D$6,'Planning Sheet'!$AN191='Weeks Plan'!$G$6),'Planning Sheet'!$AO191,"")</f>
        <v/>
      </c>
      <c r="AA186" s="48" t="str">
        <f ca="1">IF(AND('Planning Sheet'!$AT191='Weeks Plan'!$D$6,'Planning Sheet'!$AN191='Weeks Plan'!$G$6),'Planning Sheet'!AP191,"")</f>
        <v/>
      </c>
    </row>
    <row r="187" spans="2:27" x14ac:dyDescent="0.3">
      <c r="B187" s="11"/>
      <c r="C187" s="75" t="str">
        <f>IF($B187&lt;&gt;"",VLOOKUP($B187,'Planning Sheet'!$B$8:$AL$500,3,0),"")</f>
        <v/>
      </c>
      <c r="D187" s="18" t="str">
        <f>IF($B187&lt;&gt;"",VLOOKUP($B187,'Planning Sheet'!$B$8:$AL$500,5,0),"")</f>
        <v/>
      </c>
      <c r="E187" s="18" t="str">
        <f>IF($B187&lt;&gt;"",VLOOKUP($B187,'Planning Sheet'!$B$8:$AL$500,7,0),"")</f>
        <v/>
      </c>
      <c r="F187" s="18" t="str">
        <f>IF($B187&lt;&gt;"",VLOOKUP($B187,'Planning Sheet'!$B$8:$AL$500,9,0),"")</f>
        <v/>
      </c>
      <c r="G187" s="18" t="str">
        <f>IF($B187&lt;&gt;"",VLOOKUP($B187,'Planning Sheet'!$B$8:$AL$500,11,0),"")</f>
        <v/>
      </c>
      <c r="H187" s="18" t="str">
        <f>IF($B187&lt;&gt;"",VLOOKUP($B187,'Planning Sheet'!$B$8:$AL$500,13,0),"")</f>
        <v/>
      </c>
      <c r="I187" s="18" t="str">
        <f>IF($B187&lt;&gt;"",VLOOKUP($B187,'Planning Sheet'!$B$8:$AL$500,15,0),"")</f>
        <v/>
      </c>
      <c r="J187" s="18" t="str">
        <f>IF($B187&lt;&gt;"",VLOOKUP($B187,'Planning Sheet'!$B$8:$AL$500,17,0),"")</f>
        <v/>
      </c>
      <c r="K187" s="18" t="str">
        <f>IF($B187&lt;&gt;"",VLOOKUP($B187,'Planning Sheet'!$B$8:$AL$500,19,0),"")</f>
        <v/>
      </c>
      <c r="L187" s="18" t="str">
        <f>IF($B187&lt;&gt;"",VLOOKUP($B187,'Planning Sheet'!$B$8:$AL$500,21,0),"")</f>
        <v/>
      </c>
      <c r="M187" s="18" t="str">
        <f>IF($B187&lt;&gt;"",VLOOKUP($B187,'Planning Sheet'!$B$8:$AL$500,23,0),"")</f>
        <v/>
      </c>
      <c r="N187" s="18" t="str">
        <f>IF($B187&lt;&gt;"",VLOOKUP($B187,'Planning Sheet'!$B$8:$AL$500,25,0),"")</f>
        <v/>
      </c>
      <c r="O187" s="18" t="str">
        <f>IF($B187&lt;&gt;"",VLOOKUP($B187,'Planning Sheet'!$B$8:$AL$500,26,0),"")</f>
        <v/>
      </c>
      <c r="P187" s="19" t="str">
        <f>IF($B187&lt;&gt;"",VLOOKUP($B187,'Planning Sheet'!$B$8:$AL$500,27,0),"")</f>
        <v/>
      </c>
      <c r="Q187" s="19" t="str">
        <f>IF($B187&lt;&gt;"",VLOOKUP($B187,'Planning Sheet'!$B$8:$AL$500,34,0),"")</f>
        <v/>
      </c>
      <c r="R187" s="19" t="str">
        <f>IF($B187&lt;&gt;"",VLOOKUP($B187,'Planning Sheet'!$B$8:$AL$500,36,0),"")</f>
        <v/>
      </c>
      <c r="S187" s="19" t="str">
        <f>IF($B187&lt;&gt;"",VLOOKUP($B187,'Planning Sheet'!$B$8:$AM$500,38,0),"")</f>
        <v/>
      </c>
      <c r="T187" s="18" t="str">
        <f t="shared" si="5"/>
        <v/>
      </c>
      <c r="U187" s="100" t="str">
        <f t="shared" si="4"/>
        <v/>
      </c>
      <c r="Y187" s="48" t="str">
        <f ca="1">IF(AND('Planning Sheet'!$AT192='Weeks Plan'!$D$6,'Planning Sheet'!$AN192='Weeks Plan'!$G$6),'Planning Sheet'!$B192,"")</f>
        <v/>
      </c>
      <c r="Z187" s="48" t="str">
        <f ca="1">IF(AND('Planning Sheet'!$AT192='Weeks Plan'!$D$6,'Planning Sheet'!$AN192='Weeks Plan'!$G$6),'Planning Sheet'!$AO192,"")</f>
        <v/>
      </c>
      <c r="AA187" s="48" t="str">
        <f ca="1">IF(AND('Planning Sheet'!$AT192='Weeks Plan'!$D$6,'Planning Sheet'!$AN192='Weeks Plan'!$G$6),'Planning Sheet'!AP192,"")</f>
        <v/>
      </c>
    </row>
    <row r="188" spans="2:27" x14ac:dyDescent="0.3">
      <c r="B188" s="11"/>
      <c r="C188" s="75" t="str">
        <f>IF($B188&lt;&gt;"",VLOOKUP($B188,'Planning Sheet'!$B$8:$AL$500,3,0),"")</f>
        <v/>
      </c>
      <c r="D188" s="18" t="str">
        <f>IF($B188&lt;&gt;"",VLOOKUP($B188,'Planning Sheet'!$B$8:$AL$500,5,0),"")</f>
        <v/>
      </c>
      <c r="E188" s="18" t="str">
        <f>IF($B188&lt;&gt;"",VLOOKUP($B188,'Planning Sheet'!$B$8:$AL$500,7,0),"")</f>
        <v/>
      </c>
      <c r="F188" s="18" t="str">
        <f>IF($B188&lt;&gt;"",VLOOKUP($B188,'Planning Sheet'!$B$8:$AL$500,9,0),"")</f>
        <v/>
      </c>
      <c r="G188" s="18" t="str">
        <f>IF($B188&lt;&gt;"",VLOOKUP($B188,'Planning Sheet'!$B$8:$AL$500,11,0),"")</f>
        <v/>
      </c>
      <c r="H188" s="18" t="str">
        <f>IF($B188&lt;&gt;"",VLOOKUP($B188,'Planning Sheet'!$B$8:$AL$500,13,0),"")</f>
        <v/>
      </c>
      <c r="I188" s="18" t="str">
        <f>IF($B188&lt;&gt;"",VLOOKUP($B188,'Planning Sheet'!$B$8:$AL$500,15,0),"")</f>
        <v/>
      </c>
      <c r="J188" s="18" t="str">
        <f>IF($B188&lt;&gt;"",VLOOKUP($B188,'Planning Sheet'!$B$8:$AL$500,17,0),"")</f>
        <v/>
      </c>
      <c r="K188" s="18" t="str">
        <f>IF($B188&lt;&gt;"",VLOOKUP($B188,'Planning Sheet'!$B$8:$AL$500,19,0),"")</f>
        <v/>
      </c>
      <c r="L188" s="18" t="str">
        <f>IF($B188&lt;&gt;"",VLOOKUP($B188,'Planning Sheet'!$B$8:$AL$500,21,0),"")</f>
        <v/>
      </c>
      <c r="M188" s="18" t="str">
        <f>IF($B188&lt;&gt;"",VLOOKUP($B188,'Planning Sheet'!$B$8:$AL$500,23,0),"")</f>
        <v/>
      </c>
      <c r="N188" s="18" t="str">
        <f>IF($B188&lt;&gt;"",VLOOKUP($B188,'Planning Sheet'!$B$8:$AL$500,25,0),"")</f>
        <v/>
      </c>
      <c r="O188" s="18" t="str">
        <f>IF($B188&lt;&gt;"",VLOOKUP($B188,'Planning Sheet'!$B$8:$AL$500,26,0),"")</f>
        <v/>
      </c>
      <c r="P188" s="19" t="str">
        <f>IF($B188&lt;&gt;"",VLOOKUP($B188,'Planning Sheet'!$B$8:$AL$500,27,0),"")</f>
        <v/>
      </c>
      <c r="Q188" s="19" t="str">
        <f>IF($B188&lt;&gt;"",VLOOKUP($B188,'Planning Sheet'!$B$8:$AL$500,34,0),"")</f>
        <v/>
      </c>
      <c r="R188" s="19" t="str">
        <f>IF($B188&lt;&gt;"",VLOOKUP($B188,'Planning Sheet'!$B$8:$AL$500,36,0),"")</f>
        <v/>
      </c>
      <c r="S188" s="19" t="str">
        <f>IF($B188&lt;&gt;"",VLOOKUP($B188,'Planning Sheet'!$B$8:$AM$500,38,0),"")</f>
        <v/>
      </c>
      <c r="T188" s="18" t="str">
        <f t="shared" si="5"/>
        <v/>
      </c>
      <c r="U188" s="100" t="str">
        <f t="shared" si="4"/>
        <v/>
      </c>
      <c r="Y188" s="48" t="str">
        <f ca="1">IF(AND('Planning Sheet'!$AT193='Weeks Plan'!$D$6,'Planning Sheet'!$AN193='Weeks Plan'!$G$6),'Planning Sheet'!$B193,"")</f>
        <v/>
      </c>
      <c r="Z188" s="48" t="str">
        <f ca="1">IF(AND('Planning Sheet'!$AT193='Weeks Plan'!$D$6,'Planning Sheet'!$AN193='Weeks Plan'!$G$6),'Planning Sheet'!$AO193,"")</f>
        <v/>
      </c>
      <c r="AA188" s="48" t="str">
        <f ca="1">IF(AND('Planning Sheet'!$AT193='Weeks Plan'!$D$6,'Planning Sheet'!$AN193='Weeks Plan'!$G$6),'Planning Sheet'!AP193,"")</f>
        <v/>
      </c>
    </row>
    <row r="189" spans="2:27" x14ac:dyDescent="0.3">
      <c r="B189" s="11"/>
      <c r="C189" s="75" t="str">
        <f>IF($B189&lt;&gt;"",VLOOKUP($B189,'Planning Sheet'!$B$8:$AL$500,3,0),"")</f>
        <v/>
      </c>
      <c r="D189" s="18" t="str">
        <f>IF($B189&lt;&gt;"",VLOOKUP($B189,'Planning Sheet'!$B$8:$AL$500,5,0),"")</f>
        <v/>
      </c>
      <c r="E189" s="18" t="str">
        <f>IF($B189&lt;&gt;"",VLOOKUP($B189,'Planning Sheet'!$B$8:$AL$500,7,0),"")</f>
        <v/>
      </c>
      <c r="F189" s="18" t="str">
        <f>IF($B189&lt;&gt;"",VLOOKUP($B189,'Planning Sheet'!$B$8:$AL$500,9,0),"")</f>
        <v/>
      </c>
      <c r="G189" s="18" t="str">
        <f>IF($B189&lt;&gt;"",VLOOKUP($B189,'Planning Sheet'!$B$8:$AL$500,11,0),"")</f>
        <v/>
      </c>
      <c r="H189" s="18" t="str">
        <f>IF($B189&lt;&gt;"",VLOOKUP($B189,'Planning Sheet'!$B$8:$AL$500,13,0),"")</f>
        <v/>
      </c>
      <c r="I189" s="18" t="str">
        <f>IF($B189&lt;&gt;"",VLOOKUP($B189,'Planning Sheet'!$B$8:$AL$500,15,0),"")</f>
        <v/>
      </c>
      <c r="J189" s="18" t="str">
        <f>IF($B189&lt;&gt;"",VLOOKUP($B189,'Planning Sheet'!$B$8:$AL$500,17,0),"")</f>
        <v/>
      </c>
      <c r="K189" s="18" t="str">
        <f>IF($B189&lt;&gt;"",VLOOKUP($B189,'Planning Sheet'!$B$8:$AL$500,19,0),"")</f>
        <v/>
      </c>
      <c r="L189" s="18" t="str">
        <f>IF($B189&lt;&gt;"",VLOOKUP($B189,'Planning Sheet'!$B$8:$AL$500,21,0),"")</f>
        <v/>
      </c>
      <c r="M189" s="18" t="str">
        <f>IF($B189&lt;&gt;"",VLOOKUP($B189,'Planning Sheet'!$B$8:$AL$500,23,0),"")</f>
        <v/>
      </c>
      <c r="N189" s="18" t="str">
        <f>IF($B189&lt;&gt;"",VLOOKUP($B189,'Planning Sheet'!$B$8:$AL$500,25,0),"")</f>
        <v/>
      </c>
      <c r="O189" s="18" t="str">
        <f>IF($B189&lt;&gt;"",VLOOKUP($B189,'Planning Sheet'!$B$8:$AL$500,26,0),"")</f>
        <v/>
      </c>
      <c r="P189" s="19" t="str">
        <f>IF($B189&lt;&gt;"",VLOOKUP($B189,'Planning Sheet'!$B$8:$AL$500,27,0),"")</f>
        <v/>
      </c>
      <c r="Q189" s="19" t="str">
        <f>IF($B189&lt;&gt;"",VLOOKUP($B189,'Planning Sheet'!$B$8:$AL$500,34,0),"")</f>
        <v/>
      </c>
      <c r="R189" s="19" t="str">
        <f>IF($B189&lt;&gt;"",VLOOKUP($B189,'Planning Sheet'!$B$8:$AL$500,36,0),"")</f>
        <v/>
      </c>
      <c r="S189" s="19" t="str">
        <f>IF($B189&lt;&gt;"",VLOOKUP($B189,'Planning Sheet'!$B$8:$AM$500,38,0),"")</f>
        <v/>
      </c>
      <c r="T189" s="18" t="str">
        <f t="shared" si="5"/>
        <v/>
      </c>
      <c r="U189" s="100" t="str">
        <f t="shared" si="4"/>
        <v/>
      </c>
      <c r="Y189" s="48" t="str">
        <f ca="1">IF(AND('Planning Sheet'!$AT194='Weeks Plan'!$D$6,'Planning Sheet'!$AN194='Weeks Plan'!$G$6),'Planning Sheet'!$B194,"")</f>
        <v/>
      </c>
      <c r="Z189" s="48" t="str">
        <f ca="1">IF(AND('Planning Sheet'!$AT194='Weeks Plan'!$D$6,'Planning Sheet'!$AN194='Weeks Plan'!$G$6),'Planning Sheet'!$AO194,"")</f>
        <v/>
      </c>
      <c r="AA189" s="48" t="str">
        <f ca="1">IF(AND('Planning Sheet'!$AT194='Weeks Plan'!$D$6,'Planning Sheet'!$AN194='Weeks Plan'!$G$6),'Planning Sheet'!AP194,"")</f>
        <v/>
      </c>
    </row>
    <row r="190" spans="2:27" x14ac:dyDescent="0.3">
      <c r="B190" s="11"/>
      <c r="C190" s="75" t="str">
        <f>IF($B190&lt;&gt;"",VLOOKUP($B190,'Planning Sheet'!$B$8:$AL$500,3,0),"")</f>
        <v/>
      </c>
      <c r="D190" s="18" t="str">
        <f>IF($B190&lt;&gt;"",VLOOKUP($B190,'Planning Sheet'!$B$8:$AL$500,5,0),"")</f>
        <v/>
      </c>
      <c r="E190" s="18" t="str">
        <f>IF($B190&lt;&gt;"",VLOOKUP($B190,'Planning Sheet'!$B$8:$AL$500,7,0),"")</f>
        <v/>
      </c>
      <c r="F190" s="18" t="str">
        <f>IF($B190&lt;&gt;"",VLOOKUP($B190,'Planning Sheet'!$B$8:$AL$500,9,0),"")</f>
        <v/>
      </c>
      <c r="G190" s="18" t="str">
        <f>IF($B190&lt;&gt;"",VLOOKUP($B190,'Planning Sheet'!$B$8:$AL$500,11,0),"")</f>
        <v/>
      </c>
      <c r="H190" s="18" t="str">
        <f>IF($B190&lt;&gt;"",VLOOKUP($B190,'Planning Sheet'!$B$8:$AL$500,13,0),"")</f>
        <v/>
      </c>
      <c r="I190" s="18" t="str">
        <f>IF($B190&lt;&gt;"",VLOOKUP($B190,'Planning Sheet'!$B$8:$AL$500,15,0),"")</f>
        <v/>
      </c>
      <c r="J190" s="18" t="str">
        <f>IF($B190&lt;&gt;"",VLOOKUP($B190,'Planning Sheet'!$B$8:$AL$500,17,0),"")</f>
        <v/>
      </c>
      <c r="K190" s="18" t="str">
        <f>IF($B190&lt;&gt;"",VLOOKUP($B190,'Planning Sheet'!$B$8:$AL$500,19,0),"")</f>
        <v/>
      </c>
      <c r="L190" s="18" t="str">
        <f>IF($B190&lt;&gt;"",VLOOKUP($B190,'Planning Sheet'!$B$8:$AL$500,21,0),"")</f>
        <v/>
      </c>
      <c r="M190" s="18" t="str">
        <f>IF($B190&lt;&gt;"",VLOOKUP($B190,'Planning Sheet'!$B$8:$AL$500,23,0),"")</f>
        <v/>
      </c>
      <c r="N190" s="18" t="str">
        <f>IF($B190&lt;&gt;"",VLOOKUP($B190,'Planning Sheet'!$B$8:$AL$500,25,0),"")</f>
        <v/>
      </c>
      <c r="O190" s="18" t="str">
        <f>IF($B190&lt;&gt;"",VLOOKUP($B190,'Planning Sheet'!$B$8:$AL$500,26,0),"")</f>
        <v/>
      </c>
      <c r="P190" s="19" t="str">
        <f>IF($B190&lt;&gt;"",VLOOKUP($B190,'Planning Sheet'!$B$8:$AL$500,27,0),"")</f>
        <v/>
      </c>
      <c r="Q190" s="19" t="str">
        <f>IF($B190&lt;&gt;"",VLOOKUP($B190,'Planning Sheet'!$B$8:$AL$500,34,0),"")</f>
        <v/>
      </c>
      <c r="R190" s="19" t="str">
        <f>IF($B190&lt;&gt;"",VLOOKUP($B190,'Planning Sheet'!$B$8:$AL$500,36,0),"")</f>
        <v/>
      </c>
      <c r="S190" s="19" t="str">
        <f>IF($B190&lt;&gt;"",VLOOKUP($B190,'Planning Sheet'!$B$8:$AM$500,38,0),"")</f>
        <v/>
      </c>
      <c r="T190" s="18" t="str">
        <f t="shared" si="5"/>
        <v/>
      </c>
      <c r="U190" s="100" t="str">
        <f t="shared" si="4"/>
        <v/>
      </c>
      <c r="Y190" s="48" t="str">
        <f ca="1">IF(AND('Planning Sheet'!$AT195='Weeks Plan'!$D$6,'Planning Sheet'!$AN195='Weeks Plan'!$G$6),'Planning Sheet'!$B195,"")</f>
        <v/>
      </c>
      <c r="Z190" s="48" t="str">
        <f ca="1">IF(AND('Planning Sheet'!$AT195='Weeks Plan'!$D$6,'Planning Sheet'!$AN195='Weeks Plan'!$G$6),'Planning Sheet'!$AO195,"")</f>
        <v/>
      </c>
      <c r="AA190" s="48" t="str">
        <f ca="1">IF(AND('Planning Sheet'!$AT195='Weeks Plan'!$D$6,'Planning Sheet'!$AN195='Weeks Plan'!$G$6),'Planning Sheet'!AP195,"")</f>
        <v/>
      </c>
    </row>
    <row r="191" spans="2:27" x14ac:dyDescent="0.3">
      <c r="B191" s="11"/>
      <c r="C191" s="75" t="str">
        <f>IF($B191&lt;&gt;"",VLOOKUP($B191,'Planning Sheet'!$B$8:$AL$500,3,0),"")</f>
        <v/>
      </c>
      <c r="D191" s="18" t="str">
        <f>IF($B191&lt;&gt;"",VLOOKUP($B191,'Planning Sheet'!$B$8:$AL$500,5,0),"")</f>
        <v/>
      </c>
      <c r="E191" s="18" t="str">
        <f>IF($B191&lt;&gt;"",VLOOKUP($B191,'Planning Sheet'!$B$8:$AL$500,7,0),"")</f>
        <v/>
      </c>
      <c r="F191" s="18" t="str">
        <f>IF($B191&lt;&gt;"",VLOOKUP($B191,'Planning Sheet'!$B$8:$AL$500,9,0),"")</f>
        <v/>
      </c>
      <c r="G191" s="18" t="str">
        <f>IF($B191&lt;&gt;"",VLOOKUP($B191,'Planning Sheet'!$B$8:$AL$500,11,0),"")</f>
        <v/>
      </c>
      <c r="H191" s="18" t="str">
        <f>IF($B191&lt;&gt;"",VLOOKUP($B191,'Planning Sheet'!$B$8:$AL$500,13,0),"")</f>
        <v/>
      </c>
      <c r="I191" s="18" t="str">
        <f>IF($B191&lt;&gt;"",VLOOKUP($B191,'Planning Sheet'!$B$8:$AL$500,15,0),"")</f>
        <v/>
      </c>
      <c r="J191" s="18" t="str">
        <f>IF($B191&lt;&gt;"",VLOOKUP($B191,'Planning Sheet'!$B$8:$AL$500,17,0),"")</f>
        <v/>
      </c>
      <c r="K191" s="18" t="str">
        <f>IF($B191&lt;&gt;"",VLOOKUP($B191,'Planning Sheet'!$B$8:$AL$500,19,0),"")</f>
        <v/>
      </c>
      <c r="L191" s="18" t="str">
        <f>IF($B191&lt;&gt;"",VLOOKUP($B191,'Planning Sheet'!$B$8:$AL$500,21,0),"")</f>
        <v/>
      </c>
      <c r="M191" s="18" t="str">
        <f>IF($B191&lt;&gt;"",VLOOKUP($B191,'Planning Sheet'!$B$8:$AL$500,23,0),"")</f>
        <v/>
      </c>
      <c r="N191" s="18" t="str">
        <f>IF($B191&lt;&gt;"",VLOOKUP($B191,'Planning Sheet'!$B$8:$AL$500,25,0),"")</f>
        <v/>
      </c>
      <c r="O191" s="18" t="str">
        <f>IF($B191&lt;&gt;"",VLOOKUP($B191,'Planning Sheet'!$B$8:$AL$500,26,0),"")</f>
        <v/>
      </c>
      <c r="P191" s="19" t="str">
        <f>IF($B191&lt;&gt;"",VLOOKUP($B191,'Planning Sheet'!$B$8:$AL$500,27,0),"")</f>
        <v/>
      </c>
      <c r="Q191" s="19" t="str">
        <f>IF($B191&lt;&gt;"",VLOOKUP($B191,'Planning Sheet'!$B$8:$AL$500,34,0),"")</f>
        <v/>
      </c>
      <c r="R191" s="19" t="str">
        <f>IF($B191&lt;&gt;"",VLOOKUP($B191,'Planning Sheet'!$B$8:$AL$500,36,0),"")</f>
        <v/>
      </c>
      <c r="S191" s="19" t="str">
        <f>IF($B191&lt;&gt;"",VLOOKUP($B191,'Planning Sheet'!$B$8:$AM$500,38,0),"")</f>
        <v/>
      </c>
      <c r="T191" s="18" t="str">
        <f t="shared" si="5"/>
        <v/>
      </c>
      <c r="U191" s="100" t="str">
        <f t="shared" si="4"/>
        <v/>
      </c>
      <c r="Y191" s="48" t="str">
        <f ca="1">IF(AND('Planning Sheet'!$AT196='Weeks Plan'!$D$6,'Planning Sheet'!$AN196='Weeks Plan'!$G$6),'Planning Sheet'!$B196,"")</f>
        <v/>
      </c>
      <c r="Z191" s="48" t="str">
        <f ca="1">IF(AND('Planning Sheet'!$AT196='Weeks Plan'!$D$6,'Planning Sheet'!$AN196='Weeks Plan'!$G$6),'Planning Sheet'!$AO196,"")</f>
        <v/>
      </c>
      <c r="AA191" s="48" t="str">
        <f ca="1">IF(AND('Planning Sheet'!$AT196='Weeks Plan'!$D$6,'Planning Sheet'!$AN196='Weeks Plan'!$G$6),'Planning Sheet'!AP196,"")</f>
        <v/>
      </c>
    </row>
    <row r="192" spans="2:27" x14ac:dyDescent="0.3">
      <c r="B192" s="11"/>
      <c r="C192" s="75" t="str">
        <f>IF($B192&lt;&gt;"",VLOOKUP($B192,'Planning Sheet'!$B$8:$AL$500,3,0),"")</f>
        <v/>
      </c>
      <c r="D192" s="18" t="str">
        <f>IF($B192&lt;&gt;"",VLOOKUP($B192,'Planning Sheet'!$B$8:$AL$500,5,0),"")</f>
        <v/>
      </c>
      <c r="E192" s="18" t="str">
        <f>IF($B192&lt;&gt;"",VLOOKUP($B192,'Planning Sheet'!$B$8:$AL$500,7,0),"")</f>
        <v/>
      </c>
      <c r="F192" s="18" t="str">
        <f>IF($B192&lt;&gt;"",VLOOKUP($B192,'Planning Sheet'!$B$8:$AL$500,9,0),"")</f>
        <v/>
      </c>
      <c r="G192" s="18" t="str">
        <f>IF($B192&lt;&gt;"",VLOOKUP($B192,'Planning Sheet'!$B$8:$AL$500,11,0),"")</f>
        <v/>
      </c>
      <c r="H192" s="18" t="str">
        <f>IF($B192&lt;&gt;"",VLOOKUP($B192,'Planning Sheet'!$B$8:$AL$500,13,0),"")</f>
        <v/>
      </c>
      <c r="I192" s="18" t="str">
        <f>IF($B192&lt;&gt;"",VLOOKUP($B192,'Planning Sheet'!$B$8:$AL$500,15,0),"")</f>
        <v/>
      </c>
      <c r="J192" s="18" t="str">
        <f>IF($B192&lt;&gt;"",VLOOKUP($B192,'Planning Sheet'!$B$8:$AL$500,17,0),"")</f>
        <v/>
      </c>
      <c r="K192" s="18" t="str">
        <f>IF($B192&lt;&gt;"",VLOOKUP($B192,'Planning Sheet'!$B$8:$AL$500,19,0),"")</f>
        <v/>
      </c>
      <c r="L192" s="18" t="str">
        <f>IF($B192&lt;&gt;"",VLOOKUP($B192,'Planning Sheet'!$B$8:$AL$500,21,0),"")</f>
        <v/>
      </c>
      <c r="M192" s="18" t="str">
        <f>IF($B192&lt;&gt;"",VLOOKUP($B192,'Planning Sheet'!$B$8:$AL$500,23,0),"")</f>
        <v/>
      </c>
      <c r="N192" s="18" t="str">
        <f>IF($B192&lt;&gt;"",VLOOKUP($B192,'Planning Sheet'!$B$8:$AL$500,25,0),"")</f>
        <v/>
      </c>
      <c r="O192" s="18" t="str">
        <f>IF($B192&lt;&gt;"",VLOOKUP($B192,'Planning Sheet'!$B$8:$AL$500,26,0),"")</f>
        <v/>
      </c>
      <c r="P192" s="19" t="str">
        <f>IF($B192&lt;&gt;"",VLOOKUP($B192,'Planning Sheet'!$B$8:$AL$500,27,0),"")</f>
        <v/>
      </c>
      <c r="Q192" s="19" t="str">
        <f>IF($B192&lt;&gt;"",VLOOKUP($B192,'Planning Sheet'!$B$8:$AL$500,34,0),"")</f>
        <v/>
      </c>
      <c r="R192" s="19" t="str">
        <f>IF($B192&lt;&gt;"",VLOOKUP($B192,'Planning Sheet'!$B$8:$AL$500,36,0),"")</f>
        <v/>
      </c>
      <c r="S192" s="19" t="str">
        <f>IF($B192&lt;&gt;"",VLOOKUP($B192,'Planning Sheet'!$B$8:$AM$500,38,0),"")</f>
        <v/>
      </c>
      <c r="T192" s="18" t="str">
        <f t="shared" si="5"/>
        <v/>
      </c>
      <c r="U192" s="100" t="str">
        <f t="shared" si="4"/>
        <v/>
      </c>
      <c r="Y192" s="48" t="str">
        <f ca="1">IF(AND('Planning Sheet'!$AT197='Weeks Plan'!$D$6,'Planning Sheet'!$AN197='Weeks Plan'!$G$6),'Planning Sheet'!$B197,"")</f>
        <v/>
      </c>
      <c r="Z192" s="48" t="str">
        <f ca="1">IF(AND('Planning Sheet'!$AT197='Weeks Plan'!$D$6,'Planning Sheet'!$AN197='Weeks Plan'!$G$6),'Planning Sheet'!$AO197,"")</f>
        <v/>
      </c>
      <c r="AA192" s="48" t="str">
        <f ca="1">IF(AND('Planning Sheet'!$AT197='Weeks Plan'!$D$6,'Planning Sheet'!$AN197='Weeks Plan'!$G$6),'Planning Sheet'!AP197,"")</f>
        <v/>
      </c>
    </row>
    <row r="193" spans="2:27" x14ac:dyDescent="0.3">
      <c r="B193" s="11"/>
      <c r="C193" s="75" t="str">
        <f>IF($B193&lt;&gt;"",VLOOKUP($B193,'Planning Sheet'!$B$8:$AL$500,3,0),"")</f>
        <v/>
      </c>
      <c r="D193" s="18" t="str">
        <f>IF($B193&lt;&gt;"",VLOOKUP($B193,'Planning Sheet'!$B$8:$AL$500,5,0),"")</f>
        <v/>
      </c>
      <c r="E193" s="18" t="str">
        <f>IF($B193&lt;&gt;"",VLOOKUP($B193,'Planning Sheet'!$B$8:$AL$500,7,0),"")</f>
        <v/>
      </c>
      <c r="F193" s="18" t="str">
        <f>IF($B193&lt;&gt;"",VLOOKUP($B193,'Planning Sheet'!$B$8:$AL$500,9,0),"")</f>
        <v/>
      </c>
      <c r="G193" s="18" t="str">
        <f>IF($B193&lt;&gt;"",VLOOKUP($B193,'Planning Sheet'!$B$8:$AL$500,11,0),"")</f>
        <v/>
      </c>
      <c r="H193" s="18" t="str">
        <f>IF($B193&lt;&gt;"",VLOOKUP($B193,'Planning Sheet'!$B$8:$AL$500,13,0),"")</f>
        <v/>
      </c>
      <c r="I193" s="18" t="str">
        <f>IF($B193&lt;&gt;"",VLOOKUP($B193,'Planning Sheet'!$B$8:$AL$500,15,0),"")</f>
        <v/>
      </c>
      <c r="J193" s="18" t="str">
        <f>IF($B193&lt;&gt;"",VLOOKUP($B193,'Planning Sheet'!$B$8:$AL$500,17,0),"")</f>
        <v/>
      </c>
      <c r="K193" s="18" t="str">
        <f>IF($B193&lt;&gt;"",VLOOKUP($B193,'Planning Sheet'!$B$8:$AL$500,19,0),"")</f>
        <v/>
      </c>
      <c r="L193" s="18" t="str">
        <f>IF($B193&lt;&gt;"",VLOOKUP($B193,'Planning Sheet'!$B$8:$AL$500,21,0),"")</f>
        <v/>
      </c>
      <c r="M193" s="18" t="str">
        <f>IF($B193&lt;&gt;"",VLOOKUP($B193,'Planning Sheet'!$B$8:$AL$500,23,0),"")</f>
        <v/>
      </c>
      <c r="N193" s="18" t="str">
        <f>IF($B193&lt;&gt;"",VLOOKUP($B193,'Planning Sheet'!$B$8:$AL$500,25,0),"")</f>
        <v/>
      </c>
      <c r="O193" s="18" t="str">
        <f>IF($B193&lt;&gt;"",VLOOKUP($B193,'Planning Sheet'!$B$8:$AL$500,26,0),"")</f>
        <v/>
      </c>
      <c r="P193" s="19" t="str">
        <f>IF($B193&lt;&gt;"",VLOOKUP($B193,'Planning Sheet'!$B$8:$AL$500,27,0),"")</f>
        <v/>
      </c>
      <c r="Q193" s="19" t="str">
        <f>IF($B193&lt;&gt;"",VLOOKUP($B193,'Planning Sheet'!$B$8:$AL$500,34,0),"")</f>
        <v/>
      </c>
      <c r="R193" s="19" t="str">
        <f>IF($B193&lt;&gt;"",VLOOKUP($B193,'Planning Sheet'!$B$8:$AL$500,36,0),"")</f>
        <v/>
      </c>
      <c r="S193" s="19" t="str">
        <f>IF($B193&lt;&gt;"",VLOOKUP($B193,'Planning Sheet'!$B$8:$AM$500,38,0),"")</f>
        <v/>
      </c>
      <c r="T193" s="18" t="str">
        <f t="shared" si="5"/>
        <v/>
      </c>
      <c r="U193" s="100" t="str">
        <f t="shared" si="4"/>
        <v/>
      </c>
      <c r="Y193" s="48" t="str">
        <f ca="1">IF(AND('Planning Sheet'!$AT198='Weeks Plan'!$D$6,'Planning Sheet'!$AN198='Weeks Plan'!$G$6),'Planning Sheet'!$B198,"")</f>
        <v/>
      </c>
      <c r="Z193" s="48" t="str">
        <f ca="1">IF(AND('Planning Sheet'!$AT198='Weeks Plan'!$D$6,'Planning Sheet'!$AN198='Weeks Plan'!$G$6),'Planning Sheet'!$AO198,"")</f>
        <v/>
      </c>
      <c r="AA193" s="48" t="str">
        <f ca="1">IF(AND('Planning Sheet'!$AT198='Weeks Plan'!$D$6,'Planning Sheet'!$AN198='Weeks Plan'!$G$6),'Planning Sheet'!AP198,"")</f>
        <v/>
      </c>
    </row>
    <row r="194" spans="2:27" x14ac:dyDescent="0.3">
      <c r="B194" s="11"/>
      <c r="C194" s="75" t="str">
        <f>IF($B194&lt;&gt;"",VLOOKUP($B194,'Planning Sheet'!$B$8:$AL$500,3,0),"")</f>
        <v/>
      </c>
      <c r="D194" s="18" t="str">
        <f>IF($B194&lt;&gt;"",VLOOKUP($B194,'Planning Sheet'!$B$8:$AL$500,5,0),"")</f>
        <v/>
      </c>
      <c r="E194" s="18" t="str">
        <f>IF($B194&lt;&gt;"",VLOOKUP($B194,'Planning Sheet'!$B$8:$AL$500,7,0),"")</f>
        <v/>
      </c>
      <c r="F194" s="18" t="str">
        <f>IF($B194&lt;&gt;"",VLOOKUP($B194,'Planning Sheet'!$B$8:$AL$500,9,0),"")</f>
        <v/>
      </c>
      <c r="G194" s="18" t="str">
        <f>IF($B194&lt;&gt;"",VLOOKUP($B194,'Planning Sheet'!$B$8:$AL$500,11,0),"")</f>
        <v/>
      </c>
      <c r="H194" s="18" t="str">
        <f>IF($B194&lt;&gt;"",VLOOKUP($B194,'Planning Sheet'!$B$8:$AL$500,13,0),"")</f>
        <v/>
      </c>
      <c r="I194" s="18" t="str">
        <f>IF($B194&lt;&gt;"",VLOOKUP($B194,'Planning Sheet'!$B$8:$AL$500,15,0),"")</f>
        <v/>
      </c>
      <c r="J194" s="18" t="str">
        <f>IF($B194&lt;&gt;"",VLOOKUP($B194,'Planning Sheet'!$B$8:$AL$500,17,0),"")</f>
        <v/>
      </c>
      <c r="K194" s="18" t="str">
        <f>IF($B194&lt;&gt;"",VLOOKUP($B194,'Planning Sheet'!$B$8:$AL$500,19,0),"")</f>
        <v/>
      </c>
      <c r="L194" s="18" t="str">
        <f>IF($B194&lt;&gt;"",VLOOKUP($B194,'Planning Sheet'!$B$8:$AL$500,21,0),"")</f>
        <v/>
      </c>
      <c r="M194" s="18" t="str">
        <f>IF($B194&lt;&gt;"",VLOOKUP($B194,'Planning Sheet'!$B$8:$AL$500,23,0),"")</f>
        <v/>
      </c>
      <c r="N194" s="18" t="str">
        <f>IF($B194&lt;&gt;"",VLOOKUP($B194,'Planning Sheet'!$B$8:$AL$500,25,0),"")</f>
        <v/>
      </c>
      <c r="O194" s="18" t="str">
        <f>IF($B194&lt;&gt;"",VLOOKUP($B194,'Planning Sheet'!$B$8:$AL$500,26,0),"")</f>
        <v/>
      </c>
      <c r="P194" s="19" t="str">
        <f>IF($B194&lt;&gt;"",VLOOKUP($B194,'Planning Sheet'!$B$8:$AL$500,27,0),"")</f>
        <v/>
      </c>
      <c r="Q194" s="19" t="str">
        <f>IF($B194&lt;&gt;"",VLOOKUP($B194,'Planning Sheet'!$B$8:$AL$500,34,0),"")</f>
        <v/>
      </c>
      <c r="R194" s="19" t="str">
        <f>IF($B194&lt;&gt;"",VLOOKUP($B194,'Planning Sheet'!$B$8:$AL$500,36,0),"")</f>
        <v/>
      </c>
      <c r="S194" s="19" t="str">
        <f>IF($B194&lt;&gt;"",VLOOKUP($B194,'Planning Sheet'!$B$8:$AM$500,38,0),"")</f>
        <v/>
      </c>
      <c r="T194" s="18" t="str">
        <f t="shared" si="5"/>
        <v/>
      </c>
      <c r="U194" s="100" t="str">
        <f t="shared" si="4"/>
        <v/>
      </c>
      <c r="Y194" s="48" t="str">
        <f ca="1">IF(AND('Planning Sheet'!$AT199='Weeks Plan'!$D$6,'Planning Sheet'!$AN199='Weeks Plan'!$G$6),'Planning Sheet'!$B199,"")</f>
        <v/>
      </c>
      <c r="Z194" s="48" t="str">
        <f ca="1">IF(AND('Planning Sheet'!$AT199='Weeks Plan'!$D$6,'Planning Sheet'!$AN199='Weeks Plan'!$G$6),'Planning Sheet'!$AO199,"")</f>
        <v/>
      </c>
      <c r="AA194" s="48" t="str">
        <f ca="1">IF(AND('Planning Sheet'!$AT199='Weeks Plan'!$D$6,'Planning Sheet'!$AN199='Weeks Plan'!$G$6),'Planning Sheet'!AP199,"")</f>
        <v/>
      </c>
    </row>
    <row r="195" spans="2:27" x14ac:dyDescent="0.3">
      <c r="B195" s="11"/>
      <c r="C195" s="75" t="str">
        <f>IF($B195&lt;&gt;"",VLOOKUP($B195,'Planning Sheet'!$B$8:$AL$500,3,0),"")</f>
        <v/>
      </c>
      <c r="D195" s="18" t="str">
        <f>IF($B195&lt;&gt;"",VLOOKUP($B195,'Planning Sheet'!$B$8:$AL$500,5,0),"")</f>
        <v/>
      </c>
      <c r="E195" s="18" t="str">
        <f>IF($B195&lt;&gt;"",VLOOKUP($B195,'Planning Sheet'!$B$8:$AL$500,7,0),"")</f>
        <v/>
      </c>
      <c r="F195" s="18" t="str">
        <f>IF($B195&lt;&gt;"",VLOOKUP($B195,'Planning Sheet'!$B$8:$AL$500,9,0),"")</f>
        <v/>
      </c>
      <c r="G195" s="18" t="str">
        <f>IF($B195&lt;&gt;"",VLOOKUP($B195,'Planning Sheet'!$B$8:$AL$500,11,0),"")</f>
        <v/>
      </c>
      <c r="H195" s="18" t="str">
        <f>IF($B195&lt;&gt;"",VLOOKUP($B195,'Planning Sheet'!$B$8:$AL$500,13,0),"")</f>
        <v/>
      </c>
      <c r="I195" s="18" t="str">
        <f>IF($B195&lt;&gt;"",VLOOKUP($B195,'Planning Sheet'!$B$8:$AL$500,15,0),"")</f>
        <v/>
      </c>
      <c r="J195" s="18" t="str">
        <f>IF($B195&lt;&gt;"",VLOOKUP($B195,'Planning Sheet'!$B$8:$AL$500,17,0),"")</f>
        <v/>
      </c>
      <c r="K195" s="18" t="str">
        <f>IF($B195&lt;&gt;"",VLOOKUP($B195,'Planning Sheet'!$B$8:$AL$500,19,0),"")</f>
        <v/>
      </c>
      <c r="L195" s="18" t="str">
        <f>IF($B195&lt;&gt;"",VLOOKUP($B195,'Planning Sheet'!$B$8:$AL$500,21,0),"")</f>
        <v/>
      </c>
      <c r="M195" s="18" t="str">
        <f>IF($B195&lt;&gt;"",VLOOKUP($B195,'Planning Sheet'!$B$8:$AL$500,23,0),"")</f>
        <v/>
      </c>
      <c r="N195" s="18" t="str">
        <f>IF($B195&lt;&gt;"",VLOOKUP($B195,'Planning Sheet'!$B$8:$AL$500,25,0),"")</f>
        <v/>
      </c>
      <c r="O195" s="18" t="str">
        <f>IF($B195&lt;&gt;"",VLOOKUP($B195,'Planning Sheet'!$B$8:$AL$500,26,0),"")</f>
        <v/>
      </c>
      <c r="P195" s="19" t="str">
        <f>IF($B195&lt;&gt;"",VLOOKUP($B195,'Planning Sheet'!$B$8:$AL$500,27,0),"")</f>
        <v/>
      </c>
      <c r="Q195" s="19" t="str">
        <f>IF($B195&lt;&gt;"",VLOOKUP($B195,'Planning Sheet'!$B$8:$AL$500,34,0),"")</f>
        <v/>
      </c>
      <c r="R195" s="19" t="str">
        <f>IF($B195&lt;&gt;"",VLOOKUP($B195,'Planning Sheet'!$B$8:$AL$500,36,0),"")</f>
        <v/>
      </c>
      <c r="S195" s="19" t="str">
        <f>IF($B195&lt;&gt;"",VLOOKUP($B195,'Planning Sheet'!$B$8:$AM$500,38,0),"")</f>
        <v/>
      </c>
      <c r="T195" s="18" t="str">
        <f t="shared" si="5"/>
        <v/>
      </c>
      <c r="U195" s="100" t="str">
        <f t="shared" si="4"/>
        <v/>
      </c>
      <c r="Y195" s="48" t="str">
        <f ca="1">IF(AND('Planning Sheet'!$AT200='Weeks Plan'!$D$6,'Planning Sheet'!$AN200='Weeks Plan'!$G$6),'Planning Sheet'!$B200,"")</f>
        <v/>
      </c>
      <c r="Z195" s="48" t="str">
        <f ca="1">IF(AND('Planning Sheet'!$AT200='Weeks Plan'!$D$6,'Planning Sheet'!$AN200='Weeks Plan'!$G$6),'Planning Sheet'!$AO200,"")</f>
        <v/>
      </c>
      <c r="AA195" s="48" t="str">
        <f ca="1">IF(AND('Planning Sheet'!$AT200='Weeks Plan'!$D$6,'Planning Sheet'!$AN200='Weeks Plan'!$G$6),'Planning Sheet'!AP200,"")</f>
        <v/>
      </c>
    </row>
    <row r="196" spans="2:27" x14ac:dyDescent="0.3">
      <c r="B196" s="11"/>
      <c r="C196" s="75" t="str">
        <f>IF($B196&lt;&gt;"",VLOOKUP($B196,'Planning Sheet'!$B$8:$AL$500,3,0),"")</f>
        <v/>
      </c>
      <c r="D196" s="18" t="str">
        <f>IF($B196&lt;&gt;"",VLOOKUP($B196,'Planning Sheet'!$B$8:$AL$500,5,0),"")</f>
        <v/>
      </c>
      <c r="E196" s="18" t="str">
        <f>IF($B196&lt;&gt;"",VLOOKUP($B196,'Planning Sheet'!$B$8:$AL$500,7,0),"")</f>
        <v/>
      </c>
      <c r="F196" s="18" t="str">
        <f>IF($B196&lt;&gt;"",VLOOKUP($B196,'Planning Sheet'!$B$8:$AL$500,9,0),"")</f>
        <v/>
      </c>
      <c r="G196" s="18" t="str">
        <f>IF($B196&lt;&gt;"",VLOOKUP($B196,'Planning Sheet'!$B$8:$AL$500,11,0),"")</f>
        <v/>
      </c>
      <c r="H196" s="18" t="str">
        <f>IF($B196&lt;&gt;"",VLOOKUP($B196,'Planning Sheet'!$B$8:$AL$500,13,0),"")</f>
        <v/>
      </c>
      <c r="I196" s="18" t="str">
        <f>IF($B196&lt;&gt;"",VLOOKUP($B196,'Planning Sheet'!$B$8:$AL$500,15,0),"")</f>
        <v/>
      </c>
      <c r="J196" s="18" t="str">
        <f>IF($B196&lt;&gt;"",VLOOKUP($B196,'Planning Sheet'!$B$8:$AL$500,17,0),"")</f>
        <v/>
      </c>
      <c r="K196" s="18" t="str">
        <f>IF($B196&lt;&gt;"",VLOOKUP($B196,'Planning Sheet'!$B$8:$AL$500,19,0),"")</f>
        <v/>
      </c>
      <c r="L196" s="18" t="str">
        <f>IF($B196&lt;&gt;"",VLOOKUP($B196,'Planning Sheet'!$B$8:$AL$500,21,0),"")</f>
        <v/>
      </c>
      <c r="M196" s="18" t="str">
        <f>IF($B196&lt;&gt;"",VLOOKUP($B196,'Planning Sheet'!$B$8:$AL$500,23,0),"")</f>
        <v/>
      </c>
      <c r="N196" s="18" t="str">
        <f>IF($B196&lt;&gt;"",VLOOKUP($B196,'Planning Sheet'!$B$8:$AL$500,25,0),"")</f>
        <v/>
      </c>
      <c r="O196" s="18" t="str">
        <f>IF($B196&lt;&gt;"",VLOOKUP($B196,'Planning Sheet'!$B$8:$AL$500,26,0),"")</f>
        <v/>
      </c>
      <c r="P196" s="19" t="str">
        <f>IF($B196&lt;&gt;"",VLOOKUP($B196,'Planning Sheet'!$B$8:$AL$500,27,0),"")</f>
        <v/>
      </c>
      <c r="Q196" s="19" t="str">
        <f>IF($B196&lt;&gt;"",VLOOKUP($B196,'Planning Sheet'!$B$8:$AL$500,34,0),"")</f>
        <v/>
      </c>
      <c r="R196" s="19" t="str">
        <f>IF($B196&lt;&gt;"",VLOOKUP($B196,'Planning Sheet'!$B$8:$AL$500,36,0),"")</f>
        <v/>
      </c>
      <c r="S196" s="19" t="str">
        <f>IF($B196&lt;&gt;"",VLOOKUP($B196,'Planning Sheet'!$B$8:$AM$500,38,0),"")</f>
        <v/>
      </c>
      <c r="T196" s="18" t="str">
        <f t="shared" si="5"/>
        <v/>
      </c>
      <c r="U196" s="100" t="str">
        <f t="shared" si="4"/>
        <v/>
      </c>
      <c r="Y196" s="48" t="str">
        <f ca="1">IF(AND('Planning Sheet'!$AT201='Weeks Plan'!$D$6,'Planning Sheet'!$AN201='Weeks Plan'!$G$6),'Planning Sheet'!$B201,"")</f>
        <v/>
      </c>
      <c r="Z196" s="48" t="str">
        <f ca="1">IF(AND('Planning Sheet'!$AT201='Weeks Plan'!$D$6,'Planning Sheet'!$AN201='Weeks Plan'!$G$6),'Planning Sheet'!$AO201,"")</f>
        <v/>
      </c>
      <c r="AA196" s="48" t="str">
        <f ca="1">IF(AND('Planning Sheet'!$AT201='Weeks Plan'!$D$6,'Planning Sheet'!$AN201='Weeks Plan'!$G$6),'Planning Sheet'!AP201,"")</f>
        <v/>
      </c>
    </row>
    <row r="197" spans="2:27" x14ac:dyDescent="0.3">
      <c r="B197" s="11"/>
      <c r="C197" s="75" t="str">
        <f>IF($B197&lt;&gt;"",VLOOKUP($B197,'Planning Sheet'!$B$8:$AL$500,3,0),"")</f>
        <v/>
      </c>
      <c r="D197" s="18" t="str">
        <f>IF($B197&lt;&gt;"",VLOOKUP($B197,'Planning Sheet'!$B$8:$AL$500,5,0),"")</f>
        <v/>
      </c>
      <c r="E197" s="18" t="str">
        <f>IF($B197&lt;&gt;"",VLOOKUP($B197,'Planning Sheet'!$B$8:$AL$500,7,0),"")</f>
        <v/>
      </c>
      <c r="F197" s="18" t="str">
        <f>IF($B197&lt;&gt;"",VLOOKUP($B197,'Planning Sheet'!$B$8:$AL$500,9,0),"")</f>
        <v/>
      </c>
      <c r="G197" s="18" t="str">
        <f>IF($B197&lt;&gt;"",VLOOKUP($B197,'Planning Sheet'!$B$8:$AL$500,11,0),"")</f>
        <v/>
      </c>
      <c r="H197" s="18" t="str">
        <f>IF($B197&lt;&gt;"",VLOOKUP($B197,'Planning Sheet'!$B$8:$AL$500,13,0),"")</f>
        <v/>
      </c>
      <c r="I197" s="18" t="str">
        <f>IF($B197&lt;&gt;"",VLOOKUP($B197,'Planning Sheet'!$B$8:$AL$500,15,0),"")</f>
        <v/>
      </c>
      <c r="J197" s="18" t="str">
        <f>IF($B197&lt;&gt;"",VLOOKUP($B197,'Planning Sheet'!$B$8:$AL$500,17,0),"")</f>
        <v/>
      </c>
      <c r="K197" s="18" t="str">
        <f>IF($B197&lt;&gt;"",VLOOKUP($B197,'Planning Sheet'!$B$8:$AL$500,19,0),"")</f>
        <v/>
      </c>
      <c r="L197" s="18" t="str">
        <f>IF($B197&lt;&gt;"",VLOOKUP($B197,'Planning Sheet'!$B$8:$AL$500,21,0),"")</f>
        <v/>
      </c>
      <c r="M197" s="18" t="str">
        <f>IF($B197&lt;&gt;"",VLOOKUP($B197,'Planning Sheet'!$B$8:$AL$500,23,0),"")</f>
        <v/>
      </c>
      <c r="N197" s="18" t="str">
        <f>IF($B197&lt;&gt;"",VLOOKUP($B197,'Planning Sheet'!$B$8:$AL$500,25,0),"")</f>
        <v/>
      </c>
      <c r="O197" s="18" t="str">
        <f>IF($B197&lt;&gt;"",VLOOKUP($B197,'Planning Sheet'!$B$8:$AL$500,26,0),"")</f>
        <v/>
      </c>
      <c r="P197" s="19" t="str">
        <f>IF($B197&lt;&gt;"",VLOOKUP($B197,'Planning Sheet'!$B$8:$AL$500,27,0),"")</f>
        <v/>
      </c>
      <c r="Q197" s="19" t="str">
        <f>IF($B197&lt;&gt;"",VLOOKUP($B197,'Planning Sheet'!$B$8:$AL$500,34,0),"")</f>
        <v/>
      </c>
      <c r="R197" s="19" t="str">
        <f>IF($B197&lt;&gt;"",VLOOKUP($B197,'Planning Sheet'!$B$8:$AL$500,36,0),"")</f>
        <v/>
      </c>
      <c r="S197" s="19" t="str">
        <f>IF($B197&lt;&gt;"",VLOOKUP($B197,'Planning Sheet'!$B$8:$AM$500,38,0),"")</f>
        <v/>
      </c>
      <c r="T197" s="18" t="str">
        <f t="shared" si="5"/>
        <v/>
      </c>
      <c r="U197" s="100" t="str">
        <f t="shared" si="4"/>
        <v/>
      </c>
      <c r="Y197" s="48" t="str">
        <f ca="1">IF(AND('Planning Sheet'!$AT202='Weeks Plan'!$D$6,'Planning Sheet'!$AN202='Weeks Plan'!$G$6),'Planning Sheet'!$B202,"")</f>
        <v/>
      </c>
      <c r="Z197" s="48" t="str">
        <f ca="1">IF(AND('Planning Sheet'!$AT202='Weeks Plan'!$D$6,'Planning Sheet'!$AN202='Weeks Plan'!$G$6),'Planning Sheet'!$AO202,"")</f>
        <v/>
      </c>
      <c r="AA197" s="48" t="str">
        <f ca="1">IF(AND('Planning Sheet'!$AT202='Weeks Plan'!$D$6,'Planning Sheet'!$AN202='Weeks Plan'!$G$6),'Planning Sheet'!AP202,"")</f>
        <v/>
      </c>
    </row>
    <row r="198" spans="2:27" x14ac:dyDescent="0.3">
      <c r="B198" s="11"/>
      <c r="C198" s="75" t="str">
        <f>IF($B198&lt;&gt;"",VLOOKUP($B198,'Planning Sheet'!$B$8:$AL$500,3,0),"")</f>
        <v/>
      </c>
      <c r="D198" s="18" t="str">
        <f>IF($B198&lt;&gt;"",VLOOKUP($B198,'Planning Sheet'!$B$8:$AL$500,5,0),"")</f>
        <v/>
      </c>
      <c r="E198" s="18" t="str">
        <f>IF($B198&lt;&gt;"",VLOOKUP($B198,'Planning Sheet'!$B$8:$AL$500,7,0),"")</f>
        <v/>
      </c>
      <c r="F198" s="18" t="str">
        <f>IF($B198&lt;&gt;"",VLOOKUP($B198,'Planning Sheet'!$B$8:$AL$500,9,0),"")</f>
        <v/>
      </c>
      <c r="G198" s="18" t="str">
        <f>IF($B198&lt;&gt;"",VLOOKUP($B198,'Planning Sheet'!$B$8:$AL$500,11,0),"")</f>
        <v/>
      </c>
      <c r="H198" s="18" t="str">
        <f>IF($B198&lt;&gt;"",VLOOKUP($B198,'Planning Sheet'!$B$8:$AL$500,13,0),"")</f>
        <v/>
      </c>
      <c r="I198" s="18" t="str">
        <f>IF($B198&lt;&gt;"",VLOOKUP($B198,'Planning Sheet'!$B$8:$AL$500,15,0),"")</f>
        <v/>
      </c>
      <c r="J198" s="18" t="str">
        <f>IF($B198&lt;&gt;"",VLOOKUP($B198,'Planning Sheet'!$B$8:$AL$500,17,0),"")</f>
        <v/>
      </c>
      <c r="K198" s="18" t="str">
        <f>IF($B198&lt;&gt;"",VLOOKUP($B198,'Planning Sheet'!$B$8:$AL$500,19,0),"")</f>
        <v/>
      </c>
      <c r="L198" s="18" t="str">
        <f>IF($B198&lt;&gt;"",VLOOKUP($B198,'Planning Sheet'!$B$8:$AL$500,21,0),"")</f>
        <v/>
      </c>
      <c r="M198" s="18" t="str">
        <f>IF($B198&lt;&gt;"",VLOOKUP($B198,'Planning Sheet'!$B$8:$AL$500,23,0),"")</f>
        <v/>
      </c>
      <c r="N198" s="18" t="str">
        <f>IF($B198&lt;&gt;"",VLOOKUP($B198,'Planning Sheet'!$B$8:$AL$500,25,0),"")</f>
        <v/>
      </c>
      <c r="O198" s="18" t="str">
        <f>IF($B198&lt;&gt;"",VLOOKUP($B198,'Planning Sheet'!$B$8:$AL$500,26,0),"")</f>
        <v/>
      </c>
      <c r="P198" s="19" t="str">
        <f>IF($B198&lt;&gt;"",VLOOKUP($B198,'Planning Sheet'!$B$8:$AL$500,27,0),"")</f>
        <v/>
      </c>
      <c r="Q198" s="19" t="str">
        <f>IF($B198&lt;&gt;"",VLOOKUP($B198,'Planning Sheet'!$B$8:$AL$500,34,0),"")</f>
        <v/>
      </c>
      <c r="R198" s="19" t="str">
        <f>IF($B198&lt;&gt;"",VLOOKUP($B198,'Planning Sheet'!$B$8:$AL$500,36,0),"")</f>
        <v/>
      </c>
      <c r="S198" s="19" t="str">
        <f>IF($B198&lt;&gt;"",VLOOKUP($B198,'Planning Sheet'!$B$8:$AM$500,38,0),"")</f>
        <v/>
      </c>
      <c r="T198" s="18" t="str">
        <f t="shared" si="5"/>
        <v/>
      </c>
      <c r="U198" s="100" t="str">
        <f t="shared" si="4"/>
        <v/>
      </c>
      <c r="Y198" s="48" t="str">
        <f ca="1">IF(AND('Planning Sheet'!$AT203='Weeks Plan'!$D$6,'Planning Sheet'!$AN203='Weeks Plan'!$G$6),'Planning Sheet'!$B203,"")</f>
        <v/>
      </c>
      <c r="Z198" s="48" t="str">
        <f ca="1">IF(AND('Planning Sheet'!$AT203='Weeks Plan'!$D$6,'Planning Sheet'!$AN203='Weeks Plan'!$G$6),'Planning Sheet'!$AO203,"")</f>
        <v/>
      </c>
      <c r="AA198" s="48" t="str">
        <f ca="1">IF(AND('Planning Sheet'!$AT203='Weeks Plan'!$D$6,'Planning Sheet'!$AN203='Weeks Plan'!$G$6),'Planning Sheet'!AP203,"")</f>
        <v/>
      </c>
    </row>
    <row r="199" spans="2:27" x14ac:dyDescent="0.3">
      <c r="B199" s="11"/>
      <c r="C199" s="75" t="str">
        <f>IF($B199&lt;&gt;"",VLOOKUP($B199,'Planning Sheet'!$B$8:$AL$500,3,0),"")</f>
        <v/>
      </c>
      <c r="D199" s="18" t="str">
        <f>IF($B199&lt;&gt;"",VLOOKUP($B199,'Planning Sheet'!$B$8:$AL$500,5,0),"")</f>
        <v/>
      </c>
      <c r="E199" s="18" t="str">
        <f>IF($B199&lt;&gt;"",VLOOKUP($B199,'Planning Sheet'!$B$8:$AL$500,7,0),"")</f>
        <v/>
      </c>
      <c r="F199" s="18" t="str">
        <f>IF($B199&lt;&gt;"",VLOOKUP($B199,'Planning Sheet'!$B$8:$AL$500,9,0),"")</f>
        <v/>
      </c>
      <c r="G199" s="18" t="str">
        <f>IF($B199&lt;&gt;"",VLOOKUP($B199,'Planning Sheet'!$B$8:$AL$500,11,0),"")</f>
        <v/>
      </c>
      <c r="H199" s="18" t="str">
        <f>IF($B199&lt;&gt;"",VLOOKUP($B199,'Planning Sheet'!$B$8:$AL$500,13,0),"")</f>
        <v/>
      </c>
      <c r="I199" s="18" t="str">
        <f>IF($B199&lt;&gt;"",VLOOKUP($B199,'Planning Sheet'!$B$8:$AL$500,15,0),"")</f>
        <v/>
      </c>
      <c r="J199" s="18" t="str">
        <f>IF($B199&lt;&gt;"",VLOOKUP($B199,'Planning Sheet'!$B$8:$AL$500,17,0),"")</f>
        <v/>
      </c>
      <c r="K199" s="18" t="str">
        <f>IF($B199&lt;&gt;"",VLOOKUP($B199,'Planning Sheet'!$B$8:$AL$500,19,0),"")</f>
        <v/>
      </c>
      <c r="L199" s="18" t="str">
        <f>IF($B199&lt;&gt;"",VLOOKUP($B199,'Planning Sheet'!$B$8:$AL$500,21,0),"")</f>
        <v/>
      </c>
      <c r="M199" s="18" t="str">
        <f>IF($B199&lt;&gt;"",VLOOKUP($B199,'Planning Sheet'!$B$8:$AL$500,23,0),"")</f>
        <v/>
      </c>
      <c r="N199" s="18" t="str">
        <f>IF($B199&lt;&gt;"",VLOOKUP($B199,'Planning Sheet'!$B$8:$AL$500,25,0),"")</f>
        <v/>
      </c>
      <c r="O199" s="18" t="str">
        <f>IF($B199&lt;&gt;"",VLOOKUP($B199,'Planning Sheet'!$B$8:$AL$500,26,0),"")</f>
        <v/>
      </c>
      <c r="P199" s="19" t="str">
        <f>IF($B199&lt;&gt;"",VLOOKUP($B199,'Planning Sheet'!$B$8:$AL$500,27,0),"")</f>
        <v/>
      </c>
      <c r="Q199" s="19" t="str">
        <f>IF($B199&lt;&gt;"",VLOOKUP($B199,'Planning Sheet'!$B$8:$AL$500,34,0),"")</f>
        <v/>
      </c>
      <c r="R199" s="19" t="str">
        <f>IF($B199&lt;&gt;"",VLOOKUP($B199,'Planning Sheet'!$B$8:$AL$500,36,0),"")</f>
        <v/>
      </c>
      <c r="S199" s="19" t="str">
        <f>IF($B199&lt;&gt;"",VLOOKUP($B199,'Planning Sheet'!$B$8:$AM$500,38,0),"")</f>
        <v/>
      </c>
      <c r="T199" s="18" t="str">
        <f t="shared" si="5"/>
        <v/>
      </c>
      <c r="U199" s="100" t="str">
        <f t="shared" si="4"/>
        <v/>
      </c>
      <c r="Y199" s="48" t="str">
        <f ca="1">IF(AND('Planning Sheet'!$AT204='Weeks Plan'!$D$6,'Planning Sheet'!$AN204='Weeks Plan'!$G$6),'Planning Sheet'!$B204,"")</f>
        <v/>
      </c>
      <c r="Z199" s="48" t="str">
        <f ca="1">IF(AND('Planning Sheet'!$AT204='Weeks Plan'!$D$6,'Planning Sheet'!$AN204='Weeks Plan'!$G$6),'Planning Sheet'!$AO204,"")</f>
        <v/>
      </c>
      <c r="AA199" s="48" t="str">
        <f ca="1">IF(AND('Planning Sheet'!$AT204='Weeks Plan'!$D$6,'Planning Sheet'!$AN204='Weeks Plan'!$G$6),'Planning Sheet'!AP204,"")</f>
        <v/>
      </c>
    </row>
    <row r="200" spans="2:27" ht="15" thickBot="1" x14ac:dyDescent="0.35">
      <c r="B200" s="11"/>
      <c r="C200" s="77" t="str">
        <f>IF($B200&lt;&gt;"",VLOOKUP($B200,'Planning Sheet'!$B$8:$AL$500,3,0),"")</f>
        <v/>
      </c>
      <c r="D200" s="31" t="str">
        <f>IF($B200&lt;&gt;"",VLOOKUP($B200,'Planning Sheet'!$B$8:$AL$500,5,0),"")</f>
        <v/>
      </c>
      <c r="E200" s="31" t="str">
        <f>IF($B200&lt;&gt;"",VLOOKUP($B200,'Planning Sheet'!$B$8:$AL$500,7,0),"")</f>
        <v/>
      </c>
      <c r="F200" s="31" t="str">
        <f>IF($B200&lt;&gt;"",VLOOKUP($B200,'Planning Sheet'!$B$8:$AL$500,9,0),"")</f>
        <v/>
      </c>
      <c r="G200" s="31" t="str">
        <f>IF($B200&lt;&gt;"",VLOOKUP($B200,'Planning Sheet'!$B$8:$AL$500,11,0),"")</f>
        <v/>
      </c>
      <c r="H200" s="31" t="str">
        <f>IF($B200&lt;&gt;"",VLOOKUP($B200,'Planning Sheet'!$B$8:$AL$500,13,0),"")</f>
        <v/>
      </c>
      <c r="I200" s="31" t="str">
        <f>IF($B200&lt;&gt;"",VLOOKUP($B200,'Planning Sheet'!$B$8:$AL$500,15,0),"")</f>
        <v/>
      </c>
      <c r="J200" s="31" t="str">
        <f>IF($B200&lt;&gt;"",VLOOKUP($B200,'Planning Sheet'!$B$8:$AL$500,17,0),"")</f>
        <v/>
      </c>
      <c r="K200" s="31" t="str">
        <f>IF($B200&lt;&gt;"",VLOOKUP($B200,'Planning Sheet'!$B$8:$AL$500,19,0),"")</f>
        <v/>
      </c>
      <c r="L200" s="31" t="str">
        <f>IF($B200&lt;&gt;"",VLOOKUP($B200,'Planning Sheet'!$B$8:$AL$500,21,0),"")</f>
        <v/>
      </c>
      <c r="M200" s="31" t="str">
        <f>IF($B200&lt;&gt;"",VLOOKUP($B200,'Planning Sheet'!$B$8:$AL$500,23,0),"")</f>
        <v/>
      </c>
      <c r="N200" s="31" t="str">
        <f>IF($B200&lt;&gt;"",VLOOKUP($B200,'Planning Sheet'!$B$8:$AL$500,25,0),"")</f>
        <v/>
      </c>
      <c r="O200" s="31" t="str">
        <f>IF($B200&lt;&gt;"",VLOOKUP($B200,'Planning Sheet'!$B$8:$AL$500,26,0),"")</f>
        <v/>
      </c>
      <c r="P200" s="32" t="str">
        <f>IF($B200&lt;&gt;"",VLOOKUP($B200,'Planning Sheet'!$B$8:$AL$500,27,0),"")</f>
        <v/>
      </c>
      <c r="Q200" s="32" t="str">
        <f>IF($B200&lt;&gt;"",VLOOKUP($B200,'Planning Sheet'!$B$8:$AL$500,34,0),"")</f>
        <v/>
      </c>
      <c r="R200" s="32" t="str">
        <f>IF($B200&lt;&gt;"",VLOOKUP($B200,'Planning Sheet'!$B$8:$AL$500,36,0),"")</f>
        <v/>
      </c>
      <c r="S200" s="32" t="str">
        <f>IF($B200&lt;&gt;"",VLOOKUP($B200,'Planning Sheet'!$B$8:$AM$500,38,0),"")</f>
        <v/>
      </c>
      <c r="T200" s="31" t="str">
        <f t="shared" si="5"/>
        <v/>
      </c>
      <c r="U200" s="109" t="str">
        <f t="shared" si="4"/>
        <v/>
      </c>
      <c r="Y200" s="48" t="str">
        <f ca="1">IF(AND('Planning Sheet'!$AT205='Weeks Plan'!$D$6,'Planning Sheet'!$AN205='Weeks Plan'!$G$6),'Planning Sheet'!$B205,"")</f>
        <v/>
      </c>
      <c r="Z200" s="48" t="str">
        <f ca="1">IF(AND('Planning Sheet'!$AT205='Weeks Plan'!$D$6,'Planning Sheet'!$AN205='Weeks Plan'!$G$6),'Planning Sheet'!$AO205,"")</f>
        <v/>
      </c>
      <c r="AA200" s="48" t="str">
        <f ca="1">IF(AND('Planning Sheet'!$AT205='Weeks Plan'!$D$6,'Planning Sheet'!$AN205='Weeks Plan'!$G$6),'Planning Sheet'!AP205,"")</f>
        <v/>
      </c>
    </row>
    <row r="201" spans="2:27" x14ac:dyDescent="0.3">
      <c r="Y201" s="48" t="str">
        <f ca="1">IF(AND('Planning Sheet'!$AT206='Weeks Plan'!$D$6,'Planning Sheet'!$AN206='Weeks Plan'!$G$6),'Planning Sheet'!$B206,"")</f>
        <v/>
      </c>
      <c r="Z201" s="48" t="str">
        <f ca="1">IF(AND('Planning Sheet'!$AT206='Weeks Plan'!$D$6,'Planning Sheet'!$AN206='Weeks Plan'!$G$6),'Planning Sheet'!$AO206,"")</f>
        <v/>
      </c>
      <c r="AA201" s="48" t="str">
        <f ca="1">IF(AND('Planning Sheet'!$AT206='Weeks Plan'!$D$6,'Planning Sheet'!$AN206='Weeks Plan'!$G$6),'Planning Sheet'!AP206,"")</f>
        <v/>
      </c>
    </row>
    <row r="202" spans="2:27" x14ac:dyDescent="0.3">
      <c r="Y202" s="48" t="str">
        <f ca="1">IF(AND('Planning Sheet'!$AT207='Weeks Plan'!$D$6,'Planning Sheet'!$AN207='Weeks Plan'!$G$6),'Planning Sheet'!$B207,"")</f>
        <v/>
      </c>
      <c r="Z202" s="48" t="str">
        <f ca="1">IF(AND('Planning Sheet'!$AT207='Weeks Plan'!$D$6,'Planning Sheet'!$AN207='Weeks Plan'!$G$6),'Planning Sheet'!$AO207,"")</f>
        <v/>
      </c>
      <c r="AA202" s="48" t="str">
        <f ca="1">IF(AND('Planning Sheet'!$AT207='Weeks Plan'!$D$6,'Planning Sheet'!$AN207='Weeks Plan'!$G$6),'Planning Sheet'!AP207,"")</f>
        <v/>
      </c>
    </row>
    <row r="203" spans="2:27" x14ac:dyDescent="0.3">
      <c r="Y203" s="48" t="str">
        <f ca="1">IF(AND('Planning Sheet'!$AT208='Weeks Plan'!$D$6,'Planning Sheet'!$AN208='Weeks Plan'!$G$6),'Planning Sheet'!$B208,"")</f>
        <v/>
      </c>
      <c r="Z203" s="48" t="str">
        <f ca="1">IF(AND('Planning Sheet'!$AT208='Weeks Plan'!$D$6,'Planning Sheet'!$AN208='Weeks Plan'!$G$6),'Planning Sheet'!$AO208,"")</f>
        <v/>
      </c>
      <c r="AA203" s="48" t="str">
        <f ca="1">IF(AND('Planning Sheet'!$AT208='Weeks Plan'!$D$6,'Planning Sheet'!$AN208='Weeks Plan'!$G$6),'Planning Sheet'!AP208,"")</f>
        <v/>
      </c>
    </row>
    <row r="204" spans="2:27" x14ac:dyDescent="0.3">
      <c r="Y204" s="48" t="str">
        <f ca="1">IF(AND('Planning Sheet'!$AT209='Weeks Plan'!$D$6,'Planning Sheet'!$AN209='Weeks Plan'!$G$6),'Planning Sheet'!$B209,"")</f>
        <v/>
      </c>
      <c r="Z204" s="48" t="str">
        <f ca="1">IF(AND('Planning Sheet'!$AT209='Weeks Plan'!$D$6,'Planning Sheet'!$AN209='Weeks Plan'!$G$6),'Planning Sheet'!$AO209,"")</f>
        <v/>
      </c>
      <c r="AA204" s="48" t="str">
        <f ca="1">IF(AND('Planning Sheet'!$AT209='Weeks Plan'!$D$6,'Planning Sheet'!$AN209='Weeks Plan'!$G$6),'Planning Sheet'!AP209,"")</f>
        <v/>
      </c>
    </row>
    <row r="205" spans="2:27" x14ac:dyDescent="0.3">
      <c r="Y205" s="48" t="str">
        <f ca="1">IF(AND('Planning Sheet'!$AT210='Weeks Plan'!$D$6,'Planning Sheet'!$AN210='Weeks Plan'!$G$6),'Planning Sheet'!$B210,"")</f>
        <v/>
      </c>
      <c r="Z205" s="48" t="str">
        <f ca="1">IF(AND('Planning Sheet'!$AT210='Weeks Plan'!$D$6,'Planning Sheet'!$AN210='Weeks Plan'!$G$6),'Planning Sheet'!$AO210,"")</f>
        <v/>
      </c>
      <c r="AA205" s="48" t="str">
        <f ca="1">IF(AND('Planning Sheet'!$AT210='Weeks Plan'!$D$6,'Planning Sheet'!$AN210='Weeks Plan'!$G$6),'Planning Sheet'!AP210,"")</f>
        <v/>
      </c>
    </row>
    <row r="206" spans="2:27" x14ac:dyDescent="0.3">
      <c r="Y206" s="48" t="str">
        <f ca="1">IF(AND('Planning Sheet'!$AT211='Weeks Plan'!$D$6,'Planning Sheet'!$AN211='Weeks Plan'!$G$6),'Planning Sheet'!$B211,"")</f>
        <v/>
      </c>
      <c r="Z206" s="48" t="str">
        <f ca="1">IF(AND('Planning Sheet'!$AT211='Weeks Plan'!$D$6,'Planning Sheet'!$AN211='Weeks Plan'!$G$6),'Planning Sheet'!$AO211,"")</f>
        <v/>
      </c>
      <c r="AA206" s="48" t="str">
        <f ca="1">IF(AND('Planning Sheet'!$AT211='Weeks Plan'!$D$6,'Planning Sheet'!$AN211='Weeks Plan'!$G$6),'Planning Sheet'!AP211,"")</f>
        <v/>
      </c>
    </row>
    <row r="207" spans="2:27" x14ac:dyDescent="0.3">
      <c r="Y207" s="48" t="str">
        <f ca="1">IF(AND('Planning Sheet'!$AT212='Weeks Plan'!$D$6,'Planning Sheet'!$AN212='Weeks Plan'!$G$6),'Planning Sheet'!$B212,"")</f>
        <v/>
      </c>
      <c r="Z207" s="48" t="str">
        <f ca="1">IF(AND('Planning Sheet'!$AT212='Weeks Plan'!$D$6,'Planning Sheet'!$AN212='Weeks Plan'!$G$6),'Planning Sheet'!$AO212,"")</f>
        <v/>
      </c>
      <c r="AA207" s="48" t="str">
        <f ca="1">IF(AND('Planning Sheet'!$AT212='Weeks Plan'!$D$6,'Planning Sheet'!$AN212='Weeks Plan'!$G$6),'Planning Sheet'!AP212,"")</f>
        <v/>
      </c>
    </row>
    <row r="208" spans="2:27" x14ac:dyDescent="0.3">
      <c r="Y208" s="48" t="str">
        <f ca="1">IF(AND('Planning Sheet'!$AT213='Weeks Plan'!$D$6,'Planning Sheet'!$AN213='Weeks Plan'!$G$6),'Planning Sheet'!$B213,"")</f>
        <v/>
      </c>
      <c r="Z208" s="48" t="str">
        <f ca="1">IF(AND('Planning Sheet'!$AT213='Weeks Plan'!$D$6,'Planning Sheet'!$AN213='Weeks Plan'!$G$6),'Planning Sheet'!$AO213,"")</f>
        <v/>
      </c>
      <c r="AA208" s="48" t="str">
        <f ca="1">IF(AND('Planning Sheet'!$AT213='Weeks Plan'!$D$6,'Planning Sheet'!$AN213='Weeks Plan'!$G$6),'Planning Sheet'!AP213,"")</f>
        <v/>
      </c>
    </row>
    <row r="209" spans="25:27" x14ac:dyDescent="0.3">
      <c r="Y209" s="48" t="str">
        <f ca="1">IF(AND('Planning Sheet'!$AT214='Weeks Plan'!$D$6,'Planning Sheet'!$AN214='Weeks Plan'!$G$6),'Planning Sheet'!$B214,"")</f>
        <v/>
      </c>
      <c r="Z209" s="48" t="str">
        <f ca="1">IF(AND('Planning Sheet'!$AT214='Weeks Plan'!$D$6,'Planning Sheet'!$AN214='Weeks Plan'!$G$6),'Planning Sheet'!$AO214,"")</f>
        <v/>
      </c>
      <c r="AA209" s="48" t="str">
        <f ca="1">IF(AND('Planning Sheet'!$AT214='Weeks Plan'!$D$6,'Planning Sheet'!$AN214='Weeks Plan'!$G$6),'Planning Sheet'!AP214,"")</f>
        <v/>
      </c>
    </row>
    <row r="210" spans="25:27" x14ac:dyDescent="0.3">
      <c r="Y210" s="48" t="str">
        <f ca="1">IF(AND('Planning Sheet'!$AT215='Weeks Plan'!$D$6,'Planning Sheet'!$AN215='Weeks Plan'!$G$6),'Planning Sheet'!$B215,"")</f>
        <v/>
      </c>
      <c r="Z210" s="48" t="str">
        <f ca="1">IF(AND('Planning Sheet'!$AT215='Weeks Plan'!$D$6,'Planning Sheet'!$AN215='Weeks Plan'!$G$6),'Planning Sheet'!$AO215,"")</f>
        <v/>
      </c>
      <c r="AA210" s="48" t="str">
        <f ca="1">IF(AND('Planning Sheet'!$AT215='Weeks Plan'!$D$6,'Planning Sheet'!$AN215='Weeks Plan'!$G$6),'Planning Sheet'!AP215,"")</f>
        <v/>
      </c>
    </row>
    <row r="211" spans="25:27" x14ac:dyDescent="0.3">
      <c r="Y211" s="48" t="str">
        <f ca="1">IF(AND('Planning Sheet'!$AT216='Weeks Plan'!$D$6,'Planning Sheet'!$AN216='Weeks Plan'!$G$6),'Planning Sheet'!$B216,"")</f>
        <v/>
      </c>
      <c r="Z211" s="48" t="str">
        <f ca="1">IF(AND('Planning Sheet'!$AT216='Weeks Plan'!$D$6,'Planning Sheet'!$AN216='Weeks Plan'!$G$6),'Planning Sheet'!$AO216,"")</f>
        <v/>
      </c>
      <c r="AA211" s="48" t="str">
        <f ca="1">IF(AND('Planning Sheet'!$AT216='Weeks Plan'!$D$6,'Planning Sheet'!$AN216='Weeks Plan'!$G$6),'Planning Sheet'!AP216,"")</f>
        <v/>
      </c>
    </row>
    <row r="212" spans="25:27" x14ac:dyDescent="0.3">
      <c r="Y212" s="48" t="str">
        <f ca="1">IF(AND('Planning Sheet'!$AT217='Weeks Plan'!$D$6,'Planning Sheet'!$AN217='Weeks Plan'!$G$6),'Planning Sheet'!$B217,"")</f>
        <v/>
      </c>
      <c r="Z212" s="48" t="str">
        <f ca="1">IF(AND('Planning Sheet'!$AT217='Weeks Plan'!$D$6,'Planning Sheet'!$AN217='Weeks Plan'!$G$6),'Planning Sheet'!$AO217,"")</f>
        <v/>
      </c>
      <c r="AA212" s="48" t="str">
        <f ca="1">IF(AND('Planning Sheet'!$AT217='Weeks Plan'!$D$6,'Planning Sheet'!$AN217='Weeks Plan'!$G$6),'Planning Sheet'!AP217,"")</f>
        <v/>
      </c>
    </row>
    <row r="213" spans="25:27" x14ac:dyDescent="0.3">
      <c r="Y213" s="48" t="str">
        <f ca="1">IF(AND('Planning Sheet'!$AT218='Weeks Plan'!$D$6,'Planning Sheet'!$AN218='Weeks Plan'!$G$6),'Planning Sheet'!$B218,"")</f>
        <v/>
      </c>
      <c r="Z213" s="48" t="str">
        <f ca="1">IF(AND('Planning Sheet'!$AT218='Weeks Plan'!$D$6,'Planning Sheet'!$AN218='Weeks Plan'!$G$6),'Planning Sheet'!$AO218,"")</f>
        <v/>
      </c>
      <c r="AA213" s="48" t="str">
        <f ca="1">IF(AND('Planning Sheet'!$AT218='Weeks Plan'!$D$6,'Planning Sheet'!$AN218='Weeks Plan'!$G$6),'Planning Sheet'!AP218,"")</f>
        <v/>
      </c>
    </row>
    <row r="214" spans="25:27" x14ac:dyDescent="0.3">
      <c r="Y214" s="48" t="str">
        <f ca="1">IF(AND('Planning Sheet'!$AT219='Weeks Plan'!$D$6,'Planning Sheet'!$AN219='Weeks Plan'!$G$6),'Planning Sheet'!$B219,"")</f>
        <v/>
      </c>
      <c r="Z214" s="48" t="str">
        <f ca="1">IF(AND('Planning Sheet'!$AT219='Weeks Plan'!$D$6,'Planning Sheet'!$AN219='Weeks Plan'!$G$6),'Planning Sheet'!$AO219,"")</f>
        <v/>
      </c>
      <c r="AA214" s="48" t="str">
        <f ca="1">IF(AND('Planning Sheet'!$AT219='Weeks Plan'!$D$6,'Planning Sheet'!$AN219='Weeks Plan'!$G$6),'Planning Sheet'!AP219,"")</f>
        <v/>
      </c>
    </row>
    <row r="215" spans="25:27" x14ac:dyDescent="0.3">
      <c r="Y215" s="48" t="str">
        <f ca="1">IF(AND('Planning Sheet'!$AT220='Weeks Plan'!$D$6,'Planning Sheet'!$AN220='Weeks Plan'!$G$6),'Planning Sheet'!$B220,"")</f>
        <v/>
      </c>
      <c r="Z215" s="48" t="str">
        <f ca="1">IF(AND('Planning Sheet'!$AT220='Weeks Plan'!$D$6,'Planning Sheet'!$AN220='Weeks Plan'!$G$6),'Planning Sheet'!$AO220,"")</f>
        <v/>
      </c>
      <c r="AA215" s="48" t="str">
        <f ca="1">IF(AND('Planning Sheet'!$AT220='Weeks Plan'!$D$6,'Planning Sheet'!$AN220='Weeks Plan'!$G$6),'Planning Sheet'!AP220,"")</f>
        <v/>
      </c>
    </row>
    <row r="216" spans="25:27" x14ac:dyDescent="0.3">
      <c r="Y216" s="48" t="str">
        <f ca="1">IF(AND('Planning Sheet'!$AT221='Weeks Plan'!$D$6,'Planning Sheet'!$AN221='Weeks Plan'!$G$6),'Planning Sheet'!$B221,"")</f>
        <v/>
      </c>
      <c r="Z216" s="48" t="str">
        <f ca="1">IF(AND('Planning Sheet'!$AT221='Weeks Plan'!$D$6,'Planning Sheet'!$AN221='Weeks Plan'!$G$6),'Planning Sheet'!$AO221,"")</f>
        <v/>
      </c>
      <c r="AA216" s="48" t="str">
        <f ca="1">IF(AND('Planning Sheet'!$AT221='Weeks Plan'!$D$6,'Planning Sheet'!$AN221='Weeks Plan'!$G$6),'Planning Sheet'!AP221,"")</f>
        <v/>
      </c>
    </row>
    <row r="217" spans="25:27" x14ac:dyDescent="0.3">
      <c r="Y217" s="48" t="str">
        <f ca="1">IF(AND('Planning Sheet'!$AT222='Weeks Plan'!$D$6,'Planning Sheet'!$AN222='Weeks Plan'!$G$6),'Planning Sheet'!$B222,"")</f>
        <v/>
      </c>
      <c r="Z217" s="48" t="str">
        <f ca="1">IF(AND('Planning Sheet'!$AT222='Weeks Plan'!$D$6,'Planning Sheet'!$AN222='Weeks Plan'!$G$6),'Planning Sheet'!$AO222,"")</f>
        <v/>
      </c>
      <c r="AA217" s="48" t="str">
        <f ca="1">IF(AND('Planning Sheet'!$AT222='Weeks Plan'!$D$6,'Planning Sheet'!$AN222='Weeks Plan'!$G$6),'Planning Sheet'!AP222,"")</f>
        <v/>
      </c>
    </row>
    <row r="218" spans="25:27" x14ac:dyDescent="0.3">
      <c r="Y218" s="48" t="str">
        <f ca="1">IF(AND('Planning Sheet'!$AT223='Weeks Plan'!$D$6,'Planning Sheet'!$AN223='Weeks Plan'!$G$6),'Planning Sheet'!$B223,"")</f>
        <v/>
      </c>
      <c r="Z218" s="48" t="str">
        <f ca="1">IF(AND('Planning Sheet'!$AT223='Weeks Plan'!$D$6,'Planning Sheet'!$AN223='Weeks Plan'!$G$6),'Planning Sheet'!$AO223,"")</f>
        <v/>
      </c>
      <c r="AA218" s="48" t="str">
        <f ca="1">IF(AND('Planning Sheet'!$AT223='Weeks Plan'!$D$6,'Planning Sheet'!$AN223='Weeks Plan'!$G$6),'Planning Sheet'!AP223,"")</f>
        <v/>
      </c>
    </row>
    <row r="219" spans="25:27" x14ac:dyDescent="0.3">
      <c r="Y219" s="48" t="str">
        <f ca="1">IF(AND('Planning Sheet'!$AT224='Weeks Plan'!$D$6,'Planning Sheet'!$AN224='Weeks Plan'!$G$6),'Planning Sheet'!$B224,"")</f>
        <v/>
      </c>
      <c r="Z219" s="48" t="str">
        <f ca="1">IF(AND('Planning Sheet'!$AT224='Weeks Plan'!$D$6,'Planning Sheet'!$AN224='Weeks Plan'!$G$6),'Planning Sheet'!$AO224,"")</f>
        <v/>
      </c>
      <c r="AA219" s="48" t="str">
        <f ca="1">IF(AND('Planning Sheet'!$AT224='Weeks Plan'!$D$6,'Planning Sheet'!$AN224='Weeks Plan'!$G$6),'Planning Sheet'!AP224,"")</f>
        <v/>
      </c>
    </row>
    <row r="220" spans="25:27" x14ac:dyDescent="0.3">
      <c r="Y220" s="48" t="str">
        <f ca="1">IF(AND('Planning Sheet'!$AT225='Weeks Plan'!$D$6,'Planning Sheet'!$AN225='Weeks Plan'!$G$6),'Planning Sheet'!$B225,"")</f>
        <v/>
      </c>
      <c r="Z220" s="48" t="str">
        <f ca="1">IF(AND('Planning Sheet'!$AT225='Weeks Plan'!$D$6,'Planning Sheet'!$AN225='Weeks Plan'!$G$6),'Planning Sheet'!$AO225,"")</f>
        <v/>
      </c>
      <c r="AA220" s="48" t="str">
        <f ca="1">IF(AND('Planning Sheet'!$AT225='Weeks Plan'!$D$6,'Planning Sheet'!$AN225='Weeks Plan'!$G$6),'Planning Sheet'!AP225,"")</f>
        <v/>
      </c>
    </row>
    <row r="221" spans="25:27" x14ac:dyDescent="0.3">
      <c r="Y221" s="48" t="str">
        <f ca="1">IF(AND('Planning Sheet'!$AT226='Weeks Plan'!$D$6,'Planning Sheet'!$AN226='Weeks Plan'!$G$6),'Planning Sheet'!$B226,"")</f>
        <v/>
      </c>
      <c r="Z221" s="48" t="str">
        <f ca="1">IF(AND('Planning Sheet'!$AT226='Weeks Plan'!$D$6,'Planning Sheet'!$AN226='Weeks Plan'!$G$6),'Planning Sheet'!$AO226,"")</f>
        <v/>
      </c>
      <c r="AA221" s="48" t="str">
        <f ca="1">IF(AND('Planning Sheet'!$AT226='Weeks Plan'!$D$6,'Planning Sheet'!$AN226='Weeks Plan'!$G$6),'Planning Sheet'!AP226,"")</f>
        <v/>
      </c>
    </row>
    <row r="222" spans="25:27" x14ac:dyDescent="0.3">
      <c r="Y222" s="48" t="str">
        <f ca="1">IF(AND('Planning Sheet'!$AT227='Weeks Plan'!$D$6,'Planning Sheet'!$AN227='Weeks Plan'!$G$6),'Planning Sheet'!$B227,"")</f>
        <v/>
      </c>
      <c r="Z222" s="48" t="str">
        <f ca="1">IF(AND('Planning Sheet'!$AT227='Weeks Plan'!$D$6,'Planning Sheet'!$AN227='Weeks Plan'!$G$6),'Planning Sheet'!$AO227,"")</f>
        <v/>
      </c>
      <c r="AA222" s="48" t="str">
        <f ca="1">IF(AND('Planning Sheet'!$AT227='Weeks Plan'!$D$6,'Planning Sheet'!$AN227='Weeks Plan'!$G$6),'Planning Sheet'!AP227,"")</f>
        <v/>
      </c>
    </row>
    <row r="223" spans="25:27" x14ac:dyDescent="0.3">
      <c r="Y223" s="48" t="str">
        <f ca="1">IF(AND('Planning Sheet'!$AT228='Weeks Plan'!$D$6,'Planning Sheet'!$AN228='Weeks Plan'!$G$6),'Planning Sheet'!$B228,"")</f>
        <v/>
      </c>
      <c r="Z223" s="48" t="str">
        <f ca="1">IF(AND('Planning Sheet'!$AT228='Weeks Plan'!$D$6,'Planning Sheet'!$AN228='Weeks Plan'!$G$6),'Planning Sheet'!$AO228,"")</f>
        <v/>
      </c>
      <c r="AA223" s="48" t="str">
        <f ca="1">IF(AND('Planning Sheet'!$AT228='Weeks Plan'!$D$6,'Planning Sheet'!$AN228='Weeks Plan'!$G$6),'Planning Sheet'!AP228,"")</f>
        <v/>
      </c>
    </row>
    <row r="224" spans="25:27" x14ac:dyDescent="0.3">
      <c r="Y224" s="48" t="str">
        <f ca="1">IF(AND('Planning Sheet'!$AT229='Weeks Plan'!$D$6,'Planning Sheet'!$AN229='Weeks Plan'!$G$6),'Planning Sheet'!$B229,"")</f>
        <v/>
      </c>
      <c r="Z224" s="48" t="str">
        <f ca="1">IF(AND('Planning Sheet'!$AT229='Weeks Plan'!$D$6,'Planning Sheet'!$AN229='Weeks Plan'!$G$6),'Planning Sheet'!$AO229,"")</f>
        <v/>
      </c>
      <c r="AA224" s="48" t="str">
        <f ca="1">IF(AND('Planning Sheet'!$AT229='Weeks Plan'!$D$6,'Planning Sheet'!$AN229='Weeks Plan'!$G$6),'Planning Sheet'!AP229,"")</f>
        <v/>
      </c>
    </row>
    <row r="225" spans="25:27" x14ac:dyDescent="0.3">
      <c r="Y225" s="48" t="str">
        <f ca="1">IF(AND('Planning Sheet'!$AT230='Weeks Plan'!$D$6,'Planning Sheet'!$AN230='Weeks Plan'!$G$6),'Planning Sheet'!$B230,"")</f>
        <v/>
      </c>
      <c r="Z225" s="48" t="str">
        <f ca="1">IF(AND('Planning Sheet'!$AT230='Weeks Plan'!$D$6,'Planning Sheet'!$AN230='Weeks Plan'!$G$6),'Planning Sheet'!$AO230,"")</f>
        <v/>
      </c>
      <c r="AA225" s="48" t="str">
        <f ca="1">IF(AND('Planning Sheet'!$AT230='Weeks Plan'!$D$6,'Planning Sheet'!$AN230='Weeks Plan'!$G$6),'Planning Sheet'!AP230,"")</f>
        <v/>
      </c>
    </row>
    <row r="226" spans="25:27" x14ac:dyDescent="0.3">
      <c r="Y226" s="48" t="str">
        <f ca="1">IF(AND('Planning Sheet'!$AT231='Weeks Plan'!$D$6,'Planning Sheet'!$AN231='Weeks Plan'!$G$6),'Planning Sheet'!$B231,"")</f>
        <v/>
      </c>
      <c r="Z226" s="48" t="str">
        <f ca="1">IF(AND('Planning Sheet'!$AT231='Weeks Plan'!$D$6,'Planning Sheet'!$AN231='Weeks Plan'!$G$6),'Planning Sheet'!$AO231,"")</f>
        <v/>
      </c>
      <c r="AA226" s="48" t="str">
        <f ca="1">IF(AND('Planning Sheet'!$AT231='Weeks Plan'!$D$6,'Planning Sheet'!$AN231='Weeks Plan'!$G$6),'Planning Sheet'!AP231,"")</f>
        <v/>
      </c>
    </row>
    <row r="227" spans="25:27" x14ac:dyDescent="0.3">
      <c r="Y227" s="48" t="str">
        <f ca="1">IF(AND('Planning Sheet'!$AT232='Weeks Plan'!$D$6,'Planning Sheet'!$AN232='Weeks Plan'!$G$6),'Planning Sheet'!$B232,"")</f>
        <v/>
      </c>
      <c r="Z227" s="48" t="str">
        <f ca="1">IF(AND('Planning Sheet'!$AT232='Weeks Plan'!$D$6,'Planning Sheet'!$AN232='Weeks Plan'!$G$6),'Planning Sheet'!$AO232,"")</f>
        <v/>
      </c>
      <c r="AA227" s="48" t="str">
        <f ca="1">IF(AND('Planning Sheet'!$AT232='Weeks Plan'!$D$6,'Planning Sheet'!$AN232='Weeks Plan'!$G$6),'Planning Sheet'!AP232,"")</f>
        <v/>
      </c>
    </row>
    <row r="228" spans="25:27" x14ac:dyDescent="0.3">
      <c r="Y228" s="48" t="str">
        <f ca="1">IF(AND('Planning Sheet'!$AT233='Weeks Plan'!$D$6,'Planning Sheet'!$AN233='Weeks Plan'!$G$6),'Planning Sheet'!$B233,"")</f>
        <v/>
      </c>
      <c r="Z228" s="48" t="str">
        <f ca="1">IF(AND('Planning Sheet'!$AT233='Weeks Plan'!$D$6,'Planning Sheet'!$AN233='Weeks Plan'!$G$6),'Planning Sheet'!$AO233,"")</f>
        <v/>
      </c>
      <c r="AA228" s="48" t="str">
        <f ca="1">IF(AND('Planning Sheet'!$AT233='Weeks Plan'!$D$6,'Planning Sheet'!$AN233='Weeks Plan'!$G$6),'Planning Sheet'!AP233,"")</f>
        <v/>
      </c>
    </row>
    <row r="229" spans="25:27" x14ac:dyDescent="0.3">
      <c r="Y229" s="48" t="str">
        <f ca="1">IF(AND('Planning Sheet'!$AT234='Weeks Plan'!$D$6,'Planning Sheet'!$AN234='Weeks Plan'!$G$6),'Planning Sheet'!$B234,"")</f>
        <v/>
      </c>
      <c r="Z229" s="48" t="str">
        <f ca="1">IF(AND('Planning Sheet'!$AT234='Weeks Plan'!$D$6,'Planning Sheet'!$AN234='Weeks Plan'!$G$6),'Planning Sheet'!$AO234,"")</f>
        <v/>
      </c>
      <c r="AA229" s="48" t="str">
        <f ca="1">IF(AND('Planning Sheet'!$AT234='Weeks Plan'!$D$6,'Planning Sheet'!$AN234='Weeks Plan'!$G$6),'Planning Sheet'!AP234,"")</f>
        <v/>
      </c>
    </row>
    <row r="230" spans="25:27" x14ac:dyDescent="0.3">
      <c r="Y230" s="48" t="str">
        <f ca="1">IF(AND('Planning Sheet'!$AT235='Weeks Plan'!$D$6,'Planning Sheet'!$AN235='Weeks Plan'!$G$6),'Planning Sheet'!$B235,"")</f>
        <v/>
      </c>
      <c r="Z230" s="48" t="str">
        <f ca="1">IF(AND('Planning Sheet'!$AT235='Weeks Plan'!$D$6,'Planning Sheet'!$AN235='Weeks Plan'!$G$6),'Planning Sheet'!$AO235,"")</f>
        <v/>
      </c>
      <c r="AA230" s="48" t="str">
        <f ca="1">IF(AND('Planning Sheet'!$AT235='Weeks Plan'!$D$6,'Planning Sheet'!$AN235='Weeks Plan'!$G$6),'Planning Sheet'!AP235,"")</f>
        <v/>
      </c>
    </row>
    <row r="231" spans="25:27" x14ac:dyDescent="0.3">
      <c r="Y231" s="48" t="str">
        <f ca="1">IF(AND('Planning Sheet'!$AT236='Weeks Plan'!$D$6,'Planning Sheet'!$AN236='Weeks Plan'!$G$6),'Planning Sheet'!$B236,"")</f>
        <v/>
      </c>
      <c r="Z231" s="48" t="str">
        <f ca="1">IF(AND('Planning Sheet'!$AT236='Weeks Plan'!$D$6,'Planning Sheet'!$AN236='Weeks Plan'!$G$6),'Planning Sheet'!$AO236,"")</f>
        <v/>
      </c>
      <c r="AA231" s="48" t="str">
        <f ca="1">IF(AND('Planning Sheet'!$AT236='Weeks Plan'!$D$6,'Planning Sheet'!$AN236='Weeks Plan'!$G$6),'Planning Sheet'!AP236,"")</f>
        <v/>
      </c>
    </row>
    <row r="232" spans="25:27" x14ac:dyDescent="0.3">
      <c r="Y232" s="48" t="str">
        <f ca="1">IF(AND('Planning Sheet'!$AT237='Weeks Plan'!$D$6,'Planning Sheet'!$AN237='Weeks Plan'!$G$6),'Planning Sheet'!$B237,"")</f>
        <v/>
      </c>
      <c r="Z232" s="48" t="str">
        <f ca="1">IF(AND('Planning Sheet'!$AT237='Weeks Plan'!$D$6,'Planning Sheet'!$AN237='Weeks Plan'!$G$6),'Planning Sheet'!$AO237,"")</f>
        <v/>
      </c>
      <c r="AA232" s="48" t="str">
        <f ca="1">IF(AND('Planning Sheet'!$AT237='Weeks Plan'!$D$6,'Planning Sheet'!$AN237='Weeks Plan'!$G$6),'Planning Sheet'!AP237,"")</f>
        <v/>
      </c>
    </row>
    <row r="233" spans="25:27" x14ac:dyDescent="0.3">
      <c r="Y233" s="48" t="str">
        <f ca="1">IF(AND('Planning Sheet'!$AT238='Weeks Plan'!$D$6,'Planning Sheet'!$AN238='Weeks Plan'!$G$6),'Planning Sheet'!$B238,"")</f>
        <v/>
      </c>
      <c r="Z233" s="48" t="str">
        <f ca="1">IF(AND('Planning Sheet'!$AT238='Weeks Plan'!$D$6,'Planning Sheet'!$AN238='Weeks Plan'!$G$6),'Planning Sheet'!$AO238,"")</f>
        <v/>
      </c>
      <c r="AA233" s="48" t="str">
        <f ca="1">IF(AND('Planning Sheet'!$AT238='Weeks Plan'!$D$6,'Planning Sheet'!$AN238='Weeks Plan'!$G$6),'Planning Sheet'!AP238,"")</f>
        <v/>
      </c>
    </row>
    <row r="234" spans="25:27" x14ac:dyDescent="0.3">
      <c r="Y234" s="48" t="str">
        <f ca="1">IF(AND('Planning Sheet'!$AT239='Weeks Plan'!$D$6,'Planning Sheet'!$AN239='Weeks Plan'!$G$6),'Planning Sheet'!$B239,"")</f>
        <v/>
      </c>
      <c r="Z234" s="48" t="str">
        <f ca="1">IF(AND('Planning Sheet'!$AT239='Weeks Plan'!$D$6,'Planning Sheet'!$AN239='Weeks Plan'!$G$6),'Planning Sheet'!$AO239,"")</f>
        <v/>
      </c>
      <c r="AA234" s="48" t="str">
        <f ca="1">IF(AND('Planning Sheet'!$AT239='Weeks Plan'!$D$6,'Planning Sheet'!$AN239='Weeks Plan'!$G$6),'Planning Sheet'!AP239,"")</f>
        <v/>
      </c>
    </row>
    <row r="235" spans="25:27" x14ac:dyDescent="0.3">
      <c r="Y235" s="48" t="str">
        <f ca="1">IF(AND('Planning Sheet'!$AT240='Weeks Plan'!$D$6,'Planning Sheet'!$AN240='Weeks Plan'!$G$6),'Planning Sheet'!$B240,"")</f>
        <v/>
      </c>
      <c r="Z235" s="48" t="str">
        <f ca="1">IF(AND('Planning Sheet'!$AT240='Weeks Plan'!$D$6,'Planning Sheet'!$AN240='Weeks Plan'!$G$6),'Planning Sheet'!$AO240,"")</f>
        <v/>
      </c>
      <c r="AA235" s="48" t="str">
        <f ca="1">IF(AND('Planning Sheet'!$AT240='Weeks Plan'!$D$6,'Planning Sheet'!$AN240='Weeks Plan'!$G$6),'Planning Sheet'!AP240,"")</f>
        <v/>
      </c>
    </row>
    <row r="236" spans="25:27" x14ac:dyDescent="0.3">
      <c r="Y236" s="48" t="str">
        <f ca="1">IF(AND('Planning Sheet'!$AT241='Weeks Plan'!$D$6,'Planning Sheet'!$AN241='Weeks Plan'!$G$6),'Planning Sheet'!$B241,"")</f>
        <v/>
      </c>
      <c r="Z236" s="48" t="str">
        <f ca="1">IF(AND('Planning Sheet'!$AT241='Weeks Plan'!$D$6,'Planning Sheet'!$AN241='Weeks Plan'!$G$6),'Planning Sheet'!$AO241,"")</f>
        <v/>
      </c>
      <c r="AA236" s="48" t="str">
        <f ca="1">IF(AND('Planning Sheet'!$AT241='Weeks Plan'!$D$6,'Planning Sheet'!$AN241='Weeks Plan'!$G$6),'Planning Sheet'!AP241,"")</f>
        <v/>
      </c>
    </row>
    <row r="237" spans="25:27" x14ac:dyDescent="0.3">
      <c r="Y237" s="48" t="str">
        <f ca="1">IF(AND('Planning Sheet'!$AT242='Weeks Plan'!$D$6,'Planning Sheet'!$AN242='Weeks Plan'!$G$6),'Planning Sheet'!$B242,"")</f>
        <v/>
      </c>
      <c r="Z237" s="48" t="str">
        <f ca="1">IF(AND('Planning Sheet'!$AT242='Weeks Plan'!$D$6,'Planning Sheet'!$AN242='Weeks Plan'!$G$6),'Planning Sheet'!$AO242,"")</f>
        <v/>
      </c>
      <c r="AA237" s="48" t="str">
        <f ca="1">IF(AND('Planning Sheet'!$AT242='Weeks Plan'!$D$6,'Planning Sheet'!$AN242='Weeks Plan'!$G$6),'Planning Sheet'!AP242,"")</f>
        <v/>
      </c>
    </row>
    <row r="238" spans="25:27" x14ac:dyDescent="0.3">
      <c r="Y238" s="48" t="str">
        <f ca="1">IF(AND('Planning Sheet'!$AT243='Weeks Plan'!$D$6,'Planning Sheet'!$AN243='Weeks Plan'!$G$6),'Planning Sheet'!$B243,"")</f>
        <v/>
      </c>
      <c r="Z238" s="48" t="str">
        <f ca="1">IF(AND('Planning Sheet'!$AT243='Weeks Plan'!$D$6,'Planning Sheet'!$AN243='Weeks Plan'!$G$6),'Planning Sheet'!$AO243,"")</f>
        <v/>
      </c>
      <c r="AA238" s="48" t="str">
        <f ca="1">IF(AND('Planning Sheet'!$AT243='Weeks Plan'!$D$6,'Planning Sheet'!$AN243='Weeks Plan'!$G$6),'Planning Sheet'!AP243,"")</f>
        <v/>
      </c>
    </row>
    <row r="239" spans="25:27" x14ac:dyDescent="0.3">
      <c r="Y239" s="48" t="str">
        <f ca="1">IF(AND('Planning Sheet'!$AT244='Weeks Plan'!$D$6,'Planning Sheet'!$AN244='Weeks Plan'!$G$6),'Planning Sheet'!$B244,"")</f>
        <v/>
      </c>
      <c r="Z239" s="48" t="str">
        <f ca="1">IF(AND('Planning Sheet'!$AT244='Weeks Plan'!$D$6,'Planning Sheet'!$AN244='Weeks Plan'!$G$6),'Planning Sheet'!$AO244,"")</f>
        <v/>
      </c>
      <c r="AA239" s="48" t="str">
        <f ca="1">IF(AND('Planning Sheet'!$AT244='Weeks Plan'!$D$6,'Planning Sheet'!$AN244='Weeks Plan'!$G$6),'Planning Sheet'!AP244,"")</f>
        <v/>
      </c>
    </row>
    <row r="240" spans="25:27" x14ac:dyDescent="0.3">
      <c r="Y240" s="48" t="str">
        <f ca="1">IF(AND('Planning Sheet'!$AT245='Weeks Plan'!$D$6,'Planning Sheet'!$AN245='Weeks Plan'!$G$6),'Planning Sheet'!$B245,"")</f>
        <v/>
      </c>
      <c r="Z240" s="48" t="str">
        <f ca="1">IF(AND('Planning Sheet'!$AT245='Weeks Plan'!$D$6,'Planning Sheet'!$AN245='Weeks Plan'!$G$6),'Planning Sheet'!$AO245,"")</f>
        <v/>
      </c>
      <c r="AA240" s="48" t="str">
        <f ca="1">IF(AND('Planning Sheet'!$AT245='Weeks Plan'!$D$6,'Planning Sheet'!$AN245='Weeks Plan'!$G$6),'Planning Sheet'!AP245,"")</f>
        <v/>
      </c>
    </row>
    <row r="241" spans="25:27" x14ac:dyDescent="0.3">
      <c r="Y241" s="48" t="str">
        <f ca="1">IF(AND('Planning Sheet'!$AT246='Weeks Plan'!$D$6,'Planning Sheet'!$AN246='Weeks Plan'!$G$6),'Planning Sheet'!$B246,"")</f>
        <v/>
      </c>
      <c r="Z241" s="48" t="str">
        <f ca="1">IF(AND('Planning Sheet'!$AT246='Weeks Plan'!$D$6,'Planning Sheet'!$AN246='Weeks Plan'!$G$6),'Planning Sheet'!$AO246,"")</f>
        <v/>
      </c>
      <c r="AA241" s="48" t="str">
        <f ca="1">IF(AND('Planning Sheet'!$AT246='Weeks Plan'!$D$6,'Planning Sheet'!$AN246='Weeks Plan'!$G$6),'Planning Sheet'!AP246,"")</f>
        <v/>
      </c>
    </row>
    <row r="242" spans="25:27" x14ac:dyDescent="0.3">
      <c r="Y242" s="48" t="str">
        <f ca="1">IF(AND('Planning Sheet'!$AT247='Weeks Plan'!$D$6,'Planning Sheet'!$AN247='Weeks Plan'!$G$6),'Planning Sheet'!$B247,"")</f>
        <v/>
      </c>
      <c r="Z242" s="48" t="str">
        <f ca="1">IF(AND('Planning Sheet'!$AT247='Weeks Plan'!$D$6,'Planning Sheet'!$AN247='Weeks Plan'!$G$6),'Planning Sheet'!$AO247,"")</f>
        <v/>
      </c>
      <c r="AA242" s="48" t="str">
        <f ca="1">IF(AND('Planning Sheet'!$AT247='Weeks Plan'!$D$6,'Planning Sheet'!$AN247='Weeks Plan'!$G$6),'Planning Sheet'!AP247,"")</f>
        <v/>
      </c>
    </row>
    <row r="243" spans="25:27" x14ac:dyDescent="0.3">
      <c r="Y243" s="48" t="str">
        <f ca="1">IF(AND('Planning Sheet'!$AT248='Weeks Plan'!$D$6,'Planning Sheet'!$AN248='Weeks Plan'!$G$6),'Planning Sheet'!$B248,"")</f>
        <v/>
      </c>
      <c r="Z243" s="48" t="str">
        <f ca="1">IF(AND('Planning Sheet'!$AT248='Weeks Plan'!$D$6,'Planning Sheet'!$AN248='Weeks Plan'!$G$6),'Planning Sheet'!$AO248,"")</f>
        <v/>
      </c>
      <c r="AA243" s="48" t="str">
        <f ca="1">IF(AND('Planning Sheet'!$AT248='Weeks Plan'!$D$6,'Planning Sheet'!$AN248='Weeks Plan'!$G$6),'Planning Sheet'!AP248,"")</f>
        <v/>
      </c>
    </row>
    <row r="244" spans="25:27" x14ac:dyDescent="0.3">
      <c r="Y244" s="48" t="str">
        <f ca="1">IF(AND('Planning Sheet'!$AT249='Weeks Plan'!$D$6,'Planning Sheet'!$AN249='Weeks Plan'!$G$6),'Planning Sheet'!$B249,"")</f>
        <v/>
      </c>
      <c r="Z244" s="48" t="str">
        <f ca="1">IF(AND('Planning Sheet'!$AT249='Weeks Plan'!$D$6,'Planning Sheet'!$AN249='Weeks Plan'!$G$6),'Planning Sheet'!$AO249,"")</f>
        <v/>
      </c>
      <c r="AA244" s="48" t="str">
        <f ca="1">IF(AND('Planning Sheet'!$AT249='Weeks Plan'!$D$6,'Planning Sheet'!$AN249='Weeks Plan'!$G$6),'Planning Sheet'!AP249,"")</f>
        <v/>
      </c>
    </row>
    <row r="245" spans="25:27" x14ac:dyDescent="0.3">
      <c r="Y245" s="48" t="str">
        <f ca="1">IF(AND('Planning Sheet'!$AT250='Weeks Plan'!$D$6,'Planning Sheet'!$AN250='Weeks Plan'!$G$6),'Planning Sheet'!$B250,"")</f>
        <v/>
      </c>
      <c r="Z245" s="48" t="str">
        <f ca="1">IF(AND('Planning Sheet'!$AT250='Weeks Plan'!$D$6,'Planning Sheet'!$AN250='Weeks Plan'!$G$6),'Planning Sheet'!$AO250,"")</f>
        <v/>
      </c>
      <c r="AA245" s="48" t="str">
        <f ca="1">IF(AND('Planning Sheet'!$AT250='Weeks Plan'!$D$6,'Planning Sheet'!$AN250='Weeks Plan'!$G$6),'Planning Sheet'!AP250,"")</f>
        <v/>
      </c>
    </row>
    <row r="246" spans="25:27" x14ac:dyDescent="0.3">
      <c r="Y246" s="48" t="str">
        <f ca="1">IF(AND('Planning Sheet'!$AT251='Weeks Plan'!$D$6,'Planning Sheet'!$AN251='Weeks Plan'!$G$6),'Planning Sheet'!$B251,"")</f>
        <v/>
      </c>
      <c r="Z246" s="48" t="str">
        <f ca="1">IF(AND('Planning Sheet'!$AT251='Weeks Plan'!$D$6,'Planning Sheet'!$AN251='Weeks Plan'!$G$6),'Planning Sheet'!$AO251,"")</f>
        <v/>
      </c>
      <c r="AA246" s="48" t="str">
        <f ca="1">IF(AND('Planning Sheet'!$AT251='Weeks Plan'!$D$6,'Planning Sheet'!$AN251='Weeks Plan'!$G$6),'Planning Sheet'!AP251,"")</f>
        <v/>
      </c>
    </row>
    <row r="247" spans="25:27" x14ac:dyDescent="0.3">
      <c r="Y247" s="48" t="str">
        <f ca="1">IF(AND('Planning Sheet'!$AT252='Weeks Plan'!$D$6,'Planning Sheet'!$AN252='Weeks Plan'!$G$6),'Planning Sheet'!$B252,"")</f>
        <v/>
      </c>
      <c r="Z247" s="48" t="str">
        <f ca="1">IF(AND('Planning Sheet'!$AT252='Weeks Plan'!$D$6,'Planning Sheet'!$AN252='Weeks Plan'!$G$6),'Planning Sheet'!$AO252,"")</f>
        <v/>
      </c>
      <c r="AA247" s="48" t="str">
        <f ca="1">IF(AND('Planning Sheet'!$AT252='Weeks Plan'!$D$6,'Planning Sheet'!$AN252='Weeks Plan'!$G$6),'Planning Sheet'!AP252,"")</f>
        <v/>
      </c>
    </row>
    <row r="248" spans="25:27" x14ac:dyDescent="0.3">
      <c r="Y248" s="48" t="str">
        <f ca="1">IF(AND('Planning Sheet'!$AT253='Weeks Plan'!$D$6,'Planning Sheet'!$AN253='Weeks Plan'!$G$6),'Planning Sheet'!$B253,"")</f>
        <v/>
      </c>
      <c r="Z248" s="48" t="str">
        <f ca="1">IF(AND('Planning Sheet'!$AT253='Weeks Plan'!$D$6,'Planning Sheet'!$AN253='Weeks Plan'!$G$6),'Planning Sheet'!$AO253,"")</f>
        <v/>
      </c>
      <c r="AA248" s="48" t="str">
        <f ca="1">IF(AND('Planning Sheet'!$AT253='Weeks Plan'!$D$6,'Planning Sheet'!$AN253='Weeks Plan'!$G$6),'Planning Sheet'!AP253,"")</f>
        <v/>
      </c>
    </row>
    <row r="249" spans="25:27" x14ac:dyDescent="0.3">
      <c r="Y249" s="48" t="str">
        <f ca="1">IF(AND('Planning Sheet'!$AT254='Weeks Plan'!$D$6,'Planning Sheet'!$AN254='Weeks Plan'!$G$6),'Planning Sheet'!$B254,"")</f>
        <v/>
      </c>
      <c r="Z249" s="48" t="str">
        <f ca="1">IF(AND('Planning Sheet'!$AT254='Weeks Plan'!$D$6,'Planning Sheet'!$AN254='Weeks Plan'!$G$6),'Planning Sheet'!$AO254,"")</f>
        <v/>
      </c>
      <c r="AA249" s="48" t="str">
        <f ca="1">IF(AND('Planning Sheet'!$AT254='Weeks Plan'!$D$6,'Planning Sheet'!$AN254='Weeks Plan'!$G$6),'Planning Sheet'!AP254,"")</f>
        <v/>
      </c>
    </row>
    <row r="250" spans="25:27" x14ac:dyDescent="0.3">
      <c r="Y250" s="48" t="str">
        <f ca="1">IF(AND('Planning Sheet'!$AT255='Weeks Plan'!$D$6,'Planning Sheet'!$AN255='Weeks Plan'!$G$6),'Planning Sheet'!$B255,"")</f>
        <v/>
      </c>
      <c r="Z250" s="48" t="str">
        <f ca="1">IF(AND('Planning Sheet'!$AT255='Weeks Plan'!$D$6,'Planning Sheet'!$AN255='Weeks Plan'!$G$6),'Planning Sheet'!$AO255,"")</f>
        <v/>
      </c>
      <c r="AA250" s="48" t="str">
        <f ca="1">IF(AND('Planning Sheet'!$AT255='Weeks Plan'!$D$6,'Planning Sheet'!$AN255='Weeks Plan'!$G$6),'Planning Sheet'!AP255,"")</f>
        <v/>
      </c>
    </row>
    <row r="251" spans="25:27" x14ac:dyDescent="0.3">
      <c r="Y251" s="48" t="str">
        <f ca="1">IF(AND('Planning Sheet'!$AT256='Weeks Plan'!$D$6,'Planning Sheet'!$AN256='Weeks Plan'!$G$6),'Planning Sheet'!$B256,"")</f>
        <v/>
      </c>
      <c r="Z251" s="48" t="str">
        <f ca="1">IF(AND('Planning Sheet'!$AT256='Weeks Plan'!$D$6,'Planning Sheet'!$AN256='Weeks Plan'!$G$6),'Planning Sheet'!$AO256,"")</f>
        <v/>
      </c>
      <c r="AA251" s="48" t="str">
        <f ca="1">IF(AND('Planning Sheet'!$AT256='Weeks Plan'!$D$6,'Planning Sheet'!$AN256='Weeks Plan'!$G$6),'Planning Sheet'!AP256,"")</f>
        <v/>
      </c>
    </row>
    <row r="252" spans="25:27" x14ac:dyDescent="0.3">
      <c r="Y252" s="48" t="str">
        <f ca="1">IF(AND('Planning Sheet'!$AT257='Weeks Plan'!$D$6,'Planning Sheet'!$AN257='Weeks Plan'!$G$6),'Planning Sheet'!$B257,"")</f>
        <v/>
      </c>
      <c r="Z252" s="48" t="str">
        <f ca="1">IF(AND('Planning Sheet'!$AT257='Weeks Plan'!$D$6,'Planning Sheet'!$AN257='Weeks Plan'!$G$6),'Planning Sheet'!$AO257,"")</f>
        <v/>
      </c>
      <c r="AA252" s="48" t="str">
        <f ca="1">IF(AND('Planning Sheet'!$AT257='Weeks Plan'!$D$6,'Planning Sheet'!$AN257='Weeks Plan'!$G$6),'Planning Sheet'!AP257,"")</f>
        <v/>
      </c>
    </row>
    <row r="253" spans="25:27" x14ac:dyDescent="0.3">
      <c r="Y253" s="48" t="str">
        <f ca="1">IF(AND('Planning Sheet'!$AT258='Weeks Plan'!$D$6,'Planning Sheet'!$AN258='Weeks Plan'!$G$6),'Planning Sheet'!$B258,"")</f>
        <v/>
      </c>
      <c r="Z253" s="48" t="str">
        <f ca="1">IF(AND('Planning Sheet'!$AT258='Weeks Plan'!$D$6,'Planning Sheet'!$AN258='Weeks Plan'!$G$6),'Planning Sheet'!$AO258,"")</f>
        <v/>
      </c>
      <c r="AA253" s="48" t="str">
        <f ca="1">IF(AND('Planning Sheet'!$AT258='Weeks Plan'!$D$6,'Planning Sheet'!$AN258='Weeks Plan'!$G$6),'Planning Sheet'!AP258,"")</f>
        <v/>
      </c>
    </row>
    <row r="254" spans="25:27" x14ac:dyDescent="0.3">
      <c r="Y254" s="48" t="str">
        <f ca="1">IF(AND('Planning Sheet'!$AT259='Weeks Plan'!$D$6,'Planning Sheet'!$AN259='Weeks Plan'!$G$6),'Planning Sheet'!$B259,"")</f>
        <v/>
      </c>
      <c r="Z254" s="48" t="str">
        <f ca="1">IF(AND('Planning Sheet'!$AT259='Weeks Plan'!$D$6,'Planning Sheet'!$AN259='Weeks Plan'!$G$6),'Planning Sheet'!$AO259,"")</f>
        <v/>
      </c>
      <c r="AA254" s="48" t="str">
        <f ca="1">IF(AND('Planning Sheet'!$AT259='Weeks Plan'!$D$6,'Planning Sheet'!$AN259='Weeks Plan'!$G$6),'Planning Sheet'!AP259,"")</f>
        <v/>
      </c>
    </row>
    <row r="255" spans="25:27" x14ac:dyDescent="0.3">
      <c r="Y255" s="48" t="str">
        <f ca="1">IF(AND('Planning Sheet'!$AT260='Weeks Plan'!$D$6,'Planning Sheet'!$AN260='Weeks Plan'!$G$6),'Planning Sheet'!$B260,"")</f>
        <v/>
      </c>
      <c r="Z255" s="48" t="str">
        <f ca="1">IF(AND('Planning Sheet'!$AT260='Weeks Plan'!$D$6,'Planning Sheet'!$AN260='Weeks Plan'!$G$6),'Planning Sheet'!$AO260,"")</f>
        <v/>
      </c>
      <c r="AA255" s="48" t="str">
        <f ca="1">IF(AND('Planning Sheet'!$AT260='Weeks Plan'!$D$6,'Planning Sheet'!$AN260='Weeks Plan'!$G$6),'Planning Sheet'!AP260,"")</f>
        <v/>
      </c>
    </row>
    <row r="256" spans="25:27" x14ac:dyDescent="0.3">
      <c r="Y256" s="48" t="str">
        <f ca="1">IF(AND('Planning Sheet'!$AT261='Weeks Plan'!$D$6,'Planning Sheet'!$AN261='Weeks Plan'!$G$6),'Planning Sheet'!$B261,"")</f>
        <v/>
      </c>
      <c r="Z256" s="48" t="str">
        <f ca="1">IF(AND('Planning Sheet'!$AT261='Weeks Plan'!$D$6,'Planning Sheet'!$AN261='Weeks Plan'!$G$6),'Planning Sheet'!$AO261,"")</f>
        <v/>
      </c>
      <c r="AA256" s="48" t="str">
        <f ca="1">IF(AND('Planning Sheet'!$AT261='Weeks Plan'!$D$6,'Planning Sheet'!$AN261='Weeks Plan'!$G$6),'Planning Sheet'!AP261,"")</f>
        <v/>
      </c>
    </row>
    <row r="257" spans="25:27" x14ac:dyDescent="0.3">
      <c r="Y257" s="48" t="str">
        <f ca="1">IF(AND('Planning Sheet'!$AT262='Weeks Plan'!$D$6,'Planning Sheet'!$AN262='Weeks Plan'!$G$6),'Planning Sheet'!$B262,"")</f>
        <v/>
      </c>
      <c r="Z257" s="48" t="str">
        <f ca="1">IF(AND('Planning Sheet'!$AT262='Weeks Plan'!$D$6,'Planning Sheet'!$AN262='Weeks Plan'!$G$6),'Planning Sheet'!$AO262,"")</f>
        <v/>
      </c>
      <c r="AA257" s="48" t="str">
        <f ca="1">IF(AND('Planning Sheet'!$AT262='Weeks Plan'!$D$6,'Planning Sheet'!$AN262='Weeks Plan'!$G$6),'Planning Sheet'!AP262,"")</f>
        <v/>
      </c>
    </row>
    <row r="258" spans="25:27" x14ac:dyDescent="0.3">
      <c r="Y258" s="48" t="str">
        <f ca="1">IF(AND('Planning Sheet'!$AT263='Weeks Plan'!$D$6,'Planning Sheet'!$AN263='Weeks Plan'!$G$6),'Planning Sheet'!$B263,"")</f>
        <v/>
      </c>
      <c r="Z258" s="48" t="str">
        <f ca="1">IF(AND('Planning Sheet'!$AT263='Weeks Plan'!$D$6,'Planning Sheet'!$AN263='Weeks Plan'!$G$6),'Planning Sheet'!$AO263,"")</f>
        <v/>
      </c>
      <c r="AA258" s="48" t="str">
        <f ca="1">IF(AND('Planning Sheet'!$AT263='Weeks Plan'!$D$6,'Planning Sheet'!$AN263='Weeks Plan'!$G$6),'Planning Sheet'!AP263,"")</f>
        <v/>
      </c>
    </row>
    <row r="259" spans="25:27" x14ac:dyDescent="0.3">
      <c r="Y259" s="48" t="str">
        <f ca="1">IF(AND('Planning Sheet'!$AT264='Weeks Plan'!$D$6,'Planning Sheet'!$AN264='Weeks Plan'!$G$6),'Planning Sheet'!$B264,"")</f>
        <v/>
      </c>
      <c r="Z259" s="48" t="str">
        <f ca="1">IF(AND('Planning Sheet'!$AT264='Weeks Plan'!$D$6,'Planning Sheet'!$AN264='Weeks Plan'!$G$6),'Planning Sheet'!$AO264,"")</f>
        <v/>
      </c>
      <c r="AA259" s="48" t="str">
        <f ca="1">IF(AND('Planning Sheet'!$AT264='Weeks Plan'!$D$6,'Planning Sheet'!$AN264='Weeks Plan'!$G$6),'Planning Sheet'!AP264,"")</f>
        <v/>
      </c>
    </row>
    <row r="260" spans="25:27" x14ac:dyDescent="0.3">
      <c r="Y260" s="48" t="str">
        <f ca="1">IF(AND('Planning Sheet'!$AT265='Weeks Plan'!$D$6,'Planning Sheet'!$AN265='Weeks Plan'!$G$6),'Planning Sheet'!$B265,"")</f>
        <v/>
      </c>
      <c r="Z260" s="48" t="str">
        <f ca="1">IF(AND('Planning Sheet'!$AT265='Weeks Plan'!$D$6,'Planning Sheet'!$AN265='Weeks Plan'!$G$6),'Planning Sheet'!$AO265,"")</f>
        <v/>
      </c>
      <c r="AA260" s="48" t="str">
        <f ca="1">IF(AND('Planning Sheet'!$AT265='Weeks Plan'!$D$6,'Planning Sheet'!$AN265='Weeks Plan'!$G$6),'Planning Sheet'!AP265,"")</f>
        <v/>
      </c>
    </row>
    <row r="261" spans="25:27" x14ac:dyDescent="0.3">
      <c r="Y261" s="48" t="str">
        <f ca="1">IF(AND('Planning Sheet'!$AT266='Weeks Plan'!$D$6,'Planning Sheet'!$AN266='Weeks Plan'!$G$6),'Planning Sheet'!$B266,"")</f>
        <v/>
      </c>
      <c r="Z261" s="48" t="str">
        <f ca="1">IF(AND('Planning Sheet'!$AT266='Weeks Plan'!$D$6,'Planning Sheet'!$AN266='Weeks Plan'!$G$6),'Planning Sheet'!$AO266,"")</f>
        <v/>
      </c>
      <c r="AA261" s="48" t="str">
        <f ca="1">IF(AND('Planning Sheet'!$AT266='Weeks Plan'!$D$6,'Planning Sheet'!$AN266='Weeks Plan'!$G$6),'Planning Sheet'!AP266,"")</f>
        <v/>
      </c>
    </row>
    <row r="262" spans="25:27" x14ac:dyDescent="0.3">
      <c r="Y262" s="48" t="str">
        <f ca="1">IF(AND('Planning Sheet'!$AT267='Weeks Plan'!$D$6,'Planning Sheet'!$AN267='Weeks Plan'!$G$6),'Planning Sheet'!$B267,"")</f>
        <v/>
      </c>
      <c r="Z262" s="48" t="str">
        <f ca="1">IF(AND('Planning Sheet'!$AT267='Weeks Plan'!$D$6,'Planning Sheet'!$AN267='Weeks Plan'!$G$6),'Planning Sheet'!$AO267,"")</f>
        <v/>
      </c>
      <c r="AA262" s="48" t="str">
        <f ca="1">IF(AND('Planning Sheet'!$AT267='Weeks Plan'!$D$6,'Planning Sheet'!$AN267='Weeks Plan'!$G$6),'Planning Sheet'!AP267,"")</f>
        <v/>
      </c>
    </row>
    <row r="263" spans="25:27" x14ac:dyDescent="0.3">
      <c r="Y263" s="48" t="str">
        <f ca="1">IF(AND('Planning Sheet'!$AT268='Weeks Plan'!$D$6,'Planning Sheet'!$AN268='Weeks Plan'!$G$6),'Planning Sheet'!$B268,"")</f>
        <v/>
      </c>
      <c r="Z263" s="48" t="str">
        <f ca="1">IF(AND('Planning Sheet'!$AT268='Weeks Plan'!$D$6,'Planning Sheet'!$AN268='Weeks Plan'!$G$6),'Planning Sheet'!$AO268,"")</f>
        <v/>
      </c>
      <c r="AA263" s="48" t="str">
        <f ca="1">IF(AND('Planning Sheet'!$AT268='Weeks Plan'!$D$6,'Planning Sheet'!$AN268='Weeks Plan'!$G$6),'Planning Sheet'!AP268,"")</f>
        <v/>
      </c>
    </row>
    <row r="264" spans="25:27" x14ac:dyDescent="0.3">
      <c r="Y264" s="48" t="str">
        <f ca="1">IF(AND('Planning Sheet'!$AT269='Weeks Plan'!$D$6,'Planning Sheet'!$AN269='Weeks Plan'!$G$6),'Planning Sheet'!$B269,"")</f>
        <v/>
      </c>
      <c r="Z264" s="48" t="str">
        <f ca="1">IF(AND('Planning Sheet'!$AT269='Weeks Plan'!$D$6,'Planning Sheet'!$AN269='Weeks Plan'!$G$6),'Planning Sheet'!$AO269,"")</f>
        <v/>
      </c>
      <c r="AA264" s="48" t="str">
        <f ca="1">IF(AND('Planning Sheet'!$AT269='Weeks Plan'!$D$6,'Planning Sheet'!$AN269='Weeks Plan'!$G$6),'Planning Sheet'!AP269,"")</f>
        <v/>
      </c>
    </row>
    <row r="265" spans="25:27" x14ac:dyDescent="0.3">
      <c r="Y265" s="48" t="str">
        <f ca="1">IF(AND('Planning Sheet'!$AT270='Weeks Plan'!$D$6,'Planning Sheet'!$AN270='Weeks Plan'!$G$6),'Planning Sheet'!$B270,"")</f>
        <v/>
      </c>
      <c r="Z265" s="48" t="str">
        <f ca="1">IF(AND('Planning Sheet'!$AT270='Weeks Plan'!$D$6,'Planning Sheet'!$AN270='Weeks Plan'!$G$6),'Planning Sheet'!$AO270,"")</f>
        <v/>
      </c>
      <c r="AA265" s="48" t="str">
        <f ca="1">IF(AND('Planning Sheet'!$AT270='Weeks Plan'!$D$6,'Planning Sheet'!$AN270='Weeks Plan'!$G$6),'Planning Sheet'!AP270,"")</f>
        <v/>
      </c>
    </row>
    <row r="266" spans="25:27" x14ac:dyDescent="0.3">
      <c r="Y266" s="48" t="str">
        <f ca="1">IF(AND('Planning Sheet'!$AT271='Weeks Plan'!$D$6,'Planning Sheet'!$AN271='Weeks Plan'!$G$6),'Planning Sheet'!$B271,"")</f>
        <v/>
      </c>
      <c r="Z266" s="48" t="str">
        <f ca="1">IF(AND('Planning Sheet'!$AT271='Weeks Plan'!$D$6,'Planning Sheet'!$AN271='Weeks Plan'!$G$6),'Planning Sheet'!$AO271,"")</f>
        <v/>
      </c>
      <c r="AA266" s="48" t="str">
        <f ca="1">IF(AND('Planning Sheet'!$AT271='Weeks Plan'!$D$6,'Planning Sheet'!$AN271='Weeks Plan'!$G$6),'Planning Sheet'!AP271,"")</f>
        <v/>
      </c>
    </row>
    <row r="267" spans="25:27" x14ac:dyDescent="0.3">
      <c r="Y267" s="48" t="str">
        <f ca="1">IF(AND('Planning Sheet'!$AT272='Weeks Plan'!$D$6,'Planning Sheet'!$AN272='Weeks Plan'!$G$6),'Planning Sheet'!$B272,"")</f>
        <v/>
      </c>
      <c r="Z267" s="48" t="str">
        <f ca="1">IF(AND('Planning Sheet'!$AT272='Weeks Plan'!$D$6,'Planning Sheet'!$AN272='Weeks Plan'!$G$6),'Planning Sheet'!$AO272,"")</f>
        <v/>
      </c>
      <c r="AA267" s="48" t="str">
        <f ca="1">IF(AND('Planning Sheet'!$AT272='Weeks Plan'!$D$6,'Planning Sheet'!$AN272='Weeks Plan'!$G$6),'Planning Sheet'!AP272,"")</f>
        <v/>
      </c>
    </row>
    <row r="268" spans="25:27" x14ac:dyDescent="0.3">
      <c r="Y268" s="48" t="str">
        <f ca="1">IF(AND('Planning Sheet'!$AT273='Weeks Plan'!$D$6,'Planning Sheet'!$AN273='Weeks Plan'!$G$6),'Planning Sheet'!$B273,"")</f>
        <v/>
      </c>
      <c r="Z268" s="48" t="str">
        <f ca="1">IF(AND('Planning Sheet'!$AT273='Weeks Plan'!$D$6,'Planning Sheet'!$AN273='Weeks Plan'!$G$6),'Planning Sheet'!$AO273,"")</f>
        <v/>
      </c>
      <c r="AA268" s="48" t="str">
        <f ca="1">IF(AND('Planning Sheet'!$AT273='Weeks Plan'!$D$6,'Planning Sheet'!$AN273='Weeks Plan'!$G$6),'Planning Sheet'!AP273,"")</f>
        <v/>
      </c>
    </row>
    <row r="269" spans="25:27" x14ac:dyDescent="0.3">
      <c r="Y269" s="48" t="str">
        <f ca="1">IF(AND('Planning Sheet'!$AT274='Weeks Plan'!$D$6,'Planning Sheet'!$AN274='Weeks Plan'!$G$6),'Planning Sheet'!$B274,"")</f>
        <v/>
      </c>
      <c r="Z269" s="48" t="str">
        <f ca="1">IF(AND('Planning Sheet'!$AT274='Weeks Plan'!$D$6,'Planning Sheet'!$AN274='Weeks Plan'!$G$6),'Planning Sheet'!$AO274,"")</f>
        <v/>
      </c>
      <c r="AA269" s="48" t="str">
        <f ca="1">IF(AND('Planning Sheet'!$AT274='Weeks Plan'!$D$6,'Planning Sheet'!$AN274='Weeks Plan'!$G$6),'Planning Sheet'!AP274,"")</f>
        <v/>
      </c>
    </row>
    <row r="270" spans="25:27" x14ac:dyDescent="0.3">
      <c r="Y270" s="48" t="str">
        <f ca="1">IF(AND('Planning Sheet'!$AT275='Weeks Plan'!$D$6,'Planning Sheet'!$AN275='Weeks Plan'!$G$6),'Planning Sheet'!$B275,"")</f>
        <v/>
      </c>
      <c r="Z270" s="48" t="str">
        <f ca="1">IF(AND('Planning Sheet'!$AT275='Weeks Plan'!$D$6,'Planning Sheet'!$AN275='Weeks Plan'!$G$6),'Planning Sheet'!$AO275,"")</f>
        <v/>
      </c>
      <c r="AA270" s="48" t="str">
        <f ca="1">IF(AND('Planning Sheet'!$AT275='Weeks Plan'!$D$6,'Planning Sheet'!$AN275='Weeks Plan'!$G$6),'Planning Sheet'!AP275,"")</f>
        <v/>
      </c>
    </row>
    <row r="271" spans="25:27" x14ac:dyDescent="0.3">
      <c r="Y271" s="48" t="str">
        <f ca="1">IF(AND('Planning Sheet'!$AT276='Weeks Plan'!$D$6,'Planning Sheet'!$AN276='Weeks Plan'!$G$6),'Planning Sheet'!$B276,"")</f>
        <v/>
      </c>
      <c r="Z271" s="48" t="str">
        <f ca="1">IF(AND('Planning Sheet'!$AT276='Weeks Plan'!$D$6,'Planning Sheet'!$AN276='Weeks Plan'!$G$6),'Planning Sheet'!$AO276,"")</f>
        <v/>
      </c>
      <c r="AA271" s="48" t="str">
        <f ca="1">IF(AND('Planning Sheet'!$AT276='Weeks Plan'!$D$6,'Planning Sheet'!$AN276='Weeks Plan'!$G$6),'Planning Sheet'!AP276,"")</f>
        <v/>
      </c>
    </row>
    <row r="272" spans="25:27" x14ac:dyDescent="0.3">
      <c r="Y272" s="48" t="str">
        <f ca="1">IF(AND('Planning Sheet'!$AT277='Weeks Plan'!$D$6,'Planning Sheet'!$AN277='Weeks Plan'!$G$6),'Planning Sheet'!$B277,"")</f>
        <v/>
      </c>
      <c r="Z272" s="48" t="str">
        <f ca="1">IF(AND('Planning Sheet'!$AT277='Weeks Plan'!$D$6,'Planning Sheet'!$AN277='Weeks Plan'!$G$6),'Planning Sheet'!$AO277,"")</f>
        <v/>
      </c>
      <c r="AA272" s="48" t="str">
        <f ca="1">IF(AND('Planning Sheet'!$AT277='Weeks Plan'!$D$6,'Planning Sheet'!$AN277='Weeks Plan'!$G$6),'Planning Sheet'!AP277,"")</f>
        <v/>
      </c>
    </row>
    <row r="273" spans="25:27" x14ac:dyDescent="0.3">
      <c r="Y273" s="48" t="str">
        <f ca="1">IF(AND('Planning Sheet'!$AT278='Weeks Plan'!$D$6,'Planning Sheet'!$AN278='Weeks Plan'!$G$6),'Planning Sheet'!$B278,"")</f>
        <v/>
      </c>
      <c r="Z273" s="48" t="str">
        <f ca="1">IF(AND('Planning Sheet'!$AT278='Weeks Plan'!$D$6,'Planning Sheet'!$AN278='Weeks Plan'!$G$6),'Planning Sheet'!$AO278,"")</f>
        <v/>
      </c>
      <c r="AA273" s="48" t="str">
        <f ca="1">IF(AND('Planning Sheet'!$AT278='Weeks Plan'!$D$6,'Planning Sheet'!$AN278='Weeks Plan'!$G$6),'Planning Sheet'!AP278,"")</f>
        <v/>
      </c>
    </row>
    <row r="274" spans="25:27" x14ac:dyDescent="0.3">
      <c r="Y274" s="48" t="str">
        <f ca="1">IF(AND('Planning Sheet'!$AT279='Weeks Plan'!$D$6,'Planning Sheet'!$AN279='Weeks Plan'!$G$6),'Planning Sheet'!$B279,"")</f>
        <v/>
      </c>
      <c r="Z274" s="48" t="str">
        <f ca="1">IF(AND('Planning Sheet'!$AT279='Weeks Plan'!$D$6,'Planning Sheet'!$AN279='Weeks Plan'!$G$6),'Planning Sheet'!$AO279,"")</f>
        <v/>
      </c>
      <c r="AA274" s="48" t="str">
        <f ca="1">IF(AND('Planning Sheet'!$AT279='Weeks Plan'!$D$6,'Planning Sheet'!$AN279='Weeks Plan'!$G$6),'Planning Sheet'!AP279,"")</f>
        <v/>
      </c>
    </row>
    <row r="275" spans="25:27" x14ac:dyDescent="0.3">
      <c r="Y275" s="48" t="str">
        <f ca="1">IF(AND('Planning Sheet'!$AT280='Weeks Plan'!$D$6,'Planning Sheet'!$AN280='Weeks Plan'!$G$6),'Planning Sheet'!$B280,"")</f>
        <v/>
      </c>
      <c r="Z275" s="48" t="str">
        <f ca="1">IF(AND('Planning Sheet'!$AT280='Weeks Plan'!$D$6,'Planning Sheet'!$AN280='Weeks Plan'!$G$6),'Planning Sheet'!$AO280,"")</f>
        <v/>
      </c>
      <c r="AA275" s="48" t="str">
        <f ca="1">IF(AND('Planning Sheet'!$AT280='Weeks Plan'!$D$6,'Planning Sheet'!$AN280='Weeks Plan'!$G$6),'Planning Sheet'!AP280,"")</f>
        <v/>
      </c>
    </row>
    <row r="276" spans="25:27" x14ac:dyDescent="0.3">
      <c r="Y276" s="48" t="str">
        <f ca="1">IF(AND('Planning Sheet'!$AT281='Weeks Plan'!$D$6,'Planning Sheet'!$AN281='Weeks Plan'!$G$6),'Planning Sheet'!$B281,"")</f>
        <v/>
      </c>
      <c r="Z276" s="48" t="str">
        <f ca="1">IF(AND('Planning Sheet'!$AT281='Weeks Plan'!$D$6,'Planning Sheet'!$AN281='Weeks Plan'!$G$6),'Planning Sheet'!$AO281,"")</f>
        <v/>
      </c>
      <c r="AA276" s="48" t="str">
        <f ca="1">IF(AND('Planning Sheet'!$AT281='Weeks Plan'!$D$6,'Planning Sheet'!$AN281='Weeks Plan'!$G$6),'Planning Sheet'!AP281,"")</f>
        <v/>
      </c>
    </row>
    <row r="277" spans="25:27" x14ac:dyDescent="0.3">
      <c r="Y277" s="48" t="str">
        <f ca="1">IF(AND('Planning Sheet'!$AT282='Weeks Plan'!$D$6,'Planning Sheet'!$AN282='Weeks Plan'!$G$6),'Planning Sheet'!$B282,"")</f>
        <v/>
      </c>
      <c r="Z277" s="48" t="str">
        <f ca="1">IF(AND('Planning Sheet'!$AT282='Weeks Plan'!$D$6,'Planning Sheet'!$AN282='Weeks Plan'!$G$6),'Planning Sheet'!$AO282,"")</f>
        <v/>
      </c>
      <c r="AA277" s="48" t="str">
        <f ca="1">IF(AND('Planning Sheet'!$AT282='Weeks Plan'!$D$6,'Planning Sheet'!$AN282='Weeks Plan'!$G$6),'Planning Sheet'!AP282,"")</f>
        <v/>
      </c>
    </row>
    <row r="278" spans="25:27" x14ac:dyDescent="0.3">
      <c r="Y278" s="48" t="str">
        <f ca="1">IF(AND('Planning Sheet'!$AT283='Weeks Plan'!$D$6,'Planning Sheet'!$AN283='Weeks Plan'!$G$6),'Planning Sheet'!$B283,"")</f>
        <v/>
      </c>
      <c r="Z278" s="48" t="str">
        <f ca="1">IF(AND('Planning Sheet'!$AT283='Weeks Plan'!$D$6,'Planning Sheet'!$AN283='Weeks Plan'!$G$6),'Planning Sheet'!$AO283,"")</f>
        <v/>
      </c>
      <c r="AA278" s="48" t="str">
        <f ca="1">IF(AND('Planning Sheet'!$AT283='Weeks Plan'!$D$6,'Planning Sheet'!$AN283='Weeks Plan'!$G$6),'Planning Sheet'!AP283,"")</f>
        <v/>
      </c>
    </row>
    <row r="279" spans="25:27" x14ac:dyDescent="0.3">
      <c r="Y279" s="48" t="str">
        <f ca="1">IF(AND('Planning Sheet'!$AT284='Weeks Plan'!$D$6,'Planning Sheet'!$AN284='Weeks Plan'!$G$6),'Planning Sheet'!$B284,"")</f>
        <v/>
      </c>
      <c r="Z279" s="48" t="str">
        <f ca="1">IF(AND('Planning Sheet'!$AT284='Weeks Plan'!$D$6,'Planning Sheet'!$AN284='Weeks Plan'!$G$6),'Planning Sheet'!$AO284,"")</f>
        <v/>
      </c>
      <c r="AA279" s="48" t="str">
        <f ca="1">IF(AND('Planning Sheet'!$AT284='Weeks Plan'!$D$6,'Planning Sheet'!$AN284='Weeks Plan'!$G$6),'Planning Sheet'!AP284,"")</f>
        <v/>
      </c>
    </row>
    <row r="280" spans="25:27" x14ac:dyDescent="0.3">
      <c r="Y280" s="48" t="str">
        <f ca="1">IF(AND('Planning Sheet'!$AT285='Weeks Plan'!$D$6,'Planning Sheet'!$AN285='Weeks Plan'!$G$6),'Planning Sheet'!$B285,"")</f>
        <v/>
      </c>
      <c r="Z280" s="48" t="str">
        <f ca="1">IF(AND('Planning Sheet'!$AT285='Weeks Plan'!$D$6,'Planning Sheet'!$AN285='Weeks Plan'!$G$6),'Planning Sheet'!$AO285,"")</f>
        <v/>
      </c>
      <c r="AA280" s="48" t="str">
        <f ca="1">IF(AND('Planning Sheet'!$AT285='Weeks Plan'!$D$6,'Planning Sheet'!$AN285='Weeks Plan'!$G$6),'Planning Sheet'!AP285,"")</f>
        <v/>
      </c>
    </row>
    <row r="281" spans="25:27" x14ac:dyDescent="0.3">
      <c r="Y281" s="48" t="str">
        <f ca="1">IF(AND('Planning Sheet'!$AT286='Weeks Plan'!$D$6,'Planning Sheet'!$AN286='Weeks Plan'!$G$6),'Planning Sheet'!$B286,"")</f>
        <v/>
      </c>
      <c r="Z281" s="48" t="str">
        <f ca="1">IF(AND('Planning Sheet'!$AT286='Weeks Plan'!$D$6,'Planning Sheet'!$AN286='Weeks Plan'!$G$6),'Planning Sheet'!$AO286,"")</f>
        <v/>
      </c>
      <c r="AA281" s="48" t="str">
        <f ca="1">IF(AND('Planning Sheet'!$AT286='Weeks Plan'!$D$6,'Planning Sheet'!$AN286='Weeks Plan'!$G$6),'Planning Sheet'!AP286,"")</f>
        <v/>
      </c>
    </row>
    <row r="282" spans="25:27" x14ac:dyDescent="0.3">
      <c r="Y282" s="48" t="str">
        <f ca="1">IF(AND('Planning Sheet'!$AT287='Weeks Plan'!$D$6,'Planning Sheet'!$AN287='Weeks Plan'!$G$6),'Planning Sheet'!$B287,"")</f>
        <v/>
      </c>
      <c r="Z282" s="48" t="str">
        <f ca="1">IF(AND('Planning Sheet'!$AT287='Weeks Plan'!$D$6,'Planning Sheet'!$AN287='Weeks Plan'!$G$6),'Planning Sheet'!$AO287,"")</f>
        <v/>
      </c>
      <c r="AA282" s="48" t="str">
        <f ca="1">IF(AND('Planning Sheet'!$AT287='Weeks Plan'!$D$6,'Planning Sheet'!$AN287='Weeks Plan'!$G$6),'Planning Sheet'!AP287,"")</f>
        <v/>
      </c>
    </row>
    <row r="283" spans="25:27" x14ac:dyDescent="0.3">
      <c r="Y283" s="48" t="str">
        <f ca="1">IF(AND('Planning Sheet'!$AT288='Weeks Plan'!$D$6,'Planning Sheet'!$AN288='Weeks Plan'!$G$6),'Planning Sheet'!$B288,"")</f>
        <v/>
      </c>
      <c r="Z283" s="48" t="str">
        <f ca="1">IF(AND('Planning Sheet'!$AT288='Weeks Plan'!$D$6,'Planning Sheet'!$AN288='Weeks Plan'!$G$6),'Planning Sheet'!$AO288,"")</f>
        <v/>
      </c>
      <c r="AA283" s="48" t="str">
        <f ca="1">IF(AND('Planning Sheet'!$AT288='Weeks Plan'!$D$6,'Planning Sheet'!$AN288='Weeks Plan'!$G$6),'Planning Sheet'!AP288,"")</f>
        <v/>
      </c>
    </row>
    <row r="284" spans="25:27" x14ac:dyDescent="0.3">
      <c r="Y284" s="48" t="str">
        <f ca="1">IF(AND('Planning Sheet'!$AT289='Weeks Plan'!$D$6,'Planning Sheet'!$AN289='Weeks Plan'!$G$6),'Planning Sheet'!$B289,"")</f>
        <v/>
      </c>
      <c r="Z284" s="48" t="str">
        <f ca="1">IF(AND('Planning Sheet'!$AT289='Weeks Plan'!$D$6,'Planning Sheet'!$AN289='Weeks Plan'!$G$6),'Planning Sheet'!$AO289,"")</f>
        <v/>
      </c>
      <c r="AA284" s="48" t="str">
        <f ca="1">IF(AND('Planning Sheet'!$AT289='Weeks Plan'!$D$6,'Planning Sheet'!$AN289='Weeks Plan'!$G$6),'Planning Sheet'!AP289,"")</f>
        <v/>
      </c>
    </row>
    <row r="285" spans="25:27" x14ac:dyDescent="0.3">
      <c r="Y285" s="48" t="str">
        <f ca="1">IF(AND('Planning Sheet'!$AT290='Weeks Plan'!$D$6,'Planning Sheet'!$AN290='Weeks Plan'!$G$6),'Planning Sheet'!$B290,"")</f>
        <v/>
      </c>
      <c r="Z285" s="48" t="str">
        <f ca="1">IF(AND('Planning Sheet'!$AT290='Weeks Plan'!$D$6,'Planning Sheet'!$AN290='Weeks Plan'!$G$6),'Planning Sheet'!$AO290,"")</f>
        <v/>
      </c>
      <c r="AA285" s="48" t="str">
        <f ca="1">IF(AND('Planning Sheet'!$AT290='Weeks Plan'!$D$6,'Planning Sheet'!$AN290='Weeks Plan'!$G$6),'Planning Sheet'!AP290,"")</f>
        <v/>
      </c>
    </row>
    <row r="286" spans="25:27" x14ac:dyDescent="0.3">
      <c r="Y286" s="48" t="str">
        <f ca="1">IF(AND('Planning Sheet'!$AT291='Weeks Plan'!$D$6,'Planning Sheet'!$AN291='Weeks Plan'!$G$6),'Planning Sheet'!$B291,"")</f>
        <v/>
      </c>
      <c r="Z286" s="48" t="str">
        <f ca="1">IF(AND('Planning Sheet'!$AT291='Weeks Plan'!$D$6,'Planning Sheet'!$AN291='Weeks Plan'!$G$6),'Planning Sheet'!$AO291,"")</f>
        <v/>
      </c>
      <c r="AA286" s="48" t="str">
        <f ca="1">IF(AND('Planning Sheet'!$AT291='Weeks Plan'!$D$6,'Planning Sheet'!$AN291='Weeks Plan'!$G$6),'Planning Sheet'!AP291,"")</f>
        <v/>
      </c>
    </row>
    <row r="287" spans="25:27" x14ac:dyDescent="0.3">
      <c r="Y287" s="48" t="str">
        <f ca="1">IF(AND('Planning Sheet'!$AT292='Weeks Plan'!$D$6,'Planning Sheet'!$AN292='Weeks Plan'!$G$6),'Planning Sheet'!$B292,"")</f>
        <v/>
      </c>
      <c r="Z287" s="48" t="str">
        <f ca="1">IF(AND('Planning Sheet'!$AT292='Weeks Plan'!$D$6,'Planning Sheet'!$AN292='Weeks Plan'!$G$6),'Planning Sheet'!$AO292,"")</f>
        <v/>
      </c>
      <c r="AA287" s="48" t="str">
        <f ca="1">IF(AND('Planning Sheet'!$AT292='Weeks Plan'!$D$6,'Planning Sheet'!$AN292='Weeks Plan'!$G$6),'Planning Sheet'!AP292,"")</f>
        <v/>
      </c>
    </row>
    <row r="288" spans="25:27" x14ac:dyDescent="0.3">
      <c r="Y288" s="48" t="str">
        <f ca="1">IF(AND('Planning Sheet'!$AT293='Weeks Plan'!$D$6,'Planning Sheet'!$AN293='Weeks Plan'!$G$6),'Planning Sheet'!$B293,"")</f>
        <v/>
      </c>
      <c r="Z288" s="48" t="str">
        <f ca="1">IF(AND('Planning Sheet'!$AT293='Weeks Plan'!$D$6,'Planning Sheet'!$AN293='Weeks Plan'!$G$6),'Planning Sheet'!$AO293,"")</f>
        <v/>
      </c>
      <c r="AA288" s="48" t="str">
        <f ca="1">IF(AND('Planning Sheet'!$AT293='Weeks Plan'!$D$6,'Planning Sheet'!$AN293='Weeks Plan'!$G$6),'Planning Sheet'!AP293,"")</f>
        <v/>
      </c>
    </row>
    <row r="289" spans="25:27" x14ac:dyDescent="0.3">
      <c r="Y289" s="48" t="str">
        <f ca="1">IF(AND('Planning Sheet'!$AT294='Weeks Plan'!$D$6,'Planning Sheet'!$AN294='Weeks Plan'!$G$6),'Planning Sheet'!$B294,"")</f>
        <v/>
      </c>
      <c r="Z289" s="48" t="str">
        <f ca="1">IF(AND('Planning Sheet'!$AT294='Weeks Plan'!$D$6,'Planning Sheet'!$AN294='Weeks Plan'!$G$6),'Planning Sheet'!$AO294,"")</f>
        <v/>
      </c>
      <c r="AA289" s="48" t="str">
        <f ca="1">IF(AND('Planning Sheet'!$AT294='Weeks Plan'!$D$6,'Planning Sheet'!$AN294='Weeks Plan'!$G$6),'Planning Sheet'!AP294,"")</f>
        <v/>
      </c>
    </row>
    <row r="290" spans="25:27" x14ac:dyDescent="0.3">
      <c r="Y290" s="48" t="str">
        <f ca="1">IF(AND('Planning Sheet'!$AT295='Weeks Plan'!$D$6,'Planning Sheet'!$AN295='Weeks Plan'!$G$6),'Planning Sheet'!$B295,"")</f>
        <v/>
      </c>
      <c r="Z290" s="48" t="str">
        <f ca="1">IF(AND('Planning Sheet'!$AT295='Weeks Plan'!$D$6,'Planning Sheet'!$AN295='Weeks Plan'!$G$6),'Planning Sheet'!$AO295,"")</f>
        <v/>
      </c>
      <c r="AA290" s="48" t="str">
        <f ca="1">IF(AND('Planning Sheet'!$AT295='Weeks Plan'!$D$6,'Planning Sheet'!$AN295='Weeks Plan'!$G$6),'Planning Sheet'!AP295,"")</f>
        <v/>
      </c>
    </row>
    <row r="291" spans="25:27" x14ac:dyDescent="0.3">
      <c r="Y291" s="48" t="str">
        <f ca="1">IF(AND('Planning Sheet'!$AT296='Weeks Plan'!$D$6,'Planning Sheet'!$AN296='Weeks Plan'!$G$6),'Planning Sheet'!$B296,"")</f>
        <v/>
      </c>
      <c r="Z291" s="48" t="str">
        <f ca="1">IF(AND('Planning Sheet'!$AT296='Weeks Plan'!$D$6,'Planning Sheet'!$AN296='Weeks Plan'!$G$6),'Planning Sheet'!$AO296,"")</f>
        <v/>
      </c>
      <c r="AA291" s="48" t="str">
        <f ca="1">IF(AND('Planning Sheet'!$AT296='Weeks Plan'!$D$6,'Planning Sheet'!$AN296='Weeks Plan'!$G$6),'Planning Sheet'!AP296,"")</f>
        <v/>
      </c>
    </row>
    <row r="292" spans="25:27" x14ac:dyDescent="0.3">
      <c r="Y292" s="48" t="str">
        <f ca="1">IF(AND('Planning Sheet'!$AT297='Weeks Plan'!$D$6,'Planning Sheet'!$AN297='Weeks Plan'!$G$6),'Planning Sheet'!$B297,"")</f>
        <v/>
      </c>
      <c r="Z292" s="48" t="str">
        <f ca="1">IF(AND('Planning Sheet'!$AT297='Weeks Plan'!$D$6,'Planning Sheet'!$AN297='Weeks Plan'!$G$6),'Planning Sheet'!$AO297,"")</f>
        <v/>
      </c>
      <c r="AA292" s="48" t="str">
        <f ca="1">IF(AND('Planning Sheet'!$AT297='Weeks Plan'!$D$6,'Planning Sheet'!$AN297='Weeks Plan'!$G$6),'Planning Sheet'!AP297,"")</f>
        <v/>
      </c>
    </row>
    <row r="293" spans="25:27" x14ac:dyDescent="0.3">
      <c r="Y293" s="48" t="str">
        <f ca="1">IF(AND('Planning Sheet'!$AT298='Weeks Plan'!$D$6,'Planning Sheet'!$AN298='Weeks Plan'!$G$6),'Planning Sheet'!$B298,"")</f>
        <v/>
      </c>
      <c r="Z293" s="48" t="str">
        <f ca="1">IF(AND('Planning Sheet'!$AT298='Weeks Plan'!$D$6,'Planning Sheet'!$AN298='Weeks Plan'!$G$6),'Planning Sheet'!$AO298,"")</f>
        <v/>
      </c>
      <c r="AA293" s="48" t="str">
        <f ca="1">IF(AND('Planning Sheet'!$AT298='Weeks Plan'!$D$6,'Planning Sheet'!$AN298='Weeks Plan'!$G$6),'Planning Sheet'!AP298,"")</f>
        <v/>
      </c>
    </row>
    <row r="294" spans="25:27" x14ac:dyDescent="0.3">
      <c r="Y294" s="48" t="str">
        <f ca="1">IF(AND('Planning Sheet'!$AT299='Weeks Plan'!$D$6,'Planning Sheet'!$AN299='Weeks Plan'!$G$6),'Planning Sheet'!$B299,"")</f>
        <v/>
      </c>
      <c r="Z294" s="48" t="str">
        <f ca="1">IF(AND('Planning Sheet'!$AT299='Weeks Plan'!$D$6,'Planning Sheet'!$AN299='Weeks Plan'!$G$6),'Planning Sheet'!$AO299,"")</f>
        <v/>
      </c>
      <c r="AA294" s="48" t="str">
        <f ca="1">IF(AND('Planning Sheet'!$AT299='Weeks Plan'!$D$6,'Planning Sheet'!$AN299='Weeks Plan'!$G$6),'Planning Sheet'!AP299,"")</f>
        <v/>
      </c>
    </row>
    <row r="295" spans="25:27" x14ac:dyDescent="0.3">
      <c r="Y295" s="48" t="str">
        <f ca="1">IF(AND('Planning Sheet'!$AT300='Weeks Plan'!$D$6,'Planning Sheet'!$AN300='Weeks Plan'!$G$6),'Planning Sheet'!$B300,"")</f>
        <v/>
      </c>
      <c r="Z295" s="48" t="str">
        <f ca="1">IF(AND('Planning Sheet'!$AT300='Weeks Plan'!$D$6,'Planning Sheet'!$AN300='Weeks Plan'!$G$6),'Planning Sheet'!$AO300,"")</f>
        <v/>
      </c>
      <c r="AA295" s="48" t="str">
        <f ca="1">IF(AND('Planning Sheet'!$AT300='Weeks Plan'!$D$6,'Planning Sheet'!$AN300='Weeks Plan'!$G$6),'Planning Sheet'!AP300,"")</f>
        <v/>
      </c>
    </row>
    <row r="296" spans="25:27" x14ac:dyDescent="0.3">
      <c r="Y296" s="48" t="str">
        <f ca="1">IF(AND('Planning Sheet'!$AT301='Weeks Plan'!$D$6,'Planning Sheet'!$AN301='Weeks Plan'!$G$6),'Planning Sheet'!$B301,"")</f>
        <v/>
      </c>
      <c r="Z296" s="48" t="str">
        <f ca="1">IF(AND('Planning Sheet'!$AT301='Weeks Plan'!$D$6,'Planning Sheet'!$AN301='Weeks Plan'!$G$6),'Planning Sheet'!$AO301,"")</f>
        <v/>
      </c>
      <c r="AA296" s="48" t="str">
        <f ca="1">IF(AND('Planning Sheet'!$AT301='Weeks Plan'!$D$6,'Planning Sheet'!$AN301='Weeks Plan'!$G$6),'Planning Sheet'!AP301,"")</f>
        <v/>
      </c>
    </row>
    <row r="297" spans="25:27" x14ac:dyDescent="0.3">
      <c r="Y297" s="48" t="str">
        <f ca="1">IF(AND('Planning Sheet'!$AT302='Weeks Plan'!$D$6,'Planning Sheet'!$AN302='Weeks Plan'!$G$6),'Planning Sheet'!$B302,"")</f>
        <v/>
      </c>
      <c r="Z297" s="48" t="str">
        <f ca="1">IF(AND('Planning Sheet'!$AT302='Weeks Plan'!$D$6,'Planning Sheet'!$AN302='Weeks Plan'!$G$6),'Planning Sheet'!$AO302,"")</f>
        <v/>
      </c>
      <c r="AA297" s="48" t="str">
        <f ca="1">IF(AND('Planning Sheet'!$AT302='Weeks Plan'!$D$6,'Planning Sheet'!$AN302='Weeks Plan'!$G$6),'Planning Sheet'!AP302,"")</f>
        <v/>
      </c>
    </row>
    <row r="298" spans="25:27" x14ac:dyDescent="0.3">
      <c r="Y298" s="48" t="str">
        <f ca="1">IF(AND('Planning Sheet'!$AT303='Weeks Plan'!$D$6,'Planning Sheet'!$AN303='Weeks Plan'!$G$6),'Planning Sheet'!$B303,"")</f>
        <v/>
      </c>
      <c r="Z298" s="48" t="str">
        <f ca="1">IF(AND('Planning Sheet'!$AT303='Weeks Plan'!$D$6,'Planning Sheet'!$AN303='Weeks Plan'!$G$6),'Planning Sheet'!$AO303,"")</f>
        <v/>
      </c>
      <c r="AA298" s="48" t="str">
        <f ca="1">IF(AND('Planning Sheet'!$AT303='Weeks Plan'!$D$6,'Planning Sheet'!$AN303='Weeks Plan'!$G$6),'Planning Sheet'!AP303,"")</f>
        <v/>
      </c>
    </row>
    <row r="299" spans="25:27" x14ac:dyDescent="0.3">
      <c r="Y299" s="48" t="str">
        <f ca="1">IF(AND('Planning Sheet'!$AT304='Weeks Plan'!$D$6,'Planning Sheet'!$AN304='Weeks Plan'!$G$6),'Planning Sheet'!$B304,"")</f>
        <v/>
      </c>
      <c r="Z299" s="48" t="str">
        <f ca="1">IF(AND('Planning Sheet'!$AT304='Weeks Plan'!$D$6,'Planning Sheet'!$AN304='Weeks Plan'!$G$6),'Planning Sheet'!$AO304,"")</f>
        <v/>
      </c>
      <c r="AA299" s="48" t="str">
        <f ca="1">IF(AND('Planning Sheet'!$AT304='Weeks Plan'!$D$6,'Planning Sheet'!$AN304='Weeks Plan'!$G$6),'Planning Sheet'!AP304,"")</f>
        <v/>
      </c>
    </row>
    <row r="300" spans="25:27" x14ac:dyDescent="0.3">
      <c r="Y300" s="48" t="str">
        <f ca="1">IF(AND('Planning Sheet'!$AT305='Weeks Plan'!$D$6,'Planning Sheet'!$AN305='Weeks Plan'!$G$6),'Planning Sheet'!$B305,"")</f>
        <v/>
      </c>
      <c r="Z300" s="48" t="str">
        <f ca="1">IF(AND('Planning Sheet'!$AT305='Weeks Plan'!$D$6,'Planning Sheet'!$AN305='Weeks Plan'!$G$6),'Planning Sheet'!$AO305,"")</f>
        <v/>
      </c>
      <c r="AA300" s="48" t="str">
        <f ca="1">IF(AND('Planning Sheet'!$AT305='Weeks Plan'!$D$6,'Planning Sheet'!$AN305='Weeks Plan'!$G$6),'Planning Sheet'!AP305,"")</f>
        <v/>
      </c>
    </row>
    <row r="301" spans="25:27" x14ac:dyDescent="0.3">
      <c r="Y301" s="48" t="str">
        <f ca="1">IF(AND('Planning Sheet'!$AT306='Weeks Plan'!$D$6,'Planning Sheet'!$AN306='Weeks Plan'!$G$6),'Planning Sheet'!$B306,"")</f>
        <v/>
      </c>
      <c r="Z301" s="48" t="str">
        <f ca="1">IF(AND('Planning Sheet'!$AT306='Weeks Plan'!$D$6,'Planning Sheet'!$AN306='Weeks Plan'!$G$6),'Planning Sheet'!$AO306,"")</f>
        <v/>
      </c>
      <c r="AA301" s="48" t="str">
        <f ca="1">IF(AND('Planning Sheet'!$AT306='Weeks Plan'!$D$6,'Planning Sheet'!$AN306='Weeks Plan'!$G$6),'Planning Sheet'!AP306,"")</f>
        <v/>
      </c>
    </row>
    <row r="302" spans="25:27" x14ac:dyDescent="0.3">
      <c r="Y302" s="48" t="str">
        <f ca="1">IF(AND('Planning Sheet'!$AT307='Weeks Plan'!$D$6,'Planning Sheet'!$AN307='Weeks Plan'!$G$6),'Planning Sheet'!$B307,"")</f>
        <v/>
      </c>
      <c r="Z302" s="48" t="str">
        <f ca="1">IF(AND('Planning Sheet'!$AT307='Weeks Plan'!$D$6,'Planning Sheet'!$AN307='Weeks Plan'!$G$6),'Planning Sheet'!$AO307,"")</f>
        <v/>
      </c>
      <c r="AA302" s="48" t="str">
        <f ca="1">IF(AND('Planning Sheet'!$AT307='Weeks Plan'!$D$6,'Planning Sheet'!$AN307='Weeks Plan'!$G$6),'Planning Sheet'!AP307,"")</f>
        <v/>
      </c>
    </row>
    <row r="303" spans="25:27" x14ac:dyDescent="0.3">
      <c r="Y303" s="48" t="str">
        <f ca="1">IF(AND('Planning Sheet'!$AT308='Weeks Plan'!$D$6,'Planning Sheet'!$AN308='Weeks Plan'!$G$6),'Planning Sheet'!$B308,"")</f>
        <v/>
      </c>
      <c r="Z303" s="48" t="str">
        <f ca="1">IF(AND('Planning Sheet'!$AT308='Weeks Plan'!$D$6,'Planning Sheet'!$AN308='Weeks Plan'!$G$6),'Planning Sheet'!$AO308,"")</f>
        <v/>
      </c>
      <c r="AA303" s="48" t="str">
        <f ca="1">IF(AND('Planning Sheet'!$AT308='Weeks Plan'!$D$6,'Planning Sheet'!$AN308='Weeks Plan'!$G$6),'Planning Sheet'!AP308,"")</f>
        <v/>
      </c>
    </row>
    <row r="304" spans="25:27" x14ac:dyDescent="0.3">
      <c r="Y304" s="48" t="str">
        <f ca="1">IF(AND('Planning Sheet'!$AT309='Weeks Plan'!$D$6,'Planning Sheet'!$AN309='Weeks Plan'!$G$6),'Planning Sheet'!$B309,"")</f>
        <v/>
      </c>
      <c r="Z304" s="48" t="str">
        <f ca="1">IF(AND('Planning Sheet'!$AT309='Weeks Plan'!$D$6,'Planning Sheet'!$AN309='Weeks Plan'!$G$6),'Planning Sheet'!$AO309,"")</f>
        <v/>
      </c>
      <c r="AA304" s="48" t="str">
        <f ca="1">IF(AND('Planning Sheet'!$AT309='Weeks Plan'!$D$6,'Planning Sheet'!$AN309='Weeks Plan'!$G$6),'Planning Sheet'!AP309,"")</f>
        <v/>
      </c>
    </row>
    <row r="305" spans="25:27" x14ac:dyDescent="0.3">
      <c r="Y305" s="48" t="str">
        <f ca="1">IF(AND('Planning Sheet'!$AT310='Weeks Plan'!$D$6,'Planning Sheet'!$AN310='Weeks Plan'!$G$6),'Planning Sheet'!$B310,"")</f>
        <v/>
      </c>
      <c r="Z305" s="48" t="str">
        <f ca="1">IF(AND('Planning Sheet'!$AT310='Weeks Plan'!$D$6,'Planning Sheet'!$AN310='Weeks Plan'!$G$6),'Planning Sheet'!$AO310,"")</f>
        <v/>
      </c>
      <c r="AA305" s="48" t="str">
        <f ca="1">IF(AND('Planning Sheet'!$AT310='Weeks Plan'!$D$6,'Planning Sheet'!$AN310='Weeks Plan'!$G$6),'Planning Sheet'!AP310,"")</f>
        <v/>
      </c>
    </row>
    <row r="306" spans="25:27" x14ac:dyDescent="0.3">
      <c r="Y306" s="48" t="str">
        <f ca="1">IF(AND('Planning Sheet'!$AT311='Weeks Plan'!$D$6,'Planning Sheet'!$AN311='Weeks Plan'!$G$6),'Planning Sheet'!$B311,"")</f>
        <v/>
      </c>
      <c r="Z306" s="48" t="str">
        <f ca="1">IF(AND('Planning Sheet'!$AT311='Weeks Plan'!$D$6,'Planning Sheet'!$AN311='Weeks Plan'!$G$6),'Planning Sheet'!$AO311,"")</f>
        <v/>
      </c>
      <c r="AA306" s="48" t="str">
        <f ca="1">IF(AND('Planning Sheet'!$AT311='Weeks Plan'!$D$6,'Planning Sheet'!$AN311='Weeks Plan'!$G$6),'Planning Sheet'!AP311,"")</f>
        <v/>
      </c>
    </row>
    <row r="307" spans="25:27" x14ac:dyDescent="0.3">
      <c r="Y307" s="48" t="str">
        <f ca="1">IF(AND('Planning Sheet'!$AT312='Weeks Plan'!$D$6,'Planning Sheet'!$AN312='Weeks Plan'!$G$6),'Planning Sheet'!$B312,"")</f>
        <v/>
      </c>
      <c r="Z307" s="48" t="str">
        <f ca="1">IF(AND('Planning Sheet'!$AT312='Weeks Plan'!$D$6,'Planning Sheet'!$AN312='Weeks Plan'!$G$6),'Planning Sheet'!$AO312,"")</f>
        <v/>
      </c>
      <c r="AA307" s="48" t="str">
        <f ca="1">IF(AND('Planning Sheet'!$AT312='Weeks Plan'!$D$6,'Planning Sheet'!$AN312='Weeks Plan'!$G$6),'Planning Sheet'!AP312,"")</f>
        <v/>
      </c>
    </row>
    <row r="308" spans="25:27" x14ac:dyDescent="0.3">
      <c r="Y308" s="48" t="str">
        <f ca="1">IF(AND('Planning Sheet'!$AT313='Weeks Plan'!$D$6,'Planning Sheet'!$AN313='Weeks Plan'!$G$6),'Planning Sheet'!$B313,"")</f>
        <v/>
      </c>
      <c r="Z308" s="48" t="str">
        <f ca="1">IF(AND('Planning Sheet'!$AT313='Weeks Plan'!$D$6,'Planning Sheet'!$AN313='Weeks Plan'!$G$6),'Planning Sheet'!$AO313,"")</f>
        <v/>
      </c>
      <c r="AA308" s="48" t="str">
        <f ca="1">IF(AND('Planning Sheet'!$AT313='Weeks Plan'!$D$6,'Planning Sheet'!$AN313='Weeks Plan'!$G$6),'Planning Sheet'!AP313,"")</f>
        <v/>
      </c>
    </row>
    <row r="309" spans="25:27" x14ac:dyDescent="0.3">
      <c r="Y309" s="48" t="str">
        <f ca="1">IF(AND('Planning Sheet'!$AT314='Weeks Plan'!$D$6,'Planning Sheet'!$AN314='Weeks Plan'!$G$6),'Planning Sheet'!$B314,"")</f>
        <v/>
      </c>
      <c r="Z309" s="48" t="str">
        <f ca="1">IF(AND('Planning Sheet'!$AT314='Weeks Plan'!$D$6,'Planning Sheet'!$AN314='Weeks Plan'!$G$6),'Planning Sheet'!$AO314,"")</f>
        <v/>
      </c>
      <c r="AA309" s="48" t="str">
        <f ca="1">IF(AND('Planning Sheet'!$AT314='Weeks Plan'!$D$6,'Planning Sheet'!$AN314='Weeks Plan'!$G$6),'Planning Sheet'!AP314,"")</f>
        <v/>
      </c>
    </row>
    <row r="310" spans="25:27" x14ac:dyDescent="0.3">
      <c r="Y310" s="48" t="str">
        <f ca="1">IF(AND('Planning Sheet'!$AT315='Weeks Plan'!$D$6,'Planning Sheet'!$AN315='Weeks Plan'!$G$6),'Planning Sheet'!$B315,"")</f>
        <v/>
      </c>
      <c r="Z310" s="48" t="str">
        <f ca="1">IF(AND('Planning Sheet'!$AT315='Weeks Plan'!$D$6,'Planning Sheet'!$AN315='Weeks Plan'!$G$6),'Planning Sheet'!$AO315,"")</f>
        <v/>
      </c>
      <c r="AA310" s="48" t="str">
        <f ca="1">IF(AND('Planning Sheet'!$AT315='Weeks Plan'!$D$6,'Planning Sheet'!$AN315='Weeks Plan'!$G$6),'Planning Sheet'!AP315,"")</f>
        <v/>
      </c>
    </row>
    <row r="311" spans="25:27" x14ac:dyDescent="0.3">
      <c r="Y311" s="48" t="str">
        <f ca="1">IF(AND('Planning Sheet'!$AT316='Weeks Plan'!$D$6,'Planning Sheet'!$AN316='Weeks Plan'!$G$6),'Planning Sheet'!$B316,"")</f>
        <v/>
      </c>
      <c r="Z311" s="48" t="str">
        <f ca="1">IF(AND('Planning Sheet'!$AT316='Weeks Plan'!$D$6,'Planning Sheet'!$AN316='Weeks Plan'!$G$6),'Planning Sheet'!$AO316,"")</f>
        <v/>
      </c>
      <c r="AA311" s="48" t="str">
        <f ca="1">IF(AND('Planning Sheet'!$AT316='Weeks Plan'!$D$6,'Planning Sheet'!$AN316='Weeks Plan'!$G$6),'Planning Sheet'!AP316,"")</f>
        <v/>
      </c>
    </row>
    <row r="312" spans="25:27" x14ac:dyDescent="0.3">
      <c r="Y312" s="48" t="str">
        <f ca="1">IF(AND('Planning Sheet'!$AT317='Weeks Plan'!$D$6,'Planning Sheet'!$AN317='Weeks Plan'!$G$6),'Planning Sheet'!$B317,"")</f>
        <v/>
      </c>
      <c r="Z312" s="48" t="str">
        <f ca="1">IF(AND('Planning Sheet'!$AT317='Weeks Plan'!$D$6,'Planning Sheet'!$AN317='Weeks Plan'!$G$6),'Planning Sheet'!$AO317,"")</f>
        <v/>
      </c>
      <c r="AA312" s="48" t="str">
        <f ca="1">IF(AND('Planning Sheet'!$AT317='Weeks Plan'!$D$6,'Planning Sheet'!$AN317='Weeks Plan'!$G$6),'Planning Sheet'!AP317,"")</f>
        <v/>
      </c>
    </row>
    <row r="313" spans="25:27" x14ac:dyDescent="0.3">
      <c r="Y313" s="48" t="str">
        <f ca="1">IF(AND('Planning Sheet'!$AT318='Weeks Plan'!$D$6,'Planning Sheet'!$AN318='Weeks Plan'!$G$6),'Planning Sheet'!$B318,"")</f>
        <v/>
      </c>
      <c r="Z313" s="48" t="str">
        <f ca="1">IF(AND('Planning Sheet'!$AT318='Weeks Plan'!$D$6,'Planning Sheet'!$AN318='Weeks Plan'!$G$6),'Planning Sheet'!$AO318,"")</f>
        <v/>
      </c>
      <c r="AA313" s="48" t="str">
        <f ca="1">IF(AND('Planning Sheet'!$AT318='Weeks Plan'!$D$6,'Planning Sheet'!$AN318='Weeks Plan'!$G$6),'Planning Sheet'!AP318,"")</f>
        <v/>
      </c>
    </row>
    <row r="314" spans="25:27" x14ac:dyDescent="0.3">
      <c r="Y314" s="48" t="str">
        <f ca="1">IF(AND('Planning Sheet'!$AT319='Weeks Plan'!$D$6,'Planning Sheet'!$AN319='Weeks Plan'!$G$6),'Planning Sheet'!$B319,"")</f>
        <v/>
      </c>
      <c r="Z314" s="48" t="str">
        <f ca="1">IF(AND('Planning Sheet'!$AT319='Weeks Plan'!$D$6,'Planning Sheet'!$AN319='Weeks Plan'!$G$6),'Planning Sheet'!$AO319,"")</f>
        <v/>
      </c>
      <c r="AA314" s="48" t="str">
        <f ca="1">IF(AND('Planning Sheet'!$AT319='Weeks Plan'!$D$6,'Planning Sheet'!$AN319='Weeks Plan'!$G$6),'Planning Sheet'!AP319,"")</f>
        <v/>
      </c>
    </row>
    <row r="315" spans="25:27" x14ac:dyDescent="0.3">
      <c r="Y315" s="48" t="str">
        <f ca="1">IF(AND('Planning Sheet'!$AT320='Weeks Plan'!$D$6,'Planning Sheet'!$AN320='Weeks Plan'!$G$6),'Planning Sheet'!$B320,"")</f>
        <v/>
      </c>
      <c r="Z315" s="48" t="str">
        <f ca="1">IF(AND('Planning Sheet'!$AT320='Weeks Plan'!$D$6,'Planning Sheet'!$AN320='Weeks Plan'!$G$6),'Planning Sheet'!$AO320,"")</f>
        <v/>
      </c>
      <c r="AA315" s="48" t="str">
        <f ca="1">IF(AND('Planning Sheet'!$AT320='Weeks Plan'!$D$6,'Planning Sheet'!$AN320='Weeks Plan'!$G$6),'Planning Sheet'!AP320,"")</f>
        <v/>
      </c>
    </row>
    <row r="316" spans="25:27" x14ac:dyDescent="0.3">
      <c r="Y316" s="48" t="str">
        <f ca="1">IF(AND('Planning Sheet'!$AT321='Weeks Plan'!$D$6,'Planning Sheet'!$AN321='Weeks Plan'!$G$6),'Planning Sheet'!$B321,"")</f>
        <v/>
      </c>
      <c r="Z316" s="48" t="str">
        <f ca="1">IF(AND('Planning Sheet'!$AT321='Weeks Plan'!$D$6,'Planning Sheet'!$AN321='Weeks Plan'!$G$6),'Planning Sheet'!$AO321,"")</f>
        <v/>
      </c>
      <c r="AA316" s="48" t="str">
        <f ca="1">IF(AND('Planning Sheet'!$AT321='Weeks Plan'!$D$6,'Planning Sheet'!$AN321='Weeks Plan'!$G$6),'Planning Sheet'!AP321,"")</f>
        <v/>
      </c>
    </row>
    <row r="317" spans="25:27" x14ac:dyDescent="0.3">
      <c r="Y317" s="48" t="str">
        <f ca="1">IF(AND('Planning Sheet'!$AT322='Weeks Plan'!$D$6,'Planning Sheet'!$AN322='Weeks Plan'!$G$6),'Planning Sheet'!$B322,"")</f>
        <v/>
      </c>
      <c r="Z317" s="48" t="str">
        <f ca="1">IF(AND('Planning Sheet'!$AT322='Weeks Plan'!$D$6,'Planning Sheet'!$AN322='Weeks Plan'!$G$6),'Planning Sheet'!$AO322,"")</f>
        <v/>
      </c>
      <c r="AA317" s="48" t="str">
        <f ca="1">IF(AND('Planning Sheet'!$AT322='Weeks Plan'!$D$6,'Planning Sheet'!$AN322='Weeks Plan'!$G$6),'Planning Sheet'!AP322,"")</f>
        <v/>
      </c>
    </row>
    <row r="318" spans="25:27" x14ac:dyDescent="0.3">
      <c r="Y318" s="48" t="str">
        <f ca="1">IF(AND('Planning Sheet'!$AT323='Weeks Plan'!$D$6,'Planning Sheet'!$AN323='Weeks Plan'!$G$6),'Planning Sheet'!$B323,"")</f>
        <v/>
      </c>
      <c r="Z318" s="48" t="str">
        <f ca="1">IF(AND('Planning Sheet'!$AT323='Weeks Plan'!$D$6,'Planning Sheet'!$AN323='Weeks Plan'!$G$6),'Planning Sheet'!$AO323,"")</f>
        <v/>
      </c>
      <c r="AA318" s="48" t="str">
        <f ca="1">IF(AND('Planning Sheet'!$AT323='Weeks Plan'!$D$6,'Planning Sheet'!$AN323='Weeks Plan'!$G$6),'Planning Sheet'!AP323,"")</f>
        <v/>
      </c>
    </row>
    <row r="319" spans="25:27" x14ac:dyDescent="0.3">
      <c r="Y319" s="48" t="str">
        <f ca="1">IF(AND('Planning Sheet'!$AT324='Weeks Plan'!$D$6,'Planning Sheet'!$AN324='Weeks Plan'!$G$6),'Planning Sheet'!$B324,"")</f>
        <v/>
      </c>
      <c r="Z319" s="48" t="str">
        <f ca="1">IF(AND('Planning Sheet'!$AT324='Weeks Plan'!$D$6,'Planning Sheet'!$AN324='Weeks Plan'!$G$6),'Planning Sheet'!$AO324,"")</f>
        <v/>
      </c>
      <c r="AA319" s="48" t="str">
        <f ca="1">IF(AND('Planning Sheet'!$AT324='Weeks Plan'!$D$6,'Planning Sheet'!$AN324='Weeks Plan'!$G$6),'Planning Sheet'!AP324,"")</f>
        <v/>
      </c>
    </row>
    <row r="320" spans="25:27" x14ac:dyDescent="0.3">
      <c r="Y320" s="48" t="str">
        <f ca="1">IF(AND('Planning Sheet'!$AT325='Weeks Plan'!$D$6,'Planning Sheet'!$AN325='Weeks Plan'!$G$6),'Planning Sheet'!$B325,"")</f>
        <v/>
      </c>
      <c r="Z320" s="48" t="str">
        <f ca="1">IF(AND('Planning Sheet'!$AT325='Weeks Plan'!$D$6,'Planning Sheet'!$AN325='Weeks Plan'!$G$6),'Planning Sheet'!$AO325,"")</f>
        <v/>
      </c>
      <c r="AA320" s="48" t="str">
        <f ca="1">IF(AND('Planning Sheet'!$AT325='Weeks Plan'!$D$6,'Planning Sheet'!$AN325='Weeks Plan'!$G$6),'Planning Sheet'!AP325,"")</f>
        <v/>
      </c>
    </row>
    <row r="321" spans="25:27" x14ac:dyDescent="0.3">
      <c r="Y321" s="48" t="str">
        <f ca="1">IF(AND('Planning Sheet'!$AT326='Weeks Plan'!$D$6,'Planning Sheet'!$AN326='Weeks Plan'!$G$6),'Planning Sheet'!$B326,"")</f>
        <v/>
      </c>
      <c r="Z321" s="48" t="str">
        <f ca="1">IF(AND('Planning Sheet'!$AT326='Weeks Plan'!$D$6,'Planning Sheet'!$AN326='Weeks Plan'!$G$6),'Planning Sheet'!$AO326,"")</f>
        <v/>
      </c>
      <c r="AA321" s="48" t="str">
        <f ca="1">IF(AND('Planning Sheet'!$AT326='Weeks Plan'!$D$6,'Planning Sheet'!$AN326='Weeks Plan'!$G$6),'Planning Sheet'!AP326,"")</f>
        <v/>
      </c>
    </row>
    <row r="322" spans="25:27" x14ac:dyDescent="0.3">
      <c r="Y322" s="48" t="str">
        <f ca="1">IF(AND('Planning Sheet'!$AT327='Weeks Plan'!$D$6,'Planning Sheet'!$AN327='Weeks Plan'!$G$6),'Planning Sheet'!$B327,"")</f>
        <v/>
      </c>
      <c r="Z322" s="48" t="str">
        <f ca="1">IF(AND('Planning Sheet'!$AT327='Weeks Plan'!$D$6,'Planning Sheet'!$AN327='Weeks Plan'!$G$6),'Planning Sheet'!$AO327,"")</f>
        <v/>
      </c>
      <c r="AA322" s="48" t="str">
        <f ca="1">IF(AND('Planning Sheet'!$AT327='Weeks Plan'!$D$6,'Planning Sheet'!$AN327='Weeks Plan'!$G$6),'Planning Sheet'!AP327,"")</f>
        <v/>
      </c>
    </row>
    <row r="323" spans="25:27" x14ac:dyDescent="0.3">
      <c r="Y323" s="48" t="str">
        <f ca="1">IF(AND('Planning Sheet'!$AT328='Weeks Plan'!$D$6,'Planning Sheet'!$AN328='Weeks Plan'!$G$6),'Planning Sheet'!$B328,"")</f>
        <v/>
      </c>
      <c r="Z323" s="48" t="str">
        <f ca="1">IF(AND('Planning Sheet'!$AT328='Weeks Plan'!$D$6,'Planning Sheet'!$AN328='Weeks Plan'!$G$6),'Planning Sheet'!$AO328,"")</f>
        <v/>
      </c>
      <c r="AA323" s="48" t="str">
        <f ca="1">IF(AND('Planning Sheet'!$AT328='Weeks Plan'!$D$6,'Planning Sheet'!$AN328='Weeks Plan'!$G$6),'Planning Sheet'!AP328,"")</f>
        <v/>
      </c>
    </row>
    <row r="324" spans="25:27" x14ac:dyDescent="0.3">
      <c r="Y324" s="48" t="str">
        <f ca="1">IF(AND('Planning Sheet'!$AT329='Weeks Plan'!$D$6,'Planning Sheet'!$AN329='Weeks Plan'!$G$6),'Planning Sheet'!$B329,"")</f>
        <v/>
      </c>
      <c r="Z324" s="48" t="str">
        <f ca="1">IF(AND('Planning Sheet'!$AT329='Weeks Plan'!$D$6,'Planning Sheet'!$AN329='Weeks Plan'!$G$6),'Planning Sheet'!$AO329,"")</f>
        <v/>
      </c>
      <c r="AA324" s="48" t="str">
        <f ca="1">IF(AND('Planning Sheet'!$AT329='Weeks Plan'!$D$6,'Planning Sheet'!$AN329='Weeks Plan'!$G$6),'Planning Sheet'!AP329,"")</f>
        <v/>
      </c>
    </row>
    <row r="325" spans="25:27" x14ac:dyDescent="0.3">
      <c r="Y325" s="48" t="str">
        <f ca="1">IF(AND('Planning Sheet'!$AT330='Weeks Plan'!$D$6,'Planning Sheet'!$AN330='Weeks Plan'!$G$6),'Planning Sheet'!$B330,"")</f>
        <v/>
      </c>
      <c r="Z325" s="48" t="str">
        <f ca="1">IF(AND('Planning Sheet'!$AT330='Weeks Plan'!$D$6,'Planning Sheet'!$AN330='Weeks Plan'!$G$6),'Planning Sheet'!$AO330,"")</f>
        <v/>
      </c>
      <c r="AA325" s="48" t="str">
        <f ca="1">IF(AND('Planning Sheet'!$AT330='Weeks Plan'!$D$6,'Planning Sheet'!$AN330='Weeks Plan'!$G$6),'Planning Sheet'!AP330,"")</f>
        <v/>
      </c>
    </row>
    <row r="326" spans="25:27" x14ac:dyDescent="0.3">
      <c r="Y326" s="48" t="str">
        <f ca="1">IF(AND('Planning Sheet'!$AT331='Weeks Plan'!$D$6,'Planning Sheet'!$AN331='Weeks Plan'!$G$6),'Planning Sheet'!$B331,"")</f>
        <v/>
      </c>
      <c r="Z326" s="48" t="str">
        <f ca="1">IF(AND('Planning Sheet'!$AT331='Weeks Plan'!$D$6,'Planning Sheet'!$AN331='Weeks Plan'!$G$6),'Planning Sheet'!$AO331,"")</f>
        <v/>
      </c>
      <c r="AA326" s="48" t="str">
        <f ca="1">IF(AND('Planning Sheet'!$AT331='Weeks Plan'!$D$6,'Planning Sheet'!$AN331='Weeks Plan'!$G$6),'Planning Sheet'!AP331,"")</f>
        <v/>
      </c>
    </row>
    <row r="327" spans="25:27" x14ac:dyDescent="0.3">
      <c r="Y327" s="48" t="str">
        <f ca="1">IF(AND('Planning Sheet'!$AT332='Weeks Plan'!$D$6,'Planning Sheet'!$AN332='Weeks Plan'!$G$6),'Planning Sheet'!$B332,"")</f>
        <v/>
      </c>
      <c r="Z327" s="48" t="str">
        <f ca="1">IF(AND('Planning Sheet'!$AT332='Weeks Plan'!$D$6,'Planning Sheet'!$AN332='Weeks Plan'!$G$6),'Planning Sheet'!$AO332,"")</f>
        <v/>
      </c>
      <c r="AA327" s="48" t="str">
        <f ca="1">IF(AND('Planning Sheet'!$AT332='Weeks Plan'!$D$6,'Planning Sheet'!$AN332='Weeks Plan'!$G$6),'Planning Sheet'!AP332,"")</f>
        <v/>
      </c>
    </row>
    <row r="328" spans="25:27" x14ac:dyDescent="0.3">
      <c r="Y328" s="48" t="str">
        <f ca="1">IF(AND('Planning Sheet'!$AT333='Weeks Plan'!$D$6,'Planning Sheet'!$AN333='Weeks Plan'!$G$6),'Planning Sheet'!$B333,"")</f>
        <v/>
      </c>
      <c r="Z328" s="48" t="str">
        <f ca="1">IF(AND('Planning Sheet'!$AT333='Weeks Plan'!$D$6,'Planning Sheet'!$AN333='Weeks Plan'!$G$6),'Planning Sheet'!$AO333,"")</f>
        <v/>
      </c>
      <c r="AA328" s="48" t="str">
        <f ca="1">IF(AND('Planning Sheet'!$AT333='Weeks Plan'!$D$6,'Planning Sheet'!$AN333='Weeks Plan'!$G$6),'Planning Sheet'!AP333,"")</f>
        <v/>
      </c>
    </row>
    <row r="329" spans="25:27" x14ac:dyDescent="0.3">
      <c r="Y329" s="48" t="str">
        <f ca="1">IF(AND('Planning Sheet'!$AT334='Weeks Plan'!$D$6,'Planning Sheet'!$AN334='Weeks Plan'!$G$6),'Planning Sheet'!$B334,"")</f>
        <v/>
      </c>
      <c r="Z329" s="48" t="str">
        <f ca="1">IF(AND('Planning Sheet'!$AT334='Weeks Plan'!$D$6,'Planning Sheet'!$AN334='Weeks Plan'!$G$6),'Planning Sheet'!$AO334,"")</f>
        <v/>
      </c>
      <c r="AA329" s="48" t="str">
        <f ca="1">IF(AND('Planning Sheet'!$AT334='Weeks Plan'!$D$6,'Planning Sheet'!$AN334='Weeks Plan'!$G$6),'Planning Sheet'!AP334,"")</f>
        <v/>
      </c>
    </row>
    <row r="330" spans="25:27" x14ac:dyDescent="0.3">
      <c r="Y330" s="48" t="str">
        <f ca="1">IF(AND('Planning Sheet'!$AT335='Weeks Plan'!$D$6,'Planning Sheet'!$AN335='Weeks Plan'!$G$6),'Planning Sheet'!$B335,"")</f>
        <v/>
      </c>
      <c r="Z330" s="48" t="str">
        <f ca="1">IF(AND('Planning Sheet'!$AT335='Weeks Plan'!$D$6,'Planning Sheet'!$AN335='Weeks Plan'!$G$6),'Planning Sheet'!$AO335,"")</f>
        <v/>
      </c>
      <c r="AA330" s="48" t="str">
        <f ca="1">IF(AND('Planning Sheet'!$AT335='Weeks Plan'!$D$6,'Planning Sheet'!$AN335='Weeks Plan'!$G$6),'Planning Sheet'!AP335,"")</f>
        <v/>
      </c>
    </row>
    <row r="331" spans="25:27" x14ac:dyDescent="0.3">
      <c r="Y331" s="48" t="str">
        <f ca="1">IF(AND('Planning Sheet'!$AT336='Weeks Plan'!$D$6,'Planning Sheet'!$AN336='Weeks Plan'!$G$6),'Planning Sheet'!$B336,"")</f>
        <v/>
      </c>
      <c r="Z331" s="48" t="str">
        <f ca="1">IF(AND('Planning Sheet'!$AT336='Weeks Plan'!$D$6,'Planning Sheet'!$AN336='Weeks Plan'!$G$6),'Planning Sheet'!$AO336,"")</f>
        <v/>
      </c>
      <c r="AA331" s="48" t="str">
        <f ca="1">IF(AND('Planning Sheet'!$AT336='Weeks Plan'!$D$6,'Planning Sheet'!$AN336='Weeks Plan'!$G$6),'Planning Sheet'!AP336,"")</f>
        <v/>
      </c>
    </row>
    <row r="332" spans="25:27" x14ac:dyDescent="0.3">
      <c r="Y332" s="48" t="str">
        <f ca="1">IF(AND('Planning Sheet'!$AT337='Weeks Plan'!$D$6,'Planning Sheet'!$AN337='Weeks Plan'!$G$6),'Planning Sheet'!$B337,"")</f>
        <v/>
      </c>
      <c r="Z332" s="48" t="str">
        <f ca="1">IF(AND('Planning Sheet'!$AT337='Weeks Plan'!$D$6,'Planning Sheet'!$AN337='Weeks Plan'!$G$6),'Planning Sheet'!$AO337,"")</f>
        <v/>
      </c>
      <c r="AA332" s="48" t="str">
        <f ca="1">IF(AND('Planning Sheet'!$AT337='Weeks Plan'!$D$6,'Planning Sheet'!$AN337='Weeks Plan'!$G$6),'Planning Sheet'!AP337,"")</f>
        <v/>
      </c>
    </row>
    <row r="333" spans="25:27" x14ac:dyDescent="0.3">
      <c r="Y333" s="48" t="str">
        <f ca="1">IF(AND('Planning Sheet'!$AT338='Weeks Plan'!$D$6,'Planning Sheet'!$AN338='Weeks Plan'!$G$6),'Planning Sheet'!$B338,"")</f>
        <v/>
      </c>
      <c r="Z333" s="48" t="str">
        <f ca="1">IF(AND('Planning Sheet'!$AT338='Weeks Plan'!$D$6,'Planning Sheet'!$AN338='Weeks Plan'!$G$6),'Planning Sheet'!$AO338,"")</f>
        <v/>
      </c>
      <c r="AA333" s="48" t="str">
        <f ca="1">IF(AND('Planning Sheet'!$AT338='Weeks Plan'!$D$6,'Planning Sheet'!$AN338='Weeks Plan'!$G$6),'Planning Sheet'!AP338,"")</f>
        <v/>
      </c>
    </row>
    <row r="334" spans="25:27" x14ac:dyDescent="0.3">
      <c r="Y334" s="48" t="str">
        <f ca="1">IF(AND('Planning Sheet'!$AT339='Weeks Plan'!$D$6,'Planning Sheet'!$AN339='Weeks Plan'!$G$6),'Planning Sheet'!$B339,"")</f>
        <v/>
      </c>
      <c r="Z334" s="48" t="str">
        <f ca="1">IF(AND('Planning Sheet'!$AT339='Weeks Plan'!$D$6,'Planning Sheet'!$AN339='Weeks Plan'!$G$6),'Planning Sheet'!$AO339,"")</f>
        <v/>
      </c>
      <c r="AA334" s="48" t="str">
        <f ca="1">IF(AND('Planning Sheet'!$AT339='Weeks Plan'!$D$6,'Planning Sheet'!$AN339='Weeks Plan'!$G$6),'Planning Sheet'!AP339,"")</f>
        <v/>
      </c>
    </row>
    <row r="335" spans="25:27" x14ac:dyDescent="0.3">
      <c r="Y335" s="48" t="str">
        <f ca="1">IF(AND('Planning Sheet'!$AT340='Weeks Plan'!$D$6,'Planning Sheet'!$AN340='Weeks Plan'!$G$6),'Planning Sheet'!$B340,"")</f>
        <v/>
      </c>
      <c r="Z335" s="48" t="str">
        <f ca="1">IF(AND('Planning Sheet'!$AT340='Weeks Plan'!$D$6,'Planning Sheet'!$AN340='Weeks Plan'!$G$6),'Planning Sheet'!$AO340,"")</f>
        <v/>
      </c>
      <c r="AA335" s="48" t="str">
        <f ca="1">IF(AND('Planning Sheet'!$AT340='Weeks Plan'!$D$6,'Planning Sheet'!$AN340='Weeks Plan'!$G$6),'Planning Sheet'!AP340,"")</f>
        <v/>
      </c>
    </row>
    <row r="336" spans="25:27" x14ac:dyDescent="0.3">
      <c r="Y336" s="48" t="str">
        <f ca="1">IF(AND('Planning Sheet'!$AT341='Weeks Plan'!$D$6,'Planning Sheet'!$AN341='Weeks Plan'!$G$6),'Planning Sheet'!$B341,"")</f>
        <v/>
      </c>
      <c r="Z336" s="48" t="str">
        <f ca="1">IF(AND('Planning Sheet'!$AT341='Weeks Plan'!$D$6,'Planning Sheet'!$AN341='Weeks Plan'!$G$6),'Planning Sheet'!$AO341,"")</f>
        <v/>
      </c>
      <c r="AA336" s="48" t="str">
        <f ca="1">IF(AND('Planning Sheet'!$AT341='Weeks Plan'!$D$6,'Planning Sheet'!$AN341='Weeks Plan'!$G$6),'Planning Sheet'!AP341,"")</f>
        <v/>
      </c>
    </row>
    <row r="337" spans="25:27" x14ac:dyDescent="0.3">
      <c r="Y337" s="48" t="str">
        <f ca="1">IF(AND('Planning Sheet'!$AT342='Weeks Plan'!$D$6,'Planning Sheet'!$AN342='Weeks Plan'!$G$6),'Planning Sheet'!$B342,"")</f>
        <v/>
      </c>
      <c r="Z337" s="48" t="str">
        <f ca="1">IF(AND('Planning Sheet'!$AT342='Weeks Plan'!$D$6,'Planning Sheet'!$AN342='Weeks Plan'!$G$6),'Planning Sheet'!$AO342,"")</f>
        <v/>
      </c>
      <c r="AA337" s="48" t="str">
        <f ca="1">IF(AND('Planning Sheet'!$AT342='Weeks Plan'!$D$6,'Planning Sheet'!$AN342='Weeks Plan'!$G$6),'Planning Sheet'!AP342,"")</f>
        <v/>
      </c>
    </row>
    <row r="338" spans="25:27" x14ac:dyDescent="0.3">
      <c r="Y338" s="48" t="str">
        <f ca="1">IF(AND('Planning Sheet'!$AT343='Weeks Plan'!$D$6,'Planning Sheet'!$AN343='Weeks Plan'!$G$6),'Planning Sheet'!$B343,"")</f>
        <v/>
      </c>
      <c r="Z338" s="48" t="str">
        <f ca="1">IF(AND('Planning Sheet'!$AT343='Weeks Plan'!$D$6,'Planning Sheet'!$AN343='Weeks Plan'!$G$6),'Planning Sheet'!$AO343,"")</f>
        <v/>
      </c>
      <c r="AA338" s="48" t="str">
        <f ca="1">IF(AND('Planning Sheet'!$AT343='Weeks Plan'!$D$6,'Planning Sheet'!$AN343='Weeks Plan'!$G$6),'Planning Sheet'!AP343,"")</f>
        <v/>
      </c>
    </row>
    <row r="339" spans="25:27" x14ac:dyDescent="0.3">
      <c r="Y339" s="48" t="str">
        <f ca="1">IF(AND('Planning Sheet'!$AT344='Weeks Plan'!$D$6,'Planning Sheet'!$AN344='Weeks Plan'!$G$6),'Planning Sheet'!$B344,"")</f>
        <v/>
      </c>
      <c r="Z339" s="48" t="str">
        <f ca="1">IF(AND('Planning Sheet'!$AT344='Weeks Plan'!$D$6,'Planning Sheet'!$AN344='Weeks Plan'!$G$6),'Planning Sheet'!$AO344,"")</f>
        <v/>
      </c>
      <c r="AA339" s="48" t="str">
        <f ca="1">IF(AND('Planning Sheet'!$AT344='Weeks Plan'!$D$6,'Planning Sheet'!$AN344='Weeks Plan'!$G$6),'Planning Sheet'!AP344,"")</f>
        <v/>
      </c>
    </row>
    <row r="340" spans="25:27" x14ac:dyDescent="0.3">
      <c r="Y340" s="48" t="str">
        <f ca="1">IF(AND('Planning Sheet'!$AT345='Weeks Plan'!$D$6,'Planning Sheet'!$AN345='Weeks Plan'!$G$6),'Planning Sheet'!$B345,"")</f>
        <v/>
      </c>
      <c r="Z340" s="48" t="str">
        <f ca="1">IF(AND('Planning Sheet'!$AT345='Weeks Plan'!$D$6,'Planning Sheet'!$AN345='Weeks Plan'!$G$6),'Planning Sheet'!$AO345,"")</f>
        <v/>
      </c>
      <c r="AA340" s="48" t="str">
        <f ca="1">IF(AND('Planning Sheet'!$AT345='Weeks Plan'!$D$6,'Planning Sheet'!$AN345='Weeks Plan'!$G$6),'Planning Sheet'!AP345,"")</f>
        <v/>
      </c>
    </row>
    <row r="341" spans="25:27" x14ac:dyDescent="0.3">
      <c r="Y341" s="48" t="str">
        <f ca="1">IF(AND('Planning Sheet'!$AT346='Weeks Plan'!$D$6,'Planning Sheet'!$AN346='Weeks Plan'!$G$6),'Planning Sheet'!$B346,"")</f>
        <v/>
      </c>
      <c r="Z341" s="48" t="str">
        <f ca="1">IF(AND('Planning Sheet'!$AT346='Weeks Plan'!$D$6,'Planning Sheet'!$AN346='Weeks Plan'!$G$6),'Planning Sheet'!$AO346,"")</f>
        <v/>
      </c>
      <c r="AA341" s="48" t="str">
        <f ca="1">IF(AND('Planning Sheet'!$AT346='Weeks Plan'!$D$6,'Planning Sheet'!$AN346='Weeks Plan'!$G$6),'Planning Sheet'!AP346,"")</f>
        <v/>
      </c>
    </row>
    <row r="342" spans="25:27" x14ac:dyDescent="0.3">
      <c r="Y342" s="48" t="str">
        <f ca="1">IF(AND('Planning Sheet'!$AT347='Weeks Plan'!$D$6,'Planning Sheet'!$AN347='Weeks Plan'!$G$6),'Planning Sheet'!$B347,"")</f>
        <v/>
      </c>
      <c r="Z342" s="48" t="str">
        <f ca="1">IF(AND('Planning Sheet'!$AT347='Weeks Plan'!$D$6,'Planning Sheet'!$AN347='Weeks Plan'!$G$6),'Planning Sheet'!$AO347,"")</f>
        <v/>
      </c>
      <c r="AA342" s="48" t="str">
        <f ca="1">IF(AND('Planning Sheet'!$AT347='Weeks Plan'!$D$6,'Planning Sheet'!$AN347='Weeks Plan'!$G$6),'Planning Sheet'!AP347,"")</f>
        <v/>
      </c>
    </row>
    <row r="343" spans="25:27" x14ac:dyDescent="0.3">
      <c r="Y343" s="48" t="str">
        <f ca="1">IF(AND('Planning Sheet'!$AT348='Weeks Plan'!$D$6,'Planning Sheet'!$AN348='Weeks Plan'!$G$6),'Planning Sheet'!$B348,"")</f>
        <v/>
      </c>
      <c r="Z343" s="48" t="str">
        <f ca="1">IF(AND('Planning Sheet'!$AT348='Weeks Plan'!$D$6,'Planning Sheet'!$AN348='Weeks Plan'!$G$6),'Planning Sheet'!$AO348,"")</f>
        <v/>
      </c>
      <c r="AA343" s="48" t="str">
        <f ca="1">IF(AND('Planning Sheet'!$AT348='Weeks Plan'!$D$6,'Planning Sheet'!$AN348='Weeks Plan'!$G$6),'Planning Sheet'!AP348,"")</f>
        <v/>
      </c>
    </row>
    <row r="344" spans="25:27" x14ac:dyDescent="0.3">
      <c r="Y344" s="48" t="str">
        <f ca="1">IF(AND('Planning Sheet'!$AT349='Weeks Plan'!$D$6,'Planning Sheet'!$AN349='Weeks Plan'!$G$6),'Planning Sheet'!$B349,"")</f>
        <v/>
      </c>
      <c r="Z344" s="48" t="str">
        <f ca="1">IF(AND('Planning Sheet'!$AT349='Weeks Plan'!$D$6,'Planning Sheet'!$AN349='Weeks Plan'!$G$6),'Planning Sheet'!$AO349,"")</f>
        <v/>
      </c>
      <c r="AA344" s="48" t="str">
        <f ca="1">IF(AND('Planning Sheet'!$AT349='Weeks Plan'!$D$6,'Planning Sheet'!$AN349='Weeks Plan'!$G$6),'Planning Sheet'!AP349,"")</f>
        <v/>
      </c>
    </row>
    <row r="345" spans="25:27" x14ac:dyDescent="0.3">
      <c r="Y345" s="48" t="str">
        <f ca="1">IF(AND('Planning Sheet'!$AT350='Weeks Plan'!$D$6,'Planning Sheet'!$AN350='Weeks Plan'!$G$6),'Planning Sheet'!$B350,"")</f>
        <v/>
      </c>
      <c r="Z345" s="48" t="str">
        <f ca="1">IF(AND('Planning Sheet'!$AT350='Weeks Plan'!$D$6,'Planning Sheet'!$AN350='Weeks Plan'!$G$6),'Planning Sheet'!$AO350,"")</f>
        <v/>
      </c>
      <c r="AA345" s="48" t="str">
        <f ca="1">IF(AND('Planning Sheet'!$AT350='Weeks Plan'!$D$6,'Planning Sheet'!$AN350='Weeks Plan'!$G$6),'Planning Sheet'!AP350,"")</f>
        <v/>
      </c>
    </row>
    <row r="346" spans="25:27" x14ac:dyDescent="0.3">
      <c r="Y346" s="48" t="str">
        <f ca="1">IF(AND('Planning Sheet'!$AT351='Weeks Plan'!$D$6,'Planning Sheet'!$AN351='Weeks Plan'!$G$6),'Planning Sheet'!$B351,"")</f>
        <v/>
      </c>
      <c r="Z346" s="48" t="str">
        <f ca="1">IF(AND('Planning Sheet'!$AT351='Weeks Plan'!$D$6,'Planning Sheet'!$AN351='Weeks Plan'!$G$6),'Planning Sheet'!$AO351,"")</f>
        <v/>
      </c>
      <c r="AA346" s="48" t="str">
        <f ca="1">IF(AND('Planning Sheet'!$AT351='Weeks Plan'!$D$6,'Planning Sheet'!$AN351='Weeks Plan'!$G$6),'Planning Sheet'!AP351,"")</f>
        <v/>
      </c>
    </row>
    <row r="347" spans="25:27" x14ac:dyDescent="0.3">
      <c r="Y347" s="48" t="str">
        <f ca="1">IF(AND('Planning Sheet'!$AT352='Weeks Plan'!$D$6,'Planning Sheet'!$AN352='Weeks Plan'!$G$6),'Planning Sheet'!$B352,"")</f>
        <v/>
      </c>
      <c r="Z347" s="48" t="str">
        <f ca="1">IF(AND('Planning Sheet'!$AT352='Weeks Plan'!$D$6,'Planning Sheet'!$AN352='Weeks Plan'!$G$6),'Planning Sheet'!$AO352,"")</f>
        <v/>
      </c>
      <c r="AA347" s="48" t="str">
        <f ca="1">IF(AND('Planning Sheet'!$AT352='Weeks Plan'!$D$6,'Planning Sheet'!$AN352='Weeks Plan'!$G$6),'Planning Sheet'!AP352,"")</f>
        <v/>
      </c>
    </row>
    <row r="348" spans="25:27" x14ac:dyDescent="0.3">
      <c r="Y348" s="48" t="str">
        <f ca="1">IF(AND('Planning Sheet'!$AT353='Weeks Plan'!$D$6,'Planning Sheet'!$AN353='Weeks Plan'!$G$6),'Planning Sheet'!$B353,"")</f>
        <v/>
      </c>
      <c r="Z348" s="48" t="str">
        <f ca="1">IF(AND('Planning Sheet'!$AT353='Weeks Plan'!$D$6,'Planning Sheet'!$AN353='Weeks Plan'!$G$6),'Planning Sheet'!$AO353,"")</f>
        <v/>
      </c>
      <c r="AA348" s="48" t="str">
        <f ca="1">IF(AND('Planning Sheet'!$AT353='Weeks Plan'!$D$6,'Planning Sheet'!$AN353='Weeks Plan'!$G$6),'Planning Sheet'!AP353,"")</f>
        <v/>
      </c>
    </row>
    <row r="349" spans="25:27" x14ac:dyDescent="0.3">
      <c r="Y349" s="48" t="str">
        <f ca="1">IF(AND('Planning Sheet'!$AT354='Weeks Plan'!$D$6,'Planning Sheet'!$AN354='Weeks Plan'!$G$6),'Planning Sheet'!$B354,"")</f>
        <v/>
      </c>
      <c r="Z349" s="48" t="str">
        <f ca="1">IF(AND('Planning Sheet'!$AT354='Weeks Plan'!$D$6,'Planning Sheet'!$AN354='Weeks Plan'!$G$6),'Planning Sheet'!$AO354,"")</f>
        <v/>
      </c>
      <c r="AA349" s="48" t="str">
        <f ca="1">IF(AND('Planning Sheet'!$AT354='Weeks Plan'!$D$6,'Planning Sheet'!$AN354='Weeks Plan'!$G$6),'Planning Sheet'!AP354,"")</f>
        <v/>
      </c>
    </row>
    <row r="350" spans="25:27" x14ac:dyDescent="0.3">
      <c r="Y350" s="48" t="str">
        <f ca="1">IF(AND('Planning Sheet'!$AT355='Weeks Plan'!$D$6,'Planning Sheet'!$AN355='Weeks Plan'!$G$6),'Planning Sheet'!$B355,"")</f>
        <v/>
      </c>
      <c r="Z350" s="48" t="str">
        <f ca="1">IF(AND('Planning Sheet'!$AT355='Weeks Plan'!$D$6,'Planning Sheet'!$AN355='Weeks Plan'!$G$6),'Planning Sheet'!$AO355,"")</f>
        <v/>
      </c>
      <c r="AA350" s="48" t="str">
        <f ca="1">IF(AND('Planning Sheet'!$AT355='Weeks Plan'!$D$6,'Planning Sheet'!$AN355='Weeks Plan'!$G$6),'Planning Sheet'!AP355,"")</f>
        <v/>
      </c>
    </row>
    <row r="351" spans="25:27" x14ac:dyDescent="0.3">
      <c r="Y351" s="48" t="str">
        <f ca="1">IF(AND('Planning Sheet'!$AT356='Weeks Plan'!$D$6,'Planning Sheet'!$AN356='Weeks Plan'!$G$6),'Planning Sheet'!$B356,"")</f>
        <v/>
      </c>
      <c r="Z351" s="48" t="str">
        <f ca="1">IF(AND('Planning Sheet'!$AT356='Weeks Plan'!$D$6,'Planning Sheet'!$AN356='Weeks Plan'!$G$6),'Planning Sheet'!$AO356,"")</f>
        <v/>
      </c>
      <c r="AA351" s="48" t="str">
        <f ca="1">IF(AND('Planning Sheet'!$AT356='Weeks Plan'!$D$6,'Planning Sheet'!$AN356='Weeks Plan'!$G$6),'Planning Sheet'!AP356,"")</f>
        <v/>
      </c>
    </row>
    <row r="352" spans="25:27" x14ac:dyDescent="0.3">
      <c r="Y352" s="48" t="str">
        <f ca="1">IF(AND('Planning Sheet'!$AT357='Weeks Plan'!$D$6,'Planning Sheet'!$AN357='Weeks Plan'!$G$6),'Planning Sheet'!$B357,"")</f>
        <v/>
      </c>
      <c r="Z352" s="48" t="str">
        <f ca="1">IF(AND('Planning Sheet'!$AT357='Weeks Plan'!$D$6,'Planning Sheet'!$AN357='Weeks Plan'!$G$6),'Planning Sheet'!$AO357,"")</f>
        <v/>
      </c>
      <c r="AA352" s="48" t="str">
        <f ca="1">IF(AND('Planning Sheet'!$AT357='Weeks Plan'!$D$6,'Planning Sheet'!$AN357='Weeks Plan'!$G$6),'Planning Sheet'!AP357,"")</f>
        <v/>
      </c>
    </row>
    <row r="353" spans="25:27" x14ac:dyDescent="0.3">
      <c r="Y353" s="48" t="str">
        <f ca="1">IF(AND('Planning Sheet'!$AT358='Weeks Plan'!$D$6,'Planning Sheet'!$AN358='Weeks Plan'!$G$6),'Planning Sheet'!$B358,"")</f>
        <v/>
      </c>
      <c r="Z353" s="48" t="str">
        <f ca="1">IF(AND('Planning Sheet'!$AT358='Weeks Plan'!$D$6,'Planning Sheet'!$AN358='Weeks Plan'!$G$6),'Planning Sheet'!$AO358,"")</f>
        <v/>
      </c>
      <c r="AA353" s="48" t="str">
        <f ca="1">IF(AND('Planning Sheet'!$AT358='Weeks Plan'!$D$6,'Planning Sheet'!$AN358='Weeks Plan'!$G$6),'Planning Sheet'!AP358,"")</f>
        <v/>
      </c>
    </row>
    <row r="354" spans="25:27" x14ac:dyDescent="0.3">
      <c r="Y354" s="48" t="str">
        <f ca="1">IF(AND('Planning Sheet'!$AT359='Weeks Plan'!$D$6,'Planning Sheet'!$AN359='Weeks Plan'!$G$6),'Planning Sheet'!$B359,"")</f>
        <v/>
      </c>
      <c r="Z354" s="48" t="str">
        <f ca="1">IF(AND('Planning Sheet'!$AT359='Weeks Plan'!$D$6,'Planning Sheet'!$AN359='Weeks Plan'!$G$6),'Planning Sheet'!$AO359,"")</f>
        <v/>
      </c>
      <c r="AA354" s="48" t="str">
        <f ca="1">IF(AND('Planning Sheet'!$AT359='Weeks Plan'!$D$6,'Planning Sheet'!$AN359='Weeks Plan'!$G$6),'Planning Sheet'!AP359,"")</f>
        <v/>
      </c>
    </row>
    <row r="355" spans="25:27" x14ac:dyDescent="0.3">
      <c r="Y355" s="48" t="str">
        <f ca="1">IF(AND('Planning Sheet'!$AT360='Weeks Plan'!$D$6,'Planning Sheet'!$AN360='Weeks Plan'!$G$6),'Planning Sheet'!$B360,"")</f>
        <v/>
      </c>
      <c r="Z355" s="48" t="str">
        <f ca="1">IF(AND('Planning Sheet'!$AT360='Weeks Plan'!$D$6,'Planning Sheet'!$AN360='Weeks Plan'!$G$6),'Planning Sheet'!$AO360,"")</f>
        <v/>
      </c>
      <c r="AA355" s="48" t="str">
        <f ca="1">IF(AND('Planning Sheet'!$AT360='Weeks Plan'!$D$6,'Planning Sheet'!$AN360='Weeks Plan'!$G$6),'Planning Sheet'!AP360,"")</f>
        <v/>
      </c>
    </row>
    <row r="356" spans="25:27" x14ac:dyDescent="0.3">
      <c r="Y356" s="48" t="str">
        <f ca="1">IF(AND('Planning Sheet'!$AT361='Weeks Plan'!$D$6,'Planning Sheet'!$AN361='Weeks Plan'!$G$6),'Planning Sheet'!$B361,"")</f>
        <v/>
      </c>
      <c r="Z356" s="48" t="str">
        <f ca="1">IF(AND('Planning Sheet'!$AT361='Weeks Plan'!$D$6,'Planning Sheet'!$AN361='Weeks Plan'!$G$6),'Planning Sheet'!$AO361,"")</f>
        <v/>
      </c>
      <c r="AA356" s="48" t="str">
        <f ca="1">IF(AND('Planning Sheet'!$AT361='Weeks Plan'!$D$6,'Planning Sheet'!$AN361='Weeks Plan'!$G$6),'Planning Sheet'!AP361,"")</f>
        <v/>
      </c>
    </row>
    <row r="357" spans="25:27" x14ac:dyDescent="0.3">
      <c r="Y357" s="48" t="str">
        <f ca="1">IF(AND('Planning Sheet'!$AT362='Weeks Plan'!$D$6,'Planning Sheet'!$AN362='Weeks Plan'!$G$6),'Planning Sheet'!$B362,"")</f>
        <v/>
      </c>
      <c r="Z357" s="48" t="str">
        <f ca="1">IF(AND('Planning Sheet'!$AT362='Weeks Plan'!$D$6,'Planning Sheet'!$AN362='Weeks Plan'!$G$6),'Planning Sheet'!$AO362,"")</f>
        <v/>
      </c>
      <c r="AA357" s="48" t="str">
        <f ca="1">IF(AND('Planning Sheet'!$AT362='Weeks Plan'!$D$6,'Planning Sheet'!$AN362='Weeks Plan'!$G$6),'Planning Sheet'!AP362,"")</f>
        <v/>
      </c>
    </row>
    <row r="358" spans="25:27" x14ac:dyDescent="0.3">
      <c r="Y358" s="48" t="str">
        <f ca="1">IF(AND('Planning Sheet'!$AT363='Weeks Plan'!$D$6,'Planning Sheet'!$AN363='Weeks Plan'!$G$6),'Planning Sheet'!$B363,"")</f>
        <v/>
      </c>
      <c r="Z358" s="48" t="str">
        <f ca="1">IF(AND('Planning Sheet'!$AT363='Weeks Plan'!$D$6,'Planning Sheet'!$AN363='Weeks Plan'!$G$6),'Planning Sheet'!$AO363,"")</f>
        <v/>
      </c>
      <c r="AA358" s="48" t="str">
        <f ca="1">IF(AND('Planning Sheet'!$AT363='Weeks Plan'!$D$6,'Planning Sheet'!$AN363='Weeks Plan'!$G$6),'Planning Sheet'!AP363,"")</f>
        <v/>
      </c>
    </row>
    <row r="359" spans="25:27" x14ac:dyDescent="0.3">
      <c r="Y359" s="48" t="str">
        <f ca="1">IF(AND('Planning Sheet'!$AT364='Weeks Plan'!$D$6,'Planning Sheet'!$AN364='Weeks Plan'!$G$6),'Planning Sheet'!$B364,"")</f>
        <v/>
      </c>
      <c r="Z359" s="48" t="str">
        <f ca="1">IF(AND('Planning Sheet'!$AT364='Weeks Plan'!$D$6,'Planning Sheet'!$AN364='Weeks Plan'!$G$6),'Planning Sheet'!$AO364,"")</f>
        <v/>
      </c>
      <c r="AA359" s="48" t="str">
        <f ca="1">IF(AND('Planning Sheet'!$AT364='Weeks Plan'!$D$6,'Planning Sheet'!$AN364='Weeks Plan'!$G$6),'Planning Sheet'!AP364,"")</f>
        <v/>
      </c>
    </row>
    <row r="360" spans="25:27" x14ac:dyDescent="0.3">
      <c r="Y360" s="48" t="str">
        <f ca="1">IF(AND('Planning Sheet'!$AT365='Weeks Plan'!$D$6,'Planning Sheet'!$AN365='Weeks Plan'!$G$6),'Planning Sheet'!$B365,"")</f>
        <v/>
      </c>
      <c r="Z360" s="48" t="str">
        <f ca="1">IF(AND('Planning Sheet'!$AT365='Weeks Plan'!$D$6,'Planning Sheet'!$AN365='Weeks Plan'!$G$6),'Planning Sheet'!$AO365,"")</f>
        <v/>
      </c>
      <c r="AA360" s="48" t="str">
        <f ca="1">IF(AND('Planning Sheet'!$AT365='Weeks Plan'!$D$6,'Planning Sheet'!$AN365='Weeks Plan'!$G$6),'Planning Sheet'!AP365,"")</f>
        <v/>
      </c>
    </row>
    <row r="361" spans="25:27" x14ac:dyDescent="0.3">
      <c r="Y361" s="48" t="str">
        <f ca="1">IF(AND('Planning Sheet'!$AT366='Weeks Plan'!$D$6,'Planning Sheet'!$AN366='Weeks Plan'!$G$6),'Planning Sheet'!$B366,"")</f>
        <v/>
      </c>
      <c r="Z361" s="48" t="str">
        <f ca="1">IF(AND('Planning Sheet'!$AT366='Weeks Plan'!$D$6,'Planning Sheet'!$AN366='Weeks Plan'!$G$6),'Planning Sheet'!$AO366,"")</f>
        <v/>
      </c>
      <c r="AA361" s="48" t="str">
        <f ca="1">IF(AND('Planning Sheet'!$AT366='Weeks Plan'!$D$6,'Planning Sheet'!$AN366='Weeks Plan'!$G$6),'Planning Sheet'!AP366,"")</f>
        <v/>
      </c>
    </row>
    <row r="362" spans="25:27" x14ac:dyDescent="0.3">
      <c r="Y362" s="48" t="str">
        <f ca="1">IF(AND('Planning Sheet'!$AT367='Weeks Plan'!$D$6,'Planning Sheet'!$AN367='Weeks Plan'!$G$6),'Planning Sheet'!$B367,"")</f>
        <v/>
      </c>
      <c r="Z362" s="48" t="str">
        <f ca="1">IF(AND('Planning Sheet'!$AT367='Weeks Plan'!$D$6,'Planning Sheet'!$AN367='Weeks Plan'!$G$6),'Planning Sheet'!$AO367,"")</f>
        <v/>
      </c>
      <c r="AA362" s="48" t="str">
        <f ca="1">IF(AND('Planning Sheet'!$AT367='Weeks Plan'!$D$6,'Planning Sheet'!$AN367='Weeks Plan'!$G$6),'Planning Sheet'!AP367,"")</f>
        <v/>
      </c>
    </row>
    <row r="363" spans="25:27" x14ac:dyDescent="0.3">
      <c r="Y363" s="48" t="str">
        <f ca="1">IF(AND('Planning Sheet'!$AT368='Weeks Plan'!$D$6,'Planning Sheet'!$AN368='Weeks Plan'!$G$6),'Planning Sheet'!$B368,"")</f>
        <v/>
      </c>
      <c r="Z363" s="48" t="str">
        <f ca="1">IF(AND('Planning Sheet'!$AT368='Weeks Plan'!$D$6,'Planning Sheet'!$AN368='Weeks Plan'!$G$6),'Planning Sheet'!$AO368,"")</f>
        <v/>
      </c>
      <c r="AA363" s="48" t="str">
        <f ca="1">IF(AND('Planning Sheet'!$AT368='Weeks Plan'!$D$6,'Planning Sheet'!$AN368='Weeks Plan'!$G$6),'Planning Sheet'!AP368,"")</f>
        <v/>
      </c>
    </row>
    <row r="364" spans="25:27" x14ac:dyDescent="0.3">
      <c r="Y364" s="48" t="str">
        <f ca="1">IF(AND('Planning Sheet'!$AT369='Weeks Plan'!$D$6,'Planning Sheet'!$AN369='Weeks Plan'!$G$6),'Planning Sheet'!$B369,"")</f>
        <v/>
      </c>
      <c r="Z364" s="48" t="str">
        <f ca="1">IF(AND('Planning Sheet'!$AT369='Weeks Plan'!$D$6,'Planning Sheet'!$AN369='Weeks Plan'!$G$6),'Planning Sheet'!$AO369,"")</f>
        <v/>
      </c>
      <c r="AA364" s="48" t="str">
        <f ca="1">IF(AND('Planning Sheet'!$AT369='Weeks Plan'!$D$6,'Planning Sheet'!$AN369='Weeks Plan'!$G$6),'Planning Sheet'!AP369,"")</f>
        <v/>
      </c>
    </row>
    <row r="365" spans="25:27" x14ac:dyDescent="0.3">
      <c r="Y365" s="48" t="str">
        <f ca="1">IF(AND('Planning Sheet'!$AT370='Weeks Plan'!$D$6,'Planning Sheet'!$AN370='Weeks Plan'!$G$6),'Planning Sheet'!$B370,"")</f>
        <v/>
      </c>
      <c r="Z365" s="48" t="str">
        <f ca="1">IF(AND('Planning Sheet'!$AT370='Weeks Plan'!$D$6,'Planning Sheet'!$AN370='Weeks Plan'!$G$6),'Planning Sheet'!$AO370,"")</f>
        <v/>
      </c>
      <c r="AA365" s="48" t="str">
        <f ca="1">IF(AND('Planning Sheet'!$AT370='Weeks Plan'!$D$6,'Planning Sheet'!$AN370='Weeks Plan'!$G$6),'Planning Sheet'!AP370,"")</f>
        <v/>
      </c>
    </row>
    <row r="366" spans="25:27" x14ac:dyDescent="0.3">
      <c r="Y366" s="48" t="str">
        <f ca="1">IF(AND('Planning Sheet'!$AT371='Weeks Plan'!$D$6,'Planning Sheet'!$AN371='Weeks Plan'!$G$6),'Planning Sheet'!$B371,"")</f>
        <v/>
      </c>
      <c r="Z366" s="48" t="str">
        <f ca="1">IF(AND('Planning Sheet'!$AT371='Weeks Plan'!$D$6,'Planning Sheet'!$AN371='Weeks Plan'!$G$6),'Planning Sheet'!$AO371,"")</f>
        <v/>
      </c>
      <c r="AA366" s="48" t="str">
        <f ca="1">IF(AND('Planning Sheet'!$AT371='Weeks Plan'!$D$6,'Planning Sheet'!$AN371='Weeks Plan'!$G$6),'Planning Sheet'!AP371,"")</f>
        <v/>
      </c>
    </row>
    <row r="367" spans="25:27" x14ac:dyDescent="0.3">
      <c r="Y367" s="48" t="str">
        <f ca="1">IF(AND('Planning Sheet'!$AT372='Weeks Plan'!$D$6,'Planning Sheet'!$AN372='Weeks Plan'!$G$6),'Planning Sheet'!$B372,"")</f>
        <v/>
      </c>
      <c r="Z367" s="48" t="str">
        <f ca="1">IF(AND('Planning Sheet'!$AT372='Weeks Plan'!$D$6,'Planning Sheet'!$AN372='Weeks Plan'!$G$6),'Planning Sheet'!$AO372,"")</f>
        <v/>
      </c>
      <c r="AA367" s="48" t="str">
        <f ca="1">IF(AND('Planning Sheet'!$AT372='Weeks Plan'!$D$6,'Planning Sheet'!$AN372='Weeks Plan'!$G$6),'Planning Sheet'!AP372,"")</f>
        <v/>
      </c>
    </row>
    <row r="368" spans="25:27" x14ac:dyDescent="0.3">
      <c r="Y368" s="48" t="str">
        <f ca="1">IF(AND('Planning Sheet'!$AT373='Weeks Plan'!$D$6,'Planning Sheet'!$AN373='Weeks Plan'!$G$6),'Planning Sheet'!$B373,"")</f>
        <v/>
      </c>
      <c r="Z368" s="48" t="str">
        <f ca="1">IF(AND('Planning Sheet'!$AT373='Weeks Plan'!$D$6,'Planning Sheet'!$AN373='Weeks Plan'!$G$6),'Planning Sheet'!$AO373,"")</f>
        <v/>
      </c>
      <c r="AA368" s="48" t="str">
        <f ca="1">IF(AND('Planning Sheet'!$AT373='Weeks Plan'!$D$6,'Planning Sheet'!$AN373='Weeks Plan'!$G$6),'Planning Sheet'!AP373,"")</f>
        <v/>
      </c>
    </row>
    <row r="369" spans="25:27" x14ac:dyDescent="0.3">
      <c r="Y369" s="48" t="str">
        <f ca="1">IF(AND('Planning Sheet'!$AT374='Weeks Plan'!$D$6,'Planning Sheet'!$AN374='Weeks Plan'!$G$6),'Planning Sheet'!$B374,"")</f>
        <v/>
      </c>
      <c r="Z369" s="48" t="str">
        <f ca="1">IF(AND('Planning Sheet'!$AT374='Weeks Plan'!$D$6,'Planning Sheet'!$AN374='Weeks Plan'!$G$6),'Planning Sheet'!$AO374,"")</f>
        <v/>
      </c>
      <c r="AA369" s="48" t="str">
        <f ca="1">IF(AND('Planning Sheet'!$AT374='Weeks Plan'!$D$6,'Planning Sheet'!$AN374='Weeks Plan'!$G$6),'Planning Sheet'!AP374,"")</f>
        <v/>
      </c>
    </row>
    <row r="370" spans="25:27" x14ac:dyDescent="0.3">
      <c r="Y370" s="48" t="str">
        <f ca="1">IF(AND('Planning Sheet'!$AT375='Weeks Plan'!$D$6,'Planning Sheet'!$AN375='Weeks Plan'!$G$6),'Planning Sheet'!$B375,"")</f>
        <v/>
      </c>
      <c r="Z370" s="48" t="str">
        <f ca="1">IF(AND('Planning Sheet'!$AT375='Weeks Plan'!$D$6,'Planning Sheet'!$AN375='Weeks Plan'!$G$6),'Planning Sheet'!$AO375,"")</f>
        <v/>
      </c>
      <c r="AA370" s="48" t="str">
        <f ca="1">IF(AND('Planning Sheet'!$AT375='Weeks Plan'!$D$6,'Planning Sheet'!$AN375='Weeks Plan'!$G$6),'Planning Sheet'!AP375,"")</f>
        <v/>
      </c>
    </row>
    <row r="371" spans="25:27" x14ac:dyDescent="0.3">
      <c r="Y371" s="48" t="str">
        <f ca="1">IF(AND('Planning Sheet'!$AT376='Weeks Plan'!$D$6,'Planning Sheet'!$AN376='Weeks Plan'!$G$6),'Planning Sheet'!$B376,"")</f>
        <v/>
      </c>
      <c r="Z371" s="48" t="str">
        <f ca="1">IF(AND('Planning Sheet'!$AT376='Weeks Plan'!$D$6,'Planning Sheet'!$AN376='Weeks Plan'!$G$6),'Planning Sheet'!$AO376,"")</f>
        <v/>
      </c>
      <c r="AA371" s="48" t="str">
        <f ca="1">IF(AND('Planning Sheet'!$AT376='Weeks Plan'!$D$6,'Planning Sheet'!$AN376='Weeks Plan'!$G$6),'Planning Sheet'!AP376,"")</f>
        <v/>
      </c>
    </row>
    <row r="372" spans="25:27" x14ac:dyDescent="0.3">
      <c r="Y372" s="48" t="str">
        <f ca="1">IF(AND('Planning Sheet'!$AT377='Weeks Plan'!$D$6,'Planning Sheet'!$AN377='Weeks Plan'!$G$6),'Planning Sheet'!$B377,"")</f>
        <v/>
      </c>
      <c r="Z372" s="48" t="str">
        <f ca="1">IF(AND('Planning Sheet'!$AT377='Weeks Plan'!$D$6,'Planning Sheet'!$AN377='Weeks Plan'!$G$6),'Planning Sheet'!$AO377,"")</f>
        <v/>
      </c>
      <c r="AA372" s="48" t="str">
        <f ca="1">IF(AND('Planning Sheet'!$AT377='Weeks Plan'!$D$6,'Planning Sheet'!$AN377='Weeks Plan'!$G$6),'Planning Sheet'!AP377,"")</f>
        <v/>
      </c>
    </row>
    <row r="373" spans="25:27" x14ac:dyDescent="0.3">
      <c r="Y373" s="48" t="str">
        <f ca="1">IF(AND('Planning Sheet'!$AT378='Weeks Plan'!$D$6,'Planning Sheet'!$AN378='Weeks Plan'!$G$6),'Planning Sheet'!$B378,"")</f>
        <v/>
      </c>
      <c r="Z373" s="48" t="str">
        <f ca="1">IF(AND('Planning Sheet'!$AT378='Weeks Plan'!$D$6,'Planning Sheet'!$AN378='Weeks Plan'!$G$6),'Planning Sheet'!$AO378,"")</f>
        <v/>
      </c>
      <c r="AA373" s="48" t="str">
        <f ca="1">IF(AND('Planning Sheet'!$AT378='Weeks Plan'!$D$6,'Planning Sheet'!$AN378='Weeks Plan'!$G$6),'Planning Sheet'!AP378,"")</f>
        <v/>
      </c>
    </row>
    <row r="374" spans="25:27" x14ac:dyDescent="0.3">
      <c r="Y374" s="48" t="str">
        <f ca="1">IF(AND('Planning Sheet'!$AT379='Weeks Plan'!$D$6,'Planning Sheet'!$AN379='Weeks Plan'!$G$6),'Planning Sheet'!$B379,"")</f>
        <v/>
      </c>
      <c r="Z374" s="48" t="str">
        <f ca="1">IF(AND('Planning Sheet'!$AT379='Weeks Plan'!$D$6,'Planning Sheet'!$AN379='Weeks Plan'!$G$6),'Planning Sheet'!$AO379,"")</f>
        <v/>
      </c>
      <c r="AA374" s="48" t="str">
        <f ca="1">IF(AND('Planning Sheet'!$AT379='Weeks Plan'!$D$6,'Planning Sheet'!$AN379='Weeks Plan'!$G$6),'Planning Sheet'!AP379,"")</f>
        <v/>
      </c>
    </row>
    <row r="375" spans="25:27" x14ac:dyDescent="0.3">
      <c r="Y375" s="48" t="str">
        <f ca="1">IF(AND('Planning Sheet'!$AT380='Weeks Plan'!$D$6,'Planning Sheet'!$AN380='Weeks Plan'!$G$6),'Planning Sheet'!$B380,"")</f>
        <v/>
      </c>
      <c r="Z375" s="48" t="str">
        <f ca="1">IF(AND('Planning Sheet'!$AT380='Weeks Plan'!$D$6,'Planning Sheet'!$AN380='Weeks Plan'!$G$6),'Planning Sheet'!$AO380,"")</f>
        <v/>
      </c>
      <c r="AA375" s="48" t="str">
        <f ca="1">IF(AND('Planning Sheet'!$AT380='Weeks Plan'!$D$6,'Planning Sheet'!$AN380='Weeks Plan'!$G$6),'Planning Sheet'!AP380,"")</f>
        <v/>
      </c>
    </row>
    <row r="376" spans="25:27" x14ac:dyDescent="0.3">
      <c r="Y376" s="48" t="str">
        <f ca="1">IF(AND('Planning Sheet'!$AT381='Weeks Plan'!$D$6,'Planning Sheet'!$AN381='Weeks Plan'!$G$6),'Planning Sheet'!$B381,"")</f>
        <v/>
      </c>
      <c r="Z376" s="48" t="str">
        <f ca="1">IF(AND('Planning Sheet'!$AT381='Weeks Plan'!$D$6,'Planning Sheet'!$AN381='Weeks Plan'!$G$6),'Planning Sheet'!$AO381,"")</f>
        <v/>
      </c>
      <c r="AA376" s="48" t="str">
        <f ca="1">IF(AND('Planning Sheet'!$AT381='Weeks Plan'!$D$6,'Planning Sheet'!$AN381='Weeks Plan'!$G$6),'Planning Sheet'!AP381,"")</f>
        <v/>
      </c>
    </row>
    <row r="377" spans="25:27" x14ac:dyDescent="0.3">
      <c r="Y377" s="48" t="str">
        <f ca="1">IF(AND('Planning Sheet'!$AT382='Weeks Plan'!$D$6,'Planning Sheet'!$AN382='Weeks Plan'!$G$6),'Planning Sheet'!$B382,"")</f>
        <v/>
      </c>
      <c r="Z377" s="48" t="str">
        <f ca="1">IF(AND('Planning Sheet'!$AT382='Weeks Plan'!$D$6,'Planning Sheet'!$AN382='Weeks Plan'!$G$6),'Planning Sheet'!$AO382,"")</f>
        <v/>
      </c>
      <c r="AA377" s="48" t="str">
        <f ca="1">IF(AND('Planning Sheet'!$AT382='Weeks Plan'!$D$6,'Planning Sheet'!$AN382='Weeks Plan'!$G$6),'Planning Sheet'!AP382,"")</f>
        <v/>
      </c>
    </row>
    <row r="378" spans="25:27" x14ac:dyDescent="0.3">
      <c r="Y378" s="48" t="str">
        <f ca="1">IF(AND('Planning Sheet'!$AT383='Weeks Plan'!$D$6,'Planning Sheet'!$AN383='Weeks Plan'!$G$6),'Planning Sheet'!$B383,"")</f>
        <v/>
      </c>
      <c r="Z378" s="48" t="str">
        <f ca="1">IF(AND('Planning Sheet'!$AT383='Weeks Plan'!$D$6,'Planning Sheet'!$AN383='Weeks Plan'!$G$6),'Planning Sheet'!$AO383,"")</f>
        <v/>
      </c>
      <c r="AA378" s="48" t="str">
        <f ca="1">IF(AND('Planning Sheet'!$AT383='Weeks Plan'!$D$6,'Planning Sheet'!$AN383='Weeks Plan'!$G$6),'Planning Sheet'!AP383,"")</f>
        <v/>
      </c>
    </row>
    <row r="379" spans="25:27" x14ac:dyDescent="0.3">
      <c r="Y379" s="48" t="str">
        <f ca="1">IF(AND('Planning Sheet'!$AT384='Weeks Plan'!$D$6,'Planning Sheet'!$AN384='Weeks Plan'!$G$6),'Planning Sheet'!$B384,"")</f>
        <v/>
      </c>
      <c r="Z379" s="48" t="str">
        <f ca="1">IF(AND('Planning Sheet'!$AT384='Weeks Plan'!$D$6,'Planning Sheet'!$AN384='Weeks Plan'!$G$6),'Planning Sheet'!$AO384,"")</f>
        <v/>
      </c>
      <c r="AA379" s="48" t="str">
        <f ca="1">IF(AND('Planning Sheet'!$AT384='Weeks Plan'!$D$6,'Planning Sheet'!$AN384='Weeks Plan'!$G$6),'Planning Sheet'!AP384,"")</f>
        <v/>
      </c>
    </row>
    <row r="380" spans="25:27" x14ac:dyDescent="0.3">
      <c r="Y380" s="48" t="str">
        <f ca="1">IF(AND('Planning Sheet'!$AT385='Weeks Plan'!$D$6,'Planning Sheet'!$AN385='Weeks Plan'!$G$6),'Planning Sheet'!$B385,"")</f>
        <v/>
      </c>
      <c r="Z380" s="48" t="str">
        <f ca="1">IF(AND('Planning Sheet'!$AT385='Weeks Plan'!$D$6,'Planning Sheet'!$AN385='Weeks Plan'!$G$6),'Planning Sheet'!$AO385,"")</f>
        <v/>
      </c>
      <c r="AA380" s="48" t="str">
        <f ca="1">IF(AND('Planning Sheet'!$AT385='Weeks Plan'!$D$6,'Planning Sheet'!$AN385='Weeks Plan'!$G$6),'Planning Sheet'!AP385,"")</f>
        <v/>
      </c>
    </row>
    <row r="381" spans="25:27" x14ac:dyDescent="0.3">
      <c r="Y381" s="48" t="str">
        <f ca="1">IF(AND('Planning Sheet'!$AT386='Weeks Plan'!$D$6,'Planning Sheet'!$AN386='Weeks Plan'!$G$6),'Planning Sheet'!$B386,"")</f>
        <v/>
      </c>
      <c r="Z381" s="48" t="str">
        <f ca="1">IF(AND('Planning Sheet'!$AT386='Weeks Plan'!$D$6,'Planning Sheet'!$AN386='Weeks Plan'!$G$6),'Planning Sheet'!$AO386,"")</f>
        <v/>
      </c>
      <c r="AA381" s="48" t="str">
        <f ca="1">IF(AND('Planning Sheet'!$AT386='Weeks Plan'!$D$6,'Planning Sheet'!$AN386='Weeks Plan'!$G$6),'Planning Sheet'!AP386,"")</f>
        <v/>
      </c>
    </row>
    <row r="382" spans="25:27" x14ac:dyDescent="0.3">
      <c r="Y382" s="48" t="str">
        <f ca="1">IF(AND('Planning Sheet'!$AT387='Weeks Plan'!$D$6,'Planning Sheet'!$AN387='Weeks Plan'!$G$6),'Planning Sheet'!$B387,"")</f>
        <v/>
      </c>
      <c r="Z382" s="48" t="str">
        <f ca="1">IF(AND('Planning Sheet'!$AT387='Weeks Plan'!$D$6,'Planning Sheet'!$AN387='Weeks Plan'!$G$6),'Planning Sheet'!$AO387,"")</f>
        <v/>
      </c>
      <c r="AA382" s="48" t="str">
        <f ca="1">IF(AND('Planning Sheet'!$AT387='Weeks Plan'!$D$6,'Planning Sheet'!$AN387='Weeks Plan'!$G$6),'Planning Sheet'!AP387,"")</f>
        <v/>
      </c>
    </row>
    <row r="383" spans="25:27" x14ac:dyDescent="0.3">
      <c r="Y383" s="48" t="str">
        <f ca="1">IF(AND('Planning Sheet'!$AT388='Weeks Plan'!$D$6,'Planning Sheet'!$AN388='Weeks Plan'!$G$6),'Planning Sheet'!$B388,"")</f>
        <v/>
      </c>
      <c r="Z383" s="48" t="str">
        <f ca="1">IF(AND('Planning Sheet'!$AT388='Weeks Plan'!$D$6,'Planning Sheet'!$AN388='Weeks Plan'!$G$6),'Planning Sheet'!$AO388,"")</f>
        <v/>
      </c>
      <c r="AA383" s="48" t="str">
        <f ca="1">IF(AND('Planning Sheet'!$AT388='Weeks Plan'!$D$6,'Planning Sheet'!$AN388='Weeks Plan'!$G$6),'Planning Sheet'!AP388,"")</f>
        <v/>
      </c>
    </row>
    <row r="384" spans="25:27" x14ac:dyDescent="0.3">
      <c r="Y384" s="48" t="str">
        <f ca="1">IF(AND('Planning Sheet'!$AT389='Weeks Plan'!$D$6,'Planning Sheet'!$AN389='Weeks Plan'!$G$6),'Planning Sheet'!$B389,"")</f>
        <v/>
      </c>
      <c r="Z384" s="48" t="str">
        <f ca="1">IF(AND('Planning Sheet'!$AT389='Weeks Plan'!$D$6,'Planning Sheet'!$AN389='Weeks Plan'!$G$6),'Planning Sheet'!$AO389,"")</f>
        <v/>
      </c>
      <c r="AA384" s="48" t="str">
        <f ca="1">IF(AND('Planning Sheet'!$AT389='Weeks Plan'!$D$6,'Planning Sheet'!$AN389='Weeks Plan'!$G$6),'Planning Sheet'!AP389,"")</f>
        <v/>
      </c>
    </row>
    <row r="385" spans="25:27" x14ac:dyDescent="0.3">
      <c r="Y385" s="48" t="str">
        <f ca="1">IF(AND('Planning Sheet'!$AT390='Weeks Plan'!$D$6,'Planning Sheet'!$AN390='Weeks Plan'!$G$6),'Planning Sheet'!$B390,"")</f>
        <v/>
      </c>
      <c r="Z385" s="48" t="str">
        <f ca="1">IF(AND('Planning Sheet'!$AT390='Weeks Plan'!$D$6,'Planning Sheet'!$AN390='Weeks Plan'!$G$6),'Planning Sheet'!$AO390,"")</f>
        <v/>
      </c>
      <c r="AA385" s="48" t="str">
        <f ca="1">IF(AND('Planning Sheet'!$AT390='Weeks Plan'!$D$6,'Planning Sheet'!$AN390='Weeks Plan'!$G$6),'Planning Sheet'!AP390,"")</f>
        <v/>
      </c>
    </row>
    <row r="386" spans="25:27" x14ac:dyDescent="0.3">
      <c r="Y386" s="48" t="str">
        <f ca="1">IF(AND('Planning Sheet'!$AT391='Weeks Plan'!$D$6,'Planning Sheet'!$AN391='Weeks Plan'!$G$6),'Planning Sheet'!$B391,"")</f>
        <v/>
      </c>
      <c r="Z386" s="48" t="str">
        <f ca="1">IF(AND('Planning Sheet'!$AT391='Weeks Plan'!$D$6,'Planning Sheet'!$AN391='Weeks Plan'!$G$6),'Planning Sheet'!$AO391,"")</f>
        <v/>
      </c>
      <c r="AA386" s="48" t="str">
        <f ca="1">IF(AND('Planning Sheet'!$AT391='Weeks Plan'!$D$6,'Planning Sheet'!$AN391='Weeks Plan'!$G$6),'Planning Sheet'!AP391,"")</f>
        <v/>
      </c>
    </row>
    <row r="387" spans="25:27" x14ac:dyDescent="0.3">
      <c r="Y387" s="48" t="str">
        <f ca="1">IF(AND('Planning Sheet'!$AT392='Weeks Plan'!$D$6,'Planning Sheet'!$AN392='Weeks Plan'!$G$6),'Planning Sheet'!$B392,"")</f>
        <v/>
      </c>
      <c r="Z387" s="48" t="str">
        <f ca="1">IF(AND('Planning Sheet'!$AT392='Weeks Plan'!$D$6,'Planning Sheet'!$AN392='Weeks Plan'!$G$6),'Planning Sheet'!$AO392,"")</f>
        <v/>
      </c>
      <c r="AA387" s="48" t="str">
        <f ca="1">IF(AND('Planning Sheet'!$AT392='Weeks Plan'!$D$6,'Planning Sheet'!$AN392='Weeks Plan'!$G$6),'Planning Sheet'!AP392,"")</f>
        <v/>
      </c>
    </row>
    <row r="388" spans="25:27" x14ac:dyDescent="0.3">
      <c r="Y388" s="48" t="str">
        <f ca="1">IF(AND('Planning Sheet'!$AT393='Weeks Plan'!$D$6,'Planning Sheet'!$AN393='Weeks Plan'!$G$6),'Planning Sheet'!$B393,"")</f>
        <v/>
      </c>
      <c r="Z388" s="48" t="str">
        <f ca="1">IF(AND('Planning Sheet'!$AT393='Weeks Plan'!$D$6,'Planning Sheet'!$AN393='Weeks Plan'!$G$6),'Planning Sheet'!$AO393,"")</f>
        <v/>
      </c>
      <c r="AA388" s="48" t="str">
        <f ca="1">IF(AND('Planning Sheet'!$AT393='Weeks Plan'!$D$6,'Planning Sheet'!$AN393='Weeks Plan'!$G$6),'Planning Sheet'!AP393,"")</f>
        <v/>
      </c>
    </row>
    <row r="389" spans="25:27" x14ac:dyDescent="0.3">
      <c r="Y389" s="48" t="str">
        <f ca="1">IF(AND('Planning Sheet'!$AT394='Weeks Plan'!$D$6,'Planning Sheet'!$AN394='Weeks Plan'!$G$6),'Planning Sheet'!$B394,"")</f>
        <v/>
      </c>
      <c r="Z389" s="48" t="str">
        <f ca="1">IF(AND('Planning Sheet'!$AT394='Weeks Plan'!$D$6,'Planning Sheet'!$AN394='Weeks Plan'!$G$6),'Planning Sheet'!$AO394,"")</f>
        <v/>
      </c>
      <c r="AA389" s="48" t="str">
        <f ca="1">IF(AND('Planning Sheet'!$AT394='Weeks Plan'!$D$6,'Planning Sheet'!$AN394='Weeks Plan'!$G$6),'Planning Sheet'!AP394,"")</f>
        <v/>
      </c>
    </row>
    <row r="390" spans="25:27" x14ac:dyDescent="0.3">
      <c r="Y390" s="48" t="str">
        <f ca="1">IF(AND('Planning Sheet'!$AT395='Weeks Plan'!$D$6,'Planning Sheet'!$AN395='Weeks Plan'!$G$6),'Planning Sheet'!$B395,"")</f>
        <v/>
      </c>
      <c r="Z390" s="48" t="str">
        <f ca="1">IF(AND('Planning Sheet'!$AT395='Weeks Plan'!$D$6,'Planning Sheet'!$AN395='Weeks Plan'!$G$6),'Planning Sheet'!$AO395,"")</f>
        <v/>
      </c>
      <c r="AA390" s="48" t="str">
        <f ca="1">IF(AND('Planning Sheet'!$AT395='Weeks Plan'!$D$6,'Planning Sheet'!$AN395='Weeks Plan'!$G$6),'Planning Sheet'!AP395,"")</f>
        <v/>
      </c>
    </row>
    <row r="391" spans="25:27" x14ac:dyDescent="0.3">
      <c r="Y391" s="48" t="str">
        <f ca="1">IF(AND('Planning Sheet'!$AT396='Weeks Plan'!$D$6,'Planning Sheet'!$AN396='Weeks Plan'!$G$6),'Planning Sheet'!$B396,"")</f>
        <v/>
      </c>
      <c r="Z391" s="48" t="str">
        <f ca="1">IF(AND('Planning Sheet'!$AT396='Weeks Plan'!$D$6,'Planning Sheet'!$AN396='Weeks Plan'!$G$6),'Planning Sheet'!$AO396,"")</f>
        <v/>
      </c>
      <c r="AA391" s="48" t="str">
        <f ca="1">IF(AND('Planning Sheet'!$AT396='Weeks Plan'!$D$6,'Planning Sheet'!$AN396='Weeks Plan'!$G$6),'Planning Sheet'!AP396,"")</f>
        <v/>
      </c>
    </row>
    <row r="392" spans="25:27" x14ac:dyDescent="0.3">
      <c r="Y392" s="48" t="str">
        <f ca="1">IF(AND('Planning Sheet'!$AT397='Weeks Plan'!$D$6,'Planning Sheet'!$AN397='Weeks Plan'!$G$6),'Planning Sheet'!$B397,"")</f>
        <v/>
      </c>
      <c r="Z392" s="48" t="str">
        <f ca="1">IF(AND('Planning Sheet'!$AT397='Weeks Plan'!$D$6,'Planning Sheet'!$AN397='Weeks Plan'!$G$6),'Planning Sheet'!$AO397,"")</f>
        <v/>
      </c>
      <c r="AA392" s="48" t="str">
        <f ca="1">IF(AND('Planning Sheet'!$AT397='Weeks Plan'!$D$6,'Planning Sheet'!$AN397='Weeks Plan'!$G$6),'Planning Sheet'!AP397,"")</f>
        <v/>
      </c>
    </row>
    <row r="393" spans="25:27" x14ac:dyDescent="0.3">
      <c r="Y393" s="48" t="str">
        <f ca="1">IF(AND('Planning Sheet'!$AT398='Weeks Plan'!$D$6,'Planning Sheet'!$AN398='Weeks Plan'!$G$6),'Planning Sheet'!$B398,"")</f>
        <v/>
      </c>
      <c r="Z393" s="48" t="str">
        <f ca="1">IF(AND('Planning Sheet'!$AT398='Weeks Plan'!$D$6,'Planning Sheet'!$AN398='Weeks Plan'!$G$6),'Planning Sheet'!$AO398,"")</f>
        <v/>
      </c>
      <c r="AA393" s="48" t="str">
        <f ca="1">IF(AND('Planning Sheet'!$AT398='Weeks Plan'!$D$6,'Planning Sheet'!$AN398='Weeks Plan'!$G$6),'Planning Sheet'!AP398,"")</f>
        <v/>
      </c>
    </row>
    <row r="394" spans="25:27" x14ac:dyDescent="0.3">
      <c r="Y394" s="48" t="str">
        <f ca="1">IF(AND('Planning Sheet'!$AT399='Weeks Plan'!$D$6,'Planning Sheet'!$AN399='Weeks Plan'!$G$6),'Planning Sheet'!$B399,"")</f>
        <v/>
      </c>
      <c r="Z394" s="48" t="str">
        <f ca="1">IF(AND('Planning Sheet'!$AT399='Weeks Plan'!$D$6,'Planning Sheet'!$AN399='Weeks Plan'!$G$6),'Planning Sheet'!$AO399,"")</f>
        <v/>
      </c>
      <c r="AA394" s="48" t="str">
        <f ca="1">IF(AND('Planning Sheet'!$AT399='Weeks Plan'!$D$6,'Planning Sheet'!$AN399='Weeks Plan'!$G$6),'Planning Sheet'!AP399,"")</f>
        <v/>
      </c>
    </row>
    <row r="395" spans="25:27" x14ac:dyDescent="0.3">
      <c r="Y395" s="48" t="str">
        <f ca="1">IF(AND('Planning Sheet'!$AT400='Weeks Plan'!$D$6,'Planning Sheet'!$AN400='Weeks Plan'!$G$6),'Planning Sheet'!$B400,"")</f>
        <v/>
      </c>
      <c r="Z395" s="48" t="str">
        <f ca="1">IF(AND('Planning Sheet'!$AT400='Weeks Plan'!$D$6,'Planning Sheet'!$AN400='Weeks Plan'!$G$6),'Planning Sheet'!$AO400,"")</f>
        <v/>
      </c>
      <c r="AA395" s="48" t="str">
        <f ca="1">IF(AND('Planning Sheet'!$AT400='Weeks Plan'!$D$6,'Planning Sheet'!$AN400='Weeks Plan'!$G$6),'Planning Sheet'!AP400,"")</f>
        <v/>
      </c>
    </row>
    <row r="396" spans="25:27" x14ac:dyDescent="0.3">
      <c r="Y396" s="48" t="str">
        <f ca="1">IF(AND('Planning Sheet'!$AT401='Weeks Plan'!$D$6,'Planning Sheet'!$AN401='Weeks Plan'!$G$6),'Planning Sheet'!$B401,"")</f>
        <v/>
      </c>
      <c r="Z396" s="48" t="str">
        <f ca="1">IF(AND('Planning Sheet'!$AT401='Weeks Plan'!$D$6,'Planning Sheet'!$AN401='Weeks Plan'!$G$6),'Planning Sheet'!$AO401,"")</f>
        <v/>
      </c>
      <c r="AA396" s="48" t="str">
        <f ca="1">IF(AND('Planning Sheet'!$AT401='Weeks Plan'!$D$6,'Planning Sheet'!$AN401='Weeks Plan'!$G$6),'Planning Sheet'!AP401,"")</f>
        <v/>
      </c>
    </row>
    <row r="397" spans="25:27" x14ac:dyDescent="0.3">
      <c r="Y397" s="48" t="str">
        <f ca="1">IF(AND('Planning Sheet'!$AT402='Weeks Plan'!$D$6,'Planning Sheet'!$AN402='Weeks Plan'!$G$6),'Planning Sheet'!$B402,"")</f>
        <v/>
      </c>
      <c r="Z397" s="48" t="str">
        <f ca="1">IF(AND('Planning Sheet'!$AT402='Weeks Plan'!$D$6,'Planning Sheet'!$AN402='Weeks Plan'!$G$6),'Planning Sheet'!$AO402,"")</f>
        <v/>
      </c>
      <c r="AA397" s="48" t="str">
        <f ca="1">IF(AND('Planning Sheet'!$AT402='Weeks Plan'!$D$6,'Planning Sheet'!$AN402='Weeks Plan'!$G$6),'Planning Sheet'!AP402,"")</f>
        <v/>
      </c>
    </row>
    <row r="398" spans="25:27" x14ac:dyDescent="0.3">
      <c r="Y398" s="48" t="str">
        <f ca="1">IF(AND('Planning Sheet'!$AT403='Weeks Plan'!$D$6,'Planning Sheet'!$AN403='Weeks Plan'!$G$6),'Planning Sheet'!$B403,"")</f>
        <v/>
      </c>
      <c r="Z398" s="48" t="str">
        <f ca="1">IF(AND('Planning Sheet'!$AT403='Weeks Plan'!$D$6,'Planning Sheet'!$AN403='Weeks Plan'!$G$6),'Planning Sheet'!$AO403,"")</f>
        <v/>
      </c>
      <c r="AA398" s="48" t="str">
        <f ca="1">IF(AND('Planning Sheet'!$AT403='Weeks Plan'!$D$6,'Planning Sheet'!$AN403='Weeks Plan'!$G$6),'Planning Sheet'!AP403,"")</f>
        <v/>
      </c>
    </row>
    <row r="399" spans="25:27" x14ac:dyDescent="0.3">
      <c r="Y399" s="48" t="str">
        <f ca="1">IF(AND('Planning Sheet'!$AT404='Weeks Plan'!$D$6,'Planning Sheet'!$AN404='Weeks Plan'!$G$6),'Planning Sheet'!$B404,"")</f>
        <v/>
      </c>
      <c r="Z399" s="48" t="str">
        <f ca="1">IF(AND('Planning Sheet'!$AT404='Weeks Plan'!$D$6,'Planning Sheet'!$AN404='Weeks Plan'!$G$6),'Planning Sheet'!$AO404,"")</f>
        <v/>
      </c>
      <c r="AA399" s="48" t="str">
        <f ca="1">IF(AND('Planning Sheet'!$AT404='Weeks Plan'!$D$6,'Planning Sheet'!$AN404='Weeks Plan'!$G$6),'Planning Sheet'!AP404,"")</f>
        <v/>
      </c>
    </row>
    <row r="400" spans="25:27" x14ac:dyDescent="0.3">
      <c r="Y400" s="48" t="str">
        <f ca="1">IF(AND('Planning Sheet'!$AT405='Weeks Plan'!$D$6,'Planning Sheet'!$AN405='Weeks Plan'!$G$6),'Planning Sheet'!$B405,"")</f>
        <v/>
      </c>
      <c r="Z400" s="48" t="str">
        <f ca="1">IF(AND('Planning Sheet'!$AT405='Weeks Plan'!$D$6,'Planning Sheet'!$AN405='Weeks Plan'!$G$6),'Planning Sheet'!$AO405,"")</f>
        <v/>
      </c>
      <c r="AA400" s="48" t="str">
        <f ca="1">IF(AND('Planning Sheet'!$AT405='Weeks Plan'!$D$6,'Planning Sheet'!$AN405='Weeks Plan'!$G$6),'Planning Sheet'!AP405,"")</f>
        <v/>
      </c>
    </row>
    <row r="401" spans="25:27" x14ac:dyDescent="0.3">
      <c r="Y401" s="48" t="str">
        <f ca="1">IF(AND('Planning Sheet'!$AT406='Weeks Plan'!$D$6,'Planning Sheet'!$AN406='Weeks Plan'!$G$6),'Planning Sheet'!$B406,"")</f>
        <v/>
      </c>
      <c r="Z401" s="48" t="str">
        <f ca="1">IF(AND('Planning Sheet'!$AT406='Weeks Plan'!$D$6,'Planning Sheet'!$AN406='Weeks Plan'!$G$6),'Planning Sheet'!$AO406,"")</f>
        <v/>
      </c>
      <c r="AA401" s="48" t="str">
        <f ca="1">IF(AND('Planning Sheet'!$AT406='Weeks Plan'!$D$6,'Planning Sheet'!$AN406='Weeks Plan'!$G$6),'Planning Sheet'!AP406,"")</f>
        <v/>
      </c>
    </row>
    <row r="402" spans="25:27" x14ac:dyDescent="0.3">
      <c r="Y402" s="48" t="str">
        <f ca="1">IF(AND('Planning Sheet'!$AT407='Weeks Plan'!$D$6,'Planning Sheet'!$AN407='Weeks Plan'!$G$6),'Planning Sheet'!$B407,"")</f>
        <v/>
      </c>
      <c r="Z402" s="48" t="str">
        <f ca="1">IF(AND('Planning Sheet'!$AT407='Weeks Plan'!$D$6,'Planning Sheet'!$AN407='Weeks Plan'!$G$6),'Planning Sheet'!$AO407,"")</f>
        <v/>
      </c>
      <c r="AA402" s="48" t="str">
        <f ca="1">IF(AND('Planning Sheet'!$AT407='Weeks Plan'!$D$6,'Planning Sheet'!$AN407='Weeks Plan'!$G$6),'Planning Sheet'!AP407,"")</f>
        <v/>
      </c>
    </row>
    <row r="403" spans="25:27" x14ac:dyDescent="0.3">
      <c r="Y403" s="48" t="str">
        <f ca="1">IF(AND('Planning Sheet'!$AT408='Weeks Plan'!$D$6,'Planning Sheet'!$AN408='Weeks Plan'!$G$6),'Planning Sheet'!$B408,"")</f>
        <v/>
      </c>
      <c r="Z403" s="48" t="str">
        <f ca="1">IF(AND('Planning Sheet'!$AT408='Weeks Plan'!$D$6,'Planning Sheet'!$AN408='Weeks Plan'!$G$6),'Planning Sheet'!$AO408,"")</f>
        <v/>
      </c>
      <c r="AA403" s="48" t="str">
        <f ca="1">IF(AND('Planning Sheet'!$AT408='Weeks Plan'!$D$6,'Planning Sheet'!$AN408='Weeks Plan'!$G$6),'Planning Sheet'!AP408,"")</f>
        <v/>
      </c>
    </row>
    <row r="404" spans="25:27" x14ac:dyDescent="0.3">
      <c r="Y404" s="48" t="str">
        <f ca="1">IF(AND('Planning Sheet'!$AT409='Weeks Plan'!$D$6,'Planning Sheet'!$AN409='Weeks Plan'!$G$6),'Planning Sheet'!$B409,"")</f>
        <v/>
      </c>
      <c r="Z404" s="48" t="str">
        <f ca="1">IF(AND('Planning Sheet'!$AT409='Weeks Plan'!$D$6,'Planning Sheet'!$AN409='Weeks Plan'!$G$6),'Planning Sheet'!$AO409,"")</f>
        <v/>
      </c>
      <c r="AA404" s="48" t="str">
        <f ca="1">IF(AND('Planning Sheet'!$AT409='Weeks Plan'!$D$6,'Planning Sheet'!$AN409='Weeks Plan'!$G$6),'Planning Sheet'!AP409,"")</f>
        <v/>
      </c>
    </row>
    <row r="405" spans="25:27" x14ac:dyDescent="0.3">
      <c r="Y405" s="48" t="str">
        <f ca="1">IF(AND('Planning Sheet'!$AT410='Weeks Plan'!$D$6,'Planning Sheet'!$AN410='Weeks Plan'!$G$6),'Planning Sheet'!$B410,"")</f>
        <v/>
      </c>
      <c r="Z405" s="48" t="str">
        <f ca="1">IF(AND('Planning Sheet'!$AT410='Weeks Plan'!$D$6,'Planning Sheet'!$AN410='Weeks Plan'!$G$6),'Planning Sheet'!$AO410,"")</f>
        <v/>
      </c>
      <c r="AA405" s="48" t="str">
        <f ca="1">IF(AND('Planning Sheet'!$AT410='Weeks Plan'!$D$6,'Planning Sheet'!$AN410='Weeks Plan'!$G$6),'Planning Sheet'!AP410,"")</f>
        <v/>
      </c>
    </row>
    <row r="406" spans="25:27" x14ac:dyDescent="0.3">
      <c r="Y406" s="48" t="str">
        <f ca="1">IF(AND('Planning Sheet'!$AT411='Weeks Plan'!$D$6,'Planning Sheet'!$AN411='Weeks Plan'!$G$6),'Planning Sheet'!$B411,"")</f>
        <v/>
      </c>
      <c r="Z406" s="48" t="str">
        <f ca="1">IF(AND('Planning Sheet'!$AT411='Weeks Plan'!$D$6,'Planning Sheet'!$AN411='Weeks Plan'!$G$6),'Planning Sheet'!$AO411,"")</f>
        <v/>
      </c>
      <c r="AA406" s="48" t="str">
        <f ca="1">IF(AND('Planning Sheet'!$AT411='Weeks Plan'!$D$6,'Planning Sheet'!$AN411='Weeks Plan'!$G$6),'Planning Sheet'!AP411,"")</f>
        <v/>
      </c>
    </row>
    <row r="407" spans="25:27" x14ac:dyDescent="0.3">
      <c r="Y407" s="48" t="str">
        <f ca="1">IF(AND('Planning Sheet'!$AT412='Weeks Plan'!$D$6,'Planning Sheet'!$AN412='Weeks Plan'!$G$6),'Planning Sheet'!$B412,"")</f>
        <v/>
      </c>
      <c r="Z407" s="48" t="str">
        <f ca="1">IF(AND('Planning Sheet'!$AT412='Weeks Plan'!$D$6,'Planning Sheet'!$AN412='Weeks Plan'!$G$6),'Planning Sheet'!$AO412,"")</f>
        <v/>
      </c>
      <c r="AA407" s="48" t="str">
        <f ca="1">IF(AND('Planning Sheet'!$AT412='Weeks Plan'!$D$6,'Planning Sheet'!$AN412='Weeks Plan'!$G$6),'Planning Sheet'!AP412,"")</f>
        <v/>
      </c>
    </row>
    <row r="408" spans="25:27" x14ac:dyDescent="0.3">
      <c r="Y408" s="48" t="str">
        <f ca="1">IF(AND('Planning Sheet'!$AT413='Weeks Plan'!$D$6,'Planning Sheet'!$AN413='Weeks Plan'!$G$6),'Planning Sheet'!$B413,"")</f>
        <v/>
      </c>
      <c r="Z408" s="48" t="str">
        <f ca="1">IF(AND('Planning Sheet'!$AT413='Weeks Plan'!$D$6,'Planning Sheet'!$AN413='Weeks Plan'!$G$6),'Planning Sheet'!$AO413,"")</f>
        <v/>
      </c>
      <c r="AA408" s="48" t="str">
        <f ca="1">IF(AND('Planning Sheet'!$AT413='Weeks Plan'!$D$6,'Planning Sheet'!$AN413='Weeks Plan'!$G$6),'Planning Sheet'!AP413,"")</f>
        <v/>
      </c>
    </row>
    <row r="409" spans="25:27" x14ac:dyDescent="0.3">
      <c r="Y409" s="48" t="str">
        <f ca="1">IF(AND('Planning Sheet'!$AT414='Weeks Plan'!$D$6,'Planning Sheet'!$AN414='Weeks Plan'!$G$6),'Planning Sheet'!$B414,"")</f>
        <v/>
      </c>
      <c r="Z409" s="48" t="str">
        <f ca="1">IF(AND('Planning Sheet'!$AT414='Weeks Plan'!$D$6,'Planning Sheet'!$AN414='Weeks Plan'!$G$6),'Planning Sheet'!$AO414,"")</f>
        <v/>
      </c>
      <c r="AA409" s="48" t="str">
        <f ca="1">IF(AND('Planning Sheet'!$AT414='Weeks Plan'!$D$6,'Planning Sheet'!$AN414='Weeks Plan'!$G$6),'Planning Sheet'!AP414,"")</f>
        <v/>
      </c>
    </row>
    <row r="410" spans="25:27" x14ac:dyDescent="0.3">
      <c r="Y410" s="48" t="str">
        <f ca="1">IF(AND('Planning Sheet'!$AT415='Weeks Plan'!$D$6,'Planning Sheet'!$AN415='Weeks Plan'!$G$6),'Planning Sheet'!$B415,"")</f>
        <v/>
      </c>
      <c r="Z410" s="48" t="str">
        <f ca="1">IF(AND('Planning Sheet'!$AT415='Weeks Plan'!$D$6,'Planning Sheet'!$AN415='Weeks Plan'!$G$6),'Planning Sheet'!$AO415,"")</f>
        <v/>
      </c>
      <c r="AA410" s="48" t="str">
        <f ca="1">IF(AND('Planning Sheet'!$AT415='Weeks Plan'!$D$6,'Planning Sheet'!$AN415='Weeks Plan'!$G$6),'Planning Sheet'!AP415,"")</f>
        <v/>
      </c>
    </row>
    <row r="411" spans="25:27" x14ac:dyDescent="0.3">
      <c r="Y411" s="48" t="str">
        <f ca="1">IF(AND('Planning Sheet'!$AT416='Weeks Plan'!$D$6,'Planning Sheet'!$AN416='Weeks Plan'!$G$6),'Planning Sheet'!$B416,"")</f>
        <v/>
      </c>
      <c r="Z411" s="48" t="str">
        <f ca="1">IF(AND('Planning Sheet'!$AT416='Weeks Plan'!$D$6,'Planning Sheet'!$AN416='Weeks Plan'!$G$6),'Planning Sheet'!$AO416,"")</f>
        <v/>
      </c>
      <c r="AA411" s="48" t="str">
        <f ca="1">IF(AND('Planning Sheet'!$AT416='Weeks Plan'!$D$6,'Planning Sheet'!$AN416='Weeks Plan'!$G$6),'Planning Sheet'!AP416,"")</f>
        <v/>
      </c>
    </row>
    <row r="412" spans="25:27" x14ac:dyDescent="0.3">
      <c r="Y412" s="48" t="str">
        <f ca="1">IF(AND('Planning Sheet'!$AT417='Weeks Plan'!$D$6,'Planning Sheet'!$AN417='Weeks Plan'!$G$6),'Planning Sheet'!$B417,"")</f>
        <v/>
      </c>
      <c r="Z412" s="48" t="str">
        <f ca="1">IF(AND('Planning Sheet'!$AT417='Weeks Plan'!$D$6,'Planning Sheet'!$AN417='Weeks Plan'!$G$6),'Planning Sheet'!$AO417,"")</f>
        <v/>
      </c>
      <c r="AA412" s="48" t="str">
        <f ca="1">IF(AND('Planning Sheet'!$AT417='Weeks Plan'!$D$6,'Planning Sheet'!$AN417='Weeks Plan'!$G$6),'Planning Sheet'!AP417,"")</f>
        <v/>
      </c>
    </row>
    <row r="413" spans="25:27" x14ac:dyDescent="0.3">
      <c r="Y413" s="48" t="str">
        <f ca="1">IF(AND('Planning Sheet'!$AT418='Weeks Plan'!$D$6,'Planning Sheet'!$AN418='Weeks Plan'!$G$6),'Planning Sheet'!$B418,"")</f>
        <v/>
      </c>
      <c r="Z413" s="48" t="str">
        <f ca="1">IF(AND('Planning Sheet'!$AT418='Weeks Plan'!$D$6,'Planning Sheet'!$AN418='Weeks Plan'!$G$6),'Planning Sheet'!$AO418,"")</f>
        <v/>
      </c>
      <c r="AA413" s="48" t="str">
        <f ca="1">IF(AND('Planning Sheet'!$AT418='Weeks Plan'!$D$6,'Planning Sheet'!$AN418='Weeks Plan'!$G$6),'Planning Sheet'!AP418,"")</f>
        <v/>
      </c>
    </row>
    <row r="414" spans="25:27" x14ac:dyDescent="0.3">
      <c r="Y414" s="48" t="str">
        <f ca="1">IF(AND('Planning Sheet'!$AT419='Weeks Plan'!$D$6,'Planning Sheet'!$AN419='Weeks Plan'!$G$6),'Planning Sheet'!$B419,"")</f>
        <v/>
      </c>
      <c r="Z414" s="48" t="str">
        <f ca="1">IF(AND('Planning Sheet'!$AT419='Weeks Plan'!$D$6,'Planning Sheet'!$AN419='Weeks Plan'!$G$6),'Planning Sheet'!$AO419,"")</f>
        <v/>
      </c>
      <c r="AA414" s="48" t="str">
        <f ca="1">IF(AND('Planning Sheet'!$AT419='Weeks Plan'!$D$6,'Planning Sheet'!$AN419='Weeks Plan'!$G$6),'Planning Sheet'!AP419,"")</f>
        <v/>
      </c>
    </row>
    <row r="415" spans="25:27" x14ac:dyDescent="0.3">
      <c r="Y415" s="48" t="str">
        <f ca="1">IF(AND('Planning Sheet'!$AT420='Weeks Plan'!$D$6,'Planning Sheet'!$AN420='Weeks Plan'!$G$6),'Planning Sheet'!$B420,"")</f>
        <v/>
      </c>
      <c r="Z415" s="48" t="str">
        <f ca="1">IF(AND('Planning Sheet'!$AT420='Weeks Plan'!$D$6,'Planning Sheet'!$AN420='Weeks Plan'!$G$6),'Planning Sheet'!$AO420,"")</f>
        <v/>
      </c>
      <c r="AA415" s="48" t="str">
        <f ca="1">IF(AND('Planning Sheet'!$AT420='Weeks Plan'!$D$6,'Planning Sheet'!$AN420='Weeks Plan'!$G$6),'Planning Sheet'!AP420,"")</f>
        <v/>
      </c>
    </row>
    <row r="416" spans="25:27" x14ac:dyDescent="0.3">
      <c r="Y416" s="48" t="str">
        <f ca="1">IF(AND('Planning Sheet'!$AT421='Weeks Plan'!$D$6,'Planning Sheet'!$AN421='Weeks Plan'!$G$6),'Planning Sheet'!$B421,"")</f>
        <v/>
      </c>
      <c r="Z416" s="48" t="str">
        <f ca="1">IF(AND('Planning Sheet'!$AT421='Weeks Plan'!$D$6,'Planning Sheet'!$AN421='Weeks Plan'!$G$6),'Planning Sheet'!$AO421,"")</f>
        <v/>
      </c>
      <c r="AA416" s="48" t="str">
        <f ca="1">IF(AND('Planning Sheet'!$AT421='Weeks Plan'!$D$6,'Planning Sheet'!$AN421='Weeks Plan'!$G$6),'Planning Sheet'!AP421,"")</f>
        <v/>
      </c>
    </row>
    <row r="417" spans="25:27" x14ac:dyDescent="0.3">
      <c r="Y417" s="48" t="str">
        <f ca="1">IF(AND('Planning Sheet'!$AT422='Weeks Plan'!$D$6,'Planning Sheet'!$AN422='Weeks Plan'!$G$6),'Planning Sheet'!$B422,"")</f>
        <v/>
      </c>
      <c r="Z417" s="48" t="str">
        <f ca="1">IF(AND('Planning Sheet'!$AT422='Weeks Plan'!$D$6,'Planning Sheet'!$AN422='Weeks Plan'!$G$6),'Planning Sheet'!$AO422,"")</f>
        <v/>
      </c>
      <c r="AA417" s="48" t="str">
        <f ca="1">IF(AND('Planning Sheet'!$AT422='Weeks Plan'!$D$6,'Planning Sheet'!$AN422='Weeks Plan'!$G$6),'Planning Sheet'!AP422,"")</f>
        <v/>
      </c>
    </row>
    <row r="418" spans="25:27" x14ac:dyDescent="0.3">
      <c r="Y418" s="48" t="str">
        <f ca="1">IF(AND('Planning Sheet'!$AT423='Weeks Plan'!$D$6,'Planning Sheet'!$AN423='Weeks Plan'!$G$6),'Planning Sheet'!$B423,"")</f>
        <v/>
      </c>
      <c r="Z418" s="48" t="str">
        <f ca="1">IF(AND('Planning Sheet'!$AT423='Weeks Plan'!$D$6,'Planning Sheet'!$AN423='Weeks Plan'!$G$6),'Planning Sheet'!$AO423,"")</f>
        <v/>
      </c>
      <c r="AA418" s="48" t="str">
        <f ca="1">IF(AND('Planning Sheet'!$AT423='Weeks Plan'!$D$6,'Planning Sheet'!$AN423='Weeks Plan'!$G$6),'Planning Sheet'!AP423,"")</f>
        <v/>
      </c>
    </row>
    <row r="419" spans="25:27" x14ac:dyDescent="0.3">
      <c r="Y419" s="48" t="str">
        <f ca="1">IF(AND('Planning Sheet'!$AT424='Weeks Plan'!$D$6,'Planning Sheet'!$AN424='Weeks Plan'!$G$6),'Planning Sheet'!$B424,"")</f>
        <v/>
      </c>
      <c r="Z419" s="48" t="str">
        <f ca="1">IF(AND('Planning Sheet'!$AT424='Weeks Plan'!$D$6,'Planning Sheet'!$AN424='Weeks Plan'!$G$6),'Planning Sheet'!$AO424,"")</f>
        <v/>
      </c>
      <c r="AA419" s="48" t="str">
        <f ca="1">IF(AND('Planning Sheet'!$AT424='Weeks Plan'!$D$6,'Planning Sheet'!$AN424='Weeks Plan'!$G$6),'Planning Sheet'!AP424,"")</f>
        <v/>
      </c>
    </row>
    <row r="420" spans="25:27" x14ac:dyDescent="0.3">
      <c r="Y420" s="48" t="str">
        <f ca="1">IF(AND('Planning Sheet'!$AT425='Weeks Plan'!$D$6,'Planning Sheet'!$AN425='Weeks Plan'!$G$6),'Planning Sheet'!$B425,"")</f>
        <v/>
      </c>
      <c r="Z420" s="48" t="str">
        <f ca="1">IF(AND('Planning Sheet'!$AT425='Weeks Plan'!$D$6,'Planning Sheet'!$AN425='Weeks Plan'!$G$6),'Planning Sheet'!$AO425,"")</f>
        <v/>
      </c>
      <c r="AA420" s="48" t="str">
        <f ca="1">IF(AND('Planning Sheet'!$AT425='Weeks Plan'!$D$6,'Planning Sheet'!$AN425='Weeks Plan'!$G$6),'Planning Sheet'!AP425,"")</f>
        <v/>
      </c>
    </row>
    <row r="421" spans="25:27" x14ac:dyDescent="0.3">
      <c r="Y421" s="48" t="str">
        <f ca="1">IF(AND('Planning Sheet'!$AT426='Weeks Plan'!$D$6,'Planning Sheet'!$AN426='Weeks Plan'!$G$6),'Planning Sheet'!$B426,"")</f>
        <v/>
      </c>
      <c r="Z421" s="48" t="str">
        <f ca="1">IF(AND('Planning Sheet'!$AT426='Weeks Plan'!$D$6,'Planning Sheet'!$AN426='Weeks Plan'!$G$6),'Planning Sheet'!$AO426,"")</f>
        <v/>
      </c>
      <c r="AA421" s="48" t="str">
        <f ca="1">IF(AND('Planning Sheet'!$AT426='Weeks Plan'!$D$6,'Planning Sheet'!$AN426='Weeks Plan'!$G$6),'Planning Sheet'!AP426,"")</f>
        <v/>
      </c>
    </row>
    <row r="422" spans="25:27" x14ac:dyDescent="0.3">
      <c r="Y422" s="48" t="str">
        <f ca="1">IF(AND('Planning Sheet'!$AT427='Weeks Plan'!$D$6,'Planning Sheet'!$AN427='Weeks Plan'!$G$6),'Planning Sheet'!$B427,"")</f>
        <v/>
      </c>
      <c r="Z422" s="48" t="str">
        <f ca="1">IF(AND('Planning Sheet'!$AT427='Weeks Plan'!$D$6,'Planning Sheet'!$AN427='Weeks Plan'!$G$6),'Planning Sheet'!$AO427,"")</f>
        <v/>
      </c>
      <c r="AA422" s="48" t="str">
        <f ca="1">IF(AND('Planning Sheet'!$AT427='Weeks Plan'!$D$6,'Planning Sheet'!$AN427='Weeks Plan'!$G$6),'Planning Sheet'!AP427,"")</f>
        <v/>
      </c>
    </row>
    <row r="423" spans="25:27" x14ac:dyDescent="0.3">
      <c r="Y423" s="48" t="str">
        <f ca="1">IF(AND('Planning Sheet'!$AT428='Weeks Plan'!$D$6,'Planning Sheet'!$AN428='Weeks Plan'!$G$6),'Planning Sheet'!$B428,"")</f>
        <v/>
      </c>
      <c r="Z423" s="48" t="str">
        <f ca="1">IF(AND('Planning Sheet'!$AT428='Weeks Plan'!$D$6,'Planning Sheet'!$AN428='Weeks Plan'!$G$6),'Planning Sheet'!$AO428,"")</f>
        <v/>
      </c>
      <c r="AA423" s="48" t="str">
        <f ca="1">IF(AND('Planning Sheet'!$AT428='Weeks Plan'!$D$6,'Planning Sheet'!$AN428='Weeks Plan'!$G$6),'Planning Sheet'!AP428,"")</f>
        <v/>
      </c>
    </row>
    <row r="424" spans="25:27" x14ac:dyDescent="0.3">
      <c r="Y424" s="48" t="str">
        <f ca="1">IF(AND('Planning Sheet'!$AT429='Weeks Plan'!$D$6,'Planning Sheet'!$AN429='Weeks Plan'!$G$6),'Planning Sheet'!$B429,"")</f>
        <v/>
      </c>
      <c r="Z424" s="48" t="str">
        <f ca="1">IF(AND('Planning Sheet'!$AT429='Weeks Plan'!$D$6,'Planning Sheet'!$AN429='Weeks Plan'!$G$6),'Planning Sheet'!$AO429,"")</f>
        <v/>
      </c>
      <c r="AA424" s="48" t="str">
        <f ca="1">IF(AND('Planning Sheet'!$AT429='Weeks Plan'!$D$6,'Planning Sheet'!$AN429='Weeks Plan'!$G$6),'Planning Sheet'!AP429,"")</f>
        <v/>
      </c>
    </row>
    <row r="425" spans="25:27" x14ac:dyDescent="0.3">
      <c r="Y425" s="48" t="str">
        <f ca="1">IF(AND('Planning Sheet'!$AT430='Weeks Plan'!$D$6,'Planning Sheet'!$AN430='Weeks Plan'!$G$6),'Planning Sheet'!$B430,"")</f>
        <v/>
      </c>
      <c r="Z425" s="48" t="str">
        <f ca="1">IF(AND('Planning Sheet'!$AT430='Weeks Plan'!$D$6,'Planning Sheet'!$AN430='Weeks Plan'!$G$6),'Planning Sheet'!$AO430,"")</f>
        <v/>
      </c>
      <c r="AA425" s="48" t="str">
        <f ca="1">IF(AND('Planning Sheet'!$AT430='Weeks Plan'!$D$6,'Planning Sheet'!$AN430='Weeks Plan'!$G$6),'Planning Sheet'!AP430,"")</f>
        <v/>
      </c>
    </row>
    <row r="426" spans="25:27" x14ac:dyDescent="0.3">
      <c r="Y426" s="48" t="str">
        <f ca="1">IF(AND('Planning Sheet'!$AT431='Weeks Plan'!$D$6,'Planning Sheet'!$AN431='Weeks Plan'!$G$6),'Planning Sheet'!$B431,"")</f>
        <v/>
      </c>
      <c r="Z426" s="48" t="str">
        <f ca="1">IF(AND('Planning Sheet'!$AT431='Weeks Plan'!$D$6,'Planning Sheet'!$AN431='Weeks Plan'!$G$6),'Planning Sheet'!$AO431,"")</f>
        <v/>
      </c>
      <c r="AA426" s="48" t="str">
        <f ca="1">IF(AND('Planning Sheet'!$AT431='Weeks Plan'!$D$6,'Planning Sheet'!$AN431='Weeks Plan'!$G$6),'Planning Sheet'!AP431,"")</f>
        <v/>
      </c>
    </row>
    <row r="427" spans="25:27" x14ac:dyDescent="0.3">
      <c r="Y427" s="48" t="str">
        <f ca="1">IF(AND('Planning Sheet'!$AT432='Weeks Plan'!$D$6,'Planning Sheet'!$AN432='Weeks Plan'!$G$6),'Planning Sheet'!$B432,"")</f>
        <v/>
      </c>
      <c r="Z427" s="48" t="str">
        <f ca="1">IF(AND('Planning Sheet'!$AT432='Weeks Plan'!$D$6,'Planning Sheet'!$AN432='Weeks Plan'!$G$6),'Planning Sheet'!$AO432,"")</f>
        <v/>
      </c>
      <c r="AA427" s="48" t="str">
        <f ca="1">IF(AND('Planning Sheet'!$AT432='Weeks Plan'!$D$6,'Planning Sheet'!$AN432='Weeks Plan'!$G$6),'Planning Sheet'!AP432,"")</f>
        <v/>
      </c>
    </row>
    <row r="428" spans="25:27" x14ac:dyDescent="0.3">
      <c r="Y428" s="48" t="str">
        <f ca="1">IF(AND('Planning Sheet'!$AT433='Weeks Plan'!$D$6,'Planning Sheet'!$AN433='Weeks Plan'!$G$6),'Planning Sheet'!$B433,"")</f>
        <v/>
      </c>
      <c r="Z428" s="48" t="str">
        <f ca="1">IF(AND('Planning Sheet'!$AT433='Weeks Plan'!$D$6,'Planning Sheet'!$AN433='Weeks Plan'!$G$6),'Planning Sheet'!$AO433,"")</f>
        <v/>
      </c>
      <c r="AA428" s="48" t="str">
        <f ca="1">IF(AND('Planning Sheet'!$AT433='Weeks Plan'!$D$6,'Planning Sheet'!$AN433='Weeks Plan'!$G$6),'Planning Sheet'!AP433,"")</f>
        <v/>
      </c>
    </row>
    <row r="429" spans="25:27" x14ac:dyDescent="0.3">
      <c r="Y429" s="48" t="str">
        <f ca="1">IF(AND('Planning Sheet'!$AT434='Weeks Plan'!$D$6,'Planning Sheet'!$AN434='Weeks Plan'!$G$6),'Planning Sheet'!$B434,"")</f>
        <v/>
      </c>
      <c r="Z429" s="48" t="str">
        <f ca="1">IF(AND('Planning Sheet'!$AT434='Weeks Plan'!$D$6,'Planning Sheet'!$AN434='Weeks Plan'!$G$6),'Planning Sheet'!$AO434,"")</f>
        <v/>
      </c>
      <c r="AA429" s="48" t="str">
        <f ca="1">IF(AND('Planning Sheet'!$AT434='Weeks Plan'!$D$6,'Planning Sheet'!$AN434='Weeks Plan'!$G$6),'Planning Sheet'!AP434,"")</f>
        <v/>
      </c>
    </row>
    <row r="430" spans="25:27" x14ac:dyDescent="0.3">
      <c r="Y430" s="48" t="str">
        <f ca="1">IF(AND('Planning Sheet'!$AT435='Weeks Plan'!$D$6,'Planning Sheet'!$AN435='Weeks Plan'!$G$6),'Planning Sheet'!$B435,"")</f>
        <v/>
      </c>
      <c r="Z430" s="48" t="str">
        <f ca="1">IF(AND('Planning Sheet'!$AT435='Weeks Plan'!$D$6,'Planning Sheet'!$AN435='Weeks Plan'!$G$6),'Planning Sheet'!$AO435,"")</f>
        <v/>
      </c>
      <c r="AA430" s="48" t="str">
        <f ca="1">IF(AND('Planning Sheet'!$AT435='Weeks Plan'!$D$6,'Planning Sheet'!$AN435='Weeks Plan'!$G$6),'Planning Sheet'!AP435,"")</f>
        <v/>
      </c>
    </row>
    <row r="431" spans="25:27" x14ac:dyDescent="0.3">
      <c r="Y431" s="48" t="str">
        <f ca="1">IF(AND('Planning Sheet'!$AT436='Weeks Plan'!$D$6,'Planning Sheet'!$AN436='Weeks Plan'!$G$6),'Planning Sheet'!$B436,"")</f>
        <v/>
      </c>
      <c r="Z431" s="48" t="str">
        <f ca="1">IF(AND('Planning Sheet'!$AT436='Weeks Plan'!$D$6,'Planning Sheet'!$AN436='Weeks Plan'!$G$6),'Planning Sheet'!$AO436,"")</f>
        <v/>
      </c>
      <c r="AA431" s="48" t="str">
        <f ca="1">IF(AND('Planning Sheet'!$AT436='Weeks Plan'!$D$6,'Planning Sheet'!$AN436='Weeks Plan'!$G$6),'Planning Sheet'!AP436,"")</f>
        <v/>
      </c>
    </row>
    <row r="432" spans="25:27" x14ac:dyDescent="0.3">
      <c r="Y432" s="48" t="str">
        <f ca="1">IF(AND('Planning Sheet'!$AT437='Weeks Plan'!$D$6,'Planning Sheet'!$AN437='Weeks Plan'!$G$6),'Planning Sheet'!$B437,"")</f>
        <v/>
      </c>
      <c r="Z432" s="48" t="str">
        <f ca="1">IF(AND('Planning Sheet'!$AT437='Weeks Plan'!$D$6,'Planning Sheet'!$AN437='Weeks Plan'!$G$6),'Planning Sheet'!$AO437,"")</f>
        <v/>
      </c>
      <c r="AA432" s="48" t="str">
        <f ca="1">IF(AND('Planning Sheet'!$AT437='Weeks Plan'!$D$6,'Planning Sheet'!$AN437='Weeks Plan'!$G$6),'Planning Sheet'!AP437,"")</f>
        <v/>
      </c>
    </row>
    <row r="433" spans="25:27" x14ac:dyDescent="0.3">
      <c r="Y433" s="48" t="str">
        <f ca="1">IF(AND('Planning Sheet'!$AT438='Weeks Plan'!$D$6,'Planning Sheet'!$AN438='Weeks Plan'!$G$6),'Planning Sheet'!$B438,"")</f>
        <v/>
      </c>
      <c r="Z433" s="48" t="str">
        <f ca="1">IF(AND('Planning Sheet'!$AT438='Weeks Plan'!$D$6,'Planning Sheet'!$AN438='Weeks Plan'!$G$6),'Planning Sheet'!$AO438,"")</f>
        <v/>
      </c>
      <c r="AA433" s="48" t="str">
        <f ca="1">IF(AND('Planning Sheet'!$AT438='Weeks Plan'!$D$6,'Planning Sheet'!$AN438='Weeks Plan'!$G$6),'Planning Sheet'!AP438,"")</f>
        <v/>
      </c>
    </row>
    <row r="434" spans="25:27" x14ac:dyDescent="0.3">
      <c r="Y434" s="48" t="str">
        <f ca="1">IF(AND('Planning Sheet'!$AT439='Weeks Plan'!$D$6,'Planning Sheet'!$AN439='Weeks Plan'!$G$6),'Planning Sheet'!$B439,"")</f>
        <v/>
      </c>
      <c r="Z434" s="48" t="str">
        <f ca="1">IF(AND('Planning Sheet'!$AT439='Weeks Plan'!$D$6,'Planning Sheet'!$AN439='Weeks Plan'!$G$6),'Planning Sheet'!$AO439,"")</f>
        <v/>
      </c>
      <c r="AA434" s="48" t="str">
        <f ca="1">IF(AND('Planning Sheet'!$AT439='Weeks Plan'!$D$6,'Planning Sheet'!$AN439='Weeks Plan'!$G$6),'Planning Sheet'!AP439,"")</f>
        <v/>
      </c>
    </row>
    <row r="435" spans="25:27" x14ac:dyDescent="0.3">
      <c r="Y435" s="48" t="str">
        <f ca="1">IF(AND('Planning Sheet'!$AT440='Weeks Plan'!$D$6,'Planning Sheet'!$AN440='Weeks Plan'!$G$6),'Planning Sheet'!$B440,"")</f>
        <v/>
      </c>
      <c r="Z435" s="48" t="str">
        <f ca="1">IF(AND('Planning Sheet'!$AT440='Weeks Plan'!$D$6,'Planning Sheet'!$AN440='Weeks Plan'!$G$6),'Planning Sheet'!$AO440,"")</f>
        <v/>
      </c>
      <c r="AA435" s="48" t="str">
        <f ca="1">IF(AND('Planning Sheet'!$AT440='Weeks Plan'!$D$6,'Planning Sheet'!$AN440='Weeks Plan'!$G$6),'Planning Sheet'!AP440,"")</f>
        <v/>
      </c>
    </row>
    <row r="436" spans="25:27" x14ac:dyDescent="0.3">
      <c r="Y436" s="48" t="str">
        <f ca="1">IF(AND('Planning Sheet'!$AT441='Weeks Plan'!$D$6,'Planning Sheet'!$AN441='Weeks Plan'!$G$6),'Planning Sheet'!$B441,"")</f>
        <v/>
      </c>
      <c r="Z436" s="48" t="str">
        <f ca="1">IF(AND('Planning Sheet'!$AT441='Weeks Plan'!$D$6,'Planning Sheet'!$AN441='Weeks Plan'!$G$6),'Planning Sheet'!$AO441,"")</f>
        <v/>
      </c>
      <c r="AA436" s="48" t="str">
        <f ca="1">IF(AND('Planning Sheet'!$AT441='Weeks Plan'!$D$6,'Planning Sheet'!$AN441='Weeks Plan'!$G$6),'Planning Sheet'!AP441,"")</f>
        <v/>
      </c>
    </row>
    <row r="437" spans="25:27" x14ac:dyDescent="0.3">
      <c r="Y437" s="48" t="str">
        <f ca="1">IF(AND('Planning Sheet'!$AT442='Weeks Plan'!$D$6,'Planning Sheet'!$AN442='Weeks Plan'!$G$6),'Planning Sheet'!$B442,"")</f>
        <v/>
      </c>
      <c r="Z437" s="48" t="str">
        <f ca="1">IF(AND('Planning Sheet'!$AT442='Weeks Plan'!$D$6,'Planning Sheet'!$AN442='Weeks Plan'!$G$6),'Planning Sheet'!$AO442,"")</f>
        <v/>
      </c>
      <c r="AA437" s="48" t="str">
        <f ca="1">IF(AND('Planning Sheet'!$AT442='Weeks Plan'!$D$6,'Planning Sheet'!$AN442='Weeks Plan'!$G$6),'Planning Sheet'!AP442,"")</f>
        <v/>
      </c>
    </row>
    <row r="438" spans="25:27" x14ac:dyDescent="0.3">
      <c r="Y438" s="48" t="str">
        <f ca="1">IF(AND('Planning Sheet'!$AT443='Weeks Plan'!$D$6,'Planning Sheet'!$AN443='Weeks Plan'!$G$6),'Planning Sheet'!$B443,"")</f>
        <v/>
      </c>
      <c r="Z438" s="48" t="str">
        <f ca="1">IF(AND('Planning Sheet'!$AT443='Weeks Plan'!$D$6,'Planning Sheet'!$AN443='Weeks Plan'!$G$6),'Planning Sheet'!$AO443,"")</f>
        <v/>
      </c>
      <c r="AA438" s="48" t="str">
        <f ca="1">IF(AND('Planning Sheet'!$AT443='Weeks Plan'!$D$6,'Planning Sheet'!$AN443='Weeks Plan'!$G$6),'Planning Sheet'!AP443,"")</f>
        <v/>
      </c>
    </row>
    <row r="439" spans="25:27" x14ac:dyDescent="0.3">
      <c r="Y439" s="48" t="str">
        <f ca="1">IF(AND('Planning Sheet'!$AT444='Weeks Plan'!$D$6,'Planning Sheet'!$AN444='Weeks Plan'!$G$6),'Planning Sheet'!$B444,"")</f>
        <v/>
      </c>
      <c r="Z439" s="48" t="str">
        <f ca="1">IF(AND('Planning Sheet'!$AT444='Weeks Plan'!$D$6,'Planning Sheet'!$AN444='Weeks Plan'!$G$6),'Planning Sheet'!$AO444,"")</f>
        <v/>
      </c>
      <c r="AA439" s="48" t="str">
        <f ca="1">IF(AND('Planning Sheet'!$AT444='Weeks Plan'!$D$6,'Planning Sheet'!$AN444='Weeks Plan'!$G$6),'Planning Sheet'!AP444,"")</f>
        <v/>
      </c>
    </row>
    <row r="440" spans="25:27" x14ac:dyDescent="0.3">
      <c r="Y440" s="48" t="str">
        <f ca="1">IF(AND('Planning Sheet'!$AT445='Weeks Plan'!$D$6,'Planning Sheet'!$AN445='Weeks Plan'!$G$6),'Planning Sheet'!$B445,"")</f>
        <v/>
      </c>
      <c r="Z440" s="48" t="str">
        <f ca="1">IF(AND('Planning Sheet'!$AT445='Weeks Plan'!$D$6,'Planning Sheet'!$AN445='Weeks Plan'!$G$6),'Planning Sheet'!$AO445,"")</f>
        <v/>
      </c>
      <c r="AA440" s="48" t="str">
        <f ca="1">IF(AND('Planning Sheet'!$AT445='Weeks Plan'!$D$6,'Planning Sheet'!$AN445='Weeks Plan'!$G$6),'Planning Sheet'!AP445,"")</f>
        <v/>
      </c>
    </row>
    <row r="441" spans="25:27" x14ac:dyDescent="0.3">
      <c r="Y441" s="48" t="str">
        <f ca="1">IF(AND('Planning Sheet'!$AT446='Weeks Plan'!$D$6,'Planning Sheet'!$AN446='Weeks Plan'!$G$6),'Planning Sheet'!$B446,"")</f>
        <v/>
      </c>
      <c r="Z441" s="48" t="str">
        <f ca="1">IF(AND('Planning Sheet'!$AT446='Weeks Plan'!$D$6,'Planning Sheet'!$AN446='Weeks Plan'!$G$6),'Planning Sheet'!$AO446,"")</f>
        <v/>
      </c>
      <c r="AA441" s="48" t="str">
        <f ca="1">IF(AND('Planning Sheet'!$AT446='Weeks Plan'!$D$6,'Planning Sheet'!$AN446='Weeks Plan'!$G$6),'Planning Sheet'!AP446,"")</f>
        <v/>
      </c>
    </row>
    <row r="442" spans="25:27" x14ac:dyDescent="0.3">
      <c r="Y442" s="48" t="str">
        <f ca="1">IF(AND('Planning Sheet'!$AT447='Weeks Plan'!$D$6,'Planning Sheet'!$AN447='Weeks Plan'!$G$6),'Planning Sheet'!$B447,"")</f>
        <v/>
      </c>
      <c r="Z442" s="48" t="str">
        <f ca="1">IF(AND('Planning Sheet'!$AT447='Weeks Plan'!$D$6,'Planning Sheet'!$AN447='Weeks Plan'!$G$6),'Planning Sheet'!$AO447,"")</f>
        <v/>
      </c>
      <c r="AA442" s="48" t="str">
        <f ca="1">IF(AND('Planning Sheet'!$AT447='Weeks Plan'!$D$6,'Planning Sheet'!$AN447='Weeks Plan'!$G$6),'Planning Sheet'!AP447,"")</f>
        <v/>
      </c>
    </row>
    <row r="443" spans="25:27" x14ac:dyDescent="0.3">
      <c r="Y443" s="48" t="str">
        <f ca="1">IF(AND('Planning Sheet'!$AT448='Weeks Plan'!$D$6,'Planning Sheet'!$AN448='Weeks Plan'!$G$6),'Planning Sheet'!$B448,"")</f>
        <v/>
      </c>
      <c r="Z443" s="48" t="str">
        <f ca="1">IF(AND('Planning Sheet'!$AT448='Weeks Plan'!$D$6,'Planning Sheet'!$AN448='Weeks Plan'!$G$6),'Planning Sheet'!$AO448,"")</f>
        <v/>
      </c>
      <c r="AA443" s="48" t="str">
        <f ca="1">IF(AND('Planning Sheet'!$AT448='Weeks Plan'!$D$6,'Planning Sheet'!$AN448='Weeks Plan'!$G$6),'Planning Sheet'!AP448,"")</f>
        <v/>
      </c>
    </row>
    <row r="444" spans="25:27" x14ac:dyDescent="0.3">
      <c r="Y444" s="48" t="str">
        <f ca="1">IF(AND('Planning Sheet'!$AT449='Weeks Plan'!$D$6,'Planning Sheet'!$AN449='Weeks Plan'!$G$6),'Planning Sheet'!$B449,"")</f>
        <v/>
      </c>
      <c r="Z444" s="48" t="str">
        <f ca="1">IF(AND('Planning Sheet'!$AT449='Weeks Plan'!$D$6,'Planning Sheet'!$AN449='Weeks Plan'!$G$6),'Planning Sheet'!$AO449,"")</f>
        <v/>
      </c>
      <c r="AA444" s="48" t="str">
        <f ca="1">IF(AND('Planning Sheet'!$AT449='Weeks Plan'!$D$6,'Planning Sheet'!$AN449='Weeks Plan'!$G$6),'Planning Sheet'!AP449,"")</f>
        <v/>
      </c>
    </row>
    <row r="445" spans="25:27" x14ac:dyDescent="0.3">
      <c r="Y445" s="48" t="str">
        <f ca="1">IF(AND('Planning Sheet'!$AT450='Weeks Plan'!$D$6,'Planning Sheet'!$AN450='Weeks Plan'!$G$6),'Planning Sheet'!$B450,"")</f>
        <v/>
      </c>
      <c r="Z445" s="48" t="str">
        <f ca="1">IF(AND('Planning Sheet'!$AT450='Weeks Plan'!$D$6,'Planning Sheet'!$AN450='Weeks Plan'!$G$6),'Planning Sheet'!$AO450,"")</f>
        <v/>
      </c>
      <c r="AA445" s="48" t="str">
        <f ca="1">IF(AND('Planning Sheet'!$AT450='Weeks Plan'!$D$6,'Planning Sheet'!$AN450='Weeks Plan'!$G$6),'Planning Sheet'!AP450,"")</f>
        <v/>
      </c>
    </row>
    <row r="446" spans="25:27" x14ac:dyDescent="0.3">
      <c r="Y446" s="48" t="str">
        <f ca="1">IF(AND('Planning Sheet'!$AT451='Weeks Plan'!$D$6,'Planning Sheet'!$AN451='Weeks Plan'!$G$6),'Planning Sheet'!$B451,"")</f>
        <v/>
      </c>
      <c r="Z446" s="48" t="str">
        <f ca="1">IF(AND('Planning Sheet'!$AT451='Weeks Plan'!$D$6,'Planning Sheet'!$AN451='Weeks Plan'!$G$6),'Planning Sheet'!$AO451,"")</f>
        <v/>
      </c>
      <c r="AA446" s="48" t="str">
        <f ca="1">IF(AND('Planning Sheet'!$AT451='Weeks Plan'!$D$6,'Planning Sheet'!$AN451='Weeks Plan'!$G$6),'Planning Sheet'!AP451,"")</f>
        <v/>
      </c>
    </row>
    <row r="447" spans="25:27" x14ac:dyDescent="0.3">
      <c r="Y447" s="48" t="str">
        <f ca="1">IF(AND('Planning Sheet'!$AT452='Weeks Plan'!$D$6,'Planning Sheet'!$AN452='Weeks Plan'!$G$6),'Planning Sheet'!$B452,"")</f>
        <v/>
      </c>
      <c r="Z447" s="48" t="str">
        <f ca="1">IF(AND('Planning Sheet'!$AT452='Weeks Plan'!$D$6,'Planning Sheet'!$AN452='Weeks Plan'!$G$6),'Planning Sheet'!$AO452,"")</f>
        <v/>
      </c>
      <c r="AA447" s="48" t="str">
        <f ca="1">IF(AND('Planning Sheet'!$AT452='Weeks Plan'!$D$6,'Planning Sheet'!$AN452='Weeks Plan'!$G$6),'Planning Sheet'!AP452,"")</f>
        <v/>
      </c>
    </row>
    <row r="448" spans="25:27" x14ac:dyDescent="0.3">
      <c r="Y448" s="48" t="str">
        <f ca="1">IF(AND('Planning Sheet'!$AT453='Weeks Plan'!$D$6,'Planning Sheet'!$AN453='Weeks Plan'!$G$6),'Planning Sheet'!$B453,"")</f>
        <v/>
      </c>
      <c r="Z448" s="48" t="str">
        <f ca="1">IF(AND('Planning Sheet'!$AT453='Weeks Plan'!$D$6,'Planning Sheet'!$AN453='Weeks Plan'!$G$6),'Planning Sheet'!$AO453,"")</f>
        <v/>
      </c>
      <c r="AA448" s="48" t="str">
        <f ca="1">IF(AND('Planning Sheet'!$AT453='Weeks Plan'!$D$6,'Planning Sheet'!$AN453='Weeks Plan'!$G$6),'Planning Sheet'!AP453,"")</f>
        <v/>
      </c>
    </row>
    <row r="449" spans="25:27" x14ac:dyDescent="0.3">
      <c r="Y449" s="48" t="str">
        <f ca="1">IF(AND('Planning Sheet'!$AT454='Weeks Plan'!$D$6,'Planning Sheet'!$AN454='Weeks Plan'!$G$6),'Planning Sheet'!$B454,"")</f>
        <v/>
      </c>
      <c r="Z449" s="48" t="str">
        <f ca="1">IF(AND('Planning Sheet'!$AT454='Weeks Plan'!$D$6,'Planning Sheet'!$AN454='Weeks Plan'!$G$6),'Planning Sheet'!$AO454,"")</f>
        <v/>
      </c>
      <c r="AA449" s="48" t="str">
        <f ca="1">IF(AND('Planning Sheet'!$AT454='Weeks Plan'!$D$6,'Planning Sheet'!$AN454='Weeks Plan'!$G$6),'Planning Sheet'!AP454,"")</f>
        <v/>
      </c>
    </row>
    <row r="450" spans="25:27" x14ac:dyDescent="0.3">
      <c r="Y450" s="48" t="str">
        <f ca="1">IF(AND('Planning Sheet'!$AT455='Weeks Plan'!$D$6,'Planning Sheet'!$AN455='Weeks Plan'!$G$6),'Planning Sheet'!$B455,"")</f>
        <v/>
      </c>
      <c r="Z450" s="48" t="str">
        <f ca="1">IF(AND('Planning Sheet'!$AT455='Weeks Plan'!$D$6,'Planning Sheet'!$AN455='Weeks Plan'!$G$6),'Planning Sheet'!$AO455,"")</f>
        <v/>
      </c>
      <c r="AA450" s="48" t="str">
        <f ca="1">IF(AND('Planning Sheet'!$AT455='Weeks Plan'!$D$6,'Planning Sheet'!$AN455='Weeks Plan'!$G$6),'Planning Sheet'!AP455,"")</f>
        <v/>
      </c>
    </row>
    <row r="451" spans="25:27" x14ac:dyDescent="0.3">
      <c r="Y451" s="48" t="str">
        <f ca="1">IF(AND('Planning Sheet'!$AT456='Weeks Plan'!$D$6,'Planning Sheet'!$AN456='Weeks Plan'!$G$6),'Planning Sheet'!$B456,"")</f>
        <v/>
      </c>
      <c r="Z451" s="48" t="str">
        <f ca="1">IF(AND('Planning Sheet'!$AT456='Weeks Plan'!$D$6,'Planning Sheet'!$AN456='Weeks Plan'!$G$6),'Planning Sheet'!$AO456,"")</f>
        <v/>
      </c>
      <c r="AA451" s="48" t="str">
        <f ca="1">IF(AND('Planning Sheet'!$AT456='Weeks Plan'!$D$6,'Planning Sheet'!$AN456='Weeks Plan'!$G$6),'Planning Sheet'!AP456,"")</f>
        <v/>
      </c>
    </row>
    <row r="452" spans="25:27" x14ac:dyDescent="0.3">
      <c r="Y452" s="48" t="str">
        <f ca="1">IF(AND('Planning Sheet'!$AT457='Weeks Plan'!$D$6,'Planning Sheet'!$AN457='Weeks Plan'!$G$6),'Planning Sheet'!$B457,"")</f>
        <v/>
      </c>
      <c r="Z452" s="48" t="str">
        <f ca="1">IF(AND('Planning Sheet'!$AT457='Weeks Plan'!$D$6,'Planning Sheet'!$AN457='Weeks Plan'!$G$6),'Planning Sheet'!$AO457,"")</f>
        <v/>
      </c>
      <c r="AA452" s="48" t="str">
        <f ca="1">IF(AND('Planning Sheet'!$AT457='Weeks Plan'!$D$6,'Planning Sheet'!$AN457='Weeks Plan'!$G$6),'Planning Sheet'!AP457,"")</f>
        <v/>
      </c>
    </row>
    <row r="453" spans="25:27" x14ac:dyDescent="0.3">
      <c r="Y453" s="48" t="str">
        <f ca="1">IF(AND('Planning Sheet'!$AT458='Weeks Plan'!$D$6,'Planning Sheet'!$AN458='Weeks Plan'!$G$6),'Planning Sheet'!$B458,"")</f>
        <v/>
      </c>
      <c r="Z453" s="48" t="str">
        <f ca="1">IF(AND('Planning Sheet'!$AT458='Weeks Plan'!$D$6,'Planning Sheet'!$AN458='Weeks Plan'!$G$6),'Planning Sheet'!$AO458,"")</f>
        <v/>
      </c>
      <c r="AA453" s="48" t="str">
        <f ca="1">IF(AND('Planning Sheet'!$AT458='Weeks Plan'!$D$6,'Planning Sheet'!$AN458='Weeks Plan'!$G$6),'Planning Sheet'!AP458,"")</f>
        <v/>
      </c>
    </row>
    <row r="454" spans="25:27" x14ac:dyDescent="0.3">
      <c r="Y454" s="48" t="str">
        <f ca="1">IF(AND('Planning Sheet'!$AT459='Weeks Plan'!$D$6,'Planning Sheet'!$AN459='Weeks Plan'!$G$6),'Planning Sheet'!$B459,"")</f>
        <v/>
      </c>
      <c r="Z454" s="48" t="str">
        <f ca="1">IF(AND('Planning Sheet'!$AT459='Weeks Plan'!$D$6,'Planning Sheet'!$AN459='Weeks Plan'!$G$6),'Planning Sheet'!$AO459,"")</f>
        <v/>
      </c>
      <c r="AA454" s="48" t="str">
        <f ca="1">IF(AND('Planning Sheet'!$AT459='Weeks Plan'!$D$6,'Planning Sheet'!$AN459='Weeks Plan'!$G$6),'Planning Sheet'!AP459,"")</f>
        <v/>
      </c>
    </row>
    <row r="455" spans="25:27" x14ac:dyDescent="0.3">
      <c r="Y455" s="48" t="str">
        <f ca="1">IF(AND('Planning Sheet'!$AT460='Weeks Plan'!$D$6,'Planning Sheet'!$AN460='Weeks Plan'!$G$6),'Planning Sheet'!$B460,"")</f>
        <v/>
      </c>
      <c r="Z455" s="48" t="str">
        <f ca="1">IF(AND('Planning Sheet'!$AT460='Weeks Plan'!$D$6,'Planning Sheet'!$AN460='Weeks Plan'!$G$6),'Planning Sheet'!$AO460,"")</f>
        <v/>
      </c>
      <c r="AA455" s="48" t="str">
        <f ca="1">IF(AND('Planning Sheet'!$AT460='Weeks Plan'!$D$6,'Planning Sheet'!$AN460='Weeks Plan'!$G$6),'Planning Sheet'!AP460,"")</f>
        <v/>
      </c>
    </row>
    <row r="456" spans="25:27" x14ac:dyDescent="0.3">
      <c r="Y456" s="48" t="str">
        <f ca="1">IF(AND('Planning Sheet'!$AT461='Weeks Plan'!$D$6,'Planning Sheet'!$AN461='Weeks Plan'!$G$6),'Planning Sheet'!$B461,"")</f>
        <v/>
      </c>
      <c r="Z456" s="48" t="str">
        <f ca="1">IF(AND('Planning Sheet'!$AT461='Weeks Plan'!$D$6,'Planning Sheet'!$AN461='Weeks Plan'!$G$6),'Planning Sheet'!$AO461,"")</f>
        <v/>
      </c>
      <c r="AA456" s="48" t="str">
        <f ca="1">IF(AND('Planning Sheet'!$AT461='Weeks Plan'!$D$6,'Planning Sheet'!$AN461='Weeks Plan'!$G$6),'Planning Sheet'!AP461,"")</f>
        <v/>
      </c>
    </row>
    <row r="457" spans="25:27" x14ac:dyDescent="0.3">
      <c r="Y457" s="48" t="str">
        <f ca="1">IF(AND('Planning Sheet'!$AT462='Weeks Plan'!$D$6,'Planning Sheet'!$AN462='Weeks Plan'!$G$6),'Planning Sheet'!$B462,"")</f>
        <v/>
      </c>
      <c r="Z457" s="48" t="str">
        <f ca="1">IF(AND('Planning Sheet'!$AT462='Weeks Plan'!$D$6,'Planning Sheet'!$AN462='Weeks Plan'!$G$6),'Planning Sheet'!$AO462,"")</f>
        <v/>
      </c>
      <c r="AA457" s="48" t="str">
        <f ca="1">IF(AND('Planning Sheet'!$AT462='Weeks Plan'!$D$6,'Planning Sheet'!$AN462='Weeks Plan'!$G$6),'Planning Sheet'!AP462,"")</f>
        <v/>
      </c>
    </row>
    <row r="458" spans="25:27" x14ac:dyDescent="0.3">
      <c r="Y458" s="48" t="str">
        <f ca="1">IF(AND('Planning Sheet'!$AT463='Weeks Plan'!$D$6,'Planning Sheet'!$AN463='Weeks Plan'!$G$6),'Planning Sheet'!$B463,"")</f>
        <v/>
      </c>
      <c r="Z458" s="48" t="str">
        <f ca="1">IF(AND('Planning Sheet'!$AT463='Weeks Plan'!$D$6,'Planning Sheet'!$AN463='Weeks Plan'!$G$6),'Planning Sheet'!$AO463,"")</f>
        <v/>
      </c>
      <c r="AA458" s="48" t="str">
        <f ca="1">IF(AND('Planning Sheet'!$AT463='Weeks Plan'!$D$6,'Planning Sheet'!$AN463='Weeks Plan'!$G$6),'Planning Sheet'!AP463,"")</f>
        <v/>
      </c>
    </row>
    <row r="459" spans="25:27" x14ac:dyDescent="0.3">
      <c r="Y459" s="48" t="str">
        <f ca="1">IF(AND('Planning Sheet'!$AT464='Weeks Plan'!$D$6,'Planning Sheet'!$AN464='Weeks Plan'!$G$6),'Planning Sheet'!$B464,"")</f>
        <v/>
      </c>
      <c r="Z459" s="48" t="str">
        <f ca="1">IF(AND('Planning Sheet'!$AT464='Weeks Plan'!$D$6,'Planning Sheet'!$AN464='Weeks Plan'!$G$6),'Planning Sheet'!$AO464,"")</f>
        <v/>
      </c>
      <c r="AA459" s="48" t="str">
        <f ca="1">IF(AND('Planning Sheet'!$AT464='Weeks Plan'!$D$6,'Planning Sheet'!$AN464='Weeks Plan'!$G$6),'Planning Sheet'!AP464,"")</f>
        <v/>
      </c>
    </row>
    <row r="460" spans="25:27" x14ac:dyDescent="0.3">
      <c r="Y460" s="48" t="str">
        <f ca="1">IF(AND('Planning Sheet'!$AT465='Weeks Plan'!$D$6,'Planning Sheet'!$AN465='Weeks Plan'!$G$6),'Planning Sheet'!$B465,"")</f>
        <v/>
      </c>
      <c r="Z460" s="48" t="str">
        <f ca="1">IF(AND('Planning Sheet'!$AT465='Weeks Plan'!$D$6,'Planning Sheet'!$AN465='Weeks Plan'!$G$6),'Planning Sheet'!$AO465,"")</f>
        <v/>
      </c>
      <c r="AA460" s="48" t="str">
        <f ca="1">IF(AND('Planning Sheet'!$AT465='Weeks Plan'!$D$6,'Planning Sheet'!$AN465='Weeks Plan'!$G$6),'Planning Sheet'!AP465,"")</f>
        <v/>
      </c>
    </row>
    <row r="461" spans="25:27" x14ac:dyDescent="0.3">
      <c r="Y461" s="48" t="str">
        <f ca="1">IF(AND('Planning Sheet'!$AT466='Weeks Plan'!$D$6,'Planning Sheet'!$AN466='Weeks Plan'!$G$6),'Planning Sheet'!$B466,"")</f>
        <v/>
      </c>
      <c r="Z461" s="48" t="str">
        <f ca="1">IF(AND('Planning Sheet'!$AT466='Weeks Plan'!$D$6,'Planning Sheet'!$AN466='Weeks Plan'!$G$6),'Planning Sheet'!$AO466,"")</f>
        <v/>
      </c>
      <c r="AA461" s="48" t="str">
        <f ca="1">IF(AND('Planning Sheet'!$AT466='Weeks Plan'!$D$6,'Planning Sheet'!$AN466='Weeks Plan'!$G$6),'Planning Sheet'!AP466,"")</f>
        <v/>
      </c>
    </row>
    <row r="462" spans="25:27" x14ac:dyDescent="0.3">
      <c r="Y462" s="48" t="str">
        <f ca="1">IF(AND('Planning Sheet'!$AT467='Weeks Plan'!$D$6,'Planning Sheet'!$AN467='Weeks Plan'!$G$6),'Planning Sheet'!$B467,"")</f>
        <v/>
      </c>
      <c r="Z462" s="48" t="str">
        <f ca="1">IF(AND('Planning Sheet'!$AT467='Weeks Plan'!$D$6,'Planning Sheet'!$AN467='Weeks Plan'!$G$6),'Planning Sheet'!$AO467,"")</f>
        <v/>
      </c>
      <c r="AA462" s="48" t="str">
        <f ca="1">IF(AND('Planning Sheet'!$AT467='Weeks Plan'!$D$6,'Planning Sheet'!$AN467='Weeks Plan'!$G$6),'Planning Sheet'!AP467,"")</f>
        <v/>
      </c>
    </row>
    <row r="463" spans="25:27" x14ac:dyDescent="0.3">
      <c r="Y463" s="48" t="str">
        <f ca="1">IF(AND('Planning Sheet'!$AT468='Weeks Plan'!$D$6,'Planning Sheet'!$AN468='Weeks Plan'!$G$6),'Planning Sheet'!$B468,"")</f>
        <v/>
      </c>
      <c r="Z463" s="48" t="str">
        <f ca="1">IF(AND('Planning Sheet'!$AT468='Weeks Plan'!$D$6,'Planning Sheet'!$AN468='Weeks Plan'!$G$6),'Planning Sheet'!$AO468,"")</f>
        <v/>
      </c>
      <c r="AA463" s="48" t="str">
        <f ca="1">IF(AND('Planning Sheet'!$AT468='Weeks Plan'!$D$6,'Planning Sheet'!$AN468='Weeks Plan'!$G$6),'Planning Sheet'!AP468,"")</f>
        <v/>
      </c>
    </row>
    <row r="464" spans="25:27" x14ac:dyDescent="0.3">
      <c r="Y464" s="48" t="str">
        <f ca="1">IF(AND('Planning Sheet'!$AT469='Weeks Plan'!$D$6,'Planning Sheet'!$AN469='Weeks Plan'!$G$6),'Planning Sheet'!$B469,"")</f>
        <v/>
      </c>
      <c r="Z464" s="48" t="str">
        <f ca="1">IF(AND('Planning Sheet'!$AT469='Weeks Plan'!$D$6,'Planning Sheet'!$AN469='Weeks Plan'!$G$6),'Planning Sheet'!$AO469,"")</f>
        <v/>
      </c>
      <c r="AA464" s="48" t="str">
        <f ca="1">IF(AND('Planning Sheet'!$AT469='Weeks Plan'!$D$6,'Planning Sheet'!$AN469='Weeks Plan'!$G$6),'Planning Sheet'!AP469,"")</f>
        <v/>
      </c>
    </row>
    <row r="465" spans="25:27" x14ac:dyDescent="0.3">
      <c r="Y465" s="48" t="str">
        <f ca="1">IF(AND('Planning Sheet'!$AT470='Weeks Plan'!$D$6,'Planning Sheet'!$AN470='Weeks Plan'!$G$6),'Planning Sheet'!$B470,"")</f>
        <v/>
      </c>
      <c r="Z465" s="48" t="str">
        <f ca="1">IF(AND('Planning Sheet'!$AT470='Weeks Plan'!$D$6,'Planning Sheet'!$AN470='Weeks Plan'!$G$6),'Planning Sheet'!$AO470,"")</f>
        <v/>
      </c>
      <c r="AA465" s="48" t="str">
        <f ca="1">IF(AND('Planning Sheet'!$AT470='Weeks Plan'!$D$6,'Planning Sheet'!$AN470='Weeks Plan'!$G$6),'Planning Sheet'!AP470,"")</f>
        <v/>
      </c>
    </row>
    <row r="466" spans="25:27" x14ac:dyDescent="0.3">
      <c r="Y466" s="48" t="str">
        <f ca="1">IF(AND('Planning Sheet'!$AT471='Weeks Plan'!$D$6,'Planning Sheet'!$AN471='Weeks Plan'!$G$6),'Planning Sheet'!$B471,"")</f>
        <v/>
      </c>
      <c r="Z466" s="48" t="str">
        <f ca="1">IF(AND('Planning Sheet'!$AT471='Weeks Plan'!$D$6,'Planning Sheet'!$AN471='Weeks Plan'!$G$6),'Planning Sheet'!$AO471,"")</f>
        <v/>
      </c>
      <c r="AA466" s="48" t="str">
        <f ca="1">IF(AND('Planning Sheet'!$AT471='Weeks Plan'!$D$6,'Planning Sheet'!$AN471='Weeks Plan'!$G$6),'Planning Sheet'!AP471,"")</f>
        <v/>
      </c>
    </row>
    <row r="467" spans="25:27" x14ac:dyDescent="0.3">
      <c r="Y467" s="48" t="str">
        <f ca="1">IF(AND('Planning Sheet'!$AT472='Weeks Plan'!$D$6,'Planning Sheet'!$AN472='Weeks Plan'!$G$6),'Planning Sheet'!$B472,"")</f>
        <v/>
      </c>
      <c r="Z467" s="48" t="str">
        <f ca="1">IF(AND('Planning Sheet'!$AT472='Weeks Plan'!$D$6,'Planning Sheet'!$AN472='Weeks Plan'!$G$6),'Planning Sheet'!$AO472,"")</f>
        <v/>
      </c>
      <c r="AA467" s="48" t="str">
        <f ca="1">IF(AND('Planning Sheet'!$AT472='Weeks Plan'!$D$6,'Planning Sheet'!$AN472='Weeks Plan'!$G$6),'Planning Sheet'!AP472,"")</f>
        <v/>
      </c>
    </row>
    <row r="468" spans="25:27" x14ac:dyDescent="0.3">
      <c r="Y468" s="48" t="str">
        <f ca="1">IF(AND('Planning Sheet'!$AT473='Weeks Plan'!$D$6,'Planning Sheet'!$AN473='Weeks Plan'!$G$6),'Planning Sheet'!$B473,"")</f>
        <v/>
      </c>
      <c r="Z468" s="48" t="str">
        <f ca="1">IF(AND('Planning Sheet'!$AT473='Weeks Plan'!$D$6,'Planning Sheet'!$AN473='Weeks Plan'!$G$6),'Planning Sheet'!$AO473,"")</f>
        <v/>
      </c>
      <c r="AA468" s="48" t="str">
        <f ca="1">IF(AND('Planning Sheet'!$AT473='Weeks Plan'!$D$6,'Planning Sheet'!$AN473='Weeks Plan'!$G$6),'Planning Sheet'!AP473,"")</f>
        <v/>
      </c>
    </row>
    <row r="469" spans="25:27" x14ac:dyDescent="0.3">
      <c r="Y469" s="48" t="str">
        <f ca="1">IF(AND('Planning Sheet'!$AT474='Weeks Plan'!$D$6,'Planning Sheet'!$AN474='Weeks Plan'!$G$6),'Planning Sheet'!$B474,"")</f>
        <v/>
      </c>
      <c r="Z469" s="48" t="str">
        <f ca="1">IF(AND('Planning Sheet'!$AT474='Weeks Plan'!$D$6,'Planning Sheet'!$AN474='Weeks Plan'!$G$6),'Planning Sheet'!$AO474,"")</f>
        <v/>
      </c>
      <c r="AA469" s="48" t="str">
        <f ca="1">IF(AND('Planning Sheet'!$AT474='Weeks Plan'!$D$6,'Planning Sheet'!$AN474='Weeks Plan'!$G$6),'Planning Sheet'!AP474,"")</f>
        <v/>
      </c>
    </row>
    <row r="470" spans="25:27" x14ac:dyDescent="0.3">
      <c r="Y470" s="48" t="str">
        <f ca="1">IF(AND('Planning Sheet'!$AT475='Weeks Plan'!$D$6,'Planning Sheet'!$AN475='Weeks Plan'!$G$6),'Planning Sheet'!$B475,"")</f>
        <v/>
      </c>
      <c r="Z470" s="48" t="str">
        <f ca="1">IF(AND('Planning Sheet'!$AT475='Weeks Plan'!$D$6,'Planning Sheet'!$AN475='Weeks Plan'!$G$6),'Planning Sheet'!$AO475,"")</f>
        <v/>
      </c>
      <c r="AA470" s="48" t="str">
        <f ca="1">IF(AND('Planning Sheet'!$AT475='Weeks Plan'!$D$6,'Planning Sheet'!$AN475='Weeks Plan'!$G$6),'Planning Sheet'!AP475,"")</f>
        <v/>
      </c>
    </row>
    <row r="471" spans="25:27" x14ac:dyDescent="0.3">
      <c r="Y471" s="48" t="str">
        <f ca="1">IF(AND('Planning Sheet'!$AT476='Weeks Plan'!$D$6,'Planning Sheet'!$AN476='Weeks Plan'!$G$6),'Planning Sheet'!$B476,"")</f>
        <v/>
      </c>
      <c r="Z471" s="48" t="str">
        <f ca="1">IF(AND('Planning Sheet'!$AT476='Weeks Plan'!$D$6,'Planning Sheet'!$AN476='Weeks Plan'!$G$6),'Planning Sheet'!$AO476,"")</f>
        <v/>
      </c>
      <c r="AA471" s="48" t="str">
        <f ca="1">IF(AND('Planning Sheet'!$AT476='Weeks Plan'!$D$6,'Planning Sheet'!$AN476='Weeks Plan'!$G$6),'Planning Sheet'!AP476,"")</f>
        <v/>
      </c>
    </row>
    <row r="472" spans="25:27" x14ac:dyDescent="0.3">
      <c r="Y472" s="48" t="str">
        <f ca="1">IF(AND('Planning Sheet'!$AT477='Weeks Plan'!$D$6,'Planning Sheet'!$AN477='Weeks Plan'!$G$6),'Planning Sheet'!$B477,"")</f>
        <v/>
      </c>
      <c r="Z472" s="48" t="str">
        <f ca="1">IF(AND('Planning Sheet'!$AT477='Weeks Plan'!$D$6,'Planning Sheet'!$AN477='Weeks Plan'!$G$6),'Planning Sheet'!$AO477,"")</f>
        <v/>
      </c>
      <c r="AA472" s="48" t="str">
        <f ca="1">IF(AND('Planning Sheet'!$AT477='Weeks Plan'!$D$6,'Planning Sheet'!$AN477='Weeks Plan'!$G$6),'Planning Sheet'!AP477,"")</f>
        <v/>
      </c>
    </row>
    <row r="473" spans="25:27" x14ac:dyDescent="0.3">
      <c r="Y473" s="48" t="str">
        <f ca="1">IF(AND('Planning Sheet'!$AT478='Weeks Plan'!$D$6,'Planning Sheet'!$AN478='Weeks Plan'!$G$6),'Planning Sheet'!$B478,"")</f>
        <v/>
      </c>
      <c r="Z473" s="48" t="str">
        <f ca="1">IF(AND('Planning Sheet'!$AT478='Weeks Plan'!$D$6,'Planning Sheet'!$AN478='Weeks Plan'!$G$6),'Planning Sheet'!$AO478,"")</f>
        <v/>
      </c>
      <c r="AA473" s="48" t="str">
        <f ca="1">IF(AND('Planning Sheet'!$AT478='Weeks Plan'!$D$6,'Planning Sheet'!$AN478='Weeks Plan'!$G$6),'Planning Sheet'!AP478,"")</f>
        <v/>
      </c>
    </row>
    <row r="474" spans="25:27" x14ac:dyDescent="0.3">
      <c r="Y474" s="48" t="str">
        <f ca="1">IF(AND('Planning Sheet'!$AT479='Weeks Plan'!$D$6,'Planning Sheet'!$AN479='Weeks Plan'!$G$6),'Planning Sheet'!$B479,"")</f>
        <v/>
      </c>
      <c r="Z474" s="48" t="str">
        <f ca="1">IF(AND('Planning Sheet'!$AT479='Weeks Plan'!$D$6,'Planning Sheet'!$AN479='Weeks Plan'!$G$6),'Planning Sheet'!$AO479,"")</f>
        <v/>
      </c>
      <c r="AA474" s="48" t="str">
        <f ca="1">IF(AND('Planning Sheet'!$AT479='Weeks Plan'!$D$6,'Planning Sheet'!$AN479='Weeks Plan'!$G$6),'Planning Sheet'!AP479,"")</f>
        <v/>
      </c>
    </row>
    <row r="475" spans="25:27" x14ac:dyDescent="0.3">
      <c r="Y475" s="48" t="str">
        <f ca="1">IF(AND('Planning Sheet'!$AT480='Weeks Plan'!$D$6,'Planning Sheet'!$AN480='Weeks Plan'!$G$6),'Planning Sheet'!$B480,"")</f>
        <v/>
      </c>
      <c r="Z475" s="48" t="str">
        <f ca="1">IF(AND('Planning Sheet'!$AT480='Weeks Plan'!$D$6,'Planning Sheet'!$AN480='Weeks Plan'!$G$6),'Planning Sheet'!$AO480,"")</f>
        <v/>
      </c>
      <c r="AA475" s="48" t="str">
        <f ca="1">IF(AND('Planning Sheet'!$AT480='Weeks Plan'!$D$6,'Planning Sheet'!$AN480='Weeks Plan'!$G$6),'Planning Sheet'!AP480,"")</f>
        <v/>
      </c>
    </row>
    <row r="476" spans="25:27" x14ac:dyDescent="0.3">
      <c r="Y476" s="48" t="str">
        <f ca="1">IF(AND('Planning Sheet'!$AT481='Weeks Plan'!$D$6,'Planning Sheet'!$AN481='Weeks Plan'!$G$6),'Planning Sheet'!$B481,"")</f>
        <v/>
      </c>
      <c r="Z476" s="48" t="str">
        <f ca="1">IF(AND('Planning Sheet'!$AT481='Weeks Plan'!$D$6,'Planning Sheet'!$AN481='Weeks Plan'!$G$6),'Planning Sheet'!$AO481,"")</f>
        <v/>
      </c>
      <c r="AA476" s="48" t="str">
        <f ca="1">IF(AND('Planning Sheet'!$AT481='Weeks Plan'!$D$6,'Planning Sheet'!$AN481='Weeks Plan'!$G$6),'Planning Sheet'!AP481,"")</f>
        <v/>
      </c>
    </row>
    <row r="477" spans="25:27" x14ac:dyDescent="0.3">
      <c r="Y477" s="48" t="str">
        <f ca="1">IF(AND('Planning Sheet'!$AT482='Weeks Plan'!$D$6,'Planning Sheet'!$AN482='Weeks Plan'!$G$6),'Planning Sheet'!$B482,"")</f>
        <v/>
      </c>
      <c r="Z477" s="48" t="str">
        <f ca="1">IF(AND('Planning Sheet'!$AT482='Weeks Plan'!$D$6,'Planning Sheet'!$AN482='Weeks Plan'!$G$6),'Planning Sheet'!$AO482,"")</f>
        <v/>
      </c>
      <c r="AA477" s="48" t="str">
        <f ca="1">IF(AND('Planning Sheet'!$AT482='Weeks Plan'!$D$6,'Planning Sheet'!$AN482='Weeks Plan'!$G$6),'Planning Sheet'!AP482,"")</f>
        <v/>
      </c>
    </row>
    <row r="478" spans="25:27" x14ac:dyDescent="0.3">
      <c r="Y478" s="48" t="str">
        <f ca="1">IF(AND('Planning Sheet'!$AT483='Weeks Plan'!$D$6,'Planning Sheet'!$AN483='Weeks Plan'!$G$6),'Planning Sheet'!$B483,"")</f>
        <v/>
      </c>
      <c r="Z478" s="48" t="str">
        <f ca="1">IF(AND('Planning Sheet'!$AT483='Weeks Plan'!$D$6,'Planning Sheet'!$AN483='Weeks Plan'!$G$6),'Planning Sheet'!$AO483,"")</f>
        <v/>
      </c>
      <c r="AA478" s="48" t="str">
        <f ca="1">IF(AND('Planning Sheet'!$AT483='Weeks Plan'!$D$6,'Planning Sheet'!$AN483='Weeks Plan'!$G$6),'Planning Sheet'!AP483,"")</f>
        <v/>
      </c>
    </row>
    <row r="479" spans="25:27" x14ac:dyDescent="0.3">
      <c r="Y479" s="48" t="str">
        <f ca="1">IF(AND('Planning Sheet'!$AT484='Weeks Plan'!$D$6,'Planning Sheet'!$AN484='Weeks Plan'!$G$6),'Planning Sheet'!$B484,"")</f>
        <v/>
      </c>
      <c r="Z479" s="48" t="str">
        <f ca="1">IF(AND('Planning Sheet'!$AT484='Weeks Plan'!$D$6,'Planning Sheet'!$AN484='Weeks Plan'!$G$6),'Planning Sheet'!$AO484,"")</f>
        <v/>
      </c>
      <c r="AA479" s="48" t="str">
        <f ca="1">IF(AND('Planning Sheet'!$AT484='Weeks Plan'!$D$6,'Planning Sheet'!$AN484='Weeks Plan'!$G$6),'Planning Sheet'!AP484,"")</f>
        <v/>
      </c>
    </row>
    <row r="480" spans="25:27" x14ac:dyDescent="0.3">
      <c r="Y480" s="48" t="str">
        <f ca="1">IF(AND('Planning Sheet'!$AT485='Weeks Plan'!$D$6,'Planning Sheet'!$AN485='Weeks Plan'!$G$6),'Planning Sheet'!$B485,"")</f>
        <v/>
      </c>
      <c r="Z480" s="48" t="str">
        <f ca="1">IF(AND('Planning Sheet'!$AT485='Weeks Plan'!$D$6,'Planning Sheet'!$AN485='Weeks Plan'!$G$6),'Planning Sheet'!$AO485,"")</f>
        <v/>
      </c>
      <c r="AA480" s="48" t="str">
        <f ca="1">IF(AND('Planning Sheet'!$AT485='Weeks Plan'!$D$6,'Planning Sheet'!$AN485='Weeks Plan'!$G$6),'Planning Sheet'!AP485,"")</f>
        <v/>
      </c>
    </row>
    <row r="481" spans="25:27" x14ac:dyDescent="0.3">
      <c r="Y481" s="48" t="str">
        <f ca="1">IF(AND('Planning Sheet'!$AT486='Weeks Plan'!$D$6,'Planning Sheet'!$AN486='Weeks Plan'!$G$6),'Planning Sheet'!$B486,"")</f>
        <v/>
      </c>
      <c r="Z481" s="48" t="str">
        <f ca="1">IF(AND('Planning Sheet'!$AT486='Weeks Plan'!$D$6,'Planning Sheet'!$AN486='Weeks Plan'!$G$6),'Planning Sheet'!$AO486,"")</f>
        <v/>
      </c>
      <c r="AA481" s="48" t="str">
        <f ca="1">IF(AND('Planning Sheet'!$AT486='Weeks Plan'!$D$6,'Planning Sheet'!$AN486='Weeks Plan'!$G$6),'Planning Sheet'!AP486,"")</f>
        <v/>
      </c>
    </row>
    <row r="482" spans="25:27" x14ac:dyDescent="0.3">
      <c r="Y482" s="48" t="str">
        <f ca="1">IF(AND('Planning Sheet'!$AT487='Weeks Plan'!$D$6,'Planning Sheet'!$AN487='Weeks Plan'!$G$6),'Planning Sheet'!$B487,"")</f>
        <v/>
      </c>
      <c r="Z482" s="48" t="str">
        <f ca="1">IF(AND('Planning Sheet'!$AT487='Weeks Plan'!$D$6,'Planning Sheet'!$AN487='Weeks Plan'!$G$6),'Planning Sheet'!$AO487,"")</f>
        <v/>
      </c>
      <c r="AA482" s="48" t="str">
        <f ca="1">IF(AND('Planning Sheet'!$AT487='Weeks Plan'!$D$6,'Planning Sheet'!$AN487='Weeks Plan'!$G$6),'Planning Sheet'!AP487,"")</f>
        <v/>
      </c>
    </row>
    <row r="483" spans="25:27" x14ac:dyDescent="0.3">
      <c r="Y483" s="48" t="str">
        <f ca="1">IF(AND('Planning Sheet'!$AT488='Weeks Plan'!$D$6,'Planning Sheet'!$AN488='Weeks Plan'!$G$6),'Planning Sheet'!$B488,"")</f>
        <v/>
      </c>
      <c r="Z483" s="48" t="str">
        <f ca="1">IF(AND('Planning Sheet'!$AT488='Weeks Plan'!$D$6,'Planning Sheet'!$AN488='Weeks Plan'!$G$6),'Planning Sheet'!$AO488,"")</f>
        <v/>
      </c>
      <c r="AA483" s="48" t="str">
        <f ca="1">IF(AND('Planning Sheet'!$AT488='Weeks Plan'!$D$6,'Planning Sheet'!$AN488='Weeks Plan'!$G$6),'Planning Sheet'!AP488,"")</f>
        <v/>
      </c>
    </row>
    <row r="484" spans="25:27" x14ac:dyDescent="0.3">
      <c r="Y484" s="48" t="str">
        <f ca="1">IF(AND('Planning Sheet'!$AT489='Weeks Plan'!$D$6,'Planning Sheet'!$AN489='Weeks Plan'!$G$6),'Planning Sheet'!$B489,"")</f>
        <v/>
      </c>
      <c r="Z484" s="48" t="str">
        <f ca="1">IF(AND('Planning Sheet'!$AT489='Weeks Plan'!$D$6,'Planning Sheet'!$AN489='Weeks Plan'!$G$6),'Planning Sheet'!$AO489,"")</f>
        <v/>
      </c>
      <c r="AA484" s="48" t="str">
        <f ca="1">IF(AND('Planning Sheet'!$AT489='Weeks Plan'!$D$6,'Planning Sheet'!$AN489='Weeks Plan'!$G$6),'Planning Sheet'!AP489,"")</f>
        <v/>
      </c>
    </row>
    <row r="485" spans="25:27" x14ac:dyDescent="0.3">
      <c r="Y485" s="48" t="str">
        <f ca="1">IF(AND('Planning Sheet'!$AT490='Weeks Plan'!$D$6,'Planning Sheet'!$AN490='Weeks Plan'!$G$6),'Planning Sheet'!$B490,"")</f>
        <v/>
      </c>
      <c r="Z485" s="48" t="str">
        <f ca="1">IF(AND('Planning Sheet'!$AT490='Weeks Plan'!$D$6,'Planning Sheet'!$AN490='Weeks Plan'!$G$6),'Planning Sheet'!$AO490,"")</f>
        <v/>
      </c>
      <c r="AA485" s="48" t="str">
        <f ca="1">IF(AND('Planning Sheet'!$AT490='Weeks Plan'!$D$6,'Planning Sheet'!$AN490='Weeks Plan'!$G$6),'Planning Sheet'!AP490,"")</f>
        <v/>
      </c>
    </row>
    <row r="486" spans="25:27" x14ac:dyDescent="0.3">
      <c r="Y486" s="48" t="str">
        <f ca="1">IF(AND('Planning Sheet'!$AT491='Weeks Plan'!$D$6,'Planning Sheet'!$AN491='Weeks Plan'!$G$6),'Planning Sheet'!$B491,"")</f>
        <v/>
      </c>
      <c r="Z486" s="48" t="str">
        <f ca="1">IF(AND('Planning Sheet'!$AT491='Weeks Plan'!$D$6,'Planning Sheet'!$AN491='Weeks Plan'!$G$6),'Planning Sheet'!$AO491,"")</f>
        <v/>
      </c>
      <c r="AA486" s="48" t="str">
        <f ca="1">IF(AND('Planning Sheet'!$AT491='Weeks Plan'!$D$6,'Planning Sheet'!$AN491='Weeks Plan'!$G$6),'Planning Sheet'!AP491,"")</f>
        <v/>
      </c>
    </row>
    <row r="487" spans="25:27" x14ac:dyDescent="0.3">
      <c r="Y487" s="48" t="str">
        <f ca="1">IF(AND('Planning Sheet'!$AT492='Weeks Plan'!$D$6,'Planning Sheet'!$AN492='Weeks Plan'!$G$6),'Planning Sheet'!$B492,"")</f>
        <v/>
      </c>
      <c r="Z487" s="48" t="str">
        <f ca="1">IF(AND('Planning Sheet'!$AT492='Weeks Plan'!$D$6,'Planning Sheet'!$AN492='Weeks Plan'!$G$6),'Planning Sheet'!$AO492,"")</f>
        <v/>
      </c>
      <c r="AA487" s="48" t="str">
        <f ca="1">IF(AND('Planning Sheet'!$AT492='Weeks Plan'!$D$6,'Planning Sheet'!$AN492='Weeks Plan'!$G$6),'Planning Sheet'!AP492,"")</f>
        <v/>
      </c>
    </row>
    <row r="488" spans="25:27" x14ac:dyDescent="0.3">
      <c r="Y488" s="48" t="str">
        <f ca="1">IF(AND('Planning Sheet'!$AT493='Weeks Plan'!$D$6,'Planning Sheet'!$AN493='Weeks Plan'!$G$6),'Planning Sheet'!$B493,"")</f>
        <v/>
      </c>
      <c r="Z488" s="48" t="str">
        <f ca="1">IF(AND('Planning Sheet'!$AT493='Weeks Plan'!$D$6,'Planning Sheet'!$AN493='Weeks Plan'!$G$6),'Planning Sheet'!$AO493,"")</f>
        <v/>
      </c>
      <c r="AA488" s="48" t="str">
        <f ca="1">IF(AND('Planning Sheet'!$AT493='Weeks Plan'!$D$6,'Planning Sheet'!$AN493='Weeks Plan'!$G$6),'Planning Sheet'!AP493,"")</f>
        <v/>
      </c>
    </row>
    <row r="489" spans="25:27" x14ac:dyDescent="0.3">
      <c r="Y489" s="48" t="str">
        <f ca="1">IF(AND('Planning Sheet'!$AT494='Weeks Plan'!$D$6,'Planning Sheet'!$AN494='Weeks Plan'!$G$6),'Planning Sheet'!$B494,"")</f>
        <v/>
      </c>
      <c r="Z489" s="48" t="str">
        <f ca="1">IF(AND('Planning Sheet'!$AT494='Weeks Plan'!$D$6,'Planning Sheet'!$AN494='Weeks Plan'!$G$6),'Planning Sheet'!$AO494,"")</f>
        <v/>
      </c>
      <c r="AA489" s="48" t="str">
        <f ca="1">IF(AND('Planning Sheet'!$AT494='Weeks Plan'!$D$6,'Planning Sheet'!$AN494='Weeks Plan'!$G$6),'Planning Sheet'!AP494,"")</f>
        <v/>
      </c>
    </row>
    <row r="490" spans="25:27" x14ac:dyDescent="0.3">
      <c r="Y490" s="48" t="str">
        <f ca="1">IF(AND('Planning Sheet'!$AT495='Weeks Plan'!$D$6,'Planning Sheet'!$AN495='Weeks Plan'!$G$6),'Planning Sheet'!$B495,"")</f>
        <v/>
      </c>
      <c r="Z490" s="48" t="str">
        <f ca="1">IF(AND('Planning Sheet'!$AT495='Weeks Plan'!$D$6,'Planning Sheet'!$AN495='Weeks Plan'!$G$6),'Planning Sheet'!$AO495,"")</f>
        <v/>
      </c>
      <c r="AA490" s="48" t="str">
        <f ca="1">IF(AND('Planning Sheet'!$AT495='Weeks Plan'!$D$6,'Planning Sheet'!$AN495='Weeks Plan'!$G$6),'Planning Sheet'!AP495,"")</f>
        <v/>
      </c>
    </row>
    <row r="491" spans="25:27" x14ac:dyDescent="0.3">
      <c r="Y491" s="48" t="str">
        <f ca="1">IF(AND('Planning Sheet'!$AT496='Weeks Plan'!$D$6,'Planning Sheet'!$AN496='Weeks Plan'!$G$6),'Planning Sheet'!$B496,"")</f>
        <v/>
      </c>
      <c r="Z491" s="48" t="str">
        <f ca="1">IF(AND('Planning Sheet'!$AT496='Weeks Plan'!$D$6,'Planning Sheet'!$AN496='Weeks Plan'!$G$6),'Planning Sheet'!$AO496,"")</f>
        <v/>
      </c>
      <c r="AA491" s="48" t="str">
        <f ca="1">IF(AND('Planning Sheet'!$AT496='Weeks Plan'!$D$6,'Planning Sheet'!$AN496='Weeks Plan'!$G$6),'Planning Sheet'!AP496,"")</f>
        <v/>
      </c>
    </row>
    <row r="492" spans="25:27" x14ac:dyDescent="0.3">
      <c r="Y492" s="48" t="str">
        <f ca="1">IF(AND('Planning Sheet'!$AT497='Weeks Plan'!$D$6,'Planning Sheet'!$AN497='Weeks Plan'!$G$6),'Planning Sheet'!$B497,"")</f>
        <v/>
      </c>
      <c r="Z492" s="48" t="str">
        <f ca="1">IF(AND('Planning Sheet'!$AT497='Weeks Plan'!$D$6,'Planning Sheet'!$AN497='Weeks Plan'!$G$6),'Planning Sheet'!$AO497,"")</f>
        <v/>
      </c>
      <c r="AA492" s="48" t="str">
        <f ca="1">IF(AND('Planning Sheet'!$AT497='Weeks Plan'!$D$6,'Planning Sheet'!$AN497='Weeks Plan'!$G$6),'Planning Sheet'!AP497,"")</f>
        <v/>
      </c>
    </row>
    <row r="493" spans="25:27" x14ac:dyDescent="0.3">
      <c r="Y493" s="48" t="str">
        <f ca="1">IF(AND('Planning Sheet'!$AT498='Weeks Plan'!$D$6,'Planning Sheet'!$AN498='Weeks Plan'!$G$6),'Planning Sheet'!$B498,"")</f>
        <v/>
      </c>
      <c r="Z493" s="48" t="str">
        <f ca="1">IF(AND('Planning Sheet'!$AT498='Weeks Plan'!$D$6,'Planning Sheet'!$AN498='Weeks Plan'!$G$6),'Planning Sheet'!$AO498,"")</f>
        <v/>
      </c>
      <c r="AA493" s="48" t="str">
        <f ca="1">IF(AND('Planning Sheet'!$AT498='Weeks Plan'!$D$6,'Planning Sheet'!$AN498='Weeks Plan'!$G$6),'Planning Sheet'!AP498,"")</f>
        <v/>
      </c>
    </row>
    <row r="494" spans="25:27" x14ac:dyDescent="0.3">
      <c r="Y494" s="48" t="str">
        <f ca="1">IF(AND('Planning Sheet'!$AT499='Weeks Plan'!$D$6,'Planning Sheet'!$AN499='Weeks Plan'!$G$6),'Planning Sheet'!$B499,"")</f>
        <v/>
      </c>
      <c r="Z494" s="48" t="str">
        <f ca="1">IF(AND('Planning Sheet'!$AT499='Weeks Plan'!$D$6,'Planning Sheet'!$AN499='Weeks Plan'!$G$6),'Planning Sheet'!$AO499,"")</f>
        <v/>
      </c>
      <c r="AA494" s="48" t="str">
        <f ca="1">IF(AND('Planning Sheet'!$AT499='Weeks Plan'!$D$6,'Planning Sheet'!$AN499='Weeks Plan'!$G$6),'Planning Sheet'!AP499,"")</f>
        <v/>
      </c>
    </row>
    <row r="495" spans="25:27" x14ac:dyDescent="0.3">
      <c r="Y495" s="48" t="str">
        <f ca="1">IF(AND('Planning Sheet'!$AT500='Weeks Plan'!$D$6,'Planning Sheet'!$AN500='Weeks Plan'!$G$6),'Planning Sheet'!$B500,"")</f>
        <v/>
      </c>
      <c r="Z495" s="48" t="str">
        <f ca="1">IF(AND('Planning Sheet'!$AT500='Weeks Plan'!$D$6,'Planning Sheet'!$AN500='Weeks Plan'!$G$6),'Planning Sheet'!$AO500,"")</f>
        <v/>
      </c>
      <c r="AA495" s="48" t="str">
        <f ca="1">IF(AND('Planning Sheet'!$AT500='Weeks Plan'!$D$6,'Planning Sheet'!$AN500='Weeks Plan'!$G$6),'Planning Sheet'!AP500,"")</f>
        <v/>
      </c>
    </row>
    <row r="496" spans="25:27" x14ac:dyDescent="0.3">
      <c r="Y496" s="48"/>
      <c r="AA496" s="8"/>
    </row>
    <row r="497" spans="25:27" x14ac:dyDescent="0.3">
      <c r="Y497" s="47" t="str">
        <f ca="1">IF(AND('Planning Sheet'!BA8='Weeks Plan'!$D$6,'Planning Sheet'!AU8='Weeks Plan'!$G$6),'Planning Sheet'!$B8,"")</f>
        <v/>
      </c>
      <c r="Z497" s="47" t="str">
        <f ca="1">IF(AND('Planning Sheet'!BA8='Weeks Plan'!$D$6,'Planning Sheet'!AU8='Weeks Plan'!$G$6),'Planning Sheet'!AV8,"")</f>
        <v/>
      </c>
      <c r="AA497" s="48" t="str">
        <f ca="1">IF(AND('Planning Sheet'!BA8='Weeks Plan'!$D$6,'Planning Sheet'!AU8='Weeks Plan'!$G$6),'Planning Sheet'!AW8,"")</f>
        <v/>
      </c>
    </row>
    <row r="498" spans="25:27" x14ac:dyDescent="0.3">
      <c r="Y498" s="48" t="str">
        <f ca="1">IF(AND('Planning Sheet'!BA9='Weeks Plan'!$D$6,'Planning Sheet'!AU9='Weeks Plan'!$G$6),'Planning Sheet'!$B9,"")</f>
        <v/>
      </c>
      <c r="Z498" s="48" t="str">
        <f ca="1">IF(AND('Planning Sheet'!BA9='Weeks Plan'!$D$6,'Planning Sheet'!AU9='Weeks Plan'!$G$6),'Planning Sheet'!$AV9,"")</f>
        <v/>
      </c>
      <c r="AA498" s="48" t="str">
        <f ca="1">IF(AND('Planning Sheet'!BA9='Weeks Plan'!$D$6,'Planning Sheet'!AU9='Weeks Plan'!$G$6),'Planning Sheet'!AW9,"")</f>
        <v/>
      </c>
    </row>
    <row r="499" spans="25:27" x14ac:dyDescent="0.3">
      <c r="Y499" s="48" t="str">
        <f ca="1">IF(AND('Planning Sheet'!BA10='Weeks Plan'!$D$6,'Planning Sheet'!AU10='Weeks Plan'!$G$6),'Planning Sheet'!$B10,"")</f>
        <v/>
      </c>
      <c r="Z499" s="48" t="str">
        <f ca="1">IF(AND('Planning Sheet'!BA10='Weeks Plan'!$D$6,'Planning Sheet'!AU10='Weeks Plan'!$G$6),'Planning Sheet'!$AV10,"")</f>
        <v/>
      </c>
      <c r="AA499" s="48" t="str">
        <f ca="1">IF(AND('Planning Sheet'!BA10='Weeks Plan'!$D$6,'Planning Sheet'!AU10='Weeks Plan'!$G$6),'Planning Sheet'!AW10,"")</f>
        <v/>
      </c>
    </row>
    <row r="500" spans="25:27" x14ac:dyDescent="0.3">
      <c r="Y500" s="48" t="str">
        <f ca="1">IF(AND('Planning Sheet'!BA11='Weeks Plan'!$D$6,'Planning Sheet'!AU11='Weeks Plan'!$G$6),'Planning Sheet'!$B11,"")</f>
        <v/>
      </c>
      <c r="Z500" s="48" t="str">
        <f ca="1">IF(AND('Planning Sheet'!BA11='Weeks Plan'!$D$6,'Planning Sheet'!AU11='Weeks Plan'!$G$6),'Planning Sheet'!$AV11,"")</f>
        <v/>
      </c>
      <c r="AA500" s="48" t="str">
        <f ca="1">IF(AND('Planning Sheet'!BA11='Weeks Plan'!$D$6,'Planning Sheet'!AU11='Weeks Plan'!$G$6),'Planning Sheet'!AW11,"")</f>
        <v/>
      </c>
    </row>
    <row r="501" spans="25:27" x14ac:dyDescent="0.3">
      <c r="Y501" s="48" t="str">
        <f ca="1">IF(AND('Planning Sheet'!BA12='Weeks Plan'!$D$6,'Planning Sheet'!AU12='Weeks Plan'!$G$6),'Planning Sheet'!$B12,"")</f>
        <v/>
      </c>
      <c r="Z501" s="48" t="str">
        <f ca="1">IF(AND('Planning Sheet'!BA12='Weeks Plan'!$D$6,'Planning Sheet'!AU12='Weeks Plan'!$G$6),'Planning Sheet'!$AV12,"")</f>
        <v/>
      </c>
      <c r="AA501" s="48" t="str">
        <f ca="1">IF(AND('Planning Sheet'!BA12='Weeks Plan'!$D$6,'Planning Sheet'!AU12='Weeks Plan'!$G$6),'Planning Sheet'!AW12,"")</f>
        <v/>
      </c>
    </row>
    <row r="502" spans="25:27" x14ac:dyDescent="0.3">
      <c r="Y502" s="48" t="str">
        <f ca="1">IF(AND('Planning Sheet'!BA13='Weeks Plan'!$D$6,'Planning Sheet'!AU13='Weeks Plan'!$G$6),'Planning Sheet'!$B13,"")</f>
        <v/>
      </c>
      <c r="Z502" s="48" t="str">
        <f ca="1">IF(AND('Planning Sheet'!BA13='Weeks Plan'!$D$6,'Planning Sheet'!AU13='Weeks Plan'!$G$6),'Planning Sheet'!$AV13,"")</f>
        <v/>
      </c>
      <c r="AA502" s="48" t="str">
        <f ca="1">IF(AND('Planning Sheet'!BA13='Weeks Plan'!$D$6,'Planning Sheet'!AU13='Weeks Plan'!$G$6),'Planning Sheet'!AW13,"")</f>
        <v/>
      </c>
    </row>
    <row r="503" spans="25:27" x14ac:dyDescent="0.3">
      <c r="Y503" s="48" t="str">
        <f ca="1">IF(AND('Planning Sheet'!BA14='Weeks Plan'!$D$6,'Planning Sheet'!AU14='Weeks Plan'!$G$6),'Planning Sheet'!$B14,"")</f>
        <v/>
      </c>
      <c r="Z503" s="48" t="str">
        <f ca="1">IF(AND('Planning Sheet'!BA14='Weeks Plan'!$D$6,'Planning Sheet'!AU14='Weeks Plan'!$G$6),'Planning Sheet'!$AV14,"")</f>
        <v/>
      </c>
      <c r="AA503" s="48" t="str">
        <f ca="1">IF(AND('Planning Sheet'!BA14='Weeks Plan'!$D$6,'Planning Sheet'!AU14='Weeks Plan'!$G$6),'Planning Sheet'!AW14,"")</f>
        <v/>
      </c>
    </row>
    <row r="504" spans="25:27" x14ac:dyDescent="0.3">
      <c r="Y504" s="48" t="str">
        <f ca="1">IF(AND('Planning Sheet'!BA15='Weeks Plan'!$D$6,'Planning Sheet'!AU15='Weeks Plan'!$G$6),'Planning Sheet'!$B15,"")</f>
        <v/>
      </c>
      <c r="Z504" s="48" t="str">
        <f ca="1">IF(AND('Planning Sheet'!BA15='Weeks Plan'!$D$6,'Planning Sheet'!AU15='Weeks Plan'!$G$6),'Planning Sheet'!$AV15,"")</f>
        <v/>
      </c>
      <c r="AA504" s="48" t="str">
        <f ca="1">IF(AND('Planning Sheet'!BA15='Weeks Plan'!$D$6,'Planning Sheet'!AU15='Weeks Plan'!$G$6),'Planning Sheet'!AW15,"")</f>
        <v/>
      </c>
    </row>
    <row r="505" spans="25:27" x14ac:dyDescent="0.3">
      <c r="Y505" s="48" t="str">
        <f ca="1">IF(AND('Planning Sheet'!BA16='Weeks Plan'!$D$6,'Planning Sheet'!AU16='Weeks Plan'!$G$6),'Planning Sheet'!$B16,"")</f>
        <v/>
      </c>
      <c r="Z505" s="48" t="str">
        <f ca="1">IF(AND('Planning Sheet'!BA16='Weeks Plan'!$D$6,'Planning Sheet'!AU16='Weeks Plan'!$G$6),'Planning Sheet'!$AV16,"")</f>
        <v/>
      </c>
      <c r="AA505" s="48" t="str">
        <f ca="1">IF(AND('Planning Sheet'!BA16='Weeks Plan'!$D$6,'Planning Sheet'!AU16='Weeks Plan'!$G$6),'Planning Sheet'!AW16,"")</f>
        <v/>
      </c>
    </row>
    <row r="506" spans="25:27" x14ac:dyDescent="0.3">
      <c r="Y506" s="48" t="str">
        <f ca="1">IF(AND('Planning Sheet'!BA17='Weeks Plan'!$D$6,'Planning Sheet'!AU17='Weeks Plan'!$G$6),'Planning Sheet'!$B17,"")</f>
        <v/>
      </c>
      <c r="Z506" s="48" t="str">
        <f ca="1">IF(AND('Planning Sheet'!BA17='Weeks Plan'!$D$6,'Planning Sheet'!AU17='Weeks Plan'!$G$6),'Planning Sheet'!$AV17,"")</f>
        <v/>
      </c>
      <c r="AA506" s="48" t="str">
        <f ca="1">IF(AND('Planning Sheet'!BA17='Weeks Plan'!$D$6,'Planning Sheet'!AU17='Weeks Plan'!$G$6),'Planning Sheet'!AW17,"")</f>
        <v/>
      </c>
    </row>
    <row r="507" spans="25:27" x14ac:dyDescent="0.3">
      <c r="Y507" s="48" t="str">
        <f ca="1">IF(AND('Planning Sheet'!BA18='Weeks Plan'!$D$6,'Planning Sheet'!AU18='Weeks Plan'!$G$6),'Planning Sheet'!$B18,"")</f>
        <v/>
      </c>
      <c r="Z507" s="48" t="str">
        <f ca="1">IF(AND('Planning Sheet'!BA18='Weeks Plan'!$D$6,'Planning Sheet'!AU18='Weeks Plan'!$G$6),'Planning Sheet'!$AV18,"")</f>
        <v/>
      </c>
      <c r="AA507" s="48" t="str">
        <f ca="1">IF(AND('Planning Sheet'!BA18='Weeks Plan'!$D$6,'Planning Sheet'!AU18='Weeks Plan'!$G$6),'Planning Sheet'!AW18,"")</f>
        <v/>
      </c>
    </row>
    <row r="508" spans="25:27" x14ac:dyDescent="0.3">
      <c r="Y508" s="48" t="str">
        <f ca="1">IF(AND('Planning Sheet'!BA19='Weeks Plan'!$D$6,'Planning Sheet'!AU19='Weeks Plan'!$G$6),'Planning Sheet'!$B19,"")</f>
        <v/>
      </c>
      <c r="Z508" s="48" t="str">
        <f ca="1">IF(AND('Planning Sheet'!BA19='Weeks Plan'!$D$6,'Planning Sheet'!AU19='Weeks Plan'!$G$6),'Planning Sheet'!$AV19,"")</f>
        <v/>
      </c>
      <c r="AA508" s="48" t="str">
        <f ca="1">IF(AND('Planning Sheet'!BA19='Weeks Plan'!$D$6,'Planning Sheet'!AU19='Weeks Plan'!$G$6),'Planning Sheet'!AW19,"")</f>
        <v/>
      </c>
    </row>
    <row r="509" spans="25:27" x14ac:dyDescent="0.3">
      <c r="Y509" s="48" t="str">
        <f ca="1">IF(AND('Planning Sheet'!BA20='Weeks Plan'!$D$6,'Planning Sheet'!AU20='Weeks Plan'!$G$6),'Planning Sheet'!$B20,"")</f>
        <v/>
      </c>
      <c r="Z509" s="48" t="str">
        <f ca="1">IF(AND('Planning Sheet'!BA20='Weeks Plan'!$D$6,'Planning Sheet'!AU20='Weeks Plan'!$G$6),'Planning Sheet'!$AV20,"")</f>
        <v/>
      </c>
      <c r="AA509" s="48" t="str">
        <f ca="1">IF(AND('Planning Sheet'!BA20='Weeks Plan'!$D$6,'Planning Sheet'!AU20='Weeks Plan'!$G$6),'Planning Sheet'!AW20,"")</f>
        <v/>
      </c>
    </row>
    <row r="510" spans="25:27" x14ac:dyDescent="0.3">
      <c r="Y510" s="48" t="str">
        <f ca="1">IF(AND('Planning Sheet'!BA21='Weeks Plan'!$D$6,'Planning Sheet'!AU21='Weeks Plan'!$G$6),'Planning Sheet'!$B21,"")</f>
        <v/>
      </c>
      <c r="Z510" s="48" t="str">
        <f ca="1">IF(AND('Planning Sheet'!BA21='Weeks Plan'!$D$6,'Planning Sheet'!AU21='Weeks Plan'!$G$6),'Planning Sheet'!$AV21,"")</f>
        <v/>
      </c>
      <c r="AA510" s="48" t="str">
        <f ca="1">IF(AND('Planning Sheet'!BA21='Weeks Plan'!$D$6,'Planning Sheet'!AU21='Weeks Plan'!$G$6),'Planning Sheet'!AW21,"")</f>
        <v/>
      </c>
    </row>
    <row r="511" spans="25:27" x14ac:dyDescent="0.3">
      <c r="Y511" s="48" t="str">
        <f ca="1">IF(AND('Planning Sheet'!BA22='Weeks Plan'!$D$6,'Planning Sheet'!AU22='Weeks Plan'!$G$6),'Planning Sheet'!$B22,"")</f>
        <v/>
      </c>
      <c r="Z511" s="48" t="str">
        <f ca="1">IF(AND('Planning Sheet'!BA22='Weeks Plan'!$D$6,'Planning Sheet'!AU22='Weeks Plan'!$G$6),'Planning Sheet'!$AV22,"")</f>
        <v/>
      </c>
      <c r="AA511" s="48" t="str">
        <f ca="1">IF(AND('Planning Sheet'!BA22='Weeks Plan'!$D$6,'Planning Sheet'!AU22='Weeks Plan'!$G$6),'Planning Sheet'!AW22,"")</f>
        <v/>
      </c>
    </row>
    <row r="512" spans="25:27" x14ac:dyDescent="0.3">
      <c r="Y512" s="48" t="str">
        <f ca="1">IF(AND('Planning Sheet'!BA23='Weeks Plan'!$D$6,'Planning Sheet'!AU23='Weeks Plan'!$G$6),'Planning Sheet'!$B23,"")</f>
        <v/>
      </c>
      <c r="Z512" s="48" t="str">
        <f ca="1">IF(AND('Planning Sheet'!BA23='Weeks Plan'!$D$6,'Planning Sheet'!AU23='Weeks Plan'!$G$6),'Planning Sheet'!$AV23,"")</f>
        <v/>
      </c>
      <c r="AA512" s="48" t="str">
        <f ca="1">IF(AND('Planning Sheet'!BA23='Weeks Plan'!$D$6,'Planning Sheet'!AU23='Weeks Plan'!$G$6),'Planning Sheet'!AW23,"")</f>
        <v/>
      </c>
    </row>
    <row r="513" spans="25:27" x14ac:dyDescent="0.3">
      <c r="Y513" s="48" t="str">
        <f ca="1">IF(AND('Planning Sheet'!BA24='Weeks Plan'!$D$6,'Planning Sheet'!AU24='Weeks Plan'!$G$6),'Planning Sheet'!$B24,"")</f>
        <v/>
      </c>
      <c r="Z513" s="48" t="str">
        <f ca="1">IF(AND('Planning Sheet'!BA24='Weeks Plan'!$D$6,'Planning Sheet'!AU24='Weeks Plan'!$G$6),'Planning Sheet'!$AV24,"")</f>
        <v/>
      </c>
      <c r="AA513" s="48" t="str">
        <f ca="1">IF(AND('Planning Sheet'!BA24='Weeks Plan'!$D$6,'Planning Sheet'!AU24='Weeks Plan'!$G$6),'Planning Sheet'!AW24,"")</f>
        <v/>
      </c>
    </row>
    <row r="514" spans="25:27" x14ac:dyDescent="0.3">
      <c r="Y514" s="48" t="str">
        <f ca="1">IF(AND('Planning Sheet'!BA25='Weeks Plan'!$D$6,'Planning Sheet'!AU25='Weeks Plan'!$G$6),'Planning Sheet'!$B25,"")</f>
        <v/>
      </c>
      <c r="Z514" s="48" t="str">
        <f ca="1">IF(AND('Planning Sheet'!BA25='Weeks Plan'!$D$6,'Planning Sheet'!AU25='Weeks Plan'!$G$6),'Planning Sheet'!$AV25,"")</f>
        <v/>
      </c>
      <c r="AA514" s="48" t="str">
        <f ca="1">IF(AND('Planning Sheet'!BA25='Weeks Plan'!$D$6,'Planning Sheet'!AU25='Weeks Plan'!$G$6),'Planning Sheet'!AW25,"")</f>
        <v/>
      </c>
    </row>
    <row r="515" spans="25:27" x14ac:dyDescent="0.3">
      <c r="Y515" s="48" t="str">
        <f ca="1">IF(AND('Planning Sheet'!BA26='Weeks Plan'!$D$6,'Planning Sheet'!AU26='Weeks Plan'!$G$6),'Planning Sheet'!$B26,"")</f>
        <v/>
      </c>
      <c r="Z515" s="48" t="str">
        <f ca="1">IF(AND('Planning Sheet'!BA26='Weeks Plan'!$D$6,'Planning Sheet'!AU26='Weeks Plan'!$G$6),'Planning Sheet'!$AV26,"")</f>
        <v/>
      </c>
      <c r="AA515" s="48" t="str">
        <f ca="1">IF(AND('Planning Sheet'!BA26='Weeks Plan'!$D$6,'Planning Sheet'!AU26='Weeks Plan'!$G$6),'Planning Sheet'!AW26,"")</f>
        <v/>
      </c>
    </row>
    <row r="516" spans="25:27" x14ac:dyDescent="0.3">
      <c r="Y516" s="48" t="str">
        <f ca="1">IF(AND('Planning Sheet'!BA27='Weeks Plan'!$D$6,'Planning Sheet'!AU27='Weeks Plan'!$G$6),'Planning Sheet'!$B27,"")</f>
        <v/>
      </c>
      <c r="Z516" s="48" t="str">
        <f ca="1">IF(AND('Planning Sheet'!BA27='Weeks Plan'!$D$6,'Planning Sheet'!AU27='Weeks Plan'!$G$6),'Planning Sheet'!$AV27,"")</f>
        <v/>
      </c>
      <c r="AA516" s="48" t="str">
        <f ca="1">IF(AND('Planning Sheet'!BA27='Weeks Plan'!$D$6,'Planning Sheet'!AU27='Weeks Plan'!$G$6),'Planning Sheet'!AW27,"")</f>
        <v/>
      </c>
    </row>
    <row r="517" spans="25:27" x14ac:dyDescent="0.3">
      <c r="Y517" s="48" t="str">
        <f ca="1">IF(AND('Planning Sheet'!BA28='Weeks Plan'!$D$6,'Planning Sheet'!AU28='Weeks Plan'!$G$6),'Planning Sheet'!$B28,"")</f>
        <v/>
      </c>
      <c r="Z517" s="48" t="str">
        <f ca="1">IF(AND('Planning Sheet'!BA28='Weeks Plan'!$D$6,'Planning Sheet'!AU28='Weeks Plan'!$G$6),'Planning Sheet'!$AV28,"")</f>
        <v/>
      </c>
      <c r="AA517" s="48" t="str">
        <f ca="1">IF(AND('Planning Sheet'!BA28='Weeks Plan'!$D$6,'Planning Sheet'!AU28='Weeks Plan'!$G$6),'Planning Sheet'!AW28,"")</f>
        <v/>
      </c>
    </row>
    <row r="518" spans="25:27" x14ac:dyDescent="0.3">
      <c r="Y518" s="48" t="str">
        <f ca="1">IF(AND('Planning Sheet'!BA29='Weeks Plan'!$D$6,'Planning Sheet'!AU29='Weeks Plan'!$G$6),'Planning Sheet'!$B29,"")</f>
        <v/>
      </c>
      <c r="Z518" s="48" t="str">
        <f ca="1">IF(AND('Planning Sheet'!BA29='Weeks Plan'!$D$6,'Planning Sheet'!AU29='Weeks Plan'!$G$6),'Planning Sheet'!$AV29,"")</f>
        <v/>
      </c>
      <c r="AA518" s="48" t="str">
        <f ca="1">IF(AND('Planning Sheet'!BA29='Weeks Plan'!$D$6,'Planning Sheet'!AU29='Weeks Plan'!$G$6),'Planning Sheet'!AW29,"")</f>
        <v/>
      </c>
    </row>
    <row r="519" spans="25:27" x14ac:dyDescent="0.3">
      <c r="Y519" s="48" t="str">
        <f ca="1">IF(AND('Planning Sheet'!BA30='Weeks Plan'!$D$6,'Planning Sheet'!AU30='Weeks Plan'!$G$6),'Planning Sheet'!$B30,"")</f>
        <v/>
      </c>
      <c r="Z519" s="48" t="str">
        <f ca="1">IF(AND('Planning Sheet'!BA30='Weeks Plan'!$D$6,'Planning Sheet'!AU30='Weeks Plan'!$G$6),'Planning Sheet'!$AV30,"")</f>
        <v/>
      </c>
      <c r="AA519" s="48" t="str">
        <f ca="1">IF(AND('Planning Sheet'!BA30='Weeks Plan'!$D$6,'Planning Sheet'!AU30='Weeks Plan'!$G$6),'Planning Sheet'!AW30,"")</f>
        <v/>
      </c>
    </row>
    <row r="520" spans="25:27" x14ac:dyDescent="0.3">
      <c r="Y520" s="48" t="str">
        <f ca="1">IF(AND('Planning Sheet'!BA31='Weeks Plan'!$D$6,'Planning Sheet'!AU31='Weeks Plan'!$G$6),'Planning Sheet'!$B31,"")</f>
        <v/>
      </c>
      <c r="Z520" s="48" t="str">
        <f ca="1">IF(AND('Planning Sheet'!BA31='Weeks Plan'!$D$6,'Planning Sheet'!AU31='Weeks Plan'!$G$6),'Planning Sheet'!$AV31,"")</f>
        <v/>
      </c>
      <c r="AA520" s="48" t="str">
        <f ca="1">IF(AND('Planning Sheet'!BA31='Weeks Plan'!$D$6,'Planning Sheet'!AU31='Weeks Plan'!$G$6),'Planning Sheet'!AW31,"")</f>
        <v/>
      </c>
    </row>
    <row r="521" spans="25:27" x14ac:dyDescent="0.3">
      <c r="Y521" s="48" t="str">
        <f ca="1">IF(AND('Planning Sheet'!BA32='Weeks Plan'!$D$6,'Planning Sheet'!AU32='Weeks Plan'!$G$6),'Planning Sheet'!$B32,"")</f>
        <v/>
      </c>
      <c r="Z521" s="48" t="str">
        <f ca="1">IF(AND('Planning Sheet'!BA32='Weeks Plan'!$D$6,'Planning Sheet'!AU32='Weeks Plan'!$G$6),'Planning Sheet'!$AV32,"")</f>
        <v/>
      </c>
      <c r="AA521" s="48" t="str">
        <f ca="1">IF(AND('Planning Sheet'!BA32='Weeks Plan'!$D$6,'Planning Sheet'!AU32='Weeks Plan'!$G$6),'Planning Sheet'!AW32,"")</f>
        <v/>
      </c>
    </row>
    <row r="522" spans="25:27" x14ac:dyDescent="0.3">
      <c r="Y522" s="48" t="str">
        <f ca="1">IF(AND('Planning Sheet'!BA33='Weeks Plan'!$D$6,'Planning Sheet'!AU33='Weeks Plan'!$G$6),'Planning Sheet'!$B33,"")</f>
        <v/>
      </c>
      <c r="Z522" s="48" t="str">
        <f ca="1">IF(AND('Planning Sheet'!BA33='Weeks Plan'!$D$6,'Planning Sheet'!AU33='Weeks Plan'!$G$6),'Planning Sheet'!$AV33,"")</f>
        <v/>
      </c>
      <c r="AA522" s="48" t="str">
        <f ca="1">IF(AND('Planning Sheet'!BA33='Weeks Plan'!$D$6,'Planning Sheet'!AU33='Weeks Plan'!$G$6),'Planning Sheet'!AW33,"")</f>
        <v/>
      </c>
    </row>
    <row r="523" spans="25:27" x14ac:dyDescent="0.3">
      <c r="Y523" s="48" t="str">
        <f ca="1">IF(AND('Planning Sheet'!BA34='Weeks Plan'!$D$6,'Planning Sheet'!AU34='Weeks Plan'!$G$6),'Planning Sheet'!$B34,"")</f>
        <v/>
      </c>
      <c r="Z523" s="48" t="str">
        <f ca="1">IF(AND('Planning Sheet'!BA34='Weeks Plan'!$D$6,'Planning Sheet'!AU34='Weeks Plan'!$G$6),'Planning Sheet'!$AV34,"")</f>
        <v/>
      </c>
      <c r="AA523" s="48" t="str">
        <f ca="1">IF(AND('Planning Sheet'!BA34='Weeks Plan'!$D$6,'Planning Sheet'!AU34='Weeks Plan'!$G$6),'Planning Sheet'!AW34,"")</f>
        <v/>
      </c>
    </row>
    <row r="524" spans="25:27" x14ac:dyDescent="0.3">
      <c r="Y524" s="48" t="str">
        <f ca="1">IF(AND('Planning Sheet'!BA35='Weeks Plan'!$D$6,'Planning Sheet'!AU35='Weeks Plan'!$G$6),'Planning Sheet'!$B35,"")</f>
        <v/>
      </c>
      <c r="Z524" s="48" t="str">
        <f ca="1">IF(AND('Planning Sheet'!BA35='Weeks Plan'!$D$6,'Planning Sheet'!AU35='Weeks Plan'!$G$6),'Planning Sheet'!$AV35,"")</f>
        <v/>
      </c>
      <c r="AA524" s="48" t="str">
        <f ca="1">IF(AND('Planning Sheet'!BA35='Weeks Plan'!$D$6,'Planning Sheet'!AU35='Weeks Plan'!$G$6),'Planning Sheet'!AW35,"")</f>
        <v/>
      </c>
    </row>
    <row r="525" spans="25:27" x14ac:dyDescent="0.3">
      <c r="Y525" s="48" t="str">
        <f ca="1">IF(AND('Planning Sheet'!BA36='Weeks Plan'!$D$6,'Planning Sheet'!AU36='Weeks Plan'!$G$6),'Planning Sheet'!$B36,"")</f>
        <v/>
      </c>
      <c r="Z525" s="48" t="str">
        <f ca="1">IF(AND('Planning Sheet'!BA36='Weeks Plan'!$D$6,'Planning Sheet'!AU36='Weeks Plan'!$G$6),'Planning Sheet'!$AV36,"")</f>
        <v/>
      </c>
      <c r="AA525" s="48" t="str">
        <f ca="1">IF(AND('Planning Sheet'!BA36='Weeks Plan'!$D$6,'Planning Sheet'!AU36='Weeks Plan'!$G$6),'Planning Sheet'!AW36,"")</f>
        <v/>
      </c>
    </row>
    <row r="526" spans="25:27" x14ac:dyDescent="0.3">
      <c r="Y526" s="48" t="str">
        <f ca="1">IF(AND('Planning Sheet'!BA37='Weeks Plan'!$D$6,'Planning Sheet'!AU37='Weeks Plan'!$G$6),'Planning Sheet'!$B37,"")</f>
        <v/>
      </c>
      <c r="Z526" s="48" t="str">
        <f ca="1">IF(AND('Planning Sheet'!BA37='Weeks Plan'!$D$6,'Planning Sheet'!AU37='Weeks Plan'!$G$6),'Planning Sheet'!$AV37,"")</f>
        <v/>
      </c>
      <c r="AA526" s="48" t="str">
        <f ca="1">IF(AND('Planning Sheet'!BA37='Weeks Plan'!$D$6,'Planning Sheet'!AU37='Weeks Plan'!$G$6),'Planning Sheet'!AW37,"")</f>
        <v/>
      </c>
    </row>
    <row r="527" spans="25:27" x14ac:dyDescent="0.3">
      <c r="Y527" s="48" t="str">
        <f ca="1">IF(AND('Planning Sheet'!BA38='Weeks Plan'!$D$6,'Planning Sheet'!AU38='Weeks Plan'!$G$6),'Planning Sheet'!$B38,"")</f>
        <v/>
      </c>
      <c r="Z527" s="48" t="str">
        <f ca="1">IF(AND('Planning Sheet'!BA38='Weeks Plan'!$D$6,'Planning Sheet'!AU38='Weeks Plan'!$G$6),'Planning Sheet'!$AV38,"")</f>
        <v/>
      </c>
      <c r="AA527" s="48" t="str">
        <f ca="1">IF(AND('Planning Sheet'!BA38='Weeks Plan'!$D$6,'Planning Sheet'!AU38='Weeks Plan'!$G$6),'Planning Sheet'!AW38,"")</f>
        <v/>
      </c>
    </row>
    <row r="528" spans="25:27" x14ac:dyDescent="0.3">
      <c r="Y528" s="48" t="str">
        <f ca="1">IF(AND('Planning Sheet'!BA39='Weeks Plan'!$D$6,'Planning Sheet'!AU39='Weeks Plan'!$G$6),'Planning Sheet'!$B39,"")</f>
        <v/>
      </c>
      <c r="Z528" s="48" t="str">
        <f ca="1">IF(AND('Planning Sheet'!BA39='Weeks Plan'!$D$6,'Planning Sheet'!AU39='Weeks Plan'!$G$6),'Planning Sheet'!$AV39,"")</f>
        <v/>
      </c>
      <c r="AA528" s="48" t="str">
        <f ca="1">IF(AND('Planning Sheet'!BA39='Weeks Plan'!$D$6,'Planning Sheet'!AU39='Weeks Plan'!$G$6),'Planning Sheet'!AW39,"")</f>
        <v/>
      </c>
    </row>
    <row r="529" spans="25:27" x14ac:dyDescent="0.3">
      <c r="Y529" s="48" t="str">
        <f ca="1">IF(AND('Planning Sheet'!BA40='Weeks Plan'!$D$6,'Planning Sheet'!AU40='Weeks Plan'!$G$6),'Planning Sheet'!$B40,"")</f>
        <v/>
      </c>
      <c r="Z529" s="48" t="str">
        <f ca="1">IF(AND('Planning Sheet'!BA40='Weeks Plan'!$D$6,'Planning Sheet'!AU40='Weeks Plan'!$G$6),'Planning Sheet'!$AV40,"")</f>
        <v/>
      </c>
      <c r="AA529" s="48" t="str">
        <f ca="1">IF(AND('Planning Sheet'!BA40='Weeks Plan'!$D$6,'Planning Sheet'!AU40='Weeks Plan'!$G$6),'Planning Sheet'!AW40,"")</f>
        <v/>
      </c>
    </row>
    <row r="530" spans="25:27" x14ac:dyDescent="0.3">
      <c r="Y530" s="48" t="str">
        <f ca="1">IF(AND('Planning Sheet'!BA41='Weeks Plan'!$D$6,'Planning Sheet'!AU41='Weeks Plan'!$G$6),'Planning Sheet'!$B41,"")</f>
        <v/>
      </c>
      <c r="Z530" s="48" t="str">
        <f ca="1">IF(AND('Planning Sheet'!BA41='Weeks Plan'!$D$6,'Planning Sheet'!AU41='Weeks Plan'!$G$6),'Planning Sheet'!$AV41,"")</f>
        <v/>
      </c>
      <c r="AA530" s="48" t="str">
        <f ca="1">IF(AND('Planning Sheet'!BA41='Weeks Plan'!$D$6,'Planning Sheet'!AU41='Weeks Plan'!$G$6),'Planning Sheet'!AW41,"")</f>
        <v/>
      </c>
    </row>
    <row r="531" spans="25:27" x14ac:dyDescent="0.3">
      <c r="Y531" s="48" t="str">
        <f ca="1">IF(AND('Planning Sheet'!BA42='Weeks Plan'!$D$6,'Planning Sheet'!AU42='Weeks Plan'!$G$6),'Planning Sheet'!$B42,"")</f>
        <v/>
      </c>
      <c r="Z531" s="48" t="str">
        <f ca="1">IF(AND('Planning Sheet'!BA42='Weeks Plan'!$D$6,'Planning Sheet'!AU42='Weeks Plan'!$G$6),'Planning Sheet'!$AV42,"")</f>
        <v/>
      </c>
      <c r="AA531" s="48" t="str">
        <f ca="1">IF(AND('Planning Sheet'!BA42='Weeks Plan'!$D$6,'Planning Sheet'!AU42='Weeks Plan'!$G$6),'Planning Sheet'!AW42,"")</f>
        <v/>
      </c>
    </row>
    <row r="532" spans="25:27" x14ac:dyDescent="0.3">
      <c r="Y532" s="48" t="str">
        <f ca="1">IF(AND('Planning Sheet'!BA43='Weeks Plan'!$D$6,'Planning Sheet'!AU43='Weeks Plan'!$G$6),'Planning Sheet'!$B43,"")</f>
        <v/>
      </c>
      <c r="Z532" s="48" t="str">
        <f ca="1">IF(AND('Planning Sheet'!BA43='Weeks Plan'!$D$6,'Planning Sheet'!AU43='Weeks Plan'!$G$6),'Planning Sheet'!$AV43,"")</f>
        <v/>
      </c>
      <c r="AA532" s="48" t="str">
        <f ca="1">IF(AND('Planning Sheet'!BA43='Weeks Plan'!$D$6,'Planning Sheet'!AU43='Weeks Plan'!$G$6),'Planning Sheet'!AW43,"")</f>
        <v/>
      </c>
    </row>
    <row r="533" spans="25:27" x14ac:dyDescent="0.3">
      <c r="Y533" s="48" t="str">
        <f ca="1">IF(AND('Planning Sheet'!BA44='Weeks Plan'!$D$6,'Planning Sheet'!AU44='Weeks Plan'!$G$6),'Planning Sheet'!$B44,"")</f>
        <v/>
      </c>
      <c r="Z533" s="48" t="str">
        <f ca="1">IF(AND('Planning Sheet'!BA44='Weeks Plan'!$D$6,'Planning Sheet'!AU44='Weeks Plan'!$G$6),'Planning Sheet'!$AV44,"")</f>
        <v/>
      </c>
      <c r="AA533" s="48" t="str">
        <f ca="1">IF(AND('Planning Sheet'!BA44='Weeks Plan'!$D$6,'Planning Sheet'!AU44='Weeks Plan'!$G$6),'Planning Sheet'!AW44,"")</f>
        <v/>
      </c>
    </row>
    <row r="534" spans="25:27" x14ac:dyDescent="0.3">
      <c r="Y534" s="48" t="str">
        <f ca="1">IF(AND('Planning Sheet'!BA45='Weeks Plan'!$D$6,'Planning Sheet'!AU45='Weeks Plan'!$G$6),'Planning Sheet'!$B45,"")</f>
        <v/>
      </c>
      <c r="Z534" s="48" t="str">
        <f ca="1">IF(AND('Planning Sheet'!BA45='Weeks Plan'!$D$6,'Planning Sheet'!AU45='Weeks Plan'!$G$6),'Planning Sheet'!$AV45,"")</f>
        <v/>
      </c>
      <c r="AA534" s="48" t="str">
        <f ca="1">IF(AND('Planning Sheet'!BA45='Weeks Plan'!$D$6,'Planning Sheet'!AU45='Weeks Plan'!$G$6),'Planning Sheet'!AW45,"")</f>
        <v/>
      </c>
    </row>
    <row r="535" spans="25:27" x14ac:dyDescent="0.3">
      <c r="Y535" s="48" t="str">
        <f ca="1">IF(AND('Planning Sheet'!BA46='Weeks Plan'!$D$6,'Planning Sheet'!AU46='Weeks Plan'!$G$6),'Planning Sheet'!$B46,"")</f>
        <v/>
      </c>
      <c r="Z535" s="48" t="str">
        <f ca="1">IF(AND('Planning Sheet'!BA46='Weeks Plan'!$D$6,'Planning Sheet'!AU46='Weeks Plan'!$G$6),'Planning Sheet'!$AV46,"")</f>
        <v/>
      </c>
      <c r="AA535" s="48" t="str">
        <f ca="1">IF(AND('Planning Sheet'!BA46='Weeks Plan'!$D$6,'Planning Sheet'!AU46='Weeks Plan'!$G$6),'Planning Sheet'!AW46,"")</f>
        <v/>
      </c>
    </row>
    <row r="536" spans="25:27" x14ac:dyDescent="0.3">
      <c r="Y536" s="48" t="str">
        <f ca="1">IF(AND('Planning Sheet'!BA47='Weeks Plan'!$D$6,'Planning Sheet'!AU47='Weeks Plan'!$G$6),'Planning Sheet'!$B47,"")</f>
        <v/>
      </c>
      <c r="Z536" s="48" t="str">
        <f ca="1">IF(AND('Planning Sheet'!BA47='Weeks Plan'!$D$6,'Planning Sheet'!AU47='Weeks Plan'!$G$6),'Planning Sheet'!$AV47,"")</f>
        <v/>
      </c>
      <c r="AA536" s="48" t="str">
        <f ca="1">IF(AND('Planning Sheet'!BA47='Weeks Plan'!$D$6,'Planning Sheet'!AU47='Weeks Plan'!$G$6),'Planning Sheet'!AW47,"")</f>
        <v/>
      </c>
    </row>
    <row r="537" spans="25:27" x14ac:dyDescent="0.3">
      <c r="Y537" s="48" t="str">
        <f ca="1">IF(AND('Planning Sheet'!BA48='Weeks Plan'!$D$6,'Planning Sheet'!AU48='Weeks Plan'!$G$6),'Planning Sheet'!$B48,"")</f>
        <v/>
      </c>
      <c r="Z537" s="48" t="str">
        <f ca="1">IF(AND('Planning Sheet'!BA48='Weeks Plan'!$D$6,'Planning Sheet'!AU48='Weeks Plan'!$G$6),'Planning Sheet'!$AV48,"")</f>
        <v/>
      </c>
      <c r="AA537" s="48" t="str">
        <f ca="1">IF(AND('Planning Sheet'!BA48='Weeks Plan'!$D$6,'Planning Sheet'!AU48='Weeks Plan'!$G$6),'Planning Sheet'!AW48,"")</f>
        <v/>
      </c>
    </row>
    <row r="538" spans="25:27" x14ac:dyDescent="0.3">
      <c r="Y538" s="48" t="str">
        <f ca="1">IF(AND('Planning Sheet'!BA49='Weeks Plan'!$D$6,'Planning Sheet'!AU49='Weeks Plan'!$G$6),'Planning Sheet'!$B49,"")</f>
        <v/>
      </c>
      <c r="Z538" s="48" t="str">
        <f ca="1">IF(AND('Planning Sheet'!BA49='Weeks Plan'!$D$6,'Planning Sheet'!AU49='Weeks Plan'!$G$6),'Planning Sheet'!$AV49,"")</f>
        <v/>
      </c>
      <c r="AA538" s="48" t="str">
        <f ca="1">IF(AND('Planning Sheet'!BA49='Weeks Plan'!$D$6,'Planning Sheet'!AU49='Weeks Plan'!$G$6),'Planning Sheet'!AW49,"")</f>
        <v/>
      </c>
    </row>
    <row r="539" spans="25:27" x14ac:dyDescent="0.3">
      <c r="Y539" s="48" t="str">
        <f ca="1">IF(AND('Planning Sheet'!BA50='Weeks Plan'!$D$6,'Planning Sheet'!AU50='Weeks Plan'!$G$6),'Planning Sheet'!$B50,"")</f>
        <v/>
      </c>
      <c r="Z539" s="48" t="str">
        <f ca="1">IF(AND('Planning Sheet'!BA50='Weeks Plan'!$D$6,'Planning Sheet'!AU50='Weeks Plan'!$G$6),'Planning Sheet'!$AV50,"")</f>
        <v/>
      </c>
      <c r="AA539" s="48" t="str">
        <f ca="1">IF(AND('Planning Sheet'!BA50='Weeks Plan'!$D$6,'Planning Sheet'!AU50='Weeks Plan'!$G$6),'Planning Sheet'!AW50,"")</f>
        <v/>
      </c>
    </row>
    <row r="540" spans="25:27" x14ac:dyDescent="0.3">
      <c r="Y540" s="48" t="str">
        <f ca="1">IF(AND('Planning Sheet'!BA51='Weeks Plan'!$D$6,'Planning Sheet'!AU51='Weeks Plan'!$G$6),'Planning Sheet'!$B51,"")</f>
        <v/>
      </c>
      <c r="Z540" s="48" t="str">
        <f ca="1">IF(AND('Planning Sheet'!BA51='Weeks Plan'!$D$6,'Planning Sheet'!AU51='Weeks Plan'!$G$6),'Planning Sheet'!$AV51,"")</f>
        <v/>
      </c>
      <c r="AA540" s="48" t="str">
        <f ca="1">IF(AND('Planning Sheet'!BA51='Weeks Plan'!$D$6,'Planning Sheet'!AU51='Weeks Plan'!$G$6),'Planning Sheet'!AW51,"")</f>
        <v/>
      </c>
    </row>
    <row r="541" spans="25:27" x14ac:dyDescent="0.3">
      <c r="Y541" s="48" t="str">
        <f ca="1">IF(AND('Planning Sheet'!BA52='Weeks Plan'!$D$6,'Planning Sheet'!AU52='Weeks Plan'!$G$6),'Planning Sheet'!$B52,"")</f>
        <v/>
      </c>
      <c r="Z541" s="48" t="str">
        <f ca="1">IF(AND('Planning Sheet'!BA52='Weeks Plan'!$D$6,'Planning Sheet'!AU52='Weeks Plan'!$G$6),'Planning Sheet'!$AV52,"")</f>
        <v/>
      </c>
      <c r="AA541" s="48" t="str">
        <f ca="1">IF(AND('Planning Sheet'!BA52='Weeks Plan'!$D$6,'Planning Sheet'!AU52='Weeks Plan'!$G$6),'Planning Sheet'!AW52,"")</f>
        <v/>
      </c>
    </row>
    <row r="542" spans="25:27" x14ac:dyDescent="0.3">
      <c r="Y542" s="48" t="str">
        <f ca="1">IF(AND('Planning Sheet'!BA53='Weeks Plan'!$D$6,'Planning Sheet'!AU53='Weeks Plan'!$G$6),'Planning Sheet'!$B53,"")</f>
        <v/>
      </c>
      <c r="Z542" s="48" t="str">
        <f ca="1">IF(AND('Planning Sheet'!BA53='Weeks Plan'!$D$6,'Planning Sheet'!AU53='Weeks Plan'!$G$6),'Planning Sheet'!$AV53,"")</f>
        <v/>
      </c>
      <c r="AA542" s="48" t="str">
        <f ca="1">IF(AND('Planning Sheet'!BA53='Weeks Plan'!$D$6,'Planning Sheet'!AU53='Weeks Plan'!$G$6),'Planning Sheet'!AW53,"")</f>
        <v/>
      </c>
    </row>
    <row r="543" spans="25:27" x14ac:dyDescent="0.3">
      <c r="Y543" s="48" t="str">
        <f ca="1">IF(AND('Planning Sheet'!BA54='Weeks Plan'!$D$6,'Planning Sheet'!AU54='Weeks Plan'!$G$6),'Planning Sheet'!$B54,"")</f>
        <v/>
      </c>
      <c r="Z543" s="48" t="str">
        <f ca="1">IF(AND('Planning Sheet'!BA54='Weeks Plan'!$D$6,'Planning Sheet'!AU54='Weeks Plan'!$G$6),'Planning Sheet'!$AV54,"")</f>
        <v/>
      </c>
      <c r="AA543" s="48" t="str">
        <f ca="1">IF(AND('Planning Sheet'!BA54='Weeks Plan'!$D$6,'Planning Sheet'!AU54='Weeks Plan'!$G$6),'Planning Sheet'!AW54,"")</f>
        <v/>
      </c>
    </row>
    <row r="544" spans="25:27" x14ac:dyDescent="0.3">
      <c r="Y544" s="48" t="str">
        <f ca="1">IF(AND('Planning Sheet'!BA55='Weeks Plan'!$D$6,'Planning Sheet'!AU55='Weeks Plan'!$G$6),'Planning Sheet'!$B55,"")</f>
        <v/>
      </c>
      <c r="Z544" s="48" t="str">
        <f ca="1">IF(AND('Planning Sheet'!BA55='Weeks Plan'!$D$6,'Planning Sheet'!AU55='Weeks Plan'!$G$6),'Planning Sheet'!$AV55,"")</f>
        <v/>
      </c>
      <c r="AA544" s="48" t="str">
        <f ca="1">IF(AND('Planning Sheet'!BA55='Weeks Plan'!$D$6,'Planning Sheet'!AU55='Weeks Plan'!$G$6),'Planning Sheet'!AW55,"")</f>
        <v/>
      </c>
    </row>
    <row r="545" spans="25:27" x14ac:dyDescent="0.3">
      <c r="Y545" s="48" t="str">
        <f ca="1">IF(AND('Planning Sheet'!BA56='Weeks Plan'!$D$6,'Planning Sheet'!AU56='Weeks Plan'!$G$6),'Planning Sheet'!$B56,"")</f>
        <v/>
      </c>
      <c r="Z545" s="48" t="str">
        <f ca="1">IF(AND('Planning Sheet'!BA56='Weeks Plan'!$D$6,'Planning Sheet'!AU56='Weeks Plan'!$G$6),'Planning Sheet'!$AV56,"")</f>
        <v/>
      </c>
      <c r="AA545" s="48" t="str">
        <f ca="1">IF(AND('Planning Sheet'!BA56='Weeks Plan'!$D$6,'Planning Sheet'!AU56='Weeks Plan'!$G$6),'Planning Sheet'!AW56,"")</f>
        <v/>
      </c>
    </row>
    <row r="546" spans="25:27" x14ac:dyDescent="0.3">
      <c r="Y546" s="48" t="str">
        <f ca="1">IF(AND('Planning Sheet'!BA57='Weeks Plan'!$D$6,'Planning Sheet'!AU57='Weeks Plan'!$G$6),'Planning Sheet'!$B57,"")</f>
        <v/>
      </c>
      <c r="Z546" s="48" t="str">
        <f ca="1">IF(AND('Planning Sheet'!BA57='Weeks Plan'!$D$6,'Planning Sheet'!AU57='Weeks Plan'!$G$6),'Planning Sheet'!$AV57,"")</f>
        <v/>
      </c>
      <c r="AA546" s="48" t="str">
        <f ca="1">IF(AND('Planning Sheet'!BA57='Weeks Plan'!$D$6,'Planning Sheet'!AU57='Weeks Plan'!$G$6),'Planning Sheet'!AW57,"")</f>
        <v/>
      </c>
    </row>
    <row r="547" spans="25:27" x14ac:dyDescent="0.3">
      <c r="Y547" s="48" t="str">
        <f ca="1">IF(AND('Planning Sheet'!BA58='Weeks Plan'!$D$6,'Planning Sheet'!AU58='Weeks Plan'!$G$6),'Planning Sheet'!$B58,"")</f>
        <v/>
      </c>
      <c r="Z547" s="48" t="str">
        <f ca="1">IF(AND('Planning Sheet'!BA58='Weeks Plan'!$D$6,'Planning Sheet'!AU58='Weeks Plan'!$G$6),'Planning Sheet'!$AV58,"")</f>
        <v/>
      </c>
      <c r="AA547" s="48" t="str">
        <f ca="1">IF(AND('Planning Sheet'!BA58='Weeks Plan'!$D$6,'Planning Sheet'!AU58='Weeks Plan'!$G$6),'Planning Sheet'!AW58,"")</f>
        <v/>
      </c>
    </row>
    <row r="548" spans="25:27" x14ac:dyDescent="0.3">
      <c r="Y548" s="48" t="str">
        <f ca="1">IF(AND('Planning Sheet'!BA59='Weeks Plan'!$D$6,'Planning Sheet'!AU59='Weeks Plan'!$G$6),'Planning Sheet'!$B59,"")</f>
        <v/>
      </c>
      <c r="Z548" s="48" t="str">
        <f ca="1">IF(AND('Planning Sheet'!BA59='Weeks Plan'!$D$6,'Planning Sheet'!AU59='Weeks Plan'!$G$6),'Planning Sheet'!$AV59,"")</f>
        <v/>
      </c>
      <c r="AA548" s="48" t="str">
        <f ca="1">IF(AND('Planning Sheet'!BA59='Weeks Plan'!$D$6,'Planning Sheet'!AU59='Weeks Plan'!$G$6),'Planning Sheet'!AW59,"")</f>
        <v/>
      </c>
    </row>
    <row r="549" spans="25:27" x14ac:dyDescent="0.3">
      <c r="Y549" s="48" t="str">
        <f ca="1">IF(AND('Planning Sheet'!BA60='Weeks Plan'!$D$6,'Planning Sheet'!AU60='Weeks Plan'!$G$6),'Planning Sheet'!$B60,"")</f>
        <v/>
      </c>
      <c r="Z549" s="48" t="str">
        <f ca="1">IF(AND('Planning Sheet'!BA60='Weeks Plan'!$D$6,'Planning Sheet'!AU60='Weeks Plan'!$G$6),'Planning Sheet'!$AV60,"")</f>
        <v/>
      </c>
      <c r="AA549" s="48" t="str">
        <f ca="1">IF(AND('Planning Sheet'!BA60='Weeks Plan'!$D$6,'Planning Sheet'!AU60='Weeks Plan'!$G$6),'Planning Sheet'!AW60,"")</f>
        <v/>
      </c>
    </row>
    <row r="550" spans="25:27" x14ac:dyDescent="0.3">
      <c r="Y550" s="48" t="str">
        <f ca="1">IF(AND('Planning Sheet'!BA61='Weeks Plan'!$D$6,'Planning Sheet'!AU61='Weeks Plan'!$G$6),'Planning Sheet'!$B61,"")</f>
        <v/>
      </c>
      <c r="Z550" s="48" t="str">
        <f ca="1">IF(AND('Planning Sheet'!BA61='Weeks Plan'!$D$6,'Planning Sheet'!AU61='Weeks Plan'!$G$6),'Planning Sheet'!$AV61,"")</f>
        <v/>
      </c>
      <c r="AA550" s="48" t="str">
        <f ca="1">IF(AND('Planning Sheet'!BA61='Weeks Plan'!$D$6,'Planning Sheet'!AU61='Weeks Plan'!$G$6),'Planning Sheet'!AW61,"")</f>
        <v/>
      </c>
    </row>
    <row r="551" spans="25:27" x14ac:dyDescent="0.3">
      <c r="Y551" s="48" t="str">
        <f ca="1">IF(AND('Planning Sheet'!BA62='Weeks Plan'!$D$6,'Planning Sheet'!AU62='Weeks Plan'!$G$6),'Planning Sheet'!$B62,"")</f>
        <v/>
      </c>
      <c r="Z551" s="48" t="str">
        <f ca="1">IF(AND('Planning Sheet'!BA62='Weeks Plan'!$D$6,'Planning Sheet'!AU62='Weeks Plan'!$G$6),'Planning Sheet'!$AV62,"")</f>
        <v/>
      </c>
      <c r="AA551" s="48" t="str">
        <f ca="1">IF(AND('Planning Sheet'!BA62='Weeks Plan'!$D$6,'Planning Sheet'!AU62='Weeks Plan'!$G$6),'Planning Sheet'!AW62,"")</f>
        <v/>
      </c>
    </row>
    <row r="552" spans="25:27" x14ac:dyDescent="0.3">
      <c r="Y552" s="48" t="str">
        <f ca="1">IF(AND('Planning Sheet'!BA63='Weeks Plan'!$D$6,'Planning Sheet'!AU63='Weeks Plan'!$G$6),'Planning Sheet'!$B63,"")</f>
        <v/>
      </c>
      <c r="Z552" s="48" t="str">
        <f ca="1">IF(AND('Planning Sheet'!BA63='Weeks Plan'!$D$6,'Planning Sheet'!AU63='Weeks Plan'!$G$6),'Planning Sheet'!$AV63,"")</f>
        <v/>
      </c>
      <c r="AA552" s="48" t="str">
        <f ca="1">IF(AND('Planning Sheet'!BA63='Weeks Plan'!$D$6,'Planning Sheet'!AU63='Weeks Plan'!$G$6),'Planning Sheet'!AW63,"")</f>
        <v/>
      </c>
    </row>
    <row r="553" spans="25:27" x14ac:dyDescent="0.3">
      <c r="Y553" s="48" t="str">
        <f ca="1">IF(AND('Planning Sheet'!BA64='Weeks Plan'!$D$6,'Planning Sheet'!AU64='Weeks Plan'!$G$6),'Planning Sheet'!$B64,"")</f>
        <v/>
      </c>
      <c r="Z553" s="48" t="str">
        <f ca="1">IF(AND('Planning Sheet'!BA64='Weeks Plan'!$D$6,'Planning Sheet'!AU64='Weeks Plan'!$G$6),'Planning Sheet'!$AV64,"")</f>
        <v/>
      </c>
      <c r="AA553" s="48" t="str">
        <f ca="1">IF(AND('Planning Sheet'!BA64='Weeks Plan'!$D$6,'Planning Sheet'!AU64='Weeks Plan'!$G$6),'Planning Sheet'!AW64,"")</f>
        <v/>
      </c>
    </row>
    <row r="554" spans="25:27" x14ac:dyDescent="0.3">
      <c r="Y554" s="48" t="str">
        <f ca="1">IF(AND('Planning Sheet'!BA65='Weeks Plan'!$D$6,'Planning Sheet'!AU65='Weeks Plan'!$G$6),'Planning Sheet'!$B65,"")</f>
        <v/>
      </c>
      <c r="Z554" s="48" t="str">
        <f ca="1">IF(AND('Planning Sheet'!BA65='Weeks Plan'!$D$6,'Planning Sheet'!AU65='Weeks Plan'!$G$6),'Planning Sheet'!$AV65,"")</f>
        <v/>
      </c>
      <c r="AA554" s="48" t="str">
        <f ca="1">IF(AND('Planning Sheet'!BA65='Weeks Plan'!$D$6,'Planning Sheet'!AU65='Weeks Plan'!$G$6),'Planning Sheet'!AW65,"")</f>
        <v/>
      </c>
    </row>
    <row r="555" spans="25:27" x14ac:dyDescent="0.3">
      <c r="Y555" s="48" t="str">
        <f ca="1">IF(AND('Planning Sheet'!BA66='Weeks Plan'!$D$6,'Planning Sheet'!AU66='Weeks Plan'!$G$6),'Planning Sheet'!$B66,"")</f>
        <v/>
      </c>
      <c r="Z555" s="48" t="str">
        <f ca="1">IF(AND('Planning Sheet'!BA66='Weeks Plan'!$D$6,'Planning Sheet'!AU66='Weeks Plan'!$G$6),'Planning Sheet'!$AV66,"")</f>
        <v/>
      </c>
      <c r="AA555" s="48" t="str">
        <f ca="1">IF(AND('Planning Sheet'!BA66='Weeks Plan'!$D$6,'Planning Sheet'!AU66='Weeks Plan'!$G$6),'Planning Sheet'!AW66,"")</f>
        <v/>
      </c>
    </row>
    <row r="556" spans="25:27" x14ac:dyDescent="0.3">
      <c r="Y556" s="48" t="str">
        <f ca="1">IF(AND('Planning Sheet'!BA67='Weeks Plan'!$D$6,'Planning Sheet'!AU67='Weeks Plan'!$G$6),'Planning Sheet'!$B67,"")</f>
        <v/>
      </c>
      <c r="Z556" s="48" t="str">
        <f ca="1">IF(AND('Planning Sheet'!BA67='Weeks Plan'!$D$6,'Planning Sheet'!AU67='Weeks Plan'!$G$6),'Planning Sheet'!$AV67,"")</f>
        <v/>
      </c>
      <c r="AA556" s="48" t="str">
        <f ca="1">IF(AND('Planning Sheet'!BA67='Weeks Plan'!$D$6,'Planning Sheet'!AU67='Weeks Plan'!$G$6),'Planning Sheet'!AW67,"")</f>
        <v/>
      </c>
    </row>
    <row r="557" spans="25:27" x14ac:dyDescent="0.3">
      <c r="Y557" s="48" t="str">
        <f ca="1">IF(AND('Planning Sheet'!BA68='Weeks Plan'!$D$6,'Planning Sheet'!AU68='Weeks Plan'!$G$6),'Planning Sheet'!$B68,"")</f>
        <v/>
      </c>
      <c r="Z557" s="48" t="str">
        <f ca="1">IF(AND('Planning Sheet'!BA68='Weeks Plan'!$D$6,'Planning Sheet'!AU68='Weeks Plan'!$G$6),'Planning Sheet'!$AV68,"")</f>
        <v/>
      </c>
      <c r="AA557" s="48" t="str">
        <f ca="1">IF(AND('Planning Sheet'!BA68='Weeks Plan'!$D$6,'Planning Sheet'!AU68='Weeks Plan'!$G$6),'Planning Sheet'!AW68,"")</f>
        <v/>
      </c>
    </row>
    <row r="558" spans="25:27" x14ac:dyDescent="0.3">
      <c r="Y558" s="48" t="str">
        <f ca="1">IF(AND('Planning Sheet'!BA69='Weeks Plan'!$D$6,'Planning Sheet'!AU69='Weeks Plan'!$G$6),'Planning Sheet'!$B69,"")</f>
        <v/>
      </c>
      <c r="Z558" s="48" t="str">
        <f ca="1">IF(AND('Planning Sheet'!BA69='Weeks Plan'!$D$6,'Planning Sheet'!AU69='Weeks Plan'!$G$6),'Planning Sheet'!$AV69,"")</f>
        <v/>
      </c>
      <c r="AA558" s="48" t="str">
        <f ca="1">IF(AND('Planning Sheet'!BA69='Weeks Plan'!$D$6,'Planning Sheet'!AU69='Weeks Plan'!$G$6),'Planning Sheet'!AW69,"")</f>
        <v/>
      </c>
    </row>
    <row r="559" spans="25:27" x14ac:dyDescent="0.3">
      <c r="Y559" s="48" t="str">
        <f ca="1">IF(AND('Planning Sheet'!BA70='Weeks Plan'!$D$6,'Planning Sheet'!AU70='Weeks Plan'!$G$6),'Planning Sheet'!$B70,"")</f>
        <v/>
      </c>
      <c r="Z559" s="48" t="str">
        <f ca="1">IF(AND('Planning Sheet'!BA70='Weeks Plan'!$D$6,'Planning Sheet'!AU70='Weeks Plan'!$G$6),'Planning Sheet'!$AV70,"")</f>
        <v/>
      </c>
      <c r="AA559" s="48" t="str">
        <f ca="1">IF(AND('Planning Sheet'!BA70='Weeks Plan'!$D$6,'Planning Sheet'!AU70='Weeks Plan'!$G$6),'Planning Sheet'!AW70,"")</f>
        <v/>
      </c>
    </row>
    <row r="560" spans="25:27" x14ac:dyDescent="0.3">
      <c r="Y560" s="48" t="str">
        <f ca="1">IF(AND('Planning Sheet'!BA71='Weeks Plan'!$D$6,'Planning Sheet'!AU71='Weeks Plan'!$G$6),'Planning Sheet'!$B71,"")</f>
        <v/>
      </c>
      <c r="Z560" s="48" t="str">
        <f ca="1">IF(AND('Planning Sheet'!BA71='Weeks Plan'!$D$6,'Planning Sheet'!AU71='Weeks Plan'!$G$6),'Planning Sheet'!$AV71,"")</f>
        <v/>
      </c>
      <c r="AA560" s="48" t="str">
        <f ca="1">IF(AND('Planning Sheet'!BA71='Weeks Plan'!$D$6,'Planning Sheet'!AU71='Weeks Plan'!$G$6),'Planning Sheet'!AW71,"")</f>
        <v/>
      </c>
    </row>
    <row r="561" spans="25:27" x14ac:dyDescent="0.3">
      <c r="Y561" s="48" t="str">
        <f ca="1">IF(AND('Planning Sheet'!BA72='Weeks Plan'!$D$6,'Planning Sheet'!AU72='Weeks Plan'!$G$6),'Planning Sheet'!$B72,"")</f>
        <v/>
      </c>
      <c r="Z561" s="48" t="str">
        <f ca="1">IF(AND('Planning Sheet'!BA72='Weeks Plan'!$D$6,'Planning Sheet'!AU72='Weeks Plan'!$G$6),'Planning Sheet'!$AV72,"")</f>
        <v/>
      </c>
      <c r="AA561" s="48" t="str">
        <f ca="1">IF(AND('Planning Sheet'!BA72='Weeks Plan'!$D$6,'Planning Sheet'!AU72='Weeks Plan'!$G$6),'Planning Sheet'!AW72,"")</f>
        <v/>
      </c>
    </row>
    <row r="562" spans="25:27" x14ac:dyDescent="0.3">
      <c r="Y562" s="48" t="str">
        <f ca="1">IF(AND('Planning Sheet'!BA73='Weeks Plan'!$D$6,'Planning Sheet'!AU73='Weeks Plan'!$G$6),'Planning Sheet'!$B73,"")</f>
        <v/>
      </c>
      <c r="Z562" s="48" t="str">
        <f ca="1">IF(AND('Planning Sheet'!BA73='Weeks Plan'!$D$6,'Planning Sheet'!AU73='Weeks Plan'!$G$6),'Planning Sheet'!$AV73,"")</f>
        <v/>
      </c>
      <c r="AA562" s="48" t="str">
        <f ca="1">IF(AND('Planning Sheet'!BA73='Weeks Plan'!$D$6,'Planning Sheet'!AU73='Weeks Plan'!$G$6),'Planning Sheet'!AW73,"")</f>
        <v/>
      </c>
    </row>
    <row r="563" spans="25:27" x14ac:dyDescent="0.3">
      <c r="Y563" s="48" t="str">
        <f ca="1">IF(AND('Planning Sheet'!BA74='Weeks Plan'!$D$6,'Planning Sheet'!AU74='Weeks Plan'!$G$6),'Planning Sheet'!$B74,"")</f>
        <v/>
      </c>
      <c r="Z563" s="48" t="str">
        <f ca="1">IF(AND('Planning Sheet'!BA74='Weeks Plan'!$D$6,'Planning Sheet'!AU74='Weeks Plan'!$G$6),'Planning Sheet'!$AV74,"")</f>
        <v/>
      </c>
      <c r="AA563" s="48" t="str">
        <f ca="1">IF(AND('Planning Sheet'!BA74='Weeks Plan'!$D$6,'Planning Sheet'!AU74='Weeks Plan'!$G$6),'Planning Sheet'!AW74,"")</f>
        <v/>
      </c>
    </row>
    <row r="564" spans="25:27" x14ac:dyDescent="0.3">
      <c r="Y564" s="48" t="str">
        <f ca="1">IF(AND('Planning Sheet'!BA75='Weeks Plan'!$D$6,'Planning Sheet'!AU75='Weeks Plan'!$G$6),'Planning Sheet'!$B75,"")</f>
        <v/>
      </c>
      <c r="Z564" s="48" t="str">
        <f ca="1">IF(AND('Planning Sheet'!BA75='Weeks Plan'!$D$6,'Planning Sheet'!AU75='Weeks Plan'!$G$6),'Planning Sheet'!$AV75,"")</f>
        <v/>
      </c>
      <c r="AA564" s="48" t="str">
        <f ca="1">IF(AND('Planning Sheet'!BA75='Weeks Plan'!$D$6,'Planning Sheet'!AU75='Weeks Plan'!$G$6),'Planning Sheet'!AW75,"")</f>
        <v/>
      </c>
    </row>
    <row r="565" spans="25:27" x14ac:dyDescent="0.3">
      <c r="Y565" s="48" t="str">
        <f ca="1">IF(AND('Planning Sheet'!BA76='Weeks Plan'!$D$6,'Planning Sheet'!AU76='Weeks Plan'!$G$6),'Planning Sheet'!$B76,"")</f>
        <v/>
      </c>
      <c r="Z565" s="48" t="str">
        <f ca="1">IF(AND('Planning Sheet'!BA76='Weeks Plan'!$D$6,'Planning Sheet'!AU76='Weeks Plan'!$G$6),'Planning Sheet'!$AV76,"")</f>
        <v/>
      </c>
      <c r="AA565" s="48" t="str">
        <f ca="1">IF(AND('Planning Sheet'!BA76='Weeks Plan'!$D$6,'Planning Sheet'!AU76='Weeks Plan'!$G$6),'Planning Sheet'!AW76,"")</f>
        <v/>
      </c>
    </row>
    <row r="566" spans="25:27" x14ac:dyDescent="0.3">
      <c r="Y566" s="48" t="str">
        <f ca="1">IF(AND('Planning Sheet'!BA77='Weeks Plan'!$D$6,'Planning Sheet'!AU77='Weeks Plan'!$G$6),'Planning Sheet'!$B77,"")</f>
        <v/>
      </c>
      <c r="Z566" s="48" t="str">
        <f ca="1">IF(AND('Planning Sheet'!BA77='Weeks Plan'!$D$6,'Planning Sheet'!AU77='Weeks Plan'!$G$6),'Planning Sheet'!$AV77,"")</f>
        <v/>
      </c>
      <c r="AA566" s="48" t="str">
        <f ca="1">IF(AND('Planning Sheet'!BA77='Weeks Plan'!$D$6,'Planning Sheet'!AU77='Weeks Plan'!$G$6),'Planning Sheet'!AW77,"")</f>
        <v/>
      </c>
    </row>
    <row r="567" spans="25:27" x14ac:dyDescent="0.3">
      <c r="Y567" s="48" t="str">
        <f ca="1">IF(AND('Planning Sheet'!BA78='Weeks Plan'!$D$6,'Planning Sheet'!AU78='Weeks Plan'!$G$6),'Planning Sheet'!$B78,"")</f>
        <v/>
      </c>
      <c r="Z567" s="48" t="str">
        <f ca="1">IF(AND('Planning Sheet'!BA78='Weeks Plan'!$D$6,'Planning Sheet'!AU78='Weeks Plan'!$G$6),'Planning Sheet'!$AV78,"")</f>
        <v/>
      </c>
      <c r="AA567" s="48" t="str">
        <f ca="1">IF(AND('Planning Sheet'!BA78='Weeks Plan'!$D$6,'Planning Sheet'!AU78='Weeks Plan'!$G$6),'Planning Sheet'!AW78,"")</f>
        <v/>
      </c>
    </row>
    <row r="568" spans="25:27" x14ac:dyDescent="0.3">
      <c r="Y568" s="48" t="str">
        <f ca="1">IF(AND('Planning Sheet'!BA79='Weeks Plan'!$D$6,'Planning Sheet'!AU79='Weeks Plan'!$G$6),'Planning Sheet'!$B79,"")</f>
        <v/>
      </c>
      <c r="Z568" s="48" t="str">
        <f ca="1">IF(AND('Planning Sheet'!BA79='Weeks Plan'!$D$6,'Planning Sheet'!AU79='Weeks Plan'!$G$6),'Planning Sheet'!$AV79,"")</f>
        <v/>
      </c>
      <c r="AA568" s="48" t="str">
        <f ca="1">IF(AND('Planning Sheet'!BA79='Weeks Plan'!$D$6,'Planning Sheet'!AU79='Weeks Plan'!$G$6),'Planning Sheet'!AW79,"")</f>
        <v/>
      </c>
    </row>
    <row r="569" spans="25:27" x14ac:dyDescent="0.3">
      <c r="Y569" s="48" t="str">
        <f ca="1">IF(AND('Planning Sheet'!BA80='Weeks Plan'!$D$6,'Planning Sheet'!AU80='Weeks Plan'!$G$6),'Planning Sheet'!$B80,"")</f>
        <v/>
      </c>
      <c r="Z569" s="48" t="str">
        <f ca="1">IF(AND('Planning Sheet'!BA80='Weeks Plan'!$D$6,'Planning Sheet'!AU80='Weeks Plan'!$G$6),'Planning Sheet'!$AV80,"")</f>
        <v/>
      </c>
      <c r="AA569" s="48" t="str">
        <f ca="1">IF(AND('Planning Sheet'!BA80='Weeks Plan'!$D$6,'Planning Sheet'!AU80='Weeks Plan'!$G$6),'Planning Sheet'!AW80,"")</f>
        <v/>
      </c>
    </row>
    <row r="570" spans="25:27" x14ac:dyDescent="0.3">
      <c r="Y570" s="48" t="str">
        <f ca="1">IF(AND('Planning Sheet'!BA81='Weeks Plan'!$D$6,'Planning Sheet'!AU81='Weeks Plan'!$G$6),'Planning Sheet'!$B81,"")</f>
        <v/>
      </c>
      <c r="Z570" s="48" t="str">
        <f ca="1">IF(AND('Planning Sheet'!BA81='Weeks Plan'!$D$6,'Planning Sheet'!AU81='Weeks Plan'!$G$6),'Planning Sheet'!$AV81,"")</f>
        <v/>
      </c>
      <c r="AA570" s="48" t="str">
        <f ca="1">IF(AND('Planning Sheet'!BA81='Weeks Plan'!$D$6,'Planning Sheet'!AU81='Weeks Plan'!$G$6),'Planning Sheet'!AW81,"")</f>
        <v/>
      </c>
    </row>
    <row r="571" spans="25:27" x14ac:dyDescent="0.3">
      <c r="Y571" s="48" t="str">
        <f ca="1">IF(AND('Planning Sheet'!BA82='Weeks Plan'!$D$6,'Planning Sheet'!AU82='Weeks Plan'!$G$6),'Planning Sheet'!$B82,"")</f>
        <v/>
      </c>
      <c r="Z571" s="48" t="str">
        <f ca="1">IF(AND('Planning Sheet'!BA82='Weeks Plan'!$D$6,'Planning Sheet'!AU82='Weeks Plan'!$G$6),'Planning Sheet'!$AV82,"")</f>
        <v/>
      </c>
      <c r="AA571" s="48" t="str">
        <f ca="1">IF(AND('Planning Sheet'!BA82='Weeks Plan'!$D$6,'Planning Sheet'!AU82='Weeks Plan'!$G$6),'Planning Sheet'!AW82,"")</f>
        <v/>
      </c>
    </row>
    <row r="572" spans="25:27" x14ac:dyDescent="0.3">
      <c r="Y572" s="48" t="str">
        <f ca="1">IF(AND('Planning Sheet'!BA83='Weeks Plan'!$D$6,'Planning Sheet'!AU83='Weeks Plan'!$G$6),'Planning Sheet'!$B83,"")</f>
        <v/>
      </c>
      <c r="Z572" s="48" t="str">
        <f ca="1">IF(AND('Planning Sheet'!BA83='Weeks Plan'!$D$6,'Planning Sheet'!AU83='Weeks Plan'!$G$6),'Planning Sheet'!$AV83,"")</f>
        <v/>
      </c>
      <c r="AA572" s="48" t="str">
        <f ca="1">IF(AND('Planning Sheet'!BA83='Weeks Plan'!$D$6,'Planning Sheet'!AU83='Weeks Plan'!$G$6),'Planning Sheet'!AW83,"")</f>
        <v/>
      </c>
    </row>
    <row r="573" spans="25:27" x14ac:dyDescent="0.3">
      <c r="Y573" s="48" t="str">
        <f ca="1">IF(AND('Planning Sheet'!BA84='Weeks Plan'!$D$6,'Planning Sheet'!AU84='Weeks Plan'!$G$6),'Planning Sheet'!$B84,"")</f>
        <v/>
      </c>
      <c r="Z573" s="48" t="str">
        <f ca="1">IF(AND('Planning Sheet'!BA84='Weeks Plan'!$D$6,'Planning Sheet'!AU84='Weeks Plan'!$G$6),'Planning Sheet'!$AV84,"")</f>
        <v/>
      </c>
      <c r="AA573" s="48" t="str">
        <f ca="1">IF(AND('Planning Sheet'!BA84='Weeks Plan'!$D$6,'Planning Sheet'!AU84='Weeks Plan'!$G$6),'Planning Sheet'!AW84,"")</f>
        <v/>
      </c>
    </row>
    <row r="574" spans="25:27" x14ac:dyDescent="0.3">
      <c r="Y574" s="48" t="str">
        <f ca="1">IF(AND('Planning Sheet'!BA85='Weeks Plan'!$D$6,'Planning Sheet'!AU85='Weeks Plan'!$G$6),'Planning Sheet'!$B85,"")</f>
        <v/>
      </c>
      <c r="Z574" s="48" t="str">
        <f ca="1">IF(AND('Planning Sheet'!BA85='Weeks Plan'!$D$6,'Planning Sheet'!AU85='Weeks Plan'!$G$6),'Planning Sheet'!$AV85,"")</f>
        <v/>
      </c>
      <c r="AA574" s="48" t="str">
        <f ca="1">IF(AND('Planning Sheet'!BA85='Weeks Plan'!$D$6,'Planning Sheet'!AU85='Weeks Plan'!$G$6),'Planning Sheet'!AW85,"")</f>
        <v/>
      </c>
    </row>
    <row r="575" spans="25:27" x14ac:dyDescent="0.3">
      <c r="Y575" s="48" t="str">
        <f ca="1">IF(AND('Planning Sheet'!BA86='Weeks Plan'!$D$6,'Planning Sheet'!AU86='Weeks Plan'!$G$6),'Planning Sheet'!$B86,"")</f>
        <v/>
      </c>
      <c r="Z575" s="48" t="str">
        <f ca="1">IF(AND('Planning Sheet'!BA86='Weeks Plan'!$D$6,'Planning Sheet'!AU86='Weeks Plan'!$G$6),'Planning Sheet'!$AV86,"")</f>
        <v/>
      </c>
      <c r="AA575" s="48" t="str">
        <f ca="1">IF(AND('Planning Sheet'!BA86='Weeks Plan'!$D$6,'Planning Sheet'!AU86='Weeks Plan'!$G$6),'Planning Sheet'!AW86,"")</f>
        <v/>
      </c>
    </row>
    <row r="576" spans="25:27" x14ac:dyDescent="0.3">
      <c r="Y576" s="48" t="str">
        <f ca="1">IF(AND('Planning Sheet'!BA87='Weeks Plan'!$D$6,'Planning Sheet'!AU87='Weeks Plan'!$G$6),'Planning Sheet'!$B87,"")</f>
        <v/>
      </c>
      <c r="Z576" s="48" t="str">
        <f ca="1">IF(AND('Planning Sheet'!BA87='Weeks Plan'!$D$6,'Planning Sheet'!AU87='Weeks Plan'!$G$6),'Planning Sheet'!$AV87,"")</f>
        <v/>
      </c>
      <c r="AA576" s="48" t="str">
        <f ca="1">IF(AND('Planning Sheet'!BA87='Weeks Plan'!$D$6,'Planning Sheet'!AU87='Weeks Plan'!$G$6),'Planning Sheet'!AW87,"")</f>
        <v/>
      </c>
    </row>
    <row r="577" spans="25:27" x14ac:dyDescent="0.3">
      <c r="Y577" s="48" t="str">
        <f ca="1">IF(AND('Planning Sheet'!BA88='Weeks Plan'!$D$6,'Planning Sheet'!AU88='Weeks Plan'!$G$6),'Planning Sheet'!$B88,"")</f>
        <v/>
      </c>
      <c r="Z577" s="48" t="str">
        <f ca="1">IF(AND('Planning Sheet'!BA88='Weeks Plan'!$D$6,'Planning Sheet'!AU88='Weeks Plan'!$G$6),'Planning Sheet'!$AV88,"")</f>
        <v/>
      </c>
      <c r="AA577" s="48" t="str">
        <f ca="1">IF(AND('Planning Sheet'!BA88='Weeks Plan'!$D$6,'Planning Sheet'!AU88='Weeks Plan'!$G$6),'Planning Sheet'!AW88,"")</f>
        <v/>
      </c>
    </row>
    <row r="578" spans="25:27" x14ac:dyDescent="0.3">
      <c r="Y578" s="48" t="str">
        <f ca="1">IF(AND('Planning Sheet'!BA89='Weeks Plan'!$D$6,'Planning Sheet'!AU89='Weeks Plan'!$G$6),'Planning Sheet'!$B89,"")</f>
        <v/>
      </c>
      <c r="Z578" s="48" t="str">
        <f ca="1">IF(AND('Planning Sheet'!BA89='Weeks Plan'!$D$6,'Planning Sheet'!AU89='Weeks Plan'!$G$6),'Planning Sheet'!$AV89,"")</f>
        <v/>
      </c>
      <c r="AA578" s="48" t="str">
        <f ca="1">IF(AND('Planning Sheet'!BA89='Weeks Plan'!$D$6,'Planning Sheet'!AU89='Weeks Plan'!$G$6),'Planning Sheet'!AW89,"")</f>
        <v/>
      </c>
    </row>
    <row r="579" spans="25:27" x14ac:dyDescent="0.3">
      <c r="Y579" s="48" t="str">
        <f ca="1">IF(AND('Planning Sheet'!BA90='Weeks Plan'!$D$6,'Planning Sheet'!AU90='Weeks Plan'!$G$6),'Planning Sheet'!$B90,"")</f>
        <v/>
      </c>
      <c r="Z579" s="48" t="str">
        <f ca="1">IF(AND('Planning Sheet'!BA90='Weeks Plan'!$D$6,'Planning Sheet'!AU90='Weeks Plan'!$G$6),'Planning Sheet'!$AV90,"")</f>
        <v/>
      </c>
      <c r="AA579" s="48" t="str">
        <f ca="1">IF(AND('Planning Sheet'!BA90='Weeks Plan'!$D$6,'Planning Sheet'!AU90='Weeks Plan'!$G$6),'Planning Sheet'!AW90,"")</f>
        <v/>
      </c>
    </row>
    <row r="580" spans="25:27" x14ac:dyDescent="0.3">
      <c r="Y580" s="48" t="str">
        <f ca="1">IF(AND('Planning Sheet'!BA91='Weeks Plan'!$D$6,'Planning Sheet'!AU91='Weeks Plan'!$G$6),'Planning Sheet'!$B91,"")</f>
        <v/>
      </c>
      <c r="Z580" s="48" t="str">
        <f ca="1">IF(AND('Planning Sheet'!BA91='Weeks Plan'!$D$6,'Planning Sheet'!AU91='Weeks Plan'!$G$6),'Planning Sheet'!$AV91,"")</f>
        <v/>
      </c>
      <c r="AA580" s="48" t="str">
        <f ca="1">IF(AND('Planning Sheet'!BA91='Weeks Plan'!$D$6,'Planning Sheet'!AU91='Weeks Plan'!$G$6),'Planning Sheet'!AW91,"")</f>
        <v/>
      </c>
    </row>
    <row r="581" spans="25:27" x14ac:dyDescent="0.3">
      <c r="Y581" s="48" t="str">
        <f ca="1">IF(AND('Planning Sheet'!BA92='Weeks Plan'!$D$6,'Planning Sheet'!AU92='Weeks Plan'!$G$6),'Planning Sheet'!$B92,"")</f>
        <v/>
      </c>
      <c r="Z581" s="48" t="str">
        <f ca="1">IF(AND('Planning Sheet'!BA92='Weeks Plan'!$D$6,'Planning Sheet'!AU92='Weeks Plan'!$G$6),'Planning Sheet'!$AV92,"")</f>
        <v/>
      </c>
      <c r="AA581" s="48" t="str">
        <f ca="1">IF(AND('Planning Sheet'!BA92='Weeks Plan'!$D$6,'Planning Sheet'!AU92='Weeks Plan'!$G$6),'Planning Sheet'!AW92,"")</f>
        <v/>
      </c>
    </row>
    <row r="582" spans="25:27" x14ac:dyDescent="0.3">
      <c r="Y582" s="48" t="str">
        <f ca="1">IF(AND('Planning Sheet'!BA93='Weeks Plan'!$D$6,'Planning Sheet'!AU93='Weeks Plan'!$G$6),'Planning Sheet'!$B93,"")</f>
        <v/>
      </c>
      <c r="Z582" s="48" t="str">
        <f ca="1">IF(AND('Planning Sheet'!BA93='Weeks Plan'!$D$6,'Planning Sheet'!AU93='Weeks Plan'!$G$6),'Planning Sheet'!$AV93,"")</f>
        <v/>
      </c>
      <c r="AA582" s="48" t="str">
        <f ca="1">IF(AND('Planning Sheet'!BA93='Weeks Plan'!$D$6,'Planning Sheet'!AU93='Weeks Plan'!$G$6),'Planning Sheet'!AW93,"")</f>
        <v/>
      </c>
    </row>
    <row r="583" spans="25:27" x14ac:dyDescent="0.3">
      <c r="Y583" s="48" t="str">
        <f ca="1">IF(AND('Planning Sheet'!BA94='Weeks Plan'!$D$6,'Planning Sheet'!AU94='Weeks Plan'!$G$6),'Planning Sheet'!$B94,"")</f>
        <v/>
      </c>
      <c r="Z583" s="48" t="str">
        <f ca="1">IF(AND('Planning Sheet'!BA94='Weeks Plan'!$D$6,'Planning Sheet'!AU94='Weeks Plan'!$G$6),'Planning Sheet'!$AV94,"")</f>
        <v/>
      </c>
      <c r="AA583" s="48" t="str">
        <f ca="1">IF(AND('Planning Sheet'!BA94='Weeks Plan'!$D$6,'Planning Sheet'!AU94='Weeks Plan'!$G$6),'Planning Sheet'!AW94,"")</f>
        <v/>
      </c>
    </row>
    <row r="584" spans="25:27" x14ac:dyDescent="0.3">
      <c r="Y584" s="48" t="str">
        <f ca="1">IF(AND('Planning Sheet'!BA95='Weeks Plan'!$D$6,'Planning Sheet'!AU95='Weeks Plan'!$G$6),'Planning Sheet'!$B95,"")</f>
        <v/>
      </c>
      <c r="Z584" s="48" t="str">
        <f ca="1">IF(AND('Planning Sheet'!BA95='Weeks Plan'!$D$6,'Planning Sheet'!AU95='Weeks Plan'!$G$6),'Planning Sheet'!$AV95,"")</f>
        <v/>
      </c>
      <c r="AA584" s="48" t="str">
        <f ca="1">IF(AND('Planning Sheet'!BA95='Weeks Plan'!$D$6,'Planning Sheet'!AU95='Weeks Plan'!$G$6),'Planning Sheet'!AW95,"")</f>
        <v/>
      </c>
    </row>
    <row r="585" spans="25:27" x14ac:dyDescent="0.3">
      <c r="Y585" s="48" t="str">
        <f ca="1">IF(AND('Planning Sheet'!BA96='Weeks Plan'!$D$6,'Planning Sheet'!AU96='Weeks Plan'!$G$6),'Planning Sheet'!$B96,"")</f>
        <v/>
      </c>
      <c r="Z585" s="48" t="str">
        <f ca="1">IF(AND('Planning Sheet'!BA96='Weeks Plan'!$D$6,'Planning Sheet'!AU96='Weeks Plan'!$G$6),'Planning Sheet'!$AV96,"")</f>
        <v/>
      </c>
      <c r="AA585" s="48" t="str">
        <f ca="1">IF(AND('Planning Sheet'!BA96='Weeks Plan'!$D$6,'Planning Sheet'!AU96='Weeks Plan'!$G$6),'Planning Sheet'!AW96,"")</f>
        <v/>
      </c>
    </row>
    <row r="586" spans="25:27" x14ac:dyDescent="0.3">
      <c r="Y586" s="48" t="str">
        <f ca="1">IF(AND('Planning Sheet'!BA97='Weeks Plan'!$D$6,'Planning Sheet'!AU97='Weeks Plan'!$G$6),'Planning Sheet'!$B97,"")</f>
        <v/>
      </c>
      <c r="Z586" s="48" t="str">
        <f ca="1">IF(AND('Planning Sheet'!BA97='Weeks Plan'!$D$6,'Planning Sheet'!AU97='Weeks Plan'!$G$6),'Planning Sheet'!$AV97,"")</f>
        <v/>
      </c>
      <c r="AA586" s="48" t="str">
        <f ca="1">IF(AND('Planning Sheet'!BA97='Weeks Plan'!$D$6,'Planning Sheet'!AU97='Weeks Plan'!$G$6),'Planning Sheet'!AW97,"")</f>
        <v/>
      </c>
    </row>
    <row r="587" spans="25:27" x14ac:dyDescent="0.3">
      <c r="Y587" s="48" t="str">
        <f ca="1">IF(AND('Planning Sheet'!BA98='Weeks Plan'!$D$6,'Planning Sheet'!AU98='Weeks Plan'!$G$6),'Planning Sheet'!$B98,"")</f>
        <v/>
      </c>
      <c r="Z587" s="48" t="str">
        <f ca="1">IF(AND('Planning Sheet'!BA98='Weeks Plan'!$D$6,'Planning Sheet'!AU98='Weeks Plan'!$G$6),'Planning Sheet'!$AV98,"")</f>
        <v/>
      </c>
      <c r="AA587" s="48" t="str">
        <f ca="1">IF(AND('Planning Sheet'!BA98='Weeks Plan'!$D$6,'Planning Sheet'!AU98='Weeks Plan'!$G$6),'Planning Sheet'!AW98,"")</f>
        <v/>
      </c>
    </row>
    <row r="588" spans="25:27" x14ac:dyDescent="0.3">
      <c r="Y588" s="48" t="str">
        <f ca="1">IF(AND('Planning Sheet'!BA99='Weeks Plan'!$D$6,'Planning Sheet'!AU99='Weeks Plan'!$G$6),'Planning Sheet'!$B99,"")</f>
        <v/>
      </c>
      <c r="Z588" s="48" t="str">
        <f ca="1">IF(AND('Planning Sheet'!BA99='Weeks Plan'!$D$6,'Planning Sheet'!AU99='Weeks Plan'!$G$6),'Planning Sheet'!$AV99,"")</f>
        <v/>
      </c>
      <c r="AA588" s="48" t="str">
        <f ca="1">IF(AND('Planning Sheet'!BA99='Weeks Plan'!$D$6,'Planning Sheet'!AU99='Weeks Plan'!$G$6),'Planning Sheet'!AW99,"")</f>
        <v/>
      </c>
    </row>
    <row r="589" spans="25:27" x14ac:dyDescent="0.3">
      <c r="Y589" s="48" t="str">
        <f ca="1">IF(AND('Planning Sheet'!BA100='Weeks Plan'!$D$6,'Planning Sheet'!AU100='Weeks Plan'!$G$6),'Planning Sheet'!$B100,"")</f>
        <v/>
      </c>
      <c r="Z589" s="48" t="str">
        <f ca="1">IF(AND('Planning Sheet'!BA100='Weeks Plan'!$D$6,'Planning Sheet'!AU100='Weeks Plan'!$G$6),'Planning Sheet'!$AV100,"")</f>
        <v/>
      </c>
      <c r="AA589" s="48" t="str">
        <f ca="1">IF(AND('Planning Sheet'!BA100='Weeks Plan'!$D$6,'Planning Sheet'!AU100='Weeks Plan'!$G$6),'Planning Sheet'!AW100,"")</f>
        <v/>
      </c>
    </row>
    <row r="590" spans="25:27" x14ac:dyDescent="0.3">
      <c r="Y590" s="48" t="str">
        <f ca="1">IF(AND('Planning Sheet'!BA101='Weeks Plan'!$D$6,'Planning Sheet'!AU101='Weeks Plan'!$G$6),'Planning Sheet'!$B101,"")</f>
        <v/>
      </c>
      <c r="Z590" s="48" t="str">
        <f ca="1">IF(AND('Planning Sheet'!BA101='Weeks Plan'!$D$6,'Planning Sheet'!AU101='Weeks Plan'!$G$6),'Planning Sheet'!$AV101,"")</f>
        <v/>
      </c>
      <c r="AA590" s="48" t="str">
        <f ca="1">IF(AND('Planning Sheet'!BA101='Weeks Plan'!$D$6,'Planning Sheet'!AU101='Weeks Plan'!$G$6),'Planning Sheet'!AW101,"")</f>
        <v/>
      </c>
    </row>
    <row r="591" spans="25:27" x14ac:dyDescent="0.3">
      <c r="Y591" s="48" t="str">
        <f ca="1">IF(AND('Planning Sheet'!BA102='Weeks Plan'!$D$6,'Planning Sheet'!AU102='Weeks Plan'!$G$6),'Planning Sheet'!$B102,"")</f>
        <v/>
      </c>
      <c r="Z591" s="48" t="str">
        <f ca="1">IF(AND('Planning Sheet'!BA102='Weeks Plan'!$D$6,'Planning Sheet'!AU102='Weeks Plan'!$G$6),'Planning Sheet'!$AV102,"")</f>
        <v/>
      </c>
      <c r="AA591" s="48" t="str">
        <f ca="1">IF(AND('Planning Sheet'!BA102='Weeks Plan'!$D$6,'Planning Sheet'!AU102='Weeks Plan'!$G$6),'Planning Sheet'!AW102,"")</f>
        <v/>
      </c>
    </row>
    <row r="592" spans="25:27" x14ac:dyDescent="0.3">
      <c r="Y592" s="48" t="str">
        <f ca="1">IF(AND('Planning Sheet'!BA103='Weeks Plan'!$D$6,'Planning Sheet'!AU103='Weeks Plan'!$G$6),'Planning Sheet'!$B103,"")</f>
        <v/>
      </c>
      <c r="Z592" s="48" t="str">
        <f ca="1">IF(AND('Planning Sheet'!BA103='Weeks Plan'!$D$6,'Planning Sheet'!AU103='Weeks Plan'!$G$6),'Planning Sheet'!$AV103,"")</f>
        <v/>
      </c>
      <c r="AA592" s="48" t="str">
        <f ca="1">IF(AND('Planning Sheet'!BA103='Weeks Plan'!$D$6,'Planning Sheet'!AU103='Weeks Plan'!$G$6),'Planning Sheet'!AW103,"")</f>
        <v/>
      </c>
    </row>
    <row r="593" spans="25:27" x14ac:dyDescent="0.3">
      <c r="Y593" s="48" t="str">
        <f ca="1">IF(AND('Planning Sheet'!BA104='Weeks Plan'!$D$6,'Planning Sheet'!AU104='Weeks Plan'!$G$6),'Planning Sheet'!$B104,"")</f>
        <v/>
      </c>
      <c r="Z593" s="48" t="str">
        <f ca="1">IF(AND('Planning Sheet'!BA104='Weeks Plan'!$D$6,'Planning Sheet'!AU104='Weeks Plan'!$G$6),'Planning Sheet'!$AV104,"")</f>
        <v/>
      </c>
      <c r="AA593" s="48" t="str">
        <f ca="1">IF(AND('Planning Sheet'!BA104='Weeks Plan'!$D$6,'Planning Sheet'!AU104='Weeks Plan'!$G$6),'Planning Sheet'!AW104,"")</f>
        <v/>
      </c>
    </row>
    <row r="594" spans="25:27" x14ac:dyDescent="0.3">
      <c r="Y594" s="48" t="str">
        <f ca="1">IF(AND('Planning Sheet'!BA105='Weeks Plan'!$D$6,'Planning Sheet'!AU105='Weeks Plan'!$G$6),'Planning Sheet'!$B105,"")</f>
        <v/>
      </c>
      <c r="Z594" s="48" t="str">
        <f ca="1">IF(AND('Planning Sheet'!BA105='Weeks Plan'!$D$6,'Planning Sheet'!AU105='Weeks Plan'!$G$6),'Planning Sheet'!$AV105,"")</f>
        <v/>
      </c>
      <c r="AA594" s="48" t="str">
        <f ca="1">IF(AND('Planning Sheet'!BA105='Weeks Plan'!$D$6,'Planning Sheet'!AU105='Weeks Plan'!$G$6),'Planning Sheet'!AW105,"")</f>
        <v/>
      </c>
    </row>
    <row r="595" spans="25:27" x14ac:dyDescent="0.3">
      <c r="Y595" s="48" t="str">
        <f ca="1">IF(AND('Planning Sheet'!BA106='Weeks Plan'!$D$6,'Planning Sheet'!AU106='Weeks Plan'!$G$6),'Planning Sheet'!$B106,"")</f>
        <v/>
      </c>
      <c r="Z595" s="48" t="str">
        <f ca="1">IF(AND('Planning Sheet'!BA106='Weeks Plan'!$D$6,'Planning Sheet'!AU106='Weeks Plan'!$G$6),'Planning Sheet'!$AV106,"")</f>
        <v/>
      </c>
      <c r="AA595" s="48" t="str">
        <f ca="1">IF(AND('Planning Sheet'!BA106='Weeks Plan'!$D$6,'Planning Sheet'!AU106='Weeks Plan'!$G$6),'Planning Sheet'!AW106,"")</f>
        <v/>
      </c>
    </row>
    <row r="596" spans="25:27" x14ac:dyDescent="0.3">
      <c r="Y596" s="48" t="str">
        <f ca="1">IF(AND('Planning Sheet'!BA107='Weeks Plan'!$D$6,'Planning Sheet'!AU107='Weeks Plan'!$G$6),'Planning Sheet'!$B107,"")</f>
        <v/>
      </c>
      <c r="Z596" s="48" t="str">
        <f ca="1">IF(AND('Planning Sheet'!BA107='Weeks Plan'!$D$6,'Planning Sheet'!AU107='Weeks Plan'!$G$6),'Planning Sheet'!$AV107,"")</f>
        <v/>
      </c>
      <c r="AA596" s="48" t="str">
        <f ca="1">IF(AND('Planning Sheet'!BA107='Weeks Plan'!$D$6,'Planning Sheet'!AU107='Weeks Plan'!$G$6),'Planning Sheet'!AW107,"")</f>
        <v/>
      </c>
    </row>
    <row r="597" spans="25:27" x14ac:dyDescent="0.3">
      <c r="Y597" s="48" t="str">
        <f ca="1">IF(AND('Planning Sheet'!BA108='Weeks Plan'!$D$6,'Planning Sheet'!AU108='Weeks Plan'!$G$6),'Planning Sheet'!$B108,"")</f>
        <v/>
      </c>
      <c r="Z597" s="48" t="str">
        <f ca="1">IF(AND('Planning Sheet'!BA108='Weeks Plan'!$D$6,'Planning Sheet'!AU108='Weeks Plan'!$G$6),'Planning Sheet'!$AV108,"")</f>
        <v/>
      </c>
      <c r="AA597" s="48" t="str">
        <f ca="1">IF(AND('Planning Sheet'!BA108='Weeks Plan'!$D$6,'Planning Sheet'!AU108='Weeks Plan'!$G$6),'Planning Sheet'!AW108,"")</f>
        <v/>
      </c>
    </row>
    <row r="598" spans="25:27" x14ac:dyDescent="0.3">
      <c r="Y598" s="48" t="str">
        <f ca="1">IF(AND('Planning Sheet'!BA109='Weeks Plan'!$D$6,'Planning Sheet'!AU109='Weeks Plan'!$G$6),'Planning Sheet'!$B109,"")</f>
        <v/>
      </c>
      <c r="Z598" s="48" t="str">
        <f ca="1">IF(AND('Planning Sheet'!BA109='Weeks Plan'!$D$6,'Planning Sheet'!AU109='Weeks Plan'!$G$6),'Planning Sheet'!$AV109,"")</f>
        <v/>
      </c>
      <c r="AA598" s="48" t="str">
        <f ca="1">IF(AND('Planning Sheet'!BA109='Weeks Plan'!$D$6,'Planning Sheet'!AU109='Weeks Plan'!$G$6),'Planning Sheet'!AW109,"")</f>
        <v/>
      </c>
    </row>
    <row r="599" spans="25:27" x14ac:dyDescent="0.3">
      <c r="Y599" s="48" t="str">
        <f ca="1">IF(AND('Planning Sheet'!BA110='Weeks Plan'!$D$6,'Planning Sheet'!AU110='Weeks Plan'!$G$6),'Planning Sheet'!$B110,"")</f>
        <v/>
      </c>
      <c r="Z599" s="48" t="str">
        <f ca="1">IF(AND('Planning Sheet'!BA110='Weeks Plan'!$D$6,'Planning Sheet'!AU110='Weeks Plan'!$G$6),'Planning Sheet'!$AV110,"")</f>
        <v/>
      </c>
      <c r="AA599" s="48" t="str">
        <f ca="1">IF(AND('Planning Sheet'!BA110='Weeks Plan'!$D$6,'Planning Sheet'!AU110='Weeks Plan'!$G$6),'Planning Sheet'!AW110,"")</f>
        <v/>
      </c>
    </row>
    <row r="600" spans="25:27" x14ac:dyDescent="0.3">
      <c r="Y600" s="48" t="str">
        <f ca="1">IF(AND('Planning Sheet'!BA111='Weeks Plan'!$D$6,'Planning Sheet'!AU111='Weeks Plan'!$G$6),'Planning Sheet'!$B111,"")</f>
        <v/>
      </c>
      <c r="Z600" s="48" t="str">
        <f ca="1">IF(AND('Planning Sheet'!BA111='Weeks Plan'!$D$6,'Planning Sheet'!AU111='Weeks Plan'!$G$6),'Planning Sheet'!$AV111,"")</f>
        <v/>
      </c>
      <c r="AA600" s="48" t="str">
        <f ca="1">IF(AND('Planning Sheet'!BA111='Weeks Plan'!$D$6,'Planning Sheet'!AU111='Weeks Plan'!$G$6),'Planning Sheet'!AW111,"")</f>
        <v/>
      </c>
    </row>
    <row r="601" spans="25:27" x14ac:dyDescent="0.3">
      <c r="Y601" s="48" t="str">
        <f ca="1">IF(AND('Planning Sheet'!BA112='Weeks Plan'!$D$6,'Planning Sheet'!AU112='Weeks Plan'!$G$6),'Planning Sheet'!$B112,"")</f>
        <v/>
      </c>
      <c r="Z601" s="48" t="str">
        <f ca="1">IF(AND('Planning Sheet'!BA112='Weeks Plan'!$D$6,'Planning Sheet'!AU112='Weeks Plan'!$G$6),'Planning Sheet'!$AV112,"")</f>
        <v/>
      </c>
      <c r="AA601" s="48" t="str">
        <f ca="1">IF(AND('Planning Sheet'!BA112='Weeks Plan'!$D$6,'Planning Sheet'!AU112='Weeks Plan'!$G$6),'Planning Sheet'!AW112,"")</f>
        <v/>
      </c>
    </row>
    <row r="602" spans="25:27" x14ac:dyDescent="0.3">
      <c r="Y602" s="48" t="str">
        <f ca="1">IF(AND('Planning Sheet'!BA113='Weeks Plan'!$D$6,'Planning Sheet'!AU113='Weeks Plan'!$G$6),'Planning Sheet'!$B113,"")</f>
        <v/>
      </c>
      <c r="Z602" s="48" t="str">
        <f ca="1">IF(AND('Planning Sheet'!BA113='Weeks Plan'!$D$6,'Planning Sheet'!AU113='Weeks Plan'!$G$6),'Planning Sheet'!$AV113,"")</f>
        <v/>
      </c>
      <c r="AA602" s="48" t="str">
        <f ca="1">IF(AND('Planning Sheet'!BA113='Weeks Plan'!$D$6,'Planning Sheet'!AU113='Weeks Plan'!$G$6),'Planning Sheet'!AW113,"")</f>
        <v/>
      </c>
    </row>
    <row r="603" spans="25:27" x14ac:dyDescent="0.3">
      <c r="Y603" s="48" t="str">
        <f ca="1">IF(AND('Planning Sheet'!BA114='Weeks Plan'!$D$6,'Planning Sheet'!AU114='Weeks Plan'!$G$6),'Planning Sheet'!$B114,"")</f>
        <v/>
      </c>
      <c r="Z603" s="48" t="str">
        <f ca="1">IF(AND('Planning Sheet'!BA114='Weeks Plan'!$D$6,'Planning Sheet'!AU114='Weeks Plan'!$G$6),'Planning Sheet'!$AV114,"")</f>
        <v/>
      </c>
      <c r="AA603" s="48" t="str">
        <f ca="1">IF(AND('Planning Sheet'!BA114='Weeks Plan'!$D$6,'Planning Sheet'!AU114='Weeks Plan'!$G$6),'Planning Sheet'!AW114,"")</f>
        <v/>
      </c>
    </row>
    <row r="604" spans="25:27" x14ac:dyDescent="0.3">
      <c r="Y604" s="48" t="str">
        <f ca="1">IF(AND('Planning Sheet'!BA115='Weeks Plan'!$D$6,'Planning Sheet'!AU115='Weeks Plan'!$G$6),'Planning Sheet'!$B115,"")</f>
        <v/>
      </c>
      <c r="Z604" s="48" t="str">
        <f ca="1">IF(AND('Planning Sheet'!BA115='Weeks Plan'!$D$6,'Planning Sheet'!AU115='Weeks Plan'!$G$6),'Planning Sheet'!$AV115,"")</f>
        <v/>
      </c>
      <c r="AA604" s="48" t="str">
        <f ca="1">IF(AND('Planning Sheet'!BA115='Weeks Plan'!$D$6,'Planning Sheet'!AU115='Weeks Plan'!$G$6),'Planning Sheet'!AW115,"")</f>
        <v/>
      </c>
    </row>
    <row r="605" spans="25:27" x14ac:dyDescent="0.3">
      <c r="Y605" s="48" t="str">
        <f ca="1">IF(AND('Planning Sheet'!BA116='Weeks Plan'!$D$6,'Planning Sheet'!AU116='Weeks Plan'!$G$6),'Planning Sheet'!$B116,"")</f>
        <v/>
      </c>
      <c r="Z605" s="48" t="str">
        <f ca="1">IF(AND('Planning Sheet'!BA116='Weeks Plan'!$D$6,'Planning Sheet'!AU116='Weeks Plan'!$G$6),'Planning Sheet'!$AV116,"")</f>
        <v/>
      </c>
      <c r="AA605" s="48" t="str">
        <f ca="1">IF(AND('Planning Sheet'!BA116='Weeks Plan'!$D$6,'Planning Sheet'!AU116='Weeks Plan'!$G$6),'Planning Sheet'!AW116,"")</f>
        <v/>
      </c>
    </row>
    <row r="606" spans="25:27" x14ac:dyDescent="0.3">
      <c r="Y606" s="48" t="str">
        <f ca="1">IF(AND('Planning Sheet'!BA117='Weeks Plan'!$D$6,'Planning Sheet'!AU117='Weeks Plan'!$G$6),'Planning Sheet'!$B117,"")</f>
        <v/>
      </c>
      <c r="Z606" s="48" t="str">
        <f ca="1">IF(AND('Planning Sheet'!BA117='Weeks Plan'!$D$6,'Planning Sheet'!AU117='Weeks Plan'!$G$6),'Planning Sheet'!$AV117,"")</f>
        <v/>
      </c>
      <c r="AA606" s="48" t="str">
        <f ca="1">IF(AND('Planning Sheet'!BA117='Weeks Plan'!$D$6,'Planning Sheet'!AU117='Weeks Plan'!$G$6),'Planning Sheet'!AW117,"")</f>
        <v/>
      </c>
    </row>
    <row r="607" spans="25:27" x14ac:dyDescent="0.3">
      <c r="Y607" s="48" t="str">
        <f ca="1">IF(AND('Planning Sheet'!BA118='Weeks Plan'!$D$6,'Planning Sheet'!AU118='Weeks Plan'!$G$6),'Planning Sheet'!$B118,"")</f>
        <v/>
      </c>
      <c r="Z607" s="48" t="str">
        <f ca="1">IF(AND('Planning Sheet'!BA118='Weeks Plan'!$D$6,'Planning Sheet'!AU118='Weeks Plan'!$G$6),'Planning Sheet'!$AV118,"")</f>
        <v/>
      </c>
      <c r="AA607" s="48" t="str">
        <f ca="1">IF(AND('Planning Sheet'!BA118='Weeks Plan'!$D$6,'Planning Sheet'!AU118='Weeks Plan'!$G$6),'Planning Sheet'!AW118,"")</f>
        <v/>
      </c>
    </row>
    <row r="608" spans="25:27" x14ac:dyDescent="0.3">
      <c r="Y608" s="48" t="str">
        <f ca="1">IF(AND('Planning Sheet'!BA119='Weeks Plan'!$D$6,'Planning Sheet'!AU119='Weeks Plan'!$G$6),'Planning Sheet'!$B119,"")</f>
        <v/>
      </c>
      <c r="Z608" s="48" t="str">
        <f ca="1">IF(AND('Planning Sheet'!BA119='Weeks Plan'!$D$6,'Planning Sheet'!AU119='Weeks Plan'!$G$6),'Planning Sheet'!$AV119,"")</f>
        <v/>
      </c>
      <c r="AA608" s="48" t="str">
        <f ca="1">IF(AND('Planning Sheet'!BA119='Weeks Plan'!$D$6,'Planning Sheet'!AU119='Weeks Plan'!$G$6),'Planning Sheet'!AW119,"")</f>
        <v/>
      </c>
    </row>
    <row r="609" spans="25:27" x14ac:dyDescent="0.3">
      <c r="Y609" s="48" t="str">
        <f ca="1">IF(AND('Planning Sheet'!BA120='Weeks Plan'!$D$6,'Planning Sheet'!AU120='Weeks Plan'!$G$6),'Planning Sheet'!$B120,"")</f>
        <v/>
      </c>
      <c r="Z609" s="48" t="str">
        <f ca="1">IF(AND('Planning Sheet'!BA120='Weeks Plan'!$D$6,'Planning Sheet'!AU120='Weeks Plan'!$G$6),'Planning Sheet'!$AV120,"")</f>
        <v/>
      </c>
      <c r="AA609" s="48" t="str">
        <f ca="1">IF(AND('Planning Sheet'!BA120='Weeks Plan'!$D$6,'Planning Sheet'!AU120='Weeks Plan'!$G$6),'Planning Sheet'!AW120,"")</f>
        <v/>
      </c>
    </row>
    <row r="610" spans="25:27" x14ac:dyDescent="0.3">
      <c r="Y610" s="48" t="str">
        <f ca="1">IF(AND('Planning Sheet'!BA121='Weeks Plan'!$D$6,'Planning Sheet'!AU121='Weeks Plan'!$G$6),'Planning Sheet'!$B121,"")</f>
        <v/>
      </c>
      <c r="Z610" s="48" t="str">
        <f ca="1">IF(AND('Planning Sheet'!BA121='Weeks Plan'!$D$6,'Planning Sheet'!AU121='Weeks Plan'!$G$6),'Planning Sheet'!$AV121,"")</f>
        <v/>
      </c>
      <c r="AA610" s="48" t="str">
        <f ca="1">IF(AND('Planning Sheet'!BA121='Weeks Plan'!$D$6,'Planning Sheet'!AU121='Weeks Plan'!$G$6),'Planning Sheet'!AW121,"")</f>
        <v/>
      </c>
    </row>
    <row r="611" spans="25:27" x14ac:dyDescent="0.3">
      <c r="Y611" s="48" t="str">
        <f ca="1">IF(AND('Planning Sheet'!BA122='Weeks Plan'!$D$6,'Planning Sheet'!AU122='Weeks Plan'!$G$6),'Planning Sheet'!$B122,"")</f>
        <v/>
      </c>
      <c r="Z611" s="48" t="str">
        <f ca="1">IF(AND('Planning Sheet'!BA122='Weeks Plan'!$D$6,'Planning Sheet'!AU122='Weeks Plan'!$G$6),'Planning Sheet'!$AV122,"")</f>
        <v/>
      </c>
      <c r="AA611" s="48" t="str">
        <f ca="1">IF(AND('Planning Sheet'!BA122='Weeks Plan'!$D$6,'Planning Sheet'!AU122='Weeks Plan'!$G$6),'Planning Sheet'!AW122,"")</f>
        <v/>
      </c>
    </row>
    <row r="612" spans="25:27" x14ac:dyDescent="0.3">
      <c r="Y612" s="48" t="str">
        <f ca="1">IF(AND('Planning Sheet'!BA123='Weeks Plan'!$D$6,'Planning Sheet'!AU123='Weeks Plan'!$G$6),'Planning Sheet'!$B123,"")</f>
        <v/>
      </c>
      <c r="Z612" s="48" t="str">
        <f ca="1">IF(AND('Planning Sheet'!BA123='Weeks Plan'!$D$6,'Planning Sheet'!AU123='Weeks Plan'!$G$6),'Planning Sheet'!$AV123,"")</f>
        <v/>
      </c>
      <c r="AA612" s="48" t="str">
        <f ca="1">IF(AND('Planning Sheet'!BA123='Weeks Plan'!$D$6,'Planning Sheet'!AU123='Weeks Plan'!$G$6),'Planning Sheet'!AW123,"")</f>
        <v/>
      </c>
    </row>
    <row r="613" spans="25:27" x14ac:dyDescent="0.3">
      <c r="Y613" s="48" t="str">
        <f ca="1">IF(AND('Planning Sheet'!BA124='Weeks Plan'!$D$6,'Planning Sheet'!AU124='Weeks Plan'!$G$6),'Planning Sheet'!$B124,"")</f>
        <v/>
      </c>
      <c r="Z613" s="48" t="str">
        <f ca="1">IF(AND('Planning Sheet'!BA124='Weeks Plan'!$D$6,'Planning Sheet'!AU124='Weeks Plan'!$G$6),'Planning Sheet'!$AV124,"")</f>
        <v/>
      </c>
      <c r="AA613" s="48" t="str">
        <f ca="1">IF(AND('Planning Sheet'!BA124='Weeks Plan'!$D$6,'Planning Sheet'!AU124='Weeks Plan'!$G$6),'Planning Sheet'!AW124,"")</f>
        <v/>
      </c>
    </row>
    <row r="614" spans="25:27" x14ac:dyDescent="0.3">
      <c r="Y614" s="48" t="str">
        <f ca="1">IF(AND('Planning Sheet'!BA125='Weeks Plan'!$D$6,'Planning Sheet'!AU125='Weeks Plan'!$G$6),'Planning Sheet'!$B125,"")</f>
        <v/>
      </c>
      <c r="Z614" s="48" t="str">
        <f ca="1">IF(AND('Planning Sheet'!BA125='Weeks Plan'!$D$6,'Planning Sheet'!AU125='Weeks Plan'!$G$6),'Planning Sheet'!$AV125,"")</f>
        <v/>
      </c>
      <c r="AA614" s="48" t="str">
        <f ca="1">IF(AND('Planning Sheet'!BA125='Weeks Plan'!$D$6,'Planning Sheet'!AU125='Weeks Plan'!$G$6),'Planning Sheet'!AW125,"")</f>
        <v/>
      </c>
    </row>
    <row r="615" spans="25:27" x14ac:dyDescent="0.3">
      <c r="Y615" s="48" t="str">
        <f ca="1">IF(AND('Planning Sheet'!BA126='Weeks Plan'!$D$6,'Planning Sheet'!AU126='Weeks Plan'!$G$6),'Planning Sheet'!$B126,"")</f>
        <v/>
      </c>
      <c r="Z615" s="48" t="str">
        <f ca="1">IF(AND('Planning Sheet'!BA126='Weeks Plan'!$D$6,'Planning Sheet'!AU126='Weeks Plan'!$G$6),'Planning Sheet'!$AV126,"")</f>
        <v/>
      </c>
      <c r="AA615" s="48" t="str">
        <f ca="1">IF(AND('Planning Sheet'!BA126='Weeks Plan'!$D$6,'Planning Sheet'!AU126='Weeks Plan'!$G$6),'Planning Sheet'!AW126,"")</f>
        <v/>
      </c>
    </row>
    <row r="616" spans="25:27" x14ac:dyDescent="0.3">
      <c r="Y616" s="48" t="str">
        <f ca="1">IF(AND('Planning Sheet'!BA127='Weeks Plan'!$D$6,'Planning Sheet'!AU127='Weeks Plan'!$G$6),'Planning Sheet'!$B127,"")</f>
        <v/>
      </c>
      <c r="Z616" s="48" t="str">
        <f ca="1">IF(AND('Planning Sheet'!BA127='Weeks Plan'!$D$6,'Planning Sheet'!AU127='Weeks Plan'!$G$6),'Planning Sheet'!$AV127,"")</f>
        <v/>
      </c>
      <c r="AA616" s="48" t="str">
        <f ca="1">IF(AND('Planning Sheet'!BA127='Weeks Plan'!$D$6,'Planning Sheet'!AU127='Weeks Plan'!$G$6),'Planning Sheet'!AW127,"")</f>
        <v/>
      </c>
    </row>
    <row r="617" spans="25:27" x14ac:dyDescent="0.3">
      <c r="Y617" s="48" t="str">
        <f ca="1">IF(AND('Planning Sheet'!BA128='Weeks Plan'!$D$6,'Planning Sheet'!AU128='Weeks Plan'!$G$6),'Planning Sheet'!$B128,"")</f>
        <v/>
      </c>
      <c r="Z617" s="48" t="str">
        <f ca="1">IF(AND('Planning Sheet'!BA128='Weeks Plan'!$D$6,'Planning Sheet'!AU128='Weeks Plan'!$G$6),'Planning Sheet'!$AV128,"")</f>
        <v/>
      </c>
      <c r="AA617" s="48" t="str">
        <f ca="1">IF(AND('Planning Sheet'!BA128='Weeks Plan'!$D$6,'Planning Sheet'!AU128='Weeks Plan'!$G$6),'Planning Sheet'!AW128,"")</f>
        <v/>
      </c>
    </row>
    <row r="618" spans="25:27" x14ac:dyDescent="0.3">
      <c r="Y618" s="48" t="str">
        <f ca="1">IF(AND('Planning Sheet'!BA129='Weeks Plan'!$D$6,'Planning Sheet'!AU129='Weeks Plan'!$G$6),'Planning Sheet'!$B129,"")</f>
        <v/>
      </c>
      <c r="Z618" s="48" t="str">
        <f ca="1">IF(AND('Planning Sheet'!BA129='Weeks Plan'!$D$6,'Planning Sheet'!AU129='Weeks Plan'!$G$6),'Planning Sheet'!$AV129,"")</f>
        <v/>
      </c>
      <c r="AA618" s="48" t="str">
        <f ca="1">IF(AND('Planning Sheet'!BA129='Weeks Plan'!$D$6,'Planning Sheet'!AU129='Weeks Plan'!$G$6),'Planning Sheet'!AW129,"")</f>
        <v/>
      </c>
    </row>
    <row r="619" spans="25:27" x14ac:dyDescent="0.3">
      <c r="Y619" s="48" t="str">
        <f ca="1">IF(AND('Planning Sheet'!BA130='Weeks Plan'!$D$6,'Planning Sheet'!AU130='Weeks Plan'!$G$6),'Planning Sheet'!$B130,"")</f>
        <v/>
      </c>
      <c r="Z619" s="48" t="str">
        <f ca="1">IF(AND('Planning Sheet'!BA130='Weeks Plan'!$D$6,'Planning Sheet'!AU130='Weeks Plan'!$G$6),'Planning Sheet'!$AV130,"")</f>
        <v/>
      </c>
      <c r="AA619" s="48" t="str">
        <f ca="1">IF(AND('Planning Sheet'!BA130='Weeks Plan'!$D$6,'Planning Sheet'!AU130='Weeks Plan'!$G$6),'Planning Sheet'!AW130,"")</f>
        <v/>
      </c>
    </row>
    <row r="620" spans="25:27" x14ac:dyDescent="0.3">
      <c r="Y620" s="48" t="str">
        <f ca="1">IF(AND('Planning Sheet'!BA131='Weeks Plan'!$D$6,'Planning Sheet'!AU131='Weeks Plan'!$G$6),'Planning Sheet'!$B131,"")</f>
        <v/>
      </c>
      <c r="Z620" s="48" t="str">
        <f ca="1">IF(AND('Planning Sheet'!BA131='Weeks Plan'!$D$6,'Planning Sheet'!AU131='Weeks Plan'!$G$6),'Planning Sheet'!$AV131,"")</f>
        <v/>
      </c>
      <c r="AA620" s="48" t="str">
        <f ca="1">IF(AND('Planning Sheet'!BA131='Weeks Plan'!$D$6,'Planning Sheet'!AU131='Weeks Plan'!$G$6),'Planning Sheet'!AW131,"")</f>
        <v/>
      </c>
    </row>
    <row r="621" spans="25:27" x14ac:dyDescent="0.3">
      <c r="Y621" s="48" t="str">
        <f ca="1">IF(AND('Planning Sheet'!BA132='Weeks Plan'!$D$6,'Planning Sheet'!AU132='Weeks Plan'!$G$6),'Planning Sheet'!$B132,"")</f>
        <v/>
      </c>
      <c r="Z621" s="48" t="str">
        <f ca="1">IF(AND('Planning Sheet'!BA132='Weeks Plan'!$D$6,'Planning Sheet'!AU132='Weeks Plan'!$G$6),'Planning Sheet'!$AV132,"")</f>
        <v/>
      </c>
      <c r="AA621" s="48" t="str">
        <f ca="1">IF(AND('Planning Sheet'!BA132='Weeks Plan'!$D$6,'Planning Sheet'!AU132='Weeks Plan'!$G$6),'Planning Sheet'!AW132,"")</f>
        <v/>
      </c>
    </row>
    <row r="622" spans="25:27" x14ac:dyDescent="0.3">
      <c r="Y622" s="48" t="str">
        <f ca="1">IF(AND('Planning Sheet'!BA133='Weeks Plan'!$D$6,'Planning Sheet'!AU133='Weeks Plan'!$G$6),'Planning Sheet'!$B133,"")</f>
        <v/>
      </c>
      <c r="Z622" s="48" t="str">
        <f ca="1">IF(AND('Planning Sheet'!BA133='Weeks Plan'!$D$6,'Planning Sheet'!AU133='Weeks Plan'!$G$6),'Planning Sheet'!$AV133,"")</f>
        <v/>
      </c>
      <c r="AA622" s="48" t="str">
        <f ca="1">IF(AND('Planning Sheet'!BA133='Weeks Plan'!$D$6,'Planning Sheet'!AU133='Weeks Plan'!$G$6),'Planning Sheet'!AW133,"")</f>
        <v/>
      </c>
    </row>
    <row r="623" spans="25:27" x14ac:dyDescent="0.3">
      <c r="Y623" s="48" t="str">
        <f ca="1">IF(AND('Planning Sheet'!BA134='Weeks Plan'!$D$6,'Planning Sheet'!AU134='Weeks Plan'!$G$6),'Planning Sheet'!$B134,"")</f>
        <v/>
      </c>
      <c r="Z623" s="48" t="str">
        <f ca="1">IF(AND('Planning Sheet'!BA134='Weeks Plan'!$D$6,'Planning Sheet'!AU134='Weeks Plan'!$G$6),'Planning Sheet'!$AV134,"")</f>
        <v/>
      </c>
      <c r="AA623" s="48" t="str">
        <f ca="1">IF(AND('Planning Sheet'!BA134='Weeks Plan'!$D$6,'Planning Sheet'!AU134='Weeks Plan'!$G$6),'Planning Sheet'!AW134,"")</f>
        <v/>
      </c>
    </row>
    <row r="624" spans="25:27" x14ac:dyDescent="0.3">
      <c r="Y624" s="48" t="str">
        <f ca="1">IF(AND('Planning Sheet'!BA135='Weeks Plan'!$D$6,'Planning Sheet'!AU135='Weeks Plan'!$G$6),'Planning Sheet'!$B135,"")</f>
        <v/>
      </c>
      <c r="Z624" s="48" t="str">
        <f ca="1">IF(AND('Planning Sheet'!BA135='Weeks Plan'!$D$6,'Planning Sheet'!AU135='Weeks Plan'!$G$6),'Planning Sheet'!$AV135,"")</f>
        <v/>
      </c>
      <c r="AA624" s="48" t="str">
        <f ca="1">IF(AND('Planning Sheet'!BA135='Weeks Plan'!$D$6,'Planning Sheet'!AU135='Weeks Plan'!$G$6),'Planning Sheet'!AW135,"")</f>
        <v/>
      </c>
    </row>
    <row r="625" spans="25:27" x14ac:dyDescent="0.3">
      <c r="Y625" s="48" t="str">
        <f ca="1">IF(AND('Planning Sheet'!BA136='Weeks Plan'!$D$6,'Planning Sheet'!AU136='Weeks Plan'!$G$6),'Planning Sheet'!$B136,"")</f>
        <v/>
      </c>
      <c r="Z625" s="48" t="str">
        <f ca="1">IF(AND('Planning Sheet'!BA136='Weeks Plan'!$D$6,'Planning Sheet'!AU136='Weeks Plan'!$G$6),'Planning Sheet'!$AV136,"")</f>
        <v/>
      </c>
      <c r="AA625" s="48" t="str">
        <f ca="1">IF(AND('Planning Sheet'!BA136='Weeks Plan'!$D$6,'Planning Sheet'!AU136='Weeks Plan'!$G$6),'Planning Sheet'!AW136,"")</f>
        <v/>
      </c>
    </row>
    <row r="626" spans="25:27" x14ac:dyDescent="0.3">
      <c r="Y626" s="48" t="str">
        <f ca="1">IF(AND('Planning Sheet'!BA137='Weeks Plan'!$D$6,'Planning Sheet'!AU137='Weeks Plan'!$G$6),'Planning Sheet'!$B137,"")</f>
        <v/>
      </c>
      <c r="Z626" s="48" t="str">
        <f ca="1">IF(AND('Planning Sheet'!BA137='Weeks Plan'!$D$6,'Planning Sheet'!AU137='Weeks Plan'!$G$6),'Planning Sheet'!$AV137,"")</f>
        <v/>
      </c>
      <c r="AA626" s="48" t="str">
        <f ca="1">IF(AND('Planning Sheet'!BA137='Weeks Plan'!$D$6,'Planning Sheet'!AU137='Weeks Plan'!$G$6),'Planning Sheet'!AW137,"")</f>
        <v/>
      </c>
    </row>
    <row r="627" spans="25:27" x14ac:dyDescent="0.3">
      <c r="Y627" s="48" t="str">
        <f ca="1">IF(AND('Planning Sheet'!BA138='Weeks Plan'!$D$6,'Planning Sheet'!AU138='Weeks Plan'!$G$6),'Planning Sheet'!$B138,"")</f>
        <v/>
      </c>
      <c r="Z627" s="48" t="str">
        <f ca="1">IF(AND('Planning Sheet'!BA138='Weeks Plan'!$D$6,'Planning Sheet'!AU138='Weeks Plan'!$G$6),'Planning Sheet'!$AV138,"")</f>
        <v/>
      </c>
      <c r="AA627" s="48" t="str">
        <f ca="1">IF(AND('Planning Sheet'!BA138='Weeks Plan'!$D$6,'Planning Sheet'!AU138='Weeks Plan'!$G$6),'Planning Sheet'!AW138,"")</f>
        <v/>
      </c>
    </row>
    <row r="628" spans="25:27" x14ac:dyDescent="0.3">
      <c r="Y628" s="48" t="str">
        <f ca="1">IF(AND('Planning Sheet'!BA139='Weeks Plan'!$D$6,'Planning Sheet'!AU139='Weeks Plan'!$G$6),'Planning Sheet'!$B139,"")</f>
        <v/>
      </c>
      <c r="Z628" s="48" t="str">
        <f ca="1">IF(AND('Planning Sheet'!BA139='Weeks Plan'!$D$6,'Planning Sheet'!AU139='Weeks Plan'!$G$6),'Planning Sheet'!$AV139,"")</f>
        <v/>
      </c>
      <c r="AA628" s="48" t="str">
        <f ca="1">IF(AND('Planning Sheet'!BA139='Weeks Plan'!$D$6,'Planning Sheet'!AU139='Weeks Plan'!$G$6),'Planning Sheet'!AW139,"")</f>
        <v/>
      </c>
    </row>
    <row r="629" spans="25:27" x14ac:dyDescent="0.3">
      <c r="Y629" s="48" t="str">
        <f ca="1">IF(AND('Planning Sheet'!BA140='Weeks Plan'!$D$6,'Planning Sheet'!AU140='Weeks Plan'!$G$6),'Planning Sheet'!$B140,"")</f>
        <v/>
      </c>
      <c r="Z629" s="48" t="str">
        <f ca="1">IF(AND('Planning Sheet'!BA140='Weeks Plan'!$D$6,'Planning Sheet'!AU140='Weeks Plan'!$G$6),'Planning Sheet'!$AV140,"")</f>
        <v/>
      </c>
      <c r="AA629" s="48" t="str">
        <f ca="1">IF(AND('Planning Sheet'!BA140='Weeks Plan'!$D$6,'Planning Sheet'!AU140='Weeks Plan'!$G$6),'Planning Sheet'!AW140,"")</f>
        <v/>
      </c>
    </row>
    <row r="630" spans="25:27" x14ac:dyDescent="0.3">
      <c r="Y630" s="48" t="str">
        <f ca="1">IF(AND('Planning Sheet'!BA141='Weeks Plan'!$D$6,'Planning Sheet'!AU141='Weeks Plan'!$G$6),'Planning Sheet'!$B141,"")</f>
        <v/>
      </c>
      <c r="Z630" s="48" t="str">
        <f ca="1">IF(AND('Planning Sheet'!BA141='Weeks Plan'!$D$6,'Planning Sheet'!AU141='Weeks Plan'!$G$6),'Planning Sheet'!$AV141,"")</f>
        <v/>
      </c>
      <c r="AA630" s="48" t="str">
        <f ca="1">IF(AND('Planning Sheet'!BA141='Weeks Plan'!$D$6,'Planning Sheet'!AU141='Weeks Plan'!$G$6),'Planning Sheet'!AW141,"")</f>
        <v/>
      </c>
    </row>
    <row r="631" spans="25:27" x14ac:dyDescent="0.3">
      <c r="Y631" s="48" t="str">
        <f ca="1">IF(AND('Planning Sheet'!BA142='Weeks Plan'!$D$6,'Planning Sheet'!AU142='Weeks Plan'!$G$6),'Planning Sheet'!$B142,"")</f>
        <v/>
      </c>
      <c r="Z631" s="48" t="str">
        <f ca="1">IF(AND('Planning Sheet'!BA142='Weeks Plan'!$D$6,'Planning Sheet'!AU142='Weeks Plan'!$G$6),'Planning Sheet'!$AV142,"")</f>
        <v/>
      </c>
      <c r="AA631" s="48" t="str">
        <f ca="1">IF(AND('Planning Sheet'!BA142='Weeks Plan'!$D$6,'Planning Sheet'!AU142='Weeks Plan'!$G$6),'Planning Sheet'!AW142,"")</f>
        <v/>
      </c>
    </row>
    <row r="632" spans="25:27" x14ac:dyDescent="0.3">
      <c r="Y632" s="48" t="str">
        <f ca="1">IF(AND('Planning Sheet'!BA143='Weeks Plan'!$D$6,'Planning Sheet'!AU143='Weeks Plan'!$G$6),'Planning Sheet'!$B143,"")</f>
        <v/>
      </c>
      <c r="Z632" s="48" t="str">
        <f ca="1">IF(AND('Planning Sheet'!BA143='Weeks Plan'!$D$6,'Planning Sheet'!AU143='Weeks Plan'!$G$6),'Planning Sheet'!$AV143,"")</f>
        <v/>
      </c>
      <c r="AA632" s="48" t="str">
        <f ca="1">IF(AND('Planning Sheet'!BA143='Weeks Plan'!$D$6,'Planning Sheet'!AU143='Weeks Plan'!$G$6),'Planning Sheet'!AW143,"")</f>
        <v/>
      </c>
    </row>
    <row r="633" spans="25:27" x14ac:dyDescent="0.3">
      <c r="Y633" s="48" t="str">
        <f ca="1">IF(AND('Planning Sheet'!BA144='Weeks Plan'!$D$6,'Planning Sheet'!AU144='Weeks Plan'!$G$6),'Planning Sheet'!$B144,"")</f>
        <v/>
      </c>
      <c r="Z633" s="48" t="str">
        <f ca="1">IF(AND('Planning Sheet'!BA144='Weeks Plan'!$D$6,'Planning Sheet'!AU144='Weeks Plan'!$G$6),'Planning Sheet'!$AV144,"")</f>
        <v/>
      </c>
      <c r="AA633" s="48" t="str">
        <f ca="1">IF(AND('Planning Sheet'!BA144='Weeks Plan'!$D$6,'Planning Sheet'!AU144='Weeks Plan'!$G$6),'Planning Sheet'!AW144,"")</f>
        <v/>
      </c>
    </row>
    <row r="634" spans="25:27" x14ac:dyDescent="0.3">
      <c r="Y634" s="48" t="str">
        <f ca="1">IF(AND('Planning Sheet'!BA145='Weeks Plan'!$D$6,'Planning Sheet'!AU145='Weeks Plan'!$G$6),'Planning Sheet'!$B145,"")</f>
        <v/>
      </c>
      <c r="Z634" s="48" t="str">
        <f ca="1">IF(AND('Planning Sheet'!BA145='Weeks Plan'!$D$6,'Planning Sheet'!AU145='Weeks Plan'!$G$6),'Planning Sheet'!$AV145,"")</f>
        <v/>
      </c>
      <c r="AA634" s="48" t="str">
        <f ca="1">IF(AND('Planning Sheet'!BA145='Weeks Plan'!$D$6,'Planning Sheet'!AU145='Weeks Plan'!$G$6),'Planning Sheet'!AW145,"")</f>
        <v/>
      </c>
    </row>
    <row r="635" spans="25:27" x14ac:dyDescent="0.3">
      <c r="Y635" s="48" t="str">
        <f ca="1">IF(AND('Planning Sheet'!BA146='Weeks Plan'!$D$6,'Planning Sheet'!AU146='Weeks Plan'!$G$6),'Planning Sheet'!$B146,"")</f>
        <v/>
      </c>
      <c r="Z635" s="48" t="str">
        <f ca="1">IF(AND('Planning Sheet'!BA146='Weeks Plan'!$D$6,'Planning Sheet'!AU146='Weeks Plan'!$G$6),'Planning Sheet'!$AV146,"")</f>
        <v/>
      </c>
      <c r="AA635" s="48" t="str">
        <f ca="1">IF(AND('Planning Sheet'!BA146='Weeks Plan'!$D$6,'Planning Sheet'!AU146='Weeks Plan'!$G$6),'Planning Sheet'!AW146,"")</f>
        <v/>
      </c>
    </row>
    <row r="636" spans="25:27" x14ac:dyDescent="0.3">
      <c r="Y636" s="48" t="str">
        <f ca="1">IF(AND('Planning Sheet'!BA147='Weeks Plan'!$D$6,'Planning Sheet'!AU147='Weeks Plan'!$G$6),'Planning Sheet'!$B147,"")</f>
        <v/>
      </c>
      <c r="Z636" s="48" t="str">
        <f ca="1">IF(AND('Planning Sheet'!BA147='Weeks Plan'!$D$6,'Planning Sheet'!AU147='Weeks Plan'!$G$6),'Planning Sheet'!$AV147,"")</f>
        <v/>
      </c>
      <c r="AA636" s="48" t="str">
        <f ca="1">IF(AND('Planning Sheet'!BA147='Weeks Plan'!$D$6,'Planning Sheet'!AU147='Weeks Plan'!$G$6),'Planning Sheet'!AW147,"")</f>
        <v/>
      </c>
    </row>
    <row r="637" spans="25:27" x14ac:dyDescent="0.3">
      <c r="Y637" s="48" t="str">
        <f ca="1">IF(AND('Planning Sheet'!BA148='Weeks Plan'!$D$6,'Planning Sheet'!AU148='Weeks Plan'!$G$6),'Planning Sheet'!$B148,"")</f>
        <v/>
      </c>
      <c r="Z637" s="48" t="str">
        <f ca="1">IF(AND('Planning Sheet'!BA148='Weeks Plan'!$D$6,'Planning Sheet'!AU148='Weeks Plan'!$G$6),'Planning Sheet'!$AV148,"")</f>
        <v/>
      </c>
      <c r="AA637" s="48" t="str">
        <f ca="1">IF(AND('Planning Sheet'!BA148='Weeks Plan'!$D$6,'Planning Sheet'!AU148='Weeks Plan'!$G$6),'Planning Sheet'!AW148,"")</f>
        <v/>
      </c>
    </row>
    <row r="638" spans="25:27" x14ac:dyDescent="0.3">
      <c r="Y638" s="48" t="str">
        <f ca="1">IF(AND('Planning Sheet'!BA149='Weeks Plan'!$D$6,'Planning Sheet'!AU149='Weeks Plan'!$G$6),'Planning Sheet'!$B149,"")</f>
        <v/>
      </c>
      <c r="Z638" s="48" t="str">
        <f ca="1">IF(AND('Planning Sheet'!BA149='Weeks Plan'!$D$6,'Planning Sheet'!AU149='Weeks Plan'!$G$6),'Planning Sheet'!$AV149,"")</f>
        <v/>
      </c>
      <c r="AA638" s="48" t="str">
        <f ca="1">IF(AND('Planning Sheet'!BA149='Weeks Plan'!$D$6,'Planning Sheet'!AU149='Weeks Plan'!$G$6),'Planning Sheet'!AW149,"")</f>
        <v/>
      </c>
    </row>
    <row r="639" spans="25:27" x14ac:dyDescent="0.3">
      <c r="Y639" s="48" t="str">
        <f ca="1">IF(AND('Planning Sheet'!BA150='Weeks Plan'!$D$6,'Planning Sheet'!AU150='Weeks Plan'!$G$6),'Planning Sheet'!$B150,"")</f>
        <v/>
      </c>
      <c r="Z639" s="48" t="str">
        <f ca="1">IF(AND('Planning Sheet'!BA150='Weeks Plan'!$D$6,'Planning Sheet'!AU150='Weeks Plan'!$G$6),'Planning Sheet'!$AV150,"")</f>
        <v/>
      </c>
      <c r="AA639" s="48" t="str">
        <f ca="1">IF(AND('Planning Sheet'!BA150='Weeks Plan'!$D$6,'Planning Sheet'!AU150='Weeks Plan'!$G$6),'Planning Sheet'!AW150,"")</f>
        <v/>
      </c>
    </row>
    <row r="640" spans="25:27" x14ac:dyDescent="0.3">
      <c r="Y640" s="48" t="str">
        <f ca="1">IF(AND('Planning Sheet'!BA151='Weeks Plan'!$D$6,'Planning Sheet'!AU151='Weeks Plan'!$G$6),'Planning Sheet'!$B151,"")</f>
        <v/>
      </c>
      <c r="Z640" s="48" t="str">
        <f ca="1">IF(AND('Planning Sheet'!BA151='Weeks Plan'!$D$6,'Planning Sheet'!AU151='Weeks Plan'!$G$6),'Planning Sheet'!$AV151,"")</f>
        <v/>
      </c>
      <c r="AA640" s="48" t="str">
        <f ca="1">IF(AND('Planning Sheet'!BA151='Weeks Plan'!$D$6,'Planning Sheet'!AU151='Weeks Plan'!$G$6),'Planning Sheet'!AW151,"")</f>
        <v/>
      </c>
    </row>
    <row r="641" spans="25:27" x14ac:dyDescent="0.3">
      <c r="Y641" s="48" t="str">
        <f ca="1">IF(AND('Planning Sheet'!BA152='Weeks Plan'!$D$6,'Planning Sheet'!AU152='Weeks Plan'!$G$6),'Planning Sheet'!$B152,"")</f>
        <v/>
      </c>
      <c r="Z641" s="48" t="str">
        <f ca="1">IF(AND('Planning Sheet'!BA152='Weeks Plan'!$D$6,'Planning Sheet'!AU152='Weeks Plan'!$G$6),'Planning Sheet'!$AV152,"")</f>
        <v/>
      </c>
      <c r="AA641" s="48" t="str">
        <f ca="1">IF(AND('Planning Sheet'!BA152='Weeks Plan'!$D$6,'Planning Sheet'!AU152='Weeks Plan'!$G$6),'Planning Sheet'!AW152,"")</f>
        <v/>
      </c>
    </row>
    <row r="642" spans="25:27" x14ac:dyDescent="0.3">
      <c r="Y642" s="48" t="str">
        <f ca="1">IF(AND('Planning Sheet'!BA153='Weeks Plan'!$D$6,'Planning Sheet'!AU153='Weeks Plan'!$G$6),'Planning Sheet'!$B153,"")</f>
        <v/>
      </c>
      <c r="Z642" s="48" t="str">
        <f ca="1">IF(AND('Planning Sheet'!BA153='Weeks Plan'!$D$6,'Planning Sheet'!AU153='Weeks Plan'!$G$6),'Planning Sheet'!$AV153,"")</f>
        <v/>
      </c>
      <c r="AA642" s="48" t="str">
        <f ca="1">IF(AND('Planning Sheet'!BA153='Weeks Plan'!$D$6,'Planning Sheet'!AU153='Weeks Plan'!$G$6),'Planning Sheet'!AW153,"")</f>
        <v/>
      </c>
    </row>
    <row r="643" spans="25:27" x14ac:dyDescent="0.3">
      <c r="Y643" s="48" t="str">
        <f ca="1">IF(AND('Planning Sheet'!BA154='Weeks Plan'!$D$6,'Planning Sheet'!AU154='Weeks Plan'!$G$6),'Planning Sheet'!$B154,"")</f>
        <v/>
      </c>
      <c r="Z643" s="48" t="str">
        <f ca="1">IF(AND('Planning Sheet'!BA154='Weeks Plan'!$D$6,'Planning Sheet'!AU154='Weeks Plan'!$G$6),'Planning Sheet'!$AV154,"")</f>
        <v/>
      </c>
      <c r="AA643" s="48" t="str">
        <f ca="1">IF(AND('Planning Sheet'!BA154='Weeks Plan'!$D$6,'Planning Sheet'!AU154='Weeks Plan'!$G$6),'Planning Sheet'!AW154,"")</f>
        <v/>
      </c>
    </row>
    <row r="644" spans="25:27" x14ac:dyDescent="0.3">
      <c r="Y644" s="48" t="str">
        <f ca="1">IF(AND('Planning Sheet'!BA155='Weeks Plan'!$D$6,'Planning Sheet'!AU155='Weeks Plan'!$G$6),'Planning Sheet'!$B155,"")</f>
        <v/>
      </c>
      <c r="Z644" s="48" t="str">
        <f ca="1">IF(AND('Planning Sheet'!BA155='Weeks Plan'!$D$6,'Planning Sheet'!AU155='Weeks Plan'!$G$6),'Planning Sheet'!$AV155,"")</f>
        <v/>
      </c>
      <c r="AA644" s="48" t="str">
        <f ca="1">IF(AND('Planning Sheet'!BA155='Weeks Plan'!$D$6,'Planning Sheet'!AU155='Weeks Plan'!$G$6),'Planning Sheet'!AW155,"")</f>
        <v/>
      </c>
    </row>
    <row r="645" spans="25:27" x14ac:dyDescent="0.3">
      <c r="Y645" s="48" t="str">
        <f ca="1">IF(AND('Planning Sheet'!BA156='Weeks Plan'!$D$6,'Planning Sheet'!AU156='Weeks Plan'!$G$6),'Planning Sheet'!$B156,"")</f>
        <v/>
      </c>
      <c r="Z645" s="48" t="str">
        <f ca="1">IF(AND('Planning Sheet'!BA156='Weeks Plan'!$D$6,'Planning Sheet'!AU156='Weeks Plan'!$G$6),'Planning Sheet'!$AV156,"")</f>
        <v/>
      </c>
      <c r="AA645" s="48" t="str">
        <f ca="1">IF(AND('Planning Sheet'!BA156='Weeks Plan'!$D$6,'Planning Sheet'!AU156='Weeks Plan'!$G$6),'Planning Sheet'!AW156,"")</f>
        <v/>
      </c>
    </row>
    <row r="646" spans="25:27" x14ac:dyDescent="0.3">
      <c r="Y646" s="48" t="str">
        <f ca="1">IF(AND('Planning Sheet'!BA157='Weeks Plan'!$D$6,'Planning Sheet'!AU157='Weeks Plan'!$G$6),'Planning Sheet'!$B157,"")</f>
        <v/>
      </c>
      <c r="Z646" s="48" t="str">
        <f ca="1">IF(AND('Planning Sheet'!BA157='Weeks Plan'!$D$6,'Planning Sheet'!AU157='Weeks Plan'!$G$6),'Planning Sheet'!$AV157,"")</f>
        <v/>
      </c>
      <c r="AA646" s="48" t="str">
        <f ca="1">IF(AND('Planning Sheet'!BA157='Weeks Plan'!$D$6,'Planning Sheet'!AU157='Weeks Plan'!$G$6),'Planning Sheet'!AW157,"")</f>
        <v/>
      </c>
    </row>
    <row r="647" spans="25:27" x14ac:dyDescent="0.3">
      <c r="Y647" s="48" t="str">
        <f ca="1">IF(AND('Planning Sheet'!BA158='Weeks Plan'!$D$6,'Planning Sheet'!AU158='Weeks Plan'!$G$6),'Planning Sheet'!$B158,"")</f>
        <v/>
      </c>
      <c r="Z647" s="48" t="str">
        <f ca="1">IF(AND('Planning Sheet'!BA158='Weeks Plan'!$D$6,'Planning Sheet'!AU158='Weeks Plan'!$G$6),'Planning Sheet'!$AV158,"")</f>
        <v/>
      </c>
      <c r="AA647" s="48" t="str">
        <f ca="1">IF(AND('Planning Sheet'!BA158='Weeks Plan'!$D$6,'Planning Sheet'!AU158='Weeks Plan'!$G$6),'Planning Sheet'!AW158,"")</f>
        <v/>
      </c>
    </row>
    <row r="648" spans="25:27" x14ac:dyDescent="0.3">
      <c r="Y648" s="48" t="str">
        <f ca="1">IF(AND('Planning Sheet'!BA159='Weeks Plan'!$D$6,'Planning Sheet'!AU159='Weeks Plan'!$G$6),'Planning Sheet'!$B159,"")</f>
        <v/>
      </c>
      <c r="Z648" s="48" t="str">
        <f ca="1">IF(AND('Planning Sheet'!BA159='Weeks Plan'!$D$6,'Planning Sheet'!AU159='Weeks Plan'!$G$6),'Planning Sheet'!$AV159,"")</f>
        <v/>
      </c>
      <c r="AA648" s="48" t="str">
        <f ca="1">IF(AND('Planning Sheet'!BA159='Weeks Plan'!$D$6,'Planning Sheet'!AU159='Weeks Plan'!$G$6),'Planning Sheet'!AW159,"")</f>
        <v/>
      </c>
    </row>
    <row r="649" spans="25:27" x14ac:dyDescent="0.3">
      <c r="Y649" s="48" t="str">
        <f ca="1">IF(AND('Planning Sheet'!BA160='Weeks Plan'!$D$6,'Planning Sheet'!AU160='Weeks Plan'!$G$6),'Planning Sheet'!$B160,"")</f>
        <v/>
      </c>
      <c r="Z649" s="48" t="str">
        <f ca="1">IF(AND('Planning Sheet'!BA160='Weeks Plan'!$D$6,'Planning Sheet'!AU160='Weeks Plan'!$G$6),'Planning Sheet'!$AV160,"")</f>
        <v/>
      </c>
      <c r="AA649" s="48" t="str">
        <f ca="1">IF(AND('Planning Sheet'!BA160='Weeks Plan'!$D$6,'Planning Sheet'!AU160='Weeks Plan'!$G$6),'Planning Sheet'!AW160,"")</f>
        <v/>
      </c>
    </row>
    <row r="650" spans="25:27" x14ac:dyDescent="0.3">
      <c r="Y650" s="48" t="str">
        <f ca="1">IF(AND('Planning Sheet'!BA161='Weeks Plan'!$D$6,'Planning Sheet'!AU161='Weeks Plan'!$G$6),'Planning Sheet'!$B161,"")</f>
        <v/>
      </c>
      <c r="Z650" s="48" t="str">
        <f ca="1">IF(AND('Planning Sheet'!BA161='Weeks Plan'!$D$6,'Planning Sheet'!AU161='Weeks Plan'!$G$6),'Planning Sheet'!$AV161,"")</f>
        <v/>
      </c>
      <c r="AA650" s="48" t="str">
        <f ca="1">IF(AND('Planning Sheet'!BA161='Weeks Plan'!$D$6,'Planning Sheet'!AU161='Weeks Plan'!$G$6),'Planning Sheet'!AW161,"")</f>
        <v/>
      </c>
    </row>
    <row r="651" spans="25:27" x14ac:dyDescent="0.3">
      <c r="Y651" s="48" t="str">
        <f ca="1">IF(AND('Planning Sheet'!BA162='Weeks Plan'!$D$6,'Planning Sheet'!AU162='Weeks Plan'!$G$6),'Planning Sheet'!$B162,"")</f>
        <v/>
      </c>
      <c r="Z651" s="48" t="str">
        <f ca="1">IF(AND('Planning Sheet'!BA162='Weeks Plan'!$D$6,'Planning Sheet'!AU162='Weeks Plan'!$G$6),'Planning Sheet'!$AV162,"")</f>
        <v/>
      </c>
      <c r="AA651" s="48" t="str">
        <f ca="1">IF(AND('Planning Sheet'!BA162='Weeks Plan'!$D$6,'Planning Sheet'!AU162='Weeks Plan'!$G$6),'Planning Sheet'!AW162,"")</f>
        <v/>
      </c>
    </row>
    <row r="652" spans="25:27" x14ac:dyDescent="0.3">
      <c r="Y652" s="48" t="str">
        <f ca="1">IF(AND('Planning Sheet'!BA163='Weeks Plan'!$D$6,'Planning Sheet'!AU163='Weeks Plan'!$G$6),'Planning Sheet'!$B163,"")</f>
        <v/>
      </c>
      <c r="Z652" s="48" t="str">
        <f ca="1">IF(AND('Planning Sheet'!BA163='Weeks Plan'!$D$6,'Planning Sheet'!AU163='Weeks Plan'!$G$6),'Planning Sheet'!$AV163,"")</f>
        <v/>
      </c>
      <c r="AA652" s="48" t="str">
        <f ca="1">IF(AND('Planning Sheet'!BA163='Weeks Plan'!$D$6,'Planning Sheet'!AU163='Weeks Plan'!$G$6),'Planning Sheet'!AW163,"")</f>
        <v/>
      </c>
    </row>
    <row r="653" spans="25:27" x14ac:dyDescent="0.3">
      <c r="Y653" s="48" t="str">
        <f ca="1">IF(AND('Planning Sheet'!BA164='Weeks Plan'!$D$6,'Planning Sheet'!AU164='Weeks Plan'!$G$6),'Planning Sheet'!$B164,"")</f>
        <v/>
      </c>
      <c r="Z653" s="48" t="str">
        <f ca="1">IF(AND('Planning Sheet'!BA164='Weeks Plan'!$D$6,'Planning Sheet'!AU164='Weeks Plan'!$G$6),'Planning Sheet'!$AV164,"")</f>
        <v/>
      </c>
      <c r="AA653" s="48" t="str">
        <f ca="1">IF(AND('Planning Sheet'!BA164='Weeks Plan'!$D$6,'Planning Sheet'!AU164='Weeks Plan'!$G$6),'Planning Sheet'!AW164,"")</f>
        <v/>
      </c>
    </row>
    <row r="654" spans="25:27" x14ac:dyDescent="0.3">
      <c r="Y654" s="48" t="str">
        <f ca="1">IF(AND('Planning Sheet'!BA165='Weeks Plan'!$D$6,'Planning Sheet'!AU165='Weeks Plan'!$G$6),'Planning Sheet'!$B165,"")</f>
        <v/>
      </c>
      <c r="Z654" s="48" t="str">
        <f ca="1">IF(AND('Planning Sheet'!BA165='Weeks Plan'!$D$6,'Planning Sheet'!AU165='Weeks Plan'!$G$6),'Planning Sheet'!$AV165,"")</f>
        <v/>
      </c>
      <c r="AA654" s="48" t="str">
        <f ca="1">IF(AND('Planning Sheet'!BA165='Weeks Plan'!$D$6,'Planning Sheet'!AU165='Weeks Plan'!$G$6),'Planning Sheet'!AW165,"")</f>
        <v/>
      </c>
    </row>
    <row r="655" spans="25:27" x14ac:dyDescent="0.3">
      <c r="Y655" s="48" t="str">
        <f ca="1">IF(AND('Planning Sheet'!BA166='Weeks Plan'!$D$6,'Planning Sheet'!AU166='Weeks Plan'!$G$6),'Planning Sheet'!$B166,"")</f>
        <v/>
      </c>
      <c r="Z655" s="48" t="str">
        <f ca="1">IF(AND('Planning Sheet'!BA166='Weeks Plan'!$D$6,'Planning Sheet'!AU166='Weeks Plan'!$G$6),'Planning Sheet'!$AV166,"")</f>
        <v/>
      </c>
      <c r="AA655" s="48" t="str">
        <f ca="1">IF(AND('Planning Sheet'!BA166='Weeks Plan'!$D$6,'Planning Sheet'!AU166='Weeks Plan'!$G$6),'Planning Sheet'!AW166,"")</f>
        <v/>
      </c>
    </row>
    <row r="656" spans="25:27" x14ac:dyDescent="0.3">
      <c r="Y656" s="48" t="str">
        <f ca="1">IF(AND('Planning Sheet'!BA167='Weeks Plan'!$D$6,'Planning Sheet'!AU167='Weeks Plan'!$G$6),'Planning Sheet'!$B167,"")</f>
        <v/>
      </c>
      <c r="Z656" s="48" t="str">
        <f ca="1">IF(AND('Planning Sheet'!BA167='Weeks Plan'!$D$6,'Planning Sheet'!AU167='Weeks Plan'!$G$6),'Planning Sheet'!$AV167,"")</f>
        <v/>
      </c>
      <c r="AA656" s="48" t="str">
        <f ca="1">IF(AND('Planning Sheet'!BA167='Weeks Plan'!$D$6,'Planning Sheet'!AU167='Weeks Plan'!$G$6),'Planning Sheet'!AW167,"")</f>
        <v/>
      </c>
    </row>
    <row r="657" spans="25:27" x14ac:dyDescent="0.3">
      <c r="Y657" s="48" t="str">
        <f ca="1">IF(AND('Planning Sheet'!BA168='Weeks Plan'!$D$6,'Planning Sheet'!AU168='Weeks Plan'!$G$6),'Planning Sheet'!$B168,"")</f>
        <v/>
      </c>
      <c r="Z657" s="48" t="str">
        <f ca="1">IF(AND('Planning Sheet'!BA168='Weeks Plan'!$D$6,'Planning Sheet'!AU168='Weeks Plan'!$G$6),'Planning Sheet'!$AV168,"")</f>
        <v/>
      </c>
      <c r="AA657" s="48" t="str">
        <f ca="1">IF(AND('Planning Sheet'!BA168='Weeks Plan'!$D$6,'Planning Sheet'!AU168='Weeks Plan'!$G$6),'Planning Sheet'!AW168,"")</f>
        <v/>
      </c>
    </row>
    <row r="658" spans="25:27" x14ac:dyDescent="0.3">
      <c r="Y658" s="48" t="str">
        <f ca="1">IF(AND('Planning Sheet'!BA169='Weeks Plan'!$D$6,'Planning Sheet'!AU169='Weeks Plan'!$G$6),'Planning Sheet'!$B169,"")</f>
        <v/>
      </c>
      <c r="Z658" s="48" t="str">
        <f ca="1">IF(AND('Planning Sheet'!BA169='Weeks Plan'!$D$6,'Planning Sheet'!AU169='Weeks Plan'!$G$6),'Planning Sheet'!$AV169,"")</f>
        <v/>
      </c>
      <c r="AA658" s="48" t="str">
        <f ca="1">IF(AND('Planning Sheet'!BA169='Weeks Plan'!$D$6,'Planning Sheet'!AU169='Weeks Plan'!$G$6),'Planning Sheet'!AW169,"")</f>
        <v/>
      </c>
    </row>
    <row r="659" spans="25:27" x14ac:dyDescent="0.3">
      <c r="Y659" s="48" t="str">
        <f ca="1">IF(AND('Planning Sheet'!BA170='Weeks Plan'!$D$6,'Planning Sheet'!AU170='Weeks Plan'!$G$6),'Planning Sheet'!$B170,"")</f>
        <v/>
      </c>
      <c r="Z659" s="48" t="str">
        <f ca="1">IF(AND('Planning Sheet'!BA170='Weeks Plan'!$D$6,'Planning Sheet'!AU170='Weeks Plan'!$G$6),'Planning Sheet'!$AV170,"")</f>
        <v/>
      </c>
      <c r="AA659" s="48" t="str">
        <f ca="1">IF(AND('Planning Sheet'!BA170='Weeks Plan'!$D$6,'Planning Sheet'!AU170='Weeks Plan'!$G$6),'Planning Sheet'!AW170,"")</f>
        <v/>
      </c>
    </row>
    <row r="660" spans="25:27" x14ac:dyDescent="0.3">
      <c r="Y660" s="48" t="str">
        <f ca="1">IF(AND('Planning Sheet'!BA171='Weeks Plan'!$D$6,'Planning Sheet'!AU171='Weeks Plan'!$G$6),'Planning Sheet'!$B171,"")</f>
        <v/>
      </c>
      <c r="Z660" s="48" t="str">
        <f ca="1">IF(AND('Planning Sheet'!BA171='Weeks Plan'!$D$6,'Planning Sheet'!AU171='Weeks Plan'!$G$6),'Planning Sheet'!$AV171,"")</f>
        <v/>
      </c>
      <c r="AA660" s="48" t="str">
        <f ca="1">IF(AND('Planning Sheet'!BA171='Weeks Plan'!$D$6,'Planning Sheet'!AU171='Weeks Plan'!$G$6),'Planning Sheet'!AW171,"")</f>
        <v/>
      </c>
    </row>
    <row r="661" spans="25:27" x14ac:dyDescent="0.3">
      <c r="Y661" s="48" t="str">
        <f ca="1">IF(AND('Planning Sheet'!BA172='Weeks Plan'!$D$6,'Planning Sheet'!AU172='Weeks Plan'!$G$6),'Planning Sheet'!$B172,"")</f>
        <v/>
      </c>
      <c r="Z661" s="48" t="str">
        <f ca="1">IF(AND('Planning Sheet'!BA172='Weeks Plan'!$D$6,'Planning Sheet'!AU172='Weeks Plan'!$G$6),'Planning Sheet'!$AV172,"")</f>
        <v/>
      </c>
      <c r="AA661" s="48" t="str">
        <f ca="1">IF(AND('Planning Sheet'!BA172='Weeks Plan'!$D$6,'Planning Sheet'!AU172='Weeks Plan'!$G$6),'Planning Sheet'!AW172,"")</f>
        <v/>
      </c>
    </row>
    <row r="662" spans="25:27" x14ac:dyDescent="0.3">
      <c r="Y662" s="48" t="str">
        <f ca="1">IF(AND('Planning Sheet'!BA173='Weeks Plan'!$D$6,'Planning Sheet'!AU173='Weeks Plan'!$G$6),'Planning Sheet'!$B173,"")</f>
        <v/>
      </c>
      <c r="Z662" s="48" t="str">
        <f ca="1">IF(AND('Planning Sheet'!BA173='Weeks Plan'!$D$6,'Planning Sheet'!AU173='Weeks Plan'!$G$6),'Planning Sheet'!$AV173,"")</f>
        <v/>
      </c>
      <c r="AA662" s="48" t="str">
        <f ca="1">IF(AND('Planning Sheet'!BA173='Weeks Plan'!$D$6,'Planning Sheet'!AU173='Weeks Plan'!$G$6),'Planning Sheet'!AW173,"")</f>
        <v/>
      </c>
    </row>
    <row r="663" spans="25:27" x14ac:dyDescent="0.3">
      <c r="Y663" s="48" t="str">
        <f ca="1">IF(AND('Planning Sheet'!BA174='Weeks Plan'!$D$6,'Planning Sheet'!AU174='Weeks Plan'!$G$6),'Planning Sheet'!$B174,"")</f>
        <v/>
      </c>
      <c r="Z663" s="48" t="str">
        <f ca="1">IF(AND('Planning Sheet'!BA174='Weeks Plan'!$D$6,'Planning Sheet'!AU174='Weeks Plan'!$G$6),'Planning Sheet'!$AV174,"")</f>
        <v/>
      </c>
      <c r="AA663" s="48" t="str">
        <f ca="1">IF(AND('Planning Sheet'!BA174='Weeks Plan'!$D$6,'Planning Sheet'!AU174='Weeks Plan'!$G$6),'Planning Sheet'!AW174,"")</f>
        <v/>
      </c>
    </row>
    <row r="664" spans="25:27" x14ac:dyDescent="0.3">
      <c r="Y664" s="48" t="str">
        <f ca="1">IF(AND('Planning Sheet'!BA175='Weeks Plan'!$D$6,'Planning Sheet'!AU175='Weeks Plan'!$G$6),'Planning Sheet'!$B175,"")</f>
        <v/>
      </c>
      <c r="Z664" s="48" t="str">
        <f ca="1">IF(AND('Planning Sheet'!BA175='Weeks Plan'!$D$6,'Planning Sheet'!AU175='Weeks Plan'!$G$6),'Planning Sheet'!$AV175,"")</f>
        <v/>
      </c>
      <c r="AA664" s="48" t="str">
        <f ca="1">IF(AND('Planning Sheet'!BA175='Weeks Plan'!$D$6,'Planning Sheet'!AU175='Weeks Plan'!$G$6),'Planning Sheet'!AW175,"")</f>
        <v/>
      </c>
    </row>
    <row r="665" spans="25:27" x14ac:dyDescent="0.3">
      <c r="Y665" s="48" t="str">
        <f ca="1">IF(AND('Planning Sheet'!BA176='Weeks Plan'!$D$6,'Planning Sheet'!AU176='Weeks Plan'!$G$6),'Planning Sheet'!$B176,"")</f>
        <v/>
      </c>
      <c r="Z665" s="48" t="str">
        <f ca="1">IF(AND('Planning Sheet'!BA176='Weeks Plan'!$D$6,'Planning Sheet'!AU176='Weeks Plan'!$G$6),'Planning Sheet'!$AV176,"")</f>
        <v/>
      </c>
      <c r="AA665" s="48" t="str">
        <f ca="1">IF(AND('Planning Sheet'!BA176='Weeks Plan'!$D$6,'Planning Sheet'!AU176='Weeks Plan'!$G$6),'Planning Sheet'!AW176,"")</f>
        <v/>
      </c>
    </row>
    <row r="666" spans="25:27" x14ac:dyDescent="0.3">
      <c r="Y666" s="48" t="str">
        <f ca="1">IF(AND('Planning Sheet'!BA177='Weeks Plan'!$D$6,'Planning Sheet'!AU177='Weeks Plan'!$G$6),'Planning Sheet'!$B177,"")</f>
        <v/>
      </c>
      <c r="Z666" s="48" t="str">
        <f ca="1">IF(AND('Planning Sheet'!BA177='Weeks Plan'!$D$6,'Planning Sheet'!AU177='Weeks Plan'!$G$6),'Planning Sheet'!$AV177,"")</f>
        <v/>
      </c>
      <c r="AA666" s="48" t="str">
        <f ca="1">IF(AND('Planning Sheet'!BA177='Weeks Plan'!$D$6,'Planning Sheet'!AU177='Weeks Plan'!$G$6),'Planning Sheet'!AW177,"")</f>
        <v/>
      </c>
    </row>
    <row r="667" spans="25:27" x14ac:dyDescent="0.3">
      <c r="Y667" s="48" t="str">
        <f ca="1">IF(AND('Planning Sheet'!BA178='Weeks Plan'!$D$6,'Planning Sheet'!AU178='Weeks Plan'!$G$6),'Planning Sheet'!$B178,"")</f>
        <v/>
      </c>
      <c r="Z667" s="48" t="str">
        <f ca="1">IF(AND('Planning Sheet'!BA178='Weeks Plan'!$D$6,'Planning Sheet'!AU178='Weeks Plan'!$G$6),'Planning Sheet'!$AV178,"")</f>
        <v/>
      </c>
      <c r="AA667" s="48" t="str">
        <f ca="1">IF(AND('Planning Sheet'!BA178='Weeks Plan'!$D$6,'Planning Sheet'!AU178='Weeks Plan'!$G$6),'Planning Sheet'!AW178,"")</f>
        <v/>
      </c>
    </row>
    <row r="668" spans="25:27" x14ac:dyDescent="0.3">
      <c r="Y668" s="48" t="str">
        <f ca="1">IF(AND('Planning Sheet'!BA179='Weeks Plan'!$D$6,'Planning Sheet'!AU179='Weeks Plan'!$G$6),'Planning Sheet'!$B179,"")</f>
        <v/>
      </c>
      <c r="Z668" s="48" t="str">
        <f ca="1">IF(AND('Planning Sheet'!BA179='Weeks Plan'!$D$6,'Planning Sheet'!AU179='Weeks Plan'!$G$6),'Planning Sheet'!$AV179,"")</f>
        <v/>
      </c>
      <c r="AA668" s="48" t="str">
        <f ca="1">IF(AND('Planning Sheet'!BA179='Weeks Plan'!$D$6,'Planning Sheet'!AU179='Weeks Plan'!$G$6),'Planning Sheet'!AW179,"")</f>
        <v/>
      </c>
    </row>
    <row r="669" spans="25:27" x14ac:dyDescent="0.3">
      <c r="Y669" s="48" t="str">
        <f ca="1">IF(AND('Planning Sheet'!BA180='Weeks Plan'!$D$6,'Planning Sheet'!AU180='Weeks Plan'!$G$6),'Planning Sheet'!$B180,"")</f>
        <v/>
      </c>
      <c r="Z669" s="48" t="str">
        <f ca="1">IF(AND('Planning Sheet'!BA180='Weeks Plan'!$D$6,'Planning Sheet'!AU180='Weeks Plan'!$G$6),'Planning Sheet'!$AV180,"")</f>
        <v/>
      </c>
      <c r="AA669" s="48" t="str">
        <f ca="1">IF(AND('Planning Sheet'!BA180='Weeks Plan'!$D$6,'Planning Sheet'!AU180='Weeks Plan'!$G$6),'Planning Sheet'!AW180,"")</f>
        <v/>
      </c>
    </row>
    <row r="670" spans="25:27" x14ac:dyDescent="0.3">
      <c r="Y670" s="48" t="str">
        <f ca="1">IF(AND('Planning Sheet'!BA181='Weeks Plan'!$D$6,'Planning Sheet'!AU181='Weeks Plan'!$G$6),'Planning Sheet'!$B181,"")</f>
        <v/>
      </c>
      <c r="Z670" s="48" t="str">
        <f ca="1">IF(AND('Planning Sheet'!BA181='Weeks Plan'!$D$6,'Planning Sheet'!AU181='Weeks Plan'!$G$6),'Planning Sheet'!$AV181,"")</f>
        <v/>
      </c>
      <c r="AA670" s="48" t="str">
        <f ca="1">IF(AND('Planning Sheet'!BA181='Weeks Plan'!$D$6,'Planning Sheet'!AU181='Weeks Plan'!$G$6),'Planning Sheet'!AW181,"")</f>
        <v/>
      </c>
    </row>
    <row r="671" spans="25:27" x14ac:dyDescent="0.3">
      <c r="Y671" s="48" t="str">
        <f ca="1">IF(AND('Planning Sheet'!BA182='Weeks Plan'!$D$6,'Planning Sheet'!AU182='Weeks Plan'!$G$6),'Planning Sheet'!$B182,"")</f>
        <v/>
      </c>
      <c r="Z671" s="48" t="str">
        <f ca="1">IF(AND('Planning Sheet'!BA182='Weeks Plan'!$D$6,'Planning Sheet'!AU182='Weeks Plan'!$G$6),'Planning Sheet'!$AV182,"")</f>
        <v/>
      </c>
      <c r="AA671" s="48" t="str">
        <f ca="1">IF(AND('Planning Sheet'!BA182='Weeks Plan'!$D$6,'Planning Sheet'!AU182='Weeks Plan'!$G$6),'Planning Sheet'!AW182,"")</f>
        <v/>
      </c>
    </row>
    <row r="672" spans="25:27" x14ac:dyDescent="0.3">
      <c r="Y672" s="48" t="str">
        <f ca="1">IF(AND('Planning Sheet'!BA183='Weeks Plan'!$D$6,'Planning Sheet'!AU183='Weeks Plan'!$G$6),'Planning Sheet'!$B183,"")</f>
        <v/>
      </c>
      <c r="Z672" s="48" t="str">
        <f ca="1">IF(AND('Planning Sheet'!BA183='Weeks Plan'!$D$6,'Planning Sheet'!AU183='Weeks Plan'!$G$6),'Planning Sheet'!$AV183,"")</f>
        <v/>
      </c>
      <c r="AA672" s="48" t="str">
        <f ca="1">IF(AND('Planning Sheet'!BA183='Weeks Plan'!$D$6,'Planning Sheet'!AU183='Weeks Plan'!$G$6),'Planning Sheet'!AW183,"")</f>
        <v/>
      </c>
    </row>
    <row r="673" spans="25:27" x14ac:dyDescent="0.3">
      <c r="Y673" s="48" t="str">
        <f ca="1">IF(AND('Planning Sheet'!BA184='Weeks Plan'!$D$6,'Planning Sheet'!AU184='Weeks Plan'!$G$6),'Planning Sheet'!$B184,"")</f>
        <v/>
      </c>
      <c r="Z673" s="48" t="str">
        <f ca="1">IF(AND('Planning Sheet'!BA184='Weeks Plan'!$D$6,'Planning Sheet'!AU184='Weeks Plan'!$G$6),'Planning Sheet'!$AV184,"")</f>
        <v/>
      </c>
      <c r="AA673" s="48" t="str">
        <f ca="1">IF(AND('Planning Sheet'!BA184='Weeks Plan'!$D$6,'Planning Sheet'!AU184='Weeks Plan'!$G$6),'Planning Sheet'!AW184,"")</f>
        <v/>
      </c>
    </row>
    <row r="674" spans="25:27" x14ac:dyDescent="0.3">
      <c r="Y674" s="48" t="str">
        <f ca="1">IF(AND('Planning Sheet'!BA185='Weeks Plan'!$D$6,'Planning Sheet'!AU185='Weeks Plan'!$G$6),'Planning Sheet'!$B185,"")</f>
        <v/>
      </c>
      <c r="Z674" s="48" t="str">
        <f ca="1">IF(AND('Planning Sheet'!BA185='Weeks Plan'!$D$6,'Planning Sheet'!AU185='Weeks Plan'!$G$6),'Planning Sheet'!$AV185,"")</f>
        <v/>
      </c>
      <c r="AA674" s="48" t="str">
        <f ca="1">IF(AND('Planning Sheet'!BA185='Weeks Plan'!$D$6,'Planning Sheet'!AU185='Weeks Plan'!$G$6),'Planning Sheet'!AW185,"")</f>
        <v/>
      </c>
    </row>
    <row r="675" spans="25:27" x14ac:dyDescent="0.3">
      <c r="Y675" s="48" t="str">
        <f ca="1">IF(AND('Planning Sheet'!BA186='Weeks Plan'!$D$6,'Planning Sheet'!AU186='Weeks Plan'!$G$6),'Planning Sheet'!$B186,"")</f>
        <v/>
      </c>
      <c r="Z675" s="48" t="str">
        <f ca="1">IF(AND('Planning Sheet'!BA186='Weeks Plan'!$D$6,'Planning Sheet'!AU186='Weeks Plan'!$G$6),'Planning Sheet'!$AV186,"")</f>
        <v/>
      </c>
      <c r="AA675" s="48" t="str">
        <f ca="1">IF(AND('Planning Sheet'!BA186='Weeks Plan'!$D$6,'Planning Sheet'!AU186='Weeks Plan'!$G$6),'Planning Sheet'!AW186,"")</f>
        <v/>
      </c>
    </row>
    <row r="676" spans="25:27" x14ac:dyDescent="0.3">
      <c r="Y676" s="48" t="str">
        <f ca="1">IF(AND('Planning Sheet'!BA187='Weeks Plan'!$D$6,'Planning Sheet'!AU187='Weeks Plan'!$G$6),'Planning Sheet'!$B187,"")</f>
        <v/>
      </c>
      <c r="Z676" s="48" t="str">
        <f ca="1">IF(AND('Planning Sheet'!BA187='Weeks Plan'!$D$6,'Planning Sheet'!AU187='Weeks Plan'!$G$6),'Planning Sheet'!$AV187,"")</f>
        <v/>
      </c>
      <c r="AA676" s="48" t="str">
        <f ca="1">IF(AND('Planning Sheet'!BA187='Weeks Plan'!$D$6,'Planning Sheet'!AU187='Weeks Plan'!$G$6),'Planning Sheet'!AW187,"")</f>
        <v/>
      </c>
    </row>
    <row r="677" spans="25:27" x14ac:dyDescent="0.3">
      <c r="Y677" s="48" t="str">
        <f ca="1">IF(AND('Planning Sheet'!BA188='Weeks Plan'!$D$6,'Planning Sheet'!AU188='Weeks Plan'!$G$6),'Planning Sheet'!$B188,"")</f>
        <v/>
      </c>
      <c r="Z677" s="48" t="str">
        <f ca="1">IF(AND('Planning Sheet'!BA188='Weeks Plan'!$D$6,'Planning Sheet'!AU188='Weeks Plan'!$G$6),'Planning Sheet'!$AV188,"")</f>
        <v/>
      </c>
      <c r="AA677" s="48" t="str">
        <f ca="1">IF(AND('Planning Sheet'!BA188='Weeks Plan'!$D$6,'Planning Sheet'!AU188='Weeks Plan'!$G$6),'Planning Sheet'!AW188,"")</f>
        <v/>
      </c>
    </row>
    <row r="678" spans="25:27" x14ac:dyDescent="0.3">
      <c r="Y678" s="48" t="str">
        <f ca="1">IF(AND('Planning Sheet'!BA189='Weeks Plan'!$D$6,'Planning Sheet'!AU189='Weeks Plan'!$G$6),'Planning Sheet'!$B189,"")</f>
        <v/>
      </c>
      <c r="Z678" s="48" t="str">
        <f ca="1">IF(AND('Planning Sheet'!BA189='Weeks Plan'!$D$6,'Planning Sheet'!AU189='Weeks Plan'!$G$6),'Planning Sheet'!$AV189,"")</f>
        <v/>
      </c>
      <c r="AA678" s="48" t="str">
        <f ca="1">IF(AND('Planning Sheet'!BA189='Weeks Plan'!$D$6,'Planning Sheet'!AU189='Weeks Plan'!$G$6),'Planning Sheet'!AW189,"")</f>
        <v/>
      </c>
    </row>
    <row r="679" spans="25:27" x14ac:dyDescent="0.3">
      <c r="Y679" s="48" t="str">
        <f ca="1">IF(AND('Planning Sheet'!BA190='Weeks Plan'!$D$6,'Planning Sheet'!AU190='Weeks Plan'!$G$6),'Planning Sheet'!$B190,"")</f>
        <v/>
      </c>
      <c r="Z679" s="48" t="str">
        <f ca="1">IF(AND('Planning Sheet'!BA190='Weeks Plan'!$D$6,'Planning Sheet'!AU190='Weeks Plan'!$G$6),'Planning Sheet'!$AV190,"")</f>
        <v/>
      </c>
      <c r="AA679" s="48" t="str">
        <f ca="1">IF(AND('Planning Sheet'!BA190='Weeks Plan'!$D$6,'Planning Sheet'!AU190='Weeks Plan'!$G$6),'Planning Sheet'!AW190,"")</f>
        <v/>
      </c>
    </row>
    <row r="680" spans="25:27" x14ac:dyDescent="0.3">
      <c r="Y680" s="48" t="str">
        <f ca="1">IF(AND('Planning Sheet'!BA191='Weeks Plan'!$D$6,'Planning Sheet'!AU191='Weeks Plan'!$G$6),'Planning Sheet'!$B191,"")</f>
        <v/>
      </c>
      <c r="Z680" s="48" t="str">
        <f ca="1">IF(AND('Planning Sheet'!BA191='Weeks Plan'!$D$6,'Planning Sheet'!AU191='Weeks Plan'!$G$6),'Planning Sheet'!$AV191,"")</f>
        <v/>
      </c>
      <c r="AA680" s="48" t="str">
        <f ca="1">IF(AND('Planning Sheet'!BA191='Weeks Plan'!$D$6,'Planning Sheet'!AU191='Weeks Plan'!$G$6),'Planning Sheet'!AW191,"")</f>
        <v/>
      </c>
    </row>
    <row r="681" spans="25:27" x14ac:dyDescent="0.3">
      <c r="Y681" s="48" t="str">
        <f ca="1">IF(AND('Planning Sheet'!BA192='Weeks Plan'!$D$6,'Planning Sheet'!AU192='Weeks Plan'!$G$6),'Planning Sheet'!$B192,"")</f>
        <v/>
      </c>
      <c r="Z681" s="48" t="str">
        <f ca="1">IF(AND('Planning Sheet'!BA192='Weeks Plan'!$D$6,'Planning Sheet'!AU192='Weeks Plan'!$G$6),'Planning Sheet'!$AV192,"")</f>
        <v/>
      </c>
      <c r="AA681" s="48" t="str">
        <f ca="1">IF(AND('Planning Sheet'!BA192='Weeks Plan'!$D$6,'Planning Sheet'!AU192='Weeks Plan'!$G$6),'Planning Sheet'!AW192,"")</f>
        <v/>
      </c>
    </row>
    <row r="682" spans="25:27" x14ac:dyDescent="0.3">
      <c r="Y682" s="48" t="str">
        <f ca="1">IF(AND('Planning Sheet'!BA193='Weeks Plan'!$D$6,'Planning Sheet'!AU193='Weeks Plan'!$G$6),'Planning Sheet'!$B193,"")</f>
        <v/>
      </c>
      <c r="Z682" s="48" t="str">
        <f ca="1">IF(AND('Planning Sheet'!BA193='Weeks Plan'!$D$6,'Planning Sheet'!AU193='Weeks Plan'!$G$6),'Planning Sheet'!$AV193,"")</f>
        <v/>
      </c>
      <c r="AA682" s="48" t="str">
        <f ca="1">IF(AND('Planning Sheet'!BA193='Weeks Plan'!$D$6,'Planning Sheet'!AU193='Weeks Plan'!$G$6),'Planning Sheet'!AW193,"")</f>
        <v/>
      </c>
    </row>
    <row r="683" spans="25:27" x14ac:dyDescent="0.3">
      <c r="Y683" s="48" t="str">
        <f ca="1">IF(AND('Planning Sheet'!BA194='Weeks Plan'!$D$6,'Planning Sheet'!AU194='Weeks Plan'!$G$6),'Planning Sheet'!$B194,"")</f>
        <v/>
      </c>
      <c r="Z683" s="48" t="str">
        <f ca="1">IF(AND('Planning Sheet'!BA194='Weeks Plan'!$D$6,'Planning Sheet'!AU194='Weeks Plan'!$G$6),'Planning Sheet'!$AV194,"")</f>
        <v/>
      </c>
      <c r="AA683" s="48" t="str">
        <f ca="1">IF(AND('Planning Sheet'!BA194='Weeks Plan'!$D$6,'Planning Sheet'!AU194='Weeks Plan'!$G$6),'Planning Sheet'!AW194,"")</f>
        <v/>
      </c>
    </row>
    <row r="684" spans="25:27" x14ac:dyDescent="0.3">
      <c r="Y684" s="48" t="str">
        <f ca="1">IF(AND('Planning Sheet'!BA195='Weeks Plan'!$D$6,'Planning Sheet'!AU195='Weeks Plan'!$G$6),'Planning Sheet'!$B195,"")</f>
        <v/>
      </c>
      <c r="Z684" s="48" t="str">
        <f ca="1">IF(AND('Planning Sheet'!BA195='Weeks Plan'!$D$6,'Planning Sheet'!AU195='Weeks Plan'!$G$6),'Planning Sheet'!$AV195,"")</f>
        <v/>
      </c>
      <c r="AA684" s="48" t="str">
        <f ca="1">IF(AND('Planning Sheet'!BA195='Weeks Plan'!$D$6,'Planning Sheet'!AU195='Weeks Plan'!$G$6),'Planning Sheet'!AW195,"")</f>
        <v/>
      </c>
    </row>
    <row r="685" spans="25:27" x14ac:dyDescent="0.3">
      <c r="Y685" s="48" t="str">
        <f ca="1">IF(AND('Planning Sheet'!BA196='Weeks Plan'!$D$6,'Planning Sheet'!AU196='Weeks Plan'!$G$6),'Planning Sheet'!$B196,"")</f>
        <v/>
      </c>
      <c r="Z685" s="48" t="str">
        <f ca="1">IF(AND('Planning Sheet'!BA196='Weeks Plan'!$D$6,'Planning Sheet'!AU196='Weeks Plan'!$G$6),'Planning Sheet'!$AV196,"")</f>
        <v/>
      </c>
      <c r="AA685" s="48" t="str">
        <f ca="1">IF(AND('Planning Sheet'!BA196='Weeks Plan'!$D$6,'Planning Sheet'!AU196='Weeks Plan'!$G$6),'Planning Sheet'!AW196,"")</f>
        <v/>
      </c>
    </row>
    <row r="686" spans="25:27" x14ac:dyDescent="0.3">
      <c r="Y686" s="48" t="str">
        <f ca="1">IF(AND('Planning Sheet'!BA197='Weeks Plan'!$D$6,'Planning Sheet'!AU197='Weeks Plan'!$G$6),'Planning Sheet'!$B197,"")</f>
        <v/>
      </c>
      <c r="Z686" s="48" t="str">
        <f ca="1">IF(AND('Planning Sheet'!BA197='Weeks Plan'!$D$6,'Planning Sheet'!AU197='Weeks Plan'!$G$6),'Planning Sheet'!$AV197,"")</f>
        <v/>
      </c>
      <c r="AA686" s="48" t="str">
        <f ca="1">IF(AND('Planning Sheet'!BA197='Weeks Plan'!$D$6,'Planning Sheet'!AU197='Weeks Plan'!$G$6),'Planning Sheet'!AW197,"")</f>
        <v/>
      </c>
    </row>
    <row r="687" spans="25:27" x14ac:dyDescent="0.3">
      <c r="Y687" s="48" t="str">
        <f ca="1">IF(AND('Planning Sheet'!BA198='Weeks Plan'!$D$6,'Planning Sheet'!AU198='Weeks Plan'!$G$6),'Planning Sheet'!$B198,"")</f>
        <v/>
      </c>
      <c r="Z687" s="48" t="str">
        <f ca="1">IF(AND('Planning Sheet'!BA198='Weeks Plan'!$D$6,'Planning Sheet'!AU198='Weeks Plan'!$G$6),'Planning Sheet'!$AV198,"")</f>
        <v/>
      </c>
      <c r="AA687" s="48" t="str">
        <f ca="1">IF(AND('Planning Sheet'!BA198='Weeks Plan'!$D$6,'Planning Sheet'!AU198='Weeks Plan'!$G$6),'Planning Sheet'!AW198,"")</f>
        <v/>
      </c>
    </row>
    <row r="688" spans="25:27" x14ac:dyDescent="0.3">
      <c r="Y688" s="48" t="str">
        <f ca="1">IF(AND('Planning Sheet'!BA199='Weeks Plan'!$D$6,'Planning Sheet'!AU199='Weeks Plan'!$G$6),'Planning Sheet'!$B199,"")</f>
        <v/>
      </c>
      <c r="Z688" s="48" t="str">
        <f ca="1">IF(AND('Planning Sheet'!BA199='Weeks Plan'!$D$6,'Planning Sheet'!AU199='Weeks Plan'!$G$6),'Planning Sheet'!$AV199,"")</f>
        <v/>
      </c>
      <c r="AA688" s="48" t="str">
        <f ca="1">IF(AND('Planning Sheet'!BA199='Weeks Plan'!$D$6,'Planning Sheet'!AU199='Weeks Plan'!$G$6),'Planning Sheet'!AW199,"")</f>
        <v/>
      </c>
    </row>
    <row r="689" spans="25:27" x14ac:dyDescent="0.3">
      <c r="Y689" s="48" t="str">
        <f ca="1">IF(AND('Planning Sheet'!BA200='Weeks Plan'!$D$6,'Planning Sheet'!AU200='Weeks Plan'!$G$6),'Planning Sheet'!$B200,"")</f>
        <v/>
      </c>
      <c r="Z689" s="48" t="str">
        <f ca="1">IF(AND('Planning Sheet'!BA200='Weeks Plan'!$D$6,'Planning Sheet'!AU200='Weeks Plan'!$G$6),'Planning Sheet'!$AV200,"")</f>
        <v/>
      </c>
      <c r="AA689" s="48" t="str">
        <f ca="1">IF(AND('Planning Sheet'!BA200='Weeks Plan'!$D$6,'Planning Sheet'!AU200='Weeks Plan'!$G$6),'Planning Sheet'!AW200,"")</f>
        <v/>
      </c>
    </row>
    <row r="690" spans="25:27" x14ac:dyDescent="0.3">
      <c r="Y690" s="48" t="str">
        <f ca="1">IF(AND('Planning Sheet'!BA201='Weeks Plan'!$D$6,'Planning Sheet'!AU201='Weeks Plan'!$G$6),'Planning Sheet'!$B201,"")</f>
        <v/>
      </c>
      <c r="Z690" s="48" t="str">
        <f ca="1">IF(AND('Planning Sheet'!BA201='Weeks Plan'!$D$6,'Planning Sheet'!AU201='Weeks Plan'!$G$6),'Planning Sheet'!$AV201,"")</f>
        <v/>
      </c>
      <c r="AA690" s="48" t="str">
        <f ca="1">IF(AND('Planning Sheet'!BA201='Weeks Plan'!$D$6,'Planning Sheet'!AU201='Weeks Plan'!$G$6),'Planning Sheet'!AW201,"")</f>
        <v/>
      </c>
    </row>
    <row r="691" spans="25:27" x14ac:dyDescent="0.3">
      <c r="Y691" s="48" t="str">
        <f ca="1">IF(AND('Planning Sheet'!BA202='Weeks Plan'!$D$6,'Planning Sheet'!AU202='Weeks Plan'!$G$6),'Planning Sheet'!$B202,"")</f>
        <v/>
      </c>
      <c r="Z691" s="48" t="str">
        <f ca="1">IF(AND('Planning Sheet'!BA202='Weeks Plan'!$D$6,'Planning Sheet'!AU202='Weeks Plan'!$G$6),'Planning Sheet'!$AV202,"")</f>
        <v/>
      </c>
      <c r="AA691" s="48" t="str">
        <f ca="1">IF(AND('Planning Sheet'!BA202='Weeks Plan'!$D$6,'Planning Sheet'!AU202='Weeks Plan'!$G$6),'Planning Sheet'!AW202,"")</f>
        <v/>
      </c>
    </row>
    <row r="692" spans="25:27" x14ac:dyDescent="0.3">
      <c r="Y692" s="48" t="str">
        <f ca="1">IF(AND('Planning Sheet'!BA203='Weeks Plan'!$D$6,'Planning Sheet'!AU203='Weeks Plan'!$G$6),'Planning Sheet'!$B203,"")</f>
        <v/>
      </c>
      <c r="Z692" s="48" t="str">
        <f ca="1">IF(AND('Planning Sheet'!BA203='Weeks Plan'!$D$6,'Planning Sheet'!AU203='Weeks Plan'!$G$6),'Planning Sheet'!$AV203,"")</f>
        <v/>
      </c>
      <c r="AA692" s="48" t="str">
        <f ca="1">IF(AND('Planning Sheet'!BA203='Weeks Plan'!$D$6,'Planning Sheet'!AU203='Weeks Plan'!$G$6),'Planning Sheet'!AW203,"")</f>
        <v/>
      </c>
    </row>
    <row r="693" spans="25:27" x14ac:dyDescent="0.3">
      <c r="Y693" s="48" t="str">
        <f ca="1">IF(AND('Planning Sheet'!BA204='Weeks Plan'!$D$6,'Planning Sheet'!AU204='Weeks Plan'!$G$6),'Planning Sheet'!$B204,"")</f>
        <v/>
      </c>
      <c r="Z693" s="48" t="str">
        <f ca="1">IF(AND('Planning Sheet'!BA204='Weeks Plan'!$D$6,'Planning Sheet'!AU204='Weeks Plan'!$G$6),'Planning Sheet'!$AV204,"")</f>
        <v/>
      </c>
      <c r="AA693" s="48" t="str">
        <f ca="1">IF(AND('Planning Sheet'!BA204='Weeks Plan'!$D$6,'Planning Sheet'!AU204='Weeks Plan'!$G$6),'Planning Sheet'!AW204,"")</f>
        <v/>
      </c>
    </row>
    <row r="694" spans="25:27" x14ac:dyDescent="0.3">
      <c r="Y694" s="48" t="str">
        <f ca="1">IF(AND('Planning Sheet'!BA205='Weeks Plan'!$D$6,'Planning Sheet'!AU205='Weeks Plan'!$G$6),'Planning Sheet'!$B205,"")</f>
        <v/>
      </c>
      <c r="Z694" s="48" t="str">
        <f ca="1">IF(AND('Planning Sheet'!BA205='Weeks Plan'!$D$6,'Planning Sheet'!AU205='Weeks Plan'!$G$6),'Planning Sheet'!$AV205,"")</f>
        <v/>
      </c>
      <c r="AA694" s="48" t="str">
        <f ca="1">IF(AND('Planning Sheet'!BA205='Weeks Plan'!$D$6,'Planning Sheet'!AU205='Weeks Plan'!$G$6),'Planning Sheet'!AW205,"")</f>
        <v/>
      </c>
    </row>
    <row r="695" spans="25:27" x14ac:dyDescent="0.3">
      <c r="Y695" s="48" t="str">
        <f ca="1">IF(AND('Planning Sheet'!BA206='Weeks Plan'!$D$6,'Planning Sheet'!AU206='Weeks Plan'!$G$6),'Planning Sheet'!$B206,"")</f>
        <v/>
      </c>
      <c r="Z695" s="48" t="str">
        <f ca="1">IF(AND('Planning Sheet'!BA206='Weeks Plan'!$D$6,'Planning Sheet'!AU206='Weeks Plan'!$G$6),'Planning Sheet'!$AV206,"")</f>
        <v/>
      </c>
      <c r="AA695" s="48" t="str">
        <f ca="1">IF(AND('Planning Sheet'!BA206='Weeks Plan'!$D$6,'Planning Sheet'!AU206='Weeks Plan'!$G$6),'Planning Sheet'!AW206,"")</f>
        <v/>
      </c>
    </row>
    <row r="696" spans="25:27" x14ac:dyDescent="0.3">
      <c r="Y696" s="48" t="str">
        <f ca="1">IF(AND('Planning Sheet'!BA207='Weeks Plan'!$D$6,'Planning Sheet'!AU207='Weeks Plan'!$G$6),'Planning Sheet'!$B207,"")</f>
        <v/>
      </c>
      <c r="Z696" s="48" t="str">
        <f ca="1">IF(AND('Planning Sheet'!BA207='Weeks Plan'!$D$6,'Planning Sheet'!AU207='Weeks Plan'!$G$6),'Planning Sheet'!$AV207,"")</f>
        <v/>
      </c>
      <c r="AA696" s="48" t="str">
        <f ca="1">IF(AND('Planning Sheet'!BA207='Weeks Plan'!$D$6,'Planning Sheet'!AU207='Weeks Plan'!$G$6),'Planning Sheet'!AW207,"")</f>
        <v/>
      </c>
    </row>
    <row r="697" spans="25:27" x14ac:dyDescent="0.3">
      <c r="Y697" s="48" t="str">
        <f ca="1">IF(AND('Planning Sheet'!BA208='Weeks Plan'!$D$6,'Planning Sheet'!AU208='Weeks Plan'!$G$6),'Planning Sheet'!$B208,"")</f>
        <v/>
      </c>
      <c r="Z697" s="48" t="str">
        <f ca="1">IF(AND('Planning Sheet'!BA208='Weeks Plan'!$D$6,'Planning Sheet'!AU208='Weeks Plan'!$G$6),'Planning Sheet'!$AV208,"")</f>
        <v/>
      </c>
      <c r="AA697" s="48" t="str">
        <f ca="1">IF(AND('Planning Sheet'!BA208='Weeks Plan'!$D$6,'Planning Sheet'!AU208='Weeks Plan'!$G$6),'Planning Sheet'!AW208,"")</f>
        <v/>
      </c>
    </row>
    <row r="698" spans="25:27" x14ac:dyDescent="0.3">
      <c r="Y698" s="48" t="str">
        <f ca="1">IF(AND('Planning Sheet'!BA209='Weeks Plan'!$D$6,'Planning Sheet'!AU209='Weeks Plan'!$G$6),'Planning Sheet'!$B209,"")</f>
        <v/>
      </c>
      <c r="Z698" s="48" t="str">
        <f ca="1">IF(AND('Planning Sheet'!BA209='Weeks Plan'!$D$6,'Planning Sheet'!AU209='Weeks Plan'!$G$6),'Planning Sheet'!$AV209,"")</f>
        <v/>
      </c>
      <c r="AA698" s="48" t="str">
        <f ca="1">IF(AND('Planning Sheet'!BA209='Weeks Plan'!$D$6,'Planning Sheet'!AU209='Weeks Plan'!$G$6),'Planning Sheet'!AW209,"")</f>
        <v/>
      </c>
    </row>
    <row r="699" spans="25:27" x14ac:dyDescent="0.3">
      <c r="Y699" s="48" t="str">
        <f ca="1">IF(AND('Planning Sheet'!BA210='Weeks Plan'!$D$6,'Planning Sheet'!AU210='Weeks Plan'!$G$6),'Planning Sheet'!$B210,"")</f>
        <v/>
      </c>
      <c r="Z699" s="48" t="str">
        <f ca="1">IF(AND('Planning Sheet'!BA210='Weeks Plan'!$D$6,'Planning Sheet'!AU210='Weeks Plan'!$G$6),'Planning Sheet'!$AV210,"")</f>
        <v/>
      </c>
      <c r="AA699" s="48" t="str">
        <f ca="1">IF(AND('Planning Sheet'!BA210='Weeks Plan'!$D$6,'Planning Sheet'!AU210='Weeks Plan'!$G$6),'Planning Sheet'!AW210,"")</f>
        <v/>
      </c>
    </row>
    <row r="700" spans="25:27" x14ac:dyDescent="0.3">
      <c r="Y700" s="48" t="str">
        <f ca="1">IF(AND('Planning Sheet'!BA211='Weeks Plan'!$D$6,'Planning Sheet'!AU211='Weeks Plan'!$G$6),'Planning Sheet'!$B211,"")</f>
        <v/>
      </c>
      <c r="Z700" s="48" t="str">
        <f ca="1">IF(AND('Planning Sheet'!BA211='Weeks Plan'!$D$6,'Planning Sheet'!AU211='Weeks Plan'!$G$6),'Planning Sheet'!$AV211,"")</f>
        <v/>
      </c>
      <c r="AA700" s="48" t="str">
        <f ca="1">IF(AND('Planning Sheet'!BA211='Weeks Plan'!$D$6,'Planning Sheet'!AU211='Weeks Plan'!$G$6),'Planning Sheet'!AW211,"")</f>
        <v/>
      </c>
    </row>
    <row r="701" spans="25:27" x14ac:dyDescent="0.3">
      <c r="Y701" s="48" t="str">
        <f ca="1">IF(AND('Planning Sheet'!BA212='Weeks Plan'!$D$6,'Planning Sheet'!AU212='Weeks Plan'!$G$6),'Planning Sheet'!$B212,"")</f>
        <v/>
      </c>
      <c r="Z701" s="48" t="str">
        <f ca="1">IF(AND('Planning Sheet'!BA212='Weeks Plan'!$D$6,'Planning Sheet'!AU212='Weeks Plan'!$G$6),'Planning Sheet'!$AV212,"")</f>
        <v/>
      </c>
      <c r="AA701" s="48" t="str">
        <f ca="1">IF(AND('Planning Sheet'!BA212='Weeks Plan'!$D$6,'Planning Sheet'!AU212='Weeks Plan'!$G$6),'Planning Sheet'!AW212,"")</f>
        <v/>
      </c>
    </row>
    <row r="702" spans="25:27" x14ac:dyDescent="0.3">
      <c r="Y702" s="48" t="str">
        <f ca="1">IF(AND('Planning Sheet'!BA213='Weeks Plan'!$D$6,'Planning Sheet'!AU213='Weeks Plan'!$G$6),'Planning Sheet'!$B213,"")</f>
        <v/>
      </c>
      <c r="Z702" s="48" t="str">
        <f ca="1">IF(AND('Planning Sheet'!BA213='Weeks Plan'!$D$6,'Planning Sheet'!AU213='Weeks Plan'!$G$6),'Planning Sheet'!$AV213,"")</f>
        <v/>
      </c>
      <c r="AA702" s="48" t="str">
        <f ca="1">IF(AND('Planning Sheet'!BA213='Weeks Plan'!$D$6,'Planning Sheet'!AU213='Weeks Plan'!$G$6),'Planning Sheet'!AW213,"")</f>
        <v/>
      </c>
    </row>
    <row r="703" spans="25:27" x14ac:dyDescent="0.3">
      <c r="Y703" s="48" t="str">
        <f ca="1">IF(AND('Planning Sheet'!BA214='Weeks Plan'!$D$6,'Planning Sheet'!AU214='Weeks Plan'!$G$6),'Planning Sheet'!$B214,"")</f>
        <v/>
      </c>
      <c r="Z703" s="48" t="str">
        <f ca="1">IF(AND('Planning Sheet'!BA214='Weeks Plan'!$D$6,'Planning Sheet'!AU214='Weeks Plan'!$G$6),'Planning Sheet'!$AV214,"")</f>
        <v/>
      </c>
      <c r="AA703" s="48" t="str">
        <f ca="1">IF(AND('Planning Sheet'!BA214='Weeks Plan'!$D$6,'Planning Sheet'!AU214='Weeks Plan'!$G$6),'Planning Sheet'!AW214,"")</f>
        <v/>
      </c>
    </row>
    <row r="704" spans="25:27" x14ac:dyDescent="0.3">
      <c r="Y704" s="48" t="str">
        <f ca="1">IF(AND('Planning Sheet'!BA215='Weeks Plan'!$D$6,'Planning Sheet'!AU215='Weeks Plan'!$G$6),'Planning Sheet'!$B215,"")</f>
        <v/>
      </c>
      <c r="Z704" s="48" t="str">
        <f ca="1">IF(AND('Planning Sheet'!BA215='Weeks Plan'!$D$6,'Planning Sheet'!AU215='Weeks Plan'!$G$6),'Planning Sheet'!$AV215,"")</f>
        <v/>
      </c>
      <c r="AA704" s="48" t="str">
        <f ca="1">IF(AND('Planning Sheet'!BA215='Weeks Plan'!$D$6,'Planning Sheet'!AU215='Weeks Plan'!$G$6),'Planning Sheet'!AW215,"")</f>
        <v/>
      </c>
    </row>
    <row r="705" spans="25:27" x14ac:dyDescent="0.3">
      <c r="Y705" s="48" t="str">
        <f ca="1">IF(AND('Planning Sheet'!BA216='Weeks Plan'!$D$6,'Planning Sheet'!AU216='Weeks Plan'!$G$6),'Planning Sheet'!$B216,"")</f>
        <v/>
      </c>
      <c r="Z705" s="48" t="str">
        <f ca="1">IF(AND('Planning Sheet'!BA216='Weeks Plan'!$D$6,'Planning Sheet'!AU216='Weeks Plan'!$G$6),'Planning Sheet'!$AV216,"")</f>
        <v/>
      </c>
      <c r="AA705" s="48" t="str">
        <f ca="1">IF(AND('Planning Sheet'!BA216='Weeks Plan'!$D$6,'Planning Sheet'!AU216='Weeks Plan'!$G$6),'Planning Sheet'!AW216,"")</f>
        <v/>
      </c>
    </row>
    <row r="706" spans="25:27" x14ac:dyDescent="0.3">
      <c r="Y706" s="48" t="str">
        <f ca="1">IF(AND('Planning Sheet'!BA217='Weeks Plan'!$D$6,'Planning Sheet'!AU217='Weeks Plan'!$G$6),'Planning Sheet'!$B217,"")</f>
        <v/>
      </c>
      <c r="Z706" s="48" t="str">
        <f ca="1">IF(AND('Planning Sheet'!BA217='Weeks Plan'!$D$6,'Planning Sheet'!AU217='Weeks Plan'!$G$6),'Planning Sheet'!$AV217,"")</f>
        <v/>
      </c>
      <c r="AA706" s="48" t="str">
        <f ca="1">IF(AND('Planning Sheet'!BA217='Weeks Plan'!$D$6,'Planning Sheet'!AU217='Weeks Plan'!$G$6),'Planning Sheet'!AW217,"")</f>
        <v/>
      </c>
    </row>
    <row r="707" spans="25:27" x14ac:dyDescent="0.3">
      <c r="Y707" s="48" t="str">
        <f ca="1">IF(AND('Planning Sheet'!BA218='Weeks Plan'!$D$6,'Planning Sheet'!AU218='Weeks Plan'!$G$6),'Planning Sheet'!$B218,"")</f>
        <v/>
      </c>
      <c r="Z707" s="48" t="str">
        <f ca="1">IF(AND('Planning Sheet'!BA218='Weeks Plan'!$D$6,'Planning Sheet'!AU218='Weeks Plan'!$G$6),'Planning Sheet'!$AV218,"")</f>
        <v/>
      </c>
      <c r="AA707" s="48" t="str">
        <f ca="1">IF(AND('Planning Sheet'!BA218='Weeks Plan'!$D$6,'Planning Sheet'!AU218='Weeks Plan'!$G$6),'Planning Sheet'!AW218,"")</f>
        <v/>
      </c>
    </row>
    <row r="708" spans="25:27" x14ac:dyDescent="0.3">
      <c r="Y708" s="48" t="str">
        <f ca="1">IF(AND('Planning Sheet'!BA219='Weeks Plan'!$D$6,'Planning Sheet'!AU219='Weeks Plan'!$G$6),'Planning Sheet'!$B219,"")</f>
        <v/>
      </c>
      <c r="Z708" s="48" t="str">
        <f ca="1">IF(AND('Planning Sheet'!BA219='Weeks Plan'!$D$6,'Planning Sheet'!AU219='Weeks Plan'!$G$6),'Planning Sheet'!$AV219,"")</f>
        <v/>
      </c>
      <c r="AA708" s="48" t="str">
        <f ca="1">IF(AND('Planning Sheet'!BA219='Weeks Plan'!$D$6,'Planning Sheet'!AU219='Weeks Plan'!$G$6),'Planning Sheet'!AW219,"")</f>
        <v/>
      </c>
    </row>
    <row r="709" spans="25:27" x14ac:dyDescent="0.3">
      <c r="Y709" s="48" t="str">
        <f ca="1">IF(AND('Planning Sheet'!BA220='Weeks Plan'!$D$6,'Planning Sheet'!AU220='Weeks Plan'!$G$6),'Planning Sheet'!$B220,"")</f>
        <v/>
      </c>
      <c r="Z709" s="48" t="str">
        <f ca="1">IF(AND('Planning Sheet'!BA220='Weeks Plan'!$D$6,'Planning Sheet'!AU220='Weeks Plan'!$G$6),'Planning Sheet'!$AV220,"")</f>
        <v/>
      </c>
      <c r="AA709" s="48" t="str">
        <f ca="1">IF(AND('Planning Sheet'!BA220='Weeks Plan'!$D$6,'Planning Sheet'!AU220='Weeks Plan'!$G$6),'Planning Sheet'!AW220,"")</f>
        <v/>
      </c>
    </row>
    <row r="710" spans="25:27" x14ac:dyDescent="0.3">
      <c r="Y710" s="48" t="str">
        <f ca="1">IF(AND('Planning Sheet'!BA221='Weeks Plan'!$D$6,'Planning Sheet'!AU221='Weeks Plan'!$G$6),'Planning Sheet'!$B221,"")</f>
        <v/>
      </c>
      <c r="Z710" s="48" t="str">
        <f ca="1">IF(AND('Planning Sheet'!BA221='Weeks Plan'!$D$6,'Planning Sheet'!AU221='Weeks Plan'!$G$6),'Planning Sheet'!$AV221,"")</f>
        <v/>
      </c>
      <c r="AA710" s="48" t="str">
        <f ca="1">IF(AND('Planning Sheet'!BA221='Weeks Plan'!$D$6,'Planning Sheet'!AU221='Weeks Plan'!$G$6),'Planning Sheet'!AW221,"")</f>
        <v/>
      </c>
    </row>
    <row r="711" spans="25:27" x14ac:dyDescent="0.3">
      <c r="Y711" s="48" t="str">
        <f ca="1">IF(AND('Planning Sheet'!BA222='Weeks Plan'!$D$6,'Planning Sheet'!AU222='Weeks Plan'!$G$6),'Planning Sheet'!$B222,"")</f>
        <v/>
      </c>
      <c r="Z711" s="48" t="str">
        <f ca="1">IF(AND('Planning Sheet'!BA222='Weeks Plan'!$D$6,'Planning Sheet'!AU222='Weeks Plan'!$G$6),'Planning Sheet'!$AV222,"")</f>
        <v/>
      </c>
      <c r="AA711" s="48" t="str">
        <f ca="1">IF(AND('Planning Sheet'!BA222='Weeks Plan'!$D$6,'Planning Sheet'!AU222='Weeks Plan'!$G$6),'Planning Sheet'!AW222,"")</f>
        <v/>
      </c>
    </row>
    <row r="712" spans="25:27" x14ac:dyDescent="0.3">
      <c r="Y712" s="48" t="str">
        <f ca="1">IF(AND('Planning Sheet'!BA223='Weeks Plan'!$D$6,'Planning Sheet'!AU223='Weeks Plan'!$G$6),'Planning Sheet'!$B223,"")</f>
        <v/>
      </c>
      <c r="Z712" s="48" t="str">
        <f ca="1">IF(AND('Planning Sheet'!BA223='Weeks Plan'!$D$6,'Planning Sheet'!AU223='Weeks Plan'!$G$6),'Planning Sheet'!$AV223,"")</f>
        <v/>
      </c>
      <c r="AA712" s="48" t="str">
        <f ca="1">IF(AND('Planning Sheet'!BA223='Weeks Plan'!$D$6,'Planning Sheet'!AU223='Weeks Plan'!$G$6),'Planning Sheet'!AW223,"")</f>
        <v/>
      </c>
    </row>
    <row r="713" spans="25:27" x14ac:dyDescent="0.3">
      <c r="Y713" s="48" t="str">
        <f ca="1">IF(AND('Planning Sheet'!BA224='Weeks Plan'!$D$6,'Planning Sheet'!AU224='Weeks Plan'!$G$6),'Planning Sheet'!$B224,"")</f>
        <v/>
      </c>
      <c r="Z713" s="48" t="str">
        <f ca="1">IF(AND('Planning Sheet'!BA224='Weeks Plan'!$D$6,'Planning Sheet'!AU224='Weeks Plan'!$G$6),'Planning Sheet'!$AV224,"")</f>
        <v/>
      </c>
      <c r="AA713" s="48" t="str">
        <f ca="1">IF(AND('Planning Sheet'!BA224='Weeks Plan'!$D$6,'Planning Sheet'!AU224='Weeks Plan'!$G$6),'Planning Sheet'!AW224,"")</f>
        <v/>
      </c>
    </row>
    <row r="714" spans="25:27" x14ac:dyDescent="0.3">
      <c r="Y714" s="48" t="str">
        <f ca="1">IF(AND('Planning Sheet'!BA225='Weeks Plan'!$D$6,'Planning Sheet'!AU225='Weeks Plan'!$G$6),'Planning Sheet'!$B225,"")</f>
        <v/>
      </c>
      <c r="Z714" s="48" t="str">
        <f ca="1">IF(AND('Planning Sheet'!BA225='Weeks Plan'!$D$6,'Planning Sheet'!AU225='Weeks Plan'!$G$6),'Planning Sheet'!$AV225,"")</f>
        <v/>
      </c>
      <c r="AA714" s="48" t="str">
        <f ca="1">IF(AND('Planning Sheet'!BA225='Weeks Plan'!$D$6,'Planning Sheet'!AU225='Weeks Plan'!$G$6),'Planning Sheet'!AW225,"")</f>
        <v/>
      </c>
    </row>
    <row r="715" spans="25:27" x14ac:dyDescent="0.3">
      <c r="Y715" s="48" t="str">
        <f ca="1">IF(AND('Planning Sheet'!BA226='Weeks Plan'!$D$6,'Planning Sheet'!AU226='Weeks Plan'!$G$6),'Planning Sheet'!$B226,"")</f>
        <v/>
      </c>
      <c r="Z715" s="48" t="str">
        <f ca="1">IF(AND('Planning Sheet'!BA226='Weeks Plan'!$D$6,'Planning Sheet'!AU226='Weeks Plan'!$G$6),'Planning Sheet'!$AV226,"")</f>
        <v/>
      </c>
      <c r="AA715" s="48" t="str">
        <f ca="1">IF(AND('Planning Sheet'!BA226='Weeks Plan'!$D$6,'Planning Sheet'!AU226='Weeks Plan'!$G$6),'Planning Sheet'!AW226,"")</f>
        <v/>
      </c>
    </row>
    <row r="716" spans="25:27" x14ac:dyDescent="0.3">
      <c r="Y716" s="48" t="str">
        <f ca="1">IF(AND('Planning Sheet'!BA227='Weeks Plan'!$D$6,'Planning Sheet'!AU227='Weeks Plan'!$G$6),'Planning Sheet'!$B227,"")</f>
        <v/>
      </c>
      <c r="Z716" s="48" t="str">
        <f ca="1">IF(AND('Planning Sheet'!BA227='Weeks Plan'!$D$6,'Planning Sheet'!AU227='Weeks Plan'!$G$6),'Planning Sheet'!$AV227,"")</f>
        <v/>
      </c>
      <c r="AA716" s="48" t="str">
        <f ca="1">IF(AND('Planning Sheet'!BA227='Weeks Plan'!$D$6,'Planning Sheet'!AU227='Weeks Plan'!$G$6),'Planning Sheet'!AW227,"")</f>
        <v/>
      </c>
    </row>
    <row r="717" spans="25:27" x14ac:dyDescent="0.3">
      <c r="Y717" s="48" t="str">
        <f ca="1">IF(AND('Planning Sheet'!BA228='Weeks Plan'!$D$6,'Planning Sheet'!AU228='Weeks Plan'!$G$6),'Planning Sheet'!$B228,"")</f>
        <v/>
      </c>
      <c r="Z717" s="48" t="str">
        <f ca="1">IF(AND('Planning Sheet'!BA228='Weeks Plan'!$D$6,'Planning Sheet'!AU228='Weeks Plan'!$G$6),'Planning Sheet'!$AV228,"")</f>
        <v/>
      </c>
      <c r="AA717" s="48" t="str">
        <f ca="1">IF(AND('Planning Sheet'!BA228='Weeks Plan'!$D$6,'Planning Sheet'!AU228='Weeks Plan'!$G$6),'Planning Sheet'!AW228,"")</f>
        <v/>
      </c>
    </row>
    <row r="718" spans="25:27" x14ac:dyDescent="0.3">
      <c r="Y718" s="48" t="str">
        <f ca="1">IF(AND('Planning Sheet'!BA229='Weeks Plan'!$D$6,'Planning Sheet'!AU229='Weeks Plan'!$G$6),'Planning Sheet'!$B229,"")</f>
        <v/>
      </c>
      <c r="Z718" s="48" t="str">
        <f ca="1">IF(AND('Planning Sheet'!BA229='Weeks Plan'!$D$6,'Planning Sheet'!AU229='Weeks Plan'!$G$6),'Planning Sheet'!$AV229,"")</f>
        <v/>
      </c>
      <c r="AA718" s="48" t="str">
        <f ca="1">IF(AND('Planning Sheet'!BA229='Weeks Plan'!$D$6,'Planning Sheet'!AU229='Weeks Plan'!$G$6),'Planning Sheet'!AW229,"")</f>
        <v/>
      </c>
    </row>
    <row r="719" spans="25:27" x14ac:dyDescent="0.3">
      <c r="Y719" s="48" t="str">
        <f ca="1">IF(AND('Planning Sheet'!BA230='Weeks Plan'!$D$6,'Planning Sheet'!AU230='Weeks Plan'!$G$6),'Planning Sheet'!$B230,"")</f>
        <v/>
      </c>
      <c r="Z719" s="48" t="str">
        <f ca="1">IF(AND('Planning Sheet'!BA230='Weeks Plan'!$D$6,'Planning Sheet'!AU230='Weeks Plan'!$G$6),'Planning Sheet'!$AV230,"")</f>
        <v/>
      </c>
      <c r="AA719" s="48" t="str">
        <f ca="1">IF(AND('Planning Sheet'!BA230='Weeks Plan'!$D$6,'Planning Sheet'!AU230='Weeks Plan'!$G$6),'Planning Sheet'!AW230,"")</f>
        <v/>
      </c>
    </row>
    <row r="720" spans="25:27" x14ac:dyDescent="0.3">
      <c r="Y720" s="48" t="str">
        <f ca="1">IF(AND('Planning Sheet'!BA231='Weeks Plan'!$D$6,'Planning Sheet'!AU231='Weeks Plan'!$G$6),'Planning Sheet'!$B231,"")</f>
        <v/>
      </c>
      <c r="Z720" s="48" t="str">
        <f ca="1">IF(AND('Planning Sheet'!BA231='Weeks Plan'!$D$6,'Planning Sheet'!AU231='Weeks Plan'!$G$6),'Planning Sheet'!$AV231,"")</f>
        <v/>
      </c>
      <c r="AA720" s="48" t="str">
        <f ca="1">IF(AND('Planning Sheet'!BA231='Weeks Plan'!$D$6,'Planning Sheet'!AU231='Weeks Plan'!$G$6),'Planning Sheet'!AW231,"")</f>
        <v/>
      </c>
    </row>
    <row r="721" spans="25:27" x14ac:dyDescent="0.3">
      <c r="Y721" s="48" t="str">
        <f ca="1">IF(AND('Planning Sheet'!BA232='Weeks Plan'!$D$6,'Planning Sheet'!AU232='Weeks Plan'!$G$6),'Planning Sheet'!$B232,"")</f>
        <v/>
      </c>
      <c r="Z721" s="48" t="str">
        <f ca="1">IF(AND('Planning Sheet'!BA232='Weeks Plan'!$D$6,'Planning Sheet'!AU232='Weeks Plan'!$G$6),'Planning Sheet'!$AV232,"")</f>
        <v/>
      </c>
      <c r="AA721" s="48" t="str">
        <f ca="1">IF(AND('Planning Sheet'!BA232='Weeks Plan'!$D$6,'Planning Sheet'!AU232='Weeks Plan'!$G$6),'Planning Sheet'!AW232,"")</f>
        <v/>
      </c>
    </row>
    <row r="722" spans="25:27" x14ac:dyDescent="0.3">
      <c r="Y722" s="48" t="str">
        <f ca="1">IF(AND('Planning Sheet'!BA233='Weeks Plan'!$D$6,'Planning Sheet'!AU233='Weeks Plan'!$G$6),'Planning Sheet'!$B233,"")</f>
        <v/>
      </c>
      <c r="Z722" s="48" t="str">
        <f ca="1">IF(AND('Planning Sheet'!BA233='Weeks Plan'!$D$6,'Planning Sheet'!AU233='Weeks Plan'!$G$6),'Planning Sheet'!$AV233,"")</f>
        <v/>
      </c>
      <c r="AA722" s="48" t="str">
        <f ca="1">IF(AND('Planning Sheet'!BA233='Weeks Plan'!$D$6,'Planning Sheet'!AU233='Weeks Plan'!$G$6),'Planning Sheet'!AW233,"")</f>
        <v/>
      </c>
    </row>
    <row r="723" spans="25:27" x14ac:dyDescent="0.3">
      <c r="Y723" s="48" t="str">
        <f ca="1">IF(AND('Planning Sheet'!BA234='Weeks Plan'!$D$6,'Planning Sheet'!AU234='Weeks Plan'!$G$6),'Planning Sheet'!$B234,"")</f>
        <v/>
      </c>
      <c r="Z723" s="48" t="str">
        <f ca="1">IF(AND('Planning Sheet'!BA234='Weeks Plan'!$D$6,'Planning Sheet'!AU234='Weeks Plan'!$G$6),'Planning Sheet'!$AV234,"")</f>
        <v/>
      </c>
      <c r="AA723" s="48" t="str">
        <f ca="1">IF(AND('Planning Sheet'!BA234='Weeks Plan'!$D$6,'Planning Sheet'!AU234='Weeks Plan'!$G$6),'Planning Sheet'!AW234,"")</f>
        <v/>
      </c>
    </row>
    <row r="724" spans="25:27" x14ac:dyDescent="0.3">
      <c r="Y724" s="48" t="str">
        <f ca="1">IF(AND('Planning Sheet'!BA235='Weeks Plan'!$D$6,'Planning Sheet'!AU235='Weeks Plan'!$G$6),'Planning Sheet'!$B235,"")</f>
        <v/>
      </c>
      <c r="Z724" s="48" t="str">
        <f ca="1">IF(AND('Planning Sheet'!BA235='Weeks Plan'!$D$6,'Planning Sheet'!AU235='Weeks Plan'!$G$6),'Planning Sheet'!$AV235,"")</f>
        <v/>
      </c>
      <c r="AA724" s="48" t="str">
        <f ca="1">IF(AND('Planning Sheet'!BA235='Weeks Plan'!$D$6,'Planning Sheet'!AU235='Weeks Plan'!$G$6),'Planning Sheet'!AW235,"")</f>
        <v/>
      </c>
    </row>
    <row r="725" spans="25:27" x14ac:dyDescent="0.3">
      <c r="Y725" s="48" t="str">
        <f ca="1">IF(AND('Planning Sheet'!BA236='Weeks Plan'!$D$6,'Planning Sheet'!AU236='Weeks Plan'!$G$6),'Planning Sheet'!$B236,"")</f>
        <v/>
      </c>
      <c r="Z725" s="48" t="str">
        <f ca="1">IF(AND('Planning Sheet'!BA236='Weeks Plan'!$D$6,'Planning Sheet'!AU236='Weeks Plan'!$G$6),'Planning Sheet'!$AV236,"")</f>
        <v/>
      </c>
      <c r="AA725" s="48" t="str">
        <f ca="1">IF(AND('Planning Sheet'!BA236='Weeks Plan'!$D$6,'Planning Sheet'!AU236='Weeks Plan'!$G$6),'Planning Sheet'!AW236,"")</f>
        <v/>
      </c>
    </row>
    <row r="726" spans="25:27" x14ac:dyDescent="0.3">
      <c r="Y726" s="48" t="str">
        <f ca="1">IF(AND('Planning Sheet'!BA237='Weeks Plan'!$D$6,'Planning Sheet'!AU237='Weeks Plan'!$G$6),'Planning Sheet'!$B237,"")</f>
        <v/>
      </c>
      <c r="Z726" s="48" t="str">
        <f ca="1">IF(AND('Planning Sheet'!BA237='Weeks Plan'!$D$6,'Planning Sheet'!AU237='Weeks Plan'!$G$6),'Planning Sheet'!$AV237,"")</f>
        <v/>
      </c>
      <c r="AA726" s="48" t="str">
        <f ca="1">IF(AND('Planning Sheet'!BA237='Weeks Plan'!$D$6,'Planning Sheet'!AU237='Weeks Plan'!$G$6),'Planning Sheet'!AW237,"")</f>
        <v/>
      </c>
    </row>
    <row r="727" spans="25:27" x14ac:dyDescent="0.3">
      <c r="Y727" s="48" t="str">
        <f ca="1">IF(AND('Planning Sheet'!BA238='Weeks Plan'!$D$6,'Planning Sheet'!AU238='Weeks Plan'!$G$6),'Planning Sheet'!$B238,"")</f>
        <v/>
      </c>
      <c r="Z727" s="48" t="str">
        <f ca="1">IF(AND('Planning Sheet'!BA238='Weeks Plan'!$D$6,'Planning Sheet'!AU238='Weeks Plan'!$G$6),'Planning Sheet'!$AV238,"")</f>
        <v/>
      </c>
      <c r="AA727" s="48" t="str">
        <f ca="1">IF(AND('Planning Sheet'!BA238='Weeks Plan'!$D$6,'Planning Sheet'!AU238='Weeks Plan'!$G$6),'Planning Sheet'!AW238,"")</f>
        <v/>
      </c>
    </row>
    <row r="728" spans="25:27" x14ac:dyDescent="0.3">
      <c r="Y728" s="48" t="str">
        <f ca="1">IF(AND('Planning Sheet'!BA239='Weeks Plan'!$D$6,'Planning Sheet'!AU239='Weeks Plan'!$G$6),'Planning Sheet'!$B239,"")</f>
        <v/>
      </c>
      <c r="Z728" s="48" t="str">
        <f ca="1">IF(AND('Planning Sheet'!BA239='Weeks Plan'!$D$6,'Planning Sheet'!AU239='Weeks Plan'!$G$6),'Planning Sheet'!$AV239,"")</f>
        <v/>
      </c>
      <c r="AA728" s="48" t="str">
        <f ca="1">IF(AND('Planning Sheet'!BA239='Weeks Plan'!$D$6,'Planning Sheet'!AU239='Weeks Plan'!$G$6),'Planning Sheet'!AW239,"")</f>
        <v/>
      </c>
    </row>
    <row r="729" spans="25:27" x14ac:dyDescent="0.3">
      <c r="Y729" s="48" t="str">
        <f ca="1">IF(AND('Planning Sheet'!BA240='Weeks Plan'!$D$6,'Planning Sheet'!AU240='Weeks Plan'!$G$6),'Planning Sheet'!$B240,"")</f>
        <v/>
      </c>
      <c r="Z729" s="48" t="str">
        <f ca="1">IF(AND('Planning Sheet'!BA240='Weeks Plan'!$D$6,'Planning Sheet'!AU240='Weeks Plan'!$G$6),'Planning Sheet'!$AV240,"")</f>
        <v/>
      </c>
      <c r="AA729" s="48" t="str">
        <f ca="1">IF(AND('Planning Sheet'!BA240='Weeks Plan'!$D$6,'Planning Sheet'!AU240='Weeks Plan'!$G$6),'Planning Sheet'!AW240,"")</f>
        <v/>
      </c>
    </row>
    <row r="730" spans="25:27" x14ac:dyDescent="0.3">
      <c r="Y730" s="48" t="str">
        <f ca="1">IF(AND('Planning Sheet'!BA241='Weeks Plan'!$D$6,'Planning Sheet'!AU241='Weeks Plan'!$G$6),'Planning Sheet'!$B241,"")</f>
        <v/>
      </c>
      <c r="Z730" s="48" t="str">
        <f ca="1">IF(AND('Planning Sheet'!BA241='Weeks Plan'!$D$6,'Planning Sheet'!AU241='Weeks Plan'!$G$6),'Planning Sheet'!$AV241,"")</f>
        <v/>
      </c>
      <c r="AA730" s="48" t="str">
        <f ca="1">IF(AND('Planning Sheet'!BA241='Weeks Plan'!$D$6,'Planning Sheet'!AU241='Weeks Plan'!$G$6),'Planning Sheet'!AW241,"")</f>
        <v/>
      </c>
    </row>
    <row r="731" spans="25:27" x14ac:dyDescent="0.3">
      <c r="Y731" s="48" t="str">
        <f ca="1">IF(AND('Planning Sheet'!BA242='Weeks Plan'!$D$6,'Planning Sheet'!AU242='Weeks Plan'!$G$6),'Planning Sheet'!$B242,"")</f>
        <v/>
      </c>
      <c r="Z731" s="48" t="str">
        <f ca="1">IF(AND('Planning Sheet'!BA242='Weeks Plan'!$D$6,'Planning Sheet'!AU242='Weeks Plan'!$G$6),'Planning Sheet'!$AV242,"")</f>
        <v/>
      </c>
      <c r="AA731" s="48" t="str">
        <f ca="1">IF(AND('Planning Sheet'!BA242='Weeks Plan'!$D$6,'Planning Sheet'!AU242='Weeks Plan'!$G$6),'Planning Sheet'!AW242,"")</f>
        <v/>
      </c>
    </row>
    <row r="732" spans="25:27" x14ac:dyDescent="0.3">
      <c r="Y732" s="48" t="str">
        <f ca="1">IF(AND('Planning Sheet'!BA243='Weeks Plan'!$D$6,'Planning Sheet'!AU243='Weeks Plan'!$G$6),'Planning Sheet'!$B243,"")</f>
        <v/>
      </c>
      <c r="Z732" s="48" t="str">
        <f ca="1">IF(AND('Planning Sheet'!BA243='Weeks Plan'!$D$6,'Planning Sheet'!AU243='Weeks Plan'!$G$6),'Planning Sheet'!$AV243,"")</f>
        <v/>
      </c>
      <c r="AA732" s="48" t="str">
        <f ca="1">IF(AND('Planning Sheet'!BA243='Weeks Plan'!$D$6,'Planning Sheet'!AU243='Weeks Plan'!$G$6),'Planning Sheet'!AW243,"")</f>
        <v/>
      </c>
    </row>
    <row r="733" spans="25:27" x14ac:dyDescent="0.3">
      <c r="Y733" s="48" t="str">
        <f ca="1">IF(AND('Planning Sheet'!BA244='Weeks Plan'!$D$6,'Planning Sheet'!AU244='Weeks Plan'!$G$6),'Planning Sheet'!$B244,"")</f>
        <v/>
      </c>
      <c r="Z733" s="48" t="str">
        <f ca="1">IF(AND('Planning Sheet'!BA244='Weeks Plan'!$D$6,'Planning Sheet'!AU244='Weeks Plan'!$G$6),'Planning Sheet'!$AV244,"")</f>
        <v/>
      </c>
      <c r="AA733" s="48" t="str">
        <f ca="1">IF(AND('Planning Sheet'!BA244='Weeks Plan'!$D$6,'Planning Sheet'!AU244='Weeks Plan'!$G$6),'Planning Sheet'!AW244,"")</f>
        <v/>
      </c>
    </row>
    <row r="734" spans="25:27" x14ac:dyDescent="0.3">
      <c r="Y734" s="48" t="str">
        <f ca="1">IF(AND('Planning Sheet'!BA245='Weeks Plan'!$D$6,'Planning Sheet'!AU245='Weeks Plan'!$G$6),'Planning Sheet'!$B245,"")</f>
        <v/>
      </c>
      <c r="Z734" s="48" t="str">
        <f ca="1">IF(AND('Planning Sheet'!BA245='Weeks Plan'!$D$6,'Planning Sheet'!AU245='Weeks Plan'!$G$6),'Planning Sheet'!$AV245,"")</f>
        <v/>
      </c>
      <c r="AA734" s="48" t="str">
        <f ca="1">IF(AND('Planning Sheet'!BA245='Weeks Plan'!$D$6,'Planning Sheet'!AU245='Weeks Plan'!$G$6),'Planning Sheet'!AW245,"")</f>
        <v/>
      </c>
    </row>
    <row r="735" spans="25:27" x14ac:dyDescent="0.3">
      <c r="Y735" s="48" t="str">
        <f ca="1">IF(AND('Planning Sheet'!BA246='Weeks Plan'!$D$6,'Planning Sheet'!AU246='Weeks Plan'!$G$6),'Planning Sheet'!$B246,"")</f>
        <v/>
      </c>
      <c r="Z735" s="48" t="str">
        <f ca="1">IF(AND('Planning Sheet'!BA246='Weeks Plan'!$D$6,'Planning Sheet'!AU246='Weeks Plan'!$G$6),'Planning Sheet'!$AV246,"")</f>
        <v/>
      </c>
      <c r="AA735" s="48" t="str">
        <f ca="1">IF(AND('Planning Sheet'!BA246='Weeks Plan'!$D$6,'Planning Sheet'!AU246='Weeks Plan'!$G$6),'Planning Sheet'!AW246,"")</f>
        <v/>
      </c>
    </row>
    <row r="736" spans="25:27" x14ac:dyDescent="0.3">
      <c r="Y736" s="48" t="str">
        <f ca="1">IF(AND('Planning Sheet'!BA247='Weeks Plan'!$D$6,'Planning Sheet'!AU247='Weeks Plan'!$G$6),'Planning Sheet'!$B247,"")</f>
        <v/>
      </c>
      <c r="Z736" s="48" t="str">
        <f ca="1">IF(AND('Planning Sheet'!BA247='Weeks Plan'!$D$6,'Planning Sheet'!AU247='Weeks Plan'!$G$6),'Planning Sheet'!$AV247,"")</f>
        <v/>
      </c>
      <c r="AA736" s="48" t="str">
        <f ca="1">IF(AND('Planning Sheet'!BA247='Weeks Plan'!$D$6,'Planning Sheet'!AU247='Weeks Plan'!$G$6),'Planning Sheet'!AW247,"")</f>
        <v/>
      </c>
    </row>
    <row r="737" spans="25:27" x14ac:dyDescent="0.3">
      <c r="Y737" s="48" t="str">
        <f ca="1">IF(AND('Planning Sheet'!BA248='Weeks Plan'!$D$6,'Planning Sheet'!AU248='Weeks Plan'!$G$6),'Planning Sheet'!$B248,"")</f>
        <v/>
      </c>
      <c r="Z737" s="48" t="str">
        <f ca="1">IF(AND('Planning Sheet'!BA248='Weeks Plan'!$D$6,'Planning Sheet'!AU248='Weeks Plan'!$G$6),'Planning Sheet'!$AV248,"")</f>
        <v/>
      </c>
      <c r="AA737" s="48" t="str">
        <f ca="1">IF(AND('Planning Sheet'!BA248='Weeks Plan'!$D$6,'Planning Sheet'!AU248='Weeks Plan'!$G$6),'Planning Sheet'!AW248,"")</f>
        <v/>
      </c>
    </row>
    <row r="738" spans="25:27" x14ac:dyDescent="0.3">
      <c r="Y738" s="48" t="str">
        <f ca="1">IF(AND('Planning Sheet'!BA249='Weeks Plan'!$D$6,'Planning Sheet'!AU249='Weeks Plan'!$G$6),'Planning Sheet'!$B249,"")</f>
        <v/>
      </c>
      <c r="Z738" s="48" t="str">
        <f ca="1">IF(AND('Planning Sheet'!BA249='Weeks Plan'!$D$6,'Planning Sheet'!AU249='Weeks Plan'!$G$6),'Planning Sheet'!$AV249,"")</f>
        <v/>
      </c>
      <c r="AA738" s="48" t="str">
        <f ca="1">IF(AND('Planning Sheet'!BA249='Weeks Plan'!$D$6,'Planning Sheet'!AU249='Weeks Plan'!$G$6),'Planning Sheet'!AW249,"")</f>
        <v/>
      </c>
    </row>
    <row r="739" spans="25:27" x14ac:dyDescent="0.3">
      <c r="Y739" s="48" t="str">
        <f ca="1">IF(AND('Planning Sheet'!BA250='Weeks Plan'!$D$6,'Planning Sheet'!AU250='Weeks Plan'!$G$6),'Planning Sheet'!$B250,"")</f>
        <v/>
      </c>
      <c r="Z739" s="48" t="str">
        <f ca="1">IF(AND('Planning Sheet'!BA250='Weeks Plan'!$D$6,'Planning Sheet'!AU250='Weeks Plan'!$G$6),'Planning Sheet'!$AV250,"")</f>
        <v/>
      </c>
      <c r="AA739" s="48" t="str">
        <f ca="1">IF(AND('Planning Sheet'!BA250='Weeks Plan'!$D$6,'Planning Sheet'!AU250='Weeks Plan'!$G$6),'Planning Sheet'!AW250,"")</f>
        <v/>
      </c>
    </row>
    <row r="740" spans="25:27" x14ac:dyDescent="0.3">
      <c r="Y740" s="48" t="str">
        <f ca="1">IF(AND('Planning Sheet'!BA251='Weeks Plan'!$D$6,'Planning Sheet'!AU251='Weeks Plan'!$G$6),'Planning Sheet'!$B251,"")</f>
        <v/>
      </c>
      <c r="Z740" s="48" t="str">
        <f ca="1">IF(AND('Planning Sheet'!BA251='Weeks Plan'!$D$6,'Planning Sheet'!AU251='Weeks Plan'!$G$6),'Planning Sheet'!$AV251,"")</f>
        <v/>
      </c>
      <c r="AA740" s="48" t="str">
        <f ca="1">IF(AND('Planning Sheet'!BA251='Weeks Plan'!$D$6,'Planning Sheet'!AU251='Weeks Plan'!$G$6),'Planning Sheet'!AW251,"")</f>
        <v/>
      </c>
    </row>
    <row r="741" spans="25:27" x14ac:dyDescent="0.3">
      <c r="Y741" s="48" t="str">
        <f ca="1">IF(AND('Planning Sheet'!BA252='Weeks Plan'!$D$6,'Planning Sheet'!AU252='Weeks Plan'!$G$6),'Planning Sheet'!$B252,"")</f>
        <v/>
      </c>
      <c r="Z741" s="48" t="str">
        <f ca="1">IF(AND('Planning Sheet'!BA252='Weeks Plan'!$D$6,'Planning Sheet'!AU252='Weeks Plan'!$G$6),'Planning Sheet'!$AV252,"")</f>
        <v/>
      </c>
      <c r="AA741" s="48" t="str">
        <f ca="1">IF(AND('Planning Sheet'!BA252='Weeks Plan'!$D$6,'Planning Sheet'!AU252='Weeks Plan'!$G$6),'Planning Sheet'!AW252,"")</f>
        <v/>
      </c>
    </row>
    <row r="742" spans="25:27" x14ac:dyDescent="0.3">
      <c r="Y742" s="48" t="str">
        <f ca="1">IF(AND('Planning Sheet'!BA253='Weeks Plan'!$D$6,'Planning Sheet'!AU253='Weeks Plan'!$G$6),'Planning Sheet'!$B253,"")</f>
        <v/>
      </c>
      <c r="Z742" s="48" t="str">
        <f ca="1">IF(AND('Planning Sheet'!BA253='Weeks Plan'!$D$6,'Planning Sheet'!AU253='Weeks Plan'!$G$6),'Planning Sheet'!$AV253,"")</f>
        <v/>
      </c>
      <c r="AA742" s="48" t="str">
        <f ca="1">IF(AND('Planning Sheet'!BA253='Weeks Plan'!$D$6,'Planning Sheet'!AU253='Weeks Plan'!$G$6),'Planning Sheet'!AW253,"")</f>
        <v/>
      </c>
    </row>
    <row r="743" spans="25:27" x14ac:dyDescent="0.3">
      <c r="Y743" s="48" t="str">
        <f ca="1">IF(AND('Planning Sheet'!BA254='Weeks Plan'!$D$6,'Planning Sheet'!AU254='Weeks Plan'!$G$6),'Planning Sheet'!$B254,"")</f>
        <v/>
      </c>
      <c r="Z743" s="48" t="str">
        <f ca="1">IF(AND('Planning Sheet'!BA254='Weeks Plan'!$D$6,'Planning Sheet'!AU254='Weeks Plan'!$G$6),'Planning Sheet'!$AV254,"")</f>
        <v/>
      </c>
      <c r="AA743" s="48" t="str">
        <f ca="1">IF(AND('Planning Sheet'!BA254='Weeks Plan'!$D$6,'Planning Sheet'!AU254='Weeks Plan'!$G$6),'Planning Sheet'!AW254,"")</f>
        <v/>
      </c>
    </row>
    <row r="744" spans="25:27" x14ac:dyDescent="0.3">
      <c r="Y744" s="48" t="str">
        <f ca="1">IF(AND('Planning Sheet'!BA255='Weeks Plan'!$D$6,'Planning Sheet'!AU255='Weeks Plan'!$G$6),'Planning Sheet'!$B255,"")</f>
        <v/>
      </c>
      <c r="Z744" s="48" t="str">
        <f ca="1">IF(AND('Planning Sheet'!BA255='Weeks Plan'!$D$6,'Planning Sheet'!AU255='Weeks Plan'!$G$6),'Planning Sheet'!$AV255,"")</f>
        <v/>
      </c>
      <c r="AA744" s="48" t="str">
        <f ca="1">IF(AND('Planning Sheet'!BA255='Weeks Plan'!$D$6,'Planning Sheet'!AU255='Weeks Plan'!$G$6),'Planning Sheet'!AW255,"")</f>
        <v/>
      </c>
    </row>
    <row r="745" spans="25:27" x14ac:dyDescent="0.3">
      <c r="Y745" s="48" t="str">
        <f ca="1">IF(AND('Planning Sheet'!BA256='Weeks Plan'!$D$6,'Planning Sheet'!AU256='Weeks Plan'!$G$6),'Planning Sheet'!$B256,"")</f>
        <v/>
      </c>
      <c r="Z745" s="48" t="str">
        <f ca="1">IF(AND('Planning Sheet'!BA256='Weeks Plan'!$D$6,'Planning Sheet'!AU256='Weeks Plan'!$G$6),'Planning Sheet'!$AV256,"")</f>
        <v/>
      </c>
      <c r="AA745" s="48" t="str">
        <f ca="1">IF(AND('Planning Sheet'!BA256='Weeks Plan'!$D$6,'Planning Sheet'!AU256='Weeks Plan'!$G$6),'Planning Sheet'!AW256,"")</f>
        <v/>
      </c>
    </row>
    <row r="746" spans="25:27" x14ac:dyDescent="0.3">
      <c r="Y746" s="48" t="str">
        <f ca="1">IF(AND('Planning Sheet'!BA257='Weeks Plan'!$D$6,'Planning Sheet'!AU257='Weeks Plan'!$G$6),'Planning Sheet'!$B257,"")</f>
        <v/>
      </c>
      <c r="Z746" s="48" t="str">
        <f ca="1">IF(AND('Planning Sheet'!BA257='Weeks Plan'!$D$6,'Planning Sheet'!AU257='Weeks Plan'!$G$6),'Planning Sheet'!$AV257,"")</f>
        <v/>
      </c>
      <c r="AA746" s="48" t="str">
        <f ca="1">IF(AND('Planning Sheet'!BA257='Weeks Plan'!$D$6,'Planning Sheet'!AU257='Weeks Plan'!$G$6),'Planning Sheet'!AW257,"")</f>
        <v/>
      </c>
    </row>
    <row r="747" spans="25:27" x14ac:dyDescent="0.3">
      <c r="Y747" s="48" t="str">
        <f ca="1">IF(AND('Planning Sheet'!BA258='Weeks Plan'!$D$6,'Planning Sheet'!AU258='Weeks Plan'!$G$6),'Planning Sheet'!$B258,"")</f>
        <v/>
      </c>
      <c r="Z747" s="48" t="str">
        <f ca="1">IF(AND('Planning Sheet'!BA258='Weeks Plan'!$D$6,'Planning Sheet'!AU258='Weeks Plan'!$G$6),'Planning Sheet'!$AV258,"")</f>
        <v/>
      </c>
      <c r="AA747" s="48" t="str">
        <f ca="1">IF(AND('Planning Sheet'!BA258='Weeks Plan'!$D$6,'Planning Sheet'!AU258='Weeks Plan'!$G$6),'Planning Sheet'!AW258,"")</f>
        <v/>
      </c>
    </row>
    <row r="748" spans="25:27" x14ac:dyDescent="0.3">
      <c r="Y748" s="48" t="str">
        <f ca="1">IF(AND('Planning Sheet'!BA259='Weeks Plan'!$D$6,'Planning Sheet'!AU259='Weeks Plan'!$G$6),'Planning Sheet'!$B259,"")</f>
        <v/>
      </c>
      <c r="Z748" s="48" t="str">
        <f ca="1">IF(AND('Planning Sheet'!BA259='Weeks Plan'!$D$6,'Planning Sheet'!AU259='Weeks Plan'!$G$6),'Planning Sheet'!$AV259,"")</f>
        <v/>
      </c>
      <c r="AA748" s="48" t="str">
        <f ca="1">IF(AND('Planning Sheet'!BA259='Weeks Plan'!$D$6,'Planning Sheet'!AU259='Weeks Plan'!$G$6),'Planning Sheet'!AW259,"")</f>
        <v/>
      </c>
    </row>
    <row r="749" spans="25:27" x14ac:dyDescent="0.3">
      <c r="Y749" s="48" t="str">
        <f ca="1">IF(AND('Planning Sheet'!BA260='Weeks Plan'!$D$6,'Planning Sheet'!AU260='Weeks Plan'!$G$6),'Planning Sheet'!$B260,"")</f>
        <v/>
      </c>
      <c r="Z749" s="48" t="str">
        <f ca="1">IF(AND('Planning Sheet'!BA260='Weeks Plan'!$D$6,'Planning Sheet'!AU260='Weeks Plan'!$G$6),'Planning Sheet'!$AV260,"")</f>
        <v/>
      </c>
      <c r="AA749" s="48" t="str">
        <f ca="1">IF(AND('Planning Sheet'!BA260='Weeks Plan'!$D$6,'Planning Sheet'!AU260='Weeks Plan'!$G$6),'Planning Sheet'!AW260,"")</f>
        <v/>
      </c>
    </row>
    <row r="750" spans="25:27" x14ac:dyDescent="0.3">
      <c r="Y750" s="48" t="str">
        <f ca="1">IF(AND('Planning Sheet'!BA261='Weeks Plan'!$D$6,'Planning Sheet'!AU261='Weeks Plan'!$G$6),'Planning Sheet'!$B261,"")</f>
        <v/>
      </c>
      <c r="Z750" s="48" t="str">
        <f ca="1">IF(AND('Planning Sheet'!BA261='Weeks Plan'!$D$6,'Planning Sheet'!AU261='Weeks Plan'!$G$6),'Planning Sheet'!$AV261,"")</f>
        <v/>
      </c>
      <c r="AA750" s="48" t="str">
        <f ca="1">IF(AND('Planning Sheet'!BA261='Weeks Plan'!$D$6,'Planning Sheet'!AU261='Weeks Plan'!$G$6),'Planning Sheet'!AW261,"")</f>
        <v/>
      </c>
    </row>
    <row r="751" spans="25:27" x14ac:dyDescent="0.3">
      <c r="Y751" s="48" t="str">
        <f ca="1">IF(AND('Planning Sheet'!BA262='Weeks Plan'!$D$6,'Planning Sheet'!AU262='Weeks Plan'!$G$6),'Planning Sheet'!$B262,"")</f>
        <v/>
      </c>
      <c r="Z751" s="48" t="str">
        <f ca="1">IF(AND('Planning Sheet'!BA262='Weeks Plan'!$D$6,'Planning Sheet'!AU262='Weeks Plan'!$G$6),'Planning Sheet'!$AV262,"")</f>
        <v/>
      </c>
      <c r="AA751" s="48" t="str">
        <f ca="1">IF(AND('Planning Sheet'!BA262='Weeks Plan'!$D$6,'Planning Sheet'!AU262='Weeks Plan'!$G$6),'Planning Sheet'!AW262,"")</f>
        <v/>
      </c>
    </row>
    <row r="752" spans="25:27" x14ac:dyDescent="0.3">
      <c r="Y752" s="48" t="str">
        <f ca="1">IF(AND('Planning Sheet'!BA263='Weeks Plan'!$D$6,'Planning Sheet'!AU263='Weeks Plan'!$G$6),'Planning Sheet'!$B263,"")</f>
        <v/>
      </c>
      <c r="Z752" s="48" t="str">
        <f ca="1">IF(AND('Planning Sheet'!BA263='Weeks Plan'!$D$6,'Planning Sheet'!AU263='Weeks Plan'!$G$6),'Planning Sheet'!$AV263,"")</f>
        <v/>
      </c>
      <c r="AA752" s="48" t="str">
        <f ca="1">IF(AND('Planning Sheet'!BA263='Weeks Plan'!$D$6,'Planning Sheet'!AU263='Weeks Plan'!$G$6),'Planning Sheet'!AW263,"")</f>
        <v/>
      </c>
    </row>
    <row r="753" spans="25:27" x14ac:dyDescent="0.3">
      <c r="Y753" s="48" t="str">
        <f ca="1">IF(AND('Planning Sheet'!BA264='Weeks Plan'!$D$6,'Planning Sheet'!AU264='Weeks Plan'!$G$6),'Planning Sheet'!$B264,"")</f>
        <v/>
      </c>
      <c r="Z753" s="48" t="str">
        <f ca="1">IF(AND('Planning Sheet'!BA264='Weeks Plan'!$D$6,'Planning Sheet'!AU264='Weeks Plan'!$G$6),'Planning Sheet'!$AV264,"")</f>
        <v/>
      </c>
      <c r="AA753" s="48" t="str">
        <f ca="1">IF(AND('Planning Sheet'!BA264='Weeks Plan'!$D$6,'Planning Sheet'!AU264='Weeks Plan'!$G$6),'Planning Sheet'!AW264,"")</f>
        <v/>
      </c>
    </row>
    <row r="754" spans="25:27" x14ac:dyDescent="0.3">
      <c r="Y754" s="48" t="str">
        <f ca="1">IF(AND('Planning Sheet'!BA265='Weeks Plan'!$D$6,'Planning Sheet'!AU265='Weeks Plan'!$G$6),'Planning Sheet'!$B265,"")</f>
        <v/>
      </c>
      <c r="Z754" s="48" t="str">
        <f ca="1">IF(AND('Planning Sheet'!BA265='Weeks Plan'!$D$6,'Planning Sheet'!AU265='Weeks Plan'!$G$6),'Planning Sheet'!$AV265,"")</f>
        <v/>
      </c>
      <c r="AA754" s="48" t="str">
        <f ca="1">IF(AND('Planning Sheet'!BA265='Weeks Plan'!$D$6,'Planning Sheet'!AU265='Weeks Plan'!$G$6),'Planning Sheet'!AW265,"")</f>
        <v/>
      </c>
    </row>
    <row r="755" spans="25:27" x14ac:dyDescent="0.3">
      <c r="Y755" s="48" t="str">
        <f ca="1">IF(AND('Planning Sheet'!BA266='Weeks Plan'!$D$6,'Planning Sheet'!AU266='Weeks Plan'!$G$6),'Planning Sheet'!$B266,"")</f>
        <v/>
      </c>
      <c r="Z755" s="48" t="str">
        <f ca="1">IF(AND('Planning Sheet'!BA266='Weeks Plan'!$D$6,'Planning Sheet'!AU266='Weeks Plan'!$G$6),'Planning Sheet'!$AV266,"")</f>
        <v/>
      </c>
      <c r="AA755" s="48" t="str">
        <f ca="1">IF(AND('Planning Sheet'!BA266='Weeks Plan'!$D$6,'Planning Sheet'!AU266='Weeks Plan'!$G$6),'Planning Sheet'!AW266,"")</f>
        <v/>
      </c>
    </row>
    <row r="756" spans="25:27" x14ac:dyDescent="0.3">
      <c r="Y756" s="48" t="str">
        <f ca="1">IF(AND('Planning Sheet'!BA267='Weeks Plan'!$D$6,'Planning Sheet'!AU267='Weeks Plan'!$G$6),'Planning Sheet'!$B267,"")</f>
        <v/>
      </c>
      <c r="Z756" s="48" t="str">
        <f ca="1">IF(AND('Planning Sheet'!BA267='Weeks Plan'!$D$6,'Planning Sheet'!AU267='Weeks Plan'!$G$6),'Planning Sheet'!$AV267,"")</f>
        <v/>
      </c>
      <c r="AA756" s="48" t="str">
        <f ca="1">IF(AND('Planning Sheet'!BA267='Weeks Plan'!$D$6,'Planning Sheet'!AU267='Weeks Plan'!$G$6),'Planning Sheet'!AW267,"")</f>
        <v/>
      </c>
    </row>
    <row r="757" spans="25:27" x14ac:dyDescent="0.3">
      <c r="Y757" s="48" t="str">
        <f ca="1">IF(AND('Planning Sheet'!BA268='Weeks Plan'!$D$6,'Planning Sheet'!AU268='Weeks Plan'!$G$6),'Planning Sheet'!$B268,"")</f>
        <v/>
      </c>
      <c r="Z757" s="48" t="str">
        <f ca="1">IF(AND('Planning Sheet'!BA268='Weeks Plan'!$D$6,'Planning Sheet'!AU268='Weeks Plan'!$G$6),'Planning Sheet'!$AV268,"")</f>
        <v/>
      </c>
      <c r="AA757" s="48" t="str">
        <f ca="1">IF(AND('Planning Sheet'!BA268='Weeks Plan'!$D$6,'Planning Sheet'!AU268='Weeks Plan'!$G$6),'Planning Sheet'!AW268,"")</f>
        <v/>
      </c>
    </row>
    <row r="758" spans="25:27" x14ac:dyDescent="0.3">
      <c r="Y758" s="48" t="str">
        <f ca="1">IF(AND('Planning Sheet'!BA269='Weeks Plan'!$D$6,'Planning Sheet'!AU269='Weeks Plan'!$G$6),'Planning Sheet'!$B269,"")</f>
        <v/>
      </c>
      <c r="Z758" s="48" t="str">
        <f ca="1">IF(AND('Planning Sheet'!BA269='Weeks Plan'!$D$6,'Planning Sheet'!AU269='Weeks Plan'!$G$6),'Planning Sheet'!$AV269,"")</f>
        <v/>
      </c>
      <c r="AA758" s="48" t="str">
        <f ca="1">IF(AND('Planning Sheet'!BA269='Weeks Plan'!$D$6,'Planning Sheet'!AU269='Weeks Plan'!$G$6),'Planning Sheet'!AW269,"")</f>
        <v/>
      </c>
    </row>
    <row r="759" spans="25:27" x14ac:dyDescent="0.3">
      <c r="Y759" s="48" t="str">
        <f ca="1">IF(AND('Planning Sheet'!BA270='Weeks Plan'!$D$6,'Planning Sheet'!AU270='Weeks Plan'!$G$6),'Planning Sheet'!$B270,"")</f>
        <v/>
      </c>
      <c r="Z759" s="48" t="str">
        <f ca="1">IF(AND('Planning Sheet'!BA270='Weeks Plan'!$D$6,'Planning Sheet'!AU270='Weeks Plan'!$G$6),'Planning Sheet'!$AV270,"")</f>
        <v/>
      </c>
      <c r="AA759" s="48" t="str">
        <f ca="1">IF(AND('Planning Sheet'!BA270='Weeks Plan'!$D$6,'Planning Sheet'!AU270='Weeks Plan'!$G$6),'Planning Sheet'!AW270,"")</f>
        <v/>
      </c>
    </row>
    <row r="760" spans="25:27" x14ac:dyDescent="0.3">
      <c r="Y760" s="48" t="str">
        <f ca="1">IF(AND('Planning Sheet'!BA271='Weeks Plan'!$D$6,'Planning Sheet'!AU271='Weeks Plan'!$G$6),'Planning Sheet'!$B271,"")</f>
        <v/>
      </c>
      <c r="Z760" s="48" t="str">
        <f ca="1">IF(AND('Planning Sheet'!BA271='Weeks Plan'!$D$6,'Planning Sheet'!AU271='Weeks Plan'!$G$6),'Planning Sheet'!$AV271,"")</f>
        <v/>
      </c>
      <c r="AA760" s="48" t="str">
        <f ca="1">IF(AND('Planning Sheet'!BA271='Weeks Plan'!$D$6,'Planning Sheet'!AU271='Weeks Plan'!$G$6),'Planning Sheet'!AW271,"")</f>
        <v/>
      </c>
    </row>
    <row r="761" spans="25:27" x14ac:dyDescent="0.3">
      <c r="Y761" s="48" t="str">
        <f ca="1">IF(AND('Planning Sheet'!BA272='Weeks Plan'!$D$6,'Planning Sheet'!AU272='Weeks Plan'!$G$6),'Planning Sheet'!$B272,"")</f>
        <v/>
      </c>
      <c r="Z761" s="48" t="str">
        <f ca="1">IF(AND('Planning Sheet'!BA272='Weeks Plan'!$D$6,'Planning Sheet'!AU272='Weeks Plan'!$G$6),'Planning Sheet'!$AV272,"")</f>
        <v/>
      </c>
      <c r="AA761" s="48" t="str">
        <f ca="1">IF(AND('Planning Sheet'!BA272='Weeks Plan'!$D$6,'Planning Sheet'!AU272='Weeks Plan'!$G$6),'Planning Sheet'!AW272,"")</f>
        <v/>
      </c>
    </row>
    <row r="762" spans="25:27" x14ac:dyDescent="0.3">
      <c r="Y762" s="48" t="str">
        <f ca="1">IF(AND('Planning Sheet'!BA273='Weeks Plan'!$D$6,'Planning Sheet'!AU273='Weeks Plan'!$G$6),'Planning Sheet'!$B273,"")</f>
        <v/>
      </c>
      <c r="Z762" s="48" t="str">
        <f ca="1">IF(AND('Planning Sheet'!BA273='Weeks Plan'!$D$6,'Planning Sheet'!AU273='Weeks Plan'!$G$6),'Planning Sheet'!$AV273,"")</f>
        <v/>
      </c>
      <c r="AA762" s="48" t="str">
        <f ca="1">IF(AND('Planning Sheet'!BA273='Weeks Plan'!$D$6,'Planning Sheet'!AU273='Weeks Plan'!$G$6),'Planning Sheet'!AW273,"")</f>
        <v/>
      </c>
    </row>
    <row r="763" spans="25:27" x14ac:dyDescent="0.3">
      <c r="Y763" s="48" t="str">
        <f ca="1">IF(AND('Planning Sheet'!BA274='Weeks Plan'!$D$6,'Planning Sheet'!AU274='Weeks Plan'!$G$6),'Planning Sheet'!$B274,"")</f>
        <v/>
      </c>
      <c r="Z763" s="48" t="str">
        <f ca="1">IF(AND('Planning Sheet'!BA274='Weeks Plan'!$D$6,'Planning Sheet'!AU274='Weeks Plan'!$G$6),'Planning Sheet'!$AV274,"")</f>
        <v/>
      </c>
      <c r="AA763" s="48" t="str">
        <f ca="1">IF(AND('Planning Sheet'!BA274='Weeks Plan'!$D$6,'Planning Sheet'!AU274='Weeks Plan'!$G$6),'Planning Sheet'!AW274,"")</f>
        <v/>
      </c>
    </row>
    <row r="764" spans="25:27" x14ac:dyDescent="0.3">
      <c r="Y764" s="48" t="str">
        <f ca="1">IF(AND('Planning Sheet'!BA275='Weeks Plan'!$D$6,'Planning Sheet'!AU275='Weeks Plan'!$G$6),'Planning Sheet'!$B275,"")</f>
        <v/>
      </c>
      <c r="Z764" s="48" t="str">
        <f ca="1">IF(AND('Planning Sheet'!BA275='Weeks Plan'!$D$6,'Planning Sheet'!AU275='Weeks Plan'!$G$6),'Planning Sheet'!$AV275,"")</f>
        <v/>
      </c>
      <c r="AA764" s="48" t="str">
        <f ca="1">IF(AND('Planning Sheet'!BA275='Weeks Plan'!$D$6,'Planning Sheet'!AU275='Weeks Plan'!$G$6),'Planning Sheet'!AW275,"")</f>
        <v/>
      </c>
    </row>
    <row r="765" spans="25:27" x14ac:dyDescent="0.3">
      <c r="Y765" s="48" t="str">
        <f ca="1">IF(AND('Planning Sheet'!BA276='Weeks Plan'!$D$6,'Planning Sheet'!AU276='Weeks Plan'!$G$6),'Planning Sheet'!$B276,"")</f>
        <v/>
      </c>
      <c r="Z765" s="48" t="str">
        <f ca="1">IF(AND('Planning Sheet'!BA276='Weeks Plan'!$D$6,'Planning Sheet'!AU276='Weeks Plan'!$G$6),'Planning Sheet'!$AV276,"")</f>
        <v/>
      </c>
      <c r="AA765" s="48" t="str">
        <f ca="1">IF(AND('Planning Sheet'!BA276='Weeks Plan'!$D$6,'Planning Sheet'!AU276='Weeks Plan'!$G$6),'Planning Sheet'!AW276,"")</f>
        <v/>
      </c>
    </row>
    <row r="766" spans="25:27" x14ac:dyDescent="0.3">
      <c r="Y766" s="48" t="str">
        <f ca="1">IF(AND('Planning Sheet'!BA277='Weeks Plan'!$D$6,'Planning Sheet'!AU277='Weeks Plan'!$G$6),'Planning Sheet'!$B277,"")</f>
        <v/>
      </c>
      <c r="Z766" s="48" t="str">
        <f ca="1">IF(AND('Planning Sheet'!BA277='Weeks Plan'!$D$6,'Planning Sheet'!AU277='Weeks Plan'!$G$6),'Planning Sheet'!$AV277,"")</f>
        <v/>
      </c>
      <c r="AA766" s="48" t="str">
        <f ca="1">IF(AND('Planning Sheet'!BA277='Weeks Plan'!$D$6,'Planning Sheet'!AU277='Weeks Plan'!$G$6),'Planning Sheet'!AW277,"")</f>
        <v/>
      </c>
    </row>
    <row r="767" spans="25:27" x14ac:dyDescent="0.3">
      <c r="Y767" s="48" t="str">
        <f ca="1">IF(AND('Planning Sheet'!BA278='Weeks Plan'!$D$6,'Planning Sheet'!AU278='Weeks Plan'!$G$6),'Planning Sheet'!$B278,"")</f>
        <v/>
      </c>
      <c r="Z767" s="48" t="str">
        <f ca="1">IF(AND('Planning Sheet'!BA278='Weeks Plan'!$D$6,'Planning Sheet'!AU278='Weeks Plan'!$G$6),'Planning Sheet'!$AV278,"")</f>
        <v/>
      </c>
      <c r="AA767" s="48" t="str">
        <f ca="1">IF(AND('Planning Sheet'!BA278='Weeks Plan'!$D$6,'Planning Sheet'!AU278='Weeks Plan'!$G$6),'Planning Sheet'!AW278,"")</f>
        <v/>
      </c>
    </row>
    <row r="768" spans="25:27" x14ac:dyDescent="0.3">
      <c r="Y768" s="48" t="str">
        <f ca="1">IF(AND('Planning Sheet'!BA279='Weeks Plan'!$D$6,'Planning Sheet'!AU279='Weeks Plan'!$G$6),'Planning Sheet'!$B279,"")</f>
        <v/>
      </c>
      <c r="Z768" s="48" t="str">
        <f ca="1">IF(AND('Planning Sheet'!BA279='Weeks Plan'!$D$6,'Planning Sheet'!AU279='Weeks Plan'!$G$6),'Planning Sheet'!$AV279,"")</f>
        <v/>
      </c>
      <c r="AA768" s="48" t="str">
        <f ca="1">IF(AND('Planning Sheet'!BA279='Weeks Plan'!$D$6,'Planning Sheet'!AU279='Weeks Plan'!$G$6),'Planning Sheet'!AW279,"")</f>
        <v/>
      </c>
    </row>
    <row r="769" spans="25:27" x14ac:dyDescent="0.3">
      <c r="Y769" s="48" t="str">
        <f ca="1">IF(AND('Planning Sheet'!BA280='Weeks Plan'!$D$6,'Planning Sheet'!AU280='Weeks Plan'!$G$6),'Planning Sheet'!$B280,"")</f>
        <v/>
      </c>
      <c r="Z769" s="48" t="str">
        <f ca="1">IF(AND('Planning Sheet'!BA280='Weeks Plan'!$D$6,'Planning Sheet'!AU280='Weeks Plan'!$G$6),'Planning Sheet'!$AV280,"")</f>
        <v/>
      </c>
      <c r="AA769" s="48" t="str">
        <f ca="1">IF(AND('Planning Sheet'!BA280='Weeks Plan'!$D$6,'Planning Sheet'!AU280='Weeks Plan'!$G$6),'Planning Sheet'!AW280,"")</f>
        <v/>
      </c>
    </row>
    <row r="770" spans="25:27" x14ac:dyDescent="0.3">
      <c r="Y770" s="48" t="str">
        <f ca="1">IF(AND('Planning Sheet'!BA281='Weeks Plan'!$D$6,'Planning Sheet'!AU281='Weeks Plan'!$G$6),'Planning Sheet'!$B281,"")</f>
        <v/>
      </c>
      <c r="Z770" s="48" t="str">
        <f ca="1">IF(AND('Planning Sheet'!BA281='Weeks Plan'!$D$6,'Planning Sheet'!AU281='Weeks Plan'!$G$6),'Planning Sheet'!$AV281,"")</f>
        <v/>
      </c>
      <c r="AA770" s="48" t="str">
        <f ca="1">IF(AND('Planning Sheet'!BA281='Weeks Plan'!$D$6,'Planning Sheet'!AU281='Weeks Plan'!$G$6),'Planning Sheet'!AW281,"")</f>
        <v/>
      </c>
    </row>
    <row r="771" spans="25:27" x14ac:dyDescent="0.3">
      <c r="Y771" s="48" t="str">
        <f ca="1">IF(AND('Planning Sheet'!BA282='Weeks Plan'!$D$6,'Planning Sheet'!AU282='Weeks Plan'!$G$6),'Planning Sheet'!$B282,"")</f>
        <v/>
      </c>
      <c r="Z771" s="48" t="str">
        <f ca="1">IF(AND('Planning Sheet'!BA282='Weeks Plan'!$D$6,'Planning Sheet'!AU282='Weeks Plan'!$G$6),'Planning Sheet'!$AV282,"")</f>
        <v/>
      </c>
      <c r="AA771" s="48" t="str">
        <f ca="1">IF(AND('Planning Sheet'!BA282='Weeks Plan'!$D$6,'Planning Sheet'!AU282='Weeks Plan'!$G$6),'Planning Sheet'!AW282,"")</f>
        <v/>
      </c>
    </row>
    <row r="772" spans="25:27" x14ac:dyDescent="0.3">
      <c r="Y772" s="48" t="str">
        <f ca="1">IF(AND('Planning Sheet'!BA283='Weeks Plan'!$D$6,'Planning Sheet'!AU283='Weeks Plan'!$G$6),'Planning Sheet'!$B283,"")</f>
        <v/>
      </c>
      <c r="Z772" s="48" t="str">
        <f ca="1">IF(AND('Planning Sheet'!BA283='Weeks Plan'!$D$6,'Planning Sheet'!AU283='Weeks Plan'!$G$6),'Planning Sheet'!$AV283,"")</f>
        <v/>
      </c>
      <c r="AA772" s="48" t="str">
        <f ca="1">IF(AND('Planning Sheet'!BA283='Weeks Plan'!$D$6,'Planning Sheet'!AU283='Weeks Plan'!$G$6),'Planning Sheet'!AW283,"")</f>
        <v/>
      </c>
    </row>
    <row r="773" spans="25:27" x14ac:dyDescent="0.3">
      <c r="Y773" s="48" t="str">
        <f ca="1">IF(AND('Planning Sheet'!BA284='Weeks Plan'!$D$6,'Planning Sheet'!AU284='Weeks Plan'!$G$6),'Planning Sheet'!$B284,"")</f>
        <v/>
      </c>
      <c r="Z773" s="48" t="str">
        <f ca="1">IF(AND('Planning Sheet'!BA284='Weeks Plan'!$D$6,'Planning Sheet'!AU284='Weeks Plan'!$G$6),'Planning Sheet'!$AV284,"")</f>
        <v/>
      </c>
      <c r="AA773" s="48" t="str">
        <f ca="1">IF(AND('Planning Sheet'!BA284='Weeks Plan'!$D$6,'Planning Sheet'!AU284='Weeks Plan'!$G$6),'Planning Sheet'!AW284,"")</f>
        <v/>
      </c>
    </row>
    <row r="774" spans="25:27" x14ac:dyDescent="0.3">
      <c r="Y774" s="48" t="str">
        <f ca="1">IF(AND('Planning Sheet'!BA285='Weeks Plan'!$D$6,'Planning Sheet'!AU285='Weeks Plan'!$G$6),'Planning Sheet'!$B285,"")</f>
        <v/>
      </c>
      <c r="Z774" s="48" t="str">
        <f ca="1">IF(AND('Planning Sheet'!BA285='Weeks Plan'!$D$6,'Planning Sheet'!AU285='Weeks Plan'!$G$6),'Planning Sheet'!$AV285,"")</f>
        <v/>
      </c>
      <c r="AA774" s="48" t="str">
        <f ca="1">IF(AND('Planning Sheet'!BA285='Weeks Plan'!$D$6,'Planning Sheet'!AU285='Weeks Plan'!$G$6),'Planning Sheet'!AW285,"")</f>
        <v/>
      </c>
    </row>
    <row r="775" spans="25:27" x14ac:dyDescent="0.3">
      <c r="Y775" s="48" t="str">
        <f ca="1">IF(AND('Planning Sheet'!BA286='Weeks Plan'!$D$6,'Planning Sheet'!AU286='Weeks Plan'!$G$6),'Planning Sheet'!$B286,"")</f>
        <v/>
      </c>
      <c r="Z775" s="48" t="str">
        <f ca="1">IF(AND('Planning Sheet'!BA286='Weeks Plan'!$D$6,'Planning Sheet'!AU286='Weeks Plan'!$G$6),'Planning Sheet'!$AV286,"")</f>
        <v/>
      </c>
      <c r="AA775" s="48" t="str">
        <f ca="1">IF(AND('Planning Sheet'!BA286='Weeks Plan'!$D$6,'Planning Sheet'!AU286='Weeks Plan'!$G$6),'Planning Sheet'!AW286,"")</f>
        <v/>
      </c>
    </row>
    <row r="776" spans="25:27" x14ac:dyDescent="0.3">
      <c r="Y776" s="48" t="str">
        <f ca="1">IF(AND('Planning Sheet'!BA287='Weeks Plan'!$D$6,'Planning Sheet'!AU287='Weeks Plan'!$G$6),'Planning Sheet'!$B287,"")</f>
        <v/>
      </c>
      <c r="Z776" s="48" t="str">
        <f ca="1">IF(AND('Planning Sheet'!BA287='Weeks Plan'!$D$6,'Planning Sheet'!AU287='Weeks Plan'!$G$6),'Planning Sheet'!$AV287,"")</f>
        <v/>
      </c>
      <c r="AA776" s="48" t="str">
        <f ca="1">IF(AND('Planning Sheet'!BA287='Weeks Plan'!$D$6,'Planning Sheet'!AU287='Weeks Plan'!$G$6),'Planning Sheet'!AW287,"")</f>
        <v/>
      </c>
    </row>
    <row r="777" spans="25:27" x14ac:dyDescent="0.3">
      <c r="Y777" s="48" t="str">
        <f ca="1">IF(AND('Planning Sheet'!BA288='Weeks Plan'!$D$6,'Planning Sheet'!AU288='Weeks Plan'!$G$6),'Planning Sheet'!$B288,"")</f>
        <v/>
      </c>
      <c r="Z777" s="48" t="str">
        <f ca="1">IF(AND('Planning Sheet'!BA288='Weeks Plan'!$D$6,'Planning Sheet'!AU288='Weeks Plan'!$G$6),'Planning Sheet'!$AV288,"")</f>
        <v/>
      </c>
      <c r="AA777" s="48" t="str">
        <f ca="1">IF(AND('Planning Sheet'!BA288='Weeks Plan'!$D$6,'Planning Sheet'!AU288='Weeks Plan'!$G$6),'Planning Sheet'!AW288,"")</f>
        <v/>
      </c>
    </row>
    <row r="778" spans="25:27" x14ac:dyDescent="0.3">
      <c r="Y778" s="48" t="str">
        <f ca="1">IF(AND('Planning Sheet'!BA289='Weeks Plan'!$D$6,'Planning Sheet'!AU289='Weeks Plan'!$G$6),'Planning Sheet'!$B289,"")</f>
        <v/>
      </c>
      <c r="Z778" s="48" t="str">
        <f ca="1">IF(AND('Planning Sheet'!BA289='Weeks Plan'!$D$6,'Planning Sheet'!AU289='Weeks Plan'!$G$6),'Planning Sheet'!$AV289,"")</f>
        <v/>
      </c>
      <c r="AA778" s="48" t="str">
        <f ca="1">IF(AND('Planning Sheet'!BA289='Weeks Plan'!$D$6,'Planning Sheet'!AU289='Weeks Plan'!$G$6),'Planning Sheet'!AW289,"")</f>
        <v/>
      </c>
    </row>
    <row r="779" spans="25:27" x14ac:dyDescent="0.3">
      <c r="Y779" s="48" t="str">
        <f ca="1">IF(AND('Planning Sheet'!BA290='Weeks Plan'!$D$6,'Planning Sheet'!AU290='Weeks Plan'!$G$6),'Planning Sheet'!$B290,"")</f>
        <v/>
      </c>
      <c r="Z779" s="48" t="str">
        <f ca="1">IF(AND('Planning Sheet'!BA290='Weeks Plan'!$D$6,'Planning Sheet'!AU290='Weeks Plan'!$G$6),'Planning Sheet'!$AV290,"")</f>
        <v/>
      </c>
      <c r="AA779" s="48" t="str">
        <f ca="1">IF(AND('Planning Sheet'!BA290='Weeks Plan'!$D$6,'Planning Sheet'!AU290='Weeks Plan'!$G$6),'Planning Sheet'!AW290,"")</f>
        <v/>
      </c>
    </row>
    <row r="780" spans="25:27" x14ac:dyDescent="0.3">
      <c r="Y780" s="48" t="str">
        <f ca="1">IF(AND('Planning Sheet'!BA291='Weeks Plan'!$D$6,'Planning Sheet'!AU291='Weeks Plan'!$G$6),'Planning Sheet'!$B291,"")</f>
        <v/>
      </c>
      <c r="Z780" s="48" t="str">
        <f ca="1">IF(AND('Planning Sheet'!BA291='Weeks Plan'!$D$6,'Planning Sheet'!AU291='Weeks Plan'!$G$6),'Planning Sheet'!$AV291,"")</f>
        <v/>
      </c>
      <c r="AA780" s="48" t="str">
        <f ca="1">IF(AND('Planning Sheet'!BA291='Weeks Plan'!$D$6,'Planning Sheet'!AU291='Weeks Plan'!$G$6),'Planning Sheet'!AW291,"")</f>
        <v/>
      </c>
    </row>
    <row r="781" spans="25:27" x14ac:dyDescent="0.3">
      <c r="Y781" s="48" t="str">
        <f ca="1">IF(AND('Planning Sheet'!BA292='Weeks Plan'!$D$6,'Planning Sheet'!AU292='Weeks Plan'!$G$6),'Planning Sheet'!$B292,"")</f>
        <v/>
      </c>
      <c r="Z781" s="48" t="str">
        <f ca="1">IF(AND('Planning Sheet'!BA292='Weeks Plan'!$D$6,'Planning Sheet'!AU292='Weeks Plan'!$G$6),'Planning Sheet'!$AV292,"")</f>
        <v/>
      </c>
      <c r="AA781" s="48" t="str">
        <f ca="1">IF(AND('Planning Sheet'!BA292='Weeks Plan'!$D$6,'Planning Sheet'!AU292='Weeks Plan'!$G$6),'Planning Sheet'!AW292,"")</f>
        <v/>
      </c>
    </row>
    <row r="782" spans="25:27" x14ac:dyDescent="0.3">
      <c r="Y782" s="48" t="str">
        <f ca="1">IF(AND('Planning Sheet'!BA293='Weeks Plan'!$D$6,'Planning Sheet'!AU293='Weeks Plan'!$G$6),'Planning Sheet'!$B293,"")</f>
        <v/>
      </c>
      <c r="Z782" s="48" t="str">
        <f ca="1">IF(AND('Planning Sheet'!BA293='Weeks Plan'!$D$6,'Planning Sheet'!AU293='Weeks Plan'!$G$6),'Planning Sheet'!$AV293,"")</f>
        <v/>
      </c>
      <c r="AA782" s="48" t="str">
        <f ca="1">IF(AND('Planning Sheet'!BA293='Weeks Plan'!$D$6,'Planning Sheet'!AU293='Weeks Plan'!$G$6),'Planning Sheet'!AW293,"")</f>
        <v/>
      </c>
    </row>
    <row r="783" spans="25:27" x14ac:dyDescent="0.3">
      <c r="Y783" s="48" t="str">
        <f ca="1">IF(AND('Planning Sheet'!BA294='Weeks Plan'!$D$6,'Planning Sheet'!AU294='Weeks Plan'!$G$6),'Planning Sheet'!$B294,"")</f>
        <v/>
      </c>
      <c r="Z783" s="48" t="str">
        <f ca="1">IF(AND('Planning Sheet'!BA294='Weeks Plan'!$D$6,'Planning Sheet'!AU294='Weeks Plan'!$G$6),'Planning Sheet'!$AV294,"")</f>
        <v/>
      </c>
      <c r="AA783" s="48" t="str">
        <f ca="1">IF(AND('Planning Sheet'!BA294='Weeks Plan'!$D$6,'Planning Sheet'!AU294='Weeks Plan'!$G$6),'Planning Sheet'!AW294,"")</f>
        <v/>
      </c>
    </row>
    <row r="784" spans="25:27" x14ac:dyDescent="0.3">
      <c r="Y784" s="48" t="str">
        <f ca="1">IF(AND('Planning Sheet'!BA295='Weeks Plan'!$D$6,'Planning Sheet'!AU295='Weeks Plan'!$G$6),'Planning Sheet'!$B295,"")</f>
        <v/>
      </c>
      <c r="Z784" s="48" t="str">
        <f ca="1">IF(AND('Planning Sheet'!BA295='Weeks Plan'!$D$6,'Planning Sheet'!AU295='Weeks Plan'!$G$6),'Planning Sheet'!$AV295,"")</f>
        <v/>
      </c>
      <c r="AA784" s="48" t="str">
        <f ca="1">IF(AND('Planning Sheet'!BA295='Weeks Plan'!$D$6,'Planning Sheet'!AU295='Weeks Plan'!$G$6),'Planning Sheet'!AW295,"")</f>
        <v/>
      </c>
    </row>
    <row r="785" spans="25:27" x14ac:dyDescent="0.3">
      <c r="Y785" s="48" t="str">
        <f ca="1">IF(AND('Planning Sheet'!BA296='Weeks Plan'!$D$6,'Planning Sheet'!AU296='Weeks Plan'!$G$6),'Planning Sheet'!$B296,"")</f>
        <v/>
      </c>
      <c r="Z785" s="48" t="str">
        <f ca="1">IF(AND('Planning Sheet'!BA296='Weeks Plan'!$D$6,'Planning Sheet'!AU296='Weeks Plan'!$G$6),'Planning Sheet'!$AV296,"")</f>
        <v/>
      </c>
      <c r="AA785" s="48" t="str">
        <f ca="1">IF(AND('Planning Sheet'!BA296='Weeks Plan'!$D$6,'Planning Sheet'!AU296='Weeks Plan'!$G$6),'Planning Sheet'!AW296,"")</f>
        <v/>
      </c>
    </row>
    <row r="786" spans="25:27" x14ac:dyDescent="0.3">
      <c r="Y786" s="48" t="str">
        <f ca="1">IF(AND('Planning Sheet'!BA297='Weeks Plan'!$D$6,'Planning Sheet'!AU297='Weeks Plan'!$G$6),'Planning Sheet'!$B297,"")</f>
        <v/>
      </c>
      <c r="Z786" s="48" t="str">
        <f ca="1">IF(AND('Planning Sheet'!BA297='Weeks Plan'!$D$6,'Planning Sheet'!AU297='Weeks Plan'!$G$6),'Planning Sheet'!$AV297,"")</f>
        <v/>
      </c>
      <c r="AA786" s="48" t="str">
        <f ca="1">IF(AND('Planning Sheet'!BA297='Weeks Plan'!$D$6,'Planning Sheet'!AU297='Weeks Plan'!$G$6),'Planning Sheet'!AW297,"")</f>
        <v/>
      </c>
    </row>
    <row r="787" spans="25:27" x14ac:dyDescent="0.3">
      <c r="Y787" s="48" t="str">
        <f ca="1">IF(AND('Planning Sheet'!BA298='Weeks Plan'!$D$6,'Planning Sheet'!AU298='Weeks Plan'!$G$6),'Planning Sheet'!$B298,"")</f>
        <v/>
      </c>
      <c r="Z787" s="48" t="str">
        <f ca="1">IF(AND('Planning Sheet'!BA298='Weeks Plan'!$D$6,'Planning Sheet'!AU298='Weeks Plan'!$G$6),'Planning Sheet'!$AV298,"")</f>
        <v/>
      </c>
      <c r="AA787" s="48" t="str">
        <f ca="1">IF(AND('Planning Sheet'!BA298='Weeks Plan'!$D$6,'Planning Sheet'!AU298='Weeks Plan'!$G$6),'Planning Sheet'!AW298,"")</f>
        <v/>
      </c>
    </row>
    <row r="788" spans="25:27" x14ac:dyDescent="0.3">
      <c r="Y788" s="48" t="str">
        <f ca="1">IF(AND('Planning Sheet'!BA299='Weeks Plan'!$D$6,'Planning Sheet'!AU299='Weeks Plan'!$G$6),'Planning Sheet'!$B299,"")</f>
        <v/>
      </c>
      <c r="Z788" s="48" t="str">
        <f ca="1">IF(AND('Planning Sheet'!BA299='Weeks Plan'!$D$6,'Planning Sheet'!AU299='Weeks Plan'!$G$6),'Planning Sheet'!$AV299,"")</f>
        <v/>
      </c>
      <c r="AA788" s="48" t="str">
        <f ca="1">IF(AND('Planning Sheet'!BA299='Weeks Plan'!$D$6,'Planning Sheet'!AU299='Weeks Plan'!$G$6),'Planning Sheet'!AW299,"")</f>
        <v/>
      </c>
    </row>
    <row r="789" spans="25:27" x14ac:dyDescent="0.3">
      <c r="Y789" s="48" t="str">
        <f ca="1">IF(AND('Planning Sheet'!BA300='Weeks Plan'!$D$6,'Planning Sheet'!AU300='Weeks Plan'!$G$6),'Planning Sheet'!$B300,"")</f>
        <v/>
      </c>
      <c r="Z789" s="48" t="str">
        <f ca="1">IF(AND('Planning Sheet'!BA300='Weeks Plan'!$D$6,'Planning Sheet'!AU300='Weeks Plan'!$G$6),'Planning Sheet'!$AV300,"")</f>
        <v/>
      </c>
      <c r="AA789" s="48" t="str">
        <f ca="1">IF(AND('Planning Sheet'!BA300='Weeks Plan'!$D$6,'Planning Sheet'!AU300='Weeks Plan'!$G$6),'Planning Sheet'!AW300,"")</f>
        <v/>
      </c>
    </row>
    <row r="790" spans="25:27" x14ac:dyDescent="0.3">
      <c r="Y790" s="48" t="str">
        <f ca="1">IF(AND('Planning Sheet'!BA301='Weeks Plan'!$D$6,'Planning Sheet'!AU301='Weeks Plan'!$G$6),'Planning Sheet'!$B301,"")</f>
        <v/>
      </c>
      <c r="Z790" s="48" t="str">
        <f ca="1">IF(AND('Planning Sheet'!BA301='Weeks Plan'!$D$6,'Planning Sheet'!AU301='Weeks Plan'!$G$6),'Planning Sheet'!$AV301,"")</f>
        <v/>
      </c>
      <c r="AA790" s="48" t="str">
        <f ca="1">IF(AND('Planning Sheet'!BA301='Weeks Plan'!$D$6,'Planning Sheet'!AU301='Weeks Plan'!$G$6),'Planning Sheet'!AW301,"")</f>
        <v/>
      </c>
    </row>
    <row r="791" spans="25:27" x14ac:dyDescent="0.3">
      <c r="Y791" s="48" t="str">
        <f ca="1">IF(AND('Planning Sheet'!BA302='Weeks Plan'!$D$6,'Planning Sheet'!AU302='Weeks Plan'!$G$6),'Planning Sheet'!$B302,"")</f>
        <v/>
      </c>
      <c r="Z791" s="48" t="str">
        <f ca="1">IF(AND('Planning Sheet'!BA302='Weeks Plan'!$D$6,'Planning Sheet'!AU302='Weeks Plan'!$G$6),'Planning Sheet'!$AV302,"")</f>
        <v/>
      </c>
      <c r="AA791" s="48" t="str">
        <f ca="1">IF(AND('Planning Sheet'!BA302='Weeks Plan'!$D$6,'Planning Sheet'!AU302='Weeks Plan'!$G$6),'Planning Sheet'!AW302,"")</f>
        <v/>
      </c>
    </row>
    <row r="792" spans="25:27" x14ac:dyDescent="0.3">
      <c r="Y792" s="48" t="str">
        <f ca="1">IF(AND('Planning Sheet'!BA303='Weeks Plan'!$D$6,'Planning Sheet'!AU303='Weeks Plan'!$G$6),'Planning Sheet'!$B303,"")</f>
        <v/>
      </c>
      <c r="Z792" s="48" t="str">
        <f ca="1">IF(AND('Planning Sheet'!BA303='Weeks Plan'!$D$6,'Planning Sheet'!AU303='Weeks Plan'!$G$6),'Planning Sheet'!$AV303,"")</f>
        <v/>
      </c>
      <c r="AA792" s="48" t="str">
        <f ca="1">IF(AND('Planning Sheet'!BA303='Weeks Plan'!$D$6,'Planning Sheet'!AU303='Weeks Plan'!$G$6),'Planning Sheet'!AW303,"")</f>
        <v/>
      </c>
    </row>
    <row r="793" spans="25:27" x14ac:dyDescent="0.3">
      <c r="Y793" s="48" t="str">
        <f ca="1">IF(AND('Planning Sheet'!BA304='Weeks Plan'!$D$6,'Planning Sheet'!AU304='Weeks Plan'!$G$6),'Planning Sheet'!$B304,"")</f>
        <v/>
      </c>
      <c r="Z793" s="48" t="str">
        <f ca="1">IF(AND('Planning Sheet'!BA304='Weeks Plan'!$D$6,'Planning Sheet'!AU304='Weeks Plan'!$G$6),'Planning Sheet'!$AV304,"")</f>
        <v/>
      </c>
      <c r="AA793" s="48" t="str">
        <f ca="1">IF(AND('Planning Sheet'!BA304='Weeks Plan'!$D$6,'Planning Sheet'!AU304='Weeks Plan'!$G$6),'Planning Sheet'!AW304,"")</f>
        <v/>
      </c>
    </row>
    <row r="794" spans="25:27" x14ac:dyDescent="0.3">
      <c r="Y794" s="48" t="str">
        <f ca="1">IF(AND('Planning Sheet'!BA305='Weeks Plan'!$D$6,'Planning Sheet'!AU305='Weeks Plan'!$G$6),'Planning Sheet'!$B305,"")</f>
        <v/>
      </c>
      <c r="Z794" s="48" t="str">
        <f ca="1">IF(AND('Planning Sheet'!BA305='Weeks Plan'!$D$6,'Planning Sheet'!AU305='Weeks Plan'!$G$6),'Planning Sheet'!$AV305,"")</f>
        <v/>
      </c>
      <c r="AA794" s="48" t="str">
        <f ca="1">IF(AND('Planning Sheet'!BA305='Weeks Plan'!$D$6,'Planning Sheet'!AU305='Weeks Plan'!$G$6),'Planning Sheet'!AW305,"")</f>
        <v/>
      </c>
    </row>
    <row r="795" spans="25:27" x14ac:dyDescent="0.3">
      <c r="Y795" s="48" t="str">
        <f ca="1">IF(AND('Planning Sheet'!BA306='Weeks Plan'!$D$6,'Planning Sheet'!AU306='Weeks Plan'!$G$6),'Planning Sheet'!$B306,"")</f>
        <v/>
      </c>
      <c r="Z795" s="48" t="str">
        <f ca="1">IF(AND('Planning Sheet'!BA306='Weeks Plan'!$D$6,'Planning Sheet'!AU306='Weeks Plan'!$G$6),'Planning Sheet'!$AV306,"")</f>
        <v/>
      </c>
      <c r="AA795" s="48" t="str">
        <f ca="1">IF(AND('Planning Sheet'!BA306='Weeks Plan'!$D$6,'Planning Sheet'!AU306='Weeks Plan'!$G$6),'Planning Sheet'!AW306,"")</f>
        <v/>
      </c>
    </row>
    <row r="796" spans="25:27" x14ac:dyDescent="0.3">
      <c r="Y796" s="48" t="str">
        <f ca="1">IF(AND('Planning Sheet'!BA307='Weeks Plan'!$D$6,'Planning Sheet'!AU307='Weeks Plan'!$G$6),'Planning Sheet'!$B307,"")</f>
        <v/>
      </c>
      <c r="Z796" s="48" t="str">
        <f ca="1">IF(AND('Planning Sheet'!BA307='Weeks Plan'!$D$6,'Planning Sheet'!AU307='Weeks Plan'!$G$6),'Planning Sheet'!$AV307,"")</f>
        <v/>
      </c>
      <c r="AA796" s="48" t="str">
        <f ca="1">IF(AND('Planning Sheet'!BA307='Weeks Plan'!$D$6,'Planning Sheet'!AU307='Weeks Plan'!$G$6),'Planning Sheet'!AW307,"")</f>
        <v/>
      </c>
    </row>
    <row r="797" spans="25:27" x14ac:dyDescent="0.3">
      <c r="Y797" s="48" t="str">
        <f ca="1">IF(AND('Planning Sheet'!BA308='Weeks Plan'!$D$6,'Planning Sheet'!AU308='Weeks Plan'!$G$6),'Planning Sheet'!$B308,"")</f>
        <v/>
      </c>
      <c r="Z797" s="48" t="str">
        <f ca="1">IF(AND('Planning Sheet'!BA308='Weeks Plan'!$D$6,'Planning Sheet'!AU308='Weeks Plan'!$G$6),'Planning Sheet'!$AV308,"")</f>
        <v/>
      </c>
      <c r="AA797" s="48" t="str">
        <f ca="1">IF(AND('Planning Sheet'!BA308='Weeks Plan'!$D$6,'Planning Sheet'!AU308='Weeks Plan'!$G$6),'Planning Sheet'!AW308,"")</f>
        <v/>
      </c>
    </row>
    <row r="798" spans="25:27" x14ac:dyDescent="0.3">
      <c r="Y798" s="48" t="str">
        <f ca="1">IF(AND('Planning Sheet'!BA309='Weeks Plan'!$D$6,'Planning Sheet'!AU309='Weeks Plan'!$G$6),'Planning Sheet'!$B309,"")</f>
        <v/>
      </c>
      <c r="Z798" s="48" t="str">
        <f ca="1">IF(AND('Planning Sheet'!BA309='Weeks Plan'!$D$6,'Planning Sheet'!AU309='Weeks Plan'!$G$6),'Planning Sheet'!$AV309,"")</f>
        <v/>
      </c>
      <c r="AA798" s="48" t="str">
        <f ca="1">IF(AND('Planning Sheet'!BA309='Weeks Plan'!$D$6,'Planning Sheet'!AU309='Weeks Plan'!$G$6),'Planning Sheet'!AW309,"")</f>
        <v/>
      </c>
    </row>
    <row r="799" spans="25:27" x14ac:dyDescent="0.3">
      <c r="Y799" s="48" t="str">
        <f ca="1">IF(AND('Planning Sheet'!BA310='Weeks Plan'!$D$6,'Planning Sheet'!AU310='Weeks Plan'!$G$6),'Planning Sheet'!$B310,"")</f>
        <v/>
      </c>
      <c r="Z799" s="48" t="str">
        <f ca="1">IF(AND('Planning Sheet'!BA310='Weeks Plan'!$D$6,'Planning Sheet'!AU310='Weeks Plan'!$G$6),'Planning Sheet'!$AV310,"")</f>
        <v/>
      </c>
      <c r="AA799" s="48" t="str">
        <f ca="1">IF(AND('Planning Sheet'!BA310='Weeks Plan'!$D$6,'Planning Sheet'!AU310='Weeks Plan'!$G$6),'Planning Sheet'!AW310,"")</f>
        <v/>
      </c>
    </row>
    <row r="800" spans="25:27" x14ac:dyDescent="0.3">
      <c r="Y800" s="48" t="str">
        <f ca="1">IF(AND('Planning Sheet'!BA311='Weeks Plan'!$D$6,'Planning Sheet'!AU311='Weeks Plan'!$G$6),'Planning Sheet'!$B311,"")</f>
        <v/>
      </c>
      <c r="Z800" s="48" t="str">
        <f ca="1">IF(AND('Planning Sheet'!BA311='Weeks Plan'!$D$6,'Planning Sheet'!AU311='Weeks Plan'!$G$6),'Planning Sheet'!$AV311,"")</f>
        <v/>
      </c>
      <c r="AA800" s="48" t="str">
        <f ca="1">IF(AND('Planning Sheet'!BA311='Weeks Plan'!$D$6,'Planning Sheet'!AU311='Weeks Plan'!$G$6),'Planning Sheet'!AW311,"")</f>
        <v/>
      </c>
    </row>
    <row r="801" spans="25:27" x14ac:dyDescent="0.3">
      <c r="Y801" s="48" t="str">
        <f ca="1">IF(AND('Planning Sheet'!BA312='Weeks Plan'!$D$6,'Planning Sheet'!AU312='Weeks Plan'!$G$6),'Planning Sheet'!$B312,"")</f>
        <v/>
      </c>
      <c r="Z801" s="48" t="str">
        <f ca="1">IF(AND('Planning Sheet'!BA312='Weeks Plan'!$D$6,'Planning Sheet'!AU312='Weeks Plan'!$G$6),'Planning Sheet'!$AV312,"")</f>
        <v/>
      </c>
      <c r="AA801" s="48" t="str">
        <f ca="1">IF(AND('Planning Sheet'!BA312='Weeks Plan'!$D$6,'Planning Sheet'!AU312='Weeks Plan'!$G$6),'Planning Sheet'!AW312,"")</f>
        <v/>
      </c>
    </row>
    <row r="802" spans="25:27" x14ac:dyDescent="0.3">
      <c r="Y802" s="48" t="str">
        <f ca="1">IF(AND('Planning Sheet'!BA313='Weeks Plan'!$D$6,'Planning Sheet'!AU313='Weeks Plan'!$G$6),'Planning Sheet'!$B313,"")</f>
        <v/>
      </c>
      <c r="Z802" s="48" t="str">
        <f ca="1">IF(AND('Planning Sheet'!BA313='Weeks Plan'!$D$6,'Planning Sheet'!AU313='Weeks Plan'!$G$6),'Planning Sheet'!$AV313,"")</f>
        <v/>
      </c>
      <c r="AA802" s="48" t="str">
        <f ca="1">IF(AND('Planning Sheet'!BA313='Weeks Plan'!$D$6,'Planning Sheet'!AU313='Weeks Plan'!$G$6),'Planning Sheet'!AW313,"")</f>
        <v/>
      </c>
    </row>
    <row r="803" spans="25:27" x14ac:dyDescent="0.3">
      <c r="Y803" s="48" t="str">
        <f ca="1">IF(AND('Planning Sheet'!BA314='Weeks Plan'!$D$6,'Planning Sheet'!AU314='Weeks Plan'!$G$6),'Planning Sheet'!$B314,"")</f>
        <v/>
      </c>
      <c r="Z803" s="48" t="str">
        <f ca="1">IF(AND('Planning Sheet'!BA314='Weeks Plan'!$D$6,'Planning Sheet'!AU314='Weeks Plan'!$G$6),'Planning Sheet'!$AV314,"")</f>
        <v/>
      </c>
      <c r="AA803" s="48" t="str">
        <f ca="1">IF(AND('Planning Sheet'!BA314='Weeks Plan'!$D$6,'Planning Sheet'!AU314='Weeks Plan'!$G$6),'Planning Sheet'!AW314,"")</f>
        <v/>
      </c>
    </row>
    <row r="804" spans="25:27" x14ac:dyDescent="0.3">
      <c r="Y804" s="48" t="str">
        <f ca="1">IF(AND('Planning Sheet'!BA315='Weeks Plan'!$D$6,'Planning Sheet'!AU315='Weeks Plan'!$G$6),'Planning Sheet'!$B315,"")</f>
        <v/>
      </c>
      <c r="Z804" s="48" t="str">
        <f ca="1">IF(AND('Planning Sheet'!BA315='Weeks Plan'!$D$6,'Planning Sheet'!AU315='Weeks Plan'!$G$6),'Planning Sheet'!$AV315,"")</f>
        <v/>
      </c>
      <c r="AA804" s="48" t="str">
        <f ca="1">IF(AND('Planning Sheet'!BA315='Weeks Plan'!$D$6,'Planning Sheet'!AU315='Weeks Plan'!$G$6),'Planning Sheet'!AW315,"")</f>
        <v/>
      </c>
    </row>
    <row r="805" spans="25:27" x14ac:dyDescent="0.3">
      <c r="Y805" s="48" t="str">
        <f ca="1">IF(AND('Planning Sheet'!BA316='Weeks Plan'!$D$6,'Planning Sheet'!AU316='Weeks Plan'!$G$6),'Planning Sheet'!$B316,"")</f>
        <v/>
      </c>
      <c r="Z805" s="48" t="str">
        <f ca="1">IF(AND('Planning Sheet'!BA316='Weeks Plan'!$D$6,'Planning Sheet'!AU316='Weeks Plan'!$G$6),'Planning Sheet'!$AV316,"")</f>
        <v/>
      </c>
      <c r="AA805" s="48" t="str">
        <f ca="1">IF(AND('Planning Sheet'!BA316='Weeks Plan'!$D$6,'Planning Sheet'!AU316='Weeks Plan'!$G$6),'Planning Sheet'!AW316,"")</f>
        <v/>
      </c>
    </row>
    <row r="806" spans="25:27" x14ac:dyDescent="0.3">
      <c r="Y806" s="48" t="str">
        <f ca="1">IF(AND('Planning Sheet'!BA317='Weeks Plan'!$D$6,'Planning Sheet'!AU317='Weeks Plan'!$G$6),'Planning Sheet'!$B317,"")</f>
        <v/>
      </c>
      <c r="Z806" s="48" t="str">
        <f ca="1">IF(AND('Planning Sheet'!BA317='Weeks Plan'!$D$6,'Planning Sheet'!AU317='Weeks Plan'!$G$6),'Planning Sheet'!$AV317,"")</f>
        <v/>
      </c>
      <c r="AA806" s="48" t="str">
        <f ca="1">IF(AND('Planning Sheet'!BA317='Weeks Plan'!$D$6,'Planning Sheet'!AU317='Weeks Plan'!$G$6),'Planning Sheet'!AW317,"")</f>
        <v/>
      </c>
    </row>
    <row r="807" spans="25:27" x14ac:dyDescent="0.3">
      <c r="Y807" s="48" t="str">
        <f ca="1">IF(AND('Planning Sheet'!BA318='Weeks Plan'!$D$6,'Planning Sheet'!AU318='Weeks Plan'!$G$6),'Planning Sheet'!$B318,"")</f>
        <v/>
      </c>
      <c r="Z807" s="48" t="str">
        <f ca="1">IF(AND('Planning Sheet'!BA318='Weeks Plan'!$D$6,'Planning Sheet'!AU318='Weeks Plan'!$G$6),'Planning Sheet'!$AV318,"")</f>
        <v/>
      </c>
      <c r="AA807" s="48" t="str">
        <f ca="1">IF(AND('Planning Sheet'!BA318='Weeks Plan'!$D$6,'Planning Sheet'!AU318='Weeks Plan'!$G$6),'Planning Sheet'!AW318,"")</f>
        <v/>
      </c>
    </row>
    <row r="808" spans="25:27" x14ac:dyDescent="0.3">
      <c r="Y808" s="48" t="str">
        <f ca="1">IF(AND('Planning Sheet'!BA319='Weeks Plan'!$D$6,'Planning Sheet'!AU319='Weeks Plan'!$G$6),'Planning Sheet'!$B319,"")</f>
        <v/>
      </c>
      <c r="Z808" s="48" t="str">
        <f ca="1">IF(AND('Planning Sheet'!BA319='Weeks Plan'!$D$6,'Planning Sheet'!AU319='Weeks Plan'!$G$6),'Planning Sheet'!$AV319,"")</f>
        <v/>
      </c>
      <c r="AA808" s="48" t="str">
        <f ca="1">IF(AND('Planning Sheet'!BA319='Weeks Plan'!$D$6,'Planning Sheet'!AU319='Weeks Plan'!$G$6),'Planning Sheet'!AW319,"")</f>
        <v/>
      </c>
    </row>
    <row r="809" spans="25:27" x14ac:dyDescent="0.3">
      <c r="Y809" s="48" t="str">
        <f ca="1">IF(AND('Planning Sheet'!BA320='Weeks Plan'!$D$6,'Planning Sheet'!AU320='Weeks Plan'!$G$6),'Planning Sheet'!$B320,"")</f>
        <v/>
      </c>
      <c r="Z809" s="48" t="str">
        <f ca="1">IF(AND('Planning Sheet'!BA320='Weeks Plan'!$D$6,'Planning Sheet'!AU320='Weeks Plan'!$G$6),'Planning Sheet'!$AV320,"")</f>
        <v/>
      </c>
      <c r="AA809" s="48" t="str">
        <f ca="1">IF(AND('Planning Sheet'!BA320='Weeks Plan'!$D$6,'Planning Sheet'!AU320='Weeks Plan'!$G$6),'Planning Sheet'!AW320,"")</f>
        <v/>
      </c>
    </row>
    <row r="810" spans="25:27" x14ac:dyDescent="0.3">
      <c r="Y810" s="48" t="str">
        <f ca="1">IF(AND('Planning Sheet'!BA321='Weeks Plan'!$D$6,'Planning Sheet'!AU321='Weeks Plan'!$G$6),'Planning Sheet'!$B321,"")</f>
        <v/>
      </c>
      <c r="Z810" s="48" t="str">
        <f ca="1">IF(AND('Planning Sheet'!BA321='Weeks Plan'!$D$6,'Planning Sheet'!AU321='Weeks Plan'!$G$6),'Planning Sheet'!$AV321,"")</f>
        <v/>
      </c>
      <c r="AA810" s="48" t="str">
        <f ca="1">IF(AND('Planning Sheet'!BA321='Weeks Plan'!$D$6,'Planning Sheet'!AU321='Weeks Plan'!$G$6),'Planning Sheet'!AW321,"")</f>
        <v/>
      </c>
    </row>
    <row r="811" spans="25:27" x14ac:dyDescent="0.3">
      <c r="Y811" s="48" t="str">
        <f ca="1">IF(AND('Planning Sheet'!BA322='Weeks Plan'!$D$6,'Planning Sheet'!AU322='Weeks Plan'!$G$6),'Planning Sheet'!$B322,"")</f>
        <v/>
      </c>
      <c r="Z811" s="48" t="str">
        <f ca="1">IF(AND('Planning Sheet'!BA322='Weeks Plan'!$D$6,'Planning Sheet'!AU322='Weeks Plan'!$G$6),'Planning Sheet'!$AV322,"")</f>
        <v/>
      </c>
      <c r="AA811" s="48" t="str">
        <f ca="1">IF(AND('Planning Sheet'!BA322='Weeks Plan'!$D$6,'Planning Sheet'!AU322='Weeks Plan'!$G$6),'Planning Sheet'!AW322,"")</f>
        <v/>
      </c>
    </row>
    <row r="812" spans="25:27" x14ac:dyDescent="0.3">
      <c r="Y812" s="48" t="str">
        <f ca="1">IF(AND('Planning Sheet'!BA323='Weeks Plan'!$D$6,'Planning Sheet'!AU323='Weeks Plan'!$G$6),'Planning Sheet'!$B323,"")</f>
        <v/>
      </c>
      <c r="Z812" s="48" t="str">
        <f ca="1">IF(AND('Planning Sheet'!BA323='Weeks Plan'!$D$6,'Planning Sheet'!AU323='Weeks Plan'!$G$6),'Planning Sheet'!$AV323,"")</f>
        <v/>
      </c>
      <c r="AA812" s="48" t="str">
        <f ca="1">IF(AND('Planning Sheet'!BA323='Weeks Plan'!$D$6,'Planning Sheet'!AU323='Weeks Plan'!$G$6),'Planning Sheet'!AW323,"")</f>
        <v/>
      </c>
    </row>
    <row r="813" spans="25:27" x14ac:dyDescent="0.3">
      <c r="Y813" s="48" t="str">
        <f ca="1">IF(AND('Planning Sheet'!BA324='Weeks Plan'!$D$6,'Planning Sheet'!AU324='Weeks Plan'!$G$6),'Planning Sheet'!$B324,"")</f>
        <v/>
      </c>
      <c r="Z813" s="48" t="str">
        <f ca="1">IF(AND('Planning Sheet'!BA324='Weeks Plan'!$D$6,'Planning Sheet'!AU324='Weeks Plan'!$G$6),'Planning Sheet'!$AV324,"")</f>
        <v/>
      </c>
      <c r="AA813" s="48" t="str">
        <f ca="1">IF(AND('Planning Sheet'!BA324='Weeks Plan'!$D$6,'Planning Sheet'!AU324='Weeks Plan'!$G$6),'Planning Sheet'!AW324,"")</f>
        <v/>
      </c>
    </row>
    <row r="814" spans="25:27" x14ac:dyDescent="0.3">
      <c r="Y814" s="48" t="str">
        <f ca="1">IF(AND('Planning Sheet'!BA325='Weeks Plan'!$D$6,'Planning Sheet'!AU325='Weeks Plan'!$G$6),'Planning Sheet'!$B325,"")</f>
        <v/>
      </c>
      <c r="Z814" s="48" t="str">
        <f ca="1">IF(AND('Planning Sheet'!BA325='Weeks Plan'!$D$6,'Planning Sheet'!AU325='Weeks Plan'!$G$6),'Planning Sheet'!$AV325,"")</f>
        <v/>
      </c>
      <c r="AA814" s="48" t="str">
        <f ca="1">IF(AND('Planning Sheet'!BA325='Weeks Plan'!$D$6,'Planning Sheet'!AU325='Weeks Plan'!$G$6),'Planning Sheet'!AW325,"")</f>
        <v/>
      </c>
    </row>
    <row r="815" spans="25:27" x14ac:dyDescent="0.3">
      <c r="Y815" s="48" t="str">
        <f ca="1">IF(AND('Planning Sheet'!BA326='Weeks Plan'!$D$6,'Planning Sheet'!AU326='Weeks Plan'!$G$6),'Planning Sheet'!$B326,"")</f>
        <v/>
      </c>
      <c r="Z815" s="48" t="str">
        <f ca="1">IF(AND('Planning Sheet'!BA326='Weeks Plan'!$D$6,'Planning Sheet'!AU326='Weeks Plan'!$G$6),'Planning Sheet'!$AV326,"")</f>
        <v/>
      </c>
      <c r="AA815" s="48" t="str">
        <f ca="1">IF(AND('Planning Sheet'!BA326='Weeks Plan'!$D$6,'Planning Sheet'!AU326='Weeks Plan'!$G$6),'Planning Sheet'!AW326,"")</f>
        <v/>
      </c>
    </row>
    <row r="816" spans="25:27" x14ac:dyDescent="0.3">
      <c r="Y816" s="48" t="str">
        <f ca="1">IF(AND('Planning Sheet'!BA327='Weeks Plan'!$D$6,'Planning Sheet'!AU327='Weeks Plan'!$G$6),'Planning Sheet'!$B327,"")</f>
        <v/>
      </c>
      <c r="Z816" s="48" t="str">
        <f ca="1">IF(AND('Planning Sheet'!BA327='Weeks Plan'!$D$6,'Planning Sheet'!AU327='Weeks Plan'!$G$6),'Planning Sheet'!$AV327,"")</f>
        <v/>
      </c>
      <c r="AA816" s="48" t="str">
        <f ca="1">IF(AND('Planning Sheet'!BA327='Weeks Plan'!$D$6,'Planning Sheet'!AU327='Weeks Plan'!$G$6),'Planning Sheet'!AW327,"")</f>
        <v/>
      </c>
    </row>
    <row r="817" spans="25:27" x14ac:dyDescent="0.3">
      <c r="Y817" s="48" t="str">
        <f ca="1">IF(AND('Planning Sheet'!BA328='Weeks Plan'!$D$6,'Planning Sheet'!AU328='Weeks Plan'!$G$6),'Planning Sheet'!$B328,"")</f>
        <v/>
      </c>
      <c r="Z817" s="48" t="str">
        <f ca="1">IF(AND('Planning Sheet'!BA328='Weeks Plan'!$D$6,'Planning Sheet'!AU328='Weeks Plan'!$G$6),'Planning Sheet'!$AV328,"")</f>
        <v/>
      </c>
      <c r="AA817" s="48" t="str">
        <f ca="1">IF(AND('Planning Sheet'!BA328='Weeks Plan'!$D$6,'Planning Sheet'!AU328='Weeks Plan'!$G$6),'Planning Sheet'!AW328,"")</f>
        <v/>
      </c>
    </row>
    <row r="818" spans="25:27" x14ac:dyDescent="0.3">
      <c r="Y818" s="48" t="str">
        <f ca="1">IF(AND('Planning Sheet'!BA329='Weeks Plan'!$D$6,'Planning Sheet'!AU329='Weeks Plan'!$G$6),'Planning Sheet'!$B329,"")</f>
        <v/>
      </c>
      <c r="Z818" s="48" t="str">
        <f ca="1">IF(AND('Planning Sheet'!BA329='Weeks Plan'!$D$6,'Planning Sheet'!AU329='Weeks Plan'!$G$6),'Planning Sheet'!$AV329,"")</f>
        <v/>
      </c>
      <c r="AA818" s="48" t="str">
        <f ca="1">IF(AND('Planning Sheet'!BA329='Weeks Plan'!$D$6,'Planning Sheet'!AU329='Weeks Plan'!$G$6),'Planning Sheet'!AW329,"")</f>
        <v/>
      </c>
    </row>
    <row r="819" spans="25:27" x14ac:dyDescent="0.3">
      <c r="Y819" s="48" t="str">
        <f ca="1">IF(AND('Planning Sheet'!BA330='Weeks Plan'!$D$6,'Planning Sheet'!AU330='Weeks Plan'!$G$6),'Planning Sheet'!$B330,"")</f>
        <v/>
      </c>
      <c r="Z819" s="48" t="str">
        <f ca="1">IF(AND('Planning Sheet'!BA330='Weeks Plan'!$D$6,'Planning Sheet'!AU330='Weeks Plan'!$G$6),'Planning Sheet'!$AV330,"")</f>
        <v/>
      </c>
      <c r="AA819" s="48" t="str">
        <f ca="1">IF(AND('Planning Sheet'!BA330='Weeks Plan'!$D$6,'Planning Sheet'!AU330='Weeks Plan'!$G$6),'Planning Sheet'!AW330,"")</f>
        <v/>
      </c>
    </row>
    <row r="820" spans="25:27" x14ac:dyDescent="0.3">
      <c r="Y820" s="48" t="str">
        <f ca="1">IF(AND('Planning Sheet'!BA331='Weeks Plan'!$D$6,'Planning Sheet'!AU331='Weeks Plan'!$G$6),'Planning Sheet'!$B331,"")</f>
        <v/>
      </c>
      <c r="Z820" s="48" t="str">
        <f ca="1">IF(AND('Planning Sheet'!BA331='Weeks Plan'!$D$6,'Planning Sheet'!AU331='Weeks Plan'!$G$6),'Planning Sheet'!$AV331,"")</f>
        <v/>
      </c>
      <c r="AA820" s="48" t="str">
        <f ca="1">IF(AND('Planning Sheet'!BA331='Weeks Plan'!$D$6,'Planning Sheet'!AU331='Weeks Plan'!$G$6),'Planning Sheet'!AW331,"")</f>
        <v/>
      </c>
    </row>
    <row r="821" spans="25:27" x14ac:dyDescent="0.3">
      <c r="Y821" s="48" t="str">
        <f ca="1">IF(AND('Planning Sheet'!BA332='Weeks Plan'!$D$6,'Planning Sheet'!AU332='Weeks Plan'!$G$6),'Planning Sheet'!$B332,"")</f>
        <v/>
      </c>
      <c r="Z821" s="48" t="str">
        <f ca="1">IF(AND('Planning Sheet'!BA332='Weeks Plan'!$D$6,'Planning Sheet'!AU332='Weeks Plan'!$G$6),'Planning Sheet'!$AV332,"")</f>
        <v/>
      </c>
      <c r="AA821" s="48" t="str">
        <f ca="1">IF(AND('Planning Sheet'!BA332='Weeks Plan'!$D$6,'Planning Sheet'!AU332='Weeks Plan'!$G$6),'Planning Sheet'!AW332,"")</f>
        <v/>
      </c>
    </row>
    <row r="822" spans="25:27" x14ac:dyDescent="0.3">
      <c r="Y822" s="48" t="str">
        <f ca="1">IF(AND('Planning Sheet'!BA333='Weeks Plan'!$D$6,'Planning Sheet'!AU333='Weeks Plan'!$G$6),'Planning Sheet'!$B333,"")</f>
        <v/>
      </c>
      <c r="Z822" s="48" t="str">
        <f ca="1">IF(AND('Planning Sheet'!BA333='Weeks Plan'!$D$6,'Planning Sheet'!AU333='Weeks Plan'!$G$6),'Planning Sheet'!$AV333,"")</f>
        <v/>
      </c>
      <c r="AA822" s="48" t="str">
        <f ca="1">IF(AND('Planning Sheet'!BA333='Weeks Plan'!$D$6,'Planning Sheet'!AU333='Weeks Plan'!$G$6),'Planning Sheet'!AW333,"")</f>
        <v/>
      </c>
    </row>
    <row r="823" spans="25:27" x14ac:dyDescent="0.3">
      <c r="Y823" s="48" t="str">
        <f ca="1">IF(AND('Planning Sheet'!BA334='Weeks Plan'!$D$6,'Planning Sheet'!AU334='Weeks Plan'!$G$6),'Planning Sheet'!$B334,"")</f>
        <v/>
      </c>
      <c r="Z823" s="48" t="str">
        <f ca="1">IF(AND('Planning Sheet'!BA334='Weeks Plan'!$D$6,'Planning Sheet'!AU334='Weeks Plan'!$G$6),'Planning Sheet'!$AV334,"")</f>
        <v/>
      </c>
      <c r="AA823" s="48" t="str">
        <f ca="1">IF(AND('Planning Sheet'!BA334='Weeks Plan'!$D$6,'Planning Sheet'!AU334='Weeks Plan'!$G$6),'Planning Sheet'!AW334,"")</f>
        <v/>
      </c>
    </row>
    <row r="824" spans="25:27" x14ac:dyDescent="0.3">
      <c r="Y824" s="48" t="str">
        <f ca="1">IF(AND('Planning Sheet'!BA335='Weeks Plan'!$D$6,'Planning Sheet'!AU335='Weeks Plan'!$G$6),'Planning Sheet'!$B335,"")</f>
        <v/>
      </c>
      <c r="Z824" s="48" t="str">
        <f ca="1">IF(AND('Planning Sheet'!BA335='Weeks Plan'!$D$6,'Planning Sheet'!AU335='Weeks Plan'!$G$6),'Planning Sheet'!$AV335,"")</f>
        <v/>
      </c>
      <c r="AA824" s="48" t="str">
        <f ca="1">IF(AND('Planning Sheet'!BA335='Weeks Plan'!$D$6,'Planning Sheet'!AU335='Weeks Plan'!$G$6),'Planning Sheet'!AW335,"")</f>
        <v/>
      </c>
    </row>
    <row r="825" spans="25:27" x14ac:dyDescent="0.3">
      <c r="Y825" s="48" t="str">
        <f ca="1">IF(AND('Planning Sheet'!BA336='Weeks Plan'!$D$6,'Planning Sheet'!AU336='Weeks Plan'!$G$6),'Planning Sheet'!$B336,"")</f>
        <v/>
      </c>
      <c r="Z825" s="48" t="str">
        <f ca="1">IF(AND('Planning Sheet'!BA336='Weeks Plan'!$D$6,'Planning Sheet'!AU336='Weeks Plan'!$G$6),'Planning Sheet'!$AV336,"")</f>
        <v/>
      </c>
      <c r="AA825" s="48" t="str">
        <f ca="1">IF(AND('Planning Sheet'!BA336='Weeks Plan'!$D$6,'Planning Sheet'!AU336='Weeks Plan'!$G$6),'Planning Sheet'!AW336,"")</f>
        <v/>
      </c>
    </row>
    <row r="826" spans="25:27" x14ac:dyDescent="0.3">
      <c r="Y826" s="48" t="str">
        <f ca="1">IF(AND('Planning Sheet'!BA337='Weeks Plan'!$D$6,'Planning Sheet'!AU337='Weeks Plan'!$G$6),'Planning Sheet'!$B337,"")</f>
        <v/>
      </c>
      <c r="Z826" s="48" t="str">
        <f ca="1">IF(AND('Planning Sheet'!BA337='Weeks Plan'!$D$6,'Planning Sheet'!AU337='Weeks Plan'!$G$6),'Planning Sheet'!$AV337,"")</f>
        <v/>
      </c>
      <c r="AA826" s="48" t="str">
        <f ca="1">IF(AND('Planning Sheet'!BA337='Weeks Plan'!$D$6,'Planning Sheet'!AU337='Weeks Plan'!$G$6),'Planning Sheet'!AW337,"")</f>
        <v/>
      </c>
    </row>
    <row r="827" spans="25:27" x14ac:dyDescent="0.3">
      <c r="Y827" s="48" t="str">
        <f ca="1">IF(AND('Planning Sheet'!BA338='Weeks Plan'!$D$6,'Planning Sheet'!AU338='Weeks Plan'!$G$6),'Planning Sheet'!$B338,"")</f>
        <v/>
      </c>
      <c r="Z827" s="48" t="str">
        <f ca="1">IF(AND('Planning Sheet'!BA338='Weeks Plan'!$D$6,'Planning Sheet'!AU338='Weeks Plan'!$G$6),'Planning Sheet'!$AV338,"")</f>
        <v/>
      </c>
      <c r="AA827" s="48" t="str">
        <f ca="1">IF(AND('Planning Sheet'!BA338='Weeks Plan'!$D$6,'Planning Sheet'!AU338='Weeks Plan'!$G$6),'Planning Sheet'!AW338,"")</f>
        <v/>
      </c>
    </row>
    <row r="828" spans="25:27" x14ac:dyDescent="0.3">
      <c r="Y828" s="48" t="str">
        <f ca="1">IF(AND('Planning Sheet'!BA339='Weeks Plan'!$D$6,'Planning Sheet'!AU339='Weeks Plan'!$G$6),'Planning Sheet'!$B339,"")</f>
        <v/>
      </c>
      <c r="Z828" s="48" t="str">
        <f ca="1">IF(AND('Planning Sheet'!BA339='Weeks Plan'!$D$6,'Planning Sheet'!AU339='Weeks Plan'!$G$6),'Planning Sheet'!$AV339,"")</f>
        <v/>
      </c>
      <c r="AA828" s="48" t="str">
        <f ca="1">IF(AND('Planning Sheet'!BA339='Weeks Plan'!$D$6,'Planning Sheet'!AU339='Weeks Plan'!$G$6),'Planning Sheet'!AW339,"")</f>
        <v/>
      </c>
    </row>
    <row r="829" spans="25:27" x14ac:dyDescent="0.3">
      <c r="Y829" s="48" t="str">
        <f ca="1">IF(AND('Planning Sheet'!BA340='Weeks Plan'!$D$6,'Planning Sheet'!AU340='Weeks Plan'!$G$6),'Planning Sheet'!$B340,"")</f>
        <v/>
      </c>
      <c r="Z829" s="48" t="str">
        <f ca="1">IF(AND('Planning Sheet'!BA340='Weeks Plan'!$D$6,'Planning Sheet'!AU340='Weeks Plan'!$G$6),'Planning Sheet'!$AV340,"")</f>
        <v/>
      </c>
      <c r="AA829" s="48" t="str">
        <f ca="1">IF(AND('Planning Sheet'!BA340='Weeks Plan'!$D$6,'Planning Sheet'!AU340='Weeks Plan'!$G$6),'Planning Sheet'!AW340,"")</f>
        <v/>
      </c>
    </row>
    <row r="830" spans="25:27" x14ac:dyDescent="0.3">
      <c r="Y830" s="48" t="str">
        <f ca="1">IF(AND('Planning Sheet'!BA341='Weeks Plan'!$D$6,'Planning Sheet'!AU341='Weeks Plan'!$G$6),'Planning Sheet'!$B341,"")</f>
        <v/>
      </c>
      <c r="Z830" s="48" t="str">
        <f ca="1">IF(AND('Planning Sheet'!BA341='Weeks Plan'!$D$6,'Planning Sheet'!AU341='Weeks Plan'!$G$6),'Planning Sheet'!$AV341,"")</f>
        <v/>
      </c>
      <c r="AA830" s="48" t="str">
        <f ca="1">IF(AND('Planning Sheet'!BA341='Weeks Plan'!$D$6,'Planning Sheet'!AU341='Weeks Plan'!$G$6),'Planning Sheet'!AW341,"")</f>
        <v/>
      </c>
    </row>
    <row r="831" spans="25:27" x14ac:dyDescent="0.3">
      <c r="Y831" s="48" t="str">
        <f ca="1">IF(AND('Planning Sheet'!BA342='Weeks Plan'!$D$6,'Planning Sheet'!AU342='Weeks Plan'!$G$6),'Planning Sheet'!$B342,"")</f>
        <v/>
      </c>
      <c r="Z831" s="48" t="str">
        <f ca="1">IF(AND('Planning Sheet'!BA342='Weeks Plan'!$D$6,'Planning Sheet'!AU342='Weeks Plan'!$G$6),'Planning Sheet'!$AV342,"")</f>
        <v/>
      </c>
      <c r="AA831" s="48" t="str">
        <f ca="1">IF(AND('Planning Sheet'!BA342='Weeks Plan'!$D$6,'Planning Sheet'!AU342='Weeks Plan'!$G$6),'Planning Sheet'!AW342,"")</f>
        <v/>
      </c>
    </row>
    <row r="832" spans="25:27" x14ac:dyDescent="0.3">
      <c r="Y832" s="48" t="str">
        <f ca="1">IF(AND('Planning Sheet'!BA343='Weeks Plan'!$D$6,'Planning Sheet'!AU343='Weeks Plan'!$G$6),'Planning Sheet'!$B343,"")</f>
        <v/>
      </c>
      <c r="Z832" s="48" t="str">
        <f ca="1">IF(AND('Planning Sheet'!BA343='Weeks Plan'!$D$6,'Planning Sheet'!AU343='Weeks Plan'!$G$6),'Planning Sheet'!$AV343,"")</f>
        <v/>
      </c>
      <c r="AA832" s="48" t="str">
        <f ca="1">IF(AND('Planning Sheet'!BA343='Weeks Plan'!$D$6,'Planning Sheet'!AU343='Weeks Plan'!$G$6),'Planning Sheet'!AW343,"")</f>
        <v/>
      </c>
    </row>
    <row r="833" spans="25:27" x14ac:dyDescent="0.3">
      <c r="Y833" s="48" t="str">
        <f ca="1">IF(AND('Planning Sheet'!BA344='Weeks Plan'!$D$6,'Planning Sheet'!AU344='Weeks Plan'!$G$6),'Planning Sheet'!$B344,"")</f>
        <v/>
      </c>
      <c r="Z833" s="48" t="str">
        <f ca="1">IF(AND('Planning Sheet'!BA344='Weeks Plan'!$D$6,'Planning Sheet'!AU344='Weeks Plan'!$G$6),'Planning Sheet'!$AV344,"")</f>
        <v/>
      </c>
      <c r="AA833" s="48" t="str">
        <f ca="1">IF(AND('Planning Sheet'!BA344='Weeks Plan'!$D$6,'Planning Sheet'!AU344='Weeks Plan'!$G$6),'Planning Sheet'!AW344,"")</f>
        <v/>
      </c>
    </row>
    <row r="834" spans="25:27" x14ac:dyDescent="0.3">
      <c r="Y834" s="48" t="str">
        <f ca="1">IF(AND('Planning Sheet'!BA345='Weeks Plan'!$D$6,'Planning Sheet'!AU345='Weeks Plan'!$G$6),'Planning Sheet'!$B345,"")</f>
        <v/>
      </c>
      <c r="Z834" s="48" t="str">
        <f ca="1">IF(AND('Planning Sheet'!BA345='Weeks Plan'!$D$6,'Planning Sheet'!AU345='Weeks Plan'!$G$6),'Planning Sheet'!$AV345,"")</f>
        <v/>
      </c>
      <c r="AA834" s="48" t="str">
        <f ca="1">IF(AND('Planning Sheet'!BA345='Weeks Plan'!$D$6,'Planning Sheet'!AU345='Weeks Plan'!$G$6),'Planning Sheet'!AW345,"")</f>
        <v/>
      </c>
    </row>
    <row r="835" spans="25:27" x14ac:dyDescent="0.3">
      <c r="Y835" s="48" t="str">
        <f ca="1">IF(AND('Planning Sheet'!BA346='Weeks Plan'!$D$6,'Planning Sheet'!AU346='Weeks Plan'!$G$6),'Planning Sheet'!$B346,"")</f>
        <v/>
      </c>
      <c r="Z835" s="48" t="str">
        <f ca="1">IF(AND('Planning Sheet'!BA346='Weeks Plan'!$D$6,'Planning Sheet'!AU346='Weeks Plan'!$G$6),'Planning Sheet'!$AV346,"")</f>
        <v/>
      </c>
      <c r="AA835" s="48" t="str">
        <f ca="1">IF(AND('Planning Sheet'!BA346='Weeks Plan'!$D$6,'Planning Sheet'!AU346='Weeks Plan'!$G$6),'Planning Sheet'!AW346,"")</f>
        <v/>
      </c>
    </row>
    <row r="836" spans="25:27" x14ac:dyDescent="0.3">
      <c r="Y836" s="48" t="str">
        <f ca="1">IF(AND('Planning Sheet'!BA347='Weeks Plan'!$D$6,'Planning Sheet'!AU347='Weeks Plan'!$G$6),'Planning Sheet'!$B347,"")</f>
        <v/>
      </c>
      <c r="Z836" s="48" t="str">
        <f ca="1">IF(AND('Planning Sheet'!BA347='Weeks Plan'!$D$6,'Planning Sheet'!AU347='Weeks Plan'!$G$6),'Planning Sheet'!$AV347,"")</f>
        <v/>
      </c>
      <c r="AA836" s="48" t="str">
        <f ca="1">IF(AND('Planning Sheet'!BA347='Weeks Plan'!$D$6,'Planning Sheet'!AU347='Weeks Plan'!$G$6),'Planning Sheet'!AW347,"")</f>
        <v/>
      </c>
    </row>
    <row r="837" spans="25:27" x14ac:dyDescent="0.3">
      <c r="Y837" s="48" t="str">
        <f ca="1">IF(AND('Planning Sheet'!BA348='Weeks Plan'!$D$6,'Planning Sheet'!AU348='Weeks Plan'!$G$6),'Planning Sheet'!$B348,"")</f>
        <v/>
      </c>
      <c r="Z837" s="48" t="str">
        <f ca="1">IF(AND('Planning Sheet'!BA348='Weeks Plan'!$D$6,'Planning Sheet'!AU348='Weeks Plan'!$G$6),'Planning Sheet'!$AV348,"")</f>
        <v/>
      </c>
      <c r="AA837" s="48" t="str">
        <f ca="1">IF(AND('Planning Sheet'!BA348='Weeks Plan'!$D$6,'Planning Sheet'!AU348='Weeks Plan'!$G$6),'Planning Sheet'!AW348,"")</f>
        <v/>
      </c>
    </row>
    <row r="838" spans="25:27" x14ac:dyDescent="0.3">
      <c r="Y838" s="48" t="str">
        <f ca="1">IF(AND('Planning Sheet'!BA349='Weeks Plan'!$D$6,'Planning Sheet'!AU349='Weeks Plan'!$G$6),'Planning Sheet'!$B349,"")</f>
        <v/>
      </c>
      <c r="Z838" s="48" t="str">
        <f ca="1">IF(AND('Planning Sheet'!BA349='Weeks Plan'!$D$6,'Planning Sheet'!AU349='Weeks Plan'!$G$6),'Planning Sheet'!$AV349,"")</f>
        <v/>
      </c>
      <c r="AA838" s="48" t="str">
        <f ca="1">IF(AND('Planning Sheet'!BA349='Weeks Plan'!$D$6,'Planning Sheet'!AU349='Weeks Plan'!$G$6),'Planning Sheet'!AW349,"")</f>
        <v/>
      </c>
    </row>
    <row r="839" spans="25:27" x14ac:dyDescent="0.3">
      <c r="Y839" s="48" t="str">
        <f ca="1">IF(AND('Planning Sheet'!BA350='Weeks Plan'!$D$6,'Planning Sheet'!AU350='Weeks Plan'!$G$6),'Planning Sheet'!$B350,"")</f>
        <v/>
      </c>
      <c r="Z839" s="48" t="str">
        <f ca="1">IF(AND('Planning Sheet'!BA350='Weeks Plan'!$D$6,'Planning Sheet'!AU350='Weeks Plan'!$G$6),'Planning Sheet'!$AV350,"")</f>
        <v/>
      </c>
      <c r="AA839" s="48" t="str">
        <f ca="1">IF(AND('Planning Sheet'!BA350='Weeks Plan'!$D$6,'Planning Sheet'!AU350='Weeks Plan'!$G$6),'Planning Sheet'!AW350,"")</f>
        <v/>
      </c>
    </row>
    <row r="840" spans="25:27" x14ac:dyDescent="0.3">
      <c r="Y840" s="48" t="str">
        <f ca="1">IF(AND('Planning Sheet'!BA351='Weeks Plan'!$D$6,'Planning Sheet'!AU351='Weeks Plan'!$G$6),'Planning Sheet'!$B351,"")</f>
        <v/>
      </c>
      <c r="Z840" s="48" t="str">
        <f ca="1">IF(AND('Planning Sheet'!BA351='Weeks Plan'!$D$6,'Planning Sheet'!AU351='Weeks Plan'!$G$6),'Planning Sheet'!$AV351,"")</f>
        <v/>
      </c>
      <c r="AA840" s="48" t="str">
        <f ca="1">IF(AND('Planning Sheet'!BA351='Weeks Plan'!$D$6,'Planning Sheet'!AU351='Weeks Plan'!$G$6),'Planning Sheet'!AW351,"")</f>
        <v/>
      </c>
    </row>
    <row r="841" spans="25:27" x14ac:dyDescent="0.3">
      <c r="Y841" s="48" t="str">
        <f ca="1">IF(AND('Planning Sheet'!BA352='Weeks Plan'!$D$6,'Planning Sheet'!AU352='Weeks Plan'!$G$6),'Planning Sheet'!$B352,"")</f>
        <v/>
      </c>
      <c r="Z841" s="48" t="str">
        <f ca="1">IF(AND('Planning Sheet'!BA352='Weeks Plan'!$D$6,'Planning Sheet'!AU352='Weeks Plan'!$G$6),'Planning Sheet'!$AV352,"")</f>
        <v/>
      </c>
      <c r="AA841" s="48" t="str">
        <f ca="1">IF(AND('Planning Sheet'!BA352='Weeks Plan'!$D$6,'Planning Sheet'!AU352='Weeks Plan'!$G$6),'Planning Sheet'!AW352,"")</f>
        <v/>
      </c>
    </row>
    <row r="842" spans="25:27" x14ac:dyDescent="0.3">
      <c r="Y842" s="48" t="str">
        <f ca="1">IF(AND('Planning Sheet'!BA353='Weeks Plan'!$D$6,'Planning Sheet'!AU353='Weeks Plan'!$G$6),'Planning Sheet'!$B353,"")</f>
        <v/>
      </c>
      <c r="Z842" s="48" t="str">
        <f ca="1">IF(AND('Planning Sheet'!BA353='Weeks Plan'!$D$6,'Planning Sheet'!AU353='Weeks Plan'!$G$6),'Planning Sheet'!$AV353,"")</f>
        <v/>
      </c>
      <c r="AA842" s="48" t="str">
        <f ca="1">IF(AND('Planning Sheet'!BA353='Weeks Plan'!$D$6,'Planning Sheet'!AU353='Weeks Plan'!$G$6),'Planning Sheet'!AW353,"")</f>
        <v/>
      </c>
    </row>
    <row r="843" spans="25:27" x14ac:dyDescent="0.3">
      <c r="Y843" s="48" t="str">
        <f ca="1">IF(AND('Planning Sheet'!BA354='Weeks Plan'!$D$6,'Planning Sheet'!AU354='Weeks Plan'!$G$6),'Planning Sheet'!$B354,"")</f>
        <v/>
      </c>
      <c r="Z843" s="48" t="str">
        <f ca="1">IF(AND('Planning Sheet'!BA354='Weeks Plan'!$D$6,'Planning Sheet'!AU354='Weeks Plan'!$G$6),'Planning Sheet'!$AV354,"")</f>
        <v/>
      </c>
      <c r="AA843" s="48" t="str">
        <f ca="1">IF(AND('Planning Sheet'!BA354='Weeks Plan'!$D$6,'Planning Sheet'!AU354='Weeks Plan'!$G$6),'Planning Sheet'!AW354,"")</f>
        <v/>
      </c>
    </row>
    <row r="844" spans="25:27" x14ac:dyDescent="0.3">
      <c r="Y844" s="48" t="str">
        <f ca="1">IF(AND('Planning Sheet'!BA355='Weeks Plan'!$D$6,'Planning Sheet'!AU355='Weeks Plan'!$G$6),'Planning Sheet'!$B355,"")</f>
        <v/>
      </c>
      <c r="Z844" s="48" t="str">
        <f ca="1">IF(AND('Planning Sheet'!BA355='Weeks Plan'!$D$6,'Planning Sheet'!AU355='Weeks Plan'!$G$6),'Planning Sheet'!$AV355,"")</f>
        <v/>
      </c>
      <c r="AA844" s="48" t="str">
        <f ca="1">IF(AND('Planning Sheet'!BA355='Weeks Plan'!$D$6,'Planning Sheet'!AU355='Weeks Plan'!$G$6),'Planning Sheet'!AW355,"")</f>
        <v/>
      </c>
    </row>
    <row r="845" spans="25:27" x14ac:dyDescent="0.3">
      <c r="Y845" s="48" t="str">
        <f ca="1">IF(AND('Planning Sheet'!BA356='Weeks Plan'!$D$6,'Planning Sheet'!AU356='Weeks Plan'!$G$6),'Planning Sheet'!$B356,"")</f>
        <v/>
      </c>
      <c r="Z845" s="48" t="str">
        <f ca="1">IF(AND('Planning Sheet'!BA356='Weeks Plan'!$D$6,'Planning Sheet'!AU356='Weeks Plan'!$G$6),'Planning Sheet'!$AV356,"")</f>
        <v/>
      </c>
      <c r="AA845" s="48" t="str">
        <f ca="1">IF(AND('Planning Sheet'!BA356='Weeks Plan'!$D$6,'Planning Sheet'!AU356='Weeks Plan'!$G$6),'Planning Sheet'!AW356,"")</f>
        <v/>
      </c>
    </row>
    <row r="846" spans="25:27" x14ac:dyDescent="0.3">
      <c r="Y846" s="48" t="str">
        <f ca="1">IF(AND('Planning Sheet'!BA357='Weeks Plan'!$D$6,'Planning Sheet'!AU357='Weeks Plan'!$G$6),'Planning Sheet'!$B357,"")</f>
        <v/>
      </c>
      <c r="Z846" s="48" t="str">
        <f ca="1">IF(AND('Planning Sheet'!BA357='Weeks Plan'!$D$6,'Planning Sheet'!AU357='Weeks Plan'!$G$6),'Planning Sheet'!$AV357,"")</f>
        <v/>
      </c>
      <c r="AA846" s="48" t="str">
        <f ca="1">IF(AND('Planning Sheet'!BA357='Weeks Plan'!$D$6,'Planning Sheet'!AU357='Weeks Plan'!$G$6),'Planning Sheet'!AW357,"")</f>
        <v/>
      </c>
    </row>
    <row r="847" spans="25:27" x14ac:dyDescent="0.3">
      <c r="Y847" s="48" t="str">
        <f ca="1">IF(AND('Planning Sheet'!BA358='Weeks Plan'!$D$6,'Planning Sheet'!AU358='Weeks Plan'!$G$6),'Planning Sheet'!$B358,"")</f>
        <v/>
      </c>
      <c r="Z847" s="48" t="str">
        <f ca="1">IF(AND('Planning Sheet'!BA358='Weeks Plan'!$D$6,'Planning Sheet'!AU358='Weeks Plan'!$G$6),'Planning Sheet'!$AV358,"")</f>
        <v/>
      </c>
      <c r="AA847" s="48" t="str">
        <f ca="1">IF(AND('Planning Sheet'!BA358='Weeks Plan'!$D$6,'Planning Sheet'!AU358='Weeks Plan'!$G$6),'Planning Sheet'!AW358,"")</f>
        <v/>
      </c>
    </row>
    <row r="848" spans="25:27" x14ac:dyDescent="0.3">
      <c r="Y848" s="48" t="str">
        <f ca="1">IF(AND('Planning Sheet'!BA359='Weeks Plan'!$D$6,'Planning Sheet'!AU359='Weeks Plan'!$G$6),'Planning Sheet'!$B359,"")</f>
        <v/>
      </c>
      <c r="Z848" s="48" t="str">
        <f ca="1">IF(AND('Planning Sheet'!BA359='Weeks Plan'!$D$6,'Planning Sheet'!AU359='Weeks Plan'!$G$6),'Planning Sheet'!$AV359,"")</f>
        <v/>
      </c>
      <c r="AA848" s="48" t="str">
        <f ca="1">IF(AND('Planning Sheet'!BA359='Weeks Plan'!$D$6,'Planning Sheet'!AU359='Weeks Plan'!$G$6),'Planning Sheet'!AW359,"")</f>
        <v/>
      </c>
    </row>
    <row r="849" spans="25:27" x14ac:dyDescent="0.3">
      <c r="Y849" s="48" t="str">
        <f ca="1">IF(AND('Planning Sheet'!BA360='Weeks Plan'!$D$6,'Planning Sheet'!AU360='Weeks Plan'!$G$6),'Planning Sheet'!$B360,"")</f>
        <v/>
      </c>
      <c r="Z849" s="48" t="str">
        <f ca="1">IF(AND('Planning Sheet'!BA360='Weeks Plan'!$D$6,'Planning Sheet'!AU360='Weeks Plan'!$G$6),'Planning Sheet'!$AV360,"")</f>
        <v/>
      </c>
      <c r="AA849" s="48" t="str">
        <f ca="1">IF(AND('Planning Sheet'!BA360='Weeks Plan'!$D$6,'Planning Sheet'!AU360='Weeks Plan'!$G$6),'Planning Sheet'!AW360,"")</f>
        <v/>
      </c>
    </row>
    <row r="850" spans="25:27" x14ac:dyDescent="0.3">
      <c r="Y850" s="48" t="str">
        <f ca="1">IF(AND('Planning Sheet'!BA361='Weeks Plan'!$D$6,'Planning Sheet'!AU361='Weeks Plan'!$G$6),'Planning Sheet'!$B361,"")</f>
        <v/>
      </c>
      <c r="Z850" s="48" t="str">
        <f ca="1">IF(AND('Planning Sheet'!BA361='Weeks Plan'!$D$6,'Planning Sheet'!AU361='Weeks Plan'!$G$6),'Planning Sheet'!$AV361,"")</f>
        <v/>
      </c>
      <c r="AA850" s="48" t="str">
        <f ca="1">IF(AND('Planning Sheet'!BA361='Weeks Plan'!$D$6,'Planning Sheet'!AU361='Weeks Plan'!$G$6),'Planning Sheet'!AW361,"")</f>
        <v/>
      </c>
    </row>
    <row r="851" spans="25:27" x14ac:dyDescent="0.3">
      <c r="Y851" s="48" t="str">
        <f ca="1">IF(AND('Planning Sheet'!BA362='Weeks Plan'!$D$6,'Planning Sheet'!AU362='Weeks Plan'!$G$6),'Planning Sheet'!$B362,"")</f>
        <v/>
      </c>
      <c r="Z851" s="48" t="str">
        <f ca="1">IF(AND('Planning Sheet'!BA362='Weeks Plan'!$D$6,'Planning Sheet'!AU362='Weeks Plan'!$G$6),'Planning Sheet'!$AV362,"")</f>
        <v/>
      </c>
      <c r="AA851" s="48" t="str">
        <f ca="1">IF(AND('Planning Sheet'!BA362='Weeks Plan'!$D$6,'Planning Sheet'!AU362='Weeks Plan'!$G$6),'Planning Sheet'!AW362,"")</f>
        <v/>
      </c>
    </row>
    <row r="852" spans="25:27" x14ac:dyDescent="0.3">
      <c r="Y852" s="48" t="str">
        <f ca="1">IF(AND('Planning Sheet'!BA363='Weeks Plan'!$D$6,'Planning Sheet'!AU363='Weeks Plan'!$G$6),'Planning Sheet'!$B363,"")</f>
        <v/>
      </c>
      <c r="Z852" s="48" t="str">
        <f ca="1">IF(AND('Planning Sheet'!BA363='Weeks Plan'!$D$6,'Planning Sheet'!AU363='Weeks Plan'!$G$6),'Planning Sheet'!$AV363,"")</f>
        <v/>
      </c>
      <c r="AA852" s="48" t="str">
        <f ca="1">IF(AND('Planning Sheet'!BA363='Weeks Plan'!$D$6,'Planning Sheet'!AU363='Weeks Plan'!$G$6),'Planning Sheet'!AW363,"")</f>
        <v/>
      </c>
    </row>
    <row r="853" spans="25:27" x14ac:dyDescent="0.3">
      <c r="Y853" s="48" t="str">
        <f ca="1">IF(AND('Planning Sheet'!BA364='Weeks Plan'!$D$6,'Planning Sheet'!AU364='Weeks Plan'!$G$6),'Planning Sheet'!$B364,"")</f>
        <v/>
      </c>
      <c r="Z853" s="48" t="str">
        <f ca="1">IF(AND('Planning Sheet'!BA364='Weeks Plan'!$D$6,'Planning Sheet'!AU364='Weeks Plan'!$G$6),'Planning Sheet'!$AV364,"")</f>
        <v/>
      </c>
      <c r="AA853" s="48" t="str">
        <f ca="1">IF(AND('Planning Sheet'!BA364='Weeks Plan'!$D$6,'Planning Sheet'!AU364='Weeks Plan'!$G$6),'Planning Sheet'!AW364,"")</f>
        <v/>
      </c>
    </row>
    <row r="854" spans="25:27" x14ac:dyDescent="0.3">
      <c r="Y854" s="48" t="str">
        <f ca="1">IF(AND('Planning Sheet'!BA365='Weeks Plan'!$D$6,'Planning Sheet'!AU365='Weeks Plan'!$G$6),'Planning Sheet'!$B365,"")</f>
        <v/>
      </c>
      <c r="Z854" s="48" t="str">
        <f ca="1">IF(AND('Planning Sheet'!BA365='Weeks Plan'!$D$6,'Planning Sheet'!AU365='Weeks Plan'!$G$6),'Planning Sheet'!$AV365,"")</f>
        <v/>
      </c>
      <c r="AA854" s="48" t="str">
        <f ca="1">IF(AND('Planning Sheet'!BA365='Weeks Plan'!$D$6,'Planning Sheet'!AU365='Weeks Plan'!$G$6),'Planning Sheet'!AW365,"")</f>
        <v/>
      </c>
    </row>
    <row r="855" spans="25:27" x14ac:dyDescent="0.3">
      <c r="Y855" s="48" t="str">
        <f ca="1">IF(AND('Planning Sheet'!BA366='Weeks Plan'!$D$6,'Planning Sheet'!AU366='Weeks Plan'!$G$6),'Planning Sheet'!$B366,"")</f>
        <v/>
      </c>
      <c r="Z855" s="48" t="str">
        <f ca="1">IF(AND('Planning Sheet'!BA366='Weeks Plan'!$D$6,'Planning Sheet'!AU366='Weeks Plan'!$G$6),'Planning Sheet'!$AV366,"")</f>
        <v/>
      </c>
      <c r="AA855" s="48" t="str">
        <f ca="1">IF(AND('Planning Sheet'!BA366='Weeks Plan'!$D$6,'Planning Sheet'!AU366='Weeks Plan'!$G$6),'Planning Sheet'!AW366,"")</f>
        <v/>
      </c>
    </row>
    <row r="856" spans="25:27" x14ac:dyDescent="0.3">
      <c r="Y856" s="48" t="str">
        <f ca="1">IF(AND('Planning Sheet'!BA367='Weeks Plan'!$D$6,'Planning Sheet'!AU367='Weeks Plan'!$G$6),'Planning Sheet'!$B367,"")</f>
        <v/>
      </c>
      <c r="Z856" s="48" t="str">
        <f ca="1">IF(AND('Planning Sheet'!BA367='Weeks Plan'!$D$6,'Planning Sheet'!AU367='Weeks Plan'!$G$6),'Planning Sheet'!$AV367,"")</f>
        <v/>
      </c>
      <c r="AA856" s="48" t="str">
        <f ca="1">IF(AND('Planning Sheet'!BA367='Weeks Plan'!$D$6,'Planning Sheet'!AU367='Weeks Plan'!$G$6),'Planning Sheet'!AW367,"")</f>
        <v/>
      </c>
    </row>
    <row r="857" spans="25:27" x14ac:dyDescent="0.3">
      <c r="Y857" s="48" t="str">
        <f ca="1">IF(AND('Planning Sheet'!BA368='Weeks Plan'!$D$6,'Planning Sheet'!AU368='Weeks Plan'!$G$6),'Planning Sheet'!$B368,"")</f>
        <v/>
      </c>
      <c r="Z857" s="48" t="str">
        <f ca="1">IF(AND('Planning Sheet'!BA368='Weeks Plan'!$D$6,'Planning Sheet'!AU368='Weeks Plan'!$G$6),'Planning Sheet'!$AV368,"")</f>
        <v/>
      </c>
      <c r="AA857" s="48" t="str">
        <f ca="1">IF(AND('Planning Sheet'!BA368='Weeks Plan'!$D$6,'Planning Sheet'!AU368='Weeks Plan'!$G$6),'Planning Sheet'!AW368,"")</f>
        <v/>
      </c>
    </row>
    <row r="858" spans="25:27" x14ac:dyDescent="0.3">
      <c r="Y858" s="48" t="str">
        <f ca="1">IF(AND('Planning Sheet'!BA369='Weeks Plan'!$D$6,'Planning Sheet'!AU369='Weeks Plan'!$G$6),'Planning Sheet'!$B369,"")</f>
        <v/>
      </c>
      <c r="Z858" s="48" t="str">
        <f ca="1">IF(AND('Planning Sheet'!BA369='Weeks Plan'!$D$6,'Planning Sheet'!AU369='Weeks Plan'!$G$6),'Planning Sheet'!$AV369,"")</f>
        <v/>
      </c>
      <c r="AA858" s="48" t="str">
        <f ca="1">IF(AND('Planning Sheet'!BA369='Weeks Plan'!$D$6,'Planning Sheet'!AU369='Weeks Plan'!$G$6),'Planning Sheet'!AW369,"")</f>
        <v/>
      </c>
    </row>
    <row r="859" spans="25:27" x14ac:dyDescent="0.3">
      <c r="Y859" s="48" t="str">
        <f ca="1">IF(AND('Planning Sheet'!BA370='Weeks Plan'!$D$6,'Planning Sheet'!AU370='Weeks Plan'!$G$6),'Planning Sheet'!$B370,"")</f>
        <v/>
      </c>
      <c r="Z859" s="48" t="str">
        <f ca="1">IF(AND('Planning Sheet'!BA370='Weeks Plan'!$D$6,'Planning Sheet'!AU370='Weeks Plan'!$G$6),'Planning Sheet'!$AV370,"")</f>
        <v/>
      </c>
      <c r="AA859" s="48" t="str">
        <f ca="1">IF(AND('Planning Sheet'!BA370='Weeks Plan'!$D$6,'Planning Sheet'!AU370='Weeks Plan'!$G$6),'Planning Sheet'!AW370,"")</f>
        <v/>
      </c>
    </row>
    <row r="860" spans="25:27" x14ac:dyDescent="0.3">
      <c r="Y860" s="48" t="str">
        <f ca="1">IF(AND('Planning Sheet'!BA371='Weeks Plan'!$D$6,'Planning Sheet'!AU371='Weeks Plan'!$G$6),'Planning Sheet'!$B371,"")</f>
        <v/>
      </c>
      <c r="Z860" s="48" t="str">
        <f ca="1">IF(AND('Planning Sheet'!BA371='Weeks Plan'!$D$6,'Planning Sheet'!AU371='Weeks Plan'!$G$6),'Planning Sheet'!$AV371,"")</f>
        <v/>
      </c>
      <c r="AA860" s="48" t="str">
        <f ca="1">IF(AND('Planning Sheet'!BA371='Weeks Plan'!$D$6,'Planning Sheet'!AU371='Weeks Plan'!$G$6),'Planning Sheet'!AW371,"")</f>
        <v/>
      </c>
    </row>
    <row r="861" spans="25:27" x14ac:dyDescent="0.3">
      <c r="Y861" s="48" t="str">
        <f ca="1">IF(AND('Planning Sheet'!BA372='Weeks Plan'!$D$6,'Planning Sheet'!AU372='Weeks Plan'!$G$6),'Planning Sheet'!$B372,"")</f>
        <v/>
      </c>
      <c r="Z861" s="48" t="str">
        <f ca="1">IF(AND('Planning Sheet'!BA372='Weeks Plan'!$D$6,'Planning Sheet'!AU372='Weeks Plan'!$G$6),'Planning Sheet'!$AV372,"")</f>
        <v/>
      </c>
      <c r="AA861" s="48" t="str">
        <f ca="1">IF(AND('Planning Sheet'!BA372='Weeks Plan'!$D$6,'Planning Sheet'!AU372='Weeks Plan'!$G$6),'Planning Sheet'!AW372,"")</f>
        <v/>
      </c>
    </row>
    <row r="862" spans="25:27" x14ac:dyDescent="0.3">
      <c r="Y862" s="48" t="str">
        <f ca="1">IF(AND('Planning Sheet'!BA373='Weeks Plan'!$D$6,'Planning Sheet'!AU373='Weeks Plan'!$G$6),'Planning Sheet'!$B373,"")</f>
        <v/>
      </c>
      <c r="Z862" s="48" t="str">
        <f ca="1">IF(AND('Planning Sheet'!BA373='Weeks Plan'!$D$6,'Planning Sheet'!AU373='Weeks Plan'!$G$6),'Planning Sheet'!$AV373,"")</f>
        <v/>
      </c>
      <c r="AA862" s="48" t="str">
        <f ca="1">IF(AND('Planning Sheet'!BA373='Weeks Plan'!$D$6,'Planning Sheet'!AU373='Weeks Plan'!$G$6),'Planning Sheet'!AW373,"")</f>
        <v/>
      </c>
    </row>
    <row r="863" spans="25:27" x14ac:dyDescent="0.3">
      <c r="Y863" s="48" t="str">
        <f ca="1">IF(AND('Planning Sheet'!BA374='Weeks Plan'!$D$6,'Planning Sheet'!AU374='Weeks Plan'!$G$6),'Planning Sheet'!$B374,"")</f>
        <v/>
      </c>
      <c r="Z863" s="48" t="str">
        <f ca="1">IF(AND('Planning Sheet'!BA374='Weeks Plan'!$D$6,'Planning Sheet'!AU374='Weeks Plan'!$G$6),'Planning Sheet'!$AV374,"")</f>
        <v/>
      </c>
      <c r="AA863" s="48" t="str">
        <f ca="1">IF(AND('Planning Sheet'!BA374='Weeks Plan'!$D$6,'Planning Sheet'!AU374='Weeks Plan'!$G$6),'Planning Sheet'!AW374,"")</f>
        <v/>
      </c>
    </row>
    <row r="864" spans="25:27" x14ac:dyDescent="0.3">
      <c r="Y864" s="48" t="str">
        <f ca="1">IF(AND('Planning Sheet'!BA375='Weeks Plan'!$D$6,'Planning Sheet'!AU375='Weeks Plan'!$G$6),'Planning Sheet'!$B375,"")</f>
        <v/>
      </c>
      <c r="Z864" s="48" t="str">
        <f ca="1">IF(AND('Planning Sheet'!BA375='Weeks Plan'!$D$6,'Planning Sheet'!AU375='Weeks Plan'!$G$6),'Planning Sheet'!$AV375,"")</f>
        <v/>
      </c>
      <c r="AA864" s="48" t="str">
        <f ca="1">IF(AND('Planning Sheet'!BA375='Weeks Plan'!$D$6,'Planning Sheet'!AU375='Weeks Plan'!$G$6),'Planning Sheet'!AW375,"")</f>
        <v/>
      </c>
    </row>
    <row r="865" spans="25:27" x14ac:dyDescent="0.3">
      <c r="Y865" s="48" t="str">
        <f ca="1">IF(AND('Planning Sheet'!BA376='Weeks Plan'!$D$6,'Planning Sheet'!AU376='Weeks Plan'!$G$6),'Planning Sheet'!$B376,"")</f>
        <v/>
      </c>
      <c r="Z865" s="48" t="str">
        <f ca="1">IF(AND('Planning Sheet'!BA376='Weeks Plan'!$D$6,'Planning Sheet'!AU376='Weeks Plan'!$G$6),'Planning Sheet'!$AV376,"")</f>
        <v/>
      </c>
      <c r="AA865" s="48" t="str">
        <f ca="1">IF(AND('Planning Sheet'!BA376='Weeks Plan'!$D$6,'Planning Sheet'!AU376='Weeks Plan'!$G$6),'Planning Sheet'!AW376,"")</f>
        <v/>
      </c>
    </row>
    <row r="866" spans="25:27" x14ac:dyDescent="0.3">
      <c r="Y866" s="48" t="str">
        <f ca="1">IF(AND('Planning Sheet'!BA377='Weeks Plan'!$D$6,'Planning Sheet'!AU377='Weeks Plan'!$G$6),'Planning Sheet'!$B377,"")</f>
        <v/>
      </c>
      <c r="Z866" s="48" t="str">
        <f ca="1">IF(AND('Planning Sheet'!BA377='Weeks Plan'!$D$6,'Planning Sheet'!AU377='Weeks Plan'!$G$6),'Planning Sheet'!$AV377,"")</f>
        <v/>
      </c>
      <c r="AA866" s="48" t="str">
        <f ca="1">IF(AND('Planning Sheet'!BA377='Weeks Plan'!$D$6,'Planning Sheet'!AU377='Weeks Plan'!$G$6),'Planning Sheet'!AW377,"")</f>
        <v/>
      </c>
    </row>
    <row r="867" spans="25:27" x14ac:dyDescent="0.3">
      <c r="Y867" s="48" t="str">
        <f ca="1">IF(AND('Planning Sheet'!BA378='Weeks Plan'!$D$6,'Planning Sheet'!AU378='Weeks Plan'!$G$6),'Planning Sheet'!$B378,"")</f>
        <v/>
      </c>
      <c r="Z867" s="48" t="str">
        <f ca="1">IF(AND('Planning Sheet'!BA378='Weeks Plan'!$D$6,'Planning Sheet'!AU378='Weeks Plan'!$G$6),'Planning Sheet'!$AV378,"")</f>
        <v/>
      </c>
      <c r="AA867" s="48" t="str">
        <f ca="1">IF(AND('Planning Sheet'!BA378='Weeks Plan'!$D$6,'Planning Sheet'!AU378='Weeks Plan'!$G$6),'Planning Sheet'!AW378,"")</f>
        <v/>
      </c>
    </row>
    <row r="868" spans="25:27" x14ac:dyDescent="0.3">
      <c r="Y868" s="48" t="str">
        <f ca="1">IF(AND('Planning Sheet'!BA379='Weeks Plan'!$D$6,'Planning Sheet'!AU379='Weeks Plan'!$G$6),'Planning Sheet'!$B379,"")</f>
        <v/>
      </c>
      <c r="Z868" s="48" t="str">
        <f ca="1">IF(AND('Planning Sheet'!BA379='Weeks Plan'!$D$6,'Planning Sheet'!AU379='Weeks Plan'!$G$6),'Planning Sheet'!$AV379,"")</f>
        <v/>
      </c>
      <c r="AA868" s="48" t="str">
        <f ca="1">IF(AND('Planning Sheet'!BA379='Weeks Plan'!$D$6,'Planning Sheet'!AU379='Weeks Plan'!$G$6),'Planning Sheet'!AW379,"")</f>
        <v/>
      </c>
    </row>
    <row r="869" spans="25:27" x14ac:dyDescent="0.3">
      <c r="Y869" s="48" t="str">
        <f ca="1">IF(AND('Planning Sheet'!BA380='Weeks Plan'!$D$6,'Planning Sheet'!AU380='Weeks Plan'!$G$6),'Planning Sheet'!$B380,"")</f>
        <v/>
      </c>
      <c r="Z869" s="48" t="str">
        <f ca="1">IF(AND('Planning Sheet'!BA380='Weeks Plan'!$D$6,'Planning Sheet'!AU380='Weeks Plan'!$G$6),'Planning Sheet'!$AV380,"")</f>
        <v/>
      </c>
      <c r="AA869" s="48" t="str">
        <f ca="1">IF(AND('Planning Sheet'!BA380='Weeks Plan'!$D$6,'Planning Sheet'!AU380='Weeks Plan'!$G$6),'Planning Sheet'!AW380,"")</f>
        <v/>
      </c>
    </row>
    <row r="870" spans="25:27" x14ac:dyDescent="0.3">
      <c r="Y870" s="48" t="str">
        <f ca="1">IF(AND('Planning Sheet'!BA381='Weeks Plan'!$D$6,'Planning Sheet'!AU381='Weeks Plan'!$G$6),'Planning Sheet'!$B381,"")</f>
        <v/>
      </c>
      <c r="Z870" s="48" t="str">
        <f ca="1">IF(AND('Planning Sheet'!BA381='Weeks Plan'!$D$6,'Planning Sheet'!AU381='Weeks Plan'!$G$6),'Planning Sheet'!$AV381,"")</f>
        <v/>
      </c>
      <c r="AA870" s="48" t="str">
        <f ca="1">IF(AND('Planning Sheet'!BA381='Weeks Plan'!$D$6,'Planning Sheet'!AU381='Weeks Plan'!$G$6),'Planning Sheet'!AW381,"")</f>
        <v/>
      </c>
    </row>
    <row r="871" spans="25:27" x14ac:dyDescent="0.3">
      <c r="Y871" s="48" t="str">
        <f ca="1">IF(AND('Planning Sheet'!BA382='Weeks Plan'!$D$6,'Planning Sheet'!AU382='Weeks Plan'!$G$6),'Planning Sheet'!$B382,"")</f>
        <v/>
      </c>
      <c r="Z871" s="48" t="str">
        <f ca="1">IF(AND('Planning Sheet'!BA382='Weeks Plan'!$D$6,'Planning Sheet'!AU382='Weeks Plan'!$G$6),'Planning Sheet'!$AV382,"")</f>
        <v/>
      </c>
      <c r="AA871" s="48" t="str">
        <f ca="1">IF(AND('Planning Sheet'!BA382='Weeks Plan'!$D$6,'Planning Sheet'!AU382='Weeks Plan'!$G$6),'Planning Sheet'!AW382,"")</f>
        <v/>
      </c>
    </row>
    <row r="872" spans="25:27" x14ac:dyDescent="0.3">
      <c r="Y872" s="48" t="str">
        <f ca="1">IF(AND('Planning Sheet'!BA383='Weeks Plan'!$D$6,'Planning Sheet'!AU383='Weeks Plan'!$G$6),'Planning Sheet'!$B383,"")</f>
        <v/>
      </c>
      <c r="Z872" s="48" t="str">
        <f ca="1">IF(AND('Planning Sheet'!BA383='Weeks Plan'!$D$6,'Planning Sheet'!AU383='Weeks Plan'!$G$6),'Planning Sheet'!$AV383,"")</f>
        <v/>
      </c>
      <c r="AA872" s="48" t="str">
        <f ca="1">IF(AND('Planning Sheet'!BA383='Weeks Plan'!$D$6,'Planning Sheet'!AU383='Weeks Plan'!$G$6),'Planning Sheet'!AW383,"")</f>
        <v/>
      </c>
    </row>
    <row r="873" spans="25:27" x14ac:dyDescent="0.3">
      <c r="Y873" s="48" t="str">
        <f ca="1">IF(AND('Planning Sheet'!BA384='Weeks Plan'!$D$6,'Planning Sheet'!AU384='Weeks Plan'!$G$6),'Planning Sheet'!$B384,"")</f>
        <v/>
      </c>
      <c r="Z873" s="48" t="str">
        <f ca="1">IF(AND('Planning Sheet'!BA384='Weeks Plan'!$D$6,'Planning Sheet'!AU384='Weeks Plan'!$G$6),'Planning Sheet'!$AV384,"")</f>
        <v/>
      </c>
      <c r="AA873" s="48" t="str">
        <f ca="1">IF(AND('Planning Sheet'!BA384='Weeks Plan'!$D$6,'Planning Sheet'!AU384='Weeks Plan'!$G$6),'Planning Sheet'!AW384,"")</f>
        <v/>
      </c>
    </row>
    <row r="874" spans="25:27" x14ac:dyDescent="0.3">
      <c r="Y874" s="48" t="str">
        <f ca="1">IF(AND('Planning Sheet'!BA385='Weeks Plan'!$D$6,'Planning Sheet'!AU385='Weeks Plan'!$G$6),'Planning Sheet'!$B385,"")</f>
        <v/>
      </c>
      <c r="Z874" s="48" t="str">
        <f ca="1">IF(AND('Planning Sheet'!BA385='Weeks Plan'!$D$6,'Planning Sheet'!AU385='Weeks Plan'!$G$6),'Planning Sheet'!$AV385,"")</f>
        <v/>
      </c>
      <c r="AA874" s="48" t="str">
        <f ca="1">IF(AND('Planning Sheet'!BA385='Weeks Plan'!$D$6,'Planning Sheet'!AU385='Weeks Plan'!$G$6),'Planning Sheet'!AW385,"")</f>
        <v/>
      </c>
    </row>
    <row r="875" spans="25:27" x14ac:dyDescent="0.3">
      <c r="Y875" s="48" t="str">
        <f ca="1">IF(AND('Planning Sheet'!BA386='Weeks Plan'!$D$6,'Planning Sheet'!AU386='Weeks Plan'!$G$6),'Planning Sheet'!$B386,"")</f>
        <v/>
      </c>
      <c r="Z875" s="48" t="str">
        <f ca="1">IF(AND('Planning Sheet'!BA386='Weeks Plan'!$D$6,'Planning Sheet'!AU386='Weeks Plan'!$G$6),'Planning Sheet'!$AV386,"")</f>
        <v/>
      </c>
      <c r="AA875" s="48" t="str">
        <f ca="1">IF(AND('Planning Sheet'!BA386='Weeks Plan'!$D$6,'Planning Sheet'!AU386='Weeks Plan'!$G$6),'Planning Sheet'!AW386,"")</f>
        <v/>
      </c>
    </row>
    <row r="876" spans="25:27" x14ac:dyDescent="0.3">
      <c r="Y876" s="48" t="str">
        <f ca="1">IF(AND('Planning Sheet'!BA387='Weeks Plan'!$D$6,'Planning Sheet'!AU387='Weeks Plan'!$G$6),'Planning Sheet'!$B387,"")</f>
        <v/>
      </c>
      <c r="Z876" s="48" t="str">
        <f ca="1">IF(AND('Planning Sheet'!BA387='Weeks Plan'!$D$6,'Planning Sheet'!AU387='Weeks Plan'!$G$6),'Planning Sheet'!$AV387,"")</f>
        <v/>
      </c>
      <c r="AA876" s="48" t="str">
        <f ca="1">IF(AND('Planning Sheet'!BA387='Weeks Plan'!$D$6,'Planning Sheet'!AU387='Weeks Plan'!$G$6),'Planning Sheet'!AW387,"")</f>
        <v/>
      </c>
    </row>
    <row r="877" spans="25:27" x14ac:dyDescent="0.3">
      <c r="Y877" s="48" t="str">
        <f ca="1">IF(AND('Planning Sheet'!BA388='Weeks Plan'!$D$6,'Planning Sheet'!AU388='Weeks Plan'!$G$6),'Planning Sheet'!$B388,"")</f>
        <v/>
      </c>
      <c r="Z877" s="48" t="str">
        <f ca="1">IF(AND('Planning Sheet'!BA388='Weeks Plan'!$D$6,'Planning Sheet'!AU388='Weeks Plan'!$G$6),'Planning Sheet'!$AV388,"")</f>
        <v/>
      </c>
      <c r="AA877" s="48" t="str">
        <f ca="1">IF(AND('Planning Sheet'!BA388='Weeks Plan'!$D$6,'Planning Sheet'!AU388='Weeks Plan'!$G$6),'Planning Sheet'!AW388,"")</f>
        <v/>
      </c>
    </row>
    <row r="878" spans="25:27" x14ac:dyDescent="0.3">
      <c r="Y878" s="48" t="str">
        <f ca="1">IF(AND('Planning Sheet'!BA389='Weeks Plan'!$D$6,'Planning Sheet'!AU389='Weeks Plan'!$G$6),'Planning Sheet'!$B389,"")</f>
        <v/>
      </c>
      <c r="Z878" s="48" t="str">
        <f ca="1">IF(AND('Planning Sheet'!BA389='Weeks Plan'!$D$6,'Planning Sheet'!AU389='Weeks Plan'!$G$6),'Planning Sheet'!$AV389,"")</f>
        <v/>
      </c>
      <c r="AA878" s="48" t="str">
        <f ca="1">IF(AND('Planning Sheet'!BA389='Weeks Plan'!$D$6,'Planning Sheet'!AU389='Weeks Plan'!$G$6),'Planning Sheet'!AW389,"")</f>
        <v/>
      </c>
    </row>
    <row r="879" spans="25:27" x14ac:dyDescent="0.3">
      <c r="Y879" s="48" t="str">
        <f ca="1">IF(AND('Planning Sheet'!BA390='Weeks Plan'!$D$6,'Planning Sheet'!AU390='Weeks Plan'!$G$6),'Planning Sheet'!$B390,"")</f>
        <v/>
      </c>
      <c r="Z879" s="48" t="str">
        <f ca="1">IF(AND('Planning Sheet'!BA390='Weeks Plan'!$D$6,'Planning Sheet'!AU390='Weeks Plan'!$G$6),'Planning Sheet'!$AV390,"")</f>
        <v/>
      </c>
      <c r="AA879" s="48" t="str">
        <f ca="1">IF(AND('Planning Sheet'!BA390='Weeks Plan'!$D$6,'Planning Sheet'!AU390='Weeks Plan'!$G$6),'Planning Sheet'!AW390,"")</f>
        <v/>
      </c>
    </row>
    <row r="880" spans="25:27" x14ac:dyDescent="0.3">
      <c r="Y880" s="48" t="str">
        <f ca="1">IF(AND('Planning Sheet'!BA391='Weeks Plan'!$D$6,'Planning Sheet'!AU391='Weeks Plan'!$G$6),'Planning Sheet'!$B391,"")</f>
        <v/>
      </c>
      <c r="Z880" s="48" t="str">
        <f ca="1">IF(AND('Planning Sheet'!BA391='Weeks Plan'!$D$6,'Planning Sheet'!AU391='Weeks Plan'!$G$6),'Planning Sheet'!$AV391,"")</f>
        <v/>
      </c>
      <c r="AA880" s="48" t="str">
        <f ca="1">IF(AND('Planning Sheet'!BA391='Weeks Plan'!$D$6,'Planning Sheet'!AU391='Weeks Plan'!$G$6),'Planning Sheet'!AW391,"")</f>
        <v/>
      </c>
    </row>
    <row r="881" spans="25:27" x14ac:dyDescent="0.3">
      <c r="Y881" s="48" t="str">
        <f ca="1">IF(AND('Planning Sheet'!BA392='Weeks Plan'!$D$6,'Planning Sheet'!AU392='Weeks Plan'!$G$6),'Planning Sheet'!$B392,"")</f>
        <v/>
      </c>
      <c r="Z881" s="48" t="str">
        <f ca="1">IF(AND('Planning Sheet'!BA392='Weeks Plan'!$D$6,'Planning Sheet'!AU392='Weeks Plan'!$G$6),'Planning Sheet'!$AV392,"")</f>
        <v/>
      </c>
      <c r="AA881" s="48" t="str">
        <f ca="1">IF(AND('Planning Sheet'!BA392='Weeks Plan'!$D$6,'Planning Sheet'!AU392='Weeks Plan'!$G$6),'Planning Sheet'!AW392,"")</f>
        <v/>
      </c>
    </row>
    <row r="882" spans="25:27" x14ac:dyDescent="0.3">
      <c r="Y882" s="48" t="str">
        <f ca="1">IF(AND('Planning Sheet'!BA393='Weeks Plan'!$D$6,'Planning Sheet'!AU393='Weeks Plan'!$G$6),'Planning Sheet'!$B393,"")</f>
        <v/>
      </c>
      <c r="Z882" s="48" t="str">
        <f ca="1">IF(AND('Planning Sheet'!BA393='Weeks Plan'!$D$6,'Planning Sheet'!AU393='Weeks Plan'!$G$6),'Planning Sheet'!$AV393,"")</f>
        <v/>
      </c>
      <c r="AA882" s="48" t="str">
        <f ca="1">IF(AND('Planning Sheet'!BA393='Weeks Plan'!$D$6,'Planning Sheet'!AU393='Weeks Plan'!$G$6),'Planning Sheet'!AW393,"")</f>
        <v/>
      </c>
    </row>
    <row r="883" spans="25:27" x14ac:dyDescent="0.3">
      <c r="Y883" s="48" t="str">
        <f ca="1">IF(AND('Planning Sheet'!BA394='Weeks Plan'!$D$6,'Planning Sheet'!AU394='Weeks Plan'!$G$6),'Planning Sheet'!$B394,"")</f>
        <v/>
      </c>
      <c r="Z883" s="48" t="str">
        <f ca="1">IF(AND('Planning Sheet'!BA394='Weeks Plan'!$D$6,'Planning Sheet'!AU394='Weeks Plan'!$G$6),'Planning Sheet'!$AV394,"")</f>
        <v/>
      </c>
      <c r="AA883" s="48" t="str">
        <f ca="1">IF(AND('Planning Sheet'!BA394='Weeks Plan'!$D$6,'Planning Sheet'!AU394='Weeks Plan'!$G$6),'Planning Sheet'!AW394,"")</f>
        <v/>
      </c>
    </row>
    <row r="884" spans="25:27" x14ac:dyDescent="0.3">
      <c r="Y884" s="48" t="str">
        <f ca="1">IF(AND('Planning Sheet'!BA395='Weeks Plan'!$D$6,'Planning Sheet'!AU395='Weeks Plan'!$G$6),'Planning Sheet'!$B395,"")</f>
        <v/>
      </c>
      <c r="Z884" s="48" t="str">
        <f ca="1">IF(AND('Planning Sheet'!BA395='Weeks Plan'!$D$6,'Planning Sheet'!AU395='Weeks Plan'!$G$6),'Planning Sheet'!$AV395,"")</f>
        <v/>
      </c>
      <c r="AA884" s="48" t="str">
        <f ca="1">IF(AND('Planning Sheet'!BA395='Weeks Plan'!$D$6,'Planning Sheet'!AU395='Weeks Plan'!$G$6),'Planning Sheet'!AW395,"")</f>
        <v/>
      </c>
    </row>
    <row r="885" spans="25:27" x14ac:dyDescent="0.3">
      <c r="Y885" s="48" t="str">
        <f ca="1">IF(AND('Planning Sheet'!BA396='Weeks Plan'!$D$6,'Planning Sheet'!AU396='Weeks Plan'!$G$6),'Planning Sheet'!$B396,"")</f>
        <v/>
      </c>
      <c r="Z885" s="48" t="str">
        <f ca="1">IF(AND('Planning Sheet'!BA396='Weeks Plan'!$D$6,'Planning Sheet'!AU396='Weeks Plan'!$G$6),'Planning Sheet'!$AV396,"")</f>
        <v/>
      </c>
      <c r="AA885" s="48" t="str">
        <f ca="1">IF(AND('Planning Sheet'!BA396='Weeks Plan'!$D$6,'Planning Sheet'!AU396='Weeks Plan'!$G$6),'Planning Sheet'!AW396,"")</f>
        <v/>
      </c>
    </row>
    <row r="886" spans="25:27" x14ac:dyDescent="0.3">
      <c r="Y886" s="48" t="str">
        <f ca="1">IF(AND('Planning Sheet'!BA397='Weeks Plan'!$D$6,'Planning Sheet'!AU397='Weeks Plan'!$G$6),'Planning Sheet'!$B397,"")</f>
        <v/>
      </c>
      <c r="Z886" s="48" t="str">
        <f ca="1">IF(AND('Planning Sheet'!BA397='Weeks Plan'!$D$6,'Planning Sheet'!AU397='Weeks Plan'!$G$6),'Planning Sheet'!$AV397,"")</f>
        <v/>
      </c>
      <c r="AA886" s="48" t="str">
        <f ca="1">IF(AND('Planning Sheet'!BA397='Weeks Plan'!$D$6,'Planning Sheet'!AU397='Weeks Plan'!$G$6),'Planning Sheet'!AW397,"")</f>
        <v/>
      </c>
    </row>
    <row r="887" spans="25:27" x14ac:dyDescent="0.3">
      <c r="Y887" s="48" t="str">
        <f ca="1">IF(AND('Planning Sheet'!BA398='Weeks Plan'!$D$6,'Planning Sheet'!AU398='Weeks Plan'!$G$6),'Planning Sheet'!$B398,"")</f>
        <v/>
      </c>
      <c r="Z887" s="48" t="str">
        <f ca="1">IF(AND('Planning Sheet'!BA398='Weeks Plan'!$D$6,'Planning Sheet'!AU398='Weeks Plan'!$G$6),'Planning Sheet'!$AV398,"")</f>
        <v/>
      </c>
      <c r="AA887" s="48" t="str">
        <f ca="1">IF(AND('Planning Sheet'!BA398='Weeks Plan'!$D$6,'Planning Sheet'!AU398='Weeks Plan'!$G$6),'Planning Sheet'!AW398,"")</f>
        <v/>
      </c>
    </row>
    <row r="888" spans="25:27" x14ac:dyDescent="0.3">
      <c r="Y888" s="48" t="str">
        <f ca="1">IF(AND('Planning Sheet'!BA399='Weeks Plan'!$D$6,'Planning Sheet'!AU399='Weeks Plan'!$G$6),'Planning Sheet'!$B399,"")</f>
        <v/>
      </c>
      <c r="Z888" s="48" t="str">
        <f ca="1">IF(AND('Planning Sheet'!BA399='Weeks Plan'!$D$6,'Planning Sheet'!AU399='Weeks Plan'!$G$6),'Planning Sheet'!$AV399,"")</f>
        <v/>
      </c>
      <c r="AA888" s="48" t="str">
        <f ca="1">IF(AND('Planning Sheet'!BA399='Weeks Plan'!$D$6,'Planning Sheet'!AU399='Weeks Plan'!$G$6),'Planning Sheet'!AW399,"")</f>
        <v/>
      </c>
    </row>
    <row r="889" spans="25:27" x14ac:dyDescent="0.3">
      <c r="Y889" s="48" t="str">
        <f ca="1">IF(AND('Planning Sheet'!BA400='Weeks Plan'!$D$6,'Planning Sheet'!AU400='Weeks Plan'!$G$6),'Planning Sheet'!$B400,"")</f>
        <v/>
      </c>
      <c r="Z889" s="48" t="str">
        <f ca="1">IF(AND('Planning Sheet'!BA400='Weeks Plan'!$D$6,'Planning Sheet'!AU400='Weeks Plan'!$G$6),'Planning Sheet'!$AV400,"")</f>
        <v/>
      </c>
      <c r="AA889" s="48" t="str">
        <f ca="1">IF(AND('Planning Sheet'!BA400='Weeks Plan'!$D$6,'Planning Sheet'!AU400='Weeks Plan'!$G$6),'Planning Sheet'!AW400,"")</f>
        <v/>
      </c>
    </row>
    <row r="890" spans="25:27" x14ac:dyDescent="0.3">
      <c r="Y890" s="48" t="str">
        <f ca="1">IF(AND('Planning Sheet'!BA401='Weeks Plan'!$D$6,'Planning Sheet'!AU401='Weeks Plan'!$G$6),'Planning Sheet'!$B401,"")</f>
        <v/>
      </c>
      <c r="Z890" s="48" t="str">
        <f ca="1">IF(AND('Planning Sheet'!BA401='Weeks Plan'!$D$6,'Planning Sheet'!AU401='Weeks Plan'!$G$6),'Planning Sheet'!$AV401,"")</f>
        <v/>
      </c>
      <c r="AA890" s="48" t="str">
        <f ca="1">IF(AND('Planning Sheet'!BA401='Weeks Plan'!$D$6,'Planning Sheet'!AU401='Weeks Plan'!$G$6),'Planning Sheet'!AW401,"")</f>
        <v/>
      </c>
    </row>
    <row r="891" spans="25:27" x14ac:dyDescent="0.3">
      <c r="Y891" s="48" t="str">
        <f ca="1">IF(AND('Planning Sheet'!BA402='Weeks Plan'!$D$6,'Planning Sheet'!AU402='Weeks Plan'!$G$6),'Planning Sheet'!$B402,"")</f>
        <v/>
      </c>
      <c r="Z891" s="48" t="str">
        <f ca="1">IF(AND('Planning Sheet'!BA402='Weeks Plan'!$D$6,'Planning Sheet'!AU402='Weeks Plan'!$G$6),'Planning Sheet'!$AV402,"")</f>
        <v/>
      </c>
      <c r="AA891" s="48" t="str">
        <f ca="1">IF(AND('Planning Sheet'!BA402='Weeks Plan'!$D$6,'Planning Sheet'!AU402='Weeks Plan'!$G$6),'Planning Sheet'!AW402,"")</f>
        <v/>
      </c>
    </row>
    <row r="892" spans="25:27" x14ac:dyDescent="0.3">
      <c r="Y892" s="48" t="str">
        <f ca="1">IF(AND('Planning Sheet'!BA403='Weeks Plan'!$D$6,'Planning Sheet'!AU403='Weeks Plan'!$G$6),'Planning Sheet'!$B403,"")</f>
        <v/>
      </c>
      <c r="Z892" s="48" t="str">
        <f ca="1">IF(AND('Planning Sheet'!BA403='Weeks Plan'!$D$6,'Planning Sheet'!AU403='Weeks Plan'!$G$6),'Planning Sheet'!$AV403,"")</f>
        <v/>
      </c>
      <c r="AA892" s="48" t="str">
        <f ca="1">IF(AND('Planning Sheet'!BA403='Weeks Plan'!$D$6,'Planning Sheet'!AU403='Weeks Plan'!$G$6),'Planning Sheet'!AW403,"")</f>
        <v/>
      </c>
    </row>
    <row r="893" spans="25:27" x14ac:dyDescent="0.3">
      <c r="Y893" s="48" t="str">
        <f ca="1">IF(AND('Planning Sheet'!BA404='Weeks Plan'!$D$6,'Planning Sheet'!AU404='Weeks Plan'!$G$6),'Planning Sheet'!$B404,"")</f>
        <v/>
      </c>
      <c r="Z893" s="48" t="str">
        <f ca="1">IF(AND('Planning Sheet'!BA404='Weeks Plan'!$D$6,'Planning Sheet'!AU404='Weeks Plan'!$G$6),'Planning Sheet'!$AV404,"")</f>
        <v/>
      </c>
      <c r="AA893" s="48" t="str">
        <f ca="1">IF(AND('Planning Sheet'!BA404='Weeks Plan'!$D$6,'Planning Sheet'!AU404='Weeks Plan'!$G$6),'Planning Sheet'!AW404,"")</f>
        <v/>
      </c>
    </row>
    <row r="894" spans="25:27" x14ac:dyDescent="0.3">
      <c r="Y894" s="48" t="str">
        <f ca="1">IF(AND('Planning Sheet'!BA405='Weeks Plan'!$D$6,'Planning Sheet'!AU405='Weeks Plan'!$G$6),'Planning Sheet'!$B405,"")</f>
        <v/>
      </c>
      <c r="Z894" s="48" t="str">
        <f ca="1">IF(AND('Planning Sheet'!BA405='Weeks Plan'!$D$6,'Planning Sheet'!AU405='Weeks Plan'!$G$6),'Planning Sheet'!$AV405,"")</f>
        <v/>
      </c>
      <c r="AA894" s="48" t="str">
        <f ca="1">IF(AND('Planning Sheet'!BA405='Weeks Plan'!$D$6,'Planning Sheet'!AU405='Weeks Plan'!$G$6),'Planning Sheet'!AW405,"")</f>
        <v/>
      </c>
    </row>
    <row r="895" spans="25:27" x14ac:dyDescent="0.3">
      <c r="Y895" s="48" t="str">
        <f ca="1">IF(AND('Planning Sheet'!BA406='Weeks Plan'!$D$6,'Planning Sheet'!AU406='Weeks Plan'!$G$6),'Planning Sheet'!$B406,"")</f>
        <v/>
      </c>
      <c r="Z895" s="48" t="str">
        <f ca="1">IF(AND('Planning Sheet'!BA406='Weeks Plan'!$D$6,'Planning Sheet'!AU406='Weeks Plan'!$G$6),'Planning Sheet'!$AV406,"")</f>
        <v/>
      </c>
      <c r="AA895" s="48" t="str">
        <f ca="1">IF(AND('Planning Sheet'!BA406='Weeks Plan'!$D$6,'Planning Sheet'!AU406='Weeks Plan'!$G$6),'Planning Sheet'!AW406,"")</f>
        <v/>
      </c>
    </row>
    <row r="896" spans="25:27" x14ac:dyDescent="0.3">
      <c r="Y896" s="48" t="str">
        <f ca="1">IF(AND('Planning Sheet'!BA407='Weeks Plan'!$D$6,'Planning Sheet'!AU407='Weeks Plan'!$G$6),'Planning Sheet'!$B407,"")</f>
        <v/>
      </c>
      <c r="Z896" s="48" t="str">
        <f ca="1">IF(AND('Planning Sheet'!BA407='Weeks Plan'!$D$6,'Planning Sheet'!AU407='Weeks Plan'!$G$6),'Planning Sheet'!$AV407,"")</f>
        <v/>
      </c>
      <c r="AA896" s="48" t="str">
        <f ca="1">IF(AND('Planning Sheet'!BA407='Weeks Plan'!$D$6,'Planning Sheet'!AU407='Weeks Plan'!$G$6),'Planning Sheet'!AW407,"")</f>
        <v/>
      </c>
    </row>
    <row r="897" spans="25:27" x14ac:dyDescent="0.3">
      <c r="Y897" s="48" t="str">
        <f ca="1">IF(AND('Planning Sheet'!BA408='Weeks Plan'!$D$6,'Planning Sheet'!AU408='Weeks Plan'!$G$6),'Planning Sheet'!$B408,"")</f>
        <v/>
      </c>
      <c r="Z897" s="48" t="str">
        <f ca="1">IF(AND('Planning Sheet'!BA408='Weeks Plan'!$D$6,'Planning Sheet'!AU408='Weeks Plan'!$G$6),'Planning Sheet'!$AV408,"")</f>
        <v/>
      </c>
      <c r="AA897" s="48" t="str">
        <f ca="1">IF(AND('Planning Sheet'!BA408='Weeks Plan'!$D$6,'Planning Sheet'!AU408='Weeks Plan'!$G$6),'Planning Sheet'!AW408,"")</f>
        <v/>
      </c>
    </row>
    <row r="898" spans="25:27" x14ac:dyDescent="0.3">
      <c r="Y898" s="48" t="str">
        <f ca="1">IF(AND('Planning Sheet'!BA409='Weeks Plan'!$D$6,'Planning Sheet'!AU409='Weeks Plan'!$G$6),'Planning Sheet'!$B409,"")</f>
        <v/>
      </c>
      <c r="Z898" s="48" t="str">
        <f ca="1">IF(AND('Planning Sheet'!BA409='Weeks Plan'!$D$6,'Planning Sheet'!AU409='Weeks Plan'!$G$6),'Planning Sheet'!$AV409,"")</f>
        <v/>
      </c>
      <c r="AA898" s="48" t="str">
        <f ca="1">IF(AND('Planning Sheet'!BA409='Weeks Plan'!$D$6,'Planning Sheet'!AU409='Weeks Plan'!$G$6),'Planning Sheet'!AW409,"")</f>
        <v/>
      </c>
    </row>
    <row r="899" spans="25:27" x14ac:dyDescent="0.3">
      <c r="Y899" s="48" t="str">
        <f ca="1">IF(AND('Planning Sheet'!BA410='Weeks Plan'!$D$6,'Planning Sheet'!AU410='Weeks Plan'!$G$6),'Planning Sheet'!$B410,"")</f>
        <v/>
      </c>
      <c r="Z899" s="48" t="str">
        <f ca="1">IF(AND('Planning Sheet'!BA410='Weeks Plan'!$D$6,'Planning Sheet'!AU410='Weeks Plan'!$G$6),'Planning Sheet'!$AV410,"")</f>
        <v/>
      </c>
      <c r="AA899" s="48" t="str">
        <f ca="1">IF(AND('Planning Sheet'!BA410='Weeks Plan'!$D$6,'Planning Sheet'!AU410='Weeks Plan'!$G$6),'Planning Sheet'!AW410,"")</f>
        <v/>
      </c>
    </row>
    <row r="900" spans="25:27" x14ac:dyDescent="0.3">
      <c r="Y900" s="48" t="str">
        <f ca="1">IF(AND('Planning Sheet'!BA411='Weeks Plan'!$D$6,'Planning Sheet'!AU411='Weeks Plan'!$G$6),'Planning Sheet'!$B411,"")</f>
        <v/>
      </c>
      <c r="Z900" s="48" t="str">
        <f ca="1">IF(AND('Planning Sheet'!BA411='Weeks Plan'!$D$6,'Planning Sheet'!AU411='Weeks Plan'!$G$6),'Planning Sheet'!$AV411,"")</f>
        <v/>
      </c>
      <c r="AA900" s="48" t="str">
        <f ca="1">IF(AND('Planning Sheet'!BA411='Weeks Plan'!$D$6,'Planning Sheet'!AU411='Weeks Plan'!$G$6),'Planning Sheet'!AW411,"")</f>
        <v/>
      </c>
    </row>
    <row r="901" spans="25:27" x14ac:dyDescent="0.3">
      <c r="Y901" s="48" t="str">
        <f ca="1">IF(AND('Planning Sheet'!BA412='Weeks Plan'!$D$6,'Planning Sheet'!AU412='Weeks Plan'!$G$6),'Planning Sheet'!$B412,"")</f>
        <v/>
      </c>
      <c r="Z901" s="48" t="str">
        <f ca="1">IF(AND('Planning Sheet'!BA412='Weeks Plan'!$D$6,'Planning Sheet'!AU412='Weeks Plan'!$G$6),'Planning Sheet'!$AV412,"")</f>
        <v/>
      </c>
      <c r="AA901" s="48" t="str">
        <f ca="1">IF(AND('Planning Sheet'!BA412='Weeks Plan'!$D$6,'Planning Sheet'!AU412='Weeks Plan'!$G$6),'Planning Sheet'!AW412,"")</f>
        <v/>
      </c>
    </row>
    <row r="902" spans="25:27" x14ac:dyDescent="0.3">
      <c r="Y902" s="48" t="str">
        <f ca="1">IF(AND('Planning Sheet'!BA413='Weeks Plan'!$D$6,'Planning Sheet'!AU413='Weeks Plan'!$G$6),'Planning Sheet'!$B413,"")</f>
        <v/>
      </c>
      <c r="Z902" s="48" t="str">
        <f ca="1">IF(AND('Planning Sheet'!BA413='Weeks Plan'!$D$6,'Planning Sheet'!AU413='Weeks Plan'!$G$6),'Planning Sheet'!$AV413,"")</f>
        <v/>
      </c>
      <c r="AA902" s="48" t="str">
        <f ca="1">IF(AND('Planning Sheet'!BA413='Weeks Plan'!$D$6,'Planning Sheet'!AU413='Weeks Plan'!$G$6),'Planning Sheet'!AW413,"")</f>
        <v/>
      </c>
    </row>
    <row r="903" spans="25:27" x14ac:dyDescent="0.3">
      <c r="Y903" s="48" t="str">
        <f ca="1">IF(AND('Planning Sheet'!BA414='Weeks Plan'!$D$6,'Planning Sheet'!AU414='Weeks Plan'!$G$6),'Planning Sheet'!$B414,"")</f>
        <v/>
      </c>
      <c r="Z903" s="48" t="str">
        <f ca="1">IF(AND('Planning Sheet'!BA414='Weeks Plan'!$D$6,'Planning Sheet'!AU414='Weeks Plan'!$G$6),'Planning Sheet'!$AV414,"")</f>
        <v/>
      </c>
      <c r="AA903" s="48" t="str">
        <f ca="1">IF(AND('Planning Sheet'!BA414='Weeks Plan'!$D$6,'Planning Sheet'!AU414='Weeks Plan'!$G$6),'Planning Sheet'!AW414,"")</f>
        <v/>
      </c>
    </row>
    <row r="904" spans="25:27" x14ac:dyDescent="0.3">
      <c r="Y904" s="48" t="str">
        <f ca="1">IF(AND('Planning Sheet'!BA415='Weeks Plan'!$D$6,'Planning Sheet'!AU415='Weeks Plan'!$G$6),'Planning Sheet'!$B415,"")</f>
        <v/>
      </c>
      <c r="Z904" s="48" t="str">
        <f ca="1">IF(AND('Planning Sheet'!BA415='Weeks Plan'!$D$6,'Planning Sheet'!AU415='Weeks Plan'!$G$6),'Planning Sheet'!$AV415,"")</f>
        <v/>
      </c>
      <c r="AA904" s="48" t="str">
        <f ca="1">IF(AND('Planning Sheet'!BA415='Weeks Plan'!$D$6,'Planning Sheet'!AU415='Weeks Plan'!$G$6),'Planning Sheet'!AW415,"")</f>
        <v/>
      </c>
    </row>
    <row r="905" spans="25:27" x14ac:dyDescent="0.3">
      <c r="Y905" s="48" t="str">
        <f ca="1">IF(AND('Planning Sheet'!BA416='Weeks Plan'!$D$6,'Planning Sheet'!AU416='Weeks Plan'!$G$6),'Planning Sheet'!$B416,"")</f>
        <v/>
      </c>
      <c r="Z905" s="48" t="str">
        <f ca="1">IF(AND('Planning Sheet'!BA416='Weeks Plan'!$D$6,'Planning Sheet'!AU416='Weeks Plan'!$G$6),'Planning Sheet'!$AV416,"")</f>
        <v/>
      </c>
      <c r="AA905" s="48" t="str">
        <f ca="1">IF(AND('Planning Sheet'!BA416='Weeks Plan'!$D$6,'Planning Sheet'!AU416='Weeks Plan'!$G$6),'Planning Sheet'!AW416,"")</f>
        <v/>
      </c>
    </row>
    <row r="906" spans="25:27" x14ac:dyDescent="0.3">
      <c r="Y906" s="48" t="str">
        <f ca="1">IF(AND('Planning Sheet'!BA417='Weeks Plan'!$D$6,'Planning Sheet'!AU417='Weeks Plan'!$G$6),'Planning Sheet'!$B417,"")</f>
        <v/>
      </c>
      <c r="Z906" s="48" t="str">
        <f ca="1">IF(AND('Planning Sheet'!BA417='Weeks Plan'!$D$6,'Planning Sheet'!AU417='Weeks Plan'!$G$6),'Planning Sheet'!$AV417,"")</f>
        <v/>
      </c>
      <c r="AA906" s="48" t="str">
        <f ca="1">IF(AND('Planning Sheet'!BA417='Weeks Plan'!$D$6,'Planning Sheet'!AU417='Weeks Plan'!$G$6),'Planning Sheet'!AW417,"")</f>
        <v/>
      </c>
    </row>
    <row r="907" spans="25:27" x14ac:dyDescent="0.3">
      <c r="Y907" s="48" t="str">
        <f ca="1">IF(AND('Planning Sheet'!BA418='Weeks Plan'!$D$6,'Planning Sheet'!AU418='Weeks Plan'!$G$6),'Planning Sheet'!$B418,"")</f>
        <v/>
      </c>
      <c r="Z907" s="48" t="str">
        <f ca="1">IF(AND('Planning Sheet'!BA418='Weeks Plan'!$D$6,'Planning Sheet'!AU418='Weeks Plan'!$G$6),'Planning Sheet'!$AV418,"")</f>
        <v/>
      </c>
      <c r="AA907" s="48" t="str">
        <f ca="1">IF(AND('Planning Sheet'!BA418='Weeks Plan'!$D$6,'Planning Sheet'!AU418='Weeks Plan'!$G$6),'Planning Sheet'!AW418,"")</f>
        <v/>
      </c>
    </row>
    <row r="908" spans="25:27" x14ac:dyDescent="0.3">
      <c r="Y908" s="48" t="str">
        <f ca="1">IF(AND('Planning Sheet'!BA419='Weeks Plan'!$D$6,'Planning Sheet'!AU419='Weeks Plan'!$G$6),'Planning Sheet'!$B419,"")</f>
        <v/>
      </c>
      <c r="Z908" s="48" t="str">
        <f ca="1">IF(AND('Planning Sheet'!BA419='Weeks Plan'!$D$6,'Planning Sheet'!AU419='Weeks Plan'!$G$6),'Planning Sheet'!$AV419,"")</f>
        <v/>
      </c>
      <c r="AA908" s="48" t="str">
        <f ca="1">IF(AND('Planning Sheet'!BA419='Weeks Plan'!$D$6,'Planning Sheet'!AU419='Weeks Plan'!$G$6),'Planning Sheet'!AW419,"")</f>
        <v/>
      </c>
    </row>
    <row r="909" spans="25:27" x14ac:dyDescent="0.3">
      <c r="Y909" s="48" t="str">
        <f ca="1">IF(AND('Planning Sheet'!BA420='Weeks Plan'!$D$6,'Planning Sheet'!AU420='Weeks Plan'!$G$6),'Planning Sheet'!$B420,"")</f>
        <v/>
      </c>
      <c r="Z909" s="48" t="str">
        <f ca="1">IF(AND('Planning Sheet'!BA420='Weeks Plan'!$D$6,'Planning Sheet'!AU420='Weeks Plan'!$G$6),'Planning Sheet'!$AV420,"")</f>
        <v/>
      </c>
      <c r="AA909" s="48" t="str">
        <f ca="1">IF(AND('Planning Sheet'!BA420='Weeks Plan'!$D$6,'Planning Sheet'!AU420='Weeks Plan'!$G$6),'Planning Sheet'!AW420,"")</f>
        <v/>
      </c>
    </row>
    <row r="910" spans="25:27" x14ac:dyDescent="0.3">
      <c r="Y910" s="48" t="str">
        <f ca="1">IF(AND('Planning Sheet'!BA421='Weeks Plan'!$D$6,'Planning Sheet'!AU421='Weeks Plan'!$G$6),'Planning Sheet'!$B421,"")</f>
        <v/>
      </c>
      <c r="Z910" s="48" t="str">
        <f ca="1">IF(AND('Planning Sheet'!BA421='Weeks Plan'!$D$6,'Planning Sheet'!AU421='Weeks Plan'!$G$6),'Planning Sheet'!$AV421,"")</f>
        <v/>
      </c>
      <c r="AA910" s="48" t="str">
        <f ca="1">IF(AND('Planning Sheet'!BA421='Weeks Plan'!$D$6,'Planning Sheet'!AU421='Weeks Plan'!$G$6),'Planning Sheet'!AW421,"")</f>
        <v/>
      </c>
    </row>
    <row r="911" spans="25:27" x14ac:dyDescent="0.3">
      <c r="Y911" s="48" t="str">
        <f ca="1">IF(AND('Planning Sheet'!BA422='Weeks Plan'!$D$6,'Planning Sheet'!AU422='Weeks Plan'!$G$6),'Planning Sheet'!$B422,"")</f>
        <v/>
      </c>
      <c r="Z911" s="48" t="str">
        <f ca="1">IF(AND('Planning Sheet'!BA422='Weeks Plan'!$D$6,'Planning Sheet'!AU422='Weeks Plan'!$G$6),'Planning Sheet'!$AV422,"")</f>
        <v/>
      </c>
      <c r="AA911" s="48" t="str">
        <f ca="1">IF(AND('Planning Sheet'!BA422='Weeks Plan'!$D$6,'Planning Sheet'!AU422='Weeks Plan'!$G$6),'Planning Sheet'!AW422,"")</f>
        <v/>
      </c>
    </row>
    <row r="912" spans="25:27" x14ac:dyDescent="0.3">
      <c r="Y912" s="48" t="str">
        <f ca="1">IF(AND('Planning Sheet'!BA423='Weeks Plan'!$D$6,'Planning Sheet'!AU423='Weeks Plan'!$G$6),'Planning Sheet'!$B423,"")</f>
        <v/>
      </c>
      <c r="Z912" s="48" t="str">
        <f ca="1">IF(AND('Planning Sheet'!BA423='Weeks Plan'!$D$6,'Planning Sheet'!AU423='Weeks Plan'!$G$6),'Planning Sheet'!$AV423,"")</f>
        <v/>
      </c>
      <c r="AA912" s="48" t="str">
        <f ca="1">IF(AND('Planning Sheet'!BA423='Weeks Plan'!$D$6,'Planning Sheet'!AU423='Weeks Plan'!$G$6),'Planning Sheet'!AW423,"")</f>
        <v/>
      </c>
    </row>
    <row r="913" spans="25:27" x14ac:dyDescent="0.3">
      <c r="Y913" s="48" t="str">
        <f ca="1">IF(AND('Planning Sheet'!BA424='Weeks Plan'!$D$6,'Planning Sheet'!AU424='Weeks Plan'!$G$6),'Planning Sheet'!$B424,"")</f>
        <v/>
      </c>
      <c r="Z913" s="48" t="str">
        <f ca="1">IF(AND('Planning Sheet'!BA424='Weeks Plan'!$D$6,'Planning Sheet'!AU424='Weeks Plan'!$G$6),'Planning Sheet'!$AV424,"")</f>
        <v/>
      </c>
      <c r="AA913" s="48" t="str">
        <f ca="1">IF(AND('Planning Sheet'!BA424='Weeks Plan'!$D$6,'Planning Sheet'!AU424='Weeks Plan'!$G$6),'Planning Sheet'!AW424,"")</f>
        <v/>
      </c>
    </row>
    <row r="914" spans="25:27" x14ac:dyDescent="0.3">
      <c r="Y914" s="48" t="str">
        <f ca="1">IF(AND('Planning Sheet'!BA425='Weeks Plan'!$D$6,'Planning Sheet'!AU425='Weeks Plan'!$G$6),'Planning Sheet'!$B425,"")</f>
        <v/>
      </c>
      <c r="Z914" s="48" t="str">
        <f ca="1">IF(AND('Planning Sheet'!BA425='Weeks Plan'!$D$6,'Planning Sheet'!AU425='Weeks Plan'!$G$6),'Planning Sheet'!$AV425,"")</f>
        <v/>
      </c>
      <c r="AA914" s="48" t="str">
        <f ca="1">IF(AND('Planning Sheet'!BA425='Weeks Plan'!$D$6,'Planning Sheet'!AU425='Weeks Plan'!$G$6),'Planning Sheet'!AW425,"")</f>
        <v/>
      </c>
    </row>
    <row r="915" spans="25:27" x14ac:dyDescent="0.3">
      <c r="Y915" s="48" t="str">
        <f ca="1">IF(AND('Planning Sheet'!BA426='Weeks Plan'!$D$6,'Planning Sheet'!AU426='Weeks Plan'!$G$6),'Planning Sheet'!$B426,"")</f>
        <v/>
      </c>
      <c r="Z915" s="48" t="str">
        <f ca="1">IF(AND('Planning Sheet'!BA426='Weeks Plan'!$D$6,'Planning Sheet'!AU426='Weeks Plan'!$G$6),'Planning Sheet'!$AV426,"")</f>
        <v/>
      </c>
      <c r="AA915" s="48" t="str">
        <f ca="1">IF(AND('Planning Sheet'!BA426='Weeks Plan'!$D$6,'Planning Sheet'!AU426='Weeks Plan'!$G$6),'Planning Sheet'!AW426,"")</f>
        <v/>
      </c>
    </row>
    <row r="916" spans="25:27" x14ac:dyDescent="0.3">
      <c r="Y916" s="48" t="str">
        <f ca="1">IF(AND('Planning Sheet'!BA427='Weeks Plan'!$D$6,'Planning Sheet'!AU427='Weeks Plan'!$G$6),'Planning Sheet'!$B427,"")</f>
        <v/>
      </c>
      <c r="Z916" s="48" t="str">
        <f ca="1">IF(AND('Planning Sheet'!BA427='Weeks Plan'!$D$6,'Planning Sheet'!AU427='Weeks Plan'!$G$6),'Planning Sheet'!$AV427,"")</f>
        <v/>
      </c>
      <c r="AA916" s="48" t="str">
        <f ca="1">IF(AND('Planning Sheet'!BA427='Weeks Plan'!$D$6,'Planning Sheet'!AU427='Weeks Plan'!$G$6),'Planning Sheet'!AW427,"")</f>
        <v/>
      </c>
    </row>
    <row r="917" spans="25:27" x14ac:dyDescent="0.3">
      <c r="Y917" s="48" t="str">
        <f ca="1">IF(AND('Planning Sheet'!BA428='Weeks Plan'!$D$6,'Planning Sheet'!AU428='Weeks Plan'!$G$6),'Planning Sheet'!$B428,"")</f>
        <v/>
      </c>
      <c r="Z917" s="48" t="str">
        <f ca="1">IF(AND('Planning Sheet'!BA428='Weeks Plan'!$D$6,'Planning Sheet'!AU428='Weeks Plan'!$G$6),'Planning Sheet'!$AV428,"")</f>
        <v/>
      </c>
      <c r="AA917" s="48" t="str">
        <f ca="1">IF(AND('Planning Sheet'!BA428='Weeks Plan'!$D$6,'Planning Sheet'!AU428='Weeks Plan'!$G$6),'Planning Sheet'!AW428,"")</f>
        <v/>
      </c>
    </row>
    <row r="918" spans="25:27" x14ac:dyDescent="0.3">
      <c r="Y918" s="48" t="str">
        <f ca="1">IF(AND('Planning Sheet'!BA429='Weeks Plan'!$D$6,'Planning Sheet'!AU429='Weeks Plan'!$G$6),'Planning Sheet'!$B429,"")</f>
        <v/>
      </c>
      <c r="Z918" s="48" t="str">
        <f ca="1">IF(AND('Planning Sheet'!BA429='Weeks Plan'!$D$6,'Planning Sheet'!AU429='Weeks Plan'!$G$6),'Planning Sheet'!$AV429,"")</f>
        <v/>
      </c>
      <c r="AA918" s="48" t="str">
        <f ca="1">IF(AND('Planning Sheet'!BA429='Weeks Plan'!$D$6,'Planning Sheet'!AU429='Weeks Plan'!$G$6),'Planning Sheet'!AW429,"")</f>
        <v/>
      </c>
    </row>
    <row r="919" spans="25:27" x14ac:dyDescent="0.3">
      <c r="Y919" s="48" t="str">
        <f ca="1">IF(AND('Planning Sheet'!BA430='Weeks Plan'!$D$6,'Planning Sheet'!AU430='Weeks Plan'!$G$6),'Planning Sheet'!$B430,"")</f>
        <v/>
      </c>
      <c r="Z919" s="48" t="str">
        <f ca="1">IF(AND('Planning Sheet'!BA430='Weeks Plan'!$D$6,'Planning Sheet'!AU430='Weeks Plan'!$G$6),'Planning Sheet'!$AV430,"")</f>
        <v/>
      </c>
      <c r="AA919" s="48" t="str">
        <f ca="1">IF(AND('Planning Sheet'!BA430='Weeks Plan'!$D$6,'Planning Sheet'!AU430='Weeks Plan'!$G$6),'Planning Sheet'!AW430,"")</f>
        <v/>
      </c>
    </row>
    <row r="920" spans="25:27" x14ac:dyDescent="0.3">
      <c r="Y920" s="48" t="str">
        <f ca="1">IF(AND('Planning Sheet'!BA431='Weeks Plan'!$D$6,'Planning Sheet'!AU431='Weeks Plan'!$G$6),'Planning Sheet'!$B431,"")</f>
        <v/>
      </c>
      <c r="Z920" s="48" t="str">
        <f ca="1">IF(AND('Planning Sheet'!BA431='Weeks Plan'!$D$6,'Planning Sheet'!AU431='Weeks Plan'!$G$6),'Planning Sheet'!$AV431,"")</f>
        <v/>
      </c>
      <c r="AA920" s="48" t="str">
        <f ca="1">IF(AND('Planning Sheet'!BA431='Weeks Plan'!$D$6,'Planning Sheet'!AU431='Weeks Plan'!$G$6),'Planning Sheet'!AW431,"")</f>
        <v/>
      </c>
    </row>
    <row r="921" spans="25:27" x14ac:dyDescent="0.3">
      <c r="Y921" s="48" t="str">
        <f ca="1">IF(AND('Planning Sheet'!BA432='Weeks Plan'!$D$6,'Planning Sheet'!AU432='Weeks Plan'!$G$6),'Planning Sheet'!$B432,"")</f>
        <v/>
      </c>
      <c r="Z921" s="48" t="str">
        <f ca="1">IF(AND('Planning Sheet'!BA432='Weeks Plan'!$D$6,'Planning Sheet'!AU432='Weeks Plan'!$G$6),'Planning Sheet'!$AV432,"")</f>
        <v/>
      </c>
      <c r="AA921" s="48" t="str">
        <f ca="1">IF(AND('Planning Sheet'!BA432='Weeks Plan'!$D$6,'Planning Sheet'!AU432='Weeks Plan'!$G$6),'Planning Sheet'!AW432,"")</f>
        <v/>
      </c>
    </row>
    <row r="922" spans="25:27" x14ac:dyDescent="0.3">
      <c r="Y922" s="48" t="str">
        <f ca="1">IF(AND('Planning Sheet'!BA433='Weeks Plan'!$D$6,'Planning Sheet'!AU433='Weeks Plan'!$G$6),'Planning Sheet'!$B433,"")</f>
        <v/>
      </c>
      <c r="Z922" s="48" t="str">
        <f ca="1">IF(AND('Planning Sheet'!BA433='Weeks Plan'!$D$6,'Planning Sheet'!AU433='Weeks Plan'!$G$6),'Planning Sheet'!$AV433,"")</f>
        <v/>
      </c>
      <c r="AA922" s="48" t="str">
        <f ca="1">IF(AND('Planning Sheet'!BA433='Weeks Plan'!$D$6,'Planning Sheet'!AU433='Weeks Plan'!$G$6),'Planning Sheet'!AW433,"")</f>
        <v/>
      </c>
    </row>
    <row r="923" spans="25:27" x14ac:dyDescent="0.3">
      <c r="Y923" s="48" t="str">
        <f ca="1">IF(AND('Planning Sheet'!BA434='Weeks Plan'!$D$6,'Planning Sheet'!AU434='Weeks Plan'!$G$6),'Planning Sheet'!$B434,"")</f>
        <v/>
      </c>
      <c r="Z923" s="48" t="str">
        <f ca="1">IF(AND('Planning Sheet'!BA434='Weeks Plan'!$D$6,'Planning Sheet'!AU434='Weeks Plan'!$G$6),'Planning Sheet'!$AV434,"")</f>
        <v/>
      </c>
      <c r="AA923" s="48" t="str">
        <f ca="1">IF(AND('Planning Sheet'!BA434='Weeks Plan'!$D$6,'Planning Sheet'!AU434='Weeks Plan'!$G$6),'Planning Sheet'!AW434,"")</f>
        <v/>
      </c>
    </row>
    <row r="924" spans="25:27" x14ac:dyDescent="0.3">
      <c r="Y924" s="48" t="str">
        <f ca="1">IF(AND('Planning Sheet'!BA435='Weeks Plan'!$D$6,'Planning Sheet'!AU435='Weeks Plan'!$G$6),'Planning Sheet'!$B435,"")</f>
        <v/>
      </c>
      <c r="Z924" s="48" t="str">
        <f ca="1">IF(AND('Planning Sheet'!BA435='Weeks Plan'!$D$6,'Planning Sheet'!AU435='Weeks Plan'!$G$6),'Planning Sheet'!$AV435,"")</f>
        <v/>
      </c>
      <c r="AA924" s="48" t="str">
        <f ca="1">IF(AND('Planning Sheet'!BA435='Weeks Plan'!$D$6,'Planning Sheet'!AU435='Weeks Plan'!$G$6),'Planning Sheet'!AW435,"")</f>
        <v/>
      </c>
    </row>
    <row r="925" spans="25:27" x14ac:dyDescent="0.3">
      <c r="Y925" s="48" t="str">
        <f ca="1">IF(AND('Planning Sheet'!BA436='Weeks Plan'!$D$6,'Planning Sheet'!AU436='Weeks Plan'!$G$6),'Planning Sheet'!$B436,"")</f>
        <v/>
      </c>
      <c r="Z925" s="48" t="str">
        <f ca="1">IF(AND('Planning Sheet'!BA436='Weeks Plan'!$D$6,'Planning Sheet'!AU436='Weeks Plan'!$G$6),'Planning Sheet'!$AV436,"")</f>
        <v/>
      </c>
      <c r="AA925" s="48" t="str">
        <f ca="1">IF(AND('Planning Sheet'!BA436='Weeks Plan'!$D$6,'Planning Sheet'!AU436='Weeks Plan'!$G$6),'Planning Sheet'!AW436,"")</f>
        <v/>
      </c>
    </row>
    <row r="926" spans="25:27" x14ac:dyDescent="0.3">
      <c r="Y926" s="48" t="str">
        <f ca="1">IF(AND('Planning Sheet'!BA437='Weeks Plan'!$D$6,'Planning Sheet'!AU437='Weeks Plan'!$G$6),'Planning Sheet'!$B437,"")</f>
        <v/>
      </c>
      <c r="Z926" s="48" t="str">
        <f ca="1">IF(AND('Planning Sheet'!BA437='Weeks Plan'!$D$6,'Planning Sheet'!AU437='Weeks Plan'!$G$6),'Planning Sheet'!$AV437,"")</f>
        <v/>
      </c>
      <c r="AA926" s="48" t="str">
        <f ca="1">IF(AND('Planning Sheet'!BA437='Weeks Plan'!$D$6,'Planning Sheet'!AU437='Weeks Plan'!$G$6),'Planning Sheet'!AW437,"")</f>
        <v/>
      </c>
    </row>
    <row r="927" spans="25:27" x14ac:dyDescent="0.3">
      <c r="Y927" s="48" t="str">
        <f ca="1">IF(AND('Planning Sheet'!BA438='Weeks Plan'!$D$6,'Planning Sheet'!AU438='Weeks Plan'!$G$6),'Planning Sheet'!$B438,"")</f>
        <v/>
      </c>
      <c r="Z927" s="48" t="str">
        <f ca="1">IF(AND('Planning Sheet'!BA438='Weeks Plan'!$D$6,'Planning Sheet'!AU438='Weeks Plan'!$G$6),'Planning Sheet'!$AV438,"")</f>
        <v/>
      </c>
      <c r="AA927" s="48" t="str">
        <f ca="1">IF(AND('Planning Sheet'!BA438='Weeks Plan'!$D$6,'Planning Sheet'!AU438='Weeks Plan'!$G$6),'Planning Sheet'!AW438,"")</f>
        <v/>
      </c>
    </row>
    <row r="928" spans="25:27" x14ac:dyDescent="0.3">
      <c r="Y928" s="48" t="str">
        <f ca="1">IF(AND('Planning Sheet'!BA439='Weeks Plan'!$D$6,'Planning Sheet'!AU439='Weeks Plan'!$G$6),'Planning Sheet'!$B439,"")</f>
        <v/>
      </c>
      <c r="Z928" s="48" t="str">
        <f ca="1">IF(AND('Planning Sheet'!BA439='Weeks Plan'!$D$6,'Planning Sheet'!AU439='Weeks Plan'!$G$6),'Planning Sheet'!$AV439,"")</f>
        <v/>
      </c>
      <c r="AA928" s="48" t="str">
        <f ca="1">IF(AND('Planning Sheet'!BA439='Weeks Plan'!$D$6,'Planning Sheet'!AU439='Weeks Plan'!$G$6),'Planning Sheet'!AW439,"")</f>
        <v/>
      </c>
    </row>
    <row r="929" spans="25:27" x14ac:dyDescent="0.3">
      <c r="Y929" s="48" t="str">
        <f ca="1">IF(AND('Planning Sheet'!BA440='Weeks Plan'!$D$6,'Planning Sheet'!AU440='Weeks Plan'!$G$6),'Planning Sheet'!$B440,"")</f>
        <v/>
      </c>
      <c r="Z929" s="48" t="str">
        <f ca="1">IF(AND('Planning Sheet'!BA440='Weeks Plan'!$D$6,'Planning Sheet'!AU440='Weeks Plan'!$G$6),'Planning Sheet'!$AV440,"")</f>
        <v/>
      </c>
      <c r="AA929" s="48" t="str">
        <f ca="1">IF(AND('Planning Sheet'!BA440='Weeks Plan'!$D$6,'Planning Sheet'!AU440='Weeks Plan'!$G$6),'Planning Sheet'!AW440,"")</f>
        <v/>
      </c>
    </row>
    <row r="930" spans="25:27" x14ac:dyDescent="0.3">
      <c r="Y930" s="48" t="str">
        <f ca="1">IF(AND('Planning Sheet'!BA441='Weeks Plan'!$D$6,'Planning Sheet'!AU441='Weeks Plan'!$G$6),'Planning Sheet'!$B441,"")</f>
        <v/>
      </c>
      <c r="Z930" s="48" t="str">
        <f ca="1">IF(AND('Planning Sheet'!BA441='Weeks Plan'!$D$6,'Planning Sheet'!AU441='Weeks Plan'!$G$6),'Planning Sheet'!$AV441,"")</f>
        <v/>
      </c>
      <c r="AA930" s="48" t="str">
        <f ca="1">IF(AND('Planning Sheet'!BA441='Weeks Plan'!$D$6,'Planning Sheet'!AU441='Weeks Plan'!$G$6),'Planning Sheet'!AW441,"")</f>
        <v/>
      </c>
    </row>
    <row r="931" spans="25:27" x14ac:dyDescent="0.3">
      <c r="Y931" s="48" t="str">
        <f ca="1">IF(AND('Planning Sheet'!BA442='Weeks Plan'!$D$6,'Planning Sheet'!AU442='Weeks Plan'!$G$6),'Planning Sheet'!$B442,"")</f>
        <v/>
      </c>
      <c r="Z931" s="48" t="str">
        <f ca="1">IF(AND('Planning Sheet'!BA442='Weeks Plan'!$D$6,'Planning Sheet'!AU442='Weeks Plan'!$G$6),'Planning Sheet'!$AV442,"")</f>
        <v/>
      </c>
      <c r="AA931" s="48" t="str">
        <f ca="1">IF(AND('Planning Sheet'!BA442='Weeks Plan'!$D$6,'Planning Sheet'!AU442='Weeks Plan'!$G$6),'Planning Sheet'!AW442,"")</f>
        <v/>
      </c>
    </row>
    <row r="932" spans="25:27" x14ac:dyDescent="0.3">
      <c r="Y932" s="48" t="str">
        <f ca="1">IF(AND('Planning Sheet'!BA443='Weeks Plan'!$D$6,'Planning Sheet'!AU443='Weeks Plan'!$G$6),'Planning Sheet'!$B443,"")</f>
        <v/>
      </c>
      <c r="Z932" s="48" t="str">
        <f ca="1">IF(AND('Planning Sheet'!BA443='Weeks Plan'!$D$6,'Planning Sheet'!AU443='Weeks Plan'!$G$6),'Planning Sheet'!$AV443,"")</f>
        <v/>
      </c>
      <c r="AA932" s="48" t="str">
        <f ca="1">IF(AND('Planning Sheet'!BA443='Weeks Plan'!$D$6,'Planning Sheet'!AU443='Weeks Plan'!$G$6),'Planning Sheet'!AW443,"")</f>
        <v/>
      </c>
    </row>
    <row r="933" spans="25:27" x14ac:dyDescent="0.3">
      <c r="Y933" s="48" t="str">
        <f ca="1">IF(AND('Planning Sheet'!BA444='Weeks Plan'!$D$6,'Planning Sheet'!AU444='Weeks Plan'!$G$6),'Planning Sheet'!$B444,"")</f>
        <v/>
      </c>
      <c r="Z933" s="48" t="str">
        <f ca="1">IF(AND('Planning Sheet'!BA444='Weeks Plan'!$D$6,'Planning Sheet'!AU444='Weeks Plan'!$G$6),'Planning Sheet'!$AV444,"")</f>
        <v/>
      </c>
      <c r="AA933" s="48" t="str">
        <f ca="1">IF(AND('Planning Sheet'!BA444='Weeks Plan'!$D$6,'Planning Sheet'!AU444='Weeks Plan'!$G$6),'Planning Sheet'!AW444,"")</f>
        <v/>
      </c>
    </row>
    <row r="934" spans="25:27" x14ac:dyDescent="0.3">
      <c r="Y934" s="48" t="str">
        <f ca="1">IF(AND('Planning Sheet'!BA445='Weeks Plan'!$D$6,'Planning Sheet'!AU445='Weeks Plan'!$G$6),'Planning Sheet'!$B445,"")</f>
        <v/>
      </c>
      <c r="Z934" s="48" t="str">
        <f ca="1">IF(AND('Planning Sheet'!BA445='Weeks Plan'!$D$6,'Planning Sheet'!AU445='Weeks Plan'!$G$6),'Planning Sheet'!$AV445,"")</f>
        <v/>
      </c>
      <c r="AA934" s="48" t="str">
        <f ca="1">IF(AND('Planning Sheet'!BA445='Weeks Plan'!$D$6,'Planning Sheet'!AU445='Weeks Plan'!$G$6),'Planning Sheet'!AW445,"")</f>
        <v/>
      </c>
    </row>
    <row r="935" spans="25:27" x14ac:dyDescent="0.3">
      <c r="Y935" s="48" t="str">
        <f ca="1">IF(AND('Planning Sheet'!BA446='Weeks Plan'!$D$6,'Planning Sheet'!AU446='Weeks Plan'!$G$6),'Planning Sheet'!$B446,"")</f>
        <v/>
      </c>
      <c r="Z935" s="48" t="str">
        <f ca="1">IF(AND('Planning Sheet'!BA446='Weeks Plan'!$D$6,'Planning Sheet'!AU446='Weeks Plan'!$G$6),'Planning Sheet'!$AV446,"")</f>
        <v/>
      </c>
      <c r="AA935" s="48" t="str">
        <f ca="1">IF(AND('Planning Sheet'!BA446='Weeks Plan'!$D$6,'Planning Sheet'!AU446='Weeks Plan'!$G$6),'Planning Sheet'!AW446,"")</f>
        <v/>
      </c>
    </row>
    <row r="936" spans="25:27" x14ac:dyDescent="0.3">
      <c r="Y936" s="48" t="str">
        <f ca="1">IF(AND('Planning Sheet'!BA447='Weeks Plan'!$D$6,'Planning Sheet'!AU447='Weeks Plan'!$G$6),'Planning Sheet'!$B447,"")</f>
        <v/>
      </c>
      <c r="Z936" s="48" t="str">
        <f ca="1">IF(AND('Planning Sheet'!BA447='Weeks Plan'!$D$6,'Planning Sheet'!AU447='Weeks Plan'!$G$6),'Planning Sheet'!$AV447,"")</f>
        <v/>
      </c>
      <c r="AA936" s="48" t="str">
        <f ca="1">IF(AND('Planning Sheet'!BA447='Weeks Plan'!$D$6,'Planning Sheet'!AU447='Weeks Plan'!$G$6),'Planning Sheet'!AW447,"")</f>
        <v/>
      </c>
    </row>
    <row r="937" spans="25:27" x14ac:dyDescent="0.3">
      <c r="Y937" s="48" t="str">
        <f ca="1">IF(AND('Planning Sheet'!BA448='Weeks Plan'!$D$6,'Planning Sheet'!AU448='Weeks Plan'!$G$6),'Planning Sheet'!$B448,"")</f>
        <v/>
      </c>
      <c r="Z937" s="48" t="str">
        <f ca="1">IF(AND('Planning Sheet'!BA448='Weeks Plan'!$D$6,'Planning Sheet'!AU448='Weeks Plan'!$G$6),'Planning Sheet'!$AV448,"")</f>
        <v/>
      </c>
      <c r="AA937" s="48" t="str">
        <f ca="1">IF(AND('Planning Sheet'!BA448='Weeks Plan'!$D$6,'Planning Sheet'!AU448='Weeks Plan'!$G$6),'Planning Sheet'!AW448,"")</f>
        <v/>
      </c>
    </row>
    <row r="938" spans="25:27" x14ac:dyDescent="0.3">
      <c r="Y938" s="48" t="str">
        <f ca="1">IF(AND('Planning Sheet'!BA449='Weeks Plan'!$D$6,'Planning Sheet'!AU449='Weeks Plan'!$G$6),'Planning Sheet'!$B449,"")</f>
        <v/>
      </c>
      <c r="Z938" s="48" t="str">
        <f ca="1">IF(AND('Planning Sheet'!BA449='Weeks Plan'!$D$6,'Planning Sheet'!AU449='Weeks Plan'!$G$6),'Planning Sheet'!$AV449,"")</f>
        <v/>
      </c>
      <c r="AA938" s="48" t="str">
        <f ca="1">IF(AND('Planning Sheet'!BA449='Weeks Plan'!$D$6,'Planning Sheet'!AU449='Weeks Plan'!$G$6),'Planning Sheet'!AW449,"")</f>
        <v/>
      </c>
    </row>
    <row r="939" spans="25:27" x14ac:dyDescent="0.3">
      <c r="Y939" s="48" t="str">
        <f ca="1">IF(AND('Planning Sheet'!BA450='Weeks Plan'!$D$6,'Planning Sheet'!AU450='Weeks Plan'!$G$6),'Planning Sheet'!$B450,"")</f>
        <v/>
      </c>
      <c r="Z939" s="48" t="str">
        <f ca="1">IF(AND('Planning Sheet'!BA450='Weeks Plan'!$D$6,'Planning Sheet'!AU450='Weeks Plan'!$G$6),'Planning Sheet'!$AV450,"")</f>
        <v/>
      </c>
      <c r="AA939" s="48" t="str">
        <f ca="1">IF(AND('Planning Sheet'!BA450='Weeks Plan'!$D$6,'Planning Sheet'!AU450='Weeks Plan'!$G$6),'Planning Sheet'!AW450,"")</f>
        <v/>
      </c>
    </row>
    <row r="940" spans="25:27" x14ac:dyDescent="0.3">
      <c r="Y940" s="48" t="str">
        <f ca="1">IF(AND('Planning Sheet'!BA451='Weeks Plan'!$D$6,'Planning Sheet'!AU451='Weeks Plan'!$G$6),'Planning Sheet'!$B451,"")</f>
        <v/>
      </c>
      <c r="Z940" s="48" t="str">
        <f ca="1">IF(AND('Planning Sheet'!BA451='Weeks Plan'!$D$6,'Planning Sheet'!AU451='Weeks Plan'!$G$6),'Planning Sheet'!$AV451,"")</f>
        <v/>
      </c>
      <c r="AA940" s="48" t="str">
        <f ca="1">IF(AND('Planning Sheet'!BA451='Weeks Plan'!$D$6,'Planning Sheet'!AU451='Weeks Plan'!$G$6),'Planning Sheet'!AW451,"")</f>
        <v/>
      </c>
    </row>
    <row r="941" spans="25:27" x14ac:dyDescent="0.3">
      <c r="Y941" s="48" t="str">
        <f ca="1">IF(AND('Planning Sheet'!BA452='Weeks Plan'!$D$6,'Planning Sheet'!AU452='Weeks Plan'!$G$6),'Planning Sheet'!$B452,"")</f>
        <v/>
      </c>
      <c r="Z941" s="48" t="str">
        <f ca="1">IF(AND('Planning Sheet'!BA452='Weeks Plan'!$D$6,'Planning Sheet'!AU452='Weeks Plan'!$G$6),'Planning Sheet'!$AV452,"")</f>
        <v/>
      </c>
      <c r="AA941" s="48" t="str">
        <f ca="1">IF(AND('Planning Sheet'!BA452='Weeks Plan'!$D$6,'Planning Sheet'!AU452='Weeks Plan'!$G$6),'Planning Sheet'!AW452,"")</f>
        <v/>
      </c>
    </row>
    <row r="942" spans="25:27" x14ac:dyDescent="0.3">
      <c r="Y942" s="48" t="str">
        <f ca="1">IF(AND('Planning Sheet'!BA453='Weeks Plan'!$D$6,'Planning Sheet'!AU453='Weeks Plan'!$G$6),'Planning Sheet'!$B453,"")</f>
        <v/>
      </c>
      <c r="Z942" s="48" t="str">
        <f ca="1">IF(AND('Planning Sheet'!BA453='Weeks Plan'!$D$6,'Planning Sheet'!AU453='Weeks Plan'!$G$6),'Planning Sheet'!$AV453,"")</f>
        <v/>
      </c>
      <c r="AA942" s="48" t="str">
        <f ca="1">IF(AND('Planning Sheet'!BA453='Weeks Plan'!$D$6,'Planning Sheet'!AU453='Weeks Plan'!$G$6),'Planning Sheet'!AW453,"")</f>
        <v/>
      </c>
    </row>
    <row r="943" spans="25:27" x14ac:dyDescent="0.3">
      <c r="Y943" s="48" t="str">
        <f ca="1">IF(AND('Planning Sheet'!BA454='Weeks Plan'!$D$6,'Planning Sheet'!AU454='Weeks Plan'!$G$6),'Planning Sheet'!$B454,"")</f>
        <v/>
      </c>
      <c r="Z943" s="48" t="str">
        <f ca="1">IF(AND('Planning Sheet'!BA454='Weeks Plan'!$D$6,'Planning Sheet'!AU454='Weeks Plan'!$G$6),'Planning Sheet'!$AV454,"")</f>
        <v/>
      </c>
      <c r="AA943" s="48" t="str">
        <f ca="1">IF(AND('Planning Sheet'!BA454='Weeks Plan'!$D$6,'Planning Sheet'!AU454='Weeks Plan'!$G$6),'Planning Sheet'!AW454,"")</f>
        <v/>
      </c>
    </row>
    <row r="944" spans="25:27" x14ac:dyDescent="0.3">
      <c r="Y944" s="48" t="str">
        <f ca="1">IF(AND('Planning Sheet'!BA455='Weeks Plan'!$D$6,'Planning Sheet'!AU455='Weeks Plan'!$G$6),'Planning Sheet'!$B455,"")</f>
        <v/>
      </c>
      <c r="Z944" s="48" t="str">
        <f ca="1">IF(AND('Planning Sheet'!BA455='Weeks Plan'!$D$6,'Planning Sheet'!AU455='Weeks Plan'!$G$6),'Planning Sheet'!$AV455,"")</f>
        <v/>
      </c>
      <c r="AA944" s="48" t="str">
        <f ca="1">IF(AND('Planning Sheet'!BA455='Weeks Plan'!$D$6,'Planning Sheet'!AU455='Weeks Plan'!$G$6),'Planning Sheet'!AW455,"")</f>
        <v/>
      </c>
    </row>
    <row r="945" spans="25:27" x14ac:dyDescent="0.3">
      <c r="Y945" s="48" t="str">
        <f ca="1">IF(AND('Planning Sheet'!BA456='Weeks Plan'!$D$6,'Planning Sheet'!AU456='Weeks Plan'!$G$6),'Planning Sheet'!$B456,"")</f>
        <v/>
      </c>
      <c r="Z945" s="48" t="str">
        <f ca="1">IF(AND('Planning Sheet'!BA456='Weeks Plan'!$D$6,'Planning Sheet'!AU456='Weeks Plan'!$G$6),'Planning Sheet'!$AV456,"")</f>
        <v/>
      </c>
      <c r="AA945" s="48" t="str">
        <f ca="1">IF(AND('Planning Sheet'!BA456='Weeks Plan'!$D$6,'Planning Sheet'!AU456='Weeks Plan'!$G$6),'Planning Sheet'!AW456,"")</f>
        <v/>
      </c>
    </row>
    <row r="946" spans="25:27" x14ac:dyDescent="0.3">
      <c r="Y946" s="48" t="str">
        <f ca="1">IF(AND('Planning Sheet'!BA457='Weeks Plan'!$D$6,'Planning Sheet'!AU457='Weeks Plan'!$G$6),'Planning Sheet'!$B457,"")</f>
        <v/>
      </c>
      <c r="Z946" s="48" t="str">
        <f ca="1">IF(AND('Planning Sheet'!BA457='Weeks Plan'!$D$6,'Planning Sheet'!AU457='Weeks Plan'!$G$6),'Planning Sheet'!$AV457,"")</f>
        <v/>
      </c>
      <c r="AA946" s="48" t="str">
        <f ca="1">IF(AND('Planning Sheet'!BA457='Weeks Plan'!$D$6,'Planning Sheet'!AU457='Weeks Plan'!$G$6),'Planning Sheet'!AW457,"")</f>
        <v/>
      </c>
    </row>
    <row r="947" spans="25:27" x14ac:dyDescent="0.3">
      <c r="Y947" s="48" t="str">
        <f ca="1">IF(AND('Planning Sheet'!BA458='Weeks Plan'!$D$6,'Planning Sheet'!AU458='Weeks Plan'!$G$6),'Planning Sheet'!$B458,"")</f>
        <v/>
      </c>
      <c r="Z947" s="48" t="str">
        <f ca="1">IF(AND('Planning Sheet'!BA458='Weeks Plan'!$D$6,'Planning Sheet'!AU458='Weeks Plan'!$G$6),'Planning Sheet'!$AV458,"")</f>
        <v/>
      </c>
      <c r="AA947" s="48" t="str">
        <f ca="1">IF(AND('Planning Sheet'!BA458='Weeks Plan'!$D$6,'Planning Sheet'!AU458='Weeks Plan'!$G$6),'Planning Sheet'!AW458,"")</f>
        <v/>
      </c>
    </row>
    <row r="948" spans="25:27" x14ac:dyDescent="0.3">
      <c r="Y948" s="48" t="str">
        <f ca="1">IF(AND('Planning Sheet'!BA459='Weeks Plan'!$D$6,'Planning Sheet'!AU459='Weeks Plan'!$G$6),'Planning Sheet'!$B459,"")</f>
        <v/>
      </c>
      <c r="Z948" s="48" t="str">
        <f ca="1">IF(AND('Planning Sheet'!BA459='Weeks Plan'!$D$6,'Planning Sheet'!AU459='Weeks Plan'!$G$6),'Planning Sheet'!$AV459,"")</f>
        <v/>
      </c>
      <c r="AA948" s="48" t="str">
        <f ca="1">IF(AND('Planning Sheet'!BA459='Weeks Plan'!$D$6,'Planning Sheet'!AU459='Weeks Plan'!$G$6),'Planning Sheet'!AW459,"")</f>
        <v/>
      </c>
    </row>
    <row r="949" spans="25:27" x14ac:dyDescent="0.3">
      <c r="Y949" s="48" t="str">
        <f ca="1">IF(AND('Planning Sheet'!BA460='Weeks Plan'!$D$6,'Planning Sheet'!AU460='Weeks Plan'!$G$6),'Planning Sheet'!$B460,"")</f>
        <v/>
      </c>
      <c r="Z949" s="48" t="str">
        <f ca="1">IF(AND('Planning Sheet'!BA460='Weeks Plan'!$D$6,'Planning Sheet'!AU460='Weeks Plan'!$G$6),'Planning Sheet'!$AV460,"")</f>
        <v/>
      </c>
      <c r="AA949" s="48" t="str">
        <f ca="1">IF(AND('Planning Sheet'!BA460='Weeks Plan'!$D$6,'Planning Sheet'!AU460='Weeks Plan'!$G$6),'Planning Sheet'!AW460,"")</f>
        <v/>
      </c>
    </row>
    <row r="950" spans="25:27" x14ac:dyDescent="0.3">
      <c r="Y950" s="48" t="str">
        <f ca="1">IF(AND('Planning Sheet'!BA461='Weeks Plan'!$D$6,'Planning Sheet'!AU461='Weeks Plan'!$G$6),'Planning Sheet'!$B461,"")</f>
        <v/>
      </c>
      <c r="Z950" s="48" t="str">
        <f ca="1">IF(AND('Planning Sheet'!BA461='Weeks Plan'!$D$6,'Planning Sheet'!AU461='Weeks Plan'!$G$6),'Planning Sheet'!$AV461,"")</f>
        <v/>
      </c>
      <c r="AA950" s="48" t="str">
        <f ca="1">IF(AND('Planning Sheet'!BA461='Weeks Plan'!$D$6,'Planning Sheet'!AU461='Weeks Plan'!$G$6),'Planning Sheet'!AW461,"")</f>
        <v/>
      </c>
    </row>
    <row r="951" spans="25:27" x14ac:dyDescent="0.3">
      <c r="Y951" s="48" t="str">
        <f ca="1">IF(AND('Planning Sheet'!BA462='Weeks Plan'!$D$6,'Planning Sheet'!AU462='Weeks Plan'!$G$6),'Planning Sheet'!$B462,"")</f>
        <v/>
      </c>
      <c r="Z951" s="48" t="str">
        <f ca="1">IF(AND('Planning Sheet'!BA462='Weeks Plan'!$D$6,'Planning Sheet'!AU462='Weeks Plan'!$G$6),'Planning Sheet'!$AV462,"")</f>
        <v/>
      </c>
      <c r="AA951" s="48" t="str">
        <f ca="1">IF(AND('Planning Sheet'!BA462='Weeks Plan'!$D$6,'Planning Sheet'!AU462='Weeks Plan'!$G$6),'Planning Sheet'!AW462,"")</f>
        <v/>
      </c>
    </row>
    <row r="952" spans="25:27" x14ac:dyDescent="0.3">
      <c r="Y952" s="48" t="str">
        <f ca="1">IF(AND('Planning Sheet'!BA463='Weeks Plan'!$D$6,'Planning Sheet'!AU463='Weeks Plan'!$G$6),'Planning Sheet'!$B463,"")</f>
        <v/>
      </c>
      <c r="Z952" s="48" t="str">
        <f ca="1">IF(AND('Planning Sheet'!BA463='Weeks Plan'!$D$6,'Planning Sheet'!AU463='Weeks Plan'!$G$6),'Planning Sheet'!$AV463,"")</f>
        <v/>
      </c>
      <c r="AA952" s="48" t="str">
        <f ca="1">IF(AND('Planning Sheet'!BA463='Weeks Plan'!$D$6,'Planning Sheet'!AU463='Weeks Plan'!$G$6),'Planning Sheet'!AW463,"")</f>
        <v/>
      </c>
    </row>
    <row r="953" spans="25:27" x14ac:dyDescent="0.3">
      <c r="Y953" s="48" t="str">
        <f ca="1">IF(AND('Planning Sheet'!BA464='Weeks Plan'!$D$6,'Planning Sheet'!AU464='Weeks Plan'!$G$6),'Planning Sheet'!$B464,"")</f>
        <v/>
      </c>
      <c r="Z953" s="48" t="str">
        <f ca="1">IF(AND('Planning Sheet'!BA464='Weeks Plan'!$D$6,'Planning Sheet'!AU464='Weeks Plan'!$G$6),'Planning Sheet'!$AV464,"")</f>
        <v/>
      </c>
      <c r="AA953" s="48" t="str">
        <f ca="1">IF(AND('Planning Sheet'!BA464='Weeks Plan'!$D$6,'Planning Sheet'!AU464='Weeks Plan'!$G$6),'Planning Sheet'!AW464,"")</f>
        <v/>
      </c>
    </row>
    <row r="954" spans="25:27" x14ac:dyDescent="0.3">
      <c r="Y954" s="48" t="str">
        <f ca="1">IF(AND('Planning Sheet'!BA465='Weeks Plan'!$D$6,'Planning Sheet'!AU465='Weeks Plan'!$G$6),'Planning Sheet'!$B465,"")</f>
        <v/>
      </c>
      <c r="Z954" s="48" t="str">
        <f ca="1">IF(AND('Planning Sheet'!BA465='Weeks Plan'!$D$6,'Planning Sheet'!AU465='Weeks Plan'!$G$6),'Planning Sheet'!$AV465,"")</f>
        <v/>
      </c>
      <c r="AA954" s="48" t="str">
        <f ca="1">IF(AND('Planning Sheet'!BA465='Weeks Plan'!$D$6,'Planning Sheet'!AU465='Weeks Plan'!$G$6),'Planning Sheet'!AW465,"")</f>
        <v/>
      </c>
    </row>
    <row r="955" spans="25:27" x14ac:dyDescent="0.3">
      <c r="Y955" s="48" t="str">
        <f ca="1">IF(AND('Planning Sheet'!BA466='Weeks Plan'!$D$6,'Planning Sheet'!AU466='Weeks Plan'!$G$6),'Planning Sheet'!$B466,"")</f>
        <v/>
      </c>
      <c r="Z955" s="48" t="str">
        <f ca="1">IF(AND('Planning Sheet'!BA466='Weeks Plan'!$D$6,'Planning Sheet'!AU466='Weeks Plan'!$G$6),'Planning Sheet'!$AV466,"")</f>
        <v/>
      </c>
      <c r="AA955" s="48" t="str">
        <f ca="1">IF(AND('Planning Sheet'!BA466='Weeks Plan'!$D$6,'Planning Sheet'!AU466='Weeks Plan'!$G$6),'Planning Sheet'!AW466,"")</f>
        <v/>
      </c>
    </row>
    <row r="956" spans="25:27" x14ac:dyDescent="0.3">
      <c r="Y956" s="48" t="str">
        <f ca="1">IF(AND('Planning Sheet'!BA467='Weeks Plan'!$D$6,'Planning Sheet'!AU467='Weeks Plan'!$G$6),'Planning Sheet'!$B467,"")</f>
        <v/>
      </c>
      <c r="Z956" s="48" t="str">
        <f ca="1">IF(AND('Planning Sheet'!BA467='Weeks Plan'!$D$6,'Planning Sheet'!AU467='Weeks Plan'!$G$6),'Planning Sheet'!$AV467,"")</f>
        <v/>
      </c>
      <c r="AA956" s="48" t="str">
        <f ca="1">IF(AND('Planning Sheet'!BA467='Weeks Plan'!$D$6,'Planning Sheet'!AU467='Weeks Plan'!$G$6),'Planning Sheet'!AW467,"")</f>
        <v/>
      </c>
    </row>
    <row r="957" spans="25:27" x14ac:dyDescent="0.3">
      <c r="Y957" s="48" t="str">
        <f ca="1">IF(AND('Planning Sheet'!BA468='Weeks Plan'!$D$6,'Planning Sheet'!AU468='Weeks Plan'!$G$6),'Planning Sheet'!$B468,"")</f>
        <v/>
      </c>
      <c r="Z957" s="48" t="str">
        <f ca="1">IF(AND('Planning Sheet'!BA468='Weeks Plan'!$D$6,'Planning Sheet'!AU468='Weeks Plan'!$G$6),'Planning Sheet'!$AV468,"")</f>
        <v/>
      </c>
      <c r="AA957" s="48" t="str">
        <f ca="1">IF(AND('Planning Sheet'!BA468='Weeks Plan'!$D$6,'Planning Sheet'!AU468='Weeks Plan'!$G$6),'Planning Sheet'!AW468,"")</f>
        <v/>
      </c>
    </row>
    <row r="958" spans="25:27" x14ac:dyDescent="0.3">
      <c r="Y958" s="48" t="str">
        <f ca="1">IF(AND('Planning Sheet'!BA469='Weeks Plan'!$D$6,'Planning Sheet'!AU469='Weeks Plan'!$G$6),'Planning Sheet'!$B469,"")</f>
        <v/>
      </c>
      <c r="Z958" s="48" t="str">
        <f ca="1">IF(AND('Planning Sheet'!BA469='Weeks Plan'!$D$6,'Planning Sheet'!AU469='Weeks Plan'!$G$6),'Planning Sheet'!$AV469,"")</f>
        <v/>
      </c>
      <c r="AA958" s="48" t="str">
        <f ca="1">IF(AND('Planning Sheet'!BA469='Weeks Plan'!$D$6,'Planning Sheet'!AU469='Weeks Plan'!$G$6),'Planning Sheet'!AW469,"")</f>
        <v/>
      </c>
    </row>
    <row r="959" spans="25:27" x14ac:dyDescent="0.3">
      <c r="Y959" s="48" t="str">
        <f ca="1">IF(AND('Planning Sheet'!BA470='Weeks Plan'!$D$6,'Planning Sheet'!AU470='Weeks Plan'!$G$6),'Planning Sheet'!$B470,"")</f>
        <v/>
      </c>
      <c r="Z959" s="48" t="str">
        <f ca="1">IF(AND('Planning Sheet'!BA470='Weeks Plan'!$D$6,'Planning Sheet'!AU470='Weeks Plan'!$G$6),'Planning Sheet'!$AV470,"")</f>
        <v/>
      </c>
      <c r="AA959" s="48" t="str">
        <f ca="1">IF(AND('Planning Sheet'!BA470='Weeks Plan'!$D$6,'Planning Sheet'!AU470='Weeks Plan'!$G$6),'Planning Sheet'!AW470,"")</f>
        <v/>
      </c>
    </row>
    <row r="960" spans="25:27" x14ac:dyDescent="0.3">
      <c r="Y960" s="48" t="str">
        <f ca="1">IF(AND('Planning Sheet'!BA471='Weeks Plan'!$D$6,'Planning Sheet'!AU471='Weeks Plan'!$G$6),'Planning Sheet'!$B471,"")</f>
        <v/>
      </c>
      <c r="Z960" s="48" t="str">
        <f ca="1">IF(AND('Planning Sheet'!BA471='Weeks Plan'!$D$6,'Planning Sheet'!AU471='Weeks Plan'!$G$6),'Planning Sheet'!$AV471,"")</f>
        <v/>
      </c>
      <c r="AA960" s="48" t="str">
        <f ca="1">IF(AND('Planning Sheet'!BA471='Weeks Plan'!$D$6,'Planning Sheet'!AU471='Weeks Plan'!$G$6),'Planning Sheet'!AW471,"")</f>
        <v/>
      </c>
    </row>
    <row r="961" spans="25:27" x14ac:dyDescent="0.3">
      <c r="Y961" s="48" t="str">
        <f ca="1">IF(AND('Planning Sheet'!BA472='Weeks Plan'!$D$6,'Planning Sheet'!AU472='Weeks Plan'!$G$6),'Planning Sheet'!$B472,"")</f>
        <v/>
      </c>
      <c r="Z961" s="48" t="str">
        <f ca="1">IF(AND('Planning Sheet'!BA472='Weeks Plan'!$D$6,'Planning Sheet'!AU472='Weeks Plan'!$G$6),'Planning Sheet'!$AV472,"")</f>
        <v/>
      </c>
      <c r="AA961" s="48" t="str">
        <f ca="1">IF(AND('Planning Sheet'!BA472='Weeks Plan'!$D$6,'Planning Sheet'!AU472='Weeks Plan'!$G$6),'Planning Sheet'!AW472,"")</f>
        <v/>
      </c>
    </row>
    <row r="962" spans="25:27" x14ac:dyDescent="0.3">
      <c r="Y962" s="48" t="str">
        <f ca="1">IF(AND('Planning Sheet'!BA473='Weeks Plan'!$D$6,'Planning Sheet'!AU473='Weeks Plan'!$G$6),'Planning Sheet'!$B473,"")</f>
        <v/>
      </c>
      <c r="Z962" s="48" t="str">
        <f ca="1">IF(AND('Planning Sheet'!BA473='Weeks Plan'!$D$6,'Planning Sheet'!AU473='Weeks Plan'!$G$6),'Planning Sheet'!$AV473,"")</f>
        <v/>
      </c>
      <c r="AA962" s="48" t="str">
        <f ca="1">IF(AND('Planning Sheet'!BA473='Weeks Plan'!$D$6,'Planning Sheet'!AU473='Weeks Plan'!$G$6),'Planning Sheet'!AW473,"")</f>
        <v/>
      </c>
    </row>
    <row r="963" spans="25:27" x14ac:dyDescent="0.3">
      <c r="Y963" s="48" t="str">
        <f ca="1">IF(AND('Planning Sheet'!BA474='Weeks Plan'!$D$6,'Planning Sheet'!AU474='Weeks Plan'!$G$6),'Planning Sheet'!$B474,"")</f>
        <v/>
      </c>
      <c r="Z963" s="48" t="str">
        <f ca="1">IF(AND('Planning Sheet'!BA474='Weeks Plan'!$D$6,'Planning Sheet'!AU474='Weeks Plan'!$G$6),'Planning Sheet'!$AV474,"")</f>
        <v/>
      </c>
      <c r="AA963" s="48" t="str">
        <f ca="1">IF(AND('Planning Sheet'!BA474='Weeks Plan'!$D$6,'Planning Sheet'!AU474='Weeks Plan'!$G$6),'Planning Sheet'!AW474,"")</f>
        <v/>
      </c>
    </row>
    <row r="964" spans="25:27" x14ac:dyDescent="0.3">
      <c r="Y964" s="48" t="str">
        <f ca="1">IF(AND('Planning Sheet'!BA475='Weeks Plan'!$D$6,'Planning Sheet'!AU475='Weeks Plan'!$G$6),'Planning Sheet'!$B475,"")</f>
        <v/>
      </c>
      <c r="Z964" s="48" t="str">
        <f ca="1">IF(AND('Planning Sheet'!BA475='Weeks Plan'!$D$6,'Planning Sheet'!AU475='Weeks Plan'!$G$6),'Planning Sheet'!$AV475,"")</f>
        <v/>
      </c>
      <c r="AA964" s="48" t="str">
        <f ca="1">IF(AND('Planning Sheet'!BA475='Weeks Plan'!$D$6,'Planning Sheet'!AU475='Weeks Plan'!$G$6),'Planning Sheet'!AW475,"")</f>
        <v/>
      </c>
    </row>
    <row r="965" spans="25:27" x14ac:dyDescent="0.3">
      <c r="Y965" s="48" t="str">
        <f ca="1">IF(AND('Planning Sheet'!BA476='Weeks Plan'!$D$6,'Planning Sheet'!AU476='Weeks Plan'!$G$6),'Planning Sheet'!$B476,"")</f>
        <v/>
      </c>
      <c r="Z965" s="48" t="str">
        <f ca="1">IF(AND('Planning Sheet'!BA476='Weeks Plan'!$D$6,'Planning Sheet'!AU476='Weeks Plan'!$G$6),'Planning Sheet'!$AV476,"")</f>
        <v/>
      </c>
      <c r="AA965" s="48" t="str">
        <f ca="1">IF(AND('Planning Sheet'!BA476='Weeks Plan'!$D$6,'Planning Sheet'!AU476='Weeks Plan'!$G$6),'Planning Sheet'!AW476,"")</f>
        <v/>
      </c>
    </row>
    <row r="966" spans="25:27" x14ac:dyDescent="0.3">
      <c r="Y966" s="48" t="str">
        <f ca="1">IF(AND('Planning Sheet'!BA477='Weeks Plan'!$D$6,'Planning Sheet'!AU477='Weeks Plan'!$G$6),'Planning Sheet'!$B477,"")</f>
        <v/>
      </c>
      <c r="Z966" s="48" t="str">
        <f ca="1">IF(AND('Planning Sheet'!BA477='Weeks Plan'!$D$6,'Planning Sheet'!AU477='Weeks Plan'!$G$6),'Planning Sheet'!$AV477,"")</f>
        <v/>
      </c>
      <c r="AA966" s="48" t="str">
        <f ca="1">IF(AND('Planning Sheet'!BA477='Weeks Plan'!$D$6,'Planning Sheet'!AU477='Weeks Plan'!$G$6),'Planning Sheet'!AW477,"")</f>
        <v/>
      </c>
    </row>
    <row r="967" spans="25:27" x14ac:dyDescent="0.3">
      <c r="Y967" s="48" t="str">
        <f ca="1">IF(AND('Planning Sheet'!BA478='Weeks Plan'!$D$6,'Planning Sheet'!AU478='Weeks Plan'!$G$6),'Planning Sheet'!$B478,"")</f>
        <v/>
      </c>
      <c r="Z967" s="48" t="str">
        <f ca="1">IF(AND('Planning Sheet'!BA478='Weeks Plan'!$D$6,'Planning Sheet'!AU478='Weeks Plan'!$G$6),'Planning Sheet'!$AV478,"")</f>
        <v/>
      </c>
      <c r="AA967" s="48" t="str">
        <f ca="1">IF(AND('Planning Sheet'!BA478='Weeks Plan'!$D$6,'Planning Sheet'!AU478='Weeks Plan'!$G$6),'Planning Sheet'!AW478,"")</f>
        <v/>
      </c>
    </row>
    <row r="968" spans="25:27" x14ac:dyDescent="0.3">
      <c r="Y968" s="48" t="str">
        <f ca="1">IF(AND('Planning Sheet'!BA479='Weeks Plan'!$D$6,'Planning Sheet'!AU479='Weeks Plan'!$G$6),'Planning Sheet'!$B479,"")</f>
        <v/>
      </c>
      <c r="Z968" s="48" t="str">
        <f ca="1">IF(AND('Planning Sheet'!BA479='Weeks Plan'!$D$6,'Planning Sheet'!AU479='Weeks Plan'!$G$6),'Planning Sheet'!$AV479,"")</f>
        <v/>
      </c>
      <c r="AA968" s="48" t="str">
        <f ca="1">IF(AND('Planning Sheet'!BA479='Weeks Plan'!$D$6,'Planning Sheet'!AU479='Weeks Plan'!$G$6),'Planning Sheet'!AW479,"")</f>
        <v/>
      </c>
    </row>
    <row r="969" spans="25:27" x14ac:dyDescent="0.3">
      <c r="Y969" s="48" t="str">
        <f ca="1">IF(AND('Planning Sheet'!BA480='Weeks Plan'!$D$6,'Planning Sheet'!AU480='Weeks Plan'!$G$6),'Planning Sheet'!$B480,"")</f>
        <v/>
      </c>
      <c r="Z969" s="48" t="str">
        <f ca="1">IF(AND('Planning Sheet'!BA480='Weeks Plan'!$D$6,'Planning Sheet'!AU480='Weeks Plan'!$G$6),'Planning Sheet'!$AV480,"")</f>
        <v/>
      </c>
      <c r="AA969" s="48" t="str">
        <f ca="1">IF(AND('Planning Sheet'!BA480='Weeks Plan'!$D$6,'Planning Sheet'!AU480='Weeks Plan'!$G$6),'Planning Sheet'!AW480,"")</f>
        <v/>
      </c>
    </row>
    <row r="970" spans="25:27" x14ac:dyDescent="0.3">
      <c r="Y970" s="48" t="str">
        <f ca="1">IF(AND('Planning Sheet'!BA481='Weeks Plan'!$D$6,'Planning Sheet'!AU481='Weeks Plan'!$G$6),'Planning Sheet'!$B481,"")</f>
        <v/>
      </c>
      <c r="Z970" s="48" t="str">
        <f ca="1">IF(AND('Planning Sheet'!BA481='Weeks Plan'!$D$6,'Planning Sheet'!AU481='Weeks Plan'!$G$6),'Planning Sheet'!$AV481,"")</f>
        <v/>
      </c>
      <c r="AA970" s="48" t="str">
        <f ca="1">IF(AND('Planning Sheet'!BA481='Weeks Plan'!$D$6,'Planning Sheet'!AU481='Weeks Plan'!$G$6),'Planning Sheet'!AW481,"")</f>
        <v/>
      </c>
    </row>
    <row r="971" spans="25:27" x14ac:dyDescent="0.3">
      <c r="Y971" s="48" t="str">
        <f ca="1">IF(AND('Planning Sheet'!BA482='Weeks Plan'!$D$6,'Planning Sheet'!AU482='Weeks Plan'!$G$6),'Planning Sheet'!$B482,"")</f>
        <v/>
      </c>
      <c r="Z971" s="48" t="str">
        <f ca="1">IF(AND('Planning Sheet'!BA482='Weeks Plan'!$D$6,'Planning Sheet'!AU482='Weeks Plan'!$G$6),'Planning Sheet'!$AV482,"")</f>
        <v/>
      </c>
      <c r="AA971" s="48" t="str">
        <f ca="1">IF(AND('Planning Sheet'!BA482='Weeks Plan'!$D$6,'Planning Sheet'!AU482='Weeks Plan'!$G$6),'Planning Sheet'!AW482,"")</f>
        <v/>
      </c>
    </row>
    <row r="972" spans="25:27" x14ac:dyDescent="0.3">
      <c r="Y972" s="48" t="str">
        <f ca="1">IF(AND('Planning Sheet'!BA483='Weeks Plan'!$D$6,'Planning Sheet'!AU483='Weeks Plan'!$G$6),'Planning Sheet'!$B483,"")</f>
        <v/>
      </c>
      <c r="Z972" s="48" t="str">
        <f ca="1">IF(AND('Planning Sheet'!BA483='Weeks Plan'!$D$6,'Planning Sheet'!AU483='Weeks Plan'!$G$6),'Planning Sheet'!$AV483,"")</f>
        <v/>
      </c>
      <c r="AA972" s="48" t="str">
        <f ca="1">IF(AND('Planning Sheet'!BA483='Weeks Plan'!$D$6,'Planning Sheet'!AU483='Weeks Plan'!$G$6),'Planning Sheet'!AW483,"")</f>
        <v/>
      </c>
    </row>
    <row r="973" spans="25:27" x14ac:dyDescent="0.3">
      <c r="Y973" s="48" t="str">
        <f ca="1">IF(AND('Planning Sheet'!BA484='Weeks Plan'!$D$6,'Planning Sheet'!AU484='Weeks Plan'!$G$6),'Planning Sheet'!$B484,"")</f>
        <v/>
      </c>
      <c r="Z973" s="48" t="str">
        <f ca="1">IF(AND('Planning Sheet'!BA484='Weeks Plan'!$D$6,'Planning Sheet'!AU484='Weeks Plan'!$G$6),'Planning Sheet'!$AV484,"")</f>
        <v/>
      </c>
      <c r="AA973" s="48" t="str">
        <f ca="1">IF(AND('Planning Sheet'!BA484='Weeks Plan'!$D$6,'Planning Sheet'!AU484='Weeks Plan'!$G$6),'Planning Sheet'!AW484,"")</f>
        <v/>
      </c>
    </row>
    <row r="974" spans="25:27" x14ac:dyDescent="0.3">
      <c r="Y974" s="48" t="str">
        <f ca="1">IF(AND('Planning Sheet'!BA485='Weeks Plan'!$D$6,'Planning Sheet'!AU485='Weeks Plan'!$G$6),'Planning Sheet'!$B485,"")</f>
        <v/>
      </c>
      <c r="Z974" s="48" t="str">
        <f ca="1">IF(AND('Planning Sheet'!BA485='Weeks Plan'!$D$6,'Planning Sheet'!AU485='Weeks Plan'!$G$6),'Planning Sheet'!$AV485,"")</f>
        <v/>
      </c>
      <c r="AA974" s="48" t="str">
        <f ca="1">IF(AND('Planning Sheet'!BA485='Weeks Plan'!$D$6,'Planning Sheet'!AU485='Weeks Plan'!$G$6),'Planning Sheet'!AW485,"")</f>
        <v/>
      </c>
    </row>
    <row r="975" spans="25:27" x14ac:dyDescent="0.3">
      <c r="Y975" s="48" t="str">
        <f ca="1">IF(AND('Planning Sheet'!BA486='Weeks Plan'!$D$6,'Planning Sheet'!AU486='Weeks Plan'!$G$6),'Planning Sheet'!$B486,"")</f>
        <v/>
      </c>
      <c r="Z975" s="48" t="str">
        <f ca="1">IF(AND('Planning Sheet'!BA486='Weeks Plan'!$D$6,'Planning Sheet'!AU486='Weeks Plan'!$G$6),'Planning Sheet'!$AV486,"")</f>
        <v/>
      </c>
      <c r="AA975" s="48" t="str">
        <f ca="1">IF(AND('Planning Sheet'!BA486='Weeks Plan'!$D$6,'Planning Sheet'!AU486='Weeks Plan'!$G$6),'Planning Sheet'!AW486,"")</f>
        <v/>
      </c>
    </row>
    <row r="976" spans="25:27" x14ac:dyDescent="0.3">
      <c r="Y976" s="48" t="str">
        <f ca="1">IF(AND('Planning Sheet'!BA487='Weeks Plan'!$D$6,'Planning Sheet'!AU487='Weeks Plan'!$G$6),'Planning Sheet'!$B487,"")</f>
        <v/>
      </c>
      <c r="Z976" s="48" t="str">
        <f ca="1">IF(AND('Planning Sheet'!BA487='Weeks Plan'!$D$6,'Planning Sheet'!AU487='Weeks Plan'!$G$6),'Planning Sheet'!$AV487,"")</f>
        <v/>
      </c>
      <c r="AA976" s="48" t="str">
        <f ca="1">IF(AND('Planning Sheet'!BA487='Weeks Plan'!$D$6,'Planning Sheet'!AU487='Weeks Plan'!$G$6),'Planning Sheet'!AW487,"")</f>
        <v/>
      </c>
    </row>
    <row r="977" spans="25:27" x14ac:dyDescent="0.3">
      <c r="Y977" s="48" t="str">
        <f ca="1">IF(AND('Planning Sheet'!BA488='Weeks Plan'!$D$6,'Planning Sheet'!AU488='Weeks Plan'!$G$6),'Planning Sheet'!$B488,"")</f>
        <v/>
      </c>
      <c r="Z977" s="48" t="str">
        <f ca="1">IF(AND('Planning Sheet'!BA488='Weeks Plan'!$D$6,'Planning Sheet'!AU488='Weeks Plan'!$G$6),'Planning Sheet'!$AV488,"")</f>
        <v/>
      </c>
      <c r="AA977" s="48" t="str">
        <f ca="1">IF(AND('Planning Sheet'!BA488='Weeks Plan'!$D$6,'Planning Sheet'!AU488='Weeks Plan'!$G$6),'Planning Sheet'!AW488,"")</f>
        <v/>
      </c>
    </row>
    <row r="978" spans="25:27" x14ac:dyDescent="0.3">
      <c r="Y978" s="48" t="str">
        <f ca="1">IF(AND('Planning Sheet'!BA489='Weeks Plan'!$D$6,'Planning Sheet'!AU489='Weeks Plan'!$G$6),'Planning Sheet'!$B489,"")</f>
        <v/>
      </c>
      <c r="Z978" s="48" t="str">
        <f ca="1">IF(AND('Planning Sheet'!BA489='Weeks Plan'!$D$6,'Planning Sheet'!AU489='Weeks Plan'!$G$6),'Planning Sheet'!$AV489,"")</f>
        <v/>
      </c>
      <c r="AA978" s="48" t="str">
        <f ca="1">IF(AND('Planning Sheet'!BA489='Weeks Plan'!$D$6,'Planning Sheet'!AU489='Weeks Plan'!$G$6),'Planning Sheet'!AW489,"")</f>
        <v/>
      </c>
    </row>
    <row r="979" spans="25:27" x14ac:dyDescent="0.3">
      <c r="Y979" s="48" t="str">
        <f ca="1">IF(AND('Planning Sheet'!BA490='Weeks Plan'!$D$6,'Planning Sheet'!AU490='Weeks Plan'!$G$6),'Planning Sheet'!$B490,"")</f>
        <v/>
      </c>
      <c r="Z979" s="48" t="str">
        <f ca="1">IF(AND('Planning Sheet'!BA490='Weeks Plan'!$D$6,'Planning Sheet'!AU490='Weeks Plan'!$G$6),'Planning Sheet'!$AV490,"")</f>
        <v/>
      </c>
      <c r="AA979" s="48" t="str">
        <f ca="1">IF(AND('Planning Sheet'!BA490='Weeks Plan'!$D$6,'Planning Sheet'!AU490='Weeks Plan'!$G$6),'Planning Sheet'!AW490,"")</f>
        <v/>
      </c>
    </row>
    <row r="980" spans="25:27" x14ac:dyDescent="0.3">
      <c r="Y980" s="48" t="str">
        <f ca="1">IF(AND('Planning Sheet'!BA491='Weeks Plan'!$D$6,'Planning Sheet'!AU491='Weeks Plan'!$G$6),'Planning Sheet'!$B491,"")</f>
        <v/>
      </c>
      <c r="Z980" s="48" t="str">
        <f ca="1">IF(AND('Planning Sheet'!BA491='Weeks Plan'!$D$6,'Planning Sheet'!AU491='Weeks Plan'!$G$6),'Planning Sheet'!$AV491,"")</f>
        <v/>
      </c>
      <c r="AA980" s="48" t="str">
        <f ca="1">IF(AND('Planning Sheet'!BA491='Weeks Plan'!$D$6,'Planning Sheet'!AU491='Weeks Plan'!$G$6),'Planning Sheet'!AW491,"")</f>
        <v/>
      </c>
    </row>
    <row r="981" spans="25:27" x14ac:dyDescent="0.3">
      <c r="Y981" s="48" t="str">
        <f ca="1">IF(AND('Planning Sheet'!BA492='Weeks Plan'!$D$6,'Planning Sheet'!AU492='Weeks Plan'!$G$6),'Planning Sheet'!$B492,"")</f>
        <v/>
      </c>
      <c r="Z981" s="48" t="str">
        <f ca="1">IF(AND('Planning Sheet'!BA492='Weeks Plan'!$D$6,'Planning Sheet'!AU492='Weeks Plan'!$G$6),'Planning Sheet'!$AV492,"")</f>
        <v/>
      </c>
      <c r="AA981" s="48" t="str">
        <f ca="1">IF(AND('Planning Sheet'!BA492='Weeks Plan'!$D$6,'Planning Sheet'!AU492='Weeks Plan'!$G$6),'Planning Sheet'!AW492,"")</f>
        <v/>
      </c>
    </row>
    <row r="982" spans="25:27" x14ac:dyDescent="0.3">
      <c r="Y982" s="48" t="str">
        <f ca="1">IF(AND('Planning Sheet'!BA493='Weeks Plan'!$D$6,'Planning Sheet'!AU493='Weeks Plan'!$G$6),'Planning Sheet'!$B493,"")</f>
        <v/>
      </c>
      <c r="Z982" s="48" t="str">
        <f ca="1">IF(AND('Planning Sheet'!BA493='Weeks Plan'!$D$6,'Planning Sheet'!AU493='Weeks Plan'!$G$6),'Planning Sheet'!$AV493,"")</f>
        <v/>
      </c>
      <c r="AA982" s="48" t="str">
        <f ca="1">IF(AND('Planning Sheet'!BA493='Weeks Plan'!$D$6,'Planning Sheet'!AU493='Weeks Plan'!$G$6),'Planning Sheet'!AW493,"")</f>
        <v/>
      </c>
    </row>
    <row r="983" spans="25:27" x14ac:dyDescent="0.3">
      <c r="Y983" s="48" t="str">
        <f ca="1">IF(AND('Planning Sheet'!BA494='Weeks Plan'!$D$6,'Planning Sheet'!AU494='Weeks Plan'!$G$6),'Planning Sheet'!$B494,"")</f>
        <v/>
      </c>
      <c r="Z983" s="48" t="str">
        <f ca="1">IF(AND('Planning Sheet'!BA494='Weeks Plan'!$D$6,'Planning Sheet'!AU494='Weeks Plan'!$G$6),'Planning Sheet'!$AV494,"")</f>
        <v/>
      </c>
      <c r="AA983" s="48" t="str">
        <f ca="1">IF(AND('Planning Sheet'!BA494='Weeks Plan'!$D$6,'Planning Sheet'!AU494='Weeks Plan'!$G$6),'Planning Sheet'!AW494,"")</f>
        <v/>
      </c>
    </row>
    <row r="984" spans="25:27" x14ac:dyDescent="0.3">
      <c r="Y984" s="48" t="str">
        <f ca="1">IF(AND('Planning Sheet'!BA495='Weeks Plan'!$D$6,'Planning Sheet'!AU495='Weeks Plan'!$G$6),'Planning Sheet'!$B495,"")</f>
        <v/>
      </c>
      <c r="Z984" s="48" t="str">
        <f ca="1">IF(AND('Planning Sheet'!BA495='Weeks Plan'!$D$6,'Planning Sheet'!AU495='Weeks Plan'!$G$6),'Planning Sheet'!$AV495,"")</f>
        <v/>
      </c>
      <c r="AA984" s="48" t="str">
        <f ca="1">IF(AND('Planning Sheet'!BA495='Weeks Plan'!$D$6,'Planning Sheet'!AU495='Weeks Plan'!$G$6),'Planning Sheet'!AW495,"")</f>
        <v/>
      </c>
    </row>
    <row r="985" spans="25:27" x14ac:dyDescent="0.3">
      <c r="Y985" s="48" t="str">
        <f ca="1">IF(AND('Planning Sheet'!BA496='Weeks Plan'!$D$6,'Planning Sheet'!AU496='Weeks Plan'!$G$6),'Planning Sheet'!$B496,"")</f>
        <v/>
      </c>
      <c r="Z985" s="48" t="str">
        <f ca="1">IF(AND('Planning Sheet'!BA496='Weeks Plan'!$D$6,'Planning Sheet'!AU496='Weeks Plan'!$G$6),'Planning Sheet'!$AV496,"")</f>
        <v/>
      </c>
      <c r="AA985" s="48" t="str">
        <f ca="1">IF(AND('Planning Sheet'!BA496='Weeks Plan'!$D$6,'Planning Sheet'!AU496='Weeks Plan'!$G$6),'Planning Sheet'!AW496,"")</f>
        <v/>
      </c>
    </row>
    <row r="986" spans="25:27" x14ac:dyDescent="0.3">
      <c r="Y986" s="48" t="str">
        <f ca="1">IF(AND('Planning Sheet'!BA497='Weeks Plan'!$D$6,'Planning Sheet'!AU497='Weeks Plan'!$G$6),'Planning Sheet'!$B497,"")</f>
        <v/>
      </c>
      <c r="Z986" s="48" t="str">
        <f ca="1">IF(AND('Planning Sheet'!BA497='Weeks Plan'!$D$6,'Planning Sheet'!AU497='Weeks Plan'!$G$6),'Planning Sheet'!$AV497,"")</f>
        <v/>
      </c>
      <c r="AA986" s="48" t="str">
        <f ca="1">IF(AND('Planning Sheet'!BA497='Weeks Plan'!$D$6,'Planning Sheet'!AU497='Weeks Plan'!$G$6),'Planning Sheet'!AW497,"")</f>
        <v/>
      </c>
    </row>
    <row r="987" spans="25:27" x14ac:dyDescent="0.3">
      <c r="Y987" s="48" t="str">
        <f ca="1">IF(AND('Planning Sheet'!BA498='Weeks Plan'!$D$6,'Planning Sheet'!AU498='Weeks Plan'!$G$6),'Planning Sheet'!$B498,"")</f>
        <v/>
      </c>
      <c r="Z987" s="48" t="str">
        <f ca="1">IF(AND('Planning Sheet'!BA498='Weeks Plan'!$D$6,'Planning Sheet'!AU498='Weeks Plan'!$G$6),'Planning Sheet'!$AV498,"")</f>
        <v/>
      </c>
      <c r="AA987" s="48" t="str">
        <f ca="1">IF(AND('Planning Sheet'!BA498='Weeks Plan'!$D$6,'Planning Sheet'!AU498='Weeks Plan'!$G$6),'Planning Sheet'!AW498,"")</f>
        <v/>
      </c>
    </row>
    <row r="988" spans="25:27" x14ac:dyDescent="0.3">
      <c r="Y988" s="48" t="str">
        <f ca="1">IF(AND('Planning Sheet'!BA499='Weeks Plan'!$D$6,'Planning Sheet'!AU499='Weeks Plan'!$G$6),'Planning Sheet'!$B499,"")</f>
        <v/>
      </c>
      <c r="Z988" s="48" t="str">
        <f ca="1">IF(AND('Planning Sheet'!BA499='Weeks Plan'!$D$6,'Planning Sheet'!AU499='Weeks Plan'!$G$6),'Planning Sheet'!$AV499,"")</f>
        <v/>
      </c>
      <c r="AA988" s="48" t="str">
        <f ca="1">IF(AND('Planning Sheet'!BA499='Weeks Plan'!$D$6,'Planning Sheet'!AU499='Weeks Plan'!$G$6),'Planning Sheet'!AW499,"")</f>
        <v/>
      </c>
    </row>
    <row r="989" spans="25:27" x14ac:dyDescent="0.3">
      <c r="Y989" s="48" t="str">
        <f ca="1">IF(AND('Planning Sheet'!BA500='Weeks Plan'!$D$6,'Planning Sheet'!AU500='Weeks Plan'!$G$6),'Planning Sheet'!$B500,"")</f>
        <v/>
      </c>
      <c r="Z989" s="48" t="str">
        <f ca="1">IF(AND('Planning Sheet'!BA500='Weeks Plan'!$D$6,'Planning Sheet'!AU500='Weeks Plan'!$G$6),'Planning Sheet'!$AV500,"")</f>
        <v/>
      </c>
      <c r="AA989" s="48" t="str">
        <f ca="1">IF(AND('Planning Sheet'!BA500='Weeks Plan'!$D$6,'Planning Sheet'!AU500='Weeks Plan'!$G$6),'Planning Sheet'!AW500,"")</f>
        <v/>
      </c>
    </row>
    <row r="990" spans="25:27" x14ac:dyDescent="0.3">
      <c r="AA990" s="8"/>
    </row>
    <row r="991" spans="25:27" x14ac:dyDescent="0.3">
      <c r="Y991" s="47" t="str">
        <f ca="1">IF(AND('Planning Sheet'!BH8='Weeks Plan'!$D$6,'Planning Sheet'!BB8='Weeks Plan'!$G$6),'Planning Sheet'!$B8,"")</f>
        <v/>
      </c>
      <c r="Z991" s="47" t="str">
        <f ca="1">IF(AND('Planning Sheet'!BH8='Weeks Plan'!$D$6,'Planning Sheet'!BB8='Weeks Plan'!$G$6),'Planning Sheet'!$BC8,"")</f>
        <v/>
      </c>
      <c r="AA991" s="47" t="str">
        <f ca="1">IF(AND('Planning Sheet'!BH8='Weeks Plan'!$D$6,'Planning Sheet'!BB8='Weeks Plan'!$G$6),'Planning Sheet'!$BD8,"")</f>
        <v/>
      </c>
    </row>
    <row r="992" spans="25:27" x14ac:dyDescent="0.3">
      <c r="Y992" s="48" t="str">
        <f ca="1">IF(AND('Planning Sheet'!BH9='Weeks Plan'!$D$6,'Planning Sheet'!BB9='Weeks Plan'!$G$6),'Planning Sheet'!$B9,"")</f>
        <v/>
      </c>
      <c r="Z992" s="48" t="str">
        <f ca="1">IF(AND('Planning Sheet'!BH9='Weeks Plan'!$D$6,'Planning Sheet'!BB9='Weeks Plan'!$G$6),'Planning Sheet'!$BC9,"")</f>
        <v/>
      </c>
      <c r="AA992" s="48" t="str">
        <f ca="1">IF(AND('Planning Sheet'!BH9='Weeks Plan'!$D$6,'Planning Sheet'!BB9='Weeks Plan'!$G$6),'Planning Sheet'!$BD9,"")</f>
        <v/>
      </c>
    </row>
    <row r="993" spans="25:27" x14ac:dyDescent="0.3">
      <c r="Y993" s="48" t="str">
        <f ca="1">IF(AND('Planning Sheet'!BH10='Weeks Plan'!$D$6,'Planning Sheet'!BB10='Weeks Plan'!$G$6),'Planning Sheet'!$B10,"")</f>
        <v/>
      </c>
      <c r="Z993" s="48" t="str">
        <f ca="1">IF(AND('Planning Sheet'!BH10='Weeks Plan'!$D$6,'Planning Sheet'!BB10='Weeks Plan'!$G$6),'Planning Sheet'!$BC10,"")</f>
        <v/>
      </c>
      <c r="AA993" s="48" t="str">
        <f ca="1">IF(AND('Planning Sheet'!BH10='Weeks Plan'!$D$6,'Planning Sheet'!BB10='Weeks Plan'!$G$6),'Planning Sheet'!$BD10,"")</f>
        <v/>
      </c>
    </row>
    <row r="994" spans="25:27" x14ac:dyDescent="0.3">
      <c r="Y994" s="48" t="str">
        <f ca="1">IF(AND('Planning Sheet'!BH11='Weeks Plan'!$D$6,'Planning Sheet'!BB11='Weeks Plan'!$G$6),'Planning Sheet'!$B11,"")</f>
        <v/>
      </c>
      <c r="Z994" s="48" t="str">
        <f ca="1">IF(AND('Planning Sheet'!BH11='Weeks Plan'!$D$6,'Planning Sheet'!BB11='Weeks Plan'!$G$6),'Planning Sheet'!$BC11,"")</f>
        <v/>
      </c>
      <c r="AA994" s="48" t="str">
        <f ca="1">IF(AND('Planning Sheet'!BH11='Weeks Plan'!$D$6,'Planning Sheet'!BB11='Weeks Plan'!$G$6),'Planning Sheet'!$BD11,"")</f>
        <v/>
      </c>
    </row>
    <row r="995" spans="25:27" x14ac:dyDescent="0.3">
      <c r="Y995" s="48" t="str">
        <f ca="1">IF(AND('Planning Sheet'!BH12='Weeks Plan'!$D$6,'Planning Sheet'!BB12='Weeks Plan'!$G$6),'Planning Sheet'!$B12,"")</f>
        <v/>
      </c>
      <c r="Z995" s="48" t="str">
        <f ca="1">IF(AND('Planning Sheet'!BH12='Weeks Plan'!$D$6,'Planning Sheet'!BB12='Weeks Plan'!$G$6),'Planning Sheet'!$BC12,"")</f>
        <v/>
      </c>
      <c r="AA995" s="48" t="str">
        <f ca="1">IF(AND('Planning Sheet'!BH12='Weeks Plan'!$D$6,'Planning Sheet'!BB12='Weeks Plan'!$G$6),'Planning Sheet'!$BD12,"")</f>
        <v/>
      </c>
    </row>
    <row r="996" spans="25:27" x14ac:dyDescent="0.3">
      <c r="Y996" s="48" t="str">
        <f ca="1">IF(AND('Planning Sheet'!BH13='Weeks Plan'!$D$6,'Planning Sheet'!BB13='Weeks Plan'!$G$6),'Planning Sheet'!$B13,"")</f>
        <v/>
      </c>
      <c r="Z996" s="48" t="str">
        <f ca="1">IF(AND('Planning Sheet'!BH13='Weeks Plan'!$D$6,'Planning Sheet'!BB13='Weeks Plan'!$G$6),'Planning Sheet'!$BC13,"")</f>
        <v/>
      </c>
      <c r="AA996" s="48" t="str">
        <f ca="1">IF(AND('Planning Sheet'!BH13='Weeks Plan'!$D$6,'Planning Sheet'!BB13='Weeks Plan'!$G$6),'Planning Sheet'!$BD13,"")</f>
        <v/>
      </c>
    </row>
    <row r="997" spans="25:27" x14ac:dyDescent="0.3">
      <c r="Y997" s="48" t="str">
        <f ca="1">IF(AND('Planning Sheet'!BH14='Weeks Plan'!$D$6,'Planning Sheet'!BB14='Weeks Plan'!$G$6),'Planning Sheet'!$B14,"")</f>
        <v/>
      </c>
      <c r="Z997" s="48" t="str">
        <f ca="1">IF(AND('Planning Sheet'!BH14='Weeks Plan'!$D$6,'Planning Sheet'!BB14='Weeks Plan'!$G$6),'Planning Sheet'!$BC14,"")</f>
        <v/>
      </c>
      <c r="AA997" s="48" t="str">
        <f ca="1">IF(AND('Planning Sheet'!BH14='Weeks Plan'!$D$6,'Planning Sheet'!BB14='Weeks Plan'!$G$6),'Planning Sheet'!$BD14,"")</f>
        <v/>
      </c>
    </row>
    <row r="998" spans="25:27" x14ac:dyDescent="0.3">
      <c r="Y998" s="48" t="str">
        <f ca="1">IF(AND('Planning Sheet'!BH15='Weeks Plan'!$D$6,'Planning Sheet'!BB15='Weeks Plan'!$G$6),'Planning Sheet'!$B15,"")</f>
        <v/>
      </c>
      <c r="Z998" s="48" t="str">
        <f ca="1">IF(AND('Planning Sheet'!BH15='Weeks Plan'!$D$6,'Planning Sheet'!BB15='Weeks Plan'!$G$6),'Planning Sheet'!$BC15,"")</f>
        <v/>
      </c>
      <c r="AA998" s="48" t="str">
        <f ca="1">IF(AND('Planning Sheet'!BH15='Weeks Plan'!$D$6,'Planning Sheet'!BB15='Weeks Plan'!$G$6),'Planning Sheet'!$BD15,"")</f>
        <v/>
      </c>
    </row>
    <row r="999" spans="25:27" x14ac:dyDescent="0.3">
      <c r="Y999" s="48" t="str">
        <f ca="1">IF(AND('Planning Sheet'!BH16='Weeks Plan'!$D$6,'Planning Sheet'!BB16='Weeks Plan'!$G$6),'Planning Sheet'!$B16,"")</f>
        <v/>
      </c>
      <c r="Z999" s="48" t="str">
        <f ca="1">IF(AND('Planning Sheet'!BH16='Weeks Plan'!$D$6,'Planning Sheet'!BB16='Weeks Plan'!$G$6),'Planning Sheet'!$BC16,"")</f>
        <v/>
      </c>
      <c r="AA999" s="48" t="str">
        <f ca="1">IF(AND('Planning Sheet'!BH16='Weeks Plan'!$D$6,'Planning Sheet'!BB16='Weeks Plan'!$G$6),'Planning Sheet'!$BD16,"")</f>
        <v/>
      </c>
    </row>
    <row r="1000" spans="25:27" x14ac:dyDescent="0.3">
      <c r="Y1000" s="48" t="str">
        <f ca="1">IF(AND('Planning Sheet'!BH17='Weeks Plan'!$D$6,'Planning Sheet'!BB17='Weeks Plan'!$G$6),'Planning Sheet'!$B17,"")</f>
        <v/>
      </c>
      <c r="Z1000" s="48" t="str">
        <f ca="1">IF(AND('Planning Sheet'!BH17='Weeks Plan'!$D$6,'Planning Sheet'!BB17='Weeks Plan'!$G$6),'Planning Sheet'!$BC17,"")</f>
        <v/>
      </c>
      <c r="AA1000" s="48" t="str">
        <f ca="1">IF(AND('Planning Sheet'!BH17='Weeks Plan'!$D$6,'Planning Sheet'!BB17='Weeks Plan'!$G$6),'Planning Sheet'!$BD17,"")</f>
        <v/>
      </c>
    </row>
    <row r="1001" spans="25:27" x14ac:dyDescent="0.3">
      <c r="Y1001" s="48" t="str">
        <f ca="1">IF(AND('Planning Sheet'!BH18='Weeks Plan'!$D$6,'Planning Sheet'!BB18='Weeks Plan'!$G$6),'Planning Sheet'!$B18,"")</f>
        <v/>
      </c>
      <c r="Z1001" s="48" t="str">
        <f ca="1">IF(AND('Planning Sheet'!BH18='Weeks Plan'!$D$6,'Planning Sheet'!BB18='Weeks Plan'!$G$6),'Planning Sheet'!$BC18,"")</f>
        <v/>
      </c>
      <c r="AA1001" s="48" t="str">
        <f ca="1">IF(AND('Planning Sheet'!BH18='Weeks Plan'!$D$6,'Planning Sheet'!BB18='Weeks Plan'!$G$6),'Planning Sheet'!$BD18,"")</f>
        <v/>
      </c>
    </row>
    <row r="1002" spans="25:27" x14ac:dyDescent="0.3">
      <c r="Y1002" s="48" t="str">
        <f ca="1">IF(AND('Planning Sheet'!BH19='Weeks Plan'!$D$6,'Planning Sheet'!BB19='Weeks Plan'!$G$6),'Planning Sheet'!$B19,"")</f>
        <v/>
      </c>
      <c r="Z1002" s="48" t="str">
        <f ca="1">IF(AND('Planning Sheet'!BH19='Weeks Plan'!$D$6,'Planning Sheet'!BB19='Weeks Plan'!$G$6),'Planning Sheet'!$BC19,"")</f>
        <v/>
      </c>
      <c r="AA1002" s="48" t="str">
        <f ca="1">IF(AND('Planning Sheet'!BH19='Weeks Plan'!$D$6,'Planning Sheet'!BB19='Weeks Plan'!$G$6),'Planning Sheet'!$BD19,"")</f>
        <v/>
      </c>
    </row>
    <row r="1003" spans="25:27" x14ac:dyDescent="0.3">
      <c r="Y1003" s="48" t="str">
        <f ca="1">IF(AND('Planning Sheet'!BH20='Weeks Plan'!$D$6,'Planning Sheet'!BB20='Weeks Plan'!$G$6),'Planning Sheet'!$B20,"")</f>
        <v/>
      </c>
      <c r="Z1003" s="48" t="str">
        <f ca="1">IF(AND('Planning Sheet'!BH20='Weeks Plan'!$D$6,'Planning Sheet'!BB20='Weeks Plan'!$G$6),'Planning Sheet'!$BC20,"")</f>
        <v/>
      </c>
      <c r="AA1003" s="48" t="str">
        <f ca="1">IF(AND('Planning Sheet'!BH20='Weeks Plan'!$D$6,'Planning Sheet'!BB20='Weeks Plan'!$G$6),'Planning Sheet'!$BD20,"")</f>
        <v/>
      </c>
    </row>
    <row r="1004" spans="25:27" x14ac:dyDescent="0.3">
      <c r="Y1004" s="48" t="str">
        <f ca="1">IF(AND('Planning Sheet'!BH21='Weeks Plan'!$D$6,'Planning Sheet'!BB21='Weeks Plan'!$G$6),'Planning Sheet'!$B21,"")</f>
        <v/>
      </c>
      <c r="Z1004" s="48" t="str">
        <f ca="1">IF(AND('Planning Sheet'!BH21='Weeks Plan'!$D$6,'Planning Sheet'!BB21='Weeks Plan'!$G$6),'Planning Sheet'!$BC21,"")</f>
        <v/>
      </c>
      <c r="AA1004" s="48" t="str">
        <f ca="1">IF(AND('Planning Sheet'!BH21='Weeks Plan'!$D$6,'Planning Sheet'!BB21='Weeks Plan'!$G$6),'Planning Sheet'!$BD21,"")</f>
        <v/>
      </c>
    </row>
    <row r="1005" spans="25:27" x14ac:dyDescent="0.3">
      <c r="Y1005" s="48" t="str">
        <f ca="1">IF(AND('Planning Sheet'!BH22='Weeks Plan'!$D$6,'Planning Sheet'!BB22='Weeks Plan'!$G$6),'Planning Sheet'!$B22,"")</f>
        <v/>
      </c>
      <c r="Z1005" s="48" t="str">
        <f ca="1">IF(AND('Planning Sheet'!BH22='Weeks Plan'!$D$6,'Planning Sheet'!BB22='Weeks Plan'!$G$6),'Planning Sheet'!$BC22,"")</f>
        <v/>
      </c>
      <c r="AA1005" s="48" t="str">
        <f ca="1">IF(AND('Planning Sheet'!BH22='Weeks Plan'!$D$6,'Planning Sheet'!BB22='Weeks Plan'!$G$6),'Planning Sheet'!$BD22,"")</f>
        <v/>
      </c>
    </row>
    <row r="1006" spans="25:27" x14ac:dyDescent="0.3">
      <c r="Y1006" s="48" t="str">
        <f ca="1">IF(AND('Planning Sheet'!BH23='Weeks Plan'!$D$6,'Planning Sheet'!BB23='Weeks Plan'!$G$6),'Planning Sheet'!$B23,"")</f>
        <v/>
      </c>
      <c r="Z1006" s="48" t="str">
        <f ca="1">IF(AND('Planning Sheet'!BH23='Weeks Plan'!$D$6,'Planning Sheet'!BB23='Weeks Plan'!$G$6),'Planning Sheet'!$BC23,"")</f>
        <v/>
      </c>
      <c r="AA1006" s="48" t="str">
        <f ca="1">IF(AND('Planning Sheet'!BH23='Weeks Plan'!$D$6,'Planning Sheet'!BB23='Weeks Plan'!$G$6),'Planning Sheet'!$BD23,"")</f>
        <v/>
      </c>
    </row>
    <row r="1007" spans="25:27" x14ac:dyDescent="0.3">
      <c r="Y1007" s="48" t="str">
        <f ca="1">IF(AND('Planning Sheet'!BH24='Weeks Plan'!$D$6,'Planning Sheet'!BB24='Weeks Plan'!$G$6),'Planning Sheet'!$B24,"")</f>
        <v/>
      </c>
      <c r="Z1007" s="48" t="str">
        <f ca="1">IF(AND('Planning Sheet'!BH24='Weeks Plan'!$D$6,'Planning Sheet'!BB24='Weeks Plan'!$G$6),'Planning Sheet'!$BC24,"")</f>
        <v/>
      </c>
      <c r="AA1007" s="48" t="str">
        <f ca="1">IF(AND('Planning Sheet'!BH24='Weeks Plan'!$D$6,'Planning Sheet'!BB24='Weeks Plan'!$G$6),'Planning Sheet'!$BD24,"")</f>
        <v/>
      </c>
    </row>
    <row r="1008" spans="25:27" x14ac:dyDescent="0.3">
      <c r="Y1008" s="48" t="str">
        <f ca="1">IF(AND('Planning Sheet'!BH25='Weeks Plan'!$D$6,'Planning Sheet'!BB25='Weeks Plan'!$G$6),'Planning Sheet'!$B25,"")</f>
        <v/>
      </c>
      <c r="Z1008" s="48" t="str">
        <f ca="1">IF(AND('Planning Sheet'!BH25='Weeks Plan'!$D$6,'Planning Sheet'!BB25='Weeks Plan'!$G$6),'Planning Sheet'!$BC25,"")</f>
        <v/>
      </c>
      <c r="AA1008" s="48" t="str">
        <f ca="1">IF(AND('Planning Sheet'!BH25='Weeks Plan'!$D$6,'Planning Sheet'!BB25='Weeks Plan'!$G$6),'Planning Sheet'!$BD25,"")</f>
        <v/>
      </c>
    </row>
    <row r="1009" spans="25:27" x14ac:dyDescent="0.3">
      <c r="Y1009" s="48" t="str">
        <f ca="1">IF(AND('Planning Sheet'!BH26='Weeks Plan'!$D$6,'Planning Sheet'!BB26='Weeks Plan'!$G$6),'Planning Sheet'!$B26,"")</f>
        <v/>
      </c>
      <c r="Z1009" s="48" t="str">
        <f ca="1">IF(AND('Planning Sheet'!BH26='Weeks Plan'!$D$6,'Planning Sheet'!BB26='Weeks Plan'!$G$6),'Planning Sheet'!$BC26,"")</f>
        <v/>
      </c>
      <c r="AA1009" s="48" t="str">
        <f ca="1">IF(AND('Planning Sheet'!BH26='Weeks Plan'!$D$6,'Planning Sheet'!BB26='Weeks Plan'!$G$6),'Planning Sheet'!$BD26,"")</f>
        <v/>
      </c>
    </row>
    <row r="1010" spans="25:27" x14ac:dyDescent="0.3">
      <c r="Y1010" s="48" t="str">
        <f ca="1">IF(AND('Planning Sheet'!BH27='Weeks Plan'!$D$6,'Planning Sheet'!BB27='Weeks Plan'!$G$6),'Planning Sheet'!$B27,"")</f>
        <v/>
      </c>
      <c r="Z1010" s="48" t="str">
        <f ca="1">IF(AND('Planning Sheet'!BH27='Weeks Plan'!$D$6,'Planning Sheet'!BB27='Weeks Plan'!$G$6),'Planning Sheet'!$BC27,"")</f>
        <v/>
      </c>
      <c r="AA1010" s="48" t="str">
        <f ca="1">IF(AND('Planning Sheet'!BH27='Weeks Plan'!$D$6,'Planning Sheet'!BB27='Weeks Plan'!$G$6),'Planning Sheet'!$BD27,"")</f>
        <v/>
      </c>
    </row>
    <row r="1011" spans="25:27" x14ac:dyDescent="0.3">
      <c r="Y1011" s="48" t="str">
        <f ca="1">IF(AND('Planning Sheet'!BH28='Weeks Plan'!$D$6,'Planning Sheet'!BB28='Weeks Plan'!$G$6),'Planning Sheet'!$B28,"")</f>
        <v/>
      </c>
      <c r="Z1011" s="48" t="str">
        <f ca="1">IF(AND('Planning Sheet'!BH28='Weeks Plan'!$D$6,'Planning Sheet'!BB28='Weeks Plan'!$G$6),'Planning Sheet'!$BC28,"")</f>
        <v/>
      </c>
      <c r="AA1011" s="48" t="str">
        <f ca="1">IF(AND('Planning Sheet'!BH28='Weeks Plan'!$D$6,'Planning Sheet'!BB28='Weeks Plan'!$G$6),'Planning Sheet'!$BD28,"")</f>
        <v/>
      </c>
    </row>
    <row r="1012" spans="25:27" x14ac:dyDescent="0.3">
      <c r="Y1012" s="48" t="str">
        <f ca="1">IF(AND('Planning Sheet'!BH29='Weeks Plan'!$D$6,'Planning Sheet'!BB29='Weeks Plan'!$G$6),'Planning Sheet'!$B29,"")</f>
        <v/>
      </c>
      <c r="Z1012" s="48" t="str">
        <f ca="1">IF(AND('Planning Sheet'!BH29='Weeks Plan'!$D$6,'Planning Sheet'!BB29='Weeks Plan'!$G$6),'Planning Sheet'!$BC29,"")</f>
        <v/>
      </c>
      <c r="AA1012" s="48" t="str">
        <f ca="1">IF(AND('Planning Sheet'!BH29='Weeks Plan'!$D$6,'Planning Sheet'!BB29='Weeks Plan'!$G$6),'Planning Sheet'!$BD29,"")</f>
        <v/>
      </c>
    </row>
    <row r="1013" spans="25:27" x14ac:dyDescent="0.3">
      <c r="Y1013" s="48" t="str">
        <f ca="1">IF(AND('Planning Sheet'!BH30='Weeks Plan'!$D$6,'Planning Sheet'!BB30='Weeks Plan'!$G$6),'Planning Sheet'!$B30,"")</f>
        <v/>
      </c>
      <c r="Z1013" s="48" t="str">
        <f ca="1">IF(AND('Planning Sheet'!BH30='Weeks Plan'!$D$6,'Planning Sheet'!BB30='Weeks Plan'!$G$6),'Planning Sheet'!$BC30,"")</f>
        <v/>
      </c>
      <c r="AA1013" s="48" t="str">
        <f ca="1">IF(AND('Planning Sheet'!BH30='Weeks Plan'!$D$6,'Planning Sheet'!BB30='Weeks Plan'!$G$6),'Planning Sheet'!$BD30,"")</f>
        <v/>
      </c>
    </row>
    <row r="1014" spans="25:27" x14ac:dyDescent="0.3">
      <c r="Y1014" s="48" t="str">
        <f ca="1">IF(AND('Planning Sheet'!BH31='Weeks Plan'!$D$6,'Planning Sheet'!BB31='Weeks Plan'!$G$6),'Planning Sheet'!$B31,"")</f>
        <v/>
      </c>
      <c r="Z1014" s="48" t="str">
        <f ca="1">IF(AND('Planning Sheet'!BH31='Weeks Plan'!$D$6,'Planning Sheet'!BB31='Weeks Plan'!$G$6),'Planning Sheet'!$BC31,"")</f>
        <v/>
      </c>
      <c r="AA1014" s="48" t="str">
        <f ca="1">IF(AND('Planning Sheet'!BH31='Weeks Plan'!$D$6,'Planning Sheet'!BB31='Weeks Plan'!$G$6),'Planning Sheet'!$BD31,"")</f>
        <v/>
      </c>
    </row>
    <row r="1015" spans="25:27" x14ac:dyDescent="0.3">
      <c r="Y1015" s="48" t="str">
        <f ca="1">IF(AND('Planning Sheet'!BH32='Weeks Plan'!$D$6,'Planning Sheet'!BB32='Weeks Plan'!$G$6),'Planning Sheet'!$B32,"")</f>
        <v/>
      </c>
      <c r="Z1015" s="48" t="str">
        <f ca="1">IF(AND('Planning Sheet'!BH32='Weeks Plan'!$D$6,'Planning Sheet'!BB32='Weeks Plan'!$G$6),'Planning Sheet'!$BC32,"")</f>
        <v/>
      </c>
      <c r="AA1015" s="48" t="str">
        <f ca="1">IF(AND('Planning Sheet'!BH32='Weeks Plan'!$D$6,'Planning Sheet'!BB32='Weeks Plan'!$G$6),'Planning Sheet'!$BD32,"")</f>
        <v/>
      </c>
    </row>
    <row r="1016" spans="25:27" x14ac:dyDescent="0.3">
      <c r="Y1016" s="48" t="str">
        <f ca="1">IF(AND('Planning Sheet'!BH33='Weeks Plan'!$D$6,'Planning Sheet'!BB33='Weeks Plan'!$G$6),'Planning Sheet'!$B33,"")</f>
        <v/>
      </c>
      <c r="Z1016" s="48" t="str">
        <f ca="1">IF(AND('Planning Sheet'!BH33='Weeks Plan'!$D$6,'Planning Sheet'!BB33='Weeks Plan'!$G$6),'Planning Sheet'!$BC33,"")</f>
        <v/>
      </c>
      <c r="AA1016" s="48" t="str">
        <f ca="1">IF(AND('Planning Sheet'!BH33='Weeks Plan'!$D$6,'Planning Sheet'!BB33='Weeks Plan'!$G$6),'Planning Sheet'!$BD33,"")</f>
        <v/>
      </c>
    </row>
    <row r="1017" spans="25:27" x14ac:dyDescent="0.3">
      <c r="Y1017" s="48" t="str">
        <f ca="1">IF(AND('Planning Sheet'!BH34='Weeks Plan'!$D$6,'Planning Sheet'!BB34='Weeks Plan'!$G$6),'Planning Sheet'!$B34,"")</f>
        <v/>
      </c>
      <c r="Z1017" s="48" t="str">
        <f ca="1">IF(AND('Planning Sheet'!BH34='Weeks Plan'!$D$6,'Planning Sheet'!BB34='Weeks Plan'!$G$6),'Planning Sheet'!$BC34,"")</f>
        <v/>
      </c>
      <c r="AA1017" s="48" t="str">
        <f ca="1">IF(AND('Planning Sheet'!BH34='Weeks Plan'!$D$6,'Planning Sheet'!BB34='Weeks Plan'!$G$6),'Planning Sheet'!$BD34,"")</f>
        <v/>
      </c>
    </row>
    <row r="1018" spans="25:27" x14ac:dyDescent="0.3">
      <c r="Y1018" s="48" t="str">
        <f ca="1">IF(AND('Planning Sheet'!BH35='Weeks Plan'!$D$6,'Planning Sheet'!BB35='Weeks Plan'!$G$6),'Planning Sheet'!$B35,"")</f>
        <v/>
      </c>
      <c r="Z1018" s="48" t="str">
        <f ca="1">IF(AND('Planning Sheet'!BH35='Weeks Plan'!$D$6,'Planning Sheet'!BB35='Weeks Plan'!$G$6),'Planning Sheet'!$BC35,"")</f>
        <v/>
      </c>
      <c r="AA1018" s="48" t="str">
        <f ca="1">IF(AND('Planning Sheet'!BH35='Weeks Plan'!$D$6,'Planning Sheet'!BB35='Weeks Plan'!$G$6),'Planning Sheet'!$BD35,"")</f>
        <v/>
      </c>
    </row>
    <row r="1019" spans="25:27" x14ac:dyDescent="0.3">
      <c r="Y1019" s="48" t="str">
        <f ca="1">IF(AND('Planning Sheet'!BH36='Weeks Plan'!$D$6,'Planning Sheet'!BB36='Weeks Plan'!$G$6),'Planning Sheet'!$B36,"")</f>
        <v/>
      </c>
      <c r="Z1019" s="48" t="str">
        <f ca="1">IF(AND('Planning Sheet'!BH36='Weeks Plan'!$D$6,'Planning Sheet'!BB36='Weeks Plan'!$G$6),'Planning Sheet'!$BC36,"")</f>
        <v/>
      </c>
      <c r="AA1019" s="48" t="str">
        <f ca="1">IF(AND('Planning Sheet'!BH36='Weeks Plan'!$D$6,'Planning Sheet'!BB36='Weeks Plan'!$G$6),'Planning Sheet'!$BD36,"")</f>
        <v/>
      </c>
    </row>
    <row r="1020" spans="25:27" x14ac:dyDescent="0.3">
      <c r="Y1020" s="48" t="str">
        <f ca="1">IF(AND('Planning Sheet'!BH37='Weeks Plan'!$D$6,'Planning Sheet'!BB37='Weeks Plan'!$G$6),'Planning Sheet'!$B37,"")</f>
        <v/>
      </c>
      <c r="Z1020" s="48" t="str">
        <f ca="1">IF(AND('Planning Sheet'!BH37='Weeks Plan'!$D$6,'Planning Sheet'!BB37='Weeks Plan'!$G$6),'Planning Sheet'!$BC37,"")</f>
        <v/>
      </c>
      <c r="AA1020" s="48" t="str">
        <f ca="1">IF(AND('Planning Sheet'!BH37='Weeks Plan'!$D$6,'Planning Sheet'!BB37='Weeks Plan'!$G$6),'Planning Sheet'!$BD37,"")</f>
        <v/>
      </c>
    </row>
    <row r="1021" spans="25:27" x14ac:dyDescent="0.3">
      <c r="Y1021" s="48" t="str">
        <f ca="1">IF(AND('Planning Sheet'!BH38='Weeks Plan'!$D$6,'Planning Sheet'!BB38='Weeks Plan'!$G$6),'Planning Sheet'!$B38,"")</f>
        <v/>
      </c>
      <c r="Z1021" s="48" t="str">
        <f ca="1">IF(AND('Planning Sheet'!BH38='Weeks Plan'!$D$6,'Planning Sheet'!BB38='Weeks Plan'!$G$6),'Planning Sheet'!$BC38,"")</f>
        <v/>
      </c>
      <c r="AA1021" s="48" t="str">
        <f ca="1">IF(AND('Planning Sheet'!BH38='Weeks Plan'!$D$6,'Planning Sheet'!BB38='Weeks Plan'!$G$6),'Planning Sheet'!$BD38,"")</f>
        <v/>
      </c>
    </row>
    <row r="1022" spans="25:27" x14ac:dyDescent="0.3">
      <c r="Y1022" s="48" t="str">
        <f ca="1">IF(AND('Planning Sheet'!BH39='Weeks Plan'!$D$6,'Planning Sheet'!BB39='Weeks Plan'!$G$6),'Planning Sheet'!$B39,"")</f>
        <v/>
      </c>
      <c r="Z1022" s="48" t="str">
        <f ca="1">IF(AND('Planning Sheet'!BH39='Weeks Plan'!$D$6,'Planning Sheet'!BB39='Weeks Plan'!$G$6),'Planning Sheet'!$BC39,"")</f>
        <v/>
      </c>
      <c r="AA1022" s="48" t="str">
        <f ca="1">IF(AND('Planning Sheet'!BH39='Weeks Plan'!$D$6,'Planning Sheet'!BB39='Weeks Plan'!$G$6),'Planning Sheet'!$BD39,"")</f>
        <v/>
      </c>
    </row>
    <row r="1023" spans="25:27" x14ac:dyDescent="0.3">
      <c r="Y1023" s="48" t="str">
        <f ca="1">IF(AND('Planning Sheet'!BH40='Weeks Plan'!$D$6,'Planning Sheet'!BB40='Weeks Plan'!$G$6),'Planning Sheet'!$B40,"")</f>
        <v/>
      </c>
      <c r="Z1023" s="48" t="str">
        <f ca="1">IF(AND('Planning Sheet'!BH40='Weeks Plan'!$D$6,'Planning Sheet'!BB40='Weeks Plan'!$G$6),'Planning Sheet'!$BC40,"")</f>
        <v/>
      </c>
      <c r="AA1023" s="48" t="str">
        <f ca="1">IF(AND('Planning Sheet'!BH40='Weeks Plan'!$D$6,'Planning Sheet'!BB40='Weeks Plan'!$G$6),'Planning Sheet'!$BD40,"")</f>
        <v/>
      </c>
    </row>
    <row r="1024" spans="25:27" x14ac:dyDescent="0.3">
      <c r="Y1024" s="48" t="str">
        <f ca="1">IF(AND('Planning Sheet'!BH41='Weeks Plan'!$D$6,'Planning Sheet'!BB41='Weeks Plan'!$G$6),'Planning Sheet'!$B41,"")</f>
        <v/>
      </c>
      <c r="Z1024" s="48" t="str">
        <f ca="1">IF(AND('Planning Sheet'!BH41='Weeks Plan'!$D$6,'Planning Sheet'!BB41='Weeks Plan'!$G$6),'Planning Sheet'!$BC41,"")</f>
        <v/>
      </c>
      <c r="AA1024" s="48" t="str">
        <f ca="1">IF(AND('Planning Sheet'!BH41='Weeks Plan'!$D$6,'Planning Sheet'!BB41='Weeks Plan'!$G$6),'Planning Sheet'!$BD41,"")</f>
        <v/>
      </c>
    </row>
    <row r="1025" spans="25:27" x14ac:dyDescent="0.3">
      <c r="Y1025" s="48" t="str">
        <f ca="1">IF(AND('Planning Sheet'!BH42='Weeks Plan'!$D$6,'Planning Sheet'!BB42='Weeks Plan'!$G$6),'Planning Sheet'!$B42,"")</f>
        <v/>
      </c>
      <c r="Z1025" s="48" t="str">
        <f ca="1">IF(AND('Planning Sheet'!BH42='Weeks Plan'!$D$6,'Planning Sheet'!BB42='Weeks Plan'!$G$6),'Planning Sheet'!$BC42,"")</f>
        <v/>
      </c>
      <c r="AA1025" s="48" t="str">
        <f ca="1">IF(AND('Planning Sheet'!BH42='Weeks Plan'!$D$6,'Planning Sheet'!BB42='Weeks Plan'!$G$6),'Planning Sheet'!$BD42,"")</f>
        <v/>
      </c>
    </row>
    <row r="1026" spans="25:27" x14ac:dyDescent="0.3">
      <c r="Y1026" s="48" t="str">
        <f ca="1">IF(AND('Planning Sheet'!BH43='Weeks Plan'!$D$6,'Planning Sheet'!BB43='Weeks Plan'!$G$6),'Planning Sheet'!$B43,"")</f>
        <v/>
      </c>
      <c r="Z1026" s="48" t="str">
        <f ca="1">IF(AND('Planning Sheet'!BH43='Weeks Plan'!$D$6,'Planning Sheet'!BB43='Weeks Plan'!$G$6),'Planning Sheet'!$BC43,"")</f>
        <v/>
      </c>
      <c r="AA1026" s="48" t="str">
        <f ca="1">IF(AND('Planning Sheet'!BH43='Weeks Plan'!$D$6,'Planning Sheet'!BB43='Weeks Plan'!$G$6),'Planning Sheet'!$BD43,"")</f>
        <v/>
      </c>
    </row>
    <row r="1027" spans="25:27" x14ac:dyDescent="0.3">
      <c r="Y1027" s="48" t="str">
        <f ca="1">IF(AND('Planning Sheet'!BH44='Weeks Plan'!$D$6,'Planning Sheet'!BB44='Weeks Plan'!$G$6),'Planning Sheet'!$B44,"")</f>
        <v/>
      </c>
      <c r="Z1027" s="48" t="str">
        <f ca="1">IF(AND('Planning Sheet'!BH44='Weeks Plan'!$D$6,'Planning Sheet'!BB44='Weeks Plan'!$G$6),'Planning Sheet'!$BC44,"")</f>
        <v/>
      </c>
      <c r="AA1027" s="48" t="str">
        <f ca="1">IF(AND('Planning Sheet'!BH44='Weeks Plan'!$D$6,'Planning Sheet'!BB44='Weeks Plan'!$G$6),'Planning Sheet'!$BD44,"")</f>
        <v/>
      </c>
    </row>
    <row r="1028" spans="25:27" x14ac:dyDescent="0.3">
      <c r="Y1028" s="48" t="str">
        <f ca="1">IF(AND('Planning Sheet'!BH45='Weeks Plan'!$D$6,'Planning Sheet'!BB45='Weeks Plan'!$G$6),'Planning Sheet'!$B45,"")</f>
        <v/>
      </c>
      <c r="Z1028" s="48" t="str">
        <f ca="1">IF(AND('Planning Sheet'!BH45='Weeks Plan'!$D$6,'Planning Sheet'!BB45='Weeks Plan'!$G$6),'Planning Sheet'!$BC45,"")</f>
        <v/>
      </c>
      <c r="AA1028" s="48" t="str">
        <f ca="1">IF(AND('Planning Sheet'!BH45='Weeks Plan'!$D$6,'Planning Sheet'!BB45='Weeks Plan'!$G$6),'Planning Sheet'!$BD45,"")</f>
        <v/>
      </c>
    </row>
    <row r="1029" spans="25:27" x14ac:dyDescent="0.3">
      <c r="Y1029" s="48" t="str">
        <f ca="1">IF(AND('Planning Sheet'!BH46='Weeks Plan'!$D$6,'Planning Sheet'!BB46='Weeks Plan'!$G$6),'Planning Sheet'!$B46,"")</f>
        <v/>
      </c>
      <c r="Z1029" s="48" t="str">
        <f ca="1">IF(AND('Planning Sheet'!BH46='Weeks Plan'!$D$6,'Planning Sheet'!BB46='Weeks Plan'!$G$6),'Planning Sheet'!$BC46,"")</f>
        <v/>
      </c>
      <c r="AA1029" s="48" t="str">
        <f ca="1">IF(AND('Planning Sheet'!BH46='Weeks Plan'!$D$6,'Planning Sheet'!BB46='Weeks Plan'!$G$6),'Planning Sheet'!$BD46,"")</f>
        <v/>
      </c>
    </row>
    <row r="1030" spans="25:27" x14ac:dyDescent="0.3">
      <c r="Y1030" s="48" t="str">
        <f ca="1">IF(AND('Planning Sheet'!BH47='Weeks Plan'!$D$6,'Planning Sheet'!BB47='Weeks Plan'!$G$6),'Planning Sheet'!$B47,"")</f>
        <v/>
      </c>
      <c r="Z1030" s="48" t="str">
        <f ca="1">IF(AND('Planning Sheet'!BH47='Weeks Plan'!$D$6,'Planning Sheet'!BB47='Weeks Plan'!$G$6),'Planning Sheet'!$BC47,"")</f>
        <v/>
      </c>
      <c r="AA1030" s="48" t="str">
        <f ca="1">IF(AND('Planning Sheet'!BH47='Weeks Plan'!$D$6,'Planning Sheet'!BB47='Weeks Plan'!$G$6),'Planning Sheet'!$BD47,"")</f>
        <v/>
      </c>
    </row>
    <row r="1031" spans="25:27" x14ac:dyDescent="0.3">
      <c r="Y1031" s="48" t="str">
        <f ca="1">IF(AND('Planning Sheet'!BH48='Weeks Plan'!$D$6,'Planning Sheet'!BB48='Weeks Plan'!$G$6),'Planning Sheet'!$B48,"")</f>
        <v/>
      </c>
      <c r="Z1031" s="48" t="str">
        <f ca="1">IF(AND('Planning Sheet'!BH48='Weeks Plan'!$D$6,'Planning Sheet'!BB48='Weeks Plan'!$G$6),'Planning Sheet'!$BC48,"")</f>
        <v/>
      </c>
      <c r="AA1031" s="48" t="str">
        <f ca="1">IF(AND('Planning Sheet'!BH48='Weeks Plan'!$D$6,'Planning Sheet'!BB48='Weeks Plan'!$G$6),'Planning Sheet'!$BD48,"")</f>
        <v/>
      </c>
    </row>
    <row r="1032" spans="25:27" x14ac:dyDescent="0.3">
      <c r="Y1032" s="48" t="str">
        <f ca="1">IF(AND('Planning Sheet'!BH49='Weeks Plan'!$D$6,'Planning Sheet'!BB49='Weeks Plan'!$G$6),'Planning Sheet'!$B49,"")</f>
        <v/>
      </c>
      <c r="Z1032" s="48" t="str">
        <f ca="1">IF(AND('Planning Sheet'!BH49='Weeks Plan'!$D$6,'Planning Sheet'!BB49='Weeks Plan'!$G$6),'Planning Sheet'!$BC49,"")</f>
        <v/>
      </c>
      <c r="AA1032" s="48" t="str">
        <f ca="1">IF(AND('Planning Sheet'!BH49='Weeks Plan'!$D$6,'Planning Sheet'!BB49='Weeks Plan'!$G$6),'Planning Sheet'!$BD49,"")</f>
        <v/>
      </c>
    </row>
    <row r="1033" spans="25:27" x14ac:dyDescent="0.3">
      <c r="Y1033" s="48" t="str">
        <f ca="1">IF(AND('Planning Sheet'!BH50='Weeks Plan'!$D$6,'Planning Sheet'!BB50='Weeks Plan'!$G$6),'Planning Sheet'!$B50,"")</f>
        <v/>
      </c>
      <c r="Z1033" s="48" t="str">
        <f ca="1">IF(AND('Planning Sheet'!BH50='Weeks Plan'!$D$6,'Planning Sheet'!BB50='Weeks Plan'!$G$6),'Planning Sheet'!$BC50,"")</f>
        <v/>
      </c>
      <c r="AA1033" s="48" t="str">
        <f ca="1">IF(AND('Planning Sheet'!BH50='Weeks Plan'!$D$6,'Planning Sheet'!BB50='Weeks Plan'!$G$6),'Planning Sheet'!$BD50,"")</f>
        <v/>
      </c>
    </row>
    <row r="1034" spans="25:27" x14ac:dyDescent="0.3">
      <c r="Y1034" s="48" t="str">
        <f ca="1">IF(AND('Planning Sheet'!BH51='Weeks Plan'!$D$6,'Planning Sheet'!BB51='Weeks Plan'!$G$6),'Planning Sheet'!$B51,"")</f>
        <v/>
      </c>
      <c r="Z1034" s="48" t="str">
        <f ca="1">IF(AND('Planning Sheet'!BH51='Weeks Plan'!$D$6,'Planning Sheet'!BB51='Weeks Plan'!$G$6),'Planning Sheet'!$BC51,"")</f>
        <v/>
      </c>
      <c r="AA1034" s="48" t="str">
        <f ca="1">IF(AND('Planning Sheet'!BH51='Weeks Plan'!$D$6,'Planning Sheet'!BB51='Weeks Plan'!$G$6),'Planning Sheet'!$BD51,"")</f>
        <v/>
      </c>
    </row>
    <row r="1035" spans="25:27" x14ac:dyDescent="0.3">
      <c r="Y1035" s="48" t="str">
        <f ca="1">IF(AND('Planning Sheet'!BH52='Weeks Plan'!$D$6,'Planning Sheet'!BB52='Weeks Plan'!$G$6),'Planning Sheet'!$B52,"")</f>
        <v/>
      </c>
      <c r="Z1035" s="48" t="str">
        <f ca="1">IF(AND('Planning Sheet'!BH52='Weeks Plan'!$D$6,'Planning Sheet'!BB52='Weeks Plan'!$G$6),'Planning Sheet'!$BC52,"")</f>
        <v/>
      </c>
      <c r="AA1035" s="48" t="str">
        <f ca="1">IF(AND('Planning Sheet'!BH52='Weeks Plan'!$D$6,'Planning Sheet'!BB52='Weeks Plan'!$G$6),'Planning Sheet'!$BD52,"")</f>
        <v/>
      </c>
    </row>
    <row r="1036" spans="25:27" x14ac:dyDescent="0.3">
      <c r="Y1036" s="48" t="str">
        <f ca="1">IF(AND('Planning Sheet'!BH53='Weeks Plan'!$D$6,'Planning Sheet'!BB53='Weeks Plan'!$G$6),'Planning Sheet'!$B53,"")</f>
        <v/>
      </c>
      <c r="Z1036" s="48" t="str">
        <f ca="1">IF(AND('Planning Sheet'!BH53='Weeks Plan'!$D$6,'Planning Sheet'!BB53='Weeks Plan'!$G$6),'Planning Sheet'!$BC53,"")</f>
        <v/>
      </c>
      <c r="AA1036" s="48" t="str">
        <f ca="1">IF(AND('Planning Sheet'!BH53='Weeks Plan'!$D$6,'Planning Sheet'!BB53='Weeks Plan'!$G$6),'Planning Sheet'!$BD53,"")</f>
        <v/>
      </c>
    </row>
    <row r="1037" spans="25:27" x14ac:dyDescent="0.3">
      <c r="Y1037" s="48" t="str">
        <f ca="1">IF(AND('Planning Sheet'!BH54='Weeks Plan'!$D$6,'Planning Sheet'!BB54='Weeks Plan'!$G$6),'Planning Sheet'!$B54,"")</f>
        <v/>
      </c>
      <c r="Z1037" s="48" t="str">
        <f ca="1">IF(AND('Planning Sheet'!BH54='Weeks Plan'!$D$6,'Planning Sheet'!BB54='Weeks Plan'!$G$6),'Planning Sheet'!$BC54,"")</f>
        <v/>
      </c>
      <c r="AA1037" s="48" t="str">
        <f ca="1">IF(AND('Planning Sheet'!BH54='Weeks Plan'!$D$6,'Planning Sheet'!BB54='Weeks Plan'!$G$6),'Planning Sheet'!$BD54,"")</f>
        <v/>
      </c>
    </row>
    <row r="1038" spans="25:27" x14ac:dyDescent="0.3">
      <c r="Y1038" s="48" t="str">
        <f ca="1">IF(AND('Planning Sheet'!BH55='Weeks Plan'!$D$6,'Planning Sheet'!BB55='Weeks Plan'!$G$6),'Planning Sheet'!$B55,"")</f>
        <v/>
      </c>
      <c r="Z1038" s="48" t="str">
        <f ca="1">IF(AND('Planning Sheet'!BH55='Weeks Plan'!$D$6,'Planning Sheet'!BB55='Weeks Plan'!$G$6),'Planning Sheet'!$BC55,"")</f>
        <v/>
      </c>
      <c r="AA1038" s="48" t="str">
        <f ca="1">IF(AND('Planning Sheet'!BH55='Weeks Plan'!$D$6,'Planning Sheet'!BB55='Weeks Plan'!$G$6),'Planning Sheet'!$BD55,"")</f>
        <v/>
      </c>
    </row>
    <row r="1039" spans="25:27" x14ac:dyDescent="0.3">
      <c r="Y1039" s="48" t="str">
        <f ca="1">IF(AND('Planning Sheet'!BH56='Weeks Plan'!$D$6,'Planning Sheet'!BB56='Weeks Plan'!$G$6),'Planning Sheet'!$B56,"")</f>
        <v/>
      </c>
      <c r="Z1039" s="48" t="str">
        <f ca="1">IF(AND('Planning Sheet'!BH56='Weeks Plan'!$D$6,'Planning Sheet'!BB56='Weeks Plan'!$G$6),'Planning Sheet'!$BC56,"")</f>
        <v/>
      </c>
      <c r="AA1039" s="48" t="str">
        <f ca="1">IF(AND('Planning Sheet'!BH56='Weeks Plan'!$D$6,'Planning Sheet'!BB56='Weeks Plan'!$G$6),'Planning Sheet'!$BD56,"")</f>
        <v/>
      </c>
    </row>
    <row r="1040" spans="25:27" x14ac:dyDescent="0.3">
      <c r="Y1040" s="48" t="str">
        <f ca="1">IF(AND('Planning Sheet'!BH57='Weeks Plan'!$D$6,'Planning Sheet'!BB57='Weeks Plan'!$G$6),'Planning Sheet'!$B57,"")</f>
        <v/>
      </c>
      <c r="Z1040" s="48" t="str">
        <f ca="1">IF(AND('Planning Sheet'!BH57='Weeks Plan'!$D$6,'Planning Sheet'!BB57='Weeks Plan'!$G$6),'Planning Sheet'!$BC57,"")</f>
        <v/>
      </c>
      <c r="AA1040" s="48" t="str">
        <f ca="1">IF(AND('Planning Sheet'!BH57='Weeks Plan'!$D$6,'Planning Sheet'!BB57='Weeks Plan'!$G$6),'Planning Sheet'!$BD57,"")</f>
        <v/>
      </c>
    </row>
    <row r="1041" spans="25:27" x14ac:dyDescent="0.3">
      <c r="Y1041" s="48" t="str">
        <f ca="1">IF(AND('Planning Sheet'!BH58='Weeks Plan'!$D$6,'Planning Sheet'!BB58='Weeks Plan'!$G$6),'Planning Sheet'!$B58,"")</f>
        <v/>
      </c>
      <c r="Z1041" s="48" t="str">
        <f ca="1">IF(AND('Planning Sheet'!BH58='Weeks Plan'!$D$6,'Planning Sheet'!BB58='Weeks Plan'!$G$6),'Planning Sheet'!$BC58,"")</f>
        <v/>
      </c>
      <c r="AA1041" s="48" t="str">
        <f ca="1">IF(AND('Planning Sheet'!BH58='Weeks Plan'!$D$6,'Planning Sheet'!BB58='Weeks Plan'!$G$6),'Planning Sheet'!$BD58,"")</f>
        <v/>
      </c>
    </row>
    <row r="1042" spans="25:27" x14ac:dyDescent="0.3">
      <c r="Y1042" s="48" t="str">
        <f ca="1">IF(AND('Planning Sheet'!BH59='Weeks Plan'!$D$6,'Planning Sheet'!BB59='Weeks Plan'!$G$6),'Planning Sheet'!$B59,"")</f>
        <v/>
      </c>
      <c r="Z1042" s="48" t="str">
        <f ca="1">IF(AND('Planning Sheet'!BH59='Weeks Plan'!$D$6,'Planning Sheet'!BB59='Weeks Plan'!$G$6),'Planning Sheet'!$BC59,"")</f>
        <v/>
      </c>
      <c r="AA1042" s="48" t="str">
        <f ca="1">IF(AND('Planning Sheet'!BH59='Weeks Plan'!$D$6,'Planning Sheet'!BB59='Weeks Plan'!$G$6),'Planning Sheet'!$BD59,"")</f>
        <v/>
      </c>
    </row>
    <row r="1043" spans="25:27" x14ac:dyDescent="0.3">
      <c r="Y1043" s="48" t="str">
        <f ca="1">IF(AND('Planning Sheet'!BH60='Weeks Plan'!$D$6,'Planning Sheet'!BB60='Weeks Plan'!$G$6),'Planning Sheet'!$B60,"")</f>
        <v/>
      </c>
      <c r="Z1043" s="48" t="str">
        <f ca="1">IF(AND('Planning Sheet'!BH60='Weeks Plan'!$D$6,'Planning Sheet'!BB60='Weeks Plan'!$G$6),'Planning Sheet'!$BC60,"")</f>
        <v/>
      </c>
      <c r="AA1043" s="48" t="str">
        <f ca="1">IF(AND('Planning Sheet'!BH60='Weeks Plan'!$D$6,'Planning Sheet'!BB60='Weeks Plan'!$G$6),'Planning Sheet'!$BD60,"")</f>
        <v/>
      </c>
    </row>
    <row r="1044" spans="25:27" x14ac:dyDescent="0.3">
      <c r="Y1044" s="48" t="str">
        <f ca="1">IF(AND('Planning Sheet'!BH61='Weeks Plan'!$D$6,'Planning Sheet'!BB61='Weeks Plan'!$G$6),'Planning Sheet'!$B61,"")</f>
        <v/>
      </c>
      <c r="Z1044" s="48" t="str">
        <f ca="1">IF(AND('Planning Sheet'!BH61='Weeks Plan'!$D$6,'Planning Sheet'!BB61='Weeks Plan'!$G$6),'Planning Sheet'!$BC61,"")</f>
        <v/>
      </c>
      <c r="AA1044" s="48" t="str">
        <f ca="1">IF(AND('Planning Sheet'!BH61='Weeks Plan'!$D$6,'Planning Sheet'!BB61='Weeks Plan'!$G$6),'Planning Sheet'!$BD61,"")</f>
        <v/>
      </c>
    </row>
    <row r="1045" spans="25:27" x14ac:dyDescent="0.3">
      <c r="Y1045" s="48" t="str">
        <f ca="1">IF(AND('Planning Sheet'!BH62='Weeks Plan'!$D$6,'Planning Sheet'!BB62='Weeks Plan'!$G$6),'Planning Sheet'!$B62,"")</f>
        <v/>
      </c>
      <c r="Z1045" s="48" t="str">
        <f ca="1">IF(AND('Planning Sheet'!BH62='Weeks Plan'!$D$6,'Planning Sheet'!BB62='Weeks Plan'!$G$6),'Planning Sheet'!$BC62,"")</f>
        <v/>
      </c>
      <c r="AA1045" s="48" t="str">
        <f ca="1">IF(AND('Planning Sheet'!BH62='Weeks Plan'!$D$6,'Planning Sheet'!BB62='Weeks Plan'!$G$6),'Planning Sheet'!$BD62,"")</f>
        <v/>
      </c>
    </row>
    <row r="1046" spans="25:27" x14ac:dyDescent="0.3">
      <c r="Y1046" s="48" t="str">
        <f ca="1">IF(AND('Planning Sheet'!BH63='Weeks Plan'!$D$6,'Planning Sheet'!BB63='Weeks Plan'!$G$6),'Planning Sheet'!$B63,"")</f>
        <v/>
      </c>
      <c r="Z1046" s="48" t="str">
        <f ca="1">IF(AND('Planning Sheet'!BH63='Weeks Plan'!$D$6,'Planning Sheet'!BB63='Weeks Plan'!$G$6),'Planning Sheet'!$BC63,"")</f>
        <v/>
      </c>
      <c r="AA1046" s="48" t="str">
        <f ca="1">IF(AND('Planning Sheet'!BH63='Weeks Plan'!$D$6,'Planning Sheet'!BB63='Weeks Plan'!$G$6),'Planning Sheet'!$BD63,"")</f>
        <v/>
      </c>
    </row>
    <row r="1047" spans="25:27" x14ac:dyDescent="0.3">
      <c r="Y1047" s="48" t="str">
        <f ca="1">IF(AND('Planning Sheet'!BH64='Weeks Plan'!$D$6,'Planning Sheet'!BB64='Weeks Plan'!$G$6),'Planning Sheet'!$B64,"")</f>
        <v/>
      </c>
      <c r="Z1047" s="48" t="str">
        <f ca="1">IF(AND('Planning Sheet'!BH64='Weeks Plan'!$D$6,'Planning Sheet'!BB64='Weeks Plan'!$G$6),'Planning Sheet'!$BC64,"")</f>
        <v/>
      </c>
      <c r="AA1047" s="48" t="str">
        <f ca="1">IF(AND('Planning Sheet'!BH64='Weeks Plan'!$D$6,'Planning Sheet'!BB64='Weeks Plan'!$G$6),'Planning Sheet'!$BD64,"")</f>
        <v/>
      </c>
    </row>
    <row r="1048" spans="25:27" x14ac:dyDescent="0.3">
      <c r="Y1048" s="48" t="str">
        <f ca="1">IF(AND('Planning Sheet'!BH65='Weeks Plan'!$D$6,'Planning Sheet'!BB65='Weeks Plan'!$G$6),'Planning Sheet'!$B65,"")</f>
        <v/>
      </c>
      <c r="Z1048" s="48" t="str">
        <f ca="1">IF(AND('Planning Sheet'!BH65='Weeks Plan'!$D$6,'Planning Sheet'!BB65='Weeks Plan'!$G$6),'Planning Sheet'!$BC65,"")</f>
        <v/>
      </c>
      <c r="AA1048" s="48" t="str">
        <f ca="1">IF(AND('Planning Sheet'!BH65='Weeks Plan'!$D$6,'Planning Sheet'!BB65='Weeks Plan'!$G$6),'Planning Sheet'!$BD65,"")</f>
        <v/>
      </c>
    </row>
    <row r="1049" spans="25:27" x14ac:dyDescent="0.3">
      <c r="Y1049" s="48" t="str">
        <f ca="1">IF(AND('Planning Sheet'!BH66='Weeks Plan'!$D$6,'Planning Sheet'!BB66='Weeks Plan'!$G$6),'Planning Sheet'!$B66,"")</f>
        <v/>
      </c>
      <c r="Z1049" s="48" t="str">
        <f ca="1">IF(AND('Planning Sheet'!BH66='Weeks Plan'!$D$6,'Planning Sheet'!BB66='Weeks Plan'!$G$6),'Planning Sheet'!$BC66,"")</f>
        <v/>
      </c>
      <c r="AA1049" s="48" t="str">
        <f ca="1">IF(AND('Planning Sheet'!BH66='Weeks Plan'!$D$6,'Planning Sheet'!BB66='Weeks Plan'!$G$6),'Planning Sheet'!$BD66,"")</f>
        <v/>
      </c>
    </row>
    <row r="1050" spans="25:27" x14ac:dyDescent="0.3">
      <c r="Y1050" s="48" t="str">
        <f ca="1">IF(AND('Planning Sheet'!BH67='Weeks Plan'!$D$6,'Planning Sheet'!BB67='Weeks Plan'!$G$6),'Planning Sheet'!$B67,"")</f>
        <v/>
      </c>
      <c r="Z1050" s="48" t="str">
        <f ca="1">IF(AND('Planning Sheet'!BH67='Weeks Plan'!$D$6,'Planning Sheet'!BB67='Weeks Plan'!$G$6),'Planning Sheet'!$BC67,"")</f>
        <v/>
      </c>
      <c r="AA1050" s="48" t="str">
        <f ca="1">IF(AND('Planning Sheet'!BH67='Weeks Plan'!$D$6,'Planning Sheet'!BB67='Weeks Plan'!$G$6),'Planning Sheet'!$BD67,"")</f>
        <v/>
      </c>
    </row>
    <row r="1051" spans="25:27" x14ac:dyDescent="0.3">
      <c r="Y1051" s="48" t="str">
        <f ca="1">IF(AND('Planning Sheet'!BH68='Weeks Plan'!$D$6,'Planning Sheet'!BB68='Weeks Plan'!$G$6),'Planning Sheet'!$B68,"")</f>
        <v/>
      </c>
      <c r="Z1051" s="48" t="str">
        <f ca="1">IF(AND('Planning Sheet'!BH68='Weeks Plan'!$D$6,'Planning Sheet'!BB68='Weeks Plan'!$G$6),'Planning Sheet'!$BC68,"")</f>
        <v/>
      </c>
      <c r="AA1051" s="48" t="str">
        <f ca="1">IF(AND('Planning Sheet'!BH68='Weeks Plan'!$D$6,'Planning Sheet'!BB68='Weeks Plan'!$G$6),'Planning Sheet'!$BD68,"")</f>
        <v/>
      </c>
    </row>
    <row r="1052" spans="25:27" x14ac:dyDescent="0.3">
      <c r="Y1052" s="48" t="str">
        <f ca="1">IF(AND('Planning Sheet'!BH69='Weeks Plan'!$D$6,'Planning Sheet'!BB69='Weeks Plan'!$G$6),'Planning Sheet'!$B69,"")</f>
        <v/>
      </c>
      <c r="Z1052" s="48" t="str">
        <f ca="1">IF(AND('Planning Sheet'!BH69='Weeks Plan'!$D$6,'Planning Sheet'!BB69='Weeks Plan'!$G$6),'Planning Sheet'!$BC69,"")</f>
        <v/>
      </c>
      <c r="AA1052" s="48" t="str">
        <f ca="1">IF(AND('Planning Sheet'!BH69='Weeks Plan'!$D$6,'Planning Sheet'!BB69='Weeks Plan'!$G$6),'Planning Sheet'!$BD69,"")</f>
        <v/>
      </c>
    </row>
    <row r="1053" spans="25:27" x14ac:dyDescent="0.3">
      <c r="Y1053" s="48" t="str">
        <f ca="1">IF(AND('Planning Sheet'!BH70='Weeks Plan'!$D$6,'Planning Sheet'!BB70='Weeks Plan'!$G$6),'Planning Sheet'!$B70,"")</f>
        <v/>
      </c>
      <c r="Z1053" s="48" t="str">
        <f ca="1">IF(AND('Planning Sheet'!BH70='Weeks Plan'!$D$6,'Planning Sheet'!BB70='Weeks Plan'!$G$6),'Planning Sheet'!$BC70,"")</f>
        <v/>
      </c>
      <c r="AA1053" s="48" t="str">
        <f ca="1">IF(AND('Planning Sheet'!BH70='Weeks Plan'!$D$6,'Planning Sheet'!BB70='Weeks Plan'!$G$6),'Planning Sheet'!$BD70,"")</f>
        <v/>
      </c>
    </row>
    <row r="1054" spans="25:27" x14ac:dyDescent="0.3">
      <c r="Y1054" s="48" t="str">
        <f ca="1">IF(AND('Planning Sheet'!BH71='Weeks Plan'!$D$6,'Planning Sheet'!BB71='Weeks Plan'!$G$6),'Planning Sheet'!$B71,"")</f>
        <v/>
      </c>
      <c r="Z1054" s="48" t="str">
        <f ca="1">IF(AND('Planning Sheet'!BH71='Weeks Plan'!$D$6,'Planning Sheet'!BB71='Weeks Plan'!$G$6),'Planning Sheet'!$BC71,"")</f>
        <v/>
      </c>
      <c r="AA1054" s="48" t="str">
        <f ca="1">IF(AND('Planning Sheet'!BH71='Weeks Plan'!$D$6,'Planning Sheet'!BB71='Weeks Plan'!$G$6),'Planning Sheet'!$BD71,"")</f>
        <v/>
      </c>
    </row>
    <row r="1055" spans="25:27" x14ac:dyDescent="0.3">
      <c r="Y1055" s="48" t="str">
        <f ca="1">IF(AND('Planning Sheet'!BH72='Weeks Plan'!$D$6,'Planning Sheet'!BB72='Weeks Plan'!$G$6),'Planning Sheet'!$B72,"")</f>
        <v/>
      </c>
      <c r="Z1055" s="48" t="str">
        <f ca="1">IF(AND('Planning Sheet'!BH72='Weeks Plan'!$D$6,'Planning Sheet'!BB72='Weeks Plan'!$G$6),'Planning Sheet'!$BC72,"")</f>
        <v/>
      </c>
      <c r="AA1055" s="48" t="str">
        <f ca="1">IF(AND('Planning Sheet'!BH72='Weeks Plan'!$D$6,'Planning Sheet'!BB72='Weeks Plan'!$G$6),'Planning Sheet'!$BD72,"")</f>
        <v/>
      </c>
    </row>
    <row r="1056" spans="25:27" x14ac:dyDescent="0.3">
      <c r="Y1056" s="48" t="str">
        <f ca="1">IF(AND('Planning Sheet'!BH73='Weeks Plan'!$D$6,'Planning Sheet'!BB73='Weeks Plan'!$G$6),'Planning Sheet'!$B73,"")</f>
        <v/>
      </c>
      <c r="Z1056" s="48" t="str">
        <f ca="1">IF(AND('Planning Sheet'!BH73='Weeks Plan'!$D$6,'Planning Sheet'!BB73='Weeks Plan'!$G$6),'Planning Sheet'!$BC73,"")</f>
        <v/>
      </c>
      <c r="AA1056" s="48" t="str">
        <f ca="1">IF(AND('Planning Sheet'!BH73='Weeks Plan'!$D$6,'Planning Sheet'!BB73='Weeks Plan'!$G$6),'Planning Sheet'!$BD73,"")</f>
        <v/>
      </c>
    </row>
    <row r="1057" spans="25:27" x14ac:dyDescent="0.3">
      <c r="Y1057" s="48" t="str">
        <f ca="1">IF(AND('Planning Sheet'!BH74='Weeks Plan'!$D$6,'Planning Sheet'!BB74='Weeks Plan'!$G$6),'Planning Sheet'!$B74,"")</f>
        <v/>
      </c>
      <c r="Z1057" s="48" t="str">
        <f ca="1">IF(AND('Planning Sheet'!BH74='Weeks Plan'!$D$6,'Planning Sheet'!BB74='Weeks Plan'!$G$6),'Planning Sheet'!$BC74,"")</f>
        <v/>
      </c>
      <c r="AA1057" s="48" t="str">
        <f ca="1">IF(AND('Planning Sheet'!BH74='Weeks Plan'!$D$6,'Planning Sheet'!BB74='Weeks Plan'!$G$6),'Planning Sheet'!$BD74,"")</f>
        <v/>
      </c>
    </row>
    <row r="1058" spans="25:27" x14ac:dyDescent="0.3">
      <c r="Y1058" s="48" t="str">
        <f ca="1">IF(AND('Planning Sheet'!BH75='Weeks Plan'!$D$6,'Planning Sheet'!BB75='Weeks Plan'!$G$6),'Planning Sheet'!$B75,"")</f>
        <v/>
      </c>
      <c r="Z1058" s="48" t="str">
        <f ca="1">IF(AND('Planning Sheet'!BH75='Weeks Plan'!$D$6,'Planning Sheet'!BB75='Weeks Plan'!$G$6),'Planning Sheet'!$BC75,"")</f>
        <v/>
      </c>
      <c r="AA1058" s="48" t="str">
        <f ca="1">IF(AND('Planning Sheet'!BH75='Weeks Plan'!$D$6,'Planning Sheet'!BB75='Weeks Plan'!$G$6),'Planning Sheet'!$BD75,"")</f>
        <v/>
      </c>
    </row>
    <row r="1059" spans="25:27" x14ac:dyDescent="0.3">
      <c r="Y1059" s="48" t="str">
        <f ca="1">IF(AND('Planning Sheet'!BH76='Weeks Plan'!$D$6,'Planning Sheet'!BB76='Weeks Plan'!$G$6),'Planning Sheet'!$B76,"")</f>
        <v/>
      </c>
      <c r="Z1059" s="48" t="str">
        <f ca="1">IF(AND('Planning Sheet'!BH76='Weeks Plan'!$D$6,'Planning Sheet'!BB76='Weeks Plan'!$G$6),'Planning Sheet'!$BC76,"")</f>
        <v/>
      </c>
      <c r="AA1059" s="48" t="str">
        <f ca="1">IF(AND('Planning Sheet'!BH76='Weeks Plan'!$D$6,'Planning Sheet'!BB76='Weeks Plan'!$G$6),'Planning Sheet'!$BD76,"")</f>
        <v/>
      </c>
    </row>
    <row r="1060" spans="25:27" x14ac:dyDescent="0.3">
      <c r="Y1060" s="48" t="str">
        <f ca="1">IF(AND('Planning Sheet'!BH77='Weeks Plan'!$D$6,'Planning Sheet'!BB77='Weeks Plan'!$G$6),'Planning Sheet'!$B77,"")</f>
        <v/>
      </c>
      <c r="Z1060" s="48" t="str">
        <f ca="1">IF(AND('Planning Sheet'!BH77='Weeks Plan'!$D$6,'Planning Sheet'!BB77='Weeks Plan'!$G$6),'Planning Sheet'!$BC77,"")</f>
        <v/>
      </c>
      <c r="AA1060" s="48" t="str">
        <f ca="1">IF(AND('Planning Sheet'!BH77='Weeks Plan'!$D$6,'Planning Sheet'!BB77='Weeks Plan'!$G$6),'Planning Sheet'!$BD77,"")</f>
        <v/>
      </c>
    </row>
    <row r="1061" spans="25:27" x14ac:dyDescent="0.3">
      <c r="Y1061" s="48" t="str">
        <f ca="1">IF(AND('Planning Sheet'!BH78='Weeks Plan'!$D$6,'Planning Sheet'!BB78='Weeks Plan'!$G$6),'Planning Sheet'!$B78,"")</f>
        <v/>
      </c>
      <c r="Z1061" s="48" t="str">
        <f ca="1">IF(AND('Planning Sheet'!BH78='Weeks Plan'!$D$6,'Planning Sheet'!BB78='Weeks Plan'!$G$6),'Planning Sheet'!$BC78,"")</f>
        <v/>
      </c>
      <c r="AA1061" s="48" t="str">
        <f ca="1">IF(AND('Planning Sheet'!BH78='Weeks Plan'!$D$6,'Planning Sheet'!BB78='Weeks Plan'!$G$6),'Planning Sheet'!$BD78,"")</f>
        <v/>
      </c>
    </row>
    <row r="1062" spans="25:27" x14ac:dyDescent="0.3">
      <c r="Y1062" s="48" t="str">
        <f ca="1">IF(AND('Planning Sheet'!BH79='Weeks Plan'!$D$6,'Planning Sheet'!BB79='Weeks Plan'!$G$6),'Planning Sheet'!$B79,"")</f>
        <v/>
      </c>
      <c r="Z1062" s="48" t="str">
        <f ca="1">IF(AND('Planning Sheet'!BH79='Weeks Plan'!$D$6,'Planning Sheet'!BB79='Weeks Plan'!$G$6),'Planning Sheet'!$BC79,"")</f>
        <v/>
      </c>
      <c r="AA1062" s="48" t="str">
        <f ca="1">IF(AND('Planning Sheet'!BH79='Weeks Plan'!$D$6,'Planning Sheet'!BB79='Weeks Plan'!$G$6),'Planning Sheet'!$BD79,"")</f>
        <v/>
      </c>
    </row>
    <row r="1063" spans="25:27" x14ac:dyDescent="0.3">
      <c r="Y1063" s="48" t="str">
        <f ca="1">IF(AND('Planning Sheet'!BH80='Weeks Plan'!$D$6,'Planning Sheet'!BB80='Weeks Plan'!$G$6),'Planning Sheet'!$B80,"")</f>
        <v/>
      </c>
      <c r="Z1063" s="48" t="str">
        <f ca="1">IF(AND('Planning Sheet'!BH80='Weeks Plan'!$D$6,'Planning Sheet'!BB80='Weeks Plan'!$G$6),'Planning Sheet'!$BC80,"")</f>
        <v/>
      </c>
      <c r="AA1063" s="48" t="str">
        <f ca="1">IF(AND('Planning Sheet'!BH80='Weeks Plan'!$D$6,'Planning Sheet'!BB80='Weeks Plan'!$G$6),'Planning Sheet'!$BD80,"")</f>
        <v/>
      </c>
    </row>
    <row r="1064" spans="25:27" x14ac:dyDescent="0.3">
      <c r="Y1064" s="48" t="str">
        <f ca="1">IF(AND('Planning Sheet'!BH81='Weeks Plan'!$D$6,'Planning Sheet'!BB81='Weeks Plan'!$G$6),'Planning Sheet'!$B81,"")</f>
        <v/>
      </c>
      <c r="Z1064" s="48" t="str">
        <f ca="1">IF(AND('Planning Sheet'!BH81='Weeks Plan'!$D$6,'Planning Sheet'!BB81='Weeks Plan'!$G$6),'Planning Sheet'!$BC81,"")</f>
        <v/>
      </c>
      <c r="AA1064" s="48" t="str">
        <f ca="1">IF(AND('Planning Sheet'!BH81='Weeks Plan'!$D$6,'Planning Sheet'!BB81='Weeks Plan'!$G$6),'Planning Sheet'!$BD81,"")</f>
        <v/>
      </c>
    </row>
    <row r="1065" spans="25:27" x14ac:dyDescent="0.3">
      <c r="Y1065" s="48" t="str">
        <f ca="1">IF(AND('Planning Sheet'!BH82='Weeks Plan'!$D$6,'Planning Sheet'!BB82='Weeks Plan'!$G$6),'Planning Sheet'!$B82,"")</f>
        <v/>
      </c>
      <c r="Z1065" s="48" t="str">
        <f ca="1">IF(AND('Planning Sheet'!BH82='Weeks Plan'!$D$6,'Planning Sheet'!BB82='Weeks Plan'!$G$6),'Planning Sheet'!$BC82,"")</f>
        <v/>
      </c>
      <c r="AA1065" s="48" t="str">
        <f ca="1">IF(AND('Planning Sheet'!BH82='Weeks Plan'!$D$6,'Planning Sheet'!BB82='Weeks Plan'!$G$6),'Planning Sheet'!$BD82,"")</f>
        <v/>
      </c>
    </row>
    <row r="1066" spans="25:27" x14ac:dyDescent="0.3">
      <c r="Y1066" s="48" t="str">
        <f ca="1">IF(AND('Planning Sheet'!BH83='Weeks Plan'!$D$6,'Planning Sheet'!BB83='Weeks Plan'!$G$6),'Planning Sheet'!$B83,"")</f>
        <v/>
      </c>
      <c r="Z1066" s="48" t="str">
        <f ca="1">IF(AND('Planning Sheet'!BH83='Weeks Plan'!$D$6,'Planning Sheet'!BB83='Weeks Plan'!$G$6),'Planning Sheet'!$BC83,"")</f>
        <v/>
      </c>
      <c r="AA1066" s="48" t="str">
        <f ca="1">IF(AND('Planning Sheet'!BH83='Weeks Plan'!$D$6,'Planning Sheet'!BB83='Weeks Plan'!$G$6),'Planning Sheet'!$BD83,"")</f>
        <v/>
      </c>
    </row>
    <row r="1067" spans="25:27" x14ac:dyDescent="0.3">
      <c r="Y1067" s="48" t="str">
        <f ca="1">IF(AND('Planning Sheet'!BH84='Weeks Plan'!$D$6,'Planning Sheet'!BB84='Weeks Plan'!$G$6),'Planning Sheet'!$B84,"")</f>
        <v/>
      </c>
      <c r="Z1067" s="48" t="str">
        <f ca="1">IF(AND('Planning Sheet'!BH84='Weeks Plan'!$D$6,'Planning Sheet'!BB84='Weeks Plan'!$G$6),'Planning Sheet'!$BC84,"")</f>
        <v/>
      </c>
      <c r="AA1067" s="48" t="str">
        <f ca="1">IF(AND('Planning Sheet'!BH84='Weeks Plan'!$D$6,'Planning Sheet'!BB84='Weeks Plan'!$G$6),'Planning Sheet'!$BD84,"")</f>
        <v/>
      </c>
    </row>
    <row r="1068" spans="25:27" x14ac:dyDescent="0.3">
      <c r="Y1068" s="48" t="str">
        <f ca="1">IF(AND('Planning Sheet'!BH85='Weeks Plan'!$D$6,'Planning Sheet'!BB85='Weeks Plan'!$G$6),'Planning Sheet'!$B85,"")</f>
        <v/>
      </c>
      <c r="Z1068" s="48" t="str">
        <f ca="1">IF(AND('Planning Sheet'!BH85='Weeks Plan'!$D$6,'Planning Sheet'!BB85='Weeks Plan'!$G$6),'Planning Sheet'!$BC85,"")</f>
        <v/>
      </c>
      <c r="AA1068" s="48" t="str">
        <f ca="1">IF(AND('Planning Sheet'!BH85='Weeks Plan'!$D$6,'Planning Sheet'!BB85='Weeks Plan'!$G$6),'Planning Sheet'!$BD85,"")</f>
        <v/>
      </c>
    </row>
    <row r="1069" spans="25:27" x14ac:dyDescent="0.3">
      <c r="Y1069" s="48" t="str">
        <f ca="1">IF(AND('Planning Sheet'!BH86='Weeks Plan'!$D$6,'Planning Sheet'!BB86='Weeks Plan'!$G$6),'Planning Sheet'!$B86,"")</f>
        <v/>
      </c>
      <c r="Z1069" s="48" t="str">
        <f ca="1">IF(AND('Planning Sheet'!BH86='Weeks Plan'!$D$6,'Planning Sheet'!BB86='Weeks Plan'!$G$6),'Planning Sheet'!$BC86,"")</f>
        <v/>
      </c>
      <c r="AA1069" s="48" t="str">
        <f ca="1">IF(AND('Planning Sheet'!BH86='Weeks Plan'!$D$6,'Planning Sheet'!BB86='Weeks Plan'!$G$6),'Planning Sheet'!$BD86,"")</f>
        <v/>
      </c>
    </row>
    <row r="1070" spans="25:27" x14ac:dyDescent="0.3">
      <c r="Y1070" s="48" t="str">
        <f ca="1">IF(AND('Planning Sheet'!BH87='Weeks Plan'!$D$6,'Planning Sheet'!BB87='Weeks Plan'!$G$6),'Planning Sheet'!$B87,"")</f>
        <v/>
      </c>
      <c r="Z1070" s="48" t="str">
        <f ca="1">IF(AND('Planning Sheet'!BH87='Weeks Plan'!$D$6,'Planning Sheet'!BB87='Weeks Plan'!$G$6),'Planning Sheet'!$BC87,"")</f>
        <v/>
      </c>
      <c r="AA1070" s="48" t="str">
        <f ca="1">IF(AND('Planning Sheet'!BH87='Weeks Plan'!$D$6,'Planning Sheet'!BB87='Weeks Plan'!$G$6),'Planning Sheet'!$BD87,"")</f>
        <v/>
      </c>
    </row>
    <row r="1071" spans="25:27" x14ac:dyDescent="0.3">
      <c r="Y1071" s="48" t="str">
        <f ca="1">IF(AND('Planning Sheet'!BH88='Weeks Plan'!$D$6,'Planning Sheet'!BB88='Weeks Plan'!$G$6),'Planning Sheet'!$B88,"")</f>
        <v/>
      </c>
      <c r="Z1071" s="48" t="str">
        <f ca="1">IF(AND('Planning Sheet'!BH88='Weeks Plan'!$D$6,'Planning Sheet'!BB88='Weeks Plan'!$G$6),'Planning Sheet'!$BC88,"")</f>
        <v/>
      </c>
      <c r="AA1071" s="48" t="str">
        <f ca="1">IF(AND('Planning Sheet'!BH88='Weeks Plan'!$D$6,'Planning Sheet'!BB88='Weeks Plan'!$G$6),'Planning Sheet'!$BD88,"")</f>
        <v/>
      </c>
    </row>
    <row r="1072" spans="25:27" x14ac:dyDescent="0.3">
      <c r="Y1072" s="48" t="str">
        <f ca="1">IF(AND('Planning Sheet'!BH89='Weeks Plan'!$D$6,'Planning Sheet'!BB89='Weeks Plan'!$G$6),'Planning Sheet'!$B89,"")</f>
        <v/>
      </c>
      <c r="Z1072" s="48" t="str">
        <f ca="1">IF(AND('Planning Sheet'!BH89='Weeks Plan'!$D$6,'Planning Sheet'!BB89='Weeks Plan'!$G$6),'Planning Sheet'!$BC89,"")</f>
        <v/>
      </c>
      <c r="AA1072" s="48" t="str">
        <f ca="1">IF(AND('Planning Sheet'!BH89='Weeks Plan'!$D$6,'Planning Sheet'!BB89='Weeks Plan'!$G$6),'Planning Sheet'!$BD89,"")</f>
        <v/>
      </c>
    </row>
    <row r="1073" spans="25:27" x14ac:dyDescent="0.3">
      <c r="Y1073" s="48" t="str">
        <f ca="1">IF(AND('Planning Sheet'!BH90='Weeks Plan'!$D$6,'Planning Sheet'!BB90='Weeks Plan'!$G$6),'Planning Sheet'!$B90,"")</f>
        <v/>
      </c>
      <c r="Z1073" s="48" t="str">
        <f ca="1">IF(AND('Planning Sheet'!BH90='Weeks Plan'!$D$6,'Planning Sheet'!BB90='Weeks Plan'!$G$6),'Planning Sheet'!$BC90,"")</f>
        <v/>
      </c>
      <c r="AA1073" s="48" t="str">
        <f ca="1">IF(AND('Planning Sheet'!BH90='Weeks Plan'!$D$6,'Planning Sheet'!BB90='Weeks Plan'!$G$6),'Planning Sheet'!$BD90,"")</f>
        <v/>
      </c>
    </row>
    <row r="1074" spans="25:27" x14ac:dyDescent="0.3">
      <c r="Y1074" s="48" t="str">
        <f ca="1">IF(AND('Planning Sheet'!BH91='Weeks Plan'!$D$6,'Planning Sheet'!BB91='Weeks Plan'!$G$6),'Planning Sheet'!$B91,"")</f>
        <v/>
      </c>
      <c r="Z1074" s="48" t="str">
        <f ca="1">IF(AND('Planning Sheet'!BH91='Weeks Plan'!$D$6,'Planning Sheet'!BB91='Weeks Plan'!$G$6),'Planning Sheet'!$BC91,"")</f>
        <v/>
      </c>
      <c r="AA1074" s="48" t="str">
        <f ca="1">IF(AND('Planning Sheet'!BH91='Weeks Plan'!$D$6,'Planning Sheet'!BB91='Weeks Plan'!$G$6),'Planning Sheet'!$BD91,"")</f>
        <v/>
      </c>
    </row>
    <row r="1075" spans="25:27" x14ac:dyDescent="0.3">
      <c r="Y1075" s="48" t="str">
        <f ca="1">IF(AND('Planning Sheet'!BH92='Weeks Plan'!$D$6,'Planning Sheet'!BB92='Weeks Plan'!$G$6),'Planning Sheet'!$B92,"")</f>
        <v/>
      </c>
      <c r="Z1075" s="48" t="str">
        <f ca="1">IF(AND('Planning Sheet'!BH92='Weeks Plan'!$D$6,'Planning Sheet'!BB92='Weeks Plan'!$G$6),'Planning Sheet'!$BC92,"")</f>
        <v/>
      </c>
      <c r="AA1075" s="48" t="str">
        <f ca="1">IF(AND('Planning Sheet'!BH92='Weeks Plan'!$D$6,'Planning Sheet'!BB92='Weeks Plan'!$G$6),'Planning Sheet'!$BD92,"")</f>
        <v/>
      </c>
    </row>
    <row r="1076" spans="25:27" x14ac:dyDescent="0.3">
      <c r="Y1076" s="48" t="str">
        <f ca="1">IF(AND('Planning Sheet'!BH93='Weeks Plan'!$D$6,'Planning Sheet'!BB93='Weeks Plan'!$G$6),'Planning Sheet'!$B93,"")</f>
        <v/>
      </c>
      <c r="Z1076" s="48" t="str">
        <f ca="1">IF(AND('Planning Sheet'!BH93='Weeks Plan'!$D$6,'Planning Sheet'!BB93='Weeks Plan'!$G$6),'Planning Sheet'!$BC93,"")</f>
        <v/>
      </c>
      <c r="AA1076" s="48" t="str">
        <f ca="1">IF(AND('Planning Sheet'!BH93='Weeks Plan'!$D$6,'Planning Sheet'!BB93='Weeks Plan'!$G$6),'Planning Sheet'!$BD93,"")</f>
        <v/>
      </c>
    </row>
    <row r="1077" spans="25:27" x14ac:dyDescent="0.3">
      <c r="Y1077" s="48" t="str">
        <f ca="1">IF(AND('Planning Sheet'!BH94='Weeks Plan'!$D$6,'Planning Sheet'!BB94='Weeks Plan'!$G$6),'Planning Sheet'!$B94,"")</f>
        <v/>
      </c>
      <c r="Z1077" s="48" t="str">
        <f ca="1">IF(AND('Planning Sheet'!BH94='Weeks Plan'!$D$6,'Planning Sheet'!BB94='Weeks Plan'!$G$6),'Planning Sheet'!$BC94,"")</f>
        <v/>
      </c>
      <c r="AA1077" s="48" t="str">
        <f ca="1">IF(AND('Planning Sheet'!BH94='Weeks Plan'!$D$6,'Planning Sheet'!BB94='Weeks Plan'!$G$6),'Planning Sheet'!$BD94,"")</f>
        <v/>
      </c>
    </row>
    <row r="1078" spans="25:27" x14ac:dyDescent="0.3">
      <c r="Y1078" s="48" t="str">
        <f ca="1">IF(AND('Planning Sheet'!BH95='Weeks Plan'!$D$6,'Planning Sheet'!BB95='Weeks Plan'!$G$6),'Planning Sheet'!$B95,"")</f>
        <v/>
      </c>
      <c r="Z1078" s="48" t="str">
        <f ca="1">IF(AND('Planning Sheet'!BH95='Weeks Plan'!$D$6,'Planning Sheet'!BB95='Weeks Plan'!$G$6),'Planning Sheet'!$BC95,"")</f>
        <v/>
      </c>
      <c r="AA1078" s="48" t="str">
        <f ca="1">IF(AND('Planning Sheet'!BH95='Weeks Plan'!$D$6,'Planning Sheet'!BB95='Weeks Plan'!$G$6),'Planning Sheet'!$BD95,"")</f>
        <v/>
      </c>
    </row>
    <row r="1079" spans="25:27" x14ac:dyDescent="0.3">
      <c r="Y1079" s="48" t="str">
        <f ca="1">IF(AND('Planning Sheet'!BH96='Weeks Plan'!$D$6,'Planning Sheet'!BB96='Weeks Plan'!$G$6),'Planning Sheet'!$B96,"")</f>
        <v/>
      </c>
      <c r="Z1079" s="48" t="str">
        <f ca="1">IF(AND('Planning Sheet'!BH96='Weeks Plan'!$D$6,'Planning Sheet'!BB96='Weeks Plan'!$G$6),'Planning Sheet'!$BC96,"")</f>
        <v/>
      </c>
      <c r="AA1079" s="48" t="str">
        <f ca="1">IF(AND('Planning Sheet'!BH96='Weeks Plan'!$D$6,'Planning Sheet'!BB96='Weeks Plan'!$G$6),'Planning Sheet'!$BD96,"")</f>
        <v/>
      </c>
    </row>
    <row r="1080" spans="25:27" x14ac:dyDescent="0.3">
      <c r="Y1080" s="48" t="str">
        <f ca="1">IF(AND('Planning Sheet'!BH97='Weeks Plan'!$D$6,'Planning Sheet'!BB97='Weeks Plan'!$G$6),'Planning Sheet'!$B97,"")</f>
        <v/>
      </c>
      <c r="Z1080" s="48" t="str">
        <f ca="1">IF(AND('Planning Sheet'!BH97='Weeks Plan'!$D$6,'Planning Sheet'!BB97='Weeks Plan'!$G$6),'Planning Sheet'!$BC97,"")</f>
        <v/>
      </c>
      <c r="AA1080" s="48" t="str">
        <f ca="1">IF(AND('Planning Sheet'!BH97='Weeks Plan'!$D$6,'Planning Sheet'!BB97='Weeks Plan'!$G$6),'Planning Sheet'!$BD97,"")</f>
        <v/>
      </c>
    </row>
    <row r="1081" spans="25:27" x14ac:dyDescent="0.3">
      <c r="Y1081" s="48" t="str">
        <f ca="1">IF(AND('Planning Sheet'!BH98='Weeks Plan'!$D$6,'Planning Sheet'!BB98='Weeks Plan'!$G$6),'Planning Sheet'!$B98,"")</f>
        <v/>
      </c>
      <c r="Z1081" s="48" t="str">
        <f ca="1">IF(AND('Planning Sheet'!BH98='Weeks Plan'!$D$6,'Planning Sheet'!BB98='Weeks Plan'!$G$6),'Planning Sheet'!$BC98,"")</f>
        <v/>
      </c>
      <c r="AA1081" s="48" t="str">
        <f ca="1">IF(AND('Planning Sheet'!BH98='Weeks Plan'!$D$6,'Planning Sheet'!BB98='Weeks Plan'!$G$6),'Planning Sheet'!$BD98,"")</f>
        <v/>
      </c>
    </row>
    <row r="1082" spans="25:27" x14ac:dyDescent="0.3">
      <c r="Y1082" s="48" t="str">
        <f ca="1">IF(AND('Planning Sheet'!BH99='Weeks Plan'!$D$6,'Planning Sheet'!BB99='Weeks Plan'!$G$6),'Planning Sheet'!$B99,"")</f>
        <v/>
      </c>
      <c r="Z1082" s="48" t="str">
        <f ca="1">IF(AND('Planning Sheet'!BH99='Weeks Plan'!$D$6,'Planning Sheet'!BB99='Weeks Plan'!$G$6),'Planning Sheet'!$BC99,"")</f>
        <v/>
      </c>
      <c r="AA1082" s="48" t="str">
        <f ca="1">IF(AND('Planning Sheet'!BH99='Weeks Plan'!$D$6,'Planning Sheet'!BB99='Weeks Plan'!$G$6),'Planning Sheet'!$BD99,"")</f>
        <v/>
      </c>
    </row>
    <row r="1083" spans="25:27" x14ac:dyDescent="0.3">
      <c r="Y1083" s="48" t="str">
        <f ca="1">IF(AND('Planning Sheet'!BH100='Weeks Plan'!$D$6,'Planning Sheet'!BB100='Weeks Plan'!$G$6),'Planning Sheet'!$B100,"")</f>
        <v/>
      </c>
      <c r="Z1083" s="48" t="str">
        <f ca="1">IF(AND('Planning Sheet'!BH100='Weeks Plan'!$D$6,'Planning Sheet'!BB100='Weeks Plan'!$G$6),'Planning Sheet'!$BC100,"")</f>
        <v/>
      </c>
      <c r="AA1083" s="48" t="str">
        <f ca="1">IF(AND('Planning Sheet'!BH100='Weeks Plan'!$D$6,'Planning Sheet'!BB100='Weeks Plan'!$G$6),'Planning Sheet'!$BD100,"")</f>
        <v/>
      </c>
    </row>
    <row r="1084" spans="25:27" x14ac:dyDescent="0.3">
      <c r="Y1084" s="48" t="str">
        <f ca="1">IF(AND('Planning Sheet'!BH101='Weeks Plan'!$D$6,'Planning Sheet'!BB101='Weeks Plan'!$G$6),'Planning Sheet'!$B101,"")</f>
        <v/>
      </c>
      <c r="Z1084" s="48" t="str">
        <f ca="1">IF(AND('Planning Sheet'!BH101='Weeks Plan'!$D$6,'Planning Sheet'!BB101='Weeks Plan'!$G$6),'Planning Sheet'!$BC101,"")</f>
        <v/>
      </c>
      <c r="AA1084" s="48" t="str">
        <f ca="1">IF(AND('Planning Sheet'!BH101='Weeks Plan'!$D$6,'Planning Sheet'!BB101='Weeks Plan'!$G$6),'Planning Sheet'!$BD101,"")</f>
        <v/>
      </c>
    </row>
    <row r="1085" spans="25:27" x14ac:dyDescent="0.3">
      <c r="Y1085" s="48" t="str">
        <f ca="1">IF(AND('Planning Sheet'!BH102='Weeks Plan'!$D$6,'Planning Sheet'!BB102='Weeks Plan'!$G$6),'Planning Sheet'!$B102,"")</f>
        <v/>
      </c>
      <c r="Z1085" s="48" t="str">
        <f ca="1">IF(AND('Planning Sheet'!BH102='Weeks Plan'!$D$6,'Planning Sheet'!BB102='Weeks Plan'!$G$6),'Planning Sheet'!$BC102,"")</f>
        <v/>
      </c>
      <c r="AA1085" s="48" t="str">
        <f ca="1">IF(AND('Planning Sheet'!BH102='Weeks Plan'!$D$6,'Planning Sheet'!BB102='Weeks Plan'!$G$6),'Planning Sheet'!$BD102,"")</f>
        <v/>
      </c>
    </row>
    <row r="1086" spans="25:27" x14ac:dyDescent="0.3">
      <c r="Y1086" s="48" t="str">
        <f ca="1">IF(AND('Planning Sheet'!BH103='Weeks Plan'!$D$6,'Planning Sheet'!BB103='Weeks Plan'!$G$6),'Planning Sheet'!$B103,"")</f>
        <v/>
      </c>
      <c r="Z1086" s="48" t="str">
        <f ca="1">IF(AND('Planning Sheet'!BH103='Weeks Plan'!$D$6,'Planning Sheet'!BB103='Weeks Plan'!$G$6),'Planning Sheet'!$BC103,"")</f>
        <v/>
      </c>
      <c r="AA1086" s="48" t="str">
        <f ca="1">IF(AND('Planning Sheet'!BH103='Weeks Plan'!$D$6,'Planning Sheet'!BB103='Weeks Plan'!$G$6),'Planning Sheet'!$BD103,"")</f>
        <v/>
      </c>
    </row>
    <row r="1087" spans="25:27" x14ac:dyDescent="0.3">
      <c r="Y1087" s="48" t="str">
        <f ca="1">IF(AND('Planning Sheet'!BH104='Weeks Plan'!$D$6,'Planning Sheet'!BB104='Weeks Plan'!$G$6),'Planning Sheet'!$B104,"")</f>
        <v/>
      </c>
      <c r="Z1087" s="48" t="str">
        <f ca="1">IF(AND('Planning Sheet'!BH104='Weeks Plan'!$D$6,'Planning Sheet'!BB104='Weeks Plan'!$G$6),'Planning Sheet'!$BC104,"")</f>
        <v/>
      </c>
      <c r="AA1087" s="48" t="str">
        <f ca="1">IF(AND('Planning Sheet'!BH104='Weeks Plan'!$D$6,'Planning Sheet'!BB104='Weeks Plan'!$G$6),'Planning Sheet'!$BD104,"")</f>
        <v/>
      </c>
    </row>
    <row r="1088" spans="25:27" x14ac:dyDescent="0.3">
      <c r="Y1088" s="48" t="str">
        <f ca="1">IF(AND('Planning Sheet'!BH105='Weeks Plan'!$D$6,'Planning Sheet'!BB105='Weeks Plan'!$G$6),'Planning Sheet'!$B105,"")</f>
        <v/>
      </c>
      <c r="Z1088" s="48" t="str">
        <f ca="1">IF(AND('Planning Sheet'!BH105='Weeks Plan'!$D$6,'Planning Sheet'!BB105='Weeks Plan'!$G$6),'Planning Sheet'!$BC105,"")</f>
        <v/>
      </c>
      <c r="AA1088" s="48" t="str">
        <f ca="1">IF(AND('Planning Sheet'!BH105='Weeks Plan'!$D$6,'Planning Sheet'!BB105='Weeks Plan'!$G$6),'Planning Sheet'!$BD105,"")</f>
        <v/>
      </c>
    </row>
    <row r="1089" spans="25:27" x14ac:dyDescent="0.3">
      <c r="Y1089" s="48" t="str">
        <f ca="1">IF(AND('Planning Sheet'!BH106='Weeks Plan'!$D$6,'Planning Sheet'!BB106='Weeks Plan'!$G$6),'Planning Sheet'!$B106,"")</f>
        <v/>
      </c>
      <c r="Z1089" s="48" t="str">
        <f ca="1">IF(AND('Planning Sheet'!BH106='Weeks Plan'!$D$6,'Planning Sheet'!BB106='Weeks Plan'!$G$6),'Planning Sheet'!$BC106,"")</f>
        <v/>
      </c>
      <c r="AA1089" s="48" t="str">
        <f ca="1">IF(AND('Planning Sheet'!BH106='Weeks Plan'!$D$6,'Planning Sheet'!BB106='Weeks Plan'!$G$6),'Planning Sheet'!$BD106,"")</f>
        <v/>
      </c>
    </row>
    <row r="1090" spans="25:27" x14ac:dyDescent="0.3">
      <c r="Y1090" s="48" t="str">
        <f ca="1">IF(AND('Planning Sheet'!BH107='Weeks Plan'!$D$6,'Planning Sheet'!BB107='Weeks Plan'!$G$6),'Planning Sheet'!$B107,"")</f>
        <v/>
      </c>
      <c r="Z1090" s="48" t="str">
        <f ca="1">IF(AND('Planning Sheet'!BH107='Weeks Plan'!$D$6,'Planning Sheet'!BB107='Weeks Plan'!$G$6),'Planning Sheet'!$BC107,"")</f>
        <v/>
      </c>
      <c r="AA1090" s="48" t="str">
        <f ca="1">IF(AND('Planning Sheet'!BH107='Weeks Plan'!$D$6,'Planning Sheet'!BB107='Weeks Plan'!$G$6),'Planning Sheet'!$BD107,"")</f>
        <v/>
      </c>
    </row>
    <row r="1091" spans="25:27" x14ac:dyDescent="0.3">
      <c r="Y1091" s="48" t="str">
        <f ca="1">IF(AND('Planning Sheet'!BH108='Weeks Plan'!$D$6,'Planning Sheet'!BB108='Weeks Plan'!$G$6),'Planning Sheet'!$B108,"")</f>
        <v/>
      </c>
      <c r="Z1091" s="48" t="str">
        <f ca="1">IF(AND('Planning Sheet'!BH108='Weeks Plan'!$D$6,'Planning Sheet'!BB108='Weeks Plan'!$G$6),'Planning Sheet'!$BC108,"")</f>
        <v/>
      </c>
      <c r="AA1091" s="48" t="str">
        <f ca="1">IF(AND('Planning Sheet'!BH108='Weeks Plan'!$D$6,'Planning Sheet'!BB108='Weeks Plan'!$G$6),'Planning Sheet'!$BD108,"")</f>
        <v/>
      </c>
    </row>
    <row r="1092" spans="25:27" x14ac:dyDescent="0.3">
      <c r="Y1092" s="48" t="str">
        <f ca="1">IF(AND('Planning Sheet'!BH109='Weeks Plan'!$D$6,'Planning Sheet'!BB109='Weeks Plan'!$G$6),'Planning Sheet'!$B109,"")</f>
        <v/>
      </c>
      <c r="Z1092" s="48" t="str">
        <f ca="1">IF(AND('Planning Sheet'!BH109='Weeks Plan'!$D$6,'Planning Sheet'!BB109='Weeks Plan'!$G$6),'Planning Sheet'!$BC109,"")</f>
        <v/>
      </c>
      <c r="AA1092" s="48" t="str">
        <f ca="1">IF(AND('Planning Sheet'!BH109='Weeks Plan'!$D$6,'Planning Sheet'!BB109='Weeks Plan'!$G$6),'Planning Sheet'!$BD109,"")</f>
        <v/>
      </c>
    </row>
    <row r="1093" spans="25:27" x14ac:dyDescent="0.3">
      <c r="Y1093" s="48" t="str">
        <f ca="1">IF(AND('Planning Sheet'!BH110='Weeks Plan'!$D$6,'Planning Sheet'!BB110='Weeks Plan'!$G$6),'Planning Sheet'!$B110,"")</f>
        <v/>
      </c>
      <c r="Z1093" s="48" t="str">
        <f ca="1">IF(AND('Planning Sheet'!BH110='Weeks Plan'!$D$6,'Planning Sheet'!BB110='Weeks Plan'!$G$6),'Planning Sheet'!$BC110,"")</f>
        <v/>
      </c>
      <c r="AA1093" s="48" t="str">
        <f ca="1">IF(AND('Planning Sheet'!BH110='Weeks Plan'!$D$6,'Planning Sheet'!BB110='Weeks Plan'!$G$6),'Planning Sheet'!$BD110,"")</f>
        <v/>
      </c>
    </row>
    <row r="1094" spans="25:27" x14ac:dyDescent="0.3">
      <c r="Y1094" s="48" t="str">
        <f ca="1">IF(AND('Planning Sheet'!BH111='Weeks Plan'!$D$6,'Planning Sheet'!BB111='Weeks Plan'!$G$6),'Planning Sheet'!$B111,"")</f>
        <v/>
      </c>
      <c r="Z1094" s="48" t="str">
        <f ca="1">IF(AND('Planning Sheet'!BH111='Weeks Plan'!$D$6,'Planning Sheet'!BB111='Weeks Plan'!$G$6),'Planning Sheet'!$BC111,"")</f>
        <v/>
      </c>
      <c r="AA1094" s="48" t="str">
        <f ca="1">IF(AND('Planning Sheet'!BH111='Weeks Plan'!$D$6,'Planning Sheet'!BB111='Weeks Plan'!$G$6),'Planning Sheet'!$BD111,"")</f>
        <v/>
      </c>
    </row>
    <row r="1095" spans="25:27" x14ac:dyDescent="0.3">
      <c r="Y1095" s="48" t="str">
        <f ca="1">IF(AND('Planning Sheet'!BH112='Weeks Plan'!$D$6,'Planning Sheet'!BB112='Weeks Plan'!$G$6),'Planning Sheet'!$B112,"")</f>
        <v/>
      </c>
      <c r="Z1095" s="48" t="str">
        <f ca="1">IF(AND('Planning Sheet'!BH112='Weeks Plan'!$D$6,'Planning Sheet'!BB112='Weeks Plan'!$G$6),'Planning Sheet'!$BC112,"")</f>
        <v/>
      </c>
      <c r="AA1095" s="48" t="str">
        <f ca="1">IF(AND('Planning Sheet'!BH112='Weeks Plan'!$D$6,'Planning Sheet'!BB112='Weeks Plan'!$G$6),'Planning Sheet'!$BD112,"")</f>
        <v/>
      </c>
    </row>
    <row r="1096" spans="25:27" x14ac:dyDescent="0.3">
      <c r="Y1096" s="48" t="str">
        <f ca="1">IF(AND('Planning Sheet'!BH113='Weeks Plan'!$D$6,'Planning Sheet'!BB113='Weeks Plan'!$G$6),'Planning Sheet'!$B113,"")</f>
        <v/>
      </c>
      <c r="Z1096" s="48" t="str">
        <f ca="1">IF(AND('Planning Sheet'!BH113='Weeks Plan'!$D$6,'Planning Sheet'!BB113='Weeks Plan'!$G$6),'Planning Sheet'!$BC113,"")</f>
        <v/>
      </c>
      <c r="AA1096" s="48" t="str">
        <f ca="1">IF(AND('Planning Sheet'!BH113='Weeks Plan'!$D$6,'Planning Sheet'!BB113='Weeks Plan'!$G$6),'Planning Sheet'!$BD113,"")</f>
        <v/>
      </c>
    </row>
    <row r="1097" spans="25:27" x14ac:dyDescent="0.3">
      <c r="Y1097" s="48" t="str">
        <f ca="1">IF(AND('Planning Sheet'!BH114='Weeks Plan'!$D$6,'Planning Sheet'!BB114='Weeks Plan'!$G$6),'Planning Sheet'!$B114,"")</f>
        <v/>
      </c>
      <c r="Z1097" s="48" t="str">
        <f ca="1">IF(AND('Planning Sheet'!BH114='Weeks Plan'!$D$6,'Planning Sheet'!BB114='Weeks Plan'!$G$6),'Planning Sheet'!$BC114,"")</f>
        <v/>
      </c>
      <c r="AA1097" s="48" t="str">
        <f ca="1">IF(AND('Planning Sheet'!BH114='Weeks Plan'!$D$6,'Planning Sheet'!BB114='Weeks Plan'!$G$6),'Planning Sheet'!$BD114,"")</f>
        <v/>
      </c>
    </row>
    <row r="1098" spans="25:27" x14ac:dyDescent="0.3">
      <c r="Y1098" s="48" t="str">
        <f ca="1">IF(AND('Planning Sheet'!BH115='Weeks Plan'!$D$6,'Planning Sheet'!BB115='Weeks Plan'!$G$6),'Planning Sheet'!$B115,"")</f>
        <v/>
      </c>
      <c r="Z1098" s="48" t="str">
        <f ca="1">IF(AND('Planning Sheet'!BH115='Weeks Plan'!$D$6,'Planning Sheet'!BB115='Weeks Plan'!$G$6),'Planning Sheet'!$BC115,"")</f>
        <v/>
      </c>
      <c r="AA1098" s="48" t="str">
        <f ca="1">IF(AND('Planning Sheet'!BH115='Weeks Plan'!$D$6,'Planning Sheet'!BB115='Weeks Plan'!$G$6),'Planning Sheet'!$BD115,"")</f>
        <v/>
      </c>
    </row>
    <row r="1099" spans="25:27" x14ac:dyDescent="0.3">
      <c r="Y1099" s="48" t="str">
        <f ca="1">IF(AND('Planning Sheet'!BH116='Weeks Plan'!$D$6,'Planning Sheet'!BB116='Weeks Plan'!$G$6),'Planning Sheet'!$B116,"")</f>
        <v/>
      </c>
      <c r="Z1099" s="48" t="str">
        <f ca="1">IF(AND('Planning Sheet'!BH116='Weeks Plan'!$D$6,'Planning Sheet'!BB116='Weeks Plan'!$G$6),'Planning Sheet'!$BC116,"")</f>
        <v/>
      </c>
      <c r="AA1099" s="48" t="str">
        <f ca="1">IF(AND('Planning Sheet'!BH116='Weeks Plan'!$D$6,'Planning Sheet'!BB116='Weeks Plan'!$G$6),'Planning Sheet'!$BD116,"")</f>
        <v/>
      </c>
    </row>
    <row r="1100" spans="25:27" x14ac:dyDescent="0.3">
      <c r="Y1100" s="48" t="str">
        <f ca="1">IF(AND('Planning Sheet'!BH117='Weeks Plan'!$D$6,'Planning Sheet'!BB117='Weeks Plan'!$G$6),'Planning Sheet'!$B117,"")</f>
        <v/>
      </c>
      <c r="Z1100" s="48" t="str">
        <f ca="1">IF(AND('Planning Sheet'!BH117='Weeks Plan'!$D$6,'Planning Sheet'!BB117='Weeks Plan'!$G$6),'Planning Sheet'!$BC117,"")</f>
        <v/>
      </c>
      <c r="AA1100" s="48" t="str">
        <f ca="1">IF(AND('Planning Sheet'!BH117='Weeks Plan'!$D$6,'Planning Sheet'!BB117='Weeks Plan'!$G$6),'Planning Sheet'!$BD117,"")</f>
        <v/>
      </c>
    </row>
    <row r="1101" spans="25:27" x14ac:dyDescent="0.3">
      <c r="Y1101" s="48" t="str">
        <f ca="1">IF(AND('Planning Sheet'!BH118='Weeks Plan'!$D$6,'Planning Sheet'!BB118='Weeks Plan'!$G$6),'Planning Sheet'!$B118,"")</f>
        <v/>
      </c>
      <c r="Z1101" s="48" t="str">
        <f ca="1">IF(AND('Planning Sheet'!BH118='Weeks Plan'!$D$6,'Planning Sheet'!BB118='Weeks Plan'!$G$6),'Planning Sheet'!$BC118,"")</f>
        <v/>
      </c>
      <c r="AA1101" s="48" t="str">
        <f ca="1">IF(AND('Planning Sheet'!BH118='Weeks Plan'!$D$6,'Planning Sheet'!BB118='Weeks Plan'!$G$6),'Planning Sheet'!$BD118,"")</f>
        <v/>
      </c>
    </row>
    <row r="1102" spans="25:27" x14ac:dyDescent="0.3">
      <c r="Y1102" s="48" t="str">
        <f ca="1">IF(AND('Planning Sheet'!BH119='Weeks Plan'!$D$6,'Planning Sheet'!BB119='Weeks Plan'!$G$6),'Planning Sheet'!$B119,"")</f>
        <v/>
      </c>
      <c r="Z1102" s="48" t="str">
        <f ca="1">IF(AND('Planning Sheet'!BH119='Weeks Plan'!$D$6,'Planning Sheet'!BB119='Weeks Plan'!$G$6),'Planning Sheet'!$BC119,"")</f>
        <v/>
      </c>
      <c r="AA1102" s="48" t="str">
        <f ca="1">IF(AND('Planning Sheet'!BH119='Weeks Plan'!$D$6,'Planning Sheet'!BB119='Weeks Plan'!$G$6),'Planning Sheet'!$BD119,"")</f>
        <v/>
      </c>
    </row>
    <row r="1103" spans="25:27" x14ac:dyDescent="0.3">
      <c r="Y1103" s="48" t="str">
        <f ca="1">IF(AND('Planning Sheet'!BH120='Weeks Plan'!$D$6,'Planning Sheet'!BB120='Weeks Plan'!$G$6),'Planning Sheet'!$B120,"")</f>
        <v/>
      </c>
      <c r="Z1103" s="48" t="str">
        <f ca="1">IF(AND('Planning Sheet'!BH120='Weeks Plan'!$D$6,'Planning Sheet'!BB120='Weeks Plan'!$G$6),'Planning Sheet'!$BC120,"")</f>
        <v/>
      </c>
      <c r="AA1103" s="48" t="str">
        <f ca="1">IF(AND('Planning Sheet'!BH120='Weeks Plan'!$D$6,'Planning Sheet'!BB120='Weeks Plan'!$G$6),'Planning Sheet'!$BD120,"")</f>
        <v/>
      </c>
    </row>
    <row r="1104" spans="25:27" x14ac:dyDescent="0.3">
      <c r="Y1104" s="48" t="str">
        <f ca="1">IF(AND('Planning Sheet'!BH121='Weeks Plan'!$D$6,'Planning Sheet'!BB121='Weeks Plan'!$G$6),'Planning Sheet'!$B121,"")</f>
        <v/>
      </c>
      <c r="Z1104" s="48" t="str">
        <f ca="1">IF(AND('Planning Sheet'!BH121='Weeks Plan'!$D$6,'Planning Sheet'!BB121='Weeks Plan'!$G$6),'Planning Sheet'!$BC121,"")</f>
        <v/>
      </c>
      <c r="AA1104" s="48" t="str">
        <f ca="1">IF(AND('Planning Sheet'!BH121='Weeks Plan'!$D$6,'Planning Sheet'!BB121='Weeks Plan'!$G$6),'Planning Sheet'!$BD121,"")</f>
        <v/>
      </c>
    </row>
    <row r="1105" spans="25:27" x14ac:dyDescent="0.3">
      <c r="Y1105" s="48" t="str">
        <f ca="1">IF(AND('Planning Sheet'!BH122='Weeks Plan'!$D$6,'Planning Sheet'!BB122='Weeks Plan'!$G$6),'Planning Sheet'!$B122,"")</f>
        <v/>
      </c>
      <c r="Z1105" s="48" t="str">
        <f ca="1">IF(AND('Planning Sheet'!BH122='Weeks Plan'!$D$6,'Planning Sheet'!BB122='Weeks Plan'!$G$6),'Planning Sheet'!$BC122,"")</f>
        <v/>
      </c>
      <c r="AA1105" s="48" t="str">
        <f ca="1">IF(AND('Planning Sheet'!BH122='Weeks Plan'!$D$6,'Planning Sheet'!BB122='Weeks Plan'!$G$6),'Planning Sheet'!$BD122,"")</f>
        <v/>
      </c>
    </row>
    <row r="1106" spans="25:27" x14ac:dyDescent="0.3">
      <c r="Y1106" s="48" t="str">
        <f ca="1">IF(AND('Planning Sheet'!BH123='Weeks Plan'!$D$6,'Planning Sheet'!BB123='Weeks Plan'!$G$6),'Planning Sheet'!$B123,"")</f>
        <v/>
      </c>
      <c r="Z1106" s="48" t="str">
        <f ca="1">IF(AND('Planning Sheet'!BH123='Weeks Plan'!$D$6,'Planning Sheet'!BB123='Weeks Plan'!$G$6),'Planning Sheet'!$BC123,"")</f>
        <v/>
      </c>
      <c r="AA1106" s="48" t="str">
        <f ca="1">IF(AND('Planning Sheet'!BH123='Weeks Plan'!$D$6,'Planning Sheet'!BB123='Weeks Plan'!$G$6),'Planning Sheet'!$BD123,"")</f>
        <v/>
      </c>
    </row>
    <row r="1107" spans="25:27" x14ac:dyDescent="0.3">
      <c r="Y1107" s="48" t="str">
        <f ca="1">IF(AND('Planning Sheet'!BH124='Weeks Plan'!$D$6,'Planning Sheet'!BB124='Weeks Plan'!$G$6),'Planning Sheet'!$B124,"")</f>
        <v/>
      </c>
      <c r="Z1107" s="48" t="str">
        <f ca="1">IF(AND('Planning Sheet'!BH124='Weeks Plan'!$D$6,'Planning Sheet'!BB124='Weeks Plan'!$G$6),'Planning Sheet'!$BC124,"")</f>
        <v/>
      </c>
      <c r="AA1107" s="48" t="str">
        <f ca="1">IF(AND('Planning Sheet'!BH124='Weeks Plan'!$D$6,'Planning Sheet'!BB124='Weeks Plan'!$G$6),'Planning Sheet'!$BD124,"")</f>
        <v/>
      </c>
    </row>
    <row r="1108" spans="25:27" x14ac:dyDescent="0.3">
      <c r="Y1108" s="48" t="str">
        <f ca="1">IF(AND('Planning Sheet'!BH125='Weeks Plan'!$D$6,'Planning Sheet'!BB125='Weeks Plan'!$G$6),'Planning Sheet'!$B125,"")</f>
        <v/>
      </c>
      <c r="Z1108" s="48" t="str">
        <f ca="1">IF(AND('Planning Sheet'!BH125='Weeks Plan'!$D$6,'Planning Sheet'!BB125='Weeks Plan'!$G$6),'Planning Sheet'!$BC125,"")</f>
        <v/>
      </c>
      <c r="AA1108" s="48" t="str">
        <f ca="1">IF(AND('Planning Sheet'!BH125='Weeks Plan'!$D$6,'Planning Sheet'!BB125='Weeks Plan'!$G$6),'Planning Sheet'!$BD125,"")</f>
        <v/>
      </c>
    </row>
    <row r="1109" spans="25:27" x14ac:dyDescent="0.3">
      <c r="Y1109" s="48" t="str">
        <f ca="1">IF(AND('Planning Sheet'!BH126='Weeks Plan'!$D$6,'Planning Sheet'!BB126='Weeks Plan'!$G$6),'Planning Sheet'!$B126,"")</f>
        <v/>
      </c>
      <c r="Z1109" s="48" t="str">
        <f ca="1">IF(AND('Planning Sheet'!BH126='Weeks Plan'!$D$6,'Planning Sheet'!BB126='Weeks Plan'!$G$6),'Planning Sheet'!$BC126,"")</f>
        <v/>
      </c>
      <c r="AA1109" s="48" t="str">
        <f ca="1">IF(AND('Planning Sheet'!BH126='Weeks Plan'!$D$6,'Planning Sheet'!BB126='Weeks Plan'!$G$6),'Planning Sheet'!$BD126,"")</f>
        <v/>
      </c>
    </row>
    <row r="1110" spans="25:27" x14ac:dyDescent="0.3">
      <c r="Y1110" s="48" t="str">
        <f ca="1">IF(AND('Planning Sheet'!BH127='Weeks Plan'!$D$6,'Planning Sheet'!BB127='Weeks Plan'!$G$6),'Planning Sheet'!$B127,"")</f>
        <v/>
      </c>
      <c r="Z1110" s="48" t="str">
        <f ca="1">IF(AND('Planning Sheet'!BH127='Weeks Plan'!$D$6,'Planning Sheet'!BB127='Weeks Plan'!$G$6),'Planning Sheet'!$BC127,"")</f>
        <v/>
      </c>
      <c r="AA1110" s="48" t="str">
        <f ca="1">IF(AND('Planning Sheet'!BH127='Weeks Plan'!$D$6,'Planning Sheet'!BB127='Weeks Plan'!$G$6),'Planning Sheet'!$BD127,"")</f>
        <v/>
      </c>
    </row>
    <row r="1111" spans="25:27" x14ac:dyDescent="0.3">
      <c r="Y1111" s="48" t="str">
        <f ca="1">IF(AND('Planning Sheet'!BH128='Weeks Plan'!$D$6,'Planning Sheet'!BB128='Weeks Plan'!$G$6),'Planning Sheet'!$B128,"")</f>
        <v/>
      </c>
      <c r="Z1111" s="48" t="str">
        <f ca="1">IF(AND('Planning Sheet'!BH128='Weeks Plan'!$D$6,'Planning Sheet'!BB128='Weeks Plan'!$G$6),'Planning Sheet'!$BC128,"")</f>
        <v/>
      </c>
      <c r="AA1111" s="48" t="str">
        <f ca="1">IF(AND('Planning Sheet'!BH128='Weeks Plan'!$D$6,'Planning Sheet'!BB128='Weeks Plan'!$G$6),'Planning Sheet'!$BD128,"")</f>
        <v/>
      </c>
    </row>
    <row r="1112" spans="25:27" x14ac:dyDescent="0.3">
      <c r="Y1112" s="48" t="str">
        <f ca="1">IF(AND('Planning Sheet'!BH129='Weeks Plan'!$D$6,'Planning Sheet'!BB129='Weeks Plan'!$G$6),'Planning Sheet'!$B129,"")</f>
        <v/>
      </c>
      <c r="Z1112" s="48" t="str">
        <f ca="1">IF(AND('Planning Sheet'!BH129='Weeks Plan'!$D$6,'Planning Sheet'!BB129='Weeks Plan'!$G$6),'Planning Sheet'!$BC129,"")</f>
        <v/>
      </c>
      <c r="AA1112" s="48" t="str">
        <f ca="1">IF(AND('Planning Sheet'!BH129='Weeks Plan'!$D$6,'Planning Sheet'!BB129='Weeks Plan'!$G$6),'Planning Sheet'!$BD129,"")</f>
        <v/>
      </c>
    </row>
    <row r="1113" spans="25:27" x14ac:dyDescent="0.3">
      <c r="Y1113" s="48" t="str">
        <f ca="1">IF(AND('Planning Sheet'!BH130='Weeks Plan'!$D$6,'Planning Sheet'!BB130='Weeks Plan'!$G$6),'Planning Sheet'!$B130,"")</f>
        <v/>
      </c>
      <c r="Z1113" s="48" t="str">
        <f ca="1">IF(AND('Planning Sheet'!BH130='Weeks Plan'!$D$6,'Planning Sheet'!BB130='Weeks Plan'!$G$6),'Planning Sheet'!$BC130,"")</f>
        <v/>
      </c>
      <c r="AA1113" s="48" t="str">
        <f ca="1">IF(AND('Planning Sheet'!BH130='Weeks Plan'!$D$6,'Planning Sheet'!BB130='Weeks Plan'!$G$6),'Planning Sheet'!$BD130,"")</f>
        <v/>
      </c>
    </row>
    <row r="1114" spans="25:27" x14ac:dyDescent="0.3">
      <c r="Y1114" s="48" t="str">
        <f ca="1">IF(AND('Planning Sheet'!BH131='Weeks Plan'!$D$6,'Planning Sheet'!BB131='Weeks Plan'!$G$6),'Planning Sheet'!$B131,"")</f>
        <v/>
      </c>
      <c r="Z1114" s="48" t="str">
        <f ca="1">IF(AND('Planning Sheet'!BH131='Weeks Plan'!$D$6,'Planning Sheet'!BB131='Weeks Plan'!$G$6),'Planning Sheet'!$BC131,"")</f>
        <v/>
      </c>
      <c r="AA1114" s="48" t="str">
        <f ca="1">IF(AND('Planning Sheet'!BH131='Weeks Plan'!$D$6,'Planning Sheet'!BB131='Weeks Plan'!$G$6),'Planning Sheet'!$BD131,"")</f>
        <v/>
      </c>
    </row>
    <row r="1115" spans="25:27" x14ac:dyDescent="0.3">
      <c r="Y1115" s="48" t="str">
        <f ca="1">IF(AND('Planning Sheet'!BH132='Weeks Plan'!$D$6,'Planning Sheet'!BB132='Weeks Plan'!$G$6),'Planning Sheet'!$B132,"")</f>
        <v/>
      </c>
      <c r="Z1115" s="48" t="str">
        <f ca="1">IF(AND('Planning Sheet'!BH132='Weeks Plan'!$D$6,'Planning Sheet'!BB132='Weeks Plan'!$G$6),'Planning Sheet'!$BC132,"")</f>
        <v/>
      </c>
      <c r="AA1115" s="48" t="str">
        <f ca="1">IF(AND('Planning Sheet'!BH132='Weeks Plan'!$D$6,'Planning Sheet'!BB132='Weeks Plan'!$G$6),'Planning Sheet'!$BD132,"")</f>
        <v/>
      </c>
    </row>
    <row r="1116" spans="25:27" x14ac:dyDescent="0.3">
      <c r="Y1116" s="48" t="str">
        <f ca="1">IF(AND('Planning Sheet'!BH133='Weeks Plan'!$D$6,'Planning Sheet'!BB133='Weeks Plan'!$G$6),'Planning Sheet'!$B133,"")</f>
        <v/>
      </c>
      <c r="Z1116" s="48" t="str">
        <f ca="1">IF(AND('Planning Sheet'!BH133='Weeks Plan'!$D$6,'Planning Sheet'!BB133='Weeks Plan'!$G$6),'Planning Sheet'!$BC133,"")</f>
        <v/>
      </c>
      <c r="AA1116" s="48" t="str">
        <f ca="1">IF(AND('Planning Sheet'!BH133='Weeks Plan'!$D$6,'Planning Sheet'!BB133='Weeks Plan'!$G$6),'Planning Sheet'!$BD133,"")</f>
        <v/>
      </c>
    </row>
    <row r="1117" spans="25:27" x14ac:dyDescent="0.3">
      <c r="Y1117" s="48" t="str">
        <f ca="1">IF(AND('Planning Sheet'!BH134='Weeks Plan'!$D$6,'Planning Sheet'!BB134='Weeks Plan'!$G$6),'Planning Sheet'!$B134,"")</f>
        <v/>
      </c>
      <c r="Z1117" s="48" t="str">
        <f ca="1">IF(AND('Planning Sheet'!BH134='Weeks Plan'!$D$6,'Planning Sheet'!BB134='Weeks Plan'!$G$6),'Planning Sheet'!$BC134,"")</f>
        <v/>
      </c>
      <c r="AA1117" s="48" t="str">
        <f ca="1">IF(AND('Planning Sheet'!BH134='Weeks Plan'!$D$6,'Planning Sheet'!BB134='Weeks Plan'!$G$6),'Planning Sheet'!$BD134,"")</f>
        <v/>
      </c>
    </row>
    <row r="1118" spans="25:27" x14ac:dyDescent="0.3">
      <c r="Y1118" s="48" t="str">
        <f ca="1">IF(AND('Planning Sheet'!BH135='Weeks Plan'!$D$6,'Planning Sheet'!BB135='Weeks Plan'!$G$6),'Planning Sheet'!$B135,"")</f>
        <v/>
      </c>
      <c r="Z1118" s="48" t="str">
        <f ca="1">IF(AND('Planning Sheet'!BH135='Weeks Plan'!$D$6,'Planning Sheet'!BB135='Weeks Plan'!$G$6),'Planning Sheet'!$BC135,"")</f>
        <v/>
      </c>
      <c r="AA1118" s="48" t="str">
        <f ca="1">IF(AND('Planning Sheet'!BH135='Weeks Plan'!$D$6,'Planning Sheet'!BB135='Weeks Plan'!$G$6),'Planning Sheet'!$BD135,"")</f>
        <v/>
      </c>
    </row>
    <row r="1119" spans="25:27" x14ac:dyDescent="0.3">
      <c r="Y1119" s="48" t="str">
        <f ca="1">IF(AND('Planning Sheet'!BH136='Weeks Plan'!$D$6,'Planning Sheet'!BB136='Weeks Plan'!$G$6),'Planning Sheet'!$B136,"")</f>
        <v/>
      </c>
      <c r="Z1119" s="48" t="str">
        <f ca="1">IF(AND('Planning Sheet'!BH136='Weeks Plan'!$D$6,'Planning Sheet'!BB136='Weeks Plan'!$G$6),'Planning Sheet'!$BC136,"")</f>
        <v/>
      </c>
      <c r="AA1119" s="48" t="str">
        <f ca="1">IF(AND('Planning Sheet'!BH136='Weeks Plan'!$D$6,'Planning Sheet'!BB136='Weeks Plan'!$G$6),'Planning Sheet'!$BD136,"")</f>
        <v/>
      </c>
    </row>
    <row r="1120" spans="25:27" x14ac:dyDescent="0.3">
      <c r="Y1120" s="48" t="str">
        <f ca="1">IF(AND('Planning Sheet'!BH137='Weeks Plan'!$D$6,'Planning Sheet'!BB137='Weeks Plan'!$G$6),'Planning Sheet'!$B137,"")</f>
        <v/>
      </c>
      <c r="Z1120" s="48" t="str">
        <f ca="1">IF(AND('Planning Sheet'!BH137='Weeks Plan'!$D$6,'Planning Sheet'!BB137='Weeks Plan'!$G$6),'Planning Sheet'!$BC137,"")</f>
        <v/>
      </c>
      <c r="AA1120" s="48" t="str">
        <f ca="1">IF(AND('Planning Sheet'!BH137='Weeks Plan'!$D$6,'Planning Sheet'!BB137='Weeks Plan'!$G$6),'Planning Sheet'!$BD137,"")</f>
        <v/>
      </c>
    </row>
    <row r="1121" spans="25:27" x14ac:dyDescent="0.3">
      <c r="Y1121" s="48" t="str">
        <f ca="1">IF(AND('Planning Sheet'!BH138='Weeks Plan'!$D$6,'Planning Sheet'!BB138='Weeks Plan'!$G$6),'Planning Sheet'!$B138,"")</f>
        <v/>
      </c>
      <c r="Z1121" s="48" t="str">
        <f ca="1">IF(AND('Planning Sheet'!BH138='Weeks Plan'!$D$6,'Planning Sheet'!BB138='Weeks Plan'!$G$6),'Planning Sheet'!$BC138,"")</f>
        <v/>
      </c>
      <c r="AA1121" s="48" t="str">
        <f ca="1">IF(AND('Planning Sheet'!BH138='Weeks Plan'!$D$6,'Planning Sheet'!BB138='Weeks Plan'!$G$6),'Planning Sheet'!$BD138,"")</f>
        <v/>
      </c>
    </row>
    <row r="1122" spans="25:27" x14ac:dyDescent="0.3">
      <c r="Y1122" s="48" t="str">
        <f ca="1">IF(AND('Planning Sheet'!BH139='Weeks Plan'!$D$6,'Planning Sheet'!BB139='Weeks Plan'!$G$6),'Planning Sheet'!$B139,"")</f>
        <v/>
      </c>
      <c r="Z1122" s="48" t="str">
        <f ca="1">IF(AND('Planning Sheet'!BH139='Weeks Plan'!$D$6,'Planning Sheet'!BB139='Weeks Plan'!$G$6),'Planning Sheet'!$BC139,"")</f>
        <v/>
      </c>
      <c r="AA1122" s="48" t="str">
        <f ca="1">IF(AND('Planning Sheet'!BH139='Weeks Plan'!$D$6,'Planning Sheet'!BB139='Weeks Plan'!$G$6),'Planning Sheet'!$BD139,"")</f>
        <v/>
      </c>
    </row>
    <row r="1123" spans="25:27" x14ac:dyDescent="0.3">
      <c r="Y1123" s="48" t="str">
        <f ca="1">IF(AND('Planning Sheet'!BH140='Weeks Plan'!$D$6,'Planning Sheet'!BB140='Weeks Plan'!$G$6),'Planning Sheet'!$B140,"")</f>
        <v/>
      </c>
      <c r="Z1123" s="48" t="str">
        <f ca="1">IF(AND('Planning Sheet'!BH140='Weeks Plan'!$D$6,'Planning Sheet'!BB140='Weeks Plan'!$G$6),'Planning Sheet'!$BC140,"")</f>
        <v/>
      </c>
      <c r="AA1123" s="48" t="str">
        <f ca="1">IF(AND('Planning Sheet'!BH140='Weeks Plan'!$D$6,'Planning Sheet'!BB140='Weeks Plan'!$G$6),'Planning Sheet'!$BD140,"")</f>
        <v/>
      </c>
    </row>
    <row r="1124" spans="25:27" x14ac:dyDescent="0.3">
      <c r="Y1124" s="48" t="str">
        <f ca="1">IF(AND('Planning Sheet'!BH141='Weeks Plan'!$D$6,'Planning Sheet'!BB141='Weeks Plan'!$G$6),'Planning Sheet'!$B141,"")</f>
        <v/>
      </c>
      <c r="Z1124" s="48" t="str">
        <f ca="1">IF(AND('Planning Sheet'!BH141='Weeks Plan'!$D$6,'Planning Sheet'!BB141='Weeks Plan'!$G$6),'Planning Sheet'!$BC141,"")</f>
        <v/>
      </c>
      <c r="AA1124" s="48" t="str">
        <f ca="1">IF(AND('Planning Sheet'!BH141='Weeks Plan'!$D$6,'Planning Sheet'!BB141='Weeks Plan'!$G$6),'Planning Sheet'!$BD141,"")</f>
        <v/>
      </c>
    </row>
    <row r="1125" spans="25:27" x14ac:dyDescent="0.3">
      <c r="Y1125" s="48" t="str">
        <f ca="1">IF(AND('Planning Sheet'!BH142='Weeks Plan'!$D$6,'Planning Sheet'!BB142='Weeks Plan'!$G$6),'Planning Sheet'!$B142,"")</f>
        <v/>
      </c>
      <c r="Z1125" s="48" t="str">
        <f ca="1">IF(AND('Planning Sheet'!BH142='Weeks Plan'!$D$6,'Planning Sheet'!BB142='Weeks Plan'!$G$6),'Planning Sheet'!$BC142,"")</f>
        <v/>
      </c>
      <c r="AA1125" s="48" t="str">
        <f ca="1">IF(AND('Planning Sheet'!BH142='Weeks Plan'!$D$6,'Planning Sheet'!BB142='Weeks Plan'!$G$6),'Planning Sheet'!$BD142,"")</f>
        <v/>
      </c>
    </row>
    <row r="1126" spans="25:27" x14ac:dyDescent="0.3">
      <c r="Y1126" s="48" t="str">
        <f ca="1">IF(AND('Planning Sheet'!BH143='Weeks Plan'!$D$6,'Planning Sheet'!BB143='Weeks Plan'!$G$6),'Planning Sheet'!$B143,"")</f>
        <v/>
      </c>
      <c r="Z1126" s="48" t="str">
        <f ca="1">IF(AND('Planning Sheet'!BH143='Weeks Plan'!$D$6,'Planning Sheet'!BB143='Weeks Plan'!$G$6),'Planning Sheet'!$BC143,"")</f>
        <v/>
      </c>
      <c r="AA1126" s="48" t="str">
        <f ca="1">IF(AND('Planning Sheet'!BH143='Weeks Plan'!$D$6,'Planning Sheet'!BB143='Weeks Plan'!$G$6),'Planning Sheet'!$BD143,"")</f>
        <v/>
      </c>
    </row>
    <row r="1127" spans="25:27" x14ac:dyDescent="0.3">
      <c r="Y1127" s="48" t="str">
        <f ca="1">IF(AND('Planning Sheet'!BH144='Weeks Plan'!$D$6,'Planning Sheet'!BB144='Weeks Plan'!$G$6),'Planning Sheet'!$B144,"")</f>
        <v/>
      </c>
      <c r="Z1127" s="48" t="str">
        <f ca="1">IF(AND('Planning Sheet'!BH144='Weeks Plan'!$D$6,'Planning Sheet'!BB144='Weeks Plan'!$G$6),'Planning Sheet'!$BC144,"")</f>
        <v/>
      </c>
      <c r="AA1127" s="48" t="str">
        <f ca="1">IF(AND('Planning Sheet'!BH144='Weeks Plan'!$D$6,'Planning Sheet'!BB144='Weeks Plan'!$G$6),'Planning Sheet'!$BD144,"")</f>
        <v/>
      </c>
    </row>
    <row r="1128" spans="25:27" x14ac:dyDescent="0.3">
      <c r="Y1128" s="48" t="str">
        <f ca="1">IF(AND('Planning Sheet'!BH145='Weeks Plan'!$D$6,'Planning Sheet'!BB145='Weeks Plan'!$G$6),'Planning Sheet'!$B145,"")</f>
        <v/>
      </c>
      <c r="Z1128" s="48" t="str">
        <f ca="1">IF(AND('Planning Sheet'!BH145='Weeks Plan'!$D$6,'Planning Sheet'!BB145='Weeks Plan'!$G$6),'Planning Sheet'!$BC145,"")</f>
        <v/>
      </c>
      <c r="AA1128" s="48" t="str">
        <f ca="1">IF(AND('Planning Sheet'!BH145='Weeks Plan'!$D$6,'Planning Sheet'!BB145='Weeks Plan'!$G$6),'Planning Sheet'!$BD145,"")</f>
        <v/>
      </c>
    </row>
    <row r="1129" spans="25:27" x14ac:dyDescent="0.3">
      <c r="Y1129" s="48" t="str">
        <f ca="1">IF(AND('Planning Sheet'!BH146='Weeks Plan'!$D$6,'Planning Sheet'!BB146='Weeks Plan'!$G$6),'Planning Sheet'!$B146,"")</f>
        <v/>
      </c>
      <c r="Z1129" s="48" t="str">
        <f ca="1">IF(AND('Planning Sheet'!BH146='Weeks Plan'!$D$6,'Planning Sheet'!BB146='Weeks Plan'!$G$6),'Planning Sheet'!$BC146,"")</f>
        <v/>
      </c>
      <c r="AA1129" s="48" t="str">
        <f ca="1">IF(AND('Planning Sheet'!BH146='Weeks Plan'!$D$6,'Planning Sheet'!BB146='Weeks Plan'!$G$6),'Planning Sheet'!$BD146,"")</f>
        <v/>
      </c>
    </row>
    <row r="1130" spans="25:27" x14ac:dyDescent="0.3">
      <c r="Y1130" s="48" t="str">
        <f ca="1">IF(AND('Planning Sheet'!BH147='Weeks Plan'!$D$6,'Planning Sheet'!BB147='Weeks Plan'!$G$6),'Planning Sheet'!$B147,"")</f>
        <v/>
      </c>
      <c r="Z1130" s="48" t="str">
        <f ca="1">IF(AND('Planning Sheet'!BH147='Weeks Plan'!$D$6,'Planning Sheet'!BB147='Weeks Plan'!$G$6),'Planning Sheet'!$BC147,"")</f>
        <v/>
      </c>
      <c r="AA1130" s="48" t="str">
        <f ca="1">IF(AND('Planning Sheet'!BH147='Weeks Plan'!$D$6,'Planning Sheet'!BB147='Weeks Plan'!$G$6),'Planning Sheet'!$BD147,"")</f>
        <v/>
      </c>
    </row>
    <row r="1131" spans="25:27" x14ac:dyDescent="0.3">
      <c r="Y1131" s="48" t="str">
        <f ca="1">IF(AND('Planning Sheet'!BH148='Weeks Plan'!$D$6,'Planning Sheet'!BB148='Weeks Plan'!$G$6),'Planning Sheet'!$B148,"")</f>
        <v/>
      </c>
      <c r="Z1131" s="48" t="str">
        <f ca="1">IF(AND('Planning Sheet'!BH148='Weeks Plan'!$D$6,'Planning Sheet'!BB148='Weeks Plan'!$G$6),'Planning Sheet'!$BC148,"")</f>
        <v/>
      </c>
      <c r="AA1131" s="48" t="str">
        <f ca="1">IF(AND('Planning Sheet'!BH148='Weeks Plan'!$D$6,'Planning Sheet'!BB148='Weeks Plan'!$G$6),'Planning Sheet'!$BD148,"")</f>
        <v/>
      </c>
    </row>
    <row r="1132" spans="25:27" x14ac:dyDescent="0.3">
      <c r="Y1132" s="48" t="str">
        <f ca="1">IF(AND('Planning Sheet'!BH149='Weeks Plan'!$D$6,'Planning Sheet'!BB149='Weeks Plan'!$G$6),'Planning Sheet'!$B149,"")</f>
        <v/>
      </c>
      <c r="Z1132" s="48" t="str">
        <f ca="1">IF(AND('Planning Sheet'!BH149='Weeks Plan'!$D$6,'Planning Sheet'!BB149='Weeks Plan'!$G$6),'Planning Sheet'!$BC149,"")</f>
        <v/>
      </c>
      <c r="AA1132" s="48" t="str">
        <f ca="1">IF(AND('Planning Sheet'!BH149='Weeks Plan'!$D$6,'Planning Sheet'!BB149='Weeks Plan'!$G$6),'Planning Sheet'!$BD149,"")</f>
        <v/>
      </c>
    </row>
    <row r="1133" spans="25:27" x14ac:dyDescent="0.3">
      <c r="Y1133" s="48" t="str">
        <f ca="1">IF(AND('Planning Sheet'!BH150='Weeks Plan'!$D$6,'Planning Sheet'!BB150='Weeks Plan'!$G$6),'Planning Sheet'!$B150,"")</f>
        <v/>
      </c>
      <c r="Z1133" s="48" t="str">
        <f ca="1">IF(AND('Planning Sheet'!BH150='Weeks Plan'!$D$6,'Planning Sheet'!BB150='Weeks Plan'!$G$6),'Planning Sheet'!$BC150,"")</f>
        <v/>
      </c>
      <c r="AA1133" s="48" t="str">
        <f ca="1">IF(AND('Planning Sheet'!BH150='Weeks Plan'!$D$6,'Planning Sheet'!BB150='Weeks Plan'!$G$6),'Planning Sheet'!$BD150,"")</f>
        <v/>
      </c>
    </row>
    <row r="1134" spans="25:27" x14ac:dyDescent="0.3">
      <c r="Y1134" s="48" t="str">
        <f ca="1">IF(AND('Planning Sheet'!BH151='Weeks Plan'!$D$6,'Planning Sheet'!BB151='Weeks Plan'!$G$6),'Planning Sheet'!$B151,"")</f>
        <v/>
      </c>
      <c r="Z1134" s="48" t="str">
        <f ca="1">IF(AND('Planning Sheet'!BH151='Weeks Plan'!$D$6,'Planning Sheet'!BB151='Weeks Plan'!$G$6),'Planning Sheet'!$BC151,"")</f>
        <v/>
      </c>
      <c r="AA1134" s="48" t="str">
        <f ca="1">IF(AND('Planning Sheet'!BH151='Weeks Plan'!$D$6,'Planning Sheet'!BB151='Weeks Plan'!$G$6),'Planning Sheet'!$BD151,"")</f>
        <v/>
      </c>
    </row>
    <row r="1135" spans="25:27" x14ac:dyDescent="0.3">
      <c r="Y1135" s="48" t="str">
        <f ca="1">IF(AND('Planning Sheet'!BH152='Weeks Plan'!$D$6,'Planning Sheet'!BB152='Weeks Plan'!$G$6),'Planning Sheet'!$B152,"")</f>
        <v/>
      </c>
      <c r="Z1135" s="48" t="str">
        <f ca="1">IF(AND('Planning Sheet'!BH152='Weeks Plan'!$D$6,'Planning Sheet'!BB152='Weeks Plan'!$G$6),'Planning Sheet'!$BC152,"")</f>
        <v/>
      </c>
      <c r="AA1135" s="48" t="str">
        <f ca="1">IF(AND('Planning Sheet'!BH152='Weeks Plan'!$D$6,'Planning Sheet'!BB152='Weeks Plan'!$G$6),'Planning Sheet'!$BD152,"")</f>
        <v/>
      </c>
    </row>
    <row r="1136" spans="25:27" x14ac:dyDescent="0.3">
      <c r="Y1136" s="48" t="str">
        <f ca="1">IF(AND('Planning Sheet'!BH153='Weeks Plan'!$D$6,'Planning Sheet'!BB153='Weeks Plan'!$G$6),'Planning Sheet'!$B153,"")</f>
        <v/>
      </c>
      <c r="Z1136" s="48" t="str">
        <f ca="1">IF(AND('Planning Sheet'!BH153='Weeks Plan'!$D$6,'Planning Sheet'!BB153='Weeks Plan'!$G$6),'Planning Sheet'!$BC153,"")</f>
        <v/>
      </c>
      <c r="AA1136" s="48" t="str">
        <f ca="1">IF(AND('Planning Sheet'!BH153='Weeks Plan'!$D$6,'Planning Sheet'!BB153='Weeks Plan'!$G$6),'Planning Sheet'!$BD153,"")</f>
        <v/>
      </c>
    </row>
    <row r="1137" spans="25:27" x14ac:dyDescent="0.3">
      <c r="Y1137" s="48" t="str">
        <f ca="1">IF(AND('Planning Sheet'!BH154='Weeks Plan'!$D$6,'Planning Sheet'!BB154='Weeks Plan'!$G$6),'Planning Sheet'!$B154,"")</f>
        <v/>
      </c>
      <c r="Z1137" s="48" t="str">
        <f ca="1">IF(AND('Planning Sheet'!BH154='Weeks Plan'!$D$6,'Planning Sheet'!BB154='Weeks Plan'!$G$6),'Planning Sheet'!$BC154,"")</f>
        <v/>
      </c>
      <c r="AA1137" s="48" t="str">
        <f ca="1">IF(AND('Planning Sheet'!BH154='Weeks Plan'!$D$6,'Planning Sheet'!BB154='Weeks Plan'!$G$6),'Planning Sheet'!$BD154,"")</f>
        <v/>
      </c>
    </row>
    <row r="1138" spans="25:27" x14ac:dyDescent="0.3">
      <c r="Y1138" s="48" t="str">
        <f ca="1">IF(AND('Planning Sheet'!BH155='Weeks Plan'!$D$6,'Planning Sheet'!BB155='Weeks Plan'!$G$6),'Planning Sheet'!$B155,"")</f>
        <v/>
      </c>
      <c r="Z1138" s="48" t="str">
        <f ca="1">IF(AND('Planning Sheet'!BH155='Weeks Plan'!$D$6,'Planning Sheet'!BB155='Weeks Plan'!$G$6),'Planning Sheet'!$BC155,"")</f>
        <v/>
      </c>
      <c r="AA1138" s="48" t="str">
        <f ca="1">IF(AND('Planning Sheet'!BH155='Weeks Plan'!$D$6,'Planning Sheet'!BB155='Weeks Plan'!$G$6),'Planning Sheet'!$BD155,"")</f>
        <v/>
      </c>
    </row>
    <row r="1139" spans="25:27" x14ac:dyDescent="0.3">
      <c r="Y1139" s="48" t="str">
        <f ca="1">IF(AND('Planning Sheet'!BH156='Weeks Plan'!$D$6,'Planning Sheet'!BB156='Weeks Plan'!$G$6),'Planning Sheet'!$B156,"")</f>
        <v/>
      </c>
      <c r="Z1139" s="48" t="str">
        <f ca="1">IF(AND('Planning Sheet'!BH156='Weeks Plan'!$D$6,'Planning Sheet'!BB156='Weeks Plan'!$G$6),'Planning Sheet'!$BC156,"")</f>
        <v/>
      </c>
      <c r="AA1139" s="48" t="str">
        <f ca="1">IF(AND('Planning Sheet'!BH156='Weeks Plan'!$D$6,'Planning Sheet'!BB156='Weeks Plan'!$G$6),'Planning Sheet'!$BD156,"")</f>
        <v/>
      </c>
    </row>
    <row r="1140" spans="25:27" x14ac:dyDescent="0.3">
      <c r="Y1140" s="48" t="str">
        <f ca="1">IF(AND('Planning Sheet'!BH157='Weeks Plan'!$D$6,'Planning Sheet'!BB157='Weeks Plan'!$G$6),'Planning Sheet'!$B157,"")</f>
        <v/>
      </c>
      <c r="Z1140" s="48" t="str">
        <f ca="1">IF(AND('Planning Sheet'!BH157='Weeks Plan'!$D$6,'Planning Sheet'!BB157='Weeks Plan'!$G$6),'Planning Sheet'!$BC157,"")</f>
        <v/>
      </c>
      <c r="AA1140" s="48" t="str">
        <f ca="1">IF(AND('Planning Sheet'!BH157='Weeks Plan'!$D$6,'Planning Sheet'!BB157='Weeks Plan'!$G$6),'Planning Sheet'!$BD157,"")</f>
        <v/>
      </c>
    </row>
    <row r="1141" spans="25:27" x14ac:dyDescent="0.3">
      <c r="Y1141" s="48" t="str">
        <f ca="1">IF(AND('Planning Sheet'!BH158='Weeks Plan'!$D$6,'Planning Sheet'!BB158='Weeks Plan'!$G$6),'Planning Sheet'!$B158,"")</f>
        <v/>
      </c>
      <c r="Z1141" s="48" t="str">
        <f ca="1">IF(AND('Planning Sheet'!BH158='Weeks Plan'!$D$6,'Planning Sheet'!BB158='Weeks Plan'!$G$6),'Planning Sheet'!$BC158,"")</f>
        <v/>
      </c>
      <c r="AA1141" s="48" t="str">
        <f ca="1">IF(AND('Planning Sheet'!BH158='Weeks Plan'!$D$6,'Planning Sheet'!BB158='Weeks Plan'!$G$6),'Planning Sheet'!$BD158,"")</f>
        <v/>
      </c>
    </row>
    <row r="1142" spans="25:27" x14ac:dyDescent="0.3">
      <c r="Y1142" s="48" t="str">
        <f ca="1">IF(AND('Planning Sheet'!BH159='Weeks Plan'!$D$6,'Planning Sheet'!BB159='Weeks Plan'!$G$6),'Planning Sheet'!$B159,"")</f>
        <v/>
      </c>
      <c r="Z1142" s="48" t="str">
        <f ca="1">IF(AND('Planning Sheet'!BH159='Weeks Plan'!$D$6,'Planning Sheet'!BB159='Weeks Plan'!$G$6),'Planning Sheet'!$BC159,"")</f>
        <v/>
      </c>
      <c r="AA1142" s="48" t="str">
        <f ca="1">IF(AND('Planning Sheet'!BH159='Weeks Plan'!$D$6,'Planning Sheet'!BB159='Weeks Plan'!$G$6),'Planning Sheet'!$BD159,"")</f>
        <v/>
      </c>
    </row>
    <row r="1143" spans="25:27" x14ac:dyDescent="0.3">
      <c r="Y1143" s="48" t="str">
        <f ca="1">IF(AND('Planning Sheet'!BH160='Weeks Plan'!$D$6,'Planning Sheet'!BB160='Weeks Plan'!$G$6),'Planning Sheet'!$B160,"")</f>
        <v/>
      </c>
      <c r="Z1143" s="48" t="str">
        <f ca="1">IF(AND('Planning Sheet'!BH160='Weeks Plan'!$D$6,'Planning Sheet'!BB160='Weeks Plan'!$G$6),'Planning Sheet'!$BC160,"")</f>
        <v/>
      </c>
      <c r="AA1143" s="48" t="str">
        <f ca="1">IF(AND('Planning Sheet'!BH160='Weeks Plan'!$D$6,'Planning Sheet'!BB160='Weeks Plan'!$G$6),'Planning Sheet'!$BD160,"")</f>
        <v/>
      </c>
    </row>
    <row r="1144" spans="25:27" x14ac:dyDescent="0.3">
      <c r="Y1144" s="48" t="str">
        <f ca="1">IF(AND('Planning Sheet'!BH161='Weeks Plan'!$D$6,'Planning Sheet'!BB161='Weeks Plan'!$G$6),'Planning Sheet'!$B161,"")</f>
        <v/>
      </c>
      <c r="Z1144" s="48" t="str">
        <f ca="1">IF(AND('Planning Sheet'!BH161='Weeks Plan'!$D$6,'Planning Sheet'!BB161='Weeks Plan'!$G$6),'Planning Sheet'!$BC161,"")</f>
        <v/>
      </c>
      <c r="AA1144" s="48" t="str">
        <f ca="1">IF(AND('Planning Sheet'!BH161='Weeks Plan'!$D$6,'Planning Sheet'!BB161='Weeks Plan'!$G$6),'Planning Sheet'!$BD161,"")</f>
        <v/>
      </c>
    </row>
    <row r="1145" spans="25:27" x14ac:dyDescent="0.3">
      <c r="Y1145" s="48" t="str">
        <f ca="1">IF(AND('Planning Sheet'!BH162='Weeks Plan'!$D$6,'Planning Sheet'!BB162='Weeks Plan'!$G$6),'Planning Sheet'!$B162,"")</f>
        <v/>
      </c>
      <c r="Z1145" s="48" t="str">
        <f ca="1">IF(AND('Planning Sheet'!BH162='Weeks Plan'!$D$6,'Planning Sheet'!BB162='Weeks Plan'!$G$6),'Planning Sheet'!$BC162,"")</f>
        <v/>
      </c>
      <c r="AA1145" s="48" t="str">
        <f ca="1">IF(AND('Planning Sheet'!BH162='Weeks Plan'!$D$6,'Planning Sheet'!BB162='Weeks Plan'!$G$6),'Planning Sheet'!$BD162,"")</f>
        <v/>
      </c>
    </row>
    <row r="1146" spans="25:27" x14ac:dyDescent="0.3">
      <c r="Y1146" s="48" t="str">
        <f ca="1">IF(AND('Planning Sheet'!BH163='Weeks Plan'!$D$6,'Planning Sheet'!BB163='Weeks Plan'!$G$6),'Planning Sheet'!$B163,"")</f>
        <v/>
      </c>
      <c r="Z1146" s="48" t="str">
        <f ca="1">IF(AND('Planning Sheet'!BH163='Weeks Plan'!$D$6,'Planning Sheet'!BB163='Weeks Plan'!$G$6),'Planning Sheet'!$BC163,"")</f>
        <v/>
      </c>
      <c r="AA1146" s="48" t="str">
        <f ca="1">IF(AND('Planning Sheet'!BH163='Weeks Plan'!$D$6,'Planning Sheet'!BB163='Weeks Plan'!$G$6),'Planning Sheet'!$BD163,"")</f>
        <v/>
      </c>
    </row>
    <row r="1147" spans="25:27" x14ac:dyDescent="0.3">
      <c r="Y1147" s="48" t="str">
        <f ca="1">IF(AND('Planning Sheet'!BH164='Weeks Plan'!$D$6,'Planning Sheet'!BB164='Weeks Plan'!$G$6),'Planning Sheet'!$B164,"")</f>
        <v/>
      </c>
      <c r="Z1147" s="48" t="str">
        <f ca="1">IF(AND('Planning Sheet'!BH164='Weeks Plan'!$D$6,'Planning Sheet'!BB164='Weeks Plan'!$G$6),'Planning Sheet'!$BC164,"")</f>
        <v/>
      </c>
      <c r="AA1147" s="48" t="str">
        <f ca="1">IF(AND('Planning Sheet'!BH164='Weeks Plan'!$D$6,'Planning Sheet'!BB164='Weeks Plan'!$G$6),'Planning Sheet'!$BD164,"")</f>
        <v/>
      </c>
    </row>
    <row r="1148" spans="25:27" x14ac:dyDescent="0.3">
      <c r="Y1148" s="48" t="str">
        <f ca="1">IF(AND('Planning Sheet'!BH165='Weeks Plan'!$D$6,'Planning Sheet'!BB165='Weeks Plan'!$G$6),'Planning Sheet'!$B165,"")</f>
        <v/>
      </c>
      <c r="Z1148" s="48" t="str">
        <f ca="1">IF(AND('Planning Sheet'!BH165='Weeks Plan'!$D$6,'Planning Sheet'!BB165='Weeks Plan'!$G$6),'Planning Sheet'!$BC165,"")</f>
        <v/>
      </c>
      <c r="AA1148" s="48" t="str">
        <f ca="1">IF(AND('Planning Sheet'!BH165='Weeks Plan'!$D$6,'Planning Sheet'!BB165='Weeks Plan'!$G$6),'Planning Sheet'!$BD165,"")</f>
        <v/>
      </c>
    </row>
    <row r="1149" spans="25:27" x14ac:dyDescent="0.3">
      <c r="Y1149" s="48" t="str">
        <f ca="1">IF(AND('Planning Sheet'!BH166='Weeks Plan'!$D$6,'Planning Sheet'!BB166='Weeks Plan'!$G$6),'Planning Sheet'!$B166,"")</f>
        <v/>
      </c>
      <c r="Z1149" s="48" t="str">
        <f ca="1">IF(AND('Planning Sheet'!BH166='Weeks Plan'!$D$6,'Planning Sheet'!BB166='Weeks Plan'!$G$6),'Planning Sheet'!$BC166,"")</f>
        <v/>
      </c>
      <c r="AA1149" s="48" t="str">
        <f ca="1">IF(AND('Planning Sheet'!BH166='Weeks Plan'!$D$6,'Planning Sheet'!BB166='Weeks Plan'!$G$6),'Planning Sheet'!$BD166,"")</f>
        <v/>
      </c>
    </row>
    <row r="1150" spans="25:27" x14ac:dyDescent="0.3">
      <c r="Y1150" s="48" t="str">
        <f ca="1">IF(AND('Planning Sheet'!BH167='Weeks Plan'!$D$6,'Planning Sheet'!BB167='Weeks Plan'!$G$6),'Planning Sheet'!$B167,"")</f>
        <v/>
      </c>
      <c r="Z1150" s="48" t="str">
        <f ca="1">IF(AND('Planning Sheet'!BH167='Weeks Plan'!$D$6,'Planning Sheet'!BB167='Weeks Plan'!$G$6),'Planning Sheet'!$BC167,"")</f>
        <v/>
      </c>
      <c r="AA1150" s="48" t="str">
        <f ca="1">IF(AND('Planning Sheet'!BH167='Weeks Plan'!$D$6,'Planning Sheet'!BB167='Weeks Plan'!$G$6),'Planning Sheet'!$BD167,"")</f>
        <v/>
      </c>
    </row>
    <row r="1151" spans="25:27" x14ac:dyDescent="0.3">
      <c r="Y1151" s="48" t="str">
        <f ca="1">IF(AND('Planning Sheet'!BH168='Weeks Plan'!$D$6,'Planning Sheet'!BB168='Weeks Plan'!$G$6),'Planning Sheet'!$B168,"")</f>
        <v/>
      </c>
      <c r="Z1151" s="48" t="str">
        <f ca="1">IF(AND('Planning Sheet'!BH168='Weeks Plan'!$D$6,'Planning Sheet'!BB168='Weeks Plan'!$G$6),'Planning Sheet'!$BC168,"")</f>
        <v/>
      </c>
      <c r="AA1151" s="48" t="str">
        <f ca="1">IF(AND('Planning Sheet'!BH168='Weeks Plan'!$D$6,'Planning Sheet'!BB168='Weeks Plan'!$G$6),'Planning Sheet'!$BD168,"")</f>
        <v/>
      </c>
    </row>
    <row r="1152" spans="25:27" x14ac:dyDescent="0.3">
      <c r="Y1152" s="48" t="str">
        <f ca="1">IF(AND('Planning Sheet'!BH169='Weeks Plan'!$D$6,'Planning Sheet'!BB169='Weeks Plan'!$G$6),'Planning Sheet'!$B169,"")</f>
        <v/>
      </c>
      <c r="Z1152" s="48" t="str">
        <f ca="1">IF(AND('Planning Sheet'!BH169='Weeks Plan'!$D$6,'Planning Sheet'!BB169='Weeks Plan'!$G$6),'Planning Sheet'!$BC169,"")</f>
        <v/>
      </c>
      <c r="AA1152" s="48" t="str">
        <f ca="1">IF(AND('Planning Sheet'!BH169='Weeks Plan'!$D$6,'Planning Sheet'!BB169='Weeks Plan'!$G$6),'Planning Sheet'!$BD169,"")</f>
        <v/>
      </c>
    </row>
    <row r="1153" spans="25:27" x14ac:dyDescent="0.3">
      <c r="Y1153" s="48" t="str">
        <f ca="1">IF(AND('Planning Sheet'!BH170='Weeks Plan'!$D$6,'Planning Sheet'!BB170='Weeks Plan'!$G$6),'Planning Sheet'!$B170,"")</f>
        <v/>
      </c>
      <c r="Z1153" s="48" t="str">
        <f ca="1">IF(AND('Planning Sheet'!BH170='Weeks Plan'!$D$6,'Planning Sheet'!BB170='Weeks Plan'!$G$6),'Planning Sheet'!$BC170,"")</f>
        <v/>
      </c>
      <c r="AA1153" s="48" t="str">
        <f ca="1">IF(AND('Planning Sheet'!BH170='Weeks Plan'!$D$6,'Planning Sheet'!BB170='Weeks Plan'!$G$6),'Planning Sheet'!$BD170,"")</f>
        <v/>
      </c>
    </row>
    <row r="1154" spans="25:27" x14ac:dyDescent="0.3">
      <c r="Y1154" s="48" t="str">
        <f ca="1">IF(AND('Planning Sheet'!BH171='Weeks Plan'!$D$6,'Planning Sheet'!BB171='Weeks Plan'!$G$6),'Planning Sheet'!$B171,"")</f>
        <v/>
      </c>
      <c r="Z1154" s="48" t="str">
        <f ca="1">IF(AND('Planning Sheet'!BH171='Weeks Plan'!$D$6,'Planning Sheet'!BB171='Weeks Plan'!$G$6),'Planning Sheet'!$BC171,"")</f>
        <v/>
      </c>
      <c r="AA1154" s="48" t="str">
        <f ca="1">IF(AND('Planning Sheet'!BH171='Weeks Plan'!$D$6,'Planning Sheet'!BB171='Weeks Plan'!$G$6),'Planning Sheet'!$BD171,"")</f>
        <v/>
      </c>
    </row>
    <row r="1155" spans="25:27" x14ac:dyDescent="0.3">
      <c r="Y1155" s="48" t="str">
        <f ca="1">IF(AND('Planning Sheet'!BH172='Weeks Plan'!$D$6,'Planning Sheet'!BB172='Weeks Plan'!$G$6),'Planning Sheet'!$B172,"")</f>
        <v/>
      </c>
      <c r="Z1155" s="48" t="str">
        <f ca="1">IF(AND('Planning Sheet'!BH172='Weeks Plan'!$D$6,'Planning Sheet'!BB172='Weeks Plan'!$G$6),'Planning Sheet'!$BC172,"")</f>
        <v/>
      </c>
      <c r="AA1155" s="48" t="str">
        <f ca="1">IF(AND('Planning Sheet'!BH172='Weeks Plan'!$D$6,'Planning Sheet'!BB172='Weeks Plan'!$G$6),'Planning Sheet'!$BD172,"")</f>
        <v/>
      </c>
    </row>
    <row r="1156" spans="25:27" x14ac:dyDescent="0.3">
      <c r="Y1156" s="48" t="str">
        <f ca="1">IF(AND('Planning Sheet'!BH173='Weeks Plan'!$D$6,'Planning Sheet'!BB173='Weeks Plan'!$G$6),'Planning Sheet'!$B173,"")</f>
        <v/>
      </c>
      <c r="Z1156" s="48" t="str">
        <f ca="1">IF(AND('Planning Sheet'!BH173='Weeks Plan'!$D$6,'Planning Sheet'!BB173='Weeks Plan'!$G$6),'Planning Sheet'!$BC173,"")</f>
        <v/>
      </c>
      <c r="AA1156" s="48" t="str">
        <f ca="1">IF(AND('Planning Sheet'!BH173='Weeks Plan'!$D$6,'Planning Sheet'!BB173='Weeks Plan'!$G$6),'Planning Sheet'!$BD173,"")</f>
        <v/>
      </c>
    </row>
    <row r="1157" spans="25:27" x14ac:dyDescent="0.3">
      <c r="Y1157" s="48" t="str">
        <f ca="1">IF(AND('Planning Sheet'!BH174='Weeks Plan'!$D$6,'Planning Sheet'!BB174='Weeks Plan'!$G$6),'Planning Sheet'!$B174,"")</f>
        <v/>
      </c>
      <c r="Z1157" s="48" t="str">
        <f ca="1">IF(AND('Planning Sheet'!BH174='Weeks Plan'!$D$6,'Planning Sheet'!BB174='Weeks Plan'!$G$6),'Planning Sheet'!$BC174,"")</f>
        <v/>
      </c>
      <c r="AA1157" s="48" t="str">
        <f ca="1">IF(AND('Planning Sheet'!BH174='Weeks Plan'!$D$6,'Planning Sheet'!BB174='Weeks Plan'!$G$6),'Planning Sheet'!$BD174,"")</f>
        <v/>
      </c>
    </row>
    <row r="1158" spans="25:27" x14ac:dyDescent="0.3">
      <c r="Y1158" s="48" t="str">
        <f ca="1">IF(AND('Planning Sheet'!BH175='Weeks Plan'!$D$6,'Planning Sheet'!BB175='Weeks Plan'!$G$6),'Planning Sheet'!$B175,"")</f>
        <v/>
      </c>
      <c r="Z1158" s="48" t="str">
        <f ca="1">IF(AND('Planning Sheet'!BH175='Weeks Plan'!$D$6,'Planning Sheet'!BB175='Weeks Plan'!$G$6),'Planning Sheet'!$BC175,"")</f>
        <v/>
      </c>
      <c r="AA1158" s="48" t="str">
        <f ca="1">IF(AND('Planning Sheet'!BH175='Weeks Plan'!$D$6,'Planning Sheet'!BB175='Weeks Plan'!$G$6),'Planning Sheet'!$BD175,"")</f>
        <v/>
      </c>
    </row>
    <row r="1159" spans="25:27" x14ac:dyDescent="0.3">
      <c r="Y1159" s="48" t="str">
        <f ca="1">IF(AND('Planning Sheet'!BH176='Weeks Plan'!$D$6,'Planning Sheet'!BB176='Weeks Plan'!$G$6),'Planning Sheet'!$B176,"")</f>
        <v/>
      </c>
      <c r="Z1159" s="48" t="str">
        <f ca="1">IF(AND('Planning Sheet'!BH176='Weeks Plan'!$D$6,'Planning Sheet'!BB176='Weeks Plan'!$G$6),'Planning Sheet'!$BC176,"")</f>
        <v/>
      </c>
      <c r="AA1159" s="48" t="str">
        <f ca="1">IF(AND('Planning Sheet'!BH176='Weeks Plan'!$D$6,'Planning Sheet'!BB176='Weeks Plan'!$G$6),'Planning Sheet'!$BD176,"")</f>
        <v/>
      </c>
    </row>
    <row r="1160" spans="25:27" x14ac:dyDescent="0.3">
      <c r="Y1160" s="48" t="str">
        <f ca="1">IF(AND('Planning Sheet'!BH177='Weeks Plan'!$D$6,'Planning Sheet'!BB177='Weeks Plan'!$G$6),'Planning Sheet'!$B177,"")</f>
        <v/>
      </c>
      <c r="Z1160" s="48" t="str">
        <f ca="1">IF(AND('Planning Sheet'!BH177='Weeks Plan'!$D$6,'Planning Sheet'!BB177='Weeks Plan'!$G$6),'Planning Sheet'!$BC177,"")</f>
        <v/>
      </c>
      <c r="AA1160" s="48" t="str">
        <f ca="1">IF(AND('Planning Sheet'!BH177='Weeks Plan'!$D$6,'Planning Sheet'!BB177='Weeks Plan'!$G$6),'Planning Sheet'!$BD177,"")</f>
        <v/>
      </c>
    </row>
    <row r="1161" spans="25:27" x14ac:dyDescent="0.3">
      <c r="Y1161" s="48" t="str">
        <f ca="1">IF(AND('Planning Sheet'!BH178='Weeks Plan'!$D$6,'Planning Sheet'!BB178='Weeks Plan'!$G$6),'Planning Sheet'!$B178,"")</f>
        <v/>
      </c>
      <c r="Z1161" s="48" t="str">
        <f ca="1">IF(AND('Planning Sheet'!BH178='Weeks Plan'!$D$6,'Planning Sheet'!BB178='Weeks Plan'!$G$6),'Planning Sheet'!$BC178,"")</f>
        <v/>
      </c>
      <c r="AA1161" s="48" t="str">
        <f ca="1">IF(AND('Planning Sheet'!BH178='Weeks Plan'!$D$6,'Planning Sheet'!BB178='Weeks Plan'!$G$6),'Planning Sheet'!$BD178,"")</f>
        <v/>
      </c>
    </row>
    <row r="1162" spans="25:27" x14ac:dyDescent="0.3">
      <c r="Y1162" s="48" t="str">
        <f ca="1">IF(AND('Planning Sheet'!BH179='Weeks Plan'!$D$6,'Planning Sheet'!BB179='Weeks Plan'!$G$6),'Planning Sheet'!$B179,"")</f>
        <v/>
      </c>
      <c r="Z1162" s="48" t="str">
        <f ca="1">IF(AND('Planning Sheet'!BH179='Weeks Plan'!$D$6,'Planning Sheet'!BB179='Weeks Plan'!$G$6),'Planning Sheet'!$BC179,"")</f>
        <v/>
      </c>
      <c r="AA1162" s="48" t="str">
        <f ca="1">IF(AND('Planning Sheet'!BH179='Weeks Plan'!$D$6,'Planning Sheet'!BB179='Weeks Plan'!$G$6),'Planning Sheet'!$BD179,"")</f>
        <v/>
      </c>
    </row>
    <row r="1163" spans="25:27" x14ac:dyDescent="0.3">
      <c r="Y1163" s="48" t="str">
        <f ca="1">IF(AND('Planning Sheet'!BH180='Weeks Plan'!$D$6,'Planning Sheet'!BB180='Weeks Plan'!$G$6),'Planning Sheet'!$B180,"")</f>
        <v/>
      </c>
      <c r="Z1163" s="48" t="str">
        <f ca="1">IF(AND('Planning Sheet'!BH180='Weeks Plan'!$D$6,'Planning Sheet'!BB180='Weeks Plan'!$G$6),'Planning Sheet'!$BC180,"")</f>
        <v/>
      </c>
      <c r="AA1163" s="48" t="str">
        <f ca="1">IF(AND('Planning Sheet'!BH180='Weeks Plan'!$D$6,'Planning Sheet'!BB180='Weeks Plan'!$G$6),'Planning Sheet'!$BD180,"")</f>
        <v/>
      </c>
    </row>
    <row r="1164" spans="25:27" x14ac:dyDescent="0.3">
      <c r="Y1164" s="48" t="str">
        <f ca="1">IF(AND('Planning Sheet'!BH181='Weeks Plan'!$D$6,'Planning Sheet'!BB181='Weeks Plan'!$G$6),'Planning Sheet'!$B181,"")</f>
        <v/>
      </c>
      <c r="Z1164" s="48" t="str">
        <f ca="1">IF(AND('Planning Sheet'!BH181='Weeks Plan'!$D$6,'Planning Sheet'!BB181='Weeks Plan'!$G$6),'Planning Sheet'!$BC181,"")</f>
        <v/>
      </c>
      <c r="AA1164" s="48" t="str">
        <f ca="1">IF(AND('Planning Sheet'!BH181='Weeks Plan'!$D$6,'Planning Sheet'!BB181='Weeks Plan'!$G$6),'Planning Sheet'!$BD181,"")</f>
        <v/>
      </c>
    </row>
    <row r="1165" spans="25:27" x14ac:dyDescent="0.3">
      <c r="Y1165" s="48" t="str">
        <f ca="1">IF(AND('Planning Sheet'!BH182='Weeks Plan'!$D$6,'Planning Sheet'!BB182='Weeks Plan'!$G$6),'Planning Sheet'!$B182,"")</f>
        <v/>
      </c>
      <c r="Z1165" s="48" t="str">
        <f ca="1">IF(AND('Planning Sheet'!BH182='Weeks Plan'!$D$6,'Planning Sheet'!BB182='Weeks Plan'!$G$6),'Planning Sheet'!$BC182,"")</f>
        <v/>
      </c>
      <c r="AA1165" s="48" t="str">
        <f ca="1">IF(AND('Planning Sheet'!BH182='Weeks Plan'!$D$6,'Planning Sheet'!BB182='Weeks Plan'!$G$6),'Planning Sheet'!$BD182,"")</f>
        <v/>
      </c>
    </row>
    <row r="1166" spans="25:27" x14ac:dyDescent="0.3">
      <c r="Y1166" s="48" t="str">
        <f ca="1">IF(AND('Planning Sheet'!BH183='Weeks Plan'!$D$6,'Planning Sheet'!BB183='Weeks Plan'!$G$6),'Planning Sheet'!$B183,"")</f>
        <v/>
      </c>
      <c r="Z1166" s="48" t="str">
        <f ca="1">IF(AND('Planning Sheet'!BH183='Weeks Plan'!$D$6,'Planning Sheet'!BB183='Weeks Plan'!$G$6),'Planning Sheet'!$BC183,"")</f>
        <v/>
      </c>
      <c r="AA1166" s="48" t="str">
        <f ca="1">IF(AND('Planning Sheet'!BH183='Weeks Plan'!$D$6,'Planning Sheet'!BB183='Weeks Plan'!$G$6),'Planning Sheet'!$BD183,"")</f>
        <v/>
      </c>
    </row>
    <row r="1167" spans="25:27" x14ac:dyDescent="0.3">
      <c r="Y1167" s="48" t="str">
        <f ca="1">IF(AND('Planning Sheet'!BH184='Weeks Plan'!$D$6,'Planning Sheet'!BB184='Weeks Plan'!$G$6),'Planning Sheet'!$B184,"")</f>
        <v/>
      </c>
      <c r="Z1167" s="48" t="str">
        <f ca="1">IF(AND('Planning Sheet'!BH184='Weeks Plan'!$D$6,'Planning Sheet'!BB184='Weeks Plan'!$G$6),'Planning Sheet'!$BC184,"")</f>
        <v/>
      </c>
      <c r="AA1167" s="48" t="str">
        <f ca="1">IF(AND('Planning Sheet'!BH184='Weeks Plan'!$D$6,'Planning Sheet'!BB184='Weeks Plan'!$G$6),'Planning Sheet'!$BD184,"")</f>
        <v/>
      </c>
    </row>
    <row r="1168" spans="25:27" x14ac:dyDescent="0.3">
      <c r="Y1168" s="48" t="str">
        <f ca="1">IF(AND('Planning Sheet'!BH185='Weeks Plan'!$D$6,'Planning Sheet'!BB185='Weeks Plan'!$G$6),'Planning Sheet'!$B185,"")</f>
        <v/>
      </c>
      <c r="Z1168" s="48" t="str">
        <f ca="1">IF(AND('Planning Sheet'!BH185='Weeks Plan'!$D$6,'Planning Sheet'!BB185='Weeks Plan'!$G$6),'Planning Sheet'!$BC185,"")</f>
        <v/>
      </c>
      <c r="AA1168" s="48" t="str">
        <f ca="1">IF(AND('Planning Sheet'!BH185='Weeks Plan'!$D$6,'Planning Sheet'!BB185='Weeks Plan'!$G$6),'Planning Sheet'!$BD185,"")</f>
        <v/>
      </c>
    </row>
    <row r="1169" spans="25:27" x14ac:dyDescent="0.3">
      <c r="Y1169" s="48" t="str">
        <f ca="1">IF(AND('Planning Sheet'!BH186='Weeks Plan'!$D$6,'Planning Sheet'!BB186='Weeks Plan'!$G$6),'Planning Sheet'!$B186,"")</f>
        <v/>
      </c>
      <c r="Z1169" s="48" t="str">
        <f ca="1">IF(AND('Planning Sheet'!BH186='Weeks Plan'!$D$6,'Planning Sheet'!BB186='Weeks Plan'!$G$6),'Planning Sheet'!$BC186,"")</f>
        <v/>
      </c>
      <c r="AA1169" s="48" t="str">
        <f ca="1">IF(AND('Planning Sheet'!BH186='Weeks Plan'!$D$6,'Planning Sheet'!BB186='Weeks Plan'!$G$6),'Planning Sheet'!$BD186,"")</f>
        <v/>
      </c>
    </row>
    <row r="1170" spans="25:27" x14ac:dyDescent="0.3">
      <c r="Y1170" s="48" t="str">
        <f ca="1">IF(AND('Planning Sheet'!BH187='Weeks Plan'!$D$6,'Planning Sheet'!BB187='Weeks Plan'!$G$6),'Planning Sheet'!$B187,"")</f>
        <v/>
      </c>
      <c r="Z1170" s="48" t="str">
        <f ca="1">IF(AND('Planning Sheet'!BH187='Weeks Plan'!$D$6,'Planning Sheet'!BB187='Weeks Plan'!$G$6),'Planning Sheet'!$BC187,"")</f>
        <v/>
      </c>
      <c r="AA1170" s="48" t="str">
        <f ca="1">IF(AND('Planning Sheet'!BH187='Weeks Plan'!$D$6,'Planning Sheet'!BB187='Weeks Plan'!$G$6),'Planning Sheet'!$BD187,"")</f>
        <v/>
      </c>
    </row>
    <row r="1171" spans="25:27" x14ac:dyDescent="0.3">
      <c r="Y1171" s="48" t="str">
        <f ca="1">IF(AND('Planning Sheet'!BH188='Weeks Plan'!$D$6,'Planning Sheet'!BB188='Weeks Plan'!$G$6),'Planning Sheet'!$B188,"")</f>
        <v/>
      </c>
      <c r="Z1171" s="48" t="str">
        <f ca="1">IF(AND('Planning Sheet'!BH188='Weeks Plan'!$D$6,'Planning Sheet'!BB188='Weeks Plan'!$G$6),'Planning Sheet'!$BC188,"")</f>
        <v/>
      </c>
      <c r="AA1171" s="48" t="str">
        <f ca="1">IF(AND('Planning Sheet'!BH188='Weeks Plan'!$D$6,'Planning Sheet'!BB188='Weeks Plan'!$G$6),'Planning Sheet'!$BD188,"")</f>
        <v/>
      </c>
    </row>
    <row r="1172" spans="25:27" x14ac:dyDescent="0.3">
      <c r="Y1172" s="48" t="str">
        <f ca="1">IF(AND('Planning Sheet'!BH189='Weeks Plan'!$D$6,'Planning Sheet'!BB189='Weeks Plan'!$G$6),'Planning Sheet'!$B189,"")</f>
        <v/>
      </c>
      <c r="Z1172" s="48" t="str">
        <f ca="1">IF(AND('Planning Sheet'!BH189='Weeks Plan'!$D$6,'Planning Sheet'!BB189='Weeks Plan'!$G$6),'Planning Sheet'!$BC189,"")</f>
        <v/>
      </c>
      <c r="AA1172" s="48" t="str">
        <f ca="1">IF(AND('Planning Sheet'!BH189='Weeks Plan'!$D$6,'Planning Sheet'!BB189='Weeks Plan'!$G$6),'Planning Sheet'!$BD189,"")</f>
        <v/>
      </c>
    </row>
    <row r="1173" spans="25:27" x14ac:dyDescent="0.3">
      <c r="Y1173" s="48" t="str">
        <f ca="1">IF(AND('Planning Sheet'!BH190='Weeks Plan'!$D$6,'Planning Sheet'!BB190='Weeks Plan'!$G$6),'Planning Sheet'!$B190,"")</f>
        <v/>
      </c>
      <c r="Z1173" s="48" t="str">
        <f ca="1">IF(AND('Planning Sheet'!BH190='Weeks Plan'!$D$6,'Planning Sheet'!BB190='Weeks Plan'!$G$6),'Planning Sheet'!$BC190,"")</f>
        <v/>
      </c>
      <c r="AA1173" s="48" t="str">
        <f ca="1">IF(AND('Planning Sheet'!BH190='Weeks Plan'!$D$6,'Planning Sheet'!BB190='Weeks Plan'!$G$6),'Planning Sheet'!$BD190,"")</f>
        <v/>
      </c>
    </row>
    <row r="1174" spans="25:27" x14ac:dyDescent="0.3">
      <c r="Y1174" s="48" t="str">
        <f ca="1">IF(AND('Planning Sheet'!BH191='Weeks Plan'!$D$6,'Planning Sheet'!BB191='Weeks Plan'!$G$6),'Planning Sheet'!$B191,"")</f>
        <v/>
      </c>
      <c r="Z1174" s="48" t="str">
        <f ca="1">IF(AND('Planning Sheet'!BH191='Weeks Plan'!$D$6,'Planning Sheet'!BB191='Weeks Plan'!$G$6),'Planning Sheet'!$BC191,"")</f>
        <v/>
      </c>
      <c r="AA1174" s="48" t="str">
        <f ca="1">IF(AND('Planning Sheet'!BH191='Weeks Plan'!$D$6,'Planning Sheet'!BB191='Weeks Plan'!$G$6),'Planning Sheet'!$BD191,"")</f>
        <v/>
      </c>
    </row>
    <row r="1175" spans="25:27" x14ac:dyDescent="0.3">
      <c r="Y1175" s="48" t="str">
        <f ca="1">IF(AND('Planning Sheet'!BH192='Weeks Plan'!$D$6,'Planning Sheet'!BB192='Weeks Plan'!$G$6),'Planning Sheet'!$B192,"")</f>
        <v/>
      </c>
      <c r="Z1175" s="48" t="str">
        <f ca="1">IF(AND('Planning Sheet'!BH192='Weeks Plan'!$D$6,'Planning Sheet'!BB192='Weeks Plan'!$G$6),'Planning Sheet'!$BC192,"")</f>
        <v/>
      </c>
      <c r="AA1175" s="48" t="str">
        <f ca="1">IF(AND('Planning Sheet'!BH192='Weeks Plan'!$D$6,'Planning Sheet'!BB192='Weeks Plan'!$G$6),'Planning Sheet'!$BD192,"")</f>
        <v/>
      </c>
    </row>
    <row r="1176" spans="25:27" x14ac:dyDescent="0.3">
      <c r="Y1176" s="48" t="str">
        <f ca="1">IF(AND('Planning Sheet'!BH193='Weeks Plan'!$D$6,'Planning Sheet'!BB193='Weeks Plan'!$G$6),'Planning Sheet'!$B193,"")</f>
        <v/>
      </c>
      <c r="Z1176" s="48" t="str">
        <f ca="1">IF(AND('Planning Sheet'!BH193='Weeks Plan'!$D$6,'Planning Sheet'!BB193='Weeks Plan'!$G$6),'Planning Sheet'!$BC193,"")</f>
        <v/>
      </c>
      <c r="AA1176" s="48" t="str">
        <f ca="1">IF(AND('Planning Sheet'!BH193='Weeks Plan'!$D$6,'Planning Sheet'!BB193='Weeks Plan'!$G$6),'Planning Sheet'!$BD193,"")</f>
        <v/>
      </c>
    </row>
    <row r="1177" spans="25:27" x14ac:dyDescent="0.3">
      <c r="Y1177" s="48" t="str">
        <f ca="1">IF(AND('Planning Sheet'!BH194='Weeks Plan'!$D$6,'Planning Sheet'!BB194='Weeks Plan'!$G$6),'Planning Sheet'!$B194,"")</f>
        <v/>
      </c>
      <c r="Z1177" s="48" t="str">
        <f ca="1">IF(AND('Planning Sheet'!BH194='Weeks Plan'!$D$6,'Planning Sheet'!BB194='Weeks Plan'!$G$6),'Planning Sheet'!$BC194,"")</f>
        <v/>
      </c>
      <c r="AA1177" s="48" t="str">
        <f ca="1">IF(AND('Planning Sheet'!BH194='Weeks Plan'!$D$6,'Planning Sheet'!BB194='Weeks Plan'!$G$6),'Planning Sheet'!$BD194,"")</f>
        <v/>
      </c>
    </row>
    <row r="1178" spans="25:27" x14ac:dyDescent="0.3">
      <c r="Y1178" s="48" t="str">
        <f ca="1">IF(AND('Planning Sheet'!BH195='Weeks Plan'!$D$6,'Planning Sheet'!BB195='Weeks Plan'!$G$6),'Planning Sheet'!$B195,"")</f>
        <v/>
      </c>
      <c r="Z1178" s="48" t="str">
        <f ca="1">IF(AND('Planning Sheet'!BH195='Weeks Plan'!$D$6,'Planning Sheet'!BB195='Weeks Plan'!$G$6),'Planning Sheet'!$BC195,"")</f>
        <v/>
      </c>
      <c r="AA1178" s="48" t="str">
        <f ca="1">IF(AND('Planning Sheet'!BH195='Weeks Plan'!$D$6,'Planning Sheet'!BB195='Weeks Plan'!$G$6),'Planning Sheet'!$BD195,"")</f>
        <v/>
      </c>
    </row>
    <row r="1179" spans="25:27" x14ac:dyDescent="0.3">
      <c r="Y1179" s="48" t="str">
        <f ca="1">IF(AND('Planning Sheet'!BH196='Weeks Plan'!$D$6,'Planning Sheet'!BB196='Weeks Plan'!$G$6),'Planning Sheet'!$B196,"")</f>
        <v/>
      </c>
      <c r="Z1179" s="48" t="str">
        <f ca="1">IF(AND('Planning Sheet'!BH196='Weeks Plan'!$D$6,'Planning Sheet'!BB196='Weeks Plan'!$G$6),'Planning Sheet'!$BC196,"")</f>
        <v/>
      </c>
      <c r="AA1179" s="48" t="str">
        <f ca="1">IF(AND('Planning Sheet'!BH196='Weeks Plan'!$D$6,'Planning Sheet'!BB196='Weeks Plan'!$G$6),'Planning Sheet'!$BD196,"")</f>
        <v/>
      </c>
    </row>
    <row r="1180" spans="25:27" x14ac:dyDescent="0.3">
      <c r="Y1180" s="48" t="str">
        <f ca="1">IF(AND('Planning Sheet'!BH197='Weeks Plan'!$D$6,'Planning Sheet'!BB197='Weeks Plan'!$G$6),'Planning Sheet'!$B197,"")</f>
        <v/>
      </c>
      <c r="Z1180" s="48" t="str">
        <f ca="1">IF(AND('Planning Sheet'!BH197='Weeks Plan'!$D$6,'Planning Sheet'!BB197='Weeks Plan'!$G$6),'Planning Sheet'!$BC197,"")</f>
        <v/>
      </c>
      <c r="AA1180" s="48" t="str">
        <f ca="1">IF(AND('Planning Sheet'!BH197='Weeks Plan'!$D$6,'Planning Sheet'!BB197='Weeks Plan'!$G$6),'Planning Sheet'!$BD197,"")</f>
        <v/>
      </c>
    </row>
    <row r="1181" spans="25:27" x14ac:dyDescent="0.3">
      <c r="Y1181" s="48" t="str">
        <f ca="1">IF(AND('Planning Sheet'!BH198='Weeks Plan'!$D$6,'Planning Sheet'!BB198='Weeks Plan'!$G$6),'Planning Sheet'!$B198,"")</f>
        <v/>
      </c>
      <c r="Z1181" s="48" t="str">
        <f ca="1">IF(AND('Planning Sheet'!BH198='Weeks Plan'!$D$6,'Planning Sheet'!BB198='Weeks Plan'!$G$6),'Planning Sheet'!$BC198,"")</f>
        <v/>
      </c>
      <c r="AA1181" s="48" t="str">
        <f ca="1">IF(AND('Planning Sheet'!BH198='Weeks Plan'!$D$6,'Planning Sheet'!BB198='Weeks Plan'!$G$6),'Planning Sheet'!$BD198,"")</f>
        <v/>
      </c>
    </row>
    <row r="1182" spans="25:27" x14ac:dyDescent="0.3">
      <c r="Y1182" s="48" t="str">
        <f ca="1">IF(AND('Planning Sheet'!BH199='Weeks Plan'!$D$6,'Planning Sheet'!BB199='Weeks Plan'!$G$6),'Planning Sheet'!$B199,"")</f>
        <v/>
      </c>
      <c r="Z1182" s="48" t="str">
        <f ca="1">IF(AND('Planning Sheet'!BH199='Weeks Plan'!$D$6,'Planning Sheet'!BB199='Weeks Plan'!$G$6),'Planning Sheet'!$BC199,"")</f>
        <v/>
      </c>
      <c r="AA1182" s="48" t="str">
        <f ca="1">IF(AND('Planning Sheet'!BH199='Weeks Plan'!$D$6,'Planning Sheet'!BB199='Weeks Plan'!$G$6),'Planning Sheet'!$BD199,"")</f>
        <v/>
      </c>
    </row>
    <row r="1183" spans="25:27" x14ac:dyDescent="0.3">
      <c r="Y1183" s="48" t="str">
        <f ca="1">IF(AND('Planning Sheet'!BH200='Weeks Plan'!$D$6,'Planning Sheet'!BB200='Weeks Plan'!$G$6),'Planning Sheet'!$B200,"")</f>
        <v/>
      </c>
      <c r="Z1183" s="48" t="str">
        <f ca="1">IF(AND('Planning Sheet'!BH200='Weeks Plan'!$D$6,'Planning Sheet'!BB200='Weeks Plan'!$G$6),'Planning Sheet'!$BC200,"")</f>
        <v/>
      </c>
      <c r="AA1183" s="48" t="str">
        <f ca="1">IF(AND('Planning Sheet'!BH200='Weeks Plan'!$D$6,'Planning Sheet'!BB200='Weeks Plan'!$G$6),'Planning Sheet'!$BD200,"")</f>
        <v/>
      </c>
    </row>
    <row r="1184" spans="25:27" x14ac:dyDescent="0.3">
      <c r="Y1184" s="48" t="str">
        <f ca="1">IF(AND('Planning Sheet'!BH201='Weeks Plan'!$D$6,'Planning Sheet'!BB201='Weeks Plan'!$G$6),'Planning Sheet'!$B201,"")</f>
        <v/>
      </c>
      <c r="Z1184" s="48" t="str">
        <f ca="1">IF(AND('Planning Sheet'!BH201='Weeks Plan'!$D$6,'Planning Sheet'!BB201='Weeks Plan'!$G$6),'Planning Sheet'!$BC201,"")</f>
        <v/>
      </c>
      <c r="AA1184" s="48" t="str">
        <f ca="1">IF(AND('Planning Sheet'!BH201='Weeks Plan'!$D$6,'Planning Sheet'!BB201='Weeks Plan'!$G$6),'Planning Sheet'!$BD201,"")</f>
        <v/>
      </c>
    </row>
    <row r="1185" spans="25:27" x14ac:dyDescent="0.3">
      <c r="Y1185" s="48" t="str">
        <f ca="1">IF(AND('Planning Sheet'!BH202='Weeks Plan'!$D$6,'Planning Sheet'!BB202='Weeks Plan'!$G$6),'Planning Sheet'!$B202,"")</f>
        <v/>
      </c>
      <c r="Z1185" s="48" t="str">
        <f ca="1">IF(AND('Planning Sheet'!BH202='Weeks Plan'!$D$6,'Planning Sheet'!BB202='Weeks Plan'!$G$6),'Planning Sheet'!$BC202,"")</f>
        <v/>
      </c>
      <c r="AA1185" s="48" t="str">
        <f ca="1">IF(AND('Planning Sheet'!BH202='Weeks Plan'!$D$6,'Planning Sheet'!BB202='Weeks Plan'!$G$6),'Planning Sheet'!$BD202,"")</f>
        <v/>
      </c>
    </row>
    <row r="1186" spans="25:27" x14ac:dyDescent="0.3">
      <c r="Y1186" s="48" t="str">
        <f ca="1">IF(AND('Planning Sheet'!BH203='Weeks Plan'!$D$6,'Planning Sheet'!BB203='Weeks Plan'!$G$6),'Planning Sheet'!$B203,"")</f>
        <v/>
      </c>
      <c r="Z1186" s="48" t="str">
        <f ca="1">IF(AND('Planning Sheet'!BH203='Weeks Plan'!$D$6,'Planning Sheet'!BB203='Weeks Plan'!$G$6),'Planning Sheet'!$BC203,"")</f>
        <v/>
      </c>
      <c r="AA1186" s="48" t="str">
        <f ca="1">IF(AND('Planning Sheet'!BH203='Weeks Plan'!$D$6,'Planning Sheet'!BB203='Weeks Plan'!$G$6),'Planning Sheet'!$BD203,"")</f>
        <v/>
      </c>
    </row>
    <row r="1187" spans="25:27" x14ac:dyDescent="0.3">
      <c r="Y1187" s="48" t="str">
        <f ca="1">IF(AND('Planning Sheet'!BH204='Weeks Plan'!$D$6,'Planning Sheet'!BB204='Weeks Plan'!$G$6),'Planning Sheet'!$B204,"")</f>
        <v/>
      </c>
      <c r="Z1187" s="48" t="str">
        <f ca="1">IF(AND('Planning Sheet'!BH204='Weeks Plan'!$D$6,'Planning Sheet'!BB204='Weeks Plan'!$G$6),'Planning Sheet'!$BC204,"")</f>
        <v/>
      </c>
      <c r="AA1187" s="48" t="str">
        <f ca="1">IF(AND('Planning Sheet'!BH204='Weeks Plan'!$D$6,'Planning Sheet'!BB204='Weeks Plan'!$G$6),'Planning Sheet'!$BD204,"")</f>
        <v/>
      </c>
    </row>
    <row r="1188" spans="25:27" x14ac:dyDescent="0.3">
      <c r="Y1188" s="48" t="str">
        <f ca="1">IF(AND('Planning Sheet'!BH205='Weeks Plan'!$D$6,'Planning Sheet'!BB205='Weeks Plan'!$G$6),'Planning Sheet'!$B205,"")</f>
        <v/>
      </c>
      <c r="Z1188" s="48" t="str">
        <f ca="1">IF(AND('Planning Sheet'!BH205='Weeks Plan'!$D$6,'Planning Sheet'!BB205='Weeks Plan'!$G$6),'Planning Sheet'!$BC205,"")</f>
        <v/>
      </c>
      <c r="AA1188" s="48" t="str">
        <f ca="1">IF(AND('Planning Sheet'!BH205='Weeks Plan'!$D$6,'Planning Sheet'!BB205='Weeks Plan'!$G$6),'Planning Sheet'!$BD205,"")</f>
        <v/>
      </c>
    </row>
    <row r="1189" spans="25:27" x14ac:dyDescent="0.3">
      <c r="Y1189" s="48" t="str">
        <f ca="1">IF(AND('Planning Sheet'!BH206='Weeks Plan'!$D$6,'Planning Sheet'!BB206='Weeks Plan'!$G$6),'Planning Sheet'!$B206,"")</f>
        <v/>
      </c>
      <c r="Z1189" s="48" t="str">
        <f ca="1">IF(AND('Planning Sheet'!BH206='Weeks Plan'!$D$6,'Planning Sheet'!BB206='Weeks Plan'!$G$6),'Planning Sheet'!$BC206,"")</f>
        <v/>
      </c>
      <c r="AA1189" s="48" t="str">
        <f ca="1">IF(AND('Planning Sheet'!BH206='Weeks Plan'!$D$6,'Planning Sheet'!BB206='Weeks Plan'!$G$6),'Planning Sheet'!$BD206,"")</f>
        <v/>
      </c>
    </row>
    <row r="1190" spans="25:27" x14ac:dyDescent="0.3">
      <c r="Y1190" s="48" t="str">
        <f ca="1">IF(AND('Planning Sheet'!BH207='Weeks Plan'!$D$6,'Planning Sheet'!BB207='Weeks Plan'!$G$6),'Planning Sheet'!$B207,"")</f>
        <v/>
      </c>
      <c r="Z1190" s="48" t="str">
        <f ca="1">IF(AND('Planning Sheet'!BH207='Weeks Plan'!$D$6,'Planning Sheet'!BB207='Weeks Plan'!$G$6),'Planning Sheet'!$BC207,"")</f>
        <v/>
      </c>
      <c r="AA1190" s="48" t="str">
        <f ca="1">IF(AND('Planning Sheet'!BH207='Weeks Plan'!$D$6,'Planning Sheet'!BB207='Weeks Plan'!$G$6),'Planning Sheet'!$BD207,"")</f>
        <v/>
      </c>
    </row>
    <row r="1191" spans="25:27" x14ac:dyDescent="0.3">
      <c r="Y1191" s="48" t="str">
        <f ca="1">IF(AND('Planning Sheet'!BH208='Weeks Plan'!$D$6,'Planning Sheet'!BB208='Weeks Plan'!$G$6),'Planning Sheet'!$B208,"")</f>
        <v/>
      </c>
      <c r="Z1191" s="48" t="str">
        <f ca="1">IF(AND('Planning Sheet'!BH208='Weeks Plan'!$D$6,'Planning Sheet'!BB208='Weeks Plan'!$G$6),'Planning Sheet'!$BC208,"")</f>
        <v/>
      </c>
      <c r="AA1191" s="48" t="str">
        <f ca="1">IF(AND('Planning Sheet'!BH208='Weeks Plan'!$D$6,'Planning Sheet'!BB208='Weeks Plan'!$G$6),'Planning Sheet'!$BD208,"")</f>
        <v/>
      </c>
    </row>
    <row r="1192" spans="25:27" x14ac:dyDescent="0.3">
      <c r="Y1192" s="48" t="str">
        <f ca="1">IF(AND('Planning Sheet'!BH209='Weeks Plan'!$D$6,'Planning Sheet'!BB209='Weeks Plan'!$G$6),'Planning Sheet'!$B209,"")</f>
        <v/>
      </c>
      <c r="Z1192" s="48" t="str">
        <f ca="1">IF(AND('Planning Sheet'!BH209='Weeks Plan'!$D$6,'Planning Sheet'!BB209='Weeks Plan'!$G$6),'Planning Sheet'!$BC209,"")</f>
        <v/>
      </c>
      <c r="AA1192" s="48" t="str">
        <f ca="1">IF(AND('Planning Sheet'!BH209='Weeks Plan'!$D$6,'Planning Sheet'!BB209='Weeks Plan'!$G$6),'Planning Sheet'!$BD209,"")</f>
        <v/>
      </c>
    </row>
    <row r="1193" spans="25:27" x14ac:dyDescent="0.3">
      <c r="Y1193" s="48" t="str">
        <f ca="1">IF(AND('Planning Sheet'!BH210='Weeks Plan'!$D$6,'Planning Sheet'!BB210='Weeks Plan'!$G$6),'Planning Sheet'!$B210,"")</f>
        <v/>
      </c>
      <c r="Z1193" s="48" t="str">
        <f ca="1">IF(AND('Planning Sheet'!BH210='Weeks Plan'!$D$6,'Planning Sheet'!BB210='Weeks Plan'!$G$6),'Planning Sheet'!$BC210,"")</f>
        <v/>
      </c>
      <c r="AA1193" s="48" t="str">
        <f ca="1">IF(AND('Planning Sheet'!BH210='Weeks Plan'!$D$6,'Planning Sheet'!BB210='Weeks Plan'!$G$6),'Planning Sheet'!$BD210,"")</f>
        <v/>
      </c>
    </row>
    <row r="1194" spans="25:27" x14ac:dyDescent="0.3">
      <c r="Y1194" s="48" t="str">
        <f ca="1">IF(AND('Planning Sheet'!BH211='Weeks Plan'!$D$6,'Planning Sheet'!BB211='Weeks Plan'!$G$6),'Planning Sheet'!$B211,"")</f>
        <v/>
      </c>
      <c r="Z1194" s="48" t="str">
        <f ca="1">IF(AND('Planning Sheet'!BH211='Weeks Plan'!$D$6,'Planning Sheet'!BB211='Weeks Plan'!$G$6),'Planning Sheet'!$BC211,"")</f>
        <v/>
      </c>
      <c r="AA1194" s="48" t="str">
        <f ca="1">IF(AND('Planning Sheet'!BH211='Weeks Plan'!$D$6,'Planning Sheet'!BB211='Weeks Plan'!$G$6),'Planning Sheet'!$BD211,"")</f>
        <v/>
      </c>
    </row>
    <row r="1195" spans="25:27" x14ac:dyDescent="0.3">
      <c r="Y1195" s="48" t="str">
        <f ca="1">IF(AND('Planning Sheet'!BH212='Weeks Plan'!$D$6,'Planning Sheet'!BB212='Weeks Plan'!$G$6),'Planning Sheet'!$B212,"")</f>
        <v/>
      </c>
      <c r="Z1195" s="48" t="str">
        <f ca="1">IF(AND('Planning Sheet'!BH212='Weeks Plan'!$D$6,'Planning Sheet'!BB212='Weeks Plan'!$G$6),'Planning Sheet'!$BC212,"")</f>
        <v/>
      </c>
      <c r="AA1195" s="48" t="str">
        <f ca="1">IF(AND('Planning Sheet'!BH212='Weeks Plan'!$D$6,'Planning Sheet'!BB212='Weeks Plan'!$G$6),'Planning Sheet'!$BD212,"")</f>
        <v/>
      </c>
    </row>
    <row r="1196" spans="25:27" x14ac:dyDescent="0.3">
      <c r="Y1196" s="48" t="str">
        <f ca="1">IF(AND('Planning Sheet'!BH213='Weeks Plan'!$D$6,'Planning Sheet'!BB213='Weeks Plan'!$G$6),'Planning Sheet'!$B213,"")</f>
        <v/>
      </c>
      <c r="Z1196" s="48" t="str">
        <f ca="1">IF(AND('Planning Sheet'!BH213='Weeks Plan'!$D$6,'Planning Sheet'!BB213='Weeks Plan'!$G$6),'Planning Sheet'!$BC213,"")</f>
        <v/>
      </c>
      <c r="AA1196" s="48" t="str">
        <f ca="1">IF(AND('Planning Sheet'!BH213='Weeks Plan'!$D$6,'Planning Sheet'!BB213='Weeks Plan'!$G$6),'Planning Sheet'!$BD213,"")</f>
        <v/>
      </c>
    </row>
    <row r="1197" spans="25:27" x14ac:dyDescent="0.3">
      <c r="Y1197" s="48" t="str">
        <f ca="1">IF(AND('Planning Sheet'!BH214='Weeks Plan'!$D$6,'Planning Sheet'!BB214='Weeks Plan'!$G$6),'Planning Sheet'!$B214,"")</f>
        <v/>
      </c>
      <c r="Z1197" s="48" t="str">
        <f ca="1">IF(AND('Planning Sheet'!BH214='Weeks Plan'!$D$6,'Planning Sheet'!BB214='Weeks Plan'!$G$6),'Planning Sheet'!$BC214,"")</f>
        <v/>
      </c>
      <c r="AA1197" s="48" t="str">
        <f ca="1">IF(AND('Planning Sheet'!BH214='Weeks Plan'!$D$6,'Planning Sheet'!BB214='Weeks Plan'!$G$6),'Planning Sheet'!$BD214,"")</f>
        <v/>
      </c>
    </row>
    <row r="1198" spans="25:27" x14ac:dyDescent="0.3">
      <c r="Y1198" s="48" t="str">
        <f ca="1">IF(AND('Planning Sheet'!BH215='Weeks Plan'!$D$6,'Planning Sheet'!BB215='Weeks Plan'!$G$6),'Planning Sheet'!$B215,"")</f>
        <v/>
      </c>
      <c r="Z1198" s="48" t="str">
        <f ca="1">IF(AND('Planning Sheet'!BH215='Weeks Plan'!$D$6,'Planning Sheet'!BB215='Weeks Plan'!$G$6),'Planning Sheet'!$BC215,"")</f>
        <v/>
      </c>
      <c r="AA1198" s="48" t="str">
        <f ca="1">IF(AND('Planning Sheet'!BH215='Weeks Plan'!$D$6,'Planning Sheet'!BB215='Weeks Plan'!$G$6),'Planning Sheet'!$BD215,"")</f>
        <v/>
      </c>
    </row>
    <row r="1199" spans="25:27" x14ac:dyDescent="0.3">
      <c r="Y1199" s="48" t="str">
        <f ca="1">IF(AND('Planning Sheet'!BH216='Weeks Plan'!$D$6,'Planning Sheet'!BB216='Weeks Plan'!$G$6),'Planning Sheet'!$B216,"")</f>
        <v/>
      </c>
      <c r="Z1199" s="48" t="str">
        <f ca="1">IF(AND('Planning Sheet'!BH216='Weeks Plan'!$D$6,'Planning Sheet'!BB216='Weeks Plan'!$G$6),'Planning Sheet'!$BC216,"")</f>
        <v/>
      </c>
      <c r="AA1199" s="48" t="str">
        <f ca="1">IF(AND('Planning Sheet'!BH216='Weeks Plan'!$D$6,'Planning Sheet'!BB216='Weeks Plan'!$G$6),'Planning Sheet'!$BD216,"")</f>
        <v/>
      </c>
    </row>
    <row r="1200" spans="25:27" x14ac:dyDescent="0.3">
      <c r="Y1200" s="48" t="str">
        <f ca="1">IF(AND('Planning Sheet'!BH217='Weeks Plan'!$D$6,'Planning Sheet'!BB217='Weeks Plan'!$G$6),'Planning Sheet'!$B217,"")</f>
        <v/>
      </c>
      <c r="Z1200" s="48" t="str">
        <f ca="1">IF(AND('Planning Sheet'!BH217='Weeks Plan'!$D$6,'Planning Sheet'!BB217='Weeks Plan'!$G$6),'Planning Sheet'!$BC217,"")</f>
        <v/>
      </c>
      <c r="AA1200" s="48" t="str">
        <f ca="1">IF(AND('Planning Sheet'!BH217='Weeks Plan'!$D$6,'Planning Sheet'!BB217='Weeks Plan'!$G$6),'Planning Sheet'!$BD217,"")</f>
        <v/>
      </c>
    </row>
    <row r="1201" spans="25:27" x14ac:dyDescent="0.3">
      <c r="Y1201" s="48" t="str">
        <f ca="1">IF(AND('Planning Sheet'!BH218='Weeks Plan'!$D$6,'Planning Sheet'!BB218='Weeks Plan'!$G$6),'Planning Sheet'!$B218,"")</f>
        <v/>
      </c>
      <c r="Z1201" s="48" t="str">
        <f ca="1">IF(AND('Planning Sheet'!BH218='Weeks Plan'!$D$6,'Planning Sheet'!BB218='Weeks Plan'!$G$6),'Planning Sheet'!$BC218,"")</f>
        <v/>
      </c>
      <c r="AA1201" s="48" t="str">
        <f ca="1">IF(AND('Planning Sheet'!BH218='Weeks Plan'!$D$6,'Planning Sheet'!BB218='Weeks Plan'!$G$6),'Planning Sheet'!$BD218,"")</f>
        <v/>
      </c>
    </row>
    <row r="1202" spans="25:27" x14ac:dyDescent="0.3">
      <c r="Y1202" s="48" t="str">
        <f ca="1">IF(AND('Planning Sheet'!BH219='Weeks Plan'!$D$6,'Planning Sheet'!BB219='Weeks Plan'!$G$6),'Planning Sheet'!$B219,"")</f>
        <v/>
      </c>
      <c r="Z1202" s="48" t="str">
        <f ca="1">IF(AND('Planning Sheet'!BH219='Weeks Plan'!$D$6,'Planning Sheet'!BB219='Weeks Plan'!$G$6),'Planning Sheet'!$BC219,"")</f>
        <v/>
      </c>
      <c r="AA1202" s="48" t="str">
        <f ca="1">IF(AND('Planning Sheet'!BH219='Weeks Plan'!$D$6,'Planning Sheet'!BB219='Weeks Plan'!$G$6),'Planning Sheet'!$BD219,"")</f>
        <v/>
      </c>
    </row>
    <row r="1203" spans="25:27" x14ac:dyDescent="0.3">
      <c r="Y1203" s="48" t="str">
        <f ca="1">IF(AND('Planning Sheet'!BH220='Weeks Plan'!$D$6,'Planning Sheet'!BB220='Weeks Plan'!$G$6),'Planning Sheet'!$B220,"")</f>
        <v/>
      </c>
      <c r="Z1203" s="48" t="str">
        <f ca="1">IF(AND('Planning Sheet'!BH220='Weeks Plan'!$D$6,'Planning Sheet'!BB220='Weeks Plan'!$G$6),'Planning Sheet'!$BC220,"")</f>
        <v/>
      </c>
      <c r="AA1203" s="48" t="str">
        <f ca="1">IF(AND('Planning Sheet'!BH220='Weeks Plan'!$D$6,'Planning Sheet'!BB220='Weeks Plan'!$G$6),'Planning Sheet'!$BD220,"")</f>
        <v/>
      </c>
    </row>
    <row r="1204" spans="25:27" x14ac:dyDescent="0.3">
      <c r="Y1204" s="48" t="str">
        <f ca="1">IF(AND('Planning Sheet'!BH221='Weeks Plan'!$D$6,'Planning Sheet'!BB221='Weeks Plan'!$G$6),'Planning Sheet'!$B221,"")</f>
        <v/>
      </c>
      <c r="Z1204" s="48" t="str">
        <f ca="1">IF(AND('Planning Sheet'!BH221='Weeks Plan'!$D$6,'Planning Sheet'!BB221='Weeks Plan'!$G$6),'Planning Sheet'!$BC221,"")</f>
        <v/>
      </c>
      <c r="AA1204" s="48" t="str">
        <f ca="1">IF(AND('Planning Sheet'!BH221='Weeks Plan'!$D$6,'Planning Sheet'!BB221='Weeks Plan'!$G$6),'Planning Sheet'!$BD221,"")</f>
        <v/>
      </c>
    </row>
    <row r="1205" spans="25:27" x14ac:dyDescent="0.3">
      <c r="Y1205" s="48" t="str">
        <f ca="1">IF(AND('Planning Sheet'!BH222='Weeks Plan'!$D$6,'Planning Sheet'!BB222='Weeks Plan'!$G$6),'Planning Sheet'!$B222,"")</f>
        <v/>
      </c>
      <c r="Z1205" s="48" t="str">
        <f ca="1">IF(AND('Planning Sheet'!BH222='Weeks Plan'!$D$6,'Planning Sheet'!BB222='Weeks Plan'!$G$6),'Planning Sheet'!$BC222,"")</f>
        <v/>
      </c>
      <c r="AA1205" s="48" t="str">
        <f ca="1">IF(AND('Planning Sheet'!BH222='Weeks Plan'!$D$6,'Planning Sheet'!BB222='Weeks Plan'!$G$6),'Planning Sheet'!$BD222,"")</f>
        <v/>
      </c>
    </row>
    <row r="1206" spans="25:27" x14ac:dyDescent="0.3">
      <c r="Y1206" s="48" t="str">
        <f ca="1">IF(AND('Planning Sheet'!BH223='Weeks Plan'!$D$6,'Planning Sheet'!BB223='Weeks Plan'!$G$6),'Planning Sheet'!$B223,"")</f>
        <v/>
      </c>
      <c r="Z1206" s="48" t="str">
        <f ca="1">IF(AND('Planning Sheet'!BH223='Weeks Plan'!$D$6,'Planning Sheet'!BB223='Weeks Plan'!$G$6),'Planning Sheet'!$BC223,"")</f>
        <v/>
      </c>
      <c r="AA1206" s="48" t="str">
        <f ca="1">IF(AND('Planning Sheet'!BH223='Weeks Plan'!$D$6,'Planning Sheet'!BB223='Weeks Plan'!$G$6),'Planning Sheet'!$BD223,"")</f>
        <v/>
      </c>
    </row>
    <row r="1207" spans="25:27" x14ac:dyDescent="0.3">
      <c r="Y1207" s="48" t="str">
        <f ca="1">IF(AND('Planning Sheet'!BH224='Weeks Plan'!$D$6,'Planning Sheet'!BB224='Weeks Plan'!$G$6),'Planning Sheet'!$B224,"")</f>
        <v/>
      </c>
      <c r="Z1207" s="48" t="str">
        <f ca="1">IF(AND('Planning Sheet'!BH224='Weeks Plan'!$D$6,'Planning Sheet'!BB224='Weeks Plan'!$G$6),'Planning Sheet'!$BC224,"")</f>
        <v/>
      </c>
      <c r="AA1207" s="48" t="str">
        <f ca="1">IF(AND('Planning Sheet'!BH224='Weeks Plan'!$D$6,'Planning Sheet'!BB224='Weeks Plan'!$G$6),'Planning Sheet'!$BD224,"")</f>
        <v/>
      </c>
    </row>
    <row r="1208" spans="25:27" x14ac:dyDescent="0.3">
      <c r="Y1208" s="48" t="str">
        <f ca="1">IF(AND('Planning Sheet'!BH225='Weeks Plan'!$D$6,'Planning Sheet'!BB225='Weeks Plan'!$G$6),'Planning Sheet'!$B225,"")</f>
        <v/>
      </c>
      <c r="Z1208" s="48" t="str">
        <f ca="1">IF(AND('Planning Sheet'!BH225='Weeks Plan'!$D$6,'Planning Sheet'!BB225='Weeks Plan'!$G$6),'Planning Sheet'!$BC225,"")</f>
        <v/>
      </c>
      <c r="AA1208" s="48" t="str">
        <f ca="1">IF(AND('Planning Sheet'!BH225='Weeks Plan'!$D$6,'Planning Sheet'!BB225='Weeks Plan'!$G$6),'Planning Sheet'!$BD225,"")</f>
        <v/>
      </c>
    </row>
    <row r="1209" spans="25:27" x14ac:dyDescent="0.3">
      <c r="Y1209" s="48" t="str">
        <f ca="1">IF(AND('Planning Sheet'!BH226='Weeks Plan'!$D$6,'Planning Sheet'!BB226='Weeks Plan'!$G$6),'Planning Sheet'!$B226,"")</f>
        <v/>
      </c>
      <c r="Z1209" s="48" t="str">
        <f ca="1">IF(AND('Planning Sheet'!BH226='Weeks Plan'!$D$6,'Planning Sheet'!BB226='Weeks Plan'!$G$6),'Planning Sheet'!$BC226,"")</f>
        <v/>
      </c>
      <c r="AA1209" s="48" t="str">
        <f ca="1">IF(AND('Planning Sheet'!BH226='Weeks Plan'!$D$6,'Planning Sheet'!BB226='Weeks Plan'!$G$6),'Planning Sheet'!$BD226,"")</f>
        <v/>
      </c>
    </row>
    <row r="1210" spans="25:27" x14ac:dyDescent="0.3">
      <c r="Y1210" s="48" t="str">
        <f ca="1">IF(AND('Planning Sheet'!BH227='Weeks Plan'!$D$6,'Planning Sheet'!BB227='Weeks Plan'!$G$6),'Planning Sheet'!$B227,"")</f>
        <v/>
      </c>
      <c r="Z1210" s="48" t="str">
        <f ca="1">IF(AND('Planning Sheet'!BH227='Weeks Plan'!$D$6,'Planning Sheet'!BB227='Weeks Plan'!$G$6),'Planning Sheet'!$BC227,"")</f>
        <v/>
      </c>
      <c r="AA1210" s="48" t="str">
        <f ca="1">IF(AND('Planning Sheet'!BH227='Weeks Plan'!$D$6,'Planning Sheet'!BB227='Weeks Plan'!$G$6),'Planning Sheet'!$BD227,"")</f>
        <v/>
      </c>
    </row>
    <row r="1211" spans="25:27" x14ac:dyDescent="0.3">
      <c r="Y1211" s="48" t="str">
        <f ca="1">IF(AND('Planning Sheet'!BH228='Weeks Plan'!$D$6,'Planning Sheet'!BB228='Weeks Plan'!$G$6),'Planning Sheet'!$B228,"")</f>
        <v/>
      </c>
      <c r="Z1211" s="48" t="str">
        <f ca="1">IF(AND('Planning Sheet'!BH228='Weeks Plan'!$D$6,'Planning Sheet'!BB228='Weeks Plan'!$G$6),'Planning Sheet'!$BC228,"")</f>
        <v/>
      </c>
      <c r="AA1211" s="48" t="str">
        <f ca="1">IF(AND('Planning Sheet'!BH228='Weeks Plan'!$D$6,'Planning Sheet'!BB228='Weeks Plan'!$G$6),'Planning Sheet'!$BD228,"")</f>
        <v/>
      </c>
    </row>
    <row r="1212" spans="25:27" x14ac:dyDescent="0.3">
      <c r="Y1212" s="48" t="str">
        <f ca="1">IF(AND('Planning Sheet'!BH229='Weeks Plan'!$D$6,'Planning Sheet'!BB229='Weeks Plan'!$G$6),'Planning Sheet'!$B229,"")</f>
        <v/>
      </c>
      <c r="Z1212" s="48" t="str">
        <f ca="1">IF(AND('Planning Sheet'!BH229='Weeks Plan'!$D$6,'Planning Sheet'!BB229='Weeks Plan'!$G$6),'Planning Sheet'!$BC229,"")</f>
        <v/>
      </c>
      <c r="AA1212" s="48" t="str">
        <f ca="1">IF(AND('Planning Sheet'!BH229='Weeks Plan'!$D$6,'Planning Sheet'!BB229='Weeks Plan'!$G$6),'Planning Sheet'!$BD229,"")</f>
        <v/>
      </c>
    </row>
    <row r="1213" spans="25:27" x14ac:dyDescent="0.3">
      <c r="Y1213" s="48" t="str">
        <f ca="1">IF(AND('Planning Sheet'!BH230='Weeks Plan'!$D$6,'Planning Sheet'!BB230='Weeks Plan'!$G$6),'Planning Sheet'!$B230,"")</f>
        <v/>
      </c>
      <c r="Z1213" s="48" t="str">
        <f ca="1">IF(AND('Planning Sheet'!BH230='Weeks Plan'!$D$6,'Planning Sheet'!BB230='Weeks Plan'!$G$6),'Planning Sheet'!$BC230,"")</f>
        <v/>
      </c>
      <c r="AA1213" s="48" t="str">
        <f ca="1">IF(AND('Planning Sheet'!BH230='Weeks Plan'!$D$6,'Planning Sheet'!BB230='Weeks Plan'!$G$6),'Planning Sheet'!$BD230,"")</f>
        <v/>
      </c>
    </row>
    <row r="1214" spans="25:27" x14ac:dyDescent="0.3">
      <c r="Y1214" s="48" t="str">
        <f ca="1">IF(AND('Planning Sheet'!BH231='Weeks Plan'!$D$6,'Planning Sheet'!BB231='Weeks Plan'!$G$6),'Planning Sheet'!$B231,"")</f>
        <v/>
      </c>
      <c r="Z1214" s="48" t="str">
        <f ca="1">IF(AND('Planning Sheet'!BH231='Weeks Plan'!$D$6,'Planning Sheet'!BB231='Weeks Plan'!$G$6),'Planning Sheet'!$BC231,"")</f>
        <v/>
      </c>
      <c r="AA1214" s="48" t="str">
        <f ca="1">IF(AND('Planning Sheet'!BH231='Weeks Plan'!$D$6,'Planning Sheet'!BB231='Weeks Plan'!$G$6),'Planning Sheet'!$BD231,"")</f>
        <v/>
      </c>
    </row>
    <row r="1215" spans="25:27" x14ac:dyDescent="0.3">
      <c r="Y1215" s="48" t="str">
        <f ca="1">IF(AND('Planning Sheet'!BH232='Weeks Plan'!$D$6,'Planning Sheet'!BB232='Weeks Plan'!$G$6),'Planning Sheet'!$B232,"")</f>
        <v/>
      </c>
      <c r="Z1215" s="48" t="str">
        <f ca="1">IF(AND('Planning Sheet'!BH232='Weeks Plan'!$D$6,'Planning Sheet'!BB232='Weeks Plan'!$G$6),'Planning Sheet'!$BC232,"")</f>
        <v/>
      </c>
      <c r="AA1215" s="48" t="str">
        <f ca="1">IF(AND('Planning Sheet'!BH232='Weeks Plan'!$D$6,'Planning Sheet'!BB232='Weeks Plan'!$G$6),'Planning Sheet'!$BD232,"")</f>
        <v/>
      </c>
    </row>
    <row r="1216" spans="25:27" x14ac:dyDescent="0.3">
      <c r="Y1216" s="48" t="str">
        <f ca="1">IF(AND('Planning Sheet'!BH233='Weeks Plan'!$D$6,'Planning Sheet'!BB233='Weeks Plan'!$G$6),'Planning Sheet'!$B233,"")</f>
        <v/>
      </c>
      <c r="Z1216" s="48" t="str">
        <f ca="1">IF(AND('Planning Sheet'!BH233='Weeks Plan'!$D$6,'Planning Sheet'!BB233='Weeks Plan'!$G$6),'Planning Sheet'!$BC233,"")</f>
        <v/>
      </c>
      <c r="AA1216" s="48" t="str">
        <f ca="1">IF(AND('Planning Sheet'!BH233='Weeks Plan'!$D$6,'Planning Sheet'!BB233='Weeks Plan'!$G$6),'Planning Sheet'!$BD233,"")</f>
        <v/>
      </c>
    </row>
    <row r="1217" spans="25:27" x14ac:dyDescent="0.3">
      <c r="Y1217" s="48" t="str">
        <f ca="1">IF(AND('Planning Sheet'!BH234='Weeks Plan'!$D$6,'Planning Sheet'!BB234='Weeks Plan'!$G$6),'Planning Sheet'!$B234,"")</f>
        <v/>
      </c>
      <c r="Z1217" s="48" t="str">
        <f ca="1">IF(AND('Planning Sheet'!BH234='Weeks Plan'!$D$6,'Planning Sheet'!BB234='Weeks Plan'!$G$6),'Planning Sheet'!$BC234,"")</f>
        <v/>
      </c>
      <c r="AA1217" s="48" t="str">
        <f ca="1">IF(AND('Planning Sheet'!BH234='Weeks Plan'!$D$6,'Planning Sheet'!BB234='Weeks Plan'!$G$6),'Planning Sheet'!$BD234,"")</f>
        <v/>
      </c>
    </row>
    <row r="1218" spans="25:27" x14ac:dyDescent="0.3">
      <c r="Y1218" s="48" t="str">
        <f ca="1">IF(AND('Planning Sheet'!BH235='Weeks Plan'!$D$6,'Planning Sheet'!BB235='Weeks Plan'!$G$6),'Planning Sheet'!$B235,"")</f>
        <v/>
      </c>
      <c r="Z1218" s="48" t="str">
        <f ca="1">IF(AND('Planning Sheet'!BH235='Weeks Plan'!$D$6,'Planning Sheet'!BB235='Weeks Plan'!$G$6),'Planning Sheet'!$BC235,"")</f>
        <v/>
      </c>
      <c r="AA1218" s="48" t="str">
        <f ca="1">IF(AND('Planning Sheet'!BH235='Weeks Plan'!$D$6,'Planning Sheet'!BB235='Weeks Plan'!$G$6),'Planning Sheet'!$BD235,"")</f>
        <v/>
      </c>
    </row>
    <row r="1219" spans="25:27" x14ac:dyDescent="0.3">
      <c r="Y1219" s="48" t="str">
        <f ca="1">IF(AND('Planning Sheet'!BH236='Weeks Plan'!$D$6,'Planning Sheet'!BB236='Weeks Plan'!$G$6),'Planning Sheet'!$B236,"")</f>
        <v/>
      </c>
      <c r="Z1219" s="48" t="str">
        <f ca="1">IF(AND('Planning Sheet'!BH236='Weeks Plan'!$D$6,'Planning Sheet'!BB236='Weeks Plan'!$G$6),'Planning Sheet'!$BC236,"")</f>
        <v/>
      </c>
      <c r="AA1219" s="48" t="str">
        <f ca="1">IF(AND('Planning Sheet'!BH236='Weeks Plan'!$D$6,'Planning Sheet'!BB236='Weeks Plan'!$G$6),'Planning Sheet'!$BD236,"")</f>
        <v/>
      </c>
    </row>
    <row r="1220" spans="25:27" x14ac:dyDescent="0.3">
      <c r="Y1220" s="48" t="str">
        <f ca="1">IF(AND('Planning Sheet'!BH237='Weeks Plan'!$D$6,'Planning Sheet'!BB237='Weeks Plan'!$G$6),'Planning Sheet'!$B237,"")</f>
        <v/>
      </c>
      <c r="Z1220" s="48" t="str">
        <f ca="1">IF(AND('Planning Sheet'!BH237='Weeks Plan'!$D$6,'Planning Sheet'!BB237='Weeks Plan'!$G$6),'Planning Sheet'!$BC237,"")</f>
        <v/>
      </c>
      <c r="AA1220" s="48" t="str">
        <f ca="1">IF(AND('Planning Sheet'!BH237='Weeks Plan'!$D$6,'Planning Sheet'!BB237='Weeks Plan'!$G$6),'Planning Sheet'!$BD237,"")</f>
        <v/>
      </c>
    </row>
    <row r="1221" spans="25:27" x14ac:dyDescent="0.3">
      <c r="Y1221" s="48" t="str">
        <f ca="1">IF(AND('Planning Sheet'!BH238='Weeks Plan'!$D$6,'Planning Sheet'!BB238='Weeks Plan'!$G$6),'Planning Sheet'!$B238,"")</f>
        <v/>
      </c>
      <c r="Z1221" s="48" t="str">
        <f ca="1">IF(AND('Planning Sheet'!BH238='Weeks Plan'!$D$6,'Planning Sheet'!BB238='Weeks Plan'!$G$6),'Planning Sheet'!$BC238,"")</f>
        <v/>
      </c>
      <c r="AA1221" s="48" t="str">
        <f ca="1">IF(AND('Planning Sheet'!BH238='Weeks Plan'!$D$6,'Planning Sheet'!BB238='Weeks Plan'!$G$6),'Planning Sheet'!$BD238,"")</f>
        <v/>
      </c>
    </row>
    <row r="1222" spans="25:27" x14ac:dyDescent="0.3">
      <c r="Y1222" s="48" t="str">
        <f ca="1">IF(AND('Planning Sheet'!BH239='Weeks Plan'!$D$6,'Planning Sheet'!BB239='Weeks Plan'!$G$6),'Planning Sheet'!$B239,"")</f>
        <v/>
      </c>
      <c r="Z1222" s="48" t="str">
        <f ca="1">IF(AND('Planning Sheet'!BH239='Weeks Plan'!$D$6,'Planning Sheet'!BB239='Weeks Plan'!$G$6),'Planning Sheet'!$BC239,"")</f>
        <v/>
      </c>
      <c r="AA1222" s="48" t="str">
        <f ca="1">IF(AND('Planning Sheet'!BH239='Weeks Plan'!$D$6,'Planning Sheet'!BB239='Weeks Plan'!$G$6),'Planning Sheet'!$BD239,"")</f>
        <v/>
      </c>
    </row>
    <row r="1223" spans="25:27" x14ac:dyDescent="0.3">
      <c r="Y1223" s="48" t="str">
        <f ca="1">IF(AND('Planning Sheet'!BH240='Weeks Plan'!$D$6,'Planning Sheet'!BB240='Weeks Plan'!$G$6),'Planning Sheet'!$B240,"")</f>
        <v/>
      </c>
      <c r="Z1223" s="48" t="str">
        <f ca="1">IF(AND('Planning Sheet'!BH240='Weeks Plan'!$D$6,'Planning Sheet'!BB240='Weeks Plan'!$G$6),'Planning Sheet'!$BC240,"")</f>
        <v/>
      </c>
      <c r="AA1223" s="48" t="str">
        <f ca="1">IF(AND('Planning Sheet'!BH240='Weeks Plan'!$D$6,'Planning Sheet'!BB240='Weeks Plan'!$G$6),'Planning Sheet'!$BD240,"")</f>
        <v/>
      </c>
    </row>
    <row r="1224" spans="25:27" x14ac:dyDescent="0.3">
      <c r="Y1224" s="48" t="str">
        <f ca="1">IF(AND('Planning Sheet'!BH241='Weeks Plan'!$D$6,'Planning Sheet'!BB241='Weeks Plan'!$G$6),'Planning Sheet'!$B241,"")</f>
        <v/>
      </c>
      <c r="Z1224" s="48" t="str">
        <f ca="1">IF(AND('Planning Sheet'!BH241='Weeks Plan'!$D$6,'Planning Sheet'!BB241='Weeks Plan'!$G$6),'Planning Sheet'!$BC241,"")</f>
        <v/>
      </c>
      <c r="AA1224" s="48" t="str">
        <f ca="1">IF(AND('Planning Sheet'!BH241='Weeks Plan'!$D$6,'Planning Sheet'!BB241='Weeks Plan'!$G$6),'Planning Sheet'!$BD241,"")</f>
        <v/>
      </c>
    </row>
    <row r="1225" spans="25:27" x14ac:dyDescent="0.3">
      <c r="Y1225" s="48" t="str">
        <f ca="1">IF(AND('Planning Sheet'!BH242='Weeks Plan'!$D$6,'Planning Sheet'!BB242='Weeks Plan'!$G$6),'Planning Sheet'!$B242,"")</f>
        <v/>
      </c>
      <c r="Z1225" s="48" t="str">
        <f ca="1">IF(AND('Planning Sheet'!BH242='Weeks Plan'!$D$6,'Planning Sheet'!BB242='Weeks Plan'!$G$6),'Planning Sheet'!$BC242,"")</f>
        <v/>
      </c>
      <c r="AA1225" s="48" t="str">
        <f ca="1">IF(AND('Planning Sheet'!BH242='Weeks Plan'!$D$6,'Planning Sheet'!BB242='Weeks Plan'!$G$6),'Planning Sheet'!$BD242,"")</f>
        <v/>
      </c>
    </row>
    <row r="1226" spans="25:27" x14ac:dyDescent="0.3">
      <c r="Y1226" s="48" t="str">
        <f ca="1">IF(AND('Planning Sheet'!BH243='Weeks Plan'!$D$6,'Planning Sheet'!BB243='Weeks Plan'!$G$6),'Planning Sheet'!$B243,"")</f>
        <v/>
      </c>
      <c r="Z1226" s="48" t="str">
        <f ca="1">IF(AND('Planning Sheet'!BH243='Weeks Plan'!$D$6,'Planning Sheet'!BB243='Weeks Plan'!$G$6),'Planning Sheet'!$BC243,"")</f>
        <v/>
      </c>
      <c r="AA1226" s="48" t="str">
        <f ca="1">IF(AND('Planning Sheet'!BH243='Weeks Plan'!$D$6,'Planning Sheet'!BB243='Weeks Plan'!$G$6),'Planning Sheet'!$BD243,"")</f>
        <v/>
      </c>
    </row>
    <row r="1227" spans="25:27" x14ac:dyDescent="0.3">
      <c r="Y1227" s="48" t="str">
        <f ca="1">IF(AND('Planning Sheet'!BH244='Weeks Plan'!$D$6,'Planning Sheet'!BB244='Weeks Plan'!$G$6),'Planning Sheet'!$B244,"")</f>
        <v/>
      </c>
      <c r="Z1227" s="48" t="str">
        <f ca="1">IF(AND('Planning Sheet'!BH244='Weeks Plan'!$D$6,'Planning Sheet'!BB244='Weeks Plan'!$G$6),'Planning Sheet'!$BC244,"")</f>
        <v/>
      </c>
      <c r="AA1227" s="48" t="str">
        <f ca="1">IF(AND('Planning Sheet'!BH244='Weeks Plan'!$D$6,'Planning Sheet'!BB244='Weeks Plan'!$G$6),'Planning Sheet'!$BD244,"")</f>
        <v/>
      </c>
    </row>
    <row r="1228" spans="25:27" x14ac:dyDescent="0.3">
      <c r="Y1228" s="48" t="str">
        <f ca="1">IF(AND('Planning Sheet'!BH245='Weeks Plan'!$D$6,'Planning Sheet'!BB245='Weeks Plan'!$G$6),'Planning Sheet'!$B245,"")</f>
        <v/>
      </c>
      <c r="Z1228" s="48" t="str">
        <f ca="1">IF(AND('Planning Sheet'!BH245='Weeks Plan'!$D$6,'Planning Sheet'!BB245='Weeks Plan'!$G$6),'Planning Sheet'!$BC245,"")</f>
        <v/>
      </c>
      <c r="AA1228" s="48" t="str">
        <f ca="1">IF(AND('Planning Sheet'!BH245='Weeks Plan'!$D$6,'Planning Sheet'!BB245='Weeks Plan'!$G$6),'Planning Sheet'!$BD245,"")</f>
        <v/>
      </c>
    </row>
    <row r="1229" spans="25:27" x14ac:dyDescent="0.3">
      <c r="Y1229" s="48" t="str">
        <f ca="1">IF(AND('Planning Sheet'!BH246='Weeks Plan'!$D$6,'Planning Sheet'!BB246='Weeks Plan'!$G$6),'Planning Sheet'!$B246,"")</f>
        <v/>
      </c>
      <c r="Z1229" s="48" t="str">
        <f ca="1">IF(AND('Planning Sheet'!BH246='Weeks Plan'!$D$6,'Planning Sheet'!BB246='Weeks Plan'!$G$6),'Planning Sheet'!$BC246,"")</f>
        <v/>
      </c>
      <c r="AA1229" s="48" t="str">
        <f ca="1">IF(AND('Planning Sheet'!BH246='Weeks Plan'!$D$6,'Planning Sheet'!BB246='Weeks Plan'!$G$6),'Planning Sheet'!$BD246,"")</f>
        <v/>
      </c>
    </row>
    <row r="1230" spans="25:27" x14ac:dyDescent="0.3">
      <c r="Y1230" s="48" t="str">
        <f ca="1">IF(AND('Planning Sheet'!BH247='Weeks Plan'!$D$6,'Planning Sheet'!BB247='Weeks Plan'!$G$6),'Planning Sheet'!$B247,"")</f>
        <v/>
      </c>
      <c r="Z1230" s="48" t="str">
        <f ca="1">IF(AND('Planning Sheet'!BH247='Weeks Plan'!$D$6,'Planning Sheet'!BB247='Weeks Plan'!$G$6),'Planning Sheet'!$BC247,"")</f>
        <v/>
      </c>
      <c r="AA1230" s="48" t="str">
        <f ca="1">IF(AND('Planning Sheet'!BH247='Weeks Plan'!$D$6,'Planning Sheet'!BB247='Weeks Plan'!$G$6),'Planning Sheet'!$BD247,"")</f>
        <v/>
      </c>
    </row>
    <row r="1231" spans="25:27" x14ac:dyDescent="0.3">
      <c r="Y1231" s="48" t="str">
        <f ca="1">IF(AND('Planning Sheet'!BH248='Weeks Plan'!$D$6,'Planning Sheet'!BB248='Weeks Plan'!$G$6),'Planning Sheet'!$B248,"")</f>
        <v/>
      </c>
      <c r="Z1231" s="48" t="str">
        <f ca="1">IF(AND('Planning Sheet'!BH248='Weeks Plan'!$D$6,'Planning Sheet'!BB248='Weeks Plan'!$G$6),'Planning Sheet'!$BC248,"")</f>
        <v/>
      </c>
      <c r="AA1231" s="48" t="str">
        <f ca="1">IF(AND('Planning Sheet'!BH248='Weeks Plan'!$D$6,'Planning Sheet'!BB248='Weeks Plan'!$G$6),'Planning Sheet'!$BD248,"")</f>
        <v/>
      </c>
    </row>
    <row r="1232" spans="25:27" x14ac:dyDescent="0.3">
      <c r="Y1232" s="48" t="str">
        <f ca="1">IF(AND('Planning Sheet'!BH249='Weeks Plan'!$D$6,'Planning Sheet'!BB249='Weeks Plan'!$G$6),'Planning Sheet'!$B249,"")</f>
        <v/>
      </c>
      <c r="Z1232" s="48" t="str">
        <f ca="1">IF(AND('Planning Sheet'!BH249='Weeks Plan'!$D$6,'Planning Sheet'!BB249='Weeks Plan'!$G$6),'Planning Sheet'!$BC249,"")</f>
        <v/>
      </c>
      <c r="AA1232" s="48" t="str">
        <f ca="1">IF(AND('Planning Sheet'!BH249='Weeks Plan'!$D$6,'Planning Sheet'!BB249='Weeks Plan'!$G$6),'Planning Sheet'!$BD249,"")</f>
        <v/>
      </c>
    </row>
    <row r="1233" spans="25:27" x14ac:dyDescent="0.3">
      <c r="Y1233" s="48" t="str">
        <f ca="1">IF(AND('Planning Sheet'!BH250='Weeks Plan'!$D$6,'Planning Sheet'!BB250='Weeks Plan'!$G$6),'Planning Sheet'!$B250,"")</f>
        <v/>
      </c>
      <c r="Z1233" s="48" t="str">
        <f ca="1">IF(AND('Planning Sheet'!BH250='Weeks Plan'!$D$6,'Planning Sheet'!BB250='Weeks Plan'!$G$6),'Planning Sheet'!$BC250,"")</f>
        <v/>
      </c>
      <c r="AA1233" s="48" t="str">
        <f ca="1">IF(AND('Planning Sheet'!BH250='Weeks Plan'!$D$6,'Planning Sheet'!BB250='Weeks Plan'!$G$6),'Planning Sheet'!$BD250,"")</f>
        <v/>
      </c>
    </row>
    <row r="1234" spans="25:27" x14ac:dyDescent="0.3">
      <c r="Y1234" s="48" t="str">
        <f ca="1">IF(AND('Planning Sheet'!BH251='Weeks Plan'!$D$6,'Planning Sheet'!BB251='Weeks Plan'!$G$6),'Planning Sheet'!$B251,"")</f>
        <v/>
      </c>
      <c r="Z1234" s="48" t="str">
        <f ca="1">IF(AND('Planning Sheet'!BH251='Weeks Plan'!$D$6,'Planning Sheet'!BB251='Weeks Plan'!$G$6),'Planning Sheet'!$BC251,"")</f>
        <v/>
      </c>
      <c r="AA1234" s="48" t="str">
        <f ca="1">IF(AND('Planning Sheet'!BH251='Weeks Plan'!$D$6,'Planning Sheet'!BB251='Weeks Plan'!$G$6),'Planning Sheet'!$BD251,"")</f>
        <v/>
      </c>
    </row>
    <row r="1235" spans="25:27" x14ac:dyDescent="0.3">
      <c r="Y1235" s="48" t="str">
        <f ca="1">IF(AND('Planning Sheet'!BH252='Weeks Plan'!$D$6,'Planning Sheet'!BB252='Weeks Plan'!$G$6),'Planning Sheet'!$B252,"")</f>
        <v/>
      </c>
      <c r="Z1235" s="48" t="str">
        <f ca="1">IF(AND('Planning Sheet'!BH252='Weeks Plan'!$D$6,'Planning Sheet'!BB252='Weeks Plan'!$G$6),'Planning Sheet'!$BC252,"")</f>
        <v/>
      </c>
      <c r="AA1235" s="48" t="str">
        <f ca="1">IF(AND('Planning Sheet'!BH252='Weeks Plan'!$D$6,'Planning Sheet'!BB252='Weeks Plan'!$G$6),'Planning Sheet'!$BD252,"")</f>
        <v/>
      </c>
    </row>
    <row r="1236" spans="25:27" x14ac:dyDescent="0.3">
      <c r="Y1236" s="48" t="str">
        <f ca="1">IF(AND('Planning Sheet'!BH253='Weeks Plan'!$D$6,'Planning Sheet'!BB253='Weeks Plan'!$G$6),'Planning Sheet'!$B253,"")</f>
        <v/>
      </c>
      <c r="Z1236" s="48" t="str">
        <f ca="1">IF(AND('Planning Sheet'!BH253='Weeks Plan'!$D$6,'Planning Sheet'!BB253='Weeks Plan'!$G$6),'Planning Sheet'!$BC253,"")</f>
        <v/>
      </c>
      <c r="AA1236" s="48" t="str">
        <f ca="1">IF(AND('Planning Sheet'!BH253='Weeks Plan'!$D$6,'Planning Sheet'!BB253='Weeks Plan'!$G$6),'Planning Sheet'!$BD253,"")</f>
        <v/>
      </c>
    </row>
    <row r="1237" spans="25:27" x14ac:dyDescent="0.3">
      <c r="Y1237" s="48" t="str">
        <f ca="1">IF(AND('Planning Sheet'!BH254='Weeks Plan'!$D$6,'Planning Sheet'!BB254='Weeks Plan'!$G$6),'Planning Sheet'!$B254,"")</f>
        <v/>
      </c>
      <c r="Z1237" s="48" t="str">
        <f ca="1">IF(AND('Planning Sheet'!BH254='Weeks Plan'!$D$6,'Planning Sheet'!BB254='Weeks Plan'!$G$6),'Planning Sheet'!$BC254,"")</f>
        <v/>
      </c>
      <c r="AA1237" s="48" t="str">
        <f ca="1">IF(AND('Planning Sheet'!BH254='Weeks Plan'!$D$6,'Planning Sheet'!BB254='Weeks Plan'!$G$6),'Planning Sheet'!$BD254,"")</f>
        <v/>
      </c>
    </row>
    <row r="1238" spans="25:27" x14ac:dyDescent="0.3">
      <c r="Y1238" s="48" t="str">
        <f ca="1">IF(AND('Planning Sheet'!BH255='Weeks Plan'!$D$6,'Planning Sheet'!BB255='Weeks Plan'!$G$6),'Planning Sheet'!$B255,"")</f>
        <v/>
      </c>
      <c r="Z1238" s="48" t="str">
        <f ca="1">IF(AND('Planning Sheet'!BH255='Weeks Plan'!$D$6,'Planning Sheet'!BB255='Weeks Plan'!$G$6),'Planning Sheet'!$BC255,"")</f>
        <v/>
      </c>
      <c r="AA1238" s="48" t="str">
        <f ca="1">IF(AND('Planning Sheet'!BH255='Weeks Plan'!$D$6,'Planning Sheet'!BB255='Weeks Plan'!$G$6),'Planning Sheet'!$BD255,"")</f>
        <v/>
      </c>
    </row>
    <row r="1239" spans="25:27" x14ac:dyDescent="0.3">
      <c r="Y1239" s="48" t="str">
        <f ca="1">IF(AND('Planning Sheet'!BH256='Weeks Plan'!$D$6,'Planning Sheet'!BB256='Weeks Plan'!$G$6),'Planning Sheet'!$B256,"")</f>
        <v/>
      </c>
      <c r="Z1239" s="48" t="str">
        <f ca="1">IF(AND('Planning Sheet'!BH256='Weeks Plan'!$D$6,'Planning Sheet'!BB256='Weeks Plan'!$G$6),'Planning Sheet'!$BC256,"")</f>
        <v/>
      </c>
      <c r="AA1239" s="48" t="str">
        <f ca="1">IF(AND('Planning Sheet'!BH256='Weeks Plan'!$D$6,'Planning Sheet'!BB256='Weeks Plan'!$G$6),'Planning Sheet'!$BD256,"")</f>
        <v/>
      </c>
    </row>
    <row r="1240" spans="25:27" x14ac:dyDescent="0.3">
      <c r="Y1240" s="48" t="str">
        <f ca="1">IF(AND('Planning Sheet'!BH257='Weeks Plan'!$D$6,'Planning Sheet'!BB257='Weeks Plan'!$G$6),'Planning Sheet'!$B257,"")</f>
        <v/>
      </c>
      <c r="Z1240" s="48" t="str">
        <f ca="1">IF(AND('Planning Sheet'!BH257='Weeks Plan'!$D$6,'Planning Sheet'!BB257='Weeks Plan'!$G$6),'Planning Sheet'!$BC257,"")</f>
        <v/>
      </c>
      <c r="AA1240" s="48" t="str">
        <f ca="1">IF(AND('Planning Sheet'!BH257='Weeks Plan'!$D$6,'Planning Sheet'!BB257='Weeks Plan'!$G$6),'Planning Sheet'!$BD257,"")</f>
        <v/>
      </c>
    </row>
    <row r="1241" spans="25:27" x14ac:dyDescent="0.3">
      <c r="Y1241" s="48" t="str">
        <f ca="1">IF(AND('Planning Sheet'!BH258='Weeks Plan'!$D$6,'Planning Sheet'!BB258='Weeks Plan'!$G$6),'Planning Sheet'!$B258,"")</f>
        <v/>
      </c>
      <c r="Z1241" s="48" t="str">
        <f ca="1">IF(AND('Planning Sheet'!BH258='Weeks Plan'!$D$6,'Planning Sheet'!BB258='Weeks Plan'!$G$6),'Planning Sheet'!$BC258,"")</f>
        <v/>
      </c>
      <c r="AA1241" s="48" t="str">
        <f ca="1">IF(AND('Planning Sheet'!BH258='Weeks Plan'!$D$6,'Planning Sheet'!BB258='Weeks Plan'!$G$6),'Planning Sheet'!$BD258,"")</f>
        <v/>
      </c>
    </row>
    <row r="1242" spans="25:27" x14ac:dyDescent="0.3">
      <c r="Y1242" s="48" t="str">
        <f ca="1">IF(AND('Planning Sheet'!BH259='Weeks Plan'!$D$6,'Planning Sheet'!BB259='Weeks Plan'!$G$6),'Planning Sheet'!$B259,"")</f>
        <v/>
      </c>
      <c r="Z1242" s="48" t="str">
        <f ca="1">IF(AND('Planning Sheet'!BH259='Weeks Plan'!$D$6,'Planning Sheet'!BB259='Weeks Plan'!$G$6),'Planning Sheet'!$BC259,"")</f>
        <v/>
      </c>
      <c r="AA1242" s="48" t="str">
        <f ca="1">IF(AND('Planning Sheet'!BH259='Weeks Plan'!$D$6,'Planning Sheet'!BB259='Weeks Plan'!$G$6),'Planning Sheet'!$BD259,"")</f>
        <v/>
      </c>
    </row>
    <row r="1243" spans="25:27" x14ac:dyDescent="0.3">
      <c r="Y1243" s="48" t="str">
        <f ca="1">IF(AND('Planning Sheet'!BH260='Weeks Plan'!$D$6,'Planning Sheet'!BB260='Weeks Plan'!$G$6),'Planning Sheet'!$B260,"")</f>
        <v/>
      </c>
      <c r="Z1243" s="48" t="str">
        <f ca="1">IF(AND('Planning Sheet'!BH260='Weeks Plan'!$D$6,'Planning Sheet'!BB260='Weeks Plan'!$G$6),'Planning Sheet'!$BC260,"")</f>
        <v/>
      </c>
      <c r="AA1243" s="48" t="str">
        <f ca="1">IF(AND('Planning Sheet'!BH260='Weeks Plan'!$D$6,'Planning Sheet'!BB260='Weeks Plan'!$G$6),'Planning Sheet'!$BD260,"")</f>
        <v/>
      </c>
    </row>
    <row r="1244" spans="25:27" x14ac:dyDescent="0.3">
      <c r="Y1244" s="48" t="str">
        <f ca="1">IF(AND('Planning Sheet'!BH261='Weeks Plan'!$D$6,'Planning Sheet'!BB261='Weeks Plan'!$G$6),'Planning Sheet'!$B261,"")</f>
        <v/>
      </c>
      <c r="Z1244" s="48" t="str">
        <f ca="1">IF(AND('Planning Sheet'!BH261='Weeks Plan'!$D$6,'Planning Sheet'!BB261='Weeks Plan'!$G$6),'Planning Sheet'!$BC261,"")</f>
        <v/>
      </c>
      <c r="AA1244" s="48" t="str">
        <f ca="1">IF(AND('Planning Sheet'!BH261='Weeks Plan'!$D$6,'Planning Sheet'!BB261='Weeks Plan'!$G$6),'Planning Sheet'!$BD261,"")</f>
        <v/>
      </c>
    </row>
    <row r="1245" spans="25:27" x14ac:dyDescent="0.3">
      <c r="Y1245" s="48" t="str">
        <f ca="1">IF(AND('Planning Sheet'!BH262='Weeks Plan'!$D$6,'Planning Sheet'!BB262='Weeks Plan'!$G$6),'Planning Sheet'!$B262,"")</f>
        <v/>
      </c>
      <c r="Z1245" s="48" t="str">
        <f ca="1">IF(AND('Planning Sheet'!BH262='Weeks Plan'!$D$6,'Planning Sheet'!BB262='Weeks Plan'!$G$6),'Planning Sheet'!$BC262,"")</f>
        <v/>
      </c>
      <c r="AA1245" s="48" t="str">
        <f ca="1">IF(AND('Planning Sheet'!BH262='Weeks Plan'!$D$6,'Planning Sheet'!BB262='Weeks Plan'!$G$6),'Planning Sheet'!$BD262,"")</f>
        <v/>
      </c>
    </row>
    <row r="1246" spans="25:27" x14ac:dyDescent="0.3">
      <c r="Y1246" s="48" t="str">
        <f ca="1">IF(AND('Planning Sheet'!BH263='Weeks Plan'!$D$6,'Planning Sheet'!BB263='Weeks Plan'!$G$6),'Planning Sheet'!$B263,"")</f>
        <v/>
      </c>
      <c r="Z1246" s="48" t="str">
        <f ca="1">IF(AND('Planning Sheet'!BH263='Weeks Plan'!$D$6,'Planning Sheet'!BB263='Weeks Plan'!$G$6),'Planning Sheet'!$BC263,"")</f>
        <v/>
      </c>
      <c r="AA1246" s="48" t="str">
        <f ca="1">IF(AND('Planning Sheet'!BH263='Weeks Plan'!$D$6,'Planning Sheet'!BB263='Weeks Plan'!$G$6),'Planning Sheet'!$BD263,"")</f>
        <v/>
      </c>
    </row>
    <row r="1247" spans="25:27" x14ac:dyDescent="0.3">
      <c r="Y1247" s="48" t="str">
        <f ca="1">IF(AND('Planning Sheet'!BH264='Weeks Plan'!$D$6,'Planning Sheet'!BB264='Weeks Plan'!$G$6),'Planning Sheet'!$B264,"")</f>
        <v/>
      </c>
      <c r="Z1247" s="48" t="str">
        <f ca="1">IF(AND('Planning Sheet'!BH264='Weeks Plan'!$D$6,'Planning Sheet'!BB264='Weeks Plan'!$G$6),'Planning Sheet'!$BC264,"")</f>
        <v/>
      </c>
      <c r="AA1247" s="48" t="str">
        <f ca="1">IF(AND('Planning Sheet'!BH264='Weeks Plan'!$D$6,'Planning Sheet'!BB264='Weeks Plan'!$G$6),'Planning Sheet'!$BD264,"")</f>
        <v/>
      </c>
    </row>
    <row r="1248" spans="25:27" x14ac:dyDescent="0.3">
      <c r="Y1248" s="48" t="str">
        <f ca="1">IF(AND('Planning Sheet'!BH265='Weeks Plan'!$D$6,'Planning Sheet'!BB265='Weeks Plan'!$G$6),'Planning Sheet'!$B265,"")</f>
        <v/>
      </c>
      <c r="Z1248" s="48" t="str">
        <f ca="1">IF(AND('Planning Sheet'!BH265='Weeks Plan'!$D$6,'Planning Sheet'!BB265='Weeks Plan'!$G$6),'Planning Sheet'!$BC265,"")</f>
        <v/>
      </c>
      <c r="AA1248" s="48" t="str">
        <f ca="1">IF(AND('Planning Sheet'!BH265='Weeks Plan'!$D$6,'Planning Sheet'!BB265='Weeks Plan'!$G$6),'Planning Sheet'!$BD265,"")</f>
        <v/>
      </c>
    </row>
    <row r="1249" spans="25:27" x14ac:dyDescent="0.3">
      <c r="Y1249" s="48" t="str">
        <f ca="1">IF(AND('Planning Sheet'!BH266='Weeks Plan'!$D$6,'Planning Sheet'!BB266='Weeks Plan'!$G$6),'Planning Sheet'!$B266,"")</f>
        <v/>
      </c>
      <c r="Z1249" s="48" t="str">
        <f ca="1">IF(AND('Planning Sheet'!BH266='Weeks Plan'!$D$6,'Planning Sheet'!BB266='Weeks Plan'!$G$6),'Planning Sheet'!$BC266,"")</f>
        <v/>
      </c>
      <c r="AA1249" s="48" t="str">
        <f ca="1">IF(AND('Planning Sheet'!BH266='Weeks Plan'!$D$6,'Planning Sheet'!BB266='Weeks Plan'!$G$6),'Planning Sheet'!$BD266,"")</f>
        <v/>
      </c>
    </row>
    <row r="1250" spans="25:27" x14ac:dyDescent="0.3">
      <c r="Y1250" s="48" t="str">
        <f ca="1">IF(AND('Planning Sheet'!BH267='Weeks Plan'!$D$6,'Planning Sheet'!BB267='Weeks Plan'!$G$6),'Planning Sheet'!$B267,"")</f>
        <v/>
      </c>
      <c r="Z1250" s="48" t="str">
        <f ca="1">IF(AND('Planning Sheet'!BH267='Weeks Plan'!$D$6,'Planning Sheet'!BB267='Weeks Plan'!$G$6),'Planning Sheet'!$BC267,"")</f>
        <v/>
      </c>
      <c r="AA1250" s="48" t="str">
        <f ca="1">IF(AND('Planning Sheet'!BH267='Weeks Plan'!$D$6,'Planning Sheet'!BB267='Weeks Plan'!$G$6),'Planning Sheet'!$BD267,"")</f>
        <v/>
      </c>
    </row>
    <row r="1251" spans="25:27" x14ac:dyDescent="0.3">
      <c r="Y1251" s="48" t="str">
        <f ca="1">IF(AND('Planning Sheet'!BH268='Weeks Plan'!$D$6,'Planning Sheet'!BB268='Weeks Plan'!$G$6),'Planning Sheet'!$B268,"")</f>
        <v/>
      </c>
      <c r="Z1251" s="48" t="str">
        <f ca="1">IF(AND('Planning Sheet'!BH268='Weeks Plan'!$D$6,'Planning Sheet'!BB268='Weeks Plan'!$G$6),'Planning Sheet'!$BC268,"")</f>
        <v/>
      </c>
      <c r="AA1251" s="48" t="str">
        <f ca="1">IF(AND('Planning Sheet'!BH268='Weeks Plan'!$D$6,'Planning Sheet'!BB268='Weeks Plan'!$G$6),'Planning Sheet'!$BD268,"")</f>
        <v/>
      </c>
    </row>
    <row r="1252" spans="25:27" x14ac:dyDescent="0.3">
      <c r="Y1252" s="48" t="str">
        <f ca="1">IF(AND('Planning Sheet'!BH269='Weeks Plan'!$D$6,'Planning Sheet'!BB269='Weeks Plan'!$G$6),'Planning Sheet'!$B269,"")</f>
        <v/>
      </c>
      <c r="Z1252" s="48" t="str">
        <f ca="1">IF(AND('Planning Sheet'!BH269='Weeks Plan'!$D$6,'Planning Sheet'!BB269='Weeks Plan'!$G$6),'Planning Sheet'!$BC269,"")</f>
        <v/>
      </c>
      <c r="AA1252" s="48" t="str">
        <f ca="1">IF(AND('Planning Sheet'!BH269='Weeks Plan'!$D$6,'Planning Sheet'!BB269='Weeks Plan'!$G$6),'Planning Sheet'!$BD269,"")</f>
        <v/>
      </c>
    </row>
    <row r="1253" spans="25:27" x14ac:dyDescent="0.3">
      <c r="Y1253" s="48" t="str">
        <f ca="1">IF(AND('Planning Sheet'!BH270='Weeks Plan'!$D$6,'Planning Sheet'!BB270='Weeks Plan'!$G$6),'Planning Sheet'!$B270,"")</f>
        <v/>
      </c>
      <c r="Z1253" s="48" t="str">
        <f ca="1">IF(AND('Planning Sheet'!BH270='Weeks Plan'!$D$6,'Planning Sheet'!BB270='Weeks Plan'!$G$6),'Planning Sheet'!$BC270,"")</f>
        <v/>
      </c>
      <c r="AA1253" s="48" t="str">
        <f ca="1">IF(AND('Planning Sheet'!BH270='Weeks Plan'!$D$6,'Planning Sheet'!BB270='Weeks Plan'!$G$6),'Planning Sheet'!$BD270,"")</f>
        <v/>
      </c>
    </row>
    <row r="1254" spans="25:27" x14ac:dyDescent="0.3">
      <c r="Y1254" s="48" t="str">
        <f ca="1">IF(AND('Planning Sheet'!BH271='Weeks Plan'!$D$6,'Planning Sheet'!BB271='Weeks Plan'!$G$6),'Planning Sheet'!$B271,"")</f>
        <v/>
      </c>
      <c r="Z1254" s="48" t="str">
        <f ca="1">IF(AND('Planning Sheet'!BH271='Weeks Plan'!$D$6,'Planning Sheet'!BB271='Weeks Plan'!$G$6),'Planning Sheet'!$BC271,"")</f>
        <v/>
      </c>
      <c r="AA1254" s="48" t="str">
        <f ca="1">IF(AND('Planning Sheet'!BH271='Weeks Plan'!$D$6,'Planning Sheet'!BB271='Weeks Plan'!$G$6),'Planning Sheet'!$BD271,"")</f>
        <v/>
      </c>
    </row>
    <row r="1255" spans="25:27" x14ac:dyDescent="0.3">
      <c r="Y1255" s="48" t="str">
        <f ca="1">IF(AND('Planning Sheet'!BH272='Weeks Plan'!$D$6,'Planning Sheet'!BB272='Weeks Plan'!$G$6),'Planning Sheet'!$B272,"")</f>
        <v/>
      </c>
      <c r="Z1255" s="48" t="str">
        <f ca="1">IF(AND('Planning Sheet'!BH272='Weeks Plan'!$D$6,'Planning Sheet'!BB272='Weeks Plan'!$G$6),'Planning Sheet'!$BC272,"")</f>
        <v/>
      </c>
      <c r="AA1255" s="48" t="str">
        <f ca="1">IF(AND('Planning Sheet'!BH272='Weeks Plan'!$D$6,'Planning Sheet'!BB272='Weeks Plan'!$G$6),'Planning Sheet'!$BD272,"")</f>
        <v/>
      </c>
    </row>
    <row r="1256" spans="25:27" x14ac:dyDescent="0.3">
      <c r="Y1256" s="48" t="str">
        <f ca="1">IF(AND('Planning Sheet'!BH273='Weeks Plan'!$D$6,'Planning Sheet'!BB273='Weeks Plan'!$G$6),'Planning Sheet'!$B273,"")</f>
        <v/>
      </c>
      <c r="Z1256" s="48" t="str">
        <f ca="1">IF(AND('Planning Sheet'!BH273='Weeks Plan'!$D$6,'Planning Sheet'!BB273='Weeks Plan'!$G$6),'Planning Sheet'!$BC273,"")</f>
        <v/>
      </c>
      <c r="AA1256" s="48" t="str">
        <f ca="1">IF(AND('Planning Sheet'!BH273='Weeks Plan'!$D$6,'Planning Sheet'!BB273='Weeks Plan'!$G$6),'Planning Sheet'!$BD273,"")</f>
        <v/>
      </c>
    </row>
    <row r="1257" spans="25:27" x14ac:dyDescent="0.3">
      <c r="Y1257" s="48" t="str">
        <f ca="1">IF(AND('Planning Sheet'!BH274='Weeks Plan'!$D$6,'Planning Sheet'!BB274='Weeks Plan'!$G$6),'Planning Sheet'!$B274,"")</f>
        <v/>
      </c>
      <c r="Z1257" s="48" t="str">
        <f ca="1">IF(AND('Planning Sheet'!BH274='Weeks Plan'!$D$6,'Planning Sheet'!BB274='Weeks Plan'!$G$6),'Planning Sheet'!$BC274,"")</f>
        <v/>
      </c>
      <c r="AA1257" s="48" t="str">
        <f ca="1">IF(AND('Planning Sheet'!BH274='Weeks Plan'!$D$6,'Planning Sheet'!BB274='Weeks Plan'!$G$6),'Planning Sheet'!$BD274,"")</f>
        <v/>
      </c>
    </row>
    <row r="1258" spans="25:27" x14ac:dyDescent="0.3">
      <c r="Y1258" s="48" t="str">
        <f ca="1">IF(AND('Planning Sheet'!BH275='Weeks Plan'!$D$6,'Planning Sheet'!BB275='Weeks Plan'!$G$6),'Planning Sheet'!$B275,"")</f>
        <v/>
      </c>
      <c r="Z1258" s="48" t="str">
        <f ca="1">IF(AND('Planning Sheet'!BH275='Weeks Plan'!$D$6,'Planning Sheet'!BB275='Weeks Plan'!$G$6),'Planning Sheet'!$BC275,"")</f>
        <v/>
      </c>
      <c r="AA1258" s="48" t="str">
        <f ca="1">IF(AND('Planning Sheet'!BH275='Weeks Plan'!$D$6,'Planning Sheet'!BB275='Weeks Plan'!$G$6),'Planning Sheet'!$BD275,"")</f>
        <v/>
      </c>
    </row>
    <row r="1259" spans="25:27" x14ac:dyDescent="0.3">
      <c r="Y1259" s="48" t="str">
        <f ca="1">IF(AND('Planning Sheet'!BH276='Weeks Plan'!$D$6,'Planning Sheet'!BB276='Weeks Plan'!$G$6),'Planning Sheet'!$B276,"")</f>
        <v/>
      </c>
      <c r="Z1259" s="48" t="str">
        <f ca="1">IF(AND('Planning Sheet'!BH276='Weeks Plan'!$D$6,'Planning Sheet'!BB276='Weeks Plan'!$G$6),'Planning Sheet'!$BC276,"")</f>
        <v/>
      </c>
      <c r="AA1259" s="48" t="str">
        <f ca="1">IF(AND('Planning Sheet'!BH276='Weeks Plan'!$D$6,'Planning Sheet'!BB276='Weeks Plan'!$G$6),'Planning Sheet'!$BD276,"")</f>
        <v/>
      </c>
    </row>
    <row r="1260" spans="25:27" x14ac:dyDescent="0.3">
      <c r="Y1260" s="48" t="str">
        <f ca="1">IF(AND('Planning Sheet'!BH277='Weeks Plan'!$D$6,'Planning Sheet'!BB277='Weeks Plan'!$G$6),'Planning Sheet'!$B277,"")</f>
        <v/>
      </c>
      <c r="Z1260" s="48" t="str">
        <f ca="1">IF(AND('Planning Sheet'!BH277='Weeks Plan'!$D$6,'Planning Sheet'!BB277='Weeks Plan'!$G$6),'Planning Sheet'!$BC277,"")</f>
        <v/>
      </c>
      <c r="AA1260" s="48" t="str">
        <f ca="1">IF(AND('Planning Sheet'!BH277='Weeks Plan'!$D$6,'Planning Sheet'!BB277='Weeks Plan'!$G$6),'Planning Sheet'!$BD277,"")</f>
        <v/>
      </c>
    </row>
    <row r="1261" spans="25:27" x14ac:dyDescent="0.3">
      <c r="Y1261" s="48" t="str">
        <f ca="1">IF(AND('Planning Sheet'!BH278='Weeks Plan'!$D$6,'Planning Sheet'!BB278='Weeks Plan'!$G$6),'Planning Sheet'!$B278,"")</f>
        <v/>
      </c>
      <c r="Z1261" s="48" t="str">
        <f ca="1">IF(AND('Planning Sheet'!BH278='Weeks Plan'!$D$6,'Planning Sheet'!BB278='Weeks Plan'!$G$6),'Planning Sheet'!$BC278,"")</f>
        <v/>
      </c>
      <c r="AA1261" s="48" t="str">
        <f ca="1">IF(AND('Planning Sheet'!BH278='Weeks Plan'!$D$6,'Planning Sheet'!BB278='Weeks Plan'!$G$6),'Planning Sheet'!$BD278,"")</f>
        <v/>
      </c>
    </row>
    <row r="1262" spans="25:27" x14ac:dyDescent="0.3">
      <c r="Y1262" s="48" t="str">
        <f ca="1">IF(AND('Planning Sheet'!BH279='Weeks Plan'!$D$6,'Planning Sheet'!BB279='Weeks Plan'!$G$6),'Planning Sheet'!$B279,"")</f>
        <v/>
      </c>
      <c r="Z1262" s="48" t="str">
        <f ca="1">IF(AND('Planning Sheet'!BH279='Weeks Plan'!$D$6,'Planning Sheet'!BB279='Weeks Plan'!$G$6),'Planning Sheet'!$BC279,"")</f>
        <v/>
      </c>
      <c r="AA1262" s="48" t="str">
        <f ca="1">IF(AND('Planning Sheet'!BH279='Weeks Plan'!$D$6,'Planning Sheet'!BB279='Weeks Plan'!$G$6),'Planning Sheet'!$BD279,"")</f>
        <v/>
      </c>
    </row>
    <row r="1263" spans="25:27" x14ac:dyDescent="0.3">
      <c r="Y1263" s="48" t="str">
        <f ca="1">IF(AND('Planning Sheet'!BH280='Weeks Plan'!$D$6,'Planning Sheet'!BB280='Weeks Plan'!$G$6),'Planning Sheet'!$B280,"")</f>
        <v/>
      </c>
      <c r="Z1263" s="48" t="str">
        <f ca="1">IF(AND('Planning Sheet'!BH280='Weeks Plan'!$D$6,'Planning Sheet'!BB280='Weeks Plan'!$G$6),'Planning Sheet'!$BC280,"")</f>
        <v/>
      </c>
      <c r="AA1263" s="48" t="str">
        <f ca="1">IF(AND('Planning Sheet'!BH280='Weeks Plan'!$D$6,'Planning Sheet'!BB280='Weeks Plan'!$G$6),'Planning Sheet'!$BD280,"")</f>
        <v/>
      </c>
    </row>
    <row r="1264" spans="25:27" x14ac:dyDescent="0.3">
      <c r="Y1264" s="48" t="str">
        <f ca="1">IF(AND('Planning Sheet'!BH281='Weeks Plan'!$D$6,'Planning Sheet'!BB281='Weeks Plan'!$G$6),'Planning Sheet'!$B281,"")</f>
        <v/>
      </c>
      <c r="Z1264" s="48" t="str">
        <f ca="1">IF(AND('Planning Sheet'!BH281='Weeks Plan'!$D$6,'Planning Sheet'!BB281='Weeks Plan'!$G$6),'Planning Sheet'!$BC281,"")</f>
        <v/>
      </c>
      <c r="AA1264" s="48" t="str">
        <f ca="1">IF(AND('Planning Sheet'!BH281='Weeks Plan'!$D$6,'Planning Sheet'!BB281='Weeks Plan'!$G$6),'Planning Sheet'!$BD281,"")</f>
        <v/>
      </c>
    </row>
    <row r="1265" spans="25:27" x14ac:dyDescent="0.3">
      <c r="Y1265" s="48" t="str">
        <f ca="1">IF(AND('Planning Sheet'!BH282='Weeks Plan'!$D$6,'Planning Sheet'!BB282='Weeks Plan'!$G$6),'Planning Sheet'!$B282,"")</f>
        <v/>
      </c>
      <c r="Z1265" s="48" t="str">
        <f ca="1">IF(AND('Planning Sheet'!BH282='Weeks Plan'!$D$6,'Planning Sheet'!BB282='Weeks Plan'!$G$6),'Planning Sheet'!$BC282,"")</f>
        <v/>
      </c>
      <c r="AA1265" s="48" t="str">
        <f ca="1">IF(AND('Planning Sheet'!BH282='Weeks Plan'!$D$6,'Planning Sheet'!BB282='Weeks Plan'!$G$6),'Planning Sheet'!$BD282,"")</f>
        <v/>
      </c>
    </row>
    <row r="1266" spans="25:27" x14ac:dyDescent="0.3">
      <c r="Y1266" s="48" t="str">
        <f ca="1">IF(AND('Planning Sheet'!BH283='Weeks Plan'!$D$6,'Planning Sheet'!BB283='Weeks Plan'!$G$6),'Planning Sheet'!$B283,"")</f>
        <v/>
      </c>
      <c r="Z1266" s="48" t="str">
        <f ca="1">IF(AND('Planning Sheet'!BH283='Weeks Plan'!$D$6,'Planning Sheet'!BB283='Weeks Plan'!$G$6),'Planning Sheet'!$BC283,"")</f>
        <v/>
      </c>
      <c r="AA1266" s="48" t="str">
        <f ca="1">IF(AND('Planning Sheet'!BH283='Weeks Plan'!$D$6,'Planning Sheet'!BB283='Weeks Plan'!$G$6),'Planning Sheet'!$BD283,"")</f>
        <v/>
      </c>
    </row>
    <row r="1267" spans="25:27" x14ac:dyDescent="0.3">
      <c r="Y1267" s="48" t="str">
        <f ca="1">IF(AND('Planning Sheet'!BH284='Weeks Plan'!$D$6,'Planning Sheet'!BB284='Weeks Plan'!$G$6),'Planning Sheet'!$B284,"")</f>
        <v/>
      </c>
      <c r="Z1267" s="48" t="str">
        <f ca="1">IF(AND('Planning Sheet'!BH284='Weeks Plan'!$D$6,'Planning Sheet'!BB284='Weeks Plan'!$G$6),'Planning Sheet'!$BC284,"")</f>
        <v/>
      </c>
      <c r="AA1267" s="48" t="str">
        <f ca="1">IF(AND('Planning Sheet'!BH284='Weeks Plan'!$D$6,'Planning Sheet'!BB284='Weeks Plan'!$G$6),'Planning Sheet'!$BD284,"")</f>
        <v/>
      </c>
    </row>
    <row r="1268" spans="25:27" x14ac:dyDescent="0.3">
      <c r="Y1268" s="48" t="str">
        <f ca="1">IF(AND('Planning Sheet'!BH285='Weeks Plan'!$D$6,'Planning Sheet'!BB285='Weeks Plan'!$G$6),'Planning Sheet'!$B285,"")</f>
        <v/>
      </c>
      <c r="Z1268" s="48" t="str">
        <f ca="1">IF(AND('Planning Sheet'!BH285='Weeks Plan'!$D$6,'Planning Sheet'!BB285='Weeks Plan'!$G$6),'Planning Sheet'!$BC285,"")</f>
        <v/>
      </c>
      <c r="AA1268" s="48" t="str">
        <f ca="1">IF(AND('Planning Sheet'!BH285='Weeks Plan'!$D$6,'Planning Sheet'!BB285='Weeks Plan'!$G$6),'Planning Sheet'!$BD285,"")</f>
        <v/>
      </c>
    </row>
    <row r="1269" spans="25:27" x14ac:dyDescent="0.3">
      <c r="Y1269" s="48" t="str">
        <f ca="1">IF(AND('Planning Sheet'!BH286='Weeks Plan'!$D$6,'Planning Sheet'!BB286='Weeks Plan'!$G$6),'Planning Sheet'!$B286,"")</f>
        <v/>
      </c>
      <c r="Z1269" s="48" t="str">
        <f ca="1">IF(AND('Planning Sheet'!BH286='Weeks Plan'!$D$6,'Planning Sheet'!BB286='Weeks Plan'!$G$6),'Planning Sheet'!$BC286,"")</f>
        <v/>
      </c>
      <c r="AA1269" s="48" t="str">
        <f ca="1">IF(AND('Planning Sheet'!BH286='Weeks Plan'!$D$6,'Planning Sheet'!BB286='Weeks Plan'!$G$6),'Planning Sheet'!$BD286,"")</f>
        <v/>
      </c>
    </row>
    <row r="1270" spans="25:27" x14ac:dyDescent="0.3">
      <c r="Y1270" s="48" t="str">
        <f ca="1">IF(AND('Planning Sheet'!BH287='Weeks Plan'!$D$6,'Planning Sheet'!BB287='Weeks Plan'!$G$6),'Planning Sheet'!$B287,"")</f>
        <v/>
      </c>
      <c r="Z1270" s="48" t="str">
        <f ca="1">IF(AND('Planning Sheet'!BH287='Weeks Plan'!$D$6,'Planning Sheet'!BB287='Weeks Plan'!$G$6),'Planning Sheet'!$BC287,"")</f>
        <v/>
      </c>
      <c r="AA1270" s="48" t="str">
        <f ca="1">IF(AND('Planning Sheet'!BH287='Weeks Plan'!$D$6,'Planning Sheet'!BB287='Weeks Plan'!$G$6),'Planning Sheet'!$BD287,"")</f>
        <v/>
      </c>
    </row>
    <row r="1271" spans="25:27" x14ac:dyDescent="0.3">
      <c r="Y1271" s="48" t="str">
        <f ca="1">IF(AND('Planning Sheet'!BH288='Weeks Plan'!$D$6,'Planning Sheet'!BB288='Weeks Plan'!$G$6),'Planning Sheet'!$B288,"")</f>
        <v/>
      </c>
      <c r="Z1271" s="48" t="str">
        <f ca="1">IF(AND('Planning Sheet'!BH288='Weeks Plan'!$D$6,'Planning Sheet'!BB288='Weeks Plan'!$G$6),'Planning Sheet'!$BC288,"")</f>
        <v/>
      </c>
      <c r="AA1271" s="48" t="str">
        <f ca="1">IF(AND('Planning Sheet'!BH288='Weeks Plan'!$D$6,'Planning Sheet'!BB288='Weeks Plan'!$G$6),'Planning Sheet'!$BD288,"")</f>
        <v/>
      </c>
    </row>
    <row r="1272" spans="25:27" x14ac:dyDescent="0.3">
      <c r="Y1272" s="48" t="str">
        <f ca="1">IF(AND('Planning Sheet'!BH289='Weeks Plan'!$D$6,'Planning Sheet'!BB289='Weeks Plan'!$G$6),'Planning Sheet'!$B289,"")</f>
        <v/>
      </c>
      <c r="Z1272" s="48" t="str">
        <f ca="1">IF(AND('Planning Sheet'!BH289='Weeks Plan'!$D$6,'Planning Sheet'!BB289='Weeks Plan'!$G$6),'Planning Sheet'!$BC289,"")</f>
        <v/>
      </c>
      <c r="AA1272" s="48" t="str">
        <f ca="1">IF(AND('Planning Sheet'!BH289='Weeks Plan'!$D$6,'Planning Sheet'!BB289='Weeks Plan'!$G$6),'Planning Sheet'!$BD289,"")</f>
        <v/>
      </c>
    </row>
    <row r="1273" spans="25:27" x14ac:dyDescent="0.3">
      <c r="Y1273" s="48" t="str">
        <f ca="1">IF(AND('Planning Sheet'!BH290='Weeks Plan'!$D$6,'Planning Sheet'!BB290='Weeks Plan'!$G$6),'Planning Sheet'!$B290,"")</f>
        <v/>
      </c>
      <c r="Z1273" s="48" t="str">
        <f ca="1">IF(AND('Planning Sheet'!BH290='Weeks Plan'!$D$6,'Planning Sheet'!BB290='Weeks Plan'!$G$6),'Planning Sheet'!$BC290,"")</f>
        <v/>
      </c>
      <c r="AA1273" s="48" t="str">
        <f ca="1">IF(AND('Planning Sheet'!BH290='Weeks Plan'!$D$6,'Planning Sheet'!BB290='Weeks Plan'!$G$6),'Planning Sheet'!$BD290,"")</f>
        <v/>
      </c>
    </row>
    <row r="1274" spans="25:27" x14ac:dyDescent="0.3">
      <c r="Y1274" s="48" t="str">
        <f ca="1">IF(AND('Planning Sheet'!BH291='Weeks Plan'!$D$6,'Planning Sheet'!BB291='Weeks Plan'!$G$6),'Planning Sheet'!$B291,"")</f>
        <v/>
      </c>
      <c r="Z1274" s="48" t="str">
        <f ca="1">IF(AND('Planning Sheet'!BH291='Weeks Plan'!$D$6,'Planning Sheet'!BB291='Weeks Plan'!$G$6),'Planning Sheet'!$BC291,"")</f>
        <v/>
      </c>
      <c r="AA1274" s="48" t="str">
        <f ca="1">IF(AND('Planning Sheet'!BH291='Weeks Plan'!$D$6,'Planning Sheet'!BB291='Weeks Plan'!$G$6),'Planning Sheet'!$BD291,"")</f>
        <v/>
      </c>
    </row>
    <row r="1275" spans="25:27" x14ac:dyDescent="0.3">
      <c r="Y1275" s="48" t="str">
        <f ca="1">IF(AND('Planning Sheet'!BH292='Weeks Plan'!$D$6,'Planning Sheet'!BB292='Weeks Plan'!$G$6),'Planning Sheet'!$B292,"")</f>
        <v/>
      </c>
      <c r="Z1275" s="48" t="str">
        <f ca="1">IF(AND('Planning Sheet'!BH292='Weeks Plan'!$D$6,'Planning Sheet'!BB292='Weeks Plan'!$G$6),'Planning Sheet'!$BC292,"")</f>
        <v/>
      </c>
      <c r="AA1275" s="48" t="str">
        <f ca="1">IF(AND('Planning Sheet'!BH292='Weeks Plan'!$D$6,'Planning Sheet'!BB292='Weeks Plan'!$G$6),'Planning Sheet'!$BD292,"")</f>
        <v/>
      </c>
    </row>
    <row r="1276" spans="25:27" x14ac:dyDescent="0.3">
      <c r="Y1276" s="48" t="str">
        <f ca="1">IF(AND('Planning Sheet'!BH293='Weeks Plan'!$D$6,'Planning Sheet'!BB293='Weeks Plan'!$G$6),'Planning Sheet'!$B293,"")</f>
        <v/>
      </c>
      <c r="Z1276" s="48" t="str">
        <f ca="1">IF(AND('Planning Sheet'!BH293='Weeks Plan'!$D$6,'Planning Sheet'!BB293='Weeks Plan'!$G$6),'Planning Sheet'!$BC293,"")</f>
        <v/>
      </c>
      <c r="AA1276" s="48" t="str">
        <f ca="1">IF(AND('Planning Sheet'!BH293='Weeks Plan'!$D$6,'Planning Sheet'!BB293='Weeks Plan'!$G$6),'Planning Sheet'!$BD293,"")</f>
        <v/>
      </c>
    </row>
    <row r="1277" spans="25:27" x14ac:dyDescent="0.3">
      <c r="Y1277" s="48" t="str">
        <f ca="1">IF(AND('Planning Sheet'!BH294='Weeks Plan'!$D$6,'Planning Sheet'!BB294='Weeks Plan'!$G$6),'Planning Sheet'!$B294,"")</f>
        <v/>
      </c>
      <c r="Z1277" s="48" t="str">
        <f ca="1">IF(AND('Planning Sheet'!BH294='Weeks Plan'!$D$6,'Planning Sheet'!BB294='Weeks Plan'!$G$6),'Planning Sheet'!$BC294,"")</f>
        <v/>
      </c>
      <c r="AA1277" s="48" t="str">
        <f ca="1">IF(AND('Planning Sheet'!BH294='Weeks Plan'!$D$6,'Planning Sheet'!BB294='Weeks Plan'!$G$6),'Planning Sheet'!$BD294,"")</f>
        <v/>
      </c>
    </row>
    <row r="1278" spans="25:27" x14ac:dyDescent="0.3">
      <c r="Y1278" s="48" t="str">
        <f ca="1">IF(AND('Planning Sheet'!BH295='Weeks Plan'!$D$6,'Planning Sheet'!BB295='Weeks Plan'!$G$6),'Planning Sheet'!$B295,"")</f>
        <v/>
      </c>
      <c r="Z1278" s="48" t="str">
        <f ca="1">IF(AND('Planning Sheet'!BH295='Weeks Plan'!$D$6,'Planning Sheet'!BB295='Weeks Plan'!$G$6),'Planning Sheet'!$BC295,"")</f>
        <v/>
      </c>
      <c r="AA1278" s="48" t="str">
        <f ca="1">IF(AND('Planning Sheet'!BH295='Weeks Plan'!$D$6,'Planning Sheet'!BB295='Weeks Plan'!$G$6),'Planning Sheet'!$BD295,"")</f>
        <v/>
      </c>
    </row>
    <row r="1279" spans="25:27" x14ac:dyDescent="0.3">
      <c r="Y1279" s="48" t="str">
        <f ca="1">IF(AND('Planning Sheet'!BH296='Weeks Plan'!$D$6,'Planning Sheet'!BB296='Weeks Plan'!$G$6),'Planning Sheet'!$B296,"")</f>
        <v/>
      </c>
      <c r="Z1279" s="48" t="str">
        <f ca="1">IF(AND('Planning Sheet'!BH296='Weeks Plan'!$D$6,'Planning Sheet'!BB296='Weeks Plan'!$G$6),'Planning Sheet'!$BC296,"")</f>
        <v/>
      </c>
      <c r="AA1279" s="48" t="str">
        <f ca="1">IF(AND('Planning Sheet'!BH296='Weeks Plan'!$D$6,'Planning Sheet'!BB296='Weeks Plan'!$G$6),'Planning Sheet'!$BD296,"")</f>
        <v/>
      </c>
    </row>
    <row r="1280" spans="25:27" x14ac:dyDescent="0.3">
      <c r="Y1280" s="48" t="str">
        <f ca="1">IF(AND('Planning Sheet'!BH297='Weeks Plan'!$D$6,'Planning Sheet'!BB297='Weeks Plan'!$G$6),'Planning Sheet'!$B297,"")</f>
        <v/>
      </c>
      <c r="Z1280" s="48" t="str">
        <f ca="1">IF(AND('Planning Sheet'!BH297='Weeks Plan'!$D$6,'Planning Sheet'!BB297='Weeks Plan'!$G$6),'Planning Sheet'!$BC297,"")</f>
        <v/>
      </c>
      <c r="AA1280" s="48" t="str">
        <f ca="1">IF(AND('Planning Sheet'!BH297='Weeks Plan'!$D$6,'Planning Sheet'!BB297='Weeks Plan'!$G$6),'Planning Sheet'!$BD297,"")</f>
        <v/>
      </c>
    </row>
    <row r="1281" spans="25:27" x14ac:dyDescent="0.3">
      <c r="Y1281" s="48" t="str">
        <f ca="1">IF(AND('Planning Sheet'!BH298='Weeks Plan'!$D$6,'Planning Sheet'!BB298='Weeks Plan'!$G$6),'Planning Sheet'!$B298,"")</f>
        <v/>
      </c>
      <c r="Z1281" s="48" t="str">
        <f ca="1">IF(AND('Planning Sheet'!BH298='Weeks Plan'!$D$6,'Planning Sheet'!BB298='Weeks Plan'!$G$6),'Planning Sheet'!$BC298,"")</f>
        <v/>
      </c>
      <c r="AA1281" s="48" t="str">
        <f ca="1">IF(AND('Planning Sheet'!BH298='Weeks Plan'!$D$6,'Planning Sheet'!BB298='Weeks Plan'!$G$6),'Planning Sheet'!$BD298,"")</f>
        <v/>
      </c>
    </row>
    <row r="1282" spans="25:27" x14ac:dyDescent="0.3">
      <c r="Y1282" s="48" t="str">
        <f ca="1">IF(AND('Planning Sheet'!BH299='Weeks Plan'!$D$6,'Planning Sheet'!BB299='Weeks Plan'!$G$6),'Planning Sheet'!$B299,"")</f>
        <v/>
      </c>
      <c r="Z1282" s="48" t="str">
        <f ca="1">IF(AND('Planning Sheet'!BH299='Weeks Plan'!$D$6,'Planning Sheet'!BB299='Weeks Plan'!$G$6),'Planning Sheet'!$BC299,"")</f>
        <v/>
      </c>
      <c r="AA1282" s="48" t="str">
        <f ca="1">IF(AND('Planning Sheet'!BH299='Weeks Plan'!$D$6,'Planning Sheet'!BB299='Weeks Plan'!$G$6),'Planning Sheet'!$BD299,"")</f>
        <v/>
      </c>
    </row>
    <row r="1283" spans="25:27" x14ac:dyDescent="0.3">
      <c r="Y1283" s="48" t="str">
        <f ca="1">IF(AND('Planning Sheet'!BH300='Weeks Plan'!$D$6,'Planning Sheet'!BB300='Weeks Plan'!$G$6),'Planning Sheet'!$B300,"")</f>
        <v/>
      </c>
      <c r="Z1283" s="48" t="str">
        <f ca="1">IF(AND('Planning Sheet'!BH300='Weeks Plan'!$D$6,'Planning Sheet'!BB300='Weeks Plan'!$G$6),'Planning Sheet'!$BC300,"")</f>
        <v/>
      </c>
      <c r="AA1283" s="48" t="str">
        <f ca="1">IF(AND('Planning Sheet'!BH300='Weeks Plan'!$D$6,'Planning Sheet'!BB300='Weeks Plan'!$G$6),'Planning Sheet'!$BD300,"")</f>
        <v/>
      </c>
    </row>
    <row r="1284" spans="25:27" x14ac:dyDescent="0.3">
      <c r="Y1284" s="48" t="str">
        <f ca="1">IF(AND('Planning Sheet'!BH301='Weeks Plan'!$D$6,'Planning Sheet'!BB301='Weeks Plan'!$G$6),'Planning Sheet'!$B301,"")</f>
        <v/>
      </c>
      <c r="Z1284" s="48" t="str">
        <f ca="1">IF(AND('Planning Sheet'!BH301='Weeks Plan'!$D$6,'Planning Sheet'!BB301='Weeks Plan'!$G$6),'Planning Sheet'!$BC301,"")</f>
        <v/>
      </c>
      <c r="AA1284" s="48" t="str">
        <f ca="1">IF(AND('Planning Sheet'!BH301='Weeks Plan'!$D$6,'Planning Sheet'!BB301='Weeks Plan'!$G$6),'Planning Sheet'!$BD301,"")</f>
        <v/>
      </c>
    </row>
    <row r="1285" spans="25:27" x14ac:dyDescent="0.3">
      <c r="Y1285" s="48" t="str">
        <f ca="1">IF(AND('Planning Sheet'!BH302='Weeks Plan'!$D$6,'Planning Sheet'!BB302='Weeks Plan'!$G$6),'Planning Sheet'!$B302,"")</f>
        <v/>
      </c>
      <c r="Z1285" s="48" t="str">
        <f ca="1">IF(AND('Planning Sheet'!BH302='Weeks Plan'!$D$6,'Planning Sheet'!BB302='Weeks Plan'!$G$6),'Planning Sheet'!$BC302,"")</f>
        <v/>
      </c>
      <c r="AA1285" s="48" t="str">
        <f ca="1">IF(AND('Planning Sheet'!BH302='Weeks Plan'!$D$6,'Planning Sheet'!BB302='Weeks Plan'!$G$6),'Planning Sheet'!$BD302,"")</f>
        <v/>
      </c>
    </row>
    <row r="1286" spans="25:27" x14ac:dyDescent="0.3">
      <c r="Y1286" s="48" t="str">
        <f ca="1">IF(AND('Planning Sheet'!BH303='Weeks Plan'!$D$6,'Planning Sheet'!BB303='Weeks Plan'!$G$6),'Planning Sheet'!$B303,"")</f>
        <v/>
      </c>
      <c r="Z1286" s="48" t="str">
        <f ca="1">IF(AND('Planning Sheet'!BH303='Weeks Plan'!$D$6,'Planning Sheet'!BB303='Weeks Plan'!$G$6),'Planning Sheet'!$BC303,"")</f>
        <v/>
      </c>
      <c r="AA1286" s="48" t="str">
        <f ca="1">IF(AND('Planning Sheet'!BH303='Weeks Plan'!$D$6,'Planning Sheet'!BB303='Weeks Plan'!$G$6),'Planning Sheet'!$BD303,"")</f>
        <v/>
      </c>
    </row>
    <row r="1287" spans="25:27" x14ac:dyDescent="0.3">
      <c r="Y1287" s="48" t="str">
        <f ca="1">IF(AND('Planning Sheet'!BH304='Weeks Plan'!$D$6,'Planning Sheet'!BB304='Weeks Plan'!$G$6),'Planning Sheet'!$B304,"")</f>
        <v/>
      </c>
      <c r="Z1287" s="48" t="str">
        <f ca="1">IF(AND('Planning Sheet'!BH304='Weeks Plan'!$D$6,'Planning Sheet'!BB304='Weeks Plan'!$G$6),'Planning Sheet'!$BC304,"")</f>
        <v/>
      </c>
      <c r="AA1287" s="48" t="str">
        <f ca="1">IF(AND('Planning Sheet'!BH304='Weeks Plan'!$D$6,'Planning Sheet'!BB304='Weeks Plan'!$G$6),'Planning Sheet'!$BD304,"")</f>
        <v/>
      </c>
    </row>
    <row r="1288" spans="25:27" x14ac:dyDescent="0.3">
      <c r="Y1288" s="48" t="str">
        <f ca="1">IF(AND('Planning Sheet'!BH305='Weeks Plan'!$D$6,'Planning Sheet'!BB305='Weeks Plan'!$G$6),'Planning Sheet'!$B305,"")</f>
        <v/>
      </c>
      <c r="Z1288" s="48" t="str">
        <f ca="1">IF(AND('Planning Sheet'!BH305='Weeks Plan'!$D$6,'Planning Sheet'!BB305='Weeks Plan'!$G$6),'Planning Sheet'!$BC305,"")</f>
        <v/>
      </c>
      <c r="AA1288" s="48" t="str">
        <f ca="1">IF(AND('Planning Sheet'!BH305='Weeks Plan'!$D$6,'Planning Sheet'!BB305='Weeks Plan'!$G$6),'Planning Sheet'!$BD305,"")</f>
        <v/>
      </c>
    </row>
    <row r="1289" spans="25:27" x14ac:dyDescent="0.3">
      <c r="Y1289" s="48" t="str">
        <f ca="1">IF(AND('Planning Sheet'!BH306='Weeks Plan'!$D$6,'Planning Sheet'!BB306='Weeks Plan'!$G$6),'Planning Sheet'!$B306,"")</f>
        <v/>
      </c>
      <c r="Z1289" s="48" t="str">
        <f ca="1">IF(AND('Planning Sheet'!BH306='Weeks Plan'!$D$6,'Planning Sheet'!BB306='Weeks Plan'!$G$6),'Planning Sheet'!$BC306,"")</f>
        <v/>
      </c>
      <c r="AA1289" s="48" t="str">
        <f ca="1">IF(AND('Planning Sheet'!BH306='Weeks Plan'!$D$6,'Planning Sheet'!BB306='Weeks Plan'!$G$6),'Planning Sheet'!$BD306,"")</f>
        <v/>
      </c>
    </row>
    <row r="1290" spans="25:27" x14ac:dyDescent="0.3">
      <c r="Y1290" s="48" t="str">
        <f ca="1">IF(AND('Planning Sheet'!BH307='Weeks Plan'!$D$6,'Planning Sheet'!BB307='Weeks Plan'!$G$6),'Planning Sheet'!$B307,"")</f>
        <v/>
      </c>
      <c r="Z1290" s="48" t="str">
        <f ca="1">IF(AND('Planning Sheet'!BH307='Weeks Plan'!$D$6,'Planning Sheet'!BB307='Weeks Plan'!$G$6),'Planning Sheet'!$BC307,"")</f>
        <v/>
      </c>
      <c r="AA1290" s="48" t="str">
        <f ca="1">IF(AND('Planning Sheet'!BH307='Weeks Plan'!$D$6,'Planning Sheet'!BB307='Weeks Plan'!$G$6),'Planning Sheet'!$BD307,"")</f>
        <v/>
      </c>
    </row>
    <row r="1291" spans="25:27" x14ac:dyDescent="0.3">
      <c r="Y1291" s="48" t="str">
        <f ca="1">IF(AND('Planning Sheet'!BH308='Weeks Plan'!$D$6,'Planning Sheet'!BB308='Weeks Plan'!$G$6),'Planning Sheet'!$B308,"")</f>
        <v/>
      </c>
      <c r="Z1291" s="48" t="str">
        <f ca="1">IF(AND('Planning Sheet'!BH308='Weeks Plan'!$D$6,'Planning Sheet'!BB308='Weeks Plan'!$G$6),'Planning Sheet'!$BC308,"")</f>
        <v/>
      </c>
      <c r="AA1291" s="48" t="str">
        <f ca="1">IF(AND('Planning Sheet'!BH308='Weeks Plan'!$D$6,'Planning Sheet'!BB308='Weeks Plan'!$G$6),'Planning Sheet'!$BD308,"")</f>
        <v/>
      </c>
    </row>
    <row r="1292" spans="25:27" x14ac:dyDescent="0.3">
      <c r="Y1292" s="48" t="str">
        <f ca="1">IF(AND('Planning Sheet'!BH309='Weeks Plan'!$D$6,'Planning Sheet'!BB309='Weeks Plan'!$G$6),'Planning Sheet'!$B309,"")</f>
        <v/>
      </c>
      <c r="Z1292" s="48" t="str">
        <f ca="1">IF(AND('Planning Sheet'!BH309='Weeks Plan'!$D$6,'Planning Sheet'!BB309='Weeks Plan'!$G$6),'Planning Sheet'!$BC309,"")</f>
        <v/>
      </c>
      <c r="AA1292" s="48" t="str">
        <f ca="1">IF(AND('Planning Sheet'!BH309='Weeks Plan'!$D$6,'Planning Sheet'!BB309='Weeks Plan'!$G$6),'Planning Sheet'!$BD309,"")</f>
        <v/>
      </c>
    </row>
    <row r="1293" spans="25:27" x14ac:dyDescent="0.3">
      <c r="Y1293" s="48" t="str">
        <f ca="1">IF(AND('Planning Sheet'!BH310='Weeks Plan'!$D$6,'Planning Sheet'!BB310='Weeks Plan'!$G$6),'Planning Sheet'!$B310,"")</f>
        <v/>
      </c>
      <c r="Z1293" s="48" t="str">
        <f ca="1">IF(AND('Planning Sheet'!BH310='Weeks Plan'!$D$6,'Planning Sheet'!BB310='Weeks Plan'!$G$6),'Planning Sheet'!$BC310,"")</f>
        <v/>
      </c>
      <c r="AA1293" s="48" t="str">
        <f ca="1">IF(AND('Planning Sheet'!BH310='Weeks Plan'!$D$6,'Planning Sheet'!BB310='Weeks Plan'!$G$6),'Planning Sheet'!$BD310,"")</f>
        <v/>
      </c>
    </row>
    <row r="1294" spans="25:27" x14ac:dyDescent="0.3">
      <c r="Y1294" s="48" t="str">
        <f ca="1">IF(AND('Planning Sheet'!BH311='Weeks Plan'!$D$6,'Planning Sheet'!BB311='Weeks Plan'!$G$6),'Planning Sheet'!$B311,"")</f>
        <v/>
      </c>
      <c r="Z1294" s="48" t="str">
        <f ca="1">IF(AND('Planning Sheet'!BH311='Weeks Plan'!$D$6,'Planning Sheet'!BB311='Weeks Plan'!$G$6),'Planning Sheet'!$BC311,"")</f>
        <v/>
      </c>
      <c r="AA1294" s="48" t="str">
        <f ca="1">IF(AND('Planning Sheet'!BH311='Weeks Plan'!$D$6,'Planning Sheet'!BB311='Weeks Plan'!$G$6),'Planning Sheet'!$BD311,"")</f>
        <v/>
      </c>
    </row>
    <row r="1295" spans="25:27" x14ac:dyDescent="0.3">
      <c r="Y1295" s="48" t="str">
        <f ca="1">IF(AND('Planning Sheet'!BH312='Weeks Plan'!$D$6,'Planning Sheet'!BB312='Weeks Plan'!$G$6),'Planning Sheet'!$B312,"")</f>
        <v/>
      </c>
      <c r="Z1295" s="48" t="str">
        <f ca="1">IF(AND('Planning Sheet'!BH312='Weeks Plan'!$D$6,'Planning Sheet'!BB312='Weeks Plan'!$G$6),'Planning Sheet'!$BC312,"")</f>
        <v/>
      </c>
      <c r="AA1295" s="48" t="str">
        <f ca="1">IF(AND('Planning Sheet'!BH312='Weeks Plan'!$D$6,'Planning Sheet'!BB312='Weeks Plan'!$G$6),'Planning Sheet'!$BD312,"")</f>
        <v/>
      </c>
    </row>
    <row r="1296" spans="25:27" x14ac:dyDescent="0.3">
      <c r="Y1296" s="48" t="str">
        <f ca="1">IF(AND('Planning Sheet'!BH313='Weeks Plan'!$D$6,'Planning Sheet'!BB313='Weeks Plan'!$G$6),'Planning Sheet'!$B313,"")</f>
        <v/>
      </c>
      <c r="Z1296" s="48" t="str">
        <f ca="1">IF(AND('Planning Sheet'!BH313='Weeks Plan'!$D$6,'Planning Sheet'!BB313='Weeks Plan'!$G$6),'Planning Sheet'!$BC313,"")</f>
        <v/>
      </c>
      <c r="AA1296" s="48" t="str">
        <f ca="1">IF(AND('Planning Sheet'!BH313='Weeks Plan'!$D$6,'Planning Sheet'!BB313='Weeks Plan'!$G$6),'Planning Sheet'!$BD313,"")</f>
        <v/>
      </c>
    </row>
    <row r="1297" spans="25:27" x14ac:dyDescent="0.3">
      <c r="Y1297" s="48" t="str">
        <f ca="1">IF(AND('Planning Sheet'!BH314='Weeks Plan'!$D$6,'Planning Sheet'!BB314='Weeks Plan'!$G$6),'Planning Sheet'!$B314,"")</f>
        <v/>
      </c>
      <c r="Z1297" s="48" t="str">
        <f ca="1">IF(AND('Planning Sheet'!BH314='Weeks Plan'!$D$6,'Planning Sheet'!BB314='Weeks Plan'!$G$6),'Planning Sheet'!$BC314,"")</f>
        <v/>
      </c>
      <c r="AA1297" s="48" t="str">
        <f ca="1">IF(AND('Planning Sheet'!BH314='Weeks Plan'!$D$6,'Planning Sheet'!BB314='Weeks Plan'!$G$6),'Planning Sheet'!$BD314,"")</f>
        <v/>
      </c>
    </row>
    <row r="1298" spans="25:27" x14ac:dyDescent="0.3">
      <c r="Y1298" s="48" t="str">
        <f ca="1">IF(AND('Planning Sheet'!BH315='Weeks Plan'!$D$6,'Planning Sheet'!BB315='Weeks Plan'!$G$6),'Planning Sheet'!$B315,"")</f>
        <v/>
      </c>
      <c r="Z1298" s="48" t="str">
        <f ca="1">IF(AND('Planning Sheet'!BH315='Weeks Plan'!$D$6,'Planning Sheet'!BB315='Weeks Plan'!$G$6),'Planning Sheet'!$BC315,"")</f>
        <v/>
      </c>
      <c r="AA1298" s="48" t="str">
        <f ca="1">IF(AND('Planning Sheet'!BH315='Weeks Plan'!$D$6,'Planning Sheet'!BB315='Weeks Plan'!$G$6),'Planning Sheet'!$BD315,"")</f>
        <v/>
      </c>
    </row>
    <row r="1299" spans="25:27" x14ac:dyDescent="0.3">
      <c r="Y1299" s="48" t="str">
        <f ca="1">IF(AND('Planning Sheet'!BH316='Weeks Plan'!$D$6,'Planning Sheet'!BB316='Weeks Plan'!$G$6),'Planning Sheet'!$B316,"")</f>
        <v/>
      </c>
      <c r="Z1299" s="48" t="str">
        <f ca="1">IF(AND('Planning Sheet'!BH316='Weeks Plan'!$D$6,'Planning Sheet'!BB316='Weeks Plan'!$G$6),'Planning Sheet'!$BC316,"")</f>
        <v/>
      </c>
      <c r="AA1299" s="48" t="str">
        <f ca="1">IF(AND('Planning Sheet'!BH316='Weeks Plan'!$D$6,'Planning Sheet'!BB316='Weeks Plan'!$G$6),'Planning Sheet'!$BD316,"")</f>
        <v/>
      </c>
    </row>
    <row r="1300" spans="25:27" x14ac:dyDescent="0.3">
      <c r="Y1300" s="48" t="str">
        <f ca="1">IF(AND('Planning Sheet'!BH317='Weeks Plan'!$D$6,'Planning Sheet'!BB317='Weeks Plan'!$G$6),'Planning Sheet'!$B317,"")</f>
        <v/>
      </c>
      <c r="Z1300" s="48" t="str">
        <f ca="1">IF(AND('Planning Sheet'!BH317='Weeks Plan'!$D$6,'Planning Sheet'!BB317='Weeks Plan'!$G$6),'Planning Sheet'!$BC317,"")</f>
        <v/>
      </c>
      <c r="AA1300" s="48" t="str">
        <f ca="1">IF(AND('Planning Sheet'!BH317='Weeks Plan'!$D$6,'Planning Sheet'!BB317='Weeks Plan'!$G$6),'Planning Sheet'!$BD317,"")</f>
        <v/>
      </c>
    </row>
    <row r="1301" spans="25:27" x14ac:dyDescent="0.3">
      <c r="Y1301" s="48" t="str">
        <f ca="1">IF(AND('Planning Sheet'!BH318='Weeks Plan'!$D$6,'Planning Sheet'!BB318='Weeks Plan'!$G$6),'Planning Sheet'!$B318,"")</f>
        <v/>
      </c>
      <c r="Z1301" s="48" t="str">
        <f ca="1">IF(AND('Planning Sheet'!BH318='Weeks Plan'!$D$6,'Planning Sheet'!BB318='Weeks Plan'!$G$6),'Planning Sheet'!$BC318,"")</f>
        <v/>
      </c>
      <c r="AA1301" s="48" t="str">
        <f ca="1">IF(AND('Planning Sheet'!BH318='Weeks Plan'!$D$6,'Planning Sheet'!BB318='Weeks Plan'!$G$6),'Planning Sheet'!$BD318,"")</f>
        <v/>
      </c>
    </row>
    <row r="1302" spans="25:27" x14ac:dyDescent="0.3">
      <c r="Y1302" s="48" t="str">
        <f ca="1">IF(AND('Planning Sheet'!BH319='Weeks Plan'!$D$6,'Planning Sheet'!BB319='Weeks Plan'!$G$6),'Planning Sheet'!$B319,"")</f>
        <v/>
      </c>
      <c r="Z1302" s="48" t="str">
        <f ca="1">IF(AND('Planning Sheet'!BH319='Weeks Plan'!$D$6,'Planning Sheet'!BB319='Weeks Plan'!$G$6),'Planning Sheet'!$BC319,"")</f>
        <v/>
      </c>
      <c r="AA1302" s="48" t="str">
        <f ca="1">IF(AND('Planning Sheet'!BH319='Weeks Plan'!$D$6,'Planning Sheet'!BB319='Weeks Plan'!$G$6),'Planning Sheet'!$BD319,"")</f>
        <v/>
      </c>
    </row>
    <row r="1303" spans="25:27" x14ac:dyDescent="0.3">
      <c r="Y1303" s="48" t="str">
        <f ca="1">IF(AND('Planning Sheet'!BH320='Weeks Plan'!$D$6,'Planning Sheet'!BB320='Weeks Plan'!$G$6),'Planning Sheet'!$B320,"")</f>
        <v/>
      </c>
      <c r="Z1303" s="48" t="str">
        <f ca="1">IF(AND('Planning Sheet'!BH320='Weeks Plan'!$D$6,'Planning Sheet'!BB320='Weeks Plan'!$G$6),'Planning Sheet'!$BC320,"")</f>
        <v/>
      </c>
      <c r="AA1303" s="48" t="str">
        <f ca="1">IF(AND('Planning Sheet'!BH320='Weeks Plan'!$D$6,'Planning Sheet'!BB320='Weeks Plan'!$G$6),'Planning Sheet'!$BD320,"")</f>
        <v/>
      </c>
    </row>
    <row r="1304" spans="25:27" x14ac:dyDescent="0.3">
      <c r="Y1304" s="48" t="str">
        <f ca="1">IF(AND('Planning Sheet'!BH321='Weeks Plan'!$D$6,'Planning Sheet'!BB321='Weeks Plan'!$G$6),'Planning Sheet'!$B321,"")</f>
        <v/>
      </c>
      <c r="Z1304" s="48" t="str">
        <f ca="1">IF(AND('Planning Sheet'!BH321='Weeks Plan'!$D$6,'Planning Sheet'!BB321='Weeks Plan'!$G$6),'Planning Sheet'!$BC321,"")</f>
        <v/>
      </c>
      <c r="AA1304" s="48" t="str">
        <f ca="1">IF(AND('Planning Sheet'!BH321='Weeks Plan'!$D$6,'Planning Sheet'!BB321='Weeks Plan'!$G$6),'Planning Sheet'!$BD321,"")</f>
        <v/>
      </c>
    </row>
    <row r="1305" spans="25:27" x14ac:dyDescent="0.3">
      <c r="Y1305" s="48" t="str">
        <f ca="1">IF(AND('Planning Sheet'!BH322='Weeks Plan'!$D$6,'Planning Sheet'!BB322='Weeks Plan'!$G$6),'Planning Sheet'!$B322,"")</f>
        <v/>
      </c>
      <c r="Z1305" s="48" t="str">
        <f ca="1">IF(AND('Planning Sheet'!BH322='Weeks Plan'!$D$6,'Planning Sheet'!BB322='Weeks Plan'!$G$6),'Planning Sheet'!$BC322,"")</f>
        <v/>
      </c>
      <c r="AA1305" s="48" t="str">
        <f ca="1">IF(AND('Planning Sheet'!BH322='Weeks Plan'!$D$6,'Planning Sheet'!BB322='Weeks Plan'!$G$6),'Planning Sheet'!$BD322,"")</f>
        <v/>
      </c>
    </row>
    <row r="1306" spans="25:27" x14ac:dyDescent="0.3">
      <c r="Y1306" s="48" t="str">
        <f ca="1">IF(AND('Planning Sheet'!BH323='Weeks Plan'!$D$6,'Planning Sheet'!BB323='Weeks Plan'!$G$6),'Planning Sheet'!$B323,"")</f>
        <v/>
      </c>
      <c r="Z1306" s="48" t="str">
        <f ca="1">IF(AND('Planning Sheet'!BH323='Weeks Plan'!$D$6,'Planning Sheet'!BB323='Weeks Plan'!$G$6),'Planning Sheet'!$BC323,"")</f>
        <v/>
      </c>
      <c r="AA1306" s="48" t="str">
        <f ca="1">IF(AND('Planning Sheet'!BH323='Weeks Plan'!$D$6,'Planning Sheet'!BB323='Weeks Plan'!$G$6),'Planning Sheet'!$BD323,"")</f>
        <v/>
      </c>
    </row>
    <row r="1307" spans="25:27" x14ac:dyDescent="0.3">
      <c r="Y1307" s="48" t="str">
        <f ca="1">IF(AND('Planning Sheet'!BH324='Weeks Plan'!$D$6,'Planning Sheet'!BB324='Weeks Plan'!$G$6),'Planning Sheet'!$B324,"")</f>
        <v/>
      </c>
      <c r="Z1307" s="48" t="str">
        <f ca="1">IF(AND('Planning Sheet'!BH324='Weeks Plan'!$D$6,'Planning Sheet'!BB324='Weeks Plan'!$G$6),'Planning Sheet'!$BC324,"")</f>
        <v/>
      </c>
      <c r="AA1307" s="48" t="str">
        <f ca="1">IF(AND('Planning Sheet'!BH324='Weeks Plan'!$D$6,'Planning Sheet'!BB324='Weeks Plan'!$G$6),'Planning Sheet'!$BD324,"")</f>
        <v/>
      </c>
    </row>
    <row r="1308" spans="25:27" x14ac:dyDescent="0.3">
      <c r="Y1308" s="48" t="str">
        <f ca="1">IF(AND('Planning Sheet'!BH325='Weeks Plan'!$D$6,'Planning Sheet'!BB325='Weeks Plan'!$G$6),'Planning Sheet'!$B325,"")</f>
        <v/>
      </c>
      <c r="Z1308" s="48" t="str">
        <f ca="1">IF(AND('Planning Sheet'!BH325='Weeks Plan'!$D$6,'Planning Sheet'!BB325='Weeks Plan'!$G$6),'Planning Sheet'!$BC325,"")</f>
        <v/>
      </c>
      <c r="AA1308" s="48" t="str">
        <f ca="1">IF(AND('Planning Sheet'!BH325='Weeks Plan'!$D$6,'Planning Sheet'!BB325='Weeks Plan'!$G$6),'Planning Sheet'!$BD325,"")</f>
        <v/>
      </c>
    </row>
    <row r="1309" spans="25:27" x14ac:dyDescent="0.3">
      <c r="Y1309" s="48" t="str">
        <f ca="1">IF(AND('Planning Sheet'!BH326='Weeks Plan'!$D$6,'Planning Sheet'!BB326='Weeks Plan'!$G$6),'Planning Sheet'!$B326,"")</f>
        <v/>
      </c>
      <c r="Z1309" s="48" t="str">
        <f ca="1">IF(AND('Planning Sheet'!BH326='Weeks Plan'!$D$6,'Planning Sheet'!BB326='Weeks Plan'!$G$6),'Planning Sheet'!$BC326,"")</f>
        <v/>
      </c>
      <c r="AA1309" s="48" t="str">
        <f ca="1">IF(AND('Planning Sheet'!BH326='Weeks Plan'!$D$6,'Planning Sheet'!BB326='Weeks Plan'!$G$6),'Planning Sheet'!$BD326,"")</f>
        <v/>
      </c>
    </row>
    <row r="1310" spans="25:27" x14ac:dyDescent="0.3">
      <c r="Y1310" s="48" t="str">
        <f ca="1">IF(AND('Planning Sheet'!BH327='Weeks Plan'!$D$6,'Planning Sheet'!BB327='Weeks Plan'!$G$6),'Planning Sheet'!$B327,"")</f>
        <v/>
      </c>
      <c r="Z1310" s="48" t="str">
        <f ca="1">IF(AND('Planning Sheet'!BH327='Weeks Plan'!$D$6,'Planning Sheet'!BB327='Weeks Plan'!$G$6),'Planning Sheet'!$BC327,"")</f>
        <v/>
      </c>
      <c r="AA1310" s="48" t="str">
        <f ca="1">IF(AND('Planning Sheet'!BH327='Weeks Plan'!$D$6,'Planning Sheet'!BB327='Weeks Plan'!$G$6),'Planning Sheet'!$BD327,"")</f>
        <v/>
      </c>
    </row>
    <row r="1311" spans="25:27" x14ac:dyDescent="0.3">
      <c r="Y1311" s="48" t="str">
        <f ca="1">IF(AND('Planning Sheet'!BH328='Weeks Plan'!$D$6,'Planning Sheet'!BB328='Weeks Plan'!$G$6),'Planning Sheet'!$B328,"")</f>
        <v/>
      </c>
      <c r="Z1311" s="48" t="str">
        <f ca="1">IF(AND('Planning Sheet'!BH328='Weeks Plan'!$D$6,'Planning Sheet'!BB328='Weeks Plan'!$G$6),'Planning Sheet'!$BC328,"")</f>
        <v/>
      </c>
      <c r="AA1311" s="48" t="str">
        <f ca="1">IF(AND('Planning Sheet'!BH328='Weeks Plan'!$D$6,'Planning Sheet'!BB328='Weeks Plan'!$G$6),'Planning Sheet'!$BD328,"")</f>
        <v/>
      </c>
    </row>
    <row r="1312" spans="25:27" x14ac:dyDescent="0.3">
      <c r="Y1312" s="48" t="str">
        <f ca="1">IF(AND('Planning Sheet'!BH329='Weeks Plan'!$D$6,'Planning Sheet'!BB329='Weeks Plan'!$G$6),'Planning Sheet'!$B329,"")</f>
        <v/>
      </c>
      <c r="Z1312" s="48" t="str">
        <f ca="1">IF(AND('Planning Sheet'!BH329='Weeks Plan'!$D$6,'Planning Sheet'!BB329='Weeks Plan'!$G$6),'Planning Sheet'!$BC329,"")</f>
        <v/>
      </c>
      <c r="AA1312" s="48" t="str">
        <f ca="1">IF(AND('Planning Sheet'!BH329='Weeks Plan'!$D$6,'Planning Sheet'!BB329='Weeks Plan'!$G$6),'Planning Sheet'!$BD329,"")</f>
        <v/>
      </c>
    </row>
    <row r="1313" spans="25:27" x14ac:dyDescent="0.3">
      <c r="Y1313" s="48" t="str">
        <f ca="1">IF(AND('Planning Sheet'!BH330='Weeks Plan'!$D$6,'Planning Sheet'!BB330='Weeks Plan'!$G$6),'Planning Sheet'!$B330,"")</f>
        <v/>
      </c>
      <c r="Z1313" s="48" t="str">
        <f ca="1">IF(AND('Planning Sheet'!BH330='Weeks Plan'!$D$6,'Planning Sheet'!BB330='Weeks Plan'!$G$6),'Planning Sheet'!$BC330,"")</f>
        <v/>
      </c>
      <c r="AA1313" s="48" t="str">
        <f ca="1">IF(AND('Planning Sheet'!BH330='Weeks Plan'!$D$6,'Planning Sheet'!BB330='Weeks Plan'!$G$6),'Planning Sheet'!$BD330,"")</f>
        <v/>
      </c>
    </row>
    <row r="1314" spans="25:27" x14ac:dyDescent="0.3">
      <c r="Y1314" s="48" t="str">
        <f ca="1">IF(AND('Planning Sheet'!BH331='Weeks Plan'!$D$6,'Planning Sheet'!BB331='Weeks Plan'!$G$6),'Planning Sheet'!$B331,"")</f>
        <v/>
      </c>
      <c r="Z1314" s="48" t="str">
        <f ca="1">IF(AND('Planning Sheet'!BH331='Weeks Plan'!$D$6,'Planning Sheet'!BB331='Weeks Plan'!$G$6),'Planning Sheet'!$BC331,"")</f>
        <v/>
      </c>
      <c r="AA1314" s="48" t="str">
        <f ca="1">IF(AND('Planning Sheet'!BH331='Weeks Plan'!$D$6,'Planning Sheet'!BB331='Weeks Plan'!$G$6),'Planning Sheet'!$BD331,"")</f>
        <v/>
      </c>
    </row>
    <row r="1315" spans="25:27" x14ac:dyDescent="0.3">
      <c r="Y1315" s="48" t="str">
        <f ca="1">IF(AND('Planning Sheet'!BH332='Weeks Plan'!$D$6,'Planning Sheet'!BB332='Weeks Plan'!$G$6),'Planning Sheet'!$B332,"")</f>
        <v/>
      </c>
      <c r="Z1315" s="48" t="str">
        <f ca="1">IF(AND('Planning Sheet'!BH332='Weeks Plan'!$D$6,'Planning Sheet'!BB332='Weeks Plan'!$G$6),'Planning Sheet'!$BC332,"")</f>
        <v/>
      </c>
      <c r="AA1315" s="48" t="str">
        <f ca="1">IF(AND('Planning Sheet'!BH332='Weeks Plan'!$D$6,'Planning Sheet'!BB332='Weeks Plan'!$G$6),'Planning Sheet'!$BD332,"")</f>
        <v/>
      </c>
    </row>
    <row r="1316" spans="25:27" x14ac:dyDescent="0.3">
      <c r="Y1316" s="48" t="str">
        <f ca="1">IF(AND('Planning Sheet'!BH333='Weeks Plan'!$D$6,'Planning Sheet'!BB333='Weeks Plan'!$G$6),'Planning Sheet'!$B333,"")</f>
        <v/>
      </c>
      <c r="Z1316" s="48" t="str">
        <f ca="1">IF(AND('Planning Sheet'!BH333='Weeks Plan'!$D$6,'Planning Sheet'!BB333='Weeks Plan'!$G$6),'Planning Sheet'!$BC333,"")</f>
        <v/>
      </c>
      <c r="AA1316" s="48" t="str">
        <f ca="1">IF(AND('Planning Sheet'!BH333='Weeks Plan'!$D$6,'Planning Sheet'!BB333='Weeks Plan'!$G$6),'Planning Sheet'!$BD333,"")</f>
        <v/>
      </c>
    </row>
    <row r="1317" spans="25:27" x14ac:dyDescent="0.3">
      <c r="Y1317" s="48" t="str">
        <f ca="1">IF(AND('Planning Sheet'!BH334='Weeks Plan'!$D$6,'Planning Sheet'!BB334='Weeks Plan'!$G$6),'Planning Sheet'!$B334,"")</f>
        <v/>
      </c>
      <c r="Z1317" s="48" t="str">
        <f ca="1">IF(AND('Planning Sheet'!BH334='Weeks Plan'!$D$6,'Planning Sheet'!BB334='Weeks Plan'!$G$6),'Planning Sheet'!$BC334,"")</f>
        <v/>
      </c>
      <c r="AA1317" s="48" t="str">
        <f ca="1">IF(AND('Planning Sheet'!BH334='Weeks Plan'!$D$6,'Planning Sheet'!BB334='Weeks Plan'!$G$6),'Planning Sheet'!$BD334,"")</f>
        <v/>
      </c>
    </row>
    <row r="1318" spans="25:27" x14ac:dyDescent="0.3">
      <c r="Y1318" s="48" t="str">
        <f ca="1">IF(AND('Planning Sheet'!BH335='Weeks Plan'!$D$6,'Planning Sheet'!BB335='Weeks Plan'!$G$6),'Planning Sheet'!$B335,"")</f>
        <v/>
      </c>
      <c r="Z1318" s="48" t="str">
        <f ca="1">IF(AND('Planning Sheet'!BH335='Weeks Plan'!$D$6,'Planning Sheet'!BB335='Weeks Plan'!$G$6),'Planning Sheet'!$BC335,"")</f>
        <v/>
      </c>
      <c r="AA1318" s="48" t="str">
        <f ca="1">IF(AND('Planning Sheet'!BH335='Weeks Plan'!$D$6,'Planning Sheet'!BB335='Weeks Plan'!$G$6),'Planning Sheet'!$BD335,"")</f>
        <v/>
      </c>
    </row>
    <row r="1319" spans="25:27" x14ac:dyDescent="0.3">
      <c r="Y1319" s="48" t="str">
        <f ca="1">IF(AND('Planning Sheet'!BH336='Weeks Plan'!$D$6,'Planning Sheet'!BB336='Weeks Plan'!$G$6),'Planning Sheet'!$B336,"")</f>
        <v/>
      </c>
      <c r="Z1319" s="48" t="str">
        <f ca="1">IF(AND('Planning Sheet'!BH336='Weeks Plan'!$D$6,'Planning Sheet'!BB336='Weeks Plan'!$G$6),'Planning Sheet'!$BC336,"")</f>
        <v/>
      </c>
      <c r="AA1319" s="48" t="str">
        <f ca="1">IF(AND('Planning Sheet'!BH336='Weeks Plan'!$D$6,'Planning Sheet'!BB336='Weeks Plan'!$G$6),'Planning Sheet'!$BD336,"")</f>
        <v/>
      </c>
    </row>
    <row r="1320" spans="25:27" x14ac:dyDescent="0.3">
      <c r="Y1320" s="48" t="str">
        <f ca="1">IF(AND('Planning Sheet'!BH337='Weeks Plan'!$D$6,'Planning Sheet'!BB337='Weeks Plan'!$G$6),'Planning Sheet'!$B337,"")</f>
        <v/>
      </c>
      <c r="Z1320" s="48" t="str">
        <f ca="1">IF(AND('Planning Sheet'!BH337='Weeks Plan'!$D$6,'Planning Sheet'!BB337='Weeks Plan'!$G$6),'Planning Sheet'!$BC337,"")</f>
        <v/>
      </c>
      <c r="AA1320" s="48" t="str">
        <f ca="1">IF(AND('Planning Sheet'!BH337='Weeks Plan'!$D$6,'Planning Sheet'!BB337='Weeks Plan'!$G$6),'Planning Sheet'!$BD337,"")</f>
        <v/>
      </c>
    </row>
    <row r="1321" spans="25:27" x14ac:dyDescent="0.3">
      <c r="Y1321" s="48" t="str">
        <f ca="1">IF(AND('Planning Sheet'!BH338='Weeks Plan'!$D$6,'Planning Sheet'!BB338='Weeks Plan'!$G$6),'Planning Sheet'!$B338,"")</f>
        <v/>
      </c>
      <c r="Z1321" s="48" t="str">
        <f ca="1">IF(AND('Planning Sheet'!BH338='Weeks Plan'!$D$6,'Planning Sheet'!BB338='Weeks Plan'!$G$6),'Planning Sheet'!$BC338,"")</f>
        <v/>
      </c>
      <c r="AA1321" s="48" t="str">
        <f ca="1">IF(AND('Planning Sheet'!BH338='Weeks Plan'!$D$6,'Planning Sheet'!BB338='Weeks Plan'!$G$6),'Planning Sheet'!$BD338,"")</f>
        <v/>
      </c>
    </row>
    <row r="1322" spans="25:27" x14ac:dyDescent="0.3">
      <c r="Y1322" s="48" t="str">
        <f ca="1">IF(AND('Planning Sheet'!BH339='Weeks Plan'!$D$6,'Planning Sheet'!BB339='Weeks Plan'!$G$6),'Planning Sheet'!$B339,"")</f>
        <v/>
      </c>
      <c r="Z1322" s="48" t="str">
        <f ca="1">IF(AND('Planning Sheet'!BH339='Weeks Plan'!$D$6,'Planning Sheet'!BB339='Weeks Plan'!$G$6),'Planning Sheet'!$BC339,"")</f>
        <v/>
      </c>
      <c r="AA1322" s="48" t="str">
        <f ca="1">IF(AND('Planning Sheet'!BH339='Weeks Plan'!$D$6,'Planning Sheet'!BB339='Weeks Plan'!$G$6),'Planning Sheet'!$BD339,"")</f>
        <v/>
      </c>
    </row>
    <row r="1323" spans="25:27" x14ac:dyDescent="0.3">
      <c r="Y1323" s="48" t="str">
        <f ca="1">IF(AND('Planning Sheet'!BH340='Weeks Plan'!$D$6,'Planning Sheet'!BB340='Weeks Plan'!$G$6),'Planning Sheet'!$B340,"")</f>
        <v/>
      </c>
      <c r="Z1323" s="48" t="str">
        <f ca="1">IF(AND('Planning Sheet'!BH340='Weeks Plan'!$D$6,'Planning Sheet'!BB340='Weeks Plan'!$G$6),'Planning Sheet'!$BC340,"")</f>
        <v/>
      </c>
      <c r="AA1323" s="48" t="str">
        <f ca="1">IF(AND('Planning Sheet'!BH340='Weeks Plan'!$D$6,'Planning Sheet'!BB340='Weeks Plan'!$G$6),'Planning Sheet'!$BD340,"")</f>
        <v/>
      </c>
    </row>
    <row r="1324" spans="25:27" x14ac:dyDescent="0.3">
      <c r="Y1324" s="48" t="str">
        <f ca="1">IF(AND('Planning Sheet'!BH341='Weeks Plan'!$D$6,'Planning Sheet'!BB341='Weeks Plan'!$G$6),'Planning Sheet'!$B341,"")</f>
        <v/>
      </c>
      <c r="Z1324" s="48" t="str">
        <f ca="1">IF(AND('Planning Sheet'!BH341='Weeks Plan'!$D$6,'Planning Sheet'!BB341='Weeks Plan'!$G$6),'Planning Sheet'!$BC341,"")</f>
        <v/>
      </c>
      <c r="AA1324" s="48" t="str">
        <f ca="1">IF(AND('Planning Sheet'!BH341='Weeks Plan'!$D$6,'Planning Sheet'!BB341='Weeks Plan'!$G$6),'Planning Sheet'!$BD341,"")</f>
        <v/>
      </c>
    </row>
    <row r="1325" spans="25:27" x14ac:dyDescent="0.3">
      <c r="Y1325" s="48" t="str">
        <f ca="1">IF(AND('Planning Sheet'!BH342='Weeks Plan'!$D$6,'Planning Sheet'!BB342='Weeks Plan'!$G$6),'Planning Sheet'!$B342,"")</f>
        <v/>
      </c>
      <c r="Z1325" s="48" t="str">
        <f ca="1">IF(AND('Planning Sheet'!BH342='Weeks Plan'!$D$6,'Planning Sheet'!BB342='Weeks Plan'!$G$6),'Planning Sheet'!$BC342,"")</f>
        <v/>
      </c>
      <c r="AA1325" s="48" t="str">
        <f ca="1">IF(AND('Planning Sheet'!BH342='Weeks Plan'!$D$6,'Planning Sheet'!BB342='Weeks Plan'!$G$6),'Planning Sheet'!$BD342,"")</f>
        <v/>
      </c>
    </row>
    <row r="1326" spans="25:27" x14ac:dyDescent="0.3">
      <c r="Y1326" s="48" t="str">
        <f ca="1">IF(AND('Planning Sheet'!BH343='Weeks Plan'!$D$6,'Planning Sheet'!BB343='Weeks Plan'!$G$6),'Planning Sheet'!$B343,"")</f>
        <v/>
      </c>
      <c r="Z1326" s="48" t="str">
        <f ca="1">IF(AND('Planning Sheet'!BH343='Weeks Plan'!$D$6,'Planning Sheet'!BB343='Weeks Plan'!$G$6),'Planning Sheet'!$BC343,"")</f>
        <v/>
      </c>
      <c r="AA1326" s="48" t="str">
        <f ca="1">IF(AND('Planning Sheet'!BH343='Weeks Plan'!$D$6,'Planning Sheet'!BB343='Weeks Plan'!$G$6),'Planning Sheet'!$BD343,"")</f>
        <v/>
      </c>
    </row>
    <row r="1327" spans="25:27" x14ac:dyDescent="0.3">
      <c r="Y1327" s="48" t="str">
        <f ca="1">IF(AND('Planning Sheet'!BH344='Weeks Plan'!$D$6,'Planning Sheet'!BB344='Weeks Plan'!$G$6),'Planning Sheet'!$B344,"")</f>
        <v/>
      </c>
      <c r="Z1327" s="48" t="str">
        <f ca="1">IF(AND('Planning Sheet'!BH344='Weeks Plan'!$D$6,'Planning Sheet'!BB344='Weeks Plan'!$G$6),'Planning Sheet'!$BC344,"")</f>
        <v/>
      </c>
      <c r="AA1327" s="48" t="str">
        <f ca="1">IF(AND('Planning Sheet'!BH344='Weeks Plan'!$D$6,'Planning Sheet'!BB344='Weeks Plan'!$G$6),'Planning Sheet'!$BD344,"")</f>
        <v/>
      </c>
    </row>
    <row r="1328" spans="25:27" x14ac:dyDescent="0.3">
      <c r="Y1328" s="48" t="str">
        <f ca="1">IF(AND('Planning Sheet'!BH345='Weeks Plan'!$D$6,'Planning Sheet'!BB345='Weeks Plan'!$G$6),'Planning Sheet'!$B345,"")</f>
        <v/>
      </c>
      <c r="Z1328" s="48" t="str">
        <f ca="1">IF(AND('Planning Sheet'!BH345='Weeks Plan'!$D$6,'Planning Sheet'!BB345='Weeks Plan'!$G$6),'Planning Sheet'!$BC345,"")</f>
        <v/>
      </c>
      <c r="AA1328" s="48" t="str">
        <f ca="1">IF(AND('Planning Sheet'!BH345='Weeks Plan'!$D$6,'Planning Sheet'!BB345='Weeks Plan'!$G$6),'Planning Sheet'!$BD345,"")</f>
        <v/>
      </c>
    </row>
    <row r="1329" spans="25:27" x14ac:dyDescent="0.3">
      <c r="Y1329" s="48" t="str">
        <f ca="1">IF(AND('Planning Sheet'!BH346='Weeks Plan'!$D$6,'Planning Sheet'!BB346='Weeks Plan'!$G$6),'Planning Sheet'!$B346,"")</f>
        <v/>
      </c>
      <c r="Z1329" s="48" t="str">
        <f ca="1">IF(AND('Planning Sheet'!BH346='Weeks Plan'!$D$6,'Planning Sheet'!BB346='Weeks Plan'!$G$6),'Planning Sheet'!$BC346,"")</f>
        <v/>
      </c>
      <c r="AA1329" s="48" t="str">
        <f ca="1">IF(AND('Planning Sheet'!BH346='Weeks Plan'!$D$6,'Planning Sheet'!BB346='Weeks Plan'!$G$6),'Planning Sheet'!$BD346,"")</f>
        <v/>
      </c>
    </row>
    <row r="1330" spans="25:27" x14ac:dyDescent="0.3">
      <c r="Y1330" s="48" t="str">
        <f ca="1">IF(AND('Planning Sheet'!BH347='Weeks Plan'!$D$6,'Planning Sheet'!BB347='Weeks Plan'!$G$6),'Planning Sheet'!$B347,"")</f>
        <v/>
      </c>
      <c r="Z1330" s="48" t="str">
        <f ca="1">IF(AND('Planning Sheet'!BH347='Weeks Plan'!$D$6,'Planning Sheet'!BB347='Weeks Plan'!$G$6),'Planning Sheet'!$BC347,"")</f>
        <v/>
      </c>
      <c r="AA1330" s="48" t="str">
        <f ca="1">IF(AND('Planning Sheet'!BH347='Weeks Plan'!$D$6,'Planning Sheet'!BB347='Weeks Plan'!$G$6),'Planning Sheet'!$BD347,"")</f>
        <v/>
      </c>
    </row>
    <row r="1331" spans="25:27" x14ac:dyDescent="0.3">
      <c r="Y1331" s="48" t="str">
        <f ca="1">IF(AND('Planning Sheet'!BH348='Weeks Plan'!$D$6,'Planning Sheet'!BB348='Weeks Plan'!$G$6),'Planning Sheet'!$B348,"")</f>
        <v/>
      </c>
      <c r="Z1331" s="48" t="str">
        <f ca="1">IF(AND('Planning Sheet'!BH348='Weeks Plan'!$D$6,'Planning Sheet'!BB348='Weeks Plan'!$G$6),'Planning Sheet'!$BC348,"")</f>
        <v/>
      </c>
      <c r="AA1331" s="48" t="str">
        <f ca="1">IF(AND('Planning Sheet'!BH348='Weeks Plan'!$D$6,'Planning Sheet'!BB348='Weeks Plan'!$G$6),'Planning Sheet'!$BD348,"")</f>
        <v/>
      </c>
    </row>
    <row r="1332" spans="25:27" x14ac:dyDescent="0.3">
      <c r="Y1332" s="48" t="str">
        <f ca="1">IF(AND('Planning Sheet'!BH349='Weeks Plan'!$D$6,'Planning Sheet'!BB349='Weeks Plan'!$G$6),'Planning Sheet'!$B349,"")</f>
        <v/>
      </c>
      <c r="Z1332" s="48" t="str">
        <f ca="1">IF(AND('Planning Sheet'!BH349='Weeks Plan'!$D$6,'Planning Sheet'!BB349='Weeks Plan'!$G$6),'Planning Sheet'!$BC349,"")</f>
        <v/>
      </c>
      <c r="AA1332" s="48" t="str">
        <f ca="1">IF(AND('Planning Sheet'!BH349='Weeks Plan'!$D$6,'Planning Sheet'!BB349='Weeks Plan'!$G$6),'Planning Sheet'!$BD349,"")</f>
        <v/>
      </c>
    </row>
    <row r="1333" spans="25:27" x14ac:dyDescent="0.3">
      <c r="Y1333" s="48" t="str">
        <f ca="1">IF(AND('Planning Sheet'!BH350='Weeks Plan'!$D$6,'Planning Sheet'!BB350='Weeks Plan'!$G$6),'Planning Sheet'!$B350,"")</f>
        <v/>
      </c>
      <c r="Z1333" s="48" t="str">
        <f ca="1">IF(AND('Planning Sheet'!BH350='Weeks Plan'!$D$6,'Planning Sheet'!BB350='Weeks Plan'!$G$6),'Planning Sheet'!$BC350,"")</f>
        <v/>
      </c>
      <c r="AA1333" s="48" t="str">
        <f ca="1">IF(AND('Planning Sheet'!BH350='Weeks Plan'!$D$6,'Planning Sheet'!BB350='Weeks Plan'!$G$6),'Planning Sheet'!$BD350,"")</f>
        <v/>
      </c>
    </row>
    <row r="1334" spans="25:27" x14ac:dyDescent="0.3">
      <c r="Y1334" s="48" t="str">
        <f ca="1">IF(AND('Planning Sheet'!BH351='Weeks Plan'!$D$6,'Planning Sheet'!BB351='Weeks Plan'!$G$6),'Planning Sheet'!$B351,"")</f>
        <v/>
      </c>
      <c r="Z1334" s="48" t="str">
        <f ca="1">IF(AND('Planning Sheet'!BH351='Weeks Plan'!$D$6,'Planning Sheet'!BB351='Weeks Plan'!$G$6),'Planning Sheet'!$BC351,"")</f>
        <v/>
      </c>
      <c r="AA1334" s="48" t="str">
        <f ca="1">IF(AND('Planning Sheet'!BH351='Weeks Plan'!$D$6,'Planning Sheet'!BB351='Weeks Plan'!$G$6),'Planning Sheet'!$BD351,"")</f>
        <v/>
      </c>
    </row>
    <row r="1335" spans="25:27" x14ac:dyDescent="0.3">
      <c r="Y1335" s="48" t="str">
        <f ca="1">IF(AND('Planning Sheet'!BH352='Weeks Plan'!$D$6,'Planning Sheet'!BB352='Weeks Plan'!$G$6),'Planning Sheet'!$B352,"")</f>
        <v/>
      </c>
      <c r="Z1335" s="48" t="str">
        <f ca="1">IF(AND('Planning Sheet'!BH352='Weeks Plan'!$D$6,'Planning Sheet'!BB352='Weeks Plan'!$G$6),'Planning Sheet'!$BC352,"")</f>
        <v/>
      </c>
      <c r="AA1335" s="48" t="str">
        <f ca="1">IF(AND('Planning Sheet'!BH352='Weeks Plan'!$D$6,'Planning Sheet'!BB352='Weeks Plan'!$G$6),'Planning Sheet'!$BD352,"")</f>
        <v/>
      </c>
    </row>
    <row r="1336" spans="25:27" x14ac:dyDescent="0.3">
      <c r="Y1336" s="48" t="str">
        <f ca="1">IF(AND('Planning Sheet'!BH353='Weeks Plan'!$D$6,'Planning Sheet'!BB353='Weeks Plan'!$G$6),'Planning Sheet'!$B353,"")</f>
        <v/>
      </c>
      <c r="Z1336" s="48" t="str">
        <f ca="1">IF(AND('Planning Sheet'!BH353='Weeks Plan'!$D$6,'Planning Sheet'!BB353='Weeks Plan'!$G$6),'Planning Sheet'!$BC353,"")</f>
        <v/>
      </c>
      <c r="AA1336" s="48" t="str">
        <f ca="1">IF(AND('Planning Sheet'!BH353='Weeks Plan'!$D$6,'Planning Sheet'!BB353='Weeks Plan'!$G$6),'Planning Sheet'!$BD353,"")</f>
        <v/>
      </c>
    </row>
    <row r="1337" spans="25:27" x14ac:dyDescent="0.3">
      <c r="Y1337" s="48" t="str">
        <f ca="1">IF(AND('Planning Sheet'!BH354='Weeks Plan'!$D$6,'Planning Sheet'!BB354='Weeks Plan'!$G$6),'Planning Sheet'!$B354,"")</f>
        <v/>
      </c>
      <c r="Z1337" s="48" t="str">
        <f ca="1">IF(AND('Planning Sheet'!BH354='Weeks Plan'!$D$6,'Planning Sheet'!BB354='Weeks Plan'!$G$6),'Planning Sheet'!$BC354,"")</f>
        <v/>
      </c>
      <c r="AA1337" s="48" t="str">
        <f ca="1">IF(AND('Planning Sheet'!BH354='Weeks Plan'!$D$6,'Planning Sheet'!BB354='Weeks Plan'!$G$6),'Planning Sheet'!$BD354,"")</f>
        <v/>
      </c>
    </row>
    <row r="1338" spans="25:27" x14ac:dyDescent="0.3">
      <c r="Y1338" s="48" t="str">
        <f ca="1">IF(AND('Planning Sheet'!BH355='Weeks Plan'!$D$6,'Planning Sheet'!BB355='Weeks Plan'!$G$6),'Planning Sheet'!$B355,"")</f>
        <v/>
      </c>
      <c r="Z1338" s="48" t="str">
        <f ca="1">IF(AND('Planning Sheet'!BH355='Weeks Plan'!$D$6,'Planning Sheet'!BB355='Weeks Plan'!$G$6),'Planning Sheet'!$BC355,"")</f>
        <v/>
      </c>
      <c r="AA1338" s="48" t="str">
        <f ca="1">IF(AND('Planning Sheet'!BH355='Weeks Plan'!$D$6,'Planning Sheet'!BB355='Weeks Plan'!$G$6),'Planning Sheet'!$BD355,"")</f>
        <v/>
      </c>
    </row>
    <row r="1339" spans="25:27" x14ac:dyDescent="0.3">
      <c r="Y1339" s="48" t="str">
        <f ca="1">IF(AND('Planning Sheet'!BH356='Weeks Plan'!$D$6,'Planning Sheet'!BB356='Weeks Plan'!$G$6),'Planning Sheet'!$B356,"")</f>
        <v/>
      </c>
      <c r="Z1339" s="48" t="str">
        <f ca="1">IF(AND('Planning Sheet'!BH356='Weeks Plan'!$D$6,'Planning Sheet'!BB356='Weeks Plan'!$G$6),'Planning Sheet'!$BC356,"")</f>
        <v/>
      </c>
      <c r="AA1339" s="48" t="str">
        <f ca="1">IF(AND('Planning Sheet'!BH356='Weeks Plan'!$D$6,'Planning Sheet'!BB356='Weeks Plan'!$G$6),'Planning Sheet'!$BD356,"")</f>
        <v/>
      </c>
    </row>
    <row r="1340" spans="25:27" x14ac:dyDescent="0.3">
      <c r="Y1340" s="48" t="str">
        <f ca="1">IF(AND('Planning Sheet'!BH357='Weeks Plan'!$D$6,'Planning Sheet'!BB357='Weeks Plan'!$G$6),'Planning Sheet'!$B357,"")</f>
        <v/>
      </c>
      <c r="Z1340" s="48" t="str">
        <f ca="1">IF(AND('Planning Sheet'!BH357='Weeks Plan'!$D$6,'Planning Sheet'!BB357='Weeks Plan'!$G$6),'Planning Sheet'!$BC357,"")</f>
        <v/>
      </c>
      <c r="AA1340" s="48" t="str">
        <f ca="1">IF(AND('Planning Sheet'!BH357='Weeks Plan'!$D$6,'Planning Sheet'!BB357='Weeks Plan'!$G$6),'Planning Sheet'!$BD357,"")</f>
        <v/>
      </c>
    </row>
    <row r="1341" spans="25:27" x14ac:dyDescent="0.3">
      <c r="Y1341" s="48" t="str">
        <f ca="1">IF(AND('Planning Sheet'!BH358='Weeks Plan'!$D$6,'Planning Sheet'!BB358='Weeks Plan'!$G$6),'Planning Sheet'!$B358,"")</f>
        <v/>
      </c>
      <c r="Z1341" s="48" t="str">
        <f ca="1">IF(AND('Planning Sheet'!BH358='Weeks Plan'!$D$6,'Planning Sheet'!BB358='Weeks Plan'!$G$6),'Planning Sheet'!$BC358,"")</f>
        <v/>
      </c>
      <c r="AA1341" s="48" t="str">
        <f ca="1">IF(AND('Planning Sheet'!BH358='Weeks Plan'!$D$6,'Planning Sheet'!BB358='Weeks Plan'!$G$6),'Planning Sheet'!$BD358,"")</f>
        <v/>
      </c>
    </row>
    <row r="1342" spans="25:27" x14ac:dyDescent="0.3">
      <c r="Y1342" s="48" t="str">
        <f ca="1">IF(AND('Planning Sheet'!BH359='Weeks Plan'!$D$6,'Planning Sheet'!BB359='Weeks Plan'!$G$6),'Planning Sheet'!$B359,"")</f>
        <v/>
      </c>
      <c r="Z1342" s="48" t="str">
        <f ca="1">IF(AND('Planning Sheet'!BH359='Weeks Plan'!$D$6,'Planning Sheet'!BB359='Weeks Plan'!$G$6),'Planning Sheet'!$BC359,"")</f>
        <v/>
      </c>
      <c r="AA1342" s="48" t="str">
        <f ca="1">IF(AND('Planning Sheet'!BH359='Weeks Plan'!$D$6,'Planning Sheet'!BB359='Weeks Plan'!$G$6),'Planning Sheet'!$BD359,"")</f>
        <v/>
      </c>
    </row>
    <row r="1343" spans="25:27" x14ac:dyDescent="0.3">
      <c r="Y1343" s="48" t="str">
        <f ca="1">IF(AND('Planning Sheet'!BH360='Weeks Plan'!$D$6,'Planning Sheet'!BB360='Weeks Plan'!$G$6),'Planning Sheet'!$B360,"")</f>
        <v/>
      </c>
      <c r="Z1343" s="48" t="str">
        <f ca="1">IF(AND('Planning Sheet'!BH360='Weeks Plan'!$D$6,'Planning Sheet'!BB360='Weeks Plan'!$G$6),'Planning Sheet'!$BC360,"")</f>
        <v/>
      </c>
      <c r="AA1343" s="48" t="str">
        <f ca="1">IF(AND('Planning Sheet'!BH360='Weeks Plan'!$D$6,'Planning Sheet'!BB360='Weeks Plan'!$G$6),'Planning Sheet'!$BD360,"")</f>
        <v/>
      </c>
    </row>
    <row r="1344" spans="25:27" x14ac:dyDescent="0.3">
      <c r="Y1344" s="48" t="str">
        <f ca="1">IF(AND('Planning Sheet'!BH361='Weeks Plan'!$D$6,'Planning Sheet'!BB361='Weeks Plan'!$G$6),'Planning Sheet'!$B361,"")</f>
        <v/>
      </c>
      <c r="Z1344" s="48" t="str">
        <f ca="1">IF(AND('Planning Sheet'!BH361='Weeks Plan'!$D$6,'Planning Sheet'!BB361='Weeks Plan'!$G$6),'Planning Sheet'!$BC361,"")</f>
        <v/>
      </c>
      <c r="AA1344" s="48" t="str">
        <f ca="1">IF(AND('Planning Sheet'!BH361='Weeks Plan'!$D$6,'Planning Sheet'!BB361='Weeks Plan'!$G$6),'Planning Sheet'!$BD361,"")</f>
        <v/>
      </c>
    </row>
    <row r="1345" spans="25:27" x14ac:dyDescent="0.3">
      <c r="Y1345" s="48" t="str">
        <f ca="1">IF(AND('Planning Sheet'!BH362='Weeks Plan'!$D$6,'Planning Sheet'!BB362='Weeks Plan'!$G$6),'Planning Sheet'!$B362,"")</f>
        <v/>
      </c>
      <c r="Z1345" s="48" t="str">
        <f ca="1">IF(AND('Planning Sheet'!BH362='Weeks Plan'!$D$6,'Planning Sheet'!BB362='Weeks Plan'!$G$6),'Planning Sheet'!$BC362,"")</f>
        <v/>
      </c>
      <c r="AA1345" s="48" t="str">
        <f ca="1">IF(AND('Planning Sheet'!BH362='Weeks Plan'!$D$6,'Planning Sheet'!BB362='Weeks Plan'!$G$6),'Planning Sheet'!$BD362,"")</f>
        <v/>
      </c>
    </row>
    <row r="1346" spans="25:27" x14ac:dyDescent="0.3">
      <c r="Y1346" s="48" t="str">
        <f ca="1">IF(AND('Planning Sheet'!BH363='Weeks Plan'!$D$6,'Planning Sheet'!BB363='Weeks Plan'!$G$6),'Planning Sheet'!$B363,"")</f>
        <v/>
      </c>
      <c r="Z1346" s="48" t="str">
        <f ca="1">IF(AND('Planning Sheet'!BH363='Weeks Plan'!$D$6,'Planning Sheet'!BB363='Weeks Plan'!$G$6),'Planning Sheet'!$BC363,"")</f>
        <v/>
      </c>
      <c r="AA1346" s="48" t="str">
        <f ca="1">IF(AND('Planning Sheet'!BH363='Weeks Plan'!$D$6,'Planning Sheet'!BB363='Weeks Plan'!$G$6),'Planning Sheet'!$BD363,"")</f>
        <v/>
      </c>
    </row>
    <row r="1347" spans="25:27" x14ac:dyDescent="0.3">
      <c r="Y1347" s="48" t="str">
        <f ca="1">IF(AND('Planning Sheet'!BH364='Weeks Plan'!$D$6,'Planning Sheet'!BB364='Weeks Plan'!$G$6),'Planning Sheet'!$B364,"")</f>
        <v/>
      </c>
      <c r="Z1347" s="48" t="str">
        <f ca="1">IF(AND('Planning Sheet'!BH364='Weeks Plan'!$D$6,'Planning Sheet'!BB364='Weeks Plan'!$G$6),'Planning Sheet'!$BC364,"")</f>
        <v/>
      </c>
      <c r="AA1347" s="48" t="str">
        <f ca="1">IF(AND('Planning Sheet'!BH364='Weeks Plan'!$D$6,'Planning Sheet'!BB364='Weeks Plan'!$G$6),'Planning Sheet'!$BD364,"")</f>
        <v/>
      </c>
    </row>
    <row r="1348" spans="25:27" x14ac:dyDescent="0.3">
      <c r="Y1348" s="48" t="str">
        <f ca="1">IF(AND('Planning Sheet'!BH365='Weeks Plan'!$D$6,'Planning Sheet'!BB365='Weeks Plan'!$G$6),'Planning Sheet'!$B365,"")</f>
        <v/>
      </c>
      <c r="Z1348" s="48" t="str">
        <f ca="1">IF(AND('Planning Sheet'!BH365='Weeks Plan'!$D$6,'Planning Sheet'!BB365='Weeks Plan'!$G$6),'Planning Sheet'!$BC365,"")</f>
        <v/>
      </c>
      <c r="AA1348" s="48" t="str">
        <f ca="1">IF(AND('Planning Sheet'!BH365='Weeks Plan'!$D$6,'Planning Sheet'!BB365='Weeks Plan'!$G$6),'Planning Sheet'!$BD365,"")</f>
        <v/>
      </c>
    </row>
    <row r="1349" spans="25:27" x14ac:dyDescent="0.3">
      <c r="Y1349" s="48" t="str">
        <f ca="1">IF(AND('Planning Sheet'!BH366='Weeks Plan'!$D$6,'Planning Sheet'!BB366='Weeks Plan'!$G$6),'Planning Sheet'!$B366,"")</f>
        <v/>
      </c>
      <c r="Z1349" s="48" t="str">
        <f ca="1">IF(AND('Planning Sheet'!BH366='Weeks Plan'!$D$6,'Planning Sheet'!BB366='Weeks Plan'!$G$6),'Planning Sheet'!$BC366,"")</f>
        <v/>
      </c>
      <c r="AA1349" s="48" t="str">
        <f ca="1">IF(AND('Planning Sheet'!BH366='Weeks Plan'!$D$6,'Planning Sheet'!BB366='Weeks Plan'!$G$6),'Planning Sheet'!$BD366,"")</f>
        <v/>
      </c>
    </row>
    <row r="1350" spans="25:27" x14ac:dyDescent="0.3">
      <c r="Y1350" s="48" t="str">
        <f ca="1">IF(AND('Planning Sheet'!BH367='Weeks Plan'!$D$6,'Planning Sheet'!BB367='Weeks Plan'!$G$6),'Planning Sheet'!$B367,"")</f>
        <v/>
      </c>
      <c r="Z1350" s="48" t="str">
        <f ca="1">IF(AND('Planning Sheet'!BH367='Weeks Plan'!$D$6,'Planning Sheet'!BB367='Weeks Plan'!$G$6),'Planning Sheet'!$BC367,"")</f>
        <v/>
      </c>
      <c r="AA1350" s="48" t="str">
        <f ca="1">IF(AND('Planning Sheet'!BH367='Weeks Plan'!$D$6,'Planning Sheet'!BB367='Weeks Plan'!$G$6),'Planning Sheet'!$BD367,"")</f>
        <v/>
      </c>
    </row>
    <row r="1351" spans="25:27" x14ac:dyDescent="0.3">
      <c r="Y1351" s="48" t="str">
        <f ca="1">IF(AND('Planning Sheet'!BH368='Weeks Plan'!$D$6,'Planning Sheet'!BB368='Weeks Plan'!$G$6),'Planning Sheet'!$B368,"")</f>
        <v/>
      </c>
      <c r="Z1351" s="48" t="str">
        <f ca="1">IF(AND('Planning Sheet'!BH368='Weeks Plan'!$D$6,'Planning Sheet'!BB368='Weeks Plan'!$G$6),'Planning Sheet'!$BC368,"")</f>
        <v/>
      </c>
      <c r="AA1351" s="48" t="str">
        <f ca="1">IF(AND('Planning Sheet'!BH368='Weeks Plan'!$D$6,'Planning Sheet'!BB368='Weeks Plan'!$G$6),'Planning Sheet'!$BD368,"")</f>
        <v/>
      </c>
    </row>
    <row r="1352" spans="25:27" x14ac:dyDescent="0.3">
      <c r="Y1352" s="48" t="str">
        <f ca="1">IF(AND('Planning Sheet'!BH369='Weeks Plan'!$D$6,'Planning Sheet'!BB369='Weeks Plan'!$G$6),'Planning Sheet'!$B369,"")</f>
        <v/>
      </c>
      <c r="Z1352" s="48" t="str">
        <f ca="1">IF(AND('Planning Sheet'!BH369='Weeks Plan'!$D$6,'Planning Sheet'!BB369='Weeks Plan'!$G$6),'Planning Sheet'!$BC369,"")</f>
        <v/>
      </c>
      <c r="AA1352" s="48" t="str">
        <f ca="1">IF(AND('Planning Sheet'!BH369='Weeks Plan'!$D$6,'Planning Sheet'!BB369='Weeks Plan'!$G$6),'Planning Sheet'!$BD369,"")</f>
        <v/>
      </c>
    </row>
    <row r="1353" spans="25:27" x14ac:dyDescent="0.3">
      <c r="Y1353" s="48" t="str">
        <f ca="1">IF(AND('Planning Sheet'!BH370='Weeks Plan'!$D$6,'Planning Sheet'!BB370='Weeks Plan'!$G$6),'Planning Sheet'!$B370,"")</f>
        <v/>
      </c>
      <c r="Z1353" s="48" t="str">
        <f ca="1">IF(AND('Planning Sheet'!BH370='Weeks Plan'!$D$6,'Planning Sheet'!BB370='Weeks Plan'!$G$6),'Planning Sheet'!$BC370,"")</f>
        <v/>
      </c>
      <c r="AA1353" s="48" t="str">
        <f ca="1">IF(AND('Planning Sheet'!BH370='Weeks Plan'!$D$6,'Planning Sheet'!BB370='Weeks Plan'!$G$6),'Planning Sheet'!$BD370,"")</f>
        <v/>
      </c>
    </row>
    <row r="1354" spans="25:27" x14ac:dyDescent="0.3">
      <c r="Y1354" s="48" t="str">
        <f ca="1">IF(AND('Planning Sheet'!BH371='Weeks Plan'!$D$6,'Planning Sheet'!BB371='Weeks Plan'!$G$6),'Planning Sheet'!$B371,"")</f>
        <v/>
      </c>
      <c r="Z1354" s="48" t="str">
        <f ca="1">IF(AND('Planning Sheet'!BH371='Weeks Plan'!$D$6,'Planning Sheet'!BB371='Weeks Plan'!$G$6),'Planning Sheet'!$BC371,"")</f>
        <v/>
      </c>
      <c r="AA1354" s="48" t="str">
        <f ca="1">IF(AND('Planning Sheet'!BH371='Weeks Plan'!$D$6,'Planning Sheet'!BB371='Weeks Plan'!$G$6),'Planning Sheet'!$BD371,"")</f>
        <v/>
      </c>
    </row>
    <row r="1355" spans="25:27" x14ac:dyDescent="0.3">
      <c r="Y1355" s="48" t="str">
        <f ca="1">IF(AND('Planning Sheet'!BH372='Weeks Plan'!$D$6,'Planning Sheet'!BB372='Weeks Plan'!$G$6),'Planning Sheet'!$B372,"")</f>
        <v/>
      </c>
      <c r="Z1355" s="48" t="str">
        <f ca="1">IF(AND('Planning Sheet'!BH372='Weeks Plan'!$D$6,'Planning Sheet'!BB372='Weeks Plan'!$G$6),'Planning Sheet'!$BC372,"")</f>
        <v/>
      </c>
      <c r="AA1355" s="48" t="str">
        <f ca="1">IF(AND('Planning Sheet'!BH372='Weeks Plan'!$D$6,'Planning Sheet'!BB372='Weeks Plan'!$G$6),'Planning Sheet'!$BD372,"")</f>
        <v/>
      </c>
    </row>
    <row r="1356" spans="25:27" x14ac:dyDescent="0.3">
      <c r="Y1356" s="48" t="str">
        <f ca="1">IF(AND('Planning Sheet'!BH373='Weeks Plan'!$D$6,'Planning Sheet'!BB373='Weeks Plan'!$G$6),'Planning Sheet'!$B373,"")</f>
        <v/>
      </c>
      <c r="Z1356" s="48" t="str">
        <f ca="1">IF(AND('Planning Sheet'!BH373='Weeks Plan'!$D$6,'Planning Sheet'!BB373='Weeks Plan'!$G$6),'Planning Sheet'!$BC373,"")</f>
        <v/>
      </c>
      <c r="AA1356" s="48" t="str">
        <f ca="1">IF(AND('Planning Sheet'!BH373='Weeks Plan'!$D$6,'Planning Sheet'!BB373='Weeks Plan'!$G$6),'Planning Sheet'!$BD373,"")</f>
        <v/>
      </c>
    </row>
    <row r="1357" spans="25:27" x14ac:dyDescent="0.3">
      <c r="Y1357" s="48" t="str">
        <f ca="1">IF(AND('Planning Sheet'!BH374='Weeks Plan'!$D$6,'Planning Sheet'!BB374='Weeks Plan'!$G$6),'Planning Sheet'!$B374,"")</f>
        <v/>
      </c>
      <c r="Z1357" s="48" t="str">
        <f ca="1">IF(AND('Planning Sheet'!BH374='Weeks Plan'!$D$6,'Planning Sheet'!BB374='Weeks Plan'!$G$6),'Planning Sheet'!$BC374,"")</f>
        <v/>
      </c>
      <c r="AA1357" s="48" t="str">
        <f ca="1">IF(AND('Planning Sheet'!BH374='Weeks Plan'!$D$6,'Planning Sheet'!BB374='Weeks Plan'!$G$6),'Planning Sheet'!$BD374,"")</f>
        <v/>
      </c>
    </row>
    <row r="1358" spans="25:27" x14ac:dyDescent="0.3">
      <c r="Y1358" s="48" t="str">
        <f ca="1">IF(AND('Planning Sheet'!BH375='Weeks Plan'!$D$6,'Planning Sheet'!BB375='Weeks Plan'!$G$6),'Planning Sheet'!$B375,"")</f>
        <v/>
      </c>
      <c r="Z1358" s="48" t="str">
        <f ca="1">IF(AND('Planning Sheet'!BH375='Weeks Plan'!$D$6,'Planning Sheet'!BB375='Weeks Plan'!$G$6),'Planning Sheet'!$BC375,"")</f>
        <v/>
      </c>
      <c r="AA1358" s="48" t="str">
        <f ca="1">IF(AND('Planning Sheet'!BH375='Weeks Plan'!$D$6,'Planning Sheet'!BB375='Weeks Plan'!$G$6),'Planning Sheet'!$BD375,"")</f>
        <v/>
      </c>
    </row>
    <row r="1359" spans="25:27" x14ac:dyDescent="0.3">
      <c r="Y1359" s="48" t="str">
        <f ca="1">IF(AND('Planning Sheet'!BH376='Weeks Plan'!$D$6,'Planning Sheet'!BB376='Weeks Plan'!$G$6),'Planning Sheet'!$B376,"")</f>
        <v/>
      </c>
      <c r="Z1359" s="48" t="str">
        <f ca="1">IF(AND('Planning Sheet'!BH376='Weeks Plan'!$D$6,'Planning Sheet'!BB376='Weeks Plan'!$G$6),'Planning Sheet'!$BC376,"")</f>
        <v/>
      </c>
      <c r="AA1359" s="48" t="str">
        <f ca="1">IF(AND('Planning Sheet'!BH376='Weeks Plan'!$D$6,'Planning Sheet'!BB376='Weeks Plan'!$G$6),'Planning Sheet'!$BD376,"")</f>
        <v/>
      </c>
    </row>
    <row r="1360" spans="25:27" x14ac:dyDescent="0.3">
      <c r="Y1360" s="48" t="str">
        <f ca="1">IF(AND('Planning Sheet'!BH377='Weeks Plan'!$D$6,'Planning Sheet'!BB377='Weeks Plan'!$G$6),'Planning Sheet'!$B377,"")</f>
        <v/>
      </c>
      <c r="Z1360" s="48" t="str">
        <f ca="1">IF(AND('Planning Sheet'!BH377='Weeks Plan'!$D$6,'Planning Sheet'!BB377='Weeks Plan'!$G$6),'Planning Sheet'!$BC377,"")</f>
        <v/>
      </c>
      <c r="AA1360" s="48" t="str">
        <f ca="1">IF(AND('Planning Sheet'!BH377='Weeks Plan'!$D$6,'Planning Sheet'!BB377='Weeks Plan'!$G$6),'Planning Sheet'!$BD377,"")</f>
        <v/>
      </c>
    </row>
    <row r="1361" spans="25:27" x14ac:dyDescent="0.3">
      <c r="Y1361" s="48" t="str">
        <f ca="1">IF(AND('Planning Sheet'!BH378='Weeks Plan'!$D$6,'Planning Sheet'!BB378='Weeks Plan'!$G$6),'Planning Sheet'!$B378,"")</f>
        <v/>
      </c>
      <c r="Z1361" s="48" t="str">
        <f ca="1">IF(AND('Planning Sheet'!BH378='Weeks Plan'!$D$6,'Planning Sheet'!BB378='Weeks Plan'!$G$6),'Planning Sheet'!$BC378,"")</f>
        <v/>
      </c>
      <c r="AA1361" s="48" t="str">
        <f ca="1">IF(AND('Planning Sheet'!BH378='Weeks Plan'!$D$6,'Planning Sheet'!BB378='Weeks Plan'!$G$6),'Planning Sheet'!$BD378,"")</f>
        <v/>
      </c>
    </row>
    <row r="1362" spans="25:27" x14ac:dyDescent="0.3">
      <c r="Y1362" s="48" t="str">
        <f ca="1">IF(AND('Planning Sheet'!BH379='Weeks Plan'!$D$6,'Planning Sheet'!BB379='Weeks Plan'!$G$6),'Planning Sheet'!$B379,"")</f>
        <v/>
      </c>
      <c r="Z1362" s="48" t="str">
        <f ca="1">IF(AND('Planning Sheet'!BH379='Weeks Plan'!$D$6,'Planning Sheet'!BB379='Weeks Plan'!$G$6),'Planning Sheet'!$BC379,"")</f>
        <v/>
      </c>
      <c r="AA1362" s="48" t="str">
        <f ca="1">IF(AND('Planning Sheet'!BH379='Weeks Plan'!$D$6,'Planning Sheet'!BB379='Weeks Plan'!$G$6),'Planning Sheet'!$BD379,"")</f>
        <v/>
      </c>
    </row>
    <row r="1363" spans="25:27" x14ac:dyDescent="0.3">
      <c r="Y1363" s="48" t="str">
        <f ca="1">IF(AND('Planning Sheet'!BH380='Weeks Plan'!$D$6,'Planning Sheet'!BB380='Weeks Plan'!$G$6),'Planning Sheet'!$B380,"")</f>
        <v/>
      </c>
      <c r="Z1363" s="48" t="str">
        <f ca="1">IF(AND('Planning Sheet'!BH380='Weeks Plan'!$D$6,'Planning Sheet'!BB380='Weeks Plan'!$G$6),'Planning Sheet'!$BC380,"")</f>
        <v/>
      </c>
      <c r="AA1363" s="48" t="str">
        <f ca="1">IF(AND('Planning Sheet'!BH380='Weeks Plan'!$D$6,'Planning Sheet'!BB380='Weeks Plan'!$G$6),'Planning Sheet'!$BD380,"")</f>
        <v/>
      </c>
    </row>
    <row r="1364" spans="25:27" x14ac:dyDescent="0.3">
      <c r="Y1364" s="48" t="str">
        <f ca="1">IF(AND('Planning Sheet'!BH381='Weeks Plan'!$D$6,'Planning Sheet'!BB381='Weeks Plan'!$G$6),'Planning Sheet'!$B381,"")</f>
        <v/>
      </c>
      <c r="Z1364" s="48" t="str">
        <f ca="1">IF(AND('Planning Sheet'!BH381='Weeks Plan'!$D$6,'Planning Sheet'!BB381='Weeks Plan'!$G$6),'Planning Sheet'!$BC381,"")</f>
        <v/>
      </c>
      <c r="AA1364" s="48" t="str">
        <f ca="1">IF(AND('Planning Sheet'!BH381='Weeks Plan'!$D$6,'Planning Sheet'!BB381='Weeks Plan'!$G$6),'Planning Sheet'!$BD381,"")</f>
        <v/>
      </c>
    </row>
    <row r="1365" spans="25:27" x14ac:dyDescent="0.3">
      <c r="Y1365" s="48" t="str">
        <f ca="1">IF(AND('Planning Sheet'!BH382='Weeks Plan'!$D$6,'Planning Sheet'!BB382='Weeks Plan'!$G$6),'Planning Sheet'!$B382,"")</f>
        <v/>
      </c>
      <c r="Z1365" s="48" t="str">
        <f ca="1">IF(AND('Planning Sheet'!BH382='Weeks Plan'!$D$6,'Planning Sheet'!BB382='Weeks Plan'!$G$6),'Planning Sheet'!$BC382,"")</f>
        <v/>
      </c>
      <c r="AA1365" s="48" t="str">
        <f ca="1">IF(AND('Planning Sheet'!BH382='Weeks Plan'!$D$6,'Planning Sheet'!BB382='Weeks Plan'!$G$6),'Planning Sheet'!$BD382,"")</f>
        <v/>
      </c>
    </row>
    <row r="1366" spans="25:27" x14ac:dyDescent="0.3">
      <c r="Y1366" s="48" t="str">
        <f ca="1">IF(AND('Planning Sheet'!BH383='Weeks Plan'!$D$6,'Planning Sheet'!BB383='Weeks Plan'!$G$6),'Planning Sheet'!$B383,"")</f>
        <v/>
      </c>
      <c r="Z1366" s="48" t="str">
        <f ca="1">IF(AND('Planning Sheet'!BH383='Weeks Plan'!$D$6,'Planning Sheet'!BB383='Weeks Plan'!$G$6),'Planning Sheet'!$BC383,"")</f>
        <v/>
      </c>
      <c r="AA1366" s="48" t="str">
        <f ca="1">IF(AND('Planning Sheet'!BH383='Weeks Plan'!$D$6,'Planning Sheet'!BB383='Weeks Plan'!$G$6),'Planning Sheet'!$BD383,"")</f>
        <v/>
      </c>
    </row>
    <row r="1367" spans="25:27" x14ac:dyDescent="0.3">
      <c r="Y1367" s="48" t="str">
        <f ca="1">IF(AND('Planning Sheet'!BH384='Weeks Plan'!$D$6,'Planning Sheet'!BB384='Weeks Plan'!$G$6),'Planning Sheet'!$B384,"")</f>
        <v/>
      </c>
      <c r="Z1367" s="48" t="str">
        <f ca="1">IF(AND('Planning Sheet'!BH384='Weeks Plan'!$D$6,'Planning Sheet'!BB384='Weeks Plan'!$G$6),'Planning Sheet'!$BC384,"")</f>
        <v/>
      </c>
      <c r="AA1367" s="48" t="str">
        <f ca="1">IF(AND('Planning Sheet'!BH384='Weeks Plan'!$D$6,'Planning Sheet'!BB384='Weeks Plan'!$G$6),'Planning Sheet'!$BD384,"")</f>
        <v/>
      </c>
    </row>
    <row r="1368" spans="25:27" x14ac:dyDescent="0.3">
      <c r="Y1368" s="48" t="str">
        <f ca="1">IF(AND('Planning Sheet'!BH385='Weeks Plan'!$D$6,'Planning Sheet'!BB385='Weeks Plan'!$G$6),'Planning Sheet'!$B385,"")</f>
        <v/>
      </c>
      <c r="Z1368" s="48" t="str">
        <f ca="1">IF(AND('Planning Sheet'!BH385='Weeks Plan'!$D$6,'Planning Sheet'!BB385='Weeks Plan'!$G$6),'Planning Sheet'!$BC385,"")</f>
        <v/>
      </c>
      <c r="AA1368" s="48" t="str">
        <f ca="1">IF(AND('Planning Sheet'!BH385='Weeks Plan'!$D$6,'Planning Sheet'!BB385='Weeks Plan'!$G$6),'Planning Sheet'!$BD385,"")</f>
        <v/>
      </c>
    </row>
    <row r="1369" spans="25:27" x14ac:dyDescent="0.3">
      <c r="Y1369" s="48" t="str">
        <f ca="1">IF(AND('Planning Sheet'!BH386='Weeks Plan'!$D$6,'Planning Sheet'!BB386='Weeks Plan'!$G$6),'Planning Sheet'!$B386,"")</f>
        <v/>
      </c>
      <c r="Z1369" s="48" t="str">
        <f ca="1">IF(AND('Planning Sheet'!BH386='Weeks Plan'!$D$6,'Planning Sheet'!BB386='Weeks Plan'!$G$6),'Planning Sheet'!$BC386,"")</f>
        <v/>
      </c>
      <c r="AA1369" s="48" t="str">
        <f ca="1">IF(AND('Planning Sheet'!BH386='Weeks Plan'!$D$6,'Planning Sheet'!BB386='Weeks Plan'!$G$6),'Planning Sheet'!$BD386,"")</f>
        <v/>
      </c>
    </row>
    <row r="1370" spans="25:27" x14ac:dyDescent="0.3">
      <c r="Y1370" s="48" t="str">
        <f ca="1">IF(AND('Planning Sheet'!BH387='Weeks Plan'!$D$6,'Planning Sheet'!BB387='Weeks Plan'!$G$6),'Planning Sheet'!$B387,"")</f>
        <v/>
      </c>
      <c r="Z1370" s="48" t="str">
        <f ca="1">IF(AND('Planning Sheet'!BH387='Weeks Plan'!$D$6,'Planning Sheet'!BB387='Weeks Plan'!$G$6),'Planning Sheet'!$BC387,"")</f>
        <v/>
      </c>
      <c r="AA1370" s="48" t="str">
        <f ca="1">IF(AND('Planning Sheet'!BH387='Weeks Plan'!$D$6,'Planning Sheet'!BB387='Weeks Plan'!$G$6),'Planning Sheet'!$BD387,"")</f>
        <v/>
      </c>
    </row>
    <row r="1371" spans="25:27" x14ac:dyDescent="0.3">
      <c r="Y1371" s="48" t="str">
        <f ca="1">IF(AND('Planning Sheet'!BH388='Weeks Plan'!$D$6,'Planning Sheet'!BB388='Weeks Plan'!$G$6),'Planning Sheet'!$B388,"")</f>
        <v/>
      </c>
      <c r="Z1371" s="48" t="str">
        <f ca="1">IF(AND('Planning Sheet'!BH388='Weeks Plan'!$D$6,'Planning Sheet'!BB388='Weeks Plan'!$G$6),'Planning Sheet'!$BC388,"")</f>
        <v/>
      </c>
      <c r="AA1371" s="48" t="str">
        <f ca="1">IF(AND('Planning Sheet'!BH388='Weeks Plan'!$D$6,'Planning Sheet'!BB388='Weeks Plan'!$G$6),'Planning Sheet'!$BD388,"")</f>
        <v/>
      </c>
    </row>
    <row r="1372" spans="25:27" x14ac:dyDescent="0.3">
      <c r="Y1372" s="48" t="str">
        <f ca="1">IF(AND('Planning Sheet'!BH389='Weeks Plan'!$D$6,'Planning Sheet'!BB389='Weeks Plan'!$G$6),'Planning Sheet'!$B389,"")</f>
        <v/>
      </c>
      <c r="Z1372" s="48" t="str">
        <f ca="1">IF(AND('Planning Sheet'!BH389='Weeks Plan'!$D$6,'Planning Sheet'!BB389='Weeks Plan'!$G$6),'Planning Sheet'!$BC389,"")</f>
        <v/>
      </c>
      <c r="AA1372" s="48" t="str">
        <f ca="1">IF(AND('Planning Sheet'!BH389='Weeks Plan'!$D$6,'Planning Sheet'!BB389='Weeks Plan'!$G$6),'Planning Sheet'!$BD389,"")</f>
        <v/>
      </c>
    </row>
    <row r="1373" spans="25:27" x14ac:dyDescent="0.3">
      <c r="Y1373" s="48" t="str">
        <f ca="1">IF(AND('Planning Sheet'!BH390='Weeks Plan'!$D$6,'Planning Sheet'!BB390='Weeks Plan'!$G$6),'Planning Sheet'!$B390,"")</f>
        <v/>
      </c>
      <c r="Z1373" s="48" t="str">
        <f ca="1">IF(AND('Planning Sheet'!BH390='Weeks Plan'!$D$6,'Planning Sheet'!BB390='Weeks Plan'!$G$6),'Planning Sheet'!$BC390,"")</f>
        <v/>
      </c>
      <c r="AA1373" s="48" t="str">
        <f ca="1">IF(AND('Planning Sheet'!BH390='Weeks Plan'!$D$6,'Planning Sheet'!BB390='Weeks Plan'!$G$6),'Planning Sheet'!$BD390,"")</f>
        <v/>
      </c>
    </row>
    <row r="1374" spans="25:27" x14ac:dyDescent="0.3">
      <c r="Y1374" s="48" t="str">
        <f ca="1">IF(AND('Planning Sheet'!BH391='Weeks Plan'!$D$6,'Planning Sheet'!BB391='Weeks Plan'!$G$6),'Planning Sheet'!$B391,"")</f>
        <v/>
      </c>
      <c r="Z1374" s="48" t="str">
        <f ca="1">IF(AND('Planning Sheet'!BH391='Weeks Plan'!$D$6,'Planning Sheet'!BB391='Weeks Plan'!$G$6),'Planning Sheet'!$BC391,"")</f>
        <v/>
      </c>
      <c r="AA1374" s="48" t="str">
        <f ca="1">IF(AND('Planning Sheet'!BH391='Weeks Plan'!$D$6,'Planning Sheet'!BB391='Weeks Plan'!$G$6),'Planning Sheet'!$BD391,"")</f>
        <v/>
      </c>
    </row>
    <row r="1375" spans="25:27" x14ac:dyDescent="0.3">
      <c r="Y1375" s="48" t="str">
        <f ca="1">IF(AND('Planning Sheet'!BH392='Weeks Plan'!$D$6,'Planning Sheet'!BB392='Weeks Plan'!$G$6),'Planning Sheet'!$B392,"")</f>
        <v/>
      </c>
      <c r="Z1375" s="48" t="str">
        <f ca="1">IF(AND('Planning Sheet'!BH392='Weeks Plan'!$D$6,'Planning Sheet'!BB392='Weeks Plan'!$G$6),'Planning Sheet'!$BC392,"")</f>
        <v/>
      </c>
      <c r="AA1375" s="48" t="str">
        <f ca="1">IF(AND('Planning Sheet'!BH392='Weeks Plan'!$D$6,'Planning Sheet'!BB392='Weeks Plan'!$G$6),'Planning Sheet'!$BD392,"")</f>
        <v/>
      </c>
    </row>
    <row r="1376" spans="25:27" x14ac:dyDescent="0.3">
      <c r="Y1376" s="48" t="str">
        <f ca="1">IF(AND('Planning Sheet'!BH393='Weeks Plan'!$D$6,'Planning Sheet'!BB393='Weeks Plan'!$G$6),'Planning Sheet'!$B393,"")</f>
        <v/>
      </c>
      <c r="Z1376" s="48" t="str">
        <f ca="1">IF(AND('Planning Sheet'!BH393='Weeks Plan'!$D$6,'Planning Sheet'!BB393='Weeks Plan'!$G$6),'Planning Sheet'!$BC393,"")</f>
        <v/>
      </c>
      <c r="AA1376" s="48" t="str">
        <f ca="1">IF(AND('Planning Sheet'!BH393='Weeks Plan'!$D$6,'Planning Sheet'!BB393='Weeks Plan'!$G$6),'Planning Sheet'!$BD393,"")</f>
        <v/>
      </c>
    </row>
    <row r="1377" spans="25:27" x14ac:dyDescent="0.3">
      <c r="Y1377" s="48" t="str">
        <f ca="1">IF(AND('Planning Sheet'!BH394='Weeks Plan'!$D$6,'Planning Sheet'!BB394='Weeks Plan'!$G$6),'Planning Sheet'!$B394,"")</f>
        <v/>
      </c>
      <c r="Z1377" s="48" t="str">
        <f ca="1">IF(AND('Planning Sheet'!BH394='Weeks Plan'!$D$6,'Planning Sheet'!BB394='Weeks Plan'!$G$6),'Planning Sheet'!$BC394,"")</f>
        <v/>
      </c>
      <c r="AA1377" s="48" t="str">
        <f ca="1">IF(AND('Planning Sheet'!BH394='Weeks Plan'!$D$6,'Planning Sheet'!BB394='Weeks Plan'!$G$6),'Planning Sheet'!$BD394,"")</f>
        <v/>
      </c>
    </row>
    <row r="1378" spans="25:27" x14ac:dyDescent="0.3">
      <c r="Y1378" s="48" t="str">
        <f ca="1">IF(AND('Planning Sheet'!BH395='Weeks Plan'!$D$6,'Planning Sheet'!BB395='Weeks Plan'!$G$6),'Planning Sheet'!$B395,"")</f>
        <v/>
      </c>
      <c r="Z1378" s="48" t="str">
        <f ca="1">IF(AND('Planning Sheet'!BH395='Weeks Plan'!$D$6,'Planning Sheet'!BB395='Weeks Plan'!$G$6),'Planning Sheet'!$BC395,"")</f>
        <v/>
      </c>
      <c r="AA1378" s="48" t="str">
        <f ca="1">IF(AND('Planning Sheet'!BH395='Weeks Plan'!$D$6,'Planning Sheet'!BB395='Weeks Plan'!$G$6),'Planning Sheet'!$BD395,"")</f>
        <v/>
      </c>
    </row>
    <row r="1379" spans="25:27" x14ac:dyDescent="0.3">
      <c r="Y1379" s="48" t="str">
        <f ca="1">IF(AND('Planning Sheet'!BH396='Weeks Plan'!$D$6,'Planning Sheet'!BB396='Weeks Plan'!$G$6),'Planning Sheet'!$B396,"")</f>
        <v/>
      </c>
      <c r="Z1379" s="48" t="str">
        <f ca="1">IF(AND('Planning Sheet'!BH396='Weeks Plan'!$D$6,'Planning Sheet'!BB396='Weeks Plan'!$G$6),'Planning Sheet'!$BC396,"")</f>
        <v/>
      </c>
      <c r="AA1379" s="48" t="str">
        <f ca="1">IF(AND('Planning Sheet'!BH396='Weeks Plan'!$D$6,'Planning Sheet'!BB396='Weeks Plan'!$G$6),'Planning Sheet'!$BD396,"")</f>
        <v/>
      </c>
    </row>
    <row r="1380" spans="25:27" x14ac:dyDescent="0.3">
      <c r="Y1380" s="48" t="str">
        <f ca="1">IF(AND('Planning Sheet'!BH397='Weeks Plan'!$D$6,'Planning Sheet'!BB397='Weeks Plan'!$G$6),'Planning Sheet'!$B397,"")</f>
        <v/>
      </c>
      <c r="Z1380" s="48" t="str">
        <f ca="1">IF(AND('Planning Sheet'!BH397='Weeks Plan'!$D$6,'Planning Sheet'!BB397='Weeks Plan'!$G$6),'Planning Sheet'!$BC397,"")</f>
        <v/>
      </c>
      <c r="AA1380" s="48" t="str">
        <f ca="1">IF(AND('Planning Sheet'!BH397='Weeks Plan'!$D$6,'Planning Sheet'!BB397='Weeks Plan'!$G$6),'Planning Sheet'!$BD397,"")</f>
        <v/>
      </c>
    </row>
    <row r="1381" spans="25:27" x14ac:dyDescent="0.3">
      <c r="Y1381" s="48" t="str">
        <f ca="1">IF(AND('Planning Sheet'!BH398='Weeks Plan'!$D$6,'Planning Sheet'!BB398='Weeks Plan'!$G$6),'Planning Sheet'!$B398,"")</f>
        <v/>
      </c>
      <c r="Z1381" s="48" t="str">
        <f ca="1">IF(AND('Planning Sheet'!BH398='Weeks Plan'!$D$6,'Planning Sheet'!BB398='Weeks Plan'!$G$6),'Planning Sheet'!$BC398,"")</f>
        <v/>
      </c>
      <c r="AA1381" s="48" t="str">
        <f ca="1">IF(AND('Planning Sheet'!BH398='Weeks Plan'!$D$6,'Planning Sheet'!BB398='Weeks Plan'!$G$6),'Planning Sheet'!$BD398,"")</f>
        <v/>
      </c>
    </row>
    <row r="1382" spans="25:27" x14ac:dyDescent="0.3">
      <c r="Y1382" s="48" t="str">
        <f ca="1">IF(AND('Planning Sheet'!BH399='Weeks Plan'!$D$6,'Planning Sheet'!BB399='Weeks Plan'!$G$6),'Planning Sheet'!$B399,"")</f>
        <v/>
      </c>
      <c r="Z1382" s="48" t="str">
        <f ca="1">IF(AND('Planning Sheet'!BH399='Weeks Plan'!$D$6,'Planning Sheet'!BB399='Weeks Plan'!$G$6),'Planning Sheet'!$BC399,"")</f>
        <v/>
      </c>
      <c r="AA1382" s="48" t="str">
        <f ca="1">IF(AND('Planning Sheet'!BH399='Weeks Plan'!$D$6,'Planning Sheet'!BB399='Weeks Plan'!$G$6),'Planning Sheet'!$BD399,"")</f>
        <v/>
      </c>
    </row>
    <row r="1383" spans="25:27" x14ac:dyDescent="0.3">
      <c r="Y1383" s="48" t="str">
        <f ca="1">IF(AND('Planning Sheet'!BH400='Weeks Plan'!$D$6,'Planning Sheet'!BB400='Weeks Plan'!$G$6),'Planning Sheet'!$B400,"")</f>
        <v/>
      </c>
      <c r="Z1383" s="48" t="str">
        <f ca="1">IF(AND('Planning Sheet'!BH400='Weeks Plan'!$D$6,'Planning Sheet'!BB400='Weeks Plan'!$G$6),'Planning Sheet'!$BC400,"")</f>
        <v/>
      </c>
      <c r="AA1383" s="48" t="str">
        <f ca="1">IF(AND('Planning Sheet'!BH400='Weeks Plan'!$D$6,'Planning Sheet'!BB400='Weeks Plan'!$G$6),'Planning Sheet'!$BD400,"")</f>
        <v/>
      </c>
    </row>
    <row r="1384" spans="25:27" x14ac:dyDescent="0.3">
      <c r="Y1384" s="48" t="str">
        <f ca="1">IF(AND('Planning Sheet'!BH401='Weeks Plan'!$D$6,'Planning Sheet'!BB401='Weeks Plan'!$G$6),'Planning Sheet'!$B401,"")</f>
        <v/>
      </c>
      <c r="Z1384" s="48" t="str">
        <f ca="1">IF(AND('Planning Sheet'!BH401='Weeks Plan'!$D$6,'Planning Sheet'!BB401='Weeks Plan'!$G$6),'Planning Sheet'!$BC401,"")</f>
        <v/>
      </c>
      <c r="AA1384" s="48" t="str">
        <f ca="1">IF(AND('Planning Sheet'!BH401='Weeks Plan'!$D$6,'Planning Sheet'!BB401='Weeks Plan'!$G$6),'Planning Sheet'!$BD401,"")</f>
        <v/>
      </c>
    </row>
    <row r="1385" spans="25:27" x14ac:dyDescent="0.3">
      <c r="Y1385" s="48" t="str">
        <f ca="1">IF(AND('Planning Sheet'!BH402='Weeks Plan'!$D$6,'Planning Sheet'!BB402='Weeks Plan'!$G$6),'Planning Sheet'!$B402,"")</f>
        <v/>
      </c>
      <c r="Z1385" s="48" t="str">
        <f ca="1">IF(AND('Planning Sheet'!BH402='Weeks Plan'!$D$6,'Planning Sheet'!BB402='Weeks Plan'!$G$6),'Planning Sheet'!$BC402,"")</f>
        <v/>
      </c>
      <c r="AA1385" s="48" t="str">
        <f ca="1">IF(AND('Planning Sheet'!BH402='Weeks Plan'!$D$6,'Planning Sheet'!BB402='Weeks Plan'!$G$6),'Planning Sheet'!$BD402,"")</f>
        <v/>
      </c>
    </row>
    <row r="1386" spans="25:27" x14ac:dyDescent="0.3">
      <c r="Y1386" s="48" t="str">
        <f ca="1">IF(AND('Planning Sheet'!BH403='Weeks Plan'!$D$6,'Planning Sheet'!BB403='Weeks Plan'!$G$6),'Planning Sheet'!$B403,"")</f>
        <v/>
      </c>
      <c r="Z1386" s="48" t="str">
        <f ca="1">IF(AND('Planning Sheet'!BH403='Weeks Plan'!$D$6,'Planning Sheet'!BB403='Weeks Plan'!$G$6),'Planning Sheet'!$BC403,"")</f>
        <v/>
      </c>
      <c r="AA1386" s="48" t="str">
        <f ca="1">IF(AND('Planning Sheet'!BH403='Weeks Plan'!$D$6,'Planning Sheet'!BB403='Weeks Plan'!$G$6),'Planning Sheet'!$BD403,"")</f>
        <v/>
      </c>
    </row>
    <row r="1387" spans="25:27" x14ac:dyDescent="0.3">
      <c r="Y1387" s="48" t="str">
        <f ca="1">IF(AND('Planning Sheet'!BH404='Weeks Plan'!$D$6,'Planning Sheet'!BB404='Weeks Plan'!$G$6),'Planning Sheet'!$B404,"")</f>
        <v/>
      </c>
      <c r="Z1387" s="48" t="str">
        <f ca="1">IF(AND('Planning Sheet'!BH404='Weeks Plan'!$D$6,'Planning Sheet'!BB404='Weeks Plan'!$G$6),'Planning Sheet'!$BC404,"")</f>
        <v/>
      </c>
      <c r="AA1387" s="48" t="str">
        <f ca="1">IF(AND('Planning Sheet'!BH404='Weeks Plan'!$D$6,'Planning Sheet'!BB404='Weeks Plan'!$G$6),'Planning Sheet'!$BD404,"")</f>
        <v/>
      </c>
    </row>
    <row r="1388" spans="25:27" x14ac:dyDescent="0.3">
      <c r="Y1388" s="48" t="str">
        <f ca="1">IF(AND('Planning Sheet'!BH405='Weeks Plan'!$D$6,'Planning Sheet'!BB405='Weeks Plan'!$G$6),'Planning Sheet'!$B405,"")</f>
        <v/>
      </c>
      <c r="Z1388" s="48" t="str">
        <f ca="1">IF(AND('Planning Sheet'!BH405='Weeks Plan'!$D$6,'Planning Sheet'!BB405='Weeks Plan'!$G$6),'Planning Sheet'!$BC405,"")</f>
        <v/>
      </c>
      <c r="AA1388" s="48" t="str">
        <f ca="1">IF(AND('Planning Sheet'!BH405='Weeks Plan'!$D$6,'Planning Sheet'!BB405='Weeks Plan'!$G$6),'Planning Sheet'!$BD405,"")</f>
        <v/>
      </c>
    </row>
    <row r="1389" spans="25:27" x14ac:dyDescent="0.3">
      <c r="Y1389" s="48" t="str">
        <f ca="1">IF(AND('Planning Sheet'!BH406='Weeks Plan'!$D$6,'Planning Sheet'!BB406='Weeks Plan'!$G$6),'Planning Sheet'!$B406,"")</f>
        <v/>
      </c>
      <c r="Z1389" s="48" t="str">
        <f ca="1">IF(AND('Planning Sheet'!BH406='Weeks Plan'!$D$6,'Planning Sheet'!BB406='Weeks Plan'!$G$6),'Planning Sheet'!$BC406,"")</f>
        <v/>
      </c>
      <c r="AA1389" s="48" t="str">
        <f ca="1">IF(AND('Planning Sheet'!BH406='Weeks Plan'!$D$6,'Planning Sheet'!BB406='Weeks Plan'!$G$6),'Planning Sheet'!$BD406,"")</f>
        <v/>
      </c>
    </row>
    <row r="1390" spans="25:27" x14ac:dyDescent="0.3">
      <c r="Y1390" s="48" t="str">
        <f ca="1">IF(AND('Planning Sheet'!BH407='Weeks Plan'!$D$6,'Planning Sheet'!BB407='Weeks Plan'!$G$6),'Planning Sheet'!$B407,"")</f>
        <v/>
      </c>
      <c r="Z1390" s="48" t="str">
        <f ca="1">IF(AND('Planning Sheet'!BH407='Weeks Plan'!$D$6,'Planning Sheet'!BB407='Weeks Plan'!$G$6),'Planning Sheet'!$BC407,"")</f>
        <v/>
      </c>
      <c r="AA1390" s="48" t="str">
        <f ca="1">IF(AND('Planning Sheet'!BH407='Weeks Plan'!$D$6,'Planning Sheet'!BB407='Weeks Plan'!$G$6),'Planning Sheet'!$BD407,"")</f>
        <v/>
      </c>
    </row>
    <row r="1391" spans="25:27" x14ac:dyDescent="0.3">
      <c r="Y1391" s="48" t="str">
        <f ca="1">IF(AND('Planning Sheet'!BH408='Weeks Plan'!$D$6,'Planning Sheet'!BB408='Weeks Plan'!$G$6),'Planning Sheet'!$B408,"")</f>
        <v/>
      </c>
      <c r="Z1391" s="48" t="str">
        <f ca="1">IF(AND('Planning Sheet'!BH408='Weeks Plan'!$D$6,'Planning Sheet'!BB408='Weeks Plan'!$G$6),'Planning Sheet'!$BC408,"")</f>
        <v/>
      </c>
      <c r="AA1391" s="48" t="str">
        <f ca="1">IF(AND('Planning Sheet'!BH408='Weeks Plan'!$D$6,'Planning Sheet'!BB408='Weeks Plan'!$G$6),'Planning Sheet'!$BD408,"")</f>
        <v/>
      </c>
    </row>
    <row r="1392" spans="25:27" x14ac:dyDescent="0.3">
      <c r="Y1392" s="48" t="str">
        <f ca="1">IF(AND('Planning Sheet'!BH409='Weeks Plan'!$D$6,'Planning Sheet'!BB409='Weeks Plan'!$G$6),'Planning Sheet'!$B409,"")</f>
        <v/>
      </c>
      <c r="Z1392" s="48" t="str">
        <f ca="1">IF(AND('Planning Sheet'!BH409='Weeks Plan'!$D$6,'Planning Sheet'!BB409='Weeks Plan'!$G$6),'Planning Sheet'!$BC409,"")</f>
        <v/>
      </c>
      <c r="AA1392" s="48" t="str">
        <f ca="1">IF(AND('Planning Sheet'!BH409='Weeks Plan'!$D$6,'Planning Sheet'!BB409='Weeks Plan'!$G$6),'Planning Sheet'!$BD409,"")</f>
        <v/>
      </c>
    </row>
    <row r="1393" spans="25:27" x14ac:dyDescent="0.3">
      <c r="Y1393" s="48" t="str">
        <f ca="1">IF(AND('Planning Sheet'!BH410='Weeks Plan'!$D$6,'Planning Sheet'!BB410='Weeks Plan'!$G$6),'Planning Sheet'!$B410,"")</f>
        <v/>
      </c>
      <c r="Z1393" s="48" t="str">
        <f ca="1">IF(AND('Planning Sheet'!BH410='Weeks Plan'!$D$6,'Planning Sheet'!BB410='Weeks Plan'!$G$6),'Planning Sheet'!$BC410,"")</f>
        <v/>
      </c>
      <c r="AA1393" s="48" t="str">
        <f ca="1">IF(AND('Planning Sheet'!BH410='Weeks Plan'!$D$6,'Planning Sheet'!BB410='Weeks Plan'!$G$6),'Planning Sheet'!$BD410,"")</f>
        <v/>
      </c>
    </row>
    <row r="1394" spans="25:27" x14ac:dyDescent="0.3">
      <c r="Y1394" s="48" t="str">
        <f ca="1">IF(AND('Planning Sheet'!BH411='Weeks Plan'!$D$6,'Planning Sheet'!BB411='Weeks Plan'!$G$6),'Planning Sheet'!$B411,"")</f>
        <v/>
      </c>
      <c r="Z1394" s="48" t="str">
        <f ca="1">IF(AND('Planning Sheet'!BH411='Weeks Plan'!$D$6,'Planning Sheet'!BB411='Weeks Plan'!$G$6),'Planning Sheet'!$BC411,"")</f>
        <v/>
      </c>
      <c r="AA1394" s="48" t="str">
        <f ca="1">IF(AND('Planning Sheet'!BH411='Weeks Plan'!$D$6,'Planning Sheet'!BB411='Weeks Plan'!$G$6),'Planning Sheet'!$BD411,"")</f>
        <v/>
      </c>
    </row>
    <row r="1395" spans="25:27" x14ac:dyDescent="0.3">
      <c r="Y1395" s="48" t="str">
        <f ca="1">IF(AND('Planning Sheet'!BH412='Weeks Plan'!$D$6,'Planning Sheet'!BB412='Weeks Plan'!$G$6),'Planning Sheet'!$B412,"")</f>
        <v/>
      </c>
      <c r="Z1395" s="48" t="str">
        <f ca="1">IF(AND('Planning Sheet'!BH412='Weeks Plan'!$D$6,'Planning Sheet'!BB412='Weeks Plan'!$G$6),'Planning Sheet'!$BC412,"")</f>
        <v/>
      </c>
      <c r="AA1395" s="48" t="str">
        <f ca="1">IF(AND('Planning Sheet'!BH412='Weeks Plan'!$D$6,'Planning Sheet'!BB412='Weeks Plan'!$G$6),'Planning Sheet'!$BD412,"")</f>
        <v/>
      </c>
    </row>
    <row r="1396" spans="25:27" x14ac:dyDescent="0.3">
      <c r="Y1396" s="48" t="str">
        <f ca="1">IF(AND('Planning Sheet'!BH413='Weeks Plan'!$D$6,'Planning Sheet'!BB413='Weeks Plan'!$G$6),'Planning Sheet'!$B413,"")</f>
        <v/>
      </c>
      <c r="Z1396" s="48" t="str">
        <f ca="1">IF(AND('Planning Sheet'!BH413='Weeks Plan'!$D$6,'Planning Sheet'!BB413='Weeks Plan'!$G$6),'Planning Sheet'!$BC413,"")</f>
        <v/>
      </c>
      <c r="AA1396" s="48" t="str">
        <f ca="1">IF(AND('Planning Sheet'!BH413='Weeks Plan'!$D$6,'Planning Sheet'!BB413='Weeks Plan'!$G$6),'Planning Sheet'!$BD413,"")</f>
        <v/>
      </c>
    </row>
    <row r="1397" spans="25:27" x14ac:dyDescent="0.3">
      <c r="Y1397" s="48" t="str">
        <f ca="1">IF(AND('Planning Sheet'!BH414='Weeks Plan'!$D$6,'Planning Sheet'!BB414='Weeks Plan'!$G$6),'Planning Sheet'!$B414,"")</f>
        <v/>
      </c>
      <c r="Z1397" s="48" t="str">
        <f ca="1">IF(AND('Planning Sheet'!BH414='Weeks Plan'!$D$6,'Planning Sheet'!BB414='Weeks Plan'!$G$6),'Planning Sheet'!$BC414,"")</f>
        <v/>
      </c>
      <c r="AA1397" s="48" t="str">
        <f ca="1">IF(AND('Planning Sheet'!BH414='Weeks Plan'!$D$6,'Planning Sheet'!BB414='Weeks Plan'!$G$6),'Planning Sheet'!$BD414,"")</f>
        <v/>
      </c>
    </row>
    <row r="1398" spans="25:27" x14ac:dyDescent="0.3">
      <c r="Y1398" s="48" t="str">
        <f ca="1">IF(AND('Planning Sheet'!BH415='Weeks Plan'!$D$6,'Planning Sheet'!BB415='Weeks Plan'!$G$6),'Planning Sheet'!$B415,"")</f>
        <v/>
      </c>
      <c r="Z1398" s="48" t="str">
        <f ca="1">IF(AND('Planning Sheet'!BH415='Weeks Plan'!$D$6,'Planning Sheet'!BB415='Weeks Plan'!$G$6),'Planning Sheet'!$BC415,"")</f>
        <v/>
      </c>
      <c r="AA1398" s="48" t="str">
        <f ca="1">IF(AND('Planning Sheet'!BH415='Weeks Plan'!$D$6,'Planning Sheet'!BB415='Weeks Plan'!$G$6),'Planning Sheet'!$BD415,"")</f>
        <v/>
      </c>
    </row>
    <row r="1399" spans="25:27" x14ac:dyDescent="0.3">
      <c r="Y1399" s="48" t="str">
        <f ca="1">IF(AND('Planning Sheet'!BH416='Weeks Plan'!$D$6,'Planning Sheet'!BB416='Weeks Plan'!$G$6),'Planning Sheet'!$B416,"")</f>
        <v/>
      </c>
      <c r="Z1399" s="48" t="str">
        <f ca="1">IF(AND('Planning Sheet'!BH416='Weeks Plan'!$D$6,'Planning Sheet'!BB416='Weeks Plan'!$G$6),'Planning Sheet'!$BC416,"")</f>
        <v/>
      </c>
      <c r="AA1399" s="48" t="str">
        <f ca="1">IF(AND('Planning Sheet'!BH416='Weeks Plan'!$D$6,'Planning Sheet'!BB416='Weeks Plan'!$G$6),'Planning Sheet'!$BD416,"")</f>
        <v/>
      </c>
    </row>
    <row r="1400" spans="25:27" x14ac:dyDescent="0.3">
      <c r="Y1400" s="48" t="str">
        <f ca="1">IF(AND('Planning Sheet'!BH417='Weeks Plan'!$D$6,'Planning Sheet'!BB417='Weeks Plan'!$G$6),'Planning Sheet'!$B417,"")</f>
        <v/>
      </c>
      <c r="Z1400" s="48" t="str">
        <f ca="1">IF(AND('Planning Sheet'!BH417='Weeks Plan'!$D$6,'Planning Sheet'!BB417='Weeks Plan'!$G$6),'Planning Sheet'!$BC417,"")</f>
        <v/>
      </c>
      <c r="AA1400" s="48" t="str">
        <f ca="1">IF(AND('Planning Sheet'!BH417='Weeks Plan'!$D$6,'Planning Sheet'!BB417='Weeks Plan'!$G$6),'Planning Sheet'!$BD417,"")</f>
        <v/>
      </c>
    </row>
    <row r="1401" spans="25:27" x14ac:dyDescent="0.3">
      <c r="Y1401" s="48" t="str">
        <f ca="1">IF(AND('Planning Sheet'!BH418='Weeks Plan'!$D$6,'Planning Sheet'!BB418='Weeks Plan'!$G$6),'Planning Sheet'!$B418,"")</f>
        <v/>
      </c>
      <c r="Z1401" s="48" t="str">
        <f ca="1">IF(AND('Planning Sheet'!BH418='Weeks Plan'!$D$6,'Planning Sheet'!BB418='Weeks Plan'!$G$6),'Planning Sheet'!$BC418,"")</f>
        <v/>
      </c>
      <c r="AA1401" s="48" t="str">
        <f ca="1">IF(AND('Planning Sheet'!BH418='Weeks Plan'!$D$6,'Planning Sheet'!BB418='Weeks Plan'!$G$6),'Planning Sheet'!$BD418,"")</f>
        <v/>
      </c>
    </row>
    <row r="1402" spans="25:27" x14ac:dyDescent="0.3">
      <c r="Y1402" s="48" t="str">
        <f ca="1">IF(AND('Planning Sheet'!BH419='Weeks Plan'!$D$6,'Planning Sheet'!BB419='Weeks Plan'!$G$6),'Planning Sheet'!$B419,"")</f>
        <v/>
      </c>
      <c r="Z1402" s="48" t="str">
        <f ca="1">IF(AND('Planning Sheet'!BH419='Weeks Plan'!$D$6,'Planning Sheet'!BB419='Weeks Plan'!$G$6),'Planning Sheet'!$BC419,"")</f>
        <v/>
      </c>
      <c r="AA1402" s="48" t="str">
        <f ca="1">IF(AND('Planning Sheet'!BH419='Weeks Plan'!$D$6,'Planning Sheet'!BB419='Weeks Plan'!$G$6),'Planning Sheet'!$BD419,"")</f>
        <v/>
      </c>
    </row>
    <row r="1403" spans="25:27" x14ac:dyDescent="0.3">
      <c r="Y1403" s="48" t="str">
        <f ca="1">IF(AND('Planning Sheet'!BH420='Weeks Plan'!$D$6,'Planning Sheet'!BB420='Weeks Plan'!$G$6),'Planning Sheet'!$B420,"")</f>
        <v/>
      </c>
      <c r="Z1403" s="48" t="str">
        <f ca="1">IF(AND('Planning Sheet'!BH420='Weeks Plan'!$D$6,'Planning Sheet'!BB420='Weeks Plan'!$G$6),'Planning Sheet'!$BC420,"")</f>
        <v/>
      </c>
      <c r="AA1403" s="48" t="str">
        <f ca="1">IF(AND('Planning Sheet'!BH420='Weeks Plan'!$D$6,'Planning Sheet'!BB420='Weeks Plan'!$G$6),'Planning Sheet'!$BD420,"")</f>
        <v/>
      </c>
    </row>
    <row r="1404" spans="25:27" x14ac:dyDescent="0.3">
      <c r="Y1404" s="48" t="str">
        <f ca="1">IF(AND('Planning Sheet'!BH421='Weeks Plan'!$D$6,'Planning Sheet'!BB421='Weeks Plan'!$G$6),'Planning Sheet'!$B421,"")</f>
        <v/>
      </c>
      <c r="Z1404" s="48" t="str">
        <f ca="1">IF(AND('Planning Sheet'!BH421='Weeks Plan'!$D$6,'Planning Sheet'!BB421='Weeks Plan'!$G$6),'Planning Sheet'!$BC421,"")</f>
        <v/>
      </c>
      <c r="AA1404" s="48" t="str">
        <f ca="1">IF(AND('Planning Sheet'!BH421='Weeks Plan'!$D$6,'Planning Sheet'!BB421='Weeks Plan'!$G$6),'Planning Sheet'!$BD421,"")</f>
        <v/>
      </c>
    </row>
    <row r="1405" spans="25:27" x14ac:dyDescent="0.3">
      <c r="Y1405" s="48" t="str">
        <f ca="1">IF(AND('Planning Sheet'!BH422='Weeks Plan'!$D$6,'Planning Sheet'!BB422='Weeks Plan'!$G$6),'Planning Sheet'!$B422,"")</f>
        <v/>
      </c>
      <c r="Z1405" s="48" t="str">
        <f ca="1">IF(AND('Planning Sheet'!BH422='Weeks Plan'!$D$6,'Planning Sheet'!BB422='Weeks Plan'!$G$6),'Planning Sheet'!$BC422,"")</f>
        <v/>
      </c>
      <c r="AA1405" s="48" t="str">
        <f ca="1">IF(AND('Planning Sheet'!BH422='Weeks Plan'!$D$6,'Planning Sheet'!BB422='Weeks Plan'!$G$6),'Planning Sheet'!$BD422,"")</f>
        <v/>
      </c>
    </row>
    <row r="1406" spans="25:27" x14ac:dyDescent="0.3">
      <c r="Y1406" s="48" t="str">
        <f ca="1">IF(AND('Planning Sheet'!BH423='Weeks Plan'!$D$6,'Planning Sheet'!BB423='Weeks Plan'!$G$6),'Planning Sheet'!$B423,"")</f>
        <v/>
      </c>
      <c r="Z1406" s="48" t="str">
        <f ca="1">IF(AND('Planning Sheet'!BH423='Weeks Plan'!$D$6,'Planning Sheet'!BB423='Weeks Plan'!$G$6),'Planning Sheet'!$BC423,"")</f>
        <v/>
      </c>
      <c r="AA1406" s="48" t="str">
        <f ca="1">IF(AND('Planning Sheet'!BH423='Weeks Plan'!$D$6,'Planning Sheet'!BB423='Weeks Plan'!$G$6),'Planning Sheet'!$BD423,"")</f>
        <v/>
      </c>
    </row>
    <row r="1407" spans="25:27" x14ac:dyDescent="0.3">
      <c r="Y1407" s="48" t="str">
        <f ca="1">IF(AND('Planning Sheet'!BH424='Weeks Plan'!$D$6,'Planning Sheet'!BB424='Weeks Plan'!$G$6),'Planning Sheet'!$B424,"")</f>
        <v/>
      </c>
      <c r="Z1407" s="48" t="str">
        <f ca="1">IF(AND('Planning Sheet'!BH424='Weeks Plan'!$D$6,'Planning Sheet'!BB424='Weeks Plan'!$G$6),'Planning Sheet'!$BC424,"")</f>
        <v/>
      </c>
      <c r="AA1407" s="48" t="str">
        <f ca="1">IF(AND('Planning Sheet'!BH424='Weeks Plan'!$D$6,'Planning Sheet'!BB424='Weeks Plan'!$G$6),'Planning Sheet'!$BD424,"")</f>
        <v/>
      </c>
    </row>
    <row r="1408" spans="25:27" x14ac:dyDescent="0.3">
      <c r="Y1408" s="48" t="str">
        <f ca="1">IF(AND('Planning Sheet'!BH425='Weeks Plan'!$D$6,'Planning Sheet'!BB425='Weeks Plan'!$G$6),'Planning Sheet'!$B425,"")</f>
        <v/>
      </c>
      <c r="Z1408" s="48" t="str">
        <f ca="1">IF(AND('Planning Sheet'!BH425='Weeks Plan'!$D$6,'Planning Sheet'!BB425='Weeks Plan'!$G$6),'Planning Sheet'!$BC425,"")</f>
        <v/>
      </c>
      <c r="AA1408" s="48" t="str">
        <f ca="1">IF(AND('Planning Sheet'!BH425='Weeks Plan'!$D$6,'Planning Sheet'!BB425='Weeks Plan'!$G$6),'Planning Sheet'!$BD425,"")</f>
        <v/>
      </c>
    </row>
    <row r="1409" spans="25:27" x14ac:dyDescent="0.3">
      <c r="Y1409" s="48" t="str">
        <f ca="1">IF(AND('Planning Sheet'!BH426='Weeks Plan'!$D$6,'Planning Sheet'!BB426='Weeks Plan'!$G$6),'Planning Sheet'!$B426,"")</f>
        <v/>
      </c>
      <c r="Z1409" s="48" t="str">
        <f ca="1">IF(AND('Planning Sheet'!BH426='Weeks Plan'!$D$6,'Planning Sheet'!BB426='Weeks Plan'!$G$6),'Planning Sheet'!$BC426,"")</f>
        <v/>
      </c>
      <c r="AA1409" s="48" t="str">
        <f ca="1">IF(AND('Planning Sheet'!BH426='Weeks Plan'!$D$6,'Planning Sheet'!BB426='Weeks Plan'!$G$6),'Planning Sheet'!$BD426,"")</f>
        <v/>
      </c>
    </row>
    <row r="1410" spans="25:27" x14ac:dyDescent="0.3">
      <c r="Y1410" s="48" t="str">
        <f ca="1">IF(AND('Planning Sheet'!BH427='Weeks Plan'!$D$6,'Planning Sheet'!BB427='Weeks Plan'!$G$6),'Planning Sheet'!$B427,"")</f>
        <v/>
      </c>
      <c r="Z1410" s="48" t="str">
        <f ca="1">IF(AND('Planning Sheet'!BH427='Weeks Plan'!$D$6,'Planning Sheet'!BB427='Weeks Plan'!$G$6),'Planning Sheet'!$BC427,"")</f>
        <v/>
      </c>
      <c r="AA1410" s="48" t="str">
        <f ca="1">IF(AND('Planning Sheet'!BH427='Weeks Plan'!$D$6,'Planning Sheet'!BB427='Weeks Plan'!$G$6),'Planning Sheet'!$BD427,"")</f>
        <v/>
      </c>
    </row>
    <row r="1411" spans="25:27" x14ac:dyDescent="0.3">
      <c r="Y1411" s="48" t="str">
        <f ca="1">IF(AND('Planning Sheet'!BH428='Weeks Plan'!$D$6,'Planning Sheet'!BB428='Weeks Plan'!$G$6),'Planning Sheet'!$B428,"")</f>
        <v/>
      </c>
      <c r="Z1411" s="48" t="str">
        <f ca="1">IF(AND('Planning Sheet'!BH428='Weeks Plan'!$D$6,'Planning Sheet'!BB428='Weeks Plan'!$G$6),'Planning Sheet'!$BC428,"")</f>
        <v/>
      </c>
      <c r="AA1411" s="48" t="str">
        <f ca="1">IF(AND('Planning Sheet'!BH428='Weeks Plan'!$D$6,'Planning Sheet'!BB428='Weeks Plan'!$G$6),'Planning Sheet'!$BD428,"")</f>
        <v/>
      </c>
    </row>
    <row r="1412" spans="25:27" x14ac:dyDescent="0.3">
      <c r="Y1412" s="48" t="str">
        <f ca="1">IF(AND('Planning Sheet'!BH429='Weeks Plan'!$D$6,'Planning Sheet'!BB429='Weeks Plan'!$G$6),'Planning Sheet'!$B429,"")</f>
        <v/>
      </c>
      <c r="Z1412" s="48" t="str">
        <f ca="1">IF(AND('Planning Sheet'!BH429='Weeks Plan'!$D$6,'Planning Sheet'!BB429='Weeks Plan'!$G$6),'Planning Sheet'!$BC429,"")</f>
        <v/>
      </c>
      <c r="AA1412" s="48" t="str">
        <f ca="1">IF(AND('Planning Sheet'!BH429='Weeks Plan'!$D$6,'Planning Sheet'!BB429='Weeks Plan'!$G$6),'Planning Sheet'!$BD429,"")</f>
        <v/>
      </c>
    </row>
    <row r="1413" spans="25:27" x14ac:dyDescent="0.3">
      <c r="Y1413" s="48" t="str">
        <f ca="1">IF(AND('Planning Sheet'!BH430='Weeks Plan'!$D$6,'Planning Sheet'!BB430='Weeks Plan'!$G$6),'Planning Sheet'!$B430,"")</f>
        <v/>
      </c>
      <c r="Z1413" s="48" t="str">
        <f ca="1">IF(AND('Planning Sheet'!BH430='Weeks Plan'!$D$6,'Planning Sheet'!BB430='Weeks Plan'!$G$6),'Planning Sheet'!$BC430,"")</f>
        <v/>
      </c>
      <c r="AA1413" s="48" t="str">
        <f ca="1">IF(AND('Planning Sheet'!BH430='Weeks Plan'!$D$6,'Planning Sheet'!BB430='Weeks Plan'!$G$6),'Planning Sheet'!$BD430,"")</f>
        <v/>
      </c>
    </row>
    <row r="1414" spans="25:27" x14ac:dyDescent="0.3">
      <c r="Y1414" s="48" t="str">
        <f ca="1">IF(AND('Planning Sheet'!BH431='Weeks Plan'!$D$6,'Planning Sheet'!BB431='Weeks Plan'!$G$6),'Planning Sheet'!$B431,"")</f>
        <v/>
      </c>
      <c r="Z1414" s="48" t="str">
        <f ca="1">IF(AND('Planning Sheet'!BH431='Weeks Plan'!$D$6,'Planning Sheet'!BB431='Weeks Plan'!$G$6),'Planning Sheet'!$BC431,"")</f>
        <v/>
      </c>
      <c r="AA1414" s="48" t="str">
        <f ca="1">IF(AND('Planning Sheet'!BH431='Weeks Plan'!$D$6,'Planning Sheet'!BB431='Weeks Plan'!$G$6),'Planning Sheet'!$BD431,"")</f>
        <v/>
      </c>
    </row>
    <row r="1415" spans="25:27" x14ac:dyDescent="0.3">
      <c r="Y1415" s="48" t="str">
        <f ca="1">IF(AND('Planning Sheet'!BH432='Weeks Plan'!$D$6,'Planning Sheet'!BB432='Weeks Plan'!$G$6),'Planning Sheet'!$B432,"")</f>
        <v/>
      </c>
      <c r="Z1415" s="48" t="str">
        <f ca="1">IF(AND('Planning Sheet'!BH432='Weeks Plan'!$D$6,'Planning Sheet'!BB432='Weeks Plan'!$G$6),'Planning Sheet'!$BC432,"")</f>
        <v/>
      </c>
      <c r="AA1415" s="48" t="str">
        <f ca="1">IF(AND('Planning Sheet'!BH432='Weeks Plan'!$D$6,'Planning Sheet'!BB432='Weeks Plan'!$G$6),'Planning Sheet'!$BD432,"")</f>
        <v/>
      </c>
    </row>
    <row r="1416" spans="25:27" x14ac:dyDescent="0.3">
      <c r="Y1416" s="48" t="str">
        <f ca="1">IF(AND('Planning Sheet'!BH433='Weeks Plan'!$D$6,'Planning Sheet'!BB433='Weeks Plan'!$G$6),'Planning Sheet'!$B433,"")</f>
        <v/>
      </c>
      <c r="Z1416" s="48" t="str">
        <f ca="1">IF(AND('Planning Sheet'!BH433='Weeks Plan'!$D$6,'Planning Sheet'!BB433='Weeks Plan'!$G$6),'Planning Sheet'!$BC433,"")</f>
        <v/>
      </c>
      <c r="AA1416" s="48" t="str">
        <f ca="1">IF(AND('Planning Sheet'!BH433='Weeks Plan'!$D$6,'Planning Sheet'!BB433='Weeks Plan'!$G$6),'Planning Sheet'!$BD433,"")</f>
        <v/>
      </c>
    </row>
    <row r="1417" spans="25:27" x14ac:dyDescent="0.3">
      <c r="Y1417" s="48" t="str">
        <f ca="1">IF(AND('Planning Sheet'!BH434='Weeks Plan'!$D$6,'Planning Sheet'!BB434='Weeks Plan'!$G$6),'Planning Sheet'!$B434,"")</f>
        <v/>
      </c>
      <c r="Z1417" s="48" t="str">
        <f ca="1">IF(AND('Planning Sheet'!BH434='Weeks Plan'!$D$6,'Planning Sheet'!BB434='Weeks Plan'!$G$6),'Planning Sheet'!$BC434,"")</f>
        <v/>
      </c>
      <c r="AA1417" s="48" t="str">
        <f ca="1">IF(AND('Planning Sheet'!BH434='Weeks Plan'!$D$6,'Planning Sheet'!BB434='Weeks Plan'!$G$6),'Planning Sheet'!$BD434,"")</f>
        <v/>
      </c>
    </row>
    <row r="1418" spans="25:27" x14ac:dyDescent="0.3">
      <c r="Y1418" s="48" t="str">
        <f ca="1">IF(AND('Planning Sheet'!BH435='Weeks Plan'!$D$6,'Planning Sheet'!BB435='Weeks Plan'!$G$6),'Planning Sheet'!$B435,"")</f>
        <v/>
      </c>
      <c r="Z1418" s="48" t="str">
        <f ca="1">IF(AND('Planning Sheet'!BH435='Weeks Plan'!$D$6,'Planning Sheet'!BB435='Weeks Plan'!$G$6),'Planning Sheet'!$BC435,"")</f>
        <v/>
      </c>
      <c r="AA1418" s="48" t="str">
        <f ca="1">IF(AND('Planning Sheet'!BH435='Weeks Plan'!$D$6,'Planning Sheet'!BB435='Weeks Plan'!$G$6),'Planning Sheet'!$BD435,"")</f>
        <v/>
      </c>
    </row>
    <row r="1419" spans="25:27" x14ac:dyDescent="0.3">
      <c r="Y1419" s="48" t="str">
        <f ca="1">IF(AND('Planning Sheet'!BH436='Weeks Plan'!$D$6,'Planning Sheet'!BB436='Weeks Plan'!$G$6),'Planning Sheet'!$B436,"")</f>
        <v/>
      </c>
      <c r="Z1419" s="48" t="str">
        <f ca="1">IF(AND('Planning Sheet'!BH436='Weeks Plan'!$D$6,'Planning Sheet'!BB436='Weeks Plan'!$G$6),'Planning Sheet'!$BC436,"")</f>
        <v/>
      </c>
      <c r="AA1419" s="48" t="str">
        <f ca="1">IF(AND('Planning Sheet'!BH436='Weeks Plan'!$D$6,'Planning Sheet'!BB436='Weeks Plan'!$G$6),'Planning Sheet'!$BD436,"")</f>
        <v/>
      </c>
    </row>
    <row r="1420" spans="25:27" x14ac:dyDescent="0.3">
      <c r="Y1420" s="48" t="str">
        <f ca="1">IF(AND('Planning Sheet'!BH437='Weeks Plan'!$D$6,'Planning Sheet'!BB437='Weeks Plan'!$G$6),'Planning Sheet'!$B437,"")</f>
        <v/>
      </c>
      <c r="Z1420" s="48" t="str">
        <f ca="1">IF(AND('Planning Sheet'!BH437='Weeks Plan'!$D$6,'Planning Sheet'!BB437='Weeks Plan'!$G$6),'Planning Sheet'!$BC437,"")</f>
        <v/>
      </c>
      <c r="AA1420" s="48" t="str">
        <f ca="1">IF(AND('Planning Sheet'!BH437='Weeks Plan'!$D$6,'Planning Sheet'!BB437='Weeks Plan'!$G$6),'Planning Sheet'!$BD437,"")</f>
        <v/>
      </c>
    </row>
    <row r="1421" spans="25:27" x14ac:dyDescent="0.3">
      <c r="Y1421" s="48" t="str">
        <f ca="1">IF(AND('Planning Sheet'!BH438='Weeks Plan'!$D$6,'Planning Sheet'!BB438='Weeks Plan'!$G$6),'Planning Sheet'!$B438,"")</f>
        <v/>
      </c>
      <c r="Z1421" s="48" t="str">
        <f ca="1">IF(AND('Planning Sheet'!BH438='Weeks Plan'!$D$6,'Planning Sheet'!BB438='Weeks Plan'!$G$6),'Planning Sheet'!$BC438,"")</f>
        <v/>
      </c>
      <c r="AA1421" s="48" t="str">
        <f ca="1">IF(AND('Planning Sheet'!BH438='Weeks Plan'!$D$6,'Planning Sheet'!BB438='Weeks Plan'!$G$6),'Planning Sheet'!$BD438,"")</f>
        <v/>
      </c>
    </row>
    <row r="1422" spans="25:27" x14ac:dyDescent="0.3">
      <c r="Y1422" s="48" t="str">
        <f ca="1">IF(AND('Planning Sheet'!BH439='Weeks Plan'!$D$6,'Planning Sheet'!BB439='Weeks Plan'!$G$6),'Planning Sheet'!$B439,"")</f>
        <v/>
      </c>
      <c r="Z1422" s="48" t="str">
        <f ca="1">IF(AND('Planning Sheet'!BH439='Weeks Plan'!$D$6,'Planning Sheet'!BB439='Weeks Plan'!$G$6),'Planning Sheet'!$BC439,"")</f>
        <v/>
      </c>
      <c r="AA1422" s="48" t="str">
        <f ca="1">IF(AND('Planning Sheet'!BH439='Weeks Plan'!$D$6,'Planning Sheet'!BB439='Weeks Plan'!$G$6),'Planning Sheet'!$BD439,"")</f>
        <v/>
      </c>
    </row>
    <row r="1423" spans="25:27" x14ac:dyDescent="0.3">
      <c r="Y1423" s="48" t="str">
        <f ca="1">IF(AND('Planning Sheet'!BH440='Weeks Plan'!$D$6,'Planning Sheet'!BB440='Weeks Plan'!$G$6),'Planning Sheet'!$B440,"")</f>
        <v/>
      </c>
      <c r="Z1423" s="48" t="str">
        <f ca="1">IF(AND('Planning Sheet'!BH440='Weeks Plan'!$D$6,'Planning Sheet'!BB440='Weeks Plan'!$G$6),'Planning Sheet'!$BC440,"")</f>
        <v/>
      </c>
      <c r="AA1423" s="48" t="str">
        <f ca="1">IF(AND('Planning Sheet'!BH440='Weeks Plan'!$D$6,'Planning Sheet'!BB440='Weeks Plan'!$G$6),'Planning Sheet'!$BD440,"")</f>
        <v/>
      </c>
    </row>
    <row r="1424" spans="25:27" x14ac:dyDescent="0.3">
      <c r="Y1424" s="48" t="str">
        <f ca="1">IF(AND('Planning Sheet'!BH441='Weeks Plan'!$D$6,'Planning Sheet'!BB441='Weeks Plan'!$G$6),'Planning Sheet'!$B441,"")</f>
        <v/>
      </c>
      <c r="Z1424" s="48" t="str">
        <f ca="1">IF(AND('Planning Sheet'!BH441='Weeks Plan'!$D$6,'Planning Sheet'!BB441='Weeks Plan'!$G$6),'Planning Sheet'!$BC441,"")</f>
        <v/>
      </c>
      <c r="AA1424" s="48" t="str">
        <f ca="1">IF(AND('Planning Sheet'!BH441='Weeks Plan'!$D$6,'Planning Sheet'!BB441='Weeks Plan'!$G$6),'Planning Sheet'!$BD441,"")</f>
        <v/>
      </c>
    </row>
    <row r="1425" spans="25:27" x14ac:dyDescent="0.3">
      <c r="Y1425" s="48" t="str">
        <f ca="1">IF(AND('Planning Sheet'!BH442='Weeks Plan'!$D$6,'Planning Sheet'!BB442='Weeks Plan'!$G$6),'Planning Sheet'!$B442,"")</f>
        <v/>
      </c>
      <c r="Z1425" s="48" t="str">
        <f ca="1">IF(AND('Planning Sheet'!BH442='Weeks Plan'!$D$6,'Planning Sheet'!BB442='Weeks Plan'!$G$6),'Planning Sheet'!$BC442,"")</f>
        <v/>
      </c>
      <c r="AA1425" s="48" t="str">
        <f ca="1">IF(AND('Planning Sheet'!BH442='Weeks Plan'!$D$6,'Planning Sheet'!BB442='Weeks Plan'!$G$6),'Planning Sheet'!$BD442,"")</f>
        <v/>
      </c>
    </row>
    <row r="1426" spans="25:27" x14ac:dyDescent="0.3">
      <c r="Y1426" s="48" t="str">
        <f ca="1">IF(AND('Planning Sheet'!BH443='Weeks Plan'!$D$6,'Planning Sheet'!BB443='Weeks Plan'!$G$6),'Planning Sheet'!$B443,"")</f>
        <v/>
      </c>
      <c r="Z1426" s="48" t="str">
        <f ca="1">IF(AND('Planning Sheet'!BH443='Weeks Plan'!$D$6,'Planning Sheet'!BB443='Weeks Plan'!$G$6),'Planning Sheet'!$BC443,"")</f>
        <v/>
      </c>
      <c r="AA1426" s="48" t="str">
        <f ca="1">IF(AND('Planning Sheet'!BH443='Weeks Plan'!$D$6,'Planning Sheet'!BB443='Weeks Plan'!$G$6),'Planning Sheet'!$BD443,"")</f>
        <v/>
      </c>
    </row>
    <row r="1427" spans="25:27" x14ac:dyDescent="0.3">
      <c r="Y1427" s="48" t="str">
        <f ca="1">IF(AND('Planning Sheet'!BH444='Weeks Plan'!$D$6,'Planning Sheet'!BB444='Weeks Plan'!$G$6),'Planning Sheet'!$B444,"")</f>
        <v/>
      </c>
      <c r="Z1427" s="48" t="str">
        <f ca="1">IF(AND('Planning Sheet'!BH444='Weeks Plan'!$D$6,'Planning Sheet'!BB444='Weeks Plan'!$G$6),'Planning Sheet'!$BC444,"")</f>
        <v/>
      </c>
      <c r="AA1427" s="48" t="str">
        <f ca="1">IF(AND('Planning Sheet'!BH444='Weeks Plan'!$D$6,'Planning Sheet'!BB444='Weeks Plan'!$G$6),'Planning Sheet'!$BD444,"")</f>
        <v/>
      </c>
    </row>
    <row r="1428" spans="25:27" x14ac:dyDescent="0.3">
      <c r="Y1428" s="48" t="str">
        <f ca="1">IF(AND('Planning Sheet'!BH445='Weeks Plan'!$D$6,'Planning Sheet'!BB445='Weeks Plan'!$G$6),'Planning Sheet'!$B445,"")</f>
        <v/>
      </c>
      <c r="Z1428" s="48" t="str">
        <f ca="1">IF(AND('Planning Sheet'!BH445='Weeks Plan'!$D$6,'Planning Sheet'!BB445='Weeks Plan'!$G$6),'Planning Sheet'!$BC445,"")</f>
        <v/>
      </c>
      <c r="AA1428" s="48" t="str">
        <f ca="1">IF(AND('Planning Sheet'!BH445='Weeks Plan'!$D$6,'Planning Sheet'!BB445='Weeks Plan'!$G$6),'Planning Sheet'!$BD445,"")</f>
        <v/>
      </c>
    </row>
    <row r="1429" spans="25:27" x14ac:dyDescent="0.3">
      <c r="Y1429" s="48" t="str">
        <f ca="1">IF(AND('Planning Sheet'!BH446='Weeks Plan'!$D$6,'Planning Sheet'!BB446='Weeks Plan'!$G$6),'Planning Sheet'!$B446,"")</f>
        <v/>
      </c>
      <c r="Z1429" s="48" t="str">
        <f ca="1">IF(AND('Planning Sheet'!BH446='Weeks Plan'!$D$6,'Planning Sheet'!BB446='Weeks Plan'!$G$6),'Planning Sheet'!$BC446,"")</f>
        <v/>
      </c>
      <c r="AA1429" s="48" t="str">
        <f ca="1">IF(AND('Planning Sheet'!BH446='Weeks Plan'!$D$6,'Planning Sheet'!BB446='Weeks Plan'!$G$6),'Planning Sheet'!$BD446,"")</f>
        <v/>
      </c>
    </row>
    <row r="1430" spans="25:27" x14ac:dyDescent="0.3">
      <c r="Y1430" s="48" t="str">
        <f ca="1">IF(AND('Planning Sheet'!BH447='Weeks Plan'!$D$6,'Planning Sheet'!BB447='Weeks Plan'!$G$6),'Planning Sheet'!$B447,"")</f>
        <v/>
      </c>
      <c r="Z1430" s="48" t="str">
        <f ca="1">IF(AND('Planning Sheet'!BH447='Weeks Plan'!$D$6,'Planning Sheet'!BB447='Weeks Plan'!$G$6),'Planning Sheet'!$BC447,"")</f>
        <v/>
      </c>
      <c r="AA1430" s="48" t="str">
        <f ca="1">IF(AND('Planning Sheet'!BH447='Weeks Plan'!$D$6,'Planning Sheet'!BB447='Weeks Plan'!$G$6),'Planning Sheet'!$BD447,"")</f>
        <v/>
      </c>
    </row>
    <row r="1431" spans="25:27" x14ac:dyDescent="0.3">
      <c r="Y1431" s="48" t="str">
        <f ca="1">IF(AND('Planning Sheet'!BH448='Weeks Plan'!$D$6,'Planning Sheet'!BB448='Weeks Plan'!$G$6),'Planning Sheet'!$B448,"")</f>
        <v/>
      </c>
      <c r="Z1431" s="48" t="str">
        <f ca="1">IF(AND('Planning Sheet'!BH448='Weeks Plan'!$D$6,'Planning Sheet'!BB448='Weeks Plan'!$G$6),'Planning Sheet'!$BC448,"")</f>
        <v/>
      </c>
      <c r="AA1431" s="48" t="str">
        <f ca="1">IF(AND('Planning Sheet'!BH448='Weeks Plan'!$D$6,'Planning Sheet'!BB448='Weeks Plan'!$G$6),'Planning Sheet'!$BD448,"")</f>
        <v/>
      </c>
    </row>
    <row r="1432" spans="25:27" x14ac:dyDescent="0.3">
      <c r="Y1432" s="48" t="str">
        <f ca="1">IF(AND('Planning Sheet'!BH449='Weeks Plan'!$D$6,'Planning Sheet'!BB449='Weeks Plan'!$G$6),'Planning Sheet'!$B449,"")</f>
        <v/>
      </c>
      <c r="Z1432" s="48" t="str">
        <f ca="1">IF(AND('Planning Sheet'!BH449='Weeks Plan'!$D$6,'Planning Sheet'!BB449='Weeks Plan'!$G$6),'Planning Sheet'!$BC449,"")</f>
        <v/>
      </c>
      <c r="AA1432" s="48" t="str">
        <f ca="1">IF(AND('Planning Sheet'!BH449='Weeks Plan'!$D$6,'Planning Sheet'!BB449='Weeks Plan'!$G$6),'Planning Sheet'!$BD449,"")</f>
        <v/>
      </c>
    </row>
    <row r="1433" spans="25:27" x14ac:dyDescent="0.3">
      <c r="Y1433" s="48" t="str">
        <f ca="1">IF(AND('Planning Sheet'!BH450='Weeks Plan'!$D$6,'Planning Sheet'!BB450='Weeks Plan'!$G$6),'Planning Sheet'!$B450,"")</f>
        <v/>
      </c>
      <c r="Z1433" s="48" t="str">
        <f ca="1">IF(AND('Planning Sheet'!BH450='Weeks Plan'!$D$6,'Planning Sheet'!BB450='Weeks Plan'!$G$6),'Planning Sheet'!$BC450,"")</f>
        <v/>
      </c>
      <c r="AA1433" s="48" t="str">
        <f ca="1">IF(AND('Planning Sheet'!BH450='Weeks Plan'!$D$6,'Planning Sheet'!BB450='Weeks Plan'!$G$6),'Planning Sheet'!$BD450,"")</f>
        <v/>
      </c>
    </row>
    <row r="1434" spans="25:27" x14ac:dyDescent="0.3">
      <c r="Y1434" s="48" t="str">
        <f ca="1">IF(AND('Planning Sheet'!BH451='Weeks Plan'!$D$6,'Planning Sheet'!BB451='Weeks Plan'!$G$6),'Planning Sheet'!$B451,"")</f>
        <v/>
      </c>
      <c r="Z1434" s="48" t="str">
        <f ca="1">IF(AND('Planning Sheet'!BH451='Weeks Plan'!$D$6,'Planning Sheet'!BB451='Weeks Plan'!$G$6),'Planning Sheet'!$BC451,"")</f>
        <v/>
      </c>
      <c r="AA1434" s="48" t="str">
        <f ca="1">IF(AND('Planning Sheet'!BH451='Weeks Plan'!$D$6,'Planning Sheet'!BB451='Weeks Plan'!$G$6),'Planning Sheet'!$BD451,"")</f>
        <v/>
      </c>
    </row>
    <row r="1435" spans="25:27" x14ac:dyDescent="0.3">
      <c r="Y1435" s="48" t="str">
        <f ca="1">IF(AND('Planning Sheet'!BH452='Weeks Plan'!$D$6,'Planning Sheet'!BB452='Weeks Plan'!$G$6),'Planning Sheet'!$B452,"")</f>
        <v/>
      </c>
      <c r="Z1435" s="48" t="str">
        <f ca="1">IF(AND('Planning Sheet'!BH452='Weeks Plan'!$D$6,'Planning Sheet'!BB452='Weeks Plan'!$G$6),'Planning Sheet'!$BC452,"")</f>
        <v/>
      </c>
      <c r="AA1435" s="48" t="str">
        <f ca="1">IF(AND('Planning Sheet'!BH452='Weeks Plan'!$D$6,'Planning Sheet'!BB452='Weeks Plan'!$G$6),'Planning Sheet'!$BD452,"")</f>
        <v/>
      </c>
    </row>
    <row r="1436" spans="25:27" x14ac:dyDescent="0.3">
      <c r="Y1436" s="48" t="str">
        <f ca="1">IF(AND('Planning Sheet'!BH453='Weeks Plan'!$D$6,'Planning Sheet'!BB453='Weeks Plan'!$G$6),'Planning Sheet'!$B453,"")</f>
        <v/>
      </c>
      <c r="Z1436" s="48" t="str">
        <f ca="1">IF(AND('Planning Sheet'!BH453='Weeks Plan'!$D$6,'Planning Sheet'!BB453='Weeks Plan'!$G$6),'Planning Sheet'!$BC453,"")</f>
        <v/>
      </c>
      <c r="AA1436" s="48" t="str">
        <f ca="1">IF(AND('Planning Sheet'!BH453='Weeks Plan'!$D$6,'Planning Sheet'!BB453='Weeks Plan'!$G$6),'Planning Sheet'!$BD453,"")</f>
        <v/>
      </c>
    </row>
    <row r="1437" spans="25:27" x14ac:dyDescent="0.3">
      <c r="Y1437" s="48" t="str">
        <f ca="1">IF(AND('Planning Sheet'!BH454='Weeks Plan'!$D$6,'Planning Sheet'!BB454='Weeks Plan'!$G$6),'Planning Sheet'!$B454,"")</f>
        <v/>
      </c>
      <c r="Z1437" s="48" t="str">
        <f ca="1">IF(AND('Planning Sheet'!BH454='Weeks Plan'!$D$6,'Planning Sheet'!BB454='Weeks Plan'!$G$6),'Planning Sheet'!$BC454,"")</f>
        <v/>
      </c>
      <c r="AA1437" s="48" t="str">
        <f ca="1">IF(AND('Planning Sheet'!BH454='Weeks Plan'!$D$6,'Planning Sheet'!BB454='Weeks Plan'!$G$6),'Planning Sheet'!$BD454,"")</f>
        <v/>
      </c>
    </row>
    <row r="1438" spans="25:27" x14ac:dyDescent="0.3">
      <c r="Y1438" s="48" t="str">
        <f ca="1">IF(AND('Planning Sheet'!BH455='Weeks Plan'!$D$6,'Planning Sheet'!BB455='Weeks Plan'!$G$6),'Planning Sheet'!$B455,"")</f>
        <v/>
      </c>
      <c r="Z1438" s="48" t="str">
        <f ca="1">IF(AND('Planning Sheet'!BH455='Weeks Plan'!$D$6,'Planning Sheet'!BB455='Weeks Plan'!$G$6),'Planning Sheet'!$BC455,"")</f>
        <v/>
      </c>
      <c r="AA1438" s="48" t="str">
        <f ca="1">IF(AND('Planning Sheet'!BH455='Weeks Plan'!$D$6,'Planning Sheet'!BB455='Weeks Plan'!$G$6),'Planning Sheet'!$BD455,"")</f>
        <v/>
      </c>
    </row>
    <row r="1439" spans="25:27" x14ac:dyDescent="0.3">
      <c r="Y1439" s="48" t="str">
        <f ca="1">IF(AND('Planning Sheet'!BH456='Weeks Plan'!$D$6,'Planning Sheet'!BB456='Weeks Plan'!$G$6),'Planning Sheet'!$B456,"")</f>
        <v/>
      </c>
      <c r="Z1439" s="48" t="str">
        <f ca="1">IF(AND('Planning Sheet'!BH456='Weeks Plan'!$D$6,'Planning Sheet'!BB456='Weeks Plan'!$G$6),'Planning Sheet'!$BC456,"")</f>
        <v/>
      </c>
      <c r="AA1439" s="48" t="str">
        <f ca="1">IF(AND('Planning Sheet'!BH456='Weeks Plan'!$D$6,'Planning Sheet'!BB456='Weeks Plan'!$G$6),'Planning Sheet'!$BD456,"")</f>
        <v/>
      </c>
    </row>
    <row r="1440" spans="25:27" x14ac:dyDescent="0.3">
      <c r="Y1440" s="48" t="str">
        <f ca="1">IF(AND('Planning Sheet'!BH457='Weeks Plan'!$D$6,'Planning Sheet'!BB457='Weeks Plan'!$G$6),'Planning Sheet'!$B457,"")</f>
        <v/>
      </c>
      <c r="Z1440" s="48" t="str">
        <f ca="1">IF(AND('Planning Sheet'!BH457='Weeks Plan'!$D$6,'Planning Sheet'!BB457='Weeks Plan'!$G$6),'Planning Sheet'!$BC457,"")</f>
        <v/>
      </c>
      <c r="AA1440" s="48" t="str">
        <f ca="1">IF(AND('Planning Sheet'!BH457='Weeks Plan'!$D$6,'Planning Sheet'!BB457='Weeks Plan'!$G$6),'Planning Sheet'!$BD457,"")</f>
        <v/>
      </c>
    </row>
    <row r="1441" spans="25:27" x14ac:dyDescent="0.3">
      <c r="Y1441" s="48" t="str">
        <f ca="1">IF(AND('Planning Sheet'!BH458='Weeks Plan'!$D$6,'Planning Sheet'!BB458='Weeks Plan'!$G$6),'Planning Sheet'!$B458,"")</f>
        <v/>
      </c>
      <c r="Z1441" s="48" t="str">
        <f ca="1">IF(AND('Planning Sheet'!BH458='Weeks Plan'!$D$6,'Planning Sheet'!BB458='Weeks Plan'!$G$6),'Planning Sheet'!$BC458,"")</f>
        <v/>
      </c>
      <c r="AA1441" s="48" t="str">
        <f ca="1">IF(AND('Planning Sheet'!BH458='Weeks Plan'!$D$6,'Planning Sheet'!BB458='Weeks Plan'!$G$6),'Planning Sheet'!$BD458,"")</f>
        <v/>
      </c>
    </row>
    <row r="1442" spans="25:27" x14ac:dyDescent="0.3">
      <c r="Y1442" s="48" t="str">
        <f ca="1">IF(AND('Planning Sheet'!BH459='Weeks Plan'!$D$6,'Planning Sheet'!BB459='Weeks Plan'!$G$6),'Planning Sheet'!$B459,"")</f>
        <v/>
      </c>
      <c r="Z1442" s="48" t="str">
        <f ca="1">IF(AND('Planning Sheet'!BH459='Weeks Plan'!$D$6,'Planning Sheet'!BB459='Weeks Plan'!$G$6),'Planning Sheet'!$BC459,"")</f>
        <v/>
      </c>
      <c r="AA1442" s="48" t="str">
        <f ca="1">IF(AND('Planning Sheet'!BH459='Weeks Plan'!$D$6,'Planning Sheet'!BB459='Weeks Plan'!$G$6),'Planning Sheet'!$BD459,"")</f>
        <v/>
      </c>
    </row>
    <row r="1443" spans="25:27" x14ac:dyDescent="0.3">
      <c r="Y1443" s="48" t="str">
        <f ca="1">IF(AND('Planning Sheet'!BH460='Weeks Plan'!$D$6,'Planning Sheet'!BB460='Weeks Plan'!$G$6),'Planning Sheet'!$B460,"")</f>
        <v/>
      </c>
      <c r="Z1443" s="48" t="str">
        <f ca="1">IF(AND('Planning Sheet'!BH460='Weeks Plan'!$D$6,'Planning Sheet'!BB460='Weeks Plan'!$G$6),'Planning Sheet'!$BC460,"")</f>
        <v/>
      </c>
      <c r="AA1443" s="48" t="str">
        <f ca="1">IF(AND('Planning Sheet'!BH460='Weeks Plan'!$D$6,'Planning Sheet'!BB460='Weeks Plan'!$G$6),'Planning Sheet'!$BD460,"")</f>
        <v/>
      </c>
    </row>
    <row r="1444" spans="25:27" x14ac:dyDescent="0.3">
      <c r="Y1444" s="48" t="str">
        <f ca="1">IF(AND('Planning Sheet'!BH461='Weeks Plan'!$D$6,'Planning Sheet'!BB461='Weeks Plan'!$G$6),'Planning Sheet'!$B461,"")</f>
        <v/>
      </c>
      <c r="Z1444" s="48" t="str">
        <f ca="1">IF(AND('Planning Sheet'!BH461='Weeks Plan'!$D$6,'Planning Sheet'!BB461='Weeks Plan'!$G$6),'Planning Sheet'!$BC461,"")</f>
        <v/>
      </c>
      <c r="AA1444" s="48" t="str">
        <f ca="1">IF(AND('Planning Sheet'!BH461='Weeks Plan'!$D$6,'Planning Sheet'!BB461='Weeks Plan'!$G$6),'Planning Sheet'!$BD461,"")</f>
        <v/>
      </c>
    </row>
    <row r="1445" spans="25:27" x14ac:dyDescent="0.3">
      <c r="Y1445" s="48" t="str">
        <f ca="1">IF(AND('Planning Sheet'!BH462='Weeks Plan'!$D$6,'Planning Sheet'!BB462='Weeks Plan'!$G$6),'Planning Sheet'!$B462,"")</f>
        <v/>
      </c>
      <c r="Z1445" s="48" t="str">
        <f ca="1">IF(AND('Planning Sheet'!BH462='Weeks Plan'!$D$6,'Planning Sheet'!BB462='Weeks Plan'!$G$6),'Planning Sheet'!$BC462,"")</f>
        <v/>
      </c>
      <c r="AA1445" s="48" t="str">
        <f ca="1">IF(AND('Planning Sheet'!BH462='Weeks Plan'!$D$6,'Planning Sheet'!BB462='Weeks Plan'!$G$6),'Planning Sheet'!$BD462,"")</f>
        <v/>
      </c>
    </row>
    <row r="1446" spans="25:27" x14ac:dyDescent="0.3">
      <c r="Y1446" s="48" t="str">
        <f ca="1">IF(AND('Planning Sheet'!BH463='Weeks Plan'!$D$6,'Planning Sheet'!BB463='Weeks Plan'!$G$6),'Planning Sheet'!$B463,"")</f>
        <v/>
      </c>
      <c r="Z1446" s="48" t="str">
        <f ca="1">IF(AND('Planning Sheet'!BH463='Weeks Plan'!$D$6,'Planning Sheet'!BB463='Weeks Plan'!$G$6),'Planning Sheet'!$BC463,"")</f>
        <v/>
      </c>
      <c r="AA1446" s="48" t="str">
        <f ca="1">IF(AND('Planning Sheet'!BH463='Weeks Plan'!$D$6,'Planning Sheet'!BB463='Weeks Plan'!$G$6),'Planning Sheet'!$BD463,"")</f>
        <v/>
      </c>
    </row>
    <row r="1447" spans="25:27" x14ac:dyDescent="0.3">
      <c r="Y1447" s="48" t="str">
        <f ca="1">IF(AND('Planning Sheet'!BH464='Weeks Plan'!$D$6,'Planning Sheet'!BB464='Weeks Plan'!$G$6),'Planning Sheet'!$B464,"")</f>
        <v/>
      </c>
      <c r="Z1447" s="48" t="str">
        <f ca="1">IF(AND('Planning Sheet'!BH464='Weeks Plan'!$D$6,'Planning Sheet'!BB464='Weeks Plan'!$G$6),'Planning Sheet'!$BC464,"")</f>
        <v/>
      </c>
      <c r="AA1447" s="48" t="str">
        <f ca="1">IF(AND('Planning Sheet'!BH464='Weeks Plan'!$D$6,'Planning Sheet'!BB464='Weeks Plan'!$G$6),'Planning Sheet'!$BD464,"")</f>
        <v/>
      </c>
    </row>
    <row r="1448" spans="25:27" x14ac:dyDescent="0.3">
      <c r="Y1448" s="48" t="str">
        <f ca="1">IF(AND('Planning Sheet'!BH465='Weeks Plan'!$D$6,'Planning Sheet'!BB465='Weeks Plan'!$G$6),'Planning Sheet'!$B465,"")</f>
        <v/>
      </c>
      <c r="Z1448" s="48" t="str">
        <f ca="1">IF(AND('Planning Sheet'!BH465='Weeks Plan'!$D$6,'Planning Sheet'!BB465='Weeks Plan'!$G$6),'Planning Sheet'!$BC465,"")</f>
        <v/>
      </c>
      <c r="AA1448" s="48" t="str">
        <f ca="1">IF(AND('Planning Sheet'!BH465='Weeks Plan'!$D$6,'Planning Sheet'!BB465='Weeks Plan'!$G$6),'Planning Sheet'!$BD465,"")</f>
        <v/>
      </c>
    </row>
    <row r="1449" spans="25:27" x14ac:dyDescent="0.3">
      <c r="Y1449" s="48" t="str">
        <f ca="1">IF(AND('Planning Sheet'!BH466='Weeks Plan'!$D$6,'Planning Sheet'!BB466='Weeks Plan'!$G$6),'Planning Sheet'!$B466,"")</f>
        <v/>
      </c>
      <c r="Z1449" s="48" t="str">
        <f ca="1">IF(AND('Planning Sheet'!BH466='Weeks Plan'!$D$6,'Planning Sheet'!BB466='Weeks Plan'!$G$6),'Planning Sheet'!$BC466,"")</f>
        <v/>
      </c>
      <c r="AA1449" s="48" t="str">
        <f ca="1">IF(AND('Planning Sheet'!BH466='Weeks Plan'!$D$6,'Planning Sheet'!BB466='Weeks Plan'!$G$6),'Planning Sheet'!$BD466,"")</f>
        <v/>
      </c>
    </row>
    <row r="1450" spans="25:27" x14ac:dyDescent="0.3">
      <c r="Y1450" s="48" t="str">
        <f ca="1">IF(AND('Planning Sheet'!BH467='Weeks Plan'!$D$6,'Planning Sheet'!BB467='Weeks Plan'!$G$6),'Planning Sheet'!$B467,"")</f>
        <v/>
      </c>
      <c r="Z1450" s="48" t="str">
        <f ca="1">IF(AND('Planning Sheet'!BH467='Weeks Plan'!$D$6,'Planning Sheet'!BB467='Weeks Plan'!$G$6),'Planning Sheet'!$BC467,"")</f>
        <v/>
      </c>
      <c r="AA1450" s="48" t="str">
        <f ca="1">IF(AND('Planning Sheet'!BH467='Weeks Plan'!$D$6,'Planning Sheet'!BB467='Weeks Plan'!$G$6),'Planning Sheet'!$BD467,"")</f>
        <v/>
      </c>
    </row>
    <row r="1451" spans="25:27" x14ac:dyDescent="0.3">
      <c r="Y1451" s="48" t="str">
        <f ca="1">IF(AND('Planning Sheet'!BH468='Weeks Plan'!$D$6,'Planning Sheet'!BB468='Weeks Plan'!$G$6),'Planning Sheet'!$B468,"")</f>
        <v/>
      </c>
      <c r="Z1451" s="48" t="str">
        <f ca="1">IF(AND('Planning Sheet'!BH468='Weeks Plan'!$D$6,'Planning Sheet'!BB468='Weeks Plan'!$G$6),'Planning Sheet'!$BC468,"")</f>
        <v/>
      </c>
      <c r="AA1451" s="48" t="str">
        <f ca="1">IF(AND('Planning Sheet'!BH468='Weeks Plan'!$D$6,'Planning Sheet'!BB468='Weeks Plan'!$G$6),'Planning Sheet'!$BD468,"")</f>
        <v/>
      </c>
    </row>
    <row r="1452" spans="25:27" x14ac:dyDescent="0.3">
      <c r="Y1452" s="48" t="str">
        <f ca="1">IF(AND('Planning Sheet'!BH469='Weeks Plan'!$D$6,'Planning Sheet'!BB469='Weeks Plan'!$G$6),'Planning Sheet'!$B469,"")</f>
        <v/>
      </c>
      <c r="Z1452" s="48" t="str">
        <f ca="1">IF(AND('Planning Sheet'!BH469='Weeks Plan'!$D$6,'Planning Sheet'!BB469='Weeks Plan'!$G$6),'Planning Sheet'!$BC469,"")</f>
        <v/>
      </c>
      <c r="AA1452" s="48" t="str">
        <f ca="1">IF(AND('Planning Sheet'!BH469='Weeks Plan'!$D$6,'Planning Sheet'!BB469='Weeks Plan'!$G$6),'Planning Sheet'!$BD469,"")</f>
        <v/>
      </c>
    </row>
    <row r="1453" spans="25:27" x14ac:dyDescent="0.3">
      <c r="Y1453" s="48" t="str">
        <f ca="1">IF(AND('Planning Sheet'!BH470='Weeks Plan'!$D$6,'Planning Sheet'!BB470='Weeks Plan'!$G$6),'Planning Sheet'!$B470,"")</f>
        <v/>
      </c>
      <c r="Z1453" s="48" t="str">
        <f ca="1">IF(AND('Planning Sheet'!BH470='Weeks Plan'!$D$6,'Planning Sheet'!BB470='Weeks Plan'!$G$6),'Planning Sheet'!$BC470,"")</f>
        <v/>
      </c>
      <c r="AA1453" s="48" t="str">
        <f ca="1">IF(AND('Planning Sheet'!BH470='Weeks Plan'!$D$6,'Planning Sheet'!BB470='Weeks Plan'!$G$6),'Planning Sheet'!$BD470,"")</f>
        <v/>
      </c>
    </row>
    <row r="1454" spans="25:27" x14ac:dyDescent="0.3">
      <c r="Y1454" s="48" t="str">
        <f ca="1">IF(AND('Planning Sheet'!BH471='Weeks Plan'!$D$6,'Planning Sheet'!BB471='Weeks Plan'!$G$6),'Planning Sheet'!$B471,"")</f>
        <v/>
      </c>
      <c r="Z1454" s="48" t="str">
        <f ca="1">IF(AND('Planning Sheet'!BH471='Weeks Plan'!$D$6,'Planning Sheet'!BB471='Weeks Plan'!$G$6),'Planning Sheet'!$BC471,"")</f>
        <v/>
      </c>
      <c r="AA1454" s="48" t="str">
        <f ca="1">IF(AND('Planning Sheet'!BH471='Weeks Plan'!$D$6,'Planning Sheet'!BB471='Weeks Plan'!$G$6),'Planning Sheet'!$BD471,"")</f>
        <v/>
      </c>
    </row>
    <row r="1455" spans="25:27" x14ac:dyDescent="0.3">
      <c r="Y1455" s="48" t="str">
        <f ca="1">IF(AND('Planning Sheet'!BH472='Weeks Plan'!$D$6,'Planning Sheet'!BB472='Weeks Plan'!$G$6),'Planning Sheet'!$B472,"")</f>
        <v/>
      </c>
      <c r="Z1455" s="48" t="str">
        <f ca="1">IF(AND('Planning Sheet'!BH472='Weeks Plan'!$D$6,'Planning Sheet'!BB472='Weeks Plan'!$G$6),'Planning Sheet'!$BC472,"")</f>
        <v/>
      </c>
      <c r="AA1455" s="48" t="str">
        <f ca="1">IF(AND('Planning Sheet'!BH472='Weeks Plan'!$D$6,'Planning Sheet'!BB472='Weeks Plan'!$G$6),'Planning Sheet'!$BD472,"")</f>
        <v/>
      </c>
    </row>
    <row r="1456" spans="25:27" x14ac:dyDescent="0.3">
      <c r="Y1456" s="48" t="str">
        <f ca="1">IF(AND('Planning Sheet'!BH473='Weeks Plan'!$D$6,'Planning Sheet'!BB473='Weeks Plan'!$G$6),'Planning Sheet'!$B473,"")</f>
        <v/>
      </c>
      <c r="Z1456" s="48" t="str">
        <f ca="1">IF(AND('Planning Sheet'!BH473='Weeks Plan'!$D$6,'Planning Sheet'!BB473='Weeks Plan'!$G$6),'Planning Sheet'!$BC473,"")</f>
        <v/>
      </c>
      <c r="AA1456" s="48" t="str">
        <f ca="1">IF(AND('Planning Sheet'!BH473='Weeks Plan'!$D$6,'Planning Sheet'!BB473='Weeks Plan'!$G$6),'Planning Sheet'!$BD473,"")</f>
        <v/>
      </c>
    </row>
    <row r="1457" spans="25:27" x14ac:dyDescent="0.3">
      <c r="Y1457" s="48" t="str">
        <f ca="1">IF(AND('Planning Sheet'!BH474='Weeks Plan'!$D$6,'Planning Sheet'!BB474='Weeks Plan'!$G$6),'Planning Sheet'!$B474,"")</f>
        <v/>
      </c>
      <c r="Z1457" s="48" t="str">
        <f ca="1">IF(AND('Planning Sheet'!BH474='Weeks Plan'!$D$6,'Planning Sheet'!BB474='Weeks Plan'!$G$6),'Planning Sheet'!$BC474,"")</f>
        <v/>
      </c>
      <c r="AA1457" s="48" t="str">
        <f ca="1">IF(AND('Planning Sheet'!BH474='Weeks Plan'!$D$6,'Planning Sheet'!BB474='Weeks Plan'!$G$6),'Planning Sheet'!$BD474,"")</f>
        <v/>
      </c>
    </row>
    <row r="1458" spans="25:27" x14ac:dyDescent="0.3">
      <c r="Y1458" s="48" t="str">
        <f ca="1">IF(AND('Planning Sheet'!BH475='Weeks Plan'!$D$6,'Planning Sheet'!BB475='Weeks Plan'!$G$6),'Planning Sheet'!$B475,"")</f>
        <v/>
      </c>
      <c r="Z1458" s="48" t="str">
        <f ca="1">IF(AND('Planning Sheet'!BH475='Weeks Plan'!$D$6,'Planning Sheet'!BB475='Weeks Plan'!$G$6),'Planning Sheet'!$BC475,"")</f>
        <v/>
      </c>
      <c r="AA1458" s="48" t="str">
        <f ca="1">IF(AND('Planning Sheet'!BH475='Weeks Plan'!$D$6,'Planning Sheet'!BB475='Weeks Plan'!$G$6),'Planning Sheet'!$BD475,"")</f>
        <v/>
      </c>
    </row>
    <row r="1459" spans="25:27" x14ac:dyDescent="0.3">
      <c r="Y1459" s="48" t="str">
        <f ca="1">IF(AND('Planning Sheet'!BH476='Weeks Plan'!$D$6,'Planning Sheet'!BB476='Weeks Plan'!$G$6),'Planning Sheet'!$B476,"")</f>
        <v/>
      </c>
      <c r="Z1459" s="48" t="str">
        <f ca="1">IF(AND('Planning Sheet'!BH476='Weeks Plan'!$D$6,'Planning Sheet'!BB476='Weeks Plan'!$G$6),'Planning Sheet'!$BC476,"")</f>
        <v/>
      </c>
      <c r="AA1459" s="48" t="str">
        <f ca="1">IF(AND('Planning Sheet'!BH476='Weeks Plan'!$D$6,'Planning Sheet'!BB476='Weeks Plan'!$G$6),'Planning Sheet'!$BD476,"")</f>
        <v/>
      </c>
    </row>
    <row r="1460" spans="25:27" x14ac:dyDescent="0.3">
      <c r="Y1460" s="48" t="str">
        <f ca="1">IF(AND('Planning Sheet'!BH477='Weeks Plan'!$D$6,'Planning Sheet'!BB477='Weeks Plan'!$G$6),'Planning Sheet'!$B477,"")</f>
        <v/>
      </c>
      <c r="Z1460" s="48" t="str">
        <f ca="1">IF(AND('Planning Sheet'!BH477='Weeks Plan'!$D$6,'Planning Sheet'!BB477='Weeks Plan'!$G$6),'Planning Sheet'!$BC477,"")</f>
        <v/>
      </c>
      <c r="AA1460" s="48" t="str">
        <f ca="1">IF(AND('Planning Sheet'!BH477='Weeks Plan'!$D$6,'Planning Sheet'!BB477='Weeks Plan'!$G$6),'Planning Sheet'!$BD477,"")</f>
        <v/>
      </c>
    </row>
    <row r="1461" spans="25:27" x14ac:dyDescent="0.3">
      <c r="Y1461" s="48" t="str">
        <f ca="1">IF(AND('Planning Sheet'!BH478='Weeks Plan'!$D$6,'Planning Sheet'!BB478='Weeks Plan'!$G$6),'Planning Sheet'!$B478,"")</f>
        <v/>
      </c>
      <c r="Z1461" s="48" t="str">
        <f ca="1">IF(AND('Planning Sheet'!BH478='Weeks Plan'!$D$6,'Planning Sheet'!BB478='Weeks Plan'!$G$6),'Planning Sheet'!$BC478,"")</f>
        <v/>
      </c>
      <c r="AA1461" s="48" t="str">
        <f ca="1">IF(AND('Planning Sheet'!BH478='Weeks Plan'!$D$6,'Planning Sheet'!BB478='Weeks Plan'!$G$6),'Planning Sheet'!$BD478,"")</f>
        <v/>
      </c>
    </row>
    <row r="1462" spans="25:27" x14ac:dyDescent="0.3">
      <c r="Y1462" s="48" t="str">
        <f ca="1">IF(AND('Planning Sheet'!BH479='Weeks Plan'!$D$6,'Planning Sheet'!BB479='Weeks Plan'!$G$6),'Planning Sheet'!$B479,"")</f>
        <v/>
      </c>
      <c r="Z1462" s="48" t="str">
        <f ca="1">IF(AND('Planning Sheet'!BH479='Weeks Plan'!$D$6,'Planning Sheet'!BB479='Weeks Plan'!$G$6),'Planning Sheet'!$BC479,"")</f>
        <v/>
      </c>
      <c r="AA1462" s="48" t="str">
        <f ca="1">IF(AND('Planning Sheet'!BH479='Weeks Plan'!$D$6,'Planning Sheet'!BB479='Weeks Plan'!$G$6),'Planning Sheet'!$BD479,"")</f>
        <v/>
      </c>
    </row>
    <row r="1463" spans="25:27" x14ac:dyDescent="0.3">
      <c r="Y1463" s="48" t="str">
        <f ca="1">IF(AND('Planning Sheet'!BH480='Weeks Plan'!$D$6,'Planning Sheet'!BB480='Weeks Plan'!$G$6),'Planning Sheet'!$B480,"")</f>
        <v/>
      </c>
      <c r="Z1463" s="48" t="str">
        <f ca="1">IF(AND('Planning Sheet'!BH480='Weeks Plan'!$D$6,'Planning Sheet'!BB480='Weeks Plan'!$G$6),'Planning Sheet'!$BC480,"")</f>
        <v/>
      </c>
      <c r="AA1463" s="48" t="str">
        <f ca="1">IF(AND('Planning Sheet'!BH480='Weeks Plan'!$D$6,'Planning Sheet'!BB480='Weeks Plan'!$G$6),'Planning Sheet'!$BD480,"")</f>
        <v/>
      </c>
    </row>
    <row r="1464" spans="25:27" x14ac:dyDescent="0.3">
      <c r="Y1464" s="48" t="str">
        <f ca="1">IF(AND('Planning Sheet'!BH481='Weeks Plan'!$D$6,'Planning Sheet'!BB481='Weeks Plan'!$G$6),'Planning Sheet'!$B481,"")</f>
        <v/>
      </c>
      <c r="Z1464" s="48" t="str">
        <f ca="1">IF(AND('Planning Sheet'!BH481='Weeks Plan'!$D$6,'Planning Sheet'!BB481='Weeks Plan'!$G$6),'Planning Sheet'!$BC481,"")</f>
        <v/>
      </c>
      <c r="AA1464" s="48" t="str">
        <f ca="1">IF(AND('Planning Sheet'!BH481='Weeks Plan'!$D$6,'Planning Sheet'!BB481='Weeks Plan'!$G$6),'Planning Sheet'!$BD481,"")</f>
        <v/>
      </c>
    </row>
    <row r="1465" spans="25:27" x14ac:dyDescent="0.3">
      <c r="Y1465" s="48" t="str">
        <f ca="1">IF(AND('Planning Sheet'!BH482='Weeks Plan'!$D$6,'Planning Sheet'!BB482='Weeks Plan'!$G$6),'Planning Sheet'!$B482,"")</f>
        <v/>
      </c>
      <c r="Z1465" s="48" t="str">
        <f ca="1">IF(AND('Planning Sheet'!BH482='Weeks Plan'!$D$6,'Planning Sheet'!BB482='Weeks Plan'!$G$6),'Planning Sheet'!$BC482,"")</f>
        <v/>
      </c>
      <c r="AA1465" s="48" t="str">
        <f ca="1">IF(AND('Planning Sheet'!BH482='Weeks Plan'!$D$6,'Planning Sheet'!BB482='Weeks Plan'!$G$6),'Planning Sheet'!$BD482,"")</f>
        <v/>
      </c>
    </row>
    <row r="1466" spans="25:27" x14ac:dyDescent="0.3">
      <c r="Y1466" s="48" t="str">
        <f ca="1">IF(AND('Planning Sheet'!BH483='Weeks Plan'!$D$6,'Planning Sheet'!BB483='Weeks Plan'!$G$6),'Planning Sheet'!$B483,"")</f>
        <v/>
      </c>
      <c r="Z1466" s="48" t="str">
        <f ca="1">IF(AND('Planning Sheet'!BH483='Weeks Plan'!$D$6,'Planning Sheet'!BB483='Weeks Plan'!$G$6),'Planning Sheet'!$BC483,"")</f>
        <v/>
      </c>
      <c r="AA1466" s="48" t="str">
        <f ca="1">IF(AND('Planning Sheet'!BH483='Weeks Plan'!$D$6,'Planning Sheet'!BB483='Weeks Plan'!$G$6),'Planning Sheet'!$BD483,"")</f>
        <v/>
      </c>
    </row>
    <row r="1467" spans="25:27" x14ac:dyDescent="0.3">
      <c r="Y1467" s="48" t="str">
        <f ca="1">IF(AND('Planning Sheet'!BH484='Weeks Plan'!$D$6,'Planning Sheet'!BB484='Weeks Plan'!$G$6),'Planning Sheet'!$B484,"")</f>
        <v/>
      </c>
      <c r="Z1467" s="48" t="str">
        <f ca="1">IF(AND('Planning Sheet'!BH484='Weeks Plan'!$D$6,'Planning Sheet'!BB484='Weeks Plan'!$G$6),'Planning Sheet'!$BC484,"")</f>
        <v/>
      </c>
      <c r="AA1467" s="48" t="str">
        <f ca="1">IF(AND('Planning Sheet'!BH484='Weeks Plan'!$D$6,'Planning Sheet'!BB484='Weeks Plan'!$G$6),'Planning Sheet'!$BD484,"")</f>
        <v/>
      </c>
    </row>
    <row r="1468" spans="25:27" x14ac:dyDescent="0.3">
      <c r="Y1468" s="48" t="str">
        <f ca="1">IF(AND('Planning Sheet'!BH485='Weeks Plan'!$D$6,'Planning Sheet'!BB485='Weeks Plan'!$G$6),'Planning Sheet'!$B485,"")</f>
        <v/>
      </c>
      <c r="Z1468" s="48" t="str">
        <f ca="1">IF(AND('Planning Sheet'!BH485='Weeks Plan'!$D$6,'Planning Sheet'!BB485='Weeks Plan'!$G$6),'Planning Sheet'!$BC485,"")</f>
        <v/>
      </c>
      <c r="AA1468" s="48" t="str">
        <f ca="1">IF(AND('Planning Sheet'!BH485='Weeks Plan'!$D$6,'Planning Sheet'!BB485='Weeks Plan'!$G$6),'Planning Sheet'!$BD485,"")</f>
        <v/>
      </c>
    </row>
    <row r="1469" spans="25:27" x14ac:dyDescent="0.3">
      <c r="Y1469" s="48" t="str">
        <f ca="1">IF(AND('Planning Sheet'!BH486='Weeks Plan'!$D$6,'Planning Sheet'!BB486='Weeks Plan'!$G$6),'Planning Sheet'!$B486,"")</f>
        <v/>
      </c>
      <c r="Z1469" s="48" t="str">
        <f ca="1">IF(AND('Planning Sheet'!BH486='Weeks Plan'!$D$6,'Planning Sheet'!BB486='Weeks Plan'!$G$6),'Planning Sheet'!$BC486,"")</f>
        <v/>
      </c>
      <c r="AA1469" s="48" t="str">
        <f ca="1">IF(AND('Planning Sheet'!BH486='Weeks Plan'!$D$6,'Planning Sheet'!BB486='Weeks Plan'!$G$6),'Planning Sheet'!$BD486,"")</f>
        <v/>
      </c>
    </row>
    <row r="1470" spans="25:27" x14ac:dyDescent="0.3">
      <c r="Y1470" s="48" t="str">
        <f ca="1">IF(AND('Planning Sheet'!BH487='Weeks Plan'!$D$6,'Planning Sheet'!BB487='Weeks Plan'!$G$6),'Planning Sheet'!$B487,"")</f>
        <v/>
      </c>
      <c r="Z1470" s="48" t="str">
        <f ca="1">IF(AND('Planning Sheet'!BH487='Weeks Plan'!$D$6,'Planning Sheet'!BB487='Weeks Plan'!$G$6),'Planning Sheet'!$BC487,"")</f>
        <v/>
      </c>
      <c r="AA1470" s="48" t="str">
        <f ca="1">IF(AND('Planning Sheet'!BH487='Weeks Plan'!$D$6,'Planning Sheet'!BB487='Weeks Plan'!$G$6),'Planning Sheet'!$BD487,"")</f>
        <v/>
      </c>
    </row>
    <row r="1471" spans="25:27" x14ac:dyDescent="0.3">
      <c r="Y1471" s="48" t="str">
        <f ca="1">IF(AND('Planning Sheet'!BH488='Weeks Plan'!$D$6,'Planning Sheet'!BB488='Weeks Plan'!$G$6),'Planning Sheet'!$B488,"")</f>
        <v/>
      </c>
      <c r="Z1471" s="48" t="str">
        <f ca="1">IF(AND('Planning Sheet'!BH488='Weeks Plan'!$D$6,'Planning Sheet'!BB488='Weeks Plan'!$G$6),'Planning Sheet'!$BC488,"")</f>
        <v/>
      </c>
      <c r="AA1471" s="48" t="str">
        <f ca="1">IF(AND('Planning Sheet'!BH488='Weeks Plan'!$D$6,'Planning Sheet'!BB488='Weeks Plan'!$G$6),'Planning Sheet'!$BD488,"")</f>
        <v/>
      </c>
    </row>
    <row r="1472" spans="25:27" x14ac:dyDescent="0.3">
      <c r="Y1472" s="48" t="str">
        <f ca="1">IF(AND('Planning Sheet'!BH489='Weeks Plan'!$D$6,'Planning Sheet'!BB489='Weeks Plan'!$G$6),'Planning Sheet'!$B489,"")</f>
        <v/>
      </c>
      <c r="Z1472" s="48" t="str">
        <f ca="1">IF(AND('Planning Sheet'!BH489='Weeks Plan'!$D$6,'Planning Sheet'!BB489='Weeks Plan'!$G$6),'Planning Sheet'!$BC489,"")</f>
        <v/>
      </c>
      <c r="AA1472" s="48" t="str">
        <f ca="1">IF(AND('Planning Sheet'!BH489='Weeks Plan'!$D$6,'Planning Sheet'!BB489='Weeks Plan'!$G$6),'Planning Sheet'!$BD489,"")</f>
        <v/>
      </c>
    </row>
    <row r="1473" spans="25:27" x14ac:dyDescent="0.3">
      <c r="Y1473" s="48" t="str">
        <f ca="1">IF(AND('Planning Sheet'!BH490='Weeks Plan'!$D$6,'Planning Sheet'!BB490='Weeks Plan'!$G$6),'Planning Sheet'!$B490,"")</f>
        <v/>
      </c>
      <c r="Z1473" s="48" t="str">
        <f ca="1">IF(AND('Planning Sheet'!BH490='Weeks Plan'!$D$6,'Planning Sheet'!BB490='Weeks Plan'!$G$6),'Planning Sheet'!$BC490,"")</f>
        <v/>
      </c>
      <c r="AA1473" s="48" t="str">
        <f ca="1">IF(AND('Planning Sheet'!BH490='Weeks Plan'!$D$6,'Planning Sheet'!BB490='Weeks Plan'!$G$6),'Planning Sheet'!$BD490,"")</f>
        <v/>
      </c>
    </row>
    <row r="1474" spans="25:27" x14ac:dyDescent="0.3">
      <c r="Y1474" s="48" t="str">
        <f ca="1">IF(AND('Planning Sheet'!BH491='Weeks Plan'!$D$6,'Planning Sheet'!BB491='Weeks Plan'!$G$6),'Planning Sheet'!$B491,"")</f>
        <v/>
      </c>
      <c r="Z1474" s="48" t="str">
        <f ca="1">IF(AND('Planning Sheet'!BH491='Weeks Plan'!$D$6,'Planning Sheet'!BB491='Weeks Plan'!$G$6),'Planning Sheet'!$BC491,"")</f>
        <v/>
      </c>
      <c r="AA1474" s="48" t="str">
        <f ca="1">IF(AND('Planning Sheet'!BH491='Weeks Plan'!$D$6,'Planning Sheet'!BB491='Weeks Plan'!$G$6),'Planning Sheet'!$BD491,"")</f>
        <v/>
      </c>
    </row>
    <row r="1475" spans="25:27" x14ac:dyDescent="0.3">
      <c r="Y1475" s="48" t="str">
        <f ca="1">IF(AND('Planning Sheet'!BH492='Weeks Plan'!$D$6,'Planning Sheet'!BB492='Weeks Plan'!$G$6),'Planning Sheet'!$B492,"")</f>
        <v/>
      </c>
      <c r="Z1475" s="48" t="str">
        <f ca="1">IF(AND('Planning Sheet'!BH492='Weeks Plan'!$D$6,'Planning Sheet'!BB492='Weeks Plan'!$G$6),'Planning Sheet'!$BC492,"")</f>
        <v/>
      </c>
      <c r="AA1475" s="48" t="str">
        <f ca="1">IF(AND('Planning Sheet'!BH492='Weeks Plan'!$D$6,'Planning Sheet'!BB492='Weeks Plan'!$G$6),'Planning Sheet'!$BD492,"")</f>
        <v/>
      </c>
    </row>
    <row r="1476" spans="25:27" x14ac:dyDescent="0.3">
      <c r="Y1476" s="48" t="str">
        <f ca="1">IF(AND('Planning Sheet'!BH493='Weeks Plan'!$D$6,'Planning Sheet'!BB493='Weeks Plan'!$G$6),'Planning Sheet'!$B493,"")</f>
        <v/>
      </c>
      <c r="Z1476" s="48" t="str">
        <f ca="1">IF(AND('Planning Sheet'!BH493='Weeks Plan'!$D$6,'Planning Sheet'!BB493='Weeks Plan'!$G$6),'Planning Sheet'!$BC493,"")</f>
        <v/>
      </c>
      <c r="AA1476" s="48" t="str">
        <f ca="1">IF(AND('Planning Sheet'!BH493='Weeks Plan'!$D$6,'Planning Sheet'!BB493='Weeks Plan'!$G$6),'Planning Sheet'!$BD493,"")</f>
        <v/>
      </c>
    </row>
    <row r="1477" spans="25:27" x14ac:dyDescent="0.3">
      <c r="Y1477" s="48" t="str">
        <f ca="1">IF(AND('Planning Sheet'!BH494='Weeks Plan'!$D$6,'Planning Sheet'!BB494='Weeks Plan'!$G$6),'Planning Sheet'!$B494,"")</f>
        <v/>
      </c>
      <c r="Z1477" s="48" t="str">
        <f ca="1">IF(AND('Planning Sheet'!BH494='Weeks Plan'!$D$6,'Planning Sheet'!BB494='Weeks Plan'!$G$6),'Planning Sheet'!$BC494,"")</f>
        <v/>
      </c>
      <c r="AA1477" s="48" t="str">
        <f ca="1">IF(AND('Planning Sheet'!BH494='Weeks Plan'!$D$6,'Planning Sheet'!BB494='Weeks Plan'!$G$6),'Planning Sheet'!$BD494,"")</f>
        <v/>
      </c>
    </row>
    <row r="1478" spans="25:27" x14ac:dyDescent="0.3">
      <c r="Y1478" s="48" t="str">
        <f ca="1">IF(AND('Planning Sheet'!BH495='Weeks Plan'!$D$6,'Planning Sheet'!BB495='Weeks Plan'!$G$6),'Planning Sheet'!$B495,"")</f>
        <v/>
      </c>
      <c r="Z1478" s="48" t="str">
        <f ca="1">IF(AND('Planning Sheet'!BH495='Weeks Plan'!$D$6,'Planning Sheet'!BB495='Weeks Plan'!$G$6),'Planning Sheet'!$BC495,"")</f>
        <v/>
      </c>
      <c r="AA1478" s="48" t="str">
        <f ca="1">IF(AND('Planning Sheet'!BH495='Weeks Plan'!$D$6,'Planning Sheet'!BB495='Weeks Plan'!$G$6),'Planning Sheet'!$BD495,"")</f>
        <v/>
      </c>
    </row>
    <row r="1479" spans="25:27" x14ac:dyDescent="0.3">
      <c r="Y1479" s="48" t="str">
        <f ca="1">IF(AND('Planning Sheet'!BH496='Weeks Plan'!$D$6,'Planning Sheet'!BB496='Weeks Plan'!$G$6),'Planning Sheet'!$B496,"")</f>
        <v/>
      </c>
      <c r="Z1479" s="48" t="str">
        <f ca="1">IF(AND('Planning Sheet'!BH496='Weeks Plan'!$D$6,'Planning Sheet'!BB496='Weeks Plan'!$G$6),'Planning Sheet'!$BC496,"")</f>
        <v/>
      </c>
      <c r="AA1479" s="48" t="str">
        <f ca="1">IF(AND('Planning Sheet'!BH496='Weeks Plan'!$D$6,'Planning Sheet'!BB496='Weeks Plan'!$G$6),'Planning Sheet'!$BD496,"")</f>
        <v/>
      </c>
    </row>
    <row r="1480" spans="25:27" x14ac:dyDescent="0.3">
      <c r="Y1480" s="48" t="str">
        <f ca="1">IF(AND('Planning Sheet'!BH497='Weeks Plan'!$D$6,'Planning Sheet'!BB497='Weeks Plan'!$G$6),'Planning Sheet'!$B497,"")</f>
        <v/>
      </c>
      <c r="Z1480" s="48" t="str">
        <f ca="1">IF(AND('Planning Sheet'!BH497='Weeks Plan'!$D$6,'Planning Sheet'!BB497='Weeks Plan'!$G$6),'Planning Sheet'!$BC497,"")</f>
        <v/>
      </c>
      <c r="AA1480" s="48" t="str">
        <f ca="1">IF(AND('Planning Sheet'!BH497='Weeks Plan'!$D$6,'Planning Sheet'!BB497='Weeks Plan'!$G$6),'Planning Sheet'!$BD497,"")</f>
        <v/>
      </c>
    </row>
    <row r="1481" spans="25:27" x14ac:dyDescent="0.3">
      <c r="Y1481" s="48" t="str">
        <f ca="1">IF(AND('Planning Sheet'!BH498='Weeks Plan'!$D$6,'Planning Sheet'!BB498='Weeks Plan'!$G$6),'Planning Sheet'!$B498,"")</f>
        <v/>
      </c>
      <c r="Z1481" s="48" t="str">
        <f ca="1">IF(AND('Planning Sheet'!BH498='Weeks Plan'!$D$6,'Planning Sheet'!BB498='Weeks Plan'!$G$6),'Planning Sheet'!$BC498,"")</f>
        <v/>
      </c>
      <c r="AA1481" s="48" t="str">
        <f ca="1">IF(AND('Planning Sheet'!BH498='Weeks Plan'!$D$6,'Planning Sheet'!BB498='Weeks Plan'!$G$6),'Planning Sheet'!$BD498,"")</f>
        <v/>
      </c>
    </row>
    <row r="1482" spans="25:27" x14ac:dyDescent="0.3">
      <c r="Y1482" s="48" t="str">
        <f ca="1">IF(AND('Planning Sheet'!BH499='Weeks Plan'!$D$6,'Planning Sheet'!BB499='Weeks Plan'!$G$6),'Planning Sheet'!$B499,"")</f>
        <v/>
      </c>
      <c r="Z1482" s="48" t="str">
        <f ca="1">IF(AND('Planning Sheet'!BH499='Weeks Plan'!$D$6,'Planning Sheet'!BB499='Weeks Plan'!$G$6),'Planning Sheet'!$BC499,"")</f>
        <v/>
      </c>
      <c r="AA1482" s="48" t="str">
        <f ca="1">IF(AND('Planning Sheet'!BH499='Weeks Plan'!$D$6,'Planning Sheet'!BB499='Weeks Plan'!$G$6),'Planning Sheet'!$BD499,"")</f>
        <v/>
      </c>
    </row>
    <row r="1483" spans="25:27" x14ac:dyDescent="0.3">
      <c r="Y1483" s="48" t="str">
        <f ca="1">IF(AND('Planning Sheet'!BH500='Weeks Plan'!$D$6,'Planning Sheet'!BB500='Weeks Plan'!$G$6),'Planning Sheet'!$B500,"")</f>
        <v/>
      </c>
      <c r="Z1483" s="48" t="str">
        <f ca="1">IF(AND('Planning Sheet'!BH500='Weeks Plan'!$D$6,'Planning Sheet'!BB500='Weeks Plan'!$G$6),'Planning Sheet'!$BC500,"")</f>
        <v/>
      </c>
      <c r="AA1483" s="48" t="str">
        <f ca="1">IF(AND('Planning Sheet'!BH500='Weeks Plan'!$D$6,'Planning Sheet'!BB500='Weeks Plan'!$G$6),'Planning Sheet'!$BD500,"")</f>
        <v/>
      </c>
    </row>
    <row r="1484" spans="25:27" x14ac:dyDescent="0.3">
      <c r="AA1484" s="8"/>
    </row>
    <row r="1485" spans="25:27" x14ac:dyDescent="0.3">
      <c r="Y1485" s="47" t="str">
        <f ca="1">IF(AND('Planning Sheet'!BO8='Weeks Plan'!$D$6,'Planning Sheet'!BI8='Weeks Plan'!$G$6),'Planning Sheet'!$B8,"")</f>
        <v/>
      </c>
      <c r="Z1485" s="47" t="str">
        <f ca="1">IF(AND('Planning Sheet'!BO8='Weeks Plan'!$D$6,'Planning Sheet'!BI8='Weeks Plan'!$G$6),'Planning Sheet'!$BJ8,"")</f>
        <v/>
      </c>
      <c r="AA1485" s="47" t="str">
        <f ca="1">IF(AND('Planning Sheet'!BO8='Weeks Plan'!$D$6,'Planning Sheet'!BI8='Weeks Plan'!$G$6),'Planning Sheet'!$BK8,"")</f>
        <v/>
      </c>
    </row>
    <row r="1486" spans="25:27" x14ac:dyDescent="0.3">
      <c r="Y1486" s="48" t="str">
        <f ca="1">IF(AND('Planning Sheet'!BO9='Weeks Plan'!$D$6,'Planning Sheet'!BI9='Weeks Plan'!$G$6),'Planning Sheet'!$B9,"")</f>
        <v/>
      </c>
      <c r="Z1486" s="48" t="str">
        <f ca="1">IF(AND('Planning Sheet'!BO9='Weeks Plan'!$D$6,'Planning Sheet'!BI9='Weeks Plan'!$G$6),'Planning Sheet'!$BJ9,"")</f>
        <v/>
      </c>
      <c r="AA1486" s="48" t="str">
        <f ca="1">IF(AND('Planning Sheet'!BO9='Weeks Plan'!$D$6,'Planning Sheet'!BI9='Weeks Plan'!$G$6),'Planning Sheet'!$BK9,"")</f>
        <v/>
      </c>
    </row>
    <row r="1487" spans="25:27" x14ac:dyDescent="0.3">
      <c r="Y1487" s="48" t="str">
        <f ca="1">IF(AND('Planning Sheet'!BO10='Weeks Plan'!$D$6,'Planning Sheet'!BI10='Weeks Plan'!$G$6),'Planning Sheet'!$B10,"")</f>
        <v/>
      </c>
      <c r="Z1487" s="48" t="str">
        <f ca="1">IF(AND('Planning Sheet'!BO10='Weeks Plan'!$D$6,'Planning Sheet'!BI10='Weeks Plan'!$G$6),'Planning Sheet'!$BJ10,"")</f>
        <v/>
      </c>
      <c r="AA1487" s="48" t="str">
        <f ca="1">IF(AND('Planning Sheet'!BO10='Weeks Plan'!$D$6,'Planning Sheet'!BI10='Weeks Plan'!$G$6),'Planning Sheet'!$BK10,"")</f>
        <v/>
      </c>
    </row>
    <row r="1488" spans="25:27" x14ac:dyDescent="0.3">
      <c r="Y1488" s="48" t="str">
        <f ca="1">IF(AND('Planning Sheet'!BO11='Weeks Plan'!$D$6,'Planning Sheet'!BI11='Weeks Plan'!$G$6),'Planning Sheet'!$B11,"")</f>
        <v/>
      </c>
      <c r="Z1488" s="48" t="str">
        <f ca="1">IF(AND('Planning Sheet'!BO11='Weeks Plan'!$D$6,'Planning Sheet'!BI11='Weeks Plan'!$G$6),'Planning Sheet'!$BJ11,"")</f>
        <v/>
      </c>
      <c r="AA1488" s="48" t="str">
        <f ca="1">IF(AND('Planning Sheet'!BO11='Weeks Plan'!$D$6,'Planning Sheet'!BI11='Weeks Plan'!$G$6),'Planning Sheet'!$BK11,"")</f>
        <v/>
      </c>
    </row>
    <row r="1489" spans="25:27" x14ac:dyDescent="0.3">
      <c r="Y1489" s="48" t="str">
        <f ca="1">IF(AND('Planning Sheet'!BO12='Weeks Plan'!$D$6,'Planning Sheet'!BI12='Weeks Plan'!$G$6),'Planning Sheet'!$B12,"")</f>
        <v/>
      </c>
      <c r="Z1489" s="48" t="str">
        <f ca="1">IF(AND('Planning Sheet'!BO12='Weeks Plan'!$D$6,'Planning Sheet'!BI12='Weeks Plan'!$G$6),'Planning Sheet'!$BJ12,"")</f>
        <v/>
      </c>
      <c r="AA1489" s="48" t="str">
        <f ca="1">IF(AND('Planning Sheet'!BO12='Weeks Plan'!$D$6,'Planning Sheet'!BI12='Weeks Plan'!$G$6),'Planning Sheet'!$BK12,"")</f>
        <v/>
      </c>
    </row>
    <row r="1490" spans="25:27" x14ac:dyDescent="0.3">
      <c r="Y1490" s="48" t="str">
        <f ca="1">IF(AND('Planning Sheet'!BO13='Weeks Plan'!$D$6,'Planning Sheet'!BI13='Weeks Plan'!$G$6),'Planning Sheet'!$B13,"")</f>
        <v/>
      </c>
      <c r="Z1490" s="48" t="str">
        <f ca="1">IF(AND('Planning Sheet'!BO13='Weeks Plan'!$D$6,'Planning Sheet'!BI13='Weeks Plan'!$G$6),'Planning Sheet'!$BJ13,"")</f>
        <v/>
      </c>
      <c r="AA1490" s="48" t="str">
        <f ca="1">IF(AND('Planning Sheet'!BO13='Weeks Plan'!$D$6,'Planning Sheet'!BI13='Weeks Plan'!$G$6),'Planning Sheet'!$BK13,"")</f>
        <v/>
      </c>
    </row>
    <row r="1491" spans="25:27" x14ac:dyDescent="0.3">
      <c r="Y1491" s="48" t="str">
        <f ca="1">IF(AND('Planning Sheet'!BO14='Weeks Plan'!$D$6,'Planning Sheet'!BI14='Weeks Plan'!$G$6),'Planning Sheet'!$B14,"")</f>
        <v/>
      </c>
      <c r="Z1491" s="48" t="str">
        <f ca="1">IF(AND('Planning Sheet'!BO14='Weeks Plan'!$D$6,'Planning Sheet'!BI14='Weeks Plan'!$G$6),'Planning Sheet'!$BJ14,"")</f>
        <v/>
      </c>
      <c r="AA1491" s="48" t="str">
        <f ca="1">IF(AND('Planning Sheet'!BO14='Weeks Plan'!$D$6,'Planning Sheet'!BI14='Weeks Plan'!$G$6),'Planning Sheet'!$BK14,"")</f>
        <v/>
      </c>
    </row>
    <row r="1492" spans="25:27" x14ac:dyDescent="0.3">
      <c r="Y1492" s="48" t="str">
        <f ca="1">IF(AND('Planning Sheet'!BO15='Weeks Plan'!$D$6,'Planning Sheet'!BI15='Weeks Plan'!$G$6),'Planning Sheet'!$B15,"")</f>
        <v/>
      </c>
      <c r="Z1492" s="48" t="str">
        <f ca="1">IF(AND('Planning Sheet'!BO15='Weeks Plan'!$D$6,'Planning Sheet'!BI15='Weeks Plan'!$G$6),'Planning Sheet'!$BJ15,"")</f>
        <v/>
      </c>
      <c r="AA1492" s="48" t="str">
        <f ca="1">IF(AND('Planning Sheet'!BO15='Weeks Plan'!$D$6,'Planning Sheet'!BI15='Weeks Plan'!$G$6),'Planning Sheet'!$BK15,"")</f>
        <v/>
      </c>
    </row>
    <row r="1493" spans="25:27" x14ac:dyDescent="0.3">
      <c r="Y1493" s="48" t="str">
        <f ca="1">IF(AND('Planning Sheet'!BO16='Weeks Plan'!$D$6,'Planning Sheet'!BI16='Weeks Plan'!$G$6),'Planning Sheet'!$B16,"")</f>
        <v/>
      </c>
      <c r="Z1493" s="48" t="str">
        <f ca="1">IF(AND('Planning Sheet'!BO16='Weeks Plan'!$D$6,'Planning Sheet'!BI16='Weeks Plan'!$G$6),'Planning Sheet'!$BJ16,"")</f>
        <v/>
      </c>
      <c r="AA1493" s="48" t="str">
        <f ca="1">IF(AND('Planning Sheet'!BO16='Weeks Plan'!$D$6,'Planning Sheet'!BI16='Weeks Plan'!$G$6),'Planning Sheet'!$BK16,"")</f>
        <v/>
      </c>
    </row>
    <row r="1494" spans="25:27" x14ac:dyDescent="0.3">
      <c r="Y1494" s="48" t="str">
        <f ca="1">IF(AND('Planning Sheet'!BO17='Weeks Plan'!$D$6,'Planning Sheet'!BI17='Weeks Plan'!$G$6),'Planning Sheet'!$B17,"")</f>
        <v/>
      </c>
      <c r="Z1494" s="48" t="str">
        <f ca="1">IF(AND('Planning Sheet'!BO17='Weeks Plan'!$D$6,'Planning Sheet'!BI17='Weeks Plan'!$G$6),'Planning Sheet'!$BJ17,"")</f>
        <v/>
      </c>
      <c r="AA1494" s="48" t="str">
        <f ca="1">IF(AND('Planning Sheet'!BO17='Weeks Plan'!$D$6,'Planning Sheet'!BI17='Weeks Plan'!$G$6),'Planning Sheet'!$BK17,"")</f>
        <v/>
      </c>
    </row>
    <row r="1495" spans="25:27" x14ac:dyDescent="0.3">
      <c r="Y1495" s="48" t="str">
        <f ca="1">IF(AND('Planning Sheet'!BO18='Weeks Plan'!$D$6,'Planning Sheet'!BI18='Weeks Plan'!$G$6),'Planning Sheet'!$B18,"")</f>
        <v/>
      </c>
      <c r="Z1495" s="48" t="str">
        <f ca="1">IF(AND('Planning Sheet'!BO18='Weeks Plan'!$D$6,'Planning Sheet'!BI18='Weeks Plan'!$G$6),'Planning Sheet'!$BJ18,"")</f>
        <v/>
      </c>
      <c r="AA1495" s="48" t="str">
        <f ca="1">IF(AND('Planning Sheet'!BO18='Weeks Plan'!$D$6,'Planning Sheet'!BI18='Weeks Plan'!$G$6),'Planning Sheet'!$BK18,"")</f>
        <v/>
      </c>
    </row>
    <row r="1496" spans="25:27" x14ac:dyDescent="0.3">
      <c r="Y1496" s="48" t="str">
        <f ca="1">IF(AND('Planning Sheet'!BO19='Weeks Plan'!$D$6,'Planning Sheet'!BI19='Weeks Plan'!$G$6),'Planning Sheet'!$B19,"")</f>
        <v/>
      </c>
      <c r="Z1496" s="48" t="str">
        <f ca="1">IF(AND('Planning Sheet'!BO19='Weeks Plan'!$D$6,'Planning Sheet'!BI19='Weeks Plan'!$G$6),'Planning Sheet'!$BJ19,"")</f>
        <v/>
      </c>
      <c r="AA1496" s="48" t="str">
        <f ca="1">IF(AND('Planning Sheet'!BO19='Weeks Plan'!$D$6,'Planning Sheet'!BI19='Weeks Plan'!$G$6),'Planning Sheet'!$BK19,"")</f>
        <v/>
      </c>
    </row>
    <row r="1497" spans="25:27" x14ac:dyDescent="0.3">
      <c r="Y1497" s="48" t="str">
        <f ca="1">IF(AND('Planning Sheet'!BO20='Weeks Plan'!$D$6,'Planning Sheet'!BI20='Weeks Plan'!$G$6),'Planning Sheet'!$B20,"")</f>
        <v/>
      </c>
      <c r="Z1497" s="48" t="str">
        <f ca="1">IF(AND('Planning Sheet'!BO20='Weeks Plan'!$D$6,'Planning Sheet'!BI20='Weeks Plan'!$G$6),'Planning Sheet'!$BJ20,"")</f>
        <v/>
      </c>
      <c r="AA1497" s="48" t="str">
        <f ca="1">IF(AND('Planning Sheet'!BO20='Weeks Plan'!$D$6,'Planning Sheet'!BI20='Weeks Plan'!$G$6),'Planning Sheet'!$BK20,"")</f>
        <v/>
      </c>
    </row>
    <row r="1498" spans="25:27" x14ac:dyDescent="0.3">
      <c r="Y1498" s="48" t="str">
        <f ca="1">IF(AND('Planning Sheet'!BO21='Weeks Plan'!$D$6,'Planning Sheet'!BI21='Weeks Plan'!$G$6),'Planning Sheet'!$B21,"")</f>
        <v/>
      </c>
      <c r="Z1498" s="48" t="str">
        <f ca="1">IF(AND('Planning Sheet'!BO21='Weeks Plan'!$D$6,'Planning Sheet'!BI21='Weeks Plan'!$G$6),'Planning Sheet'!$BJ21,"")</f>
        <v/>
      </c>
      <c r="AA1498" s="48" t="str">
        <f ca="1">IF(AND('Planning Sheet'!BO21='Weeks Plan'!$D$6,'Planning Sheet'!BI21='Weeks Plan'!$G$6),'Planning Sheet'!$BK21,"")</f>
        <v/>
      </c>
    </row>
    <row r="1499" spans="25:27" x14ac:dyDescent="0.3">
      <c r="Y1499" s="48" t="str">
        <f ca="1">IF(AND('Planning Sheet'!BO22='Weeks Plan'!$D$6,'Planning Sheet'!BI22='Weeks Plan'!$G$6),'Planning Sheet'!$B22,"")</f>
        <v/>
      </c>
      <c r="Z1499" s="48" t="str">
        <f ca="1">IF(AND('Planning Sheet'!BO22='Weeks Plan'!$D$6,'Planning Sheet'!BI22='Weeks Plan'!$G$6),'Planning Sheet'!$BJ22,"")</f>
        <v/>
      </c>
      <c r="AA1499" s="48" t="str">
        <f ca="1">IF(AND('Planning Sheet'!BO22='Weeks Plan'!$D$6,'Planning Sheet'!BI22='Weeks Plan'!$G$6),'Planning Sheet'!$BK22,"")</f>
        <v/>
      </c>
    </row>
    <row r="1500" spans="25:27" x14ac:dyDescent="0.3">
      <c r="Y1500" s="48" t="str">
        <f ca="1">IF(AND('Planning Sheet'!BO23='Weeks Plan'!$D$6,'Planning Sheet'!BI23='Weeks Plan'!$G$6),'Planning Sheet'!$B23,"")</f>
        <v/>
      </c>
      <c r="Z1500" s="48" t="str">
        <f ca="1">IF(AND('Planning Sheet'!BO23='Weeks Plan'!$D$6,'Planning Sheet'!BI23='Weeks Plan'!$G$6),'Planning Sheet'!$BJ23,"")</f>
        <v/>
      </c>
      <c r="AA1500" s="48" t="str">
        <f ca="1">IF(AND('Planning Sheet'!BO23='Weeks Plan'!$D$6,'Planning Sheet'!BI23='Weeks Plan'!$G$6),'Planning Sheet'!$BK23,"")</f>
        <v/>
      </c>
    </row>
    <row r="1501" spans="25:27" x14ac:dyDescent="0.3">
      <c r="Y1501" s="48" t="str">
        <f ca="1">IF(AND('Planning Sheet'!BO24='Weeks Plan'!$D$6,'Planning Sheet'!BI24='Weeks Plan'!$G$6),'Planning Sheet'!$B24,"")</f>
        <v/>
      </c>
      <c r="Z1501" s="48" t="str">
        <f ca="1">IF(AND('Planning Sheet'!BO24='Weeks Plan'!$D$6,'Planning Sheet'!BI24='Weeks Plan'!$G$6),'Planning Sheet'!$BJ24,"")</f>
        <v/>
      </c>
      <c r="AA1501" s="48" t="str">
        <f ca="1">IF(AND('Planning Sheet'!BO24='Weeks Plan'!$D$6,'Planning Sheet'!BI24='Weeks Plan'!$G$6),'Planning Sheet'!$BK24,"")</f>
        <v/>
      </c>
    </row>
    <row r="1502" spans="25:27" x14ac:dyDescent="0.3">
      <c r="Y1502" s="48" t="str">
        <f ca="1">IF(AND('Planning Sheet'!BO25='Weeks Plan'!$D$6,'Planning Sheet'!BI25='Weeks Plan'!$G$6),'Planning Sheet'!$B25,"")</f>
        <v/>
      </c>
      <c r="Z1502" s="48" t="str">
        <f ca="1">IF(AND('Planning Sheet'!BO25='Weeks Plan'!$D$6,'Planning Sheet'!BI25='Weeks Plan'!$G$6),'Planning Sheet'!$BJ25,"")</f>
        <v/>
      </c>
      <c r="AA1502" s="48" t="str">
        <f ca="1">IF(AND('Planning Sheet'!BO25='Weeks Plan'!$D$6,'Planning Sheet'!BI25='Weeks Plan'!$G$6),'Planning Sheet'!$BK25,"")</f>
        <v/>
      </c>
    </row>
    <row r="1503" spans="25:27" x14ac:dyDescent="0.3">
      <c r="Y1503" s="48" t="str">
        <f ca="1">IF(AND('Planning Sheet'!BO26='Weeks Plan'!$D$6,'Planning Sheet'!BI26='Weeks Plan'!$G$6),'Planning Sheet'!$B26,"")</f>
        <v/>
      </c>
      <c r="Z1503" s="48" t="str">
        <f ca="1">IF(AND('Planning Sheet'!BO26='Weeks Plan'!$D$6,'Planning Sheet'!BI26='Weeks Plan'!$G$6),'Planning Sheet'!$BJ26,"")</f>
        <v/>
      </c>
      <c r="AA1503" s="48" t="str">
        <f ca="1">IF(AND('Planning Sheet'!BO26='Weeks Plan'!$D$6,'Planning Sheet'!BI26='Weeks Plan'!$G$6),'Planning Sheet'!$BK26,"")</f>
        <v/>
      </c>
    </row>
    <row r="1504" spans="25:27" x14ac:dyDescent="0.3">
      <c r="Y1504" s="48" t="str">
        <f ca="1">IF(AND('Planning Sheet'!BO27='Weeks Plan'!$D$6,'Planning Sheet'!BI27='Weeks Plan'!$G$6),'Planning Sheet'!$B27,"")</f>
        <v/>
      </c>
      <c r="Z1504" s="48" t="str">
        <f ca="1">IF(AND('Planning Sheet'!BO27='Weeks Plan'!$D$6,'Planning Sheet'!BI27='Weeks Plan'!$G$6),'Planning Sheet'!$BJ27,"")</f>
        <v/>
      </c>
      <c r="AA1504" s="48" t="str">
        <f ca="1">IF(AND('Planning Sheet'!BO27='Weeks Plan'!$D$6,'Planning Sheet'!BI27='Weeks Plan'!$G$6),'Planning Sheet'!$BK27,"")</f>
        <v/>
      </c>
    </row>
    <row r="1505" spans="25:27" x14ac:dyDescent="0.3">
      <c r="Y1505" s="48" t="str">
        <f ca="1">IF(AND('Planning Sheet'!BO28='Weeks Plan'!$D$6,'Planning Sheet'!BI28='Weeks Plan'!$G$6),'Planning Sheet'!$B28,"")</f>
        <v/>
      </c>
      <c r="Z1505" s="48" t="str">
        <f ca="1">IF(AND('Planning Sheet'!BO28='Weeks Plan'!$D$6,'Planning Sheet'!BI28='Weeks Plan'!$G$6),'Planning Sheet'!$BJ28,"")</f>
        <v/>
      </c>
      <c r="AA1505" s="48" t="str">
        <f ca="1">IF(AND('Planning Sheet'!BO28='Weeks Plan'!$D$6,'Planning Sheet'!BI28='Weeks Plan'!$G$6),'Planning Sheet'!$BK28,"")</f>
        <v/>
      </c>
    </row>
    <row r="1506" spans="25:27" x14ac:dyDescent="0.3">
      <c r="Y1506" s="48" t="str">
        <f ca="1">IF(AND('Planning Sheet'!BO29='Weeks Plan'!$D$6,'Planning Sheet'!BI29='Weeks Plan'!$G$6),'Planning Sheet'!$B29,"")</f>
        <v/>
      </c>
      <c r="Z1506" s="48" t="str">
        <f ca="1">IF(AND('Planning Sheet'!BO29='Weeks Plan'!$D$6,'Planning Sheet'!BI29='Weeks Plan'!$G$6),'Planning Sheet'!$BJ29,"")</f>
        <v/>
      </c>
      <c r="AA1506" s="48" t="str">
        <f ca="1">IF(AND('Planning Sheet'!BO29='Weeks Plan'!$D$6,'Planning Sheet'!BI29='Weeks Plan'!$G$6),'Planning Sheet'!$BK29,"")</f>
        <v/>
      </c>
    </row>
    <row r="1507" spans="25:27" x14ac:dyDescent="0.3">
      <c r="Y1507" s="48" t="str">
        <f ca="1">IF(AND('Planning Sheet'!BO30='Weeks Plan'!$D$6,'Planning Sheet'!BI30='Weeks Plan'!$G$6),'Planning Sheet'!$B30,"")</f>
        <v/>
      </c>
      <c r="Z1507" s="48" t="str">
        <f ca="1">IF(AND('Planning Sheet'!BO30='Weeks Plan'!$D$6,'Planning Sheet'!BI30='Weeks Plan'!$G$6),'Planning Sheet'!$BJ30,"")</f>
        <v/>
      </c>
      <c r="AA1507" s="48" t="str">
        <f ca="1">IF(AND('Planning Sheet'!BO30='Weeks Plan'!$D$6,'Planning Sheet'!BI30='Weeks Plan'!$G$6),'Planning Sheet'!$BK30,"")</f>
        <v/>
      </c>
    </row>
    <row r="1508" spans="25:27" x14ac:dyDescent="0.3">
      <c r="Y1508" s="48" t="str">
        <f ca="1">IF(AND('Planning Sheet'!BO31='Weeks Plan'!$D$6,'Planning Sheet'!BI31='Weeks Plan'!$G$6),'Planning Sheet'!$B31,"")</f>
        <v/>
      </c>
      <c r="Z1508" s="48" t="str">
        <f ca="1">IF(AND('Planning Sheet'!BO31='Weeks Plan'!$D$6,'Planning Sheet'!BI31='Weeks Plan'!$G$6),'Planning Sheet'!$BJ31,"")</f>
        <v/>
      </c>
      <c r="AA1508" s="48" t="str">
        <f ca="1">IF(AND('Planning Sheet'!BO31='Weeks Plan'!$D$6,'Planning Sheet'!BI31='Weeks Plan'!$G$6),'Planning Sheet'!$BK31,"")</f>
        <v/>
      </c>
    </row>
    <row r="1509" spans="25:27" x14ac:dyDescent="0.3">
      <c r="Y1509" s="48" t="str">
        <f ca="1">IF(AND('Planning Sheet'!BO32='Weeks Plan'!$D$6,'Planning Sheet'!BI32='Weeks Plan'!$G$6),'Planning Sheet'!$B32,"")</f>
        <v/>
      </c>
      <c r="Z1509" s="48" t="str">
        <f ca="1">IF(AND('Planning Sheet'!BO32='Weeks Plan'!$D$6,'Planning Sheet'!BI32='Weeks Plan'!$G$6),'Planning Sheet'!$BJ32,"")</f>
        <v/>
      </c>
      <c r="AA1509" s="48" t="str">
        <f ca="1">IF(AND('Planning Sheet'!BO32='Weeks Plan'!$D$6,'Planning Sheet'!BI32='Weeks Plan'!$G$6),'Planning Sheet'!$BK32,"")</f>
        <v/>
      </c>
    </row>
    <row r="1510" spans="25:27" x14ac:dyDescent="0.3">
      <c r="Y1510" s="48" t="str">
        <f ca="1">IF(AND('Planning Sheet'!BO33='Weeks Plan'!$D$6,'Planning Sheet'!BI33='Weeks Plan'!$G$6),'Planning Sheet'!$B33,"")</f>
        <v/>
      </c>
      <c r="Z1510" s="48" t="str">
        <f ca="1">IF(AND('Planning Sheet'!BO33='Weeks Plan'!$D$6,'Planning Sheet'!BI33='Weeks Plan'!$G$6),'Planning Sheet'!$BJ33,"")</f>
        <v/>
      </c>
      <c r="AA1510" s="48" t="str">
        <f ca="1">IF(AND('Planning Sheet'!BO33='Weeks Plan'!$D$6,'Planning Sheet'!BI33='Weeks Plan'!$G$6),'Planning Sheet'!$BK33,"")</f>
        <v/>
      </c>
    </row>
    <row r="1511" spans="25:27" x14ac:dyDescent="0.3">
      <c r="Y1511" s="48" t="str">
        <f ca="1">IF(AND('Planning Sheet'!BO34='Weeks Plan'!$D$6,'Planning Sheet'!BI34='Weeks Plan'!$G$6),'Planning Sheet'!$B34,"")</f>
        <v/>
      </c>
      <c r="Z1511" s="48" t="str">
        <f ca="1">IF(AND('Planning Sheet'!BO34='Weeks Plan'!$D$6,'Planning Sheet'!BI34='Weeks Plan'!$G$6),'Planning Sheet'!$BJ34,"")</f>
        <v/>
      </c>
      <c r="AA1511" s="48" t="str">
        <f ca="1">IF(AND('Planning Sheet'!BO34='Weeks Plan'!$D$6,'Planning Sheet'!BI34='Weeks Plan'!$G$6),'Planning Sheet'!$BK34,"")</f>
        <v/>
      </c>
    </row>
    <row r="1512" spans="25:27" x14ac:dyDescent="0.3">
      <c r="Y1512" s="48" t="str">
        <f ca="1">IF(AND('Planning Sheet'!BO35='Weeks Plan'!$D$6,'Planning Sheet'!BI35='Weeks Plan'!$G$6),'Planning Sheet'!$B35,"")</f>
        <v/>
      </c>
      <c r="Z1512" s="48" t="str">
        <f ca="1">IF(AND('Planning Sheet'!BO35='Weeks Plan'!$D$6,'Planning Sheet'!BI35='Weeks Plan'!$G$6),'Planning Sheet'!$BJ35,"")</f>
        <v/>
      </c>
      <c r="AA1512" s="48" t="str">
        <f ca="1">IF(AND('Planning Sheet'!BO35='Weeks Plan'!$D$6,'Planning Sheet'!BI35='Weeks Plan'!$G$6),'Planning Sheet'!$BK35,"")</f>
        <v/>
      </c>
    </row>
    <row r="1513" spans="25:27" x14ac:dyDescent="0.3">
      <c r="Y1513" s="48" t="str">
        <f ca="1">IF(AND('Planning Sheet'!BO36='Weeks Plan'!$D$6,'Planning Sheet'!BI36='Weeks Plan'!$G$6),'Planning Sheet'!$B36,"")</f>
        <v/>
      </c>
      <c r="Z1513" s="48" t="str">
        <f ca="1">IF(AND('Planning Sheet'!BO36='Weeks Plan'!$D$6,'Planning Sheet'!BI36='Weeks Plan'!$G$6),'Planning Sheet'!$BJ36,"")</f>
        <v/>
      </c>
      <c r="AA1513" s="48" t="str">
        <f ca="1">IF(AND('Planning Sheet'!BO36='Weeks Plan'!$D$6,'Planning Sheet'!BI36='Weeks Plan'!$G$6),'Planning Sheet'!$BK36,"")</f>
        <v/>
      </c>
    </row>
    <row r="1514" spans="25:27" x14ac:dyDescent="0.3">
      <c r="Y1514" s="48" t="str">
        <f ca="1">IF(AND('Planning Sheet'!BO37='Weeks Plan'!$D$6,'Planning Sheet'!BI37='Weeks Plan'!$G$6),'Planning Sheet'!$B37,"")</f>
        <v/>
      </c>
      <c r="Z1514" s="48" t="str">
        <f ca="1">IF(AND('Planning Sheet'!BO37='Weeks Plan'!$D$6,'Planning Sheet'!BI37='Weeks Plan'!$G$6),'Planning Sheet'!$BJ37,"")</f>
        <v/>
      </c>
      <c r="AA1514" s="48" t="str">
        <f ca="1">IF(AND('Planning Sheet'!BO37='Weeks Plan'!$D$6,'Planning Sheet'!BI37='Weeks Plan'!$G$6),'Planning Sheet'!$BK37,"")</f>
        <v/>
      </c>
    </row>
    <row r="1515" spans="25:27" x14ac:dyDescent="0.3">
      <c r="Y1515" s="48" t="str">
        <f ca="1">IF(AND('Planning Sheet'!BO38='Weeks Plan'!$D$6,'Planning Sheet'!BI38='Weeks Plan'!$G$6),'Planning Sheet'!$B38,"")</f>
        <v/>
      </c>
      <c r="Z1515" s="48" t="str">
        <f ca="1">IF(AND('Planning Sheet'!BO38='Weeks Plan'!$D$6,'Planning Sheet'!BI38='Weeks Plan'!$G$6),'Planning Sheet'!$BJ38,"")</f>
        <v/>
      </c>
      <c r="AA1515" s="48" t="str">
        <f ca="1">IF(AND('Planning Sheet'!BO38='Weeks Plan'!$D$6,'Planning Sheet'!BI38='Weeks Plan'!$G$6),'Planning Sheet'!$BK38,"")</f>
        <v/>
      </c>
    </row>
    <row r="1516" spans="25:27" x14ac:dyDescent="0.3">
      <c r="Y1516" s="48" t="str">
        <f ca="1">IF(AND('Planning Sheet'!BO39='Weeks Plan'!$D$6,'Planning Sheet'!BI39='Weeks Plan'!$G$6),'Planning Sheet'!$B39,"")</f>
        <v/>
      </c>
      <c r="Z1516" s="48" t="str">
        <f ca="1">IF(AND('Planning Sheet'!BO39='Weeks Plan'!$D$6,'Planning Sheet'!BI39='Weeks Plan'!$G$6),'Planning Sheet'!$BJ39,"")</f>
        <v/>
      </c>
      <c r="AA1516" s="48" t="str">
        <f ca="1">IF(AND('Planning Sheet'!BO39='Weeks Plan'!$D$6,'Planning Sheet'!BI39='Weeks Plan'!$G$6),'Planning Sheet'!$BK39,"")</f>
        <v/>
      </c>
    </row>
    <row r="1517" spans="25:27" x14ac:dyDescent="0.3">
      <c r="Y1517" s="48" t="str">
        <f ca="1">IF(AND('Planning Sheet'!BO40='Weeks Plan'!$D$6,'Planning Sheet'!BI40='Weeks Plan'!$G$6),'Planning Sheet'!$B40,"")</f>
        <v/>
      </c>
      <c r="Z1517" s="48" t="str">
        <f ca="1">IF(AND('Planning Sheet'!BO40='Weeks Plan'!$D$6,'Planning Sheet'!BI40='Weeks Plan'!$G$6),'Planning Sheet'!$BJ40,"")</f>
        <v/>
      </c>
      <c r="AA1517" s="48" t="str">
        <f ca="1">IF(AND('Planning Sheet'!BO40='Weeks Plan'!$D$6,'Planning Sheet'!BI40='Weeks Plan'!$G$6),'Planning Sheet'!$BK40,"")</f>
        <v/>
      </c>
    </row>
    <row r="1518" spans="25:27" x14ac:dyDescent="0.3">
      <c r="Y1518" s="48" t="str">
        <f ca="1">IF(AND('Planning Sheet'!BO41='Weeks Plan'!$D$6,'Planning Sheet'!BI41='Weeks Plan'!$G$6),'Planning Sheet'!$B41,"")</f>
        <v/>
      </c>
      <c r="Z1518" s="48" t="str">
        <f ca="1">IF(AND('Planning Sheet'!BO41='Weeks Plan'!$D$6,'Planning Sheet'!BI41='Weeks Plan'!$G$6),'Planning Sheet'!$BJ41,"")</f>
        <v/>
      </c>
      <c r="AA1518" s="48" t="str">
        <f ca="1">IF(AND('Planning Sheet'!BO41='Weeks Plan'!$D$6,'Planning Sheet'!BI41='Weeks Plan'!$G$6),'Planning Sheet'!$BK41,"")</f>
        <v/>
      </c>
    </row>
    <row r="1519" spans="25:27" x14ac:dyDescent="0.3">
      <c r="Y1519" s="48" t="str">
        <f ca="1">IF(AND('Planning Sheet'!BO42='Weeks Plan'!$D$6,'Planning Sheet'!BI42='Weeks Plan'!$G$6),'Planning Sheet'!$B42,"")</f>
        <v/>
      </c>
      <c r="Z1519" s="48" t="str">
        <f ca="1">IF(AND('Planning Sheet'!BO42='Weeks Plan'!$D$6,'Planning Sheet'!BI42='Weeks Plan'!$G$6),'Planning Sheet'!$BJ42,"")</f>
        <v/>
      </c>
      <c r="AA1519" s="48" t="str">
        <f ca="1">IF(AND('Planning Sheet'!BO42='Weeks Plan'!$D$6,'Planning Sheet'!BI42='Weeks Plan'!$G$6),'Planning Sheet'!$BK42,"")</f>
        <v/>
      </c>
    </row>
    <row r="1520" spans="25:27" x14ac:dyDescent="0.3">
      <c r="Y1520" s="48" t="str">
        <f ca="1">IF(AND('Planning Sheet'!BO43='Weeks Plan'!$D$6,'Planning Sheet'!BI43='Weeks Plan'!$G$6),'Planning Sheet'!$B43,"")</f>
        <v/>
      </c>
      <c r="Z1520" s="48" t="str">
        <f ca="1">IF(AND('Planning Sheet'!BO43='Weeks Plan'!$D$6,'Planning Sheet'!BI43='Weeks Plan'!$G$6),'Planning Sheet'!$BJ43,"")</f>
        <v/>
      </c>
      <c r="AA1520" s="48" t="str">
        <f ca="1">IF(AND('Planning Sheet'!BO43='Weeks Plan'!$D$6,'Planning Sheet'!BI43='Weeks Plan'!$G$6),'Planning Sheet'!$BK43,"")</f>
        <v/>
      </c>
    </row>
    <row r="1521" spans="25:27" x14ac:dyDescent="0.3">
      <c r="Y1521" s="48" t="str">
        <f ca="1">IF(AND('Planning Sheet'!BO44='Weeks Plan'!$D$6,'Planning Sheet'!BI44='Weeks Plan'!$G$6),'Planning Sheet'!$B44,"")</f>
        <v/>
      </c>
      <c r="Z1521" s="48" t="str">
        <f ca="1">IF(AND('Planning Sheet'!BO44='Weeks Plan'!$D$6,'Planning Sheet'!BI44='Weeks Plan'!$G$6),'Planning Sheet'!$BJ44,"")</f>
        <v/>
      </c>
      <c r="AA1521" s="48" t="str">
        <f ca="1">IF(AND('Planning Sheet'!BO44='Weeks Plan'!$D$6,'Planning Sheet'!BI44='Weeks Plan'!$G$6),'Planning Sheet'!$BK44,"")</f>
        <v/>
      </c>
    </row>
    <row r="1522" spans="25:27" x14ac:dyDescent="0.3">
      <c r="Y1522" s="48" t="str">
        <f ca="1">IF(AND('Planning Sheet'!BO45='Weeks Plan'!$D$6,'Planning Sheet'!BI45='Weeks Plan'!$G$6),'Planning Sheet'!$B45,"")</f>
        <v/>
      </c>
      <c r="Z1522" s="48" t="str">
        <f ca="1">IF(AND('Planning Sheet'!BO45='Weeks Plan'!$D$6,'Planning Sheet'!BI45='Weeks Plan'!$G$6),'Planning Sheet'!$BJ45,"")</f>
        <v/>
      </c>
      <c r="AA1522" s="48" t="str">
        <f ca="1">IF(AND('Planning Sheet'!BO45='Weeks Plan'!$D$6,'Planning Sheet'!BI45='Weeks Plan'!$G$6),'Planning Sheet'!$BK45,"")</f>
        <v/>
      </c>
    </row>
    <row r="1523" spans="25:27" x14ac:dyDescent="0.3">
      <c r="Y1523" s="48" t="str">
        <f ca="1">IF(AND('Planning Sheet'!BO46='Weeks Plan'!$D$6,'Planning Sheet'!BI46='Weeks Plan'!$G$6),'Planning Sheet'!$B46,"")</f>
        <v/>
      </c>
      <c r="Z1523" s="48" t="str">
        <f ca="1">IF(AND('Planning Sheet'!BO46='Weeks Plan'!$D$6,'Planning Sheet'!BI46='Weeks Plan'!$G$6),'Planning Sheet'!$BJ46,"")</f>
        <v/>
      </c>
      <c r="AA1523" s="48" t="str">
        <f ca="1">IF(AND('Planning Sheet'!BO46='Weeks Plan'!$D$6,'Planning Sheet'!BI46='Weeks Plan'!$G$6),'Planning Sheet'!$BK46,"")</f>
        <v/>
      </c>
    </row>
    <row r="1524" spans="25:27" x14ac:dyDescent="0.3">
      <c r="Y1524" s="48" t="str">
        <f ca="1">IF(AND('Planning Sheet'!BO47='Weeks Plan'!$D$6,'Planning Sheet'!BI47='Weeks Plan'!$G$6),'Planning Sheet'!$B47,"")</f>
        <v/>
      </c>
      <c r="Z1524" s="48" t="str">
        <f ca="1">IF(AND('Planning Sheet'!BO47='Weeks Plan'!$D$6,'Planning Sheet'!BI47='Weeks Plan'!$G$6),'Planning Sheet'!$BJ47,"")</f>
        <v/>
      </c>
      <c r="AA1524" s="48" t="str">
        <f ca="1">IF(AND('Planning Sheet'!BO47='Weeks Plan'!$D$6,'Planning Sheet'!BI47='Weeks Plan'!$G$6),'Planning Sheet'!$BK47,"")</f>
        <v/>
      </c>
    </row>
    <row r="1525" spans="25:27" x14ac:dyDescent="0.3">
      <c r="Y1525" s="48" t="str">
        <f ca="1">IF(AND('Planning Sheet'!BO48='Weeks Plan'!$D$6,'Planning Sheet'!BI48='Weeks Plan'!$G$6),'Planning Sheet'!$B48,"")</f>
        <v/>
      </c>
      <c r="Z1525" s="48" t="str">
        <f ca="1">IF(AND('Planning Sheet'!BO48='Weeks Plan'!$D$6,'Planning Sheet'!BI48='Weeks Plan'!$G$6),'Planning Sheet'!$BJ48,"")</f>
        <v/>
      </c>
      <c r="AA1525" s="48" t="str">
        <f ca="1">IF(AND('Planning Sheet'!BO48='Weeks Plan'!$D$6,'Planning Sheet'!BI48='Weeks Plan'!$G$6),'Planning Sheet'!$BK48,"")</f>
        <v/>
      </c>
    </row>
    <row r="1526" spans="25:27" x14ac:dyDescent="0.3">
      <c r="Y1526" s="48" t="str">
        <f ca="1">IF(AND('Planning Sheet'!BO49='Weeks Plan'!$D$6,'Planning Sheet'!BI49='Weeks Plan'!$G$6),'Planning Sheet'!$B49,"")</f>
        <v/>
      </c>
      <c r="Z1526" s="48" t="str">
        <f ca="1">IF(AND('Planning Sheet'!BO49='Weeks Plan'!$D$6,'Planning Sheet'!BI49='Weeks Plan'!$G$6),'Planning Sheet'!$BJ49,"")</f>
        <v/>
      </c>
      <c r="AA1526" s="48" t="str">
        <f ca="1">IF(AND('Planning Sheet'!BO49='Weeks Plan'!$D$6,'Planning Sheet'!BI49='Weeks Plan'!$G$6),'Planning Sheet'!$BK49,"")</f>
        <v/>
      </c>
    </row>
    <row r="1527" spans="25:27" x14ac:dyDescent="0.3">
      <c r="Y1527" s="48" t="str">
        <f ca="1">IF(AND('Planning Sheet'!BO50='Weeks Plan'!$D$6,'Planning Sheet'!BI50='Weeks Plan'!$G$6),'Planning Sheet'!$B50,"")</f>
        <v/>
      </c>
      <c r="Z1527" s="48" t="str">
        <f ca="1">IF(AND('Planning Sheet'!BO50='Weeks Plan'!$D$6,'Planning Sheet'!BI50='Weeks Plan'!$G$6),'Planning Sheet'!$BJ50,"")</f>
        <v/>
      </c>
      <c r="AA1527" s="48" t="str">
        <f ca="1">IF(AND('Planning Sheet'!BO50='Weeks Plan'!$D$6,'Planning Sheet'!BI50='Weeks Plan'!$G$6),'Planning Sheet'!$BK50,"")</f>
        <v/>
      </c>
    </row>
    <row r="1528" spans="25:27" x14ac:dyDescent="0.3">
      <c r="Y1528" s="48" t="str">
        <f ca="1">IF(AND('Planning Sheet'!BO51='Weeks Plan'!$D$6,'Planning Sheet'!BI51='Weeks Plan'!$G$6),'Planning Sheet'!$B51,"")</f>
        <v/>
      </c>
      <c r="Z1528" s="48" t="str">
        <f ca="1">IF(AND('Planning Sheet'!BO51='Weeks Plan'!$D$6,'Planning Sheet'!BI51='Weeks Plan'!$G$6),'Planning Sheet'!$BJ51,"")</f>
        <v/>
      </c>
      <c r="AA1528" s="48" t="str">
        <f ca="1">IF(AND('Planning Sheet'!BO51='Weeks Plan'!$D$6,'Planning Sheet'!BI51='Weeks Plan'!$G$6),'Planning Sheet'!$BK51,"")</f>
        <v/>
      </c>
    </row>
    <row r="1529" spans="25:27" x14ac:dyDescent="0.3">
      <c r="Y1529" s="48" t="str">
        <f ca="1">IF(AND('Planning Sheet'!BO52='Weeks Plan'!$D$6,'Planning Sheet'!BI52='Weeks Plan'!$G$6),'Planning Sheet'!$B52,"")</f>
        <v/>
      </c>
      <c r="Z1529" s="48" t="str">
        <f ca="1">IF(AND('Planning Sheet'!BO52='Weeks Plan'!$D$6,'Planning Sheet'!BI52='Weeks Plan'!$G$6),'Planning Sheet'!$BJ52,"")</f>
        <v/>
      </c>
      <c r="AA1529" s="48" t="str">
        <f ca="1">IF(AND('Planning Sheet'!BO52='Weeks Plan'!$D$6,'Planning Sheet'!BI52='Weeks Plan'!$G$6),'Planning Sheet'!$BK52,"")</f>
        <v/>
      </c>
    </row>
    <row r="1530" spans="25:27" x14ac:dyDescent="0.3">
      <c r="Y1530" s="48" t="str">
        <f ca="1">IF(AND('Planning Sheet'!BO53='Weeks Plan'!$D$6,'Planning Sheet'!BI53='Weeks Plan'!$G$6),'Planning Sheet'!$B53,"")</f>
        <v/>
      </c>
      <c r="Z1530" s="48" t="str">
        <f ca="1">IF(AND('Planning Sheet'!BO53='Weeks Plan'!$D$6,'Planning Sheet'!BI53='Weeks Plan'!$G$6),'Planning Sheet'!$BJ53,"")</f>
        <v/>
      </c>
      <c r="AA1530" s="48" t="str">
        <f ca="1">IF(AND('Planning Sheet'!BO53='Weeks Plan'!$D$6,'Planning Sheet'!BI53='Weeks Plan'!$G$6),'Planning Sheet'!$BK53,"")</f>
        <v/>
      </c>
    </row>
    <row r="1531" spans="25:27" x14ac:dyDescent="0.3">
      <c r="Y1531" s="48" t="str">
        <f ca="1">IF(AND('Planning Sheet'!BO54='Weeks Plan'!$D$6,'Planning Sheet'!BI54='Weeks Plan'!$G$6),'Planning Sheet'!$B54,"")</f>
        <v/>
      </c>
      <c r="Z1531" s="48" t="str">
        <f ca="1">IF(AND('Planning Sheet'!BO54='Weeks Plan'!$D$6,'Planning Sheet'!BI54='Weeks Plan'!$G$6),'Planning Sheet'!$BJ54,"")</f>
        <v/>
      </c>
      <c r="AA1531" s="48" t="str">
        <f ca="1">IF(AND('Planning Sheet'!BO54='Weeks Plan'!$D$6,'Planning Sheet'!BI54='Weeks Plan'!$G$6),'Planning Sheet'!$BK54,"")</f>
        <v/>
      </c>
    </row>
    <row r="1532" spans="25:27" x14ac:dyDescent="0.3">
      <c r="Y1532" s="48" t="str">
        <f ca="1">IF(AND('Planning Sheet'!BO55='Weeks Plan'!$D$6,'Planning Sheet'!BI55='Weeks Plan'!$G$6),'Planning Sheet'!$B55,"")</f>
        <v/>
      </c>
      <c r="Z1532" s="48" t="str">
        <f ca="1">IF(AND('Planning Sheet'!BO55='Weeks Plan'!$D$6,'Planning Sheet'!BI55='Weeks Plan'!$G$6),'Planning Sheet'!$BJ55,"")</f>
        <v/>
      </c>
      <c r="AA1532" s="48" t="str">
        <f ca="1">IF(AND('Planning Sheet'!BO55='Weeks Plan'!$D$6,'Planning Sheet'!BI55='Weeks Plan'!$G$6),'Planning Sheet'!$BK55,"")</f>
        <v/>
      </c>
    </row>
    <row r="1533" spans="25:27" x14ac:dyDescent="0.3">
      <c r="Y1533" s="48" t="str">
        <f ca="1">IF(AND('Planning Sheet'!BO56='Weeks Plan'!$D$6,'Planning Sheet'!BI56='Weeks Plan'!$G$6),'Planning Sheet'!$B56,"")</f>
        <v/>
      </c>
      <c r="Z1533" s="48" t="str">
        <f ca="1">IF(AND('Planning Sheet'!BO56='Weeks Plan'!$D$6,'Planning Sheet'!BI56='Weeks Plan'!$G$6),'Planning Sheet'!$BJ56,"")</f>
        <v/>
      </c>
      <c r="AA1533" s="48" t="str">
        <f ca="1">IF(AND('Planning Sheet'!BO56='Weeks Plan'!$D$6,'Planning Sheet'!BI56='Weeks Plan'!$G$6),'Planning Sheet'!$BK56,"")</f>
        <v/>
      </c>
    </row>
    <row r="1534" spans="25:27" x14ac:dyDescent="0.3">
      <c r="Y1534" s="48" t="str">
        <f ca="1">IF(AND('Planning Sheet'!BO57='Weeks Plan'!$D$6,'Planning Sheet'!BI57='Weeks Plan'!$G$6),'Planning Sheet'!$B57,"")</f>
        <v/>
      </c>
      <c r="Z1534" s="48" t="str">
        <f ca="1">IF(AND('Planning Sheet'!BO57='Weeks Plan'!$D$6,'Planning Sheet'!BI57='Weeks Plan'!$G$6),'Planning Sheet'!$BJ57,"")</f>
        <v/>
      </c>
      <c r="AA1534" s="48" t="str">
        <f ca="1">IF(AND('Planning Sheet'!BO57='Weeks Plan'!$D$6,'Planning Sheet'!BI57='Weeks Plan'!$G$6),'Planning Sheet'!$BK57,"")</f>
        <v/>
      </c>
    </row>
    <row r="1535" spans="25:27" x14ac:dyDescent="0.3">
      <c r="Y1535" s="48" t="str">
        <f ca="1">IF(AND('Planning Sheet'!BO58='Weeks Plan'!$D$6,'Planning Sheet'!BI58='Weeks Plan'!$G$6),'Planning Sheet'!$B58,"")</f>
        <v/>
      </c>
      <c r="Z1535" s="48" t="str">
        <f ca="1">IF(AND('Planning Sheet'!BO58='Weeks Plan'!$D$6,'Planning Sheet'!BI58='Weeks Plan'!$G$6),'Planning Sheet'!$BJ58,"")</f>
        <v/>
      </c>
      <c r="AA1535" s="48" t="str">
        <f ca="1">IF(AND('Planning Sheet'!BO58='Weeks Plan'!$D$6,'Planning Sheet'!BI58='Weeks Plan'!$G$6),'Planning Sheet'!$BK58,"")</f>
        <v/>
      </c>
    </row>
    <row r="1536" spans="25:27" x14ac:dyDescent="0.3">
      <c r="Y1536" s="48" t="str">
        <f ca="1">IF(AND('Planning Sheet'!BO59='Weeks Plan'!$D$6,'Planning Sheet'!BI59='Weeks Plan'!$G$6),'Planning Sheet'!$B59,"")</f>
        <v/>
      </c>
      <c r="Z1536" s="48" t="str">
        <f ca="1">IF(AND('Planning Sheet'!BO59='Weeks Plan'!$D$6,'Planning Sheet'!BI59='Weeks Plan'!$G$6),'Planning Sheet'!$BJ59,"")</f>
        <v/>
      </c>
      <c r="AA1536" s="48" t="str">
        <f ca="1">IF(AND('Planning Sheet'!BO59='Weeks Plan'!$D$6,'Planning Sheet'!BI59='Weeks Plan'!$G$6),'Planning Sheet'!$BK59,"")</f>
        <v/>
      </c>
    </row>
    <row r="1537" spans="25:27" x14ac:dyDescent="0.3">
      <c r="Y1537" s="48" t="str">
        <f ca="1">IF(AND('Planning Sheet'!BO60='Weeks Plan'!$D$6,'Planning Sheet'!BI60='Weeks Plan'!$G$6),'Planning Sheet'!$B60,"")</f>
        <v/>
      </c>
      <c r="Z1537" s="48" t="str">
        <f ca="1">IF(AND('Planning Sheet'!BO60='Weeks Plan'!$D$6,'Planning Sheet'!BI60='Weeks Plan'!$G$6),'Planning Sheet'!$BJ60,"")</f>
        <v/>
      </c>
      <c r="AA1537" s="48" t="str">
        <f ca="1">IF(AND('Planning Sheet'!BO60='Weeks Plan'!$D$6,'Planning Sheet'!BI60='Weeks Plan'!$G$6),'Planning Sheet'!$BK60,"")</f>
        <v/>
      </c>
    </row>
    <row r="1538" spans="25:27" x14ac:dyDescent="0.3">
      <c r="Y1538" s="48" t="str">
        <f ca="1">IF(AND('Planning Sheet'!BO61='Weeks Plan'!$D$6,'Planning Sheet'!BI61='Weeks Plan'!$G$6),'Planning Sheet'!$B61,"")</f>
        <v/>
      </c>
      <c r="Z1538" s="48" t="str">
        <f ca="1">IF(AND('Planning Sheet'!BO61='Weeks Plan'!$D$6,'Planning Sheet'!BI61='Weeks Plan'!$G$6),'Planning Sheet'!$BJ61,"")</f>
        <v/>
      </c>
      <c r="AA1538" s="48" t="str">
        <f ca="1">IF(AND('Planning Sheet'!BO61='Weeks Plan'!$D$6,'Planning Sheet'!BI61='Weeks Plan'!$G$6),'Planning Sheet'!$BK61,"")</f>
        <v/>
      </c>
    </row>
    <row r="1539" spans="25:27" x14ac:dyDescent="0.3">
      <c r="Y1539" s="48" t="str">
        <f ca="1">IF(AND('Planning Sheet'!BO62='Weeks Plan'!$D$6,'Planning Sheet'!BI62='Weeks Plan'!$G$6),'Planning Sheet'!$B62,"")</f>
        <v/>
      </c>
      <c r="Z1539" s="48" t="str">
        <f ca="1">IF(AND('Planning Sheet'!BO62='Weeks Plan'!$D$6,'Planning Sheet'!BI62='Weeks Plan'!$G$6),'Planning Sheet'!$BJ62,"")</f>
        <v/>
      </c>
      <c r="AA1539" s="48" t="str">
        <f ca="1">IF(AND('Planning Sheet'!BO62='Weeks Plan'!$D$6,'Planning Sheet'!BI62='Weeks Plan'!$G$6),'Planning Sheet'!$BK62,"")</f>
        <v/>
      </c>
    </row>
    <row r="1540" spans="25:27" x14ac:dyDescent="0.3">
      <c r="Y1540" s="48" t="str">
        <f ca="1">IF(AND('Planning Sheet'!BO63='Weeks Plan'!$D$6,'Planning Sheet'!BI63='Weeks Plan'!$G$6),'Planning Sheet'!$B63,"")</f>
        <v/>
      </c>
      <c r="Z1540" s="48" t="str">
        <f ca="1">IF(AND('Planning Sheet'!BO63='Weeks Plan'!$D$6,'Planning Sheet'!BI63='Weeks Plan'!$G$6),'Planning Sheet'!$BJ63,"")</f>
        <v/>
      </c>
      <c r="AA1540" s="48" t="str">
        <f ca="1">IF(AND('Planning Sheet'!BO63='Weeks Plan'!$D$6,'Planning Sheet'!BI63='Weeks Plan'!$G$6),'Planning Sheet'!$BK63,"")</f>
        <v/>
      </c>
    </row>
    <row r="1541" spans="25:27" x14ac:dyDescent="0.3">
      <c r="Y1541" s="48" t="str">
        <f ca="1">IF(AND('Planning Sheet'!BO64='Weeks Plan'!$D$6,'Planning Sheet'!BI64='Weeks Plan'!$G$6),'Planning Sheet'!$B64,"")</f>
        <v/>
      </c>
      <c r="Z1541" s="48" t="str">
        <f ca="1">IF(AND('Planning Sheet'!BO64='Weeks Plan'!$D$6,'Planning Sheet'!BI64='Weeks Plan'!$G$6),'Planning Sheet'!$BJ64,"")</f>
        <v/>
      </c>
      <c r="AA1541" s="48" t="str">
        <f ca="1">IF(AND('Planning Sheet'!BO64='Weeks Plan'!$D$6,'Planning Sheet'!BI64='Weeks Plan'!$G$6),'Planning Sheet'!$BK64,"")</f>
        <v/>
      </c>
    </row>
    <row r="1542" spans="25:27" x14ac:dyDescent="0.3">
      <c r="Y1542" s="48" t="str">
        <f ca="1">IF(AND('Planning Sheet'!BO65='Weeks Plan'!$D$6,'Planning Sheet'!BI65='Weeks Plan'!$G$6),'Planning Sheet'!$B65,"")</f>
        <v/>
      </c>
      <c r="Z1542" s="48" t="str">
        <f ca="1">IF(AND('Planning Sheet'!BO65='Weeks Plan'!$D$6,'Planning Sheet'!BI65='Weeks Plan'!$G$6),'Planning Sheet'!$BJ65,"")</f>
        <v/>
      </c>
      <c r="AA1542" s="48" t="str">
        <f ca="1">IF(AND('Planning Sheet'!BO65='Weeks Plan'!$D$6,'Planning Sheet'!BI65='Weeks Plan'!$G$6),'Planning Sheet'!$BK65,"")</f>
        <v/>
      </c>
    </row>
    <row r="1543" spans="25:27" x14ac:dyDescent="0.3">
      <c r="Y1543" s="48" t="str">
        <f ca="1">IF(AND('Planning Sheet'!BO66='Weeks Plan'!$D$6,'Planning Sheet'!BI66='Weeks Plan'!$G$6),'Planning Sheet'!$B66,"")</f>
        <v/>
      </c>
      <c r="Z1543" s="48" t="str">
        <f ca="1">IF(AND('Planning Sheet'!BO66='Weeks Plan'!$D$6,'Planning Sheet'!BI66='Weeks Plan'!$G$6),'Planning Sheet'!$BJ66,"")</f>
        <v/>
      </c>
      <c r="AA1543" s="48" t="str">
        <f ca="1">IF(AND('Planning Sheet'!BO66='Weeks Plan'!$D$6,'Planning Sheet'!BI66='Weeks Plan'!$G$6),'Planning Sheet'!$BK66,"")</f>
        <v/>
      </c>
    </row>
    <row r="1544" spans="25:27" x14ac:dyDescent="0.3">
      <c r="Y1544" s="48" t="str">
        <f ca="1">IF(AND('Planning Sheet'!BO67='Weeks Plan'!$D$6,'Planning Sheet'!BI67='Weeks Plan'!$G$6),'Planning Sheet'!$B67,"")</f>
        <v/>
      </c>
      <c r="Z1544" s="48" t="str">
        <f ca="1">IF(AND('Planning Sheet'!BO67='Weeks Plan'!$D$6,'Planning Sheet'!BI67='Weeks Plan'!$G$6),'Planning Sheet'!$BJ67,"")</f>
        <v/>
      </c>
      <c r="AA1544" s="48" t="str">
        <f ca="1">IF(AND('Planning Sheet'!BO67='Weeks Plan'!$D$6,'Planning Sheet'!BI67='Weeks Plan'!$G$6),'Planning Sheet'!$BK67,"")</f>
        <v/>
      </c>
    </row>
    <row r="1545" spans="25:27" x14ac:dyDescent="0.3">
      <c r="Y1545" s="48" t="str">
        <f ca="1">IF(AND('Planning Sheet'!BO68='Weeks Plan'!$D$6,'Planning Sheet'!BI68='Weeks Plan'!$G$6),'Planning Sheet'!$B68,"")</f>
        <v/>
      </c>
      <c r="Z1545" s="48" t="str">
        <f ca="1">IF(AND('Planning Sheet'!BO68='Weeks Plan'!$D$6,'Planning Sheet'!BI68='Weeks Plan'!$G$6),'Planning Sheet'!$BJ68,"")</f>
        <v/>
      </c>
      <c r="AA1545" s="48" t="str">
        <f ca="1">IF(AND('Planning Sheet'!BO68='Weeks Plan'!$D$6,'Planning Sheet'!BI68='Weeks Plan'!$G$6),'Planning Sheet'!$BK68,"")</f>
        <v/>
      </c>
    </row>
    <row r="1546" spans="25:27" x14ac:dyDescent="0.3">
      <c r="Y1546" s="48" t="str">
        <f ca="1">IF(AND('Planning Sheet'!BO69='Weeks Plan'!$D$6,'Planning Sheet'!BI69='Weeks Plan'!$G$6),'Planning Sheet'!$B69,"")</f>
        <v/>
      </c>
      <c r="Z1546" s="48" t="str">
        <f ca="1">IF(AND('Planning Sheet'!BO69='Weeks Plan'!$D$6,'Planning Sheet'!BI69='Weeks Plan'!$G$6),'Planning Sheet'!$BJ69,"")</f>
        <v/>
      </c>
      <c r="AA1546" s="48" t="str">
        <f ca="1">IF(AND('Planning Sheet'!BO69='Weeks Plan'!$D$6,'Planning Sheet'!BI69='Weeks Plan'!$G$6),'Planning Sheet'!$BK69,"")</f>
        <v/>
      </c>
    </row>
    <row r="1547" spans="25:27" x14ac:dyDescent="0.3">
      <c r="Y1547" s="48" t="str">
        <f ca="1">IF(AND('Planning Sheet'!BO70='Weeks Plan'!$D$6,'Planning Sheet'!BI70='Weeks Plan'!$G$6),'Planning Sheet'!$B70,"")</f>
        <v/>
      </c>
      <c r="Z1547" s="48" t="str">
        <f ca="1">IF(AND('Planning Sheet'!BO70='Weeks Plan'!$D$6,'Planning Sheet'!BI70='Weeks Plan'!$G$6),'Planning Sheet'!$BJ70,"")</f>
        <v/>
      </c>
      <c r="AA1547" s="48" t="str">
        <f ca="1">IF(AND('Planning Sheet'!BO70='Weeks Plan'!$D$6,'Planning Sheet'!BI70='Weeks Plan'!$G$6),'Planning Sheet'!$BK70,"")</f>
        <v/>
      </c>
    </row>
    <row r="1548" spans="25:27" x14ac:dyDescent="0.3">
      <c r="Y1548" s="48" t="str">
        <f ca="1">IF(AND('Planning Sheet'!BO71='Weeks Plan'!$D$6,'Planning Sheet'!BI71='Weeks Plan'!$G$6),'Planning Sheet'!$B71,"")</f>
        <v/>
      </c>
      <c r="Z1548" s="48" t="str">
        <f ca="1">IF(AND('Planning Sheet'!BO71='Weeks Plan'!$D$6,'Planning Sheet'!BI71='Weeks Plan'!$G$6),'Planning Sheet'!$BJ71,"")</f>
        <v/>
      </c>
      <c r="AA1548" s="48" t="str">
        <f ca="1">IF(AND('Planning Sheet'!BO71='Weeks Plan'!$D$6,'Planning Sheet'!BI71='Weeks Plan'!$G$6),'Planning Sheet'!$BK71,"")</f>
        <v/>
      </c>
    </row>
    <row r="1549" spans="25:27" x14ac:dyDescent="0.3">
      <c r="Y1549" s="48" t="str">
        <f ca="1">IF(AND('Planning Sheet'!BO72='Weeks Plan'!$D$6,'Planning Sheet'!BI72='Weeks Plan'!$G$6),'Planning Sheet'!$B72,"")</f>
        <v/>
      </c>
      <c r="Z1549" s="48" t="str">
        <f ca="1">IF(AND('Planning Sheet'!BO72='Weeks Plan'!$D$6,'Planning Sheet'!BI72='Weeks Plan'!$G$6),'Planning Sheet'!$BJ72,"")</f>
        <v/>
      </c>
      <c r="AA1549" s="48" t="str">
        <f ca="1">IF(AND('Planning Sheet'!BO72='Weeks Plan'!$D$6,'Planning Sheet'!BI72='Weeks Plan'!$G$6),'Planning Sheet'!$BK72,"")</f>
        <v/>
      </c>
    </row>
    <row r="1550" spans="25:27" x14ac:dyDescent="0.3">
      <c r="Y1550" s="48" t="str">
        <f ca="1">IF(AND('Planning Sheet'!BO73='Weeks Plan'!$D$6,'Planning Sheet'!BI73='Weeks Plan'!$G$6),'Planning Sheet'!$B73,"")</f>
        <v/>
      </c>
      <c r="Z1550" s="48" t="str">
        <f ca="1">IF(AND('Planning Sheet'!BO73='Weeks Plan'!$D$6,'Planning Sheet'!BI73='Weeks Plan'!$G$6),'Planning Sheet'!$BJ73,"")</f>
        <v/>
      </c>
      <c r="AA1550" s="48" t="str">
        <f ca="1">IF(AND('Planning Sheet'!BO73='Weeks Plan'!$D$6,'Planning Sheet'!BI73='Weeks Plan'!$G$6),'Planning Sheet'!$BK73,"")</f>
        <v/>
      </c>
    </row>
    <row r="1551" spans="25:27" x14ac:dyDescent="0.3">
      <c r="Y1551" s="48" t="str">
        <f ca="1">IF(AND('Planning Sheet'!BO74='Weeks Plan'!$D$6,'Planning Sheet'!BI74='Weeks Plan'!$G$6),'Planning Sheet'!$B74,"")</f>
        <v/>
      </c>
      <c r="Z1551" s="48" t="str">
        <f ca="1">IF(AND('Planning Sheet'!BO74='Weeks Plan'!$D$6,'Planning Sheet'!BI74='Weeks Plan'!$G$6),'Planning Sheet'!$BJ74,"")</f>
        <v/>
      </c>
      <c r="AA1551" s="48" t="str">
        <f ca="1">IF(AND('Planning Sheet'!BO74='Weeks Plan'!$D$6,'Planning Sheet'!BI74='Weeks Plan'!$G$6),'Planning Sheet'!$BK74,"")</f>
        <v/>
      </c>
    </row>
    <row r="1552" spans="25:27" x14ac:dyDescent="0.3">
      <c r="Y1552" s="48" t="str">
        <f ca="1">IF(AND('Planning Sheet'!BO75='Weeks Plan'!$D$6,'Planning Sheet'!BI75='Weeks Plan'!$G$6),'Planning Sheet'!$B75,"")</f>
        <v/>
      </c>
      <c r="Z1552" s="48" t="str">
        <f ca="1">IF(AND('Planning Sheet'!BO75='Weeks Plan'!$D$6,'Planning Sheet'!BI75='Weeks Plan'!$G$6),'Planning Sheet'!$BJ75,"")</f>
        <v/>
      </c>
      <c r="AA1552" s="48" t="str">
        <f ca="1">IF(AND('Planning Sheet'!BO75='Weeks Plan'!$D$6,'Planning Sheet'!BI75='Weeks Plan'!$G$6),'Planning Sheet'!$BK75,"")</f>
        <v/>
      </c>
    </row>
    <row r="1553" spans="25:27" x14ac:dyDescent="0.3">
      <c r="Y1553" s="48" t="str">
        <f ca="1">IF(AND('Planning Sheet'!BO76='Weeks Plan'!$D$6,'Planning Sheet'!BI76='Weeks Plan'!$G$6),'Planning Sheet'!$B76,"")</f>
        <v/>
      </c>
      <c r="Z1553" s="48" t="str">
        <f ca="1">IF(AND('Planning Sheet'!BO76='Weeks Plan'!$D$6,'Planning Sheet'!BI76='Weeks Plan'!$G$6),'Planning Sheet'!$BJ76,"")</f>
        <v/>
      </c>
      <c r="AA1553" s="48" t="str">
        <f ca="1">IF(AND('Planning Sheet'!BO76='Weeks Plan'!$D$6,'Planning Sheet'!BI76='Weeks Plan'!$G$6),'Planning Sheet'!$BK76,"")</f>
        <v/>
      </c>
    </row>
    <row r="1554" spans="25:27" x14ac:dyDescent="0.3">
      <c r="Y1554" s="48" t="str">
        <f ca="1">IF(AND('Planning Sheet'!BO77='Weeks Plan'!$D$6,'Planning Sheet'!BI77='Weeks Plan'!$G$6),'Planning Sheet'!$B77,"")</f>
        <v/>
      </c>
      <c r="Z1554" s="48" t="str">
        <f ca="1">IF(AND('Planning Sheet'!BO77='Weeks Plan'!$D$6,'Planning Sheet'!BI77='Weeks Plan'!$G$6),'Planning Sheet'!$BJ77,"")</f>
        <v/>
      </c>
      <c r="AA1554" s="48" t="str">
        <f ca="1">IF(AND('Planning Sheet'!BO77='Weeks Plan'!$D$6,'Planning Sheet'!BI77='Weeks Plan'!$G$6),'Planning Sheet'!$BK77,"")</f>
        <v/>
      </c>
    </row>
    <row r="1555" spans="25:27" x14ac:dyDescent="0.3">
      <c r="Y1555" s="48" t="str">
        <f ca="1">IF(AND('Planning Sheet'!BO78='Weeks Plan'!$D$6,'Planning Sheet'!BI78='Weeks Plan'!$G$6),'Planning Sheet'!$B78,"")</f>
        <v/>
      </c>
      <c r="Z1555" s="48" t="str">
        <f ca="1">IF(AND('Planning Sheet'!BO78='Weeks Plan'!$D$6,'Planning Sheet'!BI78='Weeks Plan'!$G$6),'Planning Sheet'!$BJ78,"")</f>
        <v/>
      </c>
      <c r="AA1555" s="48" t="str">
        <f ca="1">IF(AND('Planning Sheet'!BO78='Weeks Plan'!$D$6,'Planning Sheet'!BI78='Weeks Plan'!$G$6),'Planning Sheet'!$BK78,"")</f>
        <v/>
      </c>
    </row>
    <row r="1556" spans="25:27" x14ac:dyDescent="0.3">
      <c r="Y1556" s="48" t="str">
        <f ca="1">IF(AND('Planning Sheet'!BO79='Weeks Plan'!$D$6,'Planning Sheet'!BI79='Weeks Plan'!$G$6),'Planning Sheet'!$B79,"")</f>
        <v/>
      </c>
      <c r="Z1556" s="48" t="str">
        <f ca="1">IF(AND('Planning Sheet'!BO79='Weeks Plan'!$D$6,'Planning Sheet'!BI79='Weeks Plan'!$G$6),'Planning Sheet'!$BJ79,"")</f>
        <v/>
      </c>
      <c r="AA1556" s="48" t="str">
        <f ca="1">IF(AND('Planning Sheet'!BO79='Weeks Plan'!$D$6,'Planning Sheet'!BI79='Weeks Plan'!$G$6),'Planning Sheet'!$BK79,"")</f>
        <v/>
      </c>
    </row>
    <row r="1557" spans="25:27" x14ac:dyDescent="0.3">
      <c r="Y1557" s="48" t="str">
        <f ca="1">IF(AND('Planning Sheet'!BO80='Weeks Plan'!$D$6,'Planning Sheet'!BI80='Weeks Plan'!$G$6),'Planning Sheet'!$B80,"")</f>
        <v/>
      </c>
      <c r="Z1557" s="48" t="str">
        <f ca="1">IF(AND('Planning Sheet'!BO80='Weeks Plan'!$D$6,'Planning Sheet'!BI80='Weeks Plan'!$G$6),'Planning Sheet'!$BJ80,"")</f>
        <v/>
      </c>
      <c r="AA1557" s="48" t="str">
        <f ca="1">IF(AND('Planning Sheet'!BO80='Weeks Plan'!$D$6,'Planning Sheet'!BI80='Weeks Plan'!$G$6),'Planning Sheet'!$BK80,"")</f>
        <v/>
      </c>
    </row>
    <row r="1558" spans="25:27" x14ac:dyDescent="0.3">
      <c r="Y1558" s="48" t="str">
        <f ca="1">IF(AND('Planning Sheet'!BO81='Weeks Plan'!$D$6,'Planning Sheet'!BI81='Weeks Plan'!$G$6),'Planning Sheet'!$B81,"")</f>
        <v/>
      </c>
      <c r="Z1558" s="48" t="str">
        <f ca="1">IF(AND('Planning Sheet'!BO81='Weeks Plan'!$D$6,'Planning Sheet'!BI81='Weeks Plan'!$G$6),'Planning Sheet'!$BJ81,"")</f>
        <v/>
      </c>
      <c r="AA1558" s="48" t="str">
        <f ca="1">IF(AND('Planning Sheet'!BO81='Weeks Plan'!$D$6,'Planning Sheet'!BI81='Weeks Plan'!$G$6),'Planning Sheet'!$BK81,"")</f>
        <v/>
      </c>
    </row>
    <row r="1559" spans="25:27" x14ac:dyDescent="0.3">
      <c r="Y1559" s="48" t="str">
        <f ca="1">IF(AND('Planning Sheet'!BO82='Weeks Plan'!$D$6,'Planning Sheet'!BI82='Weeks Plan'!$G$6),'Planning Sheet'!$B82,"")</f>
        <v/>
      </c>
      <c r="Z1559" s="48" t="str">
        <f ca="1">IF(AND('Planning Sheet'!BO82='Weeks Plan'!$D$6,'Planning Sheet'!BI82='Weeks Plan'!$G$6),'Planning Sheet'!$BJ82,"")</f>
        <v/>
      </c>
      <c r="AA1559" s="48" t="str">
        <f ca="1">IF(AND('Planning Sheet'!BO82='Weeks Plan'!$D$6,'Planning Sheet'!BI82='Weeks Plan'!$G$6),'Planning Sheet'!$BK82,"")</f>
        <v/>
      </c>
    </row>
    <row r="1560" spans="25:27" x14ac:dyDescent="0.3">
      <c r="Y1560" s="48" t="str">
        <f ca="1">IF(AND('Planning Sheet'!BO83='Weeks Plan'!$D$6,'Planning Sheet'!BI83='Weeks Plan'!$G$6),'Planning Sheet'!$B83,"")</f>
        <v/>
      </c>
      <c r="Z1560" s="48" t="str">
        <f ca="1">IF(AND('Planning Sheet'!BO83='Weeks Plan'!$D$6,'Planning Sheet'!BI83='Weeks Plan'!$G$6),'Planning Sheet'!$BJ83,"")</f>
        <v/>
      </c>
      <c r="AA1560" s="48" t="str">
        <f ca="1">IF(AND('Planning Sheet'!BO83='Weeks Plan'!$D$6,'Planning Sheet'!BI83='Weeks Plan'!$G$6),'Planning Sheet'!$BK83,"")</f>
        <v/>
      </c>
    </row>
    <row r="1561" spans="25:27" x14ac:dyDescent="0.3">
      <c r="Y1561" s="48" t="str">
        <f ca="1">IF(AND('Planning Sheet'!BO84='Weeks Plan'!$D$6,'Planning Sheet'!BI84='Weeks Plan'!$G$6),'Planning Sheet'!$B84,"")</f>
        <v/>
      </c>
      <c r="Z1561" s="48" t="str">
        <f ca="1">IF(AND('Planning Sheet'!BO84='Weeks Plan'!$D$6,'Planning Sheet'!BI84='Weeks Plan'!$G$6),'Planning Sheet'!$BJ84,"")</f>
        <v/>
      </c>
      <c r="AA1561" s="48" t="str">
        <f ca="1">IF(AND('Planning Sheet'!BO84='Weeks Plan'!$D$6,'Planning Sheet'!BI84='Weeks Plan'!$G$6),'Planning Sheet'!$BK84,"")</f>
        <v/>
      </c>
    </row>
    <row r="1562" spans="25:27" x14ac:dyDescent="0.3">
      <c r="Y1562" s="48" t="str">
        <f ca="1">IF(AND('Planning Sheet'!BO85='Weeks Plan'!$D$6,'Planning Sheet'!BI85='Weeks Plan'!$G$6),'Planning Sheet'!$B85,"")</f>
        <v/>
      </c>
      <c r="Z1562" s="48" t="str">
        <f ca="1">IF(AND('Planning Sheet'!BO85='Weeks Plan'!$D$6,'Planning Sheet'!BI85='Weeks Plan'!$G$6),'Planning Sheet'!$BJ85,"")</f>
        <v/>
      </c>
      <c r="AA1562" s="48" t="str">
        <f ca="1">IF(AND('Planning Sheet'!BO85='Weeks Plan'!$D$6,'Planning Sheet'!BI85='Weeks Plan'!$G$6),'Planning Sheet'!$BK85,"")</f>
        <v/>
      </c>
    </row>
    <row r="1563" spans="25:27" x14ac:dyDescent="0.3">
      <c r="Y1563" s="48" t="str">
        <f ca="1">IF(AND('Planning Sheet'!BO86='Weeks Plan'!$D$6,'Planning Sheet'!BI86='Weeks Plan'!$G$6),'Planning Sheet'!$B86,"")</f>
        <v/>
      </c>
      <c r="Z1563" s="48" t="str">
        <f ca="1">IF(AND('Planning Sheet'!BO86='Weeks Plan'!$D$6,'Planning Sheet'!BI86='Weeks Plan'!$G$6),'Planning Sheet'!$BJ86,"")</f>
        <v/>
      </c>
      <c r="AA1563" s="48" t="str">
        <f ca="1">IF(AND('Planning Sheet'!BO86='Weeks Plan'!$D$6,'Planning Sheet'!BI86='Weeks Plan'!$G$6),'Planning Sheet'!$BK86,"")</f>
        <v/>
      </c>
    </row>
    <row r="1564" spans="25:27" x14ac:dyDescent="0.3">
      <c r="Y1564" s="48" t="str">
        <f ca="1">IF(AND('Planning Sheet'!BO87='Weeks Plan'!$D$6,'Planning Sheet'!BI87='Weeks Plan'!$G$6),'Planning Sheet'!$B87,"")</f>
        <v/>
      </c>
      <c r="Z1564" s="48" t="str">
        <f ca="1">IF(AND('Planning Sheet'!BO87='Weeks Plan'!$D$6,'Planning Sheet'!BI87='Weeks Plan'!$G$6),'Planning Sheet'!$BJ87,"")</f>
        <v/>
      </c>
      <c r="AA1564" s="48" t="str">
        <f ca="1">IF(AND('Planning Sheet'!BO87='Weeks Plan'!$D$6,'Planning Sheet'!BI87='Weeks Plan'!$G$6),'Planning Sheet'!$BK87,"")</f>
        <v/>
      </c>
    </row>
    <row r="1565" spans="25:27" x14ac:dyDescent="0.3">
      <c r="Y1565" s="48" t="str">
        <f ca="1">IF(AND('Planning Sheet'!BO88='Weeks Plan'!$D$6,'Planning Sheet'!BI88='Weeks Plan'!$G$6),'Planning Sheet'!$B88,"")</f>
        <v/>
      </c>
      <c r="Z1565" s="48" t="str">
        <f ca="1">IF(AND('Planning Sheet'!BO88='Weeks Plan'!$D$6,'Planning Sheet'!BI88='Weeks Plan'!$G$6),'Planning Sheet'!$BJ88,"")</f>
        <v/>
      </c>
      <c r="AA1565" s="48" t="str">
        <f ca="1">IF(AND('Planning Sheet'!BO88='Weeks Plan'!$D$6,'Planning Sheet'!BI88='Weeks Plan'!$G$6),'Planning Sheet'!$BK88,"")</f>
        <v/>
      </c>
    </row>
    <row r="1566" spans="25:27" x14ac:dyDescent="0.3">
      <c r="Y1566" s="48" t="str">
        <f ca="1">IF(AND('Planning Sheet'!BO89='Weeks Plan'!$D$6,'Planning Sheet'!BI89='Weeks Plan'!$G$6),'Planning Sheet'!$B89,"")</f>
        <v/>
      </c>
      <c r="Z1566" s="48" t="str">
        <f ca="1">IF(AND('Planning Sheet'!BO89='Weeks Plan'!$D$6,'Planning Sheet'!BI89='Weeks Plan'!$G$6),'Planning Sheet'!$BJ89,"")</f>
        <v/>
      </c>
      <c r="AA1566" s="48" t="str">
        <f ca="1">IF(AND('Planning Sheet'!BO89='Weeks Plan'!$D$6,'Planning Sheet'!BI89='Weeks Plan'!$G$6),'Planning Sheet'!$BK89,"")</f>
        <v/>
      </c>
    </row>
    <row r="1567" spans="25:27" x14ac:dyDescent="0.3">
      <c r="Y1567" s="48" t="str">
        <f ca="1">IF(AND('Planning Sheet'!BO90='Weeks Plan'!$D$6,'Planning Sheet'!BI90='Weeks Plan'!$G$6),'Planning Sheet'!$B90,"")</f>
        <v/>
      </c>
      <c r="Z1567" s="48" t="str">
        <f ca="1">IF(AND('Planning Sheet'!BO90='Weeks Plan'!$D$6,'Planning Sheet'!BI90='Weeks Plan'!$G$6),'Planning Sheet'!$BJ90,"")</f>
        <v/>
      </c>
      <c r="AA1567" s="48" t="str">
        <f ca="1">IF(AND('Planning Sheet'!BO90='Weeks Plan'!$D$6,'Planning Sheet'!BI90='Weeks Plan'!$G$6),'Planning Sheet'!$BK90,"")</f>
        <v/>
      </c>
    </row>
    <row r="1568" spans="25:27" x14ac:dyDescent="0.3">
      <c r="Y1568" s="48" t="str">
        <f ca="1">IF(AND('Planning Sheet'!BO91='Weeks Plan'!$D$6,'Planning Sheet'!BI91='Weeks Plan'!$G$6),'Planning Sheet'!$B91,"")</f>
        <v/>
      </c>
      <c r="Z1568" s="48" t="str">
        <f ca="1">IF(AND('Planning Sheet'!BO91='Weeks Plan'!$D$6,'Planning Sheet'!BI91='Weeks Plan'!$G$6),'Planning Sheet'!$BJ91,"")</f>
        <v/>
      </c>
      <c r="AA1568" s="48" t="str">
        <f ca="1">IF(AND('Planning Sheet'!BO91='Weeks Plan'!$D$6,'Planning Sheet'!BI91='Weeks Plan'!$G$6),'Planning Sheet'!$BK91,"")</f>
        <v/>
      </c>
    </row>
    <row r="1569" spans="25:27" x14ac:dyDescent="0.3">
      <c r="Y1569" s="48" t="str">
        <f ca="1">IF(AND('Planning Sheet'!BO92='Weeks Plan'!$D$6,'Planning Sheet'!BI92='Weeks Plan'!$G$6),'Planning Sheet'!$B92,"")</f>
        <v/>
      </c>
      <c r="Z1569" s="48" t="str">
        <f ca="1">IF(AND('Planning Sheet'!BO92='Weeks Plan'!$D$6,'Planning Sheet'!BI92='Weeks Plan'!$G$6),'Planning Sheet'!$BJ92,"")</f>
        <v/>
      </c>
      <c r="AA1569" s="48" t="str">
        <f ca="1">IF(AND('Planning Sheet'!BO92='Weeks Plan'!$D$6,'Planning Sheet'!BI92='Weeks Plan'!$G$6),'Planning Sheet'!$BK92,"")</f>
        <v/>
      </c>
    </row>
    <row r="1570" spans="25:27" x14ac:dyDescent="0.3">
      <c r="Y1570" s="48" t="str">
        <f ca="1">IF(AND('Planning Sheet'!BO93='Weeks Plan'!$D$6,'Planning Sheet'!BI93='Weeks Plan'!$G$6),'Planning Sheet'!$B93,"")</f>
        <v/>
      </c>
      <c r="Z1570" s="48" t="str">
        <f ca="1">IF(AND('Planning Sheet'!BO93='Weeks Plan'!$D$6,'Planning Sheet'!BI93='Weeks Plan'!$G$6),'Planning Sheet'!$BJ93,"")</f>
        <v/>
      </c>
      <c r="AA1570" s="48" t="str">
        <f ca="1">IF(AND('Planning Sheet'!BO93='Weeks Plan'!$D$6,'Planning Sheet'!BI93='Weeks Plan'!$G$6),'Planning Sheet'!$BK93,"")</f>
        <v/>
      </c>
    </row>
    <row r="1571" spans="25:27" x14ac:dyDescent="0.3">
      <c r="Y1571" s="48" t="str">
        <f ca="1">IF(AND('Planning Sheet'!BO94='Weeks Plan'!$D$6,'Planning Sheet'!BI94='Weeks Plan'!$G$6),'Planning Sheet'!$B94,"")</f>
        <v/>
      </c>
      <c r="Z1571" s="48" t="str">
        <f ca="1">IF(AND('Planning Sheet'!BO94='Weeks Plan'!$D$6,'Planning Sheet'!BI94='Weeks Plan'!$G$6),'Planning Sheet'!$BJ94,"")</f>
        <v/>
      </c>
      <c r="AA1571" s="48" t="str">
        <f ca="1">IF(AND('Planning Sheet'!BO94='Weeks Plan'!$D$6,'Planning Sheet'!BI94='Weeks Plan'!$G$6),'Planning Sheet'!$BK94,"")</f>
        <v/>
      </c>
    </row>
    <row r="1572" spans="25:27" x14ac:dyDescent="0.3">
      <c r="Y1572" s="48" t="str">
        <f ca="1">IF(AND('Planning Sheet'!BO95='Weeks Plan'!$D$6,'Planning Sheet'!BI95='Weeks Plan'!$G$6),'Planning Sheet'!$B95,"")</f>
        <v/>
      </c>
      <c r="Z1572" s="48" t="str">
        <f ca="1">IF(AND('Planning Sheet'!BO95='Weeks Plan'!$D$6,'Planning Sheet'!BI95='Weeks Plan'!$G$6),'Planning Sheet'!$BJ95,"")</f>
        <v/>
      </c>
      <c r="AA1572" s="48" t="str">
        <f ca="1">IF(AND('Planning Sheet'!BO95='Weeks Plan'!$D$6,'Planning Sheet'!BI95='Weeks Plan'!$G$6),'Planning Sheet'!$BK95,"")</f>
        <v/>
      </c>
    </row>
    <row r="1573" spans="25:27" x14ac:dyDescent="0.3">
      <c r="Y1573" s="48" t="str">
        <f ca="1">IF(AND('Planning Sheet'!BO96='Weeks Plan'!$D$6,'Planning Sheet'!BI96='Weeks Plan'!$G$6),'Planning Sheet'!$B96,"")</f>
        <v/>
      </c>
      <c r="Z1573" s="48" t="str">
        <f ca="1">IF(AND('Planning Sheet'!BO96='Weeks Plan'!$D$6,'Planning Sheet'!BI96='Weeks Plan'!$G$6),'Planning Sheet'!$BJ96,"")</f>
        <v/>
      </c>
      <c r="AA1573" s="48" t="str">
        <f ca="1">IF(AND('Planning Sheet'!BO96='Weeks Plan'!$D$6,'Planning Sheet'!BI96='Weeks Plan'!$G$6),'Planning Sheet'!$BK96,"")</f>
        <v/>
      </c>
    </row>
    <row r="1574" spans="25:27" x14ac:dyDescent="0.3">
      <c r="Y1574" s="48" t="str">
        <f ca="1">IF(AND('Planning Sheet'!BO97='Weeks Plan'!$D$6,'Planning Sheet'!BI97='Weeks Plan'!$G$6),'Planning Sheet'!$B97,"")</f>
        <v/>
      </c>
      <c r="Z1574" s="48" t="str">
        <f ca="1">IF(AND('Planning Sheet'!BO97='Weeks Plan'!$D$6,'Planning Sheet'!BI97='Weeks Plan'!$G$6),'Planning Sheet'!$BJ97,"")</f>
        <v/>
      </c>
      <c r="AA1574" s="48" t="str">
        <f ca="1">IF(AND('Planning Sheet'!BO97='Weeks Plan'!$D$6,'Planning Sheet'!BI97='Weeks Plan'!$G$6),'Planning Sheet'!$BK97,"")</f>
        <v/>
      </c>
    </row>
    <row r="1575" spans="25:27" x14ac:dyDescent="0.3">
      <c r="Y1575" s="48" t="str">
        <f ca="1">IF(AND('Planning Sheet'!BO98='Weeks Plan'!$D$6,'Planning Sheet'!BI98='Weeks Plan'!$G$6),'Planning Sheet'!$B98,"")</f>
        <v/>
      </c>
      <c r="Z1575" s="48" t="str">
        <f ca="1">IF(AND('Planning Sheet'!BO98='Weeks Plan'!$D$6,'Planning Sheet'!BI98='Weeks Plan'!$G$6),'Planning Sheet'!$BJ98,"")</f>
        <v/>
      </c>
      <c r="AA1575" s="48" t="str">
        <f ca="1">IF(AND('Planning Sheet'!BO98='Weeks Plan'!$D$6,'Planning Sheet'!BI98='Weeks Plan'!$G$6),'Planning Sheet'!$BK98,"")</f>
        <v/>
      </c>
    </row>
    <row r="1576" spans="25:27" x14ac:dyDescent="0.3">
      <c r="Y1576" s="48" t="str">
        <f ca="1">IF(AND('Planning Sheet'!BO99='Weeks Plan'!$D$6,'Planning Sheet'!BI99='Weeks Plan'!$G$6),'Planning Sheet'!$B99,"")</f>
        <v/>
      </c>
      <c r="Z1576" s="48" t="str">
        <f ca="1">IF(AND('Planning Sheet'!BO99='Weeks Plan'!$D$6,'Planning Sheet'!BI99='Weeks Plan'!$G$6),'Planning Sheet'!$BJ99,"")</f>
        <v/>
      </c>
      <c r="AA1576" s="48" t="str">
        <f ca="1">IF(AND('Planning Sheet'!BO99='Weeks Plan'!$D$6,'Planning Sheet'!BI99='Weeks Plan'!$G$6),'Planning Sheet'!$BK99,"")</f>
        <v/>
      </c>
    </row>
    <row r="1577" spans="25:27" x14ac:dyDescent="0.3">
      <c r="Y1577" s="48" t="str">
        <f ca="1">IF(AND('Planning Sheet'!BO100='Weeks Plan'!$D$6,'Planning Sheet'!BI100='Weeks Plan'!$G$6),'Planning Sheet'!$B100,"")</f>
        <v/>
      </c>
      <c r="Z1577" s="48" t="str">
        <f ca="1">IF(AND('Planning Sheet'!BO100='Weeks Plan'!$D$6,'Planning Sheet'!BI100='Weeks Plan'!$G$6),'Planning Sheet'!$BJ100,"")</f>
        <v/>
      </c>
      <c r="AA1577" s="48" t="str">
        <f ca="1">IF(AND('Planning Sheet'!BO100='Weeks Plan'!$D$6,'Planning Sheet'!BI100='Weeks Plan'!$G$6),'Planning Sheet'!$BK100,"")</f>
        <v/>
      </c>
    </row>
    <row r="1578" spans="25:27" x14ac:dyDescent="0.3">
      <c r="Y1578" s="48" t="str">
        <f ca="1">IF(AND('Planning Sheet'!BO101='Weeks Plan'!$D$6,'Planning Sheet'!BI101='Weeks Plan'!$G$6),'Planning Sheet'!$B101,"")</f>
        <v/>
      </c>
      <c r="Z1578" s="48" t="str">
        <f ca="1">IF(AND('Planning Sheet'!BO101='Weeks Plan'!$D$6,'Planning Sheet'!BI101='Weeks Plan'!$G$6),'Planning Sheet'!$BJ101,"")</f>
        <v/>
      </c>
      <c r="AA1578" s="48" t="str">
        <f ca="1">IF(AND('Planning Sheet'!BO101='Weeks Plan'!$D$6,'Planning Sheet'!BI101='Weeks Plan'!$G$6),'Planning Sheet'!$BK101,"")</f>
        <v/>
      </c>
    </row>
    <row r="1579" spans="25:27" x14ac:dyDescent="0.3">
      <c r="Y1579" s="48" t="str">
        <f ca="1">IF(AND('Planning Sheet'!BO102='Weeks Plan'!$D$6,'Planning Sheet'!BI102='Weeks Plan'!$G$6),'Planning Sheet'!$B102,"")</f>
        <v/>
      </c>
      <c r="Z1579" s="48" t="str">
        <f ca="1">IF(AND('Planning Sheet'!BO102='Weeks Plan'!$D$6,'Planning Sheet'!BI102='Weeks Plan'!$G$6),'Planning Sheet'!$BJ102,"")</f>
        <v/>
      </c>
      <c r="AA1579" s="48" t="str">
        <f ca="1">IF(AND('Planning Sheet'!BO102='Weeks Plan'!$D$6,'Planning Sheet'!BI102='Weeks Plan'!$G$6),'Planning Sheet'!$BK102,"")</f>
        <v/>
      </c>
    </row>
    <row r="1580" spans="25:27" x14ac:dyDescent="0.3">
      <c r="Y1580" s="48" t="str">
        <f ca="1">IF(AND('Planning Sheet'!BO103='Weeks Plan'!$D$6,'Planning Sheet'!BI103='Weeks Plan'!$G$6),'Planning Sheet'!$B103,"")</f>
        <v/>
      </c>
      <c r="Z1580" s="48" t="str">
        <f ca="1">IF(AND('Planning Sheet'!BO103='Weeks Plan'!$D$6,'Planning Sheet'!BI103='Weeks Plan'!$G$6),'Planning Sheet'!$BJ103,"")</f>
        <v/>
      </c>
      <c r="AA1580" s="48" t="str">
        <f ca="1">IF(AND('Planning Sheet'!BO103='Weeks Plan'!$D$6,'Planning Sheet'!BI103='Weeks Plan'!$G$6),'Planning Sheet'!$BK103,"")</f>
        <v/>
      </c>
    </row>
    <row r="1581" spans="25:27" x14ac:dyDescent="0.3">
      <c r="Y1581" s="48" t="str">
        <f ca="1">IF(AND('Planning Sheet'!BO104='Weeks Plan'!$D$6,'Planning Sheet'!BI104='Weeks Plan'!$G$6),'Planning Sheet'!$B104,"")</f>
        <v/>
      </c>
      <c r="Z1581" s="48" t="str">
        <f ca="1">IF(AND('Planning Sheet'!BO104='Weeks Plan'!$D$6,'Planning Sheet'!BI104='Weeks Plan'!$G$6),'Planning Sheet'!$BJ104,"")</f>
        <v/>
      </c>
      <c r="AA1581" s="48" t="str">
        <f ca="1">IF(AND('Planning Sheet'!BO104='Weeks Plan'!$D$6,'Planning Sheet'!BI104='Weeks Plan'!$G$6),'Planning Sheet'!$BK104,"")</f>
        <v/>
      </c>
    </row>
    <row r="1582" spans="25:27" x14ac:dyDescent="0.3">
      <c r="Y1582" s="48" t="str">
        <f ca="1">IF(AND('Planning Sheet'!BO105='Weeks Plan'!$D$6,'Planning Sheet'!BI105='Weeks Plan'!$G$6),'Planning Sheet'!$B105,"")</f>
        <v/>
      </c>
      <c r="Z1582" s="48" t="str">
        <f ca="1">IF(AND('Planning Sheet'!BO105='Weeks Plan'!$D$6,'Planning Sheet'!BI105='Weeks Plan'!$G$6),'Planning Sheet'!$BJ105,"")</f>
        <v/>
      </c>
      <c r="AA1582" s="48" t="str">
        <f ca="1">IF(AND('Planning Sheet'!BO105='Weeks Plan'!$D$6,'Planning Sheet'!BI105='Weeks Plan'!$G$6),'Planning Sheet'!$BK105,"")</f>
        <v/>
      </c>
    </row>
    <row r="1583" spans="25:27" x14ac:dyDescent="0.3">
      <c r="Y1583" s="48" t="str">
        <f ca="1">IF(AND('Planning Sheet'!BO106='Weeks Plan'!$D$6,'Planning Sheet'!BI106='Weeks Plan'!$G$6),'Planning Sheet'!$B106,"")</f>
        <v/>
      </c>
      <c r="Z1583" s="48" t="str">
        <f ca="1">IF(AND('Planning Sheet'!BO106='Weeks Plan'!$D$6,'Planning Sheet'!BI106='Weeks Plan'!$G$6),'Planning Sheet'!$BJ106,"")</f>
        <v/>
      </c>
      <c r="AA1583" s="48" t="str">
        <f ca="1">IF(AND('Planning Sheet'!BO106='Weeks Plan'!$D$6,'Planning Sheet'!BI106='Weeks Plan'!$G$6),'Planning Sheet'!$BK106,"")</f>
        <v/>
      </c>
    </row>
    <row r="1584" spans="25:27" x14ac:dyDescent="0.3">
      <c r="Y1584" s="48" t="str">
        <f ca="1">IF(AND('Planning Sheet'!BO107='Weeks Plan'!$D$6,'Planning Sheet'!BI107='Weeks Plan'!$G$6),'Planning Sheet'!$B107,"")</f>
        <v/>
      </c>
      <c r="Z1584" s="48" t="str">
        <f ca="1">IF(AND('Planning Sheet'!BO107='Weeks Plan'!$D$6,'Planning Sheet'!BI107='Weeks Plan'!$G$6),'Planning Sheet'!$BJ107,"")</f>
        <v/>
      </c>
      <c r="AA1584" s="48" t="str">
        <f ca="1">IF(AND('Planning Sheet'!BO107='Weeks Plan'!$D$6,'Planning Sheet'!BI107='Weeks Plan'!$G$6),'Planning Sheet'!$BK107,"")</f>
        <v/>
      </c>
    </row>
    <row r="1585" spans="25:27" x14ac:dyDescent="0.3">
      <c r="Y1585" s="48" t="str">
        <f ca="1">IF(AND('Planning Sheet'!BO108='Weeks Plan'!$D$6,'Planning Sheet'!BI108='Weeks Plan'!$G$6),'Planning Sheet'!$B108,"")</f>
        <v/>
      </c>
      <c r="Z1585" s="48" t="str">
        <f ca="1">IF(AND('Planning Sheet'!BO108='Weeks Plan'!$D$6,'Planning Sheet'!BI108='Weeks Plan'!$G$6),'Planning Sheet'!$BJ108,"")</f>
        <v/>
      </c>
      <c r="AA1585" s="48" t="str">
        <f ca="1">IF(AND('Planning Sheet'!BO108='Weeks Plan'!$D$6,'Planning Sheet'!BI108='Weeks Plan'!$G$6),'Planning Sheet'!$BK108,"")</f>
        <v/>
      </c>
    </row>
    <row r="1586" spans="25:27" x14ac:dyDescent="0.3">
      <c r="Y1586" s="48" t="str">
        <f ca="1">IF(AND('Planning Sheet'!BO109='Weeks Plan'!$D$6,'Planning Sheet'!BI109='Weeks Plan'!$G$6),'Planning Sheet'!$B109,"")</f>
        <v/>
      </c>
      <c r="Z1586" s="48" t="str">
        <f ca="1">IF(AND('Planning Sheet'!BO109='Weeks Plan'!$D$6,'Planning Sheet'!BI109='Weeks Plan'!$G$6),'Planning Sheet'!$BJ109,"")</f>
        <v/>
      </c>
      <c r="AA1586" s="48" t="str">
        <f ca="1">IF(AND('Planning Sheet'!BO109='Weeks Plan'!$D$6,'Planning Sheet'!BI109='Weeks Plan'!$G$6),'Planning Sheet'!$BK109,"")</f>
        <v/>
      </c>
    </row>
    <row r="1587" spans="25:27" x14ac:dyDescent="0.3">
      <c r="Y1587" s="48" t="str">
        <f ca="1">IF(AND('Planning Sheet'!BO110='Weeks Plan'!$D$6,'Planning Sheet'!BI110='Weeks Plan'!$G$6),'Planning Sheet'!$B110,"")</f>
        <v/>
      </c>
      <c r="Z1587" s="48" t="str">
        <f ca="1">IF(AND('Planning Sheet'!BO110='Weeks Plan'!$D$6,'Planning Sheet'!BI110='Weeks Plan'!$G$6),'Planning Sheet'!$BJ110,"")</f>
        <v/>
      </c>
      <c r="AA1587" s="48" t="str">
        <f ca="1">IF(AND('Planning Sheet'!BO110='Weeks Plan'!$D$6,'Planning Sheet'!BI110='Weeks Plan'!$G$6),'Planning Sheet'!$BK110,"")</f>
        <v/>
      </c>
    </row>
    <row r="1588" spans="25:27" x14ac:dyDescent="0.3">
      <c r="Y1588" s="48" t="str">
        <f ca="1">IF(AND('Planning Sheet'!BO111='Weeks Plan'!$D$6,'Planning Sheet'!BI111='Weeks Plan'!$G$6),'Planning Sheet'!$B111,"")</f>
        <v/>
      </c>
      <c r="Z1588" s="48" t="str">
        <f ca="1">IF(AND('Planning Sheet'!BO111='Weeks Plan'!$D$6,'Planning Sheet'!BI111='Weeks Plan'!$G$6),'Planning Sheet'!$BJ111,"")</f>
        <v/>
      </c>
      <c r="AA1588" s="48" t="str">
        <f ca="1">IF(AND('Planning Sheet'!BO111='Weeks Plan'!$D$6,'Planning Sheet'!BI111='Weeks Plan'!$G$6),'Planning Sheet'!$BK111,"")</f>
        <v/>
      </c>
    </row>
    <row r="1589" spans="25:27" x14ac:dyDescent="0.3">
      <c r="Y1589" s="48" t="str">
        <f ca="1">IF(AND('Planning Sheet'!BO112='Weeks Plan'!$D$6,'Planning Sheet'!BI112='Weeks Plan'!$G$6),'Planning Sheet'!$B112,"")</f>
        <v/>
      </c>
      <c r="Z1589" s="48" t="str">
        <f ca="1">IF(AND('Planning Sheet'!BO112='Weeks Plan'!$D$6,'Planning Sheet'!BI112='Weeks Plan'!$G$6),'Planning Sheet'!$BJ112,"")</f>
        <v/>
      </c>
      <c r="AA1589" s="48" t="str">
        <f ca="1">IF(AND('Planning Sheet'!BO112='Weeks Plan'!$D$6,'Planning Sheet'!BI112='Weeks Plan'!$G$6),'Planning Sheet'!$BK112,"")</f>
        <v/>
      </c>
    </row>
    <row r="1590" spans="25:27" x14ac:dyDescent="0.3">
      <c r="Y1590" s="48" t="str">
        <f ca="1">IF(AND('Planning Sheet'!BO113='Weeks Plan'!$D$6,'Planning Sheet'!BI113='Weeks Plan'!$G$6),'Planning Sheet'!$B113,"")</f>
        <v/>
      </c>
      <c r="Z1590" s="48" t="str">
        <f ca="1">IF(AND('Planning Sheet'!BO113='Weeks Plan'!$D$6,'Planning Sheet'!BI113='Weeks Plan'!$G$6),'Planning Sheet'!$BJ113,"")</f>
        <v/>
      </c>
      <c r="AA1590" s="48" t="str">
        <f ca="1">IF(AND('Planning Sheet'!BO113='Weeks Plan'!$D$6,'Planning Sheet'!BI113='Weeks Plan'!$G$6),'Planning Sheet'!$BK113,"")</f>
        <v/>
      </c>
    </row>
    <row r="1591" spans="25:27" x14ac:dyDescent="0.3">
      <c r="Y1591" s="48" t="str">
        <f ca="1">IF(AND('Planning Sheet'!BO114='Weeks Plan'!$D$6,'Planning Sheet'!BI114='Weeks Plan'!$G$6),'Planning Sheet'!$B114,"")</f>
        <v/>
      </c>
      <c r="Z1591" s="48" t="str">
        <f ca="1">IF(AND('Planning Sheet'!BO114='Weeks Plan'!$D$6,'Planning Sheet'!BI114='Weeks Plan'!$G$6),'Planning Sheet'!$BJ114,"")</f>
        <v/>
      </c>
      <c r="AA1591" s="48" t="str">
        <f ca="1">IF(AND('Planning Sheet'!BO114='Weeks Plan'!$D$6,'Planning Sheet'!BI114='Weeks Plan'!$G$6),'Planning Sheet'!$BK114,"")</f>
        <v/>
      </c>
    </row>
    <row r="1592" spans="25:27" x14ac:dyDescent="0.3">
      <c r="Y1592" s="48" t="str">
        <f ca="1">IF(AND('Planning Sheet'!BO115='Weeks Plan'!$D$6,'Planning Sheet'!BI115='Weeks Plan'!$G$6),'Planning Sheet'!$B115,"")</f>
        <v/>
      </c>
      <c r="Z1592" s="48" t="str">
        <f ca="1">IF(AND('Planning Sheet'!BO115='Weeks Plan'!$D$6,'Planning Sheet'!BI115='Weeks Plan'!$G$6),'Planning Sheet'!$BJ115,"")</f>
        <v/>
      </c>
      <c r="AA1592" s="48" t="str">
        <f ca="1">IF(AND('Planning Sheet'!BO115='Weeks Plan'!$D$6,'Planning Sheet'!BI115='Weeks Plan'!$G$6),'Planning Sheet'!$BK115,"")</f>
        <v/>
      </c>
    </row>
    <row r="1593" spans="25:27" x14ac:dyDescent="0.3">
      <c r="Y1593" s="48" t="str">
        <f ca="1">IF(AND('Planning Sheet'!BO116='Weeks Plan'!$D$6,'Planning Sheet'!BI116='Weeks Plan'!$G$6),'Planning Sheet'!$B116,"")</f>
        <v/>
      </c>
      <c r="Z1593" s="48" t="str">
        <f ca="1">IF(AND('Planning Sheet'!BO116='Weeks Plan'!$D$6,'Planning Sheet'!BI116='Weeks Plan'!$G$6),'Planning Sheet'!$BJ116,"")</f>
        <v/>
      </c>
      <c r="AA1593" s="48" t="str">
        <f ca="1">IF(AND('Planning Sheet'!BO116='Weeks Plan'!$D$6,'Planning Sheet'!BI116='Weeks Plan'!$G$6),'Planning Sheet'!$BK116,"")</f>
        <v/>
      </c>
    </row>
    <row r="1594" spans="25:27" x14ac:dyDescent="0.3">
      <c r="Y1594" s="48" t="str">
        <f ca="1">IF(AND('Planning Sheet'!BO117='Weeks Plan'!$D$6,'Planning Sheet'!BI117='Weeks Plan'!$G$6),'Planning Sheet'!$B117,"")</f>
        <v/>
      </c>
      <c r="Z1594" s="48" t="str">
        <f ca="1">IF(AND('Planning Sheet'!BO117='Weeks Plan'!$D$6,'Planning Sheet'!BI117='Weeks Plan'!$G$6),'Planning Sheet'!$BJ117,"")</f>
        <v/>
      </c>
      <c r="AA1594" s="48" t="str">
        <f ca="1">IF(AND('Planning Sheet'!BO117='Weeks Plan'!$D$6,'Planning Sheet'!BI117='Weeks Plan'!$G$6),'Planning Sheet'!$BK117,"")</f>
        <v/>
      </c>
    </row>
    <row r="1595" spans="25:27" x14ac:dyDescent="0.3">
      <c r="Y1595" s="48" t="str">
        <f ca="1">IF(AND('Planning Sheet'!BO118='Weeks Plan'!$D$6,'Planning Sheet'!BI118='Weeks Plan'!$G$6),'Planning Sheet'!$B118,"")</f>
        <v/>
      </c>
      <c r="Z1595" s="48" t="str">
        <f ca="1">IF(AND('Planning Sheet'!BO118='Weeks Plan'!$D$6,'Planning Sheet'!BI118='Weeks Plan'!$G$6),'Planning Sheet'!$BJ118,"")</f>
        <v/>
      </c>
      <c r="AA1595" s="48" t="str">
        <f ca="1">IF(AND('Planning Sheet'!BO118='Weeks Plan'!$D$6,'Planning Sheet'!BI118='Weeks Plan'!$G$6),'Planning Sheet'!$BK118,"")</f>
        <v/>
      </c>
    </row>
    <row r="1596" spans="25:27" x14ac:dyDescent="0.3">
      <c r="Y1596" s="48" t="str">
        <f ca="1">IF(AND('Planning Sheet'!BO119='Weeks Plan'!$D$6,'Planning Sheet'!BI119='Weeks Plan'!$G$6),'Planning Sheet'!$B119,"")</f>
        <v/>
      </c>
      <c r="Z1596" s="48" t="str">
        <f ca="1">IF(AND('Planning Sheet'!BO119='Weeks Plan'!$D$6,'Planning Sheet'!BI119='Weeks Plan'!$G$6),'Planning Sheet'!$BJ119,"")</f>
        <v/>
      </c>
      <c r="AA1596" s="48" t="str">
        <f ca="1">IF(AND('Planning Sheet'!BO119='Weeks Plan'!$D$6,'Planning Sheet'!BI119='Weeks Plan'!$G$6),'Planning Sheet'!$BK119,"")</f>
        <v/>
      </c>
    </row>
    <row r="1597" spans="25:27" x14ac:dyDescent="0.3">
      <c r="Y1597" s="48" t="str">
        <f ca="1">IF(AND('Planning Sheet'!BO120='Weeks Plan'!$D$6,'Planning Sheet'!BI120='Weeks Plan'!$G$6),'Planning Sheet'!$B120,"")</f>
        <v/>
      </c>
      <c r="Z1597" s="48" t="str">
        <f ca="1">IF(AND('Planning Sheet'!BO120='Weeks Plan'!$D$6,'Planning Sheet'!BI120='Weeks Plan'!$G$6),'Planning Sheet'!$BJ120,"")</f>
        <v/>
      </c>
      <c r="AA1597" s="48" t="str">
        <f ca="1">IF(AND('Planning Sheet'!BO120='Weeks Plan'!$D$6,'Planning Sheet'!BI120='Weeks Plan'!$G$6),'Planning Sheet'!$BK120,"")</f>
        <v/>
      </c>
    </row>
    <row r="1598" spans="25:27" x14ac:dyDescent="0.3">
      <c r="Y1598" s="48" t="str">
        <f ca="1">IF(AND('Planning Sheet'!BO121='Weeks Plan'!$D$6,'Planning Sheet'!BI121='Weeks Plan'!$G$6),'Planning Sheet'!$B121,"")</f>
        <v/>
      </c>
      <c r="Z1598" s="48" t="str">
        <f ca="1">IF(AND('Planning Sheet'!BO121='Weeks Plan'!$D$6,'Planning Sheet'!BI121='Weeks Plan'!$G$6),'Planning Sheet'!$BJ121,"")</f>
        <v/>
      </c>
      <c r="AA1598" s="48" t="str">
        <f ca="1">IF(AND('Planning Sheet'!BO121='Weeks Plan'!$D$6,'Planning Sheet'!BI121='Weeks Plan'!$G$6),'Planning Sheet'!$BK121,"")</f>
        <v/>
      </c>
    </row>
    <row r="1599" spans="25:27" x14ac:dyDescent="0.3">
      <c r="Y1599" s="48" t="str">
        <f ca="1">IF(AND('Planning Sheet'!BO122='Weeks Plan'!$D$6,'Planning Sheet'!BI122='Weeks Plan'!$G$6),'Planning Sheet'!$B122,"")</f>
        <v/>
      </c>
      <c r="Z1599" s="48" t="str">
        <f ca="1">IF(AND('Planning Sheet'!BO122='Weeks Plan'!$D$6,'Planning Sheet'!BI122='Weeks Plan'!$G$6),'Planning Sheet'!$BJ122,"")</f>
        <v/>
      </c>
      <c r="AA1599" s="48" t="str">
        <f ca="1">IF(AND('Planning Sheet'!BO122='Weeks Plan'!$D$6,'Planning Sheet'!BI122='Weeks Plan'!$G$6),'Planning Sheet'!$BK122,"")</f>
        <v/>
      </c>
    </row>
    <row r="1600" spans="25:27" x14ac:dyDescent="0.3">
      <c r="Y1600" s="48" t="str">
        <f ca="1">IF(AND('Planning Sheet'!BO123='Weeks Plan'!$D$6,'Planning Sheet'!BI123='Weeks Plan'!$G$6),'Planning Sheet'!$B123,"")</f>
        <v/>
      </c>
      <c r="Z1600" s="48" t="str">
        <f ca="1">IF(AND('Planning Sheet'!BO123='Weeks Plan'!$D$6,'Planning Sheet'!BI123='Weeks Plan'!$G$6),'Planning Sheet'!$BJ123,"")</f>
        <v/>
      </c>
      <c r="AA1600" s="48" t="str">
        <f ca="1">IF(AND('Planning Sheet'!BO123='Weeks Plan'!$D$6,'Planning Sheet'!BI123='Weeks Plan'!$G$6),'Planning Sheet'!$BK123,"")</f>
        <v/>
      </c>
    </row>
    <row r="1601" spans="25:27" x14ac:dyDescent="0.3">
      <c r="Y1601" s="48" t="str">
        <f ca="1">IF(AND('Planning Sheet'!BO124='Weeks Plan'!$D$6,'Planning Sheet'!BI124='Weeks Plan'!$G$6),'Planning Sheet'!$B124,"")</f>
        <v/>
      </c>
      <c r="Z1601" s="48" t="str">
        <f ca="1">IF(AND('Planning Sheet'!BO124='Weeks Plan'!$D$6,'Planning Sheet'!BI124='Weeks Plan'!$G$6),'Planning Sheet'!$BJ124,"")</f>
        <v/>
      </c>
      <c r="AA1601" s="48" t="str">
        <f ca="1">IF(AND('Planning Sheet'!BO124='Weeks Plan'!$D$6,'Planning Sheet'!BI124='Weeks Plan'!$G$6),'Planning Sheet'!$BK124,"")</f>
        <v/>
      </c>
    </row>
    <row r="1602" spans="25:27" x14ac:dyDescent="0.3">
      <c r="Y1602" s="48" t="str">
        <f ca="1">IF(AND('Planning Sheet'!BO125='Weeks Plan'!$D$6,'Planning Sheet'!BI125='Weeks Plan'!$G$6),'Planning Sheet'!$B125,"")</f>
        <v/>
      </c>
      <c r="Z1602" s="48" t="str">
        <f ca="1">IF(AND('Planning Sheet'!BO125='Weeks Plan'!$D$6,'Planning Sheet'!BI125='Weeks Plan'!$G$6),'Planning Sheet'!$BJ125,"")</f>
        <v/>
      </c>
      <c r="AA1602" s="48" t="str">
        <f ca="1">IF(AND('Planning Sheet'!BO125='Weeks Plan'!$D$6,'Planning Sheet'!BI125='Weeks Plan'!$G$6),'Planning Sheet'!$BK125,"")</f>
        <v/>
      </c>
    </row>
    <row r="1603" spans="25:27" x14ac:dyDescent="0.3">
      <c r="Y1603" s="48" t="str">
        <f ca="1">IF(AND('Planning Sheet'!BO126='Weeks Plan'!$D$6,'Planning Sheet'!BI126='Weeks Plan'!$G$6),'Planning Sheet'!$B126,"")</f>
        <v/>
      </c>
      <c r="Z1603" s="48" t="str">
        <f ca="1">IF(AND('Planning Sheet'!BO126='Weeks Plan'!$D$6,'Planning Sheet'!BI126='Weeks Plan'!$G$6),'Planning Sheet'!$BJ126,"")</f>
        <v/>
      </c>
      <c r="AA1603" s="48" t="str">
        <f ca="1">IF(AND('Planning Sheet'!BO126='Weeks Plan'!$D$6,'Planning Sheet'!BI126='Weeks Plan'!$G$6),'Planning Sheet'!$BK126,"")</f>
        <v/>
      </c>
    </row>
    <row r="1604" spans="25:27" x14ac:dyDescent="0.3">
      <c r="Y1604" s="48" t="str">
        <f ca="1">IF(AND('Planning Sheet'!BO127='Weeks Plan'!$D$6,'Planning Sheet'!BI127='Weeks Plan'!$G$6),'Planning Sheet'!$B127,"")</f>
        <v/>
      </c>
      <c r="Z1604" s="48" t="str">
        <f ca="1">IF(AND('Planning Sheet'!BO127='Weeks Plan'!$D$6,'Planning Sheet'!BI127='Weeks Plan'!$G$6),'Planning Sheet'!$BJ127,"")</f>
        <v/>
      </c>
      <c r="AA1604" s="48" t="str">
        <f ca="1">IF(AND('Planning Sheet'!BO127='Weeks Plan'!$D$6,'Planning Sheet'!BI127='Weeks Plan'!$G$6),'Planning Sheet'!$BK127,"")</f>
        <v/>
      </c>
    </row>
    <row r="1605" spans="25:27" x14ac:dyDescent="0.3">
      <c r="Y1605" s="48" t="str">
        <f ca="1">IF(AND('Planning Sheet'!BO128='Weeks Plan'!$D$6,'Planning Sheet'!BI128='Weeks Plan'!$G$6),'Planning Sheet'!$B128,"")</f>
        <v/>
      </c>
      <c r="Z1605" s="48" t="str">
        <f ca="1">IF(AND('Planning Sheet'!BO128='Weeks Plan'!$D$6,'Planning Sheet'!BI128='Weeks Plan'!$G$6),'Planning Sheet'!$BJ128,"")</f>
        <v/>
      </c>
      <c r="AA1605" s="48" t="str">
        <f ca="1">IF(AND('Planning Sheet'!BO128='Weeks Plan'!$D$6,'Planning Sheet'!BI128='Weeks Plan'!$G$6),'Planning Sheet'!$BK128,"")</f>
        <v/>
      </c>
    </row>
    <row r="1606" spans="25:27" x14ac:dyDescent="0.3">
      <c r="Y1606" s="48" t="str">
        <f ca="1">IF(AND('Planning Sheet'!BO129='Weeks Plan'!$D$6,'Planning Sheet'!BI129='Weeks Plan'!$G$6),'Planning Sheet'!$B129,"")</f>
        <v/>
      </c>
      <c r="Z1606" s="48" t="str">
        <f ca="1">IF(AND('Planning Sheet'!BO129='Weeks Plan'!$D$6,'Planning Sheet'!BI129='Weeks Plan'!$G$6),'Planning Sheet'!$BJ129,"")</f>
        <v/>
      </c>
      <c r="AA1606" s="48" t="str">
        <f ca="1">IF(AND('Planning Sheet'!BO129='Weeks Plan'!$D$6,'Planning Sheet'!BI129='Weeks Plan'!$G$6),'Planning Sheet'!$BK129,"")</f>
        <v/>
      </c>
    </row>
    <row r="1607" spans="25:27" x14ac:dyDescent="0.3">
      <c r="Y1607" s="48" t="str">
        <f ca="1">IF(AND('Planning Sheet'!BO130='Weeks Plan'!$D$6,'Planning Sheet'!BI130='Weeks Plan'!$G$6),'Planning Sheet'!$B130,"")</f>
        <v/>
      </c>
      <c r="Z1607" s="48" t="str">
        <f ca="1">IF(AND('Planning Sheet'!BO130='Weeks Plan'!$D$6,'Planning Sheet'!BI130='Weeks Plan'!$G$6),'Planning Sheet'!$BJ130,"")</f>
        <v/>
      </c>
      <c r="AA1607" s="48" t="str">
        <f ca="1">IF(AND('Planning Sheet'!BO130='Weeks Plan'!$D$6,'Planning Sheet'!BI130='Weeks Plan'!$G$6),'Planning Sheet'!$BK130,"")</f>
        <v/>
      </c>
    </row>
    <row r="1608" spans="25:27" x14ac:dyDescent="0.3">
      <c r="Y1608" s="48" t="str">
        <f ca="1">IF(AND('Planning Sheet'!BO131='Weeks Plan'!$D$6,'Planning Sheet'!BI131='Weeks Plan'!$G$6),'Planning Sheet'!$B131,"")</f>
        <v/>
      </c>
      <c r="Z1608" s="48" t="str">
        <f ca="1">IF(AND('Planning Sheet'!BO131='Weeks Plan'!$D$6,'Planning Sheet'!BI131='Weeks Plan'!$G$6),'Planning Sheet'!$BJ131,"")</f>
        <v/>
      </c>
      <c r="AA1608" s="48" t="str">
        <f ca="1">IF(AND('Planning Sheet'!BO131='Weeks Plan'!$D$6,'Planning Sheet'!BI131='Weeks Plan'!$G$6),'Planning Sheet'!$BK131,"")</f>
        <v/>
      </c>
    </row>
    <row r="1609" spans="25:27" x14ac:dyDescent="0.3">
      <c r="Y1609" s="48" t="str">
        <f ca="1">IF(AND('Planning Sheet'!BO132='Weeks Plan'!$D$6,'Planning Sheet'!BI132='Weeks Plan'!$G$6),'Planning Sheet'!$B132,"")</f>
        <v/>
      </c>
      <c r="Z1609" s="48" t="str">
        <f ca="1">IF(AND('Planning Sheet'!BO132='Weeks Plan'!$D$6,'Planning Sheet'!BI132='Weeks Plan'!$G$6),'Planning Sheet'!$BJ132,"")</f>
        <v/>
      </c>
      <c r="AA1609" s="48" t="str">
        <f ca="1">IF(AND('Planning Sheet'!BO132='Weeks Plan'!$D$6,'Planning Sheet'!BI132='Weeks Plan'!$G$6),'Planning Sheet'!$BK132,"")</f>
        <v/>
      </c>
    </row>
    <row r="1610" spans="25:27" x14ac:dyDescent="0.3">
      <c r="Y1610" s="48" t="str">
        <f ca="1">IF(AND('Planning Sheet'!BO133='Weeks Plan'!$D$6,'Planning Sheet'!BI133='Weeks Plan'!$G$6),'Planning Sheet'!$B133,"")</f>
        <v/>
      </c>
      <c r="Z1610" s="48" t="str">
        <f ca="1">IF(AND('Planning Sheet'!BO133='Weeks Plan'!$D$6,'Planning Sheet'!BI133='Weeks Plan'!$G$6),'Planning Sheet'!$BJ133,"")</f>
        <v/>
      </c>
      <c r="AA1610" s="48" t="str">
        <f ca="1">IF(AND('Planning Sheet'!BO133='Weeks Plan'!$D$6,'Planning Sheet'!BI133='Weeks Plan'!$G$6),'Planning Sheet'!$BK133,"")</f>
        <v/>
      </c>
    </row>
    <row r="1611" spans="25:27" x14ac:dyDescent="0.3">
      <c r="Y1611" s="48" t="str">
        <f ca="1">IF(AND('Planning Sheet'!BO134='Weeks Plan'!$D$6,'Planning Sheet'!BI134='Weeks Plan'!$G$6),'Planning Sheet'!$B134,"")</f>
        <v/>
      </c>
      <c r="Z1611" s="48" t="str">
        <f ca="1">IF(AND('Planning Sheet'!BO134='Weeks Plan'!$D$6,'Planning Sheet'!BI134='Weeks Plan'!$G$6),'Planning Sheet'!$BJ134,"")</f>
        <v/>
      </c>
      <c r="AA1611" s="48" t="str">
        <f ca="1">IF(AND('Planning Sheet'!BO134='Weeks Plan'!$D$6,'Planning Sheet'!BI134='Weeks Plan'!$G$6),'Planning Sheet'!$BK134,"")</f>
        <v/>
      </c>
    </row>
    <row r="1612" spans="25:27" x14ac:dyDescent="0.3">
      <c r="Y1612" s="48" t="str">
        <f ca="1">IF(AND('Planning Sheet'!BO135='Weeks Plan'!$D$6,'Planning Sheet'!BI135='Weeks Plan'!$G$6),'Planning Sheet'!$B135,"")</f>
        <v/>
      </c>
      <c r="Z1612" s="48" t="str">
        <f ca="1">IF(AND('Planning Sheet'!BO135='Weeks Plan'!$D$6,'Planning Sheet'!BI135='Weeks Plan'!$G$6),'Planning Sheet'!$BJ135,"")</f>
        <v/>
      </c>
      <c r="AA1612" s="48" t="str">
        <f ca="1">IF(AND('Planning Sheet'!BO135='Weeks Plan'!$D$6,'Planning Sheet'!BI135='Weeks Plan'!$G$6),'Planning Sheet'!$BK135,"")</f>
        <v/>
      </c>
    </row>
    <row r="1613" spans="25:27" x14ac:dyDescent="0.3">
      <c r="Y1613" s="48" t="str">
        <f ca="1">IF(AND('Planning Sheet'!BO136='Weeks Plan'!$D$6,'Planning Sheet'!BI136='Weeks Plan'!$G$6),'Planning Sheet'!$B136,"")</f>
        <v/>
      </c>
      <c r="Z1613" s="48" t="str">
        <f ca="1">IF(AND('Planning Sheet'!BO136='Weeks Plan'!$D$6,'Planning Sheet'!BI136='Weeks Plan'!$G$6),'Planning Sheet'!$BJ136,"")</f>
        <v/>
      </c>
      <c r="AA1613" s="48" t="str">
        <f ca="1">IF(AND('Planning Sheet'!BO136='Weeks Plan'!$D$6,'Planning Sheet'!BI136='Weeks Plan'!$G$6),'Planning Sheet'!$BK136,"")</f>
        <v/>
      </c>
    </row>
    <row r="1614" spans="25:27" x14ac:dyDescent="0.3">
      <c r="Y1614" s="48" t="str">
        <f ca="1">IF(AND('Planning Sheet'!BO137='Weeks Plan'!$D$6,'Planning Sheet'!BI137='Weeks Plan'!$G$6),'Planning Sheet'!$B137,"")</f>
        <v/>
      </c>
      <c r="Z1614" s="48" t="str">
        <f ca="1">IF(AND('Planning Sheet'!BO137='Weeks Plan'!$D$6,'Planning Sheet'!BI137='Weeks Plan'!$G$6),'Planning Sheet'!$BJ137,"")</f>
        <v/>
      </c>
      <c r="AA1614" s="48" t="str">
        <f ca="1">IF(AND('Planning Sheet'!BO137='Weeks Plan'!$D$6,'Planning Sheet'!BI137='Weeks Plan'!$G$6),'Planning Sheet'!$BK137,"")</f>
        <v/>
      </c>
    </row>
    <row r="1615" spans="25:27" x14ac:dyDescent="0.3">
      <c r="Y1615" s="48" t="str">
        <f ca="1">IF(AND('Planning Sheet'!BO138='Weeks Plan'!$D$6,'Planning Sheet'!BI138='Weeks Plan'!$G$6),'Planning Sheet'!$B138,"")</f>
        <v/>
      </c>
      <c r="Z1615" s="48" t="str">
        <f ca="1">IF(AND('Planning Sheet'!BO138='Weeks Plan'!$D$6,'Planning Sheet'!BI138='Weeks Plan'!$G$6),'Planning Sheet'!$BJ138,"")</f>
        <v/>
      </c>
      <c r="AA1615" s="48" t="str">
        <f ca="1">IF(AND('Planning Sheet'!BO138='Weeks Plan'!$D$6,'Planning Sheet'!BI138='Weeks Plan'!$G$6),'Planning Sheet'!$BK138,"")</f>
        <v/>
      </c>
    </row>
    <row r="1616" spans="25:27" x14ac:dyDescent="0.3">
      <c r="Y1616" s="48" t="str">
        <f ca="1">IF(AND('Planning Sheet'!BO139='Weeks Plan'!$D$6,'Planning Sheet'!BI139='Weeks Plan'!$G$6),'Planning Sheet'!$B139,"")</f>
        <v/>
      </c>
      <c r="Z1616" s="48" t="str">
        <f ca="1">IF(AND('Planning Sheet'!BO139='Weeks Plan'!$D$6,'Planning Sheet'!BI139='Weeks Plan'!$G$6),'Planning Sheet'!$BJ139,"")</f>
        <v/>
      </c>
      <c r="AA1616" s="48" t="str">
        <f ca="1">IF(AND('Planning Sheet'!BO139='Weeks Plan'!$D$6,'Planning Sheet'!BI139='Weeks Plan'!$G$6),'Planning Sheet'!$BK139,"")</f>
        <v/>
      </c>
    </row>
    <row r="1617" spans="25:27" x14ac:dyDescent="0.3">
      <c r="Y1617" s="48" t="str">
        <f ca="1">IF(AND('Planning Sheet'!BO140='Weeks Plan'!$D$6,'Planning Sheet'!BI140='Weeks Plan'!$G$6),'Planning Sheet'!$B140,"")</f>
        <v/>
      </c>
      <c r="Z1617" s="48" t="str">
        <f ca="1">IF(AND('Planning Sheet'!BO140='Weeks Plan'!$D$6,'Planning Sheet'!BI140='Weeks Plan'!$G$6),'Planning Sheet'!$BJ140,"")</f>
        <v/>
      </c>
      <c r="AA1617" s="48" t="str">
        <f ca="1">IF(AND('Planning Sheet'!BO140='Weeks Plan'!$D$6,'Planning Sheet'!BI140='Weeks Plan'!$G$6),'Planning Sheet'!$BK140,"")</f>
        <v/>
      </c>
    </row>
    <row r="1618" spans="25:27" x14ac:dyDescent="0.3">
      <c r="Y1618" s="48" t="str">
        <f ca="1">IF(AND('Planning Sheet'!BO141='Weeks Plan'!$D$6,'Planning Sheet'!BI141='Weeks Plan'!$G$6),'Planning Sheet'!$B141,"")</f>
        <v/>
      </c>
      <c r="Z1618" s="48" t="str">
        <f ca="1">IF(AND('Planning Sheet'!BO141='Weeks Plan'!$D$6,'Planning Sheet'!BI141='Weeks Plan'!$G$6),'Planning Sheet'!$BJ141,"")</f>
        <v/>
      </c>
      <c r="AA1618" s="48" t="str">
        <f ca="1">IF(AND('Planning Sheet'!BO141='Weeks Plan'!$D$6,'Planning Sheet'!BI141='Weeks Plan'!$G$6),'Planning Sheet'!$BK141,"")</f>
        <v/>
      </c>
    </row>
    <row r="1619" spans="25:27" x14ac:dyDescent="0.3">
      <c r="Y1619" s="48" t="str">
        <f ca="1">IF(AND('Planning Sheet'!BO142='Weeks Plan'!$D$6,'Planning Sheet'!BI142='Weeks Plan'!$G$6),'Planning Sheet'!$B142,"")</f>
        <v/>
      </c>
      <c r="Z1619" s="48" t="str">
        <f ca="1">IF(AND('Planning Sheet'!BO142='Weeks Plan'!$D$6,'Planning Sheet'!BI142='Weeks Plan'!$G$6),'Planning Sheet'!$BJ142,"")</f>
        <v/>
      </c>
      <c r="AA1619" s="48" t="str">
        <f ca="1">IF(AND('Planning Sheet'!BO142='Weeks Plan'!$D$6,'Planning Sheet'!BI142='Weeks Plan'!$G$6),'Planning Sheet'!$BK142,"")</f>
        <v/>
      </c>
    </row>
    <row r="1620" spans="25:27" x14ac:dyDescent="0.3">
      <c r="Y1620" s="48" t="str">
        <f ca="1">IF(AND('Planning Sheet'!BO143='Weeks Plan'!$D$6,'Planning Sheet'!BI143='Weeks Plan'!$G$6),'Planning Sheet'!$B143,"")</f>
        <v/>
      </c>
      <c r="Z1620" s="48" t="str">
        <f ca="1">IF(AND('Planning Sheet'!BO143='Weeks Plan'!$D$6,'Planning Sheet'!BI143='Weeks Plan'!$G$6),'Planning Sheet'!$BJ143,"")</f>
        <v/>
      </c>
      <c r="AA1620" s="48" t="str">
        <f ca="1">IF(AND('Planning Sheet'!BO143='Weeks Plan'!$D$6,'Planning Sheet'!BI143='Weeks Plan'!$G$6),'Planning Sheet'!$BK143,"")</f>
        <v/>
      </c>
    </row>
    <row r="1621" spans="25:27" x14ac:dyDescent="0.3">
      <c r="Y1621" s="48" t="str">
        <f ca="1">IF(AND('Planning Sheet'!BO144='Weeks Plan'!$D$6,'Planning Sheet'!BI144='Weeks Plan'!$G$6),'Planning Sheet'!$B144,"")</f>
        <v/>
      </c>
      <c r="Z1621" s="48" t="str">
        <f ca="1">IF(AND('Planning Sheet'!BO144='Weeks Plan'!$D$6,'Planning Sheet'!BI144='Weeks Plan'!$G$6),'Planning Sheet'!$BJ144,"")</f>
        <v/>
      </c>
      <c r="AA1621" s="48" t="str">
        <f ca="1">IF(AND('Planning Sheet'!BO144='Weeks Plan'!$D$6,'Planning Sheet'!BI144='Weeks Plan'!$G$6),'Planning Sheet'!$BK144,"")</f>
        <v/>
      </c>
    </row>
    <row r="1622" spans="25:27" x14ac:dyDescent="0.3">
      <c r="Y1622" s="48" t="str">
        <f ca="1">IF(AND('Planning Sheet'!BO145='Weeks Plan'!$D$6,'Planning Sheet'!BI145='Weeks Plan'!$G$6),'Planning Sheet'!$B145,"")</f>
        <v/>
      </c>
      <c r="Z1622" s="48" t="str">
        <f ca="1">IF(AND('Planning Sheet'!BO145='Weeks Plan'!$D$6,'Planning Sheet'!BI145='Weeks Plan'!$G$6),'Planning Sheet'!$BJ145,"")</f>
        <v/>
      </c>
      <c r="AA1622" s="48" t="str">
        <f ca="1">IF(AND('Planning Sheet'!BO145='Weeks Plan'!$D$6,'Planning Sheet'!BI145='Weeks Plan'!$G$6),'Planning Sheet'!$BK145,"")</f>
        <v/>
      </c>
    </row>
    <row r="1623" spans="25:27" x14ac:dyDescent="0.3">
      <c r="Y1623" s="48" t="str">
        <f ca="1">IF(AND('Planning Sheet'!BO146='Weeks Plan'!$D$6,'Planning Sheet'!BI146='Weeks Plan'!$G$6),'Planning Sheet'!$B146,"")</f>
        <v/>
      </c>
      <c r="Z1623" s="48" t="str">
        <f ca="1">IF(AND('Planning Sheet'!BO146='Weeks Plan'!$D$6,'Planning Sheet'!BI146='Weeks Plan'!$G$6),'Planning Sheet'!$BJ146,"")</f>
        <v/>
      </c>
      <c r="AA1623" s="48" t="str">
        <f ca="1">IF(AND('Planning Sheet'!BO146='Weeks Plan'!$D$6,'Planning Sheet'!BI146='Weeks Plan'!$G$6),'Planning Sheet'!$BK146,"")</f>
        <v/>
      </c>
    </row>
    <row r="1624" spans="25:27" x14ac:dyDescent="0.3">
      <c r="Y1624" s="48" t="str">
        <f ca="1">IF(AND('Planning Sheet'!BO147='Weeks Plan'!$D$6,'Planning Sheet'!BI147='Weeks Plan'!$G$6),'Planning Sheet'!$B147,"")</f>
        <v/>
      </c>
      <c r="Z1624" s="48" t="str">
        <f ca="1">IF(AND('Planning Sheet'!BO147='Weeks Plan'!$D$6,'Planning Sheet'!BI147='Weeks Plan'!$G$6),'Planning Sheet'!$BJ147,"")</f>
        <v/>
      </c>
      <c r="AA1624" s="48" t="str">
        <f ca="1">IF(AND('Planning Sheet'!BO147='Weeks Plan'!$D$6,'Planning Sheet'!BI147='Weeks Plan'!$G$6),'Planning Sheet'!$BK147,"")</f>
        <v/>
      </c>
    </row>
    <row r="1625" spans="25:27" x14ac:dyDescent="0.3">
      <c r="Y1625" s="48" t="str">
        <f ca="1">IF(AND('Planning Sheet'!BO148='Weeks Plan'!$D$6,'Planning Sheet'!BI148='Weeks Plan'!$G$6),'Planning Sheet'!$B148,"")</f>
        <v/>
      </c>
      <c r="Z1625" s="48" t="str">
        <f ca="1">IF(AND('Planning Sheet'!BO148='Weeks Plan'!$D$6,'Planning Sheet'!BI148='Weeks Plan'!$G$6),'Planning Sheet'!$BJ148,"")</f>
        <v/>
      </c>
      <c r="AA1625" s="48" t="str">
        <f ca="1">IF(AND('Planning Sheet'!BO148='Weeks Plan'!$D$6,'Planning Sheet'!BI148='Weeks Plan'!$G$6),'Planning Sheet'!$BK148,"")</f>
        <v/>
      </c>
    </row>
    <row r="1626" spans="25:27" x14ac:dyDescent="0.3">
      <c r="Y1626" s="48" t="str">
        <f ca="1">IF(AND('Planning Sheet'!BO149='Weeks Plan'!$D$6,'Planning Sheet'!BI149='Weeks Plan'!$G$6),'Planning Sheet'!$B149,"")</f>
        <v/>
      </c>
      <c r="Z1626" s="48" t="str">
        <f ca="1">IF(AND('Planning Sheet'!BO149='Weeks Plan'!$D$6,'Planning Sheet'!BI149='Weeks Plan'!$G$6),'Planning Sheet'!$BJ149,"")</f>
        <v/>
      </c>
      <c r="AA1626" s="48" t="str">
        <f ca="1">IF(AND('Planning Sheet'!BO149='Weeks Plan'!$D$6,'Planning Sheet'!BI149='Weeks Plan'!$G$6),'Planning Sheet'!$BK149,"")</f>
        <v/>
      </c>
    </row>
    <row r="1627" spans="25:27" x14ac:dyDescent="0.3">
      <c r="Y1627" s="48" t="str">
        <f ca="1">IF(AND('Planning Sheet'!BO150='Weeks Plan'!$D$6,'Planning Sheet'!BI150='Weeks Plan'!$G$6),'Planning Sheet'!$B150,"")</f>
        <v/>
      </c>
      <c r="Z1627" s="48" t="str">
        <f ca="1">IF(AND('Planning Sheet'!BO150='Weeks Plan'!$D$6,'Planning Sheet'!BI150='Weeks Plan'!$G$6),'Planning Sheet'!$BJ150,"")</f>
        <v/>
      </c>
      <c r="AA1627" s="48" t="str">
        <f ca="1">IF(AND('Planning Sheet'!BO150='Weeks Plan'!$D$6,'Planning Sheet'!BI150='Weeks Plan'!$G$6),'Planning Sheet'!$BK150,"")</f>
        <v/>
      </c>
    </row>
    <row r="1628" spans="25:27" x14ac:dyDescent="0.3">
      <c r="Y1628" s="48" t="str">
        <f ca="1">IF(AND('Planning Sheet'!BO151='Weeks Plan'!$D$6,'Planning Sheet'!BI151='Weeks Plan'!$G$6),'Planning Sheet'!$B151,"")</f>
        <v/>
      </c>
      <c r="Z1628" s="48" t="str">
        <f ca="1">IF(AND('Planning Sheet'!BO151='Weeks Plan'!$D$6,'Planning Sheet'!BI151='Weeks Plan'!$G$6),'Planning Sheet'!$BJ151,"")</f>
        <v/>
      </c>
      <c r="AA1628" s="48" t="str">
        <f ca="1">IF(AND('Planning Sheet'!BO151='Weeks Plan'!$D$6,'Planning Sheet'!BI151='Weeks Plan'!$G$6),'Planning Sheet'!$BK151,"")</f>
        <v/>
      </c>
    </row>
    <row r="1629" spans="25:27" x14ac:dyDescent="0.3">
      <c r="Y1629" s="48" t="str">
        <f ca="1">IF(AND('Planning Sheet'!BO152='Weeks Plan'!$D$6,'Planning Sheet'!BI152='Weeks Plan'!$G$6),'Planning Sheet'!$B152,"")</f>
        <v/>
      </c>
      <c r="Z1629" s="48" t="str">
        <f ca="1">IF(AND('Planning Sheet'!BO152='Weeks Plan'!$D$6,'Planning Sheet'!BI152='Weeks Plan'!$G$6),'Planning Sheet'!$BJ152,"")</f>
        <v/>
      </c>
      <c r="AA1629" s="48" t="str">
        <f ca="1">IF(AND('Planning Sheet'!BO152='Weeks Plan'!$D$6,'Planning Sheet'!BI152='Weeks Plan'!$G$6),'Planning Sheet'!$BK152,"")</f>
        <v/>
      </c>
    </row>
    <row r="1630" spans="25:27" x14ac:dyDescent="0.3">
      <c r="Y1630" s="48" t="str">
        <f ca="1">IF(AND('Planning Sheet'!BO153='Weeks Plan'!$D$6,'Planning Sheet'!BI153='Weeks Plan'!$G$6),'Planning Sheet'!$B153,"")</f>
        <v/>
      </c>
      <c r="Z1630" s="48" t="str">
        <f ca="1">IF(AND('Planning Sheet'!BO153='Weeks Plan'!$D$6,'Planning Sheet'!BI153='Weeks Plan'!$G$6),'Planning Sheet'!$BJ153,"")</f>
        <v/>
      </c>
      <c r="AA1630" s="48" t="str">
        <f ca="1">IF(AND('Planning Sheet'!BO153='Weeks Plan'!$D$6,'Planning Sheet'!BI153='Weeks Plan'!$G$6),'Planning Sheet'!$BK153,"")</f>
        <v/>
      </c>
    </row>
    <row r="1631" spans="25:27" x14ac:dyDescent="0.3">
      <c r="Y1631" s="48" t="str">
        <f ca="1">IF(AND('Planning Sheet'!BO154='Weeks Plan'!$D$6,'Planning Sheet'!BI154='Weeks Plan'!$G$6),'Planning Sheet'!$B154,"")</f>
        <v/>
      </c>
      <c r="Z1631" s="48" t="str">
        <f ca="1">IF(AND('Planning Sheet'!BO154='Weeks Plan'!$D$6,'Planning Sheet'!BI154='Weeks Plan'!$G$6),'Planning Sheet'!$BJ154,"")</f>
        <v/>
      </c>
      <c r="AA1631" s="48" t="str">
        <f ca="1">IF(AND('Planning Sheet'!BO154='Weeks Plan'!$D$6,'Planning Sheet'!BI154='Weeks Plan'!$G$6),'Planning Sheet'!$BK154,"")</f>
        <v/>
      </c>
    </row>
    <row r="1632" spans="25:27" x14ac:dyDescent="0.3">
      <c r="Y1632" s="48" t="str">
        <f ca="1">IF(AND('Planning Sheet'!BO155='Weeks Plan'!$D$6,'Planning Sheet'!BI155='Weeks Plan'!$G$6),'Planning Sheet'!$B155,"")</f>
        <v/>
      </c>
      <c r="Z1632" s="48" t="str">
        <f ca="1">IF(AND('Planning Sheet'!BO155='Weeks Plan'!$D$6,'Planning Sheet'!BI155='Weeks Plan'!$G$6),'Planning Sheet'!$BJ155,"")</f>
        <v/>
      </c>
      <c r="AA1632" s="48" t="str">
        <f ca="1">IF(AND('Planning Sheet'!BO155='Weeks Plan'!$D$6,'Planning Sheet'!BI155='Weeks Plan'!$G$6),'Planning Sheet'!$BK155,"")</f>
        <v/>
      </c>
    </row>
    <row r="1633" spans="25:27" x14ac:dyDescent="0.3">
      <c r="Y1633" s="48" t="str">
        <f ca="1">IF(AND('Planning Sheet'!BO156='Weeks Plan'!$D$6,'Planning Sheet'!BI156='Weeks Plan'!$G$6),'Planning Sheet'!$B156,"")</f>
        <v/>
      </c>
      <c r="Z1633" s="48" t="str">
        <f ca="1">IF(AND('Planning Sheet'!BO156='Weeks Plan'!$D$6,'Planning Sheet'!BI156='Weeks Plan'!$G$6),'Planning Sheet'!$BJ156,"")</f>
        <v/>
      </c>
      <c r="AA1633" s="48" t="str">
        <f ca="1">IF(AND('Planning Sheet'!BO156='Weeks Plan'!$D$6,'Planning Sheet'!BI156='Weeks Plan'!$G$6),'Planning Sheet'!$BK156,"")</f>
        <v/>
      </c>
    </row>
    <row r="1634" spans="25:27" x14ac:dyDescent="0.3">
      <c r="Y1634" s="48" t="str">
        <f ca="1">IF(AND('Planning Sheet'!BO157='Weeks Plan'!$D$6,'Planning Sheet'!BI157='Weeks Plan'!$G$6),'Planning Sheet'!$B157,"")</f>
        <v/>
      </c>
      <c r="Z1634" s="48" t="str">
        <f ca="1">IF(AND('Planning Sheet'!BO157='Weeks Plan'!$D$6,'Planning Sheet'!BI157='Weeks Plan'!$G$6),'Planning Sheet'!$BJ157,"")</f>
        <v/>
      </c>
      <c r="AA1634" s="48" t="str">
        <f ca="1">IF(AND('Planning Sheet'!BO157='Weeks Plan'!$D$6,'Planning Sheet'!BI157='Weeks Plan'!$G$6),'Planning Sheet'!$BK157,"")</f>
        <v/>
      </c>
    </row>
    <row r="1635" spans="25:27" x14ac:dyDescent="0.3">
      <c r="Y1635" s="48" t="str">
        <f ca="1">IF(AND('Planning Sheet'!BO158='Weeks Plan'!$D$6,'Planning Sheet'!BI158='Weeks Plan'!$G$6),'Planning Sheet'!$B158,"")</f>
        <v/>
      </c>
      <c r="Z1635" s="48" t="str">
        <f ca="1">IF(AND('Planning Sheet'!BO158='Weeks Plan'!$D$6,'Planning Sheet'!BI158='Weeks Plan'!$G$6),'Planning Sheet'!$BJ158,"")</f>
        <v/>
      </c>
      <c r="AA1635" s="48" t="str">
        <f ca="1">IF(AND('Planning Sheet'!BO158='Weeks Plan'!$D$6,'Planning Sheet'!BI158='Weeks Plan'!$G$6),'Planning Sheet'!$BK158,"")</f>
        <v/>
      </c>
    </row>
    <row r="1636" spans="25:27" x14ac:dyDescent="0.3">
      <c r="Y1636" s="48" t="str">
        <f ca="1">IF(AND('Planning Sheet'!BO159='Weeks Plan'!$D$6,'Planning Sheet'!BI159='Weeks Plan'!$G$6),'Planning Sheet'!$B159,"")</f>
        <v/>
      </c>
      <c r="Z1636" s="48" t="str">
        <f ca="1">IF(AND('Planning Sheet'!BO159='Weeks Plan'!$D$6,'Planning Sheet'!BI159='Weeks Plan'!$G$6),'Planning Sheet'!$BJ159,"")</f>
        <v/>
      </c>
      <c r="AA1636" s="48" t="str">
        <f ca="1">IF(AND('Planning Sheet'!BO159='Weeks Plan'!$D$6,'Planning Sheet'!BI159='Weeks Plan'!$G$6),'Planning Sheet'!$BK159,"")</f>
        <v/>
      </c>
    </row>
    <row r="1637" spans="25:27" x14ac:dyDescent="0.3">
      <c r="Y1637" s="48" t="str">
        <f ca="1">IF(AND('Planning Sheet'!BO160='Weeks Plan'!$D$6,'Planning Sheet'!BI160='Weeks Plan'!$G$6),'Planning Sheet'!$B160,"")</f>
        <v/>
      </c>
      <c r="Z1637" s="48" t="str">
        <f ca="1">IF(AND('Planning Sheet'!BO160='Weeks Plan'!$D$6,'Planning Sheet'!BI160='Weeks Plan'!$G$6),'Planning Sheet'!$BJ160,"")</f>
        <v/>
      </c>
      <c r="AA1637" s="48" t="str">
        <f ca="1">IF(AND('Planning Sheet'!BO160='Weeks Plan'!$D$6,'Planning Sheet'!BI160='Weeks Plan'!$G$6),'Planning Sheet'!$BK160,"")</f>
        <v/>
      </c>
    </row>
    <row r="1638" spans="25:27" x14ac:dyDescent="0.3">
      <c r="Y1638" s="48" t="str">
        <f ca="1">IF(AND('Planning Sheet'!BO161='Weeks Plan'!$D$6,'Planning Sheet'!BI161='Weeks Plan'!$G$6),'Planning Sheet'!$B161,"")</f>
        <v/>
      </c>
      <c r="Z1638" s="48" t="str">
        <f ca="1">IF(AND('Planning Sheet'!BO161='Weeks Plan'!$D$6,'Planning Sheet'!BI161='Weeks Plan'!$G$6),'Planning Sheet'!$BJ161,"")</f>
        <v/>
      </c>
      <c r="AA1638" s="48" t="str">
        <f ca="1">IF(AND('Planning Sheet'!BO161='Weeks Plan'!$D$6,'Planning Sheet'!BI161='Weeks Plan'!$G$6),'Planning Sheet'!$BK161,"")</f>
        <v/>
      </c>
    </row>
    <row r="1639" spans="25:27" x14ac:dyDescent="0.3">
      <c r="Y1639" s="48" t="str">
        <f ca="1">IF(AND('Planning Sheet'!BO162='Weeks Plan'!$D$6,'Planning Sheet'!BI162='Weeks Plan'!$G$6),'Planning Sheet'!$B162,"")</f>
        <v/>
      </c>
      <c r="Z1639" s="48" t="str">
        <f ca="1">IF(AND('Planning Sheet'!BO162='Weeks Plan'!$D$6,'Planning Sheet'!BI162='Weeks Plan'!$G$6),'Planning Sheet'!$BJ162,"")</f>
        <v/>
      </c>
      <c r="AA1639" s="48" t="str">
        <f ca="1">IF(AND('Planning Sheet'!BO162='Weeks Plan'!$D$6,'Planning Sheet'!BI162='Weeks Plan'!$G$6),'Planning Sheet'!$BK162,"")</f>
        <v/>
      </c>
    </row>
    <row r="1640" spans="25:27" x14ac:dyDescent="0.3">
      <c r="Y1640" s="48" t="str">
        <f ca="1">IF(AND('Planning Sheet'!BO163='Weeks Plan'!$D$6,'Planning Sheet'!BI163='Weeks Plan'!$G$6),'Planning Sheet'!$B163,"")</f>
        <v/>
      </c>
      <c r="Z1640" s="48" t="str">
        <f ca="1">IF(AND('Planning Sheet'!BO163='Weeks Plan'!$D$6,'Planning Sheet'!BI163='Weeks Plan'!$G$6),'Planning Sheet'!$BJ163,"")</f>
        <v/>
      </c>
      <c r="AA1640" s="48" t="str">
        <f ca="1">IF(AND('Planning Sheet'!BO163='Weeks Plan'!$D$6,'Planning Sheet'!BI163='Weeks Plan'!$G$6),'Planning Sheet'!$BK163,"")</f>
        <v/>
      </c>
    </row>
    <row r="1641" spans="25:27" x14ac:dyDescent="0.3">
      <c r="Y1641" s="48" t="str">
        <f ca="1">IF(AND('Planning Sheet'!BO164='Weeks Plan'!$D$6,'Planning Sheet'!BI164='Weeks Plan'!$G$6),'Planning Sheet'!$B164,"")</f>
        <v/>
      </c>
      <c r="Z1641" s="48" t="str">
        <f ca="1">IF(AND('Planning Sheet'!BO164='Weeks Plan'!$D$6,'Planning Sheet'!BI164='Weeks Plan'!$G$6),'Planning Sheet'!$BJ164,"")</f>
        <v/>
      </c>
      <c r="AA1641" s="48" t="str">
        <f ca="1">IF(AND('Planning Sheet'!BO164='Weeks Plan'!$D$6,'Planning Sheet'!BI164='Weeks Plan'!$G$6),'Planning Sheet'!$BK164,"")</f>
        <v/>
      </c>
    </row>
    <row r="1642" spans="25:27" x14ac:dyDescent="0.3">
      <c r="Y1642" s="48" t="str">
        <f ca="1">IF(AND('Planning Sheet'!BO165='Weeks Plan'!$D$6,'Planning Sheet'!BI165='Weeks Plan'!$G$6),'Planning Sheet'!$B165,"")</f>
        <v/>
      </c>
      <c r="Z1642" s="48" t="str">
        <f ca="1">IF(AND('Planning Sheet'!BO165='Weeks Plan'!$D$6,'Planning Sheet'!BI165='Weeks Plan'!$G$6),'Planning Sheet'!$BJ165,"")</f>
        <v/>
      </c>
      <c r="AA1642" s="48" t="str">
        <f ca="1">IF(AND('Planning Sheet'!BO165='Weeks Plan'!$D$6,'Planning Sheet'!BI165='Weeks Plan'!$G$6),'Planning Sheet'!$BK165,"")</f>
        <v/>
      </c>
    </row>
    <row r="1643" spans="25:27" x14ac:dyDescent="0.3">
      <c r="Y1643" s="48" t="str">
        <f ca="1">IF(AND('Planning Sheet'!BO166='Weeks Plan'!$D$6,'Planning Sheet'!BI166='Weeks Plan'!$G$6),'Planning Sheet'!$B166,"")</f>
        <v/>
      </c>
      <c r="Z1643" s="48" t="str">
        <f ca="1">IF(AND('Planning Sheet'!BO166='Weeks Plan'!$D$6,'Planning Sheet'!BI166='Weeks Plan'!$G$6),'Planning Sheet'!$BJ166,"")</f>
        <v/>
      </c>
      <c r="AA1643" s="48" t="str">
        <f ca="1">IF(AND('Planning Sheet'!BO166='Weeks Plan'!$D$6,'Planning Sheet'!BI166='Weeks Plan'!$G$6),'Planning Sheet'!$BK166,"")</f>
        <v/>
      </c>
    </row>
    <row r="1644" spans="25:27" x14ac:dyDescent="0.3">
      <c r="Y1644" s="48" t="str">
        <f ca="1">IF(AND('Planning Sheet'!BO167='Weeks Plan'!$D$6,'Planning Sheet'!BI167='Weeks Plan'!$G$6),'Planning Sheet'!$B167,"")</f>
        <v/>
      </c>
      <c r="Z1644" s="48" t="str">
        <f ca="1">IF(AND('Planning Sheet'!BO167='Weeks Plan'!$D$6,'Planning Sheet'!BI167='Weeks Plan'!$G$6),'Planning Sheet'!$BJ167,"")</f>
        <v/>
      </c>
      <c r="AA1644" s="48" t="str">
        <f ca="1">IF(AND('Planning Sheet'!BO167='Weeks Plan'!$D$6,'Planning Sheet'!BI167='Weeks Plan'!$G$6),'Planning Sheet'!$BK167,"")</f>
        <v/>
      </c>
    </row>
    <row r="1645" spans="25:27" x14ac:dyDescent="0.3">
      <c r="Y1645" s="48" t="str">
        <f ca="1">IF(AND('Planning Sheet'!BO168='Weeks Plan'!$D$6,'Planning Sheet'!BI168='Weeks Plan'!$G$6),'Planning Sheet'!$B168,"")</f>
        <v/>
      </c>
      <c r="Z1645" s="48" t="str">
        <f ca="1">IF(AND('Planning Sheet'!BO168='Weeks Plan'!$D$6,'Planning Sheet'!BI168='Weeks Plan'!$G$6),'Planning Sheet'!$BJ168,"")</f>
        <v/>
      </c>
      <c r="AA1645" s="48" t="str">
        <f ca="1">IF(AND('Planning Sheet'!BO168='Weeks Plan'!$D$6,'Planning Sheet'!BI168='Weeks Plan'!$G$6),'Planning Sheet'!$BK168,"")</f>
        <v/>
      </c>
    </row>
    <row r="1646" spans="25:27" x14ac:dyDescent="0.3">
      <c r="Y1646" s="48" t="str">
        <f ca="1">IF(AND('Planning Sheet'!BO169='Weeks Plan'!$D$6,'Planning Sheet'!BI169='Weeks Plan'!$G$6),'Planning Sheet'!$B169,"")</f>
        <v/>
      </c>
      <c r="Z1646" s="48" t="str">
        <f ca="1">IF(AND('Planning Sheet'!BO169='Weeks Plan'!$D$6,'Planning Sheet'!BI169='Weeks Plan'!$G$6),'Planning Sheet'!$BJ169,"")</f>
        <v/>
      </c>
      <c r="AA1646" s="48" t="str">
        <f ca="1">IF(AND('Planning Sheet'!BO169='Weeks Plan'!$D$6,'Planning Sheet'!BI169='Weeks Plan'!$G$6),'Planning Sheet'!$BK169,"")</f>
        <v/>
      </c>
    </row>
    <row r="1647" spans="25:27" x14ac:dyDescent="0.3">
      <c r="Y1647" s="48" t="str">
        <f ca="1">IF(AND('Planning Sheet'!BO170='Weeks Plan'!$D$6,'Planning Sheet'!BI170='Weeks Plan'!$G$6),'Planning Sheet'!$B170,"")</f>
        <v/>
      </c>
      <c r="Z1647" s="48" t="str">
        <f ca="1">IF(AND('Planning Sheet'!BO170='Weeks Plan'!$D$6,'Planning Sheet'!BI170='Weeks Plan'!$G$6),'Planning Sheet'!$BJ170,"")</f>
        <v/>
      </c>
      <c r="AA1647" s="48" t="str">
        <f ca="1">IF(AND('Planning Sheet'!BO170='Weeks Plan'!$D$6,'Planning Sheet'!BI170='Weeks Plan'!$G$6),'Planning Sheet'!$BK170,"")</f>
        <v/>
      </c>
    </row>
    <row r="1648" spans="25:27" x14ac:dyDescent="0.3">
      <c r="Y1648" s="48" t="str">
        <f ca="1">IF(AND('Planning Sheet'!BO171='Weeks Plan'!$D$6,'Planning Sheet'!BI171='Weeks Plan'!$G$6),'Planning Sheet'!$B171,"")</f>
        <v/>
      </c>
      <c r="Z1648" s="48" t="str">
        <f ca="1">IF(AND('Planning Sheet'!BO171='Weeks Plan'!$D$6,'Planning Sheet'!BI171='Weeks Plan'!$G$6),'Planning Sheet'!$BJ171,"")</f>
        <v/>
      </c>
      <c r="AA1648" s="48" t="str">
        <f ca="1">IF(AND('Planning Sheet'!BO171='Weeks Plan'!$D$6,'Planning Sheet'!BI171='Weeks Plan'!$G$6),'Planning Sheet'!$BK171,"")</f>
        <v/>
      </c>
    </row>
    <row r="1649" spans="25:27" x14ac:dyDescent="0.3">
      <c r="Y1649" s="48" t="str">
        <f ca="1">IF(AND('Planning Sheet'!BO172='Weeks Plan'!$D$6,'Planning Sheet'!BI172='Weeks Plan'!$G$6),'Planning Sheet'!$B172,"")</f>
        <v/>
      </c>
      <c r="Z1649" s="48" t="str">
        <f ca="1">IF(AND('Planning Sheet'!BO172='Weeks Plan'!$D$6,'Planning Sheet'!BI172='Weeks Plan'!$G$6),'Planning Sheet'!$BJ172,"")</f>
        <v/>
      </c>
      <c r="AA1649" s="48" t="str">
        <f ca="1">IF(AND('Planning Sheet'!BO172='Weeks Plan'!$D$6,'Planning Sheet'!BI172='Weeks Plan'!$G$6),'Planning Sheet'!$BK172,"")</f>
        <v/>
      </c>
    </row>
    <row r="1650" spans="25:27" x14ac:dyDescent="0.3">
      <c r="Y1650" s="48" t="str">
        <f ca="1">IF(AND('Planning Sheet'!BO173='Weeks Plan'!$D$6,'Planning Sheet'!BI173='Weeks Plan'!$G$6),'Planning Sheet'!$B173,"")</f>
        <v/>
      </c>
      <c r="Z1650" s="48" t="str">
        <f ca="1">IF(AND('Planning Sheet'!BO173='Weeks Plan'!$D$6,'Planning Sheet'!BI173='Weeks Plan'!$G$6),'Planning Sheet'!$BJ173,"")</f>
        <v/>
      </c>
      <c r="AA1650" s="48" t="str">
        <f ca="1">IF(AND('Planning Sheet'!BO173='Weeks Plan'!$D$6,'Planning Sheet'!BI173='Weeks Plan'!$G$6),'Planning Sheet'!$BK173,"")</f>
        <v/>
      </c>
    </row>
    <row r="1651" spans="25:27" x14ac:dyDescent="0.3">
      <c r="Y1651" s="48" t="str">
        <f ca="1">IF(AND('Planning Sheet'!BO174='Weeks Plan'!$D$6,'Planning Sheet'!BI174='Weeks Plan'!$G$6),'Planning Sheet'!$B174,"")</f>
        <v/>
      </c>
      <c r="Z1651" s="48" t="str">
        <f ca="1">IF(AND('Planning Sheet'!BO174='Weeks Plan'!$D$6,'Planning Sheet'!BI174='Weeks Plan'!$G$6),'Planning Sheet'!$BJ174,"")</f>
        <v/>
      </c>
      <c r="AA1651" s="48" t="str">
        <f ca="1">IF(AND('Planning Sheet'!BO174='Weeks Plan'!$D$6,'Planning Sheet'!BI174='Weeks Plan'!$G$6),'Planning Sheet'!$BK174,"")</f>
        <v/>
      </c>
    </row>
    <row r="1652" spans="25:27" x14ac:dyDescent="0.3">
      <c r="Y1652" s="48" t="str">
        <f ca="1">IF(AND('Planning Sheet'!BO175='Weeks Plan'!$D$6,'Planning Sheet'!BI175='Weeks Plan'!$G$6),'Planning Sheet'!$B175,"")</f>
        <v/>
      </c>
      <c r="Z1652" s="48" t="str">
        <f ca="1">IF(AND('Planning Sheet'!BO175='Weeks Plan'!$D$6,'Planning Sheet'!BI175='Weeks Plan'!$G$6),'Planning Sheet'!$BJ175,"")</f>
        <v/>
      </c>
      <c r="AA1652" s="48" t="str">
        <f ca="1">IF(AND('Planning Sheet'!BO175='Weeks Plan'!$D$6,'Planning Sheet'!BI175='Weeks Plan'!$G$6),'Planning Sheet'!$BK175,"")</f>
        <v/>
      </c>
    </row>
    <row r="1653" spans="25:27" x14ac:dyDescent="0.3">
      <c r="Y1653" s="48" t="str">
        <f ca="1">IF(AND('Planning Sheet'!BO176='Weeks Plan'!$D$6,'Planning Sheet'!BI176='Weeks Plan'!$G$6),'Planning Sheet'!$B176,"")</f>
        <v/>
      </c>
      <c r="Z1653" s="48" t="str">
        <f ca="1">IF(AND('Planning Sheet'!BO176='Weeks Plan'!$D$6,'Planning Sheet'!BI176='Weeks Plan'!$G$6),'Planning Sheet'!$BJ176,"")</f>
        <v/>
      </c>
      <c r="AA1653" s="48" t="str">
        <f ca="1">IF(AND('Planning Sheet'!BO176='Weeks Plan'!$D$6,'Planning Sheet'!BI176='Weeks Plan'!$G$6),'Planning Sheet'!$BK176,"")</f>
        <v/>
      </c>
    </row>
    <row r="1654" spans="25:27" x14ac:dyDescent="0.3">
      <c r="Y1654" s="48" t="str">
        <f ca="1">IF(AND('Planning Sheet'!BO177='Weeks Plan'!$D$6,'Planning Sheet'!BI177='Weeks Plan'!$G$6),'Planning Sheet'!$B177,"")</f>
        <v/>
      </c>
      <c r="Z1654" s="48" t="str">
        <f ca="1">IF(AND('Planning Sheet'!BO177='Weeks Plan'!$D$6,'Planning Sheet'!BI177='Weeks Plan'!$G$6),'Planning Sheet'!$BJ177,"")</f>
        <v/>
      </c>
      <c r="AA1654" s="48" t="str">
        <f ca="1">IF(AND('Planning Sheet'!BO177='Weeks Plan'!$D$6,'Planning Sheet'!BI177='Weeks Plan'!$G$6),'Planning Sheet'!$BK177,"")</f>
        <v/>
      </c>
    </row>
    <row r="1655" spans="25:27" x14ac:dyDescent="0.3">
      <c r="Y1655" s="48" t="str">
        <f ca="1">IF(AND('Planning Sheet'!BO178='Weeks Plan'!$D$6,'Planning Sheet'!BI178='Weeks Plan'!$G$6),'Planning Sheet'!$B178,"")</f>
        <v/>
      </c>
      <c r="Z1655" s="48" t="str">
        <f ca="1">IF(AND('Planning Sheet'!BO178='Weeks Plan'!$D$6,'Planning Sheet'!BI178='Weeks Plan'!$G$6),'Planning Sheet'!$BJ178,"")</f>
        <v/>
      </c>
      <c r="AA1655" s="48" t="str">
        <f ca="1">IF(AND('Planning Sheet'!BO178='Weeks Plan'!$D$6,'Planning Sheet'!BI178='Weeks Plan'!$G$6),'Planning Sheet'!$BK178,"")</f>
        <v/>
      </c>
    </row>
    <row r="1656" spans="25:27" x14ac:dyDescent="0.3">
      <c r="Y1656" s="48" t="str">
        <f ca="1">IF(AND('Planning Sheet'!BO179='Weeks Plan'!$D$6,'Planning Sheet'!BI179='Weeks Plan'!$G$6),'Planning Sheet'!$B179,"")</f>
        <v/>
      </c>
      <c r="Z1656" s="48" t="str">
        <f ca="1">IF(AND('Planning Sheet'!BO179='Weeks Plan'!$D$6,'Planning Sheet'!BI179='Weeks Plan'!$G$6),'Planning Sheet'!$BJ179,"")</f>
        <v/>
      </c>
      <c r="AA1656" s="48" t="str">
        <f ca="1">IF(AND('Planning Sheet'!BO179='Weeks Plan'!$D$6,'Planning Sheet'!BI179='Weeks Plan'!$G$6),'Planning Sheet'!$BK179,"")</f>
        <v/>
      </c>
    </row>
    <row r="1657" spans="25:27" x14ac:dyDescent="0.3">
      <c r="Y1657" s="48" t="str">
        <f ca="1">IF(AND('Planning Sheet'!BO180='Weeks Plan'!$D$6,'Planning Sheet'!BI180='Weeks Plan'!$G$6),'Planning Sheet'!$B180,"")</f>
        <v/>
      </c>
      <c r="Z1657" s="48" t="str">
        <f ca="1">IF(AND('Planning Sheet'!BO180='Weeks Plan'!$D$6,'Planning Sheet'!BI180='Weeks Plan'!$G$6),'Planning Sheet'!$BJ180,"")</f>
        <v/>
      </c>
      <c r="AA1657" s="48" t="str">
        <f ca="1">IF(AND('Planning Sheet'!BO180='Weeks Plan'!$D$6,'Planning Sheet'!BI180='Weeks Plan'!$G$6),'Planning Sheet'!$BK180,"")</f>
        <v/>
      </c>
    </row>
    <row r="1658" spans="25:27" x14ac:dyDescent="0.3">
      <c r="Y1658" s="48" t="str">
        <f ca="1">IF(AND('Planning Sheet'!BO181='Weeks Plan'!$D$6,'Planning Sheet'!BI181='Weeks Plan'!$G$6),'Planning Sheet'!$B181,"")</f>
        <v/>
      </c>
      <c r="Z1658" s="48" t="str">
        <f ca="1">IF(AND('Planning Sheet'!BO181='Weeks Plan'!$D$6,'Planning Sheet'!BI181='Weeks Plan'!$G$6),'Planning Sheet'!$BJ181,"")</f>
        <v/>
      </c>
      <c r="AA1658" s="48" t="str">
        <f ca="1">IF(AND('Planning Sheet'!BO181='Weeks Plan'!$D$6,'Planning Sheet'!BI181='Weeks Plan'!$G$6),'Planning Sheet'!$BK181,"")</f>
        <v/>
      </c>
    </row>
    <row r="1659" spans="25:27" x14ac:dyDescent="0.3">
      <c r="Y1659" s="48" t="str">
        <f ca="1">IF(AND('Planning Sheet'!BO182='Weeks Plan'!$D$6,'Planning Sheet'!BI182='Weeks Plan'!$G$6),'Planning Sheet'!$B182,"")</f>
        <v/>
      </c>
      <c r="Z1659" s="48" t="str">
        <f ca="1">IF(AND('Planning Sheet'!BO182='Weeks Plan'!$D$6,'Planning Sheet'!BI182='Weeks Plan'!$G$6),'Planning Sheet'!$BJ182,"")</f>
        <v/>
      </c>
      <c r="AA1659" s="48" t="str">
        <f ca="1">IF(AND('Planning Sheet'!BO182='Weeks Plan'!$D$6,'Planning Sheet'!BI182='Weeks Plan'!$G$6),'Planning Sheet'!$BK182,"")</f>
        <v/>
      </c>
    </row>
    <row r="1660" spans="25:27" x14ac:dyDescent="0.3">
      <c r="Y1660" s="48" t="str">
        <f ca="1">IF(AND('Planning Sheet'!BO183='Weeks Plan'!$D$6,'Planning Sheet'!BI183='Weeks Plan'!$G$6),'Planning Sheet'!$B183,"")</f>
        <v/>
      </c>
      <c r="Z1660" s="48" t="str">
        <f ca="1">IF(AND('Planning Sheet'!BO183='Weeks Plan'!$D$6,'Planning Sheet'!BI183='Weeks Plan'!$G$6),'Planning Sheet'!$BJ183,"")</f>
        <v/>
      </c>
      <c r="AA1660" s="48" t="str">
        <f ca="1">IF(AND('Planning Sheet'!BO183='Weeks Plan'!$D$6,'Planning Sheet'!BI183='Weeks Plan'!$G$6),'Planning Sheet'!$BK183,"")</f>
        <v/>
      </c>
    </row>
    <row r="1661" spans="25:27" x14ac:dyDescent="0.3">
      <c r="Y1661" s="48" t="str">
        <f ca="1">IF(AND('Planning Sheet'!BO184='Weeks Plan'!$D$6,'Planning Sheet'!BI184='Weeks Plan'!$G$6),'Planning Sheet'!$B184,"")</f>
        <v/>
      </c>
      <c r="Z1661" s="48" t="str">
        <f ca="1">IF(AND('Planning Sheet'!BO184='Weeks Plan'!$D$6,'Planning Sheet'!BI184='Weeks Plan'!$G$6),'Planning Sheet'!$BJ184,"")</f>
        <v/>
      </c>
      <c r="AA1661" s="48" t="str">
        <f ca="1">IF(AND('Planning Sheet'!BO184='Weeks Plan'!$D$6,'Planning Sheet'!BI184='Weeks Plan'!$G$6),'Planning Sheet'!$BK184,"")</f>
        <v/>
      </c>
    </row>
    <row r="1662" spans="25:27" x14ac:dyDescent="0.3">
      <c r="Y1662" s="48" t="str">
        <f ca="1">IF(AND('Planning Sheet'!BO185='Weeks Plan'!$D$6,'Planning Sheet'!BI185='Weeks Plan'!$G$6),'Planning Sheet'!$B185,"")</f>
        <v/>
      </c>
      <c r="Z1662" s="48" t="str">
        <f ca="1">IF(AND('Planning Sheet'!BO185='Weeks Plan'!$D$6,'Planning Sheet'!BI185='Weeks Plan'!$G$6),'Planning Sheet'!$BJ185,"")</f>
        <v/>
      </c>
      <c r="AA1662" s="48" t="str">
        <f ca="1">IF(AND('Planning Sheet'!BO185='Weeks Plan'!$D$6,'Planning Sheet'!BI185='Weeks Plan'!$G$6),'Planning Sheet'!$BK185,"")</f>
        <v/>
      </c>
    </row>
    <row r="1663" spans="25:27" x14ac:dyDescent="0.3">
      <c r="Y1663" s="48" t="str">
        <f ca="1">IF(AND('Planning Sheet'!BO186='Weeks Plan'!$D$6,'Planning Sheet'!BI186='Weeks Plan'!$G$6),'Planning Sheet'!$B186,"")</f>
        <v/>
      </c>
      <c r="Z1663" s="48" t="str">
        <f ca="1">IF(AND('Planning Sheet'!BO186='Weeks Plan'!$D$6,'Planning Sheet'!BI186='Weeks Plan'!$G$6),'Planning Sheet'!$BJ186,"")</f>
        <v/>
      </c>
      <c r="AA1663" s="48" t="str">
        <f ca="1">IF(AND('Planning Sheet'!BO186='Weeks Plan'!$D$6,'Planning Sheet'!BI186='Weeks Plan'!$G$6),'Planning Sheet'!$BK186,"")</f>
        <v/>
      </c>
    </row>
    <row r="1664" spans="25:27" x14ac:dyDescent="0.3">
      <c r="Y1664" s="48" t="str">
        <f ca="1">IF(AND('Planning Sheet'!BO187='Weeks Plan'!$D$6,'Planning Sheet'!BI187='Weeks Plan'!$G$6),'Planning Sheet'!$B187,"")</f>
        <v/>
      </c>
      <c r="Z1664" s="48" t="str">
        <f ca="1">IF(AND('Planning Sheet'!BO187='Weeks Plan'!$D$6,'Planning Sheet'!BI187='Weeks Plan'!$G$6),'Planning Sheet'!$BJ187,"")</f>
        <v/>
      </c>
      <c r="AA1664" s="48" t="str">
        <f ca="1">IF(AND('Planning Sheet'!BO187='Weeks Plan'!$D$6,'Planning Sheet'!BI187='Weeks Plan'!$G$6),'Planning Sheet'!$BK187,"")</f>
        <v/>
      </c>
    </row>
    <row r="1665" spans="25:27" x14ac:dyDescent="0.3">
      <c r="Y1665" s="48" t="str">
        <f ca="1">IF(AND('Planning Sheet'!BO188='Weeks Plan'!$D$6,'Planning Sheet'!BI188='Weeks Plan'!$G$6),'Planning Sheet'!$B188,"")</f>
        <v/>
      </c>
      <c r="Z1665" s="48" t="str">
        <f ca="1">IF(AND('Planning Sheet'!BO188='Weeks Plan'!$D$6,'Planning Sheet'!BI188='Weeks Plan'!$G$6),'Planning Sheet'!$BJ188,"")</f>
        <v/>
      </c>
      <c r="AA1665" s="48" t="str">
        <f ca="1">IF(AND('Planning Sheet'!BO188='Weeks Plan'!$D$6,'Planning Sheet'!BI188='Weeks Plan'!$G$6),'Planning Sheet'!$BK188,"")</f>
        <v/>
      </c>
    </row>
    <row r="1666" spans="25:27" x14ac:dyDescent="0.3">
      <c r="Y1666" s="48" t="str">
        <f ca="1">IF(AND('Planning Sheet'!BO189='Weeks Plan'!$D$6,'Planning Sheet'!BI189='Weeks Plan'!$G$6),'Planning Sheet'!$B189,"")</f>
        <v/>
      </c>
      <c r="Z1666" s="48" t="str">
        <f ca="1">IF(AND('Planning Sheet'!BO189='Weeks Plan'!$D$6,'Planning Sheet'!BI189='Weeks Plan'!$G$6),'Planning Sheet'!$BJ189,"")</f>
        <v/>
      </c>
      <c r="AA1666" s="48" t="str">
        <f ca="1">IF(AND('Planning Sheet'!BO189='Weeks Plan'!$D$6,'Planning Sheet'!BI189='Weeks Plan'!$G$6),'Planning Sheet'!$BK189,"")</f>
        <v/>
      </c>
    </row>
    <row r="1667" spans="25:27" x14ac:dyDescent="0.3">
      <c r="Y1667" s="48" t="str">
        <f ca="1">IF(AND('Planning Sheet'!BO190='Weeks Plan'!$D$6,'Planning Sheet'!BI190='Weeks Plan'!$G$6),'Planning Sheet'!$B190,"")</f>
        <v/>
      </c>
      <c r="Z1667" s="48" t="str">
        <f ca="1">IF(AND('Planning Sheet'!BO190='Weeks Plan'!$D$6,'Planning Sheet'!BI190='Weeks Plan'!$G$6),'Planning Sheet'!$BJ190,"")</f>
        <v/>
      </c>
      <c r="AA1667" s="48" t="str">
        <f ca="1">IF(AND('Planning Sheet'!BO190='Weeks Plan'!$D$6,'Planning Sheet'!BI190='Weeks Plan'!$G$6),'Planning Sheet'!$BK190,"")</f>
        <v/>
      </c>
    </row>
    <row r="1668" spans="25:27" x14ac:dyDescent="0.3">
      <c r="Y1668" s="48" t="str">
        <f ca="1">IF(AND('Planning Sheet'!BO191='Weeks Plan'!$D$6,'Planning Sheet'!BI191='Weeks Plan'!$G$6),'Planning Sheet'!$B191,"")</f>
        <v/>
      </c>
      <c r="Z1668" s="48" t="str">
        <f ca="1">IF(AND('Planning Sheet'!BO191='Weeks Plan'!$D$6,'Planning Sheet'!BI191='Weeks Plan'!$G$6),'Planning Sheet'!$BJ191,"")</f>
        <v/>
      </c>
      <c r="AA1668" s="48" t="str">
        <f ca="1">IF(AND('Planning Sheet'!BO191='Weeks Plan'!$D$6,'Planning Sheet'!BI191='Weeks Plan'!$G$6),'Planning Sheet'!$BK191,"")</f>
        <v/>
      </c>
    </row>
    <row r="1669" spans="25:27" x14ac:dyDescent="0.3">
      <c r="Y1669" s="48" t="str">
        <f ca="1">IF(AND('Planning Sheet'!BO192='Weeks Plan'!$D$6,'Planning Sheet'!BI192='Weeks Plan'!$G$6),'Planning Sheet'!$B192,"")</f>
        <v/>
      </c>
      <c r="Z1669" s="48" t="str">
        <f ca="1">IF(AND('Planning Sheet'!BO192='Weeks Plan'!$D$6,'Planning Sheet'!BI192='Weeks Plan'!$G$6),'Planning Sheet'!$BJ192,"")</f>
        <v/>
      </c>
      <c r="AA1669" s="48" t="str">
        <f ca="1">IF(AND('Planning Sheet'!BO192='Weeks Plan'!$D$6,'Planning Sheet'!BI192='Weeks Plan'!$G$6),'Planning Sheet'!$BK192,"")</f>
        <v/>
      </c>
    </row>
    <row r="1670" spans="25:27" x14ac:dyDescent="0.3">
      <c r="Y1670" s="48" t="str">
        <f ca="1">IF(AND('Planning Sheet'!BO193='Weeks Plan'!$D$6,'Planning Sheet'!BI193='Weeks Plan'!$G$6),'Planning Sheet'!$B193,"")</f>
        <v/>
      </c>
      <c r="Z1670" s="48" t="str">
        <f ca="1">IF(AND('Planning Sheet'!BO193='Weeks Plan'!$D$6,'Planning Sheet'!BI193='Weeks Plan'!$G$6),'Planning Sheet'!$BJ193,"")</f>
        <v/>
      </c>
      <c r="AA1670" s="48" t="str">
        <f ca="1">IF(AND('Planning Sheet'!BO193='Weeks Plan'!$D$6,'Planning Sheet'!BI193='Weeks Plan'!$G$6),'Planning Sheet'!$BK193,"")</f>
        <v/>
      </c>
    </row>
    <row r="1671" spans="25:27" x14ac:dyDescent="0.3">
      <c r="Y1671" s="48" t="str">
        <f ca="1">IF(AND('Planning Sheet'!BO194='Weeks Plan'!$D$6,'Planning Sheet'!BI194='Weeks Plan'!$G$6),'Planning Sheet'!$B194,"")</f>
        <v/>
      </c>
      <c r="Z1671" s="48" t="str">
        <f ca="1">IF(AND('Planning Sheet'!BO194='Weeks Plan'!$D$6,'Planning Sheet'!BI194='Weeks Plan'!$G$6),'Planning Sheet'!$BJ194,"")</f>
        <v/>
      </c>
      <c r="AA1671" s="48" t="str">
        <f ca="1">IF(AND('Planning Sheet'!BO194='Weeks Plan'!$D$6,'Planning Sheet'!BI194='Weeks Plan'!$G$6),'Planning Sheet'!$BK194,"")</f>
        <v/>
      </c>
    </row>
    <row r="1672" spans="25:27" x14ac:dyDescent="0.3">
      <c r="Y1672" s="48" t="str">
        <f ca="1">IF(AND('Planning Sheet'!BO195='Weeks Plan'!$D$6,'Planning Sheet'!BI195='Weeks Plan'!$G$6),'Planning Sheet'!$B195,"")</f>
        <v/>
      </c>
      <c r="Z1672" s="48" t="str">
        <f ca="1">IF(AND('Planning Sheet'!BO195='Weeks Plan'!$D$6,'Planning Sheet'!BI195='Weeks Plan'!$G$6),'Planning Sheet'!$BJ195,"")</f>
        <v/>
      </c>
      <c r="AA1672" s="48" t="str">
        <f ca="1">IF(AND('Planning Sheet'!BO195='Weeks Plan'!$D$6,'Planning Sheet'!BI195='Weeks Plan'!$G$6),'Planning Sheet'!$BK195,"")</f>
        <v/>
      </c>
    </row>
    <row r="1673" spans="25:27" x14ac:dyDescent="0.3">
      <c r="Y1673" s="48" t="str">
        <f ca="1">IF(AND('Planning Sheet'!BO196='Weeks Plan'!$D$6,'Planning Sheet'!BI196='Weeks Plan'!$G$6),'Planning Sheet'!$B196,"")</f>
        <v/>
      </c>
      <c r="Z1673" s="48" t="str">
        <f ca="1">IF(AND('Planning Sheet'!BO196='Weeks Plan'!$D$6,'Planning Sheet'!BI196='Weeks Plan'!$G$6),'Planning Sheet'!$BJ196,"")</f>
        <v/>
      </c>
      <c r="AA1673" s="48" t="str">
        <f ca="1">IF(AND('Planning Sheet'!BO196='Weeks Plan'!$D$6,'Planning Sheet'!BI196='Weeks Plan'!$G$6),'Planning Sheet'!$BK196,"")</f>
        <v/>
      </c>
    </row>
    <row r="1674" spans="25:27" x14ac:dyDescent="0.3">
      <c r="Y1674" s="48" t="str">
        <f ca="1">IF(AND('Planning Sheet'!BO197='Weeks Plan'!$D$6,'Planning Sheet'!BI197='Weeks Plan'!$G$6),'Planning Sheet'!$B197,"")</f>
        <v/>
      </c>
      <c r="Z1674" s="48" t="str">
        <f ca="1">IF(AND('Planning Sheet'!BO197='Weeks Plan'!$D$6,'Planning Sheet'!BI197='Weeks Plan'!$G$6),'Planning Sheet'!$BJ197,"")</f>
        <v/>
      </c>
      <c r="AA1674" s="48" t="str">
        <f ca="1">IF(AND('Planning Sheet'!BO197='Weeks Plan'!$D$6,'Planning Sheet'!BI197='Weeks Plan'!$G$6),'Planning Sheet'!$BK197,"")</f>
        <v/>
      </c>
    </row>
    <row r="1675" spans="25:27" x14ac:dyDescent="0.3">
      <c r="Y1675" s="48" t="str">
        <f ca="1">IF(AND('Planning Sheet'!BO198='Weeks Plan'!$D$6,'Planning Sheet'!BI198='Weeks Plan'!$G$6),'Planning Sheet'!$B198,"")</f>
        <v/>
      </c>
      <c r="Z1675" s="48" t="str">
        <f ca="1">IF(AND('Planning Sheet'!BO198='Weeks Plan'!$D$6,'Planning Sheet'!BI198='Weeks Plan'!$G$6),'Planning Sheet'!$BJ198,"")</f>
        <v/>
      </c>
      <c r="AA1675" s="48" t="str">
        <f ca="1">IF(AND('Planning Sheet'!BO198='Weeks Plan'!$D$6,'Planning Sheet'!BI198='Weeks Plan'!$G$6),'Planning Sheet'!$BK198,"")</f>
        <v/>
      </c>
    </row>
    <row r="1676" spans="25:27" x14ac:dyDescent="0.3">
      <c r="Y1676" s="48" t="str">
        <f ca="1">IF(AND('Planning Sheet'!BO199='Weeks Plan'!$D$6,'Planning Sheet'!BI199='Weeks Plan'!$G$6),'Planning Sheet'!$B199,"")</f>
        <v/>
      </c>
      <c r="Z1676" s="48" t="str">
        <f ca="1">IF(AND('Planning Sheet'!BO199='Weeks Plan'!$D$6,'Planning Sheet'!BI199='Weeks Plan'!$G$6),'Planning Sheet'!$BJ199,"")</f>
        <v/>
      </c>
      <c r="AA1676" s="48" t="str">
        <f ca="1">IF(AND('Planning Sheet'!BO199='Weeks Plan'!$D$6,'Planning Sheet'!BI199='Weeks Plan'!$G$6),'Planning Sheet'!$BK199,"")</f>
        <v/>
      </c>
    </row>
    <row r="1677" spans="25:27" x14ac:dyDescent="0.3">
      <c r="Y1677" s="48" t="str">
        <f ca="1">IF(AND('Planning Sheet'!BO200='Weeks Plan'!$D$6,'Planning Sheet'!BI200='Weeks Plan'!$G$6),'Planning Sheet'!$B200,"")</f>
        <v/>
      </c>
      <c r="Z1677" s="48" t="str">
        <f ca="1">IF(AND('Planning Sheet'!BO200='Weeks Plan'!$D$6,'Planning Sheet'!BI200='Weeks Plan'!$G$6),'Planning Sheet'!$BJ200,"")</f>
        <v/>
      </c>
      <c r="AA1677" s="48" t="str">
        <f ca="1">IF(AND('Planning Sheet'!BO200='Weeks Plan'!$D$6,'Planning Sheet'!BI200='Weeks Plan'!$G$6),'Planning Sheet'!$BK200,"")</f>
        <v/>
      </c>
    </row>
    <row r="1678" spans="25:27" x14ac:dyDescent="0.3">
      <c r="Y1678" s="48" t="str">
        <f ca="1">IF(AND('Planning Sheet'!BO201='Weeks Plan'!$D$6,'Planning Sheet'!BI201='Weeks Plan'!$G$6),'Planning Sheet'!$B201,"")</f>
        <v/>
      </c>
      <c r="Z1678" s="48" t="str">
        <f ca="1">IF(AND('Planning Sheet'!BO201='Weeks Plan'!$D$6,'Planning Sheet'!BI201='Weeks Plan'!$G$6),'Planning Sheet'!$BJ201,"")</f>
        <v/>
      </c>
      <c r="AA1678" s="48" t="str">
        <f ca="1">IF(AND('Planning Sheet'!BO201='Weeks Plan'!$D$6,'Planning Sheet'!BI201='Weeks Plan'!$G$6),'Planning Sheet'!$BK201,"")</f>
        <v/>
      </c>
    </row>
    <row r="1679" spans="25:27" x14ac:dyDescent="0.3">
      <c r="Y1679" s="48" t="str">
        <f ca="1">IF(AND('Planning Sheet'!BO202='Weeks Plan'!$D$6,'Planning Sheet'!BI202='Weeks Plan'!$G$6),'Planning Sheet'!$B202,"")</f>
        <v/>
      </c>
      <c r="Z1679" s="48" t="str">
        <f ca="1">IF(AND('Planning Sheet'!BO202='Weeks Plan'!$D$6,'Planning Sheet'!BI202='Weeks Plan'!$G$6),'Planning Sheet'!$BJ202,"")</f>
        <v/>
      </c>
      <c r="AA1679" s="48" t="str">
        <f ca="1">IF(AND('Planning Sheet'!BO202='Weeks Plan'!$D$6,'Planning Sheet'!BI202='Weeks Plan'!$G$6),'Planning Sheet'!$BK202,"")</f>
        <v/>
      </c>
    </row>
    <row r="1680" spans="25:27" x14ac:dyDescent="0.3">
      <c r="Y1680" s="48" t="str">
        <f ca="1">IF(AND('Planning Sheet'!BO203='Weeks Plan'!$D$6,'Planning Sheet'!BI203='Weeks Plan'!$G$6),'Planning Sheet'!$B203,"")</f>
        <v/>
      </c>
      <c r="Z1680" s="48" t="str">
        <f ca="1">IF(AND('Planning Sheet'!BO203='Weeks Plan'!$D$6,'Planning Sheet'!BI203='Weeks Plan'!$G$6),'Planning Sheet'!$BJ203,"")</f>
        <v/>
      </c>
      <c r="AA1680" s="48" t="str">
        <f ca="1">IF(AND('Planning Sheet'!BO203='Weeks Plan'!$D$6,'Planning Sheet'!BI203='Weeks Plan'!$G$6),'Planning Sheet'!$BK203,"")</f>
        <v/>
      </c>
    </row>
    <row r="1681" spans="25:27" x14ac:dyDescent="0.3">
      <c r="Y1681" s="48" t="str">
        <f ca="1">IF(AND('Planning Sheet'!BO204='Weeks Plan'!$D$6,'Planning Sheet'!BI204='Weeks Plan'!$G$6),'Planning Sheet'!$B204,"")</f>
        <v/>
      </c>
      <c r="Z1681" s="48" t="str">
        <f ca="1">IF(AND('Planning Sheet'!BO204='Weeks Plan'!$D$6,'Planning Sheet'!BI204='Weeks Plan'!$G$6),'Planning Sheet'!$BJ204,"")</f>
        <v/>
      </c>
      <c r="AA1681" s="48" t="str">
        <f ca="1">IF(AND('Planning Sheet'!BO204='Weeks Plan'!$D$6,'Planning Sheet'!BI204='Weeks Plan'!$G$6),'Planning Sheet'!$BK204,"")</f>
        <v/>
      </c>
    </row>
    <row r="1682" spans="25:27" x14ac:dyDescent="0.3">
      <c r="Y1682" s="48" t="str">
        <f ca="1">IF(AND('Planning Sheet'!BO205='Weeks Plan'!$D$6,'Planning Sheet'!BI205='Weeks Plan'!$G$6),'Planning Sheet'!$B205,"")</f>
        <v/>
      </c>
      <c r="Z1682" s="48" t="str">
        <f ca="1">IF(AND('Planning Sheet'!BO205='Weeks Plan'!$D$6,'Planning Sheet'!BI205='Weeks Plan'!$G$6),'Planning Sheet'!$BJ205,"")</f>
        <v/>
      </c>
      <c r="AA1682" s="48" t="str">
        <f ca="1">IF(AND('Planning Sheet'!BO205='Weeks Plan'!$D$6,'Planning Sheet'!BI205='Weeks Plan'!$G$6),'Planning Sheet'!$BK205,"")</f>
        <v/>
      </c>
    </row>
    <row r="1683" spans="25:27" x14ac:dyDescent="0.3">
      <c r="Y1683" s="48" t="str">
        <f ca="1">IF(AND('Planning Sheet'!BO206='Weeks Plan'!$D$6,'Planning Sheet'!BI206='Weeks Plan'!$G$6),'Planning Sheet'!$B206,"")</f>
        <v/>
      </c>
      <c r="Z1683" s="48" t="str">
        <f ca="1">IF(AND('Planning Sheet'!BO206='Weeks Plan'!$D$6,'Planning Sheet'!BI206='Weeks Plan'!$G$6),'Planning Sheet'!$BJ206,"")</f>
        <v/>
      </c>
      <c r="AA1683" s="48" t="str">
        <f ca="1">IF(AND('Planning Sheet'!BO206='Weeks Plan'!$D$6,'Planning Sheet'!BI206='Weeks Plan'!$G$6),'Planning Sheet'!$BK206,"")</f>
        <v/>
      </c>
    </row>
    <row r="1684" spans="25:27" x14ac:dyDescent="0.3">
      <c r="Y1684" s="48" t="str">
        <f ca="1">IF(AND('Planning Sheet'!BO207='Weeks Plan'!$D$6,'Planning Sheet'!BI207='Weeks Plan'!$G$6),'Planning Sheet'!$B207,"")</f>
        <v/>
      </c>
      <c r="Z1684" s="48" t="str">
        <f ca="1">IF(AND('Planning Sheet'!BO207='Weeks Plan'!$D$6,'Planning Sheet'!BI207='Weeks Plan'!$G$6),'Planning Sheet'!$BJ207,"")</f>
        <v/>
      </c>
      <c r="AA1684" s="48" t="str">
        <f ca="1">IF(AND('Planning Sheet'!BO207='Weeks Plan'!$D$6,'Planning Sheet'!BI207='Weeks Plan'!$G$6),'Planning Sheet'!$BK207,"")</f>
        <v/>
      </c>
    </row>
    <row r="1685" spans="25:27" x14ac:dyDescent="0.3">
      <c r="Y1685" s="48" t="str">
        <f ca="1">IF(AND('Planning Sheet'!BO208='Weeks Plan'!$D$6,'Planning Sheet'!BI208='Weeks Plan'!$G$6),'Planning Sheet'!$B208,"")</f>
        <v/>
      </c>
      <c r="Z1685" s="48" t="str">
        <f ca="1">IF(AND('Planning Sheet'!BO208='Weeks Plan'!$D$6,'Planning Sheet'!BI208='Weeks Plan'!$G$6),'Planning Sheet'!$BJ208,"")</f>
        <v/>
      </c>
      <c r="AA1685" s="48" t="str">
        <f ca="1">IF(AND('Planning Sheet'!BO208='Weeks Plan'!$D$6,'Planning Sheet'!BI208='Weeks Plan'!$G$6),'Planning Sheet'!$BK208,"")</f>
        <v/>
      </c>
    </row>
    <row r="1686" spans="25:27" x14ac:dyDescent="0.3">
      <c r="Y1686" s="48" t="str">
        <f ca="1">IF(AND('Planning Sheet'!BO209='Weeks Plan'!$D$6,'Planning Sheet'!BI209='Weeks Plan'!$G$6),'Planning Sheet'!$B209,"")</f>
        <v/>
      </c>
      <c r="Z1686" s="48" t="str">
        <f ca="1">IF(AND('Planning Sheet'!BO209='Weeks Plan'!$D$6,'Planning Sheet'!BI209='Weeks Plan'!$G$6),'Planning Sheet'!$BJ209,"")</f>
        <v/>
      </c>
      <c r="AA1686" s="48" t="str">
        <f ca="1">IF(AND('Planning Sheet'!BO209='Weeks Plan'!$D$6,'Planning Sheet'!BI209='Weeks Plan'!$G$6),'Planning Sheet'!$BK209,"")</f>
        <v/>
      </c>
    </row>
    <row r="1687" spans="25:27" x14ac:dyDescent="0.3">
      <c r="Y1687" s="48" t="str">
        <f ca="1">IF(AND('Planning Sheet'!BO210='Weeks Plan'!$D$6,'Planning Sheet'!BI210='Weeks Plan'!$G$6),'Planning Sheet'!$B210,"")</f>
        <v/>
      </c>
      <c r="Z1687" s="48" t="str">
        <f ca="1">IF(AND('Planning Sheet'!BO210='Weeks Plan'!$D$6,'Planning Sheet'!BI210='Weeks Plan'!$G$6),'Planning Sheet'!$BJ210,"")</f>
        <v/>
      </c>
      <c r="AA1687" s="48" t="str">
        <f ca="1">IF(AND('Planning Sheet'!BO210='Weeks Plan'!$D$6,'Planning Sheet'!BI210='Weeks Plan'!$G$6),'Planning Sheet'!$BK210,"")</f>
        <v/>
      </c>
    </row>
    <row r="1688" spans="25:27" x14ac:dyDescent="0.3">
      <c r="Y1688" s="48" t="str">
        <f ca="1">IF(AND('Planning Sheet'!BO211='Weeks Plan'!$D$6,'Planning Sheet'!BI211='Weeks Plan'!$G$6),'Planning Sheet'!$B211,"")</f>
        <v/>
      </c>
      <c r="Z1688" s="48" t="str">
        <f ca="1">IF(AND('Planning Sheet'!BO211='Weeks Plan'!$D$6,'Planning Sheet'!BI211='Weeks Plan'!$G$6),'Planning Sheet'!$BJ211,"")</f>
        <v/>
      </c>
      <c r="AA1688" s="48" t="str">
        <f ca="1">IF(AND('Planning Sheet'!BO211='Weeks Plan'!$D$6,'Planning Sheet'!BI211='Weeks Plan'!$G$6),'Planning Sheet'!$BK211,"")</f>
        <v/>
      </c>
    </row>
    <row r="1689" spans="25:27" x14ac:dyDescent="0.3">
      <c r="Y1689" s="48" t="str">
        <f ca="1">IF(AND('Planning Sheet'!BO212='Weeks Plan'!$D$6,'Planning Sheet'!BI212='Weeks Plan'!$G$6),'Planning Sheet'!$B212,"")</f>
        <v/>
      </c>
      <c r="Z1689" s="48" t="str">
        <f ca="1">IF(AND('Planning Sheet'!BO212='Weeks Plan'!$D$6,'Planning Sheet'!BI212='Weeks Plan'!$G$6),'Planning Sheet'!$BJ212,"")</f>
        <v/>
      </c>
      <c r="AA1689" s="48" t="str">
        <f ca="1">IF(AND('Planning Sheet'!BO212='Weeks Plan'!$D$6,'Planning Sheet'!BI212='Weeks Plan'!$G$6),'Planning Sheet'!$BK212,"")</f>
        <v/>
      </c>
    </row>
    <row r="1690" spans="25:27" x14ac:dyDescent="0.3">
      <c r="Y1690" s="48" t="str">
        <f ca="1">IF(AND('Planning Sheet'!BO213='Weeks Plan'!$D$6,'Planning Sheet'!BI213='Weeks Plan'!$G$6),'Planning Sheet'!$B213,"")</f>
        <v/>
      </c>
      <c r="Z1690" s="48" t="str">
        <f ca="1">IF(AND('Planning Sheet'!BO213='Weeks Plan'!$D$6,'Planning Sheet'!BI213='Weeks Plan'!$G$6),'Planning Sheet'!$BJ213,"")</f>
        <v/>
      </c>
      <c r="AA1690" s="48" t="str">
        <f ca="1">IF(AND('Planning Sheet'!BO213='Weeks Plan'!$D$6,'Planning Sheet'!BI213='Weeks Plan'!$G$6),'Planning Sheet'!$BK213,"")</f>
        <v/>
      </c>
    </row>
    <row r="1691" spans="25:27" x14ac:dyDescent="0.3">
      <c r="Y1691" s="48" t="str">
        <f ca="1">IF(AND('Planning Sheet'!BO214='Weeks Plan'!$D$6,'Planning Sheet'!BI214='Weeks Plan'!$G$6),'Planning Sheet'!$B214,"")</f>
        <v/>
      </c>
      <c r="Z1691" s="48" t="str">
        <f ca="1">IF(AND('Planning Sheet'!BO214='Weeks Plan'!$D$6,'Planning Sheet'!BI214='Weeks Plan'!$G$6),'Planning Sheet'!$BJ214,"")</f>
        <v/>
      </c>
      <c r="AA1691" s="48" t="str">
        <f ca="1">IF(AND('Planning Sheet'!BO214='Weeks Plan'!$D$6,'Planning Sheet'!BI214='Weeks Plan'!$G$6),'Planning Sheet'!$BK214,"")</f>
        <v/>
      </c>
    </row>
    <row r="1692" spans="25:27" x14ac:dyDescent="0.3">
      <c r="Y1692" s="48" t="str">
        <f ca="1">IF(AND('Planning Sheet'!BO215='Weeks Plan'!$D$6,'Planning Sheet'!BI215='Weeks Plan'!$G$6),'Planning Sheet'!$B215,"")</f>
        <v/>
      </c>
      <c r="Z1692" s="48" t="str">
        <f ca="1">IF(AND('Planning Sheet'!BO215='Weeks Plan'!$D$6,'Planning Sheet'!BI215='Weeks Plan'!$G$6),'Planning Sheet'!$BJ215,"")</f>
        <v/>
      </c>
      <c r="AA1692" s="48" t="str">
        <f ca="1">IF(AND('Planning Sheet'!BO215='Weeks Plan'!$D$6,'Planning Sheet'!BI215='Weeks Plan'!$G$6),'Planning Sheet'!$BK215,"")</f>
        <v/>
      </c>
    </row>
    <row r="1693" spans="25:27" x14ac:dyDescent="0.3">
      <c r="Y1693" s="48" t="str">
        <f ca="1">IF(AND('Planning Sheet'!BO216='Weeks Plan'!$D$6,'Planning Sheet'!BI216='Weeks Plan'!$G$6),'Planning Sheet'!$B216,"")</f>
        <v/>
      </c>
      <c r="Z1693" s="48" t="str">
        <f ca="1">IF(AND('Planning Sheet'!BO216='Weeks Plan'!$D$6,'Planning Sheet'!BI216='Weeks Plan'!$G$6),'Planning Sheet'!$BJ216,"")</f>
        <v/>
      </c>
      <c r="AA1693" s="48" t="str">
        <f ca="1">IF(AND('Planning Sheet'!BO216='Weeks Plan'!$D$6,'Planning Sheet'!BI216='Weeks Plan'!$G$6),'Planning Sheet'!$BK216,"")</f>
        <v/>
      </c>
    </row>
    <row r="1694" spans="25:27" x14ac:dyDescent="0.3">
      <c r="Y1694" s="48" t="str">
        <f ca="1">IF(AND('Planning Sheet'!BO217='Weeks Plan'!$D$6,'Planning Sheet'!BI217='Weeks Plan'!$G$6),'Planning Sheet'!$B217,"")</f>
        <v/>
      </c>
      <c r="Z1694" s="48" t="str">
        <f ca="1">IF(AND('Planning Sheet'!BO217='Weeks Plan'!$D$6,'Planning Sheet'!BI217='Weeks Plan'!$G$6),'Planning Sheet'!$BJ217,"")</f>
        <v/>
      </c>
      <c r="AA1694" s="48" t="str">
        <f ca="1">IF(AND('Planning Sheet'!BO217='Weeks Plan'!$D$6,'Planning Sheet'!BI217='Weeks Plan'!$G$6),'Planning Sheet'!$BK217,"")</f>
        <v/>
      </c>
    </row>
    <row r="1695" spans="25:27" x14ac:dyDescent="0.3">
      <c r="Y1695" s="48" t="str">
        <f ca="1">IF(AND('Planning Sheet'!BO218='Weeks Plan'!$D$6,'Planning Sheet'!BI218='Weeks Plan'!$G$6),'Planning Sheet'!$B218,"")</f>
        <v/>
      </c>
      <c r="Z1695" s="48" t="str">
        <f ca="1">IF(AND('Planning Sheet'!BO218='Weeks Plan'!$D$6,'Planning Sheet'!BI218='Weeks Plan'!$G$6),'Planning Sheet'!$BJ218,"")</f>
        <v/>
      </c>
      <c r="AA1695" s="48" t="str">
        <f ca="1">IF(AND('Planning Sheet'!BO218='Weeks Plan'!$D$6,'Planning Sheet'!BI218='Weeks Plan'!$G$6),'Planning Sheet'!$BK218,"")</f>
        <v/>
      </c>
    </row>
    <row r="1696" spans="25:27" x14ac:dyDescent="0.3">
      <c r="Y1696" s="48" t="str">
        <f ca="1">IF(AND('Planning Sheet'!BO219='Weeks Plan'!$D$6,'Planning Sheet'!BI219='Weeks Plan'!$G$6),'Planning Sheet'!$B219,"")</f>
        <v/>
      </c>
      <c r="Z1696" s="48" t="str">
        <f ca="1">IF(AND('Planning Sheet'!BO219='Weeks Plan'!$D$6,'Planning Sheet'!BI219='Weeks Plan'!$G$6),'Planning Sheet'!$BJ219,"")</f>
        <v/>
      </c>
      <c r="AA1696" s="48" t="str">
        <f ca="1">IF(AND('Planning Sheet'!BO219='Weeks Plan'!$D$6,'Planning Sheet'!BI219='Weeks Plan'!$G$6),'Planning Sheet'!$BK219,"")</f>
        <v/>
      </c>
    </row>
    <row r="1697" spans="25:27" x14ac:dyDescent="0.3">
      <c r="Y1697" s="48" t="str">
        <f ca="1">IF(AND('Planning Sheet'!BO220='Weeks Plan'!$D$6,'Planning Sheet'!BI220='Weeks Plan'!$G$6),'Planning Sheet'!$B220,"")</f>
        <v/>
      </c>
      <c r="Z1697" s="48" t="str">
        <f ca="1">IF(AND('Planning Sheet'!BO220='Weeks Plan'!$D$6,'Planning Sheet'!BI220='Weeks Plan'!$G$6),'Planning Sheet'!$BJ220,"")</f>
        <v/>
      </c>
      <c r="AA1697" s="48" t="str">
        <f ca="1">IF(AND('Planning Sheet'!BO220='Weeks Plan'!$D$6,'Planning Sheet'!BI220='Weeks Plan'!$G$6),'Planning Sheet'!$BK220,"")</f>
        <v/>
      </c>
    </row>
    <row r="1698" spans="25:27" x14ac:dyDescent="0.3">
      <c r="Y1698" s="48" t="str">
        <f ca="1">IF(AND('Planning Sheet'!BO221='Weeks Plan'!$D$6,'Planning Sheet'!BI221='Weeks Plan'!$G$6),'Planning Sheet'!$B221,"")</f>
        <v/>
      </c>
      <c r="Z1698" s="48" t="str">
        <f ca="1">IF(AND('Planning Sheet'!BO221='Weeks Plan'!$D$6,'Planning Sheet'!BI221='Weeks Plan'!$G$6),'Planning Sheet'!$BJ221,"")</f>
        <v/>
      </c>
      <c r="AA1698" s="48" t="str">
        <f ca="1">IF(AND('Planning Sheet'!BO221='Weeks Plan'!$D$6,'Planning Sheet'!BI221='Weeks Plan'!$G$6),'Planning Sheet'!$BK221,"")</f>
        <v/>
      </c>
    </row>
    <row r="1699" spans="25:27" x14ac:dyDescent="0.3">
      <c r="Y1699" s="48" t="str">
        <f ca="1">IF(AND('Planning Sheet'!BO222='Weeks Plan'!$D$6,'Planning Sheet'!BI222='Weeks Plan'!$G$6),'Planning Sheet'!$B222,"")</f>
        <v/>
      </c>
      <c r="Z1699" s="48" t="str">
        <f ca="1">IF(AND('Planning Sheet'!BO222='Weeks Plan'!$D$6,'Planning Sheet'!BI222='Weeks Plan'!$G$6),'Planning Sheet'!$BJ222,"")</f>
        <v/>
      </c>
      <c r="AA1699" s="48" t="str">
        <f ca="1">IF(AND('Planning Sheet'!BO222='Weeks Plan'!$D$6,'Planning Sheet'!BI222='Weeks Plan'!$G$6),'Planning Sheet'!$BK222,"")</f>
        <v/>
      </c>
    </row>
    <row r="1700" spans="25:27" x14ac:dyDescent="0.3">
      <c r="Y1700" s="48" t="str">
        <f ca="1">IF(AND('Planning Sheet'!BO223='Weeks Plan'!$D$6,'Planning Sheet'!BI223='Weeks Plan'!$G$6),'Planning Sheet'!$B223,"")</f>
        <v/>
      </c>
      <c r="Z1700" s="48" t="str">
        <f ca="1">IF(AND('Planning Sheet'!BO223='Weeks Plan'!$D$6,'Planning Sheet'!BI223='Weeks Plan'!$G$6),'Planning Sheet'!$BJ223,"")</f>
        <v/>
      </c>
      <c r="AA1700" s="48" t="str">
        <f ca="1">IF(AND('Planning Sheet'!BO223='Weeks Plan'!$D$6,'Planning Sheet'!BI223='Weeks Plan'!$G$6),'Planning Sheet'!$BK223,"")</f>
        <v/>
      </c>
    </row>
    <row r="1701" spans="25:27" x14ac:dyDescent="0.3">
      <c r="Y1701" s="48" t="str">
        <f ca="1">IF(AND('Planning Sheet'!BO224='Weeks Plan'!$D$6,'Planning Sheet'!BI224='Weeks Plan'!$G$6),'Planning Sheet'!$B224,"")</f>
        <v/>
      </c>
      <c r="Z1701" s="48" t="str">
        <f ca="1">IF(AND('Planning Sheet'!BO224='Weeks Plan'!$D$6,'Planning Sheet'!BI224='Weeks Plan'!$G$6),'Planning Sheet'!$BJ224,"")</f>
        <v/>
      </c>
      <c r="AA1701" s="48" t="str">
        <f ca="1">IF(AND('Planning Sheet'!BO224='Weeks Plan'!$D$6,'Planning Sheet'!BI224='Weeks Plan'!$G$6),'Planning Sheet'!$BK224,"")</f>
        <v/>
      </c>
    </row>
    <row r="1702" spans="25:27" x14ac:dyDescent="0.3">
      <c r="Y1702" s="48" t="str">
        <f ca="1">IF(AND('Planning Sheet'!BO225='Weeks Plan'!$D$6,'Planning Sheet'!BI225='Weeks Plan'!$G$6),'Planning Sheet'!$B225,"")</f>
        <v/>
      </c>
      <c r="Z1702" s="48" t="str">
        <f ca="1">IF(AND('Planning Sheet'!BO225='Weeks Plan'!$D$6,'Planning Sheet'!BI225='Weeks Plan'!$G$6),'Planning Sheet'!$BJ225,"")</f>
        <v/>
      </c>
      <c r="AA1702" s="48" t="str">
        <f ca="1">IF(AND('Planning Sheet'!BO225='Weeks Plan'!$D$6,'Planning Sheet'!BI225='Weeks Plan'!$G$6),'Planning Sheet'!$BK225,"")</f>
        <v/>
      </c>
    </row>
    <row r="1703" spans="25:27" x14ac:dyDescent="0.3">
      <c r="Y1703" s="48" t="str">
        <f ca="1">IF(AND('Planning Sheet'!BO226='Weeks Plan'!$D$6,'Planning Sheet'!BI226='Weeks Plan'!$G$6),'Planning Sheet'!$B226,"")</f>
        <v/>
      </c>
      <c r="Z1703" s="48" t="str">
        <f ca="1">IF(AND('Planning Sheet'!BO226='Weeks Plan'!$D$6,'Planning Sheet'!BI226='Weeks Plan'!$G$6),'Planning Sheet'!$BJ226,"")</f>
        <v/>
      </c>
      <c r="AA1703" s="48" t="str">
        <f ca="1">IF(AND('Planning Sheet'!BO226='Weeks Plan'!$D$6,'Planning Sheet'!BI226='Weeks Plan'!$G$6),'Planning Sheet'!$BK226,"")</f>
        <v/>
      </c>
    </row>
    <row r="1704" spans="25:27" x14ac:dyDescent="0.3">
      <c r="Y1704" s="48" t="str">
        <f ca="1">IF(AND('Planning Sheet'!BO227='Weeks Plan'!$D$6,'Planning Sheet'!BI227='Weeks Plan'!$G$6),'Planning Sheet'!$B227,"")</f>
        <v/>
      </c>
      <c r="Z1704" s="48" t="str">
        <f ca="1">IF(AND('Planning Sheet'!BO227='Weeks Plan'!$D$6,'Planning Sheet'!BI227='Weeks Plan'!$G$6),'Planning Sheet'!$BJ227,"")</f>
        <v/>
      </c>
      <c r="AA1704" s="48" t="str">
        <f ca="1">IF(AND('Planning Sheet'!BO227='Weeks Plan'!$D$6,'Planning Sheet'!BI227='Weeks Plan'!$G$6),'Planning Sheet'!$BK227,"")</f>
        <v/>
      </c>
    </row>
    <row r="1705" spans="25:27" x14ac:dyDescent="0.3">
      <c r="Y1705" s="48" t="str">
        <f ca="1">IF(AND('Planning Sheet'!BO228='Weeks Plan'!$D$6,'Planning Sheet'!BI228='Weeks Plan'!$G$6),'Planning Sheet'!$B228,"")</f>
        <v/>
      </c>
      <c r="Z1705" s="48" t="str">
        <f ca="1">IF(AND('Planning Sheet'!BO228='Weeks Plan'!$D$6,'Planning Sheet'!BI228='Weeks Plan'!$G$6),'Planning Sheet'!$BJ228,"")</f>
        <v/>
      </c>
      <c r="AA1705" s="48" t="str">
        <f ca="1">IF(AND('Planning Sheet'!BO228='Weeks Plan'!$D$6,'Planning Sheet'!BI228='Weeks Plan'!$G$6),'Planning Sheet'!$BK228,"")</f>
        <v/>
      </c>
    </row>
    <row r="1706" spans="25:27" x14ac:dyDescent="0.3">
      <c r="Y1706" s="48" t="str">
        <f ca="1">IF(AND('Planning Sheet'!BO229='Weeks Plan'!$D$6,'Planning Sheet'!BI229='Weeks Plan'!$G$6),'Planning Sheet'!$B229,"")</f>
        <v/>
      </c>
      <c r="Z1706" s="48" t="str">
        <f ca="1">IF(AND('Planning Sheet'!BO229='Weeks Plan'!$D$6,'Planning Sheet'!BI229='Weeks Plan'!$G$6),'Planning Sheet'!$BJ229,"")</f>
        <v/>
      </c>
      <c r="AA1706" s="48" t="str">
        <f ca="1">IF(AND('Planning Sheet'!BO229='Weeks Plan'!$D$6,'Planning Sheet'!BI229='Weeks Plan'!$G$6),'Planning Sheet'!$BK229,"")</f>
        <v/>
      </c>
    </row>
    <row r="1707" spans="25:27" x14ac:dyDescent="0.3">
      <c r="Y1707" s="48" t="str">
        <f ca="1">IF(AND('Planning Sheet'!BO230='Weeks Plan'!$D$6,'Planning Sheet'!BI230='Weeks Plan'!$G$6),'Planning Sheet'!$B230,"")</f>
        <v/>
      </c>
      <c r="Z1707" s="48" t="str">
        <f ca="1">IF(AND('Planning Sheet'!BO230='Weeks Plan'!$D$6,'Planning Sheet'!BI230='Weeks Plan'!$G$6),'Planning Sheet'!$BJ230,"")</f>
        <v/>
      </c>
      <c r="AA1707" s="48" t="str">
        <f ca="1">IF(AND('Planning Sheet'!BO230='Weeks Plan'!$D$6,'Planning Sheet'!BI230='Weeks Plan'!$G$6),'Planning Sheet'!$BK230,"")</f>
        <v/>
      </c>
    </row>
    <row r="1708" spans="25:27" x14ac:dyDescent="0.3">
      <c r="Y1708" s="48" t="str">
        <f ca="1">IF(AND('Planning Sheet'!BO231='Weeks Plan'!$D$6,'Planning Sheet'!BI231='Weeks Plan'!$G$6),'Planning Sheet'!$B231,"")</f>
        <v/>
      </c>
      <c r="Z1708" s="48" t="str">
        <f ca="1">IF(AND('Planning Sheet'!BO231='Weeks Plan'!$D$6,'Planning Sheet'!BI231='Weeks Plan'!$G$6),'Planning Sheet'!$BJ231,"")</f>
        <v/>
      </c>
      <c r="AA1708" s="48" t="str">
        <f ca="1">IF(AND('Planning Sheet'!BO231='Weeks Plan'!$D$6,'Planning Sheet'!BI231='Weeks Plan'!$G$6),'Planning Sheet'!$BK231,"")</f>
        <v/>
      </c>
    </row>
    <row r="1709" spans="25:27" x14ac:dyDescent="0.3">
      <c r="Y1709" s="48" t="str">
        <f ca="1">IF(AND('Planning Sheet'!BO232='Weeks Plan'!$D$6,'Planning Sheet'!BI232='Weeks Plan'!$G$6),'Planning Sheet'!$B232,"")</f>
        <v/>
      </c>
      <c r="Z1709" s="48" t="str">
        <f ca="1">IF(AND('Planning Sheet'!BO232='Weeks Plan'!$D$6,'Planning Sheet'!BI232='Weeks Plan'!$G$6),'Planning Sheet'!$BJ232,"")</f>
        <v/>
      </c>
      <c r="AA1709" s="48" t="str">
        <f ca="1">IF(AND('Planning Sheet'!BO232='Weeks Plan'!$D$6,'Planning Sheet'!BI232='Weeks Plan'!$G$6),'Planning Sheet'!$BK232,"")</f>
        <v/>
      </c>
    </row>
    <row r="1710" spans="25:27" x14ac:dyDescent="0.3">
      <c r="Y1710" s="48" t="str">
        <f ca="1">IF(AND('Planning Sheet'!BO233='Weeks Plan'!$D$6,'Planning Sheet'!BI233='Weeks Plan'!$G$6),'Planning Sheet'!$B233,"")</f>
        <v/>
      </c>
      <c r="Z1710" s="48" t="str">
        <f ca="1">IF(AND('Planning Sheet'!BO233='Weeks Plan'!$D$6,'Planning Sheet'!BI233='Weeks Plan'!$G$6),'Planning Sheet'!$BJ233,"")</f>
        <v/>
      </c>
      <c r="AA1710" s="48" t="str">
        <f ca="1">IF(AND('Planning Sheet'!BO233='Weeks Plan'!$D$6,'Planning Sheet'!BI233='Weeks Plan'!$G$6),'Planning Sheet'!$BK233,"")</f>
        <v/>
      </c>
    </row>
    <row r="1711" spans="25:27" x14ac:dyDescent="0.3">
      <c r="Y1711" s="48" t="str">
        <f ca="1">IF(AND('Planning Sheet'!BO234='Weeks Plan'!$D$6,'Planning Sheet'!BI234='Weeks Plan'!$G$6),'Planning Sheet'!$B234,"")</f>
        <v/>
      </c>
      <c r="Z1711" s="48" t="str">
        <f ca="1">IF(AND('Planning Sheet'!BO234='Weeks Plan'!$D$6,'Planning Sheet'!BI234='Weeks Plan'!$G$6),'Planning Sheet'!$BJ234,"")</f>
        <v/>
      </c>
      <c r="AA1711" s="48" t="str">
        <f ca="1">IF(AND('Planning Sheet'!BO234='Weeks Plan'!$D$6,'Planning Sheet'!BI234='Weeks Plan'!$G$6),'Planning Sheet'!$BK234,"")</f>
        <v/>
      </c>
    </row>
    <row r="1712" spans="25:27" x14ac:dyDescent="0.3">
      <c r="Y1712" s="48" t="str">
        <f ca="1">IF(AND('Planning Sheet'!BO235='Weeks Plan'!$D$6,'Planning Sheet'!BI235='Weeks Plan'!$G$6),'Planning Sheet'!$B235,"")</f>
        <v/>
      </c>
      <c r="Z1712" s="48" t="str">
        <f ca="1">IF(AND('Planning Sheet'!BO235='Weeks Plan'!$D$6,'Planning Sheet'!BI235='Weeks Plan'!$G$6),'Planning Sheet'!$BJ235,"")</f>
        <v/>
      </c>
      <c r="AA1712" s="48" t="str">
        <f ca="1">IF(AND('Planning Sheet'!BO235='Weeks Plan'!$D$6,'Planning Sheet'!BI235='Weeks Plan'!$G$6),'Planning Sheet'!$BK235,"")</f>
        <v/>
      </c>
    </row>
    <row r="1713" spans="25:27" x14ac:dyDescent="0.3">
      <c r="Y1713" s="48" t="str">
        <f ca="1">IF(AND('Planning Sheet'!BO236='Weeks Plan'!$D$6,'Planning Sheet'!BI236='Weeks Plan'!$G$6),'Planning Sheet'!$B236,"")</f>
        <v/>
      </c>
      <c r="Z1713" s="48" t="str">
        <f ca="1">IF(AND('Planning Sheet'!BO236='Weeks Plan'!$D$6,'Planning Sheet'!BI236='Weeks Plan'!$G$6),'Planning Sheet'!$BJ236,"")</f>
        <v/>
      </c>
      <c r="AA1713" s="48" t="str">
        <f ca="1">IF(AND('Planning Sheet'!BO236='Weeks Plan'!$D$6,'Planning Sheet'!BI236='Weeks Plan'!$G$6),'Planning Sheet'!$BK236,"")</f>
        <v/>
      </c>
    </row>
    <row r="1714" spans="25:27" x14ac:dyDescent="0.3">
      <c r="Y1714" s="48" t="str">
        <f ca="1">IF(AND('Planning Sheet'!BO237='Weeks Plan'!$D$6,'Planning Sheet'!BI237='Weeks Plan'!$G$6),'Planning Sheet'!$B237,"")</f>
        <v/>
      </c>
      <c r="Z1714" s="48" t="str">
        <f ca="1">IF(AND('Planning Sheet'!BO237='Weeks Plan'!$D$6,'Planning Sheet'!BI237='Weeks Plan'!$G$6),'Planning Sheet'!$BJ237,"")</f>
        <v/>
      </c>
      <c r="AA1714" s="48" t="str">
        <f ca="1">IF(AND('Planning Sheet'!BO237='Weeks Plan'!$D$6,'Planning Sheet'!BI237='Weeks Plan'!$G$6),'Planning Sheet'!$BK237,"")</f>
        <v/>
      </c>
    </row>
    <row r="1715" spans="25:27" x14ac:dyDescent="0.3">
      <c r="Y1715" s="48" t="str">
        <f ca="1">IF(AND('Planning Sheet'!BO238='Weeks Plan'!$D$6,'Planning Sheet'!BI238='Weeks Plan'!$G$6),'Planning Sheet'!$B238,"")</f>
        <v/>
      </c>
      <c r="Z1715" s="48" t="str">
        <f ca="1">IF(AND('Planning Sheet'!BO238='Weeks Plan'!$D$6,'Planning Sheet'!BI238='Weeks Plan'!$G$6),'Planning Sheet'!$BJ238,"")</f>
        <v/>
      </c>
      <c r="AA1715" s="48" t="str">
        <f ca="1">IF(AND('Planning Sheet'!BO238='Weeks Plan'!$D$6,'Planning Sheet'!BI238='Weeks Plan'!$G$6),'Planning Sheet'!$BK238,"")</f>
        <v/>
      </c>
    </row>
    <row r="1716" spans="25:27" x14ac:dyDescent="0.3">
      <c r="Y1716" s="48" t="str">
        <f ca="1">IF(AND('Planning Sheet'!BO239='Weeks Plan'!$D$6,'Planning Sheet'!BI239='Weeks Plan'!$G$6),'Planning Sheet'!$B239,"")</f>
        <v/>
      </c>
      <c r="Z1716" s="48" t="str">
        <f ca="1">IF(AND('Planning Sheet'!BO239='Weeks Plan'!$D$6,'Planning Sheet'!BI239='Weeks Plan'!$G$6),'Planning Sheet'!$BJ239,"")</f>
        <v/>
      </c>
      <c r="AA1716" s="48" t="str">
        <f ca="1">IF(AND('Planning Sheet'!BO239='Weeks Plan'!$D$6,'Planning Sheet'!BI239='Weeks Plan'!$G$6),'Planning Sheet'!$BK239,"")</f>
        <v/>
      </c>
    </row>
    <row r="1717" spans="25:27" x14ac:dyDescent="0.3">
      <c r="Y1717" s="48" t="str">
        <f ca="1">IF(AND('Planning Sheet'!BO240='Weeks Plan'!$D$6,'Planning Sheet'!BI240='Weeks Plan'!$G$6),'Planning Sheet'!$B240,"")</f>
        <v/>
      </c>
      <c r="Z1717" s="48" t="str">
        <f ca="1">IF(AND('Planning Sheet'!BO240='Weeks Plan'!$D$6,'Planning Sheet'!BI240='Weeks Plan'!$G$6),'Planning Sheet'!$BJ240,"")</f>
        <v/>
      </c>
      <c r="AA1717" s="48" t="str">
        <f ca="1">IF(AND('Planning Sheet'!BO240='Weeks Plan'!$D$6,'Planning Sheet'!BI240='Weeks Plan'!$G$6),'Planning Sheet'!$BK240,"")</f>
        <v/>
      </c>
    </row>
    <row r="1718" spans="25:27" x14ac:dyDescent="0.3">
      <c r="Y1718" s="48" t="str">
        <f ca="1">IF(AND('Planning Sheet'!BO241='Weeks Plan'!$D$6,'Planning Sheet'!BI241='Weeks Plan'!$G$6),'Planning Sheet'!$B241,"")</f>
        <v/>
      </c>
      <c r="Z1718" s="48" t="str">
        <f ca="1">IF(AND('Planning Sheet'!BO241='Weeks Plan'!$D$6,'Planning Sheet'!BI241='Weeks Plan'!$G$6),'Planning Sheet'!$BJ241,"")</f>
        <v/>
      </c>
      <c r="AA1718" s="48" t="str">
        <f ca="1">IF(AND('Planning Sheet'!BO241='Weeks Plan'!$D$6,'Planning Sheet'!BI241='Weeks Plan'!$G$6),'Planning Sheet'!$BK241,"")</f>
        <v/>
      </c>
    </row>
    <row r="1719" spans="25:27" x14ac:dyDescent="0.3">
      <c r="Y1719" s="48" t="str">
        <f ca="1">IF(AND('Planning Sheet'!BO242='Weeks Plan'!$D$6,'Planning Sheet'!BI242='Weeks Plan'!$G$6),'Planning Sheet'!$B242,"")</f>
        <v/>
      </c>
      <c r="Z1719" s="48" t="str">
        <f ca="1">IF(AND('Planning Sheet'!BO242='Weeks Plan'!$D$6,'Planning Sheet'!BI242='Weeks Plan'!$G$6),'Planning Sheet'!$BJ242,"")</f>
        <v/>
      </c>
      <c r="AA1719" s="48" t="str">
        <f ca="1">IF(AND('Planning Sheet'!BO242='Weeks Plan'!$D$6,'Planning Sheet'!BI242='Weeks Plan'!$G$6),'Planning Sheet'!$BK242,"")</f>
        <v/>
      </c>
    </row>
    <row r="1720" spans="25:27" x14ac:dyDescent="0.3">
      <c r="Y1720" s="48" t="str">
        <f ca="1">IF(AND('Planning Sheet'!BO243='Weeks Plan'!$D$6,'Planning Sheet'!BI243='Weeks Plan'!$G$6),'Planning Sheet'!$B243,"")</f>
        <v/>
      </c>
      <c r="Z1720" s="48" t="str">
        <f ca="1">IF(AND('Planning Sheet'!BO243='Weeks Plan'!$D$6,'Planning Sheet'!BI243='Weeks Plan'!$G$6),'Planning Sheet'!$BJ243,"")</f>
        <v/>
      </c>
      <c r="AA1720" s="48" t="str">
        <f ca="1">IF(AND('Planning Sheet'!BO243='Weeks Plan'!$D$6,'Planning Sheet'!BI243='Weeks Plan'!$G$6),'Planning Sheet'!$BK243,"")</f>
        <v/>
      </c>
    </row>
    <row r="1721" spans="25:27" x14ac:dyDescent="0.3">
      <c r="Y1721" s="48" t="str">
        <f ca="1">IF(AND('Planning Sheet'!BO244='Weeks Plan'!$D$6,'Planning Sheet'!BI244='Weeks Plan'!$G$6),'Planning Sheet'!$B244,"")</f>
        <v/>
      </c>
      <c r="Z1721" s="48" t="str">
        <f ca="1">IF(AND('Planning Sheet'!BO244='Weeks Plan'!$D$6,'Planning Sheet'!BI244='Weeks Plan'!$G$6),'Planning Sheet'!$BJ244,"")</f>
        <v/>
      </c>
      <c r="AA1721" s="48" t="str">
        <f ca="1">IF(AND('Planning Sheet'!BO244='Weeks Plan'!$D$6,'Planning Sheet'!BI244='Weeks Plan'!$G$6),'Planning Sheet'!$BK244,"")</f>
        <v/>
      </c>
    </row>
    <row r="1722" spans="25:27" x14ac:dyDescent="0.3">
      <c r="Y1722" s="48" t="str">
        <f ca="1">IF(AND('Planning Sheet'!BO245='Weeks Plan'!$D$6,'Planning Sheet'!BI245='Weeks Plan'!$G$6),'Planning Sheet'!$B245,"")</f>
        <v/>
      </c>
      <c r="Z1722" s="48" t="str">
        <f ca="1">IF(AND('Planning Sheet'!BO245='Weeks Plan'!$D$6,'Planning Sheet'!BI245='Weeks Plan'!$G$6),'Planning Sheet'!$BJ245,"")</f>
        <v/>
      </c>
      <c r="AA1722" s="48" t="str">
        <f ca="1">IF(AND('Planning Sheet'!BO245='Weeks Plan'!$D$6,'Planning Sheet'!BI245='Weeks Plan'!$G$6),'Planning Sheet'!$BK245,"")</f>
        <v/>
      </c>
    </row>
    <row r="1723" spans="25:27" x14ac:dyDescent="0.3">
      <c r="Y1723" s="48" t="str">
        <f ca="1">IF(AND('Planning Sheet'!BO246='Weeks Plan'!$D$6,'Planning Sheet'!BI246='Weeks Plan'!$G$6),'Planning Sheet'!$B246,"")</f>
        <v/>
      </c>
      <c r="Z1723" s="48" t="str">
        <f ca="1">IF(AND('Planning Sheet'!BO246='Weeks Plan'!$D$6,'Planning Sheet'!BI246='Weeks Plan'!$G$6),'Planning Sheet'!$BJ246,"")</f>
        <v/>
      </c>
      <c r="AA1723" s="48" t="str">
        <f ca="1">IF(AND('Planning Sheet'!BO246='Weeks Plan'!$D$6,'Planning Sheet'!BI246='Weeks Plan'!$G$6),'Planning Sheet'!$BK246,"")</f>
        <v/>
      </c>
    </row>
    <row r="1724" spans="25:27" x14ac:dyDescent="0.3">
      <c r="Y1724" s="48" t="str">
        <f ca="1">IF(AND('Planning Sheet'!BO247='Weeks Plan'!$D$6,'Planning Sheet'!BI247='Weeks Plan'!$G$6),'Planning Sheet'!$B247,"")</f>
        <v/>
      </c>
      <c r="Z1724" s="48" t="str">
        <f ca="1">IF(AND('Planning Sheet'!BO247='Weeks Plan'!$D$6,'Planning Sheet'!BI247='Weeks Plan'!$G$6),'Planning Sheet'!$BJ247,"")</f>
        <v/>
      </c>
      <c r="AA1724" s="48" t="str">
        <f ca="1">IF(AND('Planning Sheet'!BO247='Weeks Plan'!$D$6,'Planning Sheet'!BI247='Weeks Plan'!$G$6),'Planning Sheet'!$BK247,"")</f>
        <v/>
      </c>
    </row>
    <row r="1725" spans="25:27" x14ac:dyDescent="0.3">
      <c r="Y1725" s="48" t="str">
        <f ca="1">IF(AND('Planning Sheet'!BO248='Weeks Plan'!$D$6,'Planning Sheet'!BI248='Weeks Plan'!$G$6),'Planning Sheet'!$B248,"")</f>
        <v/>
      </c>
      <c r="Z1725" s="48" t="str">
        <f ca="1">IF(AND('Planning Sheet'!BO248='Weeks Plan'!$D$6,'Planning Sheet'!BI248='Weeks Plan'!$G$6),'Planning Sheet'!$BJ248,"")</f>
        <v/>
      </c>
      <c r="AA1725" s="48" t="str">
        <f ca="1">IF(AND('Planning Sheet'!BO248='Weeks Plan'!$D$6,'Planning Sheet'!BI248='Weeks Plan'!$G$6),'Planning Sheet'!$BK248,"")</f>
        <v/>
      </c>
    </row>
    <row r="1726" spans="25:27" x14ac:dyDescent="0.3">
      <c r="Y1726" s="48" t="str">
        <f ca="1">IF(AND('Planning Sheet'!BO249='Weeks Plan'!$D$6,'Planning Sheet'!BI249='Weeks Plan'!$G$6),'Planning Sheet'!$B249,"")</f>
        <v/>
      </c>
      <c r="Z1726" s="48" t="str">
        <f ca="1">IF(AND('Planning Sheet'!BO249='Weeks Plan'!$D$6,'Planning Sheet'!BI249='Weeks Plan'!$G$6),'Planning Sheet'!$BJ249,"")</f>
        <v/>
      </c>
      <c r="AA1726" s="48" t="str">
        <f ca="1">IF(AND('Planning Sheet'!BO249='Weeks Plan'!$D$6,'Planning Sheet'!BI249='Weeks Plan'!$G$6),'Planning Sheet'!$BK249,"")</f>
        <v/>
      </c>
    </row>
    <row r="1727" spans="25:27" x14ac:dyDescent="0.3">
      <c r="Y1727" s="48" t="str">
        <f ca="1">IF(AND('Planning Sheet'!BO250='Weeks Plan'!$D$6,'Planning Sheet'!BI250='Weeks Plan'!$G$6),'Planning Sheet'!$B250,"")</f>
        <v/>
      </c>
      <c r="Z1727" s="48" t="str">
        <f ca="1">IF(AND('Planning Sheet'!BO250='Weeks Plan'!$D$6,'Planning Sheet'!BI250='Weeks Plan'!$G$6),'Planning Sheet'!$BJ250,"")</f>
        <v/>
      </c>
      <c r="AA1727" s="48" t="str">
        <f ca="1">IF(AND('Planning Sheet'!BO250='Weeks Plan'!$D$6,'Planning Sheet'!BI250='Weeks Plan'!$G$6),'Planning Sheet'!$BK250,"")</f>
        <v/>
      </c>
    </row>
    <row r="1728" spans="25:27" x14ac:dyDescent="0.3">
      <c r="Y1728" s="48" t="str">
        <f ca="1">IF(AND('Planning Sheet'!BO251='Weeks Plan'!$D$6,'Planning Sheet'!BI251='Weeks Plan'!$G$6),'Planning Sheet'!$B251,"")</f>
        <v/>
      </c>
      <c r="Z1728" s="48" t="str">
        <f ca="1">IF(AND('Planning Sheet'!BO251='Weeks Plan'!$D$6,'Planning Sheet'!BI251='Weeks Plan'!$G$6),'Planning Sheet'!$BJ251,"")</f>
        <v/>
      </c>
      <c r="AA1728" s="48" t="str">
        <f ca="1">IF(AND('Planning Sheet'!BO251='Weeks Plan'!$D$6,'Planning Sheet'!BI251='Weeks Plan'!$G$6),'Planning Sheet'!$BK251,"")</f>
        <v/>
      </c>
    </row>
    <row r="1729" spans="25:27" x14ac:dyDescent="0.3">
      <c r="Y1729" s="48" t="str">
        <f ca="1">IF(AND('Planning Sheet'!BO252='Weeks Plan'!$D$6,'Planning Sheet'!BI252='Weeks Plan'!$G$6),'Planning Sheet'!$B252,"")</f>
        <v/>
      </c>
      <c r="Z1729" s="48" t="str">
        <f ca="1">IF(AND('Planning Sheet'!BO252='Weeks Plan'!$D$6,'Planning Sheet'!BI252='Weeks Plan'!$G$6),'Planning Sheet'!$BJ252,"")</f>
        <v/>
      </c>
      <c r="AA1729" s="48" t="str">
        <f ca="1">IF(AND('Planning Sheet'!BO252='Weeks Plan'!$D$6,'Planning Sheet'!BI252='Weeks Plan'!$G$6),'Planning Sheet'!$BK252,"")</f>
        <v/>
      </c>
    </row>
    <row r="1730" spans="25:27" x14ac:dyDescent="0.3">
      <c r="Y1730" s="48" t="str">
        <f ca="1">IF(AND('Planning Sheet'!BO253='Weeks Plan'!$D$6,'Planning Sheet'!BI253='Weeks Plan'!$G$6),'Planning Sheet'!$B253,"")</f>
        <v/>
      </c>
      <c r="Z1730" s="48" t="str">
        <f ca="1">IF(AND('Planning Sheet'!BO253='Weeks Plan'!$D$6,'Planning Sheet'!BI253='Weeks Plan'!$G$6),'Planning Sheet'!$BJ253,"")</f>
        <v/>
      </c>
      <c r="AA1730" s="48" t="str">
        <f ca="1">IF(AND('Planning Sheet'!BO253='Weeks Plan'!$D$6,'Planning Sheet'!BI253='Weeks Plan'!$G$6),'Planning Sheet'!$BK253,"")</f>
        <v/>
      </c>
    </row>
    <row r="1731" spans="25:27" x14ac:dyDescent="0.3">
      <c r="Y1731" s="48" t="str">
        <f ca="1">IF(AND('Planning Sheet'!BO254='Weeks Plan'!$D$6,'Planning Sheet'!BI254='Weeks Plan'!$G$6),'Planning Sheet'!$B254,"")</f>
        <v/>
      </c>
      <c r="Z1731" s="48" t="str">
        <f ca="1">IF(AND('Planning Sheet'!BO254='Weeks Plan'!$D$6,'Planning Sheet'!BI254='Weeks Plan'!$G$6),'Planning Sheet'!$BJ254,"")</f>
        <v/>
      </c>
      <c r="AA1731" s="48" t="str">
        <f ca="1">IF(AND('Planning Sheet'!BO254='Weeks Plan'!$D$6,'Planning Sheet'!BI254='Weeks Plan'!$G$6),'Planning Sheet'!$BK254,"")</f>
        <v/>
      </c>
    </row>
    <row r="1732" spans="25:27" x14ac:dyDescent="0.3">
      <c r="Y1732" s="48" t="str">
        <f ca="1">IF(AND('Planning Sheet'!BO255='Weeks Plan'!$D$6,'Planning Sheet'!BI255='Weeks Plan'!$G$6),'Planning Sheet'!$B255,"")</f>
        <v/>
      </c>
      <c r="Z1732" s="48" t="str">
        <f ca="1">IF(AND('Planning Sheet'!BO255='Weeks Plan'!$D$6,'Planning Sheet'!BI255='Weeks Plan'!$G$6),'Planning Sheet'!$BJ255,"")</f>
        <v/>
      </c>
      <c r="AA1732" s="48" t="str">
        <f ca="1">IF(AND('Planning Sheet'!BO255='Weeks Plan'!$D$6,'Planning Sheet'!BI255='Weeks Plan'!$G$6),'Planning Sheet'!$BK255,"")</f>
        <v/>
      </c>
    </row>
    <row r="1733" spans="25:27" x14ac:dyDescent="0.3">
      <c r="Y1733" s="48" t="str">
        <f ca="1">IF(AND('Planning Sheet'!BO256='Weeks Plan'!$D$6,'Planning Sheet'!BI256='Weeks Plan'!$G$6),'Planning Sheet'!$B256,"")</f>
        <v/>
      </c>
      <c r="Z1733" s="48" t="str">
        <f ca="1">IF(AND('Planning Sheet'!BO256='Weeks Plan'!$D$6,'Planning Sheet'!BI256='Weeks Plan'!$G$6),'Planning Sheet'!$BJ256,"")</f>
        <v/>
      </c>
      <c r="AA1733" s="48" t="str">
        <f ca="1">IF(AND('Planning Sheet'!BO256='Weeks Plan'!$D$6,'Planning Sheet'!BI256='Weeks Plan'!$G$6),'Planning Sheet'!$BK256,"")</f>
        <v/>
      </c>
    </row>
    <row r="1734" spans="25:27" x14ac:dyDescent="0.3">
      <c r="Y1734" s="48" t="str">
        <f ca="1">IF(AND('Planning Sheet'!BO257='Weeks Plan'!$D$6,'Planning Sheet'!BI257='Weeks Plan'!$G$6),'Planning Sheet'!$B257,"")</f>
        <v/>
      </c>
      <c r="Z1734" s="48" t="str">
        <f ca="1">IF(AND('Planning Sheet'!BO257='Weeks Plan'!$D$6,'Planning Sheet'!BI257='Weeks Plan'!$G$6),'Planning Sheet'!$BJ257,"")</f>
        <v/>
      </c>
      <c r="AA1734" s="48" t="str">
        <f ca="1">IF(AND('Planning Sheet'!BO257='Weeks Plan'!$D$6,'Planning Sheet'!BI257='Weeks Plan'!$G$6),'Planning Sheet'!$BK257,"")</f>
        <v/>
      </c>
    </row>
    <row r="1735" spans="25:27" x14ac:dyDescent="0.3">
      <c r="Y1735" s="48" t="str">
        <f ca="1">IF(AND('Planning Sheet'!BO258='Weeks Plan'!$D$6,'Planning Sheet'!BI258='Weeks Plan'!$G$6),'Planning Sheet'!$B258,"")</f>
        <v/>
      </c>
      <c r="Z1735" s="48" t="str">
        <f ca="1">IF(AND('Planning Sheet'!BO258='Weeks Plan'!$D$6,'Planning Sheet'!BI258='Weeks Plan'!$G$6),'Planning Sheet'!$BJ258,"")</f>
        <v/>
      </c>
      <c r="AA1735" s="48" t="str">
        <f ca="1">IF(AND('Planning Sheet'!BO258='Weeks Plan'!$D$6,'Planning Sheet'!BI258='Weeks Plan'!$G$6),'Planning Sheet'!$BK258,"")</f>
        <v/>
      </c>
    </row>
    <row r="1736" spans="25:27" x14ac:dyDescent="0.3">
      <c r="Y1736" s="48" t="str">
        <f ca="1">IF(AND('Planning Sheet'!BO259='Weeks Plan'!$D$6,'Planning Sheet'!BI259='Weeks Plan'!$G$6),'Planning Sheet'!$B259,"")</f>
        <v/>
      </c>
      <c r="Z1736" s="48" t="str">
        <f ca="1">IF(AND('Planning Sheet'!BO259='Weeks Plan'!$D$6,'Planning Sheet'!BI259='Weeks Plan'!$G$6),'Planning Sheet'!$BJ259,"")</f>
        <v/>
      </c>
      <c r="AA1736" s="48" t="str">
        <f ca="1">IF(AND('Planning Sheet'!BO259='Weeks Plan'!$D$6,'Planning Sheet'!BI259='Weeks Plan'!$G$6),'Planning Sheet'!$BK259,"")</f>
        <v/>
      </c>
    </row>
    <row r="1737" spans="25:27" x14ac:dyDescent="0.3">
      <c r="Y1737" s="48" t="str">
        <f ca="1">IF(AND('Planning Sheet'!BO260='Weeks Plan'!$D$6,'Planning Sheet'!BI260='Weeks Plan'!$G$6),'Planning Sheet'!$B260,"")</f>
        <v/>
      </c>
      <c r="Z1737" s="48" t="str">
        <f ca="1">IF(AND('Planning Sheet'!BO260='Weeks Plan'!$D$6,'Planning Sheet'!BI260='Weeks Plan'!$G$6),'Planning Sheet'!$BJ260,"")</f>
        <v/>
      </c>
      <c r="AA1737" s="48" t="str">
        <f ca="1">IF(AND('Planning Sheet'!BO260='Weeks Plan'!$D$6,'Planning Sheet'!BI260='Weeks Plan'!$G$6),'Planning Sheet'!$BK260,"")</f>
        <v/>
      </c>
    </row>
    <row r="1738" spans="25:27" x14ac:dyDescent="0.3">
      <c r="Y1738" s="48" t="str">
        <f ca="1">IF(AND('Planning Sheet'!BO261='Weeks Plan'!$D$6,'Planning Sheet'!BI261='Weeks Plan'!$G$6),'Planning Sheet'!$B261,"")</f>
        <v/>
      </c>
      <c r="Z1738" s="48" t="str">
        <f ca="1">IF(AND('Planning Sheet'!BO261='Weeks Plan'!$D$6,'Planning Sheet'!BI261='Weeks Plan'!$G$6),'Planning Sheet'!$BJ261,"")</f>
        <v/>
      </c>
      <c r="AA1738" s="48" t="str">
        <f ca="1">IF(AND('Planning Sheet'!BO261='Weeks Plan'!$D$6,'Planning Sheet'!BI261='Weeks Plan'!$G$6),'Planning Sheet'!$BK261,"")</f>
        <v/>
      </c>
    </row>
    <row r="1739" spans="25:27" x14ac:dyDescent="0.3">
      <c r="Y1739" s="48" t="str">
        <f ca="1">IF(AND('Planning Sheet'!BO262='Weeks Plan'!$D$6,'Planning Sheet'!BI262='Weeks Plan'!$G$6),'Planning Sheet'!$B262,"")</f>
        <v/>
      </c>
      <c r="Z1739" s="48" t="str">
        <f ca="1">IF(AND('Planning Sheet'!BO262='Weeks Plan'!$D$6,'Planning Sheet'!BI262='Weeks Plan'!$G$6),'Planning Sheet'!$BJ262,"")</f>
        <v/>
      </c>
      <c r="AA1739" s="48" t="str">
        <f ca="1">IF(AND('Planning Sheet'!BO262='Weeks Plan'!$D$6,'Planning Sheet'!BI262='Weeks Plan'!$G$6),'Planning Sheet'!$BK262,"")</f>
        <v/>
      </c>
    </row>
    <row r="1740" spans="25:27" x14ac:dyDescent="0.3">
      <c r="Y1740" s="48" t="str">
        <f ca="1">IF(AND('Planning Sheet'!BO263='Weeks Plan'!$D$6,'Planning Sheet'!BI263='Weeks Plan'!$G$6),'Planning Sheet'!$B263,"")</f>
        <v/>
      </c>
      <c r="Z1740" s="48" t="str">
        <f ca="1">IF(AND('Planning Sheet'!BO263='Weeks Plan'!$D$6,'Planning Sheet'!BI263='Weeks Plan'!$G$6),'Planning Sheet'!$BJ263,"")</f>
        <v/>
      </c>
      <c r="AA1740" s="48" t="str">
        <f ca="1">IF(AND('Planning Sheet'!BO263='Weeks Plan'!$D$6,'Planning Sheet'!BI263='Weeks Plan'!$G$6),'Planning Sheet'!$BK263,"")</f>
        <v/>
      </c>
    </row>
    <row r="1741" spans="25:27" x14ac:dyDescent="0.3">
      <c r="Y1741" s="48" t="str">
        <f ca="1">IF(AND('Planning Sheet'!BO264='Weeks Plan'!$D$6,'Planning Sheet'!BI264='Weeks Plan'!$G$6),'Planning Sheet'!$B264,"")</f>
        <v/>
      </c>
      <c r="Z1741" s="48" t="str">
        <f ca="1">IF(AND('Planning Sheet'!BO264='Weeks Plan'!$D$6,'Planning Sheet'!BI264='Weeks Plan'!$G$6),'Planning Sheet'!$BJ264,"")</f>
        <v/>
      </c>
      <c r="AA1741" s="48" t="str">
        <f ca="1">IF(AND('Planning Sheet'!BO264='Weeks Plan'!$D$6,'Planning Sheet'!BI264='Weeks Plan'!$G$6),'Planning Sheet'!$BK264,"")</f>
        <v/>
      </c>
    </row>
    <row r="1742" spans="25:27" x14ac:dyDescent="0.3">
      <c r="Y1742" s="48" t="str">
        <f ca="1">IF(AND('Planning Sheet'!BO265='Weeks Plan'!$D$6,'Planning Sheet'!BI265='Weeks Plan'!$G$6),'Planning Sheet'!$B265,"")</f>
        <v/>
      </c>
      <c r="Z1742" s="48" t="str">
        <f ca="1">IF(AND('Planning Sheet'!BO265='Weeks Plan'!$D$6,'Planning Sheet'!BI265='Weeks Plan'!$G$6),'Planning Sheet'!$BJ265,"")</f>
        <v/>
      </c>
      <c r="AA1742" s="48" t="str">
        <f ca="1">IF(AND('Planning Sheet'!BO265='Weeks Plan'!$D$6,'Planning Sheet'!BI265='Weeks Plan'!$G$6),'Planning Sheet'!$BK265,"")</f>
        <v/>
      </c>
    </row>
    <row r="1743" spans="25:27" x14ac:dyDescent="0.3">
      <c r="Y1743" s="48" t="str">
        <f ca="1">IF(AND('Planning Sheet'!BO266='Weeks Plan'!$D$6,'Planning Sheet'!BI266='Weeks Plan'!$G$6),'Planning Sheet'!$B266,"")</f>
        <v/>
      </c>
      <c r="Z1743" s="48" t="str">
        <f ca="1">IF(AND('Planning Sheet'!BO266='Weeks Plan'!$D$6,'Planning Sheet'!BI266='Weeks Plan'!$G$6),'Planning Sheet'!$BJ266,"")</f>
        <v/>
      </c>
      <c r="AA1743" s="48" t="str">
        <f ca="1">IF(AND('Planning Sheet'!BO266='Weeks Plan'!$D$6,'Planning Sheet'!BI266='Weeks Plan'!$G$6),'Planning Sheet'!$BK266,"")</f>
        <v/>
      </c>
    </row>
    <row r="1744" spans="25:27" x14ac:dyDescent="0.3">
      <c r="Y1744" s="48" t="str">
        <f ca="1">IF(AND('Planning Sheet'!BO267='Weeks Plan'!$D$6,'Planning Sheet'!BI267='Weeks Plan'!$G$6),'Planning Sheet'!$B267,"")</f>
        <v/>
      </c>
      <c r="Z1744" s="48" t="str">
        <f ca="1">IF(AND('Planning Sheet'!BO267='Weeks Plan'!$D$6,'Planning Sheet'!BI267='Weeks Plan'!$G$6),'Planning Sheet'!$BJ267,"")</f>
        <v/>
      </c>
      <c r="AA1744" s="48" t="str">
        <f ca="1">IF(AND('Planning Sheet'!BO267='Weeks Plan'!$D$6,'Planning Sheet'!BI267='Weeks Plan'!$G$6),'Planning Sheet'!$BK267,"")</f>
        <v/>
      </c>
    </row>
    <row r="1745" spans="25:27" x14ac:dyDescent="0.3">
      <c r="Y1745" s="48" t="str">
        <f ca="1">IF(AND('Planning Sheet'!BO268='Weeks Plan'!$D$6,'Planning Sheet'!BI268='Weeks Plan'!$G$6),'Planning Sheet'!$B268,"")</f>
        <v/>
      </c>
      <c r="Z1745" s="48" t="str">
        <f ca="1">IF(AND('Planning Sheet'!BO268='Weeks Plan'!$D$6,'Planning Sheet'!BI268='Weeks Plan'!$G$6),'Planning Sheet'!$BJ268,"")</f>
        <v/>
      </c>
      <c r="AA1745" s="48" t="str">
        <f ca="1">IF(AND('Planning Sheet'!BO268='Weeks Plan'!$D$6,'Planning Sheet'!BI268='Weeks Plan'!$G$6),'Planning Sheet'!$BK268,"")</f>
        <v/>
      </c>
    </row>
    <row r="1746" spans="25:27" x14ac:dyDescent="0.3">
      <c r="Y1746" s="48" t="str">
        <f ca="1">IF(AND('Planning Sheet'!BO269='Weeks Plan'!$D$6,'Planning Sheet'!BI269='Weeks Plan'!$G$6),'Planning Sheet'!$B269,"")</f>
        <v/>
      </c>
      <c r="Z1746" s="48" t="str">
        <f ca="1">IF(AND('Planning Sheet'!BO269='Weeks Plan'!$D$6,'Planning Sheet'!BI269='Weeks Plan'!$G$6),'Planning Sheet'!$BJ269,"")</f>
        <v/>
      </c>
      <c r="AA1746" s="48" t="str">
        <f ca="1">IF(AND('Planning Sheet'!BO269='Weeks Plan'!$D$6,'Planning Sheet'!BI269='Weeks Plan'!$G$6),'Planning Sheet'!$BK269,"")</f>
        <v/>
      </c>
    </row>
    <row r="1747" spans="25:27" x14ac:dyDescent="0.3">
      <c r="Y1747" s="48" t="str">
        <f ca="1">IF(AND('Planning Sheet'!BO270='Weeks Plan'!$D$6,'Planning Sheet'!BI270='Weeks Plan'!$G$6),'Planning Sheet'!$B270,"")</f>
        <v/>
      </c>
      <c r="Z1747" s="48" t="str">
        <f ca="1">IF(AND('Planning Sheet'!BO270='Weeks Plan'!$D$6,'Planning Sheet'!BI270='Weeks Plan'!$G$6),'Planning Sheet'!$BJ270,"")</f>
        <v/>
      </c>
      <c r="AA1747" s="48" t="str">
        <f ca="1">IF(AND('Planning Sheet'!BO270='Weeks Plan'!$D$6,'Planning Sheet'!BI270='Weeks Plan'!$G$6),'Planning Sheet'!$BK270,"")</f>
        <v/>
      </c>
    </row>
    <row r="1748" spans="25:27" x14ac:dyDescent="0.3">
      <c r="Y1748" s="48" t="str">
        <f ca="1">IF(AND('Planning Sheet'!BO271='Weeks Plan'!$D$6,'Planning Sheet'!BI271='Weeks Plan'!$G$6),'Planning Sheet'!$B271,"")</f>
        <v/>
      </c>
      <c r="Z1748" s="48" t="str">
        <f ca="1">IF(AND('Planning Sheet'!BO271='Weeks Plan'!$D$6,'Planning Sheet'!BI271='Weeks Plan'!$G$6),'Planning Sheet'!$BJ271,"")</f>
        <v/>
      </c>
      <c r="AA1748" s="48" t="str">
        <f ca="1">IF(AND('Planning Sheet'!BO271='Weeks Plan'!$D$6,'Planning Sheet'!BI271='Weeks Plan'!$G$6),'Planning Sheet'!$BK271,"")</f>
        <v/>
      </c>
    </row>
    <row r="1749" spans="25:27" x14ac:dyDescent="0.3">
      <c r="Y1749" s="48" t="str">
        <f ca="1">IF(AND('Planning Sheet'!BO272='Weeks Plan'!$D$6,'Planning Sheet'!BI272='Weeks Plan'!$G$6),'Planning Sheet'!$B272,"")</f>
        <v/>
      </c>
      <c r="Z1749" s="48" t="str">
        <f ca="1">IF(AND('Planning Sheet'!BO272='Weeks Plan'!$D$6,'Planning Sheet'!BI272='Weeks Plan'!$G$6),'Planning Sheet'!$BJ272,"")</f>
        <v/>
      </c>
      <c r="AA1749" s="48" t="str">
        <f ca="1">IF(AND('Planning Sheet'!BO272='Weeks Plan'!$D$6,'Planning Sheet'!BI272='Weeks Plan'!$G$6),'Planning Sheet'!$BK272,"")</f>
        <v/>
      </c>
    </row>
    <row r="1750" spans="25:27" x14ac:dyDescent="0.3">
      <c r="Y1750" s="48" t="str">
        <f ca="1">IF(AND('Planning Sheet'!BO273='Weeks Plan'!$D$6,'Planning Sheet'!BI273='Weeks Plan'!$G$6),'Planning Sheet'!$B273,"")</f>
        <v/>
      </c>
      <c r="Z1750" s="48" t="str">
        <f ca="1">IF(AND('Planning Sheet'!BO273='Weeks Plan'!$D$6,'Planning Sheet'!BI273='Weeks Plan'!$G$6),'Planning Sheet'!$BJ273,"")</f>
        <v/>
      </c>
      <c r="AA1750" s="48" t="str">
        <f ca="1">IF(AND('Planning Sheet'!BO273='Weeks Plan'!$D$6,'Planning Sheet'!BI273='Weeks Plan'!$G$6),'Planning Sheet'!$BK273,"")</f>
        <v/>
      </c>
    </row>
    <row r="1751" spans="25:27" x14ac:dyDescent="0.3">
      <c r="Y1751" s="48" t="str">
        <f ca="1">IF(AND('Planning Sheet'!BO274='Weeks Plan'!$D$6,'Planning Sheet'!BI274='Weeks Plan'!$G$6),'Planning Sheet'!$B274,"")</f>
        <v/>
      </c>
      <c r="Z1751" s="48" t="str">
        <f ca="1">IF(AND('Planning Sheet'!BO274='Weeks Plan'!$D$6,'Planning Sheet'!BI274='Weeks Plan'!$G$6),'Planning Sheet'!$BJ274,"")</f>
        <v/>
      </c>
      <c r="AA1751" s="48" t="str">
        <f ca="1">IF(AND('Planning Sheet'!BO274='Weeks Plan'!$D$6,'Planning Sheet'!BI274='Weeks Plan'!$G$6),'Planning Sheet'!$BK274,"")</f>
        <v/>
      </c>
    </row>
    <row r="1752" spans="25:27" x14ac:dyDescent="0.3">
      <c r="Y1752" s="48" t="str">
        <f ca="1">IF(AND('Planning Sheet'!BO275='Weeks Plan'!$D$6,'Planning Sheet'!BI275='Weeks Plan'!$G$6),'Planning Sheet'!$B275,"")</f>
        <v/>
      </c>
      <c r="Z1752" s="48" t="str">
        <f ca="1">IF(AND('Planning Sheet'!BO275='Weeks Plan'!$D$6,'Planning Sheet'!BI275='Weeks Plan'!$G$6),'Planning Sheet'!$BJ275,"")</f>
        <v/>
      </c>
      <c r="AA1752" s="48" t="str">
        <f ca="1">IF(AND('Planning Sheet'!BO275='Weeks Plan'!$D$6,'Planning Sheet'!BI275='Weeks Plan'!$G$6),'Planning Sheet'!$BK275,"")</f>
        <v/>
      </c>
    </row>
    <row r="1753" spans="25:27" x14ac:dyDescent="0.3">
      <c r="Y1753" s="48" t="str">
        <f ca="1">IF(AND('Planning Sheet'!BO276='Weeks Plan'!$D$6,'Planning Sheet'!BI276='Weeks Plan'!$G$6),'Planning Sheet'!$B276,"")</f>
        <v/>
      </c>
      <c r="Z1753" s="48" t="str">
        <f ca="1">IF(AND('Planning Sheet'!BO276='Weeks Plan'!$D$6,'Planning Sheet'!BI276='Weeks Plan'!$G$6),'Planning Sheet'!$BJ276,"")</f>
        <v/>
      </c>
      <c r="AA1753" s="48" t="str">
        <f ca="1">IF(AND('Planning Sheet'!BO276='Weeks Plan'!$D$6,'Planning Sheet'!BI276='Weeks Plan'!$G$6),'Planning Sheet'!$BK276,"")</f>
        <v/>
      </c>
    </row>
    <row r="1754" spans="25:27" x14ac:dyDescent="0.3">
      <c r="Y1754" s="48" t="str">
        <f ca="1">IF(AND('Planning Sheet'!BO277='Weeks Plan'!$D$6,'Planning Sheet'!BI277='Weeks Plan'!$G$6),'Planning Sheet'!$B277,"")</f>
        <v/>
      </c>
      <c r="Z1754" s="48" t="str">
        <f ca="1">IF(AND('Planning Sheet'!BO277='Weeks Plan'!$D$6,'Planning Sheet'!BI277='Weeks Plan'!$G$6),'Planning Sheet'!$BJ277,"")</f>
        <v/>
      </c>
      <c r="AA1754" s="48" t="str">
        <f ca="1">IF(AND('Planning Sheet'!BO277='Weeks Plan'!$D$6,'Planning Sheet'!BI277='Weeks Plan'!$G$6),'Planning Sheet'!$BK277,"")</f>
        <v/>
      </c>
    </row>
    <row r="1755" spans="25:27" x14ac:dyDescent="0.3">
      <c r="Y1755" s="48" t="str">
        <f ca="1">IF(AND('Planning Sheet'!BO278='Weeks Plan'!$D$6,'Planning Sheet'!BI278='Weeks Plan'!$G$6),'Planning Sheet'!$B278,"")</f>
        <v/>
      </c>
      <c r="Z1755" s="48" t="str">
        <f ca="1">IF(AND('Planning Sheet'!BO278='Weeks Plan'!$D$6,'Planning Sheet'!BI278='Weeks Plan'!$G$6),'Planning Sheet'!$BJ278,"")</f>
        <v/>
      </c>
      <c r="AA1755" s="48" t="str">
        <f ca="1">IF(AND('Planning Sheet'!BO278='Weeks Plan'!$D$6,'Planning Sheet'!BI278='Weeks Plan'!$G$6),'Planning Sheet'!$BK278,"")</f>
        <v/>
      </c>
    </row>
    <row r="1756" spans="25:27" x14ac:dyDescent="0.3">
      <c r="Y1756" s="48" t="str">
        <f ca="1">IF(AND('Planning Sheet'!BO279='Weeks Plan'!$D$6,'Planning Sheet'!BI279='Weeks Plan'!$G$6),'Planning Sheet'!$B279,"")</f>
        <v/>
      </c>
      <c r="Z1756" s="48" t="str">
        <f ca="1">IF(AND('Planning Sheet'!BO279='Weeks Plan'!$D$6,'Planning Sheet'!BI279='Weeks Plan'!$G$6),'Planning Sheet'!$BJ279,"")</f>
        <v/>
      </c>
      <c r="AA1756" s="48" t="str">
        <f ca="1">IF(AND('Planning Sheet'!BO279='Weeks Plan'!$D$6,'Planning Sheet'!BI279='Weeks Plan'!$G$6),'Planning Sheet'!$BK279,"")</f>
        <v/>
      </c>
    </row>
    <row r="1757" spans="25:27" x14ac:dyDescent="0.3">
      <c r="Y1757" s="48" t="str">
        <f ca="1">IF(AND('Planning Sheet'!BO280='Weeks Plan'!$D$6,'Planning Sheet'!BI280='Weeks Plan'!$G$6),'Planning Sheet'!$B280,"")</f>
        <v/>
      </c>
      <c r="Z1757" s="48" t="str">
        <f ca="1">IF(AND('Planning Sheet'!BO280='Weeks Plan'!$D$6,'Planning Sheet'!BI280='Weeks Plan'!$G$6),'Planning Sheet'!$BJ280,"")</f>
        <v/>
      </c>
      <c r="AA1757" s="48" t="str">
        <f ca="1">IF(AND('Planning Sheet'!BO280='Weeks Plan'!$D$6,'Planning Sheet'!BI280='Weeks Plan'!$G$6),'Planning Sheet'!$BK280,"")</f>
        <v/>
      </c>
    </row>
    <row r="1758" spans="25:27" x14ac:dyDescent="0.3">
      <c r="Y1758" s="48" t="str">
        <f ca="1">IF(AND('Planning Sheet'!BO281='Weeks Plan'!$D$6,'Planning Sheet'!BI281='Weeks Plan'!$G$6),'Planning Sheet'!$B281,"")</f>
        <v/>
      </c>
      <c r="Z1758" s="48" t="str">
        <f ca="1">IF(AND('Planning Sheet'!BO281='Weeks Plan'!$D$6,'Planning Sheet'!BI281='Weeks Plan'!$G$6),'Planning Sheet'!$BJ281,"")</f>
        <v/>
      </c>
      <c r="AA1758" s="48" t="str">
        <f ca="1">IF(AND('Planning Sheet'!BO281='Weeks Plan'!$D$6,'Planning Sheet'!BI281='Weeks Plan'!$G$6),'Planning Sheet'!$BK281,"")</f>
        <v/>
      </c>
    </row>
    <row r="1759" spans="25:27" x14ac:dyDescent="0.3">
      <c r="Y1759" s="48" t="str">
        <f ca="1">IF(AND('Planning Sheet'!BO282='Weeks Plan'!$D$6,'Planning Sheet'!BI282='Weeks Plan'!$G$6),'Planning Sheet'!$B282,"")</f>
        <v/>
      </c>
      <c r="Z1759" s="48" t="str">
        <f ca="1">IF(AND('Planning Sheet'!BO282='Weeks Plan'!$D$6,'Planning Sheet'!BI282='Weeks Plan'!$G$6),'Planning Sheet'!$BJ282,"")</f>
        <v/>
      </c>
      <c r="AA1759" s="48" t="str">
        <f ca="1">IF(AND('Planning Sheet'!BO282='Weeks Plan'!$D$6,'Planning Sheet'!BI282='Weeks Plan'!$G$6),'Planning Sheet'!$BK282,"")</f>
        <v/>
      </c>
    </row>
    <row r="1760" spans="25:27" x14ac:dyDescent="0.3">
      <c r="Y1760" s="48" t="str">
        <f ca="1">IF(AND('Planning Sheet'!BO283='Weeks Plan'!$D$6,'Planning Sheet'!BI283='Weeks Plan'!$G$6),'Planning Sheet'!$B283,"")</f>
        <v/>
      </c>
      <c r="Z1760" s="48" t="str">
        <f ca="1">IF(AND('Planning Sheet'!BO283='Weeks Plan'!$D$6,'Planning Sheet'!BI283='Weeks Plan'!$G$6),'Planning Sheet'!$BJ283,"")</f>
        <v/>
      </c>
      <c r="AA1760" s="48" t="str">
        <f ca="1">IF(AND('Planning Sheet'!BO283='Weeks Plan'!$D$6,'Planning Sheet'!BI283='Weeks Plan'!$G$6),'Planning Sheet'!$BK283,"")</f>
        <v/>
      </c>
    </row>
    <row r="1761" spans="25:27" x14ac:dyDescent="0.3">
      <c r="Y1761" s="48" t="str">
        <f ca="1">IF(AND('Planning Sheet'!BO284='Weeks Plan'!$D$6,'Planning Sheet'!BI284='Weeks Plan'!$G$6),'Planning Sheet'!$B284,"")</f>
        <v/>
      </c>
      <c r="Z1761" s="48" t="str">
        <f ca="1">IF(AND('Planning Sheet'!BO284='Weeks Plan'!$D$6,'Planning Sheet'!BI284='Weeks Plan'!$G$6),'Planning Sheet'!$BJ284,"")</f>
        <v/>
      </c>
      <c r="AA1761" s="48" t="str">
        <f ca="1">IF(AND('Planning Sheet'!BO284='Weeks Plan'!$D$6,'Planning Sheet'!BI284='Weeks Plan'!$G$6),'Planning Sheet'!$BK284,"")</f>
        <v/>
      </c>
    </row>
    <row r="1762" spans="25:27" x14ac:dyDescent="0.3">
      <c r="Y1762" s="48" t="str">
        <f ca="1">IF(AND('Planning Sheet'!BO285='Weeks Plan'!$D$6,'Planning Sheet'!BI285='Weeks Plan'!$G$6),'Planning Sheet'!$B285,"")</f>
        <v/>
      </c>
      <c r="Z1762" s="48" t="str">
        <f ca="1">IF(AND('Planning Sheet'!BO285='Weeks Plan'!$D$6,'Planning Sheet'!BI285='Weeks Plan'!$G$6),'Planning Sheet'!$BJ285,"")</f>
        <v/>
      </c>
      <c r="AA1762" s="48" t="str">
        <f ca="1">IF(AND('Planning Sheet'!BO285='Weeks Plan'!$D$6,'Planning Sheet'!BI285='Weeks Plan'!$G$6),'Planning Sheet'!$BK285,"")</f>
        <v/>
      </c>
    </row>
    <row r="1763" spans="25:27" x14ac:dyDescent="0.3">
      <c r="Y1763" s="48" t="str">
        <f ca="1">IF(AND('Planning Sheet'!BO286='Weeks Plan'!$D$6,'Planning Sheet'!BI286='Weeks Plan'!$G$6),'Planning Sheet'!$B286,"")</f>
        <v/>
      </c>
      <c r="Z1763" s="48" t="str">
        <f ca="1">IF(AND('Planning Sheet'!BO286='Weeks Plan'!$D$6,'Planning Sheet'!BI286='Weeks Plan'!$G$6),'Planning Sheet'!$BJ286,"")</f>
        <v/>
      </c>
      <c r="AA1763" s="48" t="str">
        <f ca="1">IF(AND('Planning Sheet'!BO286='Weeks Plan'!$D$6,'Planning Sheet'!BI286='Weeks Plan'!$G$6),'Planning Sheet'!$BK286,"")</f>
        <v/>
      </c>
    </row>
    <row r="1764" spans="25:27" x14ac:dyDescent="0.3">
      <c r="Y1764" s="48" t="str">
        <f ca="1">IF(AND('Planning Sheet'!BO287='Weeks Plan'!$D$6,'Planning Sheet'!BI287='Weeks Plan'!$G$6),'Planning Sheet'!$B287,"")</f>
        <v/>
      </c>
      <c r="Z1764" s="48" t="str">
        <f ca="1">IF(AND('Planning Sheet'!BO287='Weeks Plan'!$D$6,'Planning Sheet'!BI287='Weeks Plan'!$G$6),'Planning Sheet'!$BJ287,"")</f>
        <v/>
      </c>
      <c r="AA1764" s="48" t="str">
        <f ca="1">IF(AND('Planning Sheet'!BO287='Weeks Plan'!$D$6,'Planning Sheet'!BI287='Weeks Plan'!$G$6),'Planning Sheet'!$BK287,"")</f>
        <v/>
      </c>
    </row>
    <row r="1765" spans="25:27" x14ac:dyDescent="0.3">
      <c r="Y1765" s="48" t="str">
        <f ca="1">IF(AND('Planning Sheet'!BO288='Weeks Plan'!$D$6,'Planning Sheet'!BI288='Weeks Plan'!$G$6),'Planning Sheet'!$B288,"")</f>
        <v/>
      </c>
      <c r="Z1765" s="48" t="str">
        <f ca="1">IF(AND('Planning Sheet'!BO288='Weeks Plan'!$D$6,'Planning Sheet'!BI288='Weeks Plan'!$G$6),'Planning Sheet'!$BJ288,"")</f>
        <v/>
      </c>
      <c r="AA1765" s="48" t="str">
        <f ca="1">IF(AND('Planning Sheet'!BO288='Weeks Plan'!$D$6,'Planning Sheet'!BI288='Weeks Plan'!$G$6),'Planning Sheet'!$BK288,"")</f>
        <v/>
      </c>
    </row>
    <row r="1766" spans="25:27" x14ac:dyDescent="0.3">
      <c r="Y1766" s="48" t="str">
        <f ca="1">IF(AND('Planning Sheet'!BO289='Weeks Plan'!$D$6,'Planning Sheet'!BI289='Weeks Plan'!$G$6),'Planning Sheet'!$B289,"")</f>
        <v/>
      </c>
      <c r="Z1766" s="48" t="str">
        <f ca="1">IF(AND('Planning Sheet'!BO289='Weeks Plan'!$D$6,'Planning Sheet'!BI289='Weeks Plan'!$G$6),'Planning Sheet'!$BJ289,"")</f>
        <v/>
      </c>
      <c r="AA1766" s="48" t="str">
        <f ca="1">IF(AND('Planning Sheet'!BO289='Weeks Plan'!$D$6,'Planning Sheet'!BI289='Weeks Plan'!$G$6),'Planning Sheet'!$BK289,"")</f>
        <v/>
      </c>
    </row>
    <row r="1767" spans="25:27" x14ac:dyDescent="0.3">
      <c r="Y1767" s="48" t="str">
        <f ca="1">IF(AND('Planning Sheet'!BO290='Weeks Plan'!$D$6,'Planning Sheet'!BI290='Weeks Plan'!$G$6),'Planning Sheet'!$B290,"")</f>
        <v/>
      </c>
      <c r="Z1767" s="48" t="str">
        <f ca="1">IF(AND('Planning Sheet'!BO290='Weeks Plan'!$D$6,'Planning Sheet'!BI290='Weeks Plan'!$G$6),'Planning Sheet'!$BJ290,"")</f>
        <v/>
      </c>
      <c r="AA1767" s="48" t="str">
        <f ca="1">IF(AND('Planning Sheet'!BO290='Weeks Plan'!$D$6,'Planning Sheet'!BI290='Weeks Plan'!$G$6),'Planning Sheet'!$BK290,"")</f>
        <v/>
      </c>
    </row>
    <row r="1768" spans="25:27" x14ac:dyDescent="0.3">
      <c r="Y1768" s="48" t="str">
        <f ca="1">IF(AND('Planning Sheet'!BO291='Weeks Plan'!$D$6,'Planning Sheet'!BI291='Weeks Plan'!$G$6),'Planning Sheet'!$B291,"")</f>
        <v/>
      </c>
      <c r="Z1768" s="48" t="str">
        <f ca="1">IF(AND('Planning Sheet'!BO291='Weeks Plan'!$D$6,'Planning Sheet'!BI291='Weeks Plan'!$G$6),'Planning Sheet'!$BJ291,"")</f>
        <v/>
      </c>
      <c r="AA1768" s="48" t="str">
        <f ca="1">IF(AND('Planning Sheet'!BO291='Weeks Plan'!$D$6,'Planning Sheet'!BI291='Weeks Plan'!$G$6),'Planning Sheet'!$BK291,"")</f>
        <v/>
      </c>
    </row>
    <row r="1769" spans="25:27" x14ac:dyDescent="0.3">
      <c r="Y1769" s="48" t="str">
        <f ca="1">IF(AND('Planning Sheet'!BO292='Weeks Plan'!$D$6,'Planning Sheet'!BI292='Weeks Plan'!$G$6),'Planning Sheet'!$B292,"")</f>
        <v/>
      </c>
      <c r="Z1769" s="48" t="str">
        <f ca="1">IF(AND('Planning Sheet'!BO292='Weeks Plan'!$D$6,'Planning Sheet'!BI292='Weeks Plan'!$G$6),'Planning Sheet'!$BJ292,"")</f>
        <v/>
      </c>
      <c r="AA1769" s="48" t="str">
        <f ca="1">IF(AND('Planning Sheet'!BO292='Weeks Plan'!$D$6,'Planning Sheet'!BI292='Weeks Plan'!$G$6),'Planning Sheet'!$BK292,"")</f>
        <v/>
      </c>
    </row>
    <row r="1770" spans="25:27" x14ac:dyDescent="0.3">
      <c r="Y1770" s="48" t="str">
        <f ca="1">IF(AND('Planning Sheet'!BO293='Weeks Plan'!$D$6,'Planning Sheet'!BI293='Weeks Plan'!$G$6),'Planning Sheet'!$B293,"")</f>
        <v/>
      </c>
      <c r="Z1770" s="48" t="str">
        <f ca="1">IF(AND('Planning Sheet'!BO293='Weeks Plan'!$D$6,'Planning Sheet'!BI293='Weeks Plan'!$G$6),'Planning Sheet'!$BJ293,"")</f>
        <v/>
      </c>
      <c r="AA1770" s="48" t="str">
        <f ca="1">IF(AND('Planning Sheet'!BO293='Weeks Plan'!$D$6,'Planning Sheet'!BI293='Weeks Plan'!$G$6),'Planning Sheet'!$BK293,"")</f>
        <v/>
      </c>
    </row>
    <row r="1771" spans="25:27" x14ac:dyDescent="0.3">
      <c r="Y1771" s="48" t="str">
        <f ca="1">IF(AND('Planning Sheet'!BO294='Weeks Plan'!$D$6,'Planning Sheet'!BI294='Weeks Plan'!$G$6),'Planning Sheet'!$B294,"")</f>
        <v/>
      </c>
      <c r="Z1771" s="48" t="str">
        <f ca="1">IF(AND('Planning Sheet'!BO294='Weeks Plan'!$D$6,'Planning Sheet'!BI294='Weeks Plan'!$G$6),'Planning Sheet'!$BJ294,"")</f>
        <v/>
      </c>
      <c r="AA1771" s="48" t="str">
        <f ca="1">IF(AND('Planning Sheet'!BO294='Weeks Plan'!$D$6,'Planning Sheet'!BI294='Weeks Plan'!$G$6),'Planning Sheet'!$BK294,"")</f>
        <v/>
      </c>
    </row>
    <row r="1772" spans="25:27" x14ac:dyDescent="0.3">
      <c r="Y1772" s="48" t="str">
        <f ca="1">IF(AND('Planning Sheet'!BO295='Weeks Plan'!$D$6,'Planning Sheet'!BI295='Weeks Plan'!$G$6),'Planning Sheet'!$B295,"")</f>
        <v/>
      </c>
      <c r="Z1772" s="48" t="str">
        <f ca="1">IF(AND('Planning Sheet'!BO295='Weeks Plan'!$D$6,'Planning Sheet'!BI295='Weeks Plan'!$G$6),'Planning Sheet'!$BJ295,"")</f>
        <v/>
      </c>
      <c r="AA1772" s="48" t="str">
        <f ca="1">IF(AND('Planning Sheet'!BO295='Weeks Plan'!$D$6,'Planning Sheet'!BI295='Weeks Plan'!$G$6),'Planning Sheet'!$BK295,"")</f>
        <v/>
      </c>
    </row>
    <row r="1773" spans="25:27" x14ac:dyDescent="0.3">
      <c r="Y1773" s="48" t="str">
        <f ca="1">IF(AND('Planning Sheet'!BO296='Weeks Plan'!$D$6,'Planning Sheet'!BI296='Weeks Plan'!$G$6),'Planning Sheet'!$B296,"")</f>
        <v/>
      </c>
      <c r="Z1773" s="48" t="str">
        <f ca="1">IF(AND('Planning Sheet'!BO296='Weeks Plan'!$D$6,'Planning Sheet'!BI296='Weeks Plan'!$G$6),'Planning Sheet'!$BJ296,"")</f>
        <v/>
      </c>
      <c r="AA1773" s="48" t="str">
        <f ca="1">IF(AND('Planning Sheet'!BO296='Weeks Plan'!$D$6,'Planning Sheet'!BI296='Weeks Plan'!$G$6),'Planning Sheet'!$BK296,"")</f>
        <v/>
      </c>
    </row>
    <row r="1774" spans="25:27" x14ac:dyDescent="0.3">
      <c r="Y1774" s="48" t="str">
        <f ca="1">IF(AND('Planning Sheet'!BO297='Weeks Plan'!$D$6,'Planning Sheet'!BI297='Weeks Plan'!$G$6),'Planning Sheet'!$B297,"")</f>
        <v/>
      </c>
      <c r="Z1774" s="48" t="str">
        <f ca="1">IF(AND('Planning Sheet'!BO297='Weeks Plan'!$D$6,'Planning Sheet'!BI297='Weeks Plan'!$G$6),'Planning Sheet'!$BJ297,"")</f>
        <v/>
      </c>
      <c r="AA1774" s="48" t="str">
        <f ca="1">IF(AND('Planning Sheet'!BO297='Weeks Plan'!$D$6,'Planning Sheet'!BI297='Weeks Plan'!$G$6),'Planning Sheet'!$BK297,"")</f>
        <v/>
      </c>
    </row>
    <row r="1775" spans="25:27" x14ac:dyDescent="0.3">
      <c r="Y1775" s="48" t="str">
        <f ca="1">IF(AND('Planning Sheet'!BO298='Weeks Plan'!$D$6,'Planning Sheet'!BI298='Weeks Plan'!$G$6),'Planning Sheet'!$B298,"")</f>
        <v/>
      </c>
      <c r="Z1775" s="48" t="str">
        <f ca="1">IF(AND('Planning Sheet'!BO298='Weeks Plan'!$D$6,'Planning Sheet'!BI298='Weeks Plan'!$G$6),'Planning Sheet'!$BJ298,"")</f>
        <v/>
      </c>
      <c r="AA1775" s="48" t="str">
        <f ca="1">IF(AND('Planning Sheet'!BO298='Weeks Plan'!$D$6,'Planning Sheet'!BI298='Weeks Plan'!$G$6),'Planning Sheet'!$BK298,"")</f>
        <v/>
      </c>
    </row>
    <row r="1776" spans="25:27" x14ac:dyDescent="0.3">
      <c r="Y1776" s="48" t="str">
        <f ca="1">IF(AND('Planning Sheet'!BO299='Weeks Plan'!$D$6,'Planning Sheet'!BI299='Weeks Plan'!$G$6),'Planning Sheet'!$B299,"")</f>
        <v/>
      </c>
      <c r="Z1776" s="48" t="str">
        <f ca="1">IF(AND('Planning Sheet'!BO299='Weeks Plan'!$D$6,'Planning Sheet'!BI299='Weeks Plan'!$G$6),'Planning Sheet'!$BJ299,"")</f>
        <v/>
      </c>
      <c r="AA1776" s="48" t="str">
        <f ca="1">IF(AND('Planning Sheet'!BO299='Weeks Plan'!$D$6,'Planning Sheet'!BI299='Weeks Plan'!$G$6),'Planning Sheet'!$BK299,"")</f>
        <v/>
      </c>
    </row>
    <row r="1777" spans="25:27" x14ac:dyDescent="0.3">
      <c r="Y1777" s="48" t="str">
        <f ca="1">IF(AND('Planning Sheet'!BO300='Weeks Plan'!$D$6,'Planning Sheet'!BI300='Weeks Plan'!$G$6),'Planning Sheet'!$B300,"")</f>
        <v/>
      </c>
      <c r="Z1777" s="48" t="str">
        <f ca="1">IF(AND('Planning Sheet'!BO300='Weeks Plan'!$D$6,'Planning Sheet'!BI300='Weeks Plan'!$G$6),'Planning Sheet'!$BJ300,"")</f>
        <v/>
      </c>
      <c r="AA1777" s="48" t="str">
        <f ca="1">IF(AND('Planning Sheet'!BO300='Weeks Plan'!$D$6,'Planning Sheet'!BI300='Weeks Plan'!$G$6),'Planning Sheet'!$BK300,"")</f>
        <v/>
      </c>
    </row>
    <row r="1778" spans="25:27" x14ac:dyDescent="0.3">
      <c r="Y1778" s="48" t="str">
        <f ca="1">IF(AND('Planning Sheet'!BO301='Weeks Plan'!$D$6,'Planning Sheet'!BI301='Weeks Plan'!$G$6),'Planning Sheet'!$B301,"")</f>
        <v/>
      </c>
      <c r="Z1778" s="48" t="str">
        <f ca="1">IF(AND('Planning Sheet'!BO301='Weeks Plan'!$D$6,'Planning Sheet'!BI301='Weeks Plan'!$G$6),'Planning Sheet'!$BJ301,"")</f>
        <v/>
      </c>
      <c r="AA1778" s="48" t="str">
        <f ca="1">IF(AND('Planning Sheet'!BO301='Weeks Plan'!$D$6,'Planning Sheet'!BI301='Weeks Plan'!$G$6),'Planning Sheet'!$BK301,"")</f>
        <v/>
      </c>
    </row>
    <row r="1779" spans="25:27" x14ac:dyDescent="0.3">
      <c r="Y1779" s="48" t="str">
        <f ca="1">IF(AND('Planning Sheet'!BO302='Weeks Plan'!$D$6,'Planning Sheet'!BI302='Weeks Plan'!$G$6),'Planning Sheet'!$B302,"")</f>
        <v/>
      </c>
      <c r="Z1779" s="48" t="str">
        <f ca="1">IF(AND('Planning Sheet'!BO302='Weeks Plan'!$D$6,'Planning Sheet'!BI302='Weeks Plan'!$G$6),'Planning Sheet'!$BJ302,"")</f>
        <v/>
      </c>
      <c r="AA1779" s="48" t="str">
        <f ca="1">IF(AND('Planning Sheet'!BO302='Weeks Plan'!$D$6,'Planning Sheet'!BI302='Weeks Plan'!$G$6),'Planning Sheet'!$BK302,"")</f>
        <v/>
      </c>
    </row>
    <row r="1780" spans="25:27" x14ac:dyDescent="0.3">
      <c r="Y1780" s="48" t="str">
        <f ca="1">IF(AND('Planning Sheet'!BO303='Weeks Plan'!$D$6,'Planning Sheet'!BI303='Weeks Plan'!$G$6),'Planning Sheet'!$B303,"")</f>
        <v/>
      </c>
      <c r="Z1780" s="48" t="str">
        <f ca="1">IF(AND('Planning Sheet'!BO303='Weeks Plan'!$D$6,'Planning Sheet'!BI303='Weeks Plan'!$G$6),'Planning Sheet'!$BJ303,"")</f>
        <v/>
      </c>
      <c r="AA1780" s="48" t="str">
        <f ca="1">IF(AND('Planning Sheet'!BO303='Weeks Plan'!$D$6,'Planning Sheet'!BI303='Weeks Plan'!$G$6),'Planning Sheet'!$BK303,"")</f>
        <v/>
      </c>
    </row>
    <row r="1781" spans="25:27" x14ac:dyDescent="0.3">
      <c r="Y1781" s="48" t="str">
        <f ca="1">IF(AND('Planning Sheet'!BO304='Weeks Plan'!$D$6,'Planning Sheet'!BI304='Weeks Plan'!$G$6),'Planning Sheet'!$B304,"")</f>
        <v/>
      </c>
      <c r="Z1781" s="48" t="str">
        <f ca="1">IF(AND('Planning Sheet'!BO304='Weeks Plan'!$D$6,'Planning Sheet'!BI304='Weeks Plan'!$G$6),'Planning Sheet'!$BJ304,"")</f>
        <v/>
      </c>
      <c r="AA1781" s="48" t="str">
        <f ca="1">IF(AND('Planning Sheet'!BO304='Weeks Plan'!$D$6,'Planning Sheet'!BI304='Weeks Plan'!$G$6),'Planning Sheet'!$BK304,"")</f>
        <v/>
      </c>
    </row>
    <row r="1782" spans="25:27" x14ac:dyDescent="0.3">
      <c r="Y1782" s="48" t="str">
        <f ca="1">IF(AND('Planning Sheet'!BO305='Weeks Plan'!$D$6,'Planning Sheet'!BI305='Weeks Plan'!$G$6),'Planning Sheet'!$B305,"")</f>
        <v/>
      </c>
      <c r="Z1782" s="48" t="str">
        <f ca="1">IF(AND('Planning Sheet'!BO305='Weeks Plan'!$D$6,'Planning Sheet'!BI305='Weeks Plan'!$G$6),'Planning Sheet'!$BJ305,"")</f>
        <v/>
      </c>
      <c r="AA1782" s="48" t="str">
        <f ca="1">IF(AND('Planning Sheet'!BO305='Weeks Plan'!$D$6,'Planning Sheet'!BI305='Weeks Plan'!$G$6),'Planning Sheet'!$BK305,"")</f>
        <v/>
      </c>
    </row>
    <row r="1783" spans="25:27" x14ac:dyDescent="0.3">
      <c r="Y1783" s="48" t="str">
        <f ca="1">IF(AND('Planning Sheet'!BO306='Weeks Plan'!$D$6,'Planning Sheet'!BI306='Weeks Plan'!$G$6),'Planning Sheet'!$B306,"")</f>
        <v/>
      </c>
      <c r="Z1783" s="48" t="str">
        <f ca="1">IF(AND('Planning Sheet'!BO306='Weeks Plan'!$D$6,'Planning Sheet'!BI306='Weeks Plan'!$G$6),'Planning Sheet'!$BJ306,"")</f>
        <v/>
      </c>
      <c r="AA1783" s="48" t="str">
        <f ca="1">IF(AND('Planning Sheet'!BO306='Weeks Plan'!$D$6,'Planning Sheet'!BI306='Weeks Plan'!$G$6),'Planning Sheet'!$BK306,"")</f>
        <v/>
      </c>
    </row>
    <row r="1784" spans="25:27" x14ac:dyDescent="0.3">
      <c r="Y1784" s="48" t="str">
        <f ca="1">IF(AND('Planning Sheet'!BO307='Weeks Plan'!$D$6,'Planning Sheet'!BI307='Weeks Plan'!$G$6),'Planning Sheet'!$B307,"")</f>
        <v/>
      </c>
      <c r="Z1784" s="48" t="str">
        <f ca="1">IF(AND('Planning Sheet'!BO307='Weeks Plan'!$D$6,'Planning Sheet'!BI307='Weeks Plan'!$G$6),'Planning Sheet'!$BJ307,"")</f>
        <v/>
      </c>
      <c r="AA1784" s="48" t="str">
        <f ca="1">IF(AND('Planning Sheet'!BO307='Weeks Plan'!$D$6,'Planning Sheet'!BI307='Weeks Plan'!$G$6),'Planning Sheet'!$BK307,"")</f>
        <v/>
      </c>
    </row>
    <row r="1785" spans="25:27" x14ac:dyDescent="0.3">
      <c r="Y1785" s="48" t="str">
        <f ca="1">IF(AND('Planning Sheet'!BO308='Weeks Plan'!$D$6,'Planning Sheet'!BI308='Weeks Plan'!$G$6),'Planning Sheet'!$B308,"")</f>
        <v/>
      </c>
      <c r="Z1785" s="48" t="str">
        <f ca="1">IF(AND('Planning Sheet'!BO308='Weeks Plan'!$D$6,'Planning Sheet'!BI308='Weeks Plan'!$G$6),'Planning Sheet'!$BJ308,"")</f>
        <v/>
      </c>
      <c r="AA1785" s="48" t="str">
        <f ca="1">IF(AND('Planning Sheet'!BO308='Weeks Plan'!$D$6,'Planning Sheet'!BI308='Weeks Plan'!$G$6),'Planning Sheet'!$BK308,"")</f>
        <v/>
      </c>
    </row>
    <row r="1786" spans="25:27" x14ac:dyDescent="0.3">
      <c r="Y1786" s="48" t="str">
        <f ca="1">IF(AND('Planning Sheet'!BO309='Weeks Plan'!$D$6,'Planning Sheet'!BI309='Weeks Plan'!$G$6),'Planning Sheet'!$B309,"")</f>
        <v/>
      </c>
      <c r="Z1786" s="48" t="str">
        <f ca="1">IF(AND('Planning Sheet'!BO309='Weeks Plan'!$D$6,'Planning Sheet'!BI309='Weeks Plan'!$G$6),'Planning Sheet'!$BJ309,"")</f>
        <v/>
      </c>
      <c r="AA1786" s="48" t="str">
        <f ca="1">IF(AND('Planning Sheet'!BO309='Weeks Plan'!$D$6,'Planning Sheet'!BI309='Weeks Plan'!$G$6),'Planning Sheet'!$BK309,"")</f>
        <v/>
      </c>
    </row>
    <row r="1787" spans="25:27" x14ac:dyDescent="0.3">
      <c r="Y1787" s="48" t="str">
        <f ca="1">IF(AND('Planning Sheet'!BO310='Weeks Plan'!$D$6,'Planning Sheet'!BI310='Weeks Plan'!$G$6),'Planning Sheet'!$B310,"")</f>
        <v/>
      </c>
      <c r="Z1787" s="48" t="str">
        <f ca="1">IF(AND('Planning Sheet'!BO310='Weeks Plan'!$D$6,'Planning Sheet'!BI310='Weeks Plan'!$G$6),'Planning Sheet'!$BJ310,"")</f>
        <v/>
      </c>
      <c r="AA1787" s="48" t="str">
        <f ca="1">IF(AND('Planning Sheet'!BO310='Weeks Plan'!$D$6,'Planning Sheet'!BI310='Weeks Plan'!$G$6),'Planning Sheet'!$BK310,"")</f>
        <v/>
      </c>
    </row>
    <row r="1788" spans="25:27" x14ac:dyDescent="0.3">
      <c r="Y1788" s="48" t="str">
        <f ca="1">IF(AND('Planning Sheet'!BO311='Weeks Plan'!$D$6,'Planning Sheet'!BI311='Weeks Plan'!$G$6),'Planning Sheet'!$B311,"")</f>
        <v/>
      </c>
      <c r="Z1788" s="48" t="str">
        <f ca="1">IF(AND('Planning Sheet'!BO311='Weeks Plan'!$D$6,'Planning Sheet'!BI311='Weeks Plan'!$G$6),'Planning Sheet'!$BJ311,"")</f>
        <v/>
      </c>
      <c r="AA1788" s="48" t="str">
        <f ca="1">IF(AND('Planning Sheet'!BO311='Weeks Plan'!$D$6,'Planning Sheet'!BI311='Weeks Plan'!$G$6),'Planning Sheet'!$BK311,"")</f>
        <v/>
      </c>
    </row>
    <row r="1789" spans="25:27" x14ac:dyDescent="0.3">
      <c r="Y1789" s="48" t="str">
        <f ca="1">IF(AND('Planning Sheet'!BO312='Weeks Plan'!$D$6,'Planning Sheet'!BI312='Weeks Plan'!$G$6),'Planning Sheet'!$B312,"")</f>
        <v/>
      </c>
      <c r="Z1789" s="48" t="str">
        <f ca="1">IF(AND('Planning Sheet'!BO312='Weeks Plan'!$D$6,'Planning Sheet'!BI312='Weeks Plan'!$G$6),'Planning Sheet'!$BJ312,"")</f>
        <v/>
      </c>
      <c r="AA1789" s="48" t="str">
        <f ca="1">IF(AND('Planning Sheet'!BO312='Weeks Plan'!$D$6,'Planning Sheet'!BI312='Weeks Plan'!$G$6),'Planning Sheet'!$BK312,"")</f>
        <v/>
      </c>
    </row>
    <row r="1790" spans="25:27" x14ac:dyDescent="0.3">
      <c r="Y1790" s="48" t="str">
        <f ca="1">IF(AND('Planning Sheet'!BO313='Weeks Plan'!$D$6,'Planning Sheet'!BI313='Weeks Plan'!$G$6),'Planning Sheet'!$B313,"")</f>
        <v/>
      </c>
      <c r="Z1790" s="48" t="str">
        <f ca="1">IF(AND('Planning Sheet'!BO313='Weeks Plan'!$D$6,'Planning Sheet'!BI313='Weeks Plan'!$G$6),'Planning Sheet'!$BJ313,"")</f>
        <v/>
      </c>
      <c r="AA1790" s="48" t="str">
        <f ca="1">IF(AND('Planning Sheet'!BO313='Weeks Plan'!$D$6,'Planning Sheet'!BI313='Weeks Plan'!$G$6),'Planning Sheet'!$BK313,"")</f>
        <v/>
      </c>
    </row>
    <row r="1791" spans="25:27" x14ac:dyDescent="0.3">
      <c r="Y1791" s="48" t="str">
        <f ca="1">IF(AND('Planning Sheet'!BO314='Weeks Plan'!$D$6,'Planning Sheet'!BI314='Weeks Plan'!$G$6),'Planning Sheet'!$B314,"")</f>
        <v/>
      </c>
      <c r="Z1791" s="48" t="str">
        <f ca="1">IF(AND('Planning Sheet'!BO314='Weeks Plan'!$D$6,'Planning Sheet'!BI314='Weeks Plan'!$G$6),'Planning Sheet'!$BJ314,"")</f>
        <v/>
      </c>
      <c r="AA1791" s="48" t="str">
        <f ca="1">IF(AND('Planning Sheet'!BO314='Weeks Plan'!$D$6,'Planning Sheet'!BI314='Weeks Plan'!$G$6),'Planning Sheet'!$BK314,"")</f>
        <v/>
      </c>
    </row>
    <row r="1792" spans="25:27" x14ac:dyDescent="0.3">
      <c r="Y1792" s="48" t="str">
        <f ca="1">IF(AND('Planning Sheet'!BO315='Weeks Plan'!$D$6,'Planning Sheet'!BI315='Weeks Plan'!$G$6),'Planning Sheet'!$B315,"")</f>
        <v/>
      </c>
      <c r="Z1792" s="48" t="str">
        <f ca="1">IF(AND('Planning Sheet'!BO315='Weeks Plan'!$D$6,'Planning Sheet'!BI315='Weeks Plan'!$G$6),'Planning Sheet'!$BJ315,"")</f>
        <v/>
      </c>
      <c r="AA1792" s="48" t="str">
        <f ca="1">IF(AND('Planning Sheet'!BO315='Weeks Plan'!$D$6,'Planning Sheet'!BI315='Weeks Plan'!$G$6),'Planning Sheet'!$BK315,"")</f>
        <v/>
      </c>
    </row>
    <row r="1793" spans="25:27" x14ac:dyDescent="0.3">
      <c r="Y1793" s="48" t="str">
        <f ca="1">IF(AND('Planning Sheet'!BO316='Weeks Plan'!$D$6,'Planning Sheet'!BI316='Weeks Plan'!$G$6),'Planning Sheet'!$B316,"")</f>
        <v/>
      </c>
      <c r="Z1793" s="48" t="str">
        <f ca="1">IF(AND('Planning Sheet'!BO316='Weeks Plan'!$D$6,'Planning Sheet'!BI316='Weeks Plan'!$G$6),'Planning Sheet'!$BJ316,"")</f>
        <v/>
      </c>
      <c r="AA1793" s="48" t="str">
        <f ca="1">IF(AND('Planning Sheet'!BO316='Weeks Plan'!$D$6,'Planning Sheet'!BI316='Weeks Plan'!$G$6),'Planning Sheet'!$BK316,"")</f>
        <v/>
      </c>
    </row>
    <row r="1794" spans="25:27" x14ac:dyDescent="0.3">
      <c r="Y1794" s="48" t="str">
        <f ca="1">IF(AND('Planning Sheet'!BO317='Weeks Plan'!$D$6,'Planning Sheet'!BI317='Weeks Plan'!$G$6),'Planning Sheet'!$B317,"")</f>
        <v/>
      </c>
      <c r="Z1794" s="48" t="str">
        <f ca="1">IF(AND('Planning Sheet'!BO317='Weeks Plan'!$D$6,'Planning Sheet'!BI317='Weeks Plan'!$G$6),'Planning Sheet'!$BJ317,"")</f>
        <v/>
      </c>
      <c r="AA1794" s="48" t="str">
        <f ca="1">IF(AND('Planning Sheet'!BO317='Weeks Plan'!$D$6,'Planning Sheet'!BI317='Weeks Plan'!$G$6),'Planning Sheet'!$BK317,"")</f>
        <v/>
      </c>
    </row>
    <row r="1795" spans="25:27" x14ac:dyDescent="0.3">
      <c r="Y1795" s="48" t="str">
        <f ca="1">IF(AND('Planning Sheet'!BO318='Weeks Plan'!$D$6,'Planning Sheet'!BI318='Weeks Plan'!$G$6),'Planning Sheet'!$B318,"")</f>
        <v/>
      </c>
      <c r="Z1795" s="48" t="str">
        <f ca="1">IF(AND('Planning Sheet'!BO318='Weeks Plan'!$D$6,'Planning Sheet'!BI318='Weeks Plan'!$G$6),'Planning Sheet'!$BJ318,"")</f>
        <v/>
      </c>
      <c r="AA1795" s="48" t="str">
        <f ca="1">IF(AND('Planning Sheet'!BO318='Weeks Plan'!$D$6,'Planning Sheet'!BI318='Weeks Plan'!$G$6),'Planning Sheet'!$BK318,"")</f>
        <v/>
      </c>
    </row>
    <row r="1796" spans="25:27" x14ac:dyDescent="0.3">
      <c r="Y1796" s="48" t="str">
        <f ca="1">IF(AND('Planning Sheet'!BO319='Weeks Plan'!$D$6,'Planning Sheet'!BI319='Weeks Plan'!$G$6),'Planning Sheet'!$B319,"")</f>
        <v/>
      </c>
      <c r="Z1796" s="48" t="str">
        <f ca="1">IF(AND('Planning Sheet'!BO319='Weeks Plan'!$D$6,'Planning Sheet'!BI319='Weeks Plan'!$G$6),'Planning Sheet'!$BJ319,"")</f>
        <v/>
      </c>
      <c r="AA1796" s="48" t="str">
        <f ca="1">IF(AND('Planning Sheet'!BO319='Weeks Plan'!$D$6,'Planning Sheet'!BI319='Weeks Plan'!$G$6),'Planning Sheet'!$BK319,"")</f>
        <v/>
      </c>
    </row>
    <row r="1797" spans="25:27" x14ac:dyDescent="0.3">
      <c r="Y1797" s="48" t="str">
        <f ca="1">IF(AND('Planning Sheet'!BO320='Weeks Plan'!$D$6,'Planning Sheet'!BI320='Weeks Plan'!$G$6),'Planning Sheet'!$B320,"")</f>
        <v/>
      </c>
      <c r="Z1797" s="48" t="str">
        <f ca="1">IF(AND('Planning Sheet'!BO320='Weeks Plan'!$D$6,'Planning Sheet'!BI320='Weeks Plan'!$G$6),'Planning Sheet'!$BJ320,"")</f>
        <v/>
      </c>
      <c r="AA1797" s="48" t="str">
        <f ca="1">IF(AND('Planning Sheet'!BO320='Weeks Plan'!$D$6,'Planning Sheet'!BI320='Weeks Plan'!$G$6),'Planning Sheet'!$BK320,"")</f>
        <v/>
      </c>
    </row>
    <row r="1798" spans="25:27" x14ac:dyDescent="0.3">
      <c r="Y1798" s="48" t="str">
        <f ca="1">IF(AND('Planning Sheet'!BO321='Weeks Plan'!$D$6,'Planning Sheet'!BI321='Weeks Plan'!$G$6),'Planning Sheet'!$B321,"")</f>
        <v/>
      </c>
      <c r="Z1798" s="48" t="str">
        <f ca="1">IF(AND('Planning Sheet'!BO321='Weeks Plan'!$D$6,'Planning Sheet'!BI321='Weeks Plan'!$G$6),'Planning Sheet'!$BJ321,"")</f>
        <v/>
      </c>
      <c r="AA1798" s="48" t="str">
        <f ca="1">IF(AND('Planning Sheet'!BO321='Weeks Plan'!$D$6,'Planning Sheet'!BI321='Weeks Plan'!$G$6),'Planning Sheet'!$BK321,"")</f>
        <v/>
      </c>
    </row>
    <row r="1799" spans="25:27" x14ac:dyDescent="0.3">
      <c r="Y1799" s="48" t="str">
        <f ca="1">IF(AND('Planning Sheet'!BO322='Weeks Plan'!$D$6,'Planning Sheet'!BI322='Weeks Plan'!$G$6),'Planning Sheet'!$B322,"")</f>
        <v/>
      </c>
      <c r="Z1799" s="48" t="str">
        <f ca="1">IF(AND('Planning Sheet'!BO322='Weeks Plan'!$D$6,'Planning Sheet'!BI322='Weeks Plan'!$G$6),'Planning Sheet'!$BJ322,"")</f>
        <v/>
      </c>
      <c r="AA1799" s="48" t="str">
        <f ca="1">IF(AND('Planning Sheet'!BO322='Weeks Plan'!$D$6,'Planning Sheet'!BI322='Weeks Plan'!$G$6),'Planning Sheet'!$BK322,"")</f>
        <v/>
      </c>
    </row>
    <row r="1800" spans="25:27" x14ac:dyDescent="0.3">
      <c r="Y1800" s="48" t="str">
        <f ca="1">IF(AND('Planning Sheet'!BO323='Weeks Plan'!$D$6,'Planning Sheet'!BI323='Weeks Plan'!$G$6),'Planning Sheet'!$B323,"")</f>
        <v/>
      </c>
      <c r="Z1800" s="48" t="str">
        <f ca="1">IF(AND('Planning Sheet'!BO323='Weeks Plan'!$D$6,'Planning Sheet'!BI323='Weeks Plan'!$G$6),'Planning Sheet'!$BJ323,"")</f>
        <v/>
      </c>
      <c r="AA1800" s="48" t="str">
        <f ca="1">IF(AND('Planning Sheet'!BO323='Weeks Plan'!$D$6,'Planning Sheet'!BI323='Weeks Plan'!$G$6),'Planning Sheet'!$BK323,"")</f>
        <v/>
      </c>
    </row>
    <row r="1801" spans="25:27" x14ac:dyDescent="0.3">
      <c r="Y1801" s="48" t="str">
        <f ca="1">IF(AND('Planning Sheet'!BO324='Weeks Plan'!$D$6,'Planning Sheet'!BI324='Weeks Plan'!$G$6),'Planning Sheet'!$B324,"")</f>
        <v/>
      </c>
      <c r="Z1801" s="48" t="str">
        <f ca="1">IF(AND('Planning Sheet'!BO324='Weeks Plan'!$D$6,'Planning Sheet'!BI324='Weeks Plan'!$G$6),'Planning Sheet'!$BJ324,"")</f>
        <v/>
      </c>
      <c r="AA1801" s="48" t="str">
        <f ca="1">IF(AND('Planning Sheet'!BO324='Weeks Plan'!$D$6,'Planning Sheet'!BI324='Weeks Plan'!$G$6),'Planning Sheet'!$BK324,"")</f>
        <v/>
      </c>
    </row>
    <row r="1802" spans="25:27" x14ac:dyDescent="0.3">
      <c r="Y1802" s="48" t="str">
        <f ca="1">IF(AND('Planning Sheet'!BO325='Weeks Plan'!$D$6,'Planning Sheet'!BI325='Weeks Plan'!$G$6),'Planning Sheet'!$B325,"")</f>
        <v/>
      </c>
      <c r="Z1802" s="48" t="str">
        <f ca="1">IF(AND('Planning Sheet'!BO325='Weeks Plan'!$D$6,'Planning Sheet'!BI325='Weeks Plan'!$G$6),'Planning Sheet'!$BJ325,"")</f>
        <v/>
      </c>
      <c r="AA1802" s="48" t="str">
        <f ca="1">IF(AND('Planning Sheet'!BO325='Weeks Plan'!$D$6,'Planning Sheet'!BI325='Weeks Plan'!$G$6),'Planning Sheet'!$BK325,"")</f>
        <v/>
      </c>
    </row>
    <row r="1803" spans="25:27" x14ac:dyDescent="0.3">
      <c r="Y1803" s="48" t="str">
        <f ca="1">IF(AND('Planning Sheet'!BO326='Weeks Plan'!$D$6,'Planning Sheet'!BI326='Weeks Plan'!$G$6),'Planning Sheet'!$B326,"")</f>
        <v/>
      </c>
      <c r="Z1803" s="48" t="str">
        <f ca="1">IF(AND('Planning Sheet'!BO326='Weeks Plan'!$D$6,'Planning Sheet'!BI326='Weeks Plan'!$G$6),'Planning Sheet'!$BJ326,"")</f>
        <v/>
      </c>
      <c r="AA1803" s="48" t="str">
        <f ca="1">IF(AND('Planning Sheet'!BO326='Weeks Plan'!$D$6,'Planning Sheet'!BI326='Weeks Plan'!$G$6),'Planning Sheet'!$BK326,"")</f>
        <v/>
      </c>
    </row>
    <row r="1804" spans="25:27" x14ac:dyDescent="0.3">
      <c r="Y1804" s="48" t="str">
        <f ca="1">IF(AND('Planning Sheet'!BO327='Weeks Plan'!$D$6,'Planning Sheet'!BI327='Weeks Plan'!$G$6),'Planning Sheet'!$B327,"")</f>
        <v/>
      </c>
      <c r="Z1804" s="48" t="str">
        <f ca="1">IF(AND('Planning Sheet'!BO327='Weeks Plan'!$D$6,'Planning Sheet'!BI327='Weeks Plan'!$G$6),'Planning Sheet'!$BJ327,"")</f>
        <v/>
      </c>
      <c r="AA1804" s="48" t="str">
        <f ca="1">IF(AND('Planning Sheet'!BO327='Weeks Plan'!$D$6,'Planning Sheet'!BI327='Weeks Plan'!$G$6),'Planning Sheet'!$BK327,"")</f>
        <v/>
      </c>
    </row>
    <row r="1805" spans="25:27" x14ac:dyDescent="0.3">
      <c r="Y1805" s="48" t="str">
        <f ca="1">IF(AND('Planning Sheet'!BO328='Weeks Plan'!$D$6,'Planning Sheet'!BI328='Weeks Plan'!$G$6),'Planning Sheet'!$B328,"")</f>
        <v/>
      </c>
      <c r="Z1805" s="48" t="str">
        <f ca="1">IF(AND('Planning Sheet'!BO328='Weeks Plan'!$D$6,'Planning Sheet'!BI328='Weeks Plan'!$G$6),'Planning Sheet'!$BJ328,"")</f>
        <v/>
      </c>
      <c r="AA1805" s="48" t="str">
        <f ca="1">IF(AND('Planning Sheet'!BO328='Weeks Plan'!$D$6,'Planning Sheet'!BI328='Weeks Plan'!$G$6),'Planning Sheet'!$BK328,"")</f>
        <v/>
      </c>
    </row>
    <row r="1806" spans="25:27" x14ac:dyDescent="0.3">
      <c r="Y1806" s="48" t="str">
        <f ca="1">IF(AND('Planning Sheet'!BO329='Weeks Plan'!$D$6,'Planning Sheet'!BI329='Weeks Plan'!$G$6),'Planning Sheet'!$B329,"")</f>
        <v/>
      </c>
      <c r="Z1806" s="48" t="str">
        <f ca="1">IF(AND('Planning Sheet'!BO329='Weeks Plan'!$D$6,'Planning Sheet'!BI329='Weeks Plan'!$G$6),'Planning Sheet'!$BJ329,"")</f>
        <v/>
      </c>
      <c r="AA1806" s="48" t="str">
        <f ca="1">IF(AND('Planning Sheet'!BO329='Weeks Plan'!$D$6,'Planning Sheet'!BI329='Weeks Plan'!$G$6),'Planning Sheet'!$BK329,"")</f>
        <v/>
      </c>
    </row>
    <row r="1807" spans="25:27" x14ac:dyDescent="0.3">
      <c r="Y1807" s="48" t="str">
        <f ca="1">IF(AND('Planning Sheet'!BO330='Weeks Plan'!$D$6,'Planning Sheet'!BI330='Weeks Plan'!$G$6),'Planning Sheet'!$B330,"")</f>
        <v/>
      </c>
      <c r="Z1807" s="48" t="str">
        <f ca="1">IF(AND('Planning Sheet'!BO330='Weeks Plan'!$D$6,'Planning Sheet'!BI330='Weeks Plan'!$G$6),'Planning Sheet'!$BJ330,"")</f>
        <v/>
      </c>
      <c r="AA1807" s="48" t="str">
        <f ca="1">IF(AND('Planning Sheet'!BO330='Weeks Plan'!$D$6,'Planning Sheet'!BI330='Weeks Plan'!$G$6),'Planning Sheet'!$BK330,"")</f>
        <v/>
      </c>
    </row>
    <row r="1808" spans="25:27" x14ac:dyDescent="0.3">
      <c r="Y1808" s="48" t="str">
        <f ca="1">IF(AND('Planning Sheet'!BO331='Weeks Plan'!$D$6,'Planning Sheet'!BI331='Weeks Plan'!$G$6),'Planning Sheet'!$B331,"")</f>
        <v/>
      </c>
      <c r="Z1808" s="48" t="str">
        <f ca="1">IF(AND('Planning Sheet'!BO331='Weeks Plan'!$D$6,'Planning Sheet'!BI331='Weeks Plan'!$G$6),'Planning Sheet'!$BJ331,"")</f>
        <v/>
      </c>
      <c r="AA1808" s="48" t="str">
        <f ca="1">IF(AND('Planning Sheet'!BO331='Weeks Plan'!$D$6,'Planning Sheet'!BI331='Weeks Plan'!$G$6),'Planning Sheet'!$BK331,"")</f>
        <v/>
      </c>
    </row>
    <row r="1809" spans="25:27" x14ac:dyDescent="0.3">
      <c r="Y1809" s="48" t="str">
        <f ca="1">IF(AND('Planning Sheet'!BO332='Weeks Plan'!$D$6,'Planning Sheet'!BI332='Weeks Plan'!$G$6),'Planning Sheet'!$B332,"")</f>
        <v/>
      </c>
      <c r="Z1809" s="48" t="str">
        <f ca="1">IF(AND('Planning Sheet'!BO332='Weeks Plan'!$D$6,'Planning Sheet'!BI332='Weeks Plan'!$G$6),'Planning Sheet'!$BJ332,"")</f>
        <v/>
      </c>
      <c r="AA1809" s="48" t="str">
        <f ca="1">IF(AND('Planning Sheet'!BO332='Weeks Plan'!$D$6,'Planning Sheet'!BI332='Weeks Plan'!$G$6),'Planning Sheet'!$BK332,"")</f>
        <v/>
      </c>
    </row>
    <row r="1810" spans="25:27" x14ac:dyDescent="0.3">
      <c r="Y1810" s="48" t="str">
        <f ca="1">IF(AND('Planning Sheet'!BO333='Weeks Plan'!$D$6,'Planning Sheet'!BI333='Weeks Plan'!$G$6),'Planning Sheet'!$B333,"")</f>
        <v/>
      </c>
      <c r="Z1810" s="48" t="str">
        <f ca="1">IF(AND('Planning Sheet'!BO333='Weeks Plan'!$D$6,'Planning Sheet'!BI333='Weeks Plan'!$G$6),'Planning Sheet'!$BJ333,"")</f>
        <v/>
      </c>
      <c r="AA1810" s="48" t="str">
        <f ca="1">IF(AND('Planning Sheet'!BO333='Weeks Plan'!$D$6,'Planning Sheet'!BI333='Weeks Plan'!$G$6),'Planning Sheet'!$BK333,"")</f>
        <v/>
      </c>
    </row>
    <row r="1811" spans="25:27" x14ac:dyDescent="0.3">
      <c r="Y1811" s="48" t="str">
        <f ca="1">IF(AND('Planning Sheet'!BO334='Weeks Plan'!$D$6,'Planning Sheet'!BI334='Weeks Plan'!$G$6),'Planning Sheet'!$B334,"")</f>
        <v/>
      </c>
      <c r="Z1811" s="48" t="str">
        <f ca="1">IF(AND('Planning Sheet'!BO334='Weeks Plan'!$D$6,'Planning Sheet'!BI334='Weeks Plan'!$G$6),'Planning Sheet'!$BJ334,"")</f>
        <v/>
      </c>
      <c r="AA1811" s="48" t="str">
        <f ca="1">IF(AND('Planning Sheet'!BO334='Weeks Plan'!$D$6,'Planning Sheet'!BI334='Weeks Plan'!$G$6),'Planning Sheet'!$BK334,"")</f>
        <v/>
      </c>
    </row>
    <row r="1812" spans="25:27" x14ac:dyDescent="0.3">
      <c r="Y1812" s="48" t="str">
        <f ca="1">IF(AND('Planning Sheet'!BO335='Weeks Plan'!$D$6,'Planning Sheet'!BI335='Weeks Plan'!$G$6),'Planning Sheet'!$B335,"")</f>
        <v/>
      </c>
      <c r="Z1812" s="48" t="str">
        <f ca="1">IF(AND('Planning Sheet'!BO335='Weeks Plan'!$D$6,'Planning Sheet'!BI335='Weeks Plan'!$G$6),'Planning Sheet'!$BJ335,"")</f>
        <v/>
      </c>
      <c r="AA1812" s="48" t="str">
        <f ca="1">IF(AND('Planning Sheet'!BO335='Weeks Plan'!$D$6,'Planning Sheet'!BI335='Weeks Plan'!$G$6),'Planning Sheet'!$BK335,"")</f>
        <v/>
      </c>
    </row>
    <row r="1813" spans="25:27" x14ac:dyDescent="0.3">
      <c r="Y1813" s="48" t="str">
        <f ca="1">IF(AND('Planning Sheet'!BO336='Weeks Plan'!$D$6,'Planning Sheet'!BI336='Weeks Plan'!$G$6),'Planning Sheet'!$B336,"")</f>
        <v/>
      </c>
      <c r="Z1813" s="48" t="str">
        <f ca="1">IF(AND('Planning Sheet'!BO336='Weeks Plan'!$D$6,'Planning Sheet'!BI336='Weeks Plan'!$G$6),'Planning Sheet'!$BJ336,"")</f>
        <v/>
      </c>
      <c r="AA1813" s="48" t="str">
        <f ca="1">IF(AND('Planning Sheet'!BO336='Weeks Plan'!$D$6,'Planning Sheet'!BI336='Weeks Plan'!$G$6),'Planning Sheet'!$BK336,"")</f>
        <v/>
      </c>
    </row>
    <row r="1814" spans="25:27" x14ac:dyDescent="0.3">
      <c r="Y1814" s="48" t="str">
        <f ca="1">IF(AND('Planning Sheet'!BO337='Weeks Plan'!$D$6,'Planning Sheet'!BI337='Weeks Plan'!$G$6),'Planning Sheet'!$B337,"")</f>
        <v/>
      </c>
      <c r="Z1814" s="48" t="str">
        <f ca="1">IF(AND('Planning Sheet'!BO337='Weeks Plan'!$D$6,'Planning Sheet'!BI337='Weeks Plan'!$G$6),'Planning Sheet'!$BJ337,"")</f>
        <v/>
      </c>
      <c r="AA1814" s="48" t="str">
        <f ca="1">IF(AND('Planning Sheet'!BO337='Weeks Plan'!$D$6,'Planning Sheet'!BI337='Weeks Plan'!$G$6),'Planning Sheet'!$BK337,"")</f>
        <v/>
      </c>
    </row>
    <row r="1815" spans="25:27" x14ac:dyDescent="0.3">
      <c r="Y1815" s="48" t="str">
        <f ca="1">IF(AND('Planning Sheet'!BO338='Weeks Plan'!$D$6,'Planning Sheet'!BI338='Weeks Plan'!$G$6),'Planning Sheet'!$B338,"")</f>
        <v/>
      </c>
      <c r="Z1815" s="48" t="str">
        <f ca="1">IF(AND('Planning Sheet'!BO338='Weeks Plan'!$D$6,'Planning Sheet'!BI338='Weeks Plan'!$G$6),'Planning Sheet'!$BJ338,"")</f>
        <v/>
      </c>
      <c r="AA1815" s="48" t="str">
        <f ca="1">IF(AND('Planning Sheet'!BO338='Weeks Plan'!$D$6,'Planning Sheet'!BI338='Weeks Plan'!$G$6),'Planning Sheet'!$BK338,"")</f>
        <v/>
      </c>
    </row>
    <row r="1816" spans="25:27" x14ac:dyDescent="0.3">
      <c r="Y1816" s="48" t="str">
        <f ca="1">IF(AND('Planning Sheet'!BO339='Weeks Plan'!$D$6,'Planning Sheet'!BI339='Weeks Plan'!$G$6),'Planning Sheet'!$B339,"")</f>
        <v/>
      </c>
      <c r="Z1816" s="48" t="str">
        <f ca="1">IF(AND('Planning Sheet'!BO339='Weeks Plan'!$D$6,'Planning Sheet'!BI339='Weeks Plan'!$G$6),'Planning Sheet'!$BJ339,"")</f>
        <v/>
      </c>
      <c r="AA1816" s="48" t="str">
        <f ca="1">IF(AND('Planning Sheet'!BO339='Weeks Plan'!$D$6,'Planning Sheet'!BI339='Weeks Plan'!$G$6),'Planning Sheet'!$BK339,"")</f>
        <v/>
      </c>
    </row>
    <row r="1817" spans="25:27" x14ac:dyDescent="0.3">
      <c r="Y1817" s="48" t="str">
        <f ca="1">IF(AND('Planning Sheet'!BO340='Weeks Plan'!$D$6,'Planning Sheet'!BI340='Weeks Plan'!$G$6),'Planning Sheet'!$B340,"")</f>
        <v/>
      </c>
      <c r="Z1817" s="48" t="str">
        <f ca="1">IF(AND('Planning Sheet'!BO340='Weeks Plan'!$D$6,'Planning Sheet'!BI340='Weeks Plan'!$G$6),'Planning Sheet'!$BJ340,"")</f>
        <v/>
      </c>
      <c r="AA1817" s="48" t="str">
        <f ca="1">IF(AND('Planning Sheet'!BO340='Weeks Plan'!$D$6,'Planning Sheet'!BI340='Weeks Plan'!$G$6),'Planning Sheet'!$BK340,"")</f>
        <v/>
      </c>
    </row>
    <row r="1818" spans="25:27" x14ac:dyDescent="0.3">
      <c r="Y1818" s="48" t="str">
        <f ca="1">IF(AND('Planning Sheet'!BO341='Weeks Plan'!$D$6,'Planning Sheet'!BI341='Weeks Plan'!$G$6),'Planning Sheet'!$B341,"")</f>
        <v/>
      </c>
      <c r="Z1818" s="48" t="str">
        <f ca="1">IF(AND('Planning Sheet'!BO341='Weeks Plan'!$D$6,'Planning Sheet'!BI341='Weeks Plan'!$G$6),'Planning Sheet'!$BJ341,"")</f>
        <v/>
      </c>
      <c r="AA1818" s="48" t="str">
        <f ca="1">IF(AND('Planning Sheet'!BO341='Weeks Plan'!$D$6,'Planning Sheet'!BI341='Weeks Plan'!$G$6),'Planning Sheet'!$BK341,"")</f>
        <v/>
      </c>
    </row>
    <row r="1819" spans="25:27" x14ac:dyDescent="0.3">
      <c r="Y1819" s="48" t="str">
        <f ca="1">IF(AND('Planning Sheet'!BO342='Weeks Plan'!$D$6,'Planning Sheet'!BI342='Weeks Plan'!$G$6),'Planning Sheet'!$B342,"")</f>
        <v/>
      </c>
      <c r="Z1819" s="48" t="str">
        <f ca="1">IF(AND('Planning Sheet'!BO342='Weeks Plan'!$D$6,'Planning Sheet'!BI342='Weeks Plan'!$G$6),'Planning Sheet'!$BJ342,"")</f>
        <v/>
      </c>
      <c r="AA1819" s="48" t="str">
        <f ca="1">IF(AND('Planning Sheet'!BO342='Weeks Plan'!$D$6,'Planning Sheet'!BI342='Weeks Plan'!$G$6),'Planning Sheet'!$BK342,"")</f>
        <v/>
      </c>
    </row>
    <row r="1820" spans="25:27" x14ac:dyDescent="0.3">
      <c r="Y1820" s="48" t="str">
        <f ca="1">IF(AND('Planning Sheet'!BO343='Weeks Plan'!$D$6,'Planning Sheet'!BI343='Weeks Plan'!$G$6),'Planning Sheet'!$B343,"")</f>
        <v/>
      </c>
      <c r="Z1820" s="48" t="str">
        <f ca="1">IF(AND('Planning Sheet'!BO343='Weeks Plan'!$D$6,'Planning Sheet'!BI343='Weeks Plan'!$G$6),'Planning Sheet'!$BJ343,"")</f>
        <v/>
      </c>
      <c r="AA1820" s="48" t="str">
        <f ca="1">IF(AND('Planning Sheet'!BO343='Weeks Plan'!$D$6,'Planning Sheet'!BI343='Weeks Plan'!$G$6),'Planning Sheet'!$BK343,"")</f>
        <v/>
      </c>
    </row>
    <row r="1821" spans="25:27" x14ac:dyDescent="0.3">
      <c r="Y1821" s="48" t="str">
        <f ca="1">IF(AND('Planning Sheet'!BO344='Weeks Plan'!$D$6,'Planning Sheet'!BI344='Weeks Plan'!$G$6),'Planning Sheet'!$B344,"")</f>
        <v/>
      </c>
      <c r="Z1821" s="48" t="str">
        <f ca="1">IF(AND('Planning Sheet'!BO344='Weeks Plan'!$D$6,'Planning Sheet'!BI344='Weeks Plan'!$G$6),'Planning Sheet'!$BJ344,"")</f>
        <v/>
      </c>
      <c r="AA1821" s="48" t="str">
        <f ca="1">IF(AND('Planning Sheet'!BO344='Weeks Plan'!$D$6,'Planning Sheet'!BI344='Weeks Plan'!$G$6),'Planning Sheet'!$BK344,"")</f>
        <v/>
      </c>
    </row>
    <row r="1822" spans="25:27" x14ac:dyDescent="0.3">
      <c r="Y1822" s="48" t="str">
        <f ca="1">IF(AND('Planning Sheet'!BO345='Weeks Plan'!$D$6,'Planning Sheet'!BI345='Weeks Plan'!$G$6),'Planning Sheet'!$B345,"")</f>
        <v/>
      </c>
      <c r="Z1822" s="48" t="str">
        <f ca="1">IF(AND('Planning Sheet'!BO345='Weeks Plan'!$D$6,'Planning Sheet'!BI345='Weeks Plan'!$G$6),'Planning Sheet'!$BJ345,"")</f>
        <v/>
      </c>
      <c r="AA1822" s="48" t="str">
        <f ca="1">IF(AND('Planning Sheet'!BO345='Weeks Plan'!$D$6,'Planning Sheet'!BI345='Weeks Plan'!$G$6),'Planning Sheet'!$BK345,"")</f>
        <v/>
      </c>
    </row>
    <row r="1823" spans="25:27" x14ac:dyDescent="0.3">
      <c r="Y1823" s="48" t="str">
        <f ca="1">IF(AND('Planning Sheet'!BO346='Weeks Plan'!$D$6,'Planning Sheet'!BI346='Weeks Plan'!$G$6),'Planning Sheet'!$B346,"")</f>
        <v/>
      </c>
      <c r="Z1823" s="48" t="str">
        <f ca="1">IF(AND('Planning Sheet'!BO346='Weeks Plan'!$D$6,'Planning Sheet'!BI346='Weeks Plan'!$G$6),'Planning Sheet'!$BJ346,"")</f>
        <v/>
      </c>
      <c r="AA1823" s="48" t="str">
        <f ca="1">IF(AND('Planning Sheet'!BO346='Weeks Plan'!$D$6,'Planning Sheet'!BI346='Weeks Plan'!$G$6),'Planning Sheet'!$BK346,"")</f>
        <v/>
      </c>
    </row>
    <row r="1824" spans="25:27" x14ac:dyDescent="0.3">
      <c r="Y1824" s="48" t="str">
        <f ca="1">IF(AND('Planning Sheet'!BO347='Weeks Plan'!$D$6,'Planning Sheet'!BI347='Weeks Plan'!$G$6),'Planning Sheet'!$B347,"")</f>
        <v/>
      </c>
      <c r="Z1824" s="48" t="str">
        <f ca="1">IF(AND('Planning Sheet'!BO347='Weeks Plan'!$D$6,'Planning Sheet'!BI347='Weeks Plan'!$G$6),'Planning Sheet'!$BJ347,"")</f>
        <v/>
      </c>
      <c r="AA1824" s="48" t="str">
        <f ca="1">IF(AND('Planning Sheet'!BO347='Weeks Plan'!$D$6,'Planning Sheet'!BI347='Weeks Plan'!$G$6),'Planning Sheet'!$BK347,"")</f>
        <v/>
      </c>
    </row>
    <row r="1825" spans="25:27" x14ac:dyDescent="0.3">
      <c r="Y1825" s="48" t="str">
        <f ca="1">IF(AND('Planning Sheet'!BO348='Weeks Plan'!$D$6,'Planning Sheet'!BI348='Weeks Plan'!$G$6),'Planning Sheet'!$B348,"")</f>
        <v/>
      </c>
      <c r="Z1825" s="48" t="str">
        <f ca="1">IF(AND('Planning Sheet'!BO348='Weeks Plan'!$D$6,'Planning Sheet'!BI348='Weeks Plan'!$G$6),'Planning Sheet'!$BJ348,"")</f>
        <v/>
      </c>
      <c r="AA1825" s="48" t="str">
        <f ca="1">IF(AND('Planning Sheet'!BO348='Weeks Plan'!$D$6,'Planning Sheet'!BI348='Weeks Plan'!$G$6),'Planning Sheet'!$BK348,"")</f>
        <v/>
      </c>
    </row>
    <row r="1826" spans="25:27" x14ac:dyDescent="0.3">
      <c r="Y1826" s="48" t="str">
        <f ca="1">IF(AND('Planning Sheet'!BO349='Weeks Plan'!$D$6,'Planning Sheet'!BI349='Weeks Plan'!$G$6),'Planning Sheet'!$B349,"")</f>
        <v/>
      </c>
      <c r="Z1826" s="48" t="str">
        <f ca="1">IF(AND('Planning Sheet'!BO349='Weeks Plan'!$D$6,'Planning Sheet'!BI349='Weeks Plan'!$G$6),'Planning Sheet'!$BJ349,"")</f>
        <v/>
      </c>
      <c r="AA1826" s="48" t="str">
        <f ca="1">IF(AND('Planning Sheet'!BO349='Weeks Plan'!$D$6,'Planning Sheet'!BI349='Weeks Plan'!$G$6),'Planning Sheet'!$BK349,"")</f>
        <v/>
      </c>
    </row>
    <row r="1827" spans="25:27" x14ac:dyDescent="0.3">
      <c r="Y1827" s="48" t="str">
        <f ca="1">IF(AND('Planning Sheet'!BO350='Weeks Plan'!$D$6,'Planning Sheet'!BI350='Weeks Plan'!$G$6),'Planning Sheet'!$B350,"")</f>
        <v/>
      </c>
      <c r="Z1827" s="48" t="str">
        <f ca="1">IF(AND('Planning Sheet'!BO350='Weeks Plan'!$D$6,'Planning Sheet'!BI350='Weeks Plan'!$G$6),'Planning Sheet'!$BJ350,"")</f>
        <v/>
      </c>
      <c r="AA1827" s="48" t="str">
        <f ca="1">IF(AND('Planning Sheet'!BO350='Weeks Plan'!$D$6,'Planning Sheet'!BI350='Weeks Plan'!$G$6),'Planning Sheet'!$BK350,"")</f>
        <v/>
      </c>
    </row>
    <row r="1828" spans="25:27" x14ac:dyDescent="0.3">
      <c r="Y1828" s="48" t="str">
        <f ca="1">IF(AND('Planning Sheet'!BO351='Weeks Plan'!$D$6,'Planning Sheet'!BI351='Weeks Plan'!$G$6),'Planning Sheet'!$B351,"")</f>
        <v/>
      </c>
      <c r="Z1828" s="48" t="str">
        <f ca="1">IF(AND('Planning Sheet'!BO351='Weeks Plan'!$D$6,'Planning Sheet'!BI351='Weeks Plan'!$G$6),'Planning Sheet'!$BJ351,"")</f>
        <v/>
      </c>
      <c r="AA1828" s="48" t="str">
        <f ca="1">IF(AND('Planning Sheet'!BO351='Weeks Plan'!$D$6,'Planning Sheet'!BI351='Weeks Plan'!$G$6),'Planning Sheet'!$BK351,"")</f>
        <v/>
      </c>
    </row>
    <row r="1829" spans="25:27" x14ac:dyDescent="0.3">
      <c r="Y1829" s="48" t="str">
        <f ca="1">IF(AND('Planning Sheet'!BO352='Weeks Plan'!$D$6,'Planning Sheet'!BI352='Weeks Plan'!$G$6),'Planning Sheet'!$B352,"")</f>
        <v/>
      </c>
      <c r="Z1829" s="48" t="str">
        <f ca="1">IF(AND('Planning Sheet'!BO352='Weeks Plan'!$D$6,'Planning Sheet'!BI352='Weeks Plan'!$G$6),'Planning Sheet'!$BJ352,"")</f>
        <v/>
      </c>
      <c r="AA1829" s="48" t="str">
        <f ca="1">IF(AND('Planning Sheet'!BO352='Weeks Plan'!$D$6,'Planning Sheet'!BI352='Weeks Plan'!$G$6),'Planning Sheet'!$BK352,"")</f>
        <v/>
      </c>
    </row>
    <row r="1830" spans="25:27" x14ac:dyDescent="0.3">
      <c r="Y1830" s="48" t="str">
        <f ca="1">IF(AND('Planning Sheet'!BO353='Weeks Plan'!$D$6,'Planning Sheet'!BI353='Weeks Plan'!$G$6),'Planning Sheet'!$B353,"")</f>
        <v/>
      </c>
      <c r="Z1830" s="48" t="str">
        <f ca="1">IF(AND('Planning Sheet'!BO353='Weeks Plan'!$D$6,'Planning Sheet'!BI353='Weeks Plan'!$G$6),'Planning Sheet'!$BJ353,"")</f>
        <v/>
      </c>
      <c r="AA1830" s="48" t="str">
        <f ca="1">IF(AND('Planning Sheet'!BO353='Weeks Plan'!$D$6,'Planning Sheet'!BI353='Weeks Plan'!$G$6),'Planning Sheet'!$BK353,"")</f>
        <v/>
      </c>
    </row>
    <row r="1831" spans="25:27" x14ac:dyDescent="0.3">
      <c r="Y1831" s="48" t="str">
        <f ca="1">IF(AND('Planning Sheet'!BO354='Weeks Plan'!$D$6,'Planning Sheet'!BI354='Weeks Plan'!$G$6),'Planning Sheet'!$B354,"")</f>
        <v/>
      </c>
      <c r="Z1831" s="48" t="str">
        <f ca="1">IF(AND('Planning Sheet'!BO354='Weeks Plan'!$D$6,'Planning Sheet'!BI354='Weeks Plan'!$G$6),'Planning Sheet'!$BJ354,"")</f>
        <v/>
      </c>
      <c r="AA1831" s="48" t="str">
        <f ca="1">IF(AND('Planning Sheet'!BO354='Weeks Plan'!$D$6,'Planning Sheet'!BI354='Weeks Plan'!$G$6),'Planning Sheet'!$BK354,"")</f>
        <v/>
      </c>
    </row>
    <row r="1832" spans="25:27" x14ac:dyDescent="0.3">
      <c r="Y1832" s="48" t="str">
        <f ca="1">IF(AND('Planning Sheet'!BO355='Weeks Plan'!$D$6,'Planning Sheet'!BI355='Weeks Plan'!$G$6),'Planning Sheet'!$B355,"")</f>
        <v/>
      </c>
      <c r="Z1832" s="48" t="str">
        <f ca="1">IF(AND('Planning Sheet'!BO355='Weeks Plan'!$D$6,'Planning Sheet'!BI355='Weeks Plan'!$G$6),'Planning Sheet'!$BJ355,"")</f>
        <v/>
      </c>
      <c r="AA1832" s="48" t="str">
        <f ca="1">IF(AND('Planning Sheet'!BO355='Weeks Plan'!$D$6,'Planning Sheet'!BI355='Weeks Plan'!$G$6),'Planning Sheet'!$BK355,"")</f>
        <v/>
      </c>
    </row>
    <row r="1833" spans="25:27" x14ac:dyDescent="0.3">
      <c r="Y1833" s="48" t="str">
        <f ca="1">IF(AND('Planning Sheet'!BO356='Weeks Plan'!$D$6,'Planning Sheet'!BI356='Weeks Plan'!$G$6),'Planning Sheet'!$B356,"")</f>
        <v/>
      </c>
      <c r="Z1833" s="48" t="str">
        <f ca="1">IF(AND('Planning Sheet'!BO356='Weeks Plan'!$D$6,'Planning Sheet'!BI356='Weeks Plan'!$G$6),'Planning Sheet'!$BJ356,"")</f>
        <v/>
      </c>
      <c r="AA1833" s="48" t="str">
        <f ca="1">IF(AND('Planning Sheet'!BO356='Weeks Plan'!$D$6,'Planning Sheet'!BI356='Weeks Plan'!$G$6),'Planning Sheet'!$BK356,"")</f>
        <v/>
      </c>
    </row>
    <row r="1834" spans="25:27" x14ac:dyDescent="0.3">
      <c r="Y1834" s="48" t="str">
        <f ca="1">IF(AND('Planning Sheet'!BO357='Weeks Plan'!$D$6,'Planning Sheet'!BI357='Weeks Plan'!$G$6),'Planning Sheet'!$B357,"")</f>
        <v/>
      </c>
      <c r="Z1834" s="48" t="str">
        <f ca="1">IF(AND('Planning Sheet'!BO357='Weeks Plan'!$D$6,'Planning Sheet'!BI357='Weeks Plan'!$G$6),'Planning Sheet'!$BJ357,"")</f>
        <v/>
      </c>
      <c r="AA1834" s="48" t="str">
        <f ca="1">IF(AND('Planning Sheet'!BO357='Weeks Plan'!$D$6,'Planning Sheet'!BI357='Weeks Plan'!$G$6),'Planning Sheet'!$BK357,"")</f>
        <v/>
      </c>
    </row>
    <row r="1835" spans="25:27" x14ac:dyDescent="0.3">
      <c r="Y1835" s="48" t="str">
        <f ca="1">IF(AND('Planning Sheet'!BO358='Weeks Plan'!$D$6,'Planning Sheet'!BI358='Weeks Plan'!$G$6),'Planning Sheet'!$B358,"")</f>
        <v/>
      </c>
      <c r="Z1835" s="48" t="str">
        <f ca="1">IF(AND('Planning Sheet'!BO358='Weeks Plan'!$D$6,'Planning Sheet'!BI358='Weeks Plan'!$G$6),'Planning Sheet'!$BJ358,"")</f>
        <v/>
      </c>
      <c r="AA1835" s="48" t="str">
        <f ca="1">IF(AND('Planning Sheet'!BO358='Weeks Plan'!$D$6,'Planning Sheet'!BI358='Weeks Plan'!$G$6),'Planning Sheet'!$BK358,"")</f>
        <v/>
      </c>
    </row>
    <row r="1836" spans="25:27" x14ac:dyDescent="0.3">
      <c r="Y1836" s="48" t="str">
        <f ca="1">IF(AND('Planning Sheet'!BO359='Weeks Plan'!$D$6,'Planning Sheet'!BI359='Weeks Plan'!$G$6),'Planning Sheet'!$B359,"")</f>
        <v/>
      </c>
      <c r="Z1836" s="48" t="str">
        <f ca="1">IF(AND('Planning Sheet'!BO359='Weeks Plan'!$D$6,'Planning Sheet'!BI359='Weeks Plan'!$G$6),'Planning Sheet'!$BJ359,"")</f>
        <v/>
      </c>
      <c r="AA1836" s="48" t="str">
        <f ca="1">IF(AND('Planning Sheet'!BO359='Weeks Plan'!$D$6,'Planning Sheet'!BI359='Weeks Plan'!$G$6),'Planning Sheet'!$BK359,"")</f>
        <v/>
      </c>
    </row>
    <row r="1837" spans="25:27" x14ac:dyDescent="0.3">
      <c r="Y1837" s="48" t="str">
        <f ca="1">IF(AND('Planning Sheet'!BO360='Weeks Plan'!$D$6,'Planning Sheet'!BI360='Weeks Plan'!$G$6),'Planning Sheet'!$B360,"")</f>
        <v/>
      </c>
      <c r="Z1837" s="48" t="str">
        <f ca="1">IF(AND('Planning Sheet'!BO360='Weeks Plan'!$D$6,'Planning Sheet'!BI360='Weeks Plan'!$G$6),'Planning Sheet'!$BJ360,"")</f>
        <v/>
      </c>
      <c r="AA1837" s="48" t="str">
        <f ca="1">IF(AND('Planning Sheet'!BO360='Weeks Plan'!$D$6,'Planning Sheet'!BI360='Weeks Plan'!$G$6),'Planning Sheet'!$BK360,"")</f>
        <v/>
      </c>
    </row>
    <row r="1838" spans="25:27" x14ac:dyDescent="0.3">
      <c r="Y1838" s="48" t="str">
        <f ca="1">IF(AND('Planning Sheet'!BO361='Weeks Plan'!$D$6,'Planning Sheet'!BI361='Weeks Plan'!$G$6),'Planning Sheet'!$B361,"")</f>
        <v/>
      </c>
      <c r="Z1838" s="48" t="str">
        <f ca="1">IF(AND('Planning Sheet'!BO361='Weeks Plan'!$D$6,'Planning Sheet'!BI361='Weeks Plan'!$G$6),'Planning Sheet'!$BJ361,"")</f>
        <v/>
      </c>
      <c r="AA1838" s="48" t="str">
        <f ca="1">IF(AND('Planning Sheet'!BO361='Weeks Plan'!$D$6,'Planning Sheet'!BI361='Weeks Plan'!$G$6),'Planning Sheet'!$BK361,"")</f>
        <v/>
      </c>
    </row>
    <row r="1839" spans="25:27" x14ac:dyDescent="0.3">
      <c r="Y1839" s="48" t="str">
        <f ca="1">IF(AND('Planning Sheet'!BO362='Weeks Plan'!$D$6,'Planning Sheet'!BI362='Weeks Plan'!$G$6),'Planning Sheet'!$B362,"")</f>
        <v/>
      </c>
      <c r="Z1839" s="48" t="str">
        <f ca="1">IF(AND('Planning Sheet'!BO362='Weeks Plan'!$D$6,'Planning Sheet'!BI362='Weeks Plan'!$G$6),'Planning Sheet'!$BJ362,"")</f>
        <v/>
      </c>
      <c r="AA1839" s="48" t="str">
        <f ca="1">IF(AND('Planning Sheet'!BO362='Weeks Plan'!$D$6,'Planning Sheet'!BI362='Weeks Plan'!$G$6),'Planning Sheet'!$BK362,"")</f>
        <v/>
      </c>
    </row>
    <row r="1840" spans="25:27" x14ac:dyDescent="0.3">
      <c r="Y1840" s="48" t="str">
        <f ca="1">IF(AND('Planning Sheet'!BO363='Weeks Plan'!$D$6,'Planning Sheet'!BI363='Weeks Plan'!$G$6),'Planning Sheet'!$B363,"")</f>
        <v/>
      </c>
      <c r="Z1840" s="48" t="str">
        <f ca="1">IF(AND('Planning Sheet'!BO363='Weeks Plan'!$D$6,'Planning Sheet'!BI363='Weeks Plan'!$G$6),'Planning Sheet'!$BJ363,"")</f>
        <v/>
      </c>
      <c r="AA1840" s="48" t="str">
        <f ca="1">IF(AND('Planning Sheet'!BO363='Weeks Plan'!$D$6,'Planning Sheet'!BI363='Weeks Plan'!$G$6),'Planning Sheet'!$BK363,"")</f>
        <v/>
      </c>
    </row>
    <row r="1841" spans="25:27" x14ac:dyDescent="0.3">
      <c r="Y1841" s="48" t="str">
        <f ca="1">IF(AND('Planning Sheet'!BO364='Weeks Plan'!$D$6,'Planning Sheet'!BI364='Weeks Plan'!$G$6),'Planning Sheet'!$B364,"")</f>
        <v/>
      </c>
      <c r="Z1841" s="48" t="str">
        <f ca="1">IF(AND('Planning Sheet'!BO364='Weeks Plan'!$D$6,'Planning Sheet'!BI364='Weeks Plan'!$G$6),'Planning Sheet'!$BJ364,"")</f>
        <v/>
      </c>
      <c r="AA1841" s="48" t="str">
        <f ca="1">IF(AND('Planning Sheet'!BO364='Weeks Plan'!$D$6,'Planning Sheet'!BI364='Weeks Plan'!$G$6),'Planning Sheet'!$BK364,"")</f>
        <v/>
      </c>
    </row>
    <row r="1842" spans="25:27" x14ac:dyDescent="0.3">
      <c r="Y1842" s="48" t="str">
        <f ca="1">IF(AND('Planning Sheet'!BO365='Weeks Plan'!$D$6,'Planning Sheet'!BI365='Weeks Plan'!$G$6),'Planning Sheet'!$B365,"")</f>
        <v/>
      </c>
      <c r="Z1842" s="48" t="str">
        <f ca="1">IF(AND('Planning Sheet'!BO365='Weeks Plan'!$D$6,'Planning Sheet'!BI365='Weeks Plan'!$G$6),'Planning Sheet'!$BJ365,"")</f>
        <v/>
      </c>
      <c r="AA1842" s="48" t="str">
        <f ca="1">IF(AND('Planning Sheet'!BO365='Weeks Plan'!$D$6,'Planning Sheet'!BI365='Weeks Plan'!$G$6),'Planning Sheet'!$BK365,"")</f>
        <v/>
      </c>
    </row>
    <row r="1843" spans="25:27" x14ac:dyDescent="0.3">
      <c r="Y1843" s="48" t="str">
        <f ca="1">IF(AND('Planning Sheet'!BO366='Weeks Plan'!$D$6,'Planning Sheet'!BI366='Weeks Plan'!$G$6),'Planning Sheet'!$B366,"")</f>
        <v/>
      </c>
      <c r="Z1843" s="48" t="str">
        <f ca="1">IF(AND('Planning Sheet'!BO366='Weeks Plan'!$D$6,'Planning Sheet'!BI366='Weeks Plan'!$G$6),'Planning Sheet'!$BJ366,"")</f>
        <v/>
      </c>
      <c r="AA1843" s="48" t="str">
        <f ca="1">IF(AND('Planning Sheet'!BO366='Weeks Plan'!$D$6,'Planning Sheet'!BI366='Weeks Plan'!$G$6),'Planning Sheet'!$BK366,"")</f>
        <v/>
      </c>
    </row>
    <row r="1844" spans="25:27" x14ac:dyDescent="0.3">
      <c r="Y1844" s="48" t="str">
        <f ca="1">IF(AND('Planning Sheet'!BO367='Weeks Plan'!$D$6,'Planning Sheet'!BI367='Weeks Plan'!$G$6),'Planning Sheet'!$B367,"")</f>
        <v/>
      </c>
      <c r="Z1844" s="48" t="str">
        <f ca="1">IF(AND('Planning Sheet'!BO367='Weeks Plan'!$D$6,'Planning Sheet'!BI367='Weeks Plan'!$G$6),'Planning Sheet'!$BJ367,"")</f>
        <v/>
      </c>
      <c r="AA1844" s="48" t="str">
        <f ca="1">IF(AND('Planning Sheet'!BO367='Weeks Plan'!$D$6,'Planning Sheet'!BI367='Weeks Plan'!$G$6),'Planning Sheet'!$BK367,"")</f>
        <v/>
      </c>
    </row>
    <row r="1845" spans="25:27" x14ac:dyDescent="0.3">
      <c r="Y1845" s="48" t="str">
        <f ca="1">IF(AND('Planning Sheet'!BO368='Weeks Plan'!$D$6,'Planning Sheet'!BI368='Weeks Plan'!$G$6),'Planning Sheet'!$B368,"")</f>
        <v/>
      </c>
      <c r="Z1845" s="48" t="str">
        <f ca="1">IF(AND('Planning Sheet'!BO368='Weeks Plan'!$D$6,'Planning Sheet'!BI368='Weeks Plan'!$G$6),'Planning Sheet'!$BJ368,"")</f>
        <v/>
      </c>
      <c r="AA1845" s="48" t="str">
        <f ca="1">IF(AND('Planning Sheet'!BO368='Weeks Plan'!$D$6,'Planning Sheet'!BI368='Weeks Plan'!$G$6),'Planning Sheet'!$BK368,"")</f>
        <v/>
      </c>
    </row>
    <row r="1846" spans="25:27" x14ac:dyDescent="0.3">
      <c r="Y1846" s="48" t="str">
        <f ca="1">IF(AND('Planning Sheet'!BO369='Weeks Plan'!$D$6,'Planning Sheet'!BI369='Weeks Plan'!$G$6),'Planning Sheet'!$B369,"")</f>
        <v/>
      </c>
      <c r="Z1846" s="48" t="str">
        <f ca="1">IF(AND('Planning Sheet'!BO369='Weeks Plan'!$D$6,'Planning Sheet'!BI369='Weeks Plan'!$G$6),'Planning Sheet'!$BJ369,"")</f>
        <v/>
      </c>
      <c r="AA1846" s="48" t="str">
        <f ca="1">IF(AND('Planning Sheet'!BO369='Weeks Plan'!$D$6,'Planning Sheet'!BI369='Weeks Plan'!$G$6),'Planning Sheet'!$BK369,"")</f>
        <v/>
      </c>
    </row>
    <row r="1847" spans="25:27" x14ac:dyDescent="0.3">
      <c r="Y1847" s="48" t="str">
        <f ca="1">IF(AND('Planning Sheet'!BO370='Weeks Plan'!$D$6,'Planning Sheet'!BI370='Weeks Plan'!$G$6),'Planning Sheet'!$B370,"")</f>
        <v/>
      </c>
      <c r="Z1847" s="48" t="str">
        <f ca="1">IF(AND('Planning Sheet'!BO370='Weeks Plan'!$D$6,'Planning Sheet'!BI370='Weeks Plan'!$G$6),'Planning Sheet'!$BJ370,"")</f>
        <v/>
      </c>
      <c r="AA1847" s="48" t="str">
        <f ca="1">IF(AND('Planning Sheet'!BO370='Weeks Plan'!$D$6,'Planning Sheet'!BI370='Weeks Plan'!$G$6),'Planning Sheet'!$BK370,"")</f>
        <v/>
      </c>
    </row>
    <row r="1848" spans="25:27" x14ac:dyDescent="0.3">
      <c r="Y1848" s="48" t="str">
        <f ca="1">IF(AND('Planning Sheet'!BO371='Weeks Plan'!$D$6,'Planning Sheet'!BI371='Weeks Plan'!$G$6),'Planning Sheet'!$B371,"")</f>
        <v/>
      </c>
      <c r="Z1848" s="48" t="str">
        <f ca="1">IF(AND('Planning Sheet'!BO371='Weeks Plan'!$D$6,'Planning Sheet'!BI371='Weeks Plan'!$G$6),'Planning Sheet'!$BJ371,"")</f>
        <v/>
      </c>
      <c r="AA1848" s="48" t="str">
        <f ca="1">IF(AND('Planning Sheet'!BO371='Weeks Plan'!$D$6,'Planning Sheet'!BI371='Weeks Plan'!$G$6),'Planning Sheet'!$BK371,"")</f>
        <v/>
      </c>
    </row>
    <row r="1849" spans="25:27" x14ac:dyDescent="0.3">
      <c r="Y1849" s="48" t="str">
        <f ca="1">IF(AND('Planning Sheet'!BO372='Weeks Plan'!$D$6,'Planning Sheet'!BI372='Weeks Plan'!$G$6),'Planning Sheet'!$B372,"")</f>
        <v/>
      </c>
      <c r="Z1849" s="48" t="str">
        <f ca="1">IF(AND('Planning Sheet'!BO372='Weeks Plan'!$D$6,'Planning Sheet'!BI372='Weeks Plan'!$G$6),'Planning Sheet'!$BJ372,"")</f>
        <v/>
      </c>
      <c r="AA1849" s="48" t="str">
        <f ca="1">IF(AND('Planning Sheet'!BO372='Weeks Plan'!$D$6,'Planning Sheet'!BI372='Weeks Plan'!$G$6),'Planning Sheet'!$BK372,"")</f>
        <v/>
      </c>
    </row>
    <row r="1850" spans="25:27" x14ac:dyDescent="0.3">
      <c r="Y1850" s="48" t="str">
        <f ca="1">IF(AND('Planning Sheet'!BO373='Weeks Plan'!$D$6,'Planning Sheet'!BI373='Weeks Plan'!$G$6),'Planning Sheet'!$B373,"")</f>
        <v/>
      </c>
      <c r="Z1850" s="48" t="str">
        <f ca="1">IF(AND('Planning Sheet'!BO373='Weeks Plan'!$D$6,'Planning Sheet'!BI373='Weeks Plan'!$G$6),'Planning Sheet'!$BJ373,"")</f>
        <v/>
      </c>
      <c r="AA1850" s="48" t="str">
        <f ca="1">IF(AND('Planning Sheet'!BO373='Weeks Plan'!$D$6,'Planning Sheet'!BI373='Weeks Plan'!$G$6),'Planning Sheet'!$BK373,"")</f>
        <v/>
      </c>
    </row>
    <row r="1851" spans="25:27" x14ac:dyDescent="0.3">
      <c r="Y1851" s="48" t="str">
        <f ca="1">IF(AND('Planning Sheet'!BO374='Weeks Plan'!$D$6,'Planning Sheet'!BI374='Weeks Plan'!$G$6),'Planning Sheet'!$B374,"")</f>
        <v/>
      </c>
      <c r="Z1851" s="48" t="str">
        <f ca="1">IF(AND('Planning Sheet'!BO374='Weeks Plan'!$D$6,'Planning Sheet'!BI374='Weeks Plan'!$G$6),'Planning Sheet'!$BJ374,"")</f>
        <v/>
      </c>
      <c r="AA1851" s="48" t="str">
        <f ca="1">IF(AND('Planning Sheet'!BO374='Weeks Plan'!$D$6,'Planning Sheet'!BI374='Weeks Plan'!$G$6),'Planning Sheet'!$BK374,"")</f>
        <v/>
      </c>
    </row>
    <row r="1852" spans="25:27" x14ac:dyDescent="0.3">
      <c r="Y1852" s="48" t="str">
        <f ca="1">IF(AND('Planning Sheet'!BO375='Weeks Plan'!$D$6,'Planning Sheet'!BI375='Weeks Plan'!$G$6),'Planning Sheet'!$B375,"")</f>
        <v/>
      </c>
      <c r="Z1852" s="48" t="str">
        <f ca="1">IF(AND('Planning Sheet'!BO375='Weeks Plan'!$D$6,'Planning Sheet'!BI375='Weeks Plan'!$G$6),'Planning Sheet'!$BJ375,"")</f>
        <v/>
      </c>
      <c r="AA1852" s="48" t="str">
        <f ca="1">IF(AND('Planning Sheet'!BO375='Weeks Plan'!$D$6,'Planning Sheet'!BI375='Weeks Plan'!$G$6),'Planning Sheet'!$BK375,"")</f>
        <v/>
      </c>
    </row>
    <row r="1853" spans="25:27" x14ac:dyDescent="0.3">
      <c r="Y1853" s="48" t="str">
        <f ca="1">IF(AND('Planning Sheet'!BO376='Weeks Plan'!$D$6,'Planning Sheet'!BI376='Weeks Plan'!$G$6),'Planning Sheet'!$B376,"")</f>
        <v/>
      </c>
      <c r="Z1853" s="48" t="str">
        <f ca="1">IF(AND('Planning Sheet'!BO376='Weeks Plan'!$D$6,'Planning Sheet'!BI376='Weeks Plan'!$G$6),'Planning Sheet'!$BJ376,"")</f>
        <v/>
      </c>
      <c r="AA1853" s="48" t="str">
        <f ca="1">IF(AND('Planning Sheet'!BO376='Weeks Plan'!$D$6,'Planning Sheet'!BI376='Weeks Plan'!$G$6),'Planning Sheet'!$BK376,"")</f>
        <v/>
      </c>
    </row>
    <row r="1854" spans="25:27" x14ac:dyDescent="0.3">
      <c r="Y1854" s="48" t="str">
        <f ca="1">IF(AND('Planning Sheet'!BO377='Weeks Plan'!$D$6,'Planning Sheet'!BI377='Weeks Plan'!$G$6),'Planning Sheet'!$B377,"")</f>
        <v/>
      </c>
      <c r="Z1854" s="48" t="str">
        <f ca="1">IF(AND('Planning Sheet'!BO377='Weeks Plan'!$D$6,'Planning Sheet'!BI377='Weeks Plan'!$G$6),'Planning Sheet'!$BJ377,"")</f>
        <v/>
      </c>
      <c r="AA1854" s="48" t="str">
        <f ca="1">IF(AND('Planning Sheet'!BO377='Weeks Plan'!$D$6,'Planning Sheet'!BI377='Weeks Plan'!$G$6),'Planning Sheet'!$BK377,"")</f>
        <v/>
      </c>
    </row>
    <row r="1855" spans="25:27" x14ac:dyDescent="0.3">
      <c r="Y1855" s="48" t="str">
        <f ca="1">IF(AND('Planning Sheet'!BO378='Weeks Plan'!$D$6,'Planning Sheet'!BI378='Weeks Plan'!$G$6),'Planning Sheet'!$B378,"")</f>
        <v/>
      </c>
      <c r="Z1855" s="48" t="str">
        <f ca="1">IF(AND('Planning Sheet'!BO378='Weeks Plan'!$D$6,'Planning Sheet'!BI378='Weeks Plan'!$G$6),'Planning Sheet'!$BJ378,"")</f>
        <v/>
      </c>
      <c r="AA1855" s="48" t="str">
        <f ca="1">IF(AND('Planning Sheet'!BO378='Weeks Plan'!$D$6,'Planning Sheet'!BI378='Weeks Plan'!$G$6),'Planning Sheet'!$BK378,"")</f>
        <v/>
      </c>
    </row>
    <row r="1856" spans="25:27" x14ac:dyDescent="0.3">
      <c r="Y1856" s="48" t="str">
        <f ca="1">IF(AND('Planning Sheet'!BO379='Weeks Plan'!$D$6,'Planning Sheet'!BI379='Weeks Plan'!$G$6),'Planning Sheet'!$B379,"")</f>
        <v/>
      </c>
      <c r="Z1856" s="48" t="str">
        <f ca="1">IF(AND('Planning Sheet'!BO379='Weeks Plan'!$D$6,'Planning Sheet'!BI379='Weeks Plan'!$G$6),'Planning Sheet'!$BJ379,"")</f>
        <v/>
      </c>
      <c r="AA1856" s="48" t="str">
        <f ca="1">IF(AND('Planning Sheet'!BO379='Weeks Plan'!$D$6,'Planning Sheet'!BI379='Weeks Plan'!$G$6),'Planning Sheet'!$BK379,"")</f>
        <v/>
      </c>
    </row>
    <row r="1857" spans="25:27" x14ac:dyDescent="0.3">
      <c r="Y1857" s="48" t="str">
        <f ca="1">IF(AND('Planning Sheet'!BO380='Weeks Plan'!$D$6,'Planning Sheet'!BI380='Weeks Plan'!$G$6),'Planning Sheet'!$B380,"")</f>
        <v/>
      </c>
      <c r="Z1857" s="48" t="str">
        <f ca="1">IF(AND('Planning Sheet'!BO380='Weeks Plan'!$D$6,'Planning Sheet'!BI380='Weeks Plan'!$G$6),'Planning Sheet'!$BJ380,"")</f>
        <v/>
      </c>
      <c r="AA1857" s="48" t="str">
        <f ca="1">IF(AND('Planning Sheet'!BO380='Weeks Plan'!$D$6,'Planning Sheet'!BI380='Weeks Plan'!$G$6),'Planning Sheet'!$BK380,"")</f>
        <v/>
      </c>
    </row>
    <row r="1858" spans="25:27" x14ac:dyDescent="0.3">
      <c r="Y1858" s="48" t="str">
        <f ca="1">IF(AND('Planning Sheet'!BO381='Weeks Plan'!$D$6,'Planning Sheet'!BI381='Weeks Plan'!$G$6),'Planning Sheet'!$B381,"")</f>
        <v/>
      </c>
      <c r="Z1858" s="48" t="str">
        <f ca="1">IF(AND('Planning Sheet'!BO381='Weeks Plan'!$D$6,'Planning Sheet'!BI381='Weeks Plan'!$G$6),'Planning Sheet'!$BJ381,"")</f>
        <v/>
      </c>
      <c r="AA1858" s="48" t="str">
        <f ca="1">IF(AND('Planning Sheet'!BO381='Weeks Plan'!$D$6,'Planning Sheet'!BI381='Weeks Plan'!$G$6),'Planning Sheet'!$BK381,"")</f>
        <v/>
      </c>
    </row>
    <row r="1859" spans="25:27" x14ac:dyDescent="0.3">
      <c r="Y1859" s="48" t="str">
        <f ca="1">IF(AND('Planning Sheet'!BO382='Weeks Plan'!$D$6,'Planning Sheet'!BI382='Weeks Plan'!$G$6),'Planning Sheet'!$B382,"")</f>
        <v/>
      </c>
      <c r="Z1859" s="48" t="str">
        <f ca="1">IF(AND('Planning Sheet'!BO382='Weeks Plan'!$D$6,'Planning Sheet'!BI382='Weeks Plan'!$G$6),'Planning Sheet'!$BJ382,"")</f>
        <v/>
      </c>
      <c r="AA1859" s="48" t="str">
        <f ca="1">IF(AND('Planning Sheet'!BO382='Weeks Plan'!$D$6,'Planning Sheet'!BI382='Weeks Plan'!$G$6),'Planning Sheet'!$BK382,"")</f>
        <v/>
      </c>
    </row>
    <row r="1860" spans="25:27" x14ac:dyDescent="0.3">
      <c r="Y1860" s="48" t="str">
        <f ca="1">IF(AND('Planning Sheet'!BO383='Weeks Plan'!$D$6,'Planning Sheet'!BI383='Weeks Plan'!$G$6),'Planning Sheet'!$B383,"")</f>
        <v/>
      </c>
      <c r="Z1860" s="48" t="str">
        <f ca="1">IF(AND('Planning Sheet'!BO383='Weeks Plan'!$D$6,'Planning Sheet'!BI383='Weeks Plan'!$G$6),'Planning Sheet'!$BJ383,"")</f>
        <v/>
      </c>
      <c r="AA1860" s="48" t="str">
        <f ca="1">IF(AND('Planning Sheet'!BO383='Weeks Plan'!$D$6,'Planning Sheet'!BI383='Weeks Plan'!$G$6),'Planning Sheet'!$BK383,"")</f>
        <v/>
      </c>
    </row>
    <row r="1861" spans="25:27" x14ac:dyDescent="0.3">
      <c r="Y1861" s="48" t="str">
        <f ca="1">IF(AND('Planning Sheet'!BO384='Weeks Plan'!$D$6,'Planning Sheet'!BI384='Weeks Plan'!$G$6),'Planning Sheet'!$B384,"")</f>
        <v/>
      </c>
      <c r="Z1861" s="48" t="str">
        <f ca="1">IF(AND('Planning Sheet'!BO384='Weeks Plan'!$D$6,'Planning Sheet'!BI384='Weeks Plan'!$G$6),'Planning Sheet'!$BJ384,"")</f>
        <v/>
      </c>
      <c r="AA1861" s="48" t="str">
        <f ca="1">IF(AND('Planning Sheet'!BO384='Weeks Plan'!$D$6,'Planning Sheet'!BI384='Weeks Plan'!$G$6),'Planning Sheet'!$BK384,"")</f>
        <v/>
      </c>
    </row>
    <row r="1862" spans="25:27" x14ac:dyDescent="0.3">
      <c r="Y1862" s="48" t="str">
        <f ca="1">IF(AND('Planning Sheet'!BO385='Weeks Plan'!$D$6,'Planning Sheet'!BI385='Weeks Plan'!$G$6),'Planning Sheet'!$B385,"")</f>
        <v/>
      </c>
      <c r="Z1862" s="48" t="str">
        <f ca="1">IF(AND('Planning Sheet'!BO385='Weeks Plan'!$D$6,'Planning Sheet'!BI385='Weeks Plan'!$G$6),'Planning Sheet'!$BJ385,"")</f>
        <v/>
      </c>
      <c r="AA1862" s="48" t="str">
        <f ca="1">IF(AND('Planning Sheet'!BO385='Weeks Plan'!$D$6,'Planning Sheet'!BI385='Weeks Plan'!$G$6),'Planning Sheet'!$BK385,"")</f>
        <v/>
      </c>
    </row>
    <row r="1863" spans="25:27" x14ac:dyDescent="0.3">
      <c r="Y1863" s="48" t="str">
        <f ca="1">IF(AND('Planning Sheet'!BO386='Weeks Plan'!$D$6,'Planning Sheet'!BI386='Weeks Plan'!$G$6),'Planning Sheet'!$B386,"")</f>
        <v/>
      </c>
      <c r="Z1863" s="48" t="str">
        <f ca="1">IF(AND('Planning Sheet'!BO386='Weeks Plan'!$D$6,'Planning Sheet'!BI386='Weeks Plan'!$G$6),'Planning Sheet'!$BJ386,"")</f>
        <v/>
      </c>
      <c r="AA1863" s="48" t="str">
        <f ca="1">IF(AND('Planning Sheet'!BO386='Weeks Plan'!$D$6,'Planning Sheet'!BI386='Weeks Plan'!$G$6),'Planning Sheet'!$BK386,"")</f>
        <v/>
      </c>
    </row>
    <row r="1864" spans="25:27" x14ac:dyDescent="0.3">
      <c r="Y1864" s="48" t="str">
        <f ca="1">IF(AND('Planning Sheet'!BO387='Weeks Plan'!$D$6,'Planning Sheet'!BI387='Weeks Plan'!$G$6),'Planning Sheet'!$B387,"")</f>
        <v/>
      </c>
      <c r="Z1864" s="48" t="str">
        <f ca="1">IF(AND('Planning Sheet'!BO387='Weeks Plan'!$D$6,'Planning Sheet'!BI387='Weeks Plan'!$G$6),'Planning Sheet'!$BJ387,"")</f>
        <v/>
      </c>
      <c r="AA1864" s="48" t="str">
        <f ca="1">IF(AND('Planning Sheet'!BO387='Weeks Plan'!$D$6,'Planning Sheet'!BI387='Weeks Plan'!$G$6),'Planning Sheet'!$BK387,"")</f>
        <v/>
      </c>
    </row>
    <row r="1865" spans="25:27" x14ac:dyDescent="0.3">
      <c r="Y1865" s="48" t="str">
        <f ca="1">IF(AND('Planning Sheet'!BO388='Weeks Plan'!$D$6,'Planning Sheet'!BI388='Weeks Plan'!$G$6),'Planning Sheet'!$B388,"")</f>
        <v/>
      </c>
      <c r="Z1865" s="48" t="str">
        <f ca="1">IF(AND('Planning Sheet'!BO388='Weeks Plan'!$D$6,'Planning Sheet'!BI388='Weeks Plan'!$G$6),'Planning Sheet'!$BJ388,"")</f>
        <v/>
      </c>
      <c r="AA1865" s="48" t="str">
        <f ca="1">IF(AND('Planning Sheet'!BO388='Weeks Plan'!$D$6,'Planning Sheet'!BI388='Weeks Plan'!$G$6),'Planning Sheet'!$BK388,"")</f>
        <v/>
      </c>
    </row>
    <row r="1866" spans="25:27" x14ac:dyDescent="0.3">
      <c r="Y1866" s="48" t="str">
        <f ca="1">IF(AND('Planning Sheet'!BO389='Weeks Plan'!$D$6,'Planning Sheet'!BI389='Weeks Plan'!$G$6),'Planning Sheet'!$B389,"")</f>
        <v/>
      </c>
      <c r="Z1866" s="48" t="str">
        <f ca="1">IF(AND('Planning Sheet'!BO389='Weeks Plan'!$D$6,'Planning Sheet'!BI389='Weeks Plan'!$G$6),'Planning Sheet'!$BJ389,"")</f>
        <v/>
      </c>
      <c r="AA1866" s="48" t="str">
        <f ca="1">IF(AND('Planning Sheet'!BO389='Weeks Plan'!$D$6,'Planning Sheet'!BI389='Weeks Plan'!$G$6),'Planning Sheet'!$BK389,"")</f>
        <v/>
      </c>
    </row>
    <row r="1867" spans="25:27" x14ac:dyDescent="0.3">
      <c r="Y1867" s="48" t="str">
        <f ca="1">IF(AND('Planning Sheet'!BO390='Weeks Plan'!$D$6,'Planning Sheet'!BI390='Weeks Plan'!$G$6),'Planning Sheet'!$B390,"")</f>
        <v/>
      </c>
      <c r="Z1867" s="48" t="str">
        <f ca="1">IF(AND('Planning Sheet'!BO390='Weeks Plan'!$D$6,'Planning Sheet'!BI390='Weeks Plan'!$G$6),'Planning Sheet'!$BJ390,"")</f>
        <v/>
      </c>
      <c r="AA1867" s="48" t="str">
        <f ca="1">IF(AND('Planning Sheet'!BO390='Weeks Plan'!$D$6,'Planning Sheet'!BI390='Weeks Plan'!$G$6),'Planning Sheet'!$BK390,"")</f>
        <v/>
      </c>
    </row>
    <row r="1868" spans="25:27" x14ac:dyDescent="0.3">
      <c r="Y1868" s="48" t="str">
        <f ca="1">IF(AND('Planning Sheet'!BO391='Weeks Plan'!$D$6,'Planning Sheet'!BI391='Weeks Plan'!$G$6),'Planning Sheet'!$B391,"")</f>
        <v/>
      </c>
      <c r="Z1868" s="48" t="str">
        <f ca="1">IF(AND('Planning Sheet'!BO391='Weeks Plan'!$D$6,'Planning Sheet'!BI391='Weeks Plan'!$G$6),'Planning Sheet'!$BJ391,"")</f>
        <v/>
      </c>
      <c r="AA1868" s="48" t="str">
        <f ca="1">IF(AND('Planning Sheet'!BO391='Weeks Plan'!$D$6,'Planning Sheet'!BI391='Weeks Plan'!$G$6),'Planning Sheet'!$BK391,"")</f>
        <v/>
      </c>
    </row>
    <row r="1869" spans="25:27" x14ac:dyDescent="0.3">
      <c r="Y1869" s="48" t="str">
        <f ca="1">IF(AND('Planning Sheet'!BO392='Weeks Plan'!$D$6,'Planning Sheet'!BI392='Weeks Plan'!$G$6),'Planning Sheet'!$B392,"")</f>
        <v/>
      </c>
      <c r="Z1869" s="48" t="str">
        <f ca="1">IF(AND('Planning Sheet'!BO392='Weeks Plan'!$D$6,'Planning Sheet'!BI392='Weeks Plan'!$G$6),'Planning Sheet'!$BJ392,"")</f>
        <v/>
      </c>
      <c r="AA1869" s="48" t="str">
        <f ca="1">IF(AND('Planning Sheet'!BO392='Weeks Plan'!$D$6,'Planning Sheet'!BI392='Weeks Plan'!$G$6),'Planning Sheet'!$BK392,"")</f>
        <v/>
      </c>
    </row>
    <row r="1870" spans="25:27" x14ac:dyDescent="0.3">
      <c r="Y1870" s="48" t="str">
        <f ca="1">IF(AND('Planning Sheet'!BO393='Weeks Plan'!$D$6,'Planning Sheet'!BI393='Weeks Plan'!$G$6),'Planning Sheet'!$B393,"")</f>
        <v/>
      </c>
      <c r="Z1870" s="48" t="str">
        <f ca="1">IF(AND('Planning Sheet'!BO393='Weeks Plan'!$D$6,'Planning Sheet'!BI393='Weeks Plan'!$G$6),'Planning Sheet'!$BJ393,"")</f>
        <v/>
      </c>
      <c r="AA1870" s="48" t="str">
        <f ca="1">IF(AND('Planning Sheet'!BO393='Weeks Plan'!$D$6,'Planning Sheet'!BI393='Weeks Plan'!$G$6),'Planning Sheet'!$BK393,"")</f>
        <v/>
      </c>
    </row>
    <row r="1871" spans="25:27" x14ac:dyDescent="0.3">
      <c r="Y1871" s="48" t="str">
        <f ca="1">IF(AND('Planning Sheet'!BO394='Weeks Plan'!$D$6,'Planning Sheet'!BI394='Weeks Plan'!$G$6),'Planning Sheet'!$B394,"")</f>
        <v/>
      </c>
      <c r="Z1871" s="48" t="str">
        <f ca="1">IF(AND('Planning Sheet'!BO394='Weeks Plan'!$D$6,'Planning Sheet'!BI394='Weeks Plan'!$G$6),'Planning Sheet'!$BJ394,"")</f>
        <v/>
      </c>
      <c r="AA1871" s="48" t="str">
        <f ca="1">IF(AND('Planning Sheet'!BO394='Weeks Plan'!$D$6,'Planning Sheet'!BI394='Weeks Plan'!$G$6),'Planning Sheet'!$BK394,"")</f>
        <v/>
      </c>
    </row>
    <row r="1872" spans="25:27" x14ac:dyDescent="0.3">
      <c r="Y1872" s="48" t="str">
        <f ca="1">IF(AND('Planning Sheet'!BO395='Weeks Plan'!$D$6,'Planning Sheet'!BI395='Weeks Plan'!$G$6),'Planning Sheet'!$B395,"")</f>
        <v/>
      </c>
      <c r="Z1872" s="48" t="str">
        <f ca="1">IF(AND('Planning Sheet'!BO395='Weeks Plan'!$D$6,'Planning Sheet'!BI395='Weeks Plan'!$G$6),'Planning Sheet'!$BJ395,"")</f>
        <v/>
      </c>
      <c r="AA1872" s="48" t="str">
        <f ca="1">IF(AND('Planning Sheet'!BO395='Weeks Plan'!$D$6,'Planning Sheet'!BI395='Weeks Plan'!$G$6),'Planning Sheet'!$BK395,"")</f>
        <v/>
      </c>
    </row>
    <row r="1873" spans="25:27" x14ac:dyDescent="0.3">
      <c r="Y1873" s="48" t="str">
        <f ca="1">IF(AND('Planning Sheet'!BO396='Weeks Plan'!$D$6,'Planning Sheet'!BI396='Weeks Plan'!$G$6),'Planning Sheet'!$B396,"")</f>
        <v/>
      </c>
      <c r="Z1873" s="48" t="str">
        <f ca="1">IF(AND('Planning Sheet'!BO396='Weeks Plan'!$D$6,'Planning Sheet'!BI396='Weeks Plan'!$G$6),'Planning Sheet'!$BJ396,"")</f>
        <v/>
      </c>
      <c r="AA1873" s="48" t="str">
        <f ca="1">IF(AND('Planning Sheet'!BO396='Weeks Plan'!$D$6,'Planning Sheet'!BI396='Weeks Plan'!$G$6),'Planning Sheet'!$BK396,"")</f>
        <v/>
      </c>
    </row>
    <row r="1874" spans="25:27" x14ac:dyDescent="0.3">
      <c r="Y1874" s="48" t="str">
        <f ca="1">IF(AND('Planning Sheet'!BO397='Weeks Plan'!$D$6,'Planning Sheet'!BI397='Weeks Plan'!$G$6),'Planning Sheet'!$B397,"")</f>
        <v/>
      </c>
      <c r="Z1874" s="48" t="str">
        <f ca="1">IF(AND('Planning Sheet'!BO397='Weeks Plan'!$D$6,'Planning Sheet'!BI397='Weeks Plan'!$G$6),'Planning Sheet'!$BJ397,"")</f>
        <v/>
      </c>
      <c r="AA1874" s="48" t="str">
        <f ca="1">IF(AND('Planning Sheet'!BO397='Weeks Plan'!$D$6,'Planning Sheet'!BI397='Weeks Plan'!$G$6),'Planning Sheet'!$BK397,"")</f>
        <v/>
      </c>
    </row>
    <row r="1875" spans="25:27" x14ac:dyDescent="0.3">
      <c r="Y1875" s="48" t="str">
        <f ca="1">IF(AND('Planning Sheet'!BO398='Weeks Plan'!$D$6,'Planning Sheet'!BI398='Weeks Plan'!$G$6),'Planning Sheet'!$B398,"")</f>
        <v/>
      </c>
      <c r="Z1875" s="48" t="str">
        <f ca="1">IF(AND('Planning Sheet'!BO398='Weeks Plan'!$D$6,'Planning Sheet'!BI398='Weeks Plan'!$G$6),'Planning Sheet'!$BJ398,"")</f>
        <v/>
      </c>
      <c r="AA1875" s="48" t="str">
        <f ca="1">IF(AND('Planning Sheet'!BO398='Weeks Plan'!$D$6,'Planning Sheet'!BI398='Weeks Plan'!$G$6),'Planning Sheet'!$BK398,"")</f>
        <v/>
      </c>
    </row>
    <row r="1876" spans="25:27" x14ac:dyDescent="0.3">
      <c r="Y1876" s="48" t="str">
        <f ca="1">IF(AND('Planning Sheet'!BO399='Weeks Plan'!$D$6,'Planning Sheet'!BI399='Weeks Plan'!$G$6),'Planning Sheet'!$B399,"")</f>
        <v/>
      </c>
      <c r="Z1876" s="48" t="str">
        <f ca="1">IF(AND('Planning Sheet'!BO399='Weeks Plan'!$D$6,'Planning Sheet'!BI399='Weeks Plan'!$G$6),'Planning Sheet'!$BJ399,"")</f>
        <v/>
      </c>
      <c r="AA1876" s="48" t="str">
        <f ca="1">IF(AND('Planning Sheet'!BO399='Weeks Plan'!$D$6,'Planning Sheet'!BI399='Weeks Plan'!$G$6),'Planning Sheet'!$BK399,"")</f>
        <v/>
      </c>
    </row>
    <row r="1877" spans="25:27" x14ac:dyDescent="0.3">
      <c r="Y1877" s="48" t="str">
        <f ca="1">IF(AND('Planning Sheet'!BO400='Weeks Plan'!$D$6,'Planning Sheet'!BI400='Weeks Plan'!$G$6),'Planning Sheet'!$B400,"")</f>
        <v/>
      </c>
      <c r="Z1877" s="48" t="str">
        <f ca="1">IF(AND('Planning Sheet'!BO400='Weeks Plan'!$D$6,'Planning Sheet'!BI400='Weeks Plan'!$G$6),'Planning Sheet'!$BJ400,"")</f>
        <v/>
      </c>
      <c r="AA1877" s="48" t="str">
        <f ca="1">IF(AND('Planning Sheet'!BO400='Weeks Plan'!$D$6,'Planning Sheet'!BI400='Weeks Plan'!$G$6),'Planning Sheet'!$BK400,"")</f>
        <v/>
      </c>
    </row>
    <row r="1878" spans="25:27" x14ac:dyDescent="0.3">
      <c r="Y1878" s="48" t="str">
        <f ca="1">IF(AND('Planning Sheet'!BO401='Weeks Plan'!$D$6,'Planning Sheet'!BI401='Weeks Plan'!$G$6),'Planning Sheet'!$B401,"")</f>
        <v/>
      </c>
      <c r="Z1878" s="48" t="str">
        <f ca="1">IF(AND('Planning Sheet'!BO401='Weeks Plan'!$D$6,'Planning Sheet'!BI401='Weeks Plan'!$G$6),'Planning Sheet'!$BJ401,"")</f>
        <v/>
      </c>
      <c r="AA1878" s="48" t="str">
        <f ca="1">IF(AND('Planning Sheet'!BO401='Weeks Plan'!$D$6,'Planning Sheet'!BI401='Weeks Plan'!$G$6),'Planning Sheet'!$BK401,"")</f>
        <v/>
      </c>
    </row>
    <row r="1879" spans="25:27" x14ac:dyDescent="0.3">
      <c r="Y1879" s="48" t="str">
        <f ca="1">IF(AND('Planning Sheet'!BO402='Weeks Plan'!$D$6,'Planning Sheet'!BI402='Weeks Plan'!$G$6),'Planning Sheet'!$B402,"")</f>
        <v/>
      </c>
      <c r="Z1879" s="48" t="str">
        <f ca="1">IF(AND('Planning Sheet'!BO402='Weeks Plan'!$D$6,'Planning Sheet'!BI402='Weeks Plan'!$G$6),'Planning Sheet'!$BJ402,"")</f>
        <v/>
      </c>
      <c r="AA1879" s="48" t="str">
        <f ca="1">IF(AND('Planning Sheet'!BO402='Weeks Plan'!$D$6,'Planning Sheet'!BI402='Weeks Plan'!$G$6),'Planning Sheet'!$BK402,"")</f>
        <v/>
      </c>
    </row>
    <row r="1880" spans="25:27" x14ac:dyDescent="0.3">
      <c r="Y1880" s="48" t="str">
        <f ca="1">IF(AND('Planning Sheet'!BO403='Weeks Plan'!$D$6,'Planning Sheet'!BI403='Weeks Plan'!$G$6),'Planning Sheet'!$B403,"")</f>
        <v/>
      </c>
      <c r="Z1880" s="48" t="str">
        <f ca="1">IF(AND('Planning Sheet'!BO403='Weeks Plan'!$D$6,'Planning Sheet'!BI403='Weeks Plan'!$G$6),'Planning Sheet'!$BJ403,"")</f>
        <v/>
      </c>
      <c r="AA1880" s="48" t="str">
        <f ca="1">IF(AND('Planning Sheet'!BO403='Weeks Plan'!$D$6,'Planning Sheet'!BI403='Weeks Plan'!$G$6),'Planning Sheet'!$BK403,"")</f>
        <v/>
      </c>
    </row>
    <row r="1881" spans="25:27" x14ac:dyDescent="0.3">
      <c r="Y1881" s="48" t="str">
        <f ca="1">IF(AND('Planning Sheet'!BO404='Weeks Plan'!$D$6,'Planning Sheet'!BI404='Weeks Plan'!$G$6),'Planning Sheet'!$B404,"")</f>
        <v/>
      </c>
      <c r="Z1881" s="48" t="str">
        <f ca="1">IF(AND('Planning Sheet'!BO404='Weeks Plan'!$D$6,'Planning Sheet'!BI404='Weeks Plan'!$G$6),'Planning Sheet'!$BJ404,"")</f>
        <v/>
      </c>
      <c r="AA1881" s="48" t="str">
        <f ca="1">IF(AND('Planning Sheet'!BO404='Weeks Plan'!$D$6,'Planning Sheet'!BI404='Weeks Plan'!$G$6),'Planning Sheet'!$BK404,"")</f>
        <v/>
      </c>
    </row>
    <row r="1882" spans="25:27" x14ac:dyDescent="0.3">
      <c r="Y1882" s="48" t="str">
        <f ca="1">IF(AND('Planning Sheet'!BO405='Weeks Plan'!$D$6,'Planning Sheet'!BI405='Weeks Plan'!$G$6),'Planning Sheet'!$B405,"")</f>
        <v/>
      </c>
      <c r="Z1882" s="48" t="str">
        <f ca="1">IF(AND('Planning Sheet'!BO405='Weeks Plan'!$D$6,'Planning Sheet'!BI405='Weeks Plan'!$G$6),'Planning Sheet'!$BJ405,"")</f>
        <v/>
      </c>
      <c r="AA1882" s="48" t="str">
        <f ca="1">IF(AND('Planning Sheet'!BO405='Weeks Plan'!$D$6,'Planning Sheet'!BI405='Weeks Plan'!$G$6),'Planning Sheet'!$BK405,"")</f>
        <v/>
      </c>
    </row>
    <row r="1883" spans="25:27" x14ac:dyDescent="0.3">
      <c r="Y1883" s="48" t="str">
        <f ca="1">IF(AND('Planning Sheet'!BO406='Weeks Plan'!$D$6,'Planning Sheet'!BI406='Weeks Plan'!$G$6),'Planning Sheet'!$B406,"")</f>
        <v/>
      </c>
      <c r="Z1883" s="48" t="str">
        <f ca="1">IF(AND('Planning Sheet'!BO406='Weeks Plan'!$D$6,'Planning Sheet'!BI406='Weeks Plan'!$G$6),'Planning Sheet'!$BJ406,"")</f>
        <v/>
      </c>
      <c r="AA1883" s="48" t="str">
        <f ca="1">IF(AND('Planning Sheet'!BO406='Weeks Plan'!$D$6,'Planning Sheet'!BI406='Weeks Plan'!$G$6),'Planning Sheet'!$BK406,"")</f>
        <v/>
      </c>
    </row>
    <row r="1884" spans="25:27" x14ac:dyDescent="0.3">
      <c r="Y1884" s="48" t="str">
        <f ca="1">IF(AND('Planning Sheet'!BO407='Weeks Plan'!$D$6,'Planning Sheet'!BI407='Weeks Plan'!$G$6),'Planning Sheet'!$B407,"")</f>
        <v/>
      </c>
      <c r="Z1884" s="48" t="str">
        <f ca="1">IF(AND('Planning Sheet'!BO407='Weeks Plan'!$D$6,'Planning Sheet'!BI407='Weeks Plan'!$G$6),'Planning Sheet'!$BJ407,"")</f>
        <v/>
      </c>
      <c r="AA1884" s="48" t="str">
        <f ca="1">IF(AND('Planning Sheet'!BO407='Weeks Plan'!$D$6,'Planning Sheet'!BI407='Weeks Plan'!$G$6),'Planning Sheet'!$BK407,"")</f>
        <v/>
      </c>
    </row>
    <row r="1885" spans="25:27" x14ac:dyDescent="0.3">
      <c r="Y1885" s="48" t="str">
        <f ca="1">IF(AND('Planning Sheet'!BO408='Weeks Plan'!$D$6,'Planning Sheet'!BI408='Weeks Plan'!$G$6),'Planning Sheet'!$B408,"")</f>
        <v/>
      </c>
      <c r="Z1885" s="48" t="str">
        <f ca="1">IF(AND('Planning Sheet'!BO408='Weeks Plan'!$D$6,'Planning Sheet'!BI408='Weeks Plan'!$G$6),'Planning Sheet'!$BJ408,"")</f>
        <v/>
      </c>
      <c r="AA1885" s="48" t="str">
        <f ca="1">IF(AND('Planning Sheet'!BO408='Weeks Plan'!$D$6,'Planning Sheet'!BI408='Weeks Plan'!$G$6),'Planning Sheet'!$BK408,"")</f>
        <v/>
      </c>
    </row>
    <row r="1886" spans="25:27" x14ac:dyDescent="0.3">
      <c r="Y1886" s="48" t="str">
        <f ca="1">IF(AND('Planning Sheet'!BO409='Weeks Plan'!$D$6,'Planning Sheet'!BI409='Weeks Plan'!$G$6),'Planning Sheet'!$B409,"")</f>
        <v/>
      </c>
      <c r="Z1886" s="48" t="str">
        <f ca="1">IF(AND('Planning Sheet'!BO409='Weeks Plan'!$D$6,'Planning Sheet'!BI409='Weeks Plan'!$G$6),'Planning Sheet'!$BJ409,"")</f>
        <v/>
      </c>
      <c r="AA1886" s="48" t="str">
        <f ca="1">IF(AND('Planning Sheet'!BO409='Weeks Plan'!$D$6,'Planning Sheet'!BI409='Weeks Plan'!$G$6),'Planning Sheet'!$BK409,"")</f>
        <v/>
      </c>
    </row>
    <row r="1887" spans="25:27" x14ac:dyDescent="0.3">
      <c r="Y1887" s="48" t="str">
        <f ca="1">IF(AND('Planning Sheet'!BO410='Weeks Plan'!$D$6,'Planning Sheet'!BI410='Weeks Plan'!$G$6),'Planning Sheet'!$B410,"")</f>
        <v/>
      </c>
      <c r="Z1887" s="48" t="str">
        <f ca="1">IF(AND('Planning Sheet'!BO410='Weeks Plan'!$D$6,'Planning Sheet'!BI410='Weeks Plan'!$G$6),'Planning Sheet'!$BJ410,"")</f>
        <v/>
      </c>
      <c r="AA1887" s="48" t="str">
        <f ca="1">IF(AND('Planning Sheet'!BO410='Weeks Plan'!$D$6,'Planning Sheet'!BI410='Weeks Plan'!$G$6),'Planning Sheet'!$BK410,"")</f>
        <v/>
      </c>
    </row>
    <row r="1888" spans="25:27" x14ac:dyDescent="0.3">
      <c r="Y1888" s="48" t="str">
        <f ca="1">IF(AND('Planning Sheet'!BO411='Weeks Plan'!$D$6,'Planning Sheet'!BI411='Weeks Plan'!$G$6),'Planning Sheet'!$B411,"")</f>
        <v/>
      </c>
      <c r="Z1888" s="48" t="str">
        <f ca="1">IF(AND('Planning Sheet'!BO411='Weeks Plan'!$D$6,'Planning Sheet'!BI411='Weeks Plan'!$G$6),'Planning Sheet'!$BJ411,"")</f>
        <v/>
      </c>
      <c r="AA1888" s="48" t="str">
        <f ca="1">IF(AND('Planning Sheet'!BO411='Weeks Plan'!$D$6,'Planning Sheet'!BI411='Weeks Plan'!$G$6),'Planning Sheet'!$BK411,"")</f>
        <v/>
      </c>
    </row>
    <row r="1889" spans="25:27" x14ac:dyDescent="0.3">
      <c r="Y1889" s="48" t="str">
        <f ca="1">IF(AND('Planning Sheet'!BO412='Weeks Plan'!$D$6,'Planning Sheet'!BI412='Weeks Plan'!$G$6),'Planning Sheet'!$B412,"")</f>
        <v/>
      </c>
      <c r="Z1889" s="48" t="str">
        <f ca="1">IF(AND('Planning Sheet'!BO412='Weeks Plan'!$D$6,'Planning Sheet'!BI412='Weeks Plan'!$G$6),'Planning Sheet'!$BJ412,"")</f>
        <v/>
      </c>
      <c r="AA1889" s="48" t="str">
        <f ca="1">IF(AND('Planning Sheet'!BO412='Weeks Plan'!$D$6,'Planning Sheet'!BI412='Weeks Plan'!$G$6),'Planning Sheet'!$BK412,"")</f>
        <v/>
      </c>
    </row>
    <row r="1890" spans="25:27" x14ac:dyDescent="0.3">
      <c r="Y1890" s="48" t="str">
        <f ca="1">IF(AND('Planning Sheet'!BO413='Weeks Plan'!$D$6,'Planning Sheet'!BI413='Weeks Plan'!$G$6),'Planning Sheet'!$B413,"")</f>
        <v/>
      </c>
      <c r="Z1890" s="48" t="str">
        <f ca="1">IF(AND('Planning Sheet'!BO413='Weeks Plan'!$D$6,'Planning Sheet'!BI413='Weeks Plan'!$G$6),'Planning Sheet'!$BJ413,"")</f>
        <v/>
      </c>
      <c r="AA1890" s="48" t="str">
        <f ca="1">IF(AND('Planning Sheet'!BO413='Weeks Plan'!$D$6,'Planning Sheet'!BI413='Weeks Plan'!$G$6),'Planning Sheet'!$BK413,"")</f>
        <v/>
      </c>
    </row>
    <row r="1891" spans="25:27" x14ac:dyDescent="0.3">
      <c r="Y1891" s="48" t="str">
        <f ca="1">IF(AND('Planning Sheet'!BO414='Weeks Plan'!$D$6,'Planning Sheet'!BI414='Weeks Plan'!$G$6),'Planning Sheet'!$B414,"")</f>
        <v/>
      </c>
      <c r="Z1891" s="48" t="str">
        <f ca="1">IF(AND('Planning Sheet'!BO414='Weeks Plan'!$D$6,'Planning Sheet'!BI414='Weeks Plan'!$G$6),'Planning Sheet'!$BJ414,"")</f>
        <v/>
      </c>
      <c r="AA1891" s="48" t="str">
        <f ca="1">IF(AND('Planning Sheet'!BO414='Weeks Plan'!$D$6,'Planning Sheet'!BI414='Weeks Plan'!$G$6),'Planning Sheet'!$BK414,"")</f>
        <v/>
      </c>
    </row>
    <row r="1892" spans="25:27" x14ac:dyDescent="0.3">
      <c r="Y1892" s="48" t="str">
        <f ca="1">IF(AND('Planning Sheet'!BO415='Weeks Plan'!$D$6,'Planning Sheet'!BI415='Weeks Plan'!$G$6),'Planning Sheet'!$B415,"")</f>
        <v/>
      </c>
      <c r="Z1892" s="48" t="str">
        <f ca="1">IF(AND('Planning Sheet'!BO415='Weeks Plan'!$D$6,'Planning Sheet'!BI415='Weeks Plan'!$G$6),'Planning Sheet'!$BJ415,"")</f>
        <v/>
      </c>
      <c r="AA1892" s="48" t="str">
        <f ca="1">IF(AND('Planning Sheet'!BO415='Weeks Plan'!$D$6,'Planning Sheet'!BI415='Weeks Plan'!$G$6),'Planning Sheet'!$BK415,"")</f>
        <v/>
      </c>
    </row>
    <row r="1893" spans="25:27" x14ac:dyDescent="0.3">
      <c r="Y1893" s="48" t="str">
        <f ca="1">IF(AND('Planning Sheet'!BO416='Weeks Plan'!$D$6,'Planning Sheet'!BI416='Weeks Plan'!$G$6),'Planning Sheet'!$B416,"")</f>
        <v/>
      </c>
      <c r="Z1893" s="48" t="str">
        <f ca="1">IF(AND('Planning Sheet'!BO416='Weeks Plan'!$D$6,'Planning Sheet'!BI416='Weeks Plan'!$G$6),'Planning Sheet'!$BJ416,"")</f>
        <v/>
      </c>
      <c r="AA1893" s="48" t="str">
        <f ca="1">IF(AND('Planning Sheet'!BO416='Weeks Plan'!$D$6,'Planning Sheet'!BI416='Weeks Plan'!$G$6),'Planning Sheet'!$BK416,"")</f>
        <v/>
      </c>
    </row>
    <row r="1894" spans="25:27" x14ac:dyDescent="0.3">
      <c r="Y1894" s="48" t="str">
        <f ca="1">IF(AND('Planning Sheet'!BO417='Weeks Plan'!$D$6,'Planning Sheet'!BI417='Weeks Plan'!$G$6),'Planning Sheet'!$B417,"")</f>
        <v/>
      </c>
      <c r="Z1894" s="48" t="str">
        <f ca="1">IF(AND('Planning Sheet'!BO417='Weeks Plan'!$D$6,'Planning Sheet'!BI417='Weeks Plan'!$G$6),'Planning Sheet'!$BJ417,"")</f>
        <v/>
      </c>
      <c r="AA1894" s="48" t="str">
        <f ca="1">IF(AND('Planning Sheet'!BO417='Weeks Plan'!$D$6,'Planning Sheet'!BI417='Weeks Plan'!$G$6),'Planning Sheet'!$BK417,"")</f>
        <v/>
      </c>
    </row>
    <row r="1895" spans="25:27" x14ac:dyDescent="0.3">
      <c r="Y1895" s="48" t="str">
        <f ca="1">IF(AND('Planning Sheet'!BO418='Weeks Plan'!$D$6,'Planning Sheet'!BI418='Weeks Plan'!$G$6),'Planning Sheet'!$B418,"")</f>
        <v/>
      </c>
      <c r="Z1895" s="48" t="str">
        <f ca="1">IF(AND('Planning Sheet'!BO418='Weeks Plan'!$D$6,'Planning Sheet'!BI418='Weeks Plan'!$G$6),'Planning Sheet'!$BJ418,"")</f>
        <v/>
      </c>
      <c r="AA1895" s="48" t="str">
        <f ca="1">IF(AND('Planning Sheet'!BO418='Weeks Plan'!$D$6,'Planning Sheet'!BI418='Weeks Plan'!$G$6),'Planning Sheet'!$BK418,"")</f>
        <v/>
      </c>
    </row>
    <row r="1896" spans="25:27" x14ac:dyDescent="0.3">
      <c r="Y1896" s="48" t="str">
        <f ca="1">IF(AND('Planning Sheet'!BO419='Weeks Plan'!$D$6,'Planning Sheet'!BI419='Weeks Plan'!$G$6),'Planning Sheet'!$B419,"")</f>
        <v/>
      </c>
      <c r="Z1896" s="48" t="str">
        <f ca="1">IF(AND('Planning Sheet'!BO419='Weeks Plan'!$D$6,'Planning Sheet'!BI419='Weeks Plan'!$G$6),'Planning Sheet'!$BJ419,"")</f>
        <v/>
      </c>
      <c r="AA1896" s="48" t="str">
        <f ca="1">IF(AND('Planning Sheet'!BO419='Weeks Plan'!$D$6,'Planning Sheet'!BI419='Weeks Plan'!$G$6),'Planning Sheet'!$BK419,"")</f>
        <v/>
      </c>
    </row>
    <row r="1897" spans="25:27" x14ac:dyDescent="0.3">
      <c r="Y1897" s="48" t="str">
        <f ca="1">IF(AND('Planning Sheet'!BO420='Weeks Plan'!$D$6,'Planning Sheet'!BI420='Weeks Plan'!$G$6),'Planning Sheet'!$B420,"")</f>
        <v/>
      </c>
      <c r="Z1897" s="48" t="str">
        <f ca="1">IF(AND('Planning Sheet'!BO420='Weeks Plan'!$D$6,'Planning Sheet'!BI420='Weeks Plan'!$G$6),'Planning Sheet'!$BJ420,"")</f>
        <v/>
      </c>
      <c r="AA1897" s="48" t="str">
        <f ca="1">IF(AND('Planning Sheet'!BO420='Weeks Plan'!$D$6,'Planning Sheet'!BI420='Weeks Plan'!$G$6),'Planning Sheet'!$BK420,"")</f>
        <v/>
      </c>
    </row>
    <row r="1898" spans="25:27" x14ac:dyDescent="0.3">
      <c r="Y1898" s="48" t="str">
        <f ca="1">IF(AND('Planning Sheet'!BO421='Weeks Plan'!$D$6,'Planning Sheet'!BI421='Weeks Plan'!$G$6),'Planning Sheet'!$B421,"")</f>
        <v/>
      </c>
      <c r="Z1898" s="48" t="str">
        <f ca="1">IF(AND('Planning Sheet'!BO421='Weeks Plan'!$D$6,'Planning Sheet'!BI421='Weeks Plan'!$G$6),'Planning Sheet'!$BJ421,"")</f>
        <v/>
      </c>
      <c r="AA1898" s="48" t="str">
        <f ca="1">IF(AND('Planning Sheet'!BO421='Weeks Plan'!$D$6,'Planning Sheet'!BI421='Weeks Plan'!$G$6),'Planning Sheet'!$BK421,"")</f>
        <v/>
      </c>
    </row>
    <row r="1899" spans="25:27" x14ac:dyDescent="0.3">
      <c r="Y1899" s="48" t="str">
        <f ca="1">IF(AND('Planning Sheet'!BO422='Weeks Plan'!$D$6,'Planning Sheet'!BI422='Weeks Plan'!$G$6),'Planning Sheet'!$B422,"")</f>
        <v/>
      </c>
      <c r="Z1899" s="48" t="str">
        <f ca="1">IF(AND('Planning Sheet'!BO422='Weeks Plan'!$D$6,'Planning Sheet'!BI422='Weeks Plan'!$G$6),'Planning Sheet'!$BJ422,"")</f>
        <v/>
      </c>
      <c r="AA1899" s="48" t="str">
        <f ca="1">IF(AND('Planning Sheet'!BO422='Weeks Plan'!$D$6,'Planning Sheet'!BI422='Weeks Plan'!$G$6),'Planning Sheet'!$BK422,"")</f>
        <v/>
      </c>
    </row>
    <row r="1900" spans="25:27" x14ac:dyDescent="0.3">
      <c r="Y1900" s="48" t="str">
        <f ca="1">IF(AND('Planning Sheet'!BO423='Weeks Plan'!$D$6,'Planning Sheet'!BI423='Weeks Plan'!$G$6),'Planning Sheet'!$B423,"")</f>
        <v/>
      </c>
      <c r="Z1900" s="48" t="str">
        <f ca="1">IF(AND('Planning Sheet'!BO423='Weeks Plan'!$D$6,'Planning Sheet'!BI423='Weeks Plan'!$G$6),'Planning Sheet'!$BJ423,"")</f>
        <v/>
      </c>
      <c r="AA1900" s="48" t="str">
        <f ca="1">IF(AND('Planning Sheet'!BO423='Weeks Plan'!$D$6,'Planning Sheet'!BI423='Weeks Plan'!$G$6),'Planning Sheet'!$BK423,"")</f>
        <v/>
      </c>
    </row>
    <row r="1901" spans="25:27" x14ac:dyDescent="0.3">
      <c r="Y1901" s="48" t="str">
        <f ca="1">IF(AND('Planning Sheet'!BO424='Weeks Plan'!$D$6,'Planning Sheet'!BI424='Weeks Plan'!$G$6),'Planning Sheet'!$B424,"")</f>
        <v/>
      </c>
      <c r="Z1901" s="48" t="str">
        <f ca="1">IF(AND('Planning Sheet'!BO424='Weeks Plan'!$D$6,'Planning Sheet'!BI424='Weeks Plan'!$G$6),'Planning Sheet'!$BJ424,"")</f>
        <v/>
      </c>
      <c r="AA1901" s="48" t="str">
        <f ca="1">IF(AND('Planning Sheet'!BO424='Weeks Plan'!$D$6,'Planning Sheet'!BI424='Weeks Plan'!$G$6),'Planning Sheet'!$BK424,"")</f>
        <v/>
      </c>
    </row>
    <row r="1902" spans="25:27" x14ac:dyDescent="0.3">
      <c r="Y1902" s="48" t="str">
        <f ca="1">IF(AND('Planning Sheet'!BO425='Weeks Plan'!$D$6,'Planning Sheet'!BI425='Weeks Plan'!$G$6),'Planning Sheet'!$B425,"")</f>
        <v/>
      </c>
      <c r="Z1902" s="48" t="str">
        <f ca="1">IF(AND('Planning Sheet'!BO425='Weeks Plan'!$D$6,'Planning Sheet'!BI425='Weeks Plan'!$G$6),'Planning Sheet'!$BJ425,"")</f>
        <v/>
      </c>
      <c r="AA1902" s="48" t="str">
        <f ca="1">IF(AND('Planning Sheet'!BO425='Weeks Plan'!$D$6,'Planning Sheet'!BI425='Weeks Plan'!$G$6),'Planning Sheet'!$BK425,"")</f>
        <v/>
      </c>
    </row>
    <row r="1903" spans="25:27" x14ac:dyDescent="0.3">
      <c r="Y1903" s="48" t="str">
        <f ca="1">IF(AND('Planning Sheet'!BO426='Weeks Plan'!$D$6,'Planning Sheet'!BI426='Weeks Plan'!$G$6),'Planning Sheet'!$B426,"")</f>
        <v/>
      </c>
      <c r="Z1903" s="48" t="str">
        <f ca="1">IF(AND('Planning Sheet'!BO426='Weeks Plan'!$D$6,'Planning Sheet'!BI426='Weeks Plan'!$G$6),'Planning Sheet'!$BJ426,"")</f>
        <v/>
      </c>
      <c r="AA1903" s="48" t="str">
        <f ca="1">IF(AND('Planning Sheet'!BO426='Weeks Plan'!$D$6,'Planning Sheet'!BI426='Weeks Plan'!$G$6),'Planning Sheet'!$BK426,"")</f>
        <v/>
      </c>
    </row>
    <row r="1904" spans="25:27" x14ac:dyDescent="0.3">
      <c r="Y1904" s="48" t="str">
        <f ca="1">IF(AND('Planning Sheet'!BO427='Weeks Plan'!$D$6,'Planning Sheet'!BI427='Weeks Plan'!$G$6),'Planning Sheet'!$B427,"")</f>
        <v/>
      </c>
      <c r="Z1904" s="48" t="str">
        <f ca="1">IF(AND('Planning Sheet'!BO427='Weeks Plan'!$D$6,'Planning Sheet'!BI427='Weeks Plan'!$G$6),'Planning Sheet'!$BJ427,"")</f>
        <v/>
      </c>
      <c r="AA1904" s="48" t="str">
        <f ca="1">IF(AND('Planning Sheet'!BO427='Weeks Plan'!$D$6,'Planning Sheet'!BI427='Weeks Plan'!$G$6),'Planning Sheet'!$BK427,"")</f>
        <v/>
      </c>
    </row>
    <row r="1905" spans="25:27" x14ac:dyDescent="0.3">
      <c r="Y1905" s="48" t="str">
        <f ca="1">IF(AND('Planning Sheet'!BO428='Weeks Plan'!$D$6,'Planning Sheet'!BI428='Weeks Plan'!$G$6),'Planning Sheet'!$B428,"")</f>
        <v/>
      </c>
      <c r="Z1905" s="48" t="str">
        <f ca="1">IF(AND('Planning Sheet'!BO428='Weeks Plan'!$D$6,'Planning Sheet'!BI428='Weeks Plan'!$G$6),'Planning Sheet'!$BJ428,"")</f>
        <v/>
      </c>
      <c r="AA1905" s="48" t="str">
        <f ca="1">IF(AND('Planning Sheet'!BO428='Weeks Plan'!$D$6,'Planning Sheet'!BI428='Weeks Plan'!$G$6),'Planning Sheet'!$BK428,"")</f>
        <v/>
      </c>
    </row>
    <row r="1906" spans="25:27" x14ac:dyDescent="0.3">
      <c r="Y1906" s="48" t="str">
        <f ca="1">IF(AND('Planning Sheet'!BO429='Weeks Plan'!$D$6,'Planning Sheet'!BI429='Weeks Plan'!$G$6),'Planning Sheet'!$B429,"")</f>
        <v/>
      </c>
      <c r="Z1906" s="48" t="str">
        <f ca="1">IF(AND('Planning Sheet'!BO429='Weeks Plan'!$D$6,'Planning Sheet'!BI429='Weeks Plan'!$G$6),'Planning Sheet'!$BJ429,"")</f>
        <v/>
      </c>
      <c r="AA1906" s="48" t="str">
        <f ca="1">IF(AND('Planning Sheet'!BO429='Weeks Plan'!$D$6,'Planning Sheet'!BI429='Weeks Plan'!$G$6),'Planning Sheet'!$BK429,"")</f>
        <v/>
      </c>
    </row>
    <row r="1907" spans="25:27" x14ac:dyDescent="0.3">
      <c r="Y1907" s="48" t="str">
        <f ca="1">IF(AND('Planning Sheet'!BO430='Weeks Plan'!$D$6,'Planning Sheet'!BI430='Weeks Plan'!$G$6),'Planning Sheet'!$B430,"")</f>
        <v/>
      </c>
      <c r="Z1907" s="48" t="str">
        <f ca="1">IF(AND('Planning Sheet'!BO430='Weeks Plan'!$D$6,'Planning Sheet'!BI430='Weeks Plan'!$G$6),'Planning Sheet'!$BJ430,"")</f>
        <v/>
      </c>
      <c r="AA1907" s="48" t="str">
        <f ca="1">IF(AND('Planning Sheet'!BO430='Weeks Plan'!$D$6,'Planning Sheet'!BI430='Weeks Plan'!$G$6),'Planning Sheet'!$BK430,"")</f>
        <v/>
      </c>
    </row>
    <row r="1908" spans="25:27" x14ac:dyDescent="0.3">
      <c r="Y1908" s="48" t="str">
        <f ca="1">IF(AND('Planning Sheet'!BO431='Weeks Plan'!$D$6,'Planning Sheet'!BI431='Weeks Plan'!$G$6),'Planning Sheet'!$B431,"")</f>
        <v/>
      </c>
      <c r="Z1908" s="48" t="str">
        <f ca="1">IF(AND('Planning Sheet'!BO431='Weeks Plan'!$D$6,'Planning Sheet'!BI431='Weeks Plan'!$G$6),'Planning Sheet'!$BJ431,"")</f>
        <v/>
      </c>
      <c r="AA1908" s="48" t="str">
        <f ca="1">IF(AND('Planning Sheet'!BO431='Weeks Plan'!$D$6,'Planning Sheet'!BI431='Weeks Plan'!$G$6),'Planning Sheet'!$BK431,"")</f>
        <v/>
      </c>
    </row>
    <row r="1909" spans="25:27" x14ac:dyDescent="0.3">
      <c r="Y1909" s="48" t="str">
        <f ca="1">IF(AND('Planning Sheet'!BO432='Weeks Plan'!$D$6,'Planning Sheet'!BI432='Weeks Plan'!$G$6),'Planning Sheet'!$B432,"")</f>
        <v/>
      </c>
      <c r="Z1909" s="48" t="str">
        <f ca="1">IF(AND('Planning Sheet'!BO432='Weeks Plan'!$D$6,'Planning Sheet'!BI432='Weeks Plan'!$G$6),'Planning Sheet'!$BJ432,"")</f>
        <v/>
      </c>
      <c r="AA1909" s="48" t="str">
        <f ca="1">IF(AND('Planning Sheet'!BO432='Weeks Plan'!$D$6,'Planning Sheet'!BI432='Weeks Plan'!$G$6),'Planning Sheet'!$BK432,"")</f>
        <v/>
      </c>
    </row>
    <row r="1910" spans="25:27" x14ac:dyDescent="0.3">
      <c r="Y1910" s="48" t="str">
        <f ca="1">IF(AND('Planning Sheet'!BO433='Weeks Plan'!$D$6,'Planning Sheet'!BI433='Weeks Plan'!$G$6),'Planning Sheet'!$B433,"")</f>
        <v/>
      </c>
      <c r="Z1910" s="48" t="str">
        <f ca="1">IF(AND('Planning Sheet'!BO433='Weeks Plan'!$D$6,'Planning Sheet'!BI433='Weeks Plan'!$G$6),'Planning Sheet'!$BJ433,"")</f>
        <v/>
      </c>
      <c r="AA1910" s="48" t="str">
        <f ca="1">IF(AND('Planning Sheet'!BO433='Weeks Plan'!$D$6,'Planning Sheet'!BI433='Weeks Plan'!$G$6),'Planning Sheet'!$BK433,"")</f>
        <v/>
      </c>
    </row>
    <row r="1911" spans="25:27" x14ac:dyDescent="0.3">
      <c r="Y1911" s="48" t="str">
        <f ca="1">IF(AND('Planning Sheet'!BO434='Weeks Plan'!$D$6,'Planning Sheet'!BI434='Weeks Plan'!$G$6),'Planning Sheet'!$B434,"")</f>
        <v/>
      </c>
      <c r="Z1911" s="48" t="str">
        <f ca="1">IF(AND('Planning Sheet'!BO434='Weeks Plan'!$D$6,'Planning Sheet'!BI434='Weeks Plan'!$G$6),'Planning Sheet'!$BJ434,"")</f>
        <v/>
      </c>
      <c r="AA1911" s="48" t="str">
        <f ca="1">IF(AND('Planning Sheet'!BO434='Weeks Plan'!$D$6,'Planning Sheet'!BI434='Weeks Plan'!$G$6),'Planning Sheet'!$BK434,"")</f>
        <v/>
      </c>
    </row>
    <row r="1912" spans="25:27" x14ac:dyDescent="0.3">
      <c r="Y1912" s="48" t="str">
        <f ca="1">IF(AND('Planning Sheet'!BO435='Weeks Plan'!$D$6,'Planning Sheet'!BI435='Weeks Plan'!$G$6),'Planning Sheet'!$B435,"")</f>
        <v/>
      </c>
      <c r="Z1912" s="48" t="str">
        <f ca="1">IF(AND('Planning Sheet'!BO435='Weeks Plan'!$D$6,'Planning Sheet'!BI435='Weeks Plan'!$G$6),'Planning Sheet'!$BJ435,"")</f>
        <v/>
      </c>
      <c r="AA1912" s="48" t="str">
        <f ca="1">IF(AND('Planning Sheet'!BO435='Weeks Plan'!$D$6,'Planning Sheet'!BI435='Weeks Plan'!$G$6),'Planning Sheet'!$BK435,"")</f>
        <v/>
      </c>
    </row>
    <row r="1913" spans="25:27" x14ac:dyDescent="0.3">
      <c r="Y1913" s="48" t="str">
        <f ca="1">IF(AND('Planning Sheet'!BO436='Weeks Plan'!$D$6,'Planning Sheet'!BI436='Weeks Plan'!$G$6),'Planning Sheet'!$B436,"")</f>
        <v/>
      </c>
      <c r="Z1913" s="48" t="str">
        <f ca="1">IF(AND('Planning Sheet'!BO436='Weeks Plan'!$D$6,'Planning Sheet'!BI436='Weeks Plan'!$G$6),'Planning Sheet'!$BJ436,"")</f>
        <v/>
      </c>
      <c r="AA1913" s="48" t="str">
        <f ca="1">IF(AND('Planning Sheet'!BO436='Weeks Plan'!$D$6,'Planning Sheet'!BI436='Weeks Plan'!$G$6),'Planning Sheet'!$BK436,"")</f>
        <v/>
      </c>
    </row>
    <row r="1914" spans="25:27" x14ac:dyDescent="0.3">
      <c r="Y1914" s="48" t="str">
        <f ca="1">IF(AND('Planning Sheet'!BO437='Weeks Plan'!$D$6,'Planning Sheet'!BI437='Weeks Plan'!$G$6),'Planning Sheet'!$B437,"")</f>
        <v/>
      </c>
      <c r="Z1914" s="48" t="str">
        <f ca="1">IF(AND('Planning Sheet'!BO437='Weeks Plan'!$D$6,'Planning Sheet'!BI437='Weeks Plan'!$G$6),'Planning Sheet'!$BJ437,"")</f>
        <v/>
      </c>
      <c r="AA1914" s="48" t="str">
        <f ca="1">IF(AND('Planning Sheet'!BO437='Weeks Plan'!$D$6,'Planning Sheet'!BI437='Weeks Plan'!$G$6),'Planning Sheet'!$BK437,"")</f>
        <v/>
      </c>
    </row>
    <row r="1915" spans="25:27" x14ac:dyDescent="0.3">
      <c r="Y1915" s="48" t="str">
        <f ca="1">IF(AND('Planning Sheet'!BO438='Weeks Plan'!$D$6,'Planning Sheet'!BI438='Weeks Plan'!$G$6),'Planning Sheet'!$B438,"")</f>
        <v/>
      </c>
      <c r="Z1915" s="48" t="str">
        <f ca="1">IF(AND('Planning Sheet'!BO438='Weeks Plan'!$D$6,'Planning Sheet'!BI438='Weeks Plan'!$G$6),'Planning Sheet'!$BJ438,"")</f>
        <v/>
      </c>
      <c r="AA1915" s="48" t="str">
        <f ca="1">IF(AND('Planning Sheet'!BO438='Weeks Plan'!$D$6,'Planning Sheet'!BI438='Weeks Plan'!$G$6),'Planning Sheet'!$BK438,"")</f>
        <v/>
      </c>
    </row>
    <row r="1916" spans="25:27" x14ac:dyDescent="0.3">
      <c r="Y1916" s="48" t="str">
        <f ca="1">IF(AND('Planning Sheet'!BO439='Weeks Plan'!$D$6,'Planning Sheet'!BI439='Weeks Plan'!$G$6),'Planning Sheet'!$B439,"")</f>
        <v/>
      </c>
      <c r="Z1916" s="48" t="str">
        <f ca="1">IF(AND('Planning Sheet'!BO439='Weeks Plan'!$D$6,'Planning Sheet'!BI439='Weeks Plan'!$G$6),'Planning Sheet'!$BJ439,"")</f>
        <v/>
      </c>
      <c r="AA1916" s="48" t="str">
        <f ca="1">IF(AND('Planning Sheet'!BO439='Weeks Plan'!$D$6,'Planning Sheet'!BI439='Weeks Plan'!$G$6),'Planning Sheet'!$BK439,"")</f>
        <v/>
      </c>
    </row>
    <row r="1917" spans="25:27" x14ac:dyDescent="0.3">
      <c r="Y1917" s="48" t="str">
        <f ca="1">IF(AND('Planning Sheet'!BO440='Weeks Plan'!$D$6,'Planning Sheet'!BI440='Weeks Plan'!$G$6),'Planning Sheet'!$B440,"")</f>
        <v/>
      </c>
      <c r="Z1917" s="48" t="str">
        <f ca="1">IF(AND('Planning Sheet'!BO440='Weeks Plan'!$D$6,'Planning Sheet'!BI440='Weeks Plan'!$G$6),'Planning Sheet'!$BJ440,"")</f>
        <v/>
      </c>
      <c r="AA1917" s="48" t="str">
        <f ca="1">IF(AND('Planning Sheet'!BO440='Weeks Plan'!$D$6,'Planning Sheet'!BI440='Weeks Plan'!$G$6),'Planning Sheet'!$BK440,"")</f>
        <v/>
      </c>
    </row>
    <row r="1918" spans="25:27" x14ac:dyDescent="0.3">
      <c r="Y1918" s="48" t="str">
        <f ca="1">IF(AND('Planning Sheet'!BO441='Weeks Plan'!$D$6,'Planning Sheet'!BI441='Weeks Plan'!$G$6),'Planning Sheet'!$B441,"")</f>
        <v/>
      </c>
      <c r="Z1918" s="48" t="str">
        <f ca="1">IF(AND('Planning Sheet'!BO441='Weeks Plan'!$D$6,'Planning Sheet'!BI441='Weeks Plan'!$G$6),'Planning Sheet'!$BJ441,"")</f>
        <v/>
      </c>
      <c r="AA1918" s="48" t="str">
        <f ca="1">IF(AND('Planning Sheet'!BO441='Weeks Plan'!$D$6,'Planning Sheet'!BI441='Weeks Plan'!$G$6),'Planning Sheet'!$BK441,"")</f>
        <v/>
      </c>
    </row>
    <row r="1919" spans="25:27" x14ac:dyDescent="0.3">
      <c r="Y1919" s="48" t="str">
        <f ca="1">IF(AND('Planning Sheet'!BO442='Weeks Plan'!$D$6,'Planning Sheet'!BI442='Weeks Plan'!$G$6),'Planning Sheet'!$B442,"")</f>
        <v/>
      </c>
      <c r="Z1919" s="48" t="str">
        <f ca="1">IF(AND('Planning Sheet'!BO442='Weeks Plan'!$D$6,'Planning Sheet'!BI442='Weeks Plan'!$G$6),'Planning Sheet'!$BJ442,"")</f>
        <v/>
      </c>
      <c r="AA1919" s="48" t="str">
        <f ca="1">IF(AND('Planning Sheet'!BO442='Weeks Plan'!$D$6,'Planning Sheet'!BI442='Weeks Plan'!$G$6),'Planning Sheet'!$BK442,"")</f>
        <v/>
      </c>
    </row>
    <row r="1920" spans="25:27" x14ac:dyDescent="0.3">
      <c r="Y1920" s="48" t="str">
        <f ca="1">IF(AND('Planning Sheet'!BO443='Weeks Plan'!$D$6,'Planning Sheet'!BI443='Weeks Plan'!$G$6),'Planning Sheet'!$B443,"")</f>
        <v/>
      </c>
      <c r="Z1920" s="48" t="str">
        <f ca="1">IF(AND('Planning Sheet'!BO443='Weeks Plan'!$D$6,'Planning Sheet'!BI443='Weeks Plan'!$G$6),'Planning Sheet'!$BJ443,"")</f>
        <v/>
      </c>
      <c r="AA1920" s="48" t="str">
        <f ca="1">IF(AND('Planning Sheet'!BO443='Weeks Plan'!$D$6,'Planning Sheet'!BI443='Weeks Plan'!$G$6),'Planning Sheet'!$BK443,"")</f>
        <v/>
      </c>
    </row>
    <row r="1921" spans="25:27" x14ac:dyDescent="0.3">
      <c r="Y1921" s="48" t="str">
        <f ca="1">IF(AND('Planning Sheet'!BO444='Weeks Plan'!$D$6,'Planning Sheet'!BI444='Weeks Plan'!$G$6),'Planning Sheet'!$B444,"")</f>
        <v/>
      </c>
      <c r="Z1921" s="48" t="str">
        <f ca="1">IF(AND('Planning Sheet'!BO444='Weeks Plan'!$D$6,'Planning Sheet'!BI444='Weeks Plan'!$G$6),'Planning Sheet'!$BJ444,"")</f>
        <v/>
      </c>
      <c r="AA1921" s="48" t="str">
        <f ca="1">IF(AND('Planning Sheet'!BO444='Weeks Plan'!$D$6,'Planning Sheet'!BI444='Weeks Plan'!$G$6),'Planning Sheet'!$BK444,"")</f>
        <v/>
      </c>
    </row>
    <row r="1922" spans="25:27" x14ac:dyDescent="0.3">
      <c r="Y1922" s="48" t="str">
        <f ca="1">IF(AND('Planning Sheet'!BO445='Weeks Plan'!$D$6,'Planning Sheet'!BI445='Weeks Plan'!$G$6),'Planning Sheet'!$B445,"")</f>
        <v/>
      </c>
      <c r="Z1922" s="48" t="str">
        <f ca="1">IF(AND('Planning Sheet'!BO445='Weeks Plan'!$D$6,'Planning Sheet'!BI445='Weeks Plan'!$G$6),'Planning Sheet'!$BJ445,"")</f>
        <v/>
      </c>
      <c r="AA1922" s="48" t="str">
        <f ca="1">IF(AND('Planning Sheet'!BO445='Weeks Plan'!$D$6,'Planning Sheet'!BI445='Weeks Plan'!$G$6),'Planning Sheet'!$BK445,"")</f>
        <v/>
      </c>
    </row>
    <row r="1923" spans="25:27" x14ac:dyDescent="0.3">
      <c r="Y1923" s="48" t="str">
        <f ca="1">IF(AND('Planning Sheet'!BO446='Weeks Plan'!$D$6,'Planning Sheet'!BI446='Weeks Plan'!$G$6),'Planning Sheet'!$B446,"")</f>
        <v/>
      </c>
      <c r="Z1923" s="48" t="str">
        <f ca="1">IF(AND('Planning Sheet'!BO446='Weeks Plan'!$D$6,'Planning Sheet'!BI446='Weeks Plan'!$G$6),'Planning Sheet'!$BJ446,"")</f>
        <v/>
      </c>
      <c r="AA1923" s="48" t="str">
        <f ca="1">IF(AND('Planning Sheet'!BO446='Weeks Plan'!$D$6,'Planning Sheet'!BI446='Weeks Plan'!$G$6),'Planning Sheet'!$BK446,"")</f>
        <v/>
      </c>
    </row>
    <row r="1924" spans="25:27" x14ac:dyDescent="0.3">
      <c r="Y1924" s="48" t="str">
        <f ca="1">IF(AND('Planning Sheet'!BO447='Weeks Plan'!$D$6,'Planning Sheet'!BI447='Weeks Plan'!$G$6),'Planning Sheet'!$B447,"")</f>
        <v/>
      </c>
      <c r="Z1924" s="48" t="str">
        <f ca="1">IF(AND('Planning Sheet'!BO447='Weeks Plan'!$D$6,'Planning Sheet'!BI447='Weeks Plan'!$G$6),'Planning Sheet'!$BJ447,"")</f>
        <v/>
      </c>
      <c r="AA1924" s="48" t="str">
        <f ca="1">IF(AND('Planning Sheet'!BO447='Weeks Plan'!$D$6,'Planning Sheet'!BI447='Weeks Plan'!$G$6),'Planning Sheet'!$BK447,"")</f>
        <v/>
      </c>
    </row>
    <row r="1925" spans="25:27" x14ac:dyDescent="0.3">
      <c r="Y1925" s="48" t="str">
        <f ca="1">IF(AND('Planning Sheet'!BO448='Weeks Plan'!$D$6,'Planning Sheet'!BI448='Weeks Plan'!$G$6),'Planning Sheet'!$B448,"")</f>
        <v/>
      </c>
      <c r="Z1925" s="48" t="str">
        <f ca="1">IF(AND('Planning Sheet'!BO448='Weeks Plan'!$D$6,'Planning Sheet'!BI448='Weeks Plan'!$G$6),'Planning Sheet'!$BJ448,"")</f>
        <v/>
      </c>
      <c r="AA1925" s="48" t="str">
        <f ca="1">IF(AND('Planning Sheet'!BO448='Weeks Plan'!$D$6,'Planning Sheet'!BI448='Weeks Plan'!$G$6),'Planning Sheet'!$BK448,"")</f>
        <v/>
      </c>
    </row>
    <row r="1926" spans="25:27" x14ac:dyDescent="0.3">
      <c r="Y1926" s="48" t="str">
        <f ca="1">IF(AND('Planning Sheet'!BO449='Weeks Plan'!$D$6,'Planning Sheet'!BI449='Weeks Plan'!$G$6),'Planning Sheet'!$B449,"")</f>
        <v/>
      </c>
      <c r="Z1926" s="48" t="str">
        <f ca="1">IF(AND('Planning Sheet'!BO449='Weeks Plan'!$D$6,'Planning Sheet'!BI449='Weeks Plan'!$G$6),'Planning Sheet'!$BJ449,"")</f>
        <v/>
      </c>
      <c r="AA1926" s="48" t="str">
        <f ca="1">IF(AND('Planning Sheet'!BO449='Weeks Plan'!$D$6,'Planning Sheet'!BI449='Weeks Plan'!$G$6),'Planning Sheet'!$BK449,"")</f>
        <v/>
      </c>
    </row>
    <row r="1927" spans="25:27" x14ac:dyDescent="0.3">
      <c r="Y1927" s="48" t="str">
        <f ca="1">IF(AND('Planning Sheet'!BO450='Weeks Plan'!$D$6,'Planning Sheet'!BI450='Weeks Plan'!$G$6),'Planning Sheet'!$B450,"")</f>
        <v/>
      </c>
      <c r="Z1927" s="48" t="str">
        <f ca="1">IF(AND('Planning Sheet'!BO450='Weeks Plan'!$D$6,'Planning Sheet'!BI450='Weeks Plan'!$G$6),'Planning Sheet'!$BJ450,"")</f>
        <v/>
      </c>
      <c r="AA1927" s="48" t="str">
        <f ca="1">IF(AND('Planning Sheet'!BO450='Weeks Plan'!$D$6,'Planning Sheet'!BI450='Weeks Plan'!$G$6),'Planning Sheet'!$BK450,"")</f>
        <v/>
      </c>
    </row>
    <row r="1928" spans="25:27" x14ac:dyDescent="0.3">
      <c r="Y1928" s="48" t="str">
        <f ca="1">IF(AND('Planning Sheet'!BO451='Weeks Plan'!$D$6,'Planning Sheet'!BI451='Weeks Plan'!$G$6),'Planning Sheet'!$B451,"")</f>
        <v/>
      </c>
      <c r="Z1928" s="48" t="str">
        <f ca="1">IF(AND('Planning Sheet'!BO451='Weeks Plan'!$D$6,'Planning Sheet'!BI451='Weeks Plan'!$G$6),'Planning Sheet'!$BJ451,"")</f>
        <v/>
      </c>
      <c r="AA1928" s="48" t="str">
        <f ca="1">IF(AND('Planning Sheet'!BO451='Weeks Plan'!$D$6,'Planning Sheet'!BI451='Weeks Plan'!$G$6),'Planning Sheet'!$BK451,"")</f>
        <v/>
      </c>
    </row>
    <row r="1929" spans="25:27" x14ac:dyDescent="0.3">
      <c r="Y1929" s="48" t="str">
        <f ca="1">IF(AND('Planning Sheet'!BO452='Weeks Plan'!$D$6,'Planning Sheet'!BI452='Weeks Plan'!$G$6),'Planning Sheet'!$B452,"")</f>
        <v/>
      </c>
      <c r="Z1929" s="48" t="str">
        <f ca="1">IF(AND('Planning Sheet'!BO452='Weeks Plan'!$D$6,'Planning Sheet'!BI452='Weeks Plan'!$G$6),'Planning Sheet'!$BJ452,"")</f>
        <v/>
      </c>
      <c r="AA1929" s="48" t="str">
        <f ca="1">IF(AND('Planning Sheet'!BO452='Weeks Plan'!$D$6,'Planning Sheet'!BI452='Weeks Plan'!$G$6),'Planning Sheet'!$BK452,"")</f>
        <v/>
      </c>
    </row>
    <row r="1930" spans="25:27" x14ac:dyDescent="0.3">
      <c r="Y1930" s="48" t="str">
        <f ca="1">IF(AND('Planning Sheet'!BO453='Weeks Plan'!$D$6,'Planning Sheet'!BI453='Weeks Plan'!$G$6),'Planning Sheet'!$B453,"")</f>
        <v/>
      </c>
      <c r="Z1930" s="48" t="str">
        <f ca="1">IF(AND('Planning Sheet'!BO453='Weeks Plan'!$D$6,'Planning Sheet'!BI453='Weeks Plan'!$G$6),'Planning Sheet'!$BJ453,"")</f>
        <v/>
      </c>
      <c r="AA1930" s="48" t="str">
        <f ca="1">IF(AND('Planning Sheet'!BO453='Weeks Plan'!$D$6,'Planning Sheet'!BI453='Weeks Plan'!$G$6),'Planning Sheet'!$BK453,"")</f>
        <v/>
      </c>
    </row>
    <row r="1931" spans="25:27" x14ac:dyDescent="0.3">
      <c r="Y1931" s="48" t="str">
        <f ca="1">IF(AND('Planning Sheet'!BO454='Weeks Plan'!$D$6,'Planning Sheet'!BI454='Weeks Plan'!$G$6),'Planning Sheet'!$B454,"")</f>
        <v/>
      </c>
      <c r="Z1931" s="48" t="str">
        <f ca="1">IF(AND('Planning Sheet'!BO454='Weeks Plan'!$D$6,'Planning Sheet'!BI454='Weeks Plan'!$G$6),'Planning Sheet'!$BJ454,"")</f>
        <v/>
      </c>
      <c r="AA1931" s="48" t="str">
        <f ca="1">IF(AND('Planning Sheet'!BO454='Weeks Plan'!$D$6,'Planning Sheet'!BI454='Weeks Plan'!$G$6),'Planning Sheet'!$BK454,"")</f>
        <v/>
      </c>
    </row>
    <row r="1932" spans="25:27" x14ac:dyDescent="0.3">
      <c r="Y1932" s="48" t="str">
        <f ca="1">IF(AND('Planning Sheet'!BO455='Weeks Plan'!$D$6,'Planning Sheet'!BI455='Weeks Plan'!$G$6),'Planning Sheet'!$B455,"")</f>
        <v/>
      </c>
      <c r="Z1932" s="48" t="str">
        <f ca="1">IF(AND('Planning Sheet'!BO455='Weeks Plan'!$D$6,'Planning Sheet'!BI455='Weeks Plan'!$G$6),'Planning Sheet'!$BJ455,"")</f>
        <v/>
      </c>
      <c r="AA1932" s="48" t="str">
        <f ca="1">IF(AND('Planning Sheet'!BO455='Weeks Plan'!$D$6,'Planning Sheet'!BI455='Weeks Plan'!$G$6),'Planning Sheet'!$BK455,"")</f>
        <v/>
      </c>
    </row>
    <row r="1933" spans="25:27" x14ac:dyDescent="0.3">
      <c r="Y1933" s="48" t="str">
        <f ca="1">IF(AND('Planning Sheet'!BO456='Weeks Plan'!$D$6,'Planning Sheet'!BI456='Weeks Plan'!$G$6),'Planning Sheet'!$B456,"")</f>
        <v/>
      </c>
      <c r="Z1933" s="48" t="str">
        <f ca="1">IF(AND('Planning Sheet'!BO456='Weeks Plan'!$D$6,'Planning Sheet'!BI456='Weeks Plan'!$G$6),'Planning Sheet'!$BJ456,"")</f>
        <v/>
      </c>
      <c r="AA1933" s="48" t="str">
        <f ca="1">IF(AND('Planning Sheet'!BO456='Weeks Plan'!$D$6,'Planning Sheet'!BI456='Weeks Plan'!$G$6),'Planning Sheet'!$BK456,"")</f>
        <v/>
      </c>
    </row>
    <row r="1934" spans="25:27" x14ac:dyDescent="0.3">
      <c r="Y1934" s="48" t="str">
        <f ca="1">IF(AND('Planning Sheet'!BO457='Weeks Plan'!$D$6,'Planning Sheet'!BI457='Weeks Plan'!$G$6),'Planning Sheet'!$B457,"")</f>
        <v/>
      </c>
      <c r="Z1934" s="48" t="str">
        <f ca="1">IF(AND('Planning Sheet'!BO457='Weeks Plan'!$D$6,'Planning Sheet'!BI457='Weeks Plan'!$G$6),'Planning Sheet'!$BJ457,"")</f>
        <v/>
      </c>
      <c r="AA1934" s="48" t="str">
        <f ca="1">IF(AND('Planning Sheet'!BO457='Weeks Plan'!$D$6,'Planning Sheet'!BI457='Weeks Plan'!$G$6),'Planning Sheet'!$BK457,"")</f>
        <v/>
      </c>
    </row>
    <row r="1935" spans="25:27" x14ac:dyDescent="0.3">
      <c r="Y1935" s="48" t="str">
        <f ca="1">IF(AND('Planning Sheet'!BO458='Weeks Plan'!$D$6,'Planning Sheet'!BI458='Weeks Plan'!$G$6),'Planning Sheet'!$B458,"")</f>
        <v/>
      </c>
      <c r="Z1935" s="48" t="str">
        <f ca="1">IF(AND('Planning Sheet'!BO458='Weeks Plan'!$D$6,'Planning Sheet'!BI458='Weeks Plan'!$G$6),'Planning Sheet'!$BJ458,"")</f>
        <v/>
      </c>
      <c r="AA1935" s="48" t="str">
        <f ca="1">IF(AND('Planning Sheet'!BO458='Weeks Plan'!$D$6,'Planning Sheet'!BI458='Weeks Plan'!$G$6),'Planning Sheet'!$BK458,"")</f>
        <v/>
      </c>
    </row>
    <row r="1936" spans="25:27" x14ac:dyDescent="0.3">
      <c r="Y1936" s="48" t="str">
        <f ca="1">IF(AND('Planning Sheet'!BO459='Weeks Plan'!$D$6,'Planning Sheet'!BI459='Weeks Plan'!$G$6),'Planning Sheet'!$B459,"")</f>
        <v/>
      </c>
      <c r="Z1936" s="48" t="str">
        <f ca="1">IF(AND('Planning Sheet'!BO459='Weeks Plan'!$D$6,'Planning Sheet'!BI459='Weeks Plan'!$G$6),'Planning Sheet'!$BJ459,"")</f>
        <v/>
      </c>
      <c r="AA1936" s="48" t="str">
        <f ca="1">IF(AND('Planning Sheet'!BO459='Weeks Plan'!$D$6,'Planning Sheet'!BI459='Weeks Plan'!$G$6),'Planning Sheet'!$BK459,"")</f>
        <v/>
      </c>
    </row>
    <row r="1937" spans="25:27" x14ac:dyDescent="0.3">
      <c r="Y1937" s="48" t="str">
        <f ca="1">IF(AND('Planning Sheet'!BO460='Weeks Plan'!$D$6,'Planning Sheet'!BI460='Weeks Plan'!$G$6),'Planning Sheet'!$B460,"")</f>
        <v/>
      </c>
      <c r="Z1937" s="48" t="str">
        <f ca="1">IF(AND('Planning Sheet'!BO460='Weeks Plan'!$D$6,'Planning Sheet'!BI460='Weeks Plan'!$G$6),'Planning Sheet'!$BJ460,"")</f>
        <v/>
      </c>
      <c r="AA1937" s="48" t="str">
        <f ca="1">IF(AND('Planning Sheet'!BO460='Weeks Plan'!$D$6,'Planning Sheet'!BI460='Weeks Plan'!$G$6),'Planning Sheet'!$BK460,"")</f>
        <v/>
      </c>
    </row>
    <row r="1938" spans="25:27" x14ac:dyDescent="0.3">
      <c r="Y1938" s="48" t="str">
        <f ca="1">IF(AND('Planning Sheet'!BO461='Weeks Plan'!$D$6,'Planning Sheet'!BI461='Weeks Plan'!$G$6),'Planning Sheet'!$B461,"")</f>
        <v/>
      </c>
      <c r="Z1938" s="48" t="str">
        <f ca="1">IF(AND('Planning Sheet'!BO461='Weeks Plan'!$D$6,'Planning Sheet'!BI461='Weeks Plan'!$G$6),'Planning Sheet'!$BJ461,"")</f>
        <v/>
      </c>
      <c r="AA1938" s="48" t="str">
        <f ca="1">IF(AND('Planning Sheet'!BO461='Weeks Plan'!$D$6,'Planning Sheet'!BI461='Weeks Plan'!$G$6),'Planning Sheet'!$BK461,"")</f>
        <v/>
      </c>
    </row>
    <row r="1939" spans="25:27" x14ac:dyDescent="0.3">
      <c r="Y1939" s="48" t="str">
        <f ca="1">IF(AND('Planning Sheet'!BO462='Weeks Plan'!$D$6,'Planning Sheet'!BI462='Weeks Plan'!$G$6),'Planning Sheet'!$B462,"")</f>
        <v/>
      </c>
      <c r="Z1939" s="48" t="str">
        <f ca="1">IF(AND('Planning Sheet'!BO462='Weeks Plan'!$D$6,'Planning Sheet'!BI462='Weeks Plan'!$G$6),'Planning Sheet'!$BJ462,"")</f>
        <v/>
      </c>
      <c r="AA1939" s="48" t="str">
        <f ca="1">IF(AND('Planning Sheet'!BO462='Weeks Plan'!$D$6,'Planning Sheet'!BI462='Weeks Plan'!$G$6),'Planning Sheet'!$BK462,"")</f>
        <v/>
      </c>
    </row>
    <row r="1940" spans="25:27" x14ac:dyDescent="0.3">
      <c r="Y1940" s="48" t="str">
        <f ca="1">IF(AND('Planning Sheet'!BO463='Weeks Plan'!$D$6,'Planning Sheet'!BI463='Weeks Plan'!$G$6),'Planning Sheet'!$B463,"")</f>
        <v/>
      </c>
      <c r="Z1940" s="48" t="str">
        <f ca="1">IF(AND('Planning Sheet'!BO463='Weeks Plan'!$D$6,'Planning Sheet'!BI463='Weeks Plan'!$G$6),'Planning Sheet'!$BJ463,"")</f>
        <v/>
      </c>
      <c r="AA1940" s="48" t="str">
        <f ca="1">IF(AND('Planning Sheet'!BO463='Weeks Plan'!$D$6,'Planning Sheet'!BI463='Weeks Plan'!$G$6),'Planning Sheet'!$BK463,"")</f>
        <v/>
      </c>
    </row>
    <row r="1941" spans="25:27" x14ac:dyDescent="0.3">
      <c r="Y1941" s="48" t="str">
        <f ca="1">IF(AND('Planning Sheet'!BO464='Weeks Plan'!$D$6,'Planning Sheet'!BI464='Weeks Plan'!$G$6),'Planning Sheet'!$B464,"")</f>
        <v/>
      </c>
      <c r="Z1941" s="48" t="str">
        <f ca="1">IF(AND('Planning Sheet'!BO464='Weeks Plan'!$D$6,'Planning Sheet'!BI464='Weeks Plan'!$G$6),'Planning Sheet'!$BJ464,"")</f>
        <v/>
      </c>
      <c r="AA1941" s="48" t="str">
        <f ca="1">IF(AND('Planning Sheet'!BO464='Weeks Plan'!$D$6,'Planning Sheet'!BI464='Weeks Plan'!$G$6),'Planning Sheet'!$BK464,"")</f>
        <v/>
      </c>
    </row>
    <row r="1942" spans="25:27" x14ac:dyDescent="0.3">
      <c r="Y1942" s="48" t="str">
        <f ca="1">IF(AND('Planning Sheet'!BO465='Weeks Plan'!$D$6,'Planning Sheet'!BI465='Weeks Plan'!$G$6),'Planning Sheet'!$B465,"")</f>
        <v/>
      </c>
      <c r="Z1942" s="48" t="str">
        <f ca="1">IF(AND('Planning Sheet'!BO465='Weeks Plan'!$D$6,'Planning Sheet'!BI465='Weeks Plan'!$G$6),'Planning Sheet'!$BJ465,"")</f>
        <v/>
      </c>
      <c r="AA1942" s="48" t="str">
        <f ca="1">IF(AND('Planning Sheet'!BO465='Weeks Plan'!$D$6,'Planning Sheet'!BI465='Weeks Plan'!$G$6),'Planning Sheet'!$BK465,"")</f>
        <v/>
      </c>
    </row>
    <row r="1943" spans="25:27" x14ac:dyDescent="0.3">
      <c r="Y1943" s="48" t="str">
        <f ca="1">IF(AND('Planning Sheet'!BO466='Weeks Plan'!$D$6,'Planning Sheet'!BI466='Weeks Plan'!$G$6),'Planning Sheet'!$B466,"")</f>
        <v/>
      </c>
      <c r="Z1943" s="48" t="str">
        <f ca="1">IF(AND('Planning Sheet'!BO466='Weeks Plan'!$D$6,'Planning Sheet'!BI466='Weeks Plan'!$G$6),'Planning Sheet'!$BJ466,"")</f>
        <v/>
      </c>
      <c r="AA1943" s="48" t="str">
        <f ca="1">IF(AND('Planning Sheet'!BO466='Weeks Plan'!$D$6,'Planning Sheet'!BI466='Weeks Plan'!$G$6),'Planning Sheet'!$BK466,"")</f>
        <v/>
      </c>
    </row>
    <row r="1944" spans="25:27" x14ac:dyDescent="0.3">
      <c r="Y1944" s="48" t="str">
        <f ca="1">IF(AND('Planning Sheet'!BO467='Weeks Plan'!$D$6,'Planning Sheet'!BI467='Weeks Plan'!$G$6),'Planning Sheet'!$B467,"")</f>
        <v/>
      </c>
      <c r="Z1944" s="48" t="str">
        <f ca="1">IF(AND('Planning Sheet'!BO467='Weeks Plan'!$D$6,'Planning Sheet'!BI467='Weeks Plan'!$G$6),'Planning Sheet'!$BJ467,"")</f>
        <v/>
      </c>
      <c r="AA1944" s="48" t="str">
        <f ca="1">IF(AND('Planning Sheet'!BO467='Weeks Plan'!$D$6,'Planning Sheet'!BI467='Weeks Plan'!$G$6),'Planning Sheet'!$BK467,"")</f>
        <v/>
      </c>
    </row>
    <row r="1945" spans="25:27" x14ac:dyDescent="0.3">
      <c r="Y1945" s="48" t="str">
        <f ca="1">IF(AND('Planning Sheet'!BO468='Weeks Plan'!$D$6,'Planning Sheet'!BI468='Weeks Plan'!$G$6),'Planning Sheet'!$B468,"")</f>
        <v/>
      </c>
      <c r="Z1945" s="48" t="str">
        <f ca="1">IF(AND('Planning Sheet'!BO468='Weeks Plan'!$D$6,'Planning Sheet'!BI468='Weeks Plan'!$G$6),'Planning Sheet'!$BJ468,"")</f>
        <v/>
      </c>
      <c r="AA1945" s="48" t="str">
        <f ca="1">IF(AND('Planning Sheet'!BO468='Weeks Plan'!$D$6,'Planning Sheet'!BI468='Weeks Plan'!$G$6),'Planning Sheet'!$BK468,"")</f>
        <v/>
      </c>
    </row>
    <row r="1946" spans="25:27" x14ac:dyDescent="0.3">
      <c r="Y1946" s="48" t="str">
        <f ca="1">IF(AND('Planning Sheet'!BO469='Weeks Plan'!$D$6,'Planning Sheet'!BI469='Weeks Plan'!$G$6),'Planning Sheet'!$B469,"")</f>
        <v/>
      </c>
      <c r="Z1946" s="48" t="str">
        <f ca="1">IF(AND('Planning Sheet'!BO469='Weeks Plan'!$D$6,'Planning Sheet'!BI469='Weeks Plan'!$G$6),'Planning Sheet'!$BJ469,"")</f>
        <v/>
      </c>
      <c r="AA1946" s="48" t="str">
        <f ca="1">IF(AND('Planning Sheet'!BO469='Weeks Plan'!$D$6,'Planning Sheet'!BI469='Weeks Plan'!$G$6),'Planning Sheet'!$BK469,"")</f>
        <v/>
      </c>
    </row>
    <row r="1947" spans="25:27" x14ac:dyDescent="0.3">
      <c r="Y1947" s="48" t="str">
        <f ca="1">IF(AND('Planning Sheet'!BO470='Weeks Plan'!$D$6,'Planning Sheet'!BI470='Weeks Plan'!$G$6),'Planning Sheet'!$B470,"")</f>
        <v/>
      </c>
      <c r="Z1947" s="48" t="str">
        <f ca="1">IF(AND('Planning Sheet'!BO470='Weeks Plan'!$D$6,'Planning Sheet'!BI470='Weeks Plan'!$G$6),'Planning Sheet'!$BJ470,"")</f>
        <v/>
      </c>
      <c r="AA1947" s="48" t="str">
        <f ca="1">IF(AND('Planning Sheet'!BO470='Weeks Plan'!$D$6,'Planning Sheet'!BI470='Weeks Plan'!$G$6),'Planning Sheet'!$BK470,"")</f>
        <v/>
      </c>
    </row>
    <row r="1948" spans="25:27" x14ac:dyDescent="0.3">
      <c r="Y1948" s="48" t="str">
        <f ca="1">IF(AND('Planning Sheet'!BO471='Weeks Plan'!$D$6,'Planning Sheet'!BI471='Weeks Plan'!$G$6),'Planning Sheet'!$B471,"")</f>
        <v/>
      </c>
      <c r="Z1948" s="48" t="str">
        <f ca="1">IF(AND('Planning Sheet'!BO471='Weeks Plan'!$D$6,'Planning Sheet'!BI471='Weeks Plan'!$G$6),'Planning Sheet'!$BJ471,"")</f>
        <v/>
      </c>
      <c r="AA1948" s="48" t="str">
        <f ca="1">IF(AND('Planning Sheet'!BO471='Weeks Plan'!$D$6,'Planning Sheet'!BI471='Weeks Plan'!$G$6),'Planning Sheet'!$BK471,"")</f>
        <v/>
      </c>
    </row>
    <row r="1949" spans="25:27" x14ac:dyDescent="0.3">
      <c r="Y1949" s="48" t="str">
        <f ca="1">IF(AND('Planning Sheet'!BO472='Weeks Plan'!$D$6,'Planning Sheet'!BI472='Weeks Plan'!$G$6),'Planning Sheet'!$B472,"")</f>
        <v/>
      </c>
      <c r="Z1949" s="48" t="str">
        <f ca="1">IF(AND('Planning Sheet'!BO472='Weeks Plan'!$D$6,'Planning Sheet'!BI472='Weeks Plan'!$G$6),'Planning Sheet'!$BJ472,"")</f>
        <v/>
      </c>
      <c r="AA1949" s="48" t="str">
        <f ca="1">IF(AND('Planning Sheet'!BO472='Weeks Plan'!$D$6,'Planning Sheet'!BI472='Weeks Plan'!$G$6),'Planning Sheet'!$BK472,"")</f>
        <v/>
      </c>
    </row>
    <row r="1950" spans="25:27" x14ac:dyDescent="0.3">
      <c r="Y1950" s="48" t="str">
        <f ca="1">IF(AND('Planning Sheet'!BO473='Weeks Plan'!$D$6,'Planning Sheet'!BI473='Weeks Plan'!$G$6),'Planning Sheet'!$B473,"")</f>
        <v/>
      </c>
      <c r="Z1950" s="48" t="str">
        <f ca="1">IF(AND('Planning Sheet'!BO473='Weeks Plan'!$D$6,'Planning Sheet'!BI473='Weeks Plan'!$G$6),'Planning Sheet'!$BJ473,"")</f>
        <v/>
      </c>
      <c r="AA1950" s="48" t="str">
        <f ca="1">IF(AND('Planning Sheet'!BO473='Weeks Plan'!$D$6,'Planning Sheet'!BI473='Weeks Plan'!$G$6),'Planning Sheet'!$BK473,"")</f>
        <v/>
      </c>
    </row>
    <row r="1951" spans="25:27" x14ac:dyDescent="0.3">
      <c r="Y1951" s="48" t="str">
        <f ca="1">IF(AND('Planning Sheet'!BO474='Weeks Plan'!$D$6,'Planning Sheet'!BI474='Weeks Plan'!$G$6),'Planning Sheet'!$B474,"")</f>
        <v/>
      </c>
      <c r="Z1951" s="48" t="str">
        <f ca="1">IF(AND('Planning Sheet'!BO474='Weeks Plan'!$D$6,'Planning Sheet'!BI474='Weeks Plan'!$G$6),'Planning Sheet'!$BJ474,"")</f>
        <v/>
      </c>
      <c r="AA1951" s="48" t="str">
        <f ca="1">IF(AND('Planning Sheet'!BO474='Weeks Plan'!$D$6,'Planning Sheet'!BI474='Weeks Plan'!$G$6),'Planning Sheet'!$BK474,"")</f>
        <v/>
      </c>
    </row>
    <row r="1952" spans="25:27" x14ac:dyDescent="0.3">
      <c r="Y1952" s="48" t="str">
        <f ca="1">IF(AND('Planning Sheet'!BO475='Weeks Plan'!$D$6,'Planning Sheet'!BI475='Weeks Plan'!$G$6),'Planning Sheet'!$B475,"")</f>
        <v/>
      </c>
      <c r="Z1952" s="48" t="str">
        <f ca="1">IF(AND('Planning Sheet'!BO475='Weeks Plan'!$D$6,'Planning Sheet'!BI475='Weeks Plan'!$G$6),'Planning Sheet'!$BJ475,"")</f>
        <v/>
      </c>
      <c r="AA1952" s="48" t="str">
        <f ca="1">IF(AND('Planning Sheet'!BO475='Weeks Plan'!$D$6,'Planning Sheet'!BI475='Weeks Plan'!$G$6),'Planning Sheet'!$BK475,"")</f>
        <v/>
      </c>
    </row>
    <row r="1953" spans="25:27" x14ac:dyDescent="0.3">
      <c r="Y1953" s="48" t="str">
        <f ca="1">IF(AND('Planning Sheet'!BO476='Weeks Plan'!$D$6,'Planning Sheet'!BI476='Weeks Plan'!$G$6),'Planning Sheet'!$B476,"")</f>
        <v/>
      </c>
      <c r="Z1953" s="48" t="str">
        <f ca="1">IF(AND('Planning Sheet'!BO476='Weeks Plan'!$D$6,'Planning Sheet'!BI476='Weeks Plan'!$G$6),'Planning Sheet'!$BJ476,"")</f>
        <v/>
      </c>
      <c r="AA1953" s="48" t="str">
        <f ca="1">IF(AND('Planning Sheet'!BO476='Weeks Plan'!$D$6,'Planning Sheet'!BI476='Weeks Plan'!$G$6),'Planning Sheet'!$BK476,"")</f>
        <v/>
      </c>
    </row>
    <row r="1954" spans="25:27" x14ac:dyDescent="0.3">
      <c r="Y1954" s="48" t="str">
        <f ca="1">IF(AND('Planning Sheet'!BO477='Weeks Plan'!$D$6,'Planning Sheet'!BI477='Weeks Plan'!$G$6),'Planning Sheet'!$B477,"")</f>
        <v/>
      </c>
      <c r="Z1954" s="48" t="str">
        <f ca="1">IF(AND('Planning Sheet'!BO477='Weeks Plan'!$D$6,'Planning Sheet'!BI477='Weeks Plan'!$G$6),'Planning Sheet'!$BJ477,"")</f>
        <v/>
      </c>
      <c r="AA1954" s="48" t="str">
        <f ca="1">IF(AND('Planning Sheet'!BO477='Weeks Plan'!$D$6,'Planning Sheet'!BI477='Weeks Plan'!$G$6),'Planning Sheet'!$BK477,"")</f>
        <v/>
      </c>
    </row>
    <row r="1955" spans="25:27" x14ac:dyDescent="0.3">
      <c r="Y1955" s="48" t="str">
        <f ca="1">IF(AND('Planning Sheet'!BO478='Weeks Plan'!$D$6,'Planning Sheet'!BI478='Weeks Plan'!$G$6),'Planning Sheet'!$B478,"")</f>
        <v/>
      </c>
      <c r="Z1955" s="48" t="str">
        <f ca="1">IF(AND('Planning Sheet'!BO478='Weeks Plan'!$D$6,'Planning Sheet'!BI478='Weeks Plan'!$G$6),'Planning Sheet'!$BJ478,"")</f>
        <v/>
      </c>
      <c r="AA1955" s="48" t="str">
        <f ca="1">IF(AND('Planning Sheet'!BO478='Weeks Plan'!$D$6,'Planning Sheet'!BI478='Weeks Plan'!$G$6),'Planning Sheet'!$BK478,"")</f>
        <v/>
      </c>
    </row>
    <row r="1956" spans="25:27" x14ac:dyDescent="0.3">
      <c r="Y1956" s="48" t="str">
        <f ca="1">IF(AND('Planning Sheet'!BO479='Weeks Plan'!$D$6,'Planning Sheet'!BI479='Weeks Plan'!$G$6),'Planning Sheet'!$B479,"")</f>
        <v/>
      </c>
      <c r="Z1956" s="48" t="str">
        <f ca="1">IF(AND('Planning Sheet'!BO479='Weeks Plan'!$D$6,'Planning Sheet'!BI479='Weeks Plan'!$G$6),'Planning Sheet'!$BJ479,"")</f>
        <v/>
      </c>
      <c r="AA1956" s="48" t="str">
        <f ca="1">IF(AND('Planning Sheet'!BO479='Weeks Plan'!$D$6,'Planning Sheet'!BI479='Weeks Plan'!$G$6),'Planning Sheet'!$BK479,"")</f>
        <v/>
      </c>
    </row>
    <row r="1957" spans="25:27" x14ac:dyDescent="0.3">
      <c r="Y1957" s="48" t="str">
        <f ca="1">IF(AND('Planning Sheet'!BO480='Weeks Plan'!$D$6,'Planning Sheet'!BI480='Weeks Plan'!$G$6),'Planning Sheet'!$B480,"")</f>
        <v/>
      </c>
      <c r="Z1957" s="48" t="str">
        <f ca="1">IF(AND('Planning Sheet'!BO480='Weeks Plan'!$D$6,'Planning Sheet'!BI480='Weeks Plan'!$G$6),'Planning Sheet'!$BJ480,"")</f>
        <v/>
      </c>
      <c r="AA1957" s="48" t="str">
        <f ca="1">IF(AND('Planning Sheet'!BO480='Weeks Plan'!$D$6,'Planning Sheet'!BI480='Weeks Plan'!$G$6),'Planning Sheet'!$BK480,"")</f>
        <v/>
      </c>
    </row>
    <row r="1958" spans="25:27" x14ac:dyDescent="0.3">
      <c r="Y1958" s="48" t="str">
        <f ca="1">IF(AND('Planning Sheet'!BO481='Weeks Plan'!$D$6,'Planning Sheet'!BI481='Weeks Plan'!$G$6),'Planning Sheet'!$B481,"")</f>
        <v/>
      </c>
      <c r="Z1958" s="48" t="str">
        <f ca="1">IF(AND('Planning Sheet'!BO481='Weeks Plan'!$D$6,'Planning Sheet'!BI481='Weeks Plan'!$G$6),'Planning Sheet'!$BJ481,"")</f>
        <v/>
      </c>
      <c r="AA1958" s="48" t="str">
        <f ca="1">IF(AND('Planning Sheet'!BO481='Weeks Plan'!$D$6,'Planning Sheet'!BI481='Weeks Plan'!$G$6),'Planning Sheet'!$BK481,"")</f>
        <v/>
      </c>
    </row>
    <row r="1959" spans="25:27" x14ac:dyDescent="0.3">
      <c r="Y1959" s="48" t="str">
        <f ca="1">IF(AND('Planning Sheet'!BO482='Weeks Plan'!$D$6,'Planning Sheet'!BI482='Weeks Plan'!$G$6),'Planning Sheet'!$B482,"")</f>
        <v/>
      </c>
      <c r="Z1959" s="48" t="str">
        <f ca="1">IF(AND('Planning Sheet'!BO482='Weeks Plan'!$D$6,'Planning Sheet'!BI482='Weeks Plan'!$G$6),'Planning Sheet'!$BJ482,"")</f>
        <v/>
      </c>
      <c r="AA1959" s="48" t="str">
        <f ca="1">IF(AND('Planning Sheet'!BO482='Weeks Plan'!$D$6,'Planning Sheet'!BI482='Weeks Plan'!$G$6),'Planning Sheet'!$BK482,"")</f>
        <v/>
      </c>
    </row>
    <row r="1960" spans="25:27" x14ac:dyDescent="0.3">
      <c r="Y1960" s="48" t="str">
        <f ca="1">IF(AND('Planning Sheet'!BO483='Weeks Plan'!$D$6,'Planning Sheet'!BI483='Weeks Plan'!$G$6),'Planning Sheet'!$B483,"")</f>
        <v/>
      </c>
      <c r="Z1960" s="48" t="str">
        <f ca="1">IF(AND('Planning Sheet'!BO483='Weeks Plan'!$D$6,'Planning Sheet'!BI483='Weeks Plan'!$G$6),'Planning Sheet'!$BJ483,"")</f>
        <v/>
      </c>
      <c r="AA1960" s="48" t="str">
        <f ca="1">IF(AND('Planning Sheet'!BO483='Weeks Plan'!$D$6,'Planning Sheet'!BI483='Weeks Plan'!$G$6),'Planning Sheet'!$BK483,"")</f>
        <v/>
      </c>
    </row>
    <row r="1961" spans="25:27" x14ac:dyDescent="0.3">
      <c r="Y1961" s="48" t="str">
        <f ca="1">IF(AND('Planning Sheet'!BO484='Weeks Plan'!$D$6,'Planning Sheet'!BI484='Weeks Plan'!$G$6),'Planning Sheet'!$B484,"")</f>
        <v/>
      </c>
      <c r="Z1961" s="48" t="str">
        <f ca="1">IF(AND('Planning Sheet'!BO484='Weeks Plan'!$D$6,'Planning Sheet'!BI484='Weeks Plan'!$G$6),'Planning Sheet'!$BJ484,"")</f>
        <v/>
      </c>
      <c r="AA1961" s="48" t="str">
        <f ca="1">IF(AND('Planning Sheet'!BO484='Weeks Plan'!$D$6,'Planning Sheet'!BI484='Weeks Plan'!$G$6),'Planning Sheet'!$BK484,"")</f>
        <v/>
      </c>
    </row>
    <row r="1962" spans="25:27" x14ac:dyDescent="0.3">
      <c r="Y1962" s="48" t="str">
        <f ca="1">IF(AND('Planning Sheet'!BO485='Weeks Plan'!$D$6,'Planning Sheet'!BI485='Weeks Plan'!$G$6),'Planning Sheet'!$B485,"")</f>
        <v/>
      </c>
      <c r="Z1962" s="48" t="str">
        <f ca="1">IF(AND('Planning Sheet'!BO485='Weeks Plan'!$D$6,'Planning Sheet'!BI485='Weeks Plan'!$G$6),'Planning Sheet'!$BJ485,"")</f>
        <v/>
      </c>
      <c r="AA1962" s="48" t="str">
        <f ca="1">IF(AND('Planning Sheet'!BO485='Weeks Plan'!$D$6,'Planning Sheet'!BI485='Weeks Plan'!$G$6),'Planning Sheet'!$BK485,"")</f>
        <v/>
      </c>
    </row>
    <row r="1963" spans="25:27" x14ac:dyDescent="0.3">
      <c r="Y1963" s="48" t="str">
        <f ca="1">IF(AND('Planning Sheet'!BO486='Weeks Plan'!$D$6,'Planning Sheet'!BI486='Weeks Plan'!$G$6),'Planning Sheet'!$B486,"")</f>
        <v/>
      </c>
      <c r="Z1963" s="48" t="str">
        <f ca="1">IF(AND('Planning Sheet'!BO486='Weeks Plan'!$D$6,'Planning Sheet'!BI486='Weeks Plan'!$G$6),'Planning Sheet'!$BJ486,"")</f>
        <v/>
      </c>
      <c r="AA1963" s="48" t="str">
        <f ca="1">IF(AND('Planning Sheet'!BO486='Weeks Plan'!$D$6,'Planning Sheet'!BI486='Weeks Plan'!$G$6),'Planning Sheet'!$BK486,"")</f>
        <v/>
      </c>
    </row>
    <row r="1964" spans="25:27" x14ac:dyDescent="0.3">
      <c r="Y1964" s="48" t="str">
        <f ca="1">IF(AND('Planning Sheet'!BO487='Weeks Plan'!$D$6,'Planning Sheet'!BI487='Weeks Plan'!$G$6),'Planning Sheet'!$B487,"")</f>
        <v/>
      </c>
      <c r="Z1964" s="48" t="str">
        <f ca="1">IF(AND('Planning Sheet'!BO487='Weeks Plan'!$D$6,'Planning Sheet'!BI487='Weeks Plan'!$G$6),'Planning Sheet'!$BJ487,"")</f>
        <v/>
      </c>
      <c r="AA1964" s="48" t="str">
        <f ca="1">IF(AND('Planning Sheet'!BO487='Weeks Plan'!$D$6,'Planning Sheet'!BI487='Weeks Plan'!$G$6),'Planning Sheet'!$BK487,"")</f>
        <v/>
      </c>
    </row>
    <row r="1965" spans="25:27" x14ac:dyDescent="0.3">
      <c r="Y1965" s="48" t="str">
        <f ca="1">IF(AND('Planning Sheet'!BO488='Weeks Plan'!$D$6,'Planning Sheet'!BI488='Weeks Plan'!$G$6),'Planning Sheet'!$B488,"")</f>
        <v/>
      </c>
      <c r="Z1965" s="48" t="str">
        <f ca="1">IF(AND('Planning Sheet'!BO488='Weeks Plan'!$D$6,'Planning Sheet'!BI488='Weeks Plan'!$G$6),'Planning Sheet'!$BJ488,"")</f>
        <v/>
      </c>
      <c r="AA1965" s="48" t="str">
        <f ca="1">IF(AND('Planning Sheet'!BO488='Weeks Plan'!$D$6,'Planning Sheet'!BI488='Weeks Plan'!$G$6),'Planning Sheet'!$BK488,"")</f>
        <v/>
      </c>
    </row>
    <row r="1966" spans="25:27" x14ac:dyDescent="0.3">
      <c r="Y1966" s="48" t="str">
        <f ca="1">IF(AND('Planning Sheet'!BO489='Weeks Plan'!$D$6,'Planning Sheet'!BI489='Weeks Plan'!$G$6),'Planning Sheet'!$B489,"")</f>
        <v/>
      </c>
      <c r="Z1966" s="48" t="str">
        <f ca="1">IF(AND('Planning Sheet'!BO489='Weeks Plan'!$D$6,'Planning Sheet'!BI489='Weeks Plan'!$G$6),'Planning Sheet'!$BJ489,"")</f>
        <v/>
      </c>
      <c r="AA1966" s="48" t="str">
        <f ca="1">IF(AND('Planning Sheet'!BO489='Weeks Plan'!$D$6,'Planning Sheet'!BI489='Weeks Plan'!$G$6),'Planning Sheet'!$BK489,"")</f>
        <v/>
      </c>
    </row>
    <row r="1967" spans="25:27" x14ac:dyDescent="0.3">
      <c r="Y1967" s="48" t="str">
        <f ca="1">IF(AND('Planning Sheet'!BO490='Weeks Plan'!$D$6,'Planning Sheet'!BI490='Weeks Plan'!$G$6),'Planning Sheet'!$B490,"")</f>
        <v/>
      </c>
      <c r="Z1967" s="48" t="str">
        <f ca="1">IF(AND('Planning Sheet'!BO490='Weeks Plan'!$D$6,'Planning Sheet'!BI490='Weeks Plan'!$G$6),'Planning Sheet'!$BJ490,"")</f>
        <v/>
      </c>
      <c r="AA1967" s="48" t="str">
        <f ca="1">IF(AND('Planning Sheet'!BO490='Weeks Plan'!$D$6,'Planning Sheet'!BI490='Weeks Plan'!$G$6),'Planning Sheet'!$BK490,"")</f>
        <v/>
      </c>
    </row>
    <row r="1968" spans="25:27" x14ac:dyDescent="0.3">
      <c r="Y1968" s="48" t="str">
        <f ca="1">IF(AND('Planning Sheet'!BO491='Weeks Plan'!$D$6,'Planning Sheet'!BI491='Weeks Plan'!$G$6),'Planning Sheet'!$B491,"")</f>
        <v/>
      </c>
      <c r="Z1968" s="48" t="str">
        <f ca="1">IF(AND('Planning Sheet'!BO491='Weeks Plan'!$D$6,'Planning Sheet'!BI491='Weeks Plan'!$G$6),'Planning Sheet'!$BJ491,"")</f>
        <v/>
      </c>
      <c r="AA1968" s="48" t="str">
        <f ca="1">IF(AND('Planning Sheet'!BO491='Weeks Plan'!$D$6,'Planning Sheet'!BI491='Weeks Plan'!$G$6),'Planning Sheet'!$BK491,"")</f>
        <v/>
      </c>
    </row>
    <row r="1969" spans="25:27" x14ac:dyDescent="0.3">
      <c r="Y1969" s="48" t="str">
        <f ca="1">IF(AND('Planning Sheet'!BO492='Weeks Plan'!$D$6,'Planning Sheet'!BI492='Weeks Plan'!$G$6),'Planning Sheet'!$B492,"")</f>
        <v/>
      </c>
      <c r="Z1969" s="48" t="str">
        <f ca="1">IF(AND('Planning Sheet'!BO492='Weeks Plan'!$D$6,'Planning Sheet'!BI492='Weeks Plan'!$G$6),'Planning Sheet'!$BJ492,"")</f>
        <v/>
      </c>
      <c r="AA1969" s="48" t="str">
        <f ca="1">IF(AND('Planning Sheet'!BO492='Weeks Plan'!$D$6,'Planning Sheet'!BI492='Weeks Plan'!$G$6),'Planning Sheet'!$BK492,"")</f>
        <v/>
      </c>
    </row>
    <row r="1970" spans="25:27" x14ac:dyDescent="0.3">
      <c r="Y1970" s="48" t="str">
        <f ca="1">IF(AND('Planning Sheet'!BO493='Weeks Plan'!$D$6,'Planning Sheet'!BI493='Weeks Plan'!$G$6),'Planning Sheet'!$B493,"")</f>
        <v/>
      </c>
      <c r="Z1970" s="48" t="str">
        <f ca="1">IF(AND('Planning Sheet'!BO493='Weeks Plan'!$D$6,'Planning Sheet'!BI493='Weeks Plan'!$G$6),'Planning Sheet'!$BJ493,"")</f>
        <v/>
      </c>
      <c r="AA1970" s="48" t="str">
        <f ca="1">IF(AND('Planning Sheet'!BO493='Weeks Plan'!$D$6,'Planning Sheet'!BI493='Weeks Plan'!$G$6),'Planning Sheet'!$BK493,"")</f>
        <v/>
      </c>
    </row>
    <row r="1971" spans="25:27" x14ac:dyDescent="0.3">
      <c r="Y1971" s="48" t="str">
        <f ca="1">IF(AND('Planning Sheet'!BO494='Weeks Plan'!$D$6,'Planning Sheet'!BI494='Weeks Plan'!$G$6),'Planning Sheet'!$B494,"")</f>
        <v/>
      </c>
      <c r="Z1971" s="48" t="str">
        <f ca="1">IF(AND('Planning Sheet'!BO494='Weeks Plan'!$D$6,'Planning Sheet'!BI494='Weeks Plan'!$G$6),'Planning Sheet'!$BJ494,"")</f>
        <v/>
      </c>
      <c r="AA1971" s="48" t="str">
        <f ca="1">IF(AND('Planning Sheet'!BO494='Weeks Plan'!$D$6,'Planning Sheet'!BI494='Weeks Plan'!$G$6),'Planning Sheet'!$BK494,"")</f>
        <v/>
      </c>
    </row>
    <row r="1972" spans="25:27" x14ac:dyDescent="0.3">
      <c r="Y1972" s="48" t="str">
        <f ca="1">IF(AND('Planning Sheet'!BO495='Weeks Plan'!$D$6,'Planning Sheet'!BI495='Weeks Plan'!$G$6),'Planning Sheet'!$B495,"")</f>
        <v/>
      </c>
      <c r="Z1972" s="48" t="str">
        <f ca="1">IF(AND('Planning Sheet'!BO495='Weeks Plan'!$D$6,'Planning Sheet'!BI495='Weeks Plan'!$G$6),'Planning Sheet'!$BJ495,"")</f>
        <v/>
      </c>
      <c r="AA1972" s="48" t="str">
        <f ca="1">IF(AND('Planning Sheet'!BO495='Weeks Plan'!$D$6,'Planning Sheet'!BI495='Weeks Plan'!$G$6),'Planning Sheet'!$BK495,"")</f>
        <v/>
      </c>
    </row>
    <row r="1973" spans="25:27" x14ac:dyDescent="0.3">
      <c r="Y1973" s="48" t="str">
        <f ca="1">IF(AND('Planning Sheet'!BO496='Weeks Plan'!$D$6,'Planning Sheet'!BI496='Weeks Plan'!$G$6),'Planning Sheet'!$B496,"")</f>
        <v/>
      </c>
      <c r="Z1973" s="48" t="str">
        <f ca="1">IF(AND('Planning Sheet'!BO496='Weeks Plan'!$D$6,'Planning Sheet'!BI496='Weeks Plan'!$G$6),'Planning Sheet'!$BJ496,"")</f>
        <v/>
      </c>
      <c r="AA1973" s="48" t="str">
        <f ca="1">IF(AND('Planning Sheet'!BO496='Weeks Plan'!$D$6,'Planning Sheet'!BI496='Weeks Plan'!$G$6),'Planning Sheet'!$BK496,"")</f>
        <v/>
      </c>
    </row>
    <row r="1974" spans="25:27" x14ac:dyDescent="0.3">
      <c r="Y1974" s="48" t="str">
        <f ca="1">IF(AND('Planning Sheet'!BO497='Weeks Plan'!$D$6,'Planning Sheet'!BI497='Weeks Plan'!$G$6),'Planning Sheet'!$B497,"")</f>
        <v/>
      </c>
      <c r="Z1974" s="48" t="str">
        <f ca="1">IF(AND('Planning Sheet'!BO497='Weeks Plan'!$D$6,'Planning Sheet'!BI497='Weeks Plan'!$G$6),'Planning Sheet'!$BJ497,"")</f>
        <v/>
      </c>
      <c r="AA1974" s="48" t="str">
        <f ca="1">IF(AND('Planning Sheet'!BO497='Weeks Plan'!$D$6,'Planning Sheet'!BI497='Weeks Plan'!$G$6),'Planning Sheet'!$BK497,"")</f>
        <v/>
      </c>
    </row>
    <row r="1975" spans="25:27" x14ac:dyDescent="0.3">
      <c r="Y1975" s="48" t="str">
        <f ca="1">IF(AND('Planning Sheet'!BO498='Weeks Plan'!$D$6,'Planning Sheet'!BI498='Weeks Plan'!$G$6),'Planning Sheet'!$B498,"")</f>
        <v/>
      </c>
      <c r="Z1975" s="48" t="str">
        <f ca="1">IF(AND('Planning Sheet'!BO498='Weeks Plan'!$D$6,'Planning Sheet'!BI498='Weeks Plan'!$G$6),'Planning Sheet'!$BJ498,"")</f>
        <v/>
      </c>
      <c r="AA1975" s="48" t="str">
        <f ca="1">IF(AND('Planning Sheet'!BO498='Weeks Plan'!$D$6,'Planning Sheet'!BI498='Weeks Plan'!$G$6),'Planning Sheet'!$BK498,"")</f>
        <v/>
      </c>
    </row>
    <row r="1976" spans="25:27" x14ac:dyDescent="0.3">
      <c r="Y1976" s="48" t="str">
        <f ca="1">IF(AND('Planning Sheet'!BO499='Weeks Plan'!$D$6,'Planning Sheet'!BI499='Weeks Plan'!$G$6),'Planning Sheet'!$B499,"")</f>
        <v/>
      </c>
      <c r="Z1976" s="48" t="str">
        <f ca="1">IF(AND('Planning Sheet'!BO499='Weeks Plan'!$D$6,'Planning Sheet'!BI499='Weeks Plan'!$G$6),'Planning Sheet'!$BJ499,"")</f>
        <v/>
      </c>
      <c r="AA1976" s="48" t="str">
        <f ca="1">IF(AND('Planning Sheet'!BO499='Weeks Plan'!$D$6,'Planning Sheet'!BI499='Weeks Plan'!$G$6),'Planning Sheet'!$BK499,"")</f>
        <v/>
      </c>
    </row>
    <row r="1977" spans="25:27" x14ac:dyDescent="0.3">
      <c r="Y1977" s="48" t="str">
        <f ca="1">IF(AND('Planning Sheet'!BO500='Weeks Plan'!$D$6,'Planning Sheet'!BI500='Weeks Plan'!$G$6),'Planning Sheet'!$B500,"")</f>
        <v/>
      </c>
      <c r="Z1977" s="48" t="str">
        <f ca="1">IF(AND('Planning Sheet'!BO500='Weeks Plan'!$D$6,'Planning Sheet'!BI500='Weeks Plan'!$G$6),'Planning Sheet'!$BJ500,"")</f>
        <v/>
      </c>
      <c r="AA1977" s="48" t="str">
        <f ca="1">IF(AND('Planning Sheet'!BO500='Weeks Plan'!$D$6,'Planning Sheet'!BI500='Weeks Plan'!$G$6),'Planning Sheet'!$BK500,"")</f>
        <v/>
      </c>
    </row>
    <row r="1979" spans="25:27" x14ac:dyDescent="0.3">
      <c r="Y1979" s="47" t="str">
        <f ca="1">IF(AND('Planning Sheet'!BV8='Weeks Plan'!$D$6,'Planning Sheet'!BP8='Weeks Plan'!$G$6),'Planning Sheet'!$B8,"")</f>
        <v/>
      </c>
      <c r="Z1979" s="47" t="str">
        <f ca="1">IF(AND('Planning Sheet'!BV8='Weeks Plan'!$D$6,'Planning Sheet'!BP8='Weeks Plan'!$G$6),'Planning Sheet'!$BQ8,"")</f>
        <v/>
      </c>
      <c r="AA1979" s="47" t="str">
        <f ca="1">IF(AND('Planning Sheet'!BV8='Weeks Plan'!$D$6,'Planning Sheet'!BP8='Weeks Plan'!$G$6),'Planning Sheet'!$BR8,"")</f>
        <v/>
      </c>
    </row>
    <row r="1980" spans="25:27" x14ac:dyDescent="0.3">
      <c r="Y1980" s="48" t="str">
        <f ca="1">IF(AND('Planning Sheet'!BV9='Weeks Plan'!$D$6,'Planning Sheet'!BP9='Weeks Plan'!$G$6),'Planning Sheet'!$B9,"")</f>
        <v/>
      </c>
      <c r="Z1980" s="48" t="str">
        <f ca="1">IF(AND('Planning Sheet'!BV9='Weeks Plan'!$D$6,'Planning Sheet'!BP9='Weeks Plan'!$G$6),'Planning Sheet'!$BQ9,"")</f>
        <v/>
      </c>
      <c r="AA1980" s="48" t="str">
        <f ca="1">IF(AND('Planning Sheet'!BV9='Weeks Plan'!$D$6,'Planning Sheet'!BP9='Weeks Plan'!$G$6),'Planning Sheet'!$BR9,"")</f>
        <v/>
      </c>
    </row>
    <row r="1981" spans="25:27" x14ac:dyDescent="0.3">
      <c r="Y1981" s="48" t="str">
        <f ca="1">IF(AND('Planning Sheet'!BV10='Weeks Plan'!$D$6,'Planning Sheet'!BP10='Weeks Plan'!$G$6),'Planning Sheet'!$B10,"")</f>
        <v/>
      </c>
      <c r="Z1981" s="48" t="str">
        <f ca="1">IF(AND('Planning Sheet'!BV10='Weeks Plan'!$D$6,'Planning Sheet'!BP10='Weeks Plan'!$G$6),'Planning Sheet'!$BQ10,"")</f>
        <v/>
      </c>
      <c r="AA1981" s="48" t="str">
        <f ca="1">IF(AND('Planning Sheet'!BV10='Weeks Plan'!$D$6,'Planning Sheet'!BP10='Weeks Plan'!$G$6),'Planning Sheet'!$BR10,"")</f>
        <v/>
      </c>
    </row>
    <row r="1982" spans="25:27" x14ac:dyDescent="0.3">
      <c r="Y1982" s="48" t="str">
        <f ca="1">IF(AND('Planning Sheet'!BV11='Weeks Plan'!$D$6,'Planning Sheet'!BP11='Weeks Plan'!$G$6),'Planning Sheet'!$B11,"")</f>
        <v/>
      </c>
      <c r="Z1982" s="48" t="str">
        <f ca="1">IF(AND('Planning Sheet'!BV11='Weeks Plan'!$D$6,'Planning Sheet'!BP11='Weeks Plan'!$G$6),'Planning Sheet'!$BQ11,"")</f>
        <v/>
      </c>
      <c r="AA1982" s="48" t="str">
        <f ca="1">IF(AND('Planning Sheet'!BV11='Weeks Plan'!$D$6,'Planning Sheet'!BP11='Weeks Plan'!$G$6),'Planning Sheet'!$BR11,"")</f>
        <v/>
      </c>
    </row>
    <row r="1983" spans="25:27" x14ac:dyDescent="0.3">
      <c r="Y1983" s="48" t="str">
        <f ca="1">IF(AND('Planning Sheet'!BV12='Weeks Plan'!$D$6,'Planning Sheet'!BP12='Weeks Plan'!$G$6),'Planning Sheet'!$B12,"")</f>
        <v/>
      </c>
      <c r="Z1983" s="48" t="str">
        <f ca="1">IF(AND('Planning Sheet'!BV12='Weeks Plan'!$D$6,'Planning Sheet'!BP12='Weeks Plan'!$G$6),'Planning Sheet'!$BQ12,"")</f>
        <v/>
      </c>
      <c r="AA1983" s="48" t="str">
        <f ca="1">IF(AND('Planning Sheet'!BV12='Weeks Plan'!$D$6,'Planning Sheet'!BP12='Weeks Plan'!$G$6),'Planning Sheet'!$BR12,"")</f>
        <v/>
      </c>
    </row>
    <row r="1984" spans="25:27" x14ac:dyDescent="0.3">
      <c r="Y1984" s="48" t="str">
        <f ca="1">IF(AND('Planning Sheet'!BV13='Weeks Plan'!$D$6,'Planning Sheet'!BP13='Weeks Plan'!$G$6),'Planning Sheet'!$B13,"")</f>
        <v/>
      </c>
      <c r="Z1984" s="48" t="str">
        <f ca="1">IF(AND('Planning Sheet'!BV13='Weeks Plan'!$D$6,'Planning Sheet'!BP13='Weeks Plan'!$G$6),'Planning Sheet'!$BQ13,"")</f>
        <v/>
      </c>
      <c r="AA1984" s="48" t="str">
        <f ca="1">IF(AND('Planning Sheet'!BV13='Weeks Plan'!$D$6,'Planning Sheet'!BP13='Weeks Plan'!$G$6),'Planning Sheet'!$BR13,"")</f>
        <v/>
      </c>
    </row>
    <row r="1985" spans="25:27" x14ac:dyDescent="0.3">
      <c r="Y1985" s="48" t="str">
        <f ca="1">IF(AND('Planning Sheet'!BV14='Weeks Plan'!$D$6,'Planning Sheet'!BP14='Weeks Plan'!$G$6),'Planning Sheet'!$B14,"")</f>
        <v/>
      </c>
      <c r="Z1985" s="48" t="str">
        <f ca="1">IF(AND('Planning Sheet'!BV14='Weeks Plan'!$D$6,'Planning Sheet'!BP14='Weeks Plan'!$G$6),'Planning Sheet'!$BQ14,"")</f>
        <v/>
      </c>
      <c r="AA1985" s="48" t="str">
        <f ca="1">IF(AND('Planning Sheet'!BV14='Weeks Plan'!$D$6,'Planning Sheet'!BP14='Weeks Plan'!$G$6),'Planning Sheet'!$BR14,"")</f>
        <v/>
      </c>
    </row>
    <row r="1986" spans="25:27" x14ac:dyDescent="0.3">
      <c r="Y1986" s="48" t="str">
        <f ca="1">IF(AND('Planning Sheet'!BV15='Weeks Plan'!$D$6,'Planning Sheet'!BP15='Weeks Plan'!$G$6),'Planning Sheet'!$B15,"")</f>
        <v/>
      </c>
      <c r="Z1986" s="48" t="str">
        <f ca="1">IF(AND('Planning Sheet'!BV15='Weeks Plan'!$D$6,'Planning Sheet'!BP15='Weeks Plan'!$G$6),'Planning Sheet'!$BQ15,"")</f>
        <v/>
      </c>
      <c r="AA1986" s="48" t="str">
        <f ca="1">IF(AND('Planning Sheet'!BV15='Weeks Plan'!$D$6,'Planning Sheet'!BP15='Weeks Plan'!$G$6),'Planning Sheet'!$BR15,"")</f>
        <v/>
      </c>
    </row>
    <row r="1987" spans="25:27" x14ac:dyDescent="0.3">
      <c r="Y1987" s="48" t="str">
        <f ca="1">IF(AND('Planning Sheet'!BV16='Weeks Plan'!$D$6,'Planning Sheet'!BP16='Weeks Plan'!$G$6),'Planning Sheet'!$B16,"")</f>
        <v/>
      </c>
      <c r="Z1987" s="48" t="str">
        <f ca="1">IF(AND('Planning Sheet'!BV16='Weeks Plan'!$D$6,'Planning Sheet'!BP16='Weeks Plan'!$G$6),'Planning Sheet'!$BQ16,"")</f>
        <v/>
      </c>
      <c r="AA1987" s="48" t="str">
        <f ca="1">IF(AND('Planning Sheet'!BV16='Weeks Plan'!$D$6,'Planning Sheet'!BP16='Weeks Plan'!$G$6),'Planning Sheet'!$BR16,"")</f>
        <v/>
      </c>
    </row>
    <row r="1988" spans="25:27" x14ac:dyDescent="0.3">
      <c r="Y1988" s="48" t="str">
        <f ca="1">IF(AND('Planning Sheet'!BV17='Weeks Plan'!$D$6,'Planning Sheet'!BP17='Weeks Plan'!$G$6),'Planning Sheet'!$B17,"")</f>
        <v/>
      </c>
      <c r="Z1988" s="48" t="str">
        <f ca="1">IF(AND('Planning Sheet'!BV17='Weeks Plan'!$D$6,'Planning Sheet'!BP17='Weeks Plan'!$G$6),'Planning Sheet'!$BQ17,"")</f>
        <v/>
      </c>
      <c r="AA1988" s="48" t="str">
        <f ca="1">IF(AND('Planning Sheet'!BV17='Weeks Plan'!$D$6,'Planning Sheet'!BP17='Weeks Plan'!$G$6),'Planning Sheet'!$BR17,"")</f>
        <v/>
      </c>
    </row>
    <row r="1989" spans="25:27" x14ac:dyDescent="0.3">
      <c r="Y1989" s="48" t="str">
        <f ca="1">IF(AND('Planning Sheet'!BV18='Weeks Plan'!$D$6,'Planning Sheet'!BP18='Weeks Plan'!$G$6),'Planning Sheet'!$B18,"")</f>
        <v/>
      </c>
      <c r="Z1989" s="48" t="str">
        <f ca="1">IF(AND('Planning Sheet'!BV18='Weeks Plan'!$D$6,'Planning Sheet'!BP18='Weeks Plan'!$G$6),'Planning Sheet'!$BQ18,"")</f>
        <v/>
      </c>
      <c r="AA1989" s="48" t="str">
        <f ca="1">IF(AND('Planning Sheet'!BV18='Weeks Plan'!$D$6,'Planning Sheet'!BP18='Weeks Plan'!$G$6),'Planning Sheet'!$BR18,"")</f>
        <v/>
      </c>
    </row>
    <row r="1990" spans="25:27" x14ac:dyDescent="0.3">
      <c r="Y1990" s="48" t="str">
        <f ca="1">IF(AND('Planning Sheet'!BV19='Weeks Plan'!$D$6,'Planning Sheet'!BP19='Weeks Plan'!$G$6),'Planning Sheet'!$B19,"")</f>
        <v/>
      </c>
      <c r="Z1990" s="48" t="str">
        <f ca="1">IF(AND('Planning Sheet'!BV19='Weeks Plan'!$D$6,'Planning Sheet'!BP19='Weeks Plan'!$G$6),'Planning Sheet'!$BQ19,"")</f>
        <v/>
      </c>
      <c r="AA1990" s="48" t="str">
        <f ca="1">IF(AND('Planning Sheet'!BV19='Weeks Plan'!$D$6,'Planning Sheet'!BP19='Weeks Plan'!$G$6),'Planning Sheet'!$BR19,"")</f>
        <v/>
      </c>
    </row>
    <row r="1991" spans="25:27" x14ac:dyDescent="0.3">
      <c r="Y1991" s="48" t="str">
        <f ca="1">IF(AND('Planning Sheet'!BV20='Weeks Plan'!$D$6,'Planning Sheet'!BP20='Weeks Plan'!$G$6),'Planning Sheet'!$B20,"")</f>
        <v/>
      </c>
      <c r="Z1991" s="48" t="str">
        <f ca="1">IF(AND('Planning Sheet'!BV20='Weeks Plan'!$D$6,'Planning Sheet'!BP20='Weeks Plan'!$G$6),'Planning Sheet'!$BQ20,"")</f>
        <v/>
      </c>
      <c r="AA1991" s="48" t="str">
        <f ca="1">IF(AND('Planning Sheet'!BV20='Weeks Plan'!$D$6,'Planning Sheet'!BP20='Weeks Plan'!$G$6),'Planning Sheet'!$BR20,"")</f>
        <v/>
      </c>
    </row>
    <row r="1992" spans="25:27" x14ac:dyDescent="0.3">
      <c r="Y1992" s="48" t="str">
        <f ca="1">IF(AND('Planning Sheet'!BV21='Weeks Plan'!$D$6,'Planning Sheet'!BP21='Weeks Plan'!$G$6),'Planning Sheet'!$B21,"")</f>
        <v/>
      </c>
      <c r="Z1992" s="48" t="str">
        <f ca="1">IF(AND('Planning Sheet'!BV21='Weeks Plan'!$D$6,'Planning Sheet'!BP21='Weeks Plan'!$G$6),'Planning Sheet'!$BQ21,"")</f>
        <v/>
      </c>
      <c r="AA1992" s="48" t="str">
        <f ca="1">IF(AND('Planning Sheet'!BV21='Weeks Plan'!$D$6,'Planning Sheet'!BP21='Weeks Plan'!$G$6),'Planning Sheet'!$BR21,"")</f>
        <v/>
      </c>
    </row>
    <row r="1993" spans="25:27" x14ac:dyDescent="0.3">
      <c r="Y1993" s="48" t="str">
        <f ca="1">IF(AND('Planning Sheet'!BV22='Weeks Plan'!$D$6,'Planning Sheet'!BP22='Weeks Plan'!$G$6),'Planning Sheet'!$B22,"")</f>
        <v/>
      </c>
      <c r="Z1993" s="48" t="str">
        <f ca="1">IF(AND('Planning Sheet'!BV22='Weeks Plan'!$D$6,'Planning Sheet'!BP22='Weeks Plan'!$G$6),'Planning Sheet'!$BQ22,"")</f>
        <v/>
      </c>
      <c r="AA1993" s="48" t="str">
        <f ca="1">IF(AND('Planning Sheet'!BV22='Weeks Plan'!$D$6,'Planning Sheet'!BP22='Weeks Plan'!$G$6),'Planning Sheet'!$BR22,"")</f>
        <v/>
      </c>
    </row>
    <row r="1994" spans="25:27" x14ac:dyDescent="0.3">
      <c r="Y1994" s="48" t="str">
        <f ca="1">IF(AND('Planning Sheet'!BV23='Weeks Plan'!$D$6,'Planning Sheet'!BP23='Weeks Plan'!$G$6),'Planning Sheet'!$B23,"")</f>
        <v/>
      </c>
      <c r="Z1994" s="48" t="str">
        <f ca="1">IF(AND('Planning Sheet'!BV23='Weeks Plan'!$D$6,'Planning Sheet'!BP23='Weeks Plan'!$G$6),'Planning Sheet'!$BQ23,"")</f>
        <v/>
      </c>
      <c r="AA1994" s="48" t="str">
        <f ca="1">IF(AND('Planning Sheet'!BV23='Weeks Plan'!$D$6,'Planning Sheet'!BP23='Weeks Plan'!$G$6),'Planning Sheet'!$BR23,"")</f>
        <v/>
      </c>
    </row>
    <row r="1995" spans="25:27" x14ac:dyDescent="0.3">
      <c r="Y1995" s="48" t="str">
        <f ca="1">IF(AND('Planning Sheet'!BV24='Weeks Plan'!$D$6,'Planning Sheet'!BP24='Weeks Plan'!$G$6),'Planning Sheet'!$B24,"")</f>
        <v/>
      </c>
      <c r="Z1995" s="48" t="str">
        <f ca="1">IF(AND('Planning Sheet'!BV24='Weeks Plan'!$D$6,'Planning Sheet'!BP24='Weeks Plan'!$G$6),'Planning Sheet'!$BQ24,"")</f>
        <v/>
      </c>
      <c r="AA1995" s="48" t="str">
        <f ca="1">IF(AND('Planning Sheet'!BV24='Weeks Plan'!$D$6,'Planning Sheet'!BP24='Weeks Plan'!$G$6),'Planning Sheet'!$BR24,"")</f>
        <v/>
      </c>
    </row>
    <row r="1996" spans="25:27" x14ac:dyDescent="0.3">
      <c r="Y1996" s="48" t="str">
        <f ca="1">IF(AND('Planning Sheet'!BV25='Weeks Plan'!$D$6,'Planning Sheet'!BP25='Weeks Plan'!$G$6),'Planning Sheet'!$B25,"")</f>
        <v/>
      </c>
      <c r="Z1996" s="48" t="str">
        <f ca="1">IF(AND('Planning Sheet'!BV25='Weeks Plan'!$D$6,'Planning Sheet'!BP25='Weeks Plan'!$G$6),'Planning Sheet'!$BQ25,"")</f>
        <v/>
      </c>
      <c r="AA1996" s="48" t="str">
        <f ca="1">IF(AND('Planning Sheet'!BV25='Weeks Plan'!$D$6,'Planning Sheet'!BP25='Weeks Plan'!$G$6),'Planning Sheet'!$BR25,"")</f>
        <v/>
      </c>
    </row>
    <row r="1997" spans="25:27" x14ac:dyDescent="0.3">
      <c r="Y1997" s="48" t="str">
        <f ca="1">IF(AND('Planning Sheet'!BV26='Weeks Plan'!$D$6,'Planning Sheet'!BP26='Weeks Plan'!$G$6),'Planning Sheet'!$B26,"")</f>
        <v/>
      </c>
      <c r="Z1997" s="48" t="str">
        <f ca="1">IF(AND('Planning Sheet'!BV26='Weeks Plan'!$D$6,'Planning Sheet'!BP26='Weeks Plan'!$G$6),'Planning Sheet'!$BQ26,"")</f>
        <v/>
      </c>
      <c r="AA1997" s="48" t="str">
        <f ca="1">IF(AND('Planning Sheet'!BV26='Weeks Plan'!$D$6,'Planning Sheet'!BP26='Weeks Plan'!$G$6),'Planning Sheet'!$BR26,"")</f>
        <v/>
      </c>
    </row>
    <row r="1998" spans="25:27" x14ac:dyDescent="0.3">
      <c r="Y1998" s="48" t="str">
        <f ca="1">IF(AND('Planning Sheet'!BV27='Weeks Plan'!$D$6,'Planning Sheet'!BP27='Weeks Plan'!$G$6),'Planning Sheet'!$B27,"")</f>
        <v/>
      </c>
      <c r="Z1998" s="48" t="str">
        <f ca="1">IF(AND('Planning Sheet'!BV27='Weeks Plan'!$D$6,'Planning Sheet'!BP27='Weeks Plan'!$G$6),'Planning Sheet'!$BQ27,"")</f>
        <v/>
      </c>
      <c r="AA1998" s="48" t="str">
        <f ca="1">IF(AND('Planning Sheet'!BV27='Weeks Plan'!$D$6,'Planning Sheet'!BP27='Weeks Plan'!$G$6),'Planning Sheet'!$BR27,"")</f>
        <v/>
      </c>
    </row>
    <row r="1999" spans="25:27" x14ac:dyDescent="0.3">
      <c r="Y1999" s="48" t="str">
        <f ca="1">IF(AND('Planning Sheet'!BV28='Weeks Plan'!$D$6,'Planning Sheet'!BP28='Weeks Plan'!$G$6),'Planning Sheet'!$B28,"")</f>
        <v/>
      </c>
      <c r="Z1999" s="48" t="str">
        <f ca="1">IF(AND('Planning Sheet'!BV28='Weeks Plan'!$D$6,'Planning Sheet'!BP28='Weeks Plan'!$G$6),'Planning Sheet'!$BQ28,"")</f>
        <v/>
      </c>
      <c r="AA1999" s="48" t="str">
        <f ca="1">IF(AND('Planning Sheet'!BV28='Weeks Plan'!$D$6,'Planning Sheet'!BP28='Weeks Plan'!$G$6),'Planning Sheet'!$BR28,"")</f>
        <v/>
      </c>
    </row>
    <row r="2000" spans="25:27" x14ac:dyDescent="0.3">
      <c r="Y2000" s="48" t="str">
        <f ca="1">IF(AND('Planning Sheet'!BV29='Weeks Plan'!$D$6,'Planning Sheet'!BP29='Weeks Plan'!$G$6),'Planning Sheet'!$B29,"")</f>
        <v/>
      </c>
      <c r="Z2000" s="48" t="str">
        <f ca="1">IF(AND('Planning Sheet'!BV29='Weeks Plan'!$D$6,'Planning Sheet'!BP29='Weeks Plan'!$G$6),'Planning Sheet'!$BQ29,"")</f>
        <v/>
      </c>
      <c r="AA2000" s="48" t="str">
        <f ca="1">IF(AND('Planning Sheet'!BV29='Weeks Plan'!$D$6,'Planning Sheet'!BP29='Weeks Plan'!$G$6),'Planning Sheet'!$BR29,"")</f>
        <v/>
      </c>
    </row>
    <row r="2001" spans="25:27" x14ac:dyDescent="0.3">
      <c r="Y2001" s="48" t="str">
        <f ca="1">IF(AND('Planning Sheet'!BV30='Weeks Plan'!$D$6,'Planning Sheet'!BP30='Weeks Plan'!$G$6),'Planning Sheet'!$B30,"")</f>
        <v/>
      </c>
      <c r="Z2001" s="48" t="str">
        <f ca="1">IF(AND('Planning Sheet'!BV30='Weeks Plan'!$D$6,'Planning Sheet'!BP30='Weeks Plan'!$G$6),'Planning Sheet'!$BQ30,"")</f>
        <v/>
      </c>
      <c r="AA2001" s="48" t="str">
        <f ca="1">IF(AND('Planning Sheet'!BV30='Weeks Plan'!$D$6,'Planning Sheet'!BP30='Weeks Plan'!$G$6),'Planning Sheet'!$BR30,"")</f>
        <v/>
      </c>
    </row>
    <row r="2002" spans="25:27" x14ac:dyDescent="0.3">
      <c r="Y2002" s="48" t="str">
        <f ca="1">IF(AND('Planning Sheet'!BV31='Weeks Plan'!$D$6,'Planning Sheet'!BP31='Weeks Plan'!$G$6),'Planning Sheet'!$B31,"")</f>
        <v/>
      </c>
      <c r="Z2002" s="48" t="str">
        <f ca="1">IF(AND('Planning Sheet'!BV31='Weeks Plan'!$D$6,'Planning Sheet'!BP31='Weeks Plan'!$G$6),'Planning Sheet'!$BQ31,"")</f>
        <v/>
      </c>
      <c r="AA2002" s="48" t="str">
        <f ca="1">IF(AND('Planning Sheet'!BV31='Weeks Plan'!$D$6,'Planning Sheet'!BP31='Weeks Plan'!$G$6),'Planning Sheet'!$BR31,"")</f>
        <v/>
      </c>
    </row>
    <row r="2003" spans="25:27" x14ac:dyDescent="0.3">
      <c r="Y2003" s="48" t="str">
        <f ca="1">IF(AND('Planning Sheet'!BV32='Weeks Plan'!$D$6,'Planning Sheet'!BP32='Weeks Plan'!$G$6),'Planning Sheet'!$B32,"")</f>
        <v/>
      </c>
      <c r="Z2003" s="48" t="str">
        <f ca="1">IF(AND('Planning Sheet'!BV32='Weeks Plan'!$D$6,'Planning Sheet'!BP32='Weeks Plan'!$G$6),'Planning Sheet'!$BQ32,"")</f>
        <v/>
      </c>
      <c r="AA2003" s="48" t="str">
        <f ca="1">IF(AND('Planning Sheet'!BV32='Weeks Plan'!$D$6,'Planning Sheet'!BP32='Weeks Plan'!$G$6),'Planning Sheet'!$BR32,"")</f>
        <v/>
      </c>
    </row>
    <row r="2004" spans="25:27" x14ac:dyDescent="0.3">
      <c r="Y2004" s="48" t="str">
        <f ca="1">IF(AND('Planning Sheet'!BV33='Weeks Plan'!$D$6,'Planning Sheet'!BP33='Weeks Plan'!$G$6),'Planning Sheet'!$B33,"")</f>
        <v/>
      </c>
      <c r="Z2004" s="48" t="str">
        <f ca="1">IF(AND('Planning Sheet'!BV33='Weeks Plan'!$D$6,'Planning Sheet'!BP33='Weeks Plan'!$G$6),'Planning Sheet'!$BQ33,"")</f>
        <v/>
      </c>
      <c r="AA2004" s="48" t="str">
        <f ca="1">IF(AND('Planning Sheet'!BV33='Weeks Plan'!$D$6,'Planning Sheet'!BP33='Weeks Plan'!$G$6),'Planning Sheet'!$BR33,"")</f>
        <v/>
      </c>
    </row>
    <row r="2005" spans="25:27" x14ac:dyDescent="0.3">
      <c r="Y2005" s="48" t="str">
        <f ca="1">IF(AND('Planning Sheet'!BV34='Weeks Plan'!$D$6,'Planning Sheet'!BP34='Weeks Plan'!$G$6),'Planning Sheet'!$B34,"")</f>
        <v/>
      </c>
      <c r="Z2005" s="48" t="str">
        <f ca="1">IF(AND('Planning Sheet'!BV34='Weeks Plan'!$D$6,'Planning Sheet'!BP34='Weeks Plan'!$G$6),'Planning Sheet'!$BQ34,"")</f>
        <v/>
      </c>
      <c r="AA2005" s="48" t="str">
        <f ca="1">IF(AND('Planning Sheet'!BV34='Weeks Plan'!$D$6,'Planning Sheet'!BP34='Weeks Plan'!$G$6),'Planning Sheet'!$BR34,"")</f>
        <v/>
      </c>
    </row>
    <row r="2006" spans="25:27" x14ac:dyDescent="0.3">
      <c r="Y2006" s="48" t="str">
        <f ca="1">IF(AND('Planning Sheet'!BV35='Weeks Plan'!$D$6,'Planning Sheet'!BP35='Weeks Plan'!$G$6),'Planning Sheet'!$B35,"")</f>
        <v/>
      </c>
      <c r="Z2006" s="48" t="str">
        <f ca="1">IF(AND('Planning Sheet'!BV35='Weeks Plan'!$D$6,'Planning Sheet'!BP35='Weeks Plan'!$G$6),'Planning Sheet'!$BQ35,"")</f>
        <v/>
      </c>
      <c r="AA2006" s="48" t="str">
        <f ca="1">IF(AND('Planning Sheet'!BV35='Weeks Plan'!$D$6,'Planning Sheet'!BP35='Weeks Plan'!$G$6),'Planning Sheet'!$BR35,"")</f>
        <v/>
      </c>
    </row>
    <row r="2007" spans="25:27" x14ac:dyDescent="0.3">
      <c r="Y2007" s="48" t="str">
        <f ca="1">IF(AND('Planning Sheet'!BV36='Weeks Plan'!$D$6,'Planning Sheet'!BP36='Weeks Plan'!$G$6),'Planning Sheet'!$B36,"")</f>
        <v/>
      </c>
      <c r="Z2007" s="48" t="str">
        <f ca="1">IF(AND('Planning Sheet'!BV36='Weeks Plan'!$D$6,'Planning Sheet'!BP36='Weeks Plan'!$G$6),'Planning Sheet'!$BQ36,"")</f>
        <v/>
      </c>
      <c r="AA2007" s="48" t="str">
        <f ca="1">IF(AND('Planning Sheet'!BV36='Weeks Plan'!$D$6,'Planning Sheet'!BP36='Weeks Plan'!$G$6),'Planning Sheet'!$BR36,"")</f>
        <v/>
      </c>
    </row>
    <row r="2008" spans="25:27" x14ac:dyDescent="0.3">
      <c r="Y2008" s="48" t="str">
        <f ca="1">IF(AND('Planning Sheet'!BV37='Weeks Plan'!$D$6,'Planning Sheet'!BP37='Weeks Plan'!$G$6),'Planning Sheet'!$B37,"")</f>
        <v/>
      </c>
      <c r="Z2008" s="48" t="str">
        <f ca="1">IF(AND('Planning Sheet'!BV37='Weeks Plan'!$D$6,'Planning Sheet'!BP37='Weeks Plan'!$G$6),'Planning Sheet'!$BQ37,"")</f>
        <v/>
      </c>
      <c r="AA2008" s="48" t="str">
        <f ca="1">IF(AND('Planning Sheet'!BV37='Weeks Plan'!$D$6,'Planning Sheet'!BP37='Weeks Plan'!$G$6),'Planning Sheet'!$BR37,"")</f>
        <v/>
      </c>
    </row>
    <row r="2009" spans="25:27" x14ac:dyDescent="0.3">
      <c r="Y2009" s="48" t="str">
        <f ca="1">IF(AND('Planning Sheet'!BV38='Weeks Plan'!$D$6,'Planning Sheet'!BP38='Weeks Plan'!$G$6),'Planning Sheet'!$B38,"")</f>
        <v/>
      </c>
      <c r="Z2009" s="48" t="str">
        <f ca="1">IF(AND('Planning Sheet'!BV38='Weeks Plan'!$D$6,'Planning Sheet'!BP38='Weeks Plan'!$G$6),'Planning Sheet'!$BQ38,"")</f>
        <v/>
      </c>
      <c r="AA2009" s="48" t="str">
        <f ca="1">IF(AND('Planning Sheet'!BV38='Weeks Plan'!$D$6,'Planning Sheet'!BP38='Weeks Plan'!$G$6),'Planning Sheet'!$BR38,"")</f>
        <v/>
      </c>
    </row>
    <row r="2010" spans="25:27" x14ac:dyDescent="0.3">
      <c r="Y2010" s="48" t="str">
        <f ca="1">IF(AND('Planning Sheet'!BV39='Weeks Plan'!$D$6,'Planning Sheet'!BP39='Weeks Plan'!$G$6),'Planning Sheet'!$B39,"")</f>
        <v/>
      </c>
      <c r="Z2010" s="48" t="str">
        <f ca="1">IF(AND('Planning Sheet'!BV39='Weeks Plan'!$D$6,'Planning Sheet'!BP39='Weeks Plan'!$G$6),'Planning Sheet'!$BQ39,"")</f>
        <v/>
      </c>
      <c r="AA2010" s="48" t="str">
        <f ca="1">IF(AND('Planning Sheet'!BV39='Weeks Plan'!$D$6,'Planning Sheet'!BP39='Weeks Plan'!$G$6),'Planning Sheet'!$BR39,"")</f>
        <v/>
      </c>
    </row>
    <row r="2011" spans="25:27" x14ac:dyDescent="0.3">
      <c r="Y2011" s="48" t="str">
        <f ca="1">IF(AND('Planning Sheet'!BV40='Weeks Plan'!$D$6,'Planning Sheet'!BP40='Weeks Plan'!$G$6),'Planning Sheet'!$B40,"")</f>
        <v/>
      </c>
      <c r="Z2011" s="48" t="str">
        <f ca="1">IF(AND('Planning Sheet'!BV40='Weeks Plan'!$D$6,'Planning Sheet'!BP40='Weeks Plan'!$G$6),'Planning Sheet'!$BQ40,"")</f>
        <v/>
      </c>
      <c r="AA2011" s="48" t="str">
        <f ca="1">IF(AND('Planning Sheet'!BV40='Weeks Plan'!$D$6,'Planning Sheet'!BP40='Weeks Plan'!$G$6),'Planning Sheet'!$BR40,"")</f>
        <v/>
      </c>
    </row>
    <row r="2012" spans="25:27" x14ac:dyDescent="0.3">
      <c r="Y2012" s="48" t="str">
        <f ca="1">IF(AND('Planning Sheet'!BV41='Weeks Plan'!$D$6,'Planning Sheet'!BP41='Weeks Plan'!$G$6),'Planning Sheet'!$B41,"")</f>
        <v/>
      </c>
      <c r="Z2012" s="48" t="str">
        <f ca="1">IF(AND('Planning Sheet'!BV41='Weeks Plan'!$D$6,'Planning Sheet'!BP41='Weeks Plan'!$G$6),'Planning Sheet'!$BQ41,"")</f>
        <v/>
      </c>
      <c r="AA2012" s="48" t="str">
        <f ca="1">IF(AND('Planning Sheet'!BV41='Weeks Plan'!$D$6,'Planning Sheet'!BP41='Weeks Plan'!$G$6),'Planning Sheet'!$BR41,"")</f>
        <v/>
      </c>
    </row>
    <row r="2013" spans="25:27" x14ac:dyDescent="0.3">
      <c r="Y2013" s="48" t="str">
        <f ca="1">IF(AND('Planning Sheet'!BV42='Weeks Plan'!$D$6,'Planning Sheet'!BP42='Weeks Plan'!$G$6),'Planning Sheet'!$B42,"")</f>
        <v/>
      </c>
      <c r="Z2013" s="48" t="str">
        <f ca="1">IF(AND('Planning Sheet'!BV42='Weeks Plan'!$D$6,'Planning Sheet'!BP42='Weeks Plan'!$G$6),'Planning Sheet'!$BQ42,"")</f>
        <v/>
      </c>
      <c r="AA2013" s="48" t="str">
        <f ca="1">IF(AND('Planning Sheet'!BV42='Weeks Plan'!$D$6,'Planning Sheet'!BP42='Weeks Plan'!$G$6),'Planning Sheet'!$BR42,"")</f>
        <v/>
      </c>
    </row>
    <row r="2014" spans="25:27" x14ac:dyDescent="0.3">
      <c r="Y2014" s="48" t="str">
        <f ca="1">IF(AND('Planning Sheet'!BV43='Weeks Plan'!$D$6,'Planning Sheet'!BP43='Weeks Plan'!$G$6),'Planning Sheet'!$B43,"")</f>
        <v/>
      </c>
      <c r="Z2014" s="48" t="str">
        <f ca="1">IF(AND('Planning Sheet'!BV43='Weeks Plan'!$D$6,'Planning Sheet'!BP43='Weeks Plan'!$G$6),'Planning Sheet'!$BQ43,"")</f>
        <v/>
      </c>
      <c r="AA2014" s="48" t="str">
        <f ca="1">IF(AND('Planning Sheet'!BV43='Weeks Plan'!$D$6,'Planning Sheet'!BP43='Weeks Plan'!$G$6),'Planning Sheet'!$BR43,"")</f>
        <v/>
      </c>
    </row>
    <row r="2015" spans="25:27" x14ac:dyDescent="0.3">
      <c r="Y2015" s="48" t="str">
        <f ca="1">IF(AND('Planning Sheet'!BV44='Weeks Plan'!$D$6,'Planning Sheet'!BP44='Weeks Plan'!$G$6),'Planning Sheet'!$B44,"")</f>
        <v/>
      </c>
      <c r="Z2015" s="48" t="str">
        <f ca="1">IF(AND('Planning Sheet'!BV44='Weeks Plan'!$D$6,'Planning Sheet'!BP44='Weeks Plan'!$G$6),'Planning Sheet'!$BQ44,"")</f>
        <v/>
      </c>
      <c r="AA2015" s="48" t="str">
        <f ca="1">IF(AND('Planning Sheet'!BV44='Weeks Plan'!$D$6,'Planning Sheet'!BP44='Weeks Plan'!$G$6),'Planning Sheet'!$BR44,"")</f>
        <v/>
      </c>
    </row>
    <row r="2016" spans="25:27" x14ac:dyDescent="0.3">
      <c r="Y2016" s="48" t="str">
        <f ca="1">IF(AND('Planning Sheet'!BV45='Weeks Plan'!$D$6,'Planning Sheet'!BP45='Weeks Plan'!$G$6),'Planning Sheet'!$B45,"")</f>
        <v/>
      </c>
      <c r="Z2016" s="48" t="str">
        <f ca="1">IF(AND('Planning Sheet'!BV45='Weeks Plan'!$D$6,'Planning Sheet'!BP45='Weeks Plan'!$G$6),'Planning Sheet'!$BQ45,"")</f>
        <v/>
      </c>
      <c r="AA2016" s="48" t="str">
        <f ca="1">IF(AND('Planning Sheet'!BV45='Weeks Plan'!$D$6,'Planning Sheet'!BP45='Weeks Plan'!$G$6),'Planning Sheet'!$BR45,"")</f>
        <v/>
      </c>
    </row>
    <row r="2017" spans="25:27" x14ac:dyDescent="0.3">
      <c r="Y2017" s="48" t="str">
        <f ca="1">IF(AND('Planning Sheet'!BV46='Weeks Plan'!$D$6,'Planning Sheet'!BP46='Weeks Plan'!$G$6),'Planning Sheet'!$B46,"")</f>
        <v/>
      </c>
      <c r="Z2017" s="48" t="str">
        <f ca="1">IF(AND('Planning Sheet'!BV46='Weeks Plan'!$D$6,'Planning Sheet'!BP46='Weeks Plan'!$G$6),'Planning Sheet'!$BQ46,"")</f>
        <v/>
      </c>
      <c r="AA2017" s="48" t="str">
        <f ca="1">IF(AND('Planning Sheet'!BV46='Weeks Plan'!$D$6,'Planning Sheet'!BP46='Weeks Plan'!$G$6),'Planning Sheet'!$BR46,"")</f>
        <v/>
      </c>
    </row>
    <row r="2018" spans="25:27" x14ac:dyDescent="0.3">
      <c r="Y2018" s="48" t="str">
        <f ca="1">IF(AND('Planning Sheet'!BV47='Weeks Plan'!$D$6,'Planning Sheet'!BP47='Weeks Plan'!$G$6),'Planning Sheet'!$B47,"")</f>
        <v/>
      </c>
      <c r="Z2018" s="48" t="str">
        <f ca="1">IF(AND('Planning Sheet'!BV47='Weeks Plan'!$D$6,'Planning Sheet'!BP47='Weeks Plan'!$G$6),'Planning Sheet'!$BQ47,"")</f>
        <v/>
      </c>
      <c r="AA2018" s="48" t="str">
        <f ca="1">IF(AND('Planning Sheet'!BV47='Weeks Plan'!$D$6,'Planning Sheet'!BP47='Weeks Plan'!$G$6),'Planning Sheet'!$BR47,"")</f>
        <v/>
      </c>
    </row>
    <row r="2019" spans="25:27" x14ac:dyDescent="0.3">
      <c r="Y2019" s="48" t="str">
        <f ca="1">IF(AND('Planning Sheet'!BV48='Weeks Plan'!$D$6,'Planning Sheet'!BP48='Weeks Plan'!$G$6),'Planning Sheet'!$B48,"")</f>
        <v/>
      </c>
      <c r="Z2019" s="48" t="str">
        <f ca="1">IF(AND('Planning Sheet'!BV48='Weeks Plan'!$D$6,'Planning Sheet'!BP48='Weeks Plan'!$G$6),'Planning Sheet'!$BQ48,"")</f>
        <v/>
      </c>
      <c r="AA2019" s="48" t="str">
        <f ca="1">IF(AND('Planning Sheet'!BV48='Weeks Plan'!$D$6,'Planning Sheet'!BP48='Weeks Plan'!$G$6),'Planning Sheet'!$BR48,"")</f>
        <v/>
      </c>
    </row>
    <row r="2020" spans="25:27" x14ac:dyDescent="0.3">
      <c r="Y2020" s="48" t="str">
        <f ca="1">IF(AND('Planning Sheet'!BV49='Weeks Plan'!$D$6,'Planning Sheet'!BP49='Weeks Plan'!$G$6),'Planning Sheet'!$B49,"")</f>
        <v/>
      </c>
      <c r="Z2020" s="48" t="str">
        <f ca="1">IF(AND('Planning Sheet'!BV49='Weeks Plan'!$D$6,'Planning Sheet'!BP49='Weeks Plan'!$G$6),'Planning Sheet'!$BQ49,"")</f>
        <v/>
      </c>
      <c r="AA2020" s="48" t="str">
        <f ca="1">IF(AND('Planning Sheet'!BV49='Weeks Plan'!$D$6,'Planning Sheet'!BP49='Weeks Plan'!$G$6),'Planning Sheet'!$BR49,"")</f>
        <v/>
      </c>
    </row>
    <row r="2021" spans="25:27" x14ac:dyDescent="0.3">
      <c r="Y2021" s="48" t="str">
        <f ca="1">IF(AND('Planning Sheet'!BV50='Weeks Plan'!$D$6,'Planning Sheet'!BP50='Weeks Plan'!$G$6),'Planning Sheet'!$B50,"")</f>
        <v/>
      </c>
      <c r="Z2021" s="48" t="str">
        <f ca="1">IF(AND('Planning Sheet'!BV50='Weeks Plan'!$D$6,'Planning Sheet'!BP50='Weeks Plan'!$G$6),'Planning Sheet'!$BQ50,"")</f>
        <v/>
      </c>
      <c r="AA2021" s="48" t="str">
        <f ca="1">IF(AND('Planning Sheet'!BV50='Weeks Plan'!$D$6,'Planning Sheet'!BP50='Weeks Plan'!$G$6),'Planning Sheet'!$BR50,"")</f>
        <v/>
      </c>
    </row>
    <row r="2022" spans="25:27" x14ac:dyDescent="0.3">
      <c r="Y2022" s="48" t="str">
        <f ca="1">IF(AND('Planning Sheet'!BV51='Weeks Plan'!$D$6,'Planning Sheet'!BP51='Weeks Plan'!$G$6),'Planning Sheet'!$B51,"")</f>
        <v/>
      </c>
      <c r="Z2022" s="48" t="str">
        <f ca="1">IF(AND('Planning Sheet'!BV51='Weeks Plan'!$D$6,'Planning Sheet'!BP51='Weeks Plan'!$G$6),'Planning Sheet'!$BQ51,"")</f>
        <v/>
      </c>
      <c r="AA2022" s="48" t="str">
        <f ca="1">IF(AND('Planning Sheet'!BV51='Weeks Plan'!$D$6,'Planning Sheet'!BP51='Weeks Plan'!$G$6),'Planning Sheet'!$BR51,"")</f>
        <v/>
      </c>
    </row>
    <row r="2023" spans="25:27" x14ac:dyDescent="0.3">
      <c r="Y2023" s="48" t="str">
        <f ca="1">IF(AND('Planning Sheet'!BV52='Weeks Plan'!$D$6,'Planning Sheet'!BP52='Weeks Plan'!$G$6),'Planning Sheet'!$B52,"")</f>
        <v/>
      </c>
      <c r="Z2023" s="48" t="str">
        <f ca="1">IF(AND('Planning Sheet'!BV52='Weeks Plan'!$D$6,'Planning Sheet'!BP52='Weeks Plan'!$G$6),'Planning Sheet'!$BQ52,"")</f>
        <v/>
      </c>
      <c r="AA2023" s="48" t="str">
        <f ca="1">IF(AND('Planning Sheet'!BV52='Weeks Plan'!$D$6,'Planning Sheet'!BP52='Weeks Plan'!$G$6),'Planning Sheet'!$BR52,"")</f>
        <v/>
      </c>
    </row>
    <row r="2024" spans="25:27" x14ac:dyDescent="0.3">
      <c r="Y2024" s="48" t="str">
        <f ca="1">IF(AND('Planning Sheet'!BV53='Weeks Plan'!$D$6,'Planning Sheet'!BP53='Weeks Plan'!$G$6),'Planning Sheet'!$B53,"")</f>
        <v/>
      </c>
      <c r="Z2024" s="48" t="str">
        <f ca="1">IF(AND('Planning Sheet'!BV53='Weeks Plan'!$D$6,'Planning Sheet'!BP53='Weeks Plan'!$G$6),'Planning Sheet'!$BQ53,"")</f>
        <v/>
      </c>
      <c r="AA2024" s="48" t="str">
        <f ca="1">IF(AND('Planning Sheet'!BV53='Weeks Plan'!$D$6,'Planning Sheet'!BP53='Weeks Plan'!$G$6),'Planning Sheet'!$BR53,"")</f>
        <v/>
      </c>
    </row>
    <row r="2025" spans="25:27" x14ac:dyDescent="0.3">
      <c r="Y2025" s="48" t="str">
        <f ca="1">IF(AND('Planning Sheet'!BV54='Weeks Plan'!$D$6,'Planning Sheet'!BP54='Weeks Plan'!$G$6),'Planning Sheet'!$B54,"")</f>
        <v/>
      </c>
      <c r="Z2025" s="48" t="str">
        <f ca="1">IF(AND('Planning Sheet'!BV54='Weeks Plan'!$D$6,'Planning Sheet'!BP54='Weeks Plan'!$G$6),'Planning Sheet'!$BQ54,"")</f>
        <v/>
      </c>
      <c r="AA2025" s="48" t="str">
        <f ca="1">IF(AND('Planning Sheet'!BV54='Weeks Plan'!$D$6,'Planning Sheet'!BP54='Weeks Plan'!$G$6),'Planning Sheet'!$BR54,"")</f>
        <v/>
      </c>
    </row>
    <row r="2026" spans="25:27" x14ac:dyDescent="0.3">
      <c r="Y2026" s="48" t="str">
        <f ca="1">IF(AND('Planning Sheet'!BV55='Weeks Plan'!$D$6,'Planning Sheet'!BP55='Weeks Plan'!$G$6),'Planning Sheet'!$B55,"")</f>
        <v/>
      </c>
      <c r="Z2026" s="48" t="str">
        <f ca="1">IF(AND('Planning Sheet'!BV55='Weeks Plan'!$D$6,'Planning Sheet'!BP55='Weeks Plan'!$G$6),'Planning Sheet'!$BQ55,"")</f>
        <v/>
      </c>
      <c r="AA2026" s="48" t="str">
        <f ca="1">IF(AND('Planning Sheet'!BV55='Weeks Plan'!$D$6,'Planning Sheet'!BP55='Weeks Plan'!$G$6),'Planning Sheet'!$BR55,"")</f>
        <v/>
      </c>
    </row>
    <row r="2027" spans="25:27" x14ac:dyDescent="0.3">
      <c r="Y2027" s="48" t="str">
        <f ca="1">IF(AND('Planning Sheet'!BV56='Weeks Plan'!$D$6,'Planning Sheet'!BP56='Weeks Plan'!$G$6),'Planning Sheet'!$B56,"")</f>
        <v/>
      </c>
      <c r="Z2027" s="48" t="str">
        <f ca="1">IF(AND('Planning Sheet'!BV56='Weeks Plan'!$D$6,'Planning Sheet'!BP56='Weeks Plan'!$G$6),'Planning Sheet'!$BQ56,"")</f>
        <v/>
      </c>
      <c r="AA2027" s="48" t="str">
        <f ca="1">IF(AND('Planning Sheet'!BV56='Weeks Plan'!$D$6,'Planning Sheet'!BP56='Weeks Plan'!$G$6),'Planning Sheet'!$BR56,"")</f>
        <v/>
      </c>
    </row>
    <row r="2028" spans="25:27" x14ac:dyDescent="0.3">
      <c r="Y2028" s="48" t="str">
        <f ca="1">IF(AND('Planning Sheet'!BV57='Weeks Plan'!$D$6,'Planning Sheet'!BP57='Weeks Plan'!$G$6),'Planning Sheet'!$B57,"")</f>
        <v/>
      </c>
      <c r="Z2028" s="48" t="str">
        <f ca="1">IF(AND('Planning Sheet'!BV57='Weeks Plan'!$D$6,'Planning Sheet'!BP57='Weeks Plan'!$G$6),'Planning Sheet'!$BQ57,"")</f>
        <v/>
      </c>
      <c r="AA2028" s="48" t="str">
        <f ca="1">IF(AND('Planning Sheet'!BV57='Weeks Plan'!$D$6,'Planning Sheet'!BP57='Weeks Plan'!$G$6),'Planning Sheet'!$BR57,"")</f>
        <v/>
      </c>
    </row>
    <row r="2029" spans="25:27" x14ac:dyDescent="0.3">
      <c r="Y2029" s="48" t="str">
        <f ca="1">IF(AND('Planning Sheet'!BV58='Weeks Plan'!$D$6,'Planning Sheet'!BP58='Weeks Plan'!$G$6),'Planning Sheet'!$B58,"")</f>
        <v/>
      </c>
      <c r="Z2029" s="48" t="str">
        <f ca="1">IF(AND('Planning Sheet'!BV58='Weeks Plan'!$D$6,'Planning Sheet'!BP58='Weeks Plan'!$G$6),'Planning Sheet'!$BQ58,"")</f>
        <v/>
      </c>
      <c r="AA2029" s="48" t="str">
        <f ca="1">IF(AND('Planning Sheet'!BV58='Weeks Plan'!$D$6,'Planning Sheet'!BP58='Weeks Plan'!$G$6),'Planning Sheet'!$BR58,"")</f>
        <v/>
      </c>
    </row>
    <row r="2030" spans="25:27" x14ac:dyDescent="0.3">
      <c r="Y2030" s="48" t="str">
        <f ca="1">IF(AND('Planning Sheet'!BV59='Weeks Plan'!$D$6,'Planning Sheet'!BP59='Weeks Plan'!$G$6),'Planning Sheet'!$B59,"")</f>
        <v/>
      </c>
      <c r="Z2030" s="48" t="str">
        <f ca="1">IF(AND('Planning Sheet'!BV59='Weeks Plan'!$D$6,'Planning Sheet'!BP59='Weeks Plan'!$G$6),'Planning Sheet'!$BQ59,"")</f>
        <v/>
      </c>
      <c r="AA2030" s="48" t="str">
        <f ca="1">IF(AND('Planning Sheet'!BV59='Weeks Plan'!$D$6,'Planning Sheet'!BP59='Weeks Plan'!$G$6),'Planning Sheet'!$BR59,"")</f>
        <v/>
      </c>
    </row>
    <row r="2031" spans="25:27" x14ac:dyDescent="0.3">
      <c r="Y2031" s="48" t="str">
        <f ca="1">IF(AND('Planning Sheet'!BV60='Weeks Plan'!$D$6,'Planning Sheet'!BP60='Weeks Plan'!$G$6),'Planning Sheet'!$B60,"")</f>
        <v/>
      </c>
      <c r="Z2031" s="48" t="str">
        <f ca="1">IF(AND('Planning Sheet'!BV60='Weeks Plan'!$D$6,'Planning Sheet'!BP60='Weeks Plan'!$G$6),'Planning Sheet'!$BQ60,"")</f>
        <v/>
      </c>
      <c r="AA2031" s="48" t="str">
        <f ca="1">IF(AND('Planning Sheet'!BV60='Weeks Plan'!$D$6,'Planning Sheet'!BP60='Weeks Plan'!$G$6),'Planning Sheet'!$BR60,"")</f>
        <v/>
      </c>
    </row>
    <row r="2032" spans="25:27" x14ac:dyDescent="0.3">
      <c r="Y2032" s="48" t="str">
        <f ca="1">IF(AND('Planning Sheet'!BV61='Weeks Plan'!$D$6,'Planning Sheet'!BP61='Weeks Plan'!$G$6),'Planning Sheet'!$B61,"")</f>
        <v/>
      </c>
      <c r="Z2032" s="48" t="str">
        <f ca="1">IF(AND('Planning Sheet'!BV61='Weeks Plan'!$D$6,'Planning Sheet'!BP61='Weeks Plan'!$G$6),'Planning Sheet'!$BQ61,"")</f>
        <v/>
      </c>
      <c r="AA2032" s="48" t="str">
        <f ca="1">IF(AND('Planning Sheet'!BV61='Weeks Plan'!$D$6,'Planning Sheet'!BP61='Weeks Plan'!$G$6),'Planning Sheet'!$BR61,"")</f>
        <v/>
      </c>
    </row>
    <row r="2033" spans="25:27" x14ac:dyDescent="0.3">
      <c r="Y2033" s="48" t="str">
        <f ca="1">IF(AND('Planning Sheet'!BV62='Weeks Plan'!$D$6,'Planning Sheet'!BP62='Weeks Plan'!$G$6),'Planning Sheet'!$B62,"")</f>
        <v/>
      </c>
      <c r="Z2033" s="48" t="str">
        <f ca="1">IF(AND('Planning Sheet'!BV62='Weeks Plan'!$D$6,'Planning Sheet'!BP62='Weeks Plan'!$G$6),'Planning Sheet'!$BQ62,"")</f>
        <v/>
      </c>
      <c r="AA2033" s="48" t="str">
        <f ca="1">IF(AND('Planning Sheet'!BV62='Weeks Plan'!$D$6,'Planning Sheet'!BP62='Weeks Plan'!$G$6),'Planning Sheet'!$BR62,"")</f>
        <v/>
      </c>
    </row>
    <row r="2034" spans="25:27" x14ac:dyDescent="0.3">
      <c r="Y2034" s="48" t="str">
        <f ca="1">IF(AND('Planning Sheet'!BV63='Weeks Plan'!$D$6,'Planning Sheet'!BP63='Weeks Plan'!$G$6),'Planning Sheet'!$B63,"")</f>
        <v/>
      </c>
      <c r="Z2034" s="48" t="str">
        <f ca="1">IF(AND('Planning Sheet'!BV63='Weeks Plan'!$D$6,'Planning Sheet'!BP63='Weeks Plan'!$G$6),'Planning Sheet'!$BQ63,"")</f>
        <v/>
      </c>
      <c r="AA2034" s="48" t="str">
        <f ca="1">IF(AND('Planning Sheet'!BV63='Weeks Plan'!$D$6,'Planning Sheet'!BP63='Weeks Plan'!$G$6),'Planning Sheet'!$BR63,"")</f>
        <v/>
      </c>
    </row>
    <row r="2035" spans="25:27" x14ac:dyDescent="0.3">
      <c r="Y2035" s="48" t="str">
        <f ca="1">IF(AND('Planning Sheet'!BV64='Weeks Plan'!$D$6,'Planning Sheet'!BP64='Weeks Plan'!$G$6),'Planning Sheet'!$B64,"")</f>
        <v/>
      </c>
      <c r="Z2035" s="48" t="str">
        <f ca="1">IF(AND('Planning Sheet'!BV64='Weeks Plan'!$D$6,'Planning Sheet'!BP64='Weeks Plan'!$G$6),'Planning Sheet'!$BQ64,"")</f>
        <v/>
      </c>
      <c r="AA2035" s="48" t="str">
        <f ca="1">IF(AND('Planning Sheet'!BV64='Weeks Plan'!$D$6,'Planning Sheet'!BP64='Weeks Plan'!$G$6),'Planning Sheet'!$BR64,"")</f>
        <v/>
      </c>
    </row>
    <row r="2036" spans="25:27" x14ac:dyDescent="0.3">
      <c r="Y2036" s="48" t="str">
        <f ca="1">IF(AND('Planning Sheet'!BV65='Weeks Plan'!$D$6,'Planning Sheet'!BP65='Weeks Plan'!$G$6),'Planning Sheet'!$B65,"")</f>
        <v/>
      </c>
      <c r="Z2036" s="48" t="str">
        <f ca="1">IF(AND('Planning Sheet'!BV65='Weeks Plan'!$D$6,'Planning Sheet'!BP65='Weeks Plan'!$G$6),'Planning Sheet'!$BQ65,"")</f>
        <v/>
      </c>
      <c r="AA2036" s="48" t="str">
        <f ca="1">IF(AND('Planning Sheet'!BV65='Weeks Plan'!$D$6,'Planning Sheet'!BP65='Weeks Plan'!$G$6),'Planning Sheet'!$BR65,"")</f>
        <v/>
      </c>
    </row>
    <row r="2037" spans="25:27" x14ac:dyDescent="0.3">
      <c r="Y2037" s="48" t="str">
        <f ca="1">IF(AND('Planning Sheet'!BV66='Weeks Plan'!$D$6,'Planning Sheet'!BP66='Weeks Plan'!$G$6),'Planning Sheet'!$B66,"")</f>
        <v/>
      </c>
      <c r="Z2037" s="48" t="str">
        <f ca="1">IF(AND('Planning Sheet'!BV66='Weeks Plan'!$D$6,'Planning Sheet'!BP66='Weeks Plan'!$G$6),'Planning Sheet'!$BQ66,"")</f>
        <v/>
      </c>
      <c r="AA2037" s="48" t="str">
        <f ca="1">IF(AND('Planning Sheet'!BV66='Weeks Plan'!$D$6,'Planning Sheet'!BP66='Weeks Plan'!$G$6),'Planning Sheet'!$BR66,"")</f>
        <v/>
      </c>
    </row>
    <row r="2038" spans="25:27" x14ac:dyDescent="0.3">
      <c r="Y2038" s="48" t="str">
        <f ca="1">IF(AND('Planning Sheet'!BV67='Weeks Plan'!$D$6,'Planning Sheet'!BP67='Weeks Plan'!$G$6),'Planning Sheet'!$B67,"")</f>
        <v/>
      </c>
      <c r="Z2038" s="48" t="str">
        <f ca="1">IF(AND('Planning Sheet'!BV67='Weeks Plan'!$D$6,'Planning Sheet'!BP67='Weeks Plan'!$G$6),'Planning Sheet'!$BQ67,"")</f>
        <v/>
      </c>
      <c r="AA2038" s="48" t="str">
        <f ca="1">IF(AND('Planning Sheet'!BV67='Weeks Plan'!$D$6,'Planning Sheet'!BP67='Weeks Plan'!$G$6),'Planning Sheet'!$BR67,"")</f>
        <v/>
      </c>
    </row>
    <row r="2039" spans="25:27" x14ac:dyDescent="0.3">
      <c r="Y2039" s="48" t="str">
        <f ca="1">IF(AND('Planning Sheet'!BV68='Weeks Plan'!$D$6,'Planning Sheet'!BP68='Weeks Plan'!$G$6),'Planning Sheet'!$B68,"")</f>
        <v/>
      </c>
      <c r="Z2039" s="48" t="str">
        <f ca="1">IF(AND('Planning Sheet'!BV68='Weeks Plan'!$D$6,'Planning Sheet'!BP68='Weeks Plan'!$G$6),'Planning Sheet'!$BQ68,"")</f>
        <v/>
      </c>
      <c r="AA2039" s="48" t="str">
        <f ca="1">IF(AND('Planning Sheet'!BV68='Weeks Plan'!$D$6,'Planning Sheet'!BP68='Weeks Plan'!$G$6),'Planning Sheet'!$BR68,"")</f>
        <v/>
      </c>
    </row>
    <row r="2040" spans="25:27" x14ac:dyDescent="0.3">
      <c r="Y2040" s="48" t="str">
        <f ca="1">IF(AND('Planning Sheet'!BV69='Weeks Plan'!$D$6,'Planning Sheet'!BP69='Weeks Plan'!$G$6),'Planning Sheet'!$B69,"")</f>
        <v/>
      </c>
      <c r="Z2040" s="48" t="str">
        <f ca="1">IF(AND('Planning Sheet'!BV69='Weeks Plan'!$D$6,'Planning Sheet'!BP69='Weeks Plan'!$G$6),'Planning Sheet'!$BQ69,"")</f>
        <v/>
      </c>
      <c r="AA2040" s="48" t="str">
        <f ca="1">IF(AND('Planning Sheet'!BV69='Weeks Plan'!$D$6,'Planning Sheet'!BP69='Weeks Plan'!$G$6),'Planning Sheet'!$BR69,"")</f>
        <v/>
      </c>
    </row>
    <row r="2041" spans="25:27" x14ac:dyDescent="0.3">
      <c r="Y2041" s="48" t="str">
        <f ca="1">IF(AND('Planning Sheet'!BV70='Weeks Plan'!$D$6,'Planning Sheet'!BP70='Weeks Plan'!$G$6),'Planning Sheet'!$B70,"")</f>
        <v/>
      </c>
      <c r="Z2041" s="48" t="str">
        <f ca="1">IF(AND('Planning Sheet'!BV70='Weeks Plan'!$D$6,'Planning Sheet'!BP70='Weeks Plan'!$G$6),'Planning Sheet'!$BQ70,"")</f>
        <v/>
      </c>
      <c r="AA2041" s="48" t="str">
        <f ca="1">IF(AND('Planning Sheet'!BV70='Weeks Plan'!$D$6,'Planning Sheet'!BP70='Weeks Plan'!$G$6),'Planning Sheet'!$BR70,"")</f>
        <v/>
      </c>
    </row>
    <row r="2042" spans="25:27" x14ac:dyDescent="0.3">
      <c r="Y2042" s="48" t="str">
        <f ca="1">IF(AND('Planning Sheet'!BV71='Weeks Plan'!$D$6,'Planning Sheet'!BP71='Weeks Plan'!$G$6),'Planning Sheet'!$B71,"")</f>
        <v/>
      </c>
      <c r="Z2042" s="48" t="str">
        <f ca="1">IF(AND('Planning Sheet'!BV71='Weeks Plan'!$D$6,'Planning Sheet'!BP71='Weeks Plan'!$G$6),'Planning Sheet'!$BQ71,"")</f>
        <v/>
      </c>
      <c r="AA2042" s="48" t="str">
        <f ca="1">IF(AND('Planning Sheet'!BV71='Weeks Plan'!$D$6,'Planning Sheet'!BP71='Weeks Plan'!$G$6),'Planning Sheet'!$BR71,"")</f>
        <v/>
      </c>
    </row>
    <row r="2043" spans="25:27" x14ac:dyDescent="0.3">
      <c r="Y2043" s="48" t="str">
        <f ca="1">IF(AND('Planning Sheet'!BV72='Weeks Plan'!$D$6,'Planning Sheet'!BP72='Weeks Plan'!$G$6),'Planning Sheet'!$B72,"")</f>
        <v/>
      </c>
      <c r="Z2043" s="48" t="str">
        <f ca="1">IF(AND('Planning Sheet'!BV72='Weeks Plan'!$D$6,'Planning Sheet'!BP72='Weeks Plan'!$G$6),'Planning Sheet'!$BQ72,"")</f>
        <v/>
      </c>
      <c r="AA2043" s="48" t="str">
        <f ca="1">IF(AND('Planning Sheet'!BV72='Weeks Plan'!$D$6,'Planning Sheet'!BP72='Weeks Plan'!$G$6),'Planning Sheet'!$BR72,"")</f>
        <v/>
      </c>
    </row>
    <row r="2044" spans="25:27" x14ac:dyDescent="0.3">
      <c r="Y2044" s="48" t="str">
        <f ca="1">IF(AND('Planning Sheet'!BV73='Weeks Plan'!$D$6,'Planning Sheet'!BP73='Weeks Plan'!$G$6),'Planning Sheet'!$B73,"")</f>
        <v/>
      </c>
      <c r="Z2044" s="48" t="str">
        <f ca="1">IF(AND('Planning Sheet'!BV73='Weeks Plan'!$D$6,'Planning Sheet'!BP73='Weeks Plan'!$G$6),'Planning Sheet'!$BQ73,"")</f>
        <v/>
      </c>
      <c r="AA2044" s="48" t="str">
        <f ca="1">IF(AND('Planning Sheet'!BV73='Weeks Plan'!$D$6,'Planning Sheet'!BP73='Weeks Plan'!$G$6),'Planning Sheet'!$BR73,"")</f>
        <v/>
      </c>
    </row>
    <row r="2045" spans="25:27" x14ac:dyDescent="0.3">
      <c r="Y2045" s="48" t="str">
        <f ca="1">IF(AND('Planning Sheet'!BV74='Weeks Plan'!$D$6,'Planning Sheet'!BP74='Weeks Plan'!$G$6),'Planning Sheet'!$B74,"")</f>
        <v/>
      </c>
      <c r="Z2045" s="48" t="str">
        <f ca="1">IF(AND('Planning Sheet'!BV74='Weeks Plan'!$D$6,'Planning Sheet'!BP74='Weeks Plan'!$G$6),'Planning Sheet'!$BQ74,"")</f>
        <v/>
      </c>
      <c r="AA2045" s="48" t="str">
        <f ca="1">IF(AND('Planning Sheet'!BV74='Weeks Plan'!$D$6,'Planning Sheet'!BP74='Weeks Plan'!$G$6),'Planning Sheet'!$BR74,"")</f>
        <v/>
      </c>
    </row>
    <row r="2046" spans="25:27" x14ac:dyDescent="0.3">
      <c r="Y2046" s="48" t="str">
        <f ca="1">IF(AND('Planning Sheet'!BV75='Weeks Plan'!$D$6,'Planning Sheet'!BP75='Weeks Plan'!$G$6),'Planning Sheet'!$B75,"")</f>
        <v/>
      </c>
      <c r="Z2046" s="48" t="str">
        <f ca="1">IF(AND('Planning Sheet'!BV75='Weeks Plan'!$D$6,'Planning Sheet'!BP75='Weeks Plan'!$G$6),'Planning Sheet'!$BQ75,"")</f>
        <v/>
      </c>
      <c r="AA2046" s="48" t="str">
        <f ca="1">IF(AND('Planning Sheet'!BV75='Weeks Plan'!$D$6,'Planning Sheet'!BP75='Weeks Plan'!$G$6),'Planning Sheet'!$BR75,"")</f>
        <v/>
      </c>
    </row>
    <row r="2047" spans="25:27" x14ac:dyDescent="0.3">
      <c r="Y2047" s="48" t="str">
        <f ca="1">IF(AND('Planning Sheet'!BV76='Weeks Plan'!$D$6,'Planning Sheet'!BP76='Weeks Plan'!$G$6),'Planning Sheet'!$B76,"")</f>
        <v/>
      </c>
      <c r="Z2047" s="48" t="str">
        <f ca="1">IF(AND('Planning Sheet'!BV76='Weeks Plan'!$D$6,'Planning Sheet'!BP76='Weeks Plan'!$G$6),'Planning Sheet'!$BQ76,"")</f>
        <v/>
      </c>
      <c r="AA2047" s="48" t="str">
        <f ca="1">IF(AND('Planning Sheet'!BV76='Weeks Plan'!$D$6,'Planning Sheet'!BP76='Weeks Plan'!$G$6),'Planning Sheet'!$BR76,"")</f>
        <v/>
      </c>
    </row>
    <row r="2048" spans="25:27" x14ac:dyDescent="0.3">
      <c r="Y2048" s="48" t="str">
        <f ca="1">IF(AND('Planning Sheet'!BV77='Weeks Plan'!$D$6,'Planning Sheet'!BP77='Weeks Plan'!$G$6),'Planning Sheet'!$B77,"")</f>
        <v/>
      </c>
      <c r="Z2048" s="48" t="str">
        <f ca="1">IF(AND('Planning Sheet'!BV77='Weeks Plan'!$D$6,'Planning Sheet'!BP77='Weeks Plan'!$G$6),'Planning Sheet'!$BQ77,"")</f>
        <v/>
      </c>
      <c r="AA2048" s="48" t="str">
        <f ca="1">IF(AND('Planning Sheet'!BV77='Weeks Plan'!$D$6,'Planning Sheet'!BP77='Weeks Plan'!$G$6),'Planning Sheet'!$BR77,"")</f>
        <v/>
      </c>
    </row>
    <row r="2049" spans="25:27" x14ac:dyDescent="0.3">
      <c r="Y2049" s="48" t="str">
        <f ca="1">IF(AND('Planning Sheet'!BV78='Weeks Plan'!$D$6,'Planning Sheet'!BP78='Weeks Plan'!$G$6),'Planning Sheet'!$B78,"")</f>
        <v/>
      </c>
      <c r="Z2049" s="48" t="str">
        <f ca="1">IF(AND('Planning Sheet'!BV78='Weeks Plan'!$D$6,'Planning Sheet'!BP78='Weeks Plan'!$G$6),'Planning Sheet'!$BQ78,"")</f>
        <v/>
      </c>
      <c r="AA2049" s="48" t="str">
        <f ca="1">IF(AND('Planning Sheet'!BV78='Weeks Plan'!$D$6,'Planning Sheet'!BP78='Weeks Plan'!$G$6),'Planning Sheet'!$BR78,"")</f>
        <v/>
      </c>
    </row>
    <row r="2050" spans="25:27" x14ac:dyDescent="0.3">
      <c r="Y2050" s="48" t="str">
        <f ca="1">IF(AND('Planning Sheet'!BV79='Weeks Plan'!$D$6,'Planning Sheet'!BP79='Weeks Plan'!$G$6),'Planning Sheet'!$B79,"")</f>
        <v/>
      </c>
      <c r="Z2050" s="48" t="str">
        <f ca="1">IF(AND('Planning Sheet'!BV79='Weeks Plan'!$D$6,'Planning Sheet'!BP79='Weeks Plan'!$G$6),'Planning Sheet'!$BQ79,"")</f>
        <v/>
      </c>
      <c r="AA2050" s="48" t="str">
        <f ca="1">IF(AND('Planning Sheet'!BV79='Weeks Plan'!$D$6,'Planning Sheet'!BP79='Weeks Plan'!$G$6),'Planning Sheet'!$BR79,"")</f>
        <v/>
      </c>
    </row>
    <row r="2051" spans="25:27" x14ac:dyDescent="0.3">
      <c r="Y2051" s="48" t="str">
        <f ca="1">IF(AND('Planning Sheet'!BV80='Weeks Plan'!$D$6,'Planning Sheet'!BP80='Weeks Plan'!$G$6),'Planning Sheet'!$B80,"")</f>
        <v/>
      </c>
      <c r="Z2051" s="48" t="str">
        <f ca="1">IF(AND('Planning Sheet'!BV80='Weeks Plan'!$D$6,'Planning Sheet'!BP80='Weeks Plan'!$G$6),'Planning Sheet'!$BQ80,"")</f>
        <v/>
      </c>
      <c r="AA2051" s="48" t="str">
        <f ca="1">IF(AND('Planning Sheet'!BV80='Weeks Plan'!$D$6,'Planning Sheet'!BP80='Weeks Plan'!$G$6),'Planning Sheet'!$BR80,"")</f>
        <v/>
      </c>
    </row>
    <row r="2052" spans="25:27" x14ac:dyDescent="0.3">
      <c r="Y2052" s="48" t="str">
        <f ca="1">IF(AND('Planning Sheet'!BV81='Weeks Plan'!$D$6,'Planning Sheet'!BP81='Weeks Plan'!$G$6),'Planning Sheet'!$B81,"")</f>
        <v/>
      </c>
      <c r="Z2052" s="48" t="str">
        <f ca="1">IF(AND('Planning Sheet'!BV81='Weeks Plan'!$D$6,'Planning Sheet'!BP81='Weeks Plan'!$G$6),'Planning Sheet'!$BQ81,"")</f>
        <v/>
      </c>
      <c r="AA2052" s="48" t="str">
        <f ca="1">IF(AND('Planning Sheet'!BV81='Weeks Plan'!$D$6,'Planning Sheet'!BP81='Weeks Plan'!$G$6),'Planning Sheet'!$BR81,"")</f>
        <v/>
      </c>
    </row>
    <row r="2053" spans="25:27" x14ac:dyDescent="0.3">
      <c r="Y2053" s="48" t="str">
        <f ca="1">IF(AND('Planning Sheet'!BV82='Weeks Plan'!$D$6,'Planning Sheet'!BP82='Weeks Plan'!$G$6),'Planning Sheet'!$B82,"")</f>
        <v/>
      </c>
      <c r="Z2053" s="48" t="str">
        <f ca="1">IF(AND('Planning Sheet'!BV82='Weeks Plan'!$D$6,'Planning Sheet'!BP82='Weeks Plan'!$G$6),'Planning Sheet'!$BQ82,"")</f>
        <v/>
      </c>
      <c r="AA2053" s="48" t="str">
        <f ca="1">IF(AND('Planning Sheet'!BV82='Weeks Plan'!$D$6,'Planning Sheet'!BP82='Weeks Plan'!$G$6),'Planning Sheet'!$BR82,"")</f>
        <v/>
      </c>
    </row>
    <row r="2054" spans="25:27" x14ac:dyDescent="0.3">
      <c r="Y2054" s="48" t="str">
        <f ca="1">IF(AND('Planning Sheet'!BV83='Weeks Plan'!$D$6,'Planning Sheet'!BP83='Weeks Plan'!$G$6),'Planning Sheet'!$B83,"")</f>
        <v/>
      </c>
      <c r="Z2054" s="48" t="str">
        <f ca="1">IF(AND('Planning Sheet'!BV83='Weeks Plan'!$D$6,'Planning Sheet'!BP83='Weeks Plan'!$G$6),'Planning Sheet'!$BQ83,"")</f>
        <v/>
      </c>
      <c r="AA2054" s="48" t="str">
        <f ca="1">IF(AND('Planning Sheet'!BV83='Weeks Plan'!$D$6,'Planning Sheet'!BP83='Weeks Plan'!$G$6),'Planning Sheet'!$BR83,"")</f>
        <v/>
      </c>
    </row>
    <row r="2055" spans="25:27" x14ac:dyDescent="0.3">
      <c r="Y2055" s="48" t="str">
        <f ca="1">IF(AND('Planning Sheet'!BV84='Weeks Plan'!$D$6,'Planning Sheet'!BP84='Weeks Plan'!$G$6),'Planning Sheet'!$B84,"")</f>
        <v/>
      </c>
      <c r="Z2055" s="48" t="str">
        <f ca="1">IF(AND('Planning Sheet'!BV84='Weeks Plan'!$D$6,'Planning Sheet'!BP84='Weeks Plan'!$G$6),'Planning Sheet'!$BQ84,"")</f>
        <v/>
      </c>
      <c r="AA2055" s="48" t="str">
        <f ca="1">IF(AND('Planning Sheet'!BV84='Weeks Plan'!$D$6,'Planning Sheet'!BP84='Weeks Plan'!$G$6),'Planning Sheet'!$BR84,"")</f>
        <v/>
      </c>
    </row>
    <row r="2056" spans="25:27" x14ac:dyDescent="0.3">
      <c r="Y2056" s="48" t="str">
        <f ca="1">IF(AND('Planning Sheet'!BV85='Weeks Plan'!$D$6,'Planning Sheet'!BP85='Weeks Plan'!$G$6),'Planning Sheet'!$B85,"")</f>
        <v/>
      </c>
      <c r="Z2056" s="48" t="str">
        <f ca="1">IF(AND('Planning Sheet'!BV85='Weeks Plan'!$D$6,'Planning Sheet'!BP85='Weeks Plan'!$G$6),'Planning Sheet'!$BQ85,"")</f>
        <v/>
      </c>
      <c r="AA2056" s="48" t="str">
        <f ca="1">IF(AND('Planning Sheet'!BV85='Weeks Plan'!$D$6,'Planning Sheet'!BP85='Weeks Plan'!$G$6),'Planning Sheet'!$BR85,"")</f>
        <v/>
      </c>
    </row>
    <row r="2057" spans="25:27" x14ac:dyDescent="0.3">
      <c r="Y2057" s="48" t="str">
        <f ca="1">IF(AND('Planning Sheet'!BV86='Weeks Plan'!$D$6,'Planning Sheet'!BP86='Weeks Plan'!$G$6),'Planning Sheet'!$B86,"")</f>
        <v/>
      </c>
      <c r="Z2057" s="48" t="str">
        <f ca="1">IF(AND('Planning Sheet'!BV86='Weeks Plan'!$D$6,'Planning Sheet'!BP86='Weeks Plan'!$G$6),'Planning Sheet'!$BQ86,"")</f>
        <v/>
      </c>
      <c r="AA2057" s="48" t="str">
        <f ca="1">IF(AND('Planning Sheet'!BV86='Weeks Plan'!$D$6,'Planning Sheet'!BP86='Weeks Plan'!$G$6),'Planning Sheet'!$BR86,"")</f>
        <v/>
      </c>
    </row>
    <row r="2058" spans="25:27" x14ac:dyDescent="0.3">
      <c r="Y2058" s="48" t="str">
        <f ca="1">IF(AND('Planning Sheet'!BV87='Weeks Plan'!$D$6,'Planning Sheet'!BP87='Weeks Plan'!$G$6),'Planning Sheet'!$B87,"")</f>
        <v/>
      </c>
      <c r="Z2058" s="48" t="str">
        <f ca="1">IF(AND('Planning Sheet'!BV87='Weeks Plan'!$D$6,'Planning Sheet'!BP87='Weeks Plan'!$G$6),'Planning Sheet'!$BQ87,"")</f>
        <v/>
      </c>
      <c r="AA2058" s="48" t="str">
        <f ca="1">IF(AND('Planning Sheet'!BV87='Weeks Plan'!$D$6,'Planning Sheet'!BP87='Weeks Plan'!$G$6),'Planning Sheet'!$BR87,"")</f>
        <v/>
      </c>
    </row>
    <row r="2059" spans="25:27" x14ac:dyDescent="0.3">
      <c r="Y2059" s="48" t="str">
        <f ca="1">IF(AND('Planning Sheet'!BV88='Weeks Plan'!$D$6,'Planning Sheet'!BP88='Weeks Plan'!$G$6),'Planning Sheet'!$B88,"")</f>
        <v/>
      </c>
      <c r="Z2059" s="48" t="str">
        <f ca="1">IF(AND('Planning Sheet'!BV88='Weeks Plan'!$D$6,'Planning Sheet'!BP88='Weeks Plan'!$G$6),'Planning Sheet'!$BQ88,"")</f>
        <v/>
      </c>
      <c r="AA2059" s="48" t="str">
        <f ca="1">IF(AND('Planning Sheet'!BV88='Weeks Plan'!$D$6,'Planning Sheet'!BP88='Weeks Plan'!$G$6),'Planning Sheet'!$BR88,"")</f>
        <v/>
      </c>
    </row>
    <row r="2060" spans="25:27" x14ac:dyDescent="0.3">
      <c r="Y2060" s="48" t="str">
        <f ca="1">IF(AND('Planning Sheet'!BV89='Weeks Plan'!$D$6,'Planning Sheet'!BP89='Weeks Plan'!$G$6),'Planning Sheet'!$B89,"")</f>
        <v/>
      </c>
      <c r="Z2060" s="48" t="str">
        <f ca="1">IF(AND('Planning Sheet'!BV89='Weeks Plan'!$D$6,'Planning Sheet'!BP89='Weeks Plan'!$G$6),'Planning Sheet'!$BQ89,"")</f>
        <v/>
      </c>
      <c r="AA2060" s="48" t="str">
        <f ca="1">IF(AND('Planning Sheet'!BV89='Weeks Plan'!$D$6,'Planning Sheet'!BP89='Weeks Plan'!$G$6),'Planning Sheet'!$BR89,"")</f>
        <v/>
      </c>
    </row>
    <row r="2061" spans="25:27" x14ac:dyDescent="0.3">
      <c r="Y2061" s="48" t="str">
        <f ca="1">IF(AND('Planning Sheet'!BV90='Weeks Plan'!$D$6,'Planning Sheet'!BP90='Weeks Plan'!$G$6),'Planning Sheet'!$B90,"")</f>
        <v/>
      </c>
      <c r="Z2061" s="48" t="str">
        <f ca="1">IF(AND('Planning Sheet'!BV90='Weeks Plan'!$D$6,'Planning Sheet'!BP90='Weeks Plan'!$G$6),'Planning Sheet'!$BQ90,"")</f>
        <v/>
      </c>
      <c r="AA2061" s="48" t="str">
        <f ca="1">IF(AND('Planning Sheet'!BV90='Weeks Plan'!$D$6,'Planning Sheet'!BP90='Weeks Plan'!$G$6),'Planning Sheet'!$BR90,"")</f>
        <v/>
      </c>
    </row>
    <row r="2062" spans="25:27" x14ac:dyDescent="0.3">
      <c r="Y2062" s="48" t="str">
        <f ca="1">IF(AND('Planning Sheet'!BV91='Weeks Plan'!$D$6,'Planning Sheet'!BP91='Weeks Plan'!$G$6),'Planning Sheet'!$B91,"")</f>
        <v/>
      </c>
      <c r="Z2062" s="48" t="str">
        <f ca="1">IF(AND('Planning Sheet'!BV91='Weeks Plan'!$D$6,'Planning Sheet'!BP91='Weeks Plan'!$G$6),'Planning Sheet'!$BQ91,"")</f>
        <v/>
      </c>
      <c r="AA2062" s="48" t="str">
        <f ca="1">IF(AND('Planning Sheet'!BV91='Weeks Plan'!$D$6,'Planning Sheet'!BP91='Weeks Plan'!$G$6),'Planning Sheet'!$BR91,"")</f>
        <v/>
      </c>
    </row>
    <row r="2063" spans="25:27" x14ac:dyDescent="0.3">
      <c r="Y2063" s="48" t="str">
        <f ca="1">IF(AND('Planning Sheet'!BV92='Weeks Plan'!$D$6,'Planning Sheet'!BP92='Weeks Plan'!$G$6),'Planning Sheet'!$B92,"")</f>
        <v/>
      </c>
      <c r="Z2063" s="48" t="str">
        <f ca="1">IF(AND('Planning Sheet'!BV92='Weeks Plan'!$D$6,'Planning Sheet'!BP92='Weeks Plan'!$G$6),'Planning Sheet'!$BQ92,"")</f>
        <v/>
      </c>
      <c r="AA2063" s="48" t="str">
        <f ca="1">IF(AND('Planning Sheet'!BV92='Weeks Plan'!$D$6,'Planning Sheet'!BP92='Weeks Plan'!$G$6),'Planning Sheet'!$BR92,"")</f>
        <v/>
      </c>
    </row>
    <row r="2064" spans="25:27" x14ac:dyDescent="0.3">
      <c r="Y2064" s="48" t="str">
        <f ca="1">IF(AND('Planning Sheet'!BV93='Weeks Plan'!$D$6,'Planning Sheet'!BP93='Weeks Plan'!$G$6),'Planning Sheet'!$B93,"")</f>
        <v/>
      </c>
      <c r="Z2064" s="48" t="str">
        <f ca="1">IF(AND('Planning Sheet'!BV93='Weeks Plan'!$D$6,'Planning Sheet'!BP93='Weeks Plan'!$G$6),'Planning Sheet'!$BQ93,"")</f>
        <v/>
      </c>
      <c r="AA2064" s="48" t="str">
        <f ca="1">IF(AND('Planning Sheet'!BV93='Weeks Plan'!$D$6,'Planning Sheet'!BP93='Weeks Plan'!$G$6),'Planning Sheet'!$BR93,"")</f>
        <v/>
      </c>
    </row>
    <row r="2065" spans="25:27" x14ac:dyDescent="0.3">
      <c r="Y2065" s="48" t="str">
        <f ca="1">IF(AND('Planning Sheet'!BV94='Weeks Plan'!$D$6,'Planning Sheet'!BP94='Weeks Plan'!$G$6),'Planning Sheet'!$B94,"")</f>
        <v/>
      </c>
      <c r="Z2065" s="48" t="str">
        <f ca="1">IF(AND('Planning Sheet'!BV94='Weeks Plan'!$D$6,'Planning Sheet'!BP94='Weeks Plan'!$G$6),'Planning Sheet'!$BQ94,"")</f>
        <v/>
      </c>
      <c r="AA2065" s="48" t="str">
        <f ca="1">IF(AND('Planning Sheet'!BV94='Weeks Plan'!$D$6,'Planning Sheet'!BP94='Weeks Plan'!$G$6),'Planning Sheet'!$BR94,"")</f>
        <v/>
      </c>
    </row>
    <row r="2066" spans="25:27" x14ac:dyDescent="0.3">
      <c r="Y2066" s="48" t="str">
        <f ca="1">IF(AND('Planning Sheet'!BV95='Weeks Plan'!$D$6,'Planning Sheet'!BP95='Weeks Plan'!$G$6),'Planning Sheet'!$B95,"")</f>
        <v/>
      </c>
      <c r="Z2066" s="48" t="str">
        <f ca="1">IF(AND('Planning Sheet'!BV95='Weeks Plan'!$D$6,'Planning Sheet'!BP95='Weeks Plan'!$G$6),'Planning Sheet'!$BQ95,"")</f>
        <v/>
      </c>
      <c r="AA2066" s="48" t="str">
        <f ca="1">IF(AND('Planning Sheet'!BV95='Weeks Plan'!$D$6,'Planning Sheet'!BP95='Weeks Plan'!$G$6),'Planning Sheet'!$BR95,"")</f>
        <v/>
      </c>
    </row>
    <row r="2067" spans="25:27" x14ac:dyDescent="0.3">
      <c r="Y2067" s="48" t="str">
        <f ca="1">IF(AND('Planning Sheet'!BV96='Weeks Plan'!$D$6,'Planning Sheet'!BP96='Weeks Plan'!$G$6),'Planning Sheet'!$B96,"")</f>
        <v/>
      </c>
      <c r="Z2067" s="48" t="str">
        <f ca="1">IF(AND('Planning Sheet'!BV96='Weeks Plan'!$D$6,'Planning Sheet'!BP96='Weeks Plan'!$G$6),'Planning Sheet'!$BQ96,"")</f>
        <v/>
      </c>
      <c r="AA2067" s="48" t="str">
        <f ca="1">IF(AND('Planning Sheet'!BV96='Weeks Plan'!$D$6,'Planning Sheet'!BP96='Weeks Plan'!$G$6),'Planning Sheet'!$BR96,"")</f>
        <v/>
      </c>
    </row>
    <row r="2068" spans="25:27" x14ac:dyDescent="0.3">
      <c r="Y2068" s="48" t="str">
        <f ca="1">IF(AND('Planning Sheet'!BV97='Weeks Plan'!$D$6,'Planning Sheet'!BP97='Weeks Plan'!$G$6),'Planning Sheet'!$B97,"")</f>
        <v/>
      </c>
      <c r="Z2068" s="48" t="str">
        <f ca="1">IF(AND('Planning Sheet'!BV97='Weeks Plan'!$D$6,'Planning Sheet'!BP97='Weeks Plan'!$G$6),'Planning Sheet'!$BQ97,"")</f>
        <v/>
      </c>
      <c r="AA2068" s="48" t="str">
        <f ca="1">IF(AND('Planning Sheet'!BV97='Weeks Plan'!$D$6,'Planning Sheet'!BP97='Weeks Plan'!$G$6),'Planning Sheet'!$BR97,"")</f>
        <v/>
      </c>
    </row>
    <row r="2069" spans="25:27" x14ac:dyDescent="0.3">
      <c r="Y2069" s="48" t="str">
        <f ca="1">IF(AND('Planning Sheet'!BV98='Weeks Plan'!$D$6,'Planning Sheet'!BP98='Weeks Plan'!$G$6),'Planning Sheet'!$B98,"")</f>
        <v/>
      </c>
      <c r="Z2069" s="48" t="str">
        <f ca="1">IF(AND('Planning Sheet'!BV98='Weeks Plan'!$D$6,'Planning Sheet'!BP98='Weeks Plan'!$G$6),'Planning Sheet'!$BQ98,"")</f>
        <v/>
      </c>
      <c r="AA2069" s="48" t="str">
        <f ca="1">IF(AND('Planning Sheet'!BV98='Weeks Plan'!$D$6,'Planning Sheet'!BP98='Weeks Plan'!$G$6),'Planning Sheet'!$BR98,"")</f>
        <v/>
      </c>
    </row>
    <row r="2070" spans="25:27" x14ac:dyDescent="0.3">
      <c r="Y2070" s="48" t="str">
        <f ca="1">IF(AND('Planning Sheet'!BV99='Weeks Plan'!$D$6,'Planning Sheet'!BP99='Weeks Plan'!$G$6),'Planning Sheet'!$B99,"")</f>
        <v/>
      </c>
      <c r="Z2070" s="48" t="str">
        <f ca="1">IF(AND('Planning Sheet'!BV99='Weeks Plan'!$D$6,'Planning Sheet'!BP99='Weeks Plan'!$G$6),'Planning Sheet'!$BQ99,"")</f>
        <v/>
      </c>
      <c r="AA2070" s="48" t="str">
        <f ca="1">IF(AND('Planning Sheet'!BV99='Weeks Plan'!$D$6,'Planning Sheet'!BP99='Weeks Plan'!$G$6),'Planning Sheet'!$BR99,"")</f>
        <v/>
      </c>
    </row>
    <row r="2071" spans="25:27" x14ac:dyDescent="0.3">
      <c r="Y2071" s="48" t="str">
        <f ca="1">IF(AND('Planning Sheet'!BV100='Weeks Plan'!$D$6,'Planning Sheet'!BP100='Weeks Plan'!$G$6),'Planning Sheet'!$B100,"")</f>
        <v/>
      </c>
      <c r="Z2071" s="48" t="str">
        <f ca="1">IF(AND('Planning Sheet'!BV100='Weeks Plan'!$D$6,'Planning Sheet'!BP100='Weeks Plan'!$G$6),'Planning Sheet'!$BQ100,"")</f>
        <v/>
      </c>
      <c r="AA2071" s="48" t="str">
        <f ca="1">IF(AND('Planning Sheet'!BV100='Weeks Plan'!$D$6,'Planning Sheet'!BP100='Weeks Plan'!$G$6),'Planning Sheet'!$BR100,"")</f>
        <v/>
      </c>
    </row>
    <row r="2072" spans="25:27" x14ac:dyDescent="0.3">
      <c r="Y2072" s="48" t="str">
        <f ca="1">IF(AND('Planning Sheet'!BV101='Weeks Plan'!$D$6,'Planning Sheet'!BP101='Weeks Plan'!$G$6),'Planning Sheet'!$B101,"")</f>
        <v/>
      </c>
      <c r="Z2072" s="48" t="str">
        <f ca="1">IF(AND('Planning Sheet'!BV101='Weeks Plan'!$D$6,'Planning Sheet'!BP101='Weeks Plan'!$G$6),'Planning Sheet'!$BQ101,"")</f>
        <v/>
      </c>
      <c r="AA2072" s="48" t="str">
        <f ca="1">IF(AND('Planning Sheet'!BV101='Weeks Plan'!$D$6,'Planning Sheet'!BP101='Weeks Plan'!$G$6),'Planning Sheet'!$BR101,"")</f>
        <v/>
      </c>
    </row>
    <row r="2073" spans="25:27" x14ac:dyDescent="0.3">
      <c r="Y2073" s="48" t="str">
        <f ca="1">IF(AND('Planning Sheet'!BV102='Weeks Plan'!$D$6,'Planning Sheet'!BP102='Weeks Plan'!$G$6),'Planning Sheet'!$B102,"")</f>
        <v/>
      </c>
      <c r="Z2073" s="48" t="str">
        <f ca="1">IF(AND('Planning Sheet'!BV102='Weeks Plan'!$D$6,'Planning Sheet'!BP102='Weeks Plan'!$G$6),'Planning Sheet'!$BQ102,"")</f>
        <v/>
      </c>
      <c r="AA2073" s="48" t="str">
        <f ca="1">IF(AND('Planning Sheet'!BV102='Weeks Plan'!$D$6,'Planning Sheet'!BP102='Weeks Plan'!$G$6),'Planning Sheet'!$BR102,"")</f>
        <v/>
      </c>
    </row>
    <row r="2074" spans="25:27" x14ac:dyDescent="0.3">
      <c r="Y2074" s="48" t="str">
        <f ca="1">IF(AND('Planning Sheet'!BV103='Weeks Plan'!$D$6,'Planning Sheet'!BP103='Weeks Plan'!$G$6),'Planning Sheet'!$B103,"")</f>
        <v/>
      </c>
      <c r="Z2074" s="48" t="str">
        <f ca="1">IF(AND('Planning Sheet'!BV103='Weeks Plan'!$D$6,'Planning Sheet'!BP103='Weeks Plan'!$G$6),'Planning Sheet'!$BQ103,"")</f>
        <v/>
      </c>
      <c r="AA2074" s="48" t="str">
        <f ca="1">IF(AND('Planning Sheet'!BV103='Weeks Plan'!$D$6,'Planning Sheet'!BP103='Weeks Plan'!$G$6),'Planning Sheet'!$BR103,"")</f>
        <v/>
      </c>
    </row>
    <row r="2075" spans="25:27" x14ac:dyDescent="0.3">
      <c r="Y2075" s="48" t="str">
        <f ca="1">IF(AND('Planning Sheet'!BV104='Weeks Plan'!$D$6,'Planning Sheet'!BP104='Weeks Plan'!$G$6),'Planning Sheet'!$B104,"")</f>
        <v/>
      </c>
      <c r="Z2075" s="48" t="str">
        <f ca="1">IF(AND('Planning Sheet'!BV104='Weeks Plan'!$D$6,'Planning Sheet'!BP104='Weeks Plan'!$G$6),'Planning Sheet'!$BQ104,"")</f>
        <v/>
      </c>
      <c r="AA2075" s="48" t="str">
        <f ca="1">IF(AND('Planning Sheet'!BV104='Weeks Plan'!$D$6,'Planning Sheet'!BP104='Weeks Plan'!$G$6),'Planning Sheet'!$BR104,"")</f>
        <v/>
      </c>
    </row>
    <row r="2076" spans="25:27" x14ac:dyDescent="0.3">
      <c r="Y2076" s="48" t="str">
        <f ca="1">IF(AND('Planning Sheet'!BV105='Weeks Plan'!$D$6,'Planning Sheet'!BP105='Weeks Plan'!$G$6),'Planning Sheet'!$B105,"")</f>
        <v/>
      </c>
      <c r="Z2076" s="48" t="str">
        <f ca="1">IF(AND('Planning Sheet'!BV105='Weeks Plan'!$D$6,'Planning Sheet'!BP105='Weeks Plan'!$G$6),'Planning Sheet'!$BQ105,"")</f>
        <v/>
      </c>
      <c r="AA2076" s="48" t="str">
        <f ca="1">IF(AND('Planning Sheet'!BV105='Weeks Plan'!$D$6,'Planning Sheet'!BP105='Weeks Plan'!$G$6),'Planning Sheet'!$BR105,"")</f>
        <v/>
      </c>
    </row>
    <row r="2077" spans="25:27" x14ac:dyDescent="0.3">
      <c r="Y2077" s="48" t="str">
        <f ca="1">IF(AND('Planning Sheet'!BV106='Weeks Plan'!$D$6,'Planning Sheet'!BP106='Weeks Plan'!$G$6),'Planning Sheet'!$B106,"")</f>
        <v/>
      </c>
      <c r="Z2077" s="48" t="str">
        <f ca="1">IF(AND('Planning Sheet'!BV106='Weeks Plan'!$D$6,'Planning Sheet'!BP106='Weeks Plan'!$G$6),'Planning Sheet'!$BQ106,"")</f>
        <v/>
      </c>
      <c r="AA2077" s="48" t="str">
        <f ca="1">IF(AND('Planning Sheet'!BV106='Weeks Plan'!$D$6,'Planning Sheet'!BP106='Weeks Plan'!$G$6),'Planning Sheet'!$BR106,"")</f>
        <v/>
      </c>
    </row>
    <row r="2078" spans="25:27" x14ac:dyDescent="0.3">
      <c r="Y2078" s="48" t="str">
        <f ca="1">IF(AND('Planning Sheet'!BV107='Weeks Plan'!$D$6,'Planning Sheet'!BP107='Weeks Plan'!$G$6),'Planning Sheet'!$B107,"")</f>
        <v/>
      </c>
      <c r="Z2078" s="48" t="str">
        <f ca="1">IF(AND('Planning Sheet'!BV107='Weeks Plan'!$D$6,'Planning Sheet'!BP107='Weeks Plan'!$G$6),'Planning Sheet'!$BQ107,"")</f>
        <v/>
      </c>
      <c r="AA2078" s="48" t="str">
        <f ca="1">IF(AND('Planning Sheet'!BV107='Weeks Plan'!$D$6,'Planning Sheet'!BP107='Weeks Plan'!$G$6),'Planning Sheet'!$BR107,"")</f>
        <v/>
      </c>
    </row>
    <row r="2079" spans="25:27" x14ac:dyDescent="0.3">
      <c r="Y2079" s="48" t="str">
        <f ca="1">IF(AND('Planning Sheet'!BV108='Weeks Plan'!$D$6,'Planning Sheet'!BP108='Weeks Plan'!$G$6),'Planning Sheet'!$B108,"")</f>
        <v/>
      </c>
      <c r="Z2079" s="48" t="str">
        <f ca="1">IF(AND('Planning Sheet'!BV108='Weeks Plan'!$D$6,'Planning Sheet'!BP108='Weeks Plan'!$G$6),'Planning Sheet'!$BQ108,"")</f>
        <v/>
      </c>
      <c r="AA2079" s="48" t="str">
        <f ca="1">IF(AND('Planning Sheet'!BV108='Weeks Plan'!$D$6,'Planning Sheet'!BP108='Weeks Plan'!$G$6),'Planning Sheet'!$BR108,"")</f>
        <v/>
      </c>
    </row>
    <row r="2080" spans="25:27" x14ac:dyDescent="0.3">
      <c r="Y2080" s="48" t="str">
        <f ca="1">IF(AND('Planning Sheet'!BV109='Weeks Plan'!$D$6,'Planning Sheet'!BP109='Weeks Plan'!$G$6),'Planning Sheet'!$B109,"")</f>
        <v/>
      </c>
      <c r="Z2080" s="48" t="str">
        <f ca="1">IF(AND('Planning Sheet'!BV109='Weeks Plan'!$D$6,'Planning Sheet'!BP109='Weeks Plan'!$G$6),'Planning Sheet'!$BQ109,"")</f>
        <v/>
      </c>
      <c r="AA2080" s="48" t="str">
        <f ca="1">IF(AND('Planning Sheet'!BV109='Weeks Plan'!$D$6,'Planning Sheet'!BP109='Weeks Plan'!$G$6),'Planning Sheet'!$BR109,"")</f>
        <v/>
      </c>
    </row>
    <row r="2081" spans="25:27" x14ac:dyDescent="0.3">
      <c r="Y2081" s="48" t="str">
        <f ca="1">IF(AND('Planning Sheet'!BV110='Weeks Plan'!$D$6,'Planning Sheet'!BP110='Weeks Plan'!$G$6),'Planning Sheet'!$B110,"")</f>
        <v/>
      </c>
      <c r="Z2081" s="48" t="str">
        <f ca="1">IF(AND('Planning Sheet'!BV110='Weeks Plan'!$D$6,'Planning Sheet'!BP110='Weeks Plan'!$G$6),'Planning Sheet'!$BQ110,"")</f>
        <v/>
      </c>
      <c r="AA2081" s="48" t="str">
        <f ca="1">IF(AND('Planning Sheet'!BV110='Weeks Plan'!$D$6,'Planning Sheet'!BP110='Weeks Plan'!$G$6),'Planning Sheet'!$BR110,"")</f>
        <v/>
      </c>
    </row>
    <row r="2082" spans="25:27" x14ac:dyDescent="0.3">
      <c r="Y2082" s="48" t="str">
        <f ca="1">IF(AND('Planning Sheet'!BV111='Weeks Plan'!$D$6,'Planning Sheet'!BP111='Weeks Plan'!$G$6),'Planning Sheet'!$B111,"")</f>
        <v/>
      </c>
      <c r="Z2082" s="48" t="str">
        <f ca="1">IF(AND('Planning Sheet'!BV111='Weeks Plan'!$D$6,'Planning Sheet'!BP111='Weeks Plan'!$G$6),'Planning Sheet'!$BQ111,"")</f>
        <v/>
      </c>
      <c r="AA2082" s="48" t="str">
        <f ca="1">IF(AND('Planning Sheet'!BV111='Weeks Plan'!$D$6,'Planning Sheet'!BP111='Weeks Plan'!$G$6),'Planning Sheet'!$BR111,"")</f>
        <v/>
      </c>
    </row>
    <row r="2083" spans="25:27" x14ac:dyDescent="0.3">
      <c r="Y2083" s="48" t="str">
        <f ca="1">IF(AND('Planning Sheet'!BV112='Weeks Plan'!$D$6,'Planning Sheet'!BP112='Weeks Plan'!$G$6),'Planning Sheet'!$B112,"")</f>
        <v/>
      </c>
      <c r="Z2083" s="48" t="str">
        <f ca="1">IF(AND('Planning Sheet'!BV112='Weeks Plan'!$D$6,'Planning Sheet'!BP112='Weeks Plan'!$G$6),'Planning Sheet'!$BQ112,"")</f>
        <v/>
      </c>
      <c r="AA2083" s="48" t="str">
        <f ca="1">IF(AND('Planning Sheet'!BV112='Weeks Plan'!$D$6,'Planning Sheet'!BP112='Weeks Plan'!$G$6),'Planning Sheet'!$BR112,"")</f>
        <v/>
      </c>
    </row>
    <row r="2084" spans="25:27" x14ac:dyDescent="0.3">
      <c r="Y2084" s="48" t="str">
        <f ca="1">IF(AND('Planning Sheet'!BV113='Weeks Plan'!$D$6,'Planning Sheet'!BP113='Weeks Plan'!$G$6),'Planning Sheet'!$B113,"")</f>
        <v/>
      </c>
      <c r="Z2084" s="48" t="str">
        <f ca="1">IF(AND('Planning Sheet'!BV113='Weeks Plan'!$D$6,'Planning Sheet'!BP113='Weeks Plan'!$G$6),'Planning Sheet'!$BQ113,"")</f>
        <v/>
      </c>
      <c r="AA2084" s="48" t="str">
        <f ca="1">IF(AND('Planning Sheet'!BV113='Weeks Plan'!$D$6,'Planning Sheet'!BP113='Weeks Plan'!$G$6),'Planning Sheet'!$BR113,"")</f>
        <v/>
      </c>
    </row>
    <row r="2085" spans="25:27" x14ac:dyDescent="0.3">
      <c r="Y2085" s="48" t="str">
        <f ca="1">IF(AND('Planning Sheet'!BV114='Weeks Plan'!$D$6,'Planning Sheet'!BP114='Weeks Plan'!$G$6),'Planning Sheet'!$B114,"")</f>
        <v/>
      </c>
      <c r="Z2085" s="48" t="str">
        <f ca="1">IF(AND('Planning Sheet'!BV114='Weeks Plan'!$D$6,'Planning Sheet'!BP114='Weeks Plan'!$G$6),'Planning Sheet'!$BQ114,"")</f>
        <v/>
      </c>
      <c r="AA2085" s="48" t="str">
        <f ca="1">IF(AND('Planning Sheet'!BV114='Weeks Plan'!$D$6,'Planning Sheet'!BP114='Weeks Plan'!$G$6),'Planning Sheet'!$BR114,"")</f>
        <v/>
      </c>
    </row>
    <row r="2086" spans="25:27" x14ac:dyDescent="0.3">
      <c r="Y2086" s="48" t="str">
        <f ca="1">IF(AND('Planning Sheet'!BV115='Weeks Plan'!$D$6,'Planning Sheet'!BP115='Weeks Plan'!$G$6),'Planning Sheet'!$B115,"")</f>
        <v/>
      </c>
      <c r="Z2086" s="48" t="str">
        <f ca="1">IF(AND('Planning Sheet'!BV115='Weeks Plan'!$D$6,'Planning Sheet'!BP115='Weeks Plan'!$G$6),'Planning Sheet'!$BQ115,"")</f>
        <v/>
      </c>
      <c r="AA2086" s="48" t="str">
        <f ca="1">IF(AND('Planning Sheet'!BV115='Weeks Plan'!$D$6,'Planning Sheet'!BP115='Weeks Plan'!$G$6),'Planning Sheet'!$BR115,"")</f>
        <v/>
      </c>
    </row>
    <row r="2087" spans="25:27" x14ac:dyDescent="0.3">
      <c r="Y2087" s="48" t="str">
        <f ca="1">IF(AND('Planning Sheet'!BV116='Weeks Plan'!$D$6,'Planning Sheet'!BP116='Weeks Plan'!$G$6),'Planning Sheet'!$B116,"")</f>
        <v/>
      </c>
      <c r="Z2087" s="48" t="str">
        <f ca="1">IF(AND('Planning Sheet'!BV116='Weeks Plan'!$D$6,'Planning Sheet'!BP116='Weeks Plan'!$G$6),'Planning Sheet'!$BQ116,"")</f>
        <v/>
      </c>
      <c r="AA2087" s="48" t="str">
        <f ca="1">IF(AND('Planning Sheet'!BV116='Weeks Plan'!$D$6,'Planning Sheet'!BP116='Weeks Plan'!$G$6),'Planning Sheet'!$BR116,"")</f>
        <v/>
      </c>
    </row>
    <row r="2088" spans="25:27" x14ac:dyDescent="0.3">
      <c r="Y2088" s="48" t="str">
        <f ca="1">IF(AND('Planning Sheet'!BV117='Weeks Plan'!$D$6,'Planning Sheet'!BP117='Weeks Plan'!$G$6),'Planning Sheet'!$B117,"")</f>
        <v/>
      </c>
      <c r="Z2088" s="48" t="str">
        <f ca="1">IF(AND('Planning Sheet'!BV117='Weeks Plan'!$D$6,'Planning Sheet'!BP117='Weeks Plan'!$G$6),'Planning Sheet'!$BQ117,"")</f>
        <v/>
      </c>
      <c r="AA2088" s="48" t="str">
        <f ca="1">IF(AND('Planning Sheet'!BV117='Weeks Plan'!$D$6,'Planning Sheet'!BP117='Weeks Plan'!$G$6),'Planning Sheet'!$BR117,"")</f>
        <v/>
      </c>
    </row>
    <row r="2089" spans="25:27" x14ac:dyDescent="0.3">
      <c r="Y2089" s="48" t="str">
        <f ca="1">IF(AND('Planning Sheet'!BV118='Weeks Plan'!$D$6,'Planning Sheet'!BP118='Weeks Plan'!$G$6),'Planning Sheet'!$B118,"")</f>
        <v/>
      </c>
      <c r="Z2089" s="48" t="str">
        <f ca="1">IF(AND('Planning Sheet'!BV118='Weeks Plan'!$D$6,'Planning Sheet'!BP118='Weeks Plan'!$G$6),'Planning Sheet'!$BQ118,"")</f>
        <v/>
      </c>
      <c r="AA2089" s="48" t="str">
        <f ca="1">IF(AND('Planning Sheet'!BV118='Weeks Plan'!$D$6,'Planning Sheet'!BP118='Weeks Plan'!$G$6),'Planning Sheet'!$BR118,"")</f>
        <v/>
      </c>
    </row>
    <row r="2090" spans="25:27" x14ac:dyDescent="0.3">
      <c r="Y2090" s="48" t="str">
        <f ca="1">IF(AND('Planning Sheet'!BV119='Weeks Plan'!$D$6,'Planning Sheet'!BP119='Weeks Plan'!$G$6),'Planning Sheet'!$B119,"")</f>
        <v/>
      </c>
      <c r="Z2090" s="48" t="str">
        <f ca="1">IF(AND('Planning Sheet'!BV119='Weeks Plan'!$D$6,'Planning Sheet'!BP119='Weeks Plan'!$G$6),'Planning Sheet'!$BQ119,"")</f>
        <v/>
      </c>
      <c r="AA2090" s="48" t="str">
        <f ca="1">IF(AND('Planning Sheet'!BV119='Weeks Plan'!$D$6,'Planning Sheet'!BP119='Weeks Plan'!$G$6),'Planning Sheet'!$BR119,"")</f>
        <v/>
      </c>
    </row>
    <row r="2091" spans="25:27" x14ac:dyDescent="0.3">
      <c r="Y2091" s="48" t="str">
        <f ca="1">IF(AND('Planning Sheet'!BV120='Weeks Plan'!$D$6,'Planning Sheet'!BP120='Weeks Plan'!$G$6),'Planning Sheet'!$B120,"")</f>
        <v/>
      </c>
      <c r="Z2091" s="48" t="str">
        <f ca="1">IF(AND('Planning Sheet'!BV120='Weeks Plan'!$D$6,'Planning Sheet'!BP120='Weeks Plan'!$G$6),'Planning Sheet'!$BQ120,"")</f>
        <v/>
      </c>
      <c r="AA2091" s="48" t="str">
        <f ca="1">IF(AND('Planning Sheet'!BV120='Weeks Plan'!$D$6,'Planning Sheet'!BP120='Weeks Plan'!$G$6),'Planning Sheet'!$BR120,"")</f>
        <v/>
      </c>
    </row>
    <row r="2092" spans="25:27" x14ac:dyDescent="0.3">
      <c r="Y2092" s="48" t="str">
        <f ca="1">IF(AND('Planning Sheet'!BV121='Weeks Plan'!$D$6,'Planning Sheet'!BP121='Weeks Plan'!$G$6),'Planning Sheet'!$B121,"")</f>
        <v/>
      </c>
      <c r="Z2092" s="48" t="str">
        <f ca="1">IF(AND('Planning Sheet'!BV121='Weeks Plan'!$D$6,'Planning Sheet'!BP121='Weeks Plan'!$G$6),'Planning Sheet'!$BQ121,"")</f>
        <v/>
      </c>
      <c r="AA2092" s="48" t="str">
        <f ca="1">IF(AND('Planning Sheet'!BV121='Weeks Plan'!$D$6,'Planning Sheet'!BP121='Weeks Plan'!$G$6),'Planning Sheet'!$BR121,"")</f>
        <v/>
      </c>
    </row>
    <row r="2093" spans="25:27" x14ac:dyDescent="0.3">
      <c r="Y2093" s="48" t="str">
        <f ca="1">IF(AND('Planning Sheet'!BV122='Weeks Plan'!$D$6,'Planning Sheet'!BP122='Weeks Plan'!$G$6),'Planning Sheet'!$B122,"")</f>
        <v/>
      </c>
      <c r="Z2093" s="48" t="str">
        <f ca="1">IF(AND('Planning Sheet'!BV122='Weeks Plan'!$D$6,'Planning Sheet'!BP122='Weeks Plan'!$G$6),'Planning Sheet'!$BQ122,"")</f>
        <v/>
      </c>
      <c r="AA2093" s="48" t="str">
        <f ca="1">IF(AND('Planning Sheet'!BV122='Weeks Plan'!$D$6,'Planning Sheet'!BP122='Weeks Plan'!$G$6),'Planning Sheet'!$BR122,"")</f>
        <v/>
      </c>
    </row>
    <row r="2094" spans="25:27" x14ac:dyDescent="0.3">
      <c r="Y2094" s="48" t="str">
        <f ca="1">IF(AND('Planning Sheet'!BV123='Weeks Plan'!$D$6,'Planning Sheet'!BP123='Weeks Plan'!$G$6),'Planning Sheet'!$B123,"")</f>
        <v/>
      </c>
      <c r="Z2094" s="48" t="str">
        <f ca="1">IF(AND('Planning Sheet'!BV123='Weeks Plan'!$D$6,'Planning Sheet'!BP123='Weeks Plan'!$G$6),'Planning Sheet'!$BQ123,"")</f>
        <v/>
      </c>
      <c r="AA2094" s="48" t="str">
        <f ca="1">IF(AND('Planning Sheet'!BV123='Weeks Plan'!$D$6,'Planning Sheet'!BP123='Weeks Plan'!$G$6),'Planning Sheet'!$BR123,"")</f>
        <v/>
      </c>
    </row>
    <row r="2095" spans="25:27" x14ac:dyDescent="0.3">
      <c r="Y2095" s="48" t="str">
        <f ca="1">IF(AND('Planning Sheet'!BV124='Weeks Plan'!$D$6,'Planning Sheet'!BP124='Weeks Plan'!$G$6),'Planning Sheet'!$B124,"")</f>
        <v/>
      </c>
      <c r="Z2095" s="48" t="str">
        <f ca="1">IF(AND('Planning Sheet'!BV124='Weeks Plan'!$D$6,'Planning Sheet'!BP124='Weeks Plan'!$G$6),'Planning Sheet'!$BQ124,"")</f>
        <v/>
      </c>
      <c r="AA2095" s="48" t="str">
        <f ca="1">IF(AND('Planning Sheet'!BV124='Weeks Plan'!$D$6,'Planning Sheet'!BP124='Weeks Plan'!$G$6),'Planning Sheet'!$BR124,"")</f>
        <v/>
      </c>
    </row>
    <row r="2096" spans="25:27" x14ac:dyDescent="0.3">
      <c r="Y2096" s="48" t="str">
        <f ca="1">IF(AND('Planning Sheet'!BV125='Weeks Plan'!$D$6,'Planning Sheet'!BP125='Weeks Plan'!$G$6),'Planning Sheet'!$B125,"")</f>
        <v/>
      </c>
      <c r="Z2096" s="48" t="str">
        <f ca="1">IF(AND('Planning Sheet'!BV125='Weeks Plan'!$D$6,'Planning Sheet'!BP125='Weeks Plan'!$G$6),'Planning Sheet'!$BQ125,"")</f>
        <v/>
      </c>
      <c r="AA2096" s="48" t="str">
        <f ca="1">IF(AND('Planning Sheet'!BV125='Weeks Plan'!$D$6,'Planning Sheet'!BP125='Weeks Plan'!$G$6),'Planning Sheet'!$BR125,"")</f>
        <v/>
      </c>
    </row>
    <row r="2097" spans="25:27" x14ac:dyDescent="0.3">
      <c r="Y2097" s="48" t="str">
        <f ca="1">IF(AND('Planning Sheet'!BV126='Weeks Plan'!$D$6,'Planning Sheet'!BP126='Weeks Plan'!$G$6),'Planning Sheet'!$B126,"")</f>
        <v/>
      </c>
      <c r="Z2097" s="48" t="str">
        <f ca="1">IF(AND('Planning Sheet'!BV126='Weeks Plan'!$D$6,'Planning Sheet'!BP126='Weeks Plan'!$G$6),'Planning Sheet'!$BQ126,"")</f>
        <v/>
      </c>
      <c r="AA2097" s="48" t="str">
        <f ca="1">IF(AND('Planning Sheet'!BV126='Weeks Plan'!$D$6,'Planning Sheet'!BP126='Weeks Plan'!$G$6),'Planning Sheet'!$BR126,"")</f>
        <v/>
      </c>
    </row>
    <row r="2098" spans="25:27" x14ac:dyDescent="0.3">
      <c r="Y2098" s="48" t="str">
        <f ca="1">IF(AND('Planning Sheet'!BV127='Weeks Plan'!$D$6,'Planning Sheet'!BP127='Weeks Plan'!$G$6),'Planning Sheet'!$B127,"")</f>
        <v/>
      </c>
      <c r="Z2098" s="48" t="str">
        <f ca="1">IF(AND('Planning Sheet'!BV127='Weeks Plan'!$D$6,'Planning Sheet'!BP127='Weeks Plan'!$G$6),'Planning Sheet'!$BQ127,"")</f>
        <v/>
      </c>
      <c r="AA2098" s="48" t="str">
        <f ca="1">IF(AND('Planning Sheet'!BV127='Weeks Plan'!$D$6,'Planning Sheet'!BP127='Weeks Plan'!$G$6),'Planning Sheet'!$BR127,"")</f>
        <v/>
      </c>
    </row>
    <row r="2099" spans="25:27" x14ac:dyDescent="0.3">
      <c r="Y2099" s="48" t="str">
        <f ca="1">IF(AND('Planning Sheet'!BV128='Weeks Plan'!$D$6,'Planning Sheet'!BP128='Weeks Plan'!$G$6),'Planning Sheet'!$B128,"")</f>
        <v/>
      </c>
      <c r="Z2099" s="48" t="str">
        <f ca="1">IF(AND('Planning Sheet'!BV128='Weeks Plan'!$D$6,'Planning Sheet'!BP128='Weeks Plan'!$G$6),'Planning Sheet'!$BQ128,"")</f>
        <v/>
      </c>
      <c r="AA2099" s="48" t="str">
        <f ca="1">IF(AND('Planning Sheet'!BV128='Weeks Plan'!$D$6,'Planning Sheet'!BP128='Weeks Plan'!$G$6),'Planning Sheet'!$BR128,"")</f>
        <v/>
      </c>
    </row>
    <row r="2100" spans="25:27" x14ac:dyDescent="0.3">
      <c r="Y2100" s="48" t="str">
        <f ca="1">IF(AND('Planning Sheet'!BV129='Weeks Plan'!$D$6,'Planning Sheet'!BP129='Weeks Plan'!$G$6),'Planning Sheet'!$B129,"")</f>
        <v/>
      </c>
      <c r="Z2100" s="48" t="str">
        <f ca="1">IF(AND('Planning Sheet'!BV129='Weeks Plan'!$D$6,'Planning Sheet'!BP129='Weeks Plan'!$G$6),'Planning Sheet'!$BQ129,"")</f>
        <v/>
      </c>
      <c r="AA2100" s="48" t="str">
        <f ca="1">IF(AND('Planning Sheet'!BV129='Weeks Plan'!$D$6,'Planning Sheet'!BP129='Weeks Plan'!$G$6),'Planning Sheet'!$BR129,"")</f>
        <v/>
      </c>
    </row>
    <row r="2101" spans="25:27" x14ac:dyDescent="0.3">
      <c r="Y2101" s="48" t="str">
        <f ca="1">IF(AND('Planning Sheet'!BV130='Weeks Plan'!$D$6,'Planning Sheet'!BP130='Weeks Plan'!$G$6),'Planning Sheet'!$B130,"")</f>
        <v/>
      </c>
      <c r="Z2101" s="48" t="str">
        <f ca="1">IF(AND('Planning Sheet'!BV130='Weeks Plan'!$D$6,'Planning Sheet'!BP130='Weeks Plan'!$G$6),'Planning Sheet'!$BQ130,"")</f>
        <v/>
      </c>
      <c r="AA2101" s="48" t="str">
        <f ca="1">IF(AND('Planning Sheet'!BV130='Weeks Plan'!$D$6,'Planning Sheet'!BP130='Weeks Plan'!$G$6),'Planning Sheet'!$BR130,"")</f>
        <v/>
      </c>
    </row>
    <row r="2102" spans="25:27" x14ac:dyDescent="0.3">
      <c r="Y2102" s="48" t="str">
        <f ca="1">IF(AND('Planning Sheet'!BV131='Weeks Plan'!$D$6,'Planning Sheet'!BP131='Weeks Plan'!$G$6),'Planning Sheet'!$B131,"")</f>
        <v/>
      </c>
      <c r="Z2102" s="48" t="str">
        <f ca="1">IF(AND('Planning Sheet'!BV131='Weeks Plan'!$D$6,'Planning Sheet'!BP131='Weeks Plan'!$G$6),'Planning Sheet'!$BQ131,"")</f>
        <v/>
      </c>
      <c r="AA2102" s="48" t="str">
        <f ca="1">IF(AND('Planning Sheet'!BV131='Weeks Plan'!$D$6,'Planning Sheet'!BP131='Weeks Plan'!$G$6),'Planning Sheet'!$BR131,"")</f>
        <v/>
      </c>
    </row>
    <row r="2103" spans="25:27" x14ac:dyDescent="0.3">
      <c r="Y2103" s="48" t="str">
        <f ca="1">IF(AND('Planning Sheet'!BV132='Weeks Plan'!$D$6,'Planning Sheet'!BP132='Weeks Plan'!$G$6),'Planning Sheet'!$B132,"")</f>
        <v/>
      </c>
      <c r="Z2103" s="48" t="str">
        <f ca="1">IF(AND('Planning Sheet'!BV132='Weeks Plan'!$D$6,'Planning Sheet'!BP132='Weeks Plan'!$G$6),'Planning Sheet'!$BQ132,"")</f>
        <v/>
      </c>
      <c r="AA2103" s="48" t="str">
        <f ca="1">IF(AND('Planning Sheet'!BV132='Weeks Plan'!$D$6,'Planning Sheet'!BP132='Weeks Plan'!$G$6),'Planning Sheet'!$BR132,"")</f>
        <v/>
      </c>
    </row>
    <row r="2104" spans="25:27" x14ac:dyDescent="0.3">
      <c r="Y2104" s="48" t="str">
        <f ca="1">IF(AND('Planning Sheet'!BV133='Weeks Plan'!$D$6,'Planning Sheet'!BP133='Weeks Plan'!$G$6),'Planning Sheet'!$B133,"")</f>
        <v/>
      </c>
      <c r="Z2104" s="48" t="str">
        <f ca="1">IF(AND('Planning Sheet'!BV133='Weeks Plan'!$D$6,'Planning Sheet'!BP133='Weeks Plan'!$G$6),'Planning Sheet'!$BQ133,"")</f>
        <v/>
      </c>
      <c r="AA2104" s="48" t="str">
        <f ca="1">IF(AND('Planning Sheet'!BV133='Weeks Plan'!$D$6,'Planning Sheet'!BP133='Weeks Plan'!$G$6),'Planning Sheet'!$BR133,"")</f>
        <v/>
      </c>
    </row>
    <row r="2105" spans="25:27" x14ac:dyDescent="0.3">
      <c r="Y2105" s="48" t="str">
        <f ca="1">IF(AND('Planning Sheet'!BV134='Weeks Plan'!$D$6,'Planning Sheet'!BP134='Weeks Plan'!$G$6),'Planning Sheet'!$B134,"")</f>
        <v/>
      </c>
      <c r="Z2105" s="48" t="str">
        <f ca="1">IF(AND('Planning Sheet'!BV134='Weeks Plan'!$D$6,'Planning Sheet'!BP134='Weeks Plan'!$G$6),'Planning Sheet'!$BQ134,"")</f>
        <v/>
      </c>
      <c r="AA2105" s="48" t="str">
        <f ca="1">IF(AND('Planning Sheet'!BV134='Weeks Plan'!$D$6,'Planning Sheet'!BP134='Weeks Plan'!$G$6),'Planning Sheet'!$BR134,"")</f>
        <v/>
      </c>
    </row>
    <row r="2106" spans="25:27" x14ac:dyDescent="0.3">
      <c r="Y2106" s="48" t="str">
        <f ca="1">IF(AND('Planning Sheet'!BV135='Weeks Plan'!$D$6,'Planning Sheet'!BP135='Weeks Plan'!$G$6),'Planning Sheet'!$B135,"")</f>
        <v/>
      </c>
      <c r="Z2106" s="48" t="str">
        <f ca="1">IF(AND('Planning Sheet'!BV135='Weeks Plan'!$D$6,'Planning Sheet'!BP135='Weeks Plan'!$G$6),'Planning Sheet'!$BQ135,"")</f>
        <v/>
      </c>
      <c r="AA2106" s="48" t="str">
        <f ca="1">IF(AND('Planning Sheet'!BV135='Weeks Plan'!$D$6,'Planning Sheet'!BP135='Weeks Plan'!$G$6),'Planning Sheet'!$BR135,"")</f>
        <v/>
      </c>
    </row>
    <row r="2107" spans="25:27" x14ac:dyDescent="0.3">
      <c r="Y2107" s="48" t="str">
        <f ca="1">IF(AND('Planning Sheet'!BV136='Weeks Plan'!$D$6,'Planning Sheet'!BP136='Weeks Plan'!$G$6),'Planning Sheet'!$B136,"")</f>
        <v/>
      </c>
      <c r="Z2107" s="48" t="str">
        <f ca="1">IF(AND('Planning Sheet'!BV136='Weeks Plan'!$D$6,'Planning Sheet'!BP136='Weeks Plan'!$G$6),'Planning Sheet'!$BQ136,"")</f>
        <v/>
      </c>
      <c r="AA2107" s="48" t="str">
        <f ca="1">IF(AND('Planning Sheet'!BV136='Weeks Plan'!$D$6,'Planning Sheet'!BP136='Weeks Plan'!$G$6),'Planning Sheet'!$BR136,"")</f>
        <v/>
      </c>
    </row>
    <row r="2108" spans="25:27" x14ac:dyDescent="0.3">
      <c r="Y2108" s="48" t="str">
        <f ca="1">IF(AND('Planning Sheet'!BV137='Weeks Plan'!$D$6,'Planning Sheet'!BP137='Weeks Plan'!$G$6),'Planning Sheet'!$B137,"")</f>
        <v/>
      </c>
      <c r="Z2108" s="48" t="str">
        <f ca="1">IF(AND('Planning Sheet'!BV137='Weeks Plan'!$D$6,'Planning Sheet'!BP137='Weeks Plan'!$G$6),'Planning Sheet'!$BQ137,"")</f>
        <v/>
      </c>
      <c r="AA2108" s="48" t="str">
        <f ca="1">IF(AND('Planning Sheet'!BV137='Weeks Plan'!$D$6,'Planning Sheet'!BP137='Weeks Plan'!$G$6),'Planning Sheet'!$BR137,"")</f>
        <v/>
      </c>
    </row>
    <row r="2109" spans="25:27" x14ac:dyDescent="0.3">
      <c r="Y2109" s="48" t="str">
        <f ca="1">IF(AND('Planning Sheet'!BV138='Weeks Plan'!$D$6,'Planning Sheet'!BP138='Weeks Plan'!$G$6),'Planning Sheet'!$B138,"")</f>
        <v/>
      </c>
      <c r="Z2109" s="48" t="str">
        <f ca="1">IF(AND('Planning Sheet'!BV138='Weeks Plan'!$D$6,'Planning Sheet'!BP138='Weeks Plan'!$G$6),'Planning Sheet'!$BQ138,"")</f>
        <v/>
      </c>
      <c r="AA2109" s="48" t="str">
        <f ca="1">IF(AND('Planning Sheet'!BV138='Weeks Plan'!$D$6,'Planning Sheet'!BP138='Weeks Plan'!$G$6),'Planning Sheet'!$BR138,"")</f>
        <v/>
      </c>
    </row>
    <row r="2110" spans="25:27" x14ac:dyDescent="0.3">
      <c r="Y2110" s="48" t="str">
        <f ca="1">IF(AND('Planning Sheet'!BV139='Weeks Plan'!$D$6,'Planning Sheet'!BP139='Weeks Plan'!$G$6),'Planning Sheet'!$B139,"")</f>
        <v/>
      </c>
      <c r="Z2110" s="48" t="str">
        <f ca="1">IF(AND('Planning Sheet'!BV139='Weeks Plan'!$D$6,'Planning Sheet'!BP139='Weeks Plan'!$G$6),'Planning Sheet'!$BQ139,"")</f>
        <v/>
      </c>
      <c r="AA2110" s="48" t="str">
        <f ca="1">IF(AND('Planning Sheet'!BV139='Weeks Plan'!$D$6,'Planning Sheet'!BP139='Weeks Plan'!$G$6),'Planning Sheet'!$BR139,"")</f>
        <v/>
      </c>
    </row>
    <row r="2111" spans="25:27" x14ac:dyDescent="0.3">
      <c r="Y2111" s="48" t="str">
        <f ca="1">IF(AND('Planning Sheet'!BV140='Weeks Plan'!$D$6,'Planning Sheet'!BP140='Weeks Plan'!$G$6),'Planning Sheet'!$B140,"")</f>
        <v/>
      </c>
      <c r="Z2111" s="48" t="str">
        <f ca="1">IF(AND('Planning Sheet'!BV140='Weeks Plan'!$D$6,'Planning Sheet'!BP140='Weeks Plan'!$G$6),'Planning Sheet'!$BQ140,"")</f>
        <v/>
      </c>
      <c r="AA2111" s="48" t="str">
        <f ca="1">IF(AND('Planning Sheet'!BV140='Weeks Plan'!$D$6,'Planning Sheet'!BP140='Weeks Plan'!$G$6),'Planning Sheet'!$BR140,"")</f>
        <v/>
      </c>
    </row>
    <row r="2112" spans="25:27" x14ac:dyDescent="0.3">
      <c r="Y2112" s="48" t="str">
        <f ca="1">IF(AND('Planning Sheet'!BV141='Weeks Plan'!$D$6,'Planning Sheet'!BP141='Weeks Plan'!$G$6),'Planning Sheet'!$B141,"")</f>
        <v/>
      </c>
      <c r="Z2112" s="48" t="str">
        <f ca="1">IF(AND('Planning Sheet'!BV141='Weeks Plan'!$D$6,'Planning Sheet'!BP141='Weeks Plan'!$G$6),'Planning Sheet'!$BQ141,"")</f>
        <v/>
      </c>
      <c r="AA2112" s="48" t="str">
        <f ca="1">IF(AND('Planning Sheet'!BV141='Weeks Plan'!$D$6,'Planning Sheet'!BP141='Weeks Plan'!$G$6),'Planning Sheet'!$BR141,"")</f>
        <v/>
      </c>
    </row>
    <row r="2113" spans="25:27" x14ac:dyDescent="0.3">
      <c r="Y2113" s="48" t="str">
        <f ca="1">IF(AND('Planning Sheet'!BV142='Weeks Plan'!$D$6,'Planning Sheet'!BP142='Weeks Plan'!$G$6),'Planning Sheet'!$B142,"")</f>
        <v/>
      </c>
      <c r="Z2113" s="48" t="str">
        <f ca="1">IF(AND('Planning Sheet'!BV142='Weeks Plan'!$D$6,'Planning Sheet'!BP142='Weeks Plan'!$G$6),'Planning Sheet'!$BQ142,"")</f>
        <v/>
      </c>
      <c r="AA2113" s="48" t="str">
        <f ca="1">IF(AND('Planning Sheet'!BV142='Weeks Plan'!$D$6,'Planning Sheet'!BP142='Weeks Plan'!$G$6),'Planning Sheet'!$BR142,"")</f>
        <v/>
      </c>
    </row>
    <row r="2114" spans="25:27" x14ac:dyDescent="0.3">
      <c r="Y2114" s="48" t="str">
        <f ca="1">IF(AND('Planning Sheet'!BV143='Weeks Plan'!$D$6,'Planning Sheet'!BP143='Weeks Plan'!$G$6),'Planning Sheet'!$B143,"")</f>
        <v/>
      </c>
      <c r="Z2114" s="48" t="str">
        <f ca="1">IF(AND('Planning Sheet'!BV143='Weeks Plan'!$D$6,'Planning Sheet'!BP143='Weeks Plan'!$G$6),'Planning Sheet'!$BQ143,"")</f>
        <v/>
      </c>
      <c r="AA2114" s="48" t="str">
        <f ca="1">IF(AND('Planning Sheet'!BV143='Weeks Plan'!$D$6,'Planning Sheet'!BP143='Weeks Plan'!$G$6),'Planning Sheet'!$BR143,"")</f>
        <v/>
      </c>
    </row>
    <row r="2115" spans="25:27" x14ac:dyDescent="0.3">
      <c r="Y2115" s="48" t="str">
        <f ca="1">IF(AND('Planning Sheet'!BV144='Weeks Plan'!$D$6,'Planning Sheet'!BP144='Weeks Plan'!$G$6),'Planning Sheet'!$B144,"")</f>
        <v/>
      </c>
      <c r="Z2115" s="48" t="str">
        <f ca="1">IF(AND('Planning Sheet'!BV144='Weeks Plan'!$D$6,'Planning Sheet'!BP144='Weeks Plan'!$G$6),'Planning Sheet'!$BQ144,"")</f>
        <v/>
      </c>
      <c r="AA2115" s="48" t="str">
        <f ca="1">IF(AND('Planning Sheet'!BV144='Weeks Plan'!$D$6,'Planning Sheet'!BP144='Weeks Plan'!$G$6),'Planning Sheet'!$BR144,"")</f>
        <v/>
      </c>
    </row>
    <row r="2116" spans="25:27" x14ac:dyDescent="0.3">
      <c r="Y2116" s="48" t="str">
        <f ca="1">IF(AND('Planning Sheet'!BV145='Weeks Plan'!$D$6,'Planning Sheet'!BP145='Weeks Plan'!$G$6),'Planning Sheet'!$B145,"")</f>
        <v/>
      </c>
      <c r="Z2116" s="48" t="str">
        <f ca="1">IF(AND('Planning Sheet'!BV145='Weeks Plan'!$D$6,'Planning Sheet'!BP145='Weeks Plan'!$G$6),'Planning Sheet'!$BQ145,"")</f>
        <v/>
      </c>
      <c r="AA2116" s="48" t="str">
        <f ca="1">IF(AND('Planning Sheet'!BV145='Weeks Plan'!$D$6,'Planning Sheet'!BP145='Weeks Plan'!$G$6),'Planning Sheet'!$BR145,"")</f>
        <v/>
      </c>
    </row>
    <row r="2117" spans="25:27" x14ac:dyDescent="0.3">
      <c r="Y2117" s="48" t="str">
        <f ca="1">IF(AND('Planning Sheet'!BV146='Weeks Plan'!$D$6,'Planning Sheet'!BP146='Weeks Plan'!$G$6),'Planning Sheet'!$B146,"")</f>
        <v/>
      </c>
      <c r="Z2117" s="48" t="str">
        <f ca="1">IF(AND('Planning Sheet'!BV146='Weeks Plan'!$D$6,'Planning Sheet'!BP146='Weeks Plan'!$G$6),'Planning Sheet'!$BQ146,"")</f>
        <v/>
      </c>
      <c r="AA2117" s="48" t="str">
        <f ca="1">IF(AND('Planning Sheet'!BV146='Weeks Plan'!$D$6,'Planning Sheet'!BP146='Weeks Plan'!$G$6),'Planning Sheet'!$BR146,"")</f>
        <v/>
      </c>
    </row>
    <row r="2118" spans="25:27" x14ac:dyDescent="0.3">
      <c r="Y2118" s="48" t="str">
        <f ca="1">IF(AND('Planning Sheet'!BV147='Weeks Plan'!$D$6,'Planning Sheet'!BP147='Weeks Plan'!$G$6),'Planning Sheet'!$B147,"")</f>
        <v/>
      </c>
      <c r="Z2118" s="48" t="str">
        <f ca="1">IF(AND('Planning Sheet'!BV147='Weeks Plan'!$D$6,'Planning Sheet'!BP147='Weeks Plan'!$G$6),'Planning Sheet'!$BQ147,"")</f>
        <v/>
      </c>
      <c r="AA2118" s="48" t="str">
        <f ca="1">IF(AND('Planning Sheet'!BV147='Weeks Plan'!$D$6,'Planning Sheet'!BP147='Weeks Plan'!$G$6),'Planning Sheet'!$BR147,"")</f>
        <v/>
      </c>
    </row>
    <row r="2119" spans="25:27" x14ac:dyDescent="0.3">
      <c r="Y2119" s="48" t="str">
        <f ca="1">IF(AND('Planning Sheet'!BV148='Weeks Plan'!$D$6,'Planning Sheet'!BP148='Weeks Plan'!$G$6),'Planning Sheet'!$B148,"")</f>
        <v/>
      </c>
      <c r="Z2119" s="48" t="str">
        <f ca="1">IF(AND('Planning Sheet'!BV148='Weeks Plan'!$D$6,'Planning Sheet'!BP148='Weeks Plan'!$G$6),'Planning Sheet'!$BQ148,"")</f>
        <v/>
      </c>
      <c r="AA2119" s="48" t="str">
        <f ca="1">IF(AND('Planning Sheet'!BV148='Weeks Plan'!$D$6,'Planning Sheet'!BP148='Weeks Plan'!$G$6),'Planning Sheet'!$BR148,"")</f>
        <v/>
      </c>
    </row>
    <row r="2120" spans="25:27" x14ac:dyDescent="0.3">
      <c r="Y2120" s="48" t="str">
        <f ca="1">IF(AND('Planning Sheet'!BV149='Weeks Plan'!$D$6,'Planning Sheet'!BP149='Weeks Plan'!$G$6),'Planning Sheet'!$B149,"")</f>
        <v/>
      </c>
      <c r="Z2120" s="48" t="str">
        <f ca="1">IF(AND('Planning Sheet'!BV149='Weeks Plan'!$D$6,'Planning Sheet'!BP149='Weeks Plan'!$G$6),'Planning Sheet'!$BQ149,"")</f>
        <v/>
      </c>
      <c r="AA2120" s="48" t="str">
        <f ca="1">IF(AND('Planning Sheet'!BV149='Weeks Plan'!$D$6,'Planning Sheet'!BP149='Weeks Plan'!$G$6),'Planning Sheet'!$BR149,"")</f>
        <v/>
      </c>
    </row>
    <row r="2121" spans="25:27" x14ac:dyDescent="0.3">
      <c r="Y2121" s="48" t="str">
        <f ca="1">IF(AND('Planning Sheet'!BV150='Weeks Plan'!$D$6,'Planning Sheet'!BP150='Weeks Plan'!$G$6),'Planning Sheet'!$B150,"")</f>
        <v/>
      </c>
      <c r="Z2121" s="48" t="str">
        <f ca="1">IF(AND('Planning Sheet'!BV150='Weeks Plan'!$D$6,'Planning Sheet'!BP150='Weeks Plan'!$G$6),'Planning Sheet'!$BQ150,"")</f>
        <v/>
      </c>
      <c r="AA2121" s="48" t="str">
        <f ca="1">IF(AND('Planning Sheet'!BV150='Weeks Plan'!$D$6,'Planning Sheet'!BP150='Weeks Plan'!$G$6),'Planning Sheet'!$BR150,"")</f>
        <v/>
      </c>
    </row>
    <row r="2122" spans="25:27" x14ac:dyDescent="0.3">
      <c r="Y2122" s="48" t="str">
        <f ca="1">IF(AND('Planning Sheet'!BV151='Weeks Plan'!$D$6,'Planning Sheet'!BP151='Weeks Plan'!$G$6),'Planning Sheet'!$B151,"")</f>
        <v/>
      </c>
      <c r="Z2122" s="48" t="str">
        <f ca="1">IF(AND('Planning Sheet'!BV151='Weeks Plan'!$D$6,'Planning Sheet'!BP151='Weeks Plan'!$G$6),'Planning Sheet'!$BQ151,"")</f>
        <v/>
      </c>
      <c r="AA2122" s="48" t="str">
        <f ca="1">IF(AND('Planning Sheet'!BV151='Weeks Plan'!$D$6,'Planning Sheet'!BP151='Weeks Plan'!$G$6),'Planning Sheet'!$BR151,"")</f>
        <v/>
      </c>
    </row>
    <row r="2123" spans="25:27" x14ac:dyDescent="0.3">
      <c r="Y2123" s="48" t="str">
        <f ca="1">IF(AND('Planning Sheet'!BV152='Weeks Plan'!$D$6,'Planning Sheet'!BP152='Weeks Plan'!$G$6),'Planning Sheet'!$B152,"")</f>
        <v/>
      </c>
      <c r="Z2123" s="48" t="str">
        <f ca="1">IF(AND('Planning Sheet'!BV152='Weeks Plan'!$D$6,'Planning Sheet'!BP152='Weeks Plan'!$G$6),'Planning Sheet'!$BQ152,"")</f>
        <v/>
      </c>
      <c r="AA2123" s="48" t="str">
        <f ca="1">IF(AND('Planning Sheet'!BV152='Weeks Plan'!$D$6,'Planning Sheet'!BP152='Weeks Plan'!$G$6),'Planning Sheet'!$BR152,"")</f>
        <v/>
      </c>
    </row>
    <row r="2124" spans="25:27" x14ac:dyDescent="0.3">
      <c r="Y2124" s="48" t="str">
        <f ca="1">IF(AND('Planning Sheet'!BV153='Weeks Plan'!$D$6,'Planning Sheet'!BP153='Weeks Plan'!$G$6),'Planning Sheet'!$B153,"")</f>
        <v/>
      </c>
      <c r="Z2124" s="48" t="str">
        <f ca="1">IF(AND('Planning Sheet'!BV153='Weeks Plan'!$D$6,'Planning Sheet'!BP153='Weeks Plan'!$G$6),'Planning Sheet'!$BQ153,"")</f>
        <v/>
      </c>
      <c r="AA2124" s="48" t="str">
        <f ca="1">IF(AND('Planning Sheet'!BV153='Weeks Plan'!$D$6,'Planning Sheet'!BP153='Weeks Plan'!$G$6),'Planning Sheet'!$BR153,"")</f>
        <v/>
      </c>
    </row>
    <row r="2125" spans="25:27" x14ac:dyDescent="0.3">
      <c r="Y2125" s="48" t="str">
        <f ca="1">IF(AND('Planning Sheet'!BV154='Weeks Plan'!$D$6,'Planning Sheet'!BP154='Weeks Plan'!$G$6),'Planning Sheet'!$B154,"")</f>
        <v/>
      </c>
      <c r="Z2125" s="48" t="str">
        <f ca="1">IF(AND('Planning Sheet'!BV154='Weeks Plan'!$D$6,'Planning Sheet'!BP154='Weeks Plan'!$G$6),'Planning Sheet'!$BQ154,"")</f>
        <v/>
      </c>
      <c r="AA2125" s="48" t="str">
        <f ca="1">IF(AND('Planning Sheet'!BV154='Weeks Plan'!$D$6,'Planning Sheet'!BP154='Weeks Plan'!$G$6),'Planning Sheet'!$BR154,"")</f>
        <v/>
      </c>
    </row>
    <row r="2126" spans="25:27" x14ac:dyDescent="0.3">
      <c r="Y2126" s="48" t="str">
        <f ca="1">IF(AND('Planning Sheet'!BV155='Weeks Plan'!$D$6,'Planning Sheet'!BP155='Weeks Plan'!$G$6),'Planning Sheet'!$B155,"")</f>
        <v/>
      </c>
      <c r="Z2126" s="48" t="str">
        <f ca="1">IF(AND('Planning Sheet'!BV155='Weeks Plan'!$D$6,'Planning Sheet'!BP155='Weeks Plan'!$G$6),'Planning Sheet'!$BQ155,"")</f>
        <v/>
      </c>
      <c r="AA2126" s="48" t="str">
        <f ca="1">IF(AND('Planning Sheet'!BV155='Weeks Plan'!$D$6,'Planning Sheet'!BP155='Weeks Plan'!$G$6),'Planning Sheet'!$BR155,"")</f>
        <v/>
      </c>
    </row>
    <row r="2127" spans="25:27" x14ac:dyDescent="0.3">
      <c r="Y2127" s="48" t="str">
        <f ca="1">IF(AND('Planning Sheet'!BV156='Weeks Plan'!$D$6,'Planning Sheet'!BP156='Weeks Plan'!$G$6),'Planning Sheet'!$B156,"")</f>
        <v/>
      </c>
      <c r="Z2127" s="48" t="str">
        <f ca="1">IF(AND('Planning Sheet'!BV156='Weeks Plan'!$D$6,'Planning Sheet'!BP156='Weeks Plan'!$G$6),'Planning Sheet'!$BQ156,"")</f>
        <v/>
      </c>
      <c r="AA2127" s="48" t="str">
        <f ca="1">IF(AND('Planning Sheet'!BV156='Weeks Plan'!$D$6,'Planning Sheet'!BP156='Weeks Plan'!$G$6),'Planning Sheet'!$BR156,"")</f>
        <v/>
      </c>
    </row>
    <row r="2128" spans="25:27" x14ac:dyDescent="0.3">
      <c r="Y2128" s="48" t="str">
        <f ca="1">IF(AND('Planning Sheet'!BV157='Weeks Plan'!$D$6,'Planning Sheet'!BP157='Weeks Plan'!$G$6),'Planning Sheet'!$B157,"")</f>
        <v/>
      </c>
      <c r="Z2128" s="48" t="str">
        <f ca="1">IF(AND('Planning Sheet'!BV157='Weeks Plan'!$D$6,'Planning Sheet'!BP157='Weeks Plan'!$G$6),'Planning Sheet'!$BQ157,"")</f>
        <v/>
      </c>
      <c r="AA2128" s="48" t="str">
        <f ca="1">IF(AND('Planning Sheet'!BV157='Weeks Plan'!$D$6,'Planning Sheet'!BP157='Weeks Plan'!$G$6),'Planning Sheet'!$BR157,"")</f>
        <v/>
      </c>
    </row>
    <row r="2129" spans="25:27" x14ac:dyDescent="0.3">
      <c r="Y2129" s="48" t="str">
        <f ca="1">IF(AND('Planning Sheet'!BV158='Weeks Plan'!$D$6,'Planning Sheet'!BP158='Weeks Plan'!$G$6),'Planning Sheet'!$B158,"")</f>
        <v/>
      </c>
      <c r="Z2129" s="48" t="str">
        <f ca="1">IF(AND('Planning Sheet'!BV158='Weeks Plan'!$D$6,'Planning Sheet'!BP158='Weeks Plan'!$G$6),'Planning Sheet'!$BQ158,"")</f>
        <v/>
      </c>
      <c r="AA2129" s="48" t="str">
        <f ca="1">IF(AND('Planning Sheet'!BV158='Weeks Plan'!$D$6,'Planning Sheet'!BP158='Weeks Plan'!$G$6),'Planning Sheet'!$BR158,"")</f>
        <v/>
      </c>
    </row>
    <row r="2130" spans="25:27" x14ac:dyDescent="0.3">
      <c r="Y2130" s="48" t="str">
        <f ca="1">IF(AND('Planning Sheet'!BV159='Weeks Plan'!$D$6,'Planning Sheet'!BP159='Weeks Plan'!$G$6),'Planning Sheet'!$B159,"")</f>
        <v/>
      </c>
      <c r="Z2130" s="48" t="str">
        <f ca="1">IF(AND('Planning Sheet'!BV159='Weeks Plan'!$D$6,'Planning Sheet'!BP159='Weeks Plan'!$G$6),'Planning Sheet'!$BQ159,"")</f>
        <v/>
      </c>
      <c r="AA2130" s="48" t="str">
        <f ca="1">IF(AND('Planning Sheet'!BV159='Weeks Plan'!$D$6,'Planning Sheet'!BP159='Weeks Plan'!$G$6),'Planning Sheet'!$BR159,"")</f>
        <v/>
      </c>
    </row>
    <row r="2131" spans="25:27" x14ac:dyDescent="0.3">
      <c r="Y2131" s="48" t="str">
        <f ca="1">IF(AND('Planning Sheet'!BV160='Weeks Plan'!$D$6,'Planning Sheet'!BP160='Weeks Plan'!$G$6),'Planning Sheet'!$B160,"")</f>
        <v/>
      </c>
      <c r="Z2131" s="48" t="str">
        <f ca="1">IF(AND('Planning Sheet'!BV160='Weeks Plan'!$D$6,'Planning Sheet'!BP160='Weeks Plan'!$G$6),'Planning Sheet'!$BQ160,"")</f>
        <v/>
      </c>
      <c r="AA2131" s="48" t="str">
        <f ca="1">IF(AND('Planning Sheet'!BV160='Weeks Plan'!$D$6,'Planning Sheet'!BP160='Weeks Plan'!$G$6),'Planning Sheet'!$BR160,"")</f>
        <v/>
      </c>
    </row>
    <row r="2132" spans="25:27" x14ac:dyDescent="0.3">
      <c r="Y2132" s="48" t="str">
        <f ca="1">IF(AND('Planning Sheet'!BV161='Weeks Plan'!$D$6,'Planning Sheet'!BP161='Weeks Plan'!$G$6),'Planning Sheet'!$B161,"")</f>
        <v/>
      </c>
      <c r="Z2132" s="48" t="str">
        <f ca="1">IF(AND('Planning Sheet'!BV161='Weeks Plan'!$D$6,'Planning Sheet'!BP161='Weeks Plan'!$G$6),'Planning Sheet'!$BQ161,"")</f>
        <v/>
      </c>
      <c r="AA2132" s="48" t="str">
        <f ca="1">IF(AND('Planning Sheet'!BV161='Weeks Plan'!$D$6,'Planning Sheet'!BP161='Weeks Plan'!$G$6),'Planning Sheet'!$BR161,"")</f>
        <v/>
      </c>
    </row>
    <row r="2133" spans="25:27" x14ac:dyDescent="0.3">
      <c r="Y2133" s="48" t="str">
        <f ca="1">IF(AND('Planning Sheet'!BV162='Weeks Plan'!$D$6,'Planning Sheet'!BP162='Weeks Plan'!$G$6),'Planning Sheet'!$B162,"")</f>
        <v/>
      </c>
      <c r="Z2133" s="48" t="str">
        <f ca="1">IF(AND('Planning Sheet'!BV162='Weeks Plan'!$D$6,'Planning Sheet'!BP162='Weeks Plan'!$G$6),'Planning Sheet'!$BQ162,"")</f>
        <v/>
      </c>
      <c r="AA2133" s="48" t="str">
        <f ca="1">IF(AND('Planning Sheet'!BV162='Weeks Plan'!$D$6,'Planning Sheet'!BP162='Weeks Plan'!$G$6),'Planning Sheet'!$BR162,"")</f>
        <v/>
      </c>
    </row>
    <row r="2134" spans="25:27" x14ac:dyDescent="0.3">
      <c r="Y2134" s="48" t="str">
        <f ca="1">IF(AND('Planning Sheet'!BV163='Weeks Plan'!$D$6,'Planning Sheet'!BP163='Weeks Plan'!$G$6),'Planning Sheet'!$B163,"")</f>
        <v/>
      </c>
      <c r="Z2134" s="48" t="str">
        <f ca="1">IF(AND('Planning Sheet'!BV163='Weeks Plan'!$D$6,'Planning Sheet'!BP163='Weeks Plan'!$G$6),'Planning Sheet'!$BQ163,"")</f>
        <v/>
      </c>
      <c r="AA2134" s="48" t="str">
        <f ca="1">IF(AND('Planning Sheet'!BV163='Weeks Plan'!$D$6,'Planning Sheet'!BP163='Weeks Plan'!$G$6),'Planning Sheet'!$BR163,"")</f>
        <v/>
      </c>
    </row>
    <row r="2135" spans="25:27" x14ac:dyDescent="0.3">
      <c r="Y2135" s="48" t="str">
        <f ca="1">IF(AND('Planning Sheet'!BV164='Weeks Plan'!$D$6,'Planning Sheet'!BP164='Weeks Plan'!$G$6),'Planning Sheet'!$B164,"")</f>
        <v/>
      </c>
      <c r="Z2135" s="48" t="str">
        <f ca="1">IF(AND('Planning Sheet'!BV164='Weeks Plan'!$D$6,'Planning Sheet'!BP164='Weeks Plan'!$G$6),'Planning Sheet'!$BQ164,"")</f>
        <v/>
      </c>
      <c r="AA2135" s="48" t="str">
        <f ca="1">IF(AND('Planning Sheet'!BV164='Weeks Plan'!$D$6,'Planning Sheet'!BP164='Weeks Plan'!$G$6),'Planning Sheet'!$BR164,"")</f>
        <v/>
      </c>
    </row>
    <row r="2136" spans="25:27" x14ac:dyDescent="0.3">
      <c r="Y2136" s="48" t="str">
        <f ca="1">IF(AND('Planning Sheet'!BV165='Weeks Plan'!$D$6,'Planning Sheet'!BP165='Weeks Plan'!$G$6),'Planning Sheet'!$B165,"")</f>
        <v/>
      </c>
      <c r="Z2136" s="48" t="str">
        <f ca="1">IF(AND('Planning Sheet'!BV165='Weeks Plan'!$D$6,'Planning Sheet'!BP165='Weeks Plan'!$G$6),'Planning Sheet'!$BQ165,"")</f>
        <v/>
      </c>
      <c r="AA2136" s="48" t="str">
        <f ca="1">IF(AND('Planning Sheet'!BV165='Weeks Plan'!$D$6,'Planning Sheet'!BP165='Weeks Plan'!$G$6),'Planning Sheet'!$BR165,"")</f>
        <v/>
      </c>
    </row>
    <row r="2137" spans="25:27" x14ac:dyDescent="0.3">
      <c r="Y2137" s="48" t="str">
        <f ca="1">IF(AND('Planning Sheet'!BV166='Weeks Plan'!$D$6,'Planning Sheet'!BP166='Weeks Plan'!$G$6),'Planning Sheet'!$B166,"")</f>
        <v/>
      </c>
      <c r="Z2137" s="48" t="str">
        <f ca="1">IF(AND('Planning Sheet'!BV166='Weeks Plan'!$D$6,'Planning Sheet'!BP166='Weeks Plan'!$G$6),'Planning Sheet'!$BQ166,"")</f>
        <v/>
      </c>
      <c r="AA2137" s="48" t="str">
        <f ca="1">IF(AND('Planning Sheet'!BV166='Weeks Plan'!$D$6,'Planning Sheet'!BP166='Weeks Plan'!$G$6),'Planning Sheet'!$BR166,"")</f>
        <v/>
      </c>
    </row>
    <row r="2138" spans="25:27" x14ac:dyDescent="0.3">
      <c r="Y2138" s="48" t="str">
        <f ca="1">IF(AND('Planning Sheet'!BV167='Weeks Plan'!$D$6,'Planning Sheet'!BP167='Weeks Plan'!$G$6),'Planning Sheet'!$B167,"")</f>
        <v/>
      </c>
      <c r="Z2138" s="48" t="str">
        <f ca="1">IF(AND('Planning Sheet'!BV167='Weeks Plan'!$D$6,'Planning Sheet'!BP167='Weeks Plan'!$G$6),'Planning Sheet'!$BQ167,"")</f>
        <v/>
      </c>
      <c r="AA2138" s="48" t="str">
        <f ca="1">IF(AND('Planning Sheet'!BV167='Weeks Plan'!$D$6,'Planning Sheet'!BP167='Weeks Plan'!$G$6),'Planning Sheet'!$BR167,"")</f>
        <v/>
      </c>
    </row>
    <row r="2139" spans="25:27" x14ac:dyDescent="0.3">
      <c r="Y2139" s="48" t="str">
        <f ca="1">IF(AND('Planning Sheet'!BV168='Weeks Plan'!$D$6,'Planning Sheet'!BP168='Weeks Plan'!$G$6),'Planning Sheet'!$B168,"")</f>
        <v/>
      </c>
      <c r="Z2139" s="48" t="str">
        <f ca="1">IF(AND('Planning Sheet'!BV168='Weeks Plan'!$D$6,'Planning Sheet'!BP168='Weeks Plan'!$G$6),'Planning Sheet'!$BQ168,"")</f>
        <v/>
      </c>
      <c r="AA2139" s="48" t="str">
        <f ca="1">IF(AND('Planning Sheet'!BV168='Weeks Plan'!$D$6,'Planning Sheet'!BP168='Weeks Plan'!$G$6),'Planning Sheet'!$BR168,"")</f>
        <v/>
      </c>
    </row>
    <row r="2140" spans="25:27" x14ac:dyDescent="0.3">
      <c r="Y2140" s="48" t="str">
        <f ca="1">IF(AND('Planning Sheet'!BV169='Weeks Plan'!$D$6,'Planning Sheet'!BP169='Weeks Plan'!$G$6),'Planning Sheet'!$B169,"")</f>
        <v/>
      </c>
      <c r="Z2140" s="48" t="str">
        <f ca="1">IF(AND('Planning Sheet'!BV169='Weeks Plan'!$D$6,'Planning Sheet'!BP169='Weeks Plan'!$G$6),'Planning Sheet'!$BQ169,"")</f>
        <v/>
      </c>
      <c r="AA2140" s="48" t="str">
        <f ca="1">IF(AND('Planning Sheet'!BV169='Weeks Plan'!$D$6,'Planning Sheet'!BP169='Weeks Plan'!$G$6),'Planning Sheet'!$BR169,"")</f>
        <v/>
      </c>
    </row>
    <row r="2141" spans="25:27" x14ac:dyDescent="0.3">
      <c r="Y2141" s="48" t="str">
        <f ca="1">IF(AND('Planning Sheet'!BV170='Weeks Plan'!$D$6,'Planning Sheet'!BP170='Weeks Plan'!$G$6),'Planning Sheet'!$B170,"")</f>
        <v/>
      </c>
      <c r="Z2141" s="48" t="str">
        <f ca="1">IF(AND('Planning Sheet'!BV170='Weeks Plan'!$D$6,'Planning Sheet'!BP170='Weeks Plan'!$G$6),'Planning Sheet'!$BQ170,"")</f>
        <v/>
      </c>
      <c r="AA2141" s="48" t="str">
        <f ca="1">IF(AND('Planning Sheet'!BV170='Weeks Plan'!$D$6,'Planning Sheet'!BP170='Weeks Plan'!$G$6),'Planning Sheet'!$BR170,"")</f>
        <v/>
      </c>
    </row>
    <row r="2142" spans="25:27" x14ac:dyDescent="0.3">
      <c r="Y2142" s="48" t="str">
        <f ca="1">IF(AND('Planning Sheet'!BV171='Weeks Plan'!$D$6,'Planning Sheet'!BP171='Weeks Plan'!$G$6),'Planning Sheet'!$B171,"")</f>
        <v/>
      </c>
      <c r="Z2142" s="48" t="str">
        <f ca="1">IF(AND('Planning Sheet'!BV171='Weeks Plan'!$D$6,'Planning Sheet'!BP171='Weeks Plan'!$G$6),'Planning Sheet'!$BQ171,"")</f>
        <v/>
      </c>
      <c r="AA2142" s="48" t="str">
        <f ca="1">IF(AND('Planning Sheet'!BV171='Weeks Plan'!$D$6,'Planning Sheet'!BP171='Weeks Plan'!$G$6),'Planning Sheet'!$BR171,"")</f>
        <v/>
      </c>
    </row>
    <row r="2143" spans="25:27" x14ac:dyDescent="0.3">
      <c r="Y2143" s="48" t="str">
        <f ca="1">IF(AND('Planning Sheet'!BV172='Weeks Plan'!$D$6,'Planning Sheet'!BP172='Weeks Plan'!$G$6),'Planning Sheet'!$B172,"")</f>
        <v/>
      </c>
      <c r="Z2143" s="48" t="str">
        <f ca="1">IF(AND('Planning Sheet'!BV172='Weeks Plan'!$D$6,'Planning Sheet'!BP172='Weeks Plan'!$G$6),'Planning Sheet'!$BQ172,"")</f>
        <v/>
      </c>
      <c r="AA2143" s="48" t="str">
        <f ca="1">IF(AND('Planning Sheet'!BV172='Weeks Plan'!$D$6,'Planning Sheet'!BP172='Weeks Plan'!$G$6),'Planning Sheet'!$BR172,"")</f>
        <v/>
      </c>
    </row>
    <row r="2144" spans="25:27" x14ac:dyDescent="0.3">
      <c r="Y2144" s="48" t="str">
        <f ca="1">IF(AND('Planning Sheet'!BV173='Weeks Plan'!$D$6,'Planning Sheet'!BP173='Weeks Plan'!$G$6),'Planning Sheet'!$B173,"")</f>
        <v/>
      </c>
      <c r="Z2144" s="48" t="str">
        <f ca="1">IF(AND('Planning Sheet'!BV173='Weeks Plan'!$D$6,'Planning Sheet'!BP173='Weeks Plan'!$G$6),'Planning Sheet'!$BQ173,"")</f>
        <v/>
      </c>
      <c r="AA2144" s="48" t="str">
        <f ca="1">IF(AND('Planning Sheet'!BV173='Weeks Plan'!$D$6,'Planning Sheet'!BP173='Weeks Plan'!$G$6),'Planning Sheet'!$BR173,"")</f>
        <v/>
      </c>
    </row>
    <row r="2145" spans="25:27" x14ac:dyDescent="0.3">
      <c r="Y2145" s="48" t="str">
        <f ca="1">IF(AND('Planning Sheet'!BV174='Weeks Plan'!$D$6,'Planning Sheet'!BP174='Weeks Plan'!$G$6),'Planning Sheet'!$B174,"")</f>
        <v/>
      </c>
      <c r="Z2145" s="48" t="str">
        <f ca="1">IF(AND('Planning Sheet'!BV174='Weeks Plan'!$D$6,'Planning Sheet'!BP174='Weeks Plan'!$G$6),'Planning Sheet'!$BQ174,"")</f>
        <v/>
      </c>
      <c r="AA2145" s="48" t="str">
        <f ca="1">IF(AND('Planning Sheet'!BV174='Weeks Plan'!$D$6,'Planning Sheet'!BP174='Weeks Plan'!$G$6),'Planning Sheet'!$BR174,"")</f>
        <v/>
      </c>
    </row>
    <row r="2146" spans="25:27" x14ac:dyDescent="0.3">
      <c r="Y2146" s="48" t="str">
        <f ca="1">IF(AND('Planning Sheet'!BV175='Weeks Plan'!$D$6,'Planning Sheet'!BP175='Weeks Plan'!$G$6),'Planning Sheet'!$B175,"")</f>
        <v/>
      </c>
      <c r="Z2146" s="48" t="str">
        <f ca="1">IF(AND('Planning Sheet'!BV175='Weeks Plan'!$D$6,'Planning Sheet'!BP175='Weeks Plan'!$G$6),'Planning Sheet'!$BQ175,"")</f>
        <v/>
      </c>
      <c r="AA2146" s="48" t="str">
        <f ca="1">IF(AND('Planning Sheet'!BV175='Weeks Plan'!$D$6,'Planning Sheet'!BP175='Weeks Plan'!$G$6),'Planning Sheet'!$BR175,"")</f>
        <v/>
      </c>
    </row>
    <row r="2147" spans="25:27" x14ac:dyDescent="0.3">
      <c r="Y2147" s="48" t="str">
        <f ca="1">IF(AND('Planning Sheet'!BV176='Weeks Plan'!$D$6,'Planning Sheet'!BP176='Weeks Plan'!$G$6),'Planning Sheet'!$B176,"")</f>
        <v/>
      </c>
      <c r="Z2147" s="48" t="str">
        <f ca="1">IF(AND('Planning Sheet'!BV176='Weeks Plan'!$D$6,'Planning Sheet'!BP176='Weeks Plan'!$G$6),'Planning Sheet'!$BQ176,"")</f>
        <v/>
      </c>
      <c r="AA2147" s="48" t="str">
        <f ca="1">IF(AND('Planning Sheet'!BV176='Weeks Plan'!$D$6,'Planning Sheet'!BP176='Weeks Plan'!$G$6),'Planning Sheet'!$BR176,"")</f>
        <v/>
      </c>
    </row>
    <row r="2148" spans="25:27" x14ac:dyDescent="0.3">
      <c r="Y2148" s="48" t="str">
        <f ca="1">IF(AND('Planning Sheet'!BV177='Weeks Plan'!$D$6,'Planning Sheet'!BP177='Weeks Plan'!$G$6),'Planning Sheet'!$B177,"")</f>
        <v/>
      </c>
      <c r="Z2148" s="48" t="str">
        <f ca="1">IF(AND('Planning Sheet'!BV177='Weeks Plan'!$D$6,'Planning Sheet'!BP177='Weeks Plan'!$G$6),'Planning Sheet'!$BQ177,"")</f>
        <v/>
      </c>
      <c r="AA2148" s="48" t="str">
        <f ca="1">IF(AND('Planning Sheet'!BV177='Weeks Plan'!$D$6,'Planning Sheet'!BP177='Weeks Plan'!$G$6),'Planning Sheet'!$BR177,"")</f>
        <v/>
      </c>
    </row>
    <row r="2149" spans="25:27" x14ac:dyDescent="0.3">
      <c r="Y2149" s="48" t="str">
        <f ca="1">IF(AND('Planning Sheet'!BV178='Weeks Plan'!$D$6,'Planning Sheet'!BP178='Weeks Plan'!$G$6),'Planning Sheet'!$B178,"")</f>
        <v/>
      </c>
      <c r="Z2149" s="48" t="str">
        <f ca="1">IF(AND('Planning Sheet'!BV178='Weeks Plan'!$D$6,'Planning Sheet'!BP178='Weeks Plan'!$G$6),'Planning Sheet'!$BQ178,"")</f>
        <v/>
      </c>
      <c r="AA2149" s="48" t="str">
        <f ca="1">IF(AND('Planning Sheet'!BV178='Weeks Plan'!$D$6,'Planning Sheet'!BP178='Weeks Plan'!$G$6),'Planning Sheet'!$BR178,"")</f>
        <v/>
      </c>
    </row>
    <row r="2150" spans="25:27" x14ac:dyDescent="0.3">
      <c r="Y2150" s="48" t="str">
        <f ca="1">IF(AND('Planning Sheet'!BV179='Weeks Plan'!$D$6,'Planning Sheet'!BP179='Weeks Plan'!$G$6),'Planning Sheet'!$B179,"")</f>
        <v/>
      </c>
      <c r="Z2150" s="48" t="str">
        <f ca="1">IF(AND('Planning Sheet'!BV179='Weeks Plan'!$D$6,'Planning Sheet'!BP179='Weeks Plan'!$G$6),'Planning Sheet'!$BQ179,"")</f>
        <v/>
      </c>
      <c r="AA2150" s="48" t="str">
        <f ca="1">IF(AND('Planning Sheet'!BV179='Weeks Plan'!$D$6,'Planning Sheet'!BP179='Weeks Plan'!$G$6),'Planning Sheet'!$BR179,"")</f>
        <v/>
      </c>
    </row>
    <row r="2151" spans="25:27" x14ac:dyDescent="0.3">
      <c r="Y2151" s="48" t="str">
        <f ca="1">IF(AND('Planning Sheet'!BV180='Weeks Plan'!$D$6,'Planning Sheet'!BP180='Weeks Plan'!$G$6),'Planning Sheet'!$B180,"")</f>
        <v/>
      </c>
      <c r="Z2151" s="48" t="str">
        <f ca="1">IF(AND('Planning Sheet'!BV180='Weeks Plan'!$D$6,'Planning Sheet'!BP180='Weeks Plan'!$G$6),'Planning Sheet'!$BQ180,"")</f>
        <v/>
      </c>
      <c r="AA2151" s="48" t="str">
        <f ca="1">IF(AND('Planning Sheet'!BV180='Weeks Plan'!$D$6,'Planning Sheet'!BP180='Weeks Plan'!$G$6),'Planning Sheet'!$BR180,"")</f>
        <v/>
      </c>
    </row>
    <row r="2152" spans="25:27" x14ac:dyDescent="0.3">
      <c r="Y2152" s="48" t="str">
        <f ca="1">IF(AND('Planning Sheet'!BV181='Weeks Plan'!$D$6,'Planning Sheet'!BP181='Weeks Plan'!$G$6),'Planning Sheet'!$B181,"")</f>
        <v/>
      </c>
      <c r="Z2152" s="48" t="str">
        <f ca="1">IF(AND('Planning Sheet'!BV181='Weeks Plan'!$D$6,'Planning Sheet'!BP181='Weeks Plan'!$G$6),'Planning Sheet'!$BQ181,"")</f>
        <v/>
      </c>
      <c r="AA2152" s="48" t="str">
        <f ca="1">IF(AND('Planning Sheet'!BV181='Weeks Plan'!$D$6,'Planning Sheet'!BP181='Weeks Plan'!$G$6),'Planning Sheet'!$BR181,"")</f>
        <v/>
      </c>
    </row>
    <row r="2153" spans="25:27" x14ac:dyDescent="0.3">
      <c r="Y2153" s="48" t="str">
        <f ca="1">IF(AND('Planning Sheet'!BV182='Weeks Plan'!$D$6,'Planning Sheet'!BP182='Weeks Plan'!$G$6),'Planning Sheet'!$B182,"")</f>
        <v/>
      </c>
      <c r="Z2153" s="48" t="str">
        <f ca="1">IF(AND('Planning Sheet'!BV182='Weeks Plan'!$D$6,'Planning Sheet'!BP182='Weeks Plan'!$G$6),'Planning Sheet'!$BQ182,"")</f>
        <v/>
      </c>
      <c r="AA2153" s="48" t="str">
        <f ca="1">IF(AND('Planning Sheet'!BV182='Weeks Plan'!$D$6,'Planning Sheet'!BP182='Weeks Plan'!$G$6),'Planning Sheet'!$BR182,"")</f>
        <v/>
      </c>
    </row>
    <row r="2154" spans="25:27" x14ac:dyDescent="0.3">
      <c r="Y2154" s="48" t="str">
        <f ca="1">IF(AND('Planning Sheet'!BV183='Weeks Plan'!$D$6,'Planning Sheet'!BP183='Weeks Plan'!$G$6),'Planning Sheet'!$B183,"")</f>
        <v/>
      </c>
      <c r="Z2154" s="48" t="str">
        <f ca="1">IF(AND('Planning Sheet'!BV183='Weeks Plan'!$D$6,'Planning Sheet'!BP183='Weeks Plan'!$G$6),'Planning Sheet'!$BQ183,"")</f>
        <v/>
      </c>
      <c r="AA2154" s="48" t="str">
        <f ca="1">IF(AND('Planning Sheet'!BV183='Weeks Plan'!$D$6,'Planning Sheet'!BP183='Weeks Plan'!$G$6),'Planning Sheet'!$BR183,"")</f>
        <v/>
      </c>
    </row>
    <row r="2155" spans="25:27" x14ac:dyDescent="0.3">
      <c r="Y2155" s="48" t="str">
        <f ca="1">IF(AND('Planning Sheet'!BV184='Weeks Plan'!$D$6,'Planning Sheet'!BP184='Weeks Plan'!$G$6),'Planning Sheet'!$B184,"")</f>
        <v/>
      </c>
      <c r="Z2155" s="48" t="str">
        <f ca="1">IF(AND('Planning Sheet'!BV184='Weeks Plan'!$D$6,'Planning Sheet'!BP184='Weeks Plan'!$G$6),'Planning Sheet'!$BQ184,"")</f>
        <v/>
      </c>
      <c r="AA2155" s="48" t="str">
        <f ca="1">IF(AND('Planning Sheet'!BV184='Weeks Plan'!$D$6,'Planning Sheet'!BP184='Weeks Plan'!$G$6),'Planning Sheet'!$BR184,"")</f>
        <v/>
      </c>
    </row>
    <row r="2156" spans="25:27" x14ac:dyDescent="0.3">
      <c r="Y2156" s="48" t="str">
        <f ca="1">IF(AND('Planning Sheet'!BV185='Weeks Plan'!$D$6,'Planning Sheet'!BP185='Weeks Plan'!$G$6),'Planning Sheet'!$B185,"")</f>
        <v/>
      </c>
      <c r="Z2156" s="48" t="str">
        <f ca="1">IF(AND('Planning Sheet'!BV185='Weeks Plan'!$D$6,'Planning Sheet'!BP185='Weeks Plan'!$G$6),'Planning Sheet'!$BQ185,"")</f>
        <v/>
      </c>
      <c r="AA2156" s="48" t="str">
        <f ca="1">IF(AND('Planning Sheet'!BV185='Weeks Plan'!$D$6,'Planning Sheet'!BP185='Weeks Plan'!$G$6),'Planning Sheet'!$BR185,"")</f>
        <v/>
      </c>
    </row>
    <row r="2157" spans="25:27" x14ac:dyDescent="0.3">
      <c r="Y2157" s="48" t="str">
        <f ca="1">IF(AND('Planning Sheet'!BV186='Weeks Plan'!$D$6,'Planning Sheet'!BP186='Weeks Plan'!$G$6),'Planning Sheet'!$B186,"")</f>
        <v/>
      </c>
      <c r="Z2157" s="48" t="str">
        <f ca="1">IF(AND('Planning Sheet'!BV186='Weeks Plan'!$D$6,'Planning Sheet'!BP186='Weeks Plan'!$G$6),'Planning Sheet'!$BQ186,"")</f>
        <v/>
      </c>
      <c r="AA2157" s="48" t="str">
        <f ca="1">IF(AND('Planning Sheet'!BV186='Weeks Plan'!$D$6,'Planning Sheet'!BP186='Weeks Plan'!$G$6),'Planning Sheet'!$BR186,"")</f>
        <v/>
      </c>
    </row>
    <row r="2158" spans="25:27" x14ac:dyDescent="0.3">
      <c r="Y2158" s="48" t="str">
        <f ca="1">IF(AND('Planning Sheet'!BV187='Weeks Plan'!$D$6,'Planning Sheet'!BP187='Weeks Plan'!$G$6),'Planning Sheet'!$B187,"")</f>
        <v/>
      </c>
      <c r="Z2158" s="48" t="str">
        <f ca="1">IF(AND('Planning Sheet'!BV187='Weeks Plan'!$D$6,'Planning Sheet'!BP187='Weeks Plan'!$G$6),'Planning Sheet'!$BQ187,"")</f>
        <v/>
      </c>
      <c r="AA2158" s="48" t="str">
        <f ca="1">IF(AND('Planning Sheet'!BV187='Weeks Plan'!$D$6,'Planning Sheet'!BP187='Weeks Plan'!$G$6),'Planning Sheet'!$BR187,"")</f>
        <v/>
      </c>
    </row>
    <row r="2159" spans="25:27" x14ac:dyDescent="0.3">
      <c r="Y2159" s="48" t="str">
        <f ca="1">IF(AND('Planning Sheet'!BV188='Weeks Plan'!$D$6,'Planning Sheet'!BP188='Weeks Plan'!$G$6),'Planning Sheet'!$B188,"")</f>
        <v/>
      </c>
      <c r="Z2159" s="48" t="str">
        <f ca="1">IF(AND('Planning Sheet'!BV188='Weeks Plan'!$D$6,'Planning Sheet'!BP188='Weeks Plan'!$G$6),'Planning Sheet'!$BQ188,"")</f>
        <v/>
      </c>
      <c r="AA2159" s="48" t="str">
        <f ca="1">IF(AND('Planning Sheet'!BV188='Weeks Plan'!$D$6,'Planning Sheet'!BP188='Weeks Plan'!$G$6),'Planning Sheet'!$BR188,"")</f>
        <v/>
      </c>
    </row>
    <row r="2160" spans="25:27" x14ac:dyDescent="0.3">
      <c r="Y2160" s="48" t="str">
        <f ca="1">IF(AND('Planning Sheet'!BV189='Weeks Plan'!$D$6,'Planning Sheet'!BP189='Weeks Plan'!$G$6),'Planning Sheet'!$B189,"")</f>
        <v/>
      </c>
      <c r="Z2160" s="48" t="str">
        <f ca="1">IF(AND('Planning Sheet'!BV189='Weeks Plan'!$D$6,'Planning Sheet'!BP189='Weeks Plan'!$G$6),'Planning Sheet'!$BQ189,"")</f>
        <v/>
      </c>
      <c r="AA2160" s="48" t="str">
        <f ca="1">IF(AND('Planning Sheet'!BV189='Weeks Plan'!$D$6,'Planning Sheet'!BP189='Weeks Plan'!$G$6),'Planning Sheet'!$BR189,"")</f>
        <v/>
      </c>
    </row>
    <row r="2161" spans="25:27" x14ac:dyDescent="0.3">
      <c r="Y2161" s="48" t="str">
        <f ca="1">IF(AND('Planning Sheet'!BV190='Weeks Plan'!$D$6,'Planning Sheet'!BP190='Weeks Plan'!$G$6),'Planning Sheet'!$B190,"")</f>
        <v/>
      </c>
      <c r="Z2161" s="48" t="str">
        <f ca="1">IF(AND('Planning Sheet'!BV190='Weeks Plan'!$D$6,'Planning Sheet'!BP190='Weeks Plan'!$G$6),'Planning Sheet'!$BQ190,"")</f>
        <v/>
      </c>
      <c r="AA2161" s="48" t="str">
        <f ca="1">IF(AND('Planning Sheet'!BV190='Weeks Plan'!$D$6,'Planning Sheet'!BP190='Weeks Plan'!$G$6),'Planning Sheet'!$BR190,"")</f>
        <v/>
      </c>
    </row>
    <row r="2162" spans="25:27" x14ac:dyDescent="0.3">
      <c r="Y2162" s="48" t="str">
        <f ca="1">IF(AND('Planning Sheet'!BV191='Weeks Plan'!$D$6,'Planning Sheet'!BP191='Weeks Plan'!$G$6),'Planning Sheet'!$B191,"")</f>
        <v/>
      </c>
      <c r="Z2162" s="48" t="str">
        <f ca="1">IF(AND('Planning Sheet'!BV191='Weeks Plan'!$D$6,'Planning Sheet'!BP191='Weeks Plan'!$G$6),'Planning Sheet'!$BQ191,"")</f>
        <v/>
      </c>
      <c r="AA2162" s="48" t="str">
        <f ca="1">IF(AND('Planning Sheet'!BV191='Weeks Plan'!$D$6,'Planning Sheet'!BP191='Weeks Plan'!$G$6),'Planning Sheet'!$BR191,"")</f>
        <v/>
      </c>
    </row>
    <row r="2163" spans="25:27" x14ac:dyDescent="0.3">
      <c r="Y2163" s="48" t="str">
        <f ca="1">IF(AND('Planning Sheet'!BV192='Weeks Plan'!$D$6,'Planning Sheet'!BP192='Weeks Plan'!$G$6),'Planning Sheet'!$B192,"")</f>
        <v/>
      </c>
      <c r="Z2163" s="48" t="str">
        <f ca="1">IF(AND('Planning Sheet'!BV192='Weeks Plan'!$D$6,'Planning Sheet'!BP192='Weeks Plan'!$G$6),'Planning Sheet'!$BQ192,"")</f>
        <v/>
      </c>
      <c r="AA2163" s="48" t="str">
        <f ca="1">IF(AND('Planning Sheet'!BV192='Weeks Plan'!$D$6,'Planning Sheet'!BP192='Weeks Plan'!$G$6),'Planning Sheet'!$BR192,"")</f>
        <v/>
      </c>
    </row>
    <row r="2164" spans="25:27" x14ac:dyDescent="0.3">
      <c r="Y2164" s="48" t="str">
        <f ca="1">IF(AND('Planning Sheet'!BV193='Weeks Plan'!$D$6,'Planning Sheet'!BP193='Weeks Plan'!$G$6),'Planning Sheet'!$B193,"")</f>
        <v/>
      </c>
      <c r="Z2164" s="48" t="str">
        <f ca="1">IF(AND('Planning Sheet'!BV193='Weeks Plan'!$D$6,'Planning Sheet'!BP193='Weeks Plan'!$G$6),'Planning Sheet'!$BQ193,"")</f>
        <v/>
      </c>
      <c r="AA2164" s="48" t="str">
        <f ca="1">IF(AND('Planning Sheet'!BV193='Weeks Plan'!$D$6,'Planning Sheet'!BP193='Weeks Plan'!$G$6),'Planning Sheet'!$BR193,"")</f>
        <v/>
      </c>
    </row>
    <row r="2165" spans="25:27" x14ac:dyDescent="0.3">
      <c r="Y2165" s="48" t="str">
        <f ca="1">IF(AND('Planning Sheet'!BV194='Weeks Plan'!$D$6,'Planning Sheet'!BP194='Weeks Plan'!$G$6),'Planning Sheet'!$B194,"")</f>
        <v/>
      </c>
      <c r="Z2165" s="48" t="str">
        <f ca="1">IF(AND('Planning Sheet'!BV194='Weeks Plan'!$D$6,'Planning Sheet'!BP194='Weeks Plan'!$G$6),'Planning Sheet'!$BQ194,"")</f>
        <v/>
      </c>
      <c r="AA2165" s="48" t="str">
        <f ca="1">IF(AND('Planning Sheet'!BV194='Weeks Plan'!$D$6,'Planning Sheet'!BP194='Weeks Plan'!$G$6),'Planning Sheet'!$BR194,"")</f>
        <v/>
      </c>
    </row>
    <row r="2166" spans="25:27" x14ac:dyDescent="0.3">
      <c r="Y2166" s="48" t="str">
        <f ca="1">IF(AND('Planning Sheet'!BV195='Weeks Plan'!$D$6,'Planning Sheet'!BP195='Weeks Plan'!$G$6),'Planning Sheet'!$B195,"")</f>
        <v/>
      </c>
      <c r="Z2166" s="48" t="str">
        <f ca="1">IF(AND('Planning Sheet'!BV195='Weeks Plan'!$D$6,'Planning Sheet'!BP195='Weeks Plan'!$G$6),'Planning Sheet'!$BQ195,"")</f>
        <v/>
      </c>
      <c r="AA2166" s="48" t="str">
        <f ca="1">IF(AND('Planning Sheet'!BV195='Weeks Plan'!$D$6,'Planning Sheet'!BP195='Weeks Plan'!$G$6),'Planning Sheet'!$BR195,"")</f>
        <v/>
      </c>
    </row>
    <row r="2167" spans="25:27" x14ac:dyDescent="0.3">
      <c r="Y2167" s="48" t="str">
        <f ca="1">IF(AND('Planning Sheet'!BV196='Weeks Plan'!$D$6,'Planning Sheet'!BP196='Weeks Plan'!$G$6),'Planning Sheet'!$B196,"")</f>
        <v/>
      </c>
      <c r="Z2167" s="48" t="str">
        <f ca="1">IF(AND('Planning Sheet'!BV196='Weeks Plan'!$D$6,'Planning Sheet'!BP196='Weeks Plan'!$G$6),'Planning Sheet'!$BQ196,"")</f>
        <v/>
      </c>
      <c r="AA2167" s="48" t="str">
        <f ca="1">IF(AND('Planning Sheet'!BV196='Weeks Plan'!$D$6,'Planning Sheet'!BP196='Weeks Plan'!$G$6),'Planning Sheet'!$BR196,"")</f>
        <v/>
      </c>
    </row>
    <row r="2168" spans="25:27" x14ac:dyDescent="0.3">
      <c r="Y2168" s="48" t="str">
        <f ca="1">IF(AND('Planning Sheet'!BV197='Weeks Plan'!$D$6,'Planning Sheet'!BP197='Weeks Plan'!$G$6),'Planning Sheet'!$B197,"")</f>
        <v/>
      </c>
      <c r="Z2168" s="48" t="str">
        <f ca="1">IF(AND('Planning Sheet'!BV197='Weeks Plan'!$D$6,'Planning Sheet'!BP197='Weeks Plan'!$G$6),'Planning Sheet'!$BQ197,"")</f>
        <v/>
      </c>
      <c r="AA2168" s="48" t="str">
        <f ca="1">IF(AND('Planning Sheet'!BV197='Weeks Plan'!$D$6,'Planning Sheet'!BP197='Weeks Plan'!$G$6),'Planning Sheet'!$BR197,"")</f>
        <v/>
      </c>
    </row>
    <row r="2169" spans="25:27" x14ac:dyDescent="0.3">
      <c r="Y2169" s="48" t="str">
        <f ca="1">IF(AND('Planning Sheet'!BV198='Weeks Plan'!$D$6,'Planning Sheet'!BP198='Weeks Plan'!$G$6),'Planning Sheet'!$B198,"")</f>
        <v/>
      </c>
      <c r="Z2169" s="48" t="str">
        <f ca="1">IF(AND('Planning Sheet'!BV198='Weeks Plan'!$D$6,'Planning Sheet'!BP198='Weeks Plan'!$G$6),'Planning Sheet'!$BQ198,"")</f>
        <v/>
      </c>
      <c r="AA2169" s="48" t="str">
        <f ca="1">IF(AND('Planning Sheet'!BV198='Weeks Plan'!$D$6,'Planning Sheet'!BP198='Weeks Plan'!$G$6),'Planning Sheet'!$BR198,"")</f>
        <v/>
      </c>
    </row>
    <row r="2170" spans="25:27" x14ac:dyDescent="0.3">
      <c r="Y2170" s="48" t="str">
        <f ca="1">IF(AND('Planning Sheet'!BV199='Weeks Plan'!$D$6,'Planning Sheet'!BP199='Weeks Plan'!$G$6),'Planning Sheet'!$B199,"")</f>
        <v/>
      </c>
      <c r="Z2170" s="48" t="str">
        <f ca="1">IF(AND('Planning Sheet'!BV199='Weeks Plan'!$D$6,'Planning Sheet'!BP199='Weeks Plan'!$G$6),'Planning Sheet'!$BQ199,"")</f>
        <v/>
      </c>
      <c r="AA2170" s="48" t="str">
        <f ca="1">IF(AND('Planning Sheet'!BV199='Weeks Plan'!$D$6,'Planning Sheet'!BP199='Weeks Plan'!$G$6),'Planning Sheet'!$BR199,"")</f>
        <v/>
      </c>
    </row>
    <row r="2171" spans="25:27" x14ac:dyDescent="0.3">
      <c r="Y2171" s="48" t="str">
        <f ca="1">IF(AND('Planning Sheet'!BV200='Weeks Plan'!$D$6,'Planning Sheet'!BP200='Weeks Plan'!$G$6),'Planning Sheet'!$B200,"")</f>
        <v/>
      </c>
      <c r="Z2171" s="48" t="str">
        <f ca="1">IF(AND('Planning Sheet'!BV200='Weeks Plan'!$D$6,'Planning Sheet'!BP200='Weeks Plan'!$G$6),'Planning Sheet'!$BQ200,"")</f>
        <v/>
      </c>
      <c r="AA2171" s="48" t="str">
        <f ca="1">IF(AND('Planning Sheet'!BV200='Weeks Plan'!$D$6,'Planning Sheet'!BP200='Weeks Plan'!$G$6),'Planning Sheet'!$BR200,"")</f>
        <v/>
      </c>
    </row>
    <row r="2172" spans="25:27" x14ac:dyDescent="0.3">
      <c r="Y2172" s="48" t="str">
        <f ca="1">IF(AND('Planning Sheet'!BV201='Weeks Plan'!$D$6,'Planning Sheet'!BP201='Weeks Plan'!$G$6),'Planning Sheet'!$B201,"")</f>
        <v/>
      </c>
      <c r="Z2172" s="48" t="str">
        <f ca="1">IF(AND('Planning Sheet'!BV201='Weeks Plan'!$D$6,'Planning Sheet'!BP201='Weeks Plan'!$G$6),'Planning Sheet'!$BQ201,"")</f>
        <v/>
      </c>
      <c r="AA2172" s="48" t="str">
        <f ca="1">IF(AND('Planning Sheet'!BV201='Weeks Plan'!$D$6,'Planning Sheet'!BP201='Weeks Plan'!$G$6),'Planning Sheet'!$BR201,"")</f>
        <v/>
      </c>
    </row>
    <row r="2173" spans="25:27" x14ac:dyDescent="0.3">
      <c r="Y2173" s="48" t="str">
        <f ca="1">IF(AND('Planning Sheet'!BV202='Weeks Plan'!$D$6,'Planning Sheet'!BP202='Weeks Plan'!$G$6),'Planning Sheet'!$B202,"")</f>
        <v/>
      </c>
      <c r="Z2173" s="48" t="str">
        <f ca="1">IF(AND('Planning Sheet'!BV202='Weeks Plan'!$D$6,'Planning Sheet'!BP202='Weeks Plan'!$G$6),'Planning Sheet'!$BQ202,"")</f>
        <v/>
      </c>
      <c r="AA2173" s="48" t="str">
        <f ca="1">IF(AND('Planning Sheet'!BV202='Weeks Plan'!$D$6,'Planning Sheet'!BP202='Weeks Plan'!$G$6),'Planning Sheet'!$BR202,"")</f>
        <v/>
      </c>
    </row>
    <row r="2174" spans="25:27" x14ac:dyDescent="0.3">
      <c r="Y2174" s="48" t="str">
        <f ca="1">IF(AND('Planning Sheet'!BV203='Weeks Plan'!$D$6,'Planning Sheet'!BP203='Weeks Plan'!$G$6),'Planning Sheet'!$B203,"")</f>
        <v/>
      </c>
      <c r="Z2174" s="48" t="str">
        <f ca="1">IF(AND('Planning Sheet'!BV203='Weeks Plan'!$D$6,'Planning Sheet'!BP203='Weeks Plan'!$G$6),'Planning Sheet'!$BQ203,"")</f>
        <v/>
      </c>
      <c r="AA2174" s="48" t="str">
        <f ca="1">IF(AND('Planning Sheet'!BV203='Weeks Plan'!$D$6,'Planning Sheet'!BP203='Weeks Plan'!$G$6),'Planning Sheet'!$BR203,"")</f>
        <v/>
      </c>
    </row>
    <row r="2175" spans="25:27" x14ac:dyDescent="0.3">
      <c r="Y2175" s="48" t="str">
        <f ca="1">IF(AND('Planning Sheet'!BV204='Weeks Plan'!$D$6,'Planning Sheet'!BP204='Weeks Plan'!$G$6),'Planning Sheet'!$B204,"")</f>
        <v/>
      </c>
      <c r="Z2175" s="48" t="str">
        <f ca="1">IF(AND('Planning Sheet'!BV204='Weeks Plan'!$D$6,'Planning Sheet'!BP204='Weeks Plan'!$G$6),'Planning Sheet'!$BQ204,"")</f>
        <v/>
      </c>
      <c r="AA2175" s="48" t="str">
        <f ca="1">IF(AND('Planning Sheet'!BV204='Weeks Plan'!$D$6,'Planning Sheet'!BP204='Weeks Plan'!$G$6),'Planning Sheet'!$BR204,"")</f>
        <v/>
      </c>
    </row>
    <row r="2176" spans="25:27" x14ac:dyDescent="0.3">
      <c r="Y2176" s="48" t="str">
        <f ca="1">IF(AND('Planning Sheet'!BV205='Weeks Plan'!$D$6,'Planning Sheet'!BP205='Weeks Plan'!$G$6),'Planning Sheet'!$B205,"")</f>
        <v/>
      </c>
      <c r="Z2176" s="48" t="str">
        <f ca="1">IF(AND('Planning Sheet'!BV205='Weeks Plan'!$D$6,'Planning Sheet'!BP205='Weeks Plan'!$G$6),'Planning Sheet'!$BQ205,"")</f>
        <v/>
      </c>
      <c r="AA2176" s="48" t="str">
        <f ca="1">IF(AND('Planning Sheet'!BV205='Weeks Plan'!$D$6,'Planning Sheet'!BP205='Weeks Plan'!$G$6),'Planning Sheet'!$BR205,"")</f>
        <v/>
      </c>
    </row>
    <row r="2177" spans="25:27" x14ac:dyDescent="0.3">
      <c r="Y2177" s="48" t="str">
        <f ca="1">IF(AND('Planning Sheet'!BV206='Weeks Plan'!$D$6,'Planning Sheet'!BP206='Weeks Plan'!$G$6),'Planning Sheet'!$B206,"")</f>
        <v/>
      </c>
      <c r="Z2177" s="48" t="str">
        <f ca="1">IF(AND('Planning Sheet'!BV206='Weeks Plan'!$D$6,'Planning Sheet'!BP206='Weeks Plan'!$G$6),'Planning Sheet'!$BQ206,"")</f>
        <v/>
      </c>
      <c r="AA2177" s="48" t="str">
        <f ca="1">IF(AND('Planning Sheet'!BV206='Weeks Plan'!$D$6,'Planning Sheet'!BP206='Weeks Plan'!$G$6),'Planning Sheet'!$BR206,"")</f>
        <v/>
      </c>
    </row>
    <row r="2178" spans="25:27" x14ac:dyDescent="0.3">
      <c r="Y2178" s="48" t="str">
        <f ca="1">IF(AND('Planning Sheet'!BV207='Weeks Plan'!$D$6,'Planning Sheet'!BP207='Weeks Plan'!$G$6),'Planning Sheet'!$B207,"")</f>
        <v/>
      </c>
      <c r="Z2178" s="48" t="str">
        <f ca="1">IF(AND('Planning Sheet'!BV207='Weeks Plan'!$D$6,'Planning Sheet'!BP207='Weeks Plan'!$G$6),'Planning Sheet'!$BQ207,"")</f>
        <v/>
      </c>
      <c r="AA2178" s="48" t="str">
        <f ca="1">IF(AND('Planning Sheet'!BV207='Weeks Plan'!$D$6,'Planning Sheet'!BP207='Weeks Plan'!$G$6),'Planning Sheet'!$BR207,"")</f>
        <v/>
      </c>
    </row>
    <row r="2179" spans="25:27" x14ac:dyDescent="0.3">
      <c r="Y2179" s="48" t="str">
        <f ca="1">IF(AND('Planning Sheet'!BV208='Weeks Plan'!$D$6,'Planning Sheet'!BP208='Weeks Plan'!$G$6),'Planning Sheet'!$B208,"")</f>
        <v/>
      </c>
      <c r="Z2179" s="48" t="str">
        <f ca="1">IF(AND('Planning Sheet'!BV208='Weeks Plan'!$D$6,'Planning Sheet'!BP208='Weeks Plan'!$G$6),'Planning Sheet'!$BQ208,"")</f>
        <v/>
      </c>
      <c r="AA2179" s="48" t="str">
        <f ca="1">IF(AND('Planning Sheet'!BV208='Weeks Plan'!$D$6,'Planning Sheet'!BP208='Weeks Plan'!$G$6),'Planning Sheet'!$BR208,"")</f>
        <v/>
      </c>
    </row>
    <row r="2180" spans="25:27" x14ac:dyDescent="0.3">
      <c r="Y2180" s="48" t="str">
        <f ca="1">IF(AND('Planning Sheet'!BV209='Weeks Plan'!$D$6,'Planning Sheet'!BP209='Weeks Plan'!$G$6),'Planning Sheet'!$B209,"")</f>
        <v/>
      </c>
      <c r="Z2180" s="48" t="str">
        <f ca="1">IF(AND('Planning Sheet'!BV209='Weeks Plan'!$D$6,'Planning Sheet'!BP209='Weeks Plan'!$G$6),'Planning Sheet'!$BQ209,"")</f>
        <v/>
      </c>
      <c r="AA2180" s="48" t="str">
        <f ca="1">IF(AND('Planning Sheet'!BV209='Weeks Plan'!$D$6,'Planning Sheet'!BP209='Weeks Plan'!$G$6),'Planning Sheet'!$BR209,"")</f>
        <v/>
      </c>
    </row>
    <row r="2181" spans="25:27" x14ac:dyDescent="0.3">
      <c r="Y2181" s="48" t="str">
        <f ca="1">IF(AND('Planning Sheet'!BV210='Weeks Plan'!$D$6,'Planning Sheet'!BP210='Weeks Plan'!$G$6),'Planning Sheet'!$B210,"")</f>
        <v/>
      </c>
      <c r="Z2181" s="48" t="str">
        <f ca="1">IF(AND('Planning Sheet'!BV210='Weeks Plan'!$D$6,'Planning Sheet'!BP210='Weeks Plan'!$G$6),'Planning Sheet'!$BQ210,"")</f>
        <v/>
      </c>
      <c r="AA2181" s="48" t="str">
        <f ca="1">IF(AND('Planning Sheet'!BV210='Weeks Plan'!$D$6,'Planning Sheet'!BP210='Weeks Plan'!$G$6),'Planning Sheet'!$BR210,"")</f>
        <v/>
      </c>
    </row>
    <row r="2182" spans="25:27" x14ac:dyDescent="0.3">
      <c r="Y2182" s="48" t="str">
        <f ca="1">IF(AND('Planning Sheet'!BV211='Weeks Plan'!$D$6,'Planning Sheet'!BP211='Weeks Plan'!$G$6),'Planning Sheet'!$B211,"")</f>
        <v/>
      </c>
      <c r="Z2182" s="48" t="str">
        <f ca="1">IF(AND('Planning Sheet'!BV211='Weeks Plan'!$D$6,'Planning Sheet'!BP211='Weeks Plan'!$G$6),'Planning Sheet'!$BQ211,"")</f>
        <v/>
      </c>
      <c r="AA2182" s="48" t="str">
        <f ca="1">IF(AND('Planning Sheet'!BV211='Weeks Plan'!$D$6,'Planning Sheet'!BP211='Weeks Plan'!$G$6),'Planning Sheet'!$BR211,"")</f>
        <v/>
      </c>
    </row>
    <row r="2183" spans="25:27" x14ac:dyDescent="0.3">
      <c r="Y2183" s="48" t="str">
        <f ca="1">IF(AND('Planning Sheet'!BV212='Weeks Plan'!$D$6,'Planning Sheet'!BP212='Weeks Plan'!$G$6),'Planning Sheet'!$B212,"")</f>
        <v/>
      </c>
      <c r="Z2183" s="48" t="str">
        <f ca="1">IF(AND('Planning Sheet'!BV212='Weeks Plan'!$D$6,'Planning Sheet'!BP212='Weeks Plan'!$G$6),'Planning Sheet'!$BQ212,"")</f>
        <v/>
      </c>
      <c r="AA2183" s="48" t="str">
        <f ca="1">IF(AND('Planning Sheet'!BV212='Weeks Plan'!$D$6,'Planning Sheet'!BP212='Weeks Plan'!$G$6),'Planning Sheet'!$BR212,"")</f>
        <v/>
      </c>
    </row>
    <row r="2184" spans="25:27" x14ac:dyDescent="0.3">
      <c r="Y2184" s="48" t="str">
        <f ca="1">IF(AND('Planning Sheet'!BV213='Weeks Plan'!$D$6,'Planning Sheet'!BP213='Weeks Plan'!$G$6),'Planning Sheet'!$B213,"")</f>
        <v/>
      </c>
      <c r="Z2184" s="48" t="str">
        <f ca="1">IF(AND('Planning Sheet'!BV213='Weeks Plan'!$D$6,'Planning Sheet'!BP213='Weeks Plan'!$G$6),'Planning Sheet'!$BQ213,"")</f>
        <v/>
      </c>
      <c r="AA2184" s="48" t="str">
        <f ca="1">IF(AND('Planning Sheet'!BV213='Weeks Plan'!$D$6,'Planning Sheet'!BP213='Weeks Plan'!$G$6),'Planning Sheet'!$BR213,"")</f>
        <v/>
      </c>
    </row>
    <row r="2185" spans="25:27" x14ac:dyDescent="0.3">
      <c r="Y2185" s="48" t="str">
        <f ca="1">IF(AND('Planning Sheet'!BV214='Weeks Plan'!$D$6,'Planning Sheet'!BP214='Weeks Plan'!$G$6),'Planning Sheet'!$B214,"")</f>
        <v/>
      </c>
      <c r="Z2185" s="48" t="str">
        <f ca="1">IF(AND('Planning Sheet'!BV214='Weeks Plan'!$D$6,'Planning Sheet'!BP214='Weeks Plan'!$G$6),'Planning Sheet'!$BQ214,"")</f>
        <v/>
      </c>
      <c r="AA2185" s="48" t="str">
        <f ca="1">IF(AND('Planning Sheet'!BV214='Weeks Plan'!$D$6,'Planning Sheet'!BP214='Weeks Plan'!$G$6),'Planning Sheet'!$BR214,"")</f>
        <v/>
      </c>
    </row>
    <row r="2186" spans="25:27" x14ac:dyDescent="0.3">
      <c r="Y2186" s="48" t="str">
        <f ca="1">IF(AND('Planning Sheet'!BV215='Weeks Plan'!$D$6,'Planning Sheet'!BP215='Weeks Plan'!$G$6),'Planning Sheet'!$B215,"")</f>
        <v/>
      </c>
      <c r="Z2186" s="48" t="str">
        <f ca="1">IF(AND('Planning Sheet'!BV215='Weeks Plan'!$D$6,'Planning Sheet'!BP215='Weeks Plan'!$G$6),'Planning Sheet'!$BQ215,"")</f>
        <v/>
      </c>
      <c r="AA2186" s="48" t="str">
        <f ca="1">IF(AND('Planning Sheet'!BV215='Weeks Plan'!$D$6,'Planning Sheet'!BP215='Weeks Plan'!$G$6),'Planning Sheet'!$BR215,"")</f>
        <v/>
      </c>
    </row>
    <row r="2187" spans="25:27" x14ac:dyDescent="0.3">
      <c r="Y2187" s="48" t="str">
        <f ca="1">IF(AND('Planning Sheet'!BV216='Weeks Plan'!$D$6,'Planning Sheet'!BP216='Weeks Plan'!$G$6),'Planning Sheet'!$B216,"")</f>
        <v/>
      </c>
      <c r="Z2187" s="48" t="str">
        <f ca="1">IF(AND('Planning Sheet'!BV216='Weeks Plan'!$D$6,'Planning Sheet'!BP216='Weeks Plan'!$G$6),'Planning Sheet'!$BQ216,"")</f>
        <v/>
      </c>
      <c r="AA2187" s="48" t="str">
        <f ca="1">IF(AND('Planning Sheet'!BV216='Weeks Plan'!$D$6,'Planning Sheet'!BP216='Weeks Plan'!$G$6),'Planning Sheet'!$BR216,"")</f>
        <v/>
      </c>
    </row>
    <row r="2188" spans="25:27" x14ac:dyDescent="0.3">
      <c r="Y2188" s="48" t="str">
        <f ca="1">IF(AND('Planning Sheet'!BV217='Weeks Plan'!$D$6,'Planning Sheet'!BP217='Weeks Plan'!$G$6),'Planning Sheet'!$B217,"")</f>
        <v/>
      </c>
      <c r="Z2188" s="48" t="str">
        <f ca="1">IF(AND('Planning Sheet'!BV217='Weeks Plan'!$D$6,'Planning Sheet'!BP217='Weeks Plan'!$G$6),'Planning Sheet'!$BQ217,"")</f>
        <v/>
      </c>
      <c r="AA2188" s="48" t="str">
        <f ca="1">IF(AND('Planning Sheet'!BV217='Weeks Plan'!$D$6,'Planning Sheet'!BP217='Weeks Plan'!$G$6),'Planning Sheet'!$BR217,"")</f>
        <v/>
      </c>
    </row>
    <row r="2189" spans="25:27" x14ac:dyDescent="0.3">
      <c r="Y2189" s="48" t="str">
        <f ca="1">IF(AND('Planning Sheet'!BV218='Weeks Plan'!$D$6,'Planning Sheet'!BP218='Weeks Plan'!$G$6),'Planning Sheet'!$B218,"")</f>
        <v/>
      </c>
      <c r="Z2189" s="48" t="str">
        <f ca="1">IF(AND('Planning Sheet'!BV218='Weeks Plan'!$D$6,'Planning Sheet'!BP218='Weeks Plan'!$G$6),'Planning Sheet'!$BQ218,"")</f>
        <v/>
      </c>
      <c r="AA2189" s="48" t="str">
        <f ca="1">IF(AND('Planning Sheet'!BV218='Weeks Plan'!$D$6,'Planning Sheet'!BP218='Weeks Plan'!$G$6),'Planning Sheet'!$BR218,"")</f>
        <v/>
      </c>
    </row>
    <row r="2190" spans="25:27" x14ac:dyDescent="0.3">
      <c r="Y2190" s="48" t="str">
        <f ca="1">IF(AND('Planning Sheet'!BV219='Weeks Plan'!$D$6,'Planning Sheet'!BP219='Weeks Plan'!$G$6),'Planning Sheet'!$B219,"")</f>
        <v/>
      </c>
      <c r="Z2190" s="48" t="str">
        <f ca="1">IF(AND('Planning Sheet'!BV219='Weeks Plan'!$D$6,'Planning Sheet'!BP219='Weeks Plan'!$G$6),'Planning Sheet'!$BQ219,"")</f>
        <v/>
      </c>
      <c r="AA2190" s="48" t="str">
        <f ca="1">IF(AND('Planning Sheet'!BV219='Weeks Plan'!$D$6,'Planning Sheet'!BP219='Weeks Plan'!$G$6),'Planning Sheet'!$BR219,"")</f>
        <v/>
      </c>
    </row>
    <row r="2191" spans="25:27" x14ac:dyDescent="0.3">
      <c r="Y2191" s="48" t="str">
        <f ca="1">IF(AND('Planning Sheet'!BV220='Weeks Plan'!$D$6,'Planning Sheet'!BP220='Weeks Plan'!$G$6),'Planning Sheet'!$B220,"")</f>
        <v/>
      </c>
      <c r="Z2191" s="48" t="str">
        <f ca="1">IF(AND('Planning Sheet'!BV220='Weeks Plan'!$D$6,'Planning Sheet'!BP220='Weeks Plan'!$G$6),'Planning Sheet'!$BQ220,"")</f>
        <v/>
      </c>
      <c r="AA2191" s="48" t="str">
        <f ca="1">IF(AND('Planning Sheet'!BV220='Weeks Plan'!$D$6,'Planning Sheet'!BP220='Weeks Plan'!$G$6),'Planning Sheet'!$BR220,"")</f>
        <v/>
      </c>
    </row>
    <row r="2192" spans="25:27" x14ac:dyDescent="0.3">
      <c r="Y2192" s="48" t="str">
        <f ca="1">IF(AND('Planning Sheet'!BV221='Weeks Plan'!$D$6,'Planning Sheet'!BP221='Weeks Plan'!$G$6),'Planning Sheet'!$B221,"")</f>
        <v/>
      </c>
      <c r="Z2192" s="48" t="str">
        <f ca="1">IF(AND('Planning Sheet'!BV221='Weeks Plan'!$D$6,'Planning Sheet'!BP221='Weeks Plan'!$G$6),'Planning Sheet'!$BQ221,"")</f>
        <v/>
      </c>
      <c r="AA2192" s="48" t="str">
        <f ca="1">IF(AND('Planning Sheet'!BV221='Weeks Plan'!$D$6,'Planning Sheet'!BP221='Weeks Plan'!$G$6),'Planning Sheet'!$BR221,"")</f>
        <v/>
      </c>
    </row>
    <row r="2193" spans="25:27" x14ac:dyDescent="0.3">
      <c r="Y2193" s="48" t="str">
        <f ca="1">IF(AND('Planning Sheet'!BV222='Weeks Plan'!$D$6,'Planning Sheet'!BP222='Weeks Plan'!$G$6),'Planning Sheet'!$B222,"")</f>
        <v/>
      </c>
      <c r="Z2193" s="48" t="str">
        <f ca="1">IF(AND('Planning Sheet'!BV222='Weeks Plan'!$D$6,'Planning Sheet'!BP222='Weeks Plan'!$G$6),'Planning Sheet'!$BQ222,"")</f>
        <v/>
      </c>
      <c r="AA2193" s="48" t="str">
        <f ca="1">IF(AND('Planning Sheet'!BV222='Weeks Plan'!$D$6,'Planning Sheet'!BP222='Weeks Plan'!$G$6),'Planning Sheet'!$BR222,"")</f>
        <v/>
      </c>
    </row>
    <row r="2194" spans="25:27" x14ac:dyDescent="0.3">
      <c r="Y2194" s="48" t="str">
        <f ca="1">IF(AND('Planning Sheet'!BV223='Weeks Plan'!$D$6,'Planning Sheet'!BP223='Weeks Plan'!$G$6),'Planning Sheet'!$B223,"")</f>
        <v/>
      </c>
      <c r="Z2194" s="48" t="str">
        <f ca="1">IF(AND('Planning Sheet'!BV223='Weeks Plan'!$D$6,'Planning Sheet'!BP223='Weeks Plan'!$G$6),'Planning Sheet'!$BQ223,"")</f>
        <v/>
      </c>
      <c r="AA2194" s="48" t="str">
        <f ca="1">IF(AND('Planning Sheet'!BV223='Weeks Plan'!$D$6,'Planning Sheet'!BP223='Weeks Plan'!$G$6),'Planning Sheet'!$BR223,"")</f>
        <v/>
      </c>
    </row>
    <row r="2195" spans="25:27" x14ac:dyDescent="0.3">
      <c r="Y2195" s="48" t="str">
        <f ca="1">IF(AND('Planning Sheet'!BV224='Weeks Plan'!$D$6,'Planning Sheet'!BP224='Weeks Plan'!$G$6),'Planning Sheet'!$B224,"")</f>
        <v/>
      </c>
      <c r="Z2195" s="48" t="str">
        <f ca="1">IF(AND('Planning Sheet'!BV224='Weeks Plan'!$D$6,'Planning Sheet'!BP224='Weeks Plan'!$G$6),'Planning Sheet'!$BQ224,"")</f>
        <v/>
      </c>
      <c r="AA2195" s="48" t="str">
        <f ca="1">IF(AND('Planning Sheet'!BV224='Weeks Plan'!$D$6,'Planning Sheet'!BP224='Weeks Plan'!$G$6),'Planning Sheet'!$BR224,"")</f>
        <v/>
      </c>
    </row>
    <row r="2196" spans="25:27" x14ac:dyDescent="0.3">
      <c r="Y2196" s="48" t="str">
        <f ca="1">IF(AND('Planning Sheet'!BV225='Weeks Plan'!$D$6,'Planning Sheet'!BP225='Weeks Plan'!$G$6),'Planning Sheet'!$B225,"")</f>
        <v/>
      </c>
      <c r="Z2196" s="48" t="str">
        <f ca="1">IF(AND('Planning Sheet'!BV225='Weeks Plan'!$D$6,'Planning Sheet'!BP225='Weeks Plan'!$G$6),'Planning Sheet'!$BQ225,"")</f>
        <v/>
      </c>
      <c r="AA2196" s="48" t="str">
        <f ca="1">IF(AND('Planning Sheet'!BV225='Weeks Plan'!$D$6,'Planning Sheet'!BP225='Weeks Plan'!$G$6),'Planning Sheet'!$BR225,"")</f>
        <v/>
      </c>
    </row>
    <row r="2197" spans="25:27" x14ac:dyDescent="0.3">
      <c r="Y2197" s="48" t="str">
        <f ca="1">IF(AND('Planning Sheet'!BV226='Weeks Plan'!$D$6,'Planning Sheet'!BP226='Weeks Plan'!$G$6),'Planning Sheet'!$B226,"")</f>
        <v/>
      </c>
      <c r="Z2197" s="48" t="str">
        <f ca="1">IF(AND('Planning Sheet'!BV226='Weeks Plan'!$D$6,'Planning Sheet'!BP226='Weeks Plan'!$G$6),'Planning Sheet'!$BQ226,"")</f>
        <v/>
      </c>
      <c r="AA2197" s="48" t="str">
        <f ca="1">IF(AND('Planning Sheet'!BV226='Weeks Plan'!$D$6,'Planning Sheet'!BP226='Weeks Plan'!$G$6),'Planning Sheet'!$BR226,"")</f>
        <v/>
      </c>
    </row>
    <row r="2198" spans="25:27" x14ac:dyDescent="0.3">
      <c r="Y2198" s="48" t="str">
        <f ca="1">IF(AND('Planning Sheet'!BV227='Weeks Plan'!$D$6,'Planning Sheet'!BP227='Weeks Plan'!$G$6),'Planning Sheet'!$B227,"")</f>
        <v/>
      </c>
      <c r="Z2198" s="48" t="str">
        <f ca="1">IF(AND('Planning Sheet'!BV227='Weeks Plan'!$D$6,'Planning Sheet'!BP227='Weeks Plan'!$G$6),'Planning Sheet'!$BQ227,"")</f>
        <v/>
      </c>
      <c r="AA2198" s="48" t="str">
        <f ca="1">IF(AND('Planning Sheet'!BV227='Weeks Plan'!$D$6,'Planning Sheet'!BP227='Weeks Plan'!$G$6),'Planning Sheet'!$BR227,"")</f>
        <v/>
      </c>
    </row>
    <row r="2199" spans="25:27" x14ac:dyDescent="0.3">
      <c r="Y2199" s="48" t="str">
        <f ca="1">IF(AND('Planning Sheet'!BV228='Weeks Plan'!$D$6,'Planning Sheet'!BP228='Weeks Plan'!$G$6),'Planning Sheet'!$B228,"")</f>
        <v/>
      </c>
      <c r="Z2199" s="48" t="str">
        <f ca="1">IF(AND('Planning Sheet'!BV228='Weeks Plan'!$D$6,'Planning Sheet'!BP228='Weeks Plan'!$G$6),'Planning Sheet'!$BQ228,"")</f>
        <v/>
      </c>
      <c r="AA2199" s="48" t="str">
        <f ca="1">IF(AND('Planning Sheet'!BV228='Weeks Plan'!$D$6,'Planning Sheet'!BP228='Weeks Plan'!$G$6),'Planning Sheet'!$BR228,"")</f>
        <v/>
      </c>
    </row>
    <row r="2200" spans="25:27" x14ac:dyDescent="0.3">
      <c r="Y2200" s="48" t="str">
        <f ca="1">IF(AND('Planning Sheet'!BV229='Weeks Plan'!$D$6,'Planning Sheet'!BP229='Weeks Plan'!$G$6),'Planning Sheet'!$B229,"")</f>
        <v/>
      </c>
      <c r="Z2200" s="48" t="str">
        <f ca="1">IF(AND('Planning Sheet'!BV229='Weeks Plan'!$D$6,'Planning Sheet'!BP229='Weeks Plan'!$G$6),'Planning Sheet'!$BQ229,"")</f>
        <v/>
      </c>
      <c r="AA2200" s="48" t="str">
        <f ca="1">IF(AND('Planning Sheet'!BV229='Weeks Plan'!$D$6,'Planning Sheet'!BP229='Weeks Plan'!$G$6),'Planning Sheet'!$BR229,"")</f>
        <v/>
      </c>
    </row>
    <row r="2201" spans="25:27" x14ac:dyDescent="0.3">
      <c r="Y2201" s="48" t="str">
        <f ca="1">IF(AND('Planning Sheet'!BV230='Weeks Plan'!$D$6,'Planning Sheet'!BP230='Weeks Plan'!$G$6),'Planning Sheet'!$B230,"")</f>
        <v/>
      </c>
      <c r="Z2201" s="48" t="str">
        <f ca="1">IF(AND('Planning Sheet'!BV230='Weeks Plan'!$D$6,'Planning Sheet'!BP230='Weeks Plan'!$G$6),'Planning Sheet'!$BQ230,"")</f>
        <v/>
      </c>
      <c r="AA2201" s="48" t="str">
        <f ca="1">IF(AND('Planning Sheet'!BV230='Weeks Plan'!$D$6,'Planning Sheet'!BP230='Weeks Plan'!$G$6),'Planning Sheet'!$BR230,"")</f>
        <v/>
      </c>
    </row>
    <row r="2202" spans="25:27" x14ac:dyDescent="0.3">
      <c r="Y2202" s="48" t="str">
        <f ca="1">IF(AND('Planning Sheet'!BV231='Weeks Plan'!$D$6,'Planning Sheet'!BP231='Weeks Plan'!$G$6),'Planning Sheet'!$B231,"")</f>
        <v/>
      </c>
      <c r="Z2202" s="48" t="str">
        <f ca="1">IF(AND('Planning Sheet'!BV231='Weeks Plan'!$D$6,'Planning Sheet'!BP231='Weeks Plan'!$G$6),'Planning Sheet'!$BQ231,"")</f>
        <v/>
      </c>
      <c r="AA2202" s="48" t="str">
        <f ca="1">IF(AND('Planning Sheet'!BV231='Weeks Plan'!$D$6,'Planning Sheet'!BP231='Weeks Plan'!$G$6),'Planning Sheet'!$BR231,"")</f>
        <v/>
      </c>
    </row>
    <row r="2203" spans="25:27" x14ac:dyDescent="0.3">
      <c r="Y2203" s="48" t="str">
        <f ca="1">IF(AND('Planning Sheet'!BV232='Weeks Plan'!$D$6,'Planning Sheet'!BP232='Weeks Plan'!$G$6),'Planning Sheet'!$B232,"")</f>
        <v/>
      </c>
      <c r="Z2203" s="48" t="str">
        <f ca="1">IF(AND('Planning Sheet'!BV232='Weeks Plan'!$D$6,'Planning Sheet'!BP232='Weeks Plan'!$G$6),'Planning Sheet'!$BQ232,"")</f>
        <v/>
      </c>
      <c r="AA2203" s="48" t="str">
        <f ca="1">IF(AND('Planning Sheet'!BV232='Weeks Plan'!$D$6,'Planning Sheet'!BP232='Weeks Plan'!$G$6),'Planning Sheet'!$BR232,"")</f>
        <v/>
      </c>
    </row>
    <row r="2204" spans="25:27" x14ac:dyDescent="0.3">
      <c r="Y2204" s="48" t="str">
        <f ca="1">IF(AND('Planning Sheet'!BV233='Weeks Plan'!$D$6,'Planning Sheet'!BP233='Weeks Plan'!$G$6),'Planning Sheet'!$B233,"")</f>
        <v/>
      </c>
      <c r="Z2204" s="48" t="str">
        <f ca="1">IF(AND('Planning Sheet'!BV233='Weeks Plan'!$D$6,'Planning Sheet'!BP233='Weeks Plan'!$G$6),'Planning Sheet'!$BQ233,"")</f>
        <v/>
      </c>
      <c r="AA2204" s="48" t="str">
        <f ca="1">IF(AND('Planning Sheet'!BV233='Weeks Plan'!$D$6,'Planning Sheet'!BP233='Weeks Plan'!$G$6),'Planning Sheet'!$BR233,"")</f>
        <v/>
      </c>
    </row>
    <row r="2205" spans="25:27" x14ac:dyDescent="0.3">
      <c r="Y2205" s="48" t="str">
        <f ca="1">IF(AND('Planning Sheet'!BV234='Weeks Plan'!$D$6,'Planning Sheet'!BP234='Weeks Plan'!$G$6),'Planning Sheet'!$B234,"")</f>
        <v/>
      </c>
      <c r="Z2205" s="48" t="str">
        <f ca="1">IF(AND('Planning Sheet'!BV234='Weeks Plan'!$D$6,'Planning Sheet'!BP234='Weeks Plan'!$G$6),'Planning Sheet'!$BQ234,"")</f>
        <v/>
      </c>
      <c r="AA2205" s="48" t="str">
        <f ca="1">IF(AND('Planning Sheet'!BV234='Weeks Plan'!$D$6,'Planning Sheet'!BP234='Weeks Plan'!$G$6),'Planning Sheet'!$BR234,"")</f>
        <v/>
      </c>
    </row>
    <row r="2206" spans="25:27" x14ac:dyDescent="0.3">
      <c r="Y2206" s="48" t="str">
        <f ca="1">IF(AND('Planning Sheet'!BV235='Weeks Plan'!$D$6,'Planning Sheet'!BP235='Weeks Plan'!$G$6),'Planning Sheet'!$B235,"")</f>
        <v/>
      </c>
      <c r="Z2206" s="48" t="str">
        <f ca="1">IF(AND('Planning Sheet'!BV235='Weeks Plan'!$D$6,'Planning Sheet'!BP235='Weeks Plan'!$G$6),'Planning Sheet'!$BQ235,"")</f>
        <v/>
      </c>
      <c r="AA2206" s="48" t="str">
        <f ca="1">IF(AND('Planning Sheet'!BV235='Weeks Plan'!$D$6,'Planning Sheet'!BP235='Weeks Plan'!$G$6),'Planning Sheet'!$BR235,"")</f>
        <v/>
      </c>
    </row>
    <row r="2207" spans="25:27" x14ac:dyDescent="0.3">
      <c r="Y2207" s="48" t="str">
        <f ca="1">IF(AND('Planning Sheet'!BV236='Weeks Plan'!$D$6,'Planning Sheet'!BP236='Weeks Plan'!$G$6),'Planning Sheet'!$B236,"")</f>
        <v/>
      </c>
      <c r="Z2207" s="48" t="str">
        <f ca="1">IF(AND('Planning Sheet'!BV236='Weeks Plan'!$D$6,'Planning Sheet'!BP236='Weeks Plan'!$G$6),'Planning Sheet'!$BQ236,"")</f>
        <v/>
      </c>
      <c r="AA2207" s="48" t="str">
        <f ca="1">IF(AND('Planning Sheet'!BV236='Weeks Plan'!$D$6,'Planning Sheet'!BP236='Weeks Plan'!$G$6),'Planning Sheet'!$BR236,"")</f>
        <v/>
      </c>
    </row>
    <row r="2208" spans="25:27" x14ac:dyDescent="0.3">
      <c r="Y2208" s="48" t="str">
        <f ca="1">IF(AND('Planning Sheet'!BV237='Weeks Plan'!$D$6,'Planning Sheet'!BP237='Weeks Plan'!$G$6),'Planning Sheet'!$B237,"")</f>
        <v/>
      </c>
      <c r="Z2208" s="48" t="str">
        <f ca="1">IF(AND('Planning Sheet'!BV237='Weeks Plan'!$D$6,'Planning Sheet'!BP237='Weeks Plan'!$G$6),'Planning Sheet'!$BQ237,"")</f>
        <v/>
      </c>
      <c r="AA2208" s="48" t="str">
        <f ca="1">IF(AND('Planning Sheet'!BV237='Weeks Plan'!$D$6,'Planning Sheet'!BP237='Weeks Plan'!$G$6),'Planning Sheet'!$BR237,"")</f>
        <v/>
      </c>
    </row>
    <row r="2209" spans="25:27" x14ac:dyDescent="0.3">
      <c r="Y2209" s="48" t="str">
        <f ca="1">IF(AND('Planning Sheet'!BV238='Weeks Plan'!$D$6,'Planning Sheet'!BP238='Weeks Plan'!$G$6),'Planning Sheet'!$B238,"")</f>
        <v/>
      </c>
      <c r="Z2209" s="48" t="str">
        <f ca="1">IF(AND('Planning Sheet'!BV238='Weeks Plan'!$D$6,'Planning Sheet'!BP238='Weeks Plan'!$G$6),'Planning Sheet'!$BQ238,"")</f>
        <v/>
      </c>
      <c r="AA2209" s="48" t="str">
        <f ca="1">IF(AND('Planning Sheet'!BV238='Weeks Plan'!$D$6,'Planning Sheet'!BP238='Weeks Plan'!$G$6),'Planning Sheet'!$BR238,"")</f>
        <v/>
      </c>
    </row>
    <row r="2210" spans="25:27" x14ac:dyDescent="0.3">
      <c r="Y2210" s="48" t="str">
        <f ca="1">IF(AND('Planning Sheet'!BV239='Weeks Plan'!$D$6,'Planning Sheet'!BP239='Weeks Plan'!$G$6),'Planning Sheet'!$B239,"")</f>
        <v/>
      </c>
      <c r="Z2210" s="48" t="str">
        <f ca="1">IF(AND('Planning Sheet'!BV239='Weeks Plan'!$D$6,'Planning Sheet'!BP239='Weeks Plan'!$G$6),'Planning Sheet'!$BQ239,"")</f>
        <v/>
      </c>
      <c r="AA2210" s="48" t="str">
        <f ca="1">IF(AND('Planning Sheet'!BV239='Weeks Plan'!$D$6,'Planning Sheet'!BP239='Weeks Plan'!$G$6),'Planning Sheet'!$BR239,"")</f>
        <v/>
      </c>
    </row>
    <row r="2211" spans="25:27" x14ac:dyDescent="0.3">
      <c r="Y2211" s="48" t="str">
        <f ca="1">IF(AND('Planning Sheet'!BV240='Weeks Plan'!$D$6,'Planning Sheet'!BP240='Weeks Plan'!$G$6),'Planning Sheet'!$B240,"")</f>
        <v/>
      </c>
      <c r="Z2211" s="48" t="str">
        <f ca="1">IF(AND('Planning Sheet'!BV240='Weeks Plan'!$D$6,'Planning Sheet'!BP240='Weeks Plan'!$G$6),'Planning Sheet'!$BQ240,"")</f>
        <v/>
      </c>
      <c r="AA2211" s="48" t="str">
        <f ca="1">IF(AND('Planning Sheet'!BV240='Weeks Plan'!$D$6,'Planning Sheet'!BP240='Weeks Plan'!$G$6),'Planning Sheet'!$BR240,"")</f>
        <v/>
      </c>
    </row>
    <row r="2212" spans="25:27" x14ac:dyDescent="0.3">
      <c r="Y2212" s="48" t="str">
        <f ca="1">IF(AND('Planning Sheet'!BV241='Weeks Plan'!$D$6,'Planning Sheet'!BP241='Weeks Plan'!$G$6),'Planning Sheet'!$B241,"")</f>
        <v/>
      </c>
      <c r="Z2212" s="48" t="str">
        <f ca="1">IF(AND('Planning Sheet'!BV241='Weeks Plan'!$D$6,'Planning Sheet'!BP241='Weeks Plan'!$G$6),'Planning Sheet'!$BQ241,"")</f>
        <v/>
      </c>
      <c r="AA2212" s="48" t="str">
        <f ca="1">IF(AND('Planning Sheet'!BV241='Weeks Plan'!$D$6,'Planning Sheet'!BP241='Weeks Plan'!$G$6),'Planning Sheet'!$BR241,"")</f>
        <v/>
      </c>
    </row>
    <row r="2213" spans="25:27" x14ac:dyDescent="0.3">
      <c r="Y2213" s="48" t="str">
        <f ca="1">IF(AND('Planning Sheet'!BV242='Weeks Plan'!$D$6,'Planning Sheet'!BP242='Weeks Plan'!$G$6),'Planning Sheet'!$B242,"")</f>
        <v/>
      </c>
      <c r="Z2213" s="48" t="str">
        <f ca="1">IF(AND('Planning Sheet'!BV242='Weeks Plan'!$D$6,'Planning Sheet'!BP242='Weeks Plan'!$G$6),'Planning Sheet'!$BQ242,"")</f>
        <v/>
      </c>
      <c r="AA2213" s="48" t="str">
        <f ca="1">IF(AND('Planning Sheet'!BV242='Weeks Plan'!$D$6,'Planning Sheet'!BP242='Weeks Plan'!$G$6),'Planning Sheet'!$BR242,"")</f>
        <v/>
      </c>
    </row>
    <row r="2214" spans="25:27" x14ac:dyDescent="0.3">
      <c r="Y2214" s="48" t="str">
        <f ca="1">IF(AND('Planning Sheet'!BV243='Weeks Plan'!$D$6,'Planning Sheet'!BP243='Weeks Plan'!$G$6),'Planning Sheet'!$B243,"")</f>
        <v/>
      </c>
      <c r="Z2214" s="48" t="str">
        <f ca="1">IF(AND('Planning Sheet'!BV243='Weeks Plan'!$D$6,'Planning Sheet'!BP243='Weeks Plan'!$G$6),'Planning Sheet'!$BQ243,"")</f>
        <v/>
      </c>
      <c r="AA2214" s="48" t="str">
        <f ca="1">IF(AND('Planning Sheet'!BV243='Weeks Plan'!$D$6,'Planning Sheet'!BP243='Weeks Plan'!$G$6),'Planning Sheet'!$BR243,"")</f>
        <v/>
      </c>
    </row>
    <row r="2215" spans="25:27" x14ac:dyDescent="0.3">
      <c r="Y2215" s="48" t="str">
        <f ca="1">IF(AND('Planning Sheet'!BV244='Weeks Plan'!$D$6,'Planning Sheet'!BP244='Weeks Plan'!$G$6),'Planning Sheet'!$B244,"")</f>
        <v/>
      </c>
      <c r="Z2215" s="48" t="str">
        <f ca="1">IF(AND('Planning Sheet'!BV244='Weeks Plan'!$D$6,'Planning Sheet'!BP244='Weeks Plan'!$G$6),'Planning Sheet'!$BQ244,"")</f>
        <v/>
      </c>
      <c r="AA2215" s="48" t="str">
        <f ca="1">IF(AND('Planning Sheet'!BV244='Weeks Plan'!$D$6,'Planning Sheet'!BP244='Weeks Plan'!$G$6),'Planning Sheet'!$BR244,"")</f>
        <v/>
      </c>
    </row>
    <row r="2216" spans="25:27" x14ac:dyDescent="0.3">
      <c r="Y2216" s="48" t="str">
        <f ca="1">IF(AND('Planning Sheet'!BV245='Weeks Plan'!$D$6,'Planning Sheet'!BP245='Weeks Plan'!$G$6),'Planning Sheet'!$B245,"")</f>
        <v/>
      </c>
      <c r="Z2216" s="48" t="str">
        <f ca="1">IF(AND('Planning Sheet'!BV245='Weeks Plan'!$D$6,'Planning Sheet'!BP245='Weeks Plan'!$G$6),'Planning Sheet'!$BQ245,"")</f>
        <v/>
      </c>
      <c r="AA2216" s="48" t="str">
        <f ca="1">IF(AND('Planning Sheet'!BV245='Weeks Plan'!$D$6,'Planning Sheet'!BP245='Weeks Plan'!$G$6),'Planning Sheet'!$BR245,"")</f>
        <v/>
      </c>
    </row>
    <row r="2217" spans="25:27" x14ac:dyDescent="0.3">
      <c r="Y2217" s="48" t="str">
        <f ca="1">IF(AND('Planning Sheet'!BV246='Weeks Plan'!$D$6,'Planning Sheet'!BP246='Weeks Plan'!$G$6),'Planning Sheet'!$B246,"")</f>
        <v/>
      </c>
      <c r="Z2217" s="48" t="str">
        <f ca="1">IF(AND('Planning Sheet'!BV246='Weeks Plan'!$D$6,'Planning Sheet'!BP246='Weeks Plan'!$G$6),'Planning Sheet'!$BQ246,"")</f>
        <v/>
      </c>
      <c r="AA2217" s="48" t="str">
        <f ca="1">IF(AND('Planning Sheet'!BV246='Weeks Plan'!$D$6,'Planning Sheet'!BP246='Weeks Plan'!$G$6),'Planning Sheet'!$BR246,"")</f>
        <v/>
      </c>
    </row>
    <row r="2218" spans="25:27" x14ac:dyDescent="0.3">
      <c r="Y2218" s="48" t="str">
        <f ca="1">IF(AND('Planning Sheet'!BV247='Weeks Plan'!$D$6,'Planning Sheet'!BP247='Weeks Plan'!$G$6),'Planning Sheet'!$B247,"")</f>
        <v/>
      </c>
      <c r="Z2218" s="48" t="str">
        <f ca="1">IF(AND('Planning Sheet'!BV247='Weeks Plan'!$D$6,'Planning Sheet'!BP247='Weeks Plan'!$G$6),'Planning Sheet'!$BQ247,"")</f>
        <v/>
      </c>
      <c r="AA2218" s="48" t="str">
        <f ca="1">IF(AND('Planning Sheet'!BV247='Weeks Plan'!$D$6,'Planning Sheet'!BP247='Weeks Plan'!$G$6),'Planning Sheet'!$BR247,"")</f>
        <v/>
      </c>
    </row>
    <row r="2219" spans="25:27" x14ac:dyDescent="0.3">
      <c r="Y2219" s="48" t="str">
        <f ca="1">IF(AND('Planning Sheet'!BV248='Weeks Plan'!$D$6,'Planning Sheet'!BP248='Weeks Plan'!$G$6),'Planning Sheet'!$B248,"")</f>
        <v/>
      </c>
      <c r="Z2219" s="48" t="str">
        <f ca="1">IF(AND('Planning Sheet'!BV248='Weeks Plan'!$D$6,'Planning Sheet'!BP248='Weeks Plan'!$G$6),'Planning Sheet'!$BQ248,"")</f>
        <v/>
      </c>
      <c r="AA2219" s="48" t="str">
        <f ca="1">IF(AND('Planning Sheet'!BV248='Weeks Plan'!$D$6,'Planning Sheet'!BP248='Weeks Plan'!$G$6),'Planning Sheet'!$BR248,"")</f>
        <v/>
      </c>
    </row>
    <row r="2220" spans="25:27" x14ac:dyDescent="0.3">
      <c r="Y2220" s="48" t="str">
        <f ca="1">IF(AND('Planning Sheet'!BV249='Weeks Plan'!$D$6,'Planning Sheet'!BP249='Weeks Plan'!$G$6),'Planning Sheet'!$B249,"")</f>
        <v/>
      </c>
      <c r="Z2220" s="48" t="str">
        <f ca="1">IF(AND('Planning Sheet'!BV249='Weeks Plan'!$D$6,'Planning Sheet'!BP249='Weeks Plan'!$G$6),'Planning Sheet'!$BQ249,"")</f>
        <v/>
      </c>
      <c r="AA2220" s="48" t="str">
        <f ca="1">IF(AND('Planning Sheet'!BV249='Weeks Plan'!$D$6,'Planning Sheet'!BP249='Weeks Plan'!$G$6),'Planning Sheet'!$BR249,"")</f>
        <v/>
      </c>
    </row>
    <row r="2221" spans="25:27" x14ac:dyDescent="0.3">
      <c r="Y2221" s="48" t="str">
        <f ca="1">IF(AND('Planning Sheet'!BV250='Weeks Plan'!$D$6,'Planning Sheet'!BP250='Weeks Plan'!$G$6),'Planning Sheet'!$B250,"")</f>
        <v/>
      </c>
      <c r="Z2221" s="48" t="str">
        <f ca="1">IF(AND('Planning Sheet'!BV250='Weeks Plan'!$D$6,'Planning Sheet'!BP250='Weeks Plan'!$G$6),'Planning Sheet'!$BQ250,"")</f>
        <v/>
      </c>
      <c r="AA2221" s="48" t="str">
        <f ca="1">IF(AND('Planning Sheet'!BV250='Weeks Plan'!$D$6,'Planning Sheet'!BP250='Weeks Plan'!$G$6),'Planning Sheet'!$BR250,"")</f>
        <v/>
      </c>
    </row>
    <row r="2222" spans="25:27" x14ac:dyDescent="0.3">
      <c r="Y2222" s="48" t="str">
        <f ca="1">IF(AND('Planning Sheet'!BV251='Weeks Plan'!$D$6,'Planning Sheet'!BP251='Weeks Plan'!$G$6),'Planning Sheet'!$B251,"")</f>
        <v/>
      </c>
      <c r="Z2222" s="48" t="str">
        <f ca="1">IF(AND('Planning Sheet'!BV251='Weeks Plan'!$D$6,'Planning Sheet'!BP251='Weeks Plan'!$G$6),'Planning Sheet'!$BQ251,"")</f>
        <v/>
      </c>
      <c r="AA2222" s="48" t="str">
        <f ca="1">IF(AND('Planning Sheet'!BV251='Weeks Plan'!$D$6,'Planning Sheet'!BP251='Weeks Plan'!$G$6),'Planning Sheet'!$BR251,"")</f>
        <v/>
      </c>
    </row>
    <row r="2223" spans="25:27" x14ac:dyDescent="0.3">
      <c r="Y2223" s="48" t="str">
        <f ca="1">IF(AND('Planning Sheet'!BV252='Weeks Plan'!$D$6,'Planning Sheet'!BP252='Weeks Plan'!$G$6),'Planning Sheet'!$B252,"")</f>
        <v/>
      </c>
      <c r="Z2223" s="48" t="str">
        <f ca="1">IF(AND('Planning Sheet'!BV252='Weeks Plan'!$D$6,'Planning Sheet'!BP252='Weeks Plan'!$G$6),'Planning Sheet'!$BQ252,"")</f>
        <v/>
      </c>
      <c r="AA2223" s="48" t="str">
        <f ca="1">IF(AND('Planning Sheet'!BV252='Weeks Plan'!$D$6,'Planning Sheet'!BP252='Weeks Plan'!$G$6),'Planning Sheet'!$BR252,"")</f>
        <v/>
      </c>
    </row>
    <row r="2224" spans="25:27" x14ac:dyDescent="0.3">
      <c r="Y2224" s="48" t="str">
        <f ca="1">IF(AND('Planning Sheet'!BV253='Weeks Plan'!$D$6,'Planning Sheet'!BP253='Weeks Plan'!$G$6),'Planning Sheet'!$B253,"")</f>
        <v/>
      </c>
      <c r="Z2224" s="48" t="str">
        <f ca="1">IF(AND('Planning Sheet'!BV253='Weeks Plan'!$D$6,'Planning Sheet'!BP253='Weeks Plan'!$G$6),'Planning Sheet'!$BQ253,"")</f>
        <v/>
      </c>
      <c r="AA2224" s="48" t="str">
        <f ca="1">IF(AND('Planning Sheet'!BV253='Weeks Plan'!$D$6,'Planning Sheet'!BP253='Weeks Plan'!$G$6),'Planning Sheet'!$BR253,"")</f>
        <v/>
      </c>
    </row>
    <row r="2225" spans="25:27" x14ac:dyDescent="0.3">
      <c r="Y2225" s="48" t="str">
        <f ca="1">IF(AND('Planning Sheet'!BV254='Weeks Plan'!$D$6,'Planning Sheet'!BP254='Weeks Plan'!$G$6),'Planning Sheet'!$B254,"")</f>
        <v/>
      </c>
      <c r="Z2225" s="48" t="str">
        <f ca="1">IF(AND('Planning Sheet'!BV254='Weeks Plan'!$D$6,'Planning Sheet'!BP254='Weeks Plan'!$G$6),'Planning Sheet'!$BQ254,"")</f>
        <v/>
      </c>
      <c r="AA2225" s="48" t="str">
        <f ca="1">IF(AND('Planning Sheet'!BV254='Weeks Plan'!$D$6,'Planning Sheet'!BP254='Weeks Plan'!$G$6),'Planning Sheet'!$BR254,"")</f>
        <v/>
      </c>
    </row>
    <row r="2226" spans="25:27" x14ac:dyDescent="0.3">
      <c r="Y2226" s="48" t="str">
        <f ca="1">IF(AND('Planning Sheet'!BV255='Weeks Plan'!$D$6,'Planning Sheet'!BP255='Weeks Plan'!$G$6),'Planning Sheet'!$B255,"")</f>
        <v/>
      </c>
      <c r="Z2226" s="48" t="str">
        <f ca="1">IF(AND('Planning Sheet'!BV255='Weeks Plan'!$D$6,'Planning Sheet'!BP255='Weeks Plan'!$G$6),'Planning Sheet'!$BQ255,"")</f>
        <v/>
      </c>
      <c r="AA2226" s="48" t="str">
        <f ca="1">IF(AND('Planning Sheet'!BV255='Weeks Plan'!$D$6,'Planning Sheet'!BP255='Weeks Plan'!$G$6),'Planning Sheet'!$BR255,"")</f>
        <v/>
      </c>
    </row>
    <row r="2227" spans="25:27" x14ac:dyDescent="0.3">
      <c r="Y2227" s="48" t="str">
        <f ca="1">IF(AND('Planning Sheet'!BV256='Weeks Plan'!$D$6,'Planning Sheet'!BP256='Weeks Plan'!$G$6),'Planning Sheet'!$B256,"")</f>
        <v/>
      </c>
      <c r="Z2227" s="48" t="str">
        <f ca="1">IF(AND('Planning Sheet'!BV256='Weeks Plan'!$D$6,'Planning Sheet'!BP256='Weeks Plan'!$G$6),'Planning Sheet'!$BQ256,"")</f>
        <v/>
      </c>
      <c r="AA2227" s="48" t="str">
        <f ca="1">IF(AND('Planning Sheet'!BV256='Weeks Plan'!$D$6,'Planning Sheet'!BP256='Weeks Plan'!$G$6),'Planning Sheet'!$BR256,"")</f>
        <v/>
      </c>
    </row>
    <row r="2228" spans="25:27" x14ac:dyDescent="0.3">
      <c r="Y2228" s="48" t="str">
        <f ca="1">IF(AND('Planning Sheet'!BV257='Weeks Plan'!$D$6,'Planning Sheet'!BP257='Weeks Plan'!$G$6),'Planning Sheet'!$B257,"")</f>
        <v/>
      </c>
      <c r="Z2228" s="48" t="str">
        <f ca="1">IF(AND('Planning Sheet'!BV257='Weeks Plan'!$D$6,'Planning Sheet'!BP257='Weeks Plan'!$G$6),'Planning Sheet'!$BQ257,"")</f>
        <v/>
      </c>
      <c r="AA2228" s="48" t="str">
        <f ca="1">IF(AND('Planning Sheet'!BV257='Weeks Plan'!$D$6,'Planning Sheet'!BP257='Weeks Plan'!$G$6),'Planning Sheet'!$BR257,"")</f>
        <v/>
      </c>
    </row>
    <row r="2229" spans="25:27" x14ac:dyDescent="0.3">
      <c r="Y2229" s="48" t="str">
        <f ca="1">IF(AND('Planning Sheet'!BV258='Weeks Plan'!$D$6,'Planning Sheet'!BP258='Weeks Plan'!$G$6),'Planning Sheet'!$B258,"")</f>
        <v/>
      </c>
      <c r="Z2229" s="48" t="str">
        <f ca="1">IF(AND('Planning Sheet'!BV258='Weeks Plan'!$D$6,'Planning Sheet'!BP258='Weeks Plan'!$G$6),'Planning Sheet'!$BQ258,"")</f>
        <v/>
      </c>
      <c r="AA2229" s="48" t="str">
        <f ca="1">IF(AND('Planning Sheet'!BV258='Weeks Plan'!$D$6,'Planning Sheet'!BP258='Weeks Plan'!$G$6),'Planning Sheet'!$BR258,"")</f>
        <v/>
      </c>
    </row>
    <row r="2230" spans="25:27" x14ac:dyDescent="0.3">
      <c r="Y2230" s="48" t="str">
        <f ca="1">IF(AND('Planning Sheet'!BV259='Weeks Plan'!$D$6,'Planning Sheet'!BP259='Weeks Plan'!$G$6),'Planning Sheet'!$B259,"")</f>
        <v/>
      </c>
      <c r="Z2230" s="48" t="str">
        <f ca="1">IF(AND('Planning Sheet'!BV259='Weeks Plan'!$D$6,'Planning Sheet'!BP259='Weeks Plan'!$G$6),'Planning Sheet'!$BQ259,"")</f>
        <v/>
      </c>
      <c r="AA2230" s="48" t="str">
        <f ca="1">IF(AND('Planning Sheet'!BV259='Weeks Plan'!$D$6,'Planning Sheet'!BP259='Weeks Plan'!$G$6),'Planning Sheet'!$BR259,"")</f>
        <v/>
      </c>
    </row>
    <row r="2231" spans="25:27" x14ac:dyDescent="0.3">
      <c r="Y2231" s="48" t="str">
        <f ca="1">IF(AND('Planning Sheet'!BV260='Weeks Plan'!$D$6,'Planning Sheet'!BP260='Weeks Plan'!$G$6),'Planning Sheet'!$B260,"")</f>
        <v/>
      </c>
      <c r="Z2231" s="48" t="str">
        <f ca="1">IF(AND('Planning Sheet'!BV260='Weeks Plan'!$D$6,'Planning Sheet'!BP260='Weeks Plan'!$G$6),'Planning Sheet'!$BQ260,"")</f>
        <v/>
      </c>
      <c r="AA2231" s="48" t="str">
        <f ca="1">IF(AND('Planning Sheet'!BV260='Weeks Plan'!$D$6,'Planning Sheet'!BP260='Weeks Plan'!$G$6),'Planning Sheet'!$BR260,"")</f>
        <v/>
      </c>
    </row>
    <row r="2232" spans="25:27" x14ac:dyDescent="0.3">
      <c r="Y2232" s="48" t="str">
        <f ca="1">IF(AND('Planning Sheet'!BV261='Weeks Plan'!$D$6,'Planning Sheet'!BP261='Weeks Plan'!$G$6),'Planning Sheet'!$B261,"")</f>
        <v/>
      </c>
      <c r="Z2232" s="48" t="str">
        <f ca="1">IF(AND('Planning Sheet'!BV261='Weeks Plan'!$D$6,'Planning Sheet'!BP261='Weeks Plan'!$G$6),'Planning Sheet'!$BQ261,"")</f>
        <v/>
      </c>
      <c r="AA2232" s="48" t="str">
        <f ca="1">IF(AND('Planning Sheet'!BV261='Weeks Plan'!$D$6,'Planning Sheet'!BP261='Weeks Plan'!$G$6),'Planning Sheet'!$BR261,"")</f>
        <v/>
      </c>
    </row>
    <row r="2233" spans="25:27" x14ac:dyDescent="0.3">
      <c r="Y2233" s="48" t="str">
        <f ca="1">IF(AND('Planning Sheet'!BV262='Weeks Plan'!$D$6,'Planning Sheet'!BP262='Weeks Plan'!$G$6),'Planning Sheet'!$B262,"")</f>
        <v/>
      </c>
      <c r="Z2233" s="48" t="str">
        <f ca="1">IF(AND('Planning Sheet'!BV262='Weeks Plan'!$D$6,'Planning Sheet'!BP262='Weeks Plan'!$G$6),'Planning Sheet'!$BQ262,"")</f>
        <v/>
      </c>
      <c r="AA2233" s="48" t="str">
        <f ca="1">IF(AND('Planning Sheet'!BV262='Weeks Plan'!$D$6,'Planning Sheet'!BP262='Weeks Plan'!$G$6),'Planning Sheet'!$BR262,"")</f>
        <v/>
      </c>
    </row>
    <row r="2234" spans="25:27" x14ac:dyDescent="0.3">
      <c r="Y2234" s="48" t="str">
        <f ca="1">IF(AND('Planning Sheet'!BV263='Weeks Plan'!$D$6,'Planning Sheet'!BP263='Weeks Plan'!$G$6),'Planning Sheet'!$B263,"")</f>
        <v/>
      </c>
      <c r="Z2234" s="48" t="str">
        <f ca="1">IF(AND('Planning Sheet'!BV263='Weeks Plan'!$D$6,'Planning Sheet'!BP263='Weeks Plan'!$G$6),'Planning Sheet'!$BQ263,"")</f>
        <v/>
      </c>
      <c r="AA2234" s="48" t="str">
        <f ca="1">IF(AND('Planning Sheet'!BV263='Weeks Plan'!$D$6,'Planning Sheet'!BP263='Weeks Plan'!$G$6),'Planning Sheet'!$BR263,"")</f>
        <v/>
      </c>
    </row>
    <row r="2235" spans="25:27" x14ac:dyDescent="0.3">
      <c r="Y2235" s="48" t="str">
        <f ca="1">IF(AND('Planning Sheet'!BV264='Weeks Plan'!$D$6,'Planning Sheet'!BP264='Weeks Plan'!$G$6),'Planning Sheet'!$B264,"")</f>
        <v/>
      </c>
      <c r="Z2235" s="48" t="str">
        <f ca="1">IF(AND('Planning Sheet'!BV264='Weeks Plan'!$D$6,'Planning Sheet'!BP264='Weeks Plan'!$G$6),'Planning Sheet'!$BQ264,"")</f>
        <v/>
      </c>
      <c r="AA2235" s="48" t="str">
        <f ca="1">IF(AND('Planning Sheet'!BV264='Weeks Plan'!$D$6,'Planning Sheet'!BP264='Weeks Plan'!$G$6),'Planning Sheet'!$BR264,"")</f>
        <v/>
      </c>
    </row>
    <row r="2236" spans="25:27" x14ac:dyDescent="0.3">
      <c r="Y2236" s="48" t="str">
        <f ca="1">IF(AND('Planning Sheet'!BV265='Weeks Plan'!$D$6,'Planning Sheet'!BP265='Weeks Plan'!$G$6),'Planning Sheet'!$B265,"")</f>
        <v/>
      </c>
      <c r="Z2236" s="48" t="str">
        <f ca="1">IF(AND('Planning Sheet'!BV265='Weeks Plan'!$D$6,'Planning Sheet'!BP265='Weeks Plan'!$G$6),'Planning Sheet'!$BQ265,"")</f>
        <v/>
      </c>
      <c r="AA2236" s="48" t="str">
        <f ca="1">IF(AND('Planning Sheet'!BV265='Weeks Plan'!$D$6,'Planning Sheet'!BP265='Weeks Plan'!$G$6),'Planning Sheet'!$BR265,"")</f>
        <v/>
      </c>
    </row>
    <row r="2237" spans="25:27" x14ac:dyDescent="0.3">
      <c r="Y2237" s="48" t="str">
        <f ca="1">IF(AND('Planning Sheet'!BV266='Weeks Plan'!$D$6,'Planning Sheet'!BP266='Weeks Plan'!$G$6),'Planning Sheet'!$B266,"")</f>
        <v/>
      </c>
      <c r="Z2237" s="48" t="str">
        <f ca="1">IF(AND('Planning Sheet'!BV266='Weeks Plan'!$D$6,'Planning Sheet'!BP266='Weeks Plan'!$G$6),'Planning Sheet'!$BQ266,"")</f>
        <v/>
      </c>
      <c r="AA2237" s="48" t="str">
        <f ca="1">IF(AND('Planning Sheet'!BV266='Weeks Plan'!$D$6,'Planning Sheet'!BP266='Weeks Plan'!$G$6),'Planning Sheet'!$BR266,"")</f>
        <v/>
      </c>
    </row>
    <row r="2238" spans="25:27" x14ac:dyDescent="0.3">
      <c r="Y2238" s="48" t="str">
        <f ca="1">IF(AND('Planning Sheet'!BV267='Weeks Plan'!$D$6,'Planning Sheet'!BP267='Weeks Plan'!$G$6),'Planning Sheet'!$B267,"")</f>
        <v/>
      </c>
      <c r="Z2238" s="48" t="str">
        <f ca="1">IF(AND('Planning Sheet'!BV267='Weeks Plan'!$D$6,'Planning Sheet'!BP267='Weeks Plan'!$G$6),'Planning Sheet'!$BQ267,"")</f>
        <v/>
      </c>
      <c r="AA2238" s="48" t="str">
        <f ca="1">IF(AND('Planning Sheet'!BV267='Weeks Plan'!$D$6,'Planning Sheet'!BP267='Weeks Plan'!$G$6),'Planning Sheet'!$BR267,"")</f>
        <v/>
      </c>
    </row>
    <row r="2239" spans="25:27" x14ac:dyDescent="0.3">
      <c r="Y2239" s="48" t="str">
        <f ca="1">IF(AND('Planning Sheet'!BV268='Weeks Plan'!$D$6,'Planning Sheet'!BP268='Weeks Plan'!$G$6),'Planning Sheet'!$B268,"")</f>
        <v/>
      </c>
      <c r="Z2239" s="48" t="str">
        <f ca="1">IF(AND('Planning Sheet'!BV268='Weeks Plan'!$D$6,'Planning Sheet'!BP268='Weeks Plan'!$G$6),'Planning Sheet'!$BQ268,"")</f>
        <v/>
      </c>
      <c r="AA2239" s="48" t="str">
        <f ca="1">IF(AND('Planning Sheet'!BV268='Weeks Plan'!$D$6,'Planning Sheet'!BP268='Weeks Plan'!$G$6),'Planning Sheet'!$BR268,"")</f>
        <v/>
      </c>
    </row>
    <row r="2240" spans="25:27" x14ac:dyDescent="0.3">
      <c r="Y2240" s="48" t="str">
        <f ca="1">IF(AND('Planning Sheet'!BV269='Weeks Plan'!$D$6,'Planning Sheet'!BP269='Weeks Plan'!$G$6),'Planning Sheet'!$B269,"")</f>
        <v/>
      </c>
      <c r="Z2240" s="48" t="str">
        <f ca="1">IF(AND('Planning Sheet'!BV269='Weeks Plan'!$D$6,'Planning Sheet'!BP269='Weeks Plan'!$G$6),'Planning Sheet'!$BQ269,"")</f>
        <v/>
      </c>
      <c r="AA2240" s="48" t="str">
        <f ca="1">IF(AND('Planning Sheet'!BV269='Weeks Plan'!$D$6,'Planning Sheet'!BP269='Weeks Plan'!$G$6),'Planning Sheet'!$BR269,"")</f>
        <v/>
      </c>
    </row>
    <row r="2241" spans="25:27" x14ac:dyDescent="0.3">
      <c r="Y2241" s="48" t="str">
        <f ca="1">IF(AND('Planning Sheet'!BV270='Weeks Plan'!$D$6,'Planning Sheet'!BP270='Weeks Plan'!$G$6),'Planning Sheet'!$B270,"")</f>
        <v/>
      </c>
      <c r="Z2241" s="48" t="str">
        <f ca="1">IF(AND('Planning Sheet'!BV270='Weeks Plan'!$D$6,'Planning Sheet'!BP270='Weeks Plan'!$G$6),'Planning Sheet'!$BQ270,"")</f>
        <v/>
      </c>
      <c r="AA2241" s="48" t="str">
        <f ca="1">IF(AND('Planning Sheet'!BV270='Weeks Plan'!$D$6,'Planning Sheet'!BP270='Weeks Plan'!$G$6),'Planning Sheet'!$BR270,"")</f>
        <v/>
      </c>
    </row>
    <row r="2242" spans="25:27" x14ac:dyDescent="0.3">
      <c r="Y2242" s="48" t="str">
        <f ca="1">IF(AND('Planning Sheet'!BV271='Weeks Plan'!$D$6,'Planning Sheet'!BP271='Weeks Plan'!$G$6),'Planning Sheet'!$B271,"")</f>
        <v/>
      </c>
      <c r="Z2242" s="48" t="str">
        <f ca="1">IF(AND('Planning Sheet'!BV271='Weeks Plan'!$D$6,'Planning Sheet'!BP271='Weeks Plan'!$G$6),'Planning Sheet'!$BQ271,"")</f>
        <v/>
      </c>
      <c r="AA2242" s="48" t="str">
        <f ca="1">IF(AND('Planning Sheet'!BV271='Weeks Plan'!$D$6,'Planning Sheet'!BP271='Weeks Plan'!$G$6),'Planning Sheet'!$BR271,"")</f>
        <v/>
      </c>
    </row>
    <row r="2243" spans="25:27" x14ac:dyDescent="0.3">
      <c r="Y2243" s="48" t="str">
        <f ca="1">IF(AND('Planning Sheet'!BV272='Weeks Plan'!$D$6,'Planning Sheet'!BP272='Weeks Plan'!$G$6),'Planning Sheet'!$B272,"")</f>
        <v/>
      </c>
      <c r="Z2243" s="48" t="str">
        <f ca="1">IF(AND('Planning Sheet'!BV272='Weeks Plan'!$D$6,'Planning Sheet'!BP272='Weeks Plan'!$G$6),'Planning Sheet'!$BQ272,"")</f>
        <v/>
      </c>
      <c r="AA2243" s="48" t="str">
        <f ca="1">IF(AND('Planning Sheet'!BV272='Weeks Plan'!$D$6,'Planning Sheet'!BP272='Weeks Plan'!$G$6),'Planning Sheet'!$BR272,"")</f>
        <v/>
      </c>
    </row>
    <row r="2244" spans="25:27" x14ac:dyDescent="0.3">
      <c r="Y2244" s="48" t="str">
        <f ca="1">IF(AND('Planning Sheet'!BV273='Weeks Plan'!$D$6,'Planning Sheet'!BP273='Weeks Plan'!$G$6),'Planning Sheet'!$B273,"")</f>
        <v/>
      </c>
      <c r="Z2244" s="48" t="str">
        <f ca="1">IF(AND('Planning Sheet'!BV273='Weeks Plan'!$D$6,'Planning Sheet'!BP273='Weeks Plan'!$G$6),'Planning Sheet'!$BQ273,"")</f>
        <v/>
      </c>
      <c r="AA2244" s="48" t="str">
        <f ca="1">IF(AND('Planning Sheet'!BV273='Weeks Plan'!$D$6,'Planning Sheet'!BP273='Weeks Plan'!$G$6),'Planning Sheet'!$BR273,"")</f>
        <v/>
      </c>
    </row>
    <row r="2245" spans="25:27" x14ac:dyDescent="0.3">
      <c r="Y2245" s="48" t="str">
        <f ca="1">IF(AND('Planning Sheet'!BV274='Weeks Plan'!$D$6,'Planning Sheet'!BP274='Weeks Plan'!$G$6),'Planning Sheet'!$B274,"")</f>
        <v/>
      </c>
      <c r="Z2245" s="48" t="str">
        <f ca="1">IF(AND('Planning Sheet'!BV274='Weeks Plan'!$D$6,'Planning Sheet'!BP274='Weeks Plan'!$G$6),'Planning Sheet'!$BQ274,"")</f>
        <v/>
      </c>
      <c r="AA2245" s="48" t="str">
        <f ca="1">IF(AND('Planning Sheet'!BV274='Weeks Plan'!$D$6,'Planning Sheet'!BP274='Weeks Plan'!$G$6),'Planning Sheet'!$BR274,"")</f>
        <v/>
      </c>
    </row>
    <row r="2246" spans="25:27" x14ac:dyDescent="0.3">
      <c r="Y2246" s="48" t="str">
        <f ca="1">IF(AND('Planning Sheet'!BV275='Weeks Plan'!$D$6,'Planning Sheet'!BP275='Weeks Plan'!$G$6),'Planning Sheet'!$B275,"")</f>
        <v/>
      </c>
      <c r="Z2246" s="48" t="str">
        <f ca="1">IF(AND('Planning Sheet'!BV275='Weeks Plan'!$D$6,'Planning Sheet'!BP275='Weeks Plan'!$G$6),'Planning Sheet'!$BQ275,"")</f>
        <v/>
      </c>
      <c r="AA2246" s="48" t="str">
        <f ca="1">IF(AND('Planning Sheet'!BV275='Weeks Plan'!$D$6,'Planning Sheet'!BP275='Weeks Plan'!$G$6),'Planning Sheet'!$BR275,"")</f>
        <v/>
      </c>
    </row>
    <row r="2247" spans="25:27" x14ac:dyDescent="0.3">
      <c r="Y2247" s="48" t="str">
        <f ca="1">IF(AND('Planning Sheet'!BV276='Weeks Plan'!$D$6,'Planning Sheet'!BP276='Weeks Plan'!$G$6),'Planning Sheet'!$B276,"")</f>
        <v/>
      </c>
      <c r="Z2247" s="48" t="str">
        <f ca="1">IF(AND('Planning Sheet'!BV276='Weeks Plan'!$D$6,'Planning Sheet'!BP276='Weeks Plan'!$G$6),'Planning Sheet'!$BQ276,"")</f>
        <v/>
      </c>
      <c r="AA2247" s="48" t="str">
        <f ca="1">IF(AND('Planning Sheet'!BV276='Weeks Plan'!$D$6,'Planning Sheet'!BP276='Weeks Plan'!$G$6),'Planning Sheet'!$BR276,"")</f>
        <v/>
      </c>
    </row>
    <row r="2248" spans="25:27" x14ac:dyDescent="0.3">
      <c r="Y2248" s="48" t="str">
        <f ca="1">IF(AND('Planning Sheet'!BV277='Weeks Plan'!$D$6,'Planning Sheet'!BP277='Weeks Plan'!$G$6),'Planning Sheet'!$B277,"")</f>
        <v/>
      </c>
      <c r="Z2248" s="48" t="str">
        <f ca="1">IF(AND('Planning Sheet'!BV277='Weeks Plan'!$D$6,'Planning Sheet'!BP277='Weeks Plan'!$G$6),'Planning Sheet'!$BQ277,"")</f>
        <v/>
      </c>
      <c r="AA2248" s="48" t="str">
        <f ca="1">IF(AND('Planning Sheet'!BV277='Weeks Plan'!$D$6,'Planning Sheet'!BP277='Weeks Plan'!$G$6),'Planning Sheet'!$BR277,"")</f>
        <v/>
      </c>
    </row>
    <row r="2249" spans="25:27" x14ac:dyDescent="0.3">
      <c r="Y2249" s="48" t="str">
        <f ca="1">IF(AND('Planning Sheet'!BV278='Weeks Plan'!$D$6,'Planning Sheet'!BP278='Weeks Plan'!$G$6),'Planning Sheet'!$B278,"")</f>
        <v/>
      </c>
      <c r="Z2249" s="48" t="str">
        <f ca="1">IF(AND('Planning Sheet'!BV278='Weeks Plan'!$D$6,'Planning Sheet'!BP278='Weeks Plan'!$G$6),'Planning Sheet'!$BQ278,"")</f>
        <v/>
      </c>
      <c r="AA2249" s="48" t="str">
        <f ca="1">IF(AND('Planning Sheet'!BV278='Weeks Plan'!$D$6,'Planning Sheet'!BP278='Weeks Plan'!$G$6),'Planning Sheet'!$BR278,"")</f>
        <v/>
      </c>
    </row>
    <row r="2250" spans="25:27" x14ac:dyDescent="0.3">
      <c r="Y2250" s="48" t="str">
        <f ca="1">IF(AND('Planning Sheet'!BV279='Weeks Plan'!$D$6,'Planning Sheet'!BP279='Weeks Plan'!$G$6),'Planning Sheet'!$B279,"")</f>
        <v/>
      </c>
      <c r="Z2250" s="48" t="str">
        <f ca="1">IF(AND('Planning Sheet'!BV279='Weeks Plan'!$D$6,'Planning Sheet'!BP279='Weeks Plan'!$G$6),'Planning Sheet'!$BQ279,"")</f>
        <v/>
      </c>
      <c r="AA2250" s="48" t="str">
        <f ca="1">IF(AND('Planning Sheet'!BV279='Weeks Plan'!$D$6,'Planning Sheet'!BP279='Weeks Plan'!$G$6),'Planning Sheet'!$BR279,"")</f>
        <v/>
      </c>
    </row>
    <row r="2251" spans="25:27" x14ac:dyDescent="0.3">
      <c r="Y2251" s="48" t="str">
        <f ca="1">IF(AND('Planning Sheet'!BV280='Weeks Plan'!$D$6,'Planning Sheet'!BP280='Weeks Plan'!$G$6),'Planning Sheet'!$B280,"")</f>
        <v/>
      </c>
      <c r="Z2251" s="48" t="str">
        <f ca="1">IF(AND('Planning Sheet'!BV280='Weeks Plan'!$D$6,'Planning Sheet'!BP280='Weeks Plan'!$G$6),'Planning Sheet'!$BQ280,"")</f>
        <v/>
      </c>
      <c r="AA2251" s="48" t="str">
        <f ca="1">IF(AND('Planning Sheet'!BV280='Weeks Plan'!$D$6,'Planning Sheet'!BP280='Weeks Plan'!$G$6),'Planning Sheet'!$BR280,"")</f>
        <v/>
      </c>
    </row>
    <row r="2252" spans="25:27" x14ac:dyDescent="0.3">
      <c r="Y2252" s="48" t="str">
        <f ca="1">IF(AND('Planning Sheet'!BV281='Weeks Plan'!$D$6,'Planning Sheet'!BP281='Weeks Plan'!$G$6),'Planning Sheet'!$B281,"")</f>
        <v/>
      </c>
      <c r="Z2252" s="48" t="str">
        <f ca="1">IF(AND('Planning Sheet'!BV281='Weeks Plan'!$D$6,'Planning Sheet'!BP281='Weeks Plan'!$G$6),'Planning Sheet'!$BQ281,"")</f>
        <v/>
      </c>
      <c r="AA2252" s="48" t="str">
        <f ca="1">IF(AND('Planning Sheet'!BV281='Weeks Plan'!$D$6,'Planning Sheet'!BP281='Weeks Plan'!$G$6),'Planning Sheet'!$BR281,"")</f>
        <v/>
      </c>
    </row>
    <row r="2253" spans="25:27" x14ac:dyDescent="0.3">
      <c r="Y2253" s="48" t="str">
        <f ca="1">IF(AND('Planning Sheet'!BV282='Weeks Plan'!$D$6,'Planning Sheet'!BP282='Weeks Plan'!$G$6),'Planning Sheet'!$B282,"")</f>
        <v/>
      </c>
      <c r="Z2253" s="48" t="str">
        <f ca="1">IF(AND('Planning Sheet'!BV282='Weeks Plan'!$D$6,'Planning Sheet'!BP282='Weeks Plan'!$G$6),'Planning Sheet'!$BQ282,"")</f>
        <v/>
      </c>
      <c r="AA2253" s="48" t="str">
        <f ca="1">IF(AND('Planning Sheet'!BV282='Weeks Plan'!$D$6,'Planning Sheet'!BP282='Weeks Plan'!$G$6),'Planning Sheet'!$BR282,"")</f>
        <v/>
      </c>
    </row>
    <row r="2254" spans="25:27" x14ac:dyDescent="0.3">
      <c r="Y2254" s="48" t="str">
        <f ca="1">IF(AND('Planning Sheet'!BV283='Weeks Plan'!$D$6,'Planning Sheet'!BP283='Weeks Plan'!$G$6),'Planning Sheet'!$B283,"")</f>
        <v/>
      </c>
      <c r="Z2254" s="48" t="str">
        <f ca="1">IF(AND('Planning Sheet'!BV283='Weeks Plan'!$D$6,'Planning Sheet'!BP283='Weeks Plan'!$G$6),'Planning Sheet'!$BQ283,"")</f>
        <v/>
      </c>
      <c r="AA2254" s="48" t="str">
        <f ca="1">IF(AND('Planning Sheet'!BV283='Weeks Plan'!$D$6,'Planning Sheet'!BP283='Weeks Plan'!$G$6),'Planning Sheet'!$BR283,"")</f>
        <v/>
      </c>
    </row>
    <row r="2255" spans="25:27" x14ac:dyDescent="0.3">
      <c r="Y2255" s="48" t="str">
        <f ca="1">IF(AND('Planning Sheet'!BV284='Weeks Plan'!$D$6,'Planning Sheet'!BP284='Weeks Plan'!$G$6),'Planning Sheet'!$B284,"")</f>
        <v/>
      </c>
      <c r="Z2255" s="48" t="str">
        <f ca="1">IF(AND('Planning Sheet'!BV284='Weeks Plan'!$D$6,'Planning Sheet'!BP284='Weeks Plan'!$G$6),'Planning Sheet'!$BQ284,"")</f>
        <v/>
      </c>
      <c r="AA2255" s="48" t="str">
        <f ca="1">IF(AND('Planning Sheet'!BV284='Weeks Plan'!$D$6,'Planning Sheet'!BP284='Weeks Plan'!$G$6),'Planning Sheet'!$BR284,"")</f>
        <v/>
      </c>
    </row>
    <row r="2256" spans="25:27" x14ac:dyDescent="0.3">
      <c r="Y2256" s="48" t="str">
        <f ca="1">IF(AND('Planning Sheet'!BV285='Weeks Plan'!$D$6,'Planning Sheet'!BP285='Weeks Plan'!$G$6),'Planning Sheet'!$B285,"")</f>
        <v/>
      </c>
      <c r="Z2256" s="48" t="str">
        <f ca="1">IF(AND('Planning Sheet'!BV285='Weeks Plan'!$D$6,'Planning Sheet'!BP285='Weeks Plan'!$G$6),'Planning Sheet'!$BQ285,"")</f>
        <v/>
      </c>
      <c r="AA2256" s="48" t="str">
        <f ca="1">IF(AND('Planning Sheet'!BV285='Weeks Plan'!$D$6,'Planning Sheet'!BP285='Weeks Plan'!$G$6),'Planning Sheet'!$BR285,"")</f>
        <v/>
      </c>
    </row>
    <row r="2257" spans="25:27" x14ac:dyDescent="0.3">
      <c r="Y2257" s="48" t="str">
        <f ca="1">IF(AND('Planning Sheet'!BV286='Weeks Plan'!$D$6,'Planning Sheet'!BP286='Weeks Plan'!$G$6),'Planning Sheet'!$B286,"")</f>
        <v/>
      </c>
      <c r="Z2257" s="48" t="str">
        <f ca="1">IF(AND('Planning Sheet'!BV286='Weeks Plan'!$D$6,'Planning Sheet'!BP286='Weeks Plan'!$G$6),'Planning Sheet'!$BQ286,"")</f>
        <v/>
      </c>
      <c r="AA2257" s="48" t="str">
        <f ca="1">IF(AND('Planning Sheet'!BV286='Weeks Plan'!$D$6,'Planning Sheet'!BP286='Weeks Plan'!$G$6),'Planning Sheet'!$BR286,"")</f>
        <v/>
      </c>
    </row>
    <row r="2258" spans="25:27" x14ac:dyDescent="0.3">
      <c r="Y2258" s="48" t="str">
        <f ca="1">IF(AND('Planning Sheet'!BV287='Weeks Plan'!$D$6,'Planning Sheet'!BP287='Weeks Plan'!$G$6),'Planning Sheet'!$B287,"")</f>
        <v/>
      </c>
      <c r="Z2258" s="48" t="str">
        <f ca="1">IF(AND('Planning Sheet'!BV287='Weeks Plan'!$D$6,'Planning Sheet'!BP287='Weeks Plan'!$G$6),'Planning Sheet'!$BQ287,"")</f>
        <v/>
      </c>
      <c r="AA2258" s="48" t="str">
        <f ca="1">IF(AND('Planning Sheet'!BV287='Weeks Plan'!$D$6,'Planning Sheet'!BP287='Weeks Plan'!$G$6),'Planning Sheet'!$BR287,"")</f>
        <v/>
      </c>
    </row>
    <row r="2259" spans="25:27" x14ac:dyDescent="0.3">
      <c r="Y2259" s="48" t="str">
        <f ca="1">IF(AND('Planning Sheet'!BV288='Weeks Plan'!$D$6,'Planning Sheet'!BP288='Weeks Plan'!$G$6),'Planning Sheet'!$B288,"")</f>
        <v/>
      </c>
      <c r="Z2259" s="48" t="str">
        <f ca="1">IF(AND('Planning Sheet'!BV288='Weeks Plan'!$D$6,'Planning Sheet'!BP288='Weeks Plan'!$G$6),'Planning Sheet'!$BQ288,"")</f>
        <v/>
      </c>
      <c r="AA2259" s="48" t="str">
        <f ca="1">IF(AND('Planning Sheet'!BV288='Weeks Plan'!$D$6,'Planning Sheet'!BP288='Weeks Plan'!$G$6),'Planning Sheet'!$BR288,"")</f>
        <v/>
      </c>
    </row>
    <row r="2260" spans="25:27" x14ac:dyDescent="0.3">
      <c r="Y2260" s="48" t="str">
        <f ca="1">IF(AND('Planning Sheet'!BV289='Weeks Plan'!$D$6,'Planning Sheet'!BP289='Weeks Plan'!$G$6),'Planning Sheet'!$B289,"")</f>
        <v/>
      </c>
      <c r="Z2260" s="48" t="str">
        <f ca="1">IF(AND('Planning Sheet'!BV289='Weeks Plan'!$D$6,'Planning Sheet'!BP289='Weeks Plan'!$G$6),'Planning Sheet'!$BQ289,"")</f>
        <v/>
      </c>
      <c r="AA2260" s="48" t="str">
        <f ca="1">IF(AND('Planning Sheet'!BV289='Weeks Plan'!$D$6,'Planning Sheet'!BP289='Weeks Plan'!$G$6),'Planning Sheet'!$BR289,"")</f>
        <v/>
      </c>
    </row>
    <row r="2261" spans="25:27" x14ac:dyDescent="0.3">
      <c r="Y2261" s="48" t="str">
        <f ca="1">IF(AND('Planning Sheet'!BV290='Weeks Plan'!$D$6,'Planning Sheet'!BP290='Weeks Plan'!$G$6),'Planning Sheet'!$B290,"")</f>
        <v/>
      </c>
      <c r="Z2261" s="48" t="str">
        <f ca="1">IF(AND('Planning Sheet'!BV290='Weeks Plan'!$D$6,'Planning Sheet'!BP290='Weeks Plan'!$G$6),'Planning Sheet'!$BQ290,"")</f>
        <v/>
      </c>
      <c r="AA2261" s="48" t="str">
        <f ca="1">IF(AND('Planning Sheet'!BV290='Weeks Plan'!$D$6,'Planning Sheet'!BP290='Weeks Plan'!$G$6),'Planning Sheet'!$BR290,"")</f>
        <v/>
      </c>
    </row>
    <row r="2262" spans="25:27" x14ac:dyDescent="0.3">
      <c r="Y2262" s="48" t="str">
        <f ca="1">IF(AND('Planning Sheet'!BV291='Weeks Plan'!$D$6,'Planning Sheet'!BP291='Weeks Plan'!$G$6),'Planning Sheet'!$B291,"")</f>
        <v/>
      </c>
      <c r="Z2262" s="48" t="str">
        <f ca="1">IF(AND('Planning Sheet'!BV291='Weeks Plan'!$D$6,'Planning Sheet'!BP291='Weeks Plan'!$G$6),'Planning Sheet'!$BQ291,"")</f>
        <v/>
      </c>
      <c r="AA2262" s="48" t="str">
        <f ca="1">IF(AND('Planning Sheet'!BV291='Weeks Plan'!$D$6,'Planning Sheet'!BP291='Weeks Plan'!$G$6),'Planning Sheet'!$BR291,"")</f>
        <v/>
      </c>
    </row>
    <row r="2263" spans="25:27" x14ac:dyDescent="0.3">
      <c r="Y2263" s="48" t="str">
        <f ca="1">IF(AND('Planning Sheet'!BV292='Weeks Plan'!$D$6,'Planning Sheet'!BP292='Weeks Plan'!$G$6),'Planning Sheet'!$B292,"")</f>
        <v/>
      </c>
      <c r="Z2263" s="48" t="str">
        <f ca="1">IF(AND('Planning Sheet'!BV292='Weeks Plan'!$D$6,'Planning Sheet'!BP292='Weeks Plan'!$G$6),'Planning Sheet'!$BQ292,"")</f>
        <v/>
      </c>
      <c r="AA2263" s="48" t="str">
        <f ca="1">IF(AND('Planning Sheet'!BV292='Weeks Plan'!$D$6,'Planning Sheet'!BP292='Weeks Plan'!$G$6),'Planning Sheet'!$BR292,"")</f>
        <v/>
      </c>
    </row>
    <row r="2264" spans="25:27" x14ac:dyDescent="0.3">
      <c r="Y2264" s="48" t="str">
        <f ca="1">IF(AND('Planning Sheet'!BV293='Weeks Plan'!$D$6,'Planning Sheet'!BP293='Weeks Plan'!$G$6),'Planning Sheet'!$B293,"")</f>
        <v/>
      </c>
      <c r="Z2264" s="48" t="str">
        <f ca="1">IF(AND('Planning Sheet'!BV293='Weeks Plan'!$D$6,'Planning Sheet'!BP293='Weeks Plan'!$G$6),'Planning Sheet'!$BQ293,"")</f>
        <v/>
      </c>
      <c r="AA2264" s="48" t="str">
        <f ca="1">IF(AND('Planning Sheet'!BV293='Weeks Plan'!$D$6,'Planning Sheet'!BP293='Weeks Plan'!$G$6),'Planning Sheet'!$BR293,"")</f>
        <v/>
      </c>
    </row>
    <row r="2265" spans="25:27" x14ac:dyDescent="0.3">
      <c r="Y2265" s="48" t="str">
        <f ca="1">IF(AND('Planning Sheet'!BV294='Weeks Plan'!$D$6,'Planning Sheet'!BP294='Weeks Plan'!$G$6),'Planning Sheet'!$B294,"")</f>
        <v/>
      </c>
      <c r="Z2265" s="48" t="str">
        <f ca="1">IF(AND('Planning Sheet'!BV294='Weeks Plan'!$D$6,'Planning Sheet'!BP294='Weeks Plan'!$G$6),'Planning Sheet'!$BQ294,"")</f>
        <v/>
      </c>
      <c r="AA2265" s="48" t="str">
        <f ca="1">IF(AND('Planning Sheet'!BV294='Weeks Plan'!$D$6,'Planning Sheet'!BP294='Weeks Plan'!$G$6),'Planning Sheet'!$BR294,"")</f>
        <v/>
      </c>
    </row>
    <row r="2266" spans="25:27" x14ac:dyDescent="0.3">
      <c r="Y2266" s="48" t="str">
        <f ca="1">IF(AND('Planning Sheet'!BV295='Weeks Plan'!$D$6,'Planning Sheet'!BP295='Weeks Plan'!$G$6),'Planning Sheet'!$B295,"")</f>
        <v/>
      </c>
      <c r="Z2266" s="48" t="str">
        <f ca="1">IF(AND('Planning Sheet'!BV295='Weeks Plan'!$D$6,'Planning Sheet'!BP295='Weeks Plan'!$G$6),'Planning Sheet'!$BQ295,"")</f>
        <v/>
      </c>
      <c r="AA2266" s="48" t="str">
        <f ca="1">IF(AND('Planning Sheet'!BV295='Weeks Plan'!$D$6,'Planning Sheet'!BP295='Weeks Plan'!$G$6),'Planning Sheet'!$BR295,"")</f>
        <v/>
      </c>
    </row>
    <row r="2267" spans="25:27" x14ac:dyDescent="0.3">
      <c r="Y2267" s="48" t="str">
        <f ca="1">IF(AND('Planning Sheet'!BV296='Weeks Plan'!$D$6,'Planning Sheet'!BP296='Weeks Plan'!$G$6),'Planning Sheet'!$B296,"")</f>
        <v/>
      </c>
      <c r="Z2267" s="48" t="str">
        <f ca="1">IF(AND('Planning Sheet'!BV296='Weeks Plan'!$D$6,'Planning Sheet'!BP296='Weeks Plan'!$G$6),'Planning Sheet'!$BQ296,"")</f>
        <v/>
      </c>
      <c r="AA2267" s="48" t="str">
        <f ca="1">IF(AND('Planning Sheet'!BV296='Weeks Plan'!$D$6,'Planning Sheet'!BP296='Weeks Plan'!$G$6),'Planning Sheet'!$BR296,"")</f>
        <v/>
      </c>
    </row>
    <row r="2268" spans="25:27" x14ac:dyDescent="0.3">
      <c r="Y2268" s="48" t="str">
        <f ca="1">IF(AND('Planning Sheet'!BV297='Weeks Plan'!$D$6,'Planning Sheet'!BP297='Weeks Plan'!$G$6),'Planning Sheet'!$B297,"")</f>
        <v/>
      </c>
      <c r="Z2268" s="48" t="str">
        <f ca="1">IF(AND('Planning Sheet'!BV297='Weeks Plan'!$D$6,'Planning Sheet'!BP297='Weeks Plan'!$G$6),'Planning Sheet'!$BQ297,"")</f>
        <v/>
      </c>
      <c r="AA2268" s="48" t="str">
        <f ca="1">IF(AND('Planning Sheet'!BV297='Weeks Plan'!$D$6,'Planning Sheet'!BP297='Weeks Plan'!$G$6),'Planning Sheet'!$BR297,"")</f>
        <v/>
      </c>
    </row>
    <row r="2269" spans="25:27" x14ac:dyDescent="0.3">
      <c r="Y2269" s="48" t="str">
        <f ca="1">IF(AND('Planning Sheet'!BV298='Weeks Plan'!$D$6,'Planning Sheet'!BP298='Weeks Plan'!$G$6),'Planning Sheet'!$B298,"")</f>
        <v/>
      </c>
      <c r="Z2269" s="48" t="str">
        <f ca="1">IF(AND('Planning Sheet'!BV298='Weeks Plan'!$D$6,'Planning Sheet'!BP298='Weeks Plan'!$G$6),'Planning Sheet'!$BQ298,"")</f>
        <v/>
      </c>
      <c r="AA2269" s="48" t="str">
        <f ca="1">IF(AND('Planning Sheet'!BV298='Weeks Plan'!$D$6,'Planning Sheet'!BP298='Weeks Plan'!$G$6),'Planning Sheet'!$BR298,"")</f>
        <v/>
      </c>
    </row>
    <row r="2270" spans="25:27" x14ac:dyDescent="0.3">
      <c r="Y2270" s="48" t="str">
        <f ca="1">IF(AND('Planning Sheet'!BV299='Weeks Plan'!$D$6,'Planning Sheet'!BP299='Weeks Plan'!$G$6),'Planning Sheet'!$B299,"")</f>
        <v/>
      </c>
      <c r="Z2270" s="48" t="str">
        <f ca="1">IF(AND('Planning Sheet'!BV299='Weeks Plan'!$D$6,'Planning Sheet'!BP299='Weeks Plan'!$G$6),'Planning Sheet'!$BQ299,"")</f>
        <v/>
      </c>
      <c r="AA2270" s="48" t="str">
        <f ca="1">IF(AND('Planning Sheet'!BV299='Weeks Plan'!$D$6,'Planning Sheet'!BP299='Weeks Plan'!$G$6),'Planning Sheet'!$BR299,"")</f>
        <v/>
      </c>
    </row>
    <row r="2271" spans="25:27" x14ac:dyDescent="0.3">
      <c r="Y2271" s="48" t="str">
        <f ca="1">IF(AND('Planning Sheet'!BV300='Weeks Plan'!$D$6,'Planning Sheet'!BP300='Weeks Plan'!$G$6),'Planning Sheet'!$B300,"")</f>
        <v/>
      </c>
      <c r="Z2271" s="48" t="str">
        <f ca="1">IF(AND('Planning Sheet'!BV300='Weeks Plan'!$D$6,'Planning Sheet'!BP300='Weeks Plan'!$G$6),'Planning Sheet'!$BQ300,"")</f>
        <v/>
      </c>
      <c r="AA2271" s="48" t="str">
        <f ca="1">IF(AND('Planning Sheet'!BV300='Weeks Plan'!$D$6,'Planning Sheet'!BP300='Weeks Plan'!$G$6),'Planning Sheet'!$BR300,"")</f>
        <v/>
      </c>
    </row>
    <row r="2272" spans="25:27" x14ac:dyDescent="0.3">
      <c r="Y2272" s="48" t="str">
        <f ca="1">IF(AND('Planning Sheet'!BV301='Weeks Plan'!$D$6,'Planning Sheet'!BP301='Weeks Plan'!$G$6),'Planning Sheet'!$B301,"")</f>
        <v/>
      </c>
      <c r="Z2272" s="48" t="str">
        <f ca="1">IF(AND('Planning Sheet'!BV301='Weeks Plan'!$D$6,'Planning Sheet'!BP301='Weeks Plan'!$G$6),'Planning Sheet'!$BQ301,"")</f>
        <v/>
      </c>
      <c r="AA2272" s="48" t="str">
        <f ca="1">IF(AND('Planning Sheet'!BV301='Weeks Plan'!$D$6,'Planning Sheet'!BP301='Weeks Plan'!$G$6),'Planning Sheet'!$BR301,"")</f>
        <v/>
      </c>
    </row>
    <row r="2273" spans="25:27" x14ac:dyDescent="0.3">
      <c r="Y2273" s="48" t="str">
        <f ca="1">IF(AND('Planning Sheet'!BV302='Weeks Plan'!$D$6,'Planning Sheet'!BP302='Weeks Plan'!$G$6),'Planning Sheet'!$B302,"")</f>
        <v/>
      </c>
      <c r="Z2273" s="48" t="str">
        <f ca="1">IF(AND('Planning Sheet'!BV302='Weeks Plan'!$D$6,'Planning Sheet'!BP302='Weeks Plan'!$G$6),'Planning Sheet'!$BQ302,"")</f>
        <v/>
      </c>
      <c r="AA2273" s="48" t="str">
        <f ca="1">IF(AND('Planning Sheet'!BV302='Weeks Plan'!$D$6,'Planning Sheet'!BP302='Weeks Plan'!$G$6),'Planning Sheet'!$BR302,"")</f>
        <v/>
      </c>
    </row>
    <row r="2274" spans="25:27" x14ac:dyDescent="0.3">
      <c r="Y2274" s="48" t="str">
        <f ca="1">IF(AND('Planning Sheet'!BV303='Weeks Plan'!$D$6,'Planning Sheet'!BP303='Weeks Plan'!$G$6),'Planning Sheet'!$B303,"")</f>
        <v/>
      </c>
      <c r="Z2274" s="48" t="str">
        <f ca="1">IF(AND('Planning Sheet'!BV303='Weeks Plan'!$D$6,'Planning Sheet'!BP303='Weeks Plan'!$G$6),'Planning Sheet'!$BQ303,"")</f>
        <v/>
      </c>
      <c r="AA2274" s="48" t="str">
        <f ca="1">IF(AND('Planning Sheet'!BV303='Weeks Plan'!$D$6,'Planning Sheet'!BP303='Weeks Plan'!$G$6),'Planning Sheet'!$BR303,"")</f>
        <v/>
      </c>
    </row>
    <row r="2275" spans="25:27" x14ac:dyDescent="0.3">
      <c r="Y2275" s="48" t="str">
        <f ca="1">IF(AND('Planning Sheet'!BV304='Weeks Plan'!$D$6,'Planning Sheet'!BP304='Weeks Plan'!$G$6),'Planning Sheet'!$B304,"")</f>
        <v/>
      </c>
      <c r="Z2275" s="48" t="str">
        <f ca="1">IF(AND('Planning Sheet'!BV304='Weeks Plan'!$D$6,'Planning Sheet'!BP304='Weeks Plan'!$G$6),'Planning Sheet'!$BQ304,"")</f>
        <v/>
      </c>
      <c r="AA2275" s="48" t="str">
        <f ca="1">IF(AND('Planning Sheet'!BV304='Weeks Plan'!$D$6,'Planning Sheet'!BP304='Weeks Plan'!$G$6),'Planning Sheet'!$BR304,"")</f>
        <v/>
      </c>
    </row>
    <row r="2276" spans="25:27" x14ac:dyDescent="0.3">
      <c r="Y2276" s="48" t="str">
        <f ca="1">IF(AND('Planning Sheet'!BV305='Weeks Plan'!$D$6,'Planning Sheet'!BP305='Weeks Plan'!$G$6),'Planning Sheet'!$B305,"")</f>
        <v/>
      </c>
      <c r="Z2276" s="48" t="str">
        <f ca="1">IF(AND('Planning Sheet'!BV305='Weeks Plan'!$D$6,'Planning Sheet'!BP305='Weeks Plan'!$G$6),'Planning Sheet'!$BQ305,"")</f>
        <v/>
      </c>
      <c r="AA2276" s="48" t="str">
        <f ca="1">IF(AND('Planning Sheet'!BV305='Weeks Plan'!$D$6,'Planning Sheet'!BP305='Weeks Plan'!$G$6),'Planning Sheet'!$BR305,"")</f>
        <v/>
      </c>
    </row>
    <row r="2277" spans="25:27" x14ac:dyDescent="0.3">
      <c r="Y2277" s="48" t="str">
        <f ca="1">IF(AND('Planning Sheet'!BV306='Weeks Plan'!$D$6,'Planning Sheet'!BP306='Weeks Plan'!$G$6),'Planning Sheet'!$B306,"")</f>
        <v/>
      </c>
      <c r="Z2277" s="48" t="str">
        <f ca="1">IF(AND('Planning Sheet'!BV306='Weeks Plan'!$D$6,'Planning Sheet'!BP306='Weeks Plan'!$G$6),'Planning Sheet'!$BQ306,"")</f>
        <v/>
      </c>
      <c r="AA2277" s="48" t="str">
        <f ca="1">IF(AND('Planning Sheet'!BV306='Weeks Plan'!$D$6,'Planning Sheet'!BP306='Weeks Plan'!$G$6),'Planning Sheet'!$BR306,"")</f>
        <v/>
      </c>
    </row>
    <row r="2278" spans="25:27" x14ac:dyDescent="0.3">
      <c r="Y2278" s="48" t="str">
        <f ca="1">IF(AND('Planning Sheet'!BV307='Weeks Plan'!$D$6,'Planning Sheet'!BP307='Weeks Plan'!$G$6),'Planning Sheet'!$B307,"")</f>
        <v/>
      </c>
      <c r="Z2278" s="48" t="str">
        <f ca="1">IF(AND('Planning Sheet'!BV307='Weeks Plan'!$D$6,'Planning Sheet'!BP307='Weeks Plan'!$G$6),'Planning Sheet'!$BQ307,"")</f>
        <v/>
      </c>
      <c r="AA2278" s="48" t="str">
        <f ca="1">IF(AND('Planning Sheet'!BV307='Weeks Plan'!$D$6,'Planning Sheet'!BP307='Weeks Plan'!$G$6),'Planning Sheet'!$BR307,"")</f>
        <v/>
      </c>
    </row>
    <row r="2279" spans="25:27" x14ac:dyDescent="0.3">
      <c r="Y2279" s="48" t="str">
        <f ca="1">IF(AND('Planning Sheet'!BV308='Weeks Plan'!$D$6,'Planning Sheet'!BP308='Weeks Plan'!$G$6),'Planning Sheet'!$B308,"")</f>
        <v/>
      </c>
      <c r="Z2279" s="48" t="str">
        <f ca="1">IF(AND('Planning Sheet'!BV308='Weeks Plan'!$D$6,'Planning Sheet'!BP308='Weeks Plan'!$G$6),'Planning Sheet'!$BQ308,"")</f>
        <v/>
      </c>
      <c r="AA2279" s="48" t="str">
        <f ca="1">IF(AND('Planning Sheet'!BV308='Weeks Plan'!$D$6,'Planning Sheet'!BP308='Weeks Plan'!$G$6),'Planning Sheet'!$BR308,"")</f>
        <v/>
      </c>
    </row>
    <row r="2280" spans="25:27" x14ac:dyDescent="0.3">
      <c r="Y2280" s="48" t="str">
        <f ca="1">IF(AND('Planning Sheet'!BV309='Weeks Plan'!$D$6,'Planning Sheet'!BP309='Weeks Plan'!$G$6),'Planning Sheet'!$B309,"")</f>
        <v/>
      </c>
      <c r="Z2280" s="48" t="str">
        <f ca="1">IF(AND('Planning Sheet'!BV309='Weeks Plan'!$D$6,'Planning Sheet'!BP309='Weeks Plan'!$G$6),'Planning Sheet'!$BQ309,"")</f>
        <v/>
      </c>
      <c r="AA2280" s="48" t="str">
        <f ca="1">IF(AND('Planning Sheet'!BV309='Weeks Plan'!$D$6,'Planning Sheet'!BP309='Weeks Plan'!$G$6),'Planning Sheet'!$BR309,"")</f>
        <v/>
      </c>
    </row>
    <row r="2281" spans="25:27" x14ac:dyDescent="0.3">
      <c r="Y2281" s="48" t="str">
        <f ca="1">IF(AND('Planning Sheet'!BV310='Weeks Plan'!$D$6,'Planning Sheet'!BP310='Weeks Plan'!$G$6),'Planning Sheet'!$B310,"")</f>
        <v/>
      </c>
      <c r="Z2281" s="48" t="str">
        <f ca="1">IF(AND('Planning Sheet'!BV310='Weeks Plan'!$D$6,'Planning Sheet'!BP310='Weeks Plan'!$G$6),'Planning Sheet'!$BQ310,"")</f>
        <v/>
      </c>
      <c r="AA2281" s="48" t="str">
        <f ca="1">IF(AND('Planning Sheet'!BV310='Weeks Plan'!$D$6,'Planning Sheet'!BP310='Weeks Plan'!$G$6),'Planning Sheet'!$BR310,"")</f>
        <v/>
      </c>
    </row>
    <row r="2282" spans="25:27" x14ac:dyDescent="0.3">
      <c r="Y2282" s="48" t="str">
        <f ca="1">IF(AND('Planning Sheet'!BV311='Weeks Plan'!$D$6,'Planning Sheet'!BP311='Weeks Plan'!$G$6),'Planning Sheet'!$B311,"")</f>
        <v/>
      </c>
      <c r="Z2282" s="48" t="str">
        <f ca="1">IF(AND('Planning Sheet'!BV311='Weeks Plan'!$D$6,'Planning Sheet'!BP311='Weeks Plan'!$G$6),'Planning Sheet'!$BQ311,"")</f>
        <v/>
      </c>
      <c r="AA2282" s="48" t="str">
        <f ca="1">IF(AND('Planning Sheet'!BV311='Weeks Plan'!$D$6,'Planning Sheet'!BP311='Weeks Plan'!$G$6),'Planning Sheet'!$BR311,"")</f>
        <v/>
      </c>
    </row>
    <row r="2283" spans="25:27" x14ac:dyDescent="0.3">
      <c r="Y2283" s="48" t="str">
        <f ca="1">IF(AND('Planning Sheet'!BV312='Weeks Plan'!$D$6,'Planning Sheet'!BP312='Weeks Plan'!$G$6),'Planning Sheet'!$B312,"")</f>
        <v/>
      </c>
      <c r="Z2283" s="48" t="str">
        <f ca="1">IF(AND('Planning Sheet'!BV312='Weeks Plan'!$D$6,'Planning Sheet'!BP312='Weeks Plan'!$G$6),'Planning Sheet'!$BQ312,"")</f>
        <v/>
      </c>
      <c r="AA2283" s="48" t="str">
        <f ca="1">IF(AND('Planning Sheet'!BV312='Weeks Plan'!$D$6,'Planning Sheet'!BP312='Weeks Plan'!$G$6),'Planning Sheet'!$BR312,"")</f>
        <v/>
      </c>
    </row>
    <row r="2284" spans="25:27" x14ac:dyDescent="0.3">
      <c r="Y2284" s="48" t="str">
        <f ca="1">IF(AND('Planning Sheet'!BV313='Weeks Plan'!$D$6,'Planning Sheet'!BP313='Weeks Plan'!$G$6),'Planning Sheet'!$B313,"")</f>
        <v/>
      </c>
      <c r="Z2284" s="48" t="str">
        <f ca="1">IF(AND('Planning Sheet'!BV313='Weeks Plan'!$D$6,'Planning Sheet'!BP313='Weeks Plan'!$G$6),'Planning Sheet'!$BQ313,"")</f>
        <v/>
      </c>
      <c r="AA2284" s="48" t="str">
        <f ca="1">IF(AND('Planning Sheet'!BV313='Weeks Plan'!$D$6,'Planning Sheet'!BP313='Weeks Plan'!$G$6),'Planning Sheet'!$BR313,"")</f>
        <v/>
      </c>
    </row>
    <row r="2285" spans="25:27" x14ac:dyDescent="0.3">
      <c r="Y2285" s="48" t="str">
        <f ca="1">IF(AND('Planning Sheet'!BV314='Weeks Plan'!$D$6,'Planning Sheet'!BP314='Weeks Plan'!$G$6),'Planning Sheet'!$B314,"")</f>
        <v/>
      </c>
      <c r="Z2285" s="48" t="str">
        <f ca="1">IF(AND('Planning Sheet'!BV314='Weeks Plan'!$D$6,'Planning Sheet'!BP314='Weeks Plan'!$G$6),'Planning Sheet'!$BQ314,"")</f>
        <v/>
      </c>
      <c r="AA2285" s="48" t="str">
        <f ca="1">IF(AND('Planning Sheet'!BV314='Weeks Plan'!$D$6,'Planning Sheet'!BP314='Weeks Plan'!$G$6),'Planning Sheet'!$BR314,"")</f>
        <v/>
      </c>
    </row>
    <row r="2286" spans="25:27" x14ac:dyDescent="0.3">
      <c r="Y2286" s="48" t="str">
        <f ca="1">IF(AND('Planning Sheet'!BV315='Weeks Plan'!$D$6,'Planning Sheet'!BP315='Weeks Plan'!$G$6),'Planning Sheet'!$B315,"")</f>
        <v/>
      </c>
      <c r="Z2286" s="48" t="str">
        <f ca="1">IF(AND('Planning Sheet'!BV315='Weeks Plan'!$D$6,'Planning Sheet'!BP315='Weeks Plan'!$G$6),'Planning Sheet'!$BQ315,"")</f>
        <v/>
      </c>
      <c r="AA2286" s="48" t="str">
        <f ca="1">IF(AND('Planning Sheet'!BV315='Weeks Plan'!$D$6,'Planning Sheet'!BP315='Weeks Plan'!$G$6),'Planning Sheet'!$BR315,"")</f>
        <v/>
      </c>
    </row>
    <row r="2287" spans="25:27" x14ac:dyDescent="0.3">
      <c r="Y2287" s="48" t="str">
        <f ca="1">IF(AND('Planning Sheet'!BV316='Weeks Plan'!$D$6,'Planning Sheet'!BP316='Weeks Plan'!$G$6),'Planning Sheet'!$B316,"")</f>
        <v/>
      </c>
      <c r="Z2287" s="48" t="str">
        <f ca="1">IF(AND('Planning Sheet'!BV316='Weeks Plan'!$D$6,'Planning Sheet'!BP316='Weeks Plan'!$G$6),'Planning Sheet'!$BQ316,"")</f>
        <v/>
      </c>
      <c r="AA2287" s="48" t="str">
        <f ca="1">IF(AND('Planning Sheet'!BV316='Weeks Plan'!$D$6,'Planning Sheet'!BP316='Weeks Plan'!$G$6),'Planning Sheet'!$BR316,"")</f>
        <v/>
      </c>
    </row>
    <row r="2288" spans="25:27" x14ac:dyDescent="0.3">
      <c r="Y2288" s="48" t="str">
        <f ca="1">IF(AND('Planning Sheet'!BV317='Weeks Plan'!$D$6,'Planning Sheet'!BP317='Weeks Plan'!$G$6),'Planning Sheet'!$B317,"")</f>
        <v/>
      </c>
      <c r="Z2288" s="48" t="str">
        <f ca="1">IF(AND('Planning Sheet'!BV317='Weeks Plan'!$D$6,'Planning Sheet'!BP317='Weeks Plan'!$G$6),'Planning Sheet'!$BQ317,"")</f>
        <v/>
      </c>
      <c r="AA2288" s="48" t="str">
        <f ca="1">IF(AND('Planning Sheet'!BV317='Weeks Plan'!$D$6,'Planning Sheet'!BP317='Weeks Plan'!$G$6),'Planning Sheet'!$BR317,"")</f>
        <v/>
      </c>
    </row>
    <row r="2289" spans="25:27" x14ac:dyDescent="0.3">
      <c r="Y2289" s="48" t="str">
        <f ca="1">IF(AND('Planning Sheet'!BV318='Weeks Plan'!$D$6,'Planning Sheet'!BP318='Weeks Plan'!$G$6),'Planning Sheet'!$B318,"")</f>
        <v/>
      </c>
      <c r="Z2289" s="48" t="str">
        <f ca="1">IF(AND('Planning Sheet'!BV318='Weeks Plan'!$D$6,'Planning Sheet'!BP318='Weeks Plan'!$G$6),'Planning Sheet'!$BQ318,"")</f>
        <v/>
      </c>
      <c r="AA2289" s="48" t="str">
        <f ca="1">IF(AND('Planning Sheet'!BV318='Weeks Plan'!$D$6,'Planning Sheet'!BP318='Weeks Plan'!$G$6),'Planning Sheet'!$BR318,"")</f>
        <v/>
      </c>
    </row>
    <row r="2290" spans="25:27" x14ac:dyDescent="0.3">
      <c r="Y2290" s="48" t="str">
        <f ca="1">IF(AND('Planning Sheet'!BV319='Weeks Plan'!$D$6,'Planning Sheet'!BP319='Weeks Plan'!$G$6),'Planning Sheet'!$B319,"")</f>
        <v/>
      </c>
      <c r="Z2290" s="48" t="str">
        <f ca="1">IF(AND('Planning Sheet'!BV319='Weeks Plan'!$D$6,'Planning Sheet'!BP319='Weeks Plan'!$G$6),'Planning Sheet'!$BQ319,"")</f>
        <v/>
      </c>
      <c r="AA2290" s="48" t="str">
        <f ca="1">IF(AND('Planning Sheet'!BV319='Weeks Plan'!$D$6,'Planning Sheet'!BP319='Weeks Plan'!$G$6),'Planning Sheet'!$BR319,"")</f>
        <v/>
      </c>
    </row>
    <row r="2291" spans="25:27" x14ac:dyDescent="0.3">
      <c r="Y2291" s="48" t="str">
        <f ca="1">IF(AND('Planning Sheet'!BV320='Weeks Plan'!$D$6,'Planning Sheet'!BP320='Weeks Plan'!$G$6),'Planning Sheet'!$B320,"")</f>
        <v/>
      </c>
      <c r="Z2291" s="48" t="str">
        <f ca="1">IF(AND('Planning Sheet'!BV320='Weeks Plan'!$D$6,'Planning Sheet'!BP320='Weeks Plan'!$G$6),'Planning Sheet'!$BQ320,"")</f>
        <v/>
      </c>
      <c r="AA2291" s="48" t="str">
        <f ca="1">IF(AND('Planning Sheet'!BV320='Weeks Plan'!$D$6,'Planning Sheet'!BP320='Weeks Plan'!$G$6),'Planning Sheet'!$BR320,"")</f>
        <v/>
      </c>
    </row>
    <row r="2292" spans="25:27" x14ac:dyDescent="0.3">
      <c r="Y2292" s="48" t="str">
        <f ca="1">IF(AND('Planning Sheet'!BV321='Weeks Plan'!$D$6,'Planning Sheet'!BP321='Weeks Plan'!$G$6),'Planning Sheet'!$B321,"")</f>
        <v/>
      </c>
      <c r="Z2292" s="48" t="str">
        <f ca="1">IF(AND('Planning Sheet'!BV321='Weeks Plan'!$D$6,'Planning Sheet'!BP321='Weeks Plan'!$G$6),'Planning Sheet'!$BQ321,"")</f>
        <v/>
      </c>
      <c r="AA2292" s="48" t="str">
        <f ca="1">IF(AND('Planning Sheet'!BV321='Weeks Plan'!$D$6,'Planning Sheet'!BP321='Weeks Plan'!$G$6),'Planning Sheet'!$BR321,"")</f>
        <v/>
      </c>
    </row>
    <row r="2293" spans="25:27" x14ac:dyDescent="0.3">
      <c r="Y2293" s="48" t="str">
        <f ca="1">IF(AND('Planning Sheet'!BV322='Weeks Plan'!$D$6,'Planning Sheet'!BP322='Weeks Plan'!$G$6),'Planning Sheet'!$B322,"")</f>
        <v/>
      </c>
      <c r="Z2293" s="48" t="str">
        <f ca="1">IF(AND('Planning Sheet'!BV322='Weeks Plan'!$D$6,'Planning Sheet'!BP322='Weeks Plan'!$G$6),'Planning Sheet'!$BQ322,"")</f>
        <v/>
      </c>
      <c r="AA2293" s="48" t="str">
        <f ca="1">IF(AND('Planning Sheet'!BV322='Weeks Plan'!$D$6,'Planning Sheet'!BP322='Weeks Plan'!$G$6),'Planning Sheet'!$BR322,"")</f>
        <v/>
      </c>
    </row>
    <row r="2294" spans="25:27" x14ac:dyDescent="0.3">
      <c r="Y2294" s="48" t="str">
        <f ca="1">IF(AND('Planning Sheet'!BV323='Weeks Plan'!$D$6,'Planning Sheet'!BP323='Weeks Plan'!$G$6),'Planning Sheet'!$B323,"")</f>
        <v/>
      </c>
      <c r="Z2294" s="48" t="str">
        <f ca="1">IF(AND('Planning Sheet'!BV323='Weeks Plan'!$D$6,'Planning Sheet'!BP323='Weeks Plan'!$G$6),'Planning Sheet'!$BQ323,"")</f>
        <v/>
      </c>
      <c r="AA2294" s="48" t="str">
        <f ca="1">IF(AND('Planning Sheet'!BV323='Weeks Plan'!$D$6,'Planning Sheet'!BP323='Weeks Plan'!$G$6),'Planning Sheet'!$BR323,"")</f>
        <v/>
      </c>
    </row>
    <row r="2295" spans="25:27" x14ac:dyDescent="0.3">
      <c r="Y2295" s="48" t="str">
        <f ca="1">IF(AND('Planning Sheet'!BV324='Weeks Plan'!$D$6,'Planning Sheet'!BP324='Weeks Plan'!$G$6),'Planning Sheet'!$B324,"")</f>
        <v/>
      </c>
      <c r="Z2295" s="48" t="str">
        <f ca="1">IF(AND('Planning Sheet'!BV324='Weeks Plan'!$D$6,'Planning Sheet'!BP324='Weeks Plan'!$G$6),'Planning Sheet'!$BQ324,"")</f>
        <v/>
      </c>
      <c r="AA2295" s="48" t="str">
        <f ca="1">IF(AND('Planning Sheet'!BV324='Weeks Plan'!$D$6,'Planning Sheet'!BP324='Weeks Plan'!$G$6),'Planning Sheet'!$BR324,"")</f>
        <v/>
      </c>
    </row>
    <row r="2296" spans="25:27" x14ac:dyDescent="0.3">
      <c r="Y2296" s="48" t="str">
        <f ca="1">IF(AND('Planning Sheet'!BV325='Weeks Plan'!$D$6,'Planning Sheet'!BP325='Weeks Plan'!$G$6),'Planning Sheet'!$B325,"")</f>
        <v/>
      </c>
      <c r="Z2296" s="48" t="str">
        <f ca="1">IF(AND('Planning Sheet'!BV325='Weeks Plan'!$D$6,'Planning Sheet'!BP325='Weeks Plan'!$G$6),'Planning Sheet'!$BQ325,"")</f>
        <v/>
      </c>
      <c r="AA2296" s="48" t="str">
        <f ca="1">IF(AND('Planning Sheet'!BV325='Weeks Plan'!$D$6,'Planning Sheet'!BP325='Weeks Plan'!$G$6),'Planning Sheet'!$BR325,"")</f>
        <v/>
      </c>
    </row>
    <row r="2297" spans="25:27" x14ac:dyDescent="0.3">
      <c r="Y2297" s="48" t="str">
        <f ca="1">IF(AND('Planning Sheet'!BV326='Weeks Plan'!$D$6,'Planning Sheet'!BP326='Weeks Plan'!$G$6),'Planning Sheet'!$B326,"")</f>
        <v/>
      </c>
      <c r="Z2297" s="48" t="str">
        <f ca="1">IF(AND('Planning Sheet'!BV326='Weeks Plan'!$D$6,'Planning Sheet'!BP326='Weeks Plan'!$G$6),'Planning Sheet'!$BQ326,"")</f>
        <v/>
      </c>
      <c r="AA2297" s="48" t="str">
        <f ca="1">IF(AND('Planning Sheet'!BV326='Weeks Plan'!$D$6,'Planning Sheet'!BP326='Weeks Plan'!$G$6),'Planning Sheet'!$BR326,"")</f>
        <v/>
      </c>
    </row>
    <row r="2298" spans="25:27" x14ac:dyDescent="0.3">
      <c r="Y2298" s="48" t="str">
        <f ca="1">IF(AND('Planning Sheet'!BV327='Weeks Plan'!$D$6,'Planning Sheet'!BP327='Weeks Plan'!$G$6),'Planning Sheet'!$B327,"")</f>
        <v/>
      </c>
      <c r="Z2298" s="48" t="str">
        <f ca="1">IF(AND('Planning Sheet'!BV327='Weeks Plan'!$D$6,'Planning Sheet'!BP327='Weeks Plan'!$G$6),'Planning Sheet'!$BQ327,"")</f>
        <v/>
      </c>
      <c r="AA2298" s="48" t="str">
        <f ca="1">IF(AND('Planning Sheet'!BV327='Weeks Plan'!$D$6,'Planning Sheet'!BP327='Weeks Plan'!$G$6),'Planning Sheet'!$BR327,"")</f>
        <v/>
      </c>
    </row>
    <row r="2299" spans="25:27" x14ac:dyDescent="0.3">
      <c r="Y2299" s="48" t="str">
        <f ca="1">IF(AND('Planning Sheet'!BV328='Weeks Plan'!$D$6,'Planning Sheet'!BP328='Weeks Plan'!$G$6),'Planning Sheet'!$B328,"")</f>
        <v/>
      </c>
      <c r="Z2299" s="48" t="str">
        <f ca="1">IF(AND('Planning Sheet'!BV328='Weeks Plan'!$D$6,'Planning Sheet'!BP328='Weeks Plan'!$G$6),'Planning Sheet'!$BQ328,"")</f>
        <v/>
      </c>
      <c r="AA2299" s="48" t="str">
        <f ca="1">IF(AND('Planning Sheet'!BV328='Weeks Plan'!$D$6,'Planning Sheet'!BP328='Weeks Plan'!$G$6),'Planning Sheet'!$BR328,"")</f>
        <v/>
      </c>
    </row>
    <row r="2300" spans="25:27" x14ac:dyDescent="0.3">
      <c r="Y2300" s="48" t="str">
        <f ca="1">IF(AND('Planning Sheet'!BV329='Weeks Plan'!$D$6,'Planning Sheet'!BP329='Weeks Plan'!$G$6),'Planning Sheet'!$B329,"")</f>
        <v/>
      </c>
      <c r="Z2300" s="48" t="str">
        <f ca="1">IF(AND('Planning Sheet'!BV329='Weeks Plan'!$D$6,'Planning Sheet'!BP329='Weeks Plan'!$G$6),'Planning Sheet'!$BQ329,"")</f>
        <v/>
      </c>
      <c r="AA2300" s="48" t="str">
        <f ca="1">IF(AND('Planning Sheet'!BV329='Weeks Plan'!$D$6,'Planning Sheet'!BP329='Weeks Plan'!$G$6),'Planning Sheet'!$BR329,"")</f>
        <v/>
      </c>
    </row>
    <row r="2301" spans="25:27" x14ac:dyDescent="0.3">
      <c r="Y2301" s="48" t="str">
        <f ca="1">IF(AND('Planning Sheet'!BV330='Weeks Plan'!$D$6,'Planning Sheet'!BP330='Weeks Plan'!$G$6),'Planning Sheet'!$B330,"")</f>
        <v/>
      </c>
      <c r="Z2301" s="48" t="str">
        <f ca="1">IF(AND('Planning Sheet'!BV330='Weeks Plan'!$D$6,'Planning Sheet'!BP330='Weeks Plan'!$G$6),'Planning Sheet'!$BQ330,"")</f>
        <v/>
      </c>
      <c r="AA2301" s="48" t="str">
        <f ca="1">IF(AND('Planning Sheet'!BV330='Weeks Plan'!$D$6,'Planning Sheet'!BP330='Weeks Plan'!$G$6),'Planning Sheet'!$BR330,"")</f>
        <v/>
      </c>
    </row>
    <row r="2302" spans="25:27" x14ac:dyDescent="0.3">
      <c r="Y2302" s="48" t="str">
        <f ca="1">IF(AND('Planning Sheet'!BV331='Weeks Plan'!$D$6,'Planning Sheet'!BP331='Weeks Plan'!$G$6),'Planning Sheet'!$B331,"")</f>
        <v/>
      </c>
      <c r="Z2302" s="48" t="str">
        <f ca="1">IF(AND('Planning Sheet'!BV331='Weeks Plan'!$D$6,'Planning Sheet'!BP331='Weeks Plan'!$G$6),'Planning Sheet'!$BQ331,"")</f>
        <v/>
      </c>
      <c r="AA2302" s="48" t="str">
        <f ca="1">IF(AND('Planning Sheet'!BV331='Weeks Plan'!$D$6,'Planning Sheet'!BP331='Weeks Plan'!$G$6),'Planning Sheet'!$BR331,"")</f>
        <v/>
      </c>
    </row>
    <row r="2303" spans="25:27" x14ac:dyDescent="0.3">
      <c r="Y2303" s="48" t="str">
        <f ca="1">IF(AND('Planning Sheet'!BV332='Weeks Plan'!$D$6,'Planning Sheet'!BP332='Weeks Plan'!$G$6),'Planning Sheet'!$B332,"")</f>
        <v/>
      </c>
      <c r="Z2303" s="48" t="str">
        <f ca="1">IF(AND('Planning Sheet'!BV332='Weeks Plan'!$D$6,'Planning Sheet'!BP332='Weeks Plan'!$G$6),'Planning Sheet'!$BQ332,"")</f>
        <v/>
      </c>
      <c r="AA2303" s="48" t="str">
        <f ca="1">IF(AND('Planning Sheet'!BV332='Weeks Plan'!$D$6,'Planning Sheet'!BP332='Weeks Plan'!$G$6),'Planning Sheet'!$BR332,"")</f>
        <v/>
      </c>
    </row>
    <row r="2304" spans="25:27" x14ac:dyDescent="0.3">
      <c r="Y2304" s="48" t="str">
        <f ca="1">IF(AND('Planning Sheet'!BV333='Weeks Plan'!$D$6,'Planning Sheet'!BP333='Weeks Plan'!$G$6),'Planning Sheet'!$B333,"")</f>
        <v/>
      </c>
      <c r="Z2304" s="48" t="str">
        <f ca="1">IF(AND('Planning Sheet'!BV333='Weeks Plan'!$D$6,'Planning Sheet'!BP333='Weeks Plan'!$G$6),'Planning Sheet'!$BQ333,"")</f>
        <v/>
      </c>
      <c r="AA2304" s="48" t="str">
        <f ca="1">IF(AND('Planning Sheet'!BV333='Weeks Plan'!$D$6,'Planning Sheet'!BP333='Weeks Plan'!$G$6),'Planning Sheet'!$BR333,"")</f>
        <v/>
      </c>
    </row>
    <row r="2305" spans="25:27" x14ac:dyDescent="0.3">
      <c r="Y2305" s="48" t="str">
        <f ca="1">IF(AND('Planning Sheet'!BV334='Weeks Plan'!$D$6,'Planning Sheet'!BP334='Weeks Plan'!$G$6),'Planning Sheet'!$B334,"")</f>
        <v/>
      </c>
      <c r="Z2305" s="48" t="str">
        <f ca="1">IF(AND('Planning Sheet'!BV334='Weeks Plan'!$D$6,'Planning Sheet'!BP334='Weeks Plan'!$G$6),'Planning Sheet'!$BQ334,"")</f>
        <v/>
      </c>
      <c r="AA2305" s="48" t="str">
        <f ca="1">IF(AND('Planning Sheet'!BV334='Weeks Plan'!$D$6,'Planning Sheet'!BP334='Weeks Plan'!$G$6),'Planning Sheet'!$BR334,"")</f>
        <v/>
      </c>
    </row>
    <row r="2306" spans="25:27" x14ac:dyDescent="0.3">
      <c r="Y2306" s="48" t="str">
        <f ca="1">IF(AND('Planning Sheet'!BV335='Weeks Plan'!$D$6,'Planning Sheet'!BP335='Weeks Plan'!$G$6),'Planning Sheet'!$B335,"")</f>
        <v/>
      </c>
      <c r="Z2306" s="48" t="str">
        <f ca="1">IF(AND('Planning Sheet'!BV335='Weeks Plan'!$D$6,'Planning Sheet'!BP335='Weeks Plan'!$G$6),'Planning Sheet'!$BQ335,"")</f>
        <v/>
      </c>
      <c r="AA2306" s="48" t="str">
        <f ca="1">IF(AND('Planning Sheet'!BV335='Weeks Plan'!$D$6,'Planning Sheet'!BP335='Weeks Plan'!$G$6),'Planning Sheet'!$BR335,"")</f>
        <v/>
      </c>
    </row>
    <row r="2307" spans="25:27" x14ac:dyDescent="0.3">
      <c r="Y2307" s="48" t="str">
        <f ca="1">IF(AND('Planning Sheet'!BV336='Weeks Plan'!$D$6,'Planning Sheet'!BP336='Weeks Plan'!$G$6),'Planning Sheet'!$B336,"")</f>
        <v/>
      </c>
      <c r="Z2307" s="48" t="str">
        <f ca="1">IF(AND('Planning Sheet'!BV336='Weeks Plan'!$D$6,'Planning Sheet'!BP336='Weeks Plan'!$G$6),'Planning Sheet'!$BQ336,"")</f>
        <v/>
      </c>
      <c r="AA2307" s="48" t="str">
        <f ca="1">IF(AND('Planning Sheet'!BV336='Weeks Plan'!$D$6,'Planning Sheet'!BP336='Weeks Plan'!$G$6),'Planning Sheet'!$BR336,"")</f>
        <v/>
      </c>
    </row>
    <row r="2308" spans="25:27" x14ac:dyDescent="0.3">
      <c r="Y2308" s="48" t="str">
        <f ca="1">IF(AND('Planning Sheet'!BV337='Weeks Plan'!$D$6,'Planning Sheet'!BP337='Weeks Plan'!$G$6),'Planning Sheet'!$B337,"")</f>
        <v/>
      </c>
      <c r="Z2308" s="48" t="str">
        <f ca="1">IF(AND('Planning Sheet'!BV337='Weeks Plan'!$D$6,'Planning Sheet'!BP337='Weeks Plan'!$G$6),'Planning Sheet'!$BQ337,"")</f>
        <v/>
      </c>
      <c r="AA2308" s="48" t="str">
        <f ca="1">IF(AND('Planning Sheet'!BV337='Weeks Plan'!$D$6,'Planning Sheet'!BP337='Weeks Plan'!$G$6),'Planning Sheet'!$BR337,"")</f>
        <v/>
      </c>
    </row>
    <row r="2309" spans="25:27" x14ac:dyDescent="0.3">
      <c r="Y2309" s="48" t="str">
        <f ca="1">IF(AND('Planning Sheet'!BV338='Weeks Plan'!$D$6,'Planning Sheet'!BP338='Weeks Plan'!$G$6),'Planning Sheet'!$B338,"")</f>
        <v/>
      </c>
      <c r="Z2309" s="48" t="str">
        <f ca="1">IF(AND('Planning Sheet'!BV338='Weeks Plan'!$D$6,'Planning Sheet'!BP338='Weeks Plan'!$G$6),'Planning Sheet'!$BQ338,"")</f>
        <v/>
      </c>
      <c r="AA2309" s="48" t="str">
        <f ca="1">IF(AND('Planning Sheet'!BV338='Weeks Plan'!$D$6,'Planning Sheet'!BP338='Weeks Plan'!$G$6),'Planning Sheet'!$BR338,"")</f>
        <v/>
      </c>
    </row>
    <row r="2310" spans="25:27" x14ac:dyDescent="0.3">
      <c r="Y2310" s="48" t="str">
        <f ca="1">IF(AND('Planning Sheet'!BV339='Weeks Plan'!$D$6,'Planning Sheet'!BP339='Weeks Plan'!$G$6),'Planning Sheet'!$B339,"")</f>
        <v/>
      </c>
      <c r="Z2310" s="48" t="str">
        <f ca="1">IF(AND('Planning Sheet'!BV339='Weeks Plan'!$D$6,'Planning Sheet'!BP339='Weeks Plan'!$G$6),'Planning Sheet'!$BQ339,"")</f>
        <v/>
      </c>
      <c r="AA2310" s="48" t="str">
        <f ca="1">IF(AND('Planning Sheet'!BV339='Weeks Plan'!$D$6,'Planning Sheet'!BP339='Weeks Plan'!$G$6),'Planning Sheet'!$BR339,"")</f>
        <v/>
      </c>
    </row>
    <row r="2311" spans="25:27" x14ac:dyDescent="0.3">
      <c r="Y2311" s="48" t="str">
        <f ca="1">IF(AND('Planning Sheet'!BV340='Weeks Plan'!$D$6,'Planning Sheet'!BP340='Weeks Plan'!$G$6),'Planning Sheet'!$B340,"")</f>
        <v/>
      </c>
      <c r="Z2311" s="48" t="str">
        <f ca="1">IF(AND('Planning Sheet'!BV340='Weeks Plan'!$D$6,'Planning Sheet'!BP340='Weeks Plan'!$G$6),'Planning Sheet'!$BQ340,"")</f>
        <v/>
      </c>
      <c r="AA2311" s="48" t="str">
        <f ca="1">IF(AND('Planning Sheet'!BV340='Weeks Plan'!$D$6,'Planning Sheet'!BP340='Weeks Plan'!$G$6),'Planning Sheet'!$BR340,"")</f>
        <v/>
      </c>
    </row>
    <row r="2312" spans="25:27" x14ac:dyDescent="0.3">
      <c r="Y2312" s="48" t="str">
        <f ca="1">IF(AND('Planning Sheet'!BV341='Weeks Plan'!$D$6,'Planning Sheet'!BP341='Weeks Plan'!$G$6),'Planning Sheet'!$B341,"")</f>
        <v/>
      </c>
      <c r="Z2312" s="48" t="str">
        <f ca="1">IF(AND('Planning Sheet'!BV341='Weeks Plan'!$D$6,'Planning Sheet'!BP341='Weeks Plan'!$G$6),'Planning Sheet'!$BQ341,"")</f>
        <v/>
      </c>
      <c r="AA2312" s="48" t="str">
        <f ca="1">IF(AND('Planning Sheet'!BV341='Weeks Plan'!$D$6,'Planning Sheet'!BP341='Weeks Plan'!$G$6),'Planning Sheet'!$BR341,"")</f>
        <v/>
      </c>
    </row>
    <row r="2313" spans="25:27" x14ac:dyDescent="0.3">
      <c r="Y2313" s="48" t="str">
        <f ca="1">IF(AND('Planning Sheet'!BV342='Weeks Plan'!$D$6,'Planning Sheet'!BP342='Weeks Plan'!$G$6),'Planning Sheet'!$B342,"")</f>
        <v/>
      </c>
      <c r="Z2313" s="48" t="str">
        <f ca="1">IF(AND('Planning Sheet'!BV342='Weeks Plan'!$D$6,'Planning Sheet'!BP342='Weeks Plan'!$G$6),'Planning Sheet'!$BQ342,"")</f>
        <v/>
      </c>
      <c r="AA2313" s="48" t="str">
        <f ca="1">IF(AND('Planning Sheet'!BV342='Weeks Plan'!$D$6,'Planning Sheet'!BP342='Weeks Plan'!$G$6),'Planning Sheet'!$BR342,"")</f>
        <v/>
      </c>
    </row>
    <row r="2314" spans="25:27" x14ac:dyDescent="0.3">
      <c r="Y2314" s="48" t="str">
        <f ca="1">IF(AND('Planning Sheet'!BV343='Weeks Plan'!$D$6,'Planning Sheet'!BP343='Weeks Plan'!$G$6),'Planning Sheet'!$B343,"")</f>
        <v/>
      </c>
      <c r="Z2314" s="48" t="str">
        <f ca="1">IF(AND('Planning Sheet'!BV343='Weeks Plan'!$D$6,'Planning Sheet'!BP343='Weeks Plan'!$G$6),'Planning Sheet'!$BQ343,"")</f>
        <v/>
      </c>
      <c r="AA2314" s="48" t="str">
        <f ca="1">IF(AND('Planning Sheet'!BV343='Weeks Plan'!$D$6,'Planning Sheet'!BP343='Weeks Plan'!$G$6),'Planning Sheet'!$BR343,"")</f>
        <v/>
      </c>
    </row>
    <row r="2315" spans="25:27" x14ac:dyDescent="0.3">
      <c r="Y2315" s="48" t="str">
        <f ca="1">IF(AND('Planning Sheet'!BV344='Weeks Plan'!$D$6,'Planning Sheet'!BP344='Weeks Plan'!$G$6),'Planning Sheet'!$B344,"")</f>
        <v/>
      </c>
      <c r="Z2315" s="48" t="str">
        <f ca="1">IF(AND('Planning Sheet'!BV344='Weeks Plan'!$D$6,'Planning Sheet'!BP344='Weeks Plan'!$G$6),'Planning Sheet'!$BQ344,"")</f>
        <v/>
      </c>
      <c r="AA2315" s="48" t="str">
        <f ca="1">IF(AND('Planning Sheet'!BV344='Weeks Plan'!$D$6,'Planning Sheet'!BP344='Weeks Plan'!$G$6),'Planning Sheet'!$BR344,"")</f>
        <v/>
      </c>
    </row>
    <row r="2316" spans="25:27" x14ac:dyDescent="0.3">
      <c r="Y2316" s="48" t="str">
        <f ca="1">IF(AND('Planning Sheet'!BV345='Weeks Plan'!$D$6,'Planning Sheet'!BP345='Weeks Plan'!$G$6),'Planning Sheet'!$B345,"")</f>
        <v/>
      </c>
      <c r="Z2316" s="48" t="str">
        <f ca="1">IF(AND('Planning Sheet'!BV345='Weeks Plan'!$D$6,'Planning Sheet'!BP345='Weeks Plan'!$G$6),'Planning Sheet'!$BQ345,"")</f>
        <v/>
      </c>
      <c r="AA2316" s="48" t="str">
        <f ca="1">IF(AND('Planning Sheet'!BV345='Weeks Plan'!$D$6,'Planning Sheet'!BP345='Weeks Plan'!$G$6),'Planning Sheet'!$BR345,"")</f>
        <v/>
      </c>
    </row>
    <row r="2317" spans="25:27" x14ac:dyDescent="0.3">
      <c r="Y2317" s="48" t="str">
        <f ca="1">IF(AND('Planning Sheet'!BV346='Weeks Plan'!$D$6,'Planning Sheet'!BP346='Weeks Plan'!$G$6),'Planning Sheet'!$B346,"")</f>
        <v/>
      </c>
      <c r="Z2317" s="48" t="str">
        <f ca="1">IF(AND('Planning Sheet'!BV346='Weeks Plan'!$D$6,'Planning Sheet'!BP346='Weeks Plan'!$G$6),'Planning Sheet'!$BQ346,"")</f>
        <v/>
      </c>
      <c r="AA2317" s="48" t="str">
        <f ca="1">IF(AND('Planning Sheet'!BV346='Weeks Plan'!$D$6,'Planning Sheet'!BP346='Weeks Plan'!$G$6),'Planning Sheet'!$BR346,"")</f>
        <v/>
      </c>
    </row>
    <row r="2318" spans="25:27" x14ac:dyDescent="0.3">
      <c r="Y2318" s="48" t="str">
        <f ca="1">IF(AND('Planning Sheet'!BV347='Weeks Plan'!$D$6,'Planning Sheet'!BP347='Weeks Plan'!$G$6),'Planning Sheet'!$B347,"")</f>
        <v/>
      </c>
      <c r="Z2318" s="48" t="str">
        <f ca="1">IF(AND('Planning Sheet'!BV347='Weeks Plan'!$D$6,'Planning Sheet'!BP347='Weeks Plan'!$G$6),'Planning Sheet'!$BQ347,"")</f>
        <v/>
      </c>
      <c r="AA2318" s="48" t="str">
        <f ca="1">IF(AND('Planning Sheet'!BV347='Weeks Plan'!$D$6,'Planning Sheet'!BP347='Weeks Plan'!$G$6),'Planning Sheet'!$BR347,"")</f>
        <v/>
      </c>
    </row>
    <row r="2319" spans="25:27" x14ac:dyDescent="0.3">
      <c r="Y2319" s="48" t="str">
        <f ca="1">IF(AND('Planning Sheet'!BV348='Weeks Plan'!$D$6,'Planning Sheet'!BP348='Weeks Plan'!$G$6),'Planning Sheet'!$B348,"")</f>
        <v/>
      </c>
      <c r="Z2319" s="48" t="str">
        <f ca="1">IF(AND('Planning Sheet'!BV348='Weeks Plan'!$D$6,'Planning Sheet'!BP348='Weeks Plan'!$G$6),'Planning Sheet'!$BQ348,"")</f>
        <v/>
      </c>
      <c r="AA2319" s="48" t="str">
        <f ca="1">IF(AND('Planning Sheet'!BV348='Weeks Plan'!$D$6,'Planning Sheet'!BP348='Weeks Plan'!$G$6),'Planning Sheet'!$BR348,"")</f>
        <v/>
      </c>
    </row>
    <row r="2320" spans="25:27" x14ac:dyDescent="0.3">
      <c r="Y2320" s="48" t="str">
        <f ca="1">IF(AND('Planning Sheet'!BV349='Weeks Plan'!$D$6,'Planning Sheet'!BP349='Weeks Plan'!$G$6),'Planning Sheet'!$B349,"")</f>
        <v/>
      </c>
      <c r="Z2320" s="48" t="str">
        <f ca="1">IF(AND('Planning Sheet'!BV349='Weeks Plan'!$D$6,'Planning Sheet'!BP349='Weeks Plan'!$G$6),'Planning Sheet'!$BQ349,"")</f>
        <v/>
      </c>
      <c r="AA2320" s="48" t="str">
        <f ca="1">IF(AND('Planning Sheet'!BV349='Weeks Plan'!$D$6,'Planning Sheet'!BP349='Weeks Plan'!$G$6),'Planning Sheet'!$BR349,"")</f>
        <v/>
      </c>
    </row>
    <row r="2321" spans="25:27" x14ac:dyDescent="0.3">
      <c r="Y2321" s="48" t="str">
        <f ca="1">IF(AND('Planning Sheet'!BV350='Weeks Plan'!$D$6,'Planning Sheet'!BP350='Weeks Plan'!$G$6),'Planning Sheet'!$B350,"")</f>
        <v/>
      </c>
      <c r="Z2321" s="48" t="str">
        <f ca="1">IF(AND('Planning Sheet'!BV350='Weeks Plan'!$D$6,'Planning Sheet'!BP350='Weeks Plan'!$G$6),'Planning Sheet'!$BQ350,"")</f>
        <v/>
      </c>
      <c r="AA2321" s="48" t="str">
        <f ca="1">IF(AND('Planning Sheet'!BV350='Weeks Plan'!$D$6,'Planning Sheet'!BP350='Weeks Plan'!$G$6),'Planning Sheet'!$BR350,"")</f>
        <v/>
      </c>
    </row>
    <row r="2322" spans="25:27" x14ac:dyDescent="0.3">
      <c r="Y2322" s="48" t="str">
        <f ca="1">IF(AND('Planning Sheet'!BV351='Weeks Plan'!$D$6,'Planning Sheet'!BP351='Weeks Plan'!$G$6),'Planning Sheet'!$B351,"")</f>
        <v/>
      </c>
      <c r="Z2322" s="48" t="str">
        <f ca="1">IF(AND('Planning Sheet'!BV351='Weeks Plan'!$D$6,'Planning Sheet'!BP351='Weeks Plan'!$G$6),'Planning Sheet'!$BQ351,"")</f>
        <v/>
      </c>
      <c r="AA2322" s="48" t="str">
        <f ca="1">IF(AND('Planning Sheet'!BV351='Weeks Plan'!$D$6,'Planning Sheet'!BP351='Weeks Plan'!$G$6),'Planning Sheet'!$BR351,"")</f>
        <v/>
      </c>
    </row>
    <row r="2323" spans="25:27" x14ac:dyDescent="0.3">
      <c r="Y2323" s="48" t="str">
        <f ca="1">IF(AND('Planning Sheet'!BV352='Weeks Plan'!$D$6,'Planning Sheet'!BP352='Weeks Plan'!$G$6),'Planning Sheet'!$B352,"")</f>
        <v/>
      </c>
      <c r="Z2323" s="48" t="str">
        <f ca="1">IF(AND('Planning Sheet'!BV352='Weeks Plan'!$D$6,'Planning Sheet'!BP352='Weeks Plan'!$G$6),'Planning Sheet'!$BQ352,"")</f>
        <v/>
      </c>
      <c r="AA2323" s="48" t="str">
        <f ca="1">IF(AND('Planning Sheet'!BV352='Weeks Plan'!$D$6,'Planning Sheet'!BP352='Weeks Plan'!$G$6),'Planning Sheet'!$BR352,"")</f>
        <v/>
      </c>
    </row>
    <row r="2324" spans="25:27" x14ac:dyDescent="0.3">
      <c r="Y2324" s="48" t="str">
        <f ca="1">IF(AND('Planning Sheet'!BV353='Weeks Plan'!$D$6,'Planning Sheet'!BP353='Weeks Plan'!$G$6),'Planning Sheet'!$B353,"")</f>
        <v/>
      </c>
      <c r="Z2324" s="48" t="str">
        <f ca="1">IF(AND('Planning Sheet'!BV353='Weeks Plan'!$D$6,'Planning Sheet'!BP353='Weeks Plan'!$G$6),'Planning Sheet'!$BQ353,"")</f>
        <v/>
      </c>
      <c r="AA2324" s="48" t="str">
        <f ca="1">IF(AND('Planning Sheet'!BV353='Weeks Plan'!$D$6,'Planning Sheet'!BP353='Weeks Plan'!$G$6),'Planning Sheet'!$BR353,"")</f>
        <v/>
      </c>
    </row>
    <row r="2325" spans="25:27" x14ac:dyDescent="0.3">
      <c r="Y2325" s="48" t="str">
        <f ca="1">IF(AND('Planning Sheet'!BV354='Weeks Plan'!$D$6,'Planning Sheet'!BP354='Weeks Plan'!$G$6),'Planning Sheet'!$B354,"")</f>
        <v/>
      </c>
      <c r="Z2325" s="48" t="str">
        <f ca="1">IF(AND('Planning Sheet'!BV354='Weeks Plan'!$D$6,'Planning Sheet'!BP354='Weeks Plan'!$G$6),'Planning Sheet'!$BQ354,"")</f>
        <v/>
      </c>
      <c r="AA2325" s="48" t="str">
        <f ca="1">IF(AND('Planning Sheet'!BV354='Weeks Plan'!$D$6,'Planning Sheet'!BP354='Weeks Plan'!$G$6),'Planning Sheet'!$BR354,"")</f>
        <v/>
      </c>
    </row>
    <row r="2326" spans="25:27" x14ac:dyDescent="0.3">
      <c r="Y2326" s="48" t="str">
        <f ca="1">IF(AND('Planning Sheet'!BV355='Weeks Plan'!$D$6,'Planning Sheet'!BP355='Weeks Plan'!$G$6),'Planning Sheet'!$B355,"")</f>
        <v/>
      </c>
      <c r="Z2326" s="48" t="str">
        <f ca="1">IF(AND('Planning Sheet'!BV355='Weeks Plan'!$D$6,'Planning Sheet'!BP355='Weeks Plan'!$G$6),'Planning Sheet'!$BQ355,"")</f>
        <v/>
      </c>
      <c r="AA2326" s="48" t="str">
        <f ca="1">IF(AND('Planning Sheet'!BV355='Weeks Plan'!$D$6,'Planning Sheet'!BP355='Weeks Plan'!$G$6),'Planning Sheet'!$BR355,"")</f>
        <v/>
      </c>
    </row>
    <row r="2327" spans="25:27" x14ac:dyDescent="0.3">
      <c r="Y2327" s="48" t="str">
        <f ca="1">IF(AND('Planning Sheet'!BV356='Weeks Plan'!$D$6,'Planning Sheet'!BP356='Weeks Plan'!$G$6),'Planning Sheet'!$B356,"")</f>
        <v/>
      </c>
      <c r="Z2327" s="48" t="str">
        <f ca="1">IF(AND('Planning Sheet'!BV356='Weeks Plan'!$D$6,'Planning Sheet'!BP356='Weeks Plan'!$G$6),'Planning Sheet'!$BQ356,"")</f>
        <v/>
      </c>
      <c r="AA2327" s="48" t="str">
        <f ca="1">IF(AND('Planning Sheet'!BV356='Weeks Plan'!$D$6,'Planning Sheet'!BP356='Weeks Plan'!$G$6),'Planning Sheet'!$BR356,"")</f>
        <v/>
      </c>
    </row>
    <row r="2328" spans="25:27" x14ac:dyDescent="0.3">
      <c r="Y2328" s="48" t="str">
        <f ca="1">IF(AND('Planning Sheet'!BV357='Weeks Plan'!$D$6,'Planning Sheet'!BP357='Weeks Plan'!$G$6),'Planning Sheet'!$B357,"")</f>
        <v/>
      </c>
      <c r="Z2328" s="48" t="str">
        <f ca="1">IF(AND('Planning Sheet'!BV357='Weeks Plan'!$D$6,'Planning Sheet'!BP357='Weeks Plan'!$G$6),'Planning Sheet'!$BQ357,"")</f>
        <v/>
      </c>
      <c r="AA2328" s="48" t="str">
        <f ca="1">IF(AND('Planning Sheet'!BV357='Weeks Plan'!$D$6,'Planning Sheet'!BP357='Weeks Plan'!$G$6),'Planning Sheet'!$BR357,"")</f>
        <v/>
      </c>
    </row>
    <row r="2329" spans="25:27" x14ac:dyDescent="0.3">
      <c r="Y2329" s="48" t="str">
        <f ca="1">IF(AND('Planning Sheet'!BV358='Weeks Plan'!$D$6,'Planning Sheet'!BP358='Weeks Plan'!$G$6),'Planning Sheet'!$B358,"")</f>
        <v/>
      </c>
      <c r="Z2329" s="48" t="str">
        <f ca="1">IF(AND('Planning Sheet'!BV358='Weeks Plan'!$D$6,'Planning Sheet'!BP358='Weeks Plan'!$G$6),'Planning Sheet'!$BQ358,"")</f>
        <v/>
      </c>
      <c r="AA2329" s="48" t="str">
        <f ca="1">IF(AND('Planning Sheet'!BV358='Weeks Plan'!$D$6,'Planning Sheet'!BP358='Weeks Plan'!$G$6),'Planning Sheet'!$BR358,"")</f>
        <v/>
      </c>
    </row>
    <row r="2330" spans="25:27" x14ac:dyDescent="0.3">
      <c r="Y2330" s="48" t="str">
        <f ca="1">IF(AND('Planning Sheet'!BV359='Weeks Plan'!$D$6,'Planning Sheet'!BP359='Weeks Plan'!$G$6),'Planning Sheet'!$B359,"")</f>
        <v/>
      </c>
      <c r="Z2330" s="48" t="str">
        <f ca="1">IF(AND('Planning Sheet'!BV359='Weeks Plan'!$D$6,'Planning Sheet'!BP359='Weeks Plan'!$G$6),'Planning Sheet'!$BQ359,"")</f>
        <v/>
      </c>
      <c r="AA2330" s="48" t="str">
        <f ca="1">IF(AND('Planning Sheet'!BV359='Weeks Plan'!$D$6,'Planning Sheet'!BP359='Weeks Plan'!$G$6),'Planning Sheet'!$BR359,"")</f>
        <v/>
      </c>
    </row>
    <row r="2331" spans="25:27" x14ac:dyDescent="0.3">
      <c r="Y2331" s="48" t="str">
        <f ca="1">IF(AND('Planning Sheet'!BV360='Weeks Plan'!$D$6,'Planning Sheet'!BP360='Weeks Plan'!$G$6),'Planning Sheet'!$B360,"")</f>
        <v/>
      </c>
      <c r="Z2331" s="48" t="str">
        <f ca="1">IF(AND('Planning Sheet'!BV360='Weeks Plan'!$D$6,'Planning Sheet'!BP360='Weeks Plan'!$G$6),'Planning Sheet'!$BQ360,"")</f>
        <v/>
      </c>
      <c r="AA2331" s="48" t="str">
        <f ca="1">IF(AND('Planning Sheet'!BV360='Weeks Plan'!$D$6,'Planning Sheet'!BP360='Weeks Plan'!$G$6),'Planning Sheet'!$BR360,"")</f>
        <v/>
      </c>
    </row>
    <row r="2332" spans="25:27" x14ac:dyDescent="0.3">
      <c r="Y2332" s="48" t="str">
        <f ca="1">IF(AND('Planning Sheet'!BV361='Weeks Plan'!$D$6,'Planning Sheet'!BP361='Weeks Plan'!$G$6),'Planning Sheet'!$B361,"")</f>
        <v/>
      </c>
      <c r="Z2332" s="48" t="str">
        <f ca="1">IF(AND('Planning Sheet'!BV361='Weeks Plan'!$D$6,'Planning Sheet'!BP361='Weeks Plan'!$G$6),'Planning Sheet'!$BQ361,"")</f>
        <v/>
      </c>
      <c r="AA2332" s="48" t="str">
        <f ca="1">IF(AND('Planning Sheet'!BV361='Weeks Plan'!$D$6,'Planning Sheet'!BP361='Weeks Plan'!$G$6),'Planning Sheet'!$BR361,"")</f>
        <v/>
      </c>
    </row>
    <row r="2333" spans="25:27" x14ac:dyDescent="0.3">
      <c r="Y2333" s="48" t="str">
        <f ca="1">IF(AND('Planning Sheet'!BV362='Weeks Plan'!$D$6,'Planning Sheet'!BP362='Weeks Plan'!$G$6),'Planning Sheet'!$B362,"")</f>
        <v/>
      </c>
      <c r="Z2333" s="48" t="str">
        <f ca="1">IF(AND('Planning Sheet'!BV362='Weeks Plan'!$D$6,'Planning Sheet'!BP362='Weeks Plan'!$G$6),'Planning Sheet'!$BQ362,"")</f>
        <v/>
      </c>
      <c r="AA2333" s="48" t="str">
        <f ca="1">IF(AND('Planning Sheet'!BV362='Weeks Plan'!$D$6,'Planning Sheet'!BP362='Weeks Plan'!$G$6),'Planning Sheet'!$BR362,"")</f>
        <v/>
      </c>
    </row>
    <row r="2334" spans="25:27" x14ac:dyDescent="0.3">
      <c r="Y2334" s="48" t="str">
        <f ca="1">IF(AND('Planning Sheet'!BV363='Weeks Plan'!$D$6,'Planning Sheet'!BP363='Weeks Plan'!$G$6),'Planning Sheet'!$B363,"")</f>
        <v/>
      </c>
      <c r="Z2334" s="48" t="str">
        <f ca="1">IF(AND('Planning Sheet'!BV363='Weeks Plan'!$D$6,'Planning Sheet'!BP363='Weeks Plan'!$G$6),'Planning Sheet'!$BQ363,"")</f>
        <v/>
      </c>
      <c r="AA2334" s="48" t="str">
        <f ca="1">IF(AND('Planning Sheet'!BV363='Weeks Plan'!$D$6,'Planning Sheet'!BP363='Weeks Plan'!$G$6),'Planning Sheet'!$BR363,"")</f>
        <v/>
      </c>
    </row>
    <row r="2335" spans="25:27" x14ac:dyDescent="0.3">
      <c r="Y2335" s="48" t="str">
        <f ca="1">IF(AND('Planning Sheet'!BV364='Weeks Plan'!$D$6,'Planning Sheet'!BP364='Weeks Plan'!$G$6),'Planning Sheet'!$B364,"")</f>
        <v/>
      </c>
      <c r="Z2335" s="48" t="str">
        <f ca="1">IF(AND('Planning Sheet'!BV364='Weeks Plan'!$D$6,'Planning Sheet'!BP364='Weeks Plan'!$G$6),'Planning Sheet'!$BQ364,"")</f>
        <v/>
      </c>
      <c r="AA2335" s="48" t="str">
        <f ca="1">IF(AND('Planning Sheet'!BV364='Weeks Plan'!$D$6,'Planning Sheet'!BP364='Weeks Plan'!$G$6),'Planning Sheet'!$BR364,"")</f>
        <v/>
      </c>
    </row>
    <row r="2336" spans="25:27" x14ac:dyDescent="0.3">
      <c r="Y2336" s="48" t="str">
        <f ca="1">IF(AND('Planning Sheet'!BV365='Weeks Plan'!$D$6,'Planning Sheet'!BP365='Weeks Plan'!$G$6),'Planning Sheet'!$B365,"")</f>
        <v/>
      </c>
      <c r="Z2336" s="48" t="str">
        <f ca="1">IF(AND('Planning Sheet'!BV365='Weeks Plan'!$D$6,'Planning Sheet'!BP365='Weeks Plan'!$G$6),'Planning Sheet'!$BQ365,"")</f>
        <v/>
      </c>
      <c r="AA2336" s="48" t="str">
        <f ca="1">IF(AND('Planning Sheet'!BV365='Weeks Plan'!$D$6,'Planning Sheet'!BP365='Weeks Plan'!$G$6),'Planning Sheet'!$BR365,"")</f>
        <v/>
      </c>
    </row>
    <row r="2337" spans="25:27" x14ac:dyDescent="0.3">
      <c r="Y2337" s="48" t="str">
        <f ca="1">IF(AND('Planning Sheet'!BV366='Weeks Plan'!$D$6,'Planning Sheet'!BP366='Weeks Plan'!$G$6),'Planning Sheet'!$B366,"")</f>
        <v/>
      </c>
      <c r="Z2337" s="48" t="str">
        <f ca="1">IF(AND('Planning Sheet'!BV366='Weeks Plan'!$D$6,'Planning Sheet'!BP366='Weeks Plan'!$G$6),'Planning Sheet'!$BQ366,"")</f>
        <v/>
      </c>
      <c r="AA2337" s="48" t="str">
        <f ca="1">IF(AND('Planning Sheet'!BV366='Weeks Plan'!$D$6,'Planning Sheet'!BP366='Weeks Plan'!$G$6),'Planning Sheet'!$BR366,"")</f>
        <v/>
      </c>
    </row>
    <row r="2338" spans="25:27" x14ac:dyDescent="0.3">
      <c r="Y2338" s="48" t="str">
        <f ca="1">IF(AND('Planning Sheet'!BV367='Weeks Plan'!$D$6,'Planning Sheet'!BP367='Weeks Plan'!$G$6),'Planning Sheet'!$B367,"")</f>
        <v/>
      </c>
      <c r="Z2338" s="48" t="str">
        <f ca="1">IF(AND('Planning Sheet'!BV367='Weeks Plan'!$D$6,'Planning Sheet'!BP367='Weeks Plan'!$G$6),'Planning Sheet'!$BQ367,"")</f>
        <v/>
      </c>
      <c r="AA2338" s="48" t="str">
        <f ca="1">IF(AND('Planning Sheet'!BV367='Weeks Plan'!$D$6,'Planning Sheet'!BP367='Weeks Plan'!$G$6),'Planning Sheet'!$BR367,"")</f>
        <v/>
      </c>
    </row>
    <row r="2339" spans="25:27" x14ac:dyDescent="0.3">
      <c r="Y2339" s="48" t="str">
        <f ca="1">IF(AND('Planning Sheet'!BV368='Weeks Plan'!$D$6,'Planning Sheet'!BP368='Weeks Plan'!$G$6),'Planning Sheet'!$B368,"")</f>
        <v/>
      </c>
      <c r="Z2339" s="48" t="str">
        <f ca="1">IF(AND('Planning Sheet'!BV368='Weeks Plan'!$D$6,'Planning Sheet'!BP368='Weeks Plan'!$G$6),'Planning Sheet'!$BQ368,"")</f>
        <v/>
      </c>
      <c r="AA2339" s="48" t="str">
        <f ca="1">IF(AND('Planning Sheet'!BV368='Weeks Plan'!$D$6,'Planning Sheet'!BP368='Weeks Plan'!$G$6),'Planning Sheet'!$BR368,"")</f>
        <v/>
      </c>
    </row>
    <row r="2340" spans="25:27" x14ac:dyDescent="0.3">
      <c r="Y2340" s="48" t="str">
        <f ca="1">IF(AND('Planning Sheet'!BV369='Weeks Plan'!$D$6,'Planning Sheet'!BP369='Weeks Plan'!$G$6),'Planning Sheet'!$B369,"")</f>
        <v/>
      </c>
      <c r="Z2340" s="48" t="str">
        <f ca="1">IF(AND('Planning Sheet'!BV369='Weeks Plan'!$D$6,'Planning Sheet'!BP369='Weeks Plan'!$G$6),'Planning Sheet'!$BQ369,"")</f>
        <v/>
      </c>
      <c r="AA2340" s="48" t="str">
        <f ca="1">IF(AND('Planning Sheet'!BV369='Weeks Plan'!$D$6,'Planning Sheet'!BP369='Weeks Plan'!$G$6),'Planning Sheet'!$BR369,"")</f>
        <v/>
      </c>
    </row>
    <row r="2341" spans="25:27" x14ac:dyDescent="0.3">
      <c r="Y2341" s="48" t="str">
        <f ca="1">IF(AND('Planning Sheet'!BV370='Weeks Plan'!$D$6,'Planning Sheet'!BP370='Weeks Plan'!$G$6),'Planning Sheet'!$B370,"")</f>
        <v/>
      </c>
      <c r="Z2341" s="48" t="str">
        <f ca="1">IF(AND('Planning Sheet'!BV370='Weeks Plan'!$D$6,'Planning Sheet'!BP370='Weeks Plan'!$G$6),'Planning Sheet'!$BQ370,"")</f>
        <v/>
      </c>
      <c r="AA2341" s="48" t="str">
        <f ca="1">IF(AND('Planning Sheet'!BV370='Weeks Plan'!$D$6,'Planning Sheet'!BP370='Weeks Plan'!$G$6),'Planning Sheet'!$BR370,"")</f>
        <v/>
      </c>
    </row>
    <row r="2342" spans="25:27" x14ac:dyDescent="0.3">
      <c r="Y2342" s="48" t="str">
        <f ca="1">IF(AND('Planning Sheet'!BV371='Weeks Plan'!$D$6,'Planning Sheet'!BP371='Weeks Plan'!$G$6),'Planning Sheet'!$B371,"")</f>
        <v/>
      </c>
      <c r="Z2342" s="48" t="str">
        <f ca="1">IF(AND('Planning Sheet'!BV371='Weeks Plan'!$D$6,'Planning Sheet'!BP371='Weeks Plan'!$G$6),'Planning Sheet'!$BQ371,"")</f>
        <v/>
      </c>
      <c r="AA2342" s="48" t="str">
        <f ca="1">IF(AND('Planning Sheet'!BV371='Weeks Plan'!$D$6,'Planning Sheet'!BP371='Weeks Plan'!$G$6),'Planning Sheet'!$BR371,"")</f>
        <v/>
      </c>
    </row>
    <row r="2343" spans="25:27" x14ac:dyDescent="0.3">
      <c r="Y2343" s="48" t="str">
        <f ca="1">IF(AND('Planning Sheet'!BV372='Weeks Plan'!$D$6,'Planning Sheet'!BP372='Weeks Plan'!$G$6),'Planning Sheet'!$B372,"")</f>
        <v/>
      </c>
      <c r="Z2343" s="48" t="str">
        <f ca="1">IF(AND('Planning Sheet'!BV372='Weeks Plan'!$D$6,'Planning Sheet'!BP372='Weeks Plan'!$G$6),'Planning Sheet'!$BQ372,"")</f>
        <v/>
      </c>
      <c r="AA2343" s="48" t="str">
        <f ca="1">IF(AND('Planning Sheet'!BV372='Weeks Plan'!$D$6,'Planning Sheet'!BP372='Weeks Plan'!$G$6),'Planning Sheet'!$BR372,"")</f>
        <v/>
      </c>
    </row>
    <row r="2344" spans="25:27" x14ac:dyDescent="0.3">
      <c r="Y2344" s="48" t="str">
        <f ca="1">IF(AND('Planning Sheet'!BV373='Weeks Plan'!$D$6,'Planning Sheet'!BP373='Weeks Plan'!$G$6),'Planning Sheet'!$B373,"")</f>
        <v/>
      </c>
      <c r="Z2344" s="48" t="str">
        <f ca="1">IF(AND('Planning Sheet'!BV373='Weeks Plan'!$D$6,'Planning Sheet'!BP373='Weeks Plan'!$G$6),'Planning Sheet'!$BQ373,"")</f>
        <v/>
      </c>
      <c r="AA2344" s="48" t="str">
        <f ca="1">IF(AND('Planning Sheet'!BV373='Weeks Plan'!$D$6,'Planning Sheet'!BP373='Weeks Plan'!$G$6),'Planning Sheet'!$BR373,"")</f>
        <v/>
      </c>
    </row>
    <row r="2345" spans="25:27" x14ac:dyDescent="0.3">
      <c r="Y2345" s="48" t="str">
        <f ca="1">IF(AND('Planning Sheet'!BV374='Weeks Plan'!$D$6,'Planning Sheet'!BP374='Weeks Plan'!$G$6),'Planning Sheet'!$B374,"")</f>
        <v/>
      </c>
      <c r="Z2345" s="48" t="str">
        <f ca="1">IF(AND('Planning Sheet'!BV374='Weeks Plan'!$D$6,'Planning Sheet'!BP374='Weeks Plan'!$G$6),'Planning Sheet'!$BQ374,"")</f>
        <v/>
      </c>
      <c r="AA2345" s="48" t="str">
        <f ca="1">IF(AND('Planning Sheet'!BV374='Weeks Plan'!$D$6,'Planning Sheet'!BP374='Weeks Plan'!$G$6),'Planning Sheet'!$BR374,"")</f>
        <v/>
      </c>
    </row>
    <row r="2346" spans="25:27" x14ac:dyDescent="0.3">
      <c r="Y2346" s="48" t="str">
        <f ca="1">IF(AND('Planning Sheet'!BV375='Weeks Plan'!$D$6,'Planning Sheet'!BP375='Weeks Plan'!$G$6),'Planning Sheet'!$B375,"")</f>
        <v/>
      </c>
      <c r="Z2346" s="48" t="str">
        <f ca="1">IF(AND('Planning Sheet'!BV375='Weeks Plan'!$D$6,'Planning Sheet'!BP375='Weeks Plan'!$G$6),'Planning Sheet'!$BQ375,"")</f>
        <v/>
      </c>
      <c r="AA2346" s="48" t="str">
        <f ca="1">IF(AND('Planning Sheet'!BV375='Weeks Plan'!$D$6,'Planning Sheet'!BP375='Weeks Plan'!$G$6),'Planning Sheet'!$BR375,"")</f>
        <v/>
      </c>
    </row>
    <row r="2347" spans="25:27" x14ac:dyDescent="0.3">
      <c r="Y2347" s="48" t="str">
        <f ca="1">IF(AND('Planning Sheet'!BV376='Weeks Plan'!$D$6,'Planning Sheet'!BP376='Weeks Plan'!$G$6),'Planning Sheet'!$B376,"")</f>
        <v/>
      </c>
      <c r="Z2347" s="48" t="str">
        <f ca="1">IF(AND('Planning Sheet'!BV376='Weeks Plan'!$D$6,'Planning Sheet'!BP376='Weeks Plan'!$G$6),'Planning Sheet'!$BQ376,"")</f>
        <v/>
      </c>
      <c r="AA2347" s="48" t="str">
        <f ca="1">IF(AND('Planning Sheet'!BV376='Weeks Plan'!$D$6,'Planning Sheet'!BP376='Weeks Plan'!$G$6),'Planning Sheet'!$BR376,"")</f>
        <v/>
      </c>
    </row>
    <row r="2348" spans="25:27" x14ac:dyDescent="0.3">
      <c r="Y2348" s="48" t="str">
        <f ca="1">IF(AND('Planning Sheet'!BV377='Weeks Plan'!$D$6,'Planning Sheet'!BP377='Weeks Plan'!$G$6),'Planning Sheet'!$B377,"")</f>
        <v/>
      </c>
      <c r="Z2348" s="48" t="str">
        <f ca="1">IF(AND('Planning Sheet'!BV377='Weeks Plan'!$D$6,'Planning Sheet'!BP377='Weeks Plan'!$G$6),'Planning Sheet'!$BQ377,"")</f>
        <v/>
      </c>
      <c r="AA2348" s="48" t="str">
        <f ca="1">IF(AND('Planning Sheet'!BV377='Weeks Plan'!$D$6,'Planning Sheet'!BP377='Weeks Plan'!$G$6),'Planning Sheet'!$BR377,"")</f>
        <v/>
      </c>
    </row>
    <row r="2349" spans="25:27" x14ac:dyDescent="0.3">
      <c r="Y2349" s="48" t="str">
        <f ca="1">IF(AND('Planning Sheet'!BV378='Weeks Plan'!$D$6,'Planning Sheet'!BP378='Weeks Plan'!$G$6),'Planning Sheet'!$B378,"")</f>
        <v/>
      </c>
      <c r="Z2349" s="48" t="str">
        <f ca="1">IF(AND('Planning Sheet'!BV378='Weeks Plan'!$D$6,'Planning Sheet'!BP378='Weeks Plan'!$G$6),'Planning Sheet'!$BQ378,"")</f>
        <v/>
      </c>
      <c r="AA2349" s="48" t="str">
        <f ca="1">IF(AND('Planning Sheet'!BV378='Weeks Plan'!$D$6,'Planning Sheet'!BP378='Weeks Plan'!$G$6),'Planning Sheet'!$BR378,"")</f>
        <v/>
      </c>
    </row>
    <row r="2350" spans="25:27" x14ac:dyDescent="0.3">
      <c r="Y2350" s="48" t="str">
        <f ca="1">IF(AND('Planning Sheet'!BV379='Weeks Plan'!$D$6,'Planning Sheet'!BP379='Weeks Plan'!$G$6),'Planning Sheet'!$B379,"")</f>
        <v/>
      </c>
      <c r="Z2350" s="48" t="str">
        <f ca="1">IF(AND('Planning Sheet'!BV379='Weeks Plan'!$D$6,'Planning Sheet'!BP379='Weeks Plan'!$G$6),'Planning Sheet'!$BQ379,"")</f>
        <v/>
      </c>
      <c r="AA2350" s="48" t="str">
        <f ca="1">IF(AND('Planning Sheet'!BV379='Weeks Plan'!$D$6,'Planning Sheet'!BP379='Weeks Plan'!$G$6),'Planning Sheet'!$BR379,"")</f>
        <v/>
      </c>
    </row>
    <row r="2351" spans="25:27" x14ac:dyDescent="0.3">
      <c r="Y2351" s="48" t="str">
        <f ca="1">IF(AND('Planning Sheet'!BV380='Weeks Plan'!$D$6,'Planning Sheet'!BP380='Weeks Plan'!$G$6),'Planning Sheet'!$B380,"")</f>
        <v/>
      </c>
      <c r="Z2351" s="48" t="str">
        <f ca="1">IF(AND('Planning Sheet'!BV380='Weeks Plan'!$D$6,'Planning Sheet'!BP380='Weeks Plan'!$G$6),'Planning Sheet'!$BQ380,"")</f>
        <v/>
      </c>
      <c r="AA2351" s="48" t="str">
        <f ca="1">IF(AND('Planning Sheet'!BV380='Weeks Plan'!$D$6,'Planning Sheet'!BP380='Weeks Plan'!$G$6),'Planning Sheet'!$BR380,"")</f>
        <v/>
      </c>
    </row>
    <row r="2352" spans="25:27" x14ac:dyDescent="0.3">
      <c r="Y2352" s="48" t="str">
        <f ca="1">IF(AND('Planning Sheet'!BV381='Weeks Plan'!$D$6,'Planning Sheet'!BP381='Weeks Plan'!$G$6),'Planning Sheet'!$B381,"")</f>
        <v/>
      </c>
      <c r="Z2352" s="48" t="str">
        <f ca="1">IF(AND('Planning Sheet'!BV381='Weeks Plan'!$D$6,'Planning Sheet'!BP381='Weeks Plan'!$G$6),'Planning Sheet'!$BQ381,"")</f>
        <v/>
      </c>
      <c r="AA2352" s="48" t="str">
        <f ca="1">IF(AND('Planning Sheet'!BV381='Weeks Plan'!$D$6,'Planning Sheet'!BP381='Weeks Plan'!$G$6),'Planning Sheet'!$BR381,"")</f>
        <v/>
      </c>
    </row>
    <row r="2353" spans="25:27" x14ac:dyDescent="0.3">
      <c r="Y2353" s="48" t="str">
        <f ca="1">IF(AND('Planning Sheet'!BV382='Weeks Plan'!$D$6,'Planning Sheet'!BP382='Weeks Plan'!$G$6),'Planning Sheet'!$B382,"")</f>
        <v/>
      </c>
      <c r="Z2353" s="48" t="str">
        <f ca="1">IF(AND('Planning Sheet'!BV382='Weeks Plan'!$D$6,'Planning Sheet'!BP382='Weeks Plan'!$G$6),'Planning Sheet'!$BQ382,"")</f>
        <v/>
      </c>
      <c r="AA2353" s="48" t="str">
        <f ca="1">IF(AND('Planning Sheet'!BV382='Weeks Plan'!$D$6,'Planning Sheet'!BP382='Weeks Plan'!$G$6),'Planning Sheet'!$BR382,"")</f>
        <v/>
      </c>
    </row>
    <row r="2354" spans="25:27" x14ac:dyDescent="0.3">
      <c r="Y2354" s="48" t="str">
        <f ca="1">IF(AND('Planning Sheet'!BV383='Weeks Plan'!$D$6,'Planning Sheet'!BP383='Weeks Plan'!$G$6),'Planning Sheet'!$B383,"")</f>
        <v/>
      </c>
      <c r="Z2354" s="48" t="str">
        <f ca="1">IF(AND('Planning Sheet'!BV383='Weeks Plan'!$D$6,'Planning Sheet'!BP383='Weeks Plan'!$G$6),'Planning Sheet'!$BQ383,"")</f>
        <v/>
      </c>
      <c r="AA2354" s="48" t="str">
        <f ca="1">IF(AND('Planning Sheet'!BV383='Weeks Plan'!$D$6,'Planning Sheet'!BP383='Weeks Plan'!$G$6),'Planning Sheet'!$BR383,"")</f>
        <v/>
      </c>
    </row>
    <row r="2355" spans="25:27" x14ac:dyDescent="0.3">
      <c r="Y2355" s="48" t="str">
        <f ca="1">IF(AND('Planning Sheet'!BV384='Weeks Plan'!$D$6,'Planning Sheet'!BP384='Weeks Plan'!$G$6),'Planning Sheet'!$B384,"")</f>
        <v/>
      </c>
      <c r="Z2355" s="48" t="str">
        <f ca="1">IF(AND('Planning Sheet'!BV384='Weeks Plan'!$D$6,'Planning Sheet'!BP384='Weeks Plan'!$G$6),'Planning Sheet'!$BQ384,"")</f>
        <v/>
      </c>
      <c r="AA2355" s="48" t="str">
        <f ca="1">IF(AND('Planning Sheet'!BV384='Weeks Plan'!$D$6,'Planning Sheet'!BP384='Weeks Plan'!$G$6),'Planning Sheet'!$BR384,"")</f>
        <v/>
      </c>
    </row>
    <row r="2356" spans="25:27" x14ac:dyDescent="0.3">
      <c r="Y2356" s="48" t="str">
        <f ca="1">IF(AND('Planning Sheet'!BV385='Weeks Plan'!$D$6,'Planning Sheet'!BP385='Weeks Plan'!$G$6),'Planning Sheet'!$B385,"")</f>
        <v/>
      </c>
      <c r="Z2356" s="48" t="str">
        <f ca="1">IF(AND('Planning Sheet'!BV385='Weeks Plan'!$D$6,'Planning Sheet'!BP385='Weeks Plan'!$G$6),'Planning Sheet'!$BQ385,"")</f>
        <v/>
      </c>
      <c r="AA2356" s="48" t="str">
        <f ca="1">IF(AND('Planning Sheet'!BV385='Weeks Plan'!$D$6,'Planning Sheet'!BP385='Weeks Plan'!$G$6),'Planning Sheet'!$BR385,"")</f>
        <v/>
      </c>
    </row>
    <row r="2357" spans="25:27" x14ac:dyDescent="0.3">
      <c r="Y2357" s="48" t="str">
        <f ca="1">IF(AND('Planning Sheet'!BV386='Weeks Plan'!$D$6,'Planning Sheet'!BP386='Weeks Plan'!$G$6),'Planning Sheet'!$B386,"")</f>
        <v/>
      </c>
      <c r="Z2357" s="48" t="str">
        <f ca="1">IF(AND('Planning Sheet'!BV386='Weeks Plan'!$D$6,'Planning Sheet'!BP386='Weeks Plan'!$G$6),'Planning Sheet'!$BQ386,"")</f>
        <v/>
      </c>
      <c r="AA2357" s="48" t="str">
        <f ca="1">IF(AND('Planning Sheet'!BV386='Weeks Plan'!$D$6,'Planning Sheet'!BP386='Weeks Plan'!$G$6),'Planning Sheet'!$BR386,"")</f>
        <v/>
      </c>
    </row>
    <row r="2358" spans="25:27" x14ac:dyDescent="0.3">
      <c r="Y2358" s="48" t="str">
        <f ca="1">IF(AND('Planning Sheet'!BV387='Weeks Plan'!$D$6,'Planning Sheet'!BP387='Weeks Plan'!$G$6),'Planning Sheet'!$B387,"")</f>
        <v/>
      </c>
      <c r="Z2358" s="48" t="str">
        <f ca="1">IF(AND('Planning Sheet'!BV387='Weeks Plan'!$D$6,'Planning Sheet'!BP387='Weeks Plan'!$G$6),'Planning Sheet'!$BQ387,"")</f>
        <v/>
      </c>
      <c r="AA2358" s="48" t="str">
        <f ca="1">IF(AND('Planning Sheet'!BV387='Weeks Plan'!$D$6,'Planning Sheet'!BP387='Weeks Plan'!$G$6),'Planning Sheet'!$BR387,"")</f>
        <v/>
      </c>
    </row>
    <row r="2359" spans="25:27" x14ac:dyDescent="0.3">
      <c r="Y2359" s="48" t="str">
        <f ca="1">IF(AND('Planning Sheet'!BV388='Weeks Plan'!$D$6,'Planning Sheet'!BP388='Weeks Plan'!$G$6),'Planning Sheet'!$B388,"")</f>
        <v/>
      </c>
      <c r="Z2359" s="48" t="str">
        <f ca="1">IF(AND('Planning Sheet'!BV388='Weeks Plan'!$D$6,'Planning Sheet'!BP388='Weeks Plan'!$G$6),'Planning Sheet'!$BQ388,"")</f>
        <v/>
      </c>
      <c r="AA2359" s="48" t="str">
        <f ca="1">IF(AND('Planning Sheet'!BV388='Weeks Plan'!$D$6,'Planning Sheet'!BP388='Weeks Plan'!$G$6),'Planning Sheet'!$BR388,"")</f>
        <v/>
      </c>
    </row>
    <row r="2360" spans="25:27" x14ac:dyDescent="0.3">
      <c r="Y2360" s="48" t="str">
        <f ca="1">IF(AND('Planning Sheet'!BV389='Weeks Plan'!$D$6,'Planning Sheet'!BP389='Weeks Plan'!$G$6),'Planning Sheet'!$B389,"")</f>
        <v/>
      </c>
      <c r="Z2360" s="48" t="str">
        <f ca="1">IF(AND('Planning Sheet'!BV389='Weeks Plan'!$D$6,'Planning Sheet'!BP389='Weeks Plan'!$G$6),'Planning Sheet'!$BQ389,"")</f>
        <v/>
      </c>
      <c r="AA2360" s="48" t="str">
        <f ca="1">IF(AND('Planning Sheet'!BV389='Weeks Plan'!$D$6,'Planning Sheet'!BP389='Weeks Plan'!$G$6),'Planning Sheet'!$BR389,"")</f>
        <v/>
      </c>
    </row>
    <row r="2361" spans="25:27" x14ac:dyDescent="0.3">
      <c r="Y2361" s="48" t="str">
        <f ca="1">IF(AND('Planning Sheet'!BV390='Weeks Plan'!$D$6,'Planning Sheet'!BP390='Weeks Plan'!$G$6),'Planning Sheet'!$B390,"")</f>
        <v/>
      </c>
      <c r="Z2361" s="48" t="str">
        <f ca="1">IF(AND('Planning Sheet'!BV390='Weeks Plan'!$D$6,'Planning Sheet'!BP390='Weeks Plan'!$G$6),'Planning Sheet'!$BQ390,"")</f>
        <v/>
      </c>
      <c r="AA2361" s="48" t="str">
        <f ca="1">IF(AND('Planning Sheet'!BV390='Weeks Plan'!$D$6,'Planning Sheet'!BP390='Weeks Plan'!$G$6),'Planning Sheet'!$BR390,"")</f>
        <v/>
      </c>
    </row>
    <row r="2362" spans="25:27" x14ac:dyDescent="0.3">
      <c r="Y2362" s="48" t="str">
        <f ca="1">IF(AND('Planning Sheet'!BV391='Weeks Plan'!$D$6,'Planning Sheet'!BP391='Weeks Plan'!$G$6),'Planning Sheet'!$B391,"")</f>
        <v/>
      </c>
      <c r="Z2362" s="48" t="str">
        <f ca="1">IF(AND('Planning Sheet'!BV391='Weeks Plan'!$D$6,'Planning Sheet'!BP391='Weeks Plan'!$G$6),'Planning Sheet'!$BQ391,"")</f>
        <v/>
      </c>
      <c r="AA2362" s="48" t="str">
        <f ca="1">IF(AND('Planning Sheet'!BV391='Weeks Plan'!$D$6,'Planning Sheet'!BP391='Weeks Plan'!$G$6),'Planning Sheet'!$BR391,"")</f>
        <v/>
      </c>
    </row>
    <row r="2363" spans="25:27" x14ac:dyDescent="0.3">
      <c r="Y2363" s="48" t="str">
        <f ca="1">IF(AND('Planning Sheet'!BV392='Weeks Plan'!$D$6,'Planning Sheet'!BP392='Weeks Plan'!$G$6),'Planning Sheet'!$B392,"")</f>
        <v/>
      </c>
      <c r="Z2363" s="48" t="str">
        <f ca="1">IF(AND('Planning Sheet'!BV392='Weeks Plan'!$D$6,'Planning Sheet'!BP392='Weeks Plan'!$G$6),'Planning Sheet'!$BQ392,"")</f>
        <v/>
      </c>
      <c r="AA2363" s="48" t="str">
        <f ca="1">IF(AND('Planning Sheet'!BV392='Weeks Plan'!$D$6,'Planning Sheet'!BP392='Weeks Plan'!$G$6),'Planning Sheet'!$BR392,"")</f>
        <v/>
      </c>
    </row>
    <row r="2364" spans="25:27" x14ac:dyDescent="0.3">
      <c r="Y2364" s="48" t="str">
        <f ca="1">IF(AND('Planning Sheet'!BV393='Weeks Plan'!$D$6,'Planning Sheet'!BP393='Weeks Plan'!$G$6),'Planning Sheet'!$B393,"")</f>
        <v/>
      </c>
      <c r="Z2364" s="48" t="str">
        <f ca="1">IF(AND('Planning Sheet'!BV393='Weeks Plan'!$D$6,'Planning Sheet'!BP393='Weeks Plan'!$G$6),'Planning Sheet'!$BQ393,"")</f>
        <v/>
      </c>
      <c r="AA2364" s="48" t="str">
        <f ca="1">IF(AND('Planning Sheet'!BV393='Weeks Plan'!$D$6,'Planning Sheet'!BP393='Weeks Plan'!$G$6),'Planning Sheet'!$BR393,"")</f>
        <v/>
      </c>
    </row>
    <row r="2365" spans="25:27" x14ac:dyDescent="0.3">
      <c r="Y2365" s="48" t="str">
        <f ca="1">IF(AND('Planning Sheet'!BV394='Weeks Plan'!$D$6,'Planning Sheet'!BP394='Weeks Plan'!$G$6),'Planning Sheet'!$B394,"")</f>
        <v/>
      </c>
      <c r="Z2365" s="48" t="str">
        <f ca="1">IF(AND('Planning Sheet'!BV394='Weeks Plan'!$D$6,'Planning Sheet'!BP394='Weeks Plan'!$G$6),'Planning Sheet'!$BQ394,"")</f>
        <v/>
      </c>
      <c r="AA2365" s="48" t="str">
        <f ca="1">IF(AND('Planning Sheet'!BV394='Weeks Plan'!$D$6,'Planning Sheet'!BP394='Weeks Plan'!$G$6),'Planning Sheet'!$BR394,"")</f>
        <v/>
      </c>
    </row>
    <row r="2366" spans="25:27" x14ac:dyDescent="0.3">
      <c r="Y2366" s="48" t="str">
        <f ca="1">IF(AND('Planning Sheet'!BV395='Weeks Plan'!$D$6,'Planning Sheet'!BP395='Weeks Plan'!$G$6),'Planning Sheet'!$B395,"")</f>
        <v/>
      </c>
      <c r="Z2366" s="48" t="str">
        <f ca="1">IF(AND('Planning Sheet'!BV395='Weeks Plan'!$D$6,'Planning Sheet'!BP395='Weeks Plan'!$G$6),'Planning Sheet'!$BQ395,"")</f>
        <v/>
      </c>
      <c r="AA2366" s="48" t="str">
        <f ca="1">IF(AND('Planning Sheet'!BV395='Weeks Plan'!$D$6,'Planning Sheet'!BP395='Weeks Plan'!$G$6),'Planning Sheet'!$BR395,"")</f>
        <v/>
      </c>
    </row>
    <row r="2367" spans="25:27" x14ac:dyDescent="0.3">
      <c r="Y2367" s="48" t="str">
        <f ca="1">IF(AND('Planning Sheet'!BV396='Weeks Plan'!$D$6,'Planning Sheet'!BP396='Weeks Plan'!$G$6),'Planning Sheet'!$B396,"")</f>
        <v/>
      </c>
      <c r="Z2367" s="48" t="str">
        <f ca="1">IF(AND('Planning Sheet'!BV396='Weeks Plan'!$D$6,'Planning Sheet'!BP396='Weeks Plan'!$G$6),'Planning Sheet'!$BQ396,"")</f>
        <v/>
      </c>
      <c r="AA2367" s="48" t="str">
        <f ca="1">IF(AND('Planning Sheet'!BV396='Weeks Plan'!$D$6,'Planning Sheet'!BP396='Weeks Plan'!$G$6),'Planning Sheet'!$BR396,"")</f>
        <v/>
      </c>
    </row>
    <row r="2368" spans="25:27" x14ac:dyDescent="0.3">
      <c r="Y2368" s="48" t="str">
        <f ca="1">IF(AND('Planning Sheet'!BV397='Weeks Plan'!$D$6,'Planning Sheet'!BP397='Weeks Plan'!$G$6),'Planning Sheet'!$B397,"")</f>
        <v/>
      </c>
      <c r="Z2368" s="48" t="str">
        <f ca="1">IF(AND('Planning Sheet'!BV397='Weeks Plan'!$D$6,'Planning Sheet'!BP397='Weeks Plan'!$G$6),'Planning Sheet'!$BQ397,"")</f>
        <v/>
      </c>
      <c r="AA2368" s="48" t="str">
        <f ca="1">IF(AND('Planning Sheet'!BV397='Weeks Plan'!$D$6,'Planning Sheet'!BP397='Weeks Plan'!$G$6),'Planning Sheet'!$BR397,"")</f>
        <v/>
      </c>
    </row>
    <row r="2369" spans="25:27" x14ac:dyDescent="0.3">
      <c r="Y2369" s="48" t="str">
        <f ca="1">IF(AND('Planning Sheet'!BV398='Weeks Plan'!$D$6,'Planning Sheet'!BP398='Weeks Plan'!$G$6),'Planning Sheet'!$B398,"")</f>
        <v/>
      </c>
      <c r="Z2369" s="48" t="str">
        <f ca="1">IF(AND('Planning Sheet'!BV398='Weeks Plan'!$D$6,'Planning Sheet'!BP398='Weeks Plan'!$G$6),'Planning Sheet'!$BQ398,"")</f>
        <v/>
      </c>
      <c r="AA2369" s="48" t="str">
        <f ca="1">IF(AND('Planning Sheet'!BV398='Weeks Plan'!$D$6,'Planning Sheet'!BP398='Weeks Plan'!$G$6),'Planning Sheet'!$BR398,"")</f>
        <v/>
      </c>
    </row>
    <row r="2370" spans="25:27" x14ac:dyDescent="0.3">
      <c r="Y2370" s="48" t="str">
        <f ca="1">IF(AND('Planning Sheet'!BV399='Weeks Plan'!$D$6,'Planning Sheet'!BP399='Weeks Plan'!$G$6),'Planning Sheet'!$B399,"")</f>
        <v/>
      </c>
      <c r="Z2370" s="48" t="str">
        <f ca="1">IF(AND('Planning Sheet'!BV399='Weeks Plan'!$D$6,'Planning Sheet'!BP399='Weeks Plan'!$G$6),'Planning Sheet'!$BQ399,"")</f>
        <v/>
      </c>
      <c r="AA2370" s="48" t="str">
        <f ca="1">IF(AND('Planning Sheet'!BV399='Weeks Plan'!$D$6,'Planning Sheet'!BP399='Weeks Plan'!$G$6),'Planning Sheet'!$BR399,"")</f>
        <v/>
      </c>
    </row>
    <row r="2371" spans="25:27" x14ac:dyDescent="0.3">
      <c r="Y2371" s="48" t="str">
        <f ca="1">IF(AND('Planning Sheet'!BV400='Weeks Plan'!$D$6,'Planning Sheet'!BP400='Weeks Plan'!$G$6),'Planning Sheet'!$B400,"")</f>
        <v/>
      </c>
      <c r="Z2371" s="48" t="str">
        <f ca="1">IF(AND('Planning Sheet'!BV400='Weeks Plan'!$D$6,'Planning Sheet'!BP400='Weeks Plan'!$G$6),'Planning Sheet'!$BQ400,"")</f>
        <v/>
      </c>
      <c r="AA2371" s="48" t="str">
        <f ca="1">IF(AND('Planning Sheet'!BV400='Weeks Plan'!$D$6,'Planning Sheet'!BP400='Weeks Plan'!$G$6),'Planning Sheet'!$BR400,"")</f>
        <v/>
      </c>
    </row>
    <row r="2372" spans="25:27" x14ac:dyDescent="0.3">
      <c r="Y2372" s="48" t="str">
        <f ca="1">IF(AND('Planning Sheet'!BV401='Weeks Plan'!$D$6,'Planning Sheet'!BP401='Weeks Plan'!$G$6),'Planning Sheet'!$B401,"")</f>
        <v/>
      </c>
      <c r="Z2372" s="48" t="str">
        <f ca="1">IF(AND('Planning Sheet'!BV401='Weeks Plan'!$D$6,'Planning Sheet'!BP401='Weeks Plan'!$G$6),'Planning Sheet'!$BQ401,"")</f>
        <v/>
      </c>
      <c r="AA2372" s="48" t="str">
        <f ca="1">IF(AND('Planning Sheet'!BV401='Weeks Plan'!$D$6,'Planning Sheet'!BP401='Weeks Plan'!$G$6),'Planning Sheet'!$BR401,"")</f>
        <v/>
      </c>
    </row>
    <row r="2373" spans="25:27" x14ac:dyDescent="0.3">
      <c r="Y2373" s="48" t="str">
        <f ca="1">IF(AND('Planning Sheet'!BV402='Weeks Plan'!$D$6,'Planning Sheet'!BP402='Weeks Plan'!$G$6),'Planning Sheet'!$B402,"")</f>
        <v/>
      </c>
      <c r="Z2373" s="48" t="str">
        <f ca="1">IF(AND('Planning Sheet'!BV402='Weeks Plan'!$D$6,'Planning Sheet'!BP402='Weeks Plan'!$G$6),'Planning Sheet'!$BQ402,"")</f>
        <v/>
      </c>
      <c r="AA2373" s="48" t="str">
        <f ca="1">IF(AND('Planning Sheet'!BV402='Weeks Plan'!$D$6,'Planning Sheet'!BP402='Weeks Plan'!$G$6),'Planning Sheet'!$BR402,"")</f>
        <v/>
      </c>
    </row>
    <row r="2374" spans="25:27" x14ac:dyDescent="0.3">
      <c r="Y2374" s="48" t="str">
        <f ca="1">IF(AND('Planning Sheet'!BV403='Weeks Plan'!$D$6,'Planning Sheet'!BP403='Weeks Plan'!$G$6),'Planning Sheet'!$B403,"")</f>
        <v/>
      </c>
      <c r="Z2374" s="48" t="str">
        <f ca="1">IF(AND('Planning Sheet'!BV403='Weeks Plan'!$D$6,'Planning Sheet'!BP403='Weeks Plan'!$G$6),'Planning Sheet'!$BQ403,"")</f>
        <v/>
      </c>
      <c r="AA2374" s="48" t="str">
        <f ca="1">IF(AND('Planning Sheet'!BV403='Weeks Plan'!$D$6,'Planning Sheet'!BP403='Weeks Plan'!$G$6),'Planning Sheet'!$BR403,"")</f>
        <v/>
      </c>
    </row>
    <row r="2375" spans="25:27" x14ac:dyDescent="0.3">
      <c r="Y2375" s="48" t="str">
        <f ca="1">IF(AND('Planning Sheet'!BV404='Weeks Plan'!$D$6,'Planning Sheet'!BP404='Weeks Plan'!$G$6),'Planning Sheet'!$B404,"")</f>
        <v/>
      </c>
      <c r="Z2375" s="48" t="str">
        <f ca="1">IF(AND('Planning Sheet'!BV404='Weeks Plan'!$D$6,'Planning Sheet'!BP404='Weeks Plan'!$G$6),'Planning Sheet'!$BQ404,"")</f>
        <v/>
      </c>
      <c r="AA2375" s="48" t="str">
        <f ca="1">IF(AND('Planning Sheet'!BV404='Weeks Plan'!$D$6,'Planning Sheet'!BP404='Weeks Plan'!$G$6),'Planning Sheet'!$BR404,"")</f>
        <v/>
      </c>
    </row>
    <row r="2376" spans="25:27" x14ac:dyDescent="0.3">
      <c r="Y2376" s="48" t="str">
        <f ca="1">IF(AND('Planning Sheet'!BV405='Weeks Plan'!$D$6,'Planning Sheet'!BP405='Weeks Plan'!$G$6),'Planning Sheet'!$B405,"")</f>
        <v/>
      </c>
      <c r="Z2376" s="48" t="str">
        <f ca="1">IF(AND('Planning Sheet'!BV405='Weeks Plan'!$D$6,'Planning Sheet'!BP405='Weeks Plan'!$G$6),'Planning Sheet'!$BQ405,"")</f>
        <v/>
      </c>
      <c r="AA2376" s="48" t="str">
        <f ca="1">IF(AND('Planning Sheet'!BV405='Weeks Plan'!$D$6,'Planning Sheet'!BP405='Weeks Plan'!$G$6),'Planning Sheet'!$BR405,"")</f>
        <v/>
      </c>
    </row>
    <row r="2377" spans="25:27" x14ac:dyDescent="0.3">
      <c r="Y2377" s="48" t="str">
        <f ca="1">IF(AND('Planning Sheet'!BV406='Weeks Plan'!$D$6,'Planning Sheet'!BP406='Weeks Plan'!$G$6),'Planning Sheet'!$B406,"")</f>
        <v/>
      </c>
      <c r="Z2377" s="48" t="str">
        <f ca="1">IF(AND('Planning Sheet'!BV406='Weeks Plan'!$D$6,'Planning Sheet'!BP406='Weeks Plan'!$G$6),'Planning Sheet'!$BQ406,"")</f>
        <v/>
      </c>
      <c r="AA2377" s="48" t="str">
        <f ca="1">IF(AND('Planning Sheet'!BV406='Weeks Plan'!$D$6,'Planning Sheet'!BP406='Weeks Plan'!$G$6),'Planning Sheet'!$BR406,"")</f>
        <v/>
      </c>
    </row>
    <row r="2378" spans="25:27" x14ac:dyDescent="0.3">
      <c r="Y2378" s="48" t="str">
        <f ca="1">IF(AND('Planning Sheet'!BV407='Weeks Plan'!$D$6,'Planning Sheet'!BP407='Weeks Plan'!$G$6),'Planning Sheet'!$B407,"")</f>
        <v/>
      </c>
      <c r="Z2378" s="48" t="str">
        <f ca="1">IF(AND('Planning Sheet'!BV407='Weeks Plan'!$D$6,'Planning Sheet'!BP407='Weeks Plan'!$G$6),'Planning Sheet'!$BQ407,"")</f>
        <v/>
      </c>
      <c r="AA2378" s="48" t="str">
        <f ca="1">IF(AND('Planning Sheet'!BV407='Weeks Plan'!$D$6,'Planning Sheet'!BP407='Weeks Plan'!$G$6),'Planning Sheet'!$BR407,"")</f>
        <v/>
      </c>
    </row>
    <row r="2379" spans="25:27" x14ac:dyDescent="0.3">
      <c r="Y2379" s="48" t="str">
        <f ca="1">IF(AND('Planning Sheet'!BV408='Weeks Plan'!$D$6,'Planning Sheet'!BP408='Weeks Plan'!$G$6),'Planning Sheet'!$B408,"")</f>
        <v/>
      </c>
      <c r="Z2379" s="48" t="str">
        <f ca="1">IF(AND('Planning Sheet'!BV408='Weeks Plan'!$D$6,'Planning Sheet'!BP408='Weeks Plan'!$G$6),'Planning Sheet'!$BQ408,"")</f>
        <v/>
      </c>
      <c r="AA2379" s="48" t="str">
        <f ca="1">IF(AND('Planning Sheet'!BV408='Weeks Plan'!$D$6,'Planning Sheet'!BP408='Weeks Plan'!$G$6),'Planning Sheet'!$BR408,"")</f>
        <v/>
      </c>
    </row>
    <row r="2380" spans="25:27" x14ac:dyDescent="0.3">
      <c r="Y2380" s="48" t="str">
        <f ca="1">IF(AND('Planning Sheet'!BV409='Weeks Plan'!$D$6,'Planning Sheet'!BP409='Weeks Plan'!$G$6),'Planning Sheet'!$B409,"")</f>
        <v/>
      </c>
      <c r="Z2380" s="48" t="str">
        <f ca="1">IF(AND('Planning Sheet'!BV409='Weeks Plan'!$D$6,'Planning Sheet'!BP409='Weeks Plan'!$G$6),'Planning Sheet'!$BQ409,"")</f>
        <v/>
      </c>
      <c r="AA2380" s="48" t="str">
        <f ca="1">IF(AND('Planning Sheet'!BV409='Weeks Plan'!$D$6,'Planning Sheet'!BP409='Weeks Plan'!$G$6),'Planning Sheet'!$BR409,"")</f>
        <v/>
      </c>
    </row>
    <row r="2381" spans="25:27" x14ac:dyDescent="0.3">
      <c r="Y2381" s="48" t="str">
        <f ca="1">IF(AND('Planning Sheet'!BV410='Weeks Plan'!$D$6,'Planning Sheet'!BP410='Weeks Plan'!$G$6),'Planning Sheet'!$B410,"")</f>
        <v/>
      </c>
      <c r="Z2381" s="48" t="str">
        <f ca="1">IF(AND('Planning Sheet'!BV410='Weeks Plan'!$D$6,'Planning Sheet'!BP410='Weeks Plan'!$G$6),'Planning Sheet'!$BQ410,"")</f>
        <v/>
      </c>
      <c r="AA2381" s="48" t="str">
        <f ca="1">IF(AND('Planning Sheet'!BV410='Weeks Plan'!$D$6,'Planning Sheet'!BP410='Weeks Plan'!$G$6),'Planning Sheet'!$BR410,"")</f>
        <v/>
      </c>
    </row>
    <row r="2382" spans="25:27" x14ac:dyDescent="0.3">
      <c r="Y2382" s="48" t="str">
        <f ca="1">IF(AND('Planning Sheet'!BV411='Weeks Plan'!$D$6,'Planning Sheet'!BP411='Weeks Plan'!$G$6),'Planning Sheet'!$B411,"")</f>
        <v/>
      </c>
      <c r="Z2382" s="48" t="str">
        <f ca="1">IF(AND('Planning Sheet'!BV411='Weeks Plan'!$D$6,'Planning Sheet'!BP411='Weeks Plan'!$G$6),'Planning Sheet'!$BQ411,"")</f>
        <v/>
      </c>
      <c r="AA2382" s="48" t="str">
        <f ca="1">IF(AND('Planning Sheet'!BV411='Weeks Plan'!$D$6,'Planning Sheet'!BP411='Weeks Plan'!$G$6),'Planning Sheet'!$BR411,"")</f>
        <v/>
      </c>
    </row>
    <row r="2383" spans="25:27" x14ac:dyDescent="0.3">
      <c r="Y2383" s="48" t="str">
        <f ca="1">IF(AND('Planning Sheet'!BV412='Weeks Plan'!$D$6,'Planning Sheet'!BP412='Weeks Plan'!$G$6),'Planning Sheet'!$B412,"")</f>
        <v/>
      </c>
      <c r="Z2383" s="48" t="str">
        <f ca="1">IF(AND('Planning Sheet'!BV412='Weeks Plan'!$D$6,'Planning Sheet'!BP412='Weeks Plan'!$G$6),'Planning Sheet'!$BQ412,"")</f>
        <v/>
      </c>
      <c r="AA2383" s="48" t="str">
        <f ca="1">IF(AND('Planning Sheet'!BV412='Weeks Plan'!$D$6,'Planning Sheet'!BP412='Weeks Plan'!$G$6),'Planning Sheet'!$BR412,"")</f>
        <v/>
      </c>
    </row>
    <row r="2384" spans="25:27" x14ac:dyDescent="0.3">
      <c r="Y2384" s="48" t="str">
        <f ca="1">IF(AND('Planning Sheet'!BV413='Weeks Plan'!$D$6,'Planning Sheet'!BP413='Weeks Plan'!$G$6),'Planning Sheet'!$B413,"")</f>
        <v/>
      </c>
      <c r="Z2384" s="48" t="str">
        <f ca="1">IF(AND('Planning Sheet'!BV413='Weeks Plan'!$D$6,'Planning Sheet'!BP413='Weeks Plan'!$G$6),'Planning Sheet'!$BQ413,"")</f>
        <v/>
      </c>
      <c r="AA2384" s="48" t="str">
        <f ca="1">IF(AND('Planning Sheet'!BV413='Weeks Plan'!$D$6,'Planning Sheet'!BP413='Weeks Plan'!$G$6),'Planning Sheet'!$BR413,"")</f>
        <v/>
      </c>
    </row>
    <row r="2385" spans="25:27" x14ac:dyDescent="0.3">
      <c r="Y2385" s="48" t="str">
        <f ca="1">IF(AND('Planning Sheet'!BV414='Weeks Plan'!$D$6,'Planning Sheet'!BP414='Weeks Plan'!$G$6),'Planning Sheet'!$B414,"")</f>
        <v/>
      </c>
      <c r="Z2385" s="48" t="str">
        <f ca="1">IF(AND('Planning Sheet'!BV414='Weeks Plan'!$D$6,'Planning Sheet'!BP414='Weeks Plan'!$G$6),'Planning Sheet'!$BQ414,"")</f>
        <v/>
      </c>
      <c r="AA2385" s="48" t="str">
        <f ca="1">IF(AND('Planning Sheet'!BV414='Weeks Plan'!$D$6,'Planning Sheet'!BP414='Weeks Plan'!$G$6),'Planning Sheet'!$BR414,"")</f>
        <v/>
      </c>
    </row>
    <row r="2386" spans="25:27" x14ac:dyDescent="0.3">
      <c r="Y2386" s="48" t="str">
        <f ca="1">IF(AND('Planning Sheet'!BV415='Weeks Plan'!$D$6,'Planning Sheet'!BP415='Weeks Plan'!$G$6),'Planning Sheet'!$B415,"")</f>
        <v/>
      </c>
      <c r="Z2386" s="48" t="str">
        <f ca="1">IF(AND('Planning Sheet'!BV415='Weeks Plan'!$D$6,'Planning Sheet'!BP415='Weeks Plan'!$G$6),'Planning Sheet'!$BQ415,"")</f>
        <v/>
      </c>
      <c r="AA2386" s="48" t="str">
        <f ca="1">IF(AND('Planning Sheet'!BV415='Weeks Plan'!$D$6,'Planning Sheet'!BP415='Weeks Plan'!$G$6),'Planning Sheet'!$BR415,"")</f>
        <v/>
      </c>
    </row>
    <row r="2387" spans="25:27" x14ac:dyDescent="0.3">
      <c r="Y2387" s="48" t="str">
        <f ca="1">IF(AND('Planning Sheet'!BV416='Weeks Plan'!$D$6,'Planning Sheet'!BP416='Weeks Plan'!$G$6),'Planning Sheet'!$B416,"")</f>
        <v/>
      </c>
      <c r="Z2387" s="48" t="str">
        <f ca="1">IF(AND('Planning Sheet'!BV416='Weeks Plan'!$D$6,'Planning Sheet'!BP416='Weeks Plan'!$G$6),'Planning Sheet'!$BQ416,"")</f>
        <v/>
      </c>
      <c r="AA2387" s="48" t="str">
        <f ca="1">IF(AND('Planning Sheet'!BV416='Weeks Plan'!$D$6,'Planning Sheet'!BP416='Weeks Plan'!$G$6),'Planning Sheet'!$BR416,"")</f>
        <v/>
      </c>
    </row>
    <row r="2388" spans="25:27" x14ac:dyDescent="0.3">
      <c r="Y2388" s="48" t="str">
        <f ca="1">IF(AND('Planning Sheet'!BV417='Weeks Plan'!$D$6,'Planning Sheet'!BP417='Weeks Plan'!$G$6),'Planning Sheet'!$B417,"")</f>
        <v/>
      </c>
      <c r="Z2388" s="48" t="str">
        <f ca="1">IF(AND('Planning Sheet'!BV417='Weeks Plan'!$D$6,'Planning Sheet'!BP417='Weeks Plan'!$G$6),'Planning Sheet'!$BQ417,"")</f>
        <v/>
      </c>
      <c r="AA2388" s="48" t="str">
        <f ca="1">IF(AND('Planning Sheet'!BV417='Weeks Plan'!$D$6,'Planning Sheet'!BP417='Weeks Plan'!$G$6),'Planning Sheet'!$BR417,"")</f>
        <v/>
      </c>
    </row>
    <row r="2389" spans="25:27" x14ac:dyDescent="0.3">
      <c r="Y2389" s="48" t="str">
        <f ca="1">IF(AND('Planning Sheet'!BV418='Weeks Plan'!$D$6,'Planning Sheet'!BP418='Weeks Plan'!$G$6),'Planning Sheet'!$B418,"")</f>
        <v/>
      </c>
      <c r="Z2389" s="48" t="str">
        <f ca="1">IF(AND('Planning Sheet'!BV418='Weeks Plan'!$D$6,'Planning Sheet'!BP418='Weeks Plan'!$G$6),'Planning Sheet'!$BQ418,"")</f>
        <v/>
      </c>
      <c r="AA2389" s="48" t="str">
        <f ca="1">IF(AND('Planning Sheet'!BV418='Weeks Plan'!$D$6,'Planning Sheet'!BP418='Weeks Plan'!$G$6),'Planning Sheet'!$BR418,"")</f>
        <v/>
      </c>
    </row>
    <row r="2390" spans="25:27" x14ac:dyDescent="0.3">
      <c r="Y2390" s="48" t="str">
        <f ca="1">IF(AND('Planning Sheet'!BV419='Weeks Plan'!$D$6,'Planning Sheet'!BP419='Weeks Plan'!$G$6),'Planning Sheet'!$B419,"")</f>
        <v/>
      </c>
      <c r="Z2390" s="48" t="str">
        <f ca="1">IF(AND('Planning Sheet'!BV419='Weeks Plan'!$D$6,'Planning Sheet'!BP419='Weeks Plan'!$G$6),'Planning Sheet'!$BQ419,"")</f>
        <v/>
      </c>
      <c r="AA2390" s="48" t="str">
        <f ca="1">IF(AND('Planning Sheet'!BV419='Weeks Plan'!$D$6,'Planning Sheet'!BP419='Weeks Plan'!$G$6),'Planning Sheet'!$BR419,"")</f>
        <v/>
      </c>
    </row>
    <row r="2391" spans="25:27" x14ac:dyDescent="0.3">
      <c r="Y2391" s="48" t="str">
        <f ca="1">IF(AND('Planning Sheet'!BV420='Weeks Plan'!$D$6,'Planning Sheet'!BP420='Weeks Plan'!$G$6),'Planning Sheet'!$B420,"")</f>
        <v/>
      </c>
      <c r="Z2391" s="48" t="str">
        <f ca="1">IF(AND('Planning Sheet'!BV420='Weeks Plan'!$D$6,'Planning Sheet'!BP420='Weeks Plan'!$G$6),'Planning Sheet'!$BQ420,"")</f>
        <v/>
      </c>
      <c r="AA2391" s="48" t="str">
        <f ca="1">IF(AND('Planning Sheet'!BV420='Weeks Plan'!$D$6,'Planning Sheet'!BP420='Weeks Plan'!$G$6),'Planning Sheet'!$BR420,"")</f>
        <v/>
      </c>
    </row>
    <row r="2392" spans="25:27" x14ac:dyDescent="0.3">
      <c r="Y2392" s="48" t="str">
        <f ca="1">IF(AND('Planning Sheet'!BV421='Weeks Plan'!$D$6,'Planning Sheet'!BP421='Weeks Plan'!$G$6),'Planning Sheet'!$B421,"")</f>
        <v/>
      </c>
      <c r="Z2392" s="48" t="str">
        <f ca="1">IF(AND('Planning Sheet'!BV421='Weeks Plan'!$D$6,'Planning Sheet'!BP421='Weeks Plan'!$G$6),'Planning Sheet'!$BQ421,"")</f>
        <v/>
      </c>
      <c r="AA2392" s="48" t="str">
        <f ca="1">IF(AND('Planning Sheet'!BV421='Weeks Plan'!$D$6,'Planning Sheet'!BP421='Weeks Plan'!$G$6),'Planning Sheet'!$BR421,"")</f>
        <v/>
      </c>
    </row>
    <row r="2393" spans="25:27" x14ac:dyDescent="0.3">
      <c r="Y2393" s="48" t="str">
        <f ca="1">IF(AND('Planning Sheet'!BV422='Weeks Plan'!$D$6,'Planning Sheet'!BP422='Weeks Plan'!$G$6),'Planning Sheet'!$B422,"")</f>
        <v/>
      </c>
      <c r="Z2393" s="48" t="str">
        <f ca="1">IF(AND('Planning Sheet'!BV422='Weeks Plan'!$D$6,'Planning Sheet'!BP422='Weeks Plan'!$G$6),'Planning Sheet'!$BQ422,"")</f>
        <v/>
      </c>
      <c r="AA2393" s="48" t="str">
        <f ca="1">IF(AND('Planning Sheet'!BV422='Weeks Plan'!$D$6,'Planning Sheet'!BP422='Weeks Plan'!$G$6),'Planning Sheet'!$BR422,"")</f>
        <v/>
      </c>
    </row>
    <row r="2394" spans="25:27" x14ac:dyDescent="0.3">
      <c r="Y2394" s="48" t="str">
        <f ca="1">IF(AND('Planning Sheet'!BV423='Weeks Plan'!$D$6,'Planning Sheet'!BP423='Weeks Plan'!$G$6),'Planning Sheet'!$B423,"")</f>
        <v/>
      </c>
      <c r="Z2394" s="48" t="str">
        <f ca="1">IF(AND('Planning Sheet'!BV423='Weeks Plan'!$D$6,'Planning Sheet'!BP423='Weeks Plan'!$G$6),'Planning Sheet'!$BQ423,"")</f>
        <v/>
      </c>
      <c r="AA2394" s="48" t="str">
        <f ca="1">IF(AND('Planning Sheet'!BV423='Weeks Plan'!$D$6,'Planning Sheet'!BP423='Weeks Plan'!$G$6),'Planning Sheet'!$BR423,"")</f>
        <v/>
      </c>
    </row>
    <row r="2395" spans="25:27" x14ac:dyDescent="0.3">
      <c r="Y2395" s="48" t="str">
        <f ca="1">IF(AND('Planning Sheet'!BV424='Weeks Plan'!$D$6,'Planning Sheet'!BP424='Weeks Plan'!$G$6),'Planning Sheet'!$B424,"")</f>
        <v/>
      </c>
      <c r="Z2395" s="48" t="str">
        <f ca="1">IF(AND('Planning Sheet'!BV424='Weeks Plan'!$D$6,'Planning Sheet'!BP424='Weeks Plan'!$G$6),'Planning Sheet'!$BQ424,"")</f>
        <v/>
      </c>
      <c r="AA2395" s="48" t="str">
        <f ca="1">IF(AND('Planning Sheet'!BV424='Weeks Plan'!$D$6,'Planning Sheet'!BP424='Weeks Plan'!$G$6),'Planning Sheet'!$BR424,"")</f>
        <v/>
      </c>
    </row>
    <row r="2396" spans="25:27" x14ac:dyDescent="0.3">
      <c r="Y2396" s="48" t="str">
        <f ca="1">IF(AND('Planning Sheet'!BV425='Weeks Plan'!$D$6,'Planning Sheet'!BP425='Weeks Plan'!$G$6),'Planning Sheet'!$B425,"")</f>
        <v/>
      </c>
      <c r="Z2396" s="48" t="str">
        <f ca="1">IF(AND('Planning Sheet'!BV425='Weeks Plan'!$D$6,'Planning Sheet'!BP425='Weeks Plan'!$G$6),'Planning Sheet'!$BQ425,"")</f>
        <v/>
      </c>
      <c r="AA2396" s="48" t="str">
        <f ca="1">IF(AND('Planning Sheet'!BV425='Weeks Plan'!$D$6,'Planning Sheet'!BP425='Weeks Plan'!$G$6),'Planning Sheet'!$BR425,"")</f>
        <v/>
      </c>
    </row>
    <row r="2397" spans="25:27" x14ac:dyDescent="0.3">
      <c r="Y2397" s="48" t="str">
        <f ca="1">IF(AND('Planning Sheet'!BV426='Weeks Plan'!$D$6,'Planning Sheet'!BP426='Weeks Plan'!$G$6),'Planning Sheet'!$B426,"")</f>
        <v/>
      </c>
      <c r="Z2397" s="48" t="str">
        <f ca="1">IF(AND('Planning Sheet'!BV426='Weeks Plan'!$D$6,'Planning Sheet'!BP426='Weeks Plan'!$G$6),'Planning Sheet'!$BQ426,"")</f>
        <v/>
      </c>
      <c r="AA2397" s="48" t="str">
        <f ca="1">IF(AND('Planning Sheet'!BV426='Weeks Plan'!$D$6,'Planning Sheet'!BP426='Weeks Plan'!$G$6),'Planning Sheet'!$BR426,"")</f>
        <v/>
      </c>
    </row>
    <row r="2398" spans="25:27" x14ac:dyDescent="0.3">
      <c r="Y2398" s="48" t="str">
        <f ca="1">IF(AND('Planning Sheet'!BV427='Weeks Plan'!$D$6,'Planning Sheet'!BP427='Weeks Plan'!$G$6),'Planning Sheet'!$B427,"")</f>
        <v/>
      </c>
      <c r="Z2398" s="48" t="str">
        <f ca="1">IF(AND('Planning Sheet'!BV427='Weeks Plan'!$D$6,'Planning Sheet'!BP427='Weeks Plan'!$G$6),'Planning Sheet'!$BQ427,"")</f>
        <v/>
      </c>
      <c r="AA2398" s="48" t="str">
        <f ca="1">IF(AND('Planning Sheet'!BV427='Weeks Plan'!$D$6,'Planning Sheet'!BP427='Weeks Plan'!$G$6),'Planning Sheet'!$BR427,"")</f>
        <v/>
      </c>
    </row>
    <row r="2399" spans="25:27" x14ac:dyDescent="0.3">
      <c r="Y2399" s="48" t="str">
        <f ca="1">IF(AND('Planning Sheet'!BV428='Weeks Plan'!$D$6,'Planning Sheet'!BP428='Weeks Plan'!$G$6),'Planning Sheet'!$B428,"")</f>
        <v/>
      </c>
      <c r="Z2399" s="48" t="str">
        <f ca="1">IF(AND('Planning Sheet'!BV428='Weeks Plan'!$D$6,'Planning Sheet'!BP428='Weeks Plan'!$G$6),'Planning Sheet'!$BQ428,"")</f>
        <v/>
      </c>
      <c r="AA2399" s="48" t="str">
        <f ca="1">IF(AND('Planning Sheet'!BV428='Weeks Plan'!$D$6,'Planning Sheet'!BP428='Weeks Plan'!$G$6),'Planning Sheet'!$BR428,"")</f>
        <v/>
      </c>
    </row>
    <row r="2400" spans="25:27" x14ac:dyDescent="0.3">
      <c r="Y2400" s="48" t="str">
        <f ca="1">IF(AND('Planning Sheet'!BV429='Weeks Plan'!$D$6,'Planning Sheet'!BP429='Weeks Plan'!$G$6),'Planning Sheet'!$B429,"")</f>
        <v/>
      </c>
      <c r="Z2400" s="48" t="str">
        <f ca="1">IF(AND('Planning Sheet'!BV429='Weeks Plan'!$D$6,'Planning Sheet'!BP429='Weeks Plan'!$G$6),'Planning Sheet'!$BQ429,"")</f>
        <v/>
      </c>
      <c r="AA2400" s="48" t="str">
        <f ca="1">IF(AND('Planning Sheet'!BV429='Weeks Plan'!$D$6,'Planning Sheet'!BP429='Weeks Plan'!$G$6),'Planning Sheet'!$BR429,"")</f>
        <v/>
      </c>
    </row>
    <row r="2401" spans="25:27" x14ac:dyDescent="0.3">
      <c r="Y2401" s="48" t="str">
        <f ca="1">IF(AND('Planning Sheet'!BV430='Weeks Plan'!$D$6,'Planning Sheet'!BP430='Weeks Plan'!$G$6),'Planning Sheet'!$B430,"")</f>
        <v/>
      </c>
      <c r="Z2401" s="48" t="str">
        <f ca="1">IF(AND('Planning Sheet'!BV430='Weeks Plan'!$D$6,'Planning Sheet'!BP430='Weeks Plan'!$G$6),'Planning Sheet'!$BQ430,"")</f>
        <v/>
      </c>
      <c r="AA2401" s="48" t="str">
        <f ca="1">IF(AND('Planning Sheet'!BV430='Weeks Plan'!$D$6,'Planning Sheet'!BP430='Weeks Plan'!$G$6),'Planning Sheet'!$BR430,"")</f>
        <v/>
      </c>
    </row>
    <row r="2402" spans="25:27" x14ac:dyDescent="0.3">
      <c r="Y2402" s="48" t="str">
        <f ca="1">IF(AND('Planning Sheet'!BV431='Weeks Plan'!$D$6,'Planning Sheet'!BP431='Weeks Plan'!$G$6),'Planning Sheet'!$B431,"")</f>
        <v/>
      </c>
      <c r="Z2402" s="48" t="str">
        <f ca="1">IF(AND('Planning Sheet'!BV431='Weeks Plan'!$D$6,'Planning Sheet'!BP431='Weeks Plan'!$G$6),'Planning Sheet'!$BQ431,"")</f>
        <v/>
      </c>
      <c r="AA2402" s="48" t="str">
        <f ca="1">IF(AND('Planning Sheet'!BV431='Weeks Plan'!$D$6,'Planning Sheet'!BP431='Weeks Plan'!$G$6),'Planning Sheet'!$BR431,"")</f>
        <v/>
      </c>
    </row>
    <row r="2403" spans="25:27" x14ac:dyDescent="0.3">
      <c r="Y2403" s="48" t="str">
        <f ca="1">IF(AND('Planning Sheet'!BV432='Weeks Plan'!$D$6,'Planning Sheet'!BP432='Weeks Plan'!$G$6),'Planning Sheet'!$B432,"")</f>
        <v/>
      </c>
      <c r="Z2403" s="48" t="str">
        <f ca="1">IF(AND('Planning Sheet'!BV432='Weeks Plan'!$D$6,'Planning Sheet'!BP432='Weeks Plan'!$G$6),'Planning Sheet'!$BQ432,"")</f>
        <v/>
      </c>
      <c r="AA2403" s="48" t="str">
        <f ca="1">IF(AND('Planning Sheet'!BV432='Weeks Plan'!$D$6,'Planning Sheet'!BP432='Weeks Plan'!$G$6),'Planning Sheet'!$BR432,"")</f>
        <v/>
      </c>
    </row>
    <row r="2404" spans="25:27" x14ac:dyDescent="0.3">
      <c r="Y2404" s="48" t="str">
        <f ca="1">IF(AND('Planning Sheet'!BV433='Weeks Plan'!$D$6,'Planning Sheet'!BP433='Weeks Plan'!$G$6),'Planning Sheet'!$B433,"")</f>
        <v/>
      </c>
      <c r="Z2404" s="48" t="str">
        <f ca="1">IF(AND('Planning Sheet'!BV433='Weeks Plan'!$D$6,'Planning Sheet'!BP433='Weeks Plan'!$G$6),'Planning Sheet'!$BQ433,"")</f>
        <v/>
      </c>
      <c r="AA2404" s="48" t="str">
        <f ca="1">IF(AND('Planning Sheet'!BV433='Weeks Plan'!$D$6,'Planning Sheet'!BP433='Weeks Plan'!$G$6),'Planning Sheet'!$BR433,"")</f>
        <v/>
      </c>
    </row>
    <row r="2405" spans="25:27" x14ac:dyDescent="0.3">
      <c r="Y2405" s="48" t="str">
        <f ca="1">IF(AND('Planning Sheet'!BV434='Weeks Plan'!$D$6,'Planning Sheet'!BP434='Weeks Plan'!$G$6),'Planning Sheet'!$B434,"")</f>
        <v/>
      </c>
      <c r="Z2405" s="48" t="str">
        <f ca="1">IF(AND('Planning Sheet'!BV434='Weeks Plan'!$D$6,'Planning Sheet'!BP434='Weeks Plan'!$G$6),'Planning Sheet'!$BQ434,"")</f>
        <v/>
      </c>
      <c r="AA2405" s="48" t="str">
        <f ca="1">IF(AND('Planning Sheet'!BV434='Weeks Plan'!$D$6,'Planning Sheet'!BP434='Weeks Plan'!$G$6),'Planning Sheet'!$BR434,"")</f>
        <v/>
      </c>
    </row>
    <row r="2406" spans="25:27" x14ac:dyDescent="0.3">
      <c r="Y2406" s="48" t="str">
        <f ca="1">IF(AND('Planning Sheet'!BV435='Weeks Plan'!$D$6,'Planning Sheet'!BP435='Weeks Plan'!$G$6),'Planning Sheet'!$B435,"")</f>
        <v/>
      </c>
      <c r="Z2406" s="48" t="str">
        <f ca="1">IF(AND('Planning Sheet'!BV435='Weeks Plan'!$D$6,'Planning Sheet'!BP435='Weeks Plan'!$G$6),'Planning Sheet'!$BQ435,"")</f>
        <v/>
      </c>
      <c r="AA2406" s="48" t="str">
        <f ca="1">IF(AND('Planning Sheet'!BV435='Weeks Plan'!$D$6,'Planning Sheet'!BP435='Weeks Plan'!$G$6),'Planning Sheet'!$BR435,"")</f>
        <v/>
      </c>
    </row>
    <row r="2407" spans="25:27" x14ac:dyDescent="0.3">
      <c r="Y2407" s="48" t="str">
        <f ca="1">IF(AND('Planning Sheet'!BV436='Weeks Plan'!$D$6,'Planning Sheet'!BP436='Weeks Plan'!$G$6),'Planning Sheet'!$B436,"")</f>
        <v/>
      </c>
      <c r="Z2407" s="48" t="str">
        <f ca="1">IF(AND('Planning Sheet'!BV436='Weeks Plan'!$D$6,'Planning Sheet'!BP436='Weeks Plan'!$G$6),'Planning Sheet'!$BQ436,"")</f>
        <v/>
      </c>
      <c r="AA2407" s="48" t="str">
        <f ca="1">IF(AND('Planning Sheet'!BV436='Weeks Plan'!$D$6,'Planning Sheet'!BP436='Weeks Plan'!$G$6),'Planning Sheet'!$BR436,"")</f>
        <v/>
      </c>
    </row>
    <row r="2408" spans="25:27" x14ac:dyDescent="0.3">
      <c r="Y2408" s="48" t="str">
        <f ca="1">IF(AND('Planning Sheet'!BV437='Weeks Plan'!$D$6,'Planning Sheet'!BP437='Weeks Plan'!$G$6),'Planning Sheet'!$B437,"")</f>
        <v/>
      </c>
      <c r="Z2408" s="48" t="str">
        <f ca="1">IF(AND('Planning Sheet'!BV437='Weeks Plan'!$D$6,'Planning Sheet'!BP437='Weeks Plan'!$G$6),'Planning Sheet'!$BQ437,"")</f>
        <v/>
      </c>
      <c r="AA2408" s="48" t="str">
        <f ca="1">IF(AND('Planning Sheet'!BV437='Weeks Plan'!$D$6,'Planning Sheet'!BP437='Weeks Plan'!$G$6),'Planning Sheet'!$BR437,"")</f>
        <v/>
      </c>
    </row>
    <row r="2409" spans="25:27" x14ac:dyDescent="0.3">
      <c r="Y2409" s="48" t="str">
        <f ca="1">IF(AND('Planning Sheet'!BV438='Weeks Plan'!$D$6,'Planning Sheet'!BP438='Weeks Plan'!$G$6),'Planning Sheet'!$B438,"")</f>
        <v/>
      </c>
      <c r="Z2409" s="48" t="str">
        <f ca="1">IF(AND('Planning Sheet'!BV438='Weeks Plan'!$D$6,'Planning Sheet'!BP438='Weeks Plan'!$G$6),'Planning Sheet'!$BQ438,"")</f>
        <v/>
      </c>
      <c r="AA2409" s="48" t="str">
        <f ca="1">IF(AND('Planning Sheet'!BV438='Weeks Plan'!$D$6,'Planning Sheet'!BP438='Weeks Plan'!$G$6),'Planning Sheet'!$BR438,"")</f>
        <v/>
      </c>
    </row>
    <row r="2410" spans="25:27" x14ac:dyDescent="0.3">
      <c r="Y2410" s="48" t="str">
        <f ca="1">IF(AND('Planning Sheet'!BV439='Weeks Plan'!$D$6,'Planning Sheet'!BP439='Weeks Plan'!$G$6),'Planning Sheet'!$B439,"")</f>
        <v/>
      </c>
      <c r="Z2410" s="48" t="str">
        <f ca="1">IF(AND('Planning Sheet'!BV439='Weeks Plan'!$D$6,'Planning Sheet'!BP439='Weeks Plan'!$G$6),'Planning Sheet'!$BQ439,"")</f>
        <v/>
      </c>
      <c r="AA2410" s="48" t="str">
        <f ca="1">IF(AND('Planning Sheet'!BV439='Weeks Plan'!$D$6,'Planning Sheet'!BP439='Weeks Plan'!$G$6),'Planning Sheet'!$BR439,"")</f>
        <v/>
      </c>
    </row>
    <row r="2411" spans="25:27" x14ac:dyDescent="0.3">
      <c r="Y2411" s="48" t="str">
        <f ca="1">IF(AND('Planning Sheet'!BV440='Weeks Plan'!$D$6,'Planning Sheet'!BP440='Weeks Plan'!$G$6),'Planning Sheet'!$B440,"")</f>
        <v/>
      </c>
      <c r="Z2411" s="48" t="str">
        <f ca="1">IF(AND('Planning Sheet'!BV440='Weeks Plan'!$D$6,'Planning Sheet'!BP440='Weeks Plan'!$G$6),'Planning Sheet'!$BQ440,"")</f>
        <v/>
      </c>
      <c r="AA2411" s="48" t="str">
        <f ca="1">IF(AND('Planning Sheet'!BV440='Weeks Plan'!$D$6,'Planning Sheet'!BP440='Weeks Plan'!$G$6),'Planning Sheet'!$BR440,"")</f>
        <v/>
      </c>
    </row>
    <row r="2412" spans="25:27" x14ac:dyDescent="0.3">
      <c r="Y2412" s="48" t="str">
        <f ca="1">IF(AND('Planning Sheet'!BV441='Weeks Plan'!$D$6,'Planning Sheet'!BP441='Weeks Plan'!$G$6),'Planning Sheet'!$B441,"")</f>
        <v/>
      </c>
      <c r="Z2412" s="48" t="str">
        <f ca="1">IF(AND('Planning Sheet'!BV441='Weeks Plan'!$D$6,'Planning Sheet'!BP441='Weeks Plan'!$G$6),'Planning Sheet'!$BQ441,"")</f>
        <v/>
      </c>
      <c r="AA2412" s="48" t="str">
        <f ca="1">IF(AND('Planning Sheet'!BV441='Weeks Plan'!$D$6,'Planning Sheet'!BP441='Weeks Plan'!$G$6),'Planning Sheet'!$BR441,"")</f>
        <v/>
      </c>
    </row>
    <row r="2413" spans="25:27" x14ac:dyDescent="0.3">
      <c r="Y2413" s="48" t="str">
        <f ca="1">IF(AND('Planning Sheet'!BV442='Weeks Plan'!$D$6,'Planning Sheet'!BP442='Weeks Plan'!$G$6),'Planning Sheet'!$B442,"")</f>
        <v/>
      </c>
      <c r="Z2413" s="48" t="str">
        <f ca="1">IF(AND('Planning Sheet'!BV442='Weeks Plan'!$D$6,'Planning Sheet'!BP442='Weeks Plan'!$G$6),'Planning Sheet'!$BQ442,"")</f>
        <v/>
      </c>
      <c r="AA2413" s="48" t="str">
        <f ca="1">IF(AND('Planning Sheet'!BV442='Weeks Plan'!$D$6,'Planning Sheet'!BP442='Weeks Plan'!$G$6),'Planning Sheet'!$BR442,"")</f>
        <v/>
      </c>
    </row>
    <row r="2414" spans="25:27" x14ac:dyDescent="0.3">
      <c r="Y2414" s="48" t="str">
        <f ca="1">IF(AND('Planning Sheet'!BV443='Weeks Plan'!$D$6,'Planning Sheet'!BP443='Weeks Plan'!$G$6),'Planning Sheet'!$B443,"")</f>
        <v/>
      </c>
      <c r="Z2414" s="48" t="str">
        <f ca="1">IF(AND('Planning Sheet'!BV443='Weeks Plan'!$D$6,'Planning Sheet'!BP443='Weeks Plan'!$G$6),'Planning Sheet'!$BQ443,"")</f>
        <v/>
      </c>
      <c r="AA2414" s="48" t="str">
        <f ca="1">IF(AND('Planning Sheet'!BV443='Weeks Plan'!$D$6,'Planning Sheet'!BP443='Weeks Plan'!$G$6),'Planning Sheet'!$BR443,"")</f>
        <v/>
      </c>
    </row>
    <row r="2415" spans="25:27" x14ac:dyDescent="0.3">
      <c r="Y2415" s="48" t="str">
        <f ca="1">IF(AND('Planning Sheet'!BV444='Weeks Plan'!$D$6,'Planning Sheet'!BP444='Weeks Plan'!$G$6),'Planning Sheet'!$B444,"")</f>
        <v/>
      </c>
      <c r="Z2415" s="48" t="str">
        <f ca="1">IF(AND('Planning Sheet'!BV444='Weeks Plan'!$D$6,'Planning Sheet'!BP444='Weeks Plan'!$G$6),'Planning Sheet'!$BQ444,"")</f>
        <v/>
      </c>
      <c r="AA2415" s="48" t="str">
        <f ca="1">IF(AND('Planning Sheet'!BV444='Weeks Plan'!$D$6,'Planning Sheet'!BP444='Weeks Plan'!$G$6),'Planning Sheet'!$BR444,"")</f>
        <v/>
      </c>
    </row>
    <row r="2416" spans="25:27" x14ac:dyDescent="0.3">
      <c r="Y2416" s="48" t="str">
        <f ca="1">IF(AND('Planning Sheet'!BV445='Weeks Plan'!$D$6,'Planning Sheet'!BP445='Weeks Plan'!$G$6),'Planning Sheet'!$B445,"")</f>
        <v/>
      </c>
      <c r="Z2416" s="48" t="str">
        <f ca="1">IF(AND('Planning Sheet'!BV445='Weeks Plan'!$D$6,'Planning Sheet'!BP445='Weeks Plan'!$G$6),'Planning Sheet'!$BQ445,"")</f>
        <v/>
      </c>
      <c r="AA2416" s="48" t="str">
        <f ca="1">IF(AND('Planning Sheet'!BV445='Weeks Plan'!$D$6,'Planning Sheet'!BP445='Weeks Plan'!$G$6),'Planning Sheet'!$BR445,"")</f>
        <v/>
      </c>
    </row>
    <row r="2417" spans="25:27" x14ac:dyDescent="0.3">
      <c r="Y2417" s="48" t="str">
        <f ca="1">IF(AND('Planning Sheet'!BV446='Weeks Plan'!$D$6,'Planning Sheet'!BP446='Weeks Plan'!$G$6),'Planning Sheet'!$B446,"")</f>
        <v/>
      </c>
      <c r="Z2417" s="48" t="str">
        <f ca="1">IF(AND('Planning Sheet'!BV446='Weeks Plan'!$D$6,'Planning Sheet'!BP446='Weeks Plan'!$G$6),'Planning Sheet'!$BQ446,"")</f>
        <v/>
      </c>
      <c r="AA2417" s="48" t="str">
        <f ca="1">IF(AND('Planning Sheet'!BV446='Weeks Plan'!$D$6,'Planning Sheet'!BP446='Weeks Plan'!$G$6),'Planning Sheet'!$BR446,"")</f>
        <v/>
      </c>
    </row>
    <row r="2418" spans="25:27" x14ac:dyDescent="0.3">
      <c r="Y2418" s="48" t="str">
        <f ca="1">IF(AND('Planning Sheet'!BV447='Weeks Plan'!$D$6,'Planning Sheet'!BP447='Weeks Plan'!$G$6),'Planning Sheet'!$B447,"")</f>
        <v/>
      </c>
      <c r="Z2418" s="48" t="str">
        <f ca="1">IF(AND('Planning Sheet'!BV447='Weeks Plan'!$D$6,'Planning Sheet'!BP447='Weeks Plan'!$G$6),'Planning Sheet'!$BQ447,"")</f>
        <v/>
      </c>
      <c r="AA2418" s="48" t="str">
        <f ca="1">IF(AND('Planning Sheet'!BV447='Weeks Plan'!$D$6,'Planning Sheet'!BP447='Weeks Plan'!$G$6),'Planning Sheet'!$BR447,"")</f>
        <v/>
      </c>
    </row>
    <row r="2419" spans="25:27" x14ac:dyDescent="0.3">
      <c r="Y2419" s="48" t="str">
        <f ca="1">IF(AND('Planning Sheet'!BV448='Weeks Plan'!$D$6,'Planning Sheet'!BP448='Weeks Plan'!$G$6),'Planning Sheet'!$B448,"")</f>
        <v/>
      </c>
      <c r="Z2419" s="48" t="str">
        <f ca="1">IF(AND('Planning Sheet'!BV448='Weeks Plan'!$D$6,'Planning Sheet'!BP448='Weeks Plan'!$G$6),'Planning Sheet'!$BQ448,"")</f>
        <v/>
      </c>
      <c r="AA2419" s="48" t="str">
        <f ca="1">IF(AND('Planning Sheet'!BV448='Weeks Plan'!$D$6,'Planning Sheet'!BP448='Weeks Plan'!$G$6),'Planning Sheet'!$BR448,"")</f>
        <v/>
      </c>
    </row>
    <row r="2420" spans="25:27" x14ac:dyDescent="0.3">
      <c r="Y2420" s="48" t="str">
        <f ca="1">IF(AND('Planning Sheet'!BV449='Weeks Plan'!$D$6,'Planning Sheet'!BP449='Weeks Plan'!$G$6),'Planning Sheet'!$B449,"")</f>
        <v/>
      </c>
      <c r="Z2420" s="48" t="str">
        <f ca="1">IF(AND('Planning Sheet'!BV449='Weeks Plan'!$D$6,'Planning Sheet'!BP449='Weeks Plan'!$G$6),'Planning Sheet'!$BQ449,"")</f>
        <v/>
      </c>
      <c r="AA2420" s="48" t="str">
        <f ca="1">IF(AND('Planning Sheet'!BV449='Weeks Plan'!$D$6,'Planning Sheet'!BP449='Weeks Plan'!$G$6),'Planning Sheet'!$BR449,"")</f>
        <v/>
      </c>
    </row>
    <row r="2421" spans="25:27" x14ac:dyDescent="0.3">
      <c r="Y2421" s="48" t="str">
        <f ca="1">IF(AND('Planning Sheet'!BV450='Weeks Plan'!$D$6,'Planning Sheet'!BP450='Weeks Plan'!$G$6),'Planning Sheet'!$B450,"")</f>
        <v/>
      </c>
      <c r="Z2421" s="48" t="str">
        <f ca="1">IF(AND('Planning Sheet'!BV450='Weeks Plan'!$D$6,'Planning Sheet'!BP450='Weeks Plan'!$G$6),'Planning Sheet'!$BQ450,"")</f>
        <v/>
      </c>
      <c r="AA2421" s="48" t="str">
        <f ca="1">IF(AND('Planning Sheet'!BV450='Weeks Plan'!$D$6,'Planning Sheet'!BP450='Weeks Plan'!$G$6),'Planning Sheet'!$BR450,"")</f>
        <v/>
      </c>
    </row>
    <row r="2422" spans="25:27" x14ac:dyDescent="0.3">
      <c r="Y2422" s="48" t="str">
        <f ca="1">IF(AND('Planning Sheet'!BV451='Weeks Plan'!$D$6,'Planning Sheet'!BP451='Weeks Plan'!$G$6),'Planning Sheet'!$B451,"")</f>
        <v/>
      </c>
      <c r="Z2422" s="48" t="str">
        <f ca="1">IF(AND('Planning Sheet'!BV451='Weeks Plan'!$D$6,'Planning Sheet'!BP451='Weeks Plan'!$G$6),'Planning Sheet'!$BQ451,"")</f>
        <v/>
      </c>
      <c r="AA2422" s="48" t="str">
        <f ca="1">IF(AND('Planning Sheet'!BV451='Weeks Plan'!$D$6,'Planning Sheet'!BP451='Weeks Plan'!$G$6),'Planning Sheet'!$BR451,"")</f>
        <v/>
      </c>
    </row>
    <row r="2423" spans="25:27" x14ac:dyDescent="0.3">
      <c r="Y2423" s="48" t="str">
        <f ca="1">IF(AND('Planning Sheet'!BV452='Weeks Plan'!$D$6,'Planning Sheet'!BP452='Weeks Plan'!$G$6),'Planning Sheet'!$B452,"")</f>
        <v/>
      </c>
      <c r="Z2423" s="48" t="str">
        <f ca="1">IF(AND('Planning Sheet'!BV452='Weeks Plan'!$D$6,'Planning Sheet'!BP452='Weeks Plan'!$G$6),'Planning Sheet'!$BQ452,"")</f>
        <v/>
      </c>
      <c r="AA2423" s="48" t="str">
        <f ca="1">IF(AND('Planning Sheet'!BV452='Weeks Plan'!$D$6,'Planning Sheet'!BP452='Weeks Plan'!$G$6),'Planning Sheet'!$BR452,"")</f>
        <v/>
      </c>
    </row>
    <row r="2424" spans="25:27" x14ac:dyDescent="0.3">
      <c r="Y2424" s="48" t="str">
        <f ca="1">IF(AND('Planning Sheet'!BV453='Weeks Plan'!$D$6,'Planning Sheet'!BP453='Weeks Plan'!$G$6),'Planning Sheet'!$B453,"")</f>
        <v/>
      </c>
      <c r="Z2424" s="48" t="str">
        <f ca="1">IF(AND('Planning Sheet'!BV453='Weeks Plan'!$D$6,'Planning Sheet'!BP453='Weeks Plan'!$G$6),'Planning Sheet'!$BQ453,"")</f>
        <v/>
      </c>
      <c r="AA2424" s="48" t="str">
        <f ca="1">IF(AND('Planning Sheet'!BV453='Weeks Plan'!$D$6,'Planning Sheet'!BP453='Weeks Plan'!$G$6),'Planning Sheet'!$BR453,"")</f>
        <v/>
      </c>
    </row>
    <row r="2425" spans="25:27" x14ac:dyDescent="0.3">
      <c r="Y2425" s="48" t="str">
        <f ca="1">IF(AND('Planning Sheet'!BV454='Weeks Plan'!$D$6,'Planning Sheet'!BP454='Weeks Plan'!$G$6),'Planning Sheet'!$B454,"")</f>
        <v/>
      </c>
      <c r="Z2425" s="48" t="str">
        <f ca="1">IF(AND('Planning Sheet'!BV454='Weeks Plan'!$D$6,'Planning Sheet'!BP454='Weeks Plan'!$G$6),'Planning Sheet'!$BQ454,"")</f>
        <v/>
      </c>
      <c r="AA2425" s="48" t="str">
        <f ca="1">IF(AND('Planning Sheet'!BV454='Weeks Plan'!$D$6,'Planning Sheet'!BP454='Weeks Plan'!$G$6),'Planning Sheet'!$BR454,"")</f>
        <v/>
      </c>
    </row>
    <row r="2426" spans="25:27" x14ac:dyDescent="0.3">
      <c r="Y2426" s="48" t="str">
        <f ca="1">IF(AND('Planning Sheet'!BV455='Weeks Plan'!$D$6,'Planning Sheet'!BP455='Weeks Plan'!$G$6),'Planning Sheet'!$B455,"")</f>
        <v/>
      </c>
      <c r="Z2426" s="48" t="str">
        <f ca="1">IF(AND('Planning Sheet'!BV455='Weeks Plan'!$D$6,'Planning Sheet'!BP455='Weeks Plan'!$G$6),'Planning Sheet'!$BQ455,"")</f>
        <v/>
      </c>
      <c r="AA2426" s="48" t="str">
        <f ca="1">IF(AND('Planning Sheet'!BV455='Weeks Plan'!$D$6,'Planning Sheet'!BP455='Weeks Plan'!$G$6),'Planning Sheet'!$BR455,"")</f>
        <v/>
      </c>
    </row>
    <row r="2427" spans="25:27" x14ac:dyDescent="0.3">
      <c r="Y2427" s="48" t="str">
        <f ca="1">IF(AND('Planning Sheet'!BV456='Weeks Plan'!$D$6,'Planning Sheet'!BP456='Weeks Plan'!$G$6),'Planning Sheet'!$B456,"")</f>
        <v/>
      </c>
      <c r="Z2427" s="48" t="str">
        <f ca="1">IF(AND('Planning Sheet'!BV456='Weeks Plan'!$D$6,'Planning Sheet'!BP456='Weeks Plan'!$G$6),'Planning Sheet'!$BQ456,"")</f>
        <v/>
      </c>
      <c r="AA2427" s="48" t="str">
        <f ca="1">IF(AND('Planning Sheet'!BV456='Weeks Plan'!$D$6,'Planning Sheet'!BP456='Weeks Plan'!$G$6),'Planning Sheet'!$BR456,"")</f>
        <v/>
      </c>
    </row>
    <row r="2428" spans="25:27" x14ac:dyDescent="0.3">
      <c r="Y2428" s="48" t="str">
        <f ca="1">IF(AND('Planning Sheet'!BV457='Weeks Plan'!$D$6,'Planning Sheet'!BP457='Weeks Plan'!$G$6),'Planning Sheet'!$B457,"")</f>
        <v/>
      </c>
      <c r="Z2428" s="48" t="str">
        <f ca="1">IF(AND('Planning Sheet'!BV457='Weeks Plan'!$D$6,'Planning Sheet'!BP457='Weeks Plan'!$G$6),'Planning Sheet'!$BQ457,"")</f>
        <v/>
      </c>
      <c r="AA2428" s="48" t="str">
        <f ca="1">IF(AND('Planning Sheet'!BV457='Weeks Plan'!$D$6,'Planning Sheet'!BP457='Weeks Plan'!$G$6),'Planning Sheet'!$BR457,"")</f>
        <v/>
      </c>
    </row>
    <row r="2429" spans="25:27" x14ac:dyDescent="0.3">
      <c r="Y2429" s="48" t="str">
        <f ca="1">IF(AND('Planning Sheet'!BV458='Weeks Plan'!$D$6,'Planning Sheet'!BP458='Weeks Plan'!$G$6),'Planning Sheet'!$B458,"")</f>
        <v/>
      </c>
      <c r="Z2429" s="48" t="str">
        <f ca="1">IF(AND('Planning Sheet'!BV458='Weeks Plan'!$D$6,'Planning Sheet'!BP458='Weeks Plan'!$G$6),'Planning Sheet'!$BQ458,"")</f>
        <v/>
      </c>
      <c r="AA2429" s="48" t="str">
        <f ca="1">IF(AND('Planning Sheet'!BV458='Weeks Plan'!$D$6,'Planning Sheet'!BP458='Weeks Plan'!$G$6),'Planning Sheet'!$BR458,"")</f>
        <v/>
      </c>
    </row>
    <row r="2430" spans="25:27" x14ac:dyDescent="0.3">
      <c r="Y2430" s="48" t="str">
        <f ca="1">IF(AND('Planning Sheet'!BV459='Weeks Plan'!$D$6,'Planning Sheet'!BP459='Weeks Plan'!$G$6),'Planning Sheet'!$B459,"")</f>
        <v/>
      </c>
      <c r="Z2430" s="48" t="str">
        <f ca="1">IF(AND('Planning Sheet'!BV459='Weeks Plan'!$D$6,'Planning Sheet'!BP459='Weeks Plan'!$G$6),'Planning Sheet'!$BQ459,"")</f>
        <v/>
      </c>
      <c r="AA2430" s="48" t="str">
        <f ca="1">IF(AND('Planning Sheet'!BV459='Weeks Plan'!$D$6,'Planning Sheet'!BP459='Weeks Plan'!$G$6),'Planning Sheet'!$BR459,"")</f>
        <v/>
      </c>
    </row>
    <row r="2431" spans="25:27" x14ac:dyDescent="0.3">
      <c r="Y2431" s="48" t="str">
        <f ca="1">IF(AND('Planning Sheet'!BV460='Weeks Plan'!$D$6,'Planning Sheet'!BP460='Weeks Plan'!$G$6),'Planning Sheet'!$B460,"")</f>
        <v/>
      </c>
      <c r="Z2431" s="48" t="str">
        <f ca="1">IF(AND('Planning Sheet'!BV460='Weeks Plan'!$D$6,'Planning Sheet'!BP460='Weeks Plan'!$G$6),'Planning Sheet'!$BQ460,"")</f>
        <v/>
      </c>
      <c r="AA2431" s="48" t="str">
        <f ca="1">IF(AND('Planning Sheet'!BV460='Weeks Plan'!$D$6,'Planning Sheet'!BP460='Weeks Plan'!$G$6),'Planning Sheet'!$BR460,"")</f>
        <v/>
      </c>
    </row>
    <row r="2432" spans="25:27" x14ac:dyDescent="0.3">
      <c r="Y2432" s="48" t="str">
        <f ca="1">IF(AND('Planning Sheet'!BV461='Weeks Plan'!$D$6,'Planning Sheet'!BP461='Weeks Plan'!$G$6),'Planning Sheet'!$B461,"")</f>
        <v/>
      </c>
      <c r="Z2432" s="48" t="str">
        <f ca="1">IF(AND('Planning Sheet'!BV461='Weeks Plan'!$D$6,'Planning Sheet'!BP461='Weeks Plan'!$G$6),'Planning Sheet'!$BQ461,"")</f>
        <v/>
      </c>
      <c r="AA2432" s="48" t="str">
        <f ca="1">IF(AND('Planning Sheet'!BV461='Weeks Plan'!$D$6,'Planning Sheet'!BP461='Weeks Plan'!$G$6),'Planning Sheet'!$BR461,"")</f>
        <v/>
      </c>
    </row>
    <row r="2433" spans="25:27" x14ac:dyDescent="0.3">
      <c r="Y2433" s="48" t="str">
        <f ca="1">IF(AND('Planning Sheet'!BV462='Weeks Plan'!$D$6,'Planning Sheet'!BP462='Weeks Plan'!$G$6),'Planning Sheet'!$B462,"")</f>
        <v/>
      </c>
      <c r="Z2433" s="48" t="str">
        <f ca="1">IF(AND('Planning Sheet'!BV462='Weeks Plan'!$D$6,'Planning Sheet'!BP462='Weeks Plan'!$G$6),'Planning Sheet'!$BQ462,"")</f>
        <v/>
      </c>
      <c r="AA2433" s="48" t="str">
        <f ca="1">IF(AND('Planning Sheet'!BV462='Weeks Plan'!$D$6,'Planning Sheet'!BP462='Weeks Plan'!$G$6),'Planning Sheet'!$BR462,"")</f>
        <v/>
      </c>
    </row>
    <row r="2434" spans="25:27" x14ac:dyDescent="0.3">
      <c r="Y2434" s="48" t="str">
        <f ca="1">IF(AND('Planning Sheet'!BV463='Weeks Plan'!$D$6,'Planning Sheet'!BP463='Weeks Plan'!$G$6),'Planning Sheet'!$B463,"")</f>
        <v/>
      </c>
      <c r="Z2434" s="48" t="str">
        <f ca="1">IF(AND('Planning Sheet'!BV463='Weeks Plan'!$D$6,'Planning Sheet'!BP463='Weeks Plan'!$G$6),'Planning Sheet'!$BQ463,"")</f>
        <v/>
      </c>
      <c r="AA2434" s="48" t="str">
        <f ca="1">IF(AND('Planning Sheet'!BV463='Weeks Plan'!$D$6,'Planning Sheet'!BP463='Weeks Plan'!$G$6),'Planning Sheet'!$BR463,"")</f>
        <v/>
      </c>
    </row>
    <row r="2435" spans="25:27" x14ac:dyDescent="0.3">
      <c r="Y2435" s="48" t="str">
        <f ca="1">IF(AND('Planning Sheet'!BV464='Weeks Plan'!$D$6,'Planning Sheet'!BP464='Weeks Plan'!$G$6),'Planning Sheet'!$B464,"")</f>
        <v/>
      </c>
      <c r="Z2435" s="48" t="str">
        <f ca="1">IF(AND('Planning Sheet'!BV464='Weeks Plan'!$D$6,'Planning Sheet'!BP464='Weeks Plan'!$G$6),'Planning Sheet'!$BQ464,"")</f>
        <v/>
      </c>
      <c r="AA2435" s="48" t="str">
        <f ca="1">IF(AND('Planning Sheet'!BV464='Weeks Plan'!$D$6,'Planning Sheet'!BP464='Weeks Plan'!$G$6),'Planning Sheet'!$BR464,"")</f>
        <v/>
      </c>
    </row>
    <row r="2436" spans="25:27" x14ac:dyDescent="0.3">
      <c r="Y2436" s="48" t="str">
        <f ca="1">IF(AND('Planning Sheet'!BV465='Weeks Plan'!$D$6,'Planning Sheet'!BP465='Weeks Plan'!$G$6),'Planning Sheet'!$B465,"")</f>
        <v/>
      </c>
      <c r="Z2436" s="48" t="str">
        <f ca="1">IF(AND('Planning Sheet'!BV465='Weeks Plan'!$D$6,'Planning Sheet'!BP465='Weeks Plan'!$G$6),'Planning Sheet'!$BQ465,"")</f>
        <v/>
      </c>
      <c r="AA2436" s="48" t="str">
        <f ca="1">IF(AND('Planning Sheet'!BV465='Weeks Plan'!$D$6,'Planning Sheet'!BP465='Weeks Plan'!$G$6),'Planning Sheet'!$BR465,"")</f>
        <v/>
      </c>
    </row>
    <row r="2437" spans="25:27" x14ac:dyDescent="0.3">
      <c r="Y2437" s="48" t="str">
        <f ca="1">IF(AND('Planning Sheet'!BV466='Weeks Plan'!$D$6,'Planning Sheet'!BP466='Weeks Plan'!$G$6),'Planning Sheet'!$B466,"")</f>
        <v/>
      </c>
      <c r="Z2437" s="48" t="str">
        <f ca="1">IF(AND('Planning Sheet'!BV466='Weeks Plan'!$D$6,'Planning Sheet'!BP466='Weeks Plan'!$G$6),'Planning Sheet'!$BQ466,"")</f>
        <v/>
      </c>
      <c r="AA2437" s="48" t="str">
        <f ca="1">IF(AND('Planning Sheet'!BV466='Weeks Plan'!$D$6,'Planning Sheet'!BP466='Weeks Plan'!$G$6),'Planning Sheet'!$BR466,"")</f>
        <v/>
      </c>
    </row>
    <row r="2438" spans="25:27" x14ac:dyDescent="0.3">
      <c r="Y2438" s="48" t="str">
        <f ca="1">IF(AND('Planning Sheet'!BV467='Weeks Plan'!$D$6,'Planning Sheet'!BP467='Weeks Plan'!$G$6),'Planning Sheet'!$B467,"")</f>
        <v/>
      </c>
      <c r="Z2438" s="48" t="str">
        <f ca="1">IF(AND('Planning Sheet'!BV467='Weeks Plan'!$D$6,'Planning Sheet'!BP467='Weeks Plan'!$G$6),'Planning Sheet'!$BQ467,"")</f>
        <v/>
      </c>
      <c r="AA2438" s="48" t="str">
        <f ca="1">IF(AND('Planning Sheet'!BV467='Weeks Plan'!$D$6,'Planning Sheet'!BP467='Weeks Plan'!$G$6),'Planning Sheet'!$BR467,"")</f>
        <v/>
      </c>
    </row>
    <row r="2439" spans="25:27" x14ac:dyDescent="0.3">
      <c r="Y2439" s="48" t="str">
        <f ca="1">IF(AND('Planning Sheet'!BV468='Weeks Plan'!$D$6,'Planning Sheet'!BP468='Weeks Plan'!$G$6),'Planning Sheet'!$B468,"")</f>
        <v/>
      </c>
      <c r="Z2439" s="48" t="str">
        <f ca="1">IF(AND('Planning Sheet'!BV468='Weeks Plan'!$D$6,'Planning Sheet'!BP468='Weeks Plan'!$G$6),'Planning Sheet'!$BQ468,"")</f>
        <v/>
      </c>
      <c r="AA2439" s="48" t="str">
        <f ca="1">IF(AND('Planning Sheet'!BV468='Weeks Plan'!$D$6,'Planning Sheet'!BP468='Weeks Plan'!$G$6),'Planning Sheet'!$BR468,"")</f>
        <v/>
      </c>
    </row>
    <row r="2440" spans="25:27" x14ac:dyDescent="0.3">
      <c r="Y2440" s="48" t="str">
        <f ca="1">IF(AND('Planning Sheet'!BV469='Weeks Plan'!$D$6,'Planning Sheet'!BP469='Weeks Plan'!$G$6),'Planning Sheet'!$B469,"")</f>
        <v/>
      </c>
      <c r="Z2440" s="48" t="str">
        <f ca="1">IF(AND('Planning Sheet'!BV469='Weeks Plan'!$D$6,'Planning Sheet'!BP469='Weeks Plan'!$G$6),'Planning Sheet'!$BQ469,"")</f>
        <v/>
      </c>
      <c r="AA2440" s="48" t="str">
        <f ca="1">IF(AND('Planning Sheet'!BV469='Weeks Plan'!$D$6,'Planning Sheet'!BP469='Weeks Plan'!$G$6),'Planning Sheet'!$BR469,"")</f>
        <v/>
      </c>
    </row>
    <row r="2441" spans="25:27" x14ac:dyDescent="0.3">
      <c r="Y2441" s="48" t="str">
        <f ca="1">IF(AND('Planning Sheet'!BV470='Weeks Plan'!$D$6,'Planning Sheet'!BP470='Weeks Plan'!$G$6),'Planning Sheet'!$B470,"")</f>
        <v/>
      </c>
      <c r="Z2441" s="48" t="str">
        <f ca="1">IF(AND('Planning Sheet'!BV470='Weeks Plan'!$D$6,'Planning Sheet'!BP470='Weeks Plan'!$G$6),'Planning Sheet'!$BQ470,"")</f>
        <v/>
      </c>
      <c r="AA2441" s="48" t="str">
        <f ca="1">IF(AND('Planning Sheet'!BV470='Weeks Plan'!$D$6,'Planning Sheet'!BP470='Weeks Plan'!$G$6),'Planning Sheet'!$BR470,"")</f>
        <v/>
      </c>
    </row>
    <row r="2442" spans="25:27" x14ac:dyDescent="0.3">
      <c r="Y2442" s="48" t="str">
        <f ca="1">IF(AND('Planning Sheet'!BV471='Weeks Plan'!$D$6,'Planning Sheet'!BP471='Weeks Plan'!$G$6),'Planning Sheet'!$B471,"")</f>
        <v/>
      </c>
      <c r="Z2442" s="48" t="str">
        <f ca="1">IF(AND('Planning Sheet'!BV471='Weeks Plan'!$D$6,'Planning Sheet'!BP471='Weeks Plan'!$G$6),'Planning Sheet'!$BQ471,"")</f>
        <v/>
      </c>
      <c r="AA2442" s="48" t="str">
        <f ca="1">IF(AND('Planning Sheet'!BV471='Weeks Plan'!$D$6,'Planning Sheet'!BP471='Weeks Plan'!$G$6),'Planning Sheet'!$BR471,"")</f>
        <v/>
      </c>
    </row>
    <row r="2443" spans="25:27" x14ac:dyDescent="0.3">
      <c r="Y2443" s="48" t="str">
        <f ca="1">IF(AND('Planning Sheet'!BV472='Weeks Plan'!$D$6,'Planning Sheet'!BP472='Weeks Plan'!$G$6),'Planning Sheet'!$B472,"")</f>
        <v/>
      </c>
      <c r="Z2443" s="48" t="str">
        <f ca="1">IF(AND('Planning Sheet'!BV472='Weeks Plan'!$D$6,'Planning Sheet'!BP472='Weeks Plan'!$G$6),'Planning Sheet'!$BQ472,"")</f>
        <v/>
      </c>
      <c r="AA2443" s="48" t="str">
        <f ca="1">IF(AND('Planning Sheet'!BV472='Weeks Plan'!$D$6,'Planning Sheet'!BP472='Weeks Plan'!$G$6),'Planning Sheet'!$BR472,"")</f>
        <v/>
      </c>
    </row>
    <row r="2444" spans="25:27" x14ac:dyDescent="0.3">
      <c r="Y2444" s="48" t="str">
        <f ca="1">IF(AND('Planning Sheet'!BV473='Weeks Plan'!$D$6,'Planning Sheet'!BP473='Weeks Plan'!$G$6),'Planning Sheet'!$B473,"")</f>
        <v/>
      </c>
      <c r="Z2444" s="48" t="str">
        <f ca="1">IF(AND('Planning Sheet'!BV473='Weeks Plan'!$D$6,'Planning Sheet'!BP473='Weeks Plan'!$G$6),'Planning Sheet'!$BQ473,"")</f>
        <v/>
      </c>
      <c r="AA2444" s="48" t="str">
        <f ca="1">IF(AND('Planning Sheet'!BV473='Weeks Plan'!$D$6,'Planning Sheet'!BP473='Weeks Plan'!$G$6),'Planning Sheet'!$BR473,"")</f>
        <v/>
      </c>
    </row>
    <row r="2445" spans="25:27" x14ac:dyDescent="0.3">
      <c r="Y2445" s="48" t="str">
        <f ca="1">IF(AND('Planning Sheet'!BV474='Weeks Plan'!$D$6,'Planning Sheet'!BP474='Weeks Plan'!$G$6),'Planning Sheet'!$B474,"")</f>
        <v/>
      </c>
      <c r="Z2445" s="48" t="str">
        <f ca="1">IF(AND('Planning Sheet'!BV474='Weeks Plan'!$D$6,'Planning Sheet'!BP474='Weeks Plan'!$G$6),'Planning Sheet'!$BQ474,"")</f>
        <v/>
      </c>
      <c r="AA2445" s="48" t="str">
        <f ca="1">IF(AND('Planning Sheet'!BV474='Weeks Plan'!$D$6,'Planning Sheet'!BP474='Weeks Plan'!$G$6),'Planning Sheet'!$BR474,"")</f>
        <v/>
      </c>
    </row>
    <row r="2446" spans="25:27" x14ac:dyDescent="0.3">
      <c r="Y2446" s="48" t="str">
        <f ca="1">IF(AND('Planning Sheet'!BV475='Weeks Plan'!$D$6,'Planning Sheet'!BP475='Weeks Plan'!$G$6),'Planning Sheet'!$B475,"")</f>
        <v/>
      </c>
      <c r="Z2446" s="48" t="str">
        <f ca="1">IF(AND('Planning Sheet'!BV475='Weeks Plan'!$D$6,'Planning Sheet'!BP475='Weeks Plan'!$G$6),'Planning Sheet'!$BQ475,"")</f>
        <v/>
      </c>
      <c r="AA2446" s="48" t="str">
        <f ca="1">IF(AND('Planning Sheet'!BV475='Weeks Plan'!$D$6,'Planning Sheet'!BP475='Weeks Plan'!$G$6),'Planning Sheet'!$BR475,"")</f>
        <v/>
      </c>
    </row>
    <row r="2447" spans="25:27" x14ac:dyDescent="0.3">
      <c r="Y2447" s="48" t="str">
        <f ca="1">IF(AND('Planning Sheet'!BV476='Weeks Plan'!$D$6,'Planning Sheet'!BP476='Weeks Plan'!$G$6),'Planning Sheet'!$B476,"")</f>
        <v/>
      </c>
      <c r="Z2447" s="48" t="str">
        <f ca="1">IF(AND('Planning Sheet'!BV476='Weeks Plan'!$D$6,'Planning Sheet'!BP476='Weeks Plan'!$G$6),'Planning Sheet'!$BQ476,"")</f>
        <v/>
      </c>
      <c r="AA2447" s="48" t="str">
        <f ca="1">IF(AND('Planning Sheet'!BV476='Weeks Plan'!$D$6,'Planning Sheet'!BP476='Weeks Plan'!$G$6),'Planning Sheet'!$BR476,"")</f>
        <v/>
      </c>
    </row>
    <row r="2448" spans="25:27" x14ac:dyDescent="0.3">
      <c r="Y2448" s="48" t="str">
        <f ca="1">IF(AND('Planning Sheet'!BV477='Weeks Plan'!$D$6,'Planning Sheet'!BP477='Weeks Plan'!$G$6),'Planning Sheet'!$B477,"")</f>
        <v/>
      </c>
      <c r="Z2448" s="48" t="str">
        <f ca="1">IF(AND('Planning Sheet'!BV477='Weeks Plan'!$D$6,'Planning Sheet'!BP477='Weeks Plan'!$G$6),'Planning Sheet'!$BQ477,"")</f>
        <v/>
      </c>
      <c r="AA2448" s="48" t="str">
        <f ca="1">IF(AND('Planning Sheet'!BV477='Weeks Plan'!$D$6,'Planning Sheet'!BP477='Weeks Plan'!$G$6),'Planning Sheet'!$BR477,"")</f>
        <v/>
      </c>
    </row>
    <row r="2449" spans="25:27" x14ac:dyDescent="0.3">
      <c r="Y2449" s="48" t="str">
        <f ca="1">IF(AND('Planning Sheet'!BV478='Weeks Plan'!$D$6,'Planning Sheet'!BP478='Weeks Plan'!$G$6),'Planning Sheet'!$B478,"")</f>
        <v/>
      </c>
      <c r="Z2449" s="48" t="str">
        <f ca="1">IF(AND('Planning Sheet'!BV478='Weeks Plan'!$D$6,'Planning Sheet'!BP478='Weeks Plan'!$G$6),'Planning Sheet'!$BQ478,"")</f>
        <v/>
      </c>
      <c r="AA2449" s="48" t="str">
        <f ca="1">IF(AND('Planning Sheet'!BV478='Weeks Plan'!$D$6,'Planning Sheet'!BP478='Weeks Plan'!$G$6),'Planning Sheet'!$BR478,"")</f>
        <v/>
      </c>
    </row>
    <row r="2450" spans="25:27" x14ac:dyDescent="0.3">
      <c r="Y2450" s="48" t="str">
        <f ca="1">IF(AND('Planning Sheet'!BV479='Weeks Plan'!$D$6,'Planning Sheet'!BP479='Weeks Plan'!$G$6),'Planning Sheet'!$B479,"")</f>
        <v/>
      </c>
      <c r="Z2450" s="48" t="str">
        <f ca="1">IF(AND('Planning Sheet'!BV479='Weeks Plan'!$D$6,'Planning Sheet'!BP479='Weeks Plan'!$G$6),'Planning Sheet'!$BQ479,"")</f>
        <v/>
      </c>
      <c r="AA2450" s="48" t="str">
        <f ca="1">IF(AND('Planning Sheet'!BV479='Weeks Plan'!$D$6,'Planning Sheet'!BP479='Weeks Plan'!$G$6),'Planning Sheet'!$BR479,"")</f>
        <v/>
      </c>
    </row>
    <row r="2451" spans="25:27" x14ac:dyDescent="0.3">
      <c r="Y2451" s="48" t="str">
        <f ca="1">IF(AND('Planning Sheet'!BV480='Weeks Plan'!$D$6,'Planning Sheet'!BP480='Weeks Plan'!$G$6),'Planning Sheet'!$B480,"")</f>
        <v/>
      </c>
      <c r="Z2451" s="48" t="str">
        <f ca="1">IF(AND('Planning Sheet'!BV480='Weeks Plan'!$D$6,'Planning Sheet'!BP480='Weeks Plan'!$G$6),'Planning Sheet'!$BQ480,"")</f>
        <v/>
      </c>
      <c r="AA2451" s="48" t="str">
        <f ca="1">IF(AND('Planning Sheet'!BV480='Weeks Plan'!$D$6,'Planning Sheet'!BP480='Weeks Plan'!$G$6),'Planning Sheet'!$BR480,"")</f>
        <v/>
      </c>
    </row>
    <row r="2452" spans="25:27" x14ac:dyDescent="0.3">
      <c r="Y2452" s="48" t="str">
        <f ca="1">IF(AND('Planning Sheet'!BV481='Weeks Plan'!$D$6,'Planning Sheet'!BP481='Weeks Plan'!$G$6),'Planning Sheet'!$B481,"")</f>
        <v/>
      </c>
      <c r="Z2452" s="48" t="str">
        <f ca="1">IF(AND('Planning Sheet'!BV481='Weeks Plan'!$D$6,'Planning Sheet'!BP481='Weeks Plan'!$G$6),'Planning Sheet'!$BQ481,"")</f>
        <v/>
      </c>
      <c r="AA2452" s="48" t="str">
        <f ca="1">IF(AND('Planning Sheet'!BV481='Weeks Plan'!$D$6,'Planning Sheet'!BP481='Weeks Plan'!$G$6),'Planning Sheet'!$BR481,"")</f>
        <v/>
      </c>
    </row>
    <row r="2453" spans="25:27" x14ac:dyDescent="0.3">
      <c r="Y2453" s="48" t="str">
        <f ca="1">IF(AND('Planning Sheet'!BV482='Weeks Plan'!$D$6,'Planning Sheet'!BP482='Weeks Plan'!$G$6),'Planning Sheet'!$B482,"")</f>
        <v/>
      </c>
      <c r="Z2453" s="48" t="str">
        <f ca="1">IF(AND('Planning Sheet'!BV482='Weeks Plan'!$D$6,'Planning Sheet'!BP482='Weeks Plan'!$G$6),'Planning Sheet'!$BQ482,"")</f>
        <v/>
      </c>
      <c r="AA2453" s="48" t="str">
        <f ca="1">IF(AND('Planning Sheet'!BV482='Weeks Plan'!$D$6,'Planning Sheet'!BP482='Weeks Plan'!$G$6),'Planning Sheet'!$BR482,"")</f>
        <v/>
      </c>
    </row>
    <row r="2454" spans="25:27" x14ac:dyDescent="0.3">
      <c r="Y2454" s="48" t="str">
        <f ca="1">IF(AND('Planning Sheet'!BV483='Weeks Plan'!$D$6,'Planning Sheet'!BP483='Weeks Plan'!$G$6),'Planning Sheet'!$B483,"")</f>
        <v/>
      </c>
      <c r="Z2454" s="48" t="str">
        <f ca="1">IF(AND('Planning Sheet'!BV483='Weeks Plan'!$D$6,'Planning Sheet'!BP483='Weeks Plan'!$G$6),'Planning Sheet'!$BQ483,"")</f>
        <v/>
      </c>
      <c r="AA2454" s="48" t="str">
        <f ca="1">IF(AND('Planning Sheet'!BV483='Weeks Plan'!$D$6,'Planning Sheet'!BP483='Weeks Plan'!$G$6),'Planning Sheet'!$BR483,"")</f>
        <v/>
      </c>
    </row>
    <row r="2455" spans="25:27" x14ac:dyDescent="0.3">
      <c r="Y2455" s="48" t="str">
        <f ca="1">IF(AND('Planning Sheet'!BV484='Weeks Plan'!$D$6,'Planning Sheet'!BP484='Weeks Plan'!$G$6),'Planning Sheet'!$B484,"")</f>
        <v/>
      </c>
      <c r="Z2455" s="48" t="str">
        <f ca="1">IF(AND('Planning Sheet'!BV484='Weeks Plan'!$D$6,'Planning Sheet'!BP484='Weeks Plan'!$G$6),'Planning Sheet'!$BQ484,"")</f>
        <v/>
      </c>
      <c r="AA2455" s="48" t="str">
        <f ca="1">IF(AND('Planning Sheet'!BV484='Weeks Plan'!$D$6,'Planning Sheet'!BP484='Weeks Plan'!$G$6),'Planning Sheet'!$BR484,"")</f>
        <v/>
      </c>
    </row>
    <row r="2456" spans="25:27" x14ac:dyDescent="0.3">
      <c r="Y2456" s="48" t="str">
        <f ca="1">IF(AND('Planning Sheet'!BV485='Weeks Plan'!$D$6,'Planning Sheet'!BP485='Weeks Plan'!$G$6),'Planning Sheet'!$B485,"")</f>
        <v/>
      </c>
      <c r="Z2456" s="48" t="str">
        <f ca="1">IF(AND('Planning Sheet'!BV485='Weeks Plan'!$D$6,'Planning Sheet'!BP485='Weeks Plan'!$G$6),'Planning Sheet'!$BQ485,"")</f>
        <v/>
      </c>
      <c r="AA2456" s="48" t="str">
        <f ca="1">IF(AND('Planning Sheet'!BV485='Weeks Plan'!$D$6,'Planning Sheet'!BP485='Weeks Plan'!$G$6),'Planning Sheet'!$BR485,"")</f>
        <v/>
      </c>
    </row>
    <row r="2457" spans="25:27" x14ac:dyDescent="0.3">
      <c r="Y2457" s="48" t="str">
        <f ca="1">IF(AND('Planning Sheet'!BV486='Weeks Plan'!$D$6,'Planning Sheet'!BP486='Weeks Plan'!$G$6),'Planning Sheet'!$B486,"")</f>
        <v/>
      </c>
      <c r="Z2457" s="48" t="str">
        <f ca="1">IF(AND('Planning Sheet'!BV486='Weeks Plan'!$D$6,'Planning Sheet'!BP486='Weeks Plan'!$G$6),'Planning Sheet'!$BQ486,"")</f>
        <v/>
      </c>
      <c r="AA2457" s="48" t="str">
        <f ca="1">IF(AND('Planning Sheet'!BV486='Weeks Plan'!$D$6,'Planning Sheet'!BP486='Weeks Plan'!$G$6),'Planning Sheet'!$BR486,"")</f>
        <v/>
      </c>
    </row>
    <row r="2458" spans="25:27" x14ac:dyDescent="0.3">
      <c r="Y2458" s="48" t="str">
        <f ca="1">IF(AND('Planning Sheet'!BV487='Weeks Plan'!$D$6,'Planning Sheet'!BP487='Weeks Plan'!$G$6),'Planning Sheet'!$B487,"")</f>
        <v/>
      </c>
      <c r="Z2458" s="48" t="str">
        <f ca="1">IF(AND('Planning Sheet'!BV487='Weeks Plan'!$D$6,'Planning Sheet'!BP487='Weeks Plan'!$G$6),'Planning Sheet'!$BQ487,"")</f>
        <v/>
      </c>
      <c r="AA2458" s="48" t="str">
        <f ca="1">IF(AND('Planning Sheet'!BV487='Weeks Plan'!$D$6,'Planning Sheet'!BP487='Weeks Plan'!$G$6),'Planning Sheet'!$BR487,"")</f>
        <v/>
      </c>
    </row>
    <row r="2459" spans="25:27" x14ac:dyDescent="0.3">
      <c r="Y2459" s="48" t="str">
        <f ca="1">IF(AND('Planning Sheet'!BV488='Weeks Plan'!$D$6,'Planning Sheet'!BP488='Weeks Plan'!$G$6),'Planning Sheet'!$B488,"")</f>
        <v/>
      </c>
      <c r="Z2459" s="48" t="str">
        <f ca="1">IF(AND('Planning Sheet'!BV488='Weeks Plan'!$D$6,'Planning Sheet'!BP488='Weeks Plan'!$G$6),'Planning Sheet'!$BQ488,"")</f>
        <v/>
      </c>
      <c r="AA2459" s="48" t="str">
        <f ca="1">IF(AND('Planning Sheet'!BV488='Weeks Plan'!$D$6,'Planning Sheet'!BP488='Weeks Plan'!$G$6),'Planning Sheet'!$BR488,"")</f>
        <v/>
      </c>
    </row>
    <row r="2460" spans="25:27" x14ac:dyDescent="0.3">
      <c r="Y2460" s="48" t="str">
        <f ca="1">IF(AND('Planning Sheet'!BV489='Weeks Plan'!$D$6,'Planning Sheet'!BP489='Weeks Plan'!$G$6),'Planning Sheet'!$B489,"")</f>
        <v/>
      </c>
      <c r="Z2460" s="48" t="str">
        <f ca="1">IF(AND('Planning Sheet'!BV489='Weeks Plan'!$D$6,'Planning Sheet'!BP489='Weeks Plan'!$G$6),'Planning Sheet'!$BQ489,"")</f>
        <v/>
      </c>
      <c r="AA2460" s="48" t="str">
        <f ca="1">IF(AND('Planning Sheet'!BV489='Weeks Plan'!$D$6,'Planning Sheet'!BP489='Weeks Plan'!$G$6),'Planning Sheet'!$BR489,"")</f>
        <v/>
      </c>
    </row>
    <row r="2461" spans="25:27" x14ac:dyDescent="0.3">
      <c r="Y2461" s="48" t="str">
        <f ca="1">IF(AND('Planning Sheet'!BV490='Weeks Plan'!$D$6,'Planning Sheet'!BP490='Weeks Plan'!$G$6),'Planning Sheet'!$B490,"")</f>
        <v/>
      </c>
      <c r="Z2461" s="48" t="str">
        <f ca="1">IF(AND('Planning Sheet'!BV490='Weeks Plan'!$D$6,'Planning Sheet'!BP490='Weeks Plan'!$G$6),'Planning Sheet'!$BQ490,"")</f>
        <v/>
      </c>
      <c r="AA2461" s="48" t="str">
        <f ca="1">IF(AND('Planning Sheet'!BV490='Weeks Plan'!$D$6,'Planning Sheet'!BP490='Weeks Plan'!$G$6),'Planning Sheet'!$BR490,"")</f>
        <v/>
      </c>
    </row>
    <row r="2462" spans="25:27" x14ac:dyDescent="0.3">
      <c r="Y2462" s="48" t="str">
        <f ca="1">IF(AND('Planning Sheet'!BV491='Weeks Plan'!$D$6,'Planning Sheet'!BP491='Weeks Plan'!$G$6),'Planning Sheet'!$B491,"")</f>
        <v/>
      </c>
      <c r="Z2462" s="48" t="str">
        <f ca="1">IF(AND('Planning Sheet'!BV491='Weeks Plan'!$D$6,'Planning Sheet'!BP491='Weeks Plan'!$G$6),'Planning Sheet'!$BQ491,"")</f>
        <v/>
      </c>
      <c r="AA2462" s="48" t="str">
        <f ca="1">IF(AND('Planning Sheet'!BV491='Weeks Plan'!$D$6,'Planning Sheet'!BP491='Weeks Plan'!$G$6),'Planning Sheet'!$BR491,"")</f>
        <v/>
      </c>
    </row>
    <row r="2463" spans="25:27" x14ac:dyDescent="0.3">
      <c r="Y2463" s="48" t="str">
        <f ca="1">IF(AND('Planning Sheet'!BV492='Weeks Plan'!$D$6,'Planning Sheet'!BP492='Weeks Plan'!$G$6),'Planning Sheet'!$B492,"")</f>
        <v/>
      </c>
      <c r="Z2463" s="48" t="str">
        <f ca="1">IF(AND('Planning Sheet'!BV492='Weeks Plan'!$D$6,'Planning Sheet'!BP492='Weeks Plan'!$G$6),'Planning Sheet'!$BQ492,"")</f>
        <v/>
      </c>
      <c r="AA2463" s="48" t="str">
        <f ca="1">IF(AND('Planning Sheet'!BV492='Weeks Plan'!$D$6,'Planning Sheet'!BP492='Weeks Plan'!$G$6),'Planning Sheet'!$BR492,"")</f>
        <v/>
      </c>
    </row>
    <row r="2464" spans="25:27" x14ac:dyDescent="0.3">
      <c r="Y2464" s="48" t="str">
        <f ca="1">IF(AND('Planning Sheet'!BV493='Weeks Plan'!$D$6,'Planning Sheet'!BP493='Weeks Plan'!$G$6),'Planning Sheet'!$B493,"")</f>
        <v/>
      </c>
      <c r="Z2464" s="48" t="str">
        <f ca="1">IF(AND('Planning Sheet'!BV493='Weeks Plan'!$D$6,'Planning Sheet'!BP493='Weeks Plan'!$G$6),'Planning Sheet'!$BQ493,"")</f>
        <v/>
      </c>
      <c r="AA2464" s="48" t="str">
        <f ca="1">IF(AND('Planning Sheet'!BV493='Weeks Plan'!$D$6,'Planning Sheet'!BP493='Weeks Plan'!$G$6),'Planning Sheet'!$BR493,"")</f>
        <v/>
      </c>
    </row>
    <row r="2465" spans="25:27" x14ac:dyDescent="0.3">
      <c r="Y2465" s="48" t="str">
        <f ca="1">IF(AND('Planning Sheet'!BV494='Weeks Plan'!$D$6,'Planning Sheet'!BP494='Weeks Plan'!$G$6),'Planning Sheet'!$B494,"")</f>
        <v/>
      </c>
      <c r="Z2465" s="48" t="str">
        <f ca="1">IF(AND('Planning Sheet'!BV494='Weeks Plan'!$D$6,'Planning Sheet'!BP494='Weeks Plan'!$G$6),'Planning Sheet'!$BQ494,"")</f>
        <v/>
      </c>
      <c r="AA2465" s="48" t="str">
        <f ca="1">IF(AND('Planning Sheet'!BV494='Weeks Plan'!$D$6,'Planning Sheet'!BP494='Weeks Plan'!$G$6),'Planning Sheet'!$BR494,"")</f>
        <v/>
      </c>
    </row>
    <row r="2466" spans="25:27" x14ac:dyDescent="0.3">
      <c r="Y2466" s="48" t="str">
        <f ca="1">IF(AND('Planning Sheet'!BV495='Weeks Plan'!$D$6,'Planning Sheet'!BP495='Weeks Plan'!$G$6),'Planning Sheet'!$B495,"")</f>
        <v/>
      </c>
      <c r="Z2466" s="48" t="str">
        <f ca="1">IF(AND('Planning Sheet'!BV495='Weeks Plan'!$D$6,'Planning Sheet'!BP495='Weeks Plan'!$G$6),'Planning Sheet'!$BQ495,"")</f>
        <v/>
      </c>
      <c r="AA2466" s="48" t="str">
        <f ca="1">IF(AND('Planning Sheet'!BV495='Weeks Plan'!$D$6,'Planning Sheet'!BP495='Weeks Plan'!$G$6),'Planning Sheet'!$BR495,"")</f>
        <v/>
      </c>
    </row>
    <row r="2467" spans="25:27" x14ac:dyDescent="0.3">
      <c r="Y2467" s="48" t="str">
        <f ca="1">IF(AND('Planning Sheet'!BV496='Weeks Plan'!$D$6,'Planning Sheet'!BP496='Weeks Plan'!$G$6),'Planning Sheet'!$B496,"")</f>
        <v/>
      </c>
      <c r="Z2467" s="48" t="str">
        <f ca="1">IF(AND('Planning Sheet'!BV496='Weeks Plan'!$D$6,'Planning Sheet'!BP496='Weeks Plan'!$G$6),'Planning Sheet'!$BQ496,"")</f>
        <v/>
      </c>
      <c r="AA2467" s="48" t="str">
        <f ca="1">IF(AND('Planning Sheet'!BV496='Weeks Plan'!$D$6,'Planning Sheet'!BP496='Weeks Plan'!$G$6),'Planning Sheet'!$BR496,"")</f>
        <v/>
      </c>
    </row>
    <row r="2468" spans="25:27" x14ac:dyDescent="0.3">
      <c r="Y2468" s="48" t="str">
        <f ca="1">IF(AND('Planning Sheet'!BV497='Weeks Plan'!$D$6,'Planning Sheet'!BP497='Weeks Plan'!$G$6),'Planning Sheet'!$B497,"")</f>
        <v/>
      </c>
      <c r="Z2468" s="48" t="str">
        <f ca="1">IF(AND('Planning Sheet'!BV497='Weeks Plan'!$D$6,'Planning Sheet'!BP497='Weeks Plan'!$G$6),'Planning Sheet'!$BQ497,"")</f>
        <v/>
      </c>
      <c r="AA2468" s="48" t="str">
        <f ca="1">IF(AND('Planning Sheet'!BV497='Weeks Plan'!$D$6,'Planning Sheet'!BP497='Weeks Plan'!$G$6),'Planning Sheet'!$BR497,"")</f>
        <v/>
      </c>
    </row>
    <row r="2469" spans="25:27" x14ac:dyDescent="0.3">
      <c r="Y2469" s="48" t="str">
        <f ca="1">IF(AND('Planning Sheet'!BV498='Weeks Plan'!$D$6,'Planning Sheet'!BP498='Weeks Plan'!$G$6),'Planning Sheet'!$B498,"")</f>
        <v/>
      </c>
      <c r="Z2469" s="48" t="str">
        <f ca="1">IF(AND('Planning Sheet'!BV498='Weeks Plan'!$D$6,'Planning Sheet'!BP498='Weeks Plan'!$G$6),'Planning Sheet'!$BQ498,"")</f>
        <v/>
      </c>
      <c r="AA2469" s="48" t="str">
        <f ca="1">IF(AND('Planning Sheet'!BV498='Weeks Plan'!$D$6,'Planning Sheet'!BP498='Weeks Plan'!$G$6),'Planning Sheet'!$BR498,"")</f>
        <v/>
      </c>
    </row>
    <row r="2470" spans="25:27" x14ac:dyDescent="0.3">
      <c r="Y2470" s="48" t="str">
        <f ca="1">IF(AND('Planning Sheet'!BV499='Weeks Plan'!$D$6,'Planning Sheet'!BP499='Weeks Plan'!$G$6),'Planning Sheet'!$B499,"")</f>
        <v/>
      </c>
      <c r="Z2470" s="48" t="str">
        <f ca="1">IF(AND('Planning Sheet'!BV499='Weeks Plan'!$D$6,'Planning Sheet'!BP499='Weeks Plan'!$G$6),'Planning Sheet'!$BQ499,"")</f>
        <v/>
      </c>
      <c r="AA2470" s="48" t="str">
        <f ca="1">IF(AND('Planning Sheet'!BV499='Weeks Plan'!$D$6,'Planning Sheet'!BP499='Weeks Plan'!$G$6),'Planning Sheet'!$BR499,"")</f>
        <v/>
      </c>
    </row>
    <row r="2471" spans="25:27" x14ac:dyDescent="0.3">
      <c r="Y2471" s="48" t="str">
        <f ca="1">IF(AND('Planning Sheet'!BV500='Weeks Plan'!$D$6,'Planning Sheet'!BP500='Weeks Plan'!$G$6),'Planning Sheet'!$B500,"")</f>
        <v/>
      </c>
      <c r="Z2471" s="48" t="str">
        <f ca="1">IF(AND('Planning Sheet'!BV500='Weeks Plan'!$D$6,'Planning Sheet'!BP500='Weeks Plan'!$G$6),'Planning Sheet'!$BQ500,"")</f>
        <v/>
      </c>
      <c r="AA2471" s="48" t="str">
        <f ca="1">IF(AND('Planning Sheet'!BV500='Weeks Plan'!$D$6,'Planning Sheet'!BP500='Weeks Plan'!$G$6),'Planning Sheet'!$BR500,"")</f>
        <v/>
      </c>
    </row>
    <row r="2473" spans="25:27" x14ac:dyDescent="0.3">
      <c r="Y2473" s="47" t="str">
        <f ca="1">IF(AND('Planning Sheet'!CC8='Weeks Plan'!$D$6,'Planning Sheet'!BW8='Weeks Plan'!$G$6),'Planning Sheet'!$B8,"")</f>
        <v/>
      </c>
      <c r="Z2473" s="47" t="str">
        <f ca="1">IF(AND('Planning Sheet'!CC8='Weeks Plan'!$D$6,'Planning Sheet'!BW8='Weeks Plan'!$G$6),'Planning Sheet'!$BX8,"")</f>
        <v/>
      </c>
      <c r="AA2473" s="47" t="str">
        <f ca="1">IF(AND('Planning Sheet'!CC8='Weeks Plan'!$D$6,'Planning Sheet'!BW8='Weeks Plan'!$G$6),'Planning Sheet'!$BY8,"")</f>
        <v/>
      </c>
    </row>
    <row r="2474" spans="25:27" x14ac:dyDescent="0.3">
      <c r="Y2474" s="48" t="str">
        <f ca="1">IF(AND('Planning Sheet'!CC9='Weeks Plan'!$D$6,'Planning Sheet'!BW9='Weeks Plan'!$G$6),'Planning Sheet'!$B9,"")</f>
        <v/>
      </c>
      <c r="Z2474" s="48" t="str">
        <f ca="1">IF(AND('Planning Sheet'!CC9='Weeks Plan'!$D$6,'Planning Sheet'!BW9='Weeks Plan'!$G$6),'Planning Sheet'!$BX9,"")</f>
        <v/>
      </c>
      <c r="AA2474" s="48" t="str">
        <f ca="1">IF(AND('Planning Sheet'!CC9='Weeks Plan'!$D$6,'Planning Sheet'!BW9='Weeks Plan'!$G$6),'Planning Sheet'!$BY9,"")</f>
        <v/>
      </c>
    </row>
    <row r="2475" spans="25:27" x14ac:dyDescent="0.3">
      <c r="Y2475" s="48" t="str">
        <f ca="1">IF(AND('Planning Sheet'!CC10='Weeks Plan'!$D$6,'Planning Sheet'!BW10='Weeks Plan'!$G$6),'Planning Sheet'!$B10,"")</f>
        <v/>
      </c>
      <c r="Z2475" s="48" t="str">
        <f ca="1">IF(AND('Planning Sheet'!CC10='Weeks Plan'!$D$6,'Planning Sheet'!BW10='Weeks Plan'!$G$6),'Planning Sheet'!$BX10,"")</f>
        <v/>
      </c>
      <c r="AA2475" s="48" t="str">
        <f ca="1">IF(AND('Planning Sheet'!CC10='Weeks Plan'!$D$6,'Planning Sheet'!BW10='Weeks Plan'!$G$6),'Planning Sheet'!$BY10,"")</f>
        <v/>
      </c>
    </row>
    <row r="2476" spans="25:27" x14ac:dyDescent="0.3">
      <c r="Y2476" s="48" t="str">
        <f ca="1">IF(AND('Planning Sheet'!CC11='Weeks Plan'!$D$6,'Planning Sheet'!BW11='Weeks Plan'!$G$6),'Planning Sheet'!$B11,"")</f>
        <v/>
      </c>
      <c r="Z2476" s="48" t="str">
        <f ca="1">IF(AND('Planning Sheet'!CC11='Weeks Plan'!$D$6,'Planning Sheet'!BW11='Weeks Plan'!$G$6),'Planning Sheet'!$BX11,"")</f>
        <v/>
      </c>
      <c r="AA2476" s="48" t="str">
        <f ca="1">IF(AND('Planning Sheet'!CC11='Weeks Plan'!$D$6,'Planning Sheet'!BW11='Weeks Plan'!$G$6),'Planning Sheet'!$BY11,"")</f>
        <v/>
      </c>
    </row>
    <row r="2477" spans="25:27" x14ac:dyDescent="0.3">
      <c r="Y2477" s="48" t="str">
        <f ca="1">IF(AND('Planning Sheet'!CC12='Weeks Plan'!$D$6,'Planning Sheet'!BW12='Weeks Plan'!$G$6),'Planning Sheet'!$B12,"")</f>
        <v/>
      </c>
      <c r="Z2477" s="48" t="str">
        <f ca="1">IF(AND('Planning Sheet'!CC12='Weeks Plan'!$D$6,'Planning Sheet'!BW12='Weeks Plan'!$G$6),'Planning Sheet'!$BX12,"")</f>
        <v/>
      </c>
      <c r="AA2477" s="48" t="str">
        <f ca="1">IF(AND('Planning Sheet'!CC12='Weeks Plan'!$D$6,'Planning Sheet'!BW12='Weeks Plan'!$G$6),'Planning Sheet'!$BY12,"")</f>
        <v/>
      </c>
    </row>
    <row r="2478" spans="25:27" x14ac:dyDescent="0.3">
      <c r="Y2478" s="48" t="str">
        <f ca="1">IF(AND('Planning Sheet'!CC13='Weeks Plan'!$D$6,'Planning Sheet'!BW13='Weeks Plan'!$G$6),'Planning Sheet'!$B13,"")</f>
        <v/>
      </c>
      <c r="Z2478" s="48" t="str">
        <f ca="1">IF(AND('Planning Sheet'!CC13='Weeks Plan'!$D$6,'Planning Sheet'!BW13='Weeks Plan'!$G$6),'Planning Sheet'!$BX13,"")</f>
        <v/>
      </c>
      <c r="AA2478" s="48" t="str">
        <f ca="1">IF(AND('Planning Sheet'!CC13='Weeks Plan'!$D$6,'Planning Sheet'!BW13='Weeks Plan'!$G$6),'Planning Sheet'!$BY13,"")</f>
        <v/>
      </c>
    </row>
    <row r="2479" spans="25:27" x14ac:dyDescent="0.3">
      <c r="Y2479" s="48" t="str">
        <f ca="1">IF(AND('Planning Sheet'!CC14='Weeks Plan'!$D$6,'Planning Sheet'!BW14='Weeks Plan'!$G$6),'Planning Sheet'!$B14,"")</f>
        <v/>
      </c>
      <c r="Z2479" s="48" t="str">
        <f ca="1">IF(AND('Planning Sheet'!CC14='Weeks Plan'!$D$6,'Planning Sheet'!BW14='Weeks Plan'!$G$6),'Planning Sheet'!$BX14,"")</f>
        <v/>
      </c>
      <c r="AA2479" s="48" t="str">
        <f ca="1">IF(AND('Planning Sheet'!CC14='Weeks Plan'!$D$6,'Planning Sheet'!BW14='Weeks Plan'!$G$6),'Planning Sheet'!$BY14,"")</f>
        <v/>
      </c>
    </row>
    <row r="2480" spans="25:27" x14ac:dyDescent="0.3">
      <c r="Y2480" s="48" t="str">
        <f ca="1">IF(AND('Planning Sheet'!CC15='Weeks Plan'!$D$6,'Planning Sheet'!BW15='Weeks Plan'!$G$6),'Planning Sheet'!$B15,"")</f>
        <v/>
      </c>
      <c r="Z2480" s="48" t="str">
        <f ca="1">IF(AND('Planning Sheet'!CC15='Weeks Plan'!$D$6,'Planning Sheet'!BW15='Weeks Plan'!$G$6),'Planning Sheet'!$BX15,"")</f>
        <v/>
      </c>
      <c r="AA2480" s="48" t="str">
        <f ca="1">IF(AND('Planning Sheet'!CC15='Weeks Plan'!$D$6,'Planning Sheet'!BW15='Weeks Plan'!$G$6),'Planning Sheet'!$BY15,"")</f>
        <v/>
      </c>
    </row>
    <row r="2481" spans="25:27" x14ac:dyDescent="0.3">
      <c r="Y2481" s="48" t="str">
        <f ca="1">IF(AND('Planning Sheet'!CC16='Weeks Plan'!$D$6,'Planning Sheet'!BW16='Weeks Plan'!$G$6),'Planning Sheet'!$B16,"")</f>
        <v/>
      </c>
      <c r="Z2481" s="48" t="str">
        <f ca="1">IF(AND('Planning Sheet'!CC16='Weeks Plan'!$D$6,'Planning Sheet'!BW16='Weeks Plan'!$G$6),'Planning Sheet'!$BX16,"")</f>
        <v/>
      </c>
      <c r="AA2481" s="48" t="str">
        <f ca="1">IF(AND('Planning Sheet'!CC16='Weeks Plan'!$D$6,'Planning Sheet'!BW16='Weeks Plan'!$G$6),'Planning Sheet'!$BY16,"")</f>
        <v/>
      </c>
    </row>
    <row r="2482" spans="25:27" x14ac:dyDescent="0.3">
      <c r="Y2482" s="48" t="str">
        <f ca="1">IF(AND('Planning Sheet'!CC17='Weeks Plan'!$D$6,'Planning Sheet'!BW17='Weeks Plan'!$G$6),'Planning Sheet'!$B17,"")</f>
        <v/>
      </c>
      <c r="Z2482" s="48" t="str">
        <f ca="1">IF(AND('Planning Sheet'!CC17='Weeks Plan'!$D$6,'Planning Sheet'!BW17='Weeks Plan'!$G$6),'Planning Sheet'!$BX17,"")</f>
        <v/>
      </c>
      <c r="AA2482" s="48" t="str">
        <f ca="1">IF(AND('Planning Sheet'!CC17='Weeks Plan'!$D$6,'Planning Sheet'!BW17='Weeks Plan'!$G$6),'Planning Sheet'!$BY17,"")</f>
        <v/>
      </c>
    </row>
    <row r="2483" spans="25:27" x14ac:dyDescent="0.3">
      <c r="Y2483" s="48" t="str">
        <f ca="1">IF(AND('Planning Sheet'!CC18='Weeks Plan'!$D$6,'Planning Sheet'!BW18='Weeks Plan'!$G$6),'Planning Sheet'!$B18,"")</f>
        <v/>
      </c>
      <c r="Z2483" s="48" t="str">
        <f ca="1">IF(AND('Planning Sheet'!CC18='Weeks Plan'!$D$6,'Planning Sheet'!BW18='Weeks Plan'!$G$6),'Planning Sheet'!$BX18,"")</f>
        <v/>
      </c>
      <c r="AA2483" s="48" t="str">
        <f ca="1">IF(AND('Planning Sheet'!CC18='Weeks Plan'!$D$6,'Planning Sheet'!BW18='Weeks Plan'!$G$6),'Planning Sheet'!$BY18,"")</f>
        <v/>
      </c>
    </row>
    <row r="2484" spans="25:27" x14ac:dyDescent="0.3">
      <c r="Y2484" s="48" t="str">
        <f ca="1">IF(AND('Planning Sheet'!CC19='Weeks Plan'!$D$6,'Planning Sheet'!BW19='Weeks Plan'!$G$6),'Planning Sheet'!$B19,"")</f>
        <v/>
      </c>
      <c r="Z2484" s="48" t="str">
        <f ca="1">IF(AND('Planning Sheet'!CC19='Weeks Plan'!$D$6,'Planning Sheet'!BW19='Weeks Plan'!$G$6),'Planning Sheet'!$BX19,"")</f>
        <v/>
      </c>
      <c r="AA2484" s="48" t="str">
        <f ca="1">IF(AND('Planning Sheet'!CC19='Weeks Plan'!$D$6,'Planning Sheet'!BW19='Weeks Plan'!$G$6),'Planning Sheet'!$BY19,"")</f>
        <v/>
      </c>
    </row>
    <row r="2485" spans="25:27" x14ac:dyDescent="0.3">
      <c r="Y2485" s="48" t="str">
        <f ca="1">IF(AND('Planning Sheet'!CC20='Weeks Plan'!$D$6,'Planning Sheet'!BW20='Weeks Plan'!$G$6),'Planning Sheet'!$B20,"")</f>
        <v/>
      </c>
      <c r="Z2485" s="48" t="str">
        <f ca="1">IF(AND('Planning Sheet'!CC20='Weeks Plan'!$D$6,'Planning Sheet'!BW20='Weeks Plan'!$G$6),'Planning Sheet'!$BX20,"")</f>
        <v/>
      </c>
      <c r="AA2485" s="48" t="str">
        <f ca="1">IF(AND('Planning Sheet'!CC20='Weeks Plan'!$D$6,'Planning Sheet'!BW20='Weeks Plan'!$G$6),'Planning Sheet'!$BY20,"")</f>
        <v/>
      </c>
    </row>
    <row r="2486" spans="25:27" x14ac:dyDescent="0.3">
      <c r="Y2486" s="48" t="str">
        <f ca="1">IF(AND('Planning Sheet'!CC21='Weeks Plan'!$D$6,'Planning Sheet'!BW21='Weeks Plan'!$G$6),'Planning Sheet'!$B21,"")</f>
        <v/>
      </c>
      <c r="Z2486" s="48" t="str">
        <f ca="1">IF(AND('Planning Sheet'!CC21='Weeks Plan'!$D$6,'Planning Sheet'!BW21='Weeks Plan'!$G$6),'Planning Sheet'!$BX21,"")</f>
        <v/>
      </c>
      <c r="AA2486" s="48" t="str">
        <f ca="1">IF(AND('Planning Sheet'!CC21='Weeks Plan'!$D$6,'Planning Sheet'!BW21='Weeks Plan'!$G$6),'Planning Sheet'!$BY21,"")</f>
        <v/>
      </c>
    </row>
    <row r="2487" spans="25:27" x14ac:dyDescent="0.3">
      <c r="Y2487" s="48" t="str">
        <f ca="1">IF(AND('Planning Sheet'!CC22='Weeks Plan'!$D$6,'Planning Sheet'!BW22='Weeks Plan'!$G$6),'Planning Sheet'!$B22,"")</f>
        <v/>
      </c>
      <c r="Z2487" s="48" t="str">
        <f ca="1">IF(AND('Planning Sheet'!CC22='Weeks Plan'!$D$6,'Planning Sheet'!BW22='Weeks Plan'!$G$6),'Planning Sheet'!$BX22,"")</f>
        <v/>
      </c>
      <c r="AA2487" s="48" t="str">
        <f ca="1">IF(AND('Planning Sheet'!CC22='Weeks Plan'!$D$6,'Planning Sheet'!BW22='Weeks Plan'!$G$6),'Planning Sheet'!$BY22,"")</f>
        <v/>
      </c>
    </row>
    <row r="2488" spans="25:27" x14ac:dyDescent="0.3">
      <c r="Y2488" s="48" t="str">
        <f ca="1">IF(AND('Planning Sheet'!CC23='Weeks Plan'!$D$6,'Planning Sheet'!BW23='Weeks Plan'!$G$6),'Planning Sheet'!$B23,"")</f>
        <v/>
      </c>
      <c r="Z2488" s="48" t="str">
        <f ca="1">IF(AND('Planning Sheet'!CC23='Weeks Plan'!$D$6,'Planning Sheet'!BW23='Weeks Plan'!$G$6),'Planning Sheet'!$BX23,"")</f>
        <v/>
      </c>
      <c r="AA2488" s="48" t="str">
        <f ca="1">IF(AND('Planning Sheet'!CC23='Weeks Plan'!$D$6,'Planning Sheet'!BW23='Weeks Plan'!$G$6),'Planning Sheet'!$BY23,"")</f>
        <v/>
      </c>
    </row>
    <row r="2489" spans="25:27" x14ac:dyDescent="0.3">
      <c r="Y2489" s="48" t="str">
        <f ca="1">IF(AND('Planning Sheet'!CC24='Weeks Plan'!$D$6,'Planning Sheet'!BW24='Weeks Plan'!$G$6),'Planning Sheet'!$B24,"")</f>
        <v/>
      </c>
      <c r="Z2489" s="48" t="str">
        <f ca="1">IF(AND('Planning Sheet'!CC24='Weeks Plan'!$D$6,'Planning Sheet'!BW24='Weeks Plan'!$G$6),'Planning Sheet'!$BX24,"")</f>
        <v/>
      </c>
      <c r="AA2489" s="48" t="str">
        <f ca="1">IF(AND('Planning Sheet'!CC24='Weeks Plan'!$D$6,'Planning Sheet'!BW24='Weeks Plan'!$G$6),'Planning Sheet'!$BY24,"")</f>
        <v/>
      </c>
    </row>
    <row r="2490" spans="25:27" x14ac:dyDescent="0.3">
      <c r="Y2490" s="48" t="str">
        <f ca="1">IF(AND('Planning Sheet'!CC25='Weeks Plan'!$D$6,'Planning Sheet'!BW25='Weeks Plan'!$G$6),'Planning Sheet'!$B25,"")</f>
        <v/>
      </c>
      <c r="Z2490" s="48" t="str">
        <f ca="1">IF(AND('Planning Sheet'!CC25='Weeks Plan'!$D$6,'Planning Sheet'!BW25='Weeks Plan'!$G$6),'Planning Sheet'!$BX25,"")</f>
        <v/>
      </c>
      <c r="AA2490" s="48" t="str">
        <f ca="1">IF(AND('Planning Sheet'!CC25='Weeks Plan'!$D$6,'Planning Sheet'!BW25='Weeks Plan'!$G$6),'Planning Sheet'!$BY25,"")</f>
        <v/>
      </c>
    </row>
    <row r="2491" spans="25:27" x14ac:dyDescent="0.3">
      <c r="Y2491" s="48" t="str">
        <f ca="1">IF(AND('Planning Sheet'!CC26='Weeks Plan'!$D$6,'Planning Sheet'!BW26='Weeks Plan'!$G$6),'Planning Sheet'!$B26,"")</f>
        <v/>
      </c>
      <c r="Z2491" s="48" t="str">
        <f ca="1">IF(AND('Planning Sheet'!CC26='Weeks Plan'!$D$6,'Planning Sheet'!BW26='Weeks Plan'!$G$6),'Planning Sheet'!$BX26,"")</f>
        <v/>
      </c>
      <c r="AA2491" s="48" t="str">
        <f ca="1">IF(AND('Planning Sheet'!CC26='Weeks Plan'!$D$6,'Planning Sheet'!BW26='Weeks Plan'!$G$6),'Planning Sheet'!$BY26,"")</f>
        <v/>
      </c>
    </row>
    <row r="2492" spans="25:27" x14ac:dyDescent="0.3">
      <c r="Y2492" s="48" t="str">
        <f ca="1">IF(AND('Planning Sheet'!CC27='Weeks Plan'!$D$6,'Planning Sheet'!BW27='Weeks Plan'!$G$6),'Planning Sheet'!$B27,"")</f>
        <v/>
      </c>
      <c r="Z2492" s="48" t="str">
        <f ca="1">IF(AND('Planning Sheet'!CC27='Weeks Plan'!$D$6,'Planning Sheet'!BW27='Weeks Plan'!$G$6),'Planning Sheet'!$BX27,"")</f>
        <v/>
      </c>
      <c r="AA2492" s="48" t="str">
        <f ca="1">IF(AND('Planning Sheet'!CC27='Weeks Plan'!$D$6,'Planning Sheet'!BW27='Weeks Plan'!$G$6),'Planning Sheet'!$BY27,"")</f>
        <v/>
      </c>
    </row>
    <row r="2493" spans="25:27" x14ac:dyDescent="0.3">
      <c r="Y2493" s="48" t="str">
        <f ca="1">IF(AND('Planning Sheet'!CC28='Weeks Plan'!$D$6,'Planning Sheet'!BW28='Weeks Plan'!$G$6),'Planning Sheet'!$B28,"")</f>
        <v/>
      </c>
      <c r="Z2493" s="48" t="str">
        <f ca="1">IF(AND('Planning Sheet'!CC28='Weeks Plan'!$D$6,'Planning Sheet'!BW28='Weeks Plan'!$G$6),'Planning Sheet'!$BX28,"")</f>
        <v/>
      </c>
      <c r="AA2493" s="48" t="str">
        <f ca="1">IF(AND('Planning Sheet'!CC28='Weeks Plan'!$D$6,'Planning Sheet'!BW28='Weeks Plan'!$G$6),'Planning Sheet'!$BY28,"")</f>
        <v/>
      </c>
    </row>
    <row r="2494" spans="25:27" x14ac:dyDescent="0.3">
      <c r="Y2494" s="48" t="str">
        <f ca="1">IF(AND('Planning Sheet'!CC29='Weeks Plan'!$D$6,'Planning Sheet'!BW29='Weeks Plan'!$G$6),'Planning Sheet'!$B29,"")</f>
        <v/>
      </c>
      <c r="Z2494" s="48" t="str">
        <f ca="1">IF(AND('Planning Sheet'!CC29='Weeks Plan'!$D$6,'Planning Sheet'!BW29='Weeks Plan'!$G$6),'Planning Sheet'!$BX29,"")</f>
        <v/>
      </c>
      <c r="AA2494" s="48" t="str">
        <f ca="1">IF(AND('Planning Sheet'!CC29='Weeks Plan'!$D$6,'Planning Sheet'!BW29='Weeks Plan'!$G$6),'Planning Sheet'!$BY29,"")</f>
        <v/>
      </c>
    </row>
    <row r="2495" spans="25:27" x14ac:dyDescent="0.3">
      <c r="Y2495" s="48" t="str">
        <f ca="1">IF(AND('Planning Sheet'!CC30='Weeks Plan'!$D$6,'Planning Sheet'!BW30='Weeks Plan'!$G$6),'Planning Sheet'!$B30,"")</f>
        <v/>
      </c>
      <c r="Z2495" s="48" t="str">
        <f ca="1">IF(AND('Planning Sheet'!CC30='Weeks Plan'!$D$6,'Planning Sheet'!BW30='Weeks Plan'!$G$6),'Planning Sheet'!$BX30,"")</f>
        <v/>
      </c>
      <c r="AA2495" s="48" t="str">
        <f ca="1">IF(AND('Planning Sheet'!CC30='Weeks Plan'!$D$6,'Planning Sheet'!BW30='Weeks Plan'!$G$6),'Planning Sheet'!$BY30,"")</f>
        <v/>
      </c>
    </row>
    <row r="2496" spans="25:27" x14ac:dyDescent="0.3">
      <c r="Y2496" s="48" t="str">
        <f ca="1">IF(AND('Planning Sheet'!CC31='Weeks Plan'!$D$6,'Planning Sheet'!BW31='Weeks Plan'!$G$6),'Planning Sheet'!$B31,"")</f>
        <v/>
      </c>
      <c r="Z2496" s="48" t="str">
        <f ca="1">IF(AND('Planning Sheet'!CC31='Weeks Plan'!$D$6,'Planning Sheet'!BW31='Weeks Plan'!$G$6),'Planning Sheet'!$BX31,"")</f>
        <v/>
      </c>
      <c r="AA2496" s="48" t="str">
        <f ca="1">IF(AND('Planning Sheet'!CC31='Weeks Plan'!$D$6,'Planning Sheet'!BW31='Weeks Plan'!$G$6),'Planning Sheet'!$BY31,"")</f>
        <v/>
      </c>
    </row>
    <row r="2497" spans="25:27" x14ac:dyDescent="0.3">
      <c r="Y2497" s="48" t="str">
        <f ca="1">IF(AND('Planning Sheet'!CC32='Weeks Plan'!$D$6,'Planning Sheet'!BW32='Weeks Plan'!$G$6),'Planning Sheet'!$B32,"")</f>
        <v/>
      </c>
      <c r="Z2497" s="48" t="str">
        <f ca="1">IF(AND('Planning Sheet'!CC32='Weeks Plan'!$D$6,'Planning Sheet'!BW32='Weeks Plan'!$G$6),'Planning Sheet'!$BX32,"")</f>
        <v/>
      </c>
      <c r="AA2497" s="48" t="str">
        <f ca="1">IF(AND('Planning Sheet'!CC32='Weeks Plan'!$D$6,'Planning Sheet'!BW32='Weeks Plan'!$G$6),'Planning Sheet'!$BY32,"")</f>
        <v/>
      </c>
    </row>
    <row r="2498" spans="25:27" x14ac:dyDescent="0.3">
      <c r="Y2498" s="48" t="str">
        <f ca="1">IF(AND('Planning Sheet'!CC33='Weeks Plan'!$D$6,'Planning Sheet'!BW33='Weeks Plan'!$G$6),'Planning Sheet'!$B33,"")</f>
        <v/>
      </c>
      <c r="Z2498" s="48" t="str">
        <f ca="1">IF(AND('Planning Sheet'!CC33='Weeks Plan'!$D$6,'Planning Sheet'!BW33='Weeks Plan'!$G$6),'Planning Sheet'!$BX33,"")</f>
        <v/>
      </c>
      <c r="AA2498" s="48" t="str">
        <f ca="1">IF(AND('Planning Sheet'!CC33='Weeks Plan'!$D$6,'Planning Sheet'!BW33='Weeks Plan'!$G$6),'Planning Sheet'!$BY33,"")</f>
        <v/>
      </c>
    </row>
    <row r="2499" spans="25:27" x14ac:dyDescent="0.3">
      <c r="Y2499" s="48" t="str">
        <f ca="1">IF(AND('Planning Sheet'!CC34='Weeks Plan'!$D$6,'Planning Sheet'!BW34='Weeks Plan'!$G$6),'Planning Sheet'!$B34,"")</f>
        <v/>
      </c>
      <c r="Z2499" s="48" t="str">
        <f ca="1">IF(AND('Planning Sheet'!CC34='Weeks Plan'!$D$6,'Planning Sheet'!BW34='Weeks Plan'!$G$6),'Planning Sheet'!$BX34,"")</f>
        <v/>
      </c>
      <c r="AA2499" s="48" t="str">
        <f ca="1">IF(AND('Planning Sheet'!CC34='Weeks Plan'!$D$6,'Planning Sheet'!BW34='Weeks Plan'!$G$6),'Planning Sheet'!$BY34,"")</f>
        <v/>
      </c>
    </row>
    <row r="2500" spans="25:27" x14ac:dyDescent="0.3">
      <c r="Y2500" s="48" t="str">
        <f ca="1">IF(AND('Planning Sheet'!CC35='Weeks Plan'!$D$6,'Planning Sheet'!BW35='Weeks Plan'!$G$6),'Planning Sheet'!$B35,"")</f>
        <v/>
      </c>
      <c r="Z2500" s="48" t="str">
        <f ca="1">IF(AND('Planning Sheet'!CC35='Weeks Plan'!$D$6,'Planning Sheet'!BW35='Weeks Plan'!$G$6),'Planning Sheet'!$BX35,"")</f>
        <v/>
      </c>
      <c r="AA2500" s="48" t="str">
        <f ca="1">IF(AND('Planning Sheet'!CC35='Weeks Plan'!$D$6,'Planning Sheet'!BW35='Weeks Plan'!$G$6),'Planning Sheet'!$BY35,"")</f>
        <v/>
      </c>
    </row>
    <row r="2501" spans="25:27" x14ac:dyDescent="0.3">
      <c r="Y2501" s="48" t="str">
        <f ca="1">IF(AND('Planning Sheet'!CC36='Weeks Plan'!$D$6,'Planning Sheet'!BW36='Weeks Plan'!$G$6),'Planning Sheet'!$B36,"")</f>
        <v/>
      </c>
      <c r="Z2501" s="48" t="str">
        <f ca="1">IF(AND('Planning Sheet'!CC36='Weeks Plan'!$D$6,'Planning Sheet'!BW36='Weeks Plan'!$G$6),'Planning Sheet'!$BX36,"")</f>
        <v/>
      </c>
      <c r="AA2501" s="48" t="str">
        <f ca="1">IF(AND('Planning Sheet'!CC36='Weeks Plan'!$D$6,'Planning Sheet'!BW36='Weeks Plan'!$G$6),'Planning Sheet'!$BY36,"")</f>
        <v/>
      </c>
    </row>
    <row r="2502" spans="25:27" x14ac:dyDescent="0.3">
      <c r="Y2502" s="48" t="str">
        <f ca="1">IF(AND('Planning Sheet'!CC37='Weeks Plan'!$D$6,'Planning Sheet'!BW37='Weeks Plan'!$G$6),'Planning Sheet'!$B37,"")</f>
        <v/>
      </c>
      <c r="Z2502" s="48" t="str">
        <f ca="1">IF(AND('Planning Sheet'!CC37='Weeks Plan'!$D$6,'Planning Sheet'!BW37='Weeks Plan'!$G$6),'Planning Sheet'!$BX37,"")</f>
        <v/>
      </c>
      <c r="AA2502" s="48" t="str">
        <f ca="1">IF(AND('Planning Sheet'!CC37='Weeks Plan'!$D$6,'Planning Sheet'!BW37='Weeks Plan'!$G$6),'Planning Sheet'!$BY37,"")</f>
        <v/>
      </c>
    </row>
    <row r="2503" spans="25:27" x14ac:dyDescent="0.3">
      <c r="Y2503" s="48" t="str">
        <f ca="1">IF(AND('Planning Sheet'!CC38='Weeks Plan'!$D$6,'Planning Sheet'!BW38='Weeks Plan'!$G$6),'Planning Sheet'!$B38,"")</f>
        <v/>
      </c>
      <c r="Z2503" s="48" t="str">
        <f ca="1">IF(AND('Planning Sheet'!CC38='Weeks Plan'!$D$6,'Planning Sheet'!BW38='Weeks Plan'!$G$6),'Planning Sheet'!$BX38,"")</f>
        <v/>
      </c>
      <c r="AA2503" s="48" t="str">
        <f ca="1">IF(AND('Planning Sheet'!CC38='Weeks Plan'!$D$6,'Planning Sheet'!BW38='Weeks Plan'!$G$6),'Planning Sheet'!$BY38,"")</f>
        <v/>
      </c>
    </row>
    <row r="2504" spans="25:27" x14ac:dyDescent="0.3">
      <c r="Y2504" s="48" t="str">
        <f ca="1">IF(AND('Planning Sheet'!CC39='Weeks Plan'!$D$6,'Planning Sheet'!BW39='Weeks Plan'!$G$6),'Planning Sheet'!$B39,"")</f>
        <v/>
      </c>
      <c r="Z2504" s="48" t="str">
        <f ca="1">IF(AND('Planning Sheet'!CC39='Weeks Plan'!$D$6,'Planning Sheet'!BW39='Weeks Plan'!$G$6),'Planning Sheet'!$BX39,"")</f>
        <v/>
      </c>
      <c r="AA2504" s="48" t="str">
        <f ca="1">IF(AND('Planning Sheet'!CC39='Weeks Plan'!$D$6,'Planning Sheet'!BW39='Weeks Plan'!$G$6),'Planning Sheet'!$BY39,"")</f>
        <v/>
      </c>
    </row>
    <row r="2505" spans="25:27" x14ac:dyDescent="0.3">
      <c r="Y2505" s="48" t="str">
        <f ca="1">IF(AND('Planning Sheet'!CC40='Weeks Plan'!$D$6,'Planning Sheet'!BW40='Weeks Plan'!$G$6),'Planning Sheet'!$B40,"")</f>
        <v/>
      </c>
      <c r="Z2505" s="48" t="str">
        <f ca="1">IF(AND('Planning Sheet'!CC40='Weeks Plan'!$D$6,'Planning Sheet'!BW40='Weeks Plan'!$G$6),'Planning Sheet'!$BX40,"")</f>
        <v/>
      </c>
      <c r="AA2505" s="48" t="str">
        <f ca="1">IF(AND('Planning Sheet'!CC40='Weeks Plan'!$D$6,'Planning Sheet'!BW40='Weeks Plan'!$G$6),'Planning Sheet'!$BY40,"")</f>
        <v/>
      </c>
    </row>
    <row r="2506" spans="25:27" x14ac:dyDescent="0.3">
      <c r="Y2506" s="48" t="str">
        <f ca="1">IF(AND('Planning Sheet'!CC41='Weeks Plan'!$D$6,'Planning Sheet'!BW41='Weeks Plan'!$G$6),'Planning Sheet'!$B41,"")</f>
        <v/>
      </c>
      <c r="Z2506" s="48" t="str">
        <f ca="1">IF(AND('Planning Sheet'!CC41='Weeks Plan'!$D$6,'Planning Sheet'!BW41='Weeks Plan'!$G$6),'Planning Sheet'!$BX41,"")</f>
        <v/>
      </c>
      <c r="AA2506" s="48" t="str">
        <f ca="1">IF(AND('Planning Sheet'!CC41='Weeks Plan'!$D$6,'Planning Sheet'!BW41='Weeks Plan'!$G$6),'Planning Sheet'!$BY41,"")</f>
        <v/>
      </c>
    </row>
    <row r="2507" spans="25:27" x14ac:dyDescent="0.3">
      <c r="Y2507" s="48" t="str">
        <f ca="1">IF(AND('Planning Sheet'!CC42='Weeks Plan'!$D$6,'Planning Sheet'!BW42='Weeks Plan'!$G$6),'Planning Sheet'!$B42,"")</f>
        <v/>
      </c>
      <c r="Z2507" s="48" t="str">
        <f ca="1">IF(AND('Planning Sheet'!CC42='Weeks Plan'!$D$6,'Planning Sheet'!BW42='Weeks Plan'!$G$6),'Planning Sheet'!$BX42,"")</f>
        <v/>
      </c>
      <c r="AA2507" s="48" t="str">
        <f ca="1">IF(AND('Planning Sheet'!CC42='Weeks Plan'!$D$6,'Planning Sheet'!BW42='Weeks Plan'!$G$6),'Planning Sheet'!$BY42,"")</f>
        <v/>
      </c>
    </row>
    <row r="2508" spans="25:27" x14ac:dyDescent="0.3">
      <c r="Y2508" s="48" t="str">
        <f ca="1">IF(AND('Planning Sheet'!CC43='Weeks Plan'!$D$6,'Planning Sheet'!BW43='Weeks Plan'!$G$6),'Planning Sheet'!$B43,"")</f>
        <v/>
      </c>
      <c r="Z2508" s="48" t="str">
        <f ca="1">IF(AND('Planning Sheet'!CC43='Weeks Plan'!$D$6,'Planning Sheet'!BW43='Weeks Plan'!$G$6),'Planning Sheet'!$BX43,"")</f>
        <v/>
      </c>
      <c r="AA2508" s="48" t="str">
        <f ca="1">IF(AND('Planning Sheet'!CC43='Weeks Plan'!$D$6,'Planning Sheet'!BW43='Weeks Plan'!$G$6),'Planning Sheet'!$BY43,"")</f>
        <v/>
      </c>
    </row>
    <row r="2509" spans="25:27" x14ac:dyDescent="0.3">
      <c r="Y2509" s="48" t="str">
        <f ca="1">IF(AND('Planning Sheet'!CC44='Weeks Plan'!$D$6,'Planning Sheet'!BW44='Weeks Plan'!$G$6),'Planning Sheet'!$B44,"")</f>
        <v/>
      </c>
      <c r="Z2509" s="48" t="str">
        <f ca="1">IF(AND('Planning Sheet'!CC44='Weeks Plan'!$D$6,'Planning Sheet'!BW44='Weeks Plan'!$G$6),'Planning Sheet'!$BX44,"")</f>
        <v/>
      </c>
      <c r="AA2509" s="48" t="str">
        <f ca="1">IF(AND('Planning Sheet'!CC44='Weeks Plan'!$D$6,'Planning Sheet'!BW44='Weeks Plan'!$G$6),'Planning Sheet'!$BY44,"")</f>
        <v/>
      </c>
    </row>
    <row r="2510" spans="25:27" x14ac:dyDescent="0.3">
      <c r="Y2510" s="48" t="str">
        <f ca="1">IF(AND('Planning Sheet'!CC45='Weeks Plan'!$D$6,'Planning Sheet'!BW45='Weeks Plan'!$G$6),'Planning Sheet'!$B45,"")</f>
        <v/>
      </c>
      <c r="Z2510" s="48" t="str">
        <f ca="1">IF(AND('Planning Sheet'!CC45='Weeks Plan'!$D$6,'Planning Sheet'!BW45='Weeks Plan'!$G$6),'Planning Sheet'!$BX45,"")</f>
        <v/>
      </c>
      <c r="AA2510" s="48" t="str">
        <f ca="1">IF(AND('Planning Sheet'!CC45='Weeks Plan'!$D$6,'Planning Sheet'!BW45='Weeks Plan'!$G$6),'Planning Sheet'!$BY45,"")</f>
        <v/>
      </c>
    </row>
    <row r="2511" spans="25:27" x14ac:dyDescent="0.3">
      <c r="Y2511" s="48" t="str">
        <f ca="1">IF(AND('Planning Sheet'!CC46='Weeks Plan'!$D$6,'Planning Sheet'!BW46='Weeks Plan'!$G$6),'Planning Sheet'!$B46,"")</f>
        <v/>
      </c>
      <c r="Z2511" s="48" t="str">
        <f ca="1">IF(AND('Planning Sheet'!CC46='Weeks Plan'!$D$6,'Planning Sheet'!BW46='Weeks Plan'!$G$6),'Planning Sheet'!$BX46,"")</f>
        <v/>
      </c>
      <c r="AA2511" s="48" t="str">
        <f ca="1">IF(AND('Planning Sheet'!CC46='Weeks Plan'!$D$6,'Planning Sheet'!BW46='Weeks Plan'!$G$6),'Planning Sheet'!$BY46,"")</f>
        <v/>
      </c>
    </row>
    <row r="2512" spans="25:27" x14ac:dyDescent="0.3">
      <c r="Y2512" s="48" t="str">
        <f ca="1">IF(AND('Planning Sheet'!CC47='Weeks Plan'!$D$6,'Planning Sheet'!BW47='Weeks Plan'!$G$6),'Planning Sheet'!$B47,"")</f>
        <v/>
      </c>
      <c r="Z2512" s="48" t="str">
        <f ca="1">IF(AND('Planning Sheet'!CC47='Weeks Plan'!$D$6,'Planning Sheet'!BW47='Weeks Plan'!$G$6),'Planning Sheet'!$BX47,"")</f>
        <v/>
      </c>
      <c r="AA2512" s="48" t="str">
        <f ca="1">IF(AND('Planning Sheet'!CC47='Weeks Plan'!$D$6,'Planning Sheet'!BW47='Weeks Plan'!$G$6),'Planning Sheet'!$BY47,"")</f>
        <v/>
      </c>
    </row>
    <row r="2513" spans="25:27" x14ac:dyDescent="0.3">
      <c r="Y2513" s="48" t="str">
        <f ca="1">IF(AND('Planning Sheet'!CC48='Weeks Plan'!$D$6,'Planning Sheet'!BW48='Weeks Plan'!$G$6),'Planning Sheet'!$B48,"")</f>
        <v/>
      </c>
      <c r="Z2513" s="48" t="str">
        <f ca="1">IF(AND('Planning Sheet'!CC48='Weeks Plan'!$D$6,'Planning Sheet'!BW48='Weeks Plan'!$G$6),'Planning Sheet'!$BX48,"")</f>
        <v/>
      </c>
      <c r="AA2513" s="48" t="str">
        <f ca="1">IF(AND('Planning Sheet'!CC48='Weeks Plan'!$D$6,'Planning Sheet'!BW48='Weeks Plan'!$G$6),'Planning Sheet'!$BY48,"")</f>
        <v/>
      </c>
    </row>
    <row r="2514" spans="25:27" x14ac:dyDescent="0.3">
      <c r="Y2514" s="48" t="str">
        <f ca="1">IF(AND('Planning Sheet'!CC49='Weeks Plan'!$D$6,'Planning Sheet'!BW49='Weeks Plan'!$G$6),'Planning Sheet'!$B49,"")</f>
        <v/>
      </c>
      <c r="Z2514" s="48" t="str">
        <f ca="1">IF(AND('Planning Sheet'!CC49='Weeks Plan'!$D$6,'Planning Sheet'!BW49='Weeks Plan'!$G$6),'Planning Sheet'!$BX49,"")</f>
        <v/>
      </c>
      <c r="AA2514" s="48" t="str">
        <f ca="1">IF(AND('Planning Sheet'!CC49='Weeks Plan'!$D$6,'Planning Sheet'!BW49='Weeks Plan'!$G$6),'Planning Sheet'!$BY49,"")</f>
        <v/>
      </c>
    </row>
    <row r="2515" spans="25:27" x14ac:dyDescent="0.3">
      <c r="Y2515" s="48" t="str">
        <f ca="1">IF(AND('Planning Sheet'!CC50='Weeks Plan'!$D$6,'Planning Sheet'!BW50='Weeks Plan'!$G$6),'Planning Sheet'!$B50,"")</f>
        <v/>
      </c>
      <c r="Z2515" s="48" t="str">
        <f ca="1">IF(AND('Planning Sheet'!CC50='Weeks Plan'!$D$6,'Planning Sheet'!BW50='Weeks Plan'!$G$6),'Planning Sheet'!$BX50,"")</f>
        <v/>
      </c>
      <c r="AA2515" s="48" t="str">
        <f ca="1">IF(AND('Planning Sheet'!CC50='Weeks Plan'!$D$6,'Planning Sheet'!BW50='Weeks Plan'!$G$6),'Planning Sheet'!$BY50,"")</f>
        <v/>
      </c>
    </row>
    <row r="2516" spans="25:27" x14ac:dyDescent="0.3">
      <c r="Y2516" s="48" t="str">
        <f ca="1">IF(AND('Planning Sheet'!CC51='Weeks Plan'!$D$6,'Planning Sheet'!BW51='Weeks Plan'!$G$6),'Planning Sheet'!$B51,"")</f>
        <v/>
      </c>
      <c r="Z2516" s="48" t="str">
        <f ca="1">IF(AND('Planning Sheet'!CC51='Weeks Plan'!$D$6,'Planning Sheet'!BW51='Weeks Plan'!$G$6),'Planning Sheet'!$BX51,"")</f>
        <v/>
      </c>
      <c r="AA2516" s="48" t="str">
        <f ca="1">IF(AND('Planning Sheet'!CC51='Weeks Plan'!$D$6,'Planning Sheet'!BW51='Weeks Plan'!$G$6),'Planning Sheet'!$BY51,"")</f>
        <v/>
      </c>
    </row>
    <row r="2517" spans="25:27" x14ac:dyDescent="0.3">
      <c r="Y2517" s="48" t="str">
        <f ca="1">IF(AND('Planning Sheet'!CC52='Weeks Plan'!$D$6,'Planning Sheet'!BW52='Weeks Plan'!$G$6),'Planning Sheet'!$B52,"")</f>
        <v/>
      </c>
      <c r="Z2517" s="48" t="str">
        <f ca="1">IF(AND('Planning Sheet'!CC52='Weeks Plan'!$D$6,'Planning Sheet'!BW52='Weeks Plan'!$G$6),'Planning Sheet'!$BX52,"")</f>
        <v/>
      </c>
      <c r="AA2517" s="48" t="str">
        <f ca="1">IF(AND('Planning Sheet'!CC52='Weeks Plan'!$D$6,'Planning Sheet'!BW52='Weeks Plan'!$G$6),'Planning Sheet'!$BY52,"")</f>
        <v/>
      </c>
    </row>
    <row r="2518" spans="25:27" x14ac:dyDescent="0.3">
      <c r="Y2518" s="48" t="str">
        <f ca="1">IF(AND('Planning Sheet'!CC53='Weeks Plan'!$D$6,'Planning Sheet'!BW53='Weeks Plan'!$G$6),'Planning Sheet'!$B53,"")</f>
        <v/>
      </c>
      <c r="Z2518" s="48" t="str">
        <f ca="1">IF(AND('Planning Sheet'!CC53='Weeks Plan'!$D$6,'Planning Sheet'!BW53='Weeks Plan'!$G$6),'Planning Sheet'!$BX53,"")</f>
        <v/>
      </c>
      <c r="AA2518" s="48" t="str">
        <f ca="1">IF(AND('Planning Sheet'!CC53='Weeks Plan'!$D$6,'Planning Sheet'!BW53='Weeks Plan'!$G$6),'Planning Sheet'!$BY53,"")</f>
        <v/>
      </c>
    </row>
    <row r="2519" spans="25:27" x14ac:dyDescent="0.3">
      <c r="Y2519" s="48" t="str">
        <f ca="1">IF(AND('Planning Sheet'!CC54='Weeks Plan'!$D$6,'Planning Sheet'!BW54='Weeks Plan'!$G$6),'Planning Sheet'!$B54,"")</f>
        <v/>
      </c>
      <c r="Z2519" s="48" t="str">
        <f ca="1">IF(AND('Planning Sheet'!CC54='Weeks Plan'!$D$6,'Planning Sheet'!BW54='Weeks Plan'!$G$6),'Planning Sheet'!$BX54,"")</f>
        <v/>
      </c>
      <c r="AA2519" s="48" t="str">
        <f ca="1">IF(AND('Planning Sheet'!CC54='Weeks Plan'!$D$6,'Planning Sheet'!BW54='Weeks Plan'!$G$6),'Planning Sheet'!$BY54,"")</f>
        <v/>
      </c>
    </row>
    <row r="2520" spans="25:27" x14ac:dyDescent="0.3">
      <c r="Y2520" s="48" t="str">
        <f ca="1">IF(AND('Planning Sheet'!CC55='Weeks Plan'!$D$6,'Planning Sheet'!BW55='Weeks Plan'!$G$6),'Planning Sheet'!$B55,"")</f>
        <v/>
      </c>
      <c r="Z2520" s="48" t="str">
        <f ca="1">IF(AND('Planning Sheet'!CC55='Weeks Plan'!$D$6,'Planning Sheet'!BW55='Weeks Plan'!$G$6),'Planning Sheet'!$BX55,"")</f>
        <v/>
      </c>
      <c r="AA2520" s="48" t="str">
        <f ca="1">IF(AND('Planning Sheet'!CC55='Weeks Plan'!$D$6,'Planning Sheet'!BW55='Weeks Plan'!$G$6),'Planning Sheet'!$BY55,"")</f>
        <v/>
      </c>
    </row>
    <row r="2521" spans="25:27" x14ac:dyDescent="0.3">
      <c r="Y2521" s="48" t="str">
        <f ca="1">IF(AND('Planning Sheet'!CC56='Weeks Plan'!$D$6,'Planning Sheet'!BW56='Weeks Plan'!$G$6),'Planning Sheet'!$B56,"")</f>
        <v/>
      </c>
      <c r="Z2521" s="48" t="str">
        <f ca="1">IF(AND('Planning Sheet'!CC56='Weeks Plan'!$D$6,'Planning Sheet'!BW56='Weeks Plan'!$G$6),'Planning Sheet'!$BX56,"")</f>
        <v/>
      </c>
      <c r="AA2521" s="48" t="str">
        <f ca="1">IF(AND('Planning Sheet'!CC56='Weeks Plan'!$D$6,'Planning Sheet'!BW56='Weeks Plan'!$G$6),'Planning Sheet'!$BY56,"")</f>
        <v/>
      </c>
    </row>
    <row r="2522" spans="25:27" x14ac:dyDescent="0.3">
      <c r="Y2522" s="48" t="str">
        <f ca="1">IF(AND('Planning Sheet'!CC57='Weeks Plan'!$D$6,'Planning Sheet'!BW57='Weeks Plan'!$G$6),'Planning Sheet'!$B57,"")</f>
        <v/>
      </c>
      <c r="Z2522" s="48" t="str">
        <f ca="1">IF(AND('Planning Sheet'!CC57='Weeks Plan'!$D$6,'Planning Sheet'!BW57='Weeks Plan'!$G$6),'Planning Sheet'!$BX57,"")</f>
        <v/>
      </c>
      <c r="AA2522" s="48" t="str">
        <f ca="1">IF(AND('Planning Sheet'!CC57='Weeks Plan'!$D$6,'Planning Sheet'!BW57='Weeks Plan'!$G$6),'Planning Sheet'!$BY57,"")</f>
        <v/>
      </c>
    </row>
    <row r="2523" spans="25:27" x14ac:dyDescent="0.3">
      <c r="Y2523" s="48" t="str">
        <f ca="1">IF(AND('Planning Sheet'!CC58='Weeks Plan'!$D$6,'Planning Sheet'!BW58='Weeks Plan'!$G$6),'Planning Sheet'!$B58,"")</f>
        <v/>
      </c>
      <c r="Z2523" s="48" t="str">
        <f ca="1">IF(AND('Planning Sheet'!CC58='Weeks Plan'!$D$6,'Planning Sheet'!BW58='Weeks Plan'!$G$6),'Planning Sheet'!$BX58,"")</f>
        <v/>
      </c>
      <c r="AA2523" s="48" t="str">
        <f ca="1">IF(AND('Planning Sheet'!CC58='Weeks Plan'!$D$6,'Planning Sheet'!BW58='Weeks Plan'!$G$6),'Planning Sheet'!$BY58,"")</f>
        <v/>
      </c>
    </row>
    <row r="2524" spans="25:27" x14ac:dyDescent="0.3">
      <c r="Y2524" s="48" t="str">
        <f ca="1">IF(AND('Planning Sheet'!CC59='Weeks Plan'!$D$6,'Planning Sheet'!BW59='Weeks Plan'!$G$6),'Planning Sheet'!$B59,"")</f>
        <v/>
      </c>
      <c r="Z2524" s="48" t="str">
        <f ca="1">IF(AND('Planning Sheet'!CC59='Weeks Plan'!$D$6,'Planning Sheet'!BW59='Weeks Plan'!$G$6),'Planning Sheet'!$BX59,"")</f>
        <v/>
      </c>
      <c r="AA2524" s="48" t="str">
        <f ca="1">IF(AND('Planning Sheet'!CC59='Weeks Plan'!$D$6,'Planning Sheet'!BW59='Weeks Plan'!$G$6),'Planning Sheet'!$BY59,"")</f>
        <v/>
      </c>
    </row>
    <row r="2525" spans="25:27" x14ac:dyDescent="0.3">
      <c r="Y2525" s="48" t="str">
        <f ca="1">IF(AND('Planning Sheet'!CC60='Weeks Plan'!$D$6,'Planning Sheet'!BW60='Weeks Plan'!$G$6),'Planning Sheet'!$B60,"")</f>
        <v/>
      </c>
      <c r="Z2525" s="48" t="str">
        <f ca="1">IF(AND('Planning Sheet'!CC60='Weeks Plan'!$D$6,'Planning Sheet'!BW60='Weeks Plan'!$G$6),'Planning Sheet'!$BX60,"")</f>
        <v/>
      </c>
      <c r="AA2525" s="48" t="str">
        <f ca="1">IF(AND('Planning Sheet'!CC60='Weeks Plan'!$D$6,'Planning Sheet'!BW60='Weeks Plan'!$G$6),'Planning Sheet'!$BY60,"")</f>
        <v/>
      </c>
    </row>
    <row r="2526" spans="25:27" x14ac:dyDescent="0.3">
      <c r="Y2526" s="48" t="str">
        <f ca="1">IF(AND('Planning Sheet'!CC61='Weeks Plan'!$D$6,'Planning Sheet'!BW61='Weeks Plan'!$G$6),'Planning Sheet'!$B61,"")</f>
        <v/>
      </c>
      <c r="Z2526" s="48" t="str">
        <f ca="1">IF(AND('Planning Sheet'!CC61='Weeks Plan'!$D$6,'Planning Sheet'!BW61='Weeks Plan'!$G$6),'Planning Sheet'!$BX61,"")</f>
        <v/>
      </c>
      <c r="AA2526" s="48" t="str">
        <f ca="1">IF(AND('Planning Sheet'!CC61='Weeks Plan'!$D$6,'Planning Sheet'!BW61='Weeks Plan'!$G$6),'Planning Sheet'!$BY61,"")</f>
        <v/>
      </c>
    </row>
    <row r="2527" spans="25:27" x14ac:dyDescent="0.3">
      <c r="Y2527" s="48" t="str">
        <f ca="1">IF(AND('Planning Sheet'!CC62='Weeks Plan'!$D$6,'Planning Sheet'!BW62='Weeks Plan'!$G$6),'Planning Sheet'!$B62,"")</f>
        <v/>
      </c>
      <c r="Z2527" s="48" t="str">
        <f ca="1">IF(AND('Planning Sheet'!CC62='Weeks Plan'!$D$6,'Planning Sheet'!BW62='Weeks Plan'!$G$6),'Planning Sheet'!$BX62,"")</f>
        <v/>
      </c>
      <c r="AA2527" s="48" t="str">
        <f ca="1">IF(AND('Planning Sheet'!CC62='Weeks Plan'!$D$6,'Planning Sheet'!BW62='Weeks Plan'!$G$6),'Planning Sheet'!$BY62,"")</f>
        <v/>
      </c>
    </row>
    <row r="2528" spans="25:27" x14ac:dyDescent="0.3">
      <c r="Y2528" s="48" t="str">
        <f ca="1">IF(AND('Planning Sheet'!CC63='Weeks Plan'!$D$6,'Planning Sheet'!BW63='Weeks Plan'!$G$6),'Planning Sheet'!$B63,"")</f>
        <v/>
      </c>
      <c r="Z2528" s="48" t="str">
        <f ca="1">IF(AND('Planning Sheet'!CC63='Weeks Plan'!$D$6,'Planning Sheet'!BW63='Weeks Plan'!$G$6),'Planning Sheet'!$BX63,"")</f>
        <v/>
      </c>
      <c r="AA2528" s="48" t="str">
        <f ca="1">IF(AND('Planning Sheet'!CC63='Weeks Plan'!$D$6,'Planning Sheet'!BW63='Weeks Plan'!$G$6),'Planning Sheet'!$BY63,"")</f>
        <v/>
      </c>
    </row>
    <row r="2529" spans="25:27" x14ac:dyDescent="0.3">
      <c r="Y2529" s="48" t="str">
        <f ca="1">IF(AND('Planning Sheet'!CC64='Weeks Plan'!$D$6,'Planning Sheet'!BW64='Weeks Plan'!$G$6),'Planning Sheet'!$B64,"")</f>
        <v/>
      </c>
      <c r="Z2529" s="48" t="str">
        <f ca="1">IF(AND('Planning Sheet'!CC64='Weeks Plan'!$D$6,'Planning Sheet'!BW64='Weeks Plan'!$G$6),'Planning Sheet'!$BX64,"")</f>
        <v/>
      </c>
      <c r="AA2529" s="48" t="str">
        <f ca="1">IF(AND('Planning Sheet'!CC64='Weeks Plan'!$D$6,'Planning Sheet'!BW64='Weeks Plan'!$G$6),'Planning Sheet'!$BY64,"")</f>
        <v/>
      </c>
    </row>
    <row r="2530" spans="25:27" x14ac:dyDescent="0.3">
      <c r="Y2530" s="48" t="str">
        <f ca="1">IF(AND('Planning Sheet'!CC65='Weeks Plan'!$D$6,'Planning Sheet'!BW65='Weeks Plan'!$G$6),'Planning Sheet'!$B65,"")</f>
        <v/>
      </c>
      <c r="Z2530" s="48" t="str">
        <f ca="1">IF(AND('Planning Sheet'!CC65='Weeks Plan'!$D$6,'Planning Sheet'!BW65='Weeks Plan'!$G$6),'Planning Sheet'!$BX65,"")</f>
        <v/>
      </c>
      <c r="AA2530" s="48" t="str">
        <f ca="1">IF(AND('Planning Sheet'!CC65='Weeks Plan'!$D$6,'Planning Sheet'!BW65='Weeks Plan'!$G$6),'Planning Sheet'!$BY65,"")</f>
        <v/>
      </c>
    </row>
    <row r="2531" spans="25:27" x14ac:dyDescent="0.3">
      <c r="Y2531" s="48" t="str">
        <f ca="1">IF(AND('Planning Sheet'!CC66='Weeks Plan'!$D$6,'Planning Sheet'!BW66='Weeks Plan'!$G$6),'Planning Sheet'!$B66,"")</f>
        <v/>
      </c>
      <c r="Z2531" s="48" t="str">
        <f ca="1">IF(AND('Planning Sheet'!CC66='Weeks Plan'!$D$6,'Planning Sheet'!BW66='Weeks Plan'!$G$6),'Planning Sheet'!$BX66,"")</f>
        <v/>
      </c>
      <c r="AA2531" s="48" t="str">
        <f ca="1">IF(AND('Planning Sheet'!CC66='Weeks Plan'!$D$6,'Planning Sheet'!BW66='Weeks Plan'!$G$6),'Planning Sheet'!$BY66,"")</f>
        <v/>
      </c>
    </row>
    <row r="2532" spans="25:27" x14ac:dyDescent="0.3">
      <c r="Y2532" s="48" t="str">
        <f ca="1">IF(AND('Planning Sheet'!CC67='Weeks Plan'!$D$6,'Planning Sheet'!BW67='Weeks Plan'!$G$6),'Planning Sheet'!$B67,"")</f>
        <v/>
      </c>
      <c r="Z2532" s="48" t="str">
        <f ca="1">IF(AND('Planning Sheet'!CC67='Weeks Plan'!$D$6,'Planning Sheet'!BW67='Weeks Plan'!$G$6),'Planning Sheet'!$BX67,"")</f>
        <v/>
      </c>
      <c r="AA2532" s="48" t="str">
        <f ca="1">IF(AND('Planning Sheet'!CC67='Weeks Plan'!$D$6,'Planning Sheet'!BW67='Weeks Plan'!$G$6),'Planning Sheet'!$BY67,"")</f>
        <v/>
      </c>
    </row>
    <row r="2533" spans="25:27" x14ac:dyDescent="0.3">
      <c r="Y2533" s="48" t="str">
        <f ca="1">IF(AND('Planning Sheet'!CC68='Weeks Plan'!$D$6,'Planning Sheet'!BW68='Weeks Plan'!$G$6),'Planning Sheet'!$B68,"")</f>
        <v/>
      </c>
      <c r="Z2533" s="48" t="str">
        <f ca="1">IF(AND('Planning Sheet'!CC68='Weeks Plan'!$D$6,'Planning Sheet'!BW68='Weeks Plan'!$G$6),'Planning Sheet'!$BX68,"")</f>
        <v/>
      </c>
      <c r="AA2533" s="48" t="str">
        <f ca="1">IF(AND('Planning Sheet'!CC68='Weeks Plan'!$D$6,'Planning Sheet'!BW68='Weeks Plan'!$G$6),'Planning Sheet'!$BY68,"")</f>
        <v/>
      </c>
    </row>
    <row r="2534" spans="25:27" x14ac:dyDescent="0.3">
      <c r="Y2534" s="48" t="str">
        <f ca="1">IF(AND('Planning Sheet'!CC69='Weeks Plan'!$D$6,'Planning Sheet'!BW69='Weeks Plan'!$G$6),'Planning Sheet'!$B69,"")</f>
        <v/>
      </c>
      <c r="Z2534" s="48" t="str">
        <f ca="1">IF(AND('Planning Sheet'!CC69='Weeks Plan'!$D$6,'Planning Sheet'!BW69='Weeks Plan'!$G$6),'Planning Sheet'!$BX69,"")</f>
        <v/>
      </c>
      <c r="AA2534" s="48" t="str">
        <f ca="1">IF(AND('Planning Sheet'!CC69='Weeks Plan'!$D$6,'Planning Sheet'!BW69='Weeks Plan'!$G$6),'Planning Sheet'!$BY69,"")</f>
        <v/>
      </c>
    </row>
    <row r="2535" spans="25:27" x14ac:dyDescent="0.3">
      <c r="Y2535" s="48" t="str">
        <f ca="1">IF(AND('Planning Sheet'!CC70='Weeks Plan'!$D$6,'Planning Sheet'!BW70='Weeks Plan'!$G$6),'Planning Sheet'!$B70,"")</f>
        <v/>
      </c>
      <c r="Z2535" s="48" t="str">
        <f ca="1">IF(AND('Planning Sheet'!CC70='Weeks Plan'!$D$6,'Planning Sheet'!BW70='Weeks Plan'!$G$6),'Planning Sheet'!$BX70,"")</f>
        <v/>
      </c>
      <c r="AA2535" s="48" t="str">
        <f ca="1">IF(AND('Planning Sheet'!CC70='Weeks Plan'!$D$6,'Planning Sheet'!BW70='Weeks Plan'!$G$6),'Planning Sheet'!$BY70,"")</f>
        <v/>
      </c>
    </row>
    <row r="2536" spans="25:27" x14ac:dyDescent="0.3">
      <c r="Y2536" s="48" t="str">
        <f ca="1">IF(AND('Planning Sheet'!CC71='Weeks Plan'!$D$6,'Planning Sheet'!BW71='Weeks Plan'!$G$6),'Planning Sheet'!$B71,"")</f>
        <v/>
      </c>
      <c r="Z2536" s="48" t="str">
        <f ca="1">IF(AND('Planning Sheet'!CC71='Weeks Plan'!$D$6,'Planning Sheet'!BW71='Weeks Plan'!$G$6),'Planning Sheet'!$BX71,"")</f>
        <v/>
      </c>
      <c r="AA2536" s="48" t="str">
        <f ca="1">IF(AND('Planning Sheet'!CC71='Weeks Plan'!$D$6,'Planning Sheet'!BW71='Weeks Plan'!$G$6),'Planning Sheet'!$BY71,"")</f>
        <v/>
      </c>
    </row>
    <row r="2537" spans="25:27" x14ac:dyDescent="0.3">
      <c r="Y2537" s="48" t="str">
        <f ca="1">IF(AND('Planning Sheet'!CC72='Weeks Plan'!$D$6,'Planning Sheet'!BW72='Weeks Plan'!$G$6),'Planning Sheet'!$B72,"")</f>
        <v/>
      </c>
      <c r="Z2537" s="48" t="str">
        <f ca="1">IF(AND('Planning Sheet'!CC72='Weeks Plan'!$D$6,'Planning Sheet'!BW72='Weeks Plan'!$G$6),'Planning Sheet'!$BX72,"")</f>
        <v/>
      </c>
      <c r="AA2537" s="48" t="str">
        <f ca="1">IF(AND('Planning Sheet'!CC72='Weeks Plan'!$D$6,'Planning Sheet'!BW72='Weeks Plan'!$G$6),'Planning Sheet'!$BY72,"")</f>
        <v/>
      </c>
    </row>
    <row r="2538" spans="25:27" x14ac:dyDescent="0.3">
      <c r="Y2538" s="48" t="str">
        <f ca="1">IF(AND('Planning Sheet'!CC73='Weeks Plan'!$D$6,'Planning Sheet'!BW73='Weeks Plan'!$G$6),'Planning Sheet'!$B73,"")</f>
        <v/>
      </c>
      <c r="Z2538" s="48" t="str">
        <f ca="1">IF(AND('Planning Sheet'!CC73='Weeks Plan'!$D$6,'Planning Sheet'!BW73='Weeks Plan'!$G$6),'Planning Sheet'!$BX73,"")</f>
        <v/>
      </c>
      <c r="AA2538" s="48" t="str">
        <f ca="1">IF(AND('Planning Sheet'!CC73='Weeks Plan'!$D$6,'Planning Sheet'!BW73='Weeks Plan'!$G$6),'Planning Sheet'!$BY73,"")</f>
        <v/>
      </c>
    </row>
    <row r="2539" spans="25:27" x14ac:dyDescent="0.3">
      <c r="Y2539" s="48" t="str">
        <f ca="1">IF(AND('Planning Sheet'!CC74='Weeks Plan'!$D$6,'Planning Sheet'!BW74='Weeks Plan'!$G$6),'Planning Sheet'!$B74,"")</f>
        <v/>
      </c>
      <c r="Z2539" s="48" t="str">
        <f ca="1">IF(AND('Planning Sheet'!CC74='Weeks Plan'!$D$6,'Planning Sheet'!BW74='Weeks Plan'!$G$6),'Planning Sheet'!$BX74,"")</f>
        <v/>
      </c>
      <c r="AA2539" s="48" t="str">
        <f ca="1">IF(AND('Planning Sheet'!CC74='Weeks Plan'!$D$6,'Planning Sheet'!BW74='Weeks Plan'!$G$6),'Planning Sheet'!$BY74,"")</f>
        <v/>
      </c>
    </row>
    <row r="2540" spans="25:27" x14ac:dyDescent="0.3">
      <c r="Y2540" s="48" t="str">
        <f ca="1">IF(AND('Planning Sheet'!CC75='Weeks Plan'!$D$6,'Planning Sheet'!BW75='Weeks Plan'!$G$6),'Planning Sheet'!$B75,"")</f>
        <v/>
      </c>
      <c r="Z2540" s="48" t="str">
        <f ca="1">IF(AND('Planning Sheet'!CC75='Weeks Plan'!$D$6,'Planning Sheet'!BW75='Weeks Plan'!$G$6),'Planning Sheet'!$BX75,"")</f>
        <v/>
      </c>
      <c r="AA2540" s="48" t="str">
        <f ca="1">IF(AND('Planning Sheet'!CC75='Weeks Plan'!$D$6,'Planning Sheet'!BW75='Weeks Plan'!$G$6),'Planning Sheet'!$BY75,"")</f>
        <v/>
      </c>
    </row>
    <row r="2541" spans="25:27" x14ac:dyDescent="0.3">
      <c r="Y2541" s="48" t="str">
        <f ca="1">IF(AND('Planning Sheet'!CC76='Weeks Plan'!$D$6,'Planning Sheet'!BW76='Weeks Plan'!$G$6),'Planning Sheet'!$B76,"")</f>
        <v/>
      </c>
      <c r="Z2541" s="48" t="str">
        <f ca="1">IF(AND('Planning Sheet'!CC76='Weeks Plan'!$D$6,'Planning Sheet'!BW76='Weeks Plan'!$G$6),'Planning Sheet'!$BX76,"")</f>
        <v/>
      </c>
      <c r="AA2541" s="48" t="str">
        <f ca="1">IF(AND('Planning Sheet'!CC76='Weeks Plan'!$D$6,'Planning Sheet'!BW76='Weeks Plan'!$G$6),'Planning Sheet'!$BY76,"")</f>
        <v/>
      </c>
    </row>
    <row r="2542" spans="25:27" x14ac:dyDescent="0.3">
      <c r="Y2542" s="48" t="str">
        <f ca="1">IF(AND('Planning Sheet'!CC77='Weeks Plan'!$D$6,'Planning Sheet'!BW77='Weeks Plan'!$G$6),'Planning Sheet'!$B77,"")</f>
        <v/>
      </c>
      <c r="Z2542" s="48" t="str">
        <f ca="1">IF(AND('Planning Sheet'!CC77='Weeks Plan'!$D$6,'Planning Sheet'!BW77='Weeks Plan'!$G$6),'Planning Sheet'!$BX77,"")</f>
        <v/>
      </c>
      <c r="AA2542" s="48" t="str">
        <f ca="1">IF(AND('Planning Sheet'!CC77='Weeks Plan'!$D$6,'Planning Sheet'!BW77='Weeks Plan'!$G$6),'Planning Sheet'!$BY77,"")</f>
        <v/>
      </c>
    </row>
    <row r="2543" spans="25:27" x14ac:dyDescent="0.3">
      <c r="Y2543" s="48" t="str">
        <f ca="1">IF(AND('Planning Sheet'!CC78='Weeks Plan'!$D$6,'Planning Sheet'!BW78='Weeks Plan'!$G$6),'Planning Sheet'!$B78,"")</f>
        <v/>
      </c>
      <c r="Z2543" s="48" t="str">
        <f ca="1">IF(AND('Planning Sheet'!CC78='Weeks Plan'!$D$6,'Planning Sheet'!BW78='Weeks Plan'!$G$6),'Planning Sheet'!$BX78,"")</f>
        <v/>
      </c>
      <c r="AA2543" s="48" t="str">
        <f ca="1">IF(AND('Planning Sheet'!CC78='Weeks Plan'!$D$6,'Planning Sheet'!BW78='Weeks Plan'!$G$6),'Planning Sheet'!$BY78,"")</f>
        <v/>
      </c>
    </row>
    <row r="2544" spans="25:27" x14ac:dyDescent="0.3">
      <c r="Y2544" s="48" t="str">
        <f ca="1">IF(AND('Planning Sheet'!CC79='Weeks Plan'!$D$6,'Planning Sheet'!BW79='Weeks Plan'!$G$6),'Planning Sheet'!$B79,"")</f>
        <v/>
      </c>
      <c r="Z2544" s="48" t="str">
        <f ca="1">IF(AND('Planning Sheet'!CC79='Weeks Plan'!$D$6,'Planning Sheet'!BW79='Weeks Plan'!$G$6),'Planning Sheet'!$BX79,"")</f>
        <v/>
      </c>
      <c r="AA2544" s="48" t="str">
        <f ca="1">IF(AND('Planning Sheet'!CC79='Weeks Plan'!$D$6,'Planning Sheet'!BW79='Weeks Plan'!$G$6),'Planning Sheet'!$BY79,"")</f>
        <v/>
      </c>
    </row>
    <row r="2545" spans="25:27" x14ac:dyDescent="0.3">
      <c r="Y2545" s="48" t="str">
        <f ca="1">IF(AND('Planning Sheet'!CC80='Weeks Plan'!$D$6,'Planning Sheet'!BW80='Weeks Plan'!$G$6),'Planning Sheet'!$B80,"")</f>
        <v/>
      </c>
      <c r="Z2545" s="48" t="str">
        <f ca="1">IF(AND('Planning Sheet'!CC80='Weeks Plan'!$D$6,'Planning Sheet'!BW80='Weeks Plan'!$G$6),'Planning Sheet'!$BX80,"")</f>
        <v/>
      </c>
      <c r="AA2545" s="48" t="str">
        <f ca="1">IF(AND('Planning Sheet'!CC80='Weeks Plan'!$D$6,'Planning Sheet'!BW80='Weeks Plan'!$G$6),'Planning Sheet'!$BY80,"")</f>
        <v/>
      </c>
    </row>
    <row r="2546" spans="25:27" x14ac:dyDescent="0.3">
      <c r="Y2546" s="48" t="str">
        <f ca="1">IF(AND('Planning Sheet'!CC81='Weeks Plan'!$D$6,'Planning Sheet'!BW81='Weeks Plan'!$G$6),'Planning Sheet'!$B81,"")</f>
        <v/>
      </c>
      <c r="Z2546" s="48" t="str">
        <f ca="1">IF(AND('Planning Sheet'!CC81='Weeks Plan'!$D$6,'Planning Sheet'!BW81='Weeks Plan'!$G$6),'Planning Sheet'!$BX81,"")</f>
        <v/>
      </c>
      <c r="AA2546" s="48" t="str">
        <f ca="1">IF(AND('Planning Sheet'!CC81='Weeks Plan'!$D$6,'Planning Sheet'!BW81='Weeks Plan'!$G$6),'Planning Sheet'!$BY81,"")</f>
        <v/>
      </c>
    </row>
    <row r="2547" spans="25:27" x14ac:dyDescent="0.3">
      <c r="Y2547" s="48" t="str">
        <f ca="1">IF(AND('Planning Sheet'!CC82='Weeks Plan'!$D$6,'Planning Sheet'!BW82='Weeks Plan'!$G$6),'Planning Sheet'!$B82,"")</f>
        <v/>
      </c>
      <c r="Z2547" s="48" t="str">
        <f ca="1">IF(AND('Planning Sheet'!CC82='Weeks Plan'!$D$6,'Planning Sheet'!BW82='Weeks Plan'!$G$6),'Planning Sheet'!$BX82,"")</f>
        <v/>
      </c>
      <c r="AA2547" s="48" t="str">
        <f ca="1">IF(AND('Planning Sheet'!CC82='Weeks Plan'!$D$6,'Planning Sheet'!BW82='Weeks Plan'!$G$6),'Planning Sheet'!$BY82,"")</f>
        <v/>
      </c>
    </row>
    <row r="2548" spans="25:27" x14ac:dyDescent="0.3">
      <c r="Y2548" s="48" t="str">
        <f ca="1">IF(AND('Planning Sheet'!CC83='Weeks Plan'!$D$6,'Planning Sheet'!BW83='Weeks Plan'!$G$6),'Planning Sheet'!$B83,"")</f>
        <v/>
      </c>
      <c r="Z2548" s="48" t="str">
        <f ca="1">IF(AND('Planning Sheet'!CC83='Weeks Plan'!$D$6,'Planning Sheet'!BW83='Weeks Plan'!$G$6),'Planning Sheet'!$BX83,"")</f>
        <v/>
      </c>
      <c r="AA2548" s="48" t="str">
        <f ca="1">IF(AND('Planning Sheet'!CC83='Weeks Plan'!$D$6,'Planning Sheet'!BW83='Weeks Plan'!$G$6),'Planning Sheet'!$BY83,"")</f>
        <v/>
      </c>
    </row>
    <row r="2549" spans="25:27" x14ac:dyDescent="0.3">
      <c r="Y2549" s="48" t="str">
        <f ca="1">IF(AND('Planning Sheet'!CC84='Weeks Plan'!$D$6,'Planning Sheet'!BW84='Weeks Plan'!$G$6),'Planning Sheet'!$B84,"")</f>
        <v/>
      </c>
      <c r="Z2549" s="48" t="str">
        <f ca="1">IF(AND('Planning Sheet'!CC84='Weeks Plan'!$D$6,'Planning Sheet'!BW84='Weeks Plan'!$G$6),'Planning Sheet'!$BX84,"")</f>
        <v/>
      </c>
      <c r="AA2549" s="48" t="str">
        <f ca="1">IF(AND('Planning Sheet'!CC84='Weeks Plan'!$D$6,'Planning Sheet'!BW84='Weeks Plan'!$G$6),'Planning Sheet'!$BY84,"")</f>
        <v/>
      </c>
    </row>
    <row r="2550" spans="25:27" x14ac:dyDescent="0.3">
      <c r="Y2550" s="48" t="str">
        <f ca="1">IF(AND('Planning Sheet'!CC85='Weeks Plan'!$D$6,'Planning Sheet'!BW85='Weeks Plan'!$G$6),'Planning Sheet'!$B85,"")</f>
        <v/>
      </c>
      <c r="Z2550" s="48" t="str">
        <f ca="1">IF(AND('Planning Sheet'!CC85='Weeks Plan'!$D$6,'Planning Sheet'!BW85='Weeks Plan'!$G$6),'Planning Sheet'!$BX85,"")</f>
        <v/>
      </c>
      <c r="AA2550" s="48" t="str">
        <f ca="1">IF(AND('Planning Sheet'!CC85='Weeks Plan'!$D$6,'Planning Sheet'!BW85='Weeks Plan'!$G$6),'Planning Sheet'!$BY85,"")</f>
        <v/>
      </c>
    </row>
    <row r="2551" spans="25:27" x14ac:dyDescent="0.3">
      <c r="Y2551" s="48" t="str">
        <f ca="1">IF(AND('Planning Sheet'!CC86='Weeks Plan'!$D$6,'Planning Sheet'!BW86='Weeks Plan'!$G$6),'Planning Sheet'!$B86,"")</f>
        <v/>
      </c>
      <c r="Z2551" s="48" t="str">
        <f ca="1">IF(AND('Planning Sheet'!CC86='Weeks Plan'!$D$6,'Planning Sheet'!BW86='Weeks Plan'!$G$6),'Planning Sheet'!$BX86,"")</f>
        <v/>
      </c>
      <c r="AA2551" s="48" t="str">
        <f ca="1">IF(AND('Planning Sheet'!CC86='Weeks Plan'!$D$6,'Planning Sheet'!BW86='Weeks Plan'!$G$6),'Planning Sheet'!$BY86,"")</f>
        <v/>
      </c>
    </row>
    <row r="2552" spans="25:27" x14ac:dyDescent="0.3">
      <c r="Y2552" s="48" t="str">
        <f ca="1">IF(AND('Planning Sheet'!CC87='Weeks Plan'!$D$6,'Planning Sheet'!BW87='Weeks Plan'!$G$6),'Planning Sheet'!$B87,"")</f>
        <v/>
      </c>
      <c r="Z2552" s="48" t="str">
        <f ca="1">IF(AND('Planning Sheet'!CC87='Weeks Plan'!$D$6,'Planning Sheet'!BW87='Weeks Plan'!$G$6),'Planning Sheet'!$BX87,"")</f>
        <v/>
      </c>
      <c r="AA2552" s="48" t="str">
        <f ca="1">IF(AND('Planning Sheet'!CC87='Weeks Plan'!$D$6,'Planning Sheet'!BW87='Weeks Plan'!$G$6),'Planning Sheet'!$BY87,"")</f>
        <v/>
      </c>
    </row>
    <row r="2553" spans="25:27" x14ac:dyDescent="0.3">
      <c r="Y2553" s="48" t="str">
        <f ca="1">IF(AND('Planning Sheet'!CC88='Weeks Plan'!$D$6,'Planning Sheet'!BW88='Weeks Plan'!$G$6),'Planning Sheet'!$B88,"")</f>
        <v/>
      </c>
      <c r="Z2553" s="48" t="str">
        <f ca="1">IF(AND('Planning Sheet'!CC88='Weeks Plan'!$D$6,'Planning Sheet'!BW88='Weeks Plan'!$G$6),'Planning Sheet'!$BX88,"")</f>
        <v/>
      </c>
      <c r="AA2553" s="48" t="str">
        <f ca="1">IF(AND('Planning Sheet'!CC88='Weeks Plan'!$D$6,'Planning Sheet'!BW88='Weeks Plan'!$G$6),'Planning Sheet'!$BY88,"")</f>
        <v/>
      </c>
    </row>
    <row r="2554" spans="25:27" x14ac:dyDescent="0.3">
      <c r="Y2554" s="48" t="str">
        <f ca="1">IF(AND('Planning Sheet'!CC89='Weeks Plan'!$D$6,'Planning Sheet'!BW89='Weeks Plan'!$G$6),'Planning Sheet'!$B89,"")</f>
        <v/>
      </c>
      <c r="Z2554" s="48" t="str">
        <f ca="1">IF(AND('Planning Sheet'!CC89='Weeks Plan'!$D$6,'Planning Sheet'!BW89='Weeks Plan'!$G$6),'Planning Sheet'!$BX89,"")</f>
        <v/>
      </c>
      <c r="AA2554" s="48" t="str">
        <f ca="1">IF(AND('Planning Sheet'!CC89='Weeks Plan'!$D$6,'Planning Sheet'!BW89='Weeks Plan'!$G$6),'Planning Sheet'!$BY89,"")</f>
        <v/>
      </c>
    </row>
    <row r="2555" spans="25:27" x14ac:dyDescent="0.3">
      <c r="Y2555" s="48" t="str">
        <f ca="1">IF(AND('Planning Sheet'!CC90='Weeks Plan'!$D$6,'Planning Sheet'!BW90='Weeks Plan'!$G$6),'Planning Sheet'!$B90,"")</f>
        <v/>
      </c>
      <c r="Z2555" s="48" t="str">
        <f ca="1">IF(AND('Planning Sheet'!CC90='Weeks Plan'!$D$6,'Planning Sheet'!BW90='Weeks Plan'!$G$6),'Planning Sheet'!$BX90,"")</f>
        <v/>
      </c>
      <c r="AA2555" s="48" t="str">
        <f ca="1">IF(AND('Planning Sheet'!CC90='Weeks Plan'!$D$6,'Planning Sheet'!BW90='Weeks Plan'!$G$6),'Planning Sheet'!$BY90,"")</f>
        <v/>
      </c>
    </row>
    <row r="2556" spans="25:27" x14ac:dyDescent="0.3">
      <c r="Y2556" s="48" t="str">
        <f ca="1">IF(AND('Planning Sheet'!CC91='Weeks Plan'!$D$6,'Planning Sheet'!BW91='Weeks Plan'!$G$6),'Planning Sheet'!$B91,"")</f>
        <v/>
      </c>
      <c r="Z2556" s="48" t="str">
        <f ca="1">IF(AND('Planning Sheet'!CC91='Weeks Plan'!$D$6,'Planning Sheet'!BW91='Weeks Plan'!$G$6),'Planning Sheet'!$BX91,"")</f>
        <v/>
      </c>
      <c r="AA2556" s="48" t="str">
        <f ca="1">IF(AND('Planning Sheet'!CC91='Weeks Plan'!$D$6,'Planning Sheet'!BW91='Weeks Plan'!$G$6),'Planning Sheet'!$BY91,"")</f>
        <v/>
      </c>
    </row>
    <row r="2557" spans="25:27" x14ac:dyDescent="0.3">
      <c r="Y2557" s="48" t="str">
        <f ca="1">IF(AND('Planning Sheet'!CC92='Weeks Plan'!$D$6,'Planning Sheet'!BW92='Weeks Plan'!$G$6),'Planning Sheet'!$B92,"")</f>
        <v/>
      </c>
      <c r="Z2557" s="48" t="str">
        <f ca="1">IF(AND('Planning Sheet'!CC92='Weeks Plan'!$D$6,'Planning Sheet'!BW92='Weeks Plan'!$G$6),'Planning Sheet'!$BX92,"")</f>
        <v/>
      </c>
      <c r="AA2557" s="48" t="str">
        <f ca="1">IF(AND('Planning Sheet'!CC92='Weeks Plan'!$D$6,'Planning Sheet'!BW92='Weeks Plan'!$G$6),'Planning Sheet'!$BY92,"")</f>
        <v/>
      </c>
    </row>
    <row r="2558" spans="25:27" x14ac:dyDescent="0.3">
      <c r="Y2558" s="48" t="str">
        <f ca="1">IF(AND('Planning Sheet'!CC93='Weeks Plan'!$D$6,'Planning Sheet'!BW93='Weeks Plan'!$G$6),'Planning Sheet'!$B93,"")</f>
        <v/>
      </c>
      <c r="Z2558" s="48" t="str">
        <f ca="1">IF(AND('Planning Sheet'!CC93='Weeks Plan'!$D$6,'Planning Sheet'!BW93='Weeks Plan'!$G$6),'Planning Sheet'!$BX93,"")</f>
        <v/>
      </c>
      <c r="AA2558" s="48" t="str">
        <f ca="1">IF(AND('Planning Sheet'!CC93='Weeks Plan'!$D$6,'Planning Sheet'!BW93='Weeks Plan'!$G$6),'Planning Sheet'!$BY93,"")</f>
        <v/>
      </c>
    </row>
    <row r="2559" spans="25:27" x14ac:dyDescent="0.3">
      <c r="Y2559" s="48" t="str">
        <f ca="1">IF(AND('Planning Sheet'!CC94='Weeks Plan'!$D$6,'Planning Sheet'!BW94='Weeks Plan'!$G$6),'Planning Sheet'!$B94,"")</f>
        <v/>
      </c>
      <c r="Z2559" s="48" t="str">
        <f ca="1">IF(AND('Planning Sheet'!CC94='Weeks Plan'!$D$6,'Planning Sheet'!BW94='Weeks Plan'!$G$6),'Planning Sheet'!$BX94,"")</f>
        <v/>
      </c>
      <c r="AA2559" s="48" t="str">
        <f ca="1">IF(AND('Planning Sheet'!CC94='Weeks Plan'!$D$6,'Planning Sheet'!BW94='Weeks Plan'!$G$6),'Planning Sheet'!$BY94,"")</f>
        <v/>
      </c>
    </row>
    <row r="2560" spans="25:27" x14ac:dyDescent="0.3">
      <c r="Y2560" s="48" t="str">
        <f ca="1">IF(AND('Planning Sheet'!CC95='Weeks Plan'!$D$6,'Planning Sheet'!BW95='Weeks Plan'!$G$6),'Planning Sheet'!$B95,"")</f>
        <v/>
      </c>
      <c r="Z2560" s="48" t="str">
        <f ca="1">IF(AND('Planning Sheet'!CC95='Weeks Plan'!$D$6,'Planning Sheet'!BW95='Weeks Plan'!$G$6),'Planning Sheet'!$BX95,"")</f>
        <v/>
      </c>
      <c r="AA2560" s="48" t="str">
        <f ca="1">IF(AND('Planning Sheet'!CC95='Weeks Plan'!$D$6,'Planning Sheet'!BW95='Weeks Plan'!$G$6),'Planning Sheet'!$BY95,"")</f>
        <v/>
      </c>
    </row>
    <row r="2561" spans="25:27" x14ac:dyDescent="0.3">
      <c r="Y2561" s="48" t="str">
        <f ca="1">IF(AND('Planning Sheet'!CC96='Weeks Plan'!$D$6,'Planning Sheet'!BW96='Weeks Plan'!$G$6),'Planning Sheet'!$B96,"")</f>
        <v/>
      </c>
      <c r="Z2561" s="48" t="str">
        <f ca="1">IF(AND('Planning Sheet'!CC96='Weeks Plan'!$D$6,'Planning Sheet'!BW96='Weeks Plan'!$G$6),'Planning Sheet'!$BX96,"")</f>
        <v/>
      </c>
      <c r="AA2561" s="48" t="str">
        <f ca="1">IF(AND('Planning Sheet'!CC96='Weeks Plan'!$D$6,'Planning Sheet'!BW96='Weeks Plan'!$G$6),'Planning Sheet'!$BY96,"")</f>
        <v/>
      </c>
    </row>
    <row r="2562" spans="25:27" x14ac:dyDescent="0.3">
      <c r="Y2562" s="48" t="str">
        <f ca="1">IF(AND('Planning Sheet'!CC97='Weeks Plan'!$D$6,'Planning Sheet'!BW97='Weeks Plan'!$G$6),'Planning Sheet'!$B97,"")</f>
        <v/>
      </c>
      <c r="Z2562" s="48" t="str">
        <f ca="1">IF(AND('Planning Sheet'!CC97='Weeks Plan'!$D$6,'Planning Sheet'!BW97='Weeks Plan'!$G$6),'Planning Sheet'!$BX97,"")</f>
        <v/>
      </c>
      <c r="AA2562" s="48" t="str">
        <f ca="1">IF(AND('Planning Sheet'!CC97='Weeks Plan'!$D$6,'Planning Sheet'!BW97='Weeks Plan'!$G$6),'Planning Sheet'!$BY97,"")</f>
        <v/>
      </c>
    </row>
    <row r="2563" spans="25:27" x14ac:dyDescent="0.3">
      <c r="Y2563" s="48" t="str">
        <f ca="1">IF(AND('Planning Sheet'!CC98='Weeks Plan'!$D$6,'Planning Sheet'!BW98='Weeks Plan'!$G$6),'Planning Sheet'!$B98,"")</f>
        <v/>
      </c>
      <c r="Z2563" s="48" t="str">
        <f ca="1">IF(AND('Planning Sheet'!CC98='Weeks Plan'!$D$6,'Planning Sheet'!BW98='Weeks Plan'!$G$6),'Planning Sheet'!$BX98,"")</f>
        <v/>
      </c>
      <c r="AA2563" s="48" t="str">
        <f ca="1">IF(AND('Planning Sheet'!CC98='Weeks Plan'!$D$6,'Planning Sheet'!BW98='Weeks Plan'!$G$6),'Planning Sheet'!$BY98,"")</f>
        <v/>
      </c>
    </row>
    <row r="2564" spans="25:27" x14ac:dyDescent="0.3">
      <c r="Y2564" s="48" t="str">
        <f ca="1">IF(AND('Planning Sheet'!CC99='Weeks Plan'!$D$6,'Planning Sheet'!BW99='Weeks Plan'!$G$6),'Planning Sheet'!$B99,"")</f>
        <v/>
      </c>
      <c r="Z2564" s="48" t="str">
        <f ca="1">IF(AND('Planning Sheet'!CC99='Weeks Plan'!$D$6,'Planning Sheet'!BW99='Weeks Plan'!$G$6),'Planning Sheet'!$BX99,"")</f>
        <v/>
      </c>
      <c r="AA2564" s="48" t="str">
        <f ca="1">IF(AND('Planning Sheet'!CC99='Weeks Plan'!$D$6,'Planning Sheet'!BW99='Weeks Plan'!$G$6),'Planning Sheet'!$BY99,"")</f>
        <v/>
      </c>
    </row>
    <row r="2565" spans="25:27" x14ac:dyDescent="0.3">
      <c r="Y2565" s="48" t="str">
        <f ca="1">IF(AND('Planning Sheet'!CC100='Weeks Plan'!$D$6,'Planning Sheet'!BW100='Weeks Plan'!$G$6),'Planning Sheet'!$B100,"")</f>
        <v/>
      </c>
      <c r="Z2565" s="48" t="str">
        <f ca="1">IF(AND('Planning Sheet'!CC100='Weeks Plan'!$D$6,'Planning Sheet'!BW100='Weeks Plan'!$G$6),'Planning Sheet'!$BX100,"")</f>
        <v/>
      </c>
      <c r="AA2565" s="48" t="str">
        <f ca="1">IF(AND('Planning Sheet'!CC100='Weeks Plan'!$D$6,'Planning Sheet'!BW100='Weeks Plan'!$G$6),'Planning Sheet'!$BY100,"")</f>
        <v/>
      </c>
    </row>
    <row r="2566" spans="25:27" x14ac:dyDescent="0.3">
      <c r="Y2566" s="48" t="str">
        <f ca="1">IF(AND('Planning Sheet'!CC101='Weeks Plan'!$D$6,'Planning Sheet'!BW101='Weeks Plan'!$G$6),'Planning Sheet'!$B101,"")</f>
        <v/>
      </c>
      <c r="Z2566" s="48" t="str">
        <f ca="1">IF(AND('Planning Sheet'!CC101='Weeks Plan'!$D$6,'Planning Sheet'!BW101='Weeks Plan'!$G$6),'Planning Sheet'!$BX101,"")</f>
        <v/>
      </c>
      <c r="AA2566" s="48" t="str">
        <f ca="1">IF(AND('Planning Sheet'!CC101='Weeks Plan'!$D$6,'Planning Sheet'!BW101='Weeks Plan'!$G$6),'Planning Sheet'!$BY101,"")</f>
        <v/>
      </c>
    </row>
    <row r="2567" spans="25:27" x14ac:dyDescent="0.3">
      <c r="Y2567" s="48" t="str">
        <f ca="1">IF(AND('Planning Sheet'!CC102='Weeks Plan'!$D$6,'Planning Sheet'!BW102='Weeks Plan'!$G$6),'Planning Sheet'!$B102,"")</f>
        <v/>
      </c>
      <c r="Z2567" s="48" t="str">
        <f ca="1">IF(AND('Planning Sheet'!CC102='Weeks Plan'!$D$6,'Planning Sheet'!BW102='Weeks Plan'!$G$6),'Planning Sheet'!$BX102,"")</f>
        <v/>
      </c>
      <c r="AA2567" s="48" t="str">
        <f ca="1">IF(AND('Planning Sheet'!CC102='Weeks Plan'!$D$6,'Planning Sheet'!BW102='Weeks Plan'!$G$6),'Planning Sheet'!$BY102,"")</f>
        <v/>
      </c>
    </row>
    <row r="2568" spans="25:27" x14ac:dyDescent="0.3">
      <c r="Y2568" s="48" t="str">
        <f ca="1">IF(AND('Planning Sheet'!CC103='Weeks Plan'!$D$6,'Planning Sheet'!BW103='Weeks Plan'!$G$6),'Planning Sheet'!$B103,"")</f>
        <v/>
      </c>
      <c r="Z2568" s="48" t="str">
        <f ca="1">IF(AND('Planning Sheet'!CC103='Weeks Plan'!$D$6,'Planning Sheet'!BW103='Weeks Plan'!$G$6),'Planning Sheet'!$BX103,"")</f>
        <v/>
      </c>
      <c r="AA2568" s="48" t="str">
        <f ca="1">IF(AND('Planning Sheet'!CC103='Weeks Plan'!$D$6,'Planning Sheet'!BW103='Weeks Plan'!$G$6),'Planning Sheet'!$BY103,"")</f>
        <v/>
      </c>
    </row>
    <row r="2569" spans="25:27" x14ac:dyDescent="0.3">
      <c r="Y2569" s="48" t="str">
        <f ca="1">IF(AND('Planning Sheet'!CC104='Weeks Plan'!$D$6,'Planning Sheet'!BW104='Weeks Plan'!$G$6),'Planning Sheet'!$B104,"")</f>
        <v/>
      </c>
      <c r="Z2569" s="48" t="str">
        <f ca="1">IF(AND('Planning Sheet'!CC104='Weeks Plan'!$D$6,'Planning Sheet'!BW104='Weeks Plan'!$G$6),'Planning Sheet'!$BX104,"")</f>
        <v/>
      </c>
      <c r="AA2569" s="48" t="str">
        <f ca="1">IF(AND('Planning Sheet'!CC104='Weeks Plan'!$D$6,'Planning Sheet'!BW104='Weeks Plan'!$G$6),'Planning Sheet'!$BY104,"")</f>
        <v/>
      </c>
    </row>
    <row r="2570" spans="25:27" x14ac:dyDescent="0.3">
      <c r="Y2570" s="48" t="str">
        <f ca="1">IF(AND('Planning Sheet'!CC105='Weeks Plan'!$D$6,'Planning Sheet'!BW105='Weeks Plan'!$G$6),'Planning Sheet'!$B105,"")</f>
        <v/>
      </c>
      <c r="Z2570" s="48" t="str">
        <f ca="1">IF(AND('Planning Sheet'!CC105='Weeks Plan'!$D$6,'Planning Sheet'!BW105='Weeks Plan'!$G$6),'Planning Sheet'!$BX105,"")</f>
        <v/>
      </c>
      <c r="AA2570" s="48" t="str">
        <f ca="1">IF(AND('Planning Sheet'!CC105='Weeks Plan'!$D$6,'Planning Sheet'!BW105='Weeks Plan'!$G$6),'Planning Sheet'!$BY105,"")</f>
        <v/>
      </c>
    </row>
    <row r="2571" spans="25:27" x14ac:dyDescent="0.3">
      <c r="Y2571" s="48" t="str">
        <f ca="1">IF(AND('Planning Sheet'!CC106='Weeks Plan'!$D$6,'Planning Sheet'!BW106='Weeks Plan'!$G$6),'Planning Sheet'!$B106,"")</f>
        <v/>
      </c>
      <c r="Z2571" s="48" t="str">
        <f ca="1">IF(AND('Planning Sheet'!CC106='Weeks Plan'!$D$6,'Planning Sheet'!BW106='Weeks Plan'!$G$6),'Planning Sheet'!$BX106,"")</f>
        <v/>
      </c>
      <c r="AA2571" s="48" t="str">
        <f ca="1">IF(AND('Planning Sheet'!CC106='Weeks Plan'!$D$6,'Planning Sheet'!BW106='Weeks Plan'!$G$6),'Planning Sheet'!$BY106,"")</f>
        <v/>
      </c>
    </row>
    <row r="2572" spans="25:27" x14ac:dyDescent="0.3">
      <c r="Y2572" s="48" t="str">
        <f ca="1">IF(AND('Planning Sheet'!CC107='Weeks Plan'!$D$6,'Planning Sheet'!BW107='Weeks Plan'!$G$6),'Planning Sheet'!$B107,"")</f>
        <v/>
      </c>
      <c r="Z2572" s="48" t="str">
        <f ca="1">IF(AND('Planning Sheet'!CC107='Weeks Plan'!$D$6,'Planning Sheet'!BW107='Weeks Plan'!$G$6),'Planning Sheet'!$BX107,"")</f>
        <v/>
      </c>
      <c r="AA2572" s="48" t="str">
        <f ca="1">IF(AND('Planning Sheet'!CC107='Weeks Plan'!$D$6,'Planning Sheet'!BW107='Weeks Plan'!$G$6),'Planning Sheet'!$BY107,"")</f>
        <v/>
      </c>
    </row>
    <row r="2573" spans="25:27" x14ac:dyDescent="0.3">
      <c r="Y2573" s="48" t="str">
        <f ca="1">IF(AND('Planning Sheet'!CC108='Weeks Plan'!$D$6,'Planning Sheet'!BW108='Weeks Plan'!$G$6),'Planning Sheet'!$B108,"")</f>
        <v/>
      </c>
      <c r="Z2573" s="48" t="str">
        <f ca="1">IF(AND('Planning Sheet'!CC108='Weeks Plan'!$D$6,'Planning Sheet'!BW108='Weeks Plan'!$G$6),'Planning Sheet'!$BX108,"")</f>
        <v/>
      </c>
      <c r="AA2573" s="48" t="str">
        <f ca="1">IF(AND('Planning Sheet'!CC108='Weeks Plan'!$D$6,'Planning Sheet'!BW108='Weeks Plan'!$G$6),'Planning Sheet'!$BY108,"")</f>
        <v/>
      </c>
    </row>
    <row r="2574" spans="25:27" x14ac:dyDescent="0.3">
      <c r="Y2574" s="48" t="str">
        <f ca="1">IF(AND('Planning Sheet'!CC109='Weeks Plan'!$D$6,'Planning Sheet'!BW109='Weeks Plan'!$G$6),'Planning Sheet'!$B109,"")</f>
        <v/>
      </c>
      <c r="Z2574" s="48" t="str">
        <f ca="1">IF(AND('Planning Sheet'!CC109='Weeks Plan'!$D$6,'Planning Sheet'!BW109='Weeks Plan'!$G$6),'Planning Sheet'!$BX109,"")</f>
        <v/>
      </c>
      <c r="AA2574" s="48" t="str">
        <f ca="1">IF(AND('Planning Sheet'!CC109='Weeks Plan'!$D$6,'Planning Sheet'!BW109='Weeks Plan'!$G$6),'Planning Sheet'!$BY109,"")</f>
        <v/>
      </c>
    </row>
    <row r="2575" spans="25:27" x14ac:dyDescent="0.3">
      <c r="Y2575" s="48" t="str">
        <f ca="1">IF(AND('Planning Sheet'!CC110='Weeks Plan'!$D$6,'Planning Sheet'!BW110='Weeks Plan'!$G$6),'Planning Sheet'!$B110,"")</f>
        <v/>
      </c>
      <c r="Z2575" s="48" t="str">
        <f ca="1">IF(AND('Planning Sheet'!CC110='Weeks Plan'!$D$6,'Planning Sheet'!BW110='Weeks Plan'!$G$6),'Planning Sheet'!$BX110,"")</f>
        <v/>
      </c>
      <c r="AA2575" s="48" t="str">
        <f ca="1">IF(AND('Planning Sheet'!CC110='Weeks Plan'!$D$6,'Planning Sheet'!BW110='Weeks Plan'!$G$6),'Planning Sheet'!$BY110,"")</f>
        <v/>
      </c>
    </row>
    <row r="2576" spans="25:27" x14ac:dyDescent="0.3">
      <c r="Y2576" s="48" t="str">
        <f ca="1">IF(AND('Planning Sheet'!CC111='Weeks Plan'!$D$6,'Planning Sheet'!BW111='Weeks Plan'!$G$6),'Planning Sheet'!$B111,"")</f>
        <v/>
      </c>
      <c r="Z2576" s="48" t="str">
        <f ca="1">IF(AND('Planning Sheet'!CC111='Weeks Plan'!$D$6,'Planning Sheet'!BW111='Weeks Plan'!$G$6),'Planning Sheet'!$BX111,"")</f>
        <v/>
      </c>
      <c r="AA2576" s="48" t="str">
        <f ca="1">IF(AND('Planning Sheet'!CC111='Weeks Plan'!$D$6,'Planning Sheet'!BW111='Weeks Plan'!$G$6),'Planning Sheet'!$BY111,"")</f>
        <v/>
      </c>
    </row>
    <row r="2577" spans="25:27" x14ac:dyDescent="0.3">
      <c r="Y2577" s="48" t="str">
        <f ca="1">IF(AND('Planning Sheet'!CC112='Weeks Plan'!$D$6,'Planning Sheet'!BW112='Weeks Plan'!$G$6),'Planning Sheet'!$B112,"")</f>
        <v/>
      </c>
      <c r="Z2577" s="48" t="str">
        <f ca="1">IF(AND('Planning Sheet'!CC112='Weeks Plan'!$D$6,'Planning Sheet'!BW112='Weeks Plan'!$G$6),'Planning Sheet'!$BX112,"")</f>
        <v/>
      </c>
      <c r="AA2577" s="48" t="str">
        <f ca="1">IF(AND('Planning Sheet'!CC112='Weeks Plan'!$D$6,'Planning Sheet'!BW112='Weeks Plan'!$G$6),'Planning Sheet'!$BY112,"")</f>
        <v/>
      </c>
    </row>
    <row r="2578" spans="25:27" x14ac:dyDescent="0.3">
      <c r="Y2578" s="48" t="str">
        <f ca="1">IF(AND('Planning Sheet'!CC113='Weeks Plan'!$D$6,'Planning Sheet'!BW113='Weeks Plan'!$G$6),'Planning Sheet'!$B113,"")</f>
        <v/>
      </c>
      <c r="Z2578" s="48" t="str">
        <f ca="1">IF(AND('Planning Sheet'!CC113='Weeks Plan'!$D$6,'Planning Sheet'!BW113='Weeks Plan'!$G$6),'Planning Sheet'!$BX113,"")</f>
        <v/>
      </c>
      <c r="AA2578" s="48" t="str">
        <f ca="1">IF(AND('Planning Sheet'!CC113='Weeks Plan'!$D$6,'Planning Sheet'!BW113='Weeks Plan'!$G$6),'Planning Sheet'!$BY113,"")</f>
        <v/>
      </c>
    </row>
    <row r="2579" spans="25:27" x14ac:dyDescent="0.3">
      <c r="Y2579" s="48" t="str">
        <f ca="1">IF(AND('Planning Sheet'!CC114='Weeks Plan'!$D$6,'Planning Sheet'!BW114='Weeks Plan'!$G$6),'Planning Sheet'!$B114,"")</f>
        <v/>
      </c>
      <c r="Z2579" s="48" t="str">
        <f ca="1">IF(AND('Planning Sheet'!CC114='Weeks Plan'!$D$6,'Planning Sheet'!BW114='Weeks Plan'!$G$6),'Planning Sheet'!$BX114,"")</f>
        <v/>
      </c>
      <c r="AA2579" s="48" t="str">
        <f ca="1">IF(AND('Planning Sheet'!CC114='Weeks Plan'!$D$6,'Planning Sheet'!BW114='Weeks Plan'!$G$6),'Planning Sheet'!$BY114,"")</f>
        <v/>
      </c>
    </row>
    <row r="2580" spans="25:27" x14ac:dyDescent="0.3">
      <c r="Y2580" s="48" t="str">
        <f ca="1">IF(AND('Planning Sheet'!CC115='Weeks Plan'!$D$6,'Planning Sheet'!BW115='Weeks Plan'!$G$6),'Planning Sheet'!$B115,"")</f>
        <v/>
      </c>
      <c r="Z2580" s="48" t="str">
        <f ca="1">IF(AND('Planning Sheet'!CC115='Weeks Plan'!$D$6,'Planning Sheet'!BW115='Weeks Plan'!$G$6),'Planning Sheet'!$BX115,"")</f>
        <v/>
      </c>
      <c r="AA2580" s="48" t="str">
        <f ca="1">IF(AND('Planning Sheet'!CC115='Weeks Plan'!$D$6,'Planning Sheet'!BW115='Weeks Plan'!$G$6),'Planning Sheet'!$BY115,"")</f>
        <v/>
      </c>
    </row>
    <row r="2581" spans="25:27" x14ac:dyDescent="0.3">
      <c r="Y2581" s="48" t="str">
        <f ca="1">IF(AND('Planning Sheet'!CC116='Weeks Plan'!$D$6,'Planning Sheet'!BW116='Weeks Plan'!$G$6),'Planning Sheet'!$B116,"")</f>
        <v/>
      </c>
      <c r="Z2581" s="48" t="str">
        <f ca="1">IF(AND('Planning Sheet'!CC116='Weeks Plan'!$D$6,'Planning Sheet'!BW116='Weeks Plan'!$G$6),'Planning Sheet'!$BX116,"")</f>
        <v/>
      </c>
      <c r="AA2581" s="48" t="str">
        <f ca="1">IF(AND('Planning Sheet'!CC116='Weeks Plan'!$D$6,'Planning Sheet'!BW116='Weeks Plan'!$G$6),'Planning Sheet'!$BY116,"")</f>
        <v/>
      </c>
    </row>
    <row r="2582" spans="25:27" x14ac:dyDescent="0.3">
      <c r="Y2582" s="48" t="str">
        <f ca="1">IF(AND('Planning Sheet'!CC117='Weeks Plan'!$D$6,'Planning Sheet'!BW117='Weeks Plan'!$G$6),'Planning Sheet'!$B117,"")</f>
        <v/>
      </c>
      <c r="Z2582" s="48" t="str">
        <f ca="1">IF(AND('Planning Sheet'!CC117='Weeks Plan'!$D$6,'Planning Sheet'!BW117='Weeks Plan'!$G$6),'Planning Sheet'!$BX117,"")</f>
        <v/>
      </c>
      <c r="AA2582" s="48" t="str">
        <f ca="1">IF(AND('Planning Sheet'!CC117='Weeks Plan'!$D$6,'Planning Sheet'!BW117='Weeks Plan'!$G$6),'Planning Sheet'!$BY117,"")</f>
        <v/>
      </c>
    </row>
    <row r="2583" spans="25:27" x14ac:dyDescent="0.3">
      <c r="Y2583" s="48" t="str">
        <f ca="1">IF(AND('Planning Sheet'!CC118='Weeks Plan'!$D$6,'Planning Sheet'!BW118='Weeks Plan'!$G$6),'Planning Sheet'!$B118,"")</f>
        <v/>
      </c>
      <c r="Z2583" s="48" t="str">
        <f ca="1">IF(AND('Planning Sheet'!CC118='Weeks Plan'!$D$6,'Planning Sheet'!BW118='Weeks Plan'!$G$6),'Planning Sheet'!$BX118,"")</f>
        <v/>
      </c>
      <c r="AA2583" s="48" t="str">
        <f ca="1">IF(AND('Planning Sheet'!CC118='Weeks Plan'!$D$6,'Planning Sheet'!BW118='Weeks Plan'!$G$6),'Planning Sheet'!$BY118,"")</f>
        <v/>
      </c>
    </row>
    <row r="2584" spans="25:27" x14ac:dyDescent="0.3">
      <c r="Y2584" s="48" t="str">
        <f ca="1">IF(AND('Planning Sheet'!CC119='Weeks Plan'!$D$6,'Planning Sheet'!BW119='Weeks Plan'!$G$6),'Planning Sheet'!$B119,"")</f>
        <v/>
      </c>
      <c r="Z2584" s="48" t="str">
        <f ca="1">IF(AND('Planning Sheet'!CC119='Weeks Plan'!$D$6,'Planning Sheet'!BW119='Weeks Plan'!$G$6),'Planning Sheet'!$BX119,"")</f>
        <v/>
      </c>
      <c r="AA2584" s="48" t="str">
        <f ca="1">IF(AND('Planning Sheet'!CC119='Weeks Plan'!$D$6,'Planning Sheet'!BW119='Weeks Plan'!$G$6),'Planning Sheet'!$BY119,"")</f>
        <v/>
      </c>
    </row>
    <row r="2585" spans="25:27" x14ac:dyDescent="0.3">
      <c r="Y2585" s="48" t="str">
        <f ca="1">IF(AND('Planning Sheet'!CC120='Weeks Plan'!$D$6,'Planning Sheet'!BW120='Weeks Plan'!$G$6),'Planning Sheet'!$B120,"")</f>
        <v/>
      </c>
      <c r="Z2585" s="48" t="str">
        <f ca="1">IF(AND('Planning Sheet'!CC120='Weeks Plan'!$D$6,'Planning Sheet'!BW120='Weeks Plan'!$G$6),'Planning Sheet'!$BX120,"")</f>
        <v/>
      </c>
      <c r="AA2585" s="48" t="str">
        <f ca="1">IF(AND('Planning Sheet'!CC120='Weeks Plan'!$D$6,'Planning Sheet'!BW120='Weeks Plan'!$G$6),'Planning Sheet'!$BY120,"")</f>
        <v/>
      </c>
    </row>
    <row r="2586" spans="25:27" x14ac:dyDescent="0.3">
      <c r="Y2586" s="48" t="str">
        <f ca="1">IF(AND('Planning Sheet'!CC121='Weeks Plan'!$D$6,'Planning Sheet'!BW121='Weeks Plan'!$G$6),'Planning Sheet'!$B121,"")</f>
        <v/>
      </c>
      <c r="Z2586" s="48" t="str">
        <f ca="1">IF(AND('Planning Sheet'!CC121='Weeks Plan'!$D$6,'Planning Sheet'!BW121='Weeks Plan'!$G$6),'Planning Sheet'!$BX121,"")</f>
        <v/>
      </c>
      <c r="AA2586" s="48" t="str">
        <f ca="1">IF(AND('Planning Sheet'!CC121='Weeks Plan'!$D$6,'Planning Sheet'!BW121='Weeks Plan'!$G$6),'Planning Sheet'!$BY121,"")</f>
        <v/>
      </c>
    </row>
    <row r="2587" spans="25:27" x14ac:dyDescent="0.3">
      <c r="Y2587" s="48" t="str">
        <f ca="1">IF(AND('Planning Sheet'!CC122='Weeks Plan'!$D$6,'Planning Sheet'!BW122='Weeks Plan'!$G$6),'Planning Sheet'!$B122,"")</f>
        <v/>
      </c>
      <c r="Z2587" s="48" t="str">
        <f ca="1">IF(AND('Planning Sheet'!CC122='Weeks Plan'!$D$6,'Planning Sheet'!BW122='Weeks Plan'!$G$6),'Planning Sheet'!$BX122,"")</f>
        <v/>
      </c>
      <c r="AA2587" s="48" t="str">
        <f ca="1">IF(AND('Planning Sheet'!CC122='Weeks Plan'!$D$6,'Planning Sheet'!BW122='Weeks Plan'!$G$6),'Planning Sheet'!$BY122,"")</f>
        <v/>
      </c>
    </row>
    <row r="2588" spans="25:27" x14ac:dyDescent="0.3">
      <c r="Y2588" s="48" t="str">
        <f ca="1">IF(AND('Planning Sheet'!CC123='Weeks Plan'!$D$6,'Planning Sheet'!BW123='Weeks Plan'!$G$6),'Planning Sheet'!$B123,"")</f>
        <v/>
      </c>
      <c r="Z2588" s="48" t="str">
        <f ca="1">IF(AND('Planning Sheet'!CC123='Weeks Plan'!$D$6,'Planning Sheet'!BW123='Weeks Plan'!$G$6),'Planning Sheet'!$BX123,"")</f>
        <v/>
      </c>
      <c r="AA2588" s="48" t="str">
        <f ca="1">IF(AND('Planning Sheet'!CC123='Weeks Plan'!$D$6,'Planning Sheet'!BW123='Weeks Plan'!$G$6),'Planning Sheet'!$BY123,"")</f>
        <v/>
      </c>
    </row>
    <row r="2589" spans="25:27" x14ac:dyDescent="0.3">
      <c r="Y2589" s="48" t="str">
        <f ca="1">IF(AND('Planning Sheet'!CC124='Weeks Plan'!$D$6,'Planning Sheet'!BW124='Weeks Plan'!$G$6),'Planning Sheet'!$B124,"")</f>
        <v/>
      </c>
      <c r="Z2589" s="48" t="str">
        <f ca="1">IF(AND('Planning Sheet'!CC124='Weeks Plan'!$D$6,'Planning Sheet'!BW124='Weeks Plan'!$G$6),'Planning Sheet'!$BX124,"")</f>
        <v/>
      </c>
      <c r="AA2589" s="48" t="str">
        <f ca="1">IF(AND('Planning Sheet'!CC124='Weeks Plan'!$D$6,'Planning Sheet'!BW124='Weeks Plan'!$G$6),'Planning Sheet'!$BY124,"")</f>
        <v/>
      </c>
    </row>
    <row r="2590" spans="25:27" x14ac:dyDescent="0.3">
      <c r="Y2590" s="48" t="str">
        <f ca="1">IF(AND('Planning Sheet'!CC125='Weeks Plan'!$D$6,'Planning Sheet'!BW125='Weeks Plan'!$G$6),'Planning Sheet'!$B125,"")</f>
        <v/>
      </c>
      <c r="Z2590" s="48" t="str">
        <f ca="1">IF(AND('Planning Sheet'!CC125='Weeks Plan'!$D$6,'Planning Sheet'!BW125='Weeks Plan'!$G$6),'Planning Sheet'!$BX125,"")</f>
        <v/>
      </c>
      <c r="AA2590" s="48" t="str">
        <f ca="1">IF(AND('Planning Sheet'!CC125='Weeks Plan'!$D$6,'Planning Sheet'!BW125='Weeks Plan'!$G$6),'Planning Sheet'!$BY125,"")</f>
        <v/>
      </c>
    </row>
    <row r="2591" spans="25:27" x14ac:dyDescent="0.3">
      <c r="Y2591" s="48" t="str">
        <f ca="1">IF(AND('Planning Sheet'!CC126='Weeks Plan'!$D$6,'Planning Sheet'!BW126='Weeks Plan'!$G$6),'Planning Sheet'!$B126,"")</f>
        <v/>
      </c>
      <c r="Z2591" s="48" t="str">
        <f ca="1">IF(AND('Planning Sheet'!CC126='Weeks Plan'!$D$6,'Planning Sheet'!BW126='Weeks Plan'!$G$6),'Planning Sheet'!$BX126,"")</f>
        <v/>
      </c>
      <c r="AA2591" s="48" t="str">
        <f ca="1">IF(AND('Planning Sheet'!CC126='Weeks Plan'!$D$6,'Planning Sheet'!BW126='Weeks Plan'!$G$6),'Planning Sheet'!$BY126,"")</f>
        <v/>
      </c>
    </row>
    <row r="2592" spans="25:27" x14ac:dyDescent="0.3">
      <c r="Y2592" s="48" t="str">
        <f ca="1">IF(AND('Planning Sheet'!CC127='Weeks Plan'!$D$6,'Planning Sheet'!BW127='Weeks Plan'!$G$6),'Planning Sheet'!$B127,"")</f>
        <v/>
      </c>
      <c r="Z2592" s="48" t="str">
        <f ca="1">IF(AND('Planning Sheet'!CC127='Weeks Plan'!$D$6,'Planning Sheet'!BW127='Weeks Plan'!$G$6),'Planning Sheet'!$BX127,"")</f>
        <v/>
      </c>
      <c r="AA2592" s="48" t="str">
        <f ca="1">IF(AND('Planning Sheet'!CC127='Weeks Plan'!$D$6,'Planning Sheet'!BW127='Weeks Plan'!$G$6),'Planning Sheet'!$BY127,"")</f>
        <v/>
      </c>
    </row>
    <row r="2593" spans="25:27" x14ac:dyDescent="0.3">
      <c r="Y2593" s="48" t="str">
        <f ca="1">IF(AND('Planning Sheet'!CC128='Weeks Plan'!$D$6,'Planning Sheet'!BW128='Weeks Plan'!$G$6),'Planning Sheet'!$B128,"")</f>
        <v/>
      </c>
      <c r="Z2593" s="48" t="str">
        <f ca="1">IF(AND('Planning Sheet'!CC128='Weeks Plan'!$D$6,'Planning Sheet'!BW128='Weeks Plan'!$G$6),'Planning Sheet'!$BX128,"")</f>
        <v/>
      </c>
      <c r="AA2593" s="48" t="str">
        <f ca="1">IF(AND('Planning Sheet'!CC128='Weeks Plan'!$D$6,'Planning Sheet'!BW128='Weeks Plan'!$G$6),'Planning Sheet'!$BY128,"")</f>
        <v/>
      </c>
    </row>
    <row r="2594" spans="25:27" x14ac:dyDescent="0.3">
      <c r="Y2594" s="48" t="str">
        <f ca="1">IF(AND('Planning Sheet'!CC129='Weeks Plan'!$D$6,'Planning Sheet'!BW129='Weeks Plan'!$G$6),'Planning Sheet'!$B129,"")</f>
        <v/>
      </c>
      <c r="Z2594" s="48" t="str">
        <f ca="1">IF(AND('Planning Sheet'!CC129='Weeks Plan'!$D$6,'Planning Sheet'!BW129='Weeks Plan'!$G$6),'Planning Sheet'!$BX129,"")</f>
        <v/>
      </c>
      <c r="AA2594" s="48" t="str">
        <f ca="1">IF(AND('Planning Sheet'!CC129='Weeks Plan'!$D$6,'Planning Sheet'!BW129='Weeks Plan'!$G$6),'Planning Sheet'!$BY129,"")</f>
        <v/>
      </c>
    </row>
    <row r="2595" spans="25:27" x14ac:dyDescent="0.3">
      <c r="Y2595" s="48" t="str">
        <f ca="1">IF(AND('Planning Sheet'!CC130='Weeks Plan'!$D$6,'Planning Sheet'!BW130='Weeks Plan'!$G$6),'Planning Sheet'!$B130,"")</f>
        <v/>
      </c>
      <c r="Z2595" s="48" t="str">
        <f ca="1">IF(AND('Planning Sheet'!CC130='Weeks Plan'!$D$6,'Planning Sheet'!BW130='Weeks Plan'!$G$6),'Planning Sheet'!$BX130,"")</f>
        <v/>
      </c>
      <c r="AA2595" s="48" t="str">
        <f ca="1">IF(AND('Planning Sheet'!CC130='Weeks Plan'!$D$6,'Planning Sheet'!BW130='Weeks Plan'!$G$6),'Planning Sheet'!$BY130,"")</f>
        <v/>
      </c>
    </row>
    <row r="2596" spans="25:27" x14ac:dyDescent="0.3">
      <c r="Y2596" s="48" t="str">
        <f ca="1">IF(AND('Planning Sheet'!CC131='Weeks Plan'!$D$6,'Planning Sheet'!BW131='Weeks Plan'!$G$6),'Planning Sheet'!$B131,"")</f>
        <v/>
      </c>
      <c r="Z2596" s="48" t="str">
        <f ca="1">IF(AND('Planning Sheet'!CC131='Weeks Plan'!$D$6,'Planning Sheet'!BW131='Weeks Plan'!$G$6),'Planning Sheet'!$BX131,"")</f>
        <v/>
      </c>
      <c r="AA2596" s="48" t="str">
        <f ca="1">IF(AND('Planning Sheet'!CC131='Weeks Plan'!$D$6,'Planning Sheet'!BW131='Weeks Plan'!$G$6),'Planning Sheet'!$BY131,"")</f>
        <v/>
      </c>
    </row>
    <row r="2597" spans="25:27" x14ac:dyDescent="0.3">
      <c r="Y2597" s="48" t="str">
        <f ca="1">IF(AND('Planning Sheet'!CC132='Weeks Plan'!$D$6,'Planning Sheet'!BW132='Weeks Plan'!$G$6),'Planning Sheet'!$B132,"")</f>
        <v/>
      </c>
      <c r="Z2597" s="48" t="str">
        <f ca="1">IF(AND('Planning Sheet'!CC132='Weeks Plan'!$D$6,'Planning Sheet'!BW132='Weeks Plan'!$G$6),'Planning Sheet'!$BX132,"")</f>
        <v/>
      </c>
      <c r="AA2597" s="48" t="str">
        <f ca="1">IF(AND('Planning Sheet'!CC132='Weeks Plan'!$D$6,'Planning Sheet'!BW132='Weeks Plan'!$G$6),'Planning Sheet'!$BY132,"")</f>
        <v/>
      </c>
    </row>
    <row r="2598" spans="25:27" x14ac:dyDescent="0.3">
      <c r="Y2598" s="48" t="str">
        <f ca="1">IF(AND('Planning Sheet'!CC133='Weeks Plan'!$D$6,'Planning Sheet'!BW133='Weeks Plan'!$G$6),'Planning Sheet'!$B133,"")</f>
        <v/>
      </c>
      <c r="Z2598" s="48" t="str">
        <f ca="1">IF(AND('Planning Sheet'!CC133='Weeks Plan'!$D$6,'Planning Sheet'!BW133='Weeks Plan'!$G$6),'Planning Sheet'!$BX133,"")</f>
        <v/>
      </c>
      <c r="AA2598" s="48" t="str">
        <f ca="1">IF(AND('Planning Sheet'!CC133='Weeks Plan'!$D$6,'Planning Sheet'!BW133='Weeks Plan'!$G$6),'Planning Sheet'!$BY133,"")</f>
        <v/>
      </c>
    </row>
    <row r="2599" spans="25:27" x14ac:dyDescent="0.3">
      <c r="Y2599" s="48" t="str">
        <f ca="1">IF(AND('Planning Sheet'!CC134='Weeks Plan'!$D$6,'Planning Sheet'!BW134='Weeks Plan'!$G$6),'Planning Sheet'!$B134,"")</f>
        <v/>
      </c>
      <c r="Z2599" s="48" t="str">
        <f ca="1">IF(AND('Planning Sheet'!CC134='Weeks Plan'!$D$6,'Planning Sheet'!BW134='Weeks Plan'!$G$6),'Planning Sheet'!$BX134,"")</f>
        <v/>
      </c>
      <c r="AA2599" s="48" t="str">
        <f ca="1">IF(AND('Planning Sheet'!CC134='Weeks Plan'!$D$6,'Planning Sheet'!BW134='Weeks Plan'!$G$6),'Planning Sheet'!$BY134,"")</f>
        <v/>
      </c>
    </row>
    <row r="2600" spans="25:27" x14ac:dyDescent="0.3">
      <c r="Y2600" s="48" t="str">
        <f ca="1">IF(AND('Planning Sheet'!CC135='Weeks Plan'!$D$6,'Planning Sheet'!BW135='Weeks Plan'!$G$6),'Planning Sheet'!$B135,"")</f>
        <v/>
      </c>
      <c r="Z2600" s="48" t="str">
        <f ca="1">IF(AND('Planning Sheet'!CC135='Weeks Plan'!$D$6,'Planning Sheet'!BW135='Weeks Plan'!$G$6),'Planning Sheet'!$BX135,"")</f>
        <v/>
      </c>
      <c r="AA2600" s="48" t="str">
        <f ca="1">IF(AND('Planning Sheet'!CC135='Weeks Plan'!$D$6,'Planning Sheet'!BW135='Weeks Plan'!$G$6),'Planning Sheet'!$BY135,"")</f>
        <v/>
      </c>
    </row>
    <row r="2601" spans="25:27" x14ac:dyDescent="0.3">
      <c r="Y2601" s="48" t="str">
        <f ca="1">IF(AND('Planning Sheet'!CC136='Weeks Plan'!$D$6,'Planning Sheet'!BW136='Weeks Plan'!$G$6),'Planning Sheet'!$B136,"")</f>
        <v/>
      </c>
      <c r="Z2601" s="48" t="str">
        <f ca="1">IF(AND('Planning Sheet'!CC136='Weeks Plan'!$D$6,'Planning Sheet'!BW136='Weeks Plan'!$G$6),'Planning Sheet'!$BX136,"")</f>
        <v/>
      </c>
      <c r="AA2601" s="48" t="str">
        <f ca="1">IF(AND('Planning Sheet'!CC136='Weeks Plan'!$D$6,'Planning Sheet'!BW136='Weeks Plan'!$G$6),'Planning Sheet'!$BY136,"")</f>
        <v/>
      </c>
    </row>
    <row r="2602" spans="25:27" x14ac:dyDescent="0.3">
      <c r="Y2602" s="48" t="str">
        <f ca="1">IF(AND('Planning Sheet'!CC137='Weeks Plan'!$D$6,'Planning Sheet'!BW137='Weeks Plan'!$G$6),'Planning Sheet'!$B137,"")</f>
        <v/>
      </c>
      <c r="Z2602" s="48" t="str">
        <f ca="1">IF(AND('Planning Sheet'!CC137='Weeks Plan'!$D$6,'Planning Sheet'!BW137='Weeks Plan'!$G$6),'Planning Sheet'!$BX137,"")</f>
        <v/>
      </c>
      <c r="AA2602" s="48" t="str">
        <f ca="1">IF(AND('Planning Sheet'!CC137='Weeks Plan'!$D$6,'Planning Sheet'!BW137='Weeks Plan'!$G$6),'Planning Sheet'!$BY137,"")</f>
        <v/>
      </c>
    </row>
    <row r="2603" spans="25:27" x14ac:dyDescent="0.3">
      <c r="Y2603" s="48" t="str">
        <f ca="1">IF(AND('Planning Sheet'!CC138='Weeks Plan'!$D$6,'Planning Sheet'!BW138='Weeks Plan'!$G$6),'Planning Sheet'!$B138,"")</f>
        <v/>
      </c>
      <c r="Z2603" s="48" t="str">
        <f ca="1">IF(AND('Planning Sheet'!CC138='Weeks Plan'!$D$6,'Planning Sheet'!BW138='Weeks Plan'!$G$6),'Planning Sheet'!$BX138,"")</f>
        <v/>
      </c>
      <c r="AA2603" s="48" t="str">
        <f ca="1">IF(AND('Planning Sheet'!CC138='Weeks Plan'!$D$6,'Planning Sheet'!BW138='Weeks Plan'!$G$6),'Planning Sheet'!$BY138,"")</f>
        <v/>
      </c>
    </row>
    <row r="2604" spans="25:27" x14ac:dyDescent="0.3">
      <c r="Y2604" s="48" t="str">
        <f ca="1">IF(AND('Planning Sheet'!CC139='Weeks Plan'!$D$6,'Planning Sheet'!BW139='Weeks Plan'!$G$6),'Planning Sheet'!$B139,"")</f>
        <v/>
      </c>
      <c r="Z2604" s="48" t="str">
        <f ca="1">IF(AND('Planning Sheet'!CC139='Weeks Plan'!$D$6,'Planning Sheet'!BW139='Weeks Plan'!$G$6),'Planning Sheet'!$BX139,"")</f>
        <v/>
      </c>
      <c r="AA2604" s="48" t="str">
        <f ca="1">IF(AND('Planning Sheet'!CC139='Weeks Plan'!$D$6,'Planning Sheet'!BW139='Weeks Plan'!$G$6),'Planning Sheet'!$BY139,"")</f>
        <v/>
      </c>
    </row>
    <row r="2605" spans="25:27" x14ac:dyDescent="0.3">
      <c r="Y2605" s="48" t="str">
        <f ca="1">IF(AND('Planning Sheet'!CC140='Weeks Plan'!$D$6,'Planning Sheet'!BW140='Weeks Plan'!$G$6),'Planning Sheet'!$B140,"")</f>
        <v/>
      </c>
      <c r="Z2605" s="48" t="str">
        <f ca="1">IF(AND('Planning Sheet'!CC140='Weeks Plan'!$D$6,'Planning Sheet'!BW140='Weeks Plan'!$G$6),'Planning Sheet'!$BX140,"")</f>
        <v/>
      </c>
      <c r="AA2605" s="48" t="str">
        <f ca="1">IF(AND('Planning Sheet'!CC140='Weeks Plan'!$D$6,'Planning Sheet'!BW140='Weeks Plan'!$G$6),'Planning Sheet'!$BY140,"")</f>
        <v/>
      </c>
    </row>
    <row r="2606" spans="25:27" x14ac:dyDescent="0.3">
      <c r="Y2606" s="48" t="str">
        <f ca="1">IF(AND('Planning Sheet'!CC141='Weeks Plan'!$D$6,'Planning Sheet'!BW141='Weeks Plan'!$G$6),'Planning Sheet'!$B141,"")</f>
        <v/>
      </c>
      <c r="Z2606" s="48" t="str">
        <f ca="1">IF(AND('Planning Sheet'!CC141='Weeks Plan'!$D$6,'Planning Sheet'!BW141='Weeks Plan'!$G$6),'Planning Sheet'!$BX141,"")</f>
        <v/>
      </c>
      <c r="AA2606" s="48" t="str">
        <f ca="1">IF(AND('Planning Sheet'!CC141='Weeks Plan'!$D$6,'Planning Sheet'!BW141='Weeks Plan'!$G$6),'Planning Sheet'!$BY141,"")</f>
        <v/>
      </c>
    </row>
    <row r="2607" spans="25:27" x14ac:dyDescent="0.3">
      <c r="Y2607" s="48" t="str">
        <f ca="1">IF(AND('Planning Sheet'!CC142='Weeks Plan'!$D$6,'Planning Sheet'!BW142='Weeks Plan'!$G$6),'Planning Sheet'!$B142,"")</f>
        <v/>
      </c>
      <c r="Z2607" s="48" t="str">
        <f ca="1">IF(AND('Planning Sheet'!CC142='Weeks Plan'!$D$6,'Planning Sheet'!BW142='Weeks Plan'!$G$6),'Planning Sheet'!$BX142,"")</f>
        <v/>
      </c>
      <c r="AA2607" s="48" t="str">
        <f ca="1">IF(AND('Planning Sheet'!CC142='Weeks Plan'!$D$6,'Planning Sheet'!BW142='Weeks Plan'!$G$6),'Planning Sheet'!$BY142,"")</f>
        <v/>
      </c>
    </row>
    <row r="2608" spans="25:27" x14ac:dyDescent="0.3">
      <c r="Y2608" s="48" t="str">
        <f ca="1">IF(AND('Planning Sheet'!CC143='Weeks Plan'!$D$6,'Planning Sheet'!BW143='Weeks Plan'!$G$6),'Planning Sheet'!$B143,"")</f>
        <v/>
      </c>
      <c r="Z2608" s="48" t="str">
        <f ca="1">IF(AND('Planning Sheet'!CC143='Weeks Plan'!$D$6,'Planning Sheet'!BW143='Weeks Plan'!$G$6),'Planning Sheet'!$BX143,"")</f>
        <v/>
      </c>
      <c r="AA2608" s="48" t="str">
        <f ca="1">IF(AND('Planning Sheet'!CC143='Weeks Plan'!$D$6,'Planning Sheet'!BW143='Weeks Plan'!$G$6),'Planning Sheet'!$BY143,"")</f>
        <v/>
      </c>
    </row>
    <row r="2609" spans="25:27" x14ac:dyDescent="0.3">
      <c r="Y2609" s="48" t="str">
        <f ca="1">IF(AND('Planning Sheet'!CC144='Weeks Plan'!$D$6,'Planning Sheet'!BW144='Weeks Plan'!$G$6),'Planning Sheet'!$B144,"")</f>
        <v/>
      </c>
      <c r="Z2609" s="48" t="str">
        <f ca="1">IF(AND('Planning Sheet'!CC144='Weeks Plan'!$D$6,'Planning Sheet'!BW144='Weeks Plan'!$G$6),'Planning Sheet'!$BX144,"")</f>
        <v/>
      </c>
      <c r="AA2609" s="48" t="str">
        <f ca="1">IF(AND('Planning Sheet'!CC144='Weeks Plan'!$D$6,'Planning Sheet'!BW144='Weeks Plan'!$G$6),'Planning Sheet'!$BY144,"")</f>
        <v/>
      </c>
    </row>
    <row r="2610" spans="25:27" x14ac:dyDescent="0.3">
      <c r="Y2610" s="48" t="str">
        <f ca="1">IF(AND('Planning Sheet'!CC145='Weeks Plan'!$D$6,'Planning Sheet'!BW145='Weeks Plan'!$G$6),'Planning Sheet'!$B145,"")</f>
        <v/>
      </c>
      <c r="Z2610" s="48" t="str">
        <f ca="1">IF(AND('Planning Sheet'!CC145='Weeks Plan'!$D$6,'Planning Sheet'!BW145='Weeks Plan'!$G$6),'Planning Sheet'!$BX145,"")</f>
        <v/>
      </c>
      <c r="AA2610" s="48" t="str">
        <f ca="1">IF(AND('Planning Sheet'!CC145='Weeks Plan'!$D$6,'Planning Sheet'!BW145='Weeks Plan'!$G$6),'Planning Sheet'!$BY145,"")</f>
        <v/>
      </c>
    </row>
    <row r="2611" spans="25:27" x14ac:dyDescent="0.3">
      <c r="Y2611" s="48" t="str">
        <f ca="1">IF(AND('Planning Sheet'!CC146='Weeks Plan'!$D$6,'Planning Sheet'!BW146='Weeks Plan'!$G$6),'Planning Sheet'!$B146,"")</f>
        <v/>
      </c>
      <c r="Z2611" s="48" t="str">
        <f ca="1">IF(AND('Planning Sheet'!CC146='Weeks Plan'!$D$6,'Planning Sheet'!BW146='Weeks Plan'!$G$6),'Planning Sheet'!$BX146,"")</f>
        <v/>
      </c>
      <c r="AA2611" s="48" t="str">
        <f ca="1">IF(AND('Planning Sheet'!CC146='Weeks Plan'!$D$6,'Planning Sheet'!BW146='Weeks Plan'!$G$6),'Planning Sheet'!$BY146,"")</f>
        <v/>
      </c>
    </row>
    <row r="2612" spans="25:27" x14ac:dyDescent="0.3">
      <c r="Y2612" s="48" t="str">
        <f ca="1">IF(AND('Planning Sheet'!CC147='Weeks Plan'!$D$6,'Planning Sheet'!BW147='Weeks Plan'!$G$6),'Planning Sheet'!$B147,"")</f>
        <v/>
      </c>
      <c r="Z2612" s="48" t="str">
        <f ca="1">IF(AND('Planning Sheet'!CC147='Weeks Plan'!$D$6,'Planning Sheet'!BW147='Weeks Plan'!$G$6),'Planning Sheet'!$BX147,"")</f>
        <v/>
      </c>
      <c r="AA2612" s="48" t="str">
        <f ca="1">IF(AND('Planning Sheet'!CC147='Weeks Plan'!$D$6,'Planning Sheet'!BW147='Weeks Plan'!$G$6),'Planning Sheet'!$BY147,"")</f>
        <v/>
      </c>
    </row>
    <row r="2613" spans="25:27" x14ac:dyDescent="0.3">
      <c r="Y2613" s="48" t="str">
        <f ca="1">IF(AND('Planning Sheet'!CC148='Weeks Plan'!$D$6,'Planning Sheet'!BW148='Weeks Plan'!$G$6),'Planning Sheet'!$B148,"")</f>
        <v/>
      </c>
      <c r="Z2613" s="48" t="str">
        <f ca="1">IF(AND('Planning Sheet'!CC148='Weeks Plan'!$D$6,'Planning Sheet'!BW148='Weeks Plan'!$G$6),'Planning Sheet'!$BX148,"")</f>
        <v/>
      </c>
      <c r="AA2613" s="48" t="str">
        <f ca="1">IF(AND('Planning Sheet'!CC148='Weeks Plan'!$D$6,'Planning Sheet'!BW148='Weeks Plan'!$G$6),'Planning Sheet'!$BY148,"")</f>
        <v/>
      </c>
    </row>
    <row r="2614" spans="25:27" x14ac:dyDescent="0.3">
      <c r="Y2614" s="48" t="str">
        <f ca="1">IF(AND('Planning Sheet'!CC149='Weeks Plan'!$D$6,'Planning Sheet'!BW149='Weeks Plan'!$G$6),'Planning Sheet'!$B149,"")</f>
        <v/>
      </c>
      <c r="Z2614" s="48" t="str">
        <f ca="1">IF(AND('Planning Sheet'!CC149='Weeks Plan'!$D$6,'Planning Sheet'!BW149='Weeks Plan'!$G$6),'Planning Sheet'!$BX149,"")</f>
        <v/>
      </c>
      <c r="AA2614" s="48" t="str">
        <f ca="1">IF(AND('Planning Sheet'!CC149='Weeks Plan'!$D$6,'Planning Sheet'!BW149='Weeks Plan'!$G$6),'Planning Sheet'!$BY149,"")</f>
        <v/>
      </c>
    </row>
    <row r="2615" spans="25:27" x14ac:dyDescent="0.3">
      <c r="Y2615" s="48" t="str">
        <f ca="1">IF(AND('Planning Sheet'!CC150='Weeks Plan'!$D$6,'Planning Sheet'!BW150='Weeks Plan'!$G$6),'Planning Sheet'!$B150,"")</f>
        <v/>
      </c>
      <c r="Z2615" s="48" t="str">
        <f ca="1">IF(AND('Planning Sheet'!CC150='Weeks Plan'!$D$6,'Planning Sheet'!BW150='Weeks Plan'!$G$6),'Planning Sheet'!$BX150,"")</f>
        <v/>
      </c>
      <c r="AA2615" s="48" t="str">
        <f ca="1">IF(AND('Planning Sheet'!CC150='Weeks Plan'!$D$6,'Planning Sheet'!BW150='Weeks Plan'!$G$6),'Planning Sheet'!$BY150,"")</f>
        <v/>
      </c>
    </row>
    <row r="2616" spans="25:27" x14ac:dyDescent="0.3">
      <c r="Y2616" s="48" t="str">
        <f ca="1">IF(AND('Planning Sheet'!CC151='Weeks Plan'!$D$6,'Planning Sheet'!BW151='Weeks Plan'!$G$6),'Planning Sheet'!$B151,"")</f>
        <v/>
      </c>
      <c r="Z2616" s="48" t="str">
        <f ca="1">IF(AND('Planning Sheet'!CC151='Weeks Plan'!$D$6,'Planning Sheet'!BW151='Weeks Plan'!$G$6),'Planning Sheet'!$BX151,"")</f>
        <v/>
      </c>
      <c r="AA2616" s="48" t="str">
        <f ca="1">IF(AND('Planning Sheet'!CC151='Weeks Plan'!$D$6,'Planning Sheet'!BW151='Weeks Plan'!$G$6),'Planning Sheet'!$BY151,"")</f>
        <v/>
      </c>
    </row>
    <row r="2617" spans="25:27" x14ac:dyDescent="0.3">
      <c r="Y2617" s="48" t="str">
        <f ca="1">IF(AND('Planning Sheet'!CC152='Weeks Plan'!$D$6,'Planning Sheet'!BW152='Weeks Plan'!$G$6),'Planning Sheet'!$B152,"")</f>
        <v/>
      </c>
      <c r="Z2617" s="48" t="str">
        <f ca="1">IF(AND('Planning Sheet'!CC152='Weeks Plan'!$D$6,'Planning Sheet'!BW152='Weeks Plan'!$G$6),'Planning Sheet'!$BX152,"")</f>
        <v/>
      </c>
      <c r="AA2617" s="48" t="str">
        <f ca="1">IF(AND('Planning Sheet'!CC152='Weeks Plan'!$D$6,'Planning Sheet'!BW152='Weeks Plan'!$G$6),'Planning Sheet'!$BY152,"")</f>
        <v/>
      </c>
    </row>
    <row r="2618" spans="25:27" x14ac:dyDescent="0.3">
      <c r="Y2618" s="48" t="str">
        <f ca="1">IF(AND('Planning Sheet'!CC153='Weeks Plan'!$D$6,'Planning Sheet'!BW153='Weeks Plan'!$G$6),'Planning Sheet'!$B153,"")</f>
        <v/>
      </c>
      <c r="Z2618" s="48" t="str">
        <f ca="1">IF(AND('Planning Sheet'!CC153='Weeks Plan'!$D$6,'Planning Sheet'!BW153='Weeks Plan'!$G$6),'Planning Sheet'!$BX153,"")</f>
        <v/>
      </c>
      <c r="AA2618" s="48" t="str">
        <f ca="1">IF(AND('Planning Sheet'!CC153='Weeks Plan'!$D$6,'Planning Sheet'!BW153='Weeks Plan'!$G$6),'Planning Sheet'!$BY153,"")</f>
        <v/>
      </c>
    </row>
    <row r="2619" spans="25:27" x14ac:dyDescent="0.3">
      <c r="Y2619" s="48" t="str">
        <f ca="1">IF(AND('Planning Sheet'!CC154='Weeks Plan'!$D$6,'Planning Sheet'!BW154='Weeks Plan'!$G$6),'Planning Sheet'!$B154,"")</f>
        <v/>
      </c>
      <c r="Z2619" s="48" t="str">
        <f ca="1">IF(AND('Planning Sheet'!CC154='Weeks Plan'!$D$6,'Planning Sheet'!BW154='Weeks Plan'!$G$6),'Planning Sheet'!$BX154,"")</f>
        <v/>
      </c>
      <c r="AA2619" s="48" t="str">
        <f ca="1">IF(AND('Planning Sheet'!CC154='Weeks Plan'!$D$6,'Planning Sheet'!BW154='Weeks Plan'!$G$6),'Planning Sheet'!$BY154,"")</f>
        <v/>
      </c>
    </row>
    <row r="2620" spans="25:27" x14ac:dyDescent="0.3">
      <c r="Y2620" s="48" t="str">
        <f ca="1">IF(AND('Planning Sheet'!CC155='Weeks Plan'!$D$6,'Planning Sheet'!BW155='Weeks Plan'!$G$6),'Planning Sheet'!$B155,"")</f>
        <v/>
      </c>
      <c r="Z2620" s="48" t="str">
        <f ca="1">IF(AND('Planning Sheet'!CC155='Weeks Plan'!$D$6,'Planning Sheet'!BW155='Weeks Plan'!$G$6),'Planning Sheet'!$BX155,"")</f>
        <v/>
      </c>
      <c r="AA2620" s="48" t="str">
        <f ca="1">IF(AND('Planning Sheet'!CC155='Weeks Plan'!$D$6,'Planning Sheet'!BW155='Weeks Plan'!$G$6),'Planning Sheet'!$BY155,"")</f>
        <v/>
      </c>
    </row>
    <row r="2621" spans="25:27" x14ac:dyDescent="0.3">
      <c r="Y2621" s="48" t="str">
        <f ca="1">IF(AND('Planning Sheet'!CC156='Weeks Plan'!$D$6,'Planning Sheet'!BW156='Weeks Plan'!$G$6),'Planning Sheet'!$B156,"")</f>
        <v/>
      </c>
      <c r="Z2621" s="48" t="str">
        <f ca="1">IF(AND('Planning Sheet'!CC156='Weeks Plan'!$D$6,'Planning Sheet'!BW156='Weeks Plan'!$G$6),'Planning Sheet'!$BX156,"")</f>
        <v/>
      </c>
      <c r="AA2621" s="48" t="str">
        <f ca="1">IF(AND('Planning Sheet'!CC156='Weeks Plan'!$D$6,'Planning Sheet'!BW156='Weeks Plan'!$G$6),'Planning Sheet'!$BY156,"")</f>
        <v/>
      </c>
    </row>
    <row r="2622" spans="25:27" x14ac:dyDescent="0.3">
      <c r="Y2622" s="48" t="str">
        <f ca="1">IF(AND('Planning Sheet'!CC157='Weeks Plan'!$D$6,'Planning Sheet'!BW157='Weeks Plan'!$G$6),'Planning Sheet'!$B157,"")</f>
        <v/>
      </c>
      <c r="Z2622" s="48" t="str">
        <f ca="1">IF(AND('Planning Sheet'!CC157='Weeks Plan'!$D$6,'Planning Sheet'!BW157='Weeks Plan'!$G$6),'Planning Sheet'!$BX157,"")</f>
        <v/>
      </c>
      <c r="AA2622" s="48" t="str">
        <f ca="1">IF(AND('Planning Sheet'!CC157='Weeks Plan'!$D$6,'Planning Sheet'!BW157='Weeks Plan'!$G$6),'Planning Sheet'!$BY157,"")</f>
        <v/>
      </c>
    </row>
    <row r="2623" spans="25:27" x14ac:dyDescent="0.3">
      <c r="Y2623" s="48" t="str">
        <f ca="1">IF(AND('Planning Sheet'!CC158='Weeks Plan'!$D$6,'Planning Sheet'!BW158='Weeks Plan'!$G$6),'Planning Sheet'!$B158,"")</f>
        <v/>
      </c>
      <c r="Z2623" s="48" t="str">
        <f ca="1">IF(AND('Planning Sheet'!CC158='Weeks Plan'!$D$6,'Planning Sheet'!BW158='Weeks Plan'!$G$6),'Planning Sheet'!$BX158,"")</f>
        <v/>
      </c>
      <c r="AA2623" s="48" t="str">
        <f ca="1">IF(AND('Planning Sheet'!CC158='Weeks Plan'!$D$6,'Planning Sheet'!BW158='Weeks Plan'!$G$6),'Planning Sheet'!$BY158,"")</f>
        <v/>
      </c>
    </row>
    <row r="2624" spans="25:27" x14ac:dyDescent="0.3">
      <c r="Y2624" s="48" t="str">
        <f ca="1">IF(AND('Planning Sheet'!CC159='Weeks Plan'!$D$6,'Planning Sheet'!BW159='Weeks Plan'!$G$6),'Planning Sheet'!$B159,"")</f>
        <v/>
      </c>
      <c r="Z2624" s="48" t="str">
        <f ca="1">IF(AND('Planning Sheet'!CC159='Weeks Plan'!$D$6,'Planning Sheet'!BW159='Weeks Plan'!$G$6),'Planning Sheet'!$BX159,"")</f>
        <v/>
      </c>
      <c r="AA2624" s="48" t="str">
        <f ca="1">IF(AND('Planning Sheet'!CC159='Weeks Plan'!$D$6,'Planning Sheet'!BW159='Weeks Plan'!$G$6),'Planning Sheet'!$BY159,"")</f>
        <v/>
      </c>
    </row>
    <row r="2625" spans="25:27" x14ac:dyDescent="0.3">
      <c r="Y2625" s="48" t="str">
        <f ca="1">IF(AND('Planning Sheet'!CC160='Weeks Plan'!$D$6,'Planning Sheet'!BW160='Weeks Plan'!$G$6),'Planning Sheet'!$B160,"")</f>
        <v/>
      </c>
      <c r="Z2625" s="48" t="str">
        <f ca="1">IF(AND('Planning Sheet'!CC160='Weeks Plan'!$D$6,'Planning Sheet'!BW160='Weeks Plan'!$G$6),'Planning Sheet'!$BX160,"")</f>
        <v/>
      </c>
      <c r="AA2625" s="48" t="str">
        <f ca="1">IF(AND('Planning Sheet'!CC160='Weeks Plan'!$D$6,'Planning Sheet'!BW160='Weeks Plan'!$G$6),'Planning Sheet'!$BY160,"")</f>
        <v/>
      </c>
    </row>
    <row r="2626" spans="25:27" x14ac:dyDescent="0.3">
      <c r="Y2626" s="48" t="str">
        <f ca="1">IF(AND('Planning Sheet'!CC161='Weeks Plan'!$D$6,'Planning Sheet'!BW161='Weeks Plan'!$G$6),'Planning Sheet'!$B161,"")</f>
        <v/>
      </c>
      <c r="Z2626" s="48" t="str">
        <f ca="1">IF(AND('Planning Sheet'!CC161='Weeks Plan'!$D$6,'Planning Sheet'!BW161='Weeks Plan'!$G$6),'Planning Sheet'!$BX161,"")</f>
        <v/>
      </c>
      <c r="AA2626" s="48" t="str">
        <f ca="1">IF(AND('Planning Sheet'!CC161='Weeks Plan'!$D$6,'Planning Sheet'!BW161='Weeks Plan'!$G$6),'Planning Sheet'!$BY161,"")</f>
        <v/>
      </c>
    </row>
    <row r="2627" spans="25:27" x14ac:dyDescent="0.3">
      <c r="Y2627" s="48" t="str">
        <f ca="1">IF(AND('Planning Sheet'!CC162='Weeks Plan'!$D$6,'Planning Sheet'!BW162='Weeks Plan'!$G$6),'Planning Sheet'!$B162,"")</f>
        <v/>
      </c>
      <c r="Z2627" s="48" t="str">
        <f ca="1">IF(AND('Planning Sheet'!CC162='Weeks Plan'!$D$6,'Planning Sheet'!BW162='Weeks Plan'!$G$6),'Planning Sheet'!$BX162,"")</f>
        <v/>
      </c>
      <c r="AA2627" s="48" t="str">
        <f ca="1">IF(AND('Planning Sheet'!CC162='Weeks Plan'!$D$6,'Planning Sheet'!BW162='Weeks Plan'!$G$6),'Planning Sheet'!$BY162,"")</f>
        <v/>
      </c>
    </row>
    <row r="2628" spans="25:27" x14ac:dyDescent="0.3">
      <c r="Y2628" s="48" t="str">
        <f ca="1">IF(AND('Planning Sheet'!CC163='Weeks Plan'!$D$6,'Planning Sheet'!BW163='Weeks Plan'!$G$6),'Planning Sheet'!$B163,"")</f>
        <v/>
      </c>
      <c r="Z2628" s="48" t="str">
        <f ca="1">IF(AND('Planning Sheet'!CC163='Weeks Plan'!$D$6,'Planning Sheet'!BW163='Weeks Plan'!$G$6),'Planning Sheet'!$BX163,"")</f>
        <v/>
      </c>
      <c r="AA2628" s="48" t="str">
        <f ca="1">IF(AND('Planning Sheet'!CC163='Weeks Plan'!$D$6,'Planning Sheet'!BW163='Weeks Plan'!$G$6),'Planning Sheet'!$BY163,"")</f>
        <v/>
      </c>
    </row>
    <row r="2629" spans="25:27" x14ac:dyDescent="0.3">
      <c r="Y2629" s="48" t="str">
        <f ca="1">IF(AND('Planning Sheet'!CC164='Weeks Plan'!$D$6,'Planning Sheet'!BW164='Weeks Plan'!$G$6),'Planning Sheet'!$B164,"")</f>
        <v/>
      </c>
      <c r="Z2629" s="48" t="str">
        <f ca="1">IF(AND('Planning Sheet'!CC164='Weeks Plan'!$D$6,'Planning Sheet'!BW164='Weeks Plan'!$G$6),'Planning Sheet'!$BX164,"")</f>
        <v/>
      </c>
      <c r="AA2629" s="48" t="str">
        <f ca="1">IF(AND('Planning Sheet'!CC164='Weeks Plan'!$D$6,'Planning Sheet'!BW164='Weeks Plan'!$G$6),'Planning Sheet'!$BY164,"")</f>
        <v/>
      </c>
    </row>
    <row r="2630" spans="25:27" x14ac:dyDescent="0.3">
      <c r="Y2630" s="48" t="str">
        <f ca="1">IF(AND('Planning Sheet'!CC165='Weeks Plan'!$D$6,'Planning Sheet'!BW165='Weeks Plan'!$G$6),'Planning Sheet'!$B165,"")</f>
        <v/>
      </c>
      <c r="Z2630" s="48" t="str">
        <f ca="1">IF(AND('Planning Sheet'!CC165='Weeks Plan'!$D$6,'Planning Sheet'!BW165='Weeks Plan'!$G$6),'Planning Sheet'!$BX165,"")</f>
        <v/>
      </c>
      <c r="AA2630" s="48" t="str">
        <f ca="1">IF(AND('Planning Sheet'!CC165='Weeks Plan'!$D$6,'Planning Sheet'!BW165='Weeks Plan'!$G$6),'Planning Sheet'!$BY165,"")</f>
        <v/>
      </c>
    </row>
    <row r="2631" spans="25:27" x14ac:dyDescent="0.3">
      <c r="Y2631" s="48" t="str">
        <f ca="1">IF(AND('Planning Sheet'!CC166='Weeks Plan'!$D$6,'Planning Sheet'!BW166='Weeks Plan'!$G$6),'Planning Sheet'!$B166,"")</f>
        <v/>
      </c>
      <c r="Z2631" s="48" t="str">
        <f ca="1">IF(AND('Planning Sheet'!CC166='Weeks Plan'!$D$6,'Planning Sheet'!BW166='Weeks Plan'!$G$6),'Planning Sheet'!$BX166,"")</f>
        <v/>
      </c>
      <c r="AA2631" s="48" t="str">
        <f ca="1">IF(AND('Planning Sheet'!CC166='Weeks Plan'!$D$6,'Planning Sheet'!BW166='Weeks Plan'!$G$6),'Planning Sheet'!$BY166,"")</f>
        <v/>
      </c>
    </row>
    <row r="2632" spans="25:27" x14ac:dyDescent="0.3">
      <c r="Y2632" s="48" t="str">
        <f ca="1">IF(AND('Planning Sheet'!CC167='Weeks Plan'!$D$6,'Planning Sheet'!BW167='Weeks Plan'!$G$6),'Planning Sheet'!$B167,"")</f>
        <v/>
      </c>
      <c r="Z2632" s="48" t="str">
        <f ca="1">IF(AND('Planning Sheet'!CC167='Weeks Plan'!$D$6,'Planning Sheet'!BW167='Weeks Plan'!$G$6),'Planning Sheet'!$BX167,"")</f>
        <v/>
      </c>
      <c r="AA2632" s="48" t="str">
        <f ca="1">IF(AND('Planning Sheet'!CC167='Weeks Plan'!$D$6,'Planning Sheet'!BW167='Weeks Plan'!$G$6),'Planning Sheet'!$BY167,"")</f>
        <v/>
      </c>
    </row>
    <row r="2633" spans="25:27" x14ac:dyDescent="0.3">
      <c r="Y2633" s="48" t="str">
        <f ca="1">IF(AND('Planning Sheet'!CC168='Weeks Plan'!$D$6,'Planning Sheet'!BW168='Weeks Plan'!$G$6),'Planning Sheet'!$B168,"")</f>
        <v/>
      </c>
      <c r="Z2633" s="48" t="str">
        <f ca="1">IF(AND('Planning Sheet'!CC168='Weeks Plan'!$D$6,'Planning Sheet'!BW168='Weeks Plan'!$G$6),'Planning Sheet'!$BX168,"")</f>
        <v/>
      </c>
      <c r="AA2633" s="48" t="str">
        <f ca="1">IF(AND('Planning Sheet'!CC168='Weeks Plan'!$D$6,'Planning Sheet'!BW168='Weeks Plan'!$G$6),'Planning Sheet'!$BY168,"")</f>
        <v/>
      </c>
    </row>
    <row r="2634" spans="25:27" x14ac:dyDescent="0.3">
      <c r="Y2634" s="48" t="str">
        <f ca="1">IF(AND('Planning Sheet'!CC169='Weeks Plan'!$D$6,'Planning Sheet'!BW169='Weeks Plan'!$G$6),'Planning Sheet'!$B169,"")</f>
        <v/>
      </c>
      <c r="Z2634" s="48" t="str">
        <f ca="1">IF(AND('Planning Sheet'!CC169='Weeks Plan'!$D$6,'Planning Sheet'!BW169='Weeks Plan'!$G$6),'Planning Sheet'!$BX169,"")</f>
        <v/>
      </c>
      <c r="AA2634" s="48" t="str">
        <f ca="1">IF(AND('Planning Sheet'!CC169='Weeks Plan'!$D$6,'Planning Sheet'!BW169='Weeks Plan'!$G$6),'Planning Sheet'!$BY169,"")</f>
        <v/>
      </c>
    </row>
    <row r="2635" spans="25:27" x14ac:dyDescent="0.3">
      <c r="Y2635" s="48" t="str">
        <f ca="1">IF(AND('Planning Sheet'!CC170='Weeks Plan'!$D$6,'Planning Sheet'!BW170='Weeks Plan'!$G$6),'Planning Sheet'!$B170,"")</f>
        <v/>
      </c>
      <c r="Z2635" s="48" t="str">
        <f ca="1">IF(AND('Planning Sheet'!CC170='Weeks Plan'!$D$6,'Planning Sheet'!BW170='Weeks Plan'!$G$6),'Planning Sheet'!$BX170,"")</f>
        <v/>
      </c>
      <c r="AA2635" s="48" t="str">
        <f ca="1">IF(AND('Planning Sheet'!CC170='Weeks Plan'!$D$6,'Planning Sheet'!BW170='Weeks Plan'!$G$6),'Planning Sheet'!$BY170,"")</f>
        <v/>
      </c>
    </row>
    <row r="2636" spans="25:27" x14ac:dyDescent="0.3">
      <c r="Y2636" s="48" t="str">
        <f ca="1">IF(AND('Planning Sheet'!CC171='Weeks Plan'!$D$6,'Planning Sheet'!BW171='Weeks Plan'!$G$6),'Planning Sheet'!$B171,"")</f>
        <v/>
      </c>
      <c r="Z2636" s="48" t="str">
        <f ca="1">IF(AND('Planning Sheet'!CC171='Weeks Plan'!$D$6,'Planning Sheet'!BW171='Weeks Plan'!$G$6),'Planning Sheet'!$BX171,"")</f>
        <v/>
      </c>
      <c r="AA2636" s="48" t="str">
        <f ca="1">IF(AND('Planning Sheet'!CC171='Weeks Plan'!$D$6,'Planning Sheet'!BW171='Weeks Plan'!$G$6),'Planning Sheet'!$BY171,"")</f>
        <v/>
      </c>
    </row>
    <row r="2637" spans="25:27" x14ac:dyDescent="0.3">
      <c r="Y2637" s="48" t="str">
        <f ca="1">IF(AND('Planning Sheet'!CC172='Weeks Plan'!$D$6,'Planning Sheet'!BW172='Weeks Plan'!$G$6),'Planning Sheet'!$B172,"")</f>
        <v/>
      </c>
      <c r="Z2637" s="48" t="str">
        <f ca="1">IF(AND('Planning Sheet'!CC172='Weeks Plan'!$D$6,'Planning Sheet'!BW172='Weeks Plan'!$G$6),'Planning Sheet'!$BX172,"")</f>
        <v/>
      </c>
      <c r="AA2637" s="48" t="str">
        <f ca="1">IF(AND('Planning Sheet'!CC172='Weeks Plan'!$D$6,'Planning Sheet'!BW172='Weeks Plan'!$G$6),'Planning Sheet'!$BY172,"")</f>
        <v/>
      </c>
    </row>
    <row r="2638" spans="25:27" x14ac:dyDescent="0.3">
      <c r="Y2638" s="48" t="str">
        <f ca="1">IF(AND('Planning Sheet'!CC173='Weeks Plan'!$D$6,'Planning Sheet'!BW173='Weeks Plan'!$G$6),'Planning Sheet'!$B173,"")</f>
        <v/>
      </c>
      <c r="Z2638" s="48" t="str">
        <f ca="1">IF(AND('Planning Sheet'!CC173='Weeks Plan'!$D$6,'Planning Sheet'!BW173='Weeks Plan'!$G$6),'Planning Sheet'!$BX173,"")</f>
        <v/>
      </c>
      <c r="AA2638" s="48" t="str">
        <f ca="1">IF(AND('Planning Sheet'!CC173='Weeks Plan'!$D$6,'Planning Sheet'!BW173='Weeks Plan'!$G$6),'Planning Sheet'!$BY173,"")</f>
        <v/>
      </c>
    </row>
    <row r="2639" spans="25:27" x14ac:dyDescent="0.3">
      <c r="Y2639" s="48" t="str">
        <f ca="1">IF(AND('Planning Sheet'!CC174='Weeks Plan'!$D$6,'Planning Sheet'!BW174='Weeks Plan'!$G$6),'Planning Sheet'!$B174,"")</f>
        <v/>
      </c>
      <c r="Z2639" s="48" t="str">
        <f ca="1">IF(AND('Planning Sheet'!CC174='Weeks Plan'!$D$6,'Planning Sheet'!BW174='Weeks Plan'!$G$6),'Planning Sheet'!$BX174,"")</f>
        <v/>
      </c>
      <c r="AA2639" s="48" t="str">
        <f ca="1">IF(AND('Planning Sheet'!CC174='Weeks Plan'!$D$6,'Planning Sheet'!BW174='Weeks Plan'!$G$6),'Planning Sheet'!$BY174,"")</f>
        <v/>
      </c>
    </row>
    <row r="2640" spans="25:27" x14ac:dyDescent="0.3">
      <c r="Y2640" s="48" t="str">
        <f ca="1">IF(AND('Planning Sheet'!CC175='Weeks Plan'!$D$6,'Planning Sheet'!BW175='Weeks Plan'!$G$6),'Planning Sheet'!$B175,"")</f>
        <v/>
      </c>
      <c r="Z2640" s="48" t="str">
        <f ca="1">IF(AND('Planning Sheet'!CC175='Weeks Plan'!$D$6,'Planning Sheet'!BW175='Weeks Plan'!$G$6),'Planning Sheet'!$BX175,"")</f>
        <v/>
      </c>
      <c r="AA2640" s="48" t="str">
        <f ca="1">IF(AND('Planning Sheet'!CC175='Weeks Plan'!$D$6,'Planning Sheet'!BW175='Weeks Plan'!$G$6),'Planning Sheet'!$BY175,"")</f>
        <v/>
      </c>
    </row>
    <row r="2641" spans="25:27" x14ac:dyDescent="0.3">
      <c r="Y2641" s="48" t="str">
        <f ca="1">IF(AND('Planning Sheet'!CC176='Weeks Plan'!$D$6,'Planning Sheet'!BW176='Weeks Plan'!$G$6),'Planning Sheet'!$B176,"")</f>
        <v/>
      </c>
      <c r="Z2641" s="48" t="str">
        <f ca="1">IF(AND('Planning Sheet'!CC176='Weeks Plan'!$D$6,'Planning Sheet'!BW176='Weeks Plan'!$G$6),'Planning Sheet'!$BX176,"")</f>
        <v/>
      </c>
      <c r="AA2641" s="48" t="str">
        <f ca="1">IF(AND('Planning Sheet'!CC176='Weeks Plan'!$D$6,'Planning Sheet'!BW176='Weeks Plan'!$G$6),'Planning Sheet'!$BY176,"")</f>
        <v/>
      </c>
    </row>
    <row r="2642" spans="25:27" x14ac:dyDescent="0.3">
      <c r="Y2642" s="48" t="str">
        <f ca="1">IF(AND('Planning Sheet'!CC177='Weeks Plan'!$D$6,'Planning Sheet'!BW177='Weeks Plan'!$G$6),'Planning Sheet'!$B177,"")</f>
        <v/>
      </c>
      <c r="Z2642" s="48" t="str">
        <f ca="1">IF(AND('Planning Sheet'!CC177='Weeks Plan'!$D$6,'Planning Sheet'!BW177='Weeks Plan'!$G$6),'Planning Sheet'!$BX177,"")</f>
        <v/>
      </c>
      <c r="AA2642" s="48" t="str">
        <f ca="1">IF(AND('Planning Sheet'!CC177='Weeks Plan'!$D$6,'Planning Sheet'!BW177='Weeks Plan'!$G$6),'Planning Sheet'!$BY177,"")</f>
        <v/>
      </c>
    </row>
    <row r="2643" spans="25:27" x14ac:dyDescent="0.3">
      <c r="Y2643" s="48" t="str">
        <f ca="1">IF(AND('Planning Sheet'!CC178='Weeks Plan'!$D$6,'Planning Sheet'!BW178='Weeks Plan'!$G$6),'Planning Sheet'!$B178,"")</f>
        <v/>
      </c>
      <c r="Z2643" s="48" t="str">
        <f ca="1">IF(AND('Planning Sheet'!CC178='Weeks Plan'!$D$6,'Planning Sheet'!BW178='Weeks Plan'!$G$6),'Planning Sheet'!$BX178,"")</f>
        <v/>
      </c>
      <c r="AA2643" s="48" t="str">
        <f ca="1">IF(AND('Planning Sheet'!CC178='Weeks Plan'!$D$6,'Planning Sheet'!BW178='Weeks Plan'!$G$6),'Planning Sheet'!$BY178,"")</f>
        <v/>
      </c>
    </row>
    <row r="2644" spans="25:27" x14ac:dyDescent="0.3">
      <c r="Y2644" s="48" t="str">
        <f ca="1">IF(AND('Planning Sheet'!CC179='Weeks Plan'!$D$6,'Planning Sheet'!BW179='Weeks Plan'!$G$6),'Planning Sheet'!$B179,"")</f>
        <v/>
      </c>
      <c r="Z2644" s="48" t="str">
        <f ca="1">IF(AND('Planning Sheet'!CC179='Weeks Plan'!$D$6,'Planning Sheet'!BW179='Weeks Plan'!$G$6),'Planning Sheet'!$BX179,"")</f>
        <v/>
      </c>
      <c r="AA2644" s="48" t="str">
        <f ca="1">IF(AND('Planning Sheet'!CC179='Weeks Plan'!$D$6,'Planning Sheet'!BW179='Weeks Plan'!$G$6),'Planning Sheet'!$BY179,"")</f>
        <v/>
      </c>
    </row>
    <row r="2645" spans="25:27" x14ac:dyDescent="0.3">
      <c r="Y2645" s="48" t="str">
        <f ca="1">IF(AND('Planning Sheet'!CC180='Weeks Plan'!$D$6,'Planning Sheet'!BW180='Weeks Plan'!$G$6),'Planning Sheet'!$B180,"")</f>
        <v/>
      </c>
      <c r="Z2645" s="48" t="str">
        <f ca="1">IF(AND('Planning Sheet'!CC180='Weeks Plan'!$D$6,'Planning Sheet'!BW180='Weeks Plan'!$G$6),'Planning Sheet'!$BX180,"")</f>
        <v/>
      </c>
      <c r="AA2645" s="48" t="str">
        <f ca="1">IF(AND('Planning Sheet'!CC180='Weeks Plan'!$D$6,'Planning Sheet'!BW180='Weeks Plan'!$G$6),'Planning Sheet'!$BY180,"")</f>
        <v/>
      </c>
    </row>
    <row r="2646" spans="25:27" x14ac:dyDescent="0.3">
      <c r="Y2646" s="48" t="str">
        <f ca="1">IF(AND('Planning Sheet'!CC181='Weeks Plan'!$D$6,'Planning Sheet'!BW181='Weeks Plan'!$G$6),'Planning Sheet'!$B181,"")</f>
        <v/>
      </c>
      <c r="Z2646" s="48" t="str">
        <f ca="1">IF(AND('Planning Sheet'!CC181='Weeks Plan'!$D$6,'Planning Sheet'!BW181='Weeks Plan'!$G$6),'Planning Sheet'!$BX181,"")</f>
        <v/>
      </c>
      <c r="AA2646" s="48" t="str">
        <f ca="1">IF(AND('Planning Sheet'!CC181='Weeks Plan'!$D$6,'Planning Sheet'!BW181='Weeks Plan'!$G$6),'Planning Sheet'!$BY181,"")</f>
        <v/>
      </c>
    </row>
    <row r="2647" spans="25:27" x14ac:dyDescent="0.3">
      <c r="Y2647" s="48" t="str">
        <f ca="1">IF(AND('Planning Sheet'!CC182='Weeks Plan'!$D$6,'Planning Sheet'!BW182='Weeks Plan'!$G$6),'Planning Sheet'!$B182,"")</f>
        <v/>
      </c>
      <c r="Z2647" s="48" t="str">
        <f ca="1">IF(AND('Planning Sheet'!CC182='Weeks Plan'!$D$6,'Planning Sheet'!BW182='Weeks Plan'!$G$6),'Planning Sheet'!$BX182,"")</f>
        <v/>
      </c>
      <c r="AA2647" s="48" t="str">
        <f ca="1">IF(AND('Planning Sheet'!CC182='Weeks Plan'!$D$6,'Planning Sheet'!BW182='Weeks Plan'!$G$6),'Planning Sheet'!$BY182,"")</f>
        <v/>
      </c>
    </row>
    <row r="2648" spans="25:27" x14ac:dyDescent="0.3">
      <c r="Y2648" s="48" t="str">
        <f ca="1">IF(AND('Planning Sheet'!CC183='Weeks Plan'!$D$6,'Planning Sheet'!BW183='Weeks Plan'!$G$6),'Planning Sheet'!$B183,"")</f>
        <v/>
      </c>
      <c r="Z2648" s="48" t="str">
        <f ca="1">IF(AND('Planning Sheet'!CC183='Weeks Plan'!$D$6,'Planning Sheet'!BW183='Weeks Plan'!$G$6),'Planning Sheet'!$BX183,"")</f>
        <v/>
      </c>
      <c r="AA2648" s="48" t="str">
        <f ca="1">IF(AND('Planning Sheet'!CC183='Weeks Plan'!$D$6,'Planning Sheet'!BW183='Weeks Plan'!$G$6),'Planning Sheet'!$BY183,"")</f>
        <v/>
      </c>
    </row>
    <row r="2649" spans="25:27" x14ac:dyDescent="0.3">
      <c r="Y2649" s="48" t="str">
        <f ca="1">IF(AND('Planning Sheet'!CC184='Weeks Plan'!$D$6,'Planning Sheet'!BW184='Weeks Plan'!$G$6),'Planning Sheet'!$B184,"")</f>
        <v/>
      </c>
      <c r="Z2649" s="48" t="str">
        <f ca="1">IF(AND('Planning Sheet'!CC184='Weeks Plan'!$D$6,'Planning Sheet'!BW184='Weeks Plan'!$G$6),'Planning Sheet'!$BX184,"")</f>
        <v/>
      </c>
      <c r="AA2649" s="48" t="str">
        <f ca="1">IF(AND('Planning Sheet'!CC184='Weeks Plan'!$D$6,'Planning Sheet'!BW184='Weeks Plan'!$G$6),'Planning Sheet'!$BY184,"")</f>
        <v/>
      </c>
    </row>
    <row r="2650" spans="25:27" x14ac:dyDescent="0.3">
      <c r="Y2650" s="48" t="str">
        <f ca="1">IF(AND('Planning Sheet'!CC185='Weeks Plan'!$D$6,'Planning Sheet'!BW185='Weeks Plan'!$G$6),'Planning Sheet'!$B185,"")</f>
        <v/>
      </c>
      <c r="Z2650" s="48" t="str">
        <f ca="1">IF(AND('Planning Sheet'!CC185='Weeks Plan'!$D$6,'Planning Sheet'!BW185='Weeks Plan'!$G$6),'Planning Sheet'!$BX185,"")</f>
        <v/>
      </c>
      <c r="AA2650" s="48" t="str">
        <f ca="1">IF(AND('Planning Sheet'!CC185='Weeks Plan'!$D$6,'Planning Sheet'!BW185='Weeks Plan'!$G$6),'Planning Sheet'!$BY185,"")</f>
        <v/>
      </c>
    </row>
    <row r="2651" spans="25:27" x14ac:dyDescent="0.3">
      <c r="Y2651" s="48" t="str">
        <f ca="1">IF(AND('Planning Sheet'!CC186='Weeks Plan'!$D$6,'Planning Sheet'!BW186='Weeks Plan'!$G$6),'Planning Sheet'!$B186,"")</f>
        <v/>
      </c>
      <c r="Z2651" s="48" t="str">
        <f ca="1">IF(AND('Planning Sheet'!CC186='Weeks Plan'!$D$6,'Planning Sheet'!BW186='Weeks Plan'!$G$6),'Planning Sheet'!$BX186,"")</f>
        <v/>
      </c>
      <c r="AA2651" s="48" t="str">
        <f ca="1">IF(AND('Planning Sheet'!CC186='Weeks Plan'!$D$6,'Planning Sheet'!BW186='Weeks Plan'!$G$6),'Planning Sheet'!$BY186,"")</f>
        <v/>
      </c>
    </row>
    <row r="2652" spans="25:27" x14ac:dyDescent="0.3">
      <c r="Y2652" s="48" t="str">
        <f ca="1">IF(AND('Planning Sheet'!CC187='Weeks Plan'!$D$6,'Planning Sheet'!BW187='Weeks Plan'!$G$6),'Planning Sheet'!$B187,"")</f>
        <v/>
      </c>
      <c r="Z2652" s="48" t="str">
        <f ca="1">IF(AND('Planning Sheet'!CC187='Weeks Plan'!$D$6,'Planning Sheet'!BW187='Weeks Plan'!$G$6),'Planning Sheet'!$BX187,"")</f>
        <v/>
      </c>
      <c r="AA2652" s="48" t="str">
        <f ca="1">IF(AND('Planning Sheet'!CC187='Weeks Plan'!$D$6,'Planning Sheet'!BW187='Weeks Plan'!$G$6),'Planning Sheet'!$BY187,"")</f>
        <v/>
      </c>
    </row>
    <row r="2653" spans="25:27" x14ac:dyDescent="0.3">
      <c r="Y2653" s="48" t="str">
        <f ca="1">IF(AND('Planning Sheet'!CC188='Weeks Plan'!$D$6,'Planning Sheet'!BW188='Weeks Plan'!$G$6),'Planning Sheet'!$B188,"")</f>
        <v/>
      </c>
      <c r="Z2653" s="48" t="str">
        <f ca="1">IF(AND('Planning Sheet'!CC188='Weeks Plan'!$D$6,'Planning Sheet'!BW188='Weeks Plan'!$G$6),'Planning Sheet'!$BX188,"")</f>
        <v/>
      </c>
      <c r="AA2653" s="48" t="str">
        <f ca="1">IF(AND('Planning Sheet'!CC188='Weeks Plan'!$D$6,'Planning Sheet'!BW188='Weeks Plan'!$G$6),'Planning Sheet'!$BY188,"")</f>
        <v/>
      </c>
    </row>
    <row r="2654" spans="25:27" x14ac:dyDescent="0.3">
      <c r="Y2654" s="48" t="str">
        <f ca="1">IF(AND('Planning Sheet'!CC189='Weeks Plan'!$D$6,'Planning Sheet'!BW189='Weeks Plan'!$G$6),'Planning Sheet'!$B189,"")</f>
        <v/>
      </c>
      <c r="Z2654" s="48" t="str">
        <f ca="1">IF(AND('Planning Sheet'!CC189='Weeks Plan'!$D$6,'Planning Sheet'!BW189='Weeks Plan'!$G$6),'Planning Sheet'!$BX189,"")</f>
        <v/>
      </c>
      <c r="AA2654" s="48" t="str">
        <f ca="1">IF(AND('Planning Sheet'!CC189='Weeks Plan'!$D$6,'Planning Sheet'!BW189='Weeks Plan'!$G$6),'Planning Sheet'!$BY189,"")</f>
        <v/>
      </c>
    </row>
    <row r="2655" spans="25:27" x14ac:dyDescent="0.3">
      <c r="Y2655" s="48" t="str">
        <f ca="1">IF(AND('Planning Sheet'!CC190='Weeks Plan'!$D$6,'Planning Sheet'!BW190='Weeks Plan'!$G$6),'Planning Sheet'!$B190,"")</f>
        <v/>
      </c>
      <c r="Z2655" s="48" t="str">
        <f ca="1">IF(AND('Planning Sheet'!CC190='Weeks Plan'!$D$6,'Planning Sheet'!BW190='Weeks Plan'!$G$6),'Planning Sheet'!$BX190,"")</f>
        <v/>
      </c>
      <c r="AA2655" s="48" t="str">
        <f ca="1">IF(AND('Planning Sheet'!CC190='Weeks Plan'!$D$6,'Planning Sheet'!BW190='Weeks Plan'!$G$6),'Planning Sheet'!$BY190,"")</f>
        <v/>
      </c>
    </row>
    <row r="2656" spans="25:27" x14ac:dyDescent="0.3">
      <c r="Y2656" s="48" t="str">
        <f ca="1">IF(AND('Planning Sheet'!CC191='Weeks Plan'!$D$6,'Planning Sheet'!BW191='Weeks Plan'!$G$6),'Planning Sheet'!$B191,"")</f>
        <v/>
      </c>
      <c r="Z2656" s="48" t="str">
        <f ca="1">IF(AND('Planning Sheet'!CC191='Weeks Plan'!$D$6,'Planning Sheet'!BW191='Weeks Plan'!$G$6),'Planning Sheet'!$BX191,"")</f>
        <v/>
      </c>
      <c r="AA2656" s="48" t="str">
        <f ca="1">IF(AND('Planning Sheet'!CC191='Weeks Plan'!$D$6,'Planning Sheet'!BW191='Weeks Plan'!$G$6),'Planning Sheet'!$BY191,"")</f>
        <v/>
      </c>
    </row>
    <row r="2657" spans="25:27" x14ac:dyDescent="0.3">
      <c r="Y2657" s="48" t="str">
        <f ca="1">IF(AND('Planning Sheet'!CC192='Weeks Plan'!$D$6,'Planning Sheet'!BW192='Weeks Plan'!$G$6),'Planning Sheet'!$B192,"")</f>
        <v/>
      </c>
      <c r="Z2657" s="48" t="str">
        <f ca="1">IF(AND('Planning Sheet'!CC192='Weeks Plan'!$D$6,'Planning Sheet'!BW192='Weeks Plan'!$G$6),'Planning Sheet'!$BX192,"")</f>
        <v/>
      </c>
      <c r="AA2657" s="48" t="str">
        <f ca="1">IF(AND('Planning Sheet'!CC192='Weeks Plan'!$D$6,'Planning Sheet'!BW192='Weeks Plan'!$G$6),'Planning Sheet'!$BY192,"")</f>
        <v/>
      </c>
    </row>
    <row r="2658" spans="25:27" x14ac:dyDescent="0.3">
      <c r="Y2658" s="48" t="str">
        <f ca="1">IF(AND('Planning Sheet'!CC193='Weeks Plan'!$D$6,'Planning Sheet'!BW193='Weeks Plan'!$G$6),'Planning Sheet'!$B193,"")</f>
        <v/>
      </c>
      <c r="Z2658" s="48" t="str">
        <f ca="1">IF(AND('Planning Sheet'!CC193='Weeks Plan'!$D$6,'Planning Sheet'!BW193='Weeks Plan'!$G$6),'Planning Sheet'!$BX193,"")</f>
        <v/>
      </c>
      <c r="AA2658" s="48" t="str">
        <f ca="1">IF(AND('Planning Sheet'!CC193='Weeks Plan'!$D$6,'Planning Sheet'!BW193='Weeks Plan'!$G$6),'Planning Sheet'!$BY193,"")</f>
        <v/>
      </c>
    </row>
    <row r="2659" spans="25:27" x14ac:dyDescent="0.3">
      <c r="Y2659" s="48" t="str">
        <f ca="1">IF(AND('Planning Sheet'!CC194='Weeks Plan'!$D$6,'Planning Sheet'!BW194='Weeks Plan'!$G$6),'Planning Sheet'!$B194,"")</f>
        <v/>
      </c>
      <c r="Z2659" s="48" t="str">
        <f ca="1">IF(AND('Planning Sheet'!CC194='Weeks Plan'!$D$6,'Planning Sheet'!BW194='Weeks Plan'!$G$6),'Planning Sheet'!$BX194,"")</f>
        <v/>
      </c>
      <c r="AA2659" s="48" t="str">
        <f ca="1">IF(AND('Planning Sheet'!CC194='Weeks Plan'!$D$6,'Planning Sheet'!BW194='Weeks Plan'!$G$6),'Planning Sheet'!$BY194,"")</f>
        <v/>
      </c>
    </row>
    <row r="2660" spans="25:27" x14ac:dyDescent="0.3">
      <c r="Y2660" s="48" t="str">
        <f ca="1">IF(AND('Planning Sheet'!CC195='Weeks Plan'!$D$6,'Planning Sheet'!BW195='Weeks Plan'!$G$6),'Planning Sheet'!$B195,"")</f>
        <v/>
      </c>
      <c r="Z2660" s="48" t="str">
        <f ca="1">IF(AND('Planning Sheet'!CC195='Weeks Plan'!$D$6,'Planning Sheet'!BW195='Weeks Plan'!$G$6),'Planning Sheet'!$BX195,"")</f>
        <v/>
      </c>
      <c r="AA2660" s="48" t="str">
        <f ca="1">IF(AND('Planning Sheet'!CC195='Weeks Plan'!$D$6,'Planning Sheet'!BW195='Weeks Plan'!$G$6),'Planning Sheet'!$BY195,"")</f>
        <v/>
      </c>
    </row>
    <row r="2661" spans="25:27" x14ac:dyDescent="0.3">
      <c r="Y2661" s="48" t="str">
        <f ca="1">IF(AND('Planning Sheet'!CC196='Weeks Plan'!$D$6,'Planning Sheet'!BW196='Weeks Plan'!$G$6),'Planning Sheet'!$B196,"")</f>
        <v/>
      </c>
      <c r="Z2661" s="48" t="str">
        <f ca="1">IF(AND('Planning Sheet'!CC196='Weeks Plan'!$D$6,'Planning Sheet'!BW196='Weeks Plan'!$G$6),'Planning Sheet'!$BX196,"")</f>
        <v/>
      </c>
      <c r="AA2661" s="48" t="str">
        <f ca="1">IF(AND('Planning Sheet'!CC196='Weeks Plan'!$D$6,'Planning Sheet'!BW196='Weeks Plan'!$G$6),'Planning Sheet'!$BY196,"")</f>
        <v/>
      </c>
    </row>
    <row r="2662" spans="25:27" x14ac:dyDescent="0.3">
      <c r="Y2662" s="48" t="str">
        <f ca="1">IF(AND('Planning Sheet'!CC197='Weeks Plan'!$D$6,'Planning Sheet'!BW197='Weeks Plan'!$G$6),'Planning Sheet'!$B197,"")</f>
        <v/>
      </c>
      <c r="Z2662" s="48" t="str">
        <f ca="1">IF(AND('Planning Sheet'!CC197='Weeks Plan'!$D$6,'Planning Sheet'!BW197='Weeks Plan'!$G$6),'Planning Sheet'!$BX197,"")</f>
        <v/>
      </c>
      <c r="AA2662" s="48" t="str">
        <f ca="1">IF(AND('Planning Sheet'!CC197='Weeks Plan'!$D$6,'Planning Sheet'!BW197='Weeks Plan'!$G$6),'Planning Sheet'!$BY197,"")</f>
        <v/>
      </c>
    </row>
    <row r="2663" spans="25:27" x14ac:dyDescent="0.3">
      <c r="Y2663" s="48" t="str">
        <f ca="1">IF(AND('Planning Sheet'!CC198='Weeks Plan'!$D$6,'Planning Sheet'!BW198='Weeks Plan'!$G$6),'Planning Sheet'!$B198,"")</f>
        <v/>
      </c>
      <c r="Z2663" s="48" t="str">
        <f ca="1">IF(AND('Planning Sheet'!CC198='Weeks Plan'!$D$6,'Planning Sheet'!BW198='Weeks Plan'!$G$6),'Planning Sheet'!$BX198,"")</f>
        <v/>
      </c>
      <c r="AA2663" s="48" t="str">
        <f ca="1">IF(AND('Planning Sheet'!CC198='Weeks Plan'!$D$6,'Planning Sheet'!BW198='Weeks Plan'!$G$6),'Planning Sheet'!$BY198,"")</f>
        <v/>
      </c>
    </row>
    <row r="2664" spans="25:27" x14ac:dyDescent="0.3">
      <c r="Y2664" s="48" t="str">
        <f ca="1">IF(AND('Planning Sheet'!CC199='Weeks Plan'!$D$6,'Planning Sheet'!BW199='Weeks Plan'!$G$6),'Planning Sheet'!$B199,"")</f>
        <v/>
      </c>
      <c r="Z2664" s="48" t="str">
        <f ca="1">IF(AND('Planning Sheet'!CC199='Weeks Plan'!$D$6,'Planning Sheet'!BW199='Weeks Plan'!$G$6),'Planning Sheet'!$BX199,"")</f>
        <v/>
      </c>
      <c r="AA2664" s="48" t="str">
        <f ca="1">IF(AND('Planning Sheet'!CC199='Weeks Plan'!$D$6,'Planning Sheet'!BW199='Weeks Plan'!$G$6),'Planning Sheet'!$BY199,"")</f>
        <v/>
      </c>
    </row>
    <row r="2665" spans="25:27" x14ac:dyDescent="0.3">
      <c r="Y2665" s="48" t="str">
        <f ca="1">IF(AND('Planning Sheet'!CC200='Weeks Plan'!$D$6,'Planning Sheet'!BW200='Weeks Plan'!$G$6),'Planning Sheet'!$B200,"")</f>
        <v/>
      </c>
      <c r="Z2665" s="48" t="str">
        <f ca="1">IF(AND('Planning Sheet'!CC200='Weeks Plan'!$D$6,'Planning Sheet'!BW200='Weeks Plan'!$G$6),'Planning Sheet'!$BX200,"")</f>
        <v/>
      </c>
      <c r="AA2665" s="48" t="str">
        <f ca="1">IF(AND('Planning Sheet'!CC200='Weeks Plan'!$D$6,'Planning Sheet'!BW200='Weeks Plan'!$G$6),'Planning Sheet'!$BY200,"")</f>
        <v/>
      </c>
    </row>
    <row r="2666" spans="25:27" x14ac:dyDescent="0.3">
      <c r="Y2666" s="48" t="str">
        <f ca="1">IF(AND('Planning Sheet'!CC201='Weeks Plan'!$D$6,'Planning Sheet'!BW201='Weeks Plan'!$G$6),'Planning Sheet'!$B201,"")</f>
        <v/>
      </c>
      <c r="Z2666" s="48" t="str">
        <f ca="1">IF(AND('Planning Sheet'!CC201='Weeks Plan'!$D$6,'Planning Sheet'!BW201='Weeks Plan'!$G$6),'Planning Sheet'!$BX201,"")</f>
        <v/>
      </c>
      <c r="AA2666" s="48" t="str">
        <f ca="1">IF(AND('Planning Sheet'!CC201='Weeks Plan'!$D$6,'Planning Sheet'!BW201='Weeks Plan'!$G$6),'Planning Sheet'!$BY201,"")</f>
        <v/>
      </c>
    </row>
    <row r="2667" spans="25:27" x14ac:dyDescent="0.3">
      <c r="Y2667" s="48" t="str">
        <f ca="1">IF(AND('Planning Sheet'!CC202='Weeks Plan'!$D$6,'Planning Sheet'!BW202='Weeks Plan'!$G$6),'Planning Sheet'!$B202,"")</f>
        <v/>
      </c>
      <c r="Z2667" s="48" t="str">
        <f ca="1">IF(AND('Planning Sheet'!CC202='Weeks Plan'!$D$6,'Planning Sheet'!BW202='Weeks Plan'!$G$6),'Planning Sheet'!$BX202,"")</f>
        <v/>
      </c>
      <c r="AA2667" s="48" t="str">
        <f ca="1">IF(AND('Planning Sheet'!CC202='Weeks Plan'!$D$6,'Planning Sheet'!BW202='Weeks Plan'!$G$6),'Planning Sheet'!$BY202,"")</f>
        <v/>
      </c>
    </row>
    <row r="2668" spans="25:27" x14ac:dyDescent="0.3">
      <c r="Y2668" s="48" t="str">
        <f ca="1">IF(AND('Planning Sheet'!CC203='Weeks Plan'!$D$6,'Planning Sheet'!BW203='Weeks Plan'!$G$6),'Planning Sheet'!$B203,"")</f>
        <v/>
      </c>
      <c r="Z2668" s="48" t="str">
        <f ca="1">IF(AND('Planning Sheet'!CC203='Weeks Plan'!$D$6,'Planning Sheet'!BW203='Weeks Plan'!$G$6),'Planning Sheet'!$BX203,"")</f>
        <v/>
      </c>
      <c r="AA2668" s="48" t="str">
        <f ca="1">IF(AND('Planning Sheet'!CC203='Weeks Plan'!$D$6,'Planning Sheet'!BW203='Weeks Plan'!$G$6),'Planning Sheet'!$BY203,"")</f>
        <v/>
      </c>
    </row>
    <row r="2669" spans="25:27" x14ac:dyDescent="0.3">
      <c r="Y2669" s="48" t="str">
        <f ca="1">IF(AND('Planning Sheet'!CC204='Weeks Plan'!$D$6,'Planning Sheet'!BW204='Weeks Plan'!$G$6),'Planning Sheet'!$B204,"")</f>
        <v/>
      </c>
      <c r="Z2669" s="48" t="str">
        <f ca="1">IF(AND('Planning Sheet'!CC204='Weeks Plan'!$D$6,'Planning Sheet'!BW204='Weeks Plan'!$G$6),'Planning Sheet'!$BX204,"")</f>
        <v/>
      </c>
      <c r="AA2669" s="48" t="str">
        <f ca="1">IF(AND('Planning Sheet'!CC204='Weeks Plan'!$D$6,'Planning Sheet'!BW204='Weeks Plan'!$G$6),'Planning Sheet'!$BY204,"")</f>
        <v/>
      </c>
    </row>
    <row r="2670" spans="25:27" x14ac:dyDescent="0.3">
      <c r="Y2670" s="48" t="str">
        <f ca="1">IF(AND('Planning Sheet'!CC205='Weeks Plan'!$D$6,'Planning Sheet'!BW205='Weeks Plan'!$G$6),'Planning Sheet'!$B205,"")</f>
        <v/>
      </c>
      <c r="Z2670" s="48" t="str">
        <f ca="1">IF(AND('Planning Sheet'!CC205='Weeks Plan'!$D$6,'Planning Sheet'!BW205='Weeks Plan'!$G$6),'Planning Sheet'!$BX205,"")</f>
        <v/>
      </c>
      <c r="AA2670" s="48" t="str">
        <f ca="1">IF(AND('Planning Sheet'!CC205='Weeks Plan'!$D$6,'Planning Sheet'!BW205='Weeks Plan'!$G$6),'Planning Sheet'!$BY205,"")</f>
        <v/>
      </c>
    </row>
    <row r="2671" spans="25:27" x14ac:dyDescent="0.3">
      <c r="Y2671" s="48" t="str">
        <f ca="1">IF(AND('Planning Sheet'!CC206='Weeks Plan'!$D$6,'Planning Sheet'!BW206='Weeks Plan'!$G$6),'Planning Sheet'!$B206,"")</f>
        <v/>
      </c>
      <c r="Z2671" s="48" t="str">
        <f ca="1">IF(AND('Planning Sheet'!CC206='Weeks Plan'!$D$6,'Planning Sheet'!BW206='Weeks Plan'!$G$6),'Planning Sheet'!$BX206,"")</f>
        <v/>
      </c>
      <c r="AA2671" s="48" t="str">
        <f ca="1">IF(AND('Planning Sheet'!CC206='Weeks Plan'!$D$6,'Planning Sheet'!BW206='Weeks Plan'!$G$6),'Planning Sheet'!$BY206,"")</f>
        <v/>
      </c>
    </row>
    <row r="2672" spans="25:27" x14ac:dyDescent="0.3">
      <c r="Y2672" s="48" t="str">
        <f ca="1">IF(AND('Planning Sheet'!CC207='Weeks Plan'!$D$6,'Planning Sheet'!BW207='Weeks Plan'!$G$6),'Planning Sheet'!$B207,"")</f>
        <v/>
      </c>
      <c r="Z2672" s="48" t="str">
        <f ca="1">IF(AND('Planning Sheet'!CC207='Weeks Plan'!$D$6,'Planning Sheet'!BW207='Weeks Plan'!$G$6),'Planning Sheet'!$BX207,"")</f>
        <v/>
      </c>
      <c r="AA2672" s="48" t="str">
        <f ca="1">IF(AND('Planning Sheet'!CC207='Weeks Plan'!$D$6,'Planning Sheet'!BW207='Weeks Plan'!$G$6),'Planning Sheet'!$BY207,"")</f>
        <v/>
      </c>
    </row>
    <row r="2673" spans="25:27" x14ac:dyDescent="0.3">
      <c r="Y2673" s="48" t="str">
        <f ca="1">IF(AND('Planning Sheet'!CC208='Weeks Plan'!$D$6,'Planning Sheet'!BW208='Weeks Plan'!$G$6),'Planning Sheet'!$B208,"")</f>
        <v/>
      </c>
      <c r="Z2673" s="48" t="str">
        <f ca="1">IF(AND('Planning Sheet'!CC208='Weeks Plan'!$D$6,'Planning Sheet'!BW208='Weeks Plan'!$G$6),'Planning Sheet'!$BX208,"")</f>
        <v/>
      </c>
      <c r="AA2673" s="48" t="str">
        <f ca="1">IF(AND('Planning Sheet'!CC208='Weeks Plan'!$D$6,'Planning Sheet'!BW208='Weeks Plan'!$G$6),'Planning Sheet'!$BY208,"")</f>
        <v/>
      </c>
    </row>
    <row r="2674" spans="25:27" x14ac:dyDescent="0.3">
      <c r="Y2674" s="48" t="str">
        <f ca="1">IF(AND('Planning Sheet'!CC209='Weeks Plan'!$D$6,'Planning Sheet'!BW209='Weeks Plan'!$G$6),'Planning Sheet'!$B209,"")</f>
        <v/>
      </c>
      <c r="Z2674" s="48" t="str">
        <f ca="1">IF(AND('Planning Sheet'!CC209='Weeks Plan'!$D$6,'Planning Sheet'!BW209='Weeks Plan'!$G$6),'Planning Sheet'!$BX209,"")</f>
        <v/>
      </c>
      <c r="AA2674" s="48" t="str">
        <f ca="1">IF(AND('Planning Sheet'!CC209='Weeks Plan'!$D$6,'Planning Sheet'!BW209='Weeks Plan'!$G$6),'Planning Sheet'!$BY209,"")</f>
        <v/>
      </c>
    </row>
    <row r="2675" spans="25:27" x14ac:dyDescent="0.3">
      <c r="Y2675" s="48" t="str">
        <f ca="1">IF(AND('Planning Sheet'!CC210='Weeks Plan'!$D$6,'Planning Sheet'!BW210='Weeks Plan'!$G$6),'Planning Sheet'!$B210,"")</f>
        <v/>
      </c>
      <c r="Z2675" s="48" t="str">
        <f ca="1">IF(AND('Planning Sheet'!CC210='Weeks Plan'!$D$6,'Planning Sheet'!BW210='Weeks Plan'!$G$6),'Planning Sheet'!$BX210,"")</f>
        <v/>
      </c>
      <c r="AA2675" s="48" t="str">
        <f ca="1">IF(AND('Planning Sheet'!CC210='Weeks Plan'!$D$6,'Planning Sheet'!BW210='Weeks Plan'!$G$6),'Planning Sheet'!$BY210,"")</f>
        <v/>
      </c>
    </row>
    <row r="2676" spans="25:27" x14ac:dyDescent="0.3">
      <c r="Y2676" s="48" t="str">
        <f ca="1">IF(AND('Planning Sheet'!CC211='Weeks Plan'!$D$6,'Planning Sheet'!BW211='Weeks Plan'!$G$6),'Planning Sheet'!$B211,"")</f>
        <v/>
      </c>
      <c r="Z2676" s="48" t="str">
        <f ca="1">IF(AND('Planning Sheet'!CC211='Weeks Plan'!$D$6,'Planning Sheet'!BW211='Weeks Plan'!$G$6),'Planning Sheet'!$BX211,"")</f>
        <v/>
      </c>
      <c r="AA2676" s="48" t="str">
        <f ca="1">IF(AND('Planning Sheet'!CC211='Weeks Plan'!$D$6,'Planning Sheet'!BW211='Weeks Plan'!$G$6),'Planning Sheet'!$BY211,"")</f>
        <v/>
      </c>
    </row>
    <row r="2677" spans="25:27" x14ac:dyDescent="0.3">
      <c r="Y2677" s="48" t="str">
        <f ca="1">IF(AND('Planning Sheet'!CC212='Weeks Plan'!$D$6,'Planning Sheet'!BW212='Weeks Plan'!$G$6),'Planning Sheet'!$B212,"")</f>
        <v/>
      </c>
      <c r="Z2677" s="48" t="str">
        <f ca="1">IF(AND('Planning Sheet'!CC212='Weeks Plan'!$D$6,'Planning Sheet'!BW212='Weeks Plan'!$G$6),'Planning Sheet'!$BX212,"")</f>
        <v/>
      </c>
      <c r="AA2677" s="48" t="str">
        <f ca="1">IF(AND('Planning Sheet'!CC212='Weeks Plan'!$D$6,'Planning Sheet'!BW212='Weeks Plan'!$G$6),'Planning Sheet'!$BY212,"")</f>
        <v/>
      </c>
    </row>
    <row r="2678" spans="25:27" x14ac:dyDescent="0.3">
      <c r="Y2678" s="48" t="str">
        <f ca="1">IF(AND('Planning Sheet'!CC213='Weeks Plan'!$D$6,'Planning Sheet'!BW213='Weeks Plan'!$G$6),'Planning Sheet'!$B213,"")</f>
        <v/>
      </c>
      <c r="Z2678" s="48" t="str">
        <f ca="1">IF(AND('Planning Sheet'!CC213='Weeks Plan'!$D$6,'Planning Sheet'!BW213='Weeks Plan'!$G$6),'Planning Sheet'!$BX213,"")</f>
        <v/>
      </c>
      <c r="AA2678" s="48" t="str">
        <f ca="1">IF(AND('Planning Sheet'!CC213='Weeks Plan'!$D$6,'Planning Sheet'!BW213='Weeks Plan'!$G$6),'Planning Sheet'!$BY213,"")</f>
        <v/>
      </c>
    </row>
    <row r="2679" spans="25:27" x14ac:dyDescent="0.3">
      <c r="Y2679" s="48" t="str">
        <f ca="1">IF(AND('Planning Sheet'!CC214='Weeks Plan'!$D$6,'Planning Sheet'!BW214='Weeks Plan'!$G$6),'Planning Sheet'!$B214,"")</f>
        <v/>
      </c>
      <c r="Z2679" s="48" t="str">
        <f ca="1">IF(AND('Planning Sheet'!CC214='Weeks Plan'!$D$6,'Planning Sheet'!BW214='Weeks Plan'!$G$6),'Planning Sheet'!$BX214,"")</f>
        <v/>
      </c>
      <c r="AA2679" s="48" t="str">
        <f ca="1">IF(AND('Planning Sheet'!CC214='Weeks Plan'!$D$6,'Planning Sheet'!BW214='Weeks Plan'!$G$6),'Planning Sheet'!$BY214,"")</f>
        <v/>
      </c>
    </row>
    <row r="2680" spans="25:27" x14ac:dyDescent="0.3">
      <c r="Y2680" s="48" t="str">
        <f ca="1">IF(AND('Planning Sheet'!CC215='Weeks Plan'!$D$6,'Planning Sheet'!BW215='Weeks Plan'!$G$6),'Planning Sheet'!$B215,"")</f>
        <v/>
      </c>
      <c r="Z2680" s="48" t="str">
        <f ca="1">IF(AND('Planning Sheet'!CC215='Weeks Plan'!$D$6,'Planning Sheet'!BW215='Weeks Plan'!$G$6),'Planning Sheet'!$BX215,"")</f>
        <v/>
      </c>
      <c r="AA2680" s="48" t="str">
        <f ca="1">IF(AND('Planning Sheet'!CC215='Weeks Plan'!$D$6,'Planning Sheet'!BW215='Weeks Plan'!$G$6),'Planning Sheet'!$BY215,"")</f>
        <v/>
      </c>
    </row>
    <row r="2681" spans="25:27" x14ac:dyDescent="0.3">
      <c r="Y2681" s="48" t="str">
        <f ca="1">IF(AND('Planning Sheet'!CC216='Weeks Plan'!$D$6,'Planning Sheet'!BW216='Weeks Plan'!$G$6),'Planning Sheet'!$B216,"")</f>
        <v/>
      </c>
      <c r="Z2681" s="48" t="str">
        <f ca="1">IF(AND('Planning Sheet'!CC216='Weeks Plan'!$D$6,'Planning Sheet'!BW216='Weeks Plan'!$G$6),'Planning Sheet'!$BX216,"")</f>
        <v/>
      </c>
      <c r="AA2681" s="48" t="str">
        <f ca="1">IF(AND('Planning Sheet'!CC216='Weeks Plan'!$D$6,'Planning Sheet'!BW216='Weeks Plan'!$G$6),'Planning Sheet'!$BY216,"")</f>
        <v/>
      </c>
    </row>
    <row r="2682" spans="25:27" x14ac:dyDescent="0.3">
      <c r="Y2682" s="48" t="str">
        <f ca="1">IF(AND('Planning Sheet'!CC217='Weeks Plan'!$D$6,'Planning Sheet'!BW217='Weeks Plan'!$G$6),'Planning Sheet'!$B217,"")</f>
        <v/>
      </c>
      <c r="Z2682" s="48" t="str">
        <f ca="1">IF(AND('Planning Sheet'!CC217='Weeks Plan'!$D$6,'Planning Sheet'!BW217='Weeks Plan'!$G$6),'Planning Sheet'!$BX217,"")</f>
        <v/>
      </c>
      <c r="AA2682" s="48" t="str">
        <f ca="1">IF(AND('Planning Sheet'!CC217='Weeks Plan'!$D$6,'Planning Sheet'!BW217='Weeks Plan'!$G$6),'Planning Sheet'!$BY217,"")</f>
        <v/>
      </c>
    </row>
    <row r="2683" spans="25:27" x14ac:dyDescent="0.3">
      <c r="Y2683" s="48" t="str">
        <f ca="1">IF(AND('Planning Sheet'!CC218='Weeks Plan'!$D$6,'Planning Sheet'!BW218='Weeks Plan'!$G$6),'Planning Sheet'!$B218,"")</f>
        <v/>
      </c>
      <c r="Z2683" s="48" t="str">
        <f ca="1">IF(AND('Planning Sheet'!CC218='Weeks Plan'!$D$6,'Planning Sheet'!BW218='Weeks Plan'!$G$6),'Planning Sheet'!$BX218,"")</f>
        <v/>
      </c>
      <c r="AA2683" s="48" t="str">
        <f ca="1">IF(AND('Planning Sheet'!CC218='Weeks Plan'!$D$6,'Planning Sheet'!BW218='Weeks Plan'!$G$6),'Planning Sheet'!$BY218,"")</f>
        <v/>
      </c>
    </row>
    <row r="2684" spans="25:27" x14ac:dyDescent="0.3">
      <c r="Y2684" s="48" t="str">
        <f ca="1">IF(AND('Planning Sheet'!CC219='Weeks Plan'!$D$6,'Planning Sheet'!BW219='Weeks Plan'!$G$6),'Planning Sheet'!$B219,"")</f>
        <v/>
      </c>
      <c r="Z2684" s="48" t="str">
        <f ca="1">IF(AND('Planning Sheet'!CC219='Weeks Plan'!$D$6,'Planning Sheet'!BW219='Weeks Plan'!$G$6),'Planning Sheet'!$BX219,"")</f>
        <v/>
      </c>
      <c r="AA2684" s="48" t="str">
        <f ca="1">IF(AND('Planning Sheet'!CC219='Weeks Plan'!$D$6,'Planning Sheet'!BW219='Weeks Plan'!$G$6),'Planning Sheet'!$BY219,"")</f>
        <v/>
      </c>
    </row>
    <row r="2685" spans="25:27" x14ac:dyDescent="0.3">
      <c r="Y2685" s="48" t="str">
        <f ca="1">IF(AND('Planning Sheet'!CC220='Weeks Plan'!$D$6,'Planning Sheet'!BW220='Weeks Plan'!$G$6),'Planning Sheet'!$B220,"")</f>
        <v/>
      </c>
      <c r="Z2685" s="48" t="str">
        <f ca="1">IF(AND('Planning Sheet'!CC220='Weeks Plan'!$D$6,'Planning Sheet'!BW220='Weeks Plan'!$G$6),'Planning Sheet'!$BX220,"")</f>
        <v/>
      </c>
      <c r="AA2685" s="48" t="str">
        <f ca="1">IF(AND('Planning Sheet'!CC220='Weeks Plan'!$D$6,'Planning Sheet'!BW220='Weeks Plan'!$G$6),'Planning Sheet'!$BY220,"")</f>
        <v/>
      </c>
    </row>
    <row r="2686" spans="25:27" x14ac:dyDescent="0.3">
      <c r="Y2686" s="48" t="str">
        <f ca="1">IF(AND('Planning Sheet'!CC221='Weeks Plan'!$D$6,'Planning Sheet'!BW221='Weeks Plan'!$G$6),'Planning Sheet'!$B221,"")</f>
        <v/>
      </c>
      <c r="Z2686" s="48" t="str">
        <f ca="1">IF(AND('Planning Sheet'!CC221='Weeks Plan'!$D$6,'Planning Sheet'!BW221='Weeks Plan'!$G$6),'Planning Sheet'!$BX221,"")</f>
        <v/>
      </c>
      <c r="AA2686" s="48" t="str">
        <f ca="1">IF(AND('Planning Sheet'!CC221='Weeks Plan'!$D$6,'Planning Sheet'!BW221='Weeks Plan'!$G$6),'Planning Sheet'!$BY221,"")</f>
        <v/>
      </c>
    </row>
    <row r="2687" spans="25:27" x14ac:dyDescent="0.3">
      <c r="Y2687" s="48" t="str">
        <f ca="1">IF(AND('Planning Sheet'!CC222='Weeks Plan'!$D$6,'Planning Sheet'!BW222='Weeks Plan'!$G$6),'Planning Sheet'!$B222,"")</f>
        <v/>
      </c>
      <c r="Z2687" s="48" t="str">
        <f ca="1">IF(AND('Planning Sheet'!CC222='Weeks Plan'!$D$6,'Planning Sheet'!BW222='Weeks Plan'!$G$6),'Planning Sheet'!$BX222,"")</f>
        <v/>
      </c>
      <c r="AA2687" s="48" t="str">
        <f ca="1">IF(AND('Planning Sheet'!CC222='Weeks Plan'!$D$6,'Planning Sheet'!BW222='Weeks Plan'!$G$6),'Planning Sheet'!$BY222,"")</f>
        <v/>
      </c>
    </row>
    <row r="2688" spans="25:27" x14ac:dyDescent="0.3">
      <c r="Y2688" s="48" t="str">
        <f ca="1">IF(AND('Planning Sheet'!CC223='Weeks Plan'!$D$6,'Planning Sheet'!BW223='Weeks Plan'!$G$6),'Planning Sheet'!$B223,"")</f>
        <v/>
      </c>
      <c r="Z2688" s="48" t="str">
        <f ca="1">IF(AND('Planning Sheet'!CC223='Weeks Plan'!$D$6,'Planning Sheet'!BW223='Weeks Plan'!$G$6),'Planning Sheet'!$BX223,"")</f>
        <v/>
      </c>
      <c r="AA2688" s="48" t="str">
        <f ca="1">IF(AND('Planning Sheet'!CC223='Weeks Plan'!$D$6,'Planning Sheet'!BW223='Weeks Plan'!$G$6),'Planning Sheet'!$BY223,"")</f>
        <v/>
      </c>
    </row>
    <row r="2689" spans="25:27" x14ac:dyDescent="0.3">
      <c r="Y2689" s="48" t="str">
        <f ca="1">IF(AND('Planning Sheet'!CC224='Weeks Plan'!$D$6,'Planning Sheet'!BW224='Weeks Plan'!$G$6),'Planning Sheet'!$B224,"")</f>
        <v/>
      </c>
      <c r="Z2689" s="48" t="str">
        <f ca="1">IF(AND('Planning Sheet'!CC224='Weeks Plan'!$D$6,'Planning Sheet'!BW224='Weeks Plan'!$G$6),'Planning Sheet'!$BX224,"")</f>
        <v/>
      </c>
      <c r="AA2689" s="48" t="str">
        <f ca="1">IF(AND('Planning Sheet'!CC224='Weeks Plan'!$D$6,'Planning Sheet'!BW224='Weeks Plan'!$G$6),'Planning Sheet'!$BY224,"")</f>
        <v/>
      </c>
    </row>
    <row r="2690" spans="25:27" x14ac:dyDescent="0.3">
      <c r="Y2690" s="48" t="str">
        <f ca="1">IF(AND('Planning Sheet'!CC225='Weeks Plan'!$D$6,'Planning Sheet'!BW225='Weeks Plan'!$G$6),'Planning Sheet'!$B225,"")</f>
        <v/>
      </c>
      <c r="Z2690" s="48" t="str">
        <f ca="1">IF(AND('Planning Sheet'!CC225='Weeks Plan'!$D$6,'Planning Sheet'!BW225='Weeks Plan'!$G$6),'Planning Sheet'!$BX225,"")</f>
        <v/>
      </c>
      <c r="AA2690" s="48" t="str">
        <f ca="1">IF(AND('Planning Sheet'!CC225='Weeks Plan'!$D$6,'Planning Sheet'!BW225='Weeks Plan'!$G$6),'Planning Sheet'!$BY225,"")</f>
        <v/>
      </c>
    </row>
    <row r="2691" spans="25:27" x14ac:dyDescent="0.3">
      <c r="Y2691" s="48" t="str">
        <f ca="1">IF(AND('Planning Sheet'!CC226='Weeks Plan'!$D$6,'Planning Sheet'!BW226='Weeks Plan'!$G$6),'Planning Sheet'!$B226,"")</f>
        <v/>
      </c>
      <c r="Z2691" s="48" t="str">
        <f ca="1">IF(AND('Planning Sheet'!CC226='Weeks Plan'!$D$6,'Planning Sheet'!BW226='Weeks Plan'!$G$6),'Planning Sheet'!$BX226,"")</f>
        <v/>
      </c>
      <c r="AA2691" s="48" t="str">
        <f ca="1">IF(AND('Planning Sheet'!CC226='Weeks Plan'!$D$6,'Planning Sheet'!BW226='Weeks Plan'!$G$6),'Planning Sheet'!$BY226,"")</f>
        <v/>
      </c>
    </row>
    <row r="2692" spans="25:27" x14ac:dyDescent="0.3">
      <c r="Y2692" s="48" t="str">
        <f ca="1">IF(AND('Planning Sheet'!CC227='Weeks Plan'!$D$6,'Planning Sheet'!BW227='Weeks Plan'!$G$6),'Planning Sheet'!$B227,"")</f>
        <v/>
      </c>
      <c r="Z2692" s="48" t="str">
        <f ca="1">IF(AND('Planning Sheet'!CC227='Weeks Plan'!$D$6,'Planning Sheet'!BW227='Weeks Plan'!$G$6),'Planning Sheet'!$BX227,"")</f>
        <v/>
      </c>
      <c r="AA2692" s="48" t="str">
        <f ca="1">IF(AND('Planning Sheet'!CC227='Weeks Plan'!$D$6,'Planning Sheet'!BW227='Weeks Plan'!$G$6),'Planning Sheet'!$BY227,"")</f>
        <v/>
      </c>
    </row>
    <row r="2693" spans="25:27" x14ac:dyDescent="0.3">
      <c r="Y2693" s="48" t="str">
        <f ca="1">IF(AND('Planning Sheet'!CC228='Weeks Plan'!$D$6,'Planning Sheet'!BW228='Weeks Plan'!$G$6),'Planning Sheet'!$B228,"")</f>
        <v/>
      </c>
      <c r="Z2693" s="48" t="str">
        <f ca="1">IF(AND('Planning Sheet'!CC228='Weeks Plan'!$D$6,'Planning Sheet'!BW228='Weeks Plan'!$G$6),'Planning Sheet'!$BX228,"")</f>
        <v/>
      </c>
      <c r="AA2693" s="48" t="str">
        <f ca="1">IF(AND('Planning Sheet'!CC228='Weeks Plan'!$D$6,'Planning Sheet'!BW228='Weeks Plan'!$G$6),'Planning Sheet'!$BY228,"")</f>
        <v/>
      </c>
    </row>
    <row r="2694" spans="25:27" x14ac:dyDescent="0.3">
      <c r="Y2694" s="48" t="str">
        <f ca="1">IF(AND('Planning Sheet'!CC229='Weeks Plan'!$D$6,'Planning Sheet'!BW229='Weeks Plan'!$G$6),'Planning Sheet'!$B229,"")</f>
        <v/>
      </c>
      <c r="Z2694" s="48" t="str">
        <f ca="1">IF(AND('Planning Sheet'!CC229='Weeks Plan'!$D$6,'Planning Sheet'!BW229='Weeks Plan'!$G$6),'Planning Sheet'!$BX229,"")</f>
        <v/>
      </c>
      <c r="AA2694" s="48" t="str">
        <f ca="1">IF(AND('Planning Sheet'!CC229='Weeks Plan'!$D$6,'Planning Sheet'!BW229='Weeks Plan'!$G$6),'Planning Sheet'!$BY229,"")</f>
        <v/>
      </c>
    </row>
    <row r="2695" spans="25:27" x14ac:dyDescent="0.3">
      <c r="Y2695" s="48" t="str">
        <f ca="1">IF(AND('Planning Sheet'!CC230='Weeks Plan'!$D$6,'Planning Sheet'!BW230='Weeks Plan'!$G$6),'Planning Sheet'!$B230,"")</f>
        <v/>
      </c>
      <c r="Z2695" s="48" t="str">
        <f ca="1">IF(AND('Planning Sheet'!CC230='Weeks Plan'!$D$6,'Planning Sheet'!BW230='Weeks Plan'!$G$6),'Planning Sheet'!$BX230,"")</f>
        <v/>
      </c>
      <c r="AA2695" s="48" t="str">
        <f ca="1">IF(AND('Planning Sheet'!CC230='Weeks Plan'!$D$6,'Planning Sheet'!BW230='Weeks Plan'!$G$6),'Planning Sheet'!$BY230,"")</f>
        <v/>
      </c>
    </row>
    <row r="2696" spans="25:27" x14ac:dyDescent="0.3">
      <c r="Y2696" s="48" t="str">
        <f ca="1">IF(AND('Planning Sheet'!CC231='Weeks Plan'!$D$6,'Planning Sheet'!BW231='Weeks Plan'!$G$6),'Planning Sheet'!$B231,"")</f>
        <v/>
      </c>
      <c r="Z2696" s="48" t="str">
        <f ca="1">IF(AND('Planning Sheet'!CC231='Weeks Plan'!$D$6,'Planning Sheet'!BW231='Weeks Plan'!$G$6),'Planning Sheet'!$BX231,"")</f>
        <v/>
      </c>
      <c r="AA2696" s="48" t="str">
        <f ca="1">IF(AND('Planning Sheet'!CC231='Weeks Plan'!$D$6,'Planning Sheet'!BW231='Weeks Plan'!$G$6),'Planning Sheet'!$BY231,"")</f>
        <v/>
      </c>
    </row>
    <row r="2697" spans="25:27" x14ac:dyDescent="0.3">
      <c r="Y2697" s="48" t="str">
        <f ca="1">IF(AND('Planning Sheet'!CC232='Weeks Plan'!$D$6,'Planning Sheet'!BW232='Weeks Plan'!$G$6),'Planning Sheet'!$B232,"")</f>
        <v/>
      </c>
      <c r="Z2697" s="48" t="str">
        <f ca="1">IF(AND('Planning Sheet'!CC232='Weeks Plan'!$D$6,'Planning Sheet'!BW232='Weeks Plan'!$G$6),'Planning Sheet'!$BX232,"")</f>
        <v/>
      </c>
      <c r="AA2697" s="48" t="str">
        <f ca="1">IF(AND('Planning Sheet'!CC232='Weeks Plan'!$D$6,'Planning Sheet'!BW232='Weeks Plan'!$G$6),'Planning Sheet'!$BY232,"")</f>
        <v/>
      </c>
    </row>
    <row r="2698" spans="25:27" x14ac:dyDescent="0.3">
      <c r="Y2698" s="48" t="str">
        <f ca="1">IF(AND('Planning Sheet'!CC233='Weeks Plan'!$D$6,'Planning Sheet'!BW233='Weeks Plan'!$G$6),'Planning Sheet'!$B233,"")</f>
        <v/>
      </c>
      <c r="Z2698" s="48" t="str">
        <f ca="1">IF(AND('Planning Sheet'!CC233='Weeks Plan'!$D$6,'Planning Sheet'!BW233='Weeks Plan'!$G$6),'Planning Sheet'!$BX233,"")</f>
        <v/>
      </c>
      <c r="AA2698" s="48" t="str">
        <f ca="1">IF(AND('Planning Sheet'!CC233='Weeks Plan'!$D$6,'Planning Sheet'!BW233='Weeks Plan'!$G$6),'Planning Sheet'!$BY233,"")</f>
        <v/>
      </c>
    </row>
    <row r="2699" spans="25:27" x14ac:dyDescent="0.3">
      <c r="Y2699" s="48" t="str">
        <f ca="1">IF(AND('Planning Sheet'!CC234='Weeks Plan'!$D$6,'Planning Sheet'!BW234='Weeks Plan'!$G$6),'Planning Sheet'!$B234,"")</f>
        <v/>
      </c>
      <c r="Z2699" s="48" t="str">
        <f ca="1">IF(AND('Planning Sheet'!CC234='Weeks Plan'!$D$6,'Planning Sheet'!BW234='Weeks Plan'!$G$6),'Planning Sheet'!$BX234,"")</f>
        <v/>
      </c>
      <c r="AA2699" s="48" t="str">
        <f ca="1">IF(AND('Planning Sheet'!CC234='Weeks Plan'!$D$6,'Planning Sheet'!BW234='Weeks Plan'!$G$6),'Planning Sheet'!$BY234,"")</f>
        <v/>
      </c>
    </row>
    <row r="2700" spans="25:27" x14ac:dyDescent="0.3">
      <c r="Y2700" s="48" t="str">
        <f ca="1">IF(AND('Planning Sheet'!CC235='Weeks Plan'!$D$6,'Planning Sheet'!BW235='Weeks Plan'!$G$6),'Planning Sheet'!$B235,"")</f>
        <v/>
      </c>
      <c r="Z2700" s="48" t="str">
        <f ca="1">IF(AND('Planning Sheet'!CC235='Weeks Plan'!$D$6,'Planning Sheet'!BW235='Weeks Plan'!$G$6),'Planning Sheet'!$BX235,"")</f>
        <v/>
      </c>
      <c r="AA2700" s="48" t="str">
        <f ca="1">IF(AND('Planning Sheet'!CC235='Weeks Plan'!$D$6,'Planning Sheet'!BW235='Weeks Plan'!$G$6),'Planning Sheet'!$BY235,"")</f>
        <v/>
      </c>
    </row>
    <row r="2701" spans="25:27" x14ac:dyDescent="0.3">
      <c r="Y2701" s="48" t="str">
        <f ca="1">IF(AND('Planning Sheet'!CC236='Weeks Plan'!$D$6,'Planning Sheet'!BW236='Weeks Plan'!$G$6),'Planning Sheet'!$B236,"")</f>
        <v/>
      </c>
      <c r="Z2701" s="48" t="str">
        <f ca="1">IF(AND('Planning Sheet'!CC236='Weeks Plan'!$D$6,'Planning Sheet'!BW236='Weeks Plan'!$G$6),'Planning Sheet'!$BX236,"")</f>
        <v/>
      </c>
      <c r="AA2701" s="48" t="str">
        <f ca="1">IF(AND('Planning Sheet'!CC236='Weeks Plan'!$D$6,'Planning Sheet'!BW236='Weeks Plan'!$G$6),'Planning Sheet'!$BY236,"")</f>
        <v/>
      </c>
    </row>
    <row r="2702" spans="25:27" x14ac:dyDescent="0.3">
      <c r="Y2702" s="48" t="str">
        <f ca="1">IF(AND('Planning Sheet'!CC237='Weeks Plan'!$D$6,'Planning Sheet'!BW237='Weeks Plan'!$G$6),'Planning Sheet'!$B237,"")</f>
        <v/>
      </c>
      <c r="Z2702" s="48" t="str">
        <f ca="1">IF(AND('Planning Sheet'!CC237='Weeks Plan'!$D$6,'Planning Sheet'!BW237='Weeks Plan'!$G$6),'Planning Sheet'!$BX237,"")</f>
        <v/>
      </c>
      <c r="AA2702" s="48" t="str">
        <f ca="1">IF(AND('Planning Sheet'!CC237='Weeks Plan'!$D$6,'Planning Sheet'!BW237='Weeks Plan'!$G$6),'Planning Sheet'!$BY237,"")</f>
        <v/>
      </c>
    </row>
    <row r="2703" spans="25:27" x14ac:dyDescent="0.3">
      <c r="Y2703" s="48" t="str">
        <f ca="1">IF(AND('Planning Sheet'!CC238='Weeks Plan'!$D$6,'Planning Sheet'!BW238='Weeks Plan'!$G$6),'Planning Sheet'!$B238,"")</f>
        <v/>
      </c>
      <c r="Z2703" s="48" t="str">
        <f ca="1">IF(AND('Planning Sheet'!CC238='Weeks Plan'!$D$6,'Planning Sheet'!BW238='Weeks Plan'!$G$6),'Planning Sheet'!$BX238,"")</f>
        <v/>
      </c>
      <c r="AA2703" s="48" t="str">
        <f ca="1">IF(AND('Planning Sheet'!CC238='Weeks Plan'!$D$6,'Planning Sheet'!BW238='Weeks Plan'!$G$6),'Planning Sheet'!$BY238,"")</f>
        <v/>
      </c>
    </row>
    <row r="2704" spans="25:27" x14ac:dyDescent="0.3">
      <c r="Y2704" s="48" t="str">
        <f ca="1">IF(AND('Planning Sheet'!CC239='Weeks Plan'!$D$6,'Planning Sheet'!BW239='Weeks Plan'!$G$6),'Planning Sheet'!$B239,"")</f>
        <v/>
      </c>
      <c r="Z2704" s="48" t="str">
        <f ca="1">IF(AND('Planning Sheet'!CC239='Weeks Plan'!$D$6,'Planning Sheet'!BW239='Weeks Plan'!$G$6),'Planning Sheet'!$BX239,"")</f>
        <v/>
      </c>
      <c r="AA2704" s="48" t="str">
        <f ca="1">IF(AND('Planning Sheet'!CC239='Weeks Plan'!$D$6,'Planning Sheet'!BW239='Weeks Plan'!$G$6),'Planning Sheet'!$BY239,"")</f>
        <v/>
      </c>
    </row>
    <row r="2705" spans="25:27" x14ac:dyDescent="0.3">
      <c r="Y2705" s="48" t="str">
        <f ca="1">IF(AND('Planning Sheet'!CC240='Weeks Plan'!$D$6,'Planning Sheet'!BW240='Weeks Plan'!$G$6),'Planning Sheet'!$B240,"")</f>
        <v/>
      </c>
      <c r="Z2705" s="48" t="str">
        <f ca="1">IF(AND('Planning Sheet'!CC240='Weeks Plan'!$D$6,'Planning Sheet'!BW240='Weeks Plan'!$G$6),'Planning Sheet'!$BX240,"")</f>
        <v/>
      </c>
      <c r="AA2705" s="48" t="str">
        <f ca="1">IF(AND('Planning Sheet'!CC240='Weeks Plan'!$D$6,'Planning Sheet'!BW240='Weeks Plan'!$G$6),'Planning Sheet'!$BY240,"")</f>
        <v/>
      </c>
    </row>
    <row r="2706" spans="25:27" x14ac:dyDescent="0.3">
      <c r="Y2706" s="48" t="str">
        <f ca="1">IF(AND('Planning Sheet'!CC241='Weeks Plan'!$D$6,'Planning Sheet'!BW241='Weeks Plan'!$G$6),'Planning Sheet'!$B241,"")</f>
        <v/>
      </c>
      <c r="Z2706" s="48" t="str">
        <f ca="1">IF(AND('Planning Sheet'!CC241='Weeks Plan'!$D$6,'Planning Sheet'!BW241='Weeks Plan'!$G$6),'Planning Sheet'!$BX241,"")</f>
        <v/>
      </c>
      <c r="AA2706" s="48" t="str">
        <f ca="1">IF(AND('Planning Sheet'!CC241='Weeks Plan'!$D$6,'Planning Sheet'!BW241='Weeks Plan'!$G$6),'Planning Sheet'!$BY241,"")</f>
        <v/>
      </c>
    </row>
    <row r="2707" spans="25:27" x14ac:dyDescent="0.3">
      <c r="Y2707" s="48" t="str">
        <f ca="1">IF(AND('Planning Sheet'!CC242='Weeks Plan'!$D$6,'Planning Sheet'!BW242='Weeks Plan'!$G$6),'Planning Sheet'!$B242,"")</f>
        <v/>
      </c>
      <c r="Z2707" s="48" t="str">
        <f ca="1">IF(AND('Planning Sheet'!CC242='Weeks Plan'!$D$6,'Planning Sheet'!BW242='Weeks Plan'!$G$6),'Planning Sheet'!$BX242,"")</f>
        <v/>
      </c>
      <c r="AA2707" s="48" t="str">
        <f ca="1">IF(AND('Planning Sheet'!CC242='Weeks Plan'!$D$6,'Planning Sheet'!BW242='Weeks Plan'!$G$6),'Planning Sheet'!$BY242,"")</f>
        <v/>
      </c>
    </row>
    <row r="2708" spans="25:27" x14ac:dyDescent="0.3">
      <c r="Y2708" s="48" t="str">
        <f ca="1">IF(AND('Planning Sheet'!CC243='Weeks Plan'!$D$6,'Planning Sheet'!BW243='Weeks Plan'!$G$6),'Planning Sheet'!$B243,"")</f>
        <v/>
      </c>
      <c r="Z2708" s="48" t="str">
        <f ca="1">IF(AND('Planning Sheet'!CC243='Weeks Plan'!$D$6,'Planning Sheet'!BW243='Weeks Plan'!$G$6),'Planning Sheet'!$BX243,"")</f>
        <v/>
      </c>
      <c r="AA2708" s="48" t="str">
        <f ca="1">IF(AND('Planning Sheet'!CC243='Weeks Plan'!$D$6,'Planning Sheet'!BW243='Weeks Plan'!$G$6),'Planning Sheet'!$BY243,"")</f>
        <v/>
      </c>
    </row>
    <row r="2709" spans="25:27" x14ac:dyDescent="0.3">
      <c r="Y2709" s="48" t="str">
        <f ca="1">IF(AND('Planning Sheet'!CC244='Weeks Plan'!$D$6,'Planning Sheet'!BW244='Weeks Plan'!$G$6),'Planning Sheet'!$B244,"")</f>
        <v/>
      </c>
      <c r="Z2709" s="48" t="str">
        <f ca="1">IF(AND('Planning Sheet'!CC244='Weeks Plan'!$D$6,'Planning Sheet'!BW244='Weeks Plan'!$G$6),'Planning Sheet'!$BX244,"")</f>
        <v/>
      </c>
      <c r="AA2709" s="48" t="str">
        <f ca="1">IF(AND('Planning Sheet'!CC244='Weeks Plan'!$D$6,'Planning Sheet'!BW244='Weeks Plan'!$G$6),'Planning Sheet'!$BY244,"")</f>
        <v/>
      </c>
    </row>
    <row r="2710" spans="25:27" x14ac:dyDescent="0.3">
      <c r="Y2710" s="48" t="str">
        <f ca="1">IF(AND('Planning Sheet'!CC245='Weeks Plan'!$D$6,'Planning Sheet'!BW245='Weeks Plan'!$G$6),'Planning Sheet'!$B245,"")</f>
        <v/>
      </c>
      <c r="Z2710" s="48" t="str">
        <f ca="1">IF(AND('Planning Sheet'!CC245='Weeks Plan'!$D$6,'Planning Sheet'!BW245='Weeks Plan'!$G$6),'Planning Sheet'!$BX245,"")</f>
        <v/>
      </c>
      <c r="AA2710" s="48" t="str">
        <f ca="1">IF(AND('Planning Sheet'!CC245='Weeks Plan'!$D$6,'Planning Sheet'!BW245='Weeks Plan'!$G$6),'Planning Sheet'!$BY245,"")</f>
        <v/>
      </c>
    </row>
    <row r="2711" spans="25:27" x14ac:dyDescent="0.3">
      <c r="Y2711" s="48" t="str">
        <f ca="1">IF(AND('Planning Sheet'!CC246='Weeks Plan'!$D$6,'Planning Sheet'!BW246='Weeks Plan'!$G$6),'Planning Sheet'!$B246,"")</f>
        <v/>
      </c>
      <c r="Z2711" s="48" t="str">
        <f ca="1">IF(AND('Planning Sheet'!CC246='Weeks Plan'!$D$6,'Planning Sheet'!BW246='Weeks Plan'!$G$6),'Planning Sheet'!$BX246,"")</f>
        <v/>
      </c>
      <c r="AA2711" s="48" t="str">
        <f ca="1">IF(AND('Planning Sheet'!CC246='Weeks Plan'!$D$6,'Planning Sheet'!BW246='Weeks Plan'!$G$6),'Planning Sheet'!$BY246,"")</f>
        <v/>
      </c>
    </row>
    <row r="2712" spans="25:27" x14ac:dyDescent="0.3">
      <c r="Y2712" s="48" t="str">
        <f ca="1">IF(AND('Planning Sheet'!CC247='Weeks Plan'!$D$6,'Planning Sheet'!BW247='Weeks Plan'!$G$6),'Planning Sheet'!$B247,"")</f>
        <v/>
      </c>
      <c r="Z2712" s="48" t="str">
        <f ca="1">IF(AND('Planning Sheet'!CC247='Weeks Plan'!$D$6,'Planning Sheet'!BW247='Weeks Plan'!$G$6),'Planning Sheet'!$BX247,"")</f>
        <v/>
      </c>
      <c r="AA2712" s="48" t="str">
        <f ca="1">IF(AND('Planning Sheet'!CC247='Weeks Plan'!$D$6,'Planning Sheet'!BW247='Weeks Plan'!$G$6),'Planning Sheet'!$BY247,"")</f>
        <v/>
      </c>
    </row>
    <row r="2713" spans="25:27" x14ac:dyDescent="0.3">
      <c r="Y2713" s="48" t="str">
        <f ca="1">IF(AND('Planning Sheet'!CC248='Weeks Plan'!$D$6,'Planning Sheet'!BW248='Weeks Plan'!$G$6),'Planning Sheet'!$B248,"")</f>
        <v/>
      </c>
      <c r="Z2713" s="48" t="str">
        <f ca="1">IF(AND('Planning Sheet'!CC248='Weeks Plan'!$D$6,'Planning Sheet'!BW248='Weeks Plan'!$G$6),'Planning Sheet'!$BX248,"")</f>
        <v/>
      </c>
      <c r="AA2713" s="48" t="str">
        <f ca="1">IF(AND('Planning Sheet'!CC248='Weeks Plan'!$D$6,'Planning Sheet'!BW248='Weeks Plan'!$G$6),'Planning Sheet'!$BY248,"")</f>
        <v/>
      </c>
    </row>
    <row r="2714" spans="25:27" x14ac:dyDescent="0.3">
      <c r="Y2714" s="48" t="str">
        <f ca="1">IF(AND('Planning Sheet'!CC249='Weeks Plan'!$D$6,'Planning Sheet'!BW249='Weeks Plan'!$G$6),'Planning Sheet'!$B249,"")</f>
        <v/>
      </c>
      <c r="Z2714" s="48" t="str">
        <f ca="1">IF(AND('Planning Sheet'!CC249='Weeks Plan'!$D$6,'Planning Sheet'!BW249='Weeks Plan'!$G$6),'Planning Sheet'!$BX249,"")</f>
        <v/>
      </c>
      <c r="AA2714" s="48" t="str">
        <f ca="1">IF(AND('Planning Sheet'!CC249='Weeks Plan'!$D$6,'Planning Sheet'!BW249='Weeks Plan'!$G$6),'Planning Sheet'!$BY249,"")</f>
        <v/>
      </c>
    </row>
    <row r="2715" spans="25:27" x14ac:dyDescent="0.3">
      <c r="Y2715" s="48" t="str">
        <f ca="1">IF(AND('Planning Sheet'!CC250='Weeks Plan'!$D$6,'Planning Sheet'!BW250='Weeks Plan'!$G$6),'Planning Sheet'!$B250,"")</f>
        <v/>
      </c>
      <c r="Z2715" s="48" t="str">
        <f ca="1">IF(AND('Planning Sheet'!CC250='Weeks Plan'!$D$6,'Planning Sheet'!BW250='Weeks Plan'!$G$6),'Planning Sheet'!$BX250,"")</f>
        <v/>
      </c>
      <c r="AA2715" s="48" t="str">
        <f ca="1">IF(AND('Planning Sheet'!CC250='Weeks Plan'!$D$6,'Planning Sheet'!BW250='Weeks Plan'!$G$6),'Planning Sheet'!$BY250,"")</f>
        <v/>
      </c>
    </row>
    <row r="2716" spans="25:27" x14ac:dyDescent="0.3">
      <c r="Y2716" s="48" t="str">
        <f ca="1">IF(AND('Planning Sheet'!CC251='Weeks Plan'!$D$6,'Planning Sheet'!BW251='Weeks Plan'!$G$6),'Planning Sheet'!$B251,"")</f>
        <v/>
      </c>
      <c r="Z2716" s="48" t="str">
        <f ca="1">IF(AND('Planning Sheet'!CC251='Weeks Plan'!$D$6,'Planning Sheet'!BW251='Weeks Plan'!$G$6),'Planning Sheet'!$BX251,"")</f>
        <v/>
      </c>
      <c r="AA2716" s="48" t="str">
        <f ca="1">IF(AND('Planning Sheet'!CC251='Weeks Plan'!$D$6,'Planning Sheet'!BW251='Weeks Plan'!$G$6),'Planning Sheet'!$BY251,"")</f>
        <v/>
      </c>
    </row>
    <row r="2717" spans="25:27" x14ac:dyDescent="0.3">
      <c r="Y2717" s="48" t="str">
        <f ca="1">IF(AND('Planning Sheet'!CC252='Weeks Plan'!$D$6,'Planning Sheet'!BW252='Weeks Plan'!$G$6),'Planning Sheet'!$B252,"")</f>
        <v/>
      </c>
      <c r="Z2717" s="48" t="str">
        <f ca="1">IF(AND('Planning Sheet'!CC252='Weeks Plan'!$D$6,'Planning Sheet'!BW252='Weeks Plan'!$G$6),'Planning Sheet'!$BX252,"")</f>
        <v/>
      </c>
      <c r="AA2717" s="48" t="str">
        <f ca="1">IF(AND('Planning Sheet'!CC252='Weeks Plan'!$D$6,'Planning Sheet'!BW252='Weeks Plan'!$G$6),'Planning Sheet'!$BY252,"")</f>
        <v/>
      </c>
    </row>
    <row r="2718" spans="25:27" x14ac:dyDescent="0.3">
      <c r="Y2718" s="48" t="str">
        <f ca="1">IF(AND('Planning Sheet'!CC253='Weeks Plan'!$D$6,'Planning Sheet'!BW253='Weeks Plan'!$G$6),'Planning Sheet'!$B253,"")</f>
        <v/>
      </c>
      <c r="Z2718" s="48" t="str">
        <f ca="1">IF(AND('Planning Sheet'!CC253='Weeks Plan'!$D$6,'Planning Sheet'!BW253='Weeks Plan'!$G$6),'Planning Sheet'!$BX253,"")</f>
        <v/>
      </c>
      <c r="AA2718" s="48" t="str">
        <f ca="1">IF(AND('Planning Sheet'!CC253='Weeks Plan'!$D$6,'Planning Sheet'!BW253='Weeks Plan'!$G$6),'Planning Sheet'!$BY253,"")</f>
        <v/>
      </c>
    </row>
    <row r="2719" spans="25:27" x14ac:dyDescent="0.3">
      <c r="Y2719" s="48" t="str">
        <f ca="1">IF(AND('Planning Sheet'!CC254='Weeks Plan'!$D$6,'Planning Sheet'!BW254='Weeks Plan'!$G$6),'Planning Sheet'!$B254,"")</f>
        <v/>
      </c>
      <c r="Z2719" s="48" t="str">
        <f ca="1">IF(AND('Planning Sheet'!CC254='Weeks Plan'!$D$6,'Planning Sheet'!BW254='Weeks Plan'!$G$6),'Planning Sheet'!$BX254,"")</f>
        <v/>
      </c>
      <c r="AA2719" s="48" t="str">
        <f ca="1">IF(AND('Planning Sheet'!CC254='Weeks Plan'!$D$6,'Planning Sheet'!BW254='Weeks Plan'!$G$6),'Planning Sheet'!$BY254,"")</f>
        <v/>
      </c>
    </row>
    <row r="2720" spans="25:27" x14ac:dyDescent="0.3">
      <c r="Y2720" s="48" t="str">
        <f ca="1">IF(AND('Planning Sheet'!CC255='Weeks Plan'!$D$6,'Planning Sheet'!BW255='Weeks Plan'!$G$6),'Planning Sheet'!$B255,"")</f>
        <v/>
      </c>
      <c r="Z2720" s="48" t="str">
        <f ca="1">IF(AND('Planning Sheet'!CC255='Weeks Plan'!$D$6,'Planning Sheet'!BW255='Weeks Plan'!$G$6),'Planning Sheet'!$BX255,"")</f>
        <v/>
      </c>
      <c r="AA2720" s="48" t="str">
        <f ca="1">IF(AND('Planning Sheet'!CC255='Weeks Plan'!$D$6,'Planning Sheet'!BW255='Weeks Plan'!$G$6),'Planning Sheet'!$BY255,"")</f>
        <v/>
      </c>
    </row>
    <row r="2721" spans="25:27" x14ac:dyDescent="0.3">
      <c r="Y2721" s="48" t="str">
        <f ca="1">IF(AND('Planning Sheet'!CC256='Weeks Plan'!$D$6,'Planning Sheet'!BW256='Weeks Plan'!$G$6),'Planning Sheet'!$B256,"")</f>
        <v/>
      </c>
      <c r="Z2721" s="48" t="str">
        <f ca="1">IF(AND('Planning Sheet'!CC256='Weeks Plan'!$D$6,'Planning Sheet'!BW256='Weeks Plan'!$G$6),'Planning Sheet'!$BX256,"")</f>
        <v/>
      </c>
      <c r="AA2721" s="48" t="str">
        <f ca="1">IF(AND('Planning Sheet'!CC256='Weeks Plan'!$D$6,'Planning Sheet'!BW256='Weeks Plan'!$G$6),'Planning Sheet'!$BY256,"")</f>
        <v/>
      </c>
    </row>
    <row r="2722" spans="25:27" x14ac:dyDescent="0.3">
      <c r="Y2722" s="48" t="str">
        <f ca="1">IF(AND('Planning Sheet'!CC257='Weeks Plan'!$D$6,'Planning Sheet'!BW257='Weeks Plan'!$G$6),'Planning Sheet'!$B257,"")</f>
        <v/>
      </c>
      <c r="Z2722" s="48" t="str">
        <f ca="1">IF(AND('Planning Sheet'!CC257='Weeks Plan'!$D$6,'Planning Sheet'!BW257='Weeks Plan'!$G$6),'Planning Sheet'!$BX257,"")</f>
        <v/>
      </c>
      <c r="AA2722" s="48" t="str">
        <f ca="1">IF(AND('Planning Sheet'!CC257='Weeks Plan'!$D$6,'Planning Sheet'!BW257='Weeks Plan'!$G$6),'Planning Sheet'!$BY257,"")</f>
        <v/>
      </c>
    </row>
    <row r="2723" spans="25:27" x14ac:dyDescent="0.3">
      <c r="Y2723" s="48" t="str">
        <f ca="1">IF(AND('Planning Sheet'!CC258='Weeks Plan'!$D$6,'Planning Sheet'!BW258='Weeks Plan'!$G$6),'Planning Sheet'!$B258,"")</f>
        <v/>
      </c>
      <c r="Z2723" s="48" t="str">
        <f ca="1">IF(AND('Planning Sheet'!CC258='Weeks Plan'!$D$6,'Planning Sheet'!BW258='Weeks Plan'!$G$6),'Planning Sheet'!$BX258,"")</f>
        <v/>
      </c>
      <c r="AA2723" s="48" t="str">
        <f ca="1">IF(AND('Planning Sheet'!CC258='Weeks Plan'!$D$6,'Planning Sheet'!BW258='Weeks Plan'!$G$6),'Planning Sheet'!$BY258,"")</f>
        <v/>
      </c>
    </row>
    <row r="2724" spans="25:27" x14ac:dyDescent="0.3">
      <c r="Y2724" s="48" t="str">
        <f ca="1">IF(AND('Planning Sheet'!CC259='Weeks Plan'!$D$6,'Planning Sheet'!BW259='Weeks Plan'!$G$6),'Planning Sheet'!$B259,"")</f>
        <v/>
      </c>
      <c r="Z2724" s="48" t="str">
        <f ca="1">IF(AND('Planning Sheet'!CC259='Weeks Plan'!$D$6,'Planning Sheet'!BW259='Weeks Plan'!$G$6),'Planning Sheet'!$BX259,"")</f>
        <v/>
      </c>
      <c r="AA2724" s="48" t="str">
        <f ca="1">IF(AND('Planning Sheet'!CC259='Weeks Plan'!$D$6,'Planning Sheet'!BW259='Weeks Plan'!$G$6),'Planning Sheet'!$BY259,"")</f>
        <v/>
      </c>
    </row>
    <row r="2725" spans="25:27" x14ac:dyDescent="0.3">
      <c r="Y2725" s="48" t="str">
        <f ca="1">IF(AND('Planning Sheet'!CC260='Weeks Plan'!$D$6,'Planning Sheet'!BW260='Weeks Plan'!$G$6),'Planning Sheet'!$B260,"")</f>
        <v/>
      </c>
      <c r="Z2725" s="48" t="str">
        <f ca="1">IF(AND('Planning Sheet'!CC260='Weeks Plan'!$D$6,'Planning Sheet'!BW260='Weeks Plan'!$G$6),'Planning Sheet'!$BX260,"")</f>
        <v/>
      </c>
      <c r="AA2725" s="48" t="str">
        <f ca="1">IF(AND('Planning Sheet'!CC260='Weeks Plan'!$D$6,'Planning Sheet'!BW260='Weeks Plan'!$G$6),'Planning Sheet'!$BY260,"")</f>
        <v/>
      </c>
    </row>
    <row r="2726" spans="25:27" x14ac:dyDescent="0.3">
      <c r="Y2726" s="48" t="str">
        <f ca="1">IF(AND('Planning Sheet'!CC261='Weeks Plan'!$D$6,'Planning Sheet'!BW261='Weeks Plan'!$G$6),'Planning Sheet'!$B261,"")</f>
        <v/>
      </c>
      <c r="Z2726" s="48" t="str">
        <f ca="1">IF(AND('Planning Sheet'!CC261='Weeks Plan'!$D$6,'Planning Sheet'!BW261='Weeks Plan'!$G$6),'Planning Sheet'!$BX261,"")</f>
        <v/>
      </c>
      <c r="AA2726" s="48" t="str">
        <f ca="1">IF(AND('Planning Sheet'!CC261='Weeks Plan'!$D$6,'Planning Sheet'!BW261='Weeks Plan'!$G$6),'Planning Sheet'!$BY261,"")</f>
        <v/>
      </c>
    </row>
    <row r="2727" spans="25:27" x14ac:dyDescent="0.3">
      <c r="Y2727" s="48" t="str">
        <f ca="1">IF(AND('Planning Sheet'!CC262='Weeks Plan'!$D$6,'Planning Sheet'!BW262='Weeks Plan'!$G$6),'Planning Sheet'!$B262,"")</f>
        <v/>
      </c>
      <c r="Z2727" s="48" t="str">
        <f ca="1">IF(AND('Planning Sheet'!CC262='Weeks Plan'!$D$6,'Planning Sheet'!BW262='Weeks Plan'!$G$6),'Planning Sheet'!$BX262,"")</f>
        <v/>
      </c>
      <c r="AA2727" s="48" t="str">
        <f ca="1">IF(AND('Planning Sheet'!CC262='Weeks Plan'!$D$6,'Planning Sheet'!BW262='Weeks Plan'!$G$6),'Planning Sheet'!$BY262,"")</f>
        <v/>
      </c>
    </row>
    <row r="2728" spans="25:27" x14ac:dyDescent="0.3">
      <c r="Y2728" s="48" t="str">
        <f ca="1">IF(AND('Planning Sheet'!CC263='Weeks Plan'!$D$6,'Planning Sheet'!BW263='Weeks Plan'!$G$6),'Planning Sheet'!$B263,"")</f>
        <v/>
      </c>
      <c r="Z2728" s="48" t="str">
        <f ca="1">IF(AND('Planning Sheet'!CC263='Weeks Plan'!$D$6,'Planning Sheet'!BW263='Weeks Plan'!$G$6),'Planning Sheet'!$BX263,"")</f>
        <v/>
      </c>
      <c r="AA2728" s="48" t="str">
        <f ca="1">IF(AND('Planning Sheet'!CC263='Weeks Plan'!$D$6,'Planning Sheet'!BW263='Weeks Plan'!$G$6),'Planning Sheet'!$BY263,"")</f>
        <v/>
      </c>
    </row>
    <row r="2729" spans="25:27" x14ac:dyDescent="0.3">
      <c r="Y2729" s="48" t="str">
        <f ca="1">IF(AND('Planning Sheet'!CC264='Weeks Plan'!$D$6,'Planning Sheet'!BW264='Weeks Plan'!$G$6),'Planning Sheet'!$B264,"")</f>
        <v/>
      </c>
      <c r="Z2729" s="48" t="str">
        <f ca="1">IF(AND('Planning Sheet'!CC264='Weeks Plan'!$D$6,'Planning Sheet'!BW264='Weeks Plan'!$G$6),'Planning Sheet'!$BX264,"")</f>
        <v/>
      </c>
      <c r="AA2729" s="48" t="str">
        <f ca="1">IF(AND('Planning Sheet'!CC264='Weeks Plan'!$D$6,'Planning Sheet'!BW264='Weeks Plan'!$G$6),'Planning Sheet'!$BY264,"")</f>
        <v/>
      </c>
    </row>
    <row r="2730" spans="25:27" x14ac:dyDescent="0.3">
      <c r="Y2730" s="48" t="str">
        <f ca="1">IF(AND('Planning Sheet'!CC265='Weeks Plan'!$D$6,'Planning Sheet'!BW265='Weeks Plan'!$G$6),'Planning Sheet'!$B265,"")</f>
        <v/>
      </c>
      <c r="Z2730" s="48" t="str">
        <f ca="1">IF(AND('Planning Sheet'!CC265='Weeks Plan'!$D$6,'Planning Sheet'!BW265='Weeks Plan'!$G$6),'Planning Sheet'!$BX265,"")</f>
        <v/>
      </c>
      <c r="AA2730" s="48" t="str">
        <f ca="1">IF(AND('Planning Sheet'!CC265='Weeks Plan'!$D$6,'Planning Sheet'!BW265='Weeks Plan'!$G$6),'Planning Sheet'!$BY265,"")</f>
        <v/>
      </c>
    </row>
    <row r="2731" spans="25:27" x14ac:dyDescent="0.3">
      <c r="Y2731" s="48" t="str">
        <f ca="1">IF(AND('Planning Sheet'!CC266='Weeks Plan'!$D$6,'Planning Sheet'!BW266='Weeks Plan'!$G$6),'Planning Sheet'!$B266,"")</f>
        <v/>
      </c>
      <c r="Z2731" s="48" t="str">
        <f ca="1">IF(AND('Planning Sheet'!CC266='Weeks Plan'!$D$6,'Planning Sheet'!BW266='Weeks Plan'!$G$6),'Planning Sheet'!$BX266,"")</f>
        <v/>
      </c>
      <c r="AA2731" s="48" t="str">
        <f ca="1">IF(AND('Planning Sheet'!CC266='Weeks Plan'!$D$6,'Planning Sheet'!BW266='Weeks Plan'!$G$6),'Planning Sheet'!$BY266,"")</f>
        <v/>
      </c>
    </row>
    <row r="2732" spans="25:27" x14ac:dyDescent="0.3">
      <c r="Y2732" s="48" t="str">
        <f ca="1">IF(AND('Planning Sheet'!CC267='Weeks Plan'!$D$6,'Planning Sheet'!BW267='Weeks Plan'!$G$6),'Planning Sheet'!$B267,"")</f>
        <v/>
      </c>
      <c r="Z2732" s="48" t="str">
        <f ca="1">IF(AND('Planning Sheet'!CC267='Weeks Plan'!$D$6,'Planning Sheet'!BW267='Weeks Plan'!$G$6),'Planning Sheet'!$BX267,"")</f>
        <v/>
      </c>
      <c r="AA2732" s="48" t="str">
        <f ca="1">IF(AND('Planning Sheet'!CC267='Weeks Plan'!$D$6,'Planning Sheet'!BW267='Weeks Plan'!$G$6),'Planning Sheet'!$BY267,"")</f>
        <v/>
      </c>
    </row>
    <row r="2733" spans="25:27" x14ac:dyDescent="0.3">
      <c r="Y2733" s="48" t="str">
        <f ca="1">IF(AND('Planning Sheet'!CC268='Weeks Plan'!$D$6,'Planning Sheet'!BW268='Weeks Plan'!$G$6),'Planning Sheet'!$B268,"")</f>
        <v/>
      </c>
      <c r="Z2733" s="48" t="str">
        <f ca="1">IF(AND('Planning Sheet'!CC268='Weeks Plan'!$D$6,'Planning Sheet'!BW268='Weeks Plan'!$G$6),'Planning Sheet'!$BX268,"")</f>
        <v/>
      </c>
      <c r="AA2733" s="48" t="str">
        <f ca="1">IF(AND('Planning Sheet'!CC268='Weeks Plan'!$D$6,'Planning Sheet'!BW268='Weeks Plan'!$G$6),'Planning Sheet'!$BY268,"")</f>
        <v/>
      </c>
    </row>
    <row r="2734" spans="25:27" x14ac:dyDescent="0.3">
      <c r="Y2734" s="48" t="str">
        <f ca="1">IF(AND('Planning Sheet'!CC269='Weeks Plan'!$D$6,'Planning Sheet'!BW269='Weeks Plan'!$G$6),'Planning Sheet'!$B269,"")</f>
        <v/>
      </c>
      <c r="Z2734" s="48" t="str">
        <f ca="1">IF(AND('Planning Sheet'!CC269='Weeks Plan'!$D$6,'Planning Sheet'!BW269='Weeks Plan'!$G$6),'Planning Sheet'!$BX269,"")</f>
        <v/>
      </c>
      <c r="AA2734" s="48" t="str">
        <f ca="1">IF(AND('Planning Sheet'!CC269='Weeks Plan'!$D$6,'Planning Sheet'!BW269='Weeks Plan'!$G$6),'Planning Sheet'!$BY269,"")</f>
        <v/>
      </c>
    </row>
    <row r="2735" spans="25:27" x14ac:dyDescent="0.3">
      <c r="Y2735" s="48" t="str">
        <f ca="1">IF(AND('Planning Sheet'!CC270='Weeks Plan'!$D$6,'Planning Sheet'!BW270='Weeks Plan'!$G$6),'Planning Sheet'!$B270,"")</f>
        <v/>
      </c>
      <c r="Z2735" s="48" t="str">
        <f ca="1">IF(AND('Planning Sheet'!CC270='Weeks Plan'!$D$6,'Planning Sheet'!BW270='Weeks Plan'!$G$6),'Planning Sheet'!$BX270,"")</f>
        <v/>
      </c>
      <c r="AA2735" s="48" t="str">
        <f ca="1">IF(AND('Planning Sheet'!CC270='Weeks Plan'!$D$6,'Planning Sheet'!BW270='Weeks Plan'!$G$6),'Planning Sheet'!$BY270,"")</f>
        <v/>
      </c>
    </row>
    <row r="2736" spans="25:27" x14ac:dyDescent="0.3">
      <c r="Y2736" s="48" t="str">
        <f ca="1">IF(AND('Planning Sheet'!CC271='Weeks Plan'!$D$6,'Planning Sheet'!BW271='Weeks Plan'!$G$6),'Planning Sheet'!$B271,"")</f>
        <v/>
      </c>
      <c r="Z2736" s="48" t="str">
        <f ca="1">IF(AND('Planning Sheet'!CC271='Weeks Plan'!$D$6,'Planning Sheet'!BW271='Weeks Plan'!$G$6),'Planning Sheet'!$BX271,"")</f>
        <v/>
      </c>
      <c r="AA2736" s="48" t="str">
        <f ca="1">IF(AND('Planning Sheet'!CC271='Weeks Plan'!$D$6,'Planning Sheet'!BW271='Weeks Plan'!$G$6),'Planning Sheet'!$BY271,"")</f>
        <v/>
      </c>
    </row>
    <row r="2737" spans="25:27" x14ac:dyDescent="0.3">
      <c r="Y2737" s="48" t="str">
        <f ca="1">IF(AND('Planning Sheet'!CC272='Weeks Plan'!$D$6,'Planning Sheet'!BW272='Weeks Plan'!$G$6),'Planning Sheet'!$B272,"")</f>
        <v/>
      </c>
      <c r="Z2737" s="48" t="str">
        <f ca="1">IF(AND('Planning Sheet'!CC272='Weeks Plan'!$D$6,'Planning Sheet'!BW272='Weeks Plan'!$G$6),'Planning Sheet'!$BX272,"")</f>
        <v/>
      </c>
      <c r="AA2737" s="48" t="str">
        <f ca="1">IF(AND('Planning Sheet'!CC272='Weeks Plan'!$D$6,'Planning Sheet'!BW272='Weeks Plan'!$G$6),'Planning Sheet'!$BY272,"")</f>
        <v/>
      </c>
    </row>
    <row r="2738" spans="25:27" x14ac:dyDescent="0.3">
      <c r="Y2738" s="48" t="str">
        <f ca="1">IF(AND('Planning Sheet'!CC273='Weeks Plan'!$D$6,'Planning Sheet'!BW273='Weeks Plan'!$G$6),'Planning Sheet'!$B273,"")</f>
        <v/>
      </c>
      <c r="Z2738" s="48" t="str">
        <f ca="1">IF(AND('Planning Sheet'!CC273='Weeks Plan'!$D$6,'Planning Sheet'!BW273='Weeks Plan'!$G$6),'Planning Sheet'!$BX273,"")</f>
        <v/>
      </c>
      <c r="AA2738" s="48" t="str">
        <f ca="1">IF(AND('Planning Sheet'!CC273='Weeks Plan'!$D$6,'Planning Sheet'!BW273='Weeks Plan'!$G$6),'Planning Sheet'!$BY273,"")</f>
        <v/>
      </c>
    </row>
    <row r="2739" spans="25:27" x14ac:dyDescent="0.3">
      <c r="Y2739" s="48" t="str">
        <f ca="1">IF(AND('Planning Sheet'!CC274='Weeks Plan'!$D$6,'Planning Sheet'!BW274='Weeks Plan'!$G$6),'Planning Sheet'!$B274,"")</f>
        <v/>
      </c>
      <c r="Z2739" s="48" t="str">
        <f ca="1">IF(AND('Planning Sheet'!CC274='Weeks Plan'!$D$6,'Planning Sheet'!BW274='Weeks Plan'!$G$6),'Planning Sheet'!$BX274,"")</f>
        <v/>
      </c>
      <c r="AA2739" s="48" t="str">
        <f ca="1">IF(AND('Planning Sheet'!CC274='Weeks Plan'!$D$6,'Planning Sheet'!BW274='Weeks Plan'!$G$6),'Planning Sheet'!$BY274,"")</f>
        <v/>
      </c>
    </row>
    <row r="2740" spans="25:27" x14ac:dyDescent="0.3">
      <c r="Y2740" s="48" t="str">
        <f ca="1">IF(AND('Planning Sheet'!CC275='Weeks Plan'!$D$6,'Planning Sheet'!BW275='Weeks Plan'!$G$6),'Planning Sheet'!$B275,"")</f>
        <v/>
      </c>
      <c r="Z2740" s="48" t="str">
        <f ca="1">IF(AND('Planning Sheet'!CC275='Weeks Plan'!$D$6,'Planning Sheet'!BW275='Weeks Plan'!$G$6),'Planning Sheet'!$BX275,"")</f>
        <v/>
      </c>
      <c r="AA2740" s="48" t="str">
        <f ca="1">IF(AND('Planning Sheet'!CC275='Weeks Plan'!$D$6,'Planning Sheet'!BW275='Weeks Plan'!$G$6),'Planning Sheet'!$BY275,"")</f>
        <v/>
      </c>
    </row>
    <row r="2741" spans="25:27" x14ac:dyDescent="0.3">
      <c r="Y2741" s="48" t="str">
        <f ca="1">IF(AND('Planning Sheet'!CC276='Weeks Plan'!$D$6,'Planning Sheet'!BW276='Weeks Plan'!$G$6),'Planning Sheet'!$B276,"")</f>
        <v/>
      </c>
      <c r="Z2741" s="48" t="str">
        <f ca="1">IF(AND('Planning Sheet'!CC276='Weeks Plan'!$D$6,'Planning Sheet'!BW276='Weeks Plan'!$G$6),'Planning Sheet'!$BX276,"")</f>
        <v/>
      </c>
      <c r="AA2741" s="48" t="str">
        <f ca="1">IF(AND('Planning Sheet'!CC276='Weeks Plan'!$D$6,'Planning Sheet'!BW276='Weeks Plan'!$G$6),'Planning Sheet'!$BY276,"")</f>
        <v/>
      </c>
    </row>
    <row r="2742" spans="25:27" x14ac:dyDescent="0.3">
      <c r="Y2742" s="48" t="str">
        <f ca="1">IF(AND('Planning Sheet'!CC277='Weeks Plan'!$D$6,'Planning Sheet'!BW277='Weeks Plan'!$G$6),'Planning Sheet'!$B277,"")</f>
        <v/>
      </c>
      <c r="Z2742" s="48" t="str">
        <f ca="1">IF(AND('Planning Sheet'!CC277='Weeks Plan'!$D$6,'Planning Sheet'!BW277='Weeks Plan'!$G$6),'Planning Sheet'!$BX277,"")</f>
        <v/>
      </c>
      <c r="AA2742" s="48" t="str">
        <f ca="1">IF(AND('Planning Sheet'!CC277='Weeks Plan'!$D$6,'Planning Sheet'!BW277='Weeks Plan'!$G$6),'Planning Sheet'!$BY277,"")</f>
        <v/>
      </c>
    </row>
    <row r="2743" spans="25:27" x14ac:dyDescent="0.3">
      <c r="Y2743" s="48" t="str">
        <f ca="1">IF(AND('Planning Sheet'!CC278='Weeks Plan'!$D$6,'Planning Sheet'!BW278='Weeks Plan'!$G$6),'Planning Sheet'!$B278,"")</f>
        <v/>
      </c>
      <c r="Z2743" s="48" t="str">
        <f ca="1">IF(AND('Planning Sheet'!CC278='Weeks Plan'!$D$6,'Planning Sheet'!BW278='Weeks Plan'!$G$6),'Planning Sheet'!$BX278,"")</f>
        <v/>
      </c>
      <c r="AA2743" s="48" t="str">
        <f ca="1">IF(AND('Planning Sheet'!CC278='Weeks Plan'!$D$6,'Planning Sheet'!BW278='Weeks Plan'!$G$6),'Planning Sheet'!$BY278,"")</f>
        <v/>
      </c>
    </row>
    <row r="2744" spans="25:27" x14ac:dyDescent="0.3">
      <c r="Y2744" s="48" t="str">
        <f ca="1">IF(AND('Planning Sheet'!CC279='Weeks Plan'!$D$6,'Planning Sheet'!BW279='Weeks Plan'!$G$6),'Planning Sheet'!$B279,"")</f>
        <v/>
      </c>
      <c r="Z2744" s="48" t="str">
        <f ca="1">IF(AND('Planning Sheet'!CC279='Weeks Plan'!$D$6,'Planning Sheet'!BW279='Weeks Plan'!$G$6),'Planning Sheet'!$BX279,"")</f>
        <v/>
      </c>
      <c r="AA2744" s="48" t="str">
        <f ca="1">IF(AND('Planning Sheet'!CC279='Weeks Plan'!$D$6,'Planning Sheet'!BW279='Weeks Plan'!$G$6),'Planning Sheet'!$BY279,"")</f>
        <v/>
      </c>
    </row>
    <row r="2745" spans="25:27" x14ac:dyDescent="0.3">
      <c r="Y2745" s="48" t="str">
        <f ca="1">IF(AND('Planning Sheet'!CC280='Weeks Plan'!$D$6,'Planning Sheet'!BW280='Weeks Plan'!$G$6),'Planning Sheet'!$B280,"")</f>
        <v/>
      </c>
      <c r="Z2745" s="48" t="str">
        <f ca="1">IF(AND('Planning Sheet'!CC280='Weeks Plan'!$D$6,'Planning Sheet'!BW280='Weeks Plan'!$G$6),'Planning Sheet'!$BX280,"")</f>
        <v/>
      </c>
      <c r="AA2745" s="48" t="str">
        <f ca="1">IF(AND('Planning Sheet'!CC280='Weeks Plan'!$D$6,'Planning Sheet'!BW280='Weeks Plan'!$G$6),'Planning Sheet'!$BY280,"")</f>
        <v/>
      </c>
    </row>
    <row r="2746" spans="25:27" x14ac:dyDescent="0.3">
      <c r="Y2746" s="48" t="str">
        <f ca="1">IF(AND('Planning Sheet'!CC281='Weeks Plan'!$D$6,'Planning Sheet'!BW281='Weeks Plan'!$G$6),'Planning Sheet'!$B281,"")</f>
        <v/>
      </c>
      <c r="Z2746" s="48" t="str">
        <f ca="1">IF(AND('Planning Sheet'!CC281='Weeks Plan'!$D$6,'Planning Sheet'!BW281='Weeks Plan'!$G$6),'Planning Sheet'!$BX281,"")</f>
        <v/>
      </c>
      <c r="AA2746" s="48" t="str">
        <f ca="1">IF(AND('Planning Sheet'!CC281='Weeks Plan'!$D$6,'Planning Sheet'!BW281='Weeks Plan'!$G$6),'Planning Sheet'!$BY281,"")</f>
        <v/>
      </c>
    </row>
    <row r="2747" spans="25:27" x14ac:dyDescent="0.3">
      <c r="Y2747" s="48" t="str">
        <f ca="1">IF(AND('Planning Sheet'!CC282='Weeks Plan'!$D$6,'Planning Sheet'!BW282='Weeks Plan'!$G$6),'Planning Sheet'!$B282,"")</f>
        <v/>
      </c>
      <c r="Z2747" s="48" t="str">
        <f ca="1">IF(AND('Planning Sheet'!CC282='Weeks Plan'!$D$6,'Planning Sheet'!BW282='Weeks Plan'!$G$6),'Planning Sheet'!$BX282,"")</f>
        <v/>
      </c>
      <c r="AA2747" s="48" t="str">
        <f ca="1">IF(AND('Planning Sheet'!CC282='Weeks Plan'!$D$6,'Planning Sheet'!BW282='Weeks Plan'!$G$6),'Planning Sheet'!$BY282,"")</f>
        <v/>
      </c>
    </row>
    <row r="2748" spans="25:27" x14ac:dyDescent="0.3">
      <c r="Y2748" s="48" t="str">
        <f ca="1">IF(AND('Planning Sheet'!CC283='Weeks Plan'!$D$6,'Planning Sheet'!BW283='Weeks Plan'!$G$6),'Planning Sheet'!$B283,"")</f>
        <v/>
      </c>
      <c r="Z2748" s="48" t="str">
        <f ca="1">IF(AND('Planning Sheet'!CC283='Weeks Plan'!$D$6,'Planning Sheet'!BW283='Weeks Plan'!$G$6),'Planning Sheet'!$BX283,"")</f>
        <v/>
      </c>
      <c r="AA2748" s="48" t="str">
        <f ca="1">IF(AND('Planning Sheet'!CC283='Weeks Plan'!$D$6,'Planning Sheet'!BW283='Weeks Plan'!$G$6),'Planning Sheet'!$BY283,"")</f>
        <v/>
      </c>
    </row>
    <row r="2749" spans="25:27" x14ac:dyDescent="0.3">
      <c r="Y2749" s="48" t="str">
        <f ca="1">IF(AND('Planning Sheet'!CC284='Weeks Plan'!$D$6,'Planning Sheet'!BW284='Weeks Plan'!$G$6),'Planning Sheet'!$B284,"")</f>
        <v/>
      </c>
      <c r="Z2749" s="48" t="str">
        <f ca="1">IF(AND('Planning Sheet'!CC284='Weeks Plan'!$D$6,'Planning Sheet'!BW284='Weeks Plan'!$G$6),'Planning Sheet'!$BX284,"")</f>
        <v/>
      </c>
      <c r="AA2749" s="48" t="str">
        <f ca="1">IF(AND('Planning Sheet'!CC284='Weeks Plan'!$D$6,'Planning Sheet'!BW284='Weeks Plan'!$G$6),'Planning Sheet'!$BY284,"")</f>
        <v/>
      </c>
    </row>
    <row r="2750" spans="25:27" x14ac:dyDescent="0.3">
      <c r="Y2750" s="48" t="str">
        <f ca="1">IF(AND('Planning Sheet'!CC285='Weeks Plan'!$D$6,'Planning Sheet'!BW285='Weeks Plan'!$G$6),'Planning Sheet'!$B285,"")</f>
        <v/>
      </c>
      <c r="Z2750" s="48" t="str">
        <f ca="1">IF(AND('Planning Sheet'!CC285='Weeks Plan'!$D$6,'Planning Sheet'!BW285='Weeks Plan'!$G$6),'Planning Sheet'!$BX285,"")</f>
        <v/>
      </c>
      <c r="AA2750" s="48" t="str">
        <f ca="1">IF(AND('Planning Sheet'!CC285='Weeks Plan'!$D$6,'Planning Sheet'!BW285='Weeks Plan'!$G$6),'Planning Sheet'!$BY285,"")</f>
        <v/>
      </c>
    </row>
    <row r="2751" spans="25:27" x14ac:dyDescent="0.3">
      <c r="Y2751" s="48" t="str">
        <f ca="1">IF(AND('Planning Sheet'!CC286='Weeks Plan'!$D$6,'Planning Sheet'!BW286='Weeks Plan'!$G$6),'Planning Sheet'!$B286,"")</f>
        <v/>
      </c>
      <c r="Z2751" s="48" t="str">
        <f ca="1">IF(AND('Planning Sheet'!CC286='Weeks Plan'!$D$6,'Planning Sheet'!BW286='Weeks Plan'!$G$6),'Planning Sheet'!$BX286,"")</f>
        <v/>
      </c>
      <c r="AA2751" s="48" t="str">
        <f ca="1">IF(AND('Planning Sheet'!CC286='Weeks Plan'!$D$6,'Planning Sheet'!BW286='Weeks Plan'!$G$6),'Planning Sheet'!$BY286,"")</f>
        <v/>
      </c>
    </row>
    <row r="2752" spans="25:27" x14ac:dyDescent="0.3">
      <c r="Y2752" s="48" t="str">
        <f ca="1">IF(AND('Planning Sheet'!CC287='Weeks Plan'!$D$6,'Planning Sheet'!BW287='Weeks Plan'!$G$6),'Planning Sheet'!$B287,"")</f>
        <v/>
      </c>
      <c r="Z2752" s="48" t="str">
        <f ca="1">IF(AND('Planning Sheet'!CC287='Weeks Plan'!$D$6,'Planning Sheet'!BW287='Weeks Plan'!$G$6),'Planning Sheet'!$BX287,"")</f>
        <v/>
      </c>
      <c r="AA2752" s="48" t="str">
        <f ca="1">IF(AND('Planning Sheet'!CC287='Weeks Plan'!$D$6,'Planning Sheet'!BW287='Weeks Plan'!$G$6),'Planning Sheet'!$BY287,"")</f>
        <v/>
      </c>
    </row>
    <row r="2753" spans="25:27" x14ac:dyDescent="0.3">
      <c r="Y2753" s="48" t="str">
        <f ca="1">IF(AND('Planning Sheet'!CC288='Weeks Plan'!$D$6,'Planning Sheet'!BW288='Weeks Plan'!$G$6),'Planning Sheet'!$B288,"")</f>
        <v/>
      </c>
      <c r="Z2753" s="48" t="str">
        <f ca="1">IF(AND('Planning Sheet'!CC288='Weeks Plan'!$D$6,'Planning Sheet'!BW288='Weeks Plan'!$G$6),'Planning Sheet'!$BX288,"")</f>
        <v/>
      </c>
      <c r="AA2753" s="48" t="str">
        <f ca="1">IF(AND('Planning Sheet'!CC288='Weeks Plan'!$D$6,'Planning Sheet'!BW288='Weeks Plan'!$G$6),'Planning Sheet'!$BY288,"")</f>
        <v/>
      </c>
    </row>
    <row r="2754" spans="25:27" x14ac:dyDescent="0.3">
      <c r="Y2754" s="48" t="str">
        <f ca="1">IF(AND('Planning Sheet'!CC289='Weeks Plan'!$D$6,'Planning Sheet'!BW289='Weeks Plan'!$G$6),'Planning Sheet'!$B289,"")</f>
        <v/>
      </c>
      <c r="Z2754" s="48" t="str">
        <f ca="1">IF(AND('Planning Sheet'!CC289='Weeks Plan'!$D$6,'Planning Sheet'!BW289='Weeks Plan'!$G$6),'Planning Sheet'!$BX289,"")</f>
        <v/>
      </c>
      <c r="AA2754" s="48" t="str">
        <f ca="1">IF(AND('Planning Sheet'!CC289='Weeks Plan'!$D$6,'Planning Sheet'!BW289='Weeks Plan'!$G$6),'Planning Sheet'!$BY289,"")</f>
        <v/>
      </c>
    </row>
    <row r="2755" spans="25:27" x14ac:dyDescent="0.3">
      <c r="Y2755" s="48" t="str">
        <f ca="1">IF(AND('Planning Sheet'!CC290='Weeks Plan'!$D$6,'Planning Sheet'!BW290='Weeks Plan'!$G$6),'Planning Sheet'!$B290,"")</f>
        <v/>
      </c>
      <c r="Z2755" s="48" t="str">
        <f ca="1">IF(AND('Planning Sheet'!CC290='Weeks Plan'!$D$6,'Planning Sheet'!BW290='Weeks Plan'!$G$6),'Planning Sheet'!$BX290,"")</f>
        <v/>
      </c>
      <c r="AA2755" s="48" t="str">
        <f ca="1">IF(AND('Planning Sheet'!CC290='Weeks Plan'!$D$6,'Planning Sheet'!BW290='Weeks Plan'!$G$6),'Planning Sheet'!$BY290,"")</f>
        <v/>
      </c>
    </row>
    <row r="2756" spans="25:27" x14ac:dyDescent="0.3">
      <c r="Y2756" s="48" t="str">
        <f ca="1">IF(AND('Planning Sheet'!CC291='Weeks Plan'!$D$6,'Planning Sheet'!BW291='Weeks Plan'!$G$6),'Planning Sheet'!$B291,"")</f>
        <v/>
      </c>
      <c r="Z2756" s="48" t="str">
        <f ca="1">IF(AND('Planning Sheet'!CC291='Weeks Plan'!$D$6,'Planning Sheet'!BW291='Weeks Plan'!$G$6),'Planning Sheet'!$BX291,"")</f>
        <v/>
      </c>
      <c r="AA2756" s="48" t="str">
        <f ca="1">IF(AND('Planning Sheet'!CC291='Weeks Plan'!$D$6,'Planning Sheet'!BW291='Weeks Plan'!$G$6),'Planning Sheet'!$BY291,"")</f>
        <v/>
      </c>
    </row>
    <row r="2757" spans="25:27" x14ac:dyDescent="0.3">
      <c r="Y2757" s="48" t="str">
        <f ca="1">IF(AND('Planning Sheet'!CC292='Weeks Plan'!$D$6,'Planning Sheet'!BW292='Weeks Plan'!$G$6),'Planning Sheet'!$B292,"")</f>
        <v/>
      </c>
      <c r="Z2757" s="48" t="str">
        <f ca="1">IF(AND('Planning Sheet'!CC292='Weeks Plan'!$D$6,'Planning Sheet'!BW292='Weeks Plan'!$G$6),'Planning Sheet'!$BX292,"")</f>
        <v/>
      </c>
      <c r="AA2757" s="48" t="str">
        <f ca="1">IF(AND('Planning Sheet'!CC292='Weeks Plan'!$D$6,'Planning Sheet'!BW292='Weeks Plan'!$G$6),'Planning Sheet'!$BY292,"")</f>
        <v/>
      </c>
    </row>
    <row r="2758" spans="25:27" x14ac:dyDescent="0.3">
      <c r="Y2758" s="48" t="str">
        <f ca="1">IF(AND('Planning Sheet'!CC293='Weeks Plan'!$D$6,'Planning Sheet'!BW293='Weeks Plan'!$G$6),'Planning Sheet'!$B293,"")</f>
        <v/>
      </c>
      <c r="Z2758" s="48" t="str">
        <f ca="1">IF(AND('Planning Sheet'!CC293='Weeks Plan'!$D$6,'Planning Sheet'!BW293='Weeks Plan'!$G$6),'Planning Sheet'!$BX293,"")</f>
        <v/>
      </c>
      <c r="AA2758" s="48" t="str">
        <f ca="1">IF(AND('Planning Sheet'!CC293='Weeks Plan'!$D$6,'Planning Sheet'!BW293='Weeks Plan'!$G$6),'Planning Sheet'!$BY293,"")</f>
        <v/>
      </c>
    </row>
    <row r="2759" spans="25:27" x14ac:dyDescent="0.3">
      <c r="Y2759" s="48" t="str">
        <f ca="1">IF(AND('Planning Sheet'!CC294='Weeks Plan'!$D$6,'Planning Sheet'!BW294='Weeks Plan'!$G$6),'Planning Sheet'!$B294,"")</f>
        <v/>
      </c>
      <c r="Z2759" s="48" t="str">
        <f ca="1">IF(AND('Planning Sheet'!CC294='Weeks Plan'!$D$6,'Planning Sheet'!BW294='Weeks Plan'!$G$6),'Planning Sheet'!$BX294,"")</f>
        <v/>
      </c>
      <c r="AA2759" s="48" t="str">
        <f ca="1">IF(AND('Planning Sheet'!CC294='Weeks Plan'!$D$6,'Planning Sheet'!BW294='Weeks Plan'!$G$6),'Planning Sheet'!$BY294,"")</f>
        <v/>
      </c>
    </row>
    <row r="2760" spans="25:27" x14ac:dyDescent="0.3">
      <c r="Y2760" s="48" t="str">
        <f ca="1">IF(AND('Planning Sheet'!CC295='Weeks Plan'!$D$6,'Planning Sheet'!BW295='Weeks Plan'!$G$6),'Planning Sheet'!$B295,"")</f>
        <v/>
      </c>
      <c r="Z2760" s="48" t="str">
        <f ca="1">IF(AND('Planning Sheet'!CC295='Weeks Plan'!$D$6,'Planning Sheet'!BW295='Weeks Plan'!$G$6),'Planning Sheet'!$BX295,"")</f>
        <v/>
      </c>
      <c r="AA2760" s="48" t="str">
        <f ca="1">IF(AND('Planning Sheet'!CC295='Weeks Plan'!$D$6,'Planning Sheet'!BW295='Weeks Plan'!$G$6),'Planning Sheet'!$BY295,"")</f>
        <v/>
      </c>
    </row>
    <row r="2761" spans="25:27" x14ac:dyDescent="0.3">
      <c r="Y2761" s="48" t="str">
        <f ca="1">IF(AND('Planning Sheet'!CC296='Weeks Plan'!$D$6,'Planning Sheet'!BW296='Weeks Plan'!$G$6),'Planning Sheet'!$B296,"")</f>
        <v/>
      </c>
      <c r="Z2761" s="48" t="str">
        <f ca="1">IF(AND('Planning Sheet'!CC296='Weeks Plan'!$D$6,'Planning Sheet'!BW296='Weeks Plan'!$G$6),'Planning Sheet'!$BX296,"")</f>
        <v/>
      </c>
      <c r="AA2761" s="48" t="str">
        <f ca="1">IF(AND('Planning Sheet'!CC296='Weeks Plan'!$D$6,'Planning Sheet'!BW296='Weeks Plan'!$G$6),'Planning Sheet'!$BY296,"")</f>
        <v/>
      </c>
    </row>
    <row r="2762" spans="25:27" x14ac:dyDescent="0.3">
      <c r="Y2762" s="48" t="str">
        <f ca="1">IF(AND('Planning Sheet'!CC297='Weeks Plan'!$D$6,'Planning Sheet'!BW297='Weeks Plan'!$G$6),'Planning Sheet'!$B297,"")</f>
        <v/>
      </c>
      <c r="Z2762" s="48" t="str">
        <f ca="1">IF(AND('Planning Sheet'!CC297='Weeks Plan'!$D$6,'Planning Sheet'!BW297='Weeks Plan'!$G$6),'Planning Sheet'!$BX297,"")</f>
        <v/>
      </c>
      <c r="AA2762" s="48" t="str">
        <f ca="1">IF(AND('Planning Sheet'!CC297='Weeks Plan'!$D$6,'Planning Sheet'!BW297='Weeks Plan'!$G$6),'Planning Sheet'!$BY297,"")</f>
        <v/>
      </c>
    </row>
    <row r="2763" spans="25:27" x14ac:dyDescent="0.3">
      <c r="Y2763" s="48" t="str">
        <f ca="1">IF(AND('Planning Sheet'!CC298='Weeks Plan'!$D$6,'Planning Sheet'!BW298='Weeks Plan'!$G$6),'Planning Sheet'!$B298,"")</f>
        <v/>
      </c>
      <c r="Z2763" s="48" t="str">
        <f ca="1">IF(AND('Planning Sheet'!CC298='Weeks Plan'!$D$6,'Planning Sheet'!BW298='Weeks Plan'!$G$6),'Planning Sheet'!$BX298,"")</f>
        <v/>
      </c>
      <c r="AA2763" s="48" t="str">
        <f ca="1">IF(AND('Planning Sheet'!CC298='Weeks Plan'!$D$6,'Planning Sheet'!BW298='Weeks Plan'!$G$6),'Planning Sheet'!$BY298,"")</f>
        <v/>
      </c>
    </row>
    <row r="2764" spans="25:27" x14ac:dyDescent="0.3">
      <c r="Y2764" s="48" t="str">
        <f ca="1">IF(AND('Planning Sheet'!CC299='Weeks Plan'!$D$6,'Planning Sheet'!BW299='Weeks Plan'!$G$6),'Planning Sheet'!$B299,"")</f>
        <v/>
      </c>
      <c r="Z2764" s="48" t="str">
        <f ca="1">IF(AND('Planning Sheet'!CC299='Weeks Plan'!$D$6,'Planning Sheet'!BW299='Weeks Plan'!$G$6),'Planning Sheet'!$BX299,"")</f>
        <v/>
      </c>
      <c r="AA2764" s="48" t="str">
        <f ca="1">IF(AND('Planning Sheet'!CC299='Weeks Plan'!$D$6,'Planning Sheet'!BW299='Weeks Plan'!$G$6),'Planning Sheet'!$BY299,"")</f>
        <v/>
      </c>
    </row>
    <row r="2765" spans="25:27" x14ac:dyDescent="0.3">
      <c r="Y2765" s="48" t="str">
        <f ca="1">IF(AND('Planning Sheet'!CC300='Weeks Plan'!$D$6,'Planning Sheet'!BW300='Weeks Plan'!$G$6),'Planning Sheet'!$B300,"")</f>
        <v/>
      </c>
      <c r="Z2765" s="48" t="str">
        <f ca="1">IF(AND('Planning Sheet'!CC300='Weeks Plan'!$D$6,'Planning Sheet'!BW300='Weeks Plan'!$G$6),'Planning Sheet'!$BX300,"")</f>
        <v/>
      </c>
      <c r="AA2765" s="48" t="str">
        <f ca="1">IF(AND('Planning Sheet'!CC300='Weeks Plan'!$D$6,'Planning Sheet'!BW300='Weeks Plan'!$G$6),'Planning Sheet'!$BY300,"")</f>
        <v/>
      </c>
    </row>
    <row r="2766" spans="25:27" x14ac:dyDescent="0.3">
      <c r="Y2766" s="48" t="str">
        <f ca="1">IF(AND('Planning Sheet'!CC301='Weeks Plan'!$D$6,'Planning Sheet'!BW301='Weeks Plan'!$G$6),'Planning Sheet'!$B301,"")</f>
        <v/>
      </c>
      <c r="Z2766" s="48" t="str">
        <f ca="1">IF(AND('Planning Sheet'!CC301='Weeks Plan'!$D$6,'Planning Sheet'!BW301='Weeks Plan'!$G$6),'Planning Sheet'!$BX301,"")</f>
        <v/>
      </c>
      <c r="AA2766" s="48" t="str">
        <f ca="1">IF(AND('Planning Sheet'!CC301='Weeks Plan'!$D$6,'Planning Sheet'!BW301='Weeks Plan'!$G$6),'Planning Sheet'!$BY301,"")</f>
        <v/>
      </c>
    </row>
    <row r="2767" spans="25:27" x14ac:dyDescent="0.3">
      <c r="Y2767" s="48" t="str">
        <f ca="1">IF(AND('Planning Sheet'!CC302='Weeks Plan'!$D$6,'Planning Sheet'!BW302='Weeks Plan'!$G$6),'Planning Sheet'!$B302,"")</f>
        <v/>
      </c>
      <c r="Z2767" s="48" t="str">
        <f ca="1">IF(AND('Planning Sheet'!CC302='Weeks Plan'!$D$6,'Planning Sheet'!BW302='Weeks Plan'!$G$6),'Planning Sheet'!$BX302,"")</f>
        <v/>
      </c>
      <c r="AA2767" s="48" t="str">
        <f ca="1">IF(AND('Planning Sheet'!CC302='Weeks Plan'!$D$6,'Planning Sheet'!BW302='Weeks Plan'!$G$6),'Planning Sheet'!$BY302,"")</f>
        <v/>
      </c>
    </row>
    <row r="2768" spans="25:27" x14ac:dyDescent="0.3">
      <c r="Y2768" s="48" t="str">
        <f ca="1">IF(AND('Planning Sheet'!CC303='Weeks Plan'!$D$6,'Planning Sheet'!BW303='Weeks Plan'!$G$6),'Planning Sheet'!$B303,"")</f>
        <v/>
      </c>
      <c r="Z2768" s="48" t="str">
        <f ca="1">IF(AND('Planning Sheet'!CC303='Weeks Plan'!$D$6,'Planning Sheet'!BW303='Weeks Plan'!$G$6),'Planning Sheet'!$BX303,"")</f>
        <v/>
      </c>
      <c r="AA2768" s="48" t="str">
        <f ca="1">IF(AND('Planning Sheet'!CC303='Weeks Plan'!$D$6,'Planning Sheet'!BW303='Weeks Plan'!$G$6),'Planning Sheet'!$BY303,"")</f>
        <v/>
      </c>
    </row>
    <row r="2769" spans="25:27" x14ac:dyDescent="0.3">
      <c r="Y2769" s="48" t="str">
        <f ca="1">IF(AND('Planning Sheet'!CC304='Weeks Plan'!$D$6,'Planning Sheet'!BW304='Weeks Plan'!$G$6),'Planning Sheet'!$B304,"")</f>
        <v/>
      </c>
      <c r="Z2769" s="48" t="str">
        <f ca="1">IF(AND('Planning Sheet'!CC304='Weeks Plan'!$D$6,'Planning Sheet'!BW304='Weeks Plan'!$G$6),'Planning Sheet'!$BX304,"")</f>
        <v/>
      </c>
      <c r="AA2769" s="48" t="str">
        <f ca="1">IF(AND('Planning Sheet'!CC304='Weeks Plan'!$D$6,'Planning Sheet'!BW304='Weeks Plan'!$G$6),'Planning Sheet'!$BY304,"")</f>
        <v/>
      </c>
    </row>
    <row r="2770" spans="25:27" x14ac:dyDescent="0.3">
      <c r="Y2770" s="48" t="str">
        <f ca="1">IF(AND('Planning Sheet'!CC305='Weeks Plan'!$D$6,'Planning Sheet'!BW305='Weeks Plan'!$G$6),'Planning Sheet'!$B305,"")</f>
        <v/>
      </c>
      <c r="Z2770" s="48" t="str">
        <f ca="1">IF(AND('Planning Sheet'!CC305='Weeks Plan'!$D$6,'Planning Sheet'!BW305='Weeks Plan'!$G$6),'Planning Sheet'!$BX305,"")</f>
        <v/>
      </c>
      <c r="AA2770" s="48" t="str">
        <f ca="1">IF(AND('Planning Sheet'!CC305='Weeks Plan'!$D$6,'Planning Sheet'!BW305='Weeks Plan'!$G$6),'Planning Sheet'!$BY305,"")</f>
        <v/>
      </c>
    </row>
    <row r="2771" spans="25:27" x14ac:dyDescent="0.3">
      <c r="Y2771" s="48" t="str">
        <f ca="1">IF(AND('Planning Sheet'!CC306='Weeks Plan'!$D$6,'Planning Sheet'!BW306='Weeks Plan'!$G$6),'Planning Sheet'!$B306,"")</f>
        <v/>
      </c>
      <c r="Z2771" s="48" t="str">
        <f ca="1">IF(AND('Planning Sheet'!CC306='Weeks Plan'!$D$6,'Planning Sheet'!BW306='Weeks Plan'!$G$6),'Planning Sheet'!$BX306,"")</f>
        <v/>
      </c>
      <c r="AA2771" s="48" t="str">
        <f ca="1">IF(AND('Planning Sheet'!CC306='Weeks Plan'!$D$6,'Planning Sheet'!BW306='Weeks Plan'!$G$6),'Planning Sheet'!$BY306,"")</f>
        <v/>
      </c>
    </row>
    <row r="2772" spans="25:27" x14ac:dyDescent="0.3">
      <c r="Y2772" s="48" t="str">
        <f ca="1">IF(AND('Planning Sheet'!CC307='Weeks Plan'!$D$6,'Planning Sheet'!BW307='Weeks Plan'!$G$6),'Planning Sheet'!$B307,"")</f>
        <v/>
      </c>
      <c r="Z2772" s="48" t="str">
        <f ca="1">IF(AND('Planning Sheet'!CC307='Weeks Plan'!$D$6,'Planning Sheet'!BW307='Weeks Plan'!$G$6),'Planning Sheet'!$BX307,"")</f>
        <v/>
      </c>
      <c r="AA2772" s="48" t="str">
        <f ca="1">IF(AND('Planning Sheet'!CC307='Weeks Plan'!$D$6,'Planning Sheet'!BW307='Weeks Plan'!$G$6),'Planning Sheet'!$BY307,"")</f>
        <v/>
      </c>
    </row>
    <row r="2773" spans="25:27" x14ac:dyDescent="0.3">
      <c r="Y2773" s="48" t="str">
        <f ca="1">IF(AND('Planning Sheet'!CC308='Weeks Plan'!$D$6,'Planning Sheet'!BW308='Weeks Plan'!$G$6),'Planning Sheet'!$B308,"")</f>
        <v/>
      </c>
      <c r="Z2773" s="48" t="str">
        <f ca="1">IF(AND('Planning Sheet'!CC308='Weeks Plan'!$D$6,'Planning Sheet'!BW308='Weeks Plan'!$G$6),'Planning Sheet'!$BX308,"")</f>
        <v/>
      </c>
      <c r="AA2773" s="48" t="str">
        <f ca="1">IF(AND('Planning Sheet'!CC308='Weeks Plan'!$D$6,'Planning Sheet'!BW308='Weeks Plan'!$G$6),'Planning Sheet'!$BY308,"")</f>
        <v/>
      </c>
    </row>
    <row r="2774" spans="25:27" x14ac:dyDescent="0.3">
      <c r="Y2774" s="48" t="str">
        <f ca="1">IF(AND('Planning Sheet'!CC309='Weeks Plan'!$D$6,'Planning Sheet'!BW309='Weeks Plan'!$G$6),'Planning Sheet'!$B309,"")</f>
        <v/>
      </c>
      <c r="Z2774" s="48" t="str">
        <f ca="1">IF(AND('Planning Sheet'!CC309='Weeks Plan'!$D$6,'Planning Sheet'!BW309='Weeks Plan'!$G$6),'Planning Sheet'!$BX309,"")</f>
        <v/>
      </c>
      <c r="AA2774" s="48" t="str">
        <f ca="1">IF(AND('Planning Sheet'!CC309='Weeks Plan'!$D$6,'Planning Sheet'!BW309='Weeks Plan'!$G$6),'Planning Sheet'!$BY309,"")</f>
        <v/>
      </c>
    </row>
    <row r="2775" spans="25:27" x14ac:dyDescent="0.3">
      <c r="Y2775" s="48" t="str">
        <f ca="1">IF(AND('Planning Sheet'!CC310='Weeks Plan'!$D$6,'Planning Sheet'!BW310='Weeks Plan'!$G$6),'Planning Sheet'!$B310,"")</f>
        <v/>
      </c>
      <c r="Z2775" s="48" t="str">
        <f ca="1">IF(AND('Planning Sheet'!CC310='Weeks Plan'!$D$6,'Planning Sheet'!BW310='Weeks Plan'!$G$6),'Planning Sheet'!$BX310,"")</f>
        <v/>
      </c>
      <c r="AA2775" s="48" t="str">
        <f ca="1">IF(AND('Planning Sheet'!CC310='Weeks Plan'!$D$6,'Planning Sheet'!BW310='Weeks Plan'!$G$6),'Planning Sheet'!$BY310,"")</f>
        <v/>
      </c>
    </row>
    <row r="2776" spans="25:27" x14ac:dyDescent="0.3">
      <c r="Y2776" s="48" t="str">
        <f ca="1">IF(AND('Planning Sheet'!CC311='Weeks Plan'!$D$6,'Planning Sheet'!BW311='Weeks Plan'!$G$6),'Planning Sheet'!$B311,"")</f>
        <v/>
      </c>
      <c r="Z2776" s="48" t="str">
        <f ca="1">IF(AND('Planning Sheet'!CC311='Weeks Plan'!$D$6,'Planning Sheet'!BW311='Weeks Plan'!$G$6),'Planning Sheet'!$BX311,"")</f>
        <v/>
      </c>
      <c r="AA2776" s="48" t="str">
        <f ca="1">IF(AND('Planning Sheet'!CC311='Weeks Plan'!$D$6,'Planning Sheet'!BW311='Weeks Plan'!$G$6),'Planning Sheet'!$BY311,"")</f>
        <v/>
      </c>
    </row>
    <row r="2777" spans="25:27" x14ac:dyDescent="0.3">
      <c r="Y2777" s="48" t="str">
        <f ca="1">IF(AND('Planning Sheet'!CC312='Weeks Plan'!$D$6,'Planning Sheet'!BW312='Weeks Plan'!$G$6),'Planning Sheet'!$B312,"")</f>
        <v/>
      </c>
      <c r="Z2777" s="48" t="str">
        <f ca="1">IF(AND('Planning Sheet'!CC312='Weeks Plan'!$D$6,'Planning Sheet'!BW312='Weeks Plan'!$G$6),'Planning Sheet'!$BX312,"")</f>
        <v/>
      </c>
      <c r="AA2777" s="48" t="str">
        <f ca="1">IF(AND('Planning Sheet'!CC312='Weeks Plan'!$D$6,'Planning Sheet'!BW312='Weeks Plan'!$G$6),'Planning Sheet'!$BY312,"")</f>
        <v/>
      </c>
    </row>
    <row r="2778" spans="25:27" x14ac:dyDescent="0.3">
      <c r="Y2778" s="48" t="str">
        <f ca="1">IF(AND('Planning Sheet'!CC313='Weeks Plan'!$D$6,'Planning Sheet'!BW313='Weeks Plan'!$G$6),'Planning Sheet'!$B313,"")</f>
        <v/>
      </c>
      <c r="Z2778" s="48" t="str">
        <f ca="1">IF(AND('Planning Sheet'!CC313='Weeks Plan'!$D$6,'Planning Sheet'!BW313='Weeks Plan'!$G$6),'Planning Sheet'!$BX313,"")</f>
        <v/>
      </c>
      <c r="AA2778" s="48" t="str">
        <f ca="1">IF(AND('Planning Sheet'!CC313='Weeks Plan'!$D$6,'Planning Sheet'!BW313='Weeks Plan'!$G$6),'Planning Sheet'!$BY313,"")</f>
        <v/>
      </c>
    </row>
    <row r="2779" spans="25:27" x14ac:dyDescent="0.3">
      <c r="Y2779" s="48" t="str">
        <f ca="1">IF(AND('Planning Sheet'!CC314='Weeks Plan'!$D$6,'Planning Sheet'!BW314='Weeks Plan'!$G$6),'Planning Sheet'!$B314,"")</f>
        <v/>
      </c>
      <c r="Z2779" s="48" t="str">
        <f ca="1">IF(AND('Planning Sheet'!CC314='Weeks Plan'!$D$6,'Planning Sheet'!BW314='Weeks Plan'!$G$6),'Planning Sheet'!$BX314,"")</f>
        <v/>
      </c>
      <c r="AA2779" s="48" t="str">
        <f ca="1">IF(AND('Planning Sheet'!CC314='Weeks Plan'!$D$6,'Planning Sheet'!BW314='Weeks Plan'!$G$6),'Planning Sheet'!$BY314,"")</f>
        <v/>
      </c>
    </row>
    <row r="2780" spans="25:27" x14ac:dyDescent="0.3">
      <c r="Y2780" s="48" t="str">
        <f ca="1">IF(AND('Planning Sheet'!CC315='Weeks Plan'!$D$6,'Planning Sheet'!BW315='Weeks Plan'!$G$6),'Planning Sheet'!$B315,"")</f>
        <v/>
      </c>
      <c r="Z2780" s="48" t="str">
        <f ca="1">IF(AND('Planning Sheet'!CC315='Weeks Plan'!$D$6,'Planning Sheet'!BW315='Weeks Plan'!$G$6),'Planning Sheet'!$BX315,"")</f>
        <v/>
      </c>
      <c r="AA2780" s="48" t="str">
        <f ca="1">IF(AND('Planning Sheet'!CC315='Weeks Plan'!$D$6,'Planning Sheet'!BW315='Weeks Plan'!$G$6),'Planning Sheet'!$BY315,"")</f>
        <v/>
      </c>
    </row>
    <row r="2781" spans="25:27" x14ac:dyDescent="0.3">
      <c r="Y2781" s="48" t="str">
        <f ca="1">IF(AND('Planning Sheet'!CC316='Weeks Plan'!$D$6,'Planning Sheet'!BW316='Weeks Plan'!$G$6),'Planning Sheet'!$B316,"")</f>
        <v/>
      </c>
      <c r="Z2781" s="48" t="str">
        <f ca="1">IF(AND('Planning Sheet'!CC316='Weeks Plan'!$D$6,'Planning Sheet'!BW316='Weeks Plan'!$G$6),'Planning Sheet'!$BX316,"")</f>
        <v/>
      </c>
      <c r="AA2781" s="48" t="str">
        <f ca="1">IF(AND('Planning Sheet'!CC316='Weeks Plan'!$D$6,'Planning Sheet'!BW316='Weeks Plan'!$G$6),'Planning Sheet'!$BY316,"")</f>
        <v/>
      </c>
    </row>
    <row r="2782" spans="25:27" x14ac:dyDescent="0.3">
      <c r="Y2782" s="48" t="str">
        <f ca="1">IF(AND('Planning Sheet'!CC317='Weeks Plan'!$D$6,'Planning Sheet'!BW317='Weeks Plan'!$G$6),'Planning Sheet'!$B317,"")</f>
        <v/>
      </c>
      <c r="Z2782" s="48" t="str">
        <f ca="1">IF(AND('Planning Sheet'!CC317='Weeks Plan'!$D$6,'Planning Sheet'!BW317='Weeks Plan'!$G$6),'Planning Sheet'!$BX317,"")</f>
        <v/>
      </c>
      <c r="AA2782" s="48" t="str">
        <f ca="1">IF(AND('Planning Sheet'!CC317='Weeks Plan'!$D$6,'Planning Sheet'!BW317='Weeks Plan'!$G$6),'Planning Sheet'!$BY317,"")</f>
        <v/>
      </c>
    </row>
    <row r="2783" spans="25:27" x14ac:dyDescent="0.3">
      <c r="Y2783" s="48" t="str">
        <f ca="1">IF(AND('Planning Sheet'!CC318='Weeks Plan'!$D$6,'Planning Sheet'!BW318='Weeks Plan'!$G$6),'Planning Sheet'!$B318,"")</f>
        <v/>
      </c>
      <c r="Z2783" s="48" t="str">
        <f ca="1">IF(AND('Planning Sheet'!CC318='Weeks Plan'!$D$6,'Planning Sheet'!BW318='Weeks Plan'!$G$6),'Planning Sheet'!$BX318,"")</f>
        <v/>
      </c>
      <c r="AA2783" s="48" t="str">
        <f ca="1">IF(AND('Planning Sheet'!CC318='Weeks Plan'!$D$6,'Planning Sheet'!BW318='Weeks Plan'!$G$6),'Planning Sheet'!$BY318,"")</f>
        <v/>
      </c>
    </row>
    <row r="2784" spans="25:27" x14ac:dyDescent="0.3">
      <c r="Y2784" s="48" t="str">
        <f ca="1">IF(AND('Planning Sheet'!CC319='Weeks Plan'!$D$6,'Planning Sheet'!BW319='Weeks Plan'!$G$6),'Planning Sheet'!$B319,"")</f>
        <v/>
      </c>
      <c r="Z2784" s="48" t="str">
        <f ca="1">IF(AND('Planning Sheet'!CC319='Weeks Plan'!$D$6,'Planning Sheet'!BW319='Weeks Plan'!$G$6),'Planning Sheet'!$BX319,"")</f>
        <v/>
      </c>
      <c r="AA2784" s="48" t="str">
        <f ca="1">IF(AND('Planning Sheet'!CC319='Weeks Plan'!$D$6,'Planning Sheet'!BW319='Weeks Plan'!$G$6),'Planning Sheet'!$BY319,"")</f>
        <v/>
      </c>
    </row>
    <row r="2785" spans="25:27" x14ac:dyDescent="0.3">
      <c r="Y2785" s="48" t="str">
        <f ca="1">IF(AND('Planning Sheet'!CC320='Weeks Plan'!$D$6,'Planning Sheet'!BW320='Weeks Plan'!$G$6),'Planning Sheet'!$B320,"")</f>
        <v/>
      </c>
      <c r="Z2785" s="48" t="str">
        <f ca="1">IF(AND('Planning Sheet'!CC320='Weeks Plan'!$D$6,'Planning Sheet'!BW320='Weeks Plan'!$G$6),'Planning Sheet'!$BX320,"")</f>
        <v/>
      </c>
      <c r="AA2785" s="48" t="str">
        <f ca="1">IF(AND('Planning Sheet'!CC320='Weeks Plan'!$D$6,'Planning Sheet'!BW320='Weeks Plan'!$G$6),'Planning Sheet'!$BY320,"")</f>
        <v/>
      </c>
    </row>
    <row r="2786" spans="25:27" x14ac:dyDescent="0.3">
      <c r="Y2786" s="48" t="str">
        <f ca="1">IF(AND('Planning Sheet'!CC321='Weeks Plan'!$D$6,'Planning Sheet'!BW321='Weeks Plan'!$G$6),'Planning Sheet'!$B321,"")</f>
        <v/>
      </c>
      <c r="Z2786" s="48" t="str">
        <f ca="1">IF(AND('Planning Sheet'!CC321='Weeks Plan'!$D$6,'Planning Sheet'!BW321='Weeks Plan'!$G$6),'Planning Sheet'!$BX321,"")</f>
        <v/>
      </c>
      <c r="AA2786" s="48" t="str">
        <f ca="1">IF(AND('Planning Sheet'!CC321='Weeks Plan'!$D$6,'Planning Sheet'!BW321='Weeks Plan'!$G$6),'Planning Sheet'!$BY321,"")</f>
        <v/>
      </c>
    </row>
    <row r="2787" spans="25:27" x14ac:dyDescent="0.3">
      <c r="Y2787" s="48" t="str">
        <f ca="1">IF(AND('Planning Sheet'!CC322='Weeks Plan'!$D$6,'Planning Sheet'!BW322='Weeks Plan'!$G$6),'Planning Sheet'!$B322,"")</f>
        <v/>
      </c>
      <c r="Z2787" s="48" t="str">
        <f ca="1">IF(AND('Planning Sheet'!CC322='Weeks Plan'!$D$6,'Planning Sheet'!BW322='Weeks Plan'!$G$6),'Planning Sheet'!$BX322,"")</f>
        <v/>
      </c>
      <c r="AA2787" s="48" t="str">
        <f ca="1">IF(AND('Planning Sheet'!CC322='Weeks Plan'!$D$6,'Planning Sheet'!BW322='Weeks Plan'!$G$6),'Planning Sheet'!$BY322,"")</f>
        <v/>
      </c>
    </row>
    <row r="2788" spans="25:27" x14ac:dyDescent="0.3">
      <c r="Y2788" s="48" t="str">
        <f ca="1">IF(AND('Planning Sheet'!CC323='Weeks Plan'!$D$6,'Planning Sheet'!BW323='Weeks Plan'!$G$6),'Planning Sheet'!$B323,"")</f>
        <v/>
      </c>
      <c r="Z2788" s="48" t="str">
        <f ca="1">IF(AND('Planning Sheet'!CC323='Weeks Plan'!$D$6,'Planning Sheet'!BW323='Weeks Plan'!$G$6),'Planning Sheet'!$BX323,"")</f>
        <v/>
      </c>
      <c r="AA2788" s="48" t="str">
        <f ca="1">IF(AND('Planning Sheet'!CC323='Weeks Plan'!$D$6,'Planning Sheet'!BW323='Weeks Plan'!$G$6),'Planning Sheet'!$BY323,"")</f>
        <v/>
      </c>
    </row>
    <row r="2789" spans="25:27" x14ac:dyDescent="0.3">
      <c r="Y2789" s="48" t="str">
        <f ca="1">IF(AND('Planning Sheet'!CC324='Weeks Plan'!$D$6,'Planning Sheet'!BW324='Weeks Plan'!$G$6),'Planning Sheet'!$B324,"")</f>
        <v/>
      </c>
      <c r="Z2789" s="48" t="str">
        <f ca="1">IF(AND('Planning Sheet'!CC324='Weeks Plan'!$D$6,'Planning Sheet'!BW324='Weeks Plan'!$G$6),'Planning Sheet'!$BX324,"")</f>
        <v/>
      </c>
      <c r="AA2789" s="48" t="str">
        <f ca="1">IF(AND('Planning Sheet'!CC324='Weeks Plan'!$D$6,'Planning Sheet'!BW324='Weeks Plan'!$G$6),'Planning Sheet'!$BY324,"")</f>
        <v/>
      </c>
    </row>
    <row r="2790" spans="25:27" x14ac:dyDescent="0.3">
      <c r="Y2790" s="48" t="str">
        <f ca="1">IF(AND('Planning Sheet'!CC325='Weeks Plan'!$D$6,'Planning Sheet'!BW325='Weeks Plan'!$G$6),'Planning Sheet'!$B325,"")</f>
        <v/>
      </c>
      <c r="Z2790" s="48" t="str">
        <f ca="1">IF(AND('Planning Sheet'!CC325='Weeks Plan'!$D$6,'Planning Sheet'!BW325='Weeks Plan'!$G$6),'Planning Sheet'!$BX325,"")</f>
        <v/>
      </c>
      <c r="AA2790" s="48" t="str">
        <f ca="1">IF(AND('Planning Sheet'!CC325='Weeks Plan'!$D$6,'Planning Sheet'!BW325='Weeks Plan'!$G$6),'Planning Sheet'!$BY325,"")</f>
        <v/>
      </c>
    </row>
    <row r="2791" spans="25:27" x14ac:dyDescent="0.3">
      <c r="Y2791" s="48" t="str">
        <f ca="1">IF(AND('Planning Sheet'!CC326='Weeks Plan'!$D$6,'Planning Sheet'!BW326='Weeks Plan'!$G$6),'Planning Sheet'!$B326,"")</f>
        <v/>
      </c>
      <c r="Z2791" s="48" t="str">
        <f ca="1">IF(AND('Planning Sheet'!CC326='Weeks Plan'!$D$6,'Planning Sheet'!BW326='Weeks Plan'!$G$6),'Planning Sheet'!$BX326,"")</f>
        <v/>
      </c>
      <c r="AA2791" s="48" t="str">
        <f ca="1">IF(AND('Planning Sheet'!CC326='Weeks Plan'!$D$6,'Planning Sheet'!BW326='Weeks Plan'!$G$6),'Planning Sheet'!$BY326,"")</f>
        <v/>
      </c>
    </row>
    <row r="2792" spans="25:27" x14ac:dyDescent="0.3">
      <c r="Y2792" s="48" t="str">
        <f ca="1">IF(AND('Planning Sheet'!CC327='Weeks Plan'!$D$6,'Planning Sheet'!BW327='Weeks Plan'!$G$6),'Planning Sheet'!$B327,"")</f>
        <v/>
      </c>
      <c r="Z2792" s="48" t="str">
        <f ca="1">IF(AND('Planning Sheet'!CC327='Weeks Plan'!$D$6,'Planning Sheet'!BW327='Weeks Plan'!$G$6),'Planning Sheet'!$BX327,"")</f>
        <v/>
      </c>
      <c r="AA2792" s="48" t="str">
        <f ca="1">IF(AND('Planning Sheet'!CC327='Weeks Plan'!$D$6,'Planning Sheet'!BW327='Weeks Plan'!$G$6),'Planning Sheet'!$BY327,"")</f>
        <v/>
      </c>
    </row>
    <row r="2793" spans="25:27" x14ac:dyDescent="0.3">
      <c r="Y2793" s="48" t="str">
        <f ca="1">IF(AND('Planning Sheet'!CC328='Weeks Plan'!$D$6,'Planning Sheet'!BW328='Weeks Plan'!$G$6),'Planning Sheet'!$B328,"")</f>
        <v/>
      </c>
      <c r="Z2793" s="48" t="str">
        <f ca="1">IF(AND('Planning Sheet'!CC328='Weeks Plan'!$D$6,'Planning Sheet'!BW328='Weeks Plan'!$G$6),'Planning Sheet'!$BX328,"")</f>
        <v/>
      </c>
      <c r="AA2793" s="48" t="str">
        <f ca="1">IF(AND('Planning Sheet'!CC328='Weeks Plan'!$D$6,'Planning Sheet'!BW328='Weeks Plan'!$G$6),'Planning Sheet'!$BY328,"")</f>
        <v/>
      </c>
    </row>
    <row r="2794" spans="25:27" x14ac:dyDescent="0.3">
      <c r="Y2794" s="48" t="str">
        <f ca="1">IF(AND('Planning Sheet'!CC329='Weeks Plan'!$D$6,'Planning Sheet'!BW329='Weeks Plan'!$G$6),'Planning Sheet'!$B329,"")</f>
        <v/>
      </c>
      <c r="Z2794" s="48" t="str">
        <f ca="1">IF(AND('Planning Sheet'!CC329='Weeks Plan'!$D$6,'Planning Sheet'!BW329='Weeks Plan'!$G$6),'Planning Sheet'!$BX329,"")</f>
        <v/>
      </c>
      <c r="AA2794" s="48" t="str">
        <f ca="1">IF(AND('Planning Sheet'!CC329='Weeks Plan'!$D$6,'Planning Sheet'!BW329='Weeks Plan'!$G$6),'Planning Sheet'!$BY329,"")</f>
        <v/>
      </c>
    </row>
    <row r="2795" spans="25:27" x14ac:dyDescent="0.3">
      <c r="Y2795" s="48" t="str">
        <f ca="1">IF(AND('Planning Sheet'!CC330='Weeks Plan'!$D$6,'Planning Sheet'!BW330='Weeks Plan'!$G$6),'Planning Sheet'!$B330,"")</f>
        <v/>
      </c>
      <c r="Z2795" s="48" t="str">
        <f ca="1">IF(AND('Planning Sheet'!CC330='Weeks Plan'!$D$6,'Planning Sheet'!BW330='Weeks Plan'!$G$6),'Planning Sheet'!$BX330,"")</f>
        <v/>
      </c>
      <c r="AA2795" s="48" t="str">
        <f ca="1">IF(AND('Planning Sheet'!CC330='Weeks Plan'!$D$6,'Planning Sheet'!BW330='Weeks Plan'!$G$6),'Planning Sheet'!$BY330,"")</f>
        <v/>
      </c>
    </row>
    <row r="2796" spans="25:27" x14ac:dyDescent="0.3">
      <c r="Y2796" s="48" t="str">
        <f ca="1">IF(AND('Planning Sheet'!CC331='Weeks Plan'!$D$6,'Planning Sheet'!BW331='Weeks Plan'!$G$6),'Planning Sheet'!$B331,"")</f>
        <v/>
      </c>
      <c r="Z2796" s="48" t="str">
        <f ca="1">IF(AND('Planning Sheet'!CC331='Weeks Plan'!$D$6,'Planning Sheet'!BW331='Weeks Plan'!$G$6),'Planning Sheet'!$BX331,"")</f>
        <v/>
      </c>
      <c r="AA2796" s="48" t="str">
        <f ca="1">IF(AND('Planning Sheet'!CC331='Weeks Plan'!$D$6,'Planning Sheet'!BW331='Weeks Plan'!$G$6),'Planning Sheet'!$BY331,"")</f>
        <v/>
      </c>
    </row>
    <row r="2797" spans="25:27" x14ac:dyDescent="0.3">
      <c r="Y2797" s="48" t="str">
        <f ca="1">IF(AND('Planning Sheet'!CC332='Weeks Plan'!$D$6,'Planning Sheet'!BW332='Weeks Plan'!$G$6),'Planning Sheet'!$B332,"")</f>
        <v/>
      </c>
      <c r="Z2797" s="48" t="str">
        <f ca="1">IF(AND('Planning Sheet'!CC332='Weeks Plan'!$D$6,'Planning Sheet'!BW332='Weeks Plan'!$G$6),'Planning Sheet'!$BX332,"")</f>
        <v/>
      </c>
      <c r="AA2797" s="48" t="str">
        <f ca="1">IF(AND('Planning Sheet'!CC332='Weeks Plan'!$D$6,'Planning Sheet'!BW332='Weeks Plan'!$G$6),'Planning Sheet'!$BY332,"")</f>
        <v/>
      </c>
    </row>
    <row r="2798" spans="25:27" x14ac:dyDescent="0.3">
      <c r="Y2798" s="48" t="str">
        <f ca="1">IF(AND('Planning Sheet'!CC333='Weeks Plan'!$D$6,'Planning Sheet'!BW333='Weeks Plan'!$G$6),'Planning Sheet'!$B333,"")</f>
        <v/>
      </c>
      <c r="Z2798" s="48" t="str">
        <f ca="1">IF(AND('Planning Sheet'!CC333='Weeks Plan'!$D$6,'Planning Sheet'!BW333='Weeks Plan'!$G$6),'Planning Sheet'!$BX333,"")</f>
        <v/>
      </c>
      <c r="AA2798" s="48" t="str">
        <f ca="1">IF(AND('Planning Sheet'!CC333='Weeks Plan'!$D$6,'Planning Sheet'!BW333='Weeks Plan'!$G$6),'Planning Sheet'!$BY333,"")</f>
        <v/>
      </c>
    </row>
    <row r="2799" spans="25:27" x14ac:dyDescent="0.3">
      <c r="Y2799" s="48" t="str">
        <f ca="1">IF(AND('Planning Sheet'!CC334='Weeks Plan'!$D$6,'Planning Sheet'!BW334='Weeks Plan'!$G$6),'Planning Sheet'!$B334,"")</f>
        <v/>
      </c>
      <c r="Z2799" s="48" t="str">
        <f ca="1">IF(AND('Planning Sheet'!CC334='Weeks Plan'!$D$6,'Planning Sheet'!BW334='Weeks Plan'!$G$6),'Planning Sheet'!$BX334,"")</f>
        <v/>
      </c>
      <c r="AA2799" s="48" t="str">
        <f ca="1">IF(AND('Planning Sheet'!CC334='Weeks Plan'!$D$6,'Planning Sheet'!BW334='Weeks Plan'!$G$6),'Planning Sheet'!$BY334,"")</f>
        <v/>
      </c>
    </row>
    <row r="2800" spans="25:27" x14ac:dyDescent="0.3">
      <c r="Y2800" s="48" t="str">
        <f ca="1">IF(AND('Planning Sheet'!CC335='Weeks Plan'!$D$6,'Planning Sheet'!BW335='Weeks Plan'!$G$6),'Planning Sheet'!$B335,"")</f>
        <v/>
      </c>
      <c r="Z2800" s="48" t="str">
        <f ca="1">IF(AND('Planning Sheet'!CC335='Weeks Plan'!$D$6,'Planning Sheet'!BW335='Weeks Plan'!$G$6),'Planning Sheet'!$BX335,"")</f>
        <v/>
      </c>
      <c r="AA2800" s="48" t="str">
        <f ca="1">IF(AND('Planning Sheet'!CC335='Weeks Plan'!$D$6,'Planning Sheet'!BW335='Weeks Plan'!$G$6),'Planning Sheet'!$BY335,"")</f>
        <v/>
      </c>
    </row>
    <row r="2801" spans="25:27" x14ac:dyDescent="0.3">
      <c r="Y2801" s="48" t="str">
        <f ca="1">IF(AND('Planning Sheet'!CC336='Weeks Plan'!$D$6,'Planning Sheet'!BW336='Weeks Plan'!$G$6),'Planning Sheet'!$B336,"")</f>
        <v/>
      </c>
      <c r="Z2801" s="48" t="str">
        <f ca="1">IF(AND('Planning Sheet'!CC336='Weeks Plan'!$D$6,'Planning Sheet'!BW336='Weeks Plan'!$G$6),'Planning Sheet'!$BX336,"")</f>
        <v/>
      </c>
      <c r="AA2801" s="48" t="str">
        <f ca="1">IF(AND('Planning Sheet'!CC336='Weeks Plan'!$D$6,'Planning Sheet'!BW336='Weeks Plan'!$G$6),'Planning Sheet'!$BY336,"")</f>
        <v/>
      </c>
    </row>
    <row r="2802" spans="25:27" x14ac:dyDescent="0.3">
      <c r="Y2802" s="48" t="str">
        <f ca="1">IF(AND('Planning Sheet'!CC337='Weeks Plan'!$D$6,'Planning Sheet'!BW337='Weeks Plan'!$G$6),'Planning Sheet'!$B337,"")</f>
        <v/>
      </c>
      <c r="Z2802" s="48" t="str">
        <f ca="1">IF(AND('Planning Sheet'!CC337='Weeks Plan'!$D$6,'Planning Sheet'!BW337='Weeks Plan'!$G$6),'Planning Sheet'!$BX337,"")</f>
        <v/>
      </c>
      <c r="AA2802" s="48" t="str">
        <f ca="1">IF(AND('Planning Sheet'!CC337='Weeks Plan'!$D$6,'Planning Sheet'!BW337='Weeks Plan'!$G$6),'Planning Sheet'!$BY337,"")</f>
        <v/>
      </c>
    </row>
    <row r="2803" spans="25:27" x14ac:dyDescent="0.3">
      <c r="Y2803" s="48" t="str">
        <f ca="1">IF(AND('Planning Sheet'!CC338='Weeks Plan'!$D$6,'Planning Sheet'!BW338='Weeks Plan'!$G$6),'Planning Sheet'!$B338,"")</f>
        <v/>
      </c>
      <c r="Z2803" s="48" t="str">
        <f ca="1">IF(AND('Planning Sheet'!CC338='Weeks Plan'!$D$6,'Planning Sheet'!BW338='Weeks Plan'!$G$6),'Planning Sheet'!$BX338,"")</f>
        <v/>
      </c>
      <c r="AA2803" s="48" t="str">
        <f ca="1">IF(AND('Planning Sheet'!CC338='Weeks Plan'!$D$6,'Planning Sheet'!BW338='Weeks Plan'!$G$6),'Planning Sheet'!$BY338,"")</f>
        <v/>
      </c>
    </row>
    <row r="2804" spans="25:27" x14ac:dyDescent="0.3">
      <c r="Y2804" s="48" t="str">
        <f ca="1">IF(AND('Planning Sheet'!CC339='Weeks Plan'!$D$6,'Planning Sheet'!BW339='Weeks Plan'!$G$6),'Planning Sheet'!$B339,"")</f>
        <v/>
      </c>
      <c r="Z2804" s="48" t="str">
        <f ca="1">IF(AND('Planning Sheet'!CC339='Weeks Plan'!$D$6,'Planning Sheet'!BW339='Weeks Plan'!$G$6),'Planning Sheet'!$BX339,"")</f>
        <v/>
      </c>
      <c r="AA2804" s="48" t="str">
        <f ca="1">IF(AND('Planning Sheet'!CC339='Weeks Plan'!$D$6,'Planning Sheet'!BW339='Weeks Plan'!$G$6),'Planning Sheet'!$BY339,"")</f>
        <v/>
      </c>
    </row>
    <row r="2805" spans="25:27" x14ac:dyDescent="0.3">
      <c r="Y2805" s="48" t="str">
        <f ca="1">IF(AND('Planning Sheet'!CC340='Weeks Plan'!$D$6,'Planning Sheet'!BW340='Weeks Plan'!$G$6),'Planning Sheet'!$B340,"")</f>
        <v/>
      </c>
      <c r="Z2805" s="48" t="str">
        <f ca="1">IF(AND('Planning Sheet'!CC340='Weeks Plan'!$D$6,'Planning Sheet'!BW340='Weeks Plan'!$G$6),'Planning Sheet'!$BX340,"")</f>
        <v/>
      </c>
      <c r="AA2805" s="48" t="str">
        <f ca="1">IF(AND('Planning Sheet'!CC340='Weeks Plan'!$D$6,'Planning Sheet'!BW340='Weeks Plan'!$G$6),'Planning Sheet'!$BY340,"")</f>
        <v/>
      </c>
    </row>
    <row r="2806" spans="25:27" x14ac:dyDescent="0.3">
      <c r="Y2806" s="48" t="str">
        <f ca="1">IF(AND('Planning Sheet'!CC341='Weeks Plan'!$D$6,'Planning Sheet'!BW341='Weeks Plan'!$G$6),'Planning Sheet'!$B341,"")</f>
        <v/>
      </c>
      <c r="Z2806" s="48" t="str">
        <f ca="1">IF(AND('Planning Sheet'!CC341='Weeks Plan'!$D$6,'Planning Sheet'!BW341='Weeks Plan'!$G$6),'Planning Sheet'!$BX341,"")</f>
        <v/>
      </c>
      <c r="AA2806" s="48" t="str">
        <f ca="1">IF(AND('Planning Sheet'!CC341='Weeks Plan'!$D$6,'Planning Sheet'!BW341='Weeks Plan'!$G$6),'Planning Sheet'!$BY341,"")</f>
        <v/>
      </c>
    </row>
    <row r="2807" spans="25:27" x14ac:dyDescent="0.3">
      <c r="Y2807" s="48" t="str">
        <f ca="1">IF(AND('Planning Sheet'!CC342='Weeks Plan'!$D$6,'Planning Sheet'!BW342='Weeks Plan'!$G$6),'Planning Sheet'!$B342,"")</f>
        <v/>
      </c>
      <c r="Z2807" s="48" t="str">
        <f ca="1">IF(AND('Planning Sheet'!CC342='Weeks Plan'!$D$6,'Planning Sheet'!BW342='Weeks Plan'!$G$6),'Planning Sheet'!$BX342,"")</f>
        <v/>
      </c>
      <c r="AA2807" s="48" t="str">
        <f ca="1">IF(AND('Planning Sheet'!CC342='Weeks Plan'!$D$6,'Planning Sheet'!BW342='Weeks Plan'!$G$6),'Planning Sheet'!$BY342,"")</f>
        <v/>
      </c>
    </row>
    <row r="2808" spans="25:27" x14ac:dyDescent="0.3">
      <c r="Y2808" s="48" t="str">
        <f ca="1">IF(AND('Planning Sheet'!CC343='Weeks Plan'!$D$6,'Planning Sheet'!BW343='Weeks Plan'!$G$6),'Planning Sheet'!$B343,"")</f>
        <v/>
      </c>
      <c r="Z2808" s="48" t="str">
        <f ca="1">IF(AND('Planning Sheet'!CC343='Weeks Plan'!$D$6,'Planning Sheet'!BW343='Weeks Plan'!$G$6),'Planning Sheet'!$BX343,"")</f>
        <v/>
      </c>
      <c r="AA2808" s="48" t="str">
        <f ca="1">IF(AND('Planning Sheet'!CC343='Weeks Plan'!$D$6,'Planning Sheet'!BW343='Weeks Plan'!$G$6),'Planning Sheet'!$BY343,"")</f>
        <v/>
      </c>
    </row>
    <row r="2809" spans="25:27" x14ac:dyDescent="0.3">
      <c r="Y2809" s="48" t="str">
        <f ca="1">IF(AND('Planning Sheet'!CC344='Weeks Plan'!$D$6,'Planning Sheet'!BW344='Weeks Plan'!$G$6),'Planning Sheet'!$B344,"")</f>
        <v/>
      </c>
      <c r="Z2809" s="48" t="str">
        <f ca="1">IF(AND('Planning Sheet'!CC344='Weeks Plan'!$D$6,'Planning Sheet'!BW344='Weeks Plan'!$G$6),'Planning Sheet'!$BX344,"")</f>
        <v/>
      </c>
      <c r="AA2809" s="48" t="str">
        <f ca="1">IF(AND('Planning Sheet'!CC344='Weeks Plan'!$D$6,'Planning Sheet'!BW344='Weeks Plan'!$G$6),'Planning Sheet'!$BY344,"")</f>
        <v/>
      </c>
    </row>
    <row r="2810" spans="25:27" x14ac:dyDescent="0.3">
      <c r="Y2810" s="48" t="str">
        <f ca="1">IF(AND('Planning Sheet'!CC345='Weeks Plan'!$D$6,'Planning Sheet'!BW345='Weeks Plan'!$G$6),'Planning Sheet'!$B345,"")</f>
        <v/>
      </c>
      <c r="Z2810" s="48" t="str">
        <f ca="1">IF(AND('Planning Sheet'!CC345='Weeks Plan'!$D$6,'Planning Sheet'!BW345='Weeks Plan'!$G$6),'Planning Sheet'!$BX345,"")</f>
        <v/>
      </c>
      <c r="AA2810" s="48" t="str">
        <f ca="1">IF(AND('Planning Sheet'!CC345='Weeks Plan'!$D$6,'Planning Sheet'!BW345='Weeks Plan'!$G$6),'Planning Sheet'!$BY345,"")</f>
        <v/>
      </c>
    </row>
    <row r="2811" spans="25:27" x14ac:dyDescent="0.3">
      <c r="Y2811" s="48" t="str">
        <f ca="1">IF(AND('Planning Sheet'!CC346='Weeks Plan'!$D$6,'Planning Sheet'!BW346='Weeks Plan'!$G$6),'Planning Sheet'!$B346,"")</f>
        <v/>
      </c>
      <c r="Z2811" s="48" t="str">
        <f ca="1">IF(AND('Planning Sheet'!CC346='Weeks Plan'!$D$6,'Planning Sheet'!BW346='Weeks Plan'!$G$6),'Planning Sheet'!$BX346,"")</f>
        <v/>
      </c>
      <c r="AA2811" s="48" t="str">
        <f ca="1">IF(AND('Planning Sheet'!CC346='Weeks Plan'!$D$6,'Planning Sheet'!BW346='Weeks Plan'!$G$6),'Planning Sheet'!$BY346,"")</f>
        <v/>
      </c>
    </row>
    <row r="2812" spans="25:27" x14ac:dyDescent="0.3">
      <c r="Y2812" s="48" t="str">
        <f ca="1">IF(AND('Planning Sheet'!CC347='Weeks Plan'!$D$6,'Planning Sheet'!BW347='Weeks Plan'!$G$6),'Planning Sheet'!$B347,"")</f>
        <v/>
      </c>
      <c r="Z2812" s="48" t="str">
        <f ca="1">IF(AND('Planning Sheet'!CC347='Weeks Plan'!$D$6,'Planning Sheet'!BW347='Weeks Plan'!$G$6),'Planning Sheet'!$BX347,"")</f>
        <v/>
      </c>
      <c r="AA2812" s="48" t="str">
        <f ca="1">IF(AND('Planning Sheet'!CC347='Weeks Plan'!$D$6,'Planning Sheet'!BW347='Weeks Plan'!$G$6),'Planning Sheet'!$BY347,"")</f>
        <v/>
      </c>
    </row>
    <row r="2813" spans="25:27" x14ac:dyDescent="0.3">
      <c r="Y2813" s="48" t="str">
        <f ca="1">IF(AND('Planning Sheet'!CC348='Weeks Plan'!$D$6,'Planning Sheet'!BW348='Weeks Plan'!$G$6),'Planning Sheet'!$B348,"")</f>
        <v/>
      </c>
      <c r="Z2813" s="48" t="str">
        <f ca="1">IF(AND('Planning Sheet'!CC348='Weeks Plan'!$D$6,'Planning Sheet'!BW348='Weeks Plan'!$G$6),'Planning Sheet'!$BX348,"")</f>
        <v/>
      </c>
      <c r="AA2813" s="48" t="str">
        <f ca="1">IF(AND('Planning Sheet'!CC348='Weeks Plan'!$D$6,'Planning Sheet'!BW348='Weeks Plan'!$G$6),'Planning Sheet'!$BY348,"")</f>
        <v/>
      </c>
    </row>
    <row r="2814" spans="25:27" x14ac:dyDescent="0.3">
      <c r="Y2814" s="48" t="str">
        <f ca="1">IF(AND('Planning Sheet'!CC349='Weeks Plan'!$D$6,'Planning Sheet'!BW349='Weeks Plan'!$G$6),'Planning Sheet'!$B349,"")</f>
        <v/>
      </c>
      <c r="Z2814" s="48" t="str">
        <f ca="1">IF(AND('Planning Sheet'!CC349='Weeks Plan'!$D$6,'Planning Sheet'!BW349='Weeks Plan'!$G$6),'Planning Sheet'!$BX349,"")</f>
        <v/>
      </c>
      <c r="AA2814" s="48" t="str">
        <f ca="1">IF(AND('Planning Sheet'!CC349='Weeks Plan'!$D$6,'Planning Sheet'!BW349='Weeks Plan'!$G$6),'Planning Sheet'!$BY349,"")</f>
        <v/>
      </c>
    </row>
    <row r="2815" spans="25:27" x14ac:dyDescent="0.3">
      <c r="Y2815" s="48" t="str">
        <f ca="1">IF(AND('Planning Sheet'!CC350='Weeks Plan'!$D$6,'Planning Sheet'!BW350='Weeks Plan'!$G$6),'Planning Sheet'!$B350,"")</f>
        <v/>
      </c>
      <c r="Z2815" s="48" t="str">
        <f ca="1">IF(AND('Planning Sheet'!CC350='Weeks Plan'!$D$6,'Planning Sheet'!BW350='Weeks Plan'!$G$6),'Planning Sheet'!$BX350,"")</f>
        <v/>
      </c>
      <c r="AA2815" s="48" t="str">
        <f ca="1">IF(AND('Planning Sheet'!CC350='Weeks Plan'!$D$6,'Planning Sheet'!BW350='Weeks Plan'!$G$6),'Planning Sheet'!$BY350,"")</f>
        <v/>
      </c>
    </row>
    <row r="2816" spans="25:27" x14ac:dyDescent="0.3">
      <c r="Y2816" s="48" t="str">
        <f ca="1">IF(AND('Planning Sheet'!CC351='Weeks Plan'!$D$6,'Planning Sheet'!BW351='Weeks Plan'!$G$6),'Planning Sheet'!$B351,"")</f>
        <v/>
      </c>
      <c r="Z2816" s="48" t="str">
        <f ca="1">IF(AND('Planning Sheet'!CC351='Weeks Plan'!$D$6,'Planning Sheet'!BW351='Weeks Plan'!$G$6),'Planning Sheet'!$BX351,"")</f>
        <v/>
      </c>
      <c r="AA2816" s="48" t="str">
        <f ca="1">IF(AND('Planning Sheet'!CC351='Weeks Plan'!$D$6,'Planning Sheet'!BW351='Weeks Plan'!$G$6),'Planning Sheet'!$BY351,"")</f>
        <v/>
      </c>
    </row>
    <row r="2817" spans="25:27" x14ac:dyDescent="0.3">
      <c r="Y2817" s="48" t="str">
        <f ca="1">IF(AND('Planning Sheet'!CC352='Weeks Plan'!$D$6,'Planning Sheet'!BW352='Weeks Plan'!$G$6),'Planning Sheet'!$B352,"")</f>
        <v/>
      </c>
      <c r="Z2817" s="48" t="str">
        <f ca="1">IF(AND('Planning Sheet'!CC352='Weeks Plan'!$D$6,'Planning Sheet'!BW352='Weeks Plan'!$G$6),'Planning Sheet'!$BX352,"")</f>
        <v/>
      </c>
      <c r="AA2817" s="48" t="str">
        <f ca="1">IF(AND('Planning Sheet'!CC352='Weeks Plan'!$D$6,'Planning Sheet'!BW352='Weeks Plan'!$G$6),'Planning Sheet'!$BY352,"")</f>
        <v/>
      </c>
    </row>
    <row r="2818" spans="25:27" x14ac:dyDescent="0.3">
      <c r="Y2818" s="48" t="str">
        <f ca="1">IF(AND('Planning Sheet'!CC353='Weeks Plan'!$D$6,'Planning Sheet'!BW353='Weeks Plan'!$G$6),'Planning Sheet'!$B353,"")</f>
        <v/>
      </c>
      <c r="Z2818" s="48" t="str">
        <f ca="1">IF(AND('Planning Sheet'!CC353='Weeks Plan'!$D$6,'Planning Sheet'!BW353='Weeks Plan'!$G$6),'Planning Sheet'!$BX353,"")</f>
        <v/>
      </c>
      <c r="AA2818" s="48" t="str">
        <f ca="1">IF(AND('Planning Sheet'!CC353='Weeks Plan'!$D$6,'Planning Sheet'!BW353='Weeks Plan'!$G$6),'Planning Sheet'!$BY353,"")</f>
        <v/>
      </c>
    </row>
    <row r="2819" spans="25:27" x14ac:dyDescent="0.3">
      <c r="Y2819" s="48" t="str">
        <f ca="1">IF(AND('Planning Sheet'!CC354='Weeks Plan'!$D$6,'Planning Sheet'!BW354='Weeks Plan'!$G$6),'Planning Sheet'!$B354,"")</f>
        <v/>
      </c>
      <c r="Z2819" s="48" t="str">
        <f ca="1">IF(AND('Planning Sheet'!CC354='Weeks Plan'!$D$6,'Planning Sheet'!BW354='Weeks Plan'!$G$6),'Planning Sheet'!$BX354,"")</f>
        <v/>
      </c>
      <c r="AA2819" s="48" t="str">
        <f ca="1">IF(AND('Planning Sheet'!CC354='Weeks Plan'!$D$6,'Planning Sheet'!BW354='Weeks Plan'!$G$6),'Planning Sheet'!$BY354,"")</f>
        <v/>
      </c>
    </row>
    <row r="2820" spans="25:27" x14ac:dyDescent="0.3">
      <c r="Y2820" s="48" t="str">
        <f ca="1">IF(AND('Planning Sheet'!CC355='Weeks Plan'!$D$6,'Planning Sheet'!BW355='Weeks Plan'!$G$6),'Planning Sheet'!$B355,"")</f>
        <v/>
      </c>
      <c r="Z2820" s="48" t="str">
        <f ca="1">IF(AND('Planning Sheet'!CC355='Weeks Plan'!$D$6,'Planning Sheet'!BW355='Weeks Plan'!$G$6),'Planning Sheet'!$BX355,"")</f>
        <v/>
      </c>
      <c r="AA2820" s="48" t="str">
        <f ca="1">IF(AND('Planning Sheet'!CC355='Weeks Plan'!$D$6,'Planning Sheet'!BW355='Weeks Plan'!$G$6),'Planning Sheet'!$BY355,"")</f>
        <v/>
      </c>
    </row>
    <row r="2821" spans="25:27" x14ac:dyDescent="0.3">
      <c r="Y2821" s="48" t="str">
        <f ca="1">IF(AND('Planning Sheet'!CC356='Weeks Plan'!$D$6,'Planning Sheet'!BW356='Weeks Plan'!$G$6),'Planning Sheet'!$B356,"")</f>
        <v/>
      </c>
      <c r="Z2821" s="48" t="str">
        <f ca="1">IF(AND('Planning Sheet'!CC356='Weeks Plan'!$D$6,'Planning Sheet'!BW356='Weeks Plan'!$G$6),'Planning Sheet'!$BX356,"")</f>
        <v/>
      </c>
      <c r="AA2821" s="48" t="str">
        <f ca="1">IF(AND('Planning Sheet'!CC356='Weeks Plan'!$D$6,'Planning Sheet'!BW356='Weeks Plan'!$G$6),'Planning Sheet'!$BY356,"")</f>
        <v/>
      </c>
    </row>
    <row r="2822" spans="25:27" x14ac:dyDescent="0.3">
      <c r="Y2822" s="48" t="str">
        <f ca="1">IF(AND('Planning Sheet'!CC357='Weeks Plan'!$D$6,'Planning Sheet'!BW357='Weeks Plan'!$G$6),'Planning Sheet'!$B357,"")</f>
        <v/>
      </c>
      <c r="Z2822" s="48" t="str">
        <f ca="1">IF(AND('Planning Sheet'!CC357='Weeks Plan'!$D$6,'Planning Sheet'!BW357='Weeks Plan'!$G$6),'Planning Sheet'!$BX357,"")</f>
        <v/>
      </c>
      <c r="AA2822" s="48" t="str">
        <f ca="1">IF(AND('Planning Sheet'!CC357='Weeks Plan'!$D$6,'Planning Sheet'!BW357='Weeks Plan'!$G$6),'Planning Sheet'!$BY357,"")</f>
        <v/>
      </c>
    </row>
    <row r="2823" spans="25:27" x14ac:dyDescent="0.3">
      <c r="Y2823" s="48" t="str">
        <f ca="1">IF(AND('Planning Sheet'!CC358='Weeks Plan'!$D$6,'Planning Sheet'!BW358='Weeks Plan'!$G$6),'Planning Sheet'!$B358,"")</f>
        <v/>
      </c>
      <c r="Z2823" s="48" t="str">
        <f ca="1">IF(AND('Planning Sheet'!CC358='Weeks Plan'!$D$6,'Planning Sheet'!BW358='Weeks Plan'!$G$6),'Planning Sheet'!$BX358,"")</f>
        <v/>
      </c>
      <c r="AA2823" s="48" t="str">
        <f ca="1">IF(AND('Planning Sheet'!CC358='Weeks Plan'!$D$6,'Planning Sheet'!BW358='Weeks Plan'!$G$6),'Planning Sheet'!$BY358,"")</f>
        <v/>
      </c>
    </row>
    <row r="2824" spans="25:27" x14ac:dyDescent="0.3">
      <c r="Y2824" s="48" t="str">
        <f ca="1">IF(AND('Planning Sheet'!CC359='Weeks Plan'!$D$6,'Planning Sheet'!BW359='Weeks Plan'!$G$6),'Planning Sheet'!$B359,"")</f>
        <v/>
      </c>
      <c r="Z2824" s="48" t="str">
        <f ca="1">IF(AND('Planning Sheet'!CC359='Weeks Plan'!$D$6,'Planning Sheet'!BW359='Weeks Plan'!$G$6),'Planning Sheet'!$BX359,"")</f>
        <v/>
      </c>
      <c r="AA2824" s="48" t="str">
        <f ca="1">IF(AND('Planning Sheet'!CC359='Weeks Plan'!$D$6,'Planning Sheet'!BW359='Weeks Plan'!$G$6),'Planning Sheet'!$BY359,"")</f>
        <v/>
      </c>
    </row>
    <row r="2825" spans="25:27" x14ac:dyDescent="0.3">
      <c r="Y2825" s="48" t="str">
        <f ca="1">IF(AND('Planning Sheet'!CC360='Weeks Plan'!$D$6,'Planning Sheet'!BW360='Weeks Plan'!$G$6),'Planning Sheet'!$B360,"")</f>
        <v/>
      </c>
      <c r="Z2825" s="48" t="str">
        <f ca="1">IF(AND('Planning Sheet'!CC360='Weeks Plan'!$D$6,'Planning Sheet'!BW360='Weeks Plan'!$G$6),'Planning Sheet'!$BX360,"")</f>
        <v/>
      </c>
      <c r="AA2825" s="48" t="str">
        <f ca="1">IF(AND('Planning Sheet'!CC360='Weeks Plan'!$D$6,'Planning Sheet'!BW360='Weeks Plan'!$G$6),'Planning Sheet'!$BY360,"")</f>
        <v/>
      </c>
    </row>
    <row r="2826" spans="25:27" x14ac:dyDescent="0.3">
      <c r="Y2826" s="48" t="str">
        <f ca="1">IF(AND('Planning Sheet'!CC361='Weeks Plan'!$D$6,'Planning Sheet'!BW361='Weeks Plan'!$G$6),'Planning Sheet'!$B361,"")</f>
        <v/>
      </c>
      <c r="Z2826" s="48" t="str">
        <f ca="1">IF(AND('Planning Sheet'!CC361='Weeks Plan'!$D$6,'Planning Sheet'!BW361='Weeks Plan'!$G$6),'Planning Sheet'!$BX361,"")</f>
        <v/>
      </c>
      <c r="AA2826" s="48" t="str">
        <f ca="1">IF(AND('Planning Sheet'!CC361='Weeks Plan'!$D$6,'Planning Sheet'!BW361='Weeks Plan'!$G$6),'Planning Sheet'!$BY361,"")</f>
        <v/>
      </c>
    </row>
    <row r="2827" spans="25:27" x14ac:dyDescent="0.3">
      <c r="Y2827" s="48" t="str">
        <f ca="1">IF(AND('Planning Sheet'!CC362='Weeks Plan'!$D$6,'Planning Sheet'!BW362='Weeks Plan'!$G$6),'Planning Sheet'!$B362,"")</f>
        <v/>
      </c>
      <c r="Z2827" s="48" t="str">
        <f ca="1">IF(AND('Planning Sheet'!CC362='Weeks Plan'!$D$6,'Planning Sheet'!BW362='Weeks Plan'!$G$6),'Planning Sheet'!$BX362,"")</f>
        <v/>
      </c>
      <c r="AA2827" s="48" t="str">
        <f ca="1">IF(AND('Planning Sheet'!CC362='Weeks Plan'!$D$6,'Planning Sheet'!BW362='Weeks Plan'!$G$6),'Planning Sheet'!$BY362,"")</f>
        <v/>
      </c>
    </row>
    <row r="2828" spans="25:27" x14ac:dyDescent="0.3">
      <c r="Y2828" s="48" t="str">
        <f ca="1">IF(AND('Planning Sheet'!CC363='Weeks Plan'!$D$6,'Planning Sheet'!BW363='Weeks Plan'!$G$6),'Planning Sheet'!$B363,"")</f>
        <v/>
      </c>
      <c r="Z2828" s="48" t="str">
        <f ca="1">IF(AND('Planning Sheet'!CC363='Weeks Plan'!$D$6,'Planning Sheet'!BW363='Weeks Plan'!$G$6),'Planning Sheet'!$BX363,"")</f>
        <v/>
      </c>
      <c r="AA2828" s="48" t="str">
        <f ca="1">IF(AND('Planning Sheet'!CC363='Weeks Plan'!$D$6,'Planning Sheet'!BW363='Weeks Plan'!$G$6),'Planning Sheet'!$BY363,"")</f>
        <v/>
      </c>
    </row>
    <row r="2829" spans="25:27" x14ac:dyDescent="0.3">
      <c r="Y2829" s="48" t="str">
        <f ca="1">IF(AND('Planning Sheet'!CC364='Weeks Plan'!$D$6,'Planning Sheet'!BW364='Weeks Plan'!$G$6),'Planning Sheet'!$B364,"")</f>
        <v/>
      </c>
      <c r="Z2829" s="48" t="str">
        <f ca="1">IF(AND('Planning Sheet'!CC364='Weeks Plan'!$D$6,'Planning Sheet'!BW364='Weeks Plan'!$G$6),'Planning Sheet'!$BX364,"")</f>
        <v/>
      </c>
      <c r="AA2829" s="48" t="str">
        <f ca="1">IF(AND('Planning Sheet'!CC364='Weeks Plan'!$D$6,'Planning Sheet'!BW364='Weeks Plan'!$G$6),'Planning Sheet'!$BY364,"")</f>
        <v/>
      </c>
    </row>
    <row r="2830" spans="25:27" x14ac:dyDescent="0.3">
      <c r="Y2830" s="48" t="str">
        <f ca="1">IF(AND('Planning Sheet'!CC365='Weeks Plan'!$D$6,'Planning Sheet'!BW365='Weeks Plan'!$G$6),'Planning Sheet'!$B365,"")</f>
        <v/>
      </c>
      <c r="Z2830" s="48" t="str">
        <f ca="1">IF(AND('Planning Sheet'!CC365='Weeks Plan'!$D$6,'Planning Sheet'!BW365='Weeks Plan'!$G$6),'Planning Sheet'!$BX365,"")</f>
        <v/>
      </c>
      <c r="AA2830" s="48" t="str">
        <f ca="1">IF(AND('Planning Sheet'!CC365='Weeks Plan'!$D$6,'Planning Sheet'!BW365='Weeks Plan'!$G$6),'Planning Sheet'!$BY365,"")</f>
        <v/>
      </c>
    </row>
    <row r="2831" spans="25:27" x14ac:dyDescent="0.3">
      <c r="Y2831" s="48" t="str">
        <f ca="1">IF(AND('Planning Sheet'!CC366='Weeks Plan'!$D$6,'Planning Sheet'!BW366='Weeks Plan'!$G$6),'Planning Sheet'!$B366,"")</f>
        <v/>
      </c>
      <c r="Z2831" s="48" t="str">
        <f ca="1">IF(AND('Planning Sheet'!CC366='Weeks Plan'!$D$6,'Planning Sheet'!BW366='Weeks Plan'!$G$6),'Planning Sheet'!$BX366,"")</f>
        <v/>
      </c>
      <c r="AA2831" s="48" t="str">
        <f ca="1">IF(AND('Planning Sheet'!CC366='Weeks Plan'!$D$6,'Planning Sheet'!BW366='Weeks Plan'!$G$6),'Planning Sheet'!$BY366,"")</f>
        <v/>
      </c>
    </row>
    <row r="2832" spans="25:27" x14ac:dyDescent="0.3">
      <c r="Y2832" s="48" t="str">
        <f ca="1">IF(AND('Planning Sheet'!CC367='Weeks Plan'!$D$6,'Planning Sheet'!BW367='Weeks Plan'!$G$6),'Planning Sheet'!$B367,"")</f>
        <v/>
      </c>
      <c r="Z2832" s="48" t="str">
        <f ca="1">IF(AND('Planning Sheet'!CC367='Weeks Plan'!$D$6,'Planning Sheet'!BW367='Weeks Plan'!$G$6),'Planning Sheet'!$BX367,"")</f>
        <v/>
      </c>
      <c r="AA2832" s="48" t="str">
        <f ca="1">IF(AND('Planning Sheet'!CC367='Weeks Plan'!$D$6,'Planning Sheet'!BW367='Weeks Plan'!$G$6),'Planning Sheet'!$BY367,"")</f>
        <v/>
      </c>
    </row>
    <row r="2833" spans="25:27" x14ac:dyDescent="0.3">
      <c r="Y2833" s="48" t="str">
        <f ca="1">IF(AND('Planning Sheet'!CC368='Weeks Plan'!$D$6,'Planning Sheet'!BW368='Weeks Plan'!$G$6),'Planning Sheet'!$B368,"")</f>
        <v/>
      </c>
      <c r="Z2833" s="48" t="str">
        <f ca="1">IF(AND('Planning Sheet'!CC368='Weeks Plan'!$D$6,'Planning Sheet'!BW368='Weeks Plan'!$G$6),'Planning Sheet'!$BX368,"")</f>
        <v/>
      </c>
      <c r="AA2833" s="48" t="str">
        <f ca="1">IF(AND('Planning Sheet'!CC368='Weeks Plan'!$D$6,'Planning Sheet'!BW368='Weeks Plan'!$G$6),'Planning Sheet'!$BY368,"")</f>
        <v/>
      </c>
    </row>
    <row r="2834" spans="25:27" x14ac:dyDescent="0.3">
      <c r="Y2834" s="48" t="str">
        <f ca="1">IF(AND('Planning Sheet'!CC369='Weeks Plan'!$D$6,'Planning Sheet'!BW369='Weeks Plan'!$G$6),'Planning Sheet'!$B369,"")</f>
        <v/>
      </c>
      <c r="Z2834" s="48" t="str">
        <f ca="1">IF(AND('Planning Sheet'!CC369='Weeks Plan'!$D$6,'Planning Sheet'!BW369='Weeks Plan'!$G$6),'Planning Sheet'!$BX369,"")</f>
        <v/>
      </c>
      <c r="AA2834" s="48" t="str">
        <f ca="1">IF(AND('Planning Sheet'!CC369='Weeks Plan'!$D$6,'Planning Sheet'!BW369='Weeks Plan'!$G$6),'Planning Sheet'!$BY369,"")</f>
        <v/>
      </c>
    </row>
    <row r="2835" spans="25:27" x14ac:dyDescent="0.3">
      <c r="Y2835" s="48" t="str">
        <f ca="1">IF(AND('Planning Sheet'!CC370='Weeks Plan'!$D$6,'Planning Sheet'!BW370='Weeks Plan'!$G$6),'Planning Sheet'!$B370,"")</f>
        <v/>
      </c>
      <c r="Z2835" s="48" t="str">
        <f ca="1">IF(AND('Planning Sheet'!CC370='Weeks Plan'!$D$6,'Planning Sheet'!BW370='Weeks Plan'!$G$6),'Planning Sheet'!$BX370,"")</f>
        <v/>
      </c>
      <c r="AA2835" s="48" t="str">
        <f ca="1">IF(AND('Planning Sheet'!CC370='Weeks Plan'!$D$6,'Planning Sheet'!BW370='Weeks Plan'!$G$6),'Planning Sheet'!$BY370,"")</f>
        <v/>
      </c>
    </row>
    <row r="2836" spans="25:27" x14ac:dyDescent="0.3">
      <c r="Y2836" s="48" t="str">
        <f ca="1">IF(AND('Planning Sheet'!CC371='Weeks Plan'!$D$6,'Planning Sheet'!BW371='Weeks Plan'!$G$6),'Planning Sheet'!$B371,"")</f>
        <v/>
      </c>
      <c r="Z2836" s="48" t="str">
        <f ca="1">IF(AND('Planning Sheet'!CC371='Weeks Plan'!$D$6,'Planning Sheet'!BW371='Weeks Plan'!$G$6),'Planning Sheet'!$BX371,"")</f>
        <v/>
      </c>
      <c r="AA2836" s="48" t="str">
        <f ca="1">IF(AND('Planning Sheet'!CC371='Weeks Plan'!$D$6,'Planning Sheet'!BW371='Weeks Plan'!$G$6),'Planning Sheet'!$BY371,"")</f>
        <v/>
      </c>
    </row>
    <row r="2837" spans="25:27" x14ac:dyDescent="0.3">
      <c r="Y2837" s="48" t="str">
        <f ca="1">IF(AND('Planning Sheet'!CC372='Weeks Plan'!$D$6,'Planning Sheet'!BW372='Weeks Plan'!$G$6),'Planning Sheet'!$B372,"")</f>
        <v/>
      </c>
      <c r="Z2837" s="48" t="str">
        <f ca="1">IF(AND('Planning Sheet'!CC372='Weeks Plan'!$D$6,'Planning Sheet'!BW372='Weeks Plan'!$G$6),'Planning Sheet'!$BX372,"")</f>
        <v/>
      </c>
      <c r="AA2837" s="48" t="str">
        <f ca="1">IF(AND('Planning Sheet'!CC372='Weeks Plan'!$D$6,'Planning Sheet'!BW372='Weeks Plan'!$G$6),'Planning Sheet'!$BY372,"")</f>
        <v/>
      </c>
    </row>
    <row r="2838" spans="25:27" x14ac:dyDescent="0.3">
      <c r="Y2838" s="48" t="str">
        <f ca="1">IF(AND('Planning Sheet'!CC373='Weeks Plan'!$D$6,'Planning Sheet'!BW373='Weeks Plan'!$G$6),'Planning Sheet'!$B373,"")</f>
        <v/>
      </c>
      <c r="Z2838" s="48" t="str">
        <f ca="1">IF(AND('Planning Sheet'!CC373='Weeks Plan'!$D$6,'Planning Sheet'!BW373='Weeks Plan'!$G$6),'Planning Sheet'!$BX373,"")</f>
        <v/>
      </c>
      <c r="AA2838" s="48" t="str">
        <f ca="1">IF(AND('Planning Sheet'!CC373='Weeks Plan'!$D$6,'Planning Sheet'!BW373='Weeks Plan'!$G$6),'Planning Sheet'!$BY373,"")</f>
        <v/>
      </c>
    </row>
    <row r="2839" spans="25:27" x14ac:dyDescent="0.3">
      <c r="Y2839" s="48" t="str">
        <f ca="1">IF(AND('Planning Sheet'!CC374='Weeks Plan'!$D$6,'Planning Sheet'!BW374='Weeks Plan'!$G$6),'Planning Sheet'!$B374,"")</f>
        <v/>
      </c>
      <c r="Z2839" s="48" t="str">
        <f ca="1">IF(AND('Planning Sheet'!CC374='Weeks Plan'!$D$6,'Planning Sheet'!BW374='Weeks Plan'!$G$6),'Planning Sheet'!$BX374,"")</f>
        <v/>
      </c>
      <c r="AA2839" s="48" t="str">
        <f ca="1">IF(AND('Planning Sheet'!CC374='Weeks Plan'!$D$6,'Planning Sheet'!BW374='Weeks Plan'!$G$6),'Planning Sheet'!$BY374,"")</f>
        <v/>
      </c>
    </row>
    <row r="2840" spans="25:27" x14ac:dyDescent="0.3">
      <c r="Y2840" s="48" t="str">
        <f ca="1">IF(AND('Planning Sheet'!CC375='Weeks Plan'!$D$6,'Planning Sheet'!BW375='Weeks Plan'!$G$6),'Planning Sheet'!$B375,"")</f>
        <v/>
      </c>
      <c r="Z2840" s="48" t="str">
        <f ca="1">IF(AND('Planning Sheet'!CC375='Weeks Plan'!$D$6,'Planning Sheet'!BW375='Weeks Plan'!$G$6),'Planning Sheet'!$BX375,"")</f>
        <v/>
      </c>
      <c r="AA2840" s="48" t="str">
        <f ca="1">IF(AND('Planning Sheet'!CC375='Weeks Plan'!$D$6,'Planning Sheet'!BW375='Weeks Plan'!$G$6),'Planning Sheet'!$BY375,"")</f>
        <v/>
      </c>
    </row>
    <row r="2841" spans="25:27" x14ac:dyDescent="0.3">
      <c r="Y2841" s="48" t="str">
        <f ca="1">IF(AND('Planning Sheet'!CC376='Weeks Plan'!$D$6,'Planning Sheet'!BW376='Weeks Plan'!$G$6),'Planning Sheet'!$B376,"")</f>
        <v/>
      </c>
      <c r="Z2841" s="48" t="str">
        <f ca="1">IF(AND('Planning Sheet'!CC376='Weeks Plan'!$D$6,'Planning Sheet'!BW376='Weeks Plan'!$G$6),'Planning Sheet'!$BX376,"")</f>
        <v/>
      </c>
      <c r="AA2841" s="48" t="str">
        <f ca="1">IF(AND('Planning Sheet'!CC376='Weeks Plan'!$D$6,'Planning Sheet'!BW376='Weeks Plan'!$G$6),'Planning Sheet'!$BY376,"")</f>
        <v/>
      </c>
    </row>
    <row r="2842" spans="25:27" x14ac:dyDescent="0.3">
      <c r="Y2842" s="48" t="str">
        <f ca="1">IF(AND('Planning Sheet'!CC377='Weeks Plan'!$D$6,'Planning Sheet'!BW377='Weeks Plan'!$G$6),'Planning Sheet'!$B377,"")</f>
        <v/>
      </c>
      <c r="Z2842" s="48" t="str">
        <f ca="1">IF(AND('Planning Sheet'!CC377='Weeks Plan'!$D$6,'Planning Sheet'!BW377='Weeks Plan'!$G$6),'Planning Sheet'!$BX377,"")</f>
        <v/>
      </c>
      <c r="AA2842" s="48" t="str">
        <f ca="1">IF(AND('Planning Sheet'!CC377='Weeks Plan'!$D$6,'Planning Sheet'!BW377='Weeks Plan'!$G$6),'Planning Sheet'!$BY377,"")</f>
        <v/>
      </c>
    </row>
    <row r="2843" spans="25:27" x14ac:dyDescent="0.3">
      <c r="Y2843" s="48" t="str">
        <f ca="1">IF(AND('Planning Sheet'!CC378='Weeks Plan'!$D$6,'Planning Sheet'!BW378='Weeks Plan'!$G$6),'Planning Sheet'!$B378,"")</f>
        <v/>
      </c>
      <c r="Z2843" s="48" t="str">
        <f ca="1">IF(AND('Planning Sheet'!CC378='Weeks Plan'!$D$6,'Planning Sheet'!BW378='Weeks Plan'!$G$6),'Planning Sheet'!$BX378,"")</f>
        <v/>
      </c>
      <c r="AA2843" s="48" t="str">
        <f ca="1">IF(AND('Planning Sheet'!CC378='Weeks Plan'!$D$6,'Planning Sheet'!BW378='Weeks Plan'!$G$6),'Planning Sheet'!$BY378,"")</f>
        <v/>
      </c>
    </row>
    <row r="2844" spans="25:27" x14ac:dyDescent="0.3">
      <c r="Y2844" s="48" t="str">
        <f ca="1">IF(AND('Planning Sheet'!CC379='Weeks Plan'!$D$6,'Planning Sheet'!BW379='Weeks Plan'!$G$6),'Planning Sheet'!$B379,"")</f>
        <v/>
      </c>
      <c r="Z2844" s="48" t="str">
        <f ca="1">IF(AND('Planning Sheet'!CC379='Weeks Plan'!$D$6,'Planning Sheet'!BW379='Weeks Plan'!$G$6),'Planning Sheet'!$BX379,"")</f>
        <v/>
      </c>
      <c r="AA2844" s="48" t="str">
        <f ca="1">IF(AND('Planning Sheet'!CC379='Weeks Plan'!$D$6,'Planning Sheet'!BW379='Weeks Plan'!$G$6),'Planning Sheet'!$BY379,"")</f>
        <v/>
      </c>
    </row>
    <row r="2845" spans="25:27" x14ac:dyDescent="0.3">
      <c r="Y2845" s="48" t="str">
        <f ca="1">IF(AND('Planning Sheet'!CC380='Weeks Plan'!$D$6,'Planning Sheet'!BW380='Weeks Plan'!$G$6),'Planning Sheet'!$B380,"")</f>
        <v/>
      </c>
      <c r="Z2845" s="48" t="str">
        <f ca="1">IF(AND('Planning Sheet'!CC380='Weeks Plan'!$D$6,'Planning Sheet'!BW380='Weeks Plan'!$G$6),'Planning Sheet'!$BX380,"")</f>
        <v/>
      </c>
      <c r="AA2845" s="48" t="str">
        <f ca="1">IF(AND('Planning Sheet'!CC380='Weeks Plan'!$D$6,'Planning Sheet'!BW380='Weeks Plan'!$G$6),'Planning Sheet'!$BY380,"")</f>
        <v/>
      </c>
    </row>
    <row r="2846" spans="25:27" x14ac:dyDescent="0.3">
      <c r="Y2846" s="48" t="str">
        <f ca="1">IF(AND('Planning Sheet'!CC381='Weeks Plan'!$D$6,'Planning Sheet'!BW381='Weeks Plan'!$G$6),'Planning Sheet'!$B381,"")</f>
        <v/>
      </c>
      <c r="Z2846" s="48" t="str">
        <f ca="1">IF(AND('Planning Sheet'!CC381='Weeks Plan'!$D$6,'Planning Sheet'!BW381='Weeks Plan'!$G$6),'Planning Sheet'!$BX381,"")</f>
        <v/>
      </c>
      <c r="AA2846" s="48" t="str">
        <f ca="1">IF(AND('Planning Sheet'!CC381='Weeks Plan'!$D$6,'Planning Sheet'!BW381='Weeks Plan'!$G$6),'Planning Sheet'!$BY381,"")</f>
        <v/>
      </c>
    </row>
    <row r="2847" spans="25:27" x14ac:dyDescent="0.3">
      <c r="Y2847" s="48" t="str">
        <f ca="1">IF(AND('Planning Sheet'!CC382='Weeks Plan'!$D$6,'Planning Sheet'!BW382='Weeks Plan'!$G$6),'Planning Sheet'!$B382,"")</f>
        <v/>
      </c>
      <c r="Z2847" s="48" t="str">
        <f ca="1">IF(AND('Planning Sheet'!CC382='Weeks Plan'!$D$6,'Planning Sheet'!BW382='Weeks Plan'!$G$6),'Planning Sheet'!$BX382,"")</f>
        <v/>
      </c>
      <c r="AA2847" s="48" t="str">
        <f ca="1">IF(AND('Planning Sheet'!CC382='Weeks Plan'!$D$6,'Planning Sheet'!BW382='Weeks Plan'!$G$6),'Planning Sheet'!$BY382,"")</f>
        <v/>
      </c>
    </row>
    <row r="2848" spans="25:27" x14ac:dyDescent="0.3">
      <c r="Y2848" s="48" t="str">
        <f ca="1">IF(AND('Planning Sheet'!CC383='Weeks Plan'!$D$6,'Planning Sheet'!BW383='Weeks Plan'!$G$6),'Planning Sheet'!$B383,"")</f>
        <v/>
      </c>
      <c r="Z2848" s="48" t="str">
        <f ca="1">IF(AND('Planning Sheet'!CC383='Weeks Plan'!$D$6,'Planning Sheet'!BW383='Weeks Plan'!$G$6),'Planning Sheet'!$BX383,"")</f>
        <v/>
      </c>
      <c r="AA2848" s="48" t="str">
        <f ca="1">IF(AND('Planning Sheet'!CC383='Weeks Plan'!$D$6,'Planning Sheet'!BW383='Weeks Plan'!$G$6),'Planning Sheet'!$BY383,"")</f>
        <v/>
      </c>
    </row>
    <row r="2849" spans="25:27" x14ac:dyDescent="0.3">
      <c r="Y2849" s="48" t="str">
        <f ca="1">IF(AND('Planning Sheet'!CC384='Weeks Plan'!$D$6,'Planning Sheet'!BW384='Weeks Plan'!$G$6),'Planning Sheet'!$B384,"")</f>
        <v/>
      </c>
      <c r="Z2849" s="48" t="str">
        <f ca="1">IF(AND('Planning Sheet'!CC384='Weeks Plan'!$D$6,'Planning Sheet'!BW384='Weeks Plan'!$G$6),'Planning Sheet'!$BX384,"")</f>
        <v/>
      </c>
      <c r="AA2849" s="48" t="str">
        <f ca="1">IF(AND('Planning Sheet'!CC384='Weeks Plan'!$D$6,'Planning Sheet'!BW384='Weeks Plan'!$G$6),'Planning Sheet'!$BY384,"")</f>
        <v/>
      </c>
    </row>
    <row r="2850" spans="25:27" x14ac:dyDescent="0.3">
      <c r="Y2850" s="48" t="str">
        <f ca="1">IF(AND('Planning Sheet'!CC385='Weeks Plan'!$D$6,'Planning Sheet'!BW385='Weeks Plan'!$G$6),'Planning Sheet'!$B385,"")</f>
        <v/>
      </c>
      <c r="Z2850" s="48" t="str">
        <f ca="1">IF(AND('Planning Sheet'!CC385='Weeks Plan'!$D$6,'Planning Sheet'!BW385='Weeks Plan'!$G$6),'Planning Sheet'!$BX385,"")</f>
        <v/>
      </c>
      <c r="AA2850" s="48" t="str">
        <f ca="1">IF(AND('Planning Sheet'!CC385='Weeks Plan'!$D$6,'Planning Sheet'!BW385='Weeks Plan'!$G$6),'Planning Sheet'!$BY385,"")</f>
        <v/>
      </c>
    </row>
    <row r="2851" spans="25:27" x14ac:dyDescent="0.3">
      <c r="Y2851" s="48" t="str">
        <f ca="1">IF(AND('Planning Sheet'!CC386='Weeks Plan'!$D$6,'Planning Sheet'!BW386='Weeks Plan'!$G$6),'Planning Sheet'!$B386,"")</f>
        <v/>
      </c>
      <c r="Z2851" s="48" t="str">
        <f ca="1">IF(AND('Planning Sheet'!CC386='Weeks Plan'!$D$6,'Planning Sheet'!BW386='Weeks Plan'!$G$6),'Planning Sheet'!$BX386,"")</f>
        <v/>
      </c>
      <c r="AA2851" s="48" t="str">
        <f ca="1">IF(AND('Planning Sheet'!CC386='Weeks Plan'!$D$6,'Planning Sheet'!BW386='Weeks Plan'!$G$6),'Planning Sheet'!$BY386,"")</f>
        <v/>
      </c>
    </row>
    <row r="2852" spans="25:27" x14ac:dyDescent="0.3">
      <c r="Y2852" s="48" t="str">
        <f ca="1">IF(AND('Planning Sheet'!CC387='Weeks Plan'!$D$6,'Planning Sheet'!BW387='Weeks Plan'!$G$6),'Planning Sheet'!$B387,"")</f>
        <v/>
      </c>
      <c r="Z2852" s="48" t="str">
        <f ca="1">IF(AND('Planning Sheet'!CC387='Weeks Plan'!$D$6,'Planning Sheet'!BW387='Weeks Plan'!$G$6),'Planning Sheet'!$BX387,"")</f>
        <v/>
      </c>
      <c r="AA2852" s="48" t="str">
        <f ca="1">IF(AND('Planning Sheet'!CC387='Weeks Plan'!$D$6,'Planning Sheet'!BW387='Weeks Plan'!$G$6),'Planning Sheet'!$BY387,"")</f>
        <v/>
      </c>
    </row>
    <row r="2853" spans="25:27" x14ac:dyDescent="0.3">
      <c r="Y2853" s="48" t="str">
        <f ca="1">IF(AND('Planning Sheet'!CC388='Weeks Plan'!$D$6,'Planning Sheet'!BW388='Weeks Plan'!$G$6),'Planning Sheet'!$B388,"")</f>
        <v/>
      </c>
      <c r="Z2853" s="48" t="str">
        <f ca="1">IF(AND('Planning Sheet'!CC388='Weeks Plan'!$D$6,'Planning Sheet'!BW388='Weeks Plan'!$G$6),'Planning Sheet'!$BX388,"")</f>
        <v/>
      </c>
      <c r="AA2853" s="48" t="str">
        <f ca="1">IF(AND('Planning Sheet'!CC388='Weeks Plan'!$D$6,'Planning Sheet'!BW388='Weeks Plan'!$G$6),'Planning Sheet'!$BY388,"")</f>
        <v/>
      </c>
    </row>
    <row r="2854" spans="25:27" x14ac:dyDescent="0.3">
      <c r="Y2854" s="48" t="str">
        <f ca="1">IF(AND('Planning Sheet'!CC389='Weeks Plan'!$D$6,'Planning Sheet'!BW389='Weeks Plan'!$G$6),'Planning Sheet'!$B389,"")</f>
        <v/>
      </c>
      <c r="Z2854" s="48" t="str">
        <f ca="1">IF(AND('Planning Sheet'!CC389='Weeks Plan'!$D$6,'Planning Sheet'!BW389='Weeks Plan'!$G$6),'Planning Sheet'!$BX389,"")</f>
        <v/>
      </c>
      <c r="AA2854" s="48" t="str">
        <f ca="1">IF(AND('Planning Sheet'!CC389='Weeks Plan'!$D$6,'Planning Sheet'!BW389='Weeks Plan'!$G$6),'Planning Sheet'!$BY389,"")</f>
        <v/>
      </c>
    </row>
    <row r="2855" spans="25:27" x14ac:dyDescent="0.3">
      <c r="Y2855" s="48" t="str">
        <f ca="1">IF(AND('Planning Sheet'!CC390='Weeks Plan'!$D$6,'Planning Sheet'!BW390='Weeks Plan'!$G$6),'Planning Sheet'!$B390,"")</f>
        <v/>
      </c>
      <c r="Z2855" s="48" t="str">
        <f ca="1">IF(AND('Planning Sheet'!CC390='Weeks Plan'!$D$6,'Planning Sheet'!BW390='Weeks Plan'!$G$6),'Planning Sheet'!$BX390,"")</f>
        <v/>
      </c>
      <c r="AA2855" s="48" t="str">
        <f ca="1">IF(AND('Planning Sheet'!CC390='Weeks Plan'!$D$6,'Planning Sheet'!BW390='Weeks Plan'!$G$6),'Planning Sheet'!$BY390,"")</f>
        <v/>
      </c>
    </row>
    <row r="2856" spans="25:27" x14ac:dyDescent="0.3">
      <c r="Y2856" s="48" t="str">
        <f ca="1">IF(AND('Planning Sheet'!CC391='Weeks Plan'!$D$6,'Planning Sheet'!BW391='Weeks Plan'!$G$6),'Planning Sheet'!$B391,"")</f>
        <v/>
      </c>
      <c r="Z2856" s="48" t="str">
        <f ca="1">IF(AND('Planning Sheet'!CC391='Weeks Plan'!$D$6,'Planning Sheet'!BW391='Weeks Plan'!$G$6),'Planning Sheet'!$BX391,"")</f>
        <v/>
      </c>
      <c r="AA2856" s="48" t="str">
        <f ca="1">IF(AND('Planning Sheet'!CC391='Weeks Plan'!$D$6,'Planning Sheet'!BW391='Weeks Plan'!$G$6),'Planning Sheet'!$BY391,"")</f>
        <v/>
      </c>
    </row>
    <row r="2857" spans="25:27" x14ac:dyDescent="0.3">
      <c r="Y2857" s="48" t="str">
        <f ca="1">IF(AND('Planning Sheet'!CC392='Weeks Plan'!$D$6,'Planning Sheet'!BW392='Weeks Plan'!$G$6),'Planning Sheet'!$B392,"")</f>
        <v/>
      </c>
      <c r="Z2857" s="48" t="str">
        <f ca="1">IF(AND('Planning Sheet'!CC392='Weeks Plan'!$D$6,'Planning Sheet'!BW392='Weeks Plan'!$G$6),'Planning Sheet'!$BX392,"")</f>
        <v/>
      </c>
      <c r="AA2857" s="48" t="str">
        <f ca="1">IF(AND('Planning Sheet'!CC392='Weeks Plan'!$D$6,'Planning Sheet'!BW392='Weeks Plan'!$G$6),'Planning Sheet'!$BY392,"")</f>
        <v/>
      </c>
    </row>
    <row r="2858" spans="25:27" x14ac:dyDescent="0.3">
      <c r="Y2858" s="48" t="str">
        <f ca="1">IF(AND('Planning Sheet'!CC393='Weeks Plan'!$D$6,'Planning Sheet'!BW393='Weeks Plan'!$G$6),'Planning Sheet'!$B393,"")</f>
        <v/>
      </c>
      <c r="Z2858" s="48" t="str">
        <f ca="1">IF(AND('Planning Sheet'!CC393='Weeks Plan'!$D$6,'Planning Sheet'!BW393='Weeks Plan'!$G$6),'Planning Sheet'!$BX393,"")</f>
        <v/>
      </c>
      <c r="AA2858" s="48" t="str">
        <f ca="1">IF(AND('Planning Sheet'!CC393='Weeks Plan'!$D$6,'Planning Sheet'!BW393='Weeks Plan'!$G$6),'Planning Sheet'!$BY393,"")</f>
        <v/>
      </c>
    </row>
    <row r="2859" spans="25:27" x14ac:dyDescent="0.3">
      <c r="Y2859" s="48" t="str">
        <f ca="1">IF(AND('Planning Sheet'!CC394='Weeks Plan'!$D$6,'Planning Sheet'!BW394='Weeks Plan'!$G$6),'Planning Sheet'!$B394,"")</f>
        <v/>
      </c>
      <c r="Z2859" s="48" t="str">
        <f ca="1">IF(AND('Planning Sheet'!CC394='Weeks Plan'!$D$6,'Planning Sheet'!BW394='Weeks Plan'!$G$6),'Planning Sheet'!$BX394,"")</f>
        <v/>
      </c>
      <c r="AA2859" s="48" t="str">
        <f ca="1">IF(AND('Planning Sheet'!CC394='Weeks Plan'!$D$6,'Planning Sheet'!BW394='Weeks Plan'!$G$6),'Planning Sheet'!$BY394,"")</f>
        <v/>
      </c>
    </row>
    <row r="2860" spans="25:27" x14ac:dyDescent="0.3">
      <c r="Y2860" s="48" t="str">
        <f ca="1">IF(AND('Planning Sheet'!CC395='Weeks Plan'!$D$6,'Planning Sheet'!BW395='Weeks Plan'!$G$6),'Planning Sheet'!$B395,"")</f>
        <v/>
      </c>
      <c r="Z2860" s="48" t="str">
        <f ca="1">IF(AND('Planning Sheet'!CC395='Weeks Plan'!$D$6,'Planning Sheet'!BW395='Weeks Plan'!$G$6),'Planning Sheet'!$BX395,"")</f>
        <v/>
      </c>
      <c r="AA2860" s="48" t="str">
        <f ca="1">IF(AND('Planning Sheet'!CC395='Weeks Plan'!$D$6,'Planning Sheet'!BW395='Weeks Plan'!$G$6),'Planning Sheet'!$BY395,"")</f>
        <v/>
      </c>
    </row>
    <row r="2861" spans="25:27" x14ac:dyDescent="0.3">
      <c r="Y2861" s="48" t="str">
        <f ca="1">IF(AND('Planning Sheet'!CC396='Weeks Plan'!$D$6,'Planning Sheet'!BW396='Weeks Plan'!$G$6),'Planning Sheet'!$B396,"")</f>
        <v/>
      </c>
      <c r="Z2861" s="48" t="str">
        <f ca="1">IF(AND('Planning Sheet'!CC396='Weeks Plan'!$D$6,'Planning Sheet'!BW396='Weeks Plan'!$G$6),'Planning Sheet'!$BX396,"")</f>
        <v/>
      </c>
      <c r="AA2861" s="48" t="str">
        <f ca="1">IF(AND('Planning Sheet'!CC396='Weeks Plan'!$D$6,'Planning Sheet'!BW396='Weeks Plan'!$G$6),'Planning Sheet'!$BY396,"")</f>
        <v/>
      </c>
    </row>
    <row r="2862" spans="25:27" x14ac:dyDescent="0.3">
      <c r="Y2862" s="48" t="str">
        <f ca="1">IF(AND('Planning Sheet'!CC397='Weeks Plan'!$D$6,'Planning Sheet'!BW397='Weeks Plan'!$G$6),'Planning Sheet'!$B397,"")</f>
        <v/>
      </c>
      <c r="Z2862" s="48" t="str">
        <f ca="1">IF(AND('Planning Sheet'!CC397='Weeks Plan'!$D$6,'Planning Sheet'!BW397='Weeks Plan'!$G$6),'Planning Sheet'!$BX397,"")</f>
        <v/>
      </c>
      <c r="AA2862" s="48" t="str">
        <f ca="1">IF(AND('Planning Sheet'!CC397='Weeks Plan'!$D$6,'Planning Sheet'!BW397='Weeks Plan'!$G$6),'Planning Sheet'!$BY397,"")</f>
        <v/>
      </c>
    </row>
    <row r="2863" spans="25:27" x14ac:dyDescent="0.3">
      <c r="Y2863" s="48" t="str">
        <f ca="1">IF(AND('Planning Sheet'!CC398='Weeks Plan'!$D$6,'Planning Sheet'!BW398='Weeks Plan'!$G$6),'Planning Sheet'!$B398,"")</f>
        <v/>
      </c>
      <c r="Z2863" s="48" t="str">
        <f ca="1">IF(AND('Planning Sheet'!CC398='Weeks Plan'!$D$6,'Planning Sheet'!BW398='Weeks Plan'!$G$6),'Planning Sheet'!$BX398,"")</f>
        <v/>
      </c>
      <c r="AA2863" s="48" t="str">
        <f ca="1">IF(AND('Planning Sheet'!CC398='Weeks Plan'!$D$6,'Planning Sheet'!BW398='Weeks Plan'!$G$6),'Planning Sheet'!$BY398,"")</f>
        <v/>
      </c>
    </row>
    <row r="2864" spans="25:27" x14ac:dyDescent="0.3">
      <c r="Y2864" s="48" t="str">
        <f ca="1">IF(AND('Planning Sheet'!CC399='Weeks Plan'!$D$6,'Planning Sheet'!BW399='Weeks Plan'!$G$6),'Planning Sheet'!$B399,"")</f>
        <v/>
      </c>
      <c r="Z2864" s="48" t="str">
        <f ca="1">IF(AND('Planning Sheet'!CC399='Weeks Plan'!$D$6,'Planning Sheet'!BW399='Weeks Plan'!$G$6),'Planning Sheet'!$BX399,"")</f>
        <v/>
      </c>
      <c r="AA2864" s="48" t="str">
        <f ca="1">IF(AND('Planning Sheet'!CC399='Weeks Plan'!$D$6,'Planning Sheet'!BW399='Weeks Plan'!$G$6),'Planning Sheet'!$BY399,"")</f>
        <v/>
      </c>
    </row>
    <row r="2865" spans="25:27" x14ac:dyDescent="0.3">
      <c r="Y2865" s="48" t="str">
        <f ca="1">IF(AND('Planning Sheet'!CC400='Weeks Plan'!$D$6,'Planning Sheet'!BW400='Weeks Plan'!$G$6),'Planning Sheet'!$B400,"")</f>
        <v/>
      </c>
      <c r="Z2865" s="48" t="str">
        <f ca="1">IF(AND('Planning Sheet'!CC400='Weeks Plan'!$D$6,'Planning Sheet'!BW400='Weeks Plan'!$G$6),'Planning Sheet'!$BX400,"")</f>
        <v/>
      </c>
      <c r="AA2865" s="48" t="str">
        <f ca="1">IF(AND('Planning Sheet'!CC400='Weeks Plan'!$D$6,'Planning Sheet'!BW400='Weeks Plan'!$G$6),'Planning Sheet'!$BY400,"")</f>
        <v/>
      </c>
    </row>
    <row r="2866" spans="25:27" x14ac:dyDescent="0.3">
      <c r="Y2866" s="48" t="str">
        <f ca="1">IF(AND('Planning Sheet'!CC401='Weeks Plan'!$D$6,'Planning Sheet'!BW401='Weeks Plan'!$G$6),'Planning Sheet'!$B401,"")</f>
        <v/>
      </c>
      <c r="Z2866" s="48" t="str">
        <f ca="1">IF(AND('Planning Sheet'!CC401='Weeks Plan'!$D$6,'Planning Sheet'!BW401='Weeks Plan'!$G$6),'Planning Sheet'!$BX401,"")</f>
        <v/>
      </c>
      <c r="AA2866" s="48" t="str">
        <f ca="1">IF(AND('Planning Sheet'!CC401='Weeks Plan'!$D$6,'Planning Sheet'!BW401='Weeks Plan'!$G$6),'Planning Sheet'!$BY401,"")</f>
        <v/>
      </c>
    </row>
    <row r="2867" spans="25:27" x14ac:dyDescent="0.3">
      <c r="Y2867" s="48" t="str">
        <f ca="1">IF(AND('Planning Sheet'!CC402='Weeks Plan'!$D$6,'Planning Sheet'!BW402='Weeks Plan'!$G$6),'Planning Sheet'!$B402,"")</f>
        <v/>
      </c>
      <c r="Z2867" s="48" t="str">
        <f ca="1">IF(AND('Planning Sheet'!CC402='Weeks Plan'!$D$6,'Planning Sheet'!BW402='Weeks Plan'!$G$6),'Planning Sheet'!$BX402,"")</f>
        <v/>
      </c>
      <c r="AA2867" s="48" t="str">
        <f ca="1">IF(AND('Planning Sheet'!CC402='Weeks Plan'!$D$6,'Planning Sheet'!BW402='Weeks Plan'!$G$6),'Planning Sheet'!$BY402,"")</f>
        <v/>
      </c>
    </row>
    <row r="2868" spans="25:27" x14ac:dyDescent="0.3">
      <c r="Y2868" s="48" t="str">
        <f ca="1">IF(AND('Planning Sheet'!CC403='Weeks Plan'!$D$6,'Planning Sheet'!BW403='Weeks Plan'!$G$6),'Planning Sheet'!$B403,"")</f>
        <v/>
      </c>
      <c r="Z2868" s="48" t="str">
        <f ca="1">IF(AND('Planning Sheet'!CC403='Weeks Plan'!$D$6,'Planning Sheet'!BW403='Weeks Plan'!$G$6),'Planning Sheet'!$BX403,"")</f>
        <v/>
      </c>
      <c r="AA2868" s="48" t="str">
        <f ca="1">IF(AND('Planning Sheet'!CC403='Weeks Plan'!$D$6,'Planning Sheet'!BW403='Weeks Plan'!$G$6),'Planning Sheet'!$BY403,"")</f>
        <v/>
      </c>
    </row>
    <row r="2869" spans="25:27" x14ac:dyDescent="0.3">
      <c r="Y2869" s="48" t="str">
        <f ca="1">IF(AND('Planning Sheet'!CC404='Weeks Plan'!$D$6,'Planning Sheet'!BW404='Weeks Plan'!$G$6),'Planning Sheet'!$B404,"")</f>
        <v/>
      </c>
      <c r="Z2869" s="48" t="str">
        <f ca="1">IF(AND('Planning Sheet'!CC404='Weeks Plan'!$D$6,'Planning Sheet'!BW404='Weeks Plan'!$G$6),'Planning Sheet'!$BX404,"")</f>
        <v/>
      </c>
      <c r="AA2869" s="48" t="str">
        <f ca="1">IF(AND('Planning Sheet'!CC404='Weeks Plan'!$D$6,'Planning Sheet'!BW404='Weeks Plan'!$G$6),'Planning Sheet'!$BY404,"")</f>
        <v/>
      </c>
    </row>
    <row r="2870" spans="25:27" x14ac:dyDescent="0.3">
      <c r="Y2870" s="48" t="str">
        <f ca="1">IF(AND('Planning Sheet'!CC405='Weeks Plan'!$D$6,'Planning Sheet'!BW405='Weeks Plan'!$G$6),'Planning Sheet'!$B405,"")</f>
        <v/>
      </c>
      <c r="Z2870" s="48" t="str">
        <f ca="1">IF(AND('Planning Sheet'!CC405='Weeks Plan'!$D$6,'Planning Sheet'!BW405='Weeks Plan'!$G$6),'Planning Sheet'!$BX405,"")</f>
        <v/>
      </c>
      <c r="AA2870" s="48" t="str">
        <f ca="1">IF(AND('Planning Sheet'!CC405='Weeks Plan'!$D$6,'Planning Sheet'!BW405='Weeks Plan'!$G$6),'Planning Sheet'!$BY405,"")</f>
        <v/>
      </c>
    </row>
    <row r="2871" spans="25:27" x14ac:dyDescent="0.3">
      <c r="Y2871" s="48" t="str">
        <f ca="1">IF(AND('Planning Sheet'!CC406='Weeks Plan'!$D$6,'Planning Sheet'!BW406='Weeks Plan'!$G$6),'Planning Sheet'!$B406,"")</f>
        <v/>
      </c>
      <c r="Z2871" s="48" t="str">
        <f ca="1">IF(AND('Planning Sheet'!CC406='Weeks Plan'!$D$6,'Planning Sheet'!BW406='Weeks Plan'!$G$6),'Planning Sheet'!$BX406,"")</f>
        <v/>
      </c>
      <c r="AA2871" s="48" t="str">
        <f ca="1">IF(AND('Planning Sheet'!CC406='Weeks Plan'!$D$6,'Planning Sheet'!BW406='Weeks Plan'!$G$6),'Planning Sheet'!$BY406,"")</f>
        <v/>
      </c>
    </row>
    <row r="2872" spans="25:27" x14ac:dyDescent="0.3">
      <c r="Y2872" s="48" t="str">
        <f ca="1">IF(AND('Planning Sheet'!CC407='Weeks Plan'!$D$6,'Planning Sheet'!BW407='Weeks Plan'!$G$6),'Planning Sheet'!$B407,"")</f>
        <v/>
      </c>
      <c r="Z2872" s="48" t="str">
        <f ca="1">IF(AND('Planning Sheet'!CC407='Weeks Plan'!$D$6,'Planning Sheet'!BW407='Weeks Plan'!$G$6),'Planning Sheet'!$BX407,"")</f>
        <v/>
      </c>
      <c r="AA2872" s="48" t="str">
        <f ca="1">IF(AND('Planning Sheet'!CC407='Weeks Plan'!$D$6,'Planning Sheet'!BW407='Weeks Plan'!$G$6),'Planning Sheet'!$BY407,"")</f>
        <v/>
      </c>
    </row>
    <row r="2873" spans="25:27" x14ac:dyDescent="0.3">
      <c r="Y2873" s="48" t="str">
        <f ca="1">IF(AND('Planning Sheet'!CC408='Weeks Plan'!$D$6,'Planning Sheet'!BW408='Weeks Plan'!$G$6),'Planning Sheet'!$B408,"")</f>
        <v/>
      </c>
      <c r="Z2873" s="48" t="str">
        <f ca="1">IF(AND('Planning Sheet'!CC408='Weeks Plan'!$D$6,'Planning Sheet'!BW408='Weeks Plan'!$G$6),'Planning Sheet'!$BX408,"")</f>
        <v/>
      </c>
      <c r="AA2873" s="48" t="str">
        <f ca="1">IF(AND('Planning Sheet'!CC408='Weeks Plan'!$D$6,'Planning Sheet'!BW408='Weeks Plan'!$G$6),'Planning Sheet'!$BY408,"")</f>
        <v/>
      </c>
    </row>
    <row r="2874" spans="25:27" x14ac:dyDescent="0.3">
      <c r="Y2874" s="48" t="str">
        <f ca="1">IF(AND('Planning Sheet'!CC409='Weeks Plan'!$D$6,'Planning Sheet'!BW409='Weeks Plan'!$G$6),'Planning Sheet'!$B409,"")</f>
        <v/>
      </c>
      <c r="Z2874" s="48" t="str">
        <f ca="1">IF(AND('Planning Sheet'!CC409='Weeks Plan'!$D$6,'Planning Sheet'!BW409='Weeks Plan'!$G$6),'Planning Sheet'!$BX409,"")</f>
        <v/>
      </c>
      <c r="AA2874" s="48" t="str">
        <f ca="1">IF(AND('Planning Sheet'!CC409='Weeks Plan'!$D$6,'Planning Sheet'!BW409='Weeks Plan'!$G$6),'Planning Sheet'!$BY409,"")</f>
        <v/>
      </c>
    </row>
    <row r="2875" spans="25:27" x14ac:dyDescent="0.3">
      <c r="Y2875" s="48" t="str">
        <f ca="1">IF(AND('Planning Sheet'!CC410='Weeks Plan'!$D$6,'Planning Sheet'!BW410='Weeks Plan'!$G$6),'Planning Sheet'!$B410,"")</f>
        <v/>
      </c>
      <c r="Z2875" s="48" t="str">
        <f ca="1">IF(AND('Planning Sheet'!CC410='Weeks Plan'!$D$6,'Planning Sheet'!BW410='Weeks Plan'!$G$6),'Planning Sheet'!$BX410,"")</f>
        <v/>
      </c>
      <c r="AA2875" s="48" t="str">
        <f ca="1">IF(AND('Planning Sheet'!CC410='Weeks Plan'!$D$6,'Planning Sheet'!BW410='Weeks Plan'!$G$6),'Planning Sheet'!$BY410,"")</f>
        <v/>
      </c>
    </row>
    <row r="2876" spans="25:27" x14ac:dyDescent="0.3">
      <c r="Y2876" s="48" t="str">
        <f ca="1">IF(AND('Planning Sheet'!CC411='Weeks Plan'!$D$6,'Planning Sheet'!BW411='Weeks Plan'!$G$6),'Planning Sheet'!$B411,"")</f>
        <v/>
      </c>
      <c r="Z2876" s="48" t="str">
        <f ca="1">IF(AND('Planning Sheet'!CC411='Weeks Plan'!$D$6,'Planning Sheet'!BW411='Weeks Plan'!$G$6),'Planning Sheet'!$BX411,"")</f>
        <v/>
      </c>
      <c r="AA2876" s="48" t="str">
        <f ca="1">IF(AND('Planning Sheet'!CC411='Weeks Plan'!$D$6,'Planning Sheet'!BW411='Weeks Plan'!$G$6),'Planning Sheet'!$BY411,"")</f>
        <v/>
      </c>
    </row>
    <row r="2877" spans="25:27" x14ac:dyDescent="0.3">
      <c r="Y2877" s="48" t="str">
        <f ca="1">IF(AND('Planning Sheet'!CC412='Weeks Plan'!$D$6,'Planning Sheet'!BW412='Weeks Plan'!$G$6),'Planning Sheet'!$B412,"")</f>
        <v/>
      </c>
      <c r="Z2877" s="48" t="str">
        <f ca="1">IF(AND('Planning Sheet'!CC412='Weeks Plan'!$D$6,'Planning Sheet'!BW412='Weeks Plan'!$G$6),'Planning Sheet'!$BX412,"")</f>
        <v/>
      </c>
      <c r="AA2877" s="48" t="str">
        <f ca="1">IF(AND('Planning Sheet'!CC412='Weeks Plan'!$D$6,'Planning Sheet'!BW412='Weeks Plan'!$G$6),'Planning Sheet'!$BY412,"")</f>
        <v/>
      </c>
    </row>
    <row r="2878" spans="25:27" x14ac:dyDescent="0.3">
      <c r="Y2878" s="48" t="str">
        <f ca="1">IF(AND('Planning Sheet'!CC413='Weeks Plan'!$D$6,'Planning Sheet'!BW413='Weeks Plan'!$G$6),'Planning Sheet'!$B413,"")</f>
        <v/>
      </c>
      <c r="Z2878" s="48" t="str">
        <f ca="1">IF(AND('Planning Sheet'!CC413='Weeks Plan'!$D$6,'Planning Sheet'!BW413='Weeks Plan'!$G$6),'Planning Sheet'!$BX413,"")</f>
        <v/>
      </c>
      <c r="AA2878" s="48" t="str">
        <f ca="1">IF(AND('Planning Sheet'!CC413='Weeks Plan'!$D$6,'Planning Sheet'!BW413='Weeks Plan'!$G$6),'Planning Sheet'!$BY413,"")</f>
        <v/>
      </c>
    </row>
    <row r="2879" spans="25:27" x14ac:dyDescent="0.3">
      <c r="Y2879" s="48" t="str">
        <f ca="1">IF(AND('Planning Sheet'!CC414='Weeks Plan'!$D$6,'Planning Sheet'!BW414='Weeks Plan'!$G$6),'Planning Sheet'!$B414,"")</f>
        <v/>
      </c>
      <c r="Z2879" s="48" t="str">
        <f ca="1">IF(AND('Planning Sheet'!CC414='Weeks Plan'!$D$6,'Planning Sheet'!BW414='Weeks Plan'!$G$6),'Planning Sheet'!$BX414,"")</f>
        <v/>
      </c>
      <c r="AA2879" s="48" t="str">
        <f ca="1">IF(AND('Planning Sheet'!CC414='Weeks Plan'!$D$6,'Planning Sheet'!BW414='Weeks Plan'!$G$6),'Planning Sheet'!$BY414,"")</f>
        <v/>
      </c>
    </row>
    <row r="2880" spans="25:27" x14ac:dyDescent="0.3">
      <c r="Y2880" s="48" t="str">
        <f ca="1">IF(AND('Planning Sheet'!CC415='Weeks Plan'!$D$6,'Planning Sheet'!BW415='Weeks Plan'!$G$6),'Planning Sheet'!$B415,"")</f>
        <v/>
      </c>
      <c r="Z2880" s="48" t="str">
        <f ca="1">IF(AND('Planning Sheet'!CC415='Weeks Plan'!$D$6,'Planning Sheet'!BW415='Weeks Plan'!$G$6),'Planning Sheet'!$BX415,"")</f>
        <v/>
      </c>
      <c r="AA2880" s="48" t="str">
        <f ca="1">IF(AND('Planning Sheet'!CC415='Weeks Plan'!$D$6,'Planning Sheet'!BW415='Weeks Plan'!$G$6),'Planning Sheet'!$BY415,"")</f>
        <v/>
      </c>
    </row>
    <row r="2881" spans="25:27" x14ac:dyDescent="0.3">
      <c r="Y2881" s="48" t="str">
        <f ca="1">IF(AND('Planning Sheet'!CC416='Weeks Plan'!$D$6,'Planning Sheet'!BW416='Weeks Plan'!$G$6),'Planning Sheet'!$B416,"")</f>
        <v/>
      </c>
      <c r="Z2881" s="48" t="str">
        <f ca="1">IF(AND('Planning Sheet'!CC416='Weeks Plan'!$D$6,'Planning Sheet'!BW416='Weeks Plan'!$G$6),'Planning Sheet'!$BX416,"")</f>
        <v/>
      </c>
      <c r="AA2881" s="48" t="str">
        <f ca="1">IF(AND('Planning Sheet'!CC416='Weeks Plan'!$D$6,'Planning Sheet'!BW416='Weeks Plan'!$G$6),'Planning Sheet'!$BY416,"")</f>
        <v/>
      </c>
    </row>
    <row r="2882" spans="25:27" x14ac:dyDescent="0.3">
      <c r="Y2882" s="48" t="str">
        <f ca="1">IF(AND('Planning Sheet'!CC417='Weeks Plan'!$D$6,'Planning Sheet'!BW417='Weeks Plan'!$G$6),'Planning Sheet'!$B417,"")</f>
        <v/>
      </c>
      <c r="Z2882" s="48" t="str">
        <f ca="1">IF(AND('Planning Sheet'!CC417='Weeks Plan'!$D$6,'Planning Sheet'!BW417='Weeks Plan'!$G$6),'Planning Sheet'!$BX417,"")</f>
        <v/>
      </c>
      <c r="AA2882" s="48" t="str">
        <f ca="1">IF(AND('Planning Sheet'!CC417='Weeks Plan'!$D$6,'Planning Sheet'!BW417='Weeks Plan'!$G$6),'Planning Sheet'!$BY417,"")</f>
        <v/>
      </c>
    </row>
    <row r="2883" spans="25:27" x14ac:dyDescent="0.3">
      <c r="Y2883" s="48" t="str">
        <f ca="1">IF(AND('Planning Sheet'!CC418='Weeks Plan'!$D$6,'Planning Sheet'!BW418='Weeks Plan'!$G$6),'Planning Sheet'!$B418,"")</f>
        <v/>
      </c>
      <c r="Z2883" s="48" t="str">
        <f ca="1">IF(AND('Planning Sheet'!CC418='Weeks Plan'!$D$6,'Planning Sheet'!BW418='Weeks Plan'!$G$6),'Planning Sheet'!$BX418,"")</f>
        <v/>
      </c>
      <c r="AA2883" s="48" t="str">
        <f ca="1">IF(AND('Planning Sheet'!CC418='Weeks Plan'!$D$6,'Planning Sheet'!BW418='Weeks Plan'!$G$6),'Planning Sheet'!$BY418,"")</f>
        <v/>
      </c>
    </row>
    <row r="2884" spans="25:27" x14ac:dyDescent="0.3">
      <c r="Y2884" s="48" t="str">
        <f ca="1">IF(AND('Planning Sheet'!CC419='Weeks Plan'!$D$6,'Planning Sheet'!BW419='Weeks Plan'!$G$6),'Planning Sheet'!$B419,"")</f>
        <v/>
      </c>
      <c r="Z2884" s="48" t="str">
        <f ca="1">IF(AND('Planning Sheet'!CC419='Weeks Plan'!$D$6,'Planning Sheet'!BW419='Weeks Plan'!$G$6),'Planning Sheet'!$BX419,"")</f>
        <v/>
      </c>
      <c r="AA2884" s="48" t="str">
        <f ca="1">IF(AND('Planning Sheet'!CC419='Weeks Plan'!$D$6,'Planning Sheet'!BW419='Weeks Plan'!$G$6),'Planning Sheet'!$BY419,"")</f>
        <v/>
      </c>
    </row>
    <row r="2885" spans="25:27" x14ac:dyDescent="0.3">
      <c r="Y2885" s="48" t="str">
        <f ca="1">IF(AND('Planning Sheet'!CC420='Weeks Plan'!$D$6,'Planning Sheet'!BW420='Weeks Plan'!$G$6),'Planning Sheet'!$B420,"")</f>
        <v/>
      </c>
      <c r="Z2885" s="48" t="str">
        <f ca="1">IF(AND('Planning Sheet'!CC420='Weeks Plan'!$D$6,'Planning Sheet'!BW420='Weeks Plan'!$G$6),'Planning Sheet'!$BX420,"")</f>
        <v/>
      </c>
      <c r="AA2885" s="48" t="str">
        <f ca="1">IF(AND('Planning Sheet'!CC420='Weeks Plan'!$D$6,'Planning Sheet'!BW420='Weeks Plan'!$G$6),'Planning Sheet'!$BY420,"")</f>
        <v/>
      </c>
    </row>
    <row r="2886" spans="25:27" x14ac:dyDescent="0.3">
      <c r="Y2886" s="48" t="str">
        <f ca="1">IF(AND('Planning Sheet'!CC421='Weeks Plan'!$D$6,'Planning Sheet'!BW421='Weeks Plan'!$G$6),'Planning Sheet'!$B421,"")</f>
        <v/>
      </c>
      <c r="Z2886" s="48" t="str">
        <f ca="1">IF(AND('Planning Sheet'!CC421='Weeks Plan'!$D$6,'Planning Sheet'!BW421='Weeks Plan'!$G$6),'Planning Sheet'!$BX421,"")</f>
        <v/>
      </c>
      <c r="AA2886" s="48" t="str">
        <f ca="1">IF(AND('Planning Sheet'!CC421='Weeks Plan'!$D$6,'Planning Sheet'!BW421='Weeks Plan'!$G$6),'Planning Sheet'!$BY421,"")</f>
        <v/>
      </c>
    </row>
    <row r="2887" spans="25:27" x14ac:dyDescent="0.3">
      <c r="Y2887" s="48" t="str">
        <f ca="1">IF(AND('Planning Sheet'!CC422='Weeks Plan'!$D$6,'Planning Sheet'!BW422='Weeks Plan'!$G$6),'Planning Sheet'!$B422,"")</f>
        <v/>
      </c>
      <c r="Z2887" s="48" t="str">
        <f ca="1">IF(AND('Planning Sheet'!CC422='Weeks Plan'!$D$6,'Planning Sheet'!BW422='Weeks Plan'!$G$6),'Planning Sheet'!$BX422,"")</f>
        <v/>
      </c>
      <c r="AA2887" s="48" t="str">
        <f ca="1">IF(AND('Planning Sheet'!CC422='Weeks Plan'!$D$6,'Planning Sheet'!BW422='Weeks Plan'!$G$6),'Planning Sheet'!$BY422,"")</f>
        <v/>
      </c>
    </row>
    <row r="2888" spans="25:27" x14ac:dyDescent="0.3">
      <c r="Y2888" s="48" t="str">
        <f ca="1">IF(AND('Planning Sheet'!CC423='Weeks Plan'!$D$6,'Planning Sheet'!BW423='Weeks Plan'!$G$6),'Planning Sheet'!$B423,"")</f>
        <v/>
      </c>
      <c r="Z2888" s="48" t="str">
        <f ca="1">IF(AND('Planning Sheet'!CC423='Weeks Plan'!$D$6,'Planning Sheet'!BW423='Weeks Plan'!$G$6),'Planning Sheet'!$BX423,"")</f>
        <v/>
      </c>
      <c r="AA2888" s="48" t="str">
        <f ca="1">IF(AND('Planning Sheet'!CC423='Weeks Plan'!$D$6,'Planning Sheet'!BW423='Weeks Plan'!$G$6),'Planning Sheet'!$BY423,"")</f>
        <v/>
      </c>
    </row>
    <row r="2889" spans="25:27" x14ac:dyDescent="0.3">
      <c r="Y2889" s="48" t="str">
        <f ca="1">IF(AND('Planning Sheet'!CC424='Weeks Plan'!$D$6,'Planning Sheet'!BW424='Weeks Plan'!$G$6),'Planning Sheet'!$B424,"")</f>
        <v/>
      </c>
      <c r="Z2889" s="48" t="str">
        <f ca="1">IF(AND('Planning Sheet'!CC424='Weeks Plan'!$D$6,'Planning Sheet'!BW424='Weeks Plan'!$G$6),'Planning Sheet'!$BX424,"")</f>
        <v/>
      </c>
      <c r="AA2889" s="48" t="str">
        <f ca="1">IF(AND('Planning Sheet'!CC424='Weeks Plan'!$D$6,'Planning Sheet'!BW424='Weeks Plan'!$G$6),'Planning Sheet'!$BY424,"")</f>
        <v/>
      </c>
    </row>
    <row r="2890" spans="25:27" x14ac:dyDescent="0.3">
      <c r="Y2890" s="48" t="str">
        <f ca="1">IF(AND('Planning Sheet'!CC425='Weeks Plan'!$D$6,'Planning Sheet'!BW425='Weeks Plan'!$G$6),'Planning Sheet'!$B425,"")</f>
        <v/>
      </c>
      <c r="Z2890" s="48" t="str">
        <f ca="1">IF(AND('Planning Sheet'!CC425='Weeks Plan'!$D$6,'Planning Sheet'!BW425='Weeks Plan'!$G$6),'Planning Sheet'!$BX425,"")</f>
        <v/>
      </c>
      <c r="AA2890" s="48" t="str">
        <f ca="1">IF(AND('Planning Sheet'!CC425='Weeks Plan'!$D$6,'Planning Sheet'!BW425='Weeks Plan'!$G$6),'Planning Sheet'!$BY425,"")</f>
        <v/>
      </c>
    </row>
    <row r="2891" spans="25:27" x14ac:dyDescent="0.3">
      <c r="Y2891" s="48" t="str">
        <f ca="1">IF(AND('Planning Sheet'!CC426='Weeks Plan'!$D$6,'Planning Sheet'!BW426='Weeks Plan'!$G$6),'Planning Sheet'!$B426,"")</f>
        <v/>
      </c>
      <c r="Z2891" s="48" t="str">
        <f ca="1">IF(AND('Planning Sheet'!CC426='Weeks Plan'!$D$6,'Planning Sheet'!BW426='Weeks Plan'!$G$6),'Planning Sheet'!$BX426,"")</f>
        <v/>
      </c>
      <c r="AA2891" s="48" t="str">
        <f ca="1">IF(AND('Planning Sheet'!CC426='Weeks Plan'!$D$6,'Planning Sheet'!BW426='Weeks Plan'!$G$6),'Planning Sheet'!$BY426,"")</f>
        <v/>
      </c>
    </row>
    <row r="2892" spans="25:27" x14ac:dyDescent="0.3">
      <c r="Y2892" s="48" t="str">
        <f ca="1">IF(AND('Planning Sheet'!CC427='Weeks Plan'!$D$6,'Planning Sheet'!BW427='Weeks Plan'!$G$6),'Planning Sheet'!$B427,"")</f>
        <v/>
      </c>
      <c r="Z2892" s="48" t="str">
        <f ca="1">IF(AND('Planning Sheet'!CC427='Weeks Plan'!$D$6,'Planning Sheet'!BW427='Weeks Plan'!$G$6),'Planning Sheet'!$BX427,"")</f>
        <v/>
      </c>
      <c r="AA2892" s="48" t="str">
        <f ca="1">IF(AND('Planning Sheet'!CC427='Weeks Plan'!$D$6,'Planning Sheet'!BW427='Weeks Plan'!$G$6),'Planning Sheet'!$BY427,"")</f>
        <v/>
      </c>
    </row>
    <row r="2893" spans="25:27" x14ac:dyDescent="0.3">
      <c r="Y2893" s="48" t="str">
        <f ca="1">IF(AND('Planning Sheet'!CC428='Weeks Plan'!$D$6,'Planning Sheet'!BW428='Weeks Plan'!$G$6),'Planning Sheet'!$B428,"")</f>
        <v/>
      </c>
      <c r="Z2893" s="48" t="str">
        <f ca="1">IF(AND('Planning Sheet'!CC428='Weeks Plan'!$D$6,'Planning Sheet'!BW428='Weeks Plan'!$G$6),'Planning Sheet'!$BX428,"")</f>
        <v/>
      </c>
      <c r="AA2893" s="48" t="str">
        <f ca="1">IF(AND('Planning Sheet'!CC428='Weeks Plan'!$D$6,'Planning Sheet'!BW428='Weeks Plan'!$G$6),'Planning Sheet'!$BY428,"")</f>
        <v/>
      </c>
    </row>
    <row r="2894" spans="25:27" x14ac:dyDescent="0.3">
      <c r="Y2894" s="48" t="str">
        <f ca="1">IF(AND('Planning Sheet'!CC429='Weeks Plan'!$D$6,'Planning Sheet'!BW429='Weeks Plan'!$G$6),'Planning Sheet'!$B429,"")</f>
        <v/>
      </c>
      <c r="Z2894" s="48" t="str">
        <f ca="1">IF(AND('Planning Sheet'!CC429='Weeks Plan'!$D$6,'Planning Sheet'!BW429='Weeks Plan'!$G$6),'Planning Sheet'!$BX429,"")</f>
        <v/>
      </c>
      <c r="AA2894" s="48" t="str">
        <f ca="1">IF(AND('Planning Sheet'!CC429='Weeks Plan'!$D$6,'Planning Sheet'!BW429='Weeks Plan'!$G$6),'Planning Sheet'!$BY429,"")</f>
        <v/>
      </c>
    </row>
    <row r="2895" spans="25:27" x14ac:dyDescent="0.3">
      <c r="Y2895" s="48" t="str">
        <f ca="1">IF(AND('Planning Sheet'!CC430='Weeks Plan'!$D$6,'Planning Sheet'!BW430='Weeks Plan'!$G$6),'Planning Sheet'!$B430,"")</f>
        <v/>
      </c>
      <c r="Z2895" s="48" t="str">
        <f ca="1">IF(AND('Planning Sheet'!CC430='Weeks Plan'!$D$6,'Planning Sheet'!BW430='Weeks Plan'!$G$6),'Planning Sheet'!$BX430,"")</f>
        <v/>
      </c>
      <c r="AA2895" s="48" t="str">
        <f ca="1">IF(AND('Planning Sheet'!CC430='Weeks Plan'!$D$6,'Planning Sheet'!BW430='Weeks Plan'!$G$6),'Planning Sheet'!$BY430,"")</f>
        <v/>
      </c>
    </row>
    <row r="2896" spans="25:27" x14ac:dyDescent="0.3">
      <c r="Y2896" s="48" t="str">
        <f ca="1">IF(AND('Planning Sheet'!CC431='Weeks Plan'!$D$6,'Planning Sheet'!BW431='Weeks Plan'!$G$6),'Planning Sheet'!$B431,"")</f>
        <v/>
      </c>
      <c r="Z2896" s="48" t="str">
        <f ca="1">IF(AND('Planning Sheet'!CC431='Weeks Plan'!$D$6,'Planning Sheet'!BW431='Weeks Plan'!$G$6),'Planning Sheet'!$BX431,"")</f>
        <v/>
      </c>
      <c r="AA2896" s="48" t="str">
        <f ca="1">IF(AND('Planning Sheet'!CC431='Weeks Plan'!$D$6,'Planning Sheet'!BW431='Weeks Plan'!$G$6),'Planning Sheet'!$BY431,"")</f>
        <v/>
      </c>
    </row>
    <row r="2897" spans="25:27" x14ac:dyDescent="0.3">
      <c r="Y2897" s="48" t="str">
        <f ca="1">IF(AND('Planning Sheet'!CC432='Weeks Plan'!$D$6,'Planning Sheet'!BW432='Weeks Plan'!$G$6),'Planning Sheet'!$B432,"")</f>
        <v/>
      </c>
      <c r="Z2897" s="48" t="str">
        <f ca="1">IF(AND('Planning Sheet'!CC432='Weeks Plan'!$D$6,'Planning Sheet'!BW432='Weeks Plan'!$G$6),'Planning Sheet'!$BX432,"")</f>
        <v/>
      </c>
      <c r="AA2897" s="48" t="str">
        <f ca="1">IF(AND('Planning Sheet'!CC432='Weeks Plan'!$D$6,'Planning Sheet'!BW432='Weeks Plan'!$G$6),'Planning Sheet'!$BY432,"")</f>
        <v/>
      </c>
    </row>
    <row r="2898" spans="25:27" x14ac:dyDescent="0.3">
      <c r="Y2898" s="48" t="str">
        <f ca="1">IF(AND('Planning Sheet'!CC433='Weeks Plan'!$D$6,'Planning Sheet'!BW433='Weeks Plan'!$G$6),'Planning Sheet'!$B433,"")</f>
        <v/>
      </c>
      <c r="Z2898" s="48" t="str">
        <f ca="1">IF(AND('Planning Sheet'!CC433='Weeks Plan'!$D$6,'Planning Sheet'!BW433='Weeks Plan'!$G$6),'Planning Sheet'!$BX433,"")</f>
        <v/>
      </c>
      <c r="AA2898" s="48" t="str">
        <f ca="1">IF(AND('Planning Sheet'!CC433='Weeks Plan'!$D$6,'Planning Sheet'!BW433='Weeks Plan'!$G$6),'Planning Sheet'!$BY433,"")</f>
        <v/>
      </c>
    </row>
    <row r="2899" spans="25:27" x14ac:dyDescent="0.3">
      <c r="Y2899" s="48" t="str">
        <f ca="1">IF(AND('Planning Sheet'!CC434='Weeks Plan'!$D$6,'Planning Sheet'!BW434='Weeks Plan'!$G$6),'Planning Sheet'!$B434,"")</f>
        <v/>
      </c>
      <c r="Z2899" s="48" t="str">
        <f ca="1">IF(AND('Planning Sheet'!CC434='Weeks Plan'!$D$6,'Planning Sheet'!BW434='Weeks Plan'!$G$6),'Planning Sheet'!$BX434,"")</f>
        <v/>
      </c>
      <c r="AA2899" s="48" t="str">
        <f ca="1">IF(AND('Planning Sheet'!CC434='Weeks Plan'!$D$6,'Planning Sheet'!BW434='Weeks Plan'!$G$6),'Planning Sheet'!$BY434,"")</f>
        <v/>
      </c>
    </row>
    <row r="2900" spans="25:27" x14ac:dyDescent="0.3">
      <c r="Y2900" s="48" t="str">
        <f ca="1">IF(AND('Planning Sheet'!CC435='Weeks Plan'!$D$6,'Planning Sheet'!BW435='Weeks Plan'!$G$6),'Planning Sheet'!$B435,"")</f>
        <v/>
      </c>
      <c r="Z2900" s="48" t="str">
        <f ca="1">IF(AND('Planning Sheet'!CC435='Weeks Plan'!$D$6,'Planning Sheet'!BW435='Weeks Plan'!$G$6),'Planning Sheet'!$BX435,"")</f>
        <v/>
      </c>
      <c r="AA2900" s="48" t="str">
        <f ca="1">IF(AND('Planning Sheet'!CC435='Weeks Plan'!$D$6,'Planning Sheet'!BW435='Weeks Plan'!$G$6),'Planning Sheet'!$BY435,"")</f>
        <v/>
      </c>
    </row>
    <row r="2901" spans="25:27" x14ac:dyDescent="0.3">
      <c r="Y2901" s="48" t="str">
        <f ca="1">IF(AND('Planning Sheet'!CC436='Weeks Plan'!$D$6,'Planning Sheet'!BW436='Weeks Plan'!$G$6),'Planning Sheet'!$B436,"")</f>
        <v/>
      </c>
      <c r="Z2901" s="48" t="str">
        <f ca="1">IF(AND('Planning Sheet'!CC436='Weeks Plan'!$D$6,'Planning Sheet'!BW436='Weeks Plan'!$G$6),'Planning Sheet'!$BX436,"")</f>
        <v/>
      </c>
      <c r="AA2901" s="48" t="str">
        <f ca="1">IF(AND('Planning Sheet'!CC436='Weeks Plan'!$D$6,'Planning Sheet'!BW436='Weeks Plan'!$G$6),'Planning Sheet'!$BY436,"")</f>
        <v/>
      </c>
    </row>
    <row r="2902" spans="25:27" x14ac:dyDescent="0.3">
      <c r="Y2902" s="48" t="str">
        <f ca="1">IF(AND('Planning Sheet'!CC437='Weeks Plan'!$D$6,'Planning Sheet'!BW437='Weeks Plan'!$G$6),'Planning Sheet'!$B437,"")</f>
        <v/>
      </c>
      <c r="Z2902" s="48" t="str">
        <f ca="1">IF(AND('Planning Sheet'!CC437='Weeks Plan'!$D$6,'Planning Sheet'!BW437='Weeks Plan'!$G$6),'Planning Sheet'!$BX437,"")</f>
        <v/>
      </c>
      <c r="AA2902" s="48" t="str">
        <f ca="1">IF(AND('Planning Sheet'!CC437='Weeks Plan'!$D$6,'Planning Sheet'!BW437='Weeks Plan'!$G$6),'Planning Sheet'!$BY437,"")</f>
        <v/>
      </c>
    </row>
    <row r="2903" spans="25:27" x14ac:dyDescent="0.3">
      <c r="Y2903" s="48" t="str">
        <f ca="1">IF(AND('Planning Sheet'!CC438='Weeks Plan'!$D$6,'Planning Sheet'!BW438='Weeks Plan'!$G$6),'Planning Sheet'!$B438,"")</f>
        <v/>
      </c>
      <c r="Z2903" s="48" t="str">
        <f ca="1">IF(AND('Planning Sheet'!CC438='Weeks Plan'!$D$6,'Planning Sheet'!BW438='Weeks Plan'!$G$6),'Planning Sheet'!$BX438,"")</f>
        <v/>
      </c>
      <c r="AA2903" s="48" t="str">
        <f ca="1">IF(AND('Planning Sheet'!CC438='Weeks Plan'!$D$6,'Planning Sheet'!BW438='Weeks Plan'!$G$6),'Planning Sheet'!$BY438,"")</f>
        <v/>
      </c>
    </row>
    <row r="2904" spans="25:27" x14ac:dyDescent="0.3">
      <c r="Y2904" s="48" t="str">
        <f ca="1">IF(AND('Planning Sheet'!CC439='Weeks Plan'!$D$6,'Planning Sheet'!BW439='Weeks Plan'!$G$6),'Planning Sheet'!$B439,"")</f>
        <v/>
      </c>
      <c r="Z2904" s="48" t="str">
        <f ca="1">IF(AND('Planning Sheet'!CC439='Weeks Plan'!$D$6,'Planning Sheet'!BW439='Weeks Plan'!$G$6),'Planning Sheet'!$BX439,"")</f>
        <v/>
      </c>
      <c r="AA2904" s="48" t="str">
        <f ca="1">IF(AND('Planning Sheet'!CC439='Weeks Plan'!$D$6,'Planning Sheet'!BW439='Weeks Plan'!$G$6),'Planning Sheet'!$BY439,"")</f>
        <v/>
      </c>
    </row>
    <row r="2905" spans="25:27" x14ac:dyDescent="0.3">
      <c r="Y2905" s="48" t="str">
        <f ca="1">IF(AND('Planning Sheet'!CC440='Weeks Plan'!$D$6,'Planning Sheet'!BW440='Weeks Plan'!$G$6),'Planning Sheet'!$B440,"")</f>
        <v/>
      </c>
      <c r="Z2905" s="48" t="str">
        <f ca="1">IF(AND('Planning Sheet'!CC440='Weeks Plan'!$D$6,'Planning Sheet'!BW440='Weeks Plan'!$G$6),'Planning Sheet'!$BX440,"")</f>
        <v/>
      </c>
      <c r="AA2905" s="48" t="str">
        <f ca="1">IF(AND('Planning Sheet'!CC440='Weeks Plan'!$D$6,'Planning Sheet'!BW440='Weeks Plan'!$G$6),'Planning Sheet'!$BY440,"")</f>
        <v/>
      </c>
    </row>
    <row r="2906" spans="25:27" x14ac:dyDescent="0.3">
      <c r="Y2906" s="48" t="str">
        <f ca="1">IF(AND('Planning Sheet'!CC441='Weeks Plan'!$D$6,'Planning Sheet'!BW441='Weeks Plan'!$G$6),'Planning Sheet'!$B441,"")</f>
        <v/>
      </c>
      <c r="Z2906" s="48" t="str">
        <f ca="1">IF(AND('Planning Sheet'!CC441='Weeks Plan'!$D$6,'Planning Sheet'!BW441='Weeks Plan'!$G$6),'Planning Sheet'!$BX441,"")</f>
        <v/>
      </c>
      <c r="AA2906" s="48" t="str">
        <f ca="1">IF(AND('Planning Sheet'!CC441='Weeks Plan'!$D$6,'Planning Sheet'!BW441='Weeks Plan'!$G$6),'Planning Sheet'!$BY441,"")</f>
        <v/>
      </c>
    </row>
    <row r="2907" spans="25:27" x14ac:dyDescent="0.3">
      <c r="Y2907" s="48" t="str">
        <f ca="1">IF(AND('Planning Sheet'!CC442='Weeks Plan'!$D$6,'Planning Sheet'!BW442='Weeks Plan'!$G$6),'Planning Sheet'!$B442,"")</f>
        <v/>
      </c>
      <c r="Z2907" s="48" t="str">
        <f ca="1">IF(AND('Planning Sheet'!CC442='Weeks Plan'!$D$6,'Planning Sheet'!BW442='Weeks Plan'!$G$6),'Planning Sheet'!$BX442,"")</f>
        <v/>
      </c>
      <c r="AA2907" s="48" t="str">
        <f ca="1">IF(AND('Planning Sheet'!CC442='Weeks Plan'!$D$6,'Planning Sheet'!BW442='Weeks Plan'!$G$6),'Planning Sheet'!$BY442,"")</f>
        <v/>
      </c>
    </row>
    <row r="2908" spans="25:27" x14ac:dyDescent="0.3">
      <c r="Y2908" s="48" t="str">
        <f ca="1">IF(AND('Planning Sheet'!CC443='Weeks Plan'!$D$6,'Planning Sheet'!BW443='Weeks Plan'!$G$6),'Planning Sheet'!$B443,"")</f>
        <v/>
      </c>
      <c r="Z2908" s="48" t="str">
        <f ca="1">IF(AND('Planning Sheet'!CC443='Weeks Plan'!$D$6,'Planning Sheet'!BW443='Weeks Plan'!$G$6),'Planning Sheet'!$BX443,"")</f>
        <v/>
      </c>
      <c r="AA2908" s="48" t="str">
        <f ca="1">IF(AND('Planning Sheet'!CC443='Weeks Plan'!$D$6,'Planning Sheet'!BW443='Weeks Plan'!$G$6),'Planning Sheet'!$BY443,"")</f>
        <v/>
      </c>
    </row>
    <row r="2909" spans="25:27" x14ac:dyDescent="0.3">
      <c r="Y2909" s="48" t="str">
        <f ca="1">IF(AND('Planning Sheet'!CC444='Weeks Plan'!$D$6,'Planning Sheet'!BW444='Weeks Plan'!$G$6),'Planning Sheet'!$B444,"")</f>
        <v/>
      </c>
      <c r="Z2909" s="48" t="str">
        <f ca="1">IF(AND('Planning Sheet'!CC444='Weeks Plan'!$D$6,'Planning Sheet'!BW444='Weeks Plan'!$G$6),'Planning Sheet'!$BX444,"")</f>
        <v/>
      </c>
      <c r="AA2909" s="48" t="str">
        <f ca="1">IF(AND('Planning Sheet'!CC444='Weeks Plan'!$D$6,'Planning Sheet'!BW444='Weeks Plan'!$G$6),'Planning Sheet'!$BY444,"")</f>
        <v/>
      </c>
    </row>
    <row r="2910" spans="25:27" x14ac:dyDescent="0.3">
      <c r="Y2910" s="48" t="str">
        <f ca="1">IF(AND('Planning Sheet'!CC445='Weeks Plan'!$D$6,'Planning Sheet'!BW445='Weeks Plan'!$G$6),'Planning Sheet'!$B445,"")</f>
        <v/>
      </c>
      <c r="Z2910" s="48" t="str">
        <f ca="1">IF(AND('Planning Sheet'!CC445='Weeks Plan'!$D$6,'Planning Sheet'!BW445='Weeks Plan'!$G$6),'Planning Sheet'!$BX445,"")</f>
        <v/>
      </c>
      <c r="AA2910" s="48" t="str">
        <f ca="1">IF(AND('Planning Sheet'!CC445='Weeks Plan'!$D$6,'Planning Sheet'!BW445='Weeks Plan'!$G$6),'Planning Sheet'!$BY445,"")</f>
        <v/>
      </c>
    </row>
    <row r="2911" spans="25:27" x14ac:dyDescent="0.3">
      <c r="Y2911" s="48" t="str">
        <f ca="1">IF(AND('Planning Sheet'!CC446='Weeks Plan'!$D$6,'Planning Sheet'!BW446='Weeks Plan'!$G$6),'Planning Sheet'!$B446,"")</f>
        <v/>
      </c>
      <c r="Z2911" s="48" t="str">
        <f ca="1">IF(AND('Planning Sheet'!CC446='Weeks Plan'!$D$6,'Planning Sheet'!BW446='Weeks Plan'!$G$6),'Planning Sheet'!$BX446,"")</f>
        <v/>
      </c>
      <c r="AA2911" s="48" t="str">
        <f ca="1">IF(AND('Planning Sheet'!CC446='Weeks Plan'!$D$6,'Planning Sheet'!BW446='Weeks Plan'!$G$6),'Planning Sheet'!$BY446,"")</f>
        <v/>
      </c>
    </row>
    <row r="2912" spans="25:27" x14ac:dyDescent="0.3">
      <c r="Y2912" s="48" t="str">
        <f ca="1">IF(AND('Planning Sheet'!CC447='Weeks Plan'!$D$6,'Planning Sheet'!BW447='Weeks Plan'!$G$6),'Planning Sheet'!$B447,"")</f>
        <v/>
      </c>
      <c r="Z2912" s="48" t="str">
        <f ca="1">IF(AND('Planning Sheet'!CC447='Weeks Plan'!$D$6,'Planning Sheet'!BW447='Weeks Plan'!$G$6),'Planning Sheet'!$BX447,"")</f>
        <v/>
      </c>
      <c r="AA2912" s="48" t="str">
        <f ca="1">IF(AND('Planning Sheet'!CC447='Weeks Plan'!$D$6,'Planning Sheet'!BW447='Weeks Plan'!$G$6),'Planning Sheet'!$BY447,"")</f>
        <v/>
      </c>
    </row>
    <row r="2913" spans="25:27" x14ac:dyDescent="0.3">
      <c r="Y2913" s="48" t="str">
        <f ca="1">IF(AND('Planning Sheet'!CC448='Weeks Plan'!$D$6,'Planning Sheet'!BW448='Weeks Plan'!$G$6),'Planning Sheet'!$B448,"")</f>
        <v/>
      </c>
      <c r="Z2913" s="48" t="str">
        <f ca="1">IF(AND('Planning Sheet'!CC448='Weeks Plan'!$D$6,'Planning Sheet'!BW448='Weeks Plan'!$G$6),'Planning Sheet'!$BX448,"")</f>
        <v/>
      </c>
      <c r="AA2913" s="48" t="str">
        <f ca="1">IF(AND('Planning Sheet'!CC448='Weeks Plan'!$D$6,'Planning Sheet'!BW448='Weeks Plan'!$G$6),'Planning Sheet'!$BY448,"")</f>
        <v/>
      </c>
    </row>
    <row r="2914" spans="25:27" x14ac:dyDescent="0.3">
      <c r="Y2914" s="48" t="str">
        <f ca="1">IF(AND('Planning Sheet'!CC449='Weeks Plan'!$D$6,'Planning Sheet'!BW449='Weeks Plan'!$G$6),'Planning Sheet'!$B449,"")</f>
        <v/>
      </c>
      <c r="Z2914" s="48" t="str">
        <f ca="1">IF(AND('Planning Sheet'!CC449='Weeks Plan'!$D$6,'Planning Sheet'!BW449='Weeks Plan'!$G$6),'Planning Sheet'!$BX449,"")</f>
        <v/>
      </c>
      <c r="AA2914" s="48" t="str">
        <f ca="1">IF(AND('Planning Sheet'!CC449='Weeks Plan'!$D$6,'Planning Sheet'!BW449='Weeks Plan'!$G$6),'Planning Sheet'!$BY449,"")</f>
        <v/>
      </c>
    </row>
    <row r="2915" spans="25:27" x14ac:dyDescent="0.3">
      <c r="Y2915" s="48" t="str">
        <f ca="1">IF(AND('Planning Sheet'!CC450='Weeks Plan'!$D$6,'Planning Sheet'!BW450='Weeks Plan'!$G$6),'Planning Sheet'!$B450,"")</f>
        <v/>
      </c>
      <c r="Z2915" s="48" t="str">
        <f ca="1">IF(AND('Planning Sheet'!CC450='Weeks Plan'!$D$6,'Planning Sheet'!BW450='Weeks Plan'!$G$6),'Planning Sheet'!$BX450,"")</f>
        <v/>
      </c>
      <c r="AA2915" s="48" t="str">
        <f ca="1">IF(AND('Planning Sheet'!CC450='Weeks Plan'!$D$6,'Planning Sheet'!BW450='Weeks Plan'!$G$6),'Planning Sheet'!$BY450,"")</f>
        <v/>
      </c>
    </row>
    <row r="2916" spans="25:27" x14ac:dyDescent="0.3">
      <c r="Y2916" s="48" t="str">
        <f ca="1">IF(AND('Planning Sheet'!CC451='Weeks Plan'!$D$6,'Planning Sheet'!BW451='Weeks Plan'!$G$6),'Planning Sheet'!$B451,"")</f>
        <v/>
      </c>
      <c r="Z2916" s="48" t="str">
        <f ca="1">IF(AND('Planning Sheet'!CC451='Weeks Plan'!$D$6,'Planning Sheet'!BW451='Weeks Plan'!$G$6),'Planning Sheet'!$BX451,"")</f>
        <v/>
      </c>
      <c r="AA2916" s="48" t="str">
        <f ca="1">IF(AND('Planning Sheet'!CC451='Weeks Plan'!$D$6,'Planning Sheet'!BW451='Weeks Plan'!$G$6),'Planning Sheet'!$BY451,"")</f>
        <v/>
      </c>
    </row>
    <row r="2917" spans="25:27" x14ac:dyDescent="0.3">
      <c r="Y2917" s="48" t="str">
        <f ca="1">IF(AND('Planning Sheet'!CC452='Weeks Plan'!$D$6,'Planning Sheet'!BW452='Weeks Plan'!$G$6),'Planning Sheet'!$B452,"")</f>
        <v/>
      </c>
      <c r="Z2917" s="48" t="str">
        <f ca="1">IF(AND('Planning Sheet'!CC452='Weeks Plan'!$D$6,'Planning Sheet'!BW452='Weeks Plan'!$G$6),'Planning Sheet'!$BX452,"")</f>
        <v/>
      </c>
      <c r="AA2917" s="48" t="str">
        <f ca="1">IF(AND('Planning Sheet'!CC452='Weeks Plan'!$D$6,'Planning Sheet'!BW452='Weeks Plan'!$G$6),'Planning Sheet'!$BY452,"")</f>
        <v/>
      </c>
    </row>
    <row r="2918" spans="25:27" x14ac:dyDescent="0.3">
      <c r="Y2918" s="48" t="str">
        <f ca="1">IF(AND('Planning Sheet'!CC453='Weeks Plan'!$D$6,'Planning Sheet'!BW453='Weeks Plan'!$G$6),'Planning Sheet'!$B453,"")</f>
        <v/>
      </c>
      <c r="Z2918" s="48" t="str">
        <f ca="1">IF(AND('Planning Sheet'!CC453='Weeks Plan'!$D$6,'Planning Sheet'!BW453='Weeks Plan'!$G$6),'Planning Sheet'!$BX453,"")</f>
        <v/>
      </c>
      <c r="AA2918" s="48" t="str">
        <f ca="1">IF(AND('Planning Sheet'!CC453='Weeks Plan'!$D$6,'Planning Sheet'!BW453='Weeks Plan'!$G$6),'Planning Sheet'!$BY453,"")</f>
        <v/>
      </c>
    </row>
    <row r="2919" spans="25:27" x14ac:dyDescent="0.3">
      <c r="Y2919" s="48" t="str">
        <f ca="1">IF(AND('Planning Sheet'!CC454='Weeks Plan'!$D$6,'Planning Sheet'!BW454='Weeks Plan'!$G$6),'Planning Sheet'!$B454,"")</f>
        <v/>
      </c>
      <c r="Z2919" s="48" t="str">
        <f ca="1">IF(AND('Planning Sheet'!CC454='Weeks Plan'!$D$6,'Planning Sheet'!BW454='Weeks Plan'!$G$6),'Planning Sheet'!$BX454,"")</f>
        <v/>
      </c>
      <c r="AA2919" s="48" t="str">
        <f ca="1">IF(AND('Planning Sheet'!CC454='Weeks Plan'!$D$6,'Planning Sheet'!BW454='Weeks Plan'!$G$6),'Planning Sheet'!$BY454,"")</f>
        <v/>
      </c>
    </row>
    <row r="2920" spans="25:27" x14ac:dyDescent="0.3">
      <c r="Y2920" s="48" t="str">
        <f ca="1">IF(AND('Planning Sheet'!CC455='Weeks Plan'!$D$6,'Planning Sheet'!BW455='Weeks Plan'!$G$6),'Planning Sheet'!$B455,"")</f>
        <v/>
      </c>
      <c r="Z2920" s="48" t="str">
        <f ca="1">IF(AND('Planning Sheet'!CC455='Weeks Plan'!$D$6,'Planning Sheet'!BW455='Weeks Plan'!$G$6),'Planning Sheet'!$BX455,"")</f>
        <v/>
      </c>
      <c r="AA2920" s="48" t="str">
        <f ca="1">IF(AND('Planning Sheet'!CC455='Weeks Plan'!$D$6,'Planning Sheet'!BW455='Weeks Plan'!$G$6),'Planning Sheet'!$BY455,"")</f>
        <v/>
      </c>
    </row>
    <row r="2921" spans="25:27" x14ac:dyDescent="0.3">
      <c r="Y2921" s="48" t="str">
        <f ca="1">IF(AND('Planning Sheet'!CC456='Weeks Plan'!$D$6,'Planning Sheet'!BW456='Weeks Plan'!$G$6),'Planning Sheet'!$B456,"")</f>
        <v/>
      </c>
      <c r="Z2921" s="48" t="str">
        <f ca="1">IF(AND('Planning Sheet'!CC456='Weeks Plan'!$D$6,'Planning Sheet'!BW456='Weeks Plan'!$G$6),'Planning Sheet'!$BX456,"")</f>
        <v/>
      </c>
      <c r="AA2921" s="48" t="str">
        <f ca="1">IF(AND('Planning Sheet'!CC456='Weeks Plan'!$D$6,'Planning Sheet'!BW456='Weeks Plan'!$G$6),'Planning Sheet'!$BY456,"")</f>
        <v/>
      </c>
    </row>
    <row r="2922" spans="25:27" x14ac:dyDescent="0.3">
      <c r="Y2922" s="48" t="str">
        <f ca="1">IF(AND('Planning Sheet'!CC457='Weeks Plan'!$D$6,'Planning Sheet'!BW457='Weeks Plan'!$G$6),'Planning Sheet'!$B457,"")</f>
        <v/>
      </c>
      <c r="Z2922" s="48" t="str">
        <f ca="1">IF(AND('Planning Sheet'!CC457='Weeks Plan'!$D$6,'Planning Sheet'!BW457='Weeks Plan'!$G$6),'Planning Sheet'!$BX457,"")</f>
        <v/>
      </c>
      <c r="AA2922" s="48" t="str">
        <f ca="1">IF(AND('Planning Sheet'!CC457='Weeks Plan'!$D$6,'Planning Sheet'!BW457='Weeks Plan'!$G$6),'Planning Sheet'!$BY457,"")</f>
        <v/>
      </c>
    </row>
    <row r="2923" spans="25:27" x14ac:dyDescent="0.3">
      <c r="Y2923" s="48" t="str">
        <f ca="1">IF(AND('Planning Sheet'!CC458='Weeks Plan'!$D$6,'Planning Sheet'!BW458='Weeks Plan'!$G$6),'Planning Sheet'!$B458,"")</f>
        <v/>
      </c>
      <c r="Z2923" s="48" t="str">
        <f ca="1">IF(AND('Planning Sheet'!CC458='Weeks Plan'!$D$6,'Planning Sheet'!BW458='Weeks Plan'!$G$6),'Planning Sheet'!$BX458,"")</f>
        <v/>
      </c>
      <c r="AA2923" s="48" t="str">
        <f ca="1">IF(AND('Planning Sheet'!CC458='Weeks Plan'!$D$6,'Planning Sheet'!BW458='Weeks Plan'!$G$6),'Planning Sheet'!$BY458,"")</f>
        <v/>
      </c>
    </row>
    <row r="2924" spans="25:27" x14ac:dyDescent="0.3">
      <c r="Y2924" s="48" t="str">
        <f ca="1">IF(AND('Planning Sheet'!CC459='Weeks Plan'!$D$6,'Planning Sheet'!BW459='Weeks Plan'!$G$6),'Planning Sheet'!$B459,"")</f>
        <v/>
      </c>
      <c r="Z2924" s="48" t="str">
        <f ca="1">IF(AND('Planning Sheet'!CC459='Weeks Plan'!$D$6,'Planning Sheet'!BW459='Weeks Plan'!$G$6),'Planning Sheet'!$BX459,"")</f>
        <v/>
      </c>
      <c r="AA2924" s="48" t="str">
        <f ca="1">IF(AND('Planning Sheet'!CC459='Weeks Plan'!$D$6,'Planning Sheet'!BW459='Weeks Plan'!$G$6),'Planning Sheet'!$BY459,"")</f>
        <v/>
      </c>
    </row>
    <row r="2925" spans="25:27" x14ac:dyDescent="0.3">
      <c r="Y2925" s="48" t="str">
        <f ca="1">IF(AND('Planning Sheet'!CC460='Weeks Plan'!$D$6,'Planning Sheet'!BW460='Weeks Plan'!$G$6),'Planning Sheet'!$B460,"")</f>
        <v/>
      </c>
      <c r="Z2925" s="48" t="str">
        <f ca="1">IF(AND('Planning Sheet'!CC460='Weeks Plan'!$D$6,'Planning Sheet'!BW460='Weeks Plan'!$G$6),'Planning Sheet'!$BX460,"")</f>
        <v/>
      </c>
      <c r="AA2925" s="48" t="str">
        <f ca="1">IF(AND('Planning Sheet'!CC460='Weeks Plan'!$D$6,'Planning Sheet'!BW460='Weeks Plan'!$G$6),'Planning Sheet'!$BY460,"")</f>
        <v/>
      </c>
    </row>
    <row r="2926" spans="25:27" x14ac:dyDescent="0.3">
      <c r="Y2926" s="48" t="str">
        <f ca="1">IF(AND('Planning Sheet'!CC461='Weeks Plan'!$D$6,'Planning Sheet'!BW461='Weeks Plan'!$G$6),'Planning Sheet'!$B461,"")</f>
        <v/>
      </c>
      <c r="Z2926" s="48" t="str">
        <f ca="1">IF(AND('Planning Sheet'!CC461='Weeks Plan'!$D$6,'Planning Sheet'!BW461='Weeks Plan'!$G$6),'Planning Sheet'!$BX461,"")</f>
        <v/>
      </c>
      <c r="AA2926" s="48" t="str">
        <f ca="1">IF(AND('Planning Sheet'!CC461='Weeks Plan'!$D$6,'Planning Sheet'!BW461='Weeks Plan'!$G$6),'Planning Sheet'!$BY461,"")</f>
        <v/>
      </c>
    </row>
    <row r="2927" spans="25:27" x14ac:dyDescent="0.3">
      <c r="Y2927" s="48" t="str">
        <f ca="1">IF(AND('Planning Sheet'!CC462='Weeks Plan'!$D$6,'Planning Sheet'!BW462='Weeks Plan'!$G$6),'Planning Sheet'!$B462,"")</f>
        <v/>
      </c>
      <c r="Z2927" s="48" t="str">
        <f ca="1">IF(AND('Planning Sheet'!CC462='Weeks Plan'!$D$6,'Planning Sheet'!BW462='Weeks Plan'!$G$6),'Planning Sheet'!$BX462,"")</f>
        <v/>
      </c>
      <c r="AA2927" s="48" t="str">
        <f ca="1">IF(AND('Planning Sheet'!CC462='Weeks Plan'!$D$6,'Planning Sheet'!BW462='Weeks Plan'!$G$6),'Planning Sheet'!$BY462,"")</f>
        <v/>
      </c>
    </row>
    <row r="2928" spans="25:27" x14ac:dyDescent="0.3">
      <c r="Y2928" s="48" t="str">
        <f ca="1">IF(AND('Planning Sheet'!CC463='Weeks Plan'!$D$6,'Planning Sheet'!BW463='Weeks Plan'!$G$6),'Planning Sheet'!$B463,"")</f>
        <v/>
      </c>
      <c r="Z2928" s="48" t="str">
        <f ca="1">IF(AND('Planning Sheet'!CC463='Weeks Plan'!$D$6,'Planning Sheet'!BW463='Weeks Plan'!$G$6),'Planning Sheet'!$BX463,"")</f>
        <v/>
      </c>
      <c r="AA2928" s="48" t="str">
        <f ca="1">IF(AND('Planning Sheet'!CC463='Weeks Plan'!$D$6,'Planning Sheet'!BW463='Weeks Plan'!$G$6),'Planning Sheet'!$BY463,"")</f>
        <v/>
      </c>
    </row>
    <row r="2929" spans="25:27" x14ac:dyDescent="0.3">
      <c r="Y2929" s="48" t="str">
        <f ca="1">IF(AND('Planning Sheet'!CC464='Weeks Plan'!$D$6,'Planning Sheet'!BW464='Weeks Plan'!$G$6),'Planning Sheet'!$B464,"")</f>
        <v/>
      </c>
      <c r="Z2929" s="48" t="str">
        <f ca="1">IF(AND('Planning Sheet'!CC464='Weeks Plan'!$D$6,'Planning Sheet'!BW464='Weeks Plan'!$G$6),'Planning Sheet'!$BX464,"")</f>
        <v/>
      </c>
      <c r="AA2929" s="48" t="str">
        <f ca="1">IF(AND('Planning Sheet'!CC464='Weeks Plan'!$D$6,'Planning Sheet'!BW464='Weeks Plan'!$G$6),'Planning Sheet'!$BY464,"")</f>
        <v/>
      </c>
    </row>
    <row r="2930" spans="25:27" x14ac:dyDescent="0.3">
      <c r="Y2930" s="48" t="str">
        <f ca="1">IF(AND('Planning Sheet'!CC465='Weeks Plan'!$D$6,'Planning Sheet'!BW465='Weeks Plan'!$G$6),'Planning Sheet'!$B465,"")</f>
        <v/>
      </c>
      <c r="Z2930" s="48" t="str">
        <f ca="1">IF(AND('Planning Sheet'!CC465='Weeks Plan'!$D$6,'Planning Sheet'!BW465='Weeks Plan'!$G$6),'Planning Sheet'!$BX465,"")</f>
        <v/>
      </c>
      <c r="AA2930" s="48" t="str">
        <f ca="1">IF(AND('Planning Sheet'!CC465='Weeks Plan'!$D$6,'Planning Sheet'!BW465='Weeks Plan'!$G$6),'Planning Sheet'!$BY465,"")</f>
        <v/>
      </c>
    </row>
    <row r="2931" spans="25:27" x14ac:dyDescent="0.3">
      <c r="Y2931" s="48" t="str">
        <f ca="1">IF(AND('Planning Sheet'!CC466='Weeks Plan'!$D$6,'Planning Sheet'!BW466='Weeks Plan'!$G$6),'Planning Sheet'!$B466,"")</f>
        <v/>
      </c>
      <c r="Z2931" s="48" t="str">
        <f ca="1">IF(AND('Planning Sheet'!CC466='Weeks Plan'!$D$6,'Planning Sheet'!BW466='Weeks Plan'!$G$6),'Planning Sheet'!$BX466,"")</f>
        <v/>
      </c>
      <c r="AA2931" s="48" t="str">
        <f ca="1">IF(AND('Planning Sheet'!CC466='Weeks Plan'!$D$6,'Planning Sheet'!BW466='Weeks Plan'!$G$6),'Planning Sheet'!$BY466,"")</f>
        <v/>
      </c>
    </row>
    <row r="2932" spans="25:27" x14ac:dyDescent="0.3">
      <c r="Y2932" s="48" t="str">
        <f ca="1">IF(AND('Planning Sheet'!CC467='Weeks Plan'!$D$6,'Planning Sheet'!BW467='Weeks Plan'!$G$6),'Planning Sheet'!$B467,"")</f>
        <v/>
      </c>
      <c r="Z2932" s="48" t="str">
        <f ca="1">IF(AND('Planning Sheet'!CC467='Weeks Plan'!$D$6,'Planning Sheet'!BW467='Weeks Plan'!$G$6),'Planning Sheet'!$BX467,"")</f>
        <v/>
      </c>
      <c r="AA2932" s="48" t="str">
        <f ca="1">IF(AND('Planning Sheet'!CC467='Weeks Plan'!$D$6,'Planning Sheet'!BW467='Weeks Plan'!$G$6),'Planning Sheet'!$BY467,"")</f>
        <v/>
      </c>
    </row>
    <row r="2933" spans="25:27" x14ac:dyDescent="0.3">
      <c r="Y2933" s="48" t="str">
        <f ca="1">IF(AND('Planning Sheet'!CC468='Weeks Plan'!$D$6,'Planning Sheet'!BW468='Weeks Plan'!$G$6),'Planning Sheet'!$B468,"")</f>
        <v/>
      </c>
      <c r="Z2933" s="48" t="str">
        <f ca="1">IF(AND('Planning Sheet'!CC468='Weeks Plan'!$D$6,'Planning Sheet'!BW468='Weeks Plan'!$G$6),'Planning Sheet'!$BX468,"")</f>
        <v/>
      </c>
      <c r="AA2933" s="48" t="str">
        <f ca="1">IF(AND('Planning Sheet'!CC468='Weeks Plan'!$D$6,'Planning Sheet'!BW468='Weeks Plan'!$G$6),'Planning Sheet'!$BY468,"")</f>
        <v/>
      </c>
    </row>
    <row r="2934" spans="25:27" x14ac:dyDescent="0.3">
      <c r="Y2934" s="48" t="str">
        <f ca="1">IF(AND('Planning Sheet'!CC469='Weeks Plan'!$D$6,'Planning Sheet'!BW469='Weeks Plan'!$G$6),'Planning Sheet'!$B469,"")</f>
        <v/>
      </c>
      <c r="Z2934" s="48" t="str">
        <f ca="1">IF(AND('Planning Sheet'!CC469='Weeks Plan'!$D$6,'Planning Sheet'!BW469='Weeks Plan'!$G$6),'Planning Sheet'!$BX469,"")</f>
        <v/>
      </c>
      <c r="AA2934" s="48" t="str">
        <f ca="1">IF(AND('Planning Sheet'!CC469='Weeks Plan'!$D$6,'Planning Sheet'!BW469='Weeks Plan'!$G$6),'Planning Sheet'!$BY469,"")</f>
        <v/>
      </c>
    </row>
    <row r="2935" spans="25:27" x14ac:dyDescent="0.3">
      <c r="Y2935" s="48" t="str">
        <f ca="1">IF(AND('Planning Sheet'!CC470='Weeks Plan'!$D$6,'Planning Sheet'!BW470='Weeks Plan'!$G$6),'Planning Sheet'!$B470,"")</f>
        <v/>
      </c>
      <c r="Z2935" s="48" t="str">
        <f ca="1">IF(AND('Planning Sheet'!CC470='Weeks Plan'!$D$6,'Planning Sheet'!BW470='Weeks Plan'!$G$6),'Planning Sheet'!$BX470,"")</f>
        <v/>
      </c>
      <c r="AA2935" s="48" t="str">
        <f ca="1">IF(AND('Planning Sheet'!CC470='Weeks Plan'!$D$6,'Planning Sheet'!BW470='Weeks Plan'!$G$6),'Planning Sheet'!$BY470,"")</f>
        <v/>
      </c>
    </row>
    <row r="2936" spans="25:27" x14ac:dyDescent="0.3">
      <c r="Y2936" s="48" t="str">
        <f ca="1">IF(AND('Planning Sheet'!CC471='Weeks Plan'!$D$6,'Planning Sheet'!BW471='Weeks Plan'!$G$6),'Planning Sheet'!$B471,"")</f>
        <v/>
      </c>
      <c r="Z2936" s="48" t="str">
        <f ca="1">IF(AND('Planning Sheet'!CC471='Weeks Plan'!$D$6,'Planning Sheet'!BW471='Weeks Plan'!$G$6),'Planning Sheet'!$BX471,"")</f>
        <v/>
      </c>
      <c r="AA2936" s="48" t="str">
        <f ca="1">IF(AND('Planning Sheet'!CC471='Weeks Plan'!$D$6,'Planning Sheet'!BW471='Weeks Plan'!$G$6),'Planning Sheet'!$BY471,"")</f>
        <v/>
      </c>
    </row>
    <row r="2937" spans="25:27" x14ac:dyDescent="0.3">
      <c r="Y2937" s="48" t="str">
        <f ca="1">IF(AND('Planning Sheet'!CC472='Weeks Plan'!$D$6,'Planning Sheet'!BW472='Weeks Plan'!$G$6),'Planning Sheet'!$B472,"")</f>
        <v/>
      </c>
      <c r="Z2937" s="48" t="str">
        <f ca="1">IF(AND('Planning Sheet'!CC472='Weeks Plan'!$D$6,'Planning Sheet'!BW472='Weeks Plan'!$G$6),'Planning Sheet'!$BX472,"")</f>
        <v/>
      </c>
      <c r="AA2937" s="48" t="str">
        <f ca="1">IF(AND('Planning Sheet'!CC472='Weeks Plan'!$D$6,'Planning Sheet'!BW472='Weeks Plan'!$G$6),'Planning Sheet'!$BY472,"")</f>
        <v/>
      </c>
    </row>
    <row r="2938" spans="25:27" x14ac:dyDescent="0.3">
      <c r="Y2938" s="48" t="str">
        <f ca="1">IF(AND('Planning Sheet'!CC473='Weeks Plan'!$D$6,'Planning Sheet'!BW473='Weeks Plan'!$G$6),'Planning Sheet'!$B473,"")</f>
        <v/>
      </c>
      <c r="Z2938" s="48" t="str">
        <f ca="1">IF(AND('Planning Sheet'!CC473='Weeks Plan'!$D$6,'Planning Sheet'!BW473='Weeks Plan'!$G$6),'Planning Sheet'!$BX473,"")</f>
        <v/>
      </c>
      <c r="AA2938" s="48" t="str">
        <f ca="1">IF(AND('Planning Sheet'!CC473='Weeks Plan'!$D$6,'Planning Sheet'!BW473='Weeks Plan'!$G$6),'Planning Sheet'!$BY473,"")</f>
        <v/>
      </c>
    </row>
    <row r="2939" spans="25:27" x14ac:dyDescent="0.3">
      <c r="Y2939" s="48" t="str">
        <f ca="1">IF(AND('Planning Sheet'!CC474='Weeks Plan'!$D$6,'Planning Sheet'!BW474='Weeks Plan'!$G$6),'Planning Sheet'!$B474,"")</f>
        <v/>
      </c>
      <c r="Z2939" s="48" t="str">
        <f ca="1">IF(AND('Planning Sheet'!CC474='Weeks Plan'!$D$6,'Planning Sheet'!BW474='Weeks Plan'!$G$6),'Planning Sheet'!$BX474,"")</f>
        <v/>
      </c>
      <c r="AA2939" s="48" t="str">
        <f ca="1">IF(AND('Planning Sheet'!CC474='Weeks Plan'!$D$6,'Planning Sheet'!BW474='Weeks Plan'!$G$6),'Planning Sheet'!$BY474,"")</f>
        <v/>
      </c>
    </row>
    <row r="2940" spans="25:27" x14ac:dyDescent="0.3">
      <c r="Y2940" s="48" t="str">
        <f ca="1">IF(AND('Planning Sheet'!CC475='Weeks Plan'!$D$6,'Planning Sheet'!BW475='Weeks Plan'!$G$6),'Planning Sheet'!$B475,"")</f>
        <v/>
      </c>
      <c r="Z2940" s="48" t="str">
        <f ca="1">IF(AND('Planning Sheet'!CC475='Weeks Plan'!$D$6,'Planning Sheet'!BW475='Weeks Plan'!$G$6),'Planning Sheet'!$BX475,"")</f>
        <v/>
      </c>
      <c r="AA2940" s="48" t="str">
        <f ca="1">IF(AND('Planning Sheet'!CC475='Weeks Plan'!$D$6,'Planning Sheet'!BW475='Weeks Plan'!$G$6),'Planning Sheet'!$BY475,"")</f>
        <v/>
      </c>
    </row>
    <row r="2941" spans="25:27" x14ac:dyDescent="0.3">
      <c r="Y2941" s="48" t="str">
        <f ca="1">IF(AND('Planning Sheet'!CC476='Weeks Plan'!$D$6,'Planning Sheet'!BW476='Weeks Plan'!$G$6),'Planning Sheet'!$B476,"")</f>
        <v/>
      </c>
      <c r="Z2941" s="48" t="str">
        <f ca="1">IF(AND('Planning Sheet'!CC476='Weeks Plan'!$D$6,'Planning Sheet'!BW476='Weeks Plan'!$G$6),'Planning Sheet'!$BX476,"")</f>
        <v/>
      </c>
      <c r="AA2941" s="48" t="str">
        <f ca="1">IF(AND('Planning Sheet'!CC476='Weeks Plan'!$D$6,'Planning Sheet'!BW476='Weeks Plan'!$G$6),'Planning Sheet'!$BY476,"")</f>
        <v/>
      </c>
    </row>
    <row r="2942" spans="25:27" x14ac:dyDescent="0.3">
      <c r="Y2942" s="48" t="str">
        <f ca="1">IF(AND('Planning Sheet'!CC477='Weeks Plan'!$D$6,'Planning Sheet'!BW477='Weeks Plan'!$G$6),'Planning Sheet'!$B477,"")</f>
        <v/>
      </c>
      <c r="Z2942" s="48" t="str">
        <f ca="1">IF(AND('Planning Sheet'!CC477='Weeks Plan'!$D$6,'Planning Sheet'!BW477='Weeks Plan'!$G$6),'Planning Sheet'!$BX477,"")</f>
        <v/>
      </c>
      <c r="AA2942" s="48" t="str">
        <f ca="1">IF(AND('Planning Sheet'!CC477='Weeks Plan'!$D$6,'Planning Sheet'!BW477='Weeks Plan'!$G$6),'Planning Sheet'!$BY477,"")</f>
        <v/>
      </c>
    </row>
    <row r="2943" spans="25:27" x14ac:dyDescent="0.3">
      <c r="Y2943" s="48" t="str">
        <f ca="1">IF(AND('Planning Sheet'!CC478='Weeks Plan'!$D$6,'Planning Sheet'!BW478='Weeks Plan'!$G$6),'Planning Sheet'!$B478,"")</f>
        <v/>
      </c>
      <c r="Z2943" s="48" t="str">
        <f ca="1">IF(AND('Planning Sheet'!CC478='Weeks Plan'!$D$6,'Planning Sheet'!BW478='Weeks Plan'!$G$6),'Planning Sheet'!$BX478,"")</f>
        <v/>
      </c>
      <c r="AA2943" s="48" t="str">
        <f ca="1">IF(AND('Planning Sheet'!CC478='Weeks Plan'!$D$6,'Planning Sheet'!BW478='Weeks Plan'!$G$6),'Planning Sheet'!$BY478,"")</f>
        <v/>
      </c>
    </row>
    <row r="2944" spans="25:27" x14ac:dyDescent="0.3">
      <c r="Y2944" s="48" t="str">
        <f ca="1">IF(AND('Planning Sheet'!CC479='Weeks Plan'!$D$6,'Planning Sheet'!BW479='Weeks Plan'!$G$6),'Planning Sheet'!$B479,"")</f>
        <v/>
      </c>
      <c r="Z2944" s="48" t="str">
        <f ca="1">IF(AND('Planning Sheet'!CC479='Weeks Plan'!$D$6,'Planning Sheet'!BW479='Weeks Plan'!$G$6),'Planning Sheet'!$BX479,"")</f>
        <v/>
      </c>
      <c r="AA2944" s="48" t="str">
        <f ca="1">IF(AND('Planning Sheet'!CC479='Weeks Plan'!$D$6,'Planning Sheet'!BW479='Weeks Plan'!$G$6),'Planning Sheet'!$BY479,"")</f>
        <v/>
      </c>
    </row>
    <row r="2945" spans="25:27" x14ac:dyDescent="0.3">
      <c r="Y2945" s="48" t="str">
        <f ca="1">IF(AND('Planning Sheet'!CC480='Weeks Plan'!$D$6,'Planning Sheet'!BW480='Weeks Plan'!$G$6),'Planning Sheet'!$B480,"")</f>
        <v/>
      </c>
      <c r="Z2945" s="48" t="str">
        <f ca="1">IF(AND('Planning Sheet'!CC480='Weeks Plan'!$D$6,'Planning Sheet'!BW480='Weeks Plan'!$G$6),'Planning Sheet'!$BX480,"")</f>
        <v/>
      </c>
      <c r="AA2945" s="48" t="str">
        <f ca="1">IF(AND('Planning Sheet'!CC480='Weeks Plan'!$D$6,'Planning Sheet'!BW480='Weeks Plan'!$G$6),'Planning Sheet'!$BY480,"")</f>
        <v/>
      </c>
    </row>
    <row r="2946" spans="25:27" x14ac:dyDescent="0.3">
      <c r="Y2946" s="48" t="str">
        <f ca="1">IF(AND('Planning Sheet'!CC481='Weeks Plan'!$D$6,'Planning Sheet'!BW481='Weeks Plan'!$G$6),'Planning Sheet'!$B481,"")</f>
        <v/>
      </c>
      <c r="Z2946" s="48" t="str">
        <f ca="1">IF(AND('Planning Sheet'!CC481='Weeks Plan'!$D$6,'Planning Sheet'!BW481='Weeks Plan'!$G$6),'Planning Sheet'!$BX481,"")</f>
        <v/>
      </c>
      <c r="AA2946" s="48" t="str">
        <f ca="1">IF(AND('Planning Sheet'!CC481='Weeks Plan'!$D$6,'Planning Sheet'!BW481='Weeks Plan'!$G$6),'Planning Sheet'!$BY481,"")</f>
        <v/>
      </c>
    </row>
    <row r="2947" spans="25:27" x14ac:dyDescent="0.3">
      <c r="Y2947" s="48" t="str">
        <f ca="1">IF(AND('Planning Sheet'!CC482='Weeks Plan'!$D$6,'Planning Sheet'!BW482='Weeks Plan'!$G$6),'Planning Sheet'!$B482,"")</f>
        <v/>
      </c>
      <c r="Z2947" s="48" t="str">
        <f ca="1">IF(AND('Planning Sheet'!CC482='Weeks Plan'!$D$6,'Planning Sheet'!BW482='Weeks Plan'!$G$6),'Planning Sheet'!$BX482,"")</f>
        <v/>
      </c>
      <c r="AA2947" s="48" t="str">
        <f ca="1">IF(AND('Planning Sheet'!CC482='Weeks Plan'!$D$6,'Planning Sheet'!BW482='Weeks Plan'!$G$6),'Planning Sheet'!$BY482,"")</f>
        <v/>
      </c>
    </row>
    <row r="2948" spans="25:27" x14ac:dyDescent="0.3">
      <c r="Y2948" s="48" t="str">
        <f ca="1">IF(AND('Planning Sheet'!CC483='Weeks Plan'!$D$6,'Planning Sheet'!BW483='Weeks Plan'!$G$6),'Planning Sheet'!$B483,"")</f>
        <v/>
      </c>
      <c r="Z2948" s="48" t="str">
        <f ca="1">IF(AND('Planning Sheet'!CC483='Weeks Plan'!$D$6,'Planning Sheet'!BW483='Weeks Plan'!$G$6),'Planning Sheet'!$BX483,"")</f>
        <v/>
      </c>
      <c r="AA2948" s="48" t="str">
        <f ca="1">IF(AND('Planning Sheet'!CC483='Weeks Plan'!$D$6,'Planning Sheet'!BW483='Weeks Plan'!$G$6),'Planning Sheet'!$BY483,"")</f>
        <v/>
      </c>
    </row>
    <row r="2949" spans="25:27" x14ac:dyDescent="0.3">
      <c r="Y2949" s="48" t="str">
        <f ca="1">IF(AND('Planning Sheet'!CC484='Weeks Plan'!$D$6,'Planning Sheet'!BW484='Weeks Plan'!$G$6),'Planning Sheet'!$B484,"")</f>
        <v/>
      </c>
      <c r="Z2949" s="48" t="str">
        <f ca="1">IF(AND('Planning Sheet'!CC484='Weeks Plan'!$D$6,'Planning Sheet'!BW484='Weeks Plan'!$G$6),'Planning Sheet'!$BX484,"")</f>
        <v/>
      </c>
      <c r="AA2949" s="48" t="str">
        <f ca="1">IF(AND('Planning Sheet'!CC484='Weeks Plan'!$D$6,'Planning Sheet'!BW484='Weeks Plan'!$G$6),'Planning Sheet'!$BY484,"")</f>
        <v/>
      </c>
    </row>
    <row r="2950" spans="25:27" x14ac:dyDescent="0.3">
      <c r="Y2950" s="48" t="str">
        <f ca="1">IF(AND('Planning Sheet'!CC485='Weeks Plan'!$D$6,'Planning Sheet'!BW485='Weeks Plan'!$G$6),'Planning Sheet'!$B485,"")</f>
        <v/>
      </c>
      <c r="Z2950" s="48" t="str">
        <f ca="1">IF(AND('Planning Sheet'!CC485='Weeks Plan'!$D$6,'Planning Sheet'!BW485='Weeks Plan'!$G$6),'Planning Sheet'!$BX485,"")</f>
        <v/>
      </c>
      <c r="AA2950" s="48" t="str">
        <f ca="1">IF(AND('Planning Sheet'!CC485='Weeks Plan'!$D$6,'Planning Sheet'!BW485='Weeks Plan'!$G$6),'Planning Sheet'!$BY485,"")</f>
        <v/>
      </c>
    </row>
    <row r="2951" spans="25:27" x14ac:dyDescent="0.3">
      <c r="Y2951" s="48" t="str">
        <f ca="1">IF(AND('Planning Sheet'!CC486='Weeks Plan'!$D$6,'Planning Sheet'!BW486='Weeks Plan'!$G$6),'Planning Sheet'!$B486,"")</f>
        <v/>
      </c>
      <c r="Z2951" s="48" t="str">
        <f ca="1">IF(AND('Planning Sheet'!CC486='Weeks Plan'!$D$6,'Planning Sheet'!BW486='Weeks Plan'!$G$6),'Planning Sheet'!$BX486,"")</f>
        <v/>
      </c>
      <c r="AA2951" s="48" t="str">
        <f ca="1">IF(AND('Planning Sheet'!CC486='Weeks Plan'!$D$6,'Planning Sheet'!BW486='Weeks Plan'!$G$6),'Planning Sheet'!$BY486,"")</f>
        <v/>
      </c>
    </row>
    <row r="2952" spans="25:27" x14ac:dyDescent="0.3">
      <c r="Y2952" s="48" t="str">
        <f ca="1">IF(AND('Planning Sheet'!CC487='Weeks Plan'!$D$6,'Planning Sheet'!BW487='Weeks Plan'!$G$6),'Planning Sheet'!$B487,"")</f>
        <v/>
      </c>
      <c r="Z2952" s="48" t="str">
        <f ca="1">IF(AND('Planning Sheet'!CC487='Weeks Plan'!$D$6,'Planning Sheet'!BW487='Weeks Plan'!$G$6),'Planning Sheet'!$BX487,"")</f>
        <v/>
      </c>
      <c r="AA2952" s="48" t="str">
        <f ca="1">IF(AND('Planning Sheet'!CC487='Weeks Plan'!$D$6,'Planning Sheet'!BW487='Weeks Plan'!$G$6),'Planning Sheet'!$BY487,"")</f>
        <v/>
      </c>
    </row>
    <row r="2953" spans="25:27" x14ac:dyDescent="0.3">
      <c r="Y2953" s="48" t="str">
        <f ca="1">IF(AND('Planning Sheet'!CC488='Weeks Plan'!$D$6,'Planning Sheet'!BW488='Weeks Plan'!$G$6),'Planning Sheet'!$B488,"")</f>
        <v/>
      </c>
      <c r="Z2953" s="48" t="str">
        <f ca="1">IF(AND('Planning Sheet'!CC488='Weeks Plan'!$D$6,'Planning Sheet'!BW488='Weeks Plan'!$G$6),'Planning Sheet'!$BX488,"")</f>
        <v/>
      </c>
      <c r="AA2953" s="48" t="str">
        <f ca="1">IF(AND('Planning Sheet'!CC488='Weeks Plan'!$D$6,'Planning Sheet'!BW488='Weeks Plan'!$G$6),'Planning Sheet'!$BY488,"")</f>
        <v/>
      </c>
    </row>
    <row r="2954" spans="25:27" x14ac:dyDescent="0.3">
      <c r="Y2954" s="48" t="str">
        <f ca="1">IF(AND('Planning Sheet'!CC489='Weeks Plan'!$D$6,'Planning Sheet'!BW489='Weeks Plan'!$G$6),'Planning Sheet'!$B489,"")</f>
        <v/>
      </c>
      <c r="Z2954" s="48" t="str">
        <f ca="1">IF(AND('Planning Sheet'!CC489='Weeks Plan'!$D$6,'Planning Sheet'!BW489='Weeks Plan'!$G$6),'Planning Sheet'!$BX489,"")</f>
        <v/>
      </c>
      <c r="AA2954" s="48" t="str">
        <f ca="1">IF(AND('Planning Sheet'!CC489='Weeks Plan'!$D$6,'Planning Sheet'!BW489='Weeks Plan'!$G$6),'Planning Sheet'!$BY489,"")</f>
        <v/>
      </c>
    </row>
    <row r="2955" spans="25:27" x14ac:dyDescent="0.3">
      <c r="Y2955" s="48" t="str">
        <f ca="1">IF(AND('Planning Sheet'!CC490='Weeks Plan'!$D$6,'Planning Sheet'!BW490='Weeks Plan'!$G$6),'Planning Sheet'!$B490,"")</f>
        <v/>
      </c>
      <c r="Z2955" s="48" t="str">
        <f ca="1">IF(AND('Planning Sheet'!CC490='Weeks Plan'!$D$6,'Planning Sheet'!BW490='Weeks Plan'!$G$6),'Planning Sheet'!$BX490,"")</f>
        <v/>
      </c>
      <c r="AA2955" s="48" t="str">
        <f ca="1">IF(AND('Planning Sheet'!CC490='Weeks Plan'!$D$6,'Planning Sheet'!BW490='Weeks Plan'!$G$6),'Planning Sheet'!$BY490,"")</f>
        <v/>
      </c>
    </row>
    <row r="2956" spans="25:27" x14ac:dyDescent="0.3">
      <c r="Y2956" s="48" t="str">
        <f ca="1">IF(AND('Planning Sheet'!CC491='Weeks Plan'!$D$6,'Planning Sheet'!BW491='Weeks Plan'!$G$6),'Planning Sheet'!$B491,"")</f>
        <v/>
      </c>
      <c r="Z2956" s="48" t="str">
        <f ca="1">IF(AND('Planning Sheet'!CC491='Weeks Plan'!$D$6,'Planning Sheet'!BW491='Weeks Plan'!$G$6),'Planning Sheet'!$BX491,"")</f>
        <v/>
      </c>
      <c r="AA2956" s="48" t="str">
        <f ca="1">IF(AND('Planning Sheet'!CC491='Weeks Plan'!$D$6,'Planning Sheet'!BW491='Weeks Plan'!$G$6),'Planning Sheet'!$BY491,"")</f>
        <v/>
      </c>
    </row>
    <row r="2957" spans="25:27" x14ac:dyDescent="0.3">
      <c r="Y2957" s="48" t="str">
        <f ca="1">IF(AND('Planning Sheet'!CC492='Weeks Plan'!$D$6,'Planning Sheet'!BW492='Weeks Plan'!$G$6),'Planning Sheet'!$B492,"")</f>
        <v/>
      </c>
      <c r="Z2957" s="48" t="str">
        <f ca="1">IF(AND('Planning Sheet'!CC492='Weeks Plan'!$D$6,'Planning Sheet'!BW492='Weeks Plan'!$G$6),'Planning Sheet'!$BX492,"")</f>
        <v/>
      </c>
      <c r="AA2957" s="48" t="str">
        <f ca="1">IF(AND('Planning Sheet'!CC492='Weeks Plan'!$D$6,'Planning Sheet'!BW492='Weeks Plan'!$G$6),'Planning Sheet'!$BY492,"")</f>
        <v/>
      </c>
    </row>
    <row r="2958" spans="25:27" x14ac:dyDescent="0.3">
      <c r="Y2958" s="48" t="str">
        <f ca="1">IF(AND('Planning Sheet'!CC493='Weeks Plan'!$D$6,'Planning Sheet'!BW493='Weeks Plan'!$G$6),'Planning Sheet'!$B493,"")</f>
        <v/>
      </c>
      <c r="Z2958" s="48" t="str">
        <f ca="1">IF(AND('Planning Sheet'!CC493='Weeks Plan'!$D$6,'Planning Sheet'!BW493='Weeks Plan'!$G$6),'Planning Sheet'!$BX493,"")</f>
        <v/>
      </c>
      <c r="AA2958" s="48" t="str">
        <f ca="1">IF(AND('Planning Sheet'!CC493='Weeks Plan'!$D$6,'Planning Sheet'!BW493='Weeks Plan'!$G$6),'Planning Sheet'!$BY493,"")</f>
        <v/>
      </c>
    </row>
    <row r="2959" spans="25:27" x14ac:dyDescent="0.3">
      <c r="Y2959" s="48" t="str">
        <f ca="1">IF(AND('Planning Sheet'!CC494='Weeks Plan'!$D$6,'Planning Sheet'!BW494='Weeks Plan'!$G$6),'Planning Sheet'!$B494,"")</f>
        <v/>
      </c>
      <c r="Z2959" s="48" t="str">
        <f ca="1">IF(AND('Planning Sheet'!CC494='Weeks Plan'!$D$6,'Planning Sheet'!BW494='Weeks Plan'!$G$6),'Planning Sheet'!$BX494,"")</f>
        <v/>
      </c>
      <c r="AA2959" s="48" t="str">
        <f ca="1">IF(AND('Planning Sheet'!CC494='Weeks Plan'!$D$6,'Planning Sheet'!BW494='Weeks Plan'!$G$6),'Planning Sheet'!$BY494,"")</f>
        <v/>
      </c>
    </row>
    <row r="2960" spans="25:27" x14ac:dyDescent="0.3">
      <c r="Y2960" s="48" t="str">
        <f ca="1">IF(AND('Planning Sheet'!CC495='Weeks Plan'!$D$6,'Planning Sheet'!BW495='Weeks Plan'!$G$6),'Planning Sheet'!$B495,"")</f>
        <v/>
      </c>
      <c r="Z2960" s="48" t="str">
        <f ca="1">IF(AND('Planning Sheet'!CC495='Weeks Plan'!$D$6,'Planning Sheet'!BW495='Weeks Plan'!$G$6),'Planning Sheet'!$BX495,"")</f>
        <v/>
      </c>
      <c r="AA2960" s="48" t="str">
        <f ca="1">IF(AND('Planning Sheet'!CC495='Weeks Plan'!$D$6,'Planning Sheet'!BW495='Weeks Plan'!$G$6),'Planning Sheet'!$BY495,"")</f>
        <v/>
      </c>
    </row>
    <row r="2961" spans="25:27" x14ac:dyDescent="0.3">
      <c r="Y2961" s="48" t="str">
        <f ca="1">IF(AND('Planning Sheet'!CC496='Weeks Plan'!$D$6,'Planning Sheet'!BW496='Weeks Plan'!$G$6),'Planning Sheet'!$B496,"")</f>
        <v/>
      </c>
      <c r="Z2961" s="48" t="str">
        <f ca="1">IF(AND('Planning Sheet'!CC496='Weeks Plan'!$D$6,'Planning Sheet'!BW496='Weeks Plan'!$G$6),'Planning Sheet'!$BX496,"")</f>
        <v/>
      </c>
      <c r="AA2961" s="48" t="str">
        <f ca="1">IF(AND('Planning Sheet'!CC496='Weeks Plan'!$D$6,'Planning Sheet'!BW496='Weeks Plan'!$G$6),'Planning Sheet'!$BY496,"")</f>
        <v/>
      </c>
    </row>
    <row r="2962" spans="25:27" x14ac:dyDescent="0.3">
      <c r="Y2962" s="48" t="str">
        <f ca="1">IF(AND('Planning Sheet'!CC497='Weeks Plan'!$D$6,'Planning Sheet'!BW497='Weeks Plan'!$G$6),'Planning Sheet'!$B497,"")</f>
        <v/>
      </c>
      <c r="Z2962" s="48" t="str">
        <f ca="1">IF(AND('Planning Sheet'!CC497='Weeks Plan'!$D$6,'Planning Sheet'!BW497='Weeks Plan'!$G$6),'Planning Sheet'!$BX497,"")</f>
        <v/>
      </c>
      <c r="AA2962" s="48" t="str">
        <f ca="1">IF(AND('Planning Sheet'!CC497='Weeks Plan'!$D$6,'Planning Sheet'!BW497='Weeks Plan'!$G$6),'Planning Sheet'!$BY497,"")</f>
        <v/>
      </c>
    </row>
    <row r="2963" spans="25:27" x14ac:dyDescent="0.3">
      <c r="Y2963" s="48" t="str">
        <f ca="1">IF(AND('Planning Sheet'!CC498='Weeks Plan'!$D$6,'Planning Sheet'!BW498='Weeks Plan'!$G$6),'Planning Sheet'!$B498,"")</f>
        <v/>
      </c>
      <c r="Z2963" s="48" t="str">
        <f ca="1">IF(AND('Planning Sheet'!CC498='Weeks Plan'!$D$6,'Planning Sheet'!BW498='Weeks Plan'!$G$6),'Planning Sheet'!$BX498,"")</f>
        <v/>
      </c>
      <c r="AA2963" s="48" t="str">
        <f ca="1">IF(AND('Planning Sheet'!CC498='Weeks Plan'!$D$6,'Planning Sheet'!BW498='Weeks Plan'!$G$6),'Planning Sheet'!$BY498,"")</f>
        <v/>
      </c>
    </row>
    <row r="2964" spans="25:27" x14ac:dyDescent="0.3">
      <c r="Y2964" s="48" t="str">
        <f ca="1">IF(AND('Planning Sheet'!CC499='Weeks Plan'!$D$6,'Planning Sheet'!BW499='Weeks Plan'!$G$6),'Planning Sheet'!$B499,"")</f>
        <v/>
      </c>
      <c r="Z2964" s="48" t="str">
        <f ca="1">IF(AND('Planning Sheet'!CC499='Weeks Plan'!$D$6,'Planning Sheet'!BW499='Weeks Plan'!$G$6),'Planning Sheet'!$BX499,"")</f>
        <v/>
      </c>
      <c r="AA2964" s="48" t="str">
        <f ca="1">IF(AND('Planning Sheet'!CC499='Weeks Plan'!$D$6,'Planning Sheet'!BW499='Weeks Plan'!$G$6),'Planning Sheet'!$BY499,"")</f>
        <v/>
      </c>
    </row>
    <row r="2965" spans="25:27" x14ac:dyDescent="0.3">
      <c r="Y2965" s="48" t="str">
        <f ca="1">IF(AND('Planning Sheet'!CC500='Weeks Plan'!$D$6,'Planning Sheet'!BW500='Weeks Plan'!$G$6),'Planning Sheet'!$B500,"")</f>
        <v/>
      </c>
      <c r="Z2965" s="48" t="str">
        <f ca="1">IF(AND('Planning Sheet'!CC500='Weeks Plan'!$D$6,'Planning Sheet'!BW500='Weeks Plan'!$G$6),'Planning Sheet'!$BX500,"")</f>
        <v/>
      </c>
      <c r="AA2965" s="48" t="str">
        <f ca="1">IF(AND('Planning Sheet'!CC500='Weeks Plan'!$D$6,'Planning Sheet'!BW500='Weeks Plan'!$G$6),'Planning Sheet'!$BY500,"")</f>
        <v/>
      </c>
    </row>
    <row r="2967" spans="25:27" x14ac:dyDescent="0.3">
      <c r="Y2967" s="47" t="str">
        <f ca="1">IF(AND('Planning Sheet'!CJ8='Weeks Plan'!$D$6,'Planning Sheet'!CD8='Weeks Plan'!$G$6),'Planning Sheet'!$B8,"")</f>
        <v/>
      </c>
      <c r="Z2967" s="47" t="str">
        <f ca="1">IF(AND('Planning Sheet'!CJ8='Weeks Plan'!$D$6,'Planning Sheet'!CD8='Weeks Plan'!$G$6),'Planning Sheet'!$CE8,"")</f>
        <v/>
      </c>
      <c r="AA2967" s="47" t="str">
        <f ca="1">IF(AND('Planning Sheet'!CJ8='Weeks Plan'!$D$6,'Planning Sheet'!CD8='Weeks Plan'!$G$6),'Planning Sheet'!$CF8,"")</f>
        <v/>
      </c>
    </row>
    <row r="2968" spans="25:27" x14ac:dyDescent="0.3">
      <c r="Y2968" s="48" t="str">
        <f ca="1">IF(AND('Planning Sheet'!CJ9='Weeks Plan'!$D$6,'Planning Sheet'!CD9='Weeks Plan'!$G$6),'Planning Sheet'!$B9,"")</f>
        <v/>
      </c>
      <c r="Z2968" s="48" t="str">
        <f ca="1">IF(AND('Planning Sheet'!CJ9='Weeks Plan'!$D$6,'Planning Sheet'!CD9='Weeks Plan'!$G$6),'Planning Sheet'!$CE9,"")</f>
        <v/>
      </c>
      <c r="AA2968" s="48" t="str">
        <f ca="1">IF(AND('Planning Sheet'!CJ9='Weeks Plan'!$D$6,'Planning Sheet'!CD9='Weeks Plan'!$G$6),'Planning Sheet'!$CF9,"")</f>
        <v/>
      </c>
    </row>
    <row r="2969" spans="25:27" x14ac:dyDescent="0.3">
      <c r="Y2969" s="48" t="str">
        <f ca="1">IF(AND('Planning Sheet'!CJ10='Weeks Plan'!$D$6,'Planning Sheet'!CD10='Weeks Plan'!$G$6),'Planning Sheet'!$B10,"")</f>
        <v/>
      </c>
      <c r="Z2969" s="48" t="str">
        <f ca="1">IF(AND('Planning Sheet'!CJ10='Weeks Plan'!$D$6,'Planning Sheet'!CD10='Weeks Plan'!$G$6),'Planning Sheet'!$CE10,"")</f>
        <v/>
      </c>
      <c r="AA2969" s="48" t="str">
        <f ca="1">IF(AND('Planning Sheet'!CJ10='Weeks Plan'!$D$6,'Planning Sheet'!CD10='Weeks Plan'!$G$6),'Planning Sheet'!$CF10,"")</f>
        <v/>
      </c>
    </row>
    <row r="2970" spans="25:27" x14ac:dyDescent="0.3">
      <c r="Y2970" s="48" t="str">
        <f ca="1">IF(AND('Planning Sheet'!CJ11='Weeks Plan'!$D$6,'Planning Sheet'!CD11='Weeks Plan'!$G$6),'Planning Sheet'!$B11,"")</f>
        <v/>
      </c>
      <c r="Z2970" s="48" t="str">
        <f ca="1">IF(AND('Planning Sheet'!CJ11='Weeks Plan'!$D$6,'Planning Sheet'!CD11='Weeks Plan'!$G$6),'Planning Sheet'!$CE11,"")</f>
        <v/>
      </c>
      <c r="AA2970" s="48" t="str">
        <f ca="1">IF(AND('Planning Sheet'!CJ11='Weeks Plan'!$D$6,'Planning Sheet'!CD11='Weeks Plan'!$G$6),'Planning Sheet'!$CF11,"")</f>
        <v/>
      </c>
    </row>
    <row r="2971" spans="25:27" x14ac:dyDescent="0.3">
      <c r="Y2971" s="48" t="str">
        <f ca="1">IF(AND('Planning Sheet'!CJ12='Weeks Plan'!$D$6,'Planning Sheet'!CD12='Weeks Plan'!$G$6),'Planning Sheet'!$B12,"")</f>
        <v/>
      </c>
      <c r="Z2971" s="48" t="str">
        <f ca="1">IF(AND('Planning Sheet'!CJ12='Weeks Plan'!$D$6,'Planning Sheet'!CD12='Weeks Plan'!$G$6),'Planning Sheet'!$CE12,"")</f>
        <v/>
      </c>
      <c r="AA2971" s="48" t="str">
        <f ca="1">IF(AND('Planning Sheet'!CJ12='Weeks Plan'!$D$6,'Planning Sheet'!CD12='Weeks Plan'!$G$6),'Planning Sheet'!$CF12,"")</f>
        <v/>
      </c>
    </row>
    <row r="2972" spans="25:27" x14ac:dyDescent="0.3">
      <c r="Y2972" s="48" t="str">
        <f ca="1">IF(AND('Planning Sheet'!CJ13='Weeks Plan'!$D$6,'Planning Sheet'!CD13='Weeks Plan'!$G$6),'Planning Sheet'!$B13,"")</f>
        <v/>
      </c>
      <c r="Z2972" s="48" t="str">
        <f ca="1">IF(AND('Planning Sheet'!CJ13='Weeks Plan'!$D$6,'Planning Sheet'!CD13='Weeks Plan'!$G$6),'Planning Sheet'!$CE13,"")</f>
        <v/>
      </c>
      <c r="AA2972" s="48" t="str">
        <f ca="1">IF(AND('Planning Sheet'!CJ13='Weeks Plan'!$D$6,'Planning Sheet'!CD13='Weeks Plan'!$G$6),'Planning Sheet'!$CF13,"")</f>
        <v/>
      </c>
    </row>
    <row r="2973" spans="25:27" x14ac:dyDescent="0.3">
      <c r="Y2973" s="48" t="str">
        <f ca="1">IF(AND('Planning Sheet'!CJ14='Weeks Plan'!$D$6,'Planning Sheet'!CD14='Weeks Plan'!$G$6),'Planning Sheet'!$B14,"")</f>
        <v/>
      </c>
      <c r="Z2973" s="48" t="str">
        <f ca="1">IF(AND('Planning Sheet'!CJ14='Weeks Plan'!$D$6,'Planning Sheet'!CD14='Weeks Plan'!$G$6),'Planning Sheet'!$CE14,"")</f>
        <v/>
      </c>
      <c r="AA2973" s="48" t="str">
        <f ca="1">IF(AND('Planning Sheet'!CJ14='Weeks Plan'!$D$6,'Planning Sheet'!CD14='Weeks Plan'!$G$6),'Planning Sheet'!$CF14,"")</f>
        <v/>
      </c>
    </row>
    <row r="2974" spans="25:27" x14ac:dyDescent="0.3">
      <c r="Y2974" s="48" t="str">
        <f ca="1">IF(AND('Planning Sheet'!CJ15='Weeks Plan'!$D$6,'Planning Sheet'!CD15='Weeks Plan'!$G$6),'Planning Sheet'!$B15,"")</f>
        <v/>
      </c>
      <c r="Z2974" s="48" t="str">
        <f ca="1">IF(AND('Planning Sheet'!CJ15='Weeks Plan'!$D$6,'Planning Sheet'!CD15='Weeks Plan'!$G$6),'Planning Sheet'!$CE15,"")</f>
        <v/>
      </c>
      <c r="AA2974" s="48" t="str">
        <f ca="1">IF(AND('Planning Sheet'!CJ15='Weeks Plan'!$D$6,'Planning Sheet'!CD15='Weeks Plan'!$G$6),'Planning Sheet'!$CF15,"")</f>
        <v/>
      </c>
    </row>
    <row r="2975" spans="25:27" x14ac:dyDescent="0.3">
      <c r="Y2975" s="48" t="str">
        <f ca="1">IF(AND('Planning Sheet'!CJ16='Weeks Plan'!$D$6,'Planning Sheet'!CD16='Weeks Plan'!$G$6),'Planning Sheet'!$B16,"")</f>
        <v/>
      </c>
      <c r="Z2975" s="48" t="str">
        <f ca="1">IF(AND('Planning Sheet'!CJ16='Weeks Plan'!$D$6,'Planning Sheet'!CD16='Weeks Plan'!$G$6),'Planning Sheet'!$CE16,"")</f>
        <v/>
      </c>
      <c r="AA2975" s="48" t="str">
        <f ca="1">IF(AND('Planning Sheet'!CJ16='Weeks Plan'!$D$6,'Planning Sheet'!CD16='Weeks Plan'!$G$6),'Planning Sheet'!$CF16,"")</f>
        <v/>
      </c>
    </row>
    <row r="2976" spans="25:27" x14ac:dyDescent="0.3">
      <c r="Y2976" s="48" t="str">
        <f ca="1">IF(AND('Planning Sheet'!CJ17='Weeks Plan'!$D$6,'Planning Sheet'!CD17='Weeks Plan'!$G$6),'Planning Sheet'!$B17,"")</f>
        <v/>
      </c>
      <c r="Z2976" s="48" t="str">
        <f ca="1">IF(AND('Planning Sheet'!CJ17='Weeks Plan'!$D$6,'Planning Sheet'!CD17='Weeks Plan'!$G$6),'Planning Sheet'!$CE17,"")</f>
        <v/>
      </c>
      <c r="AA2976" s="48" t="str">
        <f ca="1">IF(AND('Planning Sheet'!CJ17='Weeks Plan'!$D$6,'Planning Sheet'!CD17='Weeks Plan'!$G$6),'Planning Sheet'!$CF17,"")</f>
        <v/>
      </c>
    </row>
    <row r="2977" spans="25:27" x14ac:dyDescent="0.3">
      <c r="Y2977" s="48" t="str">
        <f ca="1">IF(AND('Planning Sheet'!CJ18='Weeks Plan'!$D$6,'Planning Sheet'!CD18='Weeks Plan'!$G$6),'Planning Sheet'!$B18,"")</f>
        <v/>
      </c>
      <c r="Z2977" s="48" t="str">
        <f ca="1">IF(AND('Planning Sheet'!CJ18='Weeks Plan'!$D$6,'Planning Sheet'!CD18='Weeks Plan'!$G$6),'Planning Sheet'!$CE18,"")</f>
        <v/>
      </c>
      <c r="AA2977" s="48" t="str">
        <f ca="1">IF(AND('Planning Sheet'!CJ18='Weeks Plan'!$D$6,'Planning Sheet'!CD18='Weeks Plan'!$G$6),'Planning Sheet'!$CF18,"")</f>
        <v/>
      </c>
    </row>
    <row r="2978" spans="25:27" x14ac:dyDescent="0.3">
      <c r="Y2978" s="48" t="str">
        <f ca="1">IF(AND('Planning Sheet'!CJ19='Weeks Plan'!$D$6,'Planning Sheet'!CD19='Weeks Plan'!$G$6),'Planning Sheet'!$B19,"")</f>
        <v/>
      </c>
      <c r="Z2978" s="48" t="str">
        <f ca="1">IF(AND('Planning Sheet'!CJ19='Weeks Plan'!$D$6,'Planning Sheet'!CD19='Weeks Plan'!$G$6),'Planning Sheet'!$CE19,"")</f>
        <v/>
      </c>
      <c r="AA2978" s="48" t="str">
        <f ca="1">IF(AND('Planning Sheet'!CJ19='Weeks Plan'!$D$6,'Planning Sheet'!CD19='Weeks Plan'!$G$6),'Planning Sheet'!$CF19,"")</f>
        <v/>
      </c>
    </row>
    <row r="2979" spans="25:27" x14ac:dyDescent="0.3">
      <c r="Y2979" s="48" t="str">
        <f ca="1">IF(AND('Planning Sheet'!CJ20='Weeks Plan'!$D$6,'Planning Sheet'!CD20='Weeks Plan'!$G$6),'Planning Sheet'!$B20,"")</f>
        <v/>
      </c>
      <c r="Z2979" s="48" t="str">
        <f ca="1">IF(AND('Planning Sheet'!CJ20='Weeks Plan'!$D$6,'Planning Sheet'!CD20='Weeks Plan'!$G$6),'Planning Sheet'!$CE20,"")</f>
        <v/>
      </c>
      <c r="AA2979" s="48" t="str">
        <f ca="1">IF(AND('Planning Sheet'!CJ20='Weeks Plan'!$D$6,'Planning Sheet'!CD20='Weeks Plan'!$G$6),'Planning Sheet'!$CF20,"")</f>
        <v/>
      </c>
    </row>
    <row r="2980" spans="25:27" x14ac:dyDescent="0.3">
      <c r="Y2980" s="48" t="str">
        <f ca="1">IF(AND('Planning Sheet'!CJ21='Weeks Plan'!$D$6,'Planning Sheet'!CD21='Weeks Plan'!$G$6),'Planning Sheet'!$B21,"")</f>
        <v/>
      </c>
      <c r="Z2980" s="48" t="str">
        <f ca="1">IF(AND('Planning Sheet'!CJ21='Weeks Plan'!$D$6,'Planning Sheet'!CD21='Weeks Plan'!$G$6),'Planning Sheet'!$CE21,"")</f>
        <v/>
      </c>
      <c r="AA2980" s="48" t="str">
        <f ca="1">IF(AND('Planning Sheet'!CJ21='Weeks Plan'!$D$6,'Planning Sheet'!CD21='Weeks Plan'!$G$6),'Planning Sheet'!$CF21,"")</f>
        <v/>
      </c>
    </row>
    <row r="2981" spans="25:27" x14ac:dyDescent="0.3">
      <c r="Y2981" s="48" t="str">
        <f ca="1">IF(AND('Planning Sheet'!CJ22='Weeks Plan'!$D$6,'Planning Sheet'!CD22='Weeks Plan'!$G$6),'Planning Sheet'!$B22,"")</f>
        <v/>
      </c>
      <c r="Z2981" s="48" t="str">
        <f ca="1">IF(AND('Planning Sheet'!CJ22='Weeks Plan'!$D$6,'Planning Sheet'!CD22='Weeks Plan'!$G$6),'Planning Sheet'!$CE22,"")</f>
        <v/>
      </c>
      <c r="AA2981" s="48" t="str">
        <f ca="1">IF(AND('Planning Sheet'!CJ22='Weeks Plan'!$D$6,'Planning Sheet'!CD22='Weeks Plan'!$G$6),'Planning Sheet'!$CF22,"")</f>
        <v/>
      </c>
    </row>
    <row r="2982" spans="25:27" x14ac:dyDescent="0.3">
      <c r="Y2982" s="48" t="str">
        <f ca="1">IF(AND('Planning Sheet'!CJ23='Weeks Plan'!$D$6,'Planning Sheet'!CD23='Weeks Plan'!$G$6),'Planning Sheet'!$B23,"")</f>
        <v/>
      </c>
      <c r="Z2982" s="48" t="str">
        <f ca="1">IF(AND('Planning Sheet'!CJ23='Weeks Plan'!$D$6,'Planning Sheet'!CD23='Weeks Plan'!$G$6),'Planning Sheet'!$CE23,"")</f>
        <v/>
      </c>
      <c r="AA2982" s="48" t="str">
        <f ca="1">IF(AND('Planning Sheet'!CJ23='Weeks Plan'!$D$6,'Planning Sheet'!CD23='Weeks Plan'!$G$6),'Planning Sheet'!$CF23,"")</f>
        <v/>
      </c>
    </row>
    <row r="2983" spans="25:27" x14ac:dyDescent="0.3">
      <c r="Y2983" s="48" t="str">
        <f ca="1">IF(AND('Planning Sheet'!CJ24='Weeks Plan'!$D$6,'Planning Sheet'!CD24='Weeks Plan'!$G$6),'Planning Sheet'!$B24,"")</f>
        <v/>
      </c>
      <c r="Z2983" s="48" t="str">
        <f ca="1">IF(AND('Planning Sheet'!CJ24='Weeks Plan'!$D$6,'Planning Sheet'!CD24='Weeks Plan'!$G$6),'Planning Sheet'!$CE24,"")</f>
        <v/>
      </c>
      <c r="AA2983" s="48" t="str">
        <f ca="1">IF(AND('Planning Sheet'!CJ24='Weeks Plan'!$D$6,'Planning Sheet'!CD24='Weeks Plan'!$G$6),'Planning Sheet'!$CF24,"")</f>
        <v/>
      </c>
    </row>
    <row r="2984" spans="25:27" x14ac:dyDescent="0.3">
      <c r="Y2984" s="48" t="str">
        <f ca="1">IF(AND('Planning Sheet'!CJ25='Weeks Plan'!$D$6,'Planning Sheet'!CD25='Weeks Plan'!$G$6),'Planning Sheet'!$B25,"")</f>
        <v/>
      </c>
      <c r="Z2984" s="48" t="str">
        <f ca="1">IF(AND('Planning Sheet'!CJ25='Weeks Plan'!$D$6,'Planning Sheet'!CD25='Weeks Plan'!$G$6),'Planning Sheet'!$CE25,"")</f>
        <v/>
      </c>
      <c r="AA2984" s="48" t="str">
        <f ca="1">IF(AND('Planning Sheet'!CJ25='Weeks Plan'!$D$6,'Planning Sheet'!CD25='Weeks Plan'!$G$6),'Planning Sheet'!$CF25,"")</f>
        <v/>
      </c>
    </row>
    <row r="2985" spans="25:27" x14ac:dyDescent="0.3">
      <c r="Y2985" s="48" t="str">
        <f ca="1">IF(AND('Planning Sheet'!CJ26='Weeks Plan'!$D$6,'Planning Sheet'!CD26='Weeks Plan'!$G$6),'Planning Sheet'!$B26,"")</f>
        <v/>
      </c>
      <c r="Z2985" s="48" t="str">
        <f ca="1">IF(AND('Planning Sheet'!CJ26='Weeks Plan'!$D$6,'Planning Sheet'!CD26='Weeks Plan'!$G$6),'Planning Sheet'!$CE26,"")</f>
        <v/>
      </c>
      <c r="AA2985" s="48" t="str">
        <f ca="1">IF(AND('Planning Sheet'!CJ26='Weeks Plan'!$D$6,'Planning Sheet'!CD26='Weeks Plan'!$G$6),'Planning Sheet'!$CF26,"")</f>
        <v/>
      </c>
    </row>
    <row r="2986" spans="25:27" x14ac:dyDescent="0.3">
      <c r="Y2986" s="48" t="str">
        <f ca="1">IF(AND('Planning Sheet'!CJ27='Weeks Plan'!$D$6,'Planning Sheet'!CD27='Weeks Plan'!$G$6),'Planning Sheet'!$B27,"")</f>
        <v/>
      </c>
      <c r="Z2986" s="48" t="str">
        <f ca="1">IF(AND('Planning Sheet'!CJ27='Weeks Plan'!$D$6,'Planning Sheet'!CD27='Weeks Plan'!$G$6),'Planning Sheet'!$CE27,"")</f>
        <v/>
      </c>
      <c r="AA2986" s="48" t="str">
        <f ca="1">IF(AND('Planning Sheet'!CJ27='Weeks Plan'!$D$6,'Planning Sheet'!CD27='Weeks Plan'!$G$6),'Planning Sheet'!$CF27,"")</f>
        <v/>
      </c>
    </row>
    <row r="2987" spans="25:27" x14ac:dyDescent="0.3">
      <c r="Y2987" s="48" t="str">
        <f ca="1">IF(AND('Planning Sheet'!CJ28='Weeks Plan'!$D$6,'Planning Sheet'!CD28='Weeks Plan'!$G$6),'Planning Sheet'!$B28,"")</f>
        <v/>
      </c>
      <c r="Z2987" s="48" t="str">
        <f ca="1">IF(AND('Planning Sheet'!CJ28='Weeks Plan'!$D$6,'Planning Sheet'!CD28='Weeks Plan'!$G$6),'Planning Sheet'!$CE28,"")</f>
        <v/>
      </c>
      <c r="AA2987" s="48" t="str">
        <f ca="1">IF(AND('Planning Sheet'!CJ28='Weeks Plan'!$D$6,'Planning Sheet'!CD28='Weeks Plan'!$G$6),'Planning Sheet'!$CF28,"")</f>
        <v/>
      </c>
    </row>
    <row r="2988" spans="25:27" x14ac:dyDescent="0.3">
      <c r="Y2988" s="48" t="str">
        <f ca="1">IF(AND('Planning Sheet'!CJ29='Weeks Plan'!$D$6,'Planning Sheet'!CD29='Weeks Plan'!$G$6),'Planning Sheet'!$B29,"")</f>
        <v/>
      </c>
      <c r="Z2988" s="48" t="str">
        <f ca="1">IF(AND('Planning Sheet'!CJ29='Weeks Plan'!$D$6,'Planning Sheet'!CD29='Weeks Plan'!$G$6),'Planning Sheet'!$CE29,"")</f>
        <v/>
      </c>
      <c r="AA2988" s="48" t="str">
        <f ca="1">IF(AND('Planning Sheet'!CJ29='Weeks Plan'!$D$6,'Planning Sheet'!CD29='Weeks Plan'!$G$6),'Planning Sheet'!$CF29,"")</f>
        <v/>
      </c>
    </row>
    <row r="2989" spans="25:27" x14ac:dyDescent="0.3">
      <c r="Y2989" s="48" t="str">
        <f ca="1">IF(AND('Planning Sheet'!CJ30='Weeks Plan'!$D$6,'Planning Sheet'!CD30='Weeks Plan'!$G$6),'Planning Sheet'!$B30,"")</f>
        <v/>
      </c>
      <c r="Z2989" s="48" t="str">
        <f ca="1">IF(AND('Planning Sheet'!CJ30='Weeks Plan'!$D$6,'Planning Sheet'!CD30='Weeks Plan'!$G$6),'Planning Sheet'!$CE30,"")</f>
        <v/>
      </c>
      <c r="AA2989" s="48" t="str">
        <f ca="1">IF(AND('Planning Sheet'!CJ30='Weeks Plan'!$D$6,'Planning Sheet'!CD30='Weeks Plan'!$G$6),'Planning Sheet'!$CF30,"")</f>
        <v/>
      </c>
    </row>
    <row r="2990" spans="25:27" x14ac:dyDescent="0.3">
      <c r="Y2990" s="48" t="str">
        <f ca="1">IF(AND('Planning Sheet'!CJ31='Weeks Plan'!$D$6,'Planning Sheet'!CD31='Weeks Plan'!$G$6),'Planning Sheet'!$B31,"")</f>
        <v/>
      </c>
      <c r="Z2990" s="48" t="str">
        <f ca="1">IF(AND('Planning Sheet'!CJ31='Weeks Plan'!$D$6,'Planning Sheet'!CD31='Weeks Plan'!$G$6),'Planning Sheet'!$CE31,"")</f>
        <v/>
      </c>
      <c r="AA2990" s="48" t="str">
        <f ca="1">IF(AND('Planning Sheet'!CJ31='Weeks Plan'!$D$6,'Planning Sheet'!CD31='Weeks Plan'!$G$6),'Planning Sheet'!$CF31,"")</f>
        <v/>
      </c>
    </row>
    <row r="2991" spans="25:27" x14ac:dyDescent="0.3">
      <c r="Y2991" s="48" t="str">
        <f ca="1">IF(AND('Planning Sheet'!CJ32='Weeks Plan'!$D$6,'Planning Sheet'!CD32='Weeks Plan'!$G$6),'Planning Sheet'!$B32,"")</f>
        <v/>
      </c>
      <c r="Z2991" s="48" t="str">
        <f ca="1">IF(AND('Planning Sheet'!CJ32='Weeks Plan'!$D$6,'Planning Sheet'!CD32='Weeks Plan'!$G$6),'Planning Sheet'!$CE32,"")</f>
        <v/>
      </c>
      <c r="AA2991" s="48" t="str">
        <f ca="1">IF(AND('Planning Sheet'!CJ32='Weeks Plan'!$D$6,'Planning Sheet'!CD32='Weeks Plan'!$G$6),'Planning Sheet'!$CF32,"")</f>
        <v/>
      </c>
    </row>
    <row r="2992" spans="25:27" x14ac:dyDescent="0.3">
      <c r="Y2992" s="48" t="str">
        <f ca="1">IF(AND('Planning Sheet'!CJ33='Weeks Plan'!$D$6,'Planning Sheet'!CD33='Weeks Plan'!$G$6),'Planning Sheet'!$B33,"")</f>
        <v/>
      </c>
      <c r="Z2992" s="48" t="str">
        <f ca="1">IF(AND('Planning Sheet'!CJ33='Weeks Plan'!$D$6,'Planning Sheet'!CD33='Weeks Plan'!$G$6),'Planning Sheet'!$CE33,"")</f>
        <v/>
      </c>
      <c r="AA2992" s="48" t="str">
        <f ca="1">IF(AND('Planning Sheet'!CJ33='Weeks Plan'!$D$6,'Planning Sheet'!CD33='Weeks Plan'!$G$6),'Planning Sheet'!$CF33,"")</f>
        <v/>
      </c>
    </row>
    <row r="2993" spans="25:27" x14ac:dyDescent="0.3">
      <c r="Y2993" s="48" t="str">
        <f ca="1">IF(AND('Planning Sheet'!CJ34='Weeks Plan'!$D$6,'Planning Sheet'!CD34='Weeks Plan'!$G$6),'Planning Sheet'!$B34,"")</f>
        <v/>
      </c>
      <c r="Z2993" s="48" t="str">
        <f ca="1">IF(AND('Planning Sheet'!CJ34='Weeks Plan'!$D$6,'Planning Sheet'!CD34='Weeks Plan'!$G$6),'Planning Sheet'!$CE34,"")</f>
        <v/>
      </c>
      <c r="AA2993" s="48" t="str">
        <f ca="1">IF(AND('Planning Sheet'!CJ34='Weeks Plan'!$D$6,'Planning Sheet'!CD34='Weeks Plan'!$G$6),'Planning Sheet'!$CF34,"")</f>
        <v/>
      </c>
    </row>
    <row r="2994" spans="25:27" x14ac:dyDescent="0.3">
      <c r="Y2994" s="48" t="str">
        <f ca="1">IF(AND('Planning Sheet'!CJ35='Weeks Plan'!$D$6,'Planning Sheet'!CD35='Weeks Plan'!$G$6),'Planning Sheet'!$B35,"")</f>
        <v/>
      </c>
      <c r="Z2994" s="48" t="str">
        <f ca="1">IF(AND('Planning Sheet'!CJ35='Weeks Plan'!$D$6,'Planning Sheet'!CD35='Weeks Plan'!$G$6),'Planning Sheet'!$CE35,"")</f>
        <v/>
      </c>
      <c r="AA2994" s="48" t="str">
        <f ca="1">IF(AND('Planning Sheet'!CJ35='Weeks Plan'!$D$6,'Planning Sheet'!CD35='Weeks Plan'!$G$6),'Planning Sheet'!$CF35,"")</f>
        <v/>
      </c>
    </row>
    <row r="2995" spans="25:27" x14ac:dyDescent="0.3">
      <c r="Y2995" s="48" t="str">
        <f ca="1">IF(AND('Planning Sheet'!CJ36='Weeks Plan'!$D$6,'Planning Sheet'!CD36='Weeks Plan'!$G$6),'Planning Sheet'!$B36,"")</f>
        <v/>
      </c>
      <c r="Z2995" s="48" t="str">
        <f ca="1">IF(AND('Planning Sheet'!CJ36='Weeks Plan'!$D$6,'Planning Sheet'!CD36='Weeks Plan'!$G$6),'Planning Sheet'!$CE36,"")</f>
        <v/>
      </c>
      <c r="AA2995" s="48" t="str">
        <f ca="1">IF(AND('Planning Sheet'!CJ36='Weeks Plan'!$D$6,'Planning Sheet'!CD36='Weeks Plan'!$G$6),'Planning Sheet'!$CF36,"")</f>
        <v/>
      </c>
    </row>
    <row r="2996" spans="25:27" x14ac:dyDescent="0.3">
      <c r="Y2996" s="48" t="str">
        <f ca="1">IF(AND('Planning Sheet'!CJ37='Weeks Plan'!$D$6,'Planning Sheet'!CD37='Weeks Plan'!$G$6),'Planning Sheet'!$B37,"")</f>
        <v/>
      </c>
      <c r="Z2996" s="48" t="str">
        <f ca="1">IF(AND('Planning Sheet'!CJ37='Weeks Plan'!$D$6,'Planning Sheet'!CD37='Weeks Plan'!$G$6),'Planning Sheet'!$CE37,"")</f>
        <v/>
      </c>
      <c r="AA2996" s="48" t="str">
        <f ca="1">IF(AND('Planning Sheet'!CJ37='Weeks Plan'!$D$6,'Planning Sheet'!CD37='Weeks Plan'!$G$6),'Planning Sheet'!$CF37,"")</f>
        <v/>
      </c>
    </row>
    <row r="2997" spans="25:27" x14ac:dyDescent="0.3">
      <c r="Y2997" s="48" t="str">
        <f ca="1">IF(AND('Planning Sheet'!CJ38='Weeks Plan'!$D$6,'Planning Sheet'!CD38='Weeks Plan'!$G$6),'Planning Sheet'!$B38,"")</f>
        <v/>
      </c>
      <c r="Z2997" s="48" t="str">
        <f ca="1">IF(AND('Planning Sheet'!CJ38='Weeks Plan'!$D$6,'Planning Sheet'!CD38='Weeks Plan'!$G$6),'Planning Sheet'!$CE38,"")</f>
        <v/>
      </c>
      <c r="AA2997" s="48" t="str">
        <f ca="1">IF(AND('Planning Sheet'!CJ38='Weeks Plan'!$D$6,'Planning Sheet'!CD38='Weeks Plan'!$G$6),'Planning Sheet'!$CF38,"")</f>
        <v/>
      </c>
    </row>
    <row r="2998" spans="25:27" x14ac:dyDescent="0.3">
      <c r="Y2998" s="48" t="str">
        <f ca="1">IF(AND('Planning Sheet'!CJ39='Weeks Plan'!$D$6,'Planning Sheet'!CD39='Weeks Plan'!$G$6),'Planning Sheet'!$B39,"")</f>
        <v/>
      </c>
      <c r="Z2998" s="48" t="str">
        <f ca="1">IF(AND('Planning Sheet'!CJ39='Weeks Plan'!$D$6,'Planning Sheet'!CD39='Weeks Plan'!$G$6),'Planning Sheet'!$CE39,"")</f>
        <v/>
      </c>
      <c r="AA2998" s="48" t="str">
        <f ca="1">IF(AND('Planning Sheet'!CJ39='Weeks Plan'!$D$6,'Planning Sheet'!CD39='Weeks Plan'!$G$6),'Planning Sheet'!$CF39,"")</f>
        <v/>
      </c>
    </row>
    <row r="2999" spans="25:27" x14ac:dyDescent="0.3">
      <c r="Y2999" s="48" t="str">
        <f ca="1">IF(AND('Planning Sheet'!CJ40='Weeks Plan'!$D$6,'Planning Sheet'!CD40='Weeks Plan'!$G$6),'Planning Sheet'!$B40,"")</f>
        <v/>
      </c>
      <c r="Z2999" s="48" t="str">
        <f ca="1">IF(AND('Planning Sheet'!CJ40='Weeks Plan'!$D$6,'Planning Sheet'!CD40='Weeks Plan'!$G$6),'Planning Sheet'!$CE40,"")</f>
        <v/>
      </c>
      <c r="AA2999" s="48" t="str">
        <f ca="1">IF(AND('Planning Sheet'!CJ40='Weeks Plan'!$D$6,'Planning Sheet'!CD40='Weeks Plan'!$G$6),'Planning Sheet'!$CF40,"")</f>
        <v/>
      </c>
    </row>
    <row r="3000" spans="25:27" x14ac:dyDescent="0.3">
      <c r="Y3000" s="48" t="str">
        <f ca="1">IF(AND('Planning Sheet'!CJ41='Weeks Plan'!$D$6,'Planning Sheet'!CD41='Weeks Plan'!$G$6),'Planning Sheet'!$B41,"")</f>
        <v/>
      </c>
      <c r="Z3000" s="48" t="str">
        <f ca="1">IF(AND('Planning Sheet'!CJ41='Weeks Plan'!$D$6,'Planning Sheet'!CD41='Weeks Plan'!$G$6),'Planning Sheet'!$CE41,"")</f>
        <v/>
      </c>
      <c r="AA3000" s="48" t="str">
        <f ca="1">IF(AND('Planning Sheet'!CJ41='Weeks Plan'!$D$6,'Planning Sheet'!CD41='Weeks Plan'!$G$6),'Planning Sheet'!$CF41,"")</f>
        <v/>
      </c>
    </row>
    <row r="3001" spans="25:27" x14ac:dyDescent="0.3">
      <c r="Y3001" s="48" t="str">
        <f ca="1">IF(AND('Planning Sheet'!CJ42='Weeks Plan'!$D$6,'Planning Sheet'!CD42='Weeks Plan'!$G$6),'Planning Sheet'!$B42,"")</f>
        <v/>
      </c>
      <c r="Z3001" s="48" t="str">
        <f ca="1">IF(AND('Planning Sheet'!CJ42='Weeks Plan'!$D$6,'Planning Sheet'!CD42='Weeks Plan'!$G$6),'Planning Sheet'!$CE42,"")</f>
        <v/>
      </c>
      <c r="AA3001" s="48" t="str">
        <f ca="1">IF(AND('Planning Sheet'!CJ42='Weeks Plan'!$D$6,'Planning Sheet'!CD42='Weeks Plan'!$G$6),'Planning Sheet'!$CF42,"")</f>
        <v/>
      </c>
    </row>
    <row r="3002" spans="25:27" x14ac:dyDescent="0.3">
      <c r="Y3002" s="48" t="str">
        <f ca="1">IF(AND('Planning Sheet'!CJ43='Weeks Plan'!$D$6,'Planning Sheet'!CD43='Weeks Plan'!$G$6),'Planning Sheet'!$B43,"")</f>
        <v/>
      </c>
      <c r="Z3002" s="48" t="str">
        <f ca="1">IF(AND('Planning Sheet'!CJ43='Weeks Plan'!$D$6,'Planning Sheet'!CD43='Weeks Plan'!$G$6),'Planning Sheet'!$CE43,"")</f>
        <v/>
      </c>
      <c r="AA3002" s="48" t="str">
        <f ca="1">IF(AND('Planning Sheet'!CJ43='Weeks Plan'!$D$6,'Planning Sheet'!CD43='Weeks Plan'!$G$6),'Planning Sheet'!$CF43,"")</f>
        <v/>
      </c>
    </row>
    <row r="3003" spans="25:27" x14ac:dyDescent="0.3">
      <c r="Y3003" s="48" t="str">
        <f ca="1">IF(AND('Planning Sheet'!CJ44='Weeks Plan'!$D$6,'Planning Sheet'!CD44='Weeks Plan'!$G$6),'Planning Sheet'!$B44,"")</f>
        <v/>
      </c>
      <c r="Z3003" s="48" t="str">
        <f ca="1">IF(AND('Planning Sheet'!CJ44='Weeks Plan'!$D$6,'Planning Sheet'!CD44='Weeks Plan'!$G$6),'Planning Sheet'!$CE44,"")</f>
        <v/>
      </c>
      <c r="AA3003" s="48" t="str">
        <f ca="1">IF(AND('Planning Sheet'!CJ44='Weeks Plan'!$D$6,'Planning Sheet'!CD44='Weeks Plan'!$G$6),'Planning Sheet'!$CF44,"")</f>
        <v/>
      </c>
    </row>
    <row r="3004" spans="25:27" x14ac:dyDescent="0.3">
      <c r="Y3004" s="48" t="str">
        <f ca="1">IF(AND('Planning Sheet'!CJ45='Weeks Plan'!$D$6,'Planning Sheet'!CD45='Weeks Plan'!$G$6),'Planning Sheet'!$B45,"")</f>
        <v/>
      </c>
      <c r="Z3004" s="48" t="str">
        <f ca="1">IF(AND('Planning Sheet'!CJ45='Weeks Plan'!$D$6,'Planning Sheet'!CD45='Weeks Plan'!$G$6),'Planning Sheet'!$CE45,"")</f>
        <v/>
      </c>
      <c r="AA3004" s="48" t="str">
        <f ca="1">IF(AND('Planning Sheet'!CJ45='Weeks Plan'!$D$6,'Planning Sheet'!CD45='Weeks Plan'!$G$6),'Planning Sheet'!$CF45,"")</f>
        <v/>
      </c>
    </row>
    <row r="3005" spans="25:27" x14ac:dyDescent="0.3">
      <c r="Y3005" s="48" t="str">
        <f ca="1">IF(AND('Planning Sheet'!CJ46='Weeks Plan'!$D$6,'Planning Sheet'!CD46='Weeks Plan'!$G$6),'Planning Sheet'!$B46,"")</f>
        <v/>
      </c>
      <c r="Z3005" s="48" t="str">
        <f ca="1">IF(AND('Planning Sheet'!CJ46='Weeks Plan'!$D$6,'Planning Sheet'!CD46='Weeks Plan'!$G$6),'Planning Sheet'!$CE46,"")</f>
        <v/>
      </c>
      <c r="AA3005" s="48" t="str">
        <f ca="1">IF(AND('Planning Sheet'!CJ46='Weeks Plan'!$D$6,'Planning Sheet'!CD46='Weeks Plan'!$G$6),'Planning Sheet'!$CF46,"")</f>
        <v/>
      </c>
    </row>
    <row r="3006" spans="25:27" x14ac:dyDescent="0.3">
      <c r="Y3006" s="48" t="str">
        <f ca="1">IF(AND('Planning Sheet'!CJ47='Weeks Plan'!$D$6,'Planning Sheet'!CD47='Weeks Plan'!$G$6),'Planning Sheet'!$B47,"")</f>
        <v/>
      </c>
      <c r="Z3006" s="48" t="str">
        <f ca="1">IF(AND('Planning Sheet'!CJ47='Weeks Plan'!$D$6,'Planning Sheet'!CD47='Weeks Plan'!$G$6),'Planning Sheet'!$CE47,"")</f>
        <v/>
      </c>
      <c r="AA3006" s="48" t="str">
        <f ca="1">IF(AND('Planning Sheet'!CJ47='Weeks Plan'!$D$6,'Planning Sheet'!CD47='Weeks Plan'!$G$6),'Planning Sheet'!$CF47,"")</f>
        <v/>
      </c>
    </row>
    <row r="3007" spans="25:27" x14ac:dyDescent="0.3">
      <c r="Y3007" s="48" t="str">
        <f ca="1">IF(AND('Planning Sheet'!CJ48='Weeks Plan'!$D$6,'Planning Sheet'!CD48='Weeks Plan'!$G$6),'Planning Sheet'!$B48,"")</f>
        <v/>
      </c>
      <c r="Z3007" s="48" t="str">
        <f ca="1">IF(AND('Planning Sheet'!CJ48='Weeks Plan'!$D$6,'Planning Sheet'!CD48='Weeks Plan'!$G$6),'Planning Sheet'!$CE48,"")</f>
        <v/>
      </c>
      <c r="AA3007" s="48" t="str">
        <f ca="1">IF(AND('Planning Sheet'!CJ48='Weeks Plan'!$D$6,'Planning Sheet'!CD48='Weeks Plan'!$G$6),'Planning Sheet'!$CF48,"")</f>
        <v/>
      </c>
    </row>
    <row r="3008" spans="25:27" x14ac:dyDescent="0.3">
      <c r="Y3008" s="48" t="str">
        <f ca="1">IF(AND('Planning Sheet'!CJ49='Weeks Plan'!$D$6,'Planning Sheet'!CD49='Weeks Plan'!$G$6),'Planning Sheet'!$B49,"")</f>
        <v/>
      </c>
      <c r="Z3008" s="48" t="str">
        <f ca="1">IF(AND('Planning Sheet'!CJ49='Weeks Plan'!$D$6,'Planning Sheet'!CD49='Weeks Plan'!$G$6),'Planning Sheet'!$CE49,"")</f>
        <v/>
      </c>
      <c r="AA3008" s="48" t="str">
        <f ca="1">IF(AND('Planning Sheet'!CJ49='Weeks Plan'!$D$6,'Planning Sheet'!CD49='Weeks Plan'!$G$6),'Planning Sheet'!$CF49,"")</f>
        <v/>
      </c>
    </row>
    <row r="3009" spans="25:27" x14ac:dyDescent="0.3">
      <c r="Y3009" s="48" t="str">
        <f ca="1">IF(AND('Planning Sheet'!CJ50='Weeks Plan'!$D$6,'Planning Sheet'!CD50='Weeks Plan'!$G$6),'Planning Sheet'!$B50,"")</f>
        <v/>
      </c>
      <c r="Z3009" s="48" t="str">
        <f ca="1">IF(AND('Planning Sheet'!CJ50='Weeks Plan'!$D$6,'Planning Sheet'!CD50='Weeks Plan'!$G$6),'Planning Sheet'!$CE50,"")</f>
        <v/>
      </c>
      <c r="AA3009" s="48" t="str">
        <f ca="1">IF(AND('Planning Sheet'!CJ50='Weeks Plan'!$D$6,'Planning Sheet'!CD50='Weeks Plan'!$G$6),'Planning Sheet'!$CF50,"")</f>
        <v/>
      </c>
    </row>
    <row r="3010" spans="25:27" x14ac:dyDescent="0.3">
      <c r="Y3010" s="48" t="str">
        <f ca="1">IF(AND('Planning Sheet'!CJ51='Weeks Plan'!$D$6,'Planning Sheet'!CD51='Weeks Plan'!$G$6),'Planning Sheet'!$B51,"")</f>
        <v/>
      </c>
      <c r="Z3010" s="48" t="str">
        <f ca="1">IF(AND('Planning Sheet'!CJ51='Weeks Plan'!$D$6,'Planning Sheet'!CD51='Weeks Plan'!$G$6),'Planning Sheet'!$CE51,"")</f>
        <v/>
      </c>
      <c r="AA3010" s="48" t="str">
        <f ca="1">IF(AND('Planning Sheet'!CJ51='Weeks Plan'!$D$6,'Planning Sheet'!CD51='Weeks Plan'!$G$6),'Planning Sheet'!$CF51,"")</f>
        <v/>
      </c>
    </row>
    <row r="3011" spans="25:27" x14ac:dyDescent="0.3">
      <c r="Y3011" s="48" t="str">
        <f ca="1">IF(AND('Planning Sheet'!CJ52='Weeks Plan'!$D$6,'Planning Sheet'!CD52='Weeks Plan'!$G$6),'Planning Sheet'!$B52,"")</f>
        <v/>
      </c>
      <c r="Z3011" s="48" t="str">
        <f ca="1">IF(AND('Planning Sheet'!CJ52='Weeks Plan'!$D$6,'Planning Sheet'!CD52='Weeks Plan'!$G$6),'Planning Sheet'!$CE52,"")</f>
        <v/>
      </c>
      <c r="AA3011" s="48" t="str">
        <f ca="1">IF(AND('Planning Sheet'!CJ52='Weeks Plan'!$D$6,'Planning Sheet'!CD52='Weeks Plan'!$G$6),'Planning Sheet'!$CF52,"")</f>
        <v/>
      </c>
    </row>
    <row r="3012" spans="25:27" x14ac:dyDescent="0.3">
      <c r="Y3012" s="48" t="str">
        <f ca="1">IF(AND('Planning Sheet'!CJ53='Weeks Plan'!$D$6,'Planning Sheet'!CD53='Weeks Plan'!$G$6),'Planning Sheet'!$B53,"")</f>
        <v/>
      </c>
      <c r="Z3012" s="48" t="str">
        <f ca="1">IF(AND('Planning Sheet'!CJ53='Weeks Plan'!$D$6,'Planning Sheet'!CD53='Weeks Plan'!$G$6),'Planning Sheet'!$CE53,"")</f>
        <v/>
      </c>
      <c r="AA3012" s="48" t="str">
        <f ca="1">IF(AND('Planning Sheet'!CJ53='Weeks Plan'!$D$6,'Planning Sheet'!CD53='Weeks Plan'!$G$6),'Planning Sheet'!$CF53,"")</f>
        <v/>
      </c>
    </row>
    <row r="3013" spans="25:27" x14ac:dyDescent="0.3">
      <c r="Y3013" s="48" t="str">
        <f ca="1">IF(AND('Planning Sheet'!CJ54='Weeks Plan'!$D$6,'Planning Sheet'!CD54='Weeks Plan'!$G$6),'Planning Sheet'!$B54,"")</f>
        <v/>
      </c>
      <c r="Z3013" s="48" t="str">
        <f ca="1">IF(AND('Planning Sheet'!CJ54='Weeks Plan'!$D$6,'Planning Sheet'!CD54='Weeks Plan'!$G$6),'Planning Sheet'!$CE54,"")</f>
        <v/>
      </c>
      <c r="AA3013" s="48" t="str">
        <f ca="1">IF(AND('Planning Sheet'!CJ54='Weeks Plan'!$D$6,'Planning Sheet'!CD54='Weeks Plan'!$G$6),'Planning Sheet'!$CF54,"")</f>
        <v/>
      </c>
    </row>
    <row r="3014" spans="25:27" x14ac:dyDescent="0.3">
      <c r="Y3014" s="48" t="str">
        <f ca="1">IF(AND('Planning Sheet'!CJ55='Weeks Plan'!$D$6,'Planning Sheet'!CD55='Weeks Plan'!$G$6),'Planning Sheet'!$B55,"")</f>
        <v/>
      </c>
      <c r="Z3014" s="48" t="str">
        <f ca="1">IF(AND('Planning Sheet'!CJ55='Weeks Plan'!$D$6,'Planning Sheet'!CD55='Weeks Plan'!$G$6),'Planning Sheet'!$CE55,"")</f>
        <v/>
      </c>
      <c r="AA3014" s="48" t="str">
        <f ca="1">IF(AND('Planning Sheet'!CJ55='Weeks Plan'!$D$6,'Planning Sheet'!CD55='Weeks Plan'!$G$6),'Planning Sheet'!$CF55,"")</f>
        <v/>
      </c>
    </row>
    <row r="3015" spans="25:27" x14ac:dyDescent="0.3">
      <c r="Y3015" s="48" t="str">
        <f ca="1">IF(AND('Planning Sheet'!CJ56='Weeks Plan'!$D$6,'Planning Sheet'!CD56='Weeks Plan'!$G$6),'Planning Sheet'!$B56,"")</f>
        <v/>
      </c>
      <c r="Z3015" s="48" t="str">
        <f ca="1">IF(AND('Planning Sheet'!CJ56='Weeks Plan'!$D$6,'Planning Sheet'!CD56='Weeks Plan'!$G$6),'Planning Sheet'!$CE56,"")</f>
        <v/>
      </c>
      <c r="AA3015" s="48" t="str">
        <f ca="1">IF(AND('Planning Sheet'!CJ56='Weeks Plan'!$D$6,'Planning Sheet'!CD56='Weeks Plan'!$G$6),'Planning Sheet'!$CF56,"")</f>
        <v/>
      </c>
    </row>
    <row r="3016" spans="25:27" x14ac:dyDescent="0.3">
      <c r="Y3016" s="48" t="str">
        <f ca="1">IF(AND('Planning Sheet'!CJ57='Weeks Plan'!$D$6,'Planning Sheet'!CD57='Weeks Plan'!$G$6),'Planning Sheet'!$B57,"")</f>
        <v/>
      </c>
      <c r="Z3016" s="48" t="str">
        <f ca="1">IF(AND('Planning Sheet'!CJ57='Weeks Plan'!$D$6,'Planning Sheet'!CD57='Weeks Plan'!$G$6),'Planning Sheet'!$CE57,"")</f>
        <v/>
      </c>
      <c r="AA3016" s="48" t="str">
        <f ca="1">IF(AND('Planning Sheet'!CJ57='Weeks Plan'!$D$6,'Planning Sheet'!CD57='Weeks Plan'!$G$6),'Planning Sheet'!$CF57,"")</f>
        <v/>
      </c>
    </row>
    <row r="3017" spans="25:27" x14ac:dyDescent="0.3">
      <c r="Y3017" s="48" t="str">
        <f ca="1">IF(AND('Planning Sheet'!CJ58='Weeks Plan'!$D$6,'Planning Sheet'!CD58='Weeks Plan'!$G$6),'Planning Sheet'!$B58,"")</f>
        <v/>
      </c>
      <c r="Z3017" s="48" t="str">
        <f ca="1">IF(AND('Planning Sheet'!CJ58='Weeks Plan'!$D$6,'Planning Sheet'!CD58='Weeks Plan'!$G$6),'Planning Sheet'!$CE58,"")</f>
        <v/>
      </c>
      <c r="AA3017" s="48" t="str">
        <f ca="1">IF(AND('Planning Sheet'!CJ58='Weeks Plan'!$D$6,'Planning Sheet'!CD58='Weeks Plan'!$G$6),'Planning Sheet'!$CF58,"")</f>
        <v/>
      </c>
    </row>
    <row r="3018" spans="25:27" x14ac:dyDescent="0.3">
      <c r="Y3018" s="48" t="str">
        <f ca="1">IF(AND('Planning Sheet'!CJ59='Weeks Plan'!$D$6,'Planning Sheet'!CD59='Weeks Plan'!$G$6),'Planning Sheet'!$B59,"")</f>
        <v/>
      </c>
      <c r="Z3018" s="48" t="str">
        <f ca="1">IF(AND('Planning Sheet'!CJ59='Weeks Plan'!$D$6,'Planning Sheet'!CD59='Weeks Plan'!$G$6),'Planning Sheet'!$CE59,"")</f>
        <v/>
      </c>
      <c r="AA3018" s="48" t="str">
        <f ca="1">IF(AND('Planning Sheet'!CJ59='Weeks Plan'!$D$6,'Planning Sheet'!CD59='Weeks Plan'!$G$6),'Planning Sheet'!$CF59,"")</f>
        <v/>
      </c>
    </row>
    <row r="3019" spans="25:27" x14ac:dyDescent="0.3">
      <c r="Y3019" s="48" t="str">
        <f ca="1">IF(AND('Planning Sheet'!CJ60='Weeks Plan'!$D$6,'Planning Sheet'!CD60='Weeks Plan'!$G$6),'Planning Sheet'!$B60,"")</f>
        <v/>
      </c>
      <c r="Z3019" s="48" t="str">
        <f ca="1">IF(AND('Planning Sheet'!CJ60='Weeks Plan'!$D$6,'Planning Sheet'!CD60='Weeks Plan'!$G$6),'Planning Sheet'!$CE60,"")</f>
        <v/>
      </c>
      <c r="AA3019" s="48" t="str">
        <f ca="1">IF(AND('Planning Sheet'!CJ60='Weeks Plan'!$D$6,'Planning Sheet'!CD60='Weeks Plan'!$G$6),'Planning Sheet'!$CF60,"")</f>
        <v/>
      </c>
    </row>
    <row r="3020" spans="25:27" x14ac:dyDescent="0.3">
      <c r="Y3020" s="48" t="str">
        <f ca="1">IF(AND('Planning Sheet'!CJ61='Weeks Plan'!$D$6,'Planning Sheet'!CD61='Weeks Plan'!$G$6),'Planning Sheet'!$B61,"")</f>
        <v/>
      </c>
      <c r="Z3020" s="48" t="str">
        <f ca="1">IF(AND('Planning Sheet'!CJ61='Weeks Plan'!$D$6,'Planning Sheet'!CD61='Weeks Plan'!$G$6),'Planning Sheet'!$CE61,"")</f>
        <v/>
      </c>
      <c r="AA3020" s="48" t="str">
        <f ca="1">IF(AND('Planning Sheet'!CJ61='Weeks Plan'!$D$6,'Planning Sheet'!CD61='Weeks Plan'!$G$6),'Planning Sheet'!$CF61,"")</f>
        <v/>
      </c>
    </row>
    <row r="3021" spans="25:27" x14ac:dyDescent="0.3">
      <c r="Y3021" s="48" t="str">
        <f ca="1">IF(AND('Planning Sheet'!CJ62='Weeks Plan'!$D$6,'Planning Sheet'!CD62='Weeks Plan'!$G$6),'Planning Sheet'!$B62,"")</f>
        <v/>
      </c>
      <c r="Z3021" s="48" t="str">
        <f ca="1">IF(AND('Planning Sheet'!CJ62='Weeks Plan'!$D$6,'Planning Sheet'!CD62='Weeks Plan'!$G$6),'Planning Sheet'!$CE62,"")</f>
        <v/>
      </c>
      <c r="AA3021" s="48" t="str">
        <f ca="1">IF(AND('Planning Sheet'!CJ62='Weeks Plan'!$D$6,'Planning Sheet'!CD62='Weeks Plan'!$G$6),'Planning Sheet'!$CF62,"")</f>
        <v/>
      </c>
    </row>
    <row r="3022" spans="25:27" x14ac:dyDescent="0.3">
      <c r="Y3022" s="48" t="str">
        <f ca="1">IF(AND('Planning Sheet'!CJ63='Weeks Plan'!$D$6,'Planning Sheet'!CD63='Weeks Plan'!$G$6),'Planning Sheet'!$B63,"")</f>
        <v/>
      </c>
      <c r="Z3022" s="48" t="str">
        <f ca="1">IF(AND('Planning Sheet'!CJ63='Weeks Plan'!$D$6,'Planning Sheet'!CD63='Weeks Plan'!$G$6),'Planning Sheet'!$CE63,"")</f>
        <v/>
      </c>
      <c r="AA3022" s="48" t="str">
        <f ca="1">IF(AND('Planning Sheet'!CJ63='Weeks Plan'!$D$6,'Planning Sheet'!CD63='Weeks Plan'!$G$6),'Planning Sheet'!$CF63,"")</f>
        <v/>
      </c>
    </row>
    <row r="3023" spans="25:27" x14ac:dyDescent="0.3">
      <c r="Y3023" s="48" t="str">
        <f ca="1">IF(AND('Planning Sheet'!CJ64='Weeks Plan'!$D$6,'Planning Sheet'!CD64='Weeks Plan'!$G$6),'Planning Sheet'!$B64,"")</f>
        <v/>
      </c>
      <c r="Z3023" s="48" t="str">
        <f ca="1">IF(AND('Planning Sheet'!CJ64='Weeks Plan'!$D$6,'Planning Sheet'!CD64='Weeks Plan'!$G$6),'Planning Sheet'!$CE64,"")</f>
        <v/>
      </c>
      <c r="AA3023" s="48" t="str">
        <f ca="1">IF(AND('Planning Sheet'!CJ64='Weeks Plan'!$D$6,'Planning Sheet'!CD64='Weeks Plan'!$G$6),'Planning Sheet'!$CF64,"")</f>
        <v/>
      </c>
    </row>
    <row r="3024" spans="25:27" x14ac:dyDescent="0.3">
      <c r="Y3024" s="48" t="str">
        <f ca="1">IF(AND('Planning Sheet'!CJ65='Weeks Plan'!$D$6,'Planning Sheet'!CD65='Weeks Plan'!$G$6),'Planning Sheet'!$B65,"")</f>
        <v/>
      </c>
      <c r="Z3024" s="48" t="str">
        <f ca="1">IF(AND('Planning Sheet'!CJ65='Weeks Plan'!$D$6,'Planning Sheet'!CD65='Weeks Plan'!$G$6),'Planning Sheet'!$CE65,"")</f>
        <v/>
      </c>
      <c r="AA3024" s="48" t="str">
        <f ca="1">IF(AND('Planning Sheet'!CJ65='Weeks Plan'!$D$6,'Planning Sheet'!CD65='Weeks Plan'!$G$6),'Planning Sheet'!$CF65,"")</f>
        <v/>
      </c>
    </row>
    <row r="3025" spans="25:27" x14ac:dyDescent="0.3">
      <c r="Y3025" s="48" t="str">
        <f ca="1">IF(AND('Planning Sheet'!CJ66='Weeks Plan'!$D$6,'Planning Sheet'!CD66='Weeks Plan'!$G$6),'Planning Sheet'!$B66,"")</f>
        <v/>
      </c>
      <c r="Z3025" s="48" t="str">
        <f ca="1">IF(AND('Planning Sheet'!CJ66='Weeks Plan'!$D$6,'Planning Sheet'!CD66='Weeks Plan'!$G$6),'Planning Sheet'!$CE66,"")</f>
        <v/>
      </c>
      <c r="AA3025" s="48" t="str">
        <f ca="1">IF(AND('Planning Sheet'!CJ66='Weeks Plan'!$D$6,'Planning Sheet'!CD66='Weeks Plan'!$G$6),'Planning Sheet'!$CF66,"")</f>
        <v/>
      </c>
    </row>
    <row r="3026" spans="25:27" x14ac:dyDescent="0.3">
      <c r="Y3026" s="48" t="str">
        <f ca="1">IF(AND('Planning Sheet'!CJ67='Weeks Plan'!$D$6,'Planning Sheet'!CD67='Weeks Plan'!$G$6),'Planning Sheet'!$B67,"")</f>
        <v/>
      </c>
      <c r="Z3026" s="48" t="str">
        <f ca="1">IF(AND('Planning Sheet'!CJ67='Weeks Plan'!$D$6,'Planning Sheet'!CD67='Weeks Plan'!$G$6),'Planning Sheet'!$CE67,"")</f>
        <v/>
      </c>
      <c r="AA3026" s="48" t="str">
        <f ca="1">IF(AND('Planning Sheet'!CJ67='Weeks Plan'!$D$6,'Planning Sheet'!CD67='Weeks Plan'!$G$6),'Planning Sheet'!$CF67,"")</f>
        <v/>
      </c>
    </row>
    <row r="3027" spans="25:27" x14ac:dyDescent="0.3">
      <c r="Y3027" s="48" t="str">
        <f ca="1">IF(AND('Planning Sheet'!CJ68='Weeks Plan'!$D$6,'Planning Sheet'!CD68='Weeks Plan'!$G$6),'Planning Sheet'!$B68,"")</f>
        <v/>
      </c>
      <c r="Z3027" s="48" t="str">
        <f ca="1">IF(AND('Planning Sheet'!CJ68='Weeks Plan'!$D$6,'Planning Sheet'!CD68='Weeks Plan'!$G$6),'Planning Sheet'!$CE68,"")</f>
        <v/>
      </c>
      <c r="AA3027" s="48" t="str">
        <f ca="1">IF(AND('Planning Sheet'!CJ68='Weeks Plan'!$D$6,'Planning Sheet'!CD68='Weeks Plan'!$G$6),'Planning Sheet'!$CF68,"")</f>
        <v/>
      </c>
    </row>
    <row r="3028" spans="25:27" x14ac:dyDescent="0.3">
      <c r="Y3028" s="48" t="str">
        <f ca="1">IF(AND('Planning Sheet'!CJ69='Weeks Plan'!$D$6,'Planning Sheet'!CD69='Weeks Plan'!$G$6),'Planning Sheet'!$B69,"")</f>
        <v/>
      </c>
      <c r="Z3028" s="48" t="str">
        <f ca="1">IF(AND('Planning Sheet'!CJ69='Weeks Plan'!$D$6,'Planning Sheet'!CD69='Weeks Plan'!$G$6),'Planning Sheet'!$CE69,"")</f>
        <v/>
      </c>
      <c r="AA3028" s="48" t="str">
        <f ca="1">IF(AND('Planning Sheet'!CJ69='Weeks Plan'!$D$6,'Planning Sheet'!CD69='Weeks Plan'!$G$6),'Planning Sheet'!$CF69,"")</f>
        <v/>
      </c>
    </row>
    <row r="3029" spans="25:27" x14ac:dyDescent="0.3">
      <c r="Y3029" s="48" t="str">
        <f ca="1">IF(AND('Planning Sheet'!CJ70='Weeks Plan'!$D$6,'Planning Sheet'!CD70='Weeks Plan'!$G$6),'Planning Sheet'!$B70,"")</f>
        <v/>
      </c>
      <c r="Z3029" s="48" t="str">
        <f ca="1">IF(AND('Planning Sheet'!CJ70='Weeks Plan'!$D$6,'Planning Sheet'!CD70='Weeks Plan'!$G$6),'Planning Sheet'!$CE70,"")</f>
        <v/>
      </c>
      <c r="AA3029" s="48" t="str">
        <f ca="1">IF(AND('Planning Sheet'!CJ70='Weeks Plan'!$D$6,'Planning Sheet'!CD70='Weeks Plan'!$G$6),'Planning Sheet'!$CF70,"")</f>
        <v/>
      </c>
    </row>
    <row r="3030" spans="25:27" x14ac:dyDescent="0.3">
      <c r="Y3030" s="48" t="str">
        <f ca="1">IF(AND('Planning Sheet'!CJ71='Weeks Plan'!$D$6,'Planning Sheet'!CD71='Weeks Plan'!$G$6),'Planning Sheet'!$B71,"")</f>
        <v/>
      </c>
      <c r="Z3030" s="48" t="str">
        <f ca="1">IF(AND('Planning Sheet'!CJ71='Weeks Plan'!$D$6,'Planning Sheet'!CD71='Weeks Plan'!$G$6),'Planning Sheet'!$CE71,"")</f>
        <v/>
      </c>
      <c r="AA3030" s="48" t="str">
        <f ca="1">IF(AND('Planning Sheet'!CJ71='Weeks Plan'!$D$6,'Planning Sheet'!CD71='Weeks Plan'!$G$6),'Planning Sheet'!$CF71,"")</f>
        <v/>
      </c>
    </row>
    <row r="3031" spans="25:27" x14ac:dyDescent="0.3">
      <c r="Y3031" s="48" t="str">
        <f ca="1">IF(AND('Planning Sheet'!CJ72='Weeks Plan'!$D$6,'Planning Sheet'!CD72='Weeks Plan'!$G$6),'Planning Sheet'!$B72,"")</f>
        <v/>
      </c>
      <c r="Z3031" s="48" t="str">
        <f ca="1">IF(AND('Planning Sheet'!CJ72='Weeks Plan'!$D$6,'Planning Sheet'!CD72='Weeks Plan'!$G$6),'Planning Sheet'!$CE72,"")</f>
        <v/>
      </c>
      <c r="AA3031" s="48" t="str">
        <f ca="1">IF(AND('Planning Sheet'!CJ72='Weeks Plan'!$D$6,'Planning Sheet'!CD72='Weeks Plan'!$G$6),'Planning Sheet'!$CF72,"")</f>
        <v/>
      </c>
    </row>
    <row r="3032" spans="25:27" x14ac:dyDescent="0.3">
      <c r="Y3032" s="48" t="str">
        <f ca="1">IF(AND('Planning Sheet'!CJ73='Weeks Plan'!$D$6,'Planning Sheet'!CD73='Weeks Plan'!$G$6),'Planning Sheet'!$B73,"")</f>
        <v/>
      </c>
      <c r="Z3032" s="48" t="str">
        <f ca="1">IF(AND('Planning Sheet'!CJ73='Weeks Plan'!$D$6,'Planning Sheet'!CD73='Weeks Plan'!$G$6),'Planning Sheet'!$CE73,"")</f>
        <v/>
      </c>
      <c r="AA3032" s="48" t="str">
        <f ca="1">IF(AND('Planning Sheet'!CJ73='Weeks Plan'!$D$6,'Planning Sheet'!CD73='Weeks Plan'!$G$6),'Planning Sheet'!$CF73,"")</f>
        <v/>
      </c>
    </row>
    <row r="3033" spans="25:27" x14ac:dyDescent="0.3">
      <c r="Y3033" s="48" t="str">
        <f ca="1">IF(AND('Planning Sheet'!CJ74='Weeks Plan'!$D$6,'Planning Sheet'!CD74='Weeks Plan'!$G$6),'Planning Sheet'!$B74,"")</f>
        <v/>
      </c>
      <c r="Z3033" s="48" t="str">
        <f ca="1">IF(AND('Planning Sheet'!CJ74='Weeks Plan'!$D$6,'Planning Sheet'!CD74='Weeks Plan'!$G$6),'Planning Sheet'!$CE74,"")</f>
        <v/>
      </c>
      <c r="AA3033" s="48" t="str">
        <f ca="1">IF(AND('Planning Sheet'!CJ74='Weeks Plan'!$D$6,'Planning Sheet'!CD74='Weeks Plan'!$G$6),'Planning Sheet'!$CF74,"")</f>
        <v/>
      </c>
    </row>
    <row r="3034" spans="25:27" x14ac:dyDescent="0.3">
      <c r="Y3034" s="48" t="str">
        <f ca="1">IF(AND('Planning Sheet'!CJ75='Weeks Plan'!$D$6,'Planning Sheet'!CD75='Weeks Plan'!$G$6),'Planning Sheet'!$B75,"")</f>
        <v/>
      </c>
      <c r="Z3034" s="48" t="str">
        <f ca="1">IF(AND('Planning Sheet'!CJ75='Weeks Plan'!$D$6,'Planning Sheet'!CD75='Weeks Plan'!$G$6),'Planning Sheet'!$CE75,"")</f>
        <v/>
      </c>
      <c r="AA3034" s="48" t="str">
        <f ca="1">IF(AND('Planning Sheet'!CJ75='Weeks Plan'!$D$6,'Planning Sheet'!CD75='Weeks Plan'!$G$6),'Planning Sheet'!$CF75,"")</f>
        <v/>
      </c>
    </row>
    <row r="3035" spans="25:27" x14ac:dyDescent="0.3">
      <c r="Y3035" s="48" t="str">
        <f ca="1">IF(AND('Planning Sheet'!CJ76='Weeks Plan'!$D$6,'Planning Sheet'!CD76='Weeks Plan'!$G$6),'Planning Sheet'!$B76,"")</f>
        <v/>
      </c>
      <c r="Z3035" s="48" t="str">
        <f ca="1">IF(AND('Planning Sheet'!CJ76='Weeks Plan'!$D$6,'Planning Sheet'!CD76='Weeks Plan'!$G$6),'Planning Sheet'!$CE76,"")</f>
        <v/>
      </c>
      <c r="AA3035" s="48" t="str">
        <f ca="1">IF(AND('Planning Sheet'!CJ76='Weeks Plan'!$D$6,'Planning Sheet'!CD76='Weeks Plan'!$G$6),'Planning Sheet'!$CF76,"")</f>
        <v/>
      </c>
    </row>
    <row r="3036" spans="25:27" x14ac:dyDescent="0.3">
      <c r="Y3036" s="48" t="str">
        <f ca="1">IF(AND('Planning Sheet'!CJ77='Weeks Plan'!$D$6,'Planning Sheet'!CD77='Weeks Plan'!$G$6),'Planning Sheet'!$B77,"")</f>
        <v/>
      </c>
      <c r="Z3036" s="48" t="str">
        <f ca="1">IF(AND('Planning Sheet'!CJ77='Weeks Plan'!$D$6,'Planning Sheet'!CD77='Weeks Plan'!$G$6),'Planning Sheet'!$CE77,"")</f>
        <v/>
      </c>
      <c r="AA3036" s="48" t="str">
        <f ca="1">IF(AND('Planning Sheet'!CJ77='Weeks Plan'!$D$6,'Planning Sheet'!CD77='Weeks Plan'!$G$6),'Planning Sheet'!$CF77,"")</f>
        <v/>
      </c>
    </row>
    <row r="3037" spans="25:27" x14ac:dyDescent="0.3">
      <c r="Y3037" s="48" t="str">
        <f ca="1">IF(AND('Planning Sheet'!CJ78='Weeks Plan'!$D$6,'Planning Sheet'!CD78='Weeks Plan'!$G$6),'Planning Sheet'!$B78,"")</f>
        <v/>
      </c>
      <c r="Z3037" s="48" t="str">
        <f ca="1">IF(AND('Planning Sheet'!CJ78='Weeks Plan'!$D$6,'Planning Sheet'!CD78='Weeks Plan'!$G$6),'Planning Sheet'!$CE78,"")</f>
        <v/>
      </c>
      <c r="AA3037" s="48" t="str">
        <f ca="1">IF(AND('Planning Sheet'!CJ78='Weeks Plan'!$D$6,'Planning Sheet'!CD78='Weeks Plan'!$G$6),'Planning Sheet'!$CF78,"")</f>
        <v/>
      </c>
    </row>
    <row r="3038" spans="25:27" x14ac:dyDescent="0.3">
      <c r="Y3038" s="48" t="str">
        <f ca="1">IF(AND('Planning Sheet'!CJ79='Weeks Plan'!$D$6,'Planning Sheet'!CD79='Weeks Plan'!$G$6),'Planning Sheet'!$B79,"")</f>
        <v/>
      </c>
      <c r="Z3038" s="48" t="str">
        <f ca="1">IF(AND('Planning Sheet'!CJ79='Weeks Plan'!$D$6,'Planning Sheet'!CD79='Weeks Plan'!$G$6),'Planning Sheet'!$CE79,"")</f>
        <v/>
      </c>
      <c r="AA3038" s="48" t="str">
        <f ca="1">IF(AND('Planning Sheet'!CJ79='Weeks Plan'!$D$6,'Planning Sheet'!CD79='Weeks Plan'!$G$6),'Planning Sheet'!$CF79,"")</f>
        <v/>
      </c>
    </row>
    <row r="3039" spans="25:27" x14ac:dyDescent="0.3">
      <c r="Y3039" s="48" t="str">
        <f ca="1">IF(AND('Planning Sheet'!CJ80='Weeks Plan'!$D$6,'Planning Sheet'!CD80='Weeks Plan'!$G$6),'Planning Sheet'!$B80,"")</f>
        <v/>
      </c>
      <c r="Z3039" s="48" t="str">
        <f ca="1">IF(AND('Planning Sheet'!CJ80='Weeks Plan'!$D$6,'Planning Sheet'!CD80='Weeks Plan'!$G$6),'Planning Sheet'!$CE80,"")</f>
        <v/>
      </c>
      <c r="AA3039" s="48" t="str">
        <f ca="1">IF(AND('Planning Sheet'!CJ80='Weeks Plan'!$D$6,'Planning Sheet'!CD80='Weeks Plan'!$G$6),'Planning Sheet'!$CF80,"")</f>
        <v/>
      </c>
    </row>
    <row r="3040" spans="25:27" x14ac:dyDescent="0.3">
      <c r="Y3040" s="48" t="str">
        <f ca="1">IF(AND('Planning Sheet'!CJ81='Weeks Plan'!$D$6,'Planning Sheet'!CD81='Weeks Plan'!$G$6),'Planning Sheet'!$B81,"")</f>
        <v/>
      </c>
      <c r="Z3040" s="48" t="str">
        <f ca="1">IF(AND('Planning Sheet'!CJ81='Weeks Plan'!$D$6,'Planning Sheet'!CD81='Weeks Plan'!$G$6),'Planning Sheet'!$CE81,"")</f>
        <v/>
      </c>
      <c r="AA3040" s="48" t="str">
        <f ca="1">IF(AND('Planning Sheet'!CJ81='Weeks Plan'!$D$6,'Planning Sheet'!CD81='Weeks Plan'!$G$6),'Planning Sheet'!$CF81,"")</f>
        <v/>
      </c>
    </row>
    <row r="3041" spans="25:27" x14ac:dyDescent="0.3">
      <c r="Y3041" s="48" t="str">
        <f ca="1">IF(AND('Planning Sheet'!CJ82='Weeks Plan'!$D$6,'Planning Sheet'!CD82='Weeks Plan'!$G$6),'Planning Sheet'!$B82,"")</f>
        <v/>
      </c>
      <c r="Z3041" s="48" t="str">
        <f ca="1">IF(AND('Planning Sheet'!CJ82='Weeks Plan'!$D$6,'Planning Sheet'!CD82='Weeks Plan'!$G$6),'Planning Sheet'!$CE82,"")</f>
        <v/>
      </c>
      <c r="AA3041" s="48" t="str">
        <f ca="1">IF(AND('Planning Sheet'!CJ82='Weeks Plan'!$D$6,'Planning Sheet'!CD82='Weeks Plan'!$G$6),'Planning Sheet'!$CF82,"")</f>
        <v/>
      </c>
    </row>
    <row r="3042" spans="25:27" x14ac:dyDescent="0.3">
      <c r="Y3042" s="48" t="str">
        <f ca="1">IF(AND('Planning Sheet'!CJ83='Weeks Plan'!$D$6,'Planning Sheet'!CD83='Weeks Plan'!$G$6),'Planning Sheet'!$B83,"")</f>
        <v/>
      </c>
      <c r="Z3042" s="48" t="str">
        <f ca="1">IF(AND('Planning Sheet'!CJ83='Weeks Plan'!$D$6,'Planning Sheet'!CD83='Weeks Plan'!$G$6),'Planning Sheet'!$CE83,"")</f>
        <v/>
      </c>
      <c r="AA3042" s="48" t="str">
        <f ca="1">IF(AND('Planning Sheet'!CJ83='Weeks Plan'!$D$6,'Planning Sheet'!CD83='Weeks Plan'!$G$6),'Planning Sheet'!$CF83,"")</f>
        <v/>
      </c>
    </row>
    <row r="3043" spans="25:27" x14ac:dyDescent="0.3">
      <c r="Y3043" s="48" t="str">
        <f ca="1">IF(AND('Planning Sheet'!CJ84='Weeks Plan'!$D$6,'Planning Sheet'!CD84='Weeks Plan'!$G$6),'Planning Sheet'!$B84,"")</f>
        <v/>
      </c>
      <c r="Z3043" s="48" t="str">
        <f ca="1">IF(AND('Planning Sheet'!CJ84='Weeks Plan'!$D$6,'Planning Sheet'!CD84='Weeks Plan'!$G$6),'Planning Sheet'!$CE84,"")</f>
        <v/>
      </c>
      <c r="AA3043" s="48" t="str">
        <f ca="1">IF(AND('Planning Sheet'!CJ84='Weeks Plan'!$D$6,'Planning Sheet'!CD84='Weeks Plan'!$G$6),'Planning Sheet'!$CF84,"")</f>
        <v/>
      </c>
    </row>
    <row r="3044" spans="25:27" x14ac:dyDescent="0.3">
      <c r="Y3044" s="48" t="str">
        <f ca="1">IF(AND('Planning Sheet'!CJ85='Weeks Plan'!$D$6,'Planning Sheet'!CD85='Weeks Plan'!$G$6),'Planning Sheet'!$B85,"")</f>
        <v/>
      </c>
      <c r="Z3044" s="48" t="str">
        <f ca="1">IF(AND('Planning Sheet'!CJ85='Weeks Plan'!$D$6,'Planning Sheet'!CD85='Weeks Plan'!$G$6),'Planning Sheet'!$CE85,"")</f>
        <v/>
      </c>
      <c r="AA3044" s="48" t="str">
        <f ca="1">IF(AND('Planning Sheet'!CJ85='Weeks Plan'!$D$6,'Planning Sheet'!CD85='Weeks Plan'!$G$6),'Planning Sheet'!$CF85,"")</f>
        <v/>
      </c>
    </row>
    <row r="3045" spans="25:27" x14ac:dyDescent="0.3">
      <c r="Y3045" s="48" t="str">
        <f ca="1">IF(AND('Planning Sheet'!CJ86='Weeks Plan'!$D$6,'Planning Sheet'!CD86='Weeks Plan'!$G$6),'Planning Sheet'!$B86,"")</f>
        <v/>
      </c>
      <c r="Z3045" s="48" t="str">
        <f ca="1">IF(AND('Planning Sheet'!CJ86='Weeks Plan'!$D$6,'Planning Sheet'!CD86='Weeks Plan'!$G$6),'Planning Sheet'!$CE86,"")</f>
        <v/>
      </c>
      <c r="AA3045" s="48" t="str">
        <f ca="1">IF(AND('Planning Sheet'!CJ86='Weeks Plan'!$D$6,'Planning Sheet'!CD86='Weeks Plan'!$G$6),'Planning Sheet'!$CF86,"")</f>
        <v/>
      </c>
    </row>
    <row r="3046" spans="25:27" x14ac:dyDescent="0.3">
      <c r="Y3046" s="48" t="str">
        <f ca="1">IF(AND('Planning Sheet'!CJ87='Weeks Plan'!$D$6,'Planning Sheet'!CD87='Weeks Plan'!$G$6),'Planning Sheet'!$B87,"")</f>
        <v/>
      </c>
      <c r="Z3046" s="48" t="str">
        <f ca="1">IF(AND('Planning Sheet'!CJ87='Weeks Plan'!$D$6,'Planning Sheet'!CD87='Weeks Plan'!$G$6),'Planning Sheet'!$CE87,"")</f>
        <v/>
      </c>
      <c r="AA3046" s="48" t="str">
        <f ca="1">IF(AND('Planning Sheet'!CJ87='Weeks Plan'!$D$6,'Planning Sheet'!CD87='Weeks Plan'!$G$6),'Planning Sheet'!$CF87,"")</f>
        <v/>
      </c>
    </row>
    <row r="3047" spans="25:27" x14ac:dyDescent="0.3">
      <c r="Y3047" s="48" t="str">
        <f ca="1">IF(AND('Planning Sheet'!CJ88='Weeks Plan'!$D$6,'Planning Sheet'!CD88='Weeks Plan'!$G$6),'Planning Sheet'!$B88,"")</f>
        <v/>
      </c>
      <c r="Z3047" s="48" t="str">
        <f ca="1">IF(AND('Planning Sheet'!CJ88='Weeks Plan'!$D$6,'Planning Sheet'!CD88='Weeks Plan'!$G$6),'Planning Sheet'!$CE88,"")</f>
        <v/>
      </c>
      <c r="AA3047" s="48" t="str">
        <f ca="1">IF(AND('Planning Sheet'!CJ88='Weeks Plan'!$D$6,'Planning Sheet'!CD88='Weeks Plan'!$G$6),'Planning Sheet'!$CF88,"")</f>
        <v/>
      </c>
    </row>
    <row r="3048" spans="25:27" x14ac:dyDescent="0.3">
      <c r="Y3048" s="48" t="str">
        <f ca="1">IF(AND('Planning Sheet'!CJ89='Weeks Plan'!$D$6,'Planning Sheet'!CD89='Weeks Plan'!$G$6),'Planning Sheet'!$B89,"")</f>
        <v/>
      </c>
      <c r="Z3048" s="48" t="str">
        <f ca="1">IF(AND('Planning Sheet'!CJ89='Weeks Plan'!$D$6,'Planning Sheet'!CD89='Weeks Plan'!$G$6),'Planning Sheet'!$CE89,"")</f>
        <v/>
      </c>
      <c r="AA3048" s="48" t="str">
        <f ca="1">IF(AND('Planning Sheet'!CJ89='Weeks Plan'!$D$6,'Planning Sheet'!CD89='Weeks Plan'!$G$6),'Planning Sheet'!$CF89,"")</f>
        <v/>
      </c>
    </row>
    <row r="3049" spans="25:27" x14ac:dyDescent="0.3">
      <c r="Y3049" s="48" t="str">
        <f ca="1">IF(AND('Planning Sheet'!CJ90='Weeks Plan'!$D$6,'Planning Sheet'!CD90='Weeks Plan'!$G$6),'Planning Sheet'!$B90,"")</f>
        <v/>
      </c>
      <c r="Z3049" s="48" t="str">
        <f ca="1">IF(AND('Planning Sheet'!CJ90='Weeks Plan'!$D$6,'Planning Sheet'!CD90='Weeks Plan'!$G$6),'Planning Sheet'!$CE90,"")</f>
        <v/>
      </c>
      <c r="AA3049" s="48" t="str">
        <f ca="1">IF(AND('Planning Sheet'!CJ90='Weeks Plan'!$D$6,'Planning Sheet'!CD90='Weeks Plan'!$G$6),'Planning Sheet'!$CF90,"")</f>
        <v/>
      </c>
    </row>
    <row r="3050" spans="25:27" x14ac:dyDescent="0.3">
      <c r="Y3050" s="48" t="str">
        <f ca="1">IF(AND('Planning Sheet'!CJ91='Weeks Plan'!$D$6,'Planning Sheet'!CD91='Weeks Plan'!$G$6),'Planning Sheet'!$B91,"")</f>
        <v/>
      </c>
      <c r="Z3050" s="48" t="str">
        <f ca="1">IF(AND('Planning Sheet'!CJ91='Weeks Plan'!$D$6,'Planning Sheet'!CD91='Weeks Plan'!$G$6),'Planning Sheet'!$CE91,"")</f>
        <v/>
      </c>
      <c r="AA3050" s="48" t="str">
        <f ca="1">IF(AND('Planning Sheet'!CJ91='Weeks Plan'!$D$6,'Planning Sheet'!CD91='Weeks Plan'!$G$6),'Planning Sheet'!$CF91,"")</f>
        <v/>
      </c>
    </row>
    <row r="3051" spans="25:27" x14ac:dyDescent="0.3">
      <c r="Y3051" s="48" t="str">
        <f ca="1">IF(AND('Planning Sheet'!CJ92='Weeks Plan'!$D$6,'Planning Sheet'!CD92='Weeks Plan'!$G$6),'Planning Sheet'!$B92,"")</f>
        <v/>
      </c>
      <c r="Z3051" s="48" t="str">
        <f ca="1">IF(AND('Planning Sheet'!CJ92='Weeks Plan'!$D$6,'Planning Sheet'!CD92='Weeks Plan'!$G$6),'Planning Sheet'!$CE92,"")</f>
        <v/>
      </c>
      <c r="AA3051" s="48" t="str">
        <f ca="1">IF(AND('Planning Sheet'!CJ92='Weeks Plan'!$D$6,'Planning Sheet'!CD92='Weeks Plan'!$G$6),'Planning Sheet'!$CF92,"")</f>
        <v/>
      </c>
    </row>
    <row r="3052" spans="25:27" x14ac:dyDescent="0.3">
      <c r="Y3052" s="48" t="str">
        <f ca="1">IF(AND('Planning Sheet'!CJ93='Weeks Plan'!$D$6,'Planning Sheet'!CD93='Weeks Plan'!$G$6),'Planning Sheet'!$B93,"")</f>
        <v/>
      </c>
      <c r="Z3052" s="48" t="str">
        <f ca="1">IF(AND('Planning Sheet'!CJ93='Weeks Plan'!$D$6,'Planning Sheet'!CD93='Weeks Plan'!$G$6),'Planning Sheet'!$CE93,"")</f>
        <v/>
      </c>
      <c r="AA3052" s="48" t="str">
        <f ca="1">IF(AND('Planning Sheet'!CJ93='Weeks Plan'!$D$6,'Planning Sheet'!CD93='Weeks Plan'!$G$6),'Planning Sheet'!$CF93,"")</f>
        <v/>
      </c>
    </row>
    <row r="3053" spans="25:27" x14ac:dyDescent="0.3">
      <c r="Y3053" s="48" t="str">
        <f ca="1">IF(AND('Planning Sheet'!CJ94='Weeks Plan'!$D$6,'Planning Sheet'!CD94='Weeks Plan'!$G$6),'Planning Sheet'!$B94,"")</f>
        <v/>
      </c>
      <c r="Z3053" s="48" t="str">
        <f ca="1">IF(AND('Planning Sheet'!CJ94='Weeks Plan'!$D$6,'Planning Sheet'!CD94='Weeks Plan'!$G$6),'Planning Sheet'!$CE94,"")</f>
        <v/>
      </c>
      <c r="AA3053" s="48" t="str">
        <f ca="1">IF(AND('Planning Sheet'!CJ94='Weeks Plan'!$D$6,'Planning Sheet'!CD94='Weeks Plan'!$G$6),'Planning Sheet'!$CF94,"")</f>
        <v/>
      </c>
    </row>
    <row r="3054" spans="25:27" x14ac:dyDescent="0.3">
      <c r="Y3054" s="48" t="str">
        <f ca="1">IF(AND('Planning Sheet'!CJ95='Weeks Plan'!$D$6,'Planning Sheet'!CD95='Weeks Plan'!$G$6),'Planning Sheet'!$B95,"")</f>
        <v/>
      </c>
      <c r="Z3054" s="48" t="str">
        <f ca="1">IF(AND('Planning Sheet'!CJ95='Weeks Plan'!$D$6,'Planning Sheet'!CD95='Weeks Plan'!$G$6),'Planning Sheet'!$CE95,"")</f>
        <v/>
      </c>
      <c r="AA3054" s="48" t="str">
        <f ca="1">IF(AND('Planning Sheet'!CJ95='Weeks Plan'!$D$6,'Planning Sheet'!CD95='Weeks Plan'!$G$6),'Planning Sheet'!$CF95,"")</f>
        <v/>
      </c>
    </row>
    <row r="3055" spans="25:27" x14ac:dyDescent="0.3">
      <c r="Y3055" s="48" t="str">
        <f ca="1">IF(AND('Planning Sheet'!CJ96='Weeks Plan'!$D$6,'Planning Sheet'!CD96='Weeks Plan'!$G$6),'Planning Sheet'!$B96,"")</f>
        <v/>
      </c>
      <c r="Z3055" s="48" t="str">
        <f ca="1">IF(AND('Planning Sheet'!CJ96='Weeks Plan'!$D$6,'Planning Sheet'!CD96='Weeks Plan'!$G$6),'Planning Sheet'!$CE96,"")</f>
        <v/>
      </c>
      <c r="AA3055" s="48" t="str">
        <f ca="1">IF(AND('Planning Sheet'!CJ96='Weeks Plan'!$D$6,'Planning Sheet'!CD96='Weeks Plan'!$G$6),'Planning Sheet'!$CF96,"")</f>
        <v/>
      </c>
    </row>
    <row r="3056" spans="25:27" x14ac:dyDescent="0.3">
      <c r="Y3056" s="48" t="str">
        <f ca="1">IF(AND('Planning Sheet'!CJ97='Weeks Plan'!$D$6,'Planning Sheet'!CD97='Weeks Plan'!$G$6),'Planning Sheet'!$B97,"")</f>
        <v/>
      </c>
      <c r="Z3056" s="48" t="str">
        <f ca="1">IF(AND('Planning Sheet'!CJ97='Weeks Plan'!$D$6,'Planning Sheet'!CD97='Weeks Plan'!$G$6),'Planning Sheet'!$CE97,"")</f>
        <v/>
      </c>
      <c r="AA3056" s="48" t="str">
        <f ca="1">IF(AND('Planning Sheet'!CJ97='Weeks Plan'!$D$6,'Planning Sheet'!CD97='Weeks Plan'!$G$6),'Planning Sheet'!$CF97,"")</f>
        <v/>
      </c>
    </row>
    <row r="3057" spans="25:27" x14ac:dyDescent="0.3">
      <c r="Y3057" s="48" t="str">
        <f ca="1">IF(AND('Planning Sheet'!CJ98='Weeks Plan'!$D$6,'Planning Sheet'!CD98='Weeks Plan'!$G$6),'Planning Sheet'!$B98,"")</f>
        <v/>
      </c>
      <c r="Z3057" s="48" t="str">
        <f ca="1">IF(AND('Planning Sheet'!CJ98='Weeks Plan'!$D$6,'Planning Sheet'!CD98='Weeks Plan'!$G$6),'Planning Sheet'!$CE98,"")</f>
        <v/>
      </c>
      <c r="AA3057" s="48" t="str">
        <f ca="1">IF(AND('Planning Sheet'!CJ98='Weeks Plan'!$D$6,'Planning Sheet'!CD98='Weeks Plan'!$G$6),'Planning Sheet'!$CF98,"")</f>
        <v/>
      </c>
    </row>
    <row r="3058" spans="25:27" x14ac:dyDescent="0.3">
      <c r="Y3058" s="48" t="str">
        <f ca="1">IF(AND('Planning Sheet'!CJ99='Weeks Plan'!$D$6,'Planning Sheet'!CD99='Weeks Plan'!$G$6),'Planning Sheet'!$B99,"")</f>
        <v/>
      </c>
      <c r="Z3058" s="48" t="str">
        <f ca="1">IF(AND('Planning Sheet'!CJ99='Weeks Plan'!$D$6,'Planning Sheet'!CD99='Weeks Plan'!$G$6),'Planning Sheet'!$CE99,"")</f>
        <v/>
      </c>
      <c r="AA3058" s="48" t="str">
        <f ca="1">IF(AND('Planning Sheet'!CJ99='Weeks Plan'!$D$6,'Planning Sheet'!CD99='Weeks Plan'!$G$6),'Planning Sheet'!$CF99,"")</f>
        <v/>
      </c>
    </row>
    <row r="3059" spans="25:27" x14ac:dyDescent="0.3">
      <c r="Y3059" s="48" t="str">
        <f ca="1">IF(AND('Planning Sheet'!CJ100='Weeks Plan'!$D$6,'Planning Sheet'!CD100='Weeks Plan'!$G$6),'Planning Sheet'!$B100,"")</f>
        <v/>
      </c>
      <c r="Z3059" s="48" t="str">
        <f ca="1">IF(AND('Planning Sheet'!CJ100='Weeks Plan'!$D$6,'Planning Sheet'!CD100='Weeks Plan'!$G$6),'Planning Sheet'!$CE100,"")</f>
        <v/>
      </c>
      <c r="AA3059" s="48" t="str">
        <f ca="1">IF(AND('Planning Sheet'!CJ100='Weeks Plan'!$D$6,'Planning Sheet'!CD100='Weeks Plan'!$G$6),'Planning Sheet'!$CF100,"")</f>
        <v/>
      </c>
    </row>
    <row r="3060" spans="25:27" x14ac:dyDescent="0.3">
      <c r="Y3060" s="48" t="str">
        <f ca="1">IF(AND('Planning Sheet'!CJ101='Weeks Plan'!$D$6,'Planning Sheet'!CD101='Weeks Plan'!$G$6),'Planning Sheet'!$B101,"")</f>
        <v/>
      </c>
      <c r="Z3060" s="48" t="str">
        <f ca="1">IF(AND('Planning Sheet'!CJ101='Weeks Plan'!$D$6,'Planning Sheet'!CD101='Weeks Plan'!$G$6),'Planning Sheet'!$CE101,"")</f>
        <v/>
      </c>
      <c r="AA3060" s="48" t="str">
        <f ca="1">IF(AND('Planning Sheet'!CJ101='Weeks Plan'!$D$6,'Planning Sheet'!CD101='Weeks Plan'!$G$6),'Planning Sheet'!$CF101,"")</f>
        <v/>
      </c>
    </row>
    <row r="3061" spans="25:27" x14ac:dyDescent="0.3">
      <c r="Y3061" s="48" t="str">
        <f ca="1">IF(AND('Planning Sheet'!CJ102='Weeks Plan'!$D$6,'Planning Sheet'!CD102='Weeks Plan'!$G$6),'Planning Sheet'!$B102,"")</f>
        <v/>
      </c>
      <c r="Z3061" s="48" t="str">
        <f ca="1">IF(AND('Planning Sheet'!CJ102='Weeks Plan'!$D$6,'Planning Sheet'!CD102='Weeks Plan'!$G$6),'Planning Sheet'!$CE102,"")</f>
        <v/>
      </c>
      <c r="AA3061" s="48" t="str">
        <f ca="1">IF(AND('Planning Sheet'!CJ102='Weeks Plan'!$D$6,'Planning Sheet'!CD102='Weeks Plan'!$G$6),'Planning Sheet'!$CF102,"")</f>
        <v/>
      </c>
    </row>
    <row r="3062" spans="25:27" x14ac:dyDescent="0.3">
      <c r="Y3062" s="48" t="str">
        <f ca="1">IF(AND('Planning Sheet'!CJ103='Weeks Plan'!$D$6,'Planning Sheet'!CD103='Weeks Plan'!$G$6),'Planning Sheet'!$B103,"")</f>
        <v/>
      </c>
      <c r="Z3062" s="48" t="str">
        <f ca="1">IF(AND('Planning Sheet'!CJ103='Weeks Plan'!$D$6,'Planning Sheet'!CD103='Weeks Plan'!$G$6),'Planning Sheet'!$CE103,"")</f>
        <v/>
      </c>
      <c r="AA3062" s="48" t="str">
        <f ca="1">IF(AND('Planning Sheet'!CJ103='Weeks Plan'!$D$6,'Planning Sheet'!CD103='Weeks Plan'!$G$6),'Planning Sheet'!$CF103,"")</f>
        <v/>
      </c>
    </row>
    <row r="3063" spans="25:27" x14ac:dyDescent="0.3">
      <c r="Y3063" s="48" t="str">
        <f ca="1">IF(AND('Planning Sheet'!CJ104='Weeks Plan'!$D$6,'Planning Sheet'!CD104='Weeks Plan'!$G$6),'Planning Sheet'!$B104,"")</f>
        <v/>
      </c>
      <c r="Z3063" s="48" t="str">
        <f ca="1">IF(AND('Planning Sheet'!CJ104='Weeks Plan'!$D$6,'Planning Sheet'!CD104='Weeks Plan'!$G$6),'Planning Sheet'!$CE104,"")</f>
        <v/>
      </c>
      <c r="AA3063" s="48" t="str">
        <f ca="1">IF(AND('Planning Sheet'!CJ104='Weeks Plan'!$D$6,'Planning Sheet'!CD104='Weeks Plan'!$G$6),'Planning Sheet'!$CF104,"")</f>
        <v/>
      </c>
    </row>
    <row r="3064" spans="25:27" x14ac:dyDescent="0.3">
      <c r="Y3064" s="48" t="str">
        <f ca="1">IF(AND('Planning Sheet'!CJ105='Weeks Plan'!$D$6,'Planning Sheet'!CD105='Weeks Plan'!$G$6),'Planning Sheet'!$B105,"")</f>
        <v/>
      </c>
      <c r="Z3064" s="48" t="str">
        <f ca="1">IF(AND('Planning Sheet'!CJ105='Weeks Plan'!$D$6,'Planning Sheet'!CD105='Weeks Plan'!$G$6),'Planning Sheet'!$CE105,"")</f>
        <v/>
      </c>
      <c r="AA3064" s="48" t="str">
        <f ca="1">IF(AND('Planning Sheet'!CJ105='Weeks Plan'!$D$6,'Planning Sheet'!CD105='Weeks Plan'!$G$6),'Planning Sheet'!$CF105,"")</f>
        <v/>
      </c>
    </row>
    <row r="3065" spans="25:27" x14ac:dyDescent="0.3">
      <c r="Y3065" s="48" t="str">
        <f ca="1">IF(AND('Planning Sheet'!CJ106='Weeks Plan'!$D$6,'Planning Sheet'!CD106='Weeks Plan'!$G$6),'Planning Sheet'!$B106,"")</f>
        <v/>
      </c>
      <c r="Z3065" s="48" t="str">
        <f ca="1">IF(AND('Planning Sheet'!CJ106='Weeks Plan'!$D$6,'Planning Sheet'!CD106='Weeks Plan'!$G$6),'Planning Sheet'!$CE106,"")</f>
        <v/>
      </c>
      <c r="AA3065" s="48" t="str">
        <f ca="1">IF(AND('Planning Sheet'!CJ106='Weeks Plan'!$D$6,'Planning Sheet'!CD106='Weeks Plan'!$G$6),'Planning Sheet'!$CF106,"")</f>
        <v/>
      </c>
    </row>
    <row r="3066" spans="25:27" x14ac:dyDescent="0.3">
      <c r="Y3066" s="48" t="str">
        <f ca="1">IF(AND('Planning Sheet'!CJ107='Weeks Plan'!$D$6,'Planning Sheet'!CD107='Weeks Plan'!$G$6),'Planning Sheet'!$B107,"")</f>
        <v/>
      </c>
      <c r="Z3066" s="48" t="str">
        <f ca="1">IF(AND('Planning Sheet'!CJ107='Weeks Plan'!$D$6,'Planning Sheet'!CD107='Weeks Plan'!$G$6),'Planning Sheet'!$CE107,"")</f>
        <v/>
      </c>
      <c r="AA3066" s="48" t="str">
        <f ca="1">IF(AND('Planning Sheet'!CJ107='Weeks Plan'!$D$6,'Planning Sheet'!CD107='Weeks Plan'!$G$6),'Planning Sheet'!$CF107,"")</f>
        <v/>
      </c>
    </row>
    <row r="3067" spans="25:27" x14ac:dyDescent="0.3">
      <c r="Y3067" s="48" t="str">
        <f ca="1">IF(AND('Planning Sheet'!CJ108='Weeks Plan'!$D$6,'Planning Sheet'!CD108='Weeks Plan'!$G$6),'Planning Sheet'!$B108,"")</f>
        <v/>
      </c>
      <c r="Z3067" s="48" t="str">
        <f ca="1">IF(AND('Planning Sheet'!CJ108='Weeks Plan'!$D$6,'Planning Sheet'!CD108='Weeks Plan'!$G$6),'Planning Sheet'!$CE108,"")</f>
        <v/>
      </c>
      <c r="AA3067" s="48" t="str">
        <f ca="1">IF(AND('Planning Sheet'!CJ108='Weeks Plan'!$D$6,'Planning Sheet'!CD108='Weeks Plan'!$G$6),'Planning Sheet'!$CF108,"")</f>
        <v/>
      </c>
    </row>
    <row r="3068" spans="25:27" x14ac:dyDescent="0.3">
      <c r="Y3068" s="48" t="str">
        <f ca="1">IF(AND('Planning Sheet'!CJ109='Weeks Plan'!$D$6,'Planning Sheet'!CD109='Weeks Plan'!$G$6),'Planning Sheet'!$B109,"")</f>
        <v/>
      </c>
      <c r="Z3068" s="48" t="str">
        <f ca="1">IF(AND('Planning Sheet'!CJ109='Weeks Plan'!$D$6,'Planning Sheet'!CD109='Weeks Plan'!$G$6),'Planning Sheet'!$CE109,"")</f>
        <v/>
      </c>
      <c r="AA3068" s="48" t="str">
        <f ca="1">IF(AND('Planning Sheet'!CJ109='Weeks Plan'!$D$6,'Planning Sheet'!CD109='Weeks Plan'!$G$6),'Planning Sheet'!$CF109,"")</f>
        <v/>
      </c>
    </row>
    <row r="3069" spans="25:27" x14ac:dyDescent="0.3">
      <c r="Y3069" s="48" t="str">
        <f ca="1">IF(AND('Planning Sheet'!CJ110='Weeks Plan'!$D$6,'Planning Sheet'!CD110='Weeks Plan'!$G$6),'Planning Sheet'!$B110,"")</f>
        <v/>
      </c>
      <c r="Z3069" s="48" t="str">
        <f ca="1">IF(AND('Planning Sheet'!CJ110='Weeks Plan'!$D$6,'Planning Sheet'!CD110='Weeks Plan'!$G$6),'Planning Sheet'!$CE110,"")</f>
        <v/>
      </c>
      <c r="AA3069" s="48" t="str">
        <f ca="1">IF(AND('Planning Sheet'!CJ110='Weeks Plan'!$D$6,'Planning Sheet'!CD110='Weeks Plan'!$G$6),'Planning Sheet'!$CF110,"")</f>
        <v/>
      </c>
    </row>
    <row r="3070" spans="25:27" x14ac:dyDescent="0.3">
      <c r="Y3070" s="48" t="str">
        <f ca="1">IF(AND('Planning Sheet'!CJ111='Weeks Plan'!$D$6,'Planning Sheet'!CD111='Weeks Plan'!$G$6),'Planning Sheet'!$B111,"")</f>
        <v/>
      </c>
      <c r="Z3070" s="48" t="str">
        <f ca="1">IF(AND('Planning Sheet'!CJ111='Weeks Plan'!$D$6,'Planning Sheet'!CD111='Weeks Plan'!$G$6),'Planning Sheet'!$CE111,"")</f>
        <v/>
      </c>
      <c r="AA3070" s="48" t="str">
        <f ca="1">IF(AND('Planning Sheet'!CJ111='Weeks Plan'!$D$6,'Planning Sheet'!CD111='Weeks Plan'!$G$6),'Planning Sheet'!$CF111,"")</f>
        <v/>
      </c>
    </row>
    <row r="3071" spans="25:27" x14ac:dyDescent="0.3">
      <c r="Y3071" s="48" t="str">
        <f ca="1">IF(AND('Planning Sheet'!CJ112='Weeks Plan'!$D$6,'Planning Sheet'!CD112='Weeks Plan'!$G$6),'Planning Sheet'!$B112,"")</f>
        <v/>
      </c>
      <c r="Z3071" s="48" t="str">
        <f ca="1">IF(AND('Planning Sheet'!CJ112='Weeks Plan'!$D$6,'Planning Sheet'!CD112='Weeks Plan'!$G$6),'Planning Sheet'!$CE112,"")</f>
        <v/>
      </c>
      <c r="AA3071" s="48" t="str">
        <f ca="1">IF(AND('Planning Sheet'!CJ112='Weeks Plan'!$D$6,'Planning Sheet'!CD112='Weeks Plan'!$G$6),'Planning Sheet'!$CF112,"")</f>
        <v/>
      </c>
    </row>
    <row r="3072" spans="25:27" x14ac:dyDescent="0.3">
      <c r="Y3072" s="48" t="str">
        <f ca="1">IF(AND('Planning Sheet'!CJ113='Weeks Plan'!$D$6,'Planning Sheet'!CD113='Weeks Plan'!$G$6),'Planning Sheet'!$B113,"")</f>
        <v/>
      </c>
      <c r="Z3072" s="48" t="str">
        <f ca="1">IF(AND('Planning Sheet'!CJ113='Weeks Plan'!$D$6,'Planning Sheet'!CD113='Weeks Plan'!$G$6),'Planning Sheet'!$CE113,"")</f>
        <v/>
      </c>
      <c r="AA3072" s="48" t="str">
        <f ca="1">IF(AND('Planning Sheet'!CJ113='Weeks Plan'!$D$6,'Planning Sheet'!CD113='Weeks Plan'!$G$6),'Planning Sheet'!$CF113,"")</f>
        <v/>
      </c>
    </row>
    <row r="3073" spans="25:27" x14ac:dyDescent="0.3">
      <c r="Y3073" s="48" t="str">
        <f ca="1">IF(AND('Planning Sheet'!CJ114='Weeks Plan'!$D$6,'Planning Sheet'!CD114='Weeks Plan'!$G$6),'Planning Sheet'!$B114,"")</f>
        <v/>
      </c>
      <c r="Z3073" s="48" t="str">
        <f ca="1">IF(AND('Planning Sheet'!CJ114='Weeks Plan'!$D$6,'Planning Sheet'!CD114='Weeks Plan'!$G$6),'Planning Sheet'!$CE114,"")</f>
        <v/>
      </c>
      <c r="AA3073" s="48" t="str">
        <f ca="1">IF(AND('Planning Sheet'!CJ114='Weeks Plan'!$D$6,'Planning Sheet'!CD114='Weeks Plan'!$G$6),'Planning Sheet'!$CF114,"")</f>
        <v/>
      </c>
    </row>
    <row r="3074" spans="25:27" x14ac:dyDescent="0.3">
      <c r="Y3074" s="48" t="str">
        <f ca="1">IF(AND('Planning Sheet'!CJ115='Weeks Plan'!$D$6,'Planning Sheet'!CD115='Weeks Plan'!$G$6),'Planning Sheet'!$B115,"")</f>
        <v/>
      </c>
      <c r="Z3074" s="48" t="str">
        <f ca="1">IF(AND('Planning Sheet'!CJ115='Weeks Plan'!$D$6,'Planning Sheet'!CD115='Weeks Plan'!$G$6),'Planning Sheet'!$CE115,"")</f>
        <v/>
      </c>
      <c r="AA3074" s="48" t="str">
        <f ca="1">IF(AND('Planning Sheet'!CJ115='Weeks Plan'!$D$6,'Planning Sheet'!CD115='Weeks Plan'!$G$6),'Planning Sheet'!$CF115,"")</f>
        <v/>
      </c>
    </row>
    <row r="3075" spans="25:27" x14ac:dyDescent="0.3">
      <c r="Y3075" s="48" t="str">
        <f ca="1">IF(AND('Planning Sheet'!CJ116='Weeks Plan'!$D$6,'Planning Sheet'!CD116='Weeks Plan'!$G$6),'Planning Sheet'!$B116,"")</f>
        <v/>
      </c>
      <c r="Z3075" s="48" t="str">
        <f ca="1">IF(AND('Planning Sheet'!CJ116='Weeks Plan'!$D$6,'Planning Sheet'!CD116='Weeks Plan'!$G$6),'Planning Sheet'!$CE116,"")</f>
        <v/>
      </c>
      <c r="AA3075" s="48" t="str">
        <f ca="1">IF(AND('Planning Sheet'!CJ116='Weeks Plan'!$D$6,'Planning Sheet'!CD116='Weeks Plan'!$G$6),'Planning Sheet'!$CF116,"")</f>
        <v/>
      </c>
    </row>
    <row r="3076" spans="25:27" x14ac:dyDescent="0.3">
      <c r="Y3076" s="48" t="str">
        <f ca="1">IF(AND('Planning Sheet'!CJ117='Weeks Plan'!$D$6,'Planning Sheet'!CD117='Weeks Plan'!$G$6),'Planning Sheet'!$B117,"")</f>
        <v/>
      </c>
      <c r="Z3076" s="48" t="str">
        <f ca="1">IF(AND('Planning Sheet'!CJ117='Weeks Plan'!$D$6,'Planning Sheet'!CD117='Weeks Plan'!$G$6),'Planning Sheet'!$CE117,"")</f>
        <v/>
      </c>
      <c r="AA3076" s="48" t="str">
        <f ca="1">IF(AND('Planning Sheet'!CJ117='Weeks Plan'!$D$6,'Planning Sheet'!CD117='Weeks Plan'!$G$6),'Planning Sheet'!$CF117,"")</f>
        <v/>
      </c>
    </row>
    <row r="3077" spans="25:27" x14ac:dyDescent="0.3">
      <c r="Y3077" s="48" t="str">
        <f ca="1">IF(AND('Planning Sheet'!CJ118='Weeks Plan'!$D$6,'Planning Sheet'!CD118='Weeks Plan'!$G$6),'Planning Sheet'!$B118,"")</f>
        <v/>
      </c>
      <c r="Z3077" s="48" t="str">
        <f ca="1">IF(AND('Planning Sheet'!CJ118='Weeks Plan'!$D$6,'Planning Sheet'!CD118='Weeks Plan'!$G$6),'Planning Sheet'!$CE118,"")</f>
        <v/>
      </c>
      <c r="AA3077" s="48" t="str">
        <f ca="1">IF(AND('Planning Sheet'!CJ118='Weeks Plan'!$D$6,'Planning Sheet'!CD118='Weeks Plan'!$G$6),'Planning Sheet'!$CF118,"")</f>
        <v/>
      </c>
    </row>
    <row r="3078" spans="25:27" x14ac:dyDescent="0.3">
      <c r="Y3078" s="48" t="str">
        <f ca="1">IF(AND('Planning Sheet'!CJ119='Weeks Plan'!$D$6,'Planning Sheet'!CD119='Weeks Plan'!$G$6),'Planning Sheet'!$B119,"")</f>
        <v/>
      </c>
      <c r="Z3078" s="48" t="str">
        <f ca="1">IF(AND('Planning Sheet'!CJ119='Weeks Plan'!$D$6,'Planning Sheet'!CD119='Weeks Plan'!$G$6),'Planning Sheet'!$CE119,"")</f>
        <v/>
      </c>
      <c r="AA3078" s="48" t="str">
        <f ca="1">IF(AND('Planning Sheet'!CJ119='Weeks Plan'!$D$6,'Planning Sheet'!CD119='Weeks Plan'!$G$6),'Planning Sheet'!$CF119,"")</f>
        <v/>
      </c>
    </row>
    <row r="3079" spans="25:27" x14ac:dyDescent="0.3">
      <c r="Y3079" s="48" t="str">
        <f ca="1">IF(AND('Planning Sheet'!CJ120='Weeks Plan'!$D$6,'Planning Sheet'!CD120='Weeks Plan'!$G$6),'Planning Sheet'!$B120,"")</f>
        <v/>
      </c>
      <c r="Z3079" s="48" t="str">
        <f ca="1">IF(AND('Planning Sheet'!CJ120='Weeks Plan'!$D$6,'Planning Sheet'!CD120='Weeks Plan'!$G$6),'Planning Sheet'!$CE120,"")</f>
        <v/>
      </c>
      <c r="AA3079" s="48" t="str">
        <f ca="1">IF(AND('Planning Sheet'!CJ120='Weeks Plan'!$D$6,'Planning Sheet'!CD120='Weeks Plan'!$G$6),'Planning Sheet'!$CF120,"")</f>
        <v/>
      </c>
    </row>
    <row r="3080" spans="25:27" x14ac:dyDescent="0.3">
      <c r="Y3080" s="48" t="str">
        <f ca="1">IF(AND('Planning Sheet'!CJ121='Weeks Plan'!$D$6,'Planning Sheet'!CD121='Weeks Plan'!$G$6),'Planning Sheet'!$B121,"")</f>
        <v/>
      </c>
      <c r="Z3080" s="48" t="str">
        <f ca="1">IF(AND('Planning Sheet'!CJ121='Weeks Plan'!$D$6,'Planning Sheet'!CD121='Weeks Plan'!$G$6),'Planning Sheet'!$CE121,"")</f>
        <v/>
      </c>
      <c r="AA3080" s="48" t="str">
        <f ca="1">IF(AND('Planning Sheet'!CJ121='Weeks Plan'!$D$6,'Planning Sheet'!CD121='Weeks Plan'!$G$6),'Planning Sheet'!$CF121,"")</f>
        <v/>
      </c>
    </row>
    <row r="3081" spans="25:27" x14ac:dyDescent="0.3">
      <c r="Y3081" s="48" t="str">
        <f ca="1">IF(AND('Planning Sheet'!CJ122='Weeks Plan'!$D$6,'Planning Sheet'!CD122='Weeks Plan'!$G$6),'Planning Sheet'!$B122,"")</f>
        <v/>
      </c>
      <c r="Z3081" s="48" t="str">
        <f ca="1">IF(AND('Planning Sheet'!CJ122='Weeks Plan'!$D$6,'Planning Sheet'!CD122='Weeks Plan'!$G$6),'Planning Sheet'!$CE122,"")</f>
        <v/>
      </c>
      <c r="AA3081" s="48" t="str">
        <f ca="1">IF(AND('Planning Sheet'!CJ122='Weeks Plan'!$D$6,'Planning Sheet'!CD122='Weeks Plan'!$G$6),'Planning Sheet'!$CF122,"")</f>
        <v/>
      </c>
    </row>
    <row r="3082" spans="25:27" x14ac:dyDescent="0.3">
      <c r="Y3082" s="48" t="str">
        <f ca="1">IF(AND('Planning Sheet'!CJ123='Weeks Plan'!$D$6,'Planning Sheet'!CD123='Weeks Plan'!$G$6),'Planning Sheet'!$B123,"")</f>
        <v/>
      </c>
      <c r="Z3082" s="48" t="str">
        <f ca="1">IF(AND('Planning Sheet'!CJ123='Weeks Plan'!$D$6,'Planning Sheet'!CD123='Weeks Plan'!$G$6),'Planning Sheet'!$CE123,"")</f>
        <v/>
      </c>
      <c r="AA3082" s="48" t="str">
        <f ca="1">IF(AND('Planning Sheet'!CJ123='Weeks Plan'!$D$6,'Planning Sheet'!CD123='Weeks Plan'!$G$6),'Planning Sheet'!$CF123,"")</f>
        <v/>
      </c>
    </row>
    <row r="3083" spans="25:27" x14ac:dyDescent="0.3">
      <c r="Y3083" s="48" t="str">
        <f ca="1">IF(AND('Planning Sheet'!CJ124='Weeks Plan'!$D$6,'Planning Sheet'!CD124='Weeks Plan'!$G$6),'Planning Sheet'!$B124,"")</f>
        <v/>
      </c>
      <c r="Z3083" s="48" t="str">
        <f ca="1">IF(AND('Planning Sheet'!CJ124='Weeks Plan'!$D$6,'Planning Sheet'!CD124='Weeks Plan'!$G$6),'Planning Sheet'!$CE124,"")</f>
        <v/>
      </c>
      <c r="AA3083" s="48" t="str">
        <f ca="1">IF(AND('Planning Sheet'!CJ124='Weeks Plan'!$D$6,'Planning Sheet'!CD124='Weeks Plan'!$G$6),'Planning Sheet'!$CF124,"")</f>
        <v/>
      </c>
    </row>
    <row r="3084" spans="25:27" x14ac:dyDescent="0.3">
      <c r="Y3084" s="48" t="str">
        <f ca="1">IF(AND('Planning Sheet'!CJ125='Weeks Plan'!$D$6,'Planning Sheet'!CD125='Weeks Plan'!$G$6),'Planning Sheet'!$B125,"")</f>
        <v/>
      </c>
      <c r="Z3084" s="48" t="str">
        <f ca="1">IF(AND('Planning Sheet'!CJ125='Weeks Plan'!$D$6,'Planning Sheet'!CD125='Weeks Plan'!$G$6),'Planning Sheet'!$CE125,"")</f>
        <v/>
      </c>
      <c r="AA3084" s="48" t="str">
        <f ca="1">IF(AND('Planning Sheet'!CJ125='Weeks Plan'!$D$6,'Planning Sheet'!CD125='Weeks Plan'!$G$6),'Planning Sheet'!$CF125,"")</f>
        <v/>
      </c>
    </row>
    <row r="3085" spans="25:27" x14ac:dyDescent="0.3">
      <c r="Y3085" s="48" t="str">
        <f ca="1">IF(AND('Planning Sheet'!CJ126='Weeks Plan'!$D$6,'Planning Sheet'!CD126='Weeks Plan'!$G$6),'Planning Sheet'!$B126,"")</f>
        <v/>
      </c>
      <c r="Z3085" s="48" t="str">
        <f ca="1">IF(AND('Planning Sheet'!CJ126='Weeks Plan'!$D$6,'Planning Sheet'!CD126='Weeks Plan'!$G$6),'Planning Sheet'!$CE126,"")</f>
        <v/>
      </c>
      <c r="AA3085" s="48" t="str">
        <f ca="1">IF(AND('Planning Sheet'!CJ126='Weeks Plan'!$D$6,'Planning Sheet'!CD126='Weeks Plan'!$G$6),'Planning Sheet'!$CF126,"")</f>
        <v/>
      </c>
    </row>
    <row r="3086" spans="25:27" x14ac:dyDescent="0.3">
      <c r="Y3086" s="48" t="str">
        <f ca="1">IF(AND('Planning Sheet'!CJ127='Weeks Plan'!$D$6,'Planning Sheet'!CD127='Weeks Plan'!$G$6),'Planning Sheet'!$B127,"")</f>
        <v/>
      </c>
      <c r="Z3086" s="48" t="str">
        <f ca="1">IF(AND('Planning Sheet'!CJ127='Weeks Plan'!$D$6,'Planning Sheet'!CD127='Weeks Plan'!$G$6),'Planning Sheet'!$CE127,"")</f>
        <v/>
      </c>
      <c r="AA3086" s="48" t="str">
        <f ca="1">IF(AND('Planning Sheet'!CJ127='Weeks Plan'!$D$6,'Planning Sheet'!CD127='Weeks Plan'!$G$6),'Planning Sheet'!$CF127,"")</f>
        <v/>
      </c>
    </row>
    <row r="3087" spans="25:27" x14ac:dyDescent="0.3">
      <c r="Y3087" s="48" t="str">
        <f ca="1">IF(AND('Planning Sheet'!CJ128='Weeks Plan'!$D$6,'Planning Sheet'!CD128='Weeks Plan'!$G$6),'Planning Sheet'!$B128,"")</f>
        <v/>
      </c>
      <c r="Z3087" s="48" t="str">
        <f ca="1">IF(AND('Planning Sheet'!CJ128='Weeks Plan'!$D$6,'Planning Sheet'!CD128='Weeks Plan'!$G$6),'Planning Sheet'!$CE128,"")</f>
        <v/>
      </c>
      <c r="AA3087" s="48" t="str">
        <f ca="1">IF(AND('Planning Sheet'!CJ128='Weeks Plan'!$D$6,'Planning Sheet'!CD128='Weeks Plan'!$G$6),'Planning Sheet'!$CF128,"")</f>
        <v/>
      </c>
    </row>
    <row r="3088" spans="25:27" x14ac:dyDescent="0.3">
      <c r="Y3088" s="48" t="str">
        <f ca="1">IF(AND('Planning Sheet'!CJ129='Weeks Plan'!$D$6,'Planning Sheet'!CD129='Weeks Plan'!$G$6),'Planning Sheet'!$B129,"")</f>
        <v/>
      </c>
      <c r="Z3088" s="48" t="str">
        <f ca="1">IF(AND('Planning Sheet'!CJ129='Weeks Plan'!$D$6,'Planning Sheet'!CD129='Weeks Plan'!$G$6),'Planning Sheet'!$CE129,"")</f>
        <v/>
      </c>
      <c r="AA3088" s="48" t="str">
        <f ca="1">IF(AND('Planning Sheet'!CJ129='Weeks Plan'!$D$6,'Planning Sheet'!CD129='Weeks Plan'!$G$6),'Planning Sheet'!$CF129,"")</f>
        <v/>
      </c>
    </row>
    <row r="3089" spans="25:27" x14ac:dyDescent="0.3">
      <c r="Y3089" s="48" t="str">
        <f ca="1">IF(AND('Planning Sheet'!CJ130='Weeks Plan'!$D$6,'Planning Sheet'!CD130='Weeks Plan'!$G$6),'Planning Sheet'!$B130,"")</f>
        <v/>
      </c>
      <c r="Z3089" s="48" t="str">
        <f ca="1">IF(AND('Planning Sheet'!CJ130='Weeks Plan'!$D$6,'Planning Sheet'!CD130='Weeks Plan'!$G$6),'Planning Sheet'!$CE130,"")</f>
        <v/>
      </c>
      <c r="AA3089" s="48" t="str">
        <f ca="1">IF(AND('Planning Sheet'!CJ130='Weeks Plan'!$D$6,'Planning Sheet'!CD130='Weeks Plan'!$G$6),'Planning Sheet'!$CF130,"")</f>
        <v/>
      </c>
    </row>
    <row r="3090" spans="25:27" x14ac:dyDescent="0.3">
      <c r="Y3090" s="48" t="str">
        <f ca="1">IF(AND('Planning Sheet'!CJ131='Weeks Plan'!$D$6,'Planning Sheet'!CD131='Weeks Plan'!$G$6),'Planning Sheet'!$B131,"")</f>
        <v/>
      </c>
      <c r="Z3090" s="48" t="str">
        <f ca="1">IF(AND('Planning Sheet'!CJ131='Weeks Plan'!$D$6,'Planning Sheet'!CD131='Weeks Plan'!$G$6),'Planning Sheet'!$CE131,"")</f>
        <v/>
      </c>
      <c r="AA3090" s="48" t="str">
        <f ca="1">IF(AND('Planning Sheet'!CJ131='Weeks Plan'!$D$6,'Planning Sheet'!CD131='Weeks Plan'!$G$6),'Planning Sheet'!$CF131,"")</f>
        <v/>
      </c>
    </row>
    <row r="3091" spans="25:27" x14ac:dyDescent="0.3">
      <c r="Y3091" s="48" t="str">
        <f ca="1">IF(AND('Planning Sheet'!CJ132='Weeks Plan'!$D$6,'Planning Sheet'!CD132='Weeks Plan'!$G$6),'Planning Sheet'!$B132,"")</f>
        <v/>
      </c>
      <c r="Z3091" s="48" t="str">
        <f ca="1">IF(AND('Planning Sheet'!CJ132='Weeks Plan'!$D$6,'Planning Sheet'!CD132='Weeks Plan'!$G$6),'Planning Sheet'!$CE132,"")</f>
        <v/>
      </c>
      <c r="AA3091" s="48" t="str">
        <f ca="1">IF(AND('Planning Sheet'!CJ132='Weeks Plan'!$D$6,'Planning Sheet'!CD132='Weeks Plan'!$G$6),'Planning Sheet'!$CF132,"")</f>
        <v/>
      </c>
    </row>
    <row r="3092" spans="25:27" x14ac:dyDescent="0.3">
      <c r="Y3092" s="48" t="str">
        <f ca="1">IF(AND('Planning Sheet'!CJ133='Weeks Plan'!$D$6,'Planning Sheet'!CD133='Weeks Plan'!$G$6),'Planning Sheet'!$B133,"")</f>
        <v/>
      </c>
      <c r="Z3092" s="48" t="str">
        <f ca="1">IF(AND('Planning Sheet'!CJ133='Weeks Plan'!$D$6,'Planning Sheet'!CD133='Weeks Plan'!$G$6),'Planning Sheet'!$CE133,"")</f>
        <v/>
      </c>
      <c r="AA3092" s="48" t="str">
        <f ca="1">IF(AND('Planning Sheet'!CJ133='Weeks Plan'!$D$6,'Planning Sheet'!CD133='Weeks Plan'!$G$6),'Planning Sheet'!$CF133,"")</f>
        <v/>
      </c>
    </row>
    <row r="3093" spans="25:27" x14ac:dyDescent="0.3">
      <c r="Y3093" s="48" t="str">
        <f ca="1">IF(AND('Planning Sheet'!CJ134='Weeks Plan'!$D$6,'Planning Sheet'!CD134='Weeks Plan'!$G$6),'Planning Sheet'!$B134,"")</f>
        <v/>
      </c>
      <c r="Z3093" s="48" t="str">
        <f ca="1">IF(AND('Planning Sheet'!CJ134='Weeks Plan'!$D$6,'Planning Sheet'!CD134='Weeks Plan'!$G$6),'Planning Sheet'!$CE134,"")</f>
        <v/>
      </c>
      <c r="AA3093" s="48" t="str">
        <f ca="1">IF(AND('Planning Sheet'!CJ134='Weeks Plan'!$D$6,'Planning Sheet'!CD134='Weeks Plan'!$G$6),'Planning Sheet'!$CF134,"")</f>
        <v/>
      </c>
    </row>
    <row r="3094" spans="25:27" x14ac:dyDescent="0.3">
      <c r="Y3094" s="48" t="str">
        <f ca="1">IF(AND('Planning Sheet'!CJ135='Weeks Plan'!$D$6,'Planning Sheet'!CD135='Weeks Plan'!$G$6),'Planning Sheet'!$B135,"")</f>
        <v/>
      </c>
      <c r="Z3094" s="48" t="str">
        <f ca="1">IF(AND('Planning Sheet'!CJ135='Weeks Plan'!$D$6,'Planning Sheet'!CD135='Weeks Plan'!$G$6),'Planning Sheet'!$CE135,"")</f>
        <v/>
      </c>
      <c r="AA3094" s="48" t="str">
        <f ca="1">IF(AND('Planning Sheet'!CJ135='Weeks Plan'!$D$6,'Planning Sheet'!CD135='Weeks Plan'!$G$6),'Planning Sheet'!$CF135,"")</f>
        <v/>
      </c>
    </row>
    <row r="3095" spans="25:27" x14ac:dyDescent="0.3">
      <c r="Y3095" s="48" t="str">
        <f ca="1">IF(AND('Planning Sheet'!CJ136='Weeks Plan'!$D$6,'Planning Sheet'!CD136='Weeks Plan'!$G$6),'Planning Sheet'!$B136,"")</f>
        <v/>
      </c>
      <c r="Z3095" s="48" t="str">
        <f ca="1">IF(AND('Planning Sheet'!CJ136='Weeks Plan'!$D$6,'Planning Sheet'!CD136='Weeks Plan'!$G$6),'Planning Sheet'!$CE136,"")</f>
        <v/>
      </c>
      <c r="AA3095" s="48" t="str">
        <f ca="1">IF(AND('Planning Sheet'!CJ136='Weeks Plan'!$D$6,'Planning Sheet'!CD136='Weeks Plan'!$G$6),'Planning Sheet'!$CF136,"")</f>
        <v/>
      </c>
    </row>
    <row r="3096" spans="25:27" x14ac:dyDescent="0.3">
      <c r="Y3096" s="48" t="str">
        <f ca="1">IF(AND('Planning Sheet'!CJ137='Weeks Plan'!$D$6,'Planning Sheet'!CD137='Weeks Plan'!$G$6),'Planning Sheet'!$B137,"")</f>
        <v/>
      </c>
      <c r="Z3096" s="48" t="str">
        <f ca="1">IF(AND('Planning Sheet'!CJ137='Weeks Plan'!$D$6,'Planning Sheet'!CD137='Weeks Plan'!$G$6),'Planning Sheet'!$CE137,"")</f>
        <v/>
      </c>
      <c r="AA3096" s="48" t="str">
        <f ca="1">IF(AND('Planning Sheet'!CJ137='Weeks Plan'!$D$6,'Planning Sheet'!CD137='Weeks Plan'!$G$6),'Planning Sheet'!$CF137,"")</f>
        <v/>
      </c>
    </row>
    <row r="3097" spans="25:27" x14ac:dyDescent="0.3">
      <c r="Y3097" s="48" t="str">
        <f ca="1">IF(AND('Planning Sheet'!CJ138='Weeks Plan'!$D$6,'Planning Sheet'!CD138='Weeks Plan'!$G$6),'Planning Sheet'!$B138,"")</f>
        <v/>
      </c>
      <c r="Z3097" s="48" t="str">
        <f ca="1">IF(AND('Planning Sheet'!CJ138='Weeks Plan'!$D$6,'Planning Sheet'!CD138='Weeks Plan'!$G$6),'Planning Sheet'!$CE138,"")</f>
        <v/>
      </c>
      <c r="AA3097" s="48" t="str">
        <f ca="1">IF(AND('Planning Sheet'!CJ138='Weeks Plan'!$D$6,'Planning Sheet'!CD138='Weeks Plan'!$G$6),'Planning Sheet'!$CF138,"")</f>
        <v/>
      </c>
    </row>
    <row r="3098" spans="25:27" x14ac:dyDescent="0.3">
      <c r="Y3098" s="48" t="str">
        <f ca="1">IF(AND('Planning Sheet'!CJ139='Weeks Plan'!$D$6,'Planning Sheet'!CD139='Weeks Plan'!$G$6),'Planning Sheet'!$B139,"")</f>
        <v/>
      </c>
      <c r="Z3098" s="48" t="str">
        <f ca="1">IF(AND('Planning Sheet'!CJ139='Weeks Plan'!$D$6,'Planning Sheet'!CD139='Weeks Plan'!$G$6),'Planning Sheet'!$CE139,"")</f>
        <v/>
      </c>
      <c r="AA3098" s="48" t="str">
        <f ca="1">IF(AND('Planning Sheet'!CJ139='Weeks Plan'!$D$6,'Planning Sheet'!CD139='Weeks Plan'!$G$6),'Planning Sheet'!$CF139,"")</f>
        <v/>
      </c>
    </row>
    <row r="3099" spans="25:27" x14ac:dyDescent="0.3">
      <c r="Y3099" s="48" t="str">
        <f ca="1">IF(AND('Planning Sheet'!CJ140='Weeks Plan'!$D$6,'Planning Sheet'!CD140='Weeks Plan'!$G$6),'Planning Sheet'!$B140,"")</f>
        <v/>
      </c>
      <c r="Z3099" s="48" t="str">
        <f ca="1">IF(AND('Planning Sheet'!CJ140='Weeks Plan'!$D$6,'Planning Sheet'!CD140='Weeks Plan'!$G$6),'Planning Sheet'!$CE140,"")</f>
        <v/>
      </c>
      <c r="AA3099" s="48" t="str">
        <f ca="1">IF(AND('Planning Sheet'!CJ140='Weeks Plan'!$D$6,'Planning Sheet'!CD140='Weeks Plan'!$G$6),'Planning Sheet'!$CF140,"")</f>
        <v/>
      </c>
    </row>
    <row r="3100" spans="25:27" x14ac:dyDescent="0.3">
      <c r="Y3100" s="48" t="str">
        <f ca="1">IF(AND('Planning Sheet'!CJ141='Weeks Plan'!$D$6,'Planning Sheet'!CD141='Weeks Plan'!$G$6),'Planning Sheet'!$B141,"")</f>
        <v/>
      </c>
      <c r="Z3100" s="48" t="str">
        <f ca="1">IF(AND('Planning Sheet'!CJ141='Weeks Plan'!$D$6,'Planning Sheet'!CD141='Weeks Plan'!$G$6),'Planning Sheet'!$CE141,"")</f>
        <v/>
      </c>
      <c r="AA3100" s="48" t="str">
        <f ca="1">IF(AND('Planning Sheet'!CJ141='Weeks Plan'!$D$6,'Planning Sheet'!CD141='Weeks Plan'!$G$6),'Planning Sheet'!$CF141,"")</f>
        <v/>
      </c>
    </row>
    <row r="3101" spans="25:27" x14ac:dyDescent="0.3">
      <c r="Y3101" s="48" t="str">
        <f ca="1">IF(AND('Planning Sheet'!CJ142='Weeks Plan'!$D$6,'Planning Sheet'!CD142='Weeks Plan'!$G$6),'Planning Sheet'!$B142,"")</f>
        <v/>
      </c>
      <c r="Z3101" s="48" t="str">
        <f ca="1">IF(AND('Planning Sheet'!CJ142='Weeks Plan'!$D$6,'Planning Sheet'!CD142='Weeks Plan'!$G$6),'Planning Sheet'!$CE142,"")</f>
        <v/>
      </c>
      <c r="AA3101" s="48" t="str">
        <f ca="1">IF(AND('Planning Sheet'!CJ142='Weeks Plan'!$D$6,'Planning Sheet'!CD142='Weeks Plan'!$G$6),'Planning Sheet'!$CF142,"")</f>
        <v/>
      </c>
    </row>
    <row r="3102" spans="25:27" x14ac:dyDescent="0.3">
      <c r="Y3102" s="48" t="str">
        <f ca="1">IF(AND('Planning Sheet'!CJ143='Weeks Plan'!$D$6,'Planning Sheet'!CD143='Weeks Plan'!$G$6),'Planning Sheet'!$B143,"")</f>
        <v/>
      </c>
      <c r="Z3102" s="48" t="str">
        <f ca="1">IF(AND('Planning Sheet'!CJ143='Weeks Plan'!$D$6,'Planning Sheet'!CD143='Weeks Plan'!$G$6),'Planning Sheet'!$CE143,"")</f>
        <v/>
      </c>
      <c r="AA3102" s="48" t="str">
        <f ca="1">IF(AND('Planning Sheet'!CJ143='Weeks Plan'!$D$6,'Planning Sheet'!CD143='Weeks Plan'!$G$6),'Planning Sheet'!$CF143,"")</f>
        <v/>
      </c>
    </row>
    <row r="3103" spans="25:27" x14ac:dyDescent="0.3">
      <c r="Y3103" s="48" t="str">
        <f ca="1">IF(AND('Planning Sheet'!CJ144='Weeks Plan'!$D$6,'Planning Sheet'!CD144='Weeks Plan'!$G$6),'Planning Sheet'!$B144,"")</f>
        <v/>
      </c>
      <c r="Z3103" s="48" t="str">
        <f ca="1">IF(AND('Planning Sheet'!CJ144='Weeks Plan'!$D$6,'Planning Sheet'!CD144='Weeks Plan'!$G$6),'Planning Sheet'!$CE144,"")</f>
        <v/>
      </c>
      <c r="AA3103" s="48" t="str">
        <f ca="1">IF(AND('Planning Sheet'!CJ144='Weeks Plan'!$D$6,'Planning Sheet'!CD144='Weeks Plan'!$G$6),'Planning Sheet'!$CF144,"")</f>
        <v/>
      </c>
    </row>
    <row r="3104" spans="25:27" x14ac:dyDescent="0.3">
      <c r="Y3104" s="48" t="str">
        <f ca="1">IF(AND('Planning Sheet'!CJ145='Weeks Plan'!$D$6,'Planning Sheet'!CD145='Weeks Plan'!$G$6),'Planning Sheet'!$B145,"")</f>
        <v/>
      </c>
      <c r="Z3104" s="48" t="str">
        <f ca="1">IF(AND('Planning Sheet'!CJ145='Weeks Plan'!$D$6,'Planning Sheet'!CD145='Weeks Plan'!$G$6),'Planning Sheet'!$CE145,"")</f>
        <v/>
      </c>
      <c r="AA3104" s="48" t="str">
        <f ca="1">IF(AND('Planning Sheet'!CJ145='Weeks Plan'!$D$6,'Planning Sheet'!CD145='Weeks Plan'!$G$6),'Planning Sheet'!$CF145,"")</f>
        <v/>
      </c>
    </row>
    <row r="3105" spans="25:27" x14ac:dyDescent="0.3">
      <c r="Y3105" s="48" t="str">
        <f ca="1">IF(AND('Planning Sheet'!CJ146='Weeks Plan'!$D$6,'Planning Sheet'!CD146='Weeks Plan'!$G$6),'Planning Sheet'!$B146,"")</f>
        <v/>
      </c>
      <c r="Z3105" s="48" t="str">
        <f ca="1">IF(AND('Planning Sheet'!CJ146='Weeks Plan'!$D$6,'Planning Sheet'!CD146='Weeks Plan'!$G$6),'Planning Sheet'!$CE146,"")</f>
        <v/>
      </c>
      <c r="AA3105" s="48" t="str">
        <f ca="1">IF(AND('Planning Sheet'!CJ146='Weeks Plan'!$D$6,'Planning Sheet'!CD146='Weeks Plan'!$G$6),'Planning Sheet'!$CF146,"")</f>
        <v/>
      </c>
    </row>
    <row r="3106" spans="25:27" x14ac:dyDescent="0.3">
      <c r="Y3106" s="48" t="str">
        <f ca="1">IF(AND('Planning Sheet'!CJ147='Weeks Plan'!$D$6,'Planning Sheet'!CD147='Weeks Plan'!$G$6),'Planning Sheet'!$B147,"")</f>
        <v/>
      </c>
      <c r="Z3106" s="48" t="str">
        <f ca="1">IF(AND('Planning Sheet'!CJ147='Weeks Plan'!$D$6,'Planning Sheet'!CD147='Weeks Plan'!$G$6),'Planning Sheet'!$CE147,"")</f>
        <v/>
      </c>
      <c r="AA3106" s="48" t="str">
        <f ca="1">IF(AND('Planning Sheet'!CJ147='Weeks Plan'!$D$6,'Planning Sheet'!CD147='Weeks Plan'!$G$6),'Planning Sheet'!$CF147,"")</f>
        <v/>
      </c>
    </row>
    <row r="3107" spans="25:27" x14ac:dyDescent="0.3">
      <c r="Y3107" s="48" t="str">
        <f ca="1">IF(AND('Planning Sheet'!CJ148='Weeks Plan'!$D$6,'Planning Sheet'!CD148='Weeks Plan'!$G$6),'Planning Sheet'!$B148,"")</f>
        <v/>
      </c>
      <c r="Z3107" s="48" t="str">
        <f ca="1">IF(AND('Planning Sheet'!CJ148='Weeks Plan'!$D$6,'Planning Sheet'!CD148='Weeks Plan'!$G$6),'Planning Sheet'!$CE148,"")</f>
        <v/>
      </c>
      <c r="AA3107" s="48" t="str">
        <f ca="1">IF(AND('Planning Sheet'!CJ148='Weeks Plan'!$D$6,'Planning Sheet'!CD148='Weeks Plan'!$G$6),'Planning Sheet'!$CF148,"")</f>
        <v/>
      </c>
    </row>
    <row r="3108" spans="25:27" x14ac:dyDescent="0.3">
      <c r="Y3108" s="48" t="str">
        <f ca="1">IF(AND('Planning Sheet'!CJ149='Weeks Plan'!$D$6,'Planning Sheet'!CD149='Weeks Plan'!$G$6),'Planning Sheet'!$B149,"")</f>
        <v/>
      </c>
      <c r="Z3108" s="48" t="str">
        <f ca="1">IF(AND('Planning Sheet'!CJ149='Weeks Plan'!$D$6,'Planning Sheet'!CD149='Weeks Plan'!$G$6),'Planning Sheet'!$CE149,"")</f>
        <v/>
      </c>
      <c r="AA3108" s="48" t="str">
        <f ca="1">IF(AND('Planning Sheet'!CJ149='Weeks Plan'!$D$6,'Planning Sheet'!CD149='Weeks Plan'!$G$6),'Planning Sheet'!$CF149,"")</f>
        <v/>
      </c>
    </row>
    <row r="3109" spans="25:27" x14ac:dyDescent="0.3">
      <c r="Y3109" s="48" t="str">
        <f ca="1">IF(AND('Planning Sheet'!CJ150='Weeks Plan'!$D$6,'Planning Sheet'!CD150='Weeks Plan'!$G$6),'Planning Sheet'!$B150,"")</f>
        <v/>
      </c>
      <c r="Z3109" s="48" t="str">
        <f ca="1">IF(AND('Planning Sheet'!CJ150='Weeks Plan'!$D$6,'Planning Sheet'!CD150='Weeks Plan'!$G$6),'Planning Sheet'!$CE150,"")</f>
        <v/>
      </c>
      <c r="AA3109" s="48" t="str">
        <f ca="1">IF(AND('Planning Sheet'!CJ150='Weeks Plan'!$D$6,'Planning Sheet'!CD150='Weeks Plan'!$G$6),'Planning Sheet'!$CF150,"")</f>
        <v/>
      </c>
    </row>
    <row r="3110" spans="25:27" x14ac:dyDescent="0.3">
      <c r="Y3110" s="48" t="str">
        <f ca="1">IF(AND('Planning Sheet'!CJ151='Weeks Plan'!$D$6,'Planning Sheet'!CD151='Weeks Plan'!$G$6),'Planning Sheet'!$B151,"")</f>
        <v/>
      </c>
      <c r="Z3110" s="48" t="str">
        <f ca="1">IF(AND('Planning Sheet'!CJ151='Weeks Plan'!$D$6,'Planning Sheet'!CD151='Weeks Plan'!$G$6),'Planning Sheet'!$CE151,"")</f>
        <v/>
      </c>
      <c r="AA3110" s="48" t="str">
        <f ca="1">IF(AND('Planning Sheet'!CJ151='Weeks Plan'!$D$6,'Planning Sheet'!CD151='Weeks Plan'!$G$6),'Planning Sheet'!$CF151,"")</f>
        <v/>
      </c>
    </row>
    <row r="3111" spans="25:27" x14ac:dyDescent="0.3">
      <c r="Y3111" s="48" t="str">
        <f ca="1">IF(AND('Planning Sheet'!CJ152='Weeks Plan'!$D$6,'Planning Sheet'!CD152='Weeks Plan'!$G$6),'Planning Sheet'!$B152,"")</f>
        <v/>
      </c>
      <c r="Z3111" s="48" t="str">
        <f ca="1">IF(AND('Planning Sheet'!CJ152='Weeks Plan'!$D$6,'Planning Sheet'!CD152='Weeks Plan'!$G$6),'Planning Sheet'!$CE152,"")</f>
        <v/>
      </c>
      <c r="AA3111" s="48" t="str">
        <f ca="1">IF(AND('Planning Sheet'!CJ152='Weeks Plan'!$D$6,'Planning Sheet'!CD152='Weeks Plan'!$G$6),'Planning Sheet'!$CF152,"")</f>
        <v/>
      </c>
    </row>
    <row r="3112" spans="25:27" x14ac:dyDescent="0.3">
      <c r="Y3112" s="48" t="str">
        <f ca="1">IF(AND('Planning Sheet'!CJ153='Weeks Plan'!$D$6,'Planning Sheet'!CD153='Weeks Plan'!$G$6),'Planning Sheet'!$B153,"")</f>
        <v/>
      </c>
      <c r="Z3112" s="48" t="str">
        <f ca="1">IF(AND('Planning Sheet'!CJ153='Weeks Plan'!$D$6,'Planning Sheet'!CD153='Weeks Plan'!$G$6),'Planning Sheet'!$CE153,"")</f>
        <v/>
      </c>
      <c r="AA3112" s="48" t="str">
        <f ca="1">IF(AND('Planning Sheet'!CJ153='Weeks Plan'!$D$6,'Planning Sheet'!CD153='Weeks Plan'!$G$6),'Planning Sheet'!$CF153,"")</f>
        <v/>
      </c>
    </row>
    <row r="3113" spans="25:27" x14ac:dyDescent="0.3">
      <c r="Y3113" s="48" t="str">
        <f ca="1">IF(AND('Planning Sheet'!CJ154='Weeks Plan'!$D$6,'Planning Sheet'!CD154='Weeks Plan'!$G$6),'Planning Sheet'!$B154,"")</f>
        <v/>
      </c>
      <c r="Z3113" s="48" t="str">
        <f ca="1">IF(AND('Planning Sheet'!CJ154='Weeks Plan'!$D$6,'Planning Sheet'!CD154='Weeks Plan'!$G$6),'Planning Sheet'!$CE154,"")</f>
        <v/>
      </c>
      <c r="AA3113" s="48" t="str">
        <f ca="1">IF(AND('Planning Sheet'!CJ154='Weeks Plan'!$D$6,'Planning Sheet'!CD154='Weeks Plan'!$G$6),'Planning Sheet'!$CF154,"")</f>
        <v/>
      </c>
    </row>
    <row r="3114" spans="25:27" x14ac:dyDescent="0.3">
      <c r="Y3114" s="48" t="str">
        <f ca="1">IF(AND('Planning Sheet'!CJ155='Weeks Plan'!$D$6,'Planning Sheet'!CD155='Weeks Plan'!$G$6),'Planning Sheet'!$B155,"")</f>
        <v/>
      </c>
      <c r="Z3114" s="48" t="str">
        <f ca="1">IF(AND('Planning Sheet'!CJ155='Weeks Plan'!$D$6,'Planning Sheet'!CD155='Weeks Plan'!$G$6),'Planning Sheet'!$CE155,"")</f>
        <v/>
      </c>
      <c r="AA3114" s="48" t="str">
        <f ca="1">IF(AND('Planning Sheet'!CJ155='Weeks Plan'!$D$6,'Planning Sheet'!CD155='Weeks Plan'!$G$6),'Planning Sheet'!$CF155,"")</f>
        <v/>
      </c>
    </row>
    <row r="3115" spans="25:27" x14ac:dyDescent="0.3">
      <c r="Y3115" s="48" t="str">
        <f ca="1">IF(AND('Planning Sheet'!CJ156='Weeks Plan'!$D$6,'Planning Sheet'!CD156='Weeks Plan'!$G$6),'Planning Sheet'!$B156,"")</f>
        <v/>
      </c>
      <c r="Z3115" s="48" t="str">
        <f ca="1">IF(AND('Planning Sheet'!CJ156='Weeks Plan'!$D$6,'Planning Sheet'!CD156='Weeks Plan'!$G$6),'Planning Sheet'!$CE156,"")</f>
        <v/>
      </c>
      <c r="AA3115" s="48" t="str">
        <f ca="1">IF(AND('Planning Sheet'!CJ156='Weeks Plan'!$D$6,'Planning Sheet'!CD156='Weeks Plan'!$G$6),'Planning Sheet'!$CF156,"")</f>
        <v/>
      </c>
    </row>
    <row r="3116" spans="25:27" x14ac:dyDescent="0.3">
      <c r="Y3116" s="48" t="str">
        <f ca="1">IF(AND('Planning Sheet'!CJ157='Weeks Plan'!$D$6,'Planning Sheet'!CD157='Weeks Plan'!$G$6),'Planning Sheet'!$B157,"")</f>
        <v/>
      </c>
      <c r="Z3116" s="48" t="str">
        <f ca="1">IF(AND('Planning Sheet'!CJ157='Weeks Plan'!$D$6,'Planning Sheet'!CD157='Weeks Plan'!$G$6),'Planning Sheet'!$CE157,"")</f>
        <v/>
      </c>
      <c r="AA3116" s="48" t="str">
        <f ca="1">IF(AND('Planning Sheet'!CJ157='Weeks Plan'!$D$6,'Planning Sheet'!CD157='Weeks Plan'!$G$6),'Planning Sheet'!$CF157,"")</f>
        <v/>
      </c>
    </row>
    <row r="3117" spans="25:27" x14ac:dyDescent="0.3">
      <c r="Y3117" s="48" t="str">
        <f ca="1">IF(AND('Planning Sheet'!CJ158='Weeks Plan'!$D$6,'Planning Sheet'!CD158='Weeks Plan'!$G$6),'Planning Sheet'!$B158,"")</f>
        <v/>
      </c>
      <c r="Z3117" s="48" t="str">
        <f ca="1">IF(AND('Planning Sheet'!CJ158='Weeks Plan'!$D$6,'Planning Sheet'!CD158='Weeks Plan'!$G$6),'Planning Sheet'!$CE158,"")</f>
        <v/>
      </c>
      <c r="AA3117" s="48" t="str">
        <f ca="1">IF(AND('Planning Sheet'!CJ158='Weeks Plan'!$D$6,'Planning Sheet'!CD158='Weeks Plan'!$G$6),'Planning Sheet'!$CF158,"")</f>
        <v/>
      </c>
    </row>
    <row r="3118" spans="25:27" x14ac:dyDescent="0.3">
      <c r="Y3118" s="48" t="str">
        <f ca="1">IF(AND('Planning Sheet'!CJ159='Weeks Plan'!$D$6,'Planning Sheet'!CD159='Weeks Plan'!$G$6),'Planning Sheet'!$B159,"")</f>
        <v/>
      </c>
      <c r="Z3118" s="48" t="str">
        <f ca="1">IF(AND('Planning Sheet'!CJ159='Weeks Plan'!$D$6,'Planning Sheet'!CD159='Weeks Plan'!$G$6),'Planning Sheet'!$CE159,"")</f>
        <v/>
      </c>
      <c r="AA3118" s="48" t="str">
        <f ca="1">IF(AND('Planning Sheet'!CJ159='Weeks Plan'!$D$6,'Planning Sheet'!CD159='Weeks Plan'!$G$6),'Planning Sheet'!$CF159,"")</f>
        <v/>
      </c>
    </row>
    <row r="3119" spans="25:27" x14ac:dyDescent="0.3">
      <c r="Y3119" s="48" t="str">
        <f ca="1">IF(AND('Planning Sheet'!CJ160='Weeks Plan'!$D$6,'Planning Sheet'!CD160='Weeks Plan'!$G$6),'Planning Sheet'!$B160,"")</f>
        <v/>
      </c>
      <c r="Z3119" s="48" t="str">
        <f ca="1">IF(AND('Planning Sheet'!CJ160='Weeks Plan'!$D$6,'Planning Sheet'!CD160='Weeks Plan'!$G$6),'Planning Sheet'!$CE160,"")</f>
        <v/>
      </c>
      <c r="AA3119" s="48" t="str">
        <f ca="1">IF(AND('Planning Sheet'!CJ160='Weeks Plan'!$D$6,'Planning Sheet'!CD160='Weeks Plan'!$G$6),'Planning Sheet'!$CF160,"")</f>
        <v/>
      </c>
    </row>
    <row r="3120" spans="25:27" x14ac:dyDescent="0.3">
      <c r="Y3120" s="48" t="str">
        <f ca="1">IF(AND('Planning Sheet'!CJ161='Weeks Plan'!$D$6,'Planning Sheet'!CD161='Weeks Plan'!$G$6),'Planning Sheet'!$B161,"")</f>
        <v/>
      </c>
      <c r="Z3120" s="48" t="str">
        <f ca="1">IF(AND('Planning Sheet'!CJ161='Weeks Plan'!$D$6,'Planning Sheet'!CD161='Weeks Plan'!$G$6),'Planning Sheet'!$CE161,"")</f>
        <v/>
      </c>
      <c r="AA3120" s="48" t="str">
        <f ca="1">IF(AND('Planning Sheet'!CJ161='Weeks Plan'!$D$6,'Planning Sheet'!CD161='Weeks Plan'!$G$6),'Planning Sheet'!$CF161,"")</f>
        <v/>
      </c>
    </row>
    <row r="3121" spans="25:27" x14ac:dyDescent="0.3">
      <c r="Y3121" s="48" t="str">
        <f ca="1">IF(AND('Planning Sheet'!CJ162='Weeks Plan'!$D$6,'Planning Sheet'!CD162='Weeks Plan'!$G$6),'Planning Sheet'!$B162,"")</f>
        <v/>
      </c>
      <c r="Z3121" s="48" t="str">
        <f ca="1">IF(AND('Planning Sheet'!CJ162='Weeks Plan'!$D$6,'Planning Sheet'!CD162='Weeks Plan'!$G$6),'Planning Sheet'!$CE162,"")</f>
        <v/>
      </c>
      <c r="AA3121" s="48" t="str">
        <f ca="1">IF(AND('Planning Sheet'!CJ162='Weeks Plan'!$D$6,'Planning Sheet'!CD162='Weeks Plan'!$G$6),'Planning Sheet'!$CF162,"")</f>
        <v/>
      </c>
    </row>
    <row r="3122" spans="25:27" x14ac:dyDescent="0.3">
      <c r="Y3122" s="48" t="str">
        <f ca="1">IF(AND('Planning Sheet'!CJ163='Weeks Plan'!$D$6,'Planning Sheet'!CD163='Weeks Plan'!$G$6),'Planning Sheet'!$B163,"")</f>
        <v/>
      </c>
      <c r="Z3122" s="48" t="str">
        <f ca="1">IF(AND('Planning Sheet'!CJ163='Weeks Plan'!$D$6,'Planning Sheet'!CD163='Weeks Plan'!$G$6),'Planning Sheet'!$CE163,"")</f>
        <v/>
      </c>
      <c r="AA3122" s="48" t="str">
        <f ca="1">IF(AND('Planning Sheet'!CJ163='Weeks Plan'!$D$6,'Planning Sheet'!CD163='Weeks Plan'!$G$6),'Planning Sheet'!$CF163,"")</f>
        <v/>
      </c>
    </row>
    <row r="3123" spans="25:27" x14ac:dyDescent="0.3">
      <c r="Y3123" s="48" t="str">
        <f ca="1">IF(AND('Planning Sheet'!CJ164='Weeks Plan'!$D$6,'Planning Sheet'!CD164='Weeks Plan'!$G$6),'Planning Sheet'!$B164,"")</f>
        <v/>
      </c>
      <c r="Z3123" s="48" t="str">
        <f ca="1">IF(AND('Planning Sheet'!CJ164='Weeks Plan'!$D$6,'Planning Sheet'!CD164='Weeks Plan'!$G$6),'Planning Sheet'!$CE164,"")</f>
        <v/>
      </c>
      <c r="AA3123" s="48" t="str">
        <f ca="1">IF(AND('Planning Sheet'!CJ164='Weeks Plan'!$D$6,'Planning Sheet'!CD164='Weeks Plan'!$G$6),'Planning Sheet'!$CF164,"")</f>
        <v/>
      </c>
    </row>
    <row r="3124" spans="25:27" x14ac:dyDescent="0.3">
      <c r="Y3124" s="48" t="str">
        <f ca="1">IF(AND('Planning Sheet'!CJ165='Weeks Plan'!$D$6,'Planning Sheet'!CD165='Weeks Plan'!$G$6),'Planning Sheet'!$B165,"")</f>
        <v/>
      </c>
      <c r="Z3124" s="48" t="str">
        <f ca="1">IF(AND('Planning Sheet'!CJ165='Weeks Plan'!$D$6,'Planning Sheet'!CD165='Weeks Plan'!$G$6),'Planning Sheet'!$CE165,"")</f>
        <v/>
      </c>
      <c r="AA3124" s="48" t="str">
        <f ca="1">IF(AND('Planning Sheet'!CJ165='Weeks Plan'!$D$6,'Planning Sheet'!CD165='Weeks Plan'!$G$6),'Planning Sheet'!$CF165,"")</f>
        <v/>
      </c>
    </row>
    <row r="3125" spans="25:27" x14ac:dyDescent="0.3">
      <c r="Y3125" s="48" t="str">
        <f ca="1">IF(AND('Planning Sheet'!CJ166='Weeks Plan'!$D$6,'Planning Sheet'!CD166='Weeks Plan'!$G$6),'Planning Sheet'!$B166,"")</f>
        <v/>
      </c>
      <c r="Z3125" s="48" t="str">
        <f ca="1">IF(AND('Planning Sheet'!CJ166='Weeks Plan'!$D$6,'Planning Sheet'!CD166='Weeks Plan'!$G$6),'Planning Sheet'!$CE166,"")</f>
        <v/>
      </c>
      <c r="AA3125" s="48" t="str">
        <f ca="1">IF(AND('Planning Sheet'!CJ166='Weeks Plan'!$D$6,'Planning Sheet'!CD166='Weeks Plan'!$G$6),'Planning Sheet'!$CF166,"")</f>
        <v/>
      </c>
    </row>
    <row r="3126" spans="25:27" x14ac:dyDescent="0.3">
      <c r="Y3126" s="48" t="str">
        <f ca="1">IF(AND('Planning Sheet'!CJ167='Weeks Plan'!$D$6,'Planning Sheet'!CD167='Weeks Plan'!$G$6),'Planning Sheet'!$B167,"")</f>
        <v/>
      </c>
      <c r="Z3126" s="48" t="str">
        <f ca="1">IF(AND('Planning Sheet'!CJ167='Weeks Plan'!$D$6,'Planning Sheet'!CD167='Weeks Plan'!$G$6),'Planning Sheet'!$CE167,"")</f>
        <v/>
      </c>
      <c r="AA3126" s="48" t="str">
        <f ca="1">IF(AND('Planning Sheet'!CJ167='Weeks Plan'!$D$6,'Planning Sheet'!CD167='Weeks Plan'!$G$6),'Planning Sheet'!$CF167,"")</f>
        <v/>
      </c>
    </row>
    <row r="3127" spans="25:27" x14ac:dyDescent="0.3">
      <c r="Y3127" s="48" t="str">
        <f ca="1">IF(AND('Planning Sheet'!CJ168='Weeks Plan'!$D$6,'Planning Sheet'!CD168='Weeks Plan'!$G$6),'Planning Sheet'!$B168,"")</f>
        <v/>
      </c>
      <c r="Z3127" s="48" t="str">
        <f ca="1">IF(AND('Planning Sheet'!CJ168='Weeks Plan'!$D$6,'Planning Sheet'!CD168='Weeks Plan'!$G$6),'Planning Sheet'!$CE168,"")</f>
        <v/>
      </c>
      <c r="AA3127" s="48" t="str">
        <f ca="1">IF(AND('Planning Sheet'!CJ168='Weeks Plan'!$D$6,'Planning Sheet'!CD168='Weeks Plan'!$G$6),'Planning Sheet'!$CF168,"")</f>
        <v/>
      </c>
    </row>
    <row r="3128" spans="25:27" x14ac:dyDescent="0.3">
      <c r="Y3128" s="48" t="str">
        <f ca="1">IF(AND('Planning Sheet'!CJ169='Weeks Plan'!$D$6,'Planning Sheet'!CD169='Weeks Plan'!$G$6),'Planning Sheet'!$B169,"")</f>
        <v/>
      </c>
      <c r="Z3128" s="48" t="str">
        <f ca="1">IF(AND('Planning Sheet'!CJ169='Weeks Plan'!$D$6,'Planning Sheet'!CD169='Weeks Plan'!$G$6),'Planning Sheet'!$CE169,"")</f>
        <v/>
      </c>
      <c r="AA3128" s="48" t="str">
        <f ca="1">IF(AND('Planning Sheet'!CJ169='Weeks Plan'!$D$6,'Planning Sheet'!CD169='Weeks Plan'!$G$6),'Planning Sheet'!$CF169,"")</f>
        <v/>
      </c>
    </row>
    <row r="3129" spans="25:27" x14ac:dyDescent="0.3">
      <c r="Y3129" s="48" t="str">
        <f ca="1">IF(AND('Planning Sheet'!CJ170='Weeks Plan'!$D$6,'Planning Sheet'!CD170='Weeks Plan'!$G$6),'Planning Sheet'!$B170,"")</f>
        <v/>
      </c>
      <c r="Z3129" s="48" t="str">
        <f ca="1">IF(AND('Planning Sheet'!CJ170='Weeks Plan'!$D$6,'Planning Sheet'!CD170='Weeks Plan'!$G$6),'Planning Sheet'!$CE170,"")</f>
        <v/>
      </c>
      <c r="AA3129" s="48" t="str">
        <f ca="1">IF(AND('Planning Sheet'!CJ170='Weeks Plan'!$D$6,'Planning Sheet'!CD170='Weeks Plan'!$G$6),'Planning Sheet'!$CF170,"")</f>
        <v/>
      </c>
    </row>
    <row r="3130" spans="25:27" x14ac:dyDescent="0.3">
      <c r="Y3130" s="48" t="str">
        <f ca="1">IF(AND('Planning Sheet'!CJ171='Weeks Plan'!$D$6,'Planning Sheet'!CD171='Weeks Plan'!$G$6),'Planning Sheet'!$B171,"")</f>
        <v/>
      </c>
      <c r="Z3130" s="48" t="str">
        <f ca="1">IF(AND('Planning Sheet'!CJ171='Weeks Plan'!$D$6,'Planning Sheet'!CD171='Weeks Plan'!$G$6),'Planning Sheet'!$CE171,"")</f>
        <v/>
      </c>
      <c r="AA3130" s="48" t="str">
        <f ca="1">IF(AND('Planning Sheet'!CJ171='Weeks Plan'!$D$6,'Planning Sheet'!CD171='Weeks Plan'!$G$6),'Planning Sheet'!$CF171,"")</f>
        <v/>
      </c>
    </row>
    <row r="3131" spans="25:27" x14ac:dyDescent="0.3">
      <c r="Y3131" s="48" t="str">
        <f ca="1">IF(AND('Planning Sheet'!CJ172='Weeks Plan'!$D$6,'Planning Sheet'!CD172='Weeks Plan'!$G$6),'Planning Sheet'!$B172,"")</f>
        <v/>
      </c>
      <c r="Z3131" s="48" t="str">
        <f ca="1">IF(AND('Planning Sheet'!CJ172='Weeks Plan'!$D$6,'Planning Sheet'!CD172='Weeks Plan'!$G$6),'Planning Sheet'!$CE172,"")</f>
        <v/>
      </c>
      <c r="AA3131" s="48" t="str">
        <f ca="1">IF(AND('Planning Sheet'!CJ172='Weeks Plan'!$D$6,'Planning Sheet'!CD172='Weeks Plan'!$G$6),'Planning Sheet'!$CF172,"")</f>
        <v/>
      </c>
    </row>
    <row r="3132" spans="25:27" x14ac:dyDescent="0.3">
      <c r="Y3132" s="48" t="str">
        <f ca="1">IF(AND('Planning Sheet'!CJ173='Weeks Plan'!$D$6,'Planning Sheet'!CD173='Weeks Plan'!$G$6),'Planning Sheet'!$B173,"")</f>
        <v/>
      </c>
      <c r="Z3132" s="48" t="str">
        <f ca="1">IF(AND('Planning Sheet'!CJ173='Weeks Plan'!$D$6,'Planning Sheet'!CD173='Weeks Plan'!$G$6),'Planning Sheet'!$CE173,"")</f>
        <v/>
      </c>
      <c r="AA3132" s="48" t="str">
        <f ca="1">IF(AND('Planning Sheet'!CJ173='Weeks Plan'!$D$6,'Planning Sheet'!CD173='Weeks Plan'!$G$6),'Planning Sheet'!$CF173,"")</f>
        <v/>
      </c>
    </row>
    <row r="3133" spans="25:27" x14ac:dyDescent="0.3">
      <c r="Y3133" s="48" t="str">
        <f ca="1">IF(AND('Planning Sheet'!CJ174='Weeks Plan'!$D$6,'Planning Sheet'!CD174='Weeks Plan'!$G$6),'Planning Sheet'!$B174,"")</f>
        <v/>
      </c>
      <c r="Z3133" s="48" t="str">
        <f ca="1">IF(AND('Planning Sheet'!CJ174='Weeks Plan'!$D$6,'Planning Sheet'!CD174='Weeks Plan'!$G$6),'Planning Sheet'!$CE174,"")</f>
        <v/>
      </c>
      <c r="AA3133" s="48" t="str">
        <f ca="1">IF(AND('Planning Sheet'!CJ174='Weeks Plan'!$D$6,'Planning Sheet'!CD174='Weeks Plan'!$G$6),'Planning Sheet'!$CF174,"")</f>
        <v/>
      </c>
    </row>
    <row r="3134" spans="25:27" x14ac:dyDescent="0.3">
      <c r="Y3134" s="48" t="str">
        <f ca="1">IF(AND('Planning Sheet'!CJ175='Weeks Plan'!$D$6,'Planning Sheet'!CD175='Weeks Plan'!$G$6),'Planning Sheet'!$B175,"")</f>
        <v/>
      </c>
      <c r="Z3134" s="48" t="str">
        <f ca="1">IF(AND('Planning Sheet'!CJ175='Weeks Plan'!$D$6,'Planning Sheet'!CD175='Weeks Plan'!$G$6),'Planning Sheet'!$CE175,"")</f>
        <v/>
      </c>
      <c r="AA3134" s="48" t="str">
        <f ca="1">IF(AND('Planning Sheet'!CJ175='Weeks Plan'!$D$6,'Planning Sheet'!CD175='Weeks Plan'!$G$6),'Planning Sheet'!$CF175,"")</f>
        <v/>
      </c>
    </row>
    <row r="3135" spans="25:27" x14ac:dyDescent="0.3">
      <c r="Y3135" s="48" t="str">
        <f ca="1">IF(AND('Planning Sheet'!CJ176='Weeks Plan'!$D$6,'Planning Sheet'!CD176='Weeks Plan'!$G$6),'Planning Sheet'!$B176,"")</f>
        <v/>
      </c>
      <c r="Z3135" s="48" t="str">
        <f ca="1">IF(AND('Planning Sheet'!CJ176='Weeks Plan'!$D$6,'Planning Sheet'!CD176='Weeks Plan'!$G$6),'Planning Sheet'!$CE176,"")</f>
        <v/>
      </c>
      <c r="AA3135" s="48" t="str">
        <f ca="1">IF(AND('Planning Sheet'!CJ176='Weeks Plan'!$D$6,'Planning Sheet'!CD176='Weeks Plan'!$G$6),'Planning Sheet'!$CF176,"")</f>
        <v/>
      </c>
    </row>
    <row r="3136" spans="25:27" x14ac:dyDescent="0.3">
      <c r="Y3136" s="48" t="str">
        <f ca="1">IF(AND('Planning Sheet'!CJ177='Weeks Plan'!$D$6,'Planning Sheet'!CD177='Weeks Plan'!$G$6),'Planning Sheet'!$B177,"")</f>
        <v/>
      </c>
      <c r="Z3136" s="48" t="str">
        <f ca="1">IF(AND('Planning Sheet'!CJ177='Weeks Plan'!$D$6,'Planning Sheet'!CD177='Weeks Plan'!$G$6),'Planning Sheet'!$CE177,"")</f>
        <v/>
      </c>
      <c r="AA3136" s="48" t="str">
        <f ca="1">IF(AND('Planning Sheet'!CJ177='Weeks Plan'!$D$6,'Planning Sheet'!CD177='Weeks Plan'!$G$6),'Planning Sheet'!$CF177,"")</f>
        <v/>
      </c>
    </row>
    <row r="3137" spans="25:27" x14ac:dyDescent="0.3">
      <c r="Y3137" s="48" t="str">
        <f ca="1">IF(AND('Planning Sheet'!CJ178='Weeks Plan'!$D$6,'Planning Sheet'!CD178='Weeks Plan'!$G$6),'Planning Sheet'!$B178,"")</f>
        <v/>
      </c>
      <c r="Z3137" s="48" t="str">
        <f ca="1">IF(AND('Planning Sheet'!CJ178='Weeks Plan'!$D$6,'Planning Sheet'!CD178='Weeks Plan'!$G$6),'Planning Sheet'!$CE178,"")</f>
        <v/>
      </c>
      <c r="AA3137" s="48" t="str">
        <f ca="1">IF(AND('Planning Sheet'!CJ178='Weeks Plan'!$D$6,'Planning Sheet'!CD178='Weeks Plan'!$G$6),'Planning Sheet'!$CF178,"")</f>
        <v/>
      </c>
    </row>
    <row r="3138" spans="25:27" x14ac:dyDescent="0.3">
      <c r="Y3138" s="48" t="str">
        <f ca="1">IF(AND('Planning Sheet'!CJ179='Weeks Plan'!$D$6,'Planning Sheet'!CD179='Weeks Plan'!$G$6),'Planning Sheet'!$B179,"")</f>
        <v/>
      </c>
      <c r="Z3138" s="48" t="str">
        <f ca="1">IF(AND('Planning Sheet'!CJ179='Weeks Plan'!$D$6,'Planning Sheet'!CD179='Weeks Plan'!$G$6),'Planning Sheet'!$CE179,"")</f>
        <v/>
      </c>
      <c r="AA3138" s="48" t="str">
        <f ca="1">IF(AND('Planning Sheet'!CJ179='Weeks Plan'!$D$6,'Planning Sheet'!CD179='Weeks Plan'!$G$6),'Planning Sheet'!$CF179,"")</f>
        <v/>
      </c>
    </row>
    <row r="3139" spans="25:27" x14ac:dyDescent="0.3">
      <c r="Y3139" s="48" t="str">
        <f ca="1">IF(AND('Planning Sheet'!CJ180='Weeks Plan'!$D$6,'Planning Sheet'!CD180='Weeks Plan'!$G$6),'Planning Sheet'!$B180,"")</f>
        <v/>
      </c>
      <c r="Z3139" s="48" t="str">
        <f ca="1">IF(AND('Planning Sheet'!CJ180='Weeks Plan'!$D$6,'Planning Sheet'!CD180='Weeks Plan'!$G$6),'Planning Sheet'!$CE180,"")</f>
        <v/>
      </c>
      <c r="AA3139" s="48" t="str">
        <f ca="1">IF(AND('Planning Sheet'!CJ180='Weeks Plan'!$D$6,'Planning Sheet'!CD180='Weeks Plan'!$G$6),'Planning Sheet'!$CF180,"")</f>
        <v/>
      </c>
    </row>
    <row r="3140" spans="25:27" x14ac:dyDescent="0.3">
      <c r="Y3140" s="48" t="str">
        <f ca="1">IF(AND('Planning Sheet'!CJ181='Weeks Plan'!$D$6,'Planning Sheet'!CD181='Weeks Plan'!$G$6),'Planning Sheet'!$B181,"")</f>
        <v/>
      </c>
      <c r="Z3140" s="48" t="str">
        <f ca="1">IF(AND('Planning Sheet'!CJ181='Weeks Plan'!$D$6,'Planning Sheet'!CD181='Weeks Plan'!$G$6),'Planning Sheet'!$CE181,"")</f>
        <v/>
      </c>
      <c r="AA3140" s="48" t="str">
        <f ca="1">IF(AND('Planning Sheet'!CJ181='Weeks Plan'!$D$6,'Planning Sheet'!CD181='Weeks Plan'!$G$6),'Planning Sheet'!$CF181,"")</f>
        <v/>
      </c>
    </row>
    <row r="3141" spans="25:27" x14ac:dyDescent="0.3">
      <c r="Y3141" s="48" t="str">
        <f ca="1">IF(AND('Planning Sheet'!CJ182='Weeks Plan'!$D$6,'Planning Sheet'!CD182='Weeks Plan'!$G$6),'Planning Sheet'!$B182,"")</f>
        <v/>
      </c>
      <c r="Z3141" s="48" t="str">
        <f ca="1">IF(AND('Planning Sheet'!CJ182='Weeks Plan'!$D$6,'Planning Sheet'!CD182='Weeks Plan'!$G$6),'Planning Sheet'!$CE182,"")</f>
        <v/>
      </c>
      <c r="AA3141" s="48" t="str">
        <f ca="1">IF(AND('Planning Sheet'!CJ182='Weeks Plan'!$D$6,'Planning Sheet'!CD182='Weeks Plan'!$G$6),'Planning Sheet'!$CF182,"")</f>
        <v/>
      </c>
    </row>
    <row r="3142" spans="25:27" x14ac:dyDescent="0.3">
      <c r="Y3142" s="48" t="str">
        <f ca="1">IF(AND('Planning Sheet'!CJ183='Weeks Plan'!$D$6,'Planning Sheet'!CD183='Weeks Plan'!$G$6),'Planning Sheet'!$B183,"")</f>
        <v/>
      </c>
      <c r="Z3142" s="48" t="str">
        <f ca="1">IF(AND('Planning Sheet'!CJ183='Weeks Plan'!$D$6,'Planning Sheet'!CD183='Weeks Plan'!$G$6),'Planning Sheet'!$CE183,"")</f>
        <v/>
      </c>
      <c r="AA3142" s="48" t="str">
        <f ca="1">IF(AND('Planning Sheet'!CJ183='Weeks Plan'!$D$6,'Planning Sheet'!CD183='Weeks Plan'!$G$6),'Planning Sheet'!$CF183,"")</f>
        <v/>
      </c>
    </row>
    <row r="3143" spans="25:27" x14ac:dyDescent="0.3">
      <c r="Y3143" s="48" t="str">
        <f ca="1">IF(AND('Planning Sheet'!CJ184='Weeks Plan'!$D$6,'Planning Sheet'!CD184='Weeks Plan'!$G$6),'Planning Sheet'!$B184,"")</f>
        <v/>
      </c>
      <c r="Z3143" s="48" t="str">
        <f ca="1">IF(AND('Planning Sheet'!CJ184='Weeks Plan'!$D$6,'Planning Sheet'!CD184='Weeks Plan'!$G$6),'Planning Sheet'!$CE184,"")</f>
        <v/>
      </c>
      <c r="AA3143" s="48" t="str">
        <f ca="1">IF(AND('Planning Sheet'!CJ184='Weeks Plan'!$D$6,'Planning Sheet'!CD184='Weeks Plan'!$G$6),'Planning Sheet'!$CF184,"")</f>
        <v/>
      </c>
    </row>
    <row r="3144" spans="25:27" x14ac:dyDescent="0.3">
      <c r="Y3144" s="48" t="str">
        <f ca="1">IF(AND('Planning Sheet'!CJ185='Weeks Plan'!$D$6,'Planning Sheet'!CD185='Weeks Plan'!$G$6),'Planning Sheet'!$B185,"")</f>
        <v/>
      </c>
      <c r="Z3144" s="48" t="str">
        <f ca="1">IF(AND('Planning Sheet'!CJ185='Weeks Plan'!$D$6,'Planning Sheet'!CD185='Weeks Plan'!$G$6),'Planning Sheet'!$CE185,"")</f>
        <v/>
      </c>
      <c r="AA3144" s="48" t="str">
        <f ca="1">IF(AND('Planning Sheet'!CJ185='Weeks Plan'!$D$6,'Planning Sheet'!CD185='Weeks Plan'!$G$6),'Planning Sheet'!$CF185,"")</f>
        <v/>
      </c>
    </row>
    <row r="3145" spans="25:27" x14ac:dyDescent="0.3">
      <c r="Y3145" s="48" t="str">
        <f ca="1">IF(AND('Planning Sheet'!CJ186='Weeks Plan'!$D$6,'Planning Sheet'!CD186='Weeks Plan'!$G$6),'Planning Sheet'!$B186,"")</f>
        <v/>
      </c>
      <c r="Z3145" s="48" t="str">
        <f ca="1">IF(AND('Planning Sheet'!CJ186='Weeks Plan'!$D$6,'Planning Sheet'!CD186='Weeks Plan'!$G$6),'Planning Sheet'!$CE186,"")</f>
        <v/>
      </c>
      <c r="AA3145" s="48" t="str">
        <f ca="1">IF(AND('Planning Sheet'!CJ186='Weeks Plan'!$D$6,'Planning Sheet'!CD186='Weeks Plan'!$G$6),'Planning Sheet'!$CF186,"")</f>
        <v/>
      </c>
    </row>
    <row r="3146" spans="25:27" x14ac:dyDescent="0.3">
      <c r="Y3146" s="48" t="str">
        <f ca="1">IF(AND('Planning Sheet'!CJ187='Weeks Plan'!$D$6,'Planning Sheet'!CD187='Weeks Plan'!$G$6),'Planning Sheet'!$B187,"")</f>
        <v/>
      </c>
      <c r="Z3146" s="48" t="str">
        <f ca="1">IF(AND('Planning Sheet'!CJ187='Weeks Plan'!$D$6,'Planning Sheet'!CD187='Weeks Plan'!$G$6),'Planning Sheet'!$CE187,"")</f>
        <v/>
      </c>
      <c r="AA3146" s="48" t="str">
        <f ca="1">IF(AND('Planning Sheet'!CJ187='Weeks Plan'!$D$6,'Planning Sheet'!CD187='Weeks Plan'!$G$6),'Planning Sheet'!$CF187,"")</f>
        <v/>
      </c>
    </row>
    <row r="3147" spans="25:27" x14ac:dyDescent="0.3">
      <c r="Y3147" s="48" t="str">
        <f ca="1">IF(AND('Planning Sheet'!CJ188='Weeks Plan'!$D$6,'Planning Sheet'!CD188='Weeks Plan'!$G$6),'Planning Sheet'!$B188,"")</f>
        <v/>
      </c>
      <c r="Z3147" s="48" t="str">
        <f ca="1">IF(AND('Planning Sheet'!CJ188='Weeks Plan'!$D$6,'Planning Sheet'!CD188='Weeks Plan'!$G$6),'Planning Sheet'!$CE188,"")</f>
        <v/>
      </c>
      <c r="AA3147" s="48" t="str">
        <f ca="1">IF(AND('Planning Sheet'!CJ188='Weeks Plan'!$D$6,'Planning Sheet'!CD188='Weeks Plan'!$G$6),'Planning Sheet'!$CF188,"")</f>
        <v/>
      </c>
    </row>
    <row r="3148" spans="25:27" x14ac:dyDescent="0.3">
      <c r="Y3148" s="48" t="str">
        <f ca="1">IF(AND('Planning Sheet'!CJ189='Weeks Plan'!$D$6,'Planning Sheet'!CD189='Weeks Plan'!$G$6),'Planning Sheet'!$B189,"")</f>
        <v/>
      </c>
      <c r="Z3148" s="48" t="str">
        <f ca="1">IF(AND('Planning Sheet'!CJ189='Weeks Plan'!$D$6,'Planning Sheet'!CD189='Weeks Plan'!$G$6),'Planning Sheet'!$CE189,"")</f>
        <v/>
      </c>
      <c r="AA3148" s="48" t="str">
        <f ca="1">IF(AND('Planning Sheet'!CJ189='Weeks Plan'!$D$6,'Planning Sheet'!CD189='Weeks Plan'!$G$6),'Planning Sheet'!$CF189,"")</f>
        <v/>
      </c>
    </row>
    <row r="3149" spans="25:27" x14ac:dyDescent="0.3">
      <c r="Y3149" s="48" t="str">
        <f ca="1">IF(AND('Planning Sheet'!CJ190='Weeks Plan'!$D$6,'Planning Sheet'!CD190='Weeks Plan'!$G$6),'Planning Sheet'!$B190,"")</f>
        <v/>
      </c>
      <c r="Z3149" s="48" t="str">
        <f ca="1">IF(AND('Planning Sheet'!CJ190='Weeks Plan'!$D$6,'Planning Sheet'!CD190='Weeks Plan'!$G$6),'Planning Sheet'!$CE190,"")</f>
        <v/>
      </c>
      <c r="AA3149" s="48" t="str">
        <f ca="1">IF(AND('Planning Sheet'!CJ190='Weeks Plan'!$D$6,'Planning Sheet'!CD190='Weeks Plan'!$G$6),'Planning Sheet'!$CF190,"")</f>
        <v/>
      </c>
    </row>
    <row r="3150" spans="25:27" x14ac:dyDescent="0.3">
      <c r="Y3150" s="48" t="str">
        <f ca="1">IF(AND('Planning Sheet'!CJ191='Weeks Plan'!$D$6,'Planning Sheet'!CD191='Weeks Plan'!$G$6),'Planning Sheet'!$B191,"")</f>
        <v/>
      </c>
      <c r="Z3150" s="48" t="str">
        <f ca="1">IF(AND('Planning Sheet'!CJ191='Weeks Plan'!$D$6,'Planning Sheet'!CD191='Weeks Plan'!$G$6),'Planning Sheet'!$CE191,"")</f>
        <v/>
      </c>
      <c r="AA3150" s="48" t="str">
        <f ca="1">IF(AND('Planning Sheet'!CJ191='Weeks Plan'!$D$6,'Planning Sheet'!CD191='Weeks Plan'!$G$6),'Planning Sheet'!$CF191,"")</f>
        <v/>
      </c>
    </row>
    <row r="3151" spans="25:27" x14ac:dyDescent="0.3">
      <c r="Y3151" s="48" t="str">
        <f ca="1">IF(AND('Planning Sheet'!CJ192='Weeks Plan'!$D$6,'Planning Sheet'!CD192='Weeks Plan'!$G$6),'Planning Sheet'!$B192,"")</f>
        <v/>
      </c>
      <c r="Z3151" s="48" t="str">
        <f ca="1">IF(AND('Planning Sheet'!CJ192='Weeks Plan'!$D$6,'Planning Sheet'!CD192='Weeks Plan'!$G$6),'Planning Sheet'!$CE192,"")</f>
        <v/>
      </c>
      <c r="AA3151" s="48" t="str">
        <f ca="1">IF(AND('Planning Sheet'!CJ192='Weeks Plan'!$D$6,'Planning Sheet'!CD192='Weeks Plan'!$G$6),'Planning Sheet'!$CF192,"")</f>
        <v/>
      </c>
    </row>
    <row r="3152" spans="25:27" x14ac:dyDescent="0.3">
      <c r="Y3152" s="48" t="str">
        <f ca="1">IF(AND('Planning Sheet'!CJ193='Weeks Plan'!$D$6,'Planning Sheet'!CD193='Weeks Plan'!$G$6),'Planning Sheet'!$B193,"")</f>
        <v/>
      </c>
      <c r="Z3152" s="48" t="str">
        <f ca="1">IF(AND('Planning Sheet'!CJ193='Weeks Plan'!$D$6,'Planning Sheet'!CD193='Weeks Plan'!$G$6),'Planning Sheet'!$CE193,"")</f>
        <v/>
      </c>
      <c r="AA3152" s="48" t="str">
        <f ca="1">IF(AND('Planning Sheet'!CJ193='Weeks Plan'!$D$6,'Planning Sheet'!CD193='Weeks Plan'!$G$6),'Planning Sheet'!$CF193,"")</f>
        <v/>
      </c>
    </row>
    <row r="3153" spans="25:27" x14ac:dyDescent="0.3">
      <c r="Y3153" s="48" t="str">
        <f ca="1">IF(AND('Planning Sheet'!CJ194='Weeks Plan'!$D$6,'Planning Sheet'!CD194='Weeks Plan'!$G$6),'Planning Sheet'!$B194,"")</f>
        <v/>
      </c>
      <c r="Z3153" s="48" t="str">
        <f ca="1">IF(AND('Planning Sheet'!CJ194='Weeks Plan'!$D$6,'Planning Sheet'!CD194='Weeks Plan'!$G$6),'Planning Sheet'!$CE194,"")</f>
        <v/>
      </c>
      <c r="AA3153" s="48" t="str">
        <f ca="1">IF(AND('Planning Sheet'!CJ194='Weeks Plan'!$D$6,'Planning Sheet'!CD194='Weeks Plan'!$G$6),'Planning Sheet'!$CF194,"")</f>
        <v/>
      </c>
    </row>
    <row r="3154" spans="25:27" x14ac:dyDescent="0.3">
      <c r="Y3154" s="48" t="str">
        <f ca="1">IF(AND('Planning Sheet'!CJ195='Weeks Plan'!$D$6,'Planning Sheet'!CD195='Weeks Plan'!$G$6),'Planning Sheet'!$B195,"")</f>
        <v/>
      </c>
      <c r="Z3154" s="48" t="str">
        <f ca="1">IF(AND('Planning Sheet'!CJ195='Weeks Plan'!$D$6,'Planning Sheet'!CD195='Weeks Plan'!$G$6),'Planning Sheet'!$CE195,"")</f>
        <v/>
      </c>
      <c r="AA3154" s="48" t="str">
        <f ca="1">IF(AND('Planning Sheet'!CJ195='Weeks Plan'!$D$6,'Planning Sheet'!CD195='Weeks Plan'!$G$6),'Planning Sheet'!$CF195,"")</f>
        <v/>
      </c>
    </row>
    <row r="3155" spans="25:27" x14ac:dyDescent="0.3">
      <c r="Y3155" s="48" t="str">
        <f ca="1">IF(AND('Planning Sheet'!CJ196='Weeks Plan'!$D$6,'Planning Sheet'!CD196='Weeks Plan'!$G$6),'Planning Sheet'!$B196,"")</f>
        <v/>
      </c>
      <c r="Z3155" s="48" t="str">
        <f ca="1">IF(AND('Planning Sheet'!CJ196='Weeks Plan'!$D$6,'Planning Sheet'!CD196='Weeks Plan'!$G$6),'Planning Sheet'!$CE196,"")</f>
        <v/>
      </c>
      <c r="AA3155" s="48" t="str">
        <f ca="1">IF(AND('Planning Sheet'!CJ196='Weeks Plan'!$D$6,'Planning Sheet'!CD196='Weeks Plan'!$G$6),'Planning Sheet'!$CF196,"")</f>
        <v/>
      </c>
    </row>
    <row r="3156" spans="25:27" x14ac:dyDescent="0.3">
      <c r="Y3156" s="48" t="str">
        <f ca="1">IF(AND('Planning Sheet'!CJ197='Weeks Plan'!$D$6,'Planning Sheet'!CD197='Weeks Plan'!$G$6),'Planning Sheet'!$B197,"")</f>
        <v/>
      </c>
      <c r="Z3156" s="48" t="str">
        <f ca="1">IF(AND('Planning Sheet'!CJ197='Weeks Plan'!$D$6,'Planning Sheet'!CD197='Weeks Plan'!$G$6),'Planning Sheet'!$CE197,"")</f>
        <v/>
      </c>
      <c r="AA3156" s="48" t="str">
        <f ca="1">IF(AND('Planning Sheet'!CJ197='Weeks Plan'!$D$6,'Planning Sheet'!CD197='Weeks Plan'!$G$6),'Planning Sheet'!$CF197,"")</f>
        <v/>
      </c>
    </row>
    <row r="3157" spans="25:27" x14ac:dyDescent="0.3">
      <c r="Y3157" s="48" t="str">
        <f ca="1">IF(AND('Planning Sheet'!CJ198='Weeks Plan'!$D$6,'Planning Sheet'!CD198='Weeks Plan'!$G$6),'Planning Sheet'!$B198,"")</f>
        <v/>
      </c>
      <c r="Z3157" s="48" t="str">
        <f ca="1">IF(AND('Planning Sheet'!CJ198='Weeks Plan'!$D$6,'Planning Sheet'!CD198='Weeks Plan'!$G$6),'Planning Sheet'!$CE198,"")</f>
        <v/>
      </c>
      <c r="AA3157" s="48" t="str">
        <f ca="1">IF(AND('Planning Sheet'!CJ198='Weeks Plan'!$D$6,'Planning Sheet'!CD198='Weeks Plan'!$G$6),'Planning Sheet'!$CF198,"")</f>
        <v/>
      </c>
    </row>
    <row r="3158" spans="25:27" x14ac:dyDescent="0.3">
      <c r="Y3158" s="48" t="str">
        <f ca="1">IF(AND('Planning Sheet'!CJ199='Weeks Plan'!$D$6,'Planning Sheet'!CD199='Weeks Plan'!$G$6),'Planning Sheet'!$B199,"")</f>
        <v/>
      </c>
      <c r="Z3158" s="48" t="str">
        <f ca="1">IF(AND('Planning Sheet'!CJ199='Weeks Plan'!$D$6,'Planning Sheet'!CD199='Weeks Plan'!$G$6),'Planning Sheet'!$CE199,"")</f>
        <v/>
      </c>
      <c r="AA3158" s="48" t="str">
        <f ca="1">IF(AND('Planning Sheet'!CJ199='Weeks Plan'!$D$6,'Planning Sheet'!CD199='Weeks Plan'!$G$6),'Planning Sheet'!$CF199,"")</f>
        <v/>
      </c>
    </row>
    <row r="3159" spans="25:27" x14ac:dyDescent="0.3">
      <c r="Y3159" s="48" t="str">
        <f ca="1">IF(AND('Planning Sheet'!CJ200='Weeks Plan'!$D$6,'Planning Sheet'!CD200='Weeks Plan'!$G$6),'Planning Sheet'!$B200,"")</f>
        <v/>
      </c>
      <c r="Z3159" s="48" t="str">
        <f ca="1">IF(AND('Planning Sheet'!CJ200='Weeks Plan'!$D$6,'Planning Sheet'!CD200='Weeks Plan'!$G$6),'Planning Sheet'!$CE200,"")</f>
        <v/>
      </c>
      <c r="AA3159" s="48" t="str">
        <f ca="1">IF(AND('Planning Sheet'!CJ200='Weeks Plan'!$D$6,'Planning Sheet'!CD200='Weeks Plan'!$G$6),'Planning Sheet'!$CF200,"")</f>
        <v/>
      </c>
    </row>
    <row r="3160" spans="25:27" x14ac:dyDescent="0.3">
      <c r="Y3160" s="48" t="str">
        <f ca="1">IF(AND('Planning Sheet'!CJ201='Weeks Plan'!$D$6,'Planning Sheet'!CD201='Weeks Plan'!$G$6),'Planning Sheet'!$B201,"")</f>
        <v/>
      </c>
      <c r="Z3160" s="48" t="str">
        <f ca="1">IF(AND('Planning Sheet'!CJ201='Weeks Plan'!$D$6,'Planning Sheet'!CD201='Weeks Plan'!$G$6),'Planning Sheet'!$CE201,"")</f>
        <v/>
      </c>
      <c r="AA3160" s="48" t="str">
        <f ca="1">IF(AND('Planning Sheet'!CJ201='Weeks Plan'!$D$6,'Planning Sheet'!CD201='Weeks Plan'!$G$6),'Planning Sheet'!$CF201,"")</f>
        <v/>
      </c>
    </row>
    <row r="3161" spans="25:27" x14ac:dyDescent="0.3">
      <c r="Y3161" s="48" t="str">
        <f ca="1">IF(AND('Planning Sheet'!CJ202='Weeks Plan'!$D$6,'Planning Sheet'!CD202='Weeks Plan'!$G$6),'Planning Sheet'!$B202,"")</f>
        <v/>
      </c>
      <c r="Z3161" s="48" t="str">
        <f ca="1">IF(AND('Planning Sheet'!CJ202='Weeks Plan'!$D$6,'Planning Sheet'!CD202='Weeks Plan'!$G$6),'Planning Sheet'!$CE202,"")</f>
        <v/>
      </c>
      <c r="AA3161" s="48" t="str">
        <f ca="1">IF(AND('Planning Sheet'!CJ202='Weeks Plan'!$D$6,'Planning Sheet'!CD202='Weeks Plan'!$G$6),'Planning Sheet'!$CF202,"")</f>
        <v/>
      </c>
    </row>
    <row r="3162" spans="25:27" x14ac:dyDescent="0.3">
      <c r="Y3162" s="48" t="str">
        <f ca="1">IF(AND('Planning Sheet'!CJ203='Weeks Plan'!$D$6,'Planning Sheet'!CD203='Weeks Plan'!$G$6),'Planning Sheet'!$B203,"")</f>
        <v/>
      </c>
      <c r="Z3162" s="48" t="str">
        <f ca="1">IF(AND('Planning Sheet'!CJ203='Weeks Plan'!$D$6,'Planning Sheet'!CD203='Weeks Plan'!$G$6),'Planning Sheet'!$CE203,"")</f>
        <v/>
      </c>
      <c r="AA3162" s="48" t="str">
        <f ca="1">IF(AND('Planning Sheet'!CJ203='Weeks Plan'!$D$6,'Planning Sheet'!CD203='Weeks Plan'!$G$6),'Planning Sheet'!$CF203,"")</f>
        <v/>
      </c>
    </row>
    <row r="3163" spans="25:27" x14ac:dyDescent="0.3">
      <c r="Y3163" s="48" t="str">
        <f ca="1">IF(AND('Planning Sheet'!CJ204='Weeks Plan'!$D$6,'Planning Sheet'!CD204='Weeks Plan'!$G$6),'Planning Sheet'!$B204,"")</f>
        <v/>
      </c>
      <c r="Z3163" s="48" t="str">
        <f ca="1">IF(AND('Planning Sheet'!CJ204='Weeks Plan'!$D$6,'Planning Sheet'!CD204='Weeks Plan'!$G$6),'Planning Sheet'!$CE204,"")</f>
        <v/>
      </c>
      <c r="AA3163" s="48" t="str">
        <f ca="1">IF(AND('Planning Sheet'!CJ204='Weeks Plan'!$D$6,'Planning Sheet'!CD204='Weeks Plan'!$G$6),'Planning Sheet'!$CF204,"")</f>
        <v/>
      </c>
    </row>
    <row r="3164" spans="25:27" x14ac:dyDescent="0.3">
      <c r="Y3164" s="48" t="str">
        <f ca="1">IF(AND('Planning Sheet'!CJ205='Weeks Plan'!$D$6,'Planning Sheet'!CD205='Weeks Plan'!$G$6),'Planning Sheet'!$B205,"")</f>
        <v/>
      </c>
      <c r="Z3164" s="48" t="str">
        <f ca="1">IF(AND('Planning Sheet'!CJ205='Weeks Plan'!$D$6,'Planning Sheet'!CD205='Weeks Plan'!$G$6),'Planning Sheet'!$CE205,"")</f>
        <v/>
      </c>
      <c r="AA3164" s="48" t="str">
        <f ca="1">IF(AND('Planning Sheet'!CJ205='Weeks Plan'!$D$6,'Planning Sheet'!CD205='Weeks Plan'!$G$6),'Planning Sheet'!$CF205,"")</f>
        <v/>
      </c>
    </row>
    <row r="3165" spans="25:27" x14ac:dyDescent="0.3">
      <c r="Y3165" s="48" t="str">
        <f ca="1">IF(AND('Planning Sheet'!CJ206='Weeks Plan'!$D$6,'Planning Sheet'!CD206='Weeks Plan'!$G$6),'Planning Sheet'!$B206,"")</f>
        <v/>
      </c>
      <c r="Z3165" s="48" t="str">
        <f ca="1">IF(AND('Planning Sheet'!CJ206='Weeks Plan'!$D$6,'Planning Sheet'!CD206='Weeks Plan'!$G$6),'Planning Sheet'!$CE206,"")</f>
        <v/>
      </c>
      <c r="AA3165" s="48" t="str">
        <f ca="1">IF(AND('Planning Sheet'!CJ206='Weeks Plan'!$D$6,'Planning Sheet'!CD206='Weeks Plan'!$G$6),'Planning Sheet'!$CF206,"")</f>
        <v/>
      </c>
    </row>
    <row r="3166" spans="25:27" x14ac:dyDescent="0.3">
      <c r="Y3166" s="48" t="str">
        <f ca="1">IF(AND('Planning Sheet'!CJ207='Weeks Plan'!$D$6,'Planning Sheet'!CD207='Weeks Plan'!$G$6),'Planning Sheet'!$B207,"")</f>
        <v/>
      </c>
      <c r="Z3166" s="48" t="str">
        <f ca="1">IF(AND('Planning Sheet'!CJ207='Weeks Plan'!$D$6,'Planning Sheet'!CD207='Weeks Plan'!$G$6),'Planning Sheet'!$CE207,"")</f>
        <v/>
      </c>
      <c r="AA3166" s="48" t="str">
        <f ca="1">IF(AND('Planning Sheet'!CJ207='Weeks Plan'!$D$6,'Planning Sheet'!CD207='Weeks Plan'!$G$6),'Planning Sheet'!$CF207,"")</f>
        <v/>
      </c>
    </row>
    <row r="3167" spans="25:27" x14ac:dyDescent="0.3">
      <c r="Y3167" s="48" t="str">
        <f ca="1">IF(AND('Planning Sheet'!CJ208='Weeks Plan'!$D$6,'Planning Sheet'!CD208='Weeks Plan'!$G$6),'Planning Sheet'!$B208,"")</f>
        <v/>
      </c>
      <c r="Z3167" s="48" t="str">
        <f ca="1">IF(AND('Planning Sheet'!CJ208='Weeks Plan'!$D$6,'Planning Sheet'!CD208='Weeks Plan'!$G$6),'Planning Sheet'!$CE208,"")</f>
        <v/>
      </c>
      <c r="AA3167" s="48" t="str">
        <f ca="1">IF(AND('Planning Sheet'!CJ208='Weeks Plan'!$D$6,'Planning Sheet'!CD208='Weeks Plan'!$G$6),'Planning Sheet'!$CF208,"")</f>
        <v/>
      </c>
    </row>
    <row r="3168" spans="25:27" x14ac:dyDescent="0.3">
      <c r="Y3168" s="48" t="str">
        <f ca="1">IF(AND('Planning Sheet'!CJ209='Weeks Plan'!$D$6,'Planning Sheet'!CD209='Weeks Plan'!$G$6),'Planning Sheet'!$B209,"")</f>
        <v/>
      </c>
      <c r="Z3168" s="48" t="str">
        <f ca="1">IF(AND('Planning Sheet'!CJ209='Weeks Plan'!$D$6,'Planning Sheet'!CD209='Weeks Plan'!$G$6),'Planning Sheet'!$CE209,"")</f>
        <v/>
      </c>
      <c r="AA3168" s="48" t="str">
        <f ca="1">IF(AND('Planning Sheet'!CJ209='Weeks Plan'!$D$6,'Planning Sheet'!CD209='Weeks Plan'!$G$6),'Planning Sheet'!$CF209,"")</f>
        <v/>
      </c>
    </row>
    <row r="3169" spans="25:27" x14ac:dyDescent="0.3">
      <c r="Y3169" s="48" t="str">
        <f ca="1">IF(AND('Planning Sheet'!CJ210='Weeks Plan'!$D$6,'Planning Sheet'!CD210='Weeks Plan'!$G$6),'Planning Sheet'!$B210,"")</f>
        <v/>
      </c>
      <c r="Z3169" s="48" t="str">
        <f ca="1">IF(AND('Planning Sheet'!CJ210='Weeks Plan'!$D$6,'Planning Sheet'!CD210='Weeks Plan'!$G$6),'Planning Sheet'!$CE210,"")</f>
        <v/>
      </c>
      <c r="AA3169" s="48" t="str">
        <f ca="1">IF(AND('Planning Sheet'!CJ210='Weeks Plan'!$D$6,'Planning Sheet'!CD210='Weeks Plan'!$G$6),'Planning Sheet'!$CF210,"")</f>
        <v/>
      </c>
    </row>
    <row r="3170" spans="25:27" x14ac:dyDescent="0.3">
      <c r="Y3170" s="48" t="str">
        <f ca="1">IF(AND('Planning Sheet'!CJ211='Weeks Plan'!$D$6,'Planning Sheet'!CD211='Weeks Plan'!$G$6),'Planning Sheet'!$B211,"")</f>
        <v/>
      </c>
      <c r="Z3170" s="48" t="str">
        <f ca="1">IF(AND('Planning Sheet'!CJ211='Weeks Plan'!$D$6,'Planning Sheet'!CD211='Weeks Plan'!$G$6),'Planning Sheet'!$CE211,"")</f>
        <v/>
      </c>
      <c r="AA3170" s="48" t="str">
        <f ca="1">IF(AND('Planning Sheet'!CJ211='Weeks Plan'!$D$6,'Planning Sheet'!CD211='Weeks Plan'!$G$6),'Planning Sheet'!$CF211,"")</f>
        <v/>
      </c>
    </row>
    <row r="3171" spans="25:27" x14ac:dyDescent="0.3">
      <c r="Y3171" s="48" t="str">
        <f ca="1">IF(AND('Planning Sheet'!CJ212='Weeks Plan'!$D$6,'Planning Sheet'!CD212='Weeks Plan'!$G$6),'Planning Sheet'!$B212,"")</f>
        <v/>
      </c>
      <c r="Z3171" s="48" t="str">
        <f ca="1">IF(AND('Planning Sheet'!CJ212='Weeks Plan'!$D$6,'Planning Sheet'!CD212='Weeks Plan'!$G$6),'Planning Sheet'!$CE212,"")</f>
        <v/>
      </c>
      <c r="AA3171" s="48" t="str">
        <f ca="1">IF(AND('Planning Sheet'!CJ212='Weeks Plan'!$D$6,'Planning Sheet'!CD212='Weeks Plan'!$G$6),'Planning Sheet'!$CF212,"")</f>
        <v/>
      </c>
    </row>
    <row r="3172" spans="25:27" x14ac:dyDescent="0.3">
      <c r="Y3172" s="48" t="str">
        <f ca="1">IF(AND('Planning Sheet'!CJ213='Weeks Plan'!$D$6,'Planning Sheet'!CD213='Weeks Plan'!$G$6),'Planning Sheet'!$B213,"")</f>
        <v/>
      </c>
      <c r="Z3172" s="48" t="str">
        <f ca="1">IF(AND('Planning Sheet'!CJ213='Weeks Plan'!$D$6,'Planning Sheet'!CD213='Weeks Plan'!$G$6),'Planning Sheet'!$CE213,"")</f>
        <v/>
      </c>
      <c r="AA3172" s="48" t="str">
        <f ca="1">IF(AND('Planning Sheet'!CJ213='Weeks Plan'!$D$6,'Planning Sheet'!CD213='Weeks Plan'!$G$6),'Planning Sheet'!$CF213,"")</f>
        <v/>
      </c>
    </row>
    <row r="3173" spans="25:27" x14ac:dyDescent="0.3">
      <c r="Y3173" s="48" t="str">
        <f ca="1">IF(AND('Planning Sheet'!CJ214='Weeks Plan'!$D$6,'Planning Sheet'!CD214='Weeks Plan'!$G$6),'Planning Sheet'!$B214,"")</f>
        <v/>
      </c>
      <c r="Z3173" s="48" t="str">
        <f ca="1">IF(AND('Planning Sheet'!CJ214='Weeks Plan'!$D$6,'Planning Sheet'!CD214='Weeks Plan'!$G$6),'Planning Sheet'!$CE214,"")</f>
        <v/>
      </c>
      <c r="AA3173" s="48" t="str">
        <f ca="1">IF(AND('Planning Sheet'!CJ214='Weeks Plan'!$D$6,'Planning Sheet'!CD214='Weeks Plan'!$G$6),'Planning Sheet'!$CF214,"")</f>
        <v/>
      </c>
    </row>
    <row r="3174" spans="25:27" x14ac:dyDescent="0.3">
      <c r="Y3174" s="48" t="str">
        <f ca="1">IF(AND('Planning Sheet'!CJ215='Weeks Plan'!$D$6,'Planning Sheet'!CD215='Weeks Plan'!$G$6),'Planning Sheet'!$B215,"")</f>
        <v/>
      </c>
      <c r="Z3174" s="48" t="str">
        <f ca="1">IF(AND('Planning Sheet'!CJ215='Weeks Plan'!$D$6,'Planning Sheet'!CD215='Weeks Plan'!$G$6),'Planning Sheet'!$CE215,"")</f>
        <v/>
      </c>
      <c r="AA3174" s="48" t="str">
        <f ca="1">IF(AND('Planning Sheet'!CJ215='Weeks Plan'!$D$6,'Planning Sheet'!CD215='Weeks Plan'!$G$6),'Planning Sheet'!$CF215,"")</f>
        <v/>
      </c>
    </row>
    <row r="3175" spans="25:27" x14ac:dyDescent="0.3">
      <c r="Y3175" s="48" t="str">
        <f ca="1">IF(AND('Planning Sheet'!CJ216='Weeks Plan'!$D$6,'Planning Sheet'!CD216='Weeks Plan'!$G$6),'Planning Sheet'!$B216,"")</f>
        <v/>
      </c>
      <c r="Z3175" s="48" t="str">
        <f ca="1">IF(AND('Planning Sheet'!CJ216='Weeks Plan'!$D$6,'Planning Sheet'!CD216='Weeks Plan'!$G$6),'Planning Sheet'!$CE216,"")</f>
        <v/>
      </c>
      <c r="AA3175" s="48" t="str">
        <f ca="1">IF(AND('Planning Sheet'!CJ216='Weeks Plan'!$D$6,'Planning Sheet'!CD216='Weeks Plan'!$G$6),'Planning Sheet'!$CF216,"")</f>
        <v/>
      </c>
    </row>
    <row r="3176" spans="25:27" x14ac:dyDescent="0.3">
      <c r="Y3176" s="48" t="str">
        <f ca="1">IF(AND('Planning Sheet'!CJ217='Weeks Plan'!$D$6,'Planning Sheet'!CD217='Weeks Plan'!$G$6),'Planning Sheet'!$B217,"")</f>
        <v/>
      </c>
      <c r="Z3176" s="48" t="str">
        <f ca="1">IF(AND('Planning Sheet'!CJ217='Weeks Plan'!$D$6,'Planning Sheet'!CD217='Weeks Plan'!$G$6),'Planning Sheet'!$CE217,"")</f>
        <v/>
      </c>
      <c r="AA3176" s="48" t="str">
        <f ca="1">IF(AND('Planning Sheet'!CJ217='Weeks Plan'!$D$6,'Planning Sheet'!CD217='Weeks Plan'!$G$6),'Planning Sheet'!$CF217,"")</f>
        <v/>
      </c>
    </row>
    <row r="3177" spans="25:27" x14ac:dyDescent="0.3">
      <c r="Y3177" s="48" t="str">
        <f ca="1">IF(AND('Planning Sheet'!CJ218='Weeks Plan'!$D$6,'Planning Sheet'!CD218='Weeks Plan'!$G$6),'Planning Sheet'!$B218,"")</f>
        <v/>
      </c>
      <c r="Z3177" s="48" t="str">
        <f ca="1">IF(AND('Planning Sheet'!CJ218='Weeks Plan'!$D$6,'Planning Sheet'!CD218='Weeks Plan'!$G$6),'Planning Sheet'!$CE218,"")</f>
        <v/>
      </c>
      <c r="AA3177" s="48" t="str">
        <f ca="1">IF(AND('Planning Sheet'!CJ218='Weeks Plan'!$D$6,'Planning Sheet'!CD218='Weeks Plan'!$G$6),'Planning Sheet'!$CF218,"")</f>
        <v/>
      </c>
    </row>
    <row r="3178" spans="25:27" x14ac:dyDescent="0.3">
      <c r="Y3178" s="48" t="str">
        <f ca="1">IF(AND('Planning Sheet'!CJ219='Weeks Plan'!$D$6,'Planning Sheet'!CD219='Weeks Plan'!$G$6),'Planning Sheet'!$B219,"")</f>
        <v/>
      </c>
      <c r="Z3178" s="48" t="str">
        <f ca="1">IF(AND('Planning Sheet'!CJ219='Weeks Plan'!$D$6,'Planning Sheet'!CD219='Weeks Plan'!$G$6),'Planning Sheet'!$CE219,"")</f>
        <v/>
      </c>
      <c r="AA3178" s="48" t="str">
        <f ca="1">IF(AND('Planning Sheet'!CJ219='Weeks Plan'!$D$6,'Planning Sheet'!CD219='Weeks Plan'!$G$6),'Planning Sheet'!$CF219,"")</f>
        <v/>
      </c>
    </row>
    <row r="3179" spans="25:27" x14ac:dyDescent="0.3">
      <c r="Y3179" s="48" t="str">
        <f ca="1">IF(AND('Planning Sheet'!CJ220='Weeks Plan'!$D$6,'Planning Sheet'!CD220='Weeks Plan'!$G$6),'Planning Sheet'!$B220,"")</f>
        <v/>
      </c>
      <c r="Z3179" s="48" t="str">
        <f ca="1">IF(AND('Planning Sheet'!CJ220='Weeks Plan'!$D$6,'Planning Sheet'!CD220='Weeks Plan'!$G$6),'Planning Sheet'!$CE220,"")</f>
        <v/>
      </c>
      <c r="AA3179" s="48" t="str">
        <f ca="1">IF(AND('Planning Sheet'!CJ220='Weeks Plan'!$D$6,'Planning Sheet'!CD220='Weeks Plan'!$G$6),'Planning Sheet'!$CF220,"")</f>
        <v/>
      </c>
    </row>
    <row r="3180" spans="25:27" x14ac:dyDescent="0.3">
      <c r="Y3180" s="48" t="str">
        <f ca="1">IF(AND('Planning Sheet'!CJ221='Weeks Plan'!$D$6,'Planning Sheet'!CD221='Weeks Plan'!$G$6),'Planning Sheet'!$B221,"")</f>
        <v/>
      </c>
      <c r="Z3180" s="48" t="str">
        <f ca="1">IF(AND('Planning Sheet'!CJ221='Weeks Plan'!$D$6,'Planning Sheet'!CD221='Weeks Plan'!$G$6),'Planning Sheet'!$CE221,"")</f>
        <v/>
      </c>
      <c r="AA3180" s="48" t="str">
        <f ca="1">IF(AND('Planning Sheet'!CJ221='Weeks Plan'!$D$6,'Planning Sheet'!CD221='Weeks Plan'!$G$6),'Planning Sheet'!$CF221,"")</f>
        <v/>
      </c>
    </row>
    <row r="3181" spans="25:27" x14ac:dyDescent="0.3">
      <c r="Y3181" s="48" t="str">
        <f ca="1">IF(AND('Planning Sheet'!CJ222='Weeks Plan'!$D$6,'Planning Sheet'!CD222='Weeks Plan'!$G$6),'Planning Sheet'!$B222,"")</f>
        <v/>
      </c>
      <c r="Z3181" s="48" t="str">
        <f ca="1">IF(AND('Planning Sheet'!CJ222='Weeks Plan'!$D$6,'Planning Sheet'!CD222='Weeks Plan'!$G$6),'Planning Sheet'!$CE222,"")</f>
        <v/>
      </c>
      <c r="AA3181" s="48" t="str">
        <f ca="1">IF(AND('Planning Sheet'!CJ222='Weeks Plan'!$D$6,'Planning Sheet'!CD222='Weeks Plan'!$G$6),'Planning Sheet'!$CF222,"")</f>
        <v/>
      </c>
    </row>
    <row r="3182" spans="25:27" x14ac:dyDescent="0.3">
      <c r="Y3182" s="48" t="str">
        <f ca="1">IF(AND('Planning Sheet'!CJ223='Weeks Plan'!$D$6,'Planning Sheet'!CD223='Weeks Plan'!$G$6),'Planning Sheet'!$B223,"")</f>
        <v/>
      </c>
      <c r="Z3182" s="48" t="str">
        <f ca="1">IF(AND('Planning Sheet'!CJ223='Weeks Plan'!$D$6,'Planning Sheet'!CD223='Weeks Plan'!$G$6),'Planning Sheet'!$CE223,"")</f>
        <v/>
      </c>
      <c r="AA3182" s="48" t="str">
        <f ca="1">IF(AND('Planning Sheet'!CJ223='Weeks Plan'!$D$6,'Planning Sheet'!CD223='Weeks Plan'!$G$6),'Planning Sheet'!$CF223,"")</f>
        <v/>
      </c>
    </row>
    <row r="3183" spans="25:27" x14ac:dyDescent="0.3">
      <c r="Y3183" s="48" t="str">
        <f ca="1">IF(AND('Planning Sheet'!CJ224='Weeks Plan'!$D$6,'Planning Sheet'!CD224='Weeks Plan'!$G$6),'Planning Sheet'!$B224,"")</f>
        <v/>
      </c>
      <c r="Z3183" s="48" t="str">
        <f ca="1">IF(AND('Planning Sheet'!CJ224='Weeks Plan'!$D$6,'Planning Sheet'!CD224='Weeks Plan'!$G$6),'Planning Sheet'!$CE224,"")</f>
        <v/>
      </c>
      <c r="AA3183" s="48" t="str">
        <f ca="1">IF(AND('Planning Sheet'!CJ224='Weeks Plan'!$D$6,'Planning Sheet'!CD224='Weeks Plan'!$G$6),'Planning Sheet'!$CF224,"")</f>
        <v/>
      </c>
    </row>
    <row r="3184" spans="25:27" x14ac:dyDescent="0.3">
      <c r="Y3184" s="48" t="str">
        <f ca="1">IF(AND('Planning Sheet'!CJ225='Weeks Plan'!$D$6,'Planning Sheet'!CD225='Weeks Plan'!$G$6),'Planning Sheet'!$B225,"")</f>
        <v/>
      </c>
      <c r="Z3184" s="48" t="str">
        <f ca="1">IF(AND('Planning Sheet'!CJ225='Weeks Plan'!$D$6,'Planning Sheet'!CD225='Weeks Plan'!$G$6),'Planning Sheet'!$CE225,"")</f>
        <v/>
      </c>
      <c r="AA3184" s="48" t="str">
        <f ca="1">IF(AND('Planning Sheet'!CJ225='Weeks Plan'!$D$6,'Planning Sheet'!CD225='Weeks Plan'!$G$6),'Planning Sheet'!$CF225,"")</f>
        <v/>
      </c>
    </row>
    <row r="3185" spans="25:27" x14ac:dyDescent="0.3">
      <c r="Y3185" s="48" t="str">
        <f ca="1">IF(AND('Planning Sheet'!CJ226='Weeks Plan'!$D$6,'Planning Sheet'!CD226='Weeks Plan'!$G$6),'Planning Sheet'!$B226,"")</f>
        <v/>
      </c>
      <c r="Z3185" s="48" t="str">
        <f ca="1">IF(AND('Planning Sheet'!CJ226='Weeks Plan'!$D$6,'Planning Sheet'!CD226='Weeks Plan'!$G$6),'Planning Sheet'!$CE226,"")</f>
        <v/>
      </c>
      <c r="AA3185" s="48" t="str">
        <f ca="1">IF(AND('Planning Sheet'!CJ226='Weeks Plan'!$D$6,'Planning Sheet'!CD226='Weeks Plan'!$G$6),'Planning Sheet'!$CF226,"")</f>
        <v/>
      </c>
    </row>
    <row r="3186" spans="25:27" x14ac:dyDescent="0.3">
      <c r="Y3186" s="48" t="str">
        <f ca="1">IF(AND('Planning Sheet'!CJ227='Weeks Plan'!$D$6,'Planning Sheet'!CD227='Weeks Plan'!$G$6),'Planning Sheet'!$B227,"")</f>
        <v/>
      </c>
      <c r="Z3186" s="48" t="str">
        <f ca="1">IF(AND('Planning Sheet'!CJ227='Weeks Plan'!$D$6,'Planning Sheet'!CD227='Weeks Plan'!$G$6),'Planning Sheet'!$CE227,"")</f>
        <v/>
      </c>
      <c r="AA3186" s="48" t="str">
        <f ca="1">IF(AND('Planning Sheet'!CJ227='Weeks Plan'!$D$6,'Planning Sheet'!CD227='Weeks Plan'!$G$6),'Planning Sheet'!$CF227,"")</f>
        <v/>
      </c>
    </row>
    <row r="3187" spans="25:27" x14ac:dyDescent="0.3">
      <c r="Y3187" s="48" t="str">
        <f ca="1">IF(AND('Planning Sheet'!CJ228='Weeks Plan'!$D$6,'Planning Sheet'!CD228='Weeks Plan'!$G$6),'Planning Sheet'!$B228,"")</f>
        <v/>
      </c>
      <c r="Z3187" s="48" t="str">
        <f ca="1">IF(AND('Planning Sheet'!CJ228='Weeks Plan'!$D$6,'Planning Sheet'!CD228='Weeks Plan'!$G$6),'Planning Sheet'!$CE228,"")</f>
        <v/>
      </c>
      <c r="AA3187" s="48" t="str">
        <f ca="1">IF(AND('Planning Sheet'!CJ228='Weeks Plan'!$D$6,'Planning Sheet'!CD228='Weeks Plan'!$G$6),'Planning Sheet'!$CF228,"")</f>
        <v/>
      </c>
    </row>
    <row r="3188" spans="25:27" x14ac:dyDescent="0.3">
      <c r="Y3188" s="48" t="str">
        <f ca="1">IF(AND('Planning Sheet'!CJ229='Weeks Plan'!$D$6,'Planning Sheet'!CD229='Weeks Plan'!$G$6),'Planning Sheet'!$B229,"")</f>
        <v/>
      </c>
      <c r="Z3188" s="48" t="str">
        <f ca="1">IF(AND('Planning Sheet'!CJ229='Weeks Plan'!$D$6,'Planning Sheet'!CD229='Weeks Plan'!$G$6),'Planning Sheet'!$CE229,"")</f>
        <v/>
      </c>
      <c r="AA3188" s="48" t="str">
        <f ca="1">IF(AND('Planning Sheet'!CJ229='Weeks Plan'!$D$6,'Planning Sheet'!CD229='Weeks Plan'!$G$6),'Planning Sheet'!$CF229,"")</f>
        <v/>
      </c>
    </row>
    <row r="3189" spans="25:27" x14ac:dyDescent="0.3">
      <c r="Y3189" s="48" t="str">
        <f ca="1">IF(AND('Planning Sheet'!CJ230='Weeks Plan'!$D$6,'Planning Sheet'!CD230='Weeks Plan'!$G$6),'Planning Sheet'!$B230,"")</f>
        <v/>
      </c>
      <c r="Z3189" s="48" t="str">
        <f ca="1">IF(AND('Planning Sheet'!CJ230='Weeks Plan'!$D$6,'Planning Sheet'!CD230='Weeks Plan'!$G$6),'Planning Sheet'!$CE230,"")</f>
        <v/>
      </c>
      <c r="AA3189" s="48" t="str">
        <f ca="1">IF(AND('Planning Sheet'!CJ230='Weeks Plan'!$D$6,'Planning Sheet'!CD230='Weeks Plan'!$G$6),'Planning Sheet'!$CF230,"")</f>
        <v/>
      </c>
    </row>
    <row r="3190" spans="25:27" x14ac:dyDescent="0.3">
      <c r="Y3190" s="48" t="str">
        <f ca="1">IF(AND('Planning Sheet'!CJ231='Weeks Plan'!$D$6,'Planning Sheet'!CD231='Weeks Plan'!$G$6),'Planning Sheet'!$B231,"")</f>
        <v/>
      </c>
      <c r="Z3190" s="48" t="str">
        <f ca="1">IF(AND('Planning Sheet'!CJ231='Weeks Plan'!$D$6,'Planning Sheet'!CD231='Weeks Plan'!$G$6),'Planning Sheet'!$CE231,"")</f>
        <v/>
      </c>
      <c r="AA3190" s="48" t="str">
        <f ca="1">IF(AND('Planning Sheet'!CJ231='Weeks Plan'!$D$6,'Planning Sheet'!CD231='Weeks Plan'!$G$6),'Planning Sheet'!$CF231,"")</f>
        <v/>
      </c>
    </row>
    <row r="3191" spans="25:27" x14ac:dyDescent="0.3">
      <c r="Y3191" s="48" t="str">
        <f ca="1">IF(AND('Planning Sheet'!CJ232='Weeks Plan'!$D$6,'Planning Sheet'!CD232='Weeks Plan'!$G$6),'Planning Sheet'!$B232,"")</f>
        <v/>
      </c>
      <c r="Z3191" s="48" t="str">
        <f ca="1">IF(AND('Planning Sheet'!CJ232='Weeks Plan'!$D$6,'Planning Sheet'!CD232='Weeks Plan'!$G$6),'Planning Sheet'!$CE232,"")</f>
        <v/>
      </c>
      <c r="AA3191" s="48" t="str">
        <f ca="1">IF(AND('Planning Sheet'!CJ232='Weeks Plan'!$D$6,'Planning Sheet'!CD232='Weeks Plan'!$G$6),'Planning Sheet'!$CF232,"")</f>
        <v/>
      </c>
    </row>
    <row r="3192" spans="25:27" x14ac:dyDescent="0.3">
      <c r="Y3192" s="48" t="str">
        <f ca="1">IF(AND('Planning Sheet'!CJ233='Weeks Plan'!$D$6,'Planning Sheet'!CD233='Weeks Plan'!$G$6),'Planning Sheet'!$B233,"")</f>
        <v/>
      </c>
      <c r="Z3192" s="48" t="str">
        <f ca="1">IF(AND('Planning Sheet'!CJ233='Weeks Plan'!$D$6,'Planning Sheet'!CD233='Weeks Plan'!$G$6),'Planning Sheet'!$CE233,"")</f>
        <v/>
      </c>
      <c r="AA3192" s="48" t="str">
        <f ca="1">IF(AND('Planning Sheet'!CJ233='Weeks Plan'!$D$6,'Planning Sheet'!CD233='Weeks Plan'!$G$6),'Planning Sheet'!$CF233,"")</f>
        <v/>
      </c>
    </row>
    <row r="3193" spans="25:27" x14ac:dyDescent="0.3">
      <c r="Y3193" s="48" t="str">
        <f ca="1">IF(AND('Planning Sheet'!CJ234='Weeks Plan'!$D$6,'Planning Sheet'!CD234='Weeks Plan'!$G$6),'Planning Sheet'!$B234,"")</f>
        <v/>
      </c>
      <c r="Z3193" s="48" t="str">
        <f ca="1">IF(AND('Planning Sheet'!CJ234='Weeks Plan'!$D$6,'Planning Sheet'!CD234='Weeks Plan'!$G$6),'Planning Sheet'!$CE234,"")</f>
        <v/>
      </c>
      <c r="AA3193" s="48" t="str">
        <f ca="1">IF(AND('Planning Sheet'!CJ234='Weeks Plan'!$D$6,'Planning Sheet'!CD234='Weeks Plan'!$G$6),'Planning Sheet'!$CF234,"")</f>
        <v/>
      </c>
    </row>
    <row r="3194" spans="25:27" x14ac:dyDescent="0.3">
      <c r="Y3194" s="48" t="str">
        <f ca="1">IF(AND('Planning Sheet'!CJ235='Weeks Plan'!$D$6,'Planning Sheet'!CD235='Weeks Plan'!$G$6),'Planning Sheet'!$B235,"")</f>
        <v/>
      </c>
      <c r="Z3194" s="48" t="str">
        <f ca="1">IF(AND('Planning Sheet'!CJ235='Weeks Plan'!$D$6,'Planning Sheet'!CD235='Weeks Plan'!$G$6),'Planning Sheet'!$CE235,"")</f>
        <v/>
      </c>
      <c r="AA3194" s="48" t="str">
        <f ca="1">IF(AND('Planning Sheet'!CJ235='Weeks Plan'!$D$6,'Planning Sheet'!CD235='Weeks Plan'!$G$6),'Planning Sheet'!$CF235,"")</f>
        <v/>
      </c>
    </row>
    <row r="3195" spans="25:27" x14ac:dyDescent="0.3">
      <c r="Y3195" s="48" t="str">
        <f ca="1">IF(AND('Planning Sheet'!CJ236='Weeks Plan'!$D$6,'Planning Sheet'!CD236='Weeks Plan'!$G$6),'Planning Sheet'!$B236,"")</f>
        <v/>
      </c>
      <c r="Z3195" s="48" t="str">
        <f ca="1">IF(AND('Planning Sheet'!CJ236='Weeks Plan'!$D$6,'Planning Sheet'!CD236='Weeks Plan'!$G$6),'Planning Sheet'!$CE236,"")</f>
        <v/>
      </c>
      <c r="AA3195" s="48" t="str">
        <f ca="1">IF(AND('Planning Sheet'!CJ236='Weeks Plan'!$D$6,'Planning Sheet'!CD236='Weeks Plan'!$G$6),'Planning Sheet'!$CF236,"")</f>
        <v/>
      </c>
    </row>
    <row r="3196" spans="25:27" x14ac:dyDescent="0.3">
      <c r="Y3196" s="48" t="str">
        <f ca="1">IF(AND('Planning Sheet'!CJ237='Weeks Plan'!$D$6,'Planning Sheet'!CD237='Weeks Plan'!$G$6),'Planning Sheet'!$B237,"")</f>
        <v/>
      </c>
      <c r="Z3196" s="48" t="str">
        <f ca="1">IF(AND('Planning Sheet'!CJ237='Weeks Plan'!$D$6,'Planning Sheet'!CD237='Weeks Plan'!$G$6),'Planning Sheet'!$CE237,"")</f>
        <v/>
      </c>
      <c r="AA3196" s="48" t="str">
        <f ca="1">IF(AND('Planning Sheet'!CJ237='Weeks Plan'!$D$6,'Planning Sheet'!CD237='Weeks Plan'!$G$6),'Planning Sheet'!$CF237,"")</f>
        <v/>
      </c>
    </row>
    <row r="3197" spans="25:27" x14ac:dyDescent="0.3">
      <c r="Y3197" s="48" t="str">
        <f ca="1">IF(AND('Planning Sheet'!CJ238='Weeks Plan'!$D$6,'Planning Sheet'!CD238='Weeks Plan'!$G$6),'Planning Sheet'!$B238,"")</f>
        <v/>
      </c>
      <c r="Z3197" s="48" t="str">
        <f ca="1">IF(AND('Planning Sheet'!CJ238='Weeks Plan'!$D$6,'Planning Sheet'!CD238='Weeks Plan'!$G$6),'Planning Sheet'!$CE238,"")</f>
        <v/>
      </c>
      <c r="AA3197" s="48" t="str">
        <f ca="1">IF(AND('Planning Sheet'!CJ238='Weeks Plan'!$D$6,'Planning Sheet'!CD238='Weeks Plan'!$G$6),'Planning Sheet'!$CF238,"")</f>
        <v/>
      </c>
    </row>
    <row r="3198" spans="25:27" x14ac:dyDescent="0.3">
      <c r="Y3198" s="48" t="str">
        <f ca="1">IF(AND('Planning Sheet'!CJ239='Weeks Plan'!$D$6,'Planning Sheet'!CD239='Weeks Plan'!$G$6),'Planning Sheet'!$B239,"")</f>
        <v/>
      </c>
      <c r="Z3198" s="48" t="str">
        <f ca="1">IF(AND('Planning Sheet'!CJ239='Weeks Plan'!$D$6,'Planning Sheet'!CD239='Weeks Plan'!$G$6),'Planning Sheet'!$CE239,"")</f>
        <v/>
      </c>
      <c r="AA3198" s="48" t="str">
        <f ca="1">IF(AND('Planning Sheet'!CJ239='Weeks Plan'!$D$6,'Planning Sheet'!CD239='Weeks Plan'!$G$6),'Planning Sheet'!$CF239,"")</f>
        <v/>
      </c>
    </row>
    <row r="3199" spans="25:27" x14ac:dyDescent="0.3">
      <c r="Y3199" s="48" t="str">
        <f ca="1">IF(AND('Planning Sheet'!CJ240='Weeks Plan'!$D$6,'Planning Sheet'!CD240='Weeks Plan'!$G$6),'Planning Sheet'!$B240,"")</f>
        <v/>
      </c>
      <c r="Z3199" s="48" t="str">
        <f ca="1">IF(AND('Planning Sheet'!CJ240='Weeks Plan'!$D$6,'Planning Sheet'!CD240='Weeks Plan'!$G$6),'Planning Sheet'!$CE240,"")</f>
        <v/>
      </c>
      <c r="AA3199" s="48" t="str">
        <f ca="1">IF(AND('Planning Sheet'!CJ240='Weeks Plan'!$D$6,'Planning Sheet'!CD240='Weeks Plan'!$G$6),'Planning Sheet'!$CF240,"")</f>
        <v/>
      </c>
    </row>
    <row r="3200" spans="25:27" x14ac:dyDescent="0.3">
      <c r="Y3200" s="48" t="str">
        <f ca="1">IF(AND('Planning Sheet'!CJ241='Weeks Plan'!$D$6,'Planning Sheet'!CD241='Weeks Plan'!$G$6),'Planning Sheet'!$B241,"")</f>
        <v/>
      </c>
      <c r="Z3200" s="48" t="str">
        <f ca="1">IF(AND('Planning Sheet'!CJ241='Weeks Plan'!$D$6,'Planning Sheet'!CD241='Weeks Plan'!$G$6),'Planning Sheet'!$CE241,"")</f>
        <v/>
      </c>
      <c r="AA3200" s="48" t="str">
        <f ca="1">IF(AND('Planning Sheet'!CJ241='Weeks Plan'!$D$6,'Planning Sheet'!CD241='Weeks Plan'!$G$6),'Planning Sheet'!$CF241,"")</f>
        <v/>
      </c>
    </row>
    <row r="3201" spans="25:27" x14ac:dyDescent="0.3">
      <c r="Y3201" s="48" t="str">
        <f ca="1">IF(AND('Planning Sheet'!CJ242='Weeks Plan'!$D$6,'Planning Sheet'!CD242='Weeks Plan'!$G$6),'Planning Sheet'!$B242,"")</f>
        <v/>
      </c>
      <c r="Z3201" s="48" t="str">
        <f ca="1">IF(AND('Planning Sheet'!CJ242='Weeks Plan'!$D$6,'Planning Sheet'!CD242='Weeks Plan'!$G$6),'Planning Sheet'!$CE242,"")</f>
        <v/>
      </c>
      <c r="AA3201" s="48" t="str">
        <f ca="1">IF(AND('Planning Sheet'!CJ242='Weeks Plan'!$D$6,'Planning Sheet'!CD242='Weeks Plan'!$G$6),'Planning Sheet'!$CF242,"")</f>
        <v/>
      </c>
    </row>
    <row r="3202" spans="25:27" x14ac:dyDescent="0.3">
      <c r="Y3202" s="48" t="str">
        <f ca="1">IF(AND('Planning Sheet'!CJ243='Weeks Plan'!$D$6,'Planning Sheet'!CD243='Weeks Plan'!$G$6),'Planning Sheet'!$B243,"")</f>
        <v/>
      </c>
      <c r="Z3202" s="48" t="str">
        <f ca="1">IF(AND('Planning Sheet'!CJ243='Weeks Plan'!$D$6,'Planning Sheet'!CD243='Weeks Plan'!$G$6),'Planning Sheet'!$CE243,"")</f>
        <v/>
      </c>
      <c r="AA3202" s="48" t="str">
        <f ca="1">IF(AND('Planning Sheet'!CJ243='Weeks Plan'!$D$6,'Planning Sheet'!CD243='Weeks Plan'!$G$6),'Planning Sheet'!$CF243,"")</f>
        <v/>
      </c>
    </row>
    <row r="3203" spans="25:27" x14ac:dyDescent="0.3">
      <c r="Y3203" s="48" t="str">
        <f ca="1">IF(AND('Planning Sheet'!CJ244='Weeks Plan'!$D$6,'Planning Sheet'!CD244='Weeks Plan'!$G$6),'Planning Sheet'!$B244,"")</f>
        <v/>
      </c>
      <c r="Z3203" s="48" t="str">
        <f ca="1">IF(AND('Planning Sheet'!CJ244='Weeks Plan'!$D$6,'Planning Sheet'!CD244='Weeks Plan'!$G$6),'Planning Sheet'!$CE244,"")</f>
        <v/>
      </c>
      <c r="AA3203" s="48" t="str">
        <f ca="1">IF(AND('Planning Sheet'!CJ244='Weeks Plan'!$D$6,'Planning Sheet'!CD244='Weeks Plan'!$G$6),'Planning Sheet'!$CF244,"")</f>
        <v/>
      </c>
    </row>
    <row r="3204" spans="25:27" x14ac:dyDescent="0.3">
      <c r="Y3204" s="48" t="str">
        <f ca="1">IF(AND('Planning Sheet'!CJ245='Weeks Plan'!$D$6,'Planning Sheet'!CD245='Weeks Plan'!$G$6),'Planning Sheet'!$B245,"")</f>
        <v/>
      </c>
      <c r="Z3204" s="48" t="str">
        <f ca="1">IF(AND('Planning Sheet'!CJ245='Weeks Plan'!$D$6,'Planning Sheet'!CD245='Weeks Plan'!$G$6),'Planning Sheet'!$CE245,"")</f>
        <v/>
      </c>
      <c r="AA3204" s="48" t="str">
        <f ca="1">IF(AND('Planning Sheet'!CJ245='Weeks Plan'!$D$6,'Planning Sheet'!CD245='Weeks Plan'!$G$6),'Planning Sheet'!$CF245,"")</f>
        <v/>
      </c>
    </row>
    <row r="3205" spans="25:27" x14ac:dyDescent="0.3">
      <c r="Y3205" s="48" t="str">
        <f ca="1">IF(AND('Planning Sheet'!CJ246='Weeks Plan'!$D$6,'Planning Sheet'!CD246='Weeks Plan'!$G$6),'Planning Sheet'!$B246,"")</f>
        <v/>
      </c>
      <c r="Z3205" s="48" t="str">
        <f ca="1">IF(AND('Planning Sheet'!CJ246='Weeks Plan'!$D$6,'Planning Sheet'!CD246='Weeks Plan'!$G$6),'Planning Sheet'!$CE246,"")</f>
        <v/>
      </c>
      <c r="AA3205" s="48" t="str">
        <f ca="1">IF(AND('Planning Sheet'!CJ246='Weeks Plan'!$D$6,'Planning Sheet'!CD246='Weeks Plan'!$G$6),'Planning Sheet'!$CF246,"")</f>
        <v/>
      </c>
    </row>
    <row r="3206" spans="25:27" x14ac:dyDescent="0.3">
      <c r="Y3206" s="48" t="str">
        <f ca="1">IF(AND('Planning Sheet'!CJ247='Weeks Plan'!$D$6,'Planning Sheet'!CD247='Weeks Plan'!$G$6),'Planning Sheet'!$B247,"")</f>
        <v/>
      </c>
      <c r="Z3206" s="48" t="str">
        <f ca="1">IF(AND('Planning Sheet'!CJ247='Weeks Plan'!$D$6,'Planning Sheet'!CD247='Weeks Plan'!$G$6),'Planning Sheet'!$CE247,"")</f>
        <v/>
      </c>
      <c r="AA3206" s="48" t="str">
        <f ca="1">IF(AND('Planning Sheet'!CJ247='Weeks Plan'!$D$6,'Planning Sheet'!CD247='Weeks Plan'!$G$6),'Planning Sheet'!$CF247,"")</f>
        <v/>
      </c>
    </row>
    <row r="3207" spans="25:27" x14ac:dyDescent="0.3">
      <c r="Y3207" s="48" t="str">
        <f ca="1">IF(AND('Planning Sheet'!CJ248='Weeks Plan'!$D$6,'Planning Sheet'!CD248='Weeks Plan'!$G$6),'Planning Sheet'!$B248,"")</f>
        <v/>
      </c>
      <c r="Z3207" s="48" t="str">
        <f ca="1">IF(AND('Planning Sheet'!CJ248='Weeks Plan'!$D$6,'Planning Sheet'!CD248='Weeks Plan'!$G$6),'Planning Sheet'!$CE248,"")</f>
        <v/>
      </c>
      <c r="AA3207" s="48" t="str">
        <f ca="1">IF(AND('Planning Sheet'!CJ248='Weeks Plan'!$D$6,'Planning Sheet'!CD248='Weeks Plan'!$G$6),'Planning Sheet'!$CF248,"")</f>
        <v/>
      </c>
    </row>
    <row r="3208" spans="25:27" x14ac:dyDescent="0.3">
      <c r="Y3208" s="48" t="str">
        <f ca="1">IF(AND('Planning Sheet'!CJ249='Weeks Plan'!$D$6,'Planning Sheet'!CD249='Weeks Plan'!$G$6),'Planning Sheet'!$B249,"")</f>
        <v/>
      </c>
      <c r="Z3208" s="48" t="str">
        <f ca="1">IF(AND('Planning Sheet'!CJ249='Weeks Plan'!$D$6,'Planning Sheet'!CD249='Weeks Plan'!$G$6),'Planning Sheet'!$CE249,"")</f>
        <v/>
      </c>
      <c r="AA3208" s="48" t="str">
        <f ca="1">IF(AND('Planning Sheet'!CJ249='Weeks Plan'!$D$6,'Planning Sheet'!CD249='Weeks Plan'!$G$6),'Planning Sheet'!$CF249,"")</f>
        <v/>
      </c>
    </row>
    <row r="3209" spans="25:27" x14ac:dyDescent="0.3">
      <c r="Y3209" s="48" t="str">
        <f ca="1">IF(AND('Planning Sheet'!CJ250='Weeks Plan'!$D$6,'Planning Sheet'!CD250='Weeks Plan'!$G$6),'Planning Sheet'!$B250,"")</f>
        <v/>
      </c>
      <c r="Z3209" s="48" t="str">
        <f ca="1">IF(AND('Planning Sheet'!CJ250='Weeks Plan'!$D$6,'Planning Sheet'!CD250='Weeks Plan'!$G$6),'Planning Sheet'!$CE250,"")</f>
        <v/>
      </c>
      <c r="AA3209" s="48" t="str">
        <f ca="1">IF(AND('Planning Sheet'!CJ250='Weeks Plan'!$D$6,'Planning Sheet'!CD250='Weeks Plan'!$G$6),'Planning Sheet'!$CF250,"")</f>
        <v/>
      </c>
    </row>
    <row r="3210" spans="25:27" x14ac:dyDescent="0.3">
      <c r="Y3210" s="48" t="str">
        <f ca="1">IF(AND('Planning Sheet'!CJ251='Weeks Plan'!$D$6,'Planning Sheet'!CD251='Weeks Plan'!$G$6),'Planning Sheet'!$B251,"")</f>
        <v/>
      </c>
      <c r="Z3210" s="48" t="str">
        <f ca="1">IF(AND('Planning Sheet'!CJ251='Weeks Plan'!$D$6,'Planning Sheet'!CD251='Weeks Plan'!$G$6),'Planning Sheet'!$CE251,"")</f>
        <v/>
      </c>
      <c r="AA3210" s="48" t="str">
        <f ca="1">IF(AND('Planning Sheet'!CJ251='Weeks Plan'!$D$6,'Planning Sheet'!CD251='Weeks Plan'!$G$6),'Planning Sheet'!$CF251,"")</f>
        <v/>
      </c>
    </row>
    <row r="3211" spans="25:27" x14ac:dyDescent="0.3">
      <c r="Y3211" s="48" t="str">
        <f ca="1">IF(AND('Planning Sheet'!CJ252='Weeks Plan'!$D$6,'Planning Sheet'!CD252='Weeks Plan'!$G$6),'Planning Sheet'!$B252,"")</f>
        <v/>
      </c>
      <c r="Z3211" s="48" t="str">
        <f ca="1">IF(AND('Planning Sheet'!CJ252='Weeks Plan'!$D$6,'Planning Sheet'!CD252='Weeks Plan'!$G$6),'Planning Sheet'!$CE252,"")</f>
        <v/>
      </c>
      <c r="AA3211" s="48" t="str">
        <f ca="1">IF(AND('Planning Sheet'!CJ252='Weeks Plan'!$D$6,'Planning Sheet'!CD252='Weeks Plan'!$G$6),'Planning Sheet'!$CF252,"")</f>
        <v/>
      </c>
    </row>
    <row r="3212" spans="25:27" x14ac:dyDescent="0.3">
      <c r="Y3212" s="48" t="str">
        <f ca="1">IF(AND('Planning Sheet'!CJ253='Weeks Plan'!$D$6,'Planning Sheet'!CD253='Weeks Plan'!$G$6),'Planning Sheet'!$B253,"")</f>
        <v/>
      </c>
      <c r="Z3212" s="48" t="str">
        <f ca="1">IF(AND('Planning Sheet'!CJ253='Weeks Plan'!$D$6,'Planning Sheet'!CD253='Weeks Plan'!$G$6),'Planning Sheet'!$CE253,"")</f>
        <v/>
      </c>
      <c r="AA3212" s="48" t="str">
        <f ca="1">IF(AND('Planning Sheet'!CJ253='Weeks Plan'!$D$6,'Planning Sheet'!CD253='Weeks Plan'!$G$6),'Planning Sheet'!$CF253,"")</f>
        <v/>
      </c>
    </row>
    <row r="3213" spans="25:27" x14ac:dyDescent="0.3">
      <c r="Y3213" s="48" t="str">
        <f ca="1">IF(AND('Planning Sheet'!CJ254='Weeks Plan'!$D$6,'Planning Sheet'!CD254='Weeks Plan'!$G$6),'Planning Sheet'!$B254,"")</f>
        <v/>
      </c>
      <c r="Z3213" s="48" t="str">
        <f ca="1">IF(AND('Planning Sheet'!CJ254='Weeks Plan'!$D$6,'Planning Sheet'!CD254='Weeks Plan'!$G$6),'Planning Sheet'!$CE254,"")</f>
        <v/>
      </c>
      <c r="AA3213" s="48" t="str">
        <f ca="1">IF(AND('Planning Sheet'!CJ254='Weeks Plan'!$D$6,'Planning Sheet'!CD254='Weeks Plan'!$G$6),'Planning Sheet'!$CF254,"")</f>
        <v/>
      </c>
    </row>
    <row r="3214" spans="25:27" x14ac:dyDescent="0.3">
      <c r="Y3214" s="48" t="str">
        <f ca="1">IF(AND('Planning Sheet'!CJ255='Weeks Plan'!$D$6,'Planning Sheet'!CD255='Weeks Plan'!$G$6),'Planning Sheet'!$B255,"")</f>
        <v/>
      </c>
      <c r="Z3214" s="48" t="str">
        <f ca="1">IF(AND('Planning Sheet'!CJ255='Weeks Plan'!$D$6,'Planning Sheet'!CD255='Weeks Plan'!$G$6),'Planning Sheet'!$CE255,"")</f>
        <v/>
      </c>
      <c r="AA3214" s="48" t="str">
        <f ca="1">IF(AND('Planning Sheet'!CJ255='Weeks Plan'!$D$6,'Planning Sheet'!CD255='Weeks Plan'!$G$6),'Planning Sheet'!$CF255,"")</f>
        <v/>
      </c>
    </row>
    <row r="3215" spans="25:27" x14ac:dyDescent="0.3">
      <c r="Y3215" s="48" t="str">
        <f ca="1">IF(AND('Planning Sheet'!CJ256='Weeks Plan'!$D$6,'Planning Sheet'!CD256='Weeks Plan'!$G$6),'Planning Sheet'!$B256,"")</f>
        <v/>
      </c>
      <c r="Z3215" s="48" t="str">
        <f ca="1">IF(AND('Planning Sheet'!CJ256='Weeks Plan'!$D$6,'Planning Sheet'!CD256='Weeks Plan'!$G$6),'Planning Sheet'!$CE256,"")</f>
        <v/>
      </c>
      <c r="AA3215" s="48" t="str">
        <f ca="1">IF(AND('Planning Sheet'!CJ256='Weeks Plan'!$D$6,'Planning Sheet'!CD256='Weeks Plan'!$G$6),'Planning Sheet'!$CF256,"")</f>
        <v/>
      </c>
    </row>
    <row r="3216" spans="25:27" x14ac:dyDescent="0.3">
      <c r="Y3216" s="48" t="str">
        <f ca="1">IF(AND('Planning Sheet'!CJ257='Weeks Plan'!$D$6,'Planning Sheet'!CD257='Weeks Plan'!$G$6),'Planning Sheet'!$B257,"")</f>
        <v/>
      </c>
      <c r="Z3216" s="48" t="str">
        <f ca="1">IF(AND('Planning Sheet'!CJ257='Weeks Plan'!$D$6,'Planning Sheet'!CD257='Weeks Plan'!$G$6),'Planning Sheet'!$CE257,"")</f>
        <v/>
      </c>
      <c r="AA3216" s="48" t="str">
        <f ca="1">IF(AND('Planning Sheet'!CJ257='Weeks Plan'!$D$6,'Planning Sheet'!CD257='Weeks Plan'!$G$6),'Planning Sheet'!$CF257,"")</f>
        <v/>
      </c>
    </row>
    <row r="3217" spans="25:27" x14ac:dyDescent="0.3">
      <c r="Y3217" s="48" t="str">
        <f ca="1">IF(AND('Planning Sheet'!CJ258='Weeks Plan'!$D$6,'Planning Sheet'!CD258='Weeks Plan'!$G$6),'Planning Sheet'!$B258,"")</f>
        <v/>
      </c>
      <c r="Z3217" s="48" t="str">
        <f ca="1">IF(AND('Planning Sheet'!CJ258='Weeks Plan'!$D$6,'Planning Sheet'!CD258='Weeks Plan'!$G$6),'Planning Sheet'!$CE258,"")</f>
        <v/>
      </c>
      <c r="AA3217" s="48" t="str">
        <f ca="1">IF(AND('Planning Sheet'!CJ258='Weeks Plan'!$D$6,'Planning Sheet'!CD258='Weeks Plan'!$G$6),'Planning Sheet'!$CF258,"")</f>
        <v/>
      </c>
    </row>
    <row r="3218" spans="25:27" x14ac:dyDescent="0.3">
      <c r="Y3218" s="48" t="str">
        <f ca="1">IF(AND('Planning Sheet'!CJ259='Weeks Plan'!$D$6,'Planning Sheet'!CD259='Weeks Plan'!$G$6),'Planning Sheet'!$B259,"")</f>
        <v/>
      </c>
      <c r="Z3218" s="48" t="str">
        <f ca="1">IF(AND('Planning Sheet'!CJ259='Weeks Plan'!$D$6,'Planning Sheet'!CD259='Weeks Plan'!$G$6),'Planning Sheet'!$CE259,"")</f>
        <v/>
      </c>
      <c r="AA3218" s="48" t="str">
        <f ca="1">IF(AND('Planning Sheet'!CJ259='Weeks Plan'!$D$6,'Planning Sheet'!CD259='Weeks Plan'!$G$6),'Planning Sheet'!$CF259,"")</f>
        <v/>
      </c>
    </row>
    <row r="3219" spans="25:27" x14ac:dyDescent="0.3">
      <c r="Y3219" s="48" t="str">
        <f ca="1">IF(AND('Planning Sheet'!CJ260='Weeks Plan'!$D$6,'Planning Sheet'!CD260='Weeks Plan'!$G$6),'Planning Sheet'!$B260,"")</f>
        <v/>
      </c>
      <c r="Z3219" s="48" t="str">
        <f ca="1">IF(AND('Planning Sheet'!CJ260='Weeks Plan'!$D$6,'Planning Sheet'!CD260='Weeks Plan'!$G$6),'Planning Sheet'!$CE260,"")</f>
        <v/>
      </c>
      <c r="AA3219" s="48" t="str">
        <f ca="1">IF(AND('Planning Sheet'!CJ260='Weeks Plan'!$D$6,'Planning Sheet'!CD260='Weeks Plan'!$G$6),'Planning Sheet'!$CF260,"")</f>
        <v/>
      </c>
    </row>
    <row r="3220" spans="25:27" x14ac:dyDescent="0.3">
      <c r="Y3220" s="48" t="str">
        <f ca="1">IF(AND('Planning Sheet'!CJ261='Weeks Plan'!$D$6,'Planning Sheet'!CD261='Weeks Plan'!$G$6),'Planning Sheet'!$B261,"")</f>
        <v/>
      </c>
      <c r="Z3220" s="48" t="str">
        <f ca="1">IF(AND('Planning Sheet'!CJ261='Weeks Plan'!$D$6,'Planning Sheet'!CD261='Weeks Plan'!$G$6),'Planning Sheet'!$CE261,"")</f>
        <v/>
      </c>
      <c r="AA3220" s="48" t="str">
        <f ca="1">IF(AND('Planning Sheet'!CJ261='Weeks Plan'!$D$6,'Planning Sheet'!CD261='Weeks Plan'!$G$6),'Planning Sheet'!$CF261,"")</f>
        <v/>
      </c>
    </row>
    <row r="3221" spans="25:27" x14ac:dyDescent="0.3">
      <c r="Y3221" s="48" t="str">
        <f ca="1">IF(AND('Planning Sheet'!CJ262='Weeks Plan'!$D$6,'Planning Sheet'!CD262='Weeks Plan'!$G$6),'Planning Sheet'!$B262,"")</f>
        <v/>
      </c>
      <c r="Z3221" s="48" t="str">
        <f ca="1">IF(AND('Planning Sheet'!CJ262='Weeks Plan'!$D$6,'Planning Sheet'!CD262='Weeks Plan'!$G$6),'Planning Sheet'!$CE262,"")</f>
        <v/>
      </c>
      <c r="AA3221" s="48" t="str">
        <f ca="1">IF(AND('Planning Sheet'!CJ262='Weeks Plan'!$D$6,'Planning Sheet'!CD262='Weeks Plan'!$G$6),'Planning Sheet'!$CF262,"")</f>
        <v/>
      </c>
    </row>
    <row r="3222" spans="25:27" x14ac:dyDescent="0.3">
      <c r="Y3222" s="48" t="str">
        <f ca="1">IF(AND('Planning Sheet'!CJ263='Weeks Plan'!$D$6,'Planning Sheet'!CD263='Weeks Plan'!$G$6),'Planning Sheet'!$B263,"")</f>
        <v/>
      </c>
      <c r="Z3222" s="48" t="str">
        <f ca="1">IF(AND('Planning Sheet'!CJ263='Weeks Plan'!$D$6,'Planning Sheet'!CD263='Weeks Plan'!$G$6),'Planning Sheet'!$CE263,"")</f>
        <v/>
      </c>
      <c r="AA3222" s="48" t="str">
        <f ca="1">IF(AND('Planning Sheet'!CJ263='Weeks Plan'!$D$6,'Planning Sheet'!CD263='Weeks Plan'!$G$6),'Planning Sheet'!$CF263,"")</f>
        <v/>
      </c>
    </row>
    <row r="3223" spans="25:27" x14ac:dyDescent="0.3">
      <c r="Y3223" s="48" t="str">
        <f ca="1">IF(AND('Planning Sheet'!CJ264='Weeks Plan'!$D$6,'Planning Sheet'!CD264='Weeks Plan'!$G$6),'Planning Sheet'!$B264,"")</f>
        <v/>
      </c>
      <c r="Z3223" s="48" t="str">
        <f ca="1">IF(AND('Planning Sheet'!CJ264='Weeks Plan'!$D$6,'Planning Sheet'!CD264='Weeks Plan'!$G$6),'Planning Sheet'!$CE264,"")</f>
        <v/>
      </c>
      <c r="AA3223" s="48" t="str">
        <f ca="1">IF(AND('Planning Sheet'!CJ264='Weeks Plan'!$D$6,'Planning Sheet'!CD264='Weeks Plan'!$G$6),'Planning Sheet'!$CF264,"")</f>
        <v/>
      </c>
    </row>
    <row r="3224" spans="25:27" x14ac:dyDescent="0.3">
      <c r="Y3224" s="48" t="str">
        <f ca="1">IF(AND('Planning Sheet'!CJ265='Weeks Plan'!$D$6,'Planning Sheet'!CD265='Weeks Plan'!$G$6),'Planning Sheet'!$B265,"")</f>
        <v/>
      </c>
      <c r="Z3224" s="48" t="str">
        <f ca="1">IF(AND('Planning Sheet'!CJ265='Weeks Plan'!$D$6,'Planning Sheet'!CD265='Weeks Plan'!$G$6),'Planning Sheet'!$CE265,"")</f>
        <v/>
      </c>
      <c r="AA3224" s="48" t="str">
        <f ca="1">IF(AND('Planning Sheet'!CJ265='Weeks Plan'!$D$6,'Planning Sheet'!CD265='Weeks Plan'!$G$6),'Planning Sheet'!$CF265,"")</f>
        <v/>
      </c>
    </row>
    <row r="3225" spans="25:27" x14ac:dyDescent="0.3">
      <c r="Y3225" s="48" t="str">
        <f ca="1">IF(AND('Planning Sheet'!CJ266='Weeks Plan'!$D$6,'Planning Sheet'!CD266='Weeks Plan'!$G$6),'Planning Sheet'!$B266,"")</f>
        <v/>
      </c>
      <c r="Z3225" s="48" t="str">
        <f ca="1">IF(AND('Planning Sheet'!CJ266='Weeks Plan'!$D$6,'Planning Sheet'!CD266='Weeks Plan'!$G$6),'Planning Sheet'!$CE266,"")</f>
        <v/>
      </c>
      <c r="AA3225" s="48" t="str">
        <f ca="1">IF(AND('Planning Sheet'!CJ266='Weeks Plan'!$D$6,'Planning Sheet'!CD266='Weeks Plan'!$G$6),'Planning Sheet'!$CF266,"")</f>
        <v/>
      </c>
    </row>
    <row r="3226" spans="25:27" x14ac:dyDescent="0.3">
      <c r="Y3226" s="48" t="str">
        <f ca="1">IF(AND('Planning Sheet'!CJ267='Weeks Plan'!$D$6,'Planning Sheet'!CD267='Weeks Plan'!$G$6),'Planning Sheet'!$B267,"")</f>
        <v/>
      </c>
      <c r="Z3226" s="48" t="str">
        <f ca="1">IF(AND('Planning Sheet'!CJ267='Weeks Plan'!$D$6,'Planning Sheet'!CD267='Weeks Plan'!$G$6),'Planning Sheet'!$CE267,"")</f>
        <v/>
      </c>
      <c r="AA3226" s="48" t="str">
        <f ca="1">IF(AND('Planning Sheet'!CJ267='Weeks Plan'!$D$6,'Planning Sheet'!CD267='Weeks Plan'!$G$6),'Planning Sheet'!$CF267,"")</f>
        <v/>
      </c>
    </row>
    <row r="3227" spans="25:27" x14ac:dyDescent="0.3">
      <c r="Y3227" s="48" t="str">
        <f ca="1">IF(AND('Planning Sheet'!CJ268='Weeks Plan'!$D$6,'Planning Sheet'!CD268='Weeks Plan'!$G$6),'Planning Sheet'!$B268,"")</f>
        <v/>
      </c>
      <c r="Z3227" s="48" t="str">
        <f ca="1">IF(AND('Planning Sheet'!CJ268='Weeks Plan'!$D$6,'Planning Sheet'!CD268='Weeks Plan'!$G$6),'Planning Sheet'!$CE268,"")</f>
        <v/>
      </c>
      <c r="AA3227" s="48" t="str">
        <f ca="1">IF(AND('Planning Sheet'!CJ268='Weeks Plan'!$D$6,'Planning Sheet'!CD268='Weeks Plan'!$G$6),'Planning Sheet'!$CF268,"")</f>
        <v/>
      </c>
    </row>
    <row r="3228" spans="25:27" x14ac:dyDescent="0.3">
      <c r="Y3228" s="48" t="str">
        <f ca="1">IF(AND('Planning Sheet'!CJ269='Weeks Plan'!$D$6,'Planning Sheet'!CD269='Weeks Plan'!$G$6),'Planning Sheet'!$B269,"")</f>
        <v/>
      </c>
      <c r="Z3228" s="48" t="str">
        <f ca="1">IF(AND('Planning Sheet'!CJ269='Weeks Plan'!$D$6,'Planning Sheet'!CD269='Weeks Plan'!$G$6),'Planning Sheet'!$CE269,"")</f>
        <v/>
      </c>
      <c r="AA3228" s="48" t="str">
        <f ca="1">IF(AND('Planning Sheet'!CJ269='Weeks Plan'!$D$6,'Planning Sheet'!CD269='Weeks Plan'!$G$6),'Planning Sheet'!$CF269,"")</f>
        <v/>
      </c>
    </row>
    <row r="3229" spans="25:27" x14ac:dyDescent="0.3">
      <c r="Y3229" s="48" t="str">
        <f ca="1">IF(AND('Planning Sheet'!CJ270='Weeks Plan'!$D$6,'Planning Sheet'!CD270='Weeks Plan'!$G$6),'Planning Sheet'!$B270,"")</f>
        <v/>
      </c>
      <c r="Z3229" s="48" t="str">
        <f ca="1">IF(AND('Planning Sheet'!CJ270='Weeks Plan'!$D$6,'Planning Sheet'!CD270='Weeks Plan'!$G$6),'Planning Sheet'!$CE270,"")</f>
        <v/>
      </c>
      <c r="AA3229" s="48" t="str">
        <f ca="1">IF(AND('Planning Sheet'!CJ270='Weeks Plan'!$D$6,'Planning Sheet'!CD270='Weeks Plan'!$G$6),'Planning Sheet'!$CF270,"")</f>
        <v/>
      </c>
    </row>
    <row r="3230" spans="25:27" x14ac:dyDescent="0.3">
      <c r="Y3230" s="48" t="str">
        <f ca="1">IF(AND('Planning Sheet'!CJ271='Weeks Plan'!$D$6,'Planning Sheet'!CD271='Weeks Plan'!$G$6),'Planning Sheet'!$B271,"")</f>
        <v/>
      </c>
      <c r="Z3230" s="48" t="str">
        <f ca="1">IF(AND('Planning Sheet'!CJ271='Weeks Plan'!$D$6,'Planning Sheet'!CD271='Weeks Plan'!$G$6),'Planning Sheet'!$CE271,"")</f>
        <v/>
      </c>
      <c r="AA3230" s="48" t="str">
        <f ca="1">IF(AND('Planning Sheet'!CJ271='Weeks Plan'!$D$6,'Planning Sheet'!CD271='Weeks Plan'!$G$6),'Planning Sheet'!$CF271,"")</f>
        <v/>
      </c>
    </row>
    <row r="3231" spans="25:27" x14ac:dyDescent="0.3">
      <c r="Y3231" s="48" t="str">
        <f ca="1">IF(AND('Planning Sheet'!CJ272='Weeks Plan'!$D$6,'Planning Sheet'!CD272='Weeks Plan'!$G$6),'Planning Sheet'!$B272,"")</f>
        <v/>
      </c>
      <c r="Z3231" s="48" t="str">
        <f ca="1">IF(AND('Planning Sheet'!CJ272='Weeks Plan'!$D$6,'Planning Sheet'!CD272='Weeks Plan'!$G$6),'Planning Sheet'!$CE272,"")</f>
        <v/>
      </c>
      <c r="AA3231" s="48" t="str">
        <f ca="1">IF(AND('Planning Sheet'!CJ272='Weeks Plan'!$D$6,'Planning Sheet'!CD272='Weeks Plan'!$G$6),'Planning Sheet'!$CF272,"")</f>
        <v/>
      </c>
    </row>
    <row r="3232" spans="25:27" x14ac:dyDescent="0.3">
      <c r="Y3232" s="48" t="str">
        <f ca="1">IF(AND('Planning Sheet'!CJ273='Weeks Plan'!$D$6,'Planning Sheet'!CD273='Weeks Plan'!$G$6),'Planning Sheet'!$B273,"")</f>
        <v/>
      </c>
      <c r="Z3232" s="48" t="str">
        <f ca="1">IF(AND('Planning Sheet'!CJ273='Weeks Plan'!$D$6,'Planning Sheet'!CD273='Weeks Plan'!$G$6),'Planning Sheet'!$CE273,"")</f>
        <v/>
      </c>
      <c r="AA3232" s="48" t="str">
        <f ca="1">IF(AND('Planning Sheet'!CJ273='Weeks Plan'!$D$6,'Planning Sheet'!CD273='Weeks Plan'!$G$6),'Planning Sheet'!$CF273,"")</f>
        <v/>
      </c>
    </row>
    <row r="3233" spans="25:27" x14ac:dyDescent="0.3">
      <c r="Y3233" s="48" t="str">
        <f ca="1">IF(AND('Planning Sheet'!CJ274='Weeks Plan'!$D$6,'Planning Sheet'!CD274='Weeks Plan'!$G$6),'Planning Sheet'!$B274,"")</f>
        <v/>
      </c>
      <c r="Z3233" s="48" t="str">
        <f ca="1">IF(AND('Planning Sheet'!CJ274='Weeks Plan'!$D$6,'Planning Sheet'!CD274='Weeks Plan'!$G$6),'Planning Sheet'!$CE274,"")</f>
        <v/>
      </c>
      <c r="AA3233" s="48" t="str">
        <f ca="1">IF(AND('Planning Sheet'!CJ274='Weeks Plan'!$D$6,'Planning Sheet'!CD274='Weeks Plan'!$G$6),'Planning Sheet'!$CF274,"")</f>
        <v/>
      </c>
    </row>
    <row r="3234" spans="25:27" x14ac:dyDescent="0.3">
      <c r="Y3234" s="48" t="str">
        <f ca="1">IF(AND('Planning Sheet'!CJ275='Weeks Plan'!$D$6,'Planning Sheet'!CD275='Weeks Plan'!$G$6),'Planning Sheet'!$B275,"")</f>
        <v/>
      </c>
      <c r="Z3234" s="48" t="str">
        <f ca="1">IF(AND('Planning Sheet'!CJ275='Weeks Plan'!$D$6,'Planning Sheet'!CD275='Weeks Plan'!$G$6),'Planning Sheet'!$CE275,"")</f>
        <v/>
      </c>
      <c r="AA3234" s="48" t="str">
        <f ca="1">IF(AND('Planning Sheet'!CJ275='Weeks Plan'!$D$6,'Planning Sheet'!CD275='Weeks Plan'!$G$6),'Planning Sheet'!$CF275,"")</f>
        <v/>
      </c>
    </row>
    <row r="3235" spans="25:27" x14ac:dyDescent="0.3">
      <c r="Y3235" s="48" t="str">
        <f ca="1">IF(AND('Planning Sheet'!CJ276='Weeks Plan'!$D$6,'Planning Sheet'!CD276='Weeks Plan'!$G$6),'Planning Sheet'!$B276,"")</f>
        <v/>
      </c>
      <c r="Z3235" s="48" t="str">
        <f ca="1">IF(AND('Planning Sheet'!CJ276='Weeks Plan'!$D$6,'Planning Sheet'!CD276='Weeks Plan'!$G$6),'Planning Sheet'!$CE276,"")</f>
        <v/>
      </c>
      <c r="AA3235" s="48" t="str">
        <f ca="1">IF(AND('Planning Sheet'!CJ276='Weeks Plan'!$D$6,'Planning Sheet'!CD276='Weeks Plan'!$G$6),'Planning Sheet'!$CF276,"")</f>
        <v/>
      </c>
    </row>
    <row r="3236" spans="25:27" x14ac:dyDescent="0.3">
      <c r="Y3236" s="48" t="str">
        <f ca="1">IF(AND('Planning Sheet'!CJ277='Weeks Plan'!$D$6,'Planning Sheet'!CD277='Weeks Plan'!$G$6),'Planning Sheet'!$B277,"")</f>
        <v/>
      </c>
      <c r="Z3236" s="48" t="str">
        <f ca="1">IF(AND('Planning Sheet'!CJ277='Weeks Plan'!$D$6,'Planning Sheet'!CD277='Weeks Plan'!$G$6),'Planning Sheet'!$CE277,"")</f>
        <v/>
      </c>
      <c r="AA3236" s="48" t="str">
        <f ca="1">IF(AND('Planning Sheet'!CJ277='Weeks Plan'!$D$6,'Planning Sheet'!CD277='Weeks Plan'!$G$6),'Planning Sheet'!$CF277,"")</f>
        <v/>
      </c>
    </row>
    <row r="3237" spans="25:27" x14ac:dyDescent="0.3">
      <c r="Y3237" s="48" t="str">
        <f ca="1">IF(AND('Planning Sheet'!CJ278='Weeks Plan'!$D$6,'Planning Sheet'!CD278='Weeks Plan'!$G$6),'Planning Sheet'!$B278,"")</f>
        <v/>
      </c>
      <c r="Z3237" s="48" t="str">
        <f ca="1">IF(AND('Planning Sheet'!CJ278='Weeks Plan'!$D$6,'Planning Sheet'!CD278='Weeks Plan'!$G$6),'Planning Sheet'!$CE278,"")</f>
        <v/>
      </c>
      <c r="AA3237" s="48" t="str">
        <f ca="1">IF(AND('Planning Sheet'!CJ278='Weeks Plan'!$D$6,'Planning Sheet'!CD278='Weeks Plan'!$G$6),'Planning Sheet'!$CF278,"")</f>
        <v/>
      </c>
    </row>
    <row r="3238" spans="25:27" x14ac:dyDescent="0.3">
      <c r="Y3238" s="48" t="str">
        <f ca="1">IF(AND('Planning Sheet'!CJ279='Weeks Plan'!$D$6,'Planning Sheet'!CD279='Weeks Plan'!$G$6),'Planning Sheet'!$B279,"")</f>
        <v/>
      </c>
      <c r="Z3238" s="48" t="str">
        <f ca="1">IF(AND('Planning Sheet'!CJ279='Weeks Plan'!$D$6,'Planning Sheet'!CD279='Weeks Plan'!$G$6),'Planning Sheet'!$CE279,"")</f>
        <v/>
      </c>
      <c r="AA3238" s="48" t="str">
        <f ca="1">IF(AND('Planning Sheet'!CJ279='Weeks Plan'!$D$6,'Planning Sheet'!CD279='Weeks Plan'!$G$6),'Planning Sheet'!$CF279,"")</f>
        <v/>
      </c>
    </row>
    <row r="3239" spans="25:27" x14ac:dyDescent="0.3">
      <c r="Y3239" s="48" t="str">
        <f ca="1">IF(AND('Planning Sheet'!CJ280='Weeks Plan'!$D$6,'Planning Sheet'!CD280='Weeks Plan'!$G$6),'Planning Sheet'!$B280,"")</f>
        <v/>
      </c>
      <c r="Z3239" s="48" t="str">
        <f ca="1">IF(AND('Planning Sheet'!CJ280='Weeks Plan'!$D$6,'Planning Sheet'!CD280='Weeks Plan'!$G$6),'Planning Sheet'!$CE280,"")</f>
        <v/>
      </c>
      <c r="AA3239" s="48" t="str">
        <f ca="1">IF(AND('Planning Sheet'!CJ280='Weeks Plan'!$D$6,'Planning Sheet'!CD280='Weeks Plan'!$G$6),'Planning Sheet'!$CF280,"")</f>
        <v/>
      </c>
    </row>
    <row r="3240" spans="25:27" x14ac:dyDescent="0.3">
      <c r="Y3240" s="48" t="str">
        <f ca="1">IF(AND('Planning Sheet'!CJ281='Weeks Plan'!$D$6,'Planning Sheet'!CD281='Weeks Plan'!$G$6),'Planning Sheet'!$B281,"")</f>
        <v/>
      </c>
      <c r="Z3240" s="48" t="str">
        <f ca="1">IF(AND('Planning Sheet'!CJ281='Weeks Plan'!$D$6,'Planning Sheet'!CD281='Weeks Plan'!$G$6),'Planning Sheet'!$CE281,"")</f>
        <v/>
      </c>
      <c r="AA3240" s="48" t="str">
        <f ca="1">IF(AND('Planning Sheet'!CJ281='Weeks Plan'!$D$6,'Planning Sheet'!CD281='Weeks Plan'!$G$6),'Planning Sheet'!$CF281,"")</f>
        <v/>
      </c>
    </row>
    <row r="3241" spans="25:27" x14ac:dyDescent="0.3">
      <c r="Y3241" s="48" t="str">
        <f ca="1">IF(AND('Planning Sheet'!CJ282='Weeks Plan'!$D$6,'Planning Sheet'!CD282='Weeks Plan'!$G$6),'Planning Sheet'!$B282,"")</f>
        <v/>
      </c>
      <c r="Z3241" s="48" t="str">
        <f ca="1">IF(AND('Planning Sheet'!CJ282='Weeks Plan'!$D$6,'Planning Sheet'!CD282='Weeks Plan'!$G$6),'Planning Sheet'!$CE282,"")</f>
        <v/>
      </c>
      <c r="AA3241" s="48" t="str">
        <f ca="1">IF(AND('Planning Sheet'!CJ282='Weeks Plan'!$D$6,'Planning Sheet'!CD282='Weeks Plan'!$G$6),'Planning Sheet'!$CF282,"")</f>
        <v/>
      </c>
    </row>
    <row r="3242" spans="25:27" x14ac:dyDescent="0.3">
      <c r="Y3242" s="48" t="str">
        <f ca="1">IF(AND('Planning Sheet'!CJ283='Weeks Plan'!$D$6,'Planning Sheet'!CD283='Weeks Plan'!$G$6),'Planning Sheet'!$B283,"")</f>
        <v/>
      </c>
      <c r="Z3242" s="48" t="str">
        <f ca="1">IF(AND('Planning Sheet'!CJ283='Weeks Plan'!$D$6,'Planning Sheet'!CD283='Weeks Plan'!$G$6),'Planning Sheet'!$CE283,"")</f>
        <v/>
      </c>
      <c r="AA3242" s="48" t="str">
        <f ca="1">IF(AND('Planning Sheet'!CJ283='Weeks Plan'!$D$6,'Planning Sheet'!CD283='Weeks Plan'!$G$6),'Planning Sheet'!$CF283,"")</f>
        <v/>
      </c>
    </row>
    <row r="3243" spans="25:27" x14ac:dyDescent="0.3">
      <c r="Y3243" s="48" t="str">
        <f ca="1">IF(AND('Planning Sheet'!CJ284='Weeks Plan'!$D$6,'Planning Sheet'!CD284='Weeks Plan'!$G$6),'Planning Sheet'!$B284,"")</f>
        <v/>
      </c>
      <c r="Z3243" s="48" t="str">
        <f ca="1">IF(AND('Planning Sheet'!CJ284='Weeks Plan'!$D$6,'Planning Sheet'!CD284='Weeks Plan'!$G$6),'Planning Sheet'!$CE284,"")</f>
        <v/>
      </c>
      <c r="AA3243" s="48" t="str">
        <f ca="1">IF(AND('Planning Sheet'!CJ284='Weeks Plan'!$D$6,'Planning Sheet'!CD284='Weeks Plan'!$G$6),'Planning Sheet'!$CF284,"")</f>
        <v/>
      </c>
    </row>
    <row r="3244" spans="25:27" x14ac:dyDescent="0.3">
      <c r="Y3244" s="48" t="str">
        <f ca="1">IF(AND('Planning Sheet'!CJ285='Weeks Plan'!$D$6,'Planning Sheet'!CD285='Weeks Plan'!$G$6),'Planning Sheet'!$B285,"")</f>
        <v/>
      </c>
      <c r="Z3244" s="48" t="str">
        <f ca="1">IF(AND('Planning Sheet'!CJ285='Weeks Plan'!$D$6,'Planning Sheet'!CD285='Weeks Plan'!$G$6),'Planning Sheet'!$CE285,"")</f>
        <v/>
      </c>
      <c r="AA3244" s="48" t="str">
        <f ca="1">IF(AND('Planning Sheet'!CJ285='Weeks Plan'!$D$6,'Planning Sheet'!CD285='Weeks Plan'!$G$6),'Planning Sheet'!$CF285,"")</f>
        <v/>
      </c>
    </row>
    <row r="3245" spans="25:27" x14ac:dyDescent="0.3">
      <c r="Y3245" s="48" t="str">
        <f ca="1">IF(AND('Planning Sheet'!CJ286='Weeks Plan'!$D$6,'Planning Sheet'!CD286='Weeks Plan'!$G$6),'Planning Sheet'!$B286,"")</f>
        <v/>
      </c>
      <c r="Z3245" s="48" t="str">
        <f ca="1">IF(AND('Planning Sheet'!CJ286='Weeks Plan'!$D$6,'Planning Sheet'!CD286='Weeks Plan'!$G$6),'Planning Sheet'!$CE286,"")</f>
        <v/>
      </c>
      <c r="AA3245" s="48" t="str">
        <f ca="1">IF(AND('Planning Sheet'!CJ286='Weeks Plan'!$D$6,'Planning Sheet'!CD286='Weeks Plan'!$G$6),'Planning Sheet'!$CF286,"")</f>
        <v/>
      </c>
    </row>
    <row r="3246" spans="25:27" x14ac:dyDescent="0.3">
      <c r="Y3246" s="48" t="str">
        <f ca="1">IF(AND('Planning Sheet'!CJ287='Weeks Plan'!$D$6,'Planning Sheet'!CD287='Weeks Plan'!$G$6),'Planning Sheet'!$B287,"")</f>
        <v/>
      </c>
      <c r="Z3246" s="48" t="str">
        <f ca="1">IF(AND('Planning Sheet'!CJ287='Weeks Plan'!$D$6,'Planning Sheet'!CD287='Weeks Plan'!$G$6),'Planning Sheet'!$CE287,"")</f>
        <v/>
      </c>
      <c r="AA3246" s="48" t="str">
        <f ca="1">IF(AND('Planning Sheet'!CJ287='Weeks Plan'!$D$6,'Planning Sheet'!CD287='Weeks Plan'!$G$6),'Planning Sheet'!$CF287,"")</f>
        <v/>
      </c>
    </row>
    <row r="3247" spans="25:27" x14ac:dyDescent="0.3">
      <c r="Y3247" s="48" t="str">
        <f ca="1">IF(AND('Planning Sheet'!CJ288='Weeks Plan'!$D$6,'Planning Sheet'!CD288='Weeks Plan'!$G$6),'Planning Sheet'!$B288,"")</f>
        <v/>
      </c>
      <c r="Z3247" s="48" t="str">
        <f ca="1">IF(AND('Planning Sheet'!CJ288='Weeks Plan'!$D$6,'Planning Sheet'!CD288='Weeks Plan'!$G$6),'Planning Sheet'!$CE288,"")</f>
        <v/>
      </c>
      <c r="AA3247" s="48" t="str">
        <f ca="1">IF(AND('Planning Sheet'!CJ288='Weeks Plan'!$D$6,'Planning Sheet'!CD288='Weeks Plan'!$G$6),'Planning Sheet'!$CF288,"")</f>
        <v/>
      </c>
    </row>
    <row r="3248" spans="25:27" x14ac:dyDescent="0.3">
      <c r="Y3248" s="48" t="str">
        <f ca="1">IF(AND('Planning Sheet'!CJ289='Weeks Plan'!$D$6,'Planning Sheet'!CD289='Weeks Plan'!$G$6),'Planning Sheet'!$B289,"")</f>
        <v/>
      </c>
      <c r="Z3248" s="48" t="str">
        <f ca="1">IF(AND('Planning Sheet'!CJ289='Weeks Plan'!$D$6,'Planning Sheet'!CD289='Weeks Plan'!$G$6),'Planning Sheet'!$CE289,"")</f>
        <v/>
      </c>
      <c r="AA3248" s="48" t="str">
        <f ca="1">IF(AND('Planning Sheet'!CJ289='Weeks Plan'!$D$6,'Planning Sheet'!CD289='Weeks Plan'!$G$6),'Planning Sheet'!$CF289,"")</f>
        <v/>
      </c>
    </row>
    <row r="3249" spans="25:27" x14ac:dyDescent="0.3">
      <c r="Y3249" s="48" t="str">
        <f ca="1">IF(AND('Planning Sheet'!CJ290='Weeks Plan'!$D$6,'Planning Sheet'!CD290='Weeks Plan'!$G$6),'Planning Sheet'!$B290,"")</f>
        <v/>
      </c>
      <c r="Z3249" s="48" t="str">
        <f ca="1">IF(AND('Planning Sheet'!CJ290='Weeks Plan'!$D$6,'Planning Sheet'!CD290='Weeks Plan'!$G$6),'Planning Sheet'!$CE290,"")</f>
        <v/>
      </c>
      <c r="AA3249" s="48" t="str">
        <f ca="1">IF(AND('Planning Sheet'!CJ290='Weeks Plan'!$D$6,'Planning Sheet'!CD290='Weeks Plan'!$G$6),'Planning Sheet'!$CF290,"")</f>
        <v/>
      </c>
    </row>
    <row r="3250" spans="25:27" x14ac:dyDescent="0.3">
      <c r="Y3250" s="48" t="str">
        <f ca="1">IF(AND('Planning Sheet'!CJ291='Weeks Plan'!$D$6,'Planning Sheet'!CD291='Weeks Plan'!$G$6),'Planning Sheet'!$B291,"")</f>
        <v/>
      </c>
      <c r="Z3250" s="48" t="str">
        <f ca="1">IF(AND('Planning Sheet'!CJ291='Weeks Plan'!$D$6,'Planning Sheet'!CD291='Weeks Plan'!$G$6),'Planning Sheet'!$CE291,"")</f>
        <v/>
      </c>
      <c r="AA3250" s="48" t="str">
        <f ca="1">IF(AND('Planning Sheet'!CJ291='Weeks Plan'!$D$6,'Planning Sheet'!CD291='Weeks Plan'!$G$6),'Planning Sheet'!$CF291,"")</f>
        <v/>
      </c>
    </row>
    <row r="3251" spans="25:27" x14ac:dyDescent="0.3">
      <c r="Y3251" s="48" t="str">
        <f ca="1">IF(AND('Planning Sheet'!CJ292='Weeks Plan'!$D$6,'Planning Sheet'!CD292='Weeks Plan'!$G$6),'Planning Sheet'!$B292,"")</f>
        <v/>
      </c>
      <c r="Z3251" s="48" t="str">
        <f ca="1">IF(AND('Planning Sheet'!CJ292='Weeks Plan'!$D$6,'Planning Sheet'!CD292='Weeks Plan'!$G$6),'Planning Sheet'!$CE292,"")</f>
        <v/>
      </c>
      <c r="AA3251" s="48" t="str">
        <f ca="1">IF(AND('Planning Sheet'!CJ292='Weeks Plan'!$D$6,'Planning Sheet'!CD292='Weeks Plan'!$G$6),'Planning Sheet'!$CF292,"")</f>
        <v/>
      </c>
    </row>
    <row r="3252" spans="25:27" x14ac:dyDescent="0.3">
      <c r="Y3252" s="48" t="str">
        <f ca="1">IF(AND('Planning Sheet'!CJ293='Weeks Plan'!$D$6,'Planning Sheet'!CD293='Weeks Plan'!$G$6),'Planning Sheet'!$B293,"")</f>
        <v/>
      </c>
      <c r="Z3252" s="48" t="str">
        <f ca="1">IF(AND('Planning Sheet'!CJ293='Weeks Plan'!$D$6,'Planning Sheet'!CD293='Weeks Plan'!$G$6),'Planning Sheet'!$CE293,"")</f>
        <v/>
      </c>
      <c r="AA3252" s="48" t="str">
        <f ca="1">IF(AND('Planning Sheet'!CJ293='Weeks Plan'!$D$6,'Planning Sheet'!CD293='Weeks Plan'!$G$6),'Planning Sheet'!$CF293,"")</f>
        <v/>
      </c>
    </row>
    <row r="3253" spans="25:27" x14ac:dyDescent="0.3">
      <c r="Y3253" s="48" t="str">
        <f ca="1">IF(AND('Planning Sheet'!CJ294='Weeks Plan'!$D$6,'Planning Sheet'!CD294='Weeks Plan'!$G$6),'Planning Sheet'!$B294,"")</f>
        <v/>
      </c>
      <c r="Z3253" s="48" t="str">
        <f ca="1">IF(AND('Planning Sheet'!CJ294='Weeks Plan'!$D$6,'Planning Sheet'!CD294='Weeks Plan'!$G$6),'Planning Sheet'!$CE294,"")</f>
        <v/>
      </c>
      <c r="AA3253" s="48" t="str">
        <f ca="1">IF(AND('Planning Sheet'!CJ294='Weeks Plan'!$D$6,'Planning Sheet'!CD294='Weeks Plan'!$G$6),'Planning Sheet'!$CF294,"")</f>
        <v/>
      </c>
    </row>
    <row r="3254" spans="25:27" x14ac:dyDescent="0.3">
      <c r="Y3254" s="48" t="str">
        <f ca="1">IF(AND('Planning Sheet'!CJ295='Weeks Plan'!$D$6,'Planning Sheet'!CD295='Weeks Plan'!$G$6),'Planning Sheet'!$B295,"")</f>
        <v/>
      </c>
      <c r="Z3254" s="48" t="str">
        <f ca="1">IF(AND('Planning Sheet'!CJ295='Weeks Plan'!$D$6,'Planning Sheet'!CD295='Weeks Plan'!$G$6),'Planning Sheet'!$CE295,"")</f>
        <v/>
      </c>
      <c r="AA3254" s="48" t="str">
        <f ca="1">IF(AND('Planning Sheet'!CJ295='Weeks Plan'!$D$6,'Planning Sheet'!CD295='Weeks Plan'!$G$6),'Planning Sheet'!$CF295,"")</f>
        <v/>
      </c>
    </row>
    <row r="3255" spans="25:27" x14ac:dyDescent="0.3">
      <c r="Y3255" s="48" t="str">
        <f ca="1">IF(AND('Planning Sheet'!CJ296='Weeks Plan'!$D$6,'Planning Sheet'!CD296='Weeks Plan'!$G$6),'Planning Sheet'!$B296,"")</f>
        <v/>
      </c>
      <c r="Z3255" s="48" t="str">
        <f ca="1">IF(AND('Planning Sheet'!CJ296='Weeks Plan'!$D$6,'Planning Sheet'!CD296='Weeks Plan'!$G$6),'Planning Sheet'!$CE296,"")</f>
        <v/>
      </c>
      <c r="AA3255" s="48" t="str">
        <f ca="1">IF(AND('Planning Sheet'!CJ296='Weeks Plan'!$D$6,'Planning Sheet'!CD296='Weeks Plan'!$G$6),'Planning Sheet'!$CF296,"")</f>
        <v/>
      </c>
    </row>
    <row r="3256" spans="25:27" x14ac:dyDescent="0.3">
      <c r="Y3256" s="48" t="str">
        <f ca="1">IF(AND('Planning Sheet'!CJ297='Weeks Plan'!$D$6,'Planning Sheet'!CD297='Weeks Plan'!$G$6),'Planning Sheet'!$B297,"")</f>
        <v/>
      </c>
      <c r="Z3256" s="48" t="str">
        <f ca="1">IF(AND('Planning Sheet'!CJ297='Weeks Plan'!$D$6,'Planning Sheet'!CD297='Weeks Plan'!$G$6),'Planning Sheet'!$CE297,"")</f>
        <v/>
      </c>
      <c r="AA3256" s="48" t="str">
        <f ca="1">IF(AND('Planning Sheet'!CJ297='Weeks Plan'!$D$6,'Planning Sheet'!CD297='Weeks Plan'!$G$6),'Planning Sheet'!$CF297,"")</f>
        <v/>
      </c>
    </row>
    <row r="3257" spans="25:27" x14ac:dyDescent="0.3">
      <c r="Y3257" s="48" t="str">
        <f ca="1">IF(AND('Planning Sheet'!CJ298='Weeks Plan'!$D$6,'Planning Sheet'!CD298='Weeks Plan'!$G$6),'Planning Sheet'!$B298,"")</f>
        <v/>
      </c>
      <c r="Z3257" s="48" t="str">
        <f ca="1">IF(AND('Planning Sheet'!CJ298='Weeks Plan'!$D$6,'Planning Sheet'!CD298='Weeks Plan'!$G$6),'Planning Sheet'!$CE298,"")</f>
        <v/>
      </c>
      <c r="AA3257" s="48" t="str">
        <f ca="1">IF(AND('Planning Sheet'!CJ298='Weeks Plan'!$D$6,'Planning Sheet'!CD298='Weeks Plan'!$G$6),'Planning Sheet'!$CF298,"")</f>
        <v/>
      </c>
    </row>
    <row r="3258" spans="25:27" x14ac:dyDescent="0.3">
      <c r="Y3258" s="48" t="str">
        <f ca="1">IF(AND('Planning Sheet'!CJ299='Weeks Plan'!$D$6,'Planning Sheet'!CD299='Weeks Plan'!$G$6),'Planning Sheet'!$B299,"")</f>
        <v/>
      </c>
      <c r="Z3258" s="48" t="str">
        <f ca="1">IF(AND('Planning Sheet'!CJ299='Weeks Plan'!$D$6,'Planning Sheet'!CD299='Weeks Plan'!$G$6),'Planning Sheet'!$CE299,"")</f>
        <v/>
      </c>
      <c r="AA3258" s="48" t="str">
        <f ca="1">IF(AND('Planning Sheet'!CJ299='Weeks Plan'!$D$6,'Planning Sheet'!CD299='Weeks Plan'!$G$6),'Planning Sheet'!$CF299,"")</f>
        <v/>
      </c>
    </row>
    <row r="3259" spans="25:27" x14ac:dyDescent="0.3">
      <c r="Y3259" s="48" t="str">
        <f ca="1">IF(AND('Planning Sheet'!CJ300='Weeks Plan'!$D$6,'Planning Sheet'!CD300='Weeks Plan'!$G$6),'Planning Sheet'!$B300,"")</f>
        <v/>
      </c>
      <c r="Z3259" s="48" t="str">
        <f ca="1">IF(AND('Planning Sheet'!CJ300='Weeks Plan'!$D$6,'Planning Sheet'!CD300='Weeks Plan'!$G$6),'Planning Sheet'!$CE300,"")</f>
        <v/>
      </c>
      <c r="AA3259" s="48" t="str">
        <f ca="1">IF(AND('Planning Sheet'!CJ300='Weeks Plan'!$D$6,'Planning Sheet'!CD300='Weeks Plan'!$G$6),'Planning Sheet'!$CF300,"")</f>
        <v/>
      </c>
    </row>
    <row r="3260" spans="25:27" x14ac:dyDescent="0.3">
      <c r="Y3260" s="48" t="str">
        <f ca="1">IF(AND('Planning Sheet'!CJ301='Weeks Plan'!$D$6,'Planning Sheet'!CD301='Weeks Plan'!$G$6),'Planning Sheet'!$B301,"")</f>
        <v/>
      </c>
      <c r="Z3260" s="48" t="str">
        <f ca="1">IF(AND('Planning Sheet'!CJ301='Weeks Plan'!$D$6,'Planning Sheet'!CD301='Weeks Plan'!$G$6),'Planning Sheet'!$CE301,"")</f>
        <v/>
      </c>
      <c r="AA3260" s="48" t="str">
        <f ca="1">IF(AND('Planning Sheet'!CJ301='Weeks Plan'!$D$6,'Planning Sheet'!CD301='Weeks Plan'!$G$6),'Planning Sheet'!$CF301,"")</f>
        <v/>
      </c>
    </row>
    <row r="3261" spans="25:27" x14ac:dyDescent="0.3">
      <c r="Y3261" s="48" t="str">
        <f ca="1">IF(AND('Planning Sheet'!CJ302='Weeks Plan'!$D$6,'Planning Sheet'!CD302='Weeks Plan'!$G$6),'Planning Sheet'!$B302,"")</f>
        <v/>
      </c>
      <c r="Z3261" s="48" t="str">
        <f ca="1">IF(AND('Planning Sheet'!CJ302='Weeks Plan'!$D$6,'Planning Sheet'!CD302='Weeks Plan'!$G$6),'Planning Sheet'!$CE302,"")</f>
        <v/>
      </c>
      <c r="AA3261" s="48" t="str">
        <f ca="1">IF(AND('Planning Sheet'!CJ302='Weeks Plan'!$D$6,'Planning Sheet'!CD302='Weeks Plan'!$G$6),'Planning Sheet'!$CF302,"")</f>
        <v/>
      </c>
    </row>
    <row r="3262" spans="25:27" x14ac:dyDescent="0.3">
      <c r="Y3262" s="48" t="str">
        <f ca="1">IF(AND('Planning Sheet'!CJ303='Weeks Plan'!$D$6,'Planning Sheet'!CD303='Weeks Plan'!$G$6),'Planning Sheet'!$B303,"")</f>
        <v/>
      </c>
      <c r="Z3262" s="48" t="str">
        <f ca="1">IF(AND('Planning Sheet'!CJ303='Weeks Plan'!$D$6,'Planning Sheet'!CD303='Weeks Plan'!$G$6),'Planning Sheet'!$CE303,"")</f>
        <v/>
      </c>
      <c r="AA3262" s="48" t="str">
        <f ca="1">IF(AND('Planning Sheet'!CJ303='Weeks Plan'!$D$6,'Planning Sheet'!CD303='Weeks Plan'!$G$6),'Planning Sheet'!$CF303,"")</f>
        <v/>
      </c>
    </row>
    <row r="3263" spans="25:27" x14ac:dyDescent="0.3">
      <c r="Y3263" s="48" t="str">
        <f ca="1">IF(AND('Planning Sheet'!CJ304='Weeks Plan'!$D$6,'Planning Sheet'!CD304='Weeks Plan'!$G$6),'Planning Sheet'!$B304,"")</f>
        <v/>
      </c>
      <c r="Z3263" s="48" t="str">
        <f ca="1">IF(AND('Planning Sheet'!CJ304='Weeks Plan'!$D$6,'Planning Sheet'!CD304='Weeks Plan'!$G$6),'Planning Sheet'!$CE304,"")</f>
        <v/>
      </c>
      <c r="AA3263" s="48" t="str">
        <f ca="1">IF(AND('Planning Sheet'!CJ304='Weeks Plan'!$D$6,'Planning Sheet'!CD304='Weeks Plan'!$G$6),'Planning Sheet'!$CF304,"")</f>
        <v/>
      </c>
    </row>
    <row r="3264" spans="25:27" x14ac:dyDescent="0.3">
      <c r="Y3264" s="48" t="str">
        <f ca="1">IF(AND('Planning Sheet'!CJ305='Weeks Plan'!$D$6,'Planning Sheet'!CD305='Weeks Plan'!$G$6),'Planning Sheet'!$B305,"")</f>
        <v/>
      </c>
      <c r="Z3264" s="48" t="str">
        <f ca="1">IF(AND('Planning Sheet'!CJ305='Weeks Plan'!$D$6,'Planning Sheet'!CD305='Weeks Plan'!$G$6),'Planning Sheet'!$CE305,"")</f>
        <v/>
      </c>
      <c r="AA3264" s="48" t="str">
        <f ca="1">IF(AND('Planning Sheet'!CJ305='Weeks Plan'!$D$6,'Planning Sheet'!CD305='Weeks Plan'!$G$6),'Planning Sheet'!$CF305,"")</f>
        <v/>
      </c>
    </row>
    <row r="3265" spans="25:27" x14ac:dyDescent="0.3">
      <c r="Y3265" s="48" t="str">
        <f ca="1">IF(AND('Planning Sheet'!CJ306='Weeks Plan'!$D$6,'Planning Sheet'!CD306='Weeks Plan'!$G$6),'Planning Sheet'!$B306,"")</f>
        <v/>
      </c>
      <c r="Z3265" s="48" t="str">
        <f ca="1">IF(AND('Planning Sheet'!CJ306='Weeks Plan'!$D$6,'Planning Sheet'!CD306='Weeks Plan'!$G$6),'Planning Sheet'!$CE306,"")</f>
        <v/>
      </c>
      <c r="AA3265" s="48" t="str">
        <f ca="1">IF(AND('Planning Sheet'!CJ306='Weeks Plan'!$D$6,'Planning Sheet'!CD306='Weeks Plan'!$G$6),'Planning Sheet'!$CF306,"")</f>
        <v/>
      </c>
    </row>
    <row r="3266" spans="25:27" x14ac:dyDescent="0.3">
      <c r="Y3266" s="48" t="str">
        <f ca="1">IF(AND('Planning Sheet'!CJ307='Weeks Plan'!$D$6,'Planning Sheet'!CD307='Weeks Plan'!$G$6),'Planning Sheet'!$B307,"")</f>
        <v/>
      </c>
      <c r="Z3266" s="48" t="str">
        <f ca="1">IF(AND('Planning Sheet'!CJ307='Weeks Plan'!$D$6,'Planning Sheet'!CD307='Weeks Plan'!$G$6),'Planning Sheet'!$CE307,"")</f>
        <v/>
      </c>
      <c r="AA3266" s="48" t="str">
        <f ca="1">IF(AND('Planning Sheet'!CJ307='Weeks Plan'!$D$6,'Planning Sheet'!CD307='Weeks Plan'!$G$6),'Planning Sheet'!$CF307,"")</f>
        <v/>
      </c>
    </row>
    <row r="3267" spans="25:27" x14ac:dyDescent="0.3">
      <c r="Y3267" s="48" t="str">
        <f ca="1">IF(AND('Planning Sheet'!CJ308='Weeks Plan'!$D$6,'Planning Sheet'!CD308='Weeks Plan'!$G$6),'Planning Sheet'!$B308,"")</f>
        <v/>
      </c>
      <c r="Z3267" s="48" t="str">
        <f ca="1">IF(AND('Planning Sheet'!CJ308='Weeks Plan'!$D$6,'Planning Sheet'!CD308='Weeks Plan'!$G$6),'Planning Sheet'!$CE308,"")</f>
        <v/>
      </c>
      <c r="AA3267" s="48" t="str">
        <f ca="1">IF(AND('Planning Sheet'!CJ308='Weeks Plan'!$D$6,'Planning Sheet'!CD308='Weeks Plan'!$G$6),'Planning Sheet'!$CF308,"")</f>
        <v/>
      </c>
    </row>
    <row r="3268" spans="25:27" x14ac:dyDescent="0.3">
      <c r="Y3268" s="48" t="str">
        <f ca="1">IF(AND('Planning Sheet'!CJ309='Weeks Plan'!$D$6,'Planning Sheet'!CD309='Weeks Plan'!$G$6),'Planning Sheet'!$B309,"")</f>
        <v/>
      </c>
      <c r="Z3268" s="48" t="str">
        <f ca="1">IF(AND('Planning Sheet'!CJ309='Weeks Plan'!$D$6,'Planning Sheet'!CD309='Weeks Plan'!$G$6),'Planning Sheet'!$CE309,"")</f>
        <v/>
      </c>
      <c r="AA3268" s="48" t="str">
        <f ca="1">IF(AND('Planning Sheet'!CJ309='Weeks Plan'!$D$6,'Planning Sheet'!CD309='Weeks Plan'!$G$6),'Planning Sheet'!$CF309,"")</f>
        <v/>
      </c>
    </row>
    <row r="3269" spans="25:27" x14ac:dyDescent="0.3">
      <c r="Y3269" s="48" t="str">
        <f ca="1">IF(AND('Planning Sheet'!CJ310='Weeks Plan'!$D$6,'Planning Sheet'!CD310='Weeks Plan'!$G$6),'Planning Sheet'!$B310,"")</f>
        <v/>
      </c>
      <c r="Z3269" s="48" t="str">
        <f ca="1">IF(AND('Planning Sheet'!CJ310='Weeks Plan'!$D$6,'Planning Sheet'!CD310='Weeks Plan'!$G$6),'Planning Sheet'!$CE310,"")</f>
        <v/>
      </c>
      <c r="AA3269" s="48" t="str">
        <f ca="1">IF(AND('Planning Sheet'!CJ310='Weeks Plan'!$D$6,'Planning Sheet'!CD310='Weeks Plan'!$G$6),'Planning Sheet'!$CF310,"")</f>
        <v/>
      </c>
    </row>
    <row r="3270" spans="25:27" x14ac:dyDescent="0.3">
      <c r="Y3270" s="48" t="str">
        <f ca="1">IF(AND('Planning Sheet'!CJ311='Weeks Plan'!$D$6,'Planning Sheet'!CD311='Weeks Plan'!$G$6),'Planning Sheet'!$B311,"")</f>
        <v/>
      </c>
      <c r="Z3270" s="48" t="str">
        <f ca="1">IF(AND('Planning Sheet'!CJ311='Weeks Plan'!$D$6,'Planning Sheet'!CD311='Weeks Plan'!$G$6),'Planning Sheet'!$CE311,"")</f>
        <v/>
      </c>
      <c r="AA3270" s="48" t="str">
        <f ca="1">IF(AND('Planning Sheet'!CJ311='Weeks Plan'!$D$6,'Planning Sheet'!CD311='Weeks Plan'!$G$6),'Planning Sheet'!$CF311,"")</f>
        <v/>
      </c>
    </row>
    <row r="3271" spans="25:27" x14ac:dyDescent="0.3">
      <c r="Y3271" s="48" t="str">
        <f ca="1">IF(AND('Planning Sheet'!CJ312='Weeks Plan'!$D$6,'Planning Sheet'!CD312='Weeks Plan'!$G$6),'Planning Sheet'!$B312,"")</f>
        <v/>
      </c>
      <c r="Z3271" s="48" t="str">
        <f ca="1">IF(AND('Planning Sheet'!CJ312='Weeks Plan'!$D$6,'Planning Sheet'!CD312='Weeks Plan'!$G$6),'Planning Sheet'!$CE312,"")</f>
        <v/>
      </c>
      <c r="AA3271" s="48" t="str">
        <f ca="1">IF(AND('Planning Sheet'!CJ312='Weeks Plan'!$D$6,'Planning Sheet'!CD312='Weeks Plan'!$G$6),'Planning Sheet'!$CF312,"")</f>
        <v/>
      </c>
    </row>
    <row r="3272" spans="25:27" x14ac:dyDescent="0.3">
      <c r="Y3272" s="48" t="str">
        <f ca="1">IF(AND('Planning Sheet'!CJ313='Weeks Plan'!$D$6,'Planning Sheet'!CD313='Weeks Plan'!$G$6),'Planning Sheet'!$B313,"")</f>
        <v/>
      </c>
      <c r="Z3272" s="48" t="str">
        <f ca="1">IF(AND('Planning Sheet'!CJ313='Weeks Plan'!$D$6,'Planning Sheet'!CD313='Weeks Plan'!$G$6),'Planning Sheet'!$CE313,"")</f>
        <v/>
      </c>
      <c r="AA3272" s="48" t="str">
        <f ca="1">IF(AND('Planning Sheet'!CJ313='Weeks Plan'!$D$6,'Planning Sheet'!CD313='Weeks Plan'!$G$6),'Planning Sheet'!$CF313,"")</f>
        <v/>
      </c>
    </row>
    <row r="3273" spans="25:27" x14ac:dyDescent="0.3">
      <c r="Y3273" s="48" t="str">
        <f ca="1">IF(AND('Planning Sheet'!CJ314='Weeks Plan'!$D$6,'Planning Sheet'!CD314='Weeks Plan'!$G$6),'Planning Sheet'!$B314,"")</f>
        <v/>
      </c>
      <c r="Z3273" s="48" t="str">
        <f ca="1">IF(AND('Planning Sheet'!CJ314='Weeks Plan'!$D$6,'Planning Sheet'!CD314='Weeks Plan'!$G$6),'Planning Sheet'!$CE314,"")</f>
        <v/>
      </c>
      <c r="AA3273" s="48" t="str">
        <f ca="1">IF(AND('Planning Sheet'!CJ314='Weeks Plan'!$D$6,'Planning Sheet'!CD314='Weeks Plan'!$G$6),'Planning Sheet'!$CF314,"")</f>
        <v/>
      </c>
    </row>
    <row r="3274" spans="25:27" x14ac:dyDescent="0.3">
      <c r="Y3274" s="48" t="str">
        <f ca="1">IF(AND('Planning Sheet'!CJ315='Weeks Plan'!$D$6,'Planning Sheet'!CD315='Weeks Plan'!$G$6),'Planning Sheet'!$B315,"")</f>
        <v/>
      </c>
      <c r="Z3274" s="48" t="str">
        <f ca="1">IF(AND('Planning Sheet'!CJ315='Weeks Plan'!$D$6,'Planning Sheet'!CD315='Weeks Plan'!$G$6),'Planning Sheet'!$CE315,"")</f>
        <v/>
      </c>
      <c r="AA3274" s="48" t="str">
        <f ca="1">IF(AND('Planning Sheet'!CJ315='Weeks Plan'!$D$6,'Planning Sheet'!CD315='Weeks Plan'!$G$6),'Planning Sheet'!$CF315,"")</f>
        <v/>
      </c>
    </row>
    <row r="3275" spans="25:27" x14ac:dyDescent="0.3">
      <c r="Y3275" s="48" t="str">
        <f ca="1">IF(AND('Planning Sheet'!CJ316='Weeks Plan'!$D$6,'Planning Sheet'!CD316='Weeks Plan'!$G$6),'Planning Sheet'!$B316,"")</f>
        <v/>
      </c>
      <c r="Z3275" s="48" t="str">
        <f ca="1">IF(AND('Planning Sheet'!CJ316='Weeks Plan'!$D$6,'Planning Sheet'!CD316='Weeks Plan'!$G$6),'Planning Sheet'!$CE316,"")</f>
        <v/>
      </c>
      <c r="AA3275" s="48" t="str">
        <f ca="1">IF(AND('Planning Sheet'!CJ316='Weeks Plan'!$D$6,'Planning Sheet'!CD316='Weeks Plan'!$G$6),'Planning Sheet'!$CF316,"")</f>
        <v/>
      </c>
    </row>
    <row r="3276" spans="25:27" x14ac:dyDescent="0.3">
      <c r="Y3276" s="48" t="str">
        <f ca="1">IF(AND('Planning Sheet'!CJ317='Weeks Plan'!$D$6,'Planning Sheet'!CD317='Weeks Plan'!$G$6),'Planning Sheet'!$B317,"")</f>
        <v/>
      </c>
      <c r="Z3276" s="48" t="str">
        <f ca="1">IF(AND('Planning Sheet'!CJ317='Weeks Plan'!$D$6,'Planning Sheet'!CD317='Weeks Plan'!$G$6),'Planning Sheet'!$CE317,"")</f>
        <v/>
      </c>
      <c r="AA3276" s="48" t="str">
        <f ca="1">IF(AND('Planning Sheet'!CJ317='Weeks Plan'!$D$6,'Planning Sheet'!CD317='Weeks Plan'!$G$6),'Planning Sheet'!$CF317,"")</f>
        <v/>
      </c>
    </row>
    <row r="3277" spans="25:27" x14ac:dyDescent="0.3">
      <c r="Y3277" s="48" t="str">
        <f ca="1">IF(AND('Planning Sheet'!CJ318='Weeks Plan'!$D$6,'Planning Sheet'!CD318='Weeks Plan'!$G$6),'Planning Sheet'!$B318,"")</f>
        <v/>
      </c>
      <c r="Z3277" s="48" t="str">
        <f ca="1">IF(AND('Planning Sheet'!CJ318='Weeks Plan'!$D$6,'Planning Sheet'!CD318='Weeks Plan'!$G$6),'Planning Sheet'!$CE318,"")</f>
        <v/>
      </c>
      <c r="AA3277" s="48" t="str">
        <f ca="1">IF(AND('Planning Sheet'!CJ318='Weeks Plan'!$D$6,'Planning Sheet'!CD318='Weeks Plan'!$G$6),'Planning Sheet'!$CF318,"")</f>
        <v/>
      </c>
    </row>
    <row r="3278" spans="25:27" x14ac:dyDescent="0.3">
      <c r="Y3278" s="48" t="str">
        <f ca="1">IF(AND('Planning Sheet'!CJ319='Weeks Plan'!$D$6,'Planning Sheet'!CD319='Weeks Plan'!$G$6),'Planning Sheet'!$B319,"")</f>
        <v/>
      </c>
      <c r="Z3278" s="48" t="str">
        <f ca="1">IF(AND('Planning Sheet'!CJ319='Weeks Plan'!$D$6,'Planning Sheet'!CD319='Weeks Plan'!$G$6),'Planning Sheet'!$CE319,"")</f>
        <v/>
      </c>
      <c r="AA3278" s="48" t="str">
        <f ca="1">IF(AND('Planning Sheet'!CJ319='Weeks Plan'!$D$6,'Planning Sheet'!CD319='Weeks Plan'!$G$6),'Planning Sheet'!$CF319,"")</f>
        <v/>
      </c>
    </row>
    <row r="3279" spans="25:27" x14ac:dyDescent="0.3">
      <c r="Y3279" s="48" t="str">
        <f ca="1">IF(AND('Planning Sheet'!CJ320='Weeks Plan'!$D$6,'Planning Sheet'!CD320='Weeks Plan'!$G$6),'Planning Sheet'!$B320,"")</f>
        <v/>
      </c>
      <c r="Z3279" s="48" t="str">
        <f ca="1">IF(AND('Planning Sheet'!CJ320='Weeks Plan'!$D$6,'Planning Sheet'!CD320='Weeks Plan'!$G$6),'Planning Sheet'!$CE320,"")</f>
        <v/>
      </c>
      <c r="AA3279" s="48" t="str">
        <f ca="1">IF(AND('Planning Sheet'!CJ320='Weeks Plan'!$D$6,'Planning Sheet'!CD320='Weeks Plan'!$G$6),'Planning Sheet'!$CF320,"")</f>
        <v/>
      </c>
    </row>
    <row r="3280" spans="25:27" x14ac:dyDescent="0.3">
      <c r="Y3280" s="48" t="str">
        <f ca="1">IF(AND('Planning Sheet'!CJ321='Weeks Plan'!$D$6,'Planning Sheet'!CD321='Weeks Plan'!$G$6),'Planning Sheet'!$B321,"")</f>
        <v/>
      </c>
      <c r="Z3280" s="48" t="str">
        <f ca="1">IF(AND('Planning Sheet'!CJ321='Weeks Plan'!$D$6,'Planning Sheet'!CD321='Weeks Plan'!$G$6),'Planning Sheet'!$CE321,"")</f>
        <v/>
      </c>
      <c r="AA3280" s="48" t="str">
        <f ca="1">IF(AND('Planning Sheet'!CJ321='Weeks Plan'!$D$6,'Planning Sheet'!CD321='Weeks Plan'!$G$6),'Planning Sheet'!$CF321,"")</f>
        <v/>
      </c>
    </row>
    <row r="3281" spans="25:27" x14ac:dyDescent="0.3">
      <c r="Y3281" s="48" t="str">
        <f ca="1">IF(AND('Planning Sheet'!CJ322='Weeks Plan'!$D$6,'Planning Sheet'!CD322='Weeks Plan'!$G$6),'Planning Sheet'!$B322,"")</f>
        <v/>
      </c>
      <c r="Z3281" s="48" t="str">
        <f ca="1">IF(AND('Planning Sheet'!CJ322='Weeks Plan'!$D$6,'Planning Sheet'!CD322='Weeks Plan'!$G$6),'Planning Sheet'!$CE322,"")</f>
        <v/>
      </c>
      <c r="AA3281" s="48" t="str">
        <f ca="1">IF(AND('Planning Sheet'!CJ322='Weeks Plan'!$D$6,'Planning Sheet'!CD322='Weeks Plan'!$G$6),'Planning Sheet'!$CF322,"")</f>
        <v/>
      </c>
    </row>
    <row r="3282" spans="25:27" x14ac:dyDescent="0.3">
      <c r="Y3282" s="48" t="str">
        <f ca="1">IF(AND('Planning Sheet'!CJ323='Weeks Plan'!$D$6,'Planning Sheet'!CD323='Weeks Plan'!$G$6),'Planning Sheet'!$B323,"")</f>
        <v/>
      </c>
      <c r="Z3282" s="48" t="str">
        <f ca="1">IF(AND('Planning Sheet'!CJ323='Weeks Plan'!$D$6,'Planning Sheet'!CD323='Weeks Plan'!$G$6),'Planning Sheet'!$CE323,"")</f>
        <v/>
      </c>
      <c r="AA3282" s="48" t="str">
        <f ca="1">IF(AND('Planning Sheet'!CJ323='Weeks Plan'!$D$6,'Planning Sheet'!CD323='Weeks Plan'!$G$6),'Planning Sheet'!$CF323,"")</f>
        <v/>
      </c>
    </row>
    <row r="3283" spans="25:27" x14ac:dyDescent="0.3">
      <c r="Y3283" s="48" t="str">
        <f ca="1">IF(AND('Planning Sheet'!CJ324='Weeks Plan'!$D$6,'Planning Sheet'!CD324='Weeks Plan'!$G$6),'Planning Sheet'!$B324,"")</f>
        <v/>
      </c>
      <c r="Z3283" s="48" t="str">
        <f ca="1">IF(AND('Planning Sheet'!CJ324='Weeks Plan'!$D$6,'Planning Sheet'!CD324='Weeks Plan'!$G$6),'Planning Sheet'!$CE324,"")</f>
        <v/>
      </c>
      <c r="AA3283" s="48" t="str">
        <f ca="1">IF(AND('Planning Sheet'!CJ324='Weeks Plan'!$D$6,'Planning Sheet'!CD324='Weeks Plan'!$G$6),'Planning Sheet'!$CF324,"")</f>
        <v/>
      </c>
    </row>
    <row r="3284" spans="25:27" x14ac:dyDescent="0.3">
      <c r="Y3284" s="48" t="str">
        <f ca="1">IF(AND('Planning Sheet'!CJ325='Weeks Plan'!$D$6,'Planning Sheet'!CD325='Weeks Plan'!$G$6),'Planning Sheet'!$B325,"")</f>
        <v/>
      </c>
      <c r="Z3284" s="48" t="str">
        <f ca="1">IF(AND('Planning Sheet'!CJ325='Weeks Plan'!$D$6,'Planning Sheet'!CD325='Weeks Plan'!$G$6),'Planning Sheet'!$CE325,"")</f>
        <v/>
      </c>
      <c r="AA3284" s="48" t="str">
        <f ca="1">IF(AND('Planning Sheet'!CJ325='Weeks Plan'!$D$6,'Planning Sheet'!CD325='Weeks Plan'!$G$6),'Planning Sheet'!$CF325,"")</f>
        <v/>
      </c>
    </row>
    <row r="3285" spans="25:27" x14ac:dyDescent="0.3">
      <c r="Y3285" s="48" t="str">
        <f ca="1">IF(AND('Planning Sheet'!CJ326='Weeks Plan'!$D$6,'Planning Sheet'!CD326='Weeks Plan'!$G$6),'Planning Sheet'!$B326,"")</f>
        <v/>
      </c>
      <c r="Z3285" s="48" t="str">
        <f ca="1">IF(AND('Planning Sheet'!CJ326='Weeks Plan'!$D$6,'Planning Sheet'!CD326='Weeks Plan'!$G$6),'Planning Sheet'!$CE326,"")</f>
        <v/>
      </c>
      <c r="AA3285" s="48" t="str">
        <f ca="1">IF(AND('Planning Sheet'!CJ326='Weeks Plan'!$D$6,'Planning Sheet'!CD326='Weeks Plan'!$G$6),'Planning Sheet'!$CF326,"")</f>
        <v/>
      </c>
    </row>
    <row r="3286" spans="25:27" x14ac:dyDescent="0.3">
      <c r="Y3286" s="48" t="str">
        <f ca="1">IF(AND('Planning Sheet'!CJ327='Weeks Plan'!$D$6,'Planning Sheet'!CD327='Weeks Plan'!$G$6),'Planning Sheet'!$B327,"")</f>
        <v/>
      </c>
      <c r="Z3286" s="48" t="str">
        <f ca="1">IF(AND('Planning Sheet'!CJ327='Weeks Plan'!$D$6,'Planning Sheet'!CD327='Weeks Plan'!$G$6),'Planning Sheet'!$CE327,"")</f>
        <v/>
      </c>
      <c r="AA3286" s="48" t="str">
        <f ca="1">IF(AND('Planning Sheet'!CJ327='Weeks Plan'!$D$6,'Planning Sheet'!CD327='Weeks Plan'!$G$6),'Planning Sheet'!$CF327,"")</f>
        <v/>
      </c>
    </row>
    <row r="3287" spans="25:27" x14ac:dyDescent="0.3">
      <c r="Y3287" s="48" t="str">
        <f ca="1">IF(AND('Planning Sheet'!CJ328='Weeks Plan'!$D$6,'Planning Sheet'!CD328='Weeks Plan'!$G$6),'Planning Sheet'!$B328,"")</f>
        <v/>
      </c>
      <c r="Z3287" s="48" t="str">
        <f ca="1">IF(AND('Planning Sheet'!CJ328='Weeks Plan'!$D$6,'Planning Sheet'!CD328='Weeks Plan'!$G$6),'Planning Sheet'!$CE328,"")</f>
        <v/>
      </c>
      <c r="AA3287" s="48" t="str">
        <f ca="1">IF(AND('Planning Sheet'!CJ328='Weeks Plan'!$D$6,'Planning Sheet'!CD328='Weeks Plan'!$G$6),'Planning Sheet'!$CF328,"")</f>
        <v/>
      </c>
    </row>
    <row r="3288" spans="25:27" x14ac:dyDescent="0.3">
      <c r="Y3288" s="48" t="str">
        <f ca="1">IF(AND('Planning Sheet'!CJ329='Weeks Plan'!$D$6,'Planning Sheet'!CD329='Weeks Plan'!$G$6),'Planning Sheet'!$B329,"")</f>
        <v/>
      </c>
      <c r="Z3288" s="48" t="str">
        <f ca="1">IF(AND('Planning Sheet'!CJ329='Weeks Plan'!$D$6,'Planning Sheet'!CD329='Weeks Plan'!$G$6),'Planning Sheet'!$CE329,"")</f>
        <v/>
      </c>
      <c r="AA3288" s="48" t="str">
        <f ca="1">IF(AND('Planning Sheet'!CJ329='Weeks Plan'!$D$6,'Planning Sheet'!CD329='Weeks Plan'!$G$6),'Planning Sheet'!$CF329,"")</f>
        <v/>
      </c>
    </row>
    <row r="3289" spans="25:27" x14ac:dyDescent="0.3">
      <c r="Y3289" s="48" t="str">
        <f ca="1">IF(AND('Planning Sheet'!CJ330='Weeks Plan'!$D$6,'Planning Sheet'!CD330='Weeks Plan'!$G$6),'Planning Sheet'!$B330,"")</f>
        <v/>
      </c>
      <c r="Z3289" s="48" t="str">
        <f ca="1">IF(AND('Planning Sheet'!CJ330='Weeks Plan'!$D$6,'Planning Sheet'!CD330='Weeks Plan'!$G$6),'Planning Sheet'!$CE330,"")</f>
        <v/>
      </c>
      <c r="AA3289" s="48" t="str">
        <f ca="1">IF(AND('Planning Sheet'!CJ330='Weeks Plan'!$D$6,'Planning Sheet'!CD330='Weeks Plan'!$G$6),'Planning Sheet'!$CF330,"")</f>
        <v/>
      </c>
    </row>
    <row r="3290" spans="25:27" x14ac:dyDescent="0.3">
      <c r="Y3290" s="48" t="str">
        <f ca="1">IF(AND('Planning Sheet'!CJ331='Weeks Plan'!$D$6,'Planning Sheet'!CD331='Weeks Plan'!$G$6),'Planning Sheet'!$B331,"")</f>
        <v/>
      </c>
      <c r="Z3290" s="48" t="str">
        <f ca="1">IF(AND('Planning Sheet'!CJ331='Weeks Plan'!$D$6,'Planning Sheet'!CD331='Weeks Plan'!$G$6),'Planning Sheet'!$CE331,"")</f>
        <v/>
      </c>
      <c r="AA3290" s="48" t="str">
        <f ca="1">IF(AND('Planning Sheet'!CJ331='Weeks Plan'!$D$6,'Planning Sheet'!CD331='Weeks Plan'!$G$6),'Planning Sheet'!$CF331,"")</f>
        <v/>
      </c>
    </row>
    <row r="3291" spans="25:27" x14ac:dyDescent="0.3">
      <c r="Y3291" s="48" t="str">
        <f ca="1">IF(AND('Planning Sheet'!CJ332='Weeks Plan'!$D$6,'Planning Sheet'!CD332='Weeks Plan'!$G$6),'Planning Sheet'!$B332,"")</f>
        <v/>
      </c>
      <c r="Z3291" s="48" t="str">
        <f ca="1">IF(AND('Planning Sheet'!CJ332='Weeks Plan'!$D$6,'Planning Sheet'!CD332='Weeks Plan'!$G$6),'Planning Sheet'!$CE332,"")</f>
        <v/>
      </c>
      <c r="AA3291" s="48" t="str">
        <f ca="1">IF(AND('Planning Sheet'!CJ332='Weeks Plan'!$D$6,'Planning Sheet'!CD332='Weeks Plan'!$G$6),'Planning Sheet'!$CF332,"")</f>
        <v/>
      </c>
    </row>
    <row r="3292" spans="25:27" x14ac:dyDescent="0.3">
      <c r="Y3292" s="48" t="str">
        <f ca="1">IF(AND('Planning Sheet'!CJ333='Weeks Plan'!$D$6,'Planning Sheet'!CD333='Weeks Plan'!$G$6),'Planning Sheet'!$B333,"")</f>
        <v/>
      </c>
      <c r="Z3292" s="48" t="str">
        <f ca="1">IF(AND('Planning Sheet'!CJ333='Weeks Plan'!$D$6,'Planning Sheet'!CD333='Weeks Plan'!$G$6),'Planning Sheet'!$CE333,"")</f>
        <v/>
      </c>
      <c r="AA3292" s="48" t="str">
        <f ca="1">IF(AND('Planning Sheet'!CJ333='Weeks Plan'!$D$6,'Planning Sheet'!CD333='Weeks Plan'!$G$6),'Planning Sheet'!$CF333,"")</f>
        <v/>
      </c>
    </row>
    <row r="3293" spans="25:27" x14ac:dyDescent="0.3">
      <c r="Y3293" s="48" t="str">
        <f ca="1">IF(AND('Planning Sheet'!CJ334='Weeks Plan'!$D$6,'Planning Sheet'!CD334='Weeks Plan'!$G$6),'Planning Sheet'!$B334,"")</f>
        <v/>
      </c>
      <c r="Z3293" s="48" t="str">
        <f ca="1">IF(AND('Planning Sheet'!CJ334='Weeks Plan'!$D$6,'Planning Sheet'!CD334='Weeks Plan'!$G$6),'Planning Sheet'!$CE334,"")</f>
        <v/>
      </c>
      <c r="AA3293" s="48" t="str">
        <f ca="1">IF(AND('Planning Sheet'!CJ334='Weeks Plan'!$D$6,'Planning Sheet'!CD334='Weeks Plan'!$G$6),'Planning Sheet'!$CF334,"")</f>
        <v/>
      </c>
    </row>
    <row r="3294" spans="25:27" x14ac:dyDescent="0.3">
      <c r="Y3294" s="48" t="str">
        <f ca="1">IF(AND('Planning Sheet'!CJ335='Weeks Plan'!$D$6,'Planning Sheet'!CD335='Weeks Plan'!$G$6),'Planning Sheet'!$B335,"")</f>
        <v/>
      </c>
      <c r="Z3294" s="48" t="str">
        <f ca="1">IF(AND('Planning Sheet'!CJ335='Weeks Plan'!$D$6,'Planning Sheet'!CD335='Weeks Plan'!$G$6),'Planning Sheet'!$CE335,"")</f>
        <v/>
      </c>
      <c r="AA3294" s="48" t="str">
        <f ca="1">IF(AND('Planning Sheet'!CJ335='Weeks Plan'!$D$6,'Planning Sheet'!CD335='Weeks Plan'!$G$6),'Planning Sheet'!$CF335,"")</f>
        <v/>
      </c>
    </row>
    <row r="3295" spans="25:27" x14ac:dyDescent="0.3">
      <c r="Y3295" s="48" t="str">
        <f ca="1">IF(AND('Planning Sheet'!CJ336='Weeks Plan'!$D$6,'Planning Sheet'!CD336='Weeks Plan'!$G$6),'Planning Sheet'!$B336,"")</f>
        <v/>
      </c>
      <c r="Z3295" s="48" t="str">
        <f ca="1">IF(AND('Planning Sheet'!CJ336='Weeks Plan'!$D$6,'Planning Sheet'!CD336='Weeks Plan'!$G$6),'Planning Sheet'!$CE336,"")</f>
        <v/>
      </c>
      <c r="AA3295" s="48" t="str">
        <f ca="1">IF(AND('Planning Sheet'!CJ336='Weeks Plan'!$D$6,'Planning Sheet'!CD336='Weeks Plan'!$G$6),'Planning Sheet'!$CF336,"")</f>
        <v/>
      </c>
    </row>
    <row r="3296" spans="25:27" x14ac:dyDescent="0.3">
      <c r="Y3296" s="48" t="str">
        <f ca="1">IF(AND('Planning Sheet'!CJ337='Weeks Plan'!$D$6,'Planning Sheet'!CD337='Weeks Plan'!$G$6),'Planning Sheet'!$B337,"")</f>
        <v/>
      </c>
      <c r="Z3296" s="48" t="str">
        <f ca="1">IF(AND('Planning Sheet'!CJ337='Weeks Plan'!$D$6,'Planning Sheet'!CD337='Weeks Plan'!$G$6),'Planning Sheet'!$CE337,"")</f>
        <v/>
      </c>
      <c r="AA3296" s="48" t="str">
        <f ca="1">IF(AND('Planning Sheet'!CJ337='Weeks Plan'!$D$6,'Planning Sheet'!CD337='Weeks Plan'!$G$6),'Planning Sheet'!$CF337,"")</f>
        <v/>
      </c>
    </row>
    <row r="3297" spans="25:27" x14ac:dyDescent="0.3">
      <c r="Y3297" s="48" t="str">
        <f ca="1">IF(AND('Planning Sheet'!CJ338='Weeks Plan'!$D$6,'Planning Sheet'!CD338='Weeks Plan'!$G$6),'Planning Sheet'!$B338,"")</f>
        <v/>
      </c>
      <c r="Z3297" s="48" t="str">
        <f ca="1">IF(AND('Planning Sheet'!CJ338='Weeks Plan'!$D$6,'Planning Sheet'!CD338='Weeks Plan'!$G$6),'Planning Sheet'!$CE338,"")</f>
        <v/>
      </c>
      <c r="AA3297" s="48" t="str">
        <f ca="1">IF(AND('Planning Sheet'!CJ338='Weeks Plan'!$D$6,'Planning Sheet'!CD338='Weeks Plan'!$G$6),'Planning Sheet'!$CF338,"")</f>
        <v/>
      </c>
    </row>
    <row r="3298" spans="25:27" x14ac:dyDescent="0.3">
      <c r="Y3298" s="48" t="str">
        <f ca="1">IF(AND('Planning Sheet'!CJ339='Weeks Plan'!$D$6,'Planning Sheet'!CD339='Weeks Plan'!$G$6),'Planning Sheet'!$B339,"")</f>
        <v/>
      </c>
      <c r="Z3298" s="48" t="str">
        <f ca="1">IF(AND('Planning Sheet'!CJ339='Weeks Plan'!$D$6,'Planning Sheet'!CD339='Weeks Plan'!$G$6),'Planning Sheet'!$CE339,"")</f>
        <v/>
      </c>
      <c r="AA3298" s="48" t="str">
        <f ca="1">IF(AND('Planning Sheet'!CJ339='Weeks Plan'!$D$6,'Planning Sheet'!CD339='Weeks Plan'!$G$6),'Planning Sheet'!$CF339,"")</f>
        <v/>
      </c>
    </row>
    <row r="3299" spans="25:27" x14ac:dyDescent="0.3">
      <c r="Y3299" s="48" t="str">
        <f ca="1">IF(AND('Planning Sheet'!CJ340='Weeks Plan'!$D$6,'Planning Sheet'!CD340='Weeks Plan'!$G$6),'Planning Sheet'!$B340,"")</f>
        <v/>
      </c>
      <c r="Z3299" s="48" t="str">
        <f ca="1">IF(AND('Planning Sheet'!CJ340='Weeks Plan'!$D$6,'Planning Sheet'!CD340='Weeks Plan'!$G$6),'Planning Sheet'!$CE340,"")</f>
        <v/>
      </c>
      <c r="AA3299" s="48" t="str">
        <f ca="1">IF(AND('Planning Sheet'!CJ340='Weeks Plan'!$D$6,'Planning Sheet'!CD340='Weeks Plan'!$G$6),'Planning Sheet'!$CF340,"")</f>
        <v/>
      </c>
    </row>
    <row r="3300" spans="25:27" x14ac:dyDescent="0.3">
      <c r="Y3300" s="48" t="str">
        <f ca="1">IF(AND('Planning Sheet'!CJ341='Weeks Plan'!$D$6,'Planning Sheet'!CD341='Weeks Plan'!$G$6),'Planning Sheet'!$B341,"")</f>
        <v/>
      </c>
      <c r="Z3300" s="48" t="str">
        <f ca="1">IF(AND('Planning Sheet'!CJ341='Weeks Plan'!$D$6,'Planning Sheet'!CD341='Weeks Plan'!$G$6),'Planning Sheet'!$CE341,"")</f>
        <v/>
      </c>
      <c r="AA3300" s="48" t="str">
        <f ca="1">IF(AND('Planning Sheet'!CJ341='Weeks Plan'!$D$6,'Planning Sheet'!CD341='Weeks Plan'!$G$6),'Planning Sheet'!$CF341,"")</f>
        <v/>
      </c>
    </row>
    <row r="3301" spans="25:27" x14ac:dyDescent="0.3">
      <c r="Y3301" s="48" t="str">
        <f ca="1">IF(AND('Planning Sheet'!CJ342='Weeks Plan'!$D$6,'Planning Sheet'!CD342='Weeks Plan'!$G$6),'Planning Sheet'!$B342,"")</f>
        <v/>
      </c>
      <c r="Z3301" s="48" t="str">
        <f ca="1">IF(AND('Planning Sheet'!CJ342='Weeks Plan'!$D$6,'Planning Sheet'!CD342='Weeks Plan'!$G$6),'Planning Sheet'!$CE342,"")</f>
        <v/>
      </c>
      <c r="AA3301" s="48" t="str">
        <f ca="1">IF(AND('Planning Sheet'!CJ342='Weeks Plan'!$D$6,'Planning Sheet'!CD342='Weeks Plan'!$G$6),'Planning Sheet'!$CF342,"")</f>
        <v/>
      </c>
    </row>
    <row r="3302" spans="25:27" x14ac:dyDescent="0.3">
      <c r="Y3302" s="48" t="str">
        <f ca="1">IF(AND('Planning Sheet'!CJ343='Weeks Plan'!$D$6,'Planning Sheet'!CD343='Weeks Plan'!$G$6),'Planning Sheet'!$B343,"")</f>
        <v/>
      </c>
      <c r="Z3302" s="48" t="str">
        <f ca="1">IF(AND('Planning Sheet'!CJ343='Weeks Plan'!$D$6,'Planning Sheet'!CD343='Weeks Plan'!$G$6),'Planning Sheet'!$CE343,"")</f>
        <v/>
      </c>
      <c r="AA3302" s="48" t="str">
        <f ca="1">IF(AND('Planning Sheet'!CJ343='Weeks Plan'!$D$6,'Planning Sheet'!CD343='Weeks Plan'!$G$6),'Planning Sheet'!$CF343,"")</f>
        <v/>
      </c>
    </row>
    <row r="3303" spans="25:27" x14ac:dyDescent="0.3">
      <c r="Y3303" s="48" t="str">
        <f ca="1">IF(AND('Planning Sheet'!CJ344='Weeks Plan'!$D$6,'Planning Sheet'!CD344='Weeks Plan'!$G$6),'Planning Sheet'!$B344,"")</f>
        <v/>
      </c>
      <c r="Z3303" s="48" t="str">
        <f ca="1">IF(AND('Planning Sheet'!CJ344='Weeks Plan'!$D$6,'Planning Sheet'!CD344='Weeks Plan'!$G$6),'Planning Sheet'!$CE344,"")</f>
        <v/>
      </c>
      <c r="AA3303" s="48" t="str">
        <f ca="1">IF(AND('Planning Sheet'!CJ344='Weeks Plan'!$D$6,'Planning Sheet'!CD344='Weeks Plan'!$G$6),'Planning Sheet'!$CF344,"")</f>
        <v/>
      </c>
    </row>
    <row r="3304" spans="25:27" x14ac:dyDescent="0.3">
      <c r="Y3304" s="48" t="str">
        <f ca="1">IF(AND('Planning Sheet'!CJ345='Weeks Plan'!$D$6,'Planning Sheet'!CD345='Weeks Plan'!$G$6),'Planning Sheet'!$B345,"")</f>
        <v/>
      </c>
      <c r="Z3304" s="48" t="str">
        <f ca="1">IF(AND('Planning Sheet'!CJ345='Weeks Plan'!$D$6,'Planning Sheet'!CD345='Weeks Plan'!$G$6),'Planning Sheet'!$CE345,"")</f>
        <v/>
      </c>
      <c r="AA3304" s="48" t="str">
        <f ca="1">IF(AND('Planning Sheet'!CJ345='Weeks Plan'!$D$6,'Planning Sheet'!CD345='Weeks Plan'!$G$6),'Planning Sheet'!$CF345,"")</f>
        <v/>
      </c>
    </row>
    <row r="3305" spans="25:27" x14ac:dyDescent="0.3">
      <c r="Y3305" s="48" t="str">
        <f ca="1">IF(AND('Planning Sheet'!CJ346='Weeks Plan'!$D$6,'Planning Sheet'!CD346='Weeks Plan'!$G$6),'Planning Sheet'!$B346,"")</f>
        <v/>
      </c>
      <c r="Z3305" s="48" t="str">
        <f ca="1">IF(AND('Planning Sheet'!CJ346='Weeks Plan'!$D$6,'Planning Sheet'!CD346='Weeks Plan'!$G$6),'Planning Sheet'!$CE346,"")</f>
        <v/>
      </c>
      <c r="AA3305" s="48" t="str">
        <f ca="1">IF(AND('Planning Sheet'!CJ346='Weeks Plan'!$D$6,'Planning Sheet'!CD346='Weeks Plan'!$G$6),'Planning Sheet'!$CF346,"")</f>
        <v/>
      </c>
    </row>
    <row r="3306" spans="25:27" x14ac:dyDescent="0.3">
      <c r="Y3306" s="48" t="str">
        <f ca="1">IF(AND('Planning Sheet'!CJ347='Weeks Plan'!$D$6,'Planning Sheet'!CD347='Weeks Plan'!$G$6),'Planning Sheet'!$B347,"")</f>
        <v/>
      </c>
      <c r="Z3306" s="48" t="str">
        <f ca="1">IF(AND('Planning Sheet'!CJ347='Weeks Plan'!$D$6,'Planning Sheet'!CD347='Weeks Plan'!$G$6),'Planning Sheet'!$CE347,"")</f>
        <v/>
      </c>
      <c r="AA3306" s="48" t="str">
        <f ca="1">IF(AND('Planning Sheet'!CJ347='Weeks Plan'!$D$6,'Planning Sheet'!CD347='Weeks Plan'!$G$6),'Planning Sheet'!$CF347,"")</f>
        <v/>
      </c>
    </row>
    <row r="3307" spans="25:27" x14ac:dyDescent="0.3">
      <c r="Y3307" s="48" t="str">
        <f ca="1">IF(AND('Planning Sheet'!CJ348='Weeks Plan'!$D$6,'Planning Sheet'!CD348='Weeks Plan'!$G$6),'Planning Sheet'!$B348,"")</f>
        <v/>
      </c>
      <c r="Z3307" s="48" t="str">
        <f ca="1">IF(AND('Planning Sheet'!CJ348='Weeks Plan'!$D$6,'Planning Sheet'!CD348='Weeks Plan'!$G$6),'Planning Sheet'!$CE348,"")</f>
        <v/>
      </c>
      <c r="AA3307" s="48" t="str">
        <f ca="1">IF(AND('Planning Sheet'!CJ348='Weeks Plan'!$D$6,'Planning Sheet'!CD348='Weeks Plan'!$G$6),'Planning Sheet'!$CF348,"")</f>
        <v/>
      </c>
    </row>
    <row r="3308" spans="25:27" x14ac:dyDescent="0.3">
      <c r="Y3308" s="48" t="str">
        <f ca="1">IF(AND('Planning Sheet'!CJ349='Weeks Plan'!$D$6,'Planning Sheet'!CD349='Weeks Plan'!$G$6),'Planning Sheet'!$B349,"")</f>
        <v/>
      </c>
      <c r="Z3308" s="48" t="str">
        <f ca="1">IF(AND('Planning Sheet'!CJ349='Weeks Plan'!$D$6,'Planning Sheet'!CD349='Weeks Plan'!$G$6),'Planning Sheet'!$CE349,"")</f>
        <v/>
      </c>
      <c r="AA3308" s="48" t="str">
        <f ca="1">IF(AND('Planning Sheet'!CJ349='Weeks Plan'!$D$6,'Planning Sheet'!CD349='Weeks Plan'!$G$6),'Planning Sheet'!$CF349,"")</f>
        <v/>
      </c>
    </row>
    <row r="3309" spans="25:27" x14ac:dyDescent="0.3">
      <c r="Y3309" s="48" t="str">
        <f ca="1">IF(AND('Planning Sheet'!CJ350='Weeks Plan'!$D$6,'Planning Sheet'!CD350='Weeks Plan'!$G$6),'Planning Sheet'!$B350,"")</f>
        <v/>
      </c>
      <c r="Z3309" s="48" t="str">
        <f ca="1">IF(AND('Planning Sheet'!CJ350='Weeks Plan'!$D$6,'Planning Sheet'!CD350='Weeks Plan'!$G$6),'Planning Sheet'!$CE350,"")</f>
        <v/>
      </c>
      <c r="AA3309" s="48" t="str">
        <f ca="1">IF(AND('Planning Sheet'!CJ350='Weeks Plan'!$D$6,'Planning Sheet'!CD350='Weeks Plan'!$G$6),'Planning Sheet'!$CF350,"")</f>
        <v/>
      </c>
    </row>
    <row r="3310" spans="25:27" x14ac:dyDescent="0.3">
      <c r="Y3310" s="48" t="str">
        <f ca="1">IF(AND('Planning Sheet'!CJ351='Weeks Plan'!$D$6,'Planning Sheet'!CD351='Weeks Plan'!$G$6),'Planning Sheet'!$B351,"")</f>
        <v/>
      </c>
      <c r="Z3310" s="48" t="str">
        <f ca="1">IF(AND('Planning Sheet'!CJ351='Weeks Plan'!$D$6,'Planning Sheet'!CD351='Weeks Plan'!$G$6),'Planning Sheet'!$CE351,"")</f>
        <v/>
      </c>
      <c r="AA3310" s="48" t="str">
        <f ca="1">IF(AND('Planning Sheet'!CJ351='Weeks Plan'!$D$6,'Planning Sheet'!CD351='Weeks Plan'!$G$6),'Planning Sheet'!$CF351,"")</f>
        <v/>
      </c>
    </row>
    <row r="3311" spans="25:27" x14ac:dyDescent="0.3">
      <c r="Y3311" s="48" t="str">
        <f ca="1">IF(AND('Planning Sheet'!CJ352='Weeks Plan'!$D$6,'Planning Sheet'!CD352='Weeks Plan'!$G$6),'Planning Sheet'!$B352,"")</f>
        <v/>
      </c>
      <c r="Z3311" s="48" t="str">
        <f ca="1">IF(AND('Planning Sheet'!CJ352='Weeks Plan'!$D$6,'Planning Sheet'!CD352='Weeks Plan'!$G$6),'Planning Sheet'!$CE352,"")</f>
        <v/>
      </c>
      <c r="AA3311" s="48" t="str">
        <f ca="1">IF(AND('Planning Sheet'!CJ352='Weeks Plan'!$D$6,'Planning Sheet'!CD352='Weeks Plan'!$G$6),'Planning Sheet'!$CF352,"")</f>
        <v/>
      </c>
    </row>
    <row r="3312" spans="25:27" x14ac:dyDescent="0.3">
      <c r="Y3312" s="48" t="str">
        <f ca="1">IF(AND('Planning Sheet'!CJ353='Weeks Plan'!$D$6,'Planning Sheet'!CD353='Weeks Plan'!$G$6),'Planning Sheet'!$B353,"")</f>
        <v/>
      </c>
      <c r="Z3312" s="48" t="str">
        <f ca="1">IF(AND('Planning Sheet'!CJ353='Weeks Plan'!$D$6,'Planning Sheet'!CD353='Weeks Plan'!$G$6),'Planning Sheet'!$CE353,"")</f>
        <v/>
      </c>
      <c r="AA3312" s="48" t="str">
        <f ca="1">IF(AND('Planning Sheet'!CJ353='Weeks Plan'!$D$6,'Planning Sheet'!CD353='Weeks Plan'!$G$6),'Planning Sheet'!$CF353,"")</f>
        <v/>
      </c>
    </row>
    <row r="3313" spans="25:27" x14ac:dyDescent="0.3">
      <c r="Y3313" s="48" t="str">
        <f ca="1">IF(AND('Planning Sheet'!CJ354='Weeks Plan'!$D$6,'Planning Sheet'!CD354='Weeks Plan'!$G$6),'Planning Sheet'!$B354,"")</f>
        <v/>
      </c>
      <c r="Z3313" s="48" t="str">
        <f ca="1">IF(AND('Planning Sheet'!CJ354='Weeks Plan'!$D$6,'Planning Sheet'!CD354='Weeks Plan'!$G$6),'Planning Sheet'!$CE354,"")</f>
        <v/>
      </c>
      <c r="AA3313" s="48" t="str">
        <f ca="1">IF(AND('Planning Sheet'!CJ354='Weeks Plan'!$D$6,'Planning Sheet'!CD354='Weeks Plan'!$G$6),'Planning Sheet'!$CF354,"")</f>
        <v/>
      </c>
    </row>
    <row r="3314" spans="25:27" x14ac:dyDescent="0.3">
      <c r="Y3314" s="48" t="str">
        <f ca="1">IF(AND('Planning Sheet'!CJ355='Weeks Plan'!$D$6,'Planning Sheet'!CD355='Weeks Plan'!$G$6),'Planning Sheet'!$B355,"")</f>
        <v/>
      </c>
      <c r="Z3314" s="48" t="str">
        <f ca="1">IF(AND('Planning Sheet'!CJ355='Weeks Plan'!$D$6,'Planning Sheet'!CD355='Weeks Plan'!$G$6),'Planning Sheet'!$CE355,"")</f>
        <v/>
      </c>
      <c r="AA3314" s="48" t="str">
        <f ca="1">IF(AND('Planning Sheet'!CJ355='Weeks Plan'!$D$6,'Planning Sheet'!CD355='Weeks Plan'!$G$6),'Planning Sheet'!$CF355,"")</f>
        <v/>
      </c>
    </row>
    <row r="3315" spans="25:27" x14ac:dyDescent="0.3">
      <c r="Y3315" s="48" t="str">
        <f ca="1">IF(AND('Planning Sheet'!CJ356='Weeks Plan'!$D$6,'Planning Sheet'!CD356='Weeks Plan'!$G$6),'Planning Sheet'!$B356,"")</f>
        <v/>
      </c>
      <c r="Z3315" s="48" t="str">
        <f ca="1">IF(AND('Planning Sheet'!CJ356='Weeks Plan'!$D$6,'Planning Sheet'!CD356='Weeks Plan'!$G$6),'Planning Sheet'!$CE356,"")</f>
        <v/>
      </c>
      <c r="AA3315" s="48" t="str">
        <f ca="1">IF(AND('Planning Sheet'!CJ356='Weeks Plan'!$D$6,'Planning Sheet'!CD356='Weeks Plan'!$G$6),'Planning Sheet'!$CF356,"")</f>
        <v/>
      </c>
    </row>
    <row r="3316" spans="25:27" x14ac:dyDescent="0.3">
      <c r="Y3316" s="48" t="str">
        <f ca="1">IF(AND('Planning Sheet'!CJ357='Weeks Plan'!$D$6,'Planning Sheet'!CD357='Weeks Plan'!$G$6),'Planning Sheet'!$B357,"")</f>
        <v/>
      </c>
      <c r="Z3316" s="48" t="str">
        <f ca="1">IF(AND('Planning Sheet'!CJ357='Weeks Plan'!$D$6,'Planning Sheet'!CD357='Weeks Plan'!$G$6),'Planning Sheet'!$CE357,"")</f>
        <v/>
      </c>
      <c r="AA3316" s="48" t="str">
        <f ca="1">IF(AND('Planning Sheet'!CJ357='Weeks Plan'!$D$6,'Planning Sheet'!CD357='Weeks Plan'!$G$6),'Planning Sheet'!$CF357,"")</f>
        <v/>
      </c>
    </row>
    <row r="3317" spans="25:27" x14ac:dyDescent="0.3">
      <c r="Y3317" s="48" t="str">
        <f ca="1">IF(AND('Planning Sheet'!CJ358='Weeks Plan'!$D$6,'Planning Sheet'!CD358='Weeks Plan'!$G$6),'Planning Sheet'!$B358,"")</f>
        <v/>
      </c>
      <c r="Z3317" s="48" t="str">
        <f ca="1">IF(AND('Planning Sheet'!CJ358='Weeks Plan'!$D$6,'Planning Sheet'!CD358='Weeks Plan'!$G$6),'Planning Sheet'!$CE358,"")</f>
        <v/>
      </c>
      <c r="AA3317" s="48" t="str">
        <f ca="1">IF(AND('Planning Sheet'!CJ358='Weeks Plan'!$D$6,'Planning Sheet'!CD358='Weeks Plan'!$G$6),'Planning Sheet'!$CF358,"")</f>
        <v/>
      </c>
    </row>
    <row r="3318" spans="25:27" x14ac:dyDescent="0.3">
      <c r="Y3318" s="48" t="str">
        <f ca="1">IF(AND('Planning Sheet'!CJ359='Weeks Plan'!$D$6,'Planning Sheet'!CD359='Weeks Plan'!$G$6),'Planning Sheet'!$B359,"")</f>
        <v/>
      </c>
      <c r="Z3318" s="48" t="str">
        <f ca="1">IF(AND('Planning Sheet'!CJ359='Weeks Plan'!$D$6,'Planning Sheet'!CD359='Weeks Plan'!$G$6),'Planning Sheet'!$CE359,"")</f>
        <v/>
      </c>
      <c r="AA3318" s="48" t="str">
        <f ca="1">IF(AND('Planning Sheet'!CJ359='Weeks Plan'!$D$6,'Planning Sheet'!CD359='Weeks Plan'!$G$6),'Planning Sheet'!$CF359,"")</f>
        <v/>
      </c>
    </row>
    <row r="3319" spans="25:27" x14ac:dyDescent="0.3">
      <c r="Y3319" s="48" t="str">
        <f ca="1">IF(AND('Planning Sheet'!CJ360='Weeks Plan'!$D$6,'Planning Sheet'!CD360='Weeks Plan'!$G$6),'Planning Sheet'!$B360,"")</f>
        <v/>
      </c>
      <c r="Z3319" s="48" t="str">
        <f ca="1">IF(AND('Planning Sheet'!CJ360='Weeks Plan'!$D$6,'Planning Sheet'!CD360='Weeks Plan'!$G$6),'Planning Sheet'!$CE360,"")</f>
        <v/>
      </c>
      <c r="AA3319" s="48" t="str">
        <f ca="1">IF(AND('Planning Sheet'!CJ360='Weeks Plan'!$D$6,'Planning Sheet'!CD360='Weeks Plan'!$G$6),'Planning Sheet'!$CF360,"")</f>
        <v/>
      </c>
    </row>
    <row r="3320" spans="25:27" x14ac:dyDescent="0.3">
      <c r="Y3320" s="48" t="str">
        <f ca="1">IF(AND('Planning Sheet'!CJ361='Weeks Plan'!$D$6,'Planning Sheet'!CD361='Weeks Plan'!$G$6),'Planning Sheet'!$B361,"")</f>
        <v/>
      </c>
      <c r="Z3320" s="48" t="str">
        <f ca="1">IF(AND('Planning Sheet'!CJ361='Weeks Plan'!$D$6,'Planning Sheet'!CD361='Weeks Plan'!$G$6),'Planning Sheet'!$CE361,"")</f>
        <v/>
      </c>
      <c r="AA3320" s="48" t="str">
        <f ca="1">IF(AND('Planning Sheet'!CJ361='Weeks Plan'!$D$6,'Planning Sheet'!CD361='Weeks Plan'!$G$6),'Planning Sheet'!$CF361,"")</f>
        <v/>
      </c>
    </row>
    <row r="3321" spans="25:27" x14ac:dyDescent="0.3">
      <c r="Y3321" s="48" t="str">
        <f ca="1">IF(AND('Planning Sheet'!CJ362='Weeks Plan'!$D$6,'Planning Sheet'!CD362='Weeks Plan'!$G$6),'Planning Sheet'!$B362,"")</f>
        <v/>
      </c>
      <c r="Z3321" s="48" t="str">
        <f ca="1">IF(AND('Planning Sheet'!CJ362='Weeks Plan'!$D$6,'Planning Sheet'!CD362='Weeks Plan'!$G$6),'Planning Sheet'!$CE362,"")</f>
        <v/>
      </c>
      <c r="AA3321" s="48" t="str">
        <f ca="1">IF(AND('Planning Sheet'!CJ362='Weeks Plan'!$D$6,'Planning Sheet'!CD362='Weeks Plan'!$G$6),'Planning Sheet'!$CF362,"")</f>
        <v/>
      </c>
    </row>
    <row r="3322" spans="25:27" x14ac:dyDescent="0.3">
      <c r="Y3322" s="48" t="str">
        <f ca="1">IF(AND('Planning Sheet'!CJ363='Weeks Plan'!$D$6,'Planning Sheet'!CD363='Weeks Plan'!$G$6),'Planning Sheet'!$B363,"")</f>
        <v/>
      </c>
      <c r="Z3322" s="48" t="str">
        <f ca="1">IF(AND('Planning Sheet'!CJ363='Weeks Plan'!$D$6,'Planning Sheet'!CD363='Weeks Plan'!$G$6),'Planning Sheet'!$CE363,"")</f>
        <v/>
      </c>
      <c r="AA3322" s="48" t="str">
        <f ca="1">IF(AND('Planning Sheet'!CJ363='Weeks Plan'!$D$6,'Planning Sheet'!CD363='Weeks Plan'!$G$6),'Planning Sheet'!$CF363,"")</f>
        <v/>
      </c>
    </row>
    <row r="3323" spans="25:27" x14ac:dyDescent="0.3">
      <c r="Y3323" s="48" t="str">
        <f ca="1">IF(AND('Planning Sheet'!CJ364='Weeks Plan'!$D$6,'Planning Sheet'!CD364='Weeks Plan'!$G$6),'Planning Sheet'!$B364,"")</f>
        <v/>
      </c>
      <c r="Z3323" s="48" t="str">
        <f ca="1">IF(AND('Planning Sheet'!CJ364='Weeks Plan'!$D$6,'Planning Sheet'!CD364='Weeks Plan'!$G$6),'Planning Sheet'!$CE364,"")</f>
        <v/>
      </c>
      <c r="AA3323" s="48" t="str">
        <f ca="1">IF(AND('Planning Sheet'!CJ364='Weeks Plan'!$D$6,'Planning Sheet'!CD364='Weeks Plan'!$G$6),'Planning Sheet'!$CF364,"")</f>
        <v/>
      </c>
    </row>
    <row r="3324" spans="25:27" x14ac:dyDescent="0.3">
      <c r="Y3324" s="48" t="str">
        <f ca="1">IF(AND('Planning Sheet'!CJ365='Weeks Plan'!$D$6,'Planning Sheet'!CD365='Weeks Plan'!$G$6),'Planning Sheet'!$B365,"")</f>
        <v/>
      </c>
      <c r="Z3324" s="48" t="str">
        <f ca="1">IF(AND('Planning Sheet'!CJ365='Weeks Plan'!$D$6,'Planning Sheet'!CD365='Weeks Plan'!$G$6),'Planning Sheet'!$CE365,"")</f>
        <v/>
      </c>
      <c r="AA3324" s="48" t="str">
        <f ca="1">IF(AND('Planning Sheet'!CJ365='Weeks Plan'!$D$6,'Planning Sheet'!CD365='Weeks Plan'!$G$6),'Planning Sheet'!$CF365,"")</f>
        <v/>
      </c>
    </row>
    <row r="3325" spans="25:27" x14ac:dyDescent="0.3">
      <c r="Y3325" s="48" t="str">
        <f ca="1">IF(AND('Planning Sheet'!CJ366='Weeks Plan'!$D$6,'Planning Sheet'!CD366='Weeks Plan'!$G$6),'Planning Sheet'!$B366,"")</f>
        <v/>
      </c>
      <c r="Z3325" s="48" t="str">
        <f ca="1">IF(AND('Planning Sheet'!CJ366='Weeks Plan'!$D$6,'Planning Sheet'!CD366='Weeks Plan'!$G$6),'Planning Sheet'!$CE366,"")</f>
        <v/>
      </c>
      <c r="AA3325" s="48" t="str">
        <f ca="1">IF(AND('Planning Sheet'!CJ366='Weeks Plan'!$D$6,'Planning Sheet'!CD366='Weeks Plan'!$G$6),'Planning Sheet'!$CF366,"")</f>
        <v/>
      </c>
    </row>
    <row r="3326" spans="25:27" x14ac:dyDescent="0.3">
      <c r="Y3326" s="48" t="str">
        <f ca="1">IF(AND('Planning Sheet'!CJ367='Weeks Plan'!$D$6,'Planning Sheet'!CD367='Weeks Plan'!$G$6),'Planning Sheet'!$B367,"")</f>
        <v/>
      </c>
      <c r="Z3326" s="48" t="str">
        <f ca="1">IF(AND('Planning Sheet'!CJ367='Weeks Plan'!$D$6,'Planning Sheet'!CD367='Weeks Plan'!$G$6),'Planning Sheet'!$CE367,"")</f>
        <v/>
      </c>
      <c r="AA3326" s="48" t="str">
        <f ca="1">IF(AND('Planning Sheet'!CJ367='Weeks Plan'!$D$6,'Planning Sheet'!CD367='Weeks Plan'!$G$6),'Planning Sheet'!$CF367,"")</f>
        <v/>
      </c>
    </row>
    <row r="3327" spans="25:27" x14ac:dyDescent="0.3">
      <c r="Y3327" s="48" t="str">
        <f ca="1">IF(AND('Planning Sheet'!CJ368='Weeks Plan'!$D$6,'Planning Sheet'!CD368='Weeks Plan'!$G$6),'Planning Sheet'!$B368,"")</f>
        <v/>
      </c>
      <c r="Z3327" s="48" t="str">
        <f ca="1">IF(AND('Planning Sheet'!CJ368='Weeks Plan'!$D$6,'Planning Sheet'!CD368='Weeks Plan'!$G$6),'Planning Sheet'!$CE368,"")</f>
        <v/>
      </c>
      <c r="AA3327" s="48" t="str">
        <f ca="1">IF(AND('Planning Sheet'!CJ368='Weeks Plan'!$D$6,'Planning Sheet'!CD368='Weeks Plan'!$G$6),'Planning Sheet'!$CF368,"")</f>
        <v/>
      </c>
    </row>
    <row r="3328" spans="25:27" x14ac:dyDescent="0.3">
      <c r="Y3328" s="48" t="str">
        <f ca="1">IF(AND('Planning Sheet'!CJ369='Weeks Plan'!$D$6,'Planning Sheet'!CD369='Weeks Plan'!$G$6),'Planning Sheet'!$B369,"")</f>
        <v/>
      </c>
      <c r="Z3328" s="48" t="str">
        <f ca="1">IF(AND('Planning Sheet'!CJ369='Weeks Plan'!$D$6,'Planning Sheet'!CD369='Weeks Plan'!$G$6),'Planning Sheet'!$CE369,"")</f>
        <v/>
      </c>
      <c r="AA3328" s="48" t="str">
        <f ca="1">IF(AND('Planning Sheet'!CJ369='Weeks Plan'!$D$6,'Planning Sheet'!CD369='Weeks Plan'!$G$6),'Planning Sheet'!$CF369,"")</f>
        <v/>
      </c>
    </row>
    <row r="3329" spans="25:27" x14ac:dyDescent="0.3">
      <c r="Y3329" s="48" t="str">
        <f ca="1">IF(AND('Planning Sheet'!CJ370='Weeks Plan'!$D$6,'Planning Sheet'!CD370='Weeks Plan'!$G$6),'Planning Sheet'!$B370,"")</f>
        <v/>
      </c>
      <c r="Z3329" s="48" t="str">
        <f ca="1">IF(AND('Planning Sheet'!CJ370='Weeks Plan'!$D$6,'Planning Sheet'!CD370='Weeks Plan'!$G$6),'Planning Sheet'!$CE370,"")</f>
        <v/>
      </c>
      <c r="AA3329" s="48" t="str">
        <f ca="1">IF(AND('Planning Sheet'!CJ370='Weeks Plan'!$D$6,'Planning Sheet'!CD370='Weeks Plan'!$G$6),'Planning Sheet'!$CF370,"")</f>
        <v/>
      </c>
    </row>
    <row r="3330" spans="25:27" x14ac:dyDescent="0.3">
      <c r="Y3330" s="48" t="str">
        <f ca="1">IF(AND('Planning Sheet'!CJ371='Weeks Plan'!$D$6,'Planning Sheet'!CD371='Weeks Plan'!$G$6),'Planning Sheet'!$B371,"")</f>
        <v/>
      </c>
      <c r="Z3330" s="48" t="str">
        <f ca="1">IF(AND('Planning Sheet'!CJ371='Weeks Plan'!$D$6,'Planning Sheet'!CD371='Weeks Plan'!$G$6),'Planning Sheet'!$CE371,"")</f>
        <v/>
      </c>
      <c r="AA3330" s="48" t="str">
        <f ca="1">IF(AND('Planning Sheet'!CJ371='Weeks Plan'!$D$6,'Planning Sheet'!CD371='Weeks Plan'!$G$6),'Planning Sheet'!$CF371,"")</f>
        <v/>
      </c>
    </row>
    <row r="3331" spans="25:27" x14ac:dyDescent="0.3">
      <c r="Y3331" s="48" t="str">
        <f ca="1">IF(AND('Planning Sheet'!CJ372='Weeks Plan'!$D$6,'Planning Sheet'!CD372='Weeks Plan'!$G$6),'Planning Sheet'!$B372,"")</f>
        <v/>
      </c>
      <c r="Z3331" s="48" t="str">
        <f ca="1">IF(AND('Planning Sheet'!CJ372='Weeks Plan'!$D$6,'Planning Sheet'!CD372='Weeks Plan'!$G$6),'Planning Sheet'!$CE372,"")</f>
        <v/>
      </c>
      <c r="AA3331" s="48" t="str">
        <f ca="1">IF(AND('Planning Sheet'!CJ372='Weeks Plan'!$D$6,'Planning Sheet'!CD372='Weeks Plan'!$G$6),'Planning Sheet'!$CF372,"")</f>
        <v/>
      </c>
    </row>
    <row r="3332" spans="25:27" x14ac:dyDescent="0.3">
      <c r="Y3332" s="48" t="str">
        <f ca="1">IF(AND('Planning Sheet'!CJ373='Weeks Plan'!$D$6,'Planning Sheet'!CD373='Weeks Plan'!$G$6),'Planning Sheet'!$B373,"")</f>
        <v/>
      </c>
      <c r="Z3332" s="48" t="str">
        <f ca="1">IF(AND('Planning Sheet'!CJ373='Weeks Plan'!$D$6,'Planning Sheet'!CD373='Weeks Plan'!$G$6),'Planning Sheet'!$CE373,"")</f>
        <v/>
      </c>
      <c r="AA3332" s="48" t="str">
        <f ca="1">IF(AND('Planning Sheet'!CJ373='Weeks Plan'!$D$6,'Planning Sheet'!CD373='Weeks Plan'!$G$6),'Planning Sheet'!$CF373,"")</f>
        <v/>
      </c>
    </row>
    <row r="3333" spans="25:27" x14ac:dyDescent="0.3">
      <c r="Y3333" s="48" t="str">
        <f ca="1">IF(AND('Planning Sheet'!CJ374='Weeks Plan'!$D$6,'Planning Sheet'!CD374='Weeks Plan'!$G$6),'Planning Sheet'!$B374,"")</f>
        <v/>
      </c>
      <c r="Z3333" s="48" t="str">
        <f ca="1">IF(AND('Planning Sheet'!CJ374='Weeks Plan'!$D$6,'Planning Sheet'!CD374='Weeks Plan'!$G$6),'Planning Sheet'!$CE374,"")</f>
        <v/>
      </c>
      <c r="AA3333" s="48" t="str">
        <f ca="1">IF(AND('Planning Sheet'!CJ374='Weeks Plan'!$D$6,'Planning Sheet'!CD374='Weeks Plan'!$G$6),'Planning Sheet'!$CF374,"")</f>
        <v/>
      </c>
    </row>
    <row r="3334" spans="25:27" x14ac:dyDescent="0.3">
      <c r="Y3334" s="48" t="str">
        <f ca="1">IF(AND('Planning Sheet'!CJ375='Weeks Plan'!$D$6,'Planning Sheet'!CD375='Weeks Plan'!$G$6),'Planning Sheet'!$B375,"")</f>
        <v/>
      </c>
      <c r="Z3334" s="48" t="str">
        <f ca="1">IF(AND('Planning Sheet'!CJ375='Weeks Plan'!$D$6,'Planning Sheet'!CD375='Weeks Plan'!$G$6),'Planning Sheet'!$CE375,"")</f>
        <v/>
      </c>
      <c r="AA3334" s="48" t="str">
        <f ca="1">IF(AND('Planning Sheet'!CJ375='Weeks Plan'!$D$6,'Planning Sheet'!CD375='Weeks Plan'!$G$6),'Planning Sheet'!$CF375,"")</f>
        <v/>
      </c>
    </row>
    <row r="3335" spans="25:27" x14ac:dyDescent="0.3">
      <c r="Y3335" s="48" t="str">
        <f ca="1">IF(AND('Planning Sheet'!CJ376='Weeks Plan'!$D$6,'Planning Sheet'!CD376='Weeks Plan'!$G$6),'Planning Sheet'!$B376,"")</f>
        <v/>
      </c>
      <c r="Z3335" s="48" t="str">
        <f ca="1">IF(AND('Planning Sheet'!CJ376='Weeks Plan'!$D$6,'Planning Sheet'!CD376='Weeks Plan'!$G$6),'Planning Sheet'!$CE376,"")</f>
        <v/>
      </c>
      <c r="AA3335" s="48" t="str">
        <f ca="1">IF(AND('Planning Sheet'!CJ376='Weeks Plan'!$D$6,'Planning Sheet'!CD376='Weeks Plan'!$G$6),'Planning Sheet'!$CF376,"")</f>
        <v/>
      </c>
    </row>
    <row r="3336" spans="25:27" x14ac:dyDescent="0.3">
      <c r="Y3336" s="48" t="str">
        <f ca="1">IF(AND('Planning Sheet'!CJ377='Weeks Plan'!$D$6,'Planning Sheet'!CD377='Weeks Plan'!$G$6),'Planning Sheet'!$B377,"")</f>
        <v/>
      </c>
      <c r="Z3336" s="48" t="str">
        <f ca="1">IF(AND('Planning Sheet'!CJ377='Weeks Plan'!$D$6,'Planning Sheet'!CD377='Weeks Plan'!$G$6),'Planning Sheet'!$CE377,"")</f>
        <v/>
      </c>
      <c r="AA3336" s="48" t="str">
        <f ca="1">IF(AND('Planning Sheet'!CJ377='Weeks Plan'!$D$6,'Planning Sheet'!CD377='Weeks Plan'!$G$6),'Planning Sheet'!$CF377,"")</f>
        <v/>
      </c>
    </row>
    <row r="3337" spans="25:27" x14ac:dyDescent="0.3">
      <c r="Y3337" s="48" t="str">
        <f ca="1">IF(AND('Planning Sheet'!CJ378='Weeks Plan'!$D$6,'Planning Sheet'!CD378='Weeks Plan'!$G$6),'Planning Sheet'!$B378,"")</f>
        <v/>
      </c>
      <c r="Z3337" s="48" t="str">
        <f ca="1">IF(AND('Planning Sheet'!CJ378='Weeks Plan'!$D$6,'Planning Sheet'!CD378='Weeks Plan'!$G$6),'Planning Sheet'!$CE378,"")</f>
        <v/>
      </c>
      <c r="AA3337" s="48" t="str">
        <f ca="1">IF(AND('Planning Sheet'!CJ378='Weeks Plan'!$D$6,'Planning Sheet'!CD378='Weeks Plan'!$G$6),'Planning Sheet'!$CF378,"")</f>
        <v/>
      </c>
    </row>
    <row r="3338" spans="25:27" x14ac:dyDescent="0.3">
      <c r="Y3338" s="48" t="str">
        <f ca="1">IF(AND('Planning Sheet'!CJ379='Weeks Plan'!$D$6,'Planning Sheet'!CD379='Weeks Plan'!$G$6),'Planning Sheet'!$B379,"")</f>
        <v/>
      </c>
      <c r="Z3338" s="48" t="str">
        <f ca="1">IF(AND('Planning Sheet'!CJ379='Weeks Plan'!$D$6,'Planning Sheet'!CD379='Weeks Plan'!$G$6),'Planning Sheet'!$CE379,"")</f>
        <v/>
      </c>
      <c r="AA3338" s="48" t="str">
        <f ca="1">IF(AND('Planning Sheet'!CJ379='Weeks Plan'!$D$6,'Planning Sheet'!CD379='Weeks Plan'!$G$6),'Planning Sheet'!$CF379,"")</f>
        <v/>
      </c>
    </row>
    <row r="3339" spans="25:27" x14ac:dyDescent="0.3">
      <c r="Y3339" s="48" t="str">
        <f ca="1">IF(AND('Planning Sheet'!CJ380='Weeks Plan'!$D$6,'Planning Sheet'!CD380='Weeks Plan'!$G$6),'Planning Sheet'!$B380,"")</f>
        <v/>
      </c>
      <c r="Z3339" s="48" t="str">
        <f ca="1">IF(AND('Planning Sheet'!CJ380='Weeks Plan'!$D$6,'Planning Sheet'!CD380='Weeks Plan'!$G$6),'Planning Sheet'!$CE380,"")</f>
        <v/>
      </c>
      <c r="AA3339" s="48" t="str">
        <f ca="1">IF(AND('Planning Sheet'!CJ380='Weeks Plan'!$D$6,'Planning Sheet'!CD380='Weeks Plan'!$G$6),'Planning Sheet'!$CF380,"")</f>
        <v/>
      </c>
    </row>
    <row r="3340" spans="25:27" x14ac:dyDescent="0.3">
      <c r="Y3340" s="48" t="str">
        <f ca="1">IF(AND('Planning Sheet'!CJ381='Weeks Plan'!$D$6,'Planning Sheet'!CD381='Weeks Plan'!$G$6),'Planning Sheet'!$B381,"")</f>
        <v/>
      </c>
      <c r="Z3340" s="48" t="str">
        <f ca="1">IF(AND('Planning Sheet'!CJ381='Weeks Plan'!$D$6,'Planning Sheet'!CD381='Weeks Plan'!$G$6),'Planning Sheet'!$CE381,"")</f>
        <v/>
      </c>
      <c r="AA3340" s="48" t="str">
        <f ca="1">IF(AND('Planning Sheet'!CJ381='Weeks Plan'!$D$6,'Planning Sheet'!CD381='Weeks Plan'!$G$6),'Planning Sheet'!$CF381,"")</f>
        <v/>
      </c>
    </row>
    <row r="3341" spans="25:27" x14ac:dyDescent="0.3">
      <c r="Y3341" s="48" t="str">
        <f ca="1">IF(AND('Planning Sheet'!CJ382='Weeks Plan'!$D$6,'Planning Sheet'!CD382='Weeks Plan'!$G$6),'Planning Sheet'!$B382,"")</f>
        <v/>
      </c>
      <c r="Z3341" s="48" t="str">
        <f ca="1">IF(AND('Planning Sheet'!CJ382='Weeks Plan'!$D$6,'Planning Sheet'!CD382='Weeks Plan'!$G$6),'Planning Sheet'!$CE382,"")</f>
        <v/>
      </c>
      <c r="AA3341" s="48" t="str">
        <f ca="1">IF(AND('Planning Sheet'!CJ382='Weeks Plan'!$D$6,'Planning Sheet'!CD382='Weeks Plan'!$G$6),'Planning Sheet'!$CF382,"")</f>
        <v/>
      </c>
    </row>
    <row r="3342" spans="25:27" x14ac:dyDescent="0.3">
      <c r="Y3342" s="48" t="str">
        <f ca="1">IF(AND('Planning Sheet'!CJ383='Weeks Plan'!$D$6,'Planning Sheet'!CD383='Weeks Plan'!$G$6),'Planning Sheet'!$B383,"")</f>
        <v/>
      </c>
      <c r="Z3342" s="48" t="str">
        <f ca="1">IF(AND('Planning Sheet'!CJ383='Weeks Plan'!$D$6,'Planning Sheet'!CD383='Weeks Plan'!$G$6),'Planning Sheet'!$CE383,"")</f>
        <v/>
      </c>
      <c r="AA3342" s="48" t="str">
        <f ca="1">IF(AND('Planning Sheet'!CJ383='Weeks Plan'!$D$6,'Planning Sheet'!CD383='Weeks Plan'!$G$6),'Planning Sheet'!$CF383,"")</f>
        <v/>
      </c>
    </row>
    <row r="3343" spans="25:27" x14ac:dyDescent="0.3">
      <c r="Y3343" s="48" t="str">
        <f ca="1">IF(AND('Planning Sheet'!CJ384='Weeks Plan'!$D$6,'Planning Sheet'!CD384='Weeks Plan'!$G$6),'Planning Sheet'!$B384,"")</f>
        <v/>
      </c>
      <c r="Z3343" s="48" t="str">
        <f ca="1">IF(AND('Planning Sheet'!CJ384='Weeks Plan'!$D$6,'Planning Sheet'!CD384='Weeks Plan'!$G$6),'Planning Sheet'!$CE384,"")</f>
        <v/>
      </c>
      <c r="AA3343" s="48" t="str">
        <f ca="1">IF(AND('Planning Sheet'!CJ384='Weeks Plan'!$D$6,'Planning Sheet'!CD384='Weeks Plan'!$G$6),'Planning Sheet'!$CF384,"")</f>
        <v/>
      </c>
    </row>
    <row r="3344" spans="25:27" x14ac:dyDescent="0.3">
      <c r="Y3344" s="48" t="str">
        <f ca="1">IF(AND('Planning Sheet'!CJ385='Weeks Plan'!$D$6,'Planning Sheet'!CD385='Weeks Plan'!$G$6),'Planning Sheet'!$B385,"")</f>
        <v/>
      </c>
      <c r="Z3344" s="48" t="str">
        <f ca="1">IF(AND('Planning Sheet'!CJ385='Weeks Plan'!$D$6,'Planning Sheet'!CD385='Weeks Plan'!$G$6),'Planning Sheet'!$CE385,"")</f>
        <v/>
      </c>
      <c r="AA3344" s="48" t="str">
        <f ca="1">IF(AND('Planning Sheet'!CJ385='Weeks Plan'!$D$6,'Planning Sheet'!CD385='Weeks Plan'!$G$6),'Planning Sheet'!$CF385,"")</f>
        <v/>
      </c>
    </row>
    <row r="3345" spans="25:27" x14ac:dyDescent="0.3">
      <c r="Y3345" s="48" t="str">
        <f ca="1">IF(AND('Planning Sheet'!CJ386='Weeks Plan'!$D$6,'Planning Sheet'!CD386='Weeks Plan'!$G$6),'Planning Sheet'!$B386,"")</f>
        <v/>
      </c>
      <c r="Z3345" s="48" t="str">
        <f ca="1">IF(AND('Planning Sheet'!CJ386='Weeks Plan'!$D$6,'Planning Sheet'!CD386='Weeks Plan'!$G$6),'Planning Sheet'!$CE386,"")</f>
        <v/>
      </c>
      <c r="AA3345" s="48" t="str">
        <f ca="1">IF(AND('Planning Sheet'!CJ386='Weeks Plan'!$D$6,'Planning Sheet'!CD386='Weeks Plan'!$G$6),'Planning Sheet'!$CF386,"")</f>
        <v/>
      </c>
    </row>
    <row r="3346" spans="25:27" x14ac:dyDescent="0.3">
      <c r="Y3346" s="48" t="str">
        <f ca="1">IF(AND('Planning Sheet'!CJ387='Weeks Plan'!$D$6,'Planning Sheet'!CD387='Weeks Plan'!$G$6),'Planning Sheet'!$B387,"")</f>
        <v/>
      </c>
      <c r="Z3346" s="48" t="str">
        <f ca="1">IF(AND('Planning Sheet'!CJ387='Weeks Plan'!$D$6,'Planning Sheet'!CD387='Weeks Plan'!$G$6),'Planning Sheet'!$CE387,"")</f>
        <v/>
      </c>
      <c r="AA3346" s="48" t="str">
        <f ca="1">IF(AND('Planning Sheet'!CJ387='Weeks Plan'!$D$6,'Planning Sheet'!CD387='Weeks Plan'!$G$6),'Planning Sheet'!$CF387,"")</f>
        <v/>
      </c>
    </row>
    <row r="3347" spans="25:27" x14ac:dyDescent="0.3">
      <c r="Y3347" s="48" t="str">
        <f ca="1">IF(AND('Planning Sheet'!CJ388='Weeks Plan'!$D$6,'Planning Sheet'!CD388='Weeks Plan'!$G$6),'Planning Sheet'!$B388,"")</f>
        <v/>
      </c>
      <c r="Z3347" s="48" t="str">
        <f ca="1">IF(AND('Planning Sheet'!CJ388='Weeks Plan'!$D$6,'Planning Sheet'!CD388='Weeks Plan'!$G$6),'Planning Sheet'!$CE388,"")</f>
        <v/>
      </c>
      <c r="AA3347" s="48" t="str">
        <f ca="1">IF(AND('Planning Sheet'!CJ388='Weeks Plan'!$D$6,'Planning Sheet'!CD388='Weeks Plan'!$G$6),'Planning Sheet'!$CF388,"")</f>
        <v/>
      </c>
    </row>
    <row r="3348" spans="25:27" x14ac:dyDescent="0.3">
      <c r="Y3348" s="48" t="str">
        <f ca="1">IF(AND('Planning Sheet'!CJ389='Weeks Plan'!$D$6,'Planning Sheet'!CD389='Weeks Plan'!$G$6),'Planning Sheet'!$B389,"")</f>
        <v/>
      </c>
      <c r="Z3348" s="48" t="str">
        <f ca="1">IF(AND('Planning Sheet'!CJ389='Weeks Plan'!$D$6,'Planning Sheet'!CD389='Weeks Plan'!$G$6),'Planning Sheet'!$CE389,"")</f>
        <v/>
      </c>
      <c r="AA3348" s="48" t="str">
        <f ca="1">IF(AND('Planning Sheet'!CJ389='Weeks Plan'!$D$6,'Planning Sheet'!CD389='Weeks Plan'!$G$6),'Planning Sheet'!$CF389,"")</f>
        <v/>
      </c>
    </row>
    <row r="3349" spans="25:27" x14ac:dyDescent="0.3">
      <c r="Y3349" s="48" t="str">
        <f ca="1">IF(AND('Planning Sheet'!CJ390='Weeks Plan'!$D$6,'Planning Sheet'!CD390='Weeks Plan'!$G$6),'Planning Sheet'!$B390,"")</f>
        <v/>
      </c>
      <c r="Z3349" s="48" t="str">
        <f ca="1">IF(AND('Planning Sheet'!CJ390='Weeks Plan'!$D$6,'Planning Sheet'!CD390='Weeks Plan'!$G$6),'Planning Sheet'!$CE390,"")</f>
        <v/>
      </c>
      <c r="AA3349" s="48" t="str">
        <f ca="1">IF(AND('Planning Sheet'!CJ390='Weeks Plan'!$D$6,'Planning Sheet'!CD390='Weeks Plan'!$G$6),'Planning Sheet'!$CF390,"")</f>
        <v/>
      </c>
    </row>
    <row r="3350" spans="25:27" x14ac:dyDescent="0.3">
      <c r="Y3350" s="48" t="str">
        <f ca="1">IF(AND('Planning Sheet'!CJ391='Weeks Plan'!$D$6,'Planning Sheet'!CD391='Weeks Plan'!$G$6),'Planning Sheet'!$B391,"")</f>
        <v/>
      </c>
      <c r="Z3350" s="48" t="str">
        <f ca="1">IF(AND('Planning Sheet'!CJ391='Weeks Plan'!$D$6,'Planning Sheet'!CD391='Weeks Plan'!$G$6),'Planning Sheet'!$CE391,"")</f>
        <v/>
      </c>
      <c r="AA3350" s="48" t="str">
        <f ca="1">IF(AND('Planning Sheet'!CJ391='Weeks Plan'!$D$6,'Planning Sheet'!CD391='Weeks Plan'!$G$6),'Planning Sheet'!$CF391,"")</f>
        <v/>
      </c>
    </row>
    <row r="3351" spans="25:27" x14ac:dyDescent="0.3">
      <c r="Y3351" s="48" t="str">
        <f ca="1">IF(AND('Planning Sheet'!CJ392='Weeks Plan'!$D$6,'Planning Sheet'!CD392='Weeks Plan'!$G$6),'Planning Sheet'!$B392,"")</f>
        <v/>
      </c>
      <c r="Z3351" s="48" t="str">
        <f ca="1">IF(AND('Planning Sheet'!CJ392='Weeks Plan'!$D$6,'Planning Sheet'!CD392='Weeks Plan'!$G$6),'Planning Sheet'!$CE392,"")</f>
        <v/>
      </c>
      <c r="AA3351" s="48" t="str">
        <f ca="1">IF(AND('Planning Sheet'!CJ392='Weeks Plan'!$D$6,'Planning Sheet'!CD392='Weeks Plan'!$G$6),'Planning Sheet'!$CF392,"")</f>
        <v/>
      </c>
    </row>
    <row r="3352" spans="25:27" x14ac:dyDescent="0.3">
      <c r="Y3352" s="48" t="str">
        <f ca="1">IF(AND('Planning Sheet'!CJ393='Weeks Plan'!$D$6,'Planning Sheet'!CD393='Weeks Plan'!$G$6),'Planning Sheet'!$B393,"")</f>
        <v/>
      </c>
      <c r="Z3352" s="48" t="str">
        <f ca="1">IF(AND('Planning Sheet'!CJ393='Weeks Plan'!$D$6,'Planning Sheet'!CD393='Weeks Plan'!$G$6),'Planning Sheet'!$CE393,"")</f>
        <v/>
      </c>
      <c r="AA3352" s="48" t="str">
        <f ca="1">IF(AND('Planning Sheet'!CJ393='Weeks Plan'!$D$6,'Planning Sheet'!CD393='Weeks Plan'!$G$6),'Planning Sheet'!$CF393,"")</f>
        <v/>
      </c>
    </row>
    <row r="3353" spans="25:27" x14ac:dyDescent="0.3">
      <c r="Y3353" s="48" t="str">
        <f ca="1">IF(AND('Planning Sheet'!CJ394='Weeks Plan'!$D$6,'Planning Sheet'!CD394='Weeks Plan'!$G$6),'Planning Sheet'!$B394,"")</f>
        <v/>
      </c>
      <c r="Z3353" s="48" t="str">
        <f ca="1">IF(AND('Planning Sheet'!CJ394='Weeks Plan'!$D$6,'Planning Sheet'!CD394='Weeks Plan'!$G$6),'Planning Sheet'!$CE394,"")</f>
        <v/>
      </c>
      <c r="AA3353" s="48" t="str">
        <f ca="1">IF(AND('Planning Sheet'!CJ394='Weeks Plan'!$D$6,'Planning Sheet'!CD394='Weeks Plan'!$G$6),'Planning Sheet'!$CF394,"")</f>
        <v/>
      </c>
    </row>
    <row r="3354" spans="25:27" x14ac:dyDescent="0.3">
      <c r="Y3354" s="48" t="str">
        <f ca="1">IF(AND('Planning Sheet'!CJ395='Weeks Plan'!$D$6,'Planning Sheet'!CD395='Weeks Plan'!$G$6),'Planning Sheet'!$B395,"")</f>
        <v/>
      </c>
      <c r="Z3354" s="48" t="str">
        <f ca="1">IF(AND('Planning Sheet'!CJ395='Weeks Plan'!$D$6,'Planning Sheet'!CD395='Weeks Plan'!$G$6),'Planning Sheet'!$CE395,"")</f>
        <v/>
      </c>
      <c r="AA3354" s="48" t="str">
        <f ca="1">IF(AND('Planning Sheet'!CJ395='Weeks Plan'!$D$6,'Planning Sheet'!CD395='Weeks Plan'!$G$6),'Planning Sheet'!$CF395,"")</f>
        <v/>
      </c>
    </row>
    <row r="3355" spans="25:27" x14ac:dyDescent="0.3">
      <c r="Y3355" s="48" t="str">
        <f ca="1">IF(AND('Planning Sheet'!CJ396='Weeks Plan'!$D$6,'Planning Sheet'!CD396='Weeks Plan'!$G$6),'Planning Sheet'!$B396,"")</f>
        <v/>
      </c>
      <c r="Z3355" s="48" t="str">
        <f ca="1">IF(AND('Planning Sheet'!CJ396='Weeks Plan'!$D$6,'Planning Sheet'!CD396='Weeks Plan'!$G$6),'Planning Sheet'!$CE396,"")</f>
        <v/>
      </c>
      <c r="AA3355" s="48" t="str">
        <f ca="1">IF(AND('Planning Sheet'!CJ396='Weeks Plan'!$D$6,'Planning Sheet'!CD396='Weeks Plan'!$G$6),'Planning Sheet'!$CF396,"")</f>
        <v/>
      </c>
    </row>
    <row r="3356" spans="25:27" x14ac:dyDescent="0.3">
      <c r="Y3356" s="48" t="str">
        <f ca="1">IF(AND('Planning Sheet'!CJ397='Weeks Plan'!$D$6,'Planning Sheet'!CD397='Weeks Plan'!$G$6),'Planning Sheet'!$B397,"")</f>
        <v/>
      </c>
      <c r="Z3356" s="48" t="str">
        <f ca="1">IF(AND('Planning Sheet'!CJ397='Weeks Plan'!$D$6,'Planning Sheet'!CD397='Weeks Plan'!$G$6),'Planning Sheet'!$CE397,"")</f>
        <v/>
      </c>
      <c r="AA3356" s="48" t="str">
        <f ca="1">IF(AND('Planning Sheet'!CJ397='Weeks Plan'!$D$6,'Planning Sheet'!CD397='Weeks Plan'!$G$6),'Planning Sheet'!$CF397,"")</f>
        <v/>
      </c>
    </row>
    <row r="3357" spans="25:27" x14ac:dyDescent="0.3">
      <c r="Y3357" s="48" t="str">
        <f ca="1">IF(AND('Planning Sheet'!CJ398='Weeks Plan'!$D$6,'Planning Sheet'!CD398='Weeks Plan'!$G$6),'Planning Sheet'!$B398,"")</f>
        <v/>
      </c>
      <c r="Z3357" s="48" t="str">
        <f ca="1">IF(AND('Planning Sheet'!CJ398='Weeks Plan'!$D$6,'Planning Sheet'!CD398='Weeks Plan'!$G$6),'Planning Sheet'!$CE398,"")</f>
        <v/>
      </c>
      <c r="AA3357" s="48" t="str">
        <f ca="1">IF(AND('Planning Sheet'!CJ398='Weeks Plan'!$D$6,'Planning Sheet'!CD398='Weeks Plan'!$G$6),'Planning Sheet'!$CF398,"")</f>
        <v/>
      </c>
    </row>
    <row r="3358" spans="25:27" x14ac:dyDescent="0.3">
      <c r="Y3358" s="48" t="str">
        <f ca="1">IF(AND('Planning Sheet'!CJ399='Weeks Plan'!$D$6,'Planning Sheet'!CD399='Weeks Plan'!$G$6),'Planning Sheet'!$B399,"")</f>
        <v/>
      </c>
      <c r="Z3358" s="48" t="str">
        <f ca="1">IF(AND('Planning Sheet'!CJ399='Weeks Plan'!$D$6,'Planning Sheet'!CD399='Weeks Plan'!$G$6),'Planning Sheet'!$CE399,"")</f>
        <v/>
      </c>
      <c r="AA3358" s="48" t="str">
        <f ca="1">IF(AND('Planning Sheet'!CJ399='Weeks Plan'!$D$6,'Planning Sheet'!CD399='Weeks Plan'!$G$6),'Planning Sheet'!$CF399,"")</f>
        <v/>
      </c>
    </row>
    <row r="3359" spans="25:27" x14ac:dyDescent="0.3">
      <c r="Y3359" s="48" t="str">
        <f ca="1">IF(AND('Planning Sheet'!CJ400='Weeks Plan'!$D$6,'Planning Sheet'!CD400='Weeks Plan'!$G$6),'Planning Sheet'!$B400,"")</f>
        <v/>
      </c>
      <c r="Z3359" s="48" t="str">
        <f ca="1">IF(AND('Planning Sheet'!CJ400='Weeks Plan'!$D$6,'Planning Sheet'!CD400='Weeks Plan'!$G$6),'Planning Sheet'!$CE400,"")</f>
        <v/>
      </c>
      <c r="AA3359" s="48" t="str">
        <f ca="1">IF(AND('Planning Sheet'!CJ400='Weeks Plan'!$D$6,'Planning Sheet'!CD400='Weeks Plan'!$G$6),'Planning Sheet'!$CF400,"")</f>
        <v/>
      </c>
    </row>
    <row r="3360" spans="25:27" x14ac:dyDescent="0.3">
      <c r="Y3360" s="48" t="str">
        <f ca="1">IF(AND('Planning Sheet'!CJ401='Weeks Plan'!$D$6,'Planning Sheet'!CD401='Weeks Plan'!$G$6),'Planning Sheet'!$B401,"")</f>
        <v/>
      </c>
      <c r="Z3360" s="48" t="str">
        <f ca="1">IF(AND('Planning Sheet'!CJ401='Weeks Plan'!$D$6,'Planning Sheet'!CD401='Weeks Plan'!$G$6),'Planning Sheet'!$CE401,"")</f>
        <v/>
      </c>
      <c r="AA3360" s="48" t="str">
        <f ca="1">IF(AND('Planning Sheet'!CJ401='Weeks Plan'!$D$6,'Planning Sheet'!CD401='Weeks Plan'!$G$6),'Planning Sheet'!$CF401,"")</f>
        <v/>
      </c>
    </row>
    <row r="3361" spans="25:27" x14ac:dyDescent="0.3">
      <c r="Y3361" s="48" t="str">
        <f ca="1">IF(AND('Planning Sheet'!CJ402='Weeks Plan'!$D$6,'Planning Sheet'!CD402='Weeks Plan'!$G$6),'Planning Sheet'!$B402,"")</f>
        <v/>
      </c>
      <c r="Z3361" s="48" t="str">
        <f ca="1">IF(AND('Planning Sheet'!CJ402='Weeks Plan'!$D$6,'Planning Sheet'!CD402='Weeks Plan'!$G$6),'Planning Sheet'!$CE402,"")</f>
        <v/>
      </c>
      <c r="AA3361" s="48" t="str">
        <f ca="1">IF(AND('Planning Sheet'!CJ402='Weeks Plan'!$D$6,'Planning Sheet'!CD402='Weeks Plan'!$G$6),'Planning Sheet'!$CF402,"")</f>
        <v/>
      </c>
    </row>
    <row r="3362" spans="25:27" x14ac:dyDescent="0.3">
      <c r="Y3362" s="48" t="str">
        <f ca="1">IF(AND('Planning Sheet'!CJ403='Weeks Plan'!$D$6,'Planning Sheet'!CD403='Weeks Plan'!$G$6),'Planning Sheet'!$B403,"")</f>
        <v/>
      </c>
      <c r="Z3362" s="48" t="str">
        <f ca="1">IF(AND('Planning Sheet'!CJ403='Weeks Plan'!$D$6,'Planning Sheet'!CD403='Weeks Plan'!$G$6),'Planning Sheet'!$CE403,"")</f>
        <v/>
      </c>
      <c r="AA3362" s="48" t="str">
        <f ca="1">IF(AND('Planning Sheet'!CJ403='Weeks Plan'!$D$6,'Planning Sheet'!CD403='Weeks Plan'!$G$6),'Planning Sheet'!$CF403,"")</f>
        <v/>
      </c>
    </row>
    <row r="3363" spans="25:27" x14ac:dyDescent="0.3">
      <c r="Y3363" s="48" t="str">
        <f ca="1">IF(AND('Planning Sheet'!CJ404='Weeks Plan'!$D$6,'Planning Sheet'!CD404='Weeks Plan'!$G$6),'Planning Sheet'!$B404,"")</f>
        <v/>
      </c>
      <c r="Z3363" s="48" t="str">
        <f ca="1">IF(AND('Planning Sheet'!CJ404='Weeks Plan'!$D$6,'Planning Sheet'!CD404='Weeks Plan'!$G$6),'Planning Sheet'!$CE404,"")</f>
        <v/>
      </c>
      <c r="AA3363" s="48" t="str">
        <f ca="1">IF(AND('Planning Sheet'!CJ404='Weeks Plan'!$D$6,'Planning Sheet'!CD404='Weeks Plan'!$G$6),'Planning Sheet'!$CF404,"")</f>
        <v/>
      </c>
    </row>
    <row r="3364" spans="25:27" x14ac:dyDescent="0.3">
      <c r="Y3364" s="48" t="str">
        <f ca="1">IF(AND('Planning Sheet'!CJ405='Weeks Plan'!$D$6,'Planning Sheet'!CD405='Weeks Plan'!$G$6),'Planning Sheet'!$B405,"")</f>
        <v/>
      </c>
      <c r="Z3364" s="48" t="str">
        <f ca="1">IF(AND('Planning Sheet'!CJ405='Weeks Plan'!$D$6,'Planning Sheet'!CD405='Weeks Plan'!$G$6),'Planning Sheet'!$CE405,"")</f>
        <v/>
      </c>
      <c r="AA3364" s="48" t="str">
        <f ca="1">IF(AND('Planning Sheet'!CJ405='Weeks Plan'!$D$6,'Planning Sheet'!CD405='Weeks Plan'!$G$6),'Planning Sheet'!$CF405,"")</f>
        <v/>
      </c>
    </row>
    <row r="3365" spans="25:27" x14ac:dyDescent="0.3">
      <c r="Y3365" s="48" t="str">
        <f ca="1">IF(AND('Planning Sheet'!CJ406='Weeks Plan'!$D$6,'Planning Sheet'!CD406='Weeks Plan'!$G$6),'Planning Sheet'!$B406,"")</f>
        <v/>
      </c>
      <c r="Z3365" s="48" t="str">
        <f ca="1">IF(AND('Planning Sheet'!CJ406='Weeks Plan'!$D$6,'Planning Sheet'!CD406='Weeks Plan'!$G$6),'Planning Sheet'!$CE406,"")</f>
        <v/>
      </c>
      <c r="AA3365" s="48" t="str">
        <f ca="1">IF(AND('Planning Sheet'!CJ406='Weeks Plan'!$D$6,'Planning Sheet'!CD406='Weeks Plan'!$G$6),'Planning Sheet'!$CF406,"")</f>
        <v/>
      </c>
    </row>
    <row r="3366" spans="25:27" x14ac:dyDescent="0.3">
      <c r="Y3366" s="48" t="str">
        <f ca="1">IF(AND('Planning Sheet'!CJ407='Weeks Plan'!$D$6,'Planning Sheet'!CD407='Weeks Plan'!$G$6),'Planning Sheet'!$B407,"")</f>
        <v/>
      </c>
      <c r="Z3366" s="48" t="str">
        <f ca="1">IF(AND('Planning Sheet'!CJ407='Weeks Plan'!$D$6,'Planning Sheet'!CD407='Weeks Plan'!$G$6),'Planning Sheet'!$CE407,"")</f>
        <v/>
      </c>
      <c r="AA3366" s="48" t="str">
        <f ca="1">IF(AND('Planning Sheet'!CJ407='Weeks Plan'!$D$6,'Planning Sheet'!CD407='Weeks Plan'!$G$6),'Planning Sheet'!$CF407,"")</f>
        <v/>
      </c>
    </row>
    <row r="3367" spans="25:27" x14ac:dyDescent="0.3">
      <c r="Y3367" s="48" t="str">
        <f ca="1">IF(AND('Planning Sheet'!CJ408='Weeks Plan'!$D$6,'Planning Sheet'!CD408='Weeks Plan'!$G$6),'Planning Sheet'!$B408,"")</f>
        <v/>
      </c>
      <c r="Z3367" s="48" t="str">
        <f ca="1">IF(AND('Planning Sheet'!CJ408='Weeks Plan'!$D$6,'Planning Sheet'!CD408='Weeks Plan'!$G$6),'Planning Sheet'!$CE408,"")</f>
        <v/>
      </c>
      <c r="AA3367" s="48" t="str">
        <f ca="1">IF(AND('Planning Sheet'!CJ408='Weeks Plan'!$D$6,'Planning Sheet'!CD408='Weeks Plan'!$G$6),'Planning Sheet'!$CF408,"")</f>
        <v/>
      </c>
    </row>
    <row r="3368" spans="25:27" x14ac:dyDescent="0.3">
      <c r="Y3368" s="48" t="str">
        <f ca="1">IF(AND('Planning Sheet'!CJ409='Weeks Plan'!$D$6,'Planning Sheet'!CD409='Weeks Plan'!$G$6),'Planning Sheet'!$B409,"")</f>
        <v/>
      </c>
      <c r="Z3368" s="48" t="str">
        <f ca="1">IF(AND('Planning Sheet'!CJ409='Weeks Plan'!$D$6,'Planning Sheet'!CD409='Weeks Plan'!$G$6),'Planning Sheet'!$CE409,"")</f>
        <v/>
      </c>
      <c r="AA3368" s="48" t="str">
        <f ca="1">IF(AND('Planning Sheet'!CJ409='Weeks Plan'!$D$6,'Planning Sheet'!CD409='Weeks Plan'!$G$6),'Planning Sheet'!$CF409,"")</f>
        <v/>
      </c>
    </row>
    <row r="3369" spans="25:27" x14ac:dyDescent="0.3">
      <c r="Y3369" s="48" t="str">
        <f ca="1">IF(AND('Planning Sheet'!CJ410='Weeks Plan'!$D$6,'Planning Sheet'!CD410='Weeks Plan'!$G$6),'Planning Sheet'!$B410,"")</f>
        <v/>
      </c>
      <c r="Z3369" s="48" t="str">
        <f ca="1">IF(AND('Planning Sheet'!CJ410='Weeks Plan'!$D$6,'Planning Sheet'!CD410='Weeks Plan'!$G$6),'Planning Sheet'!$CE410,"")</f>
        <v/>
      </c>
      <c r="AA3369" s="48" t="str">
        <f ca="1">IF(AND('Planning Sheet'!CJ410='Weeks Plan'!$D$6,'Planning Sheet'!CD410='Weeks Plan'!$G$6),'Planning Sheet'!$CF410,"")</f>
        <v/>
      </c>
    </row>
    <row r="3370" spans="25:27" x14ac:dyDescent="0.3">
      <c r="Y3370" s="48" t="str">
        <f ca="1">IF(AND('Planning Sheet'!CJ411='Weeks Plan'!$D$6,'Planning Sheet'!CD411='Weeks Plan'!$G$6),'Planning Sheet'!$B411,"")</f>
        <v/>
      </c>
      <c r="Z3370" s="48" t="str">
        <f ca="1">IF(AND('Planning Sheet'!CJ411='Weeks Plan'!$D$6,'Planning Sheet'!CD411='Weeks Plan'!$G$6),'Planning Sheet'!$CE411,"")</f>
        <v/>
      </c>
      <c r="AA3370" s="48" t="str">
        <f ca="1">IF(AND('Planning Sheet'!CJ411='Weeks Plan'!$D$6,'Planning Sheet'!CD411='Weeks Plan'!$G$6),'Planning Sheet'!$CF411,"")</f>
        <v/>
      </c>
    </row>
    <row r="3371" spans="25:27" x14ac:dyDescent="0.3">
      <c r="Y3371" s="48" t="str">
        <f ca="1">IF(AND('Planning Sheet'!CJ412='Weeks Plan'!$D$6,'Planning Sheet'!CD412='Weeks Plan'!$G$6),'Planning Sheet'!$B412,"")</f>
        <v/>
      </c>
      <c r="Z3371" s="48" t="str">
        <f ca="1">IF(AND('Planning Sheet'!CJ412='Weeks Plan'!$D$6,'Planning Sheet'!CD412='Weeks Plan'!$G$6),'Planning Sheet'!$CE412,"")</f>
        <v/>
      </c>
      <c r="AA3371" s="48" t="str">
        <f ca="1">IF(AND('Planning Sheet'!CJ412='Weeks Plan'!$D$6,'Planning Sheet'!CD412='Weeks Plan'!$G$6),'Planning Sheet'!$CF412,"")</f>
        <v/>
      </c>
    </row>
    <row r="3372" spans="25:27" x14ac:dyDescent="0.3">
      <c r="Y3372" s="48" t="str">
        <f ca="1">IF(AND('Planning Sheet'!CJ413='Weeks Plan'!$D$6,'Planning Sheet'!CD413='Weeks Plan'!$G$6),'Planning Sheet'!$B413,"")</f>
        <v/>
      </c>
      <c r="Z3372" s="48" t="str">
        <f ca="1">IF(AND('Planning Sheet'!CJ413='Weeks Plan'!$D$6,'Planning Sheet'!CD413='Weeks Plan'!$G$6),'Planning Sheet'!$CE413,"")</f>
        <v/>
      </c>
      <c r="AA3372" s="48" t="str">
        <f ca="1">IF(AND('Planning Sheet'!CJ413='Weeks Plan'!$D$6,'Planning Sheet'!CD413='Weeks Plan'!$G$6),'Planning Sheet'!$CF413,"")</f>
        <v/>
      </c>
    </row>
    <row r="3373" spans="25:27" x14ac:dyDescent="0.3">
      <c r="Y3373" s="48" t="str">
        <f ca="1">IF(AND('Planning Sheet'!CJ414='Weeks Plan'!$D$6,'Planning Sheet'!CD414='Weeks Plan'!$G$6),'Planning Sheet'!$B414,"")</f>
        <v/>
      </c>
      <c r="Z3373" s="48" t="str">
        <f ca="1">IF(AND('Planning Sheet'!CJ414='Weeks Plan'!$D$6,'Planning Sheet'!CD414='Weeks Plan'!$G$6),'Planning Sheet'!$CE414,"")</f>
        <v/>
      </c>
      <c r="AA3373" s="48" t="str">
        <f ca="1">IF(AND('Planning Sheet'!CJ414='Weeks Plan'!$D$6,'Planning Sheet'!CD414='Weeks Plan'!$G$6),'Planning Sheet'!$CF414,"")</f>
        <v/>
      </c>
    </row>
    <row r="3374" spans="25:27" x14ac:dyDescent="0.3">
      <c r="Y3374" s="48" t="str">
        <f ca="1">IF(AND('Planning Sheet'!CJ415='Weeks Plan'!$D$6,'Planning Sheet'!CD415='Weeks Plan'!$G$6),'Planning Sheet'!$B415,"")</f>
        <v/>
      </c>
      <c r="Z3374" s="48" t="str">
        <f ca="1">IF(AND('Planning Sheet'!CJ415='Weeks Plan'!$D$6,'Planning Sheet'!CD415='Weeks Plan'!$G$6),'Planning Sheet'!$CE415,"")</f>
        <v/>
      </c>
      <c r="AA3374" s="48" t="str">
        <f ca="1">IF(AND('Planning Sheet'!CJ415='Weeks Plan'!$D$6,'Planning Sheet'!CD415='Weeks Plan'!$G$6),'Planning Sheet'!$CF415,"")</f>
        <v/>
      </c>
    </row>
    <row r="3375" spans="25:27" x14ac:dyDescent="0.3">
      <c r="Y3375" s="48" t="str">
        <f ca="1">IF(AND('Planning Sheet'!CJ416='Weeks Plan'!$D$6,'Planning Sheet'!CD416='Weeks Plan'!$G$6),'Planning Sheet'!$B416,"")</f>
        <v/>
      </c>
      <c r="Z3375" s="48" t="str">
        <f ca="1">IF(AND('Planning Sheet'!CJ416='Weeks Plan'!$D$6,'Planning Sheet'!CD416='Weeks Plan'!$G$6),'Planning Sheet'!$CE416,"")</f>
        <v/>
      </c>
      <c r="AA3375" s="48" t="str">
        <f ca="1">IF(AND('Planning Sheet'!CJ416='Weeks Plan'!$D$6,'Planning Sheet'!CD416='Weeks Plan'!$G$6),'Planning Sheet'!$CF416,"")</f>
        <v/>
      </c>
    </row>
    <row r="3376" spans="25:27" x14ac:dyDescent="0.3">
      <c r="Y3376" s="48" t="str">
        <f ca="1">IF(AND('Planning Sheet'!CJ417='Weeks Plan'!$D$6,'Planning Sheet'!CD417='Weeks Plan'!$G$6),'Planning Sheet'!$B417,"")</f>
        <v/>
      </c>
      <c r="Z3376" s="48" t="str">
        <f ca="1">IF(AND('Planning Sheet'!CJ417='Weeks Plan'!$D$6,'Planning Sheet'!CD417='Weeks Plan'!$G$6),'Planning Sheet'!$CE417,"")</f>
        <v/>
      </c>
      <c r="AA3376" s="48" t="str">
        <f ca="1">IF(AND('Planning Sheet'!CJ417='Weeks Plan'!$D$6,'Planning Sheet'!CD417='Weeks Plan'!$G$6),'Planning Sheet'!$CF417,"")</f>
        <v/>
      </c>
    </row>
    <row r="3377" spans="25:27" x14ac:dyDescent="0.3">
      <c r="Y3377" s="48" t="str">
        <f ca="1">IF(AND('Planning Sheet'!CJ418='Weeks Plan'!$D$6,'Planning Sheet'!CD418='Weeks Plan'!$G$6),'Planning Sheet'!$B418,"")</f>
        <v/>
      </c>
      <c r="Z3377" s="48" t="str">
        <f ca="1">IF(AND('Planning Sheet'!CJ418='Weeks Plan'!$D$6,'Planning Sheet'!CD418='Weeks Plan'!$G$6),'Planning Sheet'!$CE418,"")</f>
        <v/>
      </c>
      <c r="AA3377" s="48" t="str">
        <f ca="1">IF(AND('Planning Sheet'!CJ418='Weeks Plan'!$D$6,'Planning Sheet'!CD418='Weeks Plan'!$G$6),'Planning Sheet'!$CF418,"")</f>
        <v/>
      </c>
    </row>
    <row r="3378" spans="25:27" x14ac:dyDescent="0.3">
      <c r="Y3378" s="48" t="str">
        <f ca="1">IF(AND('Planning Sheet'!CJ419='Weeks Plan'!$D$6,'Planning Sheet'!CD419='Weeks Plan'!$G$6),'Planning Sheet'!$B419,"")</f>
        <v/>
      </c>
      <c r="Z3378" s="48" t="str">
        <f ca="1">IF(AND('Planning Sheet'!CJ419='Weeks Plan'!$D$6,'Planning Sheet'!CD419='Weeks Plan'!$G$6),'Planning Sheet'!$CE419,"")</f>
        <v/>
      </c>
      <c r="AA3378" s="48" t="str">
        <f ca="1">IF(AND('Planning Sheet'!CJ419='Weeks Plan'!$D$6,'Planning Sheet'!CD419='Weeks Plan'!$G$6),'Planning Sheet'!$CF419,"")</f>
        <v/>
      </c>
    </row>
    <row r="3379" spans="25:27" x14ac:dyDescent="0.3">
      <c r="Y3379" s="48" t="str">
        <f ca="1">IF(AND('Planning Sheet'!CJ420='Weeks Plan'!$D$6,'Planning Sheet'!CD420='Weeks Plan'!$G$6),'Planning Sheet'!$B420,"")</f>
        <v/>
      </c>
      <c r="Z3379" s="48" t="str">
        <f ca="1">IF(AND('Planning Sheet'!CJ420='Weeks Plan'!$D$6,'Planning Sheet'!CD420='Weeks Plan'!$G$6),'Planning Sheet'!$CE420,"")</f>
        <v/>
      </c>
      <c r="AA3379" s="48" t="str">
        <f ca="1">IF(AND('Planning Sheet'!CJ420='Weeks Plan'!$D$6,'Planning Sheet'!CD420='Weeks Plan'!$G$6),'Planning Sheet'!$CF420,"")</f>
        <v/>
      </c>
    </row>
    <row r="3380" spans="25:27" x14ac:dyDescent="0.3">
      <c r="Y3380" s="48" t="str">
        <f ca="1">IF(AND('Planning Sheet'!CJ421='Weeks Plan'!$D$6,'Planning Sheet'!CD421='Weeks Plan'!$G$6),'Planning Sheet'!$B421,"")</f>
        <v/>
      </c>
      <c r="Z3380" s="48" t="str">
        <f ca="1">IF(AND('Planning Sheet'!CJ421='Weeks Plan'!$D$6,'Planning Sheet'!CD421='Weeks Plan'!$G$6),'Planning Sheet'!$CE421,"")</f>
        <v/>
      </c>
      <c r="AA3380" s="48" t="str">
        <f ca="1">IF(AND('Planning Sheet'!CJ421='Weeks Plan'!$D$6,'Planning Sheet'!CD421='Weeks Plan'!$G$6),'Planning Sheet'!$CF421,"")</f>
        <v/>
      </c>
    </row>
    <row r="3381" spans="25:27" x14ac:dyDescent="0.3">
      <c r="Y3381" s="48" t="str">
        <f ca="1">IF(AND('Planning Sheet'!CJ422='Weeks Plan'!$D$6,'Planning Sheet'!CD422='Weeks Plan'!$G$6),'Planning Sheet'!$B422,"")</f>
        <v/>
      </c>
      <c r="Z3381" s="48" t="str">
        <f ca="1">IF(AND('Planning Sheet'!CJ422='Weeks Plan'!$D$6,'Planning Sheet'!CD422='Weeks Plan'!$G$6),'Planning Sheet'!$CE422,"")</f>
        <v/>
      </c>
      <c r="AA3381" s="48" t="str">
        <f ca="1">IF(AND('Planning Sheet'!CJ422='Weeks Plan'!$D$6,'Planning Sheet'!CD422='Weeks Plan'!$G$6),'Planning Sheet'!$CF422,"")</f>
        <v/>
      </c>
    </row>
    <row r="3382" spans="25:27" x14ac:dyDescent="0.3">
      <c r="Y3382" s="48" t="str">
        <f ca="1">IF(AND('Planning Sheet'!CJ423='Weeks Plan'!$D$6,'Planning Sheet'!CD423='Weeks Plan'!$G$6),'Planning Sheet'!$B423,"")</f>
        <v/>
      </c>
      <c r="Z3382" s="48" t="str">
        <f ca="1">IF(AND('Planning Sheet'!CJ423='Weeks Plan'!$D$6,'Planning Sheet'!CD423='Weeks Plan'!$G$6),'Planning Sheet'!$CE423,"")</f>
        <v/>
      </c>
      <c r="AA3382" s="48" t="str">
        <f ca="1">IF(AND('Planning Sheet'!CJ423='Weeks Plan'!$D$6,'Planning Sheet'!CD423='Weeks Plan'!$G$6),'Planning Sheet'!$CF423,"")</f>
        <v/>
      </c>
    </row>
    <row r="3383" spans="25:27" x14ac:dyDescent="0.3">
      <c r="Y3383" s="48" t="str">
        <f ca="1">IF(AND('Planning Sheet'!CJ424='Weeks Plan'!$D$6,'Planning Sheet'!CD424='Weeks Plan'!$G$6),'Planning Sheet'!$B424,"")</f>
        <v/>
      </c>
      <c r="Z3383" s="48" t="str">
        <f ca="1">IF(AND('Planning Sheet'!CJ424='Weeks Plan'!$D$6,'Planning Sheet'!CD424='Weeks Plan'!$G$6),'Planning Sheet'!$CE424,"")</f>
        <v/>
      </c>
      <c r="AA3383" s="48" t="str">
        <f ca="1">IF(AND('Planning Sheet'!CJ424='Weeks Plan'!$D$6,'Planning Sheet'!CD424='Weeks Plan'!$G$6),'Planning Sheet'!$CF424,"")</f>
        <v/>
      </c>
    </row>
    <row r="3384" spans="25:27" x14ac:dyDescent="0.3">
      <c r="Y3384" s="48" t="str">
        <f ca="1">IF(AND('Planning Sheet'!CJ425='Weeks Plan'!$D$6,'Planning Sheet'!CD425='Weeks Plan'!$G$6),'Planning Sheet'!$B425,"")</f>
        <v/>
      </c>
      <c r="Z3384" s="48" t="str">
        <f ca="1">IF(AND('Planning Sheet'!CJ425='Weeks Plan'!$D$6,'Planning Sheet'!CD425='Weeks Plan'!$G$6),'Planning Sheet'!$CE425,"")</f>
        <v/>
      </c>
      <c r="AA3384" s="48" t="str">
        <f ca="1">IF(AND('Planning Sheet'!CJ425='Weeks Plan'!$D$6,'Planning Sheet'!CD425='Weeks Plan'!$G$6),'Planning Sheet'!$CF425,"")</f>
        <v/>
      </c>
    </row>
    <row r="3385" spans="25:27" x14ac:dyDescent="0.3">
      <c r="Y3385" s="48" t="str">
        <f ca="1">IF(AND('Planning Sheet'!CJ426='Weeks Plan'!$D$6,'Planning Sheet'!CD426='Weeks Plan'!$G$6),'Planning Sheet'!$B426,"")</f>
        <v/>
      </c>
      <c r="Z3385" s="48" t="str">
        <f ca="1">IF(AND('Planning Sheet'!CJ426='Weeks Plan'!$D$6,'Planning Sheet'!CD426='Weeks Plan'!$G$6),'Planning Sheet'!$CE426,"")</f>
        <v/>
      </c>
      <c r="AA3385" s="48" t="str">
        <f ca="1">IF(AND('Planning Sheet'!CJ426='Weeks Plan'!$D$6,'Planning Sheet'!CD426='Weeks Plan'!$G$6),'Planning Sheet'!$CF426,"")</f>
        <v/>
      </c>
    </row>
    <row r="3386" spans="25:27" x14ac:dyDescent="0.3">
      <c r="Y3386" s="48" t="str">
        <f ca="1">IF(AND('Planning Sheet'!CJ427='Weeks Plan'!$D$6,'Planning Sheet'!CD427='Weeks Plan'!$G$6),'Planning Sheet'!$B427,"")</f>
        <v/>
      </c>
      <c r="Z3386" s="48" t="str">
        <f ca="1">IF(AND('Planning Sheet'!CJ427='Weeks Plan'!$D$6,'Planning Sheet'!CD427='Weeks Plan'!$G$6),'Planning Sheet'!$CE427,"")</f>
        <v/>
      </c>
      <c r="AA3386" s="48" t="str">
        <f ca="1">IF(AND('Planning Sheet'!CJ427='Weeks Plan'!$D$6,'Planning Sheet'!CD427='Weeks Plan'!$G$6),'Planning Sheet'!$CF427,"")</f>
        <v/>
      </c>
    </row>
    <row r="3387" spans="25:27" x14ac:dyDescent="0.3">
      <c r="Y3387" s="48" t="str">
        <f ca="1">IF(AND('Planning Sheet'!CJ428='Weeks Plan'!$D$6,'Planning Sheet'!CD428='Weeks Plan'!$G$6),'Planning Sheet'!$B428,"")</f>
        <v/>
      </c>
      <c r="Z3387" s="48" t="str">
        <f ca="1">IF(AND('Planning Sheet'!CJ428='Weeks Plan'!$D$6,'Planning Sheet'!CD428='Weeks Plan'!$G$6),'Planning Sheet'!$CE428,"")</f>
        <v/>
      </c>
      <c r="AA3387" s="48" t="str">
        <f ca="1">IF(AND('Planning Sheet'!CJ428='Weeks Plan'!$D$6,'Planning Sheet'!CD428='Weeks Plan'!$G$6),'Planning Sheet'!$CF428,"")</f>
        <v/>
      </c>
    </row>
    <row r="3388" spans="25:27" x14ac:dyDescent="0.3">
      <c r="Y3388" s="48" t="str">
        <f ca="1">IF(AND('Planning Sheet'!CJ429='Weeks Plan'!$D$6,'Planning Sheet'!CD429='Weeks Plan'!$G$6),'Planning Sheet'!$B429,"")</f>
        <v/>
      </c>
      <c r="Z3388" s="48" t="str">
        <f ca="1">IF(AND('Planning Sheet'!CJ429='Weeks Plan'!$D$6,'Planning Sheet'!CD429='Weeks Plan'!$G$6),'Planning Sheet'!$CE429,"")</f>
        <v/>
      </c>
      <c r="AA3388" s="48" t="str">
        <f ca="1">IF(AND('Planning Sheet'!CJ429='Weeks Plan'!$D$6,'Planning Sheet'!CD429='Weeks Plan'!$G$6),'Planning Sheet'!$CF429,"")</f>
        <v/>
      </c>
    </row>
    <row r="3389" spans="25:27" x14ac:dyDescent="0.3">
      <c r="Y3389" s="48" t="str">
        <f ca="1">IF(AND('Planning Sheet'!CJ430='Weeks Plan'!$D$6,'Planning Sheet'!CD430='Weeks Plan'!$G$6),'Planning Sheet'!$B430,"")</f>
        <v/>
      </c>
      <c r="Z3389" s="48" t="str">
        <f ca="1">IF(AND('Planning Sheet'!CJ430='Weeks Plan'!$D$6,'Planning Sheet'!CD430='Weeks Plan'!$G$6),'Planning Sheet'!$CE430,"")</f>
        <v/>
      </c>
      <c r="AA3389" s="48" t="str">
        <f ca="1">IF(AND('Planning Sheet'!CJ430='Weeks Plan'!$D$6,'Planning Sheet'!CD430='Weeks Plan'!$G$6),'Planning Sheet'!$CF430,"")</f>
        <v/>
      </c>
    </row>
    <row r="3390" spans="25:27" x14ac:dyDescent="0.3">
      <c r="Y3390" s="48" t="str">
        <f ca="1">IF(AND('Planning Sheet'!CJ431='Weeks Plan'!$D$6,'Planning Sheet'!CD431='Weeks Plan'!$G$6),'Planning Sheet'!$B431,"")</f>
        <v/>
      </c>
      <c r="Z3390" s="48" t="str">
        <f ca="1">IF(AND('Planning Sheet'!CJ431='Weeks Plan'!$D$6,'Planning Sheet'!CD431='Weeks Plan'!$G$6),'Planning Sheet'!$CE431,"")</f>
        <v/>
      </c>
      <c r="AA3390" s="48" t="str">
        <f ca="1">IF(AND('Planning Sheet'!CJ431='Weeks Plan'!$D$6,'Planning Sheet'!CD431='Weeks Plan'!$G$6),'Planning Sheet'!$CF431,"")</f>
        <v/>
      </c>
    </row>
    <row r="3391" spans="25:27" x14ac:dyDescent="0.3">
      <c r="Y3391" s="48" t="str">
        <f ca="1">IF(AND('Planning Sheet'!CJ432='Weeks Plan'!$D$6,'Planning Sheet'!CD432='Weeks Plan'!$G$6),'Planning Sheet'!$B432,"")</f>
        <v/>
      </c>
      <c r="Z3391" s="48" t="str">
        <f ca="1">IF(AND('Planning Sheet'!CJ432='Weeks Plan'!$D$6,'Planning Sheet'!CD432='Weeks Plan'!$G$6),'Planning Sheet'!$CE432,"")</f>
        <v/>
      </c>
      <c r="AA3391" s="48" t="str">
        <f ca="1">IF(AND('Planning Sheet'!CJ432='Weeks Plan'!$D$6,'Planning Sheet'!CD432='Weeks Plan'!$G$6),'Planning Sheet'!$CF432,"")</f>
        <v/>
      </c>
    </row>
    <row r="3392" spans="25:27" x14ac:dyDescent="0.3">
      <c r="Y3392" s="48" t="str">
        <f ca="1">IF(AND('Planning Sheet'!CJ433='Weeks Plan'!$D$6,'Planning Sheet'!CD433='Weeks Plan'!$G$6),'Planning Sheet'!$B433,"")</f>
        <v/>
      </c>
      <c r="Z3392" s="48" t="str">
        <f ca="1">IF(AND('Planning Sheet'!CJ433='Weeks Plan'!$D$6,'Planning Sheet'!CD433='Weeks Plan'!$G$6),'Planning Sheet'!$CE433,"")</f>
        <v/>
      </c>
      <c r="AA3392" s="48" t="str">
        <f ca="1">IF(AND('Planning Sheet'!CJ433='Weeks Plan'!$D$6,'Planning Sheet'!CD433='Weeks Plan'!$G$6),'Planning Sheet'!$CF433,"")</f>
        <v/>
      </c>
    </row>
    <row r="3393" spans="25:27" x14ac:dyDescent="0.3">
      <c r="Y3393" s="48" t="str">
        <f ca="1">IF(AND('Planning Sheet'!CJ434='Weeks Plan'!$D$6,'Planning Sheet'!CD434='Weeks Plan'!$G$6),'Planning Sheet'!$B434,"")</f>
        <v/>
      </c>
      <c r="Z3393" s="48" t="str">
        <f ca="1">IF(AND('Planning Sheet'!CJ434='Weeks Plan'!$D$6,'Planning Sheet'!CD434='Weeks Plan'!$G$6),'Planning Sheet'!$CE434,"")</f>
        <v/>
      </c>
      <c r="AA3393" s="48" t="str">
        <f ca="1">IF(AND('Planning Sheet'!CJ434='Weeks Plan'!$D$6,'Planning Sheet'!CD434='Weeks Plan'!$G$6),'Planning Sheet'!$CF434,"")</f>
        <v/>
      </c>
    </row>
    <row r="3394" spans="25:27" x14ac:dyDescent="0.3">
      <c r="Y3394" s="48" t="str">
        <f ca="1">IF(AND('Planning Sheet'!CJ435='Weeks Plan'!$D$6,'Planning Sheet'!CD435='Weeks Plan'!$G$6),'Planning Sheet'!$B435,"")</f>
        <v/>
      </c>
      <c r="Z3394" s="48" t="str">
        <f ca="1">IF(AND('Planning Sheet'!CJ435='Weeks Plan'!$D$6,'Planning Sheet'!CD435='Weeks Plan'!$G$6),'Planning Sheet'!$CE435,"")</f>
        <v/>
      </c>
      <c r="AA3394" s="48" t="str">
        <f ca="1">IF(AND('Planning Sheet'!CJ435='Weeks Plan'!$D$6,'Planning Sheet'!CD435='Weeks Plan'!$G$6),'Planning Sheet'!$CF435,"")</f>
        <v/>
      </c>
    </row>
    <row r="3395" spans="25:27" x14ac:dyDescent="0.3">
      <c r="Y3395" s="48" t="str">
        <f ca="1">IF(AND('Planning Sheet'!CJ436='Weeks Plan'!$D$6,'Planning Sheet'!CD436='Weeks Plan'!$G$6),'Planning Sheet'!$B436,"")</f>
        <v/>
      </c>
      <c r="Z3395" s="48" t="str">
        <f ca="1">IF(AND('Planning Sheet'!CJ436='Weeks Plan'!$D$6,'Planning Sheet'!CD436='Weeks Plan'!$G$6),'Planning Sheet'!$CE436,"")</f>
        <v/>
      </c>
      <c r="AA3395" s="48" t="str">
        <f ca="1">IF(AND('Planning Sheet'!CJ436='Weeks Plan'!$D$6,'Planning Sheet'!CD436='Weeks Plan'!$G$6),'Planning Sheet'!$CF436,"")</f>
        <v/>
      </c>
    </row>
    <row r="3396" spans="25:27" x14ac:dyDescent="0.3">
      <c r="Y3396" s="48" t="str">
        <f ca="1">IF(AND('Planning Sheet'!CJ437='Weeks Plan'!$D$6,'Planning Sheet'!CD437='Weeks Plan'!$G$6),'Planning Sheet'!$B437,"")</f>
        <v/>
      </c>
      <c r="Z3396" s="48" t="str">
        <f ca="1">IF(AND('Planning Sheet'!CJ437='Weeks Plan'!$D$6,'Planning Sheet'!CD437='Weeks Plan'!$G$6),'Planning Sheet'!$CE437,"")</f>
        <v/>
      </c>
      <c r="AA3396" s="48" t="str">
        <f ca="1">IF(AND('Planning Sheet'!CJ437='Weeks Plan'!$D$6,'Planning Sheet'!CD437='Weeks Plan'!$G$6),'Planning Sheet'!$CF437,"")</f>
        <v/>
      </c>
    </row>
    <row r="3397" spans="25:27" x14ac:dyDescent="0.3">
      <c r="Y3397" s="48" t="str">
        <f ca="1">IF(AND('Planning Sheet'!CJ438='Weeks Plan'!$D$6,'Planning Sheet'!CD438='Weeks Plan'!$G$6),'Planning Sheet'!$B438,"")</f>
        <v/>
      </c>
      <c r="Z3397" s="48" t="str">
        <f ca="1">IF(AND('Planning Sheet'!CJ438='Weeks Plan'!$D$6,'Planning Sheet'!CD438='Weeks Plan'!$G$6),'Planning Sheet'!$CE438,"")</f>
        <v/>
      </c>
      <c r="AA3397" s="48" t="str">
        <f ca="1">IF(AND('Planning Sheet'!CJ438='Weeks Plan'!$D$6,'Planning Sheet'!CD438='Weeks Plan'!$G$6),'Planning Sheet'!$CF438,"")</f>
        <v/>
      </c>
    </row>
    <row r="3398" spans="25:27" x14ac:dyDescent="0.3">
      <c r="Y3398" s="48" t="str">
        <f ca="1">IF(AND('Planning Sheet'!CJ439='Weeks Plan'!$D$6,'Planning Sheet'!CD439='Weeks Plan'!$G$6),'Planning Sheet'!$B439,"")</f>
        <v/>
      </c>
      <c r="Z3398" s="48" t="str">
        <f ca="1">IF(AND('Planning Sheet'!CJ439='Weeks Plan'!$D$6,'Planning Sheet'!CD439='Weeks Plan'!$G$6),'Planning Sheet'!$CE439,"")</f>
        <v/>
      </c>
      <c r="AA3398" s="48" t="str">
        <f ca="1">IF(AND('Planning Sheet'!CJ439='Weeks Plan'!$D$6,'Planning Sheet'!CD439='Weeks Plan'!$G$6),'Planning Sheet'!$CF439,"")</f>
        <v/>
      </c>
    </row>
    <row r="3399" spans="25:27" x14ac:dyDescent="0.3">
      <c r="Y3399" s="48" t="str">
        <f ca="1">IF(AND('Planning Sheet'!CJ440='Weeks Plan'!$D$6,'Planning Sheet'!CD440='Weeks Plan'!$G$6),'Planning Sheet'!$B440,"")</f>
        <v/>
      </c>
      <c r="Z3399" s="48" t="str">
        <f ca="1">IF(AND('Planning Sheet'!CJ440='Weeks Plan'!$D$6,'Planning Sheet'!CD440='Weeks Plan'!$G$6),'Planning Sheet'!$CE440,"")</f>
        <v/>
      </c>
      <c r="AA3399" s="48" t="str">
        <f ca="1">IF(AND('Planning Sheet'!CJ440='Weeks Plan'!$D$6,'Planning Sheet'!CD440='Weeks Plan'!$G$6),'Planning Sheet'!$CF440,"")</f>
        <v/>
      </c>
    </row>
    <row r="3400" spans="25:27" x14ac:dyDescent="0.3">
      <c r="Y3400" s="48" t="str">
        <f ca="1">IF(AND('Planning Sheet'!CJ441='Weeks Plan'!$D$6,'Planning Sheet'!CD441='Weeks Plan'!$G$6),'Planning Sheet'!$B441,"")</f>
        <v/>
      </c>
      <c r="Z3400" s="48" t="str">
        <f ca="1">IF(AND('Planning Sheet'!CJ441='Weeks Plan'!$D$6,'Planning Sheet'!CD441='Weeks Plan'!$G$6),'Planning Sheet'!$CE441,"")</f>
        <v/>
      </c>
      <c r="AA3400" s="48" t="str">
        <f ca="1">IF(AND('Planning Sheet'!CJ441='Weeks Plan'!$D$6,'Planning Sheet'!CD441='Weeks Plan'!$G$6),'Planning Sheet'!$CF441,"")</f>
        <v/>
      </c>
    </row>
    <row r="3401" spans="25:27" x14ac:dyDescent="0.3">
      <c r="Y3401" s="48" t="str">
        <f ca="1">IF(AND('Planning Sheet'!CJ442='Weeks Plan'!$D$6,'Planning Sheet'!CD442='Weeks Plan'!$G$6),'Planning Sheet'!$B442,"")</f>
        <v/>
      </c>
      <c r="Z3401" s="48" t="str">
        <f ca="1">IF(AND('Planning Sheet'!CJ442='Weeks Plan'!$D$6,'Planning Sheet'!CD442='Weeks Plan'!$G$6),'Planning Sheet'!$CE442,"")</f>
        <v/>
      </c>
      <c r="AA3401" s="48" t="str">
        <f ca="1">IF(AND('Planning Sheet'!CJ442='Weeks Plan'!$D$6,'Planning Sheet'!CD442='Weeks Plan'!$G$6),'Planning Sheet'!$CF442,"")</f>
        <v/>
      </c>
    </row>
    <row r="3402" spans="25:27" x14ac:dyDescent="0.3">
      <c r="Y3402" s="48" t="str">
        <f ca="1">IF(AND('Planning Sheet'!CJ443='Weeks Plan'!$D$6,'Planning Sheet'!CD443='Weeks Plan'!$G$6),'Planning Sheet'!$B443,"")</f>
        <v/>
      </c>
      <c r="Z3402" s="48" t="str">
        <f ca="1">IF(AND('Planning Sheet'!CJ443='Weeks Plan'!$D$6,'Planning Sheet'!CD443='Weeks Plan'!$G$6),'Planning Sheet'!$CE443,"")</f>
        <v/>
      </c>
      <c r="AA3402" s="48" t="str">
        <f ca="1">IF(AND('Planning Sheet'!CJ443='Weeks Plan'!$D$6,'Planning Sheet'!CD443='Weeks Plan'!$G$6),'Planning Sheet'!$CF443,"")</f>
        <v/>
      </c>
    </row>
    <row r="3403" spans="25:27" x14ac:dyDescent="0.3">
      <c r="Y3403" s="48" t="str">
        <f ca="1">IF(AND('Planning Sheet'!CJ444='Weeks Plan'!$D$6,'Planning Sheet'!CD444='Weeks Plan'!$G$6),'Planning Sheet'!$B444,"")</f>
        <v/>
      </c>
      <c r="Z3403" s="48" t="str">
        <f ca="1">IF(AND('Planning Sheet'!CJ444='Weeks Plan'!$D$6,'Planning Sheet'!CD444='Weeks Plan'!$G$6),'Planning Sheet'!$CE444,"")</f>
        <v/>
      </c>
      <c r="AA3403" s="48" t="str">
        <f ca="1">IF(AND('Planning Sheet'!CJ444='Weeks Plan'!$D$6,'Planning Sheet'!CD444='Weeks Plan'!$G$6),'Planning Sheet'!$CF444,"")</f>
        <v/>
      </c>
    </row>
    <row r="3404" spans="25:27" x14ac:dyDescent="0.3">
      <c r="Y3404" s="48" t="str">
        <f ca="1">IF(AND('Planning Sheet'!CJ445='Weeks Plan'!$D$6,'Planning Sheet'!CD445='Weeks Plan'!$G$6),'Planning Sheet'!$B445,"")</f>
        <v/>
      </c>
      <c r="Z3404" s="48" t="str">
        <f ca="1">IF(AND('Planning Sheet'!CJ445='Weeks Plan'!$D$6,'Planning Sheet'!CD445='Weeks Plan'!$G$6),'Planning Sheet'!$CE445,"")</f>
        <v/>
      </c>
      <c r="AA3404" s="48" t="str">
        <f ca="1">IF(AND('Planning Sheet'!CJ445='Weeks Plan'!$D$6,'Planning Sheet'!CD445='Weeks Plan'!$G$6),'Planning Sheet'!$CF445,"")</f>
        <v/>
      </c>
    </row>
    <row r="3405" spans="25:27" x14ac:dyDescent="0.3">
      <c r="Y3405" s="48" t="str">
        <f ca="1">IF(AND('Planning Sheet'!CJ446='Weeks Plan'!$D$6,'Planning Sheet'!CD446='Weeks Plan'!$G$6),'Planning Sheet'!$B446,"")</f>
        <v/>
      </c>
      <c r="Z3405" s="48" t="str">
        <f ca="1">IF(AND('Planning Sheet'!CJ446='Weeks Plan'!$D$6,'Planning Sheet'!CD446='Weeks Plan'!$G$6),'Planning Sheet'!$CE446,"")</f>
        <v/>
      </c>
      <c r="AA3405" s="48" t="str">
        <f ca="1">IF(AND('Planning Sheet'!CJ446='Weeks Plan'!$D$6,'Planning Sheet'!CD446='Weeks Plan'!$G$6),'Planning Sheet'!$CF446,"")</f>
        <v/>
      </c>
    </row>
    <row r="3406" spans="25:27" x14ac:dyDescent="0.3">
      <c r="Y3406" s="48" t="str">
        <f ca="1">IF(AND('Planning Sheet'!CJ447='Weeks Plan'!$D$6,'Planning Sheet'!CD447='Weeks Plan'!$G$6),'Planning Sheet'!$B447,"")</f>
        <v/>
      </c>
      <c r="Z3406" s="48" t="str">
        <f ca="1">IF(AND('Planning Sheet'!CJ447='Weeks Plan'!$D$6,'Planning Sheet'!CD447='Weeks Plan'!$G$6),'Planning Sheet'!$CE447,"")</f>
        <v/>
      </c>
      <c r="AA3406" s="48" t="str">
        <f ca="1">IF(AND('Planning Sheet'!CJ447='Weeks Plan'!$D$6,'Planning Sheet'!CD447='Weeks Plan'!$G$6),'Planning Sheet'!$CF447,"")</f>
        <v/>
      </c>
    </row>
    <row r="3407" spans="25:27" x14ac:dyDescent="0.3">
      <c r="Y3407" s="48" t="str">
        <f ca="1">IF(AND('Planning Sheet'!CJ448='Weeks Plan'!$D$6,'Planning Sheet'!CD448='Weeks Plan'!$G$6),'Planning Sheet'!$B448,"")</f>
        <v/>
      </c>
      <c r="Z3407" s="48" t="str">
        <f ca="1">IF(AND('Planning Sheet'!CJ448='Weeks Plan'!$D$6,'Planning Sheet'!CD448='Weeks Plan'!$G$6),'Planning Sheet'!$CE448,"")</f>
        <v/>
      </c>
      <c r="AA3407" s="48" t="str">
        <f ca="1">IF(AND('Planning Sheet'!CJ448='Weeks Plan'!$D$6,'Planning Sheet'!CD448='Weeks Plan'!$G$6),'Planning Sheet'!$CF448,"")</f>
        <v/>
      </c>
    </row>
    <row r="3408" spans="25:27" x14ac:dyDescent="0.3">
      <c r="Y3408" s="48" t="str">
        <f ca="1">IF(AND('Planning Sheet'!CJ449='Weeks Plan'!$D$6,'Planning Sheet'!CD449='Weeks Plan'!$G$6),'Planning Sheet'!$B449,"")</f>
        <v/>
      </c>
      <c r="Z3408" s="48" t="str">
        <f ca="1">IF(AND('Planning Sheet'!CJ449='Weeks Plan'!$D$6,'Planning Sheet'!CD449='Weeks Plan'!$G$6),'Planning Sheet'!$CE449,"")</f>
        <v/>
      </c>
      <c r="AA3408" s="48" t="str">
        <f ca="1">IF(AND('Planning Sheet'!CJ449='Weeks Plan'!$D$6,'Planning Sheet'!CD449='Weeks Plan'!$G$6),'Planning Sheet'!$CF449,"")</f>
        <v/>
      </c>
    </row>
    <row r="3409" spans="25:27" x14ac:dyDescent="0.3">
      <c r="Y3409" s="48" t="str">
        <f ca="1">IF(AND('Planning Sheet'!CJ450='Weeks Plan'!$D$6,'Planning Sheet'!CD450='Weeks Plan'!$G$6),'Planning Sheet'!$B450,"")</f>
        <v/>
      </c>
      <c r="Z3409" s="48" t="str">
        <f ca="1">IF(AND('Planning Sheet'!CJ450='Weeks Plan'!$D$6,'Planning Sheet'!CD450='Weeks Plan'!$G$6),'Planning Sheet'!$CE450,"")</f>
        <v/>
      </c>
      <c r="AA3409" s="48" t="str">
        <f ca="1">IF(AND('Planning Sheet'!CJ450='Weeks Plan'!$D$6,'Planning Sheet'!CD450='Weeks Plan'!$G$6),'Planning Sheet'!$CF450,"")</f>
        <v/>
      </c>
    </row>
    <row r="3410" spans="25:27" x14ac:dyDescent="0.3">
      <c r="Y3410" s="48" t="str">
        <f ca="1">IF(AND('Planning Sheet'!CJ451='Weeks Plan'!$D$6,'Planning Sheet'!CD451='Weeks Plan'!$G$6),'Planning Sheet'!$B451,"")</f>
        <v/>
      </c>
      <c r="Z3410" s="48" t="str">
        <f ca="1">IF(AND('Planning Sheet'!CJ451='Weeks Plan'!$D$6,'Planning Sheet'!CD451='Weeks Plan'!$G$6),'Planning Sheet'!$CE451,"")</f>
        <v/>
      </c>
      <c r="AA3410" s="48" t="str">
        <f ca="1">IF(AND('Planning Sheet'!CJ451='Weeks Plan'!$D$6,'Planning Sheet'!CD451='Weeks Plan'!$G$6),'Planning Sheet'!$CF451,"")</f>
        <v/>
      </c>
    </row>
    <row r="3411" spans="25:27" x14ac:dyDescent="0.3">
      <c r="Y3411" s="48" t="str">
        <f ca="1">IF(AND('Planning Sheet'!CJ452='Weeks Plan'!$D$6,'Planning Sheet'!CD452='Weeks Plan'!$G$6),'Planning Sheet'!$B452,"")</f>
        <v/>
      </c>
      <c r="Z3411" s="48" t="str">
        <f ca="1">IF(AND('Planning Sheet'!CJ452='Weeks Plan'!$D$6,'Planning Sheet'!CD452='Weeks Plan'!$G$6),'Planning Sheet'!$CE452,"")</f>
        <v/>
      </c>
      <c r="AA3411" s="48" t="str">
        <f ca="1">IF(AND('Planning Sheet'!CJ452='Weeks Plan'!$D$6,'Planning Sheet'!CD452='Weeks Plan'!$G$6),'Planning Sheet'!$CF452,"")</f>
        <v/>
      </c>
    </row>
    <row r="3412" spans="25:27" x14ac:dyDescent="0.3">
      <c r="Y3412" s="48" t="str">
        <f ca="1">IF(AND('Planning Sheet'!CJ453='Weeks Plan'!$D$6,'Planning Sheet'!CD453='Weeks Plan'!$G$6),'Planning Sheet'!$B453,"")</f>
        <v/>
      </c>
      <c r="Z3412" s="48" t="str">
        <f ca="1">IF(AND('Planning Sheet'!CJ453='Weeks Plan'!$D$6,'Planning Sheet'!CD453='Weeks Plan'!$G$6),'Planning Sheet'!$CE453,"")</f>
        <v/>
      </c>
      <c r="AA3412" s="48" t="str">
        <f ca="1">IF(AND('Planning Sheet'!CJ453='Weeks Plan'!$D$6,'Planning Sheet'!CD453='Weeks Plan'!$G$6),'Planning Sheet'!$CF453,"")</f>
        <v/>
      </c>
    </row>
    <row r="3413" spans="25:27" x14ac:dyDescent="0.3">
      <c r="Y3413" s="48" t="str">
        <f ca="1">IF(AND('Planning Sheet'!CJ454='Weeks Plan'!$D$6,'Planning Sheet'!CD454='Weeks Plan'!$G$6),'Planning Sheet'!$B454,"")</f>
        <v/>
      </c>
      <c r="Z3413" s="48" t="str">
        <f ca="1">IF(AND('Planning Sheet'!CJ454='Weeks Plan'!$D$6,'Planning Sheet'!CD454='Weeks Plan'!$G$6),'Planning Sheet'!$CE454,"")</f>
        <v/>
      </c>
      <c r="AA3413" s="48" t="str">
        <f ca="1">IF(AND('Planning Sheet'!CJ454='Weeks Plan'!$D$6,'Planning Sheet'!CD454='Weeks Plan'!$G$6),'Planning Sheet'!$CF454,"")</f>
        <v/>
      </c>
    </row>
    <row r="3414" spans="25:27" x14ac:dyDescent="0.3">
      <c r="Y3414" s="48" t="str">
        <f ca="1">IF(AND('Planning Sheet'!CJ455='Weeks Plan'!$D$6,'Planning Sheet'!CD455='Weeks Plan'!$G$6),'Planning Sheet'!$B455,"")</f>
        <v/>
      </c>
      <c r="Z3414" s="48" t="str">
        <f ca="1">IF(AND('Planning Sheet'!CJ455='Weeks Plan'!$D$6,'Planning Sheet'!CD455='Weeks Plan'!$G$6),'Planning Sheet'!$CE455,"")</f>
        <v/>
      </c>
      <c r="AA3414" s="48" t="str">
        <f ca="1">IF(AND('Planning Sheet'!CJ455='Weeks Plan'!$D$6,'Planning Sheet'!CD455='Weeks Plan'!$G$6),'Planning Sheet'!$CF455,"")</f>
        <v/>
      </c>
    </row>
    <row r="3415" spans="25:27" x14ac:dyDescent="0.3">
      <c r="Y3415" s="48" t="str">
        <f ca="1">IF(AND('Planning Sheet'!CJ456='Weeks Plan'!$D$6,'Planning Sheet'!CD456='Weeks Plan'!$G$6),'Planning Sheet'!$B456,"")</f>
        <v/>
      </c>
      <c r="Z3415" s="48" t="str">
        <f ca="1">IF(AND('Planning Sheet'!CJ456='Weeks Plan'!$D$6,'Planning Sheet'!CD456='Weeks Plan'!$G$6),'Planning Sheet'!$CE456,"")</f>
        <v/>
      </c>
      <c r="AA3415" s="48" t="str">
        <f ca="1">IF(AND('Planning Sheet'!CJ456='Weeks Plan'!$D$6,'Planning Sheet'!CD456='Weeks Plan'!$G$6),'Planning Sheet'!$CF456,"")</f>
        <v/>
      </c>
    </row>
    <row r="3416" spans="25:27" x14ac:dyDescent="0.3">
      <c r="Y3416" s="48" t="str">
        <f ca="1">IF(AND('Planning Sheet'!CJ457='Weeks Plan'!$D$6,'Planning Sheet'!CD457='Weeks Plan'!$G$6),'Planning Sheet'!$B457,"")</f>
        <v/>
      </c>
      <c r="Z3416" s="48" t="str">
        <f ca="1">IF(AND('Planning Sheet'!CJ457='Weeks Plan'!$D$6,'Planning Sheet'!CD457='Weeks Plan'!$G$6),'Planning Sheet'!$CE457,"")</f>
        <v/>
      </c>
      <c r="AA3416" s="48" t="str">
        <f ca="1">IF(AND('Planning Sheet'!CJ457='Weeks Plan'!$D$6,'Planning Sheet'!CD457='Weeks Plan'!$G$6),'Planning Sheet'!$CF457,"")</f>
        <v/>
      </c>
    </row>
    <row r="3417" spans="25:27" x14ac:dyDescent="0.3">
      <c r="Y3417" s="48" t="str">
        <f ca="1">IF(AND('Planning Sheet'!CJ458='Weeks Plan'!$D$6,'Planning Sheet'!CD458='Weeks Plan'!$G$6),'Planning Sheet'!$B458,"")</f>
        <v/>
      </c>
      <c r="Z3417" s="48" t="str">
        <f ca="1">IF(AND('Planning Sheet'!CJ458='Weeks Plan'!$D$6,'Planning Sheet'!CD458='Weeks Plan'!$G$6),'Planning Sheet'!$CE458,"")</f>
        <v/>
      </c>
      <c r="AA3417" s="48" t="str">
        <f ca="1">IF(AND('Planning Sheet'!CJ458='Weeks Plan'!$D$6,'Planning Sheet'!CD458='Weeks Plan'!$G$6),'Planning Sheet'!$CF458,"")</f>
        <v/>
      </c>
    </row>
    <row r="3418" spans="25:27" x14ac:dyDescent="0.3">
      <c r="Y3418" s="48" t="str">
        <f ca="1">IF(AND('Planning Sheet'!CJ459='Weeks Plan'!$D$6,'Planning Sheet'!CD459='Weeks Plan'!$G$6),'Planning Sheet'!$B459,"")</f>
        <v/>
      </c>
      <c r="Z3418" s="48" t="str">
        <f ca="1">IF(AND('Planning Sheet'!CJ459='Weeks Plan'!$D$6,'Planning Sheet'!CD459='Weeks Plan'!$G$6),'Planning Sheet'!$CE459,"")</f>
        <v/>
      </c>
      <c r="AA3418" s="48" t="str">
        <f ca="1">IF(AND('Planning Sheet'!CJ459='Weeks Plan'!$D$6,'Planning Sheet'!CD459='Weeks Plan'!$G$6),'Planning Sheet'!$CF459,"")</f>
        <v/>
      </c>
    </row>
    <row r="3419" spans="25:27" x14ac:dyDescent="0.3">
      <c r="Y3419" s="48" t="str">
        <f ca="1">IF(AND('Planning Sheet'!CJ460='Weeks Plan'!$D$6,'Planning Sheet'!CD460='Weeks Plan'!$G$6),'Planning Sheet'!$B460,"")</f>
        <v/>
      </c>
      <c r="Z3419" s="48" t="str">
        <f ca="1">IF(AND('Planning Sheet'!CJ460='Weeks Plan'!$D$6,'Planning Sheet'!CD460='Weeks Plan'!$G$6),'Planning Sheet'!$CE460,"")</f>
        <v/>
      </c>
      <c r="AA3419" s="48" t="str">
        <f ca="1">IF(AND('Planning Sheet'!CJ460='Weeks Plan'!$D$6,'Planning Sheet'!CD460='Weeks Plan'!$G$6),'Planning Sheet'!$CF460,"")</f>
        <v/>
      </c>
    </row>
    <row r="3420" spans="25:27" x14ac:dyDescent="0.3">
      <c r="Y3420" s="48" t="str">
        <f ca="1">IF(AND('Planning Sheet'!CJ461='Weeks Plan'!$D$6,'Planning Sheet'!CD461='Weeks Plan'!$G$6),'Planning Sheet'!$B461,"")</f>
        <v/>
      </c>
      <c r="Z3420" s="48" t="str">
        <f ca="1">IF(AND('Planning Sheet'!CJ461='Weeks Plan'!$D$6,'Planning Sheet'!CD461='Weeks Plan'!$G$6),'Planning Sheet'!$CE461,"")</f>
        <v/>
      </c>
      <c r="AA3420" s="48" t="str">
        <f ca="1">IF(AND('Planning Sheet'!CJ461='Weeks Plan'!$D$6,'Planning Sheet'!CD461='Weeks Plan'!$G$6),'Planning Sheet'!$CF461,"")</f>
        <v/>
      </c>
    </row>
    <row r="3421" spans="25:27" x14ac:dyDescent="0.3">
      <c r="Y3421" s="48" t="str">
        <f ca="1">IF(AND('Planning Sheet'!CJ462='Weeks Plan'!$D$6,'Planning Sheet'!CD462='Weeks Plan'!$G$6),'Planning Sheet'!$B462,"")</f>
        <v/>
      </c>
      <c r="Z3421" s="48" t="str">
        <f ca="1">IF(AND('Planning Sheet'!CJ462='Weeks Plan'!$D$6,'Planning Sheet'!CD462='Weeks Plan'!$G$6),'Planning Sheet'!$CE462,"")</f>
        <v/>
      </c>
      <c r="AA3421" s="48" t="str">
        <f ca="1">IF(AND('Planning Sheet'!CJ462='Weeks Plan'!$D$6,'Planning Sheet'!CD462='Weeks Plan'!$G$6),'Planning Sheet'!$CF462,"")</f>
        <v/>
      </c>
    </row>
    <row r="3422" spans="25:27" x14ac:dyDescent="0.3">
      <c r="Y3422" s="48" t="str">
        <f ca="1">IF(AND('Planning Sheet'!CJ463='Weeks Plan'!$D$6,'Planning Sheet'!CD463='Weeks Plan'!$G$6),'Planning Sheet'!$B463,"")</f>
        <v/>
      </c>
      <c r="Z3422" s="48" t="str">
        <f ca="1">IF(AND('Planning Sheet'!CJ463='Weeks Plan'!$D$6,'Planning Sheet'!CD463='Weeks Plan'!$G$6),'Planning Sheet'!$CE463,"")</f>
        <v/>
      </c>
      <c r="AA3422" s="48" t="str">
        <f ca="1">IF(AND('Planning Sheet'!CJ463='Weeks Plan'!$D$6,'Planning Sheet'!CD463='Weeks Plan'!$G$6),'Planning Sheet'!$CF463,"")</f>
        <v/>
      </c>
    </row>
    <row r="3423" spans="25:27" x14ac:dyDescent="0.3">
      <c r="Y3423" s="48" t="str">
        <f ca="1">IF(AND('Planning Sheet'!CJ464='Weeks Plan'!$D$6,'Planning Sheet'!CD464='Weeks Plan'!$G$6),'Planning Sheet'!$B464,"")</f>
        <v/>
      </c>
      <c r="Z3423" s="48" t="str">
        <f ca="1">IF(AND('Planning Sheet'!CJ464='Weeks Plan'!$D$6,'Planning Sheet'!CD464='Weeks Plan'!$G$6),'Planning Sheet'!$CE464,"")</f>
        <v/>
      </c>
      <c r="AA3423" s="48" t="str">
        <f ca="1">IF(AND('Planning Sheet'!CJ464='Weeks Plan'!$D$6,'Planning Sheet'!CD464='Weeks Plan'!$G$6),'Planning Sheet'!$CF464,"")</f>
        <v/>
      </c>
    </row>
    <row r="3424" spans="25:27" x14ac:dyDescent="0.3">
      <c r="Y3424" s="48" t="str">
        <f ca="1">IF(AND('Planning Sheet'!CJ465='Weeks Plan'!$D$6,'Planning Sheet'!CD465='Weeks Plan'!$G$6),'Planning Sheet'!$B465,"")</f>
        <v/>
      </c>
      <c r="Z3424" s="48" t="str">
        <f ca="1">IF(AND('Planning Sheet'!CJ465='Weeks Plan'!$D$6,'Planning Sheet'!CD465='Weeks Plan'!$G$6),'Planning Sheet'!$CE465,"")</f>
        <v/>
      </c>
      <c r="AA3424" s="48" t="str">
        <f ca="1">IF(AND('Planning Sheet'!CJ465='Weeks Plan'!$D$6,'Planning Sheet'!CD465='Weeks Plan'!$G$6),'Planning Sheet'!$CF465,"")</f>
        <v/>
      </c>
    </row>
    <row r="3425" spans="25:27" x14ac:dyDescent="0.3">
      <c r="Y3425" s="48" t="str">
        <f ca="1">IF(AND('Planning Sheet'!CJ466='Weeks Plan'!$D$6,'Planning Sheet'!CD466='Weeks Plan'!$G$6),'Planning Sheet'!$B466,"")</f>
        <v/>
      </c>
      <c r="Z3425" s="48" t="str">
        <f ca="1">IF(AND('Planning Sheet'!CJ466='Weeks Plan'!$D$6,'Planning Sheet'!CD466='Weeks Plan'!$G$6),'Planning Sheet'!$CE466,"")</f>
        <v/>
      </c>
      <c r="AA3425" s="48" t="str">
        <f ca="1">IF(AND('Planning Sheet'!CJ466='Weeks Plan'!$D$6,'Planning Sheet'!CD466='Weeks Plan'!$G$6),'Planning Sheet'!$CF466,"")</f>
        <v/>
      </c>
    </row>
    <row r="3426" spans="25:27" x14ac:dyDescent="0.3">
      <c r="Y3426" s="48" t="str">
        <f ca="1">IF(AND('Planning Sheet'!CJ467='Weeks Plan'!$D$6,'Planning Sheet'!CD467='Weeks Plan'!$G$6),'Planning Sheet'!$B467,"")</f>
        <v/>
      </c>
      <c r="Z3426" s="48" t="str">
        <f ca="1">IF(AND('Planning Sheet'!CJ467='Weeks Plan'!$D$6,'Planning Sheet'!CD467='Weeks Plan'!$G$6),'Planning Sheet'!$CE467,"")</f>
        <v/>
      </c>
      <c r="AA3426" s="48" t="str">
        <f ca="1">IF(AND('Planning Sheet'!CJ467='Weeks Plan'!$D$6,'Planning Sheet'!CD467='Weeks Plan'!$G$6),'Planning Sheet'!$CF467,"")</f>
        <v/>
      </c>
    </row>
    <row r="3427" spans="25:27" x14ac:dyDescent="0.3">
      <c r="Y3427" s="48" t="str">
        <f ca="1">IF(AND('Planning Sheet'!CJ468='Weeks Plan'!$D$6,'Planning Sheet'!CD468='Weeks Plan'!$G$6),'Planning Sheet'!$B468,"")</f>
        <v/>
      </c>
      <c r="Z3427" s="48" t="str">
        <f ca="1">IF(AND('Planning Sheet'!CJ468='Weeks Plan'!$D$6,'Planning Sheet'!CD468='Weeks Plan'!$G$6),'Planning Sheet'!$CE468,"")</f>
        <v/>
      </c>
      <c r="AA3427" s="48" t="str">
        <f ca="1">IF(AND('Planning Sheet'!CJ468='Weeks Plan'!$D$6,'Planning Sheet'!CD468='Weeks Plan'!$G$6),'Planning Sheet'!$CF468,"")</f>
        <v/>
      </c>
    </row>
    <row r="3428" spans="25:27" x14ac:dyDescent="0.3">
      <c r="Y3428" s="48" t="str">
        <f ca="1">IF(AND('Planning Sheet'!CJ469='Weeks Plan'!$D$6,'Planning Sheet'!CD469='Weeks Plan'!$G$6),'Planning Sheet'!$B469,"")</f>
        <v/>
      </c>
      <c r="Z3428" s="48" t="str">
        <f ca="1">IF(AND('Planning Sheet'!CJ469='Weeks Plan'!$D$6,'Planning Sheet'!CD469='Weeks Plan'!$G$6),'Planning Sheet'!$CE469,"")</f>
        <v/>
      </c>
      <c r="AA3428" s="48" t="str">
        <f ca="1">IF(AND('Planning Sheet'!CJ469='Weeks Plan'!$D$6,'Planning Sheet'!CD469='Weeks Plan'!$G$6),'Planning Sheet'!$CF469,"")</f>
        <v/>
      </c>
    </row>
    <row r="3429" spans="25:27" x14ac:dyDescent="0.3">
      <c r="Y3429" s="48" t="str">
        <f ca="1">IF(AND('Planning Sheet'!CJ470='Weeks Plan'!$D$6,'Planning Sheet'!CD470='Weeks Plan'!$G$6),'Planning Sheet'!$B470,"")</f>
        <v/>
      </c>
      <c r="Z3429" s="48" t="str">
        <f ca="1">IF(AND('Planning Sheet'!CJ470='Weeks Plan'!$D$6,'Planning Sheet'!CD470='Weeks Plan'!$G$6),'Planning Sheet'!$CE470,"")</f>
        <v/>
      </c>
      <c r="AA3429" s="48" t="str">
        <f ca="1">IF(AND('Planning Sheet'!CJ470='Weeks Plan'!$D$6,'Planning Sheet'!CD470='Weeks Plan'!$G$6),'Planning Sheet'!$CF470,"")</f>
        <v/>
      </c>
    </row>
    <row r="3430" spans="25:27" x14ac:dyDescent="0.3">
      <c r="Y3430" s="48" t="str">
        <f ca="1">IF(AND('Planning Sheet'!CJ471='Weeks Plan'!$D$6,'Planning Sheet'!CD471='Weeks Plan'!$G$6),'Planning Sheet'!$B471,"")</f>
        <v/>
      </c>
      <c r="Z3430" s="48" t="str">
        <f ca="1">IF(AND('Planning Sheet'!CJ471='Weeks Plan'!$D$6,'Planning Sheet'!CD471='Weeks Plan'!$G$6),'Planning Sheet'!$CE471,"")</f>
        <v/>
      </c>
      <c r="AA3430" s="48" t="str">
        <f ca="1">IF(AND('Planning Sheet'!CJ471='Weeks Plan'!$D$6,'Planning Sheet'!CD471='Weeks Plan'!$G$6),'Planning Sheet'!$CF471,"")</f>
        <v/>
      </c>
    </row>
    <row r="3431" spans="25:27" x14ac:dyDescent="0.3">
      <c r="Y3431" s="48" t="str">
        <f ca="1">IF(AND('Planning Sheet'!CJ472='Weeks Plan'!$D$6,'Planning Sheet'!CD472='Weeks Plan'!$G$6),'Planning Sheet'!$B472,"")</f>
        <v/>
      </c>
      <c r="Z3431" s="48" t="str">
        <f ca="1">IF(AND('Planning Sheet'!CJ472='Weeks Plan'!$D$6,'Planning Sheet'!CD472='Weeks Plan'!$G$6),'Planning Sheet'!$CE472,"")</f>
        <v/>
      </c>
      <c r="AA3431" s="48" t="str">
        <f ca="1">IF(AND('Planning Sheet'!CJ472='Weeks Plan'!$D$6,'Planning Sheet'!CD472='Weeks Plan'!$G$6),'Planning Sheet'!$CF472,"")</f>
        <v/>
      </c>
    </row>
    <row r="3432" spans="25:27" x14ac:dyDescent="0.3">
      <c r="Y3432" s="48" t="str">
        <f ca="1">IF(AND('Planning Sheet'!CJ473='Weeks Plan'!$D$6,'Planning Sheet'!CD473='Weeks Plan'!$G$6),'Planning Sheet'!$B473,"")</f>
        <v/>
      </c>
      <c r="Z3432" s="48" t="str">
        <f ca="1">IF(AND('Planning Sheet'!CJ473='Weeks Plan'!$D$6,'Planning Sheet'!CD473='Weeks Plan'!$G$6),'Planning Sheet'!$CE473,"")</f>
        <v/>
      </c>
      <c r="AA3432" s="48" t="str">
        <f ca="1">IF(AND('Planning Sheet'!CJ473='Weeks Plan'!$D$6,'Planning Sheet'!CD473='Weeks Plan'!$G$6),'Planning Sheet'!$CF473,"")</f>
        <v/>
      </c>
    </row>
    <row r="3433" spans="25:27" x14ac:dyDescent="0.3">
      <c r="Y3433" s="48" t="str">
        <f ca="1">IF(AND('Planning Sheet'!CJ474='Weeks Plan'!$D$6,'Planning Sheet'!CD474='Weeks Plan'!$G$6),'Planning Sheet'!$B474,"")</f>
        <v/>
      </c>
      <c r="Z3433" s="48" t="str">
        <f ca="1">IF(AND('Planning Sheet'!CJ474='Weeks Plan'!$D$6,'Planning Sheet'!CD474='Weeks Plan'!$G$6),'Planning Sheet'!$CE474,"")</f>
        <v/>
      </c>
      <c r="AA3433" s="48" t="str">
        <f ca="1">IF(AND('Planning Sheet'!CJ474='Weeks Plan'!$D$6,'Planning Sheet'!CD474='Weeks Plan'!$G$6),'Planning Sheet'!$CF474,"")</f>
        <v/>
      </c>
    </row>
    <row r="3434" spans="25:27" x14ac:dyDescent="0.3">
      <c r="Y3434" s="48" t="str">
        <f ca="1">IF(AND('Planning Sheet'!CJ475='Weeks Plan'!$D$6,'Planning Sheet'!CD475='Weeks Plan'!$G$6),'Planning Sheet'!$B475,"")</f>
        <v/>
      </c>
      <c r="Z3434" s="48" t="str">
        <f ca="1">IF(AND('Planning Sheet'!CJ475='Weeks Plan'!$D$6,'Planning Sheet'!CD475='Weeks Plan'!$G$6),'Planning Sheet'!$CE475,"")</f>
        <v/>
      </c>
      <c r="AA3434" s="48" t="str">
        <f ca="1">IF(AND('Planning Sheet'!CJ475='Weeks Plan'!$D$6,'Planning Sheet'!CD475='Weeks Plan'!$G$6),'Planning Sheet'!$CF475,"")</f>
        <v/>
      </c>
    </row>
    <row r="3435" spans="25:27" x14ac:dyDescent="0.3">
      <c r="Y3435" s="48" t="str">
        <f ca="1">IF(AND('Planning Sheet'!CJ476='Weeks Plan'!$D$6,'Planning Sheet'!CD476='Weeks Plan'!$G$6),'Planning Sheet'!$B476,"")</f>
        <v/>
      </c>
      <c r="Z3435" s="48" t="str">
        <f ca="1">IF(AND('Planning Sheet'!CJ476='Weeks Plan'!$D$6,'Planning Sheet'!CD476='Weeks Plan'!$G$6),'Planning Sheet'!$CE476,"")</f>
        <v/>
      </c>
      <c r="AA3435" s="48" t="str">
        <f ca="1">IF(AND('Planning Sheet'!CJ476='Weeks Plan'!$D$6,'Planning Sheet'!CD476='Weeks Plan'!$G$6),'Planning Sheet'!$CF476,"")</f>
        <v/>
      </c>
    </row>
    <row r="3436" spans="25:27" x14ac:dyDescent="0.3">
      <c r="Y3436" s="48" t="str">
        <f ca="1">IF(AND('Planning Sheet'!CJ477='Weeks Plan'!$D$6,'Planning Sheet'!CD477='Weeks Plan'!$G$6),'Planning Sheet'!$B477,"")</f>
        <v/>
      </c>
      <c r="Z3436" s="48" t="str">
        <f ca="1">IF(AND('Planning Sheet'!CJ477='Weeks Plan'!$D$6,'Planning Sheet'!CD477='Weeks Plan'!$G$6),'Planning Sheet'!$CE477,"")</f>
        <v/>
      </c>
      <c r="AA3436" s="48" t="str">
        <f ca="1">IF(AND('Planning Sheet'!CJ477='Weeks Plan'!$D$6,'Planning Sheet'!CD477='Weeks Plan'!$G$6),'Planning Sheet'!$CF477,"")</f>
        <v/>
      </c>
    </row>
    <row r="3437" spans="25:27" x14ac:dyDescent="0.3">
      <c r="Y3437" s="48" t="str">
        <f ca="1">IF(AND('Planning Sheet'!CJ478='Weeks Plan'!$D$6,'Planning Sheet'!CD478='Weeks Plan'!$G$6),'Planning Sheet'!$B478,"")</f>
        <v/>
      </c>
      <c r="Z3437" s="48" t="str">
        <f ca="1">IF(AND('Planning Sheet'!CJ478='Weeks Plan'!$D$6,'Planning Sheet'!CD478='Weeks Plan'!$G$6),'Planning Sheet'!$CE478,"")</f>
        <v/>
      </c>
      <c r="AA3437" s="48" t="str">
        <f ca="1">IF(AND('Planning Sheet'!CJ478='Weeks Plan'!$D$6,'Planning Sheet'!CD478='Weeks Plan'!$G$6),'Planning Sheet'!$CF478,"")</f>
        <v/>
      </c>
    </row>
    <row r="3438" spans="25:27" x14ac:dyDescent="0.3">
      <c r="Y3438" s="48" t="str">
        <f ca="1">IF(AND('Planning Sheet'!CJ479='Weeks Plan'!$D$6,'Planning Sheet'!CD479='Weeks Plan'!$G$6),'Planning Sheet'!$B479,"")</f>
        <v/>
      </c>
      <c r="Z3438" s="48" t="str">
        <f ca="1">IF(AND('Planning Sheet'!CJ479='Weeks Plan'!$D$6,'Planning Sheet'!CD479='Weeks Plan'!$G$6),'Planning Sheet'!$CE479,"")</f>
        <v/>
      </c>
      <c r="AA3438" s="48" t="str">
        <f ca="1">IF(AND('Planning Sheet'!CJ479='Weeks Plan'!$D$6,'Planning Sheet'!CD479='Weeks Plan'!$G$6),'Planning Sheet'!$CF479,"")</f>
        <v/>
      </c>
    </row>
    <row r="3439" spans="25:27" x14ac:dyDescent="0.3">
      <c r="Y3439" s="48" t="str">
        <f ca="1">IF(AND('Planning Sheet'!CJ480='Weeks Plan'!$D$6,'Planning Sheet'!CD480='Weeks Plan'!$G$6),'Planning Sheet'!$B480,"")</f>
        <v/>
      </c>
      <c r="Z3439" s="48" t="str">
        <f ca="1">IF(AND('Planning Sheet'!CJ480='Weeks Plan'!$D$6,'Planning Sheet'!CD480='Weeks Plan'!$G$6),'Planning Sheet'!$CE480,"")</f>
        <v/>
      </c>
      <c r="AA3439" s="48" t="str">
        <f ca="1">IF(AND('Planning Sheet'!CJ480='Weeks Plan'!$D$6,'Planning Sheet'!CD480='Weeks Plan'!$G$6),'Planning Sheet'!$CF480,"")</f>
        <v/>
      </c>
    </row>
    <row r="3440" spans="25:27" x14ac:dyDescent="0.3">
      <c r="Y3440" s="48" t="str">
        <f ca="1">IF(AND('Planning Sheet'!CJ481='Weeks Plan'!$D$6,'Planning Sheet'!CD481='Weeks Plan'!$G$6),'Planning Sheet'!$B481,"")</f>
        <v/>
      </c>
      <c r="Z3440" s="48" t="str">
        <f ca="1">IF(AND('Planning Sheet'!CJ481='Weeks Plan'!$D$6,'Planning Sheet'!CD481='Weeks Plan'!$G$6),'Planning Sheet'!$CE481,"")</f>
        <v/>
      </c>
      <c r="AA3440" s="48" t="str">
        <f ca="1">IF(AND('Planning Sheet'!CJ481='Weeks Plan'!$D$6,'Planning Sheet'!CD481='Weeks Plan'!$G$6),'Planning Sheet'!$CF481,"")</f>
        <v/>
      </c>
    </row>
    <row r="3441" spans="25:27" x14ac:dyDescent="0.3">
      <c r="Y3441" s="48" t="str">
        <f ca="1">IF(AND('Planning Sheet'!CJ482='Weeks Plan'!$D$6,'Planning Sheet'!CD482='Weeks Plan'!$G$6),'Planning Sheet'!$B482,"")</f>
        <v/>
      </c>
      <c r="Z3441" s="48" t="str">
        <f ca="1">IF(AND('Planning Sheet'!CJ482='Weeks Plan'!$D$6,'Planning Sheet'!CD482='Weeks Plan'!$G$6),'Planning Sheet'!$CE482,"")</f>
        <v/>
      </c>
      <c r="AA3441" s="48" t="str">
        <f ca="1">IF(AND('Planning Sheet'!CJ482='Weeks Plan'!$D$6,'Planning Sheet'!CD482='Weeks Plan'!$G$6),'Planning Sheet'!$CF482,"")</f>
        <v/>
      </c>
    </row>
    <row r="3442" spans="25:27" x14ac:dyDescent="0.3">
      <c r="Y3442" s="48" t="str">
        <f ca="1">IF(AND('Planning Sheet'!CJ483='Weeks Plan'!$D$6,'Planning Sheet'!CD483='Weeks Plan'!$G$6),'Planning Sheet'!$B483,"")</f>
        <v/>
      </c>
      <c r="Z3442" s="48" t="str">
        <f ca="1">IF(AND('Planning Sheet'!CJ483='Weeks Plan'!$D$6,'Planning Sheet'!CD483='Weeks Plan'!$G$6),'Planning Sheet'!$CE483,"")</f>
        <v/>
      </c>
      <c r="AA3442" s="48" t="str">
        <f ca="1">IF(AND('Planning Sheet'!CJ483='Weeks Plan'!$D$6,'Planning Sheet'!CD483='Weeks Plan'!$G$6),'Planning Sheet'!$CF483,"")</f>
        <v/>
      </c>
    </row>
    <row r="3443" spans="25:27" x14ac:dyDescent="0.3">
      <c r="Y3443" s="48" t="str">
        <f ca="1">IF(AND('Planning Sheet'!CJ484='Weeks Plan'!$D$6,'Planning Sheet'!CD484='Weeks Plan'!$G$6),'Planning Sheet'!$B484,"")</f>
        <v/>
      </c>
      <c r="Z3443" s="48" t="str">
        <f ca="1">IF(AND('Planning Sheet'!CJ484='Weeks Plan'!$D$6,'Planning Sheet'!CD484='Weeks Plan'!$G$6),'Planning Sheet'!$CE484,"")</f>
        <v/>
      </c>
      <c r="AA3443" s="48" t="str">
        <f ca="1">IF(AND('Planning Sheet'!CJ484='Weeks Plan'!$D$6,'Planning Sheet'!CD484='Weeks Plan'!$G$6),'Planning Sheet'!$CF484,"")</f>
        <v/>
      </c>
    </row>
    <row r="3444" spans="25:27" x14ac:dyDescent="0.3">
      <c r="Y3444" s="48" t="str">
        <f ca="1">IF(AND('Planning Sheet'!CJ485='Weeks Plan'!$D$6,'Planning Sheet'!CD485='Weeks Plan'!$G$6),'Planning Sheet'!$B485,"")</f>
        <v/>
      </c>
      <c r="Z3444" s="48" t="str">
        <f ca="1">IF(AND('Planning Sheet'!CJ485='Weeks Plan'!$D$6,'Planning Sheet'!CD485='Weeks Plan'!$G$6),'Planning Sheet'!$CE485,"")</f>
        <v/>
      </c>
      <c r="AA3444" s="48" t="str">
        <f ca="1">IF(AND('Planning Sheet'!CJ485='Weeks Plan'!$D$6,'Planning Sheet'!CD485='Weeks Plan'!$G$6),'Planning Sheet'!$CF485,"")</f>
        <v/>
      </c>
    </row>
    <row r="3445" spans="25:27" x14ac:dyDescent="0.3">
      <c r="Y3445" s="48" t="str">
        <f ca="1">IF(AND('Planning Sheet'!CJ486='Weeks Plan'!$D$6,'Planning Sheet'!CD486='Weeks Plan'!$G$6),'Planning Sheet'!$B486,"")</f>
        <v/>
      </c>
      <c r="Z3445" s="48" t="str">
        <f ca="1">IF(AND('Planning Sheet'!CJ486='Weeks Plan'!$D$6,'Planning Sheet'!CD486='Weeks Plan'!$G$6),'Planning Sheet'!$CE486,"")</f>
        <v/>
      </c>
      <c r="AA3445" s="48" t="str">
        <f ca="1">IF(AND('Planning Sheet'!CJ486='Weeks Plan'!$D$6,'Planning Sheet'!CD486='Weeks Plan'!$G$6),'Planning Sheet'!$CF486,"")</f>
        <v/>
      </c>
    </row>
    <row r="3446" spans="25:27" x14ac:dyDescent="0.3">
      <c r="Y3446" s="48" t="str">
        <f ca="1">IF(AND('Planning Sheet'!CJ487='Weeks Plan'!$D$6,'Planning Sheet'!CD487='Weeks Plan'!$G$6),'Planning Sheet'!$B487,"")</f>
        <v/>
      </c>
      <c r="Z3446" s="48" t="str">
        <f ca="1">IF(AND('Planning Sheet'!CJ487='Weeks Plan'!$D$6,'Planning Sheet'!CD487='Weeks Plan'!$G$6),'Planning Sheet'!$CE487,"")</f>
        <v/>
      </c>
      <c r="AA3446" s="48" t="str">
        <f ca="1">IF(AND('Planning Sheet'!CJ487='Weeks Plan'!$D$6,'Planning Sheet'!CD487='Weeks Plan'!$G$6),'Planning Sheet'!$CF487,"")</f>
        <v/>
      </c>
    </row>
    <row r="3447" spans="25:27" x14ac:dyDescent="0.3">
      <c r="Y3447" s="48" t="str">
        <f ca="1">IF(AND('Planning Sheet'!CJ488='Weeks Plan'!$D$6,'Planning Sheet'!CD488='Weeks Plan'!$G$6),'Planning Sheet'!$B488,"")</f>
        <v/>
      </c>
      <c r="Z3447" s="48" t="str">
        <f ca="1">IF(AND('Planning Sheet'!CJ488='Weeks Plan'!$D$6,'Planning Sheet'!CD488='Weeks Plan'!$G$6),'Planning Sheet'!$CE488,"")</f>
        <v/>
      </c>
      <c r="AA3447" s="48" t="str">
        <f ca="1">IF(AND('Planning Sheet'!CJ488='Weeks Plan'!$D$6,'Planning Sheet'!CD488='Weeks Plan'!$G$6),'Planning Sheet'!$CF488,"")</f>
        <v/>
      </c>
    </row>
    <row r="3448" spans="25:27" x14ac:dyDescent="0.3">
      <c r="Y3448" s="48" t="str">
        <f ca="1">IF(AND('Planning Sheet'!CJ489='Weeks Plan'!$D$6,'Planning Sheet'!CD489='Weeks Plan'!$G$6),'Planning Sheet'!$B489,"")</f>
        <v/>
      </c>
      <c r="Z3448" s="48" t="str">
        <f ca="1">IF(AND('Planning Sheet'!CJ489='Weeks Plan'!$D$6,'Planning Sheet'!CD489='Weeks Plan'!$G$6),'Planning Sheet'!$CE489,"")</f>
        <v/>
      </c>
      <c r="AA3448" s="48" t="str">
        <f ca="1">IF(AND('Planning Sheet'!CJ489='Weeks Plan'!$D$6,'Planning Sheet'!CD489='Weeks Plan'!$G$6),'Planning Sheet'!$CF489,"")</f>
        <v/>
      </c>
    </row>
    <row r="3449" spans="25:27" x14ac:dyDescent="0.3">
      <c r="Y3449" s="48" t="str">
        <f ca="1">IF(AND('Planning Sheet'!CJ490='Weeks Plan'!$D$6,'Planning Sheet'!CD490='Weeks Plan'!$G$6),'Planning Sheet'!$B490,"")</f>
        <v/>
      </c>
      <c r="Z3449" s="48" t="str">
        <f ca="1">IF(AND('Planning Sheet'!CJ490='Weeks Plan'!$D$6,'Planning Sheet'!CD490='Weeks Plan'!$G$6),'Planning Sheet'!$CE490,"")</f>
        <v/>
      </c>
      <c r="AA3449" s="48" t="str">
        <f ca="1">IF(AND('Planning Sheet'!CJ490='Weeks Plan'!$D$6,'Planning Sheet'!CD490='Weeks Plan'!$G$6),'Planning Sheet'!$CF490,"")</f>
        <v/>
      </c>
    </row>
    <row r="3450" spans="25:27" x14ac:dyDescent="0.3">
      <c r="Y3450" s="48" t="str">
        <f ca="1">IF(AND('Planning Sheet'!CJ491='Weeks Plan'!$D$6,'Planning Sheet'!CD491='Weeks Plan'!$G$6),'Planning Sheet'!$B491,"")</f>
        <v/>
      </c>
      <c r="Z3450" s="48" t="str">
        <f ca="1">IF(AND('Planning Sheet'!CJ491='Weeks Plan'!$D$6,'Planning Sheet'!CD491='Weeks Plan'!$G$6),'Planning Sheet'!$CE491,"")</f>
        <v/>
      </c>
      <c r="AA3450" s="48" t="str">
        <f ca="1">IF(AND('Planning Sheet'!CJ491='Weeks Plan'!$D$6,'Planning Sheet'!CD491='Weeks Plan'!$G$6),'Planning Sheet'!$CF491,"")</f>
        <v/>
      </c>
    </row>
    <row r="3451" spans="25:27" x14ac:dyDescent="0.3">
      <c r="Y3451" s="48" t="str">
        <f ca="1">IF(AND('Planning Sheet'!CJ492='Weeks Plan'!$D$6,'Planning Sheet'!CD492='Weeks Plan'!$G$6),'Planning Sheet'!$B492,"")</f>
        <v/>
      </c>
      <c r="Z3451" s="48" t="str">
        <f ca="1">IF(AND('Planning Sheet'!CJ492='Weeks Plan'!$D$6,'Planning Sheet'!CD492='Weeks Plan'!$G$6),'Planning Sheet'!$CE492,"")</f>
        <v/>
      </c>
      <c r="AA3451" s="48" t="str">
        <f ca="1">IF(AND('Planning Sheet'!CJ492='Weeks Plan'!$D$6,'Planning Sheet'!CD492='Weeks Plan'!$G$6),'Planning Sheet'!$CF492,"")</f>
        <v/>
      </c>
    </row>
    <row r="3452" spans="25:27" x14ac:dyDescent="0.3">
      <c r="Y3452" s="48" t="str">
        <f ca="1">IF(AND('Planning Sheet'!CJ493='Weeks Plan'!$D$6,'Planning Sheet'!CD493='Weeks Plan'!$G$6),'Planning Sheet'!$B493,"")</f>
        <v/>
      </c>
      <c r="Z3452" s="48" t="str">
        <f ca="1">IF(AND('Planning Sheet'!CJ493='Weeks Plan'!$D$6,'Planning Sheet'!CD493='Weeks Plan'!$G$6),'Planning Sheet'!$CE493,"")</f>
        <v/>
      </c>
      <c r="AA3452" s="48" t="str">
        <f ca="1">IF(AND('Planning Sheet'!CJ493='Weeks Plan'!$D$6,'Planning Sheet'!CD493='Weeks Plan'!$G$6),'Planning Sheet'!$CF493,"")</f>
        <v/>
      </c>
    </row>
    <row r="3453" spans="25:27" x14ac:dyDescent="0.3">
      <c r="Y3453" s="48" t="str">
        <f ca="1">IF(AND('Planning Sheet'!CJ494='Weeks Plan'!$D$6,'Planning Sheet'!CD494='Weeks Plan'!$G$6),'Planning Sheet'!$B494,"")</f>
        <v/>
      </c>
      <c r="Z3453" s="48" t="str">
        <f ca="1">IF(AND('Planning Sheet'!CJ494='Weeks Plan'!$D$6,'Planning Sheet'!CD494='Weeks Plan'!$G$6),'Planning Sheet'!$CE494,"")</f>
        <v/>
      </c>
      <c r="AA3453" s="48" t="str">
        <f ca="1">IF(AND('Planning Sheet'!CJ494='Weeks Plan'!$D$6,'Planning Sheet'!CD494='Weeks Plan'!$G$6),'Planning Sheet'!$CF494,"")</f>
        <v/>
      </c>
    </row>
    <row r="3454" spans="25:27" x14ac:dyDescent="0.3">
      <c r="Y3454" s="48" t="str">
        <f ca="1">IF(AND('Planning Sheet'!CJ495='Weeks Plan'!$D$6,'Planning Sheet'!CD495='Weeks Plan'!$G$6),'Planning Sheet'!$B495,"")</f>
        <v/>
      </c>
      <c r="Z3454" s="48" t="str">
        <f ca="1">IF(AND('Planning Sheet'!CJ495='Weeks Plan'!$D$6,'Planning Sheet'!CD495='Weeks Plan'!$G$6),'Planning Sheet'!$CE495,"")</f>
        <v/>
      </c>
      <c r="AA3454" s="48" t="str">
        <f ca="1">IF(AND('Planning Sheet'!CJ495='Weeks Plan'!$D$6,'Planning Sheet'!CD495='Weeks Plan'!$G$6),'Planning Sheet'!$CF495,"")</f>
        <v/>
      </c>
    </row>
    <row r="3455" spans="25:27" x14ac:dyDescent="0.3">
      <c r="Y3455" s="48" t="str">
        <f ca="1">IF(AND('Planning Sheet'!CJ496='Weeks Plan'!$D$6,'Planning Sheet'!CD496='Weeks Plan'!$G$6),'Planning Sheet'!$B496,"")</f>
        <v/>
      </c>
      <c r="Z3455" s="48" t="str">
        <f ca="1">IF(AND('Planning Sheet'!CJ496='Weeks Plan'!$D$6,'Planning Sheet'!CD496='Weeks Plan'!$G$6),'Planning Sheet'!$CE496,"")</f>
        <v/>
      </c>
      <c r="AA3455" s="48" t="str">
        <f ca="1">IF(AND('Planning Sheet'!CJ496='Weeks Plan'!$D$6,'Planning Sheet'!CD496='Weeks Plan'!$G$6),'Planning Sheet'!$CF496,"")</f>
        <v/>
      </c>
    </row>
    <row r="3456" spans="25:27" x14ac:dyDescent="0.3">
      <c r="Y3456" s="48" t="str">
        <f ca="1">IF(AND('Planning Sheet'!CJ497='Weeks Plan'!$D$6,'Planning Sheet'!CD497='Weeks Plan'!$G$6),'Planning Sheet'!$B497,"")</f>
        <v/>
      </c>
      <c r="Z3456" s="48" t="str">
        <f ca="1">IF(AND('Planning Sheet'!CJ497='Weeks Plan'!$D$6,'Planning Sheet'!CD497='Weeks Plan'!$G$6),'Planning Sheet'!$CE497,"")</f>
        <v/>
      </c>
      <c r="AA3456" s="48" t="str">
        <f ca="1">IF(AND('Planning Sheet'!CJ497='Weeks Plan'!$D$6,'Planning Sheet'!CD497='Weeks Plan'!$G$6),'Planning Sheet'!$CF497,"")</f>
        <v/>
      </c>
    </row>
    <row r="3457" spans="25:27" x14ac:dyDescent="0.3">
      <c r="Y3457" s="48" t="str">
        <f ca="1">IF(AND('Planning Sheet'!CJ498='Weeks Plan'!$D$6,'Planning Sheet'!CD498='Weeks Plan'!$G$6),'Planning Sheet'!$B498,"")</f>
        <v/>
      </c>
      <c r="Z3457" s="48" t="str">
        <f ca="1">IF(AND('Planning Sheet'!CJ498='Weeks Plan'!$D$6,'Planning Sheet'!CD498='Weeks Plan'!$G$6),'Planning Sheet'!$CE498,"")</f>
        <v/>
      </c>
      <c r="AA3457" s="48" t="str">
        <f ca="1">IF(AND('Planning Sheet'!CJ498='Weeks Plan'!$D$6,'Planning Sheet'!CD498='Weeks Plan'!$G$6),'Planning Sheet'!$CF498,"")</f>
        <v/>
      </c>
    </row>
    <row r="3458" spans="25:27" x14ac:dyDescent="0.3">
      <c r="Y3458" s="48" t="str">
        <f ca="1">IF(AND('Planning Sheet'!CJ499='Weeks Plan'!$D$6,'Planning Sheet'!CD499='Weeks Plan'!$G$6),'Planning Sheet'!$B499,"")</f>
        <v/>
      </c>
      <c r="Z3458" s="48" t="str">
        <f ca="1">IF(AND('Planning Sheet'!CJ499='Weeks Plan'!$D$6,'Planning Sheet'!CD499='Weeks Plan'!$G$6),'Planning Sheet'!$CE499,"")</f>
        <v/>
      </c>
      <c r="AA3458" s="48" t="str">
        <f ca="1">IF(AND('Planning Sheet'!CJ499='Weeks Plan'!$D$6,'Planning Sheet'!CD499='Weeks Plan'!$G$6),'Planning Sheet'!$CF499,"")</f>
        <v/>
      </c>
    </row>
    <row r="3459" spans="25:27" x14ac:dyDescent="0.3">
      <c r="Y3459" s="48" t="str">
        <f ca="1">IF(AND('Planning Sheet'!CJ500='Weeks Plan'!$D$6,'Planning Sheet'!CD500='Weeks Plan'!$G$6),'Planning Sheet'!$B500,"")</f>
        <v/>
      </c>
      <c r="Z3459" s="48" t="str">
        <f ca="1">IF(AND('Planning Sheet'!CJ500='Weeks Plan'!$D$6,'Planning Sheet'!CD500='Weeks Plan'!$G$6),'Planning Sheet'!$CE500,"")</f>
        <v/>
      </c>
      <c r="AA3459" s="48" t="str">
        <f ca="1">IF(AND('Planning Sheet'!CJ500='Weeks Plan'!$D$6,'Planning Sheet'!CD500='Weeks Plan'!$G$6),'Planning Sheet'!$CF500,"")</f>
        <v/>
      </c>
    </row>
    <row r="3461" spans="25:27" x14ac:dyDescent="0.3">
      <c r="Y3461" s="47" t="str">
        <f ca="1">IF(AND('Planning Sheet'!CQ8='Weeks Plan'!$D$6,'Planning Sheet'!CK8='Weeks Plan'!$G$6),'Planning Sheet'!$B8,"")</f>
        <v/>
      </c>
      <c r="Z3461" s="47" t="str">
        <f ca="1">IF(AND('Planning Sheet'!CQ8='Weeks Plan'!$D$6,'Planning Sheet'!CK8='Weeks Plan'!$G$6),'Planning Sheet'!$CL8,"")</f>
        <v/>
      </c>
      <c r="AA3461" s="47" t="str">
        <f ca="1">IF(AND('Planning Sheet'!CQ8='Weeks Plan'!$D$6,'Planning Sheet'!CK8='Weeks Plan'!$G$6),'Planning Sheet'!$CM8,"")</f>
        <v/>
      </c>
    </row>
    <row r="3462" spans="25:27" x14ac:dyDescent="0.3">
      <c r="Y3462" s="48" t="str">
        <f ca="1">IF(AND('Planning Sheet'!CQ9='Weeks Plan'!$D$6,'Planning Sheet'!CK9='Weeks Plan'!$G$6),'Planning Sheet'!$B9,"")</f>
        <v/>
      </c>
      <c r="Z3462" s="48" t="str">
        <f ca="1">IF(AND('Planning Sheet'!CQ9='Weeks Plan'!$D$6,'Planning Sheet'!CK9='Weeks Plan'!$G$6),'Planning Sheet'!$CL9,"")</f>
        <v/>
      </c>
      <c r="AA3462" s="48" t="str">
        <f ca="1">IF(AND('Planning Sheet'!CQ9='Weeks Plan'!$D$6,'Planning Sheet'!CK9='Weeks Plan'!$G$6),'Planning Sheet'!$CM9,"")</f>
        <v/>
      </c>
    </row>
    <row r="3463" spans="25:27" x14ac:dyDescent="0.3">
      <c r="Y3463" s="48" t="str">
        <f ca="1">IF(AND('Planning Sheet'!CQ10='Weeks Plan'!$D$6,'Planning Sheet'!CK10='Weeks Plan'!$G$6),'Planning Sheet'!$B10,"")</f>
        <v/>
      </c>
      <c r="Z3463" s="48" t="str">
        <f ca="1">IF(AND('Planning Sheet'!CQ10='Weeks Plan'!$D$6,'Planning Sheet'!CK10='Weeks Plan'!$G$6),'Planning Sheet'!$CL10,"")</f>
        <v/>
      </c>
      <c r="AA3463" s="48" t="str">
        <f ca="1">IF(AND('Planning Sheet'!CQ10='Weeks Plan'!$D$6,'Planning Sheet'!CK10='Weeks Plan'!$G$6),'Planning Sheet'!$CM10,"")</f>
        <v/>
      </c>
    </row>
    <row r="3464" spans="25:27" x14ac:dyDescent="0.3">
      <c r="Y3464" s="48" t="str">
        <f ca="1">IF(AND('Planning Sheet'!CQ11='Weeks Plan'!$D$6,'Planning Sheet'!CK11='Weeks Plan'!$G$6),'Planning Sheet'!$B11,"")</f>
        <v/>
      </c>
      <c r="Z3464" s="48" t="str">
        <f ca="1">IF(AND('Planning Sheet'!CQ11='Weeks Plan'!$D$6,'Planning Sheet'!CK11='Weeks Plan'!$G$6),'Planning Sheet'!$CL11,"")</f>
        <v/>
      </c>
      <c r="AA3464" s="48" t="str">
        <f ca="1">IF(AND('Planning Sheet'!CQ11='Weeks Plan'!$D$6,'Planning Sheet'!CK11='Weeks Plan'!$G$6),'Planning Sheet'!$CM11,"")</f>
        <v/>
      </c>
    </row>
    <row r="3465" spans="25:27" x14ac:dyDescent="0.3">
      <c r="Y3465" s="48" t="str">
        <f ca="1">IF(AND('Planning Sheet'!CQ12='Weeks Plan'!$D$6,'Planning Sheet'!CK12='Weeks Plan'!$G$6),'Planning Sheet'!$B12,"")</f>
        <v/>
      </c>
      <c r="Z3465" s="48" t="str">
        <f ca="1">IF(AND('Planning Sheet'!CQ12='Weeks Plan'!$D$6,'Planning Sheet'!CK12='Weeks Plan'!$G$6),'Planning Sheet'!$CL12,"")</f>
        <v/>
      </c>
      <c r="AA3465" s="48" t="str">
        <f ca="1">IF(AND('Planning Sheet'!CQ12='Weeks Plan'!$D$6,'Planning Sheet'!CK12='Weeks Plan'!$G$6),'Planning Sheet'!$CM12,"")</f>
        <v/>
      </c>
    </row>
    <row r="3466" spans="25:27" x14ac:dyDescent="0.3">
      <c r="Y3466" s="48" t="str">
        <f ca="1">IF(AND('Planning Sheet'!CQ13='Weeks Plan'!$D$6,'Planning Sheet'!CK13='Weeks Plan'!$G$6),'Planning Sheet'!$B13,"")</f>
        <v/>
      </c>
      <c r="Z3466" s="48" t="str">
        <f ca="1">IF(AND('Planning Sheet'!CQ13='Weeks Plan'!$D$6,'Planning Sheet'!CK13='Weeks Plan'!$G$6),'Planning Sheet'!$CL13,"")</f>
        <v/>
      </c>
      <c r="AA3466" s="48" t="str">
        <f ca="1">IF(AND('Planning Sheet'!CQ13='Weeks Plan'!$D$6,'Planning Sheet'!CK13='Weeks Plan'!$G$6),'Planning Sheet'!$CM13,"")</f>
        <v/>
      </c>
    </row>
    <row r="3467" spans="25:27" x14ac:dyDescent="0.3">
      <c r="Y3467" s="48" t="str">
        <f ca="1">IF(AND('Planning Sheet'!CQ14='Weeks Plan'!$D$6,'Planning Sheet'!CK14='Weeks Plan'!$G$6),'Planning Sheet'!$B14,"")</f>
        <v/>
      </c>
      <c r="Z3467" s="48" t="str">
        <f ca="1">IF(AND('Planning Sheet'!CQ14='Weeks Plan'!$D$6,'Planning Sheet'!CK14='Weeks Plan'!$G$6),'Planning Sheet'!$CL14,"")</f>
        <v/>
      </c>
      <c r="AA3467" s="48" t="str">
        <f ca="1">IF(AND('Planning Sheet'!CQ14='Weeks Plan'!$D$6,'Planning Sheet'!CK14='Weeks Plan'!$G$6),'Planning Sheet'!$CM14,"")</f>
        <v/>
      </c>
    </row>
    <row r="3468" spans="25:27" x14ac:dyDescent="0.3">
      <c r="Y3468" s="48" t="str">
        <f ca="1">IF(AND('Planning Sheet'!CQ15='Weeks Plan'!$D$6,'Planning Sheet'!CK15='Weeks Plan'!$G$6),'Planning Sheet'!$B15,"")</f>
        <v/>
      </c>
      <c r="Z3468" s="48" t="str">
        <f ca="1">IF(AND('Planning Sheet'!CQ15='Weeks Plan'!$D$6,'Planning Sheet'!CK15='Weeks Plan'!$G$6),'Planning Sheet'!$CL15,"")</f>
        <v/>
      </c>
      <c r="AA3468" s="48" t="str">
        <f ca="1">IF(AND('Planning Sheet'!CQ15='Weeks Plan'!$D$6,'Planning Sheet'!CK15='Weeks Plan'!$G$6),'Planning Sheet'!$CM15,"")</f>
        <v/>
      </c>
    </row>
    <row r="3469" spans="25:27" x14ac:dyDescent="0.3">
      <c r="Y3469" s="48" t="str">
        <f ca="1">IF(AND('Planning Sheet'!CQ16='Weeks Plan'!$D$6,'Planning Sheet'!CK16='Weeks Plan'!$G$6),'Planning Sheet'!$B16,"")</f>
        <v/>
      </c>
      <c r="Z3469" s="48" t="str">
        <f ca="1">IF(AND('Planning Sheet'!CQ16='Weeks Plan'!$D$6,'Planning Sheet'!CK16='Weeks Plan'!$G$6),'Planning Sheet'!$CL16,"")</f>
        <v/>
      </c>
      <c r="AA3469" s="48" t="str">
        <f ca="1">IF(AND('Planning Sheet'!CQ16='Weeks Plan'!$D$6,'Planning Sheet'!CK16='Weeks Plan'!$G$6),'Planning Sheet'!$CM16,"")</f>
        <v/>
      </c>
    </row>
    <row r="3470" spans="25:27" x14ac:dyDescent="0.3">
      <c r="Y3470" s="48" t="str">
        <f ca="1">IF(AND('Planning Sheet'!CQ17='Weeks Plan'!$D$6,'Planning Sheet'!CK17='Weeks Plan'!$G$6),'Planning Sheet'!$B17,"")</f>
        <v/>
      </c>
      <c r="Z3470" s="48" t="str">
        <f ca="1">IF(AND('Planning Sheet'!CQ17='Weeks Plan'!$D$6,'Planning Sheet'!CK17='Weeks Plan'!$G$6),'Planning Sheet'!$CL17,"")</f>
        <v/>
      </c>
      <c r="AA3470" s="48" t="str">
        <f ca="1">IF(AND('Planning Sheet'!CQ17='Weeks Plan'!$D$6,'Planning Sheet'!CK17='Weeks Plan'!$G$6),'Planning Sheet'!$CM17,"")</f>
        <v/>
      </c>
    </row>
    <row r="3471" spans="25:27" x14ac:dyDescent="0.3">
      <c r="Y3471" s="48" t="str">
        <f ca="1">IF(AND('Planning Sheet'!CQ18='Weeks Plan'!$D$6,'Planning Sheet'!CK18='Weeks Plan'!$G$6),'Planning Sheet'!$B18,"")</f>
        <v/>
      </c>
      <c r="Z3471" s="48" t="str">
        <f ca="1">IF(AND('Planning Sheet'!CQ18='Weeks Plan'!$D$6,'Planning Sheet'!CK18='Weeks Plan'!$G$6),'Planning Sheet'!$CL18,"")</f>
        <v/>
      </c>
      <c r="AA3471" s="48" t="str">
        <f ca="1">IF(AND('Planning Sheet'!CQ18='Weeks Plan'!$D$6,'Planning Sheet'!CK18='Weeks Plan'!$G$6),'Planning Sheet'!$CM18,"")</f>
        <v/>
      </c>
    </row>
    <row r="3472" spans="25:27" x14ac:dyDescent="0.3">
      <c r="Y3472" s="48" t="str">
        <f ca="1">IF(AND('Planning Sheet'!CQ19='Weeks Plan'!$D$6,'Planning Sheet'!CK19='Weeks Plan'!$G$6),'Planning Sheet'!$B19,"")</f>
        <v/>
      </c>
      <c r="Z3472" s="48" t="str">
        <f ca="1">IF(AND('Planning Sheet'!CQ19='Weeks Plan'!$D$6,'Planning Sheet'!CK19='Weeks Plan'!$G$6),'Planning Sheet'!$CL19,"")</f>
        <v/>
      </c>
      <c r="AA3472" s="48" t="str">
        <f ca="1">IF(AND('Planning Sheet'!CQ19='Weeks Plan'!$D$6,'Planning Sheet'!CK19='Weeks Plan'!$G$6),'Planning Sheet'!$CM19,"")</f>
        <v/>
      </c>
    </row>
    <row r="3473" spans="25:27" x14ac:dyDescent="0.3">
      <c r="Y3473" s="48" t="str">
        <f ca="1">IF(AND('Planning Sheet'!CQ20='Weeks Plan'!$D$6,'Planning Sheet'!CK20='Weeks Plan'!$G$6),'Planning Sheet'!$B20,"")</f>
        <v/>
      </c>
      <c r="Z3473" s="48" t="str">
        <f ca="1">IF(AND('Planning Sheet'!CQ20='Weeks Plan'!$D$6,'Planning Sheet'!CK20='Weeks Plan'!$G$6),'Planning Sheet'!$CL20,"")</f>
        <v/>
      </c>
      <c r="AA3473" s="48" t="str">
        <f ca="1">IF(AND('Planning Sheet'!CQ20='Weeks Plan'!$D$6,'Planning Sheet'!CK20='Weeks Plan'!$G$6),'Planning Sheet'!$CM20,"")</f>
        <v/>
      </c>
    </row>
    <row r="3474" spans="25:27" x14ac:dyDescent="0.3">
      <c r="Y3474" s="48" t="str">
        <f ca="1">IF(AND('Planning Sheet'!CQ21='Weeks Plan'!$D$6,'Planning Sheet'!CK21='Weeks Plan'!$G$6),'Planning Sheet'!$B21,"")</f>
        <v/>
      </c>
      <c r="Z3474" s="48" t="str">
        <f ca="1">IF(AND('Planning Sheet'!CQ21='Weeks Plan'!$D$6,'Planning Sheet'!CK21='Weeks Plan'!$G$6),'Planning Sheet'!$CL21,"")</f>
        <v/>
      </c>
      <c r="AA3474" s="48" t="str">
        <f ca="1">IF(AND('Planning Sheet'!CQ21='Weeks Plan'!$D$6,'Planning Sheet'!CK21='Weeks Plan'!$G$6),'Planning Sheet'!$CM21,"")</f>
        <v/>
      </c>
    </row>
    <row r="3475" spans="25:27" x14ac:dyDescent="0.3">
      <c r="Y3475" s="48" t="str">
        <f ca="1">IF(AND('Planning Sheet'!CQ22='Weeks Plan'!$D$6,'Planning Sheet'!CK22='Weeks Plan'!$G$6),'Planning Sheet'!$B22,"")</f>
        <v/>
      </c>
      <c r="Z3475" s="48" t="str">
        <f ca="1">IF(AND('Planning Sheet'!CQ22='Weeks Plan'!$D$6,'Planning Sheet'!CK22='Weeks Plan'!$G$6),'Planning Sheet'!$CL22,"")</f>
        <v/>
      </c>
      <c r="AA3475" s="48" t="str">
        <f ca="1">IF(AND('Planning Sheet'!CQ22='Weeks Plan'!$D$6,'Planning Sheet'!CK22='Weeks Plan'!$G$6),'Planning Sheet'!$CM22,"")</f>
        <v/>
      </c>
    </row>
    <row r="3476" spans="25:27" x14ac:dyDescent="0.3">
      <c r="Y3476" s="48" t="str">
        <f ca="1">IF(AND('Planning Sheet'!CQ23='Weeks Plan'!$D$6,'Planning Sheet'!CK23='Weeks Plan'!$G$6),'Planning Sheet'!$B23,"")</f>
        <v/>
      </c>
      <c r="Z3476" s="48" t="str">
        <f ca="1">IF(AND('Planning Sheet'!CQ23='Weeks Plan'!$D$6,'Planning Sheet'!CK23='Weeks Plan'!$G$6),'Planning Sheet'!$CL23,"")</f>
        <v/>
      </c>
      <c r="AA3476" s="48" t="str">
        <f ca="1">IF(AND('Planning Sheet'!CQ23='Weeks Plan'!$D$6,'Planning Sheet'!CK23='Weeks Plan'!$G$6),'Planning Sheet'!$CM23,"")</f>
        <v/>
      </c>
    </row>
    <row r="3477" spans="25:27" x14ac:dyDescent="0.3">
      <c r="Y3477" s="48" t="str">
        <f ca="1">IF(AND('Planning Sheet'!CQ24='Weeks Plan'!$D$6,'Planning Sheet'!CK24='Weeks Plan'!$G$6),'Planning Sheet'!$B24,"")</f>
        <v/>
      </c>
      <c r="Z3477" s="48" t="str">
        <f ca="1">IF(AND('Planning Sheet'!CQ24='Weeks Plan'!$D$6,'Planning Sheet'!CK24='Weeks Plan'!$G$6),'Planning Sheet'!$CL24,"")</f>
        <v/>
      </c>
      <c r="AA3477" s="48" t="str">
        <f ca="1">IF(AND('Planning Sheet'!CQ24='Weeks Plan'!$D$6,'Planning Sheet'!CK24='Weeks Plan'!$G$6),'Planning Sheet'!$CM24,"")</f>
        <v/>
      </c>
    </row>
    <row r="3478" spans="25:27" x14ac:dyDescent="0.3">
      <c r="Y3478" s="48" t="str">
        <f ca="1">IF(AND('Planning Sheet'!CQ25='Weeks Plan'!$D$6,'Planning Sheet'!CK25='Weeks Plan'!$G$6),'Planning Sheet'!$B25,"")</f>
        <v/>
      </c>
      <c r="Z3478" s="48" t="str">
        <f ca="1">IF(AND('Planning Sheet'!CQ25='Weeks Plan'!$D$6,'Planning Sheet'!CK25='Weeks Plan'!$G$6),'Planning Sheet'!$CL25,"")</f>
        <v/>
      </c>
      <c r="AA3478" s="48" t="str">
        <f ca="1">IF(AND('Planning Sheet'!CQ25='Weeks Plan'!$D$6,'Planning Sheet'!CK25='Weeks Plan'!$G$6),'Planning Sheet'!$CM25,"")</f>
        <v/>
      </c>
    </row>
    <row r="3479" spans="25:27" x14ac:dyDescent="0.3">
      <c r="Y3479" s="48" t="str">
        <f ca="1">IF(AND('Planning Sheet'!CQ26='Weeks Plan'!$D$6,'Planning Sheet'!CK26='Weeks Plan'!$G$6),'Planning Sheet'!$B26,"")</f>
        <v/>
      </c>
      <c r="Z3479" s="48" t="str">
        <f ca="1">IF(AND('Planning Sheet'!CQ26='Weeks Plan'!$D$6,'Planning Sheet'!CK26='Weeks Plan'!$G$6),'Planning Sheet'!$CL26,"")</f>
        <v/>
      </c>
      <c r="AA3479" s="48" t="str">
        <f ca="1">IF(AND('Planning Sheet'!CQ26='Weeks Plan'!$D$6,'Planning Sheet'!CK26='Weeks Plan'!$G$6),'Planning Sheet'!$CM26,"")</f>
        <v/>
      </c>
    </row>
    <row r="3480" spans="25:27" x14ac:dyDescent="0.3">
      <c r="Y3480" s="48" t="str">
        <f ca="1">IF(AND('Planning Sheet'!CQ27='Weeks Plan'!$D$6,'Planning Sheet'!CK27='Weeks Plan'!$G$6),'Planning Sheet'!$B27,"")</f>
        <v/>
      </c>
      <c r="Z3480" s="48" t="str">
        <f ca="1">IF(AND('Planning Sheet'!CQ27='Weeks Plan'!$D$6,'Planning Sheet'!CK27='Weeks Plan'!$G$6),'Planning Sheet'!$CL27,"")</f>
        <v/>
      </c>
      <c r="AA3480" s="48" t="str">
        <f ca="1">IF(AND('Planning Sheet'!CQ27='Weeks Plan'!$D$6,'Planning Sheet'!CK27='Weeks Plan'!$G$6),'Planning Sheet'!$CM27,"")</f>
        <v/>
      </c>
    </row>
    <row r="3481" spans="25:27" x14ac:dyDescent="0.3">
      <c r="Y3481" s="48" t="str">
        <f ca="1">IF(AND('Planning Sheet'!CQ28='Weeks Plan'!$D$6,'Planning Sheet'!CK28='Weeks Plan'!$G$6),'Planning Sheet'!$B28,"")</f>
        <v/>
      </c>
      <c r="Z3481" s="48" t="str">
        <f ca="1">IF(AND('Planning Sheet'!CQ28='Weeks Plan'!$D$6,'Planning Sheet'!CK28='Weeks Plan'!$G$6),'Planning Sheet'!$CL28,"")</f>
        <v/>
      </c>
      <c r="AA3481" s="48" t="str">
        <f ca="1">IF(AND('Planning Sheet'!CQ28='Weeks Plan'!$D$6,'Planning Sheet'!CK28='Weeks Plan'!$G$6),'Planning Sheet'!$CM28,"")</f>
        <v/>
      </c>
    </row>
    <row r="3482" spans="25:27" x14ac:dyDescent="0.3">
      <c r="Y3482" s="48" t="str">
        <f ca="1">IF(AND('Planning Sheet'!CQ29='Weeks Plan'!$D$6,'Planning Sheet'!CK29='Weeks Plan'!$G$6),'Planning Sheet'!$B29,"")</f>
        <v/>
      </c>
      <c r="Z3482" s="48" t="str">
        <f ca="1">IF(AND('Planning Sheet'!CQ29='Weeks Plan'!$D$6,'Planning Sheet'!CK29='Weeks Plan'!$G$6),'Planning Sheet'!$CL29,"")</f>
        <v/>
      </c>
      <c r="AA3482" s="48" t="str">
        <f ca="1">IF(AND('Planning Sheet'!CQ29='Weeks Plan'!$D$6,'Planning Sheet'!CK29='Weeks Plan'!$G$6),'Planning Sheet'!$CM29,"")</f>
        <v/>
      </c>
    </row>
    <row r="3483" spans="25:27" x14ac:dyDescent="0.3">
      <c r="Y3483" s="48" t="str">
        <f ca="1">IF(AND('Planning Sheet'!CQ30='Weeks Plan'!$D$6,'Planning Sheet'!CK30='Weeks Plan'!$G$6),'Planning Sheet'!$B30,"")</f>
        <v/>
      </c>
      <c r="Z3483" s="48" t="str">
        <f ca="1">IF(AND('Planning Sheet'!CQ30='Weeks Plan'!$D$6,'Planning Sheet'!CK30='Weeks Plan'!$G$6),'Planning Sheet'!$CL30,"")</f>
        <v/>
      </c>
      <c r="AA3483" s="48" t="str">
        <f ca="1">IF(AND('Planning Sheet'!CQ30='Weeks Plan'!$D$6,'Planning Sheet'!CK30='Weeks Plan'!$G$6),'Planning Sheet'!$CM30,"")</f>
        <v/>
      </c>
    </row>
    <row r="3484" spans="25:27" x14ac:dyDescent="0.3">
      <c r="Y3484" s="48" t="str">
        <f ca="1">IF(AND('Planning Sheet'!CQ31='Weeks Plan'!$D$6,'Planning Sheet'!CK31='Weeks Plan'!$G$6),'Planning Sheet'!$B31,"")</f>
        <v/>
      </c>
      <c r="Z3484" s="48" t="str">
        <f ca="1">IF(AND('Planning Sheet'!CQ31='Weeks Plan'!$D$6,'Planning Sheet'!CK31='Weeks Plan'!$G$6),'Planning Sheet'!$CL31,"")</f>
        <v/>
      </c>
      <c r="AA3484" s="48" t="str">
        <f ca="1">IF(AND('Planning Sheet'!CQ31='Weeks Plan'!$D$6,'Planning Sheet'!CK31='Weeks Plan'!$G$6),'Planning Sheet'!$CM31,"")</f>
        <v/>
      </c>
    </row>
    <row r="3485" spans="25:27" x14ac:dyDescent="0.3">
      <c r="Y3485" s="48" t="str">
        <f ca="1">IF(AND('Planning Sheet'!CQ32='Weeks Plan'!$D$6,'Planning Sheet'!CK32='Weeks Plan'!$G$6),'Planning Sheet'!$B32,"")</f>
        <v/>
      </c>
      <c r="Z3485" s="48" t="str">
        <f ca="1">IF(AND('Planning Sheet'!CQ32='Weeks Plan'!$D$6,'Planning Sheet'!CK32='Weeks Plan'!$G$6),'Planning Sheet'!$CL32,"")</f>
        <v/>
      </c>
      <c r="AA3485" s="48" t="str">
        <f ca="1">IF(AND('Planning Sheet'!CQ32='Weeks Plan'!$D$6,'Planning Sheet'!CK32='Weeks Plan'!$G$6),'Planning Sheet'!$CM32,"")</f>
        <v/>
      </c>
    </row>
    <row r="3486" spans="25:27" x14ac:dyDescent="0.3">
      <c r="Y3486" s="48" t="str">
        <f ca="1">IF(AND('Planning Sheet'!CQ33='Weeks Plan'!$D$6,'Planning Sheet'!CK33='Weeks Plan'!$G$6),'Planning Sheet'!$B33,"")</f>
        <v/>
      </c>
      <c r="Z3486" s="48" t="str">
        <f ca="1">IF(AND('Planning Sheet'!CQ33='Weeks Plan'!$D$6,'Planning Sheet'!CK33='Weeks Plan'!$G$6),'Planning Sheet'!$CL33,"")</f>
        <v/>
      </c>
      <c r="AA3486" s="48" t="str">
        <f ca="1">IF(AND('Planning Sheet'!CQ33='Weeks Plan'!$D$6,'Planning Sheet'!CK33='Weeks Plan'!$G$6),'Planning Sheet'!$CM33,"")</f>
        <v/>
      </c>
    </row>
    <row r="3487" spans="25:27" x14ac:dyDescent="0.3">
      <c r="Y3487" s="48" t="str">
        <f ca="1">IF(AND('Planning Sheet'!CQ34='Weeks Plan'!$D$6,'Planning Sheet'!CK34='Weeks Plan'!$G$6),'Planning Sheet'!$B34,"")</f>
        <v/>
      </c>
      <c r="Z3487" s="48" t="str">
        <f ca="1">IF(AND('Planning Sheet'!CQ34='Weeks Plan'!$D$6,'Planning Sheet'!CK34='Weeks Plan'!$G$6),'Planning Sheet'!$CL34,"")</f>
        <v/>
      </c>
      <c r="AA3487" s="48" t="str">
        <f ca="1">IF(AND('Planning Sheet'!CQ34='Weeks Plan'!$D$6,'Planning Sheet'!CK34='Weeks Plan'!$G$6),'Planning Sheet'!$CM34,"")</f>
        <v/>
      </c>
    </row>
    <row r="3488" spans="25:27" x14ac:dyDescent="0.3">
      <c r="Y3488" s="48" t="str">
        <f ca="1">IF(AND('Planning Sheet'!CQ35='Weeks Plan'!$D$6,'Planning Sheet'!CK35='Weeks Plan'!$G$6),'Planning Sheet'!$B35,"")</f>
        <v/>
      </c>
      <c r="Z3488" s="48" t="str">
        <f ca="1">IF(AND('Planning Sheet'!CQ35='Weeks Plan'!$D$6,'Planning Sheet'!CK35='Weeks Plan'!$G$6),'Planning Sheet'!$CL35,"")</f>
        <v/>
      </c>
      <c r="AA3488" s="48" t="str">
        <f ca="1">IF(AND('Planning Sheet'!CQ35='Weeks Plan'!$D$6,'Planning Sheet'!CK35='Weeks Plan'!$G$6),'Planning Sheet'!$CM35,"")</f>
        <v/>
      </c>
    </row>
    <row r="3489" spans="25:27" x14ac:dyDescent="0.3">
      <c r="Y3489" s="48" t="str">
        <f ca="1">IF(AND('Planning Sheet'!CQ36='Weeks Plan'!$D$6,'Planning Sheet'!CK36='Weeks Plan'!$G$6),'Planning Sheet'!$B36,"")</f>
        <v/>
      </c>
      <c r="Z3489" s="48" t="str">
        <f ca="1">IF(AND('Planning Sheet'!CQ36='Weeks Plan'!$D$6,'Planning Sheet'!CK36='Weeks Plan'!$G$6),'Planning Sheet'!$CL36,"")</f>
        <v/>
      </c>
      <c r="AA3489" s="48" t="str">
        <f ca="1">IF(AND('Planning Sheet'!CQ36='Weeks Plan'!$D$6,'Planning Sheet'!CK36='Weeks Plan'!$G$6),'Planning Sheet'!$CM36,"")</f>
        <v/>
      </c>
    </row>
    <row r="3490" spans="25:27" x14ac:dyDescent="0.3">
      <c r="Y3490" s="48" t="str">
        <f ca="1">IF(AND('Planning Sheet'!CQ37='Weeks Plan'!$D$6,'Planning Sheet'!CK37='Weeks Plan'!$G$6),'Planning Sheet'!$B37,"")</f>
        <v/>
      </c>
      <c r="Z3490" s="48" t="str">
        <f ca="1">IF(AND('Planning Sheet'!CQ37='Weeks Plan'!$D$6,'Planning Sheet'!CK37='Weeks Plan'!$G$6),'Planning Sheet'!$CL37,"")</f>
        <v/>
      </c>
      <c r="AA3490" s="48" t="str">
        <f ca="1">IF(AND('Planning Sheet'!CQ37='Weeks Plan'!$D$6,'Planning Sheet'!CK37='Weeks Plan'!$G$6),'Planning Sheet'!$CM37,"")</f>
        <v/>
      </c>
    </row>
    <row r="3491" spans="25:27" x14ac:dyDescent="0.3">
      <c r="Y3491" s="48" t="str">
        <f ca="1">IF(AND('Planning Sheet'!CQ38='Weeks Plan'!$D$6,'Planning Sheet'!CK38='Weeks Plan'!$G$6),'Planning Sheet'!$B38,"")</f>
        <v/>
      </c>
      <c r="Z3491" s="48" t="str">
        <f ca="1">IF(AND('Planning Sheet'!CQ38='Weeks Plan'!$D$6,'Planning Sheet'!CK38='Weeks Plan'!$G$6),'Planning Sheet'!$CL38,"")</f>
        <v/>
      </c>
      <c r="AA3491" s="48" t="str">
        <f ca="1">IF(AND('Planning Sheet'!CQ38='Weeks Plan'!$D$6,'Planning Sheet'!CK38='Weeks Plan'!$G$6),'Planning Sheet'!$CM38,"")</f>
        <v/>
      </c>
    </row>
    <row r="3492" spans="25:27" x14ac:dyDescent="0.3">
      <c r="Y3492" s="48" t="str">
        <f ca="1">IF(AND('Planning Sheet'!CQ39='Weeks Plan'!$D$6,'Planning Sheet'!CK39='Weeks Plan'!$G$6),'Planning Sheet'!$B39,"")</f>
        <v/>
      </c>
      <c r="Z3492" s="48" t="str">
        <f ca="1">IF(AND('Planning Sheet'!CQ39='Weeks Plan'!$D$6,'Planning Sheet'!CK39='Weeks Plan'!$G$6),'Planning Sheet'!$CL39,"")</f>
        <v/>
      </c>
      <c r="AA3492" s="48" t="str">
        <f ca="1">IF(AND('Planning Sheet'!CQ39='Weeks Plan'!$D$6,'Planning Sheet'!CK39='Weeks Plan'!$G$6),'Planning Sheet'!$CM39,"")</f>
        <v/>
      </c>
    </row>
    <row r="3493" spans="25:27" x14ac:dyDescent="0.3">
      <c r="Y3493" s="48" t="str">
        <f ca="1">IF(AND('Planning Sheet'!CQ40='Weeks Plan'!$D$6,'Planning Sheet'!CK40='Weeks Plan'!$G$6),'Planning Sheet'!$B40,"")</f>
        <v/>
      </c>
      <c r="Z3493" s="48" t="str">
        <f ca="1">IF(AND('Planning Sheet'!CQ40='Weeks Plan'!$D$6,'Planning Sheet'!CK40='Weeks Plan'!$G$6),'Planning Sheet'!$CL40,"")</f>
        <v/>
      </c>
      <c r="AA3493" s="48" t="str">
        <f ca="1">IF(AND('Planning Sheet'!CQ40='Weeks Plan'!$D$6,'Planning Sheet'!CK40='Weeks Plan'!$G$6),'Planning Sheet'!$CM40,"")</f>
        <v/>
      </c>
    </row>
    <row r="3494" spans="25:27" x14ac:dyDescent="0.3">
      <c r="Y3494" s="48" t="str">
        <f ca="1">IF(AND('Planning Sheet'!CQ41='Weeks Plan'!$D$6,'Planning Sheet'!CK41='Weeks Plan'!$G$6),'Planning Sheet'!$B41,"")</f>
        <v/>
      </c>
      <c r="Z3494" s="48" t="str">
        <f ca="1">IF(AND('Planning Sheet'!CQ41='Weeks Plan'!$D$6,'Planning Sheet'!CK41='Weeks Plan'!$G$6),'Planning Sheet'!$CL41,"")</f>
        <v/>
      </c>
      <c r="AA3494" s="48" t="str">
        <f ca="1">IF(AND('Planning Sheet'!CQ41='Weeks Plan'!$D$6,'Planning Sheet'!CK41='Weeks Plan'!$G$6),'Planning Sheet'!$CM41,"")</f>
        <v/>
      </c>
    </row>
    <row r="3495" spans="25:27" x14ac:dyDescent="0.3">
      <c r="Y3495" s="48" t="str">
        <f ca="1">IF(AND('Planning Sheet'!CQ42='Weeks Plan'!$D$6,'Planning Sheet'!CK42='Weeks Plan'!$G$6),'Planning Sheet'!$B42,"")</f>
        <v/>
      </c>
      <c r="Z3495" s="48" t="str">
        <f ca="1">IF(AND('Planning Sheet'!CQ42='Weeks Plan'!$D$6,'Planning Sheet'!CK42='Weeks Plan'!$G$6),'Planning Sheet'!$CL42,"")</f>
        <v/>
      </c>
      <c r="AA3495" s="48" t="str">
        <f ca="1">IF(AND('Planning Sheet'!CQ42='Weeks Plan'!$D$6,'Planning Sheet'!CK42='Weeks Plan'!$G$6),'Planning Sheet'!$CM42,"")</f>
        <v/>
      </c>
    </row>
    <row r="3496" spans="25:27" x14ac:dyDescent="0.3">
      <c r="Y3496" s="48" t="str">
        <f ca="1">IF(AND('Planning Sheet'!CQ43='Weeks Plan'!$D$6,'Planning Sheet'!CK43='Weeks Plan'!$G$6),'Planning Sheet'!$B43,"")</f>
        <v/>
      </c>
      <c r="Z3496" s="48" t="str">
        <f ca="1">IF(AND('Planning Sheet'!CQ43='Weeks Plan'!$D$6,'Planning Sheet'!CK43='Weeks Plan'!$G$6),'Planning Sheet'!$CL43,"")</f>
        <v/>
      </c>
      <c r="AA3496" s="48" t="str">
        <f ca="1">IF(AND('Planning Sheet'!CQ43='Weeks Plan'!$D$6,'Planning Sheet'!CK43='Weeks Plan'!$G$6),'Planning Sheet'!$CM43,"")</f>
        <v/>
      </c>
    </row>
    <row r="3497" spans="25:27" x14ac:dyDescent="0.3">
      <c r="Y3497" s="48" t="str">
        <f ca="1">IF(AND('Planning Sheet'!CQ44='Weeks Plan'!$D$6,'Planning Sheet'!CK44='Weeks Plan'!$G$6),'Planning Sheet'!$B44,"")</f>
        <v/>
      </c>
      <c r="Z3497" s="48" t="str">
        <f ca="1">IF(AND('Planning Sheet'!CQ44='Weeks Plan'!$D$6,'Planning Sheet'!CK44='Weeks Plan'!$G$6),'Planning Sheet'!$CL44,"")</f>
        <v/>
      </c>
      <c r="AA3497" s="48" t="str">
        <f ca="1">IF(AND('Planning Sheet'!CQ44='Weeks Plan'!$D$6,'Planning Sheet'!CK44='Weeks Plan'!$G$6),'Planning Sheet'!$CM44,"")</f>
        <v/>
      </c>
    </row>
    <row r="3498" spans="25:27" x14ac:dyDescent="0.3">
      <c r="Y3498" s="48" t="str">
        <f ca="1">IF(AND('Planning Sheet'!CQ45='Weeks Plan'!$D$6,'Planning Sheet'!CK45='Weeks Plan'!$G$6),'Planning Sheet'!$B45,"")</f>
        <v/>
      </c>
      <c r="Z3498" s="48" t="str">
        <f ca="1">IF(AND('Planning Sheet'!CQ45='Weeks Plan'!$D$6,'Planning Sheet'!CK45='Weeks Plan'!$G$6),'Planning Sheet'!$CL45,"")</f>
        <v/>
      </c>
      <c r="AA3498" s="48" t="str">
        <f ca="1">IF(AND('Planning Sheet'!CQ45='Weeks Plan'!$D$6,'Planning Sheet'!CK45='Weeks Plan'!$G$6),'Planning Sheet'!$CM45,"")</f>
        <v/>
      </c>
    </row>
    <row r="3499" spans="25:27" x14ac:dyDescent="0.3">
      <c r="Y3499" s="48" t="str">
        <f ca="1">IF(AND('Planning Sheet'!CQ46='Weeks Plan'!$D$6,'Planning Sheet'!CK46='Weeks Plan'!$G$6),'Planning Sheet'!$B46,"")</f>
        <v/>
      </c>
      <c r="Z3499" s="48" t="str">
        <f ca="1">IF(AND('Planning Sheet'!CQ46='Weeks Plan'!$D$6,'Planning Sheet'!CK46='Weeks Plan'!$G$6),'Planning Sheet'!$CL46,"")</f>
        <v/>
      </c>
      <c r="AA3499" s="48" t="str">
        <f ca="1">IF(AND('Planning Sheet'!CQ46='Weeks Plan'!$D$6,'Planning Sheet'!CK46='Weeks Plan'!$G$6),'Planning Sheet'!$CM46,"")</f>
        <v/>
      </c>
    </row>
    <row r="3500" spans="25:27" x14ac:dyDescent="0.3">
      <c r="Y3500" s="48" t="str">
        <f ca="1">IF(AND('Planning Sheet'!CQ47='Weeks Plan'!$D$6,'Planning Sheet'!CK47='Weeks Plan'!$G$6),'Planning Sheet'!$B47,"")</f>
        <v/>
      </c>
      <c r="Z3500" s="48" t="str">
        <f ca="1">IF(AND('Planning Sheet'!CQ47='Weeks Plan'!$D$6,'Planning Sheet'!CK47='Weeks Plan'!$G$6),'Planning Sheet'!$CL47,"")</f>
        <v/>
      </c>
      <c r="AA3500" s="48" t="str">
        <f ca="1">IF(AND('Planning Sheet'!CQ47='Weeks Plan'!$D$6,'Planning Sheet'!CK47='Weeks Plan'!$G$6),'Planning Sheet'!$CM47,"")</f>
        <v/>
      </c>
    </row>
    <row r="3501" spans="25:27" x14ac:dyDescent="0.3">
      <c r="Y3501" s="48" t="str">
        <f ca="1">IF(AND('Planning Sheet'!CQ48='Weeks Plan'!$D$6,'Planning Sheet'!CK48='Weeks Plan'!$G$6),'Planning Sheet'!$B48,"")</f>
        <v/>
      </c>
      <c r="Z3501" s="48" t="str">
        <f ca="1">IF(AND('Planning Sheet'!CQ48='Weeks Plan'!$D$6,'Planning Sheet'!CK48='Weeks Plan'!$G$6),'Planning Sheet'!$CL48,"")</f>
        <v/>
      </c>
      <c r="AA3501" s="48" t="str">
        <f ca="1">IF(AND('Planning Sheet'!CQ48='Weeks Plan'!$D$6,'Planning Sheet'!CK48='Weeks Plan'!$G$6),'Planning Sheet'!$CM48,"")</f>
        <v/>
      </c>
    </row>
    <row r="3502" spans="25:27" x14ac:dyDescent="0.3">
      <c r="Y3502" s="48" t="str">
        <f ca="1">IF(AND('Planning Sheet'!CQ49='Weeks Plan'!$D$6,'Planning Sheet'!CK49='Weeks Plan'!$G$6),'Planning Sheet'!$B49,"")</f>
        <v/>
      </c>
      <c r="Z3502" s="48" t="str">
        <f ca="1">IF(AND('Planning Sheet'!CQ49='Weeks Plan'!$D$6,'Planning Sheet'!CK49='Weeks Plan'!$G$6),'Planning Sheet'!$CL49,"")</f>
        <v/>
      </c>
      <c r="AA3502" s="48" t="str">
        <f ca="1">IF(AND('Planning Sheet'!CQ49='Weeks Plan'!$D$6,'Planning Sheet'!CK49='Weeks Plan'!$G$6),'Planning Sheet'!$CM49,"")</f>
        <v/>
      </c>
    </row>
    <row r="3503" spans="25:27" x14ac:dyDescent="0.3">
      <c r="Y3503" s="48" t="str">
        <f ca="1">IF(AND('Planning Sheet'!CQ50='Weeks Plan'!$D$6,'Planning Sheet'!CK50='Weeks Plan'!$G$6),'Planning Sheet'!$B50,"")</f>
        <v/>
      </c>
      <c r="Z3503" s="48" t="str">
        <f ca="1">IF(AND('Planning Sheet'!CQ50='Weeks Plan'!$D$6,'Planning Sheet'!CK50='Weeks Plan'!$G$6),'Planning Sheet'!$CL50,"")</f>
        <v/>
      </c>
      <c r="AA3503" s="48" t="str">
        <f ca="1">IF(AND('Planning Sheet'!CQ50='Weeks Plan'!$D$6,'Planning Sheet'!CK50='Weeks Plan'!$G$6),'Planning Sheet'!$CM50,"")</f>
        <v/>
      </c>
    </row>
    <row r="3504" spans="25:27" x14ac:dyDescent="0.3">
      <c r="Y3504" s="48" t="str">
        <f ca="1">IF(AND('Planning Sheet'!CQ51='Weeks Plan'!$D$6,'Planning Sheet'!CK51='Weeks Plan'!$G$6),'Planning Sheet'!$B51,"")</f>
        <v/>
      </c>
      <c r="Z3504" s="48" t="str">
        <f ca="1">IF(AND('Planning Sheet'!CQ51='Weeks Plan'!$D$6,'Planning Sheet'!CK51='Weeks Plan'!$G$6),'Planning Sheet'!$CL51,"")</f>
        <v/>
      </c>
      <c r="AA3504" s="48" t="str">
        <f ca="1">IF(AND('Planning Sheet'!CQ51='Weeks Plan'!$D$6,'Planning Sheet'!CK51='Weeks Plan'!$G$6),'Planning Sheet'!$CM51,"")</f>
        <v/>
      </c>
    </row>
    <row r="3505" spans="25:27" x14ac:dyDescent="0.3">
      <c r="Y3505" s="48" t="str">
        <f ca="1">IF(AND('Planning Sheet'!CQ52='Weeks Plan'!$D$6,'Planning Sheet'!CK52='Weeks Plan'!$G$6),'Planning Sheet'!$B52,"")</f>
        <v/>
      </c>
      <c r="Z3505" s="48" t="str">
        <f ca="1">IF(AND('Planning Sheet'!CQ52='Weeks Plan'!$D$6,'Planning Sheet'!CK52='Weeks Plan'!$G$6),'Planning Sheet'!$CL52,"")</f>
        <v/>
      </c>
      <c r="AA3505" s="48" t="str">
        <f ca="1">IF(AND('Planning Sheet'!CQ52='Weeks Plan'!$D$6,'Planning Sheet'!CK52='Weeks Plan'!$G$6),'Planning Sheet'!$CM52,"")</f>
        <v/>
      </c>
    </row>
    <row r="3506" spans="25:27" x14ac:dyDescent="0.3">
      <c r="Y3506" s="48" t="str">
        <f ca="1">IF(AND('Planning Sheet'!CQ53='Weeks Plan'!$D$6,'Planning Sheet'!CK53='Weeks Plan'!$G$6),'Planning Sheet'!$B53,"")</f>
        <v/>
      </c>
      <c r="Z3506" s="48" t="str">
        <f ca="1">IF(AND('Planning Sheet'!CQ53='Weeks Plan'!$D$6,'Planning Sheet'!CK53='Weeks Plan'!$G$6),'Planning Sheet'!$CL53,"")</f>
        <v/>
      </c>
      <c r="AA3506" s="48" t="str">
        <f ca="1">IF(AND('Planning Sheet'!CQ53='Weeks Plan'!$D$6,'Planning Sheet'!CK53='Weeks Plan'!$G$6),'Planning Sheet'!$CM53,"")</f>
        <v/>
      </c>
    </row>
    <row r="3507" spans="25:27" x14ac:dyDescent="0.3">
      <c r="Y3507" s="48" t="str">
        <f ca="1">IF(AND('Planning Sheet'!CQ54='Weeks Plan'!$D$6,'Planning Sheet'!CK54='Weeks Plan'!$G$6),'Planning Sheet'!$B54,"")</f>
        <v/>
      </c>
      <c r="Z3507" s="48" t="str">
        <f ca="1">IF(AND('Planning Sheet'!CQ54='Weeks Plan'!$D$6,'Planning Sheet'!CK54='Weeks Plan'!$G$6),'Planning Sheet'!$CL54,"")</f>
        <v/>
      </c>
      <c r="AA3507" s="48" t="str">
        <f ca="1">IF(AND('Planning Sheet'!CQ54='Weeks Plan'!$D$6,'Planning Sheet'!CK54='Weeks Plan'!$G$6),'Planning Sheet'!$CM54,"")</f>
        <v/>
      </c>
    </row>
    <row r="3508" spans="25:27" x14ac:dyDescent="0.3">
      <c r="Y3508" s="48" t="str">
        <f ca="1">IF(AND('Planning Sheet'!CQ55='Weeks Plan'!$D$6,'Planning Sheet'!CK55='Weeks Plan'!$G$6),'Planning Sheet'!$B55,"")</f>
        <v/>
      </c>
      <c r="Z3508" s="48" t="str">
        <f ca="1">IF(AND('Planning Sheet'!CQ55='Weeks Plan'!$D$6,'Planning Sheet'!CK55='Weeks Plan'!$G$6),'Planning Sheet'!$CL55,"")</f>
        <v/>
      </c>
      <c r="AA3508" s="48" t="str">
        <f ca="1">IF(AND('Planning Sheet'!CQ55='Weeks Plan'!$D$6,'Planning Sheet'!CK55='Weeks Plan'!$G$6),'Planning Sheet'!$CM55,"")</f>
        <v/>
      </c>
    </row>
    <row r="3509" spans="25:27" x14ac:dyDescent="0.3">
      <c r="Y3509" s="48" t="str">
        <f ca="1">IF(AND('Planning Sheet'!CQ56='Weeks Plan'!$D$6,'Planning Sheet'!CK56='Weeks Plan'!$G$6),'Planning Sheet'!$B56,"")</f>
        <v/>
      </c>
      <c r="Z3509" s="48" t="str">
        <f ca="1">IF(AND('Planning Sheet'!CQ56='Weeks Plan'!$D$6,'Planning Sheet'!CK56='Weeks Plan'!$G$6),'Planning Sheet'!$CL56,"")</f>
        <v/>
      </c>
      <c r="AA3509" s="48" t="str">
        <f ca="1">IF(AND('Planning Sheet'!CQ56='Weeks Plan'!$D$6,'Planning Sheet'!CK56='Weeks Plan'!$G$6),'Planning Sheet'!$CM56,"")</f>
        <v/>
      </c>
    </row>
    <row r="3510" spans="25:27" x14ac:dyDescent="0.3">
      <c r="Y3510" s="48" t="str">
        <f ca="1">IF(AND('Planning Sheet'!CQ57='Weeks Plan'!$D$6,'Planning Sheet'!CK57='Weeks Plan'!$G$6),'Planning Sheet'!$B57,"")</f>
        <v/>
      </c>
      <c r="Z3510" s="48" t="str">
        <f ca="1">IF(AND('Planning Sheet'!CQ57='Weeks Plan'!$D$6,'Planning Sheet'!CK57='Weeks Plan'!$G$6),'Planning Sheet'!$CL57,"")</f>
        <v/>
      </c>
      <c r="AA3510" s="48" t="str">
        <f ca="1">IF(AND('Planning Sheet'!CQ57='Weeks Plan'!$D$6,'Planning Sheet'!CK57='Weeks Plan'!$G$6),'Planning Sheet'!$CM57,"")</f>
        <v/>
      </c>
    </row>
    <row r="3511" spans="25:27" x14ac:dyDescent="0.3">
      <c r="Y3511" s="48" t="str">
        <f ca="1">IF(AND('Planning Sheet'!CQ58='Weeks Plan'!$D$6,'Planning Sheet'!CK58='Weeks Plan'!$G$6),'Planning Sheet'!$B58,"")</f>
        <v/>
      </c>
      <c r="Z3511" s="48" t="str">
        <f ca="1">IF(AND('Planning Sheet'!CQ58='Weeks Plan'!$D$6,'Planning Sheet'!CK58='Weeks Plan'!$G$6),'Planning Sheet'!$CL58,"")</f>
        <v/>
      </c>
      <c r="AA3511" s="48" t="str">
        <f ca="1">IF(AND('Planning Sheet'!CQ58='Weeks Plan'!$D$6,'Planning Sheet'!CK58='Weeks Plan'!$G$6),'Planning Sheet'!$CM58,"")</f>
        <v/>
      </c>
    </row>
    <row r="3512" spans="25:27" x14ac:dyDescent="0.3">
      <c r="Y3512" s="48" t="str">
        <f ca="1">IF(AND('Planning Sheet'!CQ59='Weeks Plan'!$D$6,'Planning Sheet'!CK59='Weeks Plan'!$G$6),'Planning Sheet'!$B59,"")</f>
        <v/>
      </c>
      <c r="Z3512" s="48" t="str">
        <f ca="1">IF(AND('Planning Sheet'!CQ59='Weeks Plan'!$D$6,'Planning Sheet'!CK59='Weeks Plan'!$G$6),'Planning Sheet'!$CL59,"")</f>
        <v/>
      </c>
      <c r="AA3512" s="48" t="str">
        <f ca="1">IF(AND('Planning Sheet'!CQ59='Weeks Plan'!$D$6,'Planning Sheet'!CK59='Weeks Plan'!$G$6),'Planning Sheet'!$CM59,"")</f>
        <v/>
      </c>
    </row>
    <row r="3513" spans="25:27" x14ac:dyDescent="0.3">
      <c r="Y3513" s="48" t="str">
        <f ca="1">IF(AND('Planning Sheet'!CQ60='Weeks Plan'!$D$6,'Planning Sheet'!CK60='Weeks Plan'!$G$6),'Planning Sheet'!$B60,"")</f>
        <v/>
      </c>
      <c r="Z3513" s="48" t="str">
        <f ca="1">IF(AND('Planning Sheet'!CQ60='Weeks Plan'!$D$6,'Planning Sheet'!CK60='Weeks Plan'!$G$6),'Planning Sheet'!$CL60,"")</f>
        <v/>
      </c>
      <c r="AA3513" s="48" t="str">
        <f ca="1">IF(AND('Planning Sheet'!CQ60='Weeks Plan'!$D$6,'Planning Sheet'!CK60='Weeks Plan'!$G$6),'Planning Sheet'!$CM60,"")</f>
        <v/>
      </c>
    </row>
    <row r="3514" spans="25:27" x14ac:dyDescent="0.3">
      <c r="Y3514" s="48" t="str">
        <f ca="1">IF(AND('Planning Sheet'!CQ61='Weeks Plan'!$D$6,'Planning Sheet'!CK61='Weeks Plan'!$G$6),'Planning Sheet'!$B61,"")</f>
        <v/>
      </c>
      <c r="Z3514" s="48" t="str">
        <f ca="1">IF(AND('Planning Sheet'!CQ61='Weeks Plan'!$D$6,'Planning Sheet'!CK61='Weeks Plan'!$G$6),'Planning Sheet'!$CL61,"")</f>
        <v/>
      </c>
      <c r="AA3514" s="48" t="str">
        <f ca="1">IF(AND('Planning Sheet'!CQ61='Weeks Plan'!$D$6,'Planning Sheet'!CK61='Weeks Plan'!$G$6),'Planning Sheet'!$CM61,"")</f>
        <v/>
      </c>
    </row>
    <row r="3515" spans="25:27" x14ac:dyDescent="0.3">
      <c r="Y3515" s="48" t="str">
        <f ca="1">IF(AND('Planning Sheet'!CQ62='Weeks Plan'!$D$6,'Planning Sheet'!CK62='Weeks Plan'!$G$6),'Planning Sheet'!$B62,"")</f>
        <v/>
      </c>
      <c r="Z3515" s="48" t="str">
        <f ca="1">IF(AND('Planning Sheet'!CQ62='Weeks Plan'!$D$6,'Planning Sheet'!CK62='Weeks Plan'!$G$6),'Planning Sheet'!$CL62,"")</f>
        <v/>
      </c>
      <c r="AA3515" s="48" t="str">
        <f ca="1">IF(AND('Planning Sheet'!CQ62='Weeks Plan'!$D$6,'Planning Sheet'!CK62='Weeks Plan'!$G$6),'Planning Sheet'!$CM62,"")</f>
        <v/>
      </c>
    </row>
    <row r="3516" spans="25:27" x14ac:dyDescent="0.3">
      <c r="Y3516" s="48" t="str">
        <f ca="1">IF(AND('Planning Sheet'!CQ63='Weeks Plan'!$D$6,'Planning Sheet'!CK63='Weeks Plan'!$G$6),'Planning Sheet'!$B63,"")</f>
        <v/>
      </c>
      <c r="Z3516" s="48" t="str">
        <f ca="1">IF(AND('Planning Sheet'!CQ63='Weeks Plan'!$D$6,'Planning Sheet'!CK63='Weeks Plan'!$G$6),'Planning Sheet'!$CL63,"")</f>
        <v/>
      </c>
      <c r="AA3516" s="48" t="str">
        <f ca="1">IF(AND('Planning Sheet'!CQ63='Weeks Plan'!$D$6,'Planning Sheet'!CK63='Weeks Plan'!$G$6),'Planning Sheet'!$CM63,"")</f>
        <v/>
      </c>
    </row>
    <row r="3517" spans="25:27" x14ac:dyDescent="0.3">
      <c r="Y3517" s="48" t="str">
        <f ca="1">IF(AND('Planning Sheet'!CQ64='Weeks Plan'!$D$6,'Planning Sheet'!CK64='Weeks Plan'!$G$6),'Planning Sheet'!$B64,"")</f>
        <v/>
      </c>
      <c r="Z3517" s="48" t="str">
        <f ca="1">IF(AND('Planning Sheet'!CQ64='Weeks Plan'!$D$6,'Planning Sheet'!CK64='Weeks Plan'!$G$6),'Planning Sheet'!$CL64,"")</f>
        <v/>
      </c>
      <c r="AA3517" s="48" t="str">
        <f ca="1">IF(AND('Planning Sheet'!CQ64='Weeks Plan'!$D$6,'Planning Sheet'!CK64='Weeks Plan'!$G$6),'Planning Sheet'!$CM64,"")</f>
        <v/>
      </c>
    </row>
    <row r="3518" spans="25:27" x14ac:dyDescent="0.3">
      <c r="Y3518" s="48" t="str">
        <f ca="1">IF(AND('Planning Sheet'!CQ65='Weeks Plan'!$D$6,'Planning Sheet'!CK65='Weeks Plan'!$G$6),'Planning Sheet'!$B65,"")</f>
        <v/>
      </c>
      <c r="Z3518" s="48" t="str">
        <f ca="1">IF(AND('Planning Sheet'!CQ65='Weeks Plan'!$D$6,'Planning Sheet'!CK65='Weeks Plan'!$G$6),'Planning Sheet'!$CL65,"")</f>
        <v/>
      </c>
      <c r="AA3518" s="48" t="str">
        <f ca="1">IF(AND('Planning Sheet'!CQ65='Weeks Plan'!$D$6,'Planning Sheet'!CK65='Weeks Plan'!$G$6),'Planning Sheet'!$CM65,"")</f>
        <v/>
      </c>
    </row>
    <row r="3519" spans="25:27" x14ac:dyDescent="0.3">
      <c r="Y3519" s="48" t="str">
        <f ca="1">IF(AND('Planning Sheet'!CQ66='Weeks Plan'!$D$6,'Planning Sheet'!CK66='Weeks Plan'!$G$6),'Planning Sheet'!$B66,"")</f>
        <v/>
      </c>
      <c r="Z3519" s="48" t="str">
        <f ca="1">IF(AND('Planning Sheet'!CQ66='Weeks Plan'!$D$6,'Planning Sheet'!CK66='Weeks Plan'!$G$6),'Planning Sheet'!$CL66,"")</f>
        <v/>
      </c>
      <c r="AA3519" s="48" t="str">
        <f ca="1">IF(AND('Planning Sheet'!CQ66='Weeks Plan'!$D$6,'Planning Sheet'!CK66='Weeks Plan'!$G$6),'Planning Sheet'!$CM66,"")</f>
        <v/>
      </c>
    </row>
    <row r="3520" spans="25:27" x14ac:dyDescent="0.3">
      <c r="Y3520" s="48" t="str">
        <f ca="1">IF(AND('Planning Sheet'!CQ67='Weeks Plan'!$D$6,'Planning Sheet'!CK67='Weeks Plan'!$G$6),'Planning Sheet'!$B67,"")</f>
        <v/>
      </c>
      <c r="Z3520" s="48" t="str">
        <f ca="1">IF(AND('Planning Sheet'!CQ67='Weeks Plan'!$D$6,'Planning Sheet'!CK67='Weeks Plan'!$G$6),'Planning Sheet'!$CL67,"")</f>
        <v/>
      </c>
      <c r="AA3520" s="48" t="str">
        <f ca="1">IF(AND('Planning Sheet'!CQ67='Weeks Plan'!$D$6,'Planning Sheet'!CK67='Weeks Plan'!$G$6),'Planning Sheet'!$CM67,"")</f>
        <v/>
      </c>
    </row>
    <row r="3521" spans="25:27" x14ac:dyDescent="0.3">
      <c r="Y3521" s="48" t="str">
        <f ca="1">IF(AND('Planning Sheet'!CQ68='Weeks Plan'!$D$6,'Planning Sheet'!CK68='Weeks Plan'!$G$6),'Planning Sheet'!$B68,"")</f>
        <v/>
      </c>
      <c r="Z3521" s="48" t="str">
        <f ca="1">IF(AND('Planning Sheet'!CQ68='Weeks Plan'!$D$6,'Planning Sheet'!CK68='Weeks Plan'!$G$6),'Planning Sheet'!$CL68,"")</f>
        <v/>
      </c>
      <c r="AA3521" s="48" t="str">
        <f ca="1">IF(AND('Planning Sheet'!CQ68='Weeks Plan'!$D$6,'Planning Sheet'!CK68='Weeks Plan'!$G$6),'Planning Sheet'!$CM68,"")</f>
        <v/>
      </c>
    </row>
    <row r="3522" spans="25:27" x14ac:dyDescent="0.3">
      <c r="Y3522" s="48" t="str">
        <f ca="1">IF(AND('Planning Sheet'!CQ69='Weeks Plan'!$D$6,'Planning Sheet'!CK69='Weeks Plan'!$G$6),'Planning Sheet'!$B69,"")</f>
        <v/>
      </c>
      <c r="Z3522" s="48" t="str">
        <f ca="1">IF(AND('Planning Sheet'!CQ69='Weeks Plan'!$D$6,'Planning Sheet'!CK69='Weeks Plan'!$G$6),'Planning Sheet'!$CL69,"")</f>
        <v/>
      </c>
      <c r="AA3522" s="48" t="str">
        <f ca="1">IF(AND('Planning Sheet'!CQ69='Weeks Plan'!$D$6,'Planning Sheet'!CK69='Weeks Plan'!$G$6),'Planning Sheet'!$CM69,"")</f>
        <v/>
      </c>
    </row>
    <row r="3523" spans="25:27" x14ac:dyDescent="0.3">
      <c r="Y3523" s="48" t="str">
        <f ca="1">IF(AND('Planning Sheet'!CQ70='Weeks Plan'!$D$6,'Planning Sheet'!CK70='Weeks Plan'!$G$6),'Planning Sheet'!$B70,"")</f>
        <v/>
      </c>
      <c r="Z3523" s="48" t="str">
        <f ca="1">IF(AND('Planning Sheet'!CQ70='Weeks Plan'!$D$6,'Planning Sheet'!CK70='Weeks Plan'!$G$6),'Planning Sheet'!$CL70,"")</f>
        <v/>
      </c>
      <c r="AA3523" s="48" t="str">
        <f ca="1">IF(AND('Planning Sheet'!CQ70='Weeks Plan'!$D$6,'Planning Sheet'!CK70='Weeks Plan'!$G$6),'Planning Sheet'!$CM70,"")</f>
        <v/>
      </c>
    </row>
    <row r="3524" spans="25:27" x14ac:dyDescent="0.3">
      <c r="Y3524" s="48" t="str">
        <f ca="1">IF(AND('Planning Sheet'!CQ71='Weeks Plan'!$D$6,'Planning Sheet'!CK71='Weeks Plan'!$G$6),'Planning Sheet'!$B71,"")</f>
        <v/>
      </c>
      <c r="Z3524" s="48" t="str">
        <f ca="1">IF(AND('Planning Sheet'!CQ71='Weeks Plan'!$D$6,'Planning Sheet'!CK71='Weeks Plan'!$G$6),'Planning Sheet'!$CL71,"")</f>
        <v/>
      </c>
      <c r="AA3524" s="48" t="str">
        <f ca="1">IF(AND('Planning Sheet'!CQ71='Weeks Plan'!$D$6,'Planning Sheet'!CK71='Weeks Plan'!$G$6),'Planning Sheet'!$CM71,"")</f>
        <v/>
      </c>
    </row>
    <row r="3525" spans="25:27" x14ac:dyDescent="0.3">
      <c r="Y3525" s="48" t="str">
        <f ca="1">IF(AND('Planning Sheet'!CQ72='Weeks Plan'!$D$6,'Planning Sheet'!CK72='Weeks Plan'!$G$6),'Planning Sheet'!$B72,"")</f>
        <v/>
      </c>
      <c r="Z3525" s="48" t="str">
        <f ca="1">IF(AND('Planning Sheet'!CQ72='Weeks Plan'!$D$6,'Planning Sheet'!CK72='Weeks Plan'!$G$6),'Planning Sheet'!$CL72,"")</f>
        <v/>
      </c>
      <c r="AA3525" s="48" t="str">
        <f ca="1">IF(AND('Planning Sheet'!CQ72='Weeks Plan'!$D$6,'Planning Sheet'!CK72='Weeks Plan'!$G$6),'Planning Sheet'!$CM72,"")</f>
        <v/>
      </c>
    </row>
    <row r="3526" spans="25:27" x14ac:dyDescent="0.3">
      <c r="Y3526" s="48" t="str">
        <f ca="1">IF(AND('Planning Sheet'!CQ73='Weeks Plan'!$D$6,'Planning Sheet'!CK73='Weeks Plan'!$G$6),'Planning Sheet'!$B73,"")</f>
        <v/>
      </c>
      <c r="Z3526" s="48" t="str">
        <f ca="1">IF(AND('Planning Sheet'!CQ73='Weeks Plan'!$D$6,'Planning Sheet'!CK73='Weeks Plan'!$G$6),'Planning Sheet'!$CL73,"")</f>
        <v/>
      </c>
      <c r="AA3526" s="48" t="str">
        <f ca="1">IF(AND('Planning Sheet'!CQ73='Weeks Plan'!$D$6,'Planning Sheet'!CK73='Weeks Plan'!$G$6),'Planning Sheet'!$CM73,"")</f>
        <v/>
      </c>
    </row>
    <row r="3527" spans="25:27" x14ac:dyDescent="0.3">
      <c r="Y3527" s="48" t="str">
        <f ca="1">IF(AND('Planning Sheet'!CQ74='Weeks Plan'!$D$6,'Planning Sheet'!CK74='Weeks Plan'!$G$6),'Planning Sheet'!$B74,"")</f>
        <v/>
      </c>
      <c r="Z3527" s="48" t="str">
        <f ca="1">IF(AND('Planning Sheet'!CQ74='Weeks Plan'!$D$6,'Planning Sheet'!CK74='Weeks Plan'!$G$6),'Planning Sheet'!$CL74,"")</f>
        <v/>
      </c>
      <c r="AA3527" s="48" t="str">
        <f ca="1">IF(AND('Planning Sheet'!CQ74='Weeks Plan'!$D$6,'Planning Sheet'!CK74='Weeks Plan'!$G$6),'Planning Sheet'!$CM74,"")</f>
        <v/>
      </c>
    </row>
    <row r="3528" spans="25:27" x14ac:dyDescent="0.3">
      <c r="Y3528" s="48" t="str">
        <f ca="1">IF(AND('Planning Sheet'!CQ75='Weeks Plan'!$D$6,'Planning Sheet'!CK75='Weeks Plan'!$G$6),'Planning Sheet'!$B75,"")</f>
        <v/>
      </c>
      <c r="Z3528" s="48" t="str">
        <f ca="1">IF(AND('Planning Sheet'!CQ75='Weeks Plan'!$D$6,'Planning Sheet'!CK75='Weeks Plan'!$G$6),'Planning Sheet'!$CL75,"")</f>
        <v/>
      </c>
      <c r="AA3528" s="48" t="str">
        <f ca="1">IF(AND('Planning Sheet'!CQ75='Weeks Plan'!$D$6,'Planning Sheet'!CK75='Weeks Plan'!$G$6),'Planning Sheet'!$CM75,"")</f>
        <v/>
      </c>
    </row>
    <row r="3529" spans="25:27" x14ac:dyDescent="0.3">
      <c r="Y3529" s="48" t="str">
        <f ca="1">IF(AND('Planning Sheet'!CQ76='Weeks Plan'!$D$6,'Planning Sheet'!CK76='Weeks Plan'!$G$6),'Planning Sheet'!$B76,"")</f>
        <v/>
      </c>
      <c r="Z3529" s="48" t="str">
        <f ca="1">IF(AND('Planning Sheet'!CQ76='Weeks Plan'!$D$6,'Planning Sheet'!CK76='Weeks Plan'!$G$6),'Planning Sheet'!$CL76,"")</f>
        <v/>
      </c>
      <c r="AA3529" s="48" t="str">
        <f ca="1">IF(AND('Planning Sheet'!CQ76='Weeks Plan'!$D$6,'Planning Sheet'!CK76='Weeks Plan'!$G$6),'Planning Sheet'!$CM76,"")</f>
        <v/>
      </c>
    </row>
    <row r="3530" spans="25:27" x14ac:dyDescent="0.3">
      <c r="Y3530" s="48" t="str">
        <f ca="1">IF(AND('Planning Sheet'!CQ77='Weeks Plan'!$D$6,'Planning Sheet'!CK77='Weeks Plan'!$G$6),'Planning Sheet'!$B77,"")</f>
        <v/>
      </c>
      <c r="Z3530" s="48" t="str">
        <f ca="1">IF(AND('Planning Sheet'!CQ77='Weeks Plan'!$D$6,'Planning Sheet'!CK77='Weeks Plan'!$G$6),'Planning Sheet'!$CL77,"")</f>
        <v/>
      </c>
      <c r="AA3530" s="48" t="str">
        <f ca="1">IF(AND('Planning Sheet'!CQ77='Weeks Plan'!$D$6,'Planning Sheet'!CK77='Weeks Plan'!$G$6),'Planning Sheet'!$CM77,"")</f>
        <v/>
      </c>
    </row>
    <row r="3531" spans="25:27" x14ac:dyDescent="0.3">
      <c r="Y3531" s="48" t="str">
        <f ca="1">IF(AND('Planning Sheet'!CQ78='Weeks Plan'!$D$6,'Planning Sheet'!CK78='Weeks Plan'!$G$6),'Planning Sheet'!$B78,"")</f>
        <v/>
      </c>
      <c r="Z3531" s="48" t="str">
        <f ca="1">IF(AND('Planning Sheet'!CQ78='Weeks Plan'!$D$6,'Planning Sheet'!CK78='Weeks Plan'!$G$6),'Planning Sheet'!$CL78,"")</f>
        <v/>
      </c>
      <c r="AA3531" s="48" t="str">
        <f ca="1">IF(AND('Planning Sheet'!CQ78='Weeks Plan'!$D$6,'Planning Sheet'!CK78='Weeks Plan'!$G$6),'Planning Sheet'!$CM78,"")</f>
        <v/>
      </c>
    </row>
    <row r="3532" spans="25:27" x14ac:dyDescent="0.3">
      <c r="Y3532" s="48" t="str">
        <f ca="1">IF(AND('Planning Sheet'!CQ79='Weeks Plan'!$D$6,'Planning Sheet'!CK79='Weeks Plan'!$G$6),'Planning Sheet'!$B79,"")</f>
        <v/>
      </c>
      <c r="Z3532" s="48" t="str">
        <f ca="1">IF(AND('Planning Sheet'!CQ79='Weeks Plan'!$D$6,'Planning Sheet'!CK79='Weeks Plan'!$G$6),'Planning Sheet'!$CL79,"")</f>
        <v/>
      </c>
      <c r="AA3532" s="48" t="str">
        <f ca="1">IF(AND('Planning Sheet'!CQ79='Weeks Plan'!$D$6,'Planning Sheet'!CK79='Weeks Plan'!$G$6),'Planning Sheet'!$CM79,"")</f>
        <v/>
      </c>
    </row>
    <row r="3533" spans="25:27" x14ac:dyDescent="0.3">
      <c r="Y3533" s="48" t="str">
        <f ca="1">IF(AND('Planning Sheet'!CQ80='Weeks Plan'!$D$6,'Planning Sheet'!CK80='Weeks Plan'!$G$6),'Planning Sheet'!$B80,"")</f>
        <v/>
      </c>
      <c r="Z3533" s="48" t="str">
        <f ca="1">IF(AND('Planning Sheet'!CQ80='Weeks Plan'!$D$6,'Planning Sheet'!CK80='Weeks Plan'!$G$6),'Planning Sheet'!$CL80,"")</f>
        <v/>
      </c>
      <c r="AA3533" s="48" t="str">
        <f ca="1">IF(AND('Planning Sheet'!CQ80='Weeks Plan'!$D$6,'Planning Sheet'!CK80='Weeks Plan'!$G$6),'Planning Sheet'!$CM80,"")</f>
        <v/>
      </c>
    </row>
    <row r="3534" spans="25:27" x14ac:dyDescent="0.3">
      <c r="Y3534" s="48" t="str">
        <f ca="1">IF(AND('Planning Sheet'!CQ81='Weeks Plan'!$D$6,'Planning Sheet'!CK81='Weeks Plan'!$G$6),'Planning Sheet'!$B81,"")</f>
        <v/>
      </c>
      <c r="Z3534" s="48" t="str">
        <f ca="1">IF(AND('Planning Sheet'!CQ81='Weeks Plan'!$D$6,'Planning Sheet'!CK81='Weeks Plan'!$G$6),'Planning Sheet'!$CL81,"")</f>
        <v/>
      </c>
      <c r="AA3534" s="48" t="str">
        <f ca="1">IF(AND('Planning Sheet'!CQ81='Weeks Plan'!$D$6,'Planning Sheet'!CK81='Weeks Plan'!$G$6),'Planning Sheet'!$CM81,"")</f>
        <v/>
      </c>
    </row>
    <row r="3535" spans="25:27" x14ac:dyDescent="0.3">
      <c r="Y3535" s="48" t="str">
        <f ca="1">IF(AND('Planning Sheet'!CQ82='Weeks Plan'!$D$6,'Planning Sheet'!CK82='Weeks Plan'!$G$6),'Planning Sheet'!$B82,"")</f>
        <v/>
      </c>
      <c r="Z3535" s="48" t="str">
        <f ca="1">IF(AND('Planning Sheet'!CQ82='Weeks Plan'!$D$6,'Planning Sheet'!CK82='Weeks Plan'!$G$6),'Planning Sheet'!$CL82,"")</f>
        <v/>
      </c>
      <c r="AA3535" s="48" t="str">
        <f ca="1">IF(AND('Planning Sheet'!CQ82='Weeks Plan'!$D$6,'Planning Sheet'!CK82='Weeks Plan'!$G$6),'Planning Sheet'!$CM82,"")</f>
        <v/>
      </c>
    </row>
    <row r="3536" spans="25:27" x14ac:dyDescent="0.3">
      <c r="Y3536" s="48" t="str">
        <f ca="1">IF(AND('Planning Sheet'!CQ83='Weeks Plan'!$D$6,'Planning Sheet'!CK83='Weeks Plan'!$G$6),'Planning Sheet'!$B83,"")</f>
        <v/>
      </c>
      <c r="Z3536" s="48" t="str">
        <f ca="1">IF(AND('Planning Sheet'!CQ83='Weeks Plan'!$D$6,'Planning Sheet'!CK83='Weeks Plan'!$G$6),'Planning Sheet'!$CL83,"")</f>
        <v/>
      </c>
      <c r="AA3536" s="48" t="str">
        <f ca="1">IF(AND('Planning Sheet'!CQ83='Weeks Plan'!$D$6,'Planning Sheet'!CK83='Weeks Plan'!$G$6),'Planning Sheet'!$CM83,"")</f>
        <v/>
      </c>
    </row>
    <row r="3537" spans="25:27" x14ac:dyDescent="0.3">
      <c r="Y3537" s="48" t="str">
        <f ca="1">IF(AND('Planning Sheet'!CQ84='Weeks Plan'!$D$6,'Planning Sheet'!CK84='Weeks Plan'!$G$6),'Planning Sheet'!$B84,"")</f>
        <v/>
      </c>
      <c r="Z3537" s="48" t="str">
        <f ca="1">IF(AND('Planning Sheet'!CQ84='Weeks Plan'!$D$6,'Planning Sheet'!CK84='Weeks Plan'!$G$6),'Planning Sheet'!$CL84,"")</f>
        <v/>
      </c>
      <c r="AA3537" s="48" t="str">
        <f ca="1">IF(AND('Planning Sheet'!CQ84='Weeks Plan'!$D$6,'Planning Sheet'!CK84='Weeks Plan'!$G$6),'Planning Sheet'!$CM84,"")</f>
        <v/>
      </c>
    </row>
    <row r="3538" spans="25:27" x14ac:dyDescent="0.3">
      <c r="Y3538" s="48" t="str">
        <f ca="1">IF(AND('Planning Sheet'!CQ85='Weeks Plan'!$D$6,'Planning Sheet'!CK85='Weeks Plan'!$G$6),'Planning Sheet'!$B85,"")</f>
        <v/>
      </c>
      <c r="Z3538" s="48" t="str">
        <f ca="1">IF(AND('Planning Sheet'!CQ85='Weeks Plan'!$D$6,'Planning Sheet'!CK85='Weeks Plan'!$G$6),'Planning Sheet'!$CL85,"")</f>
        <v/>
      </c>
      <c r="AA3538" s="48" t="str">
        <f ca="1">IF(AND('Planning Sheet'!CQ85='Weeks Plan'!$D$6,'Planning Sheet'!CK85='Weeks Plan'!$G$6),'Planning Sheet'!$CM85,"")</f>
        <v/>
      </c>
    </row>
    <row r="3539" spans="25:27" x14ac:dyDescent="0.3">
      <c r="Y3539" s="48" t="str">
        <f ca="1">IF(AND('Planning Sheet'!CQ86='Weeks Plan'!$D$6,'Planning Sheet'!CK86='Weeks Plan'!$G$6),'Planning Sheet'!$B86,"")</f>
        <v/>
      </c>
      <c r="Z3539" s="48" t="str">
        <f ca="1">IF(AND('Planning Sheet'!CQ86='Weeks Plan'!$D$6,'Planning Sheet'!CK86='Weeks Plan'!$G$6),'Planning Sheet'!$CL86,"")</f>
        <v/>
      </c>
      <c r="AA3539" s="48" t="str">
        <f ca="1">IF(AND('Planning Sheet'!CQ86='Weeks Plan'!$D$6,'Planning Sheet'!CK86='Weeks Plan'!$G$6),'Planning Sheet'!$CM86,"")</f>
        <v/>
      </c>
    </row>
    <row r="3540" spans="25:27" x14ac:dyDescent="0.3">
      <c r="Y3540" s="48" t="str">
        <f ca="1">IF(AND('Planning Sheet'!CQ87='Weeks Plan'!$D$6,'Planning Sheet'!CK87='Weeks Plan'!$G$6),'Planning Sheet'!$B87,"")</f>
        <v/>
      </c>
      <c r="Z3540" s="48" t="str">
        <f ca="1">IF(AND('Planning Sheet'!CQ87='Weeks Plan'!$D$6,'Planning Sheet'!CK87='Weeks Plan'!$G$6),'Planning Sheet'!$CL87,"")</f>
        <v/>
      </c>
      <c r="AA3540" s="48" t="str">
        <f ca="1">IF(AND('Planning Sheet'!CQ87='Weeks Plan'!$D$6,'Planning Sheet'!CK87='Weeks Plan'!$G$6),'Planning Sheet'!$CM87,"")</f>
        <v/>
      </c>
    </row>
    <row r="3541" spans="25:27" x14ac:dyDescent="0.3">
      <c r="Y3541" s="48" t="str">
        <f ca="1">IF(AND('Planning Sheet'!CQ88='Weeks Plan'!$D$6,'Planning Sheet'!CK88='Weeks Plan'!$G$6),'Planning Sheet'!$B88,"")</f>
        <v/>
      </c>
      <c r="Z3541" s="48" t="str">
        <f ca="1">IF(AND('Planning Sheet'!CQ88='Weeks Plan'!$D$6,'Planning Sheet'!CK88='Weeks Plan'!$G$6),'Planning Sheet'!$CL88,"")</f>
        <v/>
      </c>
      <c r="AA3541" s="48" t="str">
        <f ca="1">IF(AND('Planning Sheet'!CQ88='Weeks Plan'!$D$6,'Planning Sheet'!CK88='Weeks Plan'!$G$6),'Planning Sheet'!$CM88,"")</f>
        <v/>
      </c>
    </row>
    <row r="3542" spans="25:27" x14ac:dyDescent="0.3">
      <c r="Y3542" s="48" t="str">
        <f ca="1">IF(AND('Planning Sheet'!CQ89='Weeks Plan'!$D$6,'Planning Sheet'!CK89='Weeks Plan'!$G$6),'Planning Sheet'!$B89,"")</f>
        <v/>
      </c>
      <c r="Z3542" s="48" t="str">
        <f ca="1">IF(AND('Planning Sheet'!CQ89='Weeks Plan'!$D$6,'Planning Sheet'!CK89='Weeks Plan'!$G$6),'Planning Sheet'!$CL89,"")</f>
        <v/>
      </c>
      <c r="AA3542" s="48" t="str">
        <f ca="1">IF(AND('Planning Sheet'!CQ89='Weeks Plan'!$D$6,'Planning Sheet'!CK89='Weeks Plan'!$G$6),'Planning Sheet'!$CM89,"")</f>
        <v/>
      </c>
    </row>
    <row r="3543" spans="25:27" x14ac:dyDescent="0.3">
      <c r="Y3543" s="48" t="str">
        <f ca="1">IF(AND('Planning Sheet'!CQ90='Weeks Plan'!$D$6,'Planning Sheet'!CK90='Weeks Plan'!$G$6),'Planning Sheet'!$B90,"")</f>
        <v/>
      </c>
      <c r="Z3543" s="48" t="str">
        <f ca="1">IF(AND('Planning Sheet'!CQ90='Weeks Plan'!$D$6,'Planning Sheet'!CK90='Weeks Plan'!$G$6),'Planning Sheet'!$CL90,"")</f>
        <v/>
      </c>
      <c r="AA3543" s="48" t="str">
        <f ca="1">IF(AND('Planning Sheet'!CQ90='Weeks Plan'!$D$6,'Planning Sheet'!CK90='Weeks Plan'!$G$6),'Planning Sheet'!$CM90,"")</f>
        <v/>
      </c>
    </row>
    <row r="3544" spans="25:27" x14ac:dyDescent="0.3">
      <c r="Y3544" s="48" t="str">
        <f ca="1">IF(AND('Planning Sheet'!CQ91='Weeks Plan'!$D$6,'Planning Sheet'!CK91='Weeks Plan'!$G$6),'Planning Sheet'!$B91,"")</f>
        <v/>
      </c>
      <c r="Z3544" s="48" t="str">
        <f ca="1">IF(AND('Planning Sheet'!CQ91='Weeks Plan'!$D$6,'Planning Sheet'!CK91='Weeks Plan'!$G$6),'Planning Sheet'!$CL91,"")</f>
        <v/>
      </c>
      <c r="AA3544" s="48" t="str">
        <f ca="1">IF(AND('Planning Sheet'!CQ91='Weeks Plan'!$D$6,'Planning Sheet'!CK91='Weeks Plan'!$G$6),'Planning Sheet'!$CM91,"")</f>
        <v/>
      </c>
    </row>
    <row r="3545" spans="25:27" x14ac:dyDescent="0.3">
      <c r="Y3545" s="48" t="str">
        <f ca="1">IF(AND('Planning Sheet'!CQ92='Weeks Plan'!$D$6,'Planning Sheet'!CK92='Weeks Plan'!$G$6),'Planning Sheet'!$B92,"")</f>
        <v/>
      </c>
      <c r="Z3545" s="48" t="str">
        <f ca="1">IF(AND('Planning Sheet'!CQ92='Weeks Plan'!$D$6,'Planning Sheet'!CK92='Weeks Plan'!$G$6),'Planning Sheet'!$CL92,"")</f>
        <v/>
      </c>
      <c r="AA3545" s="48" t="str">
        <f ca="1">IF(AND('Planning Sheet'!CQ92='Weeks Plan'!$D$6,'Planning Sheet'!CK92='Weeks Plan'!$G$6),'Planning Sheet'!$CM92,"")</f>
        <v/>
      </c>
    </row>
    <row r="3546" spans="25:27" x14ac:dyDescent="0.3">
      <c r="Y3546" s="48" t="str">
        <f ca="1">IF(AND('Planning Sheet'!CQ93='Weeks Plan'!$D$6,'Planning Sheet'!CK93='Weeks Plan'!$G$6),'Planning Sheet'!$B93,"")</f>
        <v/>
      </c>
      <c r="Z3546" s="48" t="str">
        <f ca="1">IF(AND('Planning Sheet'!CQ93='Weeks Plan'!$D$6,'Planning Sheet'!CK93='Weeks Plan'!$G$6),'Planning Sheet'!$CL93,"")</f>
        <v/>
      </c>
      <c r="AA3546" s="48" t="str">
        <f ca="1">IF(AND('Planning Sheet'!CQ93='Weeks Plan'!$D$6,'Planning Sheet'!CK93='Weeks Plan'!$G$6),'Planning Sheet'!$CM93,"")</f>
        <v/>
      </c>
    </row>
    <row r="3547" spans="25:27" x14ac:dyDescent="0.3">
      <c r="Y3547" s="48" t="str">
        <f ca="1">IF(AND('Planning Sheet'!CQ94='Weeks Plan'!$D$6,'Planning Sheet'!CK94='Weeks Plan'!$G$6),'Planning Sheet'!$B94,"")</f>
        <v/>
      </c>
      <c r="Z3547" s="48" t="str">
        <f ca="1">IF(AND('Planning Sheet'!CQ94='Weeks Plan'!$D$6,'Planning Sheet'!CK94='Weeks Plan'!$G$6),'Planning Sheet'!$CL94,"")</f>
        <v/>
      </c>
      <c r="AA3547" s="48" t="str">
        <f ca="1">IF(AND('Planning Sheet'!CQ94='Weeks Plan'!$D$6,'Planning Sheet'!CK94='Weeks Plan'!$G$6),'Planning Sheet'!$CM94,"")</f>
        <v/>
      </c>
    </row>
    <row r="3548" spans="25:27" x14ac:dyDescent="0.3">
      <c r="Y3548" s="48" t="str">
        <f ca="1">IF(AND('Planning Sheet'!CQ95='Weeks Plan'!$D$6,'Planning Sheet'!CK95='Weeks Plan'!$G$6),'Planning Sheet'!$B95,"")</f>
        <v/>
      </c>
      <c r="Z3548" s="48" t="str">
        <f ca="1">IF(AND('Planning Sheet'!CQ95='Weeks Plan'!$D$6,'Planning Sheet'!CK95='Weeks Plan'!$G$6),'Planning Sheet'!$CL95,"")</f>
        <v/>
      </c>
      <c r="AA3548" s="48" t="str">
        <f ca="1">IF(AND('Planning Sheet'!CQ95='Weeks Plan'!$D$6,'Planning Sheet'!CK95='Weeks Plan'!$G$6),'Planning Sheet'!$CM95,"")</f>
        <v/>
      </c>
    </row>
    <row r="3549" spans="25:27" x14ac:dyDescent="0.3">
      <c r="Y3549" s="48" t="str">
        <f ca="1">IF(AND('Planning Sheet'!CQ96='Weeks Plan'!$D$6,'Planning Sheet'!CK96='Weeks Plan'!$G$6),'Planning Sheet'!$B96,"")</f>
        <v/>
      </c>
      <c r="Z3549" s="48" t="str">
        <f ca="1">IF(AND('Planning Sheet'!CQ96='Weeks Plan'!$D$6,'Planning Sheet'!CK96='Weeks Plan'!$G$6),'Planning Sheet'!$CL96,"")</f>
        <v/>
      </c>
      <c r="AA3549" s="48" t="str">
        <f ca="1">IF(AND('Planning Sheet'!CQ96='Weeks Plan'!$D$6,'Planning Sheet'!CK96='Weeks Plan'!$G$6),'Planning Sheet'!$CM96,"")</f>
        <v/>
      </c>
    </row>
    <row r="3550" spans="25:27" x14ac:dyDescent="0.3">
      <c r="Y3550" s="48" t="str">
        <f ca="1">IF(AND('Planning Sheet'!CQ97='Weeks Plan'!$D$6,'Planning Sheet'!CK97='Weeks Plan'!$G$6),'Planning Sheet'!$B97,"")</f>
        <v/>
      </c>
      <c r="Z3550" s="48" t="str">
        <f ca="1">IF(AND('Planning Sheet'!CQ97='Weeks Plan'!$D$6,'Planning Sheet'!CK97='Weeks Plan'!$G$6),'Planning Sheet'!$CL97,"")</f>
        <v/>
      </c>
      <c r="AA3550" s="48" t="str">
        <f ca="1">IF(AND('Planning Sheet'!CQ97='Weeks Plan'!$D$6,'Planning Sheet'!CK97='Weeks Plan'!$G$6),'Planning Sheet'!$CM97,"")</f>
        <v/>
      </c>
    </row>
    <row r="3551" spans="25:27" x14ac:dyDescent="0.3">
      <c r="Y3551" s="48" t="str">
        <f ca="1">IF(AND('Planning Sheet'!CQ98='Weeks Plan'!$D$6,'Planning Sheet'!CK98='Weeks Plan'!$G$6),'Planning Sheet'!$B98,"")</f>
        <v/>
      </c>
      <c r="Z3551" s="48" t="str">
        <f ca="1">IF(AND('Planning Sheet'!CQ98='Weeks Plan'!$D$6,'Planning Sheet'!CK98='Weeks Plan'!$G$6),'Planning Sheet'!$CL98,"")</f>
        <v/>
      </c>
      <c r="AA3551" s="48" t="str">
        <f ca="1">IF(AND('Planning Sheet'!CQ98='Weeks Plan'!$D$6,'Planning Sheet'!CK98='Weeks Plan'!$G$6),'Planning Sheet'!$CM98,"")</f>
        <v/>
      </c>
    </row>
    <row r="3552" spans="25:27" x14ac:dyDescent="0.3">
      <c r="Y3552" s="48" t="str">
        <f ca="1">IF(AND('Planning Sheet'!CQ99='Weeks Plan'!$D$6,'Planning Sheet'!CK99='Weeks Plan'!$G$6),'Planning Sheet'!$B99,"")</f>
        <v/>
      </c>
      <c r="Z3552" s="48" t="str">
        <f ca="1">IF(AND('Planning Sheet'!CQ99='Weeks Plan'!$D$6,'Planning Sheet'!CK99='Weeks Plan'!$G$6),'Planning Sheet'!$CL99,"")</f>
        <v/>
      </c>
      <c r="AA3552" s="48" t="str">
        <f ca="1">IF(AND('Planning Sheet'!CQ99='Weeks Plan'!$D$6,'Planning Sheet'!CK99='Weeks Plan'!$G$6),'Planning Sheet'!$CM99,"")</f>
        <v/>
      </c>
    </row>
    <row r="3553" spans="25:27" x14ac:dyDescent="0.3">
      <c r="Y3553" s="48" t="str">
        <f ca="1">IF(AND('Planning Sheet'!CQ100='Weeks Plan'!$D$6,'Planning Sheet'!CK100='Weeks Plan'!$G$6),'Planning Sheet'!$B100,"")</f>
        <v/>
      </c>
      <c r="Z3553" s="48" t="str">
        <f ca="1">IF(AND('Planning Sheet'!CQ100='Weeks Plan'!$D$6,'Planning Sheet'!CK100='Weeks Plan'!$G$6),'Planning Sheet'!$CL100,"")</f>
        <v/>
      </c>
      <c r="AA3553" s="48" t="str">
        <f ca="1">IF(AND('Planning Sheet'!CQ100='Weeks Plan'!$D$6,'Planning Sheet'!CK100='Weeks Plan'!$G$6),'Planning Sheet'!$CM100,"")</f>
        <v/>
      </c>
    </row>
    <row r="3554" spans="25:27" x14ac:dyDescent="0.3">
      <c r="Y3554" s="48" t="str">
        <f ca="1">IF(AND('Planning Sheet'!CQ101='Weeks Plan'!$D$6,'Planning Sheet'!CK101='Weeks Plan'!$G$6),'Planning Sheet'!$B101,"")</f>
        <v/>
      </c>
      <c r="Z3554" s="48" t="str">
        <f ca="1">IF(AND('Planning Sheet'!CQ101='Weeks Plan'!$D$6,'Planning Sheet'!CK101='Weeks Plan'!$G$6),'Planning Sheet'!$CL101,"")</f>
        <v/>
      </c>
      <c r="AA3554" s="48" t="str">
        <f ca="1">IF(AND('Planning Sheet'!CQ101='Weeks Plan'!$D$6,'Planning Sheet'!CK101='Weeks Plan'!$G$6),'Planning Sheet'!$CM101,"")</f>
        <v/>
      </c>
    </row>
    <row r="3555" spans="25:27" x14ac:dyDescent="0.3">
      <c r="Y3555" s="48" t="str">
        <f ca="1">IF(AND('Planning Sheet'!CQ102='Weeks Plan'!$D$6,'Planning Sheet'!CK102='Weeks Plan'!$G$6),'Planning Sheet'!$B102,"")</f>
        <v/>
      </c>
      <c r="Z3555" s="48" t="str">
        <f ca="1">IF(AND('Planning Sheet'!CQ102='Weeks Plan'!$D$6,'Planning Sheet'!CK102='Weeks Plan'!$G$6),'Planning Sheet'!$CL102,"")</f>
        <v/>
      </c>
      <c r="AA3555" s="48" t="str">
        <f ca="1">IF(AND('Planning Sheet'!CQ102='Weeks Plan'!$D$6,'Planning Sheet'!CK102='Weeks Plan'!$G$6),'Planning Sheet'!$CM102,"")</f>
        <v/>
      </c>
    </row>
    <row r="3556" spans="25:27" x14ac:dyDescent="0.3">
      <c r="Y3556" s="48" t="str">
        <f ca="1">IF(AND('Planning Sheet'!CQ103='Weeks Plan'!$D$6,'Planning Sheet'!CK103='Weeks Plan'!$G$6),'Planning Sheet'!$B103,"")</f>
        <v/>
      </c>
      <c r="Z3556" s="48" t="str">
        <f ca="1">IF(AND('Planning Sheet'!CQ103='Weeks Plan'!$D$6,'Planning Sheet'!CK103='Weeks Plan'!$G$6),'Planning Sheet'!$CL103,"")</f>
        <v/>
      </c>
      <c r="AA3556" s="48" t="str">
        <f ca="1">IF(AND('Planning Sheet'!CQ103='Weeks Plan'!$D$6,'Planning Sheet'!CK103='Weeks Plan'!$G$6),'Planning Sheet'!$CM103,"")</f>
        <v/>
      </c>
    </row>
    <row r="3557" spans="25:27" x14ac:dyDescent="0.3">
      <c r="Y3557" s="48" t="str">
        <f ca="1">IF(AND('Planning Sheet'!CQ104='Weeks Plan'!$D$6,'Planning Sheet'!CK104='Weeks Plan'!$G$6),'Planning Sheet'!$B104,"")</f>
        <v/>
      </c>
      <c r="Z3557" s="48" t="str">
        <f ca="1">IF(AND('Planning Sheet'!CQ104='Weeks Plan'!$D$6,'Planning Sheet'!CK104='Weeks Plan'!$G$6),'Planning Sheet'!$CL104,"")</f>
        <v/>
      </c>
      <c r="AA3557" s="48" t="str">
        <f ca="1">IF(AND('Planning Sheet'!CQ104='Weeks Plan'!$D$6,'Planning Sheet'!CK104='Weeks Plan'!$G$6),'Planning Sheet'!$CM104,"")</f>
        <v/>
      </c>
    </row>
    <row r="3558" spans="25:27" x14ac:dyDescent="0.3">
      <c r="Y3558" s="48" t="str">
        <f ca="1">IF(AND('Planning Sheet'!CQ105='Weeks Plan'!$D$6,'Planning Sheet'!CK105='Weeks Plan'!$G$6),'Planning Sheet'!$B105,"")</f>
        <v/>
      </c>
      <c r="Z3558" s="48" t="str">
        <f ca="1">IF(AND('Planning Sheet'!CQ105='Weeks Plan'!$D$6,'Planning Sheet'!CK105='Weeks Plan'!$G$6),'Planning Sheet'!$CL105,"")</f>
        <v/>
      </c>
      <c r="AA3558" s="48" t="str">
        <f ca="1">IF(AND('Planning Sheet'!CQ105='Weeks Plan'!$D$6,'Planning Sheet'!CK105='Weeks Plan'!$G$6),'Planning Sheet'!$CM105,"")</f>
        <v/>
      </c>
    </row>
    <row r="3559" spans="25:27" x14ac:dyDescent="0.3">
      <c r="Y3559" s="48" t="str">
        <f ca="1">IF(AND('Planning Sheet'!CQ106='Weeks Plan'!$D$6,'Planning Sheet'!CK106='Weeks Plan'!$G$6),'Planning Sheet'!$B106,"")</f>
        <v/>
      </c>
      <c r="Z3559" s="48" t="str">
        <f ca="1">IF(AND('Planning Sheet'!CQ106='Weeks Plan'!$D$6,'Planning Sheet'!CK106='Weeks Plan'!$G$6),'Planning Sheet'!$CL106,"")</f>
        <v/>
      </c>
      <c r="AA3559" s="48" t="str">
        <f ca="1">IF(AND('Planning Sheet'!CQ106='Weeks Plan'!$D$6,'Planning Sheet'!CK106='Weeks Plan'!$G$6),'Planning Sheet'!$CM106,"")</f>
        <v/>
      </c>
    </row>
    <row r="3560" spans="25:27" x14ac:dyDescent="0.3">
      <c r="Y3560" s="48" t="str">
        <f ca="1">IF(AND('Planning Sheet'!CQ107='Weeks Plan'!$D$6,'Planning Sheet'!CK107='Weeks Plan'!$G$6),'Planning Sheet'!$B107,"")</f>
        <v/>
      </c>
      <c r="Z3560" s="48" t="str">
        <f ca="1">IF(AND('Planning Sheet'!CQ107='Weeks Plan'!$D$6,'Planning Sheet'!CK107='Weeks Plan'!$G$6),'Planning Sheet'!$CL107,"")</f>
        <v/>
      </c>
      <c r="AA3560" s="48" t="str">
        <f ca="1">IF(AND('Planning Sheet'!CQ107='Weeks Plan'!$D$6,'Planning Sheet'!CK107='Weeks Plan'!$G$6),'Planning Sheet'!$CM107,"")</f>
        <v/>
      </c>
    </row>
    <row r="3561" spans="25:27" x14ac:dyDescent="0.3">
      <c r="Y3561" s="48" t="str">
        <f ca="1">IF(AND('Planning Sheet'!CQ108='Weeks Plan'!$D$6,'Planning Sheet'!CK108='Weeks Plan'!$G$6),'Planning Sheet'!$B108,"")</f>
        <v/>
      </c>
      <c r="Z3561" s="48" t="str">
        <f ca="1">IF(AND('Planning Sheet'!CQ108='Weeks Plan'!$D$6,'Planning Sheet'!CK108='Weeks Plan'!$G$6),'Planning Sheet'!$CL108,"")</f>
        <v/>
      </c>
      <c r="AA3561" s="48" t="str">
        <f ca="1">IF(AND('Planning Sheet'!CQ108='Weeks Plan'!$D$6,'Planning Sheet'!CK108='Weeks Plan'!$G$6),'Planning Sheet'!$CM108,"")</f>
        <v/>
      </c>
    </row>
    <row r="3562" spans="25:27" x14ac:dyDescent="0.3">
      <c r="Y3562" s="48" t="str">
        <f ca="1">IF(AND('Planning Sheet'!CQ109='Weeks Plan'!$D$6,'Planning Sheet'!CK109='Weeks Plan'!$G$6),'Planning Sheet'!$B109,"")</f>
        <v/>
      </c>
      <c r="Z3562" s="48" t="str">
        <f ca="1">IF(AND('Planning Sheet'!CQ109='Weeks Plan'!$D$6,'Planning Sheet'!CK109='Weeks Plan'!$G$6),'Planning Sheet'!$CL109,"")</f>
        <v/>
      </c>
      <c r="AA3562" s="48" t="str">
        <f ca="1">IF(AND('Planning Sheet'!CQ109='Weeks Plan'!$D$6,'Planning Sheet'!CK109='Weeks Plan'!$G$6),'Planning Sheet'!$CM109,"")</f>
        <v/>
      </c>
    </row>
    <row r="3563" spans="25:27" x14ac:dyDescent="0.3">
      <c r="Y3563" s="48" t="str">
        <f ca="1">IF(AND('Planning Sheet'!CQ110='Weeks Plan'!$D$6,'Planning Sheet'!CK110='Weeks Plan'!$G$6),'Planning Sheet'!$B110,"")</f>
        <v/>
      </c>
      <c r="Z3563" s="48" t="str">
        <f ca="1">IF(AND('Planning Sheet'!CQ110='Weeks Plan'!$D$6,'Planning Sheet'!CK110='Weeks Plan'!$G$6),'Planning Sheet'!$CL110,"")</f>
        <v/>
      </c>
      <c r="AA3563" s="48" t="str">
        <f ca="1">IF(AND('Planning Sheet'!CQ110='Weeks Plan'!$D$6,'Planning Sheet'!CK110='Weeks Plan'!$G$6),'Planning Sheet'!$CM110,"")</f>
        <v/>
      </c>
    </row>
    <row r="3564" spans="25:27" x14ac:dyDescent="0.3">
      <c r="Y3564" s="48" t="str">
        <f ca="1">IF(AND('Planning Sheet'!CQ111='Weeks Plan'!$D$6,'Planning Sheet'!CK111='Weeks Plan'!$G$6),'Planning Sheet'!$B111,"")</f>
        <v/>
      </c>
      <c r="Z3564" s="48" t="str">
        <f ca="1">IF(AND('Planning Sheet'!CQ111='Weeks Plan'!$D$6,'Planning Sheet'!CK111='Weeks Plan'!$G$6),'Planning Sheet'!$CL111,"")</f>
        <v/>
      </c>
      <c r="AA3564" s="48" t="str">
        <f ca="1">IF(AND('Planning Sheet'!CQ111='Weeks Plan'!$D$6,'Planning Sheet'!CK111='Weeks Plan'!$G$6),'Planning Sheet'!$CM111,"")</f>
        <v/>
      </c>
    </row>
    <row r="3565" spans="25:27" x14ac:dyDescent="0.3">
      <c r="Y3565" s="48" t="str">
        <f ca="1">IF(AND('Planning Sheet'!CQ112='Weeks Plan'!$D$6,'Planning Sheet'!CK112='Weeks Plan'!$G$6),'Planning Sheet'!$B112,"")</f>
        <v/>
      </c>
      <c r="Z3565" s="48" t="str">
        <f ca="1">IF(AND('Planning Sheet'!CQ112='Weeks Plan'!$D$6,'Planning Sheet'!CK112='Weeks Plan'!$G$6),'Planning Sheet'!$CL112,"")</f>
        <v/>
      </c>
      <c r="AA3565" s="48" t="str">
        <f ca="1">IF(AND('Planning Sheet'!CQ112='Weeks Plan'!$D$6,'Planning Sheet'!CK112='Weeks Plan'!$G$6),'Planning Sheet'!$CM112,"")</f>
        <v/>
      </c>
    </row>
    <row r="3566" spans="25:27" x14ac:dyDescent="0.3">
      <c r="Y3566" s="48" t="str">
        <f ca="1">IF(AND('Planning Sheet'!CQ113='Weeks Plan'!$D$6,'Planning Sheet'!CK113='Weeks Plan'!$G$6),'Planning Sheet'!$B113,"")</f>
        <v/>
      </c>
      <c r="Z3566" s="48" t="str">
        <f ca="1">IF(AND('Planning Sheet'!CQ113='Weeks Plan'!$D$6,'Planning Sheet'!CK113='Weeks Plan'!$G$6),'Planning Sheet'!$CL113,"")</f>
        <v/>
      </c>
      <c r="AA3566" s="48" t="str">
        <f ca="1">IF(AND('Planning Sheet'!CQ113='Weeks Plan'!$D$6,'Planning Sheet'!CK113='Weeks Plan'!$G$6),'Planning Sheet'!$CM113,"")</f>
        <v/>
      </c>
    </row>
    <row r="3567" spans="25:27" x14ac:dyDescent="0.3">
      <c r="Y3567" s="48" t="str">
        <f ca="1">IF(AND('Planning Sheet'!CQ114='Weeks Plan'!$D$6,'Planning Sheet'!CK114='Weeks Plan'!$G$6),'Planning Sheet'!$B114,"")</f>
        <v/>
      </c>
      <c r="Z3567" s="48" t="str">
        <f ca="1">IF(AND('Planning Sheet'!CQ114='Weeks Plan'!$D$6,'Planning Sheet'!CK114='Weeks Plan'!$G$6),'Planning Sheet'!$CL114,"")</f>
        <v/>
      </c>
      <c r="AA3567" s="48" t="str">
        <f ca="1">IF(AND('Planning Sheet'!CQ114='Weeks Plan'!$D$6,'Planning Sheet'!CK114='Weeks Plan'!$G$6),'Planning Sheet'!$CM114,"")</f>
        <v/>
      </c>
    </row>
    <row r="3568" spans="25:27" x14ac:dyDescent="0.3">
      <c r="Y3568" s="48" t="str">
        <f ca="1">IF(AND('Planning Sheet'!CQ115='Weeks Plan'!$D$6,'Planning Sheet'!CK115='Weeks Plan'!$G$6),'Planning Sheet'!$B115,"")</f>
        <v/>
      </c>
      <c r="Z3568" s="48" t="str">
        <f ca="1">IF(AND('Planning Sheet'!CQ115='Weeks Plan'!$D$6,'Planning Sheet'!CK115='Weeks Plan'!$G$6),'Planning Sheet'!$CL115,"")</f>
        <v/>
      </c>
      <c r="AA3568" s="48" t="str">
        <f ca="1">IF(AND('Planning Sheet'!CQ115='Weeks Plan'!$D$6,'Planning Sheet'!CK115='Weeks Plan'!$G$6),'Planning Sheet'!$CM115,"")</f>
        <v/>
      </c>
    </row>
    <row r="3569" spans="25:27" x14ac:dyDescent="0.3">
      <c r="Y3569" s="48" t="str">
        <f ca="1">IF(AND('Planning Sheet'!CQ116='Weeks Plan'!$D$6,'Planning Sheet'!CK116='Weeks Plan'!$G$6),'Planning Sheet'!$B116,"")</f>
        <v/>
      </c>
      <c r="Z3569" s="48" t="str">
        <f ca="1">IF(AND('Planning Sheet'!CQ116='Weeks Plan'!$D$6,'Planning Sheet'!CK116='Weeks Plan'!$G$6),'Planning Sheet'!$CL116,"")</f>
        <v/>
      </c>
      <c r="AA3569" s="48" t="str">
        <f ca="1">IF(AND('Planning Sheet'!CQ116='Weeks Plan'!$D$6,'Planning Sheet'!CK116='Weeks Plan'!$G$6),'Planning Sheet'!$CM116,"")</f>
        <v/>
      </c>
    </row>
    <row r="3570" spans="25:27" x14ac:dyDescent="0.3">
      <c r="Y3570" s="48" t="str">
        <f ca="1">IF(AND('Planning Sheet'!CQ117='Weeks Plan'!$D$6,'Planning Sheet'!CK117='Weeks Plan'!$G$6),'Planning Sheet'!$B117,"")</f>
        <v/>
      </c>
      <c r="Z3570" s="48" t="str">
        <f ca="1">IF(AND('Planning Sheet'!CQ117='Weeks Plan'!$D$6,'Planning Sheet'!CK117='Weeks Plan'!$G$6),'Planning Sheet'!$CL117,"")</f>
        <v/>
      </c>
      <c r="AA3570" s="48" t="str">
        <f ca="1">IF(AND('Planning Sheet'!CQ117='Weeks Plan'!$D$6,'Planning Sheet'!CK117='Weeks Plan'!$G$6),'Planning Sheet'!$CM117,"")</f>
        <v/>
      </c>
    </row>
    <row r="3571" spans="25:27" x14ac:dyDescent="0.3">
      <c r="Y3571" s="48" t="str">
        <f ca="1">IF(AND('Planning Sheet'!CQ118='Weeks Plan'!$D$6,'Planning Sheet'!CK118='Weeks Plan'!$G$6),'Planning Sheet'!$B118,"")</f>
        <v/>
      </c>
      <c r="Z3571" s="48" t="str">
        <f ca="1">IF(AND('Planning Sheet'!CQ118='Weeks Plan'!$D$6,'Planning Sheet'!CK118='Weeks Plan'!$G$6),'Planning Sheet'!$CL118,"")</f>
        <v/>
      </c>
      <c r="AA3571" s="48" t="str">
        <f ca="1">IF(AND('Planning Sheet'!CQ118='Weeks Plan'!$D$6,'Planning Sheet'!CK118='Weeks Plan'!$G$6),'Planning Sheet'!$CM118,"")</f>
        <v/>
      </c>
    </row>
    <row r="3572" spans="25:27" x14ac:dyDescent="0.3">
      <c r="Y3572" s="48" t="str">
        <f ca="1">IF(AND('Planning Sheet'!CQ119='Weeks Plan'!$D$6,'Planning Sheet'!CK119='Weeks Plan'!$G$6),'Planning Sheet'!$B119,"")</f>
        <v/>
      </c>
      <c r="Z3572" s="48" t="str">
        <f ca="1">IF(AND('Planning Sheet'!CQ119='Weeks Plan'!$D$6,'Planning Sheet'!CK119='Weeks Plan'!$G$6),'Planning Sheet'!$CL119,"")</f>
        <v/>
      </c>
      <c r="AA3572" s="48" t="str">
        <f ca="1">IF(AND('Planning Sheet'!CQ119='Weeks Plan'!$D$6,'Planning Sheet'!CK119='Weeks Plan'!$G$6),'Planning Sheet'!$CM119,"")</f>
        <v/>
      </c>
    </row>
    <row r="3573" spans="25:27" x14ac:dyDescent="0.3">
      <c r="Y3573" s="48" t="str">
        <f ca="1">IF(AND('Planning Sheet'!CQ120='Weeks Plan'!$D$6,'Planning Sheet'!CK120='Weeks Plan'!$G$6),'Planning Sheet'!$B120,"")</f>
        <v/>
      </c>
      <c r="Z3573" s="48" t="str">
        <f ca="1">IF(AND('Planning Sheet'!CQ120='Weeks Plan'!$D$6,'Planning Sheet'!CK120='Weeks Plan'!$G$6),'Planning Sheet'!$CL120,"")</f>
        <v/>
      </c>
      <c r="AA3573" s="48" t="str">
        <f ca="1">IF(AND('Planning Sheet'!CQ120='Weeks Plan'!$D$6,'Planning Sheet'!CK120='Weeks Plan'!$G$6),'Planning Sheet'!$CM120,"")</f>
        <v/>
      </c>
    </row>
    <row r="3574" spans="25:27" x14ac:dyDescent="0.3">
      <c r="Y3574" s="48" t="str">
        <f ca="1">IF(AND('Planning Sheet'!CQ121='Weeks Plan'!$D$6,'Planning Sheet'!CK121='Weeks Plan'!$G$6),'Planning Sheet'!$B121,"")</f>
        <v/>
      </c>
      <c r="Z3574" s="48" t="str">
        <f ca="1">IF(AND('Planning Sheet'!CQ121='Weeks Plan'!$D$6,'Planning Sheet'!CK121='Weeks Plan'!$G$6),'Planning Sheet'!$CL121,"")</f>
        <v/>
      </c>
      <c r="AA3574" s="48" t="str">
        <f ca="1">IF(AND('Planning Sheet'!CQ121='Weeks Plan'!$D$6,'Planning Sheet'!CK121='Weeks Plan'!$G$6),'Planning Sheet'!$CM121,"")</f>
        <v/>
      </c>
    </row>
    <row r="3575" spans="25:27" x14ac:dyDescent="0.3">
      <c r="Y3575" s="48" t="str">
        <f ca="1">IF(AND('Planning Sheet'!CQ122='Weeks Plan'!$D$6,'Planning Sheet'!CK122='Weeks Plan'!$G$6),'Planning Sheet'!$B122,"")</f>
        <v/>
      </c>
      <c r="Z3575" s="48" t="str">
        <f ca="1">IF(AND('Planning Sheet'!CQ122='Weeks Plan'!$D$6,'Planning Sheet'!CK122='Weeks Plan'!$G$6),'Planning Sheet'!$CL122,"")</f>
        <v/>
      </c>
      <c r="AA3575" s="48" t="str">
        <f ca="1">IF(AND('Planning Sheet'!CQ122='Weeks Plan'!$D$6,'Planning Sheet'!CK122='Weeks Plan'!$G$6),'Planning Sheet'!$CM122,"")</f>
        <v/>
      </c>
    </row>
    <row r="3576" spans="25:27" x14ac:dyDescent="0.3">
      <c r="Y3576" s="48" t="str">
        <f ca="1">IF(AND('Planning Sheet'!CQ123='Weeks Plan'!$D$6,'Planning Sheet'!CK123='Weeks Plan'!$G$6),'Planning Sheet'!$B123,"")</f>
        <v/>
      </c>
      <c r="Z3576" s="48" t="str">
        <f ca="1">IF(AND('Planning Sheet'!CQ123='Weeks Plan'!$D$6,'Planning Sheet'!CK123='Weeks Plan'!$G$6),'Planning Sheet'!$CL123,"")</f>
        <v/>
      </c>
      <c r="AA3576" s="48" t="str">
        <f ca="1">IF(AND('Planning Sheet'!CQ123='Weeks Plan'!$D$6,'Planning Sheet'!CK123='Weeks Plan'!$G$6),'Planning Sheet'!$CM123,"")</f>
        <v/>
      </c>
    </row>
    <row r="3577" spans="25:27" x14ac:dyDescent="0.3">
      <c r="Y3577" s="48" t="str">
        <f ca="1">IF(AND('Planning Sheet'!CQ124='Weeks Plan'!$D$6,'Planning Sheet'!CK124='Weeks Plan'!$G$6),'Planning Sheet'!$B124,"")</f>
        <v/>
      </c>
      <c r="Z3577" s="48" t="str">
        <f ca="1">IF(AND('Planning Sheet'!CQ124='Weeks Plan'!$D$6,'Planning Sheet'!CK124='Weeks Plan'!$G$6),'Planning Sheet'!$CL124,"")</f>
        <v/>
      </c>
      <c r="AA3577" s="48" t="str">
        <f ca="1">IF(AND('Planning Sheet'!CQ124='Weeks Plan'!$D$6,'Planning Sheet'!CK124='Weeks Plan'!$G$6),'Planning Sheet'!$CM124,"")</f>
        <v/>
      </c>
    </row>
    <row r="3578" spans="25:27" x14ac:dyDescent="0.3">
      <c r="Y3578" s="48" t="str">
        <f ca="1">IF(AND('Planning Sheet'!CQ125='Weeks Plan'!$D$6,'Planning Sheet'!CK125='Weeks Plan'!$G$6),'Planning Sheet'!$B125,"")</f>
        <v/>
      </c>
      <c r="Z3578" s="48" t="str">
        <f ca="1">IF(AND('Planning Sheet'!CQ125='Weeks Plan'!$D$6,'Planning Sheet'!CK125='Weeks Plan'!$G$6),'Planning Sheet'!$CL125,"")</f>
        <v/>
      </c>
      <c r="AA3578" s="48" t="str">
        <f ca="1">IF(AND('Planning Sheet'!CQ125='Weeks Plan'!$D$6,'Planning Sheet'!CK125='Weeks Plan'!$G$6),'Planning Sheet'!$CM125,"")</f>
        <v/>
      </c>
    </row>
    <row r="3579" spans="25:27" x14ac:dyDescent="0.3">
      <c r="Y3579" s="48" t="str">
        <f ca="1">IF(AND('Planning Sheet'!CQ126='Weeks Plan'!$D$6,'Planning Sheet'!CK126='Weeks Plan'!$G$6),'Planning Sheet'!$B126,"")</f>
        <v/>
      </c>
      <c r="Z3579" s="48" t="str">
        <f ca="1">IF(AND('Planning Sheet'!CQ126='Weeks Plan'!$D$6,'Planning Sheet'!CK126='Weeks Plan'!$G$6),'Planning Sheet'!$CL126,"")</f>
        <v/>
      </c>
      <c r="AA3579" s="48" t="str">
        <f ca="1">IF(AND('Planning Sheet'!CQ126='Weeks Plan'!$D$6,'Planning Sheet'!CK126='Weeks Plan'!$G$6),'Planning Sheet'!$CM126,"")</f>
        <v/>
      </c>
    </row>
    <row r="3580" spans="25:27" x14ac:dyDescent="0.3">
      <c r="Y3580" s="48" t="str">
        <f ca="1">IF(AND('Planning Sheet'!CQ127='Weeks Plan'!$D$6,'Planning Sheet'!CK127='Weeks Plan'!$G$6),'Planning Sheet'!$B127,"")</f>
        <v/>
      </c>
      <c r="Z3580" s="48" t="str">
        <f ca="1">IF(AND('Planning Sheet'!CQ127='Weeks Plan'!$D$6,'Planning Sheet'!CK127='Weeks Plan'!$G$6),'Planning Sheet'!$CL127,"")</f>
        <v/>
      </c>
      <c r="AA3580" s="48" t="str">
        <f ca="1">IF(AND('Planning Sheet'!CQ127='Weeks Plan'!$D$6,'Planning Sheet'!CK127='Weeks Plan'!$G$6),'Planning Sheet'!$CM127,"")</f>
        <v/>
      </c>
    </row>
    <row r="3581" spans="25:27" x14ac:dyDescent="0.3">
      <c r="Y3581" s="48" t="str">
        <f ca="1">IF(AND('Planning Sheet'!CQ128='Weeks Plan'!$D$6,'Planning Sheet'!CK128='Weeks Plan'!$G$6),'Planning Sheet'!$B128,"")</f>
        <v/>
      </c>
      <c r="Z3581" s="48" t="str">
        <f ca="1">IF(AND('Planning Sheet'!CQ128='Weeks Plan'!$D$6,'Planning Sheet'!CK128='Weeks Plan'!$G$6),'Planning Sheet'!$CL128,"")</f>
        <v/>
      </c>
      <c r="AA3581" s="48" t="str">
        <f ca="1">IF(AND('Planning Sheet'!CQ128='Weeks Plan'!$D$6,'Planning Sheet'!CK128='Weeks Plan'!$G$6),'Planning Sheet'!$CM128,"")</f>
        <v/>
      </c>
    </row>
    <row r="3582" spans="25:27" x14ac:dyDescent="0.3">
      <c r="Y3582" s="48" t="str">
        <f ca="1">IF(AND('Planning Sheet'!CQ129='Weeks Plan'!$D$6,'Planning Sheet'!CK129='Weeks Plan'!$G$6),'Planning Sheet'!$B129,"")</f>
        <v/>
      </c>
      <c r="Z3582" s="48" t="str">
        <f ca="1">IF(AND('Planning Sheet'!CQ129='Weeks Plan'!$D$6,'Planning Sheet'!CK129='Weeks Plan'!$G$6),'Planning Sheet'!$CL129,"")</f>
        <v/>
      </c>
      <c r="AA3582" s="48" t="str">
        <f ca="1">IF(AND('Planning Sheet'!CQ129='Weeks Plan'!$D$6,'Planning Sheet'!CK129='Weeks Plan'!$G$6),'Planning Sheet'!$CM129,"")</f>
        <v/>
      </c>
    </row>
    <row r="3583" spans="25:27" x14ac:dyDescent="0.3">
      <c r="Y3583" s="48" t="str">
        <f ca="1">IF(AND('Planning Sheet'!CQ130='Weeks Plan'!$D$6,'Planning Sheet'!CK130='Weeks Plan'!$G$6),'Planning Sheet'!$B130,"")</f>
        <v/>
      </c>
      <c r="Z3583" s="48" t="str">
        <f ca="1">IF(AND('Planning Sheet'!CQ130='Weeks Plan'!$D$6,'Planning Sheet'!CK130='Weeks Plan'!$G$6),'Planning Sheet'!$CL130,"")</f>
        <v/>
      </c>
      <c r="AA3583" s="48" t="str">
        <f ca="1">IF(AND('Planning Sheet'!CQ130='Weeks Plan'!$D$6,'Planning Sheet'!CK130='Weeks Plan'!$G$6),'Planning Sheet'!$CM130,"")</f>
        <v/>
      </c>
    </row>
    <row r="3584" spans="25:27" x14ac:dyDescent="0.3">
      <c r="Y3584" s="48" t="str">
        <f ca="1">IF(AND('Planning Sheet'!CQ131='Weeks Plan'!$D$6,'Planning Sheet'!CK131='Weeks Plan'!$G$6),'Planning Sheet'!$B131,"")</f>
        <v/>
      </c>
      <c r="Z3584" s="48" t="str">
        <f ca="1">IF(AND('Planning Sheet'!CQ131='Weeks Plan'!$D$6,'Planning Sheet'!CK131='Weeks Plan'!$G$6),'Planning Sheet'!$CL131,"")</f>
        <v/>
      </c>
      <c r="AA3584" s="48" t="str">
        <f ca="1">IF(AND('Planning Sheet'!CQ131='Weeks Plan'!$D$6,'Planning Sheet'!CK131='Weeks Plan'!$G$6),'Planning Sheet'!$CM131,"")</f>
        <v/>
      </c>
    </row>
    <row r="3585" spans="25:27" x14ac:dyDescent="0.3">
      <c r="Y3585" s="48" t="str">
        <f ca="1">IF(AND('Planning Sheet'!CQ132='Weeks Plan'!$D$6,'Planning Sheet'!CK132='Weeks Plan'!$G$6),'Planning Sheet'!$B132,"")</f>
        <v/>
      </c>
      <c r="Z3585" s="48" t="str">
        <f ca="1">IF(AND('Planning Sheet'!CQ132='Weeks Plan'!$D$6,'Planning Sheet'!CK132='Weeks Plan'!$G$6),'Planning Sheet'!$CL132,"")</f>
        <v/>
      </c>
      <c r="AA3585" s="48" t="str">
        <f ca="1">IF(AND('Planning Sheet'!CQ132='Weeks Plan'!$D$6,'Planning Sheet'!CK132='Weeks Plan'!$G$6),'Planning Sheet'!$CM132,"")</f>
        <v/>
      </c>
    </row>
    <row r="3586" spans="25:27" x14ac:dyDescent="0.3">
      <c r="Y3586" s="48" t="str">
        <f ca="1">IF(AND('Planning Sheet'!CQ133='Weeks Plan'!$D$6,'Planning Sheet'!CK133='Weeks Plan'!$G$6),'Planning Sheet'!$B133,"")</f>
        <v/>
      </c>
      <c r="Z3586" s="48" t="str">
        <f ca="1">IF(AND('Planning Sheet'!CQ133='Weeks Plan'!$D$6,'Planning Sheet'!CK133='Weeks Plan'!$G$6),'Planning Sheet'!$CL133,"")</f>
        <v/>
      </c>
      <c r="AA3586" s="48" t="str">
        <f ca="1">IF(AND('Planning Sheet'!CQ133='Weeks Plan'!$D$6,'Planning Sheet'!CK133='Weeks Plan'!$G$6),'Planning Sheet'!$CM133,"")</f>
        <v/>
      </c>
    </row>
    <row r="3587" spans="25:27" x14ac:dyDescent="0.3">
      <c r="Y3587" s="48" t="str">
        <f ca="1">IF(AND('Planning Sheet'!CQ134='Weeks Plan'!$D$6,'Planning Sheet'!CK134='Weeks Plan'!$G$6),'Planning Sheet'!$B134,"")</f>
        <v/>
      </c>
      <c r="Z3587" s="48" t="str">
        <f ca="1">IF(AND('Planning Sheet'!CQ134='Weeks Plan'!$D$6,'Planning Sheet'!CK134='Weeks Plan'!$G$6),'Planning Sheet'!$CL134,"")</f>
        <v/>
      </c>
      <c r="AA3587" s="48" t="str">
        <f ca="1">IF(AND('Planning Sheet'!CQ134='Weeks Plan'!$D$6,'Planning Sheet'!CK134='Weeks Plan'!$G$6),'Planning Sheet'!$CM134,"")</f>
        <v/>
      </c>
    </row>
    <row r="3588" spans="25:27" x14ac:dyDescent="0.3">
      <c r="Y3588" s="48" t="str">
        <f ca="1">IF(AND('Planning Sheet'!CQ135='Weeks Plan'!$D$6,'Planning Sheet'!CK135='Weeks Plan'!$G$6),'Planning Sheet'!$B135,"")</f>
        <v/>
      </c>
      <c r="Z3588" s="48" t="str">
        <f ca="1">IF(AND('Planning Sheet'!CQ135='Weeks Plan'!$D$6,'Planning Sheet'!CK135='Weeks Plan'!$G$6),'Planning Sheet'!$CL135,"")</f>
        <v/>
      </c>
      <c r="AA3588" s="48" t="str">
        <f ca="1">IF(AND('Planning Sheet'!CQ135='Weeks Plan'!$D$6,'Planning Sheet'!CK135='Weeks Plan'!$G$6),'Planning Sheet'!$CM135,"")</f>
        <v/>
      </c>
    </row>
    <row r="3589" spans="25:27" x14ac:dyDescent="0.3">
      <c r="Y3589" s="48" t="str">
        <f ca="1">IF(AND('Planning Sheet'!CQ136='Weeks Plan'!$D$6,'Planning Sheet'!CK136='Weeks Plan'!$G$6),'Planning Sheet'!$B136,"")</f>
        <v/>
      </c>
      <c r="Z3589" s="48" t="str">
        <f ca="1">IF(AND('Planning Sheet'!CQ136='Weeks Plan'!$D$6,'Planning Sheet'!CK136='Weeks Plan'!$G$6),'Planning Sheet'!$CL136,"")</f>
        <v/>
      </c>
      <c r="AA3589" s="48" t="str">
        <f ca="1">IF(AND('Planning Sheet'!CQ136='Weeks Plan'!$D$6,'Planning Sheet'!CK136='Weeks Plan'!$G$6),'Planning Sheet'!$CM136,"")</f>
        <v/>
      </c>
    </row>
    <row r="3590" spans="25:27" x14ac:dyDescent="0.3">
      <c r="Y3590" s="48" t="str">
        <f ca="1">IF(AND('Planning Sheet'!CQ137='Weeks Plan'!$D$6,'Planning Sheet'!CK137='Weeks Plan'!$G$6),'Planning Sheet'!$B137,"")</f>
        <v/>
      </c>
      <c r="Z3590" s="48" t="str">
        <f ca="1">IF(AND('Planning Sheet'!CQ137='Weeks Plan'!$D$6,'Planning Sheet'!CK137='Weeks Plan'!$G$6),'Planning Sheet'!$CL137,"")</f>
        <v/>
      </c>
      <c r="AA3590" s="48" t="str">
        <f ca="1">IF(AND('Planning Sheet'!CQ137='Weeks Plan'!$D$6,'Planning Sheet'!CK137='Weeks Plan'!$G$6),'Planning Sheet'!$CM137,"")</f>
        <v/>
      </c>
    </row>
    <row r="3591" spans="25:27" x14ac:dyDescent="0.3">
      <c r="Y3591" s="48" t="str">
        <f ca="1">IF(AND('Planning Sheet'!CQ138='Weeks Plan'!$D$6,'Planning Sheet'!CK138='Weeks Plan'!$G$6),'Planning Sheet'!$B138,"")</f>
        <v/>
      </c>
      <c r="Z3591" s="48" t="str">
        <f ca="1">IF(AND('Planning Sheet'!CQ138='Weeks Plan'!$D$6,'Planning Sheet'!CK138='Weeks Plan'!$G$6),'Planning Sheet'!$CL138,"")</f>
        <v/>
      </c>
      <c r="AA3591" s="48" t="str">
        <f ca="1">IF(AND('Planning Sheet'!CQ138='Weeks Plan'!$D$6,'Planning Sheet'!CK138='Weeks Plan'!$G$6),'Planning Sheet'!$CM138,"")</f>
        <v/>
      </c>
    </row>
    <row r="3592" spans="25:27" x14ac:dyDescent="0.3">
      <c r="Y3592" s="48" t="str">
        <f ca="1">IF(AND('Planning Sheet'!CQ139='Weeks Plan'!$D$6,'Planning Sheet'!CK139='Weeks Plan'!$G$6),'Planning Sheet'!$B139,"")</f>
        <v/>
      </c>
      <c r="Z3592" s="48" t="str">
        <f ca="1">IF(AND('Planning Sheet'!CQ139='Weeks Plan'!$D$6,'Planning Sheet'!CK139='Weeks Plan'!$G$6),'Planning Sheet'!$CL139,"")</f>
        <v/>
      </c>
      <c r="AA3592" s="48" t="str">
        <f ca="1">IF(AND('Planning Sheet'!CQ139='Weeks Plan'!$D$6,'Planning Sheet'!CK139='Weeks Plan'!$G$6),'Planning Sheet'!$CM139,"")</f>
        <v/>
      </c>
    </row>
    <row r="3593" spans="25:27" x14ac:dyDescent="0.3">
      <c r="Y3593" s="48" t="str">
        <f ca="1">IF(AND('Planning Sheet'!CQ140='Weeks Plan'!$D$6,'Planning Sheet'!CK140='Weeks Plan'!$G$6),'Planning Sheet'!$B140,"")</f>
        <v/>
      </c>
      <c r="Z3593" s="48" t="str">
        <f ca="1">IF(AND('Planning Sheet'!CQ140='Weeks Plan'!$D$6,'Planning Sheet'!CK140='Weeks Plan'!$G$6),'Planning Sheet'!$CL140,"")</f>
        <v/>
      </c>
      <c r="AA3593" s="48" t="str">
        <f ca="1">IF(AND('Planning Sheet'!CQ140='Weeks Plan'!$D$6,'Planning Sheet'!CK140='Weeks Plan'!$G$6),'Planning Sheet'!$CM140,"")</f>
        <v/>
      </c>
    </row>
    <row r="3594" spans="25:27" x14ac:dyDescent="0.3">
      <c r="Y3594" s="48" t="str">
        <f ca="1">IF(AND('Planning Sheet'!CQ141='Weeks Plan'!$D$6,'Planning Sheet'!CK141='Weeks Plan'!$G$6),'Planning Sheet'!$B141,"")</f>
        <v/>
      </c>
      <c r="Z3594" s="48" t="str">
        <f ca="1">IF(AND('Planning Sheet'!CQ141='Weeks Plan'!$D$6,'Planning Sheet'!CK141='Weeks Plan'!$G$6),'Planning Sheet'!$CL141,"")</f>
        <v/>
      </c>
      <c r="AA3594" s="48" t="str">
        <f ca="1">IF(AND('Planning Sheet'!CQ141='Weeks Plan'!$D$6,'Planning Sheet'!CK141='Weeks Plan'!$G$6),'Planning Sheet'!$CM141,"")</f>
        <v/>
      </c>
    </row>
    <row r="3595" spans="25:27" x14ac:dyDescent="0.3">
      <c r="Y3595" s="48" t="str">
        <f ca="1">IF(AND('Planning Sheet'!CQ142='Weeks Plan'!$D$6,'Planning Sheet'!CK142='Weeks Plan'!$G$6),'Planning Sheet'!$B142,"")</f>
        <v/>
      </c>
      <c r="Z3595" s="48" t="str">
        <f ca="1">IF(AND('Planning Sheet'!CQ142='Weeks Plan'!$D$6,'Planning Sheet'!CK142='Weeks Plan'!$G$6),'Planning Sheet'!$CL142,"")</f>
        <v/>
      </c>
      <c r="AA3595" s="48" t="str">
        <f ca="1">IF(AND('Planning Sheet'!CQ142='Weeks Plan'!$D$6,'Planning Sheet'!CK142='Weeks Plan'!$G$6),'Planning Sheet'!$CM142,"")</f>
        <v/>
      </c>
    </row>
    <row r="3596" spans="25:27" x14ac:dyDescent="0.3">
      <c r="Y3596" s="48" t="str">
        <f ca="1">IF(AND('Planning Sheet'!CQ143='Weeks Plan'!$D$6,'Planning Sheet'!CK143='Weeks Plan'!$G$6),'Planning Sheet'!$B143,"")</f>
        <v/>
      </c>
      <c r="Z3596" s="48" t="str">
        <f ca="1">IF(AND('Planning Sheet'!CQ143='Weeks Plan'!$D$6,'Planning Sheet'!CK143='Weeks Plan'!$G$6),'Planning Sheet'!$CL143,"")</f>
        <v/>
      </c>
      <c r="AA3596" s="48" t="str">
        <f ca="1">IF(AND('Planning Sheet'!CQ143='Weeks Plan'!$D$6,'Planning Sheet'!CK143='Weeks Plan'!$G$6),'Planning Sheet'!$CM143,"")</f>
        <v/>
      </c>
    </row>
    <row r="3597" spans="25:27" x14ac:dyDescent="0.3">
      <c r="Y3597" s="48" t="str">
        <f ca="1">IF(AND('Planning Sheet'!CQ144='Weeks Plan'!$D$6,'Planning Sheet'!CK144='Weeks Plan'!$G$6),'Planning Sheet'!$B144,"")</f>
        <v/>
      </c>
      <c r="Z3597" s="48" t="str">
        <f ca="1">IF(AND('Planning Sheet'!CQ144='Weeks Plan'!$D$6,'Planning Sheet'!CK144='Weeks Plan'!$G$6),'Planning Sheet'!$CL144,"")</f>
        <v/>
      </c>
      <c r="AA3597" s="48" t="str">
        <f ca="1">IF(AND('Planning Sheet'!CQ144='Weeks Plan'!$D$6,'Planning Sheet'!CK144='Weeks Plan'!$G$6),'Planning Sheet'!$CM144,"")</f>
        <v/>
      </c>
    </row>
    <row r="3598" spans="25:27" x14ac:dyDescent="0.3">
      <c r="Y3598" s="48" t="str">
        <f ca="1">IF(AND('Planning Sheet'!CQ145='Weeks Plan'!$D$6,'Planning Sheet'!CK145='Weeks Plan'!$G$6),'Planning Sheet'!$B145,"")</f>
        <v/>
      </c>
      <c r="Z3598" s="48" t="str">
        <f ca="1">IF(AND('Planning Sheet'!CQ145='Weeks Plan'!$D$6,'Planning Sheet'!CK145='Weeks Plan'!$G$6),'Planning Sheet'!$CL145,"")</f>
        <v/>
      </c>
      <c r="AA3598" s="48" t="str">
        <f ca="1">IF(AND('Planning Sheet'!CQ145='Weeks Plan'!$D$6,'Planning Sheet'!CK145='Weeks Plan'!$G$6),'Planning Sheet'!$CM145,"")</f>
        <v/>
      </c>
    </row>
    <row r="3599" spans="25:27" x14ac:dyDescent="0.3">
      <c r="Y3599" s="48" t="str">
        <f ca="1">IF(AND('Planning Sheet'!CQ146='Weeks Plan'!$D$6,'Planning Sheet'!CK146='Weeks Plan'!$G$6),'Planning Sheet'!$B146,"")</f>
        <v/>
      </c>
      <c r="Z3599" s="48" t="str">
        <f ca="1">IF(AND('Planning Sheet'!CQ146='Weeks Plan'!$D$6,'Planning Sheet'!CK146='Weeks Plan'!$G$6),'Planning Sheet'!$CL146,"")</f>
        <v/>
      </c>
      <c r="AA3599" s="48" t="str">
        <f ca="1">IF(AND('Planning Sheet'!CQ146='Weeks Plan'!$D$6,'Planning Sheet'!CK146='Weeks Plan'!$G$6),'Planning Sheet'!$CM146,"")</f>
        <v/>
      </c>
    </row>
    <row r="3600" spans="25:27" x14ac:dyDescent="0.3">
      <c r="Y3600" s="48" t="str">
        <f ca="1">IF(AND('Planning Sheet'!CQ147='Weeks Plan'!$D$6,'Planning Sheet'!CK147='Weeks Plan'!$G$6),'Planning Sheet'!$B147,"")</f>
        <v/>
      </c>
      <c r="Z3600" s="48" t="str">
        <f ca="1">IF(AND('Planning Sheet'!CQ147='Weeks Plan'!$D$6,'Planning Sheet'!CK147='Weeks Plan'!$G$6),'Planning Sheet'!$CL147,"")</f>
        <v/>
      </c>
      <c r="AA3600" s="48" t="str">
        <f ca="1">IF(AND('Planning Sheet'!CQ147='Weeks Plan'!$D$6,'Planning Sheet'!CK147='Weeks Plan'!$G$6),'Planning Sheet'!$CM147,"")</f>
        <v/>
      </c>
    </row>
    <row r="3601" spans="25:27" x14ac:dyDescent="0.3">
      <c r="Y3601" s="48" t="str">
        <f ca="1">IF(AND('Planning Sheet'!CQ148='Weeks Plan'!$D$6,'Planning Sheet'!CK148='Weeks Plan'!$G$6),'Planning Sheet'!$B148,"")</f>
        <v/>
      </c>
      <c r="Z3601" s="48" t="str">
        <f ca="1">IF(AND('Planning Sheet'!CQ148='Weeks Plan'!$D$6,'Planning Sheet'!CK148='Weeks Plan'!$G$6),'Planning Sheet'!$CL148,"")</f>
        <v/>
      </c>
      <c r="AA3601" s="48" t="str">
        <f ca="1">IF(AND('Planning Sheet'!CQ148='Weeks Plan'!$D$6,'Planning Sheet'!CK148='Weeks Plan'!$G$6),'Planning Sheet'!$CM148,"")</f>
        <v/>
      </c>
    </row>
    <row r="3602" spans="25:27" x14ac:dyDescent="0.3">
      <c r="Y3602" s="48" t="str">
        <f ca="1">IF(AND('Planning Sheet'!CQ149='Weeks Plan'!$D$6,'Planning Sheet'!CK149='Weeks Plan'!$G$6),'Planning Sheet'!$B149,"")</f>
        <v/>
      </c>
      <c r="Z3602" s="48" t="str">
        <f ca="1">IF(AND('Planning Sheet'!CQ149='Weeks Plan'!$D$6,'Planning Sheet'!CK149='Weeks Plan'!$G$6),'Planning Sheet'!$CL149,"")</f>
        <v/>
      </c>
      <c r="AA3602" s="48" t="str">
        <f ca="1">IF(AND('Planning Sheet'!CQ149='Weeks Plan'!$D$6,'Planning Sheet'!CK149='Weeks Plan'!$G$6),'Planning Sheet'!$CM149,"")</f>
        <v/>
      </c>
    </row>
    <row r="3603" spans="25:27" x14ac:dyDescent="0.3">
      <c r="Y3603" s="48" t="str">
        <f ca="1">IF(AND('Planning Sheet'!CQ150='Weeks Plan'!$D$6,'Planning Sheet'!CK150='Weeks Plan'!$G$6),'Planning Sheet'!$B150,"")</f>
        <v/>
      </c>
      <c r="Z3603" s="48" t="str">
        <f ca="1">IF(AND('Planning Sheet'!CQ150='Weeks Plan'!$D$6,'Planning Sheet'!CK150='Weeks Plan'!$G$6),'Planning Sheet'!$CL150,"")</f>
        <v/>
      </c>
      <c r="AA3603" s="48" t="str">
        <f ca="1">IF(AND('Planning Sheet'!CQ150='Weeks Plan'!$D$6,'Planning Sheet'!CK150='Weeks Plan'!$G$6),'Planning Sheet'!$CM150,"")</f>
        <v/>
      </c>
    </row>
    <row r="3604" spans="25:27" x14ac:dyDescent="0.3">
      <c r="Y3604" s="48" t="str">
        <f ca="1">IF(AND('Planning Sheet'!CQ151='Weeks Plan'!$D$6,'Planning Sheet'!CK151='Weeks Plan'!$G$6),'Planning Sheet'!$B151,"")</f>
        <v/>
      </c>
      <c r="Z3604" s="48" t="str">
        <f ca="1">IF(AND('Planning Sheet'!CQ151='Weeks Plan'!$D$6,'Planning Sheet'!CK151='Weeks Plan'!$G$6),'Planning Sheet'!$CL151,"")</f>
        <v/>
      </c>
      <c r="AA3604" s="48" t="str">
        <f ca="1">IF(AND('Planning Sheet'!CQ151='Weeks Plan'!$D$6,'Planning Sheet'!CK151='Weeks Plan'!$G$6),'Planning Sheet'!$CM151,"")</f>
        <v/>
      </c>
    </row>
    <row r="3605" spans="25:27" x14ac:dyDescent="0.3">
      <c r="Y3605" s="48" t="str">
        <f ca="1">IF(AND('Planning Sheet'!CQ152='Weeks Plan'!$D$6,'Planning Sheet'!CK152='Weeks Plan'!$G$6),'Planning Sheet'!$B152,"")</f>
        <v/>
      </c>
      <c r="Z3605" s="48" t="str">
        <f ca="1">IF(AND('Planning Sheet'!CQ152='Weeks Plan'!$D$6,'Planning Sheet'!CK152='Weeks Plan'!$G$6),'Planning Sheet'!$CL152,"")</f>
        <v/>
      </c>
      <c r="AA3605" s="48" t="str">
        <f ca="1">IF(AND('Planning Sheet'!CQ152='Weeks Plan'!$D$6,'Planning Sheet'!CK152='Weeks Plan'!$G$6),'Planning Sheet'!$CM152,"")</f>
        <v/>
      </c>
    </row>
    <row r="3606" spans="25:27" x14ac:dyDescent="0.3">
      <c r="Y3606" s="48" t="str">
        <f ca="1">IF(AND('Planning Sheet'!CQ153='Weeks Plan'!$D$6,'Planning Sheet'!CK153='Weeks Plan'!$G$6),'Planning Sheet'!$B153,"")</f>
        <v/>
      </c>
      <c r="Z3606" s="48" t="str">
        <f ca="1">IF(AND('Planning Sheet'!CQ153='Weeks Plan'!$D$6,'Planning Sheet'!CK153='Weeks Plan'!$G$6),'Planning Sheet'!$CL153,"")</f>
        <v/>
      </c>
      <c r="AA3606" s="48" t="str">
        <f ca="1">IF(AND('Planning Sheet'!CQ153='Weeks Plan'!$D$6,'Planning Sheet'!CK153='Weeks Plan'!$G$6),'Planning Sheet'!$CM153,"")</f>
        <v/>
      </c>
    </row>
    <row r="3607" spans="25:27" x14ac:dyDescent="0.3">
      <c r="Y3607" s="48" t="str">
        <f ca="1">IF(AND('Planning Sheet'!CQ154='Weeks Plan'!$D$6,'Planning Sheet'!CK154='Weeks Plan'!$G$6),'Planning Sheet'!$B154,"")</f>
        <v/>
      </c>
      <c r="Z3607" s="48" t="str">
        <f ca="1">IF(AND('Planning Sheet'!CQ154='Weeks Plan'!$D$6,'Planning Sheet'!CK154='Weeks Plan'!$G$6),'Planning Sheet'!$CL154,"")</f>
        <v/>
      </c>
      <c r="AA3607" s="48" t="str">
        <f ca="1">IF(AND('Planning Sheet'!CQ154='Weeks Plan'!$D$6,'Planning Sheet'!CK154='Weeks Plan'!$G$6),'Planning Sheet'!$CM154,"")</f>
        <v/>
      </c>
    </row>
    <row r="3608" spans="25:27" x14ac:dyDescent="0.3">
      <c r="Y3608" s="48" t="str">
        <f ca="1">IF(AND('Planning Sheet'!CQ155='Weeks Plan'!$D$6,'Planning Sheet'!CK155='Weeks Plan'!$G$6),'Planning Sheet'!$B155,"")</f>
        <v/>
      </c>
      <c r="Z3608" s="48" t="str">
        <f ca="1">IF(AND('Planning Sheet'!CQ155='Weeks Plan'!$D$6,'Planning Sheet'!CK155='Weeks Plan'!$G$6),'Planning Sheet'!$CL155,"")</f>
        <v/>
      </c>
      <c r="AA3608" s="48" t="str">
        <f ca="1">IF(AND('Planning Sheet'!CQ155='Weeks Plan'!$D$6,'Planning Sheet'!CK155='Weeks Plan'!$G$6),'Planning Sheet'!$CM155,"")</f>
        <v/>
      </c>
    </row>
    <row r="3609" spans="25:27" x14ac:dyDescent="0.3">
      <c r="Y3609" s="48" t="str">
        <f ca="1">IF(AND('Planning Sheet'!CQ156='Weeks Plan'!$D$6,'Planning Sheet'!CK156='Weeks Plan'!$G$6),'Planning Sheet'!$B156,"")</f>
        <v/>
      </c>
      <c r="Z3609" s="48" t="str">
        <f ca="1">IF(AND('Planning Sheet'!CQ156='Weeks Plan'!$D$6,'Planning Sheet'!CK156='Weeks Plan'!$G$6),'Planning Sheet'!$CL156,"")</f>
        <v/>
      </c>
      <c r="AA3609" s="48" t="str">
        <f ca="1">IF(AND('Planning Sheet'!CQ156='Weeks Plan'!$D$6,'Planning Sheet'!CK156='Weeks Plan'!$G$6),'Planning Sheet'!$CM156,"")</f>
        <v/>
      </c>
    </row>
    <row r="3610" spans="25:27" x14ac:dyDescent="0.3">
      <c r="Y3610" s="48" t="str">
        <f ca="1">IF(AND('Planning Sheet'!CQ157='Weeks Plan'!$D$6,'Planning Sheet'!CK157='Weeks Plan'!$G$6),'Planning Sheet'!$B157,"")</f>
        <v/>
      </c>
      <c r="Z3610" s="48" t="str">
        <f ca="1">IF(AND('Planning Sheet'!CQ157='Weeks Plan'!$D$6,'Planning Sheet'!CK157='Weeks Plan'!$G$6),'Planning Sheet'!$CL157,"")</f>
        <v/>
      </c>
      <c r="AA3610" s="48" t="str">
        <f ca="1">IF(AND('Planning Sheet'!CQ157='Weeks Plan'!$D$6,'Planning Sheet'!CK157='Weeks Plan'!$G$6),'Planning Sheet'!$CM157,"")</f>
        <v/>
      </c>
    </row>
    <row r="3611" spans="25:27" x14ac:dyDescent="0.3">
      <c r="Y3611" s="48" t="str">
        <f ca="1">IF(AND('Planning Sheet'!CQ158='Weeks Plan'!$D$6,'Planning Sheet'!CK158='Weeks Plan'!$G$6),'Planning Sheet'!$B158,"")</f>
        <v/>
      </c>
      <c r="Z3611" s="48" t="str">
        <f ca="1">IF(AND('Planning Sheet'!CQ158='Weeks Plan'!$D$6,'Planning Sheet'!CK158='Weeks Plan'!$G$6),'Planning Sheet'!$CL158,"")</f>
        <v/>
      </c>
      <c r="AA3611" s="48" t="str">
        <f ca="1">IF(AND('Planning Sheet'!CQ158='Weeks Plan'!$D$6,'Planning Sheet'!CK158='Weeks Plan'!$G$6),'Planning Sheet'!$CM158,"")</f>
        <v/>
      </c>
    </row>
    <row r="3612" spans="25:27" x14ac:dyDescent="0.3">
      <c r="Y3612" s="48" t="str">
        <f ca="1">IF(AND('Planning Sheet'!CQ159='Weeks Plan'!$D$6,'Planning Sheet'!CK159='Weeks Plan'!$G$6),'Planning Sheet'!$B159,"")</f>
        <v/>
      </c>
      <c r="Z3612" s="48" t="str">
        <f ca="1">IF(AND('Planning Sheet'!CQ159='Weeks Plan'!$D$6,'Planning Sheet'!CK159='Weeks Plan'!$G$6),'Planning Sheet'!$CL159,"")</f>
        <v/>
      </c>
      <c r="AA3612" s="48" t="str">
        <f ca="1">IF(AND('Planning Sheet'!CQ159='Weeks Plan'!$D$6,'Planning Sheet'!CK159='Weeks Plan'!$G$6),'Planning Sheet'!$CM159,"")</f>
        <v/>
      </c>
    </row>
    <row r="3613" spans="25:27" x14ac:dyDescent="0.3">
      <c r="Y3613" s="48" t="str">
        <f ca="1">IF(AND('Planning Sheet'!CQ160='Weeks Plan'!$D$6,'Planning Sheet'!CK160='Weeks Plan'!$G$6),'Planning Sheet'!$B160,"")</f>
        <v/>
      </c>
      <c r="Z3613" s="48" t="str">
        <f ca="1">IF(AND('Planning Sheet'!CQ160='Weeks Plan'!$D$6,'Planning Sheet'!CK160='Weeks Plan'!$G$6),'Planning Sheet'!$CL160,"")</f>
        <v/>
      </c>
      <c r="AA3613" s="48" t="str">
        <f ca="1">IF(AND('Planning Sheet'!CQ160='Weeks Plan'!$D$6,'Planning Sheet'!CK160='Weeks Plan'!$G$6),'Planning Sheet'!$CM160,"")</f>
        <v/>
      </c>
    </row>
    <row r="3614" spans="25:27" x14ac:dyDescent="0.3">
      <c r="Y3614" s="48" t="str">
        <f ca="1">IF(AND('Planning Sheet'!CQ161='Weeks Plan'!$D$6,'Planning Sheet'!CK161='Weeks Plan'!$G$6),'Planning Sheet'!$B161,"")</f>
        <v/>
      </c>
      <c r="Z3614" s="48" t="str">
        <f ca="1">IF(AND('Planning Sheet'!CQ161='Weeks Plan'!$D$6,'Planning Sheet'!CK161='Weeks Plan'!$G$6),'Planning Sheet'!$CL161,"")</f>
        <v/>
      </c>
      <c r="AA3614" s="48" t="str">
        <f ca="1">IF(AND('Planning Sheet'!CQ161='Weeks Plan'!$D$6,'Planning Sheet'!CK161='Weeks Plan'!$G$6),'Planning Sheet'!$CM161,"")</f>
        <v/>
      </c>
    </row>
    <row r="3615" spans="25:27" x14ac:dyDescent="0.3">
      <c r="Y3615" s="48" t="str">
        <f ca="1">IF(AND('Planning Sheet'!CQ162='Weeks Plan'!$D$6,'Planning Sheet'!CK162='Weeks Plan'!$G$6),'Planning Sheet'!$B162,"")</f>
        <v/>
      </c>
      <c r="Z3615" s="48" t="str">
        <f ca="1">IF(AND('Planning Sheet'!CQ162='Weeks Plan'!$D$6,'Planning Sheet'!CK162='Weeks Plan'!$G$6),'Planning Sheet'!$CL162,"")</f>
        <v/>
      </c>
      <c r="AA3615" s="48" t="str">
        <f ca="1">IF(AND('Planning Sheet'!CQ162='Weeks Plan'!$D$6,'Planning Sheet'!CK162='Weeks Plan'!$G$6),'Planning Sheet'!$CM162,"")</f>
        <v/>
      </c>
    </row>
    <row r="3616" spans="25:27" x14ac:dyDescent="0.3">
      <c r="Y3616" s="48" t="str">
        <f ca="1">IF(AND('Planning Sheet'!CQ163='Weeks Plan'!$D$6,'Planning Sheet'!CK163='Weeks Plan'!$G$6),'Planning Sheet'!$B163,"")</f>
        <v/>
      </c>
      <c r="Z3616" s="48" t="str">
        <f ca="1">IF(AND('Planning Sheet'!CQ163='Weeks Plan'!$D$6,'Planning Sheet'!CK163='Weeks Plan'!$G$6),'Planning Sheet'!$CL163,"")</f>
        <v/>
      </c>
      <c r="AA3616" s="48" t="str">
        <f ca="1">IF(AND('Planning Sheet'!CQ163='Weeks Plan'!$D$6,'Planning Sheet'!CK163='Weeks Plan'!$G$6),'Planning Sheet'!$CM163,"")</f>
        <v/>
      </c>
    </row>
    <row r="3617" spans="25:27" x14ac:dyDescent="0.3">
      <c r="Y3617" s="48" t="str">
        <f ca="1">IF(AND('Planning Sheet'!CQ164='Weeks Plan'!$D$6,'Planning Sheet'!CK164='Weeks Plan'!$G$6),'Planning Sheet'!$B164,"")</f>
        <v/>
      </c>
      <c r="Z3617" s="48" t="str">
        <f ca="1">IF(AND('Planning Sheet'!CQ164='Weeks Plan'!$D$6,'Planning Sheet'!CK164='Weeks Plan'!$G$6),'Planning Sheet'!$CL164,"")</f>
        <v/>
      </c>
      <c r="AA3617" s="48" t="str">
        <f ca="1">IF(AND('Planning Sheet'!CQ164='Weeks Plan'!$D$6,'Planning Sheet'!CK164='Weeks Plan'!$G$6),'Planning Sheet'!$CM164,"")</f>
        <v/>
      </c>
    </row>
    <row r="3618" spans="25:27" x14ac:dyDescent="0.3">
      <c r="Y3618" s="48" t="str">
        <f ca="1">IF(AND('Planning Sheet'!CQ165='Weeks Plan'!$D$6,'Planning Sheet'!CK165='Weeks Plan'!$G$6),'Planning Sheet'!$B165,"")</f>
        <v/>
      </c>
      <c r="Z3618" s="48" t="str">
        <f ca="1">IF(AND('Planning Sheet'!CQ165='Weeks Plan'!$D$6,'Planning Sheet'!CK165='Weeks Plan'!$G$6),'Planning Sheet'!$CL165,"")</f>
        <v/>
      </c>
      <c r="AA3618" s="48" t="str">
        <f ca="1">IF(AND('Planning Sheet'!CQ165='Weeks Plan'!$D$6,'Planning Sheet'!CK165='Weeks Plan'!$G$6),'Planning Sheet'!$CM165,"")</f>
        <v/>
      </c>
    </row>
    <row r="3619" spans="25:27" x14ac:dyDescent="0.3">
      <c r="Y3619" s="48" t="str">
        <f ca="1">IF(AND('Planning Sheet'!CQ166='Weeks Plan'!$D$6,'Planning Sheet'!CK166='Weeks Plan'!$G$6),'Planning Sheet'!$B166,"")</f>
        <v/>
      </c>
      <c r="Z3619" s="48" t="str">
        <f ca="1">IF(AND('Planning Sheet'!CQ166='Weeks Plan'!$D$6,'Planning Sheet'!CK166='Weeks Plan'!$G$6),'Planning Sheet'!$CL166,"")</f>
        <v/>
      </c>
      <c r="AA3619" s="48" t="str">
        <f ca="1">IF(AND('Planning Sheet'!CQ166='Weeks Plan'!$D$6,'Planning Sheet'!CK166='Weeks Plan'!$G$6),'Planning Sheet'!$CM166,"")</f>
        <v/>
      </c>
    </row>
    <row r="3620" spans="25:27" x14ac:dyDescent="0.3">
      <c r="Y3620" s="48" t="str">
        <f ca="1">IF(AND('Planning Sheet'!CQ167='Weeks Plan'!$D$6,'Planning Sheet'!CK167='Weeks Plan'!$G$6),'Planning Sheet'!$B167,"")</f>
        <v/>
      </c>
      <c r="Z3620" s="48" t="str">
        <f ca="1">IF(AND('Planning Sheet'!CQ167='Weeks Plan'!$D$6,'Planning Sheet'!CK167='Weeks Plan'!$G$6),'Planning Sheet'!$CL167,"")</f>
        <v/>
      </c>
      <c r="AA3620" s="48" t="str">
        <f ca="1">IF(AND('Planning Sheet'!CQ167='Weeks Plan'!$D$6,'Planning Sheet'!CK167='Weeks Plan'!$G$6),'Planning Sheet'!$CM167,"")</f>
        <v/>
      </c>
    </row>
    <row r="3621" spans="25:27" x14ac:dyDescent="0.3">
      <c r="Y3621" s="48" t="str">
        <f ca="1">IF(AND('Planning Sheet'!CQ168='Weeks Plan'!$D$6,'Planning Sheet'!CK168='Weeks Plan'!$G$6),'Planning Sheet'!$B168,"")</f>
        <v/>
      </c>
      <c r="Z3621" s="48" t="str">
        <f ca="1">IF(AND('Planning Sheet'!CQ168='Weeks Plan'!$D$6,'Planning Sheet'!CK168='Weeks Plan'!$G$6),'Planning Sheet'!$CL168,"")</f>
        <v/>
      </c>
      <c r="AA3621" s="48" t="str">
        <f ca="1">IF(AND('Planning Sheet'!CQ168='Weeks Plan'!$D$6,'Planning Sheet'!CK168='Weeks Plan'!$G$6),'Planning Sheet'!$CM168,"")</f>
        <v/>
      </c>
    </row>
    <row r="3622" spans="25:27" x14ac:dyDescent="0.3">
      <c r="Y3622" s="48" t="str">
        <f ca="1">IF(AND('Planning Sheet'!CQ169='Weeks Plan'!$D$6,'Planning Sheet'!CK169='Weeks Plan'!$G$6),'Planning Sheet'!$B169,"")</f>
        <v/>
      </c>
      <c r="Z3622" s="48" t="str">
        <f ca="1">IF(AND('Planning Sheet'!CQ169='Weeks Plan'!$D$6,'Planning Sheet'!CK169='Weeks Plan'!$G$6),'Planning Sheet'!$CL169,"")</f>
        <v/>
      </c>
      <c r="AA3622" s="48" t="str">
        <f ca="1">IF(AND('Planning Sheet'!CQ169='Weeks Plan'!$D$6,'Planning Sheet'!CK169='Weeks Plan'!$G$6),'Planning Sheet'!$CM169,"")</f>
        <v/>
      </c>
    </row>
    <row r="3623" spans="25:27" x14ac:dyDescent="0.3">
      <c r="Y3623" s="48" t="str">
        <f ca="1">IF(AND('Planning Sheet'!CQ170='Weeks Plan'!$D$6,'Planning Sheet'!CK170='Weeks Plan'!$G$6),'Planning Sheet'!$B170,"")</f>
        <v/>
      </c>
      <c r="Z3623" s="48" t="str">
        <f ca="1">IF(AND('Planning Sheet'!CQ170='Weeks Plan'!$D$6,'Planning Sheet'!CK170='Weeks Plan'!$G$6),'Planning Sheet'!$CL170,"")</f>
        <v/>
      </c>
      <c r="AA3623" s="48" t="str">
        <f ca="1">IF(AND('Planning Sheet'!CQ170='Weeks Plan'!$D$6,'Planning Sheet'!CK170='Weeks Plan'!$G$6),'Planning Sheet'!$CM170,"")</f>
        <v/>
      </c>
    </row>
    <row r="3624" spans="25:27" x14ac:dyDescent="0.3">
      <c r="Y3624" s="48" t="str">
        <f ca="1">IF(AND('Planning Sheet'!CQ171='Weeks Plan'!$D$6,'Planning Sheet'!CK171='Weeks Plan'!$G$6),'Planning Sheet'!$B171,"")</f>
        <v/>
      </c>
      <c r="Z3624" s="48" t="str">
        <f ca="1">IF(AND('Planning Sheet'!CQ171='Weeks Plan'!$D$6,'Planning Sheet'!CK171='Weeks Plan'!$G$6),'Planning Sheet'!$CL171,"")</f>
        <v/>
      </c>
      <c r="AA3624" s="48" t="str">
        <f ca="1">IF(AND('Planning Sheet'!CQ171='Weeks Plan'!$D$6,'Planning Sheet'!CK171='Weeks Plan'!$G$6),'Planning Sheet'!$CM171,"")</f>
        <v/>
      </c>
    </row>
    <row r="3625" spans="25:27" x14ac:dyDescent="0.3">
      <c r="Y3625" s="48" t="str">
        <f ca="1">IF(AND('Planning Sheet'!CQ172='Weeks Plan'!$D$6,'Planning Sheet'!CK172='Weeks Plan'!$G$6),'Planning Sheet'!$B172,"")</f>
        <v/>
      </c>
      <c r="Z3625" s="48" t="str">
        <f ca="1">IF(AND('Planning Sheet'!CQ172='Weeks Plan'!$D$6,'Planning Sheet'!CK172='Weeks Plan'!$G$6),'Planning Sheet'!$CL172,"")</f>
        <v/>
      </c>
      <c r="AA3625" s="48" t="str">
        <f ca="1">IF(AND('Planning Sheet'!CQ172='Weeks Plan'!$D$6,'Planning Sheet'!CK172='Weeks Plan'!$G$6),'Planning Sheet'!$CM172,"")</f>
        <v/>
      </c>
    </row>
    <row r="3626" spans="25:27" x14ac:dyDescent="0.3">
      <c r="Y3626" s="48" t="str">
        <f ca="1">IF(AND('Planning Sheet'!CQ173='Weeks Plan'!$D$6,'Planning Sheet'!CK173='Weeks Plan'!$G$6),'Planning Sheet'!$B173,"")</f>
        <v/>
      </c>
      <c r="Z3626" s="48" t="str">
        <f ca="1">IF(AND('Planning Sheet'!CQ173='Weeks Plan'!$D$6,'Planning Sheet'!CK173='Weeks Plan'!$G$6),'Planning Sheet'!$CL173,"")</f>
        <v/>
      </c>
      <c r="AA3626" s="48" t="str">
        <f ca="1">IF(AND('Planning Sheet'!CQ173='Weeks Plan'!$D$6,'Planning Sheet'!CK173='Weeks Plan'!$G$6),'Planning Sheet'!$CM173,"")</f>
        <v/>
      </c>
    </row>
    <row r="3627" spans="25:27" x14ac:dyDescent="0.3">
      <c r="Y3627" s="48" t="str">
        <f ca="1">IF(AND('Planning Sheet'!CQ174='Weeks Plan'!$D$6,'Planning Sheet'!CK174='Weeks Plan'!$G$6),'Planning Sheet'!$B174,"")</f>
        <v/>
      </c>
      <c r="Z3627" s="48" t="str">
        <f ca="1">IF(AND('Planning Sheet'!CQ174='Weeks Plan'!$D$6,'Planning Sheet'!CK174='Weeks Plan'!$G$6),'Planning Sheet'!$CL174,"")</f>
        <v/>
      </c>
      <c r="AA3627" s="48" t="str">
        <f ca="1">IF(AND('Planning Sheet'!CQ174='Weeks Plan'!$D$6,'Planning Sheet'!CK174='Weeks Plan'!$G$6),'Planning Sheet'!$CM174,"")</f>
        <v/>
      </c>
    </row>
    <row r="3628" spans="25:27" x14ac:dyDescent="0.3">
      <c r="Y3628" s="48" t="str">
        <f ca="1">IF(AND('Planning Sheet'!CQ175='Weeks Plan'!$D$6,'Planning Sheet'!CK175='Weeks Plan'!$G$6),'Planning Sheet'!$B175,"")</f>
        <v/>
      </c>
      <c r="Z3628" s="48" t="str">
        <f ca="1">IF(AND('Planning Sheet'!CQ175='Weeks Plan'!$D$6,'Planning Sheet'!CK175='Weeks Plan'!$G$6),'Planning Sheet'!$CL175,"")</f>
        <v/>
      </c>
      <c r="AA3628" s="48" t="str">
        <f ca="1">IF(AND('Planning Sheet'!CQ175='Weeks Plan'!$D$6,'Planning Sheet'!CK175='Weeks Plan'!$G$6),'Planning Sheet'!$CM175,"")</f>
        <v/>
      </c>
    </row>
    <row r="3629" spans="25:27" x14ac:dyDescent="0.3">
      <c r="Y3629" s="48" t="str">
        <f ca="1">IF(AND('Planning Sheet'!CQ176='Weeks Plan'!$D$6,'Planning Sheet'!CK176='Weeks Plan'!$G$6),'Planning Sheet'!$B176,"")</f>
        <v/>
      </c>
      <c r="Z3629" s="48" t="str">
        <f ca="1">IF(AND('Planning Sheet'!CQ176='Weeks Plan'!$D$6,'Planning Sheet'!CK176='Weeks Plan'!$G$6),'Planning Sheet'!$CL176,"")</f>
        <v/>
      </c>
      <c r="AA3629" s="48" t="str">
        <f ca="1">IF(AND('Planning Sheet'!CQ176='Weeks Plan'!$D$6,'Planning Sheet'!CK176='Weeks Plan'!$G$6),'Planning Sheet'!$CM176,"")</f>
        <v/>
      </c>
    </row>
    <row r="3630" spans="25:27" x14ac:dyDescent="0.3">
      <c r="Y3630" s="48" t="str">
        <f ca="1">IF(AND('Planning Sheet'!CQ177='Weeks Plan'!$D$6,'Planning Sheet'!CK177='Weeks Plan'!$G$6),'Planning Sheet'!$B177,"")</f>
        <v/>
      </c>
      <c r="Z3630" s="48" t="str">
        <f ca="1">IF(AND('Planning Sheet'!CQ177='Weeks Plan'!$D$6,'Planning Sheet'!CK177='Weeks Plan'!$G$6),'Planning Sheet'!$CL177,"")</f>
        <v/>
      </c>
      <c r="AA3630" s="48" t="str">
        <f ca="1">IF(AND('Planning Sheet'!CQ177='Weeks Plan'!$D$6,'Planning Sheet'!CK177='Weeks Plan'!$G$6),'Planning Sheet'!$CM177,"")</f>
        <v/>
      </c>
    </row>
    <row r="3631" spans="25:27" x14ac:dyDescent="0.3">
      <c r="Y3631" s="48" t="str">
        <f ca="1">IF(AND('Planning Sheet'!CQ178='Weeks Plan'!$D$6,'Planning Sheet'!CK178='Weeks Plan'!$G$6),'Planning Sheet'!$B178,"")</f>
        <v/>
      </c>
      <c r="Z3631" s="48" t="str">
        <f ca="1">IF(AND('Planning Sheet'!CQ178='Weeks Plan'!$D$6,'Planning Sheet'!CK178='Weeks Plan'!$G$6),'Planning Sheet'!$CL178,"")</f>
        <v/>
      </c>
      <c r="AA3631" s="48" t="str">
        <f ca="1">IF(AND('Planning Sheet'!CQ178='Weeks Plan'!$D$6,'Planning Sheet'!CK178='Weeks Plan'!$G$6),'Planning Sheet'!$CM178,"")</f>
        <v/>
      </c>
    </row>
    <row r="3632" spans="25:27" x14ac:dyDescent="0.3">
      <c r="Y3632" s="48" t="str">
        <f ca="1">IF(AND('Planning Sheet'!CQ179='Weeks Plan'!$D$6,'Planning Sheet'!CK179='Weeks Plan'!$G$6),'Planning Sheet'!$B179,"")</f>
        <v/>
      </c>
      <c r="Z3632" s="48" t="str">
        <f ca="1">IF(AND('Planning Sheet'!CQ179='Weeks Plan'!$D$6,'Planning Sheet'!CK179='Weeks Plan'!$G$6),'Planning Sheet'!$CL179,"")</f>
        <v/>
      </c>
      <c r="AA3632" s="48" t="str">
        <f ca="1">IF(AND('Planning Sheet'!CQ179='Weeks Plan'!$D$6,'Planning Sheet'!CK179='Weeks Plan'!$G$6),'Planning Sheet'!$CM179,"")</f>
        <v/>
      </c>
    </row>
    <row r="3633" spans="25:27" x14ac:dyDescent="0.3">
      <c r="Y3633" s="48" t="str">
        <f ca="1">IF(AND('Planning Sheet'!CQ180='Weeks Plan'!$D$6,'Planning Sheet'!CK180='Weeks Plan'!$G$6),'Planning Sheet'!$B180,"")</f>
        <v/>
      </c>
      <c r="Z3633" s="48" t="str">
        <f ca="1">IF(AND('Planning Sheet'!CQ180='Weeks Plan'!$D$6,'Planning Sheet'!CK180='Weeks Plan'!$G$6),'Planning Sheet'!$CL180,"")</f>
        <v/>
      </c>
      <c r="AA3633" s="48" t="str">
        <f ca="1">IF(AND('Planning Sheet'!CQ180='Weeks Plan'!$D$6,'Planning Sheet'!CK180='Weeks Plan'!$G$6),'Planning Sheet'!$CM180,"")</f>
        <v/>
      </c>
    </row>
    <row r="3634" spans="25:27" x14ac:dyDescent="0.3">
      <c r="Y3634" s="48" t="str">
        <f ca="1">IF(AND('Planning Sheet'!CQ181='Weeks Plan'!$D$6,'Planning Sheet'!CK181='Weeks Plan'!$G$6),'Planning Sheet'!$B181,"")</f>
        <v/>
      </c>
      <c r="Z3634" s="48" t="str">
        <f ca="1">IF(AND('Planning Sheet'!CQ181='Weeks Plan'!$D$6,'Planning Sheet'!CK181='Weeks Plan'!$G$6),'Planning Sheet'!$CL181,"")</f>
        <v/>
      </c>
      <c r="AA3634" s="48" t="str">
        <f ca="1">IF(AND('Planning Sheet'!CQ181='Weeks Plan'!$D$6,'Planning Sheet'!CK181='Weeks Plan'!$G$6),'Planning Sheet'!$CM181,"")</f>
        <v/>
      </c>
    </row>
    <row r="3635" spans="25:27" x14ac:dyDescent="0.3">
      <c r="Y3635" s="48" t="str">
        <f ca="1">IF(AND('Planning Sheet'!CQ182='Weeks Plan'!$D$6,'Planning Sheet'!CK182='Weeks Plan'!$G$6),'Planning Sheet'!$B182,"")</f>
        <v/>
      </c>
      <c r="Z3635" s="48" t="str">
        <f ca="1">IF(AND('Planning Sheet'!CQ182='Weeks Plan'!$D$6,'Planning Sheet'!CK182='Weeks Plan'!$G$6),'Planning Sheet'!$CL182,"")</f>
        <v/>
      </c>
      <c r="AA3635" s="48" t="str">
        <f ca="1">IF(AND('Planning Sheet'!CQ182='Weeks Plan'!$D$6,'Planning Sheet'!CK182='Weeks Plan'!$G$6),'Planning Sheet'!$CM182,"")</f>
        <v/>
      </c>
    </row>
    <row r="3636" spans="25:27" x14ac:dyDescent="0.3">
      <c r="Y3636" s="48" t="str">
        <f ca="1">IF(AND('Planning Sheet'!CQ183='Weeks Plan'!$D$6,'Planning Sheet'!CK183='Weeks Plan'!$G$6),'Planning Sheet'!$B183,"")</f>
        <v/>
      </c>
      <c r="Z3636" s="48" t="str">
        <f ca="1">IF(AND('Planning Sheet'!CQ183='Weeks Plan'!$D$6,'Planning Sheet'!CK183='Weeks Plan'!$G$6),'Planning Sheet'!$CL183,"")</f>
        <v/>
      </c>
      <c r="AA3636" s="48" t="str">
        <f ca="1">IF(AND('Planning Sheet'!CQ183='Weeks Plan'!$D$6,'Planning Sheet'!CK183='Weeks Plan'!$G$6),'Planning Sheet'!$CM183,"")</f>
        <v/>
      </c>
    </row>
    <row r="3637" spans="25:27" x14ac:dyDescent="0.3">
      <c r="Y3637" s="48" t="str">
        <f ca="1">IF(AND('Planning Sheet'!CQ184='Weeks Plan'!$D$6,'Planning Sheet'!CK184='Weeks Plan'!$G$6),'Planning Sheet'!$B184,"")</f>
        <v/>
      </c>
      <c r="Z3637" s="48" t="str">
        <f ca="1">IF(AND('Planning Sheet'!CQ184='Weeks Plan'!$D$6,'Planning Sheet'!CK184='Weeks Plan'!$G$6),'Planning Sheet'!$CL184,"")</f>
        <v/>
      </c>
      <c r="AA3637" s="48" t="str">
        <f ca="1">IF(AND('Planning Sheet'!CQ184='Weeks Plan'!$D$6,'Planning Sheet'!CK184='Weeks Plan'!$G$6),'Planning Sheet'!$CM184,"")</f>
        <v/>
      </c>
    </row>
    <row r="3638" spans="25:27" x14ac:dyDescent="0.3">
      <c r="Y3638" s="48" t="str">
        <f ca="1">IF(AND('Planning Sheet'!CQ185='Weeks Plan'!$D$6,'Planning Sheet'!CK185='Weeks Plan'!$G$6),'Planning Sheet'!$B185,"")</f>
        <v/>
      </c>
      <c r="Z3638" s="48" t="str">
        <f ca="1">IF(AND('Planning Sheet'!CQ185='Weeks Plan'!$D$6,'Planning Sheet'!CK185='Weeks Plan'!$G$6),'Planning Sheet'!$CL185,"")</f>
        <v/>
      </c>
      <c r="AA3638" s="48" t="str">
        <f ca="1">IF(AND('Planning Sheet'!CQ185='Weeks Plan'!$D$6,'Planning Sheet'!CK185='Weeks Plan'!$G$6),'Planning Sheet'!$CM185,"")</f>
        <v/>
      </c>
    </row>
    <row r="3639" spans="25:27" x14ac:dyDescent="0.3">
      <c r="Y3639" s="48" t="str">
        <f ca="1">IF(AND('Planning Sheet'!CQ186='Weeks Plan'!$D$6,'Planning Sheet'!CK186='Weeks Plan'!$G$6),'Planning Sheet'!$B186,"")</f>
        <v/>
      </c>
      <c r="Z3639" s="48" t="str">
        <f ca="1">IF(AND('Planning Sheet'!CQ186='Weeks Plan'!$D$6,'Planning Sheet'!CK186='Weeks Plan'!$G$6),'Planning Sheet'!$CL186,"")</f>
        <v/>
      </c>
      <c r="AA3639" s="48" t="str">
        <f ca="1">IF(AND('Planning Sheet'!CQ186='Weeks Plan'!$D$6,'Planning Sheet'!CK186='Weeks Plan'!$G$6),'Planning Sheet'!$CM186,"")</f>
        <v/>
      </c>
    </row>
    <row r="3640" spans="25:27" x14ac:dyDescent="0.3">
      <c r="Y3640" s="48" t="str">
        <f ca="1">IF(AND('Planning Sheet'!CQ187='Weeks Plan'!$D$6,'Planning Sheet'!CK187='Weeks Plan'!$G$6),'Planning Sheet'!$B187,"")</f>
        <v/>
      </c>
      <c r="Z3640" s="48" t="str">
        <f ca="1">IF(AND('Planning Sheet'!CQ187='Weeks Plan'!$D$6,'Planning Sheet'!CK187='Weeks Plan'!$G$6),'Planning Sheet'!$CL187,"")</f>
        <v/>
      </c>
      <c r="AA3640" s="48" t="str">
        <f ca="1">IF(AND('Planning Sheet'!CQ187='Weeks Plan'!$D$6,'Planning Sheet'!CK187='Weeks Plan'!$G$6),'Planning Sheet'!$CM187,"")</f>
        <v/>
      </c>
    </row>
    <row r="3641" spans="25:27" x14ac:dyDescent="0.3">
      <c r="Y3641" s="48" t="str">
        <f ca="1">IF(AND('Planning Sheet'!CQ188='Weeks Plan'!$D$6,'Planning Sheet'!CK188='Weeks Plan'!$G$6),'Planning Sheet'!$B188,"")</f>
        <v/>
      </c>
      <c r="Z3641" s="48" t="str">
        <f ca="1">IF(AND('Planning Sheet'!CQ188='Weeks Plan'!$D$6,'Planning Sheet'!CK188='Weeks Plan'!$G$6),'Planning Sheet'!$CL188,"")</f>
        <v/>
      </c>
      <c r="AA3641" s="48" t="str">
        <f ca="1">IF(AND('Planning Sheet'!CQ188='Weeks Plan'!$D$6,'Planning Sheet'!CK188='Weeks Plan'!$G$6),'Planning Sheet'!$CM188,"")</f>
        <v/>
      </c>
    </row>
    <row r="3642" spans="25:27" x14ac:dyDescent="0.3">
      <c r="Y3642" s="48" t="str">
        <f ca="1">IF(AND('Planning Sheet'!CQ189='Weeks Plan'!$D$6,'Planning Sheet'!CK189='Weeks Plan'!$G$6),'Planning Sheet'!$B189,"")</f>
        <v/>
      </c>
      <c r="Z3642" s="48" t="str">
        <f ca="1">IF(AND('Planning Sheet'!CQ189='Weeks Plan'!$D$6,'Planning Sheet'!CK189='Weeks Plan'!$G$6),'Planning Sheet'!$CL189,"")</f>
        <v/>
      </c>
      <c r="AA3642" s="48" t="str">
        <f ca="1">IF(AND('Planning Sheet'!CQ189='Weeks Plan'!$D$6,'Planning Sheet'!CK189='Weeks Plan'!$G$6),'Planning Sheet'!$CM189,"")</f>
        <v/>
      </c>
    </row>
    <row r="3643" spans="25:27" x14ac:dyDescent="0.3">
      <c r="Y3643" s="48" t="str">
        <f ca="1">IF(AND('Planning Sheet'!CQ190='Weeks Plan'!$D$6,'Planning Sheet'!CK190='Weeks Plan'!$G$6),'Planning Sheet'!$B190,"")</f>
        <v/>
      </c>
      <c r="Z3643" s="48" t="str">
        <f ca="1">IF(AND('Planning Sheet'!CQ190='Weeks Plan'!$D$6,'Planning Sheet'!CK190='Weeks Plan'!$G$6),'Planning Sheet'!$CL190,"")</f>
        <v/>
      </c>
      <c r="AA3643" s="48" t="str">
        <f ca="1">IF(AND('Planning Sheet'!CQ190='Weeks Plan'!$D$6,'Planning Sheet'!CK190='Weeks Plan'!$G$6),'Planning Sheet'!$CM190,"")</f>
        <v/>
      </c>
    </row>
    <row r="3644" spans="25:27" x14ac:dyDescent="0.3">
      <c r="Y3644" s="48" t="str">
        <f ca="1">IF(AND('Planning Sheet'!CQ191='Weeks Plan'!$D$6,'Planning Sheet'!CK191='Weeks Plan'!$G$6),'Planning Sheet'!$B191,"")</f>
        <v/>
      </c>
      <c r="Z3644" s="48" t="str">
        <f ca="1">IF(AND('Planning Sheet'!CQ191='Weeks Plan'!$D$6,'Planning Sheet'!CK191='Weeks Plan'!$G$6),'Planning Sheet'!$CL191,"")</f>
        <v/>
      </c>
      <c r="AA3644" s="48" t="str">
        <f ca="1">IF(AND('Planning Sheet'!CQ191='Weeks Plan'!$D$6,'Planning Sheet'!CK191='Weeks Plan'!$G$6),'Planning Sheet'!$CM191,"")</f>
        <v/>
      </c>
    </row>
    <row r="3645" spans="25:27" x14ac:dyDescent="0.3">
      <c r="Y3645" s="48" t="str">
        <f ca="1">IF(AND('Planning Sheet'!CQ192='Weeks Plan'!$D$6,'Planning Sheet'!CK192='Weeks Plan'!$G$6),'Planning Sheet'!$B192,"")</f>
        <v/>
      </c>
      <c r="Z3645" s="48" t="str">
        <f ca="1">IF(AND('Planning Sheet'!CQ192='Weeks Plan'!$D$6,'Planning Sheet'!CK192='Weeks Plan'!$G$6),'Planning Sheet'!$CL192,"")</f>
        <v/>
      </c>
      <c r="AA3645" s="48" t="str">
        <f ca="1">IF(AND('Planning Sheet'!CQ192='Weeks Plan'!$D$6,'Planning Sheet'!CK192='Weeks Plan'!$G$6),'Planning Sheet'!$CM192,"")</f>
        <v/>
      </c>
    </row>
    <row r="3646" spans="25:27" x14ac:dyDescent="0.3">
      <c r="Y3646" s="48" t="str">
        <f ca="1">IF(AND('Planning Sheet'!CQ193='Weeks Plan'!$D$6,'Planning Sheet'!CK193='Weeks Plan'!$G$6),'Planning Sheet'!$B193,"")</f>
        <v/>
      </c>
      <c r="Z3646" s="48" t="str">
        <f ca="1">IF(AND('Planning Sheet'!CQ193='Weeks Plan'!$D$6,'Planning Sheet'!CK193='Weeks Plan'!$G$6),'Planning Sheet'!$CL193,"")</f>
        <v/>
      </c>
      <c r="AA3646" s="48" t="str">
        <f ca="1">IF(AND('Planning Sheet'!CQ193='Weeks Plan'!$D$6,'Planning Sheet'!CK193='Weeks Plan'!$G$6),'Planning Sheet'!$CM193,"")</f>
        <v/>
      </c>
    </row>
    <row r="3647" spans="25:27" x14ac:dyDescent="0.3">
      <c r="Y3647" s="48" t="str">
        <f ca="1">IF(AND('Planning Sheet'!CQ194='Weeks Plan'!$D$6,'Planning Sheet'!CK194='Weeks Plan'!$G$6),'Planning Sheet'!$B194,"")</f>
        <v/>
      </c>
      <c r="Z3647" s="48" t="str">
        <f ca="1">IF(AND('Planning Sheet'!CQ194='Weeks Plan'!$D$6,'Planning Sheet'!CK194='Weeks Plan'!$G$6),'Planning Sheet'!$CL194,"")</f>
        <v/>
      </c>
      <c r="AA3647" s="48" t="str">
        <f ca="1">IF(AND('Planning Sheet'!CQ194='Weeks Plan'!$D$6,'Planning Sheet'!CK194='Weeks Plan'!$G$6),'Planning Sheet'!$CM194,"")</f>
        <v/>
      </c>
    </row>
    <row r="3648" spans="25:27" x14ac:dyDescent="0.3">
      <c r="Y3648" s="48" t="str">
        <f ca="1">IF(AND('Planning Sheet'!CQ195='Weeks Plan'!$D$6,'Planning Sheet'!CK195='Weeks Plan'!$G$6),'Planning Sheet'!$B195,"")</f>
        <v/>
      </c>
      <c r="Z3648" s="48" t="str">
        <f ca="1">IF(AND('Planning Sheet'!CQ195='Weeks Plan'!$D$6,'Planning Sheet'!CK195='Weeks Plan'!$G$6),'Planning Sheet'!$CL195,"")</f>
        <v/>
      </c>
      <c r="AA3648" s="48" t="str">
        <f ca="1">IF(AND('Planning Sheet'!CQ195='Weeks Plan'!$D$6,'Planning Sheet'!CK195='Weeks Plan'!$G$6),'Planning Sheet'!$CM195,"")</f>
        <v/>
      </c>
    </row>
    <row r="3649" spans="25:27" x14ac:dyDescent="0.3">
      <c r="Y3649" s="48" t="str">
        <f ca="1">IF(AND('Planning Sheet'!CQ196='Weeks Plan'!$D$6,'Planning Sheet'!CK196='Weeks Plan'!$G$6),'Planning Sheet'!$B196,"")</f>
        <v/>
      </c>
      <c r="Z3649" s="48" t="str">
        <f ca="1">IF(AND('Planning Sheet'!CQ196='Weeks Plan'!$D$6,'Planning Sheet'!CK196='Weeks Plan'!$G$6),'Planning Sheet'!$CL196,"")</f>
        <v/>
      </c>
      <c r="AA3649" s="48" t="str">
        <f ca="1">IF(AND('Planning Sheet'!CQ196='Weeks Plan'!$D$6,'Planning Sheet'!CK196='Weeks Plan'!$G$6),'Planning Sheet'!$CM196,"")</f>
        <v/>
      </c>
    </row>
    <row r="3650" spans="25:27" x14ac:dyDescent="0.3">
      <c r="Y3650" s="48" t="str">
        <f ca="1">IF(AND('Planning Sheet'!CQ197='Weeks Plan'!$D$6,'Planning Sheet'!CK197='Weeks Plan'!$G$6),'Planning Sheet'!$B197,"")</f>
        <v/>
      </c>
      <c r="Z3650" s="48" t="str">
        <f ca="1">IF(AND('Planning Sheet'!CQ197='Weeks Plan'!$D$6,'Planning Sheet'!CK197='Weeks Plan'!$G$6),'Planning Sheet'!$CL197,"")</f>
        <v/>
      </c>
      <c r="AA3650" s="48" t="str">
        <f ca="1">IF(AND('Planning Sheet'!CQ197='Weeks Plan'!$D$6,'Planning Sheet'!CK197='Weeks Plan'!$G$6),'Planning Sheet'!$CM197,"")</f>
        <v/>
      </c>
    </row>
    <row r="3651" spans="25:27" x14ac:dyDescent="0.3">
      <c r="Y3651" s="48" t="str">
        <f ca="1">IF(AND('Planning Sheet'!CQ198='Weeks Plan'!$D$6,'Planning Sheet'!CK198='Weeks Plan'!$G$6),'Planning Sheet'!$B198,"")</f>
        <v/>
      </c>
      <c r="Z3651" s="48" t="str">
        <f ca="1">IF(AND('Planning Sheet'!CQ198='Weeks Plan'!$D$6,'Planning Sheet'!CK198='Weeks Plan'!$G$6),'Planning Sheet'!$CL198,"")</f>
        <v/>
      </c>
      <c r="AA3651" s="48" t="str">
        <f ca="1">IF(AND('Planning Sheet'!CQ198='Weeks Plan'!$D$6,'Planning Sheet'!CK198='Weeks Plan'!$G$6),'Planning Sheet'!$CM198,"")</f>
        <v/>
      </c>
    </row>
    <row r="3652" spans="25:27" x14ac:dyDescent="0.3">
      <c r="Y3652" s="48" t="str">
        <f ca="1">IF(AND('Planning Sheet'!CQ199='Weeks Plan'!$D$6,'Planning Sheet'!CK199='Weeks Plan'!$G$6),'Planning Sheet'!$B199,"")</f>
        <v/>
      </c>
      <c r="Z3652" s="48" t="str">
        <f ca="1">IF(AND('Planning Sheet'!CQ199='Weeks Plan'!$D$6,'Planning Sheet'!CK199='Weeks Plan'!$G$6),'Planning Sheet'!$CL199,"")</f>
        <v/>
      </c>
      <c r="AA3652" s="48" t="str">
        <f ca="1">IF(AND('Planning Sheet'!CQ199='Weeks Plan'!$D$6,'Planning Sheet'!CK199='Weeks Plan'!$G$6),'Planning Sheet'!$CM199,"")</f>
        <v/>
      </c>
    </row>
    <row r="3653" spans="25:27" x14ac:dyDescent="0.3">
      <c r="Y3653" s="48" t="str">
        <f ca="1">IF(AND('Planning Sheet'!CQ200='Weeks Plan'!$D$6,'Planning Sheet'!CK200='Weeks Plan'!$G$6),'Planning Sheet'!$B200,"")</f>
        <v/>
      </c>
      <c r="Z3653" s="48" t="str">
        <f ca="1">IF(AND('Planning Sheet'!CQ200='Weeks Plan'!$D$6,'Planning Sheet'!CK200='Weeks Plan'!$G$6),'Planning Sheet'!$CL200,"")</f>
        <v/>
      </c>
      <c r="AA3653" s="48" t="str">
        <f ca="1">IF(AND('Planning Sheet'!CQ200='Weeks Plan'!$D$6,'Planning Sheet'!CK200='Weeks Plan'!$G$6),'Planning Sheet'!$CM200,"")</f>
        <v/>
      </c>
    </row>
    <row r="3654" spans="25:27" x14ac:dyDescent="0.3">
      <c r="Y3654" s="48" t="str">
        <f ca="1">IF(AND('Planning Sheet'!CQ201='Weeks Plan'!$D$6,'Planning Sheet'!CK201='Weeks Plan'!$G$6),'Planning Sheet'!$B201,"")</f>
        <v/>
      </c>
      <c r="Z3654" s="48" t="str">
        <f ca="1">IF(AND('Planning Sheet'!CQ201='Weeks Plan'!$D$6,'Planning Sheet'!CK201='Weeks Plan'!$G$6),'Planning Sheet'!$CL201,"")</f>
        <v/>
      </c>
      <c r="AA3654" s="48" t="str">
        <f ca="1">IF(AND('Planning Sheet'!CQ201='Weeks Plan'!$D$6,'Planning Sheet'!CK201='Weeks Plan'!$G$6),'Planning Sheet'!$CM201,"")</f>
        <v/>
      </c>
    </row>
    <row r="3655" spans="25:27" x14ac:dyDescent="0.3">
      <c r="Y3655" s="48" t="str">
        <f ca="1">IF(AND('Planning Sheet'!CQ202='Weeks Plan'!$D$6,'Planning Sheet'!CK202='Weeks Plan'!$G$6),'Planning Sheet'!$B202,"")</f>
        <v/>
      </c>
      <c r="Z3655" s="48" t="str">
        <f ca="1">IF(AND('Planning Sheet'!CQ202='Weeks Plan'!$D$6,'Planning Sheet'!CK202='Weeks Plan'!$G$6),'Planning Sheet'!$CL202,"")</f>
        <v/>
      </c>
      <c r="AA3655" s="48" t="str">
        <f ca="1">IF(AND('Planning Sheet'!CQ202='Weeks Plan'!$D$6,'Planning Sheet'!CK202='Weeks Plan'!$G$6),'Planning Sheet'!$CM202,"")</f>
        <v/>
      </c>
    </row>
    <row r="3656" spans="25:27" x14ac:dyDescent="0.3">
      <c r="Y3656" s="48" t="str">
        <f ca="1">IF(AND('Planning Sheet'!CQ203='Weeks Plan'!$D$6,'Planning Sheet'!CK203='Weeks Plan'!$G$6),'Planning Sheet'!$B203,"")</f>
        <v/>
      </c>
      <c r="Z3656" s="48" t="str">
        <f ca="1">IF(AND('Planning Sheet'!CQ203='Weeks Plan'!$D$6,'Planning Sheet'!CK203='Weeks Plan'!$G$6),'Planning Sheet'!$CL203,"")</f>
        <v/>
      </c>
      <c r="AA3656" s="48" t="str">
        <f ca="1">IF(AND('Planning Sheet'!CQ203='Weeks Plan'!$D$6,'Planning Sheet'!CK203='Weeks Plan'!$G$6),'Planning Sheet'!$CM203,"")</f>
        <v/>
      </c>
    </row>
    <row r="3657" spans="25:27" x14ac:dyDescent="0.3">
      <c r="Y3657" s="48" t="str">
        <f ca="1">IF(AND('Planning Sheet'!CQ204='Weeks Plan'!$D$6,'Planning Sheet'!CK204='Weeks Plan'!$G$6),'Planning Sheet'!$B204,"")</f>
        <v/>
      </c>
      <c r="Z3657" s="48" t="str">
        <f ca="1">IF(AND('Planning Sheet'!CQ204='Weeks Plan'!$D$6,'Planning Sheet'!CK204='Weeks Plan'!$G$6),'Planning Sheet'!$CL204,"")</f>
        <v/>
      </c>
      <c r="AA3657" s="48" t="str">
        <f ca="1">IF(AND('Planning Sheet'!CQ204='Weeks Plan'!$D$6,'Planning Sheet'!CK204='Weeks Plan'!$G$6),'Planning Sheet'!$CM204,"")</f>
        <v/>
      </c>
    </row>
    <row r="3658" spans="25:27" x14ac:dyDescent="0.3">
      <c r="Y3658" s="48" t="str">
        <f ca="1">IF(AND('Planning Sheet'!CQ205='Weeks Plan'!$D$6,'Planning Sheet'!CK205='Weeks Plan'!$G$6),'Planning Sheet'!$B205,"")</f>
        <v/>
      </c>
      <c r="Z3658" s="48" t="str">
        <f ca="1">IF(AND('Planning Sheet'!CQ205='Weeks Plan'!$D$6,'Planning Sheet'!CK205='Weeks Plan'!$G$6),'Planning Sheet'!$CL205,"")</f>
        <v/>
      </c>
      <c r="AA3658" s="48" t="str">
        <f ca="1">IF(AND('Planning Sheet'!CQ205='Weeks Plan'!$D$6,'Planning Sheet'!CK205='Weeks Plan'!$G$6),'Planning Sheet'!$CM205,"")</f>
        <v/>
      </c>
    </row>
    <row r="3659" spans="25:27" x14ac:dyDescent="0.3">
      <c r="Y3659" s="48" t="str">
        <f ca="1">IF(AND('Planning Sheet'!CQ206='Weeks Plan'!$D$6,'Planning Sheet'!CK206='Weeks Plan'!$G$6),'Planning Sheet'!$B206,"")</f>
        <v/>
      </c>
      <c r="Z3659" s="48" t="str">
        <f ca="1">IF(AND('Planning Sheet'!CQ206='Weeks Plan'!$D$6,'Planning Sheet'!CK206='Weeks Plan'!$G$6),'Planning Sheet'!$CL206,"")</f>
        <v/>
      </c>
      <c r="AA3659" s="48" t="str">
        <f ca="1">IF(AND('Planning Sheet'!CQ206='Weeks Plan'!$D$6,'Planning Sheet'!CK206='Weeks Plan'!$G$6),'Planning Sheet'!$CM206,"")</f>
        <v/>
      </c>
    </row>
    <row r="3660" spans="25:27" x14ac:dyDescent="0.3">
      <c r="Y3660" s="48" t="str">
        <f ca="1">IF(AND('Planning Sheet'!CQ207='Weeks Plan'!$D$6,'Planning Sheet'!CK207='Weeks Plan'!$G$6),'Planning Sheet'!$B207,"")</f>
        <v/>
      </c>
      <c r="Z3660" s="48" t="str">
        <f ca="1">IF(AND('Planning Sheet'!CQ207='Weeks Plan'!$D$6,'Planning Sheet'!CK207='Weeks Plan'!$G$6),'Planning Sheet'!$CL207,"")</f>
        <v/>
      </c>
      <c r="AA3660" s="48" t="str">
        <f ca="1">IF(AND('Planning Sheet'!CQ207='Weeks Plan'!$D$6,'Planning Sheet'!CK207='Weeks Plan'!$G$6),'Planning Sheet'!$CM207,"")</f>
        <v/>
      </c>
    </row>
    <row r="3661" spans="25:27" x14ac:dyDescent="0.3">
      <c r="Y3661" s="48" t="str">
        <f ca="1">IF(AND('Planning Sheet'!CQ208='Weeks Plan'!$D$6,'Planning Sheet'!CK208='Weeks Plan'!$G$6),'Planning Sheet'!$B208,"")</f>
        <v/>
      </c>
      <c r="Z3661" s="48" t="str">
        <f ca="1">IF(AND('Planning Sheet'!CQ208='Weeks Plan'!$D$6,'Planning Sheet'!CK208='Weeks Plan'!$G$6),'Planning Sheet'!$CL208,"")</f>
        <v/>
      </c>
      <c r="AA3661" s="48" t="str">
        <f ca="1">IF(AND('Planning Sheet'!CQ208='Weeks Plan'!$D$6,'Planning Sheet'!CK208='Weeks Plan'!$G$6),'Planning Sheet'!$CM208,"")</f>
        <v/>
      </c>
    </row>
    <row r="3662" spans="25:27" x14ac:dyDescent="0.3">
      <c r="Y3662" s="48" t="str">
        <f ca="1">IF(AND('Planning Sheet'!CQ209='Weeks Plan'!$D$6,'Planning Sheet'!CK209='Weeks Plan'!$G$6),'Planning Sheet'!$B209,"")</f>
        <v/>
      </c>
      <c r="Z3662" s="48" t="str">
        <f ca="1">IF(AND('Planning Sheet'!CQ209='Weeks Plan'!$D$6,'Planning Sheet'!CK209='Weeks Plan'!$G$6),'Planning Sheet'!$CL209,"")</f>
        <v/>
      </c>
      <c r="AA3662" s="48" t="str">
        <f ca="1">IF(AND('Planning Sheet'!CQ209='Weeks Plan'!$D$6,'Planning Sheet'!CK209='Weeks Plan'!$G$6),'Planning Sheet'!$CM209,"")</f>
        <v/>
      </c>
    </row>
    <row r="3663" spans="25:27" x14ac:dyDescent="0.3">
      <c r="Y3663" s="48" t="str">
        <f ca="1">IF(AND('Planning Sheet'!CQ210='Weeks Plan'!$D$6,'Planning Sheet'!CK210='Weeks Plan'!$G$6),'Planning Sheet'!$B210,"")</f>
        <v/>
      </c>
      <c r="Z3663" s="48" t="str">
        <f ca="1">IF(AND('Planning Sheet'!CQ210='Weeks Plan'!$D$6,'Planning Sheet'!CK210='Weeks Plan'!$G$6),'Planning Sheet'!$CL210,"")</f>
        <v/>
      </c>
      <c r="AA3663" s="48" t="str">
        <f ca="1">IF(AND('Planning Sheet'!CQ210='Weeks Plan'!$D$6,'Planning Sheet'!CK210='Weeks Plan'!$G$6),'Planning Sheet'!$CM210,"")</f>
        <v/>
      </c>
    </row>
    <row r="3664" spans="25:27" x14ac:dyDescent="0.3">
      <c r="Y3664" s="48" t="str">
        <f ca="1">IF(AND('Planning Sheet'!CQ211='Weeks Plan'!$D$6,'Planning Sheet'!CK211='Weeks Plan'!$G$6),'Planning Sheet'!$B211,"")</f>
        <v/>
      </c>
      <c r="Z3664" s="48" t="str">
        <f ca="1">IF(AND('Planning Sheet'!CQ211='Weeks Plan'!$D$6,'Planning Sheet'!CK211='Weeks Plan'!$G$6),'Planning Sheet'!$CL211,"")</f>
        <v/>
      </c>
      <c r="AA3664" s="48" t="str">
        <f ca="1">IF(AND('Planning Sheet'!CQ211='Weeks Plan'!$D$6,'Planning Sheet'!CK211='Weeks Plan'!$G$6),'Planning Sheet'!$CM211,"")</f>
        <v/>
      </c>
    </row>
    <row r="3665" spans="25:27" x14ac:dyDescent="0.3">
      <c r="Y3665" s="48" t="str">
        <f ca="1">IF(AND('Planning Sheet'!CQ212='Weeks Plan'!$D$6,'Planning Sheet'!CK212='Weeks Plan'!$G$6),'Planning Sheet'!$B212,"")</f>
        <v/>
      </c>
      <c r="Z3665" s="48" t="str">
        <f ca="1">IF(AND('Planning Sheet'!CQ212='Weeks Plan'!$D$6,'Planning Sheet'!CK212='Weeks Plan'!$G$6),'Planning Sheet'!$CL212,"")</f>
        <v/>
      </c>
      <c r="AA3665" s="48" t="str">
        <f ca="1">IF(AND('Planning Sheet'!CQ212='Weeks Plan'!$D$6,'Planning Sheet'!CK212='Weeks Plan'!$G$6),'Planning Sheet'!$CM212,"")</f>
        <v/>
      </c>
    </row>
    <row r="3666" spans="25:27" x14ac:dyDescent="0.3">
      <c r="Y3666" s="48" t="str">
        <f ca="1">IF(AND('Planning Sheet'!CQ213='Weeks Plan'!$D$6,'Planning Sheet'!CK213='Weeks Plan'!$G$6),'Planning Sheet'!$B213,"")</f>
        <v/>
      </c>
      <c r="Z3666" s="48" t="str">
        <f ca="1">IF(AND('Planning Sheet'!CQ213='Weeks Plan'!$D$6,'Planning Sheet'!CK213='Weeks Plan'!$G$6),'Planning Sheet'!$CL213,"")</f>
        <v/>
      </c>
      <c r="AA3666" s="48" t="str">
        <f ca="1">IF(AND('Planning Sheet'!CQ213='Weeks Plan'!$D$6,'Planning Sheet'!CK213='Weeks Plan'!$G$6),'Planning Sheet'!$CM213,"")</f>
        <v/>
      </c>
    </row>
    <row r="3667" spans="25:27" x14ac:dyDescent="0.3">
      <c r="Y3667" s="48" t="str">
        <f ca="1">IF(AND('Planning Sheet'!CQ214='Weeks Plan'!$D$6,'Planning Sheet'!CK214='Weeks Plan'!$G$6),'Planning Sheet'!$B214,"")</f>
        <v/>
      </c>
      <c r="Z3667" s="48" t="str">
        <f ca="1">IF(AND('Planning Sheet'!CQ214='Weeks Plan'!$D$6,'Planning Sheet'!CK214='Weeks Plan'!$G$6),'Planning Sheet'!$CL214,"")</f>
        <v/>
      </c>
      <c r="AA3667" s="48" t="str">
        <f ca="1">IF(AND('Planning Sheet'!CQ214='Weeks Plan'!$D$6,'Planning Sheet'!CK214='Weeks Plan'!$G$6),'Planning Sheet'!$CM214,"")</f>
        <v/>
      </c>
    </row>
    <row r="3668" spans="25:27" x14ac:dyDescent="0.3">
      <c r="Y3668" s="48" t="str">
        <f ca="1">IF(AND('Planning Sheet'!CQ215='Weeks Plan'!$D$6,'Planning Sheet'!CK215='Weeks Plan'!$G$6),'Planning Sheet'!$B215,"")</f>
        <v/>
      </c>
      <c r="Z3668" s="48" t="str">
        <f ca="1">IF(AND('Planning Sheet'!CQ215='Weeks Plan'!$D$6,'Planning Sheet'!CK215='Weeks Plan'!$G$6),'Planning Sheet'!$CL215,"")</f>
        <v/>
      </c>
      <c r="AA3668" s="48" t="str">
        <f ca="1">IF(AND('Planning Sheet'!CQ215='Weeks Plan'!$D$6,'Planning Sheet'!CK215='Weeks Plan'!$G$6),'Planning Sheet'!$CM215,"")</f>
        <v/>
      </c>
    </row>
    <row r="3669" spans="25:27" x14ac:dyDescent="0.3">
      <c r="Y3669" s="48" t="str">
        <f ca="1">IF(AND('Planning Sheet'!CQ216='Weeks Plan'!$D$6,'Planning Sheet'!CK216='Weeks Plan'!$G$6),'Planning Sheet'!$B216,"")</f>
        <v/>
      </c>
      <c r="Z3669" s="48" t="str">
        <f ca="1">IF(AND('Planning Sheet'!CQ216='Weeks Plan'!$D$6,'Planning Sheet'!CK216='Weeks Plan'!$G$6),'Planning Sheet'!$CL216,"")</f>
        <v/>
      </c>
      <c r="AA3669" s="48" t="str">
        <f ca="1">IF(AND('Planning Sheet'!CQ216='Weeks Plan'!$D$6,'Planning Sheet'!CK216='Weeks Plan'!$G$6),'Planning Sheet'!$CM216,"")</f>
        <v/>
      </c>
    </row>
    <row r="3670" spans="25:27" x14ac:dyDescent="0.3">
      <c r="Y3670" s="48" t="str">
        <f ca="1">IF(AND('Planning Sheet'!CQ217='Weeks Plan'!$D$6,'Planning Sheet'!CK217='Weeks Plan'!$G$6),'Planning Sheet'!$B217,"")</f>
        <v/>
      </c>
      <c r="Z3670" s="48" t="str">
        <f ca="1">IF(AND('Planning Sheet'!CQ217='Weeks Plan'!$D$6,'Planning Sheet'!CK217='Weeks Plan'!$G$6),'Planning Sheet'!$CL217,"")</f>
        <v/>
      </c>
      <c r="AA3670" s="48" t="str">
        <f ca="1">IF(AND('Planning Sheet'!CQ217='Weeks Plan'!$D$6,'Planning Sheet'!CK217='Weeks Plan'!$G$6),'Planning Sheet'!$CM217,"")</f>
        <v/>
      </c>
    </row>
    <row r="3671" spans="25:27" x14ac:dyDescent="0.3">
      <c r="Y3671" s="48" t="str">
        <f ca="1">IF(AND('Planning Sheet'!CQ218='Weeks Plan'!$D$6,'Planning Sheet'!CK218='Weeks Plan'!$G$6),'Planning Sheet'!$B218,"")</f>
        <v/>
      </c>
      <c r="Z3671" s="48" t="str">
        <f ca="1">IF(AND('Planning Sheet'!CQ218='Weeks Plan'!$D$6,'Planning Sheet'!CK218='Weeks Plan'!$G$6),'Planning Sheet'!$CL218,"")</f>
        <v/>
      </c>
      <c r="AA3671" s="48" t="str">
        <f ca="1">IF(AND('Planning Sheet'!CQ218='Weeks Plan'!$D$6,'Planning Sheet'!CK218='Weeks Plan'!$G$6),'Planning Sheet'!$CM218,"")</f>
        <v/>
      </c>
    </row>
    <row r="3672" spans="25:27" x14ac:dyDescent="0.3">
      <c r="Y3672" s="48" t="str">
        <f ca="1">IF(AND('Planning Sheet'!CQ219='Weeks Plan'!$D$6,'Planning Sheet'!CK219='Weeks Plan'!$G$6),'Planning Sheet'!$B219,"")</f>
        <v/>
      </c>
      <c r="Z3672" s="48" t="str">
        <f ca="1">IF(AND('Planning Sheet'!CQ219='Weeks Plan'!$D$6,'Planning Sheet'!CK219='Weeks Plan'!$G$6),'Planning Sheet'!$CL219,"")</f>
        <v/>
      </c>
      <c r="AA3672" s="48" t="str">
        <f ca="1">IF(AND('Planning Sheet'!CQ219='Weeks Plan'!$D$6,'Planning Sheet'!CK219='Weeks Plan'!$G$6),'Planning Sheet'!$CM219,"")</f>
        <v/>
      </c>
    </row>
    <row r="3673" spans="25:27" x14ac:dyDescent="0.3">
      <c r="Y3673" s="48" t="str">
        <f ca="1">IF(AND('Planning Sheet'!CQ220='Weeks Plan'!$D$6,'Planning Sheet'!CK220='Weeks Plan'!$G$6),'Planning Sheet'!$B220,"")</f>
        <v/>
      </c>
      <c r="Z3673" s="48" t="str">
        <f ca="1">IF(AND('Planning Sheet'!CQ220='Weeks Plan'!$D$6,'Planning Sheet'!CK220='Weeks Plan'!$G$6),'Planning Sheet'!$CL220,"")</f>
        <v/>
      </c>
      <c r="AA3673" s="48" t="str">
        <f ca="1">IF(AND('Planning Sheet'!CQ220='Weeks Plan'!$D$6,'Planning Sheet'!CK220='Weeks Plan'!$G$6),'Planning Sheet'!$CM220,"")</f>
        <v/>
      </c>
    </row>
    <row r="3674" spans="25:27" x14ac:dyDescent="0.3">
      <c r="Y3674" s="48" t="str">
        <f ca="1">IF(AND('Planning Sheet'!CQ221='Weeks Plan'!$D$6,'Planning Sheet'!CK221='Weeks Plan'!$G$6),'Planning Sheet'!$B221,"")</f>
        <v/>
      </c>
      <c r="Z3674" s="48" t="str">
        <f ca="1">IF(AND('Planning Sheet'!CQ221='Weeks Plan'!$D$6,'Planning Sheet'!CK221='Weeks Plan'!$G$6),'Planning Sheet'!$CL221,"")</f>
        <v/>
      </c>
      <c r="AA3674" s="48" t="str">
        <f ca="1">IF(AND('Planning Sheet'!CQ221='Weeks Plan'!$D$6,'Planning Sheet'!CK221='Weeks Plan'!$G$6),'Planning Sheet'!$CM221,"")</f>
        <v/>
      </c>
    </row>
    <row r="3675" spans="25:27" x14ac:dyDescent="0.3">
      <c r="Y3675" s="48" t="str">
        <f ca="1">IF(AND('Planning Sheet'!CQ222='Weeks Plan'!$D$6,'Planning Sheet'!CK222='Weeks Plan'!$G$6),'Planning Sheet'!$B222,"")</f>
        <v/>
      </c>
      <c r="Z3675" s="48" t="str">
        <f ca="1">IF(AND('Planning Sheet'!CQ222='Weeks Plan'!$D$6,'Planning Sheet'!CK222='Weeks Plan'!$G$6),'Planning Sheet'!$CL222,"")</f>
        <v/>
      </c>
      <c r="AA3675" s="48" t="str">
        <f ca="1">IF(AND('Planning Sheet'!CQ222='Weeks Plan'!$D$6,'Planning Sheet'!CK222='Weeks Plan'!$G$6),'Planning Sheet'!$CM222,"")</f>
        <v/>
      </c>
    </row>
    <row r="3676" spans="25:27" x14ac:dyDescent="0.3">
      <c r="Y3676" s="48" t="str">
        <f ca="1">IF(AND('Planning Sheet'!CQ223='Weeks Plan'!$D$6,'Planning Sheet'!CK223='Weeks Plan'!$G$6),'Planning Sheet'!$B223,"")</f>
        <v/>
      </c>
      <c r="Z3676" s="48" t="str">
        <f ca="1">IF(AND('Planning Sheet'!CQ223='Weeks Plan'!$D$6,'Planning Sheet'!CK223='Weeks Plan'!$G$6),'Planning Sheet'!$CL223,"")</f>
        <v/>
      </c>
      <c r="AA3676" s="48" t="str">
        <f ca="1">IF(AND('Planning Sheet'!CQ223='Weeks Plan'!$D$6,'Planning Sheet'!CK223='Weeks Plan'!$G$6),'Planning Sheet'!$CM223,"")</f>
        <v/>
      </c>
    </row>
    <row r="3677" spans="25:27" x14ac:dyDescent="0.3">
      <c r="Y3677" s="48" t="str">
        <f ca="1">IF(AND('Planning Sheet'!CQ224='Weeks Plan'!$D$6,'Planning Sheet'!CK224='Weeks Plan'!$G$6),'Planning Sheet'!$B224,"")</f>
        <v/>
      </c>
      <c r="Z3677" s="48" t="str">
        <f ca="1">IF(AND('Planning Sheet'!CQ224='Weeks Plan'!$D$6,'Planning Sheet'!CK224='Weeks Plan'!$G$6),'Planning Sheet'!$CL224,"")</f>
        <v/>
      </c>
      <c r="AA3677" s="48" t="str">
        <f ca="1">IF(AND('Planning Sheet'!CQ224='Weeks Plan'!$D$6,'Planning Sheet'!CK224='Weeks Plan'!$G$6),'Planning Sheet'!$CM224,"")</f>
        <v/>
      </c>
    </row>
    <row r="3678" spans="25:27" x14ac:dyDescent="0.3">
      <c r="Y3678" s="48" t="str">
        <f ca="1">IF(AND('Planning Sheet'!CQ225='Weeks Plan'!$D$6,'Planning Sheet'!CK225='Weeks Plan'!$G$6),'Planning Sheet'!$B225,"")</f>
        <v/>
      </c>
      <c r="Z3678" s="48" t="str">
        <f ca="1">IF(AND('Planning Sheet'!CQ225='Weeks Plan'!$D$6,'Planning Sheet'!CK225='Weeks Plan'!$G$6),'Planning Sheet'!$CL225,"")</f>
        <v/>
      </c>
      <c r="AA3678" s="48" t="str">
        <f ca="1">IF(AND('Planning Sheet'!CQ225='Weeks Plan'!$D$6,'Planning Sheet'!CK225='Weeks Plan'!$G$6),'Planning Sheet'!$CM225,"")</f>
        <v/>
      </c>
    </row>
    <row r="3679" spans="25:27" x14ac:dyDescent="0.3">
      <c r="Y3679" s="48" t="str">
        <f ca="1">IF(AND('Planning Sheet'!CQ226='Weeks Plan'!$D$6,'Planning Sheet'!CK226='Weeks Plan'!$G$6),'Planning Sheet'!$B226,"")</f>
        <v/>
      </c>
      <c r="Z3679" s="48" t="str">
        <f ca="1">IF(AND('Planning Sheet'!CQ226='Weeks Plan'!$D$6,'Planning Sheet'!CK226='Weeks Plan'!$G$6),'Planning Sheet'!$CL226,"")</f>
        <v/>
      </c>
      <c r="AA3679" s="48" t="str">
        <f ca="1">IF(AND('Planning Sheet'!CQ226='Weeks Plan'!$D$6,'Planning Sheet'!CK226='Weeks Plan'!$G$6),'Planning Sheet'!$CM226,"")</f>
        <v/>
      </c>
    </row>
    <row r="3680" spans="25:27" x14ac:dyDescent="0.3">
      <c r="Y3680" s="48" t="str">
        <f ca="1">IF(AND('Planning Sheet'!CQ227='Weeks Plan'!$D$6,'Planning Sheet'!CK227='Weeks Plan'!$G$6),'Planning Sheet'!$B227,"")</f>
        <v/>
      </c>
      <c r="Z3680" s="48" t="str">
        <f ca="1">IF(AND('Planning Sheet'!CQ227='Weeks Plan'!$D$6,'Planning Sheet'!CK227='Weeks Plan'!$G$6),'Planning Sheet'!$CL227,"")</f>
        <v/>
      </c>
      <c r="AA3680" s="48" t="str">
        <f ca="1">IF(AND('Planning Sheet'!CQ227='Weeks Plan'!$D$6,'Planning Sheet'!CK227='Weeks Plan'!$G$6),'Planning Sheet'!$CM227,"")</f>
        <v/>
      </c>
    </row>
    <row r="3681" spans="25:27" x14ac:dyDescent="0.3">
      <c r="Y3681" s="48" t="str">
        <f ca="1">IF(AND('Planning Sheet'!CQ228='Weeks Plan'!$D$6,'Planning Sheet'!CK228='Weeks Plan'!$G$6),'Planning Sheet'!$B228,"")</f>
        <v/>
      </c>
      <c r="Z3681" s="48" t="str">
        <f ca="1">IF(AND('Planning Sheet'!CQ228='Weeks Plan'!$D$6,'Planning Sheet'!CK228='Weeks Plan'!$G$6),'Planning Sheet'!$CL228,"")</f>
        <v/>
      </c>
      <c r="AA3681" s="48" t="str">
        <f ca="1">IF(AND('Planning Sheet'!CQ228='Weeks Plan'!$D$6,'Planning Sheet'!CK228='Weeks Plan'!$G$6),'Planning Sheet'!$CM228,"")</f>
        <v/>
      </c>
    </row>
    <row r="3682" spans="25:27" x14ac:dyDescent="0.3">
      <c r="Y3682" s="48" t="str">
        <f ca="1">IF(AND('Planning Sheet'!CQ229='Weeks Plan'!$D$6,'Planning Sheet'!CK229='Weeks Plan'!$G$6),'Planning Sheet'!$B229,"")</f>
        <v/>
      </c>
      <c r="Z3682" s="48" t="str">
        <f ca="1">IF(AND('Planning Sheet'!CQ229='Weeks Plan'!$D$6,'Planning Sheet'!CK229='Weeks Plan'!$G$6),'Planning Sheet'!$CL229,"")</f>
        <v/>
      </c>
      <c r="AA3682" s="48" t="str">
        <f ca="1">IF(AND('Planning Sheet'!CQ229='Weeks Plan'!$D$6,'Planning Sheet'!CK229='Weeks Plan'!$G$6),'Planning Sheet'!$CM229,"")</f>
        <v/>
      </c>
    </row>
    <row r="3683" spans="25:27" x14ac:dyDescent="0.3">
      <c r="Y3683" s="48" t="str">
        <f ca="1">IF(AND('Planning Sheet'!CQ230='Weeks Plan'!$D$6,'Planning Sheet'!CK230='Weeks Plan'!$G$6),'Planning Sheet'!$B230,"")</f>
        <v/>
      </c>
      <c r="Z3683" s="48" t="str">
        <f ca="1">IF(AND('Planning Sheet'!CQ230='Weeks Plan'!$D$6,'Planning Sheet'!CK230='Weeks Plan'!$G$6),'Planning Sheet'!$CL230,"")</f>
        <v/>
      </c>
      <c r="AA3683" s="48" t="str">
        <f ca="1">IF(AND('Planning Sheet'!CQ230='Weeks Plan'!$D$6,'Planning Sheet'!CK230='Weeks Plan'!$G$6),'Planning Sheet'!$CM230,"")</f>
        <v/>
      </c>
    </row>
    <row r="3684" spans="25:27" x14ac:dyDescent="0.3">
      <c r="Y3684" s="48" t="str">
        <f ca="1">IF(AND('Planning Sheet'!CQ231='Weeks Plan'!$D$6,'Planning Sheet'!CK231='Weeks Plan'!$G$6),'Planning Sheet'!$B231,"")</f>
        <v/>
      </c>
      <c r="Z3684" s="48" t="str">
        <f ca="1">IF(AND('Planning Sheet'!CQ231='Weeks Plan'!$D$6,'Planning Sheet'!CK231='Weeks Plan'!$G$6),'Planning Sheet'!$CL231,"")</f>
        <v/>
      </c>
      <c r="AA3684" s="48" t="str">
        <f ca="1">IF(AND('Planning Sheet'!CQ231='Weeks Plan'!$D$6,'Planning Sheet'!CK231='Weeks Plan'!$G$6),'Planning Sheet'!$CM231,"")</f>
        <v/>
      </c>
    </row>
    <row r="3685" spans="25:27" x14ac:dyDescent="0.3">
      <c r="Y3685" s="48" t="str">
        <f ca="1">IF(AND('Planning Sheet'!CQ232='Weeks Plan'!$D$6,'Planning Sheet'!CK232='Weeks Plan'!$G$6),'Planning Sheet'!$B232,"")</f>
        <v/>
      </c>
      <c r="Z3685" s="48" t="str">
        <f ca="1">IF(AND('Planning Sheet'!CQ232='Weeks Plan'!$D$6,'Planning Sheet'!CK232='Weeks Plan'!$G$6),'Planning Sheet'!$CL232,"")</f>
        <v/>
      </c>
      <c r="AA3685" s="48" t="str">
        <f ca="1">IF(AND('Planning Sheet'!CQ232='Weeks Plan'!$D$6,'Planning Sheet'!CK232='Weeks Plan'!$G$6),'Planning Sheet'!$CM232,"")</f>
        <v/>
      </c>
    </row>
    <row r="3686" spans="25:27" x14ac:dyDescent="0.3">
      <c r="Y3686" s="48" t="str">
        <f ca="1">IF(AND('Planning Sheet'!CQ233='Weeks Plan'!$D$6,'Planning Sheet'!CK233='Weeks Plan'!$G$6),'Planning Sheet'!$B233,"")</f>
        <v/>
      </c>
      <c r="Z3686" s="48" t="str">
        <f ca="1">IF(AND('Planning Sheet'!CQ233='Weeks Plan'!$D$6,'Planning Sheet'!CK233='Weeks Plan'!$G$6),'Planning Sheet'!$CL233,"")</f>
        <v/>
      </c>
      <c r="AA3686" s="48" t="str">
        <f ca="1">IF(AND('Planning Sheet'!CQ233='Weeks Plan'!$D$6,'Planning Sheet'!CK233='Weeks Plan'!$G$6),'Planning Sheet'!$CM233,"")</f>
        <v/>
      </c>
    </row>
    <row r="3687" spans="25:27" x14ac:dyDescent="0.3">
      <c r="Y3687" s="48" t="str">
        <f ca="1">IF(AND('Planning Sheet'!CQ234='Weeks Plan'!$D$6,'Planning Sheet'!CK234='Weeks Plan'!$G$6),'Planning Sheet'!$B234,"")</f>
        <v/>
      </c>
      <c r="Z3687" s="48" t="str">
        <f ca="1">IF(AND('Planning Sheet'!CQ234='Weeks Plan'!$D$6,'Planning Sheet'!CK234='Weeks Plan'!$G$6),'Planning Sheet'!$CL234,"")</f>
        <v/>
      </c>
      <c r="AA3687" s="48" t="str">
        <f ca="1">IF(AND('Planning Sheet'!CQ234='Weeks Plan'!$D$6,'Planning Sheet'!CK234='Weeks Plan'!$G$6),'Planning Sheet'!$CM234,"")</f>
        <v/>
      </c>
    </row>
    <row r="3688" spans="25:27" x14ac:dyDescent="0.3">
      <c r="Y3688" s="48" t="str">
        <f ca="1">IF(AND('Planning Sheet'!CQ235='Weeks Plan'!$D$6,'Planning Sheet'!CK235='Weeks Plan'!$G$6),'Planning Sheet'!$B235,"")</f>
        <v/>
      </c>
      <c r="Z3688" s="48" t="str">
        <f ca="1">IF(AND('Planning Sheet'!CQ235='Weeks Plan'!$D$6,'Planning Sheet'!CK235='Weeks Plan'!$G$6),'Planning Sheet'!$CL235,"")</f>
        <v/>
      </c>
      <c r="AA3688" s="48" t="str">
        <f ca="1">IF(AND('Planning Sheet'!CQ235='Weeks Plan'!$D$6,'Planning Sheet'!CK235='Weeks Plan'!$G$6),'Planning Sheet'!$CM235,"")</f>
        <v/>
      </c>
    </row>
    <row r="3689" spans="25:27" x14ac:dyDescent="0.3">
      <c r="Y3689" s="48" t="str">
        <f ca="1">IF(AND('Planning Sheet'!CQ236='Weeks Plan'!$D$6,'Planning Sheet'!CK236='Weeks Plan'!$G$6),'Planning Sheet'!$B236,"")</f>
        <v/>
      </c>
      <c r="Z3689" s="48" t="str">
        <f ca="1">IF(AND('Planning Sheet'!CQ236='Weeks Plan'!$D$6,'Planning Sheet'!CK236='Weeks Plan'!$G$6),'Planning Sheet'!$CL236,"")</f>
        <v/>
      </c>
      <c r="AA3689" s="48" t="str">
        <f ca="1">IF(AND('Planning Sheet'!CQ236='Weeks Plan'!$D$6,'Planning Sheet'!CK236='Weeks Plan'!$G$6),'Planning Sheet'!$CM236,"")</f>
        <v/>
      </c>
    </row>
    <row r="3690" spans="25:27" x14ac:dyDescent="0.3">
      <c r="Y3690" s="48" t="str">
        <f ca="1">IF(AND('Planning Sheet'!CQ237='Weeks Plan'!$D$6,'Planning Sheet'!CK237='Weeks Plan'!$G$6),'Planning Sheet'!$B237,"")</f>
        <v/>
      </c>
      <c r="Z3690" s="48" t="str">
        <f ca="1">IF(AND('Planning Sheet'!CQ237='Weeks Plan'!$D$6,'Planning Sheet'!CK237='Weeks Plan'!$G$6),'Planning Sheet'!$CL237,"")</f>
        <v/>
      </c>
      <c r="AA3690" s="48" t="str">
        <f ca="1">IF(AND('Planning Sheet'!CQ237='Weeks Plan'!$D$6,'Planning Sheet'!CK237='Weeks Plan'!$G$6),'Planning Sheet'!$CM237,"")</f>
        <v/>
      </c>
    </row>
    <row r="3691" spans="25:27" x14ac:dyDescent="0.3">
      <c r="Y3691" s="48" t="str">
        <f ca="1">IF(AND('Planning Sheet'!CQ238='Weeks Plan'!$D$6,'Planning Sheet'!CK238='Weeks Plan'!$G$6),'Planning Sheet'!$B238,"")</f>
        <v/>
      </c>
      <c r="Z3691" s="48" t="str">
        <f ca="1">IF(AND('Planning Sheet'!CQ238='Weeks Plan'!$D$6,'Planning Sheet'!CK238='Weeks Plan'!$G$6),'Planning Sheet'!$CL238,"")</f>
        <v/>
      </c>
      <c r="AA3691" s="48" t="str">
        <f ca="1">IF(AND('Planning Sheet'!CQ238='Weeks Plan'!$D$6,'Planning Sheet'!CK238='Weeks Plan'!$G$6),'Planning Sheet'!$CM238,"")</f>
        <v/>
      </c>
    </row>
    <row r="3692" spans="25:27" x14ac:dyDescent="0.3">
      <c r="Y3692" s="48" t="str">
        <f ca="1">IF(AND('Planning Sheet'!CQ239='Weeks Plan'!$D$6,'Planning Sheet'!CK239='Weeks Plan'!$G$6),'Planning Sheet'!$B239,"")</f>
        <v/>
      </c>
      <c r="Z3692" s="48" t="str">
        <f ca="1">IF(AND('Planning Sheet'!CQ239='Weeks Plan'!$D$6,'Planning Sheet'!CK239='Weeks Plan'!$G$6),'Planning Sheet'!$CL239,"")</f>
        <v/>
      </c>
      <c r="AA3692" s="48" t="str">
        <f ca="1">IF(AND('Planning Sheet'!CQ239='Weeks Plan'!$D$6,'Planning Sheet'!CK239='Weeks Plan'!$G$6),'Planning Sheet'!$CM239,"")</f>
        <v/>
      </c>
    </row>
    <row r="3693" spans="25:27" x14ac:dyDescent="0.3">
      <c r="Y3693" s="48" t="str">
        <f ca="1">IF(AND('Planning Sheet'!CQ240='Weeks Plan'!$D$6,'Planning Sheet'!CK240='Weeks Plan'!$G$6),'Planning Sheet'!$B240,"")</f>
        <v/>
      </c>
      <c r="Z3693" s="48" t="str">
        <f ca="1">IF(AND('Planning Sheet'!CQ240='Weeks Plan'!$D$6,'Planning Sheet'!CK240='Weeks Plan'!$G$6),'Planning Sheet'!$CL240,"")</f>
        <v/>
      </c>
      <c r="AA3693" s="48" t="str">
        <f ca="1">IF(AND('Planning Sheet'!CQ240='Weeks Plan'!$D$6,'Planning Sheet'!CK240='Weeks Plan'!$G$6),'Planning Sheet'!$CM240,"")</f>
        <v/>
      </c>
    </row>
    <row r="3694" spans="25:27" x14ac:dyDescent="0.3">
      <c r="Y3694" s="48" t="str">
        <f ca="1">IF(AND('Planning Sheet'!CQ241='Weeks Plan'!$D$6,'Planning Sheet'!CK241='Weeks Plan'!$G$6),'Planning Sheet'!$B241,"")</f>
        <v/>
      </c>
      <c r="Z3694" s="48" t="str">
        <f ca="1">IF(AND('Planning Sheet'!CQ241='Weeks Plan'!$D$6,'Planning Sheet'!CK241='Weeks Plan'!$G$6),'Planning Sheet'!$CL241,"")</f>
        <v/>
      </c>
      <c r="AA3694" s="48" t="str">
        <f ca="1">IF(AND('Planning Sheet'!CQ241='Weeks Plan'!$D$6,'Planning Sheet'!CK241='Weeks Plan'!$G$6),'Planning Sheet'!$CM241,"")</f>
        <v/>
      </c>
    </row>
    <row r="3695" spans="25:27" x14ac:dyDescent="0.3">
      <c r="Y3695" s="48" t="str">
        <f ca="1">IF(AND('Planning Sheet'!CQ242='Weeks Plan'!$D$6,'Planning Sheet'!CK242='Weeks Plan'!$G$6),'Planning Sheet'!$B242,"")</f>
        <v/>
      </c>
      <c r="Z3695" s="48" t="str">
        <f ca="1">IF(AND('Planning Sheet'!CQ242='Weeks Plan'!$D$6,'Planning Sheet'!CK242='Weeks Plan'!$G$6),'Planning Sheet'!$CL242,"")</f>
        <v/>
      </c>
      <c r="AA3695" s="48" t="str">
        <f ca="1">IF(AND('Planning Sheet'!CQ242='Weeks Plan'!$D$6,'Planning Sheet'!CK242='Weeks Plan'!$G$6),'Planning Sheet'!$CM242,"")</f>
        <v/>
      </c>
    </row>
    <row r="3696" spans="25:27" x14ac:dyDescent="0.3">
      <c r="Y3696" s="48" t="str">
        <f ca="1">IF(AND('Planning Sheet'!CQ243='Weeks Plan'!$D$6,'Planning Sheet'!CK243='Weeks Plan'!$G$6),'Planning Sheet'!$B243,"")</f>
        <v/>
      </c>
      <c r="Z3696" s="48" t="str">
        <f ca="1">IF(AND('Planning Sheet'!CQ243='Weeks Plan'!$D$6,'Planning Sheet'!CK243='Weeks Plan'!$G$6),'Planning Sheet'!$CL243,"")</f>
        <v/>
      </c>
      <c r="AA3696" s="48" t="str">
        <f ca="1">IF(AND('Planning Sheet'!CQ243='Weeks Plan'!$D$6,'Planning Sheet'!CK243='Weeks Plan'!$G$6),'Planning Sheet'!$CM243,"")</f>
        <v/>
      </c>
    </row>
    <row r="3697" spans="25:27" x14ac:dyDescent="0.3">
      <c r="Y3697" s="48" t="str">
        <f ca="1">IF(AND('Planning Sheet'!CQ244='Weeks Plan'!$D$6,'Planning Sheet'!CK244='Weeks Plan'!$G$6),'Planning Sheet'!$B244,"")</f>
        <v/>
      </c>
      <c r="Z3697" s="48" t="str">
        <f ca="1">IF(AND('Planning Sheet'!CQ244='Weeks Plan'!$D$6,'Planning Sheet'!CK244='Weeks Plan'!$G$6),'Planning Sheet'!$CL244,"")</f>
        <v/>
      </c>
      <c r="AA3697" s="48" t="str">
        <f ca="1">IF(AND('Planning Sheet'!CQ244='Weeks Plan'!$D$6,'Planning Sheet'!CK244='Weeks Plan'!$G$6),'Planning Sheet'!$CM244,"")</f>
        <v/>
      </c>
    </row>
    <row r="3698" spans="25:27" x14ac:dyDescent="0.3">
      <c r="Y3698" s="48" t="str">
        <f ca="1">IF(AND('Planning Sheet'!CQ245='Weeks Plan'!$D$6,'Planning Sheet'!CK245='Weeks Plan'!$G$6),'Planning Sheet'!$B245,"")</f>
        <v/>
      </c>
      <c r="Z3698" s="48" t="str">
        <f ca="1">IF(AND('Planning Sheet'!CQ245='Weeks Plan'!$D$6,'Planning Sheet'!CK245='Weeks Plan'!$G$6),'Planning Sheet'!$CL245,"")</f>
        <v/>
      </c>
      <c r="AA3698" s="48" t="str">
        <f ca="1">IF(AND('Planning Sheet'!CQ245='Weeks Plan'!$D$6,'Planning Sheet'!CK245='Weeks Plan'!$G$6),'Planning Sheet'!$CM245,"")</f>
        <v/>
      </c>
    </row>
    <row r="3699" spans="25:27" x14ac:dyDescent="0.3">
      <c r="Y3699" s="48" t="str">
        <f ca="1">IF(AND('Planning Sheet'!CQ246='Weeks Plan'!$D$6,'Planning Sheet'!CK246='Weeks Plan'!$G$6),'Planning Sheet'!$B246,"")</f>
        <v/>
      </c>
      <c r="Z3699" s="48" t="str">
        <f ca="1">IF(AND('Planning Sheet'!CQ246='Weeks Plan'!$D$6,'Planning Sheet'!CK246='Weeks Plan'!$G$6),'Planning Sheet'!$CL246,"")</f>
        <v/>
      </c>
      <c r="AA3699" s="48" t="str">
        <f ca="1">IF(AND('Planning Sheet'!CQ246='Weeks Plan'!$D$6,'Planning Sheet'!CK246='Weeks Plan'!$G$6),'Planning Sheet'!$CM246,"")</f>
        <v/>
      </c>
    </row>
    <row r="3700" spans="25:27" x14ac:dyDescent="0.3">
      <c r="Y3700" s="48" t="str">
        <f ca="1">IF(AND('Planning Sheet'!CQ247='Weeks Plan'!$D$6,'Planning Sheet'!CK247='Weeks Plan'!$G$6),'Planning Sheet'!$B247,"")</f>
        <v/>
      </c>
      <c r="Z3700" s="48" t="str">
        <f ca="1">IF(AND('Planning Sheet'!CQ247='Weeks Plan'!$D$6,'Planning Sheet'!CK247='Weeks Plan'!$G$6),'Planning Sheet'!$CL247,"")</f>
        <v/>
      </c>
      <c r="AA3700" s="48" t="str">
        <f ca="1">IF(AND('Planning Sheet'!CQ247='Weeks Plan'!$D$6,'Planning Sheet'!CK247='Weeks Plan'!$G$6),'Planning Sheet'!$CM247,"")</f>
        <v/>
      </c>
    </row>
    <row r="3701" spans="25:27" x14ac:dyDescent="0.3">
      <c r="Y3701" s="48" t="str">
        <f ca="1">IF(AND('Planning Sheet'!CQ248='Weeks Plan'!$D$6,'Planning Sheet'!CK248='Weeks Plan'!$G$6),'Planning Sheet'!$B248,"")</f>
        <v/>
      </c>
      <c r="Z3701" s="48" t="str">
        <f ca="1">IF(AND('Planning Sheet'!CQ248='Weeks Plan'!$D$6,'Planning Sheet'!CK248='Weeks Plan'!$G$6),'Planning Sheet'!$CL248,"")</f>
        <v/>
      </c>
      <c r="AA3701" s="48" t="str">
        <f ca="1">IF(AND('Planning Sheet'!CQ248='Weeks Plan'!$D$6,'Planning Sheet'!CK248='Weeks Plan'!$G$6),'Planning Sheet'!$CM248,"")</f>
        <v/>
      </c>
    </row>
    <row r="3702" spans="25:27" x14ac:dyDescent="0.3">
      <c r="Y3702" s="48" t="str">
        <f ca="1">IF(AND('Planning Sheet'!CQ249='Weeks Plan'!$D$6,'Planning Sheet'!CK249='Weeks Plan'!$G$6),'Planning Sheet'!$B249,"")</f>
        <v/>
      </c>
      <c r="Z3702" s="48" t="str">
        <f ca="1">IF(AND('Planning Sheet'!CQ249='Weeks Plan'!$D$6,'Planning Sheet'!CK249='Weeks Plan'!$G$6),'Planning Sheet'!$CL249,"")</f>
        <v/>
      </c>
      <c r="AA3702" s="48" t="str">
        <f ca="1">IF(AND('Planning Sheet'!CQ249='Weeks Plan'!$D$6,'Planning Sheet'!CK249='Weeks Plan'!$G$6),'Planning Sheet'!$CM249,"")</f>
        <v/>
      </c>
    </row>
    <row r="3703" spans="25:27" x14ac:dyDescent="0.3">
      <c r="Y3703" s="48" t="str">
        <f ca="1">IF(AND('Planning Sheet'!CQ250='Weeks Plan'!$D$6,'Planning Sheet'!CK250='Weeks Plan'!$G$6),'Planning Sheet'!$B250,"")</f>
        <v/>
      </c>
      <c r="Z3703" s="48" t="str">
        <f ca="1">IF(AND('Planning Sheet'!CQ250='Weeks Plan'!$D$6,'Planning Sheet'!CK250='Weeks Plan'!$G$6),'Planning Sheet'!$CL250,"")</f>
        <v/>
      </c>
      <c r="AA3703" s="48" t="str">
        <f ca="1">IF(AND('Planning Sheet'!CQ250='Weeks Plan'!$D$6,'Planning Sheet'!CK250='Weeks Plan'!$G$6),'Planning Sheet'!$CM250,"")</f>
        <v/>
      </c>
    </row>
    <row r="3704" spans="25:27" x14ac:dyDescent="0.3">
      <c r="Y3704" s="48" t="str">
        <f ca="1">IF(AND('Planning Sheet'!CQ251='Weeks Plan'!$D$6,'Planning Sheet'!CK251='Weeks Plan'!$G$6),'Planning Sheet'!$B251,"")</f>
        <v/>
      </c>
      <c r="Z3704" s="48" t="str">
        <f ca="1">IF(AND('Planning Sheet'!CQ251='Weeks Plan'!$D$6,'Planning Sheet'!CK251='Weeks Plan'!$G$6),'Planning Sheet'!$CL251,"")</f>
        <v/>
      </c>
      <c r="AA3704" s="48" t="str">
        <f ca="1">IF(AND('Planning Sheet'!CQ251='Weeks Plan'!$D$6,'Planning Sheet'!CK251='Weeks Plan'!$G$6),'Planning Sheet'!$CM251,"")</f>
        <v/>
      </c>
    </row>
    <row r="3705" spans="25:27" x14ac:dyDescent="0.3">
      <c r="Y3705" s="48" t="str">
        <f ca="1">IF(AND('Planning Sheet'!CQ252='Weeks Plan'!$D$6,'Planning Sheet'!CK252='Weeks Plan'!$G$6),'Planning Sheet'!$B252,"")</f>
        <v/>
      </c>
      <c r="Z3705" s="48" t="str">
        <f ca="1">IF(AND('Planning Sheet'!CQ252='Weeks Plan'!$D$6,'Planning Sheet'!CK252='Weeks Plan'!$G$6),'Planning Sheet'!$CL252,"")</f>
        <v/>
      </c>
      <c r="AA3705" s="48" t="str">
        <f ca="1">IF(AND('Planning Sheet'!CQ252='Weeks Plan'!$D$6,'Planning Sheet'!CK252='Weeks Plan'!$G$6),'Planning Sheet'!$CM252,"")</f>
        <v/>
      </c>
    </row>
    <row r="3706" spans="25:27" x14ac:dyDescent="0.3">
      <c r="Y3706" s="48" t="str">
        <f ca="1">IF(AND('Planning Sheet'!CQ253='Weeks Plan'!$D$6,'Planning Sheet'!CK253='Weeks Plan'!$G$6),'Planning Sheet'!$B253,"")</f>
        <v/>
      </c>
      <c r="Z3706" s="48" t="str">
        <f ca="1">IF(AND('Planning Sheet'!CQ253='Weeks Plan'!$D$6,'Planning Sheet'!CK253='Weeks Plan'!$G$6),'Planning Sheet'!$CL253,"")</f>
        <v/>
      </c>
      <c r="AA3706" s="48" t="str">
        <f ca="1">IF(AND('Planning Sheet'!CQ253='Weeks Plan'!$D$6,'Planning Sheet'!CK253='Weeks Plan'!$G$6),'Planning Sheet'!$CM253,"")</f>
        <v/>
      </c>
    </row>
    <row r="3707" spans="25:27" x14ac:dyDescent="0.3">
      <c r="Y3707" s="48" t="str">
        <f ca="1">IF(AND('Planning Sheet'!CQ254='Weeks Plan'!$D$6,'Planning Sheet'!CK254='Weeks Plan'!$G$6),'Planning Sheet'!$B254,"")</f>
        <v/>
      </c>
      <c r="Z3707" s="48" t="str">
        <f ca="1">IF(AND('Planning Sheet'!CQ254='Weeks Plan'!$D$6,'Planning Sheet'!CK254='Weeks Plan'!$G$6),'Planning Sheet'!$CL254,"")</f>
        <v/>
      </c>
      <c r="AA3707" s="48" t="str">
        <f ca="1">IF(AND('Planning Sheet'!CQ254='Weeks Plan'!$D$6,'Planning Sheet'!CK254='Weeks Plan'!$G$6),'Planning Sheet'!$CM254,"")</f>
        <v/>
      </c>
    </row>
    <row r="3708" spans="25:27" x14ac:dyDescent="0.3">
      <c r="Y3708" s="48" t="str">
        <f ca="1">IF(AND('Planning Sheet'!CQ255='Weeks Plan'!$D$6,'Planning Sheet'!CK255='Weeks Plan'!$G$6),'Planning Sheet'!$B255,"")</f>
        <v/>
      </c>
      <c r="Z3708" s="48" t="str">
        <f ca="1">IF(AND('Planning Sheet'!CQ255='Weeks Plan'!$D$6,'Planning Sheet'!CK255='Weeks Plan'!$G$6),'Planning Sheet'!$CL255,"")</f>
        <v/>
      </c>
      <c r="AA3708" s="48" t="str">
        <f ca="1">IF(AND('Planning Sheet'!CQ255='Weeks Plan'!$D$6,'Planning Sheet'!CK255='Weeks Plan'!$G$6),'Planning Sheet'!$CM255,"")</f>
        <v/>
      </c>
    </row>
    <row r="3709" spans="25:27" x14ac:dyDescent="0.3">
      <c r="Y3709" s="48" t="str">
        <f ca="1">IF(AND('Planning Sheet'!CQ256='Weeks Plan'!$D$6,'Planning Sheet'!CK256='Weeks Plan'!$G$6),'Planning Sheet'!$B256,"")</f>
        <v/>
      </c>
      <c r="Z3709" s="48" t="str">
        <f ca="1">IF(AND('Planning Sheet'!CQ256='Weeks Plan'!$D$6,'Planning Sheet'!CK256='Weeks Plan'!$G$6),'Planning Sheet'!$CL256,"")</f>
        <v/>
      </c>
      <c r="AA3709" s="48" t="str">
        <f ca="1">IF(AND('Planning Sheet'!CQ256='Weeks Plan'!$D$6,'Planning Sheet'!CK256='Weeks Plan'!$G$6),'Planning Sheet'!$CM256,"")</f>
        <v/>
      </c>
    </row>
    <row r="3710" spans="25:27" x14ac:dyDescent="0.3">
      <c r="Y3710" s="48" t="str">
        <f ca="1">IF(AND('Planning Sheet'!CQ257='Weeks Plan'!$D$6,'Planning Sheet'!CK257='Weeks Plan'!$G$6),'Planning Sheet'!$B257,"")</f>
        <v/>
      </c>
      <c r="Z3710" s="48" t="str">
        <f ca="1">IF(AND('Planning Sheet'!CQ257='Weeks Plan'!$D$6,'Planning Sheet'!CK257='Weeks Plan'!$G$6),'Planning Sheet'!$CL257,"")</f>
        <v/>
      </c>
      <c r="AA3710" s="48" t="str">
        <f ca="1">IF(AND('Planning Sheet'!CQ257='Weeks Plan'!$D$6,'Planning Sheet'!CK257='Weeks Plan'!$G$6),'Planning Sheet'!$CM257,"")</f>
        <v/>
      </c>
    </row>
    <row r="3711" spans="25:27" x14ac:dyDescent="0.3">
      <c r="Y3711" s="48" t="str">
        <f ca="1">IF(AND('Planning Sheet'!CQ258='Weeks Plan'!$D$6,'Planning Sheet'!CK258='Weeks Plan'!$G$6),'Planning Sheet'!$B258,"")</f>
        <v/>
      </c>
      <c r="Z3711" s="48" t="str">
        <f ca="1">IF(AND('Planning Sheet'!CQ258='Weeks Plan'!$D$6,'Planning Sheet'!CK258='Weeks Plan'!$G$6),'Planning Sheet'!$CL258,"")</f>
        <v/>
      </c>
      <c r="AA3711" s="48" t="str">
        <f ca="1">IF(AND('Planning Sheet'!CQ258='Weeks Plan'!$D$6,'Planning Sheet'!CK258='Weeks Plan'!$G$6),'Planning Sheet'!$CM258,"")</f>
        <v/>
      </c>
    </row>
    <row r="3712" spans="25:27" x14ac:dyDescent="0.3">
      <c r="Y3712" s="48" t="str">
        <f ca="1">IF(AND('Planning Sheet'!CQ259='Weeks Plan'!$D$6,'Planning Sheet'!CK259='Weeks Plan'!$G$6),'Planning Sheet'!$B259,"")</f>
        <v/>
      </c>
      <c r="Z3712" s="48" t="str">
        <f ca="1">IF(AND('Planning Sheet'!CQ259='Weeks Plan'!$D$6,'Planning Sheet'!CK259='Weeks Plan'!$G$6),'Planning Sheet'!$CL259,"")</f>
        <v/>
      </c>
      <c r="AA3712" s="48" t="str">
        <f ca="1">IF(AND('Planning Sheet'!CQ259='Weeks Plan'!$D$6,'Planning Sheet'!CK259='Weeks Plan'!$G$6),'Planning Sheet'!$CM259,"")</f>
        <v/>
      </c>
    </row>
    <row r="3713" spans="25:27" x14ac:dyDescent="0.3">
      <c r="Y3713" s="48" t="str">
        <f ca="1">IF(AND('Planning Sheet'!CQ260='Weeks Plan'!$D$6,'Planning Sheet'!CK260='Weeks Plan'!$G$6),'Planning Sheet'!$B260,"")</f>
        <v/>
      </c>
      <c r="Z3713" s="48" t="str">
        <f ca="1">IF(AND('Planning Sheet'!CQ260='Weeks Plan'!$D$6,'Planning Sheet'!CK260='Weeks Plan'!$G$6),'Planning Sheet'!$CL260,"")</f>
        <v/>
      </c>
      <c r="AA3713" s="48" t="str">
        <f ca="1">IF(AND('Planning Sheet'!CQ260='Weeks Plan'!$D$6,'Planning Sheet'!CK260='Weeks Plan'!$G$6),'Planning Sheet'!$CM260,"")</f>
        <v/>
      </c>
    </row>
    <row r="3714" spans="25:27" x14ac:dyDescent="0.3">
      <c r="Y3714" s="48" t="str">
        <f ca="1">IF(AND('Planning Sheet'!CQ261='Weeks Plan'!$D$6,'Planning Sheet'!CK261='Weeks Plan'!$G$6),'Planning Sheet'!$B261,"")</f>
        <v/>
      </c>
      <c r="Z3714" s="48" t="str">
        <f ca="1">IF(AND('Planning Sheet'!CQ261='Weeks Plan'!$D$6,'Planning Sheet'!CK261='Weeks Plan'!$G$6),'Planning Sheet'!$CL261,"")</f>
        <v/>
      </c>
      <c r="AA3714" s="48" t="str">
        <f ca="1">IF(AND('Planning Sheet'!CQ261='Weeks Plan'!$D$6,'Planning Sheet'!CK261='Weeks Plan'!$G$6),'Planning Sheet'!$CM261,"")</f>
        <v/>
      </c>
    </row>
    <row r="3715" spans="25:27" x14ac:dyDescent="0.3">
      <c r="Y3715" s="48" t="str">
        <f ca="1">IF(AND('Planning Sheet'!CQ262='Weeks Plan'!$D$6,'Planning Sheet'!CK262='Weeks Plan'!$G$6),'Planning Sheet'!$B262,"")</f>
        <v/>
      </c>
      <c r="Z3715" s="48" t="str">
        <f ca="1">IF(AND('Planning Sheet'!CQ262='Weeks Plan'!$D$6,'Planning Sheet'!CK262='Weeks Plan'!$G$6),'Planning Sheet'!$CL262,"")</f>
        <v/>
      </c>
      <c r="AA3715" s="48" t="str">
        <f ca="1">IF(AND('Planning Sheet'!CQ262='Weeks Plan'!$D$6,'Planning Sheet'!CK262='Weeks Plan'!$G$6),'Planning Sheet'!$CM262,"")</f>
        <v/>
      </c>
    </row>
    <row r="3716" spans="25:27" x14ac:dyDescent="0.3">
      <c r="Y3716" s="48" t="str">
        <f ca="1">IF(AND('Planning Sheet'!CQ263='Weeks Plan'!$D$6,'Planning Sheet'!CK263='Weeks Plan'!$G$6),'Planning Sheet'!$B263,"")</f>
        <v/>
      </c>
      <c r="Z3716" s="48" t="str">
        <f ca="1">IF(AND('Planning Sheet'!CQ263='Weeks Plan'!$D$6,'Planning Sheet'!CK263='Weeks Plan'!$G$6),'Planning Sheet'!$CL263,"")</f>
        <v/>
      </c>
      <c r="AA3716" s="48" t="str">
        <f ca="1">IF(AND('Planning Sheet'!CQ263='Weeks Plan'!$D$6,'Planning Sheet'!CK263='Weeks Plan'!$G$6),'Planning Sheet'!$CM263,"")</f>
        <v/>
      </c>
    </row>
    <row r="3717" spans="25:27" x14ac:dyDescent="0.3">
      <c r="Y3717" s="48" t="str">
        <f ca="1">IF(AND('Planning Sheet'!CQ264='Weeks Plan'!$D$6,'Planning Sheet'!CK264='Weeks Plan'!$G$6),'Planning Sheet'!$B264,"")</f>
        <v/>
      </c>
      <c r="Z3717" s="48" t="str">
        <f ca="1">IF(AND('Planning Sheet'!CQ264='Weeks Plan'!$D$6,'Planning Sheet'!CK264='Weeks Plan'!$G$6),'Planning Sheet'!$CL264,"")</f>
        <v/>
      </c>
      <c r="AA3717" s="48" t="str">
        <f ca="1">IF(AND('Planning Sheet'!CQ264='Weeks Plan'!$D$6,'Planning Sheet'!CK264='Weeks Plan'!$G$6),'Planning Sheet'!$CM264,"")</f>
        <v/>
      </c>
    </row>
    <row r="3718" spans="25:27" x14ac:dyDescent="0.3">
      <c r="Y3718" s="48" t="str">
        <f ca="1">IF(AND('Planning Sheet'!CQ265='Weeks Plan'!$D$6,'Planning Sheet'!CK265='Weeks Plan'!$G$6),'Planning Sheet'!$B265,"")</f>
        <v/>
      </c>
      <c r="Z3718" s="48" t="str">
        <f ca="1">IF(AND('Planning Sheet'!CQ265='Weeks Plan'!$D$6,'Planning Sheet'!CK265='Weeks Plan'!$G$6),'Planning Sheet'!$CL265,"")</f>
        <v/>
      </c>
      <c r="AA3718" s="48" t="str">
        <f ca="1">IF(AND('Planning Sheet'!CQ265='Weeks Plan'!$D$6,'Planning Sheet'!CK265='Weeks Plan'!$G$6),'Planning Sheet'!$CM265,"")</f>
        <v/>
      </c>
    </row>
    <row r="3719" spans="25:27" x14ac:dyDescent="0.3">
      <c r="Y3719" s="48" t="str">
        <f ca="1">IF(AND('Planning Sheet'!CQ266='Weeks Plan'!$D$6,'Planning Sheet'!CK266='Weeks Plan'!$G$6),'Planning Sheet'!$B266,"")</f>
        <v/>
      </c>
      <c r="Z3719" s="48" t="str">
        <f ca="1">IF(AND('Planning Sheet'!CQ266='Weeks Plan'!$D$6,'Planning Sheet'!CK266='Weeks Plan'!$G$6),'Planning Sheet'!$CL266,"")</f>
        <v/>
      </c>
      <c r="AA3719" s="48" t="str">
        <f ca="1">IF(AND('Planning Sheet'!CQ266='Weeks Plan'!$D$6,'Planning Sheet'!CK266='Weeks Plan'!$G$6),'Planning Sheet'!$CM266,"")</f>
        <v/>
      </c>
    </row>
    <row r="3720" spans="25:27" x14ac:dyDescent="0.3">
      <c r="Y3720" s="48" t="str">
        <f ca="1">IF(AND('Planning Sheet'!CQ267='Weeks Plan'!$D$6,'Planning Sheet'!CK267='Weeks Plan'!$G$6),'Planning Sheet'!$B267,"")</f>
        <v/>
      </c>
      <c r="Z3720" s="48" t="str">
        <f ca="1">IF(AND('Planning Sheet'!CQ267='Weeks Plan'!$D$6,'Planning Sheet'!CK267='Weeks Plan'!$G$6),'Planning Sheet'!$CL267,"")</f>
        <v/>
      </c>
      <c r="AA3720" s="48" t="str">
        <f ca="1">IF(AND('Planning Sheet'!CQ267='Weeks Plan'!$D$6,'Planning Sheet'!CK267='Weeks Plan'!$G$6),'Planning Sheet'!$CM267,"")</f>
        <v/>
      </c>
    </row>
    <row r="3721" spans="25:27" x14ac:dyDescent="0.3">
      <c r="Y3721" s="48" t="str">
        <f ca="1">IF(AND('Planning Sheet'!CQ268='Weeks Plan'!$D$6,'Planning Sheet'!CK268='Weeks Plan'!$G$6),'Planning Sheet'!$B268,"")</f>
        <v/>
      </c>
      <c r="Z3721" s="48" t="str">
        <f ca="1">IF(AND('Planning Sheet'!CQ268='Weeks Plan'!$D$6,'Planning Sheet'!CK268='Weeks Plan'!$G$6),'Planning Sheet'!$CL268,"")</f>
        <v/>
      </c>
      <c r="AA3721" s="48" t="str">
        <f ca="1">IF(AND('Planning Sheet'!CQ268='Weeks Plan'!$D$6,'Planning Sheet'!CK268='Weeks Plan'!$G$6),'Planning Sheet'!$CM268,"")</f>
        <v/>
      </c>
    </row>
    <row r="3722" spans="25:27" x14ac:dyDescent="0.3">
      <c r="Y3722" s="48" t="str">
        <f ca="1">IF(AND('Planning Sheet'!CQ269='Weeks Plan'!$D$6,'Planning Sheet'!CK269='Weeks Plan'!$G$6),'Planning Sheet'!$B269,"")</f>
        <v/>
      </c>
      <c r="Z3722" s="48" t="str">
        <f ca="1">IF(AND('Planning Sheet'!CQ269='Weeks Plan'!$D$6,'Planning Sheet'!CK269='Weeks Plan'!$G$6),'Planning Sheet'!$CL269,"")</f>
        <v/>
      </c>
      <c r="AA3722" s="48" t="str">
        <f ca="1">IF(AND('Planning Sheet'!CQ269='Weeks Plan'!$D$6,'Planning Sheet'!CK269='Weeks Plan'!$G$6),'Planning Sheet'!$CM269,"")</f>
        <v/>
      </c>
    </row>
    <row r="3723" spans="25:27" x14ac:dyDescent="0.3">
      <c r="Y3723" s="48" t="str">
        <f ca="1">IF(AND('Planning Sheet'!CQ270='Weeks Plan'!$D$6,'Planning Sheet'!CK270='Weeks Plan'!$G$6),'Planning Sheet'!$B270,"")</f>
        <v/>
      </c>
      <c r="Z3723" s="48" t="str">
        <f ca="1">IF(AND('Planning Sheet'!CQ270='Weeks Plan'!$D$6,'Planning Sheet'!CK270='Weeks Plan'!$G$6),'Planning Sheet'!$CL270,"")</f>
        <v/>
      </c>
      <c r="AA3723" s="48" t="str">
        <f ca="1">IF(AND('Planning Sheet'!CQ270='Weeks Plan'!$D$6,'Planning Sheet'!CK270='Weeks Plan'!$G$6),'Planning Sheet'!$CM270,"")</f>
        <v/>
      </c>
    </row>
    <row r="3724" spans="25:27" x14ac:dyDescent="0.3">
      <c r="Y3724" s="48" t="str">
        <f ca="1">IF(AND('Planning Sheet'!CQ271='Weeks Plan'!$D$6,'Planning Sheet'!CK271='Weeks Plan'!$G$6),'Planning Sheet'!$B271,"")</f>
        <v/>
      </c>
      <c r="Z3724" s="48" t="str">
        <f ca="1">IF(AND('Planning Sheet'!CQ271='Weeks Plan'!$D$6,'Planning Sheet'!CK271='Weeks Plan'!$G$6),'Planning Sheet'!$CL271,"")</f>
        <v/>
      </c>
      <c r="AA3724" s="48" t="str">
        <f ca="1">IF(AND('Planning Sheet'!CQ271='Weeks Plan'!$D$6,'Planning Sheet'!CK271='Weeks Plan'!$G$6),'Planning Sheet'!$CM271,"")</f>
        <v/>
      </c>
    </row>
    <row r="3725" spans="25:27" x14ac:dyDescent="0.3">
      <c r="Y3725" s="48" t="str">
        <f ca="1">IF(AND('Planning Sheet'!CQ272='Weeks Plan'!$D$6,'Planning Sheet'!CK272='Weeks Plan'!$G$6),'Planning Sheet'!$B272,"")</f>
        <v/>
      </c>
      <c r="Z3725" s="48" t="str">
        <f ca="1">IF(AND('Planning Sheet'!CQ272='Weeks Plan'!$D$6,'Planning Sheet'!CK272='Weeks Plan'!$G$6),'Planning Sheet'!$CL272,"")</f>
        <v/>
      </c>
      <c r="AA3725" s="48" t="str">
        <f ca="1">IF(AND('Planning Sheet'!CQ272='Weeks Plan'!$D$6,'Planning Sheet'!CK272='Weeks Plan'!$G$6),'Planning Sheet'!$CM272,"")</f>
        <v/>
      </c>
    </row>
    <row r="3726" spans="25:27" x14ac:dyDescent="0.3">
      <c r="Y3726" s="48" t="str">
        <f ca="1">IF(AND('Planning Sheet'!CQ273='Weeks Plan'!$D$6,'Planning Sheet'!CK273='Weeks Plan'!$G$6),'Planning Sheet'!$B273,"")</f>
        <v/>
      </c>
      <c r="Z3726" s="48" t="str">
        <f ca="1">IF(AND('Planning Sheet'!CQ273='Weeks Plan'!$D$6,'Planning Sheet'!CK273='Weeks Plan'!$G$6),'Planning Sheet'!$CL273,"")</f>
        <v/>
      </c>
      <c r="AA3726" s="48" t="str">
        <f ca="1">IF(AND('Planning Sheet'!CQ273='Weeks Plan'!$D$6,'Planning Sheet'!CK273='Weeks Plan'!$G$6),'Planning Sheet'!$CM273,"")</f>
        <v/>
      </c>
    </row>
    <row r="3727" spans="25:27" x14ac:dyDescent="0.3">
      <c r="Y3727" s="48" t="str">
        <f ca="1">IF(AND('Planning Sheet'!CQ274='Weeks Plan'!$D$6,'Planning Sheet'!CK274='Weeks Plan'!$G$6),'Planning Sheet'!$B274,"")</f>
        <v/>
      </c>
      <c r="Z3727" s="48" t="str">
        <f ca="1">IF(AND('Planning Sheet'!CQ274='Weeks Plan'!$D$6,'Planning Sheet'!CK274='Weeks Plan'!$G$6),'Planning Sheet'!$CL274,"")</f>
        <v/>
      </c>
      <c r="AA3727" s="48" t="str">
        <f ca="1">IF(AND('Planning Sheet'!CQ274='Weeks Plan'!$D$6,'Planning Sheet'!CK274='Weeks Plan'!$G$6),'Planning Sheet'!$CM274,"")</f>
        <v/>
      </c>
    </row>
    <row r="3728" spans="25:27" x14ac:dyDescent="0.3">
      <c r="Y3728" s="48" t="str">
        <f ca="1">IF(AND('Planning Sheet'!CQ275='Weeks Plan'!$D$6,'Planning Sheet'!CK275='Weeks Plan'!$G$6),'Planning Sheet'!$B275,"")</f>
        <v/>
      </c>
      <c r="Z3728" s="48" t="str">
        <f ca="1">IF(AND('Planning Sheet'!CQ275='Weeks Plan'!$D$6,'Planning Sheet'!CK275='Weeks Plan'!$G$6),'Planning Sheet'!$CL275,"")</f>
        <v/>
      </c>
      <c r="AA3728" s="48" t="str">
        <f ca="1">IF(AND('Planning Sheet'!CQ275='Weeks Plan'!$D$6,'Planning Sheet'!CK275='Weeks Plan'!$G$6),'Planning Sheet'!$CM275,"")</f>
        <v/>
      </c>
    </row>
    <row r="3729" spans="25:27" x14ac:dyDescent="0.3">
      <c r="Y3729" s="48" t="str">
        <f ca="1">IF(AND('Planning Sheet'!CQ276='Weeks Plan'!$D$6,'Planning Sheet'!CK276='Weeks Plan'!$G$6),'Planning Sheet'!$B276,"")</f>
        <v/>
      </c>
      <c r="Z3729" s="48" t="str">
        <f ca="1">IF(AND('Planning Sheet'!CQ276='Weeks Plan'!$D$6,'Planning Sheet'!CK276='Weeks Plan'!$G$6),'Planning Sheet'!$CL276,"")</f>
        <v/>
      </c>
      <c r="AA3729" s="48" t="str">
        <f ca="1">IF(AND('Planning Sheet'!CQ276='Weeks Plan'!$D$6,'Planning Sheet'!CK276='Weeks Plan'!$G$6),'Planning Sheet'!$CM276,"")</f>
        <v/>
      </c>
    </row>
    <row r="3730" spans="25:27" x14ac:dyDescent="0.3">
      <c r="Y3730" s="48" t="str">
        <f ca="1">IF(AND('Planning Sheet'!CQ277='Weeks Plan'!$D$6,'Planning Sheet'!CK277='Weeks Plan'!$G$6),'Planning Sheet'!$B277,"")</f>
        <v/>
      </c>
      <c r="Z3730" s="48" t="str">
        <f ca="1">IF(AND('Planning Sheet'!CQ277='Weeks Plan'!$D$6,'Planning Sheet'!CK277='Weeks Plan'!$G$6),'Planning Sheet'!$CL277,"")</f>
        <v/>
      </c>
      <c r="AA3730" s="48" t="str">
        <f ca="1">IF(AND('Planning Sheet'!CQ277='Weeks Plan'!$D$6,'Planning Sheet'!CK277='Weeks Plan'!$G$6),'Planning Sheet'!$CM277,"")</f>
        <v/>
      </c>
    </row>
    <row r="3731" spans="25:27" x14ac:dyDescent="0.3">
      <c r="Y3731" s="48" t="str">
        <f ca="1">IF(AND('Planning Sheet'!CQ278='Weeks Plan'!$D$6,'Planning Sheet'!CK278='Weeks Plan'!$G$6),'Planning Sheet'!$B278,"")</f>
        <v/>
      </c>
      <c r="Z3731" s="48" t="str">
        <f ca="1">IF(AND('Planning Sheet'!CQ278='Weeks Plan'!$D$6,'Planning Sheet'!CK278='Weeks Plan'!$G$6),'Planning Sheet'!$CL278,"")</f>
        <v/>
      </c>
      <c r="AA3731" s="48" t="str">
        <f ca="1">IF(AND('Planning Sheet'!CQ278='Weeks Plan'!$D$6,'Planning Sheet'!CK278='Weeks Plan'!$G$6),'Planning Sheet'!$CM278,"")</f>
        <v/>
      </c>
    </row>
    <row r="3732" spans="25:27" x14ac:dyDescent="0.3">
      <c r="Y3732" s="48" t="str">
        <f ca="1">IF(AND('Planning Sheet'!CQ279='Weeks Plan'!$D$6,'Planning Sheet'!CK279='Weeks Plan'!$G$6),'Planning Sheet'!$B279,"")</f>
        <v/>
      </c>
      <c r="Z3732" s="48" t="str">
        <f ca="1">IF(AND('Planning Sheet'!CQ279='Weeks Plan'!$D$6,'Planning Sheet'!CK279='Weeks Plan'!$G$6),'Planning Sheet'!$CL279,"")</f>
        <v/>
      </c>
      <c r="AA3732" s="48" t="str">
        <f ca="1">IF(AND('Planning Sheet'!CQ279='Weeks Plan'!$D$6,'Planning Sheet'!CK279='Weeks Plan'!$G$6),'Planning Sheet'!$CM279,"")</f>
        <v/>
      </c>
    </row>
    <row r="3733" spans="25:27" x14ac:dyDescent="0.3">
      <c r="Y3733" s="48" t="str">
        <f ca="1">IF(AND('Planning Sheet'!CQ280='Weeks Plan'!$D$6,'Planning Sheet'!CK280='Weeks Plan'!$G$6),'Planning Sheet'!$B280,"")</f>
        <v/>
      </c>
      <c r="Z3733" s="48" t="str">
        <f ca="1">IF(AND('Planning Sheet'!CQ280='Weeks Plan'!$D$6,'Planning Sheet'!CK280='Weeks Plan'!$G$6),'Planning Sheet'!$CL280,"")</f>
        <v/>
      </c>
      <c r="AA3733" s="48" t="str">
        <f ca="1">IF(AND('Planning Sheet'!CQ280='Weeks Plan'!$D$6,'Planning Sheet'!CK280='Weeks Plan'!$G$6),'Planning Sheet'!$CM280,"")</f>
        <v/>
      </c>
    </row>
    <row r="3734" spans="25:27" x14ac:dyDescent="0.3">
      <c r="Y3734" s="48" t="str">
        <f ca="1">IF(AND('Planning Sheet'!CQ281='Weeks Plan'!$D$6,'Planning Sheet'!CK281='Weeks Plan'!$G$6),'Planning Sheet'!$B281,"")</f>
        <v/>
      </c>
      <c r="Z3734" s="48" t="str">
        <f ca="1">IF(AND('Planning Sheet'!CQ281='Weeks Plan'!$D$6,'Planning Sheet'!CK281='Weeks Plan'!$G$6),'Planning Sheet'!$CL281,"")</f>
        <v/>
      </c>
      <c r="AA3734" s="48" t="str">
        <f ca="1">IF(AND('Planning Sheet'!CQ281='Weeks Plan'!$D$6,'Planning Sheet'!CK281='Weeks Plan'!$G$6),'Planning Sheet'!$CM281,"")</f>
        <v/>
      </c>
    </row>
    <row r="3735" spans="25:27" x14ac:dyDescent="0.3">
      <c r="Y3735" s="48" t="str">
        <f ca="1">IF(AND('Planning Sheet'!CQ282='Weeks Plan'!$D$6,'Planning Sheet'!CK282='Weeks Plan'!$G$6),'Planning Sheet'!$B282,"")</f>
        <v/>
      </c>
      <c r="Z3735" s="48" t="str">
        <f ca="1">IF(AND('Planning Sheet'!CQ282='Weeks Plan'!$D$6,'Planning Sheet'!CK282='Weeks Plan'!$G$6),'Planning Sheet'!$CL282,"")</f>
        <v/>
      </c>
      <c r="AA3735" s="48" t="str">
        <f ca="1">IF(AND('Planning Sheet'!CQ282='Weeks Plan'!$D$6,'Planning Sheet'!CK282='Weeks Plan'!$G$6),'Planning Sheet'!$CM282,"")</f>
        <v/>
      </c>
    </row>
    <row r="3736" spans="25:27" x14ac:dyDescent="0.3">
      <c r="Y3736" s="48" t="str">
        <f ca="1">IF(AND('Planning Sheet'!CQ283='Weeks Plan'!$D$6,'Planning Sheet'!CK283='Weeks Plan'!$G$6),'Planning Sheet'!$B283,"")</f>
        <v/>
      </c>
      <c r="Z3736" s="48" t="str">
        <f ca="1">IF(AND('Planning Sheet'!CQ283='Weeks Plan'!$D$6,'Planning Sheet'!CK283='Weeks Plan'!$G$6),'Planning Sheet'!$CL283,"")</f>
        <v/>
      </c>
      <c r="AA3736" s="48" t="str">
        <f ca="1">IF(AND('Planning Sheet'!CQ283='Weeks Plan'!$D$6,'Planning Sheet'!CK283='Weeks Plan'!$G$6),'Planning Sheet'!$CM283,"")</f>
        <v/>
      </c>
    </row>
    <row r="3737" spans="25:27" x14ac:dyDescent="0.3">
      <c r="Y3737" s="48" t="str">
        <f ca="1">IF(AND('Planning Sheet'!CQ284='Weeks Plan'!$D$6,'Planning Sheet'!CK284='Weeks Plan'!$G$6),'Planning Sheet'!$B284,"")</f>
        <v/>
      </c>
      <c r="Z3737" s="48" t="str">
        <f ca="1">IF(AND('Planning Sheet'!CQ284='Weeks Plan'!$D$6,'Planning Sheet'!CK284='Weeks Plan'!$G$6),'Planning Sheet'!$CL284,"")</f>
        <v/>
      </c>
      <c r="AA3737" s="48" t="str">
        <f ca="1">IF(AND('Planning Sheet'!CQ284='Weeks Plan'!$D$6,'Planning Sheet'!CK284='Weeks Plan'!$G$6),'Planning Sheet'!$CM284,"")</f>
        <v/>
      </c>
    </row>
    <row r="3738" spans="25:27" x14ac:dyDescent="0.3">
      <c r="Y3738" s="48" t="str">
        <f ca="1">IF(AND('Planning Sheet'!CQ285='Weeks Plan'!$D$6,'Planning Sheet'!CK285='Weeks Plan'!$G$6),'Planning Sheet'!$B285,"")</f>
        <v/>
      </c>
      <c r="Z3738" s="48" t="str">
        <f ca="1">IF(AND('Planning Sheet'!CQ285='Weeks Plan'!$D$6,'Planning Sheet'!CK285='Weeks Plan'!$G$6),'Planning Sheet'!$CL285,"")</f>
        <v/>
      </c>
      <c r="AA3738" s="48" t="str">
        <f ca="1">IF(AND('Planning Sheet'!CQ285='Weeks Plan'!$D$6,'Planning Sheet'!CK285='Weeks Plan'!$G$6),'Planning Sheet'!$CM285,"")</f>
        <v/>
      </c>
    </row>
    <row r="3739" spans="25:27" x14ac:dyDescent="0.3">
      <c r="Y3739" s="48" t="str">
        <f ca="1">IF(AND('Planning Sheet'!CQ286='Weeks Plan'!$D$6,'Planning Sheet'!CK286='Weeks Plan'!$G$6),'Planning Sheet'!$B286,"")</f>
        <v/>
      </c>
      <c r="Z3739" s="48" t="str">
        <f ca="1">IF(AND('Planning Sheet'!CQ286='Weeks Plan'!$D$6,'Planning Sheet'!CK286='Weeks Plan'!$G$6),'Planning Sheet'!$CL286,"")</f>
        <v/>
      </c>
      <c r="AA3739" s="48" t="str">
        <f ca="1">IF(AND('Planning Sheet'!CQ286='Weeks Plan'!$D$6,'Planning Sheet'!CK286='Weeks Plan'!$G$6),'Planning Sheet'!$CM286,"")</f>
        <v/>
      </c>
    </row>
    <row r="3740" spans="25:27" x14ac:dyDescent="0.3">
      <c r="Y3740" s="48" t="str">
        <f ca="1">IF(AND('Planning Sheet'!CQ287='Weeks Plan'!$D$6,'Planning Sheet'!CK287='Weeks Plan'!$G$6),'Planning Sheet'!$B287,"")</f>
        <v/>
      </c>
      <c r="Z3740" s="48" t="str">
        <f ca="1">IF(AND('Planning Sheet'!CQ287='Weeks Plan'!$D$6,'Planning Sheet'!CK287='Weeks Plan'!$G$6),'Planning Sheet'!$CL287,"")</f>
        <v/>
      </c>
      <c r="AA3740" s="48" t="str">
        <f ca="1">IF(AND('Planning Sheet'!CQ287='Weeks Plan'!$D$6,'Planning Sheet'!CK287='Weeks Plan'!$G$6),'Planning Sheet'!$CM287,"")</f>
        <v/>
      </c>
    </row>
    <row r="3741" spans="25:27" x14ac:dyDescent="0.3">
      <c r="Y3741" s="48" t="str">
        <f ca="1">IF(AND('Planning Sheet'!CQ288='Weeks Plan'!$D$6,'Planning Sheet'!CK288='Weeks Plan'!$G$6),'Planning Sheet'!$B288,"")</f>
        <v/>
      </c>
      <c r="Z3741" s="48" t="str">
        <f ca="1">IF(AND('Planning Sheet'!CQ288='Weeks Plan'!$D$6,'Planning Sheet'!CK288='Weeks Plan'!$G$6),'Planning Sheet'!$CL288,"")</f>
        <v/>
      </c>
      <c r="AA3741" s="48" t="str">
        <f ca="1">IF(AND('Planning Sheet'!CQ288='Weeks Plan'!$D$6,'Planning Sheet'!CK288='Weeks Plan'!$G$6),'Planning Sheet'!$CM288,"")</f>
        <v/>
      </c>
    </row>
    <row r="3742" spans="25:27" x14ac:dyDescent="0.3">
      <c r="Y3742" s="48" t="str">
        <f ca="1">IF(AND('Planning Sheet'!CQ289='Weeks Plan'!$D$6,'Planning Sheet'!CK289='Weeks Plan'!$G$6),'Planning Sheet'!$B289,"")</f>
        <v/>
      </c>
      <c r="Z3742" s="48" t="str">
        <f ca="1">IF(AND('Planning Sheet'!CQ289='Weeks Plan'!$D$6,'Planning Sheet'!CK289='Weeks Plan'!$G$6),'Planning Sheet'!$CL289,"")</f>
        <v/>
      </c>
      <c r="AA3742" s="48" t="str">
        <f ca="1">IF(AND('Planning Sheet'!CQ289='Weeks Plan'!$D$6,'Planning Sheet'!CK289='Weeks Plan'!$G$6),'Planning Sheet'!$CM289,"")</f>
        <v/>
      </c>
    </row>
    <row r="3743" spans="25:27" x14ac:dyDescent="0.3">
      <c r="Y3743" s="48" t="str">
        <f ca="1">IF(AND('Planning Sheet'!CQ290='Weeks Plan'!$D$6,'Planning Sheet'!CK290='Weeks Plan'!$G$6),'Planning Sheet'!$B290,"")</f>
        <v/>
      </c>
      <c r="Z3743" s="48" t="str">
        <f ca="1">IF(AND('Planning Sheet'!CQ290='Weeks Plan'!$D$6,'Planning Sheet'!CK290='Weeks Plan'!$G$6),'Planning Sheet'!$CL290,"")</f>
        <v/>
      </c>
      <c r="AA3743" s="48" t="str">
        <f ca="1">IF(AND('Planning Sheet'!CQ290='Weeks Plan'!$D$6,'Planning Sheet'!CK290='Weeks Plan'!$G$6),'Planning Sheet'!$CM290,"")</f>
        <v/>
      </c>
    </row>
    <row r="3744" spans="25:27" x14ac:dyDescent="0.3">
      <c r="Y3744" s="48" t="str">
        <f ca="1">IF(AND('Planning Sheet'!CQ291='Weeks Plan'!$D$6,'Planning Sheet'!CK291='Weeks Plan'!$G$6),'Planning Sheet'!$B291,"")</f>
        <v/>
      </c>
      <c r="Z3744" s="48" t="str">
        <f ca="1">IF(AND('Planning Sheet'!CQ291='Weeks Plan'!$D$6,'Planning Sheet'!CK291='Weeks Plan'!$G$6),'Planning Sheet'!$CL291,"")</f>
        <v/>
      </c>
      <c r="AA3744" s="48" t="str">
        <f ca="1">IF(AND('Planning Sheet'!CQ291='Weeks Plan'!$D$6,'Planning Sheet'!CK291='Weeks Plan'!$G$6),'Planning Sheet'!$CM291,"")</f>
        <v/>
      </c>
    </row>
    <row r="3745" spans="25:27" x14ac:dyDescent="0.3">
      <c r="Y3745" s="48" t="str">
        <f ca="1">IF(AND('Planning Sheet'!CQ292='Weeks Plan'!$D$6,'Planning Sheet'!CK292='Weeks Plan'!$G$6),'Planning Sheet'!$B292,"")</f>
        <v/>
      </c>
      <c r="Z3745" s="48" t="str">
        <f ca="1">IF(AND('Planning Sheet'!CQ292='Weeks Plan'!$D$6,'Planning Sheet'!CK292='Weeks Plan'!$G$6),'Planning Sheet'!$CL292,"")</f>
        <v/>
      </c>
      <c r="AA3745" s="48" t="str">
        <f ca="1">IF(AND('Planning Sheet'!CQ292='Weeks Plan'!$D$6,'Planning Sheet'!CK292='Weeks Plan'!$G$6),'Planning Sheet'!$CM292,"")</f>
        <v/>
      </c>
    </row>
    <row r="3746" spans="25:27" x14ac:dyDescent="0.3">
      <c r="Y3746" s="48" t="str">
        <f ca="1">IF(AND('Planning Sheet'!CQ293='Weeks Plan'!$D$6,'Planning Sheet'!CK293='Weeks Plan'!$G$6),'Planning Sheet'!$B293,"")</f>
        <v/>
      </c>
      <c r="Z3746" s="48" t="str">
        <f ca="1">IF(AND('Planning Sheet'!CQ293='Weeks Plan'!$D$6,'Planning Sheet'!CK293='Weeks Plan'!$G$6),'Planning Sheet'!$CL293,"")</f>
        <v/>
      </c>
      <c r="AA3746" s="48" t="str">
        <f ca="1">IF(AND('Planning Sheet'!CQ293='Weeks Plan'!$D$6,'Planning Sheet'!CK293='Weeks Plan'!$G$6),'Planning Sheet'!$CM293,"")</f>
        <v/>
      </c>
    </row>
    <row r="3747" spans="25:27" x14ac:dyDescent="0.3">
      <c r="Y3747" s="48" t="str">
        <f ca="1">IF(AND('Planning Sheet'!CQ294='Weeks Plan'!$D$6,'Planning Sheet'!CK294='Weeks Plan'!$G$6),'Planning Sheet'!$B294,"")</f>
        <v/>
      </c>
      <c r="Z3747" s="48" t="str">
        <f ca="1">IF(AND('Planning Sheet'!CQ294='Weeks Plan'!$D$6,'Planning Sheet'!CK294='Weeks Plan'!$G$6),'Planning Sheet'!$CL294,"")</f>
        <v/>
      </c>
      <c r="AA3747" s="48" t="str">
        <f ca="1">IF(AND('Planning Sheet'!CQ294='Weeks Plan'!$D$6,'Planning Sheet'!CK294='Weeks Plan'!$G$6),'Planning Sheet'!$CM294,"")</f>
        <v/>
      </c>
    </row>
    <row r="3748" spans="25:27" x14ac:dyDescent="0.3">
      <c r="Y3748" s="48" t="str">
        <f ca="1">IF(AND('Planning Sheet'!CQ295='Weeks Plan'!$D$6,'Planning Sheet'!CK295='Weeks Plan'!$G$6),'Planning Sheet'!$B295,"")</f>
        <v/>
      </c>
      <c r="Z3748" s="48" t="str">
        <f ca="1">IF(AND('Planning Sheet'!CQ295='Weeks Plan'!$D$6,'Planning Sheet'!CK295='Weeks Plan'!$G$6),'Planning Sheet'!$CL295,"")</f>
        <v/>
      </c>
      <c r="AA3748" s="48" t="str">
        <f ca="1">IF(AND('Planning Sheet'!CQ295='Weeks Plan'!$D$6,'Planning Sheet'!CK295='Weeks Plan'!$G$6),'Planning Sheet'!$CM295,"")</f>
        <v/>
      </c>
    </row>
    <row r="3749" spans="25:27" x14ac:dyDescent="0.3">
      <c r="Y3749" s="48" t="str">
        <f ca="1">IF(AND('Planning Sheet'!CQ296='Weeks Plan'!$D$6,'Planning Sheet'!CK296='Weeks Plan'!$G$6),'Planning Sheet'!$B296,"")</f>
        <v/>
      </c>
      <c r="Z3749" s="48" t="str">
        <f ca="1">IF(AND('Planning Sheet'!CQ296='Weeks Plan'!$D$6,'Planning Sheet'!CK296='Weeks Plan'!$G$6),'Planning Sheet'!$CL296,"")</f>
        <v/>
      </c>
      <c r="AA3749" s="48" t="str">
        <f ca="1">IF(AND('Planning Sheet'!CQ296='Weeks Plan'!$D$6,'Planning Sheet'!CK296='Weeks Plan'!$G$6),'Planning Sheet'!$CM296,"")</f>
        <v/>
      </c>
    </row>
    <row r="3750" spans="25:27" x14ac:dyDescent="0.3">
      <c r="Y3750" s="48" t="str">
        <f ca="1">IF(AND('Planning Sheet'!CQ297='Weeks Plan'!$D$6,'Planning Sheet'!CK297='Weeks Plan'!$G$6),'Planning Sheet'!$B297,"")</f>
        <v/>
      </c>
      <c r="Z3750" s="48" t="str">
        <f ca="1">IF(AND('Planning Sheet'!CQ297='Weeks Plan'!$D$6,'Planning Sheet'!CK297='Weeks Plan'!$G$6),'Planning Sheet'!$CL297,"")</f>
        <v/>
      </c>
      <c r="AA3750" s="48" t="str">
        <f ca="1">IF(AND('Planning Sheet'!CQ297='Weeks Plan'!$D$6,'Planning Sheet'!CK297='Weeks Plan'!$G$6),'Planning Sheet'!$CM297,"")</f>
        <v/>
      </c>
    </row>
    <row r="3751" spans="25:27" x14ac:dyDescent="0.3">
      <c r="Y3751" s="48" t="str">
        <f ca="1">IF(AND('Planning Sheet'!CQ298='Weeks Plan'!$D$6,'Planning Sheet'!CK298='Weeks Plan'!$G$6),'Planning Sheet'!$B298,"")</f>
        <v/>
      </c>
      <c r="Z3751" s="48" t="str">
        <f ca="1">IF(AND('Planning Sheet'!CQ298='Weeks Plan'!$D$6,'Planning Sheet'!CK298='Weeks Plan'!$G$6),'Planning Sheet'!$CL298,"")</f>
        <v/>
      </c>
      <c r="AA3751" s="48" t="str">
        <f ca="1">IF(AND('Planning Sheet'!CQ298='Weeks Plan'!$D$6,'Planning Sheet'!CK298='Weeks Plan'!$G$6),'Planning Sheet'!$CM298,"")</f>
        <v/>
      </c>
    </row>
    <row r="3752" spans="25:27" x14ac:dyDescent="0.3">
      <c r="Y3752" s="48" t="str">
        <f ca="1">IF(AND('Planning Sheet'!CQ299='Weeks Plan'!$D$6,'Planning Sheet'!CK299='Weeks Plan'!$G$6),'Planning Sheet'!$B299,"")</f>
        <v/>
      </c>
      <c r="Z3752" s="48" t="str">
        <f ca="1">IF(AND('Planning Sheet'!CQ299='Weeks Plan'!$D$6,'Planning Sheet'!CK299='Weeks Plan'!$G$6),'Planning Sheet'!$CL299,"")</f>
        <v/>
      </c>
      <c r="AA3752" s="48" t="str">
        <f ca="1">IF(AND('Planning Sheet'!CQ299='Weeks Plan'!$D$6,'Planning Sheet'!CK299='Weeks Plan'!$G$6),'Planning Sheet'!$CM299,"")</f>
        <v/>
      </c>
    </row>
    <row r="3753" spans="25:27" x14ac:dyDescent="0.3">
      <c r="Y3753" s="48" t="str">
        <f ca="1">IF(AND('Planning Sheet'!CQ300='Weeks Plan'!$D$6,'Planning Sheet'!CK300='Weeks Plan'!$G$6),'Planning Sheet'!$B300,"")</f>
        <v/>
      </c>
      <c r="Z3753" s="48" t="str">
        <f ca="1">IF(AND('Planning Sheet'!CQ300='Weeks Plan'!$D$6,'Planning Sheet'!CK300='Weeks Plan'!$G$6),'Planning Sheet'!$CL300,"")</f>
        <v/>
      </c>
      <c r="AA3753" s="48" t="str">
        <f ca="1">IF(AND('Planning Sheet'!CQ300='Weeks Plan'!$D$6,'Planning Sheet'!CK300='Weeks Plan'!$G$6),'Planning Sheet'!$CM300,"")</f>
        <v/>
      </c>
    </row>
    <row r="3754" spans="25:27" x14ac:dyDescent="0.3">
      <c r="Y3754" s="48" t="str">
        <f ca="1">IF(AND('Planning Sheet'!CQ301='Weeks Plan'!$D$6,'Planning Sheet'!CK301='Weeks Plan'!$G$6),'Planning Sheet'!$B301,"")</f>
        <v/>
      </c>
      <c r="Z3754" s="48" t="str">
        <f ca="1">IF(AND('Planning Sheet'!CQ301='Weeks Plan'!$D$6,'Planning Sheet'!CK301='Weeks Plan'!$G$6),'Planning Sheet'!$CL301,"")</f>
        <v/>
      </c>
      <c r="AA3754" s="48" t="str">
        <f ca="1">IF(AND('Planning Sheet'!CQ301='Weeks Plan'!$D$6,'Planning Sheet'!CK301='Weeks Plan'!$G$6),'Planning Sheet'!$CM301,"")</f>
        <v/>
      </c>
    </row>
    <row r="3755" spans="25:27" x14ac:dyDescent="0.3">
      <c r="Y3755" s="48" t="str">
        <f ca="1">IF(AND('Planning Sheet'!CQ302='Weeks Plan'!$D$6,'Planning Sheet'!CK302='Weeks Plan'!$G$6),'Planning Sheet'!$B302,"")</f>
        <v/>
      </c>
      <c r="Z3755" s="48" t="str">
        <f ca="1">IF(AND('Planning Sheet'!CQ302='Weeks Plan'!$D$6,'Planning Sheet'!CK302='Weeks Plan'!$G$6),'Planning Sheet'!$CL302,"")</f>
        <v/>
      </c>
      <c r="AA3755" s="48" t="str">
        <f ca="1">IF(AND('Planning Sheet'!CQ302='Weeks Plan'!$D$6,'Planning Sheet'!CK302='Weeks Plan'!$G$6),'Planning Sheet'!$CM302,"")</f>
        <v/>
      </c>
    </row>
    <row r="3756" spans="25:27" x14ac:dyDescent="0.3">
      <c r="Y3756" s="48" t="str">
        <f ca="1">IF(AND('Planning Sheet'!CQ303='Weeks Plan'!$D$6,'Planning Sheet'!CK303='Weeks Plan'!$G$6),'Planning Sheet'!$B303,"")</f>
        <v/>
      </c>
      <c r="Z3756" s="48" t="str">
        <f ca="1">IF(AND('Planning Sheet'!CQ303='Weeks Plan'!$D$6,'Planning Sheet'!CK303='Weeks Plan'!$G$6),'Planning Sheet'!$CL303,"")</f>
        <v/>
      </c>
      <c r="AA3756" s="48" t="str">
        <f ca="1">IF(AND('Planning Sheet'!CQ303='Weeks Plan'!$D$6,'Planning Sheet'!CK303='Weeks Plan'!$G$6),'Planning Sheet'!$CM303,"")</f>
        <v/>
      </c>
    </row>
    <row r="3757" spans="25:27" x14ac:dyDescent="0.3">
      <c r="Y3757" s="48" t="str">
        <f ca="1">IF(AND('Planning Sheet'!CQ304='Weeks Plan'!$D$6,'Planning Sheet'!CK304='Weeks Plan'!$G$6),'Planning Sheet'!$B304,"")</f>
        <v/>
      </c>
      <c r="Z3757" s="48" t="str">
        <f ca="1">IF(AND('Planning Sheet'!CQ304='Weeks Plan'!$D$6,'Planning Sheet'!CK304='Weeks Plan'!$G$6),'Planning Sheet'!$CL304,"")</f>
        <v/>
      </c>
      <c r="AA3757" s="48" t="str">
        <f ca="1">IF(AND('Planning Sheet'!CQ304='Weeks Plan'!$D$6,'Planning Sheet'!CK304='Weeks Plan'!$G$6),'Planning Sheet'!$CM304,"")</f>
        <v/>
      </c>
    </row>
    <row r="3758" spans="25:27" x14ac:dyDescent="0.3">
      <c r="Y3758" s="48" t="str">
        <f ca="1">IF(AND('Planning Sheet'!CQ305='Weeks Plan'!$D$6,'Planning Sheet'!CK305='Weeks Plan'!$G$6),'Planning Sheet'!$B305,"")</f>
        <v/>
      </c>
      <c r="Z3758" s="48" t="str">
        <f ca="1">IF(AND('Planning Sheet'!CQ305='Weeks Plan'!$D$6,'Planning Sheet'!CK305='Weeks Plan'!$G$6),'Planning Sheet'!$CL305,"")</f>
        <v/>
      </c>
      <c r="AA3758" s="48" t="str">
        <f ca="1">IF(AND('Planning Sheet'!CQ305='Weeks Plan'!$D$6,'Planning Sheet'!CK305='Weeks Plan'!$G$6),'Planning Sheet'!$CM305,"")</f>
        <v/>
      </c>
    </row>
    <row r="3759" spans="25:27" x14ac:dyDescent="0.3">
      <c r="Y3759" s="48" t="str">
        <f ca="1">IF(AND('Planning Sheet'!CQ306='Weeks Plan'!$D$6,'Planning Sheet'!CK306='Weeks Plan'!$G$6),'Planning Sheet'!$B306,"")</f>
        <v/>
      </c>
      <c r="Z3759" s="48" t="str">
        <f ca="1">IF(AND('Planning Sheet'!CQ306='Weeks Plan'!$D$6,'Planning Sheet'!CK306='Weeks Plan'!$G$6),'Planning Sheet'!$CL306,"")</f>
        <v/>
      </c>
      <c r="AA3759" s="48" t="str">
        <f ca="1">IF(AND('Planning Sheet'!CQ306='Weeks Plan'!$D$6,'Planning Sheet'!CK306='Weeks Plan'!$G$6),'Planning Sheet'!$CM306,"")</f>
        <v/>
      </c>
    </row>
    <row r="3760" spans="25:27" x14ac:dyDescent="0.3">
      <c r="Y3760" s="48" t="str">
        <f ca="1">IF(AND('Planning Sheet'!CQ307='Weeks Plan'!$D$6,'Planning Sheet'!CK307='Weeks Plan'!$G$6),'Planning Sheet'!$B307,"")</f>
        <v/>
      </c>
      <c r="Z3760" s="48" t="str">
        <f ca="1">IF(AND('Planning Sheet'!CQ307='Weeks Plan'!$D$6,'Planning Sheet'!CK307='Weeks Plan'!$G$6),'Planning Sheet'!$CL307,"")</f>
        <v/>
      </c>
      <c r="AA3760" s="48" t="str">
        <f ca="1">IF(AND('Planning Sheet'!CQ307='Weeks Plan'!$D$6,'Planning Sheet'!CK307='Weeks Plan'!$G$6),'Planning Sheet'!$CM307,"")</f>
        <v/>
      </c>
    </row>
    <row r="3761" spans="25:27" x14ac:dyDescent="0.3">
      <c r="Y3761" s="48" t="str">
        <f ca="1">IF(AND('Planning Sheet'!CQ308='Weeks Plan'!$D$6,'Planning Sheet'!CK308='Weeks Plan'!$G$6),'Planning Sheet'!$B308,"")</f>
        <v/>
      </c>
      <c r="Z3761" s="48" t="str">
        <f ca="1">IF(AND('Planning Sheet'!CQ308='Weeks Plan'!$D$6,'Planning Sheet'!CK308='Weeks Plan'!$G$6),'Planning Sheet'!$CL308,"")</f>
        <v/>
      </c>
      <c r="AA3761" s="48" t="str">
        <f ca="1">IF(AND('Planning Sheet'!CQ308='Weeks Plan'!$D$6,'Planning Sheet'!CK308='Weeks Plan'!$G$6),'Planning Sheet'!$CM308,"")</f>
        <v/>
      </c>
    </row>
    <row r="3762" spans="25:27" x14ac:dyDescent="0.3">
      <c r="Y3762" s="48" t="str">
        <f ca="1">IF(AND('Planning Sheet'!CQ309='Weeks Plan'!$D$6,'Planning Sheet'!CK309='Weeks Plan'!$G$6),'Planning Sheet'!$B309,"")</f>
        <v/>
      </c>
      <c r="Z3762" s="48" t="str">
        <f ca="1">IF(AND('Planning Sheet'!CQ309='Weeks Plan'!$D$6,'Planning Sheet'!CK309='Weeks Plan'!$G$6),'Planning Sheet'!$CL309,"")</f>
        <v/>
      </c>
      <c r="AA3762" s="48" t="str">
        <f ca="1">IF(AND('Planning Sheet'!CQ309='Weeks Plan'!$D$6,'Planning Sheet'!CK309='Weeks Plan'!$G$6),'Planning Sheet'!$CM309,"")</f>
        <v/>
      </c>
    </row>
    <row r="3763" spans="25:27" x14ac:dyDescent="0.3">
      <c r="Y3763" s="48" t="str">
        <f ca="1">IF(AND('Planning Sheet'!CQ310='Weeks Plan'!$D$6,'Planning Sheet'!CK310='Weeks Plan'!$G$6),'Planning Sheet'!$B310,"")</f>
        <v/>
      </c>
      <c r="Z3763" s="48" t="str">
        <f ca="1">IF(AND('Planning Sheet'!CQ310='Weeks Plan'!$D$6,'Planning Sheet'!CK310='Weeks Plan'!$G$6),'Planning Sheet'!$CL310,"")</f>
        <v/>
      </c>
      <c r="AA3763" s="48" t="str">
        <f ca="1">IF(AND('Planning Sheet'!CQ310='Weeks Plan'!$D$6,'Planning Sheet'!CK310='Weeks Plan'!$G$6),'Planning Sheet'!$CM310,"")</f>
        <v/>
      </c>
    </row>
    <row r="3764" spans="25:27" x14ac:dyDescent="0.3">
      <c r="Y3764" s="48" t="str">
        <f ca="1">IF(AND('Planning Sheet'!CQ311='Weeks Plan'!$D$6,'Planning Sheet'!CK311='Weeks Plan'!$G$6),'Planning Sheet'!$B311,"")</f>
        <v/>
      </c>
      <c r="Z3764" s="48" t="str">
        <f ca="1">IF(AND('Planning Sheet'!CQ311='Weeks Plan'!$D$6,'Planning Sheet'!CK311='Weeks Plan'!$G$6),'Planning Sheet'!$CL311,"")</f>
        <v/>
      </c>
      <c r="AA3764" s="48" t="str">
        <f ca="1">IF(AND('Planning Sheet'!CQ311='Weeks Plan'!$D$6,'Planning Sheet'!CK311='Weeks Plan'!$G$6),'Planning Sheet'!$CM311,"")</f>
        <v/>
      </c>
    </row>
    <row r="3765" spans="25:27" x14ac:dyDescent="0.3">
      <c r="Y3765" s="48" t="str">
        <f ca="1">IF(AND('Planning Sheet'!CQ312='Weeks Plan'!$D$6,'Planning Sheet'!CK312='Weeks Plan'!$G$6),'Planning Sheet'!$B312,"")</f>
        <v/>
      </c>
      <c r="Z3765" s="48" t="str">
        <f ca="1">IF(AND('Planning Sheet'!CQ312='Weeks Plan'!$D$6,'Planning Sheet'!CK312='Weeks Plan'!$G$6),'Planning Sheet'!$CL312,"")</f>
        <v/>
      </c>
      <c r="AA3765" s="48" t="str">
        <f ca="1">IF(AND('Planning Sheet'!CQ312='Weeks Plan'!$D$6,'Planning Sheet'!CK312='Weeks Plan'!$G$6),'Planning Sheet'!$CM312,"")</f>
        <v/>
      </c>
    </row>
    <row r="3766" spans="25:27" x14ac:dyDescent="0.3">
      <c r="Y3766" s="48" t="str">
        <f ca="1">IF(AND('Planning Sheet'!CQ313='Weeks Plan'!$D$6,'Planning Sheet'!CK313='Weeks Plan'!$G$6),'Planning Sheet'!$B313,"")</f>
        <v/>
      </c>
      <c r="Z3766" s="48" t="str">
        <f ca="1">IF(AND('Planning Sheet'!CQ313='Weeks Plan'!$D$6,'Planning Sheet'!CK313='Weeks Plan'!$G$6),'Planning Sheet'!$CL313,"")</f>
        <v/>
      </c>
      <c r="AA3766" s="48" t="str">
        <f ca="1">IF(AND('Planning Sheet'!CQ313='Weeks Plan'!$D$6,'Planning Sheet'!CK313='Weeks Plan'!$G$6),'Planning Sheet'!$CM313,"")</f>
        <v/>
      </c>
    </row>
    <row r="3767" spans="25:27" x14ac:dyDescent="0.3">
      <c r="Y3767" s="48" t="str">
        <f ca="1">IF(AND('Planning Sheet'!CQ314='Weeks Plan'!$D$6,'Planning Sheet'!CK314='Weeks Plan'!$G$6),'Planning Sheet'!$B314,"")</f>
        <v/>
      </c>
      <c r="Z3767" s="48" t="str">
        <f ca="1">IF(AND('Planning Sheet'!CQ314='Weeks Plan'!$D$6,'Planning Sheet'!CK314='Weeks Plan'!$G$6),'Planning Sheet'!$CL314,"")</f>
        <v/>
      </c>
      <c r="AA3767" s="48" t="str">
        <f ca="1">IF(AND('Planning Sheet'!CQ314='Weeks Plan'!$D$6,'Planning Sheet'!CK314='Weeks Plan'!$G$6),'Planning Sheet'!$CM314,"")</f>
        <v/>
      </c>
    </row>
    <row r="3768" spans="25:27" x14ac:dyDescent="0.3">
      <c r="Y3768" s="48" t="str">
        <f ca="1">IF(AND('Planning Sheet'!CQ315='Weeks Plan'!$D$6,'Planning Sheet'!CK315='Weeks Plan'!$G$6),'Planning Sheet'!$B315,"")</f>
        <v/>
      </c>
      <c r="Z3768" s="48" t="str">
        <f ca="1">IF(AND('Planning Sheet'!CQ315='Weeks Plan'!$D$6,'Planning Sheet'!CK315='Weeks Plan'!$G$6),'Planning Sheet'!$CL315,"")</f>
        <v/>
      </c>
      <c r="AA3768" s="48" t="str">
        <f ca="1">IF(AND('Planning Sheet'!CQ315='Weeks Plan'!$D$6,'Planning Sheet'!CK315='Weeks Plan'!$G$6),'Planning Sheet'!$CM315,"")</f>
        <v/>
      </c>
    </row>
    <row r="3769" spans="25:27" x14ac:dyDescent="0.3">
      <c r="Y3769" s="48" t="str">
        <f ca="1">IF(AND('Planning Sheet'!CQ316='Weeks Plan'!$D$6,'Planning Sheet'!CK316='Weeks Plan'!$G$6),'Planning Sheet'!$B316,"")</f>
        <v/>
      </c>
      <c r="Z3769" s="48" t="str">
        <f ca="1">IF(AND('Planning Sheet'!CQ316='Weeks Plan'!$D$6,'Planning Sheet'!CK316='Weeks Plan'!$G$6),'Planning Sheet'!$CL316,"")</f>
        <v/>
      </c>
      <c r="AA3769" s="48" t="str">
        <f ca="1">IF(AND('Planning Sheet'!CQ316='Weeks Plan'!$D$6,'Planning Sheet'!CK316='Weeks Plan'!$G$6),'Planning Sheet'!$CM316,"")</f>
        <v/>
      </c>
    </row>
    <row r="3770" spans="25:27" x14ac:dyDescent="0.3">
      <c r="Y3770" s="48" t="str">
        <f ca="1">IF(AND('Planning Sheet'!CQ317='Weeks Plan'!$D$6,'Planning Sheet'!CK317='Weeks Plan'!$G$6),'Planning Sheet'!$B317,"")</f>
        <v/>
      </c>
      <c r="Z3770" s="48" t="str">
        <f ca="1">IF(AND('Planning Sheet'!CQ317='Weeks Plan'!$D$6,'Planning Sheet'!CK317='Weeks Plan'!$G$6),'Planning Sheet'!$CL317,"")</f>
        <v/>
      </c>
      <c r="AA3770" s="48" t="str">
        <f ca="1">IF(AND('Planning Sheet'!CQ317='Weeks Plan'!$D$6,'Planning Sheet'!CK317='Weeks Plan'!$G$6),'Planning Sheet'!$CM317,"")</f>
        <v/>
      </c>
    </row>
    <row r="3771" spans="25:27" x14ac:dyDescent="0.3">
      <c r="Y3771" s="48" t="str">
        <f ca="1">IF(AND('Planning Sheet'!CQ318='Weeks Plan'!$D$6,'Planning Sheet'!CK318='Weeks Plan'!$G$6),'Planning Sheet'!$B318,"")</f>
        <v/>
      </c>
      <c r="Z3771" s="48" t="str">
        <f ca="1">IF(AND('Planning Sheet'!CQ318='Weeks Plan'!$D$6,'Planning Sheet'!CK318='Weeks Plan'!$G$6),'Planning Sheet'!$CL318,"")</f>
        <v/>
      </c>
      <c r="AA3771" s="48" t="str">
        <f ca="1">IF(AND('Planning Sheet'!CQ318='Weeks Plan'!$D$6,'Planning Sheet'!CK318='Weeks Plan'!$G$6),'Planning Sheet'!$CM318,"")</f>
        <v/>
      </c>
    </row>
    <row r="3772" spans="25:27" x14ac:dyDescent="0.3">
      <c r="Y3772" s="48" t="str">
        <f ca="1">IF(AND('Planning Sheet'!CQ319='Weeks Plan'!$D$6,'Planning Sheet'!CK319='Weeks Plan'!$G$6),'Planning Sheet'!$B319,"")</f>
        <v/>
      </c>
      <c r="Z3772" s="48" t="str">
        <f ca="1">IF(AND('Planning Sheet'!CQ319='Weeks Plan'!$D$6,'Planning Sheet'!CK319='Weeks Plan'!$G$6),'Planning Sheet'!$CL319,"")</f>
        <v/>
      </c>
      <c r="AA3772" s="48" t="str">
        <f ca="1">IF(AND('Planning Sheet'!CQ319='Weeks Plan'!$D$6,'Planning Sheet'!CK319='Weeks Plan'!$G$6),'Planning Sheet'!$CM319,"")</f>
        <v/>
      </c>
    </row>
    <row r="3773" spans="25:27" x14ac:dyDescent="0.3">
      <c r="Y3773" s="48" t="str">
        <f ca="1">IF(AND('Planning Sheet'!CQ320='Weeks Plan'!$D$6,'Planning Sheet'!CK320='Weeks Plan'!$G$6),'Planning Sheet'!$B320,"")</f>
        <v/>
      </c>
      <c r="Z3773" s="48" t="str">
        <f ca="1">IF(AND('Planning Sheet'!CQ320='Weeks Plan'!$D$6,'Planning Sheet'!CK320='Weeks Plan'!$G$6),'Planning Sheet'!$CL320,"")</f>
        <v/>
      </c>
      <c r="AA3773" s="48" t="str">
        <f ca="1">IF(AND('Planning Sheet'!CQ320='Weeks Plan'!$D$6,'Planning Sheet'!CK320='Weeks Plan'!$G$6),'Planning Sheet'!$CM320,"")</f>
        <v/>
      </c>
    </row>
    <row r="3774" spans="25:27" x14ac:dyDescent="0.3">
      <c r="Y3774" s="48" t="str">
        <f ca="1">IF(AND('Planning Sheet'!CQ321='Weeks Plan'!$D$6,'Planning Sheet'!CK321='Weeks Plan'!$G$6),'Planning Sheet'!$B321,"")</f>
        <v/>
      </c>
      <c r="Z3774" s="48" t="str">
        <f ca="1">IF(AND('Planning Sheet'!CQ321='Weeks Plan'!$D$6,'Planning Sheet'!CK321='Weeks Plan'!$G$6),'Planning Sheet'!$CL321,"")</f>
        <v/>
      </c>
      <c r="AA3774" s="48" t="str">
        <f ca="1">IF(AND('Planning Sheet'!CQ321='Weeks Plan'!$D$6,'Planning Sheet'!CK321='Weeks Plan'!$G$6),'Planning Sheet'!$CM321,"")</f>
        <v/>
      </c>
    </row>
    <row r="3775" spans="25:27" x14ac:dyDescent="0.3">
      <c r="Y3775" s="48" t="str">
        <f ca="1">IF(AND('Planning Sheet'!CQ322='Weeks Plan'!$D$6,'Planning Sheet'!CK322='Weeks Plan'!$G$6),'Planning Sheet'!$B322,"")</f>
        <v/>
      </c>
      <c r="Z3775" s="48" t="str">
        <f ca="1">IF(AND('Planning Sheet'!CQ322='Weeks Plan'!$D$6,'Planning Sheet'!CK322='Weeks Plan'!$G$6),'Planning Sheet'!$CL322,"")</f>
        <v/>
      </c>
      <c r="AA3775" s="48" t="str">
        <f ca="1">IF(AND('Planning Sheet'!CQ322='Weeks Plan'!$D$6,'Planning Sheet'!CK322='Weeks Plan'!$G$6),'Planning Sheet'!$CM322,"")</f>
        <v/>
      </c>
    </row>
    <row r="3776" spans="25:27" x14ac:dyDescent="0.3">
      <c r="Y3776" s="48" t="str">
        <f ca="1">IF(AND('Planning Sheet'!CQ323='Weeks Plan'!$D$6,'Planning Sheet'!CK323='Weeks Plan'!$G$6),'Planning Sheet'!$B323,"")</f>
        <v/>
      </c>
      <c r="Z3776" s="48" t="str">
        <f ca="1">IF(AND('Planning Sheet'!CQ323='Weeks Plan'!$D$6,'Planning Sheet'!CK323='Weeks Plan'!$G$6),'Planning Sheet'!$CL323,"")</f>
        <v/>
      </c>
      <c r="AA3776" s="48" t="str">
        <f ca="1">IF(AND('Planning Sheet'!CQ323='Weeks Plan'!$D$6,'Planning Sheet'!CK323='Weeks Plan'!$G$6),'Planning Sheet'!$CM323,"")</f>
        <v/>
      </c>
    </row>
    <row r="3777" spans="25:27" x14ac:dyDescent="0.3">
      <c r="Y3777" s="48" t="str">
        <f ca="1">IF(AND('Planning Sheet'!CQ324='Weeks Plan'!$D$6,'Planning Sheet'!CK324='Weeks Plan'!$G$6),'Planning Sheet'!$B324,"")</f>
        <v/>
      </c>
      <c r="Z3777" s="48" t="str">
        <f ca="1">IF(AND('Planning Sheet'!CQ324='Weeks Plan'!$D$6,'Planning Sheet'!CK324='Weeks Plan'!$G$6),'Planning Sheet'!$CL324,"")</f>
        <v/>
      </c>
      <c r="AA3777" s="48" t="str">
        <f ca="1">IF(AND('Planning Sheet'!CQ324='Weeks Plan'!$D$6,'Planning Sheet'!CK324='Weeks Plan'!$G$6),'Planning Sheet'!$CM324,"")</f>
        <v/>
      </c>
    </row>
    <row r="3778" spans="25:27" x14ac:dyDescent="0.3">
      <c r="Y3778" s="48" t="str">
        <f ca="1">IF(AND('Planning Sheet'!CQ325='Weeks Plan'!$D$6,'Planning Sheet'!CK325='Weeks Plan'!$G$6),'Planning Sheet'!$B325,"")</f>
        <v/>
      </c>
      <c r="Z3778" s="48" t="str">
        <f ca="1">IF(AND('Planning Sheet'!CQ325='Weeks Plan'!$D$6,'Planning Sheet'!CK325='Weeks Plan'!$G$6),'Planning Sheet'!$CL325,"")</f>
        <v/>
      </c>
      <c r="AA3778" s="48" t="str">
        <f ca="1">IF(AND('Planning Sheet'!CQ325='Weeks Plan'!$D$6,'Planning Sheet'!CK325='Weeks Plan'!$G$6),'Planning Sheet'!$CM325,"")</f>
        <v/>
      </c>
    </row>
    <row r="3779" spans="25:27" x14ac:dyDescent="0.3">
      <c r="Y3779" s="48" t="str">
        <f ca="1">IF(AND('Planning Sheet'!CQ326='Weeks Plan'!$D$6,'Planning Sheet'!CK326='Weeks Plan'!$G$6),'Planning Sheet'!$B326,"")</f>
        <v/>
      </c>
      <c r="Z3779" s="48" t="str">
        <f ca="1">IF(AND('Planning Sheet'!CQ326='Weeks Plan'!$D$6,'Planning Sheet'!CK326='Weeks Plan'!$G$6),'Planning Sheet'!$CL326,"")</f>
        <v/>
      </c>
      <c r="AA3779" s="48" t="str">
        <f ca="1">IF(AND('Planning Sheet'!CQ326='Weeks Plan'!$D$6,'Planning Sheet'!CK326='Weeks Plan'!$G$6),'Planning Sheet'!$CM326,"")</f>
        <v/>
      </c>
    </row>
    <row r="3780" spans="25:27" x14ac:dyDescent="0.3">
      <c r="Y3780" s="48" t="str">
        <f ca="1">IF(AND('Planning Sheet'!CQ327='Weeks Plan'!$D$6,'Planning Sheet'!CK327='Weeks Plan'!$G$6),'Planning Sheet'!$B327,"")</f>
        <v/>
      </c>
      <c r="Z3780" s="48" t="str">
        <f ca="1">IF(AND('Planning Sheet'!CQ327='Weeks Plan'!$D$6,'Planning Sheet'!CK327='Weeks Plan'!$G$6),'Planning Sheet'!$CL327,"")</f>
        <v/>
      </c>
      <c r="AA3780" s="48" t="str">
        <f ca="1">IF(AND('Planning Sheet'!CQ327='Weeks Plan'!$D$6,'Planning Sheet'!CK327='Weeks Plan'!$G$6),'Planning Sheet'!$CM327,"")</f>
        <v/>
      </c>
    </row>
    <row r="3781" spans="25:27" x14ac:dyDescent="0.3">
      <c r="Y3781" s="48" t="str">
        <f ca="1">IF(AND('Planning Sheet'!CQ328='Weeks Plan'!$D$6,'Planning Sheet'!CK328='Weeks Plan'!$G$6),'Planning Sheet'!$B328,"")</f>
        <v/>
      </c>
      <c r="Z3781" s="48" t="str">
        <f ca="1">IF(AND('Planning Sheet'!CQ328='Weeks Plan'!$D$6,'Planning Sheet'!CK328='Weeks Plan'!$G$6),'Planning Sheet'!$CL328,"")</f>
        <v/>
      </c>
      <c r="AA3781" s="48" t="str">
        <f ca="1">IF(AND('Planning Sheet'!CQ328='Weeks Plan'!$D$6,'Planning Sheet'!CK328='Weeks Plan'!$G$6),'Planning Sheet'!$CM328,"")</f>
        <v/>
      </c>
    </row>
    <row r="3782" spans="25:27" x14ac:dyDescent="0.3">
      <c r="Y3782" s="48" t="str">
        <f ca="1">IF(AND('Planning Sheet'!CQ329='Weeks Plan'!$D$6,'Planning Sheet'!CK329='Weeks Plan'!$G$6),'Planning Sheet'!$B329,"")</f>
        <v/>
      </c>
      <c r="Z3782" s="48" t="str">
        <f ca="1">IF(AND('Planning Sheet'!CQ329='Weeks Plan'!$D$6,'Planning Sheet'!CK329='Weeks Plan'!$G$6),'Planning Sheet'!$CL329,"")</f>
        <v/>
      </c>
      <c r="AA3782" s="48" t="str">
        <f ca="1">IF(AND('Planning Sheet'!CQ329='Weeks Plan'!$D$6,'Planning Sheet'!CK329='Weeks Plan'!$G$6),'Planning Sheet'!$CM329,"")</f>
        <v/>
      </c>
    </row>
    <row r="3783" spans="25:27" x14ac:dyDescent="0.3">
      <c r="Y3783" s="48" t="str">
        <f ca="1">IF(AND('Planning Sheet'!CQ330='Weeks Plan'!$D$6,'Planning Sheet'!CK330='Weeks Plan'!$G$6),'Planning Sheet'!$B330,"")</f>
        <v/>
      </c>
      <c r="Z3783" s="48" t="str">
        <f ca="1">IF(AND('Planning Sheet'!CQ330='Weeks Plan'!$D$6,'Planning Sheet'!CK330='Weeks Plan'!$G$6),'Planning Sheet'!$CL330,"")</f>
        <v/>
      </c>
      <c r="AA3783" s="48" t="str">
        <f ca="1">IF(AND('Planning Sheet'!CQ330='Weeks Plan'!$D$6,'Planning Sheet'!CK330='Weeks Plan'!$G$6),'Planning Sheet'!$CM330,"")</f>
        <v/>
      </c>
    </row>
    <row r="3784" spans="25:27" x14ac:dyDescent="0.3">
      <c r="Y3784" s="48" t="str">
        <f ca="1">IF(AND('Planning Sheet'!CQ331='Weeks Plan'!$D$6,'Planning Sheet'!CK331='Weeks Plan'!$G$6),'Planning Sheet'!$B331,"")</f>
        <v/>
      </c>
      <c r="Z3784" s="48" t="str">
        <f ca="1">IF(AND('Planning Sheet'!CQ331='Weeks Plan'!$D$6,'Planning Sheet'!CK331='Weeks Plan'!$G$6),'Planning Sheet'!$CL331,"")</f>
        <v/>
      </c>
      <c r="AA3784" s="48" t="str">
        <f ca="1">IF(AND('Planning Sheet'!CQ331='Weeks Plan'!$D$6,'Planning Sheet'!CK331='Weeks Plan'!$G$6),'Planning Sheet'!$CM331,"")</f>
        <v/>
      </c>
    </row>
    <row r="3785" spans="25:27" x14ac:dyDescent="0.3">
      <c r="Y3785" s="48" t="str">
        <f ca="1">IF(AND('Planning Sheet'!CQ332='Weeks Plan'!$D$6,'Planning Sheet'!CK332='Weeks Plan'!$G$6),'Planning Sheet'!$B332,"")</f>
        <v/>
      </c>
      <c r="Z3785" s="48" t="str">
        <f ca="1">IF(AND('Planning Sheet'!CQ332='Weeks Plan'!$D$6,'Planning Sheet'!CK332='Weeks Plan'!$G$6),'Planning Sheet'!$CL332,"")</f>
        <v/>
      </c>
      <c r="AA3785" s="48" t="str">
        <f ca="1">IF(AND('Planning Sheet'!CQ332='Weeks Plan'!$D$6,'Planning Sheet'!CK332='Weeks Plan'!$G$6),'Planning Sheet'!$CM332,"")</f>
        <v/>
      </c>
    </row>
    <row r="3786" spans="25:27" x14ac:dyDescent="0.3">
      <c r="Y3786" s="48" t="str">
        <f ca="1">IF(AND('Planning Sheet'!CQ333='Weeks Plan'!$D$6,'Planning Sheet'!CK333='Weeks Plan'!$G$6),'Planning Sheet'!$B333,"")</f>
        <v/>
      </c>
      <c r="Z3786" s="48" t="str">
        <f ca="1">IF(AND('Planning Sheet'!CQ333='Weeks Plan'!$D$6,'Planning Sheet'!CK333='Weeks Plan'!$G$6),'Planning Sheet'!$CL333,"")</f>
        <v/>
      </c>
      <c r="AA3786" s="48" t="str">
        <f ca="1">IF(AND('Planning Sheet'!CQ333='Weeks Plan'!$D$6,'Planning Sheet'!CK333='Weeks Plan'!$G$6),'Planning Sheet'!$CM333,"")</f>
        <v/>
      </c>
    </row>
    <row r="3787" spans="25:27" x14ac:dyDescent="0.3">
      <c r="Y3787" s="48" t="str">
        <f ca="1">IF(AND('Planning Sheet'!CQ334='Weeks Plan'!$D$6,'Planning Sheet'!CK334='Weeks Plan'!$G$6),'Planning Sheet'!$B334,"")</f>
        <v/>
      </c>
      <c r="Z3787" s="48" t="str">
        <f ca="1">IF(AND('Planning Sheet'!CQ334='Weeks Plan'!$D$6,'Planning Sheet'!CK334='Weeks Plan'!$G$6),'Planning Sheet'!$CL334,"")</f>
        <v/>
      </c>
      <c r="AA3787" s="48" t="str">
        <f ca="1">IF(AND('Planning Sheet'!CQ334='Weeks Plan'!$D$6,'Planning Sheet'!CK334='Weeks Plan'!$G$6),'Planning Sheet'!$CM334,"")</f>
        <v/>
      </c>
    </row>
    <row r="3788" spans="25:27" x14ac:dyDescent="0.3">
      <c r="Y3788" s="48" t="str">
        <f ca="1">IF(AND('Planning Sheet'!CQ335='Weeks Plan'!$D$6,'Planning Sheet'!CK335='Weeks Plan'!$G$6),'Planning Sheet'!$B335,"")</f>
        <v/>
      </c>
      <c r="Z3788" s="48" t="str">
        <f ca="1">IF(AND('Planning Sheet'!CQ335='Weeks Plan'!$D$6,'Planning Sheet'!CK335='Weeks Plan'!$G$6),'Planning Sheet'!$CL335,"")</f>
        <v/>
      </c>
      <c r="AA3788" s="48" t="str">
        <f ca="1">IF(AND('Planning Sheet'!CQ335='Weeks Plan'!$D$6,'Planning Sheet'!CK335='Weeks Plan'!$G$6),'Planning Sheet'!$CM335,"")</f>
        <v/>
      </c>
    </row>
    <row r="3789" spans="25:27" x14ac:dyDescent="0.3">
      <c r="Y3789" s="48" t="str">
        <f ca="1">IF(AND('Planning Sheet'!CQ336='Weeks Plan'!$D$6,'Planning Sheet'!CK336='Weeks Plan'!$G$6),'Planning Sheet'!$B336,"")</f>
        <v/>
      </c>
      <c r="Z3789" s="48" t="str">
        <f ca="1">IF(AND('Planning Sheet'!CQ336='Weeks Plan'!$D$6,'Planning Sheet'!CK336='Weeks Plan'!$G$6),'Planning Sheet'!$CL336,"")</f>
        <v/>
      </c>
      <c r="AA3789" s="48" t="str">
        <f ca="1">IF(AND('Planning Sheet'!CQ336='Weeks Plan'!$D$6,'Planning Sheet'!CK336='Weeks Plan'!$G$6),'Planning Sheet'!$CM336,"")</f>
        <v/>
      </c>
    </row>
    <row r="3790" spans="25:27" x14ac:dyDescent="0.3">
      <c r="Y3790" s="48" t="str">
        <f ca="1">IF(AND('Planning Sheet'!CQ337='Weeks Plan'!$D$6,'Planning Sheet'!CK337='Weeks Plan'!$G$6),'Planning Sheet'!$B337,"")</f>
        <v/>
      </c>
      <c r="Z3790" s="48" t="str">
        <f ca="1">IF(AND('Planning Sheet'!CQ337='Weeks Plan'!$D$6,'Planning Sheet'!CK337='Weeks Plan'!$G$6),'Planning Sheet'!$CL337,"")</f>
        <v/>
      </c>
      <c r="AA3790" s="48" t="str">
        <f ca="1">IF(AND('Planning Sheet'!CQ337='Weeks Plan'!$D$6,'Planning Sheet'!CK337='Weeks Plan'!$G$6),'Planning Sheet'!$CM337,"")</f>
        <v/>
      </c>
    </row>
    <row r="3791" spans="25:27" x14ac:dyDescent="0.3">
      <c r="Y3791" s="48" t="str">
        <f ca="1">IF(AND('Planning Sheet'!CQ338='Weeks Plan'!$D$6,'Planning Sheet'!CK338='Weeks Plan'!$G$6),'Planning Sheet'!$B338,"")</f>
        <v/>
      </c>
      <c r="Z3791" s="48" t="str">
        <f ca="1">IF(AND('Planning Sheet'!CQ338='Weeks Plan'!$D$6,'Planning Sheet'!CK338='Weeks Plan'!$G$6),'Planning Sheet'!$CL338,"")</f>
        <v/>
      </c>
      <c r="AA3791" s="48" t="str">
        <f ca="1">IF(AND('Planning Sheet'!CQ338='Weeks Plan'!$D$6,'Planning Sheet'!CK338='Weeks Plan'!$G$6),'Planning Sheet'!$CM338,"")</f>
        <v/>
      </c>
    </row>
    <row r="3792" spans="25:27" x14ac:dyDescent="0.3">
      <c r="Y3792" s="48" t="str">
        <f ca="1">IF(AND('Planning Sheet'!CQ339='Weeks Plan'!$D$6,'Planning Sheet'!CK339='Weeks Plan'!$G$6),'Planning Sheet'!$B339,"")</f>
        <v/>
      </c>
      <c r="Z3792" s="48" t="str">
        <f ca="1">IF(AND('Planning Sheet'!CQ339='Weeks Plan'!$D$6,'Planning Sheet'!CK339='Weeks Plan'!$G$6),'Planning Sheet'!$CL339,"")</f>
        <v/>
      </c>
      <c r="AA3792" s="48" t="str">
        <f ca="1">IF(AND('Planning Sheet'!CQ339='Weeks Plan'!$D$6,'Planning Sheet'!CK339='Weeks Plan'!$G$6),'Planning Sheet'!$CM339,"")</f>
        <v/>
      </c>
    </row>
    <row r="3793" spans="25:27" x14ac:dyDescent="0.3">
      <c r="Y3793" s="48" t="str">
        <f ca="1">IF(AND('Planning Sheet'!CQ340='Weeks Plan'!$D$6,'Planning Sheet'!CK340='Weeks Plan'!$G$6),'Planning Sheet'!$B340,"")</f>
        <v/>
      </c>
      <c r="Z3793" s="48" t="str">
        <f ca="1">IF(AND('Planning Sheet'!CQ340='Weeks Plan'!$D$6,'Planning Sheet'!CK340='Weeks Plan'!$G$6),'Planning Sheet'!$CL340,"")</f>
        <v/>
      </c>
      <c r="AA3793" s="48" t="str">
        <f ca="1">IF(AND('Planning Sheet'!CQ340='Weeks Plan'!$D$6,'Planning Sheet'!CK340='Weeks Plan'!$G$6),'Planning Sheet'!$CM340,"")</f>
        <v/>
      </c>
    </row>
    <row r="3794" spans="25:27" x14ac:dyDescent="0.3">
      <c r="Y3794" s="48" t="str">
        <f ca="1">IF(AND('Planning Sheet'!CQ341='Weeks Plan'!$D$6,'Planning Sheet'!CK341='Weeks Plan'!$G$6),'Planning Sheet'!$B341,"")</f>
        <v/>
      </c>
      <c r="Z3794" s="48" t="str">
        <f ca="1">IF(AND('Planning Sheet'!CQ341='Weeks Plan'!$D$6,'Planning Sheet'!CK341='Weeks Plan'!$G$6),'Planning Sheet'!$CL341,"")</f>
        <v/>
      </c>
      <c r="AA3794" s="48" t="str">
        <f ca="1">IF(AND('Planning Sheet'!CQ341='Weeks Plan'!$D$6,'Planning Sheet'!CK341='Weeks Plan'!$G$6),'Planning Sheet'!$CM341,"")</f>
        <v/>
      </c>
    </row>
    <row r="3795" spans="25:27" x14ac:dyDescent="0.3">
      <c r="Y3795" s="48" t="str">
        <f ca="1">IF(AND('Planning Sheet'!CQ342='Weeks Plan'!$D$6,'Planning Sheet'!CK342='Weeks Plan'!$G$6),'Planning Sheet'!$B342,"")</f>
        <v/>
      </c>
      <c r="Z3795" s="48" t="str">
        <f ca="1">IF(AND('Planning Sheet'!CQ342='Weeks Plan'!$D$6,'Planning Sheet'!CK342='Weeks Plan'!$G$6),'Planning Sheet'!$CL342,"")</f>
        <v/>
      </c>
      <c r="AA3795" s="48" t="str">
        <f ca="1">IF(AND('Planning Sheet'!CQ342='Weeks Plan'!$D$6,'Planning Sheet'!CK342='Weeks Plan'!$G$6),'Planning Sheet'!$CM342,"")</f>
        <v/>
      </c>
    </row>
    <row r="3796" spans="25:27" x14ac:dyDescent="0.3">
      <c r="Y3796" s="48" t="str">
        <f ca="1">IF(AND('Planning Sheet'!CQ343='Weeks Plan'!$D$6,'Planning Sheet'!CK343='Weeks Plan'!$G$6),'Planning Sheet'!$B343,"")</f>
        <v/>
      </c>
      <c r="Z3796" s="48" t="str">
        <f ca="1">IF(AND('Planning Sheet'!CQ343='Weeks Plan'!$D$6,'Planning Sheet'!CK343='Weeks Plan'!$G$6),'Planning Sheet'!$CL343,"")</f>
        <v/>
      </c>
      <c r="AA3796" s="48" t="str">
        <f ca="1">IF(AND('Planning Sheet'!CQ343='Weeks Plan'!$D$6,'Planning Sheet'!CK343='Weeks Plan'!$G$6),'Planning Sheet'!$CM343,"")</f>
        <v/>
      </c>
    </row>
    <row r="3797" spans="25:27" x14ac:dyDescent="0.3">
      <c r="Y3797" s="48" t="str">
        <f ca="1">IF(AND('Planning Sheet'!CQ344='Weeks Plan'!$D$6,'Planning Sheet'!CK344='Weeks Plan'!$G$6),'Planning Sheet'!$B344,"")</f>
        <v/>
      </c>
      <c r="Z3797" s="48" t="str">
        <f ca="1">IF(AND('Planning Sheet'!CQ344='Weeks Plan'!$D$6,'Planning Sheet'!CK344='Weeks Plan'!$G$6),'Planning Sheet'!$CL344,"")</f>
        <v/>
      </c>
      <c r="AA3797" s="48" t="str">
        <f ca="1">IF(AND('Planning Sheet'!CQ344='Weeks Plan'!$D$6,'Planning Sheet'!CK344='Weeks Plan'!$G$6),'Planning Sheet'!$CM344,"")</f>
        <v/>
      </c>
    </row>
    <row r="3798" spans="25:27" x14ac:dyDescent="0.3">
      <c r="Y3798" s="48" t="str">
        <f ca="1">IF(AND('Planning Sheet'!CQ345='Weeks Plan'!$D$6,'Planning Sheet'!CK345='Weeks Plan'!$G$6),'Planning Sheet'!$B345,"")</f>
        <v/>
      </c>
      <c r="Z3798" s="48" t="str">
        <f ca="1">IF(AND('Planning Sheet'!CQ345='Weeks Plan'!$D$6,'Planning Sheet'!CK345='Weeks Plan'!$G$6),'Planning Sheet'!$CL345,"")</f>
        <v/>
      </c>
      <c r="AA3798" s="48" t="str">
        <f ca="1">IF(AND('Planning Sheet'!CQ345='Weeks Plan'!$D$6,'Planning Sheet'!CK345='Weeks Plan'!$G$6),'Planning Sheet'!$CM345,"")</f>
        <v/>
      </c>
    </row>
    <row r="3799" spans="25:27" x14ac:dyDescent="0.3">
      <c r="Y3799" s="48" t="str">
        <f ca="1">IF(AND('Planning Sheet'!CQ346='Weeks Plan'!$D$6,'Planning Sheet'!CK346='Weeks Plan'!$G$6),'Planning Sheet'!$B346,"")</f>
        <v/>
      </c>
      <c r="Z3799" s="48" t="str">
        <f ca="1">IF(AND('Planning Sheet'!CQ346='Weeks Plan'!$D$6,'Planning Sheet'!CK346='Weeks Plan'!$G$6),'Planning Sheet'!$CL346,"")</f>
        <v/>
      </c>
      <c r="AA3799" s="48" t="str">
        <f ca="1">IF(AND('Planning Sheet'!CQ346='Weeks Plan'!$D$6,'Planning Sheet'!CK346='Weeks Plan'!$G$6),'Planning Sheet'!$CM346,"")</f>
        <v/>
      </c>
    </row>
    <row r="3800" spans="25:27" x14ac:dyDescent="0.3">
      <c r="Y3800" s="48" t="str">
        <f ca="1">IF(AND('Planning Sheet'!CQ347='Weeks Plan'!$D$6,'Planning Sheet'!CK347='Weeks Plan'!$G$6),'Planning Sheet'!$B347,"")</f>
        <v/>
      </c>
      <c r="Z3800" s="48" t="str">
        <f ca="1">IF(AND('Planning Sheet'!CQ347='Weeks Plan'!$D$6,'Planning Sheet'!CK347='Weeks Plan'!$G$6),'Planning Sheet'!$CL347,"")</f>
        <v/>
      </c>
      <c r="AA3800" s="48" t="str">
        <f ca="1">IF(AND('Planning Sheet'!CQ347='Weeks Plan'!$D$6,'Planning Sheet'!CK347='Weeks Plan'!$G$6),'Planning Sheet'!$CM347,"")</f>
        <v/>
      </c>
    </row>
    <row r="3801" spans="25:27" x14ac:dyDescent="0.3">
      <c r="Y3801" s="48" t="str">
        <f ca="1">IF(AND('Planning Sheet'!CQ348='Weeks Plan'!$D$6,'Planning Sheet'!CK348='Weeks Plan'!$G$6),'Planning Sheet'!$B348,"")</f>
        <v/>
      </c>
      <c r="Z3801" s="48" t="str">
        <f ca="1">IF(AND('Planning Sheet'!CQ348='Weeks Plan'!$D$6,'Planning Sheet'!CK348='Weeks Plan'!$G$6),'Planning Sheet'!$CL348,"")</f>
        <v/>
      </c>
      <c r="AA3801" s="48" t="str">
        <f ca="1">IF(AND('Planning Sheet'!CQ348='Weeks Plan'!$D$6,'Planning Sheet'!CK348='Weeks Plan'!$G$6),'Planning Sheet'!$CM348,"")</f>
        <v/>
      </c>
    </row>
    <row r="3802" spans="25:27" x14ac:dyDescent="0.3">
      <c r="Y3802" s="48" t="str">
        <f ca="1">IF(AND('Planning Sheet'!CQ349='Weeks Plan'!$D$6,'Planning Sheet'!CK349='Weeks Plan'!$G$6),'Planning Sheet'!$B349,"")</f>
        <v/>
      </c>
      <c r="Z3802" s="48" t="str">
        <f ca="1">IF(AND('Planning Sheet'!CQ349='Weeks Plan'!$D$6,'Planning Sheet'!CK349='Weeks Plan'!$G$6),'Planning Sheet'!$CL349,"")</f>
        <v/>
      </c>
      <c r="AA3802" s="48" t="str">
        <f ca="1">IF(AND('Planning Sheet'!CQ349='Weeks Plan'!$D$6,'Planning Sheet'!CK349='Weeks Plan'!$G$6),'Planning Sheet'!$CM349,"")</f>
        <v/>
      </c>
    </row>
    <row r="3803" spans="25:27" x14ac:dyDescent="0.3">
      <c r="Y3803" s="48" t="str">
        <f ca="1">IF(AND('Planning Sheet'!CQ350='Weeks Plan'!$D$6,'Planning Sheet'!CK350='Weeks Plan'!$G$6),'Planning Sheet'!$B350,"")</f>
        <v/>
      </c>
      <c r="Z3803" s="48" t="str">
        <f ca="1">IF(AND('Planning Sheet'!CQ350='Weeks Plan'!$D$6,'Planning Sheet'!CK350='Weeks Plan'!$G$6),'Planning Sheet'!$CL350,"")</f>
        <v/>
      </c>
      <c r="AA3803" s="48" t="str">
        <f ca="1">IF(AND('Planning Sheet'!CQ350='Weeks Plan'!$D$6,'Planning Sheet'!CK350='Weeks Plan'!$G$6),'Planning Sheet'!$CM350,"")</f>
        <v/>
      </c>
    </row>
    <row r="3804" spans="25:27" x14ac:dyDescent="0.3">
      <c r="Y3804" s="48" t="str">
        <f ca="1">IF(AND('Planning Sheet'!CQ351='Weeks Plan'!$D$6,'Planning Sheet'!CK351='Weeks Plan'!$G$6),'Planning Sheet'!$B351,"")</f>
        <v/>
      </c>
      <c r="Z3804" s="48" t="str">
        <f ca="1">IF(AND('Planning Sheet'!CQ351='Weeks Plan'!$D$6,'Planning Sheet'!CK351='Weeks Plan'!$G$6),'Planning Sheet'!$CL351,"")</f>
        <v/>
      </c>
      <c r="AA3804" s="48" t="str">
        <f ca="1">IF(AND('Planning Sheet'!CQ351='Weeks Plan'!$D$6,'Planning Sheet'!CK351='Weeks Plan'!$G$6),'Planning Sheet'!$CM351,"")</f>
        <v/>
      </c>
    </row>
    <row r="3805" spans="25:27" x14ac:dyDescent="0.3">
      <c r="Y3805" s="48" t="str">
        <f ca="1">IF(AND('Planning Sheet'!CQ352='Weeks Plan'!$D$6,'Planning Sheet'!CK352='Weeks Plan'!$G$6),'Planning Sheet'!$B352,"")</f>
        <v/>
      </c>
      <c r="Z3805" s="48" t="str">
        <f ca="1">IF(AND('Planning Sheet'!CQ352='Weeks Plan'!$D$6,'Planning Sheet'!CK352='Weeks Plan'!$G$6),'Planning Sheet'!$CL352,"")</f>
        <v/>
      </c>
      <c r="AA3805" s="48" t="str">
        <f ca="1">IF(AND('Planning Sheet'!CQ352='Weeks Plan'!$D$6,'Planning Sheet'!CK352='Weeks Plan'!$G$6),'Planning Sheet'!$CM352,"")</f>
        <v/>
      </c>
    </row>
    <row r="3806" spans="25:27" x14ac:dyDescent="0.3">
      <c r="Y3806" s="48" t="str">
        <f ca="1">IF(AND('Planning Sheet'!CQ353='Weeks Plan'!$D$6,'Planning Sheet'!CK353='Weeks Plan'!$G$6),'Planning Sheet'!$B353,"")</f>
        <v/>
      </c>
      <c r="Z3806" s="48" t="str">
        <f ca="1">IF(AND('Planning Sheet'!CQ353='Weeks Plan'!$D$6,'Planning Sheet'!CK353='Weeks Plan'!$G$6),'Planning Sheet'!$CL353,"")</f>
        <v/>
      </c>
      <c r="AA3806" s="48" t="str">
        <f ca="1">IF(AND('Planning Sheet'!CQ353='Weeks Plan'!$D$6,'Planning Sheet'!CK353='Weeks Plan'!$G$6),'Planning Sheet'!$CM353,"")</f>
        <v/>
      </c>
    </row>
    <row r="3807" spans="25:27" x14ac:dyDescent="0.3">
      <c r="Y3807" s="48" t="str">
        <f ca="1">IF(AND('Planning Sheet'!CQ354='Weeks Plan'!$D$6,'Planning Sheet'!CK354='Weeks Plan'!$G$6),'Planning Sheet'!$B354,"")</f>
        <v/>
      </c>
      <c r="Z3807" s="48" t="str">
        <f ca="1">IF(AND('Planning Sheet'!CQ354='Weeks Plan'!$D$6,'Planning Sheet'!CK354='Weeks Plan'!$G$6),'Planning Sheet'!$CL354,"")</f>
        <v/>
      </c>
      <c r="AA3807" s="48" t="str">
        <f ca="1">IF(AND('Planning Sheet'!CQ354='Weeks Plan'!$D$6,'Planning Sheet'!CK354='Weeks Plan'!$G$6),'Planning Sheet'!$CM354,"")</f>
        <v/>
      </c>
    </row>
    <row r="3808" spans="25:27" x14ac:dyDescent="0.3">
      <c r="Y3808" s="48" t="str">
        <f ca="1">IF(AND('Planning Sheet'!CQ355='Weeks Plan'!$D$6,'Planning Sheet'!CK355='Weeks Plan'!$G$6),'Planning Sheet'!$B355,"")</f>
        <v/>
      </c>
      <c r="Z3808" s="48" t="str">
        <f ca="1">IF(AND('Planning Sheet'!CQ355='Weeks Plan'!$D$6,'Planning Sheet'!CK355='Weeks Plan'!$G$6),'Planning Sheet'!$CL355,"")</f>
        <v/>
      </c>
      <c r="AA3808" s="48" t="str">
        <f ca="1">IF(AND('Planning Sheet'!CQ355='Weeks Plan'!$D$6,'Planning Sheet'!CK355='Weeks Plan'!$G$6),'Planning Sheet'!$CM355,"")</f>
        <v/>
      </c>
    </row>
    <row r="3809" spans="25:27" x14ac:dyDescent="0.3">
      <c r="Y3809" s="48" t="str">
        <f ca="1">IF(AND('Planning Sheet'!CQ356='Weeks Plan'!$D$6,'Planning Sheet'!CK356='Weeks Plan'!$G$6),'Planning Sheet'!$B356,"")</f>
        <v/>
      </c>
      <c r="Z3809" s="48" t="str">
        <f ca="1">IF(AND('Planning Sheet'!CQ356='Weeks Plan'!$D$6,'Planning Sheet'!CK356='Weeks Plan'!$G$6),'Planning Sheet'!$CL356,"")</f>
        <v/>
      </c>
      <c r="AA3809" s="48" t="str">
        <f ca="1">IF(AND('Planning Sheet'!CQ356='Weeks Plan'!$D$6,'Planning Sheet'!CK356='Weeks Plan'!$G$6),'Planning Sheet'!$CM356,"")</f>
        <v/>
      </c>
    </row>
    <row r="3810" spans="25:27" x14ac:dyDescent="0.3">
      <c r="Y3810" s="48" t="str">
        <f ca="1">IF(AND('Planning Sheet'!CQ357='Weeks Plan'!$D$6,'Planning Sheet'!CK357='Weeks Plan'!$G$6),'Planning Sheet'!$B357,"")</f>
        <v/>
      </c>
      <c r="Z3810" s="48" t="str">
        <f ca="1">IF(AND('Planning Sheet'!CQ357='Weeks Plan'!$D$6,'Planning Sheet'!CK357='Weeks Plan'!$G$6),'Planning Sheet'!$CL357,"")</f>
        <v/>
      </c>
      <c r="AA3810" s="48" t="str">
        <f ca="1">IF(AND('Planning Sheet'!CQ357='Weeks Plan'!$D$6,'Planning Sheet'!CK357='Weeks Plan'!$G$6),'Planning Sheet'!$CM357,"")</f>
        <v/>
      </c>
    </row>
    <row r="3811" spans="25:27" x14ac:dyDescent="0.3">
      <c r="Y3811" s="48" t="str">
        <f ca="1">IF(AND('Planning Sheet'!CQ358='Weeks Plan'!$D$6,'Planning Sheet'!CK358='Weeks Plan'!$G$6),'Planning Sheet'!$B358,"")</f>
        <v/>
      </c>
      <c r="Z3811" s="48" t="str">
        <f ca="1">IF(AND('Planning Sheet'!CQ358='Weeks Plan'!$D$6,'Planning Sheet'!CK358='Weeks Plan'!$G$6),'Planning Sheet'!$CL358,"")</f>
        <v/>
      </c>
      <c r="AA3811" s="48" t="str">
        <f ca="1">IF(AND('Planning Sheet'!CQ358='Weeks Plan'!$D$6,'Planning Sheet'!CK358='Weeks Plan'!$G$6),'Planning Sheet'!$CM358,"")</f>
        <v/>
      </c>
    </row>
    <row r="3812" spans="25:27" x14ac:dyDescent="0.3">
      <c r="Y3812" s="48" t="str">
        <f ca="1">IF(AND('Planning Sheet'!CQ359='Weeks Plan'!$D$6,'Planning Sheet'!CK359='Weeks Plan'!$G$6),'Planning Sheet'!$B359,"")</f>
        <v/>
      </c>
      <c r="Z3812" s="48" t="str">
        <f ca="1">IF(AND('Planning Sheet'!CQ359='Weeks Plan'!$D$6,'Planning Sheet'!CK359='Weeks Plan'!$G$6),'Planning Sheet'!$CL359,"")</f>
        <v/>
      </c>
      <c r="AA3812" s="48" t="str">
        <f ca="1">IF(AND('Planning Sheet'!CQ359='Weeks Plan'!$D$6,'Planning Sheet'!CK359='Weeks Plan'!$G$6),'Planning Sheet'!$CM359,"")</f>
        <v/>
      </c>
    </row>
    <row r="3813" spans="25:27" x14ac:dyDescent="0.3">
      <c r="Y3813" s="48" t="str">
        <f ca="1">IF(AND('Planning Sheet'!CQ360='Weeks Plan'!$D$6,'Planning Sheet'!CK360='Weeks Plan'!$G$6),'Planning Sheet'!$B360,"")</f>
        <v/>
      </c>
      <c r="Z3813" s="48" t="str">
        <f ca="1">IF(AND('Planning Sheet'!CQ360='Weeks Plan'!$D$6,'Planning Sheet'!CK360='Weeks Plan'!$G$6),'Planning Sheet'!$CL360,"")</f>
        <v/>
      </c>
      <c r="AA3813" s="48" t="str">
        <f ca="1">IF(AND('Planning Sheet'!CQ360='Weeks Plan'!$D$6,'Planning Sheet'!CK360='Weeks Plan'!$G$6),'Planning Sheet'!$CM360,"")</f>
        <v/>
      </c>
    </row>
    <row r="3814" spans="25:27" x14ac:dyDescent="0.3">
      <c r="Y3814" s="48" t="str">
        <f ca="1">IF(AND('Planning Sheet'!CQ361='Weeks Plan'!$D$6,'Planning Sheet'!CK361='Weeks Plan'!$G$6),'Planning Sheet'!$B361,"")</f>
        <v/>
      </c>
      <c r="Z3814" s="48" t="str">
        <f ca="1">IF(AND('Planning Sheet'!CQ361='Weeks Plan'!$D$6,'Planning Sheet'!CK361='Weeks Plan'!$G$6),'Planning Sheet'!$CL361,"")</f>
        <v/>
      </c>
      <c r="AA3814" s="48" t="str">
        <f ca="1">IF(AND('Planning Sheet'!CQ361='Weeks Plan'!$D$6,'Planning Sheet'!CK361='Weeks Plan'!$G$6),'Planning Sheet'!$CM361,"")</f>
        <v/>
      </c>
    </row>
    <row r="3815" spans="25:27" x14ac:dyDescent="0.3">
      <c r="Y3815" s="48" t="str">
        <f ca="1">IF(AND('Planning Sheet'!CQ362='Weeks Plan'!$D$6,'Planning Sheet'!CK362='Weeks Plan'!$G$6),'Planning Sheet'!$B362,"")</f>
        <v/>
      </c>
      <c r="Z3815" s="48" t="str">
        <f ca="1">IF(AND('Planning Sheet'!CQ362='Weeks Plan'!$D$6,'Planning Sheet'!CK362='Weeks Plan'!$G$6),'Planning Sheet'!$CL362,"")</f>
        <v/>
      </c>
      <c r="AA3815" s="48" t="str">
        <f ca="1">IF(AND('Planning Sheet'!CQ362='Weeks Plan'!$D$6,'Planning Sheet'!CK362='Weeks Plan'!$G$6),'Planning Sheet'!$CM362,"")</f>
        <v/>
      </c>
    </row>
    <row r="3816" spans="25:27" x14ac:dyDescent="0.3">
      <c r="Y3816" s="48" t="str">
        <f ca="1">IF(AND('Planning Sheet'!CQ363='Weeks Plan'!$D$6,'Planning Sheet'!CK363='Weeks Plan'!$G$6),'Planning Sheet'!$B363,"")</f>
        <v/>
      </c>
      <c r="Z3816" s="48" t="str">
        <f ca="1">IF(AND('Planning Sheet'!CQ363='Weeks Plan'!$D$6,'Planning Sheet'!CK363='Weeks Plan'!$G$6),'Planning Sheet'!$CL363,"")</f>
        <v/>
      </c>
      <c r="AA3816" s="48" t="str">
        <f ca="1">IF(AND('Planning Sheet'!CQ363='Weeks Plan'!$D$6,'Planning Sheet'!CK363='Weeks Plan'!$G$6),'Planning Sheet'!$CM363,"")</f>
        <v/>
      </c>
    </row>
    <row r="3817" spans="25:27" x14ac:dyDescent="0.3">
      <c r="Y3817" s="48" t="str">
        <f ca="1">IF(AND('Planning Sheet'!CQ364='Weeks Plan'!$D$6,'Planning Sheet'!CK364='Weeks Plan'!$G$6),'Planning Sheet'!$B364,"")</f>
        <v/>
      </c>
      <c r="Z3817" s="48" t="str">
        <f ca="1">IF(AND('Planning Sheet'!CQ364='Weeks Plan'!$D$6,'Planning Sheet'!CK364='Weeks Plan'!$G$6),'Planning Sheet'!$CL364,"")</f>
        <v/>
      </c>
      <c r="AA3817" s="48" t="str">
        <f ca="1">IF(AND('Planning Sheet'!CQ364='Weeks Plan'!$D$6,'Planning Sheet'!CK364='Weeks Plan'!$G$6),'Planning Sheet'!$CM364,"")</f>
        <v/>
      </c>
    </row>
    <row r="3818" spans="25:27" x14ac:dyDescent="0.3">
      <c r="Y3818" s="48" t="str">
        <f ca="1">IF(AND('Planning Sheet'!CQ365='Weeks Plan'!$D$6,'Planning Sheet'!CK365='Weeks Plan'!$G$6),'Planning Sheet'!$B365,"")</f>
        <v/>
      </c>
      <c r="Z3818" s="48" t="str">
        <f ca="1">IF(AND('Planning Sheet'!CQ365='Weeks Plan'!$D$6,'Planning Sheet'!CK365='Weeks Plan'!$G$6),'Planning Sheet'!$CL365,"")</f>
        <v/>
      </c>
      <c r="AA3818" s="48" t="str">
        <f ca="1">IF(AND('Planning Sheet'!CQ365='Weeks Plan'!$D$6,'Planning Sheet'!CK365='Weeks Plan'!$G$6),'Planning Sheet'!$CM365,"")</f>
        <v/>
      </c>
    </row>
    <row r="3819" spans="25:27" x14ac:dyDescent="0.3">
      <c r="Y3819" s="48" t="str">
        <f ca="1">IF(AND('Planning Sheet'!CQ366='Weeks Plan'!$D$6,'Planning Sheet'!CK366='Weeks Plan'!$G$6),'Planning Sheet'!$B366,"")</f>
        <v/>
      </c>
      <c r="Z3819" s="48" t="str">
        <f ca="1">IF(AND('Planning Sheet'!CQ366='Weeks Plan'!$D$6,'Planning Sheet'!CK366='Weeks Plan'!$G$6),'Planning Sheet'!$CL366,"")</f>
        <v/>
      </c>
      <c r="AA3819" s="48" t="str">
        <f ca="1">IF(AND('Planning Sheet'!CQ366='Weeks Plan'!$D$6,'Planning Sheet'!CK366='Weeks Plan'!$G$6),'Planning Sheet'!$CM366,"")</f>
        <v/>
      </c>
    </row>
    <row r="3820" spans="25:27" x14ac:dyDescent="0.3">
      <c r="Y3820" s="48" t="str">
        <f ca="1">IF(AND('Planning Sheet'!CQ367='Weeks Plan'!$D$6,'Planning Sheet'!CK367='Weeks Plan'!$G$6),'Planning Sheet'!$B367,"")</f>
        <v/>
      </c>
      <c r="Z3820" s="48" t="str">
        <f ca="1">IF(AND('Planning Sheet'!CQ367='Weeks Plan'!$D$6,'Planning Sheet'!CK367='Weeks Plan'!$G$6),'Planning Sheet'!$CL367,"")</f>
        <v/>
      </c>
      <c r="AA3820" s="48" t="str">
        <f ca="1">IF(AND('Planning Sheet'!CQ367='Weeks Plan'!$D$6,'Planning Sheet'!CK367='Weeks Plan'!$G$6),'Planning Sheet'!$CM367,"")</f>
        <v/>
      </c>
    </row>
    <row r="3821" spans="25:27" x14ac:dyDescent="0.3">
      <c r="Y3821" s="48" t="str">
        <f ca="1">IF(AND('Planning Sheet'!CQ368='Weeks Plan'!$D$6,'Planning Sheet'!CK368='Weeks Plan'!$G$6),'Planning Sheet'!$B368,"")</f>
        <v/>
      </c>
      <c r="Z3821" s="48" t="str">
        <f ca="1">IF(AND('Planning Sheet'!CQ368='Weeks Plan'!$D$6,'Planning Sheet'!CK368='Weeks Plan'!$G$6),'Planning Sheet'!$CL368,"")</f>
        <v/>
      </c>
      <c r="AA3821" s="48" t="str">
        <f ca="1">IF(AND('Planning Sheet'!CQ368='Weeks Plan'!$D$6,'Planning Sheet'!CK368='Weeks Plan'!$G$6),'Planning Sheet'!$CM368,"")</f>
        <v/>
      </c>
    </row>
    <row r="3822" spans="25:27" x14ac:dyDescent="0.3">
      <c r="Y3822" s="48" t="str">
        <f ca="1">IF(AND('Planning Sheet'!CQ369='Weeks Plan'!$D$6,'Planning Sheet'!CK369='Weeks Plan'!$G$6),'Planning Sheet'!$B369,"")</f>
        <v/>
      </c>
      <c r="Z3822" s="48" t="str">
        <f ca="1">IF(AND('Planning Sheet'!CQ369='Weeks Plan'!$D$6,'Planning Sheet'!CK369='Weeks Plan'!$G$6),'Planning Sheet'!$CL369,"")</f>
        <v/>
      </c>
      <c r="AA3822" s="48" t="str">
        <f ca="1">IF(AND('Planning Sheet'!CQ369='Weeks Plan'!$D$6,'Planning Sheet'!CK369='Weeks Plan'!$G$6),'Planning Sheet'!$CM369,"")</f>
        <v/>
      </c>
    </row>
    <row r="3823" spans="25:27" x14ac:dyDescent="0.3">
      <c r="Y3823" s="48" t="str">
        <f ca="1">IF(AND('Planning Sheet'!CQ370='Weeks Plan'!$D$6,'Planning Sheet'!CK370='Weeks Plan'!$G$6),'Planning Sheet'!$B370,"")</f>
        <v/>
      </c>
      <c r="Z3823" s="48" t="str">
        <f ca="1">IF(AND('Planning Sheet'!CQ370='Weeks Plan'!$D$6,'Planning Sheet'!CK370='Weeks Plan'!$G$6),'Planning Sheet'!$CL370,"")</f>
        <v/>
      </c>
      <c r="AA3823" s="48" t="str">
        <f ca="1">IF(AND('Planning Sheet'!CQ370='Weeks Plan'!$D$6,'Planning Sheet'!CK370='Weeks Plan'!$G$6),'Planning Sheet'!$CM370,"")</f>
        <v/>
      </c>
    </row>
    <row r="3824" spans="25:27" x14ac:dyDescent="0.3">
      <c r="Y3824" s="48" t="str">
        <f ca="1">IF(AND('Planning Sheet'!CQ371='Weeks Plan'!$D$6,'Planning Sheet'!CK371='Weeks Plan'!$G$6),'Planning Sheet'!$B371,"")</f>
        <v/>
      </c>
      <c r="Z3824" s="48" t="str">
        <f ca="1">IF(AND('Planning Sheet'!CQ371='Weeks Plan'!$D$6,'Planning Sheet'!CK371='Weeks Plan'!$G$6),'Planning Sheet'!$CL371,"")</f>
        <v/>
      </c>
      <c r="AA3824" s="48" t="str">
        <f ca="1">IF(AND('Planning Sheet'!CQ371='Weeks Plan'!$D$6,'Planning Sheet'!CK371='Weeks Plan'!$G$6),'Planning Sheet'!$CM371,"")</f>
        <v/>
      </c>
    </row>
    <row r="3825" spans="25:27" x14ac:dyDescent="0.3">
      <c r="Y3825" s="48" t="str">
        <f ca="1">IF(AND('Planning Sheet'!CQ372='Weeks Plan'!$D$6,'Planning Sheet'!CK372='Weeks Plan'!$G$6),'Planning Sheet'!$B372,"")</f>
        <v/>
      </c>
      <c r="Z3825" s="48" t="str">
        <f ca="1">IF(AND('Planning Sheet'!CQ372='Weeks Plan'!$D$6,'Planning Sheet'!CK372='Weeks Plan'!$G$6),'Planning Sheet'!$CL372,"")</f>
        <v/>
      </c>
      <c r="AA3825" s="48" t="str">
        <f ca="1">IF(AND('Planning Sheet'!CQ372='Weeks Plan'!$D$6,'Planning Sheet'!CK372='Weeks Plan'!$G$6),'Planning Sheet'!$CM372,"")</f>
        <v/>
      </c>
    </row>
    <row r="3826" spans="25:27" x14ac:dyDescent="0.3">
      <c r="Y3826" s="48" t="str">
        <f ca="1">IF(AND('Planning Sheet'!CQ373='Weeks Plan'!$D$6,'Planning Sheet'!CK373='Weeks Plan'!$G$6),'Planning Sheet'!$B373,"")</f>
        <v/>
      </c>
      <c r="Z3826" s="48" t="str">
        <f ca="1">IF(AND('Planning Sheet'!CQ373='Weeks Plan'!$D$6,'Planning Sheet'!CK373='Weeks Plan'!$G$6),'Planning Sheet'!$CL373,"")</f>
        <v/>
      </c>
      <c r="AA3826" s="48" t="str">
        <f ca="1">IF(AND('Planning Sheet'!CQ373='Weeks Plan'!$D$6,'Planning Sheet'!CK373='Weeks Plan'!$G$6),'Planning Sheet'!$CM373,"")</f>
        <v/>
      </c>
    </row>
    <row r="3827" spans="25:27" x14ac:dyDescent="0.3">
      <c r="Y3827" s="48" t="str">
        <f ca="1">IF(AND('Planning Sheet'!CQ374='Weeks Plan'!$D$6,'Planning Sheet'!CK374='Weeks Plan'!$G$6),'Planning Sheet'!$B374,"")</f>
        <v/>
      </c>
      <c r="Z3827" s="48" t="str">
        <f ca="1">IF(AND('Planning Sheet'!CQ374='Weeks Plan'!$D$6,'Planning Sheet'!CK374='Weeks Plan'!$G$6),'Planning Sheet'!$CL374,"")</f>
        <v/>
      </c>
      <c r="AA3827" s="48" t="str">
        <f ca="1">IF(AND('Planning Sheet'!CQ374='Weeks Plan'!$D$6,'Planning Sheet'!CK374='Weeks Plan'!$G$6),'Planning Sheet'!$CM374,"")</f>
        <v/>
      </c>
    </row>
    <row r="3828" spans="25:27" x14ac:dyDescent="0.3">
      <c r="Y3828" s="48" t="str">
        <f ca="1">IF(AND('Planning Sheet'!CQ375='Weeks Plan'!$D$6,'Planning Sheet'!CK375='Weeks Plan'!$G$6),'Planning Sheet'!$B375,"")</f>
        <v/>
      </c>
      <c r="Z3828" s="48" t="str">
        <f ca="1">IF(AND('Planning Sheet'!CQ375='Weeks Plan'!$D$6,'Planning Sheet'!CK375='Weeks Plan'!$G$6),'Planning Sheet'!$CL375,"")</f>
        <v/>
      </c>
      <c r="AA3828" s="48" t="str">
        <f ca="1">IF(AND('Planning Sheet'!CQ375='Weeks Plan'!$D$6,'Planning Sheet'!CK375='Weeks Plan'!$G$6),'Planning Sheet'!$CM375,"")</f>
        <v/>
      </c>
    </row>
    <row r="3829" spans="25:27" x14ac:dyDescent="0.3">
      <c r="Y3829" s="48" t="str">
        <f ca="1">IF(AND('Planning Sheet'!CQ376='Weeks Plan'!$D$6,'Planning Sheet'!CK376='Weeks Plan'!$G$6),'Planning Sheet'!$B376,"")</f>
        <v/>
      </c>
      <c r="Z3829" s="48" t="str">
        <f ca="1">IF(AND('Planning Sheet'!CQ376='Weeks Plan'!$D$6,'Planning Sheet'!CK376='Weeks Plan'!$G$6),'Planning Sheet'!$CL376,"")</f>
        <v/>
      </c>
      <c r="AA3829" s="48" t="str">
        <f ca="1">IF(AND('Planning Sheet'!CQ376='Weeks Plan'!$D$6,'Planning Sheet'!CK376='Weeks Plan'!$G$6),'Planning Sheet'!$CM376,"")</f>
        <v/>
      </c>
    </row>
    <row r="3830" spans="25:27" x14ac:dyDescent="0.3">
      <c r="Y3830" s="48" t="str">
        <f ca="1">IF(AND('Planning Sheet'!CQ377='Weeks Plan'!$D$6,'Planning Sheet'!CK377='Weeks Plan'!$G$6),'Planning Sheet'!$B377,"")</f>
        <v/>
      </c>
      <c r="Z3830" s="48" t="str">
        <f ca="1">IF(AND('Planning Sheet'!CQ377='Weeks Plan'!$D$6,'Planning Sheet'!CK377='Weeks Plan'!$G$6),'Planning Sheet'!$CL377,"")</f>
        <v/>
      </c>
      <c r="AA3830" s="48" t="str">
        <f ca="1">IF(AND('Planning Sheet'!CQ377='Weeks Plan'!$D$6,'Planning Sheet'!CK377='Weeks Plan'!$G$6),'Planning Sheet'!$CM377,"")</f>
        <v/>
      </c>
    </row>
    <row r="3831" spans="25:27" x14ac:dyDescent="0.3">
      <c r="Y3831" s="48" t="str">
        <f ca="1">IF(AND('Planning Sheet'!CQ378='Weeks Plan'!$D$6,'Planning Sheet'!CK378='Weeks Plan'!$G$6),'Planning Sheet'!$B378,"")</f>
        <v/>
      </c>
      <c r="Z3831" s="48" t="str">
        <f ca="1">IF(AND('Planning Sheet'!CQ378='Weeks Plan'!$D$6,'Planning Sheet'!CK378='Weeks Plan'!$G$6),'Planning Sheet'!$CL378,"")</f>
        <v/>
      </c>
      <c r="AA3831" s="48" t="str">
        <f ca="1">IF(AND('Planning Sheet'!CQ378='Weeks Plan'!$D$6,'Planning Sheet'!CK378='Weeks Plan'!$G$6),'Planning Sheet'!$CM378,"")</f>
        <v/>
      </c>
    </row>
    <row r="3832" spans="25:27" x14ac:dyDescent="0.3">
      <c r="Y3832" s="48" t="str">
        <f ca="1">IF(AND('Planning Sheet'!CQ379='Weeks Plan'!$D$6,'Planning Sheet'!CK379='Weeks Plan'!$G$6),'Planning Sheet'!$B379,"")</f>
        <v/>
      </c>
      <c r="Z3832" s="48" t="str">
        <f ca="1">IF(AND('Planning Sheet'!CQ379='Weeks Plan'!$D$6,'Planning Sheet'!CK379='Weeks Plan'!$G$6),'Planning Sheet'!$CL379,"")</f>
        <v/>
      </c>
      <c r="AA3832" s="48" t="str">
        <f ca="1">IF(AND('Planning Sheet'!CQ379='Weeks Plan'!$D$6,'Planning Sheet'!CK379='Weeks Plan'!$G$6),'Planning Sheet'!$CM379,"")</f>
        <v/>
      </c>
    </row>
    <row r="3833" spans="25:27" x14ac:dyDescent="0.3">
      <c r="Y3833" s="48" t="str">
        <f ca="1">IF(AND('Planning Sheet'!CQ380='Weeks Plan'!$D$6,'Planning Sheet'!CK380='Weeks Plan'!$G$6),'Planning Sheet'!$B380,"")</f>
        <v/>
      </c>
      <c r="Z3833" s="48" t="str">
        <f ca="1">IF(AND('Planning Sheet'!CQ380='Weeks Plan'!$D$6,'Planning Sheet'!CK380='Weeks Plan'!$G$6),'Planning Sheet'!$CL380,"")</f>
        <v/>
      </c>
      <c r="AA3833" s="48" t="str">
        <f ca="1">IF(AND('Planning Sheet'!CQ380='Weeks Plan'!$D$6,'Planning Sheet'!CK380='Weeks Plan'!$G$6),'Planning Sheet'!$CM380,"")</f>
        <v/>
      </c>
    </row>
    <row r="3834" spans="25:27" x14ac:dyDescent="0.3">
      <c r="Y3834" s="48" t="str">
        <f ca="1">IF(AND('Planning Sheet'!CQ381='Weeks Plan'!$D$6,'Planning Sheet'!CK381='Weeks Plan'!$G$6),'Planning Sheet'!$B381,"")</f>
        <v/>
      </c>
      <c r="Z3834" s="48" t="str">
        <f ca="1">IF(AND('Planning Sheet'!CQ381='Weeks Plan'!$D$6,'Planning Sheet'!CK381='Weeks Plan'!$G$6),'Planning Sheet'!$CL381,"")</f>
        <v/>
      </c>
      <c r="AA3834" s="48" t="str">
        <f ca="1">IF(AND('Planning Sheet'!CQ381='Weeks Plan'!$D$6,'Planning Sheet'!CK381='Weeks Plan'!$G$6),'Planning Sheet'!$CM381,"")</f>
        <v/>
      </c>
    </row>
    <row r="3835" spans="25:27" x14ac:dyDescent="0.3">
      <c r="Y3835" s="48" t="str">
        <f ca="1">IF(AND('Planning Sheet'!CQ382='Weeks Plan'!$D$6,'Planning Sheet'!CK382='Weeks Plan'!$G$6),'Planning Sheet'!$B382,"")</f>
        <v/>
      </c>
      <c r="Z3835" s="48" t="str">
        <f ca="1">IF(AND('Planning Sheet'!CQ382='Weeks Plan'!$D$6,'Planning Sheet'!CK382='Weeks Plan'!$G$6),'Planning Sheet'!$CL382,"")</f>
        <v/>
      </c>
      <c r="AA3835" s="48" t="str">
        <f ca="1">IF(AND('Planning Sheet'!CQ382='Weeks Plan'!$D$6,'Planning Sheet'!CK382='Weeks Plan'!$G$6),'Planning Sheet'!$CM382,"")</f>
        <v/>
      </c>
    </row>
    <row r="3836" spans="25:27" x14ac:dyDescent="0.3">
      <c r="Y3836" s="48" t="str">
        <f ca="1">IF(AND('Planning Sheet'!CQ383='Weeks Plan'!$D$6,'Planning Sheet'!CK383='Weeks Plan'!$G$6),'Planning Sheet'!$B383,"")</f>
        <v/>
      </c>
      <c r="Z3836" s="48" t="str">
        <f ca="1">IF(AND('Planning Sheet'!CQ383='Weeks Plan'!$D$6,'Planning Sheet'!CK383='Weeks Plan'!$G$6),'Planning Sheet'!$CL383,"")</f>
        <v/>
      </c>
      <c r="AA3836" s="48" t="str">
        <f ca="1">IF(AND('Planning Sheet'!CQ383='Weeks Plan'!$D$6,'Planning Sheet'!CK383='Weeks Plan'!$G$6),'Planning Sheet'!$CM383,"")</f>
        <v/>
      </c>
    </row>
    <row r="3837" spans="25:27" x14ac:dyDescent="0.3">
      <c r="Y3837" s="48" t="str">
        <f ca="1">IF(AND('Planning Sheet'!CQ384='Weeks Plan'!$D$6,'Planning Sheet'!CK384='Weeks Plan'!$G$6),'Planning Sheet'!$B384,"")</f>
        <v/>
      </c>
      <c r="Z3837" s="48" t="str">
        <f ca="1">IF(AND('Planning Sheet'!CQ384='Weeks Plan'!$D$6,'Planning Sheet'!CK384='Weeks Plan'!$G$6),'Planning Sheet'!$CL384,"")</f>
        <v/>
      </c>
      <c r="AA3837" s="48" t="str">
        <f ca="1">IF(AND('Planning Sheet'!CQ384='Weeks Plan'!$D$6,'Planning Sheet'!CK384='Weeks Plan'!$G$6),'Planning Sheet'!$CM384,"")</f>
        <v/>
      </c>
    </row>
    <row r="3838" spans="25:27" x14ac:dyDescent="0.3">
      <c r="Y3838" s="48" t="str">
        <f ca="1">IF(AND('Planning Sheet'!CQ385='Weeks Plan'!$D$6,'Planning Sheet'!CK385='Weeks Plan'!$G$6),'Planning Sheet'!$B385,"")</f>
        <v/>
      </c>
      <c r="Z3838" s="48" t="str">
        <f ca="1">IF(AND('Planning Sheet'!CQ385='Weeks Plan'!$D$6,'Planning Sheet'!CK385='Weeks Plan'!$G$6),'Planning Sheet'!$CL385,"")</f>
        <v/>
      </c>
      <c r="AA3838" s="48" t="str">
        <f ca="1">IF(AND('Planning Sheet'!CQ385='Weeks Plan'!$D$6,'Planning Sheet'!CK385='Weeks Plan'!$G$6),'Planning Sheet'!$CM385,"")</f>
        <v/>
      </c>
    </row>
    <row r="3839" spans="25:27" x14ac:dyDescent="0.3">
      <c r="Y3839" s="48" t="str">
        <f ca="1">IF(AND('Planning Sheet'!CQ386='Weeks Plan'!$D$6,'Planning Sheet'!CK386='Weeks Plan'!$G$6),'Planning Sheet'!$B386,"")</f>
        <v/>
      </c>
      <c r="Z3839" s="48" t="str">
        <f ca="1">IF(AND('Planning Sheet'!CQ386='Weeks Plan'!$D$6,'Planning Sheet'!CK386='Weeks Plan'!$G$6),'Planning Sheet'!$CL386,"")</f>
        <v/>
      </c>
      <c r="AA3839" s="48" t="str">
        <f ca="1">IF(AND('Planning Sheet'!CQ386='Weeks Plan'!$D$6,'Planning Sheet'!CK386='Weeks Plan'!$G$6),'Planning Sheet'!$CM386,"")</f>
        <v/>
      </c>
    </row>
    <row r="3840" spans="25:27" x14ac:dyDescent="0.3">
      <c r="Y3840" s="48" t="str">
        <f ca="1">IF(AND('Planning Sheet'!CQ387='Weeks Plan'!$D$6,'Planning Sheet'!CK387='Weeks Plan'!$G$6),'Planning Sheet'!$B387,"")</f>
        <v/>
      </c>
      <c r="Z3840" s="48" t="str">
        <f ca="1">IF(AND('Planning Sheet'!CQ387='Weeks Plan'!$D$6,'Planning Sheet'!CK387='Weeks Plan'!$G$6),'Planning Sheet'!$CL387,"")</f>
        <v/>
      </c>
      <c r="AA3840" s="48" t="str">
        <f ca="1">IF(AND('Planning Sheet'!CQ387='Weeks Plan'!$D$6,'Planning Sheet'!CK387='Weeks Plan'!$G$6),'Planning Sheet'!$CM387,"")</f>
        <v/>
      </c>
    </row>
    <row r="3841" spans="25:27" x14ac:dyDescent="0.3">
      <c r="Y3841" s="48" t="str">
        <f ca="1">IF(AND('Planning Sheet'!CQ388='Weeks Plan'!$D$6,'Planning Sheet'!CK388='Weeks Plan'!$G$6),'Planning Sheet'!$B388,"")</f>
        <v/>
      </c>
      <c r="Z3841" s="48" t="str">
        <f ca="1">IF(AND('Planning Sheet'!CQ388='Weeks Plan'!$D$6,'Planning Sheet'!CK388='Weeks Plan'!$G$6),'Planning Sheet'!$CL388,"")</f>
        <v/>
      </c>
      <c r="AA3841" s="48" t="str">
        <f ca="1">IF(AND('Planning Sheet'!CQ388='Weeks Plan'!$D$6,'Planning Sheet'!CK388='Weeks Plan'!$G$6),'Planning Sheet'!$CM388,"")</f>
        <v/>
      </c>
    </row>
    <row r="3842" spans="25:27" x14ac:dyDescent="0.3">
      <c r="Y3842" s="48" t="str">
        <f ca="1">IF(AND('Planning Sheet'!CQ389='Weeks Plan'!$D$6,'Planning Sheet'!CK389='Weeks Plan'!$G$6),'Planning Sheet'!$B389,"")</f>
        <v/>
      </c>
      <c r="Z3842" s="48" t="str">
        <f ca="1">IF(AND('Planning Sheet'!CQ389='Weeks Plan'!$D$6,'Planning Sheet'!CK389='Weeks Plan'!$G$6),'Planning Sheet'!$CL389,"")</f>
        <v/>
      </c>
      <c r="AA3842" s="48" t="str">
        <f ca="1">IF(AND('Planning Sheet'!CQ389='Weeks Plan'!$D$6,'Planning Sheet'!CK389='Weeks Plan'!$G$6),'Planning Sheet'!$CM389,"")</f>
        <v/>
      </c>
    </row>
    <row r="3843" spans="25:27" x14ac:dyDescent="0.3">
      <c r="Y3843" s="48" t="str">
        <f ca="1">IF(AND('Planning Sheet'!CQ390='Weeks Plan'!$D$6,'Planning Sheet'!CK390='Weeks Plan'!$G$6),'Planning Sheet'!$B390,"")</f>
        <v/>
      </c>
      <c r="Z3843" s="48" t="str">
        <f ca="1">IF(AND('Planning Sheet'!CQ390='Weeks Plan'!$D$6,'Planning Sheet'!CK390='Weeks Plan'!$G$6),'Planning Sheet'!$CL390,"")</f>
        <v/>
      </c>
      <c r="AA3843" s="48" t="str">
        <f ca="1">IF(AND('Planning Sheet'!CQ390='Weeks Plan'!$D$6,'Planning Sheet'!CK390='Weeks Plan'!$G$6),'Planning Sheet'!$CM390,"")</f>
        <v/>
      </c>
    </row>
    <row r="3844" spans="25:27" x14ac:dyDescent="0.3">
      <c r="Y3844" s="48" t="str">
        <f ca="1">IF(AND('Planning Sheet'!CQ391='Weeks Plan'!$D$6,'Planning Sheet'!CK391='Weeks Plan'!$G$6),'Planning Sheet'!$B391,"")</f>
        <v/>
      </c>
      <c r="Z3844" s="48" t="str">
        <f ca="1">IF(AND('Planning Sheet'!CQ391='Weeks Plan'!$D$6,'Planning Sheet'!CK391='Weeks Plan'!$G$6),'Planning Sheet'!$CL391,"")</f>
        <v/>
      </c>
      <c r="AA3844" s="48" t="str">
        <f ca="1">IF(AND('Planning Sheet'!CQ391='Weeks Plan'!$D$6,'Planning Sheet'!CK391='Weeks Plan'!$G$6),'Planning Sheet'!$CM391,"")</f>
        <v/>
      </c>
    </row>
    <row r="3845" spans="25:27" x14ac:dyDescent="0.3">
      <c r="Y3845" s="48" t="str">
        <f ca="1">IF(AND('Planning Sheet'!CQ392='Weeks Plan'!$D$6,'Planning Sheet'!CK392='Weeks Plan'!$G$6),'Planning Sheet'!$B392,"")</f>
        <v/>
      </c>
      <c r="Z3845" s="48" t="str">
        <f ca="1">IF(AND('Planning Sheet'!CQ392='Weeks Plan'!$D$6,'Planning Sheet'!CK392='Weeks Plan'!$G$6),'Planning Sheet'!$CL392,"")</f>
        <v/>
      </c>
      <c r="AA3845" s="48" t="str">
        <f ca="1">IF(AND('Planning Sheet'!CQ392='Weeks Plan'!$D$6,'Planning Sheet'!CK392='Weeks Plan'!$G$6),'Planning Sheet'!$CM392,"")</f>
        <v/>
      </c>
    </row>
    <row r="3846" spans="25:27" x14ac:dyDescent="0.3">
      <c r="Y3846" s="48" t="str">
        <f ca="1">IF(AND('Planning Sheet'!CQ393='Weeks Plan'!$D$6,'Planning Sheet'!CK393='Weeks Plan'!$G$6),'Planning Sheet'!$B393,"")</f>
        <v/>
      </c>
      <c r="Z3846" s="48" t="str">
        <f ca="1">IF(AND('Planning Sheet'!CQ393='Weeks Plan'!$D$6,'Planning Sheet'!CK393='Weeks Plan'!$G$6),'Planning Sheet'!$CL393,"")</f>
        <v/>
      </c>
      <c r="AA3846" s="48" t="str">
        <f ca="1">IF(AND('Planning Sheet'!CQ393='Weeks Plan'!$D$6,'Planning Sheet'!CK393='Weeks Plan'!$G$6),'Planning Sheet'!$CM393,"")</f>
        <v/>
      </c>
    </row>
    <row r="3847" spans="25:27" x14ac:dyDescent="0.3">
      <c r="Y3847" s="48" t="str">
        <f ca="1">IF(AND('Planning Sheet'!CQ394='Weeks Plan'!$D$6,'Planning Sheet'!CK394='Weeks Plan'!$G$6),'Planning Sheet'!$B394,"")</f>
        <v/>
      </c>
      <c r="Z3847" s="48" t="str">
        <f ca="1">IF(AND('Planning Sheet'!CQ394='Weeks Plan'!$D$6,'Planning Sheet'!CK394='Weeks Plan'!$G$6),'Planning Sheet'!$CL394,"")</f>
        <v/>
      </c>
      <c r="AA3847" s="48" t="str">
        <f ca="1">IF(AND('Planning Sheet'!CQ394='Weeks Plan'!$D$6,'Planning Sheet'!CK394='Weeks Plan'!$G$6),'Planning Sheet'!$CM394,"")</f>
        <v/>
      </c>
    </row>
    <row r="3848" spans="25:27" x14ac:dyDescent="0.3">
      <c r="Y3848" s="48" t="str">
        <f ca="1">IF(AND('Planning Sheet'!CQ395='Weeks Plan'!$D$6,'Planning Sheet'!CK395='Weeks Plan'!$G$6),'Planning Sheet'!$B395,"")</f>
        <v/>
      </c>
      <c r="Z3848" s="48" t="str">
        <f ca="1">IF(AND('Planning Sheet'!CQ395='Weeks Plan'!$D$6,'Planning Sheet'!CK395='Weeks Plan'!$G$6),'Planning Sheet'!$CL395,"")</f>
        <v/>
      </c>
      <c r="AA3848" s="48" t="str">
        <f ca="1">IF(AND('Planning Sheet'!CQ395='Weeks Plan'!$D$6,'Planning Sheet'!CK395='Weeks Plan'!$G$6),'Planning Sheet'!$CM395,"")</f>
        <v/>
      </c>
    </row>
    <row r="3849" spans="25:27" x14ac:dyDescent="0.3">
      <c r="Y3849" s="48" t="str">
        <f ca="1">IF(AND('Planning Sheet'!CQ396='Weeks Plan'!$D$6,'Planning Sheet'!CK396='Weeks Plan'!$G$6),'Planning Sheet'!$B396,"")</f>
        <v/>
      </c>
      <c r="Z3849" s="48" t="str">
        <f ca="1">IF(AND('Planning Sheet'!CQ396='Weeks Plan'!$D$6,'Planning Sheet'!CK396='Weeks Plan'!$G$6),'Planning Sheet'!$CL396,"")</f>
        <v/>
      </c>
      <c r="AA3849" s="48" t="str">
        <f ca="1">IF(AND('Planning Sheet'!CQ396='Weeks Plan'!$D$6,'Planning Sheet'!CK396='Weeks Plan'!$G$6),'Planning Sheet'!$CM396,"")</f>
        <v/>
      </c>
    </row>
    <row r="3850" spans="25:27" x14ac:dyDescent="0.3">
      <c r="Y3850" s="48" t="str">
        <f ca="1">IF(AND('Planning Sheet'!CQ397='Weeks Plan'!$D$6,'Planning Sheet'!CK397='Weeks Plan'!$G$6),'Planning Sheet'!$B397,"")</f>
        <v/>
      </c>
      <c r="Z3850" s="48" t="str">
        <f ca="1">IF(AND('Planning Sheet'!CQ397='Weeks Plan'!$D$6,'Planning Sheet'!CK397='Weeks Plan'!$G$6),'Planning Sheet'!$CL397,"")</f>
        <v/>
      </c>
      <c r="AA3850" s="48" t="str">
        <f ca="1">IF(AND('Planning Sheet'!CQ397='Weeks Plan'!$D$6,'Planning Sheet'!CK397='Weeks Plan'!$G$6),'Planning Sheet'!$CM397,"")</f>
        <v/>
      </c>
    </row>
    <row r="3851" spans="25:27" x14ac:dyDescent="0.3">
      <c r="Y3851" s="48" t="str">
        <f ca="1">IF(AND('Planning Sheet'!CQ398='Weeks Plan'!$D$6,'Planning Sheet'!CK398='Weeks Plan'!$G$6),'Planning Sheet'!$B398,"")</f>
        <v/>
      </c>
      <c r="Z3851" s="48" t="str">
        <f ca="1">IF(AND('Planning Sheet'!CQ398='Weeks Plan'!$D$6,'Planning Sheet'!CK398='Weeks Plan'!$G$6),'Planning Sheet'!$CL398,"")</f>
        <v/>
      </c>
      <c r="AA3851" s="48" t="str">
        <f ca="1">IF(AND('Planning Sheet'!CQ398='Weeks Plan'!$D$6,'Planning Sheet'!CK398='Weeks Plan'!$G$6),'Planning Sheet'!$CM398,"")</f>
        <v/>
      </c>
    </row>
    <row r="3852" spans="25:27" x14ac:dyDescent="0.3">
      <c r="Y3852" s="48" t="str">
        <f ca="1">IF(AND('Planning Sheet'!CQ399='Weeks Plan'!$D$6,'Planning Sheet'!CK399='Weeks Plan'!$G$6),'Planning Sheet'!$B399,"")</f>
        <v/>
      </c>
      <c r="Z3852" s="48" t="str">
        <f ca="1">IF(AND('Planning Sheet'!CQ399='Weeks Plan'!$D$6,'Planning Sheet'!CK399='Weeks Plan'!$G$6),'Planning Sheet'!$CL399,"")</f>
        <v/>
      </c>
      <c r="AA3852" s="48" t="str">
        <f ca="1">IF(AND('Planning Sheet'!CQ399='Weeks Plan'!$D$6,'Planning Sheet'!CK399='Weeks Plan'!$G$6),'Planning Sheet'!$CM399,"")</f>
        <v/>
      </c>
    </row>
    <row r="3853" spans="25:27" x14ac:dyDescent="0.3">
      <c r="Y3853" s="48" t="str">
        <f ca="1">IF(AND('Planning Sheet'!CQ400='Weeks Plan'!$D$6,'Planning Sheet'!CK400='Weeks Plan'!$G$6),'Planning Sheet'!$B400,"")</f>
        <v/>
      </c>
      <c r="Z3853" s="48" t="str">
        <f ca="1">IF(AND('Planning Sheet'!CQ400='Weeks Plan'!$D$6,'Planning Sheet'!CK400='Weeks Plan'!$G$6),'Planning Sheet'!$CL400,"")</f>
        <v/>
      </c>
      <c r="AA3853" s="48" t="str">
        <f ca="1">IF(AND('Planning Sheet'!CQ400='Weeks Plan'!$D$6,'Planning Sheet'!CK400='Weeks Plan'!$G$6),'Planning Sheet'!$CM400,"")</f>
        <v/>
      </c>
    </row>
    <row r="3854" spans="25:27" x14ac:dyDescent="0.3">
      <c r="Y3854" s="48" t="str">
        <f ca="1">IF(AND('Planning Sheet'!CQ401='Weeks Plan'!$D$6,'Planning Sheet'!CK401='Weeks Plan'!$G$6),'Planning Sheet'!$B401,"")</f>
        <v/>
      </c>
      <c r="Z3854" s="48" t="str">
        <f ca="1">IF(AND('Planning Sheet'!CQ401='Weeks Plan'!$D$6,'Planning Sheet'!CK401='Weeks Plan'!$G$6),'Planning Sheet'!$CL401,"")</f>
        <v/>
      </c>
      <c r="AA3854" s="48" t="str">
        <f ca="1">IF(AND('Planning Sheet'!CQ401='Weeks Plan'!$D$6,'Planning Sheet'!CK401='Weeks Plan'!$G$6),'Planning Sheet'!$CM401,"")</f>
        <v/>
      </c>
    </row>
    <row r="3855" spans="25:27" x14ac:dyDescent="0.3">
      <c r="Y3855" s="48" t="str">
        <f ca="1">IF(AND('Planning Sheet'!CQ402='Weeks Plan'!$D$6,'Planning Sheet'!CK402='Weeks Plan'!$G$6),'Planning Sheet'!$B402,"")</f>
        <v/>
      </c>
      <c r="Z3855" s="48" t="str">
        <f ca="1">IF(AND('Planning Sheet'!CQ402='Weeks Plan'!$D$6,'Planning Sheet'!CK402='Weeks Plan'!$G$6),'Planning Sheet'!$CL402,"")</f>
        <v/>
      </c>
      <c r="AA3855" s="48" t="str">
        <f ca="1">IF(AND('Planning Sheet'!CQ402='Weeks Plan'!$D$6,'Planning Sheet'!CK402='Weeks Plan'!$G$6),'Planning Sheet'!$CM402,"")</f>
        <v/>
      </c>
    </row>
    <row r="3856" spans="25:27" x14ac:dyDescent="0.3">
      <c r="Y3856" s="48" t="str">
        <f ca="1">IF(AND('Planning Sheet'!CQ403='Weeks Plan'!$D$6,'Planning Sheet'!CK403='Weeks Plan'!$G$6),'Planning Sheet'!$B403,"")</f>
        <v/>
      </c>
      <c r="Z3856" s="48" t="str">
        <f ca="1">IF(AND('Planning Sheet'!CQ403='Weeks Plan'!$D$6,'Planning Sheet'!CK403='Weeks Plan'!$G$6),'Planning Sheet'!$CL403,"")</f>
        <v/>
      </c>
      <c r="AA3856" s="48" t="str">
        <f ca="1">IF(AND('Planning Sheet'!CQ403='Weeks Plan'!$D$6,'Planning Sheet'!CK403='Weeks Plan'!$G$6),'Planning Sheet'!$CM403,"")</f>
        <v/>
      </c>
    </row>
    <row r="3857" spans="25:27" x14ac:dyDescent="0.3">
      <c r="Y3857" s="48" t="str">
        <f ca="1">IF(AND('Planning Sheet'!CQ404='Weeks Plan'!$D$6,'Planning Sheet'!CK404='Weeks Plan'!$G$6),'Planning Sheet'!$B404,"")</f>
        <v/>
      </c>
      <c r="Z3857" s="48" t="str">
        <f ca="1">IF(AND('Planning Sheet'!CQ404='Weeks Plan'!$D$6,'Planning Sheet'!CK404='Weeks Plan'!$G$6),'Planning Sheet'!$CL404,"")</f>
        <v/>
      </c>
      <c r="AA3857" s="48" t="str">
        <f ca="1">IF(AND('Planning Sheet'!CQ404='Weeks Plan'!$D$6,'Planning Sheet'!CK404='Weeks Plan'!$G$6),'Planning Sheet'!$CM404,"")</f>
        <v/>
      </c>
    </row>
    <row r="3858" spans="25:27" x14ac:dyDescent="0.3">
      <c r="Y3858" s="48" t="str">
        <f ca="1">IF(AND('Planning Sheet'!CQ405='Weeks Plan'!$D$6,'Planning Sheet'!CK405='Weeks Plan'!$G$6),'Planning Sheet'!$B405,"")</f>
        <v/>
      </c>
      <c r="Z3858" s="48" t="str">
        <f ca="1">IF(AND('Planning Sheet'!CQ405='Weeks Plan'!$D$6,'Planning Sheet'!CK405='Weeks Plan'!$G$6),'Planning Sheet'!$CL405,"")</f>
        <v/>
      </c>
      <c r="AA3858" s="48" t="str">
        <f ca="1">IF(AND('Planning Sheet'!CQ405='Weeks Plan'!$D$6,'Planning Sheet'!CK405='Weeks Plan'!$G$6),'Planning Sheet'!$CM405,"")</f>
        <v/>
      </c>
    </row>
    <row r="3859" spans="25:27" x14ac:dyDescent="0.3">
      <c r="Y3859" s="48" t="str">
        <f ca="1">IF(AND('Planning Sheet'!CQ406='Weeks Plan'!$D$6,'Planning Sheet'!CK406='Weeks Plan'!$G$6),'Planning Sheet'!$B406,"")</f>
        <v/>
      </c>
      <c r="Z3859" s="48" t="str">
        <f ca="1">IF(AND('Planning Sheet'!CQ406='Weeks Plan'!$D$6,'Planning Sheet'!CK406='Weeks Plan'!$G$6),'Planning Sheet'!$CL406,"")</f>
        <v/>
      </c>
      <c r="AA3859" s="48" t="str">
        <f ca="1">IF(AND('Planning Sheet'!CQ406='Weeks Plan'!$D$6,'Planning Sheet'!CK406='Weeks Plan'!$G$6),'Planning Sheet'!$CM406,"")</f>
        <v/>
      </c>
    </row>
    <row r="3860" spans="25:27" x14ac:dyDescent="0.3">
      <c r="Y3860" s="48" t="str">
        <f ca="1">IF(AND('Planning Sheet'!CQ407='Weeks Plan'!$D$6,'Planning Sheet'!CK407='Weeks Plan'!$G$6),'Planning Sheet'!$B407,"")</f>
        <v/>
      </c>
      <c r="Z3860" s="48" t="str">
        <f ca="1">IF(AND('Planning Sheet'!CQ407='Weeks Plan'!$D$6,'Planning Sheet'!CK407='Weeks Plan'!$G$6),'Planning Sheet'!$CL407,"")</f>
        <v/>
      </c>
      <c r="AA3860" s="48" t="str">
        <f ca="1">IF(AND('Planning Sheet'!CQ407='Weeks Plan'!$D$6,'Planning Sheet'!CK407='Weeks Plan'!$G$6),'Planning Sheet'!$CM407,"")</f>
        <v/>
      </c>
    </row>
    <row r="3861" spans="25:27" x14ac:dyDescent="0.3">
      <c r="Y3861" s="48" t="str">
        <f ca="1">IF(AND('Planning Sheet'!CQ408='Weeks Plan'!$D$6,'Planning Sheet'!CK408='Weeks Plan'!$G$6),'Planning Sheet'!$B408,"")</f>
        <v/>
      </c>
      <c r="Z3861" s="48" t="str">
        <f ca="1">IF(AND('Planning Sheet'!CQ408='Weeks Plan'!$D$6,'Planning Sheet'!CK408='Weeks Plan'!$G$6),'Planning Sheet'!$CL408,"")</f>
        <v/>
      </c>
      <c r="AA3861" s="48" t="str">
        <f ca="1">IF(AND('Planning Sheet'!CQ408='Weeks Plan'!$D$6,'Planning Sheet'!CK408='Weeks Plan'!$G$6),'Planning Sheet'!$CM408,"")</f>
        <v/>
      </c>
    </row>
    <row r="3862" spans="25:27" x14ac:dyDescent="0.3">
      <c r="Y3862" s="48" t="str">
        <f ca="1">IF(AND('Planning Sheet'!CQ409='Weeks Plan'!$D$6,'Planning Sheet'!CK409='Weeks Plan'!$G$6),'Planning Sheet'!$B409,"")</f>
        <v/>
      </c>
      <c r="Z3862" s="48" t="str">
        <f ca="1">IF(AND('Planning Sheet'!CQ409='Weeks Plan'!$D$6,'Planning Sheet'!CK409='Weeks Plan'!$G$6),'Planning Sheet'!$CL409,"")</f>
        <v/>
      </c>
      <c r="AA3862" s="48" t="str">
        <f ca="1">IF(AND('Planning Sheet'!CQ409='Weeks Plan'!$D$6,'Planning Sheet'!CK409='Weeks Plan'!$G$6),'Planning Sheet'!$CM409,"")</f>
        <v/>
      </c>
    </row>
    <row r="3863" spans="25:27" x14ac:dyDescent="0.3">
      <c r="Y3863" s="48" t="str">
        <f ca="1">IF(AND('Planning Sheet'!CQ410='Weeks Plan'!$D$6,'Planning Sheet'!CK410='Weeks Plan'!$G$6),'Planning Sheet'!$B410,"")</f>
        <v/>
      </c>
      <c r="Z3863" s="48" t="str">
        <f ca="1">IF(AND('Planning Sheet'!CQ410='Weeks Plan'!$D$6,'Planning Sheet'!CK410='Weeks Plan'!$G$6),'Planning Sheet'!$CL410,"")</f>
        <v/>
      </c>
      <c r="AA3863" s="48" t="str">
        <f ca="1">IF(AND('Planning Sheet'!CQ410='Weeks Plan'!$D$6,'Planning Sheet'!CK410='Weeks Plan'!$G$6),'Planning Sheet'!$CM410,"")</f>
        <v/>
      </c>
    </row>
    <row r="3864" spans="25:27" x14ac:dyDescent="0.3">
      <c r="Y3864" s="48" t="str">
        <f ca="1">IF(AND('Planning Sheet'!CQ411='Weeks Plan'!$D$6,'Planning Sheet'!CK411='Weeks Plan'!$G$6),'Planning Sheet'!$B411,"")</f>
        <v/>
      </c>
      <c r="Z3864" s="48" t="str">
        <f ca="1">IF(AND('Planning Sheet'!CQ411='Weeks Plan'!$D$6,'Planning Sheet'!CK411='Weeks Plan'!$G$6),'Planning Sheet'!$CL411,"")</f>
        <v/>
      </c>
      <c r="AA3864" s="48" t="str">
        <f ca="1">IF(AND('Planning Sheet'!CQ411='Weeks Plan'!$D$6,'Planning Sheet'!CK411='Weeks Plan'!$G$6),'Planning Sheet'!$CM411,"")</f>
        <v/>
      </c>
    </row>
    <row r="3865" spans="25:27" x14ac:dyDescent="0.3">
      <c r="Y3865" s="48" t="str">
        <f ca="1">IF(AND('Planning Sheet'!CQ412='Weeks Plan'!$D$6,'Planning Sheet'!CK412='Weeks Plan'!$G$6),'Planning Sheet'!$B412,"")</f>
        <v/>
      </c>
      <c r="Z3865" s="48" t="str">
        <f ca="1">IF(AND('Planning Sheet'!CQ412='Weeks Plan'!$D$6,'Planning Sheet'!CK412='Weeks Plan'!$G$6),'Planning Sheet'!$CL412,"")</f>
        <v/>
      </c>
      <c r="AA3865" s="48" t="str">
        <f ca="1">IF(AND('Planning Sheet'!CQ412='Weeks Plan'!$D$6,'Planning Sheet'!CK412='Weeks Plan'!$G$6),'Planning Sheet'!$CM412,"")</f>
        <v/>
      </c>
    </row>
    <row r="3866" spans="25:27" x14ac:dyDescent="0.3">
      <c r="Y3866" s="48" t="str">
        <f ca="1">IF(AND('Planning Sheet'!CQ413='Weeks Plan'!$D$6,'Planning Sheet'!CK413='Weeks Plan'!$G$6),'Planning Sheet'!$B413,"")</f>
        <v/>
      </c>
      <c r="Z3866" s="48" t="str">
        <f ca="1">IF(AND('Planning Sheet'!CQ413='Weeks Plan'!$D$6,'Planning Sheet'!CK413='Weeks Plan'!$G$6),'Planning Sheet'!$CL413,"")</f>
        <v/>
      </c>
      <c r="AA3866" s="48" t="str">
        <f ca="1">IF(AND('Planning Sheet'!CQ413='Weeks Plan'!$D$6,'Planning Sheet'!CK413='Weeks Plan'!$G$6),'Planning Sheet'!$CM413,"")</f>
        <v/>
      </c>
    </row>
    <row r="3867" spans="25:27" x14ac:dyDescent="0.3">
      <c r="Y3867" s="48" t="str">
        <f ca="1">IF(AND('Planning Sheet'!CQ414='Weeks Plan'!$D$6,'Planning Sheet'!CK414='Weeks Plan'!$G$6),'Planning Sheet'!$B414,"")</f>
        <v/>
      </c>
      <c r="Z3867" s="48" t="str">
        <f ca="1">IF(AND('Planning Sheet'!CQ414='Weeks Plan'!$D$6,'Planning Sheet'!CK414='Weeks Plan'!$G$6),'Planning Sheet'!$CL414,"")</f>
        <v/>
      </c>
      <c r="AA3867" s="48" t="str">
        <f ca="1">IF(AND('Planning Sheet'!CQ414='Weeks Plan'!$D$6,'Planning Sheet'!CK414='Weeks Plan'!$G$6),'Planning Sheet'!$CM414,"")</f>
        <v/>
      </c>
    </row>
    <row r="3868" spans="25:27" x14ac:dyDescent="0.3">
      <c r="Y3868" s="48" t="str">
        <f ca="1">IF(AND('Planning Sheet'!CQ415='Weeks Plan'!$D$6,'Planning Sheet'!CK415='Weeks Plan'!$G$6),'Planning Sheet'!$B415,"")</f>
        <v/>
      </c>
      <c r="Z3868" s="48" t="str">
        <f ca="1">IF(AND('Planning Sheet'!CQ415='Weeks Plan'!$D$6,'Planning Sheet'!CK415='Weeks Plan'!$G$6),'Planning Sheet'!$CL415,"")</f>
        <v/>
      </c>
      <c r="AA3868" s="48" t="str">
        <f ca="1">IF(AND('Planning Sheet'!CQ415='Weeks Plan'!$D$6,'Planning Sheet'!CK415='Weeks Plan'!$G$6),'Planning Sheet'!$CM415,"")</f>
        <v/>
      </c>
    </row>
    <row r="3869" spans="25:27" x14ac:dyDescent="0.3">
      <c r="Y3869" s="48" t="str">
        <f ca="1">IF(AND('Planning Sheet'!CQ416='Weeks Plan'!$D$6,'Planning Sheet'!CK416='Weeks Plan'!$G$6),'Planning Sheet'!$B416,"")</f>
        <v/>
      </c>
      <c r="Z3869" s="48" t="str">
        <f ca="1">IF(AND('Planning Sheet'!CQ416='Weeks Plan'!$D$6,'Planning Sheet'!CK416='Weeks Plan'!$G$6),'Planning Sheet'!$CL416,"")</f>
        <v/>
      </c>
      <c r="AA3869" s="48" t="str">
        <f ca="1">IF(AND('Planning Sheet'!CQ416='Weeks Plan'!$D$6,'Planning Sheet'!CK416='Weeks Plan'!$G$6),'Planning Sheet'!$CM416,"")</f>
        <v/>
      </c>
    </row>
    <row r="3870" spans="25:27" x14ac:dyDescent="0.3">
      <c r="Y3870" s="48" t="str">
        <f ca="1">IF(AND('Planning Sheet'!CQ417='Weeks Plan'!$D$6,'Planning Sheet'!CK417='Weeks Plan'!$G$6),'Planning Sheet'!$B417,"")</f>
        <v/>
      </c>
      <c r="Z3870" s="48" t="str">
        <f ca="1">IF(AND('Planning Sheet'!CQ417='Weeks Plan'!$D$6,'Planning Sheet'!CK417='Weeks Plan'!$G$6),'Planning Sheet'!$CL417,"")</f>
        <v/>
      </c>
      <c r="AA3870" s="48" t="str">
        <f ca="1">IF(AND('Planning Sheet'!CQ417='Weeks Plan'!$D$6,'Planning Sheet'!CK417='Weeks Plan'!$G$6),'Planning Sheet'!$CM417,"")</f>
        <v/>
      </c>
    </row>
    <row r="3871" spans="25:27" x14ac:dyDescent="0.3">
      <c r="Y3871" s="48" t="str">
        <f ca="1">IF(AND('Planning Sheet'!CQ418='Weeks Plan'!$D$6,'Planning Sheet'!CK418='Weeks Plan'!$G$6),'Planning Sheet'!$B418,"")</f>
        <v/>
      </c>
      <c r="Z3871" s="48" t="str">
        <f ca="1">IF(AND('Planning Sheet'!CQ418='Weeks Plan'!$D$6,'Planning Sheet'!CK418='Weeks Plan'!$G$6),'Planning Sheet'!$CL418,"")</f>
        <v/>
      </c>
      <c r="AA3871" s="48" t="str">
        <f ca="1">IF(AND('Planning Sheet'!CQ418='Weeks Plan'!$D$6,'Planning Sheet'!CK418='Weeks Plan'!$G$6),'Planning Sheet'!$CM418,"")</f>
        <v/>
      </c>
    </row>
    <row r="3872" spans="25:27" x14ac:dyDescent="0.3">
      <c r="Y3872" s="48" t="str">
        <f ca="1">IF(AND('Planning Sheet'!CQ419='Weeks Plan'!$D$6,'Planning Sheet'!CK419='Weeks Plan'!$G$6),'Planning Sheet'!$B419,"")</f>
        <v/>
      </c>
      <c r="Z3872" s="48" t="str">
        <f ca="1">IF(AND('Planning Sheet'!CQ419='Weeks Plan'!$D$6,'Planning Sheet'!CK419='Weeks Plan'!$G$6),'Planning Sheet'!$CL419,"")</f>
        <v/>
      </c>
      <c r="AA3872" s="48" t="str">
        <f ca="1">IF(AND('Planning Sheet'!CQ419='Weeks Plan'!$D$6,'Planning Sheet'!CK419='Weeks Plan'!$G$6),'Planning Sheet'!$CM419,"")</f>
        <v/>
      </c>
    </row>
    <row r="3873" spans="25:27" x14ac:dyDescent="0.3">
      <c r="Y3873" s="48" t="str">
        <f ca="1">IF(AND('Planning Sheet'!CQ420='Weeks Plan'!$D$6,'Planning Sheet'!CK420='Weeks Plan'!$G$6),'Planning Sheet'!$B420,"")</f>
        <v/>
      </c>
      <c r="Z3873" s="48" t="str">
        <f ca="1">IF(AND('Planning Sheet'!CQ420='Weeks Plan'!$D$6,'Planning Sheet'!CK420='Weeks Plan'!$G$6),'Planning Sheet'!$CL420,"")</f>
        <v/>
      </c>
      <c r="AA3873" s="48" t="str">
        <f ca="1">IF(AND('Planning Sheet'!CQ420='Weeks Plan'!$D$6,'Planning Sheet'!CK420='Weeks Plan'!$G$6),'Planning Sheet'!$CM420,"")</f>
        <v/>
      </c>
    </row>
    <row r="3874" spans="25:27" x14ac:dyDescent="0.3">
      <c r="Y3874" s="48" t="str">
        <f ca="1">IF(AND('Planning Sheet'!CQ421='Weeks Plan'!$D$6,'Planning Sheet'!CK421='Weeks Plan'!$G$6),'Planning Sheet'!$B421,"")</f>
        <v/>
      </c>
      <c r="Z3874" s="48" t="str">
        <f ca="1">IF(AND('Planning Sheet'!CQ421='Weeks Plan'!$D$6,'Planning Sheet'!CK421='Weeks Plan'!$G$6),'Planning Sheet'!$CL421,"")</f>
        <v/>
      </c>
      <c r="AA3874" s="48" t="str">
        <f ca="1">IF(AND('Planning Sheet'!CQ421='Weeks Plan'!$D$6,'Planning Sheet'!CK421='Weeks Plan'!$G$6),'Planning Sheet'!$CM421,"")</f>
        <v/>
      </c>
    </row>
    <row r="3875" spans="25:27" x14ac:dyDescent="0.3">
      <c r="Y3875" s="48" t="str">
        <f ca="1">IF(AND('Planning Sheet'!CQ422='Weeks Plan'!$D$6,'Planning Sheet'!CK422='Weeks Plan'!$G$6),'Planning Sheet'!$B422,"")</f>
        <v/>
      </c>
      <c r="Z3875" s="48" t="str">
        <f ca="1">IF(AND('Planning Sheet'!CQ422='Weeks Plan'!$D$6,'Planning Sheet'!CK422='Weeks Plan'!$G$6),'Planning Sheet'!$CL422,"")</f>
        <v/>
      </c>
      <c r="AA3875" s="48" t="str">
        <f ca="1">IF(AND('Planning Sheet'!CQ422='Weeks Plan'!$D$6,'Planning Sheet'!CK422='Weeks Plan'!$G$6),'Planning Sheet'!$CM422,"")</f>
        <v/>
      </c>
    </row>
    <row r="3876" spans="25:27" x14ac:dyDescent="0.3">
      <c r="Y3876" s="48" t="str">
        <f ca="1">IF(AND('Planning Sheet'!CQ423='Weeks Plan'!$D$6,'Planning Sheet'!CK423='Weeks Plan'!$G$6),'Planning Sheet'!$B423,"")</f>
        <v/>
      </c>
      <c r="Z3876" s="48" t="str">
        <f ca="1">IF(AND('Planning Sheet'!CQ423='Weeks Plan'!$D$6,'Planning Sheet'!CK423='Weeks Plan'!$G$6),'Planning Sheet'!$CL423,"")</f>
        <v/>
      </c>
      <c r="AA3876" s="48" t="str">
        <f ca="1">IF(AND('Planning Sheet'!CQ423='Weeks Plan'!$D$6,'Planning Sheet'!CK423='Weeks Plan'!$G$6),'Planning Sheet'!$CM423,"")</f>
        <v/>
      </c>
    </row>
    <row r="3877" spans="25:27" x14ac:dyDescent="0.3">
      <c r="Y3877" s="48" t="str">
        <f ca="1">IF(AND('Planning Sheet'!CQ424='Weeks Plan'!$D$6,'Planning Sheet'!CK424='Weeks Plan'!$G$6),'Planning Sheet'!$B424,"")</f>
        <v/>
      </c>
      <c r="Z3877" s="48" t="str">
        <f ca="1">IF(AND('Planning Sheet'!CQ424='Weeks Plan'!$D$6,'Planning Sheet'!CK424='Weeks Plan'!$G$6),'Planning Sheet'!$CL424,"")</f>
        <v/>
      </c>
      <c r="AA3877" s="48" t="str">
        <f ca="1">IF(AND('Planning Sheet'!CQ424='Weeks Plan'!$D$6,'Planning Sheet'!CK424='Weeks Plan'!$G$6),'Planning Sheet'!$CM424,"")</f>
        <v/>
      </c>
    </row>
    <row r="3878" spans="25:27" x14ac:dyDescent="0.3">
      <c r="Y3878" s="48" t="str">
        <f ca="1">IF(AND('Planning Sheet'!CQ425='Weeks Plan'!$D$6,'Planning Sheet'!CK425='Weeks Plan'!$G$6),'Planning Sheet'!$B425,"")</f>
        <v/>
      </c>
      <c r="Z3878" s="48" t="str">
        <f ca="1">IF(AND('Planning Sheet'!CQ425='Weeks Plan'!$D$6,'Planning Sheet'!CK425='Weeks Plan'!$G$6),'Planning Sheet'!$CL425,"")</f>
        <v/>
      </c>
      <c r="AA3878" s="48" t="str">
        <f ca="1">IF(AND('Planning Sheet'!CQ425='Weeks Plan'!$D$6,'Planning Sheet'!CK425='Weeks Plan'!$G$6),'Planning Sheet'!$CM425,"")</f>
        <v/>
      </c>
    </row>
    <row r="3879" spans="25:27" x14ac:dyDescent="0.3">
      <c r="Y3879" s="48" t="str">
        <f ca="1">IF(AND('Planning Sheet'!CQ426='Weeks Plan'!$D$6,'Planning Sheet'!CK426='Weeks Plan'!$G$6),'Planning Sheet'!$B426,"")</f>
        <v/>
      </c>
      <c r="Z3879" s="48" t="str">
        <f ca="1">IF(AND('Planning Sheet'!CQ426='Weeks Plan'!$D$6,'Planning Sheet'!CK426='Weeks Plan'!$G$6),'Planning Sheet'!$CL426,"")</f>
        <v/>
      </c>
      <c r="AA3879" s="48" t="str">
        <f ca="1">IF(AND('Planning Sheet'!CQ426='Weeks Plan'!$D$6,'Planning Sheet'!CK426='Weeks Plan'!$G$6),'Planning Sheet'!$CM426,"")</f>
        <v/>
      </c>
    </row>
    <row r="3880" spans="25:27" x14ac:dyDescent="0.3">
      <c r="Y3880" s="48" t="str">
        <f ca="1">IF(AND('Planning Sheet'!CQ427='Weeks Plan'!$D$6,'Planning Sheet'!CK427='Weeks Plan'!$G$6),'Planning Sheet'!$B427,"")</f>
        <v/>
      </c>
      <c r="Z3880" s="48" t="str">
        <f ca="1">IF(AND('Planning Sheet'!CQ427='Weeks Plan'!$D$6,'Planning Sheet'!CK427='Weeks Plan'!$G$6),'Planning Sheet'!$CL427,"")</f>
        <v/>
      </c>
      <c r="AA3880" s="48" t="str">
        <f ca="1">IF(AND('Planning Sheet'!CQ427='Weeks Plan'!$D$6,'Planning Sheet'!CK427='Weeks Plan'!$G$6),'Planning Sheet'!$CM427,"")</f>
        <v/>
      </c>
    </row>
    <row r="3881" spans="25:27" x14ac:dyDescent="0.3">
      <c r="Y3881" s="48" t="str">
        <f ca="1">IF(AND('Planning Sheet'!CQ428='Weeks Plan'!$D$6,'Planning Sheet'!CK428='Weeks Plan'!$G$6),'Planning Sheet'!$B428,"")</f>
        <v/>
      </c>
      <c r="Z3881" s="48" t="str">
        <f ca="1">IF(AND('Planning Sheet'!CQ428='Weeks Plan'!$D$6,'Planning Sheet'!CK428='Weeks Plan'!$G$6),'Planning Sheet'!$CL428,"")</f>
        <v/>
      </c>
      <c r="AA3881" s="48" t="str">
        <f ca="1">IF(AND('Planning Sheet'!CQ428='Weeks Plan'!$D$6,'Planning Sheet'!CK428='Weeks Plan'!$G$6),'Planning Sheet'!$CM428,"")</f>
        <v/>
      </c>
    </row>
    <row r="3882" spans="25:27" x14ac:dyDescent="0.3">
      <c r="Y3882" s="48" t="str">
        <f ca="1">IF(AND('Planning Sheet'!CQ429='Weeks Plan'!$D$6,'Planning Sheet'!CK429='Weeks Plan'!$G$6),'Planning Sheet'!$B429,"")</f>
        <v/>
      </c>
      <c r="Z3882" s="48" t="str">
        <f ca="1">IF(AND('Planning Sheet'!CQ429='Weeks Plan'!$D$6,'Planning Sheet'!CK429='Weeks Plan'!$G$6),'Planning Sheet'!$CL429,"")</f>
        <v/>
      </c>
      <c r="AA3882" s="48" t="str">
        <f ca="1">IF(AND('Planning Sheet'!CQ429='Weeks Plan'!$D$6,'Planning Sheet'!CK429='Weeks Plan'!$G$6),'Planning Sheet'!$CM429,"")</f>
        <v/>
      </c>
    </row>
    <row r="3883" spans="25:27" x14ac:dyDescent="0.3">
      <c r="Y3883" s="48" t="str">
        <f ca="1">IF(AND('Planning Sheet'!CQ430='Weeks Plan'!$D$6,'Planning Sheet'!CK430='Weeks Plan'!$G$6),'Planning Sheet'!$B430,"")</f>
        <v/>
      </c>
      <c r="Z3883" s="48" t="str">
        <f ca="1">IF(AND('Planning Sheet'!CQ430='Weeks Plan'!$D$6,'Planning Sheet'!CK430='Weeks Plan'!$G$6),'Planning Sheet'!$CL430,"")</f>
        <v/>
      </c>
      <c r="AA3883" s="48" t="str">
        <f ca="1">IF(AND('Planning Sheet'!CQ430='Weeks Plan'!$D$6,'Planning Sheet'!CK430='Weeks Plan'!$G$6),'Planning Sheet'!$CM430,"")</f>
        <v/>
      </c>
    </row>
    <row r="3884" spans="25:27" x14ac:dyDescent="0.3">
      <c r="Y3884" s="48" t="str">
        <f ca="1">IF(AND('Planning Sheet'!CQ431='Weeks Plan'!$D$6,'Planning Sheet'!CK431='Weeks Plan'!$G$6),'Planning Sheet'!$B431,"")</f>
        <v/>
      </c>
      <c r="Z3884" s="48" t="str">
        <f ca="1">IF(AND('Planning Sheet'!CQ431='Weeks Plan'!$D$6,'Planning Sheet'!CK431='Weeks Plan'!$G$6),'Planning Sheet'!$CL431,"")</f>
        <v/>
      </c>
      <c r="AA3884" s="48" t="str">
        <f ca="1">IF(AND('Planning Sheet'!CQ431='Weeks Plan'!$D$6,'Planning Sheet'!CK431='Weeks Plan'!$G$6),'Planning Sheet'!$CM431,"")</f>
        <v/>
      </c>
    </row>
    <row r="3885" spans="25:27" x14ac:dyDescent="0.3">
      <c r="Y3885" s="48" t="str">
        <f ca="1">IF(AND('Planning Sheet'!CQ432='Weeks Plan'!$D$6,'Planning Sheet'!CK432='Weeks Plan'!$G$6),'Planning Sheet'!$B432,"")</f>
        <v/>
      </c>
      <c r="Z3885" s="48" t="str">
        <f ca="1">IF(AND('Planning Sheet'!CQ432='Weeks Plan'!$D$6,'Planning Sheet'!CK432='Weeks Plan'!$G$6),'Planning Sheet'!$CL432,"")</f>
        <v/>
      </c>
      <c r="AA3885" s="48" t="str">
        <f ca="1">IF(AND('Planning Sheet'!CQ432='Weeks Plan'!$D$6,'Planning Sheet'!CK432='Weeks Plan'!$G$6),'Planning Sheet'!$CM432,"")</f>
        <v/>
      </c>
    </row>
    <row r="3886" spans="25:27" x14ac:dyDescent="0.3">
      <c r="Y3886" s="48" t="str">
        <f ca="1">IF(AND('Planning Sheet'!CQ433='Weeks Plan'!$D$6,'Planning Sheet'!CK433='Weeks Plan'!$G$6),'Planning Sheet'!$B433,"")</f>
        <v/>
      </c>
      <c r="Z3886" s="48" t="str">
        <f ca="1">IF(AND('Planning Sheet'!CQ433='Weeks Plan'!$D$6,'Planning Sheet'!CK433='Weeks Plan'!$G$6),'Planning Sheet'!$CL433,"")</f>
        <v/>
      </c>
      <c r="AA3886" s="48" t="str">
        <f ca="1">IF(AND('Planning Sheet'!CQ433='Weeks Plan'!$D$6,'Planning Sheet'!CK433='Weeks Plan'!$G$6),'Planning Sheet'!$CM433,"")</f>
        <v/>
      </c>
    </row>
    <row r="3887" spans="25:27" x14ac:dyDescent="0.3">
      <c r="Y3887" s="48" t="str">
        <f ca="1">IF(AND('Planning Sheet'!CQ434='Weeks Plan'!$D$6,'Planning Sheet'!CK434='Weeks Plan'!$G$6),'Planning Sheet'!$B434,"")</f>
        <v/>
      </c>
      <c r="Z3887" s="48" t="str">
        <f ca="1">IF(AND('Planning Sheet'!CQ434='Weeks Plan'!$D$6,'Planning Sheet'!CK434='Weeks Plan'!$G$6),'Planning Sheet'!$CL434,"")</f>
        <v/>
      </c>
      <c r="AA3887" s="48" t="str">
        <f ca="1">IF(AND('Planning Sheet'!CQ434='Weeks Plan'!$D$6,'Planning Sheet'!CK434='Weeks Plan'!$G$6),'Planning Sheet'!$CM434,"")</f>
        <v/>
      </c>
    </row>
    <row r="3888" spans="25:27" x14ac:dyDescent="0.3">
      <c r="Y3888" s="48" t="str">
        <f ca="1">IF(AND('Planning Sheet'!CQ435='Weeks Plan'!$D$6,'Planning Sheet'!CK435='Weeks Plan'!$G$6),'Planning Sheet'!$B435,"")</f>
        <v/>
      </c>
      <c r="Z3888" s="48" t="str">
        <f ca="1">IF(AND('Planning Sheet'!CQ435='Weeks Plan'!$D$6,'Planning Sheet'!CK435='Weeks Plan'!$G$6),'Planning Sheet'!$CL435,"")</f>
        <v/>
      </c>
      <c r="AA3888" s="48" t="str">
        <f ca="1">IF(AND('Planning Sheet'!CQ435='Weeks Plan'!$D$6,'Planning Sheet'!CK435='Weeks Plan'!$G$6),'Planning Sheet'!$CM435,"")</f>
        <v/>
      </c>
    </row>
    <row r="3889" spans="25:27" x14ac:dyDescent="0.3">
      <c r="Y3889" s="48" t="str">
        <f ca="1">IF(AND('Planning Sheet'!CQ436='Weeks Plan'!$D$6,'Planning Sheet'!CK436='Weeks Plan'!$G$6),'Planning Sheet'!$B436,"")</f>
        <v/>
      </c>
      <c r="Z3889" s="48" t="str">
        <f ca="1">IF(AND('Planning Sheet'!CQ436='Weeks Plan'!$D$6,'Planning Sheet'!CK436='Weeks Plan'!$G$6),'Planning Sheet'!$CL436,"")</f>
        <v/>
      </c>
      <c r="AA3889" s="48" t="str">
        <f ca="1">IF(AND('Planning Sheet'!CQ436='Weeks Plan'!$D$6,'Planning Sheet'!CK436='Weeks Plan'!$G$6),'Planning Sheet'!$CM436,"")</f>
        <v/>
      </c>
    </row>
    <row r="3890" spans="25:27" x14ac:dyDescent="0.3">
      <c r="Y3890" s="48" t="str">
        <f ca="1">IF(AND('Planning Sheet'!CQ437='Weeks Plan'!$D$6,'Planning Sheet'!CK437='Weeks Plan'!$G$6),'Planning Sheet'!$B437,"")</f>
        <v/>
      </c>
      <c r="Z3890" s="48" t="str">
        <f ca="1">IF(AND('Planning Sheet'!CQ437='Weeks Plan'!$D$6,'Planning Sheet'!CK437='Weeks Plan'!$G$6),'Planning Sheet'!$CL437,"")</f>
        <v/>
      </c>
      <c r="AA3890" s="48" t="str">
        <f ca="1">IF(AND('Planning Sheet'!CQ437='Weeks Plan'!$D$6,'Planning Sheet'!CK437='Weeks Plan'!$G$6),'Planning Sheet'!$CM437,"")</f>
        <v/>
      </c>
    </row>
    <row r="3891" spans="25:27" x14ac:dyDescent="0.3">
      <c r="Y3891" s="48" t="str">
        <f ca="1">IF(AND('Planning Sheet'!CQ438='Weeks Plan'!$D$6,'Planning Sheet'!CK438='Weeks Plan'!$G$6),'Planning Sheet'!$B438,"")</f>
        <v/>
      </c>
      <c r="Z3891" s="48" t="str">
        <f ca="1">IF(AND('Planning Sheet'!CQ438='Weeks Plan'!$D$6,'Planning Sheet'!CK438='Weeks Plan'!$G$6),'Planning Sheet'!$CL438,"")</f>
        <v/>
      </c>
      <c r="AA3891" s="48" t="str">
        <f ca="1">IF(AND('Planning Sheet'!CQ438='Weeks Plan'!$D$6,'Planning Sheet'!CK438='Weeks Plan'!$G$6),'Planning Sheet'!$CM438,"")</f>
        <v/>
      </c>
    </row>
    <row r="3892" spans="25:27" x14ac:dyDescent="0.3">
      <c r="Y3892" s="48" t="str">
        <f ca="1">IF(AND('Planning Sheet'!CQ439='Weeks Plan'!$D$6,'Planning Sheet'!CK439='Weeks Plan'!$G$6),'Planning Sheet'!$B439,"")</f>
        <v/>
      </c>
      <c r="Z3892" s="48" t="str">
        <f ca="1">IF(AND('Planning Sheet'!CQ439='Weeks Plan'!$D$6,'Planning Sheet'!CK439='Weeks Plan'!$G$6),'Planning Sheet'!$CL439,"")</f>
        <v/>
      </c>
      <c r="AA3892" s="48" t="str">
        <f ca="1">IF(AND('Planning Sheet'!CQ439='Weeks Plan'!$D$6,'Planning Sheet'!CK439='Weeks Plan'!$G$6),'Planning Sheet'!$CM439,"")</f>
        <v/>
      </c>
    </row>
    <row r="3893" spans="25:27" x14ac:dyDescent="0.3">
      <c r="Y3893" s="48" t="str">
        <f ca="1">IF(AND('Planning Sheet'!CQ440='Weeks Plan'!$D$6,'Planning Sheet'!CK440='Weeks Plan'!$G$6),'Planning Sheet'!$B440,"")</f>
        <v/>
      </c>
      <c r="Z3893" s="48" t="str">
        <f ca="1">IF(AND('Planning Sheet'!CQ440='Weeks Plan'!$D$6,'Planning Sheet'!CK440='Weeks Plan'!$G$6),'Planning Sheet'!$CL440,"")</f>
        <v/>
      </c>
      <c r="AA3893" s="48" t="str">
        <f ca="1">IF(AND('Planning Sheet'!CQ440='Weeks Plan'!$D$6,'Planning Sheet'!CK440='Weeks Plan'!$G$6),'Planning Sheet'!$CM440,"")</f>
        <v/>
      </c>
    </row>
    <row r="3894" spans="25:27" x14ac:dyDescent="0.3">
      <c r="Y3894" s="48" t="str">
        <f ca="1">IF(AND('Planning Sheet'!CQ441='Weeks Plan'!$D$6,'Planning Sheet'!CK441='Weeks Plan'!$G$6),'Planning Sheet'!$B441,"")</f>
        <v/>
      </c>
      <c r="Z3894" s="48" t="str">
        <f ca="1">IF(AND('Planning Sheet'!CQ441='Weeks Plan'!$D$6,'Planning Sheet'!CK441='Weeks Plan'!$G$6),'Planning Sheet'!$CL441,"")</f>
        <v/>
      </c>
      <c r="AA3894" s="48" t="str">
        <f ca="1">IF(AND('Planning Sheet'!CQ441='Weeks Plan'!$D$6,'Planning Sheet'!CK441='Weeks Plan'!$G$6),'Planning Sheet'!$CM441,"")</f>
        <v/>
      </c>
    </row>
    <row r="3895" spans="25:27" x14ac:dyDescent="0.3">
      <c r="Y3895" s="48" t="str">
        <f ca="1">IF(AND('Planning Sheet'!CQ442='Weeks Plan'!$D$6,'Planning Sheet'!CK442='Weeks Plan'!$G$6),'Planning Sheet'!$B442,"")</f>
        <v/>
      </c>
      <c r="Z3895" s="48" t="str">
        <f ca="1">IF(AND('Planning Sheet'!CQ442='Weeks Plan'!$D$6,'Planning Sheet'!CK442='Weeks Plan'!$G$6),'Planning Sheet'!$CL442,"")</f>
        <v/>
      </c>
      <c r="AA3895" s="48" t="str">
        <f ca="1">IF(AND('Planning Sheet'!CQ442='Weeks Plan'!$D$6,'Planning Sheet'!CK442='Weeks Plan'!$G$6),'Planning Sheet'!$CM442,"")</f>
        <v/>
      </c>
    </row>
    <row r="3896" spans="25:27" x14ac:dyDescent="0.3">
      <c r="Y3896" s="48" t="str">
        <f ca="1">IF(AND('Planning Sheet'!CQ443='Weeks Plan'!$D$6,'Planning Sheet'!CK443='Weeks Plan'!$G$6),'Planning Sheet'!$B443,"")</f>
        <v/>
      </c>
      <c r="Z3896" s="48" t="str">
        <f ca="1">IF(AND('Planning Sheet'!CQ443='Weeks Plan'!$D$6,'Planning Sheet'!CK443='Weeks Plan'!$G$6),'Planning Sheet'!$CL443,"")</f>
        <v/>
      </c>
      <c r="AA3896" s="48" t="str">
        <f ca="1">IF(AND('Planning Sheet'!CQ443='Weeks Plan'!$D$6,'Planning Sheet'!CK443='Weeks Plan'!$G$6),'Planning Sheet'!$CM443,"")</f>
        <v/>
      </c>
    </row>
    <row r="3897" spans="25:27" x14ac:dyDescent="0.3">
      <c r="Y3897" s="48" t="str">
        <f ca="1">IF(AND('Planning Sheet'!CQ444='Weeks Plan'!$D$6,'Planning Sheet'!CK444='Weeks Plan'!$G$6),'Planning Sheet'!$B444,"")</f>
        <v/>
      </c>
      <c r="Z3897" s="48" t="str">
        <f ca="1">IF(AND('Planning Sheet'!CQ444='Weeks Plan'!$D$6,'Planning Sheet'!CK444='Weeks Plan'!$G$6),'Planning Sheet'!$CL444,"")</f>
        <v/>
      </c>
      <c r="AA3897" s="48" t="str">
        <f ca="1">IF(AND('Planning Sheet'!CQ444='Weeks Plan'!$D$6,'Planning Sheet'!CK444='Weeks Plan'!$G$6),'Planning Sheet'!$CM444,"")</f>
        <v/>
      </c>
    </row>
    <row r="3898" spans="25:27" x14ac:dyDescent="0.3">
      <c r="Y3898" s="48" t="str">
        <f ca="1">IF(AND('Planning Sheet'!CQ445='Weeks Plan'!$D$6,'Planning Sheet'!CK445='Weeks Plan'!$G$6),'Planning Sheet'!$B445,"")</f>
        <v/>
      </c>
      <c r="Z3898" s="48" t="str">
        <f ca="1">IF(AND('Planning Sheet'!CQ445='Weeks Plan'!$D$6,'Planning Sheet'!CK445='Weeks Plan'!$G$6),'Planning Sheet'!$CL445,"")</f>
        <v/>
      </c>
      <c r="AA3898" s="48" t="str">
        <f ca="1">IF(AND('Planning Sheet'!CQ445='Weeks Plan'!$D$6,'Planning Sheet'!CK445='Weeks Plan'!$G$6),'Planning Sheet'!$CM445,"")</f>
        <v/>
      </c>
    </row>
    <row r="3899" spans="25:27" x14ac:dyDescent="0.3">
      <c r="Y3899" s="48" t="str">
        <f ca="1">IF(AND('Planning Sheet'!CQ446='Weeks Plan'!$D$6,'Planning Sheet'!CK446='Weeks Plan'!$G$6),'Planning Sheet'!$B446,"")</f>
        <v/>
      </c>
      <c r="Z3899" s="48" t="str">
        <f ca="1">IF(AND('Planning Sheet'!CQ446='Weeks Plan'!$D$6,'Planning Sheet'!CK446='Weeks Plan'!$G$6),'Planning Sheet'!$CL446,"")</f>
        <v/>
      </c>
      <c r="AA3899" s="48" t="str">
        <f ca="1">IF(AND('Planning Sheet'!CQ446='Weeks Plan'!$D$6,'Planning Sheet'!CK446='Weeks Plan'!$G$6),'Planning Sheet'!$CM446,"")</f>
        <v/>
      </c>
    </row>
    <row r="3900" spans="25:27" x14ac:dyDescent="0.3">
      <c r="Y3900" s="48" t="str">
        <f ca="1">IF(AND('Planning Sheet'!CQ447='Weeks Plan'!$D$6,'Planning Sheet'!CK447='Weeks Plan'!$G$6),'Planning Sheet'!$B447,"")</f>
        <v/>
      </c>
      <c r="Z3900" s="48" t="str">
        <f ca="1">IF(AND('Planning Sheet'!CQ447='Weeks Plan'!$D$6,'Planning Sheet'!CK447='Weeks Plan'!$G$6),'Planning Sheet'!$CL447,"")</f>
        <v/>
      </c>
      <c r="AA3900" s="48" t="str">
        <f ca="1">IF(AND('Planning Sheet'!CQ447='Weeks Plan'!$D$6,'Planning Sheet'!CK447='Weeks Plan'!$G$6),'Planning Sheet'!$CM447,"")</f>
        <v/>
      </c>
    </row>
    <row r="3901" spans="25:27" x14ac:dyDescent="0.3">
      <c r="Y3901" s="48" t="str">
        <f ca="1">IF(AND('Planning Sheet'!CQ448='Weeks Plan'!$D$6,'Planning Sheet'!CK448='Weeks Plan'!$G$6),'Planning Sheet'!$B448,"")</f>
        <v/>
      </c>
      <c r="Z3901" s="48" t="str">
        <f ca="1">IF(AND('Planning Sheet'!CQ448='Weeks Plan'!$D$6,'Planning Sheet'!CK448='Weeks Plan'!$G$6),'Planning Sheet'!$CL448,"")</f>
        <v/>
      </c>
      <c r="AA3901" s="48" t="str">
        <f ca="1">IF(AND('Planning Sheet'!CQ448='Weeks Plan'!$D$6,'Planning Sheet'!CK448='Weeks Plan'!$G$6),'Planning Sheet'!$CM448,"")</f>
        <v/>
      </c>
    </row>
    <row r="3902" spans="25:27" x14ac:dyDescent="0.3">
      <c r="Y3902" s="48" t="str">
        <f ca="1">IF(AND('Planning Sheet'!CQ449='Weeks Plan'!$D$6,'Planning Sheet'!CK449='Weeks Plan'!$G$6),'Planning Sheet'!$B449,"")</f>
        <v/>
      </c>
      <c r="Z3902" s="48" t="str">
        <f ca="1">IF(AND('Planning Sheet'!CQ449='Weeks Plan'!$D$6,'Planning Sheet'!CK449='Weeks Plan'!$G$6),'Planning Sheet'!$CL449,"")</f>
        <v/>
      </c>
      <c r="AA3902" s="48" t="str">
        <f ca="1">IF(AND('Planning Sheet'!CQ449='Weeks Plan'!$D$6,'Planning Sheet'!CK449='Weeks Plan'!$G$6),'Planning Sheet'!$CM449,"")</f>
        <v/>
      </c>
    </row>
    <row r="3903" spans="25:27" x14ac:dyDescent="0.3">
      <c r="Y3903" s="48" t="str">
        <f ca="1">IF(AND('Planning Sheet'!CQ450='Weeks Plan'!$D$6,'Planning Sheet'!CK450='Weeks Plan'!$G$6),'Planning Sheet'!$B450,"")</f>
        <v/>
      </c>
      <c r="Z3903" s="48" t="str">
        <f ca="1">IF(AND('Planning Sheet'!CQ450='Weeks Plan'!$D$6,'Planning Sheet'!CK450='Weeks Plan'!$G$6),'Planning Sheet'!$CL450,"")</f>
        <v/>
      </c>
      <c r="AA3903" s="48" t="str">
        <f ca="1">IF(AND('Planning Sheet'!CQ450='Weeks Plan'!$D$6,'Planning Sheet'!CK450='Weeks Plan'!$G$6),'Planning Sheet'!$CM450,"")</f>
        <v/>
      </c>
    </row>
    <row r="3904" spans="25:27" x14ac:dyDescent="0.3">
      <c r="Y3904" s="48" t="str">
        <f ca="1">IF(AND('Planning Sheet'!CQ451='Weeks Plan'!$D$6,'Planning Sheet'!CK451='Weeks Plan'!$G$6),'Planning Sheet'!$B451,"")</f>
        <v/>
      </c>
      <c r="Z3904" s="48" t="str">
        <f ca="1">IF(AND('Planning Sheet'!CQ451='Weeks Plan'!$D$6,'Planning Sheet'!CK451='Weeks Plan'!$G$6),'Planning Sheet'!$CL451,"")</f>
        <v/>
      </c>
      <c r="AA3904" s="48" t="str">
        <f ca="1">IF(AND('Planning Sheet'!CQ451='Weeks Plan'!$D$6,'Planning Sheet'!CK451='Weeks Plan'!$G$6),'Planning Sheet'!$CM451,"")</f>
        <v/>
      </c>
    </row>
    <row r="3905" spans="25:27" x14ac:dyDescent="0.3">
      <c r="Y3905" s="48" t="str">
        <f ca="1">IF(AND('Planning Sheet'!CQ452='Weeks Plan'!$D$6,'Planning Sheet'!CK452='Weeks Plan'!$G$6),'Planning Sheet'!$B452,"")</f>
        <v/>
      </c>
      <c r="Z3905" s="48" t="str">
        <f ca="1">IF(AND('Planning Sheet'!CQ452='Weeks Plan'!$D$6,'Planning Sheet'!CK452='Weeks Plan'!$G$6),'Planning Sheet'!$CL452,"")</f>
        <v/>
      </c>
      <c r="AA3905" s="48" t="str">
        <f ca="1">IF(AND('Planning Sheet'!CQ452='Weeks Plan'!$D$6,'Planning Sheet'!CK452='Weeks Plan'!$G$6),'Planning Sheet'!$CM452,"")</f>
        <v/>
      </c>
    </row>
    <row r="3906" spans="25:27" x14ac:dyDescent="0.3">
      <c r="Y3906" s="48" t="str">
        <f ca="1">IF(AND('Planning Sheet'!CQ453='Weeks Plan'!$D$6,'Planning Sheet'!CK453='Weeks Plan'!$G$6),'Planning Sheet'!$B453,"")</f>
        <v/>
      </c>
      <c r="Z3906" s="48" t="str">
        <f ca="1">IF(AND('Planning Sheet'!CQ453='Weeks Plan'!$D$6,'Planning Sheet'!CK453='Weeks Plan'!$G$6),'Planning Sheet'!$CL453,"")</f>
        <v/>
      </c>
      <c r="AA3906" s="48" t="str">
        <f ca="1">IF(AND('Planning Sheet'!CQ453='Weeks Plan'!$D$6,'Planning Sheet'!CK453='Weeks Plan'!$G$6),'Planning Sheet'!$CM453,"")</f>
        <v/>
      </c>
    </row>
    <row r="3907" spans="25:27" x14ac:dyDescent="0.3">
      <c r="Y3907" s="48" t="str">
        <f ca="1">IF(AND('Planning Sheet'!CQ454='Weeks Plan'!$D$6,'Planning Sheet'!CK454='Weeks Plan'!$G$6),'Planning Sheet'!$B454,"")</f>
        <v/>
      </c>
      <c r="Z3907" s="48" t="str">
        <f ca="1">IF(AND('Planning Sheet'!CQ454='Weeks Plan'!$D$6,'Planning Sheet'!CK454='Weeks Plan'!$G$6),'Planning Sheet'!$CL454,"")</f>
        <v/>
      </c>
      <c r="AA3907" s="48" t="str">
        <f ca="1">IF(AND('Planning Sheet'!CQ454='Weeks Plan'!$D$6,'Planning Sheet'!CK454='Weeks Plan'!$G$6),'Planning Sheet'!$CM454,"")</f>
        <v/>
      </c>
    </row>
    <row r="3908" spans="25:27" x14ac:dyDescent="0.3">
      <c r="Y3908" s="48" t="str">
        <f ca="1">IF(AND('Planning Sheet'!CQ455='Weeks Plan'!$D$6,'Planning Sheet'!CK455='Weeks Plan'!$G$6),'Planning Sheet'!$B455,"")</f>
        <v/>
      </c>
      <c r="Z3908" s="48" t="str">
        <f ca="1">IF(AND('Planning Sheet'!CQ455='Weeks Plan'!$D$6,'Planning Sheet'!CK455='Weeks Plan'!$G$6),'Planning Sheet'!$CL455,"")</f>
        <v/>
      </c>
      <c r="AA3908" s="48" t="str">
        <f ca="1">IF(AND('Planning Sheet'!CQ455='Weeks Plan'!$D$6,'Planning Sheet'!CK455='Weeks Plan'!$G$6),'Planning Sheet'!$CM455,"")</f>
        <v/>
      </c>
    </row>
    <row r="3909" spans="25:27" x14ac:dyDescent="0.3">
      <c r="Y3909" s="48" t="str">
        <f ca="1">IF(AND('Planning Sheet'!CQ456='Weeks Plan'!$D$6,'Planning Sheet'!CK456='Weeks Plan'!$G$6),'Planning Sheet'!$B456,"")</f>
        <v/>
      </c>
      <c r="Z3909" s="48" t="str">
        <f ca="1">IF(AND('Planning Sheet'!CQ456='Weeks Plan'!$D$6,'Planning Sheet'!CK456='Weeks Plan'!$G$6),'Planning Sheet'!$CL456,"")</f>
        <v/>
      </c>
      <c r="AA3909" s="48" t="str">
        <f ca="1">IF(AND('Planning Sheet'!CQ456='Weeks Plan'!$D$6,'Planning Sheet'!CK456='Weeks Plan'!$G$6),'Planning Sheet'!$CM456,"")</f>
        <v/>
      </c>
    </row>
    <row r="3910" spans="25:27" x14ac:dyDescent="0.3">
      <c r="Y3910" s="48" t="str">
        <f ca="1">IF(AND('Planning Sheet'!CQ457='Weeks Plan'!$D$6,'Planning Sheet'!CK457='Weeks Plan'!$G$6),'Planning Sheet'!$B457,"")</f>
        <v/>
      </c>
      <c r="Z3910" s="48" t="str">
        <f ca="1">IF(AND('Planning Sheet'!CQ457='Weeks Plan'!$D$6,'Planning Sheet'!CK457='Weeks Plan'!$G$6),'Planning Sheet'!$CL457,"")</f>
        <v/>
      </c>
      <c r="AA3910" s="48" t="str">
        <f ca="1">IF(AND('Planning Sheet'!CQ457='Weeks Plan'!$D$6,'Planning Sheet'!CK457='Weeks Plan'!$G$6),'Planning Sheet'!$CM457,"")</f>
        <v/>
      </c>
    </row>
    <row r="3911" spans="25:27" x14ac:dyDescent="0.3">
      <c r="Y3911" s="48" t="str">
        <f ca="1">IF(AND('Planning Sheet'!CQ458='Weeks Plan'!$D$6,'Planning Sheet'!CK458='Weeks Plan'!$G$6),'Planning Sheet'!$B458,"")</f>
        <v/>
      </c>
      <c r="Z3911" s="48" t="str">
        <f ca="1">IF(AND('Planning Sheet'!CQ458='Weeks Plan'!$D$6,'Planning Sheet'!CK458='Weeks Plan'!$G$6),'Planning Sheet'!$CL458,"")</f>
        <v/>
      </c>
      <c r="AA3911" s="48" t="str">
        <f ca="1">IF(AND('Planning Sheet'!CQ458='Weeks Plan'!$D$6,'Planning Sheet'!CK458='Weeks Plan'!$G$6),'Planning Sheet'!$CM458,"")</f>
        <v/>
      </c>
    </row>
    <row r="3912" spans="25:27" x14ac:dyDescent="0.3">
      <c r="Y3912" s="48" t="str">
        <f ca="1">IF(AND('Planning Sheet'!CQ459='Weeks Plan'!$D$6,'Planning Sheet'!CK459='Weeks Plan'!$G$6),'Planning Sheet'!$B459,"")</f>
        <v/>
      </c>
      <c r="Z3912" s="48" t="str">
        <f ca="1">IF(AND('Planning Sheet'!CQ459='Weeks Plan'!$D$6,'Planning Sheet'!CK459='Weeks Plan'!$G$6),'Planning Sheet'!$CL459,"")</f>
        <v/>
      </c>
      <c r="AA3912" s="48" t="str">
        <f ca="1">IF(AND('Planning Sheet'!CQ459='Weeks Plan'!$D$6,'Planning Sheet'!CK459='Weeks Plan'!$G$6),'Planning Sheet'!$CM459,"")</f>
        <v/>
      </c>
    </row>
    <row r="3913" spans="25:27" x14ac:dyDescent="0.3">
      <c r="Y3913" s="48" t="str">
        <f ca="1">IF(AND('Planning Sheet'!CQ460='Weeks Plan'!$D$6,'Planning Sheet'!CK460='Weeks Plan'!$G$6),'Planning Sheet'!$B460,"")</f>
        <v/>
      </c>
      <c r="Z3913" s="48" t="str">
        <f ca="1">IF(AND('Planning Sheet'!CQ460='Weeks Plan'!$D$6,'Planning Sheet'!CK460='Weeks Plan'!$G$6),'Planning Sheet'!$CL460,"")</f>
        <v/>
      </c>
      <c r="AA3913" s="48" t="str">
        <f ca="1">IF(AND('Planning Sheet'!CQ460='Weeks Plan'!$D$6,'Planning Sheet'!CK460='Weeks Plan'!$G$6),'Planning Sheet'!$CM460,"")</f>
        <v/>
      </c>
    </row>
    <row r="3914" spans="25:27" x14ac:dyDescent="0.3">
      <c r="Y3914" s="48" t="str">
        <f ca="1">IF(AND('Planning Sheet'!CQ461='Weeks Plan'!$D$6,'Planning Sheet'!CK461='Weeks Plan'!$G$6),'Planning Sheet'!$B461,"")</f>
        <v/>
      </c>
      <c r="Z3914" s="48" t="str">
        <f ca="1">IF(AND('Planning Sheet'!CQ461='Weeks Plan'!$D$6,'Planning Sheet'!CK461='Weeks Plan'!$G$6),'Planning Sheet'!$CL461,"")</f>
        <v/>
      </c>
      <c r="AA3914" s="48" t="str">
        <f ca="1">IF(AND('Planning Sheet'!CQ461='Weeks Plan'!$D$6,'Planning Sheet'!CK461='Weeks Plan'!$G$6),'Planning Sheet'!$CM461,"")</f>
        <v/>
      </c>
    </row>
    <row r="3915" spans="25:27" x14ac:dyDescent="0.3">
      <c r="Y3915" s="48" t="str">
        <f ca="1">IF(AND('Planning Sheet'!CQ462='Weeks Plan'!$D$6,'Planning Sheet'!CK462='Weeks Plan'!$G$6),'Planning Sheet'!$B462,"")</f>
        <v/>
      </c>
      <c r="Z3915" s="48" t="str">
        <f ca="1">IF(AND('Planning Sheet'!CQ462='Weeks Plan'!$D$6,'Planning Sheet'!CK462='Weeks Plan'!$G$6),'Planning Sheet'!$CL462,"")</f>
        <v/>
      </c>
      <c r="AA3915" s="48" t="str">
        <f ca="1">IF(AND('Planning Sheet'!CQ462='Weeks Plan'!$D$6,'Planning Sheet'!CK462='Weeks Plan'!$G$6),'Planning Sheet'!$CM462,"")</f>
        <v/>
      </c>
    </row>
    <row r="3916" spans="25:27" x14ac:dyDescent="0.3">
      <c r="Y3916" s="48" t="str">
        <f ca="1">IF(AND('Planning Sheet'!CQ463='Weeks Plan'!$D$6,'Planning Sheet'!CK463='Weeks Plan'!$G$6),'Planning Sheet'!$B463,"")</f>
        <v/>
      </c>
      <c r="Z3916" s="48" t="str">
        <f ca="1">IF(AND('Planning Sheet'!CQ463='Weeks Plan'!$D$6,'Planning Sheet'!CK463='Weeks Plan'!$G$6),'Planning Sheet'!$CL463,"")</f>
        <v/>
      </c>
      <c r="AA3916" s="48" t="str">
        <f ca="1">IF(AND('Planning Sheet'!CQ463='Weeks Plan'!$D$6,'Planning Sheet'!CK463='Weeks Plan'!$G$6),'Planning Sheet'!$CM463,"")</f>
        <v/>
      </c>
    </row>
    <row r="3917" spans="25:27" x14ac:dyDescent="0.3">
      <c r="Y3917" s="48" t="str">
        <f ca="1">IF(AND('Planning Sheet'!CQ464='Weeks Plan'!$D$6,'Planning Sheet'!CK464='Weeks Plan'!$G$6),'Planning Sheet'!$B464,"")</f>
        <v/>
      </c>
      <c r="Z3917" s="48" t="str">
        <f ca="1">IF(AND('Planning Sheet'!CQ464='Weeks Plan'!$D$6,'Planning Sheet'!CK464='Weeks Plan'!$G$6),'Planning Sheet'!$CL464,"")</f>
        <v/>
      </c>
      <c r="AA3917" s="48" t="str">
        <f ca="1">IF(AND('Planning Sheet'!CQ464='Weeks Plan'!$D$6,'Planning Sheet'!CK464='Weeks Plan'!$G$6),'Planning Sheet'!$CM464,"")</f>
        <v/>
      </c>
    </row>
    <row r="3918" spans="25:27" x14ac:dyDescent="0.3">
      <c r="Y3918" s="48" t="str">
        <f ca="1">IF(AND('Planning Sheet'!CQ465='Weeks Plan'!$D$6,'Planning Sheet'!CK465='Weeks Plan'!$G$6),'Planning Sheet'!$B465,"")</f>
        <v/>
      </c>
      <c r="Z3918" s="48" t="str">
        <f ca="1">IF(AND('Planning Sheet'!CQ465='Weeks Plan'!$D$6,'Planning Sheet'!CK465='Weeks Plan'!$G$6),'Planning Sheet'!$CL465,"")</f>
        <v/>
      </c>
      <c r="AA3918" s="48" t="str">
        <f ca="1">IF(AND('Planning Sheet'!CQ465='Weeks Plan'!$D$6,'Planning Sheet'!CK465='Weeks Plan'!$G$6),'Planning Sheet'!$CM465,"")</f>
        <v/>
      </c>
    </row>
    <row r="3919" spans="25:27" x14ac:dyDescent="0.3">
      <c r="Y3919" s="48" t="str">
        <f ca="1">IF(AND('Planning Sheet'!CQ466='Weeks Plan'!$D$6,'Planning Sheet'!CK466='Weeks Plan'!$G$6),'Planning Sheet'!$B466,"")</f>
        <v/>
      </c>
      <c r="Z3919" s="48" t="str">
        <f ca="1">IF(AND('Planning Sheet'!CQ466='Weeks Plan'!$D$6,'Planning Sheet'!CK466='Weeks Plan'!$G$6),'Planning Sheet'!$CL466,"")</f>
        <v/>
      </c>
      <c r="AA3919" s="48" t="str">
        <f ca="1">IF(AND('Planning Sheet'!CQ466='Weeks Plan'!$D$6,'Planning Sheet'!CK466='Weeks Plan'!$G$6),'Planning Sheet'!$CM466,"")</f>
        <v/>
      </c>
    </row>
    <row r="3920" spans="25:27" x14ac:dyDescent="0.3">
      <c r="Y3920" s="48" t="str">
        <f ca="1">IF(AND('Planning Sheet'!CQ467='Weeks Plan'!$D$6,'Planning Sheet'!CK467='Weeks Plan'!$G$6),'Planning Sheet'!$B467,"")</f>
        <v/>
      </c>
      <c r="Z3920" s="48" t="str">
        <f ca="1">IF(AND('Planning Sheet'!CQ467='Weeks Plan'!$D$6,'Planning Sheet'!CK467='Weeks Plan'!$G$6),'Planning Sheet'!$CL467,"")</f>
        <v/>
      </c>
      <c r="AA3920" s="48" t="str">
        <f ca="1">IF(AND('Planning Sheet'!CQ467='Weeks Plan'!$D$6,'Planning Sheet'!CK467='Weeks Plan'!$G$6),'Planning Sheet'!$CM467,"")</f>
        <v/>
      </c>
    </row>
    <row r="3921" spans="25:27" x14ac:dyDescent="0.3">
      <c r="Y3921" s="48" t="str">
        <f ca="1">IF(AND('Planning Sheet'!CQ468='Weeks Plan'!$D$6,'Planning Sheet'!CK468='Weeks Plan'!$G$6),'Planning Sheet'!$B468,"")</f>
        <v/>
      </c>
      <c r="Z3921" s="48" t="str">
        <f ca="1">IF(AND('Planning Sheet'!CQ468='Weeks Plan'!$D$6,'Planning Sheet'!CK468='Weeks Plan'!$G$6),'Planning Sheet'!$CL468,"")</f>
        <v/>
      </c>
      <c r="AA3921" s="48" t="str">
        <f ca="1">IF(AND('Planning Sheet'!CQ468='Weeks Plan'!$D$6,'Planning Sheet'!CK468='Weeks Plan'!$G$6),'Planning Sheet'!$CM468,"")</f>
        <v/>
      </c>
    </row>
    <row r="3922" spans="25:27" x14ac:dyDescent="0.3">
      <c r="Y3922" s="48" t="str">
        <f ca="1">IF(AND('Planning Sheet'!CQ469='Weeks Plan'!$D$6,'Planning Sheet'!CK469='Weeks Plan'!$G$6),'Planning Sheet'!$B469,"")</f>
        <v/>
      </c>
      <c r="Z3922" s="48" t="str">
        <f ca="1">IF(AND('Planning Sheet'!CQ469='Weeks Plan'!$D$6,'Planning Sheet'!CK469='Weeks Plan'!$G$6),'Planning Sheet'!$CL469,"")</f>
        <v/>
      </c>
      <c r="AA3922" s="48" t="str">
        <f ca="1">IF(AND('Planning Sheet'!CQ469='Weeks Plan'!$D$6,'Planning Sheet'!CK469='Weeks Plan'!$G$6),'Planning Sheet'!$CM469,"")</f>
        <v/>
      </c>
    </row>
    <row r="3923" spans="25:27" x14ac:dyDescent="0.3">
      <c r="Y3923" s="48" t="str">
        <f ca="1">IF(AND('Planning Sheet'!CQ470='Weeks Plan'!$D$6,'Planning Sheet'!CK470='Weeks Plan'!$G$6),'Planning Sheet'!$B470,"")</f>
        <v/>
      </c>
      <c r="Z3923" s="48" t="str">
        <f ca="1">IF(AND('Planning Sheet'!CQ470='Weeks Plan'!$D$6,'Planning Sheet'!CK470='Weeks Plan'!$G$6),'Planning Sheet'!$CL470,"")</f>
        <v/>
      </c>
      <c r="AA3923" s="48" t="str">
        <f ca="1">IF(AND('Planning Sheet'!CQ470='Weeks Plan'!$D$6,'Planning Sheet'!CK470='Weeks Plan'!$G$6),'Planning Sheet'!$CM470,"")</f>
        <v/>
      </c>
    </row>
    <row r="3924" spans="25:27" x14ac:dyDescent="0.3">
      <c r="Y3924" s="48" t="str">
        <f ca="1">IF(AND('Planning Sheet'!CQ471='Weeks Plan'!$D$6,'Planning Sheet'!CK471='Weeks Plan'!$G$6),'Planning Sheet'!$B471,"")</f>
        <v/>
      </c>
      <c r="Z3924" s="48" t="str">
        <f ca="1">IF(AND('Planning Sheet'!CQ471='Weeks Plan'!$D$6,'Planning Sheet'!CK471='Weeks Plan'!$G$6),'Planning Sheet'!$CL471,"")</f>
        <v/>
      </c>
      <c r="AA3924" s="48" t="str">
        <f ca="1">IF(AND('Planning Sheet'!CQ471='Weeks Plan'!$D$6,'Planning Sheet'!CK471='Weeks Plan'!$G$6),'Planning Sheet'!$CM471,"")</f>
        <v/>
      </c>
    </row>
    <row r="3925" spans="25:27" x14ac:dyDescent="0.3">
      <c r="Y3925" s="48" t="str">
        <f ca="1">IF(AND('Planning Sheet'!CQ472='Weeks Plan'!$D$6,'Planning Sheet'!CK472='Weeks Plan'!$G$6),'Planning Sheet'!$B472,"")</f>
        <v/>
      </c>
      <c r="Z3925" s="48" t="str">
        <f ca="1">IF(AND('Planning Sheet'!CQ472='Weeks Plan'!$D$6,'Planning Sheet'!CK472='Weeks Plan'!$G$6),'Planning Sheet'!$CL472,"")</f>
        <v/>
      </c>
      <c r="AA3925" s="48" t="str">
        <f ca="1">IF(AND('Planning Sheet'!CQ472='Weeks Plan'!$D$6,'Planning Sheet'!CK472='Weeks Plan'!$G$6),'Planning Sheet'!$CM472,"")</f>
        <v/>
      </c>
    </row>
    <row r="3926" spans="25:27" x14ac:dyDescent="0.3">
      <c r="Y3926" s="48" t="str">
        <f ca="1">IF(AND('Planning Sheet'!CQ473='Weeks Plan'!$D$6,'Planning Sheet'!CK473='Weeks Plan'!$G$6),'Planning Sheet'!$B473,"")</f>
        <v/>
      </c>
      <c r="Z3926" s="48" t="str">
        <f ca="1">IF(AND('Planning Sheet'!CQ473='Weeks Plan'!$D$6,'Planning Sheet'!CK473='Weeks Plan'!$G$6),'Planning Sheet'!$CL473,"")</f>
        <v/>
      </c>
      <c r="AA3926" s="48" t="str">
        <f ca="1">IF(AND('Planning Sheet'!CQ473='Weeks Plan'!$D$6,'Planning Sheet'!CK473='Weeks Plan'!$G$6),'Planning Sheet'!$CM473,"")</f>
        <v/>
      </c>
    </row>
    <row r="3927" spans="25:27" x14ac:dyDescent="0.3">
      <c r="Y3927" s="48" t="str">
        <f ca="1">IF(AND('Planning Sheet'!CQ474='Weeks Plan'!$D$6,'Planning Sheet'!CK474='Weeks Plan'!$G$6),'Planning Sheet'!$B474,"")</f>
        <v/>
      </c>
      <c r="Z3927" s="48" t="str">
        <f ca="1">IF(AND('Planning Sheet'!CQ474='Weeks Plan'!$D$6,'Planning Sheet'!CK474='Weeks Plan'!$G$6),'Planning Sheet'!$CL474,"")</f>
        <v/>
      </c>
      <c r="AA3927" s="48" t="str">
        <f ca="1">IF(AND('Planning Sheet'!CQ474='Weeks Plan'!$D$6,'Planning Sheet'!CK474='Weeks Plan'!$G$6),'Planning Sheet'!$CM474,"")</f>
        <v/>
      </c>
    </row>
    <row r="3928" spans="25:27" x14ac:dyDescent="0.3">
      <c r="Y3928" s="48" t="str">
        <f ca="1">IF(AND('Planning Sheet'!CQ475='Weeks Plan'!$D$6,'Planning Sheet'!CK475='Weeks Plan'!$G$6),'Planning Sheet'!$B475,"")</f>
        <v/>
      </c>
      <c r="Z3928" s="48" t="str">
        <f ca="1">IF(AND('Planning Sheet'!CQ475='Weeks Plan'!$D$6,'Planning Sheet'!CK475='Weeks Plan'!$G$6),'Planning Sheet'!$CL475,"")</f>
        <v/>
      </c>
      <c r="AA3928" s="48" t="str">
        <f ca="1">IF(AND('Planning Sheet'!CQ475='Weeks Plan'!$D$6,'Planning Sheet'!CK475='Weeks Plan'!$G$6),'Planning Sheet'!$CM475,"")</f>
        <v/>
      </c>
    </row>
    <row r="3929" spans="25:27" x14ac:dyDescent="0.3">
      <c r="Y3929" s="48" t="str">
        <f ca="1">IF(AND('Planning Sheet'!CQ476='Weeks Plan'!$D$6,'Planning Sheet'!CK476='Weeks Plan'!$G$6),'Planning Sheet'!$B476,"")</f>
        <v/>
      </c>
      <c r="Z3929" s="48" t="str">
        <f ca="1">IF(AND('Planning Sheet'!CQ476='Weeks Plan'!$D$6,'Planning Sheet'!CK476='Weeks Plan'!$G$6),'Planning Sheet'!$CL476,"")</f>
        <v/>
      </c>
      <c r="AA3929" s="48" t="str">
        <f ca="1">IF(AND('Planning Sheet'!CQ476='Weeks Plan'!$D$6,'Planning Sheet'!CK476='Weeks Plan'!$G$6),'Planning Sheet'!$CM476,"")</f>
        <v/>
      </c>
    </row>
    <row r="3930" spans="25:27" x14ac:dyDescent="0.3">
      <c r="Y3930" s="48" t="str">
        <f ca="1">IF(AND('Planning Sheet'!CQ477='Weeks Plan'!$D$6,'Planning Sheet'!CK477='Weeks Plan'!$G$6),'Planning Sheet'!$B477,"")</f>
        <v/>
      </c>
      <c r="Z3930" s="48" t="str">
        <f ca="1">IF(AND('Planning Sheet'!CQ477='Weeks Plan'!$D$6,'Planning Sheet'!CK477='Weeks Plan'!$G$6),'Planning Sheet'!$CL477,"")</f>
        <v/>
      </c>
      <c r="AA3930" s="48" t="str">
        <f ca="1">IF(AND('Planning Sheet'!CQ477='Weeks Plan'!$D$6,'Planning Sheet'!CK477='Weeks Plan'!$G$6),'Planning Sheet'!$CM477,"")</f>
        <v/>
      </c>
    </row>
    <row r="3931" spans="25:27" x14ac:dyDescent="0.3">
      <c r="Y3931" s="48" t="str">
        <f ca="1">IF(AND('Planning Sheet'!CQ478='Weeks Plan'!$D$6,'Planning Sheet'!CK478='Weeks Plan'!$G$6),'Planning Sheet'!$B478,"")</f>
        <v/>
      </c>
      <c r="Z3931" s="48" t="str">
        <f ca="1">IF(AND('Planning Sheet'!CQ478='Weeks Plan'!$D$6,'Planning Sheet'!CK478='Weeks Plan'!$G$6),'Planning Sheet'!$CL478,"")</f>
        <v/>
      </c>
      <c r="AA3931" s="48" t="str">
        <f ca="1">IF(AND('Planning Sheet'!CQ478='Weeks Plan'!$D$6,'Planning Sheet'!CK478='Weeks Plan'!$G$6),'Planning Sheet'!$CM478,"")</f>
        <v/>
      </c>
    </row>
    <row r="3932" spans="25:27" x14ac:dyDescent="0.3">
      <c r="Y3932" s="48" t="str">
        <f ca="1">IF(AND('Planning Sheet'!CQ479='Weeks Plan'!$D$6,'Planning Sheet'!CK479='Weeks Plan'!$G$6),'Planning Sheet'!$B479,"")</f>
        <v/>
      </c>
      <c r="Z3932" s="48" t="str">
        <f ca="1">IF(AND('Planning Sheet'!CQ479='Weeks Plan'!$D$6,'Planning Sheet'!CK479='Weeks Plan'!$G$6),'Planning Sheet'!$CL479,"")</f>
        <v/>
      </c>
      <c r="AA3932" s="48" t="str">
        <f ca="1">IF(AND('Planning Sheet'!CQ479='Weeks Plan'!$D$6,'Planning Sheet'!CK479='Weeks Plan'!$G$6),'Planning Sheet'!$CM479,"")</f>
        <v/>
      </c>
    </row>
    <row r="3933" spans="25:27" x14ac:dyDescent="0.3">
      <c r="Y3933" s="48" t="str">
        <f ca="1">IF(AND('Planning Sheet'!CQ480='Weeks Plan'!$D$6,'Planning Sheet'!CK480='Weeks Plan'!$G$6),'Planning Sheet'!$B480,"")</f>
        <v/>
      </c>
      <c r="Z3933" s="48" t="str">
        <f ca="1">IF(AND('Planning Sheet'!CQ480='Weeks Plan'!$D$6,'Planning Sheet'!CK480='Weeks Plan'!$G$6),'Planning Sheet'!$CL480,"")</f>
        <v/>
      </c>
      <c r="AA3933" s="48" t="str">
        <f ca="1">IF(AND('Planning Sheet'!CQ480='Weeks Plan'!$D$6,'Planning Sheet'!CK480='Weeks Plan'!$G$6),'Planning Sheet'!$CM480,"")</f>
        <v/>
      </c>
    </row>
    <row r="3934" spans="25:27" x14ac:dyDescent="0.3">
      <c r="Y3934" s="48" t="str">
        <f ca="1">IF(AND('Planning Sheet'!CQ481='Weeks Plan'!$D$6,'Planning Sheet'!CK481='Weeks Plan'!$G$6),'Planning Sheet'!$B481,"")</f>
        <v/>
      </c>
      <c r="Z3934" s="48" t="str">
        <f ca="1">IF(AND('Planning Sheet'!CQ481='Weeks Plan'!$D$6,'Planning Sheet'!CK481='Weeks Plan'!$G$6),'Planning Sheet'!$CL481,"")</f>
        <v/>
      </c>
      <c r="AA3934" s="48" t="str">
        <f ca="1">IF(AND('Planning Sheet'!CQ481='Weeks Plan'!$D$6,'Planning Sheet'!CK481='Weeks Plan'!$G$6),'Planning Sheet'!$CM481,"")</f>
        <v/>
      </c>
    </row>
    <row r="3935" spans="25:27" x14ac:dyDescent="0.3">
      <c r="Y3935" s="48" t="str">
        <f ca="1">IF(AND('Planning Sheet'!CQ482='Weeks Plan'!$D$6,'Planning Sheet'!CK482='Weeks Plan'!$G$6),'Planning Sheet'!$B482,"")</f>
        <v/>
      </c>
      <c r="Z3935" s="48" t="str">
        <f ca="1">IF(AND('Planning Sheet'!CQ482='Weeks Plan'!$D$6,'Planning Sheet'!CK482='Weeks Plan'!$G$6),'Planning Sheet'!$CL482,"")</f>
        <v/>
      </c>
      <c r="AA3935" s="48" t="str">
        <f ca="1">IF(AND('Planning Sheet'!CQ482='Weeks Plan'!$D$6,'Planning Sheet'!CK482='Weeks Plan'!$G$6),'Planning Sheet'!$CM482,"")</f>
        <v/>
      </c>
    </row>
    <row r="3936" spans="25:27" x14ac:dyDescent="0.3">
      <c r="Y3936" s="48" t="str">
        <f ca="1">IF(AND('Planning Sheet'!CQ483='Weeks Plan'!$D$6,'Planning Sheet'!CK483='Weeks Plan'!$G$6),'Planning Sheet'!$B483,"")</f>
        <v/>
      </c>
      <c r="Z3936" s="48" t="str">
        <f ca="1">IF(AND('Planning Sheet'!CQ483='Weeks Plan'!$D$6,'Planning Sheet'!CK483='Weeks Plan'!$G$6),'Planning Sheet'!$CL483,"")</f>
        <v/>
      </c>
      <c r="AA3936" s="48" t="str">
        <f ca="1">IF(AND('Planning Sheet'!CQ483='Weeks Plan'!$D$6,'Planning Sheet'!CK483='Weeks Plan'!$G$6),'Planning Sheet'!$CM483,"")</f>
        <v/>
      </c>
    </row>
    <row r="3937" spans="25:27" x14ac:dyDescent="0.3">
      <c r="Y3937" s="48" t="str">
        <f ca="1">IF(AND('Planning Sheet'!CQ484='Weeks Plan'!$D$6,'Planning Sheet'!CK484='Weeks Plan'!$G$6),'Planning Sheet'!$B484,"")</f>
        <v/>
      </c>
      <c r="Z3937" s="48" t="str">
        <f ca="1">IF(AND('Planning Sheet'!CQ484='Weeks Plan'!$D$6,'Planning Sheet'!CK484='Weeks Plan'!$G$6),'Planning Sheet'!$CL484,"")</f>
        <v/>
      </c>
      <c r="AA3937" s="48" t="str">
        <f ca="1">IF(AND('Planning Sheet'!CQ484='Weeks Plan'!$D$6,'Planning Sheet'!CK484='Weeks Plan'!$G$6),'Planning Sheet'!$CM484,"")</f>
        <v/>
      </c>
    </row>
    <row r="3938" spans="25:27" x14ac:dyDescent="0.3">
      <c r="Y3938" s="48" t="str">
        <f ca="1">IF(AND('Planning Sheet'!CQ485='Weeks Plan'!$D$6,'Planning Sheet'!CK485='Weeks Plan'!$G$6),'Planning Sheet'!$B485,"")</f>
        <v/>
      </c>
      <c r="Z3938" s="48" t="str">
        <f ca="1">IF(AND('Planning Sheet'!CQ485='Weeks Plan'!$D$6,'Planning Sheet'!CK485='Weeks Plan'!$G$6),'Planning Sheet'!$CL485,"")</f>
        <v/>
      </c>
      <c r="AA3938" s="48" t="str">
        <f ca="1">IF(AND('Planning Sheet'!CQ485='Weeks Plan'!$D$6,'Planning Sheet'!CK485='Weeks Plan'!$G$6),'Planning Sheet'!$CM485,"")</f>
        <v/>
      </c>
    </row>
    <row r="3939" spans="25:27" x14ac:dyDescent="0.3">
      <c r="Y3939" s="48" t="str">
        <f ca="1">IF(AND('Planning Sheet'!CQ486='Weeks Plan'!$D$6,'Planning Sheet'!CK486='Weeks Plan'!$G$6),'Planning Sheet'!$B486,"")</f>
        <v/>
      </c>
      <c r="Z3939" s="48" t="str">
        <f ca="1">IF(AND('Planning Sheet'!CQ486='Weeks Plan'!$D$6,'Planning Sheet'!CK486='Weeks Plan'!$G$6),'Planning Sheet'!$CL486,"")</f>
        <v/>
      </c>
      <c r="AA3939" s="48" t="str">
        <f ca="1">IF(AND('Planning Sheet'!CQ486='Weeks Plan'!$D$6,'Planning Sheet'!CK486='Weeks Plan'!$G$6),'Planning Sheet'!$CM486,"")</f>
        <v/>
      </c>
    </row>
    <row r="3940" spans="25:27" x14ac:dyDescent="0.3">
      <c r="Y3940" s="48" t="str">
        <f ca="1">IF(AND('Planning Sheet'!CQ487='Weeks Plan'!$D$6,'Planning Sheet'!CK487='Weeks Plan'!$G$6),'Planning Sheet'!$B487,"")</f>
        <v/>
      </c>
      <c r="Z3940" s="48" t="str">
        <f ca="1">IF(AND('Planning Sheet'!CQ487='Weeks Plan'!$D$6,'Planning Sheet'!CK487='Weeks Plan'!$G$6),'Planning Sheet'!$CL487,"")</f>
        <v/>
      </c>
      <c r="AA3940" s="48" t="str">
        <f ca="1">IF(AND('Planning Sheet'!CQ487='Weeks Plan'!$D$6,'Planning Sheet'!CK487='Weeks Plan'!$G$6),'Planning Sheet'!$CM487,"")</f>
        <v/>
      </c>
    </row>
    <row r="3941" spans="25:27" x14ac:dyDescent="0.3">
      <c r="Y3941" s="48" t="str">
        <f ca="1">IF(AND('Planning Sheet'!CQ488='Weeks Plan'!$D$6,'Planning Sheet'!CK488='Weeks Plan'!$G$6),'Planning Sheet'!$B488,"")</f>
        <v/>
      </c>
      <c r="Z3941" s="48" t="str">
        <f ca="1">IF(AND('Planning Sheet'!CQ488='Weeks Plan'!$D$6,'Planning Sheet'!CK488='Weeks Plan'!$G$6),'Planning Sheet'!$CL488,"")</f>
        <v/>
      </c>
      <c r="AA3941" s="48" t="str">
        <f ca="1">IF(AND('Planning Sheet'!CQ488='Weeks Plan'!$D$6,'Planning Sheet'!CK488='Weeks Plan'!$G$6),'Planning Sheet'!$CM488,"")</f>
        <v/>
      </c>
    </row>
    <row r="3942" spans="25:27" x14ac:dyDescent="0.3">
      <c r="Y3942" s="48" t="str">
        <f ca="1">IF(AND('Planning Sheet'!CQ489='Weeks Plan'!$D$6,'Planning Sheet'!CK489='Weeks Plan'!$G$6),'Planning Sheet'!$B489,"")</f>
        <v/>
      </c>
      <c r="Z3942" s="48" t="str">
        <f ca="1">IF(AND('Planning Sheet'!CQ489='Weeks Plan'!$D$6,'Planning Sheet'!CK489='Weeks Plan'!$G$6),'Planning Sheet'!$CL489,"")</f>
        <v/>
      </c>
      <c r="AA3942" s="48" t="str">
        <f ca="1">IF(AND('Planning Sheet'!CQ489='Weeks Plan'!$D$6,'Planning Sheet'!CK489='Weeks Plan'!$G$6),'Planning Sheet'!$CM489,"")</f>
        <v/>
      </c>
    </row>
    <row r="3943" spans="25:27" x14ac:dyDescent="0.3">
      <c r="Y3943" s="48" t="str">
        <f ca="1">IF(AND('Planning Sheet'!CQ490='Weeks Plan'!$D$6,'Planning Sheet'!CK490='Weeks Plan'!$G$6),'Planning Sheet'!$B490,"")</f>
        <v/>
      </c>
      <c r="Z3943" s="48" t="str">
        <f ca="1">IF(AND('Planning Sheet'!CQ490='Weeks Plan'!$D$6,'Planning Sheet'!CK490='Weeks Plan'!$G$6),'Planning Sheet'!$CL490,"")</f>
        <v/>
      </c>
      <c r="AA3943" s="48" t="str">
        <f ca="1">IF(AND('Planning Sheet'!CQ490='Weeks Plan'!$D$6,'Planning Sheet'!CK490='Weeks Plan'!$G$6),'Planning Sheet'!$CM490,"")</f>
        <v/>
      </c>
    </row>
    <row r="3944" spans="25:27" x14ac:dyDescent="0.3">
      <c r="Y3944" s="48" t="str">
        <f ca="1">IF(AND('Planning Sheet'!CQ491='Weeks Plan'!$D$6,'Planning Sheet'!CK491='Weeks Plan'!$G$6),'Planning Sheet'!$B491,"")</f>
        <v/>
      </c>
      <c r="Z3944" s="48" t="str">
        <f ca="1">IF(AND('Planning Sheet'!CQ491='Weeks Plan'!$D$6,'Planning Sheet'!CK491='Weeks Plan'!$G$6),'Planning Sheet'!$CL491,"")</f>
        <v/>
      </c>
      <c r="AA3944" s="48" t="str">
        <f ca="1">IF(AND('Planning Sheet'!CQ491='Weeks Plan'!$D$6,'Planning Sheet'!CK491='Weeks Plan'!$G$6),'Planning Sheet'!$CM491,"")</f>
        <v/>
      </c>
    </row>
    <row r="3945" spans="25:27" x14ac:dyDescent="0.3">
      <c r="Y3945" s="48" t="str">
        <f ca="1">IF(AND('Planning Sheet'!CQ492='Weeks Plan'!$D$6,'Planning Sheet'!CK492='Weeks Plan'!$G$6),'Planning Sheet'!$B492,"")</f>
        <v/>
      </c>
      <c r="Z3945" s="48" t="str">
        <f ca="1">IF(AND('Planning Sheet'!CQ492='Weeks Plan'!$D$6,'Planning Sheet'!CK492='Weeks Plan'!$G$6),'Planning Sheet'!$CL492,"")</f>
        <v/>
      </c>
      <c r="AA3945" s="48" t="str">
        <f ca="1">IF(AND('Planning Sheet'!CQ492='Weeks Plan'!$D$6,'Planning Sheet'!CK492='Weeks Plan'!$G$6),'Planning Sheet'!$CM492,"")</f>
        <v/>
      </c>
    </row>
    <row r="3946" spans="25:27" x14ac:dyDescent="0.3">
      <c r="Y3946" s="48" t="str">
        <f ca="1">IF(AND('Planning Sheet'!CQ493='Weeks Plan'!$D$6,'Planning Sheet'!CK493='Weeks Plan'!$G$6),'Planning Sheet'!$B493,"")</f>
        <v/>
      </c>
      <c r="Z3946" s="48" t="str">
        <f ca="1">IF(AND('Planning Sheet'!CQ493='Weeks Plan'!$D$6,'Planning Sheet'!CK493='Weeks Plan'!$G$6),'Planning Sheet'!$CL493,"")</f>
        <v/>
      </c>
      <c r="AA3946" s="48" t="str">
        <f ca="1">IF(AND('Planning Sheet'!CQ493='Weeks Plan'!$D$6,'Planning Sheet'!CK493='Weeks Plan'!$G$6),'Planning Sheet'!$CM493,"")</f>
        <v/>
      </c>
    </row>
    <row r="3947" spans="25:27" x14ac:dyDescent="0.3">
      <c r="Y3947" s="48" t="str">
        <f ca="1">IF(AND('Planning Sheet'!CQ494='Weeks Plan'!$D$6,'Planning Sheet'!CK494='Weeks Plan'!$G$6),'Planning Sheet'!$B494,"")</f>
        <v/>
      </c>
      <c r="Z3947" s="48" t="str">
        <f ca="1">IF(AND('Planning Sheet'!CQ494='Weeks Plan'!$D$6,'Planning Sheet'!CK494='Weeks Plan'!$G$6),'Planning Sheet'!$CL494,"")</f>
        <v/>
      </c>
      <c r="AA3947" s="48" t="str">
        <f ca="1">IF(AND('Planning Sheet'!CQ494='Weeks Plan'!$D$6,'Planning Sheet'!CK494='Weeks Plan'!$G$6),'Planning Sheet'!$CM494,"")</f>
        <v/>
      </c>
    </row>
    <row r="3948" spans="25:27" x14ac:dyDescent="0.3">
      <c r="Y3948" s="48" t="str">
        <f ca="1">IF(AND('Planning Sheet'!CQ495='Weeks Plan'!$D$6,'Planning Sheet'!CK495='Weeks Plan'!$G$6),'Planning Sheet'!$B495,"")</f>
        <v/>
      </c>
      <c r="Z3948" s="48" t="str">
        <f ca="1">IF(AND('Planning Sheet'!CQ495='Weeks Plan'!$D$6,'Planning Sheet'!CK495='Weeks Plan'!$G$6),'Planning Sheet'!$CL495,"")</f>
        <v/>
      </c>
      <c r="AA3948" s="48" t="str">
        <f ca="1">IF(AND('Planning Sheet'!CQ495='Weeks Plan'!$D$6,'Planning Sheet'!CK495='Weeks Plan'!$G$6),'Planning Sheet'!$CM495,"")</f>
        <v/>
      </c>
    </row>
    <row r="3949" spans="25:27" x14ac:dyDescent="0.3">
      <c r="Y3949" s="48" t="str">
        <f ca="1">IF(AND('Planning Sheet'!CQ496='Weeks Plan'!$D$6,'Planning Sheet'!CK496='Weeks Plan'!$G$6),'Planning Sheet'!$B496,"")</f>
        <v/>
      </c>
      <c r="Z3949" s="48" t="str">
        <f ca="1">IF(AND('Planning Sheet'!CQ496='Weeks Plan'!$D$6,'Planning Sheet'!CK496='Weeks Plan'!$G$6),'Planning Sheet'!$CL496,"")</f>
        <v/>
      </c>
      <c r="AA3949" s="48" t="str">
        <f ca="1">IF(AND('Planning Sheet'!CQ496='Weeks Plan'!$D$6,'Planning Sheet'!CK496='Weeks Plan'!$G$6),'Planning Sheet'!$CM496,"")</f>
        <v/>
      </c>
    </row>
    <row r="3950" spans="25:27" x14ac:dyDescent="0.3">
      <c r="Y3950" s="48" t="str">
        <f ca="1">IF(AND('Planning Sheet'!CQ497='Weeks Plan'!$D$6,'Planning Sheet'!CK497='Weeks Plan'!$G$6),'Planning Sheet'!$B497,"")</f>
        <v/>
      </c>
      <c r="Z3950" s="48" t="str">
        <f ca="1">IF(AND('Planning Sheet'!CQ497='Weeks Plan'!$D$6,'Planning Sheet'!CK497='Weeks Plan'!$G$6),'Planning Sheet'!$CL497,"")</f>
        <v/>
      </c>
      <c r="AA3950" s="48" t="str">
        <f ca="1">IF(AND('Planning Sheet'!CQ497='Weeks Plan'!$D$6,'Planning Sheet'!CK497='Weeks Plan'!$G$6),'Planning Sheet'!$CM497,"")</f>
        <v/>
      </c>
    </row>
    <row r="3951" spans="25:27" x14ac:dyDescent="0.3">
      <c r="Y3951" s="48" t="str">
        <f ca="1">IF(AND('Planning Sheet'!CQ498='Weeks Plan'!$D$6,'Planning Sheet'!CK498='Weeks Plan'!$G$6),'Planning Sheet'!$B498,"")</f>
        <v/>
      </c>
      <c r="Z3951" s="48" t="str">
        <f ca="1">IF(AND('Planning Sheet'!CQ498='Weeks Plan'!$D$6,'Planning Sheet'!CK498='Weeks Plan'!$G$6),'Planning Sheet'!$CL498,"")</f>
        <v/>
      </c>
      <c r="AA3951" s="48" t="str">
        <f ca="1">IF(AND('Planning Sheet'!CQ498='Weeks Plan'!$D$6,'Planning Sheet'!CK498='Weeks Plan'!$G$6),'Planning Sheet'!$CM498,"")</f>
        <v/>
      </c>
    </row>
    <row r="3952" spans="25:27" x14ac:dyDescent="0.3">
      <c r="Y3952" s="48" t="str">
        <f ca="1">IF(AND('Planning Sheet'!CQ499='Weeks Plan'!$D$6,'Planning Sheet'!CK499='Weeks Plan'!$G$6),'Planning Sheet'!$B499,"")</f>
        <v/>
      </c>
      <c r="Z3952" s="48" t="str">
        <f ca="1">IF(AND('Planning Sheet'!CQ499='Weeks Plan'!$D$6,'Planning Sheet'!CK499='Weeks Plan'!$G$6),'Planning Sheet'!$CL499,"")</f>
        <v/>
      </c>
      <c r="AA3952" s="48" t="str">
        <f ca="1">IF(AND('Planning Sheet'!CQ499='Weeks Plan'!$D$6,'Planning Sheet'!CK499='Weeks Plan'!$G$6),'Planning Sheet'!$CM499,"")</f>
        <v/>
      </c>
    </row>
    <row r="3953" spans="25:27" x14ac:dyDescent="0.3">
      <c r="Y3953" s="48" t="str">
        <f ca="1">IF(AND('Planning Sheet'!CQ500='Weeks Plan'!$D$6,'Planning Sheet'!CK500='Weeks Plan'!$G$6),'Planning Sheet'!$B500,"")</f>
        <v/>
      </c>
      <c r="Z3953" s="48" t="str">
        <f ca="1">IF(AND('Planning Sheet'!CQ500='Weeks Plan'!$D$6,'Planning Sheet'!CK500='Weeks Plan'!$G$6),'Planning Sheet'!$CL500,"")</f>
        <v/>
      </c>
      <c r="AA3953" s="48" t="str">
        <f ca="1">IF(AND('Planning Sheet'!CQ500='Weeks Plan'!$D$6,'Planning Sheet'!CK500='Weeks Plan'!$G$6),'Planning Sheet'!$CM500,"")</f>
        <v/>
      </c>
    </row>
    <row r="3955" spans="25:27" x14ac:dyDescent="0.3">
      <c r="Y3955" s="47" t="str">
        <f ca="1">IF(AND('Planning Sheet'!CX8='Weeks Plan'!$D$6,'Planning Sheet'!CR8='Weeks Plan'!$G$6),'Planning Sheet'!$B8,"")</f>
        <v/>
      </c>
      <c r="Z3955" s="47" t="str">
        <f ca="1">IF(AND('Planning Sheet'!CX8='Weeks Plan'!$D$6,'Planning Sheet'!CR8='Weeks Plan'!$G$6),'Planning Sheet'!$CT8,"")</f>
        <v/>
      </c>
      <c r="AA3955" s="47" t="str">
        <f ca="1">IF(AND('Planning Sheet'!CX8='Weeks Plan'!$D$6,'Planning Sheet'!CR8='Weeks Plan'!$G$6),'Planning Sheet'!$CU8,"")</f>
        <v/>
      </c>
    </row>
    <row r="3956" spans="25:27" x14ac:dyDescent="0.3">
      <c r="Y3956" s="48" t="str">
        <f ca="1">IF(AND('Planning Sheet'!CX9='Weeks Plan'!$D$6,'Planning Sheet'!CR9='Weeks Plan'!$G$6),'Planning Sheet'!$B9,"")</f>
        <v/>
      </c>
      <c r="Z3956" s="48" t="str">
        <f ca="1">IF(AND('Planning Sheet'!CX9='Weeks Plan'!$D$6,'Planning Sheet'!CR9='Weeks Plan'!$G$6),'Planning Sheet'!$CT9,"")</f>
        <v/>
      </c>
      <c r="AA3956" s="48" t="str">
        <f ca="1">IF(AND('Planning Sheet'!CX9='Weeks Plan'!$D$6,'Planning Sheet'!CR9='Weeks Plan'!$G$6),'Planning Sheet'!$CU9,"")</f>
        <v/>
      </c>
    </row>
    <row r="3957" spans="25:27" x14ac:dyDescent="0.3">
      <c r="Y3957" s="48" t="str">
        <f ca="1">IF(AND('Planning Sheet'!CX10='Weeks Plan'!$D$6,'Planning Sheet'!CR10='Weeks Plan'!$G$6),'Planning Sheet'!$B10,"")</f>
        <v/>
      </c>
      <c r="Z3957" s="48" t="str">
        <f ca="1">IF(AND('Planning Sheet'!CX10='Weeks Plan'!$D$6,'Planning Sheet'!CR10='Weeks Plan'!$G$6),'Planning Sheet'!$CT10,"")</f>
        <v/>
      </c>
      <c r="AA3957" s="48" t="str">
        <f ca="1">IF(AND('Planning Sheet'!CX10='Weeks Plan'!$D$6,'Planning Sheet'!CR10='Weeks Plan'!$G$6),'Planning Sheet'!$CU10,"")</f>
        <v/>
      </c>
    </row>
    <row r="3958" spans="25:27" x14ac:dyDescent="0.3">
      <c r="Y3958" s="48" t="str">
        <f ca="1">IF(AND('Planning Sheet'!CX11='Weeks Plan'!$D$6,'Planning Sheet'!CR11='Weeks Plan'!$G$6),'Planning Sheet'!$B11,"")</f>
        <v/>
      </c>
      <c r="Z3958" s="48" t="str">
        <f ca="1">IF(AND('Planning Sheet'!CX11='Weeks Plan'!$D$6,'Planning Sheet'!CR11='Weeks Plan'!$G$6),'Planning Sheet'!$CT11,"")</f>
        <v/>
      </c>
      <c r="AA3958" s="48" t="str">
        <f ca="1">IF(AND('Planning Sheet'!CX11='Weeks Plan'!$D$6,'Planning Sheet'!CR11='Weeks Plan'!$G$6),'Planning Sheet'!$CU11,"")</f>
        <v/>
      </c>
    </row>
    <row r="3959" spans="25:27" x14ac:dyDescent="0.3">
      <c r="Y3959" s="48" t="str">
        <f ca="1">IF(AND('Planning Sheet'!CX12='Weeks Plan'!$D$6,'Planning Sheet'!CR12='Weeks Plan'!$G$6),'Planning Sheet'!$B12,"")</f>
        <v/>
      </c>
      <c r="Z3959" s="48" t="str">
        <f ca="1">IF(AND('Planning Sheet'!CX12='Weeks Plan'!$D$6,'Planning Sheet'!CR12='Weeks Plan'!$G$6),'Planning Sheet'!$CT12,"")</f>
        <v/>
      </c>
      <c r="AA3959" s="48" t="str">
        <f ca="1">IF(AND('Planning Sheet'!CX12='Weeks Plan'!$D$6,'Planning Sheet'!CR12='Weeks Plan'!$G$6),'Planning Sheet'!$CU12,"")</f>
        <v/>
      </c>
    </row>
    <row r="3960" spans="25:27" x14ac:dyDescent="0.3">
      <c r="Y3960" s="48" t="str">
        <f ca="1">IF(AND('Planning Sheet'!CX13='Weeks Plan'!$D$6,'Planning Sheet'!CR13='Weeks Plan'!$G$6),'Planning Sheet'!$B13,"")</f>
        <v/>
      </c>
      <c r="Z3960" s="48" t="str">
        <f ca="1">IF(AND('Planning Sheet'!CX13='Weeks Plan'!$D$6,'Planning Sheet'!CR13='Weeks Plan'!$G$6),'Planning Sheet'!$CT13,"")</f>
        <v/>
      </c>
      <c r="AA3960" s="48" t="str">
        <f ca="1">IF(AND('Planning Sheet'!CX13='Weeks Plan'!$D$6,'Planning Sheet'!CR13='Weeks Plan'!$G$6),'Planning Sheet'!$CU13,"")</f>
        <v/>
      </c>
    </row>
    <row r="3961" spans="25:27" x14ac:dyDescent="0.3">
      <c r="Y3961" s="48" t="str">
        <f ca="1">IF(AND('Planning Sheet'!CX14='Weeks Plan'!$D$6,'Planning Sheet'!CR14='Weeks Plan'!$G$6),'Planning Sheet'!$B14,"")</f>
        <v/>
      </c>
      <c r="Z3961" s="48" t="str">
        <f ca="1">IF(AND('Planning Sheet'!CX14='Weeks Plan'!$D$6,'Planning Sheet'!CR14='Weeks Plan'!$G$6),'Planning Sheet'!$CT14,"")</f>
        <v/>
      </c>
      <c r="AA3961" s="48" t="str">
        <f ca="1">IF(AND('Planning Sheet'!CX14='Weeks Plan'!$D$6,'Planning Sheet'!CR14='Weeks Plan'!$G$6),'Planning Sheet'!$CU14,"")</f>
        <v/>
      </c>
    </row>
    <row r="3962" spans="25:27" x14ac:dyDescent="0.3">
      <c r="Y3962" s="48" t="str">
        <f ca="1">IF(AND('Planning Sheet'!CX15='Weeks Plan'!$D$6,'Planning Sheet'!CR15='Weeks Plan'!$G$6),'Planning Sheet'!$B15,"")</f>
        <v/>
      </c>
      <c r="Z3962" s="48" t="str">
        <f ca="1">IF(AND('Planning Sheet'!CX15='Weeks Plan'!$D$6,'Planning Sheet'!CR15='Weeks Plan'!$G$6),'Planning Sheet'!$CT15,"")</f>
        <v/>
      </c>
      <c r="AA3962" s="48" t="str">
        <f ca="1">IF(AND('Planning Sheet'!CX15='Weeks Plan'!$D$6,'Planning Sheet'!CR15='Weeks Plan'!$G$6),'Planning Sheet'!$CU15,"")</f>
        <v/>
      </c>
    </row>
    <row r="3963" spans="25:27" x14ac:dyDescent="0.3">
      <c r="Y3963" s="48" t="str">
        <f ca="1">IF(AND('Planning Sheet'!CX16='Weeks Plan'!$D$6,'Planning Sheet'!CR16='Weeks Plan'!$G$6),'Planning Sheet'!$B16,"")</f>
        <v/>
      </c>
      <c r="Z3963" s="48" t="str">
        <f ca="1">IF(AND('Planning Sheet'!CX16='Weeks Plan'!$D$6,'Planning Sheet'!CR16='Weeks Plan'!$G$6),'Planning Sheet'!$CT16,"")</f>
        <v/>
      </c>
      <c r="AA3963" s="48" t="str">
        <f ca="1">IF(AND('Planning Sheet'!CX16='Weeks Plan'!$D$6,'Planning Sheet'!CR16='Weeks Plan'!$G$6),'Planning Sheet'!$CU16,"")</f>
        <v/>
      </c>
    </row>
    <row r="3964" spans="25:27" x14ac:dyDescent="0.3">
      <c r="Y3964" s="48" t="str">
        <f ca="1">IF(AND('Planning Sheet'!CX17='Weeks Plan'!$D$6,'Planning Sheet'!CR17='Weeks Plan'!$G$6),'Planning Sheet'!$B17,"")</f>
        <v/>
      </c>
      <c r="Z3964" s="48" t="str">
        <f ca="1">IF(AND('Planning Sheet'!CX17='Weeks Plan'!$D$6,'Planning Sheet'!CR17='Weeks Plan'!$G$6),'Planning Sheet'!$CT17,"")</f>
        <v/>
      </c>
      <c r="AA3964" s="48" t="str">
        <f ca="1">IF(AND('Planning Sheet'!CX17='Weeks Plan'!$D$6,'Planning Sheet'!CR17='Weeks Plan'!$G$6),'Planning Sheet'!$CU17,"")</f>
        <v/>
      </c>
    </row>
    <row r="3965" spans="25:27" x14ac:dyDescent="0.3">
      <c r="Y3965" s="48" t="str">
        <f ca="1">IF(AND('Planning Sheet'!CX18='Weeks Plan'!$D$6,'Planning Sheet'!CR18='Weeks Plan'!$G$6),'Planning Sheet'!$B18,"")</f>
        <v/>
      </c>
      <c r="Z3965" s="48" t="str">
        <f ca="1">IF(AND('Planning Sheet'!CX18='Weeks Plan'!$D$6,'Planning Sheet'!CR18='Weeks Plan'!$G$6),'Planning Sheet'!$CT18,"")</f>
        <v/>
      </c>
      <c r="AA3965" s="48" t="str">
        <f ca="1">IF(AND('Planning Sheet'!CX18='Weeks Plan'!$D$6,'Planning Sheet'!CR18='Weeks Plan'!$G$6),'Planning Sheet'!$CU18,"")</f>
        <v/>
      </c>
    </row>
    <row r="3966" spans="25:27" x14ac:dyDescent="0.3">
      <c r="Y3966" s="48" t="str">
        <f ca="1">IF(AND('Planning Sheet'!CX19='Weeks Plan'!$D$6,'Planning Sheet'!CR19='Weeks Plan'!$G$6),'Planning Sheet'!$B19,"")</f>
        <v/>
      </c>
      <c r="Z3966" s="48" t="str">
        <f ca="1">IF(AND('Planning Sheet'!CX19='Weeks Plan'!$D$6,'Planning Sheet'!CR19='Weeks Plan'!$G$6),'Planning Sheet'!$CT19,"")</f>
        <v/>
      </c>
      <c r="AA3966" s="48" t="str">
        <f ca="1">IF(AND('Planning Sheet'!CX19='Weeks Plan'!$D$6,'Planning Sheet'!CR19='Weeks Plan'!$G$6),'Planning Sheet'!$CU19,"")</f>
        <v/>
      </c>
    </row>
    <row r="3967" spans="25:27" x14ac:dyDescent="0.3">
      <c r="Y3967" s="48" t="str">
        <f ca="1">IF(AND('Planning Sheet'!CX20='Weeks Plan'!$D$6,'Planning Sheet'!CR20='Weeks Plan'!$G$6),'Planning Sheet'!$B20,"")</f>
        <v/>
      </c>
      <c r="Z3967" s="48" t="str">
        <f ca="1">IF(AND('Planning Sheet'!CX20='Weeks Plan'!$D$6,'Planning Sheet'!CR20='Weeks Plan'!$G$6),'Planning Sheet'!$CT20,"")</f>
        <v/>
      </c>
      <c r="AA3967" s="48" t="str">
        <f ca="1">IF(AND('Planning Sheet'!CX20='Weeks Plan'!$D$6,'Planning Sheet'!CR20='Weeks Plan'!$G$6),'Planning Sheet'!$CU20,"")</f>
        <v/>
      </c>
    </row>
    <row r="3968" spans="25:27" x14ac:dyDescent="0.3">
      <c r="Y3968" s="48" t="str">
        <f ca="1">IF(AND('Planning Sheet'!CX21='Weeks Plan'!$D$6,'Planning Sheet'!CR21='Weeks Plan'!$G$6),'Planning Sheet'!$B21,"")</f>
        <v/>
      </c>
      <c r="Z3968" s="48" t="str">
        <f ca="1">IF(AND('Planning Sheet'!CX21='Weeks Plan'!$D$6,'Planning Sheet'!CR21='Weeks Plan'!$G$6),'Planning Sheet'!$CT21,"")</f>
        <v/>
      </c>
      <c r="AA3968" s="48" t="str">
        <f ca="1">IF(AND('Planning Sheet'!CX21='Weeks Plan'!$D$6,'Planning Sheet'!CR21='Weeks Plan'!$G$6),'Planning Sheet'!$CU21,"")</f>
        <v/>
      </c>
    </row>
    <row r="3969" spans="25:27" x14ac:dyDescent="0.3">
      <c r="Y3969" s="48" t="str">
        <f ca="1">IF(AND('Planning Sheet'!CX22='Weeks Plan'!$D$6,'Planning Sheet'!CR22='Weeks Plan'!$G$6),'Planning Sheet'!$B22,"")</f>
        <v/>
      </c>
      <c r="Z3969" s="48" t="str">
        <f ca="1">IF(AND('Planning Sheet'!CX22='Weeks Plan'!$D$6,'Planning Sheet'!CR22='Weeks Plan'!$G$6),'Planning Sheet'!$CT22,"")</f>
        <v/>
      </c>
      <c r="AA3969" s="48" t="str">
        <f ca="1">IF(AND('Planning Sheet'!CX22='Weeks Plan'!$D$6,'Planning Sheet'!CR22='Weeks Plan'!$G$6),'Planning Sheet'!$CU22,"")</f>
        <v/>
      </c>
    </row>
    <row r="3970" spans="25:27" x14ac:dyDescent="0.3">
      <c r="Y3970" s="48" t="str">
        <f ca="1">IF(AND('Planning Sheet'!CX23='Weeks Plan'!$D$6,'Planning Sheet'!CR23='Weeks Plan'!$G$6),'Planning Sheet'!$B23,"")</f>
        <v/>
      </c>
      <c r="Z3970" s="48" t="str">
        <f ca="1">IF(AND('Planning Sheet'!CX23='Weeks Plan'!$D$6,'Planning Sheet'!CR23='Weeks Plan'!$G$6),'Planning Sheet'!$CT23,"")</f>
        <v/>
      </c>
      <c r="AA3970" s="48" t="str">
        <f ca="1">IF(AND('Planning Sheet'!CX23='Weeks Plan'!$D$6,'Planning Sheet'!CR23='Weeks Plan'!$G$6),'Planning Sheet'!$CU23,"")</f>
        <v/>
      </c>
    </row>
    <row r="3971" spans="25:27" x14ac:dyDescent="0.3">
      <c r="Y3971" s="48" t="str">
        <f ca="1">IF(AND('Planning Sheet'!CX24='Weeks Plan'!$D$6,'Planning Sheet'!CR24='Weeks Plan'!$G$6),'Planning Sheet'!$B24,"")</f>
        <v/>
      </c>
      <c r="Z3971" s="48" t="str">
        <f ca="1">IF(AND('Planning Sheet'!CX24='Weeks Plan'!$D$6,'Planning Sheet'!CR24='Weeks Plan'!$G$6),'Planning Sheet'!$CT24,"")</f>
        <v/>
      </c>
      <c r="AA3971" s="48" t="str">
        <f ca="1">IF(AND('Planning Sheet'!CX24='Weeks Plan'!$D$6,'Planning Sheet'!CR24='Weeks Plan'!$G$6),'Planning Sheet'!$CU24,"")</f>
        <v/>
      </c>
    </row>
    <row r="3972" spans="25:27" x14ac:dyDescent="0.3">
      <c r="Y3972" s="48" t="str">
        <f ca="1">IF(AND('Planning Sheet'!CX25='Weeks Plan'!$D$6,'Planning Sheet'!CR25='Weeks Plan'!$G$6),'Planning Sheet'!$B25,"")</f>
        <v/>
      </c>
      <c r="Z3972" s="48" t="str">
        <f ca="1">IF(AND('Planning Sheet'!CX25='Weeks Plan'!$D$6,'Planning Sheet'!CR25='Weeks Plan'!$G$6),'Planning Sheet'!$CT25,"")</f>
        <v/>
      </c>
      <c r="AA3972" s="48" t="str">
        <f ca="1">IF(AND('Planning Sheet'!CX25='Weeks Plan'!$D$6,'Planning Sheet'!CR25='Weeks Plan'!$G$6),'Planning Sheet'!$CU25,"")</f>
        <v/>
      </c>
    </row>
    <row r="3973" spans="25:27" x14ac:dyDescent="0.3">
      <c r="Y3973" s="48" t="str">
        <f ca="1">IF(AND('Planning Sheet'!CX26='Weeks Plan'!$D$6,'Planning Sheet'!CR26='Weeks Plan'!$G$6),'Planning Sheet'!$B26,"")</f>
        <v/>
      </c>
      <c r="Z3973" s="48" t="str">
        <f ca="1">IF(AND('Planning Sheet'!CX26='Weeks Plan'!$D$6,'Planning Sheet'!CR26='Weeks Plan'!$G$6),'Planning Sheet'!$CT26,"")</f>
        <v/>
      </c>
      <c r="AA3973" s="48" t="str">
        <f ca="1">IF(AND('Planning Sheet'!CX26='Weeks Plan'!$D$6,'Planning Sheet'!CR26='Weeks Plan'!$G$6),'Planning Sheet'!$CU26,"")</f>
        <v/>
      </c>
    </row>
    <row r="3974" spans="25:27" x14ac:dyDescent="0.3">
      <c r="Y3974" s="48" t="str">
        <f ca="1">IF(AND('Planning Sheet'!CX27='Weeks Plan'!$D$6,'Planning Sheet'!CR27='Weeks Plan'!$G$6),'Planning Sheet'!$B27,"")</f>
        <v/>
      </c>
      <c r="Z3974" s="48" t="str">
        <f ca="1">IF(AND('Planning Sheet'!CX27='Weeks Plan'!$D$6,'Planning Sheet'!CR27='Weeks Plan'!$G$6),'Planning Sheet'!$CT27,"")</f>
        <v/>
      </c>
      <c r="AA3974" s="48" t="str">
        <f ca="1">IF(AND('Planning Sheet'!CX27='Weeks Plan'!$D$6,'Planning Sheet'!CR27='Weeks Plan'!$G$6),'Planning Sheet'!$CU27,"")</f>
        <v/>
      </c>
    </row>
    <row r="3975" spans="25:27" x14ac:dyDescent="0.3">
      <c r="Y3975" s="48" t="str">
        <f ca="1">IF(AND('Planning Sheet'!CX28='Weeks Plan'!$D$6,'Planning Sheet'!CR28='Weeks Plan'!$G$6),'Planning Sheet'!$B28,"")</f>
        <v/>
      </c>
      <c r="Z3975" s="48" t="str">
        <f ca="1">IF(AND('Planning Sheet'!CX28='Weeks Plan'!$D$6,'Planning Sheet'!CR28='Weeks Plan'!$G$6),'Planning Sheet'!$CT28,"")</f>
        <v/>
      </c>
      <c r="AA3975" s="48" t="str">
        <f ca="1">IF(AND('Planning Sheet'!CX28='Weeks Plan'!$D$6,'Planning Sheet'!CR28='Weeks Plan'!$G$6),'Planning Sheet'!$CU28,"")</f>
        <v/>
      </c>
    </row>
    <row r="3976" spans="25:27" x14ac:dyDescent="0.3">
      <c r="Y3976" s="48" t="str">
        <f ca="1">IF(AND('Planning Sheet'!CX29='Weeks Plan'!$D$6,'Planning Sheet'!CR29='Weeks Plan'!$G$6),'Planning Sheet'!$B29,"")</f>
        <v/>
      </c>
      <c r="Z3976" s="48" t="str">
        <f ca="1">IF(AND('Planning Sheet'!CX29='Weeks Plan'!$D$6,'Planning Sheet'!CR29='Weeks Plan'!$G$6),'Planning Sheet'!$CT29,"")</f>
        <v/>
      </c>
      <c r="AA3976" s="48" t="str">
        <f ca="1">IF(AND('Planning Sheet'!CX29='Weeks Plan'!$D$6,'Planning Sheet'!CR29='Weeks Plan'!$G$6),'Planning Sheet'!$CU29,"")</f>
        <v/>
      </c>
    </row>
    <row r="3977" spans="25:27" x14ac:dyDescent="0.3">
      <c r="Y3977" s="48" t="str">
        <f ca="1">IF(AND('Planning Sheet'!CX30='Weeks Plan'!$D$6,'Planning Sheet'!CR30='Weeks Plan'!$G$6),'Planning Sheet'!$B30,"")</f>
        <v/>
      </c>
      <c r="Z3977" s="48" t="str">
        <f ca="1">IF(AND('Planning Sheet'!CX30='Weeks Plan'!$D$6,'Planning Sheet'!CR30='Weeks Plan'!$G$6),'Planning Sheet'!$CT30,"")</f>
        <v/>
      </c>
      <c r="AA3977" s="48" t="str">
        <f ca="1">IF(AND('Planning Sheet'!CX30='Weeks Plan'!$D$6,'Planning Sheet'!CR30='Weeks Plan'!$G$6),'Planning Sheet'!$CU30,"")</f>
        <v/>
      </c>
    </row>
    <row r="3978" spans="25:27" x14ac:dyDescent="0.3">
      <c r="Y3978" s="48" t="str">
        <f ca="1">IF(AND('Planning Sheet'!CX31='Weeks Plan'!$D$6,'Planning Sheet'!CR31='Weeks Plan'!$G$6),'Planning Sheet'!$B31,"")</f>
        <v/>
      </c>
      <c r="Z3978" s="48" t="str">
        <f ca="1">IF(AND('Planning Sheet'!CX31='Weeks Plan'!$D$6,'Planning Sheet'!CR31='Weeks Plan'!$G$6),'Planning Sheet'!$CT31,"")</f>
        <v/>
      </c>
      <c r="AA3978" s="48" t="str">
        <f ca="1">IF(AND('Planning Sheet'!CX31='Weeks Plan'!$D$6,'Planning Sheet'!CR31='Weeks Plan'!$G$6),'Planning Sheet'!$CU31,"")</f>
        <v/>
      </c>
    </row>
    <row r="3979" spans="25:27" x14ac:dyDescent="0.3">
      <c r="Y3979" s="48" t="str">
        <f ca="1">IF(AND('Planning Sheet'!CX32='Weeks Plan'!$D$6,'Planning Sheet'!CR32='Weeks Plan'!$G$6),'Planning Sheet'!$B32,"")</f>
        <v/>
      </c>
      <c r="Z3979" s="48" t="str">
        <f ca="1">IF(AND('Planning Sheet'!CX32='Weeks Plan'!$D$6,'Planning Sheet'!CR32='Weeks Plan'!$G$6),'Planning Sheet'!$CT32,"")</f>
        <v/>
      </c>
      <c r="AA3979" s="48" t="str">
        <f ca="1">IF(AND('Planning Sheet'!CX32='Weeks Plan'!$D$6,'Planning Sheet'!CR32='Weeks Plan'!$G$6),'Planning Sheet'!$CU32,"")</f>
        <v/>
      </c>
    </row>
    <row r="3980" spans="25:27" x14ac:dyDescent="0.3">
      <c r="Y3980" s="48" t="str">
        <f ca="1">IF(AND('Planning Sheet'!CX33='Weeks Plan'!$D$6,'Planning Sheet'!CR33='Weeks Plan'!$G$6),'Planning Sheet'!$B33,"")</f>
        <v/>
      </c>
      <c r="Z3980" s="48" t="str">
        <f ca="1">IF(AND('Planning Sheet'!CX33='Weeks Plan'!$D$6,'Planning Sheet'!CR33='Weeks Plan'!$G$6),'Planning Sheet'!$CT33,"")</f>
        <v/>
      </c>
      <c r="AA3980" s="48" t="str">
        <f ca="1">IF(AND('Planning Sheet'!CX33='Weeks Plan'!$D$6,'Planning Sheet'!CR33='Weeks Plan'!$G$6),'Planning Sheet'!$CU33,"")</f>
        <v/>
      </c>
    </row>
    <row r="3981" spans="25:27" x14ac:dyDescent="0.3">
      <c r="Y3981" s="48" t="str">
        <f ca="1">IF(AND('Planning Sheet'!CX34='Weeks Plan'!$D$6,'Planning Sheet'!CR34='Weeks Plan'!$G$6),'Planning Sheet'!$B34,"")</f>
        <v/>
      </c>
      <c r="Z3981" s="48" t="str">
        <f ca="1">IF(AND('Planning Sheet'!CX34='Weeks Plan'!$D$6,'Planning Sheet'!CR34='Weeks Plan'!$G$6),'Planning Sheet'!$CT34,"")</f>
        <v/>
      </c>
      <c r="AA3981" s="48" t="str">
        <f ca="1">IF(AND('Planning Sheet'!CX34='Weeks Plan'!$D$6,'Planning Sheet'!CR34='Weeks Plan'!$G$6),'Planning Sheet'!$CU34,"")</f>
        <v/>
      </c>
    </row>
    <row r="3982" spans="25:27" x14ac:dyDescent="0.3">
      <c r="Y3982" s="48" t="str">
        <f ca="1">IF(AND('Planning Sheet'!CX35='Weeks Plan'!$D$6,'Planning Sheet'!CR35='Weeks Plan'!$G$6),'Planning Sheet'!$B35,"")</f>
        <v/>
      </c>
      <c r="Z3982" s="48" t="str">
        <f ca="1">IF(AND('Planning Sheet'!CX35='Weeks Plan'!$D$6,'Planning Sheet'!CR35='Weeks Plan'!$G$6),'Planning Sheet'!$CT35,"")</f>
        <v/>
      </c>
      <c r="AA3982" s="48" t="str">
        <f ca="1">IF(AND('Planning Sheet'!CX35='Weeks Plan'!$D$6,'Planning Sheet'!CR35='Weeks Plan'!$G$6),'Planning Sheet'!$CU35,"")</f>
        <v/>
      </c>
    </row>
    <row r="3983" spans="25:27" x14ac:dyDescent="0.3">
      <c r="Y3983" s="48" t="str">
        <f ca="1">IF(AND('Planning Sheet'!CX36='Weeks Plan'!$D$6,'Planning Sheet'!CR36='Weeks Plan'!$G$6),'Planning Sheet'!$B36,"")</f>
        <v/>
      </c>
      <c r="Z3983" s="48" t="str">
        <f ca="1">IF(AND('Planning Sheet'!CX36='Weeks Plan'!$D$6,'Planning Sheet'!CR36='Weeks Plan'!$G$6),'Planning Sheet'!$CT36,"")</f>
        <v/>
      </c>
      <c r="AA3983" s="48" t="str">
        <f ca="1">IF(AND('Planning Sheet'!CX36='Weeks Plan'!$D$6,'Planning Sheet'!CR36='Weeks Plan'!$G$6),'Planning Sheet'!$CU36,"")</f>
        <v/>
      </c>
    </row>
    <row r="3984" spans="25:27" x14ac:dyDescent="0.3">
      <c r="Y3984" s="48" t="str">
        <f ca="1">IF(AND('Planning Sheet'!CX37='Weeks Plan'!$D$6,'Planning Sheet'!CR37='Weeks Plan'!$G$6),'Planning Sheet'!$B37,"")</f>
        <v/>
      </c>
      <c r="Z3984" s="48" t="str">
        <f ca="1">IF(AND('Planning Sheet'!CX37='Weeks Plan'!$D$6,'Planning Sheet'!CR37='Weeks Plan'!$G$6),'Planning Sheet'!$CT37,"")</f>
        <v/>
      </c>
      <c r="AA3984" s="48" t="str">
        <f ca="1">IF(AND('Planning Sheet'!CX37='Weeks Plan'!$D$6,'Planning Sheet'!CR37='Weeks Plan'!$G$6),'Planning Sheet'!$CU37,"")</f>
        <v/>
      </c>
    </row>
    <row r="3985" spans="25:27" x14ac:dyDescent="0.3">
      <c r="Y3985" s="48" t="str">
        <f ca="1">IF(AND('Planning Sheet'!CX38='Weeks Plan'!$D$6,'Planning Sheet'!CR38='Weeks Plan'!$G$6),'Planning Sheet'!$B38,"")</f>
        <v/>
      </c>
      <c r="Z3985" s="48" t="str">
        <f ca="1">IF(AND('Planning Sheet'!CX38='Weeks Plan'!$D$6,'Planning Sheet'!CR38='Weeks Plan'!$G$6),'Planning Sheet'!$CT38,"")</f>
        <v/>
      </c>
      <c r="AA3985" s="48" t="str">
        <f ca="1">IF(AND('Planning Sheet'!CX38='Weeks Plan'!$D$6,'Planning Sheet'!CR38='Weeks Plan'!$G$6),'Planning Sheet'!$CU38,"")</f>
        <v/>
      </c>
    </row>
    <row r="3986" spans="25:27" x14ac:dyDescent="0.3">
      <c r="Y3986" s="48" t="str">
        <f ca="1">IF(AND('Planning Sheet'!CX39='Weeks Plan'!$D$6,'Planning Sheet'!CR39='Weeks Plan'!$G$6),'Planning Sheet'!$B39,"")</f>
        <v/>
      </c>
      <c r="Z3986" s="48" t="str">
        <f ca="1">IF(AND('Planning Sheet'!CX39='Weeks Plan'!$D$6,'Planning Sheet'!CR39='Weeks Plan'!$G$6),'Planning Sheet'!$CT39,"")</f>
        <v/>
      </c>
      <c r="AA3986" s="48" t="str">
        <f ca="1">IF(AND('Planning Sheet'!CX39='Weeks Plan'!$D$6,'Planning Sheet'!CR39='Weeks Plan'!$G$6),'Planning Sheet'!$CU39,"")</f>
        <v/>
      </c>
    </row>
    <row r="3987" spans="25:27" x14ac:dyDescent="0.3">
      <c r="Y3987" s="48" t="str">
        <f ca="1">IF(AND('Planning Sheet'!CX40='Weeks Plan'!$D$6,'Planning Sheet'!CR40='Weeks Plan'!$G$6),'Planning Sheet'!$B40,"")</f>
        <v/>
      </c>
      <c r="Z3987" s="48" t="str">
        <f ca="1">IF(AND('Planning Sheet'!CX40='Weeks Plan'!$D$6,'Planning Sheet'!CR40='Weeks Plan'!$G$6),'Planning Sheet'!$CT40,"")</f>
        <v/>
      </c>
      <c r="AA3987" s="48" t="str">
        <f ca="1">IF(AND('Planning Sheet'!CX40='Weeks Plan'!$D$6,'Planning Sheet'!CR40='Weeks Plan'!$G$6),'Planning Sheet'!$CU40,"")</f>
        <v/>
      </c>
    </row>
    <row r="3988" spans="25:27" x14ac:dyDescent="0.3">
      <c r="Y3988" s="48" t="str">
        <f ca="1">IF(AND('Planning Sheet'!CX41='Weeks Plan'!$D$6,'Planning Sheet'!CR41='Weeks Plan'!$G$6),'Planning Sheet'!$B41,"")</f>
        <v/>
      </c>
      <c r="Z3988" s="48" t="str">
        <f ca="1">IF(AND('Planning Sheet'!CX41='Weeks Plan'!$D$6,'Planning Sheet'!CR41='Weeks Plan'!$G$6),'Planning Sheet'!$CT41,"")</f>
        <v/>
      </c>
      <c r="AA3988" s="48" t="str">
        <f ca="1">IF(AND('Planning Sheet'!CX41='Weeks Plan'!$D$6,'Planning Sheet'!CR41='Weeks Plan'!$G$6),'Planning Sheet'!$CU41,"")</f>
        <v/>
      </c>
    </row>
    <row r="3989" spans="25:27" x14ac:dyDescent="0.3">
      <c r="Y3989" s="48" t="str">
        <f ca="1">IF(AND('Planning Sheet'!CX42='Weeks Plan'!$D$6,'Planning Sheet'!CR42='Weeks Plan'!$G$6),'Planning Sheet'!$B42,"")</f>
        <v/>
      </c>
      <c r="Z3989" s="48" t="str">
        <f ca="1">IF(AND('Planning Sheet'!CX42='Weeks Plan'!$D$6,'Planning Sheet'!CR42='Weeks Plan'!$G$6),'Planning Sheet'!$CT42,"")</f>
        <v/>
      </c>
      <c r="AA3989" s="48" t="str">
        <f ca="1">IF(AND('Planning Sheet'!CX42='Weeks Plan'!$D$6,'Planning Sheet'!CR42='Weeks Plan'!$G$6),'Planning Sheet'!$CU42,"")</f>
        <v/>
      </c>
    </row>
    <row r="3990" spans="25:27" x14ac:dyDescent="0.3">
      <c r="Y3990" s="48" t="str">
        <f ca="1">IF(AND('Planning Sheet'!CX43='Weeks Plan'!$D$6,'Planning Sheet'!CR43='Weeks Plan'!$G$6),'Planning Sheet'!$B43,"")</f>
        <v/>
      </c>
      <c r="Z3990" s="48" t="str">
        <f ca="1">IF(AND('Planning Sheet'!CX43='Weeks Plan'!$D$6,'Planning Sheet'!CR43='Weeks Plan'!$G$6),'Planning Sheet'!$CT43,"")</f>
        <v/>
      </c>
      <c r="AA3990" s="48" t="str">
        <f ca="1">IF(AND('Planning Sheet'!CX43='Weeks Plan'!$D$6,'Planning Sheet'!CR43='Weeks Plan'!$G$6),'Planning Sheet'!$CU43,"")</f>
        <v/>
      </c>
    </row>
    <row r="3991" spans="25:27" x14ac:dyDescent="0.3">
      <c r="Y3991" s="48" t="str">
        <f ca="1">IF(AND('Planning Sheet'!CX44='Weeks Plan'!$D$6,'Planning Sheet'!CR44='Weeks Plan'!$G$6),'Planning Sheet'!$B44,"")</f>
        <v/>
      </c>
      <c r="Z3991" s="48" t="str">
        <f ca="1">IF(AND('Planning Sheet'!CX44='Weeks Plan'!$D$6,'Planning Sheet'!CR44='Weeks Plan'!$G$6),'Planning Sheet'!$CT44,"")</f>
        <v/>
      </c>
      <c r="AA3991" s="48" t="str">
        <f ca="1">IF(AND('Planning Sheet'!CX44='Weeks Plan'!$D$6,'Planning Sheet'!CR44='Weeks Plan'!$G$6),'Planning Sheet'!$CU44,"")</f>
        <v/>
      </c>
    </row>
    <row r="3992" spans="25:27" x14ac:dyDescent="0.3">
      <c r="Y3992" s="48" t="str">
        <f ca="1">IF(AND('Planning Sheet'!CX45='Weeks Plan'!$D$6,'Planning Sheet'!CR45='Weeks Plan'!$G$6),'Planning Sheet'!$B45,"")</f>
        <v/>
      </c>
      <c r="Z3992" s="48" t="str">
        <f ca="1">IF(AND('Planning Sheet'!CX45='Weeks Plan'!$D$6,'Planning Sheet'!CR45='Weeks Plan'!$G$6),'Planning Sheet'!$CT45,"")</f>
        <v/>
      </c>
      <c r="AA3992" s="48" t="str">
        <f ca="1">IF(AND('Planning Sheet'!CX45='Weeks Plan'!$D$6,'Planning Sheet'!CR45='Weeks Plan'!$G$6),'Planning Sheet'!$CU45,"")</f>
        <v/>
      </c>
    </row>
    <row r="3993" spans="25:27" x14ac:dyDescent="0.3">
      <c r="Y3993" s="48" t="str">
        <f ca="1">IF(AND('Planning Sheet'!CX46='Weeks Plan'!$D$6,'Planning Sheet'!CR46='Weeks Plan'!$G$6),'Planning Sheet'!$B46,"")</f>
        <v/>
      </c>
      <c r="Z3993" s="48" t="str">
        <f ca="1">IF(AND('Planning Sheet'!CX46='Weeks Plan'!$D$6,'Planning Sheet'!CR46='Weeks Plan'!$G$6),'Planning Sheet'!$CT46,"")</f>
        <v/>
      </c>
      <c r="AA3993" s="48" t="str">
        <f ca="1">IF(AND('Planning Sheet'!CX46='Weeks Plan'!$D$6,'Planning Sheet'!CR46='Weeks Plan'!$G$6),'Planning Sheet'!$CU46,"")</f>
        <v/>
      </c>
    </row>
    <row r="3994" spans="25:27" x14ac:dyDescent="0.3">
      <c r="Y3994" s="48" t="str">
        <f ca="1">IF(AND('Planning Sheet'!CX47='Weeks Plan'!$D$6,'Planning Sheet'!CR47='Weeks Plan'!$G$6),'Planning Sheet'!$B47,"")</f>
        <v/>
      </c>
      <c r="Z3994" s="48" t="str">
        <f ca="1">IF(AND('Planning Sheet'!CX47='Weeks Plan'!$D$6,'Planning Sheet'!CR47='Weeks Plan'!$G$6),'Planning Sheet'!$CT47,"")</f>
        <v/>
      </c>
      <c r="AA3994" s="48" t="str">
        <f ca="1">IF(AND('Planning Sheet'!CX47='Weeks Plan'!$D$6,'Planning Sheet'!CR47='Weeks Plan'!$G$6),'Planning Sheet'!$CU47,"")</f>
        <v/>
      </c>
    </row>
    <row r="3995" spans="25:27" x14ac:dyDescent="0.3">
      <c r="Y3995" s="48" t="str">
        <f ca="1">IF(AND('Planning Sheet'!CX48='Weeks Plan'!$D$6,'Planning Sheet'!CR48='Weeks Plan'!$G$6),'Planning Sheet'!$B48,"")</f>
        <v/>
      </c>
      <c r="Z3995" s="48" t="str">
        <f ca="1">IF(AND('Planning Sheet'!CX48='Weeks Plan'!$D$6,'Planning Sheet'!CR48='Weeks Plan'!$G$6),'Planning Sheet'!$CT48,"")</f>
        <v/>
      </c>
      <c r="AA3995" s="48" t="str">
        <f ca="1">IF(AND('Planning Sheet'!CX48='Weeks Plan'!$D$6,'Planning Sheet'!CR48='Weeks Plan'!$G$6),'Planning Sheet'!$CU48,"")</f>
        <v/>
      </c>
    </row>
    <row r="3996" spans="25:27" x14ac:dyDescent="0.3">
      <c r="Y3996" s="48" t="str">
        <f ca="1">IF(AND('Planning Sheet'!CX49='Weeks Plan'!$D$6,'Planning Sheet'!CR49='Weeks Plan'!$G$6),'Planning Sheet'!$B49,"")</f>
        <v/>
      </c>
      <c r="Z3996" s="48" t="str">
        <f ca="1">IF(AND('Planning Sheet'!CX49='Weeks Plan'!$D$6,'Planning Sheet'!CR49='Weeks Plan'!$G$6),'Planning Sheet'!$CT49,"")</f>
        <v/>
      </c>
      <c r="AA3996" s="48" t="str">
        <f ca="1">IF(AND('Planning Sheet'!CX49='Weeks Plan'!$D$6,'Planning Sheet'!CR49='Weeks Plan'!$G$6),'Planning Sheet'!$CU49,"")</f>
        <v/>
      </c>
    </row>
    <row r="3997" spans="25:27" x14ac:dyDescent="0.3">
      <c r="Y3997" s="48" t="str">
        <f ca="1">IF(AND('Planning Sheet'!CX50='Weeks Plan'!$D$6,'Planning Sheet'!CR50='Weeks Plan'!$G$6),'Planning Sheet'!$B50,"")</f>
        <v/>
      </c>
      <c r="Z3997" s="48" t="str">
        <f ca="1">IF(AND('Planning Sheet'!CX50='Weeks Plan'!$D$6,'Planning Sheet'!CR50='Weeks Plan'!$G$6),'Planning Sheet'!$CT50,"")</f>
        <v/>
      </c>
      <c r="AA3997" s="48" t="str">
        <f ca="1">IF(AND('Planning Sheet'!CX50='Weeks Plan'!$D$6,'Planning Sheet'!CR50='Weeks Plan'!$G$6),'Planning Sheet'!$CU50,"")</f>
        <v/>
      </c>
    </row>
    <row r="3998" spans="25:27" x14ac:dyDescent="0.3">
      <c r="Y3998" s="48" t="str">
        <f ca="1">IF(AND('Planning Sheet'!CX51='Weeks Plan'!$D$6,'Planning Sheet'!CR51='Weeks Plan'!$G$6),'Planning Sheet'!$B51,"")</f>
        <v/>
      </c>
      <c r="Z3998" s="48" t="str">
        <f ca="1">IF(AND('Planning Sheet'!CX51='Weeks Plan'!$D$6,'Planning Sheet'!CR51='Weeks Plan'!$G$6),'Planning Sheet'!$CT51,"")</f>
        <v/>
      </c>
      <c r="AA3998" s="48" t="str">
        <f ca="1">IF(AND('Planning Sheet'!CX51='Weeks Plan'!$D$6,'Planning Sheet'!CR51='Weeks Plan'!$G$6),'Planning Sheet'!$CU51,"")</f>
        <v/>
      </c>
    </row>
    <row r="3999" spans="25:27" x14ac:dyDescent="0.3">
      <c r="Y3999" s="48" t="str">
        <f ca="1">IF(AND('Planning Sheet'!CX52='Weeks Plan'!$D$6,'Planning Sheet'!CR52='Weeks Plan'!$G$6),'Planning Sheet'!$B52,"")</f>
        <v/>
      </c>
      <c r="Z3999" s="48" t="str">
        <f ca="1">IF(AND('Planning Sheet'!CX52='Weeks Plan'!$D$6,'Planning Sheet'!CR52='Weeks Plan'!$G$6),'Planning Sheet'!$CT52,"")</f>
        <v/>
      </c>
      <c r="AA3999" s="48" t="str">
        <f ca="1">IF(AND('Planning Sheet'!CX52='Weeks Plan'!$D$6,'Planning Sheet'!CR52='Weeks Plan'!$G$6),'Planning Sheet'!$CU52,"")</f>
        <v/>
      </c>
    </row>
    <row r="4000" spans="25:27" x14ac:dyDescent="0.3">
      <c r="Y4000" s="48" t="str">
        <f ca="1">IF(AND('Planning Sheet'!CX53='Weeks Plan'!$D$6,'Planning Sheet'!CR53='Weeks Plan'!$G$6),'Planning Sheet'!$B53,"")</f>
        <v/>
      </c>
      <c r="Z4000" s="48" t="str">
        <f ca="1">IF(AND('Planning Sheet'!CX53='Weeks Plan'!$D$6,'Planning Sheet'!CR53='Weeks Plan'!$G$6),'Planning Sheet'!$CT53,"")</f>
        <v/>
      </c>
      <c r="AA4000" s="48" t="str">
        <f ca="1">IF(AND('Planning Sheet'!CX53='Weeks Plan'!$D$6,'Planning Sheet'!CR53='Weeks Plan'!$G$6),'Planning Sheet'!$CU53,"")</f>
        <v/>
      </c>
    </row>
    <row r="4001" spans="25:27" x14ac:dyDescent="0.3">
      <c r="Y4001" s="48" t="str">
        <f ca="1">IF(AND('Planning Sheet'!CX54='Weeks Plan'!$D$6,'Planning Sheet'!CR54='Weeks Plan'!$G$6),'Planning Sheet'!$B54,"")</f>
        <v/>
      </c>
      <c r="Z4001" s="48" t="str">
        <f ca="1">IF(AND('Planning Sheet'!CX54='Weeks Plan'!$D$6,'Planning Sheet'!CR54='Weeks Plan'!$G$6),'Planning Sheet'!$CT54,"")</f>
        <v/>
      </c>
      <c r="AA4001" s="48" t="str">
        <f ca="1">IF(AND('Planning Sheet'!CX54='Weeks Plan'!$D$6,'Planning Sheet'!CR54='Weeks Plan'!$G$6),'Planning Sheet'!$CU54,"")</f>
        <v/>
      </c>
    </row>
    <row r="4002" spans="25:27" x14ac:dyDescent="0.3">
      <c r="Y4002" s="48" t="str">
        <f ca="1">IF(AND('Planning Sheet'!CX55='Weeks Plan'!$D$6,'Planning Sheet'!CR55='Weeks Plan'!$G$6),'Planning Sheet'!$B55,"")</f>
        <v/>
      </c>
      <c r="Z4002" s="48" t="str">
        <f ca="1">IF(AND('Planning Sheet'!CX55='Weeks Plan'!$D$6,'Planning Sheet'!CR55='Weeks Plan'!$G$6),'Planning Sheet'!$CT55,"")</f>
        <v/>
      </c>
      <c r="AA4002" s="48" t="str">
        <f ca="1">IF(AND('Planning Sheet'!CX55='Weeks Plan'!$D$6,'Planning Sheet'!CR55='Weeks Plan'!$G$6),'Planning Sheet'!$CU55,"")</f>
        <v/>
      </c>
    </row>
    <row r="4003" spans="25:27" x14ac:dyDescent="0.3">
      <c r="Y4003" s="48" t="str">
        <f ca="1">IF(AND('Planning Sheet'!CX56='Weeks Plan'!$D$6,'Planning Sheet'!CR56='Weeks Plan'!$G$6),'Planning Sheet'!$B56,"")</f>
        <v/>
      </c>
      <c r="Z4003" s="48" t="str">
        <f ca="1">IF(AND('Planning Sheet'!CX56='Weeks Plan'!$D$6,'Planning Sheet'!CR56='Weeks Plan'!$G$6),'Planning Sheet'!$CT56,"")</f>
        <v/>
      </c>
      <c r="AA4003" s="48" t="str">
        <f ca="1">IF(AND('Planning Sheet'!CX56='Weeks Plan'!$D$6,'Planning Sheet'!CR56='Weeks Plan'!$G$6),'Planning Sheet'!$CU56,"")</f>
        <v/>
      </c>
    </row>
    <row r="4004" spans="25:27" x14ac:dyDescent="0.3">
      <c r="Y4004" s="48" t="str">
        <f ca="1">IF(AND('Planning Sheet'!CX57='Weeks Plan'!$D$6,'Planning Sheet'!CR57='Weeks Plan'!$G$6),'Planning Sheet'!$B57,"")</f>
        <v/>
      </c>
      <c r="Z4004" s="48" t="str">
        <f ca="1">IF(AND('Planning Sheet'!CX57='Weeks Plan'!$D$6,'Planning Sheet'!CR57='Weeks Plan'!$G$6),'Planning Sheet'!$CT57,"")</f>
        <v/>
      </c>
      <c r="AA4004" s="48" t="str">
        <f ca="1">IF(AND('Planning Sheet'!CX57='Weeks Plan'!$D$6,'Planning Sheet'!CR57='Weeks Plan'!$G$6),'Planning Sheet'!$CU57,"")</f>
        <v/>
      </c>
    </row>
    <row r="4005" spans="25:27" x14ac:dyDescent="0.3">
      <c r="Y4005" s="48" t="str">
        <f ca="1">IF(AND('Planning Sheet'!CX58='Weeks Plan'!$D$6,'Planning Sheet'!CR58='Weeks Plan'!$G$6),'Planning Sheet'!$B58,"")</f>
        <v/>
      </c>
      <c r="Z4005" s="48" t="str">
        <f ca="1">IF(AND('Planning Sheet'!CX58='Weeks Plan'!$D$6,'Planning Sheet'!CR58='Weeks Plan'!$G$6),'Planning Sheet'!$CT58,"")</f>
        <v/>
      </c>
      <c r="AA4005" s="48" t="str">
        <f ca="1">IF(AND('Planning Sheet'!CX58='Weeks Plan'!$D$6,'Planning Sheet'!CR58='Weeks Plan'!$G$6),'Planning Sheet'!$CU58,"")</f>
        <v/>
      </c>
    </row>
    <row r="4006" spans="25:27" x14ac:dyDescent="0.3">
      <c r="Y4006" s="48" t="str">
        <f ca="1">IF(AND('Planning Sheet'!CX59='Weeks Plan'!$D$6,'Planning Sheet'!CR59='Weeks Plan'!$G$6),'Planning Sheet'!$B59,"")</f>
        <v/>
      </c>
      <c r="Z4006" s="48" t="str">
        <f ca="1">IF(AND('Planning Sheet'!CX59='Weeks Plan'!$D$6,'Planning Sheet'!CR59='Weeks Plan'!$G$6),'Planning Sheet'!$CT59,"")</f>
        <v/>
      </c>
      <c r="AA4006" s="48" t="str">
        <f ca="1">IF(AND('Planning Sheet'!CX59='Weeks Plan'!$D$6,'Planning Sheet'!CR59='Weeks Plan'!$G$6),'Planning Sheet'!$CU59,"")</f>
        <v/>
      </c>
    </row>
    <row r="4007" spans="25:27" x14ac:dyDescent="0.3">
      <c r="Y4007" s="48" t="str">
        <f ca="1">IF(AND('Planning Sheet'!CX60='Weeks Plan'!$D$6,'Planning Sheet'!CR60='Weeks Plan'!$G$6),'Planning Sheet'!$B60,"")</f>
        <v/>
      </c>
      <c r="Z4007" s="48" t="str">
        <f ca="1">IF(AND('Planning Sheet'!CX60='Weeks Plan'!$D$6,'Planning Sheet'!CR60='Weeks Plan'!$G$6),'Planning Sheet'!$CT60,"")</f>
        <v/>
      </c>
      <c r="AA4007" s="48" t="str">
        <f ca="1">IF(AND('Planning Sheet'!CX60='Weeks Plan'!$D$6,'Planning Sheet'!CR60='Weeks Plan'!$G$6),'Planning Sheet'!$CU60,"")</f>
        <v/>
      </c>
    </row>
    <row r="4008" spans="25:27" x14ac:dyDescent="0.3">
      <c r="Y4008" s="48" t="str">
        <f ca="1">IF(AND('Planning Sheet'!CX61='Weeks Plan'!$D$6,'Planning Sheet'!CR61='Weeks Plan'!$G$6),'Planning Sheet'!$B61,"")</f>
        <v/>
      </c>
      <c r="Z4008" s="48" t="str">
        <f ca="1">IF(AND('Planning Sheet'!CX61='Weeks Plan'!$D$6,'Planning Sheet'!CR61='Weeks Plan'!$G$6),'Planning Sheet'!$CT61,"")</f>
        <v/>
      </c>
      <c r="AA4008" s="48" t="str">
        <f ca="1">IF(AND('Planning Sheet'!CX61='Weeks Plan'!$D$6,'Planning Sheet'!CR61='Weeks Plan'!$G$6),'Planning Sheet'!$CU61,"")</f>
        <v/>
      </c>
    </row>
    <row r="4009" spans="25:27" x14ac:dyDescent="0.3">
      <c r="Y4009" s="48" t="str">
        <f ca="1">IF(AND('Planning Sheet'!CX62='Weeks Plan'!$D$6,'Planning Sheet'!CR62='Weeks Plan'!$G$6),'Planning Sheet'!$B62,"")</f>
        <v/>
      </c>
      <c r="Z4009" s="48" t="str">
        <f ca="1">IF(AND('Planning Sheet'!CX62='Weeks Plan'!$D$6,'Planning Sheet'!CR62='Weeks Plan'!$G$6),'Planning Sheet'!$CT62,"")</f>
        <v/>
      </c>
      <c r="AA4009" s="48" t="str">
        <f ca="1">IF(AND('Planning Sheet'!CX62='Weeks Plan'!$D$6,'Planning Sheet'!CR62='Weeks Plan'!$G$6),'Planning Sheet'!$CU62,"")</f>
        <v/>
      </c>
    </row>
    <row r="4010" spans="25:27" x14ac:dyDescent="0.3">
      <c r="Y4010" s="48" t="str">
        <f ca="1">IF(AND('Planning Sheet'!CX63='Weeks Plan'!$D$6,'Planning Sheet'!CR63='Weeks Plan'!$G$6),'Planning Sheet'!$B63,"")</f>
        <v/>
      </c>
      <c r="Z4010" s="48" t="str">
        <f ca="1">IF(AND('Planning Sheet'!CX63='Weeks Plan'!$D$6,'Planning Sheet'!CR63='Weeks Plan'!$G$6),'Planning Sheet'!$CT63,"")</f>
        <v/>
      </c>
      <c r="AA4010" s="48" t="str">
        <f ca="1">IF(AND('Planning Sheet'!CX63='Weeks Plan'!$D$6,'Planning Sheet'!CR63='Weeks Plan'!$G$6),'Planning Sheet'!$CU63,"")</f>
        <v/>
      </c>
    </row>
    <row r="4011" spans="25:27" x14ac:dyDescent="0.3">
      <c r="Y4011" s="48" t="str">
        <f ca="1">IF(AND('Planning Sheet'!CX64='Weeks Plan'!$D$6,'Planning Sheet'!CR64='Weeks Plan'!$G$6),'Planning Sheet'!$B64,"")</f>
        <v/>
      </c>
      <c r="Z4011" s="48" t="str">
        <f ca="1">IF(AND('Planning Sheet'!CX64='Weeks Plan'!$D$6,'Planning Sheet'!CR64='Weeks Plan'!$G$6),'Planning Sheet'!$CT64,"")</f>
        <v/>
      </c>
      <c r="AA4011" s="48" t="str">
        <f ca="1">IF(AND('Planning Sheet'!CX64='Weeks Plan'!$D$6,'Planning Sheet'!CR64='Weeks Plan'!$G$6),'Planning Sheet'!$CU64,"")</f>
        <v/>
      </c>
    </row>
    <row r="4012" spans="25:27" x14ac:dyDescent="0.3">
      <c r="Y4012" s="48" t="str">
        <f ca="1">IF(AND('Planning Sheet'!CX65='Weeks Plan'!$D$6,'Planning Sheet'!CR65='Weeks Plan'!$G$6),'Planning Sheet'!$B65,"")</f>
        <v/>
      </c>
      <c r="Z4012" s="48" t="str">
        <f ca="1">IF(AND('Planning Sheet'!CX65='Weeks Plan'!$D$6,'Planning Sheet'!CR65='Weeks Plan'!$G$6),'Planning Sheet'!$CT65,"")</f>
        <v/>
      </c>
      <c r="AA4012" s="48" t="str">
        <f ca="1">IF(AND('Planning Sheet'!CX65='Weeks Plan'!$D$6,'Planning Sheet'!CR65='Weeks Plan'!$G$6),'Planning Sheet'!$CU65,"")</f>
        <v/>
      </c>
    </row>
    <row r="4013" spans="25:27" x14ac:dyDescent="0.3">
      <c r="Y4013" s="48" t="str">
        <f ca="1">IF(AND('Planning Sheet'!CX66='Weeks Plan'!$D$6,'Planning Sheet'!CR66='Weeks Plan'!$G$6),'Planning Sheet'!$B66,"")</f>
        <v/>
      </c>
      <c r="Z4013" s="48" t="str">
        <f ca="1">IF(AND('Planning Sheet'!CX66='Weeks Plan'!$D$6,'Planning Sheet'!CR66='Weeks Plan'!$G$6),'Planning Sheet'!$CT66,"")</f>
        <v/>
      </c>
      <c r="AA4013" s="48" t="str">
        <f ca="1">IF(AND('Planning Sheet'!CX66='Weeks Plan'!$D$6,'Planning Sheet'!CR66='Weeks Plan'!$G$6),'Planning Sheet'!$CU66,"")</f>
        <v/>
      </c>
    </row>
    <row r="4014" spans="25:27" x14ac:dyDescent="0.3">
      <c r="Y4014" s="48" t="str">
        <f ca="1">IF(AND('Planning Sheet'!CX67='Weeks Plan'!$D$6,'Planning Sheet'!CR67='Weeks Plan'!$G$6),'Planning Sheet'!$B67,"")</f>
        <v/>
      </c>
      <c r="Z4014" s="48" t="str">
        <f ca="1">IF(AND('Planning Sheet'!CX67='Weeks Plan'!$D$6,'Planning Sheet'!CR67='Weeks Plan'!$G$6),'Planning Sheet'!$CT67,"")</f>
        <v/>
      </c>
      <c r="AA4014" s="48" t="str">
        <f ca="1">IF(AND('Planning Sheet'!CX67='Weeks Plan'!$D$6,'Planning Sheet'!CR67='Weeks Plan'!$G$6),'Planning Sheet'!$CU67,"")</f>
        <v/>
      </c>
    </row>
    <row r="4015" spans="25:27" x14ac:dyDescent="0.3">
      <c r="Y4015" s="48" t="str">
        <f ca="1">IF(AND('Planning Sheet'!CX68='Weeks Plan'!$D$6,'Planning Sheet'!CR68='Weeks Plan'!$G$6),'Planning Sheet'!$B68,"")</f>
        <v/>
      </c>
      <c r="Z4015" s="48" t="str">
        <f ca="1">IF(AND('Planning Sheet'!CX68='Weeks Plan'!$D$6,'Planning Sheet'!CR68='Weeks Plan'!$G$6),'Planning Sheet'!$CT68,"")</f>
        <v/>
      </c>
      <c r="AA4015" s="48" t="str">
        <f ca="1">IF(AND('Planning Sheet'!CX68='Weeks Plan'!$D$6,'Planning Sheet'!CR68='Weeks Plan'!$G$6),'Planning Sheet'!$CU68,"")</f>
        <v/>
      </c>
    </row>
    <row r="4016" spans="25:27" x14ac:dyDescent="0.3">
      <c r="Y4016" s="48" t="str">
        <f ca="1">IF(AND('Planning Sheet'!CX69='Weeks Plan'!$D$6,'Planning Sheet'!CR69='Weeks Plan'!$G$6),'Planning Sheet'!$B69,"")</f>
        <v/>
      </c>
      <c r="Z4016" s="48" t="str">
        <f ca="1">IF(AND('Planning Sheet'!CX69='Weeks Plan'!$D$6,'Planning Sheet'!CR69='Weeks Plan'!$G$6),'Planning Sheet'!$CT69,"")</f>
        <v/>
      </c>
      <c r="AA4016" s="48" t="str">
        <f ca="1">IF(AND('Planning Sheet'!CX69='Weeks Plan'!$D$6,'Planning Sheet'!CR69='Weeks Plan'!$G$6),'Planning Sheet'!$CU69,"")</f>
        <v/>
      </c>
    </row>
    <row r="4017" spans="25:27" x14ac:dyDescent="0.3">
      <c r="Y4017" s="48" t="str">
        <f ca="1">IF(AND('Planning Sheet'!CX70='Weeks Plan'!$D$6,'Planning Sheet'!CR70='Weeks Plan'!$G$6),'Planning Sheet'!$B70,"")</f>
        <v/>
      </c>
      <c r="Z4017" s="48" t="str">
        <f ca="1">IF(AND('Planning Sheet'!CX70='Weeks Plan'!$D$6,'Planning Sheet'!CR70='Weeks Plan'!$G$6),'Planning Sheet'!$CT70,"")</f>
        <v/>
      </c>
      <c r="AA4017" s="48" t="str">
        <f ca="1">IF(AND('Planning Sheet'!CX70='Weeks Plan'!$D$6,'Planning Sheet'!CR70='Weeks Plan'!$G$6),'Planning Sheet'!$CU70,"")</f>
        <v/>
      </c>
    </row>
    <row r="4018" spans="25:27" x14ac:dyDescent="0.3">
      <c r="Y4018" s="48" t="str">
        <f ca="1">IF(AND('Planning Sheet'!CX71='Weeks Plan'!$D$6,'Planning Sheet'!CR71='Weeks Plan'!$G$6),'Planning Sheet'!$B71,"")</f>
        <v/>
      </c>
      <c r="Z4018" s="48" t="str">
        <f ca="1">IF(AND('Planning Sheet'!CX71='Weeks Plan'!$D$6,'Planning Sheet'!CR71='Weeks Plan'!$G$6),'Planning Sheet'!$CT71,"")</f>
        <v/>
      </c>
      <c r="AA4018" s="48" t="str">
        <f ca="1">IF(AND('Planning Sheet'!CX71='Weeks Plan'!$D$6,'Planning Sheet'!CR71='Weeks Plan'!$G$6),'Planning Sheet'!$CU71,"")</f>
        <v/>
      </c>
    </row>
    <row r="4019" spans="25:27" x14ac:dyDescent="0.3">
      <c r="Y4019" s="48" t="str">
        <f ca="1">IF(AND('Planning Sheet'!CX72='Weeks Plan'!$D$6,'Planning Sheet'!CR72='Weeks Plan'!$G$6),'Planning Sheet'!$B72,"")</f>
        <v/>
      </c>
      <c r="Z4019" s="48" t="str">
        <f ca="1">IF(AND('Planning Sheet'!CX72='Weeks Plan'!$D$6,'Planning Sheet'!CR72='Weeks Plan'!$G$6),'Planning Sheet'!$CT72,"")</f>
        <v/>
      </c>
      <c r="AA4019" s="48" t="str">
        <f ca="1">IF(AND('Planning Sheet'!CX72='Weeks Plan'!$D$6,'Planning Sheet'!CR72='Weeks Plan'!$G$6),'Planning Sheet'!$CU72,"")</f>
        <v/>
      </c>
    </row>
    <row r="4020" spans="25:27" x14ac:dyDescent="0.3">
      <c r="Y4020" s="48" t="str">
        <f ca="1">IF(AND('Planning Sheet'!CX73='Weeks Plan'!$D$6,'Planning Sheet'!CR73='Weeks Plan'!$G$6),'Planning Sheet'!$B73,"")</f>
        <v/>
      </c>
      <c r="Z4020" s="48" t="str">
        <f ca="1">IF(AND('Planning Sheet'!CX73='Weeks Plan'!$D$6,'Planning Sheet'!CR73='Weeks Plan'!$G$6),'Planning Sheet'!$CT73,"")</f>
        <v/>
      </c>
      <c r="AA4020" s="48" t="str">
        <f ca="1">IF(AND('Planning Sheet'!CX73='Weeks Plan'!$D$6,'Planning Sheet'!CR73='Weeks Plan'!$G$6),'Planning Sheet'!$CU73,"")</f>
        <v/>
      </c>
    </row>
    <row r="4021" spans="25:27" x14ac:dyDescent="0.3">
      <c r="Y4021" s="48" t="str">
        <f ca="1">IF(AND('Planning Sheet'!CX74='Weeks Plan'!$D$6,'Planning Sheet'!CR74='Weeks Plan'!$G$6),'Planning Sheet'!$B74,"")</f>
        <v/>
      </c>
      <c r="Z4021" s="48" t="str">
        <f ca="1">IF(AND('Planning Sheet'!CX74='Weeks Plan'!$D$6,'Planning Sheet'!CR74='Weeks Plan'!$G$6),'Planning Sheet'!$CT74,"")</f>
        <v/>
      </c>
      <c r="AA4021" s="48" t="str">
        <f ca="1">IF(AND('Planning Sheet'!CX74='Weeks Plan'!$D$6,'Planning Sheet'!CR74='Weeks Plan'!$G$6),'Planning Sheet'!$CU74,"")</f>
        <v/>
      </c>
    </row>
    <row r="4022" spans="25:27" x14ac:dyDescent="0.3">
      <c r="Y4022" s="48" t="str">
        <f ca="1">IF(AND('Planning Sheet'!CX75='Weeks Plan'!$D$6,'Planning Sheet'!CR75='Weeks Plan'!$G$6),'Planning Sheet'!$B75,"")</f>
        <v/>
      </c>
      <c r="Z4022" s="48" t="str">
        <f ca="1">IF(AND('Planning Sheet'!CX75='Weeks Plan'!$D$6,'Planning Sheet'!CR75='Weeks Plan'!$G$6),'Planning Sheet'!$CT75,"")</f>
        <v/>
      </c>
      <c r="AA4022" s="48" t="str">
        <f ca="1">IF(AND('Planning Sheet'!CX75='Weeks Plan'!$D$6,'Planning Sheet'!CR75='Weeks Plan'!$G$6),'Planning Sheet'!$CU75,"")</f>
        <v/>
      </c>
    </row>
    <row r="4023" spans="25:27" x14ac:dyDescent="0.3">
      <c r="Y4023" s="48" t="str">
        <f ca="1">IF(AND('Planning Sheet'!CX76='Weeks Plan'!$D$6,'Planning Sheet'!CR76='Weeks Plan'!$G$6),'Planning Sheet'!$B76,"")</f>
        <v/>
      </c>
      <c r="Z4023" s="48" t="str">
        <f ca="1">IF(AND('Planning Sheet'!CX76='Weeks Plan'!$D$6,'Planning Sheet'!CR76='Weeks Plan'!$G$6),'Planning Sheet'!$CT76,"")</f>
        <v/>
      </c>
      <c r="AA4023" s="48" t="str">
        <f ca="1">IF(AND('Planning Sheet'!CX76='Weeks Plan'!$D$6,'Planning Sheet'!CR76='Weeks Plan'!$G$6),'Planning Sheet'!$CU76,"")</f>
        <v/>
      </c>
    </row>
    <row r="4024" spans="25:27" x14ac:dyDescent="0.3">
      <c r="Y4024" s="48" t="str">
        <f ca="1">IF(AND('Planning Sheet'!CX77='Weeks Plan'!$D$6,'Planning Sheet'!CR77='Weeks Plan'!$G$6),'Planning Sheet'!$B77,"")</f>
        <v/>
      </c>
      <c r="Z4024" s="48" t="str">
        <f ca="1">IF(AND('Planning Sheet'!CX77='Weeks Plan'!$D$6,'Planning Sheet'!CR77='Weeks Plan'!$G$6),'Planning Sheet'!$CT77,"")</f>
        <v/>
      </c>
      <c r="AA4024" s="48" t="str">
        <f ca="1">IF(AND('Planning Sheet'!CX77='Weeks Plan'!$D$6,'Planning Sheet'!CR77='Weeks Plan'!$G$6),'Planning Sheet'!$CU77,"")</f>
        <v/>
      </c>
    </row>
    <row r="4025" spans="25:27" x14ac:dyDescent="0.3">
      <c r="Y4025" s="48" t="str">
        <f ca="1">IF(AND('Planning Sheet'!CX78='Weeks Plan'!$D$6,'Planning Sheet'!CR78='Weeks Plan'!$G$6),'Planning Sheet'!$B78,"")</f>
        <v/>
      </c>
      <c r="Z4025" s="48" t="str">
        <f ca="1">IF(AND('Planning Sheet'!CX78='Weeks Plan'!$D$6,'Planning Sheet'!CR78='Weeks Plan'!$G$6),'Planning Sheet'!$CT78,"")</f>
        <v/>
      </c>
      <c r="AA4025" s="48" t="str">
        <f ca="1">IF(AND('Planning Sheet'!CX78='Weeks Plan'!$D$6,'Planning Sheet'!CR78='Weeks Plan'!$G$6),'Planning Sheet'!$CU78,"")</f>
        <v/>
      </c>
    </row>
    <row r="4026" spans="25:27" x14ac:dyDescent="0.3">
      <c r="Y4026" s="48" t="str">
        <f ca="1">IF(AND('Planning Sheet'!CX79='Weeks Plan'!$D$6,'Planning Sheet'!CR79='Weeks Plan'!$G$6),'Planning Sheet'!$B79,"")</f>
        <v/>
      </c>
      <c r="Z4026" s="48" t="str">
        <f ca="1">IF(AND('Planning Sheet'!CX79='Weeks Plan'!$D$6,'Planning Sheet'!CR79='Weeks Plan'!$G$6),'Planning Sheet'!$CT79,"")</f>
        <v/>
      </c>
      <c r="AA4026" s="48" t="str">
        <f ca="1">IF(AND('Planning Sheet'!CX79='Weeks Plan'!$D$6,'Planning Sheet'!CR79='Weeks Plan'!$G$6),'Planning Sheet'!$CU79,"")</f>
        <v/>
      </c>
    </row>
    <row r="4027" spans="25:27" x14ac:dyDescent="0.3">
      <c r="Y4027" s="48" t="str">
        <f ca="1">IF(AND('Planning Sheet'!CX80='Weeks Plan'!$D$6,'Planning Sheet'!CR80='Weeks Plan'!$G$6),'Planning Sheet'!$B80,"")</f>
        <v/>
      </c>
      <c r="Z4027" s="48" t="str">
        <f ca="1">IF(AND('Planning Sheet'!CX80='Weeks Plan'!$D$6,'Planning Sheet'!CR80='Weeks Plan'!$G$6),'Planning Sheet'!$CT80,"")</f>
        <v/>
      </c>
      <c r="AA4027" s="48" t="str">
        <f ca="1">IF(AND('Planning Sheet'!CX80='Weeks Plan'!$D$6,'Planning Sheet'!CR80='Weeks Plan'!$G$6),'Planning Sheet'!$CU80,"")</f>
        <v/>
      </c>
    </row>
    <row r="4028" spans="25:27" x14ac:dyDescent="0.3">
      <c r="Y4028" s="48" t="str">
        <f ca="1">IF(AND('Planning Sheet'!CX81='Weeks Plan'!$D$6,'Planning Sheet'!CR81='Weeks Plan'!$G$6),'Planning Sheet'!$B81,"")</f>
        <v/>
      </c>
      <c r="Z4028" s="48" t="str">
        <f ca="1">IF(AND('Planning Sheet'!CX81='Weeks Plan'!$D$6,'Planning Sheet'!CR81='Weeks Plan'!$G$6),'Planning Sheet'!$CT81,"")</f>
        <v/>
      </c>
      <c r="AA4028" s="48" t="str">
        <f ca="1">IF(AND('Planning Sheet'!CX81='Weeks Plan'!$D$6,'Planning Sheet'!CR81='Weeks Plan'!$G$6),'Planning Sheet'!$CU81,"")</f>
        <v/>
      </c>
    </row>
    <row r="4029" spans="25:27" x14ac:dyDescent="0.3">
      <c r="Y4029" s="48" t="str">
        <f ca="1">IF(AND('Planning Sheet'!CX82='Weeks Plan'!$D$6,'Planning Sheet'!CR82='Weeks Plan'!$G$6),'Planning Sheet'!$B82,"")</f>
        <v/>
      </c>
      <c r="Z4029" s="48" t="str">
        <f ca="1">IF(AND('Planning Sheet'!CX82='Weeks Plan'!$D$6,'Planning Sheet'!CR82='Weeks Plan'!$G$6),'Planning Sheet'!$CT82,"")</f>
        <v/>
      </c>
      <c r="AA4029" s="48" t="str">
        <f ca="1">IF(AND('Planning Sheet'!CX82='Weeks Plan'!$D$6,'Planning Sheet'!CR82='Weeks Plan'!$G$6),'Planning Sheet'!$CU82,"")</f>
        <v/>
      </c>
    </row>
    <row r="4030" spans="25:27" x14ac:dyDescent="0.3">
      <c r="Y4030" s="48" t="str">
        <f ca="1">IF(AND('Planning Sheet'!CX83='Weeks Plan'!$D$6,'Planning Sheet'!CR83='Weeks Plan'!$G$6),'Planning Sheet'!$B83,"")</f>
        <v/>
      </c>
      <c r="Z4030" s="48" t="str">
        <f ca="1">IF(AND('Planning Sheet'!CX83='Weeks Plan'!$D$6,'Planning Sheet'!CR83='Weeks Plan'!$G$6),'Planning Sheet'!$CT83,"")</f>
        <v/>
      </c>
      <c r="AA4030" s="48" t="str">
        <f ca="1">IF(AND('Planning Sheet'!CX83='Weeks Plan'!$D$6,'Planning Sheet'!CR83='Weeks Plan'!$G$6),'Planning Sheet'!$CU83,"")</f>
        <v/>
      </c>
    </row>
    <row r="4031" spans="25:27" x14ac:dyDescent="0.3">
      <c r="Y4031" s="48" t="str">
        <f ca="1">IF(AND('Planning Sheet'!CX84='Weeks Plan'!$D$6,'Planning Sheet'!CR84='Weeks Plan'!$G$6),'Planning Sheet'!$B84,"")</f>
        <v/>
      </c>
      <c r="Z4031" s="48" t="str">
        <f ca="1">IF(AND('Planning Sheet'!CX84='Weeks Plan'!$D$6,'Planning Sheet'!CR84='Weeks Plan'!$G$6),'Planning Sheet'!$CT84,"")</f>
        <v/>
      </c>
      <c r="AA4031" s="48" t="str">
        <f ca="1">IF(AND('Planning Sheet'!CX84='Weeks Plan'!$D$6,'Planning Sheet'!CR84='Weeks Plan'!$G$6),'Planning Sheet'!$CU84,"")</f>
        <v/>
      </c>
    </row>
    <row r="4032" spans="25:27" x14ac:dyDescent="0.3">
      <c r="Y4032" s="48" t="str">
        <f ca="1">IF(AND('Planning Sheet'!CX85='Weeks Plan'!$D$6,'Planning Sheet'!CR85='Weeks Plan'!$G$6),'Planning Sheet'!$B85,"")</f>
        <v/>
      </c>
      <c r="Z4032" s="48" t="str">
        <f ca="1">IF(AND('Planning Sheet'!CX85='Weeks Plan'!$D$6,'Planning Sheet'!CR85='Weeks Plan'!$G$6),'Planning Sheet'!$CT85,"")</f>
        <v/>
      </c>
      <c r="AA4032" s="48" t="str">
        <f ca="1">IF(AND('Planning Sheet'!CX85='Weeks Plan'!$D$6,'Planning Sheet'!CR85='Weeks Plan'!$G$6),'Planning Sheet'!$CU85,"")</f>
        <v/>
      </c>
    </row>
    <row r="4033" spans="25:27" x14ac:dyDescent="0.3">
      <c r="Y4033" s="48" t="str">
        <f ca="1">IF(AND('Planning Sheet'!CX86='Weeks Plan'!$D$6,'Planning Sheet'!CR86='Weeks Plan'!$G$6),'Planning Sheet'!$B86,"")</f>
        <v/>
      </c>
      <c r="Z4033" s="48" t="str">
        <f ca="1">IF(AND('Planning Sheet'!CX86='Weeks Plan'!$D$6,'Planning Sheet'!CR86='Weeks Plan'!$G$6),'Planning Sheet'!$CT86,"")</f>
        <v/>
      </c>
      <c r="AA4033" s="48" t="str">
        <f ca="1">IF(AND('Planning Sheet'!CX86='Weeks Plan'!$D$6,'Planning Sheet'!CR86='Weeks Plan'!$G$6),'Planning Sheet'!$CU86,"")</f>
        <v/>
      </c>
    </row>
    <row r="4034" spans="25:27" x14ac:dyDescent="0.3">
      <c r="Y4034" s="48" t="str">
        <f ca="1">IF(AND('Planning Sheet'!CX87='Weeks Plan'!$D$6,'Planning Sheet'!CR87='Weeks Plan'!$G$6),'Planning Sheet'!$B87,"")</f>
        <v/>
      </c>
      <c r="Z4034" s="48" t="str">
        <f ca="1">IF(AND('Planning Sheet'!CX87='Weeks Plan'!$D$6,'Planning Sheet'!CR87='Weeks Plan'!$G$6),'Planning Sheet'!$CT87,"")</f>
        <v/>
      </c>
      <c r="AA4034" s="48" t="str">
        <f ca="1">IF(AND('Planning Sheet'!CX87='Weeks Plan'!$D$6,'Planning Sheet'!CR87='Weeks Plan'!$G$6),'Planning Sheet'!$CU87,"")</f>
        <v/>
      </c>
    </row>
    <row r="4035" spans="25:27" x14ac:dyDescent="0.3">
      <c r="Y4035" s="48" t="str">
        <f ca="1">IF(AND('Planning Sheet'!CX88='Weeks Plan'!$D$6,'Planning Sheet'!CR88='Weeks Plan'!$G$6),'Planning Sheet'!$B88,"")</f>
        <v/>
      </c>
      <c r="Z4035" s="48" t="str">
        <f ca="1">IF(AND('Planning Sheet'!CX88='Weeks Plan'!$D$6,'Planning Sheet'!CR88='Weeks Plan'!$G$6),'Planning Sheet'!$CT88,"")</f>
        <v/>
      </c>
      <c r="AA4035" s="48" t="str">
        <f ca="1">IF(AND('Planning Sheet'!CX88='Weeks Plan'!$D$6,'Planning Sheet'!CR88='Weeks Plan'!$G$6),'Planning Sheet'!$CU88,"")</f>
        <v/>
      </c>
    </row>
    <row r="4036" spans="25:27" x14ac:dyDescent="0.3">
      <c r="Y4036" s="48" t="str">
        <f ca="1">IF(AND('Planning Sheet'!CX89='Weeks Plan'!$D$6,'Planning Sheet'!CR89='Weeks Plan'!$G$6),'Planning Sheet'!$B89,"")</f>
        <v/>
      </c>
      <c r="Z4036" s="48" t="str">
        <f ca="1">IF(AND('Planning Sheet'!CX89='Weeks Plan'!$D$6,'Planning Sheet'!CR89='Weeks Plan'!$G$6),'Planning Sheet'!$CT89,"")</f>
        <v/>
      </c>
      <c r="AA4036" s="48" t="str">
        <f ca="1">IF(AND('Planning Sheet'!CX89='Weeks Plan'!$D$6,'Planning Sheet'!CR89='Weeks Plan'!$G$6),'Planning Sheet'!$CU89,"")</f>
        <v/>
      </c>
    </row>
    <row r="4037" spans="25:27" x14ac:dyDescent="0.3">
      <c r="Y4037" s="48" t="str">
        <f ca="1">IF(AND('Planning Sheet'!CX90='Weeks Plan'!$D$6,'Planning Sheet'!CR90='Weeks Plan'!$G$6),'Planning Sheet'!$B90,"")</f>
        <v/>
      </c>
      <c r="Z4037" s="48" t="str">
        <f ca="1">IF(AND('Planning Sheet'!CX90='Weeks Plan'!$D$6,'Planning Sheet'!CR90='Weeks Plan'!$G$6),'Planning Sheet'!$CT90,"")</f>
        <v/>
      </c>
      <c r="AA4037" s="48" t="str">
        <f ca="1">IF(AND('Planning Sheet'!CX90='Weeks Plan'!$D$6,'Planning Sheet'!CR90='Weeks Plan'!$G$6),'Planning Sheet'!$CU90,"")</f>
        <v/>
      </c>
    </row>
    <row r="4038" spans="25:27" x14ac:dyDescent="0.3">
      <c r="Y4038" s="48" t="str">
        <f ca="1">IF(AND('Planning Sheet'!CX91='Weeks Plan'!$D$6,'Planning Sheet'!CR91='Weeks Plan'!$G$6),'Planning Sheet'!$B91,"")</f>
        <v/>
      </c>
      <c r="Z4038" s="48" t="str">
        <f ca="1">IF(AND('Planning Sheet'!CX91='Weeks Plan'!$D$6,'Planning Sheet'!CR91='Weeks Plan'!$G$6),'Planning Sheet'!$CT91,"")</f>
        <v/>
      </c>
      <c r="AA4038" s="48" t="str">
        <f ca="1">IF(AND('Planning Sheet'!CX91='Weeks Plan'!$D$6,'Planning Sheet'!CR91='Weeks Plan'!$G$6),'Planning Sheet'!$CU91,"")</f>
        <v/>
      </c>
    </row>
    <row r="4039" spans="25:27" x14ac:dyDescent="0.3">
      <c r="Y4039" s="48" t="str">
        <f ca="1">IF(AND('Planning Sheet'!CX92='Weeks Plan'!$D$6,'Planning Sheet'!CR92='Weeks Plan'!$G$6),'Planning Sheet'!$B92,"")</f>
        <v/>
      </c>
      <c r="Z4039" s="48" t="str">
        <f ca="1">IF(AND('Planning Sheet'!CX92='Weeks Plan'!$D$6,'Planning Sheet'!CR92='Weeks Plan'!$G$6),'Planning Sheet'!$CT92,"")</f>
        <v/>
      </c>
      <c r="AA4039" s="48" t="str">
        <f ca="1">IF(AND('Planning Sheet'!CX92='Weeks Plan'!$D$6,'Planning Sheet'!CR92='Weeks Plan'!$G$6),'Planning Sheet'!$CU92,"")</f>
        <v/>
      </c>
    </row>
    <row r="4040" spans="25:27" x14ac:dyDescent="0.3">
      <c r="Y4040" s="48" t="str">
        <f ca="1">IF(AND('Planning Sheet'!CX93='Weeks Plan'!$D$6,'Planning Sheet'!CR93='Weeks Plan'!$G$6),'Planning Sheet'!$B93,"")</f>
        <v/>
      </c>
      <c r="Z4040" s="48" t="str">
        <f ca="1">IF(AND('Planning Sheet'!CX93='Weeks Plan'!$D$6,'Planning Sheet'!CR93='Weeks Plan'!$G$6),'Planning Sheet'!$CT93,"")</f>
        <v/>
      </c>
      <c r="AA4040" s="48" t="str">
        <f ca="1">IF(AND('Planning Sheet'!CX93='Weeks Plan'!$D$6,'Planning Sheet'!CR93='Weeks Plan'!$G$6),'Planning Sheet'!$CU93,"")</f>
        <v/>
      </c>
    </row>
    <row r="4041" spans="25:27" x14ac:dyDescent="0.3">
      <c r="Y4041" s="48" t="str">
        <f ca="1">IF(AND('Planning Sheet'!CX94='Weeks Plan'!$D$6,'Planning Sheet'!CR94='Weeks Plan'!$G$6),'Planning Sheet'!$B94,"")</f>
        <v/>
      </c>
      <c r="Z4041" s="48" t="str">
        <f ca="1">IF(AND('Planning Sheet'!CX94='Weeks Plan'!$D$6,'Planning Sheet'!CR94='Weeks Plan'!$G$6),'Planning Sheet'!$CT94,"")</f>
        <v/>
      </c>
      <c r="AA4041" s="48" t="str">
        <f ca="1">IF(AND('Planning Sheet'!CX94='Weeks Plan'!$D$6,'Planning Sheet'!CR94='Weeks Plan'!$G$6),'Planning Sheet'!$CU94,"")</f>
        <v/>
      </c>
    </row>
    <row r="4042" spans="25:27" x14ac:dyDescent="0.3">
      <c r="Y4042" s="48" t="str">
        <f ca="1">IF(AND('Planning Sheet'!CX95='Weeks Plan'!$D$6,'Planning Sheet'!CR95='Weeks Plan'!$G$6),'Planning Sheet'!$B95,"")</f>
        <v/>
      </c>
      <c r="Z4042" s="48" t="str">
        <f ca="1">IF(AND('Planning Sheet'!CX95='Weeks Plan'!$D$6,'Planning Sheet'!CR95='Weeks Plan'!$G$6),'Planning Sheet'!$CT95,"")</f>
        <v/>
      </c>
      <c r="AA4042" s="48" t="str">
        <f ca="1">IF(AND('Planning Sheet'!CX95='Weeks Plan'!$D$6,'Planning Sheet'!CR95='Weeks Plan'!$G$6),'Planning Sheet'!$CU95,"")</f>
        <v/>
      </c>
    </row>
    <row r="4043" spans="25:27" x14ac:dyDescent="0.3">
      <c r="Y4043" s="48" t="str">
        <f ca="1">IF(AND('Planning Sheet'!CX96='Weeks Plan'!$D$6,'Planning Sheet'!CR96='Weeks Plan'!$G$6),'Planning Sheet'!$B96,"")</f>
        <v/>
      </c>
      <c r="Z4043" s="48" t="str">
        <f ca="1">IF(AND('Planning Sheet'!CX96='Weeks Plan'!$D$6,'Planning Sheet'!CR96='Weeks Plan'!$G$6),'Planning Sheet'!$CT96,"")</f>
        <v/>
      </c>
      <c r="AA4043" s="48" t="str">
        <f ca="1">IF(AND('Planning Sheet'!CX96='Weeks Plan'!$D$6,'Planning Sheet'!CR96='Weeks Plan'!$G$6),'Planning Sheet'!$CU96,"")</f>
        <v/>
      </c>
    </row>
    <row r="4044" spans="25:27" x14ac:dyDescent="0.3">
      <c r="Y4044" s="48" t="str">
        <f ca="1">IF(AND('Planning Sheet'!CX97='Weeks Plan'!$D$6,'Planning Sheet'!CR97='Weeks Plan'!$G$6),'Planning Sheet'!$B97,"")</f>
        <v/>
      </c>
      <c r="Z4044" s="48" t="str">
        <f ca="1">IF(AND('Planning Sheet'!CX97='Weeks Plan'!$D$6,'Planning Sheet'!CR97='Weeks Plan'!$G$6),'Planning Sheet'!$CT97,"")</f>
        <v/>
      </c>
      <c r="AA4044" s="48" t="str">
        <f ca="1">IF(AND('Planning Sheet'!CX97='Weeks Plan'!$D$6,'Planning Sheet'!CR97='Weeks Plan'!$G$6),'Planning Sheet'!$CU97,"")</f>
        <v/>
      </c>
    </row>
    <row r="4045" spans="25:27" x14ac:dyDescent="0.3">
      <c r="Y4045" s="48" t="str">
        <f ca="1">IF(AND('Planning Sheet'!CX98='Weeks Plan'!$D$6,'Planning Sheet'!CR98='Weeks Plan'!$G$6),'Planning Sheet'!$B98,"")</f>
        <v/>
      </c>
      <c r="Z4045" s="48" t="str">
        <f ca="1">IF(AND('Planning Sheet'!CX98='Weeks Plan'!$D$6,'Planning Sheet'!CR98='Weeks Plan'!$G$6),'Planning Sheet'!$CT98,"")</f>
        <v/>
      </c>
      <c r="AA4045" s="48" t="str">
        <f ca="1">IF(AND('Planning Sheet'!CX98='Weeks Plan'!$D$6,'Planning Sheet'!CR98='Weeks Plan'!$G$6),'Planning Sheet'!$CU98,"")</f>
        <v/>
      </c>
    </row>
    <row r="4046" spans="25:27" x14ac:dyDescent="0.3">
      <c r="Y4046" s="48" t="str">
        <f ca="1">IF(AND('Planning Sheet'!CX99='Weeks Plan'!$D$6,'Planning Sheet'!CR99='Weeks Plan'!$G$6),'Planning Sheet'!$B99,"")</f>
        <v/>
      </c>
      <c r="Z4046" s="48" t="str">
        <f ca="1">IF(AND('Planning Sheet'!CX99='Weeks Plan'!$D$6,'Planning Sheet'!CR99='Weeks Plan'!$G$6),'Planning Sheet'!$CT99,"")</f>
        <v/>
      </c>
      <c r="AA4046" s="48" t="str">
        <f ca="1">IF(AND('Planning Sheet'!CX99='Weeks Plan'!$D$6,'Planning Sheet'!CR99='Weeks Plan'!$G$6),'Planning Sheet'!$CU99,"")</f>
        <v/>
      </c>
    </row>
    <row r="4047" spans="25:27" x14ac:dyDescent="0.3">
      <c r="Y4047" s="48" t="str">
        <f ca="1">IF(AND('Planning Sheet'!CX100='Weeks Plan'!$D$6,'Planning Sheet'!CR100='Weeks Plan'!$G$6),'Planning Sheet'!$B100,"")</f>
        <v/>
      </c>
      <c r="Z4047" s="48" t="str">
        <f ca="1">IF(AND('Planning Sheet'!CX100='Weeks Plan'!$D$6,'Planning Sheet'!CR100='Weeks Plan'!$G$6),'Planning Sheet'!$CT100,"")</f>
        <v/>
      </c>
      <c r="AA4047" s="48" t="str">
        <f ca="1">IF(AND('Planning Sheet'!CX100='Weeks Plan'!$D$6,'Planning Sheet'!CR100='Weeks Plan'!$G$6),'Planning Sheet'!$CU100,"")</f>
        <v/>
      </c>
    </row>
    <row r="4048" spans="25:27" x14ac:dyDescent="0.3">
      <c r="Y4048" s="48" t="str">
        <f ca="1">IF(AND('Planning Sheet'!CX101='Weeks Plan'!$D$6,'Planning Sheet'!CR101='Weeks Plan'!$G$6),'Planning Sheet'!$B101,"")</f>
        <v/>
      </c>
      <c r="Z4048" s="48" t="str">
        <f ca="1">IF(AND('Planning Sheet'!CX101='Weeks Plan'!$D$6,'Planning Sheet'!CR101='Weeks Plan'!$G$6),'Planning Sheet'!$CT101,"")</f>
        <v/>
      </c>
      <c r="AA4048" s="48" t="str">
        <f ca="1">IF(AND('Planning Sheet'!CX101='Weeks Plan'!$D$6,'Planning Sheet'!CR101='Weeks Plan'!$G$6),'Planning Sheet'!$CU101,"")</f>
        <v/>
      </c>
    </row>
    <row r="4049" spans="25:27" x14ac:dyDescent="0.3">
      <c r="Y4049" s="48" t="str">
        <f ca="1">IF(AND('Planning Sheet'!CX102='Weeks Plan'!$D$6,'Planning Sheet'!CR102='Weeks Plan'!$G$6),'Planning Sheet'!$B102,"")</f>
        <v/>
      </c>
      <c r="Z4049" s="48" t="str">
        <f ca="1">IF(AND('Planning Sheet'!CX102='Weeks Plan'!$D$6,'Planning Sheet'!CR102='Weeks Plan'!$G$6),'Planning Sheet'!$CT102,"")</f>
        <v/>
      </c>
      <c r="AA4049" s="48" t="str">
        <f ca="1">IF(AND('Planning Sheet'!CX102='Weeks Plan'!$D$6,'Planning Sheet'!CR102='Weeks Plan'!$G$6),'Planning Sheet'!$CU102,"")</f>
        <v/>
      </c>
    </row>
    <row r="4050" spans="25:27" x14ac:dyDescent="0.3">
      <c r="Y4050" s="48" t="str">
        <f ca="1">IF(AND('Planning Sheet'!CX103='Weeks Plan'!$D$6,'Planning Sheet'!CR103='Weeks Plan'!$G$6),'Planning Sheet'!$B103,"")</f>
        <v/>
      </c>
      <c r="Z4050" s="48" t="str">
        <f ca="1">IF(AND('Planning Sheet'!CX103='Weeks Plan'!$D$6,'Planning Sheet'!CR103='Weeks Plan'!$G$6),'Planning Sheet'!$CT103,"")</f>
        <v/>
      </c>
      <c r="AA4050" s="48" t="str">
        <f ca="1">IF(AND('Planning Sheet'!CX103='Weeks Plan'!$D$6,'Planning Sheet'!CR103='Weeks Plan'!$G$6),'Planning Sheet'!$CU103,"")</f>
        <v/>
      </c>
    </row>
    <row r="4051" spans="25:27" x14ac:dyDescent="0.3">
      <c r="Y4051" s="48" t="str">
        <f ca="1">IF(AND('Planning Sheet'!CX104='Weeks Plan'!$D$6,'Planning Sheet'!CR104='Weeks Plan'!$G$6),'Planning Sheet'!$B104,"")</f>
        <v/>
      </c>
      <c r="Z4051" s="48" t="str">
        <f ca="1">IF(AND('Planning Sheet'!CX104='Weeks Plan'!$D$6,'Planning Sheet'!CR104='Weeks Plan'!$G$6),'Planning Sheet'!$CT104,"")</f>
        <v/>
      </c>
      <c r="AA4051" s="48" t="str">
        <f ca="1">IF(AND('Planning Sheet'!CX104='Weeks Plan'!$D$6,'Planning Sheet'!CR104='Weeks Plan'!$G$6),'Planning Sheet'!$CU104,"")</f>
        <v/>
      </c>
    </row>
    <row r="4052" spans="25:27" x14ac:dyDescent="0.3">
      <c r="Y4052" s="48" t="str">
        <f ca="1">IF(AND('Planning Sheet'!CX105='Weeks Plan'!$D$6,'Planning Sheet'!CR105='Weeks Plan'!$G$6),'Planning Sheet'!$B105,"")</f>
        <v/>
      </c>
      <c r="Z4052" s="48" t="str">
        <f ca="1">IF(AND('Planning Sheet'!CX105='Weeks Plan'!$D$6,'Planning Sheet'!CR105='Weeks Plan'!$G$6),'Planning Sheet'!$CT105,"")</f>
        <v/>
      </c>
      <c r="AA4052" s="48" t="str">
        <f ca="1">IF(AND('Planning Sheet'!CX105='Weeks Plan'!$D$6,'Planning Sheet'!CR105='Weeks Plan'!$G$6),'Planning Sheet'!$CU105,"")</f>
        <v/>
      </c>
    </row>
    <row r="4053" spans="25:27" x14ac:dyDescent="0.3">
      <c r="Y4053" s="48" t="str">
        <f ca="1">IF(AND('Planning Sheet'!CX106='Weeks Plan'!$D$6,'Planning Sheet'!CR106='Weeks Plan'!$G$6),'Planning Sheet'!$B106,"")</f>
        <v/>
      </c>
      <c r="Z4053" s="48" t="str">
        <f ca="1">IF(AND('Planning Sheet'!CX106='Weeks Plan'!$D$6,'Planning Sheet'!CR106='Weeks Plan'!$G$6),'Planning Sheet'!$CT106,"")</f>
        <v/>
      </c>
      <c r="AA4053" s="48" t="str">
        <f ca="1">IF(AND('Planning Sheet'!CX106='Weeks Plan'!$D$6,'Planning Sheet'!CR106='Weeks Plan'!$G$6),'Planning Sheet'!$CU106,"")</f>
        <v/>
      </c>
    </row>
    <row r="4054" spans="25:27" x14ac:dyDescent="0.3">
      <c r="Y4054" s="48" t="str">
        <f ca="1">IF(AND('Planning Sheet'!CX107='Weeks Plan'!$D$6,'Planning Sheet'!CR107='Weeks Plan'!$G$6),'Planning Sheet'!$B107,"")</f>
        <v/>
      </c>
      <c r="Z4054" s="48" t="str">
        <f ca="1">IF(AND('Planning Sheet'!CX107='Weeks Plan'!$D$6,'Planning Sheet'!CR107='Weeks Plan'!$G$6),'Planning Sheet'!$CT107,"")</f>
        <v/>
      </c>
      <c r="AA4054" s="48" t="str">
        <f ca="1">IF(AND('Planning Sheet'!CX107='Weeks Plan'!$D$6,'Planning Sheet'!CR107='Weeks Plan'!$G$6),'Planning Sheet'!$CU107,"")</f>
        <v/>
      </c>
    </row>
    <row r="4055" spans="25:27" x14ac:dyDescent="0.3">
      <c r="Y4055" s="48" t="str">
        <f ca="1">IF(AND('Planning Sheet'!CX108='Weeks Plan'!$D$6,'Planning Sheet'!CR108='Weeks Plan'!$G$6),'Planning Sheet'!$B108,"")</f>
        <v/>
      </c>
      <c r="Z4055" s="48" t="str">
        <f ca="1">IF(AND('Planning Sheet'!CX108='Weeks Plan'!$D$6,'Planning Sheet'!CR108='Weeks Plan'!$G$6),'Planning Sheet'!$CT108,"")</f>
        <v/>
      </c>
      <c r="AA4055" s="48" t="str">
        <f ca="1">IF(AND('Planning Sheet'!CX108='Weeks Plan'!$D$6,'Planning Sheet'!CR108='Weeks Plan'!$G$6),'Planning Sheet'!$CU108,"")</f>
        <v/>
      </c>
    </row>
    <row r="4056" spans="25:27" x14ac:dyDescent="0.3">
      <c r="Y4056" s="48" t="str">
        <f ca="1">IF(AND('Planning Sheet'!CX109='Weeks Plan'!$D$6,'Planning Sheet'!CR109='Weeks Plan'!$G$6),'Planning Sheet'!$B109,"")</f>
        <v/>
      </c>
      <c r="Z4056" s="48" t="str">
        <f ca="1">IF(AND('Planning Sheet'!CX109='Weeks Plan'!$D$6,'Planning Sheet'!CR109='Weeks Plan'!$G$6),'Planning Sheet'!$CT109,"")</f>
        <v/>
      </c>
      <c r="AA4056" s="48" t="str">
        <f ca="1">IF(AND('Planning Sheet'!CX109='Weeks Plan'!$D$6,'Planning Sheet'!CR109='Weeks Plan'!$G$6),'Planning Sheet'!$CU109,"")</f>
        <v/>
      </c>
    </row>
    <row r="4057" spans="25:27" x14ac:dyDescent="0.3">
      <c r="Y4057" s="48" t="str">
        <f ca="1">IF(AND('Planning Sheet'!CX110='Weeks Plan'!$D$6,'Planning Sheet'!CR110='Weeks Plan'!$G$6),'Planning Sheet'!$B110,"")</f>
        <v/>
      </c>
      <c r="Z4057" s="48" t="str">
        <f ca="1">IF(AND('Planning Sheet'!CX110='Weeks Plan'!$D$6,'Planning Sheet'!CR110='Weeks Plan'!$G$6),'Planning Sheet'!$CT110,"")</f>
        <v/>
      </c>
      <c r="AA4057" s="48" t="str">
        <f ca="1">IF(AND('Planning Sheet'!CX110='Weeks Plan'!$D$6,'Planning Sheet'!CR110='Weeks Plan'!$G$6),'Planning Sheet'!$CU110,"")</f>
        <v/>
      </c>
    </row>
    <row r="4058" spans="25:27" x14ac:dyDescent="0.3">
      <c r="Y4058" s="48" t="str">
        <f ca="1">IF(AND('Planning Sheet'!CX111='Weeks Plan'!$D$6,'Planning Sheet'!CR111='Weeks Plan'!$G$6),'Planning Sheet'!$B111,"")</f>
        <v/>
      </c>
      <c r="Z4058" s="48" t="str">
        <f ca="1">IF(AND('Planning Sheet'!CX111='Weeks Plan'!$D$6,'Planning Sheet'!CR111='Weeks Plan'!$G$6),'Planning Sheet'!$CT111,"")</f>
        <v/>
      </c>
      <c r="AA4058" s="48" t="str">
        <f ca="1">IF(AND('Planning Sheet'!CX111='Weeks Plan'!$D$6,'Planning Sheet'!CR111='Weeks Plan'!$G$6),'Planning Sheet'!$CU111,"")</f>
        <v/>
      </c>
    </row>
    <row r="4059" spans="25:27" x14ac:dyDescent="0.3">
      <c r="Y4059" s="48" t="str">
        <f ca="1">IF(AND('Planning Sheet'!CX112='Weeks Plan'!$D$6,'Planning Sheet'!CR112='Weeks Plan'!$G$6),'Planning Sheet'!$B112,"")</f>
        <v/>
      </c>
      <c r="Z4059" s="48" t="str">
        <f ca="1">IF(AND('Planning Sheet'!CX112='Weeks Plan'!$D$6,'Planning Sheet'!CR112='Weeks Plan'!$G$6),'Planning Sheet'!$CT112,"")</f>
        <v/>
      </c>
      <c r="AA4059" s="48" t="str">
        <f ca="1">IF(AND('Planning Sheet'!CX112='Weeks Plan'!$D$6,'Planning Sheet'!CR112='Weeks Plan'!$G$6),'Planning Sheet'!$CU112,"")</f>
        <v/>
      </c>
    </row>
    <row r="4060" spans="25:27" x14ac:dyDescent="0.3">
      <c r="Y4060" s="48" t="str">
        <f ca="1">IF(AND('Planning Sheet'!CX113='Weeks Plan'!$D$6,'Planning Sheet'!CR113='Weeks Plan'!$G$6),'Planning Sheet'!$B113,"")</f>
        <v/>
      </c>
      <c r="Z4060" s="48" t="str">
        <f ca="1">IF(AND('Planning Sheet'!CX113='Weeks Plan'!$D$6,'Planning Sheet'!CR113='Weeks Plan'!$G$6),'Planning Sheet'!$CT113,"")</f>
        <v/>
      </c>
      <c r="AA4060" s="48" t="str">
        <f ca="1">IF(AND('Planning Sheet'!CX113='Weeks Plan'!$D$6,'Planning Sheet'!CR113='Weeks Plan'!$G$6),'Planning Sheet'!$CU113,"")</f>
        <v/>
      </c>
    </row>
    <row r="4061" spans="25:27" x14ac:dyDescent="0.3">
      <c r="Y4061" s="48" t="str">
        <f ca="1">IF(AND('Planning Sheet'!CX114='Weeks Plan'!$D$6,'Planning Sheet'!CR114='Weeks Plan'!$G$6),'Planning Sheet'!$B114,"")</f>
        <v/>
      </c>
      <c r="Z4061" s="48" t="str">
        <f ca="1">IF(AND('Planning Sheet'!CX114='Weeks Plan'!$D$6,'Planning Sheet'!CR114='Weeks Plan'!$G$6),'Planning Sheet'!$CT114,"")</f>
        <v/>
      </c>
      <c r="AA4061" s="48" t="str">
        <f ca="1">IF(AND('Planning Sheet'!CX114='Weeks Plan'!$D$6,'Planning Sheet'!CR114='Weeks Plan'!$G$6),'Planning Sheet'!$CU114,"")</f>
        <v/>
      </c>
    </row>
    <row r="4062" spans="25:27" x14ac:dyDescent="0.3">
      <c r="Y4062" s="48" t="str">
        <f ca="1">IF(AND('Planning Sheet'!CX115='Weeks Plan'!$D$6,'Planning Sheet'!CR115='Weeks Plan'!$G$6),'Planning Sheet'!$B115,"")</f>
        <v/>
      </c>
      <c r="Z4062" s="48" t="str">
        <f ca="1">IF(AND('Planning Sheet'!CX115='Weeks Plan'!$D$6,'Planning Sheet'!CR115='Weeks Plan'!$G$6),'Planning Sheet'!$CT115,"")</f>
        <v/>
      </c>
      <c r="AA4062" s="48" t="str">
        <f ca="1">IF(AND('Planning Sheet'!CX115='Weeks Plan'!$D$6,'Planning Sheet'!CR115='Weeks Plan'!$G$6),'Planning Sheet'!$CU115,"")</f>
        <v/>
      </c>
    </row>
    <row r="4063" spans="25:27" x14ac:dyDescent="0.3">
      <c r="Y4063" s="48" t="str">
        <f ca="1">IF(AND('Planning Sheet'!CX116='Weeks Plan'!$D$6,'Planning Sheet'!CR116='Weeks Plan'!$G$6),'Planning Sheet'!$B116,"")</f>
        <v/>
      </c>
      <c r="Z4063" s="48" t="str">
        <f ca="1">IF(AND('Planning Sheet'!CX116='Weeks Plan'!$D$6,'Planning Sheet'!CR116='Weeks Plan'!$G$6),'Planning Sheet'!$CT116,"")</f>
        <v/>
      </c>
      <c r="AA4063" s="48" t="str">
        <f ca="1">IF(AND('Planning Sheet'!CX116='Weeks Plan'!$D$6,'Planning Sheet'!CR116='Weeks Plan'!$G$6),'Planning Sheet'!$CU116,"")</f>
        <v/>
      </c>
    </row>
    <row r="4064" spans="25:27" x14ac:dyDescent="0.3">
      <c r="Y4064" s="48" t="str">
        <f ca="1">IF(AND('Planning Sheet'!CX117='Weeks Plan'!$D$6,'Planning Sheet'!CR117='Weeks Plan'!$G$6),'Planning Sheet'!$B117,"")</f>
        <v/>
      </c>
      <c r="Z4064" s="48" t="str">
        <f ca="1">IF(AND('Planning Sheet'!CX117='Weeks Plan'!$D$6,'Planning Sheet'!CR117='Weeks Plan'!$G$6),'Planning Sheet'!$CT117,"")</f>
        <v/>
      </c>
      <c r="AA4064" s="48" t="str">
        <f ca="1">IF(AND('Planning Sheet'!CX117='Weeks Plan'!$D$6,'Planning Sheet'!CR117='Weeks Plan'!$G$6),'Planning Sheet'!$CU117,"")</f>
        <v/>
      </c>
    </row>
    <row r="4065" spans="25:27" x14ac:dyDescent="0.3">
      <c r="Y4065" s="48" t="str">
        <f ca="1">IF(AND('Planning Sheet'!CX118='Weeks Plan'!$D$6,'Planning Sheet'!CR118='Weeks Plan'!$G$6),'Planning Sheet'!$B118,"")</f>
        <v/>
      </c>
      <c r="Z4065" s="48" t="str">
        <f ca="1">IF(AND('Planning Sheet'!CX118='Weeks Plan'!$D$6,'Planning Sheet'!CR118='Weeks Plan'!$G$6),'Planning Sheet'!$CT118,"")</f>
        <v/>
      </c>
      <c r="AA4065" s="48" t="str">
        <f ca="1">IF(AND('Planning Sheet'!CX118='Weeks Plan'!$D$6,'Planning Sheet'!CR118='Weeks Plan'!$G$6),'Planning Sheet'!$CU118,"")</f>
        <v/>
      </c>
    </row>
    <row r="4066" spans="25:27" x14ac:dyDescent="0.3">
      <c r="Y4066" s="48" t="str">
        <f ca="1">IF(AND('Planning Sheet'!CX119='Weeks Plan'!$D$6,'Planning Sheet'!CR119='Weeks Plan'!$G$6),'Planning Sheet'!$B119,"")</f>
        <v/>
      </c>
      <c r="Z4066" s="48" t="str">
        <f ca="1">IF(AND('Planning Sheet'!CX119='Weeks Plan'!$D$6,'Planning Sheet'!CR119='Weeks Plan'!$G$6),'Planning Sheet'!$CT119,"")</f>
        <v/>
      </c>
      <c r="AA4066" s="48" t="str">
        <f ca="1">IF(AND('Planning Sheet'!CX119='Weeks Plan'!$D$6,'Planning Sheet'!CR119='Weeks Plan'!$G$6),'Planning Sheet'!$CU119,"")</f>
        <v/>
      </c>
    </row>
    <row r="4067" spans="25:27" x14ac:dyDescent="0.3">
      <c r="Y4067" s="48" t="str">
        <f ca="1">IF(AND('Planning Sheet'!CX120='Weeks Plan'!$D$6,'Planning Sheet'!CR120='Weeks Plan'!$G$6),'Planning Sheet'!$B120,"")</f>
        <v/>
      </c>
      <c r="Z4067" s="48" t="str">
        <f ca="1">IF(AND('Planning Sheet'!CX120='Weeks Plan'!$D$6,'Planning Sheet'!CR120='Weeks Plan'!$G$6),'Planning Sheet'!$CT120,"")</f>
        <v/>
      </c>
      <c r="AA4067" s="48" t="str">
        <f ca="1">IF(AND('Planning Sheet'!CX120='Weeks Plan'!$D$6,'Planning Sheet'!CR120='Weeks Plan'!$G$6),'Planning Sheet'!$CU120,"")</f>
        <v/>
      </c>
    </row>
    <row r="4068" spans="25:27" x14ac:dyDescent="0.3">
      <c r="Y4068" s="48" t="str">
        <f ca="1">IF(AND('Planning Sheet'!CX121='Weeks Plan'!$D$6,'Planning Sheet'!CR121='Weeks Plan'!$G$6),'Planning Sheet'!$B121,"")</f>
        <v/>
      </c>
      <c r="Z4068" s="48" t="str">
        <f ca="1">IF(AND('Planning Sheet'!CX121='Weeks Plan'!$D$6,'Planning Sheet'!CR121='Weeks Plan'!$G$6),'Planning Sheet'!$CT121,"")</f>
        <v/>
      </c>
      <c r="AA4068" s="48" t="str">
        <f ca="1">IF(AND('Planning Sheet'!CX121='Weeks Plan'!$D$6,'Planning Sheet'!CR121='Weeks Plan'!$G$6),'Planning Sheet'!$CU121,"")</f>
        <v/>
      </c>
    </row>
    <row r="4069" spans="25:27" x14ac:dyDescent="0.3">
      <c r="Y4069" s="48" t="str">
        <f ca="1">IF(AND('Planning Sheet'!CX122='Weeks Plan'!$D$6,'Planning Sheet'!CR122='Weeks Plan'!$G$6),'Planning Sheet'!$B122,"")</f>
        <v/>
      </c>
      <c r="Z4069" s="48" t="str">
        <f ca="1">IF(AND('Planning Sheet'!CX122='Weeks Plan'!$D$6,'Planning Sheet'!CR122='Weeks Plan'!$G$6),'Planning Sheet'!$CT122,"")</f>
        <v/>
      </c>
      <c r="AA4069" s="48" t="str">
        <f ca="1">IF(AND('Planning Sheet'!CX122='Weeks Plan'!$D$6,'Planning Sheet'!CR122='Weeks Plan'!$G$6),'Planning Sheet'!$CU122,"")</f>
        <v/>
      </c>
    </row>
    <row r="4070" spans="25:27" x14ac:dyDescent="0.3">
      <c r="Y4070" s="48" t="str">
        <f ca="1">IF(AND('Planning Sheet'!CX123='Weeks Plan'!$D$6,'Planning Sheet'!CR123='Weeks Plan'!$G$6),'Planning Sheet'!$B123,"")</f>
        <v/>
      </c>
      <c r="Z4070" s="48" t="str">
        <f ca="1">IF(AND('Planning Sheet'!CX123='Weeks Plan'!$D$6,'Planning Sheet'!CR123='Weeks Plan'!$G$6),'Planning Sheet'!$CT123,"")</f>
        <v/>
      </c>
      <c r="AA4070" s="48" t="str">
        <f ca="1">IF(AND('Planning Sheet'!CX123='Weeks Plan'!$D$6,'Planning Sheet'!CR123='Weeks Plan'!$G$6),'Planning Sheet'!$CU123,"")</f>
        <v/>
      </c>
    </row>
    <row r="4071" spans="25:27" x14ac:dyDescent="0.3">
      <c r="Y4071" s="48" t="str">
        <f ca="1">IF(AND('Planning Sheet'!CX124='Weeks Plan'!$D$6,'Planning Sheet'!CR124='Weeks Plan'!$G$6),'Planning Sheet'!$B124,"")</f>
        <v/>
      </c>
      <c r="Z4071" s="48" t="str">
        <f ca="1">IF(AND('Planning Sheet'!CX124='Weeks Plan'!$D$6,'Planning Sheet'!CR124='Weeks Plan'!$G$6),'Planning Sheet'!$CT124,"")</f>
        <v/>
      </c>
      <c r="AA4071" s="48" t="str">
        <f ca="1">IF(AND('Planning Sheet'!CX124='Weeks Plan'!$D$6,'Planning Sheet'!CR124='Weeks Plan'!$G$6),'Planning Sheet'!$CU124,"")</f>
        <v/>
      </c>
    </row>
    <row r="4072" spans="25:27" x14ac:dyDescent="0.3">
      <c r="Y4072" s="48" t="str">
        <f ca="1">IF(AND('Planning Sheet'!CX125='Weeks Plan'!$D$6,'Planning Sheet'!CR125='Weeks Plan'!$G$6),'Planning Sheet'!$B125,"")</f>
        <v/>
      </c>
      <c r="Z4072" s="48" t="str">
        <f ca="1">IF(AND('Planning Sheet'!CX125='Weeks Plan'!$D$6,'Planning Sheet'!CR125='Weeks Plan'!$G$6),'Planning Sheet'!$CT125,"")</f>
        <v/>
      </c>
      <c r="AA4072" s="48" t="str">
        <f ca="1">IF(AND('Planning Sheet'!CX125='Weeks Plan'!$D$6,'Planning Sheet'!CR125='Weeks Plan'!$G$6),'Planning Sheet'!$CU125,"")</f>
        <v/>
      </c>
    </row>
    <row r="4073" spans="25:27" x14ac:dyDescent="0.3">
      <c r="Y4073" s="48" t="str">
        <f ca="1">IF(AND('Planning Sheet'!CX126='Weeks Plan'!$D$6,'Planning Sheet'!CR126='Weeks Plan'!$G$6),'Planning Sheet'!$B126,"")</f>
        <v/>
      </c>
      <c r="Z4073" s="48" t="str">
        <f ca="1">IF(AND('Planning Sheet'!CX126='Weeks Plan'!$D$6,'Planning Sheet'!CR126='Weeks Plan'!$G$6),'Planning Sheet'!$CT126,"")</f>
        <v/>
      </c>
      <c r="AA4073" s="48" t="str">
        <f ca="1">IF(AND('Planning Sheet'!CX126='Weeks Plan'!$D$6,'Planning Sheet'!CR126='Weeks Plan'!$G$6),'Planning Sheet'!$CU126,"")</f>
        <v/>
      </c>
    </row>
    <row r="4074" spans="25:27" x14ac:dyDescent="0.3">
      <c r="Y4074" s="48" t="str">
        <f ca="1">IF(AND('Planning Sheet'!CX127='Weeks Plan'!$D$6,'Planning Sheet'!CR127='Weeks Plan'!$G$6),'Planning Sheet'!$B127,"")</f>
        <v/>
      </c>
      <c r="Z4074" s="48" t="str">
        <f ca="1">IF(AND('Planning Sheet'!CX127='Weeks Plan'!$D$6,'Planning Sheet'!CR127='Weeks Plan'!$G$6),'Planning Sheet'!$CT127,"")</f>
        <v/>
      </c>
      <c r="AA4074" s="48" t="str">
        <f ca="1">IF(AND('Planning Sheet'!CX127='Weeks Plan'!$D$6,'Planning Sheet'!CR127='Weeks Plan'!$G$6),'Planning Sheet'!$CU127,"")</f>
        <v/>
      </c>
    </row>
    <row r="4075" spans="25:27" x14ac:dyDescent="0.3">
      <c r="Y4075" s="48" t="str">
        <f ca="1">IF(AND('Planning Sheet'!CX128='Weeks Plan'!$D$6,'Planning Sheet'!CR128='Weeks Plan'!$G$6),'Planning Sheet'!$B128,"")</f>
        <v/>
      </c>
      <c r="Z4075" s="48" t="str">
        <f ca="1">IF(AND('Planning Sheet'!CX128='Weeks Plan'!$D$6,'Planning Sheet'!CR128='Weeks Plan'!$G$6),'Planning Sheet'!$CT128,"")</f>
        <v/>
      </c>
      <c r="AA4075" s="48" t="str">
        <f ca="1">IF(AND('Planning Sheet'!CX128='Weeks Plan'!$D$6,'Planning Sheet'!CR128='Weeks Plan'!$G$6),'Planning Sheet'!$CU128,"")</f>
        <v/>
      </c>
    </row>
    <row r="4076" spans="25:27" x14ac:dyDescent="0.3">
      <c r="Y4076" s="48" t="str">
        <f ca="1">IF(AND('Planning Sheet'!CX129='Weeks Plan'!$D$6,'Planning Sheet'!CR129='Weeks Plan'!$G$6),'Planning Sheet'!$B129,"")</f>
        <v/>
      </c>
      <c r="Z4076" s="48" t="str">
        <f ca="1">IF(AND('Planning Sheet'!CX129='Weeks Plan'!$D$6,'Planning Sheet'!CR129='Weeks Plan'!$G$6),'Planning Sheet'!$CT129,"")</f>
        <v/>
      </c>
      <c r="AA4076" s="48" t="str">
        <f ca="1">IF(AND('Planning Sheet'!CX129='Weeks Plan'!$D$6,'Planning Sheet'!CR129='Weeks Plan'!$G$6),'Planning Sheet'!$CU129,"")</f>
        <v/>
      </c>
    </row>
    <row r="4077" spans="25:27" x14ac:dyDescent="0.3">
      <c r="Y4077" s="48" t="str">
        <f ca="1">IF(AND('Planning Sheet'!CX130='Weeks Plan'!$D$6,'Planning Sheet'!CR130='Weeks Plan'!$G$6),'Planning Sheet'!$B130,"")</f>
        <v/>
      </c>
      <c r="Z4077" s="48" t="str">
        <f ca="1">IF(AND('Planning Sheet'!CX130='Weeks Plan'!$D$6,'Planning Sheet'!CR130='Weeks Plan'!$G$6),'Planning Sheet'!$CT130,"")</f>
        <v/>
      </c>
      <c r="AA4077" s="48" t="str">
        <f ca="1">IF(AND('Planning Sheet'!CX130='Weeks Plan'!$D$6,'Planning Sheet'!CR130='Weeks Plan'!$G$6),'Planning Sheet'!$CU130,"")</f>
        <v/>
      </c>
    </row>
    <row r="4078" spans="25:27" x14ac:dyDescent="0.3">
      <c r="Y4078" s="48" t="str">
        <f ca="1">IF(AND('Planning Sheet'!CX131='Weeks Plan'!$D$6,'Planning Sheet'!CR131='Weeks Plan'!$G$6),'Planning Sheet'!$B131,"")</f>
        <v/>
      </c>
      <c r="Z4078" s="48" t="str">
        <f ca="1">IF(AND('Planning Sheet'!CX131='Weeks Plan'!$D$6,'Planning Sheet'!CR131='Weeks Plan'!$G$6),'Planning Sheet'!$CT131,"")</f>
        <v/>
      </c>
      <c r="AA4078" s="48" t="str">
        <f ca="1">IF(AND('Planning Sheet'!CX131='Weeks Plan'!$D$6,'Planning Sheet'!CR131='Weeks Plan'!$G$6),'Planning Sheet'!$CU131,"")</f>
        <v/>
      </c>
    </row>
    <row r="4079" spans="25:27" x14ac:dyDescent="0.3">
      <c r="Y4079" s="48" t="str">
        <f ca="1">IF(AND('Planning Sheet'!CX132='Weeks Plan'!$D$6,'Planning Sheet'!CR132='Weeks Plan'!$G$6),'Planning Sheet'!$B132,"")</f>
        <v/>
      </c>
      <c r="Z4079" s="48" t="str">
        <f ca="1">IF(AND('Planning Sheet'!CX132='Weeks Plan'!$D$6,'Planning Sheet'!CR132='Weeks Plan'!$G$6),'Planning Sheet'!$CT132,"")</f>
        <v/>
      </c>
      <c r="AA4079" s="48" t="str">
        <f ca="1">IF(AND('Planning Sheet'!CX132='Weeks Plan'!$D$6,'Planning Sheet'!CR132='Weeks Plan'!$G$6),'Planning Sheet'!$CU132,"")</f>
        <v/>
      </c>
    </row>
    <row r="4080" spans="25:27" x14ac:dyDescent="0.3">
      <c r="Y4080" s="48" t="str">
        <f ca="1">IF(AND('Planning Sheet'!CX133='Weeks Plan'!$D$6,'Planning Sheet'!CR133='Weeks Plan'!$G$6),'Planning Sheet'!$B133,"")</f>
        <v/>
      </c>
      <c r="Z4080" s="48" t="str">
        <f ca="1">IF(AND('Planning Sheet'!CX133='Weeks Plan'!$D$6,'Planning Sheet'!CR133='Weeks Plan'!$G$6),'Planning Sheet'!$CT133,"")</f>
        <v/>
      </c>
      <c r="AA4080" s="48" t="str">
        <f ca="1">IF(AND('Planning Sheet'!CX133='Weeks Plan'!$D$6,'Planning Sheet'!CR133='Weeks Plan'!$G$6),'Planning Sheet'!$CU133,"")</f>
        <v/>
      </c>
    </row>
    <row r="4081" spans="25:27" x14ac:dyDescent="0.3">
      <c r="Y4081" s="48" t="str">
        <f ca="1">IF(AND('Planning Sheet'!CX134='Weeks Plan'!$D$6,'Planning Sheet'!CR134='Weeks Plan'!$G$6),'Planning Sheet'!$B134,"")</f>
        <v/>
      </c>
      <c r="Z4081" s="48" t="str">
        <f ca="1">IF(AND('Planning Sheet'!CX134='Weeks Plan'!$D$6,'Planning Sheet'!CR134='Weeks Plan'!$G$6),'Planning Sheet'!$CT134,"")</f>
        <v/>
      </c>
      <c r="AA4081" s="48" t="str">
        <f ca="1">IF(AND('Planning Sheet'!CX134='Weeks Plan'!$D$6,'Planning Sheet'!CR134='Weeks Plan'!$G$6),'Planning Sheet'!$CU134,"")</f>
        <v/>
      </c>
    </row>
    <row r="4082" spans="25:27" x14ac:dyDescent="0.3">
      <c r="Y4082" s="48" t="str">
        <f ca="1">IF(AND('Planning Sheet'!CX135='Weeks Plan'!$D$6,'Planning Sheet'!CR135='Weeks Plan'!$G$6),'Planning Sheet'!$B135,"")</f>
        <v/>
      </c>
      <c r="Z4082" s="48" t="str">
        <f ca="1">IF(AND('Planning Sheet'!CX135='Weeks Plan'!$D$6,'Planning Sheet'!CR135='Weeks Plan'!$G$6),'Planning Sheet'!$CT135,"")</f>
        <v/>
      </c>
      <c r="AA4082" s="48" t="str">
        <f ca="1">IF(AND('Planning Sheet'!CX135='Weeks Plan'!$D$6,'Planning Sheet'!CR135='Weeks Plan'!$G$6),'Planning Sheet'!$CU135,"")</f>
        <v/>
      </c>
    </row>
    <row r="4083" spans="25:27" x14ac:dyDescent="0.3">
      <c r="Y4083" s="48" t="str">
        <f ca="1">IF(AND('Planning Sheet'!CX136='Weeks Plan'!$D$6,'Planning Sheet'!CR136='Weeks Plan'!$G$6),'Planning Sheet'!$B136,"")</f>
        <v/>
      </c>
      <c r="Z4083" s="48" t="str">
        <f ca="1">IF(AND('Planning Sheet'!CX136='Weeks Plan'!$D$6,'Planning Sheet'!CR136='Weeks Plan'!$G$6),'Planning Sheet'!$CT136,"")</f>
        <v/>
      </c>
      <c r="AA4083" s="48" t="str">
        <f ca="1">IF(AND('Planning Sheet'!CX136='Weeks Plan'!$D$6,'Planning Sheet'!CR136='Weeks Plan'!$G$6),'Planning Sheet'!$CU136,"")</f>
        <v/>
      </c>
    </row>
    <row r="4084" spans="25:27" x14ac:dyDescent="0.3">
      <c r="Y4084" s="48" t="str">
        <f ca="1">IF(AND('Planning Sheet'!CX137='Weeks Plan'!$D$6,'Planning Sheet'!CR137='Weeks Plan'!$G$6),'Planning Sheet'!$B137,"")</f>
        <v/>
      </c>
      <c r="Z4084" s="48" t="str">
        <f ca="1">IF(AND('Planning Sheet'!CX137='Weeks Plan'!$D$6,'Planning Sheet'!CR137='Weeks Plan'!$G$6),'Planning Sheet'!$CT137,"")</f>
        <v/>
      </c>
      <c r="AA4084" s="48" t="str">
        <f ca="1">IF(AND('Planning Sheet'!CX137='Weeks Plan'!$D$6,'Planning Sheet'!CR137='Weeks Plan'!$G$6),'Planning Sheet'!$CU137,"")</f>
        <v/>
      </c>
    </row>
    <row r="4085" spans="25:27" x14ac:dyDescent="0.3">
      <c r="Y4085" s="48" t="str">
        <f ca="1">IF(AND('Planning Sheet'!CX138='Weeks Plan'!$D$6,'Planning Sheet'!CR138='Weeks Plan'!$G$6),'Planning Sheet'!$B138,"")</f>
        <v/>
      </c>
      <c r="Z4085" s="48" t="str">
        <f ca="1">IF(AND('Planning Sheet'!CX138='Weeks Plan'!$D$6,'Planning Sheet'!CR138='Weeks Plan'!$G$6),'Planning Sheet'!$CT138,"")</f>
        <v/>
      </c>
      <c r="AA4085" s="48" t="str">
        <f ca="1">IF(AND('Planning Sheet'!CX138='Weeks Plan'!$D$6,'Planning Sheet'!CR138='Weeks Plan'!$G$6),'Planning Sheet'!$CU138,"")</f>
        <v/>
      </c>
    </row>
    <row r="4086" spans="25:27" x14ac:dyDescent="0.3">
      <c r="Y4086" s="48" t="str">
        <f ca="1">IF(AND('Planning Sheet'!CX139='Weeks Plan'!$D$6,'Planning Sheet'!CR139='Weeks Plan'!$G$6),'Planning Sheet'!$B139,"")</f>
        <v/>
      </c>
      <c r="Z4086" s="48" t="str">
        <f ca="1">IF(AND('Planning Sheet'!CX139='Weeks Plan'!$D$6,'Planning Sheet'!CR139='Weeks Plan'!$G$6),'Planning Sheet'!$CT139,"")</f>
        <v/>
      </c>
      <c r="AA4086" s="48" t="str">
        <f ca="1">IF(AND('Planning Sheet'!CX139='Weeks Plan'!$D$6,'Planning Sheet'!CR139='Weeks Plan'!$G$6),'Planning Sheet'!$CU139,"")</f>
        <v/>
      </c>
    </row>
    <row r="4087" spans="25:27" x14ac:dyDescent="0.3">
      <c r="Y4087" s="48" t="str">
        <f ca="1">IF(AND('Planning Sheet'!CX140='Weeks Plan'!$D$6,'Planning Sheet'!CR140='Weeks Plan'!$G$6),'Planning Sheet'!$B140,"")</f>
        <v/>
      </c>
      <c r="Z4087" s="48" t="str">
        <f ca="1">IF(AND('Planning Sheet'!CX140='Weeks Plan'!$D$6,'Planning Sheet'!CR140='Weeks Plan'!$G$6),'Planning Sheet'!$CT140,"")</f>
        <v/>
      </c>
      <c r="AA4087" s="48" t="str">
        <f ca="1">IF(AND('Planning Sheet'!CX140='Weeks Plan'!$D$6,'Planning Sheet'!CR140='Weeks Plan'!$G$6),'Planning Sheet'!$CU140,"")</f>
        <v/>
      </c>
    </row>
    <row r="4088" spans="25:27" x14ac:dyDescent="0.3">
      <c r="Y4088" s="48" t="str">
        <f ca="1">IF(AND('Planning Sheet'!CX141='Weeks Plan'!$D$6,'Planning Sheet'!CR141='Weeks Plan'!$G$6),'Planning Sheet'!$B141,"")</f>
        <v/>
      </c>
      <c r="Z4088" s="48" t="str">
        <f ca="1">IF(AND('Planning Sheet'!CX141='Weeks Plan'!$D$6,'Planning Sheet'!CR141='Weeks Plan'!$G$6),'Planning Sheet'!$CT141,"")</f>
        <v/>
      </c>
      <c r="AA4088" s="48" t="str">
        <f ca="1">IF(AND('Planning Sheet'!CX141='Weeks Plan'!$D$6,'Planning Sheet'!CR141='Weeks Plan'!$G$6),'Planning Sheet'!$CU141,"")</f>
        <v/>
      </c>
    </row>
    <row r="4089" spans="25:27" x14ac:dyDescent="0.3">
      <c r="Y4089" s="48" t="str">
        <f ca="1">IF(AND('Planning Sheet'!CX142='Weeks Plan'!$D$6,'Planning Sheet'!CR142='Weeks Plan'!$G$6),'Planning Sheet'!$B142,"")</f>
        <v/>
      </c>
      <c r="Z4089" s="48" t="str">
        <f ca="1">IF(AND('Planning Sheet'!CX142='Weeks Plan'!$D$6,'Planning Sheet'!CR142='Weeks Plan'!$G$6),'Planning Sheet'!$CT142,"")</f>
        <v/>
      </c>
      <c r="AA4089" s="48" t="str">
        <f ca="1">IF(AND('Planning Sheet'!CX142='Weeks Plan'!$D$6,'Planning Sheet'!CR142='Weeks Plan'!$G$6),'Planning Sheet'!$CU142,"")</f>
        <v/>
      </c>
    </row>
    <row r="4090" spans="25:27" x14ac:dyDescent="0.3">
      <c r="Y4090" s="48" t="str">
        <f ca="1">IF(AND('Planning Sheet'!CX143='Weeks Plan'!$D$6,'Planning Sheet'!CR143='Weeks Plan'!$G$6),'Planning Sheet'!$B143,"")</f>
        <v/>
      </c>
      <c r="Z4090" s="48" t="str">
        <f ca="1">IF(AND('Planning Sheet'!CX143='Weeks Plan'!$D$6,'Planning Sheet'!CR143='Weeks Plan'!$G$6),'Planning Sheet'!$CT143,"")</f>
        <v/>
      </c>
      <c r="AA4090" s="48" t="str">
        <f ca="1">IF(AND('Planning Sheet'!CX143='Weeks Plan'!$D$6,'Planning Sheet'!CR143='Weeks Plan'!$G$6),'Planning Sheet'!$CU143,"")</f>
        <v/>
      </c>
    </row>
    <row r="4091" spans="25:27" x14ac:dyDescent="0.3">
      <c r="Y4091" s="48" t="str">
        <f ca="1">IF(AND('Planning Sheet'!CX144='Weeks Plan'!$D$6,'Planning Sheet'!CR144='Weeks Plan'!$G$6),'Planning Sheet'!$B144,"")</f>
        <v/>
      </c>
      <c r="Z4091" s="48" t="str">
        <f ca="1">IF(AND('Planning Sheet'!CX144='Weeks Plan'!$D$6,'Planning Sheet'!CR144='Weeks Plan'!$G$6),'Planning Sheet'!$CT144,"")</f>
        <v/>
      </c>
      <c r="AA4091" s="48" t="str">
        <f ca="1">IF(AND('Planning Sheet'!CX144='Weeks Plan'!$D$6,'Planning Sheet'!CR144='Weeks Plan'!$G$6),'Planning Sheet'!$CU144,"")</f>
        <v/>
      </c>
    </row>
    <row r="4092" spans="25:27" x14ac:dyDescent="0.3">
      <c r="Y4092" s="48" t="str">
        <f ca="1">IF(AND('Planning Sheet'!CX145='Weeks Plan'!$D$6,'Planning Sheet'!CR145='Weeks Plan'!$G$6),'Planning Sheet'!$B145,"")</f>
        <v/>
      </c>
      <c r="Z4092" s="48" t="str">
        <f ca="1">IF(AND('Planning Sheet'!CX145='Weeks Plan'!$D$6,'Planning Sheet'!CR145='Weeks Plan'!$G$6),'Planning Sheet'!$CT145,"")</f>
        <v/>
      </c>
      <c r="AA4092" s="48" t="str">
        <f ca="1">IF(AND('Planning Sheet'!CX145='Weeks Plan'!$D$6,'Planning Sheet'!CR145='Weeks Plan'!$G$6),'Planning Sheet'!$CU145,"")</f>
        <v/>
      </c>
    </row>
    <row r="4093" spans="25:27" x14ac:dyDescent="0.3">
      <c r="Y4093" s="48" t="str">
        <f ca="1">IF(AND('Planning Sheet'!CX146='Weeks Plan'!$D$6,'Planning Sheet'!CR146='Weeks Plan'!$G$6),'Planning Sheet'!$B146,"")</f>
        <v/>
      </c>
      <c r="Z4093" s="48" t="str">
        <f ca="1">IF(AND('Planning Sheet'!CX146='Weeks Plan'!$D$6,'Planning Sheet'!CR146='Weeks Plan'!$G$6),'Planning Sheet'!$CT146,"")</f>
        <v/>
      </c>
      <c r="AA4093" s="48" t="str">
        <f ca="1">IF(AND('Planning Sheet'!CX146='Weeks Plan'!$D$6,'Planning Sheet'!CR146='Weeks Plan'!$G$6),'Planning Sheet'!$CU146,"")</f>
        <v/>
      </c>
    </row>
    <row r="4094" spans="25:27" x14ac:dyDescent="0.3">
      <c r="Y4094" s="48" t="str">
        <f ca="1">IF(AND('Planning Sheet'!CX147='Weeks Plan'!$D$6,'Planning Sheet'!CR147='Weeks Plan'!$G$6),'Planning Sheet'!$B147,"")</f>
        <v/>
      </c>
      <c r="Z4094" s="48" t="str">
        <f ca="1">IF(AND('Planning Sheet'!CX147='Weeks Plan'!$D$6,'Planning Sheet'!CR147='Weeks Plan'!$G$6),'Planning Sheet'!$CT147,"")</f>
        <v/>
      </c>
      <c r="AA4094" s="48" t="str">
        <f ca="1">IF(AND('Planning Sheet'!CX147='Weeks Plan'!$D$6,'Planning Sheet'!CR147='Weeks Plan'!$G$6),'Planning Sheet'!$CU147,"")</f>
        <v/>
      </c>
    </row>
    <row r="4095" spans="25:27" x14ac:dyDescent="0.3">
      <c r="Y4095" s="48" t="str">
        <f ca="1">IF(AND('Planning Sheet'!CX148='Weeks Plan'!$D$6,'Planning Sheet'!CR148='Weeks Plan'!$G$6),'Planning Sheet'!$B148,"")</f>
        <v/>
      </c>
      <c r="Z4095" s="48" t="str">
        <f ca="1">IF(AND('Planning Sheet'!CX148='Weeks Plan'!$D$6,'Planning Sheet'!CR148='Weeks Plan'!$G$6),'Planning Sheet'!$CT148,"")</f>
        <v/>
      </c>
      <c r="AA4095" s="48" t="str">
        <f ca="1">IF(AND('Planning Sheet'!CX148='Weeks Plan'!$D$6,'Planning Sheet'!CR148='Weeks Plan'!$G$6),'Planning Sheet'!$CU148,"")</f>
        <v/>
      </c>
    </row>
    <row r="4096" spans="25:27" x14ac:dyDescent="0.3">
      <c r="Y4096" s="48" t="str">
        <f ca="1">IF(AND('Planning Sheet'!CX149='Weeks Plan'!$D$6,'Planning Sheet'!CR149='Weeks Plan'!$G$6),'Planning Sheet'!$B149,"")</f>
        <v/>
      </c>
      <c r="Z4096" s="48" t="str">
        <f ca="1">IF(AND('Planning Sheet'!CX149='Weeks Plan'!$D$6,'Planning Sheet'!CR149='Weeks Plan'!$G$6),'Planning Sheet'!$CT149,"")</f>
        <v/>
      </c>
      <c r="AA4096" s="48" t="str">
        <f ca="1">IF(AND('Planning Sheet'!CX149='Weeks Plan'!$D$6,'Planning Sheet'!CR149='Weeks Plan'!$G$6),'Planning Sheet'!$CU149,"")</f>
        <v/>
      </c>
    </row>
    <row r="4097" spans="25:27" x14ac:dyDescent="0.3">
      <c r="Y4097" s="48" t="str">
        <f ca="1">IF(AND('Planning Sheet'!CX150='Weeks Plan'!$D$6,'Planning Sheet'!CR150='Weeks Plan'!$G$6),'Planning Sheet'!$B150,"")</f>
        <v/>
      </c>
      <c r="Z4097" s="48" t="str">
        <f ca="1">IF(AND('Planning Sheet'!CX150='Weeks Plan'!$D$6,'Planning Sheet'!CR150='Weeks Plan'!$G$6),'Planning Sheet'!$CT150,"")</f>
        <v/>
      </c>
      <c r="AA4097" s="48" t="str">
        <f ca="1">IF(AND('Planning Sheet'!CX150='Weeks Plan'!$D$6,'Planning Sheet'!CR150='Weeks Plan'!$G$6),'Planning Sheet'!$CU150,"")</f>
        <v/>
      </c>
    </row>
    <row r="4098" spans="25:27" x14ac:dyDescent="0.3">
      <c r="Y4098" s="48" t="str">
        <f ca="1">IF(AND('Planning Sheet'!CX151='Weeks Plan'!$D$6,'Planning Sheet'!CR151='Weeks Plan'!$G$6),'Planning Sheet'!$B151,"")</f>
        <v/>
      </c>
      <c r="Z4098" s="48" t="str">
        <f ca="1">IF(AND('Planning Sheet'!CX151='Weeks Plan'!$D$6,'Planning Sheet'!CR151='Weeks Plan'!$G$6),'Planning Sheet'!$CT151,"")</f>
        <v/>
      </c>
      <c r="AA4098" s="48" t="str">
        <f ca="1">IF(AND('Planning Sheet'!CX151='Weeks Plan'!$D$6,'Planning Sheet'!CR151='Weeks Plan'!$G$6),'Planning Sheet'!$CU151,"")</f>
        <v/>
      </c>
    </row>
    <row r="4099" spans="25:27" x14ac:dyDescent="0.3">
      <c r="Y4099" s="48" t="str">
        <f ca="1">IF(AND('Planning Sheet'!CX152='Weeks Plan'!$D$6,'Planning Sheet'!CR152='Weeks Plan'!$G$6),'Planning Sheet'!$B152,"")</f>
        <v/>
      </c>
      <c r="Z4099" s="48" t="str">
        <f ca="1">IF(AND('Planning Sheet'!CX152='Weeks Plan'!$D$6,'Planning Sheet'!CR152='Weeks Plan'!$G$6),'Planning Sheet'!$CT152,"")</f>
        <v/>
      </c>
      <c r="AA4099" s="48" t="str">
        <f ca="1">IF(AND('Planning Sheet'!CX152='Weeks Plan'!$D$6,'Planning Sheet'!CR152='Weeks Plan'!$G$6),'Planning Sheet'!$CU152,"")</f>
        <v/>
      </c>
    </row>
    <row r="4100" spans="25:27" x14ac:dyDescent="0.3">
      <c r="Y4100" s="48" t="str">
        <f ca="1">IF(AND('Planning Sheet'!CX153='Weeks Plan'!$D$6,'Planning Sheet'!CR153='Weeks Plan'!$G$6),'Planning Sheet'!$B153,"")</f>
        <v/>
      </c>
      <c r="Z4100" s="48" t="str">
        <f ca="1">IF(AND('Planning Sheet'!CX153='Weeks Plan'!$D$6,'Planning Sheet'!CR153='Weeks Plan'!$G$6),'Planning Sheet'!$CT153,"")</f>
        <v/>
      </c>
      <c r="AA4100" s="48" t="str">
        <f ca="1">IF(AND('Planning Sheet'!CX153='Weeks Plan'!$D$6,'Planning Sheet'!CR153='Weeks Plan'!$G$6),'Planning Sheet'!$CU153,"")</f>
        <v/>
      </c>
    </row>
    <row r="4101" spans="25:27" x14ac:dyDescent="0.3">
      <c r="Y4101" s="48" t="str">
        <f ca="1">IF(AND('Planning Sheet'!CX154='Weeks Plan'!$D$6,'Planning Sheet'!CR154='Weeks Plan'!$G$6),'Planning Sheet'!$B154,"")</f>
        <v/>
      </c>
      <c r="Z4101" s="48" t="str">
        <f ca="1">IF(AND('Planning Sheet'!CX154='Weeks Plan'!$D$6,'Planning Sheet'!CR154='Weeks Plan'!$G$6),'Planning Sheet'!$CT154,"")</f>
        <v/>
      </c>
      <c r="AA4101" s="48" t="str">
        <f ca="1">IF(AND('Planning Sheet'!CX154='Weeks Plan'!$D$6,'Planning Sheet'!CR154='Weeks Plan'!$G$6),'Planning Sheet'!$CU154,"")</f>
        <v/>
      </c>
    </row>
    <row r="4102" spans="25:27" x14ac:dyDescent="0.3">
      <c r="Y4102" s="48" t="str">
        <f ca="1">IF(AND('Planning Sheet'!CX155='Weeks Plan'!$D$6,'Planning Sheet'!CR155='Weeks Plan'!$G$6),'Planning Sheet'!$B155,"")</f>
        <v/>
      </c>
      <c r="Z4102" s="48" t="str">
        <f ca="1">IF(AND('Planning Sheet'!CX155='Weeks Plan'!$D$6,'Planning Sheet'!CR155='Weeks Plan'!$G$6),'Planning Sheet'!$CT155,"")</f>
        <v/>
      </c>
      <c r="AA4102" s="48" t="str">
        <f ca="1">IF(AND('Planning Sheet'!CX155='Weeks Plan'!$D$6,'Planning Sheet'!CR155='Weeks Plan'!$G$6),'Planning Sheet'!$CU155,"")</f>
        <v/>
      </c>
    </row>
    <row r="4103" spans="25:27" x14ac:dyDescent="0.3">
      <c r="Y4103" s="48" t="str">
        <f ca="1">IF(AND('Planning Sheet'!CX156='Weeks Plan'!$D$6,'Planning Sheet'!CR156='Weeks Plan'!$G$6),'Planning Sheet'!$B156,"")</f>
        <v/>
      </c>
      <c r="Z4103" s="48" t="str">
        <f ca="1">IF(AND('Planning Sheet'!CX156='Weeks Plan'!$D$6,'Planning Sheet'!CR156='Weeks Plan'!$G$6),'Planning Sheet'!$CT156,"")</f>
        <v/>
      </c>
      <c r="AA4103" s="48" t="str">
        <f ca="1">IF(AND('Planning Sheet'!CX156='Weeks Plan'!$D$6,'Planning Sheet'!CR156='Weeks Plan'!$G$6),'Planning Sheet'!$CU156,"")</f>
        <v/>
      </c>
    </row>
    <row r="4104" spans="25:27" x14ac:dyDescent="0.3">
      <c r="Y4104" s="48" t="str">
        <f ca="1">IF(AND('Planning Sheet'!CX157='Weeks Plan'!$D$6,'Planning Sheet'!CR157='Weeks Plan'!$G$6),'Planning Sheet'!$B157,"")</f>
        <v/>
      </c>
      <c r="Z4104" s="48" t="str">
        <f ca="1">IF(AND('Planning Sheet'!CX157='Weeks Plan'!$D$6,'Planning Sheet'!CR157='Weeks Plan'!$G$6),'Planning Sheet'!$CT157,"")</f>
        <v/>
      </c>
      <c r="AA4104" s="48" t="str">
        <f ca="1">IF(AND('Planning Sheet'!CX157='Weeks Plan'!$D$6,'Planning Sheet'!CR157='Weeks Plan'!$G$6),'Planning Sheet'!$CU157,"")</f>
        <v/>
      </c>
    </row>
    <row r="4105" spans="25:27" x14ac:dyDescent="0.3">
      <c r="Y4105" s="48" t="str">
        <f ca="1">IF(AND('Planning Sheet'!CX158='Weeks Plan'!$D$6,'Planning Sheet'!CR158='Weeks Plan'!$G$6),'Planning Sheet'!$B158,"")</f>
        <v/>
      </c>
      <c r="Z4105" s="48" t="str">
        <f ca="1">IF(AND('Planning Sheet'!CX158='Weeks Plan'!$D$6,'Planning Sheet'!CR158='Weeks Plan'!$G$6),'Planning Sheet'!$CT158,"")</f>
        <v/>
      </c>
      <c r="AA4105" s="48" t="str">
        <f ca="1">IF(AND('Planning Sheet'!CX158='Weeks Plan'!$D$6,'Planning Sheet'!CR158='Weeks Plan'!$G$6),'Planning Sheet'!$CU158,"")</f>
        <v/>
      </c>
    </row>
    <row r="4106" spans="25:27" x14ac:dyDescent="0.3">
      <c r="Y4106" s="48" t="str">
        <f ca="1">IF(AND('Planning Sheet'!CX159='Weeks Plan'!$D$6,'Planning Sheet'!CR159='Weeks Plan'!$G$6),'Planning Sheet'!$B159,"")</f>
        <v/>
      </c>
      <c r="Z4106" s="48" t="str">
        <f ca="1">IF(AND('Planning Sheet'!CX159='Weeks Plan'!$D$6,'Planning Sheet'!CR159='Weeks Plan'!$G$6),'Planning Sheet'!$CT159,"")</f>
        <v/>
      </c>
      <c r="AA4106" s="48" t="str">
        <f ca="1">IF(AND('Planning Sheet'!CX159='Weeks Plan'!$D$6,'Planning Sheet'!CR159='Weeks Plan'!$G$6),'Planning Sheet'!$CU159,"")</f>
        <v/>
      </c>
    </row>
    <row r="4107" spans="25:27" x14ac:dyDescent="0.3">
      <c r="Y4107" s="48" t="str">
        <f ca="1">IF(AND('Planning Sheet'!CX160='Weeks Plan'!$D$6,'Planning Sheet'!CR160='Weeks Plan'!$G$6),'Planning Sheet'!$B160,"")</f>
        <v/>
      </c>
      <c r="Z4107" s="48" t="str">
        <f ca="1">IF(AND('Planning Sheet'!CX160='Weeks Plan'!$D$6,'Planning Sheet'!CR160='Weeks Plan'!$G$6),'Planning Sheet'!$CT160,"")</f>
        <v/>
      </c>
      <c r="AA4107" s="48" t="str">
        <f ca="1">IF(AND('Planning Sheet'!CX160='Weeks Plan'!$D$6,'Planning Sheet'!CR160='Weeks Plan'!$G$6),'Planning Sheet'!$CU160,"")</f>
        <v/>
      </c>
    </row>
    <row r="4108" spans="25:27" x14ac:dyDescent="0.3">
      <c r="Y4108" s="48" t="str">
        <f ca="1">IF(AND('Planning Sheet'!CX161='Weeks Plan'!$D$6,'Planning Sheet'!CR161='Weeks Plan'!$G$6),'Planning Sheet'!$B161,"")</f>
        <v/>
      </c>
      <c r="Z4108" s="48" t="str">
        <f ca="1">IF(AND('Planning Sheet'!CX161='Weeks Plan'!$D$6,'Planning Sheet'!CR161='Weeks Plan'!$G$6),'Planning Sheet'!$CT161,"")</f>
        <v/>
      </c>
      <c r="AA4108" s="48" t="str">
        <f ca="1">IF(AND('Planning Sheet'!CX161='Weeks Plan'!$D$6,'Planning Sheet'!CR161='Weeks Plan'!$G$6),'Planning Sheet'!$CU161,"")</f>
        <v/>
      </c>
    </row>
    <row r="4109" spans="25:27" x14ac:dyDescent="0.3">
      <c r="Y4109" s="48" t="str">
        <f ca="1">IF(AND('Planning Sheet'!CX162='Weeks Plan'!$D$6,'Planning Sheet'!CR162='Weeks Plan'!$G$6),'Planning Sheet'!$B162,"")</f>
        <v/>
      </c>
      <c r="Z4109" s="48" t="str">
        <f ca="1">IF(AND('Planning Sheet'!CX162='Weeks Plan'!$D$6,'Planning Sheet'!CR162='Weeks Plan'!$G$6),'Planning Sheet'!$CT162,"")</f>
        <v/>
      </c>
      <c r="AA4109" s="48" t="str">
        <f ca="1">IF(AND('Planning Sheet'!CX162='Weeks Plan'!$D$6,'Planning Sheet'!CR162='Weeks Plan'!$G$6),'Planning Sheet'!$CU162,"")</f>
        <v/>
      </c>
    </row>
    <row r="4110" spans="25:27" x14ac:dyDescent="0.3">
      <c r="Y4110" s="48" t="str">
        <f ca="1">IF(AND('Planning Sheet'!CX163='Weeks Plan'!$D$6,'Planning Sheet'!CR163='Weeks Plan'!$G$6),'Planning Sheet'!$B163,"")</f>
        <v/>
      </c>
      <c r="Z4110" s="48" t="str">
        <f ca="1">IF(AND('Planning Sheet'!CX163='Weeks Plan'!$D$6,'Planning Sheet'!CR163='Weeks Plan'!$G$6),'Planning Sheet'!$CT163,"")</f>
        <v/>
      </c>
      <c r="AA4110" s="48" t="str">
        <f ca="1">IF(AND('Planning Sheet'!CX163='Weeks Plan'!$D$6,'Planning Sheet'!CR163='Weeks Plan'!$G$6),'Planning Sheet'!$CU163,"")</f>
        <v/>
      </c>
    </row>
    <row r="4111" spans="25:27" x14ac:dyDescent="0.3">
      <c r="Y4111" s="48" t="str">
        <f ca="1">IF(AND('Planning Sheet'!CX164='Weeks Plan'!$D$6,'Planning Sheet'!CR164='Weeks Plan'!$G$6),'Planning Sheet'!$B164,"")</f>
        <v/>
      </c>
      <c r="Z4111" s="48" t="str">
        <f ca="1">IF(AND('Planning Sheet'!CX164='Weeks Plan'!$D$6,'Planning Sheet'!CR164='Weeks Plan'!$G$6),'Planning Sheet'!$CT164,"")</f>
        <v/>
      </c>
      <c r="AA4111" s="48" t="str">
        <f ca="1">IF(AND('Planning Sheet'!CX164='Weeks Plan'!$D$6,'Planning Sheet'!CR164='Weeks Plan'!$G$6),'Planning Sheet'!$CU164,"")</f>
        <v/>
      </c>
    </row>
    <row r="4112" spans="25:27" x14ac:dyDescent="0.3">
      <c r="Y4112" s="48" t="str">
        <f ca="1">IF(AND('Planning Sheet'!CX165='Weeks Plan'!$D$6,'Planning Sheet'!CR165='Weeks Plan'!$G$6),'Planning Sheet'!$B165,"")</f>
        <v/>
      </c>
      <c r="Z4112" s="48" t="str">
        <f ca="1">IF(AND('Planning Sheet'!CX165='Weeks Plan'!$D$6,'Planning Sheet'!CR165='Weeks Plan'!$G$6),'Planning Sheet'!$CT165,"")</f>
        <v/>
      </c>
      <c r="AA4112" s="48" t="str">
        <f ca="1">IF(AND('Planning Sheet'!CX165='Weeks Plan'!$D$6,'Planning Sheet'!CR165='Weeks Plan'!$G$6),'Planning Sheet'!$CU165,"")</f>
        <v/>
      </c>
    </row>
    <row r="4113" spans="25:27" x14ac:dyDescent="0.3">
      <c r="Y4113" s="48" t="str">
        <f ca="1">IF(AND('Planning Sheet'!CX166='Weeks Plan'!$D$6,'Planning Sheet'!CR166='Weeks Plan'!$G$6),'Planning Sheet'!$B166,"")</f>
        <v/>
      </c>
      <c r="Z4113" s="48" t="str">
        <f ca="1">IF(AND('Planning Sheet'!CX166='Weeks Plan'!$D$6,'Planning Sheet'!CR166='Weeks Plan'!$G$6),'Planning Sheet'!$CT166,"")</f>
        <v/>
      </c>
      <c r="AA4113" s="48" t="str">
        <f ca="1">IF(AND('Planning Sheet'!CX166='Weeks Plan'!$D$6,'Planning Sheet'!CR166='Weeks Plan'!$G$6),'Planning Sheet'!$CU166,"")</f>
        <v/>
      </c>
    </row>
    <row r="4114" spans="25:27" x14ac:dyDescent="0.3">
      <c r="Y4114" s="48" t="str">
        <f ca="1">IF(AND('Planning Sheet'!CX167='Weeks Plan'!$D$6,'Planning Sheet'!CR167='Weeks Plan'!$G$6),'Planning Sheet'!$B167,"")</f>
        <v/>
      </c>
      <c r="Z4114" s="48" t="str">
        <f ca="1">IF(AND('Planning Sheet'!CX167='Weeks Plan'!$D$6,'Planning Sheet'!CR167='Weeks Plan'!$G$6),'Planning Sheet'!$CT167,"")</f>
        <v/>
      </c>
      <c r="AA4114" s="48" t="str">
        <f ca="1">IF(AND('Planning Sheet'!CX167='Weeks Plan'!$D$6,'Planning Sheet'!CR167='Weeks Plan'!$G$6),'Planning Sheet'!$CU167,"")</f>
        <v/>
      </c>
    </row>
    <row r="4115" spans="25:27" x14ac:dyDescent="0.3">
      <c r="Y4115" s="48" t="str">
        <f ca="1">IF(AND('Planning Sheet'!CX168='Weeks Plan'!$D$6,'Planning Sheet'!CR168='Weeks Plan'!$G$6),'Planning Sheet'!$B168,"")</f>
        <v/>
      </c>
      <c r="Z4115" s="48" t="str">
        <f ca="1">IF(AND('Planning Sheet'!CX168='Weeks Plan'!$D$6,'Planning Sheet'!CR168='Weeks Plan'!$G$6),'Planning Sheet'!$CT168,"")</f>
        <v/>
      </c>
      <c r="AA4115" s="48" t="str">
        <f ca="1">IF(AND('Planning Sheet'!CX168='Weeks Plan'!$D$6,'Planning Sheet'!CR168='Weeks Plan'!$G$6),'Planning Sheet'!$CU168,"")</f>
        <v/>
      </c>
    </row>
    <row r="4116" spans="25:27" x14ac:dyDescent="0.3">
      <c r="Y4116" s="48" t="str">
        <f ca="1">IF(AND('Planning Sheet'!CX169='Weeks Plan'!$D$6,'Planning Sheet'!CR169='Weeks Plan'!$G$6),'Planning Sheet'!$B169,"")</f>
        <v/>
      </c>
      <c r="Z4116" s="48" t="str">
        <f ca="1">IF(AND('Planning Sheet'!CX169='Weeks Plan'!$D$6,'Planning Sheet'!CR169='Weeks Plan'!$G$6),'Planning Sheet'!$CT169,"")</f>
        <v/>
      </c>
      <c r="AA4116" s="48" t="str">
        <f ca="1">IF(AND('Planning Sheet'!CX169='Weeks Plan'!$D$6,'Planning Sheet'!CR169='Weeks Plan'!$G$6),'Planning Sheet'!$CU169,"")</f>
        <v/>
      </c>
    </row>
    <row r="4117" spans="25:27" x14ac:dyDescent="0.3">
      <c r="Y4117" s="48" t="str">
        <f ca="1">IF(AND('Planning Sheet'!CX170='Weeks Plan'!$D$6,'Planning Sheet'!CR170='Weeks Plan'!$G$6),'Planning Sheet'!$B170,"")</f>
        <v/>
      </c>
      <c r="Z4117" s="48" t="str">
        <f ca="1">IF(AND('Planning Sheet'!CX170='Weeks Plan'!$D$6,'Planning Sheet'!CR170='Weeks Plan'!$G$6),'Planning Sheet'!$CT170,"")</f>
        <v/>
      </c>
      <c r="AA4117" s="48" t="str">
        <f ca="1">IF(AND('Planning Sheet'!CX170='Weeks Plan'!$D$6,'Planning Sheet'!CR170='Weeks Plan'!$G$6),'Planning Sheet'!$CU170,"")</f>
        <v/>
      </c>
    </row>
    <row r="4118" spans="25:27" x14ac:dyDescent="0.3">
      <c r="Y4118" s="48" t="str">
        <f ca="1">IF(AND('Planning Sheet'!CX171='Weeks Plan'!$D$6,'Planning Sheet'!CR171='Weeks Plan'!$G$6),'Planning Sheet'!$B171,"")</f>
        <v/>
      </c>
      <c r="Z4118" s="48" t="str">
        <f ca="1">IF(AND('Planning Sheet'!CX171='Weeks Plan'!$D$6,'Planning Sheet'!CR171='Weeks Plan'!$G$6),'Planning Sheet'!$CT171,"")</f>
        <v/>
      </c>
      <c r="AA4118" s="48" t="str">
        <f ca="1">IF(AND('Planning Sheet'!CX171='Weeks Plan'!$D$6,'Planning Sheet'!CR171='Weeks Plan'!$G$6),'Planning Sheet'!$CU171,"")</f>
        <v/>
      </c>
    </row>
    <row r="4119" spans="25:27" x14ac:dyDescent="0.3">
      <c r="Y4119" s="48" t="str">
        <f ca="1">IF(AND('Planning Sheet'!CX172='Weeks Plan'!$D$6,'Planning Sheet'!CR172='Weeks Plan'!$G$6),'Planning Sheet'!$B172,"")</f>
        <v/>
      </c>
      <c r="Z4119" s="48" t="str">
        <f ca="1">IF(AND('Planning Sheet'!CX172='Weeks Plan'!$D$6,'Planning Sheet'!CR172='Weeks Plan'!$G$6),'Planning Sheet'!$CT172,"")</f>
        <v/>
      </c>
      <c r="AA4119" s="48" t="str">
        <f ca="1">IF(AND('Planning Sheet'!CX172='Weeks Plan'!$D$6,'Planning Sheet'!CR172='Weeks Plan'!$G$6),'Planning Sheet'!$CU172,"")</f>
        <v/>
      </c>
    </row>
    <row r="4120" spans="25:27" x14ac:dyDescent="0.3">
      <c r="Y4120" s="48" t="str">
        <f ca="1">IF(AND('Planning Sheet'!CX173='Weeks Plan'!$D$6,'Planning Sheet'!CR173='Weeks Plan'!$G$6),'Planning Sheet'!$B173,"")</f>
        <v/>
      </c>
      <c r="Z4120" s="48" t="str">
        <f ca="1">IF(AND('Planning Sheet'!CX173='Weeks Plan'!$D$6,'Planning Sheet'!CR173='Weeks Plan'!$G$6),'Planning Sheet'!$CT173,"")</f>
        <v/>
      </c>
      <c r="AA4120" s="48" t="str">
        <f ca="1">IF(AND('Planning Sheet'!CX173='Weeks Plan'!$D$6,'Planning Sheet'!CR173='Weeks Plan'!$G$6),'Planning Sheet'!$CU173,"")</f>
        <v/>
      </c>
    </row>
    <row r="4121" spans="25:27" x14ac:dyDescent="0.3">
      <c r="Y4121" s="48" t="str">
        <f ca="1">IF(AND('Planning Sheet'!CX174='Weeks Plan'!$D$6,'Planning Sheet'!CR174='Weeks Plan'!$G$6),'Planning Sheet'!$B174,"")</f>
        <v/>
      </c>
      <c r="Z4121" s="48" t="str">
        <f ca="1">IF(AND('Planning Sheet'!CX174='Weeks Plan'!$D$6,'Planning Sheet'!CR174='Weeks Plan'!$G$6),'Planning Sheet'!$CT174,"")</f>
        <v/>
      </c>
      <c r="AA4121" s="48" t="str">
        <f ca="1">IF(AND('Planning Sheet'!CX174='Weeks Plan'!$D$6,'Planning Sheet'!CR174='Weeks Plan'!$G$6),'Planning Sheet'!$CU174,"")</f>
        <v/>
      </c>
    </row>
    <row r="4122" spans="25:27" x14ac:dyDescent="0.3">
      <c r="Y4122" s="48" t="str">
        <f ca="1">IF(AND('Planning Sheet'!CX175='Weeks Plan'!$D$6,'Planning Sheet'!CR175='Weeks Plan'!$G$6),'Planning Sheet'!$B175,"")</f>
        <v/>
      </c>
      <c r="Z4122" s="48" t="str">
        <f ca="1">IF(AND('Planning Sheet'!CX175='Weeks Plan'!$D$6,'Planning Sheet'!CR175='Weeks Plan'!$G$6),'Planning Sheet'!$CT175,"")</f>
        <v/>
      </c>
      <c r="AA4122" s="48" t="str">
        <f ca="1">IF(AND('Planning Sheet'!CX175='Weeks Plan'!$D$6,'Planning Sheet'!CR175='Weeks Plan'!$G$6),'Planning Sheet'!$CU175,"")</f>
        <v/>
      </c>
    </row>
    <row r="4123" spans="25:27" x14ac:dyDescent="0.3">
      <c r="Y4123" s="48" t="str">
        <f ca="1">IF(AND('Planning Sheet'!CX176='Weeks Plan'!$D$6,'Planning Sheet'!CR176='Weeks Plan'!$G$6),'Planning Sheet'!$B176,"")</f>
        <v/>
      </c>
      <c r="Z4123" s="48" t="str">
        <f ca="1">IF(AND('Planning Sheet'!CX176='Weeks Plan'!$D$6,'Planning Sheet'!CR176='Weeks Plan'!$G$6),'Planning Sheet'!$CT176,"")</f>
        <v/>
      </c>
      <c r="AA4123" s="48" t="str">
        <f ca="1">IF(AND('Planning Sheet'!CX176='Weeks Plan'!$D$6,'Planning Sheet'!CR176='Weeks Plan'!$G$6),'Planning Sheet'!$CU176,"")</f>
        <v/>
      </c>
    </row>
    <row r="4124" spans="25:27" x14ac:dyDescent="0.3">
      <c r="Y4124" s="48" t="str">
        <f ca="1">IF(AND('Planning Sheet'!CX177='Weeks Plan'!$D$6,'Planning Sheet'!CR177='Weeks Plan'!$G$6),'Planning Sheet'!$B177,"")</f>
        <v/>
      </c>
      <c r="Z4124" s="48" t="str">
        <f ca="1">IF(AND('Planning Sheet'!CX177='Weeks Plan'!$D$6,'Planning Sheet'!CR177='Weeks Plan'!$G$6),'Planning Sheet'!$CT177,"")</f>
        <v/>
      </c>
      <c r="AA4124" s="48" t="str">
        <f ca="1">IF(AND('Planning Sheet'!CX177='Weeks Plan'!$D$6,'Planning Sheet'!CR177='Weeks Plan'!$G$6),'Planning Sheet'!$CU177,"")</f>
        <v/>
      </c>
    </row>
    <row r="4125" spans="25:27" x14ac:dyDescent="0.3">
      <c r="Y4125" s="48" t="str">
        <f ca="1">IF(AND('Planning Sheet'!CX178='Weeks Plan'!$D$6,'Planning Sheet'!CR178='Weeks Plan'!$G$6),'Planning Sheet'!$B178,"")</f>
        <v/>
      </c>
      <c r="Z4125" s="48" t="str">
        <f ca="1">IF(AND('Planning Sheet'!CX178='Weeks Plan'!$D$6,'Planning Sheet'!CR178='Weeks Plan'!$G$6),'Planning Sheet'!$CT178,"")</f>
        <v/>
      </c>
      <c r="AA4125" s="48" t="str">
        <f ca="1">IF(AND('Planning Sheet'!CX178='Weeks Plan'!$D$6,'Planning Sheet'!CR178='Weeks Plan'!$G$6),'Planning Sheet'!$CU178,"")</f>
        <v/>
      </c>
    </row>
    <row r="4126" spans="25:27" x14ac:dyDescent="0.3">
      <c r="Y4126" s="48" t="str">
        <f ca="1">IF(AND('Planning Sheet'!CX179='Weeks Plan'!$D$6,'Planning Sheet'!CR179='Weeks Plan'!$G$6),'Planning Sheet'!$B179,"")</f>
        <v/>
      </c>
      <c r="Z4126" s="48" t="str">
        <f ca="1">IF(AND('Planning Sheet'!CX179='Weeks Plan'!$D$6,'Planning Sheet'!CR179='Weeks Plan'!$G$6),'Planning Sheet'!$CT179,"")</f>
        <v/>
      </c>
      <c r="AA4126" s="48" t="str">
        <f ca="1">IF(AND('Planning Sheet'!CX179='Weeks Plan'!$D$6,'Planning Sheet'!CR179='Weeks Plan'!$G$6),'Planning Sheet'!$CU179,"")</f>
        <v/>
      </c>
    </row>
    <row r="4127" spans="25:27" x14ac:dyDescent="0.3">
      <c r="Y4127" s="48" t="str">
        <f ca="1">IF(AND('Planning Sheet'!CX180='Weeks Plan'!$D$6,'Planning Sheet'!CR180='Weeks Plan'!$G$6),'Planning Sheet'!$B180,"")</f>
        <v/>
      </c>
      <c r="Z4127" s="48" t="str">
        <f ca="1">IF(AND('Planning Sheet'!CX180='Weeks Plan'!$D$6,'Planning Sheet'!CR180='Weeks Plan'!$G$6),'Planning Sheet'!$CT180,"")</f>
        <v/>
      </c>
      <c r="AA4127" s="48" t="str">
        <f ca="1">IF(AND('Planning Sheet'!CX180='Weeks Plan'!$D$6,'Planning Sheet'!CR180='Weeks Plan'!$G$6),'Planning Sheet'!$CU180,"")</f>
        <v/>
      </c>
    </row>
    <row r="4128" spans="25:27" x14ac:dyDescent="0.3">
      <c r="Y4128" s="48" t="str">
        <f ca="1">IF(AND('Planning Sheet'!CX181='Weeks Plan'!$D$6,'Planning Sheet'!CR181='Weeks Plan'!$G$6),'Planning Sheet'!$B181,"")</f>
        <v/>
      </c>
      <c r="Z4128" s="48" t="str">
        <f ca="1">IF(AND('Planning Sheet'!CX181='Weeks Plan'!$D$6,'Planning Sheet'!CR181='Weeks Plan'!$G$6),'Planning Sheet'!$CT181,"")</f>
        <v/>
      </c>
      <c r="AA4128" s="48" t="str">
        <f ca="1">IF(AND('Planning Sheet'!CX181='Weeks Plan'!$D$6,'Planning Sheet'!CR181='Weeks Plan'!$G$6),'Planning Sheet'!$CU181,"")</f>
        <v/>
      </c>
    </row>
    <row r="4129" spans="25:27" x14ac:dyDescent="0.3">
      <c r="Y4129" s="48" t="str">
        <f ca="1">IF(AND('Planning Sheet'!CX182='Weeks Plan'!$D$6,'Planning Sheet'!CR182='Weeks Plan'!$G$6),'Planning Sheet'!$B182,"")</f>
        <v/>
      </c>
      <c r="Z4129" s="48" t="str">
        <f ca="1">IF(AND('Planning Sheet'!CX182='Weeks Plan'!$D$6,'Planning Sheet'!CR182='Weeks Plan'!$G$6),'Planning Sheet'!$CT182,"")</f>
        <v/>
      </c>
      <c r="AA4129" s="48" t="str">
        <f ca="1">IF(AND('Planning Sheet'!CX182='Weeks Plan'!$D$6,'Planning Sheet'!CR182='Weeks Plan'!$G$6),'Planning Sheet'!$CU182,"")</f>
        <v/>
      </c>
    </row>
    <row r="4130" spans="25:27" x14ac:dyDescent="0.3">
      <c r="Y4130" s="48" t="str">
        <f ca="1">IF(AND('Planning Sheet'!CX183='Weeks Plan'!$D$6,'Planning Sheet'!CR183='Weeks Plan'!$G$6),'Planning Sheet'!$B183,"")</f>
        <v/>
      </c>
      <c r="Z4130" s="48" t="str">
        <f ca="1">IF(AND('Planning Sheet'!CX183='Weeks Plan'!$D$6,'Planning Sheet'!CR183='Weeks Plan'!$G$6),'Planning Sheet'!$CT183,"")</f>
        <v/>
      </c>
      <c r="AA4130" s="48" t="str">
        <f ca="1">IF(AND('Planning Sheet'!CX183='Weeks Plan'!$D$6,'Planning Sheet'!CR183='Weeks Plan'!$G$6),'Planning Sheet'!$CU183,"")</f>
        <v/>
      </c>
    </row>
    <row r="4131" spans="25:27" x14ac:dyDescent="0.3">
      <c r="Y4131" s="48" t="str">
        <f ca="1">IF(AND('Planning Sheet'!CX184='Weeks Plan'!$D$6,'Planning Sheet'!CR184='Weeks Plan'!$G$6),'Planning Sheet'!$B184,"")</f>
        <v/>
      </c>
      <c r="Z4131" s="48" t="str">
        <f ca="1">IF(AND('Planning Sheet'!CX184='Weeks Plan'!$D$6,'Planning Sheet'!CR184='Weeks Plan'!$G$6),'Planning Sheet'!$CT184,"")</f>
        <v/>
      </c>
      <c r="AA4131" s="48" t="str">
        <f ca="1">IF(AND('Planning Sheet'!CX184='Weeks Plan'!$D$6,'Planning Sheet'!CR184='Weeks Plan'!$G$6),'Planning Sheet'!$CU184,"")</f>
        <v/>
      </c>
    </row>
    <row r="4132" spans="25:27" x14ac:dyDescent="0.3">
      <c r="Y4132" s="48" t="str">
        <f ca="1">IF(AND('Planning Sheet'!CX185='Weeks Plan'!$D$6,'Planning Sheet'!CR185='Weeks Plan'!$G$6),'Planning Sheet'!$B185,"")</f>
        <v/>
      </c>
      <c r="Z4132" s="48" t="str">
        <f ca="1">IF(AND('Planning Sheet'!CX185='Weeks Plan'!$D$6,'Planning Sheet'!CR185='Weeks Plan'!$G$6),'Planning Sheet'!$CT185,"")</f>
        <v/>
      </c>
      <c r="AA4132" s="48" t="str">
        <f ca="1">IF(AND('Planning Sheet'!CX185='Weeks Plan'!$D$6,'Planning Sheet'!CR185='Weeks Plan'!$G$6),'Planning Sheet'!$CU185,"")</f>
        <v/>
      </c>
    </row>
    <row r="4133" spans="25:27" x14ac:dyDescent="0.3">
      <c r="Y4133" s="48" t="str">
        <f ca="1">IF(AND('Planning Sheet'!CX186='Weeks Plan'!$D$6,'Planning Sheet'!CR186='Weeks Plan'!$G$6),'Planning Sheet'!$B186,"")</f>
        <v/>
      </c>
      <c r="Z4133" s="48" t="str">
        <f ca="1">IF(AND('Planning Sheet'!CX186='Weeks Plan'!$D$6,'Planning Sheet'!CR186='Weeks Plan'!$G$6),'Planning Sheet'!$CT186,"")</f>
        <v/>
      </c>
      <c r="AA4133" s="48" t="str">
        <f ca="1">IF(AND('Planning Sheet'!CX186='Weeks Plan'!$D$6,'Planning Sheet'!CR186='Weeks Plan'!$G$6),'Planning Sheet'!$CU186,"")</f>
        <v/>
      </c>
    </row>
    <row r="4134" spans="25:27" x14ac:dyDescent="0.3">
      <c r="Y4134" s="48" t="str">
        <f ca="1">IF(AND('Planning Sheet'!CX187='Weeks Plan'!$D$6,'Planning Sheet'!CR187='Weeks Plan'!$G$6),'Planning Sheet'!$B187,"")</f>
        <v/>
      </c>
      <c r="Z4134" s="48" t="str">
        <f ca="1">IF(AND('Planning Sheet'!CX187='Weeks Plan'!$D$6,'Planning Sheet'!CR187='Weeks Plan'!$G$6),'Planning Sheet'!$CT187,"")</f>
        <v/>
      </c>
      <c r="AA4134" s="48" t="str">
        <f ca="1">IF(AND('Planning Sheet'!CX187='Weeks Plan'!$D$6,'Planning Sheet'!CR187='Weeks Plan'!$G$6),'Planning Sheet'!$CU187,"")</f>
        <v/>
      </c>
    </row>
    <row r="4135" spans="25:27" x14ac:dyDescent="0.3">
      <c r="Y4135" s="48" t="str">
        <f ca="1">IF(AND('Planning Sheet'!CX188='Weeks Plan'!$D$6,'Planning Sheet'!CR188='Weeks Plan'!$G$6),'Planning Sheet'!$B188,"")</f>
        <v/>
      </c>
      <c r="Z4135" s="48" t="str">
        <f ca="1">IF(AND('Planning Sheet'!CX188='Weeks Plan'!$D$6,'Planning Sheet'!CR188='Weeks Plan'!$G$6),'Planning Sheet'!$CT188,"")</f>
        <v/>
      </c>
      <c r="AA4135" s="48" t="str">
        <f ca="1">IF(AND('Planning Sheet'!CX188='Weeks Plan'!$D$6,'Planning Sheet'!CR188='Weeks Plan'!$G$6),'Planning Sheet'!$CU188,"")</f>
        <v/>
      </c>
    </row>
    <row r="4136" spans="25:27" x14ac:dyDescent="0.3">
      <c r="Y4136" s="48" t="str">
        <f ca="1">IF(AND('Planning Sheet'!CX189='Weeks Plan'!$D$6,'Planning Sheet'!CR189='Weeks Plan'!$G$6),'Planning Sheet'!$B189,"")</f>
        <v/>
      </c>
      <c r="Z4136" s="48" t="str">
        <f ca="1">IF(AND('Planning Sheet'!CX189='Weeks Plan'!$D$6,'Planning Sheet'!CR189='Weeks Plan'!$G$6),'Planning Sheet'!$CT189,"")</f>
        <v/>
      </c>
      <c r="AA4136" s="48" t="str">
        <f ca="1">IF(AND('Planning Sheet'!CX189='Weeks Plan'!$D$6,'Planning Sheet'!CR189='Weeks Plan'!$G$6),'Planning Sheet'!$CU189,"")</f>
        <v/>
      </c>
    </row>
    <row r="4137" spans="25:27" x14ac:dyDescent="0.3">
      <c r="Y4137" s="48" t="str">
        <f ca="1">IF(AND('Planning Sheet'!CX190='Weeks Plan'!$D$6,'Planning Sheet'!CR190='Weeks Plan'!$G$6),'Planning Sheet'!$B190,"")</f>
        <v/>
      </c>
      <c r="Z4137" s="48" t="str">
        <f ca="1">IF(AND('Planning Sheet'!CX190='Weeks Plan'!$D$6,'Planning Sheet'!CR190='Weeks Plan'!$G$6),'Planning Sheet'!$CT190,"")</f>
        <v/>
      </c>
      <c r="AA4137" s="48" t="str">
        <f ca="1">IF(AND('Planning Sheet'!CX190='Weeks Plan'!$D$6,'Planning Sheet'!CR190='Weeks Plan'!$G$6),'Planning Sheet'!$CU190,"")</f>
        <v/>
      </c>
    </row>
    <row r="4138" spans="25:27" x14ac:dyDescent="0.3">
      <c r="Y4138" s="48" t="str">
        <f ca="1">IF(AND('Planning Sheet'!CX191='Weeks Plan'!$D$6,'Planning Sheet'!CR191='Weeks Plan'!$G$6),'Planning Sheet'!$B191,"")</f>
        <v/>
      </c>
      <c r="Z4138" s="48" t="str">
        <f ca="1">IF(AND('Planning Sheet'!CX191='Weeks Plan'!$D$6,'Planning Sheet'!CR191='Weeks Plan'!$G$6),'Planning Sheet'!$CT191,"")</f>
        <v/>
      </c>
      <c r="AA4138" s="48" t="str">
        <f ca="1">IF(AND('Planning Sheet'!CX191='Weeks Plan'!$D$6,'Planning Sheet'!CR191='Weeks Plan'!$G$6),'Planning Sheet'!$CU191,"")</f>
        <v/>
      </c>
    </row>
    <row r="4139" spans="25:27" x14ac:dyDescent="0.3">
      <c r="Y4139" s="48" t="str">
        <f ca="1">IF(AND('Planning Sheet'!CX192='Weeks Plan'!$D$6,'Planning Sheet'!CR192='Weeks Plan'!$G$6),'Planning Sheet'!$B192,"")</f>
        <v/>
      </c>
      <c r="Z4139" s="48" t="str">
        <f ca="1">IF(AND('Planning Sheet'!CX192='Weeks Plan'!$D$6,'Planning Sheet'!CR192='Weeks Plan'!$G$6),'Planning Sheet'!$CT192,"")</f>
        <v/>
      </c>
      <c r="AA4139" s="48" t="str">
        <f ca="1">IF(AND('Planning Sheet'!CX192='Weeks Plan'!$D$6,'Planning Sheet'!CR192='Weeks Plan'!$G$6),'Planning Sheet'!$CU192,"")</f>
        <v/>
      </c>
    </row>
    <row r="4140" spans="25:27" x14ac:dyDescent="0.3">
      <c r="Y4140" s="48" t="str">
        <f ca="1">IF(AND('Planning Sheet'!CX193='Weeks Plan'!$D$6,'Planning Sheet'!CR193='Weeks Plan'!$G$6),'Planning Sheet'!$B193,"")</f>
        <v/>
      </c>
      <c r="Z4140" s="48" t="str">
        <f ca="1">IF(AND('Planning Sheet'!CX193='Weeks Plan'!$D$6,'Planning Sheet'!CR193='Weeks Plan'!$G$6),'Planning Sheet'!$CT193,"")</f>
        <v/>
      </c>
      <c r="AA4140" s="48" t="str">
        <f ca="1">IF(AND('Planning Sheet'!CX193='Weeks Plan'!$D$6,'Planning Sheet'!CR193='Weeks Plan'!$G$6),'Planning Sheet'!$CU193,"")</f>
        <v/>
      </c>
    </row>
    <row r="4141" spans="25:27" x14ac:dyDescent="0.3">
      <c r="Y4141" s="48" t="str">
        <f ca="1">IF(AND('Planning Sheet'!CX194='Weeks Plan'!$D$6,'Planning Sheet'!CR194='Weeks Plan'!$G$6),'Planning Sheet'!$B194,"")</f>
        <v/>
      </c>
      <c r="Z4141" s="48" t="str">
        <f ca="1">IF(AND('Planning Sheet'!CX194='Weeks Plan'!$D$6,'Planning Sheet'!CR194='Weeks Plan'!$G$6),'Planning Sheet'!$CT194,"")</f>
        <v/>
      </c>
      <c r="AA4141" s="48" t="str">
        <f ca="1">IF(AND('Planning Sheet'!CX194='Weeks Plan'!$D$6,'Planning Sheet'!CR194='Weeks Plan'!$G$6),'Planning Sheet'!$CU194,"")</f>
        <v/>
      </c>
    </row>
    <row r="4142" spans="25:27" x14ac:dyDescent="0.3">
      <c r="Y4142" s="48" t="str">
        <f ca="1">IF(AND('Planning Sheet'!CX195='Weeks Plan'!$D$6,'Planning Sheet'!CR195='Weeks Plan'!$G$6),'Planning Sheet'!$B195,"")</f>
        <v/>
      </c>
      <c r="Z4142" s="48" t="str">
        <f ca="1">IF(AND('Planning Sheet'!CX195='Weeks Plan'!$D$6,'Planning Sheet'!CR195='Weeks Plan'!$G$6),'Planning Sheet'!$CT195,"")</f>
        <v/>
      </c>
      <c r="AA4142" s="48" t="str">
        <f ca="1">IF(AND('Planning Sheet'!CX195='Weeks Plan'!$D$6,'Planning Sheet'!CR195='Weeks Plan'!$G$6),'Planning Sheet'!$CU195,"")</f>
        <v/>
      </c>
    </row>
    <row r="4143" spans="25:27" x14ac:dyDescent="0.3">
      <c r="Y4143" s="48" t="str">
        <f ca="1">IF(AND('Planning Sheet'!CX196='Weeks Plan'!$D$6,'Planning Sheet'!CR196='Weeks Plan'!$G$6),'Planning Sheet'!$B196,"")</f>
        <v/>
      </c>
      <c r="Z4143" s="48" t="str">
        <f ca="1">IF(AND('Planning Sheet'!CX196='Weeks Plan'!$D$6,'Planning Sheet'!CR196='Weeks Plan'!$G$6),'Planning Sheet'!$CT196,"")</f>
        <v/>
      </c>
      <c r="AA4143" s="48" t="str">
        <f ca="1">IF(AND('Planning Sheet'!CX196='Weeks Plan'!$D$6,'Planning Sheet'!CR196='Weeks Plan'!$G$6),'Planning Sheet'!$CU196,"")</f>
        <v/>
      </c>
    </row>
    <row r="4144" spans="25:27" x14ac:dyDescent="0.3">
      <c r="Y4144" s="48" t="str">
        <f ca="1">IF(AND('Planning Sheet'!CX197='Weeks Plan'!$D$6,'Planning Sheet'!CR197='Weeks Plan'!$G$6),'Planning Sheet'!$B197,"")</f>
        <v/>
      </c>
      <c r="Z4144" s="48" t="str">
        <f ca="1">IF(AND('Planning Sheet'!CX197='Weeks Plan'!$D$6,'Planning Sheet'!CR197='Weeks Plan'!$G$6),'Planning Sheet'!$CT197,"")</f>
        <v/>
      </c>
      <c r="AA4144" s="48" t="str">
        <f ca="1">IF(AND('Planning Sheet'!CX197='Weeks Plan'!$D$6,'Planning Sheet'!CR197='Weeks Plan'!$G$6),'Planning Sheet'!$CU197,"")</f>
        <v/>
      </c>
    </row>
    <row r="4145" spans="25:27" x14ac:dyDescent="0.3">
      <c r="Y4145" s="48" t="str">
        <f ca="1">IF(AND('Planning Sheet'!CX198='Weeks Plan'!$D$6,'Planning Sheet'!CR198='Weeks Plan'!$G$6),'Planning Sheet'!$B198,"")</f>
        <v/>
      </c>
      <c r="Z4145" s="48" t="str">
        <f ca="1">IF(AND('Planning Sheet'!CX198='Weeks Plan'!$D$6,'Planning Sheet'!CR198='Weeks Plan'!$G$6),'Planning Sheet'!$CT198,"")</f>
        <v/>
      </c>
      <c r="AA4145" s="48" t="str">
        <f ca="1">IF(AND('Planning Sheet'!CX198='Weeks Plan'!$D$6,'Planning Sheet'!CR198='Weeks Plan'!$G$6),'Planning Sheet'!$CU198,"")</f>
        <v/>
      </c>
    </row>
    <row r="4146" spans="25:27" x14ac:dyDescent="0.3">
      <c r="Y4146" s="48" t="str">
        <f ca="1">IF(AND('Planning Sheet'!CX199='Weeks Plan'!$D$6,'Planning Sheet'!CR199='Weeks Plan'!$G$6),'Planning Sheet'!$B199,"")</f>
        <v/>
      </c>
      <c r="Z4146" s="48" t="str">
        <f ca="1">IF(AND('Planning Sheet'!CX199='Weeks Plan'!$D$6,'Planning Sheet'!CR199='Weeks Plan'!$G$6),'Planning Sheet'!$CT199,"")</f>
        <v/>
      </c>
      <c r="AA4146" s="48" t="str">
        <f ca="1">IF(AND('Planning Sheet'!CX199='Weeks Plan'!$D$6,'Planning Sheet'!CR199='Weeks Plan'!$G$6),'Planning Sheet'!$CU199,"")</f>
        <v/>
      </c>
    </row>
    <row r="4147" spans="25:27" x14ac:dyDescent="0.3">
      <c r="Y4147" s="48" t="str">
        <f ca="1">IF(AND('Planning Sheet'!CX200='Weeks Plan'!$D$6,'Planning Sheet'!CR200='Weeks Plan'!$G$6),'Planning Sheet'!$B200,"")</f>
        <v/>
      </c>
      <c r="Z4147" s="48" t="str">
        <f ca="1">IF(AND('Planning Sheet'!CX200='Weeks Plan'!$D$6,'Planning Sheet'!CR200='Weeks Plan'!$G$6),'Planning Sheet'!$CT200,"")</f>
        <v/>
      </c>
      <c r="AA4147" s="48" t="str">
        <f ca="1">IF(AND('Planning Sheet'!CX200='Weeks Plan'!$D$6,'Planning Sheet'!CR200='Weeks Plan'!$G$6),'Planning Sheet'!$CU200,"")</f>
        <v/>
      </c>
    </row>
    <row r="4148" spans="25:27" x14ac:dyDescent="0.3">
      <c r="Y4148" s="48" t="str">
        <f ca="1">IF(AND('Planning Sheet'!CX201='Weeks Plan'!$D$6,'Planning Sheet'!CR201='Weeks Plan'!$G$6),'Planning Sheet'!$B201,"")</f>
        <v/>
      </c>
      <c r="Z4148" s="48" t="str">
        <f ca="1">IF(AND('Planning Sheet'!CX201='Weeks Plan'!$D$6,'Planning Sheet'!CR201='Weeks Plan'!$G$6),'Planning Sheet'!$CT201,"")</f>
        <v/>
      </c>
      <c r="AA4148" s="48" t="str">
        <f ca="1">IF(AND('Planning Sheet'!CX201='Weeks Plan'!$D$6,'Planning Sheet'!CR201='Weeks Plan'!$G$6),'Planning Sheet'!$CU201,"")</f>
        <v/>
      </c>
    </row>
    <row r="4149" spans="25:27" x14ac:dyDescent="0.3">
      <c r="Y4149" s="48" t="str">
        <f ca="1">IF(AND('Planning Sheet'!CX202='Weeks Plan'!$D$6,'Planning Sheet'!CR202='Weeks Plan'!$G$6),'Planning Sheet'!$B202,"")</f>
        <v/>
      </c>
      <c r="Z4149" s="48" t="str">
        <f ca="1">IF(AND('Planning Sheet'!CX202='Weeks Plan'!$D$6,'Planning Sheet'!CR202='Weeks Plan'!$G$6),'Planning Sheet'!$CT202,"")</f>
        <v/>
      </c>
      <c r="AA4149" s="48" t="str">
        <f ca="1">IF(AND('Planning Sheet'!CX202='Weeks Plan'!$D$6,'Planning Sheet'!CR202='Weeks Plan'!$G$6),'Planning Sheet'!$CU202,"")</f>
        <v/>
      </c>
    </row>
    <row r="4150" spans="25:27" x14ac:dyDescent="0.3">
      <c r="Y4150" s="48" t="str">
        <f ca="1">IF(AND('Planning Sheet'!CX203='Weeks Plan'!$D$6,'Planning Sheet'!CR203='Weeks Plan'!$G$6),'Planning Sheet'!$B203,"")</f>
        <v/>
      </c>
      <c r="Z4150" s="48" t="str">
        <f ca="1">IF(AND('Planning Sheet'!CX203='Weeks Plan'!$D$6,'Planning Sheet'!CR203='Weeks Plan'!$G$6),'Planning Sheet'!$CT203,"")</f>
        <v/>
      </c>
      <c r="AA4150" s="48" t="str">
        <f ca="1">IF(AND('Planning Sheet'!CX203='Weeks Plan'!$D$6,'Planning Sheet'!CR203='Weeks Plan'!$G$6),'Planning Sheet'!$CU203,"")</f>
        <v/>
      </c>
    </row>
    <row r="4151" spans="25:27" x14ac:dyDescent="0.3">
      <c r="Y4151" s="48" t="str">
        <f ca="1">IF(AND('Planning Sheet'!CX204='Weeks Plan'!$D$6,'Planning Sheet'!CR204='Weeks Plan'!$G$6),'Planning Sheet'!$B204,"")</f>
        <v/>
      </c>
      <c r="Z4151" s="48" t="str">
        <f ca="1">IF(AND('Planning Sheet'!CX204='Weeks Plan'!$D$6,'Planning Sheet'!CR204='Weeks Plan'!$G$6),'Planning Sheet'!$CT204,"")</f>
        <v/>
      </c>
      <c r="AA4151" s="48" t="str">
        <f ca="1">IF(AND('Planning Sheet'!CX204='Weeks Plan'!$D$6,'Planning Sheet'!CR204='Weeks Plan'!$G$6),'Planning Sheet'!$CU204,"")</f>
        <v/>
      </c>
    </row>
    <row r="4152" spans="25:27" x14ac:dyDescent="0.3">
      <c r="Y4152" s="48" t="str">
        <f ca="1">IF(AND('Planning Sheet'!CX205='Weeks Plan'!$D$6,'Planning Sheet'!CR205='Weeks Plan'!$G$6),'Planning Sheet'!$B205,"")</f>
        <v/>
      </c>
      <c r="Z4152" s="48" t="str">
        <f ca="1">IF(AND('Planning Sheet'!CX205='Weeks Plan'!$D$6,'Planning Sheet'!CR205='Weeks Plan'!$G$6),'Planning Sheet'!$CT205,"")</f>
        <v/>
      </c>
      <c r="AA4152" s="48" t="str">
        <f ca="1">IF(AND('Planning Sheet'!CX205='Weeks Plan'!$D$6,'Planning Sheet'!CR205='Weeks Plan'!$G$6),'Planning Sheet'!$CU205,"")</f>
        <v/>
      </c>
    </row>
    <row r="4153" spans="25:27" x14ac:dyDescent="0.3">
      <c r="Y4153" s="48" t="str">
        <f ca="1">IF(AND('Planning Sheet'!CX206='Weeks Plan'!$D$6,'Planning Sheet'!CR206='Weeks Plan'!$G$6),'Planning Sheet'!$B206,"")</f>
        <v/>
      </c>
      <c r="Z4153" s="48" t="str">
        <f ca="1">IF(AND('Planning Sheet'!CX206='Weeks Plan'!$D$6,'Planning Sheet'!CR206='Weeks Plan'!$G$6),'Planning Sheet'!$CT206,"")</f>
        <v/>
      </c>
      <c r="AA4153" s="48" t="str">
        <f ca="1">IF(AND('Planning Sheet'!CX206='Weeks Plan'!$D$6,'Planning Sheet'!CR206='Weeks Plan'!$G$6),'Planning Sheet'!$CU206,"")</f>
        <v/>
      </c>
    </row>
    <row r="4154" spans="25:27" x14ac:dyDescent="0.3">
      <c r="Y4154" s="48" t="str">
        <f ca="1">IF(AND('Planning Sheet'!CX207='Weeks Plan'!$D$6,'Planning Sheet'!CR207='Weeks Plan'!$G$6),'Planning Sheet'!$B207,"")</f>
        <v/>
      </c>
      <c r="Z4154" s="48" t="str">
        <f ca="1">IF(AND('Planning Sheet'!CX207='Weeks Plan'!$D$6,'Planning Sheet'!CR207='Weeks Plan'!$G$6),'Planning Sheet'!$CT207,"")</f>
        <v/>
      </c>
      <c r="AA4154" s="48" t="str">
        <f ca="1">IF(AND('Planning Sheet'!CX207='Weeks Plan'!$D$6,'Planning Sheet'!CR207='Weeks Plan'!$G$6),'Planning Sheet'!$CU207,"")</f>
        <v/>
      </c>
    </row>
    <row r="4155" spans="25:27" x14ac:dyDescent="0.3">
      <c r="Y4155" s="48" t="str">
        <f ca="1">IF(AND('Planning Sheet'!CX208='Weeks Plan'!$D$6,'Planning Sheet'!CR208='Weeks Plan'!$G$6),'Planning Sheet'!$B208,"")</f>
        <v/>
      </c>
      <c r="Z4155" s="48" t="str">
        <f ca="1">IF(AND('Planning Sheet'!CX208='Weeks Plan'!$D$6,'Planning Sheet'!CR208='Weeks Plan'!$G$6),'Planning Sheet'!$CT208,"")</f>
        <v/>
      </c>
      <c r="AA4155" s="48" t="str">
        <f ca="1">IF(AND('Planning Sheet'!CX208='Weeks Plan'!$D$6,'Planning Sheet'!CR208='Weeks Plan'!$G$6),'Planning Sheet'!$CU208,"")</f>
        <v/>
      </c>
    </row>
    <row r="4156" spans="25:27" x14ac:dyDescent="0.3">
      <c r="Y4156" s="48" t="str">
        <f ca="1">IF(AND('Planning Sheet'!CX209='Weeks Plan'!$D$6,'Planning Sheet'!CR209='Weeks Plan'!$G$6),'Planning Sheet'!$B209,"")</f>
        <v/>
      </c>
      <c r="Z4156" s="48" t="str">
        <f ca="1">IF(AND('Planning Sheet'!CX209='Weeks Plan'!$D$6,'Planning Sheet'!CR209='Weeks Plan'!$G$6),'Planning Sheet'!$CT209,"")</f>
        <v/>
      </c>
      <c r="AA4156" s="48" t="str">
        <f ca="1">IF(AND('Planning Sheet'!CX209='Weeks Plan'!$D$6,'Planning Sheet'!CR209='Weeks Plan'!$G$6),'Planning Sheet'!$CU209,"")</f>
        <v/>
      </c>
    </row>
    <row r="4157" spans="25:27" x14ac:dyDescent="0.3">
      <c r="Y4157" s="48" t="str">
        <f ca="1">IF(AND('Planning Sheet'!CX210='Weeks Plan'!$D$6,'Planning Sheet'!CR210='Weeks Plan'!$G$6),'Planning Sheet'!$B210,"")</f>
        <v/>
      </c>
      <c r="Z4157" s="48" t="str">
        <f ca="1">IF(AND('Planning Sheet'!CX210='Weeks Plan'!$D$6,'Planning Sheet'!CR210='Weeks Plan'!$G$6),'Planning Sheet'!$CT210,"")</f>
        <v/>
      </c>
      <c r="AA4157" s="48" t="str">
        <f ca="1">IF(AND('Planning Sheet'!CX210='Weeks Plan'!$D$6,'Planning Sheet'!CR210='Weeks Plan'!$G$6),'Planning Sheet'!$CU210,"")</f>
        <v/>
      </c>
    </row>
    <row r="4158" spans="25:27" x14ac:dyDescent="0.3">
      <c r="Y4158" s="48" t="str">
        <f ca="1">IF(AND('Planning Sheet'!CX211='Weeks Plan'!$D$6,'Planning Sheet'!CR211='Weeks Plan'!$G$6),'Planning Sheet'!$B211,"")</f>
        <v/>
      </c>
      <c r="Z4158" s="48" t="str">
        <f ca="1">IF(AND('Planning Sheet'!CX211='Weeks Plan'!$D$6,'Planning Sheet'!CR211='Weeks Plan'!$G$6),'Planning Sheet'!$CT211,"")</f>
        <v/>
      </c>
      <c r="AA4158" s="48" t="str">
        <f ca="1">IF(AND('Planning Sheet'!CX211='Weeks Plan'!$D$6,'Planning Sheet'!CR211='Weeks Plan'!$G$6),'Planning Sheet'!$CU211,"")</f>
        <v/>
      </c>
    </row>
    <row r="4159" spans="25:27" x14ac:dyDescent="0.3">
      <c r="Y4159" s="48" t="str">
        <f ca="1">IF(AND('Planning Sheet'!CX212='Weeks Plan'!$D$6,'Planning Sheet'!CR212='Weeks Plan'!$G$6),'Planning Sheet'!$B212,"")</f>
        <v/>
      </c>
      <c r="Z4159" s="48" t="str">
        <f ca="1">IF(AND('Planning Sheet'!CX212='Weeks Plan'!$D$6,'Planning Sheet'!CR212='Weeks Plan'!$G$6),'Planning Sheet'!$CT212,"")</f>
        <v/>
      </c>
      <c r="AA4159" s="48" t="str">
        <f ca="1">IF(AND('Planning Sheet'!CX212='Weeks Plan'!$D$6,'Planning Sheet'!CR212='Weeks Plan'!$G$6),'Planning Sheet'!$CU212,"")</f>
        <v/>
      </c>
    </row>
    <row r="4160" spans="25:27" x14ac:dyDescent="0.3">
      <c r="Y4160" s="48" t="str">
        <f ca="1">IF(AND('Planning Sheet'!CX213='Weeks Plan'!$D$6,'Planning Sheet'!CR213='Weeks Plan'!$G$6),'Planning Sheet'!$B213,"")</f>
        <v/>
      </c>
      <c r="Z4160" s="48" t="str">
        <f ca="1">IF(AND('Planning Sheet'!CX213='Weeks Plan'!$D$6,'Planning Sheet'!CR213='Weeks Plan'!$G$6),'Planning Sheet'!$CT213,"")</f>
        <v/>
      </c>
      <c r="AA4160" s="48" t="str">
        <f ca="1">IF(AND('Planning Sheet'!CX213='Weeks Plan'!$D$6,'Planning Sheet'!CR213='Weeks Plan'!$G$6),'Planning Sheet'!$CU213,"")</f>
        <v/>
      </c>
    </row>
    <row r="4161" spans="25:27" x14ac:dyDescent="0.3">
      <c r="Y4161" s="48" t="str">
        <f ca="1">IF(AND('Planning Sheet'!CX214='Weeks Plan'!$D$6,'Planning Sheet'!CR214='Weeks Plan'!$G$6),'Planning Sheet'!$B214,"")</f>
        <v/>
      </c>
      <c r="Z4161" s="48" t="str">
        <f ca="1">IF(AND('Planning Sheet'!CX214='Weeks Plan'!$D$6,'Planning Sheet'!CR214='Weeks Plan'!$G$6),'Planning Sheet'!$CT214,"")</f>
        <v/>
      </c>
      <c r="AA4161" s="48" t="str">
        <f ca="1">IF(AND('Planning Sheet'!CX214='Weeks Plan'!$D$6,'Planning Sheet'!CR214='Weeks Plan'!$G$6),'Planning Sheet'!$CU214,"")</f>
        <v/>
      </c>
    </row>
    <row r="4162" spans="25:27" x14ac:dyDescent="0.3">
      <c r="Y4162" s="48" t="str">
        <f ca="1">IF(AND('Planning Sheet'!CX215='Weeks Plan'!$D$6,'Planning Sheet'!CR215='Weeks Plan'!$G$6),'Planning Sheet'!$B215,"")</f>
        <v/>
      </c>
      <c r="Z4162" s="48" t="str">
        <f ca="1">IF(AND('Planning Sheet'!CX215='Weeks Plan'!$D$6,'Planning Sheet'!CR215='Weeks Plan'!$G$6),'Planning Sheet'!$CT215,"")</f>
        <v/>
      </c>
      <c r="AA4162" s="48" t="str">
        <f ca="1">IF(AND('Planning Sheet'!CX215='Weeks Plan'!$D$6,'Planning Sheet'!CR215='Weeks Plan'!$G$6),'Planning Sheet'!$CU215,"")</f>
        <v/>
      </c>
    </row>
    <row r="4163" spans="25:27" x14ac:dyDescent="0.3">
      <c r="Y4163" s="48" t="str">
        <f ca="1">IF(AND('Planning Sheet'!CX216='Weeks Plan'!$D$6,'Planning Sheet'!CR216='Weeks Plan'!$G$6),'Planning Sheet'!$B216,"")</f>
        <v/>
      </c>
      <c r="Z4163" s="48" t="str">
        <f ca="1">IF(AND('Planning Sheet'!CX216='Weeks Plan'!$D$6,'Planning Sheet'!CR216='Weeks Plan'!$G$6),'Planning Sheet'!$CT216,"")</f>
        <v/>
      </c>
      <c r="AA4163" s="48" t="str">
        <f ca="1">IF(AND('Planning Sheet'!CX216='Weeks Plan'!$D$6,'Planning Sheet'!CR216='Weeks Plan'!$G$6),'Planning Sheet'!$CU216,"")</f>
        <v/>
      </c>
    </row>
    <row r="4164" spans="25:27" x14ac:dyDescent="0.3">
      <c r="Y4164" s="48" t="str">
        <f ca="1">IF(AND('Planning Sheet'!CX217='Weeks Plan'!$D$6,'Planning Sheet'!CR217='Weeks Plan'!$G$6),'Planning Sheet'!$B217,"")</f>
        <v/>
      </c>
      <c r="Z4164" s="48" t="str">
        <f ca="1">IF(AND('Planning Sheet'!CX217='Weeks Plan'!$D$6,'Planning Sheet'!CR217='Weeks Plan'!$G$6),'Planning Sheet'!$CT217,"")</f>
        <v/>
      </c>
      <c r="AA4164" s="48" t="str">
        <f ca="1">IF(AND('Planning Sheet'!CX217='Weeks Plan'!$D$6,'Planning Sheet'!CR217='Weeks Plan'!$G$6),'Planning Sheet'!$CU217,"")</f>
        <v/>
      </c>
    </row>
    <row r="4165" spans="25:27" x14ac:dyDescent="0.3">
      <c r="Y4165" s="48" t="str">
        <f ca="1">IF(AND('Planning Sheet'!CX218='Weeks Plan'!$D$6,'Planning Sheet'!CR218='Weeks Plan'!$G$6),'Planning Sheet'!$B218,"")</f>
        <v/>
      </c>
      <c r="Z4165" s="48" t="str">
        <f ca="1">IF(AND('Planning Sheet'!CX218='Weeks Plan'!$D$6,'Planning Sheet'!CR218='Weeks Plan'!$G$6),'Planning Sheet'!$CT218,"")</f>
        <v/>
      </c>
      <c r="AA4165" s="48" t="str">
        <f ca="1">IF(AND('Planning Sheet'!CX218='Weeks Plan'!$D$6,'Planning Sheet'!CR218='Weeks Plan'!$G$6),'Planning Sheet'!$CU218,"")</f>
        <v/>
      </c>
    </row>
    <row r="4166" spans="25:27" x14ac:dyDescent="0.3">
      <c r="Y4166" s="48" t="str">
        <f ca="1">IF(AND('Planning Sheet'!CX219='Weeks Plan'!$D$6,'Planning Sheet'!CR219='Weeks Plan'!$G$6),'Planning Sheet'!$B219,"")</f>
        <v/>
      </c>
      <c r="Z4166" s="48" t="str">
        <f ca="1">IF(AND('Planning Sheet'!CX219='Weeks Plan'!$D$6,'Planning Sheet'!CR219='Weeks Plan'!$G$6),'Planning Sheet'!$CT219,"")</f>
        <v/>
      </c>
      <c r="AA4166" s="48" t="str">
        <f ca="1">IF(AND('Planning Sheet'!CX219='Weeks Plan'!$D$6,'Planning Sheet'!CR219='Weeks Plan'!$G$6),'Planning Sheet'!$CU219,"")</f>
        <v/>
      </c>
    </row>
    <row r="4167" spans="25:27" x14ac:dyDescent="0.3">
      <c r="Y4167" s="48" t="str">
        <f ca="1">IF(AND('Planning Sheet'!CX220='Weeks Plan'!$D$6,'Planning Sheet'!CR220='Weeks Plan'!$G$6),'Planning Sheet'!$B220,"")</f>
        <v/>
      </c>
      <c r="Z4167" s="48" t="str">
        <f ca="1">IF(AND('Planning Sheet'!CX220='Weeks Plan'!$D$6,'Planning Sheet'!CR220='Weeks Plan'!$G$6),'Planning Sheet'!$CT220,"")</f>
        <v/>
      </c>
      <c r="AA4167" s="48" t="str">
        <f ca="1">IF(AND('Planning Sheet'!CX220='Weeks Plan'!$D$6,'Planning Sheet'!CR220='Weeks Plan'!$G$6),'Planning Sheet'!$CU220,"")</f>
        <v/>
      </c>
    </row>
    <row r="4168" spans="25:27" x14ac:dyDescent="0.3">
      <c r="Y4168" s="48" t="str">
        <f ca="1">IF(AND('Planning Sheet'!CX221='Weeks Plan'!$D$6,'Planning Sheet'!CR221='Weeks Plan'!$G$6),'Planning Sheet'!$B221,"")</f>
        <v/>
      </c>
      <c r="Z4168" s="48" t="str">
        <f ca="1">IF(AND('Planning Sheet'!CX221='Weeks Plan'!$D$6,'Planning Sheet'!CR221='Weeks Plan'!$G$6),'Planning Sheet'!$CT221,"")</f>
        <v/>
      </c>
      <c r="AA4168" s="48" t="str">
        <f ca="1">IF(AND('Planning Sheet'!CX221='Weeks Plan'!$D$6,'Planning Sheet'!CR221='Weeks Plan'!$G$6),'Planning Sheet'!$CU221,"")</f>
        <v/>
      </c>
    </row>
    <row r="4169" spans="25:27" x14ac:dyDescent="0.3">
      <c r="Y4169" s="48" t="str">
        <f ca="1">IF(AND('Planning Sheet'!CX222='Weeks Plan'!$D$6,'Planning Sheet'!CR222='Weeks Plan'!$G$6),'Planning Sheet'!$B222,"")</f>
        <v/>
      </c>
      <c r="Z4169" s="48" t="str">
        <f ca="1">IF(AND('Planning Sheet'!CX222='Weeks Plan'!$D$6,'Planning Sheet'!CR222='Weeks Plan'!$G$6),'Planning Sheet'!$CT222,"")</f>
        <v/>
      </c>
      <c r="AA4169" s="48" t="str">
        <f ca="1">IF(AND('Planning Sheet'!CX222='Weeks Plan'!$D$6,'Planning Sheet'!CR222='Weeks Plan'!$G$6),'Planning Sheet'!$CU222,"")</f>
        <v/>
      </c>
    </row>
    <row r="4170" spans="25:27" x14ac:dyDescent="0.3">
      <c r="Y4170" s="48" t="str">
        <f ca="1">IF(AND('Planning Sheet'!CX223='Weeks Plan'!$D$6,'Planning Sheet'!CR223='Weeks Plan'!$G$6),'Planning Sheet'!$B223,"")</f>
        <v/>
      </c>
      <c r="Z4170" s="48" t="str">
        <f ca="1">IF(AND('Planning Sheet'!CX223='Weeks Plan'!$D$6,'Planning Sheet'!CR223='Weeks Plan'!$G$6),'Planning Sheet'!$CT223,"")</f>
        <v/>
      </c>
      <c r="AA4170" s="48" t="str">
        <f ca="1">IF(AND('Planning Sheet'!CX223='Weeks Plan'!$D$6,'Planning Sheet'!CR223='Weeks Plan'!$G$6),'Planning Sheet'!$CU223,"")</f>
        <v/>
      </c>
    </row>
    <row r="4171" spans="25:27" x14ac:dyDescent="0.3">
      <c r="Y4171" s="48" t="str">
        <f ca="1">IF(AND('Planning Sheet'!CX224='Weeks Plan'!$D$6,'Planning Sheet'!CR224='Weeks Plan'!$G$6),'Planning Sheet'!$B224,"")</f>
        <v/>
      </c>
      <c r="Z4171" s="48" t="str">
        <f ca="1">IF(AND('Planning Sheet'!CX224='Weeks Plan'!$D$6,'Planning Sheet'!CR224='Weeks Plan'!$G$6),'Planning Sheet'!$CT224,"")</f>
        <v/>
      </c>
      <c r="AA4171" s="48" t="str">
        <f ca="1">IF(AND('Planning Sheet'!CX224='Weeks Plan'!$D$6,'Planning Sheet'!CR224='Weeks Plan'!$G$6),'Planning Sheet'!$CU224,"")</f>
        <v/>
      </c>
    </row>
    <row r="4172" spans="25:27" x14ac:dyDescent="0.3">
      <c r="Y4172" s="48" t="str">
        <f ca="1">IF(AND('Planning Sheet'!CX225='Weeks Plan'!$D$6,'Planning Sheet'!CR225='Weeks Plan'!$G$6),'Planning Sheet'!$B225,"")</f>
        <v/>
      </c>
      <c r="Z4172" s="48" t="str">
        <f ca="1">IF(AND('Planning Sheet'!CX225='Weeks Plan'!$D$6,'Planning Sheet'!CR225='Weeks Plan'!$G$6),'Planning Sheet'!$CT225,"")</f>
        <v/>
      </c>
      <c r="AA4172" s="48" t="str">
        <f ca="1">IF(AND('Planning Sheet'!CX225='Weeks Plan'!$D$6,'Planning Sheet'!CR225='Weeks Plan'!$G$6),'Planning Sheet'!$CU225,"")</f>
        <v/>
      </c>
    </row>
    <row r="4173" spans="25:27" x14ac:dyDescent="0.3">
      <c r="Y4173" s="48" t="str">
        <f ca="1">IF(AND('Planning Sheet'!CX226='Weeks Plan'!$D$6,'Planning Sheet'!CR226='Weeks Plan'!$G$6),'Planning Sheet'!$B226,"")</f>
        <v/>
      </c>
      <c r="Z4173" s="48" t="str">
        <f ca="1">IF(AND('Planning Sheet'!CX226='Weeks Plan'!$D$6,'Planning Sheet'!CR226='Weeks Plan'!$G$6),'Planning Sheet'!$CT226,"")</f>
        <v/>
      </c>
      <c r="AA4173" s="48" t="str">
        <f ca="1">IF(AND('Planning Sheet'!CX226='Weeks Plan'!$D$6,'Planning Sheet'!CR226='Weeks Plan'!$G$6),'Planning Sheet'!$CU226,"")</f>
        <v/>
      </c>
    </row>
    <row r="4174" spans="25:27" x14ac:dyDescent="0.3">
      <c r="Y4174" s="48" t="str">
        <f ca="1">IF(AND('Planning Sheet'!CX227='Weeks Plan'!$D$6,'Planning Sheet'!CR227='Weeks Plan'!$G$6),'Planning Sheet'!$B227,"")</f>
        <v/>
      </c>
      <c r="Z4174" s="48" t="str">
        <f ca="1">IF(AND('Planning Sheet'!CX227='Weeks Plan'!$D$6,'Planning Sheet'!CR227='Weeks Plan'!$G$6),'Planning Sheet'!$CT227,"")</f>
        <v/>
      </c>
      <c r="AA4174" s="48" t="str">
        <f ca="1">IF(AND('Planning Sheet'!CX227='Weeks Plan'!$D$6,'Planning Sheet'!CR227='Weeks Plan'!$G$6),'Planning Sheet'!$CU227,"")</f>
        <v/>
      </c>
    </row>
    <row r="4175" spans="25:27" x14ac:dyDescent="0.3">
      <c r="Y4175" s="48" t="str">
        <f ca="1">IF(AND('Planning Sheet'!CX228='Weeks Plan'!$D$6,'Planning Sheet'!CR228='Weeks Plan'!$G$6),'Planning Sheet'!$B228,"")</f>
        <v/>
      </c>
      <c r="Z4175" s="48" t="str">
        <f ca="1">IF(AND('Planning Sheet'!CX228='Weeks Plan'!$D$6,'Planning Sheet'!CR228='Weeks Plan'!$G$6),'Planning Sheet'!$CT228,"")</f>
        <v/>
      </c>
      <c r="AA4175" s="48" t="str">
        <f ca="1">IF(AND('Planning Sheet'!CX228='Weeks Plan'!$D$6,'Planning Sheet'!CR228='Weeks Plan'!$G$6),'Planning Sheet'!$CU228,"")</f>
        <v/>
      </c>
    </row>
    <row r="4176" spans="25:27" x14ac:dyDescent="0.3">
      <c r="Y4176" s="48" t="str">
        <f ca="1">IF(AND('Planning Sheet'!CX229='Weeks Plan'!$D$6,'Planning Sheet'!CR229='Weeks Plan'!$G$6),'Planning Sheet'!$B229,"")</f>
        <v/>
      </c>
      <c r="Z4176" s="48" t="str">
        <f ca="1">IF(AND('Planning Sheet'!CX229='Weeks Plan'!$D$6,'Planning Sheet'!CR229='Weeks Plan'!$G$6),'Planning Sheet'!$CT229,"")</f>
        <v/>
      </c>
      <c r="AA4176" s="48" t="str">
        <f ca="1">IF(AND('Planning Sheet'!CX229='Weeks Plan'!$D$6,'Planning Sheet'!CR229='Weeks Plan'!$G$6),'Planning Sheet'!$CU229,"")</f>
        <v/>
      </c>
    </row>
    <row r="4177" spans="25:27" x14ac:dyDescent="0.3">
      <c r="Y4177" s="48" t="str">
        <f ca="1">IF(AND('Planning Sheet'!CX230='Weeks Plan'!$D$6,'Planning Sheet'!CR230='Weeks Plan'!$G$6),'Planning Sheet'!$B230,"")</f>
        <v/>
      </c>
      <c r="Z4177" s="48" t="str">
        <f ca="1">IF(AND('Planning Sheet'!CX230='Weeks Plan'!$D$6,'Planning Sheet'!CR230='Weeks Plan'!$G$6),'Planning Sheet'!$CT230,"")</f>
        <v/>
      </c>
      <c r="AA4177" s="48" t="str">
        <f ca="1">IF(AND('Planning Sheet'!CX230='Weeks Plan'!$D$6,'Planning Sheet'!CR230='Weeks Plan'!$G$6),'Planning Sheet'!$CU230,"")</f>
        <v/>
      </c>
    </row>
    <row r="4178" spans="25:27" x14ac:dyDescent="0.3">
      <c r="Y4178" s="48" t="str">
        <f ca="1">IF(AND('Planning Sheet'!CX231='Weeks Plan'!$D$6,'Planning Sheet'!CR231='Weeks Plan'!$G$6),'Planning Sheet'!$B231,"")</f>
        <v/>
      </c>
      <c r="Z4178" s="48" t="str">
        <f ca="1">IF(AND('Planning Sheet'!CX231='Weeks Plan'!$D$6,'Planning Sheet'!CR231='Weeks Plan'!$G$6),'Planning Sheet'!$CT231,"")</f>
        <v/>
      </c>
      <c r="AA4178" s="48" t="str">
        <f ca="1">IF(AND('Planning Sheet'!CX231='Weeks Plan'!$D$6,'Planning Sheet'!CR231='Weeks Plan'!$G$6),'Planning Sheet'!$CU231,"")</f>
        <v/>
      </c>
    </row>
    <row r="4179" spans="25:27" x14ac:dyDescent="0.3">
      <c r="Y4179" s="48" t="str">
        <f ca="1">IF(AND('Planning Sheet'!CX232='Weeks Plan'!$D$6,'Planning Sheet'!CR232='Weeks Plan'!$G$6),'Planning Sheet'!$B232,"")</f>
        <v/>
      </c>
      <c r="Z4179" s="48" t="str">
        <f ca="1">IF(AND('Planning Sheet'!CX232='Weeks Plan'!$D$6,'Planning Sheet'!CR232='Weeks Plan'!$G$6),'Planning Sheet'!$CT232,"")</f>
        <v/>
      </c>
      <c r="AA4179" s="48" t="str">
        <f ca="1">IF(AND('Planning Sheet'!CX232='Weeks Plan'!$D$6,'Planning Sheet'!CR232='Weeks Plan'!$G$6),'Planning Sheet'!$CU232,"")</f>
        <v/>
      </c>
    </row>
    <row r="4180" spans="25:27" x14ac:dyDescent="0.3">
      <c r="Y4180" s="48" t="str">
        <f ca="1">IF(AND('Planning Sheet'!CX233='Weeks Plan'!$D$6,'Planning Sheet'!CR233='Weeks Plan'!$G$6),'Planning Sheet'!$B233,"")</f>
        <v/>
      </c>
      <c r="Z4180" s="48" t="str">
        <f ca="1">IF(AND('Planning Sheet'!CX233='Weeks Plan'!$D$6,'Planning Sheet'!CR233='Weeks Plan'!$G$6),'Planning Sheet'!$CT233,"")</f>
        <v/>
      </c>
      <c r="AA4180" s="48" t="str">
        <f ca="1">IF(AND('Planning Sheet'!CX233='Weeks Plan'!$D$6,'Planning Sheet'!CR233='Weeks Plan'!$G$6),'Planning Sheet'!$CU233,"")</f>
        <v/>
      </c>
    </row>
    <row r="4181" spans="25:27" x14ac:dyDescent="0.3">
      <c r="Y4181" s="48" t="str">
        <f ca="1">IF(AND('Planning Sheet'!CX234='Weeks Plan'!$D$6,'Planning Sheet'!CR234='Weeks Plan'!$G$6),'Planning Sheet'!$B234,"")</f>
        <v/>
      </c>
      <c r="Z4181" s="48" t="str">
        <f ca="1">IF(AND('Planning Sheet'!CX234='Weeks Plan'!$D$6,'Planning Sheet'!CR234='Weeks Plan'!$G$6),'Planning Sheet'!$CT234,"")</f>
        <v/>
      </c>
      <c r="AA4181" s="48" t="str">
        <f ca="1">IF(AND('Planning Sheet'!CX234='Weeks Plan'!$D$6,'Planning Sheet'!CR234='Weeks Plan'!$G$6),'Planning Sheet'!$CU234,"")</f>
        <v/>
      </c>
    </row>
    <row r="4182" spans="25:27" x14ac:dyDescent="0.3">
      <c r="Y4182" s="48" t="str">
        <f ca="1">IF(AND('Planning Sheet'!CX235='Weeks Plan'!$D$6,'Planning Sheet'!CR235='Weeks Plan'!$G$6),'Planning Sheet'!$B235,"")</f>
        <v/>
      </c>
      <c r="Z4182" s="48" t="str">
        <f ca="1">IF(AND('Planning Sheet'!CX235='Weeks Plan'!$D$6,'Planning Sheet'!CR235='Weeks Plan'!$G$6),'Planning Sheet'!$CT235,"")</f>
        <v/>
      </c>
      <c r="AA4182" s="48" t="str">
        <f ca="1">IF(AND('Planning Sheet'!CX235='Weeks Plan'!$D$6,'Planning Sheet'!CR235='Weeks Plan'!$G$6),'Planning Sheet'!$CU235,"")</f>
        <v/>
      </c>
    </row>
    <row r="4183" spans="25:27" x14ac:dyDescent="0.3">
      <c r="Y4183" s="48" t="str">
        <f ca="1">IF(AND('Planning Sheet'!CX236='Weeks Plan'!$D$6,'Planning Sheet'!CR236='Weeks Plan'!$G$6),'Planning Sheet'!$B236,"")</f>
        <v/>
      </c>
      <c r="Z4183" s="48" t="str">
        <f ca="1">IF(AND('Planning Sheet'!CX236='Weeks Plan'!$D$6,'Planning Sheet'!CR236='Weeks Plan'!$G$6),'Planning Sheet'!$CT236,"")</f>
        <v/>
      </c>
      <c r="AA4183" s="48" t="str">
        <f ca="1">IF(AND('Planning Sheet'!CX236='Weeks Plan'!$D$6,'Planning Sheet'!CR236='Weeks Plan'!$G$6),'Planning Sheet'!$CU236,"")</f>
        <v/>
      </c>
    </row>
    <row r="4184" spans="25:27" x14ac:dyDescent="0.3">
      <c r="Y4184" s="48" t="str">
        <f ca="1">IF(AND('Planning Sheet'!CX237='Weeks Plan'!$D$6,'Planning Sheet'!CR237='Weeks Plan'!$G$6),'Planning Sheet'!$B237,"")</f>
        <v/>
      </c>
      <c r="Z4184" s="48" t="str">
        <f ca="1">IF(AND('Planning Sheet'!CX237='Weeks Plan'!$D$6,'Planning Sheet'!CR237='Weeks Plan'!$G$6),'Planning Sheet'!$CT237,"")</f>
        <v/>
      </c>
      <c r="AA4184" s="48" t="str">
        <f ca="1">IF(AND('Planning Sheet'!CX237='Weeks Plan'!$D$6,'Planning Sheet'!CR237='Weeks Plan'!$G$6),'Planning Sheet'!$CU237,"")</f>
        <v/>
      </c>
    </row>
    <row r="4185" spans="25:27" x14ac:dyDescent="0.3">
      <c r="Y4185" s="48" t="str">
        <f ca="1">IF(AND('Planning Sheet'!CX238='Weeks Plan'!$D$6,'Planning Sheet'!CR238='Weeks Plan'!$G$6),'Planning Sheet'!$B238,"")</f>
        <v/>
      </c>
      <c r="Z4185" s="48" t="str">
        <f ca="1">IF(AND('Planning Sheet'!CX238='Weeks Plan'!$D$6,'Planning Sheet'!CR238='Weeks Plan'!$G$6),'Planning Sheet'!$CT238,"")</f>
        <v/>
      </c>
      <c r="AA4185" s="48" t="str">
        <f ca="1">IF(AND('Planning Sheet'!CX238='Weeks Plan'!$D$6,'Planning Sheet'!CR238='Weeks Plan'!$G$6),'Planning Sheet'!$CU238,"")</f>
        <v/>
      </c>
    </row>
    <row r="4186" spans="25:27" x14ac:dyDescent="0.3">
      <c r="Y4186" s="48" t="str">
        <f ca="1">IF(AND('Planning Sheet'!CX239='Weeks Plan'!$D$6,'Planning Sheet'!CR239='Weeks Plan'!$G$6),'Planning Sheet'!$B239,"")</f>
        <v/>
      </c>
      <c r="Z4186" s="48" t="str">
        <f ca="1">IF(AND('Planning Sheet'!CX239='Weeks Plan'!$D$6,'Planning Sheet'!CR239='Weeks Plan'!$G$6),'Planning Sheet'!$CT239,"")</f>
        <v/>
      </c>
      <c r="AA4186" s="48" t="str">
        <f ca="1">IF(AND('Planning Sheet'!CX239='Weeks Plan'!$D$6,'Planning Sheet'!CR239='Weeks Plan'!$G$6),'Planning Sheet'!$CU239,"")</f>
        <v/>
      </c>
    </row>
    <row r="4187" spans="25:27" x14ac:dyDescent="0.3">
      <c r="Y4187" s="48" t="str">
        <f ca="1">IF(AND('Planning Sheet'!CX240='Weeks Plan'!$D$6,'Planning Sheet'!CR240='Weeks Plan'!$G$6),'Planning Sheet'!$B240,"")</f>
        <v/>
      </c>
      <c r="Z4187" s="48" t="str">
        <f ca="1">IF(AND('Planning Sheet'!CX240='Weeks Plan'!$D$6,'Planning Sheet'!CR240='Weeks Plan'!$G$6),'Planning Sheet'!$CT240,"")</f>
        <v/>
      </c>
      <c r="AA4187" s="48" t="str">
        <f ca="1">IF(AND('Planning Sheet'!CX240='Weeks Plan'!$D$6,'Planning Sheet'!CR240='Weeks Plan'!$G$6),'Planning Sheet'!$CU240,"")</f>
        <v/>
      </c>
    </row>
    <row r="4188" spans="25:27" x14ac:dyDescent="0.3">
      <c r="Y4188" s="48" t="str">
        <f ca="1">IF(AND('Planning Sheet'!CX241='Weeks Plan'!$D$6,'Planning Sheet'!CR241='Weeks Plan'!$G$6),'Planning Sheet'!$B241,"")</f>
        <v/>
      </c>
      <c r="Z4188" s="48" t="str">
        <f ca="1">IF(AND('Planning Sheet'!CX241='Weeks Plan'!$D$6,'Planning Sheet'!CR241='Weeks Plan'!$G$6),'Planning Sheet'!$CT241,"")</f>
        <v/>
      </c>
      <c r="AA4188" s="48" t="str">
        <f ca="1">IF(AND('Planning Sheet'!CX241='Weeks Plan'!$D$6,'Planning Sheet'!CR241='Weeks Plan'!$G$6),'Planning Sheet'!$CU241,"")</f>
        <v/>
      </c>
    </row>
    <row r="4189" spans="25:27" x14ac:dyDescent="0.3">
      <c r="Y4189" s="48" t="str">
        <f ca="1">IF(AND('Planning Sheet'!CX242='Weeks Plan'!$D$6,'Planning Sheet'!CR242='Weeks Plan'!$G$6),'Planning Sheet'!$B242,"")</f>
        <v/>
      </c>
      <c r="Z4189" s="48" t="str">
        <f ca="1">IF(AND('Planning Sheet'!CX242='Weeks Plan'!$D$6,'Planning Sheet'!CR242='Weeks Plan'!$G$6),'Planning Sheet'!$CT242,"")</f>
        <v/>
      </c>
      <c r="AA4189" s="48" t="str">
        <f ca="1">IF(AND('Planning Sheet'!CX242='Weeks Plan'!$D$6,'Planning Sheet'!CR242='Weeks Plan'!$G$6),'Planning Sheet'!$CU242,"")</f>
        <v/>
      </c>
    </row>
    <row r="4190" spans="25:27" x14ac:dyDescent="0.3">
      <c r="Y4190" s="48" t="str">
        <f ca="1">IF(AND('Planning Sheet'!CX243='Weeks Plan'!$D$6,'Planning Sheet'!CR243='Weeks Plan'!$G$6),'Planning Sheet'!$B243,"")</f>
        <v/>
      </c>
      <c r="Z4190" s="48" t="str">
        <f ca="1">IF(AND('Planning Sheet'!CX243='Weeks Plan'!$D$6,'Planning Sheet'!CR243='Weeks Plan'!$G$6),'Planning Sheet'!$CT243,"")</f>
        <v/>
      </c>
      <c r="AA4190" s="48" t="str">
        <f ca="1">IF(AND('Planning Sheet'!CX243='Weeks Plan'!$D$6,'Planning Sheet'!CR243='Weeks Plan'!$G$6),'Planning Sheet'!$CU243,"")</f>
        <v/>
      </c>
    </row>
    <row r="4191" spans="25:27" x14ac:dyDescent="0.3">
      <c r="Y4191" s="48" t="str">
        <f ca="1">IF(AND('Planning Sheet'!CX244='Weeks Plan'!$D$6,'Planning Sheet'!CR244='Weeks Plan'!$G$6),'Planning Sheet'!$B244,"")</f>
        <v/>
      </c>
      <c r="Z4191" s="48" t="str">
        <f ca="1">IF(AND('Planning Sheet'!CX244='Weeks Plan'!$D$6,'Planning Sheet'!CR244='Weeks Plan'!$G$6),'Planning Sheet'!$CT244,"")</f>
        <v/>
      </c>
      <c r="AA4191" s="48" t="str">
        <f ca="1">IF(AND('Planning Sheet'!CX244='Weeks Plan'!$D$6,'Planning Sheet'!CR244='Weeks Plan'!$G$6),'Planning Sheet'!$CU244,"")</f>
        <v/>
      </c>
    </row>
    <row r="4192" spans="25:27" x14ac:dyDescent="0.3">
      <c r="Y4192" s="48" t="str">
        <f ca="1">IF(AND('Planning Sheet'!CX245='Weeks Plan'!$D$6,'Planning Sheet'!CR245='Weeks Plan'!$G$6),'Planning Sheet'!$B245,"")</f>
        <v/>
      </c>
      <c r="Z4192" s="48" t="str">
        <f ca="1">IF(AND('Planning Sheet'!CX245='Weeks Plan'!$D$6,'Planning Sheet'!CR245='Weeks Plan'!$G$6),'Planning Sheet'!$CT245,"")</f>
        <v/>
      </c>
      <c r="AA4192" s="48" t="str">
        <f ca="1">IF(AND('Planning Sheet'!CX245='Weeks Plan'!$D$6,'Planning Sheet'!CR245='Weeks Plan'!$G$6),'Planning Sheet'!$CU245,"")</f>
        <v/>
      </c>
    </row>
    <row r="4193" spans="25:27" x14ac:dyDescent="0.3">
      <c r="Y4193" s="48" t="str">
        <f ca="1">IF(AND('Planning Sheet'!CX246='Weeks Plan'!$D$6,'Planning Sheet'!CR246='Weeks Plan'!$G$6),'Planning Sheet'!$B246,"")</f>
        <v/>
      </c>
      <c r="Z4193" s="48" t="str">
        <f ca="1">IF(AND('Planning Sheet'!CX246='Weeks Plan'!$D$6,'Planning Sheet'!CR246='Weeks Plan'!$G$6),'Planning Sheet'!$CT246,"")</f>
        <v/>
      </c>
      <c r="AA4193" s="48" t="str">
        <f ca="1">IF(AND('Planning Sheet'!CX246='Weeks Plan'!$D$6,'Planning Sheet'!CR246='Weeks Plan'!$G$6),'Planning Sheet'!$CU246,"")</f>
        <v/>
      </c>
    </row>
    <row r="4194" spans="25:27" x14ac:dyDescent="0.3">
      <c r="Y4194" s="48" t="str">
        <f ca="1">IF(AND('Planning Sheet'!CX247='Weeks Plan'!$D$6,'Planning Sheet'!CR247='Weeks Plan'!$G$6),'Planning Sheet'!$B247,"")</f>
        <v/>
      </c>
      <c r="Z4194" s="48" t="str">
        <f ca="1">IF(AND('Planning Sheet'!CX247='Weeks Plan'!$D$6,'Planning Sheet'!CR247='Weeks Plan'!$G$6),'Planning Sheet'!$CT247,"")</f>
        <v/>
      </c>
      <c r="AA4194" s="48" t="str">
        <f ca="1">IF(AND('Planning Sheet'!CX247='Weeks Plan'!$D$6,'Planning Sheet'!CR247='Weeks Plan'!$G$6),'Planning Sheet'!$CU247,"")</f>
        <v/>
      </c>
    </row>
    <row r="4195" spans="25:27" x14ac:dyDescent="0.3">
      <c r="Y4195" s="48" t="str">
        <f ca="1">IF(AND('Planning Sheet'!CX248='Weeks Plan'!$D$6,'Planning Sheet'!CR248='Weeks Plan'!$G$6),'Planning Sheet'!$B248,"")</f>
        <v/>
      </c>
      <c r="Z4195" s="48" t="str">
        <f ca="1">IF(AND('Planning Sheet'!CX248='Weeks Plan'!$D$6,'Planning Sheet'!CR248='Weeks Plan'!$G$6),'Planning Sheet'!$CT248,"")</f>
        <v/>
      </c>
      <c r="AA4195" s="48" t="str">
        <f ca="1">IF(AND('Planning Sheet'!CX248='Weeks Plan'!$D$6,'Planning Sheet'!CR248='Weeks Plan'!$G$6),'Planning Sheet'!$CU248,"")</f>
        <v/>
      </c>
    </row>
    <row r="4196" spans="25:27" x14ac:dyDescent="0.3">
      <c r="Y4196" s="48" t="str">
        <f ca="1">IF(AND('Planning Sheet'!CX249='Weeks Plan'!$D$6,'Planning Sheet'!CR249='Weeks Plan'!$G$6),'Planning Sheet'!$B249,"")</f>
        <v/>
      </c>
      <c r="Z4196" s="48" t="str">
        <f ca="1">IF(AND('Planning Sheet'!CX249='Weeks Plan'!$D$6,'Planning Sheet'!CR249='Weeks Plan'!$G$6),'Planning Sheet'!$CT249,"")</f>
        <v/>
      </c>
      <c r="AA4196" s="48" t="str">
        <f ca="1">IF(AND('Planning Sheet'!CX249='Weeks Plan'!$D$6,'Planning Sheet'!CR249='Weeks Plan'!$G$6),'Planning Sheet'!$CU249,"")</f>
        <v/>
      </c>
    </row>
    <row r="4197" spans="25:27" x14ac:dyDescent="0.3">
      <c r="Y4197" s="48" t="str">
        <f ca="1">IF(AND('Planning Sheet'!CX250='Weeks Plan'!$D$6,'Planning Sheet'!CR250='Weeks Plan'!$G$6),'Planning Sheet'!$B250,"")</f>
        <v/>
      </c>
      <c r="Z4197" s="48" t="str">
        <f ca="1">IF(AND('Planning Sheet'!CX250='Weeks Plan'!$D$6,'Planning Sheet'!CR250='Weeks Plan'!$G$6),'Planning Sheet'!$CT250,"")</f>
        <v/>
      </c>
      <c r="AA4197" s="48" t="str">
        <f ca="1">IF(AND('Planning Sheet'!CX250='Weeks Plan'!$D$6,'Planning Sheet'!CR250='Weeks Plan'!$G$6),'Planning Sheet'!$CU250,"")</f>
        <v/>
      </c>
    </row>
    <row r="4198" spans="25:27" x14ac:dyDescent="0.3">
      <c r="Y4198" s="48" t="str">
        <f ca="1">IF(AND('Planning Sheet'!CX251='Weeks Plan'!$D$6,'Planning Sheet'!CR251='Weeks Plan'!$G$6),'Planning Sheet'!$B251,"")</f>
        <v/>
      </c>
      <c r="Z4198" s="48" t="str">
        <f ca="1">IF(AND('Planning Sheet'!CX251='Weeks Plan'!$D$6,'Planning Sheet'!CR251='Weeks Plan'!$G$6),'Planning Sheet'!$CT251,"")</f>
        <v/>
      </c>
      <c r="AA4198" s="48" t="str">
        <f ca="1">IF(AND('Planning Sheet'!CX251='Weeks Plan'!$D$6,'Planning Sheet'!CR251='Weeks Plan'!$G$6),'Planning Sheet'!$CU251,"")</f>
        <v/>
      </c>
    </row>
    <row r="4199" spans="25:27" x14ac:dyDescent="0.3">
      <c r="Y4199" s="48" t="str">
        <f ca="1">IF(AND('Planning Sheet'!CX252='Weeks Plan'!$D$6,'Planning Sheet'!CR252='Weeks Plan'!$G$6),'Planning Sheet'!$B252,"")</f>
        <v/>
      </c>
      <c r="Z4199" s="48" t="str">
        <f ca="1">IF(AND('Planning Sheet'!CX252='Weeks Plan'!$D$6,'Planning Sheet'!CR252='Weeks Plan'!$G$6),'Planning Sheet'!$CT252,"")</f>
        <v/>
      </c>
      <c r="AA4199" s="48" t="str">
        <f ca="1">IF(AND('Planning Sheet'!CX252='Weeks Plan'!$D$6,'Planning Sheet'!CR252='Weeks Plan'!$G$6),'Planning Sheet'!$CU252,"")</f>
        <v/>
      </c>
    </row>
    <row r="4200" spans="25:27" x14ac:dyDescent="0.3">
      <c r="Y4200" s="48" t="str">
        <f ca="1">IF(AND('Planning Sheet'!CX253='Weeks Plan'!$D$6,'Planning Sheet'!CR253='Weeks Plan'!$G$6),'Planning Sheet'!$B253,"")</f>
        <v/>
      </c>
      <c r="Z4200" s="48" t="str">
        <f ca="1">IF(AND('Planning Sheet'!CX253='Weeks Plan'!$D$6,'Planning Sheet'!CR253='Weeks Plan'!$G$6),'Planning Sheet'!$CT253,"")</f>
        <v/>
      </c>
      <c r="AA4200" s="48" t="str">
        <f ca="1">IF(AND('Planning Sheet'!CX253='Weeks Plan'!$D$6,'Planning Sheet'!CR253='Weeks Plan'!$G$6),'Planning Sheet'!$CU253,"")</f>
        <v/>
      </c>
    </row>
    <row r="4201" spans="25:27" x14ac:dyDescent="0.3">
      <c r="Y4201" s="48" t="str">
        <f ca="1">IF(AND('Planning Sheet'!CX254='Weeks Plan'!$D$6,'Planning Sheet'!CR254='Weeks Plan'!$G$6),'Planning Sheet'!$B254,"")</f>
        <v/>
      </c>
      <c r="Z4201" s="48" t="str">
        <f ca="1">IF(AND('Planning Sheet'!CX254='Weeks Plan'!$D$6,'Planning Sheet'!CR254='Weeks Plan'!$G$6),'Planning Sheet'!$CT254,"")</f>
        <v/>
      </c>
      <c r="AA4201" s="48" t="str">
        <f ca="1">IF(AND('Planning Sheet'!CX254='Weeks Plan'!$D$6,'Planning Sheet'!CR254='Weeks Plan'!$G$6),'Planning Sheet'!$CU254,"")</f>
        <v/>
      </c>
    </row>
    <row r="4202" spans="25:27" x14ac:dyDescent="0.3">
      <c r="Y4202" s="48" t="str">
        <f ca="1">IF(AND('Planning Sheet'!CX255='Weeks Plan'!$D$6,'Planning Sheet'!CR255='Weeks Plan'!$G$6),'Planning Sheet'!$B255,"")</f>
        <v/>
      </c>
      <c r="Z4202" s="48" t="str">
        <f ca="1">IF(AND('Planning Sheet'!CX255='Weeks Plan'!$D$6,'Planning Sheet'!CR255='Weeks Plan'!$G$6),'Planning Sheet'!$CT255,"")</f>
        <v/>
      </c>
      <c r="AA4202" s="48" t="str">
        <f ca="1">IF(AND('Planning Sheet'!CX255='Weeks Plan'!$D$6,'Planning Sheet'!CR255='Weeks Plan'!$G$6),'Planning Sheet'!$CU255,"")</f>
        <v/>
      </c>
    </row>
    <row r="4203" spans="25:27" x14ac:dyDescent="0.3">
      <c r="Y4203" s="48" t="str">
        <f ca="1">IF(AND('Planning Sheet'!CX256='Weeks Plan'!$D$6,'Planning Sheet'!CR256='Weeks Plan'!$G$6),'Planning Sheet'!$B256,"")</f>
        <v/>
      </c>
      <c r="Z4203" s="48" t="str">
        <f ca="1">IF(AND('Planning Sheet'!CX256='Weeks Plan'!$D$6,'Planning Sheet'!CR256='Weeks Plan'!$G$6),'Planning Sheet'!$CT256,"")</f>
        <v/>
      </c>
      <c r="AA4203" s="48" t="str">
        <f ca="1">IF(AND('Planning Sheet'!CX256='Weeks Plan'!$D$6,'Planning Sheet'!CR256='Weeks Plan'!$G$6),'Planning Sheet'!$CU256,"")</f>
        <v/>
      </c>
    </row>
    <row r="4204" spans="25:27" x14ac:dyDescent="0.3">
      <c r="Y4204" s="48" t="str">
        <f ca="1">IF(AND('Planning Sheet'!CX257='Weeks Plan'!$D$6,'Planning Sheet'!CR257='Weeks Plan'!$G$6),'Planning Sheet'!$B257,"")</f>
        <v/>
      </c>
      <c r="Z4204" s="48" t="str">
        <f ca="1">IF(AND('Planning Sheet'!CX257='Weeks Plan'!$D$6,'Planning Sheet'!CR257='Weeks Plan'!$G$6),'Planning Sheet'!$CT257,"")</f>
        <v/>
      </c>
      <c r="AA4204" s="48" t="str">
        <f ca="1">IF(AND('Planning Sheet'!CX257='Weeks Plan'!$D$6,'Planning Sheet'!CR257='Weeks Plan'!$G$6),'Planning Sheet'!$CU257,"")</f>
        <v/>
      </c>
    </row>
    <row r="4205" spans="25:27" x14ac:dyDescent="0.3">
      <c r="Y4205" s="48" t="str">
        <f ca="1">IF(AND('Planning Sheet'!CX258='Weeks Plan'!$D$6,'Planning Sheet'!CR258='Weeks Plan'!$G$6),'Planning Sheet'!$B258,"")</f>
        <v/>
      </c>
      <c r="Z4205" s="48" t="str">
        <f ca="1">IF(AND('Planning Sheet'!CX258='Weeks Plan'!$D$6,'Planning Sheet'!CR258='Weeks Plan'!$G$6),'Planning Sheet'!$CT258,"")</f>
        <v/>
      </c>
      <c r="AA4205" s="48" t="str">
        <f ca="1">IF(AND('Planning Sheet'!CX258='Weeks Plan'!$D$6,'Planning Sheet'!CR258='Weeks Plan'!$G$6),'Planning Sheet'!$CU258,"")</f>
        <v/>
      </c>
    </row>
    <row r="4206" spans="25:27" x14ac:dyDescent="0.3">
      <c r="Y4206" s="48" t="str">
        <f ca="1">IF(AND('Planning Sheet'!CX259='Weeks Plan'!$D$6,'Planning Sheet'!CR259='Weeks Plan'!$G$6),'Planning Sheet'!$B259,"")</f>
        <v/>
      </c>
      <c r="Z4206" s="48" t="str">
        <f ca="1">IF(AND('Planning Sheet'!CX259='Weeks Plan'!$D$6,'Planning Sheet'!CR259='Weeks Plan'!$G$6),'Planning Sheet'!$CT259,"")</f>
        <v/>
      </c>
      <c r="AA4206" s="48" t="str">
        <f ca="1">IF(AND('Planning Sheet'!CX259='Weeks Plan'!$D$6,'Planning Sheet'!CR259='Weeks Plan'!$G$6),'Planning Sheet'!$CU259,"")</f>
        <v/>
      </c>
    </row>
    <row r="4207" spans="25:27" x14ac:dyDescent="0.3">
      <c r="Y4207" s="48" t="str">
        <f ca="1">IF(AND('Planning Sheet'!CX260='Weeks Plan'!$D$6,'Planning Sheet'!CR260='Weeks Plan'!$G$6),'Planning Sheet'!$B260,"")</f>
        <v/>
      </c>
      <c r="Z4207" s="48" t="str">
        <f ca="1">IF(AND('Planning Sheet'!CX260='Weeks Plan'!$D$6,'Planning Sheet'!CR260='Weeks Plan'!$G$6),'Planning Sheet'!$CT260,"")</f>
        <v/>
      </c>
      <c r="AA4207" s="48" t="str">
        <f ca="1">IF(AND('Planning Sheet'!CX260='Weeks Plan'!$D$6,'Planning Sheet'!CR260='Weeks Plan'!$G$6),'Planning Sheet'!$CU260,"")</f>
        <v/>
      </c>
    </row>
    <row r="4208" spans="25:27" x14ac:dyDescent="0.3">
      <c r="Y4208" s="48" t="str">
        <f ca="1">IF(AND('Planning Sheet'!CX261='Weeks Plan'!$D$6,'Planning Sheet'!CR261='Weeks Plan'!$G$6),'Planning Sheet'!$B261,"")</f>
        <v/>
      </c>
      <c r="Z4208" s="48" t="str">
        <f ca="1">IF(AND('Planning Sheet'!CX261='Weeks Plan'!$D$6,'Planning Sheet'!CR261='Weeks Plan'!$G$6),'Planning Sheet'!$CT261,"")</f>
        <v/>
      </c>
      <c r="AA4208" s="48" t="str">
        <f ca="1">IF(AND('Planning Sheet'!CX261='Weeks Plan'!$D$6,'Planning Sheet'!CR261='Weeks Plan'!$G$6),'Planning Sheet'!$CU261,"")</f>
        <v/>
      </c>
    </row>
    <row r="4209" spans="25:27" x14ac:dyDescent="0.3">
      <c r="Y4209" s="48" t="str">
        <f ca="1">IF(AND('Planning Sheet'!CX262='Weeks Plan'!$D$6,'Planning Sheet'!CR262='Weeks Plan'!$G$6),'Planning Sheet'!$B262,"")</f>
        <v/>
      </c>
      <c r="Z4209" s="48" t="str">
        <f ca="1">IF(AND('Planning Sheet'!CX262='Weeks Plan'!$D$6,'Planning Sheet'!CR262='Weeks Plan'!$G$6),'Planning Sheet'!$CT262,"")</f>
        <v/>
      </c>
      <c r="AA4209" s="48" t="str">
        <f ca="1">IF(AND('Planning Sheet'!CX262='Weeks Plan'!$D$6,'Planning Sheet'!CR262='Weeks Plan'!$G$6),'Planning Sheet'!$CU262,"")</f>
        <v/>
      </c>
    </row>
    <row r="4210" spans="25:27" x14ac:dyDescent="0.3">
      <c r="Y4210" s="48" t="str">
        <f ca="1">IF(AND('Planning Sheet'!CX263='Weeks Plan'!$D$6,'Planning Sheet'!CR263='Weeks Plan'!$G$6),'Planning Sheet'!$B263,"")</f>
        <v/>
      </c>
      <c r="Z4210" s="48" t="str">
        <f ca="1">IF(AND('Planning Sheet'!CX263='Weeks Plan'!$D$6,'Planning Sheet'!CR263='Weeks Plan'!$G$6),'Planning Sheet'!$CT263,"")</f>
        <v/>
      </c>
      <c r="AA4210" s="48" t="str">
        <f ca="1">IF(AND('Planning Sheet'!CX263='Weeks Plan'!$D$6,'Planning Sheet'!CR263='Weeks Plan'!$G$6),'Planning Sheet'!$CU263,"")</f>
        <v/>
      </c>
    </row>
    <row r="4211" spans="25:27" x14ac:dyDescent="0.3">
      <c r="Y4211" s="48" t="str">
        <f ca="1">IF(AND('Planning Sheet'!CX264='Weeks Plan'!$D$6,'Planning Sheet'!CR264='Weeks Plan'!$G$6),'Planning Sheet'!$B264,"")</f>
        <v/>
      </c>
      <c r="Z4211" s="48" t="str">
        <f ca="1">IF(AND('Planning Sheet'!CX264='Weeks Plan'!$D$6,'Planning Sheet'!CR264='Weeks Plan'!$G$6),'Planning Sheet'!$CT264,"")</f>
        <v/>
      </c>
      <c r="AA4211" s="48" t="str">
        <f ca="1">IF(AND('Planning Sheet'!CX264='Weeks Plan'!$D$6,'Planning Sheet'!CR264='Weeks Plan'!$G$6),'Planning Sheet'!$CU264,"")</f>
        <v/>
      </c>
    </row>
    <row r="4212" spans="25:27" x14ac:dyDescent="0.3">
      <c r="Y4212" s="48" t="str">
        <f ca="1">IF(AND('Planning Sheet'!CX265='Weeks Plan'!$D$6,'Planning Sheet'!CR265='Weeks Plan'!$G$6),'Planning Sheet'!$B265,"")</f>
        <v/>
      </c>
      <c r="Z4212" s="48" t="str">
        <f ca="1">IF(AND('Planning Sheet'!CX265='Weeks Plan'!$D$6,'Planning Sheet'!CR265='Weeks Plan'!$G$6),'Planning Sheet'!$CT265,"")</f>
        <v/>
      </c>
      <c r="AA4212" s="48" t="str">
        <f ca="1">IF(AND('Planning Sheet'!CX265='Weeks Plan'!$D$6,'Planning Sheet'!CR265='Weeks Plan'!$G$6),'Planning Sheet'!$CU265,"")</f>
        <v/>
      </c>
    </row>
    <row r="4213" spans="25:27" x14ac:dyDescent="0.3">
      <c r="Y4213" s="48" t="str">
        <f ca="1">IF(AND('Planning Sheet'!CX266='Weeks Plan'!$D$6,'Planning Sheet'!CR266='Weeks Plan'!$G$6),'Planning Sheet'!$B266,"")</f>
        <v/>
      </c>
      <c r="Z4213" s="48" t="str">
        <f ca="1">IF(AND('Planning Sheet'!CX266='Weeks Plan'!$D$6,'Planning Sheet'!CR266='Weeks Plan'!$G$6),'Planning Sheet'!$CT266,"")</f>
        <v/>
      </c>
      <c r="AA4213" s="48" t="str">
        <f ca="1">IF(AND('Planning Sheet'!CX266='Weeks Plan'!$D$6,'Planning Sheet'!CR266='Weeks Plan'!$G$6),'Planning Sheet'!$CU266,"")</f>
        <v/>
      </c>
    </row>
    <row r="4214" spans="25:27" x14ac:dyDescent="0.3">
      <c r="Y4214" s="48" t="str">
        <f ca="1">IF(AND('Planning Sheet'!CX267='Weeks Plan'!$D$6,'Planning Sheet'!CR267='Weeks Plan'!$G$6),'Planning Sheet'!$B267,"")</f>
        <v/>
      </c>
      <c r="Z4214" s="48" t="str">
        <f ca="1">IF(AND('Planning Sheet'!CX267='Weeks Plan'!$D$6,'Planning Sheet'!CR267='Weeks Plan'!$G$6),'Planning Sheet'!$CT267,"")</f>
        <v/>
      </c>
      <c r="AA4214" s="48" t="str">
        <f ca="1">IF(AND('Planning Sheet'!CX267='Weeks Plan'!$D$6,'Planning Sheet'!CR267='Weeks Plan'!$G$6),'Planning Sheet'!$CU267,"")</f>
        <v/>
      </c>
    </row>
    <row r="4215" spans="25:27" x14ac:dyDescent="0.3">
      <c r="Y4215" s="48" t="str">
        <f ca="1">IF(AND('Planning Sheet'!CX268='Weeks Plan'!$D$6,'Planning Sheet'!CR268='Weeks Plan'!$G$6),'Planning Sheet'!$B268,"")</f>
        <v/>
      </c>
      <c r="Z4215" s="48" t="str">
        <f ca="1">IF(AND('Planning Sheet'!CX268='Weeks Plan'!$D$6,'Planning Sheet'!CR268='Weeks Plan'!$G$6),'Planning Sheet'!$CT268,"")</f>
        <v/>
      </c>
      <c r="AA4215" s="48" t="str">
        <f ca="1">IF(AND('Planning Sheet'!CX268='Weeks Plan'!$D$6,'Planning Sheet'!CR268='Weeks Plan'!$G$6),'Planning Sheet'!$CU268,"")</f>
        <v/>
      </c>
    </row>
    <row r="4216" spans="25:27" x14ac:dyDescent="0.3">
      <c r="Y4216" s="48" t="str">
        <f ca="1">IF(AND('Planning Sheet'!CX269='Weeks Plan'!$D$6,'Planning Sheet'!CR269='Weeks Plan'!$G$6),'Planning Sheet'!$B269,"")</f>
        <v/>
      </c>
      <c r="Z4216" s="48" t="str">
        <f ca="1">IF(AND('Planning Sheet'!CX269='Weeks Plan'!$D$6,'Planning Sheet'!CR269='Weeks Plan'!$G$6),'Planning Sheet'!$CT269,"")</f>
        <v/>
      </c>
      <c r="AA4216" s="48" t="str">
        <f ca="1">IF(AND('Planning Sheet'!CX269='Weeks Plan'!$D$6,'Planning Sheet'!CR269='Weeks Plan'!$G$6),'Planning Sheet'!$CU269,"")</f>
        <v/>
      </c>
    </row>
    <row r="4217" spans="25:27" x14ac:dyDescent="0.3">
      <c r="Y4217" s="48" t="str">
        <f ca="1">IF(AND('Planning Sheet'!CX270='Weeks Plan'!$D$6,'Planning Sheet'!CR270='Weeks Plan'!$G$6),'Planning Sheet'!$B270,"")</f>
        <v/>
      </c>
      <c r="Z4217" s="48" t="str">
        <f ca="1">IF(AND('Planning Sheet'!CX270='Weeks Plan'!$D$6,'Planning Sheet'!CR270='Weeks Plan'!$G$6),'Planning Sheet'!$CT270,"")</f>
        <v/>
      </c>
      <c r="AA4217" s="48" t="str">
        <f ca="1">IF(AND('Planning Sheet'!CX270='Weeks Plan'!$D$6,'Planning Sheet'!CR270='Weeks Plan'!$G$6),'Planning Sheet'!$CU270,"")</f>
        <v/>
      </c>
    </row>
    <row r="4218" spans="25:27" x14ac:dyDescent="0.3">
      <c r="Y4218" s="48" t="str">
        <f ca="1">IF(AND('Planning Sheet'!CX271='Weeks Plan'!$D$6,'Planning Sheet'!CR271='Weeks Plan'!$G$6),'Planning Sheet'!$B271,"")</f>
        <v/>
      </c>
      <c r="Z4218" s="48" t="str">
        <f ca="1">IF(AND('Planning Sheet'!CX271='Weeks Plan'!$D$6,'Planning Sheet'!CR271='Weeks Plan'!$G$6),'Planning Sheet'!$CT271,"")</f>
        <v/>
      </c>
      <c r="AA4218" s="48" t="str">
        <f ca="1">IF(AND('Planning Sheet'!CX271='Weeks Plan'!$D$6,'Planning Sheet'!CR271='Weeks Plan'!$G$6),'Planning Sheet'!$CU271,"")</f>
        <v/>
      </c>
    </row>
    <row r="4219" spans="25:27" x14ac:dyDescent="0.3">
      <c r="Y4219" s="48" t="str">
        <f ca="1">IF(AND('Planning Sheet'!CX272='Weeks Plan'!$D$6,'Planning Sheet'!CR272='Weeks Plan'!$G$6),'Planning Sheet'!$B272,"")</f>
        <v/>
      </c>
      <c r="Z4219" s="48" t="str">
        <f ca="1">IF(AND('Planning Sheet'!CX272='Weeks Plan'!$D$6,'Planning Sheet'!CR272='Weeks Plan'!$G$6),'Planning Sheet'!$CT272,"")</f>
        <v/>
      </c>
      <c r="AA4219" s="48" t="str">
        <f ca="1">IF(AND('Planning Sheet'!CX272='Weeks Plan'!$D$6,'Planning Sheet'!CR272='Weeks Plan'!$G$6),'Planning Sheet'!$CU272,"")</f>
        <v/>
      </c>
    </row>
    <row r="4220" spans="25:27" x14ac:dyDescent="0.3">
      <c r="Y4220" s="48" t="str">
        <f ca="1">IF(AND('Planning Sheet'!CX273='Weeks Plan'!$D$6,'Planning Sheet'!CR273='Weeks Plan'!$G$6),'Planning Sheet'!$B273,"")</f>
        <v/>
      </c>
      <c r="Z4220" s="48" t="str">
        <f ca="1">IF(AND('Planning Sheet'!CX273='Weeks Plan'!$D$6,'Planning Sheet'!CR273='Weeks Plan'!$G$6),'Planning Sheet'!$CT273,"")</f>
        <v/>
      </c>
      <c r="AA4220" s="48" t="str">
        <f ca="1">IF(AND('Planning Sheet'!CX273='Weeks Plan'!$D$6,'Planning Sheet'!CR273='Weeks Plan'!$G$6),'Planning Sheet'!$CU273,"")</f>
        <v/>
      </c>
    </row>
    <row r="4221" spans="25:27" x14ac:dyDescent="0.3">
      <c r="Y4221" s="48" t="str">
        <f ca="1">IF(AND('Planning Sheet'!CX274='Weeks Plan'!$D$6,'Planning Sheet'!CR274='Weeks Plan'!$G$6),'Planning Sheet'!$B274,"")</f>
        <v/>
      </c>
      <c r="Z4221" s="48" t="str">
        <f ca="1">IF(AND('Planning Sheet'!CX274='Weeks Plan'!$D$6,'Planning Sheet'!CR274='Weeks Plan'!$G$6),'Planning Sheet'!$CT274,"")</f>
        <v/>
      </c>
      <c r="AA4221" s="48" t="str">
        <f ca="1">IF(AND('Planning Sheet'!CX274='Weeks Plan'!$D$6,'Planning Sheet'!CR274='Weeks Plan'!$G$6),'Planning Sheet'!$CU274,"")</f>
        <v/>
      </c>
    </row>
    <row r="4222" spans="25:27" x14ac:dyDescent="0.3">
      <c r="Y4222" s="48" t="str">
        <f ca="1">IF(AND('Planning Sheet'!CX275='Weeks Plan'!$D$6,'Planning Sheet'!CR275='Weeks Plan'!$G$6),'Planning Sheet'!$B275,"")</f>
        <v/>
      </c>
      <c r="Z4222" s="48" t="str">
        <f ca="1">IF(AND('Planning Sheet'!CX275='Weeks Plan'!$D$6,'Planning Sheet'!CR275='Weeks Plan'!$G$6),'Planning Sheet'!$CT275,"")</f>
        <v/>
      </c>
      <c r="AA4222" s="48" t="str">
        <f ca="1">IF(AND('Planning Sheet'!CX275='Weeks Plan'!$D$6,'Planning Sheet'!CR275='Weeks Plan'!$G$6),'Planning Sheet'!$CU275,"")</f>
        <v/>
      </c>
    </row>
    <row r="4223" spans="25:27" x14ac:dyDescent="0.3">
      <c r="Y4223" s="48" t="str">
        <f ca="1">IF(AND('Planning Sheet'!CX276='Weeks Plan'!$D$6,'Planning Sheet'!CR276='Weeks Plan'!$G$6),'Planning Sheet'!$B276,"")</f>
        <v/>
      </c>
      <c r="Z4223" s="48" t="str">
        <f ca="1">IF(AND('Planning Sheet'!CX276='Weeks Plan'!$D$6,'Planning Sheet'!CR276='Weeks Plan'!$G$6),'Planning Sheet'!$CT276,"")</f>
        <v/>
      </c>
      <c r="AA4223" s="48" t="str">
        <f ca="1">IF(AND('Planning Sheet'!CX276='Weeks Plan'!$D$6,'Planning Sheet'!CR276='Weeks Plan'!$G$6),'Planning Sheet'!$CU276,"")</f>
        <v/>
      </c>
    </row>
    <row r="4224" spans="25:27" x14ac:dyDescent="0.3">
      <c r="Y4224" s="48" t="str">
        <f ca="1">IF(AND('Planning Sheet'!CX277='Weeks Plan'!$D$6,'Planning Sheet'!CR277='Weeks Plan'!$G$6),'Planning Sheet'!$B277,"")</f>
        <v/>
      </c>
      <c r="Z4224" s="48" t="str">
        <f ca="1">IF(AND('Planning Sheet'!CX277='Weeks Plan'!$D$6,'Planning Sheet'!CR277='Weeks Plan'!$G$6),'Planning Sheet'!$CT277,"")</f>
        <v/>
      </c>
      <c r="AA4224" s="48" t="str">
        <f ca="1">IF(AND('Planning Sheet'!CX277='Weeks Plan'!$D$6,'Planning Sheet'!CR277='Weeks Plan'!$G$6),'Planning Sheet'!$CU277,"")</f>
        <v/>
      </c>
    </row>
    <row r="4225" spans="25:27" x14ac:dyDescent="0.3">
      <c r="Y4225" s="48" t="str">
        <f ca="1">IF(AND('Planning Sheet'!CX278='Weeks Plan'!$D$6,'Planning Sheet'!CR278='Weeks Plan'!$G$6),'Planning Sheet'!$B278,"")</f>
        <v/>
      </c>
      <c r="Z4225" s="48" t="str">
        <f ca="1">IF(AND('Planning Sheet'!CX278='Weeks Plan'!$D$6,'Planning Sheet'!CR278='Weeks Plan'!$G$6),'Planning Sheet'!$CT278,"")</f>
        <v/>
      </c>
      <c r="AA4225" s="48" t="str">
        <f ca="1">IF(AND('Planning Sheet'!CX278='Weeks Plan'!$D$6,'Planning Sheet'!CR278='Weeks Plan'!$G$6),'Planning Sheet'!$CU278,"")</f>
        <v/>
      </c>
    </row>
    <row r="4226" spans="25:27" x14ac:dyDescent="0.3">
      <c r="Y4226" s="48" t="str">
        <f ca="1">IF(AND('Planning Sheet'!CX279='Weeks Plan'!$D$6,'Planning Sheet'!CR279='Weeks Plan'!$G$6),'Planning Sheet'!$B279,"")</f>
        <v/>
      </c>
      <c r="Z4226" s="48" t="str">
        <f ca="1">IF(AND('Planning Sheet'!CX279='Weeks Plan'!$D$6,'Planning Sheet'!CR279='Weeks Plan'!$G$6),'Planning Sheet'!$CT279,"")</f>
        <v/>
      </c>
      <c r="AA4226" s="48" t="str">
        <f ca="1">IF(AND('Planning Sheet'!CX279='Weeks Plan'!$D$6,'Planning Sheet'!CR279='Weeks Plan'!$G$6),'Planning Sheet'!$CU279,"")</f>
        <v/>
      </c>
    </row>
    <row r="4227" spans="25:27" x14ac:dyDescent="0.3">
      <c r="Y4227" s="48" t="str">
        <f ca="1">IF(AND('Planning Sheet'!CX280='Weeks Plan'!$D$6,'Planning Sheet'!CR280='Weeks Plan'!$G$6),'Planning Sheet'!$B280,"")</f>
        <v/>
      </c>
      <c r="Z4227" s="48" t="str">
        <f ca="1">IF(AND('Planning Sheet'!CX280='Weeks Plan'!$D$6,'Planning Sheet'!CR280='Weeks Plan'!$G$6),'Planning Sheet'!$CT280,"")</f>
        <v/>
      </c>
      <c r="AA4227" s="48" t="str">
        <f ca="1">IF(AND('Planning Sheet'!CX280='Weeks Plan'!$D$6,'Planning Sheet'!CR280='Weeks Plan'!$G$6),'Planning Sheet'!$CU280,"")</f>
        <v/>
      </c>
    </row>
    <row r="4228" spans="25:27" x14ac:dyDescent="0.3">
      <c r="Y4228" s="48" t="str">
        <f ca="1">IF(AND('Planning Sheet'!CX281='Weeks Plan'!$D$6,'Planning Sheet'!CR281='Weeks Plan'!$G$6),'Planning Sheet'!$B281,"")</f>
        <v/>
      </c>
      <c r="Z4228" s="48" t="str">
        <f ca="1">IF(AND('Planning Sheet'!CX281='Weeks Plan'!$D$6,'Planning Sheet'!CR281='Weeks Plan'!$G$6),'Planning Sheet'!$CT281,"")</f>
        <v/>
      </c>
      <c r="AA4228" s="48" t="str">
        <f ca="1">IF(AND('Planning Sheet'!CX281='Weeks Plan'!$D$6,'Planning Sheet'!CR281='Weeks Plan'!$G$6),'Planning Sheet'!$CU281,"")</f>
        <v/>
      </c>
    </row>
    <row r="4229" spans="25:27" x14ac:dyDescent="0.3">
      <c r="Y4229" s="48" t="str">
        <f ca="1">IF(AND('Planning Sheet'!CX282='Weeks Plan'!$D$6,'Planning Sheet'!CR282='Weeks Plan'!$G$6),'Planning Sheet'!$B282,"")</f>
        <v/>
      </c>
      <c r="Z4229" s="48" t="str">
        <f ca="1">IF(AND('Planning Sheet'!CX282='Weeks Plan'!$D$6,'Planning Sheet'!CR282='Weeks Plan'!$G$6),'Planning Sheet'!$CT282,"")</f>
        <v/>
      </c>
      <c r="AA4229" s="48" t="str">
        <f ca="1">IF(AND('Planning Sheet'!CX282='Weeks Plan'!$D$6,'Planning Sheet'!CR282='Weeks Plan'!$G$6),'Planning Sheet'!$CU282,"")</f>
        <v/>
      </c>
    </row>
    <row r="4230" spans="25:27" x14ac:dyDescent="0.3">
      <c r="Y4230" s="48" t="str">
        <f ca="1">IF(AND('Planning Sheet'!CX283='Weeks Plan'!$D$6,'Planning Sheet'!CR283='Weeks Plan'!$G$6),'Planning Sheet'!$B283,"")</f>
        <v/>
      </c>
      <c r="Z4230" s="48" t="str">
        <f ca="1">IF(AND('Planning Sheet'!CX283='Weeks Plan'!$D$6,'Planning Sheet'!CR283='Weeks Plan'!$G$6),'Planning Sheet'!$CT283,"")</f>
        <v/>
      </c>
      <c r="AA4230" s="48" t="str">
        <f ca="1">IF(AND('Planning Sheet'!CX283='Weeks Plan'!$D$6,'Planning Sheet'!CR283='Weeks Plan'!$G$6),'Planning Sheet'!$CU283,"")</f>
        <v/>
      </c>
    </row>
    <row r="4231" spans="25:27" x14ac:dyDescent="0.3">
      <c r="Y4231" s="48" t="str">
        <f ca="1">IF(AND('Planning Sheet'!CX284='Weeks Plan'!$D$6,'Planning Sheet'!CR284='Weeks Plan'!$G$6),'Planning Sheet'!$B284,"")</f>
        <v/>
      </c>
      <c r="Z4231" s="48" t="str">
        <f ca="1">IF(AND('Planning Sheet'!CX284='Weeks Plan'!$D$6,'Planning Sheet'!CR284='Weeks Plan'!$G$6),'Planning Sheet'!$CT284,"")</f>
        <v/>
      </c>
      <c r="AA4231" s="48" t="str">
        <f ca="1">IF(AND('Planning Sheet'!CX284='Weeks Plan'!$D$6,'Planning Sheet'!CR284='Weeks Plan'!$G$6),'Planning Sheet'!$CU284,"")</f>
        <v/>
      </c>
    </row>
    <row r="4232" spans="25:27" x14ac:dyDescent="0.3">
      <c r="Y4232" s="48" t="str">
        <f ca="1">IF(AND('Planning Sheet'!CX285='Weeks Plan'!$D$6,'Planning Sheet'!CR285='Weeks Plan'!$G$6),'Planning Sheet'!$B285,"")</f>
        <v/>
      </c>
      <c r="Z4232" s="48" t="str">
        <f ca="1">IF(AND('Planning Sheet'!CX285='Weeks Plan'!$D$6,'Planning Sheet'!CR285='Weeks Plan'!$G$6),'Planning Sheet'!$CT285,"")</f>
        <v/>
      </c>
      <c r="AA4232" s="48" t="str">
        <f ca="1">IF(AND('Planning Sheet'!CX285='Weeks Plan'!$D$6,'Planning Sheet'!CR285='Weeks Plan'!$G$6),'Planning Sheet'!$CU285,"")</f>
        <v/>
      </c>
    </row>
    <row r="4233" spans="25:27" x14ac:dyDescent="0.3">
      <c r="Y4233" s="48" t="str">
        <f ca="1">IF(AND('Planning Sheet'!CX286='Weeks Plan'!$D$6,'Planning Sheet'!CR286='Weeks Plan'!$G$6),'Planning Sheet'!$B286,"")</f>
        <v/>
      </c>
      <c r="Z4233" s="48" t="str">
        <f ca="1">IF(AND('Planning Sheet'!CX286='Weeks Plan'!$D$6,'Planning Sheet'!CR286='Weeks Plan'!$G$6),'Planning Sheet'!$CT286,"")</f>
        <v/>
      </c>
      <c r="AA4233" s="48" t="str">
        <f ca="1">IF(AND('Planning Sheet'!CX286='Weeks Plan'!$D$6,'Planning Sheet'!CR286='Weeks Plan'!$G$6),'Planning Sheet'!$CU286,"")</f>
        <v/>
      </c>
    </row>
    <row r="4234" spans="25:27" x14ac:dyDescent="0.3">
      <c r="Y4234" s="48" t="str">
        <f ca="1">IF(AND('Planning Sheet'!CX287='Weeks Plan'!$D$6,'Planning Sheet'!CR287='Weeks Plan'!$G$6),'Planning Sheet'!$B287,"")</f>
        <v/>
      </c>
      <c r="Z4234" s="48" t="str">
        <f ca="1">IF(AND('Planning Sheet'!CX287='Weeks Plan'!$D$6,'Planning Sheet'!CR287='Weeks Plan'!$G$6),'Planning Sheet'!$CT287,"")</f>
        <v/>
      </c>
      <c r="AA4234" s="48" t="str">
        <f ca="1">IF(AND('Planning Sheet'!CX287='Weeks Plan'!$D$6,'Planning Sheet'!CR287='Weeks Plan'!$G$6),'Planning Sheet'!$CU287,"")</f>
        <v/>
      </c>
    </row>
    <row r="4235" spans="25:27" x14ac:dyDescent="0.3">
      <c r="Y4235" s="48" t="str">
        <f ca="1">IF(AND('Planning Sheet'!CX288='Weeks Plan'!$D$6,'Planning Sheet'!CR288='Weeks Plan'!$G$6),'Planning Sheet'!$B288,"")</f>
        <v/>
      </c>
      <c r="Z4235" s="48" t="str">
        <f ca="1">IF(AND('Planning Sheet'!CX288='Weeks Plan'!$D$6,'Planning Sheet'!CR288='Weeks Plan'!$G$6),'Planning Sheet'!$CT288,"")</f>
        <v/>
      </c>
      <c r="AA4235" s="48" t="str">
        <f ca="1">IF(AND('Planning Sheet'!CX288='Weeks Plan'!$D$6,'Planning Sheet'!CR288='Weeks Plan'!$G$6),'Planning Sheet'!$CU288,"")</f>
        <v/>
      </c>
    </row>
    <row r="4236" spans="25:27" x14ac:dyDescent="0.3">
      <c r="Y4236" s="48" t="str">
        <f ca="1">IF(AND('Planning Sheet'!CX289='Weeks Plan'!$D$6,'Planning Sheet'!CR289='Weeks Plan'!$G$6),'Planning Sheet'!$B289,"")</f>
        <v/>
      </c>
      <c r="Z4236" s="48" t="str">
        <f ca="1">IF(AND('Planning Sheet'!CX289='Weeks Plan'!$D$6,'Planning Sheet'!CR289='Weeks Plan'!$G$6),'Planning Sheet'!$CT289,"")</f>
        <v/>
      </c>
      <c r="AA4236" s="48" t="str">
        <f ca="1">IF(AND('Planning Sheet'!CX289='Weeks Plan'!$D$6,'Planning Sheet'!CR289='Weeks Plan'!$G$6),'Planning Sheet'!$CU289,"")</f>
        <v/>
      </c>
    </row>
    <row r="4237" spans="25:27" x14ac:dyDescent="0.3">
      <c r="Y4237" s="48" t="str">
        <f ca="1">IF(AND('Planning Sheet'!CX290='Weeks Plan'!$D$6,'Planning Sheet'!CR290='Weeks Plan'!$G$6),'Planning Sheet'!$B290,"")</f>
        <v/>
      </c>
      <c r="Z4237" s="48" t="str">
        <f ca="1">IF(AND('Planning Sheet'!CX290='Weeks Plan'!$D$6,'Planning Sheet'!CR290='Weeks Plan'!$G$6),'Planning Sheet'!$CT290,"")</f>
        <v/>
      </c>
      <c r="AA4237" s="48" t="str">
        <f ca="1">IF(AND('Planning Sheet'!CX290='Weeks Plan'!$D$6,'Planning Sheet'!CR290='Weeks Plan'!$G$6),'Planning Sheet'!$CU290,"")</f>
        <v/>
      </c>
    </row>
    <row r="4238" spans="25:27" x14ac:dyDescent="0.3">
      <c r="Y4238" s="48" t="str">
        <f ca="1">IF(AND('Planning Sheet'!CX291='Weeks Plan'!$D$6,'Planning Sheet'!CR291='Weeks Plan'!$G$6),'Planning Sheet'!$B291,"")</f>
        <v/>
      </c>
      <c r="Z4238" s="48" t="str">
        <f ca="1">IF(AND('Planning Sheet'!CX291='Weeks Plan'!$D$6,'Planning Sheet'!CR291='Weeks Plan'!$G$6),'Planning Sheet'!$CT291,"")</f>
        <v/>
      </c>
      <c r="AA4238" s="48" t="str">
        <f ca="1">IF(AND('Planning Sheet'!CX291='Weeks Plan'!$D$6,'Planning Sheet'!CR291='Weeks Plan'!$G$6),'Planning Sheet'!$CU291,"")</f>
        <v/>
      </c>
    </row>
    <row r="4239" spans="25:27" x14ac:dyDescent="0.3">
      <c r="Y4239" s="48" t="str">
        <f ca="1">IF(AND('Planning Sheet'!CX292='Weeks Plan'!$D$6,'Planning Sheet'!CR292='Weeks Plan'!$G$6),'Planning Sheet'!$B292,"")</f>
        <v/>
      </c>
      <c r="Z4239" s="48" t="str">
        <f ca="1">IF(AND('Planning Sheet'!CX292='Weeks Plan'!$D$6,'Planning Sheet'!CR292='Weeks Plan'!$G$6),'Planning Sheet'!$CT292,"")</f>
        <v/>
      </c>
      <c r="AA4239" s="48" t="str">
        <f ca="1">IF(AND('Planning Sheet'!CX292='Weeks Plan'!$D$6,'Planning Sheet'!CR292='Weeks Plan'!$G$6),'Planning Sheet'!$CU292,"")</f>
        <v/>
      </c>
    </row>
    <row r="4240" spans="25:27" x14ac:dyDescent="0.3">
      <c r="Y4240" s="48" t="str">
        <f ca="1">IF(AND('Planning Sheet'!CX293='Weeks Plan'!$D$6,'Planning Sheet'!CR293='Weeks Plan'!$G$6),'Planning Sheet'!$B293,"")</f>
        <v/>
      </c>
      <c r="Z4240" s="48" t="str">
        <f ca="1">IF(AND('Planning Sheet'!CX293='Weeks Plan'!$D$6,'Planning Sheet'!CR293='Weeks Plan'!$G$6),'Planning Sheet'!$CT293,"")</f>
        <v/>
      </c>
      <c r="AA4240" s="48" t="str">
        <f ca="1">IF(AND('Planning Sheet'!CX293='Weeks Plan'!$D$6,'Planning Sheet'!CR293='Weeks Plan'!$G$6),'Planning Sheet'!$CU293,"")</f>
        <v/>
      </c>
    </row>
    <row r="4241" spans="25:27" x14ac:dyDescent="0.3">
      <c r="Y4241" s="48" t="str">
        <f ca="1">IF(AND('Planning Sheet'!CX294='Weeks Plan'!$D$6,'Planning Sheet'!CR294='Weeks Plan'!$G$6),'Planning Sheet'!$B294,"")</f>
        <v/>
      </c>
      <c r="Z4241" s="48" t="str">
        <f ca="1">IF(AND('Planning Sheet'!CX294='Weeks Plan'!$D$6,'Planning Sheet'!CR294='Weeks Plan'!$G$6),'Planning Sheet'!$CT294,"")</f>
        <v/>
      </c>
      <c r="AA4241" s="48" t="str">
        <f ca="1">IF(AND('Planning Sheet'!CX294='Weeks Plan'!$D$6,'Planning Sheet'!CR294='Weeks Plan'!$G$6),'Planning Sheet'!$CU294,"")</f>
        <v/>
      </c>
    </row>
    <row r="4242" spans="25:27" x14ac:dyDescent="0.3">
      <c r="Y4242" s="48" t="str">
        <f ca="1">IF(AND('Planning Sheet'!CX295='Weeks Plan'!$D$6,'Planning Sheet'!CR295='Weeks Plan'!$G$6),'Planning Sheet'!$B295,"")</f>
        <v/>
      </c>
      <c r="Z4242" s="48" t="str">
        <f ca="1">IF(AND('Planning Sheet'!CX295='Weeks Plan'!$D$6,'Planning Sheet'!CR295='Weeks Plan'!$G$6),'Planning Sheet'!$CT295,"")</f>
        <v/>
      </c>
      <c r="AA4242" s="48" t="str">
        <f ca="1">IF(AND('Planning Sheet'!CX295='Weeks Plan'!$D$6,'Planning Sheet'!CR295='Weeks Plan'!$G$6),'Planning Sheet'!$CU295,"")</f>
        <v/>
      </c>
    </row>
    <row r="4243" spans="25:27" x14ac:dyDescent="0.3">
      <c r="Y4243" s="48" t="str">
        <f ca="1">IF(AND('Planning Sheet'!CX296='Weeks Plan'!$D$6,'Planning Sheet'!CR296='Weeks Plan'!$G$6),'Planning Sheet'!$B296,"")</f>
        <v/>
      </c>
      <c r="Z4243" s="48" t="str">
        <f ca="1">IF(AND('Planning Sheet'!CX296='Weeks Plan'!$D$6,'Planning Sheet'!CR296='Weeks Plan'!$G$6),'Planning Sheet'!$CT296,"")</f>
        <v/>
      </c>
      <c r="AA4243" s="48" t="str">
        <f ca="1">IF(AND('Planning Sheet'!CX296='Weeks Plan'!$D$6,'Planning Sheet'!CR296='Weeks Plan'!$G$6),'Planning Sheet'!$CU296,"")</f>
        <v/>
      </c>
    </row>
    <row r="4244" spans="25:27" x14ac:dyDescent="0.3">
      <c r="Y4244" s="48" t="str">
        <f ca="1">IF(AND('Planning Sheet'!CX297='Weeks Plan'!$D$6,'Planning Sheet'!CR297='Weeks Plan'!$G$6),'Planning Sheet'!$B297,"")</f>
        <v/>
      </c>
      <c r="Z4244" s="48" t="str">
        <f ca="1">IF(AND('Planning Sheet'!CX297='Weeks Plan'!$D$6,'Planning Sheet'!CR297='Weeks Plan'!$G$6),'Planning Sheet'!$CT297,"")</f>
        <v/>
      </c>
      <c r="AA4244" s="48" t="str">
        <f ca="1">IF(AND('Planning Sheet'!CX297='Weeks Plan'!$D$6,'Planning Sheet'!CR297='Weeks Plan'!$G$6),'Planning Sheet'!$CU297,"")</f>
        <v/>
      </c>
    </row>
    <row r="4245" spans="25:27" x14ac:dyDescent="0.3">
      <c r="Y4245" s="48" t="str">
        <f ca="1">IF(AND('Planning Sheet'!CX298='Weeks Plan'!$D$6,'Planning Sheet'!CR298='Weeks Plan'!$G$6),'Planning Sheet'!$B298,"")</f>
        <v/>
      </c>
      <c r="Z4245" s="48" t="str">
        <f ca="1">IF(AND('Planning Sheet'!CX298='Weeks Plan'!$D$6,'Planning Sheet'!CR298='Weeks Plan'!$G$6),'Planning Sheet'!$CT298,"")</f>
        <v/>
      </c>
      <c r="AA4245" s="48" t="str">
        <f ca="1">IF(AND('Planning Sheet'!CX298='Weeks Plan'!$D$6,'Planning Sheet'!CR298='Weeks Plan'!$G$6),'Planning Sheet'!$CU298,"")</f>
        <v/>
      </c>
    </row>
    <row r="4246" spans="25:27" x14ac:dyDescent="0.3">
      <c r="Y4246" s="48" t="str">
        <f ca="1">IF(AND('Planning Sheet'!CX299='Weeks Plan'!$D$6,'Planning Sheet'!CR299='Weeks Plan'!$G$6),'Planning Sheet'!$B299,"")</f>
        <v/>
      </c>
      <c r="Z4246" s="48" t="str">
        <f ca="1">IF(AND('Planning Sheet'!CX299='Weeks Plan'!$D$6,'Planning Sheet'!CR299='Weeks Plan'!$G$6),'Planning Sheet'!$CT299,"")</f>
        <v/>
      </c>
      <c r="AA4246" s="48" t="str">
        <f ca="1">IF(AND('Planning Sheet'!CX299='Weeks Plan'!$D$6,'Planning Sheet'!CR299='Weeks Plan'!$G$6),'Planning Sheet'!$CU299,"")</f>
        <v/>
      </c>
    </row>
    <row r="4247" spans="25:27" x14ac:dyDescent="0.3">
      <c r="Y4247" s="48" t="str">
        <f ca="1">IF(AND('Planning Sheet'!CX300='Weeks Plan'!$D$6,'Planning Sheet'!CR300='Weeks Plan'!$G$6),'Planning Sheet'!$B300,"")</f>
        <v/>
      </c>
      <c r="Z4247" s="48" t="str">
        <f ca="1">IF(AND('Planning Sheet'!CX300='Weeks Plan'!$D$6,'Planning Sheet'!CR300='Weeks Plan'!$G$6),'Planning Sheet'!$CT300,"")</f>
        <v/>
      </c>
      <c r="AA4247" s="48" t="str">
        <f ca="1">IF(AND('Planning Sheet'!CX300='Weeks Plan'!$D$6,'Planning Sheet'!CR300='Weeks Plan'!$G$6),'Planning Sheet'!$CU300,"")</f>
        <v/>
      </c>
    </row>
    <row r="4248" spans="25:27" x14ac:dyDescent="0.3">
      <c r="Y4248" s="48" t="str">
        <f ca="1">IF(AND('Planning Sheet'!CX301='Weeks Plan'!$D$6,'Planning Sheet'!CR301='Weeks Plan'!$G$6),'Planning Sheet'!$B301,"")</f>
        <v/>
      </c>
      <c r="Z4248" s="48" t="str">
        <f ca="1">IF(AND('Planning Sheet'!CX301='Weeks Plan'!$D$6,'Planning Sheet'!CR301='Weeks Plan'!$G$6),'Planning Sheet'!$CT301,"")</f>
        <v/>
      </c>
      <c r="AA4248" s="48" t="str">
        <f ca="1">IF(AND('Planning Sheet'!CX301='Weeks Plan'!$D$6,'Planning Sheet'!CR301='Weeks Plan'!$G$6),'Planning Sheet'!$CU301,"")</f>
        <v/>
      </c>
    </row>
    <row r="4249" spans="25:27" x14ac:dyDescent="0.3">
      <c r="Y4249" s="48" t="str">
        <f ca="1">IF(AND('Planning Sheet'!CX302='Weeks Plan'!$D$6,'Planning Sheet'!CR302='Weeks Plan'!$G$6),'Planning Sheet'!$B302,"")</f>
        <v/>
      </c>
      <c r="Z4249" s="48" t="str">
        <f ca="1">IF(AND('Planning Sheet'!CX302='Weeks Plan'!$D$6,'Planning Sheet'!CR302='Weeks Plan'!$G$6),'Planning Sheet'!$CT302,"")</f>
        <v/>
      </c>
      <c r="AA4249" s="48" t="str">
        <f ca="1">IF(AND('Planning Sheet'!CX302='Weeks Plan'!$D$6,'Planning Sheet'!CR302='Weeks Plan'!$G$6),'Planning Sheet'!$CU302,"")</f>
        <v/>
      </c>
    </row>
    <row r="4250" spans="25:27" x14ac:dyDescent="0.3">
      <c r="Y4250" s="48" t="str">
        <f ca="1">IF(AND('Planning Sheet'!CX303='Weeks Plan'!$D$6,'Planning Sheet'!CR303='Weeks Plan'!$G$6),'Planning Sheet'!$B303,"")</f>
        <v/>
      </c>
      <c r="Z4250" s="48" t="str">
        <f ca="1">IF(AND('Planning Sheet'!CX303='Weeks Plan'!$D$6,'Planning Sheet'!CR303='Weeks Plan'!$G$6),'Planning Sheet'!$CT303,"")</f>
        <v/>
      </c>
      <c r="AA4250" s="48" t="str">
        <f ca="1">IF(AND('Planning Sheet'!CX303='Weeks Plan'!$D$6,'Planning Sheet'!CR303='Weeks Plan'!$G$6),'Planning Sheet'!$CU303,"")</f>
        <v/>
      </c>
    </row>
    <row r="4251" spans="25:27" x14ac:dyDescent="0.3">
      <c r="Y4251" s="48" t="str">
        <f ca="1">IF(AND('Planning Sheet'!CX304='Weeks Plan'!$D$6,'Planning Sheet'!CR304='Weeks Plan'!$G$6),'Planning Sheet'!$B304,"")</f>
        <v/>
      </c>
      <c r="Z4251" s="48" t="str">
        <f ca="1">IF(AND('Planning Sheet'!CX304='Weeks Plan'!$D$6,'Planning Sheet'!CR304='Weeks Plan'!$G$6),'Planning Sheet'!$CT304,"")</f>
        <v/>
      </c>
      <c r="AA4251" s="48" t="str">
        <f ca="1">IF(AND('Planning Sheet'!CX304='Weeks Plan'!$D$6,'Planning Sheet'!CR304='Weeks Plan'!$G$6),'Planning Sheet'!$CU304,"")</f>
        <v/>
      </c>
    </row>
    <row r="4252" spans="25:27" x14ac:dyDescent="0.3">
      <c r="Y4252" s="48" t="str">
        <f ca="1">IF(AND('Planning Sheet'!CX305='Weeks Plan'!$D$6,'Planning Sheet'!CR305='Weeks Plan'!$G$6),'Planning Sheet'!$B305,"")</f>
        <v/>
      </c>
      <c r="Z4252" s="48" t="str">
        <f ca="1">IF(AND('Planning Sheet'!CX305='Weeks Plan'!$D$6,'Planning Sheet'!CR305='Weeks Plan'!$G$6),'Planning Sheet'!$CT305,"")</f>
        <v/>
      </c>
      <c r="AA4252" s="48" t="str">
        <f ca="1">IF(AND('Planning Sheet'!CX305='Weeks Plan'!$D$6,'Planning Sheet'!CR305='Weeks Plan'!$G$6),'Planning Sheet'!$CU305,"")</f>
        <v/>
      </c>
    </row>
    <row r="4253" spans="25:27" x14ac:dyDescent="0.3">
      <c r="Y4253" s="48" t="str">
        <f ca="1">IF(AND('Planning Sheet'!CX306='Weeks Plan'!$D$6,'Planning Sheet'!CR306='Weeks Plan'!$G$6),'Planning Sheet'!$B306,"")</f>
        <v/>
      </c>
      <c r="Z4253" s="48" t="str">
        <f ca="1">IF(AND('Planning Sheet'!CX306='Weeks Plan'!$D$6,'Planning Sheet'!CR306='Weeks Plan'!$G$6),'Planning Sheet'!$CT306,"")</f>
        <v/>
      </c>
      <c r="AA4253" s="48" t="str">
        <f ca="1">IF(AND('Planning Sheet'!CX306='Weeks Plan'!$D$6,'Planning Sheet'!CR306='Weeks Plan'!$G$6),'Planning Sheet'!$CU306,"")</f>
        <v/>
      </c>
    </row>
    <row r="4254" spans="25:27" x14ac:dyDescent="0.3">
      <c r="Y4254" s="48" t="str">
        <f ca="1">IF(AND('Planning Sheet'!CX307='Weeks Plan'!$D$6,'Planning Sheet'!CR307='Weeks Plan'!$G$6),'Planning Sheet'!$B307,"")</f>
        <v/>
      </c>
      <c r="Z4254" s="48" t="str">
        <f ca="1">IF(AND('Planning Sheet'!CX307='Weeks Plan'!$D$6,'Planning Sheet'!CR307='Weeks Plan'!$G$6),'Planning Sheet'!$CT307,"")</f>
        <v/>
      </c>
      <c r="AA4254" s="48" t="str">
        <f ca="1">IF(AND('Planning Sheet'!CX307='Weeks Plan'!$D$6,'Planning Sheet'!CR307='Weeks Plan'!$G$6),'Planning Sheet'!$CU307,"")</f>
        <v/>
      </c>
    </row>
    <row r="4255" spans="25:27" x14ac:dyDescent="0.3">
      <c r="Y4255" s="48" t="str">
        <f ca="1">IF(AND('Planning Sheet'!CX308='Weeks Plan'!$D$6,'Planning Sheet'!CR308='Weeks Plan'!$G$6),'Planning Sheet'!$B308,"")</f>
        <v/>
      </c>
      <c r="Z4255" s="48" t="str">
        <f ca="1">IF(AND('Planning Sheet'!CX308='Weeks Plan'!$D$6,'Planning Sheet'!CR308='Weeks Plan'!$G$6),'Planning Sheet'!$CT308,"")</f>
        <v/>
      </c>
      <c r="AA4255" s="48" t="str">
        <f ca="1">IF(AND('Planning Sheet'!CX308='Weeks Plan'!$D$6,'Planning Sheet'!CR308='Weeks Plan'!$G$6),'Planning Sheet'!$CU308,"")</f>
        <v/>
      </c>
    </row>
    <row r="4256" spans="25:27" x14ac:dyDescent="0.3">
      <c r="Y4256" s="48" t="str">
        <f ca="1">IF(AND('Planning Sheet'!CX309='Weeks Plan'!$D$6,'Planning Sheet'!CR309='Weeks Plan'!$G$6),'Planning Sheet'!$B309,"")</f>
        <v/>
      </c>
      <c r="Z4256" s="48" t="str">
        <f ca="1">IF(AND('Planning Sheet'!CX309='Weeks Plan'!$D$6,'Planning Sheet'!CR309='Weeks Plan'!$G$6),'Planning Sheet'!$CT309,"")</f>
        <v/>
      </c>
      <c r="AA4256" s="48" t="str">
        <f ca="1">IF(AND('Planning Sheet'!CX309='Weeks Plan'!$D$6,'Planning Sheet'!CR309='Weeks Plan'!$G$6),'Planning Sheet'!$CU309,"")</f>
        <v/>
      </c>
    </row>
    <row r="4257" spans="25:27" x14ac:dyDescent="0.3">
      <c r="Y4257" s="48" t="str">
        <f ca="1">IF(AND('Planning Sheet'!CX310='Weeks Plan'!$D$6,'Planning Sheet'!CR310='Weeks Plan'!$G$6),'Planning Sheet'!$B310,"")</f>
        <v/>
      </c>
      <c r="Z4257" s="48" t="str">
        <f ca="1">IF(AND('Planning Sheet'!CX310='Weeks Plan'!$D$6,'Planning Sheet'!CR310='Weeks Plan'!$G$6),'Planning Sheet'!$CT310,"")</f>
        <v/>
      </c>
      <c r="AA4257" s="48" t="str">
        <f ca="1">IF(AND('Planning Sheet'!CX310='Weeks Plan'!$D$6,'Planning Sheet'!CR310='Weeks Plan'!$G$6),'Planning Sheet'!$CU310,"")</f>
        <v/>
      </c>
    </row>
    <row r="4258" spans="25:27" x14ac:dyDescent="0.3">
      <c r="Y4258" s="48" t="str">
        <f ca="1">IF(AND('Planning Sheet'!CX311='Weeks Plan'!$D$6,'Planning Sheet'!CR311='Weeks Plan'!$G$6),'Planning Sheet'!$B311,"")</f>
        <v/>
      </c>
      <c r="Z4258" s="48" t="str">
        <f ca="1">IF(AND('Planning Sheet'!CX311='Weeks Plan'!$D$6,'Planning Sheet'!CR311='Weeks Plan'!$G$6),'Planning Sheet'!$CT311,"")</f>
        <v/>
      </c>
      <c r="AA4258" s="48" t="str">
        <f ca="1">IF(AND('Planning Sheet'!CX311='Weeks Plan'!$D$6,'Planning Sheet'!CR311='Weeks Plan'!$G$6),'Planning Sheet'!$CU311,"")</f>
        <v/>
      </c>
    </row>
    <row r="4259" spans="25:27" x14ac:dyDescent="0.3">
      <c r="Y4259" s="48" t="str">
        <f ca="1">IF(AND('Planning Sheet'!CX312='Weeks Plan'!$D$6,'Planning Sheet'!CR312='Weeks Plan'!$G$6),'Planning Sheet'!$B312,"")</f>
        <v/>
      </c>
      <c r="Z4259" s="48" t="str">
        <f ca="1">IF(AND('Planning Sheet'!CX312='Weeks Plan'!$D$6,'Planning Sheet'!CR312='Weeks Plan'!$G$6),'Planning Sheet'!$CT312,"")</f>
        <v/>
      </c>
      <c r="AA4259" s="48" t="str">
        <f ca="1">IF(AND('Planning Sheet'!CX312='Weeks Plan'!$D$6,'Planning Sheet'!CR312='Weeks Plan'!$G$6),'Planning Sheet'!$CU312,"")</f>
        <v/>
      </c>
    </row>
    <row r="4260" spans="25:27" x14ac:dyDescent="0.3">
      <c r="Y4260" s="48" t="str">
        <f ca="1">IF(AND('Planning Sheet'!CX313='Weeks Plan'!$D$6,'Planning Sheet'!CR313='Weeks Plan'!$G$6),'Planning Sheet'!$B313,"")</f>
        <v/>
      </c>
      <c r="Z4260" s="48" t="str">
        <f ca="1">IF(AND('Planning Sheet'!CX313='Weeks Plan'!$D$6,'Planning Sheet'!CR313='Weeks Plan'!$G$6),'Planning Sheet'!$CT313,"")</f>
        <v/>
      </c>
      <c r="AA4260" s="48" t="str">
        <f ca="1">IF(AND('Planning Sheet'!CX313='Weeks Plan'!$D$6,'Planning Sheet'!CR313='Weeks Plan'!$G$6),'Planning Sheet'!$CU313,"")</f>
        <v/>
      </c>
    </row>
    <row r="4261" spans="25:27" x14ac:dyDescent="0.3">
      <c r="Y4261" s="48" t="str">
        <f ca="1">IF(AND('Planning Sheet'!CX314='Weeks Plan'!$D$6,'Planning Sheet'!CR314='Weeks Plan'!$G$6),'Planning Sheet'!$B314,"")</f>
        <v/>
      </c>
      <c r="Z4261" s="48" t="str">
        <f ca="1">IF(AND('Planning Sheet'!CX314='Weeks Plan'!$D$6,'Planning Sheet'!CR314='Weeks Plan'!$G$6),'Planning Sheet'!$CT314,"")</f>
        <v/>
      </c>
      <c r="AA4261" s="48" t="str">
        <f ca="1">IF(AND('Planning Sheet'!CX314='Weeks Plan'!$D$6,'Planning Sheet'!CR314='Weeks Plan'!$G$6),'Planning Sheet'!$CU314,"")</f>
        <v/>
      </c>
    </row>
    <row r="4262" spans="25:27" x14ac:dyDescent="0.3">
      <c r="Y4262" s="48" t="str">
        <f ca="1">IF(AND('Planning Sheet'!CX315='Weeks Plan'!$D$6,'Planning Sheet'!CR315='Weeks Plan'!$G$6),'Planning Sheet'!$B315,"")</f>
        <v/>
      </c>
      <c r="Z4262" s="48" t="str">
        <f ca="1">IF(AND('Planning Sheet'!CX315='Weeks Plan'!$D$6,'Planning Sheet'!CR315='Weeks Plan'!$G$6),'Planning Sheet'!$CT315,"")</f>
        <v/>
      </c>
      <c r="AA4262" s="48" t="str">
        <f ca="1">IF(AND('Planning Sheet'!CX315='Weeks Plan'!$D$6,'Planning Sheet'!CR315='Weeks Plan'!$G$6),'Planning Sheet'!$CU315,"")</f>
        <v/>
      </c>
    </row>
    <row r="4263" spans="25:27" x14ac:dyDescent="0.3">
      <c r="Y4263" s="48" t="str">
        <f ca="1">IF(AND('Planning Sheet'!CX316='Weeks Plan'!$D$6,'Planning Sheet'!CR316='Weeks Plan'!$G$6),'Planning Sheet'!$B316,"")</f>
        <v/>
      </c>
      <c r="Z4263" s="48" t="str">
        <f ca="1">IF(AND('Planning Sheet'!CX316='Weeks Plan'!$D$6,'Planning Sheet'!CR316='Weeks Plan'!$G$6),'Planning Sheet'!$CT316,"")</f>
        <v/>
      </c>
      <c r="AA4263" s="48" t="str">
        <f ca="1">IF(AND('Planning Sheet'!CX316='Weeks Plan'!$D$6,'Planning Sheet'!CR316='Weeks Plan'!$G$6),'Planning Sheet'!$CU316,"")</f>
        <v/>
      </c>
    </row>
    <row r="4264" spans="25:27" x14ac:dyDescent="0.3">
      <c r="Y4264" s="48" t="str">
        <f ca="1">IF(AND('Planning Sheet'!CX317='Weeks Plan'!$D$6,'Planning Sheet'!CR317='Weeks Plan'!$G$6),'Planning Sheet'!$B317,"")</f>
        <v/>
      </c>
      <c r="Z4264" s="48" t="str">
        <f ca="1">IF(AND('Planning Sheet'!CX317='Weeks Plan'!$D$6,'Planning Sheet'!CR317='Weeks Plan'!$G$6),'Planning Sheet'!$CT317,"")</f>
        <v/>
      </c>
      <c r="AA4264" s="48" t="str">
        <f ca="1">IF(AND('Planning Sheet'!CX317='Weeks Plan'!$D$6,'Planning Sheet'!CR317='Weeks Plan'!$G$6),'Planning Sheet'!$CU317,"")</f>
        <v/>
      </c>
    </row>
    <row r="4265" spans="25:27" x14ac:dyDescent="0.3">
      <c r="Y4265" s="48" t="str">
        <f ca="1">IF(AND('Planning Sheet'!CX318='Weeks Plan'!$D$6,'Planning Sheet'!CR318='Weeks Plan'!$G$6),'Planning Sheet'!$B318,"")</f>
        <v/>
      </c>
      <c r="Z4265" s="48" t="str">
        <f ca="1">IF(AND('Planning Sheet'!CX318='Weeks Plan'!$D$6,'Planning Sheet'!CR318='Weeks Plan'!$G$6),'Planning Sheet'!$CT318,"")</f>
        <v/>
      </c>
      <c r="AA4265" s="48" t="str">
        <f ca="1">IF(AND('Planning Sheet'!CX318='Weeks Plan'!$D$6,'Planning Sheet'!CR318='Weeks Plan'!$G$6),'Planning Sheet'!$CU318,"")</f>
        <v/>
      </c>
    </row>
    <row r="4266" spans="25:27" x14ac:dyDescent="0.3">
      <c r="Y4266" s="48" t="str">
        <f ca="1">IF(AND('Planning Sheet'!CX319='Weeks Plan'!$D$6,'Planning Sheet'!CR319='Weeks Plan'!$G$6),'Planning Sheet'!$B319,"")</f>
        <v/>
      </c>
      <c r="Z4266" s="48" t="str">
        <f ca="1">IF(AND('Planning Sheet'!CX319='Weeks Plan'!$D$6,'Planning Sheet'!CR319='Weeks Plan'!$G$6),'Planning Sheet'!$CT319,"")</f>
        <v/>
      </c>
      <c r="AA4266" s="48" t="str">
        <f ca="1">IF(AND('Planning Sheet'!CX319='Weeks Plan'!$D$6,'Planning Sheet'!CR319='Weeks Plan'!$G$6),'Planning Sheet'!$CU319,"")</f>
        <v/>
      </c>
    </row>
    <row r="4267" spans="25:27" x14ac:dyDescent="0.3">
      <c r="Y4267" s="48" t="str">
        <f ca="1">IF(AND('Planning Sheet'!CX320='Weeks Plan'!$D$6,'Planning Sheet'!CR320='Weeks Plan'!$G$6),'Planning Sheet'!$B320,"")</f>
        <v/>
      </c>
      <c r="Z4267" s="48" t="str">
        <f ca="1">IF(AND('Planning Sheet'!CX320='Weeks Plan'!$D$6,'Planning Sheet'!CR320='Weeks Plan'!$G$6),'Planning Sheet'!$CT320,"")</f>
        <v/>
      </c>
      <c r="AA4267" s="48" t="str">
        <f ca="1">IF(AND('Planning Sheet'!CX320='Weeks Plan'!$D$6,'Planning Sheet'!CR320='Weeks Plan'!$G$6),'Planning Sheet'!$CU320,"")</f>
        <v/>
      </c>
    </row>
    <row r="4268" spans="25:27" x14ac:dyDescent="0.3">
      <c r="Y4268" s="48" t="str">
        <f ca="1">IF(AND('Planning Sheet'!CX321='Weeks Plan'!$D$6,'Planning Sheet'!CR321='Weeks Plan'!$G$6),'Planning Sheet'!$B321,"")</f>
        <v/>
      </c>
      <c r="Z4268" s="48" t="str">
        <f ca="1">IF(AND('Planning Sheet'!CX321='Weeks Plan'!$D$6,'Planning Sheet'!CR321='Weeks Plan'!$G$6),'Planning Sheet'!$CT321,"")</f>
        <v/>
      </c>
      <c r="AA4268" s="48" t="str">
        <f ca="1">IF(AND('Planning Sheet'!CX321='Weeks Plan'!$D$6,'Planning Sheet'!CR321='Weeks Plan'!$G$6),'Planning Sheet'!$CU321,"")</f>
        <v/>
      </c>
    </row>
    <row r="4269" spans="25:27" x14ac:dyDescent="0.3">
      <c r="Y4269" s="48" t="str">
        <f ca="1">IF(AND('Planning Sheet'!CX322='Weeks Plan'!$D$6,'Planning Sheet'!CR322='Weeks Plan'!$G$6),'Planning Sheet'!$B322,"")</f>
        <v/>
      </c>
      <c r="Z4269" s="48" t="str">
        <f ca="1">IF(AND('Planning Sheet'!CX322='Weeks Plan'!$D$6,'Planning Sheet'!CR322='Weeks Plan'!$G$6),'Planning Sheet'!$CT322,"")</f>
        <v/>
      </c>
      <c r="AA4269" s="48" t="str">
        <f ca="1">IF(AND('Planning Sheet'!CX322='Weeks Plan'!$D$6,'Planning Sheet'!CR322='Weeks Plan'!$G$6),'Planning Sheet'!$CU322,"")</f>
        <v/>
      </c>
    </row>
    <row r="4270" spans="25:27" x14ac:dyDescent="0.3">
      <c r="Y4270" s="48" t="str">
        <f ca="1">IF(AND('Planning Sheet'!CX323='Weeks Plan'!$D$6,'Planning Sheet'!CR323='Weeks Plan'!$G$6),'Planning Sheet'!$B323,"")</f>
        <v/>
      </c>
      <c r="Z4270" s="48" t="str">
        <f ca="1">IF(AND('Planning Sheet'!CX323='Weeks Plan'!$D$6,'Planning Sheet'!CR323='Weeks Plan'!$G$6),'Planning Sheet'!$CT323,"")</f>
        <v/>
      </c>
      <c r="AA4270" s="48" t="str">
        <f ca="1">IF(AND('Planning Sheet'!CX323='Weeks Plan'!$D$6,'Planning Sheet'!CR323='Weeks Plan'!$G$6),'Planning Sheet'!$CU323,"")</f>
        <v/>
      </c>
    </row>
    <row r="4271" spans="25:27" x14ac:dyDescent="0.3">
      <c r="Y4271" s="48" t="str">
        <f ca="1">IF(AND('Planning Sheet'!CX324='Weeks Plan'!$D$6,'Planning Sheet'!CR324='Weeks Plan'!$G$6),'Planning Sheet'!$B324,"")</f>
        <v/>
      </c>
      <c r="Z4271" s="48" t="str">
        <f ca="1">IF(AND('Planning Sheet'!CX324='Weeks Plan'!$D$6,'Planning Sheet'!CR324='Weeks Plan'!$G$6),'Planning Sheet'!$CT324,"")</f>
        <v/>
      </c>
      <c r="AA4271" s="48" t="str">
        <f ca="1">IF(AND('Planning Sheet'!CX324='Weeks Plan'!$D$6,'Planning Sheet'!CR324='Weeks Plan'!$G$6),'Planning Sheet'!$CU324,"")</f>
        <v/>
      </c>
    </row>
    <row r="4272" spans="25:27" x14ac:dyDescent="0.3">
      <c r="Y4272" s="48" t="str">
        <f ca="1">IF(AND('Planning Sheet'!CX325='Weeks Plan'!$D$6,'Planning Sheet'!CR325='Weeks Plan'!$G$6),'Planning Sheet'!$B325,"")</f>
        <v/>
      </c>
      <c r="Z4272" s="48" t="str">
        <f ca="1">IF(AND('Planning Sheet'!CX325='Weeks Plan'!$D$6,'Planning Sheet'!CR325='Weeks Plan'!$G$6),'Planning Sheet'!$CT325,"")</f>
        <v/>
      </c>
      <c r="AA4272" s="48" t="str">
        <f ca="1">IF(AND('Planning Sheet'!CX325='Weeks Plan'!$D$6,'Planning Sheet'!CR325='Weeks Plan'!$G$6),'Planning Sheet'!$CU325,"")</f>
        <v/>
      </c>
    </row>
    <row r="4273" spans="25:27" x14ac:dyDescent="0.3">
      <c r="Y4273" s="48" t="str">
        <f ca="1">IF(AND('Planning Sheet'!CX326='Weeks Plan'!$D$6,'Planning Sheet'!CR326='Weeks Plan'!$G$6),'Planning Sheet'!$B326,"")</f>
        <v/>
      </c>
      <c r="Z4273" s="48" t="str">
        <f ca="1">IF(AND('Planning Sheet'!CX326='Weeks Plan'!$D$6,'Planning Sheet'!CR326='Weeks Plan'!$G$6),'Planning Sheet'!$CT326,"")</f>
        <v/>
      </c>
      <c r="AA4273" s="48" t="str">
        <f ca="1">IF(AND('Planning Sheet'!CX326='Weeks Plan'!$D$6,'Planning Sheet'!CR326='Weeks Plan'!$G$6),'Planning Sheet'!$CU326,"")</f>
        <v/>
      </c>
    </row>
    <row r="4274" spans="25:27" x14ac:dyDescent="0.3">
      <c r="Y4274" s="48" t="str">
        <f ca="1">IF(AND('Planning Sheet'!CX327='Weeks Plan'!$D$6,'Planning Sheet'!CR327='Weeks Plan'!$G$6),'Planning Sheet'!$B327,"")</f>
        <v/>
      </c>
      <c r="Z4274" s="48" t="str">
        <f ca="1">IF(AND('Planning Sheet'!CX327='Weeks Plan'!$D$6,'Planning Sheet'!CR327='Weeks Plan'!$G$6),'Planning Sheet'!$CT327,"")</f>
        <v/>
      </c>
      <c r="AA4274" s="48" t="str">
        <f ca="1">IF(AND('Planning Sheet'!CX327='Weeks Plan'!$D$6,'Planning Sheet'!CR327='Weeks Plan'!$G$6),'Planning Sheet'!$CU327,"")</f>
        <v/>
      </c>
    </row>
    <row r="4275" spans="25:27" x14ac:dyDescent="0.3">
      <c r="Y4275" s="48" t="str">
        <f ca="1">IF(AND('Planning Sheet'!CX328='Weeks Plan'!$D$6,'Planning Sheet'!CR328='Weeks Plan'!$G$6),'Planning Sheet'!$B328,"")</f>
        <v/>
      </c>
      <c r="Z4275" s="48" t="str">
        <f ca="1">IF(AND('Planning Sheet'!CX328='Weeks Plan'!$D$6,'Planning Sheet'!CR328='Weeks Plan'!$G$6),'Planning Sheet'!$CT328,"")</f>
        <v/>
      </c>
      <c r="AA4275" s="48" t="str">
        <f ca="1">IF(AND('Planning Sheet'!CX328='Weeks Plan'!$D$6,'Planning Sheet'!CR328='Weeks Plan'!$G$6),'Planning Sheet'!$CU328,"")</f>
        <v/>
      </c>
    </row>
    <row r="4276" spans="25:27" x14ac:dyDescent="0.3">
      <c r="Y4276" s="48" t="str">
        <f ca="1">IF(AND('Planning Sheet'!CX329='Weeks Plan'!$D$6,'Planning Sheet'!CR329='Weeks Plan'!$G$6),'Planning Sheet'!$B329,"")</f>
        <v/>
      </c>
      <c r="Z4276" s="48" t="str">
        <f ca="1">IF(AND('Planning Sheet'!CX329='Weeks Plan'!$D$6,'Planning Sheet'!CR329='Weeks Plan'!$G$6),'Planning Sheet'!$CT329,"")</f>
        <v/>
      </c>
      <c r="AA4276" s="48" t="str">
        <f ca="1">IF(AND('Planning Sheet'!CX329='Weeks Plan'!$D$6,'Planning Sheet'!CR329='Weeks Plan'!$G$6),'Planning Sheet'!$CU329,"")</f>
        <v/>
      </c>
    </row>
    <row r="4277" spans="25:27" x14ac:dyDescent="0.3">
      <c r="Y4277" s="48" t="str">
        <f ca="1">IF(AND('Planning Sheet'!CX330='Weeks Plan'!$D$6,'Planning Sheet'!CR330='Weeks Plan'!$G$6),'Planning Sheet'!$B330,"")</f>
        <v/>
      </c>
      <c r="Z4277" s="48" t="str">
        <f ca="1">IF(AND('Planning Sheet'!CX330='Weeks Plan'!$D$6,'Planning Sheet'!CR330='Weeks Plan'!$G$6),'Planning Sheet'!$CT330,"")</f>
        <v/>
      </c>
      <c r="AA4277" s="48" t="str">
        <f ca="1">IF(AND('Planning Sheet'!CX330='Weeks Plan'!$D$6,'Planning Sheet'!CR330='Weeks Plan'!$G$6),'Planning Sheet'!$CU330,"")</f>
        <v/>
      </c>
    </row>
    <row r="4278" spans="25:27" x14ac:dyDescent="0.3">
      <c r="Y4278" s="48" t="str">
        <f ca="1">IF(AND('Planning Sheet'!CX331='Weeks Plan'!$D$6,'Planning Sheet'!CR331='Weeks Plan'!$G$6),'Planning Sheet'!$B331,"")</f>
        <v/>
      </c>
      <c r="Z4278" s="48" t="str">
        <f ca="1">IF(AND('Planning Sheet'!CX331='Weeks Plan'!$D$6,'Planning Sheet'!CR331='Weeks Plan'!$G$6),'Planning Sheet'!$CT331,"")</f>
        <v/>
      </c>
      <c r="AA4278" s="48" t="str">
        <f ca="1">IF(AND('Planning Sheet'!CX331='Weeks Plan'!$D$6,'Planning Sheet'!CR331='Weeks Plan'!$G$6),'Planning Sheet'!$CU331,"")</f>
        <v/>
      </c>
    </row>
    <row r="4279" spans="25:27" x14ac:dyDescent="0.3">
      <c r="Y4279" s="48" t="str">
        <f ca="1">IF(AND('Planning Sheet'!CX332='Weeks Plan'!$D$6,'Planning Sheet'!CR332='Weeks Plan'!$G$6),'Planning Sheet'!$B332,"")</f>
        <v/>
      </c>
      <c r="Z4279" s="48" t="str">
        <f ca="1">IF(AND('Planning Sheet'!CX332='Weeks Plan'!$D$6,'Planning Sheet'!CR332='Weeks Plan'!$G$6),'Planning Sheet'!$CT332,"")</f>
        <v/>
      </c>
      <c r="AA4279" s="48" t="str">
        <f ca="1">IF(AND('Planning Sheet'!CX332='Weeks Plan'!$D$6,'Planning Sheet'!CR332='Weeks Plan'!$G$6),'Planning Sheet'!$CU332,"")</f>
        <v/>
      </c>
    </row>
    <row r="4280" spans="25:27" x14ac:dyDescent="0.3">
      <c r="Y4280" s="48" t="str">
        <f ca="1">IF(AND('Planning Sheet'!CX333='Weeks Plan'!$D$6,'Planning Sheet'!CR333='Weeks Plan'!$G$6),'Planning Sheet'!$B333,"")</f>
        <v/>
      </c>
      <c r="Z4280" s="48" t="str">
        <f ca="1">IF(AND('Planning Sheet'!CX333='Weeks Plan'!$D$6,'Planning Sheet'!CR333='Weeks Plan'!$G$6),'Planning Sheet'!$CT333,"")</f>
        <v/>
      </c>
      <c r="AA4280" s="48" t="str">
        <f ca="1">IF(AND('Planning Sheet'!CX333='Weeks Plan'!$D$6,'Planning Sheet'!CR333='Weeks Plan'!$G$6),'Planning Sheet'!$CU333,"")</f>
        <v/>
      </c>
    </row>
    <row r="4281" spans="25:27" x14ac:dyDescent="0.3">
      <c r="Y4281" s="48" t="str">
        <f ca="1">IF(AND('Planning Sheet'!CX334='Weeks Plan'!$D$6,'Planning Sheet'!CR334='Weeks Plan'!$G$6),'Planning Sheet'!$B334,"")</f>
        <v/>
      </c>
      <c r="Z4281" s="48" t="str">
        <f ca="1">IF(AND('Planning Sheet'!CX334='Weeks Plan'!$D$6,'Planning Sheet'!CR334='Weeks Plan'!$G$6),'Planning Sheet'!$CT334,"")</f>
        <v/>
      </c>
      <c r="AA4281" s="48" t="str">
        <f ca="1">IF(AND('Planning Sheet'!CX334='Weeks Plan'!$D$6,'Planning Sheet'!CR334='Weeks Plan'!$G$6),'Planning Sheet'!$CU334,"")</f>
        <v/>
      </c>
    </row>
    <row r="4282" spans="25:27" x14ac:dyDescent="0.3">
      <c r="Y4282" s="48" t="str">
        <f ca="1">IF(AND('Planning Sheet'!CX335='Weeks Plan'!$D$6,'Planning Sheet'!CR335='Weeks Plan'!$G$6),'Planning Sheet'!$B335,"")</f>
        <v/>
      </c>
      <c r="Z4282" s="48" t="str">
        <f ca="1">IF(AND('Planning Sheet'!CX335='Weeks Plan'!$D$6,'Planning Sheet'!CR335='Weeks Plan'!$G$6),'Planning Sheet'!$CT335,"")</f>
        <v/>
      </c>
      <c r="AA4282" s="48" t="str">
        <f ca="1">IF(AND('Planning Sheet'!CX335='Weeks Plan'!$D$6,'Planning Sheet'!CR335='Weeks Plan'!$G$6),'Planning Sheet'!$CU335,"")</f>
        <v/>
      </c>
    </row>
    <row r="4283" spans="25:27" x14ac:dyDescent="0.3">
      <c r="Y4283" s="48" t="str">
        <f ca="1">IF(AND('Planning Sheet'!CX336='Weeks Plan'!$D$6,'Planning Sheet'!CR336='Weeks Plan'!$G$6),'Planning Sheet'!$B336,"")</f>
        <v/>
      </c>
      <c r="Z4283" s="48" t="str">
        <f ca="1">IF(AND('Planning Sheet'!CX336='Weeks Plan'!$D$6,'Planning Sheet'!CR336='Weeks Plan'!$G$6),'Planning Sheet'!$CT336,"")</f>
        <v/>
      </c>
      <c r="AA4283" s="48" t="str">
        <f ca="1">IF(AND('Planning Sheet'!CX336='Weeks Plan'!$D$6,'Planning Sheet'!CR336='Weeks Plan'!$G$6),'Planning Sheet'!$CU336,"")</f>
        <v/>
      </c>
    </row>
    <row r="4284" spans="25:27" x14ac:dyDescent="0.3">
      <c r="Y4284" s="48" t="str">
        <f ca="1">IF(AND('Planning Sheet'!CX337='Weeks Plan'!$D$6,'Planning Sheet'!CR337='Weeks Plan'!$G$6),'Planning Sheet'!$B337,"")</f>
        <v/>
      </c>
      <c r="Z4284" s="48" t="str">
        <f ca="1">IF(AND('Planning Sheet'!CX337='Weeks Plan'!$D$6,'Planning Sheet'!CR337='Weeks Plan'!$G$6),'Planning Sheet'!$CT337,"")</f>
        <v/>
      </c>
      <c r="AA4284" s="48" t="str">
        <f ca="1">IF(AND('Planning Sheet'!CX337='Weeks Plan'!$D$6,'Planning Sheet'!CR337='Weeks Plan'!$G$6),'Planning Sheet'!$CU337,"")</f>
        <v/>
      </c>
    </row>
    <row r="4285" spans="25:27" x14ac:dyDescent="0.3">
      <c r="Y4285" s="48" t="str">
        <f ca="1">IF(AND('Planning Sheet'!CX338='Weeks Plan'!$D$6,'Planning Sheet'!CR338='Weeks Plan'!$G$6),'Planning Sheet'!$B338,"")</f>
        <v/>
      </c>
      <c r="Z4285" s="48" t="str">
        <f ca="1">IF(AND('Planning Sheet'!CX338='Weeks Plan'!$D$6,'Planning Sheet'!CR338='Weeks Plan'!$G$6),'Planning Sheet'!$CT338,"")</f>
        <v/>
      </c>
      <c r="AA4285" s="48" t="str">
        <f ca="1">IF(AND('Planning Sheet'!CX338='Weeks Plan'!$D$6,'Planning Sheet'!CR338='Weeks Plan'!$G$6),'Planning Sheet'!$CU338,"")</f>
        <v/>
      </c>
    </row>
    <row r="4286" spans="25:27" x14ac:dyDescent="0.3">
      <c r="Y4286" s="48" t="str">
        <f ca="1">IF(AND('Planning Sheet'!CX339='Weeks Plan'!$D$6,'Planning Sheet'!CR339='Weeks Plan'!$G$6),'Planning Sheet'!$B339,"")</f>
        <v/>
      </c>
      <c r="Z4286" s="48" t="str">
        <f ca="1">IF(AND('Planning Sheet'!CX339='Weeks Plan'!$D$6,'Planning Sheet'!CR339='Weeks Plan'!$G$6),'Planning Sheet'!$CT339,"")</f>
        <v/>
      </c>
      <c r="AA4286" s="48" t="str">
        <f ca="1">IF(AND('Planning Sheet'!CX339='Weeks Plan'!$D$6,'Planning Sheet'!CR339='Weeks Plan'!$G$6),'Planning Sheet'!$CU339,"")</f>
        <v/>
      </c>
    </row>
    <row r="4287" spans="25:27" x14ac:dyDescent="0.3">
      <c r="Y4287" s="48" t="str">
        <f ca="1">IF(AND('Planning Sheet'!CX340='Weeks Plan'!$D$6,'Planning Sheet'!CR340='Weeks Plan'!$G$6),'Planning Sheet'!$B340,"")</f>
        <v/>
      </c>
      <c r="Z4287" s="48" t="str">
        <f ca="1">IF(AND('Planning Sheet'!CX340='Weeks Plan'!$D$6,'Planning Sheet'!CR340='Weeks Plan'!$G$6),'Planning Sheet'!$CT340,"")</f>
        <v/>
      </c>
      <c r="AA4287" s="48" t="str">
        <f ca="1">IF(AND('Planning Sheet'!CX340='Weeks Plan'!$D$6,'Planning Sheet'!CR340='Weeks Plan'!$G$6),'Planning Sheet'!$CU340,"")</f>
        <v/>
      </c>
    </row>
    <row r="4288" spans="25:27" x14ac:dyDescent="0.3">
      <c r="Y4288" s="48" t="str">
        <f ca="1">IF(AND('Planning Sheet'!CX341='Weeks Plan'!$D$6,'Planning Sheet'!CR341='Weeks Plan'!$G$6),'Planning Sheet'!$B341,"")</f>
        <v/>
      </c>
      <c r="Z4288" s="48" t="str">
        <f ca="1">IF(AND('Planning Sheet'!CX341='Weeks Plan'!$D$6,'Planning Sheet'!CR341='Weeks Plan'!$G$6),'Planning Sheet'!$CT341,"")</f>
        <v/>
      </c>
      <c r="AA4288" s="48" t="str">
        <f ca="1">IF(AND('Planning Sheet'!CX341='Weeks Plan'!$D$6,'Planning Sheet'!CR341='Weeks Plan'!$G$6),'Planning Sheet'!$CU341,"")</f>
        <v/>
      </c>
    </row>
    <row r="4289" spans="25:27" x14ac:dyDescent="0.3">
      <c r="Y4289" s="48" t="str">
        <f ca="1">IF(AND('Planning Sheet'!CX342='Weeks Plan'!$D$6,'Planning Sheet'!CR342='Weeks Plan'!$G$6),'Planning Sheet'!$B342,"")</f>
        <v/>
      </c>
      <c r="Z4289" s="48" t="str">
        <f ca="1">IF(AND('Planning Sheet'!CX342='Weeks Plan'!$D$6,'Planning Sheet'!CR342='Weeks Plan'!$G$6),'Planning Sheet'!$CT342,"")</f>
        <v/>
      </c>
      <c r="AA4289" s="48" t="str">
        <f ca="1">IF(AND('Planning Sheet'!CX342='Weeks Plan'!$D$6,'Planning Sheet'!CR342='Weeks Plan'!$G$6),'Planning Sheet'!$CU342,"")</f>
        <v/>
      </c>
    </row>
    <row r="4290" spans="25:27" x14ac:dyDescent="0.3">
      <c r="Y4290" s="48" t="str">
        <f ca="1">IF(AND('Planning Sheet'!CX343='Weeks Plan'!$D$6,'Planning Sheet'!CR343='Weeks Plan'!$G$6),'Planning Sheet'!$B343,"")</f>
        <v/>
      </c>
      <c r="Z4290" s="48" t="str">
        <f ca="1">IF(AND('Planning Sheet'!CX343='Weeks Plan'!$D$6,'Planning Sheet'!CR343='Weeks Plan'!$G$6),'Planning Sheet'!$CT343,"")</f>
        <v/>
      </c>
      <c r="AA4290" s="48" t="str">
        <f ca="1">IF(AND('Planning Sheet'!CX343='Weeks Plan'!$D$6,'Planning Sheet'!CR343='Weeks Plan'!$G$6),'Planning Sheet'!$CU343,"")</f>
        <v/>
      </c>
    </row>
    <row r="4291" spans="25:27" x14ac:dyDescent="0.3">
      <c r="Y4291" s="48" t="str">
        <f ca="1">IF(AND('Planning Sheet'!CX344='Weeks Plan'!$D$6,'Planning Sheet'!CR344='Weeks Plan'!$G$6),'Planning Sheet'!$B344,"")</f>
        <v/>
      </c>
      <c r="Z4291" s="48" t="str">
        <f ca="1">IF(AND('Planning Sheet'!CX344='Weeks Plan'!$D$6,'Planning Sheet'!CR344='Weeks Plan'!$G$6),'Planning Sheet'!$CT344,"")</f>
        <v/>
      </c>
      <c r="AA4291" s="48" t="str">
        <f ca="1">IF(AND('Planning Sheet'!CX344='Weeks Plan'!$D$6,'Planning Sheet'!CR344='Weeks Plan'!$G$6),'Planning Sheet'!$CU344,"")</f>
        <v/>
      </c>
    </row>
    <row r="4292" spans="25:27" x14ac:dyDescent="0.3">
      <c r="Y4292" s="48" t="str">
        <f ca="1">IF(AND('Planning Sheet'!CX345='Weeks Plan'!$D$6,'Planning Sheet'!CR345='Weeks Plan'!$G$6),'Planning Sheet'!$B345,"")</f>
        <v/>
      </c>
      <c r="Z4292" s="48" t="str">
        <f ca="1">IF(AND('Planning Sheet'!CX345='Weeks Plan'!$D$6,'Planning Sheet'!CR345='Weeks Plan'!$G$6),'Planning Sheet'!$CT345,"")</f>
        <v/>
      </c>
      <c r="AA4292" s="48" t="str">
        <f ca="1">IF(AND('Planning Sheet'!CX345='Weeks Plan'!$D$6,'Planning Sheet'!CR345='Weeks Plan'!$G$6),'Planning Sheet'!$CU345,"")</f>
        <v/>
      </c>
    </row>
    <row r="4293" spans="25:27" x14ac:dyDescent="0.3">
      <c r="Y4293" s="48" t="str">
        <f ca="1">IF(AND('Planning Sheet'!CX346='Weeks Plan'!$D$6,'Planning Sheet'!CR346='Weeks Plan'!$G$6),'Planning Sheet'!$B346,"")</f>
        <v/>
      </c>
      <c r="Z4293" s="48" t="str">
        <f ca="1">IF(AND('Planning Sheet'!CX346='Weeks Plan'!$D$6,'Planning Sheet'!CR346='Weeks Plan'!$G$6),'Planning Sheet'!$CT346,"")</f>
        <v/>
      </c>
      <c r="AA4293" s="48" t="str">
        <f ca="1">IF(AND('Planning Sheet'!CX346='Weeks Plan'!$D$6,'Planning Sheet'!CR346='Weeks Plan'!$G$6),'Planning Sheet'!$CU346,"")</f>
        <v/>
      </c>
    </row>
    <row r="4294" spans="25:27" x14ac:dyDescent="0.3">
      <c r="Y4294" s="48" t="str">
        <f ca="1">IF(AND('Planning Sheet'!CX347='Weeks Plan'!$D$6,'Planning Sheet'!CR347='Weeks Plan'!$G$6),'Planning Sheet'!$B347,"")</f>
        <v/>
      </c>
      <c r="Z4294" s="48" t="str">
        <f ca="1">IF(AND('Planning Sheet'!CX347='Weeks Plan'!$D$6,'Planning Sheet'!CR347='Weeks Plan'!$G$6),'Planning Sheet'!$CT347,"")</f>
        <v/>
      </c>
      <c r="AA4294" s="48" t="str">
        <f ca="1">IF(AND('Planning Sheet'!CX347='Weeks Plan'!$D$6,'Planning Sheet'!CR347='Weeks Plan'!$G$6),'Planning Sheet'!$CU347,"")</f>
        <v/>
      </c>
    </row>
    <row r="4295" spans="25:27" x14ac:dyDescent="0.3">
      <c r="Y4295" s="48" t="str">
        <f ca="1">IF(AND('Planning Sheet'!CX348='Weeks Plan'!$D$6,'Planning Sheet'!CR348='Weeks Plan'!$G$6),'Planning Sheet'!$B348,"")</f>
        <v/>
      </c>
      <c r="Z4295" s="48" t="str">
        <f ca="1">IF(AND('Planning Sheet'!CX348='Weeks Plan'!$D$6,'Planning Sheet'!CR348='Weeks Plan'!$G$6),'Planning Sheet'!$CT348,"")</f>
        <v/>
      </c>
      <c r="AA4295" s="48" t="str">
        <f ca="1">IF(AND('Planning Sheet'!CX348='Weeks Plan'!$D$6,'Planning Sheet'!CR348='Weeks Plan'!$G$6),'Planning Sheet'!$CU348,"")</f>
        <v/>
      </c>
    </row>
    <row r="4296" spans="25:27" x14ac:dyDescent="0.3">
      <c r="Y4296" s="48" t="str">
        <f ca="1">IF(AND('Planning Sheet'!CX349='Weeks Plan'!$D$6,'Planning Sheet'!CR349='Weeks Plan'!$G$6),'Planning Sheet'!$B349,"")</f>
        <v/>
      </c>
      <c r="Z4296" s="48" t="str">
        <f ca="1">IF(AND('Planning Sheet'!CX349='Weeks Plan'!$D$6,'Planning Sheet'!CR349='Weeks Plan'!$G$6),'Planning Sheet'!$CT349,"")</f>
        <v/>
      </c>
      <c r="AA4296" s="48" t="str">
        <f ca="1">IF(AND('Planning Sheet'!CX349='Weeks Plan'!$D$6,'Planning Sheet'!CR349='Weeks Plan'!$G$6),'Planning Sheet'!$CU349,"")</f>
        <v/>
      </c>
    </row>
    <row r="4297" spans="25:27" x14ac:dyDescent="0.3">
      <c r="Y4297" s="48" t="str">
        <f ca="1">IF(AND('Planning Sheet'!CX350='Weeks Plan'!$D$6,'Planning Sheet'!CR350='Weeks Plan'!$G$6),'Planning Sheet'!$B350,"")</f>
        <v/>
      </c>
      <c r="Z4297" s="48" t="str">
        <f ca="1">IF(AND('Planning Sheet'!CX350='Weeks Plan'!$D$6,'Planning Sheet'!CR350='Weeks Plan'!$G$6),'Planning Sheet'!$CT350,"")</f>
        <v/>
      </c>
      <c r="AA4297" s="48" t="str">
        <f ca="1">IF(AND('Planning Sheet'!CX350='Weeks Plan'!$D$6,'Planning Sheet'!CR350='Weeks Plan'!$G$6),'Planning Sheet'!$CU350,"")</f>
        <v/>
      </c>
    </row>
    <row r="4298" spans="25:27" x14ac:dyDescent="0.3">
      <c r="Y4298" s="48" t="str">
        <f ca="1">IF(AND('Planning Sheet'!CX351='Weeks Plan'!$D$6,'Planning Sheet'!CR351='Weeks Plan'!$G$6),'Planning Sheet'!$B351,"")</f>
        <v/>
      </c>
      <c r="Z4298" s="48" t="str">
        <f ca="1">IF(AND('Planning Sheet'!CX351='Weeks Plan'!$D$6,'Planning Sheet'!CR351='Weeks Plan'!$G$6),'Planning Sheet'!$CT351,"")</f>
        <v/>
      </c>
      <c r="AA4298" s="48" t="str">
        <f ca="1">IF(AND('Planning Sheet'!CX351='Weeks Plan'!$D$6,'Planning Sheet'!CR351='Weeks Plan'!$G$6),'Planning Sheet'!$CU351,"")</f>
        <v/>
      </c>
    </row>
    <row r="4299" spans="25:27" x14ac:dyDescent="0.3">
      <c r="Y4299" s="48" t="str">
        <f ca="1">IF(AND('Planning Sheet'!CX352='Weeks Plan'!$D$6,'Planning Sheet'!CR352='Weeks Plan'!$G$6),'Planning Sheet'!$B352,"")</f>
        <v/>
      </c>
      <c r="Z4299" s="48" t="str">
        <f ca="1">IF(AND('Planning Sheet'!CX352='Weeks Plan'!$D$6,'Planning Sheet'!CR352='Weeks Plan'!$G$6),'Planning Sheet'!$CT352,"")</f>
        <v/>
      </c>
      <c r="AA4299" s="48" t="str">
        <f ca="1">IF(AND('Planning Sheet'!CX352='Weeks Plan'!$D$6,'Planning Sheet'!CR352='Weeks Plan'!$G$6),'Planning Sheet'!$CU352,"")</f>
        <v/>
      </c>
    </row>
    <row r="4300" spans="25:27" x14ac:dyDescent="0.3">
      <c r="Y4300" s="48" t="str">
        <f ca="1">IF(AND('Planning Sheet'!CX353='Weeks Plan'!$D$6,'Planning Sheet'!CR353='Weeks Plan'!$G$6),'Planning Sheet'!$B353,"")</f>
        <v/>
      </c>
      <c r="Z4300" s="48" t="str">
        <f ca="1">IF(AND('Planning Sheet'!CX353='Weeks Plan'!$D$6,'Planning Sheet'!CR353='Weeks Plan'!$G$6),'Planning Sheet'!$CT353,"")</f>
        <v/>
      </c>
      <c r="AA4300" s="48" t="str">
        <f ca="1">IF(AND('Planning Sheet'!CX353='Weeks Plan'!$D$6,'Planning Sheet'!CR353='Weeks Plan'!$G$6),'Planning Sheet'!$CU353,"")</f>
        <v/>
      </c>
    </row>
    <row r="4301" spans="25:27" x14ac:dyDescent="0.3">
      <c r="Y4301" s="48" t="str">
        <f ca="1">IF(AND('Planning Sheet'!CX354='Weeks Plan'!$D$6,'Planning Sheet'!CR354='Weeks Plan'!$G$6),'Planning Sheet'!$B354,"")</f>
        <v/>
      </c>
      <c r="Z4301" s="48" t="str">
        <f ca="1">IF(AND('Planning Sheet'!CX354='Weeks Plan'!$D$6,'Planning Sheet'!CR354='Weeks Plan'!$G$6),'Planning Sheet'!$CT354,"")</f>
        <v/>
      </c>
      <c r="AA4301" s="48" t="str">
        <f ca="1">IF(AND('Planning Sheet'!CX354='Weeks Plan'!$D$6,'Planning Sheet'!CR354='Weeks Plan'!$G$6),'Planning Sheet'!$CU354,"")</f>
        <v/>
      </c>
    </row>
    <row r="4302" spans="25:27" x14ac:dyDescent="0.3">
      <c r="Y4302" s="48" t="str">
        <f ca="1">IF(AND('Planning Sheet'!CX355='Weeks Plan'!$D$6,'Planning Sheet'!CR355='Weeks Plan'!$G$6),'Planning Sheet'!$B355,"")</f>
        <v/>
      </c>
      <c r="Z4302" s="48" t="str">
        <f ca="1">IF(AND('Planning Sheet'!CX355='Weeks Plan'!$D$6,'Planning Sheet'!CR355='Weeks Plan'!$G$6),'Planning Sheet'!$CT355,"")</f>
        <v/>
      </c>
      <c r="AA4302" s="48" t="str">
        <f ca="1">IF(AND('Planning Sheet'!CX355='Weeks Plan'!$D$6,'Planning Sheet'!CR355='Weeks Plan'!$G$6),'Planning Sheet'!$CU355,"")</f>
        <v/>
      </c>
    </row>
    <row r="4303" spans="25:27" x14ac:dyDescent="0.3">
      <c r="Y4303" s="48" t="str">
        <f ca="1">IF(AND('Planning Sheet'!CX356='Weeks Plan'!$D$6,'Planning Sheet'!CR356='Weeks Plan'!$G$6),'Planning Sheet'!$B356,"")</f>
        <v/>
      </c>
      <c r="Z4303" s="48" t="str">
        <f ca="1">IF(AND('Planning Sheet'!CX356='Weeks Plan'!$D$6,'Planning Sheet'!CR356='Weeks Plan'!$G$6),'Planning Sheet'!$CT356,"")</f>
        <v/>
      </c>
      <c r="AA4303" s="48" t="str">
        <f ca="1">IF(AND('Planning Sheet'!CX356='Weeks Plan'!$D$6,'Planning Sheet'!CR356='Weeks Plan'!$G$6),'Planning Sheet'!$CU356,"")</f>
        <v/>
      </c>
    </row>
    <row r="4304" spans="25:27" x14ac:dyDescent="0.3">
      <c r="Y4304" s="48" t="str">
        <f ca="1">IF(AND('Planning Sheet'!CX357='Weeks Plan'!$D$6,'Planning Sheet'!CR357='Weeks Plan'!$G$6),'Planning Sheet'!$B357,"")</f>
        <v/>
      </c>
      <c r="Z4304" s="48" t="str">
        <f ca="1">IF(AND('Planning Sheet'!CX357='Weeks Plan'!$D$6,'Planning Sheet'!CR357='Weeks Plan'!$G$6),'Planning Sheet'!$CT357,"")</f>
        <v/>
      </c>
      <c r="AA4304" s="48" t="str">
        <f ca="1">IF(AND('Planning Sheet'!CX357='Weeks Plan'!$D$6,'Planning Sheet'!CR357='Weeks Plan'!$G$6),'Planning Sheet'!$CU357,"")</f>
        <v/>
      </c>
    </row>
    <row r="4305" spans="25:27" x14ac:dyDescent="0.3">
      <c r="Y4305" s="48" t="str">
        <f ca="1">IF(AND('Planning Sheet'!CX358='Weeks Plan'!$D$6,'Planning Sheet'!CR358='Weeks Plan'!$G$6),'Planning Sheet'!$B358,"")</f>
        <v/>
      </c>
      <c r="Z4305" s="48" t="str">
        <f ca="1">IF(AND('Planning Sheet'!CX358='Weeks Plan'!$D$6,'Planning Sheet'!CR358='Weeks Plan'!$G$6),'Planning Sheet'!$CT358,"")</f>
        <v/>
      </c>
      <c r="AA4305" s="48" t="str">
        <f ca="1">IF(AND('Planning Sheet'!CX358='Weeks Plan'!$D$6,'Planning Sheet'!CR358='Weeks Plan'!$G$6),'Planning Sheet'!$CU358,"")</f>
        <v/>
      </c>
    </row>
    <row r="4306" spans="25:27" x14ac:dyDescent="0.3">
      <c r="Y4306" s="48" t="str">
        <f ca="1">IF(AND('Planning Sheet'!CX359='Weeks Plan'!$D$6,'Planning Sheet'!CR359='Weeks Plan'!$G$6),'Planning Sheet'!$B359,"")</f>
        <v/>
      </c>
      <c r="Z4306" s="48" t="str">
        <f ca="1">IF(AND('Planning Sheet'!CX359='Weeks Plan'!$D$6,'Planning Sheet'!CR359='Weeks Plan'!$G$6),'Planning Sheet'!$CT359,"")</f>
        <v/>
      </c>
      <c r="AA4306" s="48" t="str">
        <f ca="1">IF(AND('Planning Sheet'!CX359='Weeks Plan'!$D$6,'Planning Sheet'!CR359='Weeks Plan'!$G$6),'Planning Sheet'!$CU359,"")</f>
        <v/>
      </c>
    </row>
    <row r="4307" spans="25:27" x14ac:dyDescent="0.3">
      <c r="Y4307" s="48" t="str">
        <f ca="1">IF(AND('Planning Sheet'!CX360='Weeks Plan'!$D$6,'Planning Sheet'!CR360='Weeks Plan'!$G$6),'Planning Sheet'!$B360,"")</f>
        <v/>
      </c>
      <c r="Z4307" s="48" t="str">
        <f ca="1">IF(AND('Planning Sheet'!CX360='Weeks Plan'!$D$6,'Planning Sheet'!CR360='Weeks Plan'!$G$6),'Planning Sheet'!$CT360,"")</f>
        <v/>
      </c>
      <c r="AA4307" s="48" t="str">
        <f ca="1">IF(AND('Planning Sheet'!CX360='Weeks Plan'!$D$6,'Planning Sheet'!CR360='Weeks Plan'!$G$6),'Planning Sheet'!$CU360,"")</f>
        <v/>
      </c>
    </row>
    <row r="4308" spans="25:27" x14ac:dyDescent="0.3">
      <c r="Y4308" s="48" t="str">
        <f ca="1">IF(AND('Planning Sheet'!CX361='Weeks Plan'!$D$6,'Planning Sheet'!CR361='Weeks Plan'!$G$6),'Planning Sheet'!$B361,"")</f>
        <v/>
      </c>
      <c r="Z4308" s="48" t="str">
        <f ca="1">IF(AND('Planning Sheet'!CX361='Weeks Plan'!$D$6,'Planning Sheet'!CR361='Weeks Plan'!$G$6),'Planning Sheet'!$CT361,"")</f>
        <v/>
      </c>
      <c r="AA4308" s="48" t="str">
        <f ca="1">IF(AND('Planning Sheet'!CX361='Weeks Plan'!$D$6,'Planning Sheet'!CR361='Weeks Plan'!$G$6),'Planning Sheet'!$CU361,"")</f>
        <v/>
      </c>
    </row>
    <row r="4309" spans="25:27" x14ac:dyDescent="0.3">
      <c r="Y4309" s="48" t="str">
        <f ca="1">IF(AND('Planning Sheet'!CX362='Weeks Plan'!$D$6,'Planning Sheet'!CR362='Weeks Plan'!$G$6),'Planning Sheet'!$B362,"")</f>
        <v/>
      </c>
      <c r="Z4309" s="48" t="str">
        <f ca="1">IF(AND('Planning Sheet'!CX362='Weeks Plan'!$D$6,'Planning Sheet'!CR362='Weeks Plan'!$G$6),'Planning Sheet'!$CT362,"")</f>
        <v/>
      </c>
      <c r="AA4309" s="48" t="str">
        <f ca="1">IF(AND('Planning Sheet'!CX362='Weeks Plan'!$D$6,'Planning Sheet'!CR362='Weeks Plan'!$G$6),'Planning Sheet'!$CU362,"")</f>
        <v/>
      </c>
    </row>
    <row r="4310" spans="25:27" x14ac:dyDescent="0.3">
      <c r="Y4310" s="48" t="str">
        <f ca="1">IF(AND('Planning Sheet'!CX363='Weeks Plan'!$D$6,'Planning Sheet'!CR363='Weeks Plan'!$G$6),'Planning Sheet'!$B363,"")</f>
        <v/>
      </c>
      <c r="Z4310" s="48" t="str">
        <f ca="1">IF(AND('Planning Sheet'!CX363='Weeks Plan'!$D$6,'Planning Sheet'!CR363='Weeks Plan'!$G$6),'Planning Sheet'!$CT363,"")</f>
        <v/>
      </c>
      <c r="AA4310" s="48" t="str">
        <f ca="1">IF(AND('Planning Sheet'!CX363='Weeks Plan'!$D$6,'Planning Sheet'!CR363='Weeks Plan'!$G$6),'Planning Sheet'!$CU363,"")</f>
        <v/>
      </c>
    </row>
    <row r="4311" spans="25:27" x14ac:dyDescent="0.3">
      <c r="Y4311" s="48" t="str">
        <f ca="1">IF(AND('Planning Sheet'!CX364='Weeks Plan'!$D$6,'Planning Sheet'!CR364='Weeks Plan'!$G$6),'Planning Sheet'!$B364,"")</f>
        <v/>
      </c>
      <c r="Z4311" s="48" t="str">
        <f ca="1">IF(AND('Planning Sheet'!CX364='Weeks Plan'!$D$6,'Planning Sheet'!CR364='Weeks Plan'!$G$6),'Planning Sheet'!$CT364,"")</f>
        <v/>
      </c>
      <c r="AA4311" s="48" t="str">
        <f ca="1">IF(AND('Planning Sheet'!CX364='Weeks Plan'!$D$6,'Planning Sheet'!CR364='Weeks Plan'!$G$6),'Planning Sheet'!$CU364,"")</f>
        <v/>
      </c>
    </row>
    <row r="4312" spans="25:27" x14ac:dyDescent="0.3">
      <c r="Y4312" s="48" t="str">
        <f ca="1">IF(AND('Planning Sheet'!CX365='Weeks Plan'!$D$6,'Planning Sheet'!CR365='Weeks Plan'!$G$6),'Planning Sheet'!$B365,"")</f>
        <v/>
      </c>
      <c r="Z4312" s="48" t="str">
        <f ca="1">IF(AND('Planning Sheet'!CX365='Weeks Plan'!$D$6,'Planning Sheet'!CR365='Weeks Plan'!$G$6),'Planning Sheet'!$CT365,"")</f>
        <v/>
      </c>
      <c r="AA4312" s="48" t="str">
        <f ca="1">IF(AND('Planning Sheet'!CX365='Weeks Plan'!$D$6,'Planning Sheet'!CR365='Weeks Plan'!$G$6),'Planning Sheet'!$CU365,"")</f>
        <v/>
      </c>
    </row>
    <row r="4313" spans="25:27" x14ac:dyDescent="0.3">
      <c r="Y4313" s="48" t="str">
        <f ca="1">IF(AND('Planning Sheet'!CX366='Weeks Plan'!$D$6,'Planning Sheet'!CR366='Weeks Plan'!$G$6),'Planning Sheet'!$B366,"")</f>
        <v/>
      </c>
      <c r="Z4313" s="48" t="str">
        <f ca="1">IF(AND('Planning Sheet'!CX366='Weeks Plan'!$D$6,'Planning Sheet'!CR366='Weeks Plan'!$G$6),'Planning Sheet'!$CT366,"")</f>
        <v/>
      </c>
      <c r="AA4313" s="48" t="str">
        <f ca="1">IF(AND('Planning Sheet'!CX366='Weeks Plan'!$D$6,'Planning Sheet'!CR366='Weeks Plan'!$G$6),'Planning Sheet'!$CU366,"")</f>
        <v/>
      </c>
    </row>
    <row r="4314" spans="25:27" x14ac:dyDescent="0.3">
      <c r="Y4314" s="48" t="str">
        <f ca="1">IF(AND('Planning Sheet'!CX367='Weeks Plan'!$D$6,'Planning Sheet'!CR367='Weeks Plan'!$G$6),'Planning Sheet'!$B367,"")</f>
        <v/>
      </c>
      <c r="Z4314" s="48" t="str">
        <f ca="1">IF(AND('Planning Sheet'!CX367='Weeks Plan'!$D$6,'Planning Sheet'!CR367='Weeks Plan'!$G$6),'Planning Sheet'!$CT367,"")</f>
        <v/>
      </c>
      <c r="AA4314" s="48" t="str">
        <f ca="1">IF(AND('Planning Sheet'!CX367='Weeks Plan'!$D$6,'Planning Sheet'!CR367='Weeks Plan'!$G$6),'Planning Sheet'!$CU367,"")</f>
        <v/>
      </c>
    </row>
    <row r="4315" spans="25:27" x14ac:dyDescent="0.3">
      <c r="Y4315" s="48" t="str">
        <f ca="1">IF(AND('Planning Sheet'!CX368='Weeks Plan'!$D$6,'Planning Sheet'!CR368='Weeks Plan'!$G$6),'Planning Sheet'!$B368,"")</f>
        <v/>
      </c>
      <c r="Z4315" s="48" t="str">
        <f ca="1">IF(AND('Planning Sheet'!CX368='Weeks Plan'!$D$6,'Planning Sheet'!CR368='Weeks Plan'!$G$6),'Planning Sheet'!$CT368,"")</f>
        <v/>
      </c>
      <c r="AA4315" s="48" t="str">
        <f ca="1">IF(AND('Planning Sheet'!CX368='Weeks Plan'!$D$6,'Planning Sheet'!CR368='Weeks Plan'!$G$6),'Planning Sheet'!$CU368,"")</f>
        <v/>
      </c>
    </row>
    <row r="4316" spans="25:27" x14ac:dyDescent="0.3">
      <c r="Y4316" s="48" t="str">
        <f ca="1">IF(AND('Planning Sheet'!CX369='Weeks Plan'!$D$6,'Planning Sheet'!CR369='Weeks Plan'!$G$6),'Planning Sheet'!$B369,"")</f>
        <v/>
      </c>
      <c r="Z4316" s="48" t="str">
        <f ca="1">IF(AND('Planning Sheet'!CX369='Weeks Plan'!$D$6,'Planning Sheet'!CR369='Weeks Plan'!$G$6),'Planning Sheet'!$CT369,"")</f>
        <v/>
      </c>
      <c r="AA4316" s="48" t="str">
        <f ca="1">IF(AND('Planning Sheet'!CX369='Weeks Plan'!$D$6,'Planning Sheet'!CR369='Weeks Plan'!$G$6),'Planning Sheet'!$CU369,"")</f>
        <v/>
      </c>
    </row>
    <row r="4317" spans="25:27" x14ac:dyDescent="0.3">
      <c r="Y4317" s="48" t="str">
        <f ca="1">IF(AND('Planning Sheet'!CX370='Weeks Plan'!$D$6,'Planning Sheet'!CR370='Weeks Plan'!$G$6),'Planning Sheet'!$B370,"")</f>
        <v/>
      </c>
      <c r="Z4317" s="48" t="str">
        <f ca="1">IF(AND('Planning Sheet'!CX370='Weeks Plan'!$D$6,'Planning Sheet'!CR370='Weeks Plan'!$G$6),'Planning Sheet'!$CT370,"")</f>
        <v/>
      </c>
      <c r="AA4317" s="48" t="str">
        <f ca="1">IF(AND('Planning Sheet'!CX370='Weeks Plan'!$D$6,'Planning Sheet'!CR370='Weeks Plan'!$G$6),'Planning Sheet'!$CU370,"")</f>
        <v/>
      </c>
    </row>
    <row r="4318" spans="25:27" x14ac:dyDescent="0.3">
      <c r="Y4318" s="48" t="str">
        <f ca="1">IF(AND('Planning Sheet'!CX371='Weeks Plan'!$D$6,'Planning Sheet'!CR371='Weeks Plan'!$G$6),'Planning Sheet'!$B371,"")</f>
        <v/>
      </c>
      <c r="Z4318" s="48" t="str">
        <f ca="1">IF(AND('Planning Sheet'!CX371='Weeks Plan'!$D$6,'Planning Sheet'!CR371='Weeks Plan'!$G$6),'Planning Sheet'!$CT371,"")</f>
        <v/>
      </c>
      <c r="AA4318" s="48" t="str">
        <f ca="1">IF(AND('Planning Sheet'!CX371='Weeks Plan'!$D$6,'Planning Sheet'!CR371='Weeks Plan'!$G$6),'Planning Sheet'!$CU371,"")</f>
        <v/>
      </c>
    </row>
    <row r="4319" spans="25:27" x14ac:dyDescent="0.3">
      <c r="Y4319" s="48" t="str">
        <f ca="1">IF(AND('Planning Sheet'!CX372='Weeks Plan'!$D$6,'Planning Sheet'!CR372='Weeks Plan'!$G$6),'Planning Sheet'!$B372,"")</f>
        <v/>
      </c>
      <c r="Z4319" s="48" t="str">
        <f ca="1">IF(AND('Planning Sheet'!CX372='Weeks Plan'!$D$6,'Planning Sheet'!CR372='Weeks Plan'!$G$6),'Planning Sheet'!$CT372,"")</f>
        <v/>
      </c>
      <c r="AA4319" s="48" t="str">
        <f ca="1">IF(AND('Planning Sheet'!CX372='Weeks Plan'!$D$6,'Planning Sheet'!CR372='Weeks Plan'!$G$6),'Planning Sheet'!$CU372,"")</f>
        <v/>
      </c>
    </row>
    <row r="4320" spans="25:27" x14ac:dyDescent="0.3">
      <c r="Y4320" s="48" t="str">
        <f ca="1">IF(AND('Planning Sheet'!CX373='Weeks Plan'!$D$6,'Planning Sheet'!CR373='Weeks Plan'!$G$6),'Planning Sheet'!$B373,"")</f>
        <v/>
      </c>
      <c r="Z4320" s="48" t="str">
        <f ca="1">IF(AND('Planning Sheet'!CX373='Weeks Plan'!$D$6,'Planning Sheet'!CR373='Weeks Plan'!$G$6),'Planning Sheet'!$CT373,"")</f>
        <v/>
      </c>
      <c r="AA4320" s="48" t="str">
        <f ca="1">IF(AND('Planning Sheet'!CX373='Weeks Plan'!$D$6,'Planning Sheet'!CR373='Weeks Plan'!$G$6),'Planning Sheet'!$CU373,"")</f>
        <v/>
      </c>
    </row>
    <row r="4321" spans="25:27" x14ac:dyDescent="0.3">
      <c r="Y4321" s="48" t="str">
        <f ca="1">IF(AND('Planning Sheet'!CX374='Weeks Plan'!$D$6,'Planning Sheet'!CR374='Weeks Plan'!$G$6),'Planning Sheet'!$B374,"")</f>
        <v/>
      </c>
      <c r="Z4321" s="48" t="str">
        <f ca="1">IF(AND('Planning Sheet'!CX374='Weeks Plan'!$D$6,'Planning Sheet'!CR374='Weeks Plan'!$G$6),'Planning Sheet'!$CT374,"")</f>
        <v/>
      </c>
      <c r="AA4321" s="48" t="str">
        <f ca="1">IF(AND('Planning Sheet'!CX374='Weeks Plan'!$D$6,'Planning Sheet'!CR374='Weeks Plan'!$G$6),'Planning Sheet'!$CU374,"")</f>
        <v/>
      </c>
    </row>
    <row r="4322" spans="25:27" x14ac:dyDescent="0.3">
      <c r="Y4322" s="48" t="str">
        <f ca="1">IF(AND('Planning Sheet'!CX375='Weeks Plan'!$D$6,'Planning Sheet'!CR375='Weeks Plan'!$G$6),'Planning Sheet'!$B375,"")</f>
        <v/>
      </c>
      <c r="Z4322" s="48" t="str">
        <f ca="1">IF(AND('Planning Sheet'!CX375='Weeks Plan'!$D$6,'Planning Sheet'!CR375='Weeks Plan'!$G$6),'Planning Sheet'!$CT375,"")</f>
        <v/>
      </c>
      <c r="AA4322" s="48" t="str">
        <f ca="1">IF(AND('Planning Sheet'!CX375='Weeks Plan'!$D$6,'Planning Sheet'!CR375='Weeks Plan'!$G$6),'Planning Sheet'!$CU375,"")</f>
        <v/>
      </c>
    </row>
    <row r="4323" spans="25:27" x14ac:dyDescent="0.3">
      <c r="Y4323" s="48" t="str">
        <f ca="1">IF(AND('Planning Sheet'!CX376='Weeks Plan'!$D$6,'Planning Sheet'!CR376='Weeks Plan'!$G$6),'Planning Sheet'!$B376,"")</f>
        <v/>
      </c>
      <c r="Z4323" s="48" t="str">
        <f ca="1">IF(AND('Planning Sheet'!CX376='Weeks Plan'!$D$6,'Planning Sheet'!CR376='Weeks Plan'!$G$6),'Planning Sheet'!$CT376,"")</f>
        <v/>
      </c>
      <c r="AA4323" s="48" t="str">
        <f ca="1">IF(AND('Planning Sheet'!CX376='Weeks Plan'!$D$6,'Planning Sheet'!CR376='Weeks Plan'!$G$6),'Planning Sheet'!$CU376,"")</f>
        <v/>
      </c>
    </row>
    <row r="4324" spans="25:27" x14ac:dyDescent="0.3">
      <c r="Y4324" s="48" t="str">
        <f ca="1">IF(AND('Planning Sheet'!CX377='Weeks Plan'!$D$6,'Planning Sheet'!CR377='Weeks Plan'!$G$6),'Planning Sheet'!$B377,"")</f>
        <v/>
      </c>
      <c r="Z4324" s="48" t="str">
        <f ca="1">IF(AND('Planning Sheet'!CX377='Weeks Plan'!$D$6,'Planning Sheet'!CR377='Weeks Plan'!$G$6),'Planning Sheet'!$CT377,"")</f>
        <v/>
      </c>
      <c r="AA4324" s="48" t="str">
        <f ca="1">IF(AND('Planning Sheet'!CX377='Weeks Plan'!$D$6,'Planning Sheet'!CR377='Weeks Plan'!$G$6),'Planning Sheet'!$CU377,"")</f>
        <v/>
      </c>
    </row>
    <row r="4325" spans="25:27" x14ac:dyDescent="0.3">
      <c r="Y4325" s="48" t="str">
        <f ca="1">IF(AND('Planning Sheet'!CX378='Weeks Plan'!$D$6,'Planning Sheet'!CR378='Weeks Plan'!$G$6),'Planning Sheet'!$B378,"")</f>
        <v/>
      </c>
      <c r="Z4325" s="48" t="str">
        <f ca="1">IF(AND('Planning Sheet'!CX378='Weeks Plan'!$D$6,'Planning Sheet'!CR378='Weeks Plan'!$G$6),'Planning Sheet'!$CT378,"")</f>
        <v/>
      </c>
      <c r="AA4325" s="48" t="str">
        <f ca="1">IF(AND('Planning Sheet'!CX378='Weeks Plan'!$D$6,'Planning Sheet'!CR378='Weeks Plan'!$G$6),'Planning Sheet'!$CU378,"")</f>
        <v/>
      </c>
    </row>
    <row r="4326" spans="25:27" x14ac:dyDescent="0.3">
      <c r="Y4326" s="48" t="str">
        <f ca="1">IF(AND('Planning Sheet'!CX379='Weeks Plan'!$D$6,'Planning Sheet'!CR379='Weeks Plan'!$G$6),'Planning Sheet'!$B379,"")</f>
        <v/>
      </c>
      <c r="Z4326" s="48" t="str">
        <f ca="1">IF(AND('Planning Sheet'!CX379='Weeks Plan'!$D$6,'Planning Sheet'!CR379='Weeks Plan'!$G$6),'Planning Sheet'!$CT379,"")</f>
        <v/>
      </c>
      <c r="AA4326" s="48" t="str">
        <f ca="1">IF(AND('Planning Sheet'!CX379='Weeks Plan'!$D$6,'Planning Sheet'!CR379='Weeks Plan'!$G$6),'Planning Sheet'!$CU379,"")</f>
        <v/>
      </c>
    </row>
    <row r="4327" spans="25:27" x14ac:dyDescent="0.3">
      <c r="Y4327" s="48" t="str">
        <f ca="1">IF(AND('Planning Sheet'!CX380='Weeks Plan'!$D$6,'Planning Sheet'!CR380='Weeks Plan'!$G$6),'Planning Sheet'!$B380,"")</f>
        <v/>
      </c>
      <c r="Z4327" s="48" t="str">
        <f ca="1">IF(AND('Planning Sheet'!CX380='Weeks Plan'!$D$6,'Planning Sheet'!CR380='Weeks Plan'!$G$6),'Planning Sheet'!$CT380,"")</f>
        <v/>
      </c>
      <c r="AA4327" s="48" t="str">
        <f ca="1">IF(AND('Planning Sheet'!CX380='Weeks Plan'!$D$6,'Planning Sheet'!CR380='Weeks Plan'!$G$6),'Planning Sheet'!$CU380,"")</f>
        <v/>
      </c>
    </row>
    <row r="4328" spans="25:27" x14ac:dyDescent="0.3">
      <c r="Y4328" s="48" t="str">
        <f ca="1">IF(AND('Planning Sheet'!CX381='Weeks Plan'!$D$6,'Planning Sheet'!CR381='Weeks Plan'!$G$6),'Planning Sheet'!$B381,"")</f>
        <v/>
      </c>
      <c r="Z4328" s="48" t="str">
        <f ca="1">IF(AND('Planning Sheet'!CX381='Weeks Plan'!$D$6,'Planning Sheet'!CR381='Weeks Plan'!$G$6),'Planning Sheet'!$CT381,"")</f>
        <v/>
      </c>
      <c r="AA4328" s="48" t="str">
        <f ca="1">IF(AND('Planning Sheet'!CX381='Weeks Plan'!$D$6,'Planning Sheet'!CR381='Weeks Plan'!$G$6),'Planning Sheet'!$CU381,"")</f>
        <v/>
      </c>
    </row>
    <row r="4329" spans="25:27" x14ac:dyDescent="0.3">
      <c r="Y4329" s="48" t="str">
        <f ca="1">IF(AND('Planning Sheet'!CX382='Weeks Plan'!$D$6,'Planning Sheet'!CR382='Weeks Plan'!$G$6),'Planning Sheet'!$B382,"")</f>
        <v/>
      </c>
      <c r="Z4329" s="48" t="str">
        <f ca="1">IF(AND('Planning Sheet'!CX382='Weeks Plan'!$D$6,'Planning Sheet'!CR382='Weeks Plan'!$G$6),'Planning Sheet'!$CT382,"")</f>
        <v/>
      </c>
      <c r="AA4329" s="48" t="str">
        <f ca="1">IF(AND('Planning Sheet'!CX382='Weeks Plan'!$D$6,'Planning Sheet'!CR382='Weeks Plan'!$G$6),'Planning Sheet'!$CU382,"")</f>
        <v/>
      </c>
    </row>
    <row r="4330" spans="25:27" x14ac:dyDescent="0.3">
      <c r="Y4330" s="48" t="str">
        <f ca="1">IF(AND('Planning Sheet'!CX383='Weeks Plan'!$D$6,'Planning Sheet'!CR383='Weeks Plan'!$G$6),'Planning Sheet'!$B383,"")</f>
        <v/>
      </c>
      <c r="Z4330" s="48" t="str">
        <f ca="1">IF(AND('Planning Sheet'!CX383='Weeks Plan'!$D$6,'Planning Sheet'!CR383='Weeks Plan'!$G$6),'Planning Sheet'!$CT383,"")</f>
        <v/>
      </c>
      <c r="AA4330" s="48" t="str">
        <f ca="1">IF(AND('Planning Sheet'!CX383='Weeks Plan'!$D$6,'Planning Sheet'!CR383='Weeks Plan'!$G$6),'Planning Sheet'!$CU383,"")</f>
        <v/>
      </c>
    </row>
    <row r="4331" spans="25:27" x14ac:dyDescent="0.3">
      <c r="Y4331" s="48" t="str">
        <f ca="1">IF(AND('Planning Sheet'!CX384='Weeks Plan'!$D$6,'Planning Sheet'!CR384='Weeks Plan'!$G$6),'Planning Sheet'!$B384,"")</f>
        <v/>
      </c>
      <c r="Z4331" s="48" t="str">
        <f ca="1">IF(AND('Planning Sheet'!CX384='Weeks Plan'!$D$6,'Planning Sheet'!CR384='Weeks Plan'!$G$6),'Planning Sheet'!$CT384,"")</f>
        <v/>
      </c>
      <c r="AA4331" s="48" t="str">
        <f ca="1">IF(AND('Planning Sheet'!CX384='Weeks Plan'!$D$6,'Planning Sheet'!CR384='Weeks Plan'!$G$6),'Planning Sheet'!$CU384,"")</f>
        <v/>
      </c>
    </row>
    <row r="4332" spans="25:27" x14ac:dyDescent="0.3">
      <c r="Y4332" s="48" t="str">
        <f ca="1">IF(AND('Planning Sheet'!CX385='Weeks Plan'!$D$6,'Planning Sheet'!CR385='Weeks Plan'!$G$6),'Planning Sheet'!$B385,"")</f>
        <v/>
      </c>
      <c r="Z4332" s="48" t="str">
        <f ca="1">IF(AND('Planning Sheet'!CX385='Weeks Plan'!$D$6,'Planning Sheet'!CR385='Weeks Plan'!$G$6),'Planning Sheet'!$CT385,"")</f>
        <v/>
      </c>
      <c r="AA4332" s="48" t="str">
        <f ca="1">IF(AND('Planning Sheet'!CX385='Weeks Plan'!$D$6,'Planning Sheet'!CR385='Weeks Plan'!$G$6),'Planning Sheet'!$CU385,"")</f>
        <v/>
      </c>
    </row>
    <row r="4333" spans="25:27" x14ac:dyDescent="0.3">
      <c r="Y4333" s="48" t="str">
        <f ca="1">IF(AND('Planning Sheet'!CX386='Weeks Plan'!$D$6,'Planning Sheet'!CR386='Weeks Plan'!$G$6),'Planning Sheet'!$B386,"")</f>
        <v/>
      </c>
      <c r="Z4333" s="48" t="str">
        <f ca="1">IF(AND('Planning Sheet'!CX386='Weeks Plan'!$D$6,'Planning Sheet'!CR386='Weeks Plan'!$G$6),'Planning Sheet'!$CT386,"")</f>
        <v/>
      </c>
      <c r="AA4333" s="48" t="str">
        <f ca="1">IF(AND('Planning Sheet'!CX386='Weeks Plan'!$D$6,'Planning Sheet'!CR386='Weeks Plan'!$G$6),'Planning Sheet'!$CU386,"")</f>
        <v/>
      </c>
    </row>
    <row r="4334" spans="25:27" x14ac:dyDescent="0.3">
      <c r="Y4334" s="48" t="str">
        <f ca="1">IF(AND('Planning Sheet'!CX387='Weeks Plan'!$D$6,'Planning Sheet'!CR387='Weeks Plan'!$G$6),'Planning Sheet'!$B387,"")</f>
        <v/>
      </c>
      <c r="Z4334" s="48" t="str">
        <f ca="1">IF(AND('Planning Sheet'!CX387='Weeks Plan'!$D$6,'Planning Sheet'!CR387='Weeks Plan'!$G$6),'Planning Sheet'!$CT387,"")</f>
        <v/>
      </c>
      <c r="AA4334" s="48" t="str">
        <f ca="1">IF(AND('Planning Sheet'!CX387='Weeks Plan'!$D$6,'Planning Sheet'!CR387='Weeks Plan'!$G$6),'Planning Sheet'!$CU387,"")</f>
        <v/>
      </c>
    </row>
    <row r="4335" spans="25:27" x14ac:dyDescent="0.3">
      <c r="Y4335" s="48" t="str">
        <f ca="1">IF(AND('Planning Sheet'!CX388='Weeks Plan'!$D$6,'Planning Sheet'!CR388='Weeks Plan'!$G$6),'Planning Sheet'!$B388,"")</f>
        <v/>
      </c>
      <c r="Z4335" s="48" t="str">
        <f ca="1">IF(AND('Planning Sheet'!CX388='Weeks Plan'!$D$6,'Planning Sheet'!CR388='Weeks Plan'!$G$6),'Planning Sheet'!$CT388,"")</f>
        <v/>
      </c>
      <c r="AA4335" s="48" t="str">
        <f ca="1">IF(AND('Planning Sheet'!CX388='Weeks Plan'!$D$6,'Planning Sheet'!CR388='Weeks Plan'!$G$6),'Planning Sheet'!$CU388,"")</f>
        <v/>
      </c>
    </row>
    <row r="4336" spans="25:27" x14ac:dyDescent="0.3">
      <c r="Y4336" s="48" t="str">
        <f ca="1">IF(AND('Planning Sheet'!CX389='Weeks Plan'!$D$6,'Planning Sheet'!CR389='Weeks Plan'!$G$6),'Planning Sheet'!$B389,"")</f>
        <v/>
      </c>
      <c r="Z4336" s="48" t="str">
        <f ca="1">IF(AND('Planning Sheet'!CX389='Weeks Plan'!$D$6,'Planning Sheet'!CR389='Weeks Plan'!$G$6),'Planning Sheet'!$CT389,"")</f>
        <v/>
      </c>
      <c r="AA4336" s="48" t="str">
        <f ca="1">IF(AND('Planning Sheet'!CX389='Weeks Plan'!$D$6,'Planning Sheet'!CR389='Weeks Plan'!$G$6),'Planning Sheet'!$CU389,"")</f>
        <v/>
      </c>
    </row>
    <row r="4337" spans="25:27" x14ac:dyDescent="0.3">
      <c r="Y4337" s="48" t="str">
        <f ca="1">IF(AND('Planning Sheet'!CX390='Weeks Plan'!$D$6,'Planning Sheet'!CR390='Weeks Plan'!$G$6),'Planning Sheet'!$B390,"")</f>
        <v/>
      </c>
      <c r="Z4337" s="48" t="str">
        <f ca="1">IF(AND('Planning Sheet'!CX390='Weeks Plan'!$D$6,'Planning Sheet'!CR390='Weeks Plan'!$G$6),'Planning Sheet'!$CT390,"")</f>
        <v/>
      </c>
      <c r="AA4337" s="48" t="str">
        <f ca="1">IF(AND('Planning Sheet'!CX390='Weeks Plan'!$D$6,'Planning Sheet'!CR390='Weeks Plan'!$G$6),'Planning Sheet'!$CU390,"")</f>
        <v/>
      </c>
    </row>
    <row r="4338" spans="25:27" x14ac:dyDescent="0.3">
      <c r="Y4338" s="48" t="str">
        <f ca="1">IF(AND('Planning Sheet'!CX391='Weeks Plan'!$D$6,'Planning Sheet'!CR391='Weeks Plan'!$G$6),'Planning Sheet'!$B391,"")</f>
        <v/>
      </c>
      <c r="Z4338" s="48" t="str">
        <f ca="1">IF(AND('Planning Sheet'!CX391='Weeks Plan'!$D$6,'Planning Sheet'!CR391='Weeks Plan'!$G$6),'Planning Sheet'!$CT391,"")</f>
        <v/>
      </c>
      <c r="AA4338" s="48" t="str">
        <f ca="1">IF(AND('Planning Sheet'!CX391='Weeks Plan'!$D$6,'Planning Sheet'!CR391='Weeks Plan'!$G$6),'Planning Sheet'!$CU391,"")</f>
        <v/>
      </c>
    </row>
    <row r="4339" spans="25:27" x14ac:dyDescent="0.3">
      <c r="Y4339" s="48" t="str">
        <f ca="1">IF(AND('Planning Sheet'!CX392='Weeks Plan'!$D$6,'Planning Sheet'!CR392='Weeks Plan'!$G$6),'Planning Sheet'!$B392,"")</f>
        <v/>
      </c>
      <c r="Z4339" s="48" t="str">
        <f ca="1">IF(AND('Planning Sheet'!CX392='Weeks Plan'!$D$6,'Planning Sheet'!CR392='Weeks Plan'!$G$6),'Planning Sheet'!$CT392,"")</f>
        <v/>
      </c>
      <c r="AA4339" s="48" t="str">
        <f ca="1">IF(AND('Planning Sheet'!CX392='Weeks Plan'!$D$6,'Planning Sheet'!CR392='Weeks Plan'!$G$6),'Planning Sheet'!$CU392,"")</f>
        <v/>
      </c>
    </row>
    <row r="4340" spans="25:27" x14ac:dyDescent="0.3">
      <c r="Y4340" s="48" t="str">
        <f ca="1">IF(AND('Planning Sheet'!CX393='Weeks Plan'!$D$6,'Planning Sheet'!CR393='Weeks Plan'!$G$6),'Planning Sheet'!$B393,"")</f>
        <v/>
      </c>
      <c r="Z4340" s="48" t="str">
        <f ca="1">IF(AND('Planning Sheet'!CX393='Weeks Plan'!$D$6,'Planning Sheet'!CR393='Weeks Plan'!$G$6),'Planning Sheet'!$CT393,"")</f>
        <v/>
      </c>
      <c r="AA4340" s="48" t="str">
        <f ca="1">IF(AND('Planning Sheet'!CX393='Weeks Plan'!$D$6,'Planning Sheet'!CR393='Weeks Plan'!$G$6),'Planning Sheet'!$CU393,"")</f>
        <v/>
      </c>
    </row>
    <row r="4341" spans="25:27" x14ac:dyDescent="0.3">
      <c r="Y4341" s="48" t="str">
        <f ca="1">IF(AND('Planning Sheet'!CX394='Weeks Plan'!$D$6,'Planning Sheet'!CR394='Weeks Plan'!$G$6),'Planning Sheet'!$B394,"")</f>
        <v/>
      </c>
      <c r="Z4341" s="48" t="str">
        <f ca="1">IF(AND('Planning Sheet'!CX394='Weeks Plan'!$D$6,'Planning Sheet'!CR394='Weeks Plan'!$G$6),'Planning Sheet'!$CT394,"")</f>
        <v/>
      </c>
      <c r="AA4341" s="48" t="str">
        <f ca="1">IF(AND('Planning Sheet'!CX394='Weeks Plan'!$D$6,'Planning Sheet'!CR394='Weeks Plan'!$G$6),'Planning Sheet'!$CU394,"")</f>
        <v/>
      </c>
    </row>
    <row r="4342" spans="25:27" x14ac:dyDescent="0.3">
      <c r="Y4342" s="48" t="str">
        <f ca="1">IF(AND('Planning Sheet'!CX395='Weeks Plan'!$D$6,'Planning Sheet'!CR395='Weeks Plan'!$G$6),'Planning Sheet'!$B395,"")</f>
        <v/>
      </c>
      <c r="Z4342" s="48" t="str">
        <f ca="1">IF(AND('Planning Sheet'!CX395='Weeks Plan'!$D$6,'Planning Sheet'!CR395='Weeks Plan'!$G$6),'Planning Sheet'!$CT395,"")</f>
        <v/>
      </c>
      <c r="AA4342" s="48" t="str">
        <f ca="1">IF(AND('Planning Sheet'!CX395='Weeks Plan'!$D$6,'Planning Sheet'!CR395='Weeks Plan'!$G$6),'Planning Sheet'!$CU395,"")</f>
        <v/>
      </c>
    </row>
    <row r="4343" spans="25:27" x14ac:dyDescent="0.3">
      <c r="Y4343" s="48" t="str">
        <f ca="1">IF(AND('Planning Sheet'!CX396='Weeks Plan'!$D$6,'Planning Sheet'!CR396='Weeks Plan'!$G$6),'Planning Sheet'!$B396,"")</f>
        <v/>
      </c>
      <c r="Z4343" s="48" t="str">
        <f ca="1">IF(AND('Planning Sheet'!CX396='Weeks Plan'!$D$6,'Planning Sheet'!CR396='Weeks Plan'!$G$6),'Planning Sheet'!$CT396,"")</f>
        <v/>
      </c>
      <c r="AA4343" s="48" t="str">
        <f ca="1">IF(AND('Planning Sheet'!CX396='Weeks Plan'!$D$6,'Planning Sheet'!CR396='Weeks Plan'!$G$6),'Planning Sheet'!$CU396,"")</f>
        <v/>
      </c>
    </row>
    <row r="4344" spans="25:27" x14ac:dyDescent="0.3">
      <c r="Y4344" s="48" t="str">
        <f ca="1">IF(AND('Planning Sheet'!CX397='Weeks Plan'!$D$6,'Planning Sheet'!CR397='Weeks Plan'!$G$6),'Planning Sheet'!$B397,"")</f>
        <v/>
      </c>
      <c r="Z4344" s="48" t="str">
        <f ca="1">IF(AND('Planning Sheet'!CX397='Weeks Plan'!$D$6,'Planning Sheet'!CR397='Weeks Plan'!$G$6),'Planning Sheet'!$CT397,"")</f>
        <v/>
      </c>
      <c r="AA4344" s="48" t="str">
        <f ca="1">IF(AND('Planning Sheet'!CX397='Weeks Plan'!$D$6,'Planning Sheet'!CR397='Weeks Plan'!$G$6),'Planning Sheet'!$CU397,"")</f>
        <v/>
      </c>
    </row>
    <row r="4345" spans="25:27" x14ac:dyDescent="0.3">
      <c r="Y4345" s="48" t="str">
        <f ca="1">IF(AND('Planning Sheet'!CX398='Weeks Plan'!$D$6,'Planning Sheet'!CR398='Weeks Plan'!$G$6),'Planning Sheet'!$B398,"")</f>
        <v/>
      </c>
      <c r="Z4345" s="48" t="str">
        <f ca="1">IF(AND('Planning Sheet'!CX398='Weeks Plan'!$D$6,'Planning Sheet'!CR398='Weeks Plan'!$G$6),'Planning Sheet'!$CT398,"")</f>
        <v/>
      </c>
      <c r="AA4345" s="48" t="str">
        <f ca="1">IF(AND('Planning Sheet'!CX398='Weeks Plan'!$D$6,'Planning Sheet'!CR398='Weeks Plan'!$G$6),'Planning Sheet'!$CU398,"")</f>
        <v/>
      </c>
    </row>
    <row r="4346" spans="25:27" x14ac:dyDescent="0.3">
      <c r="Y4346" s="48" t="str">
        <f ca="1">IF(AND('Planning Sheet'!CX399='Weeks Plan'!$D$6,'Planning Sheet'!CR399='Weeks Plan'!$G$6),'Planning Sheet'!$B399,"")</f>
        <v/>
      </c>
      <c r="Z4346" s="48" t="str">
        <f ca="1">IF(AND('Planning Sheet'!CX399='Weeks Plan'!$D$6,'Planning Sheet'!CR399='Weeks Plan'!$G$6),'Planning Sheet'!$CT399,"")</f>
        <v/>
      </c>
      <c r="AA4346" s="48" t="str">
        <f ca="1">IF(AND('Planning Sheet'!CX399='Weeks Plan'!$D$6,'Planning Sheet'!CR399='Weeks Plan'!$G$6),'Planning Sheet'!$CU399,"")</f>
        <v/>
      </c>
    </row>
    <row r="4347" spans="25:27" x14ac:dyDescent="0.3">
      <c r="Y4347" s="48" t="str">
        <f ca="1">IF(AND('Planning Sheet'!CX400='Weeks Plan'!$D$6,'Planning Sheet'!CR400='Weeks Plan'!$G$6),'Planning Sheet'!$B400,"")</f>
        <v/>
      </c>
      <c r="Z4347" s="48" t="str">
        <f ca="1">IF(AND('Planning Sheet'!CX400='Weeks Plan'!$D$6,'Planning Sheet'!CR400='Weeks Plan'!$G$6),'Planning Sheet'!$CT400,"")</f>
        <v/>
      </c>
      <c r="AA4347" s="48" t="str">
        <f ca="1">IF(AND('Planning Sheet'!CX400='Weeks Plan'!$D$6,'Planning Sheet'!CR400='Weeks Plan'!$G$6),'Planning Sheet'!$CU400,"")</f>
        <v/>
      </c>
    </row>
    <row r="4348" spans="25:27" x14ac:dyDescent="0.3">
      <c r="Y4348" s="48" t="str">
        <f ca="1">IF(AND('Planning Sheet'!CX401='Weeks Plan'!$D$6,'Planning Sheet'!CR401='Weeks Plan'!$G$6),'Planning Sheet'!$B401,"")</f>
        <v/>
      </c>
      <c r="Z4348" s="48" t="str">
        <f ca="1">IF(AND('Planning Sheet'!CX401='Weeks Plan'!$D$6,'Planning Sheet'!CR401='Weeks Plan'!$G$6),'Planning Sheet'!$CT401,"")</f>
        <v/>
      </c>
      <c r="AA4348" s="48" t="str">
        <f ca="1">IF(AND('Planning Sheet'!CX401='Weeks Plan'!$D$6,'Planning Sheet'!CR401='Weeks Plan'!$G$6),'Planning Sheet'!$CU401,"")</f>
        <v/>
      </c>
    </row>
    <row r="4349" spans="25:27" x14ac:dyDescent="0.3">
      <c r="Y4349" s="48" t="str">
        <f ca="1">IF(AND('Planning Sheet'!CX402='Weeks Plan'!$D$6,'Planning Sheet'!CR402='Weeks Plan'!$G$6),'Planning Sheet'!$B402,"")</f>
        <v/>
      </c>
      <c r="Z4349" s="48" t="str">
        <f ca="1">IF(AND('Planning Sheet'!CX402='Weeks Plan'!$D$6,'Planning Sheet'!CR402='Weeks Plan'!$G$6),'Planning Sheet'!$CT402,"")</f>
        <v/>
      </c>
      <c r="AA4349" s="48" t="str">
        <f ca="1">IF(AND('Planning Sheet'!CX402='Weeks Plan'!$D$6,'Planning Sheet'!CR402='Weeks Plan'!$G$6),'Planning Sheet'!$CU402,"")</f>
        <v/>
      </c>
    </row>
    <row r="4350" spans="25:27" x14ac:dyDescent="0.3">
      <c r="Y4350" s="48" t="str">
        <f ca="1">IF(AND('Planning Sheet'!CX403='Weeks Plan'!$D$6,'Planning Sheet'!CR403='Weeks Plan'!$G$6),'Planning Sheet'!$B403,"")</f>
        <v/>
      </c>
      <c r="Z4350" s="48" t="str">
        <f ca="1">IF(AND('Planning Sheet'!CX403='Weeks Plan'!$D$6,'Planning Sheet'!CR403='Weeks Plan'!$G$6),'Planning Sheet'!$CT403,"")</f>
        <v/>
      </c>
      <c r="AA4350" s="48" t="str">
        <f ca="1">IF(AND('Planning Sheet'!CX403='Weeks Plan'!$D$6,'Planning Sheet'!CR403='Weeks Plan'!$G$6),'Planning Sheet'!$CU403,"")</f>
        <v/>
      </c>
    </row>
    <row r="4351" spans="25:27" x14ac:dyDescent="0.3">
      <c r="Y4351" s="48" t="str">
        <f ca="1">IF(AND('Planning Sheet'!CX404='Weeks Plan'!$D$6,'Planning Sheet'!CR404='Weeks Plan'!$G$6),'Planning Sheet'!$B404,"")</f>
        <v/>
      </c>
      <c r="Z4351" s="48" t="str">
        <f ca="1">IF(AND('Planning Sheet'!CX404='Weeks Plan'!$D$6,'Planning Sheet'!CR404='Weeks Plan'!$G$6),'Planning Sheet'!$CT404,"")</f>
        <v/>
      </c>
      <c r="AA4351" s="48" t="str">
        <f ca="1">IF(AND('Planning Sheet'!CX404='Weeks Plan'!$D$6,'Planning Sheet'!CR404='Weeks Plan'!$G$6),'Planning Sheet'!$CU404,"")</f>
        <v/>
      </c>
    </row>
    <row r="4352" spans="25:27" x14ac:dyDescent="0.3">
      <c r="Y4352" s="48" t="str">
        <f ca="1">IF(AND('Planning Sheet'!CX405='Weeks Plan'!$D$6,'Planning Sheet'!CR405='Weeks Plan'!$G$6),'Planning Sheet'!$B405,"")</f>
        <v/>
      </c>
      <c r="Z4352" s="48" t="str">
        <f ca="1">IF(AND('Planning Sheet'!CX405='Weeks Plan'!$D$6,'Planning Sheet'!CR405='Weeks Plan'!$G$6),'Planning Sheet'!$CT405,"")</f>
        <v/>
      </c>
      <c r="AA4352" s="48" t="str">
        <f ca="1">IF(AND('Planning Sheet'!CX405='Weeks Plan'!$D$6,'Planning Sheet'!CR405='Weeks Plan'!$G$6),'Planning Sheet'!$CU405,"")</f>
        <v/>
      </c>
    </row>
    <row r="4353" spans="25:27" x14ac:dyDescent="0.3">
      <c r="Y4353" s="48" t="str">
        <f ca="1">IF(AND('Planning Sheet'!CX406='Weeks Plan'!$D$6,'Planning Sheet'!CR406='Weeks Plan'!$G$6),'Planning Sheet'!$B406,"")</f>
        <v/>
      </c>
      <c r="Z4353" s="48" t="str">
        <f ca="1">IF(AND('Planning Sheet'!CX406='Weeks Plan'!$D$6,'Planning Sheet'!CR406='Weeks Plan'!$G$6),'Planning Sheet'!$CT406,"")</f>
        <v/>
      </c>
      <c r="AA4353" s="48" t="str">
        <f ca="1">IF(AND('Planning Sheet'!CX406='Weeks Plan'!$D$6,'Planning Sheet'!CR406='Weeks Plan'!$G$6),'Planning Sheet'!$CU406,"")</f>
        <v/>
      </c>
    </row>
    <row r="4354" spans="25:27" x14ac:dyDescent="0.3">
      <c r="Y4354" s="48" t="str">
        <f ca="1">IF(AND('Planning Sheet'!CX407='Weeks Plan'!$D$6,'Planning Sheet'!CR407='Weeks Plan'!$G$6),'Planning Sheet'!$B407,"")</f>
        <v/>
      </c>
      <c r="Z4354" s="48" t="str">
        <f ca="1">IF(AND('Planning Sheet'!CX407='Weeks Plan'!$D$6,'Planning Sheet'!CR407='Weeks Plan'!$G$6),'Planning Sheet'!$CT407,"")</f>
        <v/>
      </c>
      <c r="AA4354" s="48" t="str">
        <f ca="1">IF(AND('Planning Sheet'!CX407='Weeks Plan'!$D$6,'Planning Sheet'!CR407='Weeks Plan'!$G$6),'Planning Sheet'!$CU407,"")</f>
        <v/>
      </c>
    </row>
    <row r="4355" spans="25:27" x14ac:dyDescent="0.3">
      <c r="Y4355" s="48" t="str">
        <f ca="1">IF(AND('Planning Sheet'!CX408='Weeks Plan'!$D$6,'Planning Sheet'!CR408='Weeks Plan'!$G$6),'Planning Sheet'!$B408,"")</f>
        <v/>
      </c>
      <c r="Z4355" s="48" t="str">
        <f ca="1">IF(AND('Planning Sheet'!CX408='Weeks Plan'!$D$6,'Planning Sheet'!CR408='Weeks Plan'!$G$6),'Planning Sheet'!$CT408,"")</f>
        <v/>
      </c>
      <c r="AA4355" s="48" t="str">
        <f ca="1">IF(AND('Planning Sheet'!CX408='Weeks Plan'!$D$6,'Planning Sheet'!CR408='Weeks Plan'!$G$6),'Planning Sheet'!$CU408,"")</f>
        <v/>
      </c>
    </row>
    <row r="4356" spans="25:27" x14ac:dyDescent="0.3">
      <c r="Y4356" s="48" t="str">
        <f ca="1">IF(AND('Planning Sheet'!CX409='Weeks Plan'!$D$6,'Planning Sheet'!CR409='Weeks Plan'!$G$6),'Planning Sheet'!$B409,"")</f>
        <v/>
      </c>
      <c r="Z4356" s="48" t="str">
        <f ca="1">IF(AND('Planning Sheet'!CX409='Weeks Plan'!$D$6,'Planning Sheet'!CR409='Weeks Plan'!$G$6),'Planning Sheet'!$CT409,"")</f>
        <v/>
      </c>
      <c r="AA4356" s="48" t="str">
        <f ca="1">IF(AND('Planning Sheet'!CX409='Weeks Plan'!$D$6,'Planning Sheet'!CR409='Weeks Plan'!$G$6),'Planning Sheet'!$CU409,"")</f>
        <v/>
      </c>
    </row>
    <row r="4357" spans="25:27" x14ac:dyDescent="0.3">
      <c r="Y4357" s="48" t="str">
        <f ca="1">IF(AND('Planning Sheet'!CX410='Weeks Plan'!$D$6,'Planning Sheet'!CR410='Weeks Plan'!$G$6),'Planning Sheet'!$B410,"")</f>
        <v/>
      </c>
      <c r="Z4357" s="48" t="str">
        <f ca="1">IF(AND('Planning Sheet'!CX410='Weeks Plan'!$D$6,'Planning Sheet'!CR410='Weeks Plan'!$G$6),'Planning Sheet'!$CT410,"")</f>
        <v/>
      </c>
      <c r="AA4357" s="48" t="str">
        <f ca="1">IF(AND('Planning Sheet'!CX410='Weeks Plan'!$D$6,'Planning Sheet'!CR410='Weeks Plan'!$G$6),'Planning Sheet'!$CU410,"")</f>
        <v/>
      </c>
    </row>
    <row r="4358" spans="25:27" x14ac:dyDescent="0.3">
      <c r="Y4358" s="48" t="str">
        <f ca="1">IF(AND('Planning Sheet'!CX411='Weeks Plan'!$D$6,'Planning Sheet'!CR411='Weeks Plan'!$G$6),'Planning Sheet'!$B411,"")</f>
        <v/>
      </c>
      <c r="Z4358" s="48" t="str">
        <f ca="1">IF(AND('Planning Sheet'!CX411='Weeks Plan'!$D$6,'Planning Sheet'!CR411='Weeks Plan'!$G$6),'Planning Sheet'!$CT411,"")</f>
        <v/>
      </c>
      <c r="AA4358" s="48" t="str">
        <f ca="1">IF(AND('Planning Sheet'!CX411='Weeks Plan'!$D$6,'Planning Sheet'!CR411='Weeks Plan'!$G$6),'Planning Sheet'!$CU411,"")</f>
        <v/>
      </c>
    </row>
    <row r="4359" spans="25:27" x14ac:dyDescent="0.3">
      <c r="Y4359" s="48" t="str">
        <f ca="1">IF(AND('Planning Sheet'!CX412='Weeks Plan'!$D$6,'Planning Sheet'!CR412='Weeks Plan'!$G$6),'Planning Sheet'!$B412,"")</f>
        <v/>
      </c>
      <c r="Z4359" s="48" t="str">
        <f ca="1">IF(AND('Planning Sheet'!CX412='Weeks Plan'!$D$6,'Planning Sheet'!CR412='Weeks Plan'!$G$6),'Planning Sheet'!$CT412,"")</f>
        <v/>
      </c>
      <c r="AA4359" s="48" t="str">
        <f ca="1">IF(AND('Planning Sheet'!CX412='Weeks Plan'!$D$6,'Planning Sheet'!CR412='Weeks Plan'!$G$6),'Planning Sheet'!$CU412,"")</f>
        <v/>
      </c>
    </row>
    <row r="4360" spans="25:27" x14ac:dyDescent="0.3">
      <c r="Y4360" s="48" t="str">
        <f ca="1">IF(AND('Planning Sheet'!CX413='Weeks Plan'!$D$6,'Planning Sheet'!CR413='Weeks Plan'!$G$6),'Planning Sheet'!$B413,"")</f>
        <v/>
      </c>
      <c r="Z4360" s="48" t="str">
        <f ca="1">IF(AND('Planning Sheet'!CX413='Weeks Plan'!$D$6,'Planning Sheet'!CR413='Weeks Plan'!$G$6),'Planning Sheet'!$CT413,"")</f>
        <v/>
      </c>
      <c r="AA4360" s="48" t="str">
        <f ca="1">IF(AND('Planning Sheet'!CX413='Weeks Plan'!$D$6,'Planning Sheet'!CR413='Weeks Plan'!$G$6),'Planning Sheet'!$CU413,"")</f>
        <v/>
      </c>
    </row>
    <row r="4361" spans="25:27" x14ac:dyDescent="0.3">
      <c r="Y4361" s="48" t="str">
        <f ca="1">IF(AND('Planning Sheet'!CX414='Weeks Plan'!$D$6,'Planning Sheet'!CR414='Weeks Plan'!$G$6),'Planning Sheet'!$B414,"")</f>
        <v/>
      </c>
      <c r="Z4361" s="48" t="str">
        <f ca="1">IF(AND('Planning Sheet'!CX414='Weeks Plan'!$D$6,'Planning Sheet'!CR414='Weeks Plan'!$G$6),'Planning Sheet'!$CT414,"")</f>
        <v/>
      </c>
      <c r="AA4361" s="48" t="str">
        <f ca="1">IF(AND('Planning Sheet'!CX414='Weeks Plan'!$D$6,'Planning Sheet'!CR414='Weeks Plan'!$G$6),'Planning Sheet'!$CU414,"")</f>
        <v/>
      </c>
    </row>
    <row r="4362" spans="25:27" x14ac:dyDescent="0.3">
      <c r="Y4362" s="48" t="str">
        <f ca="1">IF(AND('Planning Sheet'!CX415='Weeks Plan'!$D$6,'Planning Sheet'!CR415='Weeks Plan'!$G$6),'Planning Sheet'!$B415,"")</f>
        <v/>
      </c>
      <c r="Z4362" s="48" t="str">
        <f ca="1">IF(AND('Planning Sheet'!CX415='Weeks Plan'!$D$6,'Planning Sheet'!CR415='Weeks Plan'!$G$6),'Planning Sheet'!$CT415,"")</f>
        <v/>
      </c>
      <c r="AA4362" s="48" t="str">
        <f ca="1">IF(AND('Planning Sheet'!CX415='Weeks Plan'!$D$6,'Planning Sheet'!CR415='Weeks Plan'!$G$6),'Planning Sheet'!$CU415,"")</f>
        <v/>
      </c>
    </row>
    <row r="4363" spans="25:27" x14ac:dyDescent="0.3">
      <c r="Y4363" s="48" t="str">
        <f ca="1">IF(AND('Planning Sheet'!CX416='Weeks Plan'!$D$6,'Planning Sheet'!CR416='Weeks Plan'!$G$6),'Planning Sheet'!$B416,"")</f>
        <v/>
      </c>
      <c r="Z4363" s="48" t="str">
        <f ca="1">IF(AND('Planning Sheet'!CX416='Weeks Plan'!$D$6,'Planning Sheet'!CR416='Weeks Plan'!$G$6),'Planning Sheet'!$CT416,"")</f>
        <v/>
      </c>
      <c r="AA4363" s="48" t="str">
        <f ca="1">IF(AND('Planning Sheet'!CX416='Weeks Plan'!$D$6,'Planning Sheet'!CR416='Weeks Plan'!$G$6),'Planning Sheet'!$CU416,"")</f>
        <v/>
      </c>
    </row>
    <row r="4364" spans="25:27" x14ac:dyDescent="0.3">
      <c r="Y4364" s="48" t="str">
        <f ca="1">IF(AND('Planning Sheet'!CX417='Weeks Plan'!$D$6,'Planning Sheet'!CR417='Weeks Plan'!$G$6),'Planning Sheet'!$B417,"")</f>
        <v/>
      </c>
      <c r="Z4364" s="48" t="str">
        <f ca="1">IF(AND('Planning Sheet'!CX417='Weeks Plan'!$D$6,'Planning Sheet'!CR417='Weeks Plan'!$G$6),'Planning Sheet'!$CT417,"")</f>
        <v/>
      </c>
      <c r="AA4364" s="48" t="str">
        <f ca="1">IF(AND('Planning Sheet'!CX417='Weeks Plan'!$D$6,'Planning Sheet'!CR417='Weeks Plan'!$G$6),'Planning Sheet'!$CU417,"")</f>
        <v/>
      </c>
    </row>
    <row r="4365" spans="25:27" x14ac:dyDescent="0.3">
      <c r="Y4365" s="48" t="str">
        <f ca="1">IF(AND('Planning Sheet'!CX418='Weeks Plan'!$D$6,'Planning Sheet'!CR418='Weeks Plan'!$G$6),'Planning Sheet'!$B418,"")</f>
        <v/>
      </c>
      <c r="Z4365" s="48" t="str">
        <f ca="1">IF(AND('Planning Sheet'!CX418='Weeks Plan'!$D$6,'Planning Sheet'!CR418='Weeks Plan'!$G$6),'Planning Sheet'!$CT418,"")</f>
        <v/>
      </c>
      <c r="AA4365" s="48" t="str">
        <f ca="1">IF(AND('Planning Sheet'!CX418='Weeks Plan'!$D$6,'Planning Sheet'!CR418='Weeks Plan'!$G$6),'Planning Sheet'!$CU418,"")</f>
        <v/>
      </c>
    </row>
    <row r="4366" spans="25:27" x14ac:dyDescent="0.3">
      <c r="Y4366" s="48" t="str">
        <f ca="1">IF(AND('Planning Sheet'!CX419='Weeks Plan'!$D$6,'Planning Sheet'!CR419='Weeks Plan'!$G$6),'Planning Sheet'!$B419,"")</f>
        <v/>
      </c>
      <c r="Z4366" s="48" t="str">
        <f ca="1">IF(AND('Planning Sheet'!CX419='Weeks Plan'!$D$6,'Planning Sheet'!CR419='Weeks Plan'!$G$6),'Planning Sheet'!$CT419,"")</f>
        <v/>
      </c>
      <c r="AA4366" s="48" t="str">
        <f ca="1">IF(AND('Planning Sheet'!CX419='Weeks Plan'!$D$6,'Planning Sheet'!CR419='Weeks Plan'!$G$6),'Planning Sheet'!$CU419,"")</f>
        <v/>
      </c>
    </row>
    <row r="4367" spans="25:27" x14ac:dyDescent="0.3">
      <c r="Y4367" s="48" t="str">
        <f ca="1">IF(AND('Planning Sheet'!CX420='Weeks Plan'!$D$6,'Planning Sheet'!CR420='Weeks Plan'!$G$6),'Planning Sheet'!$B420,"")</f>
        <v/>
      </c>
      <c r="Z4367" s="48" t="str">
        <f ca="1">IF(AND('Planning Sheet'!CX420='Weeks Plan'!$D$6,'Planning Sheet'!CR420='Weeks Plan'!$G$6),'Planning Sheet'!$CT420,"")</f>
        <v/>
      </c>
      <c r="AA4367" s="48" t="str">
        <f ca="1">IF(AND('Planning Sheet'!CX420='Weeks Plan'!$D$6,'Planning Sheet'!CR420='Weeks Plan'!$G$6),'Planning Sheet'!$CU420,"")</f>
        <v/>
      </c>
    </row>
    <row r="4368" spans="25:27" x14ac:dyDescent="0.3">
      <c r="Y4368" s="48" t="str">
        <f ca="1">IF(AND('Planning Sheet'!CX421='Weeks Plan'!$D$6,'Planning Sheet'!CR421='Weeks Plan'!$G$6),'Planning Sheet'!$B421,"")</f>
        <v/>
      </c>
      <c r="Z4368" s="48" t="str">
        <f ca="1">IF(AND('Planning Sheet'!CX421='Weeks Plan'!$D$6,'Planning Sheet'!CR421='Weeks Plan'!$G$6),'Planning Sheet'!$CT421,"")</f>
        <v/>
      </c>
      <c r="AA4368" s="48" t="str">
        <f ca="1">IF(AND('Planning Sheet'!CX421='Weeks Plan'!$D$6,'Planning Sheet'!CR421='Weeks Plan'!$G$6),'Planning Sheet'!$CU421,"")</f>
        <v/>
      </c>
    </row>
    <row r="4369" spans="25:27" x14ac:dyDescent="0.3">
      <c r="Y4369" s="48" t="str">
        <f ca="1">IF(AND('Planning Sheet'!CX422='Weeks Plan'!$D$6,'Planning Sheet'!CR422='Weeks Plan'!$G$6),'Planning Sheet'!$B422,"")</f>
        <v/>
      </c>
      <c r="Z4369" s="48" t="str">
        <f ca="1">IF(AND('Planning Sheet'!CX422='Weeks Plan'!$D$6,'Planning Sheet'!CR422='Weeks Plan'!$G$6),'Planning Sheet'!$CT422,"")</f>
        <v/>
      </c>
      <c r="AA4369" s="48" t="str">
        <f ca="1">IF(AND('Planning Sheet'!CX422='Weeks Plan'!$D$6,'Planning Sheet'!CR422='Weeks Plan'!$G$6),'Planning Sheet'!$CU422,"")</f>
        <v/>
      </c>
    </row>
    <row r="4370" spans="25:27" x14ac:dyDescent="0.3">
      <c r="Y4370" s="48" t="str">
        <f ca="1">IF(AND('Planning Sheet'!CX423='Weeks Plan'!$D$6,'Planning Sheet'!CR423='Weeks Plan'!$G$6),'Planning Sheet'!$B423,"")</f>
        <v/>
      </c>
      <c r="Z4370" s="48" t="str">
        <f ca="1">IF(AND('Planning Sheet'!CX423='Weeks Plan'!$D$6,'Planning Sheet'!CR423='Weeks Plan'!$G$6),'Planning Sheet'!$CT423,"")</f>
        <v/>
      </c>
      <c r="AA4370" s="48" t="str">
        <f ca="1">IF(AND('Planning Sheet'!CX423='Weeks Plan'!$D$6,'Planning Sheet'!CR423='Weeks Plan'!$G$6),'Planning Sheet'!$CU423,"")</f>
        <v/>
      </c>
    </row>
    <row r="4371" spans="25:27" x14ac:dyDescent="0.3">
      <c r="Y4371" s="48" t="str">
        <f ca="1">IF(AND('Planning Sheet'!CX424='Weeks Plan'!$D$6,'Planning Sheet'!CR424='Weeks Plan'!$G$6),'Planning Sheet'!$B424,"")</f>
        <v/>
      </c>
      <c r="Z4371" s="48" t="str">
        <f ca="1">IF(AND('Planning Sheet'!CX424='Weeks Plan'!$D$6,'Planning Sheet'!CR424='Weeks Plan'!$G$6),'Planning Sheet'!$CT424,"")</f>
        <v/>
      </c>
      <c r="AA4371" s="48" t="str">
        <f ca="1">IF(AND('Planning Sheet'!CX424='Weeks Plan'!$D$6,'Planning Sheet'!CR424='Weeks Plan'!$G$6),'Planning Sheet'!$CU424,"")</f>
        <v/>
      </c>
    </row>
    <row r="4372" spans="25:27" x14ac:dyDescent="0.3">
      <c r="Y4372" s="48" t="str">
        <f ca="1">IF(AND('Planning Sheet'!CX425='Weeks Plan'!$D$6,'Planning Sheet'!CR425='Weeks Plan'!$G$6),'Planning Sheet'!$B425,"")</f>
        <v/>
      </c>
      <c r="Z4372" s="48" t="str">
        <f ca="1">IF(AND('Planning Sheet'!CX425='Weeks Plan'!$D$6,'Planning Sheet'!CR425='Weeks Plan'!$G$6),'Planning Sheet'!$CT425,"")</f>
        <v/>
      </c>
      <c r="AA4372" s="48" t="str">
        <f ca="1">IF(AND('Planning Sheet'!CX425='Weeks Plan'!$D$6,'Planning Sheet'!CR425='Weeks Plan'!$G$6),'Planning Sheet'!$CU425,"")</f>
        <v/>
      </c>
    </row>
    <row r="4373" spans="25:27" x14ac:dyDescent="0.3">
      <c r="Y4373" s="48" t="str">
        <f ca="1">IF(AND('Planning Sheet'!CX426='Weeks Plan'!$D$6,'Planning Sheet'!CR426='Weeks Plan'!$G$6),'Planning Sheet'!$B426,"")</f>
        <v/>
      </c>
      <c r="Z4373" s="48" t="str">
        <f ca="1">IF(AND('Planning Sheet'!CX426='Weeks Plan'!$D$6,'Planning Sheet'!CR426='Weeks Plan'!$G$6),'Planning Sheet'!$CT426,"")</f>
        <v/>
      </c>
      <c r="AA4373" s="48" t="str">
        <f ca="1">IF(AND('Planning Sheet'!CX426='Weeks Plan'!$D$6,'Planning Sheet'!CR426='Weeks Plan'!$G$6),'Planning Sheet'!$CU426,"")</f>
        <v/>
      </c>
    </row>
    <row r="4374" spans="25:27" x14ac:dyDescent="0.3">
      <c r="Y4374" s="48" t="str">
        <f ca="1">IF(AND('Planning Sheet'!CX427='Weeks Plan'!$D$6,'Planning Sheet'!CR427='Weeks Plan'!$G$6),'Planning Sheet'!$B427,"")</f>
        <v/>
      </c>
      <c r="Z4374" s="48" t="str">
        <f ca="1">IF(AND('Planning Sheet'!CX427='Weeks Plan'!$D$6,'Planning Sheet'!CR427='Weeks Plan'!$G$6),'Planning Sheet'!$CT427,"")</f>
        <v/>
      </c>
      <c r="AA4374" s="48" t="str">
        <f ca="1">IF(AND('Planning Sheet'!CX427='Weeks Plan'!$D$6,'Planning Sheet'!CR427='Weeks Plan'!$G$6),'Planning Sheet'!$CU427,"")</f>
        <v/>
      </c>
    </row>
    <row r="4375" spans="25:27" x14ac:dyDescent="0.3">
      <c r="Y4375" s="48" t="str">
        <f ca="1">IF(AND('Planning Sheet'!CX428='Weeks Plan'!$D$6,'Planning Sheet'!CR428='Weeks Plan'!$G$6),'Planning Sheet'!$B428,"")</f>
        <v/>
      </c>
      <c r="Z4375" s="48" t="str">
        <f ca="1">IF(AND('Planning Sheet'!CX428='Weeks Plan'!$D$6,'Planning Sheet'!CR428='Weeks Plan'!$G$6),'Planning Sheet'!$CT428,"")</f>
        <v/>
      </c>
      <c r="AA4375" s="48" t="str">
        <f ca="1">IF(AND('Planning Sheet'!CX428='Weeks Plan'!$D$6,'Planning Sheet'!CR428='Weeks Plan'!$G$6),'Planning Sheet'!$CU428,"")</f>
        <v/>
      </c>
    </row>
    <row r="4376" spans="25:27" x14ac:dyDescent="0.3">
      <c r="Y4376" s="48" t="str">
        <f ca="1">IF(AND('Planning Sheet'!CX429='Weeks Plan'!$D$6,'Planning Sheet'!CR429='Weeks Plan'!$G$6),'Planning Sheet'!$B429,"")</f>
        <v/>
      </c>
      <c r="Z4376" s="48" t="str">
        <f ca="1">IF(AND('Planning Sheet'!CX429='Weeks Plan'!$D$6,'Planning Sheet'!CR429='Weeks Plan'!$G$6),'Planning Sheet'!$CT429,"")</f>
        <v/>
      </c>
      <c r="AA4376" s="48" t="str">
        <f ca="1">IF(AND('Planning Sheet'!CX429='Weeks Plan'!$D$6,'Planning Sheet'!CR429='Weeks Plan'!$G$6),'Planning Sheet'!$CU429,"")</f>
        <v/>
      </c>
    </row>
    <row r="4377" spans="25:27" x14ac:dyDescent="0.3">
      <c r="Y4377" s="48" t="str">
        <f ca="1">IF(AND('Planning Sheet'!CX430='Weeks Plan'!$D$6,'Planning Sheet'!CR430='Weeks Plan'!$G$6),'Planning Sheet'!$B430,"")</f>
        <v/>
      </c>
      <c r="Z4377" s="48" t="str">
        <f ca="1">IF(AND('Planning Sheet'!CX430='Weeks Plan'!$D$6,'Planning Sheet'!CR430='Weeks Plan'!$G$6),'Planning Sheet'!$CT430,"")</f>
        <v/>
      </c>
      <c r="AA4377" s="48" t="str">
        <f ca="1">IF(AND('Planning Sheet'!CX430='Weeks Plan'!$D$6,'Planning Sheet'!CR430='Weeks Plan'!$G$6),'Planning Sheet'!$CU430,"")</f>
        <v/>
      </c>
    </row>
    <row r="4378" spans="25:27" x14ac:dyDescent="0.3">
      <c r="Y4378" s="48" t="str">
        <f ca="1">IF(AND('Planning Sheet'!CX431='Weeks Plan'!$D$6,'Planning Sheet'!CR431='Weeks Plan'!$G$6),'Planning Sheet'!$B431,"")</f>
        <v/>
      </c>
      <c r="Z4378" s="48" t="str">
        <f ca="1">IF(AND('Planning Sheet'!CX431='Weeks Plan'!$D$6,'Planning Sheet'!CR431='Weeks Plan'!$G$6),'Planning Sheet'!$CT431,"")</f>
        <v/>
      </c>
      <c r="AA4378" s="48" t="str">
        <f ca="1">IF(AND('Planning Sheet'!CX431='Weeks Plan'!$D$6,'Planning Sheet'!CR431='Weeks Plan'!$G$6),'Planning Sheet'!$CU431,"")</f>
        <v/>
      </c>
    </row>
    <row r="4379" spans="25:27" x14ac:dyDescent="0.3">
      <c r="Y4379" s="48" t="str">
        <f ca="1">IF(AND('Planning Sheet'!CX432='Weeks Plan'!$D$6,'Planning Sheet'!CR432='Weeks Plan'!$G$6),'Planning Sheet'!$B432,"")</f>
        <v/>
      </c>
      <c r="Z4379" s="48" t="str">
        <f ca="1">IF(AND('Planning Sheet'!CX432='Weeks Plan'!$D$6,'Planning Sheet'!CR432='Weeks Plan'!$G$6),'Planning Sheet'!$CT432,"")</f>
        <v/>
      </c>
      <c r="AA4379" s="48" t="str">
        <f ca="1">IF(AND('Planning Sheet'!CX432='Weeks Plan'!$D$6,'Planning Sheet'!CR432='Weeks Plan'!$G$6),'Planning Sheet'!$CU432,"")</f>
        <v/>
      </c>
    </row>
    <row r="4380" spans="25:27" x14ac:dyDescent="0.3">
      <c r="Y4380" s="48" t="str">
        <f ca="1">IF(AND('Planning Sheet'!CX433='Weeks Plan'!$D$6,'Planning Sheet'!CR433='Weeks Plan'!$G$6),'Planning Sheet'!$B433,"")</f>
        <v/>
      </c>
      <c r="Z4380" s="48" t="str">
        <f ca="1">IF(AND('Planning Sheet'!CX433='Weeks Plan'!$D$6,'Planning Sheet'!CR433='Weeks Plan'!$G$6),'Planning Sheet'!$CT433,"")</f>
        <v/>
      </c>
      <c r="AA4380" s="48" t="str">
        <f ca="1">IF(AND('Planning Sheet'!CX433='Weeks Plan'!$D$6,'Planning Sheet'!CR433='Weeks Plan'!$G$6),'Planning Sheet'!$CU433,"")</f>
        <v/>
      </c>
    </row>
    <row r="4381" spans="25:27" x14ac:dyDescent="0.3">
      <c r="Y4381" s="48" t="str">
        <f ca="1">IF(AND('Planning Sheet'!CX434='Weeks Plan'!$D$6,'Planning Sheet'!CR434='Weeks Plan'!$G$6),'Planning Sheet'!$B434,"")</f>
        <v/>
      </c>
      <c r="Z4381" s="48" t="str">
        <f ca="1">IF(AND('Planning Sheet'!CX434='Weeks Plan'!$D$6,'Planning Sheet'!CR434='Weeks Plan'!$G$6),'Planning Sheet'!$CT434,"")</f>
        <v/>
      </c>
      <c r="AA4381" s="48" t="str">
        <f ca="1">IF(AND('Planning Sheet'!CX434='Weeks Plan'!$D$6,'Planning Sheet'!CR434='Weeks Plan'!$G$6),'Planning Sheet'!$CU434,"")</f>
        <v/>
      </c>
    </row>
    <row r="4382" spans="25:27" x14ac:dyDescent="0.3">
      <c r="Y4382" s="48" t="str">
        <f ca="1">IF(AND('Planning Sheet'!CX435='Weeks Plan'!$D$6,'Planning Sheet'!CR435='Weeks Plan'!$G$6),'Planning Sheet'!$B435,"")</f>
        <v/>
      </c>
      <c r="Z4382" s="48" t="str">
        <f ca="1">IF(AND('Planning Sheet'!CX435='Weeks Plan'!$D$6,'Planning Sheet'!CR435='Weeks Plan'!$G$6),'Planning Sheet'!$CT435,"")</f>
        <v/>
      </c>
      <c r="AA4382" s="48" t="str">
        <f ca="1">IF(AND('Planning Sheet'!CX435='Weeks Plan'!$D$6,'Planning Sheet'!CR435='Weeks Plan'!$G$6),'Planning Sheet'!$CU435,"")</f>
        <v/>
      </c>
    </row>
    <row r="4383" spans="25:27" x14ac:dyDescent="0.3">
      <c r="Y4383" s="48" t="str">
        <f ca="1">IF(AND('Planning Sheet'!CX436='Weeks Plan'!$D$6,'Planning Sheet'!CR436='Weeks Plan'!$G$6),'Planning Sheet'!$B436,"")</f>
        <v/>
      </c>
      <c r="Z4383" s="48" t="str">
        <f ca="1">IF(AND('Planning Sheet'!CX436='Weeks Plan'!$D$6,'Planning Sheet'!CR436='Weeks Plan'!$G$6),'Planning Sheet'!$CT436,"")</f>
        <v/>
      </c>
      <c r="AA4383" s="48" t="str">
        <f ca="1">IF(AND('Planning Sheet'!CX436='Weeks Plan'!$D$6,'Planning Sheet'!CR436='Weeks Plan'!$G$6),'Planning Sheet'!$CU436,"")</f>
        <v/>
      </c>
    </row>
    <row r="4384" spans="25:27" x14ac:dyDescent="0.3">
      <c r="Y4384" s="48" t="str">
        <f ca="1">IF(AND('Planning Sheet'!CX437='Weeks Plan'!$D$6,'Planning Sheet'!CR437='Weeks Plan'!$G$6),'Planning Sheet'!$B437,"")</f>
        <v/>
      </c>
      <c r="Z4384" s="48" t="str">
        <f ca="1">IF(AND('Planning Sheet'!CX437='Weeks Plan'!$D$6,'Planning Sheet'!CR437='Weeks Plan'!$G$6),'Planning Sheet'!$CT437,"")</f>
        <v/>
      </c>
      <c r="AA4384" s="48" t="str">
        <f ca="1">IF(AND('Planning Sheet'!CX437='Weeks Plan'!$D$6,'Planning Sheet'!CR437='Weeks Plan'!$G$6),'Planning Sheet'!$CU437,"")</f>
        <v/>
      </c>
    </row>
    <row r="4385" spans="25:27" x14ac:dyDescent="0.3">
      <c r="Y4385" s="48" t="str">
        <f ca="1">IF(AND('Planning Sheet'!CX438='Weeks Plan'!$D$6,'Planning Sheet'!CR438='Weeks Plan'!$G$6),'Planning Sheet'!$B438,"")</f>
        <v/>
      </c>
      <c r="Z4385" s="48" t="str">
        <f ca="1">IF(AND('Planning Sheet'!CX438='Weeks Plan'!$D$6,'Planning Sheet'!CR438='Weeks Plan'!$G$6),'Planning Sheet'!$CT438,"")</f>
        <v/>
      </c>
      <c r="AA4385" s="48" t="str">
        <f ca="1">IF(AND('Planning Sheet'!CX438='Weeks Plan'!$D$6,'Planning Sheet'!CR438='Weeks Plan'!$G$6),'Planning Sheet'!$CU438,"")</f>
        <v/>
      </c>
    </row>
    <row r="4386" spans="25:27" x14ac:dyDescent="0.3">
      <c r="Y4386" s="48" t="str">
        <f ca="1">IF(AND('Planning Sheet'!CX439='Weeks Plan'!$D$6,'Planning Sheet'!CR439='Weeks Plan'!$G$6),'Planning Sheet'!$B439,"")</f>
        <v/>
      </c>
      <c r="Z4386" s="48" t="str">
        <f ca="1">IF(AND('Planning Sheet'!CX439='Weeks Plan'!$D$6,'Planning Sheet'!CR439='Weeks Plan'!$G$6),'Planning Sheet'!$CT439,"")</f>
        <v/>
      </c>
      <c r="AA4386" s="48" t="str">
        <f ca="1">IF(AND('Planning Sheet'!CX439='Weeks Plan'!$D$6,'Planning Sheet'!CR439='Weeks Plan'!$G$6),'Planning Sheet'!$CU439,"")</f>
        <v/>
      </c>
    </row>
    <row r="4387" spans="25:27" x14ac:dyDescent="0.3">
      <c r="Y4387" s="48" t="str">
        <f ca="1">IF(AND('Planning Sheet'!CX440='Weeks Plan'!$D$6,'Planning Sheet'!CR440='Weeks Plan'!$G$6),'Planning Sheet'!$B440,"")</f>
        <v/>
      </c>
      <c r="Z4387" s="48" t="str">
        <f ca="1">IF(AND('Planning Sheet'!CX440='Weeks Plan'!$D$6,'Planning Sheet'!CR440='Weeks Plan'!$G$6),'Planning Sheet'!$CT440,"")</f>
        <v/>
      </c>
      <c r="AA4387" s="48" t="str">
        <f ca="1">IF(AND('Planning Sheet'!CX440='Weeks Plan'!$D$6,'Planning Sheet'!CR440='Weeks Plan'!$G$6),'Planning Sheet'!$CU440,"")</f>
        <v/>
      </c>
    </row>
    <row r="4388" spans="25:27" x14ac:dyDescent="0.3">
      <c r="Y4388" s="48" t="str">
        <f ca="1">IF(AND('Planning Sheet'!CX441='Weeks Plan'!$D$6,'Planning Sheet'!CR441='Weeks Plan'!$G$6),'Planning Sheet'!$B441,"")</f>
        <v/>
      </c>
      <c r="Z4388" s="48" t="str">
        <f ca="1">IF(AND('Planning Sheet'!CX441='Weeks Plan'!$D$6,'Planning Sheet'!CR441='Weeks Plan'!$G$6),'Planning Sheet'!$CT441,"")</f>
        <v/>
      </c>
      <c r="AA4388" s="48" t="str">
        <f ca="1">IF(AND('Planning Sheet'!CX441='Weeks Plan'!$D$6,'Planning Sheet'!CR441='Weeks Plan'!$G$6),'Planning Sheet'!$CU441,"")</f>
        <v/>
      </c>
    </row>
    <row r="4389" spans="25:27" x14ac:dyDescent="0.3">
      <c r="Y4389" s="48" t="str">
        <f ca="1">IF(AND('Planning Sheet'!CX442='Weeks Plan'!$D$6,'Planning Sheet'!CR442='Weeks Plan'!$G$6),'Planning Sheet'!$B442,"")</f>
        <v/>
      </c>
      <c r="Z4389" s="48" t="str">
        <f ca="1">IF(AND('Planning Sheet'!CX442='Weeks Plan'!$D$6,'Planning Sheet'!CR442='Weeks Plan'!$G$6),'Planning Sheet'!$CT442,"")</f>
        <v/>
      </c>
      <c r="AA4389" s="48" t="str">
        <f ca="1">IF(AND('Planning Sheet'!CX442='Weeks Plan'!$D$6,'Planning Sheet'!CR442='Weeks Plan'!$G$6),'Planning Sheet'!$CU442,"")</f>
        <v/>
      </c>
    </row>
    <row r="4390" spans="25:27" x14ac:dyDescent="0.3">
      <c r="Y4390" s="48" t="str">
        <f ca="1">IF(AND('Planning Sheet'!CX443='Weeks Plan'!$D$6,'Planning Sheet'!CR443='Weeks Plan'!$G$6),'Planning Sheet'!$B443,"")</f>
        <v/>
      </c>
      <c r="Z4390" s="48" t="str">
        <f ca="1">IF(AND('Planning Sheet'!CX443='Weeks Plan'!$D$6,'Planning Sheet'!CR443='Weeks Plan'!$G$6),'Planning Sheet'!$CT443,"")</f>
        <v/>
      </c>
      <c r="AA4390" s="48" t="str">
        <f ca="1">IF(AND('Planning Sheet'!CX443='Weeks Plan'!$D$6,'Planning Sheet'!CR443='Weeks Plan'!$G$6),'Planning Sheet'!$CU443,"")</f>
        <v/>
      </c>
    </row>
    <row r="4391" spans="25:27" x14ac:dyDescent="0.3">
      <c r="Y4391" s="48" t="str">
        <f ca="1">IF(AND('Planning Sheet'!CX444='Weeks Plan'!$D$6,'Planning Sheet'!CR444='Weeks Plan'!$G$6),'Planning Sheet'!$B444,"")</f>
        <v/>
      </c>
      <c r="Z4391" s="48" t="str">
        <f ca="1">IF(AND('Planning Sheet'!CX444='Weeks Plan'!$D$6,'Planning Sheet'!CR444='Weeks Plan'!$G$6),'Planning Sheet'!$CT444,"")</f>
        <v/>
      </c>
      <c r="AA4391" s="48" t="str">
        <f ca="1">IF(AND('Planning Sheet'!CX444='Weeks Plan'!$D$6,'Planning Sheet'!CR444='Weeks Plan'!$G$6),'Planning Sheet'!$CU444,"")</f>
        <v/>
      </c>
    </row>
    <row r="4392" spans="25:27" x14ac:dyDescent="0.3">
      <c r="Y4392" s="48" t="str">
        <f ca="1">IF(AND('Planning Sheet'!CX445='Weeks Plan'!$D$6,'Planning Sheet'!CR445='Weeks Plan'!$G$6),'Planning Sheet'!$B445,"")</f>
        <v/>
      </c>
      <c r="Z4392" s="48" t="str">
        <f ca="1">IF(AND('Planning Sheet'!CX445='Weeks Plan'!$D$6,'Planning Sheet'!CR445='Weeks Plan'!$G$6),'Planning Sheet'!$CT445,"")</f>
        <v/>
      </c>
      <c r="AA4392" s="48" t="str">
        <f ca="1">IF(AND('Planning Sheet'!CX445='Weeks Plan'!$D$6,'Planning Sheet'!CR445='Weeks Plan'!$G$6),'Planning Sheet'!$CU445,"")</f>
        <v/>
      </c>
    </row>
    <row r="4393" spans="25:27" x14ac:dyDescent="0.3">
      <c r="Y4393" s="48" t="str">
        <f ca="1">IF(AND('Planning Sheet'!CX446='Weeks Plan'!$D$6,'Planning Sheet'!CR446='Weeks Plan'!$G$6),'Planning Sheet'!$B446,"")</f>
        <v/>
      </c>
      <c r="Z4393" s="48" t="str">
        <f ca="1">IF(AND('Planning Sheet'!CX446='Weeks Plan'!$D$6,'Planning Sheet'!CR446='Weeks Plan'!$G$6),'Planning Sheet'!$CT446,"")</f>
        <v/>
      </c>
      <c r="AA4393" s="48" t="str">
        <f ca="1">IF(AND('Planning Sheet'!CX446='Weeks Plan'!$D$6,'Planning Sheet'!CR446='Weeks Plan'!$G$6),'Planning Sheet'!$CU446,"")</f>
        <v/>
      </c>
    </row>
    <row r="4394" spans="25:27" x14ac:dyDescent="0.3">
      <c r="Y4394" s="48" t="str">
        <f ca="1">IF(AND('Planning Sheet'!CX447='Weeks Plan'!$D$6,'Planning Sheet'!CR447='Weeks Plan'!$G$6),'Planning Sheet'!$B447,"")</f>
        <v/>
      </c>
      <c r="Z4394" s="48" t="str">
        <f ca="1">IF(AND('Planning Sheet'!CX447='Weeks Plan'!$D$6,'Planning Sheet'!CR447='Weeks Plan'!$G$6),'Planning Sheet'!$CT447,"")</f>
        <v/>
      </c>
      <c r="AA4394" s="48" t="str">
        <f ca="1">IF(AND('Planning Sheet'!CX447='Weeks Plan'!$D$6,'Planning Sheet'!CR447='Weeks Plan'!$G$6),'Planning Sheet'!$CU447,"")</f>
        <v/>
      </c>
    </row>
    <row r="4395" spans="25:27" x14ac:dyDescent="0.3">
      <c r="Y4395" s="48" t="str">
        <f ca="1">IF(AND('Planning Sheet'!CX448='Weeks Plan'!$D$6,'Planning Sheet'!CR448='Weeks Plan'!$G$6),'Planning Sheet'!$B448,"")</f>
        <v/>
      </c>
      <c r="Z4395" s="48" t="str">
        <f ca="1">IF(AND('Planning Sheet'!CX448='Weeks Plan'!$D$6,'Planning Sheet'!CR448='Weeks Plan'!$G$6),'Planning Sheet'!$CT448,"")</f>
        <v/>
      </c>
      <c r="AA4395" s="48" t="str">
        <f ca="1">IF(AND('Planning Sheet'!CX448='Weeks Plan'!$D$6,'Planning Sheet'!CR448='Weeks Plan'!$G$6),'Planning Sheet'!$CU448,"")</f>
        <v/>
      </c>
    </row>
    <row r="4396" spans="25:27" x14ac:dyDescent="0.3">
      <c r="Y4396" s="48" t="str">
        <f ca="1">IF(AND('Planning Sheet'!CX449='Weeks Plan'!$D$6,'Planning Sheet'!CR449='Weeks Plan'!$G$6),'Planning Sheet'!$B449,"")</f>
        <v/>
      </c>
      <c r="Z4396" s="48" t="str">
        <f ca="1">IF(AND('Planning Sheet'!CX449='Weeks Plan'!$D$6,'Planning Sheet'!CR449='Weeks Plan'!$G$6),'Planning Sheet'!$CT449,"")</f>
        <v/>
      </c>
      <c r="AA4396" s="48" t="str">
        <f ca="1">IF(AND('Planning Sheet'!CX449='Weeks Plan'!$D$6,'Planning Sheet'!CR449='Weeks Plan'!$G$6),'Planning Sheet'!$CU449,"")</f>
        <v/>
      </c>
    </row>
    <row r="4397" spans="25:27" x14ac:dyDescent="0.3">
      <c r="Y4397" s="48" t="str">
        <f ca="1">IF(AND('Planning Sheet'!CX450='Weeks Plan'!$D$6,'Planning Sheet'!CR450='Weeks Plan'!$G$6),'Planning Sheet'!$B450,"")</f>
        <v/>
      </c>
      <c r="Z4397" s="48" t="str">
        <f ca="1">IF(AND('Planning Sheet'!CX450='Weeks Plan'!$D$6,'Planning Sheet'!CR450='Weeks Plan'!$G$6),'Planning Sheet'!$CT450,"")</f>
        <v/>
      </c>
      <c r="AA4397" s="48" t="str">
        <f ca="1">IF(AND('Planning Sheet'!CX450='Weeks Plan'!$D$6,'Planning Sheet'!CR450='Weeks Plan'!$G$6),'Planning Sheet'!$CU450,"")</f>
        <v/>
      </c>
    </row>
    <row r="4398" spans="25:27" x14ac:dyDescent="0.3">
      <c r="Y4398" s="48" t="str">
        <f ca="1">IF(AND('Planning Sheet'!CX451='Weeks Plan'!$D$6,'Planning Sheet'!CR451='Weeks Plan'!$G$6),'Planning Sheet'!$B451,"")</f>
        <v/>
      </c>
      <c r="Z4398" s="48" t="str">
        <f ca="1">IF(AND('Planning Sheet'!CX451='Weeks Plan'!$D$6,'Planning Sheet'!CR451='Weeks Plan'!$G$6),'Planning Sheet'!$CT451,"")</f>
        <v/>
      </c>
      <c r="AA4398" s="48" t="str">
        <f ca="1">IF(AND('Planning Sheet'!CX451='Weeks Plan'!$D$6,'Planning Sheet'!CR451='Weeks Plan'!$G$6),'Planning Sheet'!$CU451,"")</f>
        <v/>
      </c>
    </row>
    <row r="4399" spans="25:27" x14ac:dyDescent="0.3">
      <c r="Y4399" s="48" t="str">
        <f ca="1">IF(AND('Planning Sheet'!CX452='Weeks Plan'!$D$6,'Planning Sheet'!CR452='Weeks Plan'!$G$6),'Planning Sheet'!$B452,"")</f>
        <v/>
      </c>
      <c r="Z4399" s="48" t="str">
        <f ca="1">IF(AND('Planning Sheet'!CX452='Weeks Plan'!$D$6,'Planning Sheet'!CR452='Weeks Plan'!$G$6),'Planning Sheet'!$CT452,"")</f>
        <v/>
      </c>
      <c r="AA4399" s="48" t="str">
        <f ca="1">IF(AND('Planning Sheet'!CX452='Weeks Plan'!$D$6,'Planning Sheet'!CR452='Weeks Plan'!$G$6),'Planning Sheet'!$CU452,"")</f>
        <v/>
      </c>
    </row>
    <row r="4400" spans="25:27" x14ac:dyDescent="0.3">
      <c r="Y4400" s="48" t="str">
        <f ca="1">IF(AND('Planning Sheet'!CX453='Weeks Plan'!$D$6,'Planning Sheet'!CR453='Weeks Plan'!$G$6),'Planning Sheet'!$B453,"")</f>
        <v/>
      </c>
      <c r="Z4400" s="48" t="str">
        <f ca="1">IF(AND('Planning Sheet'!CX453='Weeks Plan'!$D$6,'Planning Sheet'!CR453='Weeks Plan'!$G$6),'Planning Sheet'!$CT453,"")</f>
        <v/>
      </c>
      <c r="AA4400" s="48" t="str">
        <f ca="1">IF(AND('Planning Sheet'!CX453='Weeks Plan'!$D$6,'Planning Sheet'!CR453='Weeks Plan'!$G$6),'Planning Sheet'!$CU453,"")</f>
        <v/>
      </c>
    </row>
    <row r="4401" spans="25:27" x14ac:dyDescent="0.3">
      <c r="Y4401" s="48" t="str">
        <f ca="1">IF(AND('Planning Sheet'!CX454='Weeks Plan'!$D$6,'Planning Sheet'!CR454='Weeks Plan'!$G$6),'Planning Sheet'!$B454,"")</f>
        <v/>
      </c>
      <c r="Z4401" s="48" t="str">
        <f ca="1">IF(AND('Planning Sheet'!CX454='Weeks Plan'!$D$6,'Planning Sheet'!CR454='Weeks Plan'!$G$6),'Planning Sheet'!$CT454,"")</f>
        <v/>
      </c>
      <c r="AA4401" s="48" t="str">
        <f ca="1">IF(AND('Planning Sheet'!CX454='Weeks Plan'!$D$6,'Planning Sheet'!CR454='Weeks Plan'!$G$6),'Planning Sheet'!$CU454,"")</f>
        <v/>
      </c>
    </row>
    <row r="4402" spans="25:27" x14ac:dyDescent="0.3">
      <c r="Y4402" s="48" t="str">
        <f ca="1">IF(AND('Planning Sheet'!CX455='Weeks Plan'!$D$6,'Planning Sheet'!CR455='Weeks Plan'!$G$6),'Planning Sheet'!$B455,"")</f>
        <v/>
      </c>
      <c r="Z4402" s="48" t="str">
        <f ca="1">IF(AND('Planning Sheet'!CX455='Weeks Plan'!$D$6,'Planning Sheet'!CR455='Weeks Plan'!$G$6),'Planning Sheet'!$CT455,"")</f>
        <v/>
      </c>
      <c r="AA4402" s="48" t="str">
        <f ca="1">IF(AND('Planning Sheet'!CX455='Weeks Plan'!$D$6,'Planning Sheet'!CR455='Weeks Plan'!$G$6),'Planning Sheet'!$CU455,"")</f>
        <v/>
      </c>
    </row>
    <row r="4403" spans="25:27" x14ac:dyDescent="0.3">
      <c r="Y4403" s="48" t="str">
        <f ca="1">IF(AND('Planning Sheet'!CX456='Weeks Plan'!$D$6,'Planning Sheet'!CR456='Weeks Plan'!$G$6),'Planning Sheet'!$B456,"")</f>
        <v/>
      </c>
      <c r="Z4403" s="48" t="str">
        <f ca="1">IF(AND('Planning Sheet'!CX456='Weeks Plan'!$D$6,'Planning Sheet'!CR456='Weeks Plan'!$G$6),'Planning Sheet'!$CT456,"")</f>
        <v/>
      </c>
      <c r="AA4403" s="48" t="str">
        <f ca="1">IF(AND('Planning Sheet'!CX456='Weeks Plan'!$D$6,'Planning Sheet'!CR456='Weeks Plan'!$G$6),'Planning Sheet'!$CU456,"")</f>
        <v/>
      </c>
    </row>
    <row r="4404" spans="25:27" x14ac:dyDescent="0.3">
      <c r="Y4404" s="48" t="str">
        <f ca="1">IF(AND('Planning Sheet'!CX457='Weeks Plan'!$D$6,'Planning Sheet'!CR457='Weeks Plan'!$G$6),'Planning Sheet'!$B457,"")</f>
        <v/>
      </c>
      <c r="Z4404" s="48" t="str">
        <f ca="1">IF(AND('Planning Sheet'!CX457='Weeks Plan'!$D$6,'Planning Sheet'!CR457='Weeks Plan'!$G$6),'Planning Sheet'!$CT457,"")</f>
        <v/>
      </c>
      <c r="AA4404" s="48" t="str">
        <f ca="1">IF(AND('Planning Sheet'!CX457='Weeks Plan'!$D$6,'Planning Sheet'!CR457='Weeks Plan'!$G$6),'Planning Sheet'!$CU457,"")</f>
        <v/>
      </c>
    </row>
    <row r="4405" spans="25:27" x14ac:dyDescent="0.3">
      <c r="Y4405" s="48" t="str">
        <f ca="1">IF(AND('Planning Sheet'!CX458='Weeks Plan'!$D$6,'Planning Sheet'!CR458='Weeks Plan'!$G$6),'Planning Sheet'!$B458,"")</f>
        <v/>
      </c>
      <c r="Z4405" s="48" t="str">
        <f ca="1">IF(AND('Planning Sheet'!CX458='Weeks Plan'!$D$6,'Planning Sheet'!CR458='Weeks Plan'!$G$6),'Planning Sheet'!$CT458,"")</f>
        <v/>
      </c>
      <c r="AA4405" s="48" t="str">
        <f ca="1">IF(AND('Planning Sheet'!CX458='Weeks Plan'!$D$6,'Planning Sheet'!CR458='Weeks Plan'!$G$6),'Planning Sheet'!$CU458,"")</f>
        <v/>
      </c>
    </row>
    <row r="4406" spans="25:27" x14ac:dyDescent="0.3">
      <c r="Y4406" s="48" t="str">
        <f ca="1">IF(AND('Planning Sheet'!CX459='Weeks Plan'!$D$6,'Planning Sheet'!CR459='Weeks Plan'!$G$6),'Planning Sheet'!$B459,"")</f>
        <v/>
      </c>
      <c r="Z4406" s="48" t="str">
        <f ca="1">IF(AND('Planning Sheet'!CX459='Weeks Plan'!$D$6,'Planning Sheet'!CR459='Weeks Plan'!$G$6),'Planning Sheet'!$CT459,"")</f>
        <v/>
      </c>
      <c r="AA4406" s="48" t="str">
        <f ca="1">IF(AND('Planning Sheet'!CX459='Weeks Plan'!$D$6,'Planning Sheet'!CR459='Weeks Plan'!$G$6),'Planning Sheet'!$CU459,"")</f>
        <v/>
      </c>
    </row>
    <row r="4407" spans="25:27" x14ac:dyDescent="0.3">
      <c r="Y4407" s="48" t="str">
        <f ca="1">IF(AND('Planning Sheet'!CX460='Weeks Plan'!$D$6,'Planning Sheet'!CR460='Weeks Plan'!$G$6),'Planning Sheet'!$B460,"")</f>
        <v/>
      </c>
      <c r="Z4407" s="48" t="str">
        <f ca="1">IF(AND('Planning Sheet'!CX460='Weeks Plan'!$D$6,'Planning Sheet'!CR460='Weeks Plan'!$G$6),'Planning Sheet'!$CT460,"")</f>
        <v/>
      </c>
      <c r="AA4407" s="48" t="str">
        <f ca="1">IF(AND('Planning Sheet'!CX460='Weeks Plan'!$D$6,'Planning Sheet'!CR460='Weeks Plan'!$G$6),'Planning Sheet'!$CU460,"")</f>
        <v/>
      </c>
    </row>
    <row r="4408" spans="25:27" x14ac:dyDescent="0.3">
      <c r="Y4408" s="48" t="str">
        <f ca="1">IF(AND('Planning Sheet'!CX461='Weeks Plan'!$D$6,'Planning Sheet'!CR461='Weeks Plan'!$G$6),'Planning Sheet'!$B461,"")</f>
        <v/>
      </c>
      <c r="Z4408" s="48" t="str">
        <f ca="1">IF(AND('Planning Sheet'!CX461='Weeks Plan'!$D$6,'Planning Sheet'!CR461='Weeks Plan'!$G$6),'Planning Sheet'!$CT461,"")</f>
        <v/>
      </c>
      <c r="AA4408" s="48" t="str">
        <f ca="1">IF(AND('Planning Sheet'!CX461='Weeks Plan'!$D$6,'Planning Sheet'!CR461='Weeks Plan'!$G$6),'Planning Sheet'!$CU461,"")</f>
        <v/>
      </c>
    </row>
    <row r="4409" spans="25:27" x14ac:dyDescent="0.3">
      <c r="Y4409" s="48" t="str">
        <f ca="1">IF(AND('Planning Sheet'!CX462='Weeks Plan'!$D$6,'Planning Sheet'!CR462='Weeks Plan'!$G$6),'Planning Sheet'!$B462,"")</f>
        <v/>
      </c>
      <c r="Z4409" s="48" t="str">
        <f ca="1">IF(AND('Planning Sheet'!CX462='Weeks Plan'!$D$6,'Planning Sheet'!CR462='Weeks Plan'!$G$6),'Planning Sheet'!$CT462,"")</f>
        <v/>
      </c>
      <c r="AA4409" s="48" t="str">
        <f ca="1">IF(AND('Planning Sheet'!CX462='Weeks Plan'!$D$6,'Planning Sheet'!CR462='Weeks Plan'!$G$6),'Planning Sheet'!$CU462,"")</f>
        <v/>
      </c>
    </row>
    <row r="4410" spans="25:27" x14ac:dyDescent="0.3">
      <c r="Y4410" s="48" t="str">
        <f ca="1">IF(AND('Planning Sheet'!CX463='Weeks Plan'!$D$6,'Planning Sheet'!CR463='Weeks Plan'!$G$6),'Planning Sheet'!$B463,"")</f>
        <v/>
      </c>
      <c r="Z4410" s="48" t="str">
        <f ca="1">IF(AND('Planning Sheet'!CX463='Weeks Plan'!$D$6,'Planning Sheet'!CR463='Weeks Plan'!$G$6),'Planning Sheet'!$CT463,"")</f>
        <v/>
      </c>
      <c r="AA4410" s="48" t="str">
        <f ca="1">IF(AND('Planning Sheet'!CX463='Weeks Plan'!$D$6,'Planning Sheet'!CR463='Weeks Plan'!$G$6),'Planning Sheet'!$CU463,"")</f>
        <v/>
      </c>
    </row>
    <row r="4411" spans="25:27" x14ac:dyDescent="0.3">
      <c r="Y4411" s="48" t="str">
        <f ca="1">IF(AND('Planning Sheet'!CX464='Weeks Plan'!$D$6,'Planning Sheet'!CR464='Weeks Plan'!$G$6),'Planning Sheet'!$B464,"")</f>
        <v/>
      </c>
      <c r="Z4411" s="48" t="str">
        <f ca="1">IF(AND('Planning Sheet'!CX464='Weeks Plan'!$D$6,'Planning Sheet'!CR464='Weeks Plan'!$G$6),'Planning Sheet'!$CT464,"")</f>
        <v/>
      </c>
      <c r="AA4411" s="48" t="str">
        <f ca="1">IF(AND('Planning Sheet'!CX464='Weeks Plan'!$D$6,'Planning Sheet'!CR464='Weeks Plan'!$G$6),'Planning Sheet'!$CU464,"")</f>
        <v/>
      </c>
    </row>
    <row r="4412" spans="25:27" x14ac:dyDescent="0.3">
      <c r="Y4412" s="48" t="str">
        <f ca="1">IF(AND('Planning Sheet'!CX465='Weeks Plan'!$D$6,'Planning Sheet'!CR465='Weeks Plan'!$G$6),'Planning Sheet'!$B465,"")</f>
        <v/>
      </c>
      <c r="Z4412" s="48" t="str">
        <f ca="1">IF(AND('Planning Sheet'!CX465='Weeks Plan'!$D$6,'Planning Sheet'!CR465='Weeks Plan'!$G$6),'Planning Sheet'!$CT465,"")</f>
        <v/>
      </c>
      <c r="AA4412" s="48" t="str">
        <f ca="1">IF(AND('Planning Sheet'!CX465='Weeks Plan'!$D$6,'Planning Sheet'!CR465='Weeks Plan'!$G$6),'Planning Sheet'!$CU465,"")</f>
        <v/>
      </c>
    </row>
    <row r="4413" spans="25:27" x14ac:dyDescent="0.3">
      <c r="Y4413" s="48" t="str">
        <f ca="1">IF(AND('Planning Sheet'!CX466='Weeks Plan'!$D$6,'Planning Sheet'!CR466='Weeks Plan'!$G$6),'Planning Sheet'!$B466,"")</f>
        <v/>
      </c>
      <c r="Z4413" s="48" t="str">
        <f ca="1">IF(AND('Planning Sheet'!CX466='Weeks Plan'!$D$6,'Planning Sheet'!CR466='Weeks Plan'!$G$6),'Planning Sheet'!$CT466,"")</f>
        <v/>
      </c>
      <c r="AA4413" s="48" t="str">
        <f ca="1">IF(AND('Planning Sheet'!CX466='Weeks Plan'!$D$6,'Planning Sheet'!CR466='Weeks Plan'!$G$6),'Planning Sheet'!$CU466,"")</f>
        <v/>
      </c>
    </row>
    <row r="4414" spans="25:27" x14ac:dyDescent="0.3">
      <c r="Y4414" s="48" t="str">
        <f ca="1">IF(AND('Planning Sheet'!CX467='Weeks Plan'!$D$6,'Planning Sheet'!CR467='Weeks Plan'!$G$6),'Planning Sheet'!$B467,"")</f>
        <v/>
      </c>
      <c r="Z4414" s="48" t="str">
        <f ca="1">IF(AND('Planning Sheet'!CX467='Weeks Plan'!$D$6,'Planning Sheet'!CR467='Weeks Plan'!$G$6),'Planning Sheet'!$CT467,"")</f>
        <v/>
      </c>
      <c r="AA4414" s="48" t="str">
        <f ca="1">IF(AND('Planning Sheet'!CX467='Weeks Plan'!$D$6,'Planning Sheet'!CR467='Weeks Plan'!$G$6),'Planning Sheet'!$CU467,"")</f>
        <v/>
      </c>
    </row>
    <row r="4415" spans="25:27" x14ac:dyDescent="0.3">
      <c r="Y4415" s="48" t="str">
        <f ca="1">IF(AND('Planning Sheet'!CX468='Weeks Plan'!$D$6,'Planning Sheet'!CR468='Weeks Plan'!$G$6),'Planning Sheet'!$B468,"")</f>
        <v/>
      </c>
      <c r="Z4415" s="48" t="str">
        <f ca="1">IF(AND('Planning Sheet'!CX468='Weeks Plan'!$D$6,'Planning Sheet'!CR468='Weeks Plan'!$G$6),'Planning Sheet'!$CT468,"")</f>
        <v/>
      </c>
      <c r="AA4415" s="48" t="str">
        <f ca="1">IF(AND('Planning Sheet'!CX468='Weeks Plan'!$D$6,'Planning Sheet'!CR468='Weeks Plan'!$G$6),'Planning Sheet'!$CU468,"")</f>
        <v/>
      </c>
    </row>
    <row r="4416" spans="25:27" x14ac:dyDescent="0.3">
      <c r="Y4416" s="48" t="str">
        <f ca="1">IF(AND('Planning Sheet'!CX469='Weeks Plan'!$D$6,'Planning Sheet'!CR469='Weeks Plan'!$G$6),'Planning Sheet'!$B469,"")</f>
        <v/>
      </c>
      <c r="Z4416" s="48" t="str">
        <f ca="1">IF(AND('Planning Sheet'!CX469='Weeks Plan'!$D$6,'Planning Sheet'!CR469='Weeks Plan'!$G$6),'Planning Sheet'!$CT469,"")</f>
        <v/>
      </c>
      <c r="AA4416" s="48" t="str">
        <f ca="1">IF(AND('Planning Sheet'!CX469='Weeks Plan'!$D$6,'Planning Sheet'!CR469='Weeks Plan'!$G$6),'Planning Sheet'!$CU469,"")</f>
        <v/>
      </c>
    </row>
    <row r="4417" spans="25:27" x14ac:dyDescent="0.3">
      <c r="Y4417" s="48" t="str">
        <f ca="1">IF(AND('Planning Sheet'!CX470='Weeks Plan'!$D$6,'Planning Sheet'!CR470='Weeks Plan'!$G$6),'Planning Sheet'!$B470,"")</f>
        <v/>
      </c>
      <c r="Z4417" s="48" t="str">
        <f ca="1">IF(AND('Planning Sheet'!CX470='Weeks Plan'!$D$6,'Planning Sheet'!CR470='Weeks Plan'!$G$6),'Planning Sheet'!$CT470,"")</f>
        <v/>
      </c>
      <c r="AA4417" s="48" t="str">
        <f ca="1">IF(AND('Planning Sheet'!CX470='Weeks Plan'!$D$6,'Planning Sheet'!CR470='Weeks Plan'!$G$6),'Planning Sheet'!$CU470,"")</f>
        <v/>
      </c>
    </row>
    <row r="4418" spans="25:27" x14ac:dyDescent="0.3">
      <c r="Y4418" s="48" t="str">
        <f ca="1">IF(AND('Planning Sheet'!CX471='Weeks Plan'!$D$6,'Planning Sheet'!CR471='Weeks Plan'!$G$6),'Planning Sheet'!$B471,"")</f>
        <v/>
      </c>
      <c r="Z4418" s="48" t="str">
        <f ca="1">IF(AND('Planning Sheet'!CX471='Weeks Plan'!$D$6,'Planning Sheet'!CR471='Weeks Plan'!$G$6),'Planning Sheet'!$CT471,"")</f>
        <v/>
      </c>
      <c r="AA4418" s="48" t="str">
        <f ca="1">IF(AND('Planning Sheet'!CX471='Weeks Plan'!$D$6,'Planning Sheet'!CR471='Weeks Plan'!$G$6),'Planning Sheet'!$CU471,"")</f>
        <v/>
      </c>
    </row>
    <row r="4419" spans="25:27" x14ac:dyDescent="0.3">
      <c r="Y4419" s="48" t="str">
        <f ca="1">IF(AND('Planning Sheet'!CX472='Weeks Plan'!$D$6,'Planning Sheet'!CR472='Weeks Plan'!$G$6),'Planning Sheet'!$B472,"")</f>
        <v/>
      </c>
      <c r="Z4419" s="48" t="str">
        <f ca="1">IF(AND('Planning Sheet'!CX472='Weeks Plan'!$D$6,'Planning Sheet'!CR472='Weeks Plan'!$G$6),'Planning Sheet'!$CT472,"")</f>
        <v/>
      </c>
      <c r="AA4419" s="48" t="str">
        <f ca="1">IF(AND('Planning Sheet'!CX472='Weeks Plan'!$D$6,'Planning Sheet'!CR472='Weeks Plan'!$G$6),'Planning Sheet'!$CU472,"")</f>
        <v/>
      </c>
    </row>
    <row r="4420" spans="25:27" x14ac:dyDescent="0.3">
      <c r="Y4420" s="48" t="str">
        <f ca="1">IF(AND('Planning Sheet'!CX473='Weeks Plan'!$D$6,'Planning Sheet'!CR473='Weeks Plan'!$G$6),'Planning Sheet'!$B473,"")</f>
        <v/>
      </c>
      <c r="Z4420" s="48" t="str">
        <f ca="1">IF(AND('Planning Sheet'!CX473='Weeks Plan'!$D$6,'Planning Sheet'!CR473='Weeks Plan'!$G$6),'Planning Sheet'!$CT473,"")</f>
        <v/>
      </c>
      <c r="AA4420" s="48" t="str">
        <f ca="1">IF(AND('Planning Sheet'!CX473='Weeks Plan'!$D$6,'Planning Sheet'!CR473='Weeks Plan'!$G$6),'Planning Sheet'!$CU473,"")</f>
        <v/>
      </c>
    </row>
    <row r="4421" spans="25:27" x14ac:dyDescent="0.3">
      <c r="Y4421" s="48" t="str">
        <f ca="1">IF(AND('Planning Sheet'!CX474='Weeks Plan'!$D$6,'Planning Sheet'!CR474='Weeks Plan'!$G$6),'Planning Sheet'!$B474,"")</f>
        <v/>
      </c>
      <c r="Z4421" s="48" t="str">
        <f ca="1">IF(AND('Planning Sheet'!CX474='Weeks Plan'!$D$6,'Planning Sheet'!CR474='Weeks Plan'!$G$6),'Planning Sheet'!$CT474,"")</f>
        <v/>
      </c>
      <c r="AA4421" s="48" t="str">
        <f ca="1">IF(AND('Planning Sheet'!CX474='Weeks Plan'!$D$6,'Planning Sheet'!CR474='Weeks Plan'!$G$6),'Planning Sheet'!$CU474,"")</f>
        <v/>
      </c>
    </row>
    <row r="4422" spans="25:27" x14ac:dyDescent="0.3">
      <c r="Y4422" s="48" t="str">
        <f ca="1">IF(AND('Planning Sheet'!CX475='Weeks Plan'!$D$6,'Planning Sheet'!CR475='Weeks Plan'!$G$6),'Planning Sheet'!$B475,"")</f>
        <v/>
      </c>
      <c r="Z4422" s="48" t="str">
        <f ca="1">IF(AND('Planning Sheet'!CX475='Weeks Plan'!$D$6,'Planning Sheet'!CR475='Weeks Plan'!$G$6),'Planning Sheet'!$CT475,"")</f>
        <v/>
      </c>
      <c r="AA4422" s="48" t="str">
        <f ca="1">IF(AND('Planning Sheet'!CX475='Weeks Plan'!$D$6,'Planning Sheet'!CR475='Weeks Plan'!$G$6),'Planning Sheet'!$CU475,"")</f>
        <v/>
      </c>
    </row>
    <row r="4423" spans="25:27" x14ac:dyDescent="0.3">
      <c r="Y4423" s="48" t="str">
        <f ca="1">IF(AND('Planning Sheet'!CX476='Weeks Plan'!$D$6,'Planning Sheet'!CR476='Weeks Plan'!$G$6),'Planning Sheet'!$B476,"")</f>
        <v/>
      </c>
      <c r="Z4423" s="48" t="str">
        <f ca="1">IF(AND('Planning Sheet'!CX476='Weeks Plan'!$D$6,'Planning Sheet'!CR476='Weeks Plan'!$G$6),'Planning Sheet'!$CT476,"")</f>
        <v/>
      </c>
      <c r="AA4423" s="48" t="str">
        <f ca="1">IF(AND('Planning Sheet'!CX476='Weeks Plan'!$D$6,'Planning Sheet'!CR476='Weeks Plan'!$G$6),'Planning Sheet'!$CU476,"")</f>
        <v/>
      </c>
    </row>
    <row r="4424" spans="25:27" x14ac:dyDescent="0.3">
      <c r="Y4424" s="48" t="str">
        <f ca="1">IF(AND('Planning Sheet'!CX477='Weeks Plan'!$D$6,'Planning Sheet'!CR477='Weeks Plan'!$G$6),'Planning Sheet'!$B477,"")</f>
        <v/>
      </c>
      <c r="Z4424" s="48" t="str">
        <f ca="1">IF(AND('Planning Sheet'!CX477='Weeks Plan'!$D$6,'Planning Sheet'!CR477='Weeks Plan'!$G$6),'Planning Sheet'!$CT477,"")</f>
        <v/>
      </c>
      <c r="AA4424" s="48" t="str">
        <f ca="1">IF(AND('Planning Sheet'!CX477='Weeks Plan'!$D$6,'Planning Sheet'!CR477='Weeks Plan'!$G$6),'Planning Sheet'!$CU477,"")</f>
        <v/>
      </c>
    </row>
    <row r="4425" spans="25:27" x14ac:dyDescent="0.3">
      <c r="Y4425" s="48" t="str">
        <f ca="1">IF(AND('Planning Sheet'!CX478='Weeks Plan'!$D$6,'Planning Sheet'!CR478='Weeks Plan'!$G$6),'Planning Sheet'!$B478,"")</f>
        <v/>
      </c>
      <c r="Z4425" s="48" t="str">
        <f ca="1">IF(AND('Planning Sheet'!CX478='Weeks Plan'!$D$6,'Planning Sheet'!CR478='Weeks Plan'!$G$6),'Planning Sheet'!$CT478,"")</f>
        <v/>
      </c>
      <c r="AA4425" s="48" t="str">
        <f ca="1">IF(AND('Planning Sheet'!CX478='Weeks Plan'!$D$6,'Planning Sheet'!CR478='Weeks Plan'!$G$6),'Planning Sheet'!$CU478,"")</f>
        <v/>
      </c>
    </row>
    <row r="4426" spans="25:27" x14ac:dyDescent="0.3">
      <c r="Y4426" s="48" t="str">
        <f ca="1">IF(AND('Planning Sheet'!CX479='Weeks Plan'!$D$6,'Planning Sheet'!CR479='Weeks Plan'!$G$6),'Planning Sheet'!$B479,"")</f>
        <v/>
      </c>
      <c r="Z4426" s="48" t="str">
        <f ca="1">IF(AND('Planning Sheet'!CX479='Weeks Plan'!$D$6,'Planning Sheet'!CR479='Weeks Plan'!$G$6),'Planning Sheet'!$CT479,"")</f>
        <v/>
      </c>
      <c r="AA4426" s="48" t="str">
        <f ca="1">IF(AND('Planning Sheet'!CX479='Weeks Plan'!$D$6,'Planning Sheet'!CR479='Weeks Plan'!$G$6),'Planning Sheet'!$CU479,"")</f>
        <v/>
      </c>
    </row>
    <row r="4427" spans="25:27" x14ac:dyDescent="0.3">
      <c r="Y4427" s="48" t="str">
        <f ca="1">IF(AND('Planning Sheet'!CX480='Weeks Plan'!$D$6,'Planning Sheet'!CR480='Weeks Plan'!$G$6),'Planning Sheet'!$B480,"")</f>
        <v/>
      </c>
      <c r="Z4427" s="48" t="str">
        <f ca="1">IF(AND('Planning Sheet'!CX480='Weeks Plan'!$D$6,'Planning Sheet'!CR480='Weeks Plan'!$G$6),'Planning Sheet'!$CT480,"")</f>
        <v/>
      </c>
      <c r="AA4427" s="48" t="str">
        <f ca="1">IF(AND('Planning Sheet'!CX480='Weeks Plan'!$D$6,'Planning Sheet'!CR480='Weeks Plan'!$G$6),'Planning Sheet'!$CU480,"")</f>
        <v/>
      </c>
    </row>
    <row r="4428" spans="25:27" x14ac:dyDescent="0.3">
      <c r="Y4428" s="48" t="str">
        <f ca="1">IF(AND('Planning Sheet'!CX481='Weeks Plan'!$D$6,'Planning Sheet'!CR481='Weeks Plan'!$G$6),'Planning Sheet'!$B481,"")</f>
        <v/>
      </c>
      <c r="Z4428" s="48" t="str">
        <f ca="1">IF(AND('Planning Sheet'!CX481='Weeks Plan'!$D$6,'Planning Sheet'!CR481='Weeks Plan'!$G$6),'Planning Sheet'!$CT481,"")</f>
        <v/>
      </c>
      <c r="AA4428" s="48" t="str">
        <f ca="1">IF(AND('Planning Sheet'!CX481='Weeks Plan'!$D$6,'Planning Sheet'!CR481='Weeks Plan'!$G$6),'Planning Sheet'!$CU481,"")</f>
        <v/>
      </c>
    </row>
    <row r="4429" spans="25:27" x14ac:dyDescent="0.3">
      <c r="Y4429" s="48" t="str">
        <f ca="1">IF(AND('Planning Sheet'!CX482='Weeks Plan'!$D$6,'Planning Sheet'!CR482='Weeks Plan'!$G$6),'Planning Sheet'!$B482,"")</f>
        <v/>
      </c>
      <c r="Z4429" s="48" t="str">
        <f ca="1">IF(AND('Planning Sheet'!CX482='Weeks Plan'!$D$6,'Planning Sheet'!CR482='Weeks Plan'!$G$6),'Planning Sheet'!$CT482,"")</f>
        <v/>
      </c>
      <c r="AA4429" s="48" t="str">
        <f ca="1">IF(AND('Planning Sheet'!CX482='Weeks Plan'!$D$6,'Planning Sheet'!CR482='Weeks Plan'!$G$6),'Planning Sheet'!$CU482,"")</f>
        <v/>
      </c>
    </row>
    <row r="4430" spans="25:27" x14ac:dyDescent="0.3">
      <c r="Y4430" s="48" t="str">
        <f ca="1">IF(AND('Planning Sheet'!CX483='Weeks Plan'!$D$6,'Planning Sheet'!CR483='Weeks Plan'!$G$6),'Planning Sheet'!$B483,"")</f>
        <v/>
      </c>
      <c r="Z4430" s="48" t="str">
        <f ca="1">IF(AND('Planning Sheet'!CX483='Weeks Plan'!$D$6,'Planning Sheet'!CR483='Weeks Plan'!$G$6),'Planning Sheet'!$CT483,"")</f>
        <v/>
      </c>
      <c r="AA4430" s="48" t="str">
        <f ca="1">IF(AND('Planning Sheet'!CX483='Weeks Plan'!$D$6,'Planning Sheet'!CR483='Weeks Plan'!$G$6),'Planning Sheet'!$CU483,"")</f>
        <v/>
      </c>
    </row>
    <row r="4431" spans="25:27" x14ac:dyDescent="0.3">
      <c r="Y4431" s="48" t="str">
        <f ca="1">IF(AND('Planning Sheet'!CX484='Weeks Plan'!$D$6,'Planning Sheet'!CR484='Weeks Plan'!$G$6),'Planning Sheet'!$B484,"")</f>
        <v/>
      </c>
      <c r="Z4431" s="48" t="str">
        <f ca="1">IF(AND('Planning Sheet'!CX484='Weeks Plan'!$D$6,'Planning Sheet'!CR484='Weeks Plan'!$G$6),'Planning Sheet'!$CT484,"")</f>
        <v/>
      </c>
      <c r="AA4431" s="48" t="str">
        <f ca="1">IF(AND('Planning Sheet'!CX484='Weeks Plan'!$D$6,'Planning Sheet'!CR484='Weeks Plan'!$G$6),'Planning Sheet'!$CU484,"")</f>
        <v/>
      </c>
    </row>
    <row r="4432" spans="25:27" x14ac:dyDescent="0.3">
      <c r="Y4432" s="48" t="str">
        <f ca="1">IF(AND('Planning Sheet'!CX485='Weeks Plan'!$D$6,'Planning Sheet'!CR485='Weeks Plan'!$G$6),'Planning Sheet'!$B485,"")</f>
        <v/>
      </c>
      <c r="Z4432" s="48" t="str">
        <f ca="1">IF(AND('Planning Sheet'!CX485='Weeks Plan'!$D$6,'Planning Sheet'!CR485='Weeks Plan'!$G$6),'Planning Sheet'!$CT485,"")</f>
        <v/>
      </c>
      <c r="AA4432" s="48" t="str">
        <f ca="1">IF(AND('Planning Sheet'!CX485='Weeks Plan'!$D$6,'Planning Sheet'!CR485='Weeks Plan'!$G$6),'Planning Sheet'!$CU485,"")</f>
        <v/>
      </c>
    </row>
    <row r="4433" spans="25:27" x14ac:dyDescent="0.3">
      <c r="Y4433" s="48" t="str">
        <f ca="1">IF(AND('Planning Sheet'!CX486='Weeks Plan'!$D$6,'Planning Sheet'!CR486='Weeks Plan'!$G$6),'Planning Sheet'!$B486,"")</f>
        <v/>
      </c>
      <c r="Z4433" s="48" t="str">
        <f ca="1">IF(AND('Planning Sheet'!CX486='Weeks Plan'!$D$6,'Planning Sheet'!CR486='Weeks Plan'!$G$6),'Planning Sheet'!$CT486,"")</f>
        <v/>
      </c>
      <c r="AA4433" s="48" t="str">
        <f ca="1">IF(AND('Planning Sheet'!CX486='Weeks Plan'!$D$6,'Planning Sheet'!CR486='Weeks Plan'!$G$6),'Planning Sheet'!$CU486,"")</f>
        <v/>
      </c>
    </row>
    <row r="4434" spans="25:27" x14ac:dyDescent="0.3">
      <c r="Y4434" s="48" t="str">
        <f ca="1">IF(AND('Planning Sheet'!CX487='Weeks Plan'!$D$6,'Planning Sheet'!CR487='Weeks Plan'!$G$6),'Planning Sheet'!$B487,"")</f>
        <v/>
      </c>
      <c r="Z4434" s="48" t="str">
        <f ca="1">IF(AND('Planning Sheet'!CX487='Weeks Plan'!$D$6,'Planning Sheet'!CR487='Weeks Plan'!$G$6),'Planning Sheet'!$CT487,"")</f>
        <v/>
      </c>
      <c r="AA4434" s="48" t="str">
        <f ca="1">IF(AND('Planning Sheet'!CX487='Weeks Plan'!$D$6,'Planning Sheet'!CR487='Weeks Plan'!$G$6),'Planning Sheet'!$CU487,"")</f>
        <v/>
      </c>
    </row>
    <row r="4435" spans="25:27" x14ac:dyDescent="0.3">
      <c r="Y4435" s="48" t="str">
        <f ca="1">IF(AND('Planning Sheet'!CX488='Weeks Plan'!$D$6,'Planning Sheet'!CR488='Weeks Plan'!$G$6),'Planning Sheet'!$B488,"")</f>
        <v/>
      </c>
      <c r="Z4435" s="48" t="str">
        <f ca="1">IF(AND('Planning Sheet'!CX488='Weeks Plan'!$D$6,'Planning Sheet'!CR488='Weeks Plan'!$G$6),'Planning Sheet'!$CT488,"")</f>
        <v/>
      </c>
      <c r="AA4435" s="48" t="str">
        <f ca="1">IF(AND('Planning Sheet'!CX488='Weeks Plan'!$D$6,'Planning Sheet'!CR488='Weeks Plan'!$G$6),'Planning Sheet'!$CU488,"")</f>
        <v/>
      </c>
    </row>
    <row r="4436" spans="25:27" x14ac:dyDescent="0.3">
      <c r="Y4436" s="48" t="str">
        <f ca="1">IF(AND('Planning Sheet'!CX489='Weeks Plan'!$D$6,'Planning Sheet'!CR489='Weeks Plan'!$G$6),'Planning Sheet'!$B489,"")</f>
        <v/>
      </c>
      <c r="Z4436" s="48" t="str">
        <f ca="1">IF(AND('Planning Sheet'!CX489='Weeks Plan'!$D$6,'Planning Sheet'!CR489='Weeks Plan'!$G$6),'Planning Sheet'!$CT489,"")</f>
        <v/>
      </c>
      <c r="AA4436" s="48" t="str">
        <f ca="1">IF(AND('Planning Sheet'!CX489='Weeks Plan'!$D$6,'Planning Sheet'!CR489='Weeks Plan'!$G$6),'Planning Sheet'!$CU489,"")</f>
        <v/>
      </c>
    </row>
    <row r="4437" spans="25:27" x14ac:dyDescent="0.3">
      <c r="Y4437" s="48" t="str">
        <f ca="1">IF(AND('Planning Sheet'!CX490='Weeks Plan'!$D$6,'Planning Sheet'!CR490='Weeks Plan'!$G$6),'Planning Sheet'!$B490,"")</f>
        <v/>
      </c>
      <c r="Z4437" s="48" t="str">
        <f ca="1">IF(AND('Planning Sheet'!CX490='Weeks Plan'!$D$6,'Planning Sheet'!CR490='Weeks Plan'!$G$6),'Planning Sheet'!$CT490,"")</f>
        <v/>
      </c>
      <c r="AA4437" s="48" t="str">
        <f ca="1">IF(AND('Planning Sheet'!CX490='Weeks Plan'!$D$6,'Planning Sheet'!CR490='Weeks Plan'!$G$6),'Planning Sheet'!$CU490,"")</f>
        <v/>
      </c>
    </row>
    <row r="4438" spans="25:27" x14ac:dyDescent="0.3">
      <c r="Y4438" s="48" t="str">
        <f ca="1">IF(AND('Planning Sheet'!CX491='Weeks Plan'!$D$6,'Planning Sheet'!CR491='Weeks Plan'!$G$6),'Planning Sheet'!$B491,"")</f>
        <v/>
      </c>
      <c r="Z4438" s="48" t="str">
        <f ca="1">IF(AND('Planning Sheet'!CX491='Weeks Plan'!$D$6,'Planning Sheet'!CR491='Weeks Plan'!$G$6),'Planning Sheet'!$CT491,"")</f>
        <v/>
      </c>
      <c r="AA4438" s="48" t="str">
        <f ca="1">IF(AND('Planning Sheet'!CX491='Weeks Plan'!$D$6,'Planning Sheet'!CR491='Weeks Plan'!$G$6),'Planning Sheet'!$CU491,"")</f>
        <v/>
      </c>
    </row>
    <row r="4439" spans="25:27" x14ac:dyDescent="0.3">
      <c r="Y4439" s="48" t="str">
        <f ca="1">IF(AND('Planning Sheet'!CX492='Weeks Plan'!$D$6,'Planning Sheet'!CR492='Weeks Plan'!$G$6),'Planning Sheet'!$B492,"")</f>
        <v/>
      </c>
      <c r="Z4439" s="48" t="str">
        <f ca="1">IF(AND('Planning Sheet'!CX492='Weeks Plan'!$D$6,'Planning Sheet'!CR492='Weeks Plan'!$G$6),'Planning Sheet'!$CT492,"")</f>
        <v/>
      </c>
      <c r="AA4439" s="48" t="str">
        <f ca="1">IF(AND('Planning Sheet'!CX492='Weeks Plan'!$D$6,'Planning Sheet'!CR492='Weeks Plan'!$G$6),'Planning Sheet'!$CU492,"")</f>
        <v/>
      </c>
    </row>
    <row r="4440" spans="25:27" x14ac:dyDescent="0.3">
      <c r="Y4440" s="48" t="str">
        <f ca="1">IF(AND('Planning Sheet'!CX493='Weeks Plan'!$D$6,'Planning Sheet'!CR493='Weeks Plan'!$G$6),'Planning Sheet'!$B493,"")</f>
        <v/>
      </c>
      <c r="Z4440" s="48" t="str">
        <f ca="1">IF(AND('Planning Sheet'!CX493='Weeks Plan'!$D$6,'Planning Sheet'!CR493='Weeks Plan'!$G$6),'Planning Sheet'!$CT493,"")</f>
        <v/>
      </c>
      <c r="AA4440" s="48" t="str">
        <f ca="1">IF(AND('Planning Sheet'!CX493='Weeks Plan'!$D$6,'Planning Sheet'!CR493='Weeks Plan'!$G$6),'Planning Sheet'!$CU493,"")</f>
        <v/>
      </c>
    </row>
    <row r="4441" spans="25:27" x14ac:dyDescent="0.3">
      <c r="Y4441" s="48" t="str">
        <f ca="1">IF(AND('Planning Sheet'!CX494='Weeks Plan'!$D$6,'Planning Sheet'!CR494='Weeks Plan'!$G$6),'Planning Sheet'!$B494,"")</f>
        <v/>
      </c>
      <c r="Z4441" s="48" t="str">
        <f ca="1">IF(AND('Planning Sheet'!CX494='Weeks Plan'!$D$6,'Planning Sheet'!CR494='Weeks Plan'!$G$6),'Planning Sheet'!$CT494,"")</f>
        <v/>
      </c>
      <c r="AA4441" s="48" t="str">
        <f ca="1">IF(AND('Planning Sheet'!CX494='Weeks Plan'!$D$6,'Planning Sheet'!CR494='Weeks Plan'!$G$6),'Planning Sheet'!$CU494,"")</f>
        <v/>
      </c>
    </row>
    <row r="4442" spans="25:27" x14ac:dyDescent="0.3">
      <c r="Y4442" s="48" t="str">
        <f ca="1">IF(AND('Planning Sheet'!CX495='Weeks Plan'!$D$6,'Planning Sheet'!CR495='Weeks Plan'!$G$6),'Planning Sheet'!$B495,"")</f>
        <v/>
      </c>
      <c r="Z4442" s="48" t="str">
        <f ca="1">IF(AND('Planning Sheet'!CX495='Weeks Plan'!$D$6,'Planning Sheet'!CR495='Weeks Plan'!$G$6),'Planning Sheet'!$CT495,"")</f>
        <v/>
      </c>
      <c r="AA4442" s="48" t="str">
        <f ca="1">IF(AND('Planning Sheet'!CX495='Weeks Plan'!$D$6,'Planning Sheet'!CR495='Weeks Plan'!$G$6),'Planning Sheet'!$CU495,"")</f>
        <v/>
      </c>
    </row>
    <row r="4443" spans="25:27" x14ac:dyDescent="0.3">
      <c r="Y4443" s="48" t="str">
        <f ca="1">IF(AND('Planning Sheet'!CX496='Weeks Plan'!$D$6,'Planning Sheet'!CR496='Weeks Plan'!$G$6),'Planning Sheet'!$B496,"")</f>
        <v/>
      </c>
      <c r="Z4443" s="48" t="str">
        <f ca="1">IF(AND('Planning Sheet'!CX496='Weeks Plan'!$D$6,'Planning Sheet'!CR496='Weeks Plan'!$G$6),'Planning Sheet'!$CT496,"")</f>
        <v/>
      </c>
      <c r="AA4443" s="48" t="str">
        <f ca="1">IF(AND('Planning Sheet'!CX496='Weeks Plan'!$D$6,'Planning Sheet'!CR496='Weeks Plan'!$G$6),'Planning Sheet'!$CU496,"")</f>
        <v/>
      </c>
    </row>
    <row r="4444" spans="25:27" x14ac:dyDescent="0.3">
      <c r="Y4444" s="48" t="str">
        <f ca="1">IF(AND('Planning Sheet'!CX497='Weeks Plan'!$D$6,'Planning Sheet'!CR497='Weeks Plan'!$G$6),'Planning Sheet'!$B497,"")</f>
        <v/>
      </c>
      <c r="Z4444" s="48" t="str">
        <f ca="1">IF(AND('Planning Sheet'!CX497='Weeks Plan'!$D$6,'Planning Sheet'!CR497='Weeks Plan'!$G$6),'Planning Sheet'!$CT497,"")</f>
        <v/>
      </c>
      <c r="AA4444" s="48" t="str">
        <f ca="1">IF(AND('Planning Sheet'!CX497='Weeks Plan'!$D$6,'Planning Sheet'!CR497='Weeks Plan'!$G$6),'Planning Sheet'!$CU497,"")</f>
        <v/>
      </c>
    </row>
    <row r="4445" spans="25:27" x14ac:dyDescent="0.3">
      <c r="Y4445" s="48" t="str">
        <f ca="1">IF(AND('Planning Sheet'!CX498='Weeks Plan'!$D$6,'Planning Sheet'!CR498='Weeks Plan'!$G$6),'Planning Sheet'!$B498,"")</f>
        <v/>
      </c>
      <c r="Z4445" s="48" t="str">
        <f ca="1">IF(AND('Planning Sheet'!CX498='Weeks Plan'!$D$6,'Planning Sheet'!CR498='Weeks Plan'!$G$6),'Planning Sheet'!$CT498,"")</f>
        <v/>
      </c>
      <c r="AA4445" s="48" t="str">
        <f ca="1">IF(AND('Planning Sheet'!CX498='Weeks Plan'!$D$6,'Planning Sheet'!CR498='Weeks Plan'!$G$6),'Planning Sheet'!$CU498,"")</f>
        <v/>
      </c>
    </row>
    <row r="4446" spans="25:27" x14ac:dyDescent="0.3">
      <c r="Y4446" s="48" t="str">
        <f ca="1">IF(AND('Planning Sheet'!CX499='Weeks Plan'!$D$6,'Planning Sheet'!CR499='Weeks Plan'!$G$6),'Planning Sheet'!$B499,"")</f>
        <v/>
      </c>
      <c r="Z4446" s="48" t="str">
        <f ca="1">IF(AND('Planning Sheet'!CX499='Weeks Plan'!$D$6,'Planning Sheet'!CR499='Weeks Plan'!$G$6),'Planning Sheet'!$CT499,"")</f>
        <v/>
      </c>
      <c r="AA4446" s="48" t="str">
        <f ca="1">IF(AND('Planning Sheet'!CX499='Weeks Plan'!$D$6,'Planning Sheet'!CR499='Weeks Plan'!$G$6),'Planning Sheet'!$CU499,"")</f>
        <v/>
      </c>
    </row>
    <row r="4447" spans="25:27" x14ac:dyDescent="0.3">
      <c r="Y4447" s="48" t="str">
        <f ca="1">IF(AND('Planning Sheet'!CX500='Weeks Plan'!$D$6,'Planning Sheet'!CR500='Weeks Plan'!$G$6),'Planning Sheet'!$B500,"")</f>
        <v/>
      </c>
      <c r="Z4447" s="48" t="str">
        <f ca="1">IF(AND('Planning Sheet'!CX500='Weeks Plan'!$D$6,'Planning Sheet'!CR500='Weeks Plan'!$G$6),'Planning Sheet'!$CT500,"")</f>
        <v/>
      </c>
      <c r="AA4447" s="48" t="str">
        <f ca="1">IF(AND('Planning Sheet'!CX500='Weeks Plan'!$D$6,'Planning Sheet'!CR500='Weeks Plan'!$G$6),'Planning Sheet'!$CU500,"")</f>
        <v/>
      </c>
    </row>
    <row r="4449" spans="25:27" x14ac:dyDescent="0.3">
      <c r="Y4449" s="47" t="str">
        <f ca="1">IF(AND('Planning Sheet'!DE8='Weeks Plan'!$D$6,'Planning Sheet'!CY8='Weeks Plan'!$G$6),'Planning Sheet'!$B8,"")</f>
        <v/>
      </c>
      <c r="Z4449" s="47" t="str">
        <f ca="1">IF(AND('Planning Sheet'!DE8='Weeks Plan'!$D$6,'Planning Sheet'!CY8='Weeks Plan'!$G$6),'Planning Sheet'!$CZ8,"")</f>
        <v/>
      </c>
      <c r="AA4449" s="47" t="str">
        <f ca="1">IF(AND('Planning Sheet'!DE8='Weeks Plan'!$D$6,'Planning Sheet'!CY8='Weeks Plan'!$G$6),'Planning Sheet'!$DA8,"")</f>
        <v/>
      </c>
    </row>
    <row r="4450" spans="25:27" x14ac:dyDescent="0.3">
      <c r="Y4450" s="48" t="str">
        <f ca="1">IF(AND('Planning Sheet'!DE9='Weeks Plan'!$D$6,'Planning Sheet'!CY9='Weeks Plan'!$G$6),'Planning Sheet'!$B9,"")</f>
        <v/>
      </c>
      <c r="Z4450" s="48" t="str">
        <f ca="1">IF(AND('Planning Sheet'!DE9='Weeks Plan'!$D$6,'Planning Sheet'!CY9='Weeks Plan'!$G$6),'Planning Sheet'!$CZ9,"")</f>
        <v/>
      </c>
      <c r="AA4450" s="48" t="str">
        <f ca="1">IF(AND('Planning Sheet'!DE9='Weeks Plan'!$D$6,'Planning Sheet'!CY9='Weeks Plan'!$G$6),'Planning Sheet'!$DA9,"")</f>
        <v/>
      </c>
    </row>
    <row r="4451" spans="25:27" x14ac:dyDescent="0.3">
      <c r="Y4451" s="48" t="str">
        <f ca="1">IF(AND('Planning Sheet'!DE10='Weeks Plan'!$D$6,'Planning Sheet'!CY10='Weeks Plan'!$G$6),'Planning Sheet'!$B10,"")</f>
        <v/>
      </c>
      <c r="Z4451" s="48" t="str">
        <f ca="1">IF(AND('Planning Sheet'!DE10='Weeks Plan'!$D$6,'Planning Sheet'!CY10='Weeks Plan'!$G$6),'Planning Sheet'!$CZ10,"")</f>
        <v/>
      </c>
      <c r="AA4451" s="48" t="str">
        <f ca="1">IF(AND('Planning Sheet'!DE10='Weeks Plan'!$D$6,'Planning Sheet'!CY10='Weeks Plan'!$G$6),'Planning Sheet'!$DA10,"")</f>
        <v/>
      </c>
    </row>
    <row r="4452" spans="25:27" x14ac:dyDescent="0.3">
      <c r="Y4452" s="48" t="str">
        <f ca="1">IF(AND('Planning Sheet'!DE11='Weeks Plan'!$D$6,'Planning Sheet'!CY11='Weeks Plan'!$G$6),'Planning Sheet'!$B11,"")</f>
        <v/>
      </c>
      <c r="Z4452" s="48" t="str">
        <f ca="1">IF(AND('Planning Sheet'!DE11='Weeks Plan'!$D$6,'Planning Sheet'!CY11='Weeks Plan'!$G$6),'Planning Sheet'!$CZ11,"")</f>
        <v/>
      </c>
      <c r="AA4452" s="48" t="str">
        <f ca="1">IF(AND('Planning Sheet'!DE11='Weeks Plan'!$D$6,'Planning Sheet'!CY11='Weeks Plan'!$G$6),'Planning Sheet'!$DA11,"")</f>
        <v/>
      </c>
    </row>
    <row r="4453" spans="25:27" x14ac:dyDescent="0.3">
      <c r="Y4453" s="48" t="str">
        <f ca="1">IF(AND('Planning Sheet'!DE12='Weeks Plan'!$D$6,'Planning Sheet'!CY12='Weeks Plan'!$G$6),'Planning Sheet'!$B12,"")</f>
        <v/>
      </c>
      <c r="Z4453" s="48" t="str">
        <f ca="1">IF(AND('Planning Sheet'!DE12='Weeks Plan'!$D$6,'Planning Sheet'!CY12='Weeks Plan'!$G$6),'Planning Sheet'!$CZ12,"")</f>
        <v/>
      </c>
      <c r="AA4453" s="48" t="str">
        <f ca="1">IF(AND('Planning Sheet'!DE12='Weeks Plan'!$D$6,'Planning Sheet'!CY12='Weeks Plan'!$G$6),'Planning Sheet'!$DA12,"")</f>
        <v/>
      </c>
    </row>
    <row r="4454" spans="25:27" x14ac:dyDescent="0.3">
      <c r="Y4454" s="48" t="str">
        <f ca="1">IF(AND('Planning Sheet'!DE13='Weeks Plan'!$D$6,'Planning Sheet'!CY13='Weeks Plan'!$G$6),'Planning Sheet'!$B13,"")</f>
        <v/>
      </c>
      <c r="Z4454" s="48" t="str">
        <f ca="1">IF(AND('Planning Sheet'!DE13='Weeks Plan'!$D$6,'Planning Sheet'!CY13='Weeks Plan'!$G$6),'Planning Sheet'!$CZ13,"")</f>
        <v/>
      </c>
      <c r="AA4454" s="48" t="str">
        <f ca="1">IF(AND('Planning Sheet'!DE13='Weeks Plan'!$D$6,'Planning Sheet'!CY13='Weeks Plan'!$G$6),'Planning Sheet'!$DA13,"")</f>
        <v/>
      </c>
    </row>
    <row r="4455" spans="25:27" x14ac:dyDescent="0.3">
      <c r="Y4455" s="48" t="str">
        <f ca="1">IF(AND('Planning Sheet'!DE14='Weeks Plan'!$D$6,'Planning Sheet'!CY14='Weeks Plan'!$G$6),'Planning Sheet'!$B14,"")</f>
        <v/>
      </c>
      <c r="Z4455" s="48" t="str">
        <f ca="1">IF(AND('Planning Sheet'!DE14='Weeks Plan'!$D$6,'Planning Sheet'!CY14='Weeks Plan'!$G$6),'Planning Sheet'!$CZ14,"")</f>
        <v/>
      </c>
      <c r="AA4455" s="48" t="str">
        <f ca="1">IF(AND('Planning Sheet'!DE14='Weeks Plan'!$D$6,'Planning Sheet'!CY14='Weeks Plan'!$G$6),'Planning Sheet'!$DA14,"")</f>
        <v/>
      </c>
    </row>
    <row r="4456" spans="25:27" x14ac:dyDescent="0.3">
      <c r="Y4456" s="48" t="str">
        <f ca="1">IF(AND('Planning Sheet'!DE15='Weeks Plan'!$D$6,'Planning Sheet'!CY15='Weeks Plan'!$G$6),'Planning Sheet'!$B15,"")</f>
        <v/>
      </c>
      <c r="Z4456" s="48" t="str">
        <f ca="1">IF(AND('Planning Sheet'!DE15='Weeks Plan'!$D$6,'Planning Sheet'!CY15='Weeks Plan'!$G$6),'Planning Sheet'!$CZ15,"")</f>
        <v/>
      </c>
      <c r="AA4456" s="48" t="str">
        <f ca="1">IF(AND('Planning Sheet'!DE15='Weeks Plan'!$D$6,'Planning Sheet'!CY15='Weeks Plan'!$G$6),'Planning Sheet'!$DA15,"")</f>
        <v/>
      </c>
    </row>
    <row r="4457" spans="25:27" x14ac:dyDescent="0.3">
      <c r="Y4457" s="48" t="str">
        <f ca="1">IF(AND('Planning Sheet'!DE16='Weeks Plan'!$D$6,'Planning Sheet'!CY16='Weeks Plan'!$G$6),'Planning Sheet'!$B16,"")</f>
        <v/>
      </c>
      <c r="Z4457" s="48" t="str">
        <f ca="1">IF(AND('Planning Sheet'!DE16='Weeks Plan'!$D$6,'Planning Sheet'!CY16='Weeks Plan'!$G$6),'Planning Sheet'!$CZ16,"")</f>
        <v/>
      </c>
      <c r="AA4457" s="48" t="str">
        <f ca="1">IF(AND('Planning Sheet'!DE16='Weeks Plan'!$D$6,'Planning Sheet'!CY16='Weeks Plan'!$G$6),'Planning Sheet'!$DA16,"")</f>
        <v/>
      </c>
    </row>
    <row r="4458" spans="25:27" x14ac:dyDescent="0.3">
      <c r="Y4458" s="48" t="str">
        <f ca="1">IF(AND('Planning Sheet'!DE17='Weeks Plan'!$D$6,'Planning Sheet'!CY17='Weeks Plan'!$G$6),'Planning Sheet'!$B17,"")</f>
        <v/>
      </c>
      <c r="Z4458" s="48" t="str">
        <f ca="1">IF(AND('Planning Sheet'!DE17='Weeks Plan'!$D$6,'Planning Sheet'!CY17='Weeks Plan'!$G$6),'Planning Sheet'!$CZ17,"")</f>
        <v/>
      </c>
      <c r="AA4458" s="48" t="str">
        <f ca="1">IF(AND('Planning Sheet'!DE17='Weeks Plan'!$D$6,'Planning Sheet'!CY17='Weeks Plan'!$G$6),'Planning Sheet'!$DA17,"")</f>
        <v/>
      </c>
    </row>
    <row r="4459" spans="25:27" x14ac:dyDescent="0.3">
      <c r="Y4459" s="48" t="str">
        <f ca="1">IF(AND('Planning Sheet'!DE18='Weeks Plan'!$D$6,'Planning Sheet'!CY18='Weeks Plan'!$G$6),'Planning Sheet'!$B18,"")</f>
        <v/>
      </c>
      <c r="Z4459" s="48" t="str">
        <f ca="1">IF(AND('Planning Sheet'!DE18='Weeks Plan'!$D$6,'Planning Sheet'!CY18='Weeks Plan'!$G$6),'Planning Sheet'!$CZ18,"")</f>
        <v/>
      </c>
      <c r="AA4459" s="48" t="str">
        <f ca="1">IF(AND('Planning Sheet'!DE18='Weeks Plan'!$D$6,'Planning Sheet'!CY18='Weeks Plan'!$G$6),'Planning Sheet'!$DA18,"")</f>
        <v/>
      </c>
    </row>
    <row r="4460" spans="25:27" x14ac:dyDescent="0.3">
      <c r="Y4460" s="48" t="str">
        <f ca="1">IF(AND('Planning Sheet'!DE19='Weeks Plan'!$D$6,'Planning Sheet'!CY19='Weeks Plan'!$G$6),'Planning Sheet'!$B19,"")</f>
        <v/>
      </c>
      <c r="Z4460" s="48" t="str">
        <f ca="1">IF(AND('Planning Sheet'!DE19='Weeks Plan'!$D$6,'Planning Sheet'!CY19='Weeks Plan'!$G$6),'Planning Sheet'!$CZ19,"")</f>
        <v/>
      </c>
      <c r="AA4460" s="48" t="str">
        <f ca="1">IF(AND('Planning Sheet'!DE19='Weeks Plan'!$D$6,'Planning Sheet'!CY19='Weeks Plan'!$G$6),'Planning Sheet'!$DA19,"")</f>
        <v/>
      </c>
    </row>
    <row r="4461" spans="25:27" x14ac:dyDescent="0.3">
      <c r="Y4461" s="48" t="str">
        <f ca="1">IF(AND('Planning Sheet'!DE20='Weeks Plan'!$D$6,'Planning Sheet'!CY20='Weeks Plan'!$G$6),'Planning Sheet'!$B20,"")</f>
        <v/>
      </c>
      <c r="Z4461" s="48" t="str">
        <f ca="1">IF(AND('Planning Sheet'!DE20='Weeks Plan'!$D$6,'Planning Sheet'!CY20='Weeks Plan'!$G$6),'Planning Sheet'!$CZ20,"")</f>
        <v/>
      </c>
      <c r="AA4461" s="48" t="str">
        <f ca="1">IF(AND('Planning Sheet'!DE20='Weeks Plan'!$D$6,'Planning Sheet'!CY20='Weeks Plan'!$G$6),'Planning Sheet'!$DA20,"")</f>
        <v/>
      </c>
    </row>
    <row r="4462" spans="25:27" x14ac:dyDescent="0.3">
      <c r="Y4462" s="48" t="str">
        <f ca="1">IF(AND('Planning Sheet'!DE21='Weeks Plan'!$D$6,'Planning Sheet'!CY21='Weeks Plan'!$G$6),'Planning Sheet'!$B21,"")</f>
        <v/>
      </c>
      <c r="Z4462" s="48" t="str">
        <f ca="1">IF(AND('Planning Sheet'!DE21='Weeks Plan'!$D$6,'Planning Sheet'!CY21='Weeks Plan'!$G$6),'Planning Sheet'!$CZ21,"")</f>
        <v/>
      </c>
      <c r="AA4462" s="48" t="str">
        <f ca="1">IF(AND('Planning Sheet'!DE21='Weeks Plan'!$D$6,'Planning Sheet'!CY21='Weeks Plan'!$G$6),'Planning Sheet'!$DA21,"")</f>
        <v/>
      </c>
    </row>
    <row r="4463" spans="25:27" x14ac:dyDescent="0.3">
      <c r="Y4463" s="48" t="str">
        <f ca="1">IF(AND('Planning Sheet'!DE22='Weeks Plan'!$D$6,'Planning Sheet'!CY22='Weeks Plan'!$G$6),'Planning Sheet'!$B22,"")</f>
        <v/>
      </c>
      <c r="Z4463" s="48" t="str">
        <f ca="1">IF(AND('Planning Sheet'!DE22='Weeks Plan'!$D$6,'Planning Sheet'!CY22='Weeks Plan'!$G$6),'Planning Sheet'!$CZ22,"")</f>
        <v/>
      </c>
      <c r="AA4463" s="48" t="str">
        <f ca="1">IF(AND('Planning Sheet'!DE22='Weeks Plan'!$D$6,'Planning Sheet'!CY22='Weeks Plan'!$G$6),'Planning Sheet'!$DA22,"")</f>
        <v/>
      </c>
    </row>
    <row r="4464" spans="25:27" x14ac:dyDescent="0.3">
      <c r="Y4464" s="48" t="str">
        <f ca="1">IF(AND('Planning Sheet'!DE23='Weeks Plan'!$D$6,'Planning Sheet'!CY23='Weeks Plan'!$G$6),'Planning Sheet'!$B23,"")</f>
        <v/>
      </c>
      <c r="Z4464" s="48" t="str">
        <f ca="1">IF(AND('Planning Sheet'!DE23='Weeks Plan'!$D$6,'Planning Sheet'!CY23='Weeks Plan'!$G$6),'Planning Sheet'!$CZ23,"")</f>
        <v/>
      </c>
      <c r="AA4464" s="48" t="str">
        <f ca="1">IF(AND('Planning Sheet'!DE23='Weeks Plan'!$D$6,'Planning Sheet'!CY23='Weeks Plan'!$G$6),'Planning Sheet'!$DA23,"")</f>
        <v/>
      </c>
    </row>
    <row r="4465" spans="25:27" x14ac:dyDescent="0.3">
      <c r="Y4465" s="48" t="str">
        <f ca="1">IF(AND('Planning Sheet'!DE24='Weeks Plan'!$D$6,'Planning Sheet'!CY24='Weeks Plan'!$G$6),'Planning Sheet'!$B24,"")</f>
        <v/>
      </c>
      <c r="Z4465" s="48" t="str">
        <f ca="1">IF(AND('Planning Sheet'!DE24='Weeks Plan'!$D$6,'Planning Sheet'!CY24='Weeks Plan'!$G$6),'Planning Sheet'!$CZ24,"")</f>
        <v/>
      </c>
      <c r="AA4465" s="48" t="str">
        <f ca="1">IF(AND('Planning Sheet'!DE24='Weeks Plan'!$D$6,'Planning Sheet'!CY24='Weeks Plan'!$G$6),'Planning Sheet'!$DA24,"")</f>
        <v/>
      </c>
    </row>
    <row r="4466" spans="25:27" x14ac:dyDescent="0.3">
      <c r="Y4466" s="48" t="str">
        <f ca="1">IF(AND('Planning Sheet'!DE25='Weeks Plan'!$D$6,'Planning Sheet'!CY25='Weeks Plan'!$G$6),'Planning Sheet'!$B25,"")</f>
        <v/>
      </c>
      <c r="Z4466" s="48" t="str">
        <f ca="1">IF(AND('Planning Sheet'!DE25='Weeks Plan'!$D$6,'Planning Sheet'!CY25='Weeks Plan'!$G$6),'Planning Sheet'!$CZ25,"")</f>
        <v/>
      </c>
      <c r="AA4466" s="48" t="str">
        <f ca="1">IF(AND('Planning Sheet'!DE25='Weeks Plan'!$D$6,'Planning Sheet'!CY25='Weeks Plan'!$G$6),'Planning Sheet'!$DA25,"")</f>
        <v/>
      </c>
    </row>
    <row r="4467" spans="25:27" x14ac:dyDescent="0.3">
      <c r="Y4467" s="48" t="str">
        <f ca="1">IF(AND('Planning Sheet'!DE26='Weeks Plan'!$D$6,'Planning Sheet'!CY26='Weeks Plan'!$G$6),'Planning Sheet'!$B26,"")</f>
        <v/>
      </c>
      <c r="Z4467" s="48" t="str">
        <f ca="1">IF(AND('Planning Sheet'!DE26='Weeks Plan'!$D$6,'Planning Sheet'!CY26='Weeks Plan'!$G$6),'Planning Sheet'!$CZ26,"")</f>
        <v/>
      </c>
      <c r="AA4467" s="48" t="str">
        <f ca="1">IF(AND('Planning Sheet'!DE26='Weeks Plan'!$D$6,'Planning Sheet'!CY26='Weeks Plan'!$G$6),'Planning Sheet'!$DA26,"")</f>
        <v/>
      </c>
    </row>
    <row r="4468" spans="25:27" x14ac:dyDescent="0.3">
      <c r="Y4468" s="48" t="str">
        <f ca="1">IF(AND('Planning Sheet'!DE27='Weeks Plan'!$D$6,'Planning Sheet'!CY27='Weeks Plan'!$G$6),'Planning Sheet'!$B27,"")</f>
        <v/>
      </c>
      <c r="Z4468" s="48" t="str">
        <f ca="1">IF(AND('Planning Sheet'!DE27='Weeks Plan'!$D$6,'Planning Sheet'!CY27='Weeks Plan'!$G$6),'Planning Sheet'!$CZ27,"")</f>
        <v/>
      </c>
      <c r="AA4468" s="48" t="str">
        <f ca="1">IF(AND('Planning Sheet'!DE27='Weeks Plan'!$D$6,'Planning Sheet'!CY27='Weeks Plan'!$G$6),'Planning Sheet'!$DA27,"")</f>
        <v/>
      </c>
    </row>
    <row r="4469" spans="25:27" x14ac:dyDescent="0.3">
      <c r="Y4469" s="48" t="str">
        <f ca="1">IF(AND('Planning Sheet'!DE28='Weeks Plan'!$D$6,'Planning Sheet'!CY28='Weeks Plan'!$G$6),'Planning Sheet'!$B28,"")</f>
        <v/>
      </c>
      <c r="Z4469" s="48" t="str">
        <f ca="1">IF(AND('Planning Sheet'!DE28='Weeks Plan'!$D$6,'Planning Sheet'!CY28='Weeks Plan'!$G$6),'Planning Sheet'!$CZ28,"")</f>
        <v/>
      </c>
      <c r="AA4469" s="48" t="str">
        <f ca="1">IF(AND('Planning Sheet'!DE28='Weeks Plan'!$D$6,'Planning Sheet'!CY28='Weeks Plan'!$G$6),'Planning Sheet'!$DA28,"")</f>
        <v/>
      </c>
    </row>
    <row r="4470" spans="25:27" x14ac:dyDescent="0.3">
      <c r="Y4470" s="48" t="str">
        <f ca="1">IF(AND('Planning Sheet'!DE29='Weeks Plan'!$D$6,'Planning Sheet'!CY29='Weeks Plan'!$G$6),'Planning Sheet'!$B29,"")</f>
        <v/>
      </c>
      <c r="Z4470" s="48" t="str">
        <f ca="1">IF(AND('Planning Sheet'!DE29='Weeks Plan'!$D$6,'Planning Sheet'!CY29='Weeks Plan'!$G$6),'Planning Sheet'!$CZ29,"")</f>
        <v/>
      </c>
      <c r="AA4470" s="48" t="str">
        <f ca="1">IF(AND('Planning Sheet'!DE29='Weeks Plan'!$D$6,'Planning Sheet'!CY29='Weeks Plan'!$G$6),'Planning Sheet'!$DA29,"")</f>
        <v/>
      </c>
    </row>
    <row r="4471" spans="25:27" x14ac:dyDescent="0.3">
      <c r="Y4471" s="48" t="str">
        <f ca="1">IF(AND('Planning Sheet'!DE30='Weeks Plan'!$D$6,'Planning Sheet'!CY30='Weeks Plan'!$G$6),'Planning Sheet'!$B30,"")</f>
        <v/>
      </c>
      <c r="Z4471" s="48" t="str">
        <f ca="1">IF(AND('Planning Sheet'!DE30='Weeks Plan'!$D$6,'Planning Sheet'!CY30='Weeks Plan'!$G$6),'Planning Sheet'!$CZ30,"")</f>
        <v/>
      </c>
      <c r="AA4471" s="48" t="str">
        <f ca="1">IF(AND('Planning Sheet'!DE30='Weeks Plan'!$D$6,'Planning Sheet'!CY30='Weeks Plan'!$G$6),'Planning Sheet'!$DA30,"")</f>
        <v/>
      </c>
    </row>
    <row r="4472" spans="25:27" x14ac:dyDescent="0.3">
      <c r="Y4472" s="48" t="str">
        <f ca="1">IF(AND('Planning Sheet'!DE31='Weeks Plan'!$D$6,'Planning Sheet'!CY31='Weeks Plan'!$G$6),'Planning Sheet'!$B31,"")</f>
        <v/>
      </c>
      <c r="Z4472" s="48" t="str">
        <f ca="1">IF(AND('Planning Sheet'!DE31='Weeks Plan'!$D$6,'Planning Sheet'!CY31='Weeks Plan'!$G$6),'Planning Sheet'!$CZ31,"")</f>
        <v/>
      </c>
      <c r="AA4472" s="48" t="str">
        <f ca="1">IF(AND('Planning Sheet'!DE31='Weeks Plan'!$D$6,'Planning Sheet'!CY31='Weeks Plan'!$G$6),'Planning Sheet'!$DA31,"")</f>
        <v/>
      </c>
    </row>
    <row r="4473" spans="25:27" x14ac:dyDescent="0.3">
      <c r="Y4473" s="48" t="str">
        <f ca="1">IF(AND('Planning Sheet'!DE32='Weeks Plan'!$D$6,'Planning Sheet'!CY32='Weeks Plan'!$G$6),'Planning Sheet'!$B32,"")</f>
        <v/>
      </c>
      <c r="Z4473" s="48" t="str">
        <f ca="1">IF(AND('Planning Sheet'!DE32='Weeks Plan'!$D$6,'Planning Sheet'!CY32='Weeks Plan'!$G$6),'Planning Sheet'!$CZ32,"")</f>
        <v/>
      </c>
      <c r="AA4473" s="48" t="str">
        <f ca="1">IF(AND('Planning Sheet'!DE32='Weeks Plan'!$D$6,'Planning Sheet'!CY32='Weeks Plan'!$G$6),'Planning Sheet'!$DA32,"")</f>
        <v/>
      </c>
    </row>
    <row r="4474" spans="25:27" x14ac:dyDescent="0.3">
      <c r="Y4474" s="48" t="str">
        <f ca="1">IF(AND('Planning Sheet'!DE33='Weeks Plan'!$D$6,'Planning Sheet'!CY33='Weeks Plan'!$G$6),'Planning Sheet'!$B33,"")</f>
        <v/>
      </c>
      <c r="Z4474" s="48" t="str">
        <f ca="1">IF(AND('Planning Sheet'!DE33='Weeks Plan'!$D$6,'Planning Sheet'!CY33='Weeks Plan'!$G$6),'Planning Sheet'!$CZ33,"")</f>
        <v/>
      </c>
      <c r="AA4474" s="48" t="str">
        <f ca="1">IF(AND('Planning Sheet'!DE33='Weeks Plan'!$D$6,'Planning Sheet'!CY33='Weeks Plan'!$G$6),'Planning Sheet'!$DA33,"")</f>
        <v/>
      </c>
    </row>
    <row r="4475" spans="25:27" x14ac:dyDescent="0.3">
      <c r="Y4475" s="48" t="str">
        <f ca="1">IF(AND('Planning Sheet'!DE34='Weeks Plan'!$D$6,'Planning Sheet'!CY34='Weeks Plan'!$G$6),'Planning Sheet'!$B34,"")</f>
        <v/>
      </c>
      <c r="Z4475" s="48" t="str">
        <f ca="1">IF(AND('Planning Sheet'!DE34='Weeks Plan'!$D$6,'Planning Sheet'!CY34='Weeks Plan'!$G$6),'Planning Sheet'!$CZ34,"")</f>
        <v/>
      </c>
      <c r="AA4475" s="48" t="str">
        <f ca="1">IF(AND('Planning Sheet'!DE34='Weeks Plan'!$D$6,'Planning Sheet'!CY34='Weeks Plan'!$G$6),'Planning Sheet'!$DA34,"")</f>
        <v/>
      </c>
    </row>
    <row r="4476" spans="25:27" x14ac:dyDescent="0.3">
      <c r="Y4476" s="48" t="str">
        <f ca="1">IF(AND('Planning Sheet'!DE35='Weeks Plan'!$D$6,'Planning Sheet'!CY35='Weeks Plan'!$G$6),'Planning Sheet'!$B35,"")</f>
        <v/>
      </c>
      <c r="Z4476" s="48" t="str">
        <f ca="1">IF(AND('Planning Sheet'!DE35='Weeks Plan'!$D$6,'Planning Sheet'!CY35='Weeks Plan'!$G$6),'Planning Sheet'!$CZ35,"")</f>
        <v/>
      </c>
      <c r="AA4476" s="48" t="str">
        <f ca="1">IF(AND('Planning Sheet'!DE35='Weeks Plan'!$D$6,'Planning Sheet'!CY35='Weeks Plan'!$G$6),'Planning Sheet'!$DA35,"")</f>
        <v/>
      </c>
    </row>
    <row r="4477" spans="25:27" x14ac:dyDescent="0.3">
      <c r="Y4477" s="48" t="str">
        <f ca="1">IF(AND('Planning Sheet'!DE36='Weeks Plan'!$D$6,'Planning Sheet'!CY36='Weeks Plan'!$G$6),'Planning Sheet'!$B36,"")</f>
        <v/>
      </c>
      <c r="Z4477" s="48" t="str">
        <f ca="1">IF(AND('Planning Sheet'!DE36='Weeks Plan'!$D$6,'Planning Sheet'!CY36='Weeks Plan'!$G$6),'Planning Sheet'!$CZ36,"")</f>
        <v/>
      </c>
      <c r="AA4477" s="48" t="str">
        <f ca="1">IF(AND('Planning Sheet'!DE36='Weeks Plan'!$D$6,'Planning Sheet'!CY36='Weeks Plan'!$G$6),'Planning Sheet'!$DA36,"")</f>
        <v/>
      </c>
    </row>
    <row r="4478" spans="25:27" x14ac:dyDescent="0.3">
      <c r="Y4478" s="48" t="str">
        <f ca="1">IF(AND('Planning Sheet'!DE37='Weeks Plan'!$D$6,'Planning Sheet'!CY37='Weeks Plan'!$G$6),'Planning Sheet'!$B37,"")</f>
        <v/>
      </c>
      <c r="Z4478" s="48" t="str">
        <f ca="1">IF(AND('Planning Sheet'!DE37='Weeks Plan'!$D$6,'Planning Sheet'!CY37='Weeks Plan'!$G$6),'Planning Sheet'!$CZ37,"")</f>
        <v/>
      </c>
      <c r="AA4478" s="48" t="str">
        <f ca="1">IF(AND('Planning Sheet'!DE37='Weeks Plan'!$D$6,'Planning Sheet'!CY37='Weeks Plan'!$G$6),'Planning Sheet'!$DA37,"")</f>
        <v/>
      </c>
    </row>
    <row r="4479" spans="25:27" x14ac:dyDescent="0.3">
      <c r="Y4479" s="48" t="str">
        <f ca="1">IF(AND('Planning Sheet'!DE38='Weeks Plan'!$D$6,'Planning Sheet'!CY38='Weeks Plan'!$G$6),'Planning Sheet'!$B38,"")</f>
        <v/>
      </c>
      <c r="Z4479" s="48" t="str">
        <f ca="1">IF(AND('Planning Sheet'!DE38='Weeks Plan'!$D$6,'Planning Sheet'!CY38='Weeks Plan'!$G$6),'Planning Sheet'!$CZ38,"")</f>
        <v/>
      </c>
      <c r="AA4479" s="48" t="str">
        <f ca="1">IF(AND('Planning Sheet'!DE38='Weeks Plan'!$D$6,'Planning Sheet'!CY38='Weeks Plan'!$G$6),'Planning Sheet'!$DA38,"")</f>
        <v/>
      </c>
    </row>
    <row r="4480" spans="25:27" x14ac:dyDescent="0.3">
      <c r="Y4480" s="48" t="str">
        <f ca="1">IF(AND('Planning Sheet'!DE39='Weeks Plan'!$D$6,'Planning Sheet'!CY39='Weeks Plan'!$G$6),'Planning Sheet'!$B39,"")</f>
        <v/>
      </c>
      <c r="Z4480" s="48" t="str">
        <f ca="1">IF(AND('Planning Sheet'!DE39='Weeks Plan'!$D$6,'Planning Sheet'!CY39='Weeks Plan'!$G$6),'Planning Sheet'!$CZ39,"")</f>
        <v/>
      </c>
      <c r="AA4480" s="48" t="str">
        <f ca="1">IF(AND('Planning Sheet'!DE39='Weeks Plan'!$D$6,'Planning Sheet'!CY39='Weeks Plan'!$G$6),'Planning Sheet'!$DA39,"")</f>
        <v/>
      </c>
    </row>
    <row r="4481" spans="25:27" x14ac:dyDescent="0.3">
      <c r="Y4481" s="48" t="str">
        <f ca="1">IF(AND('Planning Sheet'!DE40='Weeks Plan'!$D$6,'Planning Sheet'!CY40='Weeks Plan'!$G$6),'Planning Sheet'!$B40,"")</f>
        <v/>
      </c>
      <c r="Z4481" s="48" t="str">
        <f ca="1">IF(AND('Planning Sheet'!DE40='Weeks Plan'!$D$6,'Planning Sheet'!CY40='Weeks Plan'!$G$6),'Planning Sheet'!$CZ40,"")</f>
        <v/>
      </c>
      <c r="AA4481" s="48" t="str">
        <f ca="1">IF(AND('Planning Sheet'!DE40='Weeks Plan'!$D$6,'Planning Sheet'!CY40='Weeks Plan'!$G$6),'Planning Sheet'!$DA40,"")</f>
        <v/>
      </c>
    </row>
    <row r="4482" spans="25:27" x14ac:dyDescent="0.3">
      <c r="Y4482" s="48" t="str">
        <f ca="1">IF(AND('Planning Sheet'!DE41='Weeks Plan'!$D$6,'Planning Sheet'!CY41='Weeks Plan'!$G$6),'Planning Sheet'!$B41,"")</f>
        <v/>
      </c>
      <c r="Z4482" s="48" t="str">
        <f ca="1">IF(AND('Planning Sheet'!DE41='Weeks Plan'!$D$6,'Planning Sheet'!CY41='Weeks Plan'!$G$6),'Planning Sheet'!$CZ41,"")</f>
        <v/>
      </c>
      <c r="AA4482" s="48" t="str">
        <f ca="1">IF(AND('Planning Sheet'!DE41='Weeks Plan'!$D$6,'Planning Sheet'!CY41='Weeks Plan'!$G$6),'Planning Sheet'!$DA41,"")</f>
        <v/>
      </c>
    </row>
    <row r="4483" spans="25:27" x14ac:dyDescent="0.3">
      <c r="Y4483" s="48" t="str">
        <f ca="1">IF(AND('Planning Sheet'!DE42='Weeks Plan'!$D$6,'Planning Sheet'!CY42='Weeks Plan'!$G$6),'Planning Sheet'!$B42,"")</f>
        <v/>
      </c>
      <c r="Z4483" s="48" t="str">
        <f ca="1">IF(AND('Planning Sheet'!DE42='Weeks Plan'!$D$6,'Planning Sheet'!CY42='Weeks Plan'!$G$6),'Planning Sheet'!$CZ42,"")</f>
        <v/>
      </c>
      <c r="AA4483" s="48" t="str">
        <f ca="1">IF(AND('Planning Sheet'!DE42='Weeks Plan'!$D$6,'Planning Sheet'!CY42='Weeks Plan'!$G$6),'Planning Sheet'!$DA42,"")</f>
        <v/>
      </c>
    </row>
    <row r="4484" spans="25:27" x14ac:dyDescent="0.3">
      <c r="Y4484" s="48" t="str">
        <f ca="1">IF(AND('Planning Sheet'!DE43='Weeks Plan'!$D$6,'Planning Sheet'!CY43='Weeks Plan'!$G$6),'Planning Sheet'!$B43,"")</f>
        <v/>
      </c>
      <c r="Z4484" s="48" t="str">
        <f ca="1">IF(AND('Planning Sheet'!DE43='Weeks Plan'!$D$6,'Planning Sheet'!CY43='Weeks Plan'!$G$6),'Planning Sheet'!$CZ43,"")</f>
        <v/>
      </c>
      <c r="AA4484" s="48" t="str">
        <f ca="1">IF(AND('Planning Sheet'!DE43='Weeks Plan'!$D$6,'Planning Sheet'!CY43='Weeks Plan'!$G$6),'Planning Sheet'!$DA43,"")</f>
        <v/>
      </c>
    </row>
    <row r="4485" spans="25:27" x14ac:dyDescent="0.3">
      <c r="Y4485" s="48" t="str">
        <f ca="1">IF(AND('Planning Sheet'!DE44='Weeks Plan'!$D$6,'Planning Sheet'!CY44='Weeks Plan'!$G$6),'Planning Sheet'!$B44,"")</f>
        <v/>
      </c>
      <c r="Z4485" s="48" t="str">
        <f ca="1">IF(AND('Planning Sheet'!DE44='Weeks Plan'!$D$6,'Planning Sheet'!CY44='Weeks Plan'!$G$6),'Planning Sheet'!$CZ44,"")</f>
        <v/>
      </c>
      <c r="AA4485" s="48" t="str">
        <f ca="1">IF(AND('Planning Sheet'!DE44='Weeks Plan'!$D$6,'Planning Sheet'!CY44='Weeks Plan'!$G$6),'Planning Sheet'!$DA44,"")</f>
        <v/>
      </c>
    </row>
    <row r="4486" spans="25:27" x14ac:dyDescent="0.3">
      <c r="Y4486" s="48" t="str">
        <f ca="1">IF(AND('Planning Sheet'!DE45='Weeks Plan'!$D$6,'Planning Sheet'!CY45='Weeks Plan'!$G$6),'Planning Sheet'!$B45,"")</f>
        <v/>
      </c>
      <c r="Z4486" s="48" t="str">
        <f ca="1">IF(AND('Planning Sheet'!DE45='Weeks Plan'!$D$6,'Planning Sheet'!CY45='Weeks Plan'!$G$6),'Planning Sheet'!$CZ45,"")</f>
        <v/>
      </c>
      <c r="AA4486" s="48" t="str">
        <f ca="1">IF(AND('Planning Sheet'!DE45='Weeks Plan'!$D$6,'Planning Sheet'!CY45='Weeks Plan'!$G$6),'Planning Sheet'!$DA45,"")</f>
        <v/>
      </c>
    </row>
    <row r="4487" spans="25:27" x14ac:dyDescent="0.3">
      <c r="Y4487" s="48" t="str">
        <f ca="1">IF(AND('Planning Sheet'!DE46='Weeks Plan'!$D$6,'Planning Sheet'!CY46='Weeks Plan'!$G$6),'Planning Sheet'!$B46,"")</f>
        <v/>
      </c>
      <c r="Z4487" s="48" t="str">
        <f ca="1">IF(AND('Planning Sheet'!DE46='Weeks Plan'!$D$6,'Planning Sheet'!CY46='Weeks Plan'!$G$6),'Planning Sheet'!$CZ46,"")</f>
        <v/>
      </c>
      <c r="AA4487" s="48" t="str">
        <f ca="1">IF(AND('Planning Sheet'!DE46='Weeks Plan'!$D$6,'Planning Sheet'!CY46='Weeks Plan'!$G$6),'Planning Sheet'!$DA46,"")</f>
        <v/>
      </c>
    </row>
    <row r="4488" spans="25:27" x14ac:dyDescent="0.3">
      <c r="Y4488" s="48" t="str">
        <f ca="1">IF(AND('Planning Sheet'!DE47='Weeks Plan'!$D$6,'Planning Sheet'!CY47='Weeks Plan'!$G$6),'Planning Sheet'!$B47,"")</f>
        <v/>
      </c>
      <c r="Z4488" s="48" t="str">
        <f ca="1">IF(AND('Planning Sheet'!DE47='Weeks Plan'!$D$6,'Planning Sheet'!CY47='Weeks Plan'!$G$6),'Planning Sheet'!$CZ47,"")</f>
        <v/>
      </c>
      <c r="AA4488" s="48" t="str">
        <f ca="1">IF(AND('Planning Sheet'!DE47='Weeks Plan'!$D$6,'Planning Sheet'!CY47='Weeks Plan'!$G$6),'Planning Sheet'!$DA47,"")</f>
        <v/>
      </c>
    </row>
    <row r="4489" spans="25:27" x14ac:dyDescent="0.3">
      <c r="Y4489" s="48" t="str">
        <f ca="1">IF(AND('Planning Sheet'!DE48='Weeks Plan'!$D$6,'Planning Sheet'!CY48='Weeks Plan'!$G$6),'Planning Sheet'!$B48,"")</f>
        <v/>
      </c>
      <c r="Z4489" s="48" t="str">
        <f ca="1">IF(AND('Planning Sheet'!DE48='Weeks Plan'!$D$6,'Planning Sheet'!CY48='Weeks Plan'!$G$6),'Planning Sheet'!$CZ48,"")</f>
        <v/>
      </c>
      <c r="AA4489" s="48" t="str">
        <f ca="1">IF(AND('Planning Sheet'!DE48='Weeks Plan'!$D$6,'Planning Sheet'!CY48='Weeks Plan'!$G$6),'Planning Sheet'!$DA48,"")</f>
        <v/>
      </c>
    </row>
    <row r="4490" spans="25:27" x14ac:dyDescent="0.3">
      <c r="Y4490" s="48" t="str">
        <f ca="1">IF(AND('Planning Sheet'!DE49='Weeks Plan'!$D$6,'Planning Sheet'!CY49='Weeks Plan'!$G$6),'Planning Sheet'!$B49,"")</f>
        <v/>
      </c>
      <c r="Z4490" s="48" t="str">
        <f ca="1">IF(AND('Planning Sheet'!DE49='Weeks Plan'!$D$6,'Planning Sheet'!CY49='Weeks Plan'!$G$6),'Planning Sheet'!$CZ49,"")</f>
        <v/>
      </c>
      <c r="AA4490" s="48" t="str">
        <f ca="1">IF(AND('Planning Sheet'!DE49='Weeks Plan'!$D$6,'Planning Sheet'!CY49='Weeks Plan'!$G$6),'Planning Sheet'!$DA49,"")</f>
        <v/>
      </c>
    </row>
    <row r="4491" spans="25:27" x14ac:dyDescent="0.3">
      <c r="Y4491" s="48" t="str">
        <f ca="1">IF(AND('Planning Sheet'!DE50='Weeks Plan'!$D$6,'Planning Sheet'!CY50='Weeks Plan'!$G$6),'Planning Sheet'!$B50,"")</f>
        <v/>
      </c>
      <c r="Z4491" s="48" t="str">
        <f ca="1">IF(AND('Planning Sheet'!DE50='Weeks Plan'!$D$6,'Planning Sheet'!CY50='Weeks Plan'!$G$6),'Planning Sheet'!$CZ50,"")</f>
        <v/>
      </c>
      <c r="AA4491" s="48" t="str">
        <f ca="1">IF(AND('Planning Sheet'!DE50='Weeks Plan'!$D$6,'Planning Sheet'!CY50='Weeks Plan'!$G$6),'Planning Sheet'!$DA50,"")</f>
        <v/>
      </c>
    </row>
    <row r="4492" spans="25:27" x14ac:dyDescent="0.3">
      <c r="Y4492" s="48" t="str">
        <f ca="1">IF(AND('Planning Sheet'!DE51='Weeks Plan'!$D$6,'Planning Sheet'!CY51='Weeks Plan'!$G$6),'Planning Sheet'!$B51,"")</f>
        <v/>
      </c>
      <c r="Z4492" s="48" t="str">
        <f ca="1">IF(AND('Planning Sheet'!DE51='Weeks Plan'!$D$6,'Planning Sheet'!CY51='Weeks Plan'!$G$6),'Planning Sheet'!$CZ51,"")</f>
        <v/>
      </c>
      <c r="AA4492" s="48" t="str">
        <f ca="1">IF(AND('Planning Sheet'!DE51='Weeks Plan'!$D$6,'Planning Sheet'!CY51='Weeks Plan'!$G$6),'Planning Sheet'!$DA51,"")</f>
        <v/>
      </c>
    </row>
    <row r="4493" spans="25:27" x14ac:dyDescent="0.3">
      <c r="Y4493" s="48" t="str">
        <f ca="1">IF(AND('Planning Sheet'!DE52='Weeks Plan'!$D$6,'Planning Sheet'!CY52='Weeks Plan'!$G$6),'Planning Sheet'!$B52,"")</f>
        <v/>
      </c>
      <c r="Z4493" s="48" t="str">
        <f ca="1">IF(AND('Planning Sheet'!DE52='Weeks Plan'!$D$6,'Planning Sheet'!CY52='Weeks Plan'!$G$6),'Planning Sheet'!$CZ52,"")</f>
        <v/>
      </c>
      <c r="AA4493" s="48" t="str">
        <f ca="1">IF(AND('Planning Sheet'!DE52='Weeks Plan'!$D$6,'Planning Sheet'!CY52='Weeks Plan'!$G$6),'Planning Sheet'!$DA52,"")</f>
        <v/>
      </c>
    </row>
    <row r="4494" spans="25:27" x14ac:dyDescent="0.3">
      <c r="Y4494" s="48" t="str">
        <f ca="1">IF(AND('Planning Sheet'!DE53='Weeks Plan'!$D$6,'Planning Sheet'!CY53='Weeks Plan'!$G$6),'Planning Sheet'!$B53,"")</f>
        <v/>
      </c>
      <c r="Z4494" s="48" t="str">
        <f ca="1">IF(AND('Planning Sheet'!DE53='Weeks Plan'!$D$6,'Planning Sheet'!CY53='Weeks Plan'!$G$6),'Planning Sheet'!$CZ53,"")</f>
        <v/>
      </c>
      <c r="AA4494" s="48" t="str">
        <f ca="1">IF(AND('Planning Sheet'!DE53='Weeks Plan'!$D$6,'Planning Sheet'!CY53='Weeks Plan'!$G$6),'Planning Sheet'!$DA53,"")</f>
        <v/>
      </c>
    </row>
    <row r="4495" spans="25:27" x14ac:dyDescent="0.3">
      <c r="Y4495" s="48" t="str">
        <f ca="1">IF(AND('Planning Sheet'!DE54='Weeks Plan'!$D$6,'Planning Sheet'!CY54='Weeks Plan'!$G$6),'Planning Sheet'!$B54,"")</f>
        <v/>
      </c>
      <c r="Z4495" s="48" t="str">
        <f ca="1">IF(AND('Planning Sheet'!DE54='Weeks Plan'!$D$6,'Planning Sheet'!CY54='Weeks Plan'!$G$6),'Planning Sheet'!$CZ54,"")</f>
        <v/>
      </c>
      <c r="AA4495" s="48" t="str">
        <f ca="1">IF(AND('Planning Sheet'!DE54='Weeks Plan'!$D$6,'Planning Sheet'!CY54='Weeks Plan'!$G$6),'Planning Sheet'!$DA54,"")</f>
        <v/>
      </c>
    </row>
    <row r="4496" spans="25:27" x14ac:dyDescent="0.3">
      <c r="Y4496" s="48" t="str">
        <f ca="1">IF(AND('Planning Sheet'!DE55='Weeks Plan'!$D$6,'Planning Sheet'!CY55='Weeks Plan'!$G$6),'Planning Sheet'!$B55,"")</f>
        <v/>
      </c>
      <c r="Z4496" s="48" t="str">
        <f ca="1">IF(AND('Planning Sheet'!DE55='Weeks Plan'!$D$6,'Planning Sheet'!CY55='Weeks Plan'!$G$6),'Planning Sheet'!$CZ55,"")</f>
        <v/>
      </c>
      <c r="AA4496" s="48" t="str">
        <f ca="1">IF(AND('Planning Sheet'!DE55='Weeks Plan'!$D$6,'Planning Sheet'!CY55='Weeks Plan'!$G$6),'Planning Sheet'!$DA55,"")</f>
        <v/>
      </c>
    </row>
    <row r="4497" spans="25:27" x14ac:dyDescent="0.3">
      <c r="Y4497" s="48" t="str">
        <f ca="1">IF(AND('Planning Sheet'!DE56='Weeks Plan'!$D$6,'Planning Sheet'!CY56='Weeks Plan'!$G$6),'Planning Sheet'!$B56,"")</f>
        <v/>
      </c>
      <c r="Z4497" s="48" t="str">
        <f ca="1">IF(AND('Planning Sheet'!DE56='Weeks Plan'!$D$6,'Planning Sheet'!CY56='Weeks Plan'!$G$6),'Planning Sheet'!$CZ56,"")</f>
        <v/>
      </c>
      <c r="AA4497" s="48" t="str">
        <f ca="1">IF(AND('Planning Sheet'!DE56='Weeks Plan'!$D$6,'Planning Sheet'!CY56='Weeks Plan'!$G$6),'Planning Sheet'!$DA56,"")</f>
        <v/>
      </c>
    </row>
    <row r="4498" spans="25:27" x14ac:dyDescent="0.3">
      <c r="Y4498" s="48" t="str">
        <f ca="1">IF(AND('Planning Sheet'!DE57='Weeks Plan'!$D$6,'Planning Sheet'!CY57='Weeks Plan'!$G$6),'Planning Sheet'!$B57,"")</f>
        <v/>
      </c>
      <c r="Z4498" s="48" t="str">
        <f ca="1">IF(AND('Planning Sheet'!DE57='Weeks Plan'!$D$6,'Planning Sheet'!CY57='Weeks Plan'!$G$6),'Planning Sheet'!$CZ57,"")</f>
        <v/>
      </c>
      <c r="AA4498" s="48" t="str">
        <f ca="1">IF(AND('Planning Sheet'!DE57='Weeks Plan'!$D$6,'Planning Sheet'!CY57='Weeks Plan'!$G$6),'Planning Sheet'!$DA57,"")</f>
        <v/>
      </c>
    </row>
    <row r="4499" spans="25:27" x14ac:dyDescent="0.3">
      <c r="Y4499" s="48" t="str">
        <f ca="1">IF(AND('Planning Sheet'!DE58='Weeks Plan'!$D$6,'Planning Sheet'!CY58='Weeks Plan'!$G$6),'Planning Sheet'!$B58,"")</f>
        <v/>
      </c>
      <c r="Z4499" s="48" t="str">
        <f ca="1">IF(AND('Planning Sheet'!DE58='Weeks Plan'!$D$6,'Planning Sheet'!CY58='Weeks Plan'!$G$6),'Planning Sheet'!$CZ58,"")</f>
        <v/>
      </c>
      <c r="AA4499" s="48" t="str">
        <f ca="1">IF(AND('Planning Sheet'!DE58='Weeks Plan'!$D$6,'Planning Sheet'!CY58='Weeks Plan'!$G$6),'Planning Sheet'!$DA58,"")</f>
        <v/>
      </c>
    </row>
    <row r="4500" spans="25:27" x14ac:dyDescent="0.3">
      <c r="Y4500" s="48" t="str">
        <f ca="1">IF(AND('Planning Sheet'!DE59='Weeks Plan'!$D$6,'Planning Sheet'!CY59='Weeks Plan'!$G$6),'Planning Sheet'!$B59,"")</f>
        <v/>
      </c>
      <c r="Z4500" s="48" t="str">
        <f ca="1">IF(AND('Planning Sheet'!DE59='Weeks Plan'!$D$6,'Planning Sheet'!CY59='Weeks Plan'!$G$6),'Planning Sheet'!$CZ59,"")</f>
        <v/>
      </c>
      <c r="AA4500" s="48" t="str">
        <f ca="1">IF(AND('Planning Sheet'!DE59='Weeks Plan'!$D$6,'Planning Sheet'!CY59='Weeks Plan'!$G$6),'Planning Sheet'!$DA59,"")</f>
        <v/>
      </c>
    </row>
    <row r="4501" spans="25:27" x14ac:dyDescent="0.3">
      <c r="Y4501" s="48" t="str">
        <f ca="1">IF(AND('Planning Sheet'!DE60='Weeks Plan'!$D$6,'Planning Sheet'!CY60='Weeks Plan'!$G$6),'Planning Sheet'!$B60,"")</f>
        <v/>
      </c>
      <c r="Z4501" s="48" t="str">
        <f ca="1">IF(AND('Planning Sheet'!DE60='Weeks Plan'!$D$6,'Planning Sheet'!CY60='Weeks Plan'!$G$6),'Planning Sheet'!$CZ60,"")</f>
        <v/>
      </c>
      <c r="AA4501" s="48" t="str">
        <f ca="1">IF(AND('Planning Sheet'!DE60='Weeks Plan'!$D$6,'Planning Sheet'!CY60='Weeks Plan'!$G$6),'Planning Sheet'!$DA60,"")</f>
        <v/>
      </c>
    </row>
    <row r="4502" spans="25:27" x14ac:dyDescent="0.3">
      <c r="Y4502" s="48" t="str">
        <f ca="1">IF(AND('Planning Sheet'!DE61='Weeks Plan'!$D$6,'Planning Sheet'!CY61='Weeks Plan'!$G$6),'Planning Sheet'!$B61,"")</f>
        <v/>
      </c>
      <c r="Z4502" s="48" t="str">
        <f ca="1">IF(AND('Planning Sheet'!DE61='Weeks Plan'!$D$6,'Planning Sheet'!CY61='Weeks Plan'!$G$6),'Planning Sheet'!$CZ61,"")</f>
        <v/>
      </c>
      <c r="AA4502" s="48" t="str">
        <f ca="1">IF(AND('Planning Sheet'!DE61='Weeks Plan'!$D$6,'Planning Sheet'!CY61='Weeks Plan'!$G$6),'Planning Sheet'!$DA61,"")</f>
        <v/>
      </c>
    </row>
    <row r="4503" spans="25:27" x14ac:dyDescent="0.3">
      <c r="Y4503" s="48" t="str">
        <f ca="1">IF(AND('Planning Sheet'!DE62='Weeks Plan'!$D$6,'Planning Sheet'!CY62='Weeks Plan'!$G$6),'Planning Sheet'!$B62,"")</f>
        <v/>
      </c>
      <c r="Z4503" s="48" t="str">
        <f ca="1">IF(AND('Planning Sheet'!DE62='Weeks Plan'!$D$6,'Planning Sheet'!CY62='Weeks Plan'!$G$6),'Planning Sheet'!$CZ62,"")</f>
        <v/>
      </c>
      <c r="AA4503" s="48" t="str">
        <f ca="1">IF(AND('Planning Sheet'!DE62='Weeks Plan'!$D$6,'Planning Sheet'!CY62='Weeks Plan'!$G$6),'Planning Sheet'!$DA62,"")</f>
        <v/>
      </c>
    </row>
    <row r="4504" spans="25:27" x14ac:dyDescent="0.3">
      <c r="Y4504" s="48" t="str">
        <f ca="1">IF(AND('Planning Sheet'!DE63='Weeks Plan'!$D$6,'Planning Sheet'!CY63='Weeks Plan'!$G$6),'Planning Sheet'!$B63,"")</f>
        <v/>
      </c>
      <c r="Z4504" s="48" t="str">
        <f ca="1">IF(AND('Planning Sheet'!DE63='Weeks Plan'!$D$6,'Planning Sheet'!CY63='Weeks Plan'!$G$6),'Planning Sheet'!$CZ63,"")</f>
        <v/>
      </c>
      <c r="AA4504" s="48" t="str">
        <f ca="1">IF(AND('Planning Sheet'!DE63='Weeks Plan'!$D$6,'Planning Sheet'!CY63='Weeks Plan'!$G$6),'Planning Sheet'!$DA63,"")</f>
        <v/>
      </c>
    </row>
    <row r="4505" spans="25:27" x14ac:dyDescent="0.3">
      <c r="Y4505" s="48" t="str">
        <f ca="1">IF(AND('Planning Sheet'!DE64='Weeks Plan'!$D$6,'Planning Sheet'!CY64='Weeks Plan'!$G$6),'Planning Sheet'!$B64,"")</f>
        <v/>
      </c>
      <c r="Z4505" s="48" t="str">
        <f ca="1">IF(AND('Planning Sheet'!DE64='Weeks Plan'!$D$6,'Planning Sheet'!CY64='Weeks Plan'!$G$6),'Planning Sheet'!$CZ64,"")</f>
        <v/>
      </c>
      <c r="AA4505" s="48" t="str">
        <f ca="1">IF(AND('Planning Sheet'!DE64='Weeks Plan'!$D$6,'Planning Sheet'!CY64='Weeks Plan'!$G$6),'Planning Sheet'!$DA64,"")</f>
        <v/>
      </c>
    </row>
    <row r="4506" spans="25:27" x14ac:dyDescent="0.3">
      <c r="Y4506" s="48" t="str">
        <f ca="1">IF(AND('Planning Sheet'!DE65='Weeks Plan'!$D$6,'Planning Sheet'!CY65='Weeks Plan'!$G$6),'Planning Sheet'!$B65,"")</f>
        <v/>
      </c>
      <c r="Z4506" s="48" t="str">
        <f ca="1">IF(AND('Planning Sheet'!DE65='Weeks Plan'!$D$6,'Planning Sheet'!CY65='Weeks Plan'!$G$6),'Planning Sheet'!$CZ65,"")</f>
        <v/>
      </c>
      <c r="AA4506" s="48" t="str">
        <f ca="1">IF(AND('Planning Sheet'!DE65='Weeks Plan'!$D$6,'Planning Sheet'!CY65='Weeks Plan'!$G$6),'Planning Sheet'!$DA65,"")</f>
        <v/>
      </c>
    </row>
    <row r="4507" spans="25:27" x14ac:dyDescent="0.3">
      <c r="Y4507" s="48" t="str">
        <f ca="1">IF(AND('Planning Sheet'!DE66='Weeks Plan'!$D$6,'Planning Sheet'!CY66='Weeks Plan'!$G$6),'Planning Sheet'!$B66,"")</f>
        <v/>
      </c>
      <c r="Z4507" s="48" t="str">
        <f ca="1">IF(AND('Planning Sheet'!DE66='Weeks Plan'!$D$6,'Planning Sheet'!CY66='Weeks Plan'!$G$6),'Planning Sheet'!$CZ66,"")</f>
        <v/>
      </c>
      <c r="AA4507" s="48" t="str">
        <f ca="1">IF(AND('Planning Sheet'!DE66='Weeks Plan'!$D$6,'Planning Sheet'!CY66='Weeks Plan'!$G$6),'Planning Sheet'!$DA66,"")</f>
        <v/>
      </c>
    </row>
    <row r="4508" spans="25:27" x14ac:dyDescent="0.3">
      <c r="Y4508" s="48" t="str">
        <f ca="1">IF(AND('Planning Sheet'!DE67='Weeks Plan'!$D$6,'Planning Sheet'!CY67='Weeks Plan'!$G$6),'Planning Sheet'!$B67,"")</f>
        <v/>
      </c>
      <c r="Z4508" s="48" t="str">
        <f ca="1">IF(AND('Planning Sheet'!DE67='Weeks Plan'!$D$6,'Planning Sheet'!CY67='Weeks Plan'!$G$6),'Planning Sheet'!$CZ67,"")</f>
        <v/>
      </c>
      <c r="AA4508" s="48" t="str">
        <f ca="1">IF(AND('Planning Sheet'!DE67='Weeks Plan'!$D$6,'Planning Sheet'!CY67='Weeks Plan'!$G$6),'Planning Sheet'!$DA67,"")</f>
        <v/>
      </c>
    </row>
    <row r="4509" spans="25:27" x14ac:dyDescent="0.3">
      <c r="Y4509" s="48" t="str">
        <f ca="1">IF(AND('Planning Sheet'!DE68='Weeks Plan'!$D$6,'Planning Sheet'!CY68='Weeks Plan'!$G$6),'Planning Sheet'!$B68,"")</f>
        <v/>
      </c>
      <c r="Z4509" s="48" t="str">
        <f ca="1">IF(AND('Planning Sheet'!DE68='Weeks Plan'!$D$6,'Planning Sheet'!CY68='Weeks Plan'!$G$6),'Planning Sheet'!$CZ68,"")</f>
        <v/>
      </c>
      <c r="AA4509" s="48" t="str">
        <f ca="1">IF(AND('Planning Sheet'!DE68='Weeks Plan'!$D$6,'Planning Sheet'!CY68='Weeks Plan'!$G$6),'Planning Sheet'!$DA68,"")</f>
        <v/>
      </c>
    </row>
    <row r="4510" spans="25:27" x14ac:dyDescent="0.3">
      <c r="Y4510" s="48" t="str">
        <f ca="1">IF(AND('Planning Sheet'!DE69='Weeks Plan'!$D$6,'Planning Sheet'!CY69='Weeks Plan'!$G$6),'Planning Sheet'!$B69,"")</f>
        <v/>
      </c>
      <c r="Z4510" s="48" t="str">
        <f ca="1">IF(AND('Planning Sheet'!DE69='Weeks Plan'!$D$6,'Planning Sheet'!CY69='Weeks Plan'!$G$6),'Planning Sheet'!$CZ69,"")</f>
        <v/>
      </c>
      <c r="AA4510" s="48" t="str">
        <f ca="1">IF(AND('Planning Sheet'!DE69='Weeks Plan'!$D$6,'Planning Sheet'!CY69='Weeks Plan'!$G$6),'Planning Sheet'!$DA69,"")</f>
        <v/>
      </c>
    </row>
    <row r="4511" spans="25:27" x14ac:dyDescent="0.3">
      <c r="Y4511" s="48" t="str">
        <f ca="1">IF(AND('Planning Sheet'!DE70='Weeks Plan'!$D$6,'Planning Sheet'!CY70='Weeks Plan'!$G$6),'Planning Sheet'!$B70,"")</f>
        <v/>
      </c>
      <c r="Z4511" s="48" t="str">
        <f ca="1">IF(AND('Planning Sheet'!DE70='Weeks Plan'!$D$6,'Planning Sheet'!CY70='Weeks Plan'!$G$6),'Planning Sheet'!$CZ70,"")</f>
        <v/>
      </c>
      <c r="AA4511" s="48" t="str">
        <f ca="1">IF(AND('Planning Sheet'!DE70='Weeks Plan'!$D$6,'Planning Sheet'!CY70='Weeks Plan'!$G$6),'Planning Sheet'!$DA70,"")</f>
        <v/>
      </c>
    </row>
    <row r="4512" spans="25:27" x14ac:dyDescent="0.3">
      <c r="Y4512" s="48" t="str">
        <f ca="1">IF(AND('Planning Sheet'!DE71='Weeks Plan'!$D$6,'Planning Sheet'!CY71='Weeks Plan'!$G$6),'Planning Sheet'!$B71,"")</f>
        <v/>
      </c>
      <c r="Z4512" s="48" t="str">
        <f ca="1">IF(AND('Planning Sheet'!DE71='Weeks Plan'!$D$6,'Planning Sheet'!CY71='Weeks Plan'!$G$6),'Planning Sheet'!$CZ71,"")</f>
        <v/>
      </c>
      <c r="AA4512" s="48" t="str">
        <f ca="1">IF(AND('Planning Sheet'!DE71='Weeks Plan'!$D$6,'Planning Sheet'!CY71='Weeks Plan'!$G$6),'Planning Sheet'!$DA71,"")</f>
        <v/>
      </c>
    </row>
    <row r="4513" spans="25:27" x14ac:dyDescent="0.3">
      <c r="Y4513" s="48" t="str">
        <f ca="1">IF(AND('Planning Sheet'!DE72='Weeks Plan'!$D$6,'Planning Sheet'!CY72='Weeks Plan'!$G$6),'Planning Sheet'!$B72,"")</f>
        <v/>
      </c>
      <c r="Z4513" s="48" t="str">
        <f ca="1">IF(AND('Planning Sheet'!DE72='Weeks Plan'!$D$6,'Planning Sheet'!CY72='Weeks Plan'!$G$6),'Planning Sheet'!$CZ72,"")</f>
        <v/>
      </c>
      <c r="AA4513" s="48" t="str">
        <f ca="1">IF(AND('Planning Sheet'!DE72='Weeks Plan'!$D$6,'Planning Sheet'!CY72='Weeks Plan'!$G$6),'Planning Sheet'!$DA72,"")</f>
        <v/>
      </c>
    </row>
    <row r="4514" spans="25:27" x14ac:dyDescent="0.3">
      <c r="Y4514" s="48" t="str">
        <f ca="1">IF(AND('Planning Sheet'!DE73='Weeks Plan'!$D$6,'Planning Sheet'!CY73='Weeks Plan'!$G$6),'Planning Sheet'!$B73,"")</f>
        <v/>
      </c>
      <c r="Z4514" s="48" t="str">
        <f ca="1">IF(AND('Planning Sheet'!DE73='Weeks Plan'!$D$6,'Planning Sheet'!CY73='Weeks Plan'!$G$6),'Planning Sheet'!$CZ73,"")</f>
        <v/>
      </c>
      <c r="AA4514" s="48" t="str">
        <f ca="1">IF(AND('Planning Sheet'!DE73='Weeks Plan'!$D$6,'Planning Sheet'!CY73='Weeks Plan'!$G$6),'Planning Sheet'!$DA73,"")</f>
        <v/>
      </c>
    </row>
    <row r="4515" spans="25:27" x14ac:dyDescent="0.3">
      <c r="Y4515" s="48" t="str">
        <f ca="1">IF(AND('Planning Sheet'!DE74='Weeks Plan'!$D$6,'Planning Sheet'!CY74='Weeks Plan'!$G$6),'Planning Sheet'!$B74,"")</f>
        <v/>
      </c>
      <c r="Z4515" s="48" t="str">
        <f ca="1">IF(AND('Planning Sheet'!DE74='Weeks Plan'!$D$6,'Planning Sheet'!CY74='Weeks Plan'!$G$6),'Planning Sheet'!$CZ74,"")</f>
        <v/>
      </c>
      <c r="AA4515" s="48" t="str">
        <f ca="1">IF(AND('Planning Sheet'!DE74='Weeks Plan'!$D$6,'Planning Sheet'!CY74='Weeks Plan'!$G$6),'Planning Sheet'!$DA74,"")</f>
        <v/>
      </c>
    </row>
    <row r="4516" spans="25:27" x14ac:dyDescent="0.3">
      <c r="Y4516" s="48" t="str">
        <f ca="1">IF(AND('Planning Sheet'!DE75='Weeks Plan'!$D$6,'Planning Sheet'!CY75='Weeks Plan'!$G$6),'Planning Sheet'!$B75,"")</f>
        <v/>
      </c>
      <c r="Z4516" s="48" t="str">
        <f ca="1">IF(AND('Planning Sheet'!DE75='Weeks Plan'!$D$6,'Planning Sheet'!CY75='Weeks Plan'!$G$6),'Planning Sheet'!$CZ75,"")</f>
        <v/>
      </c>
      <c r="AA4516" s="48" t="str">
        <f ca="1">IF(AND('Planning Sheet'!DE75='Weeks Plan'!$D$6,'Planning Sheet'!CY75='Weeks Plan'!$G$6),'Planning Sheet'!$DA75,"")</f>
        <v/>
      </c>
    </row>
    <row r="4517" spans="25:27" x14ac:dyDescent="0.3">
      <c r="Y4517" s="48" t="str">
        <f ca="1">IF(AND('Planning Sheet'!DE76='Weeks Plan'!$D$6,'Planning Sheet'!CY76='Weeks Plan'!$G$6),'Planning Sheet'!$B76,"")</f>
        <v/>
      </c>
      <c r="Z4517" s="48" t="str">
        <f ca="1">IF(AND('Planning Sheet'!DE76='Weeks Plan'!$D$6,'Planning Sheet'!CY76='Weeks Plan'!$G$6),'Planning Sheet'!$CZ76,"")</f>
        <v/>
      </c>
      <c r="AA4517" s="48" t="str">
        <f ca="1">IF(AND('Planning Sheet'!DE76='Weeks Plan'!$D$6,'Planning Sheet'!CY76='Weeks Plan'!$G$6),'Planning Sheet'!$DA76,"")</f>
        <v/>
      </c>
    </row>
    <row r="4518" spans="25:27" x14ac:dyDescent="0.3">
      <c r="Y4518" s="48" t="str">
        <f ca="1">IF(AND('Planning Sheet'!DE77='Weeks Plan'!$D$6,'Planning Sheet'!CY77='Weeks Plan'!$G$6),'Planning Sheet'!$B77,"")</f>
        <v/>
      </c>
      <c r="Z4518" s="48" t="str">
        <f ca="1">IF(AND('Planning Sheet'!DE77='Weeks Plan'!$D$6,'Planning Sheet'!CY77='Weeks Plan'!$G$6),'Planning Sheet'!$CZ77,"")</f>
        <v/>
      </c>
      <c r="AA4518" s="48" t="str">
        <f ca="1">IF(AND('Planning Sheet'!DE77='Weeks Plan'!$D$6,'Planning Sheet'!CY77='Weeks Plan'!$G$6),'Planning Sheet'!$DA77,"")</f>
        <v/>
      </c>
    </row>
    <row r="4519" spans="25:27" x14ac:dyDescent="0.3">
      <c r="Y4519" s="48" t="str">
        <f ca="1">IF(AND('Planning Sheet'!DE78='Weeks Plan'!$D$6,'Planning Sheet'!CY78='Weeks Plan'!$G$6),'Planning Sheet'!$B78,"")</f>
        <v/>
      </c>
      <c r="Z4519" s="48" t="str">
        <f ca="1">IF(AND('Planning Sheet'!DE78='Weeks Plan'!$D$6,'Planning Sheet'!CY78='Weeks Plan'!$G$6),'Planning Sheet'!$CZ78,"")</f>
        <v/>
      </c>
      <c r="AA4519" s="48" t="str">
        <f ca="1">IF(AND('Planning Sheet'!DE78='Weeks Plan'!$D$6,'Planning Sheet'!CY78='Weeks Plan'!$G$6),'Planning Sheet'!$DA78,"")</f>
        <v/>
      </c>
    </row>
    <row r="4520" spans="25:27" x14ac:dyDescent="0.3">
      <c r="Y4520" s="48" t="str">
        <f ca="1">IF(AND('Planning Sheet'!DE79='Weeks Plan'!$D$6,'Planning Sheet'!CY79='Weeks Plan'!$G$6),'Planning Sheet'!$B79,"")</f>
        <v/>
      </c>
      <c r="Z4520" s="48" t="str">
        <f ca="1">IF(AND('Planning Sheet'!DE79='Weeks Plan'!$D$6,'Planning Sheet'!CY79='Weeks Plan'!$G$6),'Planning Sheet'!$CZ79,"")</f>
        <v/>
      </c>
      <c r="AA4520" s="48" t="str">
        <f ca="1">IF(AND('Planning Sheet'!DE79='Weeks Plan'!$D$6,'Planning Sheet'!CY79='Weeks Plan'!$G$6),'Planning Sheet'!$DA79,"")</f>
        <v/>
      </c>
    </row>
    <row r="4521" spans="25:27" x14ac:dyDescent="0.3">
      <c r="Y4521" s="48" t="str">
        <f ca="1">IF(AND('Planning Sheet'!DE80='Weeks Plan'!$D$6,'Planning Sheet'!CY80='Weeks Plan'!$G$6),'Planning Sheet'!$B80,"")</f>
        <v/>
      </c>
      <c r="Z4521" s="48" t="str">
        <f ca="1">IF(AND('Planning Sheet'!DE80='Weeks Plan'!$D$6,'Planning Sheet'!CY80='Weeks Plan'!$G$6),'Planning Sheet'!$CZ80,"")</f>
        <v/>
      </c>
      <c r="AA4521" s="48" t="str">
        <f ca="1">IF(AND('Planning Sheet'!DE80='Weeks Plan'!$D$6,'Planning Sheet'!CY80='Weeks Plan'!$G$6),'Planning Sheet'!$DA80,"")</f>
        <v/>
      </c>
    </row>
    <row r="4522" spans="25:27" x14ac:dyDescent="0.3">
      <c r="Y4522" s="48" t="str">
        <f ca="1">IF(AND('Planning Sheet'!DE81='Weeks Plan'!$D$6,'Planning Sheet'!CY81='Weeks Plan'!$G$6),'Planning Sheet'!$B81,"")</f>
        <v/>
      </c>
      <c r="Z4522" s="48" t="str">
        <f ca="1">IF(AND('Planning Sheet'!DE81='Weeks Plan'!$D$6,'Planning Sheet'!CY81='Weeks Plan'!$G$6),'Planning Sheet'!$CZ81,"")</f>
        <v/>
      </c>
      <c r="AA4522" s="48" t="str">
        <f ca="1">IF(AND('Planning Sheet'!DE81='Weeks Plan'!$D$6,'Planning Sheet'!CY81='Weeks Plan'!$G$6),'Planning Sheet'!$DA81,"")</f>
        <v/>
      </c>
    </row>
    <row r="4523" spans="25:27" x14ac:dyDescent="0.3">
      <c r="Y4523" s="48" t="str">
        <f ca="1">IF(AND('Planning Sheet'!DE82='Weeks Plan'!$D$6,'Planning Sheet'!CY82='Weeks Plan'!$G$6),'Planning Sheet'!$B82,"")</f>
        <v/>
      </c>
      <c r="Z4523" s="48" t="str">
        <f ca="1">IF(AND('Planning Sheet'!DE82='Weeks Plan'!$D$6,'Planning Sheet'!CY82='Weeks Plan'!$G$6),'Planning Sheet'!$CZ82,"")</f>
        <v/>
      </c>
      <c r="AA4523" s="48" t="str">
        <f ca="1">IF(AND('Planning Sheet'!DE82='Weeks Plan'!$D$6,'Planning Sheet'!CY82='Weeks Plan'!$G$6),'Planning Sheet'!$DA82,"")</f>
        <v/>
      </c>
    </row>
    <row r="4524" spans="25:27" x14ac:dyDescent="0.3">
      <c r="Y4524" s="48" t="str">
        <f ca="1">IF(AND('Planning Sheet'!DE83='Weeks Plan'!$D$6,'Planning Sheet'!CY83='Weeks Plan'!$G$6),'Planning Sheet'!$B83,"")</f>
        <v/>
      </c>
      <c r="Z4524" s="48" t="str">
        <f ca="1">IF(AND('Planning Sheet'!DE83='Weeks Plan'!$D$6,'Planning Sheet'!CY83='Weeks Plan'!$G$6),'Planning Sheet'!$CZ83,"")</f>
        <v/>
      </c>
      <c r="AA4524" s="48" t="str">
        <f ca="1">IF(AND('Planning Sheet'!DE83='Weeks Plan'!$D$6,'Planning Sheet'!CY83='Weeks Plan'!$G$6),'Planning Sheet'!$DA83,"")</f>
        <v/>
      </c>
    </row>
    <row r="4525" spans="25:27" x14ac:dyDescent="0.3">
      <c r="Y4525" s="48" t="str">
        <f ca="1">IF(AND('Planning Sheet'!DE84='Weeks Plan'!$D$6,'Planning Sheet'!CY84='Weeks Plan'!$G$6),'Planning Sheet'!$B84,"")</f>
        <v/>
      </c>
      <c r="Z4525" s="48" t="str">
        <f ca="1">IF(AND('Planning Sheet'!DE84='Weeks Plan'!$D$6,'Planning Sheet'!CY84='Weeks Plan'!$G$6),'Planning Sheet'!$CZ84,"")</f>
        <v/>
      </c>
      <c r="AA4525" s="48" t="str">
        <f ca="1">IF(AND('Planning Sheet'!DE84='Weeks Plan'!$D$6,'Planning Sheet'!CY84='Weeks Plan'!$G$6),'Planning Sheet'!$DA84,"")</f>
        <v/>
      </c>
    </row>
    <row r="4526" spans="25:27" x14ac:dyDescent="0.3">
      <c r="Y4526" s="48" t="str">
        <f ca="1">IF(AND('Planning Sheet'!DE85='Weeks Plan'!$D$6,'Planning Sheet'!CY85='Weeks Plan'!$G$6),'Planning Sheet'!$B85,"")</f>
        <v/>
      </c>
      <c r="Z4526" s="48" t="str">
        <f ca="1">IF(AND('Planning Sheet'!DE85='Weeks Plan'!$D$6,'Planning Sheet'!CY85='Weeks Plan'!$G$6),'Planning Sheet'!$CZ85,"")</f>
        <v/>
      </c>
      <c r="AA4526" s="48" t="str">
        <f ca="1">IF(AND('Planning Sheet'!DE85='Weeks Plan'!$D$6,'Planning Sheet'!CY85='Weeks Plan'!$G$6),'Planning Sheet'!$DA85,"")</f>
        <v/>
      </c>
    </row>
    <row r="4527" spans="25:27" x14ac:dyDescent="0.3">
      <c r="Y4527" s="48" t="str">
        <f ca="1">IF(AND('Planning Sheet'!DE86='Weeks Plan'!$D$6,'Planning Sheet'!CY86='Weeks Plan'!$G$6),'Planning Sheet'!$B86,"")</f>
        <v/>
      </c>
      <c r="Z4527" s="48" t="str">
        <f ca="1">IF(AND('Planning Sheet'!DE86='Weeks Plan'!$D$6,'Planning Sheet'!CY86='Weeks Plan'!$G$6),'Planning Sheet'!$CZ86,"")</f>
        <v/>
      </c>
      <c r="AA4527" s="48" t="str">
        <f ca="1">IF(AND('Planning Sheet'!DE86='Weeks Plan'!$D$6,'Planning Sheet'!CY86='Weeks Plan'!$G$6),'Planning Sheet'!$DA86,"")</f>
        <v/>
      </c>
    </row>
    <row r="4528" spans="25:27" x14ac:dyDescent="0.3">
      <c r="Y4528" s="48" t="str">
        <f ca="1">IF(AND('Planning Sheet'!DE87='Weeks Plan'!$D$6,'Planning Sheet'!CY87='Weeks Plan'!$G$6),'Planning Sheet'!$B87,"")</f>
        <v/>
      </c>
      <c r="Z4528" s="48" t="str">
        <f ca="1">IF(AND('Planning Sheet'!DE87='Weeks Plan'!$D$6,'Planning Sheet'!CY87='Weeks Plan'!$G$6),'Planning Sheet'!$CZ87,"")</f>
        <v/>
      </c>
      <c r="AA4528" s="48" t="str">
        <f ca="1">IF(AND('Planning Sheet'!DE87='Weeks Plan'!$D$6,'Planning Sheet'!CY87='Weeks Plan'!$G$6),'Planning Sheet'!$DA87,"")</f>
        <v/>
      </c>
    </row>
    <row r="4529" spans="25:27" x14ac:dyDescent="0.3">
      <c r="Y4529" s="48" t="str">
        <f ca="1">IF(AND('Planning Sheet'!DE88='Weeks Plan'!$D$6,'Planning Sheet'!CY88='Weeks Plan'!$G$6),'Planning Sheet'!$B88,"")</f>
        <v/>
      </c>
      <c r="Z4529" s="48" t="str">
        <f ca="1">IF(AND('Planning Sheet'!DE88='Weeks Plan'!$D$6,'Planning Sheet'!CY88='Weeks Plan'!$G$6),'Planning Sheet'!$CZ88,"")</f>
        <v/>
      </c>
      <c r="AA4529" s="48" t="str">
        <f ca="1">IF(AND('Planning Sheet'!DE88='Weeks Plan'!$D$6,'Planning Sheet'!CY88='Weeks Plan'!$G$6),'Planning Sheet'!$DA88,"")</f>
        <v/>
      </c>
    </row>
    <row r="4530" spans="25:27" x14ac:dyDescent="0.3">
      <c r="Y4530" s="48" t="str">
        <f ca="1">IF(AND('Planning Sheet'!DE89='Weeks Plan'!$D$6,'Planning Sheet'!CY89='Weeks Plan'!$G$6),'Planning Sheet'!$B89,"")</f>
        <v/>
      </c>
      <c r="Z4530" s="48" t="str">
        <f ca="1">IF(AND('Planning Sheet'!DE89='Weeks Plan'!$D$6,'Planning Sheet'!CY89='Weeks Plan'!$G$6),'Planning Sheet'!$CZ89,"")</f>
        <v/>
      </c>
      <c r="AA4530" s="48" t="str">
        <f ca="1">IF(AND('Planning Sheet'!DE89='Weeks Plan'!$D$6,'Planning Sheet'!CY89='Weeks Plan'!$G$6),'Planning Sheet'!$DA89,"")</f>
        <v/>
      </c>
    </row>
    <row r="4531" spans="25:27" x14ac:dyDescent="0.3">
      <c r="Y4531" s="48" t="str">
        <f ca="1">IF(AND('Planning Sheet'!DE90='Weeks Plan'!$D$6,'Planning Sheet'!CY90='Weeks Plan'!$G$6),'Planning Sheet'!$B90,"")</f>
        <v/>
      </c>
      <c r="Z4531" s="48" t="str">
        <f ca="1">IF(AND('Planning Sheet'!DE90='Weeks Plan'!$D$6,'Planning Sheet'!CY90='Weeks Plan'!$G$6),'Planning Sheet'!$CZ90,"")</f>
        <v/>
      </c>
      <c r="AA4531" s="48" t="str">
        <f ca="1">IF(AND('Planning Sheet'!DE90='Weeks Plan'!$D$6,'Planning Sheet'!CY90='Weeks Plan'!$G$6),'Planning Sheet'!$DA90,"")</f>
        <v/>
      </c>
    </row>
    <row r="4532" spans="25:27" x14ac:dyDescent="0.3">
      <c r="Y4532" s="48" t="str">
        <f ca="1">IF(AND('Planning Sheet'!DE91='Weeks Plan'!$D$6,'Planning Sheet'!CY91='Weeks Plan'!$G$6),'Planning Sheet'!$B91,"")</f>
        <v/>
      </c>
      <c r="Z4532" s="48" t="str">
        <f ca="1">IF(AND('Planning Sheet'!DE91='Weeks Plan'!$D$6,'Planning Sheet'!CY91='Weeks Plan'!$G$6),'Planning Sheet'!$CZ91,"")</f>
        <v/>
      </c>
      <c r="AA4532" s="48" t="str">
        <f ca="1">IF(AND('Planning Sheet'!DE91='Weeks Plan'!$D$6,'Planning Sheet'!CY91='Weeks Plan'!$G$6),'Planning Sheet'!$DA91,"")</f>
        <v/>
      </c>
    </row>
    <row r="4533" spans="25:27" x14ac:dyDescent="0.3">
      <c r="Y4533" s="48" t="str">
        <f ca="1">IF(AND('Planning Sheet'!DE92='Weeks Plan'!$D$6,'Planning Sheet'!CY92='Weeks Plan'!$G$6),'Planning Sheet'!$B92,"")</f>
        <v/>
      </c>
      <c r="Z4533" s="48" t="str">
        <f ca="1">IF(AND('Planning Sheet'!DE92='Weeks Plan'!$D$6,'Planning Sheet'!CY92='Weeks Plan'!$G$6),'Planning Sheet'!$CZ92,"")</f>
        <v/>
      </c>
      <c r="AA4533" s="48" t="str">
        <f ca="1">IF(AND('Planning Sheet'!DE92='Weeks Plan'!$D$6,'Planning Sheet'!CY92='Weeks Plan'!$G$6),'Planning Sheet'!$DA92,"")</f>
        <v/>
      </c>
    </row>
    <row r="4534" spans="25:27" x14ac:dyDescent="0.3">
      <c r="Y4534" s="48" t="str">
        <f ca="1">IF(AND('Planning Sheet'!DE93='Weeks Plan'!$D$6,'Planning Sheet'!CY93='Weeks Plan'!$G$6),'Planning Sheet'!$B93,"")</f>
        <v/>
      </c>
      <c r="Z4534" s="48" t="str">
        <f ca="1">IF(AND('Planning Sheet'!DE93='Weeks Plan'!$D$6,'Planning Sheet'!CY93='Weeks Plan'!$G$6),'Planning Sheet'!$CZ93,"")</f>
        <v/>
      </c>
      <c r="AA4534" s="48" t="str">
        <f ca="1">IF(AND('Planning Sheet'!DE93='Weeks Plan'!$D$6,'Planning Sheet'!CY93='Weeks Plan'!$G$6),'Planning Sheet'!$DA93,"")</f>
        <v/>
      </c>
    </row>
    <row r="4535" spans="25:27" x14ac:dyDescent="0.3">
      <c r="Y4535" s="48" t="str">
        <f ca="1">IF(AND('Planning Sheet'!DE94='Weeks Plan'!$D$6,'Planning Sheet'!CY94='Weeks Plan'!$G$6),'Planning Sheet'!$B94,"")</f>
        <v/>
      </c>
      <c r="Z4535" s="48" t="str">
        <f ca="1">IF(AND('Planning Sheet'!DE94='Weeks Plan'!$D$6,'Planning Sheet'!CY94='Weeks Plan'!$G$6),'Planning Sheet'!$CZ94,"")</f>
        <v/>
      </c>
      <c r="AA4535" s="48" t="str">
        <f ca="1">IF(AND('Planning Sheet'!DE94='Weeks Plan'!$D$6,'Planning Sheet'!CY94='Weeks Plan'!$G$6),'Planning Sheet'!$DA94,"")</f>
        <v/>
      </c>
    </row>
    <row r="4536" spans="25:27" x14ac:dyDescent="0.3">
      <c r="Y4536" s="48" t="str">
        <f ca="1">IF(AND('Planning Sheet'!DE95='Weeks Plan'!$D$6,'Planning Sheet'!CY95='Weeks Plan'!$G$6),'Planning Sheet'!$B95,"")</f>
        <v/>
      </c>
      <c r="Z4536" s="48" t="str">
        <f ca="1">IF(AND('Planning Sheet'!DE95='Weeks Plan'!$D$6,'Planning Sheet'!CY95='Weeks Plan'!$G$6),'Planning Sheet'!$CZ95,"")</f>
        <v/>
      </c>
      <c r="AA4536" s="48" t="str">
        <f ca="1">IF(AND('Planning Sheet'!DE95='Weeks Plan'!$D$6,'Planning Sheet'!CY95='Weeks Plan'!$G$6),'Planning Sheet'!$DA95,"")</f>
        <v/>
      </c>
    </row>
    <row r="4537" spans="25:27" x14ac:dyDescent="0.3">
      <c r="Y4537" s="48" t="str">
        <f ca="1">IF(AND('Planning Sheet'!DE96='Weeks Plan'!$D$6,'Planning Sheet'!CY96='Weeks Plan'!$G$6),'Planning Sheet'!$B96,"")</f>
        <v/>
      </c>
      <c r="Z4537" s="48" t="str">
        <f ca="1">IF(AND('Planning Sheet'!DE96='Weeks Plan'!$D$6,'Planning Sheet'!CY96='Weeks Plan'!$G$6),'Planning Sheet'!$CZ96,"")</f>
        <v/>
      </c>
      <c r="AA4537" s="48" t="str">
        <f ca="1">IF(AND('Planning Sheet'!DE96='Weeks Plan'!$D$6,'Planning Sheet'!CY96='Weeks Plan'!$G$6),'Planning Sheet'!$DA96,"")</f>
        <v/>
      </c>
    </row>
    <row r="4538" spans="25:27" x14ac:dyDescent="0.3">
      <c r="Y4538" s="48" t="str">
        <f ca="1">IF(AND('Planning Sheet'!DE97='Weeks Plan'!$D$6,'Planning Sheet'!CY97='Weeks Plan'!$G$6),'Planning Sheet'!$B97,"")</f>
        <v/>
      </c>
      <c r="Z4538" s="48" t="str">
        <f ca="1">IF(AND('Planning Sheet'!DE97='Weeks Plan'!$D$6,'Planning Sheet'!CY97='Weeks Plan'!$G$6),'Planning Sheet'!$CZ97,"")</f>
        <v/>
      </c>
      <c r="AA4538" s="48" t="str">
        <f ca="1">IF(AND('Planning Sheet'!DE97='Weeks Plan'!$D$6,'Planning Sheet'!CY97='Weeks Plan'!$G$6),'Planning Sheet'!$DA97,"")</f>
        <v/>
      </c>
    </row>
    <row r="4539" spans="25:27" x14ac:dyDescent="0.3">
      <c r="Y4539" s="48" t="str">
        <f ca="1">IF(AND('Planning Sheet'!DE98='Weeks Plan'!$D$6,'Planning Sheet'!CY98='Weeks Plan'!$G$6),'Planning Sheet'!$B98,"")</f>
        <v/>
      </c>
      <c r="Z4539" s="48" t="str">
        <f ca="1">IF(AND('Planning Sheet'!DE98='Weeks Plan'!$D$6,'Planning Sheet'!CY98='Weeks Plan'!$G$6),'Planning Sheet'!$CZ98,"")</f>
        <v/>
      </c>
      <c r="AA4539" s="48" t="str">
        <f ca="1">IF(AND('Planning Sheet'!DE98='Weeks Plan'!$D$6,'Planning Sheet'!CY98='Weeks Plan'!$G$6),'Planning Sheet'!$DA98,"")</f>
        <v/>
      </c>
    </row>
    <row r="4540" spans="25:27" x14ac:dyDescent="0.3">
      <c r="Y4540" s="48" t="str">
        <f ca="1">IF(AND('Planning Sheet'!DE99='Weeks Plan'!$D$6,'Planning Sheet'!CY99='Weeks Plan'!$G$6),'Planning Sheet'!$B99,"")</f>
        <v/>
      </c>
      <c r="Z4540" s="48" t="str">
        <f ca="1">IF(AND('Planning Sheet'!DE99='Weeks Plan'!$D$6,'Planning Sheet'!CY99='Weeks Plan'!$G$6),'Planning Sheet'!$CZ99,"")</f>
        <v/>
      </c>
      <c r="AA4540" s="48" t="str">
        <f ca="1">IF(AND('Planning Sheet'!DE99='Weeks Plan'!$D$6,'Planning Sheet'!CY99='Weeks Plan'!$G$6),'Planning Sheet'!$DA99,"")</f>
        <v/>
      </c>
    </row>
    <row r="4541" spans="25:27" x14ac:dyDescent="0.3">
      <c r="Y4541" s="48" t="str">
        <f ca="1">IF(AND('Planning Sheet'!DE100='Weeks Plan'!$D$6,'Planning Sheet'!CY100='Weeks Plan'!$G$6),'Planning Sheet'!$B100,"")</f>
        <v/>
      </c>
      <c r="Z4541" s="48" t="str">
        <f ca="1">IF(AND('Planning Sheet'!DE100='Weeks Plan'!$D$6,'Planning Sheet'!CY100='Weeks Plan'!$G$6),'Planning Sheet'!$CZ100,"")</f>
        <v/>
      </c>
      <c r="AA4541" s="48" t="str">
        <f ca="1">IF(AND('Planning Sheet'!DE100='Weeks Plan'!$D$6,'Planning Sheet'!CY100='Weeks Plan'!$G$6),'Planning Sheet'!$DA100,"")</f>
        <v/>
      </c>
    </row>
    <row r="4542" spans="25:27" x14ac:dyDescent="0.3">
      <c r="Y4542" s="48" t="str">
        <f ca="1">IF(AND('Planning Sheet'!DE101='Weeks Plan'!$D$6,'Planning Sheet'!CY101='Weeks Plan'!$G$6),'Planning Sheet'!$B101,"")</f>
        <v/>
      </c>
      <c r="Z4542" s="48" t="str">
        <f ca="1">IF(AND('Planning Sheet'!DE101='Weeks Plan'!$D$6,'Planning Sheet'!CY101='Weeks Plan'!$G$6),'Planning Sheet'!$CZ101,"")</f>
        <v/>
      </c>
      <c r="AA4542" s="48" t="str">
        <f ca="1">IF(AND('Planning Sheet'!DE101='Weeks Plan'!$D$6,'Planning Sheet'!CY101='Weeks Plan'!$G$6),'Planning Sheet'!$DA101,"")</f>
        <v/>
      </c>
    </row>
    <row r="4543" spans="25:27" x14ac:dyDescent="0.3">
      <c r="Y4543" s="48" t="str">
        <f ca="1">IF(AND('Planning Sheet'!DE102='Weeks Plan'!$D$6,'Planning Sheet'!CY102='Weeks Plan'!$G$6),'Planning Sheet'!$B102,"")</f>
        <v/>
      </c>
      <c r="Z4543" s="48" t="str">
        <f ca="1">IF(AND('Planning Sheet'!DE102='Weeks Plan'!$D$6,'Planning Sheet'!CY102='Weeks Plan'!$G$6),'Planning Sheet'!$CZ102,"")</f>
        <v/>
      </c>
      <c r="AA4543" s="48" t="str">
        <f ca="1">IF(AND('Planning Sheet'!DE102='Weeks Plan'!$D$6,'Planning Sheet'!CY102='Weeks Plan'!$G$6),'Planning Sheet'!$DA102,"")</f>
        <v/>
      </c>
    </row>
    <row r="4544" spans="25:27" x14ac:dyDescent="0.3">
      <c r="Y4544" s="48" t="str">
        <f ca="1">IF(AND('Planning Sheet'!DE103='Weeks Plan'!$D$6,'Planning Sheet'!CY103='Weeks Plan'!$G$6),'Planning Sheet'!$B103,"")</f>
        <v/>
      </c>
      <c r="Z4544" s="48" t="str">
        <f ca="1">IF(AND('Planning Sheet'!DE103='Weeks Plan'!$D$6,'Planning Sheet'!CY103='Weeks Plan'!$G$6),'Planning Sheet'!$CZ103,"")</f>
        <v/>
      </c>
      <c r="AA4544" s="48" t="str">
        <f ca="1">IF(AND('Planning Sheet'!DE103='Weeks Plan'!$D$6,'Planning Sheet'!CY103='Weeks Plan'!$G$6),'Planning Sheet'!$DA103,"")</f>
        <v/>
      </c>
    </row>
    <row r="4545" spans="25:27" x14ac:dyDescent="0.3">
      <c r="Y4545" s="48" t="str">
        <f ca="1">IF(AND('Planning Sheet'!DE104='Weeks Plan'!$D$6,'Planning Sheet'!CY104='Weeks Plan'!$G$6),'Planning Sheet'!$B104,"")</f>
        <v/>
      </c>
      <c r="Z4545" s="48" t="str">
        <f ca="1">IF(AND('Planning Sheet'!DE104='Weeks Plan'!$D$6,'Planning Sheet'!CY104='Weeks Plan'!$G$6),'Planning Sheet'!$CZ104,"")</f>
        <v/>
      </c>
      <c r="AA4545" s="48" t="str">
        <f ca="1">IF(AND('Planning Sheet'!DE104='Weeks Plan'!$D$6,'Planning Sheet'!CY104='Weeks Plan'!$G$6),'Planning Sheet'!$DA104,"")</f>
        <v/>
      </c>
    </row>
    <row r="4546" spans="25:27" x14ac:dyDescent="0.3">
      <c r="Y4546" s="48" t="str">
        <f ca="1">IF(AND('Planning Sheet'!DE105='Weeks Plan'!$D$6,'Planning Sheet'!CY105='Weeks Plan'!$G$6),'Planning Sheet'!$B105,"")</f>
        <v/>
      </c>
      <c r="Z4546" s="48" t="str">
        <f ca="1">IF(AND('Planning Sheet'!DE105='Weeks Plan'!$D$6,'Planning Sheet'!CY105='Weeks Plan'!$G$6),'Planning Sheet'!$CZ105,"")</f>
        <v/>
      </c>
      <c r="AA4546" s="48" t="str">
        <f ca="1">IF(AND('Planning Sheet'!DE105='Weeks Plan'!$D$6,'Planning Sheet'!CY105='Weeks Plan'!$G$6),'Planning Sheet'!$DA105,"")</f>
        <v/>
      </c>
    </row>
    <row r="4547" spans="25:27" x14ac:dyDescent="0.3">
      <c r="Y4547" s="48" t="str">
        <f ca="1">IF(AND('Planning Sheet'!DE106='Weeks Plan'!$D$6,'Planning Sheet'!CY106='Weeks Plan'!$G$6),'Planning Sheet'!$B106,"")</f>
        <v/>
      </c>
      <c r="Z4547" s="48" t="str">
        <f ca="1">IF(AND('Planning Sheet'!DE106='Weeks Plan'!$D$6,'Planning Sheet'!CY106='Weeks Plan'!$G$6),'Planning Sheet'!$CZ106,"")</f>
        <v/>
      </c>
      <c r="AA4547" s="48" t="str">
        <f ca="1">IF(AND('Planning Sheet'!DE106='Weeks Plan'!$D$6,'Planning Sheet'!CY106='Weeks Plan'!$G$6),'Planning Sheet'!$DA106,"")</f>
        <v/>
      </c>
    </row>
    <row r="4548" spans="25:27" x14ac:dyDescent="0.3">
      <c r="Y4548" s="48" t="str">
        <f ca="1">IF(AND('Planning Sheet'!DE107='Weeks Plan'!$D$6,'Planning Sheet'!CY107='Weeks Plan'!$G$6),'Planning Sheet'!$B107,"")</f>
        <v/>
      </c>
      <c r="Z4548" s="48" t="str">
        <f ca="1">IF(AND('Planning Sheet'!DE107='Weeks Plan'!$D$6,'Planning Sheet'!CY107='Weeks Plan'!$G$6),'Planning Sheet'!$CZ107,"")</f>
        <v/>
      </c>
      <c r="AA4548" s="48" t="str">
        <f ca="1">IF(AND('Planning Sheet'!DE107='Weeks Plan'!$D$6,'Planning Sheet'!CY107='Weeks Plan'!$G$6),'Planning Sheet'!$DA107,"")</f>
        <v/>
      </c>
    </row>
    <row r="4549" spans="25:27" x14ac:dyDescent="0.3">
      <c r="Y4549" s="48" t="str">
        <f ca="1">IF(AND('Planning Sheet'!DE108='Weeks Plan'!$D$6,'Planning Sheet'!CY108='Weeks Plan'!$G$6),'Planning Sheet'!$B108,"")</f>
        <v/>
      </c>
      <c r="Z4549" s="48" t="str">
        <f ca="1">IF(AND('Planning Sheet'!DE108='Weeks Plan'!$D$6,'Planning Sheet'!CY108='Weeks Plan'!$G$6),'Planning Sheet'!$CZ108,"")</f>
        <v/>
      </c>
      <c r="AA4549" s="48" t="str">
        <f ca="1">IF(AND('Planning Sheet'!DE108='Weeks Plan'!$D$6,'Planning Sheet'!CY108='Weeks Plan'!$G$6),'Planning Sheet'!$DA108,"")</f>
        <v/>
      </c>
    </row>
    <row r="4550" spans="25:27" x14ac:dyDescent="0.3">
      <c r="Y4550" s="48" t="str">
        <f ca="1">IF(AND('Planning Sheet'!DE109='Weeks Plan'!$D$6,'Planning Sheet'!CY109='Weeks Plan'!$G$6),'Planning Sheet'!$B109,"")</f>
        <v/>
      </c>
      <c r="Z4550" s="48" t="str">
        <f ca="1">IF(AND('Planning Sheet'!DE109='Weeks Plan'!$D$6,'Planning Sheet'!CY109='Weeks Plan'!$G$6),'Planning Sheet'!$CZ109,"")</f>
        <v/>
      </c>
      <c r="AA4550" s="48" t="str">
        <f ca="1">IF(AND('Planning Sheet'!DE109='Weeks Plan'!$D$6,'Planning Sheet'!CY109='Weeks Plan'!$G$6),'Planning Sheet'!$DA109,"")</f>
        <v/>
      </c>
    </row>
    <row r="4551" spans="25:27" x14ac:dyDescent="0.3">
      <c r="Y4551" s="48" t="str">
        <f ca="1">IF(AND('Planning Sheet'!DE110='Weeks Plan'!$D$6,'Planning Sheet'!CY110='Weeks Plan'!$G$6),'Planning Sheet'!$B110,"")</f>
        <v/>
      </c>
      <c r="Z4551" s="48" t="str">
        <f ca="1">IF(AND('Planning Sheet'!DE110='Weeks Plan'!$D$6,'Planning Sheet'!CY110='Weeks Plan'!$G$6),'Planning Sheet'!$CZ110,"")</f>
        <v/>
      </c>
      <c r="AA4551" s="48" t="str">
        <f ca="1">IF(AND('Planning Sheet'!DE110='Weeks Plan'!$D$6,'Planning Sheet'!CY110='Weeks Plan'!$G$6),'Planning Sheet'!$DA110,"")</f>
        <v/>
      </c>
    </row>
    <row r="4552" spans="25:27" x14ac:dyDescent="0.3">
      <c r="Y4552" s="48" t="str">
        <f ca="1">IF(AND('Planning Sheet'!DE111='Weeks Plan'!$D$6,'Planning Sheet'!CY111='Weeks Plan'!$G$6),'Planning Sheet'!$B111,"")</f>
        <v/>
      </c>
      <c r="Z4552" s="48" t="str">
        <f ca="1">IF(AND('Planning Sheet'!DE111='Weeks Plan'!$D$6,'Planning Sheet'!CY111='Weeks Plan'!$G$6),'Planning Sheet'!$CZ111,"")</f>
        <v/>
      </c>
      <c r="AA4552" s="48" t="str">
        <f ca="1">IF(AND('Planning Sheet'!DE111='Weeks Plan'!$D$6,'Planning Sheet'!CY111='Weeks Plan'!$G$6),'Planning Sheet'!$DA111,"")</f>
        <v/>
      </c>
    </row>
    <row r="4553" spans="25:27" x14ac:dyDescent="0.3">
      <c r="Y4553" s="48" t="str">
        <f ca="1">IF(AND('Planning Sheet'!DE112='Weeks Plan'!$D$6,'Planning Sheet'!CY112='Weeks Plan'!$G$6),'Planning Sheet'!$B112,"")</f>
        <v/>
      </c>
      <c r="Z4553" s="48" t="str">
        <f ca="1">IF(AND('Planning Sheet'!DE112='Weeks Plan'!$D$6,'Planning Sheet'!CY112='Weeks Plan'!$G$6),'Planning Sheet'!$CZ112,"")</f>
        <v/>
      </c>
      <c r="AA4553" s="48" t="str">
        <f ca="1">IF(AND('Planning Sheet'!DE112='Weeks Plan'!$D$6,'Planning Sheet'!CY112='Weeks Plan'!$G$6),'Planning Sheet'!$DA112,"")</f>
        <v/>
      </c>
    </row>
    <row r="4554" spans="25:27" x14ac:dyDescent="0.3">
      <c r="Y4554" s="48" t="str">
        <f ca="1">IF(AND('Planning Sheet'!DE113='Weeks Plan'!$D$6,'Planning Sheet'!CY113='Weeks Plan'!$G$6),'Planning Sheet'!$B113,"")</f>
        <v/>
      </c>
      <c r="Z4554" s="48" t="str">
        <f ca="1">IF(AND('Planning Sheet'!DE113='Weeks Plan'!$D$6,'Planning Sheet'!CY113='Weeks Plan'!$G$6),'Planning Sheet'!$CZ113,"")</f>
        <v/>
      </c>
      <c r="AA4554" s="48" t="str">
        <f ca="1">IF(AND('Planning Sheet'!DE113='Weeks Plan'!$D$6,'Planning Sheet'!CY113='Weeks Plan'!$G$6),'Planning Sheet'!$DA113,"")</f>
        <v/>
      </c>
    </row>
    <row r="4555" spans="25:27" x14ac:dyDescent="0.3">
      <c r="Y4555" s="48" t="str">
        <f ca="1">IF(AND('Planning Sheet'!DE114='Weeks Plan'!$D$6,'Planning Sheet'!CY114='Weeks Plan'!$G$6),'Planning Sheet'!$B114,"")</f>
        <v/>
      </c>
      <c r="Z4555" s="48" t="str">
        <f ca="1">IF(AND('Planning Sheet'!DE114='Weeks Plan'!$D$6,'Planning Sheet'!CY114='Weeks Plan'!$G$6),'Planning Sheet'!$CZ114,"")</f>
        <v/>
      </c>
      <c r="AA4555" s="48" t="str">
        <f ca="1">IF(AND('Planning Sheet'!DE114='Weeks Plan'!$D$6,'Planning Sheet'!CY114='Weeks Plan'!$G$6),'Planning Sheet'!$DA114,"")</f>
        <v/>
      </c>
    </row>
    <row r="4556" spans="25:27" x14ac:dyDescent="0.3">
      <c r="Y4556" s="48" t="str">
        <f ca="1">IF(AND('Planning Sheet'!DE115='Weeks Plan'!$D$6,'Planning Sheet'!CY115='Weeks Plan'!$G$6),'Planning Sheet'!$B115,"")</f>
        <v/>
      </c>
      <c r="Z4556" s="48" t="str">
        <f ca="1">IF(AND('Planning Sheet'!DE115='Weeks Plan'!$D$6,'Planning Sheet'!CY115='Weeks Plan'!$G$6),'Planning Sheet'!$CZ115,"")</f>
        <v/>
      </c>
      <c r="AA4556" s="48" t="str">
        <f ca="1">IF(AND('Planning Sheet'!DE115='Weeks Plan'!$D$6,'Planning Sheet'!CY115='Weeks Plan'!$G$6),'Planning Sheet'!$DA115,"")</f>
        <v/>
      </c>
    </row>
    <row r="4557" spans="25:27" x14ac:dyDescent="0.3">
      <c r="Y4557" s="48" t="str">
        <f ca="1">IF(AND('Planning Sheet'!DE116='Weeks Plan'!$D$6,'Planning Sheet'!CY116='Weeks Plan'!$G$6),'Planning Sheet'!$B116,"")</f>
        <v/>
      </c>
      <c r="Z4557" s="48" t="str">
        <f ca="1">IF(AND('Planning Sheet'!DE116='Weeks Plan'!$D$6,'Planning Sheet'!CY116='Weeks Plan'!$G$6),'Planning Sheet'!$CZ116,"")</f>
        <v/>
      </c>
      <c r="AA4557" s="48" t="str">
        <f ca="1">IF(AND('Planning Sheet'!DE116='Weeks Plan'!$D$6,'Planning Sheet'!CY116='Weeks Plan'!$G$6),'Planning Sheet'!$DA116,"")</f>
        <v/>
      </c>
    </row>
    <row r="4558" spans="25:27" x14ac:dyDescent="0.3">
      <c r="Y4558" s="48" t="str">
        <f ca="1">IF(AND('Planning Sheet'!DE117='Weeks Plan'!$D$6,'Planning Sheet'!CY117='Weeks Plan'!$G$6),'Planning Sheet'!$B117,"")</f>
        <v/>
      </c>
      <c r="Z4558" s="48" t="str">
        <f ca="1">IF(AND('Planning Sheet'!DE117='Weeks Plan'!$D$6,'Planning Sheet'!CY117='Weeks Plan'!$G$6),'Planning Sheet'!$CZ117,"")</f>
        <v/>
      </c>
      <c r="AA4558" s="48" t="str">
        <f ca="1">IF(AND('Planning Sheet'!DE117='Weeks Plan'!$D$6,'Planning Sheet'!CY117='Weeks Plan'!$G$6),'Planning Sheet'!$DA117,"")</f>
        <v/>
      </c>
    </row>
    <row r="4559" spans="25:27" x14ac:dyDescent="0.3">
      <c r="Y4559" s="48" t="str">
        <f ca="1">IF(AND('Planning Sheet'!DE118='Weeks Plan'!$D$6,'Planning Sheet'!CY118='Weeks Plan'!$G$6),'Planning Sheet'!$B118,"")</f>
        <v/>
      </c>
      <c r="Z4559" s="48" t="str">
        <f ca="1">IF(AND('Planning Sheet'!DE118='Weeks Plan'!$D$6,'Planning Sheet'!CY118='Weeks Plan'!$G$6),'Planning Sheet'!$CZ118,"")</f>
        <v/>
      </c>
      <c r="AA4559" s="48" t="str">
        <f ca="1">IF(AND('Planning Sheet'!DE118='Weeks Plan'!$D$6,'Planning Sheet'!CY118='Weeks Plan'!$G$6),'Planning Sheet'!$DA118,"")</f>
        <v/>
      </c>
    </row>
    <row r="4560" spans="25:27" x14ac:dyDescent="0.3">
      <c r="Y4560" s="48" t="str">
        <f ca="1">IF(AND('Planning Sheet'!DE119='Weeks Plan'!$D$6,'Planning Sheet'!CY119='Weeks Plan'!$G$6),'Planning Sheet'!$B119,"")</f>
        <v/>
      </c>
      <c r="Z4560" s="48" t="str">
        <f ca="1">IF(AND('Planning Sheet'!DE119='Weeks Plan'!$D$6,'Planning Sheet'!CY119='Weeks Plan'!$G$6),'Planning Sheet'!$CZ119,"")</f>
        <v/>
      </c>
      <c r="AA4560" s="48" t="str">
        <f ca="1">IF(AND('Planning Sheet'!DE119='Weeks Plan'!$D$6,'Planning Sheet'!CY119='Weeks Plan'!$G$6),'Planning Sheet'!$DA119,"")</f>
        <v/>
      </c>
    </row>
    <row r="4561" spans="25:27" x14ac:dyDescent="0.3">
      <c r="Y4561" s="48" t="str">
        <f ca="1">IF(AND('Planning Sheet'!DE120='Weeks Plan'!$D$6,'Planning Sheet'!CY120='Weeks Plan'!$G$6),'Planning Sheet'!$B120,"")</f>
        <v/>
      </c>
      <c r="Z4561" s="48" t="str">
        <f ca="1">IF(AND('Planning Sheet'!DE120='Weeks Plan'!$D$6,'Planning Sheet'!CY120='Weeks Plan'!$G$6),'Planning Sheet'!$CZ120,"")</f>
        <v/>
      </c>
      <c r="AA4561" s="48" t="str">
        <f ca="1">IF(AND('Planning Sheet'!DE120='Weeks Plan'!$D$6,'Planning Sheet'!CY120='Weeks Plan'!$G$6),'Planning Sheet'!$DA120,"")</f>
        <v/>
      </c>
    </row>
    <row r="4562" spans="25:27" x14ac:dyDescent="0.3">
      <c r="Y4562" s="48" t="str">
        <f ca="1">IF(AND('Planning Sheet'!DE121='Weeks Plan'!$D$6,'Planning Sheet'!CY121='Weeks Plan'!$G$6),'Planning Sheet'!$B121,"")</f>
        <v/>
      </c>
      <c r="Z4562" s="48" t="str">
        <f ca="1">IF(AND('Planning Sheet'!DE121='Weeks Plan'!$D$6,'Planning Sheet'!CY121='Weeks Plan'!$G$6),'Planning Sheet'!$CZ121,"")</f>
        <v/>
      </c>
      <c r="AA4562" s="48" t="str">
        <f ca="1">IF(AND('Planning Sheet'!DE121='Weeks Plan'!$D$6,'Planning Sheet'!CY121='Weeks Plan'!$G$6),'Planning Sheet'!$DA121,"")</f>
        <v/>
      </c>
    </row>
    <row r="4563" spans="25:27" x14ac:dyDescent="0.3">
      <c r="Y4563" s="48" t="str">
        <f ca="1">IF(AND('Planning Sheet'!DE122='Weeks Plan'!$D$6,'Planning Sheet'!CY122='Weeks Plan'!$G$6),'Planning Sheet'!$B122,"")</f>
        <v/>
      </c>
      <c r="Z4563" s="48" t="str">
        <f ca="1">IF(AND('Planning Sheet'!DE122='Weeks Plan'!$D$6,'Planning Sheet'!CY122='Weeks Plan'!$G$6),'Planning Sheet'!$CZ122,"")</f>
        <v/>
      </c>
      <c r="AA4563" s="48" t="str">
        <f ca="1">IF(AND('Planning Sheet'!DE122='Weeks Plan'!$D$6,'Planning Sheet'!CY122='Weeks Plan'!$G$6),'Planning Sheet'!$DA122,"")</f>
        <v/>
      </c>
    </row>
    <row r="4564" spans="25:27" x14ac:dyDescent="0.3">
      <c r="Y4564" s="48" t="str">
        <f ca="1">IF(AND('Planning Sheet'!DE123='Weeks Plan'!$D$6,'Planning Sheet'!CY123='Weeks Plan'!$G$6),'Planning Sheet'!$B123,"")</f>
        <v/>
      </c>
      <c r="Z4564" s="48" t="str">
        <f ca="1">IF(AND('Planning Sheet'!DE123='Weeks Plan'!$D$6,'Planning Sheet'!CY123='Weeks Plan'!$G$6),'Planning Sheet'!$CZ123,"")</f>
        <v/>
      </c>
      <c r="AA4564" s="48" t="str">
        <f ca="1">IF(AND('Planning Sheet'!DE123='Weeks Plan'!$D$6,'Planning Sheet'!CY123='Weeks Plan'!$G$6),'Planning Sheet'!$DA123,"")</f>
        <v/>
      </c>
    </row>
    <row r="4565" spans="25:27" x14ac:dyDescent="0.3">
      <c r="Y4565" s="48" t="str">
        <f ca="1">IF(AND('Planning Sheet'!DE124='Weeks Plan'!$D$6,'Planning Sheet'!CY124='Weeks Plan'!$G$6),'Planning Sheet'!$B124,"")</f>
        <v/>
      </c>
      <c r="Z4565" s="48" t="str">
        <f ca="1">IF(AND('Planning Sheet'!DE124='Weeks Plan'!$D$6,'Planning Sheet'!CY124='Weeks Plan'!$G$6),'Planning Sheet'!$CZ124,"")</f>
        <v/>
      </c>
      <c r="AA4565" s="48" t="str">
        <f ca="1">IF(AND('Planning Sheet'!DE124='Weeks Plan'!$D$6,'Planning Sheet'!CY124='Weeks Plan'!$G$6),'Planning Sheet'!$DA124,"")</f>
        <v/>
      </c>
    </row>
    <row r="4566" spans="25:27" x14ac:dyDescent="0.3">
      <c r="Y4566" s="48" t="str">
        <f ca="1">IF(AND('Planning Sheet'!DE125='Weeks Plan'!$D$6,'Planning Sheet'!CY125='Weeks Plan'!$G$6),'Planning Sheet'!$B125,"")</f>
        <v/>
      </c>
      <c r="Z4566" s="48" t="str">
        <f ca="1">IF(AND('Planning Sheet'!DE125='Weeks Plan'!$D$6,'Planning Sheet'!CY125='Weeks Plan'!$G$6),'Planning Sheet'!$CZ125,"")</f>
        <v/>
      </c>
      <c r="AA4566" s="48" t="str">
        <f ca="1">IF(AND('Planning Sheet'!DE125='Weeks Plan'!$D$6,'Planning Sheet'!CY125='Weeks Plan'!$G$6),'Planning Sheet'!$DA125,"")</f>
        <v/>
      </c>
    </row>
    <row r="4567" spans="25:27" x14ac:dyDescent="0.3">
      <c r="Y4567" s="48" t="str">
        <f ca="1">IF(AND('Planning Sheet'!DE126='Weeks Plan'!$D$6,'Planning Sheet'!CY126='Weeks Plan'!$G$6),'Planning Sheet'!$B126,"")</f>
        <v/>
      </c>
      <c r="Z4567" s="48" t="str">
        <f ca="1">IF(AND('Planning Sheet'!DE126='Weeks Plan'!$D$6,'Planning Sheet'!CY126='Weeks Plan'!$G$6),'Planning Sheet'!$CZ126,"")</f>
        <v/>
      </c>
      <c r="AA4567" s="48" t="str">
        <f ca="1">IF(AND('Planning Sheet'!DE126='Weeks Plan'!$D$6,'Planning Sheet'!CY126='Weeks Plan'!$G$6),'Planning Sheet'!$DA126,"")</f>
        <v/>
      </c>
    </row>
    <row r="4568" spans="25:27" x14ac:dyDescent="0.3">
      <c r="Y4568" s="48" t="str">
        <f ca="1">IF(AND('Planning Sheet'!DE127='Weeks Plan'!$D$6,'Planning Sheet'!CY127='Weeks Plan'!$G$6),'Planning Sheet'!$B127,"")</f>
        <v/>
      </c>
      <c r="Z4568" s="48" t="str">
        <f ca="1">IF(AND('Planning Sheet'!DE127='Weeks Plan'!$D$6,'Planning Sheet'!CY127='Weeks Plan'!$G$6),'Planning Sheet'!$CZ127,"")</f>
        <v/>
      </c>
      <c r="AA4568" s="48" t="str">
        <f ca="1">IF(AND('Planning Sheet'!DE127='Weeks Plan'!$D$6,'Planning Sheet'!CY127='Weeks Plan'!$G$6),'Planning Sheet'!$DA127,"")</f>
        <v/>
      </c>
    </row>
    <row r="4569" spans="25:27" x14ac:dyDescent="0.3">
      <c r="Y4569" s="48" t="str">
        <f ca="1">IF(AND('Planning Sheet'!DE128='Weeks Plan'!$D$6,'Planning Sheet'!CY128='Weeks Plan'!$G$6),'Planning Sheet'!$B128,"")</f>
        <v/>
      </c>
      <c r="Z4569" s="48" t="str">
        <f ca="1">IF(AND('Planning Sheet'!DE128='Weeks Plan'!$D$6,'Planning Sheet'!CY128='Weeks Plan'!$G$6),'Planning Sheet'!$CZ128,"")</f>
        <v/>
      </c>
      <c r="AA4569" s="48" t="str">
        <f ca="1">IF(AND('Planning Sheet'!DE128='Weeks Plan'!$D$6,'Planning Sheet'!CY128='Weeks Plan'!$G$6),'Planning Sheet'!$DA128,"")</f>
        <v/>
      </c>
    </row>
    <row r="4570" spans="25:27" x14ac:dyDescent="0.3">
      <c r="Y4570" s="48" t="str">
        <f ca="1">IF(AND('Planning Sheet'!DE129='Weeks Plan'!$D$6,'Planning Sheet'!CY129='Weeks Plan'!$G$6),'Planning Sheet'!$B129,"")</f>
        <v/>
      </c>
      <c r="Z4570" s="48" t="str">
        <f ca="1">IF(AND('Planning Sheet'!DE129='Weeks Plan'!$D$6,'Planning Sheet'!CY129='Weeks Plan'!$G$6),'Planning Sheet'!$CZ129,"")</f>
        <v/>
      </c>
      <c r="AA4570" s="48" t="str">
        <f ca="1">IF(AND('Planning Sheet'!DE129='Weeks Plan'!$D$6,'Planning Sheet'!CY129='Weeks Plan'!$G$6),'Planning Sheet'!$DA129,"")</f>
        <v/>
      </c>
    </row>
    <row r="4571" spans="25:27" x14ac:dyDescent="0.3">
      <c r="Y4571" s="48" t="str">
        <f ca="1">IF(AND('Planning Sheet'!DE130='Weeks Plan'!$D$6,'Planning Sheet'!CY130='Weeks Plan'!$G$6),'Planning Sheet'!$B130,"")</f>
        <v/>
      </c>
      <c r="Z4571" s="48" t="str">
        <f ca="1">IF(AND('Planning Sheet'!DE130='Weeks Plan'!$D$6,'Planning Sheet'!CY130='Weeks Plan'!$G$6),'Planning Sheet'!$CZ130,"")</f>
        <v/>
      </c>
      <c r="AA4571" s="48" t="str">
        <f ca="1">IF(AND('Planning Sheet'!DE130='Weeks Plan'!$D$6,'Planning Sheet'!CY130='Weeks Plan'!$G$6),'Planning Sheet'!$DA130,"")</f>
        <v/>
      </c>
    </row>
    <row r="4572" spans="25:27" x14ac:dyDescent="0.3">
      <c r="Y4572" s="48" t="str">
        <f ca="1">IF(AND('Planning Sheet'!DE131='Weeks Plan'!$D$6,'Planning Sheet'!CY131='Weeks Plan'!$G$6),'Planning Sheet'!$B131,"")</f>
        <v/>
      </c>
      <c r="Z4572" s="48" t="str">
        <f ca="1">IF(AND('Planning Sheet'!DE131='Weeks Plan'!$D$6,'Planning Sheet'!CY131='Weeks Plan'!$G$6),'Planning Sheet'!$CZ131,"")</f>
        <v/>
      </c>
      <c r="AA4572" s="48" t="str">
        <f ca="1">IF(AND('Planning Sheet'!DE131='Weeks Plan'!$D$6,'Planning Sheet'!CY131='Weeks Plan'!$G$6),'Planning Sheet'!$DA131,"")</f>
        <v/>
      </c>
    </row>
    <row r="4573" spans="25:27" x14ac:dyDescent="0.3">
      <c r="Y4573" s="48" t="str">
        <f ca="1">IF(AND('Planning Sheet'!DE132='Weeks Plan'!$D$6,'Planning Sheet'!CY132='Weeks Plan'!$G$6),'Planning Sheet'!$B132,"")</f>
        <v/>
      </c>
      <c r="Z4573" s="48" t="str">
        <f ca="1">IF(AND('Planning Sheet'!DE132='Weeks Plan'!$D$6,'Planning Sheet'!CY132='Weeks Plan'!$G$6),'Planning Sheet'!$CZ132,"")</f>
        <v/>
      </c>
      <c r="AA4573" s="48" t="str">
        <f ca="1">IF(AND('Planning Sheet'!DE132='Weeks Plan'!$D$6,'Planning Sheet'!CY132='Weeks Plan'!$G$6),'Planning Sheet'!$DA132,"")</f>
        <v/>
      </c>
    </row>
    <row r="4574" spans="25:27" x14ac:dyDescent="0.3">
      <c r="Y4574" s="48" t="str">
        <f ca="1">IF(AND('Planning Sheet'!DE133='Weeks Plan'!$D$6,'Planning Sheet'!CY133='Weeks Plan'!$G$6),'Planning Sheet'!$B133,"")</f>
        <v/>
      </c>
      <c r="Z4574" s="48" t="str">
        <f ca="1">IF(AND('Planning Sheet'!DE133='Weeks Plan'!$D$6,'Planning Sheet'!CY133='Weeks Plan'!$G$6),'Planning Sheet'!$CZ133,"")</f>
        <v/>
      </c>
      <c r="AA4574" s="48" t="str">
        <f ca="1">IF(AND('Planning Sheet'!DE133='Weeks Plan'!$D$6,'Planning Sheet'!CY133='Weeks Plan'!$G$6),'Planning Sheet'!$DA133,"")</f>
        <v/>
      </c>
    </row>
    <row r="4575" spans="25:27" x14ac:dyDescent="0.3">
      <c r="Y4575" s="48" t="str">
        <f ca="1">IF(AND('Planning Sheet'!DE134='Weeks Plan'!$D$6,'Planning Sheet'!CY134='Weeks Plan'!$G$6),'Planning Sheet'!$B134,"")</f>
        <v/>
      </c>
      <c r="Z4575" s="48" t="str">
        <f ca="1">IF(AND('Planning Sheet'!DE134='Weeks Plan'!$D$6,'Planning Sheet'!CY134='Weeks Plan'!$G$6),'Planning Sheet'!$CZ134,"")</f>
        <v/>
      </c>
      <c r="AA4575" s="48" t="str">
        <f ca="1">IF(AND('Planning Sheet'!DE134='Weeks Plan'!$D$6,'Planning Sheet'!CY134='Weeks Plan'!$G$6),'Planning Sheet'!$DA134,"")</f>
        <v/>
      </c>
    </row>
    <row r="4576" spans="25:27" x14ac:dyDescent="0.3">
      <c r="Y4576" s="48" t="str">
        <f ca="1">IF(AND('Planning Sheet'!DE135='Weeks Plan'!$D$6,'Planning Sheet'!CY135='Weeks Plan'!$G$6),'Planning Sheet'!$B135,"")</f>
        <v/>
      </c>
      <c r="Z4576" s="48" t="str">
        <f ca="1">IF(AND('Planning Sheet'!DE135='Weeks Plan'!$D$6,'Planning Sheet'!CY135='Weeks Plan'!$G$6),'Planning Sheet'!$CZ135,"")</f>
        <v/>
      </c>
      <c r="AA4576" s="48" t="str">
        <f ca="1">IF(AND('Planning Sheet'!DE135='Weeks Plan'!$D$6,'Planning Sheet'!CY135='Weeks Plan'!$G$6),'Planning Sheet'!$DA135,"")</f>
        <v/>
      </c>
    </row>
    <row r="4577" spans="25:27" x14ac:dyDescent="0.3">
      <c r="Y4577" s="48" t="str">
        <f ca="1">IF(AND('Planning Sheet'!DE136='Weeks Plan'!$D$6,'Planning Sheet'!CY136='Weeks Plan'!$G$6),'Planning Sheet'!$B136,"")</f>
        <v/>
      </c>
      <c r="Z4577" s="48" t="str">
        <f ca="1">IF(AND('Planning Sheet'!DE136='Weeks Plan'!$D$6,'Planning Sheet'!CY136='Weeks Plan'!$G$6),'Planning Sheet'!$CZ136,"")</f>
        <v/>
      </c>
      <c r="AA4577" s="48" t="str">
        <f ca="1">IF(AND('Planning Sheet'!DE136='Weeks Plan'!$D$6,'Planning Sheet'!CY136='Weeks Plan'!$G$6),'Planning Sheet'!$DA136,"")</f>
        <v/>
      </c>
    </row>
    <row r="4578" spans="25:27" x14ac:dyDescent="0.3">
      <c r="Y4578" s="48" t="str">
        <f ca="1">IF(AND('Planning Sheet'!DE137='Weeks Plan'!$D$6,'Planning Sheet'!CY137='Weeks Plan'!$G$6),'Planning Sheet'!$B137,"")</f>
        <v/>
      </c>
      <c r="Z4578" s="48" t="str">
        <f ca="1">IF(AND('Planning Sheet'!DE137='Weeks Plan'!$D$6,'Planning Sheet'!CY137='Weeks Plan'!$G$6),'Planning Sheet'!$CZ137,"")</f>
        <v/>
      </c>
      <c r="AA4578" s="48" t="str">
        <f ca="1">IF(AND('Planning Sheet'!DE137='Weeks Plan'!$D$6,'Planning Sheet'!CY137='Weeks Plan'!$G$6),'Planning Sheet'!$DA137,"")</f>
        <v/>
      </c>
    </row>
    <row r="4579" spans="25:27" x14ac:dyDescent="0.3">
      <c r="Y4579" s="48" t="str">
        <f ca="1">IF(AND('Planning Sheet'!DE138='Weeks Plan'!$D$6,'Planning Sheet'!CY138='Weeks Plan'!$G$6),'Planning Sheet'!$B138,"")</f>
        <v/>
      </c>
      <c r="Z4579" s="48" t="str">
        <f ca="1">IF(AND('Planning Sheet'!DE138='Weeks Plan'!$D$6,'Planning Sheet'!CY138='Weeks Plan'!$G$6),'Planning Sheet'!$CZ138,"")</f>
        <v/>
      </c>
      <c r="AA4579" s="48" t="str">
        <f ca="1">IF(AND('Planning Sheet'!DE138='Weeks Plan'!$D$6,'Planning Sheet'!CY138='Weeks Plan'!$G$6),'Planning Sheet'!$DA138,"")</f>
        <v/>
      </c>
    </row>
    <row r="4580" spans="25:27" x14ac:dyDescent="0.3">
      <c r="Y4580" s="48" t="str">
        <f ca="1">IF(AND('Planning Sheet'!DE139='Weeks Plan'!$D$6,'Planning Sheet'!CY139='Weeks Plan'!$G$6),'Planning Sheet'!$B139,"")</f>
        <v/>
      </c>
      <c r="Z4580" s="48" t="str">
        <f ca="1">IF(AND('Planning Sheet'!DE139='Weeks Plan'!$D$6,'Planning Sheet'!CY139='Weeks Plan'!$G$6),'Planning Sheet'!$CZ139,"")</f>
        <v/>
      </c>
      <c r="AA4580" s="48" t="str">
        <f ca="1">IF(AND('Planning Sheet'!DE139='Weeks Plan'!$D$6,'Planning Sheet'!CY139='Weeks Plan'!$G$6),'Planning Sheet'!$DA139,"")</f>
        <v/>
      </c>
    </row>
    <row r="4581" spans="25:27" x14ac:dyDescent="0.3">
      <c r="Y4581" s="48" t="str">
        <f ca="1">IF(AND('Planning Sheet'!DE140='Weeks Plan'!$D$6,'Planning Sheet'!CY140='Weeks Plan'!$G$6),'Planning Sheet'!$B140,"")</f>
        <v/>
      </c>
      <c r="Z4581" s="48" t="str">
        <f ca="1">IF(AND('Planning Sheet'!DE140='Weeks Plan'!$D$6,'Planning Sheet'!CY140='Weeks Plan'!$G$6),'Planning Sheet'!$CZ140,"")</f>
        <v/>
      </c>
      <c r="AA4581" s="48" t="str">
        <f ca="1">IF(AND('Planning Sheet'!DE140='Weeks Plan'!$D$6,'Planning Sheet'!CY140='Weeks Plan'!$G$6),'Planning Sheet'!$DA140,"")</f>
        <v/>
      </c>
    </row>
    <row r="4582" spans="25:27" x14ac:dyDescent="0.3">
      <c r="Y4582" s="48" t="str">
        <f ca="1">IF(AND('Planning Sheet'!DE141='Weeks Plan'!$D$6,'Planning Sheet'!CY141='Weeks Plan'!$G$6),'Planning Sheet'!$B141,"")</f>
        <v/>
      </c>
      <c r="Z4582" s="48" t="str">
        <f ca="1">IF(AND('Planning Sheet'!DE141='Weeks Plan'!$D$6,'Planning Sheet'!CY141='Weeks Plan'!$G$6),'Planning Sheet'!$CZ141,"")</f>
        <v/>
      </c>
      <c r="AA4582" s="48" t="str">
        <f ca="1">IF(AND('Planning Sheet'!DE141='Weeks Plan'!$D$6,'Planning Sheet'!CY141='Weeks Plan'!$G$6),'Planning Sheet'!$DA141,"")</f>
        <v/>
      </c>
    </row>
    <row r="4583" spans="25:27" x14ac:dyDescent="0.3">
      <c r="Y4583" s="48" t="str">
        <f ca="1">IF(AND('Planning Sheet'!DE142='Weeks Plan'!$D$6,'Planning Sheet'!CY142='Weeks Plan'!$G$6),'Planning Sheet'!$B142,"")</f>
        <v/>
      </c>
      <c r="Z4583" s="48" t="str">
        <f ca="1">IF(AND('Planning Sheet'!DE142='Weeks Plan'!$D$6,'Planning Sheet'!CY142='Weeks Plan'!$G$6),'Planning Sheet'!$CZ142,"")</f>
        <v/>
      </c>
      <c r="AA4583" s="48" t="str">
        <f ca="1">IF(AND('Planning Sheet'!DE142='Weeks Plan'!$D$6,'Planning Sheet'!CY142='Weeks Plan'!$G$6),'Planning Sheet'!$DA142,"")</f>
        <v/>
      </c>
    </row>
    <row r="4584" spans="25:27" x14ac:dyDescent="0.3">
      <c r="Y4584" s="48" t="str">
        <f ca="1">IF(AND('Planning Sheet'!DE143='Weeks Plan'!$D$6,'Planning Sheet'!CY143='Weeks Plan'!$G$6),'Planning Sheet'!$B143,"")</f>
        <v/>
      </c>
      <c r="Z4584" s="48" t="str">
        <f ca="1">IF(AND('Planning Sheet'!DE143='Weeks Plan'!$D$6,'Planning Sheet'!CY143='Weeks Plan'!$G$6),'Planning Sheet'!$CZ143,"")</f>
        <v/>
      </c>
      <c r="AA4584" s="48" t="str">
        <f ca="1">IF(AND('Planning Sheet'!DE143='Weeks Plan'!$D$6,'Planning Sheet'!CY143='Weeks Plan'!$G$6),'Planning Sheet'!$DA143,"")</f>
        <v/>
      </c>
    </row>
    <row r="4585" spans="25:27" x14ac:dyDescent="0.3">
      <c r="Y4585" s="48" t="str">
        <f ca="1">IF(AND('Planning Sheet'!DE144='Weeks Plan'!$D$6,'Planning Sheet'!CY144='Weeks Plan'!$G$6),'Planning Sheet'!$B144,"")</f>
        <v/>
      </c>
      <c r="Z4585" s="48" t="str">
        <f ca="1">IF(AND('Planning Sheet'!DE144='Weeks Plan'!$D$6,'Planning Sheet'!CY144='Weeks Plan'!$G$6),'Planning Sheet'!$CZ144,"")</f>
        <v/>
      </c>
      <c r="AA4585" s="48" t="str">
        <f ca="1">IF(AND('Planning Sheet'!DE144='Weeks Plan'!$D$6,'Planning Sheet'!CY144='Weeks Plan'!$G$6),'Planning Sheet'!$DA144,"")</f>
        <v/>
      </c>
    </row>
    <row r="4586" spans="25:27" x14ac:dyDescent="0.3">
      <c r="Y4586" s="48" t="str">
        <f ca="1">IF(AND('Planning Sheet'!DE145='Weeks Plan'!$D$6,'Planning Sheet'!CY145='Weeks Plan'!$G$6),'Planning Sheet'!$B145,"")</f>
        <v/>
      </c>
      <c r="Z4586" s="48" t="str">
        <f ca="1">IF(AND('Planning Sheet'!DE145='Weeks Plan'!$D$6,'Planning Sheet'!CY145='Weeks Plan'!$G$6),'Planning Sheet'!$CZ145,"")</f>
        <v/>
      </c>
      <c r="AA4586" s="48" t="str">
        <f ca="1">IF(AND('Planning Sheet'!DE145='Weeks Plan'!$D$6,'Planning Sheet'!CY145='Weeks Plan'!$G$6),'Planning Sheet'!$DA145,"")</f>
        <v/>
      </c>
    </row>
    <row r="4587" spans="25:27" x14ac:dyDescent="0.3">
      <c r="Y4587" s="48" t="str">
        <f ca="1">IF(AND('Planning Sheet'!DE146='Weeks Plan'!$D$6,'Planning Sheet'!CY146='Weeks Plan'!$G$6),'Planning Sheet'!$B146,"")</f>
        <v/>
      </c>
      <c r="Z4587" s="48" t="str">
        <f ca="1">IF(AND('Planning Sheet'!DE146='Weeks Plan'!$D$6,'Planning Sheet'!CY146='Weeks Plan'!$G$6),'Planning Sheet'!$CZ146,"")</f>
        <v/>
      </c>
      <c r="AA4587" s="48" t="str">
        <f ca="1">IF(AND('Planning Sheet'!DE146='Weeks Plan'!$D$6,'Planning Sheet'!CY146='Weeks Plan'!$G$6),'Planning Sheet'!$DA146,"")</f>
        <v/>
      </c>
    </row>
    <row r="4588" spans="25:27" x14ac:dyDescent="0.3">
      <c r="Y4588" s="48" t="str">
        <f ca="1">IF(AND('Planning Sheet'!DE147='Weeks Plan'!$D$6,'Planning Sheet'!CY147='Weeks Plan'!$G$6),'Planning Sheet'!$B147,"")</f>
        <v/>
      </c>
      <c r="Z4588" s="48" t="str">
        <f ca="1">IF(AND('Planning Sheet'!DE147='Weeks Plan'!$D$6,'Planning Sheet'!CY147='Weeks Plan'!$G$6),'Planning Sheet'!$CZ147,"")</f>
        <v/>
      </c>
      <c r="AA4588" s="48" t="str">
        <f ca="1">IF(AND('Planning Sheet'!DE147='Weeks Plan'!$D$6,'Planning Sheet'!CY147='Weeks Plan'!$G$6),'Planning Sheet'!$DA147,"")</f>
        <v/>
      </c>
    </row>
    <row r="4589" spans="25:27" x14ac:dyDescent="0.3">
      <c r="Y4589" s="48" t="str">
        <f ca="1">IF(AND('Planning Sheet'!DE148='Weeks Plan'!$D$6,'Planning Sheet'!CY148='Weeks Plan'!$G$6),'Planning Sheet'!$B148,"")</f>
        <v/>
      </c>
      <c r="Z4589" s="48" t="str">
        <f ca="1">IF(AND('Planning Sheet'!DE148='Weeks Plan'!$D$6,'Planning Sheet'!CY148='Weeks Plan'!$G$6),'Planning Sheet'!$CZ148,"")</f>
        <v/>
      </c>
      <c r="AA4589" s="48" t="str">
        <f ca="1">IF(AND('Planning Sheet'!DE148='Weeks Plan'!$D$6,'Planning Sheet'!CY148='Weeks Plan'!$G$6),'Planning Sheet'!$DA148,"")</f>
        <v/>
      </c>
    </row>
    <row r="4590" spans="25:27" x14ac:dyDescent="0.3">
      <c r="Y4590" s="48" t="str">
        <f ca="1">IF(AND('Planning Sheet'!DE149='Weeks Plan'!$D$6,'Planning Sheet'!CY149='Weeks Plan'!$G$6),'Planning Sheet'!$B149,"")</f>
        <v/>
      </c>
      <c r="Z4590" s="48" t="str">
        <f ca="1">IF(AND('Planning Sheet'!DE149='Weeks Plan'!$D$6,'Planning Sheet'!CY149='Weeks Plan'!$G$6),'Planning Sheet'!$CZ149,"")</f>
        <v/>
      </c>
      <c r="AA4590" s="48" t="str">
        <f ca="1">IF(AND('Planning Sheet'!DE149='Weeks Plan'!$D$6,'Planning Sheet'!CY149='Weeks Plan'!$G$6),'Planning Sheet'!$DA149,"")</f>
        <v/>
      </c>
    </row>
    <row r="4591" spans="25:27" x14ac:dyDescent="0.3">
      <c r="Y4591" s="48" t="str">
        <f ca="1">IF(AND('Planning Sheet'!DE150='Weeks Plan'!$D$6,'Planning Sheet'!CY150='Weeks Plan'!$G$6),'Planning Sheet'!$B150,"")</f>
        <v/>
      </c>
      <c r="Z4591" s="48" t="str">
        <f ca="1">IF(AND('Planning Sheet'!DE150='Weeks Plan'!$D$6,'Planning Sheet'!CY150='Weeks Plan'!$G$6),'Planning Sheet'!$CZ150,"")</f>
        <v/>
      </c>
      <c r="AA4591" s="48" t="str">
        <f ca="1">IF(AND('Planning Sheet'!DE150='Weeks Plan'!$D$6,'Planning Sheet'!CY150='Weeks Plan'!$G$6),'Planning Sheet'!$DA150,"")</f>
        <v/>
      </c>
    </row>
    <row r="4592" spans="25:27" x14ac:dyDescent="0.3">
      <c r="Y4592" s="48" t="str">
        <f ca="1">IF(AND('Planning Sheet'!DE151='Weeks Plan'!$D$6,'Planning Sheet'!CY151='Weeks Plan'!$G$6),'Planning Sheet'!$B151,"")</f>
        <v/>
      </c>
      <c r="Z4592" s="48" t="str">
        <f ca="1">IF(AND('Planning Sheet'!DE151='Weeks Plan'!$D$6,'Planning Sheet'!CY151='Weeks Plan'!$G$6),'Planning Sheet'!$CZ151,"")</f>
        <v/>
      </c>
      <c r="AA4592" s="48" t="str">
        <f ca="1">IF(AND('Planning Sheet'!DE151='Weeks Plan'!$D$6,'Planning Sheet'!CY151='Weeks Plan'!$G$6),'Planning Sheet'!$DA151,"")</f>
        <v/>
      </c>
    </row>
    <row r="4593" spans="25:27" x14ac:dyDescent="0.3">
      <c r="Y4593" s="48" t="str">
        <f ca="1">IF(AND('Planning Sheet'!DE152='Weeks Plan'!$D$6,'Planning Sheet'!CY152='Weeks Plan'!$G$6),'Planning Sheet'!$B152,"")</f>
        <v/>
      </c>
      <c r="Z4593" s="48" t="str">
        <f ca="1">IF(AND('Planning Sheet'!DE152='Weeks Plan'!$D$6,'Planning Sheet'!CY152='Weeks Plan'!$G$6),'Planning Sheet'!$CZ152,"")</f>
        <v/>
      </c>
      <c r="AA4593" s="48" t="str">
        <f ca="1">IF(AND('Planning Sheet'!DE152='Weeks Plan'!$D$6,'Planning Sheet'!CY152='Weeks Plan'!$G$6),'Planning Sheet'!$DA152,"")</f>
        <v/>
      </c>
    </row>
    <row r="4594" spans="25:27" x14ac:dyDescent="0.3">
      <c r="Y4594" s="48" t="str">
        <f ca="1">IF(AND('Planning Sheet'!DE153='Weeks Plan'!$D$6,'Planning Sheet'!CY153='Weeks Plan'!$G$6),'Planning Sheet'!$B153,"")</f>
        <v/>
      </c>
      <c r="Z4594" s="48" t="str">
        <f ca="1">IF(AND('Planning Sheet'!DE153='Weeks Plan'!$D$6,'Planning Sheet'!CY153='Weeks Plan'!$G$6),'Planning Sheet'!$CZ153,"")</f>
        <v/>
      </c>
      <c r="AA4594" s="48" t="str">
        <f ca="1">IF(AND('Planning Sheet'!DE153='Weeks Plan'!$D$6,'Planning Sheet'!CY153='Weeks Plan'!$G$6),'Planning Sheet'!$DA153,"")</f>
        <v/>
      </c>
    </row>
    <row r="4595" spans="25:27" x14ac:dyDescent="0.3">
      <c r="Y4595" s="48" t="str">
        <f ca="1">IF(AND('Planning Sheet'!DE154='Weeks Plan'!$D$6,'Planning Sheet'!CY154='Weeks Plan'!$G$6),'Planning Sheet'!$B154,"")</f>
        <v/>
      </c>
      <c r="Z4595" s="48" t="str">
        <f ca="1">IF(AND('Planning Sheet'!DE154='Weeks Plan'!$D$6,'Planning Sheet'!CY154='Weeks Plan'!$G$6),'Planning Sheet'!$CZ154,"")</f>
        <v/>
      </c>
      <c r="AA4595" s="48" t="str">
        <f ca="1">IF(AND('Planning Sheet'!DE154='Weeks Plan'!$D$6,'Planning Sheet'!CY154='Weeks Plan'!$G$6),'Planning Sheet'!$DA154,"")</f>
        <v/>
      </c>
    </row>
    <row r="4596" spans="25:27" x14ac:dyDescent="0.3">
      <c r="Y4596" s="48" t="str">
        <f ca="1">IF(AND('Planning Sheet'!DE155='Weeks Plan'!$D$6,'Planning Sheet'!CY155='Weeks Plan'!$G$6),'Planning Sheet'!$B155,"")</f>
        <v/>
      </c>
      <c r="Z4596" s="48" t="str">
        <f ca="1">IF(AND('Planning Sheet'!DE155='Weeks Plan'!$D$6,'Planning Sheet'!CY155='Weeks Plan'!$G$6),'Planning Sheet'!$CZ155,"")</f>
        <v/>
      </c>
      <c r="AA4596" s="48" t="str">
        <f ca="1">IF(AND('Planning Sheet'!DE155='Weeks Plan'!$D$6,'Planning Sheet'!CY155='Weeks Plan'!$G$6),'Planning Sheet'!$DA155,"")</f>
        <v/>
      </c>
    </row>
    <row r="4597" spans="25:27" x14ac:dyDescent="0.3">
      <c r="Y4597" s="48" t="str">
        <f ca="1">IF(AND('Planning Sheet'!DE156='Weeks Plan'!$D$6,'Planning Sheet'!CY156='Weeks Plan'!$G$6),'Planning Sheet'!$B156,"")</f>
        <v/>
      </c>
      <c r="Z4597" s="48" t="str">
        <f ca="1">IF(AND('Planning Sheet'!DE156='Weeks Plan'!$D$6,'Planning Sheet'!CY156='Weeks Plan'!$G$6),'Planning Sheet'!$CZ156,"")</f>
        <v/>
      </c>
      <c r="AA4597" s="48" t="str">
        <f ca="1">IF(AND('Planning Sheet'!DE156='Weeks Plan'!$D$6,'Planning Sheet'!CY156='Weeks Plan'!$G$6),'Planning Sheet'!$DA156,"")</f>
        <v/>
      </c>
    </row>
    <row r="4598" spans="25:27" x14ac:dyDescent="0.3">
      <c r="Y4598" s="48" t="str">
        <f ca="1">IF(AND('Planning Sheet'!DE157='Weeks Plan'!$D$6,'Planning Sheet'!CY157='Weeks Plan'!$G$6),'Planning Sheet'!$B157,"")</f>
        <v/>
      </c>
      <c r="Z4598" s="48" t="str">
        <f ca="1">IF(AND('Planning Sheet'!DE157='Weeks Plan'!$D$6,'Planning Sheet'!CY157='Weeks Plan'!$G$6),'Planning Sheet'!$CZ157,"")</f>
        <v/>
      </c>
      <c r="AA4598" s="48" t="str">
        <f ca="1">IF(AND('Planning Sheet'!DE157='Weeks Plan'!$D$6,'Planning Sheet'!CY157='Weeks Plan'!$G$6),'Planning Sheet'!$DA157,"")</f>
        <v/>
      </c>
    </row>
    <row r="4599" spans="25:27" x14ac:dyDescent="0.3">
      <c r="Y4599" s="48" t="str">
        <f ca="1">IF(AND('Planning Sheet'!DE158='Weeks Plan'!$D$6,'Planning Sheet'!CY158='Weeks Plan'!$G$6),'Planning Sheet'!$B158,"")</f>
        <v/>
      </c>
      <c r="Z4599" s="48" t="str">
        <f ca="1">IF(AND('Planning Sheet'!DE158='Weeks Plan'!$D$6,'Planning Sheet'!CY158='Weeks Plan'!$G$6),'Planning Sheet'!$CZ158,"")</f>
        <v/>
      </c>
      <c r="AA4599" s="48" t="str">
        <f ca="1">IF(AND('Planning Sheet'!DE158='Weeks Plan'!$D$6,'Planning Sheet'!CY158='Weeks Plan'!$G$6),'Planning Sheet'!$DA158,"")</f>
        <v/>
      </c>
    </row>
    <row r="4600" spans="25:27" x14ac:dyDescent="0.3">
      <c r="Y4600" s="48" t="str">
        <f ca="1">IF(AND('Planning Sheet'!DE159='Weeks Plan'!$D$6,'Planning Sheet'!CY159='Weeks Plan'!$G$6),'Planning Sheet'!$B159,"")</f>
        <v/>
      </c>
      <c r="Z4600" s="48" t="str">
        <f ca="1">IF(AND('Planning Sheet'!DE159='Weeks Plan'!$D$6,'Planning Sheet'!CY159='Weeks Plan'!$G$6),'Planning Sheet'!$CZ159,"")</f>
        <v/>
      </c>
      <c r="AA4600" s="48" t="str">
        <f ca="1">IF(AND('Planning Sheet'!DE159='Weeks Plan'!$D$6,'Planning Sheet'!CY159='Weeks Plan'!$G$6),'Planning Sheet'!$DA159,"")</f>
        <v/>
      </c>
    </row>
    <row r="4601" spans="25:27" x14ac:dyDescent="0.3">
      <c r="Y4601" s="48" t="str">
        <f ca="1">IF(AND('Planning Sheet'!DE160='Weeks Plan'!$D$6,'Planning Sheet'!CY160='Weeks Plan'!$G$6),'Planning Sheet'!$B160,"")</f>
        <v/>
      </c>
      <c r="Z4601" s="48" t="str">
        <f ca="1">IF(AND('Planning Sheet'!DE160='Weeks Plan'!$D$6,'Planning Sheet'!CY160='Weeks Plan'!$G$6),'Planning Sheet'!$CZ160,"")</f>
        <v/>
      </c>
      <c r="AA4601" s="48" t="str">
        <f ca="1">IF(AND('Planning Sheet'!DE160='Weeks Plan'!$D$6,'Planning Sheet'!CY160='Weeks Plan'!$G$6),'Planning Sheet'!$DA160,"")</f>
        <v/>
      </c>
    </row>
    <row r="4602" spans="25:27" x14ac:dyDescent="0.3">
      <c r="Y4602" s="48" t="str">
        <f ca="1">IF(AND('Planning Sheet'!DE161='Weeks Plan'!$D$6,'Planning Sheet'!CY161='Weeks Plan'!$G$6),'Planning Sheet'!$B161,"")</f>
        <v/>
      </c>
      <c r="Z4602" s="48" t="str">
        <f ca="1">IF(AND('Planning Sheet'!DE161='Weeks Plan'!$D$6,'Planning Sheet'!CY161='Weeks Plan'!$G$6),'Planning Sheet'!$CZ161,"")</f>
        <v/>
      </c>
      <c r="AA4602" s="48" t="str">
        <f ca="1">IF(AND('Planning Sheet'!DE161='Weeks Plan'!$D$6,'Planning Sheet'!CY161='Weeks Plan'!$G$6),'Planning Sheet'!$DA161,"")</f>
        <v/>
      </c>
    </row>
    <row r="4603" spans="25:27" x14ac:dyDescent="0.3">
      <c r="Y4603" s="48" t="str">
        <f ca="1">IF(AND('Planning Sheet'!DE162='Weeks Plan'!$D$6,'Planning Sheet'!CY162='Weeks Plan'!$G$6),'Planning Sheet'!$B162,"")</f>
        <v/>
      </c>
      <c r="Z4603" s="48" t="str">
        <f ca="1">IF(AND('Planning Sheet'!DE162='Weeks Plan'!$D$6,'Planning Sheet'!CY162='Weeks Plan'!$G$6),'Planning Sheet'!$CZ162,"")</f>
        <v/>
      </c>
      <c r="AA4603" s="48" t="str">
        <f ca="1">IF(AND('Planning Sheet'!DE162='Weeks Plan'!$D$6,'Planning Sheet'!CY162='Weeks Plan'!$G$6),'Planning Sheet'!$DA162,"")</f>
        <v/>
      </c>
    </row>
    <row r="4604" spans="25:27" x14ac:dyDescent="0.3">
      <c r="Y4604" s="48" t="str">
        <f ca="1">IF(AND('Planning Sheet'!DE163='Weeks Plan'!$D$6,'Planning Sheet'!CY163='Weeks Plan'!$G$6),'Planning Sheet'!$B163,"")</f>
        <v/>
      </c>
      <c r="Z4604" s="48" t="str">
        <f ca="1">IF(AND('Planning Sheet'!DE163='Weeks Plan'!$D$6,'Planning Sheet'!CY163='Weeks Plan'!$G$6),'Planning Sheet'!$CZ163,"")</f>
        <v/>
      </c>
      <c r="AA4604" s="48" t="str">
        <f ca="1">IF(AND('Planning Sheet'!DE163='Weeks Plan'!$D$6,'Planning Sheet'!CY163='Weeks Plan'!$G$6),'Planning Sheet'!$DA163,"")</f>
        <v/>
      </c>
    </row>
    <row r="4605" spans="25:27" x14ac:dyDescent="0.3">
      <c r="Y4605" s="48" t="str">
        <f ca="1">IF(AND('Planning Sheet'!DE164='Weeks Plan'!$D$6,'Planning Sheet'!CY164='Weeks Plan'!$G$6),'Planning Sheet'!$B164,"")</f>
        <v/>
      </c>
      <c r="Z4605" s="48" t="str">
        <f ca="1">IF(AND('Planning Sheet'!DE164='Weeks Plan'!$D$6,'Planning Sheet'!CY164='Weeks Plan'!$G$6),'Planning Sheet'!$CZ164,"")</f>
        <v/>
      </c>
      <c r="AA4605" s="48" t="str">
        <f ca="1">IF(AND('Planning Sheet'!DE164='Weeks Plan'!$D$6,'Planning Sheet'!CY164='Weeks Plan'!$G$6),'Planning Sheet'!$DA164,"")</f>
        <v/>
      </c>
    </row>
    <row r="4606" spans="25:27" x14ac:dyDescent="0.3">
      <c r="Y4606" s="48" t="str">
        <f ca="1">IF(AND('Planning Sheet'!DE165='Weeks Plan'!$D$6,'Planning Sheet'!CY165='Weeks Plan'!$G$6),'Planning Sheet'!$B165,"")</f>
        <v/>
      </c>
      <c r="Z4606" s="48" t="str">
        <f ca="1">IF(AND('Planning Sheet'!DE165='Weeks Plan'!$D$6,'Planning Sheet'!CY165='Weeks Plan'!$G$6),'Planning Sheet'!$CZ165,"")</f>
        <v/>
      </c>
      <c r="AA4606" s="48" t="str">
        <f ca="1">IF(AND('Planning Sheet'!DE165='Weeks Plan'!$D$6,'Planning Sheet'!CY165='Weeks Plan'!$G$6),'Planning Sheet'!$DA165,"")</f>
        <v/>
      </c>
    </row>
    <row r="4607" spans="25:27" x14ac:dyDescent="0.3">
      <c r="Y4607" s="48" t="str">
        <f ca="1">IF(AND('Planning Sheet'!DE166='Weeks Plan'!$D$6,'Planning Sheet'!CY166='Weeks Plan'!$G$6),'Planning Sheet'!$B166,"")</f>
        <v/>
      </c>
      <c r="Z4607" s="48" t="str">
        <f ca="1">IF(AND('Planning Sheet'!DE166='Weeks Plan'!$D$6,'Planning Sheet'!CY166='Weeks Plan'!$G$6),'Planning Sheet'!$CZ166,"")</f>
        <v/>
      </c>
      <c r="AA4607" s="48" t="str">
        <f ca="1">IF(AND('Planning Sheet'!DE166='Weeks Plan'!$D$6,'Planning Sheet'!CY166='Weeks Plan'!$G$6),'Planning Sheet'!$DA166,"")</f>
        <v/>
      </c>
    </row>
    <row r="4608" spans="25:27" x14ac:dyDescent="0.3">
      <c r="Y4608" s="48" t="str">
        <f ca="1">IF(AND('Planning Sheet'!DE167='Weeks Plan'!$D$6,'Planning Sheet'!CY167='Weeks Plan'!$G$6),'Planning Sheet'!$B167,"")</f>
        <v/>
      </c>
      <c r="Z4608" s="48" t="str">
        <f ca="1">IF(AND('Planning Sheet'!DE167='Weeks Plan'!$D$6,'Planning Sheet'!CY167='Weeks Plan'!$G$6),'Planning Sheet'!$CZ167,"")</f>
        <v/>
      </c>
      <c r="AA4608" s="48" t="str">
        <f ca="1">IF(AND('Planning Sheet'!DE167='Weeks Plan'!$D$6,'Planning Sheet'!CY167='Weeks Plan'!$G$6),'Planning Sheet'!$DA167,"")</f>
        <v/>
      </c>
    </row>
    <row r="4609" spans="25:27" x14ac:dyDescent="0.3">
      <c r="Y4609" s="48" t="str">
        <f ca="1">IF(AND('Planning Sheet'!DE168='Weeks Plan'!$D$6,'Planning Sheet'!CY168='Weeks Plan'!$G$6),'Planning Sheet'!$B168,"")</f>
        <v/>
      </c>
      <c r="Z4609" s="48" t="str">
        <f ca="1">IF(AND('Planning Sheet'!DE168='Weeks Plan'!$D$6,'Planning Sheet'!CY168='Weeks Plan'!$G$6),'Planning Sheet'!$CZ168,"")</f>
        <v/>
      </c>
      <c r="AA4609" s="48" t="str">
        <f ca="1">IF(AND('Planning Sheet'!DE168='Weeks Plan'!$D$6,'Planning Sheet'!CY168='Weeks Plan'!$G$6),'Planning Sheet'!$DA168,"")</f>
        <v/>
      </c>
    </row>
    <row r="4610" spans="25:27" x14ac:dyDescent="0.3">
      <c r="Y4610" s="48" t="str">
        <f ca="1">IF(AND('Planning Sheet'!DE169='Weeks Plan'!$D$6,'Planning Sheet'!CY169='Weeks Plan'!$G$6),'Planning Sheet'!$B169,"")</f>
        <v/>
      </c>
      <c r="Z4610" s="48" t="str">
        <f ca="1">IF(AND('Planning Sheet'!DE169='Weeks Plan'!$D$6,'Planning Sheet'!CY169='Weeks Plan'!$G$6),'Planning Sheet'!$CZ169,"")</f>
        <v/>
      </c>
      <c r="AA4610" s="48" t="str">
        <f ca="1">IF(AND('Planning Sheet'!DE169='Weeks Plan'!$D$6,'Planning Sheet'!CY169='Weeks Plan'!$G$6),'Planning Sheet'!$DA169,"")</f>
        <v/>
      </c>
    </row>
    <row r="4611" spans="25:27" x14ac:dyDescent="0.3">
      <c r="Y4611" s="48" t="str">
        <f ca="1">IF(AND('Planning Sheet'!DE170='Weeks Plan'!$D$6,'Planning Sheet'!CY170='Weeks Plan'!$G$6),'Planning Sheet'!$B170,"")</f>
        <v/>
      </c>
      <c r="Z4611" s="48" t="str">
        <f ca="1">IF(AND('Planning Sheet'!DE170='Weeks Plan'!$D$6,'Planning Sheet'!CY170='Weeks Plan'!$G$6),'Planning Sheet'!$CZ170,"")</f>
        <v/>
      </c>
      <c r="AA4611" s="48" t="str">
        <f ca="1">IF(AND('Planning Sheet'!DE170='Weeks Plan'!$D$6,'Planning Sheet'!CY170='Weeks Plan'!$G$6),'Planning Sheet'!$DA170,"")</f>
        <v/>
      </c>
    </row>
    <row r="4612" spans="25:27" x14ac:dyDescent="0.3">
      <c r="Y4612" s="48" t="str">
        <f ca="1">IF(AND('Planning Sheet'!DE171='Weeks Plan'!$D$6,'Planning Sheet'!CY171='Weeks Plan'!$G$6),'Planning Sheet'!$B171,"")</f>
        <v/>
      </c>
      <c r="Z4612" s="48" t="str">
        <f ca="1">IF(AND('Planning Sheet'!DE171='Weeks Plan'!$D$6,'Planning Sheet'!CY171='Weeks Plan'!$G$6),'Planning Sheet'!$CZ171,"")</f>
        <v/>
      </c>
      <c r="AA4612" s="48" t="str">
        <f ca="1">IF(AND('Planning Sheet'!DE171='Weeks Plan'!$D$6,'Planning Sheet'!CY171='Weeks Plan'!$G$6),'Planning Sheet'!$DA171,"")</f>
        <v/>
      </c>
    </row>
    <row r="4613" spans="25:27" x14ac:dyDescent="0.3">
      <c r="Y4613" s="48" t="str">
        <f ca="1">IF(AND('Planning Sheet'!DE172='Weeks Plan'!$D$6,'Planning Sheet'!CY172='Weeks Plan'!$G$6),'Planning Sheet'!$B172,"")</f>
        <v/>
      </c>
      <c r="Z4613" s="48" t="str">
        <f ca="1">IF(AND('Planning Sheet'!DE172='Weeks Plan'!$D$6,'Planning Sheet'!CY172='Weeks Plan'!$G$6),'Planning Sheet'!$CZ172,"")</f>
        <v/>
      </c>
      <c r="AA4613" s="48" t="str">
        <f ca="1">IF(AND('Planning Sheet'!DE172='Weeks Plan'!$D$6,'Planning Sheet'!CY172='Weeks Plan'!$G$6),'Planning Sheet'!$DA172,"")</f>
        <v/>
      </c>
    </row>
    <row r="4614" spans="25:27" x14ac:dyDescent="0.3">
      <c r="Y4614" s="48" t="str">
        <f ca="1">IF(AND('Planning Sheet'!DE173='Weeks Plan'!$D$6,'Planning Sheet'!CY173='Weeks Plan'!$G$6),'Planning Sheet'!$B173,"")</f>
        <v/>
      </c>
      <c r="Z4614" s="48" t="str">
        <f ca="1">IF(AND('Planning Sheet'!DE173='Weeks Plan'!$D$6,'Planning Sheet'!CY173='Weeks Plan'!$G$6),'Planning Sheet'!$CZ173,"")</f>
        <v/>
      </c>
      <c r="AA4614" s="48" t="str">
        <f ca="1">IF(AND('Planning Sheet'!DE173='Weeks Plan'!$D$6,'Planning Sheet'!CY173='Weeks Plan'!$G$6),'Planning Sheet'!$DA173,"")</f>
        <v/>
      </c>
    </row>
    <row r="4615" spans="25:27" x14ac:dyDescent="0.3">
      <c r="Y4615" s="48" t="str">
        <f ca="1">IF(AND('Planning Sheet'!DE174='Weeks Plan'!$D$6,'Planning Sheet'!CY174='Weeks Plan'!$G$6),'Planning Sheet'!$B174,"")</f>
        <v/>
      </c>
      <c r="Z4615" s="48" t="str">
        <f ca="1">IF(AND('Planning Sheet'!DE174='Weeks Plan'!$D$6,'Planning Sheet'!CY174='Weeks Plan'!$G$6),'Planning Sheet'!$CZ174,"")</f>
        <v/>
      </c>
      <c r="AA4615" s="48" t="str">
        <f ca="1">IF(AND('Planning Sheet'!DE174='Weeks Plan'!$D$6,'Planning Sheet'!CY174='Weeks Plan'!$G$6),'Planning Sheet'!$DA174,"")</f>
        <v/>
      </c>
    </row>
    <row r="4616" spans="25:27" x14ac:dyDescent="0.3">
      <c r="Y4616" s="48" t="str">
        <f ca="1">IF(AND('Planning Sheet'!DE175='Weeks Plan'!$D$6,'Planning Sheet'!CY175='Weeks Plan'!$G$6),'Planning Sheet'!$B175,"")</f>
        <v/>
      </c>
      <c r="Z4616" s="48" t="str">
        <f ca="1">IF(AND('Planning Sheet'!DE175='Weeks Plan'!$D$6,'Planning Sheet'!CY175='Weeks Plan'!$G$6),'Planning Sheet'!$CZ175,"")</f>
        <v/>
      </c>
      <c r="AA4616" s="48" t="str">
        <f ca="1">IF(AND('Planning Sheet'!DE175='Weeks Plan'!$D$6,'Planning Sheet'!CY175='Weeks Plan'!$G$6),'Planning Sheet'!$DA175,"")</f>
        <v/>
      </c>
    </row>
    <row r="4617" spans="25:27" x14ac:dyDescent="0.3">
      <c r="Y4617" s="48" t="str">
        <f ca="1">IF(AND('Planning Sheet'!DE176='Weeks Plan'!$D$6,'Planning Sheet'!CY176='Weeks Plan'!$G$6),'Planning Sheet'!$B176,"")</f>
        <v/>
      </c>
      <c r="Z4617" s="48" t="str">
        <f ca="1">IF(AND('Planning Sheet'!DE176='Weeks Plan'!$D$6,'Planning Sheet'!CY176='Weeks Plan'!$G$6),'Planning Sheet'!$CZ176,"")</f>
        <v/>
      </c>
      <c r="AA4617" s="48" t="str">
        <f ca="1">IF(AND('Planning Sheet'!DE176='Weeks Plan'!$D$6,'Planning Sheet'!CY176='Weeks Plan'!$G$6),'Planning Sheet'!$DA176,"")</f>
        <v/>
      </c>
    </row>
    <row r="4618" spans="25:27" x14ac:dyDescent="0.3">
      <c r="Y4618" s="48" t="str">
        <f ca="1">IF(AND('Planning Sheet'!DE177='Weeks Plan'!$D$6,'Planning Sheet'!CY177='Weeks Plan'!$G$6),'Planning Sheet'!$B177,"")</f>
        <v/>
      </c>
      <c r="Z4618" s="48" t="str">
        <f ca="1">IF(AND('Planning Sheet'!DE177='Weeks Plan'!$D$6,'Planning Sheet'!CY177='Weeks Plan'!$G$6),'Planning Sheet'!$CZ177,"")</f>
        <v/>
      </c>
      <c r="AA4618" s="48" t="str">
        <f ca="1">IF(AND('Planning Sheet'!DE177='Weeks Plan'!$D$6,'Planning Sheet'!CY177='Weeks Plan'!$G$6),'Planning Sheet'!$DA177,"")</f>
        <v/>
      </c>
    </row>
    <row r="4619" spans="25:27" x14ac:dyDescent="0.3">
      <c r="Y4619" s="48" t="str">
        <f ca="1">IF(AND('Planning Sheet'!DE178='Weeks Plan'!$D$6,'Planning Sheet'!CY178='Weeks Plan'!$G$6),'Planning Sheet'!$B178,"")</f>
        <v/>
      </c>
      <c r="Z4619" s="48" t="str">
        <f ca="1">IF(AND('Planning Sheet'!DE178='Weeks Plan'!$D$6,'Planning Sheet'!CY178='Weeks Plan'!$G$6),'Planning Sheet'!$CZ178,"")</f>
        <v/>
      </c>
      <c r="AA4619" s="48" t="str">
        <f ca="1">IF(AND('Planning Sheet'!DE178='Weeks Plan'!$D$6,'Planning Sheet'!CY178='Weeks Plan'!$G$6),'Planning Sheet'!$DA178,"")</f>
        <v/>
      </c>
    </row>
    <row r="4620" spans="25:27" x14ac:dyDescent="0.3">
      <c r="Y4620" s="48" t="str">
        <f ca="1">IF(AND('Planning Sheet'!DE179='Weeks Plan'!$D$6,'Planning Sheet'!CY179='Weeks Plan'!$G$6),'Planning Sheet'!$B179,"")</f>
        <v/>
      </c>
      <c r="Z4620" s="48" t="str">
        <f ca="1">IF(AND('Planning Sheet'!DE179='Weeks Plan'!$D$6,'Planning Sheet'!CY179='Weeks Plan'!$G$6),'Planning Sheet'!$CZ179,"")</f>
        <v/>
      </c>
      <c r="AA4620" s="48" t="str">
        <f ca="1">IF(AND('Planning Sheet'!DE179='Weeks Plan'!$D$6,'Planning Sheet'!CY179='Weeks Plan'!$G$6),'Planning Sheet'!$DA179,"")</f>
        <v/>
      </c>
    </row>
    <row r="4621" spans="25:27" x14ac:dyDescent="0.3">
      <c r="Y4621" s="48" t="str">
        <f ca="1">IF(AND('Planning Sheet'!DE180='Weeks Plan'!$D$6,'Planning Sheet'!CY180='Weeks Plan'!$G$6),'Planning Sheet'!$B180,"")</f>
        <v/>
      </c>
      <c r="Z4621" s="48" t="str">
        <f ca="1">IF(AND('Planning Sheet'!DE180='Weeks Plan'!$D$6,'Planning Sheet'!CY180='Weeks Plan'!$G$6),'Planning Sheet'!$CZ180,"")</f>
        <v/>
      </c>
      <c r="AA4621" s="48" t="str">
        <f ca="1">IF(AND('Planning Sheet'!DE180='Weeks Plan'!$D$6,'Planning Sheet'!CY180='Weeks Plan'!$G$6),'Planning Sheet'!$DA180,"")</f>
        <v/>
      </c>
    </row>
    <row r="4622" spans="25:27" x14ac:dyDescent="0.3">
      <c r="Y4622" s="48" t="str">
        <f ca="1">IF(AND('Planning Sheet'!DE181='Weeks Plan'!$D$6,'Planning Sheet'!CY181='Weeks Plan'!$G$6),'Planning Sheet'!$B181,"")</f>
        <v/>
      </c>
      <c r="Z4622" s="48" t="str">
        <f ca="1">IF(AND('Planning Sheet'!DE181='Weeks Plan'!$D$6,'Planning Sheet'!CY181='Weeks Plan'!$G$6),'Planning Sheet'!$CZ181,"")</f>
        <v/>
      </c>
      <c r="AA4622" s="48" t="str">
        <f ca="1">IF(AND('Planning Sheet'!DE181='Weeks Plan'!$D$6,'Planning Sheet'!CY181='Weeks Plan'!$G$6),'Planning Sheet'!$DA181,"")</f>
        <v/>
      </c>
    </row>
    <row r="4623" spans="25:27" x14ac:dyDescent="0.3">
      <c r="Y4623" s="48" t="str">
        <f ca="1">IF(AND('Planning Sheet'!DE182='Weeks Plan'!$D$6,'Planning Sheet'!CY182='Weeks Plan'!$G$6),'Planning Sheet'!$B182,"")</f>
        <v/>
      </c>
      <c r="Z4623" s="48" t="str">
        <f ca="1">IF(AND('Planning Sheet'!DE182='Weeks Plan'!$D$6,'Planning Sheet'!CY182='Weeks Plan'!$G$6),'Planning Sheet'!$CZ182,"")</f>
        <v/>
      </c>
      <c r="AA4623" s="48" t="str">
        <f ca="1">IF(AND('Planning Sheet'!DE182='Weeks Plan'!$D$6,'Planning Sheet'!CY182='Weeks Plan'!$G$6),'Planning Sheet'!$DA182,"")</f>
        <v/>
      </c>
    </row>
    <row r="4624" spans="25:27" x14ac:dyDescent="0.3">
      <c r="Y4624" s="48" t="str">
        <f ca="1">IF(AND('Planning Sheet'!DE183='Weeks Plan'!$D$6,'Planning Sheet'!CY183='Weeks Plan'!$G$6),'Planning Sheet'!$B183,"")</f>
        <v/>
      </c>
      <c r="Z4624" s="48" t="str">
        <f ca="1">IF(AND('Planning Sheet'!DE183='Weeks Plan'!$D$6,'Planning Sheet'!CY183='Weeks Plan'!$G$6),'Planning Sheet'!$CZ183,"")</f>
        <v/>
      </c>
      <c r="AA4624" s="48" t="str">
        <f ca="1">IF(AND('Planning Sheet'!DE183='Weeks Plan'!$D$6,'Planning Sheet'!CY183='Weeks Plan'!$G$6),'Planning Sheet'!$DA183,"")</f>
        <v/>
      </c>
    </row>
    <row r="4625" spans="25:27" x14ac:dyDescent="0.3">
      <c r="Y4625" s="48" t="str">
        <f ca="1">IF(AND('Planning Sheet'!DE184='Weeks Plan'!$D$6,'Planning Sheet'!CY184='Weeks Plan'!$G$6),'Planning Sheet'!$B184,"")</f>
        <v/>
      </c>
      <c r="Z4625" s="48" t="str">
        <f ca="1">IF(AND('Planning Sheet'!DE184='Weeks Plan'!$D$6,'Planning Sheet'!CY184='Weeks Plan'!$G$6),'Planning Sheet'!$CZ184,"")</f>
        <v/>
      </c>
      <c r="AA4625" s="48" t="str">
        <f ca="1">IF(AND('Planning Sheet'!DE184='Weeks Plan'!$D$6,'Planning Sheet'!CY184='Weeks Plan'!$G$6),'Planning Sheet'!$DA184,"")</f>
        <v/>
      </c>
    </row>
    <row r="4626" spans="25:27" x14ac:dyDescent="0.3">
      <c r="Y4626" s="48" t="str">
        <f ca="1">IF(AND('Planning Sheet'!DE185='Weeks Plan'!$D$6,'Planning Sheet'!CY185='Weeks Plan'!$G$6),'Planning Sheet'!$B185,"")</f>
        <v/>
      </c>
      <c r="Z4626" s="48" t="str">
        <f ca="1">IF(AND('Planning Sheet'!DE185='Weeks Plan'!$D$6,'Planning Sheet'!CY185='Weeks Plan'!$G$6),'Planning Sheet'!$CZ185,"")</f>
        <v/>
      </c>
      <c r="AA4626" s="48" t="str">
        <f ca="1">IF(AND('Planning Sheet'!DE185='Weeks Plan'!$D$6,'Planning Sheet'!CY185='Weeks Plan'!$G$6),'Planning Sheet'!$DA185,"")</f>
        <v/>
      </c>
    </row>
    <row r="4627" spans="25:27" x14ac:dyDescent="0.3">
      <c r="Y4627" s="48" t="str">
        <f ca="1">IF(AND('Planning Sheet'!DE186='Weeks Plan'!$D$6,'Planning Sheet'!CY186='Weeks Plan'!$G$6),'Planning Sheet'!$B186,"")</f>
        <v/>
      </c>
      <c r="Z4627" s="48" t="str">
        <f ca="1">IF(AND('Planning Sheet'!DE186='Weeks Plan'!$D$6,'Planning Sheet'!CY186='Weeks Plan'!$G$6),'Planning Sheet'!$CZ186,"")</f>
        <v/>
      </c>
      <c r="AA4627" s="48" t="str">
        <f ca="1">IF(AND('Planning Sheet'!DE186='Weeks Plan'!$D$6,'Planning Sheet'!CY186='Weeks Plan'!$G$6),'Planning Sheet'!$DA186,"")</f>
        <v/>
      </c>
    </row>
    <row r="4628" spans="25:27" x14ac:dyDescent="0.3">
      <c r="Y4628" s="48" t="str">
        <f ca="1">IF(AND('Planning Sheet'!DE187='Weeks Plan'!$D$6,'Planning Sheet'!CY187='Weeks Plan'!$G$6),'Planning Sheet'!$B187,"")</f>
        <v/>
      </c>
      <c r="Z4628" s="48" t="str">
        <f ca="1">IF(AND('Planning Sheet'!DE187='Weeks Plan'!$D$6,'Planning Sheet'!CY187='Weeks Plan'!$G$6),'Planning Sheet'!$CZ187,"")</f>
        <v/>
      </c>
      <c r="AA4628" s="48" t="str">
        <f ca="1">IF(AND('Planning Sheet'!DE187='Weeks Plan'!$D$6,'Planning Sheet'!CY187='Weeks Plan'!$G$6),'Planning Sheet'!$DA187,"")</f>
        <v/>
      </c>
    </row>
    <row r="4629" spans="25:27" x14ac:dyDescent="0.3">
      <c r="Y4629" s="48" t="str">
        <f ca="1">IF(AND('Planning Sheet'!DE188='Weeks Plan'!$D$6,'Planning Sheet'!CY188='Weeks Plan'!$G$6),'Planning Sheet'!$B188,"")</f>
        <v/>
      </c>
      <c r="Z4629" s="48" t="str">
        <f ca="1">IF(AND('Planning Sheet'!DE188='Weeks Plan'!$D$6,'Planning Sheet'!CY188='Weeks Plan'!$G$6),'Planning Sheet'!$CZ188,"")</f>
        <v/>
      </c>
      <c r="AA4629" s="48" t="str">
        <f ca="1">IF(AND('Planning Sheet'!DE188='Weeks Plan'!$D$6,'Planning Sheet'!CY188='Weeks Plan'!$G$6),'Planning Sheet'!$DA188,"")</f>
        <v/>
      </c>
    </row>
    <row r="4630" spans="25:27" x14ac:dyDescent="0.3">
      <c r="Y4630" s="48" t="str">
        <f ca="1">IF(AND('Planning Sheet'!DE189='Weeks Plan'!$D$6,'Planning Sheet'!CY189='Weeks Plan'!$G$6),'Planning Sheet'!$B189,"")</f>
        <v/>
      </c>
      <c r="Z4630" s="48" t="str">
        <f ca="1">IF(AND('Planning Sheet'!DE189='Weeks Plan'!$D$6,'Planning Sheet'!CY189='Weeks Plan'!$G$6),'Planning Sheet'!$CZ189,"")</f>
        <v/>
      </c>
      <c r="AA4630" s="48" t="str">
        <f ca="1">IF(AND('Planning Sheet'!DE189='Weeks Plan'!$D$6,'Planning Sheet'!CY189='Weeks Plan'!$G$6),'Planning Sheet'!$DA189,"")</f>
        <v/>
      </c>
    </row>
    <row r="4631" spans="25:27" x14ac:dyDescent="0.3">
      <c r="Y4631" s="48" t="str">
        <f ca="1">IF(AND('Planning Sheet'!DE190='Weeks Plan'!$D$6,'Planning Sheet'!CY190='Weeks Plan'!$G$6),'Planning Sheet'!$B190,"")</f>
        <v/>
      </c>
      <c r="Z4631" s="48" t="str">
        <f ca="1">IF(AND('Planning Sheet'!DE190='Weeks Plan'!$D$6,'Planning Sheet'!CY190='Weeks Plan'!$G$6),'Planning Sheet'!$CZ190,"")</f>
        <v/>
      </c>
      <c r="AA4631" s="48" t="str">
        <f ca="1">IF(AND('Planning Sheet'!DE190='Weeks Plan'!$D$6,'Planning Sheet'!CY190='Weeks Plan'!$G$6),'Planning Sheet'!$DA190,"")</f>
        <v/>
      </c>
    </row>
    <row r="4632" spans="25:27" x14ac:dyDescent="0.3">
      <c r="Y4632" s="48" t="str">
        <f ca="1">IF(AND('Planning Sheet'!DE191='Weeks Plan'!$D$6,'Planning Sheet'!CY191='Weeks Plan'!$G$6),'Planning Sheet'!$B191,"")</f>
        <v/>
      </c>
      <c r="Z4632" s="48" t="str">
        <f ca="1">IF(AND('Planning Sheet'!DE191='Weeks Plan'!$D$6,'Planning Sheet'!CY191='Weeks Plan'!$G$6),'Planning Sheet'!$CZ191,"")</f>
        <v/>
      </c>
      <c r="AA4632" s="48" t="str">
        <f ca="1">IF(AND('Planning Sheet'!DE191='Weeks Plan'!$D$6,'Planning Sheet'!CY191='Weeks Plan'!$G$6),'Planning Sheet'!$DA191,"")</f>
        <v/>
      </c>
    </row>
    <row r="4633" spans="25:27" x14ac:dyDescent="0.3">
      <c r="Y4633" s="48" t="str">
        <f ca="1">IF(AND('Planning Sheet'!DE192='Weeks Plan'!$D$6,'Planning Sheet'!CY192='Weeks Plan'!$G$6),'Planning Sheet'!$B192,"")</f>
        <v/>
      </c>
      <c r="Z4633" s="48" t="str">
        <f ca="1">IF(AND('Planning Sheet'!DE192='Weeks Plan'!$D$6,'Planning Sheet'!CY192='Weeks Plan'!$G$6),'Planning Sheet'!$CZ192,"")</f>
        <v/>
      </c>
      <c r="AA4633" s="48" t="str">
        <f ca="1">IF(AND('Planning Sheet'!DE192='Weeks Plan'!$D$6,'Planning Sheet'!CY192='Weeks Plan'!$G$6),'Planning Sheet'!$DA192,"")</f>
        <v/>
      </c>
    </row>
    <row r="4634" spans="25:27" x14ac:dyDescent="0.3">
      <c r="Y4634" s="48" t="str">
        <f ca="1">IF(AND('Planning Sheet'!DE193='Weeks Plan'!$D$6,'Planning Sheet'!CY193='Weeks Plan'!$G$6),'Planning Sheet'!$B193,"")</f>
        <v/>
      </c>
      <c r="Z4634" s="48" t="str">
        <f ca="1">IF(AND('Planning Sheet'!DE193='Weeks Plan'!$D$6,'Planning Sheet'!CY193='Weeks Plan'!$G$6),'Planning Sheet'!$CZ193,"")</f>
        <v/>
      </c>
      <c r="AA4634" s="48" t="str">
        <f ca="1">IF(AND('Planning Sheet'!DE193='Weeks Plan'!$D$6,'Planning Sheet'!CY193='Weeks Plan'!$G$6),'Planning Sheet'!$DA193,"")</f>
        <v/>
      </c>
    </row>
    <row r="4635" spans="25:27" x14ac:dyDescent="0.3">
      <c r="Y4635" s="48" t="str">
        <f ca="1">IF(AND('Planning Sheet'!DE194='Weeks Plan'!$D$6,'Planning Sheet'!CY194='Weeks Plan'!$G$6),'Planning Sheet'!$B194,"")</f>
        <v/>
      </c>
      <c r="Z4635" s="48" t="str">
        <f ca="1">IF(AND('Planning Sheet'!DE194='Weeks Plan'!$D$6,'Planning Sheet'!CY194='Weeks Plan'!$G$6),'Planning Sheet'!$CZ194,"")</f>
        <v/>
      </c>
      <c r="AA4635" s="48" t="str">
        <f ca="1">IF(AND('Planning Sheet'!DE194='Weeks Plan'!$D$6,'Planning Sheet'!CY194='Weeks Plan'!$G$6),'Planning Sheet'!$DA194,"")</f>
        <v/>
      </c>
    </row>
    <row r="4636" spans="25:27" x14ac:dyDescent="0.3">
      <c r="Y4636" s="48" t="str">
        <f ca="1">IF(AND('Planning Sheet'!DE195='Weeks Plan'!$D$6,'Planning Sheet'!CY195='Weeks Plan'!$G$6),'Planning Sheet'!$B195,"")</f>
        <v/>
      </c>
      <c r="Z4636" s="48" t="str">
        <f ca="1">IF(AND('Planning Sheet'!DE195='Weeks Plan'!$D$6,'Planning Sheet'!CY195='Weeks Plan'!$G$6),'Planning Sheet'!$CZ195,"")</f>
        <v/>
      </c>
      <c r="AA4636" s="48" t="str">
        <f ca="1">IF(AND('Planning Sheet'!DE195='Weeks Plan'!$D$6,'Planning Sheet'!CY195='Weeks Plan'!$G$6),'Planning Sheet'!$DA195,"")</f>
        <v/>
      </c>
    </row>
    <row r="4637" spans="25:27" x14ac:dyDescent="0.3">
      <c r="Y4637" s="48" t="str">
        <f ca="1">IF(AND('Planning Sheet'!DE196='Weeks Plan'!$D$6,'Planning Sheet'!CY196='Weeks Plan'!$G$6),'Planning Sheet'!$B196,"")</f>
        <v/>
      </c>
      <c r="Z4637" s="48" t="str">
        <f ca="1">IF(AND('Planning Sheet'!DE196='Weeks Plan'!$D$6,'Planning Sheet'!CY196='Weeks Plan'!$G$6),'Planning Sheet'!$CZ196,"")</f>
        <v/>
      </c>
      <c r="AA4637" s="48" t="str">
        <f ca="1">IF(AND('Planning Sheet'!DE196='Weeks Plan'!$D$6,'Planning Sheet'!CY196='Weeks Plan'!$G$6),'Planning Sheet'!$DA196,"")</f>
        <v/>
      </c>
    </row>
    <row r="4638" spans="25:27" x14ac:dyDescent="0.3">
      <c r="Y4638" s="48" t="str">
        <f ca="1">IF(AND('Planning Sheet'!DE197='Weeks Plan'!$D$6,'Planning Sheet'!CY197='Weeks Plan'!$G$6),'Planning Sheet'!$B197,"")</f>
        <v/>
      </c>
      <c r="Z4638" s="48" t="str">
        <f ca="1">IF(AND('Planning Sheet'!DE197='Weeks Plan'!$D$6,'Planning Sheet'!CY197='Weeks Plan'!$G$6),'Planning Sheet'!$CZ197,"")</f>
        <v/>
      </c>
      <c r="AA4638" s="48" t="str">
        <f ca="1">IF(AND('Planning Sheet'!DE197='Weeks Plan'!$D$6,'Planning Sheet'!CY197='Weeks Plan'!$G$6),'Planning Sheet'!$DA197,"")</f>
        <v/>
      </c>
    </row>
    <row r="4639" spans="25:27" x14ac:dyDescent="0.3">
      <c r="Y4639" s="48" t="str">
        <f ca="1">IF(AND('Planning Sheet'!DE198='Weeks Plan'!$D$6,'Planning Sheet'!CY198='Weeks Plan'!$G$6),'Planning Sheet'!$B198,"")</f>
        <v/>
      </c>
      <c r="Z4639" s="48" t="str">
        <f ca="1">IF(AND('Planning Sheet'!DE198='Weeks Plan'!$D$6,'Planning Sheet'!CY198='Weeks Plan'!$G$6),'Planning Sheet'!$CZ198,"")</f>
        <v/>
      </c>
      <c r="AA4639" s="48" t="str">
        <f ca="1">IF(AND('Planning Sheet'!DE198='Weeks Plan'!$D$6,'Planning Sheet'!CY198='Weeks Plan'!$G$6),'Planning Sheet'!$DA198,"")</f>
        <v/>
      </c>
    </row>
    <row r="4640" spans="25:27" x14ac:dyDescent="0.3">
      <c r="Y4640" s="48" t="str">
        <f ca="1">IF(AND('Planning Sheet'!DE199='Weeks Plan'!$D$6,'Planning Sheet'!CY199='Weeks Plan'!$G$6),'Planning Sheet'!$B199,"")</f>
        <v/>
      </c>
      <c r="Z4640" s="48" t="str">
        <f ca="1">IF(AND('Planning Sheet'!DE199='Weeks Plan'!$D$6,'Planning Sheet'!CY199='Weeks Plan'!$G$6),'Planning Sheet'!$CZ199,"")</f>
        <v/>
      </c>
      <c r="AA4640" s="48" t="str">
        <f ca="1">IF(AND('Planning Sheet'!DE199='Weeks Plan'!$D$6,'Planning Sheet'!CY199='Weeks Plan'!$G$6),'Planning Sheet'!$DA199,"")</f>
        <v/>
      </c>
    </row>
    <row r="4641" spans="25:27" x14ac:dyDescent="0.3">
      <c r="Y4641" s="48" t="str">
        <f ca="1">IF(AND('Planning Sheet'!DE200='Weeks Plan'!$D$6,'Planning Sheet'!CY200='Weeks Plan'!$G$6),'Planning Sheet'!$B200,"")</f>
        <v/>
      </c>
      <c r="Z4641" s="48" t="str">
        <f ca="1">IF(AND('Planning Sheet'!DE200='Weeks Plan'!$D$6,'Planning Sheet'!CY200='Weeks Plan'!$G$6),'Planning Sheet'!$CZ200,"")</f>
        <v/>
      </c>
      <c r="AA4641" s="48" t="str">
        <f ca="1">IF(AND('Planning Sheet'!DE200='Weeks Plan'!$D$6,'Planning Sheet'!CY200='Weeks Plan'!$G$6),'Planning Sheet'!$DA200,"")</f>
        <v/>
      </c>
    </row>
    <row r="4642" spans="25:27" x14ac:dyDescent="0.3">
      <c r="Y4642" s="48" t="str">
        <f ca="1">IF(AND('Planning Sheet'!DE201='Weeks Plan'!$D$6,'Planning Sheet'!CY201='Weeks Plan'!$G$6),'Planning Sheet'!$B201,"")</f>
        <v/>
      </c>
      <c r="Z4642" s="48" t="str">
        <f ca="1">IF(AND('Planning Sheet'!DE201='Weeks Plan'!$D$6,'Planning Sheet'!CY201='Weeks Plan'!$G$6),'Planning Sheet'!$CZ201,"")</f>
        <v/>
      </c>
      <c r="AA4642" s="48" t="str">
        <f ca="1">IF(AND('Planning Sheet'!DE201='Weeks Plan'!$D$6,'Planning Sheet'!CY201='Weeks Plan'!$G$6),'Planning Sheet'!$DA201,"")</f>
        <v/>
      </c>
    </row>
    <row r="4643" spans="25:27" x14ac:dyDescent="0.3">
      <c r="Y4643" s="48" t="str">
        <f ca="1">IF(AND('Planning Sheet'!DE202='Weeks Plan'!$D$6,'Planning Sheet'!CY202='Weeks Plan'!$G$6),'Planning Sheet'!$B202,"")</f>
        <v/>
      </c>
      <c r="Z4643" s="48" t="str">
        <f ca="1">IF(AND('Planning Sheet'!DE202='Weeks Plan'!$D$6,'Planning Sheet'!CY202='Weeks Plan'!$G$6),'Planning Sheet'!$CZ202,"")</f>
        <v/>
      </c>
      <c r="AA4643" s="48" t="str">
        <f ca="1">IF(AND('Planning Sheet'!DE202='Weeks Plan'!$D$6,'Planning Sheet'!CY202='Weeks Plan'!$G$6),'Planning Sheet'!$DA202,"")</f>
        <v/>
      </c>
    </row>
    <row r="4644" spans="25:27" x14ac:dyDescent="0.3">
      <c r="Y4644" s="48" t="str">
        <f ca="1">IF(AND('Planning Sheet'!DE203='Weeks Plan'!$D$6,'Planning Sheet'!CY203='Weeks Plan'!$G$6),'Planning Sheet'!$B203,"")</f>
        <v/>
      </c>
      <c r="Z4644" s="48" t="str">
        <f ca="1">IF(AND('Planning Sheet'!DE203='Weeks Plan'!$D$6,'Planning Sheet'!CY203='Weeks Plan'!$G$6),'Planning Sheet'!$CZ203,"")</f>
        <v/>
      </c>
      <c r="AA4644" s="48" t="str">
        <f ca="1">IF(AND('Planning Sheet'!DE203='Weeks Plan'!$D$6,'Planning Sheet'!CY203='Weeks Plan'!$G$6),'Planning Sheet'!$DA203,"")</f>
        <v/>
      </c>
    </row>
    <row r="4645" spans="25:27" x14ac:dyDescent="0.3">
      <c r="Y4645" s="48" t="str">
        <f ca="1">IF(AND('Planning Sheet'!DE204='Weeks Plan'!$D$6,'Planning Sheet'!CY204='Weeks Plan'!$G$6),'Planning Sheet'!$B204,"")</f>
        <v/>
      </c>
      <c r="Z4645" s="48" t="str">
        <f ca="1">IF(AND('Planning Sheet'!DE204='Weeks Plan'!$D$6,'Planning Sheet'!CY204='Weeks Plan'!$G$6),'Planning Sheet'!$CZ204,"")</f>
        <v/>
      </c>
      <c r="AA4645" s="48" t="str">
        <f ca="1">IF(AND('Planning Sheet'!DE204='Weeks Plan'!$D$6,'Planning Sheet'!CY204='Weeks Plan'!$G$6),'Planning Sheet'!$DA204,"")</f>
        <v/>
      </c>
    </row>
    <row r="4646" spans="25:27" x14ac:dyDescent="0.3">
      <c r="Y4646" s="48" t="str">
        <f ca="1">IF(AND('Planning Sheet'!DE205='Weeks Plan'!$D$6,'Planning Sheet'!CY205='Weeks Plan'!$G$6),'Planning Sheet'!$B205,"")</f>
        <v/>
      </c>
      <c r="Z4646" s="48" t="str">
        <f ca="1">IF(AND('Planning Sheet'!DE205='Weeks Plan'!$D$6,'Planning Sheet'!CY205='Weeks Plan'!$G$6),'Planning Sheet'!$CZ205,"")</f>
        <v/>
      </c>
      <c r="AA4646" s="48" t="str">
        <f ca="1">IF(AND('Planning Sheet'!DE205='Weeks Plan'!$D$6,'Planning Sheet'!CY205='Weeks Plan'!$G$6),'Planning Sheet'!$DA205,"")</f>
        <v/>
      </c>
    </row>
    <row r="4647" spans="25:27" x14ac:dyDescent="0.3">
      <c r="Y4647" s="48" t="str">
        <f ca="1">IF(AND('Planning Sheet'!DE206='Weeks Plan'!$D$6,'Planning Sheet'!CY206='Weeks Plan'!$G$6),'Planning Sheet'!$B206,"")</f>
        <v/>
      </c>
      <c r="Z4647" s="48" t="str">
        <f ca="1">IF(AND('Planning Sheet'!DE206='Weeks Plan'!$D$6,'Planning Sheet'!CY206='Weeks Plan'!$G$6),'Planning Sheet'!$CZ206,"")</f>
        <v/>
      </c>
      <c r="AA4647" s="48" t="str">
        <f ca="1">IF(AND('Planning Sheet'!DE206='Weeks Plan'!$D$6,'Planning Sheet'!CY206='Weeks Plan'!$G$6),'Planning Sheet'!$DA206,"")</f>
        <v/>
      </c>
    </row>
    <row r="4648" spans="25:27" x14ac:dyDescent="0.3">
      <c r="Y4648" s="48" t="str">
        <f ca="1">IF(AND('Planning Sheet'!DE207='Weeks Plan'!$D$6,'Planning Sheet'!CY207='Weeks Plan'!$G$6),'Planning Sheet'!$B207,"")</f>
        <v/>
      </c>
      <c r="Z4648" s="48" t="str">
        <f ca="1">IF(AND('Planning Sheet'!DE207='Weeks Plan'!$D$6,'Planning Sheet'!CY207='Weeks Plan'!$G$6),'Planning Sheet'!$CZ207,"")</f>
        <v/>
      </c>
      <c r="AA4648" s="48" t="str">
        <f ca="1">IF(AND('Planning Sheet'!DE207='Weeks Plan'!$D$6,'Planning Sheet'!CY207='Weeks Plan'!$G$6),'Planning Sheet'!$DA207,"")</f>
        <v/>
      </c>
    </row>
    <row r="4649" spans="25:27" x14ac:dyDescent="0.3">
      <c r="Y4649" s="48" t="str">
        <f ca="1">IF(AND('Planning Sheet'!DE208='Weeks Plan'!$D$6,'Planning Sheet'!CY208='Weeks Plan'!$G$6),'Planning Sheet'!$B208,"")</f>
        <v/>
      </c>
      <c r="Z4649" s="48" t="str">
        <f ca="1">IF(AND('Planning Sheet'!DE208='Weeks Plan'!$D$6,'Planning Sheet'!CY208='Weeks Plan'!$G$6),'Planning Sheet'!$CZ208,"")</f>
        <v/>
      </c>
      <c r="AA4649" s="48" t="str">
        <f ca="1">IF(AND('Planning Sheet'!DE208='Weeks Plan'!$D$6,'Planning Sheet'!CY208='Weeks Plan'!$G$6),'Planning Sheet'!$DA208,"")</f>
        <v/>
      </c>
    </row>
    <row r="4650" spans="25:27" x14ac:dyDescent="0.3">
      <c r="Y4650" s="48" t="str">
        <f ca="1">IF(AND('Planning Sheet'!DE209='Weeks Plan'!$D$6,'Planning Sheet'!CY209='Weeks Plan'!$G$6),'Planning Sheet'!$B209,"")</f>
        <v/>
      </c>
      <c r="Z4650" s="48" t="str">
        <f ca="1">IF(AND('Planning Sheet'!DE209='Weeks Plan'!$D$6,'Planning Sheet'!CY209='Weeks Plan'!$G$6),'Planning Sheet'!$CZ209,"")</f>
        <v/>
      </c>
      <c r="AA4650" s="48" t="str">
        <f ca="1">IF(AND('Planning Sheet'!DE209='Weeks Plan'!$D$6,'Planning Sheet'!CY209='Weeks Plan'!$G$6),'Planning Sheet'!$DA209,"")</f>
        <v/>
      </c>
    </row>
    <row r="4651" spans="25:27" x14ac:dyDescent="0.3">
      <c r="Y4651" s="48" t="str">
        <f ca="1">IF(AND('Planning Sheet'!DE210='Weeks Plan'!$D$6,'Planning Sheet'!CY210='Weeks Plan'!$G$6),'Planning Sheet'!$B210,"")</f>
        <v/>
      </c>
      <c r="Z4651" s="48" t="str">
        <f ca="1">IF(AND('Planning Sheet'!DE210='Weeks Plan'!$D$6,'Planning Sheet'!CY210='Weeks Plan'!$G$6),'Planning Sheet'!$CZ210,"")</f>
        <v/>
      </c>
      <c r="AA4651" s="48" t="str">
        <f ca="1">IF(AND('Planning Sheet'!DE210='Weeks Plan'!$D$6,'Planning Sheet'!CY210='Weeks Plan'!$G$6),'Planning Sheet'!$DA210,"")</f>
        <v/>
      </c>
    </row>
    <row r="4652" spans="25:27" x14ac:dyDescent="0.3">
      <c r="Y4652" s="48" t="str">
        <f ca="1">IF(AND('Planning Sheet'!DE211='Weeks Plan'!$D$6,'Planning Sheet'!CY211='Weeks Plan'!$G$6),'Planning Sheet'!$B211,"")</f>
        <v/>
      </c>
      <c r="Z4652" s="48" t="str">
        <f ca="1">IF(AND('Planning Sheet'!DE211='Weeks Plan'!$D$6,'Planning Sheet'!CY211='Weeks Plan'!$G$6),'Planning Sheet'!$CZ211,"")</f>
        <v/>
      </c>
      <c r="AA4652" s="48" t="str">
        <f ca="1">IF(AND('Planning Sheet'!DE211='Weeks Plan'!$D$6,'Planning Sheet'!CY211='Weeks Plan'!$G$6),'Planning Sheet'!$DA211,"")</f>
        <v/>
      </c>
    </row>
    <row r="4653" spans="25:27" x14ac:dyDescent="0.3">
      <c r="Y4653" s="48" t="str">
        <f ca="1">IF(AND('Planning Sheet'!DE212='Weeks Plan'!$D$6,'Planning Sheet'!CY212='Weeks Plan'!$G$6),'Planning Sheet'!$B212,"")</f>
        <v/>
      </c>
      <c r="Z4653" s="48" t="str">
        <f ca="1">IF(AND('Planning Sheet'!DE212='Weeks Plan'!$D$6,'Planning Sheet'!CY212='Weeks Plan'!$G$6),'Planning Sheet'!$CZ212,"")</f>
        <v/>
      </c>
      <c r="AA4653" s="48" t="str">
        <f ca="1">IF(AND('Planning Sheet'!DE212='Weeks Plan'!$D$6,'Planning Sheet'!CY212='Weeks Plan'!$G$6),'Planning Sheet'!$DA212,"")</f>
        <v/>
      </c>
    </row>
    <row r="4654" spans="25:27" x14ac:dyDescent="0.3">
      <c r="Y4654" s="48" t="str">
        <f ca="1">IF(AND('Planning Sheet'!DE213='Weeks Plan'!$D$6,'Planning Sheet'!CY213='Weeks Plan'!$G$6),'Planning Sheet'!$B213,"")</f>
        <v/>
      </c>
      <c r="Z4654" s="48" t="str">
        <f ca="1">IF(AND('Planning Sheet'!DE213='Weeks Plan'!$D$6,'Planning Sheet'!CY213='Weeks Plan'!$G$6),'Planning Sheet'!$CZ213,"")</f>
        <v/>
      </c>
      <c r="AA4654" s="48" t="str">
        <f ca="1">IF(AND('Planning Sheet'!DE213='Weeks Plan'!$D$6,'Planning Sheet'!CY213='Weeks Plan'!$G$6),'Planning Sheet'!$DA213,"")</f>
        <v/>
      </c>
    </row>
    <row r="4655" spans="25:27" x14ac:dyDescent="0.3">
      <c r="Y4655" s="48" t="str">
        <f ca="1">IF(AND('Planning Sheet'!DE214='Weeks Plan'!$D$6,'Planning Sheet'!CY214='Weeks Plan'!$G$6),'Planning Sheet'!$B214,"")</f>
        <v/>
      </c>
      <c r="Z4655" s="48" t="str">
        <f ca="1">IF(AND('Planning Sheet'!DE214='Weeks Plan'!$D$6,'Planning Sheet'!CY214='Weeks Plan'!$G$6),'Planning Sheet'!$CZ214,"")</f>
        <v/>
      </c>
      <c r="AA4655" s="48" t="str">
        <f ca="1">IF(AND('Planning Sheet'!DE214='Weeks Plan'!$D$6,'Planning Sheet'!CY214='Weeks Plan'!$G$6),'Planning Sheet'!$DA214,"")</f>
        <v/>
      </c>
    </row>
    <row r="4656" spans="25:27" x14ac:dyDescent="0.3">
      <c r="Y4656" s="48" t="str">
        <f ca="1">IF(AND('Planning Sheet'!DE215='Weeks Plan'!$D$6,'Planning Sheet'!CY215='Weeks Plan'!$G$6),'Planning Sheet'!$B215,"")</f>
        <v/>
      </c>
      <c r="Z4656" s="48" t="str">
        <f ca="1">IF(AND('Planning Sheet'!DE215='Weeks Plan'!$D$6,'Planning Sheet'!CY215='Weeks Plan'!$G$6),'Planning Sheet'!$CZ215,"")</f>
        <v/>
      </c>
      <c r="AA4656" s="48" t="str">
        <f ca="1">IF(AND('Planning Sheet'!DE215='Weeks Plan'!$D$6,'Planning Sheet'!CY215='Weeks Plan'!$G$6),'Planning Sheet'!$DA215,"")</f>
        <v/>
      </c>
    </row>
    <row r="4657" spans="25:27" x14ac:dyDescent="0.3">
      <c r="Y4657" s="48" t="str">
        <f ca="1">IF(AND('Planning Sheet'!DE216='Weeks Plan'!$D$6,'Planning Sheet'!CY216='Weeks Plan'!$G$6),'Planning Sheet'!$B216,"")</f>
        <v/>
      </c>
      <c r="Z4657" s="48" t="str">
        <f ca="1">IF(AND('Planning Sheet'!DE216='Weeks Plan'!$D$6,'Planning Sheet'!CY216='Weeks Plan'!$G$6),'Planning Sheet'!$CZ216,"")</f>
        <v/>
      </c>
      <c r="AA4657" s="48" t="str">
        <f ca="1">IF(AND('Planning Sheet'!DE216='Weeks Plan'!$D$6,'Planning Sheet'!CY216='Weeks Plan'!$G$6),'Planning Sheet'!$DA216,"")</f>
        <v/>
      </c>
    </row>
    <row r="4658" spans="25:27" x14ac:dyDescent="0.3">
      <c r="Y4658" s="48" t="str">
        <f ca="1">IF(AND('Planning Sheet'!DE217='Weeks Plan'!$D$6,'Planning Sheet'!CY217='Weeks Plan'!$G$6),'Planning Sheet'!$B217,"")</f>
        <v/>
      </c>
      <c r="Z4658" s="48" t="str">
        <f ca="1">IF(AND('Planning Sheet'!DE217='Weeks Plan'!$D$6,'Planning Sheet'!CY217='Weeks Plan'!$G$6),'Planning Sheet'!$CZ217,"")</f>
        <v/>
      </c>
      <c r="AA4658" s="48" t="str">
        <f ca="1">IF(AND('Planning Sheet'!DE217='Weeks Plan'!$D$6,'Planning Sheet'!CY217='Weeks Plan'!$G$6),'Planning Sheet'!$DA217,"")</f>
        <v/>
      </c>
    </row>
    <row r="4659" spans="25:27" x14ac:dyDescent="0.3">
      <c r="Y4659" s="48" t="str">
        <f ca="1">IF(AND('Planning Sheet'!DE218='Weeks Plan'!$D$6,'Planning Sheet'!CY218='Weeks Plan'!$G$6),'Planning Sheet'!$B218,"")</f>
        <v/>
      </c>
      <c r="Z4659" s="48" t="str">
        <f ca="1">IF(AND('Planning Sheet'!DE218='Weeks Plan'!$D$6,'Planning Sheet'!CY218='Weeks Plan'!$G$6),'Planning Sheet'!$CZ218,"")</f>
        <v/>
      </c>
      <c r="AA4659" s="48" t="str">
        <f ca="1">IF(AND('Planning Sheet'!DE218='Weeks Plan'!$D$6,'Planning Sheet'!CY218='Weeks Plan'!$G$6),'Planning Sheet'!$DA218,"")</f>
        <v/>
      </c>
    </row>
    <row r="4660" spans="25:27" x14ac:dyDescent="0.3">
      <c r="Y4660" s="48" t="str">
        <f ca="1">IF(AND('Planning Sheet'!DE219='Weeks Plan'!$D$6,'Planning Sheet'!CY219='Weeks Plan'!$G$6),'Planning Sheet'!$B219,"")</f>
        <v/>
      </c>
      <c r="Z4660" s="48" t="str">
        <f ca="1">IF(AND('Planning Sheet'!DE219='Weeks Plan'!$D$6,'Planning Sheet'!CY219='Weeks Plan'!$G$6),'Planning Sheet'!$CZ219,"")</f>
        <v/>
      </c>
      <c r="AA4660" s="48" t="str">
        <f ca="1">IF(AND('Planning Sheet'!DE219='Weeks Plan'!$D$6,'Planning Sheet'!CY219='Weeks Plan'!$G$6),'Planning Sheet'!$DA219,"")</f>
        <v/>
      </c>
    </row>
    <row r="4661" spans="25:27" x14ac:dyDescent="0.3">
      <c r="Y4661" s="48" t="str">
        <f ca="1">IF(AND('Planning Sheet'!DE220='Weeks Plan'!$D$6,'Planning Sheet'!CY220='Weeks Plan'!$G$6),'Planning Sheet'!$B220,"")</f>
        <v/>
      </c>
      <c r="Z4661" s="48" t="str">
        <f ca="1">IF(AND('Planning Sheet'!DE220='Weeks Plan'!$D$6,'Planning Sheet'!CY220='Weeks Plan'!$G$6),'Planning Sheet'!$CZ220,"")</f>
        <v/>
      </c>
      <c r="AA4661" s="48" t="str">
        <f ca="1">IF(AND('Planning Sheet'!DE220='Weeks Plan'!$D$6,'Planning Sheet'!CY220='Weeks Plan'!$G$6),'Planning Sheet'!$DA220,"")</f>
        <v/>
      </c>
    </row>
    <row r="4662" spans="25:27" x14ac:dyDescent="0.3">
      <c r="Y4662" s="48" t="str">
        <f ca="1">IF(AND('Planning Sheet'!DE221='Weeks Plan'!$D$6,'Planning Sheet'!CY221='Weeks Plan'!$G$6),'Planning Sheet'!$B221,"")</f>
        <v/>
      </c>
      <c r="Z4662" s="48" t="str">
        <f ca="1">IF(AND('Planning Sheet'!DE221='Weeks Plan'!$D$6,'Planning Sheet'!CY221='Weeks Plan'!$G$6),'Planning Sheet'!$CZ221,"")</f>
        <v/>
      </c>
      <c r="AA4662" s="48" t="str">
        <f ca="1">IF(AND('Planning Sheet'!DE221='Weeks Plan'!$D$6,'Planning Sheet'!CY221='Weeks Plan'!$G$6),'Planning Sheet'!$DA221,"")</f>
        <v/>
      </c>
    </row>
    <row r="4663" spans="25:27" x14ac:dyDescent="0.3">
      <c r="Y4663" s="48" t="str">
        <f ca="1">IF(AND('Planning Sheet'!DE222='Weeks Plan'!$D$6,'Planning Sheet'!CY222='Weeks Plan'!$G$6),'Planning Sheet'!$B222,"")</f>
        <v/>
      </c>
      <c r="Z4663" s="48" t="str">
        <f ca="1">IF(AND('Planning Sheet'!DE222='Weeks Plan'!$D$6,'Planning Sheet'!CY222='Weeks Plan'!$G$6),'Planning Sheet'!$CZ222,"")</f>
        <v/>
      </c>
      <c r="AA4663" s="48" t="str">
        <f ca="1">IF(AND('Planning Sheet'!DE222='Weeks Plan'!$D$6,'Planning Sheet'!CY222='Weeks Plan'!$G$6),'Planning Sheet'!$DA222,"")</f>
        <v/>
      </c>
    </row>
    <row r="4664" spans="25:27" x14ac:dyDescent="0.3">
      <c r="Y4664" s="48" t="str">
        <f ca="1">IF(AND('Planning Sheet'!DE223='Weeks Plan'!$D$6,'Planning Sheet'!CY223='Weeks Plan'!$G$6),'Planning Sheet'!$B223,"")</f>
        <v/>
      </c>
      <c r="Z4664" s="48" t="str">
        <f ca="1">IF(AND('Planning Sheet'!DE223='Weeks Plan'!$D$6,'Planning Sheet'!CY223='Weeks Plan'!$G$6),'Planning Sheet'!$CZ223,"")</f>
        <v/>
      </c>
      <c r="AA4664" s="48" t="str">
        <f ca="1">IF(AND('Planning Sheet'!DE223='Weeks Plan'!$D$6,'Planning Sheet'!CY223='Weeks Plan'!$G$6),'Planning Sheet'!$DA223,"")</f>
        <v/>
      </c>
    </row>
    <row r="4665" spans="25:27" x14ac:dyDescent="0.3">
      <c r="Y4665" s="48" t="str">
        <f ca="1">IF(AND('Planning Sheet'!DE224='Weeks Plan'!$D$6,'Planning Sheet'!CY224='Weeks Plan'!$G$6),'Planning Sheet'!$B224,"")</f>
        <v/>
      </c>
      <c r="Z4665" s="48" t="str">
        <f ca="1">IF(AND('Planning Sheet'!DE224='Weeks Plan'!$D$6,'Planning Sheet'!CY224='Weeks Plan'!$G$6),'Planning Sheet'!$CZ224,"")</f>
        <v/>
      </c>
      <c r="AA4665" s="48" t="str">
        <f ca="1">IF(AND('Planning Sheet'!DE224='Weeks Plan'!$D$6,'Planning Sheet'!CY224='Weeks Plan'!$G$6),'Planning Sheet'!$DA224,"")</f>
        <v/>
      </c>
    </row>
    <row r="4666" spans="25:27" x14ac:dyDescent="0.3">
      <c r="Y4666" s="48" t="str">
        <f ca="1">IF(AND('Planning Sheet'!DE225='Weeks Plan'!$D$6,'Planning Sheet'!CY225='Weeks Plan'!$G$6),'Planning Sheet'!$B225,"")</f>
        <v/>
      </c>
      <c r="Z4666" s="48" t="str">
        <f ca="1">IF(AND('Planning Sheet'!DE225='Weeks Plan'!$D$6,'Planning Sheet'!CY225='Weeks Plan'!$G$6),'Planning Sheet'!$CZ225,"")</f>
        <v/>
      </c>
      <c r="AA4666" s="48" t="str">
        <f ca="1">IF(AND('Planning Sheet'!DE225='Weeks Plan'!$D$6,'Planning Sheet'!CY225='Weeks Plan'!$G$6),'Planning Sheet'!$DA225,"")</f>
        <v/>
      </c>
    </row>
    <row r="4667" spans="25:27" x14ac:dyDescent="0.3">
      <c r="Y4667" s="48" t="str">
        <f ca="1">IF(AND('Planning Sheet'!DE226='Weeks Plan'!$D$6,'Planning Sheet'!CY226='Weeks Plan'!$G$6),'Planning Sheet'!$B226,"")</f>
        <v/>
      </c>
      <c r="Z4667" s="48" t="str">
        <f ca="1">IF(AND('Planning Sheet'!DE226='Weeks Plan'!$D$6,'Planning Sheet'!CY226='Weeks Plan'!$G$6),'Planning Sheet'!$CZ226,"")</f>
        <v/>
      </c>
      <c r="AA4667" s="48" t="str">
        <f ca="1">IF(AND('Planning Sheet'!DE226='Weeks Plan'!$D$6,'Planning Sheet'!CY226='Weeks Plan'!$G$6),'Planning Sheet'!$DA226,"")</f>
        <v/>
      </c>
    </row>
    <row r="4668" spans="25:27" x14ac:dyDescent="0.3">
      <c r="Y4668" s="48" t="str">
        <f ca="1">IF(AND('Planning Sheet'!DE227='Weeks Plan'!$D$6,'Planning Sheet'!CY227='Weeks Plan'!$G$6),'Planning Sheet'!$B227,"")</f>
        <v/>
      </c>
      <c r="Z4668" s="48" t="str">
        <f ca="1">IF(AND('Planning Sheet'!DE227='Weeks Plan'!$D$6,'Planning Sheet'!CY227='Weeks Plan'!$G$6),'Planning Sheet'!$CZ227,"")</f>
        <v/>
      </c>
      <c r="AA4668" s="48" t="str">
        <f ca="1">IF(AND('Planning Sheet'!DE227='Weeks Plan'!$D$6,'Planning Sheet'!CY227='Weeks Plan'!$G$6),'Planning Sheet'!$DA227,"")</f>
        <v/>
      </c>
    </row>
    <row r="4669" spans="25:27" x14ac:dyDescent="0.3">
      <c r="Y4669" s="48" t="str">
        <f ca="1">IF(AND('Planning Sheet'!DE228='Weeks Plan'!$D$6,'Planning Sheet'!CY228='Weeks Plan'!$G$6),'Planning Sheet'!$B228,"")</f>
        <v/>
      </c>
      <c r="Z4669" s="48" t="str">
        <f ca="1">IF(AND('Planning Sheet'!DE228='Weeks Plan'!$D$6,'Planning Sheet'!CY228='Weeks Plan'!$G$6),'Planning Sheet'!$CZ228,"")</f>
        <v/>
      </c>
      <c r="AA4669" s="48" t="str">
        <f ca="1">IF(AND('Planning Sheet'!DE228='Weeks Plan'!$D$6,'Planning Sheet'!CY228='Weeks Plan'!$G$6),'Planning Sheet'!$DA228,"")</f>
        <v/>
      </c>
    </row>
    <row r="4670" spans="25:27" x14ac:dyDescent="0.3">
      <c r="Y4670" s="48" t="str">
        <f ca="1">IF(AND('Planning Sheet'!DE229='Weeks Plan'!$D$6,'Planning Sheet'!CY229='Weeks Plan'!$G$6),'Planning Sheet'!$B229,"")</f>
        <v/>
      </c>
      <c r="Z4670" s="48" t="str">
        <f ca="1">IF(AND('Planning Sheet'!DE229='Weeks Plan'!$D$6,'Planning Sheet'!CY229='Weeks Plan'!$G$6),'Planning Sheet'!$CZ229,"")</f>
        <v/>
      </c>
      <c r="AA4670" s="48" t="str">
        <f ca="1">IF(AND('Planning Sheet'!DE229='Weeks Plan'!$D$6,'Planning Sheet'!CY229='Weeks Plan'!$G$6),'Planning Sheet'!$DA229,"")</f>
        <v/>
      </c>
    </row>
    <row r="4671" spans="25:27" x14ac:dyDescent="0.3">
      <c r="Y4671" s="48" t="str">
        <f ca="1">IF(AND('Planning Sheet'!DE230='Weeks Plan'!$D$6,'Planning Sheet'!CY230='Weeks Plan'!$G$6),'Planning Sheet'!$B230,"")</f>
        <v/>
      </c>
      <c r="Z4671" s="48" t="str">
        <f ca="1">IF(AND('Planning Sheet'!DE230='Weeks Plan'!$D$6,'Planning Sheet'!CY230='Weeks Plan'!$G$6),'Planning Sheet'!$CZ230,"")</f>
        <v/>
      </c>
      <c r="AA4671" s="48" t="str">
        <f ca="1">IF(AND('Planning Sheet'!DE230='Weeks Plan'!$D$6,'Planning Sheet'!CY230='Weeks Plan'!$G$6),'Planning Sheet'!$DA230,"")</f>
        <v/>
      </c>
    </row>
    <row r="4672" spans="25:27" x14ac:dyDescent="0.3">
      <c r="Y4672" s="48" t="str">
        <f ca="1">IF(AND('Planning Sheet'!DE231='Weeks Plan'!$D$6,'Planning Sheet'!CY231='Weeks Plan'!$G$6),'Planning Sheet'!$B231,"")</f>
        <v/>
      </c>
      <c r="Z4672" s="48" t="str">
        <f ca="1">IF(AND('Planning Sheet'!DE231='Weeks Plan'!$D$6,'Planning Sheet'!CY231='Weeks Plan'!$G$6),'Planning Sheet'!$CZ231,"")</f>
        <v/>
      </c>
      <c r="AA4672" s="48" t="str">
        <f ca="1">IF(AND('Planning Sheet'!DE231='Weeks Plan'!$D$6,'Planning Sheet'!CY231='Weeks Plan'!$G$6),'Planning Sheet'!$DA231,"")</f>
        <v/>
      </c>
    </row>
    <row r="4673" spans="25:27" x14ac:dyDescent="0.3">
      <c r="Y4673" s="48" t="str">
        <f ca="1">IF(AND('Planning Sheet'!DE232='Weeks Plan'!$D$6,'Planning Sheet'!CY232='Weeks Plan'!$G$6),'Planning Sheet'!$B232,"")</f>
        <v/>
      </c>
      <c r="Z4673" s="48" t="str">
        <f ca="1">IF(AND('Planning Sheet'!DE232='Weeks Plan'!$D$6,'Planning Sheet'!CY232='Weeks Plan'!$G$6),'Planning Sheet'!$CZ232,"")</f>
        <v/>
      </c>
      <c r="AA4673" s="48" t="str">
        <f ca="1">IF(AND('Planning Sheet'!DE232='Weeks Plan'!$D$6,'Planning Sheet'!CY232='Weeks Plan'!$G$6),'Planning Sheet'!$DA232,"")</f>
        <v/>
      </c>
    </row>
    <row r="4674" spans="25:27" x14ac:dyDescent="0.3">
      <c r="Y4674" s="48" t="str">
        <f ca="1">IF(AND('Planning Sheet'!DE233='Weeks Plan'!$D$6,'Planning Sheet'!CY233='Weeks Plan'!$G$6),'Planning Sheet'!$B233,"")</f>
        <v/>
      </c>
      <c r="Z4674" s="48" t="str">
        <f ca="1">IF(AND('Planning Sheet'!DE233='Weeks Plan'!$D$6,'Planning Sheet'!CY233='Weeks Plan'!$G$6),'Planning Sheet'!$CZ233,"")</f>
        <v/>
      </c>
      <c r="AA4674" s="48" t="str">
        <f ca="1">IF(AND('Planning Sheet'!DE233='Weeks Plan'!$D$6,'Planning Sheet'!CY233='Weeks Plan'!$G$6),'Planning Sheet'!$DA233,"")</f>
        <v/>
      </c>
    </row>
    <row r="4675" spans="25:27" x14ac:dyDescent="0.3">
      <c r="Y4675" s="48" t="str">
        <f ca="1">IF(AND('Planning Sheet'!DE234='Weeks Plan'!$D$6,'Planning Sheet'!CY234='Weeks Plan'!$G$6),'Planning Sheet'!$B234,"")</f>
        <v/>
      </c>
      <c r="Z4675" s="48" t="str">
        <f ca="1">IF(AND('Planning Sheet'!DE234='Weeks Plan'!$D$6,'Planning Sheet'!CY234='Weeks Plan'!$G$6),'Planning Sheet'!$CZ234,"")</f>
        <v/>
      </c>
      <c r="AA4675" s="48" t="str">
        <f ca="1">IF(AND('Planning Sheet'!DE234='Weeks Plan'!$D$6,'Planning Sheet'!CY234='Weeks Plan'!$G$6),'Planning Sheet'!$DA234,"")</f>
        <v/>
      </c>
    </row>
    <row r="4676" spans="25:27" x14ac:dyDescent="0.3">
      <c r="Y4676" s="48" t="str">
        <f ca="1">IF(AND('Planning Sheet'!DE235='Weeks Plan'!$D$6,'Planning Sheet'!CY235='Weeks Plan'!$G$6),'Planning Sheet'!$B235,"")</f>
        <v/>
      </c>
      <c r="Z4676" s="48" t="str">
        <f ca="1">IF(AND('Planning Sheet'!DE235='Weeks Plan'!$D$6,'Planning Sheet'!CY235='Weeks Plan'!$G$6),'Planning Sheet'!$CZ235,"")</f>
        <v/>
      </c>
      <c r="AA4676" s="48" t="str">
        <f ca="1">IF(AND('Planning Sheet'!DE235='Weeks Plan'!$D$6,'Planning Sheet'!CY235='Weeks Plan'!$G$6),'Planning Sheet'!$DA235,"")</f>
        <v/>
      </c>
    </row>
    <row r="4677" spans="25:27" x14ac:dyDescent="0.3">
      <c r="Y4677" s="48" t="str">
        <f ca="1">IF(AND('Planning Sheet'!DE236='Weeks Plan'!$D$6,'Planning Sheet'!CY236='Weeks Plan'!$G$6),'Planning Sheet'!$B236,"")</f>
        <v/>
      </c>
      <c r="Z4677" s="48" t="str">
        <f ca="1">IF(AND('Planning Sheet'!DE236='Weeks Plan'!$D$6,'Planning Sheet'!CY236='Weeks Plan'!$G$6),'Planning Sheet'!$CZ236,"")</f>
        <v/>
      </c>
      <c r="AA4677" s="48" t="str">
        <f ca="1">IF(AND('Planning Sheet'!DE236='Weeks Plan'!$D$6,'Planning Sheet'!CY236='Weeks Plan'!$G$6),'Planning Sheet'!$DA236,"")</f>
        <v/>
      </c>
    </row>
    <row r="4678" spans="25:27" x14ac:dyDescent="0.3">
      <c r="Y4678" s="48" t="str">
        <f ca="1">IF(AND('Planning Sheet'!DE237='Weeks Plan'!$D$6,'Planning Sheet'!CY237='Weeks Plan'!$G$6),'Planning Sheet'!$B237,"")</f>
        <v/>
      </c>
      <c r="Z4678" s="48" t="str">
        <f ca="1">IF(AND('Planning Sheet'!DE237='Weeks Plan'!$D$6,'Planning Sheet'!CY237='Weeks Plan'!$G$6),'Planning Sheet'!$CZ237,"")</f>
        <v/>
      </c>
      <c r="AA4678" s="48" t="str">
        <f ca="1">IF(AND('Planning Sheet'!DE237='Weeks Plan'!$D$6,'Planning Sheet'!CY237='Weeks Plan'!$G$6),'Planning Sheet'!$DA237,"")</f>
        <v/>
      </c>
    </row>
    <row r="4679" spans="25:27" x14ac:dyDescent="0.3">
      <c r="Y4679" s="48" t="str">
        <f ca="1">IF(AND('Planning Sheet'!DE238='Weeks Plan'!$D$6,'Planning Sheet'!CY238='Weeks Plan'!$G$6),'Planning Sheet'!$B238,"")</f>
        <v/>
      </c>
      <c r="Z4679" s="48" t="str">
        <f ca="1">IF(AND('Planning Sheet'!DE238='Weeks Plan'!$D$6,'Planning Sheet'!CY238='Weeks Plan'!$G$6),'Planning Sheet'!$CZ238,"")</f>
        <v/>
      </c>
      <c r="AA4679" s="48" t="str">
        <f ca="1">IF(AND('Planning Sheet'!DE238='Weeks Plan'!$D$6,'Planning Sheet'!CY238='Weeks Plan'!$G$6),'Planning Sheet'!$DA238,"")</f>
        <v/>
      </c>
    </row>
    <row r="4680" spans="25:27" x14ac:dyDescent="0.3">
      <c r="Y4680" s="48" t="str">
        <f ca="1">IF(AND('Planning Sheet'!DE239='Weeks Plan'!$D$6,'Planning Sheet'!CY239='Weeks Plan'!$G$6),'Planning Sheet'!$B239,"")</f>
        <v/>
      </c>
      <c r="Z4680" s="48" t="str">
        <f ca="1">IF(AND('Planning Sheet'!DE239='Weeks Plan'!$D$6,'Planning Sheet'!CY239='Weeks Plan'!$G$6),'Planning Sheet'!$CZ239,"")</f>
        <v/>
      </c>
      <c r="AA4680" s="48" t="str">
        <f ca="1">IF(AND('Planning Sheet'!DE239='Weeks Plan'!$D$6,'Planning Sheet'!CY239='Weeks Plan'!$G$6),'Planning Sheet'!$DA239,"")</f>
        <v/>
      </c>
    </row>
    <row r="4681" spans="25:27" x14ac:dyDescent="0.3">
      <c r="Y4681" s="48" t="str">
        <f ca="1">IF(AND('Planning Sheet'!DE240='Weeks Plan'!$D$6,'Planning Sheet'!CY240='Weeks Plan'!$G$6),'Planning Sheet'!$B240,"")</f>
        <v/>
      </c>
      <c r="Z4681" s="48" t="str">
        <f ca="1">IF(AND('Planning Sheet'!DE240='Weeks Plan'!$D$6,'Planning Sheet'!CY240='Weeks Plan'!$G$6),'Planning Sheet'!$CZ240,"")</f>
        <v/>
      </c>
      <c r="AA4681" s="48" t="str">
        <f ca="1">IF(AND('Planning Sheet'!DE240='Weeks Plan'!$D$6,'Planning Sheet'!CY240='Weeks Plan'!$G$6),'Planning Sheet'!$DA240,"")</f>
        <v/>
      </c>
    </row>
    <row r="4682" spans="25:27" x14ac:dyDescent="0.3">
      <c r="Y4682" s="48" t="str">
        <f ca="1">IF(AND('Planning Sheet'!DE241='Weeks Plan'!$D$6,'Planning Sheet'!CY241='Weeks Plan'!$G$6),'Planning Sheet'!$B241,"")</f>
        <v/>
      </c>
      <c r="Z4682" s="48" t="str">
        <f ca="1">IF(AND('Planning Sheet'!DE241='Weeks Plan'!$D$6,'Planning Sheet'!CY241='Weeks Plan'!$G$6),'Planning Sheet'!$CZ241,"")</f>
        <v/>
      </c>
      <c r="AA4682" s="48" t="str">
        <f ca="1">IF(AND('Planning Sheet'!DE241='Weeks Plan'!$D$6,'Planning Sheet'!CY241='Weeks Plan'!$G$6),'Planning Sheet'!$DA241,"")</f>
        <v/>
      </c>
    </row>
    <row r="4683" spans="25:27" x14ac:dyDescent="0.3">
      <c r="Y4683" s="48" t="str">
        <f ca="1">IF(AND('Planning Sheet'!DE242='Weeks Plan'!$D$6,'Planning Sheet'!CY242='Weeks Plan'!$G$6),'Planning Sheet'!$B242,"")</f>
        <v/>
      </c>
      <c r="Z4683" s="48" t="str">
        <f ca="1">IF(AND('Planning Sheet'!DE242='Weeks Plan'!$D$6,'Planning Sheet'!CY242='Weeks Plan'!$G$6),'Planning Sheet'!$CZ242,"")</f>
        <v/>
      </c>
      <c r="AA4683" s="48" t="str">
        <f ca="1">IF(AND('Planning Sheet'!DE242='Weeks Plan'!$D$6,'Planning Sheet'!CY242='Weeks Plan'!$G$6),'Planning Sheet'!$DA242,"")</f>
        <v/>
      </c>
    </row>
    <row r="4684" spans="25:27" x14ac:dyDescent="0.3">
      <c r="Y4684" s="48" t="str">
        <f ca="1">IF(AND('Planning Sheet'!DE243='Weeks Plan'!$D$6,'Planning Sheet'!CY243='Weeks Plan'!$G$6),'Planning Sheet'!$B243,"")</f>
        <v/>
      </c>
      <c r="Z4684" s="48" t="str">
        <f ca="1">IF(AND('Planning Sheet'!DE243='Weeks Plan'!$D$6,'Planning Sheet'!CY243='Weeks Plan'!$G$6),'Planning Sheet'!$CZ243,"")</f>
        <v/>
      </c>
      <c r="AA4684" s="48" t="str">
        <f ca="1">IF(AND('Planning Sheet'!DE243='Weeks Plan'!$D$6,'Planning Sheet'!CY243='Weeks Plan'!$G$6),'Planning Sheet'!$DA243,"")</f>
        <v/>
      </c>
    </row>
    <row r="4685" spans="25:27" x14ac:dyDescent="0.3">
      <c r="Y4685" s="48" t="str">
        <f ca="1">IF(AND('Planning Sheet'!DE244='Weeks Plan'!$D$6,'Planning Sheet'!CY244='Weeks Plan'!$G$6),'Planning Sheet'!$B244,"")</f>
        <v/>
      </c>
      <c r="Z4685" s="48" t="str">
        <f ca="1">IF(AND('Planning Sheet'!DE244='Weeks Plan'!$D$6,'Planning Sheet'!CY244='Weeks Plan'!$G$6),'Planning Sheet'!$CZ244,"")</f>
        <v/>
      </c>
      <c r="AA4685" s="48" t="str">
        <f ca="1">IF(AND('Planning Sheet'!DE244='Weeks Plan'!$D$6,'Planning Sheet'!CY244='Weeks Plan'!$G$6),'Planning Sheet'!$DA244,"")</f>
        <v/>
      </c>
    </row>
    <row r="4686" spans="25:27" x14ac:dyDescent="0.3">
      <c r="Y4686" s="48" t="str">
        <f ca="1">IF(AND('Planning Sheet'!DE245='Weeks Plan'!$D$6,'Planning Sheet'!CY245='Weeks Plan'!$G$6),'Planning Sheet'!$B245,"")</f>
        <v/>
      </c>
      <c r="Z4686" s="48" t="str">
        <f ca="1">IF(AND('Planning Sheet'!DE245='Weeks Plan'!$D$6,'Planning Sheet'!CY245='Weeks Plan'!$G$6),'Planning Sheet'!$CZ245,"")</f>
        <v/>
      </c>
      <c r="AA4686" s="48" t="str">
        <f ca="1">IF(AND('Planning Sheet'!DE245='Weeks Plan'!$D$6,'Planning Sheet'!CY245='Weeks Plan'!$G$6),'Planning Sheet'!$DA245,"")</f>
        <v/>
      </c>
    </row>
    <row r="4687" spans="25:27" x14ac:dyDescent="0.3">
      <c r="Y4687" s="48" t="str">
        <f ca="1">IF(AND('Planning Sheet'!DE246='Weeks Plan'!$D$6,'Planning Sheet'!CY246='Weeks Plan'!$G$6),'Planning Sheet'!$B246,"")</f>
        <v/>
      </c>
      <c r="Z4687" s="48" t="str">
        <f ca="1">IF(AND('Planning Sheet'!DE246='Weeks Plan'!$D$6,'Planning Sheet'!CY246='Weeks Plan'!$G$6),'Planning Sheet'!$CZ246,"")</f>
        <v/>
      </c>
      <c r="AA4687" s="48" t="str">
        <f ca="1">IF(AND('Planning Sheet'!DE246='Weeks Plan'!$D$6,'Planning Sheet'!CY246='Weeks Plan'!$G$6),'Planning Sheet'!$DA246,"")</f>
        <v/>
      </c>
    </row>
    <row r="4688" spans="25:27" x14ac:dyDescent="0.3">
      <c r="Y4688" s="48" t="str">
        <f ca="1">IF(AND('Planning Sheet'!DE247='Weeks Plan'!$D$6,'Planning Sheet'!CY247='Weeks Plan'!$G$6),'Planning Sheet'!$B247,"")</f>
        <v/>
      </c>
      <c r="Z4688" s="48" t="str">
        <f ca="1">IF(AND('Planning Sheet'!DE247='Weeks Plan'!$D$6,'Planning Sheet'!CY247='Weeks Plan'!$G$6),'Planning Sheet'!$CZ247,"")</f>
        <v/>
      </c>
      <c r="AA4688" s="48" t="str">
        <f ca="1">IF(AND('Planning Sheet'!DE247='Weeks Plan'!$D$6,'Planning Sheet'!CY247='Weeks Plan'!$G$6),'Planning Sheet'!$DA247,"")</f>
        <v/>
      </c>
    </row>
    <row r="4689" spans="25:27" x14ac:dyDescent="0.3">
      <c r="Y4689" s="48" t="str">
        <f ca="1">IF(AND('Planning Sheet'!DE248='Weeks Plan'!$D$6,'Planning Sheet'!CY248='Weeks Plan'!$G$6),'Planning Sheet'!$B248,"")</f>
        <v/>
      </c>
      <c r="Z4689" s="48" t="str">
        <f ca="1">IF(AND('Planning Sheet'!DE248='Weeks Plan'!$D$6,'Planning Sheet'!CY248='Weeks Plan'!$G$6),'Planning Sheet'!$CZ248,"")</f>
        <v/>
      </c>
      <c r="AA4689" s="48" t="str">
        <f ca="1">IF(AND('Planning Sheet'!DE248='Weeks Plan'!$D$6,'Planning Sheet'!CY248='Weeks Plan'!$G$6),'Planning Sheet'!$DA248,"")</f>
        <v/>
      </c>
    </row>
    <row r="4690" spans="25:27" x14ac:dyDescent="0.3">
      <c r="Y4690" s="48" t="str">
        <f ca="1">IF(AND('Planning Sheet'!DE249='Weeks Plan'!$D$6,'Planning Sheet'!CY249='Weeks Plan'!$G$6),'Planning Sheet'!$B249,"")</f>
        <v/>
      </c>
      <c r="Z4690" s="48" t="str">
        <f ca="1">IF(AND('Planning Sheet'!DE249='Weeks Plan'!$D$6,'Planning Sheet'!CY249='Weeks Plan'!$G$6),'Planning Sheet'!$CZ249,"")</f>
        <v/>
      </c>
      <c r="AA4690" s="48" t="str">
        <f ca="1">IF(AND('Planning Sheet'!DE249='Weeks Plan'!$D$6,'Planning Sheet'!CY249='Weeks Plan'!$G$6),'Planning Sheet'!$DA249,"")</f>
        <v/>
      </c>
    </row>
    <row r="4691" spans="25:27" x14ac:dyDescent="0.3">
      <c r="Y4691" s="48" t="str">
        <f ca="1">IF(AND('Planning Sheet'!DE250='Weeks Plan'!$D$6,'Planning Sheet'!CY250='Weeks Plan'!$G$6),'Planning Sheet'!$B250,"")</f>
        <v/>
      </c>
      <c r="Z4691" s="48" t="str">
        <f ca="1">IF(AND('Planning Sheet'!DE250='Weeks Plan'!$D$6,'Planning Sheet'!CY250='Weeks Plan'!$G$6),'Planning Sheet'!$CZ250,"")</f>
        <v/>
      </c>
      <c r="AA4691" s="48" t="str">
        <f ca="1">IF(AND('Planning Sheet'!DE250='Weeks Plan'!$D$6,'Planning Sheet'!CY250='Weeks Plan'!$G$6),'Planning Sheet'!$DA250,"")</f>
        <v/>
      </c>
    </row>
    <row r="4692" spans="25:27" x14ac:dyDescent="0.3">
      <c r="Y4692" s="48" t="str">
        <f ca="1">IF(AND('Planning Sheet'!DE251='Weeks Plan'!$D$6,'Planning Sheet'!CY251='Weeks Plan'!$G$6),'Planning Sheet'!$B251,"")</f>
        <v/>
      </c>
      <c r="Z4692" s="48" t="str">
        <f ca="1">IF(AND('Planning Sheet'!DE251='Weeks Plan'!$D$6,'Planning Sheet'!CY251='Weeks Plan'!$G$6),'Planning Sheet'!$CZ251,"")</f>
        <v/>
      </c>
      <c r="AA4692" s="48" t="str">
        <f ca="1">IF(AND('Planning Sheet'!DE251='Weeks Plan'!$D$6,'Planning Sheet'!CY251='Weeks Plan'!$G$6),'Planning Sheet'!$DA251,"")</f>
        <v/>
      </c>
    </row>
    <row r="4693" spans="25:27" x14ac:dyDescent="0.3">
      <c r="Y4693" s="48" t="str">
        <f ca="1">IF(AND('Planning Sheet'!DE252='Weeks Plan'!$D$6,'Planning Sheet'!CY252='Weeks Plan'!$G$6),'Planning Sheet'!$B252,"")</f>
        <v/>
      </c>
      <c r="Z4693" s="48" t="str">
        <f ca="1">IF(AND('Planning Sheet'!DE252='Weeks Plan'!$D$6,'Planning Sheet'!CY252='Weeks Plan'!$G$6),'Planning Sheet'!$CZ252,"")</f>
        <v/>
      </c>
      <c r="AA4693" s="48" t="str">
        <f ca="1">IF(AND('Planning Sheet'!DE252='Weeks Plan'!$D$6,'Planning Sheet'!CY252='Weeks Plan'!$G$6),'Planning Sheet'!$DA252,"")</f>
        <v/>
      </c>
    </row>
    <row r="4694" spans="25:27" x14ac:dyDescent="0.3">
      <c r="Y4694" s="48" t="str">
        <f ca="1">IF(AND('Planning Sheet'!DE253='Weeks Plan'!$D$6,'Planning Sheet'!CY253='Weeks Plan'!$G$6),'Planning Sheet'!$B253,"")</f>
        <v/>
      </c>
      <c r="Z4694" s="48" t="str">
        <f ca="1">IF(AND('Planning Sheet'!DE253='Weeks Plan'!$D$6,'Planning Sheet'!CY253='Weeks Plan'!$G$6),'Planning Sheet'!$CZ253,"")</f>
        <v/>
      </c>
      <c r="AA4694" s="48" t="str">
        <f ca="1">IF(AND('Planning Sheet'!DE253='Weeks Plan'!$D$6,'Planning Sheet'!CY253='Weeks Plan'!$G$6),'Planning Sheet'!$DA253,"")</f>
        <v/>
      </c>
    </row>
    <row r="4695" spans="25:27" x14ac:dyDescent="0.3">
      <c r="Y4695" s="48" t="str">
        <f ca="1">IF(AND('Planning Sheet'!DE254='Weeks Plan'!$D$6,'Planning Sheet'!CY254='Weeks Plan'!$G$6),'Planning Sheet'!$B254,"")</f>
        <v/>
      </c>
      <c r="Z4695" s="48" t="str">
        <f ca="1">IF(AND('Planning Sheet'!DE254='Weeks Plan'!$D$6,'Planning Sheet'!CY254='Weeks Plan'!$G$6),'Planning Sheet'!$CZ254,"")</f>
        <v/>
      </c>
      <c r="AA4695" s="48" t="str">
        <f ca="1">IF(AND('Planning Sheet'!DE254='Weeks Plan'!$D$6,'Planning Sheet'!CY254='Weeks Plan'!$G$6),'Planning Sheet'!$DA254,"")</f>
        <v/>
      </c>
    </row>
    <row r="4696" spans="25:27" x14ac:dyDescent="0.3">
      <c r="Y4696" s="48" t="str">
        <f ca="1">IF(AND('Planning Sheet'!DE255='Weeks Plan'!$D$6,'Planning Sheet'!CY255='Weeks Plan'!$G$6),'Planning Sheet'!$B255,"")</f>
        <v/>
      </c>
      <c r="Z4696" s="48" t="str">
        <f ca="1">IF(AND('Planning Sheet'!DE255='Weeks Plan'!$D$6,'Planning Sheet'!CY255='Weeks Plan'!$G$6),'Planning Sheet'!$CZ255,"")</f>
        <v/>
      </c>
      <c r="AA4696" s="48" t="str">
        <f ca="1">IF(AND('Planning Sheet'!DE255='Weeks Plan'!$D$6,'Planning Sheet'!CY255='Weeks Plan'!$G$6),'Planning Sheet'!$DA255,"")</f>
        <v/>
      </c>
    </row>
    <row r="4697" spans="25:27" x14ac:dyDescent="0.3">
      <c r="Y4697" s="48" t="str">
        <f ca="1">IF(AND('Planning Sheet'!DE256='Weeks Plan'!$D$6,'Planning Sheet'!CY256='Weeks Plan'!$G$6),'Planning Sheet'!$B256,"")</f>
        <v/>
      </c>
      <c r="Z4697" s="48" t="str">
        <f ca="1">IF(AND('Planning Sheet'!DE256='Weeks Plan'!$D$6,'Planning Sheet'!CY256='Weeks Plan'!$G$6),'Planning Sheet'!$CZ256,"")</f>
        <v/>
      </c>
      <c r="AA4697" s="48" t="str">
        <f ca="1">IF(AND('Planning Sheet'!DE256='Weeks Plan'!$D$6,'Planning Sheet'!CY256='Weeks Plan'!$G$6),'Planning Sheet'!$DA256,"")</f>
        <v/>
      </c>
    </row>
    <row r="4698" spans="25:27" x14ac:dyDescent="0.3">
      <c r="Y4698" s="48" t="str">
        <f ca="1">IF(AND('Planning Sheet'!DE257='Weeks Plan'!$D$6,'Planning Sheet'!CY257='Weeks Plan'!$G$6),'Planning Sheet'!$B257,"")</f>
        <v/>
      </c>
      <c r="Z4698" s="48" t="str">
        <f ca="1">IF(AND('Planning Sheet'!DE257='Weeks Plan'!$D$6,'Planning Sheet'!CY257='Weeks Plan'!$G$6),'Planning Sheet'!$CZ257,"")</f>
        <v/>
      </c>
      <c r="AA4698" s="48" t="str">
        <f ca="1">IF(AND('Planning Sheet'!DE257='Weeks Plan'!$D$6,'Planning Sheet'!CY257='Weeks Plan'!$G$6),'Planning Sheet'!$DA257,"")</f>
        <v/>
      </c>
    </row>
    <row r="4699" spans="25:27" x14ac:dyDescent="0.3">
      <c r="Y4699" s="48" t="str">
        <f ca="1">IF(AND('Planning Sheet'!DE258='Weeks Plan'!$D$6,'Planning Sheet'!CY258='Weeks Plan'!$G$6),'Planning Sheet'!$B258,"")</f>
        <v/>
      </c>
      <c r="Z4699" s="48" t="str">
        <f ca="1">IF(AND('Planning Sheet'!DE258='Weeks Plan'!$D$6,'Planning Sheet'!CY258='Weeks Plan'!$G$6),'Planning Sheet'!$CZ258,"")</f>
        <v/>
      </c>
      <c r="AA4699" s="48" t="str">
        <f ca="1">IF(AND('Planning Sheet'!DE258='Weeks Plan'!$D$6,'Planning Sheet'!CY258='Weeks Plan'!$G$6),'Planning Sheet'!$DA258,"")</f>
        <v/>
      </c>
    </row>
    <row r="4700" spans="25:27" x14ac:dyDescent="0.3">
      <c r="Y4700" s="48" t="str">
        <f ca="1">IF(AND('Planning Sheet'!DE259='Weeks Plan'!$D$6,'Planning Sheet'!CY259='Weeks Plan'!$G$6),'Planning Sheet'!$B259,"")</f>
        <v/>
      </c>
      <c r="Z4700" s="48" t="str">
        <f ca="1">IF(AND('Planning Sheet'!DE259='Weeks Plan'!$D$6,'Planning Sheet'!CY259='Weeks Plan'!$G$6),'Planning Sheet'!$CZ259,"")</f>
        <v/>
      </c>
      <c r="AA4700" s="48" t="str">
        <f ca="1">IF(AND('Planning Sheet'!DE259='Weeks Plan'!$D$6,'Planning Sheet'!CY259='Weeks Plan'!$G$6),'Planning Sheet'!$DA259,"")</f>
        <v/>
      </c>
    </row>
    <row r="4701" spans="25:27" x14ac:dyDescent="0.3">
      <c r="Y4701" s="48" t="str">
        <f ca="1">IF(AND('Planning Sheet'!DE260='Weeks Plan'!$D$6,'Planning Sheet'!CY260='Weeks Plan'!$G$6),'Planning Sheet'!$B260,"")</f>
        <v/>
      </c>
      <c r="Z4701" s="48" t="str">
        <f ca="1">IF(AND('Planning Sheet'!DE260='Weeks Plan'!$D$6,'Planning Sheet'!CY260='Weeks Plan'!$G$6),'Planning Sheet'!$CZ260,"")</f>
        <v/>
      </c>
      <c r="AA4701" s="48" t="str">
        <f ca="1">IF(AND('Planning Sheet'!DE260='Weeks Plan'!$D$6,'Planning Sheet'!CY260='Weeks Plan'!$G$6),'Planning Sheet'!$DA260,"")</f>
        <v/>
      </c>
    </row>
    <row r="4702" spans="25:27" x14ac:dyDescent="0.3">
      <c r="Y4702" s="48" t="str">
        <f ca="1">IF(AND('Planning Sheet'!DE261='Weeks Plan'!$D$6,'Planning Sheet'!CY261='Weeks Plan'!$G$6),'Planning Sheet'!$B261,"")</f>
        <v/>
      </c>
      <c r="Z4702" s="48" t="str">
        <f ca="1">IF(AND('Planning Sheet'!DE261='Weeks Plan'!$D$6,'Planning Sheet'!CY261='Weeks Plan'!$G$6),'Planning Sheet'!$CZ261,"")</f>
        <v/>
      </c>
      <c r="AA4702" s="48" t="str">
        <f ca="1">IF(AND('Planning Sheet'!DE261='Weeks Plan'!$D$6,'Planning Sheet'!CY261='Weeks Plan'!$G$6),'Planning Sheet'!$DA261,"")</f>
        <v/>
      </c>
    </row>
    <row r="4703" spans="25:27" x14ac:dyDescent="0.3">
      <c r="Y4703" s="48" t="str">
        <f ca="1">IF(AND('Planning Sheet'!DE262='Weeks Plan'!$D$6,'Planning Sheet'!CY262='Weeks Plan'!$G$6),'Planning Sheet'!$B262,"")</f>
        <v/>
      </c>
      <c r="Z4703" s="48" t="str">
        <f ca="1">IF(AND('Planning Sheet'!DE262='Weeks Plan'!$D$6,'Planning Sheet'!CY262='Weeks Plan'!$G$6),'Planning Sheet'!$CZ262,"")</f>
        <v/>
      </c>
      <c r="AA4703" s="48" t="str">
        <f ca="1">IF(AND('Planning Sheet'!DE262='Weeks Plan'!$D$6,'Planning Sheet'!CY262='Weeks Plan'!$G$6),'Planning Sheet'!$DA262,"")</f>
        <v/>
      </c>
    </row>
    <row r="4704" spans="25:27" x14ac:dyDescent="0.3">
      <c r="Y4704" s="48" t="str">
        <f ca="1">IF(AND('Planning Sheet'!DE263='Weeks Plan'!$D$6,'Planning Sheet'!CY263='Weeks Plan'!$G$6),'Planning Sheet'!$B263,"")</f>
        <v/>
      </c>
      <c r="Z4704" s="48" t="str">
        <f ca="1">IF(AND('Planning Sheet'!DE263='Weeks Plan'!$D$6,'Planning Sheet'!CY263='Weeks Plan'!$G$6),'Planning Sheet'!$CZ263,"")</f>
        <v/>
      </c>
      <c r="AA4704" s="48" t="str">
        <f ca="1">IF(AND('Planning Sheet'!DE263='Weeks Plan'!$D$6,'Planning Sheet'!CY263='Weeks Plan'!$G$6),'Planning Sheet'!$DA263,"")</f>
        <v/>
      </c>
    </row>
    <row r="4705" spans="25:27" x14ac:dyDescent="0.3">
      <c r="Y4705" s="48" t="str">
        <f ca="1">IF(AND('Planning Sheet'!DE264='Weeks Plan'!$D$6,'Planning Sheet'!CY264='Weeks Plan'!$G$6),'Planning Sheet'!$B264,"")</f>
        <v/>
      </c>
      <c r="Z4705" s="48" t="str">
        <f ca="1">IF(AND('Planning Sheet'!DE264='Weeks Plan'!$D$6,'Planning Sheet'!CY264='Weeks Plan'!$G$6),'Planning Sheet'!$CZ264,"")</f>
        <v/>
      </c>
      <c r="AA4705" s="48" t="str">
        <f ca="1">IF(AND('Planning Sheet'!DE264='Weeks Plan'!$D$6,'Planning Sheet'!CY264='Weeks Plan'!$G$6),'Planning Sheet'!$DA264,"")</f>
        <v/>
      </c>
    </row>
    <row r="4706" spans="25:27" x14ac:dyDescent="0.3">
      <c r="Y4706" s="48" t="str">
        <f ca="1">IF(AND('Planning Sheet'!DE265='Weeks Plan'!$D$6,'Planning Sheet'!CY265='Weeks Plan'!$G$6),'Planning Sheet'!$B265,"")</f>
        <v/>
      </c>
      <c r="Z4706" s="48" t="str">
        <f ca="1">IF(AND('Planning Sheet'!DE265='Weeks Plan'!$D$6,'Planning Sheet'!CY265='Weeks Plan'!$G$6),'Planning Sheet'!$CZ265,"")</f>
        <v/>
      </c>
      <c r="AA4706" s="48" t="str">
        <f ca="1">IF(AND('Planning Sheet'!DE265='Weeks Plan'!$D$6,'Planning Sheet'!CY265='Weeks Plan'!$G$6),'Planning Sheet'!$DA265,"")</f>
        <v/>
      </c>
    </row>
    <row r="4707" spans="25:27" x14ac:dyDescent="0.3">
      <c r="Y4707" s="48" t="str">
        <f ca="1">IF(AND('Planning Sheet'!DE266='Weeks Plan'!$D$6,'Planning Sheet'!CY266='Weeks Plan'!$G$6),'Planning Sheet'!$B266,"")</f>
        <v/>
      </c>
      <c r="Z4707" s="48" t="str">
        <f ca="1">IF(AND('Planning Sheet'!DE266='Weeks Plan'!$D$6,'Planning Sheet'!CY266='Weeks Plan'!$G$6),'Planning Sheet'!$CZ266,"")</f>
        <v/>
      </c>
      <c r="AA4707" s="48" t="str">
        <f ca="1">IF(AND('Planning Sheet'!DE266='Weeks Plan'!$D$6,'Planning Sheet'!CY266='Weeks Plan'!$G$6),'Planning Sheet'!$DA266,"")</f>
        <v/>
      </c>
    </row>
    <row r="4708" spans="25:27" x14ac:dyDescent="0.3">
      <c r="Y4708" s="48" t="str">
        <f ca="1">IF(AND('Planning Sheet'!DE267='Weeks Plan'!$D$6,'Planning Sheet'!CY267='Weeks Plan'!$G$6),'Planning Sheet'!$B267,"")</f>
        <v/>
      </c>
      <c r="Z4708" s="48" t="str">
        <f ca="1">IF(AND('Planning Sheet'!DE267='Weeks Plan'!$D$6,'Planning Sheet'!CY267='Weeks Plan'!$G$6),'Planning Sheet'!$CZ267,"")</f>
        <v/>
      </c>
      <c r="AA4708" s="48" t="str">
        <f ca="1">IF(AND('Planning Sheet'!DE267='Weeks Plan'!$D$6,'Planning Sheet'!CY267='Weeks Plan'!$G$6),'Planning Sheet'!$DA267,"")</f>
        <v/>
      </c>
    </row>
    <row r="4709" spans="25:27" x14ac:dyDescent="0.3">
      <c r="Y4709" s="48" t="str">
        <f ca="1">IF(AND('Planning Sheet'!DE268='Weeks Plan'!$D$6,'Planning Sheet'!CY268='Weeks Plan'!$G$6),'Planning Sheet'!$B268,"")</f>
        <v/>
      </c>
      <c r="Z4709" s="48" t="str">
        <f ca="1">IF(AND('Planning Sheet'!DE268='Weeks Plan'!$D$6,'Planning Sheet'!CY268='Weeks Plan'!$G$6),'Planning Sheet'!$CZ268,"")</f>
        <v/>
      </c>
      <c r="AA4709" s="48" t="str">
        <f ca="1">IF(AND('Planning Sheet'!DE268='Weeks Plan'!$D$6,'Planning Sheet'!CY268='Weeks Plan'!$G$6),'Planning Sheet'!$DA268,"")</f>
        <v/>
      </c>
    </row>
    <row r="4710" spans="25:27" x14ac:dyDescent="0.3">
      <c r="Y4710" s="48" t="str">
        <f ca="1">IF(AND('Planning Sheet'!DE269='Weeks Plan'!$D$6,'Planning Sheet'!CY269='Weeks Plan'!$G$6),'Planning Sheet'!$B269,"")</f>
        <v/>
      </c>
      <c r="Z4710" s="48" t="str">
        <f ca="1">IF(AND('Planning Sheet'!DE269='Weeks Plan'!$D$6,'Planning Sheet'!CY269='Weeks Plan'!$G$6),'Planning Sheet'!$CZ269,"")</f>
        <v/>
      </c>
      <c r="AA4710" s="48" t="str">
        <f ca="1">IF(AND('Planning Sheet'!DE269='Weeks Plan'!$D$6,'Planning Sheet'!CY269='Weeks Plan'!$G$6),'Planning Sheet'!$DA269,"")</f>
        <v/>
      </c>
    </row>
    <row r="4711" spans="25:27" x14ac:dyDescent="0.3">
      <c r="Y4711" s="48" t="str">
        <f ca="1">IF(AND('Planning Sheet'!DE270='Weeks Plan'!$D$6,'Planning Sheet'!CY270='Weeks Plan'!$G$6),'Planning Sheet'!$B270,"")</f>
        <v/>
      </c>
      <c r="Z4711" s="48" t="str">
        <f ca="1">IF(AND('Planning Sheet'!DE270='Weeks Plan'!$D$6,'Planning Sheet'!CY270='Weeks Plan'!$G$6),'Planning Sheet'!$CZ270,"")</f>
        <v/>
      </c>
      <c r="AA4711" s="48" t="str">
        <f ca="1">IF(AND('Planning Sheet'!DE270='Weeks Plan'!$D$6,'Planning Sheet'!CY270='Weeks Plan'!$G$6),'Planning Sheet'!$DA270,"")</f>
        <v/>
      </c>
    </row>
    <row r="4712" spans="25:27" x14ac:dyDescent="0.3">
      <c r="Y4712" s="48" t="str">
        <f ca="1">IF(AND('Planning Sheet'!DE271='Weeks Plan'!$D$6,'Planning Sheet'!CY271='Weeks Plan'!$G$6),'Planning Sheet'!$B271,"")</f>
        <v/>
      </c>
      <c r="Z4712" s="48" t="str">
        <f ca="1">IF(AND('Planning Sheet'!DE271='Weeks Plan'!$D$6,'Planning Sheet'!CY271='Weeks Plan'!$G$6),'Planning Sheet'!$CZ271,"")</f>
        <v/>
      </c>
      <c r="AA4712" s="48" t="str">
        <f ca="1">IF(AND('Planning Sheet'!DE271='Weeks Plan'!$D$6,'Planning Sheet'!CY271='Weeks Plan'!$G$6),'Planning Sheet'!$DA271,"")</f>
        <v/>
      </c>
    </row>
    <row r="4713" spans="25:27" x14ac:dyDescent="0.3">
      <c r="Y4713" s="48" t="str">
        <f ca="1">IF(AND('Planning Sheet'!DE272='Weeks Plan'!$D$6,'Planning Sheet'!CY272='Weeks Plan'!$G$6),'Planning Sheet'!$B272,"")</f>
        <v/>
      </c>
      <c r="Z4713" s="48" t="str">
        <f ca="1">IF(AND('Planning Sheet'!DE272='Weeks Plan'!$D$6,'Planning Sheet'!CY272='Weeks Plan'!$G$6),'Planning Sheet'!$CZ272,"")</f>
        <v/>
      </c>
      <c r="AA4713" s="48" t="str">
        <f ca="1">IF(AND('Planning Sheet'!DE272='Weeks Plan'!$D$6,'Planning Sheet'!CY272='Weeks Plan'!$G$6),'Planning Sheet'!$DA272,"")</f>
        <v/>
      </c>
    </row>
    <row r="4714" spans="25:27" x14ac:dyDescent="0.3">
      <c r="Y4714" s="48" t="str">
        <f ca="1">IF(AND('Planning Sheet'!DE273='Weeks Plan'!$D$6,'Planning Sheet'!CY273='Weeks Plan'!$G$6),'Planning Sheet'!$B273,"")</f>
        <v/>
      </c>
      <c r="Z4714" s="48" t="str">
        <f ca="1">IF(AND('Planning Sheet'!DE273='Weeks Plan'!$D$6,'Planning Sheet'!CY273='Weeks Plan'!$G$6),'Planning Sheet'!$CZ273,"")</f>
        <v/>
      </c>
      <c r="AA4714" s="48" t="str">
        <f ca="1">IF(AND('Planning Sheet'!DE273='Weeks Plan'!$D$6,'Planning Sheet'!CY273='Weeks Plan'!$G$6),'Planning Sheet'!$DA273,"")</f>
        <v/>
      </c>
    </row>
    <row r="4715" spans="25:27" x14ac:dyDescent="0.3">
      <c r="Y4715" s="48" t="str">
        <f ca="1">IF(AND('Planning Sheet'!DE274='Weeks Plan'!$D$6,'Planning Sheet'!CY274='Weeks Plan'!$G$6),'Planning Sheet'!$B274,"")</f>
        <v/>
      </c>
      <c r="Z4715" s="48" t="str">
        <f ca="1">IF(AND('Planning Sheet'!DE274='Weeks Plan'!$D$6,'Planning Sheet'!CY274='Weeks Plan'!$G$6),'Planning Sheet'!$CZ274,"")</f>
        <v/>
      </c>
      <c r="AA4715" s="48" t="str">
        <f ca="1">IF(AND('Planning Sheet'!DE274='Weeks Plan'!$D$6,'Planning Sheet'!CY274='Weeks Plan'!$G$6),'Planning Sheet'!$DA274,"")</f>
        <v/>
      </c>
    </row>
    <row r="4716" spans="25:27" x14ac:dyDescent="0.3">
      <c r="Y4716" s="48" t="str">
        <f ca="1">IF(AND('Planning Sheet'!DE275='Weeks Plan'!$D$6,'Planning Sheet'!CY275='Weeks Plan'!$G$6),'Planning Sheet'!$B275,"")</f>
        <v/>
      </c>
      <c r="Z4716" s="48" t="str">
        <f ca="1">IF(AND('Planning Sheet'!DE275='Weeks Plan'!$D$6,'Planning Sheet'!CY275='Weeks Plan'!$G$6),'Planning Sheet'!$CZ275,"")</f>
        <v/>
      </c>
      <c r="AA4716" s="48" t="str">
        <f ca="1">IF(AND('Planning Sheet'!DE275='Weeks Plan'!$D$6,'Planning Sheet'!CY275='Weeks Plan'!$G$6),'Planning Sheet'!$DA275,"")</f>
        <v/>
      </c>
    </row>
    <row r="4717" spans="25:27" x14ac:dyDescent="0.3">
      <c r="Y4717" s="48" t="str">
        <f ca="1">IF(AND('Planning Sheet'!DE276='Weeks Plan'!$D$6,'Planning Sheet'!CY276='Weeks Plan'!$G$6),'Planning Sheet'!$B276,"")</f>
        <v/>
      </c>
      <c r="Z4717" s="48" t="str">
        <f ca="1">IF(AND('Planning Sheet'!DE276='Weeks Plan'!$D$6,'Planning Sheet'!CY276='Weeks Plan'!$G$6),'Planning Sheet'!$CZ276,"")</f>
        <v/>
      </c>
      <c r="AA4717" s="48" t="str">
        <f ca="1">IF(AND('Planning Sheet'!DE276='Weeks Plan'!$D$6,'Planning Sheet'!CY276='Weeks Plan'!$G$6),'Planning Sheet'!$DA276,"")</f>
        <v/>
      </c>
    </row>
    <row r="4718" spans="25:27" x14ac:dyDescent="0.3">
      <c r="Y4718" s="48" t="str">
        <f ca="1">IF(AND('Planning Sheet'!DE277='Weeks Plan'!$D$6,'Planning Sheet'!CY277='Weeks Plan'!$G$6),'Planning Sheet'!$B277,"")</f>
        <v/>
      </c>
      <c r="Z4718" s="48" t="str">
        <f ca="1">IF(AND('Planning Sheet'!DE277='Weeks Plan'!$D$6,'Planning Sheet'!CY277='Weeks Plan'!$G$6),'Planning Sheet'!$CZ277,"")</f>
        <v/>
      </c>
      <c r="AA4718" s="48" t="str">
        <f ca="1">IF(AND('Planning Sheet'!DE277='Weeks Plan'!$D$6,'Planning Sheet'!CY277='Weeks Plan'!$G$6),'Planning Sheet'!$DA277,"")</f>
        <v/>
      </c>
    </row>
    <row r="4719" spans="25:27" x14ac:dyDescent="0.3">
      <c r="Y4719" s="48" t="str">
        <f ca="1">IF(AND('Planning Sheet'!DE278='Weeks Plan'!$D$6,'Planning Sheet'!CY278='Weeks Plan'!$G$6),'Planning Sheet'!$B278,"")</f>
        <v/>
      </c>
      <c r="Z4719" s="48" t="str">
        <f ca="1">IF(AND('Planning Sheet'!DE278='Weeks Plan'!$D$6,'Planning Sheet'!CY278='Weeks Plan'!$G$6),'Planning Sheet'!$CZ278,"")</f>
        <v/>
      </c>
      <c r="AA4719" s="48" t="str">
        <f ca="1">IF(AND('Planning Sheet'!DE278='Weeks Plan'!$D$6,'Planning Sheet'!CY278='Weeks Plan'!$G$6),'Planning Sheet'!$DA278,"")</f>
        <v/>
      </c>
    </row>
    <row r="4720" spans="25:27" x14ac:dyDescent="0.3">
      <c r="Y4720" s="48" t="str">
        <f ca="1">IF(AND('Planning Sheet'!DE279='Weeks Plan'!$D$6,'Planning Sheet'!CY279='Weeks Plan'!$G$6),'Planning Sheet'!$B279,"")</f>
        <v/>
      </c>
      <c r="Z4720" s="48" t="str">
        <f ca="1">IF(AND('Planning Sheet'!DE279='Weeks Plan'!$D$6,'Planning Sheet'!CY279='Weeks Plan'!$G$6),'Planning Sheet'!$CZ279,"")</f>
        <v/>
      </c>
      <c r="AA4720" s="48" t="str">
        <f ca="1">IF(AND('Planning Sheet'!DE279='Weeks Plan'!$D$6,'Planning Sheet'!CY279='Weeks Plan'!$G$6),'Planning Sheet'!$DA279,"")</f>
        <v/>
      </c>
    </row>
    <row r="4721" spans="25:27" x14ac:dyDescent="0.3">
      <c r="Y4721" s="48" t="str">
        <f ca="1">IF(AND('Planning Sheet'!DE280='Weeks Plan'!$D$6,'Planning Sheet'!CY280='Weeks Plan'!$G$6),'Planning Sheet'!$B280,"")</f>
        <v/>
      </c>
      <c r="Z4721" s="48" t="str">
        <f ca="1">IF(AND('Planning Sheet'!DE280='Weeks Plan'!$D$6,'Planning Sheet'!CY280='Weeks Plan'!$G$6),'Planning Sheet'!$CZ280,"")</f>
        <v/>
      </c>
      <c r="AA4721" s="48" t="str">
        <f ca="1">IF(AND('Planning Sheet'!DE280='Weeks Plan'!$D$6,'Planning Sheet'!CY280='Weeks Plan'!$G$6),'Planning Sheet'!$DA280,"")</f>
        <v/>
      </c>
    </row>
    <row r="4722" spans="25:27" x14ac:dyDescent="0.3">
      <c r="Y4722" s="48" t="str">
        <f ca="1">IF(AND('Planning Sheet'!DE281='Weeks Plan'!$D$6,'Planning Sheet'!CY281='Weeks Plan'!$G$6),'Planning Sheet'!$B281,"")</f>
        <v/>
      </c>
      <c r="Z4722" s="48" t="str">
        <f ca="1">IF(AND('Planning Sheet'!DE281='Weeks Plan'!$D$6,'Planning Sheet'!CY281='Weeks Plan'!$G$6),'Planning Sheet'!$CZ281,"")</f>
        <v/>
      </c>
      <c r="AA4722" s="48" t="str">
        <f ca="1">IF(AND('Planning Sheet'!DE281='Weeks Plan'!$D$6,'Planning Sheet'!CY281='Weeks Plan'!$G$6),'Planning Sheet'!$DA281,"")</f>
        <v/>
      </c>
    </row>
    <row r="4723" spans="25:27" x14ac:dyDescent="0.3">
      <c r="Y4723" s="48" t="str">
        <f ca="1">IF(AND('Planning Sheet'!DE282='Weeks Plan'!$D$6,'Planning Sheet'!CY282='Weeks Plan'!$G$6),'Planning Sheet'!$B282,"")</f>
        <v/>
      </c>
      <c r="Z4723" s="48" t="str">
        <f ca="1">IF(AND('Planning Sheet'!DE282='Weeks Plan'!$D$6,'Planning Sheet'!CY282='Weeks Plan'!$G$6),'Planning Sheet'!$CZ282,"")</f>
        <v/>
      </c>
      <c r="AA4723" s="48" t="str">
        <f ca="1">IF(AND('Planning Sheet'!DE282='Weeks Plan'!$D$6,'Planning Sheet'!CY282='Weeks Plan'!$G$6),'Planning Sheet'!$DA282,"")</f>
        <v/>
      </c>
    </row>
    <row r="4724" spans="25:27" x14ac:dyDescent="0.3">
      <c r="Y4724" s="48" t="str">
        <f ca="1">IF(AND('Planning Sheet'!DE283='Weeks Plan'!$D$6,'Planning Sheet'!CY283='Weeks Plan'!$G$6),'Planning Sheet'!$B283,"")</f>
        <v/>
      </c>
      <c r="Z4724" s="48" t="str">
        <f ca="1">IF(AND('Planning Sheet'!DE283='Weeks Plan'!$D$6,'Planning Sheet'!CY283='Weeks Plan'!$G$6),'Planning Sheet'!$CZ283,"")</f>
        <v/>
      </c>
      <c r="AA4724" s="48" t="str">
        <f ca="1">IF(AND('Planning Sheet'!DE283='Weeks Plan'!$D$6,'Planning Sheet'!CY283='Weeks Plan'!$G$6),'Planning Sheet'!$DA283,"")</f>
        <v/>
      </c>
    </row>
    <row r="4725" spans="25:27" x14ac:dyDescent="0.3">
      <c r="Y4725" s="48" t="str">
        <f ca="1">IF(AND('Planning Sheet'!DE284='Weeks Plan'!$D$6,'Planning Sheet'!CY284='Weeks Plan'!$G$6),'Planning Sheet'!$B284,"")</f>
        <v/>
      </c>
      <c r="Z4725" s="48" t="str">
        <f ca="1">IF(AND('Planning Sheet'!DE284='Weeks Plan'!$D$6,'Planning Sheet'!CY284='Weeks Plan'!$G$6),'Planning Sheet'!$CZ284,"")</f>
        <v/>
      </c>
      <c r="AA4725" s="48" t="str">
        <f ca="1">IF(AND('Planning Sheet'!DE284='Weeks Plan'!$D$6,'Planning Sheet'!CY284='Weeks Plan'!$G$6),'Planning Sheet'!$DA284,"")</f>
        <v/>
      </c>
    </row>
    <row r="4726" spans="25:27" x14ac:dyDescent="0.3">
      <c r="Y4726" s="48" t="str">
        <f ca="1">IF(AND('Planning Sheet'!DE285='Weeks Plan'!$D$6,'Planning Sheet'!CY285='Weeks Plan'!$G$6),'Planning Sheet'!$B285,"")</f>
        <v/>
      </c>
      <c r="Z4726" s="48" t="str">
        <f ca="1">IF(AND('Planning Sheet'!DE285='Weeks Plan'!$D$6,'Planning Sheet'!CY285='Weeks Plan'!$G$6),'Planning Sheet'!$CZ285,"")</f>
        <v/>
      </c>
      <c r="AA4726" s="48" t="str">
        <f ca="1">IF(AND('Planning Sheet'!DE285='Weeks Plan'!$D$6,'Planning Sheet'!CY285='Weeks Plan'!$G$6),'Planning Sheet'!$DA285,"")</f>
        <v/>
      </c>
    </row>
    <row r="4727" spans="25:27" x14ac:dyDescent="0.3">
      <c r="Y4727" s="48" t="str">
        <f ca="1">IF(AND('Planning Sheet'!DE286='Weeks Plan'!$D$6,'Planning Sheet'!CY286='Weeks Plan'!$G$6),'Planning Sheet'!$B286,"")</f>
        <v/>
      </c>
      <c r="Z4727" s="48" t="str">
        <f ca="1">IF(AND('Planning Sheet'!DE286='Weeks Plan'!$D$6,'Planning Sheet'!CY286='Weeks Plan'!$G$6),'Planning Sheet'!$CZ286,"")</f>
        <v/>
      </c>
      <c r="AA4727" s="48" t="str">
        <f ca="1">IF(AND('Planning Sheet'!DE286='Weeks Plan'!$D$6,'Planning Sheet'!CY286='Weeks Plan'!$G$6),'Planning Sheet'!$DA286,"")</f>
        <v/>
      </c>
    </row>
    <row r="4728" spans="25:27" x14ac:dyDescent="0.3">
      <c r="Y4728" s="48" t="str">
        <f ca="1">IF(AND('Planning Sheet'!DE287='Weeks Plan'!$D$6,'Planning Sheet'!CY287='Weeks Plan'!$G$6),'Planning Sheet'!$B287,"")</f>
        <v/>
      </c>
      <c r="Z4728" s="48" t="str">
        <f ca="1">IF(AND('Planning Sheet'!DE287='Weeks Plan'!$D$6,'Planning Sheet'!CY287='Weeks Plan'!$G$6),'Planning Sheet'!$CZ287,"")</f>
        <v/>
      </c>
      <c r="AA4728" s="48" t="str">
        <f ca="1">IF(AND('Planning Sheet'!DE287='Weeks Plan'!$D$6,'Planning Sheet'!CY287='Weeks Plan'!$G$6),'Planning Sheet'!$DA287,"")</f>
        <v/>
      </c>
    </row>
    <row r="4729" spans="25:27" x14ac:dyDescent="0.3">
      <c r="Y4729" s="48" t="str">
        <f ca="1">IF(AND('Planning Sheet'!DE288='Weeks Plan'!$D$6,'Planning Sheet'!CY288='Weeks Plan'!$G$6),'Planning Sheet'!$B288,"")</f>
        <v/>
      </c>
      <c r="Z4729" s="48" t="str">
        <f ca="1">IF(AND('Planning Sheet'!DE288='Weeks Plan'!$D$6,'Planning Sheet'!CY288='Weeks Plan'!$G$6),'Planning Sheet'!$CZ288,"")</f>
        <v/>
      </c>
      <c r="AA4729" s="48" t="str">
        <f ca="1">IF(AND('Planning Sheet'!DE288='Weeks Plan'!$D$6,'Planning Sheet'!CY288='Weeks Plan'!$G$6),'Planning Sheet'!$DA288,"")</f>
        <v/>
      </c>
    </row>
    <row r="4730" spans="25:27" x14ac:dyDescent="0.3">
      <c r="Y4730" s="48" t="str">
        <f ca="1">IF(AND('Planning Sheet'!DE289='Weeks Plan'!$D$6,'Planning Sheet'!CY289='Weeks Plan'!$G$6),'Planning Sheet'!$B289,"")</f>
        <v/>
      </c>
      <c r="Z4730" s="48" t="str">
        <f ca="1">IF(AND('Planning Sheet'!DE289='Weeks Plan'!$D$6,'Planning Sheet'!CY289='Weeks Plan'!$G$6),'Planning Sheet'!$CZ289,"")</f>
        <v/>
      </c>
      <c r="AA4730" s="48" t="str">
        <f ca="1">IF(AND('Planning Sheet'!DE289='Weeks Plan'!$D$6,'Planning Sheet'!CY289='Weeks Plan'!$G$6),'Planning Sheet'!$DA289,"")</f>
        <v/>
      </c>
    </row>
    <row r="4731" spans="25:27" x14ac:dyDescent="0.3">
      <c r="Y4731" s="48" t="str">
        <f ca="1">IF(AND('Planning Sheet'!DE290='Weeks Plan'!$D$6,'Planning Sheet'!CY290='Weeks Plan'!$G$6),'Planning Sheet'!$B290,"")</f>
        <v/>
      </c>
      <c r="Z4731" s="48" t="str">
        <f ca="1">IF(AND('Planning Sheet'!DE290='Weeks Plan'!$D$6,'Planning Sheet'!CY290='Weeks Plan'!$G$6),'Planning Sheet'!$CZ290,"")</f>
        <v/>
      </c>
      <c r="AA4731" s="48" t="str">
        <f ca="1">IF(AND('Planning Sheet'!DE290='Weeks Plan'!$D$6,'Planning Sheet'!CY290='Weeks Plan'!$G$6),'Planning Sheet'!$DA290,"")</f>
        <v/>
      </c>
    </row>
    <row r="4732" spans="25:27" x14ac:dyDescent="0.3">
      <c r="Y4732" s="48" t="str">
        <f ca="1">IF(AND('Planning Sheet'!DE291='Weeks Plan'!$D$6,'Planning Sheet'!CY291='Weeks Plan'!$G$6),'Planning Sheet'!$B291,"")</f>
        <v/>
      </c>
      <c r="Z4732" s="48" t="str">
        <f ca="1">IF(AND('Planning Sheet'!DE291='Weeks Plan'!$D$6,'Planning Sheet'!CY291='Weeks Plan'!$G$6),'Planning Sheet'!$CZ291,"")</f>
        <v/>
      </c>
      <c r="AA4732" s="48" t="str">
        <f ca="1">IF(AND('Planning Sheet'!DE291='Weeks Plan'!$D$6,'Planning Sheet'!CY291='Weeks Plan'!$G$6),'Planning Sheet'!$DA291,"")</f>
        <v/>
      </c>
    </row>
    <row r="4733" spans="25:27" x14ac:dyDescent="0.3">
      <c r="Y4733" s="48" t="str">
        <f ca="1">IF(AND('Planning Sheet'!DE292='Weeks Plan'!$D$6,'Planning Sheet'!CY292='Weeks Plan'!$G$6),'Planning Sheet'!$B292,"")</f>
        <v/>
      </c>
      <c r="Z4733" s="48" t="str">
        <f ca="1">IF(AND('Planning Sheet'!DE292='Weeks Plan'!$D$6,'Planning Sheet'!CY292='Weeks Plan'!$G$6),'Planning Sheet'!$CZ292,"")</f>
        <v/>
      </c>
      <c r="AA4733" s="48" t="str">
        <f ca="1">IF(AND('Planning Sheet'!DE292='Weeks Plan'!$D$6,'Planning Sheet'!CY292='Weeks Plan'!$G$6),'Planning Sheet'!$DA292,"")</f>
        <v/>
      </c>
    </row>
    <row r="4734" spans="25:27" x14ac:dyDescent="0.3">
      <c r="Y4734" s="48" t="str">
        <f ca="1">IF(AND('Planning Sheet'!DE293='Weeks Plan'!$D$6,'Planning Sheet'!CY293='Weeks Plan'!$G$6),'Planning Sheet'!$B293,"")</f>
        <v/>
      </c>
      <c r="Z4734" s="48" t="str">
        <f ca="1">IF(AND('Planning Sheet'!DE293='Weeks Plan'!$D$6,'Planning Sheet'!CY293='Weeks Plan'!$G$6),'Planning Sheet'!$CZ293,"")</f>
        <v/>
      </c>
      <c r="AA4734" s="48" t="str">
        <f ca="1">IF(AND('Planning Sheet'!DE293='Weeks Plan'!$D$6,'Planning Sheet'!CY293='Weeks Plan'!$G$6),'Planning Sheet'!$DA293,"")</f>
        <v/>
      </c>
    </row>
    <row r="4735" spans="25:27" x14ac:dyDescent="0.3">
      <c r="Y4735" s="48" t="str">
        <f ca="1">IF(AND('Planning Sheet'!DE294='Weeks Plan'!$D$6,'Planning Sheet'!CY294='Weeks Plan'!$G$6),'Planning Sheet'!$B294,"")</f>
        <v/>
      </c>
      <c r="Z4735" s="48" t="str">
        <f ca="1">IF(AND('Planning Sheet'!DE294='Weeks Plan'!$D$6,'Planning Sheet'!CY294='Weeks Plan'!$G$6),'Planning Sheet'!$CZ294,"")</f>
        <v/>
      </c>
      <c r="AA4735" s="48" t="str">
        <f ca="1">IF(AND('Planning Sheet'!DE294='Weeks Plan'!$D$6,'Planning Sheet'!CY294='Weeks Plan'!$G$6),'Planning Sheet'!$DA294,"")</f>
        <v/>
      </c>
    </row>
    <row r="4736" spans="25:27" x14ac:dyDescent="0.3">
      <c r="Y4736" s="48" t="str">
        <f ca="1">IF(AND('Planning Sheet'!DE295='Weeks Plan'!$D$6,'Planning Sheet'!CY295='Weeks Plan'!$G$6),'Planning Sheet'!$B295,"")</f>
        <v/>
      </c>
      <c r="Z4736" s="48" t="str">
        <f ca="1">IF(AND('Planning Sheet'!DE295='Weeks Plan'!$D$6,'Planning Sheet'!CY295='Weeks Plan'!$G$6),'Planning Sheet'!$CZ295,"")</f>
        <v/>
      </c>
      <c r="AA4736" s="48" t="str">
        <f ca="1">IF(AND('Planning Sheet'!DE295='Weeks Plan'!$D$6,'Planning Sheet'!CY295='Weeks Plan'!$G$6),'Planning Sheet'!$DA295,"")</f>
        <v/>
      </c>
    </row>
    <row r="4737" spans="25:27" x14ac:dyDescent="0.3">
      <c r="Y4737" s="48" t="str">
        <f ca="1">IF(AND('Planning Sheet'!DE296='Weeks Plan'!$D$6,'Planning Sheet'!CY296='Weeks Plan'!$G$6),'Planning Sheet'!$B296,"")</f>
        <v/>
      </c>
      <c r="Z4737" s="48" t="str">
        <f ca="1">IF(AND('Planning Sheet'!DE296='Weeks Plan'!$D$6,'Planning Sheet'!CY296='Weeks Plan'!$G$6),'Planning Sheet'!$CZ296,"")</f>
        <v/>
      </c>
      <c r="AA4737" s="48" t="str">
        <f ca="1">IF(AND('Planning Sheet'!DE296='Weeks Plan'!$D$6,'Planning Sheet'!CY296='Weeks Plan'!$G$6),'Planning Sheet'!$DA296,"")</f>
        <v/>
      </c>
    </row>
    <row r="4738" spans="25:27" x14ac:dyDescent="0.3">
      <c r="Y4738" s="48" t="str">
        <f ca="1">IF(AND('Planning Sheet'!DE297='Weeks Plan'!$D$6,'Planning Sheet'!CY297='Weeks Plan'!$G$6),'Planning Sheet'!$B297,"")</f>
        <v/>
      </c>
      <c r="Z4738" s="48" t="str">
        <f ca="1">IF(AND('Planning Sheet'!DE297='Weeks Plan'!$D$6,'Planning Sheet'!CY297='Weeks Plan'!$G$6),'Planning Sheet'!$CZ297,"")</f>
        <v/>
      </c>
      <c r="AA4738" s="48" t="str">
        <f ca="1">IF(AND('Planning Sheet'!DE297='Weeks Plan'!$D$6,'Planning Sheet'!CY297='Weeks Plan'!$G$6),'Planning Sheet'!$DA297,"")</f>
        <v/>
      </c>
    </row>
    <row r="4739" spans="25:27" x14ac:dyDescent="0.3">
      <c r="Y4739" s="48" t="str">
        <f ca="1">IF(AND('Planning Sheet'!DE298='Weeks Plan'!$D$6,'Planning Sheet'!CY298='Weeks Plan'!$G$6),'Planning Sheet'!$B298,"")</f>
        <v/>
      </c>
      <c r="Z4739" s="48" t="str">
        <f ca="1">IF(AND('Planning Sheet'!DE298='Weeks Plan'!$D$6,'Planning Sheet'!CY298='Weeks Plan'!$G$6),'Planning Sheet'!$CZ298,"")</f>
        <v/>
      </c>
      <c r="AA4739" s="48" t="str">
        <f ca="1">IF(AND('Planning Sheet'!DE298='Weeks Plan'!$D$6,'Planning Sheet'!CY298='Weeks Plan'!$G$6),'Planning Sheet'!$DA298,"")</f>
        <v/>
      </c>
    </row>
    <row r="4740" spans="25:27" x14ac:dyDescent="0.3">
      <c r="Y4740" s="48" t="str">
        <f ca="1">IF(AND('Planning Sheet'!DE299='Weeks Plan'!$D$6,'Planning Sheet'!CY299='Weeks Plan'!$G$6),'Planning Sheet'!$B299,"")</f>
        <v/>
      </c>
      <c r="Z4740" s="48" t="str">
        <f ca="1">IF(AND('Planning Sheet'!DE299='Weeks Plan'!$D$6,'Planning Sheet'!CY299='Weeks Plan'!$G$6),'Planning Sheet'!$CZ299,"")</f>
        <v/>
      </c>
      <c r="AA4740" s="48" t="str">
        <f ca="1">IF(AND('Planning Sheet'!DE299='Weeks Plan'!$D$6,'Planning Sheet'!CY299='Weeks Plan'!$G$6),'Planning Sheet'!$DA299,"")</f>
        <v/>
      </c>
    </row>
    <row r="4741" spans="25:27" x14ac:dyDescent="0.3">
      <c r="Y4741" s="48" t="str">
        <f ca="1">IF(AND('Planning Sheet'!DE300='Weeks Plan'!$D$6,'Planning Sheet'!CY300='Weeks Plan'!$G$6),'Planning Sheet'!$B300,"")</f>
        <v/>
      </c>
      <c r="Z4741" s="48" t="str">
        <f ca="1">IF(AND('Planning Sheet'!DE300='Weeks Plan'!$D$6,'Planning Sheet'!CY300='Weeks Plan'!$G$6),'Planning Sheet'!$CZ300,"")</f>
        <v/>
      </c>
      <c r="AA4741" s="48" t="str">
        <f ca="1">IF(AND('Planning Sheet'!DE300='Weeks Plan'!$D$6,'Planning Sheet'!CY300='Weeks Plan'!$G$6),'Planning Sheet'!$DA300,"")</f>
        <v/>
      </c>
    </row>
    <row r="4742" spans="25:27" x14ac:dyDescent="0.3">
      <c r="Y4742" s="48" t="str">
        <f ca="1">IF(AND('Planning Sheet'!DE301='Weeks Plan'!$D$6,'Planning Sheet'!CY301='Weeks Plan'!$G$6),'Planning Sheet'!$B301,"")</f>
        <v/>
      </c>
      <c r="Z4742" s="48" t="str">
        <f ca="1">IF(AND('Planning Sheet'!DE301='Weeks Plan'!$D$6,'Planning Sheet'!CY301='Weeks Plan'!$G$6),'Planning Sheet'!$CZ301,"")</f>
        <v/>
      </c>
      <c r="AA4742" s="48" t="str">
        <f ca="1">IF(AND('Planning Sheet'!DE301='Weeks Plan'!$D$6,'Planning Sheet'!CY301='Weeks Plan'!$G$6),'Planning Sheet'!$DA301,"")</f>
        <v/>
      </c>
    </row>
    <row r="4743" spans="25:27" x14ac:dyDescent="0.3">
      <c r="Y4743" s="48" t="str">
        <f ca="1">IF(AND('Planning Sheet'!DE302='Weeks Plan'!$D$6,'Planning Sheet'!CY302='Weeks Plan'!$G$6),'Planning Sheet'!$B302,"")</f>
        <v/>
      </c>
      <c r="Z4743" s="48" t="str">
        <f ca="1">IF(AND('Planning Sheet'!DE302='Weeks Plan'!$D$6,'Planning Sheet'!CY302='Weeks Plan'!$G$6),'Planning Sheet'!$CZ302,"")</f>
        <v/>
      </c>
      <c r="AA4743" s="48" t="str">
        <f ca="1">IF(AND('Planning Sheet'!DE302='Weeks Plan'!$D$6,'Planning Sheet'!CY302='Weeks Plan'!$G$6),'Planning Sheet'!$DA302,"")</f>
        <v/>
      </c>
    </row>
    <row r="4744" spans="25:27" x14ac:dyDescent="0.3">
      <c r="Y4744" s="48" t="str">
        <f ca="1">IF(AND('Planning Sheet'!DE303='Weeks Plan'!$D$6,'Planning Sheet'!CY303='Weeks Plan'!$G$6),'Planning Sheet'!$B303,"")</f>
        <v/>
      </c>
      <c r="Z4744" s="48" t="str">
        <f ca="1">IF(AND('Planning Sheet'!DE303='Weeks Plan'!$D$6,'Planning Sheet'!CY303='Weeks Plan'!$G$6),'Planning Sheet'!$CZ303,"")</f>
        <v/>
      </c>
      <c r="AA4744" s="48" t="str">
        <f ca="1">IF(AND('Planning Sheet'!DE303='Weeks Plan'!$D$6,'Planning Sheet'!CY303='Weeks Plan'!$G$6),'Planning Sheet'!$DA303,"")</f>
        <v/>
      </c>
    </row>
    <row r="4745" spans="25:27" x14ac:dyDescent="0.3">
      <c r="Y4745" s="48" t="str">
        <f ca="1">IF(AND('Planning Sheet'!DE304='Weeks Plan'!$D$6,'Planning Sheet'!CY304='Weeks Plan'!$G$6),'Planning Sheet'!$B304,"")</f>
        <v/>
      </c>
      <c r="Z4745" s="48" t="str">
        <f ca="1">IF(AND('Planning Sheet'!DE304='Weeks Plan'!$D$6,'Planning Sheet'!CY304='Weeks Plan'!$G$6),'Planning Sheet'!$CZ304,"")</f>
        <v/>
      </c>
      <c r="AA4745" s="48" t="str">
        <f ca="1">IF(AND('Planning Sheet'!DE304='Weeks Plan'!$D$6,'Planning Sheet'!CY304='Weeks Plan'!$G$6),'Planning Sheet'!$DA304,"")</f>
        <v/>
      </c>
    </row>
    <row r="4746" spans="25:27" x14ac:dyDescent="0.3">
      <c r="Y4746" s="48" t="str">
        <f ca="1">IF(AND('Planning Sheet'!DE305='Weeks Plan'!$D$6,'Planning Sheet'!CY305='Weeks Plan'!$G$6),'Planning Sheet'!$B305,"")</f>
        <v/>
      </c>
      <c r="Z4746" s="48" t="str">
        <f ca="1">IF(AND('Planning Sheet'!DE305='Weeks Plan'!$D$6,'Planning Sheet'!CY305='Weeks Plan'!$G$6),'Planning Sheet'!$CZ305,"")</f>
        <v/>
      </c>
      <c r="AA4746" s="48" t="str">
        <f ca="1">IF(AND('Planning Sheet'!DE305='Weeks Plan'!$D$6,'Planning Sheet'!CY305='Weeks Plan'!$G$6),'Planning Sheet'!$DA305,"")</f>
        <v/>
      </c>
    </row>
    <row r="4747" spans="25:27" x14ac:dyDescent="0.3">
      <c r="Y4747" s="48" t="str">
        <f ca="1">IF(AND('Planning Sheet'!DE306='Weeks Plan'!$D$6,'Planning Sheet'!CY306='Weeks Plan'!$G$6),'Planning Sheet'!$B306,"")</f>
        <v/>
      </c>
      <c r="Z4747" s="48" t="str">
        <f ca="1">IF(AND('Planning Sheet'!DE306='Weeks Plan'!$D$6,'Planning Sheet'!CY306='Weeks Plan'!$G$6),'Planning Sheet'!$CZ306,"")</f>
        <v/>
      </c>
      <c r="AA4747" s="48" t="str">
        <f ca="1">IF(AND('Planning Sheet'!DE306='Weeks Plan'!$D$6,'Planning Sheet'!CY306='Weeks Plan'!$G$6),'Planning Sheet'!$DA306,"")</f>
        <v/>
      </c>
    </row>
    <row r="4748" spans="25:27" x14ac:dyDescent="0.3">
      <c r="Y4748" s="48" t="str">
        <f ca="1">IF(AND('Planning Sheet'!DE307='Weeks Plan'!$D$6,'Planning Sheet'!CY307='Weeks Plan'!$G$6),'Planning Sheet'!$B307,"")</f>
        <v/>
      </c>
      <c r="Z4748" s="48" t="str">
        <f ca="1">IF(AND('Planning Sheet'!DE307='Weeks Plan'!$D$6,'Planning Sheet'!CY307='Weeks Plan'!$G$6),'Planning Sheet'!$CZ307,"")</f>
        <v/>
      </c>
      <c r="AA4748" s="48" t="str">
        <f ca="1">IF(AND('Planning Sheet'!DE307='Weeks Plan'!$D$6,'Planning Sheet'!CY307='Weeks Plan'!$G$6),'Planning Sheet'!$DA307,"")</f>
        <v/>
      </c>
    </row>
    <row r="4749" spans="25:27" x14ac:dyDescent="0.3">
      <c r="Y4749" s="48" t="str">
        <f ca="1">IF(AND('Planning Sheet'!DE308='Weeks Plan'!$D$6,'Planning Sheet'!CY308='Weeks Plan'!$G$6),'Planning Sheet'!$B308,"")</f>
        <v/>
      </c>
      <c r="Z4749" s="48" t="str">
        <f ca="1">IF(AND('Planning Sheet'!DE308='Weeks Plan'!$D$6,'Planning Sheet'!CY308='Weeks Plan'!$G$6),'Planning Sheet'!$CZ308,"")</f>
        <v/>
      </c>
      <c r="AA4749" s="48" t="str">
        <f ca="1">IF(AND('Planning Sheet'!DE308='Weeks Plan'!$D$6,'Planning Sheet'!CY308='Weeks Plan'!$G$6),'Planning Sheet'!$DA308,"")</f>
        <v/>
      </c>
    </row>
    <row r="4750" spans="25:27" x14ac:dyDescent="0.3">
      <c r="Y4750" s="48" t="str">
        <f ca="1">IF(AND('Planning Sheet'!DE309='Weeks Plan'!$D$6,'Planning Sheet'!CY309='Weeks Plan'!$G$6),'Planning Sheet'!$B309,"")</f>
        <v/>
      </c>
      <c r="Z4750" s="48" t="str">
        <f ca="1">IF(AND('Planning Sheet'!DE309='Weeks Plan'!$D$6,'Planning Sheet'!CY309='Weeks Plan'!$G$6),'Planning Sheet'!$CZ309,"")</f>
        <v/>
      </c>
      <c r="AA4750" s="48" t="str">
        <f ca="1">IF(AND('Planning Sheet'!DE309='Weeks Plan'!$D$6,'Planning Sheet'!CY309='Weeks Plan'!$G$6),'Planning Sheet'!$DA309,"")</f>
        <v/>
      </c>
    </row>
    <row r="4751" spans="25:27" x14ac:dyDescent="0.3">
      <c r="Y4751" s="48" t="str">
        <f ca="1">IF(AND('Planning Sheet'!DE310='Weeks Plan'!$D$6,'Planning Sheet'!CY310='Weeks Plan'!$G$6),'Planning Sheet'!$B310,"")</f>
        <v/>
      </c>
      <c r="Z4751" s="48" t="str">
        <f ca="1">IF(AND('Planning Sheet'!DE310='Weeks Plan'!$D$6,'Planning Sheet'!CY310='Weeks Plan'!$G$6),'Planning Sheet'!$CZ310,"")</f>
        <v/>
      </c>
      <c r="AA4751" s="48" t="str">
        <f ca="1">IF(AND('Planning Sheet'!DE310='Weeks Plan'!$D$6,'Planning Sheet'!CY310='Weeks Plan'!$G$6),'Planning Sheet'!$DA310,"")</f>
        <v/>
      </c>
    </row>
    <row r="4752" spans="25:27" x14ac:dyDescent="0.3">
      <c r="Y4752" s="48" t="str">
        <f ca="1">IF(AND('Planning Sheet'!DE311='Weeks Plan'!$D$6,'Planning Sheet'!CY311='Weeks Plan'!$G$6),'Planning Sheet'!$B311,"")</f>
        <v/>
      </c>
      <c r="Z4752" s="48" t="str">
        <f ca="1">IF(AND('Planning Sheet'!DE311='Weeks Plan'!$D$6,'Planning Sheet'!CY311='Weeks Plan'!$G$6),'Planning Sheet'!$CZ311,"")</f>
        <v/>
      </c>
      <c r="AA4752" s="48" t="str">
        <f ca="1">IF(AND('Planning Sheet'!DE311='Weeks Plan'!$D$6,'Planning Sheet'!CY311='Weeks Plan'!$G$6),'Planning Sheet'!$DA311,"")</f>
        <v/>
      </c>
    </row>
    <row r="4753" spans="25:27" x14ac:dyDescent="0.3">
      <c r="Y4753" s="48" t="str">
        <f ca="1">IF(AND('Planning Sheet'!DE312='Weeks Plan'!$D$6,'Planning Sheet'!CY312='Weeks Plan'!$G$6),'Planning Sheet'!$B312,"")</f>
        <v/>
      </c>
      <c r="Z4753" s="48" t="str">
        <f ca="1">IF(AND('Planning Sheet'!DE312='Weeks Plan'!$D$6,'Planning Sheet'!CY312='Weeks Plan'!$G$6),'Planning Sheet'!$CZ312,"")</f>
        <v/>
      </c>
      <c r="AA4753" s="48" t="str">
        <f ca="1">IF(AND('Planning Sheet'!DE312='Weeks Plan'!$D$6,'Planning Sheet'!CY312='Weeks Plan'!$G$6),'Planning Sheet'!$DA312,"")</f>
        <v/>
      </c>
    </row>
    <row r="4754" spans="25:27" x14ac:dyDescent="0.3">
      <c r="Y4754" s="48" t="str">
        <f ca="1">IF(AND('Planning Sheet'!DE313='Weeks Plan'!$D$6,'Planning Sheet'!CY313='Weeks Plan'!$G$6),'Planning Sheet'!$B313,"")</f>
        <v/>
      </c>
      <c r="Z4754" s="48" t="str">
        <f ca="1">IF(AND('Planning Sheet'!DE313='Weeks Plan'!$D$6,'Planning Sheet'!CY313='Weeks Plan'!$G$6),'Planning Sheet'!$CZ313,"")</f>
        <v/>
      </c>
      <c r="AA4754" s="48" t="str">
        <f ca="1">IF(AND('Planning Sheet'!DE313='Weeks Plan'!$D$6,'Planning Sheet'!CY313='Weeks Plan'!$G$6),'Planning Sheet'!$DA313,"")</f>
        <v/>
      </c>
    </row>
    <row r="4755" spans="25:27" x14ac:dyDescent="0.3">
      <c r="Y4755" s="48" t="str">
        <f ca="1">IF(AND('Planning Sheet'!DE314='Weeks Plan'!$D$6,'Planning Sheet'!CY314='Weeks Plan'!$G$6),'Planning Sheet'!$B314,"")</f>
        <v/>
      </c>
      <c r="Z4755" s="48" t="str">
        <f ca="1">IF(AND('Planning Sheet'!DE314='Weeks Plan'!$D$6,'Planning Sheet'!CY314='Weeks Plan'!$G$6),'Planning Sheet'!$CZ314,"")</f>
        <v/>
      </c>
      <c r="AA4755" s="48" t="str">
        <f ca="1">IF(AND('Planning Sheet'!DE314='Weeks Plan'!$D$6,'Planning Sheet'!CY314='Weeks Plan'!$G$6),'Planning Sheet'!$DA314,"")</f>
        <v/>
      </c>
    </row>
    <row r="4756" spans="25:27" x14ac:dyDescent="0.3">
      <c r="Y4756" s="48" t="str">
        <f ca="1">IF(AND('Planning Sheet'!DE315='Weeks Plan'!$D$6,'Planning Sheet'!CY315='Weeks Plan'!$G$6),'Planning Sheet'!$B315,"")</f>
        <v/>
      </c>
      <c r="Z4756" s="48" t="str">
        <f ca="1">IF(AND('Planning Sheet'!DE315='Weeks Plan'!$D$6,'Planning Sheet'!CY315='Weeks Plan'!$G$6),'Planning Sheet'!$CZ315,"")</f>
        <v/>
      </c>
      <c r="AA4756" s="48" t="str">
        <f ca="1">IF(AND('Planning Sheet'!DE315='Weeks Plan'!$D$6,'Planning Sheet'!CY315='Weeks Plan'!$G$6),'Planning Sheet'!$DA315,"")</f>
        <v/>
      </c>
    </row>
    <row r="4757" spans="25:27" x14ac:dyDescent="0.3">
      <c r="Y4757" s="48" t="str">
        <f ca="1">IF(AND('Planning Sheet'!DE316='Weeks Plan'!$D$6,'Planning Sheet'!CY316='Weeks Plan'!$G$6),'Planning Sheet'!$B316,"")</f>
        <v/>
      </c>
      <c r="Z4757" s="48" t="str">
        <f ca="1">IF(AND('Planning Sheet'!DE316='Weeks Plan'!$D$6,'Planning Sheet'!CY316='Weeks Plan'!$G$6),'Planning Sheet'!$CZ316,"")</f>
        <v/>
      </c>
      <c r="AA4757" s="48" t="str">
        <f ca="1">IF(AND('Planning Sheet'!DE316='Weeks Plan'!$D$6,'Planning Sheet'!CY316='Weeks Plan'!$G$6),'Planning Sheet'!$DA316,"")</f>
        <v/>
      </c>
    </row>
    <row r="4758" spans="25:27" x14ac:dyDescent="0.3">
      <c r="Y4758" s="48" t="str">
        <f ca="1">IF(AND('Planning Sheet'!DE317='Weeks Plan'!$D$6,'Planning Sheet'!CY317='Weeks Plan'!$G$6),'Planning Sheet'!$B317,"")</f>
        <v/>
      </c>
      <c r="Z4758" s="48" t="str">
        <f ca="1">IF(AND('Planning Sheet'!DE317='Weeks Plan'!$D$6,'Planning Sheet'!CY317='Weeks Plan'!$G$6),'Planning Sheet'!$CZ317,"")</f>
        <v/>
      </c>
      <c r="AA4758" s="48" t="str">
        <f ca="1">IF(AND('Planning Sheet'!DE317='Weeks Plan'!$D$6,'Planning Sheet'!CY317='Weeks Plan'!$G$6),'Planning Sheet'!$DA317,"")</f>
        <v/>
      </c>
    </row>
    <row r="4759" spans="25:27" x14ac:dyDescent="0.3">
      <c r="Y4759" s="48" t="str">
        <f ca="1">IF(AND('Planning Sheet'!DE318='Weeks Plan'!$D$6,'Planning Sheet'!CY318='Weeks Plan'!$G$6),'Planning Sheet'!$B318,"")</f>
        <v/>
      </c>
      <c r="Z4759" s="48" t="str">
        <f ca="1">IF(AND('Planning Sheet'!DE318='Weeks Plan'!$D$6,'Planning Sheet'!CY318='Weeks Plan'!$G$6),'Planning Sheet'!$CZ318,"")</f>
        <v/>
      </c>
      <c r="AA4759" s="48" t="str">
        <f ca="1">IF(AND('Planning Sheet'!DE318='Weeks Plan'!$D$6,'Planning Sheet'!CY318='Weeks Plan'!$G$6),'Planning Sheet'!$DA318,"")</f>
        <v/>
      </c>
    </row>
    <row r="4760" spans="25:27" x14ac:dyDescent="0.3">
      <c r="Y4760" s="48" t="str">
        <f ca="1">IF(AND('Planning Sheet'!DE319='Weeks Plan'!$D$6,'Planning Sheet'!CY319='Weeks Plan'!$G$6),'Planning Sheet'!$B319,"")</f>
        <v/>
      </c>
      <c r="Z4760" s="48" t="str">
        <f ca="1">IF(AND('Planning Sheet'!DE319='Weeks Plan'!$D$6,'Planning Sheet'!CY319='Weeks Plan'!$G$6),'Planning Sheet'!$CZ319,"")</f>
        <v/>
      </c>
      <c r="AA4760" s="48" t="str">
        <f ca="1">IF(AND('Planning Sheet'!DE319='Weeks Plan'!$D$6,'Planning Sheet'!CY319='Weeks Plan'!$G$6),'Planning Sheet'!$DA319,"")</f>
        <v/>
      </c>
    </row>
    <row r="4761" spans="25:27" x14ac:dyDescent="0.3">
      <c r="Y4761" s="48" t="str">
        <f ca="1">IF(AND('Planning Sheet'!DE320='Weeks Plan'!$D$6,'Planning Sheet'!CY320='Weeks Plan'!$G$6),'Planning Sheet'!$B320,"")</f>
        <v/>
      </c>
      <c r="Z4761" s="48" t="str">
        <f ca="1">IF(AND('Planning Sheet'!DE320='Weeks Plan'!$D$6,'Planning Sheet'!CY320='Weeks Plan'!$G$6),'Planning Sheet'!$CZ320,"")</f>
        <v/>
      </c>
      <c r="AA4761" s="48" t="str">
        <f ca="1">IF(AND('Planning Sheet'!DE320='Weeks Plan'!$D$6,'Planning Sheet'!CY320='Weeks Plan'!$G$6),'Planning Sheet'!$DA320,"")</f>
        <v/>
      </c>
    </row>
    <row r="4762" spans="25:27" x14ac:dyDescent="0.3">
      <c r="Y4762" s="48" t="str">
        <f ca="1">IF(AND('Planning Sheet'!DE321='Weeks Plan'!$D$6,'Planning Sheet'!CY321='Weeks Plan'!$G$6),'Planning Sheet'!$B321,"")</f>
        <v/>
      </c>
      <c r="Z4762" s="48" t="str">
        <f ca="1">IF(AND('Planning Sheet'!DE321='Weeks Plan'!$D$6,'Planning Sheet'!CY321='Weeks Plan'!$G$6),'Planning Sheet'!$CZ321,"")</f>
        <v/>
      </c>
      <c r="AA4762" s="48" t="str">
        <f ca="1">IF(AND('Planning Sheet'!DE321='Weeks Plan'!$D$6,'Planning Sheet'!CY321='Weeks Plan'!$G$6),'Planning Sheet'!$DA321,"")</f>
        <v/>
      </c>
    </row>
    <row r="4763" spans="25:27" x14ac:dyDescent="0.3">
      <c r="Y4763" s="48" t="str">
        <f ca="1">IF(AND('Planning Sheet'!DE322='Weeks Plan'!$D$6,'Planning Sheet'!CY322='Weeks Plan'!$G$6),'Planning Sheet'!$B322,"")</f>
        <v/>
      </c>
      <c r="Z4763" s="48" t="str">
        <f ca="1">IF(AND('Planning Sheet'!DE322='Weeks Plan'!$D$6,'Planning Sheet'!CY322='Weeks Plan'!$G$6),'Planning Sheet'!$CZ322,"")</f>
        <v/>
      </c>
      <c r="AA4763" s="48" t="str">
        <f ca="1">IF(AND('Planning Sheet'!DE322='Weeks Plan'!$D$6,'Planning Sheet'!CY322='Weeks Plan'!$G$6),'Planning Sheet'!$DA322,"")</f>
        <v/>
      </c>
    </row>
    <row r="4764" spans="25:27" x14ac:dyDescent="0.3">
      <c r="Y4764" s="48" t="str">
        <f ca="1">IF(AND('Planning Sheet'!DE323='Weeks Plan'!$D$6,'Planning Sheet'!CY323='Weeks Plan'!$G$6),'Planning Sheet'!$B323,"")</f>
        <v/>
      </c>
      <c r="Z4764" s="48" t="str">
        <f ca="1">IF(AND('Planning Sheet'!DE323='Weeks Plan'!$D$6,'Planning Sheet'!CY323='Weeks Plan'!$G$6),'Planning Sheet'!$CZ323,"")</f>
        <v/>
      </c>
      <c r="AA4764" s="48" t="str">
        <f ca="1">IF(AND('Planning Sheet'!DE323='Weeks Plan'!$D$6,'Planning Sheet'!CY323='Weeks Plan'!$G$6),'Planning Sheet'!$DA323,"")</f>
        <v/>
      </c>
    </row>
    <row r="4765" spans="25:27" x14ac:dyDescent="0.3">
      <c r="Y4765" s="48" t="str">
        <f ca="1">IF(AND('Planning Sheet'!DE324='Weeks Plan'!$D$6,'Planning Sheet'!CY324='Weeks Plan'!$G$6),'Planning Sheet'!$B324,"")</f>
        <v/>
      </c>
      <c r="Z4765" s="48" t="str">
        <f ca="1">IF(AND('Planning Sheet'!DE324='Weeks Plan'!$D$6,'Planning Sheet'!CY324='Weeks Plan'!$G$6),'Planning Sheet'!$CZ324,"")</f>
        <v/>
      </c>
      <c r="AA4765" s="48" t="str">
        <f ca="1">IF(AND('Planning Sheet'!DE324='Weeks Plan'!$D$6,'Planning Sheet'!CY324='Weeks Plan'!$G$6),'Planning Sheet'!$DA324,"")</f>
        <v/>
      </c>
    </row>
    <row r="4766" spans="25:27" x14ac:dyDescent="0.3">
      <c r="Y4766" s="48" t="str">
        <f ca="1">IF(AND('Planning Sheet'!DE325='Weeks Plan'!$D$6,'Planning Sheet'!CY325='Weeks Plan'!$G$6),'Planning Sheet'!$B325,"")</f>
        <v/>
      </c>
      <c r="Z4766" s="48" t="str">
        <f ca="1">IF(AND('Planning Sheet'!DE325='Weeks Plan'!$D$6,'Planning Sheet'!CY325='Weeks Plan'!$G$6),'Planning Sheet'!$CZ325,"")</f>
        <v/>
      </c>
      <c r="AA4766" s="48" t="str">
        <f ca="1">IF(AND('Planning Sheet'!DE325='Weeks Plan'!$D$6,'Planning Sheet'!CY325='Weeks Plan'!$G$6),'Planning Sheet'!$DA325,"")</f>
        <v/>
      </c>
    </row>
    <row r="4767" spans="25:27" x14ac:dyDescent="0.3">
      <c r="Y4767" s="48" t="str">
        <f ca="1">IF(AND('Planning Sheet'!DE326='Weeks Plan'!$D$6,'Planning Sheet'!CY326='Weeks Plan'!$G$6),'Planning Sheet'!$B326,"")</f>
        <v/>
      </c>
      <c r="Z4767" s="48" t="str">
        <f ca="1">IF(AND('Planning Sheet'!DE326='Weeks Plan'!$D$6,'Planning Sheet'!CY326='Weeks Plan'!$G$6),'Planning Sheet'!$CZ326,"")</f>
        <v/>
      </c>
      <c r="AA4767" s="48" t="str">
        <f ca="1">IF(AND('Planning Sheet'!DE326='Weeks Plan'!$D$6,'Planning Sheet'!CY326='Weeks Plan'!$G$6),'Planning Sheet'!$DA326,"")</f>
        <v/>
      </c>
    </row>
    <row r="4768" spans="25:27" x14ac:dyDescent="0.3">
      <c r="Y4768" s="48" t="str">
        <f ca="1">IF(AND('Planning Sheet'!DE327='Weeks Plan'!$D$6,'Planning Sheet'!CY327='Weeks Plan'!$G$6),'Planning Sheet'!$B327,"")</f>
        <v/>
      </c>
      <c r="Z4768" s="48" t="str">
        <f ca="1">IF(AND('Planning Sheet'!DE327='Weeks Plan'!$D$6,'Planning Sheet'!CY327='Weeks Plan'!$G$6),'Planning Sheet'!$CZ327,"")</f>
        <v/>
      </c>
      <c r="AA4768" s="48" t="str">
        <f ca="1">IF(AND('Planning Sheet'!DE327='Weeks Plan'!$D$6,'Planning Sheet'!CY327='Weeks Plan'!$G$6),'Planning Sheet'!$DA327,"")</f>
        <v/>
      </c>
    </row>
    <row r="4769" spans="25:27" x14ac:dyDescent="0.3">
      <c r="Y4769" s="48" t="str">
        <f ca="1">IF(AND('Planning Sheet'!DE328='Weeks Plan'!$D$6,'Planning Sheet'!CY328='Weeks Plan'!$G$6),'Planning Sheet'!$B328,"")</f>
        <v/>
      </c>
      <c r="Z4769" s="48" t="str">
        <f ca="1">IF(AND('Planning Sheet'!DE328='Weeks Plan'!$D$6,'Planning Sheet'!CY328='Weeks Plan'!$G$6),'Planning Sheet'!$CZ328,"")</f>
        <v/>
      </c>
      <c r="AA4769" s="48" t="str">
        <f ca="1">IF(AND('Planning Sheet'!DE328='Weeks Plan'!$D$6,'Planning Sheet'!CY328='Weeks Plan'!$G$6),'Planning Sheet'!$DA328,"")</f>
        <v/>
      </c>
    </row>
    <row r="4770" spans="25:27" x14ac:dyDescent="0.3">
      <c r="Y4770" s="48" t="str">
        <f ca="1">IF(AND('Planning Sheet'!DE329='Weeks Plan'!$D$6,'Planning Sheet'!CY329='Weeks Plan'!$G$6),'Planning Sheet'!$B329,"")</f>
        <v/>
      </c>
      <c r="Z4770" s="48" t="str">
        <f ca="1">IF(AND('Planning Sheet'!DE329='Weeks Plan'!$D$6,'Planning Sheet'!CY329='Weeks Plan'!$G$6),'Planning Sheet'!$CZ329,"")</f>
        <v/>
      </c>
      <c r="AA4770" s="48" t="str">
        <f ca="1">IF(AND('Planning Sheet'!DE329='Weeks Plan'!$D$6,'Planning Sheet'!CY329='Weeks Plan'!$G$6),'Planning Sheet'!$DA329,"")</f>
        <v/>
      </c>
    </row>
    <row r="4771" spans="25:27" x14ac:dyDescent="0.3">
      <c r="Y4771" s="48" t="str">
        <f ca="1">IF(AND('Planning Sheet'!DE330='Weeks Plan'!$D$6,'Planning Sheet'!CY330='Weeks Plan'!$G$6),'Planning Sheet'!$B330,"")</f>
        <v/>
      </c>
      <c r="Z4771" s="48" t="str">
        <f ca="1">IF(AND('Planning Sheet'!DE330='Weeks Plan'!$D$6,'Planning Sheet'!CY330='Weeks Plan'!$G$6),'Planning Sheet'!$CZ330,"")</f>
        <v/>
      </c>
      <c r="AA4771" s="48" t="str">
        <f ca="1">IF(AND('Planning Sheet'!DE330='Weeks Plan'!$D$6,'Planning Sheet'!CY330='Weeks Plan'!$G$6),'Planning Sheet'!$DA330,"")</f>
        <v/>
      </c>
    </row>
    <row r="4772" spans="25:27" x14ac:dyDescent="0.3">
      <c r="Y4772" s="48" t="str">
        <f ca="1">IF(AND('Planning Sheet'!DE331='Weeks Plan'!$D$6,'Planning Sheet'!CY331='Weeks Plan'!$G$6),'Planning Sheet'!$B331,"")</f>
        <v/>
      </c>
      <c r="Z4772" s="48" t="str">
        <f ca="1">IF(AND('Planning Sheet'!DE331='Weeks Plan'!$D$6,'Planning Sheet'!CY331='Weeks Plan'!$G$6),'Planning Sheet'!$CZ331,"")</f>
        <v/>
      </c>
      <c r="AA4772" s="48" t="str">
        <f ca="1">IF(AND('Planning Sheet'!DE331='Weeks Plan'!$D$6,'Planning Sheet'!CY331='Weeks Plan'!$G$6),'Planning Sheet'!$DA331,"")</f>
        <v/>
      </c>
    </row>
    <row r="4773" spans="25:27" x14ac:dyDescent="0.3">
      <c r="Y4773" s="48" t="str">
        <f ca="1">IF(AND('Planning Sheet'!DE332='Weeks Plan'!$D$6,'Planning Sheet'!CY332='Weeks Plan'!$G$6),'Planning Sheet'!$B332,"")</f>
        <v/>
      </c>
      <c r="Z4773" s="48" t="str">
        <f ca="1">IF(AND('Planning Sheet'!DE332='Weeks Plan'!$D$6,'Planning Sheet'!CY332='Weeks Plan'!$G$6),'Planning Sheet'!$CZ332,"")</f>
        <v/>
      </c>
      <c r="AA4773" s="48" t="str">
        <f ca="1">IF(AND('Planning Sheet'!DE332='Weeks Plan'!$D$6,'Planning Sheet'!CY332='Weeks Plan'!$G$6),'Planning Sheet'!$DA332,"")</f>
        <v/>
      </c>
    </row>
    <row r="4774" spans="25:27" x14ac:dyDescent="0.3">
      <c r="Y4774" s="48" t="str">
        <f ca="1">IF(AND('Planning Sheet'!DE333='Weeks Plan'!$D$6,'Planning Sheet'!CY333='Weeks Plan'!$G$6),'Planning Sheet'!$B333,"")</f>
        <v/>
      </c>
      <c r="Z4774" s="48" t="str">
        <f ca="1">IF(AND('Planning Sheet'!DE333='Weeks Plan'!$D$6,'Planning Sheet'!CY333='Weeks Plan'!$G$6),'Planning Sheet'!$CZ333,"")</f>
        <v/>
      </c>
      <c r="AA4774" s="48" t="str">
        <f ca="1">IF(AND('Planning Sheet'!DE333='Weeks Plan'!$D$6,'Planning Sheet'!CY333='Weeks Plan'!$G$6),'Planning Sheet'!$DA333,"")</f>
        <v/>
      </c>
    </row>
    <row r="4775" spans="25:27" x14ac:dyDescent="0.3">
      <c r="Y4775" s="48" t="str">
        <f ca="1">IF(AND('Planning Sheet'!DE334='Weeks Plan'!$D$6,'Planning Sheet'!CY334='Weeks Plan'!$G$6),'Planning Sheet'!$B334,"")</f>
        <v/>
      </c>
      <c r="Z4775" s="48" t="str">
        <f ca="1">IF(AND('Planning Sheet'!DE334='Weeks Plan'!$D$6,'Planning Sheet'!CY334='Weeks Plan'!$G$6),'Planning Sheet'!$CZ334,"")</f>
        <v/>
      </c>
      <c r="AA4775" s="48" t="str">
        <f ca="1">IF(AND('Planning Sheet'!DE334='Weeks Plan'!$D$6,'Planning Sheet'!CY334='Weeks Plan'!$G$6),'Planning Sheet'!$DA334,"")</f>
        <v/>
      </c>
    </row>
    <row r="4776" spans="25:27" x14ac:dyDescent="0.3">
      <c r="Y4776" s="48" t="str">
        <f ca="1">IF(AND('Planning Sheet'!DE335='Weeks Plan'!$D$6,'Planning Sheet'!CY335='Weeks Plan'!$G$6),'Planning Sheet'!$B335,"")</f>
        <v/>
      </c>
      <c r="Z4776" s="48" t="str">
        <f ca="1">IF(AND('Planning Sheet'!DE335='Weeks Plan'!$D$6,'Planning Sheet'!CY335='Weeks Plan'!$G$6),'Planning Sheet'!$CZ335,"")</f>
        <v/>
      </c>
      <c r="AA4776" s="48" t="str">
        <f ca="1">IF(AND('Planning Sheet'!DE335='Weeks Plan'!$D$6,'Planning Sheet'!CY335='Weeks Plan'!$G$6),'Planning Sheet'!$DA335,"")</f>
        <v/>
      </c>
    </row>
    <row r="4777" spans="25:27" x14ac:dyDescent="0.3">
      <c r="Y4777" s="48" t="str">
        <f ca="1">IF(AND('Planning Sheet'!DE336='Weeks Plan'!$D$6,'Planning Sheet'!CY336='Weeks Plan'!$G$6),'Planning Sheet'!$B336,"")</f>
        <v/>
      </c>
      <c r="Z4777" s="48" t="str">
        <f ca="1">IF(AND('Planning Sheet'!DE336='Weeks Plan'!$D$6,'Planning Sheet'!CY336='Weeks Plan'!$G$6),'Planning Sheet'!$CZ336,"")</f>
        <v/>
      </c>
      <c r="AA4777" s="48" t="str">
        <f ca="1">IF(AND('Planning Sheet'!DE336='Weeks Plan'!$D$6,'Planning Sheet'!CY336='Weeks Plan'!$G$6),'Planning Sheet'!$DA336,"")</f>
        <v/>
      </c>
    </row>
    <row r="4778" spans="25:27" x14ac:dyDescent="0.3">
      <c r="Y4778" s="48" t="str">
        <f ca="1">IF(AND('Planning Sheet'!DE337='Weeks Plan'!$D$6,'Planning Sheet'!CY337='Weeks Plan'!$G$6),'Planning Sheet'!$B337,"")</f>
        <v/>
      </c>
      <c r="Z4778" s="48" t="str">
        <f ca="1">IF(AND('Planning Sheet'!DE337='Weeks Plan'!$D$6,'Planning Sheet'!CY337='Weeks Plan'!$G$6),'Planning Sheet'!$CZ337,"")</f>
        <v/>
      </c>
      <c r="AA4778" s="48" t="str">
        <f ca="1">IF(AND('Planning Sheet'!DE337='Weeks Plan'!$D$6,'Planning Sheet'!CY337='Weeks Plan'!$G$6),'Planning Sheet'!$DA337,"")</f>
        <v/>
      </c>
    </row>
    <row r="4779" spans="25:27" x14ac:dyDescent="0.3">
      <c r="Y4779" s="48" t="str">
        <f ca="1">IF(AND('Planning Sheet'!DE338='Weeks Plan'!$D$6,'Planning Sheet'!CY338='Weeks Plan'!$G$6),'Planning Sheet'!$B338,"")</f>
        <v/>
      </c>
      <c r="Z4779" s="48" t="str">
        <f ca="1">IF(AND('Planning Sheet'!DE338='Weeks Plan'!$D$6,'Planning Sheet'!CY338='Weeks Plan'!$G$6),'Planning Sheet'!$CZ338,"")</f>
        <v/>
      </c>
      <c r="AA4779" s="48" t="str">
        <f ca="1">IF(AND('Planning Sheet'!DE338='Weeks Plan'!$D$6,'Planning Sheet'!CY338='Weeks Plan'!$G$6),'Planning Sheet'!$DA338,"")</f>
        <v/>
      </c>
    </row>
    <row r="4780" spans="25:27" x14ac:dyDescent="0.3">
      <c r="Y4780" s="48" t="str">
        <f ca="1">IF(AND('Planning Sheet'!DE339='Weeks Plan'!$D$6,'Planning Sheet'!CY339='Weeks Plan'!$G$6),'Planning Sheet'!$B339,"")</f>
        <v/>
      </c>
      <c r="Z4780" s="48" t="str">
        <f ca="1">IF(AND('Planning Sheet'!DE339='Weeks Plan'!$D$6,'Planning Sheet'!CY339='Weeks Plan'!$G$6),'Planning Sheet'!$CZ339,"")</f>
        <v/>
      </c>
      <c r="AA4780" s="48" t="str">
        <f ca="1">IF(AND('Planning Sheet'!DE339='Weeks Plan'!$D$6,'Planning Sheet'!CY339='Weeks Plan'!$G$6),'Planning Sheet'!$DA339,"")</f>
        <v/>
      </c>
    </row>
    <row r="4781" spans="25:27" x14ac:dyDescent="0.3">
      <c r="Y4781" s="48" t="str">
        <f ca="1">IF(AND('Planning Sheet'!DE340='Weeks Plan'!$D$6,'Planning Sheet'!CY340='Weeks Plan'!$G$6),'Planning Sheet'!$B340,"")</f>
        <v/>
      </c>
      <c r="Z4781" s="48" t="str">
        <f ca="1">IF(AND('Planning Sheet'!DE340='Weeks Plan'!$D$6,'Planning Sheet'!CY340='Weeks Plan'!$G$6),'Planning Sheet'!$CZ340,"")</f>
        <v/>
      </c>
      <c r="AA4781" s="48" t="str">
        <f ca="1">IF(AND('Planning Sheet'!DE340='Weeks Plan'!$D$6,'Planning Sheet'!CY340='Weeks Plan'!$G$6),'Planning Sheet'!$DA340,"")</f>
        <v/>
      </c>
    </row>
    <row r="4782" spans="25:27" x14ac:dyDescent="0.3">
      <c r="Y4782" s="48" t="str">
        <f ca="1">IF(AND('Planning Sheet'!DE341='Weeks Plan'!$D$6,'Planning Sheet'!CY341='Weeks Plan'!$G$6),'Planning Sheet'!$B341,"")</f>
        <v/>
      </c>
      <c r="Z4782" s="48" t="str">
        <f ca="1">IF(AND('Planning Sheet'!DE341='Weeks Plan'!$D$6,'Planning Sheet'!CY341='Weeks Plan'!$G$6),'Planning Sheet'!$CZ341,"")</f>
        <v/>
      </c>
      <c r="AA4782" s="48" t="str">
        <f ca="1">IF(AND('Planning Sheet'!DE341='Weeks Plan'!$D$6,'Planning Sheet'!CY341='Weeks Plan'!$G$6),'Planning Sheet'!$DA341,"")</f>
        <v/>
      </c>
    </row>
    <row r="4783" spans="25:27" x14ac:dyDescent="0.3">
      <c r="Y4783" s="48" t="str">
        <f ca="1">IF(AND('Planning Sheet'!DE342='Weeks Plan'!$D$6,'Planning Sheet'!CY342='Weeks Plan'!$G$6),'Planning Sheet'!$B342,"")</f>
        <v/>
      </c>
      <c r="Z4783" s="48" t="str">
        <f ca="1">IF(AND('Planning Sheet'!DE342='Weeks Plan'!$D$6,'Planning Sheet'!CY342='Weeks Plan'!$G$6),'Planning Sheet'!$CZ342,"")</f>
        <v/>
      </c>
      <c r="AA4783" s="48" t="str">
        <f ca="1">IF(AND('Planning Sheet'!DE342='Weeks Plan'!$D$6,'Planning Sheet'!CY342='Weeks Plan'!$G$6),'Planning Sheet'!$DA342,"")</f>
        <v/>
      </c>
    </row>
    <row r="4784" spans="25:27" x14ac:dyDescent="0.3">
      <c r="Y4784" s="48" t="str">
        <f ca="1">IF(AND('Planning Sheet'!DE343='Weeks Plan'!$D$6,'Planning Sheet'!CY343='Weeks Plan'!$G$6),'Planning Sheet'!$B343,"")</f>
        <v/>
      </c>
      <c r="Z4784" s="48" t="str">
        <f ca="1">IF(AND('Planning Sheet'!DE343='Weeks Plan'!$D$6,'Planning Sheet'!CY343='Weeks Plan'!$G$6),'Planning Sheet'!$CZ343,"")</f>
        <v/>
      </c>
      <c r="AA4784" s="48" t="str">
        <f ca="1">IF(AND('Planning Sheet'!DE343='Weeks Plan'!$D$6,'Planning Sheet'!CY343='Weeks Plan'!$G$6),'Planning Sheet'!$DA343,"")</f>
        <v/>
      </c>
    </row>
    <row r="4785" spans="25:27" x14ac:dyDescent="0.3">
      <c r="Y4785" s="48" t="str">
        <f ca="1">IF(AND('Planning Sheet'!DE344='Weeks Plan'!$D$6,'Planning Sheet'!CY344='Weeks Plan'!$G$6),'Planning Sheet'!$B344,"")</f>
        <v/>
      </c>
      <c r="Z4785" s="48" t="str">
        <f ca="1">IF(AND('Planning Sheet'!DE344='Weeks Plan'!$D$6,'Planning Sheet'!CY344='Weeks Plan'!$G$6),'Planning Sheet'!$CZ344,"")</f>
        <v/>
      </c>
      <c r="AA4785" s="48" t="str">
        <f ca="1">IF(AND('Planning Sheet'!DE344='Weeks Plan'!$D$6,'Planning Sheet'!CY344='Weeks Plan'!$G$6),'Planning Sheet'!$DA344,"")</f>
        <v/>
      </c>
    </row>
    <row r="4786" spans="25:27" x14ac:dyDescent="0.3">
      <c r="Y4786" s="48" t="str">
        <f ca="1">IF(AND('Planning Sheet'!DE345='Weeks Plan'!$D$6,'Planning Sheet'!CY345='Weeks Plan'!$G$6),'Planning Sheet'!$B345,"")</f>
        <v/>
      </c>
      <c r="Z4786" s="48" t="str">
        <f ca="1">IF(AND('Planning Sheet'!DE345='Weeks Plan'!$D$6,'Planning Sheet'!CY345='Weeks Plan'!$G$6),'Planning Sheet'!$CZ345,"")</f>
        <v/>
      </c>
      <c r="AA4786" s="48" t="str">
        <f ca="1">IF(AND('Planning Sheet'!DE345='Weeks Plan'!$D$6,'Planning Sheet'!CY345='Weeks Plan'!$G$6),'Planning Sheet'!$DA345,"")</f>
        <v/>
      </c>
    </row>
    <row r="4787" spans="25:27" x14ac:dyDescent="0.3">
      <c r="Y4787" s="48" t="str">
        <f ca="1">IF(AND('Planning Sheet'!DE346='Weeks Plan'!$D$6,'Planning Sheet'!CY346='Weeks Plan'!$G$6),'Planning Sheet'!$B346,"")</f>
        <v/>
      </c>
      <c r="Z4787" s="48" t="str">
        <f ca="1">IF(AND('Planning Sheet'!DE346='Weeks Plan'!$D$6,'Planning Sheet'!CY346='Weeks Plan'!$G$6),'Planning Sheet'!$CZ346,"")</f>
        <v/>
      </c>
      <c r="AA4787" s="48" t="str">
        <f ca="1">IF(AND('Planning Sheet'!DE346='Weeks Plan'!$D$6,'Planning Sheet'!CY346='Weeks Plan'!$G$6),'Planning Sheet'!$DA346,"")</f>
        <v/>
      </c>
    </row>
    <row r="4788" spans="25:27" x14ac:dyDescent="0.3">
      <c r="Y4788" s="48" t="str">
        <f ca="1">IF(AND('Planning Sheet'!DE347='Weeks Plan'!$D$6,'Planning Sheet'!CY347='Weeks Plan'!$G$6),'Planning Sheet'!$B347,"")</f>
        <v/>
      </c>
      <c r="Z4788" s="48" t="str">
        <f ca="1">IF(AND('Planning Sheet'!DE347='Weeks Plan'!$D$6,'Planning Sheet'!CY347='Weeks Plan'!$G$6),'Planning Sheet'!$CZ347,"")</f>
        <v/>
      </c>
      <c r="AA4788" s="48" t="str">
        <f ca="1">IF(AND('Planning Sheet'!DE347='Weeks Plan'!$D$6,'Planning Sheet'!CY347='Weeks Plan'!$G$6),'Planning Sheet'!$DA347,"")</f>
        <v/>
      </c>
    </row>
    <row r="4789" spans="25:27" x14ac:dyDescent="0.3">
      <c r="Y4789" s="48" t="str">
        <f ca="1">IF(AND('Planning Sheet'!DE348='Weeks Plan'!$D$6,'Planning Sheet'!CY348='Weeks Plan'!$G$6),'Planning Sheet'!$B348,"")</f>
        <v/>
      </c>
      <c r="Z4789" s="48" t="str">
        <f ca="1">IF(AND('Planning Sheet'!DE348='Weeks Plan'!$D$6,'Planning Sheet'!CY348='Weeks Plan'!$G$6),'Planning Sheet'!$CZ348,"")</f>
        <v/>
      </c>
      <c r="AA4789" s="48" t="str">
        <f ca="1">IF(AND('Planning Sheet'!DE348='Weeks Plan'!$D$6,'Planning Sheet'!CY348='Weeks Plan'!$G$6),'Planning Sheet'!$DA348,"")</f>
        <v/>
      </c>
    </row>
    <row r="4790" spans="25:27" x14ac:dyDescent="0.3">
      <c r="Y4790" s="48" t="str">
        <f ca="1">IF(AND('Planning Sheet'!DE349='Weeks Plan'!$D$6,'Planning Sheet'!CY349='Weeks Plan'!$G$6),'Planning Sheet'!$B349,"")</f>
        <v/>
      </c>
      <c r="Z4790" s="48" t="str">
        <f ca="1">IF(AND('Planning Sheet'!DE349='Weeks Plan'!$D$6,'Planning Sheet'!CY349='Weeks Plan'!$G$6),'Planning Sheet'!$CZ349,"")</f>
        <v/>
      </c>
      <c r="AA4790" s="48" t="str">
        <f ca="1">IF(AND('Planning Sheet'!DE349='Weeks Plan'!$D$6,'Planning Sheet'!CY349='Weeks Plan'!$G$6),'Planning Sheet'!$DA349,"")</f>
        <v/>
      </c>
    </row>
    <row r="4791" spans="25:27" x14ac:dyDescent="0.3">
      <c r="Y4791" s="48" t="str">
        <f ca="1">IF(AND('Planning Sheet'!DE350='Weeks Plan'!$D$6,'Planning Sheet'!CY350='Weeks Plan'!$G$6),'Planning Sheet'!$B350,"")</f>
        <v/>
      </c>
      <c r="Z4791" s="48" t="str">
        <f ca="1">IF(AND('Planning Sheet'!DE350='Weeks Plan'!$D$6,'Planning Sheet'!CY350='Weeks Plan'!$G$6),'Planning Sheet'!$CZ350,"")</f>
        <v/>
      </c>
      <c r="AA4791" s="48" t="str">
        <f ca="1">IF(AND('Planning Sheet'!DE350='Weeks Plan'!$D$6,'Planning Sheet'!CY350='Weeks Plan'!$G$6),'Planning Sheet'!$DA350,"")</f>
        <v/>
      </c>
    </row>
    <row r="4792" spans="25:27" x14ac:dyDescent="0.3">
      <c r="Y4792" s="48" t="str">
        <f ca="1">IF(AND('Planning Sheet'!DE351='Weeks Plan'!$D$6,'Planning Sheet'!CY351='Weeks Plan'!$G$6),'Planning Sheet'!$B351,"")</f>
        <v/>
      </c>
      <c r="Z4792" s="48" t="str">
        <f ca="1">IF(AND('Planning Sheet'!DE351='Weeks Plan'!$D$6,'Planning Sheet'!CY351='Weeks Plan'!$G$6),'Planning Sheet'!$CZ351,"")</f>
        <v/>
      </c>
      <c r="AA4792" s="48" t="str">
        <f ca="1">IF(AND('Planning Sheet'!DE351='Weeks Plan'!$D$6,'Planning Sheet'!CY351='Weeks Plan'!$G$6),'Planning Sheet'!$DA351,"")</f>
        <v/>
      </c>
    </row>
    <row r="4793" spans="25:27" x14ac:dyDescent="0.3">
      <c r="Y4793" s="48" t="str">
        <f ca="1">IF(AND('Planning Sheet'!DE352='Weeks Plan'!$D$6,'Planning Sheet'!CY352='Weeks Plan'!$G$6),'Planning Sheet'!$B352,"")</f>
        <v/>
      </c>
      <c r="Z4793" s="48" t="str">
        <f ca="1">IF(AND('Planning Sheet'!DE352='Weeks Plan'!$D$6,'Planning Sheet'!CY352='Weeks Plan'!$G$6),'Planning Sheet'!$CZ352,"")</f>
        <v/>
      </c>
      <c r="AA4793" s="48" t="str">
        <f ca="1">IF(AND('Planning Sheet'!DE352='Weeks Plan'!$D$6,'Planning Sheet'!CY352='Weeks Plan'!$G$6),'Planning Sheet'!$DA352,"")</f>
        <v/>
      </c>
    </row>
    <row r="4794" spans="25:27" x14ac:dyDescent="0.3">
      <c r="Y4794" s="48" t="str">
        <f ca="1">IF(AND('Planning Sheet'!DE353='Weeks Plan'!$D$6,'Planning Sheet'!CY353='Weeks Plan'!$G$6),'Planning Sheet'!$B353,"")</f>
        <v/>
      </c>
      <c r="Z4794" s="48" t="str">
        <f ca="1">IF(AND('Planning Sheet'!DE353='Weeks Plan'!$D$6,'Planning Sheet'!CY353='Weeks Plan'!$G$6),'Planning Sheet'!$CZ353,"")</f>
        <v/>
      </c>
      <c r="AA4794" s="48" t="str">
        <f ca="1">IF(AND('Planning Sheet'!DE353='Weeks Plan'!$D$6,'Planning Sheet'!CY353='Weeks Plan'!$G$6),'Planning Sheet'!$DA353,"")</f>
        <v/>
      </c>
    </row>
    <row r="4795" spans="25:27" x14ac:dyDescent="0.3">
      <c r="Y4795" s="48" t="str">
        <f ca="1">IF(AND('Planning Sheet'!DE354='Weeks Plan'!$D$6,'Planning Sheet'!CY354='Weeks Plan'!$G$6),'Planning Sheet'!$B354,"")</f>
        <v/>
      </c>
      <c r="Z4795" s="48" t="str">
        <f ca="1">IF(AND('Planning Sheet'!DE354='Weeks Plan'!$D$6,'Planning Sheet'!CY354='Weeks Plan'!$G$6),'Planning Sheet'!$CZ354,"")</f>
        <v/>
      </c>
      <c r="AA4795" s="48" t="str">
        <f ca="1">IF(AND('Planning Sheet'!DE354='Weeks Plan'!$D$6,'Planning Sheet'!CY354='Weeks Plan'!$G$6),'Planning Sheet'!$DA354,"")</f>
        <v/>
      </c>
    </row>
    <row r="4796" spans="25:27" x14ac:dyDescent="0.3">
      <c r="Y4796" s="48" t="str">
        <f ca="1">IF(AND('Planning Sheet'!DE355='Weeks Plan'!$D$6,'Planning Sheet'!CY355='Weeks Plan'!$G$6),'Planning Sheet'!$B355,"")</f>
        <v/>
      </c>
      <c r="Z4796" s="48" t="str">
        <f ca="1">IF(AND('Planning Sheet'!DE355='Weeks Plan'!$D$6,'Planning Sheet'!CY355='Weeks Plan'!$G$6),'Planning Sheet'!$CZ355,"")</f>
        <v/>
      </c>
      <c r="AA4796" s="48" t="str">
        <f ca="1">IF(AND('Planning Sheet'!DE355='Weeks Plan'!$D$6,'Planning Sheet'!CY355='Weeks Plan'!$G$6),'Planning Sheet'!$DA355,"")</f>
        <v/>
      </c>
    </row>
    <row r="4797" spans="25:27" x14ac:dyDescent="0.3">
      <c r="Y4797" s="48" t="str">
        <f ca="1">IF(AND('Planning Sheet'!DE356='Weeks Plan'!$D$6,'Planning Sheet'!CY356='Weeks Plan'!$G$6),'Planning Sheet'!$B356,"")</f>
        <v/>
      </c>
      <c r="Z4797" s="48" t="str">
        <f ca="1">IF(AND('Planning Sheet'!DE356='Weeks Plan'!$D$6,'Planning Sheet'!CY356='Weeks Plan'!$G$6),'Planning Sheet'!$CZ356,"")</f>
        <v/>
      </c>
      <c r="AA4797" s="48" t="str">
        <f ca="1">IF(AND('Planning Sheet'!DE356='Weeks Plan'!$D$6,'Planning Sheet'!CY356='Weeks Plan'!$G$6),'Planning Sheet'!$DA356,"")</f>
        <v/>
      </c>
    </row>
    <row r="4798" spans="25:27" x14ac:dyDescent="0.3">
      <c r="Y4798" s="48" t="str">
        <f ca="1">IF(AND('Planning Sheet'!DE357='Weeks Plan'!$D$6,'Planning Sheet'!CY357='Weeks Plan'!$G$6),'Planning Sheet'!$B357,"")</f>
        <v/>
      </c>
      <c r="Z4798" s="48" t="str">
        <f ca="1">IF(AND('Planning Sheet'!DE357='Weeks Plan'!$D$6,'Planning Sheet'!CY357='Weeks Plan'!$G$6),'Planning Sheet'!$CZ357,"")</f>
        <v/>
      </c>
      <c r="AA4798" s="48" t="str">
        <f ca="1">IF(AND('Planning Sheet'!DE357='Weeks Plan'!$D$6,'Planning Sheet'!CY357='Weeks Plan'!$G$6),'Planning Sheet'!$DA357,"")</f>
        <v/>
      </c>
    </row>
    <row r="4799" spans="25:27" x14ac:dyDescent="0.3">
      <c r="Y4799" s="48" t="str">
        <f ca="1">IF(AND('Planning Sheet'!DE358='Weeks Plan'!$D$6,'Planning Sheet'!CY358='Weeks Plan'!$G$6),'Planning Sheet'!$B358,"")</f>
        <v/>
      </c>
      <c r="Z4799" s="48" t="str">
        <f ca="1">IF(AND('Planning Sheet'!DE358='Weeks Plan'!$D$6,'Planning Sheet'!CY358='Weeks Plan'!$G$6),'Planning Sheet'!$CZ358,"")</f>
        <v/>
      </c>
      <c r="AA4799" s="48" t="str">
        <f ca="1">IF(AND('Planning Sheet'!DE358='Weeks Plan'!$D$6,'Planning Sheet'!CY358='Weeks Plan'!$G$6),'Planning Sheet'!$DA358,"")</f>
        <v/>
      </c>
    </row>
    <row r="4800" spans="25:27" x14ac:dyDescent="0.3">
      <c r="Y4800" s="48" t="str">
        <f ca="1">IF(AND('Planning Sheet'!DE359='Weeks Plan'!$D$6,'Planning Sheet'!CY359='Weeks Plan'!$G$6),'Planning Sheet'!$B359,"")</f>
        <v/>
      </c>
      <c r="Z4800" s="48" t="str">
        <f ca="1">IF(AND('Planning Sheet'!DE359='Weeks Plan'!$D$6,'Planning Sheet'!CY359='Weeks Plan'!$G$6),'Planning Sheet'!$CZ359,"")</f>
        <v/>
      </c>
      <c r="AA4800" s="48" t="str">
        <f ca="1">IF(AND('Planning Sheet'!DE359='Weeks Plan'!$D$6,'Planning Sheet'!CY359='Weeks Plan'!$G$6),'Planning Sheet'!$DA359,"")</f>
        <v/>
      </c>
    </row>
    <row r="4801" spans="25:27" x14ac:dyDescent="0.3">
      <c r="Y4801" s="48" t="str">
        <f ca="1">IF(AND('Planning Sheet'!DE360='Weeks Plan'!$D$6,'Planning Sheet'!CY360='Weeks Plan'!$G$6),'Planning Sheet'!$B360,"")</f>
        <v/>
      </c>
      <c r="Z4801" s="48" t="str">
        <f ca="1">IF(AND('Planning Sheet'!DE360='Weeks Plan'!$D$6,'Planning Sheet'!CY360='Weeks Plan'!$G$6),'Planning Sheet'!$CZ360,"")</f>
        <v/>
      </c>
      <c r="AA4801" s="48" t="str">
        <f ca="1">IF(AND('Planning Sheet'!DE360='Weeks Plan'!$D$6,'Planning Sheet'!CY360='Weeks Plan'!$G$6),'Planning Sheet'!$DA360,"")</f>
        <v/>
      </c>
    </row>
    <row r="4802" spans="25:27" x14ac:dyDescent="0.3">
      <c r="Y4802" s="48" t="str">
        <f ca="1">IF(AND('Planning Sheet'!DE361='Weeks Plan'!$D$6,'Planning Sheet'!CY361='Weeks Plan'!$G$6),'Planning Sheet'!$B361,"")</f>
        <v/>
      </c>
      <c r="Z4802" s="48" t="str">
        <f ca="1">IF(AND('Planning Sheet'!DE361='Weeks Plan'!$D$6,'Planning Sheet'!CY361='Weeks Plan'!$G$6),'Planning Sheet'!$CZ361,"")</f>
        <v/>
      </c>
      <c r="AA4802" s="48" t="str">
        <f ca="1">IF(AND('Planning Sheet'!DE361='Weeks Plan'!$D$6,'Planning Sheet'!CY361='Weeks Plan'!$G$6),'Planning Sheet'!$DA361,"")</f>
        <v/>
      </c>
    </row>
    <row r="4803" spans="25:27" x14ac:dyDescent="0.3">
      <c r="Y4803" s="48" t="str">
        <f ca="1">IF(AND('Planning Sheet'!DE362='Weeks Plan'!$D$6,'Planning Sheet'!CY362='Weeks Plan'!$G$6),'Planning Sheet'!$B362,"")</f>
        <v/>
      </c>
      <c r="Z4803" s="48" t="str">
        <f ca="1">IF(AND('Planning Sheet'!DE362='Weeks Plan'!$D$6,'Planning Sheet'!CY362='Weeks Plan'!$G$6),'Planning Sheet'!$CZ362,"")</f>
        <v/>
      </c>
      <c r="AA4803" s="48" t="str">
        <f ca="1">IF(AND('Planning Sheet'!DE362='Weeks Plan'!$D$6,'Planning Sheet'!CY362='Weeks Plan'!$G$6),'Planning Sheet'!$DA362,"")</f>
        <v/>
      </c>
    </row>
    <row r="4804" spans="25:27" x14ac:dyDescent="0.3">
      <c r="Y4804" s="48" t="str">
        <f ca="1">IF(AND('Planning Sheet'!DE363='Weeks Plan'!$D$6,'Planning Sheet'!CY363='Weeks Plan'!$G$6),'Planning Sheet'!$B363,"")</f>
        <v/>
      </c>
      <c r="Z4804" s="48" t="str">
        <f ca="1">IF(AND('Planning Sheet'!DE363='Weeks Plan'!$D$6,'Planning Sheet'!CY363='Weeks Plan'!$G$6),'Planning Sheet'!$CZ363,"")</f>
        <v/>
      </c>
      <c r="AA4804" s="48" t="str">
        <f ca="1">IF(AND('Planning Sheet'!DE363='Weeks Plan'!$D$6,'Planning Sheet'!CY363='Weeks Plan'!$G$6),'Planning Sheet'!$DA363,"")</f>
        <v/>
      </c>
    </row>
    <row r="4805" spans="25:27" x14ac:dyDescent="0.3">
      <c r="Y4805" s="48" t="str">
        <f ca="1">IF(AND('Planning Sheet'!DE364='Weeks Plan'!$D$6,'Planning Sheet'!CY364='Weeks Plan'!$G$6),'Planning Sheet'!$B364,"")</f>
        <v/>
      </c>
      <c r="Z4805" s="48" t="str">
        <f ca="1">IF(AND('Planning Sheet'!DE364='Weeks Plan'!$D$6,'Planning Sheet'!CY364='Weeks Plan'!$G$6),'Planning Sheet'!$CZ364,"")</f>
        <v/>
      </c>
      <c r="AA4805" s="48" t="str">
        <f ca="1">IF(AND('Planning Sheet'!DE364='Weeks Plan'!$D$6,'Planning Sheet'!CY364='Weeks Plan'!$G$6),'Planning Sheet'!$DA364,"")</f>
        <v/>
      </c>
    </row>
    <row r="4806" spans="25:27" x14ac:dyDescent="0.3">
      <c r="Y4806" s="48" t="str">
        <f ca="1">IF(AND('Planning Sheet'!DE365='Weeks Plan'!$D$6,'Planning Sheet'!CY365='Weeks Plan'!$G$6),'Planning Sheet'!$B365,"")</f>
        <v/>
      </c>
      <c r="Z4806" s="48" t="str">
        <f ca="1">IF(AND('Planning Sheet'!DE365='Weeks Plan'!$D$6,'Planning Sheet'!CY365='Weeks Plan'!$G$6),'Planning Sheet'!$CZ365,"")</f>
        <v/>
      </c>
      <c r="AA4806" s="48" t="str">
        <f ca="1">IF(AND('Planning Sheet'!DE365='Weeks Plan'!$D$6,'Planning Sheet'!CY365='Weeks Plan'!$G$6),'Planning Sheet'!$DA365,"")</f>
        <v/>
      </c>
    </row>
    <row r="4807" spans="25:27" x14ac:dyDescent="0.3">
      <c r="Y4807" s="48" t="str">
        <f ca="1">IF(AND('Planning Sheet'!DE366='Weeks Plan'!$D$6,'Planning Sheet'!CY366='Weeks Plan'!$G$6),'Planning Sheet'!$B366,"")</f>
        <v/>
      </c>
      <c r="Z4807" s="48" t="str">
        <f ca="1">IF(AND('Planning Sheet'!DE366='Weeks Plan'!$D$6,'Planning Sheet'!CY366='Weeks Plan'!$G$6),'Planning Sheet'!$CZ366,"")</f>
        <v/>
      </c>
      <c r="AA4807" s="48" t="str">
        <f ca="1">IF(AND('Planning Sheet'!DE366='Weeks Plan'!$D$6,'Planning Sheet'!CY366='Weeks Plan'!$G$6),'Planning Sheet'!$DA366,"")</f>
        <v/>
      </c>
    </row>
    <row r="4808" spans="25:27" x14ac:dyDescent="0.3">
      <c r="Y4808" s="48" t="str">
        <f ca="1">IF(AND('Planning Sheet'!DE367='Weeks Plan'!$D$6,'Planning Sheet'!CY367='Weeks Plan'!$G$6),'Planning Sheet'!$B367,"")</f>
        <v/>
      </c>
      <c r="Z4808" s="48" t="str">
        <f ca="1">IF(AND('Planning Sheet'!DE367='Weeks Plan'!$D$6,'Planning Sheet'!CY367='Weeks Plan'!$G$6),'Planning Sheet'!$CZ367,"")</f>
        <v/>
      </c>
      <c r="AA4808" s="48" t="str">
        <f ca="1">IF(AND('Planning Sheet'!DE367='Weeks Plan'!$D$6,'Planning Sheet'!CY367='Weeks Plan'!$G$6),'Planning Sheet'!$DA367,"")</f>
        <v/>
      </c>
    </row>
    <row r="4809" spans="25:27" x14ac:dyDescent="0.3">
      <c r="Y4809" s="48" t="str">
        <f ca="1">IF(AND('Planning Sheet'!DE368='Weeks Plan'!$D$6,'Planning Sheet'!CY368='Weeks Plan'!$G$6),'Planning Sheet'!$B368,"")</f>
        <v/>
      </c>
      <c r="Z4809" s="48" t="str">
        <f ca="1">IF(AND('Planning Sheet'!DE368='Weeks Plan'!$D$6,'Planning Sheet'!CY368='Weeks Plan'!$G$6),'Planning Sheet'!$CZ368,"")</f>
        <v/>
      </c>
      <c r="AA4809" s="48" t="str">
        <f ca="1">IF(AND('Planning Sheet'!DE368='Weeks Plan'!$D$6,'Planning Sheet'!CY368='Weeks Plan'!$G$6),'Planning Sheet'!$DA368,"")</f>
        <v/>
      </c>
    </row>
    <row r="4810" spans="25:27" x14ac:dyDescent="0.3">
      <c r="Y4810" s="48" t="str">
        <f ca="1">IF(AND('Planning Sheet'!DE369='Weeks Plan'!$D$6,'Planning Sheet'!CY369='Weeks Plan'!$G$6),'Planning Sheet'!$B369,"")</f>
        <v/>
      </c>
      <c r="Z4810" s="48" t="str">
        <f ca="1">IF(AND('Planning Sheet'!DE369='Weeks Plan'!$D$6,'Planning Sheet'!CY369='Weeks Plan'!$G$6),'Planning Sheet'!$CZ369,"")</f>
        <v/>
      </c>
      <c r="AA4810" s="48" t="str">
        <f ca="1">IF(AND('Planning Sheet'!DE369='Weeks Plan'!$D$6,'Planning Sheet'!CY369='Weeks Plan'!$G$6),'Planning Sheet'!$DA369,"")</f>
        <v/>
      </c>
    </row>
    <row r="4811" spans="25:27" x14ac:dyDescent="0.3">
      <c r="Y4811" s="48" t="str">
        <f ca="1">IF(AND('Planning Sheet'!DE370='Weeks Plan'!$D$6,'Planning Sheet'!CY370='Weeks Plan'!$G$6),'Planning Sheet'!$B370,"")</f>
        <v/>
      </c>
      <c r="Z4811" s="48" t="str">
        <f ca="1">IF(AND('Planning Sheet'!DE370='Weeks Plan'!$D$6,'Planning Sheet'!CY370='Weeks Plan'!$G$6),'Planning Sheet'!$CZ370,"")</f>
        <v/>
      </c>
      <c r="AA4811" s="48" t="str">
        <f ca="1">IF(AND('Planning Sheet'!DE370='Weeks Plan'!$D$6,'Planning Sheet'!CY370='Weeks Plan'!$G$6),'Planning Sheet'!$DA370,"")</f>
        <v/>
      </c>
    </row>
    <row r="4812" spans="25:27" x14ac:dyDescent="0.3">
      <c r="Y4812" s="48" t="str">
        <f ca="1">IF(AND('Planning Sheet'!DE371='Weeks Plan'!$D$6,'Planning Sheet'!CY371='Weeks Plan'!$G$6),'Planning Sheet'!$B371,"")</f>
        <v/>
      </c>
      <c r="Z4812" s="48" t="str">
        <f ca="1">IF(AND('Planning Sheet'!DE371='Weeks Plan'!$D$6,'Planning Sheet'!CY371='Weeks Plan'!$G$6),'Planning Sheet'!$CZ371,"")</f>
        <v/>
      </c>
      <c r="AA4812" s="48" t="str">
        <f ca="1">IF(AND('Planning Sheet'!DE371='Weeks Plan'!$D$6,'Planning Sheet'!CY371='Weeks Plan'!$G$6),'Planning Sheet'!$DA371,"")</f>
        <v/>
      </c>
    </row>
    <row r="4813" spans="25:27" x14ac:dyDescent="0.3">
      <c r="Y4813" s="48" t="str">
        <f ca="1">IF(AND('Planning Sheet'!DE372='Weeks Plan'!$D$6,'Planning Sheet'!CY372='Weeks Plan'!$G$6),'Planning Sheet'!$B372,"")</f>
        <v/>
      </c>
      <c r="Z4813" s="48" t="str">
        <f ca="1">IF(AND('Planning Sheet'!DE372='Weeks Plan'!$D$6,'Planning Sheet'!CY372='Weeks Plan'!$G$6),'Planning Sheet'!$CZ372,"")</f>
        <v/>
      </c>
      <c r="AA4813" s="48" t="str">
        <f ca="1">IF(AND('Planning Sheet'!DE372='Weeks Plan'!$D$6,'Planning Sheet'!CY372='Weeks Plan'!$G$6),'Planning Sheet'!$DA372,"")</f>
        <v/>
      </c>
    </row>
    <row r="4814" spans="25:27" x14ac:dyDescent="0.3">
      <c r="Y4814" s="48" t="str">
        <f ca="1">IF(AND('Planning Sheet'!DE373='Weeks Plan'!$D$6,'Planning Sheet'!CY373='Weeks Plan'!$G$6),'Planning Sheet'!$B373,"")</f>
        <v/>
      </c>
      <c r="Z4814" s="48" t="str">
        <f ca="1">IF(AND('Planning Sheet'!DE373='Weeks Plan'!$D$6,'Planning Sheet'!CY373='Weeks Plan'!$G$6),'Planning Sheet'!$CZ373,"")</f>
        <v/>
      </c>
      <c r="AA4814" s="48" t="str">
        <f ca="1">IF(AND('Planning Sheet'!DE373='Weeks Plan'!$D$6,'Planning Sheet'!CY373='Weeks Plan'!$G$6),'Planning Sheet'!$DA373,"")</f>
        <v/>
      </c>
    </row>
    <row r="4815" spans="25:27" x14ac:dyDescent="0.3">
      <c r="Y4815" s="48" t="str">
        <f ca="1">IF(AND('Planning Sheet'!DE374='Weeks Plan'!$D$6,'Planning Sheet'!CY374='Weeks Plan'!$G$6),'Planning Sheet'!$B374,"")</f>
        <v/>
      </c>
      <c r="Z4815" s="48" t="str">
        <f ca="1">IF(AND('Planning Sheet'!DE374='Weeks Plan'!$D$6,'Planning Sheet'!CY374='Weeks Plan'!$G$6),'Planning Sheet'!$CZ374,"")</f>
        <v/>
      </c>
      <c r="AA4815" s="48" t="str">
        <f ca="1">IF(AND('Planning Sheet'!DE374='Weeks Plan'!$D$6,'Planning Sheet'!CY374='Weeks Plan'!$G$6),'Planning Sheet'!$DA374,"")</f>
        <v/>
      </c>
    </row>
    <row r="4816" spans="25:27" x14ac:dyDescent="0.3">
      <c r="Y4816" s="48" t="str">
        <f ca="1">IF(AND('Planning Sheet'!DE375='Weeks Plan'!$D$6,'Planning Sheet'!CY375='Weeks Plan'!$G$6),'Planning Sheet'!$B375,"")</f>
        <v/>
      </c>
      <c r="Z4816" s="48" t="str">
        <f ca="1">IF(AND('Planning Sheet'!DE375='Weeks Plan'!$D$6,'Planning Sheet'!CY375='Weeks Plan'!$G$6),'Planning Sheet'!$CZ375,"")</f>
        <v/>
      </c>
      <c r="AA4816" s="48" t="str">
        <f ca="1">IF(AND('Planning Sheet'!DE375='Weeks Plan'!$D$6,'Planning Sheet'!CY375='Weeks Plan'!$G$6),'Planning Sheet'!$DA375,"")</f>
        <v/>
      </c>
    </row>
    <row r="4817" spans="25:27" x14ac:dyDescent="0.3">
      <c r="Y4817" s="48" t="str">
        <f ca="1">IF(AND('Planning Sheet'!DE376='Weeks Plan'!$D$6,'Planning Sheet'!CY376='Weeks Plan'!$G$6),'Planning Sheet'!$B376,"")</f>
        <v/>
      </c>
      <c r="Z4817" s="48" t="str">
        <f ca="1">IF(AND('Planning Sheet'!DE376='Weeks Plan'!$D$6,'Planning Sheet'!CY376='Weeks Plan'!$G$6),'Planning Sheet'!$CZ376,"")</f>
        <v/>
      </c>
      <c r="AA4817" s="48" t="str">
        <f ca="1">IF(AND('Planning Sheet'!DE376='Weeks Plan'!$D$6,'Planning Sheet'!CY376='Weeks Plan'!$G$6),'Planning Sheet'!$DA376,"")</f>
        <v/>
      </c>
    </row>
    <row r="4818" spans="25:27" x14ac:dyDescent="0.3">
      <c r="Y4818" s="48" t="str">
        <f ca="1">IF(AND('Planning Sheet'!DE377='Weeks Plan'!$D$6,'Planning Sheet'!CY377='Weeks Plan'!$G$6),'Planning Sheet'!$B377,"")</f>
        <v/>
      </c>
      <c r="Z4818" s="48" t="str">
        <f ca="1">IF(AND('Planning Sheet'!DE377='Weeks Plan'!$D$6,'Planning Sheet'!CY377='Weeks Plan'!$G$6),'Planning Sheet'!$CZ377,"")</f>
        <v/>
      </c>
      <c r="AA4818" s="48" t="str">
        <f ca="1">IF(AND('Planning Sheet'!DE377='Weeks Plan'!$D$6,'Planning Sheet'!CY377='Weeks Plan'!$G$6),'Planning Sheet'!$DA377,"")</f>
        <v/>
      </c>
    </row>
    <row r="4819" spans="25:27" x14ac:dyDescent="0.3">
      <c r="Y4819" s="48" t="str">
        <f ca="1">IF(AND('Planning Sheet'!DE378='Weeks Plan'!$D$6,'Planning Sheet'!CY378='Weeks Plan'!$G$6),'Planning Sheet'!$B378,"")</f>
        <v/>
      </c>
      <c r="Z4819" s="48" t="str">
        <f ca="1">IF(AND('Planning Sheet'!DE378='Weeks Plan'!$D$6,'Planning Sheet'!CY378='Weeks Plan'!$G$6),'Planning Sheet'!$CZ378,"")</f>
        <v/>
      </c>
      <c r="AA4819" s="48" t="str">
        <f ca="1">IF(AND('Planning Sheet'!DE378='Weeks Plan'!$D$6,'Planning Sheet'!CY378='Weeks Plan'!$G$6),'Planning Sheet'!$DA378,"")</f>
        <v/>
      </c>
    </row>
    <row r="4820" spans="25:27" x14ac:dyDescent="0.3">
      <c r="Y4820" s="48" t="str">
        <f ca="1">IF(AND('Planning Sheet'!DE379='Weeks Plan'!$D$6,'Planning Sheet'!CY379='Weeks Plan'!$G$6),'Planning Sheet'!$B379,"")</f>
        <v/>
      </c>
      <c r="Z4820" s="48" t="str">
        <f ca="1">IF(AND('Planning Sheet'!DE379='Weeks Plan'!$D$6,'Planning Sheet'!CY379='Weeks Plan'!$G$6),'Planning Sheet'!$CZ379,"")</f>
        <v/>
      </c>
      <c r="AA4820" s="48" t="str">
        <f ca="1">IF(AND('Planning Sheet'!DE379='Weeks Plan'!$D$6,'Planning Sheet'!CY379='Weeks Plan'!$G$6),'Planning Sheet'!$DA379,"")</f>
        <v/>
      </c>
    </row>
    <row r="4821" spans="25:27" x14ac:dyDescent="0.3">
      <c r="Y4821" s="48" t="str">
        <f ca="1">IF(AND('Planning Sheet'!DE380='Weeks Plan'!$D$6,'Planning Sheet'!CY380='Weeks Plan'!$G$6),'Planning Sheet'!$B380,"")</f>
        <v/>
      </c>
      <c r="Z4821" s="48" t="str">
        <f ca="1">IF(AND('Planning Sheet'!DE380='Weeks Plan'!$D$6,'Planning Sheet'!CY380='Weeks Plan'!$G$6),'Planning Sheet'!$CZ380,"")</f>
        <v/>
      </c>
      <c r="AA4821" s="48" t="str">
        <f ca="1">IF(AND('Planning Sheet'!DE380='Weeks Plan'!$D$6,'Planning Sheet'!CY380='Weeks Plan'!$G$6),'Planning Sheet'!$DA380,"")</f>
        <v/>
      </c>
    </row>
    <row r="4822" spans="25:27" x14ac:dyDescent="0.3">
      <c r="Y4822" s="48" t="str">
        <f ca="1">IF(AND('Planning Sheet'!DE381='Weeks Plan'!$D$6,'Planning Sheet'!CY381='Weeks Plan'!$G$6),'Planning Sheet'!$B381,"")</f>
        <v/>
      </c>
      <c r="Z4822" s="48" t="str">
        <f ca="1">IF(AND('Planning Sheet'!DE381='Weeks Plan'!$D$6,'Planning Sheet'!CY381='Weeks Plan'!$G$6),'Planning Sheet'!$CZ381,"")</f>
        <v/>
      </c>
      <c r="AA4822" s="48" t="str">
        <f ca="1">IF(AND('Planning Sheet'!DE381='Weeks Plan'!$D$6,'Planning Sheet'!CY381='Weeks Plan'!$G$6),'Planning Sheet'!$DA381,"")</f>
        <v/>
      </c>
    </row>
    <row r="4823" spans="25:27" x14ac:dyDescent="0.3">
      <c r="Y4823" s="48" t="str">
        <f ca="1">IF(AND('Planning Sheet'!DE382='Weeks Plan'!$D$6,'Planning Sheet'!CY382='Weeks Plan'!$G$6),'Planning Sheet'!$B382,"")</f>
        <v/>
      </c>
      <c r="Z4823" s="48" t="str">
        <f ca="1">IF(AND('Planning Sheet'!DE382='Weeks Plan'!$D$6,'Planning Sheet'!CY382='Weeks Plan'!$G$6),'Planning Sheet'!$CZ382,"")</f>
        <v/>
      </c>
      <c r="AA4823" s="48" t="str">
        <f ca="1">IF(AND('Planning Sheet'!DE382='Weeks Plan'!$D$6,'Planning Sheet'!CY382='Weeks Plan'!$G$6),'Planning Sheet'!$DA382,"")</f>
        <v/>
      </c>
    </row>
    <row r="4824" spans="25:27" x14ac:dyDescent="0.3">
      <c r="Y4824" s="48" t="str">
        <f ca="1">IF(AND('Planning Sheet'!DE383='Weeks Plan'!$D$6,'Planning Sheet'!CY383='Weeks Plan'!$G$6),'Planning Sheet'!$B383,"")</f>
        <v/>
      </c>
      <c r="Z4824" s="48" t="str">
        <f ca="1">IF(AND('Planning Sheet'!DE383='Weeks Plan'!$D$6,'Planning Sheet'!CY383='Weeks Plan'!$G$6),'Planning Sheet'!$CZ383,"")</f>
        <v/>
      </c>
      <c r="AA4824" s="48" t="str">
        <f ca="1">IF(AND('Planning Sheet'!DE383='Weeks Plan'!$D$6,'Planning Sheet'!CY383='Weeks Plan'!$G$6),'Planning Sheet'!$DA383,"")</f>
        <v/>
      </c>
    </row>
    <row r="4825" spans="25:27" x14ac:dyDescent="0.3">
      <c r="Y4825" s="48" t="str">
        <f ca="1">IF(AND('Planning Sheet'!DE384='Weeks Plan'!$D$6,'Planning Sheet'!CY384='Weeks Plan'!$G$6),'Planning Sheet'!$B384,"")</f>
        <v/>
      </c>
      <c r="Z4825" s="48" t="str">
        <f ca="1">IF(AND('Planning Sheet'!DE384='Weeks Plan'!$D$6,'Planning Sheet'!CY384='Weeks Plan'!$G$6),'Planning Sheet'!$CZ384,"")</f>
        <v/>
      </c>
      <c r="AA4825" s="48" t="str">
        <f ca="1">IF(AND('Planning Sheet'!DE384='Weeks Plan'!$D$6,'Planning Sheet'!CY384='Weeks Plan'!$G$6),'Planning Sheet'!$DA384,"")</f>
        <v/>
      </c>
    </row>
    <row r="4826" spans="25:27" x14ac:dyDescent="0.3">
      <c r="Y4826" s="48" t="str">
        <f ca="1">IF(AND('Planning Sheet'!DE385='Weeks Plan'!$D$6,'Planning Sheet'!CY385='Weeks Plan'!$G$6),'Planning Sheet'!$B385,"")</f>
        <v/>
      </c>
      <c r="Z4826" s="48" t="str">
        <f ca="1">IF(AND('Planning Sheet'!DE385='Weeks Plan'!$D$6,'Planning Sheet'!CY385='Weeks Plan'!$G$6),'Planning Sheet'!$CZ385,"")</f>
        <v/>
      </c>
      <c r="AA4826" s="48" t="str">
        <f ca="1">IF(AND('Planning Sheet'!DE385='Weeks Plan'!$D$6,'Planning Sheet'!CY385='Weeks Plan'!$G$6),'Planning Sheet'!$DA385,"")</f>
        <v/>
      </c>
    </row>
    <row r="4827" spans="25:27" x14ac:dyDescent="0.3">
      <c r="Y4827" s="48" t="str">
        <f ca="1">IF(AND('Planning Sheet'!DE386='Weeks Plan'!$D$6,'Planning Sheet'!CY386='Weeks Plan'!$G$6),'Planning Sheet'!$B386,"")</f>
        <v/>
      </c>
      <c r="Z4827" s="48" t="str">
        <f ca="1">IF(AND('Planning Sheet'!DE386='Weeks Plan'!$D$6,'Planning Sheet'!CY386='Weeks Plan'!$G$6),'Planning Sheet'!$CZ386,"")</f>
        <v/>
      </c>
      <c r="AA4827" s="48" t="str">
        <f ca="1">IF(AND('Planning Sheet'!DE386='Weeks Plan'!$D$6,'Planning Sheet'!CY386='Weeks Plan'!$G$6),'Planning Sheet'!$DA386,"")</f>
        <v/>
      </c>
    </row>
    <row r="4828" spans="25:27" x14ac:dyDescent="0.3">
      <c r="Y4828" s="48" t="str">
        <f ca="1">IF(AND('Planning Sheet'!DE387='Weeks Plan'!$D$6,'Planning Sheet'!CY387='Weeks Plan'!$G$6),'Planning Sheet'!$B387,"")</f>
        <v/>
      </c>
      <c r="Z4828" s="48" t="str">
        <f ca="1">IF(AND('Planning Sheet'!DE387='Weeks Plan'!$D$6,'Planning Sheet'!CY387='Weeks Plan'!$G$6),'Planning Sheet'!$CZ387,"")</f>
        <v/>
      </c>
      <c r="AA4828" s="48" t="str">
        <f ca="1">IF(AND('Planning Sheet'!DE387='Weeks Plan'!$D$6,'Planning Sheet'!CY387='Weeks Plan'!$G$6),'Planning Sheet'!$DA387,"")</f>
        <v/>
      </c>
    </row>
    <row r="4829" spans="25:27" x14ac:dyDescent="0.3">
      <c r="Y4829" s="48" t="str">
        <f ca="1">IF(AND('Planning Sheet'!DE388='Weeks Plan'!$D$6,'Planning Sheet'!CY388='Weeks Plan'!$G$6),'Planning Sheet'!$B388,"")</f>
        <v/>
      </c>
      <c r="Z4829" s="48" t="str">
        <f ca="1">IF(AND('Planning Sheet'!DE388='Weeks Plan'!$D$6,'Planning Sheet'!CY388='Weeks Plan'!$G$6),'Planning Sheet'!$CZ388,"")</f>
        <v/>
      </c>
      <c r="AA4829" s="48" t="str">
        <f ca="1">IF(AND('Planning Sheet'!DE388='Weeks Plan'!$D$6,'Planning Sheet'!CY388='Weeks Plan'!$G$6),'Planning Sheet'!$DA388,"")</f>
        <v/>
      </c>
    </row>
    <row r="4830" spans="25:27" x14ac:dyDescent="0.3">
      <c r="Y4830" s="48" t="str">
        <f ca="1">IF(AND('Planning Sheet'!DE389='Weeks Plan'!$D$6,'Planning Sheet'!CY389='Weeks Plan'!$G$6),'Planning Sheet'!$B389,"")</f>
        <v/>
      </c>
      <c r="Z4830" s="48" t="str">
        <f ca="1">IF(AND('Planning Sheet'!DE389='Weeks Plan'!$D$6,'Planning Sheet'!CY389='Weeks Plan'!$G$6),'Planning Sheet'!$CZ389,"")</f>
        <v/>
      </c>
      <c r="AA4830" s="48" t="str">
        <f ca="1">IF(AND('Planning Sheet'!DE389='Weeks Plan'!$D$6,'Planning Sheet'!CY389='Weeks Plan'!$G$6),'Planning Sheet'!$DA389,"")</f>
        <v/>
      </c>
    </row>
    <row r="4831" spans="25:27" x14ac:dyDescent="0.3">
      <c r="Y4831" s="48" t="str">
        <f ca="1">IF(AND('Planning Sheet'!DE390='Weeks Plan'!$D$6,'Planning Sheet'!CY390='Weeks Plan'!$G$6),'Planning Sheet'!$B390,"")</f>
        <v/>
      </c>
      <c r="Z4831" s="48" t="str">
        <f ca="1">IF(AND('Planning Sheet'!DE390='Weeks Plan'!$D$6,'Planning Sheet'!CY390='Weeks Plan'!$G$6),'Planning Sheet'!$CZ390,"")</f>
        <v/>
      </c>
      <c r="AA4831" s="48" t="str">
        <f ca="1">IF(AND('Planning Sheet'!DE390='Weeks Plan'!$D$6,'Planning Sheet'!CY390='Weeks Plan'!$G$6),'Planning Sheet'!$DA390,"")</f>
        <v/>
      </c>
    </row>
    <row r="4832" spans="25:27" x14ac:dyDescent="0.3">
      <c r="Y4832" s="48" t="str">
        <f ca="1">IF(AND('Planning Sheet'!DE391='Weeks Plan'!$D$6,'Planning Sheet'!CY391='Weeks Plan'!$G$6),'Planning Sheet'!$B391,"")</f>
        <v/>
      </c>
      <c r="Z4832" s="48" t="str">
        <f ca="1">IF(AND('Planning Sheet'!DE391='Weeks Plan'!$D$6,'Planning Sheet'!CY391='Weeks Plan'!$G$6),'Planning Sheet'!$CZ391,"")</f>
        <v/>
      </c>
      <c r="AA4832" s="48" t="str">
        <f ca="1">IF(AND('Planning Sheet'!DE391='Weeks Plan'!$D$6,'Planning Sheet'!CY391='Weeks Plan'!$G$6),'Planning Sheet'!$DA391,"")</f>
        <v/>
      </c>
    </row>
    <row r="4833" spans="25:27" x14ac:dyDescent="0.3">
      <c r="Y4833" s="48" t="str">
        <f ca="1">IF(AND('Planning Sheet'!DE392='Weeks Plan'!$D$6,'Planning Sheet'!CY392='Weeks Plan'!$G$6),'Planning Sheet'!$B392,"")</f>
        <v/>
      </c>
      <c r="Z4833" s="48" t="str">
        <f ca="1">IF(AND('Planning Sheet'!DE392='Weeks Plan'!$D$6,'Planning Sheet'!CY392='Weeks Plan'!$G$6),'Planning Sheet'!$CZ392,"")</f>
        <v/>
      </c>
      <c r="AA4833" s="48" t="str">
        <f ca="1">IF(AND('Planning Sheet'!DE392='Weeks Plan'!$D$6,'Planning Sheet'!CY392='Weeks Plan'!$G$6),'Planning Sheet'!$DA392,"")</f>
        <v/>
      </c>
    </row>
    <row r="4834" spans="25:27" x14ac:dyDescent="0.3">
      <c r="Y4834" s="48" t="str">
        <f ca="1">IF(AND('Planning Sheet'!DE393='Weeks Plan'!$D$6,'Planning Sheet'!CY393='Weeks Plan'!$G$6),'Planning Sheet'!$B393,"")</f>
        <v/>
      </c>
      <c r="Z4834" s="48" t="str">
        <f ca="1">IF(AND('Planning Sheet'!DE393='Weeks Plan'!$D$6,'Planning Sheet'!CY393='Weeks Plan'!$G$6),'Planning Sheet'!$CZ393,"")</f>
        <v/>
      </c>
      <c r="AA4834" s="48" t="str">
        <f ca="1">IF(AND('Planning Sheet'!DE393='Weeks Plan'!$D$6,'Planning Sheet'!CY393='Weeks Plan'!$G$6),'Planning Sheet'!$DA393,"")</f>
        <v/>
      </c>
    </row>
    <row r="4835" spans="25:27" x14ac:dyDescent="0.3">
      <c r="Y4835" s="48" t="str">
        <f ca="1">IF(AND('Planning Sheet'!DE394='Weeks Plan'!$D$6,'Planning Sheet'!CY394='Weeks Plan'!$G$6),'Planning Sheet'!$B394,"")</f>
        <v/>
      </c>
      <c r="Z4835" s="48" t="str">
        <f ca="1">IF(AND('Planning Sheet'!DE394='Weeks Plan'!$D$6,'Planning Sheet'!CY394='Weeks Plan'!$G$6),'Planning Sheet'!$CZ394,"")</f>
        <v/>
      </c>
      <c r="AA4835" s="48" t="str">
        <f ca="1">IF(AND('Planning Sheet'!DE394='Weeks Plan'!$D$6,'Planning Sheet'!CY394='Weeks Plan'!$G$6),'Planning Sheet'!$DA394,"")</f>
        <v/>
      </c>
    </row>
    <row r="4836" spans="25:27" x14ac:dyDescent="0.3">
      <c r="Y4836" s="48" t="str">
        <f ca="1">IF(AND('Planning Sheet'!DE395='Weeks Plan'!$D$6,'Planning Sheet'!CY395='Weeks Plan'!$G$6),'Planning Sheet'!$B395,"")</f>
        <v/>
      </c>
      <c r="Z4836" s="48" t="str">
        <f ca="1">IF(AND('Planning Sheet'!DE395='Weeks Plan'!$D$6,'Planning Sheet'!CY395='Weeks Plan'!$G$6),'Planning Sheet'!$CZ395,"")</f>
        <v/>
      </c>
      <c r="AA4836" s="48" t="str">
        <f ca="1">IF(AND('Planning Sheet'!DE395='Weeks Plan'!$D$6,'Planning Sheet'!CY395='Weeks Plan'!$G$6),'Planning Sheet'!$DA395,"")</f>
        <v/>
      </c>
    </row>
    <row r="4837" spans="25:27" x14ac:dyDescent="0.3">
      <c r="Y4837" s="48" t="str">
        <f ca="1">IF(AND('Planning Sheet'!DE396='Weeks Plan'!$D$6,'Planning Sheet'!CY396='Weeks Plan'!$G$6),'Planning Sheet'!$B396,"")</f>
        <v/>
      </c>
      <c r="Z4837" s="48" t="str">
        <f ca="1">IF(AND('Planning Sheet'!DE396='Weeks Plan'!$D$6,'Planning Sheet'!CY396='Weeks Plan'!$G$6),'Planning Sheet'!$CZ396,"")</f>
        <v/>
      </c>
      <c r="AA4837" s="48" t="str">
        <f ca="1">IF(AND('Planning Sheet'!DE396='Weeks Plan'!$D$6,'Planning Sheet'!CY396='Weeks Plan'!$G$6),'Planning Sheet'!$DA396,"")</f>
        <v/>
      </c>
    </row>
    <row r="4838" spans="25:27" x14ac:dyDescent="0.3">
      <c r="Y4838" s="48" t="str">
        <f ca="1">IF(AND('Planning Sheet'!DE397='Weeks Plan'!$D$6,'Planning Sheet'!CY397='Weeks Plan'!$G$6),'Planning Sheet'!$B397,"")</f>
        <v/>
      </c>
      <c r="Z4838" s="48" t="str">
        <f ca="1">IF(AND('Planning Sheet'!DE397='Weeks Plan'!$D$6,'Planning Sheet'!CY397='Weeks Plan'!$G$6),'Planning Sheet'!$CZ397,"")</f>
        <v/>
      </c>
      <c r="AA4838" s="48" t="str">
        <f ca="1">IF(AND('Planning Sheet'!DE397='Weeks Plan'!$D$6,'Planning Sheet'!CY397='Weeks Plan'!$G$6),'Planning Sheet'!$DA397,"")</f>
        <v/>
      </c>
    </row>
    <row r="4839" spans="25:27" x14ac:dyDescent="0.3">
      <c r="Y4839" s="48" t="str">
        <f ca="1">IF(AND('Planning Sheet'!DE398='Weeks Plan'!$D$6,'Planning Sheet'!CY398='Weeks Plan'!$G$6),'Planning Sheet'!$B398,"")</f>
        <v/>
      </c>
      <c r="Z4839" s="48" t="str">
        <f ca="1">IF(AND('Planning Sheet'!DE398='Weeks Plan'!$D$6,'Planning Sheet'!CY398='Weeks Plan'!$G$6),'Planning Sheet'!$CZ398,"")</f>
        <v/>
      </c>
      <c r="AA4839" s="48" t="str">
        <f ca="1">IF(AND('Planning Sheet'!DE398='Weeks Plan'!$D$6,'Planning Sheet'!CY398='Weeks Plan'!$G$6),'Planning Sheet'!$DA398,"")</f>
        <v/>
      </c>
    </row>
    <row r="4840" spans="25:27" x14ac:dyDescent="0.3">
      <c r="Y4840" s="48" t="str">
        <f ca="1">IF(AND('Planning Sheet'!DE399='Weeks Plan'!$D$6,'Planning Sheet'!CY399='Weeks Plan'!$G$6),'Planning Sheet'!$B399,"")</f>
        <v/>
      </c>
      <c r="Z4840" s="48" t="str">
        <f ca="1">IF(AND('Planning Sheet'!DE399='Weeks Plan'!$D$6,'Planning Sheet'!CY399='Weeks Plan'!$G$6),'Planning Sheet'!$CZ399,"")</f>
        <v/>
      </c>
      <c r="AA4840" s="48" t="str">
        <f ca="1">IF(AND('Planning Sheet'!DE399='Weeks Plan'!$D$6,'Planning Sheet'!CY399='Weeks Plan'!$G$6),'Planning Sheet'!$DA399,"")</f>
        <v/>
      </c>
    </row>
    <row r="4841" spans="25:27" x14ac:dyDescent="0.3">
      <c r="Y4841" s="48" t="str">
        <f ca="1">IF(AND('Planning Sheet'!DE400='Weeks Plan'!$D$6,'Planning Sheet'!CY400='Weeks Plan'!$G$6),'Planning Sheet'!$B400,"")</f>
        <v/>
      </c>
      <c r="Z4841" s="48" t="str">
        <f ca="1">IF(AND('Planning Sheet'!DE400='Weeks Plan'!$D$6,'Planning Sheet'!CY400='Weeks Plan'!$G$6),'Planning Sheet'!$CZ400,"")</f>
        <v/>
      </c>
      <c r="AA4841" s="48" t="str">
        <f ca="1">IF(AND('Planning Sheet'!DE400='Weeks Plan'!$D$6,'Planning Sheet'!CY400='Weeks Plan'!$G$6),'Planning Sheet'!$DA400,"")</f>
        <v/>
      </c>
    </row>
    <row r="4842" spans="25:27" x14ac:dyDescent="0.3">
      <c r="Y4842" s="48" t="str">
        <f ca="1">IF(AND('Planning Sheet'!DE401='Weeks Plan'!$D$6,'Planning Sheet'!CY401='Weeks Plan'!$G$6),'Planning Sheet'!$B401,"")</f>
        <v/>
      </c>
      <c r="Z4842" s="48" t="str">
        <f ca="1">IF(AND('Planning Sheet'!DE401='Weeks Plan'!$D$6,'Planning Sheet'!CY401='Weeks Plan'!$G$6),'Planning Sheet'!$CZ401,"")</f>
        <v/>
      </c>
      <c r="AA4842" s="48" t="str">
        <f ca="1">IF(AND('Planning Sheet'!DE401='Weeks Plan'!$D$6,'Planning Sheet'!CY401='Weeks Plan'!$G$6),'Planning Sheet'!$DA401,"")</f>
        <v/>
      </c>
    </row>
    <row r="4843" spans="25:27" x14ac:dyDescent="0.3">
      <c r="Y4843" s="48" t="str">
        <f ca="1">IF(AND('Planning Sheet'!DE402='Weeks Plan'!$D$6,'Planning Sheet'!CY402='Weeks Plan'!$G$6),'Planning Sheet'!$B402,"")</f>
        <v/>
      </c>
      <c r="Z4843" s="48" t="str">
        <f ca="1">IF(AND('Planning Sheet'!DE402='Weeks Plan'!$D$6,'Planning Sheet'!CY402='Weeks Plan'!$G$6),'Planning Sheet'!$CZ402,"")</f>
        <v/>
      </c>
      <c r="AA4843" s="48" t="str">
        <f ca="1">IF(AND('Planning Sheet'!DE402='Weeks Plan'!$D$6,'Planning Sheet'!CY402='Weeks Plan'!$G$6),'Planning Sheet'!$DA402,"")</f>
        <v/>
      </c>
    </row>
    <row r="4844" spans="25:27" x14ac:dyDescent="0.3">
      <c r="Y4844" s="48" t="str">
        <f ca="1">IF(AND('Planning Sheet'!DE403='Weeks Plan'!$D$6,'Planning Sheet'!CY403='Weeks Plan'!$G$6),'Planning Sheet'!$B403,"")</f>
        <v/>
      </c>
      <c r="Z4844" s="48" t="str">
        <f ca="1">IF(AND('Planning Sheet'!DE403='Weeks Plan'!$D$6,'Planning Sheet'!CY403='Weeks Plan'!$G$6),'Planning Sheet'!$CZ403,"")</f>
        <v/>
      </c>
      <c r="AA4844" s="48" t="str">
        <f ca="1">IF(AND('Planning Sheet'!DE403='Weeks Plan'!$D$6,'Planning Sheet'!CY403='Weeks Plan'!$G$6),'Planning Sheet'!$DA403,"")</f>
        <v/>
      </c>
    </row>
    <row r="4845" spans="25:27" x14ac:dyDescent="0.3">
      <c r="Y4845" s="48" t="str">
        <f ca="1">IF(AND('Planning Sheet'!DE404='Weeks Plan'!$D$6,'Planning Sheet'!CY404='Weeks Plan'!$G$6),'Planning Sheet'!$B404,"")</f>
        <v/>
      </c>
      <c r="Z4845" s="48" t="str">
        <f ca="1">IF(AND('Planning Sheet'!DE404='Weeks Plan'!$D$6,'Planning Sheet'!CY404='Weeks Plan'!$G$6),'Planning Sheet'!$CZ404,"")</f>
        <v/>
      </c>
      <c r="AA4845" s="48" t="str">
        <f ca="1">IF(AND('Planning Sheet'!DE404='Weeks Plan'!$D$6,'Planning Sheet'!CY404='Weeks Plan'!$G$6),'Planning Sheet'!$DA404,"")</f>
        <v/>
      </c>
    </row>
    <row r="4846" spans="25:27" x14ac:dyDescent="0.3">
      <c r="Y4846" s="48" t="str">
        <f ca="1">IF(AND('Planning Sheet'!DE405='Weeks Plan'!$D$6,'Planning Sheet'!CY405='Weeks Plan'!$G$6),'Planning Sheet'!$B405,"")</f>
        <v/>
      </c>
      <c r="Z4846" s="48" t="str">
        <f ca="1">IF(AND('Planning Sheet'!DE405='Weeks Plan'!$D$6,'Planning Sheet'!CY405='Weeks Plan'!$G$6),'Planning Sheet'!$CZ405,"")</f>
        <v/>
      </c>
      <c r="AA4846" s="48" t="str">
        <f ca="1">IF(AND('Planning Sheet'!DE405='Weeks Plan'!$D$6,'Planning Sheet'!CY405='Weeks Plan'!$G$6),'Planning Sheet'!$DA405,"")</f>
        <v/>
      </c>
    </row>
    <row r="4847" spans="25:27" x14ac:dyDescent="0.3">
      <c r="Y4847" s="48" t="str">
        <f ca="1">IF(AND('Planning Sheet'!DE406='Weeks Plan'!$D$6,'Planning Sheet'!CY406='Weeks Plan'!$G$6),'Planning Sheet'!$B406,"")</f>
        <v/>
      </c>
      <c r="Z4847" s="48" t="str">
        <f ca="1">IF(AND('Planning Sheet'!DE406='Weeks Plan'!$D$6,'Planning Sheet'!CY406='Weeks Plan'!$G$6),'Planning Sheet'!$CZ406,"")</f>
        <v/>
      </c>
      <c r="AA4847" s="48" t="str">
        <f ca="1">IF(AND('Planning Sheet'!DE406='Weeks Plan'!$D$6,'Planning Sheet'!CY406='Weeks Plan'!$G$6),'Planning Sheet'!$DA406,"")</f>
        <v/>
      </c>
    </row>
    <row r="4848" spans="25:27" x14ac:dyDescent="0.3">
      <c r="Y4848" s="48" t="str">
        <f ca="1">IF(AND('Planning Sheet'!DE407='Weeks Plan'!$D$6,'Planning Sheet'!CY407='Weeks Plan'!$G$6),'Planning Sheet'!$B407,"")</f>
        <v/>
      </c>
      <c r="Z4848" s="48" t="str">
        <f ca="1">IF(AND('Planning Sheet'!DE407='Weeks Plan'!$D$6,'Planning Sheet'!CY407='Weeks Plan'!$G$6),'Planning Sheet'!$CZ407,"")</f>
        <v/>
      </c>
      <c r="AA4848" s="48" t="str">
        <f ca="1">IF(AND('Planning Sheet'!DE407='Weeks Plan'!$D$6,'Planning Sheet'!CY407='Weeks Plan'!$G$6),'Planning Sheet'!$DA407,"")</f>
        <v/>
      </c>
    </row>
    <row r="4849" spans="25:27" x14ac:dyDescent="0.3">
      <c r="Y4849" s="48" t="str">
        <f ca="1">IF(AND('Planning Sheet'!DE408='Weeks Plan'!$D$6,'Planning Sheet'!CY408='Weeks Plan'!$G$6),'Planning Sheet'!$B408,"")</f>
        <v/>
      </c>
      <c r="Z4849" s="48" t="str">
        <f ca="1">IF(AND('Planning Sheet'!DE408='Weeks Plan'!$D$6,'Planning Sheet'!CY408='Weeks Plan'!$G$6),'Planning Sheet'!$CZ408,"")</f>
        <v/>
      </c>
      <c r="AA4849" s="48" t="str">
        <f ca="1">IF(AND('Planning Sheet'!DE408='Weeks Plan'!$D$6,'Planning Sheet'!CY408='Weeks Plan'!$G$6),'Planning Sheet'!$DA408,"")</f>
        <v/>
      </c>
    </row>
    <row r="4850" spans="25:27" x14ac:dyDescent="0.3">
      <c r="Y4850" s="48" t="str">
        <f ca="1">IF(AND('Planning Sheet'!DE409='Weeks Plan'!$D$6,'Planning Sheet'!CY409='Weeks Plan'!$G$6),'Planning Sheet'!$B409,"")</f>
        <v/>
      </c>
      <c r="Z4850" s="48" t="str">
        <f ca="1">IF(AND('Planning Sheet'!DE409='Weeks Plan'!$D$6,'Planning Sheet'!CY409='Weeks Plan'!$G$6),'Planning Sheet'!$CZ409,"")</f>
        <v/>
      </c>
      <c r="AA4850" s="48" t="str">
        <f ca="1">IF(AND('Planning Sheet'!DE409='Weeks Plan'!$D$6,'Planning Sheet'!CY409='Weeks Plan'!$G$6),'Planning Sheet'!$DA409,"")</f>
        <v/>
      </c>
    </row>
    <row r="4851" spans="25:27" x14ac:dyDescent="0.3">
      <c r="Y4851" s="48" t="str">
        <f ca="1">IF(AND('Planning Sheet'!DE410='Weeks Plan'!$D$6,'Planning Sheet'!CY410='Weeks Plan'!$G$6),'Planning Sheet'!$B410,"")</f>
        <v/>
      </c>
      <c r="Z4851" s="48" t="str">
        <f ca="1">IF(AND('Planning Sheet'!DE410='Weeks Plan'!$D$6,'Planning Sheet'!CY410='Weeks Plan'!$G$6),'Planning Sheet'!$CZ410,"")</f>
        <v/>
      </c>
      <c r="AA4851" s="48" t="str">
        <f ca="1">IF(AND('Planning Sheet'!DE410='Weeks Plan'!$D$6,'Planning Sheet'!CY410='Weeks Plan'!$G$6),'Planning Sheet'!$DA410,"")</f>
        <v/>
      </c>
    </row>
    <row r="4852" spans="25:27" x14ac:dyDescent="0.3">
      <c r="Y4852" s="48" t="str">
        <f ca="1">IF(AND('Planning Sheet'!DE411='Weeks Plan'!$D$6,'Planning Sheet'!CY411='Weeks Plan'!$G$6),'Planning Sheet'!$B411,"")</f>
        <v/>
      </c>
      <c r="Z4852" s="48" t="str">
        <f ca="1">IF(AND('Planning Sheet'!DE411='Weeks Plan'!$D$6,'Planning Sheet'!CY411='Weeks Plan'!$G$6),'Planning Sheet'!$CZ411,"")</f>
        <v/>
      </c>
      <c r="AA4852" s="48" t="str">
        <f ca="1">IF(AND('Planning Sheet'!DE411='Weeks Plan'!$D$6,'Planning Sheet'!CY411='Weeks Plan'!$G$6),'Planning Sheet'!$DA411,"")</f>
        <v/>
      </c>
    </row>
    <row r="4853" spans="25:27" x14ac:dyDescent="0.3">
      <c r="Y4853" s="48" t="str">
        <f ca="1">IF(AND('Planning Sheet'!DE412='Weeks Plan'!$D$6,'Planning Sheet'!CY412='Weeks Plan'!$G$6),'Planning Sheet'!$B412,"")</f>
        <v/>
      </c>
      <c r="Z4853" s="48" t="str">
        <f ca="1">IF(AND('Planning Sheet'!DE412='Weeks Plan'!$D$6,'Planning Sheet'!CY412='Weeks Plan'!$G$6),'Planning Sheet'!$CZ412,"")</f>
        <v/>
      </c>
      <c r="AA4853" s="48" t="str">
        <f ca="1">IF(AND('Planning Sheet'!DE412='Weeks Plan'!$D$6,'Planning Sheet'!CY412='Weeks Plan'!$G$6),'Planning Sheet'!$DA412,"")</f>
        <v/>
      </c>
    </row>
    <row r="4854" spans="25:27" x14ac:dyDescent="0.3">
      <c r="Y4854" s="48" t="str">
        <f ca="1">IF(AND('Planning Sheet'!DE413='Weeks Plan'!$D$6,'Planning Sheet'!CY413='Weeks Plan'!$G$6),'Planning Sheet'!$B413,"")</f>
        <v/>
      </c>
      <c r="Z4854" s="48" t="str">
        <f ca="1">IF(AND('Planning Sheet'!DE413='Weeks Plan'!$D$6,'Planning Sheet'!CY413='Weeks Plan'!$G$6),'Planning Sheet'!$CZ413,"")</f>
        <v/>
      </c>
      <c r="AA4854" s="48" t="str">
        <f ca="1">IF(AND('Planning Sheet'!DE413='Weeks Plan'!$D$6,'Planning Sheet'!CY413='Weeks Plan'!$G$6),'Planning Sheet'!$DA413,"")</f>
        <v/>
      </c>
    </row>
    <row r="4855" spans="25:27" x14ac:dyDescent="0.3">
      <c r="Y4855" s="48" t="str">
        <f ca="1">IF(AND('Planning Sheet'!DE414='Weeks Plan'!$D$6,'Planning Sheet'!CY414='Weeks Plan'!$G$6),'Planning Sheet'!$B414,"")</f>
        <v/>
      </c>
      <c r="Z4855" s="48" t="str">
        <f ca="1">IF(AND('Planning Sheet'!DE414='Weeks Plan'!$D$6,'Planning Sheet'!CY414='Weeks Plan'!$G$6),'Planning Sheet'!$CZ414,"")</f>
        <v/>
      </c>
      <c r="AA4855" s="48" t="str">
        <f ca="1">IF(AND('Planning Sheet'!DE414='Weeks Plan'!$D$6,'Planning Sheet'!CY414='Weeks Plan'!$G$6),'Planning Sheet'!$DA414,"")</f>
        <v/>
      </c>
    </row>
    <row r="4856" spans="25:27" x14ac:dyDescent="0.3">
      <c r="Y4856" s="48" t="str">
        <f ca="1">IF(AND('Planning Sheet'!DE415='Weeks Plan'!$D$6,'Planning Sheet'!CY415='Weeks Plan'!$G$6),'Planning Sheet'!$B415,"")</f>
        <v/>
      </c>
      <c r="Z4856" s="48" t="str">
        <f ca="1">IF(AND('Planning Sheet'!DE415='Weeks Plan'!$D$6,'Planning Sheet'!CY415='Weeks Plan'!$G$6),'Planning Sheet'!$CZ415,"")</f>
        <v/>
      </c>
      <c r="AA4856" s="48" t="str">
        <f ca="1">IF(AND('Planning Sheet'!DE415='Weeks Plan'!$D$6,'Planning Sheet'!CY415='Weeks Plan'!$G$6),'Planning Sheet'!$DA415,"")</f>
        <v/>
      </c>
    </row>
    <row r="4857" spans="25:27" x14ac:dyDescent="0.3">
      <c r="Y4857" s="48" t="str">
        <f ca="1">IF(AND('Planning Sheet'!DE416='Weeks Plan'!$D$6,'Planning Sheet'!CY416='Weeks Plan'!$G$6),'Planning Sheet'!$B416,"")</f>
        <v/>
      </c>
      <c r="Z4857" s="48" t="str">
        <f ca="1">IF(AND('Planning Sheet'!DE416='Weeks Plan'!$D$6,'Planning Sheet'!CY416='Weeks Plan'!$G$6),'Planning Sheet'!$CZ416,"")</f>
        <v/>
      </c>
      <c r="AA4857" s="48" t="str">
        <f ca="1">IF(AND('Planning Sheet'!DE416='Weeks Plan'!$D$6,'Planning Sheet'!CY416='Weeks Plan'!$G$6),'Planning Sheet'!$DA416,"")</f>
        <v/>
      </c>
    </row>
    <row r="4858" spans="25:27" x14ac:dyDescent="0.3">
      <c r="Y4858" s="48" t="str">
        <f ca="1">IF(AND('Planning Sheet'!DE417='Weeks Plan'!$D$6,'Planning Sheet'!CY417='Weeks Plan'!$G$6),'Planning Sheet'!$B417,"")</f>
        <v/>
      </c>
      <c r="Z4858" s="48" t="str">
        <f ca="1">IF(AND('Planning Sheet'!DE417='Weeks Plan'!$D$6,'Planning Sheet'!CY417='Weeks Plan'!$G$6),'Planning Sheet'!$CZ417,"")</f>
        <v/>
      </c>
      <c r="AA4858" s="48" t="str">
        <f ca="1">IF(AND('Planning Sheet'!DE417='Weeks Plan'!$D$6,'Planning Sheet'!CY417='Weeks Plan'!$G$6),'Planning Sheet'!$DA417,"")</f>
        <v/>
      </c>
    </row>
    <row r="4859" spans="25:27" x14ac:dyDescent="0.3">
      <c r="Y4859" s="48" t="str">
        <f ca="1">IF(AND('Planning Sheet'!DE418='Weeks Plan'!$D$6,'Planning Sheet'!CY418='Weeks Plan'!$G$6),'Planning Sheet'!$B418,"")</f>
        <v/>
      </c>
      <c r="Z4859" s="48" t="str">
        <f ca="1">IF(AND('Planning Sheet'!DE418='Weeks Plan'!$D$6,'Planning Sheet'!CY418='Weeks Plan'!$G$6),'Planning Sheet'!$CZ418,"")</f>
        <v/>
      </c>
      <c r="AA4859" s="48" t="str">
        <f ca="1">IF(AND('Planning Sheet'!DE418='Weeks Plan'!$D$6,'Planning Sheet'!CY418='Weeks Plan'!$G$6),'Planning Sheet'!$DA418,"")</f>
        <v/>
      </c>
    </row>
    <row r="4860" spans="25:27" x14ac:dyDescent="0.3">
      <c r="Y4860" s="48" t="str">
        <f ca="1">IF(AND('Planning Sheet'!DE419='Weeks Plan'!$D$6,'Planning Sheet'!CY419='Weeks Plan'!$G$6),'Planning Sheet'!$B419,"")</f>
        <v/>
      </c>
      <c r="Z4860" s="48" t="str">
        <f ca="1">IF(AND('Planning Sheet'!DE419='Weeks Plan'!$D$6,'Planning Sheet'!CY419='Weeks Plan'!$G$6),'Planning Sheet'!$CZ419,"")</f>
        <v/>
      </c>
      <c r="AA4860" s="48" t="str">
        <f ca="1">IF(AND('Planning Sheet'!DE419='Weeks Plan'!$D$6,'Planning Sheet'!CY419='Weeks Plan'!$G$6),'Planning Sheet'!$DA419,"")</f>
        <v/>
      </c>
    </row>
    <row r="4861" spans="25:27" x14ac:dyDescent="0.3">
      <c r="Y4861" s="48" t="str">
        <f ca="1">IF(AND('Planning Sheet'!DE420='Weeks Plan'!$D$6,'Planning Sheet'!CY420='Weeks Plan'!$G$6),'Planning Sheet'!$B420,"")</f>
        <v/>
      </c>
      <c r="Z4861" s="48" t="str">
        <f ca="1">IF(AND('Planning Sheet'!DE420='Weeks Plan'!$D$6,'Planning Sheet'!CY420='Weeks Plan'!$G$6),'Planning Sheet'!$CZ420,"")</f>
        <v/>
      </c>
      <c r="AA4861" s="48" t="str">
        <f ca="1">IF(AND('Planning Sheet'!DE420='Weeks Plan'!$D$6,'Planning Sheet'!CY420='Weeks Plan'!$G$6),'Planning Sheet'!$DA420,"")</f>
        <v/>
      </c>
    </row>
    <row r="4862" spans="25:27" x14ac:dyDescent="0.3">
      <c r="Y4862" s="48" t="str">
        <f ca="1">IF(AND('Planning Sheet'!DE421='Weeks Plan'!$D$6,'Planning Sheet'!CY421='Weeks Plan'!$G$6),'Planning Sheet'!$B421,"")</f>
        <v/>
      </c>
      <c r="Z4862" s="48" t="str">
        <f ca="1">IF(AND('Planning Sheet'!DE421='Weeks Plan'!$D$6,'Planning Sheet'!CY421='Weeks Plan'!$G$6),'Planning Sheet'!$CZ421,"")</f>
        <v/>
      </c>
      <c r="AA4862" s="48" t="str">
        <f ca="1">IF(AND('Planning Sheet'!DE421='Weeks Plan'!$D$6,'Planning Sheet'!CY421='Weeks Plan'!$G$6),'Planning Sheet'!$DA421,"")</f>
        <v/>
      </c>
    </row>
    <row r="4863" spans="25:27" x14ac:dyDescent="0.3">
      <c r="Y4863" s="48" t="str">
        <f ca="1">IF(AND('Planning Sheet'!DE422='Weeks Plan'!$D$6,'Planning Sheet'!CY422='Weeks Plan'!$G$6),'Planning Sheet'!$B422,"")</f>
        <v/>
      </c>
      <c r="Z4863" s="48" t="str">
        <f ca="1">IF(AND('Planning Sheet'!DE422='Weeks Plan'!$D$6,'Planning Sheet'!CY422='Weeks Plan'!$G$6),'Planning Sheet'!$CZ422,"")</f>
        <v/>
      </c>
      <c r="AA4863" s="48" t="str">
        <f ca="1">IF(AND('Planning Sheet'!DE422='Weeks Plan'!$D$6,'Planning Sheet'!CY422='Weeks Plan'!$G$6),'Planning Sheet'!$DA422,"")</f>
        <v/>
      </c>
    </row>
    <row r="4864" spans="25:27" x14ac:dyDescent="0.3">
      <c r="Y4864" s="48" t="str">
        <f ca="1">IF(AND('Planning Sheet'!DE423='Weeks Plan'!$D$6,'Planning Sheet'!CY423='Weeks Plan'!$G$6),'Planning Sheet'!$B423,"")</f>
        <v/>
      </c>
      <c r="Z4864" s="48" t="str">
        <f ca="1">IF(AND('Planning Sheet'!DE423='Weeks Plan'!$D$6,'Planning Sheet'!CY423='Weeks Plan'!$G$6),'Planning Sheet'!$CZ423,"")</f>
        <v/>
      </c>
      <c r="AA4864" s="48" t="str">
        <f ca="1">IF(AND('Planning Sheet'!DE423='Weeks Plan'!$D$6,'Planning Sheet'!CY423='Weeks Plan'!$G$6),'Planning Sheet'!$DA423,"")</f>
        <v/>
      </c>
    </row>
    <row r="4865" spans="25:27" x14ac:dyDescent="0.3">
      <c r="Y4865" s="48" t="str">
        <f ca="1">IF(AND('Planning Sheet'!DE424='Weeks Plan'!$D$6,'Planning Sheet'!CY424='Weeks Plan'!$G$6),'Planning Sheet'!$B424,"")</f>
        <v/>
      </c>
      <c r="Z4865" s="48" t="str">
        <f ca="1">IF(AND('Planning Sheet'!DE424='Weeks Plan'!$D$6,'Planning Sheet'!CY424='Weeks Plan'!$G$6),'Planning Sheet'!$CZ424,"")</f>
        <v/>
      </c>
      <c r="AA4865" s="48" t="str">
        <f ca="1">IF(AND('Planning Sheet'!DE424='Weeks Plan'!$D$6,'Planning Sheet'!CY424='Weeks Plan'!$G$6),'Planning Sheet'!$DA424,"")</f>
        <v/>
      </c>
    </row>
    <row r="4866" spans="25:27" x14ac:dyDescent="0.3">
      <c r="Y4866" s="48" t="str">
        <f ca="1">IF(AND('Planning Sheet'!DE425='Weeks Plan'!$D$6,'Planning Sheet'!CY425='Weeks Plan'!$G$6),'Planning Sheet'!$B425,"")</f>
        <v/>
      </c>
      <c r="Z4866" s="48" t="str">
        <f ca="1">IF(AND('Planning Sheet'!DE425='Weeks Plan'!$D$6,'Planning Sheet'!CY425='Weeks Plan'!$G$6),'Planning Sheet'!$CZ425,"")</f>
        <v/>
      </c>
      <c r="AA4866" s="48" t="str">
        <f ca="1">IF(AND('Planning Sheet'!DE425='Weeks Plan'!$D$6,'Planning Sheet'!CY425='Weeks Plan'!$G$6),'Planning Sheet'!$DA425,"")</f>
        <v/>
      </c>
    </row>
    <row r="4867" spans="25:27" x14ac:dyDescent="0.3">
      <c r="Y4867" s="48" t="str">
        <f ca="1">IF(AND('Planning Sheet'!DE426='Weeks Plan'!$D$6,'Planning Sheet'!CY426='Weeks Plan'!$G$6),'Planning Sheet'!$B426,"")</f>
        <v/>
      </c>
      <c r="Z4867" s="48" t="str">
        <f ca="1">IF(AND('Planning Sheet'!DE426='Weeks Plan'!$D$6,'Planning Sheet'!CY426='Weeks Plan'!$G$6),'Planning Sheet'!$CZ426,"")</f>
        <v/>
      </c>
      <c r="AA4867" s="48" t="str">
        <f ca="1">IF(AND('Planning Sheet'!DE426='Weeks Plan'!$D$6,'Planning Sheet'!CY426='Weeks Plan'!$G$6),'Planning Sheet'!$DA426,"")</f>
        <v/>
      </c>
    </row>
    <row r="4868" spans="25:27" x14ac:dyDescent="0.3">
      <c r="Y4868" s="48" t="str">
        <f ca="1">IF(AND('Planning Sheet'!DE427='Weeks Plan'!$D$6,'Planning Sheet'!CY427='Weeks Plan'!$G$6),'Planning Sheet'!$B427,"")</f>
        <v/>
      </c>
      <c r="Z4868" s="48" t="str">
        <f ca="1">IF(AND('Planning Sheet'!DE427='Weeks Plan'!$D$6,'Planning Sheet'!CY427='Weeks Plan'!$G$6),'Planning Sheet'!$CZ427,"")</f>
        <v/>
      </c>
      <c r="AA4868" s="48" t="str">
        <f ca="1">IF(AND('Planning Sheet'!DE427='Weeks Plan'!$D$6,'Planning Sheet'!CY427='Weeks Plan'!$G$6),'Planning Sheet'!$DA427,"")</f>
        <v/>
      </c>
    </row>
    <row r="4869" spans="25:27" x14ac:dyDescent="0.3">
      <c r="Y4869" s="48" t="str">
        <f ca="1">IF(AND('Planning Sheet'!DE428='Weeks Plan'!$D$6,'Planning Sheet'!CY428='Weeks Plan'!$G$6),'Planning Sheet'!$B428,"")</f>
        <v/>
      </c>
      <c r="Z4869" s="48" t="str">
        <f ca="1">IF(AND('Planning Sheet'!DE428='Weeks Plan'!$D$6,'Planning Sheet'!CY428='Weeks Plan'!$G$6),'Planning Sheet'!$CZ428,"")</f>
        <v/>
      </c>
      <c r="AA4869" s="48" t="str">
        <f ca="1">IF(AND('Planning Sheet'!DE428='Weeks Plan'!$D$6,'Planning Sheet'!CY428='Weeks Plan'!$G$6),'Planning Sheet'!$DA428,"")</f>
        <v/>
      </c>
    </row>
    <row r="4870" spans="25:27" x14ac:dyDescent="0.3">
      <c r="Y4870" s="48" t="str">
        <f ca="1">IF(AND('Planning Sheet'!DE429='Weeks Plan'!$D$6,'Planning Sheet'!CY429='Weeks Plan'!$G$6),'Planning Sheet'!$B429,"")</f>
        <v/>
      </c>
      <c r="Z4870" s="48" t="str">
        <f ca="1">IF(AND('Planning Sheet'!DE429='Weeks Plan'!$D$6,'Planning Sheet'!CY429='Weeks Plan'!$G$6),'Planning Sheet'!$CZ429,"")</f>
        <v/>
      </c>
      <c r="AA4870" s="48" t="str">
        <f ca="1">IF(AND('Planning Sheet'!DE429='Weeks Plan'!$D$6,'Planning Sheet'!CY429='Weeks Plan'!$G$6),'Planning Sheet'!$DA429,"")</f>
        <v/>
      </c>
    </row>
    <row r="4871" spans="25:27" x14ac:dyDescent="0.3">
      <c r="Y4871" s="48" t="str">
        <f ca="1">IF(AND('Planning Sheet'!DE430='Weeks Plan'!$D$6,'Planning Sheet'!CY430='Weeks Plan'!$G$6),'Planning Sheet'!$B430,"")</f>
        <v/>
      </c>
      <c r="Z4871" s="48" t="str">
        <f ca="1">IF(AND('Planning Sheet'!DE430='Weeks Plan'!$D$6,'Planning Sheet'!CY430='Weeks Plan'!$G$6),'Planning Sheet'!$CZ430,"")</f>
        <v/>
      </c>
      <c r="AA4871" s="48" t="str">
        <f ca="1">IF(AND('Planning Sheet'!DE430='Weeks Plan'!$D$6,'Planning Sheet'!CY430='Weeks Plan'!$G$6),'Planning Sheet'!$DA430,"")</f>
        <v/>
      </c>
    </row>
    <row r="4872" spans="25:27" x14ac:dyDescent="0.3">
      <c r="Y4872" s="48" t="str">
        <f ca="1">IF(AND('Planning Sheet'!DE431='Weeks Plan'!$D$6,'Planning Sheet'!CY431='Weeks Plan'!$G$6),'Planning Sheet'!$B431,"")</f>
        <v/>
      </c>
      <c r="Z4872" s="48" t="str">
        <f ca="1">IF(AND('Planning Sheet'!DE431='Weeks Plan'!$D$6,'Planning Sheet'!CY431='Weeks Plan'!$G$6),'Planning Sheet'!$CZ431,"")</f>
        <v/>
      </c>
      <c r="AA4872" s="48" t="str">
        <f ca="1">IF(AND('Planning Sheet'!DE431='Weeks Plan'!$D$6,'Planning Sheet'!CY431='Weeks Plan'!$G$6),'Planning Sheet'!$DA431,"")</f>
        <v/>
      </c>
    </row>
    <row r="4873" spans="25:27" x14ac:dyDescent="0.3">
      <c r="Y4873" s="48" t="str">
        <f ca="1">IF(AND('Planning Sheet'!DE432='Weeks Plan'!$D$6,'Planning Sheet'!CY432='Weeks Plan'!$G$6),'Planning Sheet'!$B432,"")</f>
        <v/>
      </c>
      <c r="Z4873" s="48" t="str">
        <f ca="1">IF(AND('Planning Sheet'!DE432='Weeks Plan'!$D$6,'Planning Sheet'!CY432='Weeks Plan'!$G$6),'Planning Sheet'!$CZ432,"")</f>
        <v/>
      </c>
      <c r="AA4873" s="48" t="str">
        <f ca="1">IF(AND('Planning Sheet'!DE432='Weeks Plan'!$D$6,'Planning Sheet'!CY432='Weeks Plan'!$G$6),'Planning Sheet'!$DA432,"")</f>
        <v/>
      </c>
    </row>
    <row r="4874" spans="25:27" x14ac:dyDescent="0.3">
      <c r="Y4874" s="48" t="str">
        <f ca="1">IF(AND('Planning Sheet'!DE433='Weeks Plan'!$D$6,'Planning Sheet'!CY433='Weeks Plan'!$G$6),'Planning Sheet'!$B433,"")</f>
        <v/>
      </c>
      <c r="Z4874" s="48" t="str">
        <f ca="1">IF(AND('Planning Sheet'!DE433='Weeks Plan'!$D$6,'Planning Sheet'!CY433='Weeks Plan'!$G$6),'Planning Sheet'!$CZ433,"")</f>
        <v/>
      </c>
      <c r="AA4874" s="48" t="str">
        <f ca="1">IF(AND('Planning Sheet'!DE433='Weeks Plan'!$D$6,'Planning Sheet'!CY433='Weeks Plan'!$G$6),'Planning Sheet'!$DA433,"")</f>
        <v/>
      </c>
    </row>
    <row r="4875" spans="25:27" x14ac:dyDescent="0.3">
      <c r="Y4875" s="48" t="str">
        <f ca="1">IF(AND('Planning Sheet'!DE434='Weeks Plan'!$D$6,'Planning Sheet'!CY434='Weeks Plan'!$G$6),'Planning Sheet'!$B434,"")</f>
        <v/>
      </c>
      <c r="Z4875" s="48" t="str">
        <f ca="1">IF(AND('Planning Sheet'!DE434='Weeks Plan'!$D$6,'Planning Sheet'!CY434='Weeks Plan'!$G$6),'Planning Sheet'!$CZ434,"")</f>
        <v/>
      </c>
      <c r="AA4875" s="48" t="str">
        <f ca="1">IF(AND('Planning Sheet'!DE434='Weeks Plan'!$D$6,'Planning Sheet'!CY434='Weeks Plan'!$G$6),'Planning Sheet'!$DA434,"")</f>
        <v/>
      </c>
    </row>
    <row r="4876" spans="25:27" x14ac:dyDescent="0.3">
      <c r="Y4876" s="48" t="str">
        <f ca="1">IF(AND('Planning Sheet'!DE435='Weeks Plan'!$D$6,'Planning Sheet'!CY435='Weeks Plan'!$G$6),'Planning Sheet'!$B435,"")</f>
        <v/>
      </c>
      <c r="Z4876" s="48" t="str">
        <f ca="1">IF(AND('Planning Sheet'!DE435='Weeks Plan'!$D$6,'Planning Sheet'!CY435='Weeks Plan'!$G$6),'Planning Sheet'!$CZ435,"")</f>
        <v/>
      </c>
      <c r="AA4876" s="48" t="str">
        <f ca="1">IF(AND('Planning Sheet'!DE435='Weeks Plan'!$D$6,'Planning Sheet'!CY435='Weeks Plan'!$G$6),'Planning Sheet'!$DA435,"")</f>
        <v/>
      </c>
    </row>
    <row r="4877" spans="25:27" x14ac:dyDescent="0.3">
      <c r="Y4877" s="48" t="str">
        <f ca="1">IF(AND('Planning Sheet'!DE436='Weeks Plan'!$D$6,'Planning Sheet'!CY436='Weeks Plan'!$G$6),'Planning Sheet'!$B436,"")</f>
        <v/>
      </c>
      <c r="Z4877" s="48" t="str">
        <f ca="1">IF(AND('Planning Sheet'!DE436='Weeks Plan'!$D$6,'Planning Sheet'!CY436='Weeks Plan'!$G$6),'Planning Sheet'!$CZ436,"")</f>
        <v/>
      </c>
      <c r="AA4877" s="48" t="str">
        <f ca="1">IF(AND('Planning Sheet'!DE436='Weeks Plan'!$D$6,'Planning Sheet'!CY436='Weeks Plan'!$G$6),'Planning Sheet'!$DA436,"")</f>
        <v/>
      </c>
    </row>
    <row r="4878" spans="25:27" x14ac:dyDescent="0.3">
      <c r="Y4878" s="48" t="str">
        <f ca="1">IF(AND('Planning Sheet'!DE437='Weeks Plan'!$D$6,'Planning Sheet'!CY437='Weeks Plan'!$G$6),'Planning Sheet'!$B437,"")</f>
        <v/>
      </c>
      <c r="Z4878" s="48" t="str">
        <f ca="1">IF(AND('Planning Sheet'!DE437='Weeks Plan'!$D$6,'Planning Sheet'!CY437='Weeks Plan'!$G$6),'Planning Sheet'!$CZ437,"")</f>
        <v/>
      </c>
      <c r="AA4878" s="48" t="str">
        <f ca="1">IF(AND('Planning Sheet'!DE437='Weeks Plan'!$D$6,'Planning Sheet'!CY437='Weeks Plan'!$G$6),'Planning Sheet'!$DA437,"")</f>
        <v/>
      </c>
    </row>
    <row r="4879" spans="25:27" x14ac:dyDescent="0.3">
      <c r="Y4879" s="48" t="str">
        <f ca="1">IF(AND('Planning Sheet'!DE438='Weeks Plan'!$D$6,'Planning Sheet'!CY438='Weeks Plan'!$G$6),'Planning Sheet'!$B438,"")</f>
        <v/>
      </c>
      <c r="Z4879" s="48" t="str">
        <f ca="1">IF(AND('Planning Sheet'!DE438='Weeks Plan'!$D$6,'Planning Sheet'!CY438='Weeks Plan'!$G$6),'Planning Sheet'!$CZ438,"")</f>
        <v/>
      </c>
      <c r="AA4879" s="48" t="str">
        <f ca="1">IF(AND('Planning Sheet'!DE438='Weeks Plan'!$D$6,'Planning Sheet'!CY438='Weeks Plan'!$G$6),'Planning Sheet'!$DA438,"")</f>
        <v/>
      </c>
    </row>
    <row r="4880" spans="25:27" x14ac:dyDescent="0.3">
      <c r="Y4880" s="48" t="str">
        <f ca="1">IF(AND('Planning Sheet'!DE439='Weeks Plan'!$D$6,'Planning Sheet'!CY439='Weeks Plan'!$G$6),'Planning Sheet'!$B439,"")</f>
        <v/>
      </c>
      <c r="Z4880" s="48" t="str">
        <f ca="1">IF(AND('Planning Sheet'!DE439='Weeks Plan'!$D$6,'Planning Sheet'!CY439='Weeks Plan'!$G$6),'Planning Sheet'!$CZ439,"")</f>
        <v/>
      </c>
      <c r="AA4880" s="48" t="str">
        <f ca="1">IF(AND('Planning Sheet'!DE439='Weeks Plan'!$D$6,'Planning Sheet'!CY439='Weeks Plan'!$G$6),'Planning Sheet'!$DA439,"")</f>
        <v/>
      </c>
    </row>
    <row r="4881" spans="25:27" x14ac:dyDescent="0.3">
      <c r="Y4881" s="48" t="str">
        <f ca="1">IF(AND('Planning Sheet'!DE440='Weeks Plan'!$D$6,'Planning Sheet'!CY440='Weeks Plan'!$G$6),'Planning Sheet'!$B440,"")</f>
        <v/>
      </c>
      <c r="Z4881" s="48" t="str">
        <f ca="1">IF(AND('Planning Sheet'!DE440='Weeks Plan'!$D$6,'Planning Sheet'!CY440='Weeks Plan'!$G$6),'Planning Sheet'!$CZ440,"")</f>
        <v/>
      </c>
      <c r="AA4881" s="48" t="str">
        <f ca="1">IF(AND('Planning Sheet'!DE440='Weeks Plan'!$D$6,'Planning Sheet'!CY440='Weeks Plan'!$G$6),'Planning Sheet'!$DA440,"")</f>
        <v/>
      </c>
    </row>
    <row r="4882" spans="25:27" x14ac:dyDescent="0.3">
      <c r="Y4882" s="48" t="str">
        <f ca="1">IF(AND('Planning Sheet'!DE441='Weeks Plan'!$D$6,'Planning Sheet'!CY441='Weeks Plan'!$G$6),'Planning Sheet'!$B441,"")</f>
        <v/>
      </c>
      <c r="Z4882" s="48" t="str">
        <f ca="1">IF(AND('Planning Sheet'!DE441='Weeks Plan'!$D$6,'Planning Sheet'!CY441='Weeks Plan'!$G$6),'Planning Sheet'!$CZ441,"")</f>
        <v/>
      </c>
      <c r="AA4882" s="48" t="str">
        <f ca="1">IF(AND('Planning Sheet'!DE441='Weeks Plan'!$D$6,'Planning Sheet'!CY441='Weeks Plan'!$G$6),'Planning Sheet'!$DA441,"")</f>
        <v/>
      </c>
    </row>
    <row r="4883" spans="25:27" x14ac:dyDescent="0.3">
      <c r="Y4883" s="48" t="str">
        <f ca="1">IF(AND('Planning Sheet'!DE442='Weeks Plan'!$D$6,'Planning Sheet'!CY442='Weeks Plan'!$G$6),'Planning Sheet'!$B442,"")</f>
        <v/>
      </c>
      <c r="Z4883" s="48" t="str">
        <f ca="1">IF(AND('Planning Sheet'!DE442='Weeks Plan'!$D$6,'Planning Sheet'!CY442='Weeks Plan'!$G$6),'Planning Sheet'!$CZ442,"")</f>
        <v/>
      </c>
      <c r="AA4883" s="48" t="str">
        <f ca="1">IF(AND('Planning Sheet'!DE442='Weeks Plan'!$D$6,'Planning Sheet'!CY442='Weeks Plan'!$G$6),'Planning Sheet'!$DA442,"")</f>
        <v/>
      </c>
    </row>
    <row r="4884" spans="25:27" x14ac:dyDescent="0.3">
      <c r="Y4884" s="48" t="str">
        <f ca="1">IF(AND('Planning Sheet'!DE443='Weeks Plan'!$D$6,'Planning Sheet'!CY443='Weeks Plan'!$G$6),'Planning Sheet'!$B443,"")</f>
        <v/>
      </c>
      <c r="Z4884" s="48" t="str">
        <f ca="1">IF(AND('Planning Sheet'!DE443='Weeks Plan'!$D$6,'Planning Sheet'!CY443='Weeks Plan'!$G$6),'Planning Sheet'!$CZ443,"")</f>
        <v/>
      </c>
      <c r="AA4884" s="48" t="str">
        <f ca="1">IF(AND('Planning Sheet'!DE443='Weeks Plan'!$D$6,'Planning Sheet'!CY443='Weeks Plan'!$G$6),'Planning Sheet'!$DA443,"")</f>
        <v/>
      </c>
    </row>
    <row r="4885" spans="25:27" x14ac:dyDescent="0.3">
      <c r="Y4885" s="48" t="str">
        <f ca="1">IF(AND('Planning Sheet'!DE444='Weeks Plan'!$D$6,'Planning Sheet'!CY444='Weeks Plan'!$G$6),'Planning Sheet'!$B444,"")</f>
        <v/>
      </c>
      <c r="Z4885" s="48" t="str">
        <f ca="1">IF(AND('Planning Sheet'!DE444='Weeks Plan'!$D$6,'Planning Sheet'!CY444='Weeks Plan'!$G$6),'Planning Sheet'!$CZ444,"")</f>
        <v/>
      </c>
      <c r="AA4885" s="48" t="str">
        <f ca="1">IF(AND('Planning Sheet'!DE444='Weeks Plan'!$D$6,'Planning Sheet'!CY444='Weeks Plan'!$G$6),'Planning Sheet'!$DA444,"")</f>
        <v/>
      </c>
    </row>
    <row r="4886" spans="25:27" x14ac:dyDescent="0.3">
      <c r="Y4886" s="48" t="str">
        <f ca="1">IF(AND('Planning Sheet'!DE445='Weeks Plan'!$D$6,'Planning Sheet'!CY445='Weeks Plan'!$G$6),'Planning Sheet'!$B445,"")</f>
        <v/>
      </c>
      <c r="Z4886" s="48" t="str">
        <f ca="1">IF(AND('Planning Sheet'!DE445='Weeks Plan'!$D$6,'Planning Sheet'!CY445='Weeks Plan'!$G$6),'Planning Sheet'!$CZ445,"")</f>
        <v/>
      </c>
      <c r="AA4886" s="48" t="str">
        <f ca="1">IF(AND('Planning Sheet'!DE445='Weeks Plan'!$D$6,'Planning Sheet'!CY445='Weeks Plan'!$G$6),'Planning Sheet'!$DA445,"")</f>
        <v/>
      </c>
    </row>
    <row r="4887" spans="25:27" x14ac:dyDescent="0.3">
      <c r="Y4887" s="48" t="str">
        <f ca="1">IF(AND('Planning Sheet'!DE446='Weeks Plan'!$D$6,'Planning Sheet'!CY446='Weeks Plan'!$G$6),'Planning Sheet'!$B446,"")</f>
        <v/>
      </c>
      <c r="Z4887" s="48" t="str">
        <f ca="1">IF(AND('Planning Sheet'!DE446='Weeks Plan'!$D$6,'Planning Sheet'!CY446='Weeks Plan'!$G$6),'Planning Sheet'!$CZ446,"")</f>
        <v/>
      </c>
      <c r="AA4887" s="48" t="str">
        <f ca="1">IF(AND('Planning Sheet'!DE446='Weeks Plan'!$D$6,'Planning Sheet'!CY446='Weeks Plan'!$G$6),'Planning Sheet'!$DA446,"")</f>
        <v/>
      </c>
    </row>
    <row r="4888" spans="25:27" x14ac:dyDescent="0.3">
      <c r="Y4888" s="48" t="str">
        <f ca="1">IF(AND('Planning Sheet'!DE447='Weeks Plan'!$D$6,'Planning Sheet'!CY447='Weeks Plan'!$G$6),'Planning Sheet'!$B447,"")</f>
        <v/>
      </c>
      <c r="Z4888" s="48" t="str">
        <f ca="1">IF(AND('Planning Sheet'!DE447='Weeks Plan'!$D$6,'Planning Sheet'!CY447='Weeks Plan'!$G$6),'Planning Sheet'!$CZ447,"")</f>
        <v/>
      </c>
      <c r="AA4888" s="48" t="str">
        <f ca="1">IF(AND('Planning Sheet'!DE447='Weeks Plan'!$D$6,'Planning Sheet'!CY447='Weeks Plan'!$G$6),'Planning Sheet'!$DA447,"")</f>
        <v/>
      </c>
    </row>
    <row r="4889" spans="25:27" x14ac:dyDescent="0.3">
      <c r="Y4889" s="48" t="str">
        <f ca="1">IF(AND('Planning Sheet'!DE448='Weeks Plan'!$D$6,'Planning Sheet'!CY448='Weeks Plan'!$G$6),'Planning Sheet'!$B448,"")</f>
        <v/>
      </c>
      <c r="Z4889" s="48" t="str">
        <f ca="1">IF(AND('Planning Sheet'!DE448='Weeks Plan'!$D$6,'Planning Sheet'!CY448='Weeks Plan'!$G$6),'Planning Sheet'!$CZ448,"")</f>
        <v/>
      </c>
      <c r="AA4889" s="48" t="str">
        <f ca="1">IF(AND('Planning Sheet'!DE448='Weeks Plan'!$D$6,'Planning Sheet'!CY448='Weeks Plan'!$G$6),'Planning Sheet'!$DA448,"")</f>
        <v/>
      </c>
    </row>
    <row r="4890" spans="25:27" x14ac:dyDescent="0.3">
      <c r="Y4890" s="48" t="str">
        <f ca="1">IF(AND('Planning Sheet'!DE449='Weeks Plan'!$D$6,'Planning Sheet'!CY449='Weeks Plan'!$G$6),'Planning Sheet'!$B449,"")</f>
        <v/>
      </c>
      <c r="Z4890" s="48" t="str">
        <f ca="1">IF(AND('Planning Sheet'!DE449='Weeks Plan'!$D$6,'Planning Sheet'!CY449='Weeks Plan'!$G$6),'Planning Sheet'!$CZ449,"")</f>
        <v/>
      </c>
      <c r="AA4890" s="48" t="str">
        <f ca="1">IF(AND('Planning Sheet'!DE449='Weeks Plan'!$D$6,'Planning Sheet'!CY449='Weeks Plan'!$G$6),'Planning Sheet'!$DA449,"")</f>
        <v/>
      </c>
    </row>
    <row r="4891" spans="25:27" x14ac:dyDescent="0.3">
      <c r="Y4891" s="48" t="str">
        <f ca="1">IF(AND('Planning Sheet'!DE450='Weeks Plan'!$D$6,'Planning Sheet'!CY450='Weeks Plan'!$G$6),'Planning Sheet'!$B450,"")</f>
        <v/>
      </c>
      <c r="Z4891" s="48" t="str">
        <f ca="1">IF(AND('Planning Sheet'!DE450='Weeks Plan'!$D$6,'Planning Sheet'!CY450='Weeks Plan'!$G$6),'Planning Sheet'!$CZ450,"")</f>
        <v/>
      </c>
      <c r="AA4891" s="48" t="str">
        <f ca="1">IF(AND('Planning Sheet'!DE450='Weeks Plan'!$D$6,'Planning Sheet'!CY450='Weeks Plan'!$G$6),'Planning Sheet'!$DA450,"")</f>
        <v/>
      </c>
    </row>
    <row r="4892" spans="25:27" x14ac:dyDescent="0.3">
      <c r="Y4892" s="48" t="str">
        <f ca="1">IF(AND('Planning Sheet'!DE451='Weeks Plan'!$D$6,'Planning Sheet'!CY451='Weeks Plan'!$G$6),'Planning Sheet'!$B451,"")</f>
        <v/>
      </c>
      <c r="Z4892" s="48" t="str">
        <f ca="1">IF(AND('Planning Sheet'!DE451='Weeks Plan'!$D$6,'Planning Sheet'!CY451='Weeks Plan'!$G$6),'Planning Sheet'!$CZ451,"")</f>
        <v/>
      </c>
      <c r="AA4892" s="48" t="str">
        <f ca="1">IF(AND('Planning Sheet'!DE451='Weeks Plan'!$D$6,'Planning Sheet'!CY451='Weeks Plan'!$G$6),'Planning Sheet'!$DA451,"")</f>
        <v/>
      </c>
    </row>
    <row r="4893" spans="25:27" x14ac:dyDescent="0.3">
      <c r="Y4893" s="48" t="str">
        <f ca="1">IF(AND('Planning Sheet'!DE452='Weeks Plan'!$D$6,'Planning Sheet'!CY452='Weeks Plan'!$G$6),'Planning Sheet'!$B452,"")</f>
        <v/>
      </c>
      <c r="Z4893" s="48" t="str">
        <f ca="1">IF(AND('Planning Sheet'!DE452='Weeks Plan'!$D$6,'Planning Sheet'!CY452='Weeks Plan'!$G$6),'Planning Sheet'!$CZ452,"")</f>
        <v/>
      </c>
      <c r="AA4893" s="48" t="str">
        <f ca="1">IF(AND('Planning Sheet'!DE452='Weeks Plan'!$D$6,'Planning Sheet'!CY452='Weeks Plan'!$G$6),'Planning Sheet'!$DA452,"")</f>
        <v/>
      </c>
    </row>
    <row r="4894" spans="25:27" x14ac:dyDescent="0.3">
      <c r="Y4894" s="48" t="str">
        <f ca="1">IF(AND('Planning Sheet'!DE453='Weeks Plan'!$D$6,'Planning Sheet'!CY453='Weeks Plan'!$G$6),'Planning Sheet'!$B453,"")</f>
        <v/>
      </c>
      <c r="Z4894" s="48" t="str">
        <f ca="1">IF(AND('Planning Sheet'!DE453='Weeks Plan'!$D$6,'Planning Sheet'!CY453='Weeks Plan'!$G$6),'Planning Sheet'!$CZ453,"")</f>
        <v/>
      </c>
      <c r="AA4894" s="48" t="str">
        <f ca="1">IF(AND('Planning Sheet'!DE453='Weeks Plan'!$D$6,'Planning Sheet'!CY453='Weeks Plan'!$G$6),'Planning Sheet'!$DA453,"")</f>
        <v/>
      </c>
    </row>
    <row r="4895" spans="25:27" x14ac:dyDescent="0.3">
      <c r="Y4895" s="48" t="str">
        <f ca="1">IF(AND('Planning Sheet'!DE454='Weeks Plan'!$D$6,'Planning Sheet'!CY454='Weeks Plan'!$G$6),'Planning Sheet'!$B454,"")</f>
        <v/>
      </c>
      <c r="Z4895" s="48" t="str">
        <f ca="1">IF(AND('Planning Sheet'!DE454='Weeks Plan'!$D$6,'Planning Sheet'!CY454='Weeks Plan'!$G$6),'Planning Sheet'!$CZ454,"")</f>
        <v/>
      </c>
      <c r="AA4895" s="48" t="str">
        <f ca="1">IF(AND('Planning Sheet'!DE454='Weeks Plan'!$D$6,'Planning Sheet'!CY454='Weeks Plan'!$G$6),'Planning Sheet'!$DA454,"")</f>
        <v/>
      </c>
    </row>
    <row r="4896" spans="25:27" x14ac:dyDescent="0.3">
      <c r="Y4896" s="48" t="str">
        <f ca="1">IF(AND('Planning Sheet'!DE455='Weeks Plan'!$D$6,'Planning Sheet'!CY455='Weeks Plan'!$G$6),'Planning Sheet'!$B455,"")</f>
        <v/>
      </c>
      <c r="Z4896" s="48" t="str">
        <f ca="1">IF(AND('Planning Sheet'!DE455='Weeks Plan'!$D$6,'Planning Sheet'!CY455='Weeks Plan'!$G$6),'Planning Sheet'!$CZ455,"")</f>
        <v/>
      </c>
      <c r="AA4896" s="48" t="str">
        <f ca="1">IF(AND('Planning Sheet'!DE455='Weeks Plan'!$D$6,'Planning Sheet'!CY455='Weeks Plan'!$G$6),'Planning Sheet'!$DA455,"")</f>
        <v/>
      </c>
    </row>
    <row r="4897" spans="25:27" x14ac:dyDescent="0.3">
      <c r="Y4897" s="48" t="str">
        <f ca="1">IF(AND('Planning Sheet'!DE456='Weeks Plan'!$D$6,'Planning Sheet'!CY456='Weeks Plan'!$G$6),'Planning Sheet'!$B456,"")</f>
        <v/>
      </c>
      <c r="Z4897" s="48" t="str">
        <f ca="1">IF(AND('Planning Sheet'!DE456='Weeks Plan'!$D$6,'Planning Sheet'!CY456='Weeks Plan'!$G$6),'Planning Sheet'!$CZ456,"")</f>
        <v/>
      </c>
      <c r="AA4897" s="48" t="str">
        <f ca="1">IF(AND('Planning Sheet'!DE456='Weeks Plan'!$D$6,'Planning Sheet'!CY456='Weeks Plan'!$G$6),'Planning Sheet'!$DA456,"")</f>
        <v/>
      </c>
    </row>
    <row r="4898" spans="25:27" x14ac:dyDescent="0.3">
      <c r="Y4898" s="48" t="str">
        <f ca="1">IF(AND('Planning Sheet'!DE457='Weeks Plan'!$D$6,'Planning Sheet'!CY457='Weeks Plan'!$G$6),'Planning Sheet'!$B457,"")</f>
        <v/>
      </c>
      <c r="Z4898" s="48" t="str">
        <f ca="1">IF(AND('Planning Sheet'!DE457='Weeks Plan'!$D$6,'Planning Sheet'!CY457='Weeks Plan'!$G$6),'Planning Sheet'!$CZ457,"")</f>
        <v/>
      </c>
      <c r="AA4898" s="48" t="str">
        <f ca="1">IF(AND('Planning Sheet'!DE457='Weeks Plan'!$D$6,'Planning Sheet'!CY457='Weeks Plan'!$G$6),'Planning Sheet'!$DA457,"")</f>
        <v/>
      </c>
    </row>
    <row r="4899" spans="25:27" x14ac:dyDescent="0.3">
      <c r="Y4899" s="48" t="str">
        <f ca="1">IF(AND('Planning Sheet'!DE458='Weeks Plan'!$D$6,'Planning Sheet'!CY458='Weeks Plan'!$G$6),'Planning Sheet'!$B458,"")</f>
        <v/>
      </c>
      <c r="Z4899" s="48" t="str">
        <f ca="1">IF(AND('Planning Sheet'!DE458='Weeks Plan'!$D$6,'Planning Sheet'!CY458='Weeks Plan'!$G$6),'Planning Sheet'!$CZ458,"")</f>
        <v/>
      </c>
      <c r="AA4899" s="48" t="str">
        <f ca="1">IF(AND('Planning Sheet'!DE458='Weeks Plan'!$D$6,'Planning Sheet'!CY458='Weeks Plan'!$G$6),'Planning Sheet'!$DA458,"")</f>
        <v/>
      </c>
    </row>
    <row r="4900" spans="25:27" x14ac:dyDescent="0.3">
      <c r="Y4900" s="48" t="str">
        <f ca="1">IF(AND('Planning Sheet'!DE459='Weeks Plan'!$D$6,'Planning Sheet'!CY459='Weeks Plan'!$G$6),'Planning Sheet'!$B459,"")</f>
        <v/>
      </c>
      <c r="Z4900" s="48" t="str">
        <f ca="1">IF(AND('Planning Sheet'!DE459='Weeks Plan'!$D$6,'Planning Sheet'!CY459='Weeks Plan'!$G$6),'Planning Sheet'!$CZ459,"")</f>
        <v/>
      </c>
      <c r="AA4900" s="48" t="str">
        <f ca="1">IF(AND('Planning Sheet'!DE459='Weeks Plan'!$D$6,'Planning Sheet'!CY459='Weeks Plan'!$G$6),'Planning Sheet'!$DA459,"")</f>
        <v/>
      </c>
    </row>
    <row r="4901" spans="25:27" x14ac:dyDescent="0.3">
      <c r="Y4901" s="48" t="str">
        <f ca="1">IF(AND('Planning Sheet'!DE460='Weeks Plan'!$D$6,'Planning Sheet'!CY460='Weeks Plan'!$G$6),'Planning Sheet'!$B460,"")</f>
        <v/>
      </c>
      <c r="Z4901" s="48" t="str">
        <f ca="1">IF(AND('Planning Sheet'!DE460='Weeks Plan'!$D$6,'Planning Sheet'!CY460='Weeks Plan'!$G$6),'Planning Sheet'!$CZ460,"")</f>
        <v/>
      </c>
      <c r="AA4901" s="48" t="str">
        <f ca="1">IF(AND('Planning Sheet'!DE460='Weeks Plan'!$D$6,'Planning Sheet'!CY460='Weeks Plan'!$G$6),'Planning Sheet'!$DA460,"")</f>
        <v/>
      </c>
    </row>
    <row r="4902" spans="25:27" x14ac:dyDescent="0.3">
      <c r="Y4902" s="48" t="str">
        <f ca="1">IF(AND('Planning Sheet'!DE461='Weeks Plan'!$D$6,'Planning Sheet'!CY461='Weeks Plan'!$G$6),'Planning Sheet'!$B461,"")</f>
        <v/>
      </c>
      <c r="Z4902" s="48" t="str">
        <f ca="1">IF(AND('Planning Sheet'!DE461='Weeks Plan'!$D$6,'Planning Sheet'!CY461='Weeks Plan'!$G$6),'Planning Sheet'!$CZ461,"")</f>
        <v/>
      </c>
      <c r="AA4902" s="48" t="str">
        <f ca="1">IF(AND('Planning Sheet'!DE461='Weeks Plan'!$D$6,'Planning Sheet'!CY461='Weeks Plan'!$G$6),'Planning Sheet'!$DA461,"")</f>
        <v/>
      </c>
    </row>
    <row r="4903" spans="25:27" x14ac:dyDescent="0.3">
      <c r="Y4903" s="48" t="str">
        <f ca="1">IF(AND('Planning Sheet'!DE462='Weeks Plan'!$D$6,'Planning Sheet'!CY462='Weeks Plan'!$G$6),'Planning Sheet'!$B462,"")</f>
        <v/>
      </c>
      <c r="Z4903" s="48" t="str">
        <f ca="1">IF(AND('Planning Sheet'!DE462='Weeks Plan'!$D$6,'Planning Sheet'!CY462='Weeks Plan'!$G$6),'Planning Sheet'!$CZ462,"")</f>
        <v/>
      </c>
      <c r="AA4903" s="48" t="str">
        <f ca="1">IF(AND('Planning Sheet'!DE462='Weeks Plan'!$D$6,'Planning Sheet'!CY462='Weeks Plan'!$G$6),'Planning Sheet'!$DA462,"")</f>
        <v/>
      </c>
    </row>
    <row r="4904" spans="25:27" x14ac:dyDescent="0.3">
      <c r="Y4904" s="48" t="str">
        <f ca="1">IF(AND('Planning Sheet'!DE463='Weeks Plan'!$D$6,'Planning Sheet'!CY463='Weeks Plan'!$G$6),'Planning Sheet'!$B463,"")</f>
        <v/>
      </c>
      <c r="Z4904" s="48" t="str">
        <f ca="1">IF(AND('Planning Sheet'!DE463='Weeks Plan'!$D$6,'Planning Sheet'!CY463='Weeks Plan'!$G$6),'Planning Sheet'!$CZ463,"")</f>
        <v/>
      </c>
      <c r="AA4904" s="48" t="str">
        <f ca="1">IF(AND('Planning Sheet'!DE463='Weeks Plan'!$D$6,'Planning Sheet'!CY463='Weeks Plan'!$G$6),'Planning Sheet'!$DA463,"")</f>
        <v/>
      </c>
    </row>
    <row r="4905" spans="25:27" x14ac:dyDescent="0.3">
      <c r="Y4905" s="48" t="str">
        <f ca="1">IF(AND('Planning Sheet'!DE464='Weeks Plan'!$D$6,'Planning Sheet'!CY464='Weeks Plan'!$G$6),'Planning Sheet'!$B464,"")</f>
        <v/>
      </c>
      <c r="Z4905" s="48" t="str">
        <f ca="1">IF(AND('Planning Sheet'!DE464='Weeks Plan'!$D$6,'Planning Sheet'!CY464='Weeks Plan'!$G$6),'Planning Sheet'!$CZ464,"")</f>
        <v/>
      </c>
      <c r="AA4905" s="48" t="str">
        <f ca="1">IF(AND('Planning Sheet'!DE464='Weeks Plan'!$D$6,'Planning Sheet'!CY464='Weeks Plan'!$G$6),'Planning Sheet'!$DA464,"")</f>
        <v/>
      </c>
    </row>
    <row r="4906" spans="25:27" x14ac:dyDescent="0.3">
      <c r="Y4906" s="48" t="str">
        <f ca="1">IF(AND('Planning Sheet'!DE465='Weeks Plan'!$D$6,'Planning Sheet'!CY465='Weeks Plan'!$G$6),'Planning Sheet'!$B465,"")</f>
        <v/>
      </c>
      <c r="Z4906" s="48" t="str">
        <f ca="1">IF(AND('Planning Sheet'!DE465='Weeks Plan'!$D$6,'Planning Sheet'!CY465='Weeks Plan'!$G$6),'Planning Sheet'!$CZ465,"")</f>
        <v/>
      </c>
      <c r="AA4906" s="48" t="str">
        <f ca="1">IF(AND('Planning Sheet'!DE465='Weeks Plan'!$D$6,'Planning Sheet'!CY465='Weeks Plan'!$G$6),'Planning Sheet'!$DA465,"")</f>
        <v/>
      </c>
    </row>
    <row r="4907" spans="25:27" x14ac:dyDescent="0.3">
      <c r="Y4907" s="48" t="str">
        <f ca="1">IF(AND('Planning Sheet'!DE466='Weeks Plan'!$D$6,'Planning Sheet'!CY466='Weeks Plan'!$G$6),'Planning Sheet'!$B466,"")</f>
        <v/>
      </c>
      <c r="Z4907" s="48" t="str">
        <f ca="1">IF(AND('Planning Sheet'!DE466='Weeks Plan'!$D$6,'Planning Sheet'!CY466='Weeks Plan'!$G$6),'Planning Sheet'!$CZ466,"")</f>
        <v/>
      </c>
      <c r="AA4907" s="48" t="str">
        <f ca="1">IF(AND('Planning Sheet'!DE466='Weeks Plan'!$D$6,'Planning Sheet'!CY466='Weeks Plan'!$G$6),'Planning Sheet'!$DA466,"")</f>
        <v/>
      </c>
    </row>
    <row r="4908" spans="25:27" x14ac:dyDescent="0.3">
      <c r="Y4908" s="48" t="str">
        <f ca="1">IF(AND('Planning Sheet'!DE467='Weeks Plan'!$D$6,'Planning Sheet'!CY467='Weeks Plan'!$G$6),'Planning Sheet'!$B467,"")</f>
        <v/>
      </c>
      <c r="Z4908" s="48" t="str">
        <f ca="1">IF(AND('Planning Sheet'!DE467='Weeks Plan'!$D$6,'Planning Sheet'!CY467='Weeks Plan'!$G$6),'Planning Sheet'!$CZ467,"")</f>
        <v/>
      </c>
      <c r="AA4908" s="48" t="str">
        <f ca="1">IF(AND('Planning Sheet'!DE467='Weeks Plan'!$D$6,'Planning Sheet'!CY467='Weeks Plan'!$G$6),'Planning Sheet'!$DA467,"")</f>
        <v/>
      </c>
    </row>
    <row r="4909" spans="25:27" x14ac:dyDescent="0.3">
      <c r="Y4909" s="48" t="str">
        <f ca="1">IF(AND('Planning Sheet'!DE468='Weeks Plan'!$D$6,'Planning Sheet'!CY468='Weeks Plan'!$G$6),'Planning Sheet'!$B468,"")</f>
        <v/>
      </c>
      <c r="Z4909" s="48" t="str">
        <f ca="1">IF(AND('Planning Sheet'!DE468='Weeks Plan'!$D$6,'Planning Sheet'!CY468='Weeks Plan'!$G$6),'Planning Sheet'!$CZ468,"")</f>
        <v/>
      </c>
      <c r="AA4909" s="48" t="str">
        <f ca="1">IF(AND('Planning Sheet'!DE468='Weeks Plan'!$D$6,'Planning Sheet'!CY468='Weeks Plan'!$G$6),'Planning Sheet'!$DA468,"")</f>
        <v/>
      </c>
    </row>
    <row r="4910" spans="25:27" x14ac:dyDescent="0.3">
      <c r="Y4910" s="48" t="str">
        <f ca="1">IF(AND('Planning Sheet'!DE469='Weeks Plan'!$D$6,'Planning Sheet'!CY469='Weeks Plan'!$G$6),'Planning Sheet'!$B469,"")</f>
        <v/>
      </c>
      <c r="Z4910" s="48" t="str">
        <f ca="1">IF(AND('Planning Sheet'!DE469='Weeks Plan'!$D$6,'Planning Sheet'!CY469='Weeks Plan'!$G$6),'Planning Sheet'!$CZ469,"")</f>
        <v/>
      </c>
      <c r="AA4910" s="48" t="str">
        <f ca="1">IF(AND('Planning Sheet'!DE469='Weeks Plan'!$D$6,'Planning Sheet'!CY469='Weeks Plan'!$G$6),'Planning Sheet'!$DA469,"")</f>
        <v/>
      </c>
    </row>
    <row r="4911" spans="25:27" x14ac:dyDescent="0.3">
      <c r="Y4911" s="48" t="str">
        <f ca="1">IF(AND('Planning Sheet'!DE470='Weeks Plan'!$D$6,'Planning Sheet'!CY470='Weeks Plan'!$G$6),'Planning Sheet'!$B470,"")</f>
        <v/>
      </c>
      <c r="Z4911" s="48" t="str">
        <f ca="1">IF(AND('Planning Sheet'!DE470='Weeks Plan'!$D$6,'Planning Sheet'!CY470='Weeks Plan'!$G$6),'Planning Sheet'!$CZ470,"")</f>
        <v/>
      </c>
      <c r="AA4911" s="48" t="str">
        <f ca="1">IF(AND('Planning Sheet'!DE470='Weeks Plan'!$D$6,'Planning Sheet'!CY470='Weeks Plan'!$G$6),'Planning Sheet'!$DA470,"")</f>
        <v/>
      </c>
    </row>
    <row r="4912" spans="25:27" x14ac:dyDescent="0.3">
      <c r="Y4912" s="48" t="str">
        <f ca="1">IF(AND('Planning Sheet'!DE471='Weeks Plan'!$D$6,'Planning Sheet'!CY471='Weeks Plan'!$G$6),'Planning Sheet'!$B471,"")</f>
        <v/>
      </c>
      <c r="Z4912" s="48" t="str">
        <f ca="1">IF(AND('Planning Sheet'!DE471='Weeks Plan'!$D$6,'Planning Sheet'!CY471='Weeks Plan'!$G$6),'Planning Sheet'!$CZ471,"")</f>
        <v/>
      </c>
      <c r="AA4912" s="48" t="str">
        <f ca="1">IF(AND('Planning Sheet'!DE471='Weeks Plan'!$D$6,'Planning Sheet'!CY471='Weeks Plan'!$G$6),'Planning Sheet'!$DA471,"")</f>
        <v/>
      </c>
    </row>
    <row r="4913" spans="25:27" x14ac:dyDescent="0.3">
      <c r="Y4913" s="48" t="str">
        <f ca="1">IF(AND('Planning Sheet'!DE472='Weeks Plan'!$D$6,'Planning Sheet'!CY472='Weeks Plan'!$G$6),'Planning Sheet'!$B472,"")</f>
        <v/>
      </c>
      <c r="Z4913" s="48" t="str">
        <f ca="1">IF(AND('Planning Sheet'!DE472='Weeks Plan'!$D$6,'Planning Sheet'!CY472='Weeks Plan'!$G$6),'Planning Sheet'!$CZ472,"")</f>
        <v/>
      </c>
      <c r="AA4913" s="48" t="str">
        <f ca="1">IF(AND('Planning Sheet'!DE472='Weeks Plan'!$D$6,'Planning Sheet'!CY472='Weeks Plan'!$G$6),'Planning Sheet'!$DA472,"")</f>
        <v/>
      </c>
    </row>
    <row r="4914" spans="25:27" x14ac:dyDescent="0.3">
      <c r="Y4914" s="48" t="str">
        <f ca="1">IF(AND('Planning Sheet'!DE473='Weeks Plan'!$D$6,'Planning Sheet'!CY473='Weeks Plan'!$G$6),'Planning Sheet'!$B473,"")</f>
        <v/>
      </c>
      <c r="Z4914" s="48" t="str">
        <f ca="1">IF(AND('Planning Sheet'!DE473='Weeks Plan'!$D$6,'Planning Sheet'!CY473='Weeks Plan'!$G$6),'Planning Sheet'!$CZ473,"")</f>
        <v/>
      </c>
      <c r="AA4914" s="48" t="str">
        <f ca="1">IF(AND('Planning Sheet'!DE473='Weeks Plan'!$D$6,'Planning Sheet'!CY473='Weeks Plan'!$G$6),'Planning Sheet'!$DA473,"")</f>
        <v/>
      </c>
    </row>
    <row r="4915" spans="25:27" x14ac:dyDescent="0.3">
      <c r="Y4915" s="48" t="str">
        <f ca="1">IF(AND('Planning Sheet'!DE474='Weeks Plan'!$D$6,'Planning Sheet'!CY474='Weeks Plan'!$G$6),'Planning Sheet'!$B474,"")</f>
        <v/>
      </c>
      <c r="Z4915" s="48" t="str">
        <f ca="1">IF(AND('Planning Sheet'!DE474='Weeks Plan'!$D$6,'Planning Sheet'!CY474='Weeks Plan'!$G$6),'Planning Sheet'!$CZ474,"")</f>
        <v/>
      </c>
      <c r="AA4915" s="48" t="str">
        <f ca="1">IF(AND('Planning Sheet'!DE474='Weeks Plan'!$D$6,'Planning Sheet'!CY474='Weeks Plan'!$G$6),'Planning Sheet'!$DA474,"")</f>
        <v/>
      </c>
    </row>
    <row r="4916" spans="25:27" x14ac:dyDescent="0.3">
      <c r="Y4916" s="48" t="str">
        <f ca="1">IF(AND('Planning Sheet'!DE475='Weeks Plan'!$D$6,'Planning Sheet'!CY475='Weeks Plan'!$G$6),'Planning Sheet'!$B475,"")</f>
        <v/>
      </c>
      <c r="Z4916" s="48" t="str">
        <f ca="1">IF(AND('Planning Sheet'!DE475='Weeks Plan'!$D$6,'Planning Sheet'!CY475='Weeks Plan'!$G$6),'Planning Sheet'!$CZ475,"")</f>
        <v/>
      </c>
      <c r="AA4916" s="48" t="str">
        <f ca="1">IF(AND('Planning Sheet'!DE475='Weeks Plan'!$D$6,'Planning Sheet'!CY475='Weeks Plan'!$G$6),'Planning Sheet'!$DA475,"")</f>
        <v/>
      </c>
    </row>
    <row r="4917" spans="25:27" x14ac:dyDescent="0.3">
      <c r="Y4917" s="48" t="str">
        <f ca="1">IF(AND('Planning Sheet'!DE476='Weeks Plan'!$D$6,'Planning Sheet'!CY476='Weeks Plan'!$G$6),'Planning Sheet'!$B476,"")</f>
        <v/>
      </c>
      <c r="Z4917" s="48" t="str">
        <f ca="1">IF(AND('Planning Sheet'!DE476='Weeks Plan'!$D$6,'Planning Sheet'!CY476='Weeks Plan'!$G$6),'Planning Sheet'!$CZ476,"")</f>
        <v/>
      </c>
      <c r="AA4917" s="48" t="str">
        <f ca="1">IF(AND('Planning Sheet'!DE476='Weeks Plan'!$D$6,'Planning Sheet'!CY476='Weeks Plan'!$G$6),'Planning Sheet'!$DA476,"")</f>
        <v/>
      </c>
    </row>
    <row r="4918" spans="25:27" x14ac:dyDescent="0.3">
      <c r="Y4918" s="48" t="str">
        <f ca="1">IF(AND('Planning Sheet'!DE477='Weeks Plan'!$D$6,'Planning Sheet'!CY477='Weeks Plan'!$G$6),'Planning Sheet'!$B477,"")</f>
        <v/>
      </c>
      <c r="Z4918" s="48" t="str">
        <f ca="1">IF(AND('Planning Sheet'!DE477='Weeks Plan'!$D$6,'Planning Sheet'!CY477='Weeks Plan'!$G$6),'Planning Sheet'!$CZ477,"")</f>
        <v/>
      </c>
      <c r="AA4918" s="48" t="str">
        <f ca="1">IF(AND('Planning Sheet'!DE477='Weeks Plan'!$D$6,'Planning Sheet'!CY477='Weeks Plan'!$G$6),'Planning Sheet'!$DA477,"")</f>
        <v/>
      </c>
    </row>
    <row r="4919" spans="25:27" x14ac:dyDescent="0.3">
      <c r="Y4919" s="48" t="str">
        <f ca="1">IF(AND('Planning Sheet'!DE478='Weeks Plan'!$D$6,'Planning Sheet'!CY478='Weeks Plan'!$G$6),'Planning Sheet'!$B478,"")</f>
        <v/>
      </c>
      <c r="Z4919" s="48" t="str">
        <f ca="1">IF(AND('Planning Sheet'!DE478='Weeks Plan'!$D$6,'Planning Sheet'!CY478='Weeks Plan'!$G$6),'Planning Sheet'!$CZ478,"")</f>
        <v/>
      </c>
      <c r="AA4919" s="48" t="str">
        <f ca="1">IF(AND('Planning Sheet'!DE478='Weeks Plan'!$D$6,'Planning Sheet'!CY478='Weeks Plan'!$G$6),'Planning Sheet'!$DA478,"")</f>
        <v/>
      </c>
    </row>
    <row r="4920" spans="25:27" x14ac:dyDescent="0.3">
      <c r="Y4920" s="48" t="str">
        <f ca="1">IF(AND('Planning Sheet'!DE479='Weeks Plan'!$D$6,'Planning Sheet'!CY479='Weeks Plan'!$G$6),'Planning Sheet'!$B479,"")</f>
        <v/>
      </c>
      <c r="Z4920" s="48" t="str">
        <f ca="1">IF(AND('Planning Sheet'!DE479='Weeks Plan'!$D$6,'Planning Sheet'!CY479='Weeks Plan'!$G$6),'Planning Sheet'!$CZ479,"")</f>
        <v/>
      </c>
      <c r="AA4920" s="48" t="str">
        <f ca="1">IF(AND('Planning Sheet'!DE479='Weeks Plan'!$D$6,'Planning Sheet'!CY479='Weeks Plan'!$G$6),'Planning Sheet'!$DA479,"")</f>
        <v/>
      </c>
    </row>
    <row r="4921" spans="25:27" x14ac:dyDescent="0.3">
      <c r="Y4921" s="48" t="str">
        <f ca="1">IF(AND('Planning Sheet'!DE480='Weeks Plan'!$D$6,'Planning Sheet'!CY480='Weeks Plan'!$G$6),'Planning Sheet'!$B480,"")</f>
        <v/>
      </c>
      <c r="Z4921" s="48" t="str">
        <f ca="1">IF(AND('Planning Sheet'!DE480='Weeks Plan'!$D$6,'Planning Sheet'!CY480='Weeks Plan'!$G$6),'Planning Sheet'!$CZ480,"")</f>
        <v/>
      </c>
      <c r="AA4921" s="48" t="str">
        <f ca="1">IF(AND('Planning Sheet'!DE480='Weeks Plan'!$D$6,'Planning Sheet'!CY480='Weeks Plan'!$G$6),'Planning Sheet'!$DA480,"")</f>
        <v/>
      </c>
    </row>
    <row r="4922" spans="25:27" x14ac:dyDescent="0.3">
      <c r="Y4922" s="48" t="str">
        <f ca="1">IF(AND('Planning Sheet'!DE481='Weeks Plan'!$D$6,'Planning Sheet'!CY481='Weeks Plan'!$G$6),'Planning Sheet'!$B481,"")</f>
        <v/>
      </c>
      <c r="Z4922" s="48" t="str">
        <f ca="1">IF(AND('Planning Sheet'!DE481='Weeks Plan'!$D$6,'Planning Sheet'!CY481='Weeks Plan'!$G$6),'Planning Sheet'!$CZ481,"")</f>
        <v/>
      </c>
      <c r="AA4922" s="48" t="str">
        <f ca="1">IF(AND('Planning Sheet'!DE481='Weeks Plan'!$D$6,'Planning Sheet'!CY481='Weeks Plan'!$G$6),'Planning Sheet'!$DA481,"")</f>
        <v/>
      </c>
    </row>
    <row r="4923" spans="25:27" x14ac:dyDescent="0.3">
      <c r="Y4923" s="48" t="str">
        <f ca="1">IF(AND('Planning Sheet'!DE482='Weeks Plan'!$D$6,'Planning Sheet'!CY482='Weeks Plan'!$G$6),'Planning Sheet'!$B482,"")</f>
        <v/>
      </c>
      <c r="Z4923" s="48" t="str">
        <f ca="1">IF(AND('Planning Sheet'!DE482='Weeks Plan'!$D$6,'Planning Sheet'!CY482='Weeks Plan'!$G$6),'Planning Sheet'!$CZ482,"")</f>
        <v/>
      </c>
      <c r="AA4923" s="48" t="str">
        <f ca="1">IF(AND('Planning Sheet'!DE482='Weeks Plan'!$D$6,'Planning Sheet'!CY482='Weeks Plan'!$G$6),'Planning Sheet'!$DA482,"")</f>
        <v/>
      </c>
    </row>
    <row r="4924" spans="25:27" x14ac:dyDescent="0.3">
      <c r="Y4924" s="48" t="str">
        <f ca="1">IF(AND('Planning Sheet'!DE483='Weeks Plan'!$D$6,'Planning Sheet'!CY483='Weeks Plan'!$G$6),'Planning Sheet'!$B483,"")</f>
        <v/>
      </c>
      <c r="Z4924" s="48" t="str">
        <f ca="1">IF(AND('Planning Sheet'!DE483='Weeks Plan'!$D$6,'Planning Sheet'!CY483='Weeks Plan'!$G$6),'Planning Sheet'!$CZ483,"")</f>
        <v/>
      </c>
      <c r="AA4924" s="48" t="str">
        <f ca="1">IF(AND('Planning Sheet'!DE483='Weeks Plan'!$D$6,'Planning Sheet'!CY483='Weeks Plan'!$G$6),'Planning Sheet'!$DA483,"")</f>
        <v/>
      </c>
    </row>
    <row r="4925" spans="25:27" x14ac:dyDescent="0.3">
      <c r="Y4925" s="48" t="str">
        <f ca="1">IF(AND('Planning Sheet'!DE484='Weeks Plan'!$D$6,'Planning Sheet'!CY484='Weeks Plan'!$G$6),'Planning Sheet'!$B484,"")</f>
        <v/>
      </c>
      <c r="Z4925" s="48" t="str">
        <f ca="1">IF(AND('Planning Sheet'!DE484='Weeks Plan'!$D$6,'Planning Sheet'!CY484='Weeks Plan'!$G$6),'Planning Sheet'!$CZ484,"")</f>
        <v/>
      </c>
      <c r="AA4925" s="48" t="str">
        <f ca="1">IF(AND('Planning Sheet'!DE484='Weeks Plan'!$D$6,'Planning Sheet'!CY484='Weeks Plan'!$G$6),'Planning Sheet'!$DA484,"")</f>
        <v/>
      </c>
    </row>
    <row r="4926" spans="25:27" x14ac:dyDescent="0.3">
      <c r="Y4926" s="48" t="str">
        <f ca="1">IF(AND('Planning Sheet'!DE485='Weeks Plan'!$D$6,'Planning Sheet'!CY485='Weeks Plan'!$G$6),'Planning Sheet'!$B485,"")</f>
        <v/>
      </c>
      <c r="Z4926" s="48" t="str">
        <f ca="1">IF(AND('Planning Sheet'!DE485='Weeks Plan'!$D$6,'Planning Sheet'!CY485='Weeks Plan'!$G$6),'Planning Sheet'!$CZ485,"")</f>
        <v/>
      </c>
      <c r="AA4926" s="48" t="str">
        <f ca="1">IF(AND('Planning Sheet'!DE485='Weeks Plan'!$D$6,'Planning Sheet'!CY485='Weeks Plan'!$G$6),'Planning Sheet'!$DA485,"")</f>
        <v/>
      </c>
    </row>
    <row r="4927" spans="25:27" x14ac:dyDescent="0.3">
      <c r="Y4927" s="48" t="str">
        <f ca="1">IF(AND('Planning Sheet'!DE486='Weeks Plan'!$D$6,'Planning Sheet'!CY486='Weeks Plan'!$G$6),'Planning Sheet'!$B486,"")</f>
        <v/>
      </c>
      <c r="Z4927" s="48" t="str">
        <f ca="1">IF(AND('Planning Sheet'!DE486='Weeks Plan'!$D$6,'Planning Sheet'!CY486='Weeks Plan'!$G$6),'Planning Sheet'!$CZ486,"")</f>
        <v/>
      </c>
      <c r="AA4927" s="48" t="str">
        <f ca="1">IF(AND('Planning Sheet'!DE486='Weeks Plan'!$D$6,'Planning Sheet'!CY486='Weeks Plan'!$G$6),'Planning Sheet'!$DA486,"")</f>
        <v/>
      </c>
    </row>
    <row r="4928" spans="25:27" x14ac:dyDescent="0.3">
      <c r="Y4928" s="48" t="str">
        <f ca="1">IF(AND('Planning Sheet'!DE487='Weeks Plan'!$D$6,'Planning Sheet'!CY487='Weeks Plan'!$G$6),'Planning Sheet'!$B487,"")</f>
        <v/>
      </c>
      <c r="Z4928" s="48" t="str">
        <f ca="1">IF(AND('Planning Sheet'!DE487='Weeks Plan'!$D$6,'Planning Sheet'!CY487='Weeks Plan'!$G$6),'Planning Sheet'!$CZ487,"")</f>
        <v/>
      </c>
      <c r="AA4928" s="48" t="str">
        <f ca="1">IF(AND('Planning Sheet'!DE487='Weeks Plan'!$D$6,'Planning Sheet'!CY487='Weeks Plan'!$G$6),'Planning Sheet'!$DA487,"")</f>
        <v/>
      </c>
    </row>
    <row r="4929" spans="25:27" x14ac:dyDescent="0.3">
      <c r="Y4929" s="48" t="str">
        <f ca="1">IF(AND('Planning Sheet'!DE488='Weeks Plan'!$D$6,'Planning Sheet'!CY488='Weeks Plan'!$G$6),'Planning Sheet'!$B488,"")</f>
        <v/>
      </c>
      <c r="Z4929" s="48" t="str">
        <f ca="1">IF(AND('Planning Sheet'!DE488='Weeks Plan'!$D$6,'Planning Sheet'!CY488='Weeks Plan'!$G$6),'Planning Sheet'!$CZ488,"")</f>
        <v/>
      </c>
      <c r="AA4929" s="48" t="str">
        <f ca="1">IF(AND('Planning Sheet'!DE488='Weeks Plan'!$D$6,'Planning Sheet'!CY488='Weeks Plan'!$G$6),'Planning Sheet'!$DA488,"")</f>
        <v/>
      </c>
    </row>
    <row r="4930" spans="25:27" x14ac:dyDescent="0.3">
      <c r="Y4930" s="48" t="str">
        <f ca="1">IF(AND('Planning Sheet'!DE489='Weeks Plan'!$D$6,'Planning Sheet'!CY489='Weeks Plan'!$G$6),'Planning Sheet'!$B489,"")</f>
        <v/>
      </c>
      <c r="Z4930" s="48" t="str">
        <f ca="1">IF(AND('Planning Sheet'!DE489='Weeks Plan'!$D$6,'Planning Sheet'!CY489='Weeks Plan'!$G$6),'Planning Sheet'!$CZ489,"")</f>
        <v/>
      </c>
      <c r="AA4930" s="48" t="str">
        <f ca="1">IF(AND('Planning Sheet'!DE489='Weeks Plan'!$D$6,'Planning Sheet'!CY489='Weeks Plan'!$G$6),'Planning Sheet'!$DA489,"")</f>
        <v/>
      </c>
    </row>
    <row r="4931" spans="25:27" x14ac:dyDescent="0.3">
      <c r="Y4931" s="48" t="str">
        <f ca="1">IF(AND('Planning Sheet'!DE490='Weeks Plan'!$D$6,'Planning Sheet'!CY490='Weeks Plan'!$G$6),'Planning Sheet'!$B490,"")</f>
        <v/>
      </c>
      <c r="Z4931" s="48" t="str">
        <f ca="1">IF(AND('Planning Sheet'!DE490='Weeks Plan'!$D$6,'Planning Sheet'!CY490='Weeks Plan'!$G$6),'Planning Sheet'!$CZ490,"")</f>
        <v/>
      </c>
      <c r="AA4931" s="48" t="str">
        <f ca="1">IF(AND('Planning Sheet'!DE490='Weeks Plan'!$D$6,'Planning Sheet'!CY490='Weeks Plan'!$G$6),'Planning Sheet'!$DA490,"")</f>
        <v/>
      </c>
    </row>
    <row r="4932" spans="25:27" x14ac:dyDescent="0.3">
      <c r="Y4932" s="48" t="str">
        <f ca="1">IF(AND('Planning Sheet'!DE491='Weeks Plan'!$D$6,'Planning Sheet'!CY491='Weeks Plan'!$G$6),'Planning Sheet'!$B491,"")</f>
        <v/>
      </c>
      <c r="Z4932" s="48" t="str">
        <f ca="1">IF(AND('Planning Sheet'!DE491='Weeks Plan'!$D$6,'Planning Sheet'!CY491='Weeks Plan'!$G$6),'Planning Sheet'!$CZ491,"")</f>
        <v/>
      </c>
      <c r="AA4932" s="48" t="str">
        <f ca="1">IF(AND('Planning Sheet'!DE491='Weeks Plan'!$D$6,'Planning Sheet'!CY491='Weeks Plan'!$G$6),'Planning Sheet'!$DA491,"")</f>
        <v/>
      </c>
    </row>
    <row r="4933" spans="25:27" x14ac:dyDescent="0.3">
      <c r="Y4933" s="48" t="str">
        <f ca="1">IF(AND('Planning Sheet'!DE492='Weeks Plan'!$D$6,'Planning Sheet'!CY492='Weeks Plan'!$G$6),'Planning Sheet'!$B492,"")</f>
        <v/>
      </c>
      <c r="Z4933" s="48" t="str">
        <f ca="1">IF(AND('Planning Sheet'!DE492='Weeks Plan'!$D$6,'Planning Sheet'!CY492='Weeks Plan'!$G$6),'Planning Sheet'!$CZ492,"")</f>
        <v/>
      </c>
      <c r="AA4933" s="48" t="str">
        <f ca="1">IF(AND('Planning Sheet'!DE492='Weeks Plan'!$D$6,'Planning Sheet'!CY492='Weeks Plan'!$G$6),'Planning Sheet'!$DA492,"")</f>
        <v/>
      </c>
    </row>
    <row r="4934" spans="25:27" x14ac:dyDescent="0.3">
      <c r="Y4934" s="48" t="str">
        <f ca="1">IF(AND('Planning Sheet'!DE493='Weeks Plan'!$D$6,'Planning Sheet'!CY493='Weeks Plan'!$G$6),'Planning Sheet'!$B493,"")</f>
        <v/>
      </c>
      <c r="Z4934" s="48" t="str">
        <f ca="1">IF(AND('Planning Sheet'!DE493='Weeks Plan'!$D$6,'Planning Sheet'!CY493='Weeks Plan'!$G$6),'Planning Sheet'!$CZ493,"")</f>
        <v/>
      </c>
      <c r="AA4934" s="48" t="str">
        <f ca="1">IF(AND('Planning Sheet'!DE493='Weeks Plan'!$D$6,'Planning Sheet'!CY493='Weeks Plan'!$G$6),'Planning Sheet'!$DA493,"")</f>
        <v/>
      </c>
    </row>
    <row r="4935" spans="25:27" x14ac:dyDescent="0.3">
      <c r="Y4935" s="48" t="str">
        <f ca="1">IF(AND('Planning Sheet'!DE494='Weeks Plan'!$D$6,'Planning Sheet'!CY494='Weeks Plan'!$G$6),'Planning Sheet'!$B494,"")</f>
        <v/>
      </c>
      <c r="Z4935" s="48" t="str">
        <f ca="1">IF(AND('Planning Sheet'!DE494='Weeks Plan'!$D$6,'Planning Sheet'!CY494='Weeks Plan'!$G$6),'Planning Sheet'!$CZ494,"")</f>
        <v/>
      </c>
      <c r="AA4935" s="48" t="str">
        <f ca="1">IF(AND('Planning Sheet'!DE494='Weeks Plan'!$D$6,'Planning Sheet'!CY494='Weeks Plan'!$G$6),'Planning Sheet'!$DA494,"")</f>
        <v/>
      </c>
    </row>
    <row r="4936" spans="25:27" x14ac:dyDescent="0.3">
      <c r="Y4936" s="48" t="str">
        <f ca="1">IF(AND('Planning Sheet'!DE495='Weeks Plan'!$D$6,'Planning Sheet'!CY495='Weeks Plan'!$G$6),'Planning Sheet'!$B495,"")</f>
        <v/>
      </c>
      <c r="Z4936" s="48" t="str">
        <f ca="1">IF(AND('Planning Sheet'!DE495='Weeks Plan'!$D$6,'Planning Sheet'!CY495='Weeks Plan'!$G$6),'Planning Sheet'!$CZ495,"")</f>
        <v/>
      </c>
      <c r="AA4936" s="48" t="str">
        <f ca="1">IF(AND('Planning Sheet'!DE495='Weeks Plan'!$D$6,'Planning Sheet'!CY495='Weeks Plan'!$G$6),'Planning Sheet'!$DA495,"")</f>
        <v/>
      </c>
    </row>
    <row r="4937" spans="25:27" x14ac:dyDescent="0.3">
      <c r="Y4937" s="48" t="str">
        <f ca="1">IF(AND('Planning Sheet'!DE496='Weeks Plan'!$D$6,'Planning Sheet'!CY496='Weeks Plan'!$G$6),'Planning Sheet'!$B496,"")</f>
        <v/>
      </c>
      <c r="Z4937" s="48" t="str">
        <f ca="1">IF(AND('Planning Sheet'!DE496='Weeks Plan'!$D$6,'Planning Sheet'!CY496='Weeks Plan'!$G$6),'Planning Sheet'!$CZ496,"")</f>
        <v/>
      </c>
      <c r="AA4937" s="48" t="str">
        <f ca="1">IF(AND('Planning Sheet'!DE496='Weeks Plan'!$D$6,'Planning Sheet'!CY496='Weeks Plan'!$G$6),'Planning Sheet'!$DA496,"")</f>
        <v/>
      </c>
    </row>
    <row r="4938" spans="25:27" x14ac:dyDescent="0.3">
      <c r="Y4938" s="48" t="str">
        <f ca="1">IF(AND('Planning Sheet'!DE497='Weeks Plan'!$D$6,'Planning Sheet'!CY497='Weeks Plan'!$G$6),'Planning Sheet'!$B497,"")</f>
        <v/>
      </c>
      <c r="Z4938" s="48" t="str">
        <f ca="1">IF(AND('Planning Sheet'!DE497='Weeks Plan'!$D$6,'Planning Sheet'!CY497='Weeks Plan'!$G$6),'Planning Sheet'!$CZ497,"")</f>
        <v/>
      </c>
      <c r="AA4938" s="48" t="str">
        <f ca="1">IF(AND('Planning Sheet'!DE497='Weeks Plan'!$D$6,'Planning Sheet'!CY497='Weeks Plan'!$G$6),'Planning Sheet'!$DA497,"")</f>
        <v/>
      </c>
    </row>
    <row r="4939" spans="25:27" x14ac:dyDescent="0.3">
      <c r="Y4939" s="48" t="str">
        <f ca="1">IF(AND('Planning Sheet'!DE498='Weeks Plan'!$D$6,'Planning Sheet'!CY498='Weeks Plan'!$G$6),'Planning Sheet'!$B498,"")</f>
        <v/>
      </c>
      <c r="Z4939" s="48" t="str">
        <f ca="1">IF(AND('Planning Sheet'!DE498='Weeks Plan'!$D$6,'Planning Sheet'!CY498='Weeks Plan'!$G$6),'Planning Sheet'!$CZ498,"")</f>
        <v/>
      </c>
      <c r="AA4939" s="48" t="str">
        <f ca="1">IF(AND('Planning Sheet'!DE498='Weeks Plan'!$D$6,'Planning Sheet'!CY498='Weeks Plan'!$G$6),'Planning Sheet'!$DA498,"")</f>
        <v/>
      </c>
    </row>
    <row r="4940" spans="25:27" x14ac:dyDescent="0.3">
      <c r="Y4940" s="48" t="str">
        <f ca="1">IF(AND('Planning Sheet'!DE499='Weeks Plan'!$D$6,'Planning Sheet'!CY499='Weeks Plan'!$G$6),'Planning Sheet'!$B499,"")</f>
        <v/>
      </c>
      <c r="Z4940" s="48" t="str">
        <f ca="1">IF(AND('Planning Sheet'!DE499='Weeks Plan'!$D$6,'Planning Sheet'!CY499='Weeks Plan'!$G$6),'Planning Sheet'!$CZ499,"")</f>
        <v/>
      </c>
      <c r="AA4940" s="48" t="str">
        <f ca="1">IF(AND('Planning Sheet'!DE499='Weeks Plan'!$D$6,'Planning Sheet'!CY499='Weeks Plan'!$G$6),'Planning Sheet'!$DA499,"")</f>
        <v/>
      </c>
    </row>
    <row r="4941" spans="25:27" x14ac:dyDescent="0.3">
      <c r="Y4941" s="48" t="str">
        <f ca="1">IF(AND('Planning Sheet'!DE500='Weeks Plan'!$D$6,'Planning Sheet'!CY500='Weeks Plan'!$G$6),'Planning Sheet'!$B500,"")</f>
        <v/>
      </c>
      <c r="Z4941" s="48" t="str">
        <f ca="1">IF(AND('Planning Sheet'!DE500='Weeks Plan'!$D$6,'Planning Sheet'!CY500='Weeks Plan'!$G$6),'Planning Sheet'!$CZ500,"")</f>
        <v/>
      </c>
      <c r="AA4941" s="48" t="str">
        <f ca="1">IF(AND('Planning Sheet'!DE500='Weeks Plan'!$D$6,'Planning Sheet'!CY500='Weeks Plan'!$G$6),'Planning Sheet'!$DA500,"")</f>
        <v/>
      </c>
    </row>
    <row r="4943" spans="25:27" x14ac:dyDescent="0.3">
      <c r="Y4943" s="47" t="str">
        <f ca="1">IF(AND('Planning Sheet'!DL8='Weeks Plan'!$D$6,'Planning Sheet'!DF8='Weeks Plan'!$G$6),'Planning Sheet'!$B8,"")</f>
        <v/>
      </c>
      <c r="Z4943" s="47" t="str">
        <f ca="1">IF(AND('Planning Sheet'!DL8='Weeks Plan'!$D$6,'Planning Sheet'!DF8='Weeks Plan'!$G$6),'Planning Sheet'!$DG8,"")</f>
        <v/>
      </c>
      <c r="AA4943" s="47" t="str">
        <f ca="1">IF(AND('Planning Sheet'!DL8='Weeks Plan'!$D$6,'Planning Sheet'!DF8='Weeks Plan'!$G$6),'Planning Sheet'!$DH8,"")</f>
        <v/>
      </c>
    </row>
    <row r="4944" spans="25:27" x14ac:dyDescent="0.3">
      <c r="Y4944" s="48" t="str">
        <f ca="1">IF(AND('Planning Sheet'!DL9='Weeks Plan'!$D$6,'Planning Sheet'!DF9='Weeks Plan'!$G$6),'Planning Sheet'!$B9,"")</f>
        <v/>
      </c>
      <c r="Z4944" s="48" t="str">
        <f ca="1">IF(AND('Planning Sheet'!DL9='Weeks Plan'!$D$6,'Planning Sheet'!DF9='Weeks Plan'!$G$6),'Planning Sheet'!$DG9,"")</f>
        <v/>
      </c>
      <c r="AA4944" s="48" t="str">
        <f ca="1">IF(AND('Planning Sheet'!DL9='Weeks Plan'!$D$6,'Planning Sheet'!DF9='Weeks Plan'!$G$6),'Planning Sheet'!$DH9,"")</f>
        <v/>
      </c>
    </row>
    <row r="4945" spans="25:27" x14ac:dyDescent="0.3">
      <c r="Y4945" s="48" t="str">
        <f ca="1">IF(AND('Planning Sheet'!DL10='Weeks Plan'!$D$6,'Planning Sheet'!DF10='Weeks Plan'!$G$6),'Planning Sheet'!$B10,"")</f>
        <v/>
      </c>
      <c r="Z4945" s="48" t="str">
        <f ca="1">IF(AND('Planning Sheet'!DL10='Weeks Plan'!$D$6,'Planning Sheet'!DF10='Weeks Plan'!$G$6),'Planning Sheet'!$DG10,"")</f>
        <v/>
      </c>
      <c r="AA4945" s="48" t="str">
        <f ca="1">IF(AND('Planning Sheet'!DL10='Weeks Plan'!$D$6,'Planning Sheet'!DF10='Weeks Plan'!$G$6),'Planning Sheet'!$DH10,"")</f>
        <v/>
      </c>
    </row>
    <row r="4946" spans="25:27" x14ac:dyDescent="0.3">
      <c r="Y4946" s="48" t="str">
        <f ca="1">IF(AND('Planning Sheet'!DL11='Weeks Plan'!$D$6,'Planning Sheet'!DF11='Weeks Plan'!$G$6),'Planning Sheet'!$B11,"")</f>
        <v/>
      </c>
      <c r="Z4946" s="48" t="str">
        <f ca="1">IF(AND('Planning Sheet'!DL11='Weeks Plan'!$D$6,'Planning Sheet'!DF11='Weeks Plan'!$G$6),'Planning Sheet'!$DG11,"")</f>
        <v/>
      </c>
      <c r="AA4946" s="48" t="str">
        <f ca="1">IF(AND('Planning Sheet'!DL11='Weeks Plan'!$D$6,'Planning Sheet'!DF11='Weeks Plan'!$G$6),'Planning Sheet'!$DH11,"")</f>
        <v/>
      </c>
    </row>
    <row r="4947" spans="25:27" x14ac:dyDescent="0.3">
      <c r="Y4947" s="48" t="str">
        <f ca="1">IF(AND('Planning Sheet'!DL12='Weeks Plan'!$D$6,'Planning Sheet'!DF12='Weeks Plan'!$G$6),'Planning Sheet'!$B12,"")</f>
        <v/>
      </c>
      <c r="Z4947" s="48" t="str">
        <f ca="1">IF(AND('Planning Sheet'!DL12='Weeks Plan'!$D$6,'Planning Sheet'!DF12='Weeks Plan'!$G$6),'Planning Sheet'!$DG12,"")</f>
        <v/>
      </c>
      <c r="AA4947" s="48" t="str">
        <f ca="1">IF(AND('Planning Sheet'!DL12='Weeks Plan'!$D$6,'Planning Sheet'!DF12='Weeks Plan'!$G$6),'Planning Sheet'!$DH12,"")</f>
        <v/>
      </c>
    </row>
    <row r="4948" spans="25:27" x14ac:dyDescent="0.3">
      <c r="Y4948" s="48" t="str">
        <f ca="1">IF(AND('Planning Sheet'!DL13='Weeks Plan'!$D$6,'Planning Sheet'!DF13='Weeks Plan'!$G$6),'Planning Sheet'!$B13,"")</f>
        <v/>
      </c>
      <c r="Z4948" s="48" t="str">
        <f ca="1">IF(AND('Planning Sheet'!DL13='Weeks Plan'!$D$6,'Planning Sheet'!DF13='Weeks Plan'!$G$6),'Planning Sheet'!$DG13,"")</f>
        <v/>
      </c>
      <c r="AA4948" s="48" t="str">
        <f ca="1">IF(AND('Planning Sheet'!DL13='Weeks Plan'!$D$6,'Planning Sheet'!DF13='Weeks Plan'!$G$6),'Planning Sheet'!$DH13,"")</f>
        <v/>
      </c>
    </row>
    <row r="4949" spans="25:27" x14ac:dyDescent="0.3">
      <c r="Y4949" s="48" t="str">
        <f ca="1">IF(AND('Planning Sheet'!DL14='Weeks Plan'!$D$6,'Planning Sheet'!DF14='Weeks Plan'!$G$6),'Planning Sheet'!$B14,"")</f>
        <v/>
      </c>
      <c r="Z4949" s="48" t="str">
        <f ca="1">IF(AND('Planning Sheet'!DL14='Weeks Plan'!$D$6,'Planning Sheet'!DF14='Weeks Plan'!$G$6),'Planning Sheet'!$DG14,"")</f>
        <v/>
      </c>
      <c r="AA4949" s="48" t="str">
        <f ca="1">IF(AND('Planning Sheet'!DL14='Weeks Plan'!$D$6,'Planning Sheet'!DF14='Weeks Plan'!$G$6),'Planning Sheet'!$DH14,"")</f>
        <v/>
      </c>
    </row>
    <row r="4950" spans="25:27" x14ac:dyDescent="0.3">
      <c r="Y4950" s="48" t="str">
        <f ca="1">IF(AND('Planning Sheet'!DL15='Weeks Plan'!$D$6,'Planning Sheet'!DF15='Weeks Plan'!$G$6),'Planning Sheet'!$B15,"")</f>
        <v/>
      </c>
      <c r="Z4950" s="48" t="str">
        <f ca="1">IF(AND('Planning Sheet'!DL15='Weeks Plan'!$D$6,'Planning Sheet'!DF15='Weeks Plan'!$G$6),'Planning Sheet'!$DG15,"")</f>
        <v/>
      </c>
      <c r="AA4950" s="48" t="str">
        <f ca="1">IF(AND('Planning Sheet'!DL15='Weeks Plan'!$D$6,'Planning Sheet'!DF15='Weeks Plan'!$G$6),'Planning Sheet'!$DH15,"")</f>
        <v/>
      </c>
    </row>
    <row r="4951" spans="25:27" x14ac:dyDescent="0.3">
      <c r="Y4951" s="48" t="str">
        <f ca="1">IF(AND('Planning Sheet'!DL16='Weeks Plan'!$D$6,'Planning Sheet'!DF16='Weeks Plan'!$G$6),'Planning Sheet'!$B16,"")</f>
        <v/>
      </c>
      <c r="Z4951" s="48" t="str">
        <f ca="1">IF(AND('Planning Sheet'!DL16='Weeks Plan'!$D$6,'Planning Sheet'!DF16='Weeks Plan'!$G$6),'Planning Sheet'!$DG16,"")</f>
        <v/>
      </c>
      <c r="AA4951" s="48" t="str">
        <f ca="1">IF(AND('Planning Sheet'!DL16='Weeks Plan'!$D$6,'Planning Sheet'!DF16='Weeks Plan'!$G$6),'Planning Sheet'!$DH16,"")</f>
        <v/>
      </c>
    </row>
    <row r="4952" spans="25:27" x14ac:dyDescent="0.3">
      <c r="Y4952" s="48" t="str">
        <f ca="1">IF(AND('Planning Sheet'!DL17='Weeks Plan'!$D$6,'Planning Sheet'!DF17='Weeks Plan'!$G$6),'Planning Sheet'!$B17,"")</f>
        <v/>
      </c>
      <c r="Z4952" s="48" t="str">
        <f ca="1">IF(AND('Planning Sheet'!DL17='Weeks Plan'!$D$6,'Planning Sheet'!DF17='Weeks Plan'!$G$6),'Planning Sheet'!$DG17,"")</f>
        <v/>
      </c>
      <c r="AA4952" s="48" t="str">
        <f ca="1">IF(AND('Planning Sheet'!DL17='Weeks Plan'!$D$6,'Planning Sheet'!DF17='Weeks Plan'!$G$6),'Planning Sheet'!$DH17,"")</f>
        <v/>
      </c>
    </row>
    <row r="4953" spans="25:27" x14ac:dyDescent="0.3">
      <c r="Y4953" s="48" t="str">
        <f ca="1">IF(AND('Planning Sheet'!DL18='Weeks Plan'!$D$6,'Planning Sheet'!DF18='Weeks Plan'!$G$6),'Planning Sheet'!$B18,"")</f>
        <v/>
      </c>
      <c r="Z4953" s="48" t="str">
        <f ca="1">IF(AND('Planning Sheet'!DL18='Weeks Plan'!$D$6,'Planning Sheet'!DF18='Weeks Plan'!$G$6),'Planning Sheet'!$DG18,"")</f>
        <v/>
      </c>
      <c r="AA4953" s="48" t="str">
        <f ca="1">IF(AND('Planning Sheet'!DL18='Weeks Plan'!$D$6,'Planning Sheet'!DF18='Weeks Plan'!$G$6),'Planning Sheet'!$DH18,"")</f>
        <v/>
      </c>
    </row>
    <row r="4954" spans="25:27" x14ac:dyDescent="0.3">
      <c r="Y4954" s="48" t="str">
        <f ca="1">IF(AND('Planning Sheet'!DL19='Weeks Plan'!$D$6,'Planning Sheet'!DF19='Weeks Plan'!$G$6),'Planning Sheet'!$B19,"")</f>
        <v/>
      </c>
      <c r="Z4954" s="48" t="str">
        <f ca="1">IF(AND('Planning Sheet'!DL19='Weeks Plan'!$D$6,'Planning Sheet'!DF19='Weeks Plan'!$G$6),'Planning Sheet'!$DG19,"")</f>
        <v/>
      </c>
      <c r="AA4954" s="48" t="str">
        <f ca="1">IF(AND('Planning Sheet'!DL19='Weeks Plan'!$D$6,'Planning Sheet'!DF19='Weeks Plan'!$G$6),'Planning Sheet'!$DH19,"")</f>
        <v/>
      </c>
    </row>
    <row r="4955" spans="25:27" x14ac:dyDescent="0.3">
      <c r="Y4955" s="48" t="str">
        <f ca="1">IF(AND('Planning Sheet'!DL20='Weeks Plan'!$D$6,'Planning Sheet'!DF20='Weeks Plan'!$G$6),'Planning Sheet'!$B20,"")</f>
        <v/>
      </c>
      <c r="Z4955" s="48" t="str">
        <f ca="1">IF(AND('Planning Sheet'!DL20='Weeks Plan'!$D$6,'Planning Sheet'!DF20='Weeks Plan'!$G$6),'Planning Sheet'!$DG20,"")</f>
        <v/>
      </c>
      <c r="AA4955" s="48" t="str">
        <f ca="1">IF(AND('Planning Sheet'!DL20='Weeks Plan'!$D$6,'Planning Sheet'!DF20='Weeks Plan'!$G$6),'Planning Sheet'!$DH20,"")</f>
        <v/>
      </c>
    </row>
    <row r="4956" spans="25:27" x14ac:dyDescent="0.3">
      <c r="Y4956" s="48" t="str">
        <f ca="1">IF(AND('Planning Sheet'!DL21='Weeks Plan'!$D$6,'Planning Sheet'!DF21='Weeks Plan'!$G$6),'Planning Sheet'!$B21,"")</f>
        <v/>
      </c>
      <c r="Z4956" s="48" t="str">
        <f ca="1">IF(AND('Planning Sheet'!DL21='Weeks Plan'!$D$6,'Planning Sheet'!DF21='Weeks Plan'!$G$6),'Planning Sheet'!$DG21,"")</f>
        <v/>
      </c>
      <c r="AA4956" s="48" t="str">
        <f ca="1">IF(AND('Planning Sheet'!DL21='Weeks Plan'!$D$6,'Planning Sheet'!DF21='Weeks Plan'!$G$6),'Planning Sheet'!$DH21,"")</f>
        <v/>
      </c>
    </row>
    <row r="4957" spans="25:27" x14ac:dyDescent="0.3">
      <c r="Y4957" s="48" t="str">
        <f ca="1">IF(AND('Planning Sheet'!DL22='Weeks Plan'!$D$6,'Planning Sheet'!DF22='Weeks Plan'!$G$6),'Planning Sheet'!$B22,"")</f>
        <v/>
      </c>
      <c r="Z4957" s="48" t="str">
        <f ca="1">IF(AND('Planning Sheet'!DL22='Weeks Plan'!$D$6,'Planning Sheet'!DF22='Weeks Plan'!$G$6),'Planning Sheet'!$DG22,"")</f>
        <v/>
      </c>
      <c r="AA4957" s="48" t="str">
        <f ca="1">IF(AND('Planning Sheet'!DL22='Weeks Plan'!$D$6,'Planning Sheet'!DF22='Weeks Plan'!$G$6),'Planning Sheet'!$DH22,"")</f>
        <v/>
      </c>
    </row>
    <row r="4958" spans="25:27" x14ac:dyDescent="0.3">
      <c r="Y4958" s="48" t="str">
        <f ca="1">IF(AND('Planning Sheet'!DL23='Weeks Plan'!$D$6,'Planning Sheet'!DF23='Weeks Plan'!$G$6),'Planning Sheet'!$B23,"")</f>
        <v/>
      </c>
      <c r="Z4958" s="48" t="str">
        <f ca="1">IF(AND('Planning Sheet'!DL23='Weeks Plan'!$D$6,'Planning Sheet'!DF23='Weeks Plan'!$G$6),'Planning Sheet'!$DG23,"")</f>
        <v/>
      </c>
      <c r="AA4958" s="48" t="str">
        <f ca="1">IF(AND('Planning Sheet'!DL23='Weeks Plan'!$D$6,'Planning Sheet'!DF23='Weeks Plan'!$G$6),'Planning Sheet'!$DH23,"")</f>
        <v/>
      </c>
    </row>
    <row r="4959" spans="25:27" x14ac:dyDescent="0.3">
      <c r="Y4959" s="48" t="str">
        <f ca="1">IF(AND('Planning Sheet'!DL24='Weeks Plan'!$D$6,'Planning Sheet'!DF24='Weeks Plan'!$G$6),'Planning Sheet'!$B24,"")</f>
        <v/>
      </c>
      <c r="Z4959" s="48" t="str">
        <f ca="1">IF(AND('Planning Sheet'!DL24='Weeks Plan'!$D$6,'Planning Sheet'!DF24='Weeks Plan'!$G$6),'Planning Sheet'!$DG24,"")</f>
        <v/>
      </c>
      <c r="AA4959" s="48" t="str">
        <f ca="1">IF(AND('Planning Sheet'!DL24='Weeks Plan'!$D$6,'Planning Sheet'!DF24='Weeks Plan'!$G$6),'Planning Sheet'!$DH24,"")</f>
        <v/>
      </c>
    </row>
    <row r="4960" spans="25:27" x14ac:dyDescent="0.3">
      <c r="Y4960" s="48" t="str">
        <f ca="1">IF(AND('Planning Sheet'!DL25='Weeks Plan'!$D$6,'Planning Sheet'!DF25='Weeks Plan'!$G$6),'Planning Sheet'!$B25,"")</f>
        <v/>
      </c>
      <c r="Z4960" s="48" t="str">
        <f ca="1">IF(AND('Planning Sheet'!DL25='Weeks Plan'!$D$6,'Planning Sheet'!DF25='Weeks Plan'!$G$6),'Planning Sheet'!$DG25,"")</f>
        <v/>
      </c>
      <c r="AA4960" s="48" t="str">
        <f ca="1">IF(AND('Planning Sheet'!DL25='Weeks Plan'!$D$6,'Planning Sheet'!DF25='Weeks Plan'!$G$6),'Planning Sheet'!$DH25,"")</f>
        <v/>
      </c>
    </row>
    <row r="4961" spans="25:27" x14ac:dyDescent="0.3">
      <c r="Y4961" s="48" t="str">
        <f ca="1">IF(AND('Planning Sheet'!DL26='Weeks Plan'!$D$6,'Planning Sheet'!DF26='Weeks Plan'!$G$6),'Planning Sheet'!$B26,"")</f>
        <v/>
      </c>
      <c r="Z4961" s="48" t="str">
        <f ca="1">IF(AND('Planning Sheet'!DL26='Weeks Plan'!$D$6,'Planning Sheet'!DF26='Weeks Plan'!$G$6),'Planning Sheet'!$DG26,"")</f>
        <v/>
      </c>
      <c r="AA4961" s="48" t="str">
        <f ca="1">IF(AND('Planning Sheet'!DL26='Weeks Plan'!$D$6,'Planning Sheet'!DF26='Weeks Plan'!$G$6),'Planning Sheet'!$DH26,"")</f>
        <v/>
      </c>
    </row>
    <row r="4962" spans="25:27" x14ac:dyDescent="0.3">
      <c r="Y4962" s="48" t="str">
        <f ca="1">IF(AND('Planning Sheet'!DL27='Weeks Plan'!$D$6,'Planning Sheet'!DF27='Weeks Plan'!$G$6),'Planning Sheet'!$B27,"")</f>
        <v/>
      </c>
      <c r="Z4962" s="48" t="str">
        <f ca="1">IF(AND('Planning Sheet'!DL27='Weeks Plan'!$D$6,'Planning Sheet'!DF27='Weeks Plan'!$G$6),'Planning Sheet'!$DG27,"")</f>
        <v/>
      </c>
      <c r="AA4962" s="48" t="str">
        <f ca="1">IF(AND('Planning Sheet'!DL27='Weeks Plan'!$D$6,'Planning Sheet'!DF27='Weeks Plan'!$G$6),'Planning Sheet'!$DH27,"")</f>
        <v/>
      </c>
    </row>
    <row r="4963" spans="25:27" x14ac:dyDescent="0.3">
      <c r="Y4963" s="48" t="str">
        <f ca="1">IF(AND('Planning Sheet'!DL28='Weeks Plan'!$D$6,'Planning Sheet'!DF28='Weeks Plan'!$G$6),'Planning Sheet'!$B28,"")</f>
        <v/>
      </c>
      <c r="Z4963" s="48" t="str">
        <f ca="1">IF(AND('Planning Sheet'!DL28='Weeks Plan'!$D$6,'Planning Sheet'!DF28='Weeks Plan'!$G$6),'Planning Sheet'!$DG28,"")</f>
        <v/>
      </c>
      <c r="AA4963" s="48" t="str">
        <f ca="1">IF(AND('Planning Sheet'!DL28='Weeks Plan'!$D$6,'Planning Sheet'!DF28='Weeks Plan'!$G$6),'Planning Sheet'!$DH28,"")</f>
        <v/>
      </c>
    </row>
    <row r="4964" spans="25:27" x14ac:dyDescent="0.3">
      <c r="Y4964" s="48" t="str">
        <f ca="1">IF(AND('Planning Sheet'!DL29='Weeks Plan'!$D$6,'Planning Sheet'!DF29='Weeks Plan'!$G$6),'Planning Sheet'!$B29,"")</f>
        <v/>
      </c>
      <c r="Z4964" s="48" t="str">
        <f ca="1">IF(AND('Planning Sheet'!DL29='Weeks Plan'!$D$6,'Planning Sheet'!DF29='Weeks Plan'!$G$6),'Planning Sheet'!$DG29,"")</f>
        <v/>
      </c>
      <c r="AA4964" s="48" t="str">
        <f ca="1">IF(AND('Planning Sheet'!DL29='Weeks Plan'!$D$6,'Planning Sheet'!DF29='Weeks Plan'!$G$6),'Planning Sheet'!$DH29,"")</f>
        <v/>
      </c>
    </row>
    <row r="4965" spans="25:27" x14ac:dyDescent="0.3">
      <c r="Y4965" s="48" t="str">
        <f ca="1">IF(AND('Planning Sheet'!DL30='Weeks Plan'!$D$6,'Planning Sheet'!DF30='Weeks Plan'!$G$6),'Planning Sheet'!$B30,"")</f>
        <v/>
      </c>
      <c r="Z4965" s="48" t="str">
        <f ca="1">IF(AND('Planning Sheet'!DL30='Weeks Plan'!$D$6,'Planning Sheet'!DF30='Weeks Plan'!$G$6),'Planning Sheet'!$DG30,"")</f>
        <v/>
      </c>
      <c r="AA4965" s="48" t="str">
        <f ca="1">IF(AND('Planning Sheet'!DL30='Weeks Plan'!$D$6,'Planning Sheet'!DF30='Weeks Plan'!$G$6),'Planning Sheet'!$DH30,"")</f>
        <v/>
      </c>
    </row>
    <row r="4966" spans="25:27" x14ac:dyDescent="0.3">
      <c r="Y4966" s="48" t="str">
        <f ca="1">IF(AND('Planning Sheet'!DL31='Weeks Plan'!$D$6,'Planning Sheet'!DF31='Weeks Plan'!$G$6),'Planning Sheet'!$B31,"")</f>
        <v/>
      </c>
      <c r="Z4966" s="48" t="str">
        <f ca="1">IF(AND('Planning Sheet'!DL31='Weeks Plan'!$D$6,'Planning Sheet'!DF31='Weeks Plan'!$G$6),'Planning Sheet'!$DG31,"")</f>
        <v/>
      </c>
      <c r="AA4966" s="48" t="str">
        <f ca="1">IF(AND('Planning Sheet'!DL31='Weeks Plan'!$D$6,'Planning Sheet'!DF31='Weeks Plan'!$G$6),'Planning Sheet'!$DH31,"")</f>
        <v/>
      </c>
    </row>
    <row r="4967" spans="25:27" x14ac:dyDescent="0.3">
      <c r="Y4967" s="48" t="str">
        <f ca="1">IF(AND('Planning Sheet'!DL32='Weeks Plan'!$D$6,'Planning Sheet'!DF32='Weeks Plan'!$G$6),'Planning Sheet'!$B32,"")</f>
        <v/>
      </c>
      <c r="Z4967" s="48" t="str">
        <f ca="1">IF(AND('Planning Sheet'!DL32='Weeks Plan'!$D$6,'Planning Sheet'!DF32='Weeks Plan'!$G$6),'Planning Sheet'!$DG32,"")</f>
        <v/>
      </c>
      <c r="AA4967" s="48" t="str">
        <f ca="1">IF(AND('Planning Sheet'!DL32='Weeks Plan'!$D$6,'Planning Sheet'!DF32='Weeks Plan'!$G$6),'Planning Sheet'!$DH32,"")</f>
        <v/>
      </c>
    </row>
    <row r="4968" spans="25:27" x14ac:dyDescent="0.3">
      <c r="Y4968" s="48" t="str">
        <f ca="1">IF(AND('Planning Sheet'!DL33='Weeks Plan'!$D$6,'Planning Sheet'!DF33='Weeks Plan'!$G$6),'Planning Sheet'!$B33,"")</f>
        <v/>
      </c>
      <c r="Z4968" s="48" t="str">
        <f ca="1">IF(AND('Planning Sheet'!DL33='Weeks Plan'!$D$6,'Planning Sheet'!DF33='Weeks Plan'!$G$6),'Planning Sheet'!$DG33,"")</f>
        <v/>
      </c>
      <c r="AA4968" s="48" t="str">
        <f ca="1">IF(AND('Planning Sheet'!DL33='Weeks Plan'!$D$6,'Planning Sheet'!DF33='Weeks Plan'!$G$6),'Planning Sheet'!$DH33,"")</f>
        <v/>
      </c>
    </row>
    <row r="4969" spans="25:27" x14ac:dyDescent="0.3">
      <c r="Y4969" s="48" t="str">
        <f ca="1">IF(AND('Planning Sheet'!DL34='Weeks Plan'!$D$6,'Planning Sheet'!DF34='Weeks Plan'!$G$6),'Planning Sheet'!$B34,"")</f>
        <v/>
      </c>
      <c r="Z4969" s="48" t="str">
        <f ca="1">IF(AND('Planning Sheet'!DL34='Weeks Plan'!$D$6,'Planning Sheet'!DF34='Weeks Plan'!$G$6),'Planning Sheet'!$DG34,"")</f>
        <v/>
      </c>
      <c r="AA4969" s="48" t="str">
        <f ca="1">IF(AND('Planning Sheet'!DL34='Weeks Plan'!$D$6,'Planning Sheet'!DF34='Weeks Plan'!$G$6),'Planning Sheet'!$DH34,"")</f>
        <v/>
      </c>
    </row>
    <row r="4970" spans="25:27" x14ac:dyDescent="0.3">
      <c r="Y4970" s="48" t="str">
        <f ca="1">IF(AND('Planning Sheet'!DL35='Weeks Plan'!$D$6,'Planning Sheet'!DF35='Weeks Plan'!$G$6),'Planning Sheet'!$B35,"")</f>
        <v/>
      </c>
      <c r="Z4970" s="48" t="str">
        <f ca="1">IF(AND('Planning Sheet'!DL35='Weeks Plan'!$D$6,'Planning Sheet'!DF35='Weeks Plan'!$G$6),'Planning Sheet'!$DG35,"")</f>
        <v/>
      </c>
      <c r="AA4970" s="48" t="str">
        <f ca="1">IF(AND('Planning Sheet'!DL35='Weeks Plan'!$D$6,'Planning Sheet'!DF35='Weeks Plan'!$G$6),'Planning Sheet'!$DH35,"")</f>
        <v/>
      </c>
    </row>
    <row r="4971" spans="25:27" x14ac:dyDescent="0.3">
      <c r="Y4971" s="48" t="str">
        <f ca="1">IF(AND('Planning Sheet'!DL36='Weeks Plan'!$D$6,'Planning Sheet'!DF36='Weeks Plan'!$G$6),'Planning Sheet'!$B36,"")</f>
        <v/>
      </c>
      <c r="Z4971" s="48" t="str">
        <f ca="1">IF(AND('Planning Sheet'!DL36='Weeks Plan'!$D$6,'Planning Sheet'!DF36='Weeks Plan'!$G$6),'Planning Sheet'!$DG36,"")</f>
        <v/>
      </c>
      <c r="AA4971" s="48" t="str">
        <f ca="1">IF(AND('Planning Sheet'!DL36='Weeks Plan'!$D$6,'Planning Sheet'!DF36='Weeks Plan'!$G$6),'Planning Sheet'!$DH36,"")</f>
        <v/>
      </c>
    </row>
    <row r="4972" spans="25:27" x14ac:dyDescent="0.3">
      <c r="Y4972" s="48" t="str">
        <f ca="1">IF(AND('Planning Sheet'!DL37='Weeks Plan'!$D$6,'Planning Sheet'!DF37='Weeks Plan'!$G$6),'Planning Sheet'!$B37,"")</f>
        <v/>
      </c>
      <c r="Z4972" s="48" t="str">
        <f ca="1">IF(AND('Planning Sheet'!DL37='Weeks Plan'!$D$6,'Planning Sheet'!DF37='Weeks Plan'!$G$6),'Planning Sheet'!$DG37,"")</f>
        <v/>
      </c>
      <c r="AA4972" s="48" t="str">
        <f ca="1">IF(AND('Planning Sheet'!DL37='Weeks Plan'!$D$6,'Planning Sheet'!DF37='Weeks Plan'!$G$6),'Planning Sheet'!$DH37,"")</f>
        <v/>
      </c>
    </row>
    <row r="4973" spans="25:27" x14ac:dyDescent="0.3">
      <c r="Y4973" s="48" t="str">
        <f ca="1">IF(AND('Planning Sheet'!DL38='Weeks Plan'!$D$6,'Planning Sheet'!DF38='Weeks Plan'!$G$6),'Planning Sheet'!$B38,"")</f>
        <v/>
      </c>
      <c r="Z4973" s="48" t="str">
        <f ca="1">IF(AND('Planning Sheet'!DL38='Weeks Plan'!$D$6,'Planning Sheet'!DF38='Weeks Plan'!$G$6),'Planning Sheet'!$DG38,"")</f>
        <v/>
      </c>
      <c r="AA4973" s="48" t="str">
        <f ca="1">IF(AND('Planning Sheet'!DL38='Weeks Plan'!$D$6,'Planning Sheet'!DF38='Weeks Plan'!$G$6),'Planning Sheet'!$DH38,"")</f>
        <v/>
      </c>
    </row>
    <row r="4974" spans="25:27" x14ac:dyDescent="0.3">
      <c r="Y4974" s="48" t="str">
        <f ca="1">IF(AND('Planning Sheet'!DL39='Weeks Plan'!$D$6,'Planning Sheet'!DF39='Weeks Plan'!$G$6),'Planning Sheet'!$B39,"")</f>
        <v/>
      </c>
      <c r="Z4974" s="48" t="str">
        <f ca="1">IF(AND('Planning Sheet'!DL39='Weeks Plan'!$D$6,'Planning Sheet'!DF39='Weeks Plan'!$G$6),'Planning Sheet'!$DG39,"")</f>
        <v/>
      </c>
      <c r="AA4974" s="48" t="str">
        <f ca="1">IF(AND('Planning Sheet'!DL39='Weeks Plan'!$D$6,'Planning Sheet'!DF39='Weeks Plan'!$G$6),'Planning Sheet'!$DH39,"")</f>
        <v/>
      </c>
    </row>
    <row r="4975" spans="25:27" x14ac:dyDescent="0.3">
      <c r="Y4975" s="48" t="str">
        <f ca="1">IF(AND('Planning Sheet'!DL40='Weeks Plan'!$D$6,'Planning Sheet'!DF40='Weeks Plan'!$G$6),'Planning Sheet'!$B40,"")</f>
        <v/>
      </c>
      <c r="Z4975" s="48" t="str">
        <f ca="1">IF(AND('Planning Sheet'!DL40='Weeks Plan'!$D$6,'Planning Sheet'!DF40='Weeks Plan'!$G$6),'Planning Sheet'!$DG40,"")</f>
        <v/>
      </c>
      <c r="AA4975" s="48" t="str">
        <f ca="1">IF(AND('Planning Sheet'!DL40='Weeks Plan'!$D$6,'Planning Sheet'!DF40='Weeks Plan'!$G$6),'Planning Sheet'!$DH40,"")</f>
        <v/>
      </c>
    </row>
    <row r="4976" spans="25:27" x14ac:dyDescent="0.3">
      <c r="Y4976" s="48" t="str">
        <f ca="1">IF(AND('Planning Sheet'!DL41='Weeks Plan'!$D$6,'Planning Sheet'!DF41='Weeks Plan'!$G$6),'Planning Sheet'!$B41,"")</f>
        <v/>
      </c>
      <c r="Z4976" s="48" t="str">
        <f ca="1">IF(AND('Planning Sheet'!DL41='Weeks Plan'!$D$6,'Planning Sheet'!DF41='Weeks Plan'!$G$6),'Planning Sheet'!$DG41,"")</f>
        <v/>
      </c>
      <c r="AA4976" s="48" t="str">
        <f ca="1">IF(AND('Planning Sheet'!DL41='Weeks Plan'!$D$6,'Planning Sheet'!DF41='Weeks Plan'!$G$6),'Planning Sheet'!$DH41,"")</f>
        <v/>
      </c>
    </row>
    <row r="4977" spans="25:27" x14ac:dyDescent="0.3">
      <c r="Y4977" s="48" t="str">
        <f ca="1">IF(AND('Planning Sheet'!DL42='Weeks Plan'!$D$6,'Planning Sheet'!DF42='Weeks Plan'!$G$6),'Planning Sheet'!$B42,"")</f>
        <v/>
      </c>
      <c r="Z4977" s="48" t="str">
        <f ca="1">IF(AND('Planning Sheet'!DL42='Weeks Plan'!$D$6,'Planning Sheet'!DF42='Weeks Plan'!$G$6),'Planning Sheet'!$DG42,"")</f>
        <v/>
      </c>
      <c r="AA4977" s="48" t="str">
        <f ca="1">IF(AND('Planning Sheet'!DL42='Weeks Plan'!$D$6,'Planning Sheet'!DF42='Weeks Plan'!$G$6),'Planning Sheet'!$DH42,"")</f>
        <v/>
      </c>
    </row>
    <row r="4978" spans="25:27" x14ac:dyDescent="0.3">
      <c r="Y4978" s="48" t="str">
        <f ca="1">IF(AND('Planning Sheet'!DL43='Weeks Plan'!$D$6,'Planning Sheet'!DF43='Weeks Plan'!$G$6),'Planning Sheet'!$B43,"")</f>
        <v/>
      </c>
      <c r="Z4978" s="48" t="str">
        <f ca="1">IF(AND('Planning Sheet'!DL43='Weeks Plan'!$D$6,'Planning Sheet'!DF43='Weeks Plan'!$G$6),'Planning Sheet'!$DG43,"")</f>
        <v/>
      </c>
      <c r="AA4978" s="48" t="str">
        <f ca="1">IF(AND('Planning Sheet'!DL43='Weeks Plan'!$D$6,'Planning Sheet'!DF43='Weeks Plan'!$G$6),'Planning Sheet'!$DH43,"")</f>
        <v/>
      </c>
    </row>
    <row r="4979" spans="25:27" x14ac:dyDescent="0.3">
      <c r="Y4979" s="48" t="str">
        <f ca="1">IF(AND('Planning Sheet'!DL44='Weeks Plan'!$D$6,'Planning Sheet'!DF44='Weeks Plan'!$G$6),'Planning Sheet'!$B44,"")</f>
        <v/>
      </c>
      <c r="Z4979" s="48" t="str">
        <f ca="1">IF(AND('Planning Sheet'!DL44='Weeks Plan'!$D$6,'Planning Sheet'!DF44='Weeks Plan'!$G$6),'Planning Sheet'!$DG44,"")</f>
        <v/>
      </c>
      <c r="AA4979" s="48" t="str">
        <f ca="1">IF(AND('Planning Sheet'!DL44='Weeks Plan'!$D$6,'Planning Sheet'!DF44='Weeks Plan'!$G$6),'Planning Sheet'!$DH44,"")</f>
        <v/>
      </c>
    </row>
    <row r="4980" spans="25:27" x14ac:dyDescent="0.3">
      <c r="Y4980" s="48" t="str">
        <f ca="1">IF(AND('Planning Sheet'!DL45='Weeks Plan'!$D$6,'Planning Sheet'!DF45='Weeks Plan'!$G$6),'Planning Sheet'!$B45,"")</f>
        <v/>
      </c>
      <c r="Z4980" s="48" t="str">
        <f ca="1">IF(AND('Planning Sheet'!DL45='Weeks Plan'!$D$6,'Planning Sheet'!DF45='Weeks Plan'!$G$6),'Planning Sheet'!$DG45,"")</f>
        <v/>
      </c>
      <c r="AA4980" s="48" t="str">
        <f ca="1">IF(AND('Planning Sheet'!DL45='Weeks Plan'!$D$6,'Planning Sheet'!DF45='Weeks Plan'!$G$6),'Planning Sheet'!$DH45,"")</f>
        <v/>
      </c>
    </row>
    <row r="4981" spans="25:27" x14ac:dyDescent="0.3">
      <c r="Y4981" s="48" t="str">
        <f ca="1">IF(AND('Planning Sheet'!DL46='Weeks Plan'!$D$6,'Planning Sheet'!DF46='Weeks Plan'!$G$6),'Planning Sheet'!$B46,"")</f>
        <v/>
      </c>
      <c r="Z4981" s="48" t="str">
        <f ca="1">IF(AND('Planning Sheet'!DL46='Weeks Plan'!$D$6,'Planning Sheet'!DF46='Weeks Plan'!$G$6),'Planning Sheet'!$DG46,"")</f>
        <v/>
      </c>
      <c r="AA4981" s="48" t="str">
        <f ca="1">IF(AND('Planning Sheet'!DL46='Weeks Plan'!$D$6,'Planning Sheet'!DF46='Weeks Plan'!$G$6),'Planning Sheet'!$DH46,"")</f>
        <v/>
      </c>
    </row>
    <row r="4982" spans="25:27" x14ac:dyDescent="0.3">
      <c r="Y4982" s="48" t="str">
        <f ca="1">IF(AND('Planning Sheet'!DL47='Weeks Plan'!$D$6,'Planning Sheet'!DF47='Weeks Plan'!$G$6),'Planning Sheet'!$B47,"")</f>
        <v/>
      </c>
      <c r="Z4982" s="48" t="str">
        <f ca="1">IF(AND('Planning Sheet'!DL47='Weeks Plan'!$D$6,'Planning Sheet'!DF47='Weeks Plan'!$G$6),'Planning Sheet'!$DG47,"")</f>
        <v/>
      </c>
      <c r="AA4982" s="48" t="str">
        <f ca="1">IF(AND('Planning Sheet'!DL47='Weeks Plan'!$D$6,'Planning Sheet'!DF47='Weeks Plan'!$G$6),'Planning Sheet'!$DH47,"")</f>
        <v/>
      </c>
    </row>
    <row r="4983" spans="25:27" x14ac:dyDescent="0.3">
      <c r="Y4983" s="48" t="str">
        <f ca="1">IF(AND('Planning Sheet'!DL48='Weeks Plan'!$D$6,'Planning Sheet'!DF48='Weeks Plan'!$G$6),'Planning Sheet'!$B48,"")</f>
        <v/>
      </c>
      <c r="Z4983" s="48" t="str">
        <f ca="1">IF(AND('Planning Sheet'!DL48='Weeks Plan'!$D$6,'Planning Sheet'!DF48='Weeks Plan'!$G$6),'Planning Sheet'!$DG48,"")</f>
        <v/>
      </c>
      <c r="AA4983" s="48" t="str">
        <f ca="1">IF(AND('Planning Sheet'!DL48='Weeks Plan'!$D$6,'Planning Sheet'!DF48='Weeks Plan'!$G$6),'Planning Sheet'!$DH48,"")</f>
        <v/>
      </c>
    </row>
    <row r="4984" spans="25:27" x14ac:dyDescent="0.3">
      <c r="Y4984" s="48" t="str">
        <f ca="1">IF(AND('Planning Sheet'!DL49='Weeks Plan'!$D$6,'Planning Sheet'!DF49='Weeks Plan'!$G$6),'Planning Sheet'!$B49,"")</f>
        <v/>
      </c>
      <c r="Z4984" s="48" t="str">
        <f ca="1">IF(AND('Planning Sheet'!DL49='Weeks Plan'!$D$6,'Planning Sheet'!DF49='Weeks Plan'!$G$6),'Planning Sheet'!$DG49,"")</f>
        <v/>
      </c>
      <c r="AA4984" s="48" t="str">
        <f ca="1">IF(AND('Planning Sheet'!DL49='Weeks Plan'!$D$6,'Planning Sheet'!DF49='Weeks Plan'!$G$6),'Planning Sheet'!$DH49,"")</f>
        <v/>
      </c>
    </row>
    <row r="4985" spans="25:27" x14ac:dyDescent="0.3">
      <c r="Y4985" s="48" t="str">
        <f ca="1">IF(AND('Planning Sheet'!DL50='Weeks Plan'!$D$6,'Planning Sheet'!DF50='Weeks Plan'!$G$6),'Planning Sheet'!$B50,"")</f>
        <v/>
      </c>
      <c r="Z4985" s="48" t="str">
        <f ca="1">IF(AND('Planning Sheet'!DL50='Weeks Plan'!$D$6,'Planning Sheet'!DF50='Weeks Plan'!$G$6),'Planning Sheet'!$DG50,"")</f>
        <v/>
      </c>
      <c r="AA4985" s="48" t="str">
        <f ca="1">IF(AND('Planning Sheet'!DL50='Weeks Plan'!$D$6,'Planning Sheet'!DF50='Weeks Plan'!$G$6),'Planning Sheet'!$DH50,"")</f>
        <v/>
      </c>
    </row>
    <row r="4986" spans="25:27" x14ac:dyDescent="0.3">
      <c r="Y4986" s="48" t="str">
        <f ca="1">IF(AND('Planning Sheet'!DL51='Weeks Plan'!$D$6,'Planning Sheet'!DF51='Weeks Plan'!$G$6),'Planning Sheet'!$B51,"")</f>
        <v/>
      </c>
      <c r="Z4986" s="48" t="str">
        <f ca="1">IF(AND('Planning Sheet'!DL51='Weeks Plan'!$D$6,'Planning Sheet'!DF51='Weeks Plan'!$G$6),'Planning Sheet'!$DG51,"")</f>
        <v/>
      </c>
      <c r="AA4986" s="48" t="str">
        <f ca="1">IF(AND('Planning Sheet'!DL51='Weeks Plan'!$D$6,'Planning Sheet'!DF51='Weeks Plan'!$G$6),'Planning Sheet'!$DH51,"")</f>
        <v/>
      </c>
    </row>
    <row r="4987" spans="25:27" x14ac:dyDescent="0.3">
      <c r="Y4987" s="48" t="str">
        <f ca="1">IF(AND('Planning Sheet'!DL52='Weeks Plan'!$D$6,'Planning Sheet'!DF52='Weeks Plan'!$G$6),'Planning Sheet'!$B52,"")</f>
        <v/>
      </c>
      <c r="Z4987" s="48" t="str">
        <f ca="1">IF(AND('Planning Sheet'!DL52='Weeks Plan'!$D$6,'Planning Sheet'!DF52='Weeks Plan'!$G$6),'Planning Sheet'!$DG52,"")</f>
        <v/>
      </c>
      <c r="AA4987" s="48" t="str">
        <f ca="1">IF(AND('Planning Sheet'!DL52='Weeks Plan'!$D$6,'Planning Sheet'!DF52='Weeks Plan'!$G$6),'Planning Sheet'!$DH52,"")</f>
        <v/>
      </c>
    </row>
    <row r="4988" spans="25:27" x14ac:dyDescent="0.3">
      <c r="Y4988" s="48" t="str">
        <f ca="1">IF(AND('Planning Sheet'!DL53='Weeks Plan'!$D$6,'Planning Sheet'!DF53='Weeks Plan'!$G$6),'Planning Sheet'!$B53,"")</f>
        <v/>
      </c>
      <c r="Z4988" s="48" t="str">
        <f ca="1">IF(AND('Planning Sheet'!DL53='Weeks Plan'!$D$6,'Planning Sheet'!DF53='Weeks Plan'!$G$6),'Planning Sheet'!$DG53,"")</f>
        <v/>
      </c>
      <c r="AA4988" s="48" t="str">
        <f ca="1">IF(AND('Planning Sheet'!DL53='Weeks Plan'!$D$6,'Planning Sheet'!DF53='Weeks Plan'!$G$6),'Planning Sheet'!$DH53,"")</f>
        <v/>
      </c>
    </row>
    <row r="4989" spans="25:27" x14ac:dyDescent="0.3">
      <c r="Y4989" s="48" t="str">
        <f ca="1">IF(AND('Planning Sheet'!DL54='Weeks Plan'!$D$6,'Planning Sheet'!DF54='Weeks Plan'!$G$6),'Planning Sheet'!$B54,"")</f>
        <v/>
      </c>
      <c r="Z4989" s="48" t="str">
        <f ca="1">IF(AND('Planning Sheet'!DL54='Weeks Plan'!$D$6,'Planning Sheet'!DF54='Weeks Plan'!$G$6),'Planning Sheet'!$DG54,"")</f>
        <v/>
      </c>
      <c r="AA4989" s="48" t="str">
        <f ca="1">IF(AND('Planning Sheet'!DL54='Weeks Plan'!$D$6,'Planning Sheet'!DF54='Weeks Plan'!$G$6),'Planning Sheet'!$DH54,"")</f>
        <v/>
      </c>
    </row>
    <row r="4990" spans="25:27" x14ac:dyDescent="0.3">
      <c r="Y4990" s="48" t="str">
        <f ca="1">IF(AND('Planning Sheet'!DL55='Weeks Plan'!$D$6,'Planning Sheet'!DF55='Weeks Plan'!$G$6),'Planning Sheet'!$B55,"")</f>
        <v/>
      </c>
      <c r="Z4990" s="48" t="str">
        <f ca="1">IF(AND('Planning Sheet'!DL55='Weeks Plan'!$D$6,'Planning Sheet'!DF55='Weeks Plan'!$G$6),'Planning Sheet'!$DG55,"")</f>
        <v/>
      </c>
      <c r="AA4990" s="48" t="str">
        <f ca="1">IF(AND('Planning Sheet'!DL55='Weeks Plan'!$D$6,'Planning Sheet'!DF55='Weeks Plan'!$G$6),'Planning Sheet'!$DH55,"")</f>
        <v/>
      </c>
    </row>
    <row r="4991" spans="25:27" x14ac:dyDescent="0.3">
      <c r="Y4991" s="48" t="str">
        <f ca="1">IF(AND('Planning Sheet'!DL56='Weeks Plan'!$D$6,'Planning Sheet'!DF56='Weeks Plan'!$G$6),'Planning Sheet'!$B56,"")</f>
        <v/>
      </c>
      <c r="Z4991" s="48" t="str">
        <f ca="1">IF(AND('Planning Sheet'!DL56='Weeks Plan'!$D$6,'Planning Sheet'!DF56='Weeks Plan'!$G$6),'Planning Sheet'!$DG56,"")</f>
        <v/>
      </c>
      <c r="AA4991" s="48" t="str">
        <f ca="1">IF(AND('Planning Sheet'!DL56='Weeks Plan'!$D$6,'Planning Sheet'!DF56='Weeks Plan'!$G$6),'Planning Sheet'!$DH56,"")</f>
        <v/>
      </c>
    </row>
    <row r="4992" spans="25:27" x14ac:dyDescent="0.3">
      <c r="Y4992" s="48" t="str">
        <f ca="1">IF(AND('Planning Sheet'!DL57='Weeks Plan'!$D$6,'Planning Sheet'!DF57='Weeks Plan'!$G$6),'Planning Sheet'!$B57,"")</f>
        <v/>
      </c>
      <c r="Z4992" s="48" t="str">
        <f ca="1">IF(AND('Planning Sheet'!DL57='Weeks Plan'!$D$6,'Planning Sheet'!DF57='Weeks Plan'!$G$6),'Planning Sheet'!$DG57,"")</f>
        <v/>
      </c>
      <c r="AA4992" s="48" t="str">
        <f ca="1">IF(AND('Planning Sheet'!DL57='Weeks Plan'!$D$6,'Planning Sheet'!DF57='Weeks Plan'!$G$6),'Planning Sheet'!$DH57,"")</f>
        <v/>
      </c>
    </row>
    <row r="4993" spans="25:27" x14ac:dyDescent="0.3">
      <c r="Y4993" s="48" t="str">
        <f ca="1">IF(AND('Planning Sheet'!DL58='Weeks Plan'!$D$6,'Planning Sheet'!DF58='Weeks Plan'!$G$6),'Planning Sheet'!$B58,"")</f>
        <v/>
      </c>
      <c r="Z4993" s="48" t="str">
        <f ca="1">IF(AND('Planning Sheet'!DL58='Weeks Plan'!$D$6,'Planning Sheet'!DF58='Weeks Plan'!$G$6),'Planning Sheet'!$DG58,"")</f>
        <v/>
      </c>
      <c r="AA4993" s="48" t="str">
        <f ca="1">IF(AND('Planning Sheet'!DL58='Weeks Plan'!$D$6,'Planning Sheet'!DF58='Weeks Plan'!$G$6),'Planning Sheet'!$DH58,"")</f>
        <v/>
      </c>
    </row>
    <row r="4994" spans="25:27" x14ac:dyDescent="0.3">
      <c r="Y4994" s="48" t="str">
        <f ca="1">IF(AND('Planning Sheet'!DL59='Weeks Plan'!$D$6,'Planning Sheet'!DF59='Weeks Plan'!$G$6),'Planning Sheet'!$B59,"")</f>
        <v/>
      </c>
      <c r="Z4994" s="48" t="str">
        <f ca="1">IF(AND('Planning Sheet'!DL59='Weeks Plan'!$D$6,'Planning Sheet'!DF59='Weeks Plan'!$G$6),'Planning Sheet'!$DG59,"")</f>
        <v/>
      </c>
      <c r="AA4994" s="48" t="str">
        <f ca="1">IF(AND('Planning Sheet'!DL59='Weeks Plan'!$D$6,'Planning Sheet'!DF59='Weeks Plan'!$G$6),'Planning Sheet'!$DH59,"")</f>
        <v/>
      </c>
    </row>
    <row r="4995" spans="25:27" x14ac:dyDescent="0.3">
      <c r="Y4995" s="48" t="str">
        <f ca="1">IF(AND('Planning Sheet'!DL60='Weeks Plan'!$D$6,'Planning Sheet'!DF60='Weeks Plan'!$G$6),'Planning Sheet'!$B60,"")</f>
        <v/>
      </c>
      <c r="Z4995" s="48" t="str">
        <f ca="1">IF(AND('Planning Sheet'!DL60='Weeks Plan'!$D$6,'Planning Sheet'!DF60='Weeks Plan'!$G$6),'Planning Sheet'!$DG60,"")</f>
        <v/>
      </c>
      <c r="AA4995" s="48" t="str">
        <f ca="1">IF(AND('Planning Sheet'!DL60='Weeks Plan'!$D$6,'Planning Sheet'!DF60='Weeks Plan'!$G$6),'Planning Sheet'!$DH60,"")</f>
        <v/>
      </c>
    </row>
    <row r="4996" spans="25:27" x14ac:dyDescent="0.3">
      <c r="Y4996" s="48" t="str">
        <f ca="1">IF(AND('Planning Sheet'!DL61='Weeks Plan'!$D$6,'Planning Sheet'!DF61='Weeks Plan'!$G$6),'Planning Sheet'!$B61,"")</f>
        <v/>
      </c>
      <c r="Z4996" s="48" t="str">
        <f ca="1">IF(AND('Planning Sheet'!DL61='Weeks Plan'!$D$6,'Planning Sheet'!DF61='Weeks Plan'!$G$6),'Planning Sheet'!$DG61,"")</f>
        <v/>
      </c>
      <c r="AA4996" s="48" t="str">
        <f ca="1">IF(AND('Planning Sheet'!DL61='Weeks Plan'!$D$6,'Planning Sheet'!DF61='Weeks Plan'!$G$6),'Planning Sheet'!$DH61,"")</f>
        <v/>
      </c>
    </row>
    <row r="4997" spans="25:27" x14ac:dyDescent="0.3">
      <c r="Y4997" s="48" t="str">
        <f ca="1">IF(AND('Planning Sheet'!DL62='Weeks Plan'!$D$6,'Planning Sheet'!DF62='Weeks Plan'!$G$6),'Planning Sheet'!$B62,"")</f>
        <v/>
      </c>
      <c r="Z4997" s="48" t="str">
        <f ca="1">IF(AND('Planning Sheet'!DL62='Weeks Plan'!$D$6,'Planning Sheet'!DF62='Weeks Plan'!$G$6),'Planning Sheet'!$DG62,"")</f>
        <v/>
      </c>
      <c r="AA4997" s="48" t="str">
        <f ca="1">IF(AND('Planning Sheet'!DL62='Weeks Plan'!$D$6,'Planning Sheet'!DF62='Weeks Plan'!$G$6),'Planning Sheet'!$DH62,"")</f>
        <v/>
      </c>
    </row>
    <row r="4998" spans="25:27" x14ac:dyDescent="0.3">
      <c r="Y4998" s="48" t="str">
        <f ca="1">IF(AND('Planning Sheet'!DL63='Weeks Plan'!$D$6,'Planning Sheet'!DF63='Weeks Plan'!$G$6),'Planning Sheet'!$B63,"")</f>
        <v/>
      </c>
      <c r="Z4998" s="48" t="str">
        <f ca="1">IF(AND('Planning Sheet'!DL63='Weeks Plan'!$D$6,'Planning Sheet'!DF63='Weeks Plan'!$G$6),'Planning Sheet'!$DG63,"")</f>
        <v/>
      </c>
      <c r="AA4998" s="48" t="str">
        <f ca="1">IF(AND('Planning Sheet'!DL63='Weeks Plan'!$D$6,'Planning Sheet'!DF63='Weeks Plan'!$G$6),'Planning Sheet'!$DH63,"")</f>
        <v/>
      </c>
    </row>
    <row r="4999" spans="25:27" x14ac:dyDescent="0.3">
      <c r="Y4999" s="48" t="str">
        <f ca="1">IF(AND('Planning Sheet'!DL64='Weeks Plan'!$D$6,'Planning Sheet'!DF64='Weeks Plan'!$G$6),'Planning Sheet'!$B64,"")</f>
        <v/>
      </c>
      <c r="Z4999" s="48" t="str">
        <f ca="1">IF(AND('Planning Sheet'!DL64='Weeks Plan'!$D$6,'Planning Sheet'!DF64='Weeks Plan'!$G$6),'Planning Sheet'!$DG64,"")</f>
        <v/>
      </c>
      <c r="AA4999" s="48" t="str">
        <f ca="1">IF(AND('Planning Sheet'!DL64='Weeks Plan'!$D$6,'Planning Sheet'!DF64='Weeks Plan'!$G$6),'Planning Sheet'!$DH64,"")</f>
        <v/>
      </c>
    </row>
    <row r="5000" spans="25:27" x14ac:dyDescent="0.3">
      <c r="Y5000" s="48" t="str">
        <f ca="1">IF(AND('Planning Sheet'!DL65='Weeks Plan'!$D$6,'Planning Sheet'!DF65='Weeks Plan'!$G$6),'Planning Sheet'!$B65,"")</f>
        <v/>
      </c>
      <c r="Z5000" s="48" t="str">
        <f ca="1">IF(AND('Planning Sheet'!DL65='Weeks Plan'!$D$6,'Planning Sheet'!DF65='Weeks Plan'!$G$6),'Planning Sheet'!$DG65,"")</f>
        <v/>
      </c>
      <c r="AA5000" s="48" t="str">
        <f ca="1">IF(AND('Planning Sheet'!DL65='Weeks Plan'!$D$6,'Planning Sheet'!DF65='Weeks Plan'!$G$6),'Planning Sheet'!$DH65,"")</f>
        <v/>
      </c>
    </row>
    <row r="5001" spans="25:27" x14ac:dyDescent="0.3">
      <c r="Y5001" s="48" t="str">
        <f ca="1">IF(AND('Planning Sheet'!DL66='Weeks Plan'!$D$6,'Planning Sheet'!DF66='Weeks Plan'!$G$6),'Planning Sheet'!$B66,"")</f>
        <v/>
      </c>
      <c r="Z5001" s="48" t="str">
        <f ca="1">IF(AND('Planning Sheet'!DL66='Weeks Plan'!$D$6,'Planning Sheet'!DF66='Weeks Plan'!$G$6),'Planning Sheet'!$DG66,"")</f>
        <v/>
      </c>
      <c r="AA5001" s="48" t="str">
        <f ca="1">IF(AND('Planning Sheet'!DL66='Weeks Plan'!$D$6,'Planning Sheet'!DF66='Weeks Plan'!$G$6),'Planning Sheet'!$DH66,"")</f>
        <v/>
      </c>
    </row>
    <row r="5002" spans="25:27" x14ac:dyDescent="0.3">
      <c r="Y5002" s="48" t="str">
        <f ca="1">IF(AND('Planning Sheet'!DL67='Weeks Plan'!$D$6,'Planning Sheet'!DF67='Weeks Plan'!$G$6),'Planning Sheet'!$B67,"")</f>
        <v/>
      </c>
      <c r="Z5002" s="48" t="str">
        <f ca="1">IF(AND('Planning Sheet'!DL67='Weeks Plan'!$D$6,'Planning Sheet'!DF67='Weeks Plan'!$G$6),'Planning Sheet'!$DG67,"")</f>
        <v/>
      </c>
      <c r="AA5002" s="48" t="str">
        <f ca="1">IF(AND('Planning Sheet'!DL67='Weeks Plan'!$D$6,'Planning Sheet'!DF67='Weeks Plan'!$G$6),'Planning Sheet'!$DH67,"")</f>
        <v/>
      </c>
    </row>
    <row r="5003" spans="25:27" x14ac:dyDescent="0.3">
      <c r="Y5003" s="48" t="str">
        <f ca="1">IF(AND('Planning Sheet'!DL68='Weeks Plan'!$D$6,'Planning Sheet'!DF68='Weeks Plan'!$G$6),'Planning Sheet'!$B68,"")</f>
        <v/>
      </c>
      <c r="Z5003" s="48" t="str">
        <f ca="1">IF(AND('Planning Sheet'!DL68='Weeks Plan'!$D$6,'Planning Sheet'!DF68='Weeks Plan'!$G$6),'Planning Sheet'!$DG68,"")</f>
        <v/>
      </c>
      <c r="AA5003" s="48" t="str">
        <f ca="1">IF(AND('Planning Sheet'!DL68='Weeks Plan'!$D$6,'Planning Sheet'!DF68='Weeks Plan'!$G$6),'Planning Sheet'!$DH68,"")</f>
        <v/>
      </c>
    </row>
    <row r="5004" spans="25:27" x14ac:dyDescent="0.3">
      <c r="Y5004" s="48" t="str">
        <f ca="1">IF(AND('Planning Sheet'!DL69='Weeks Plan'!$D$6,'Planning Sheet'!DF69='Weeks Plan'!$G$6),'Planning Sheet'!$B69,"")</f>
        <v/>
      </c>
      <c r="Z5004" s="48" t="str">
        <f ca="1">IF(AND('Planning Sheet'!DL69='Weeks Plan'!$D$6,'Planning Sheet'!DF69='Weeks Plan'!$G$6),'Planning Sheet'!$DG69,"")</f>
        <v/>
      </c>
      <c r="AA5004" s="48" t="str">
        <f ca="1">IF(AND('Planning Sheet'!DL69='Weeks Plan'!$D$6,'Planning Sheet'!DF69='Weeks Plan'!$G$6),'Planning Sheet'!$DH69,"")</f>
        <v/>
      </c>
    </row>
    <row r="5005" spans="25:27" x14ac:dyDescent="0.3">
      <c r="Y5005" s="48" t="str">
        <f ca="1">IF(AND('Planning Sheet'!DL70='Weeks Plan'!$D$6,'Planning Sheet'!DF70='Weeks Plan'!$G$6),'Planning Sheet'!$B70,"")</f>
        <v/>
      </c>
      <c r="Z5005" s="48" t="str">
        <f ca="1">IF(AND('Planning Sheet'!DL70='Weeks Plan'!$D$6,'Planning Sheet'!DF70='Weeks Plan'!$G$6),'Planning Sheet'!$DG70,"")</f>
        <v/>
      </c>
      <c r="AA5005" s="48" t="str">
        <f ca="1">IF(AND('Planning Sheet'!DL70='Weeks Plan'!$D$6,'Planning Sheet'!DF70='Weeks Plan'!$G$6),'Planning Sheet'!$DH70,"")</f>
        <v/>
      </c>
    </row>
    <row r="5006" spans="25:27" x14ac:dyDescent="0.3">
      <c r="Y5006" s="48" t="str">
        <f ca="1">IF(AND('Planning Sheet'!DL71='Weeks Plan'!$D$6,'Planning Sheet'!DF71='Weeks Plan'!$G$6),'Planning Sheet'!$B71,"")</f>
        <v/>
      </c>
      <c r="Z5006" s="48" t="str">
        <f ca="1">IF(AND('Planning Sheet'!DL71='Weeks Plan'!$D$6,'Planning Sheet'!DF71='Weeks Plan'!$G$6),'Planning Sheet'!$DG71,"")</f>
        <v/>
      </c>
      <c r="AA5006" s="48" t="str">
        <f ca="1">IF(AND('Planning Sheet'!DL71='Weeks Plan'!$D$6,'Planning Sheet'!DF71='Weeks Plan'!$G$6),'Planning Sheet'!$DH71,"")</f>
        <v/>
      </c>
    </row>
    <row r="5007" spans="25:27" x14ac:dyDescent="0.3">
      <c r="Y5007" s="48" t="str">
        <f ca="1">IF(AND('Planning Sheet'!DL72='Weeks Plan'!$D$6,'Planning Sheet'!DF72='Weeks Plan'!$G$6),'Planning Sheet'!$B72,"")</f>
        <v/>
      </c>
      <c r="Z5007" s="48" t="str">
        <f ca="1">IF(AND('Planning Sheet'!DL72='Weeks Plan'!$D$6,'Planning Sheet'!DF72='Weeks Plan'!$G$6),'Planning Sheet'!$DG72,"")</f>
        <v/>
      </c>
      <c r="AA5007" s="48" t="str">
        <f ca="1">IF(AND('Planning Sheet'!DL72='Weeks Plan'!$D$6,'Planning Sheet'!DF72='Weeks Plan'!$G$6),'Planning Sheet'!$DH72,"")</f>
        <v/>
      </c>
    </row>
    <row r="5008" spans="25:27" x14ac:dyDescent="0.3">
      <c r="Y5008" s="48" t="str">
        <f ca="1">IF(AND('Planning Sheet'!DL73='Weeks Plan'!$D$6,'Planning Sheet'!DF73='Weeks Plan'!$G$6),'Planning Sheet'!$B73,"")</f>
        <v/>
      </c>
      <c r="Z5008" s="48" t="str">
        <f ca="1">IF(AND('Planning Sheet'!DL73='Weeks Plan'!$D$6,'Planning Sheet'!DF73='Weeks Plan'!$G$6),'Planning Sheet'!$DG73,"")</f>
        <v/>
      </c>
      <c r="AA5008" s="48" t="str">
        <f ca="1">IF(AND('Planning Sheet'!DL73='Weeks Plan'!$D$6,'Planning Sheet'!DF73='Weeks Plan'!$G$6),'Planning Sheet'!$DH73,"")</f>
        <v/>
      </c>
    </row>
    <row r="5009" spans="25:27" x14ac:dyDescent="0.3">
      <c r="Y5009" s="48" t="str">
        <f ca="1">IF(AND('Planning Sheet'!DL74='Weeks Plan'!$D$6,'Planning Sheet'!DF74='Weeks Plan'!$G$6),'Planning Sheet'!$B74,"")</f>
        <v/>
      </c>
      <c r="Z5009" s="48" t="str">
        <f ca="1">IF(AND('Planning Sheet'!DL74='Weeks Plan'!$D$6,'Planning Sheet'!DF74='Weeks Plan'!$G$6),'Planning Sheet'!$DG74,"")</f>
        <v/>
      </c>
      <c r="AA5009" s="48" t="str">
        <f ca="1">IF(AND('Planning Sheet'!DL74='Weeks Plan'!$D$6,'Planning Sheet'!DF74='Weeks Plan'!$G$6),'Planning Sheet'!$DH74,"")</f>
        <v/>
      </c>
    </row>
    <row r="5010" spans="25:27" x14ac:dyDescent="0.3">
      <c r="Y5010" s="48" t="str">
        <f ca="1">IF(AND('Planning Sheet'!DL75='Weeks Plan'!$D$6,'Planning Sheet'!DF75='Weeks Plan'!$G$6),'Planning Sheet'!$B75,"")</f>
        <v/>
      </c>
      <c r="Z5010" s="48" t="str">
        <f ca="1">IF(AND('Planning Sheet'!DL75='Weeks Plan'!$D$6,'Planning Sheet'!DF75='Weeks Plan'!$G$6),'Planning Sheet'!$DG75,"")</f>
        <v/>
      </c>
      <c r="AA5010" s="48" t="str">
        <f ca="1">IF(AND('Planning Sheet'!DL75='Weeks Plan'!$D$6,'Planning Sheet'!DF75='Weeks Plan'!$G$6),'Planning Sheet'!$DH75,"")</f>
        <v/>
      </c>
    </row>
    <row r="5011" spans="25:27" x14ac:dyDescent="0.3">
      <c r="Y5011" s="48" t="str">
        <f ca="1">IF(AND('Planning Sheet'!DL76='Weeks Plan'!$D$6,'Planning Sheet'!DF76='Weeks Plan'!$G$6),'Planning Sheet'!$B76,"")</f>
        <v/>
      </c>
      <c r="Z5011" s="48" t="str">
        <f ca="1">IF(AND('Planning Sheet'!DL76='Weeks Plan'!$D$6,'Planning Sheet'!DF76='Weeks Plan'!$G$6),'Planning Sheet'!$DG76,"")</f>
        <v/>
      </c>
      <c r="AA5011" s="48" t="str">
        <f ca="1">IF(AND('Planning Sheet'!DL76='Weeks Plan'!$D$6,'Planning Sheet'!DF76='Weeks Plan'!$G$6),'Planning Sheet'!$DH76,"")</f>
        <v/>
      </c>
    </row>
    <row r="5012" spans="25:27" x14ac:dyDescent="0.3">
      <c r="Y5012" s="48" t="str">
        <f ca="1">IF(AND('Planning Sheet'!DL77='Weeks Plan'!$D$6,'Planning Sheet'!DF77='Weeks Plan'!$G$6),'Planning Sheet'!$B77,"")</f>
        <v/>
      </c>
      <c r="Z5012" s="48" t="str">
        <f ca="1">IF(AND('Planning Sheet'!DL77='Weeks Plan'!$D$6,'Planning Sheet'!DF77='Weeks Plan'!$G$6),'Planning Sheet'!$DG77,"")</f>
        <v/>
      </c>
      <c r="AA5012" s="48" t="str">
        <f ca="1">IF(AND('Planning Sheet'!DL77='Weeks Plan'!$D$6,'Planning Sheet'!DF77='Weeks Plan'!$G$6),'Planning Sheet'!$DH77,"")</f>
        <v/>
      </c>
    </row>
    <row r="5013" spans="25:27" x14ac:dyDescent="0.3">
      <c r="Y5013" s="48" t="str">
        <f ca="1">IF(AND('Planning Sheet'!DL78='Weeks Plan'!$D$6,'Planning Sheet'!DF78='Weeks Plan'!$G$6),'Planning Sheet'!$B78,"")</f>
        <v/>
      </c>
      <c r="Z5013" s="48" t="str">
        <f ca="1">IF(AND('Planning Sheet'!DL78='Weeks Plan'!$D$6,'Planning Sheet'!DF78='Weeks Plan'!$G$6),'Planning Sheet'!$DG78,"")</f>
        <v/>
      </c>
      <c r="AA5013" s="48" t="str">
        <f ca="1">IF(AND('Planning Sheet'!DL78='Weeks Plan'!$D$6,'Planning Sheet'!DF78='Weeks Plan'!$G$6),'Planning Sheet'!$DH78,"")</f>
        <v/>
      </c>
    </row>
    <row r="5014" spans="25:27" x14ac:dyDescent="0.3">
      <c r="Y5014" s="48" t="str">
        <f ca="1">IF(AND('Planning Sheet'!DL79='Weeks Plan'!$D$6,'Planning Sheet'!DF79='Weeks Plan'!$G$6),'Planning Sheet'!$B79,"")</f>
        <v/>
      </c>
      <c r="Z5014" s="48" t="str">
        <f ca="1">IF(AND('Planning Sheet'!DL79='Weeks Plan'!$D$6,'Planning Sheet'!DF79='Weeks Plan'!$G$6),'Planning Sheet'!$DG79,"")</f>
        <v/>
      </c>
      <c r="AA5014" s="48" t="str">
        <f ca="1">IF(AND('Planning Sheet'!DL79='Weeks Plan'!$D$6,'Planning Sheet'!DF79='Weeks Plan'!$G$6),'Planning Sheet'!$DH79,"")</f>
        <v/>
      </c>
    </row>
    <row r="5015" spans="25:27" x14ac:dyDescent="0.3">
      <c r="Y5015" s="48" t="str">
        <f ca="1">IF(AND('Planning Sheet'!DL80='Weeks Plan'!$D$6,'Planning Sheet'!DF80='Weeks Plan'!$G$6),'Planning Sheet'!$B80,"")</f>
        <v/>
      </c>
      <c r="Z5015" s="48" t="str">
        <f ca="1">IF(AND('Planning Sheet'!DL80='Weeks Plan'!$D$6,'Planning Sheet'!DF80='Weeks Plan'!$G$6),'Planning Sheet'!$DG80,"")</f>
        <v/>
      </c>
      <c r="AA5015" s="48" t="str">
        <f ca="1">IF(AND('Planning Sheet'!DL80='Weeks Plan'!$D$6,'Planning Sheet'!DF80='Weeks Plan'!$G$6),'Planning Sheet'!$DH80,"")</f>
        <v/>
      </c>
    </row>
    <row r="5016" spans="25:27" x14ac:dyDescent="0.3">
      <c r="Y5016" s="48" t="str">
        <f ca="1">IF(AND('Planning Sheet'!DL81='Weeks Plan'!$D$6,'Planning Sheet'!DF81='Weeks Plan'!$G$6),'Planning Sheet'!$B81,"")</f>
        <v/>
      </c>
      <c r="Z5016" s="48" t="str">
        <f ca="1">IF(AND('Planning Sheet'!DL81='Weeks Plan'!$D$6,'Planning Sheet'!DF81='Weeks Plan'!$G$6),'Planning Sheet'!$DG81,"")</f>
        <v/>
      </c>
      <c r="AA5016" s="48" t="str">
        <f ca="1">IF(AND('Planning Sheet'!DL81='Weeks Plan'!$D$6,'Planning Sheet'!DF81='Weeks Plan'!$G$6),'Planning Sheet'!$DH81,"")</f>
        <v/>
      </c>
    </row>
    <row r="5017" spans="25:27" x14ac:dyDescent="0.3">
      <c r="Y5017" s="48" t="str">
        <f ca="1">IF(AND('Planning Sheet'!DL82='Weeks Plan'!$D$6,'Planning Sheet'!DF82='Weeks Plan'!$G$6),'Planning Sheet'!$B82,"")</f>
        <v/>
      </c>
      <c r="Z5017" s="48" t="str">
        <f ca="1">IF(AND('Planning Sheet'!DL82='Weeks Plan'!$D$6,'Planning Sheet'!DF82='Weeks Plan'!$G$6),'Planning Sheet'!$DG82,"")</f>
        <v/>
      </c>
      <c r="AA5017" s="48" t="str">
        <f ca="1">IF(AND('Planning Sheet'!DL82='Weeks Plan'!$D$6,'Planning Sheet'!DF82='Weeks Plan'!$G$6),'Planning Sheet'!$DH82,"")</f>
        <v/>
      </c>
    </row>
    <row r="5018" spans="25:27" x14ac:dyDescent="0.3">
      <c r="Y5018" s="48" t="str">
        <f ca="1">IF(AND('Planning Sheet'!DL83='Weeks Plan'!$D$6,'Planning Sheet'!DF83='Weeks Plan'!$G$6),'Planning Sheet'!$B83,"")</f>
        <v/>
      </c>
      <c r="Z5018" s="48" t="str">
        <f ca="1">IF(AND('Planning Sheet'!DL83='Weeks Plan'!$D$6,'Planning Sheet'!DF83='Weeks Plan'!$G$6),'Planning Sheet'!$DG83,"")</f>
        <v/>
      </c>
      <c r="AA5018" s="48" t="str">
        <f ca="1">IF(AND('Planning Sheet'!DL83='Weeks Plan'!$D$6,'Planning Sheet'!DF83='Weeks Plan'!$G$6),'Planning Sheet'!$DH83,"")</f>
        <v/>
      </c>
    </row>
    <row r="5019" spans="25:27" x14ac:dyDescent="0.3">
      <c r="Y5019" s="48" t="str">
        <f ca="1">IF(AND('Planning Sheet'!DL84='Weeks Plan'!$D$6,'Planning Sheet'!DF84='Weeks Plan'!$G$6),'Planning Sheet'!$B84,"")</f>
        <v/>
      </c>
      <c r="Z5019" s="48" t="str">
        <f ca="1">IF(AND('Planning Sheet'!DL84='Weeks Plan'!$D$6,'Planning Sheet'!DF84='Weeks Plan'!$G$6),'Planning Sheet'!$DG84,"")</f>
        <v/>
      </c>
      <c r="AA5019" s="48" t="str">
        <f ca="1">IF(AND('Planning Sheet'!DL84='Weeks Plan'!$D$6,'Planning Sheet'!DF84='Weeks Plan'!$G$6),'Planning Sheet'!$DH84,"")</f>
        <v/>
      </c>
    </row>
    <row r="5020" spans="25:27" x14ac:dyDescent="0.3">
      <c r="Y5020" s="48" t="str">
        <f ca="1">IF(AND('Planning Sheet'!DL85='Weeks Plan'!$D$6,'Planning Sheet'!DF85='Weeks Plan'!$G$6),'Planning Sheet'!$B85,"")</f>
        <v/>
      </c>
      <c r="Z5020" s="48" t="str">
        <f ca="1">IF(AND('Planning Sheet'!DL85='Weeks Plan'!$D$6,'Planning Sheet'!DF85='Weeks Plan'!$G$6),'Planning Sheet'!$DG85,"")</f>
        <v/>
      </c>
      <c r="AA5020" s="48" t="str">
        <f ca="1">IF(AND('Planning Sheet'!DL85='Weeks Plan'!$D$6,'Planning Sheet'!DF85='Weeks Plan'!$G$6),'Planning Sheet'!$DH85,"")</f>
        <v/>
      </c>
    </row>
    <row r="5021" spans="25:27" x14ac:dyDescent="0.3">
      <c r="Y5021" s="48" t="str">
        <f ca="1">IF(AND('Planning Sheet'!DL86='Weeks Plan'!$D$6,'Planning Sheet'!DF86='Weeks Plan'!$G$6),'Planning Sheet'!$B86,"")</f>
        <v/>
      </c>
      <c r="Z5021" s="48" t="str">
        <f ca="1">IF(AND('Planning Sheet'!DL86='Weeks Plan'!$D$6,'Planning Sheet'!DF86='Weeks Plan'!$G$6),'Planning Sheet'!$DG86,"")</f>
        <v/>
      </c>
      <c r="AA5021" s="48" t="str">
        <f ca="1">IF(AND('Planning Sheet'!DL86='Weeks Plan'!$D$6,'Planning Sheet'!DF86='Weeks Plan'!$G$6),'Planning Sheet'!$DH86,"")</f>
        <v/>
      </c>
    </row>
    <row r="5022" spans="25:27" x14ac:dyDescent="0.3">
      <c r="Y5022" s="48" t="str">
        <f ca="1">IF(AND('Planning Sheet'!DL87='Weeks Plan'!$D$6,'Planning Sheet'!DF87='Weeks Plan'!$G$6),'Planning Sheet'!$B87,"")</f>
        <v/>
      </c>
      <c r="Z5022" s="48" t="str">
        <f ca="1">IF(AND('Planning Sheet'!DL87='Weeks Plan'!$D$6,'Planning Sheet'!DF87='Weeks Plan'!$G$6),'Planning Sheet'!$DG87,"")</f>
        <v/>
      </c>
      <c r="AA5022" s="48" t="str">
        <f ca="1">IF(AND('Planning Sheet'!DL87='Weeks Plan'!$D$6,'Planning Sheet'!DF87='Weeks Plan'!$G$6),'Planning Sheet'!$DH87,"")</f>
        <v/>
      </c>
    </row>
    <row r="5023" spans="25:27" x14ac:dyDescent="0.3">
      <c r="Y5023" s="48" t="str">
        <f ca="1">IF(AND('Planning Sheet'!DL88='Weeks Plan'!$D$6,'Planning Sheet'!DF88='Weeks Plan'!$G$6),'Planning Sheet'!$B88,"")</f>
        <v/>
      </c>
      <c r="Z5023" s="48" t="str">
        <f ca="1">IF(AND('Planning Sheet'!DL88='Weeks Plan'!$D$6,'Planning Sheet'!DF88='Weeks Plan'!$G$6),'Planning Sheet'!$DG88,"")</f>
        <v/>
      </c>
      <c r="AA5023" s="48" t="str">
        <f ca="1">IF(AND('Planning Sheet'!DL88='Weeks Plan'!$D$6,'Planning Sheet'!DF88='Weeks Plan'!$G$6),'Planning Sheet'!$DH88,"")</f>
        <v/>
      </c>
    </row>
    <row r="5024" spans="25:27" x14ac:dyDescent="0.3">
      <c r="Y5024" s="48" t="str">
        <f ca="1">IF(AND('Planning Sheet'!DL89='Weeks Plan'!$D$6,'Planning Sheet'!DF89='Weeks Plan'!$G$6),'Planning Sheet'!$B89,"")</f>
        <v/>
      </c>
      <c r="Z5024" s="48" t="str">
        <f ca="1">IF(AND('Planning Sheet'!DL89='Weeks Plan'!$D$6,'Planning Sheet'!DF89='Weeks Plan'!$G$6),'Planning Sheet'!$DG89,"")</f>
        <v/>
      </c>
      <c r="AA5024" s="48" t="str">
        <f ca="1">IF(AND('Planning Sheet'!DL89='Weeks Plan'!$D$6,'Planning Sheet'!DF89='Weeks Plan'!$G$6),'Planning Sheet'!$DH89,"")</f>
        <v/>
      </c>
    </row>
    <row r="5025" spans="25:27" x14ac:dyDescent="0.3">
      <c r="Y5025" s="48" t="str">
        <f ca="1">IF(AND('Planning Sheet'!DL90='Weeks Plan'!$D$6,'Planning Sheet'!DF90='Weeks Plan'!$G$6),'Planning Sheet'!$B90,"")</f>
        <v/>
      </c>
      <c r="Z5025" s="48" t="str">
        <f ca="1">IF(AND('Planning Sheet'!DL90='Weeks Plan'!$D$6,'Planning Sheet'!DF90='Weeks Plan'!$G$6),'Planning Sheet'!$DG90,"")</f>
        <v/>
      </c>
      <c r="AA5025" s="48" t="str">
        <f ca="1">IF(AND('Planning Sheet'!DL90='Weeks Plan'!$D$6,'Planning Sheet'!DF90='Weeks Plan'!$G$6),'Planning Sheet'!$DH90,"")</f>
        <v/>
      </c>
    </row>
    <row r="5026" spans="25:27" x14ac:dyDescent="0.3">
      <c r="Y5026" s="48" t="str">
        <f ca="1">IF(AND('Planning Sheet'!DL91='Weeks Plan'!$D$6,'Planning Sheet'!DF91='Weeks Plan'!$G$6),'Planning Sheet'!$B91,"")</f>
        <v/>
      </c>
      <c r="Z5026" s="48" t="str">
        <f ca="1">IF(AND('Planning Sheet'!DL91='Weeks Plan'!$D$6,'Planning Sheet'!DF91='Weeks Plan'!$G$6),'Planning Sheet'!$DG91,"")</f>
        <v/>
      </c>
      <c r="AA5026" s="48" t="str">
        <f ca="1">IF(AND('Planning Sheet'!DL91='Weeks Plan'!$D$6,'Planning Sheet'!DF91='Weeks Plan'!$G$6),'Planning Sheet'!$DH91,"")</f>
        <v/>
      </c>
    </row>
    <row r="5027" spans="25:27" x14ac:dyDescent="0.3">
      <c r="Y5027" s="48" t="str">
        <f ca="1">IF(AND('Planning Sheet'!DL92='Weeks Plan'!$D$6,'Planning Sheet'!DF92='Weeks Plan'!$G$6),'Planning Sheet'!$B92,"")</f>
        <v/>
      </c>
      <c r="Z5027" s="48" t="str">
        <f ca="1">IF(AND('Planning Sheet'!DL92='Weeks Plan'!$D$6,'Planning Sheet'!DF92='Weeks Plan'!$G$6),'Planning Sheet'!$DG92,"")</f>
        <v/>
      </c>
      <c r="AA5027" s="48" t="str">
        <f ca="1">IF(AND('Planning Sheet'!DL92='Weeks Plan'!$D$6,'Planning Sheet'!DF92='Weeks Plan'!$G$6),'Planning Sheet'!$DH92,"")</f>
        <v/>
      </c>
    </row>
    <row r="5028" spans="25:27" x14ac:dyDescent="0.3">
      <c r="Y5028" s="48" t="str">
        <f ca="1">IF(AND('Planning Sheet'!DL93='Weeks Plan'!$D$6,'Planning Sheet'!DF93='Weeks Plan'!$G$6),'Planning Sheet'!$B93,"")</f>
        <v/>
      </c>
      <c r="Z5028" s="48" t="str">
        <f ca="1">IF(AND('Planning Sheet'!DL93='Weeks Plan'!$D$6,'Planning Sheet'!DF93='Weeks Plan'!$G$6),'Planning Sheet'!$DG93,"")</f>
        <v/>
      </c>
      <c r="AA5028" s="48" t="str">
        <f ca="1">IF(AND('Planning Sheet'!DL93='Weeks Plan'!$D$6,'Planning Sheet'!DF93='Weeks Plan'!$G$6),'Planning Sheet'!$DH93,"")</f>
        <v/>
      </c>
    </row>
    <row r="5029" spans="25:27" x14ac:dyDescent="0.3">
      <c r="Y5029" s="48" t="str">
        <f ca="1">IF(AND('Planning Sheet'!DL94='Weeks Plan'!$D$6,'Planning Sheet'!DF94='Weeks Plan'!$G$6),'Planning Sheet'!$B94,"")</f>
        <v/>
      </c>
      <c r="Z5029" s="48" t="str">
        <f ca="1">IF(AND('Planning Sheet'!DL94='Weeks Plan'!$D$6,'Planning Sheet'!DF94='Weeks Plan'!$G$6),'Planning Sheet'!$DG94,"")</f>
        <v/>
      </c>
      <c r="AA5029" s="48" t="str">
        <f ca="1">IF(AND('Planning Sheet'!DL94='Weeks Plan'!$D$6,'Planning Sheet'!DF94='Weeks Plan'!$G$6),'Planning Sheet'!$DH94,"")</f>
        <v/>
      </c>
    </row>
    <row r="5030" spans="25:27" x14ac:dyDescent="0.3">
      <c r="Y5030" s="48" t="str">
        <f ca="1">IF(AND('Planning Sheet'!DL95='Weeks Plan'!$D$6,'Planning Sheet'!DF95='Weeks Plan'!$G$6),'Planning Sheet'!$B95,"")</f>
        <v/>
      </c>
      <c r="Z5030" s="48" t="str">
        <f ca="1">IF(AND('Planning Sheet'!DL95='Weeks Plan'!$D$6,'Planning Sheet'!DF95='Weeks Plan'!$G$6),'Planning Sheet'!$DG95,"")</f>
        <v/>
      </c>
      <c r="AA5030" s="48" t="str">
        <f ca="1">IF(AND('Planning Sheet'!DL95='Weeks Plan'!$D$6,'Planning Sheet'!DF95='Weeks Plan'!$G$6),'Planning Sheet'!$DH95,"")</f>
        <v/>
      </c>
    </row>
    <row r="5031" spans="25:27" x14ac:dyDescent="0.3">
      <c r="Y5031" s="48" t="str">
        <f ca="1">IF(AND('Planning Sheet'!DL96='Weeks Plan'!$D$6,'Planning Sheet'!DF96='Weeks Plan'!$G$6),'Planning Sheet'!$B96,"")</f>
        <v/>
      </c>
      <c r="Z5031" s="48" t="str">
        <f ca="1">IF(AND('Planning Sheet'!DL96='Weeks Plan'!$D$6,'Planning Sheet'!DF96='Weeks Plan'!$G$6),'Planning Sheet'!$DG96,"")</f>
        <v/>
      </c>
      <c r="AA5031" s="48" t="str">
        <f ca="1">IF(AND('Planning Sheet'!DL96='Weeks Plan'!$D$6,'Planning Sheet'!DF96='Weeks Plan'!$G$6),'Planning Sheet'!$DH96,"")</f>
        <v/>
      </c>
    </row>
    <row r="5032" spans="25:27" x14ac:dyDescent="0.3">
      <c r="Y5032" s="48" t="str">
        <f ca="1">IF(AND('Planning Sheet'!DL97='Weeks Plan'!$D$6,'Planning Sheet'!DF97='Weeks Plan'!$G$6),'Planning Sheet'!$B97,"")</f>
        <v/>
      </c>
      <c r="Z5032" s="48" t="str">
        <f ca="1">IF(AND('Planning Sheet'!DL97='Weeks Plan'!$D$6,'Planning Sheet'!DF97='Weeks Plan'!$G$6),'Planning Sheet'!$DG97,"")</f>
        <v/>
      </c>
      <c r="AA5032" s="48" t="str">
        <f ca="1">IF(AND('Planning Sheet'!DL97='Weeks Plan'!$D$6,'Planning Sheet'!DF97='Weeks Plan'!$G$6),'Planning Sheet'!$DH97,"")</f>
        <v/>
      </c>
    </row>
    <row r="5033" spans="25:27" x14ac:dyDescent="0.3">
      <c r="Y5033" s="48" t="str">
        <f ca="1">IF(AND('Planning Sheet'!DL98='Weeks Plan'!$D$6,'Planning Sheet'!DF98='Weeks Plan'!$G$6),'Planning Sheet'!$B98,"")</f>
        <v/>
      </c>
      <c r="Z5033" s="48" t="str">
        <f ca="1">IF(AND('Planning Sheet'!DL98='Weeks Plan'!$D$6,'Planning Sheet'!DF98='Weeks Plan'!$G$6),'Planning Sheet'!$DG98,"")</f>
        <v/>
      </c>
      <c r="AA5033" s="48" t="str">
        <f ca="1">IF(AND('Planning Sheet'!DL98='Weeks Plan'!$D$6,'Planning Sheet'!DF98='Weeks Plan'!$G$6),'Planning Sheet'!$DH98,"")</f>
        <v/>
      </c>
    </row>
    <row r="5034" spans="25:27" x14ac:dyDescent="0.3">
      <c r="Y5034" s="48" t="str">
        <f ca="1">IF(AND('Planning Sheet'!DL99='Weeks Plan'!$D$6,'Planning Sheet'!DF99='Weeks Plan'!$G$6),'Planning Sheet'!$B99,"")</f>
        <v/>
      </c>
      <c r="Z5034" s="48" t="str">
        <f ca="1">IF(AND('Planning Sheet'!DL99='Weeks Plan'!$D$6,'Planning Sheet'!DF99='Weeks Plan'!$G$6),'Planning Sheet'!$DG99,"")</f>
        <v/>
      </c>
      <c r="AA5034" s="48" t="str">
        <f ca="1">IF(AND('Planning Sheet'!DL99='Weeks Plan'!$D$6,'Planning Sheet'!DF99='Weeks Plan'!$G$6),'Planning Sheet'!$DH99,"")</f>
        <v/>
      </c>
    </row>
    <row r="5035" spans="25:27" x14ac:dyDescent="0.3">
      <c r="Y5035" s="48" t="str">
        <f ca="1">IF(AND('Planning Sheet'!DL100='Weeks Plan'!$D$6,'Planning Sheet'!DF100='Weeks Plan'!$G$6),'Planning Sheet'!$B100,"")</f>
        <v/>
      </c>
      <c r="Z5035" s="48" t="str">
        <f ca="1">IF(AND('Planning Sheet'!DL100='Weeks Plan'!$D$6,'Planning Sheet'!DF100='Weeks Plan'!$G$6),'Planning Sheet'!$DG100,"")</f>
        <v/>
      </c>
      <c r="AA5035" s="48" t="str">
        <f ca="1">IF(AND('Planning Sheet'!DL100='Weeks Plan'!$D$6,'Planning Sheet'!DF100='Weeks Plan'!$G$6),'Planning Sheet'!$DH100,"")</f>
        <v/>
      </c>
    </row>
    <row r="5036" spans="25:27" x14ac:dyDescent="0.3">
      <c r="Y5036" s="48" t="str">
        <f ca="1">IF(AND('Planning Sheet'!DL101='Weeks Plan'!$D$6,'Planning Sheet'!DF101='Weeks Plan'!$G$6),'Planning Sheet'!$B101,"")</f>
        <v/>
      </c>
      <c r="Z5036" s="48" t="str">
        <f ca="1">IF(AND('Planning Sheet'!DL101='Weeks Plan'!$D$6,'Planning Sheet'!DF101='Weeks Plan'!$G$6),'Planning Sheet'!$DG101,"")</f>
        <v/>
      </c>
      <c r="AA5036" s="48" t="str">
        <f ca="1">IF(AND('Planning Sheet'!DL101='Weeks Plan'!$D$6,'Planning Sheet'!DF101='Weeks Plan'!$G$6),'Planning Sheet'!$DH101,"")</f>
        <v/>
      </c>
    </row>
    <row r="5037" spans="25:27" x14ac:dyDescent="0.3">
      <c r="Y5037" s="48" t="str">
        <f ca="1">IF(AND('Planning Sheet'!DL102='Weeks Plan'!$D$6,'Planning Sheet'!DF102='Weeks Plan'!$G$6),'Planning Sheet'!$B102,"")</f>
        <v/>
      </c>
      <c r="Z5037" s="48" t="str">
        <f ca="1">IF(AND('Planning Sheet'!DL102='Weeks Plan'!$D$6,'Planning Sheet'!DF102='Weeks Plan'!$G$6),'Planning Sheet'!$DG102,"")</f>
        <v/>
      </c>
      <c r="AA5037" s="48" t="str">
        <f ca="1">IF(AND('Planning Sheet'!DL102='Weeks Plan'!$D$6,'Planning Sheet'!DF102='Weeks Plan'!$G$6),'Planning Sheet'!$DH102,"")</f>
        <v/>
      </c>
    </row>
    <row r="5038" spans="25:27" x14ac:dyDescent="0.3">
      <c r="Y5038" s="48" t="str">
        <f ca="1">IF(AND('Planning Sheet'!DL103='Weeks Plan'!$D$6,'Planning Sheet'!DF103='Weeks Plan'!$G$6),'Planning Sheet'!$B103,"")</f>
        <v/>
      </c>
      <c r="Z5038" s="48" t="str">
        <f ca="1">IF(AND('Planning Sheet'!DL103='Weeks Plan'!$D$6,'Planning Sheet'!DF103='Weeks Plan'!$G$6),'Planning Sheet'!$DG103,"")</f>
        <v/>
      </c>
      <c r="AA5038" s="48" t="str">
        <f ca="1">IF(AND('Planning Sheet'!DL103='Weeks Plan'!$D$6,'Planning Sheet'!DF103='Weeks Plan'!$G$6),'Planning Sheet'!$DH103,"")</f>
        <v/>
      </c>
    </row>
    <row r="5039" spans="25:27" x14ac:dyDescent="0.3">
      <c r="Y5039" s="48" t="str">
        <f ca="1">IF(AND('Planning Sheet'!DL104='Weeks Plan'!$D$6,'Planning Sheet'!DF104='Weeks Plan'!$G$6),'Planning Sheet'!$B104,"")</f>
        <v/>
      </c>
      <c r="Z5039" s="48" t="str">
        <f ca="1">IF(AND('Planning Sheet'!DL104='Weeks Plan'!$D$6,'Planning Sheet'!DF104='Weeks Plan'!$G$6),'Planning Sheet'!$DG104,"")</f>
        <v/>
      </c>
      <c r="AA5039" s="48" t="str">
        <f ca="1">IF(AND('Planning Sheet'!DL104='Weeks Plan'!$D$6,'Planning Sheet'!DF104='Weeks Plan'!$G$6),'Planning Sheet'!$DH104,"")</f>
        <v/>
      </c>
    </row>
    <row r="5040" spans="25:27" x14ac:dyDescent="0.3">
      <c r="Y5040" s="48" t="str">
        <f ca="1">IF(AND('Planning Sheet'!DL105='Weeks Plan'!$D$6,'Planning Sheet'!DF105='Weeks Plan'!$G$6),'Planning Sheet'!$B105,"")</f>
        <v/>
      </c>
      <c r="Z5040" s="48" t="str">
        <f ca="1">IF(AND('Planning Sheet'!DL105='Weeks Plan'!$D$6,'Planning Sheet'!DF105='Weeks Plan'!$G$6),'Planning Sheet'!$DG105,"")</f>
        <v/>
      </c>
      <c r="AA5040" s="48" t="str">
        <f ca="1">IF(AND('Planning Sheet'!DL105='Weeks Plan'!$D$6,'Planning Sheet'!DF105='Weeks Plan'!$G$6),'Planning Sheet'!$DH105,"")</f>
        <v/>
      </c>
    </row>
    <row r="5041" spans="25:27" x14ac:dyDescent="0.3">
      <c r="Y5041" s="48" t="str">
        <f ca="1">IF(AND('Planning Sheet'!DL106='Weeks Plan'!$D$6,'Planning Sheet'!DF106='Weeks Plan'!$G$6),'Planning Sheet'!$B106,"")</f>
        <v/>
      </c>
      <c r="Z5041" s="48" t="str">
        <f ca="1">IF(AND('Planning Sheet'!DL106='Weeks Plan'!$D$6,'Planning Sheet'!DF106='Weeks Plan'!$G$6),'Planning Sheet'!$DG106,"")</f>
        <v/>
      </c>
      <c r="AA5041" s="48" t="str">
        <f ca="1">IF(AND('Planning Sheet'!DL106='Weeks Plan'!$D$6,'Planning Sheet'!DF106='Weeks Plan'!$G$6),'Planning Sheet'!$DH106,"")</f>
        <v/>
      </c>
    </row>
    <row r="5042" spans="25:27" x14ac:dyDescent="0.3">
      <c r="Y5042" s="48" t="str">
        <f ca="1">IF(AND('Planning Sheet'!DL107='Weeks Plan'!$D$6,'Planning Sheet'!DF107='Weeks Plan'!$G$6),'Planning Sheet'!$B107,"")</f>
        <v/>
      </c>
      <c r="Z5042" s="48" t="str">
        <f ca="1">IF(AND('Planning Sheet'!DL107='Weeks Plan'!$D$6,'Planning Sheet'!DF107='Weeks Plan'!$G$6),'Planning Sheet'!$DG107,"")</f>
        <v/>
      </c>
      <c r="AA5042" s="48" t="str">
        <f ca="1">IF(AND('Planning Sheet'!DL107='Weeks Plan'!$D$6,'Planning Sheet'!DF107='Weeks Plan'!$G$6),'Planning Sheet'!$DH107,"")</f>
        <v/>
      </c>
    </row>
    <row r="5043" spans="25:27" x14ac:dyDescent="0.3">
      <c r="Y5043" s="48" t="str">
        <f ca="1">IF(AND('Planning Sheet'!DL108='Weeks Plan'!$D$6,'Planning Sheet'!DF108='Weeks Plan'!$G$6),'Planning Sheet'!$B108,"")</f>
        <v/>
      </c>
      <c r="Z5043" s="48" t="str">
        <f ca="1">IF(AND('Planning Sheet'!DL108='Weeks Plan'!$D$6,'Planning Sheet'!DF108='Weeks Plan'!$G$6),'Planning Sheet'!$DG108,"")</f>
        <v/>
      </c>
      <c r="AA5043" s="48" t="str">
        <f ca="1">IF(AND('Planning Sheet'!DL108='Weeks Plan'!$D$6,'Planning Sheet'!DF108='Weeks Plan'!$G$6),'Planning Sheet'!$DH108,"")</f>
        <v/>
      </c>
    </row>
    <row r="5044" spans="25:27" x14ac:dyDescent="0.3">
      <c r="Y5044" s="48" t="str">
        <f ca="1">IF(AND('Planning Sheet'!DL109='Weeks Plan'!$D$6,'Planning Sheet'!DF109='Weeks Plan'!$G$6),'Planning Sheet'!$B109,"")</f>
        <v/>
      </c>
      <c r="Z5044" s="48" t="str">
        <f ca="1">IF(AND('Planning Sheet'!DL109='Weeks Plan'!$D$6,'Planning Sheet'!DF109='Weeks Plan'!$G$6),'Planning Sheet'!$DG109,"")</f>
        <v/>
      </c>
      <c r="AA5044" s="48" t="str">
        <f ca="1">IF(AND('Planning Sheet'!DL109='Weeks Plan'!$D$6,'Planning Sheet'!DF109='Weeks Plan'!$G$6),'Planning Sheet'!$DH109,"")</f>
        <v/>
      </c>
    </row>
    <row r="5045" spans="25:27" x14ac:dyDescent="0.3">
      <c r="Y5045" s="48" t="str">
        <f ca="1">IF(AND('Planning Sheet'!DL110='Weeks Plan'!$D$6,'Planning Sheet'!DF110='Weeks Plan'!$G$6),'Planning Sheet'!$B110,"")</f>
        <v/>
      </c>
      <c r="Z5045" s="48" t="str">
        <f ca="1">IF(AND('Planning Sheet'!DL110='Weeks Plan'!$D$6,'Planning Sheet'!DF110='Weeks Plan'!$G$6),'Planning Sheet'!$DG110,"")</f>
        <v/>
      </c>
      <c r="AA5045" s="48" t="str">
        <f ca="1">IF(AND('Planning Sheet'!DL110='Weeks Plan'!$D$6,'Planning Sheet'!DF110='Weeks Plan'!$G$6),'Planning Sheet'!$DH110,"")</f>
        <v/>
      </c>
    </row>
    <row r="5046" spans="25:27" x14ac:dyDescent="0.3">
      <c r="Y5046" s="48" t="str">
        <f ca="1">IF(AND('Planning Sheet'!DL111='Weeks Plan'!$D$6,'Planning Sheet'!DF111='Weeks Plan'!$G$6),'Planning Sheet'!$B111,"")</f>
        <v/>
      </c>
      <c r="Z5046" s="48" t="str">
        <f ca="1">IF(AND('Planning Sheet'!DL111='Weeks Plan'!$D$6,'Planning Sheet'!DF111='Weeks Plan'!$G$6),'Planning Sheet'!$DG111,"")</f>
        <v/>
      </c>
      <c r="AA5046" s="48" t="str">
        <f ca="1">IF(AND('Planning Sheet'!DL111='Weeks Plan'!$D$6,'Planning Sheet'!DF111='Weeks Plan'!$G$6),'Planning Sheet'!$DH111,"")</f>
        <v/>
      </c>
    </row>
    <row r="5047" spans="25:27" x14ac:dyDescent="0.3">
      <c r="Y5047" s="48" t="str">
        <f ca="1">IF(AND('Planning Sheet'!DL112='Weeks Plan'!$D$6,'Planning Sheet'!DF112='Weeks Plan'!$G$6),'Planning Sheet'!$B112,"")</f>
        <v/>
      </c>
      <c r="Z5047" s="48" t="str">
        <f ca="1">IF(AND('Planning Sheet'!DL112='Weeks Plan'!$D$6,'Planning Sheet'!DF112='Weeks Plan'!$G$6),'Planning Sheet'!$DG112,"")</f>
        <v/>
      </c>
      <c r="AA5047" s="48" t="str">
        <f ca="1">IF(AND('Planning Sheet'!DL112='Weeks Plan'!$D$6,'Planning Sheet'!DF112='Weeks Plan'!$G$6),'Planning Sheet'!$DH112,"")</f>
        <v/>
      </c>
    </row>
    <row r="5048" spans="25:27" x14ac:dyDescent="0.3">
      <c r="Y5048" s="48" t="str">
        <f ca="1">IF(AND('Planning Sheet'!DL113='Weeks Plan'!$D$6,'Planning Sheet'!DF113='Weeks Plan'!$G$6),'Planning Sheet'!$B113,"")</f>
        <v/>
      </c>
      <c r="Z5048" s="48" t="str">
        <f ca="1">IF(AND('Planning Sheet'!DL113='Weeks Plan'!$D$6,'Planning Sheet'!DF113='Weeks Plan'!$G$6),'Planning Sheet'!$DG113,"")</f>
        <v/>
      </c>
      <c r="AA5048" s="48" t="str">
        <f ca="1">IF(AND('Planning Sheet'!DL113='Weeks Plan'!$D$6,'Planning Sheet'!DF113='Weeks Plan'!$G$6),'Planning Sheet'!$DH113,"")</f>
        <v/>
      </c>
    </row>
    <row r="5049" spans="25:27" x14ac:dyDescent="0.3">
      <c r="Y5049" s="48" t="str">
        <f ca="1">IF(AND('Planning Sheet'!DL114='Weeks Plan'!$D$6,'Planning Sheet'!DF114='Weeks Plan'!$G$6),'Planning Sheet'!$B114,"")</f>
        <v/>
      </c>
      <c r="Z5049" s="48" t="str">
        <f ca="1">IF(AND('Planning Sheet'!DL114='Weeks Plan'!$D$6,'Planning Sheet'!DF114='Weeks Plan'!$G$6),'Planning Sheet'!$DG114,"")</f>
        <v/>
      </c>
      <c r="AA5049" s="48" t="str">
        <f ca="1">IF(AND('Planning Sheet'!DL114='Weeks Plan'!$D$6,'Planning Sheet'!DF114='Weeks Plan'!$G$6),'Planning Sheet'!$DH114,"")</f>
        <v/>
      </c>
    </row>
    <row r="5050" spans="25:27" x14ac:dyDescent="0.3">
      <c r="Y5050" s="48" t="str">
        <f ca="1">IF(AND('Planning Sheet'!DL115='Weeks Plan'!$D$6,'Planning Sheet'!DF115='Weeks Plan'!$G$6),'Planning Sheet'!$B115,"")</f>
        <v/>
      </c>
      <c r="Z5050" s="48" t="str">
        <f ca="1">IF(AND('Planning Sheet'!DL115='Weeks Plan'!$D$6,'Planning Sheet'!DF115='Weeks Plan'!$G$6),'Planning Sheet'!$DG115,"")</f>
        <v/>
      </c>
      <c r="AA5050" s="48" t="str">
        <f ca="1">IF(AND('Planning Sheet'!DL115='Weeks Plan'!$D$6,'Planning Sheet'!DF115='Weeks Plan'!$G$6),'Planning Sheet'!$DH115,"")</f>
        <v/>
      </c>
    </row>
    <row r="5051" spans="25:27" x14ac:dyDescent="0.3">
      <c r="Y5051" s="48" t="str">
        <f ca="1">IF(AND('Planning Sheet'!DL116='Weeks Plan'!$D$6,'Planning Sheet'!DF116='Weeks Plan'!$G$6),'Planning Sheet'!$B116,"")</f>
        <v/>
      </c>
      <c r="Z5051" s="48" t="str">
        <f ca="1">IF(AND('Planning Sheet'!DL116='Weeks Plan'!$D$6,'Planning Sheet'!DF116='Weeks Plan'!$G$6),'Planning Sheet'!$DG116,"")</f>
        <v/>
      </c>
      <c r="AA5051" s="48" t="str">
        <f ca="1">IF(AND('Planning Sheet'!DL116='Weeks Plan'!$D$6,'Planning Sheet'!DF116='Weeks Plan'!$G$6),'Planning Sheet'!$DH116,"")</f>
        <v/>
      </c>
    </row>
    <row r="5052" spans="25:27" x14ac:dyDescent="0.3">
      <c r="Y5052" s="48" t="str">
        <f ca="1">IF(AND('Planning Sheet'!DL117='Weeks Plan'!$D$6,'Planning Sheet'!DF117='Weeks Plan'!$G$6),'Planning Sheet'!$B117,"")</f>
        <v/>
      </c>
      <c r="Z5052" s="48" t="str">
        <f ca="1">IF(AND('Planning Sheet'!DL117='Weeks Plan'!$D$6,'Planning Sheet'!DF117='Weeks Plan'!$G$6),'Planning Sheet'!$DG117,"")</f>
        <v/>
      </c>
      <c r="AA5052" s="48" t="str">
        <f ca="1">IF(AND('Planning Sheet'!DL117='Weeks Plan'!$D$6,'Planning Sheet'!DF117='Weeks Plan'!$G$6),'Planning Sheet'!$DH117,"")</f>
        <v/>
      </c>
    </row>
    <row r="5053" spans="25:27" x14ac:dyDescent="0.3">
      <c r="Y5053" s="48" t="str">
        <f ca="1">IF(AND('Planning Sheet'!DL118='Weeks Plan'!$D$6,'Planning Sheet'!DF118='Weeks Plan'!$G$6),'Planning Sheet'!$B118,"")</f>
        <v/>
      </c>
      <c r="Z5053" s="48" t="str">
        <f ca="1">IF(AND('Planning Sheet'!DL118='Weeks Plan'!$D$6,'Planning Sheet'!DF118='Weeks Plan'!$G$6),'Planning Sheet'!$DG118,"")</f>
        <v/>
      </c>
      <c r="AA5053" s="48" t="str">
        <f ca="1">IF(AND('Planning Sheet'!DL118='Weeks Plan'!$D$6,'Planning Sheet'!DF118='Weeks Plan'!$G$6),'Planning Sheet'!$DH118,"")</f>
        <v/>
      </c>
    </row>
    <row r="5054" spans="25:27" x14ac:dyDescent="0.3">
      <c r="Y5054" s="48" t="str">
        <f ca="1">IF(AND('Planning Sheet'!DL119='Weeks Plan'!$D$6,'Planning Sheet'!DF119='Weeks Plan'!$G$6),'Planning Sheet'!$B119,"")</f>
        <v/>
      </c>
      <c r="Z5054" s="48" t="str">
        <f ca="1">IF(AND('Planning Sheet'!DL119='Weeks Plan'!$D$6,'Planning Sheet'!DF119='Weeks Plan'!$G$6),'Planning Sheet'!$DG119,"")</f>
        <v/>
      </c>
      <c r="AA5054" s="48" t="str">
        <f ca="1">IF(AND('Planning Sheet'!DL119='Weeks Plan'!$D$6,'Planning Sheet'!DF119='Weeks Plan'!$G$6),'Planning Sheet'!$DH119,"")</f>
        <v/>
      </c>
    </row>
    <row r="5055" spans="25:27" x14ac:dyDescent="0.3">
      <c r="Y5055" s="48" t="str">
        <f ca="1">IF(AND('Planning Sheet'!DL120='Weeks Plan'!$D$6,'Planning Sheet'!DF120='Weeks Plan'!$G$6),'Planning Sheet'!$B120,"")</f>
        <v/>
      </c>
      <c r="Z5055" s="48" t="str">
        <f ca="1">IF(AND('Planning Sheet'!DL120='Weeks Plan'!$D$6,'Planning Sheet'!DF120='Weeks Plan'!$G$6),'Planning Sheet'!$DG120,"")</f>
        <v/>
      </c>
      <c r="AA5055" s="48" t="str">
        <f ca="1">IF(AND('Planning Sheet'!DL120='Weeks Plan'!$D$6,'Planning Sheet'!DF120='Weeks Plan'!$G$6),'Planning Sheet'!$DH120,"")</f>
        <v/>
      </c>
    </row>
    <row r="5056" spans="25:27" x14ac:dyDescent="0.3">
      <c r="Y5056" s="48" t="str">
        <f ca="1">IF(AND('Planning Sheet'!DL121='Weeks Plan'!$D$6,'Planning Sheet'!DF121='Weeks Plan'!$G$6),'Planning Sheet'!$B121,"")</f>
        <v/>
      </c>
      <c r="Z5056" s="48" t="str">
        <f ca="1">IF(AND('Planning Sheet'!DL121='Weeks Plan'!$D$6,'Planning Sheet'!DF121='Weeks Plan'!$G$6),'Planning Sheet'!$DG121,"")</f>
        <v/>
      </c>
      <c r="AA5056" s="48" t="str">
        <f ca="1">IF(AND('Planning Sheet'!DL121='Weeks Plan'!$D$6,'Planning Sheet'!DF121='Weeks Plan'!$G$6),'Planning Sheet'!$DH121,"")</f>
        <v/>
      </c>
    </row>
    <row r="5057" spans="25:27" x14ac:dyDescent="0.3">
      <c r="Y5057" s="48" t="str">
        <f ca="1">IF(AND('Planning Sheet'!DL122='Weeks Plan'!$D$6,'Planning Sheet'!DF122='Weeks Plan'!$G$6),'Planning Sheet'!$B122,"")</f>
        <v/>
      </c>
      <c r="Z5057" s="48" t="str">
        <f ca="1">IF(AND('Planning Sheet'!DL122='Weeks Plan'!$D$6,'Planning Sheet'!DF122='Weeks Plan'!$G$6),'Planning Sheet'!$DG122,"")</f>
        <v/>
      </c>
      <c r="AA5057" s="48" t="str">
        <f ca="1">IF(AND('Planning Sheet'!DL122='Weeks Plan'!$D$6,'Planning Sheet'!DF122='Weeks Plan'!$G$6),'Planning Sheet'!$DH122,"")</f>
        <v/>
      </c>
    </row>
    <row r="5058" spans="25:27" x14ac:dyDescent="0.3">
      <c r="Y5058" s="48" t="str">
        <f ca="1">IF(AND('Planning Sheet'!DL123='Weeks Plan'!$D$6,'Planning Sheet'!DF123='Weeks Plan'!$G$6),'Planning Sheet'!$B123,"")</f>
        <v/>
      </c>
      <c r="Z5058" s="48" t="str">
        <f ca="1">IF(AND('Planning Sheet'!DL123='Weeks Plan'!$D$6,'Planning Sheet'!DF123='Weeks Plan'!$G$6),'Planning Sheet'!$DG123,"")</f>
        <v/>
      </c>
      <c r="AA5058" s="48" t="str">
        <f ca="1">IF(AND('Planning Sheet'!DL123='Weeks Plan'!$D$6,'Planning Sheet'!DF123='Weeks Plan'!$G$6),'Planning Sheet'!$DH123,"")</f>
        <v/>
      </c>
    </row>
    <row r="5059" spans="25:27" x14ac:dyDescent="0.3">
      <c r="Y5059" s="48" t="str">
        <f ca="1">IF(AND('Planning Sheet'!DL124='Weeks Plan'!$D$6,'Planning Sheet'!DF124='Weeks Plan'!$G$6),'Planning Sheet'!$B124,"")</f>
        <v/>
      </c>
      <c r="Z5059" s="48" t="str">
        <f ca="1">IF(AND('Planning Sheet'!DL124='Weeks Plan'!$D$6,'Planning Sheet'!DF124='Weeks Plan'!$G$6),'Planning Sheet'!$DG124,"")</f>
        <v/>
      </c>
      <c r="AA5059" s="48" t="str">
        <f ca="1">IF(AND('Planning Sheet'!DL124='Weeks Plan'!$D$6,'Planning Sheet'!DF124='Weeks Plan'!$G$6),'Planning Sheet'!$DH124,"")</f>
        <v/>
      </c>
    </row>
    <row r="5060" spans="25:27" x14ac:dyDescent="0.3">
      <c r="Y5060" s="48" t="str">
        <f ca="1">IF(AND('Planning Sheet'!DL125='Weeks Plan'!$D$6,'Planning Sheet'!DF125='Weeks Plan'!$G$6),'Planning Sheet'!$B125,"")</f>
        <v/>
      </c>
      <c r="Z5060" s="48" t="str">
        <f ca="1">IF(AND('Planning Sheet'!DL125='Weeks Plan'!$D$6,'Planning Sheet'!DF125='Weeks Plan'!$G$6),'Planning Sheet'!$DG125,"")</f>
        <v/>
      </c>
      <c r="AA5060" s="48" t="str">
        <f ca="1">IF(AND('Planning Sheet'!DL125='Weeks Plan'!$D$6,'Planning Sheet'!DF125='Weeks Plan'!$G$6),'Planning Sheet'!$DH125,"")</f>
        <v/>
      </c>
    </row>
    <row r="5061" spans="25:27" x14ac:dyDescent="0.3">
      <c r="Y5061" s="48" t="str">
        <f ca="1">IF(AND('Planning Sheet'!DL126='Weeks Plan'!$D$6,'Planning Sheet'!DF126='Weeks Plan'!$G$6),'Planning Sheet'!$B126,"")</f>
        <v/>
      </c>
      <c r="Z5061" s="48" t="str">
        <f ca="1">IF(AND('Planning Sheet'!DL126='Weeks Plan'!$D$6,'Planning Sheet'!DF126='Weeks Plan'!$G$6),'Planning Sheet'!$DG126,"")</f>
        <v/>
      </c>
      <c r="AA5061" s="48" t="str">
        <f ca="1">IF(AND('Planning Sheet'!DL126='Weeks Plan'!$D$6,'Planning Sheet'!DF126='Weeks Plan'!$G$6),'Planning Sheet'!$DH126,"")</f>
        <v/>
      </c>
    </row>
    <row r="5062" spans="25:27" x14ac:dyDescent="0.3">
      <c r="Y5062" s="48" t="str">
        <f ca="1">IF(AND('Planning Sheet'!DL127='Weeks Plan'!$D$6,'Planning Sheet'!DF127='Weeks Plan'!$G$6),'Planning Sheet'!$B127,"")</f>
        <v/>
      </c>
      <c r="Z5062" s="48" t="str">
        <f ca="1">IF(AND('Planning Sheet'!DL127='Weeks Plan'!$D$6,'Planning Sheet'!DF127='Weeks Plan'!$G$6),'Planning Sheet'!$DG127,"")</f>
        <v/>
      </c>
      <c r="AA5062" s="48" t="str">
        <f ca="1">IF(AND('Planning Sheet'!DL127='Weeks Plan'!$D$6,'Planning Sheet'!DF127='Weeks Plan'!$G$6),'Planning Sheet'!$DH127,"")</f>
        <v/>
      </c>
    </row>
    <row r="5063" spans="25:27" x14ac:dyDescent="0.3">
      <c r="Y5063" s="48" t="str">
        <f ca="1">IF(AND('Planning Sheet'!DL128='Weeks Plan'!$D$6,'Planning Sheet'!DF128='Weeks Plan'!$G$6),'Planning Sheet'!$B128,"")</f>
        <v/>
      </c>
      <c r="Z5063" s="48" t="str">
        <f ca="1">IF(AND('Planning Sheet'!DL128='Weeks Plan'!$D$6,'Planning Sheet'!DF128='Weeks Plan'!$G$6),'Planning Sheet'!$DG128,"")</f>
        <v/>
      </c>
      <c r="AA5063" s="48" t="str">
        <f ca="1">IF(AND('Planning Sheet'!DL128='Weeks Plan'!$D$6,'Planning Sheet'!DF128='Weeks Plan'!$G$6),'Planning Sheet'!$DH128,"")</f>
        <v/>
      </c>
    </row>
    <row r="5064" spans="25:27" x14ac:dyDescent="0.3">
      <c r="Y5064" s="48" t="str">
        <f ca="1">IF(AND('Planning Sheet'!DL129='Weeks Plan'!$D$6,'Planning Sheet'!DF129='Weeks Plan'!$G$6),'Planning Sheet'!$B129,"")</f>
        <v/>
      </c>
      <c r="Z5064" s="48" t="str">
        <f ca="1">IF(AND('Planning Sheet'!DL129='Weeks Plan'!$D$6,'Planning Sheet'!DF129='Weeks Plan'!$G$6),'Planning Sheet'!$DG129,"")</f>
        <v/>
      </c>
      <c r="AA5064" s="48" t="str">
        <f ca="1">IF(AND('Planning Sheet'!DL129='Weeks Plan'!$D$6,'Planning Sheet'!DF129='Weeks Plan'!$G$6),'Planning Sheet'!$DH129,"")</f>
        <v/>
      </c>
    </row>
    <row r="5065" spans="25:27" x14ac:dyDescent="0.3">
      <c r="Y5065" s="48" t="str">
        <f ca="1">IF(AND('Planning Sheet'!DL130='Weeks Plan'!$D$6,'Planning Sheet'!DF130='Weeks Plan'!$G$6),'Planning Sheet'!$B130,"")</f>
        <v/>
      </c>
      <c r="Z5065" s="48" t="str">
        <f ca="1">IF(AND('Planning Sheet'!DL130='Weeks Plan'!$D$6,'Planning Sheet'!DF130='Weeks Plan'!$G$6),'Planning Sheet'!$DG130,"")</f>
        <v/>
      </c>
      <c r="AA5065" s="48" t="str">
        <f ca="1">IF(AND('Planning Sheet'!DL130='Weeks Plan'!$D$6,'Planning Sheet'!DF130='Weeks Plan'!$G$6),'Planning Sheet'!$DH130,"")</f>
        <v/>
      </c>
    </row>
    <row r="5066" spans="25:27" x14ac:dyDescent="0.3">
      <c r="Y5066" s="48" t="str">
        <f ca="1">IF(AND('Planning Sheet'!DL131='Weeks Plan'!$D$6,'Planning Sheet'!DF131='Weeks Plan'!$G$6),'Planning Sheet'!$B131,"")</f>
        <v/>
      </c>
      <c r="Z5066" s="48" t="str">
        <f ca="1">IF(AND('Planning Sheet'!DL131='Weeks Plan'!$D$6,'Planning Sheet'!DF131='Weeks Plan'!$G$6),'Planning Sheet'!$DG131,"")</f>
        <v/>
      </c>
      <c r="AA5066" s="48" t="str">
        <f ca="1">IF(AND('Planning Sheet'!DL131='Weeks Plan'!$D$6,'Planning Sheet'!DF131='Weeks Plan'!$G$6),'Planning Sheet'!$DH131,"")</f>
        <v/>
      </c>
    </row>
    <row r="5067" spans="25:27" x14ac:dyDescent="0.3">
      <c r="Y5067" s="48" t="str">
        <f ca="1">IF(AND('Planning Sheet'!DL132='Weeks Plan'!$D$6,'Planning Sheet'!DF132='Weeks Plan'!$G$6),'Planning Sheet'!$B132,"")</f>
        <v/>
      </c>
      <c r="Z5067" s="48" t="str">
        <f ca="1">IF(AND('Planning Sheet'!DL132='Weeks Plan'!$D$6,'Planning Sheet'!DF132='Weeks Plan'!$G$6),'Planning Sheet'!$DG132,"")</f>
        <v/>
      </c>
      <c r="AA5067" s="48" t="str">
        <f ca="1">IF(AND('Planning Sheet'!DL132='Weeks Plan'!$D$6,'Planning Sheet'!DF132='Weeks Plan'!$G$6),'Planning Sheet'!$DH132,"")</f>
        <v/>
      </c>
    </row>
    <row r="5068" spans="25:27" x14ac:dyDescent="0.3">
      <c r="Y5068" s="48" t="str">
        <f ca="1">IF(AND('Planning Sheet'!DL133='Weeks Plan'!$D$6,'Planning Sheet'!DF133='Weeks Plan'!$G$6),'Planning Sheet'!$B133,"")</f>
        <v/>
      </c>
      <c r="Z5068" s="48" t="str">
        <f ca="1">IF(AND('Planning Sheet'!DL133='Weeks Plan'!$D$6,'Planning Sheet'!DF133='Weeks Plan'!$G$6),'Planning Sheet'!$DG133,"")</f>
        <v/>
      </c>
      <c r="AA5068" s="48" t="str">
        <f ca="1">IF(AND('Planning Sheet'!DL133='Weeks Plan'!$D$6,'Planning Sheet'!DF133='Weeks Plan'!$G$6),'Planning Sheet'!$DH133,"")</f>
        <v/>
      </c>
    </row>
    <row r="5069" spans="25:27" x14ac:dyDescent="0.3">
      <c r="Y5069" s="48" t="str">
        <f ca="1">IF(AND('Planning Sheet'!DL134='Weeks Plan'!$D$6,'Planning Sheet'!DF134='Weeks Plan'!$G$6),'Planning Sheet'!$B134,"")</f>
        <v/>
      </c>
      <c r="Z5069" s="48" t="str">
        <f ca="1">IF(AND('Planning Sheet'!DL134='Weeks Plan'!$D$6,'Planning Sheet'!DF134='Weeks Plan'!$G$6),'Planning Sheet'!$DG134,"")</f>
        <v/>
      </c>
      <c r="AA5069" s="48" t="str">
        <f ca="1">IF(AND('Planning Sheet'!DL134='Weeks Plan'!$D$6,'Planning Sheet'!DF134='Weeks Plan'!$G$6),'Planning Sheet'!$DH134,"")</f>
        <v/>
      </c>
    </row>
    <row r="5070" spans="25:27" x14ac:dyDescent="0.3">
      <c r="Y5070" s="48" t="str">
        <f ca="1">IF(AND('Planning Sheet'!DL135='Weeks Plan'!$D$6,'Planning Sheet'!DF135='Weeks Plan'!$G$6),'Planning Sheet'!$B135,"")</f>
        <v/>
      </c>
      <c r="Z5070" s="48" t="str">
        <f ca="1">IF(AND('Planning Sheet'!DL135='Weeks Plan'!$D$6,'Planning Sheet'!DF135='Weeks Plan'!$G$6),'Planning Sheet'!$DG135,"")</f>
        <v/>
      </c>
      <c r="AA5070" s="48" t="str">
        <f ca="1">IF(AND('Planning Sheet'!DL135='Weeks Plan'!$D$6,'Planning Sheet'!DF135='Weeks Plan'!$G$6),'Planning Sheet'!$DH135,"")</f>
        <v/>
      </c>
    </row>
    <row r="5071" spans="25:27" x14ac:dyDescent="0.3">
      <c r="Y5071" s="48" t="str">
        <f ca="1">IF(AND('Planning Sheet'!DL136='Weeks Plan'!$D$6,'Planning Sheet'!DF136='Weeks Plan'!$G$6),'Planning Sheet'!$B136,"")</f>
        <v/>
      </c>
      <c r="Z5071" s="48" t="str">
        <f ca="1">IF(AND('Planning Sheet'!DL136='Weeks Plan'!$D$6,'Planning Sheet'!DF136='Weeks Plan'!$G$6),'Planning Sheet'!$DG136,"")</f>
        <v/>
      </c>
      <c r="AA5071" s="48" t="str">
        <f ca="1">IF(AND('Planning Sheet'!DL136='Weeks Plan'!$D$6,'Planning Sheet'!DF136='Weeks Plan'!$G$6),'Planning Sheet'!$DH136,"")</f>
        <v/>
      </c>
    </row>
    <row r="5072" spans="25:27" x14ac:dyDescent="0.3">
      <c r="Y5072" s="48" t="str">
        <f ca="1">IF(AND('Planning Sheet'!DL137='Weeks Plan'!$D$6,'Planning Sheet'!DF137='Weeks Plan'!$G$6),'Planning Sheet'!$B137,"")</f>
        <v/>
      </c>
      <c r="Z5072" s="48" t="str">
        <f ca="1">IF(AND('Planning Sheet'!DL137='Weeks Plan'!$D$6,'Planning Sheet'!DF137='Weeks Plan'!$G$6),'Planning Sheet'!$DG137,"")</f>
        <v/>
      </c>
      <c r="AA5072" s="48" t="str">
        <f ca="1">IF(AND('Planning Sheet'!DL137='Weeks Plan'!$D$6,'Planning Sheet'!DF137='Weeks Plan'!$G$6),'Planning Sheet'!$DH137,"")</f>
        <v/>
      </c>
    </row>
    <row r="5073" spans="25:27" x14ac:dyDescent="0.3">
      <c r="Y5073" s="48" t="str">
        <f ca="1">IF(AND('Planning Sheet'!DL138='Weeks Plan'!$D$6,'Planning Sheet'!DF138='Weeks Plan'!$G$6),'Planning Sheet'!$B138,"")</f>
        <v/>
      </c>
      <c r="Z5073" s="48" t="str">
        <f ca="1">IF(AND('Planning Sheet'!DL138='Weeks Plan'!$D$6,'Planning Sheet'!DF138='Weeks Plan'!$G$6),'Planning Sheet'!$DG138,"")</f>
        <v/>
      </c>
      <c r="AA5073" s="48" t="str">
        <f ca="1">IF(AND('Planning Sheet'!DL138='Weeks Plan'!$D$6,'Planning Sheet'!DF138='Weeks Plan'!$G$6),'Planning Sheet'!$DH138,"")</f>
        <v/>
      </c>
    </row>
    <row r="5074" spans="25:27" x14ac:dyDescent="0.3">
      <c r="Y5074" s="48" t="str">
        <f ca="1">IF(AND('Planning Sheet'!DL139='Weeks Plan'!$D$6,'Planning Sheet'!DF139='Weeks Plan'!$G$6),'Planning Sheet'!$B139,"")</f>
        <v/>
      </c>
      <c r="Z5074" s="48" t="str">
        <f ca="1">IF(AND('Planning Sheet'!DL139='Weeks Plan'!$D$6,'Planning Sheet'!DF139='Weeks Plan'!$G$6),'Planning Sheet'!$DG139,"")</f>
        <v/>
      </c>
      <c r="AA5074" s="48" t="str">
        <f ca="1">IF(AND('Planning Sheet'!DL139='Weeks Plan'!$D$6,'Planning Sheet'!DF139='Weeks Plan'!$G$6),'Planning Sheet'!$DH139,"")</f>
        <v/>
      </c>
    </row>
    <row r="5075" spans="25:27" x14ac:dyDescent="0.3">
      <c r="Y5075" s="48" t="str">
        <f ca="1">IF(AND('Planning Sheet'!DL140='Weeks Plan'!$D$6,'Planning Sheet'!DF140='Weeks Plan'!$G$6),'Planning Sheet'!$B140,"")</f>
        <v/>
      </c>
      <c r="Z5075" s="48" t="str">
        <f ca="1">IF(AND('Planning Sheet'!DL140='Weeks Plan'!$D$6,'Planning Sheet'!DF140='Weeks Plan'!$G$6),'Planning Sheet'!$DG140,"")</f>
        <v/>
      </c>
      <c r="AA5075" s="48" t="str">
        <f ca="1">IF(AND('Planning Sheet'!DL140='Weeks Plan'!$D$6,'Planning Sheet'!DF140='Weeks Plan'!$G$6),'Planning Sheet'!$DH140,"")</f>
        <v/>
      </c>
    </row>
    <row r="5076" spans="25:27" x14ac:dyDescent="0.3">
      <c r="Y5076" s="48" t="str">
        <f ca="1">IF(AND('Planning Sheet'!DL141='Weeks Plan'!$D$6,'Planning Sheet'!DF141='Weeks Plan'!$G$6),'Planning Sheet'!$B141,"")</f>
        <v/>
      </c>
      <c r="Z5076" s="48" t="str">
        <f ca="1">IF(AND('Planning Sheet'!DL141='Weeks Plan'!$D$6,'Planning Sheet'!DF141='Weeks Plan'!$G$6),'Planning Sheet'!$DG141,"")</f>
        <v/>
      </c>
      <c r="AA5076" s="48" t="str">
        <f ca="1">IF(AND('Planning Sheet'!DL141='Weeks Plan'!$D$6,'Planning Sheet'!DF141='Weeks Plan'!$G$6),'Planning Sheet'!$DH141,"")</f>
        <v/>
      </c>
    </row>
    <row r="5077" spans="25:27" x14ac:dyDescent="0.3">
      <c r="Y5077" s="48" t="str">
        <f ca="1">IF(AND('Planning Sheet'!DL142='Weeks Plan'!$D$6,'Planning Sheet'!DF142='Weeks Plan'!$G$6),'Planning Sheet'!$B142,"")</f>
        <v/>
      </c>
      <c r="Z5077" s="48" t="str">
        <f ca="1">IF(AND('Planning Sheet'!DL142='Weeks Plan'!$D$6,'Planning Sheet'!DF142='Weeks Plan'!$G$6),'Planning Sheet'!$DG142,"")</f>
        <v/>
      </c>
      <c r="AA5077" s="48" t="str">
        <f ca="1">IF(AND('Planning Sheet'!DL142='Weeks Plan'!$D$6,'Planning Sheet'!DF142='Weeks Plan'!$G$6),'Planning Sheet'!$DH142,"")</f>
        <v/>
      </c>
    </row>
    <row r="5078" spans="25:27" x14ac:dyDescent="0.3">
      <c r="Y5078" s="48" t="str">
        <f ca="1">IF(AND('Planning Sheet'!DL143='Weeks Plan'!$D$6,'Planning Sheet'!DF143='Weeks Plan'!$G$6),'Planning Sheet'!$B143,"")</f>
        <v/>
      </c>
      <c r="Z5078" s="48" t="str">
        <f ca="1">IF(AND('Planning Sheet'!DL143='Weeks Plan'!$D$6,'Planning Sheet'!DF143='Weeks Plan'!$G$6),'Planning Sheet'!$DG143,"")</f>
        <v/>
      </c>
      <c r="AA5078" s="48" t="str">
        <f ca="1">IF(AND('Planning Sheet'!DL143='Weeks Plan'!$D$6,'Planning Sheet'!DF143='Weeks Plan'!$G$6),'Planning Sheet'!$DH143,"")</f>
        <v/>
      </c>
    </row>
    <row r="5079" spans="25:27" x14ac:dyDescent="0.3">
      <c r="Y5079" s="48" t="str">
        <f ca="1">IF(AND('Planning Sheet'!DL144='Weeks Plan'!$D$6,'Planning Sheet'!DF144='Weeks Plan'!$G$6),'Planning Sheet'!$B144,"")</f>
        <v/>
      </c>
      <c r="Z5079" s="48" t="str">
        <f ca="1">IF(AND('Planning Sheet'!DL144='Weeks Plan'!$D$6,'Planning Sheet'!DF144='Weeks Plan'!$G$6),'Planning Sheet'!$DG144,"")</f>
        <v/>
      </c>
      <c r="AA5079" s="48" t="str">
        <f ca="1">IF(AND('Planning Sheet'!DL144='Weeks Plan'!$D$6,'Planning Sheet'!DF144='Weeks Plan'!$G$6),'Planning Sheet'!$DH144,"")</f>
        <v/>
      </c>
    </row>
    <row r="5080" spans="25:27" x14ac:dyDescent="0.3">
      <c r="Y5080" s="48" t="str">
        <f ca="1">IF(AND('Planning Sheet'!DL145='Weeks Plan'!$D$6,'Planning Sheet'!DF145='Weeks Plan'!$G$6),'Planning Sheet'!$B145,"")</f>
        <v/>
      </c>
      <c r="Z5080" s="48" t="str">
        <f ca="1">IF(AND('Planning Sheet'!DL145='Weeks Plan'!$D$6,'Planning Sheet'!DF145='Weeks Plan'!$G$6),'Planning Sheet'!$DG145,"")</f>
        <v/>
      </c>
      <c r="AA5080" s="48" t="str">
        <f ca="1">IF(AND('Planning Sheet'!DL145='Weeks Plan'!$D$6,'Planning Sheet'!DF145='Weeks Plan'!$G$6),'Planning Sheet'!$DH145,"")</f>
        <v/>
      </c>
    </row>
    <row r="5081" spans="25:27" x14ac:dyDescent="0.3">
      <c r="Y5081" s="48" t="str">
        <f ca="1">IF(AND('Planning Sheet'!DL146='Weeks Plan'!$D$6,'Planning Sheet'!DF146='Weeks Plan'!$G$6),'Planning Sheet'!$B146,"")</f>
        <v/>
      </c>
      <c r="Z5081" s="48" t="str">
        <f ca="1">IF(AND('Planning Sheet'!DL146='Weeks Plan'!$D$6,'Planning Sheet'!DF146='Weeks Plan'!$G$6),'Planning Sheet'!$DG146,"")</f>
        <v/>
      </c>
      <c r="AA5081" s="48" t="str">
        <f ca="1">IF(AND('Planning Sheet'!DL146='Weeks Plan'!$D$6,'Planning Sheet'!DF146='Weeks Plan'!$G$6),'Planning Sheet'!$DH146,"")</f>
        <v/>
      </c>
    </row>
    <row r="5082" spans="25:27" x14ac:dyDescent="0.3">
      <c r="Y5082" s="48" t="str">
        <f ca="1">IF(AND('Planning Sheet'!DL147='Weeks Plan'!$D$6,'Planning Sheet'!DF147='Weeks Plan'!$G$6),'Planning Sheet'!$B147,"")</f>
        <v/>
      </c>
      <c r="Z5082" s="48" t="str">
        <f ca="1">IF(AND('Planning Sheet'!DL147='Weeks Plan'!$D$6,'Planning Sheet'!DF147='Weeks Plan'!$G$6),'Planning Sheet'!$DG147,"")</f>
        <v/>
      </c>
      <c r="AA5082" s="48" t="str">
        <f ca="1">IF(AND('Planning Sheet'!DL147='Weeks Plan'!$D$6,'Planning Sheet'!DF147='Weeks Plan'!$G$6),'Planning Sheet'!$DH147,"")</f>
        <v/>
      </c>
    </row>
    <row r="5083" spans="25:27" x14ac:dyDescent="0.3">
      <c r="Y5083" s="48" t="str">
        <f ca="1">IF(AND('Planning Sheet'!DL148='Weeks Plan'!$D$6,'Planning Sheet'!DF148='Weeks Plan'!$G$6),'Planning Sheet'!$B148,"")</f>
        <v/>
      </c>
      <c r="Z5083" s="48" t="str">
        <f ca="1">IF(AND('Planning Sheet'!DL148='Weeks Plan'!$D$6,'Planning Sheet'!DF148='Weeks Plan'!$G$6),'Planning Sheet'!$DG148,"")</f>
        <v/>
      </c>
      <c r="AA5083" s="48" t="str">
        <f ca="1">IF(AND('Planning Sheet'!DL148='Weeks Plan'!$D$6,'Planning Sheet'!DF148='Weeks Plan'!$G$6),'Planning Sheet'!$DH148,"")</f>
        <v/>
      </c>
    </row>
    <row r="5084" spans="25:27" x14ac:dyDescent="0.3">
      <c r="Y5084" s="48" t="str">
        <f ca="1">IF(AND('Planning Sheet'!DL149='Weeks Plan'!$D$6,'Planning Sheet'!DF149='Weeks Plan'!$G$6),'Planning Sheet'!$B149,"")</f>
        <v/>
      </c>
      <c r="Z5084" s="48" t="str">
        <f ca="1">IF(AND('Planning Sheet'!DL149='Weeks Plan'!$D$6,'Planning Sheet'!DF149='Weeks Plan'!$G$6),'Planning Sheet'!$DG149,"")</f>
        <v/>
      </c>
      <c r="AA5084" s="48" t="str">
        <f ca="1">IF(AND('Planning Sheet'!DL149='Weeks Plan'!$D$6,'Planning Sheet'!DF149='Weeks Plan'!$G$6),'Planning Sheet'!$DH149,"")</f>
        <v/>
      </c>
    </row>
    <row r="5085" spans="25:27" x14ac:dyDescent="0.3">
      <c r="Y5085" s="48" t="str">
        <f ca="1">IF(AND('Planning Sheet'!DL150='Weeks Plan'!$D$6,'Planning Sheet'!DF150='Weeks Plan'!$G$6),'Planning Sheet'!$B150,"")</f>
        <v/>
      </c>
      <c r="Z5085" s="48" t="str">
        <f ca="1">IF(AND('Planning Sheet'!DL150='Weeks Plan'!$D$6,'Planning Sheet'!DF150='Weeks Plan'!$G$6),'Planning Sheet'!$DG150,"")</f>
        <v/>
      </c>
      <c r="AA5085" s="48" t="str">
        <f ca="1">IF(AND('Planning Sheet'!DL150='Weeks Plan'!$D$6,'Planning Sheet'!DF150='Weeks Plan'!$G$6),'Planning Sheet'!$DH150,"")</f>
        <v/>
      </c>
    </row>
    <row r="5086" spans="25:27" x14ac:dyDescent="0.3">
      <c r="Y5086" s="48" t="str">
        <f ca="1">IF(AND('Planning Sheet'!DL151='Weeks Plan'!$D$6,'Planning Sheet'!DF151='Weeks Plan'!$G$6),'Planning Sheet'!$B151,"")</f>
        <v/>
      </c>
      <c r="Z5086" s="48" t="str">
        <f ca="1">IF(AND('Planning Sheet'!DL151='Weeks Plan'!$D$6,'Planning Sheet'!DF151='Weeks Plan'!$G$6),'Planning Sheet'!$DG151,"")</f>
        <v/>
      </c>
      <c r="AA5086" s="48" t="str">
        <f ca="1">IF(AND('Planning Sheet'!DL151='Weeks Plan'!$D$6,'Planning Sheet'!DF151='Weeks Plan'!$G$6),'Planning Sheet'!$DH151,"")</f>
        <v/>
      </c>
    </row>
    <row r="5087" spans="25:27" x14ac:dyDescent="0.3">
      <c r="Y5087" s="48" t="str">
        <f ca="1">IF(AND('Planning Sheet'!DL152='Weeks Plan'!$D$6,'Planning Sheet'!DF152='Weeks Plan'!$G$6),'Planning Sheet'!$B152,"")</f>
        <v/>
      </c>
      <c r="Z5087" s="48" t="str">
        <f ca="1">IF(AND('Planning Sheet'!DL152='Weeks Plan'!$D$6,'Planning Sheet'!DF152='Weeks Plan'!$G$6),'Planning Sheet'!$DG152,"")</f>
        <v/>
      </c>
      <c r="AA5087" s="48" t="str">
        <f ca="1">IF(AND('Planning Sheet'!DL152='Weeks Plan'!$D$6,'Planning Sheet'!DF152='Weeks Plan'!$G$6),'Planning Sheet'!$DH152,"")</f>
        <v/>
      </c>
    </row>
    <row r="5088" spans="25:27" x14ac:dyDescent="0.3">
      <c r="Y5088" s="48" t="str">
        <f ca="1">IF(AND('Planning Sheet'!DL153='Weeks Plan'!$D$6,'Planning Sheet'!DF153='Weeks Plan'!$G$6),'Planning Sheet'!$B153,"")</f>
        <v/>
      </c>
      <c r="Z5088" s="48" t="str">
        <f ca="1">IF(AND('Planning Sheet'!DL153='Weeks Plan'!$D$6,'Planning Sheet'!DF153='Weeks Plan'!$G$6),'Planning Sheet'!$DG153,"")</f>
        <v/>
      </c>
      <c r="AA5088" s="48" t="str">
        <f ca="1">IF(AND('Planning Sheet'!DL153='Weeks Plan'!$D$6,'Planning Sheet'!DF153='Weeks Plan'!$G$6),'Planning Sheet'!$DH153,"")</f>
        <v/>
      </c>
    </row>
    <row r="5089" spans="25:27" x14ac:dyDescent="0.3">
      <c r="Y5089" s="48" t="str">
        <f ca="1">IF(AND('Planning Sheet'!DL154='Weeks Plan'!$D$6,'Planning Sheet'!DF154='Weeks Plan'!$G$6),'Planning Sheet'!$B154,"")</f>
        <v/>
      </c>
      <c r="Z5089" s="48" t="str">
        <f ca="1">IF(AND('Planning Sheet'!DL154='Weeks Plan'!$D$6,'Planning Sheet'!DF154='Weeks Plan'!$G$6),'Planning Sheet'!$DG154,"")</f>
        <v/>
      </c>
      <c r="AA5089" s="48" t="str">
        <f ca="1">IF(AND('Planning Sheet'!DL154='Weeks Plan'!$D$6,'Planning Sheet'!DF154='Weeks Plan'!$G$6),'Planning Sheet'!$DH154,"")</f>
        <v/>
      </c>
    </row>
    <row r="5090" spans="25:27" x14ac:dyDescent="0.3">
      <c r="Y5090" s="48" t="str">
        <f ca="1">IF(AND('Planning Sheet'!DL155='Weeks Plan'!$D$6,'Planning Sheet'!DF155='Weeks Plan'!$G$6),'Planning Sheet'!$B155,"")</f>
        <v/>
      </c>
      <c r="Z5090" s="48" t="str">
        <f ca="1">IF(AND('Planning Sheet'!DL155='Weeks Plan'!$D$6,'Planning Sheet'!DF155='Weeks Plan'!$G$6),'Planning Sheet'!$DG155,"")</f>
        <v/>
      </c>
      <c r="AA5090" s="48" t="str">
        <f ca="1">IF(AND('Planning Sheet'!DL155='Weeks Plan'!$D$6,'Planning Sheet'!DF155='Weeks Plan'!$G$6),'Planning Sheet'!$DH155,"")</f>
        <v/>
      </c>
    </row>
    <row r="5091" spans="25:27" x14ac:dyDescent="0.3">
      <c r="Y5091" s="48" t="str">
        <f ca="1">IF(AND('Planning Sheet'!DL156='Weeks Plan'!$D$6,'Planning Sheet'!DF156='Weeks Plan'!$G$6),'Planning Sheet'!$B156,"")</f>
        <v/>
      </c>
      <c r="Z5091" s="48" t="str">
        <f ca="1">IF(AND('Planning Sheet'!DL156='Weeks Plan'!$D$6,'Planning Sheet'!DF156='Weeks Plan'!$G$6),'Planning Sheet'!$DG156,"")</f>
        <v/>
      </c>
      <c r="AA5091" s="48" t="str">
        <f ca="1">IF(AND('Planning Sheet'!DL156='Weeks Plan'!$D$6,'Planning Sheet'!DF156='Weeks Plan'!$G$6),'Planning Sheet'!$DH156,"")</f>
        <v/>
      </c>
    </row>
    <row r="5092" spans="25:27" x14ac:dyDescent="0.3">
      <c r="Y5092" s="48" t="str">
        <f ca="1">IF(AND('Planning Sheet'!DL157='Weeks Plan'!$D$6,'Planning Sheet'!DF157='Weeks Plan'!$G$6),'Planning Sheet'!$B157,"")</f>
        <v/>
      </c>
      <c r="Z5092" s="48" t="str">
        <f ca="1">IF(AND('Planning Sheet'!DL157='Weeks Plan'!$D$6,'Planning Sheet'!DF157='Weeks Plan'!$G$6),'Planning Sheet'!$DG157,"")</f>
        <v/>
      </c>
      <c r="AA5092" s="48" t="str">
        <f ca="1">IF(AND('Planning Sheet'!DL157='Weeks Plan'!$D$6,'Planning Sheet'!DF157='Weeks Plan'!$G$6),'Planning Sheet'!$DH157,"")</f>
        <v/>
      </c>
    </row>
    <row r="5093" spans="25:27" x14ac:dyDescent="0.3">
      <c r="Y5093" s="48" t="str">
        <f ca="1">IF(AND('Planning Sheet'!DL158='Weeks Plan'!$D$6,'Planning Sheet'!DF158='Weeks Plan'!$G$6),'Planning Sheet'!$B158,"")</f>
        <v/>
      </c>
      <c r="Z5093" s="48" t="str">
        <f ca="1">IF(AND('Planning Sheet'!DL158='Weeks Plan'!$D$6,'Planning Sheet'!DF158='Weeks Plan'!$G$6),'Planning Sheet'!$DG158,"")</f>
        <v/>
      </c>
      <c r="AA5093" s="48" t="str">
        <f ca="1">IF(AND('Planning Sheet'!DL158='Weeks Plan'!$D$6,'Planning Sheet'!DF158='Weeks Plan'!$G$6),'Planning Sheet'!$DH158,"")</f>
        <v/>
      </c>
    </row>
    <row r="5094" spans="25:27" x14ac:dyDescent="0.3">
      <c r="Y5094" s="48" t="str">
        <f ca="1">IF(AND('Planning Sheet'!DL159='Weeks Plan'!$D$6,'Planning Sheet'!DF159='Weeks Plan'!$G$6),'Planning Sheet'!$B159,"")</f>
        <v/>
      </c>
      <c r="Z5094" s="48" t="str">
        <f ca="1">IF(AND('Planning Sheet'!DL159='Weeks Plan'!$D$6,'Planning Sheet'!DF159='Weeks Plan'!$G$6),'Planning Sheet'!$DG159,"")</f>
        <v/>
      </c>
      <c r="AA5094" s="48" t="str">
        <f ca="1">IF(AND('Planning Sheet'!DL159='Weeks Plan'!$D$6,'Planning Sheet'!DF159='Weeks Plan'!$G$6),'Planning Sheet'!$DH159,"")</f>
        <v/>
      </c>
    </row>
    <row r="5095" spans="25:27" x14ac:dyDescent="0.3">
      <c r="Y5095" s="48" t="str">
        <f ca="1">IF(AND('Planning Sheet'!DL160='Weeks Plan'!$D$6,'Planning Sheet'!DF160='Weeks Plan'!$G$6),'Planning Sheet'!$B160,"")</f>
        <v/>
      </c>
      <c r="Z5095" s="48" t="str">
        <f ca="1">IF(AND('Planning Sheet'!DL160='Weeks Plan'!$D$6,'Planning Sheet'!DF160='Weeks Plan'!$G$6),'Planning Sheet'!$DG160,"")</f>
        <v/>
      </c>
      <c r="AA5095" s="48" t="str">
        <f ca="1">IF(AND('Planning Sheet'!DL160='Weeks Plan'!$D$6,'Planning Sheet'!DF160='Weeks Plan'!$G$6),'Planning Sheet'!$DH160,"")</f>
        <v/>
      </c>
    </row>
    <row r="5096" spans="25:27" x14ac:dyDescent="0.3">
      <c r="Y5096" s="48" t="str">
        <f ca="1">IF(AND('Planning Sheet'!DL161='Weeks Plan'!$D$6,'Planning Sheet'!DF161='Weeks Plan'!$G$6),'Planning Sheet'!$B161,"")</f>
        <v/>
      </c>
      <c r="Z5096" s="48" t="str">
        <f ca="1">IF(AND('Planning Sheet'!DL161='Weeks Plan'!$D$6,'Planning Sheet'!DF161='Weeks Plan'!$G$6),'Planning Sheet'!$DG161,"")</f>
        <v/>
      </c>
      <c r="AA5096" s="48" t="str">
        <f ca="1">IF(AND('Planning Sheet'!DL161='Weeks Plan'!$D$6,'Planning Sheet'!DF161='Weeks Plan'!$G$6),'Planning Sheet'!$DH161,"")</f>
        <v/>
      </c>
    </row>
    <row r="5097" spans="25:27" x14ac:dyDescent="0.3">
      <c r="Y5097" s="48" t="str">
        <f ca="1">IF(AND('Planning Sheet'!DL162='Weeks Plan'!$D$6,'Planning Sheet'!DF162='Weeks Plan'!$G$6),'Planning Sheet'!$B162,"")</f>
        <v/>
      </c>
      <c r="Z5097" s="48" t="str">
        <f ca="1">IF(AND('Planning Sheet'!DL162='Weeks Plan'!$D$6,'Planning Sheet'!DF162='Weeks Plan'!$G$6),'Planning Sheet'!$DG162,"")</f>
        <v/>
      </c>
      <c r="AA5097" s="48" t="str">
        <f ca="1">IF(AND('Planning Sheet'!DL162='Weeks Plan'!$D$6,'Planning Sheet'!DF162='Weeks Plan'!$G$6),'Planning Sheet'!$DH162,"")</f>
        <v/>
      </c>
    </row>
    <row r="5098" spans="25:27" x14ac:dyDescent="0.3">
      <c r="Y5098" s="48" t="str">
        <f ca="1">IF(AND('Planning Sheet'!DL163='Weeks Plan'!$D$6,'Planning Sheet'!DF163='Weeks Plan'!$G$6),'Planning Sheet'!$B163,"")</f>
        <v/>
      </c>
      <c r="Z5098" s="48" t="str">
        <f ca="1">IF(AND('Planning Sheet'!DL163='Weeks Plan'!$D$6,'Planning Sheet'!DF163='Weeks Plan'!$G$6),'Planning Sheet'!$DG163,"")</f>
        <v/>
      </c>
      <c r="AA5098" s="48" t="str">
        <f ca="1">IF(AND('Planning Sheet'!DL163='Weeks Plan'!$D$6,'Planning Sheet'!DF163='Weeks Plan'!$G$6),'Planning Sheet'!$DH163,"")</f>
        <v/>
      </c>
    </row>
    <row r="5099" spans="25:27" x14ac:dyDescent="0.3">
      <c r="Y5099" s="48" t="str">
        <f ca="1">IF(AND('Planning Sheet'!DL164='Weeks Plan'!$D$6,'Planning Sheet'!DF164='Weeks Plan'!$G$6),'Planning Sheet'!$B164,"")</f>
        <v/>
      </c>
      <c r="Z5099" s="48" t="str">
        <f ca="1">IF(AND('Planning Sheet'!DL164='Weeks Plan'!$D$6,'Planning Sheet'!DF164='Weeks Plan'!$G$6),'Planning Sheet'!$DG164,"")</f>
        <v/>
      </c>
      <c r="AA5099" s="48" t="str">
        <f ca="1">IF(AND('Planning Sheet'!DL164='Weeks Plan'!$D$6,'Planning Sheet'!DF164='Weeks Plan'!$G$6),'Planning Sheet'!$DH164,"")</f>
        <v/>
      </c>
    </row>
    <row r="5100" spans="25:27" x14ac:dyDescent="0.3">
      <c r="Y5100" s="48" t="str">
        <f ca="1">IF(AND('Planning Sheet'!DL165='Weeks Plan'!$D$6,'Planning Sheet'!DF165='Weeks Plan'!$G$6),'Planning Sheet'!$B165,"")</f>
        <v/>
      </c>
      <c r="Z5100" s="48" t="str">
        <f ca="1">IF(AND('Planning Sheet'!DL165='Weeks Plan'!$D$6,'Planning Sheet'!DF165='Weeks Plan'!$G$6),'Planning Sheet'!$DG165,"")</f>
        <v/>
      </c>
      <c r="AA5100" s="48" t="str">
        <f ca="1">IF(AND('Planning Sheet'!DL165='Weeks Plan'!$D$6,'Planning Sheet'!DF165='Weeks Plan'!$G$6),'Planning Sheet'!$DH165,"")</f>
        <v/>
      </c>
    </row>
    <row r="5101" spans="25:27" x14ac:dyDescent="0.3">
      <c r="Y5101" s="48" t="str">
        <f ca="1">IF(AND('Planning Sheet'!DL166='Weeks Plan'!$D$6,'Planning Sheet'!DF166='Weeks Plan'!$G$6),'Planning Sheet'!$B166,"")</f>
        <v/>
      </c>
      <c r="Z5101" s="48" t="str">
        <f ca="1">IF(AND('Planning Sheet'!DL166='Weeks Plan'!$D$6,'Planning Sheet'!DF166='Weeks Plan'!$G$6),'Planning Sheet'!$DG166,"")</f>
        <v/>
      </c>
      <c r="AA5101" s="48" t="str">
        <f ca="1">IF(AND('Planning Sheet'!DL166='Weeks Plan'!$D$6,'Planning Sheet'!DF166='Weeks Plan'!$G$6),'Planning Sheet'!$DH166,"")</f>
        <v/>
      </c>
    </row>
    <row r="5102" spans="25:27" x14ac:dyDescent="0.3">
      <c r="Y5102" s="48" t="str">
        <f ca="1">IF(AND('Planning Sheet'!DL167='Weeks Plan'!$D$6,'Planning Sheet'!DF167='Weeks Plan'!$G$6),'Planning Sheet'!$B167,"")</f>
        <v/>
      </c>
      <c r="Z5102" s="48" t="str">
        <f ca="1">IF(AND('Planning Sheet'!DL167='Weeks Plan'!$D$6,'Planning Sheet'!DF167='Weeks Plan'!$G$6),'Planning Sheet'!$DG167,"")</f>
        <v/>
      </c>
      <c r="AA5102" s="48" t="str">
        <f ca="1">IF(AND('Planning Sheet'!DL167='Weeks Plan'!$D$6,'Planning Sheet'!DF167='Weeks Plan'!$G$6),'Planning Sheet'!$DH167,"")</f>
        <v/>
      </c>
    </row>
    <row r="5103" spans="25:27" x14ac:dyDescent="0.3">
      <c r="Y5103" s="48" t="str">
        <f ca="1">IF(AND('Planning Sheet'!DL168='Weeks Plan'!$D$6,'Planning Sheet'!DF168='Weeks Plan'!$G$6),'Planning Sheet'!$B168,"")</f>
        <v/>
      </c>
      <c r="Z5103" s="48" t="str">
        <f ca="1">IF(AND('Planning Sheet'!DL168='Weeks Plan'!$D$6,'Planning Sheet'!DF168='Weeks Plan'!$G$6),'Planning Sheet'!$DG168,"")</f>
        <v/>
      </c>
      <c r="AA5103" s="48" t="str">
        <f ca="1">IF(AND('Planning Sheet'!DL168='Weeks Plan'!$D$6,'Planning Sheet'!DF168='Weeks Plan'!$G$6),'Planning Sheet'!$DH168,"")</f>
        <v/>
      </c>
    </row>
    <row r="5104" spans="25:27" x14ac:dyDescent="0.3">
      <c r="Y5104" s="48" t="str">
        <f ca="1">IF(AND('Planning Sheet'!DL169='Weeks Plan'!$D$6,'Planning Sheet'!DF169='Weeks Plan'!$G$6),'Planning Sheet'!$B169,"")</f>
        <v/>
      </c>
      <c r="Z5104" s="48" t="str">
        <f ca="1">IF(AND('Planning Sheet'!DL169='Weeks Plan'!$D$6,'Planning Sheet'!DF169='Weeks Plan'!$G$6),'Planning Sheet'!$DG169,"")</f>
        <v/>
      </c>
      <c r="AA5104" s="48" t="str">
        <f ca="1">IF(AND('Planning Sheet'!DL169='Weeks Plan'!$D$6,'Planning Sheet'!DF169='Weeks Plan'!$G$6),'Planning Sheet'!$DH169,"")</f>
        <v/>
      </c>
    </row>
    <row r="5105" spans="25:27" x14ac:dyDescent="0.3">
      <c r="Y5105" s="48" t="str">
        <f ca="1">IF(AND('Planning Sheet'!DL170='Weeks Plan'!$D$6,'Planning Sheet'!DF170='Weeks Plan'!$G$6),'Planning Sheet'!$B170,"")</f>
        <v/>
      </c>
      <c r="Z5105" s="48" t="str">
        <f ca="1">IF(AND('Planning Sheet'!DL170='Weeks Plan'!$D$6,'Planning Sheet'!DF170='Weeks Plan'!$G$6),'Planning Sheet'!$DG170,"")</f>
        <v/>
      </c>
      <c r="AA5105" s="48" t="str">
        <f ca="1">IF(AND('Planning Sheet'!DL170='Weeks Plan'!$D$6,'Planning Sheet'!DF170='Weeks Plan'!$G$6),'Planning Sheet'!$DH170,"")</f>
        <v/>
      </c>
    </row>
    <row r="5106" spans="25:27" x14ac:dyDescent="0.3">
      <c r="Y5106" s="48" t="str">
        <f ca="1">IF(AND('Planning Sheet'!DL171='Weeks Plan'!$D$6,'Planning Sheet'!DF171='Weeks Plan'!$G$6),'Planning Sheet'!$B171,"")</f>
        <v/>
      </c>
      <c r="Z5106" s="48" t="str">
        <f ca="1">IF(AND('Planning Sheet'!DL171='Weeks Plan'!$D$6,'Planning Sheet'!DF171='Weeks Plan'!$G$6),'Planning Sheet'!$DG171,"")</f>
        <v/>
      </c>
      <c r="AA5106" s="48" t="str">
        <f ca="1">IF(AND('Planning Sheet'!DL171='Weeks Plan'!$D$6,'Planning Sheet'!DF171='Weeks Plan'!$G$6),'Planning Sheet'!$DH171,"")</f>
        <v/>
      </c>
    </row>
    <row r="5107" spans="25:27" x14ac:dyDescent="0.3">
      <c r="Y5107" s="48" t="str">
        <f ca="1">IF(AND('Planning Sheet'!DL172='Weeks Plan'!$D$6,'Planning Sheet'!DF172='Weeks Plan'!$G$6),'Planning Sheet'!$B172,"")</f>
        <v/>
      </c>
      <c r="Z5107" s="48" t="str">
        <f ca="1">IF(AND('Planning Sheet'!DL172='Weeks Plan'!$D$6,'Planning Sheet'!DF172='Weeks Plan'!$G$6),'Planning Sheet'!$DG172,"")</f>
        <v/>
      </c>
      <c r="AA5107" s="48" t="str">
        <f ca="1">IF(AND('Planning Sheet'!DL172='Weeks Plan'!$D$6,'Planning Sheet'!DF172='Weeks Plan'!$G$6),'Planning Sheet'!$DH172,"")</f>
        <v/>
      </c>
    </row>
    <row r="5108" spans="25:27" x14ac:dyDescent="0.3">
      <c r="Y5108" s="48" t="str">
        <f ca="1">IF(AND('Planning Sheet'!DL173='Weeks Plan'!$D$6,'Planning Sheet'!DF173='Weeks Plan'!$G$6),'Planning Sheet'!$B173,"")</f>
        <v/>
      </c>
      <c r="Z5108" s="48" t="str">
        <f ca="1">IF(AND('Planning Sheet'!DL173='Weeks Plan'!$D$6,'Planning Sheet'!DF173='Weeks Plan'!$G$6),'Planning Sheet'!$DG173,"")</f>
        <v/>
      </c>
      <c r="AA5108" s="48" t="str">
        <f ca="1">IF(AND('Planning Sheet'!DL173='Weeks Plan'!$D$6,'Planning Sheet'!DF173='Weeks Plan'!$G$6),'Planning Sheet'!$DH173,"")</f>
        <v/>
      </c>
    </row>
    <row r="5109" spans="25:27" x14ac:dyDescent="0.3">
      <c r="Y5109" s="48" t="str">
        <f ca="1">IF(AND('Planning Sheet'!DL174='Weeks Plan'!$D$6,'Planning Sheet'!DF174='Weeks Plan'!$G$6),'Planning Sheet'!$B174,"")</f>
        <v/>
      </c>
      <c r="Z5109" s="48" t="str">
        <f ca="1">IF(AND('Planning Sheet'!DL174='Weeks Plan'!$D$6,'Planning Sheet'!DF174='Weeks Plan'!$G$6),'Planning Sheet'!$DG174,"")</f>
        <v/>
      </c>
      <c r="AA5109" s="48" t="str">
        <f ca="1">IF(AND('Planning Sheet'!DL174='Weeks Plan'!$D$6,'Planning Sheet'!DF174='Weeks Plan'!$G$6),'Planning Sheet'!$DH174,"")</f>
        <v/>
      </c>
    </row>
    <row r="5110" spans="25:27" x14ac:dyDescent="0.3">
      <c r="Y5110" s="48" t="str">
        <f ca="1">IF(AND('Planning Sheet'!DL175='Weeks Plan'!$D$6,'Planning Sheet'!DF175='Weeks Plan'!$G$6),'Planning Sheet'!$B175,"")</f>
        <v/>
      </c>
      <c r="Z5110" s="48" t="str">
        <f ca="1">IF(AND('Planning Sheet'!DL175='Weeks Plan'!$D$6,'Planning Sheet'!DF175='Weeks Plan'!$G$6),'Planning Sheet'!$DG175,"")</f>
        <v/>
      </c>
      <c r="AA5110" s="48" t="str">
        <f ca="1">IF(AND('Planning Sheet'!DL175='Weeks Plan'!$D$6,'Planning Sheet'!DF175='Weeks Plan'!$G$6),'Planning Sheet'!$DH175,"")</f>
        <v/>
      </c>
    </row>
    <row r="5111" spans="25:27" x14ac:dyDescent="0.3">
      <c r="Y5111" s="48" t="str">
        <f ca="1">IF(AND('Planning Sheet'!DL176='Weeks Plan'!$D$6,'Planning Sheet'!DF176='Weeks Plan'!$G$6),'Planning Sheet'!$B176,"")</f>
        <v/>
      </c>
      <c r="Z5111" s="48" t="str">
        <f ca="1">IF(AND('Planning Sheet'!DL176='Weeks Plan'!$D$6,'Planning Sheet'!DF176='Weeks Plan'!$G$6),'Planning Sheet'!$DG176,"")</f>
        <v/>
      </c>
      <c r="AA5111" s="48" t="str">
        <f ca="1">IF(AND('Planning Sheet'!DL176='Weeks Plan'!$D$6,'Planning Sheet'!DF176='Weeks Plan'!$G$6),'Planning Sheet'!$DH176,"")</f>
        <v/>
      </c>
    </row>
    <row r="5112" spans="25:27" x14ac:dyDescent="0.3">
      <c r="Y5112" s="48" t="str">
        <f ca="1">IF(AND('Planning Sheet'!DL177='Weeks Plan'!$D$6,'Planning Sheet'!DF177='Weeks Plan'!$G$6),'Planning Sheet'!$B177,"")</f>
        <v/>
      </c>
      <c r="Z5112" s="48" t="str">
        <f ca="1">IF(AND('Planning Sheet'!DL177='Weeks Plan'!$D$6,'Planning Sheet'!DF177='Weeks Plan'!$G$6),'Planning Sheet'!$DG177,"")</f>
        <v/>
      </c>
      <c r="AA5112" s="48" t="str">
        <f ca="1">IF(AND('Planning Sheet'!DL177='Weeks Plan'!$D$6,'Planning Sheet'!DF177='Weeks Plan'!$G$6),'Planning Sheet'!$DH177,"")</f>
        <v/>
      </c>
    </row>
    <row r="5113" spans="25:27" x14ac:dyDescent="0.3">
      <c r="Y5113" s="48" t="str">
        <f ca="1">IF(AND('Planning Sheet'!DL178='Weeks Plan'!$D$6,'Planning Sheet'!DF178='Weeks Plan'!$G$6),'Planning Sheet'!$B178,"")</f>
        <v/>
      </c>
      <c r="Z5113" s="48" t="str">
        <f ca="1">IF(AND('Planning Sheet'!DL178='Weeks Plan'!$D$6,'Planning Sheet'!DF178='Weeks Plan'!$G$6),'Planning Sheet'!$DG178,"")</f>
        <v/>
      </c>
      <c r="AA5113" s="48" t="str">
        <f ca="1">IF(AND('Planning Sheet'!DL178='Weeks Plan'!$D$6,'Planning Sheet'!DF178='Weeks Plan'!$G$6),'Planning Sheet'!$DH178,"")</f>
        <v/>
      </c>
    </row>
    <row r="5114" spans="25:27" x14ac:dyDescent="0.3">
      <c r="Y5114" s="48" t="str">
        <f ca="1">IF(AND('Planning Sheet'!DL179='Weeks Plan'!$D$6,'Planning Sheet'!DF179='Weeks Plan'!$G$6),'Planning Sheet'!$B179,"")</f>
        <v/>
      </c>
      <c r="Z5114" s="48" t="str">
        <f ca="1">IF(AND('Planning Sheet'!DL179='Weeks Plan'!$D$6,'Planning Sheet'!DF179='Weeks Plan'!$G$6),'Planning Sheet'!$DG179,"")</f>
        <v/>
      </c>
      <c r="AA5114" s="48" t="str">
        <f ca="1">IF(AND('Planning Sheet'!DL179='Weeks Plan'!$D$6,'Planning Sheet'!DF179='Weeks Plan'!$G$6),'Planning Sheet'!$DH179,"")</f>
        <v/>
      </c>
    </row>
    <row r="5115" spans="25:27" x14ac:dyDescent="0.3">
      <c r="Y5115" s="48" t="str">
        <f ca="1">IF(AND('Planning Sheet'!DL180='Weeks Plan'!$D$6,'Planning Sheet'!DF180='Weeks Plan'!$G$6),'Planning Sheet'!$B180,"")</f>
        <v/>
      </c>
      <c r="Z5115" s="48" t="str">
        <f ca="1">IF(AND('Planning Sheet'!DL180='Weeks Plan'!$D$6,'Planning Sheet'!DF180='Weeks Plan'!$G$6),'Planning Sheet'!$DG180,"")</f>
        <v/>
      </c>
      <c r="AA5115" s="48" t="str">
        <f ca="1">IF(AND('Planning Sheet'!DL180='Weeks Plan'!$D$6,'Planning Sheet'!DF180='Weeks Plan'!$G$6),'Planning Sheet'!$DH180,"")</f>
        <v/>
      </c>
    </row>
    <row r="5116" spans="25:27" x14ac:dyDescent="0.3">
      <c r="Y5116" s="48" t="str">
        <f ca="1">IF(AND('Planning Sheet'!DL181='Weeks Plan'!$D$6,'Planning Sheet'!DF181='Weeks Plan'!$G$6),'Planning Sheet'!$B181,"")</f>
        <v/>
      </c>
      <c r="Z5116" s="48" t="str">
        <f ca="1">IF(AND('Planning Sheet'!DL181='Weeks Plan'!$D$6,'Planning Sheet'!DF181='Weeks Plan'!$G$6),'Planning Sheet'!$DG181,"")</f>
        <v/>
      </c>
      <c r="AA5116" s="48" t="str">
        <f ca="1">IF(AND('Planning Sheet'!DL181='Weeks Plan'!$D$6,'Planning Sheet'!DF181='Weeks Plan'!$G$6),'Planning Sheet'!$DH181,"")</f>
        <v/>
      </c>
    </row>
    <row r="5117" spans="25:27" x14ac:dyDescent="0.3">
      <c r="Y5117" s="48" t="str">
        <f ca="1">IF(AND('Planning Sheet'!DL182='Weeks Plan'!$D$6,'Planning Sheet'!DF182='Weeks Plan'!$G$6),'Planning Sheet'!$B182,"")</f>
        <v/>
      </c>
      <c r="Z5117" s="48" t="str">
        <f ca="1">IF(AND('Planning Sheet'!DL182='Weeks Plan'!$D$6,'Planning Sheet'!DF182='Weeks Plan'!$G$6),'Planning Sheet'!$DG182,"")</f>
        <v/>
      </c>
      <c r="AA5117" s="48" t="str">
        <f ca="1">IF(AND('Planning Sheet'!DL182='Weeks Plan'!$D$6,'Planning Sheet'!DF182='Weeks Plan'!$G$6),'Planning Sheet'!$DH182,"")</f>
        <v/>
      </c>
    </row>
    <row r="5118" spans="25:27" x14ac:dyDescent="0.3">
      <c r="Y5118" s="48" t="str">
        <f ca="1">IF(AND('Planning Sheet'!DL183='Weeks Plan'!$D$6,'Planning Sheet'!DF183='Weeks Plan'!$G$6),'Planning Sheet'!$B183,"")</f>
        <v/>
      </c>
      <c r="Z5118" s="48" t="str">
        <f ca="1">IF(AND('Planning Sheet'!DL183='Weeks Plan'!$D$6,'Planning Sheet'!DF183='Weeks Plan'!$G$6),'Planning Sheet'!$DG183,"")</f>
        <v/>
      </c>
      <c r="AA5118" s="48" t="str">
        <f ca="1">IF(AND('Planning Sheet'!DL183='Weeks Plan'!$D$6,'Planning Sheet'!DF183='Weeks Plan'!$G$6),'Planning Sheet'!$DH183,"")</f>
        <v/>
      </c>
    </row>
    <row r="5119" spans="25:27" x14ac:dyDescent="0.3">
      <c r="Y5119" s="48" t="str">
        <f ca="1">IF(AND('Planning Sheet'!DL184='Weeks Plan'!$D$6,'Planning Sheet'!DF184='Weeks Plan'!$G$6),'Planning Sheet'!$B184,"")</f>
        <v/>
      </c>
      <c r="Z5119" s="48" t="str">
        <f ca="1">IF(AND('Planning Sheet'!DL184='Weeks Plan'!$D$6,'Planning Sheet'!DF184='Weeks Plan'!$G$6),'Planning Sheet'!$DG184,"")</f>
        <v/>
      </c>
      <c r="AA5119" s="48" t="str">
        <f ca="1">IF(AND('Planning Sheet'!DL184='Weeks Plan'!$D$6,'Planning Sheet'!DF184='Weeks Plan'!$G$6),'Planning Sheet'!$DH184,"")</f>
        <v/>
      </c>
    </row>
    <row r="5120" spans="25:27" x14ac:dyDescent="0.3">
      <c r="Y5120" s="48" t="str">
        <f ca="1">IF(AND('Planning Sheet'!DL185='Weeks Plan'!$D$6,'Planning Sheet'!DF185='Weeks Plan'!$G$6),'Planning Sheet'!$B185,"")</f>
        <v/>
      </c>
      <c r="Z5120" s="48" t="str">
        <f ca="1">IF(AND('Planning Sheet'!DL185='Weeks Plan'!$D$6,'Planning Sheet'!DF185='Weeks Plan'!$G$6),'Planning Sheet'!$DG185,"")</f>
        <v/>
      </c>
      <c r="AA5120" s="48" t="str">
        <f ca="1">IF(AND('Planning Sheet'!DL185='Weeks Plan'!$D$6,'Planning Sheet'!DF185='Weeks Plan'!$G$6),'Planning Sheet'!$DH185,"")</f>
        <v/>
      </c>
    </row>
    <row r="5121" spans="25:27" x14ac:dyDescent="0.3">
      <c r="Y5121" s="48" t="str">
        <f ca="1">IF(AND('Planning Sheet'!DL186='Weeks Plan'!$D$6,'Planning Sheet'!DF186='Weeks Plan'!$G$6),'Planning Sheet'!$B186,"")</f>
        <v/>
      </c>
      <c r="Z5121" s="48" t="str">
        <f ca="1">IF(AND('Planning Sheet'!DL186='Weeks Plan'!$D$6,'Planning Sheet'!DF186='Weeks Plan'!$G$6),'Planning Sheet'!$DG186,"")</f>
        <v/>
      </c>
      <c r="AA5121" s="48" t="str">
        <f ca="1">IF(AND('Planning Sheet'!DL186='Weeks Plan'!$D$6,'Planning Sheet'!DF186='Weeks Plan'!$G$6),'Planning Sheet'!$DH186,"")</f>
        <v/>
      </c>
    </row>
    <row r="5122" spans="25:27" x14ac:dyDescent="0.3">
      <c r="Y5122" s="48" t="str">
        <f ca="1">IF(AND('Planning Sheet'!DL187='Weeks Plan'!$D$6,'Planning Sheet'!DF187='Weeks Plan'!$G$6),'Planning Sheet'!$B187,"")</f>
        <v/>
      </c>
      <c r="Z5122" s="48" t="str">
        <f ca="1">IF(AND('Planning Sheet'!DL187='Weeks Plan'!$D$6,'Planning Sheet'!DF187='Weeks Plan'!$G$6),'Planning Sheet'!$DG187,"")</f>
        <v/>
      </c>
      <c r="AA5122" s="48" t="str">
        <f ca="1">IF(AND('Planning Sheet'!DL187='Weeks Plan'!$D$6,'Planning Sheet'!DF187='Weeks Plan'!$G$6),'Planning Sheet'!$DH187,"")</f>
        <v/>
      </c>
    </row>
    <row r="5123" spans="25:27" x14ac:dyDescent="0.3">
      <c r="Y5123" s="48" t="str">
        <f ca="1">IF(AND('Planning Sheet'!DL188='Weeks Plan'!$D$6,'Planning Sheet'!DF188='Weeks Plan'!$G$6),'Planning Sheet'!$B188,"")</f>
        <v/>
      </c>
      <c r="Z5123" s="48" t="str">
        <f ca="1">IF(AND('Planning Sheet'!DL188='Weeks Plan'!$D$6,'Planning Sheet'!DF188='Weeks Plan'!$G$6),'Planning Sheet'!$DG188,"")</f>
        <v/>
      </c>
      <c r="AA5123" s="48" t="str">
        <f ca="1">IF(AND('Planning Sheet'!DL188='Weeks Plan'!$D$6,'Planning Sheet'!DF188='Weeks Plan'!$G$6),'Planning Sheet'!$DH188,"")</f>
        <v/>
      </c>
    </row>
    <row r="5124" spans="25:27" x14ac:dyDescent="0.3">
      <c r="Y5124" s="48" t="str">
        <f ca="1">IF(AND('Planning Sheet'!DL189='Weeks Plan'!$D$6,'Planning Sheet'!DF189='Weeks Plan'!$G$6),'Planning Sheet'!$B189,"")</f>
        <v/>
      </c>
      <c r="Z5124" s="48" t="str">
        <f ca="1">IF(AND('Planning Sheet'!DL189='Weeks Plan'!$D$6,'Planning Sheet'!DF189='Weeks Plan'!$G$6),'Planning Sheet'!$DG189,"")</f>
        <v/>
      </c>
      <c r="AA5124" s="48" t="str">
        <f ca="1">IF(AND('Planning Sheet'!DL189='Weeks Plan'!$D$6,'Planning Sheet'!DF189='Weeks Plan'!$G$6),'Planning Sheet'!$DH189,"")</f>
        <v/>
      </c>
    </row>
    <row r="5125" spans="25:27" x14ac:dyDescent="0.3">
      <c r="Y5125" s="48" t="str">
        <f ca="1">IF(AND('Planning Sheet'!DL190='Weeks Plan'!$D$6,'Planning Sheet'!DF190='Weeks Plan'!$G$6),'Planning Sheet'!$B190,"")</f>
        <v/>
      </c>
      <c r="Z5125" s="48" t="str">
        <f ca="1">IF(AND('Planning Sheet'!DL190='Weeks Plan'!$D$6,'Planning Sheet'!DF190='Weeks Plan'!$G$6),'Planning Sheet'!$DG190,"")</f>
        <v/>
      </c>
      <c r="AA5125" s="48" t="str">
        <f ca="1">IF(AND('Planning Sheet'!DL190='Weeks Plan'!$D$6,'Planning Sheet'!DF190='Weeks Plan'!$G$6),'Planning Sheet'!$DH190,"")</f>
        <v/>
      </c>
    </row>
    <row r="5126" spans="25:27" x14ac:dyDescent="0.3">
      <c r="Y5126" s="48" t="str">
        <f ca="1">IF(AND('Planning Sheet'!DL191='Weeks Plan'!$D$6,'Planning Sheet'!DF191='Weeks Plan'!$G$6),'Planning Sheet'!$B191,"")</f>
        <v/>
      </c>
      <c r="Z5126" s="48" t="str">
        <f ca="1">IF(AND('Planning Sheet'!DL191='Weeks Plan'!$D$6,'Planning Sheet'!DF191='Weeks Plan'!$G$6),'Planning Sheet'!$DG191,"")</f>
        <v/>
      </c>
      <c r="AA5126" s="48" t="str">
        <f ca="1">IF(AND('Planning Sheet'!DL191='Weeks Plan'!$D$6,'Planning Sheet'!DF191='Weeks Plan'!$G$6),'Planning Sheet'!$DH191,"")</f>
        <v/>
      </c>
    </row>
    <row r="5127" spans="25:27" x14ac:dyDescent="0.3">
      <c r="Y5127" s="48" t="str">
        <f ca="1">IF(AND('Planning Sheet'!DL192='Weeks Plan'!$D$6,'Planning Sheet'!DF192='Weeks Plan'!$G$6),'Planning Sheet'!$B192,"")</f>
        <v/>
      </c>
      <c r="Z5127" s="48" t="str">
        <f ca="1">IF(AND('Planning Sheet'!DL192='Weeks Plan'!$D$6,'Planning Sheet'!DF192='Weeks Plan'!$G$6),'Planning Sheet'!$DG192,"")</f>
        <v/>
      </c>
      <c r="AA5127" s="48" t="str">
        <f ca="1">IF(AND('Planning Sheet'!DL192='Weeks Plan'!$D$6,'Planning Sheet'!DF192='Weeks Plan'!$G$6),'Planning Sheet'!$DH192,"")</f>
        <v/>
      </c>
    </row>
    <row r="5128" spans="25:27" x14ac:dyDescent="0.3">
      <c r="Y5128" s="48" t="str">
        <f ca="1">IF(AND('Planning Sheet'!DL193='Weeks Plan'!$D$6,'Planning Sheet'!DF193='Weeks Plan'!$G$6),'Planning Sheet'!$B193,"")</f>
        <v/>
      </c>
      <c r="Z5128" s="48" t="str">
        <f ca="1">IF(AND('Planning Sheet'!DL193='Weeks Plan'!$D$6,'Planning Sheet'!DF193='Weeks Plan'!$G$6),'Planning Sheet'!$DG193,"")</f>
        <v/>
      </c>
      <c r="AA5128" s="48" t="str">
        <f ca="1">IF(AND('Planning Sheet'!DL193='Weeks Plan'!$D$6,'Planning Sheet'!DF193='Weeks Plan'!$G$6),'Planning Sheet'!$DH193,"")</f>
        <v/>
      </c>
    </row>
    <row r="5129" spans="25:27" x14ac:dyDescent="0.3">
      <c r="Y5129" s="48" t="str">
        <f ca="1">IF(AND('Planning Sheet'!DL194='Weeks Plan'!$D$6,'Planning Sheet'!DF194='Weeks Plan'!$G$6),'Planning Sheet'!$B194,"")</f>
        <v/>
      </c>
      <c r="Z5129" s="48" t="str">
        <f ca="1">IF(AND('Planning Sheet'!DL194='Weeks Plan'!$D$6,'Planning Sheet'!DF194='Weeks Plan'!$G$6),'Planning Sheet'!$DG194,"")</f>
        <v/>
      </c>
      <c r="AA5129" s="48" t="str">
        <f ca="1">IF(AND('Planning Sheet'!DL194='Weeks Plan'!$D$6,'Planning Sheet'!DF194='Weeks Plan'!$G$6),'Planning Sheet'!$DH194,"")</f>
        <v/>
      </c>
    </row>
    <row r="5130" spans="25:27" x14ac:dyDescent="0.3">
      <c r="Y5130" s="48" t="str">
        <f ca="1">IF(AND('Planning Sheet'!DL195='Weeks Plan'!$D$6,'Planning Sheet'!DF195='Weeks Plan'!$G$6),'Planning Sheet'!$B195,"")</f>
        <v/>
      </c>
      <c r="Z5130" s="48" t="str">
        <f ca="1">IF(AND('Planning Sheet'!DL195='Weeks Plan'!$D$6,'Planning Sheet'!DF195='Weeks Plan'!$G$6),'Planning Sheet'!$DG195,"")</f>
        <v/>
      </c>
      <c r="AA5130" s="48" t="str">
        <f ca="1">IF(AND('Planning Sheet'!DL195='Weeks Plan'!$D$6,'Planning Sheet'!DF195='Weeks Plan'!$G$6),'Planning Sheet'!$DH195,"")</f>
        <v/>
      </c>
    </row>
    <row r="5131" spans="25:27" x14ac:dyDescent="0.3">
      <c r="Y5131" s="48" t="str">
        <f ca="1">IF(AND('Planning Sheet'!DL196='Weeks Plan'!$D$6,'Planning Sheet'!DF196='Weeks Plan'!$G$6),'Planning Sheet'!$B196,"")</f>
        <v/>
      </c>
      <c r="Z5131" s="48" t="str">
        <f ca="1">IF(AND('Planning Sheet'!DL196='Weeks Plan'!$D$6,'Planning Sheet'!DF196='Weeks Plan'!$G$6),'Planning Sheet'!$DG196,"")</f>
        <v/>
      </c>
      <c r="AA5131" s="48" t="str">
        <f ca="1">IF(AND('Planning Sheet'!DL196='Weeks Plan'!$D$6,'Planning Sheet'!DF196='Weeks Plan'!$G$6),'Planning Sheet'!$DH196,"")</f>
        <v/>
      </c>
    </row>
    <row r="5132" spans="25:27" x14ac:dyDescent="0.3">
      <c r="Y5132" s="48" t="str">
        <f ca="1">IF(AND('Planning Sheet'!DL197='Weeks Plan'!$D$6,'Planning Sheet'!DF197='Weeks Plan'!$G$6),'Planning Sheet'!$B197,"")</f>
        <v/>
      </c>
      <c r="Z5132" s="48" t="str">
        <f ca="1">IF(AND('Planning Sheet'!DL197='Weeks Plan'!$D$6,'Planning Sheet'!DF197='Weeks Plan'!$G$6),'Planning Sheet'!$DG197,"")</f>
        <v/>
      </c>
      <c r="AA5132" s="48" t="str">
        <f ca="1">IF(AND('Planning Sheet'!DL197='Weeks Plan'!$D$6,'Planning Sheet'!DF197='Weeks Plan'!$G$6),'Planning Sheet'!$DH197,"")</f>
        <v/>
      </c>
    </row>
    <row r="5133" spans="25:27" x14ac:dyDescent="0.3">
      <c r="Y5133" s="48" t="str">
        <f ca="1">IF(AND('Planning Sheet'!DL198='Weeks Plan'!$D$6,'Planning Sheet'!DF198='Weeks Plan'!$G$6),'Planning Sheet'!$B198,"")</f>
        <v/>
      </c>
      <c r="Z5133" s="48" t="str">
        <f ca="1">IF(AND('Planning Sheet'!DL198='Weeks Plan'!$D$6,'Planning Sheet'!DF198='Weeks Plan'!$G$6),'Planning Sheet'!$DG198,"")</f>
        <v/>
      </c>
      <c r="AA5133" s="48" t="str">
        <f ca="1">IF(AND('Planning Sheet'!DL198='Weeks Plan'!$D$6,'Planning Sheet'!DF198='Weeks Plan'!$G$6),'Planning Sheet'!$DH198,"")</f>
        <v/>
      </c>
    </row>
    <row r="5134" spans="25:27" x14ac:dyDescent="0.3">
      <c r="Y5134" s="48" t="str">
        <f ca="1">IF(AND('Planning Sheet'!DL199='Weeks Plan'!$D$6,'Planning Sheet'!DF199='Weeks Plan'!$G$6),'Planning Sheet'!$B199,"")</f>
        <v/>
      </c>
      <c r="Z5134" s="48" t="str">
        <f ca="1">IF(AND('Planning Sheet'!DL199='Weeks Plan'!$D$6,'Planning Sheet'!DF199='Weeks Plan'!$G$6),'Planning Sheet'!$DG199,"")</f>
        <v/>
      </c>
      <c r="AA5134" s="48" t="str">
        <f ca="1">IF(AND('Planning Sheet'!DL199='Weeks Plan'!$D$6,'Planning Sheet'!DF199='Weeks Plan'!$G$6),'Planning Sheet'!$DH199,"")</f>
        <v/>
      </c>
    </row>
    <row r="5135" spans="25:27" x14ac:dyDescent="0.3">
      <c r="Y5135" s="48" t="str">
        <f ca="1">IF(AND('Planning Sheet'!DL200='Weeks Plan'!$D$6,'Planning Sheet'!DF200='Weeks Plan'!$G$6),'Planning Sheet'!$B200,"")</f>
        <v/>
      </c>
      <c r="Z5135" s="48" t="str">
        <f ca="1">IF(AND('Planning Sheet'!DL200='Weeks Plan'!$D$6,'Planning Sheet'!DF200='Weeks Plan'!$G$6),'Planning Sheet'!$DG200,"")</f>
        <v/>
      </c>
      <c r="AA5135" s="48" t="str">
        <f ca="1">IF(AND('Planning Sheet'!DL200='Weeks Plan'!$D$6,'Planning Sheet'!DF200='Weeks Plan'!$G$6),'Planning Sheet'!$DH200,"")</f>
        <v/>
      </c>
    </row>
    <row r="5136" spans="25:27" x14ac:dyDescent="0.3">
      <c r="Y5136" s="48" t="str">
        <f ca="1">IF(AND('Planning Sheet'!DL201='Weeks Plan'!$D$6,'Planning Sheet'!DF201='Weeks Plan'!$G$6),'Planning Sheet'!$B201,"")</f>
        <v/>
      </c>
      <c r="Z5136" s="48" t="str">
        <f ca="1">IF(AND('Planning Sheet'!DL201='Weeks Plan'!$D$6,'Planning Sheet'!DF201='Weeks Plan'!$G$6),'Planning Sheet'!$DG201,"")</f>
        <v/>
      </c>
      <c r="AA5136" s="48" t="str">
        <f ca="1">IF(AND('Planning Sheet'!DL201='Weeks Plan'!$D$6,'Planning Sheet'!DF201='Weeks Plan'!$G$6),'Planning Sheet'!$DH201,"")</f>
        <v/>
      </c>
    </row>
    <row r="5137" spans="25:27" x14ac:dyDescent="0.3">
      <c r="Y5137" s="48" t="str">
        <f ca="1">IF(AND('Planning Sheet'!DL202='Weeks Plan'!$D$6,'Planning Sheet'!DF202='Weeks Plan'!$G$6),'Planning Sheet'!$B202,"")</f>
        <v/>
      </c>
      <c r="Z5137" s="48" t="str">
        <f ca="1">IF(AND('Planning Sheet'!DL202='Weeks Plan'!$D$6,'Planning Sheet'!DF202='Weeks Plan'!$G$6),'Planning Sheet'!$DG202,"")</f>
        <v/>
      </c>
      <c r="AA5137" s="48" t="str">
        <f ca="1">IF(AND('Planning Sheet'!DL202='Weeks Plan'!$D$6,'Planning Sheet'!DF202='Weeks Plan'!$G$6),'Planning Sheet'!$DH202,"")</f>
        <v/>
      </c>
    </row>
    <row r="5138" spans="25:27" x14ac:dyDescent="0.3">
      <c r="Y5138" s="48" t="str">
        <f ca="1">IF(AND('Planning Sheet'!DL203='Weeks Plan'!$D$6,'Planning Sheet'!DF203='Weeks Plan'!$G$6),'Planning Sheet'!$B203,"")</f>
        <v/>
      </c>
      <c r="Z5138" s="48" t="str">
        <f ca="1">IF(AND('Planning Sheet'!DL203='Weeks Plan'!$D$6,'Planning Sheet'!DF203='Weeks Plan'!$G$6),'Planning Sheet'!$DG203,"")</f>
        <v/>
      </c>
      <c r="AA5138" s="48" t="str">
        <f ca="1">IF(AND('Planning Sheet'!DL203='Weeks Plan'!$D$6,'Planning Sheet'!DF203='Weeks Plan'!$G$6),'Planning Sheet'!$DH203,"")</f>
        <v/>
      </c>
    </row>
    <row r="5139" spans="25:27" x14ac:dyDescent="0.3">
      <c r="Y5139" s="48" t="str">
        <f ca="1">IF(AND('Planning Sheet'!DL204='Weeks Plan'!$D$6,'Planning Sheet'!DF204='Weeks Plan'!$G$6),'Planning Sheet'!$B204,"")</f>
        <v/>
      </c>
      <c r="Z5139" s="48" t="str">
        <f ca="1">IF(AND('Planning Sheet'!DL204='Weeks Plan'!$D$6,'Planning Sheet'!DF204='Weeks Plan'!$G$6),'Planning Sheet'!$DG204,"")</f>
        <v/>
      </c>
      <c r="AA5139" s="48" t="str">
        <f ca="1">IF(AND('Planning Sheet'!DL204='Weeks Plan'!$D$6,'Planning Sheet'!DF204='Weeks Plan'!$G$6),'Planning Sheet'!$DH204,"")</f>
        <v/>
      </c>
    </row>
    <row r="5140" spans="25:27" x14ac:dyDescent="0.3">
      <c r="Y5140" s="48" t="str">
        <f ca="1">IF(AND('Planning Sheet'!DL205='Weeks Plan'!$D$6,'Planning Sheet'!DF205='Weeks Plan'!$G$6),'Planning Sheet'!$B205,"")</f>
        <v/>
      </c>
      <c r="Z5140" s="48" t="str">
        <f ca="1">IF(AND('Planning Sheet'!DL205='Weeks Plan'!$D$6,'Planning Sheet'!DF205='Weeks Plan'!$G$6),'Planning Sheet'!$DG205,"")</f>
        <v/>
      </c>
      <c r="AA5140" s="48" t="str">
        <f ca="1">IF(AND('Planning Sheet'!DL205='Weeks Plan'!$D$6,'Planning Sheet'!DF205='Weeks Plan'!$G$6),'Planning Sheet'!$DH205,"")</f>
        <v/>
      </c>
    </row>
    <row r="5141" spans="25:27" x14ac:dyDescent="0.3">
      <c r="Y5141" s="48" t="str">
        <f ca="1">IF(AND('Planning Sheet'!DL206='Weeks Plan'!$D$6,'Planning Sheet'!DF206='Weeks Plan'!$G$6),'Planning Sheet'!$B206,"")</f>
        <v/>
      </c>
      <c r="Z5141" s="48" t="str">
        <f ca="1">IF(AND('Planning Sheet'!DL206='Weeks Plan'!$D$6,'Planning Sheet'!DF206='Weeks Plan'!$G$6),'Planning Sheet'!$DG206,"")</f>
        <v/>
      </c>
      <c r="AA5141" s="48" t="str">
        <f ca="1">IF(AND('Planning Sheet'!DL206='Weeks Plan'!$D$6,'Planning Sheet'!DF206='Weeks Plan'!$G$6),'Planning Sheet'!$DH206,"")</f>
        <v/>
      </c>
    </row>
    <row r="5142" spans="25:27" x14ac:dyDescent="0.3">
      <c r="Y5142" s="48" t="str">
        <f ca="1">IF(AND('Planning Sheet'!DL207='Weeks Plan'!$D$6,'Planning Sheet'!DF207='Weeks Plan'!$G$6),'Planning Sheet'!$B207,"")</f>
        <v/>
      </c>
      <c r="Z5142" s="48" t="str">
        <f ca="1">IF(AND('Planning Sheet'!DL207='Weeks Plan'!$D$6,'Planning Sheet'!DF207='Weeks Plan'!$G$6),'Planning Sheet'!$DG207,"")</f>
        <v/>
      </c>
      <c r="AA5142" s="48" t="str">
        <f ca="1">IF(AND('Planning Sheet'!DL207='Weeks Plan'!$D$6,'Planning Sheet'!DF207='Weeks Plan'!$G$6),'Planning Sheet'!$DH207,"")</f>
        <v/>
      </c>
    </row>
    <row r="5143" spans="25:27" x14ac:dyDescent="0.3">
      <c r="Y5143" s="48" t="str">
        <f ca="1">IF(AND('Planning Sheet'!DL208='Weeks Plan'!$D$6,'Planning Sheet'!DF208='Weeks Plan'!$G$6),'Planning Sheet'!$B208,"")</f>
        <v/>
      </c>
      <c r="Z5143" s="48" t="str">
        <f ca="1">IF(AND('Planning Sheet'!DL208='Weeks Plan'!$D$6,'Planning Sheet'!DF208='Weeks Plan'!$G$6),'Planning Sheet'!$DG208,"")</f>
        <v/>
      </c>
      <c r="AA5143" s="48" t="str">
        <f ca="1">IF(AND('Planning Sheet'!DL208='Weeks Plan'!$D$6,'Planning Sheet'!DF208='Weeks Plan'!$G$6),'Planning Sheet'!$DH208,"")</f>
        <v/>
      </c>
    </row>
    <row r="5144" spans="25:27" x14ac:dyDescent="0.3">
      <c r="Y5144" s="48" t="str">
        <f ca="1">IF(AND('Planning Sheet'!DL209='Weeks Plan'!$D$6,'Planning Sheet'!DF209='Weeks Plan'!$G$6),'Planning Sheet'!$B209,"")</f>
        <v/>
      </c>
      <c r="Z5144" s="48" t="str">
        <f ca="1">IF(AND('Planning Sheet'!DL209='Weeks Plan'!$D$6,'Planning Sheet'!DF209='Weeks Plan'!$G$6),'Planning Sheet'!$DG209,"")</f>
        <v/>
      </c>
      <c r="AA5144" s="48" t="str">
        <f ca="1">IF(AND('Planning Sheet'!DL209='Weeks Plan'!$D$6,'Planning Sheet'!DF209='Weeks Plan'!$G$6),'Planning Sheet'!$DH209,"")</f>
        <v/>
      </c>
    </row>
    <row r="5145" spans="25:27" x14ac:dyDescent="0.3">
      <c r="Y5145" s="48" t="str">
        <f ca="1">IF(AND('Planning Sheet'!DL210='Weeks Plan'!$D$6,'Planning Sheet'!DF210='Weeks Plan'!$G$6),'Planning Sheet'!$B210,"")</f>
        <v/>
      </c>
      <c r="Z5145" s="48" t="str">
        <f ca="1">IF(AND('Planning Sheet'!DL210='Weeks Plan'!$D$6,'Planning Sheet'!DF210='Weeks Plan'!$G$6),'Planning Sheet'!$DG210,"")</f>
        <v/>
      </c>
      <c r="AA5145" s="48" t="str">
        <f ca="1">IF(AND('Planning Sheet'!DL210='Weeks Plan'!$D$6,'Planning Sheet'!DF210='Weeks Plan'!$G$6),'Planning Sheet'!$DH210,"")</f>
        <v/>
      </c>
    </row>
    <row r="5146" spans="25:27" x14ac:dyDescent="0.3">
      <c r="Y5146" s="48" t="str">
        <f ca="1">IF(AND('Planning Sheet'!DL211='Weeks Plan'!$D$6,'Planning Sheet'!DF211='Weeks Plan'!$G$6),'Planning Sheet'!$B211,"")</f>
        <v/>
      </c>
      <c r="Z5146" s="48" t="str">
        <f ca="1">IF(AND('Planning Sheet'!DL211='Weeks Plan'!$D$6,'Planning Sheet'!DF211='Weeks Plan'!$G$6),'Planning Sheet'!$DG211,"")</f>
        <v/>
      </c>
      <c r="AA5146" s="48" t="str">
        <f ca="1">IF(AND('Planning Sheet'!DL211='Weeks Plan'!$D$6,'Planning Sheet'!DF211='Weeks Plan'!$G$6),'Planning Sheet'!$DH211,"")</f>
        <v/>
      </c>
    </row>
    <row r="5147" spans="25:27" x14ac:dyDescent="0.3">
      <c r="Y5147" s="48" t="str">
        <f ca="1">IF(AND('Planning Sheet'!DL212='Weeks Plan'!$D$6,'Planning Sheet'!DF212='Weeks Plan'!$G$6),'Planning Sheet'!$B212,"")</f>
        <v/>
      </c>
      <c r="Z5147" s="48" t="str">
        <f ca="1">IF(AND('Planning Sheet'!DL212='Weeks Plan'!$D$6,'Planning Sheet'!DF212='Weeks Plan'!$G$6),'Planning Sheet'!$DG212,"")</f>
        <v/>
      </c>
      <c r="AA5147" s="48" t="str">
        <f ca="1">IF(AND('Planning Sheet'!DL212='Weeks Plan'!$D$6,'Planning Sheet'!DF212='Weeks Plan'!$G$6),'Planning Sheet'!$DH212,"")</f>
        <v/>
      </c>
    </row>
    <row r="5148" spans="25:27" x14ac:dyDescent="0.3">
      <c r="Y5148" s="48" t="str">
        <f ca="1">IF(AND('Planning Sheet'!DL213='Weeks Plan'!$D$6,'Planning Sheet'!DF213='Weeks Plan'!$G$6),'Planning Sheet'!$B213,"")</f>
        <v/>
      </c>
      <c r="Z5148" s="48" t="str">
        <f ca="1">IF(AND('Planning Sheet'!DL213='Weeks Plan'!$D$6,'Planning Sheet'!DF213='Weeks Plan'!$G$6),'Planning Sheet'!$DG213,"")</f>
        <v/>
      </c>
      <c r="AA5148" s="48" t="str">
        <f ca="1">IF(AND('Planning Sheet'!DL213='Weeks Plan'!$D$6,'Planning Sheet'!DF213='Weeks Plan'!$G$6),'Planning Sheet'!$DH213,"")</f>
        <v/>
      </c>
    </row>
    <row r="5149" spans="25:27" x14ac:dyDescent="0.3">
      <c r="Y5149" s="48" t="str">
        <f ca="1">IF(AND('Planning Sheet'!DL214='Weeks Plan'!$D$6,'Planning Sheet'!DF214='Weeks Plan'!$G$6),'Planning Sheet'!$B214,"")</f>
        <v/>
      </c>
      <c r="Z5149" s="48" t="str">
        <f ca="1">IF(AND('Planning Sheet'!DL214='Weeks Plan'!$D$6,'Planning Sheet'!DF214='Weeks Plan'!$G$6),'Planning Sheet'!$DG214,"")</f>
        <v/>
      </c>
      <c r="AA5149" s="48" t="str">
        <f ca="1">IF(AND('Planning Sheet'!DL214='Weeks Plan'!$D$6,'Planning Sheet'!DF214='Weeks Plan'!$G$6),'Planning Sheet'!$DH214,"")</f>
        <v/>
      </c>
    </row>
    <row r="5150" spans="25:27" x14ac:dyDescent="0.3">
      <c r="Y5150" s="48" t="str">
        <f ca="1">IF(AND('Planning Sheet'!DL215='Weeks Plan'!$D$6,'Planning Sheet'!DF215='Weeks Plan'!$G$6),'Planning Sheet'!$B215,"")</f>
        <v/>
      </c>
      <c r="Z5150" s="48" t="str">
        <f ca="1">IF(AND('Planning Sheet'!DL215='Weeks Plan'!$D$6,'Planning Sheet'!DF215='Weeks Plan'!$G$6),'Planning Sheet'!$DG215,"")</f>
        <v/>
      </c>
      <c r="AA5150" s="48" t="str">
        <f ca="1">IF(AND('Planning Sheet'!DL215='Weeks Plan'!$D$6,'Planning Sheet'!DF215='Weeks Plan'!$G$6),'Planning Sheet'!$DH215,"")</f>
        <v/>
      </c>
    </row>
    <row r="5151" spans="25:27" x14ac:dyDescent="0.3">
      <c r="Y5151" s="48" t="str">
        <f ca="1">IF(AND('Planning Sheet'!DL216='Weeks Plan'!$D$6,'Planning Sheet'!DF216='Weeks Plan'!$G$6),'Planning Sheet'!$B216,"")</f>
        <v/>
      </c>
      <c r="Z5151" s="48" t="str">
        <f ca="1">IF(AND('Planning Sheet'!DL216='Weeks Plan'!$D$6,'Planning Sheet'!DF216='Weeks Plan'!$G$6),'Planning Sheet'!$DG216,"")</f>
        <v/>
      </c>
      <c r="AA5151" s="48" t="str">
        <f ca="1">IF(AND('Planning Sheet'!DL216='Weeks Plan'!$D$6,'Planning Sheet'!DF216='Weeks Plan'!$G$6),'Planning Sheet'!$DH216,"")</f>
        <v/>
      </c>
    </row>
    <row r="5152" spans="25:27" x14ac:dyDescent="0.3">
      <c r="Y5152" s="48" t="str">
        <f ca="1">IF(AND('Planning Sheet'!DL217='Weeks Plan'!$D$6,'Planning Sheet'!DF217='Weeks Plan'!$G$6),'Planning Sheet'!$B217,"")</f>
        <v/>
      </c>
      <c r="Z5152" s="48" t="str">
        <f ca="1">IF(AND('Planning Sheet'!DL217='Weeks Plan'!$D$6,'Planning Sheet'!DF217='Weeks Plan'!$G$6),'Planning Sheet'!$DG217,"")</f>
        <v/>
      </c>
      <c r="AA5152" s="48" t="str">
        <f ca="1">IF(AND('Planning Sheet'!DL217='Weeks Plan'!$D$6,'Planning Sheet'!DF217='Weeks Plan'!$G$6),'Planning Sheet'!$DH217,"")</f>
        <v/>
      </c>
    </row>
    <row r="5153" spans="25:27" x14ac:dyDescent="0.3">
      <c r="Y5153" s="48" t="str">
        <f ca="1">IF(AND('Planning Sheet'!DL218='Weeks Plan'!$D$6,'Planning Sheet'!DF218='Weeks Plan'!$G$6),'Planning Sheet'!$B218,"")</f>
        <v/>
      </c>
      <c r="Z5153" s="48" t="str">
        <f ca="1">IF(AND('Planning Sheet'!DL218='Weeks Plan'!$D$6,'Planning Sheet'!DF218='Weeks Plan'!$G$6),'Planning Sheet'!$DG218,"")</f>
        <v/>
      </c>
      <c r="AA5153" s="48" t="str">
        <f ca="1">IF(AND('Planning Sheet'!DL218='Weeks Plan'!$D$6,'Planning Sheet'!DF218='Weeks Plan'!$G$6),'Planning Sheet'!$DH218,"")</f>
        <v/>
      </c>
    </row>
    <row r="5154" spans="25:27" x14ac:dyDescent="0.3">
      <c r="Y5154" s="48" t="str">
        <f ca="1">IF(AND('Planning Sheet'!DL219='Weeks Plan'!$D$6,'Planning Sheet'!DF219='Weeks Plan'!$G$6),'Planning Sheet'!$B219,"")</f>
        <v/>
      </c>
      <c r="Z5154" s="48" t="str">
        <f ca="1">IF(AND('Planning Sheet'!DL219='Weeks Plan'!$D$6,'Planning Sheet'!DF219='Weeks Plan'!$G$6),'Planning Sheet'!$DG219,"")</f>
        <v/>
      </c>
      <c r="AA5154" s="48" t="str">
        <f ca="1">IF(AND('Planning Sheet'!DL219='Weeks Plan'!$D$6,'Planning Sheet'!DF219='Weeks Plan'!$G$6),'Planning Sheet'!$DH219,"")</f>
        <v/>
      </c>
    </row>
    <row r="5155" spans="25:27" x14ac:dyDescent="0.3">
      <c r="Y5155" s="48" t="str">
        <f ca="1">IF(AND('Planning Sheet'!DL220='Weeks Plan'!$D$6,'Planning Sheet'!DF220='Weeks Plan'!$G$6),'Planning Sheet'!$B220,"")</f>
        <v/>
      </c>
      <c r="Z5155" s="48" t="str">
        <f ca="1">IF(AND('Planning Sheet'!DL220='Weeks Plan'!$D$6,'Planning Sheet'!DF220='Weeks Plan'!$G$6),'Planning Sheet'!$DG220,"")</f>
        <v/>
      </c>
      <c r="AA5155" s="48" t="str">
        <f ca="1">IF(AND('Planning Sheet'!DL220='Weeks Plan'!$D$6,'Planning Sheet'!DF220='Weeks Plan'!$G$6),'Planning Sheet'!$DH220,"")</f>
        <v/>
      </c>
    </row>
    <row r="5156" spans="25:27" x14ac:dyDescent="0.3">
      <c r="Y5156" s="48" t="str">
        <f ca="1">IF(AND('Planning Sheet'!DL221='Weeks Plan'!$D$6,'Planning Sheet'!DF221='Weeks Plan'!$G$6),'Planning Sheet'!$B221,"")</f>
        <v/>
      </c>
      <c r="Z5156" s="48" t="str">
        <f ca="1">IF(AND('Planning Sheet'!DL221='Weeks Plan'!$D$6,'Planning Sheet'!DF221='Weeks Plan'!$G$6),'Planning Sheet'!$DG221,"")</f>
        <v/>
      </c>
      <c r="AA5156" s="48" t="str">
        <f ca="1">IF(AND('Planning Sheet'!DL221='Weeks Plan'!$D$6,'Planning Sheet'!DF221='Weeks Plan'!$G$6),'Planning Sheet'!$DH221,"")</f>
        <v/>
      </c>
    </row>
    <row r="5157" spans="25:27" x14ac:dyDescent="0.3">
      <c r="Y5157" s="48" t="str">
        <f ca="1">IF(AND('Planning Sheet'!DL222='Weeks Plan'!$D$6,'Planning Sheet'!DF222='Weeks Plan'!$G$6),'Planning Sheet'!$B222,"")</f>
        <v/>
      </c>
      <c r="Z5157" s="48" t="str">
        <f ca="1">IF(AND('Planning Sheet'!DL222='Weeks Plan'!$D$6,'Planning Sheet'!DF222='Weeks Plan'!$G$6),'Planning Sheet'!$DG222,"")</f>
        <v/>
      </c>
      <c r="AA5157" s="48" t="str">
        <f ca="1">IF(AND('Planning Sheet'!DL222='Weeks Plan'!$D$6,'Planning Sheet'!DF222='Weeks Plan'!$G$6),'Planning Sheet'!$DH222,"")</f>
        <v/>
      </c>
    </row>
    <row r="5158" spans="25:27" x14ac:dyDescent="0.3">
      <c r="Y5158" s="48" t="str">
        <f ca="1">IF(AND('Planning Sheet'!DL223='Weeks Plan'!$D$6,'Planning Sheet'!DF223='Weeks Plan'!$G$6),'Planning Sheet'!$B223,"")</f>
        <v/>
      </c>
      <c r="Z5158" s="48" t="str">
        <f ca="1">IF(AND('Planning Sheet'!DL223='Weeks Plan'!$D$6,'Planning Sheet'!DF223='Weeks Plan'!$G$6),'Planning Sheet'!$DG223,"")</f>
        <v/>
      </c>
      <c r="AA5158" s="48" t="str">
        <f ca="1">IF(AND('Planning Sheet'!DL223='Weeks Plan'!$D$6,'Planning Sheet'!DF223='Weeks Plan'!$G$6),'Planning Sheet'!$DH223,"")</f>
        <v/>
      </c>
    </row>
    <row r="5159" spans="25:27" x14ac:dyDescent="0.3">
      <c r="Y5159" s="48" t="str">
        <f ca="1">IF(AND('Planning Sheet'!DL224='Weeks Plan'!$D$6,'Planning Sheet'!DF224='Weeks Plan'!$G$6),'Planning Sheet'!$B224,"")</f>
        <v/>
      </c>
      <c r="Z5159" s="48" t="str">
        <f ca="1">IF(AND('Planning Sheet'!DL224='Weeks Plan'!$D$6,'Planning Sheet'!DF224='Weeks Plan'!$G$6),'Planning Sheet'!$DG224,"")</f>
        <v/>
      </c>
      <c r="AA5159" s="48" t="str">
        <f ca="1">IF(AND('Planning Sheet'!DL224='Weeks Plan'!$D$6,'Planning Sheet'!DF224='Weeks Plan'!$G$6),'Planning Sheet'!$DH224,"")</f>
        <v/>
      </c>
    </row>
    <row r="5160" spans="25:27" x14ac:dyDescent="0.3">
      <c r="Y5160" s="48" t="str">
        <f ca="1">IF(AND('Planning Sheet'!DL225='Weeks Plan'!$D$6,'Planning Sheet'!DF225='Weeks Plan'!$G$6),'Planning Sheet'!$B225,"")</f>
        <v/>
      </c>
      <c r="Z5160" s="48" t="str">
        <f ca="1">IF(AND('Planning Sheet'!DL225='Weeks Plan'!$D$6,'Planning Sheet'!DF225='Weeks Plan'!$G$6),'Planning Sheet'!$DG225,"")</f>
        <v/>
      </c>
      <c r="AA5160" s="48" t="str">
        <f ca="1">IF(AND('Planning Sheet'!DL225='Weeks Plan'!$D$6,'Planning Sheet'!DF225='Weeks Plan'!$G$6),'Planning Sheet'!$DH225,"")</f>
        <v/>
      </c>
    </row>
    <row r="5161" spans="25:27" x14ac:dyDescent="0.3">
      <c r="Y5161" s="48" t="str">
        <f ca="1">IF(AND('Planning Sheet'!DL226='Weeks Plan'!$D$6,'Planning Sheet'!DF226='Weeks Plan'!$G$6),'Planning Sheet'!$B226,"")</f>
        <v/>
      </c>
      <c r="Z5161" s="48" t="str">
        <f ca="1">IF(AND('Planning Sheet'!DL226='Weeks Plan'!$D$6,'Planning Sheet'!DF226='Weeks Plan'!$G$6),'Planning Sheet'!$DG226,"")</f>
        <v/>
      </c>
      <c r="AA5161" s="48" t="str">
        <f ca="1">IF(AND('Planning Sheet'!DL226='Weeks Plan'!$D$6,'Planning Sheet'!DF226='Weeks Plan'!$G$6),'Planning Sheet'!$DH226,"")</f>
        <v/>
      </c>
    </row>
    <row r="5162" spans="25:27" x14ac:dyDescent="0.3">
      <c r="Y5162" s="48" t="str">
        <f ca="1">IF(AND('Planning Sheet'!DL227='Weeks Plan'!$D$6,'Planning Sheet'!DF227='Weeks Plan'!$G$6),'Planning Sheet'!$B227,"")</f>
        <v/>
      </c>
      <c r="Z5162" s="48" t="str">
        <f ca="1">IF(AND('Planning Sheet'!DL227='Weeks Plan'!$D$6,'Planning Sheet'!DF227='Weeks Plan'!$G$6),'Planning Sheet'!$DG227,"")</f>
        <v/>
      </c>
      <c r="AA5162" s="48" t="str">
        <f ca="1">IF(AND('Planning Sheet'!DL227='Weeks Plan'!$D$6,'Planning Sheet'!DF227='Weeks Plan'!$G$6),'Planning Sheet'!$DH227,"")</f>
        <v/>
      </c>
    </row>
    <row r="5163" spans="25:27" x14ac:dyDescent="0.3">
      <c r="Y5163" s="48" t="str">
        <f ca="1">IF(AND('Planning Sheet'!DL228='Weeks Plan'!$D$6,'Planning Sheet'!DF228='Weeks Plan'!$G$6),'Planning Sheet'!$B228,"")</f>
        <v/>
      </c>
      <c r="Z5163" s="48" t="str">
        <f ca="1">IF(AND('Planning Sheet'!DL228='Weeks Plan'!$D$6,'Planning Sheet'!DF228='Weeks Plan'!$G$6),'Planning Sheet'!$DG228,"")</f>
        <v/>
      </c>
      <c r="AA5163" s="48" t="str">
        <f ca="1">IF(AND('Planning Sheet'!DL228='Weeks Plan'!$D$6,'Planning Sheet'!DF228='Weeks Plan'!$G$6),'Planning Sheet'!$DH228,"")</f>
        <v/>
      </c>
    </row>
    <row r="5164" spans="25:27" x14ac:dyDescent="0.3">
      <c r="Y5164" s="48" t="str">
        <f ca="1">IF(AND('Planning Sheet'!DL229='Weeks Plan'!$D$6,'Planning Sheet'!DF229='Weeks Plan'!$G$6),'Planning Sheet'!$B229,"")</f>
        <v/>
      </c>
      <c r="Z5164" s="48" t="str">
        <f ca="1">IF(AND('Planning Sheet'!DL229='Weeks Plan'!$D$6,'Planning Sheet'!DF229='Weeks Plan'!$G$6),'Planning Sheet'!$DG229,"")</f>
        <v/>
      </c>
      <c r="AA5164" s="48" t="str">
        <f ca="1">IF(AND('Planning Sheet'!DL229='Weeks Plan'!$D$6,'Planning Sheet'!DF229='Weeks Plan'!$G$6),'Planning Sheet'!$DH229,"")</f>
        <v/>
      </c>
    </row>
    <row r="5165" spans="25:27" x14ac:dyDescent="0.3">
      <c r="Y5165" s="48" t="str">
        <f ca="1">IF(AND('Planning Sheet'!DL230='Weeks Plan'!$D$6,'Planning Sheet'!DF230='Weeks Plan'!$G$6),'Planning Sheet'!$B230,"")</f>
        <v/>
      </c>
      <c r="Z5165" s="48" t="str">
        <f ca="1">IF(AND('Planning Sheet'!DL230='Weeks Plan'!$D$6,'Planning Sheet'!DF230='Weeks Plan'!$G$6),'Planning Sheet'!$DG230,"")</f>
        <v/>
      </c>
      <c r="AA5165" s="48" t="str">
        <f ca="1">IF(AND('Planning Sheet'!DL230='Weeks Plan'!$D$6,'Planning Sheet'!DF230='Weeks Plan'!$G$6),'Planning Sheet'!$DH230,"")</f>
        <v/>
      </c>
    </row>
    <row r="5166" spans="25:27" x14ac:dyDescent="0.3">
      <c r="Y5166" s="48" t="str">
        <f ca="1">IF(AND('Planning Sheet'!DL231='Weeks Plan'!$D$6,'Planning Sheet'!DF231='Weeks Plan'!$G$6),'Planning Sheet'!$B231,"")</f>
        <v/>
      </c>
      <c r="Z5166" s="48" t="str">
        <f ca="1">IF(AND('Planning Sheet'!DL231='Weeks Plan'!$D$6,'Planning Sheet'!DF231='Weeks Plan'!$G$6),'Planning Sheet'!$DG231,"")</f>
        <v/>
      </c>
      <c r="AA5166" s="48" t="str">
        <f ca="1">IF(AND('Planning Sheet'!DL231='Weeks Plan'!$D$6,'Planning Sheet'!DF231='Weeks Plan'!$G$6),'Planning Sheet'!$DH231,"")</f>
        <v/>
      </c>
    </row>
    <row r="5167" spans="25:27" x14ac:dyDescent="0.3">
      <c r="Y5167" s="48" t="str">
        <f ca="1">IF(AND('Planning Sheet'!DL232='Weeks Plan'!$D$6,'Planning Sheet'!DF232='Weeks Plan'!$G$6),'Planning Sheet'!$B232,"")</f>
        <v/>
      </c>
      <c r="Z5167" s="48" t="str">
        <f ca="1">IF(AND('Planning Sheet'!DL232='Weeks Plan'!$D$6,'Planning Sheet'!DF232='Weeks Plan'!$G$6),'Planning Sheet'!$DG232,"")</f>
        <v/>
      </c>
      <c r="AA5167" s="48" t="str">
        <f ca="1">IF(AND('Planning Sheet'!DL232='Weeks Plan'!$D$6,'Planning Sheet'!DF232='Weeks Plan'!$G$6),'Planning Sheet'!$DH232,"")</f>
        <v/>
      </c>
    </row>
    <row r="5168" spans="25:27" x14ac:dyDescent="0.3">
      <c r="Y5168" s="48" t="str">
        <f ca="1">IF(AND('Planning Sheet'!DL233='Weeks Plan'!$D$6,'Planning Sheet'!DF233='Weeks Plan'!$G$6),'Planning Sheet'!$B233,"")</f>
        <v/>
      </c>
      <c r="Z5168" s="48" t="str">
        <f ca="1">IF(AND('Planning Sheet'!DL233='Weeks Plan'!$D$6,'Planning Sheet'!DF233='Weeks Plan'!$G$6),'Planning Sheet'!$DG233,"")</f>
        <v/>
      </c>
      <c r="AA5168" s="48" t="str">
        <f ca="1">IF(AND('Planning Sheet'!DL233='Weeks Plan'!$D$6,'Planning Sheet'!DF233='Weeks Plan'!$G$6),'Planning Sheet'!$DH233,"")</f>
        <v/>
      </c>
    </row>
    <row r="5169" spans="25:27" x14ac:dyDescent="0.3">
      <c r="Y5169" s="48" t="str">
        <f ca="1">IF(AND('Planning Sheet'!DL234='Weeks Plan'!$D$6,'Planning Sheet'!DF234='Weeks Plan'!$G$6),'Planning Sheet'!$B234,"")</f>
        <v/>
      </c>
      <c r="Z5169" s="48" t="str">
        <f ca="1">IF(AND('Planning Sheet'!DL234='Weeks Plan'!$D$6,'Planning Sheet'!DF234='Weeks Plan'!$G$6),'Planning Sheet'!$DG234,"")</f>
        <v/>
      </c>
      <c r="AA5169" s="48" t="str">
        <f ca="1">IF(AND('Planning Sheet'!DL234='Weeks Plan'!$D$6,'Planning Sheet'!DF234='Weeks Plan'!$G$6),'Planning Sheet'!$DH234,"")</f>
        <v/>
      </c>
    </row>
    <row r="5170" spans="25:27" x14ac:dyDescent="0.3">
      <c r="Y5170" s="48" t="str">
        <f ca="1">IF(AND('Planning Sheet'!DL235='Weeks Plan'!$D$6,'Planning Sheet'!DF235='Weeks Plan'!$G$6),'Planning Sheet'!$B235,"")</f>
        <v/>
      </c>
      <c r="Z5170" s="48" t="str">
        <f ca="1">IF(AND('Planning Sheet'!DL235='Weeks Plan'!$D$6,'Planning Sheet'!DF235='Weeks Plan'!$G$6),'Planning Sheet'!$DG235,"")</f>
        <v/>
      </c>
      <c r="AA5170" s="48" t="str">
        <f ca="1">IF(AND('Planning Sheet'!DL235='Weeks Plan'!$D$6,'Planning Sheet'!DF235='Weeks Plan'!$G$6),'Planning Sheet'!$DH235,"")</f>
        <v/>
      </c>
    </row>
    <row r="5171" spans="25:27" x14ac:dyDescent="0.3">
      <c r="Y5171" s="48" t="str">
        <f ca="1">IF(AND('Planning Sheet'!DL236='Weeks Plan'!$D$6,'Planning Sheet'!DF236='Weeks Plan'!$G$6),'Planning Sheet'!$B236,"")</f>
        <v/>
      </c>
      <c r="Z5171" s="48" t="str">
        <f ca="1">IF(AND('Planning Sheet'!DL236='Weeks Plan'!$D$6,'Planning Sheet'!DF236='Weeks Plan'!$G$6),'Planning Sheet'!$DG236,"")</f>
        <v/>
      </c>
      <c r="AA5171" s="48" t="str">
        <f ca="1">IF(AND('Planning Sheet'!DL236='Weeks Plan'!$D$6,'Planning Sheet'!DF236='Weeks Plan'!$G$6),'Planning Sheet'!$DH236,"")</f>
        <v/>
      </c>
    </row>
    <row r="5172" spans="25:27" x14ac:dyDescent="0.3">
      <c r="Y5172" s="48" t="str">
        <f ca="1">IF(AND('Planning Sheet'!DL237='Weeks Plan'!$D$6,'Planning Sheet'!DF237='Weeks Plan'!$G$6),'Planning Sheet'!$B237,"")</f>
        <v/>
      </c>
      <c r="Z5172" s="48" t="str">
        <f ca="1">IF(AND('Planning Sheet'!DL237='Weeks Plan'!$D$6,'Planning Sheet'!DF237='Weeks Plan'!$G$6),'Planning Sheet'!$DG237,"")</f>
        <v/>
      </c>
      <c r="AA5172" s="48" t="str">
        <f ca="1">IF(AND('Planning Sheet'!DL237='Weeks Plan'!$D$6,'Planning Sheet'!DF237='Weeks Plan'!$G$6),'Planning Sheet'!$DH237,"")</f>
        <v/>
      </c>
    </row>
    <row r="5173" spans="25:27" x14ac:dyDescent="0.3">
      <c r="Y5173" s="48" t="str">
        <f ca="1">IF(AND('Planning Sheet'!DL238='Weeks Plan'!$D$6,'Planning Sheet'!DF238='Weeks Plan'!$G$6),'Planning Sheet'!$B238,"")</f>
        <v/>
      </c>
      <c r="Z5173" s="48" t="str">
        <f ca="1">IF(AND('Planning Sheet'!DL238='Weeks Plan'!$D$6,'Planning Sheet'!DF238='Weeks Plan'!$G$6),'Planning Sheet'!$DG238,"")</f>
        <v/>
      </c>
      <c r="AA5173" s="48" t="str">
        <f ca="1">IF(AND('Planning Sheet'!DL238='Weeks Plan'!$D$6,'Planning Sheet'!DF238='Weeks Plan'!$G$6),'Planning Sheet'!$DH238,"")</f>
        <v/>
      </c>
    </row>
    <row r="5174" spans="25:27" x14ac:dyDescent="0.3">
      <c r="Y5174" s="48" t="str">
        <f ca="1">IF(AND('Planning Sheet'!DL239='Weeks Plan'!$D$6,'Planning Sheet'!DF239='Weeks Plan'!$G$6),'Planning Sheet'!$B239,"")</f>
        <v/>
      </c>
      <c r="Z5174" s="48" t="str">
        <f ca="1">IF(AND('Planning Sheet'!DL239='Weeks Plan'!$D$6,'Planning Sheet'!DF239='Weeks Plan'!$G$6),'Planning Sheet'!$DG239,"")</f>
        <v/>
      </c>
      <c r="AA5174" s="48" t="str">
        <f ca="1">IF(AND('Planning Sheet'!DL239='Weeks Plan'!$D$6,'Planning Sheet'!DF239='Weeks Plan'!$G$6),'Planning Sheet'!$DH239,"")</f>
        <v/>
      </c>
    </row>
    <row r="5175" spans="25:27" x14ac:dyDescent="0.3">
      <c r="Y5175" s="48" t="str">
        <f ca="1">IF(AND('Planning Sheet'!DL240='Weeks Plan'!$D$6,'Planning Sheet'!DF240='Weeks Plan'!$G$6),'Planning Sheet'!$B240,"")</f>
        <v/>
      </c>
      <c r="Z5175" s="48" t="str">
        <f ca="1">IF(AND('Planning Sheet'!DL240='Weeks Plan'!$D$6,'Planning Sheet'!DF240='Weeks Plan'!$G$6),'Planning Sheet'!$DG240,"")</f>
        <v/>
      </c>
      <c r="AA5175" s="48" t="str">
        <f ca="1">IF(AND('Planning Sheet'!DL240='Weeks Plan'!$D$6,'Planning Sheet'!DF240='Weeks Plan'!$G$6),'Planning Sheet'!$DH240,"")</f>
        <v/>
      </c>
    </row>
    <row r="5176" spans="25:27" x14ac:dyDescent="0.3">
      <c r="Y5176" s="48" t="str">
        <f ca="1">IF(AND('Planning Sheet'!DL241='Weeks Plan'!$D$6,'Planning Sheet'!DF241='Weeks Plan'!$G$6),'Planning Sheet'!$B241,"")</f>
        <v/>
      </c>
      <c r="Z5176" s="48" t="str">
        <f ca="1">IF(AND('Planning Sheet'!DL241='Weeks Plan'!$D$6,'Planning Sheet'!DF241='Weeks Plan'!$G$6),'Planning Sheet'!$DG241,"")</f>
        <v/>
      </c>
      <c r="AA5176" s="48" t="str">
        <f ca="1">IF(AND('Planning Sheet'!DL241='Weeks Plan'!$D$6,'Planning Sheet'!DF241='Weeks Plan'!$G$6),'Planning Sheet'!$DH241,"")</f>
        <v/>
      </c>
    </row>
    <row r="5177" spans="25:27" x14ac:dyDescent="0.3">
      <c r="Y5177" s="48" t="str">
        <f ca="1">IF(AND('Planning Sheet'!DL242='Weeks Plan'!$D$6,'Planning Sheet'!DF242='Weeks Plan'!$G$6),'Planning Sheet'!$B242,"")</f>
        <v/>
      </c>
      <c r="Z5177" s="48" t="str">
        <f ca="1">IF(AND('Planning Sheet'!DL242='Weeks Plan'!$D$6,'Planning Sheet'!DF242='Weeks Plan'!$G$6),'Planning Sheet'!$DG242,"")</f>
        <v/>
      </c>
      <c r="AA5177" s="48" t="str">
        <f ca="1">IF(AND('Planning Sheet'!DL242='Weeks Plan'!$D$6,'Planning Sheet'!DF242='Weeks Plan'!$G$6),'Planning Sheet'!$DH242,"")</f>
        <v/>
      </c>
    </row>
    <row r="5178" spans="25:27" x14ac:dyDescent="0.3">
      <c r="Y5178" s="48" t="str">
        <f ca="1">IF(AND('Planning Sheet'!DL243='Weeks Plan'!$D$6,'Planning Sheet'!DF243='Weeks Plan'!$G$6),'Planning Sheet'!$B243,"")</f>
        <v/>
      </c>
      <c r="Z5178" s="48" t="str">
        <f ca="1">IF(AND('Planning Sheet'!DL243='Weeks Plan'!$D$6,'Planning Sheet'!DF243='Weeks Plan'!$G$6),'Planning Sheet'!$DG243,"")</f>
        <v/>
      </c>
      <c r="AA5178" s="48" t="str">
        <f ca="1">IF(AND('Planning Sheet'!DL243='Weeks Plan'!$D$6,'Planning Sheet'!DF243='Weeks Plan'!$G$6),'Planning Sheet'!$DH243,"")</f>
        <v/>
      </c>
    </row>
    <row r="5179" spans="25:27" x14ac:dyDescent="0.3">
      <c r="Y5179" s="48" t="str">
        <f ca="1">IF(AND('Planning Sheet'!DL244='Weeks Plan'!$D$6,'Planning Sheet'!DF244='Weeks Plan'!$G$6),'Planning Sheet'!$B244,"")</f>
        <v/>
      </c>
      <c r="Z5179" s="48" t="str">
        <f ca="1">IF(AND('Planning Sheet'!DL244='Weeks Plan'!$D$6,'Planning Sheet'!DF244='Weeks Plan'!$G$6),'Planning Sheet'!$DG244,"")</f>
        <v/>
      </c>
      <c r="AA5179" s="48" t="str">
        <f ca="1">IF(AND('Planning Sheet'!DL244='Weeks Plan'!$D$6,'Planning Sheet'!DF244='Weeks Plan'!$G$6),'Planning Sheet'!$DH244,"")</f>
        <v/>
      </c>
    </row>
    <row r="5180" spans="25:27" x14ac:dyDescent="0.3">
      <c r="Y5180" s="48" t="str">
        <f ca="1">IF(AND('Planning Sheet'!DL245='Weeks Plan'!$D$6,'Planning Sheet'!DF245='Weeks Plan'!$G$6),'Planning Sheet'!$B245,"")</f>
        <v/>
      </c>
      <c r="Z5180" s="48" t="str">
        <f ca="1">IF(AND('Planning Sheet'!DL245='Weeks Plan'!$D$6,'Planning Sheet'!DF245='Weeks Plan'!$G$6),'Planning Sheet'!$DG245,"")</f>
        <v/>
      </c>
      <c r="AA5180" s="48" t="str">
        <f ca="1">IF(AND('Planning Sheet'!DL245='Weeks Plan'!$D$6,'Planning Sheet'!DF245='Weeks Plan'!$G$6),'Planning Sheet'!$DH245,"")</f>
        <v/>
      </c>
    </row>
    <row r="5181" spans="25:27" x14ac:dyDescent="0.3">
      <c r="Y5181" s="48" t="str">
        <f ca="1">IF(AND('Planning Sheet'!DL246='Weeks Plan'!$D$6,'Planning Sheet'!DF246='Weeks Plan'!$G$6),'Planning Sheet'!$B246,"")</f>
        <v/>
      </c>
      <c r="Z5181" s="48" t="str">
        <f ca="1">IF(AND('Planning Sheet'!DL246='Weeks Plan'!$D$6,'Planning Sheet'!DF246='Weeks Plan'!$G$6),'Planning Sheet'!$DG246,"")</f>
        <v/>
      </c>
      <c r="AA5181" s="48" t="str">
        <f ca="1">IF(AND('Planning Sheet'!DL246='Weeks Plan'!$D$6,'Planning Sheet'!DF246='Weeks Plan'!$G$6),'Planning Sheet'!$DH246,"")</f>
        <v/>
      </c>
    </row>
    <row r="5182" spans="25:27" x14ac:dyDescent="0.3">
      <c r="Y5182" s="48" t="str">
        <f ca="1">IF(AND('Planning Sheet'!DL247='Weeks Plan'!$D$6,'Planning Sheet'!DF247='Weeks Plan'!$G$6),'Planning Sheet'!$B247,"")</f>
        <v/>
      </c>
      <c r="Z5182" s="48" t="str">
        <f ca="1">IF(AND('Planning Sheet'!DL247='Weeks Plan'!$D$6,'Planning Sheet'!DF247='Weeks Plan'!$G$6),'Planning Sheet'!$DG247,"")</f>
        <v/>
      </c>
      <c r="AA5182" s="48" t="str">
        <f ca="1">IF(AND('Planning Sheet'!DL247='Weeks Plan'!$D$6,'Planning Sheet'!DF247='Weeks Plan'!$G$6),'Planning Sheet'!$DH247,"")</f>
        <v/>
      </c>
    </row>
    <row r="5183" spans="25:27" x14ac:dyDescent="0.3">
      <c r="Y5183" s="48" t="str">
        <f ca="1">IF(AND('Planning Sheet'!DL248='Weeks Plan'!$D$6,'Planning Sheet'!DF248='Weeks Plan'!$G$6),'Planning Sheet'!$B248,"")</f>
        <v/>
      </c>
      <c r="Z5183" s="48" t="str">
        <f ca="1">IF(AND('Planning Sheet'!DL248='Weeks Plan'!$D$6,'Planning Sheet'!DF248='Weeks Plan'!$G$6),'Planning Sheet'!$DG248,"")</f>
        <v/>
      </c>
      <c r="AA5183" s="48" t="str">
        <f ca="1">IF(AND('Planning Sheet'!DL248='Weeks Plan'!$D$6,'Planning Sheet'!DF248='Weeks Plan'!$G$6),'Planning Sheet'!$DH248,"")</f>
        <v/>
      </c>
    </row>
    <row r="5184" spans="25:27" x14ac:dyDescent="0.3">
      <c r="Y5184" s="48" t="str">
        <f ca="1">IF(AND('Planning Sheet'!DL249='Weeks Plan'!$D$6,'Planning Sheet'!DF249='Weeks Plan'!$G$6),'Planning Sheet'!$B249,"")</f>
        <v/>
      </c>
      <c r="Z5184" s="48" t="str">
        <f ca="1">IF(AND('Planning Sheet'!DL249='Weeks Plan'!$D$6,'Planning Sheet'!DF249='Weeks Plan'!$G$6),'Planning Sheet'!$DG249,"")</f>
        <v/>
      </c>
      <c r="AA5184" s="48" t="str">
        <f ca="1">IF(AND('Planning Sheet'!DL249='Weeks Plan'!$D$6,'Planning Sheet'!DF249='Weeks Plan'!$G$6),'Planning Sheet'!$DH249,"")</f>
        <v/>
      </c>
    </row>
    <row r="5185" spans="25:27" x14ac:dyDescent="0.3">
      <c r="Y5185" s="48" t="str">
        <f ca="1">IF(AND('Planning Sheet'!DL250='Weeks Plan'!$D$6,'Planning Sheet'!DF250='Weeks Plan'!$G$6),'Planning Sheet'!$B250,"")</f>
        <v/>
      </c>
      <c r="Z5185" s="48" t="str">
        <f ca="1">IF(AND('Planning Sheet'!DL250='Weeks Plan'!$D$6,'Planning Sheet'!DF250='Weeks Plan'!$G$6),'Planning Sheet'!$DG250,"")</f>
        <v/>
      </c>
      <c r="AA5185" s="48" t="str">
        <f ca="1">IF(AND('Planning Sheet'!DL250='Weeks Plan'!$D$6,'Planning Sheet'!DF250='Weeks Plan'!$G$6),'Planning Sheet'!$DH250,"")</f>
        <v/>
      </c>
    </row>
    <row r="5186" spans="25:27" x14ac:dyDescent="0.3">
      <c r="Y5186" s="48" t="str">
        <f ca="1">IF(AND('Planning Sheet'!DL251='Weeks Plan'!$D$6,'Planning Sheet'!DF251='Weeks Plan'!$G$6),'Planning Sheet'!$B251,"")</f>
        <v/>
      </c>
      <c r="Z5186" s="48" t="str">
        <f ca="1">IF(AND('Planning Sheet'!DL251='Weeks Plan'!$D$6,'Planning Sheet'!DF251='Weeks Plan'!$G$6),'Planning Sheet'!$DG251,"")</f>
        <v/>
      </c>
      <c r="AA5186" s="48" t="str">
        <f ca="1">IF(AND('Planning Sheet'!DL251='Weeks Plan'!$D$6,'Planning Sheet'!DF251='Weeks Plan'!$G$6),'Planning Sheet'!$DH251,"")</f>
        <v/>
      </c>
    </row>
    <row r="5187" spans="25:27" x14ac:dyDescent="0.3">
      <c r="Y5187" s="48" t="str">
        <f ca="1">IF(AND('Planning Sheet'!DL252='Weeks Plan'!$D$6,'Planning Sheet'!DF252='Weeks Plan'!$G$6),'Planning Sheet'!$B252,"")</f>
        <v/>
      </c>
      <c r="Z5187" s="48" t="str">
        <f ca="1">IF(AND('Planning Sheet'!DL252='Weeks Plan'!$D$6,'Planning Sheet'!DF252='Weeks Plan'!$G$6),'Planning Sheet'!$DG252,"")</f>
        <v/>
      </c>
      <c r="AA5187" s="48" t="str">
        <f ca="1">IF(AND('Planning Sheet'!DL252='Weeks Plan'!$D$6,'Planning Sheet'!DF252='Weeks Plan'!$G$6),'Planning Sheet'!$DH252,"")</f>
        <v/>
      </c>
    </row>
    <row r="5188" spans="25:27" x14ac:dyDescent="0.3">
      <c r="Y5188" s="48" t="str">
        <f ca="1">IF(AND('Planning Sheet'!DL253='Weeks Plan'!$D$6,'Planning Sheet'!DF253='Weeks Plan'!$G$6),'Planning Sheet'!$B253,"")</f>
        <v/>
      </c>
      <c r="Z5188" s="48" t="str">
        <f ca="1">IF(AND('Planning Sheet'!DL253='Weeks Plan'!$D$6,'Planning Sheet'!DF253='Weeks Plan'!$G$6),'Planning Sheet'!$DG253,"")</f>
        <v/>
      </c>
      <c r="AA5188" s="48" t="str">
        <f ca="1">IF(AND('Planning Sheet'!DL253='Weeks Plan'!$D$6,'Planning Sheet'!DF253='Weeks Plan'!$G$6),'Planning Sheet'!$DH253,"")</f>
        <v/>
      </c>
    </row>
    <row r="5189" spans="25:27" x14ac:dyDescent="0.3">
      <c r="Y5189" s="48" t="str">
        <f ca="1">IF(AND('Planning Sheet'!DL254='Weeks Plan'!$D$6,'Planning Sheet'!DF254='Weeks Plan'!$G$6),'Planning Sheet'!$B254,"")</f>
        <v/>
      </c>
      <c r="Z5189" s="48" t="str">
        <f ca="1">IF(AND('Planning Sheet'!DL254='Weeks Plan'!$D$6,'Planning Sheet'!DF254='Weeks Plan'!$G$6),'Planning Sheet'!$DG254,"")</f>
        <v/>
      </c>
      <c r="AA5189" s="48" t="str">
        <f ca="1">IF(AND('Planning Sheet'!DL254='Weeks Plan'!$D$6,'Planning Sheet'!DF254='Weeks Plan'!$G$6),'Planning Sheet'!$DH254,"")</f>
        <v/>
      </c>
    </row>
    <row r="5190" spans="25:27" x14ac:dyDescent="0.3">
      <c r="Y5190" s="48" t="str">
        <f ca="1">IF(AND('Planning Sheet'!DL255='Weeks Plan'!$D$6,'Planning Sheet'!DF255='Weeks Plan'!$G$6),'Planning Sheet'!$B255,"")</f>
        <v/>
      </c>
      <c r="Z5190" s="48" t="str">
        <f ca="1">IF(AND('Planning Sheet'!DL255='Weeks Plan'!$D$6,'Planning Sheet'!DF255='Weeks Plan'!$G$6),'Planning Sheet'!$DG255,"")</f>
        <v/>
      </c>
      <c r="AA5190" s="48" t="str">
        <f ca="1">IF(AND('Planning Sheet'!DL255='Weeks Plan'!$D$6,'Planning Sheet'!DF255='Weeks Plan'!$G$6),'Planning Sheet'!$DH255,"")</f>
        <v/>
      </c>
    </row>
    <row r="5191" spans="25:27" x14ac:dyDescent="0.3">
      <c r="Y5191" s="48" t="str">
        <f ca="1">IF(AND('Planning Sheet'!DL256='Weeks Plan'!$D$6,'Planning Sheet'!DF256='Weeks Plan'!$G$6),'Planning Sheet'!$B256,"")</f>
        <v/>
      </c>
      <c r="Z5191" s="48" t="str">
        <f ca="1">IF(AND('Planning Sheet'!DL256='Weeks Plan'!$D$6,'Planning Sheet'!DF256='Weeks Plan'!$G$6),'Planning Sheet'!$DG256,"")</f>
        <v/>
      </c>
      <c r="AA5191" s="48" t="str">
        <f ca="1">IF(AND('Planning Sheet'!DL256='Weeks Plan'!$D$6,'Planning Sheet'!DF256='Weeks Plan'!$G$6),'Planning Sheet'!$DH256,"")</f>
        <v/>
      </c>
    </row>
    <row r="5192" spans="25:27" x14ac:dyDescent="0.3">
      <c r="Y5192" s="48" t="str">
        <f ca="1">IF(AND('Planning Sheet'!DL257='Weeks Plan'!$D$6,'Planning Sheet'!DF257='Weeks Plan'!$G$6),'Planning Sheet'!$B257,"")</f>
        <v/>
      </c>
      <c r="Z5192" s="48" t="str">
        <f ca="1">IF(AND('Planning Sheet'!DL257='Weeks Plan'!$D$6,'Planning Sheet'!DF257='Weeks Plan'!$G$6),'Planning Sheet'!$DG257,"")</f>
        <v/>
      </c>
      <c r="AA5192" s="48" t="str">
        <f ca="1">IF(AND('Planning Sheet'!DL257='Weeks Plan'!$D$6,'Planning Sheet'!DF257='Weeks Plan'!$G$6),'Planning Sheet'!$DH257,"")</f>
        <v/>
      </c>
    </row>
    <row r="5193" spans="25:27" x14ac:dyDescent="0.3">
      <c r="Y5193" s="48" t="str">
        <f ca="1">IF(AND('Planning Sheet'!DL258='Weeks Plan'!$D$6,'Planning Sheet'!DF258='Weeks Plan'!$G$6),'Planning Sheet'!$B258,"")</f>
        <v/>
      </c>
      <c r="Z5193" s="48" t="str">
        <f ca="1">IF(AND('Planning Sheet'!DL258='Weeks Plan'!$D$6,'Planning Sheet'!DF258='Weeks Plan'!$G$6),'Planning Sheet'!$DG258,"")</f>
        <v/>
      </c>
      <c r="AA5193" s="48" t="str">
        <f ca="1">IF(AND('Planning Sheet'!DL258='Weeks Plan'!$D$6,'Planning Sheet'!DF258='Weeks Plan'!$G$6),'Planning Sheet'!$DH258,"")</f>
        <v/>
      </c>
    </row>
    <row r="5194" spans="25:27" x14ac:dyDescent="0.3">
      <c r="Y5194" s="48" t="str">
        <f ca="1">IF(AND('Planning Sheet'!DL259='Weeks Plan'!$D$6,'Planning Sheet'!DF259='Weeks Plan'!$G$6),'Planning Sheet'!$B259,"")</f>
        <v/>
      </c>
      <c r="Z5194" s="48" t="str">
        <f ca="1">IF(AND('Planning Sheet'!DL259='Weeks Plan'!$D$6,'Planning Sheet'!DF259='Weeks Plan'!$G$6),'Planning Sheet'!$DG259,"")</f>
        <v/>
      </c>
      <c r="AA5194" s="48" t="str">
        <f ca="1">IF(AND('Planning Sheet'!DL259='Weeks Plan'!$D$6,'Planning Sheet'!DF259='Weeks Plan'!$G$6),'Planning Sheet'!$DH259,"")</f>
        <v/>
      </c>
    </row>
    <row r="5195" spans="25:27" x14ac:dyDescent="0.3">
      <c r="Y5195" s="48" t="str">
        <f ca="1">IF(AND('Planning Sheet'!DL260='Weeks Plan'!$D$6,'Planning Sheet'!DF260='Weeks Plan'!$G$6),'Planning Sheet'!$B260,"")</f>
        <v/>
      </c>
      <c r="Z5195" s="48" t="str">
        <f ca="1">IF(AND('Planning Sheet'!DL260='Weeks Plan'!$D$6,'Planning Sheet'!DF260='Weeks Plan'!$G$6),'Planning Sheet'!$DG260,"")</f>
        <v/>
      </c>
      <c r="AA5195" s="48" t="str">
        <f ca="1">IF(AND('Planning Sheet'!DL260='Weeks Plan'!$D$6,'Planning Sheet'!DF260='Weeks Plan'!$G$6),'Planning Sheet'!$DH260,"")</f>
        <v/>
      </c>
    </row>
    <row r="5196" spans="25:27" x14ac:dyDescent="0.3">
      <c r="Y5196" s="48" t="str">
        <f ca="1">IF(AND('Planning Sheet'!DL261='Weeks Plan'!$D$6,'Planning Sheet'!DF261='Weeks Plan'!$G$6),'Planning Sheet'!$B261,"")</f>
        <v/>
      </c>
      <c r="Z5196" s="48" t="str">
        <f ca="1">IF(AND('Planning Sheet'!DL261='Weeks Plan'!$D$6,'Planning Sheet'!DF261='Weeks Plan'!$G$6),'Planning Sheet'!$DG261,"")</f>
        <v/>
      </c>
      <c r="AA5196" s="48" t="str">
        <f ca="1">IF(AND('Planning Sheet'!DL261='Weeks Plan'!$D$6,'Planning Sheet'!DF261='Weeks Plan'!$G$6),'Planning Sheet'!$DH261,"")</f>
        <v/>
      </c>
    </row>
    <row r="5197" spans="25:27" x14ac:dyDescent="0.3">
      <c r="Y5197" s="48" t="str">
        <f ca="1">IF(AND('Planning Sheet'!DL262='Weeks Plan'!$D$6,'Planning Sheet'!DF262='Weeks Plan'!$G$6),'Planning Sheet'!$B262,"")</f>
        <v/>
      </c>
      <c r="Z5197" s="48" t="str">
        <f ca="1">IF(AND('Planning Sheet'!DL262='Weeks Plan'!$D$6,'Planning Sheet'!DF262='Weeks Plan'!$G$6),'Planning Sheet'!$DG262,"")</f>
        <v/>
      </c>
      <c r="AA5197" s="48" t="str">
        <f ca="1">IF(AND('Planning Sheet'!DL262='Weeks Plan'!$D$6,'Planning Sheet'!DF262='Weeks Plan'!$G$6),'Planning Sheet'!$DH262,"")</f>
        <v/>
      </c>
    </row>
    <row r="5198" spans="25:27" x14ac:dyDescent="0.3">
      <c r="Y5198" s="48" t="str">
        <f ca="1">IF(AND('Planning Sheet'!DL263='Weeks Plan'!$D$6,'Planning Sheet'!DF263='Weeks Plan'!$G$6),'Planning Sheet'!$B263,"")</f>
        <v/>
      </c>
      <c r="Z5198" s="48" t="str">
        <f ca="1">IF(AND('Planning Sheet'!DL263='Weeks Plan'!$D$6,'Planning Sheet'!DF263='Weeks Plan'!$G$6),'Planning Sheet'!$DG263,"")</f>
        <v/>
      </c>
      <c r="AA5198" s="48" t="str">
        <f ca="1">IF(AND('Planning Sheet'!DL263='Weeks Plan'!$D$6,'Planning Sheet'!DF263='Weeks Plan'!$G$6),'Planning Sheet'!$DH263,"")</f>
        <v/>
      </c>
    </row>
    <row r="5199" spans="25:27" x14ac:dyDescent="0.3">
      <c r="Y5199" s="48" t="str">
        <f ca="1">IF(AND('Planning Sheet'!DL264='Weeks Plan'!$D$6,'Planning Sheet'!DF264='Weeks Plan'!$G$6),'Planning Sheet'!$B264,"")</f>
        <v/>
      </c>
      <c r="Z5199" s="48" t="str">
        <f ca="1">IF(AND('Planning Sheet'!DL264='Weeks Plan'!$D$6,'Planning Sheet'!DF264='Weeks Plan'!$G$6),'Planning Sheet'!$DG264,"")</f>
        <v/>
      </c>
      <c r="AA5199" s="48" t="str">
        <f ca="1">IF(AND('Planning Sheet'!DL264='Weeks Plan'!$D$6,'Planning Sheet'!DF264='Weeks Plan'!$G$6),'Planning Sheet'!$DH264,"")</f>
        <v/>
      </c>
    </row>
    <row r="5200" spans="25:27" x14ac:dyDescent="0.3">
      <c r="Y5200" s="48" t="str">
        <f ca="1">IF(AND('Planning Sheet'!DL265='Weeks Plan'!$D$6,'Planning Sheet'!DF265='Weeks Plan'!$G$6),'Planning Sheet'!$B265,"")</f>
        <v/>
      </c>
      <c r="Z5200" s="48" t="str">
        <f ca="1">IF(AND('Planning Sheet'!DL265='Weeks Plan'!$D$6,'Planning Sheet'!DF265='Weeks Plan'!$G$6),'Planning Sheet'!$DG265,"")</f>
        <v/>
      </c>
      <c r="AA5200" s="48" t="str">
        <f ca="1">IF(AND('Planning Sheet'!DL265='Weeks Plan'!$D$6,'Planning Sheet'!DF265='Weeks Plan'!$G$6),'Planning Sheet'!$DH265,"")</f>
        <v/>
      </c>
    </row>
    <row r="5201" spans="25:27" x14ac:dyDescent="0.3">
      <c r="Y5201" s="48" t="str">
        <f ca="1">IF(AND('Planning Sheet'!DL266='Weeks Plan'!$D$6,'Planning Sheet'!DF266='Weeks Plan'!$G$6),'Planning Sheet'!$B266,"")</f>
        <v/>
      </c>
      <c r="Z5201" s="48" t="str">
        <f ca="1">IF(AND('Planning Sheet'!DL266='Weeks Plan'!$D$6,'Planning Sheet'!DF266='Weeks Plan'!$G$6),'Planning Sheet'!$DG266,"")</f>
        <v/>
      </c>
      <c r="AA5201" s="48" t="str">
        <f ca="1">IF(AND('Planning Sheet'!DL266='Weeks Plan'!$D$6,'Planning Sheet'!DF266='Weeks Plan'!$G$6),'Planning Sheet'!$DH266,"")</f>
        <v/>
      </c>
    </row>
    <row r="5202" spans="25:27" x14ac:dyDescent="0.3">
      <c r="Y5202" s="48" t="str">
        <f ca="1">IF(AND('Planning Sheet'!DL267='Weeks Plan'!$D$6,'Planning Sheet'!DF267='Weeks Plan'!$G$6),'Planning Sheet'!$B267,"")</f>
        <v/>
      </c>
      <c r="Z5202" s="48" t="str">
        <f ca="1">IF(AND('Planning Sheet'!DL267='Weeks Plan'!$D$6,'Planning Sheet'!DF267='Weeks Plan'!$G$6),'Planning Sheet'!$DG267,"")</f>
        <v/>
      </c>
      <c r="AA5202" s="48" t="str">
        <f ca="1">IF(AND('Planning Sheet'!DL267='Weeks Plan'!$D$6,'Planning Sheet'!DF267='Weeks Plan'!$G$6),'Planning Sheet'!$DH267,"")</f>
        <v/>
      </c>
    </row>
    <row r="5203" spans="25:27" x14ac:dyDescent="0.3">
      <c r="Y5203" s="48" t="str">
        <f ca="1">IF(AND('Planning Sheet'!DL268='Weeks Plan'!$D$6,'Planning Sheet'!DF268='Weeks Plan'!$G$6),'Planning Sheet'!$B268,"")</f>
        <v/>
      </c>
      <c r="Z5203" s="48" t="str">
        <f ca="1">IF(AND('Planning Sheet'!DL268='Weeks Plan'!$D$6,'Planning Sheet'!DF268='Weeks Plan'!$G$6),'Planning Sheet'!$DG268,"")</f>
        <v/>
      </c>
      <c r="AA5203" s="48" t="str">
        <f ca="1">IF(AND('Planning Sheet'!DL268='Weeks Plan'!$D$6,'Planning Sheet'!DF268='Weeks Plan'!$G$6),'Planning Sheet'!$DH268,"")</f>
        <v/>
      </c>
    </row>
    <row r="5204" spans="25:27" x14ac:dyDescent="0.3">
      <c r="Y5204" s="48" t="str">
        <f ca="1">IF(AND('Planning Sheet'!DL269='Weeks Plan'!$D$6,'Planning Sheet'!DF269='Weeks Plan'!$G$6),'Planning Sheet'!$B269,"")</f>
        <v/>
      </c>
      <c r="Z5204" s="48" t="str">
        <f ca="1">IF(AND('Planning Sheet'!DL269='Weeks Plan'!$D$6,'Planning Sheet'!DF269='Weeks Plan'!$G$6),'Planning Sheet'!$DG269,"")</f>
        <v/>
      </c>
      <c r="AA5204" s="48" t="str">
        <f ca="1">IF(AND('Planning Sheet'!DL269='Weeks Plan'!$D$6,'Planning Sheet'!DF269='Weeks Plan'!$G$6),'Planning Sheet'!$DH269,"")</f>
        <v/>
      </c>
    </row>
    <row r="5205" spans="25:27" x14ac:dyDescent="0.3">
      <c r="Y5205" s="48" t="str">
        <f ca="1">IF(AND('Planning Sheet'!DL270='Weeks Plan'!$D$6,'Planning Sheet'!DF270='Weeks Plan'!$G$6),'Planning Sheet'!$B270,"")</f>
        <v/>
      </c>
      <c r="Z5205" s="48" t="str">
        <f ca="1">IF(AND('Planning Sheet'!DL270='Weeks Plan'!$D$6,'Planning Sheet'!DF270='Weeks Plan'!$G$6),'Planning Sheet'!$DG270,"")</f>
        <v/>
      </c>
      <c r="AA5205" s="48" t="str">
        <f ca="1">IF(AND('Planning Sheet'!DL270='Weeks Plan'!$D$6,'Planning Sheet'!DF270='Weeks Plan'!$G$6),'Planning Sheet'!$DH270,"")</f>
        <v/>
      </c>
    </row>
    <row r="5206" spans="25:27" x14ac:dyDescent="0.3">
      <c r="Y5206" s="48" t="str">
        <f ca="1">IF(AND('Planning Sheet'!DL271='Weeks Plan'!$D$6,'Planning Sheet'!DF271='Weeks Plan'!$G$6),'Planning Sheet'!$B271,"")</f>
        <v/>
      </c>
      <c r="Z5206" s="48" t="str">
        <f ca="1">IF(AND('Planning Sheet'!DL271='Weeks Plan'!$D$6,'Planning Sheet'!DF271='Weeks Plan'!$G$6),'Planning Sheet'!$DG271,"")</f>
        <v/>
      </c>
      <c r="AA5206" s="48" t="str">
        <f ca="1">IF(AND('Planning Sheet'!DL271='Weeks Plan'!$D$6,'Planning Sheet'!DF271='Weeks Plan'!$G$6),'Planning Sheet'!$DH271,"")</f>
        <v/>
      </c>
    </row>
    <row r="5207" spans="25:27" x14ac:dyDescent="0.3">
      <c r="Y5207" s="48" t="str">
        <f ca="1">IF(AND('Planning Sheet'!DL272='Weeks Plan'!$D$6,'Planning Sheet'!DF272='Weeks Plan'!$G$6),'Planning Sheet'!$B272,"")</f>
        <v/>
      </c>
      <c r="Z5207" s="48" t="str">
        <f ca="1">IF(AND('Planning Sheet'!DL272='Weeks Plan'!$D$6,'Planning Sheet'!DF272='Weeks Plan'!$G$6),'Planning Sheet'!$DG272,"")</f>
        <v/>
      </c>
      <c r="AA5207" s="48" t="str">
        <f ca="1">IF(AND('Planning Sheet'!DL272='Weeks Plan'!$D$6,'Planning Sheet'!DF272='Weeks Plan'!$G$6),'Planning Sheet'!$DH272,"")</f>
        <v/>
      </c>
    </row>
    <row r="5208" spans="25:27" x14ac:dyDescent="0.3">
      <c r="Y5208" s="48" t="str">
        <f ca="1">IF(AND('Planning Sheet'!DL273='Weeks Plan'!$D$6,'Planning Sheet'!DF273='Weeks Plan'!$G$6),'Planning Sheet'!$B273,"")</f>
        <v/>
      </c>
      <c r="Z5208" s="48" t="str">
        <f ca="1">IF(AND('Planning Sheet'!DL273='Weeks Plan'!$D$6,'Planning Sheet'!DF273='Weeks Plan'!$G$6),'Planning Sheet'!$DG273,"")</f>
        <v/>
      </c>
      <c r="AA5208" s="48" t="str">
        <f ca="1">IF(AND('Planning Sheet'!DL273='Weeks Plan'!$D$6,'Planning Sheet'!DF273='Weeks Plan'!$G$6),'Planning Sheet'!$DH273,"")</f>
        <v/>
      </c>
    </row>
    <row r="5209" spans="25:27" x14ac:dyDescent="0.3">
      <c r="Y5209" s="48" t="str">
        <f ca="1">IF(AND('Planning Sheet'!DL274='Weeks Plan'!$D$6,'Planning Sheet'!DF274='Weeks Plan'!$G$6),'Planning Sheet'!$B274,"")</f>
        <v/>
      </c>
      <c r="Z5209" s="48" t="str">
        <f ca="1">IF(AND('Planning Sheet'!DL274='Weeks Plan'!$D$6,'Planning Sheet'!DF274='Weeks Plan'!$G$6),'Planning Sheet'!$DG274,"")</f>
        <v/>
      </c>
      <c r="AA5209" s="48" t="str">
        <f ca="1">IF(AND('Planning Sheet'!DL274='Weeks Plan'!$D$6,'Planning Sheet'!DF274='Weeks Plan'!$G$6),'Planning Sheet'!$DH274,"")</f>
        <v/>
      </c>
    </row>
    <row r="5210" spans="25:27" x14ac:dyDescent="0.3">
      <c r="Y5210" s="48" t="str">
        <f ca="1">IF(AND('Planning Sheet'!DL275='Weeks Plan'!$D$6,'Planning Sheet'!DF275='Weeks Plan'!$G$6),'Planning Sheet'!$B275,"")</f>
        <v/>
      </c>
      <c r="Z5210" s="48" t="str">
        <f ca="1">IF(AND('Planning Sheet'!DL275='Weeks Plan'!$D$6,'Planning Sheet'!DF275='Weeks Plan'!$G$6),'Planning Sheet'!$DG275,"")</f>
        <v/>
      </c>
      <c r="AA5210" s="48" t="str">
        <f ca="1">IF(AND('Planning Sheet'!DL275='Weeks Plan'!$D$6,'Planning Sheet'!DF275='Weeks Plan'!$G$6),'Planning Sheet'!$DH275,"")</f>
        <v/>
      </c>
    </row>
    <row r="5211" spans="25:27" x14ac:dyDescent="0.3">
      <c r="Y5211" s="48" t="str">
        <f ca="1">IF(AND('Planning Sheet'!DL276='Weeks Plan'!$D$6,'Planning Sheet'!DF276='Weeks Plan'!$G$6),'Planning Sheet'!$B276,"")</f>
        <v/>
      </c>
      <c r="Z5211" s="48" t="str">
        <f ca="1">IF(AND('Planning Sheet'!DL276='Weeks Plan'!$D$6,'Planning Sheet'!DF276='Weeks Plan'!$G$6),'Planning Sheet'!$DG276,"")</f>
        <v/>
      </c>
      <c r="AA5211" s="48" t="str">
        <f ca="1">IF(AND('Planning Sheet'!DL276='Weeks Plan'!$D$6,'Planning Sheet'!DF276='Weeks Plan'!$G$6),'Planning Sheet'!$DH276,"")</f>
        <v/>
      </c>
    </row>
    <row r="5212" spans="25:27" x14ac:dyDescent="0.3">
      <c r="Y5212" s="48" t="str">
        <f ca="1">IF(AND('Planning Sheet'!DL277='Weeks Plan'!$D$6,'Planning Sheet'!DF277='Weeks Plan'!$G$6),'Planning Sheet'!$B277,"")</f>
        <v/>
      </c>
      <c r="Z5212" s="48" t="str">
        <f ca="1">IF(AND('Planning Sheet'!DL277='Weeks Plan'!$D$6,'Planning Sheet'!DF277='Weeks Plan'!$G$6),'Planning Sheet'!$DG277,"")</f>
        <v/>
      </c>
      <c r="AA5212" s="48" t="str">
        <f ca="1">IF(AND('Planning Sheet'!DL277='Weeks Plan'!$D$6,'Planning Sheet'!DF277='Weeks Plan'!$G$6),'Planning Sheet'!$DH277,"")</f>
        <v/>
      </c>
    </row>
    <row r="5213" spans="25:27" x14ac:dyDescent="0.3">
      <c r="Y5213" s="48" t="str">
        <f ca="1">IF(AND('Planning Sheet'!DL278='Weeks Plan'!$D$6,'Planning Sheet'!DF278='Weeks Plan'!$G$6),'Planning Sheet'!$B278,"")</f>
        <v/>
      </c>
      <c r="Z5213" s="48" t="str">
        <f ca="1">IF(AND('Planning Sheet'!DL278='Weeks Plan'!$D$6,'Planning Sheet'!DF278='Weeks Plan'!$G$6),'Planning Sheet'!$DG278,"")</f>
        <v/>
      </c>
      <c r="AA5213" s="48" t="str">
        <f ca="1">IF(AND('Planning Sheet'!DL278='Weeks Plan'!$D$6,'Planning Sheet'!DF278='Weeks Plan'!$G$6),'Planning Sheet'!$DH278,"")</f>
        <v/>
      </c>
    </row>
    <row r="5214" spans="25:27" x14ac:dyDescent="0.3">
      <c r="Y5214" s="48" t="str">
        <f ca="1">IF(AND('Planning Sheet'!DL279='Weeks Plan'!$D$6,'Planning Sheet'!DF279='Weeks Plan'!$G$6),'Planning Sheet'!$B279,"")</f>
        <v/>
      </c>
      <c r="Z5214" s="48" t="str">
        <f ca="1">IF(AND('Planning Sheet'!DL279='Weeks Plan'!$D$6,'Planning Sheet'!DF279='Weeks Plan'!$G$6),'Planning Sheet'!$DG279,"")</f>
        <v/>
      </c>
      <c r="AA5214" s="48" t="str">
        <f ca="1">IF(AND('Planning Sheet'!DL279='Weeks Plan'!$D$6,'Planning Sheet'!DF279='Weeks Plan'!$G$6),'Planning Sheet'!$DH279,"")</f>
        <v/>
      </c>
    </row>
    <row r="5215" spans="25:27" x14ac:dyDescent="0.3">
      <c r="Y5215" s="48" t="str">
        <f ca="1">IF(AND('Planning Sheet'!DL280='Weeks Plan'!$D$6,'Planning Sheet'!DF280='Weeks Plan'!$G$6),'Planning Sheet'!$B280,"")</f>
        <v/>
      </c>
      <c r="Z5215" s="48" t="str">
        <f ca="1">IF(AND('Planning Sheet'!DL280='Weeks Plan'!$D$6,'Planning Sheet'!DF280='Weeks Plan'!$G$6),'Planning Sheet'!$DG280,"")</f>
        <v/>
      </c>
      <c r="AA5215" s="48" t="str">
        <f ca="1">IF(AND('Planning Sheet'!DL280='Weeks Plan'!$D$6,'Planning Sheet'!DF280='Weeks Plan'!$G$6),'Planning Sheet'!$DH280,"")</f>
        <v/>
      </c>
    </row>
    <row r="5216" spans="25:27" x14ac:dyDescent="0.3">
      <c r="Y5216" s="48" t="str">
        <f ca="1">IF(AND('Planning Sheet'!DL281='Weeks Plan'!$D$6,'Planning Sheet'!DF281='Weeks Plan'!$G$6),'Planning Sheet'!$B281,"")</f>
        <v/>
      </c>
      <c r="Z5216" s="48" t="str">
        <f ca="1">IF(AND('Planning Sheet'!DL281='Weeks Plan'!$D$6,'Planning Sheet'!DF281='Weeks Plan'!$G$6),'Planning Sheet'!$DG281,"")</f>
        <v/>
      </c>
      <c r="AA5216" s="48" t="str">
        <f ca="1">IF(AND('Planning Sheet'!DL281='Weeks Plan'!$D$6,'Planning Sheet'!DF281='Weeks Plan'!$G$6),'Planning Sheet'!$DH281,"")</f>
        <v/>
      </c>
    </row>
    <row r="5217" spans="25:27" x14ac:dyDescent="0.3">
      <c r="Y5217" s="48" t="str">
        <f ca="1">IF(AND('Planning Sheet'!DL282='Weeks Plan'!$D$6,'Planning Sheet'!DF282='Weeks Plan'!$G$6),'Planning Sheet'!$B282,"")</f>
        <v/>
      </c>
      <c r="Z5217" s="48" t="str">
        <f ca="1">IF(AND('Planning Sheet'!DL282='Weeks Plan'!$D$6,'Planning Sheet'!DF282='Weeks Plan'!$G$6),'Planning Sheet'!$DG282,"")</f>
        <v/>
      </c>
      <c r="AA5217" s="48" t="str">
        <f ca="1">IF(AND('Planning Sheet'!DL282='Weeks Plan'!$D$6,'Planning Sheet'!DF282='Weeks Plan'!$G$6),'Planning Sheet'!$DH282,"")</f>
        <v/>
      </c>
    </row>
    <row r="5218" spans="25:27" x14ac:dyDescent="0.3">
      <c r="Y5218" s="48" t="str">
        <f ca="1">IF(AND('Planning Sheet'!DL283='Weeks Plan'!$D$6,'Planning Sheet'!DF283='Weeks Plan'!$G$6),'Planning Sheet'!$B283,"")</f>
        <v/>
      </c>
      <c r="Z5218" s="48" t="str">
        <f ca="1">IF(AND('Planning Sheet'!DL283='Weeks Plan'!$D$6,'Planning Sheet'!DF283='Weeks Plan'!$G$6),'Planning Sheet'!$DG283,"")</f>
        <v/>
      </c>
      <c r="AA5218" s="48" t="str">
        <f ca="1">IF(AND('Planning Sheet'!DL283='Weeks Plan'!$D$6,'Planning Sheet'!DF283='Weeks Plan'!$G$6),'Planning Sheet'!$DH283,"")</f>
        <v/>
      </c>
    </row>
    <row r="5219" spans="25:27" x14ac:dyDescent="0.3">
      <c r="Y5219" s="48" t="str">
        <f ca="1">IF(AND('Planning Sheet'!DL284='Weeks Plan'!$D$6,'Planning Sheet'!DF284='Weeks Plan'!$G$6),'Planning Sheet'!$B284,"")</f>
        <v/>
      </c>
      <c r="Z5219" s="48" t="str">
        <f ca="1">IF(AND('Planning Sheet'!DL284='Weeks Plan'!$D$6,'Planning Sheet'!DF284='Weeks Plan'!$G$6),'Planning Sheet'!$DG284,"")</f>
        <v/>
      </c>
      <c r="AA5219" s="48" t="str">
        <f ca="1">IF(AND('Planning Sheet'!DL284='Weeks Plan'!$D$6,'Planning Sheet'!DF284='Weeks Plan'!$G$6),'Planning Sheet'!$DH284,"")</f>
        <v/>
      </c>
    </row>
    <row r="5220" spans="25:27" x14ac:dyDescent="0.3">
      <c r="Y5220" s="48" t="str">
        <f ca="1">IF(AND('Planning Sheet'!DL285='Weeks Plan'!$D$6,'Planning Sheet'!DF285='Weeks Plan'!$G$6),'Planning Sheet'!$B285,"")</f>
        <v/>
      </c>
      <c r="Z5220" s="48" t="str">
        <f ca="1">IF(AND('Planning Sheet'!DL285='Weeks Plan'!$D$6,'Planning Sheet'!DF285='Weeks Plan'!$G$6),'Planning Sheet'!$DG285,"")</f>
        <v/>
      </c>
      <c r="AA5220" s="48" t="str">
        <f ca="1">IF(AND('Planning Sheet'!DL285='Weeks Plan'!$D$6,'Planning Sheet'!DF285='Weeks Plan'!$G$6),'Planning Sheet'!$DH285,"")</f>
        <v/>
      </c>
    </row>
    <row r="5221" spans="25:27" x14ac:dyDescent="0.3">
      <c r="Y5221" s="48" t="str">
        <f ca="1">IF(AND('Planning Sheet'!DL286='Weeks Plan'!$D$6,'Planning Sheet'!DF286='Weeks Plan'!$G$6),'Planning Sheet'!$B286,"")</f>
        <v/>
      </c>
      <c r="Z5221" s="48" t="str">
        <f ca="1">IF(AND('Planning Sheet'!DL286='Weeks Plan'!$D$6,'Planning Sheet'!DF286='Weeks Plan'!$G$6),'Planning Sheet'!$DG286,"")</f>
        <v/>
      </c>
      <c r="AA5221" s="48" t="str">
        <f ca="1">IF(AND('Planning Sheet'!DL286='Weeks Plan'!$D$6,'Planning Sheet'!DF286='Weeks Plan'!$G$6),'Planning Sheet'!$DH286,"")</f>
        <v/>
      </c>
    </row>
    <row r="5222" spans="25:27" x14ac:dyDescent="0.3">
      <c r="Y5222" s="48" t="str">
        <f ca="1">IF(AND('Planning Sheet'!DL287='Weeks Plan'!$D$6,'Planning Sheet'!DF287='Weeks Plan'!$G$6),'Planning Sheet'!$B287,"")</f>
        <v/>
      </c>
      <c r="Z5222" s="48" t="str">
        <f ca="1">IF(AND('Planning Sheet'!DL287='Weeks Plan'!$D$6,'Planning Sheet'!DF287='Weeks Plan'!$G$6),'Planning Sheet'!$DG287,"")</f>
        <v/>
      </c>
      <c r="AA5222" s="48" t="str">
        <f ca="1">IF(AND('Planning Sheet'!DL287='Weeks Plan'!$D$6,'Planning Sheet'!DF287='Weeks Plan'!$G$6),'Planning Sheet'!$DH287,"")</f>
        <v/>
      </c>
    </row>
    <row r="5223" spans="25:27" x14ac:dyDescent="0.3">
      <c r="Y5223" s="48" t="str">
        <f ca="1">IF(AND('Planning Sheet'!DL288='Weeks Plan'!$D$6,'Planning Sheet'!DF288='Weeks Plan'!$G$6),'Planning Sheet'!$B288,"")</f>
        <v/>
      </c>
      <c r="Z5223" s="48" t="str">
        <f ca="1">IF(AND('Planning Sheet'!DL288='Weeks Plan'!$D$6,'Planning Sheet'!DF288='Weeks Plan'!$G$6),'Planning Sheet'!$DG288,"")</f>
        <v/>
      </c>
      <c r="AA5223" s="48" t="str">
        <f ca="1">IF(AND('Planning Sheet'!DL288='Weeks Plan'!$D$6,'Planning Sheet'!DF288='Weeks Plan'!$G$6),'Planning Sheet'!$DH288,"")</f>
        <v/>
      </c>
    </row>
    <row r="5224" spans="25:27" x14ac:dyDescent="0.3">
      <c r="Y5224" s="48" t="str">
        <f ca="1">IF(AND('Planning Sheet'!DL289='Weeks Plan'!$D$6,'Planning Sheet'!DF289='Weeks Plan'!$G$6),'Planning Sheet'!$B289,"")</f>
        <v/>
      </c>
      <c r="Z5224" s="48" t="str">
        <f ca="1">IF(AND('Planning Sheet'!DL289='Weeks Plan'!$D$6,'Planning Sheet'!DF289='Weeks Plan'!$G$6),'Planning Sheet'!$DG289,"")</f>
        <v/>
      </c>
      <c r="AA5224" s="48" t="str">
        <f ca="1">IF(AND('Planning Sheet'!DL289='Weeks Plan'!$D$6,'Planning Sheet'!DF289='Weeks Plan'!$G$6),'Planning Sheet'!$DH289,"")</f>
        <v/>
      </c>
    </row>
    <row r="5225" spans="25:27" x14ac:dyDescent="0.3">
      <c r="Y5225" s="48" t="str">
        <f ca="1">IF(AND('Planning Sheet'!DL290='Weeks Plan'!$D$6,'Planning Sheet'!DF290='Weeks Plan'!$G$6),'Planning Sheet'!$B290,"")</f>
        <v/>
      </c>
      <c r="Z5225" s="48" t="str">
        <f ca="1">IF(AND('Planning Sheet'!DL290='Weeks Plan'!$D$6,'Planning Sheet'!DF290='Weeks Plan'!$G$6),'Planning Sheet'!$DG290,"")</f>
        <v/>
      </c>
      <c r="AA5225" s="48" t="str">
        <f ca="1">IF(AND('Planning Sheet'!DL290='Weeks Plan'!$D$6,'Planning Sheet'!DF290='Weeks Plan'!$G$6),'Planning Sheet'!$DH290,"")</f>
        <v/>
      </c>
    </row>
    <row r="5226" spans="25:27" x14ac:dyDescent="0.3">
      <c r="Y5226" s="48" t="str">
        <f ca="1">IF(AND('Planning Sheet'!DL291='Weeks Plan'!$D$6,'Planning Sheet'!DF291='Weeks Plan'!$G$6),'Planning Sheet'!$B291,"")</f>
        <v/>
      </c>
      <c r="Z5226" s="48" t="str">
        <f ca="1">IF(AND('Planning Sheet'!DL291='Weeks Plan'!$D$6,'Planning Sheet'!DF291='Weeks Plan'!$G$6),'Planning Sheet'!$DG291,"")</f>
        <v/>
      </c>
      <c r="AA5226" s="48" t="str">
        <f ca="1">IF(AND('Planning Sheet'!DL291='Weeks Plan'!$D$6,'Planning Sheet'!DF291='Weeks Plan'!$G$6),'Planning Sheet'!$DH291,"")</f>
        <v/>
      </c>
    </row>
    <row r="5227" spans="25:27" x14ac:dyDescent="0.3">
      <c r="Y5227" s="48" t="str">
        <f ca="1">IF(AND('Planning Sheet'!DL292='Weeks Plan'!$D$6,'Planning Sheet'!DF292='Weeks Plan'!$G$6),'Planning Sheet'!$B292,"")</f>
        <v/>
      </c>
      <c r="Z5227" s="48" t="str">
        <f ca="1">IF(AND('Planning Sheet'!DL292='Weeks Plan'!$D$6,'Planning Sheet'!DF292='Weeks Plan'!$G$6),'Planning Sheet'!$DG292,"")</f>
        <v/>
      </c>
      <c r="AA5227" s="48" t="str">
        <f ca="1">IF(AND('Planning Sheet'!DL292='Weeks Plan'!$D$6,'Planning Sheet'!DF292='Weeks Plan'!$G$6),'Planning Sheet'!$DH292,"")</f>
        <v/>
      </c>
    </row>
    <row r="5228" spans="25:27" x14ac:dyDescent="0.3">
      <c r="Y5228" s="48" t="str">
        <f ca="1">IF(AND('Planning Sheet'!DL293='Weeks Plan'!$D$6,'Planning Sheet'!DF293='Weeks Plan'!$G$6),'Planning Sheet'!$B293,"")</f>
        <v/>
      </c>
      <c r="Z5228" s="48" t="str">
        <f ca="1">IF(AND('Planning Sheet'!DL293='Weeks Plan'!$D$6,'Planning Sheet'!DF293='Weeks Plan'!$G$6),'Planning Sheet'!$DG293,"")</f>
        <v/>
      </c>
      <c r="AA5228" s="48" t="str">
        <f ca="1">IF(AND('Planning Sheet'!DL293='Weeks Plan'!$D$6,'Planning Sheet'!DF293='Weeks Plan'!$G$6),'Planning Sheet'!$DH293,"")</f>
        <v/>
      </c>
    </row>
    <row r="5229" spans="25:27" x14ac:dyDescent="0.3">
      <c r="Y5229" s="48" t="str">
        <f ca="1">IF(AND('Planning Sheet'!DL294='Weeks Plan'!$D$6,'Planning Sheet'!DF294='Weeks Plan'!$G$6),'Planning Sheet'!$B294,"")</f>
        <v/>
      </c>
      <c r="Z5229" s="48" t="str">
        <f ca="1">IF(AND('Planning Sheet'!DL294='Weeks Plan'!$D$6,'Planning Sheet'!DF294='Weeks Plan'!$G$6),'Planning Sheet'!$DG294,"")</f>
        <v/>
      </c>
      <c r="AA5229" s="48" t="str">
        <f ca="1">IF(AND('Planning Sheet'!DL294='Weeks Plan'!$D$6,'Planning Sheet'!DF294='Weeks Plan'!$G$6),'Planning Sheet'!$DH294,"")</f>
        <v/>
      </c>
    </row>
    <row r="5230" spans="25:27" x14ac:dyDescent="0.3">
      <c r="Y5230" s="48" t="str">
        <f ca="1">IF(AND('Planning Sheet'!DL295='Weeks Plan'!$D$6,'Planning Sheet'!DF295='Weeks Plan'!$G$6),'Planning Sheet'!$B295,"")</f>
        <v/>
      </c>
      <c r="Z5230" s="48" t="str">
        <f ca="1">IF(AND('Planning Sheet'!DL295='Weeks Plan'!$D$6,'Planning Sheet'!DF295='Weeks Plan'!$G$6),'Planning Sheet'!$DG295,"")</f>
        <v/>
      </c>
      <c r="AA5230" s="48" t="str">
        <f ca="1">IF(AND('Planning Sheet'!DL295='Weeks Plan'!$D$6,'Planning Sheet'!DF295='Weeks Plan'!$G$6),'Planning Sheet'!$DH295,"")</f>
        <v/>
      </c>
    </row>
    <row r="5231" spans="25:27" x14ac:dyDescent="0.3">
      <c r="Y5231" s="48" t="str">
        <f ca="1">IF(AND('Planning Sheet'!DL296='Weeks Plan'!$D$6,'Planning Sheet'!DF296='Weeks Plan'!$G$6),'Planning Sheet'!$B296,"")</f>
        <v/>
      </c>
      <c r="Z5231" s="48" t="str">
        <f ca="1">IF(AND('Planning Sheet'!DL296='Weeks Plan'!$D$6,'Planning Sheet'!DF296='Weeks Plan'!$G$6),'Planning Sheet'!$DG296,"")</f>
        <v/>
      </c>
      <c r="AA5231" s="48" t="str">
        <f ca="1">IF(AND('Planning Sheet'!DL296='Weeks Plan'!$D$6,'Planning Sheet'!DF296='Weeks Plan'!$G$6),'Planning Sheet'!$DH296,"")</f>
        <v/>
      </c>
    </row>
    <row r="5232" spans="25:27" x14ac:dyDescent="0.3">
      <c r="Y5232" s="48" t="str">
        <f ca="1">IF(AND('Planning Sheet'!DL297='Weeks Plan'!$D$6,'Planning Sheet'!DF297='Weeks Plan'!$G$6),'Planning Sheet'!$B297,"")</f>
        <v/>
      </c>
      <c r="Z5232" s="48" t="str">
        <f ca="1">IF(AND('Planning Sheet'!DL297='Weeks Plan'!$D$6,'Planning Sheet'!DF297='Weeks Plan'!$G$6),'Planning Sheet'!$DG297,"")</f>
        <v/>
      </c>
      <c r="AA5232" s="48" t="str">
        <f ca="1">IF(AND('Planning Sheet'!DL297='Weeks Plan'!$D$6,'Planning Sheet'!DF297='Weeks Plan'!$G$6),'Planning Sheet'!$DH297,"")</f>
        <v/>
      </c>
    </row>
    <row r="5233" spans="25:27" x14ac:dyDescent="0.3">
      <c r="Y5233" s="48" t="str">
        <f ca="1">IF(AND('Planning Sheet'!DL298='Weeks Plan'!$D$6,'Planning Sheet'!DF298='Weeks Plan'!$G$6),'Planning Sheet'!$B298,"")</f>
        <v/>
      </c>
      <c r="Z5233" s="48" t="str">
        <f ca="1">IF(AND('Planning Sheet'!DL298='Weeks Plan'!$D$6,'Planning Sheet'!DF298='Weeks Plan'!$G$6),'Planning Sheet'!$DG298,"")</f>
        <v/>
      </c>
      <c r="AA5233" s="48" t="str">
        <f ca="1">IF(AND('Planning Sheet'!DL298='Weeks Plan'!$D$6,'Planning Sheet'!DF298='Weeks Plan'!$G$6),'Planning Sheet'!$DH298,"")</f>
        <v/>
      </c>
    </row>
    <row r="5234" spans="25:27" x14ac:dyDescent="0.3">
      <c r="Y5234" s="48" t="str">
        <f ca="1">IF(AND('Planning Sheet'!DL299='Weeks Plan'!$D$6,'Planning Sheet'!DF299='Weeks Plan'!$G$6),'Planning Sheet'!$B299,"")</f>
        <v/>
      </c>
      <c r="Z5234" s="48" t="str">
        <f ca="1">IF(AND('Planning Sheet'!DL299='Weeks Plan'!$D$6,'Planning Sheet'!DF299='Weeks Plan'!$G$6),'Planning Sheet'!$DG299,"")</f>
        <v/>
      </c>
      <c r="AA5234" s="48" t="str">
        <f ca="1">IF(AND('Planning Sheet'!DL299='Weeks Plan'!$D$6,'Planning Sheet'!DF299='Weeks Plan'!$G$6),'Planning Sheet'!$DH299,"")</f>
        <v/>
      </c>
    </row>
    <row r="5235" spans="25:27" x14ac:dyDescent="0.3">
      <c r="Y5235" s="48" t="str">
        <f ca="1">IF(AND('Planning Sheet'!DL300='Weeks Plan'!$D$6,'Planning Sheet'!DF300='Weeks Plan'!$G$6),'Planning Sheet'!$B300,"")</f>
        <v/>
      </c>
      <c r="Z5235" s="48" t="str">
        <f ca="1">IF(AND('Planning Sheet'!DL300='Weeks Plan'!$D$6,'Planning Sheet'!DF300='Weeks Plan'!$G$6),'Planning Sheet'!$DG300,"")</f>
        <v/>
      </c>
      <c r="AA5235" s="48" t="str">
        <f ca="1">IF(AND('Planning Sheet'!DL300='Weeks Plan'!$D$6,'Planning Sheet'!DF300='Weeks Plan'!$G$6),'Planning Sheet'!$DH300,"")</f>
        <v/>
      </c>
    </row>
    <row r="5236" spans="25:27" x14ac:dyDescent="0.3">
      <c r="Y5236" s="48" t="str">
        <f ca="1">IF(AND('Planning Sheet'!DL301='Weeks Plan'!$D$6,'Planning Sheet'!DF301='Weeks Plan'!$G$6),'Planning Sheet'!$B301,"")</f>
        <v/>
      </c>
      <c r="Z5236" s="48" t="str">
        <f ca="1">IF(AND('Planning Sheet'!DL301='Weeks Plan'!$D$6,'Planning Sheet'!DF301='Weeks Plan'!$G$6),'Planning Sheet'!$DG301,"")</f>
        <v/>
      </c>
      <c r="AA5236" s="48" t="str">
        <f ca="1">IF(AND('Planning Sheet'!DL301='Weeks Plan'!$D$6,'Planning Sheet'!DF301='Weeks Plan'!$G$6),'Planning Sheet'!$DH301,"")</f>
        <v/>
      </c>
    </row>
    <row r="5237" spans="25:27" x14ac:dyDescent="0.3">
      <c r="Y5237" s="48" t="str">
        <f ca="1">IF(AND('Planning Sheet'!DL302='Weeks Plan'!$D$6,'Planning Sheet'!DF302='Weeks Plan'!$G$6),'Planning Sheet'!$B302,"")</f>
        <v/>
      </c>
      <c r="Z5237" s="48" t="str">
        <f ca="1">IF(AND('Planning Sheet'!DL302='Weeks Plan'!$D$6,'Planning Sheet'!DF302='Weeks Plan'!$G$6),'Planning Sheet'!$DG302,"")</f>
        <v/>
      </c>
      <c r="AA5237" s="48" t="str">
        <f ca="1">IF(AND('Planning Sheet'!DL302='Weeks Plan'!$D$6,'Planning Sheet'!DF302='Weeks Plan'!$G$6),'Planning Sheet'!$DH302,"")</f>
        <v/>
      </c>
    </row>
    <row r="5238" spans="25:27" x14ac:dyDescent="0.3">
      <c r="Y5238" s="48" t="str">
        <f ca="1">IF(AND('Planning Sheet'!DL303='Weeks Plan'!$D$6,'Planning Sheet'!DF303='Weeks Plan'!$G$6),'Planning Sheet'!$B303,"")</f>
        <v/>
      </c>
      <c r="Z5238" s="48" t="str">
        <f ca="1">IF(AND('Planning Sheet'!DL303='Weeks Plan'!$D$6,'Planning Sheet'!DF303='Weeks Plan'!$G$6),'Planning Sheet'!$DG303,"")</f>
        <v/>
      </c>
      <c r="AA5238" s="48" t="str">
        <f ca="1">IF(AND('Planning Sheet'!DL303='Weeks Plan'!$D$6,'Planning Sheet'!DF303='Weeks Plan'!$G$6),'Planning Sheet'!$DH303,"")</f>
        <v/>
      </c>
    </row>
    <row r="5239" spans="25:27" x14ac:dyDescent="0.3">
      <c r="Y5239" s="48" t="str">
        <f ca="1">IF(AND('Planning Sheet'!DL304='Weeks Plan'!$D$6,'Planning Sheet'!DF304='Weeks Plan'!$G$6),'Planning Sheet'!$B304,"")</f>
        <v/>
      </c>
      <c r="Z5239" s="48" t="str">
        <f ca="1">IF(AND('Planning Sheet'!DL304='Weeks Plan'!$D$6,'Planning Sheet'!DF304='Weeks Plan'!$G$6),'Planning Sheet'!$DG304,"")</f>
        <v/>
      </c>
      <c r="AA5239" s="48" t="str">
        <f ca="1">IF(AND('Planning Sheet'!DL304='Weeks Plan'!$D$6,'Planning Sheet'!DF304='Weeks Plan'!$G$6),'Planning Sheet'!$DH304,"")</f>
        <v/>
      </c>
    </row>
    <row r="5240" spans="25:27" x14ac:dyDescent="0.3">
      <c r="Y5240" s="48" t="str">
        <f ca="1">IF(AND('Planning Sheet'!DL305='Weeks Plan'!$D$6,'Planning Sheet'!DF305='Weeks Plan'!$G$6),'Planning Sheet'!$B305,"")</f>
        <v/>
      </c>
      <c r="Z5240" s="48" t="str">
        <f ca="1">IF(AND('Planning Sheet'!DL305='Weeks Plan'!$D$6,'Planning Sheet'!DF305='Weeks Plan'!$G$6),'Planning Sheet'!$DG305,"")</f>
        <v/>
      </c>
      <c r="AA5240" s="48" t="str">
        <f ca="1">IF(AND('Planning Sheet'!DL305='Weeks Plan'!$D$6,'Planning Sheet'!DF305='Weeks Plan'!$G$6),'Planning Sheet'!$DH305,"")</f>
        <v/>
      </c>
    </row>
    <row r="5241" spans="25:27" x14ac:dyDescent="0.3">
      <c r="Y5241" s="48" t="str">
        <f ca="1">IF(AND('Planning Sheet'!DL306='Weeks Plan'!$D$6,'Planning Sheet'!DF306='Weeks Plan'!$G$6),'Planning Sheet'!$B306,"")</f>
        <v/>
      </c>
      <c r="Z5241" s="48" t="str">
        <f ca="1">IF(AND('Planning Sheet'!DL306='Weeks Plan'!$D$6,'Planning Sheet'!DF306='Weeks Plan'!$G$6),'Planning Sheet'!$DG306,"")</f>
        <v/>
      </c>
      <c r="AA5241" s="48" t="str">
        <f ca="1">IF(AND('Planning Sheet'!DL306='Weeks Plan'!$D$6,'Planning Sheet'!DF306='Weeks Plan'!$G$6),'Planning Sheet'!$DH306,"")</f>
        <v/>
      </c>
    </row>
    <row r="5242" spans="25:27" x14ac:dyDescent="0.3">
      <c r="Y5242" s="48" t="str">
        <f ca="1">IF(AND('Planning Sheet'!DL307='Weeks Plan'!$D$6,'Planning Sheet'!DF307='Weeks Plan'!$G$6),'Planning Sheet'!$B307,"")</f>
        <v/>
      </c>
      <c r="Z5242" s="48" t="str">
        <f ca="1">IF(AND('Planning Sheet'!DL307='Weeks Plan'!$D$6,'Planning Sheet'!DF307='Weeks Plan'!$G$6),'Planning Sheet'!$DG307,"")</f>
        <v/>
      </c>
      <c r="AA5242" s="48" t="str">
        <f ca="1">IF(AND('Planning Sheet'!DL307='Weeks Plan'!$D$6,'Planning Sheet'!DF307='Weeks Plan'!$G$6),'Planning Sheet'!$DH307,"")</f>
        <v/>
      </c>
    </row>
    <row r="5243" spans="25:27" x14ac:dyDescent="0.3">
      <c r="Y5243" s="48" t="str">
        <f ca="1">IF(AND('Planning Sheet'!DL308='Weeks Plan'!$D$6,'Planning Sheet'!DF308='Weeks Plan'!$G$6),'Planning Sheet'!$B308,"")</f>
        <v/>
      </c>
      <c r="Z5243" s="48" t="str">
        <f ca="1">IF(AND('Planning Sheet'!DL308='Weeks Plan'!$D$6,'Planning Sheet'!DF308='Weeks Plan'!$G$6),'Planning Sheet'!$DG308,"")</f>
        <v/>
      </c>
      <c r="AA5243" s="48" t="str">
        <f ca="1">IF(AND('Planning Sheet'!DL308='Weeks Plan'!$D$6,'Planning Sheet'!DF308='Weeks Plan'!$G$6),'Planning Sheet'!$DH308,"")</f>
        <v/>
      </c>
    </row>
    <row r="5244" spans="25:27" x14ac:dyDescent="0.3">
      <c r="Y5244" s="48" t="str">
        <f ca="1">IF(AND('Planning Sheet'!DL309='Weeks Plan'!$D$6,'Planning Sheet'!DF309='Weeks Plan'!$G$6),'Planning Sheet'!$B309,"")</f>
        <v/>
      </c>
      <c r="Z5244" s="48" t="str">
        <f ca="1">IF(AND('Planning Sheet'!DL309='Weeks Plan'!$D$6,'Planning Sheet'!DF309='Weeks Plan'!$G$6),'Planning Sheet'!$DG309,"")</f>
        <v/>
      </c>
      <c r="AA5244" s="48" t="str">
        <f ca="1">IF(AND('Planning Sheet'!DL309='Weeks Plan'!$D$6,'Planning Sheet'!DF309='Weeks Plan'!$G$6),'Planning Sheet'!$DH309,"")</f>
        <v/>
      </c>
    </row>
    <row r="5245" spans="25:27" x14ac:dyDescent="0.3">
      <c r="Y5245" s="48" t="str">
        <f ca="1">IF(AND('Planning Sheet'!DL310='Weeks Plan'!$D$6,'Planning Sheet'!DF310='Weeks Plan'!$G$6),'Planning Sheet'!$B310,"")</f>
        <v/>
      </c>
      <c r="Z5245" s="48" t="str">
        <f ca="1">IF(AND('Planning Sheet'!DL310='Weeks Plan'!$D$6,'Planning Sheet'!DF310='Weeks Plan'!$G$6),'Planning Sheet'!$DG310,"")</f>
        <v/>
      </c>
      <c r="AA5245" s="48" t="str">
        <f ca="1">IF(AND('Planning Sheet'!DL310='Weeks Plan'!$D$6,'Planning Sheet'!DF310='Weeks Plan'!$G$6),'Planning Sheet'!$DH310,"")</f>
        <v/>
      </c>
    </row>
    <row r="5246" spans="25:27" x14ac:dyDescent="0.3">
      <c r="Y5246" s="48" t="str">
        <f ca="1">IF(AND('Planning Sheet'!DL311='Weeks Plan'!$D$6,'Planning Sheet'!DF311='Weeks Plan'!$G$6),'Planning Sheet'!$B311,"")</f>
        <v/>
      </c>
      <c r="Z5246" s="48" t="str">
        <f ca="1">IF(AND('Planning Sheet'!DL311='Weeks Plan'!$D$6,'Planning Sheet'!DF311='Weeks Plan'!$G$6),'Planning Sheet'!$DG311,"")</f>
        <v/>
      </c>
      <c r="AA5246" s="48" t="str">
        <f ca="1">IF(AND('Planning Sheet'!DL311='Weeks Plan'!$D$6,'Planning Sheet'!DF311='Weeks Plan'!$G$6),'Planning Sheet'!$DH311,"")</f>
        <v/>
      </c>
    </row>
    <row r="5247" spans="25:27" x14ac:dyDescent="0.3">
      <c r="Y5247" s="48" t="str">
        <f ca="1">IF(AND('Planning Sheet'!DL312='Weeks Plan'!$D$6,'Planning Sheet'!DF312='Weeks Plan'!$G$6),'Planning Sheet'!$B312,"")</f>
        <v/>
      </c>
      <c r="Z5247" s="48" t="str">
        <f ca="1">IF(AND('Planning Sheet'!DL312='Weeks Plan'!$D$6,'Planning Sheet'!DF312='Weeks Plan'!$G$6),'Planning Sheet'!$DG312,"")</f>
        <v/>
      </c>
      <c r="AA5247" s="48" t="str">
        <f ca="1">IF(AND('Planning Sheet'!DL312='Weeks Plan'!$D$6,'Planning Sheet'!DF312='Weeks Plan'!$G$6),'Planning Sheet'!$DH312,"")</f>
        <v/>
      </c>
    </row>
    <row r="5248" spans="25:27" x14ac:dyDescent="0.3">
      <c r="Y5248" s="48" t="str">
        <f ca="1">IF(AND('Planning Sheet'!DL313='Weeks Plan'!$D$6,'Planning Sheet'!DF313='Weeks Plan'!$G$6),'Planning Sheet'!$B313,"")</f>
        <v/>
      </c>
      <c r="Z5248" s="48" t="str">
        <f ca="1">IF(AND('Planning Sheet'!DL313='Weeks Plan'!$D$6,'Planning Sheet'!DF313='Weeks Plan'!$G$6),'Planning Sheet'!$DG313,"")</f>
        <v/>
      </c>
      <c r="AA5248" s="48" t="str">
        <f ca="1">IF(AND('Planning Sheet'!DL313='Weeks Plan'!$D$6,'Planning Sheet'!DF313='Weeks Plan'!$G$6),'Planning Sheet'!$DH313,"")</f>
        <v/>
      </c>
    </row>
    <row r="5249" spans="25:27" x14ac:dyDescent="0.3">
      <c r="Y5249" s="48" t="str">
        <f ca="1">IF(AND('Planning Sheet'!DL314='Weeks Plan'!$D$6,'Planning Sheet'!DF314='Weeks Plan'!$G$6),'Planning Sheet'!$B314,"")</f>
        <v/>
      </c>
      <c r="Z5249" s="48" t="str">
        <f ca="1">IF(AND('Planning Sheet'!DL314='Weeks Plan'!$D$6,'Planning Sheet'!DF314='Weeks Plan'!$G$6),'Planning Sheet'!$DG314,"")</f>
        <v/>
      </c>
      <c r="AA5249" s="48" t="str">
        <f ca="1">IF(AND('Planning Sheet'!DL314='Weeks Plan'!$D$6,'Planning Sheet'!DF314='Weeks Plan'!$G$6),'Planning Sheet'!$DH314,"")</f>
        <v/>
      </c>
    </row>
    <row r="5250" spans="25:27" x14ac:dyDescent="0.3">
      <c r="Y5250" s="48" t="str">
        <f ca="1">IF(AND('Planning Sheet'!DL315='Weeks Plan'!$D$6,'Planning Sheet'!DF315='Weeks Plan'!$G$6),'Planning Sheet'!$B315,"")</f>
        <v/>
      </c>
      <c r="Z5250" s="48" t="str">
        <f ca="1">IF(AND('Planning Sheet'!DL315='Weeks Plan'!$D$6,'Planning Sheet'!DF315='Weeks Plan'!$G$6),'Planning Sheet'!$DG315,"")</f>
        <v/>
      </c>
      <c r="AA5250" s="48" t="str">
        <f ca="1">IF(AND('Planning Sheet'!DL315='Weeks Plan'!$D$6,'Planning Sheet'!DF315='Weeks Plan'!$G$6),'Planning Sheet'!$DH315,"")</f>
        <v/>
      </c>
    </row>
    <row r="5251" spans="25:27" x14ac:dyDescent="0.3">
      <c r="Y5251" s="48" t="str">
        <f ca="1">IF(AND('Planning Sheet'!DL316='Weeks Plan'!$D$6,'Planning Sheet'!DF316='Weeks Plan'!$G$6),'Planning Sheet'!$B316,"")</f>
        <v/>
      </c>
      <c r="Z5251" s="48" t="str">
        <f ca="1">IF(AND('Planning Sheet'!DL316='Weeks Plan'!$D$6,'Planning Sheet'!DF316='Weeks Plan'!$G$6),'Planning Sheet'!$DG316,"")</f>
        <v/>
      </c>
      <c r="AA5251" s="48" t="str">
        <f ca="1">IF(AND('Planning Sheet'!DL316='Weeks Plan'!$D$6,'Planning Sheet'!DF316='Weeks Plan'!$G$6),'Planning Sheet'!$DH316,"")</f>
        <v/>
      </c>
    </row>
    <row r="5252" spans="25:27" x14ac:dyDescent="0.3">
      <c r="Y5252" s="48" t="str">
        <f ca="1">IF(AND('Planning Sheet'!DL317='Weeks Plan'!$D$6,'Planning Sheet'!DF317='Weeks Plan'!$G$6),'Planning Sheet'!$B317,"")</f>
        <v/>
      </c>
      <c r="Z5252" s="48" t="str">
        <f ca="1">IF(AND('Planning Sheet'!DL317='Weeks Plan'!$D$6,'Planning Sheet'!DF317='Weeks Plan'!$G$6),'Planning Sheet'!$DG317,"")</f>
        <v/>
      </c>
      <c r="AA5252" s="48" t="str">
        <f ca="1">IF(AND('Planning Sheet'!DL317='Weeks Plan'!$D$6,'Planning Sheet'!DF317='Weeks Plan'!$G$6),'Planning Sheet'!$DH317,"")</f>
        <v/>
      </c>
    </row>
    <row r="5253" spans="25:27" x14ac:dyDescent="0.3">
      <c r="Y5253" s="48" t="str">
        <f ca="1">IF(AND('Planning Sheet'!DL318='Weeks Plan'!$D$6,'Planning Sheet'!DF318='Weeks Plan'!$G$6),'Planning Sheet'!$B318,"")</f>
        <v/>
      </c>
      <c r="Z5253" s="48" t="str">
        <f ca="1">IF(AND('Planning Sheet'!DL318='Weeks Plan'!$D$6,'Planning Sheet'!DF318='Weeks Plan'!$G$6),'Planning Sheet'!$DG318,"")</f>
        <v/>
      </c>
      <c r="AA5253" s="48" t="str">
        <f ca="1">IF(AND('Planning Sheet'!DL318='Weeks Plan'!$D$6,'Planning Sheet'!DF318='Weeks Plan'!$G$6),'Planning Sheet'!$DH318,"")</f>
        <v/>
      </c>
    </row>
    <row r="5254" spans="25:27" x14ac:dyDescent="0.3">
      <c r="Y5254" s="48" t="str">
        <f ca="1">IF(AND('Planning Sheet'!DL319='Weeks Plan'!$D$6,'Planning Sheet'!DF319='Weeks Plan'!$G$6),'Planning Sheet'!$B319,"")</f>
        <v/>
      </c>
      <c r="Z5254" s="48" t="str">
        <f ca="1">IF(AND('Planning Sheet'!DL319='Weeks Plan'!$D$6,'Planning Sheet'!DF319='Weeks Plan'!$G$6),'Planning Sheet'!$DG319,"")</f>
        <v/>
      </c>
      <c r="AA5254" s="48" t="str">
        <f ca="1">IF(AND('Planning Sheet'!DL319='Weeks Plan'!$D$6,'Planning Sheet'!DF319='Weeks Plan'!$G$6),'Planning Sheet'!$DH319,"")</f>
        <v/>
      </c>
    </row>
    <row r="5255" spans="25:27" x14ac:dyDescent="0.3">
      <c r="Y5255" s="48" t="str">
        <f ca="1">IF(AND('Planning Sheet'!DL320='Weeks Plan'!$D$6,'Planning Sheet'!DF320='Weeks Plan'!$G$6),'Planning Sheet'!$B320,"")</f>
        <v/>
      </c>
      <c r="Z5255" s="48" t="str">
        <f ca="1">IF(AND('Planning Sheet'!DL320='Weeks Plan'!$D$6,'Planning Sheet'!DF320='Weeks Plan'!$G$6),'Planning Sheet'!$DG320,"")</f>
        <v/>
      </c>
      <c r="AA5255" s="48" t="str">
        <f ca="1">IF(AND('Planning Sheet'!DL320='Weeks Plan'!$D$6,'Planning Sheet'!DF320='Weeks Plan'!$G$6),'Planning Sheet'!$DH320,"")</f>
        <v/>
      </c>
    </row>
    <row r="5256" spans="25:27" x14ac:dyDescent="0.3">
      <c r="Y5256" s="48" t="str">
        <f ca="1">IF(AND('Planning Sheet'!DL321='Weeks Plan'!$D$6,'Planning Sheet'!DF321='Weeks Plan'!$G$6),'Planning Sheet'!$B321,"")</f>
        <v/>
      </c>
      <c r="Z5256" s="48" t="str">
        <f ca="1">IF(AND('Planning Sheet'!DL321='Weeks Plan'!$D$6,'Planning Sheet'!DF321='Weeks Plan'!$G$6),'Planning Sheet'!$DG321,"")</f>
        <v/>
      </c>
      <c r="AA5256" s="48" t="str">
        <f ca="1">IF(AND('Planning Sheet'!DL321='Weeks Plan'!$D$6,'Planning Sheet'!DF321='Weeks Plan'!$G$6),'Planning Sheet'!$DH321,"")</f>
        <v/>
      </c>
    </row>
    <row r="5257" spans="25:27" x14ac:dyDescent="0.3">
      <c r="Y5257" s="48" t="str">
        <f ca="1">IF(AND('Planning Sheet'!DL322='Weeks Plan'!$D$6,'Planning Sheet'!DF322='Weeks Plan'!$G$6),'Planning Sheet'!$B322,"")</f>
        <v/>
      </c>
      <c r="Z5257" s="48" t="str">
        <f ca="1">IF(AND('Planning Sheet'!DL322='Weeks Plan'!$D$6,'Planning Sheet'!DF322='Weeks Plan'!$G$6),'Planning Sheet'!$DG322,"")</f>
        <v/>
      </c>
      <c r="AA5257" s="48" t="str">
        <f ca="1">IF(AND('Planning Sheet'!DL322='Weeks Plan'!$D$6,'Planning Sheet'!DF322='Weeks Plan'!$G$6),'Planning Sheet'!$DH322,"")</f>
        <v/>
      </c>
    </row>
    <row r="5258" spans="25:27" x14ac:dyDescent="0.3">
      <c r="Y5258" s="48" t="str">
        <f ca="1">IF(AND('Planning Sheet'!DL323='Weeks Plan'!$D$6,'Planning Sheet'!DF323='Weeks Plan'!$G$6),'Planning Sheet'!$B323,"")</f>
        <v/>
      </c>
      <c r="Z5258" s="48" t="str">
        <f ca="1">IF(AND('Planning Sheet'!DL323='Weeks Plan'!$D$6,'Planning Sheet'!DF323='Weeks Plan'!$G$6),'Planning Sheet'!$DG323,"")</f>
        <v/>
      </c>
      <c r="AA5258" s="48" t="str">
        <f ca="1">IF(AND('Planning Sheet'!DL323='Weeks Plan'!$D$6,'Planning Sheet'!DF323='Weeks Plan'!$G$6),'Planning Sheet'!$DH323,"")</f>
        <v/>
      </c>
    </row>
    <row r="5259" spans="25:27" x14ac:dyDescent="0.3">
      <c r="Y5259" s="48" t="str">
        <f ca="1">IF(AND('Planning Sheet'!DL324='Weeks Plan'!$D$6,'Planning Sheet'!DF324='Weeks Plan'!$G$6),'Planning Sheet'!$B324,"")</f>
        <v/>
      </c>
      <c r="Z5259" s="48" t="str">
        <f ca="1">IF(AND('Planning Sheet'!DL324='Weeks Plan'!$D$6,'Planning Sheet'!DF324='Weeks Plan'!$G$6),'Planning Sheet'!$DG324,"")</f>
        <v/>
      </c>
      <c r="AA5259" s="48" t="str">
        <f ca="1">IF(AND('Planning Sheet'!DL324='Weeks Plan'!$D$6,'Planning Sheet'!DF324='Weeks Plan'!$G$6),'Planning Sheet'!$DH324,"")</f>
        <v/>
      </c>
    </row>
    <row r="5260" spans="25:27" x14ac:dyDescent="0.3">
      <c r="Y5260" s="48" t="str">
        <f ca="1">IF(AND('Planning Sheet'!DL325='Weeks Plan'!$D$6,'Planning Sheet'!DF325='Weeks Plan'!$G$6),'Planning Sheet'!$B325,"")</f>
        <v/>
      </c>
      <c r="Z5260" s="48" t="str">
        <f ca="1">IF(AND('Planning Sheet'!DL325='Weeks Plan'!$D$6,'Planning Sheet'!DF325='Weeks Plan'!$G$6),'Planning Sheet'!$DG325,"")</f>
        <v/>
      </c>
      <c r="AA5260" s="48" t="str">
        <f ca="1">IF(AND('Planning Sheet'!DL325='Weeks Plan'!$D$6,'Planning Sheet'!DF325='Weeks Plan'!$G$6),'Planning Sheet'!$DH325,"")</f>
        <v/>
      </c>
    </row>
    <row r="5261" spans="25:27" x14ac:dyDescent="0.3">
      <c r="Y5261" s="48" t="str">
        <f ca="1">IF(AND('Planning Sheet'!DL326='Weeks Plan'!$D$6,'Planning Sheet'!DF326='Weeks Plan'!$G$6),'Planning Sheet'!$B326,"")</f>
        <v/>
      </c>
      <c r="Z5261" s="48" t="str">
        <f ca="1">IF(AND('Planning Sheet'!DL326='Weeks Plan'!$D$6,'Planning Sheet'!DF326='Weeks Plan'!$G$6),'Planning Sheet'!$DG326,"")</f>
        <v/>
      </c>
      <c r="AA5261" s="48" t="str">
        <f ca="1">IF(AND('Planning Sheet'!DL326='Weeks Plan'!$D$6,'Planning Sheet'!DF326='Weeks Plan'!$G$6),'Planning Sheet'!$DH326,"")</f>
        <v/>
      </c>
    </row>
    <row r="5262" spans="25:27" x14ac:dyDescent="0.3">
      <c r="Y5262" s="48" t="str">
        <f ca="1">IF(AND('Planning Sheet'!DL327='Weeks Plan'!$D$6,'Planning Sheet'!DF327='Weeks Plan'!$G$6),'Planning Sheet'!$B327,"")</f>
        <v/>
      </c>
      <c r="Z5262" s="48" t="str">
        <f ca="1">IF(AND('Planning Sheet'!DL327='Weeks Plan'!$D$6,'Planning Sheet'!DF327='Weeks Plan'!$G$6),'Planning Sheet'!$DG327,"")</f>
        <v/>
      </c>
      <c r="AA5262" s="48" t="str">
        <f ca="1">IF(AND('Planning Sheet'!DL327='Weeks Plan'!$D$6,'Planning Sheet'!DF327='Weeks Plan'!$G$6),'Planning Sheet'!$DH327,"")</f>
        <v/>
      </c>
    </row>
    <row r="5263" spans="25:27" x14ac:dyDescent="0.3">
      <c r="Y5263" s="48" t="str">
        <f ca="1">IF(AND('Planning Sheet'!DL328='Weeks Plan'!$D$6,'Planning Sheet'!DF328='Weeks Plan'!$G$6),'Planning Sheet'!$B328,"")</f>
        <v/>
      </c>
      <c r="Z5263" s="48" t="str">
        <f ca="1">IF(AND('Planning Sheet'!DL328='Weeks Plan'!$D$6,'Planning Sheet'!DF328='Weeks Plan'!$G$6),'Planning Sheet'!$DG328,"")</f>
        <v/>
      </c>
      <c r="AA5263" s="48" t="str">
        <f ca="1">IF(AND('Planning Sheet'!DL328='Weeks Plan'!$D$6,'Planning Sheet'!DF328='Weeks Plan'!$G$6),'Planning Sheet'!$DH328,"")</f>
        <v/>
      </c>
    </row>
    <row r="5264" spans="25:27" x14ac:dyDescent="0.3">
      <c r="Y5264" s="48" t="str">
        <f ca="1">IF(AND('Planning Sheet'!DL329='Weeks Plan'!$D$6,'Planning Sheet'!DF329='Weeks Plan'!$G$6),'Planning Sheet'!$B329,"")</f>
        <v/>
      </c>
      <c r="Z5264" s="48" t="str">
        <f ca="1">IF(AND('Planning Sheet'!DL329='Weeks Plan'!$D$6,'Planning Sheet'!DF329='Weeks Plan'!$G$6),'Planning Sheet'!$DG329,"")</f>
        <v/>
      </c>
      <c r="AA5264" s="48" t="str">
        <f ca="1">IF(AND('Planning Sheet'!DL329='Weeks Plan'!$D$6,'Planning Sheet'!DF329='Weeks Plan'!$G$6),'Planning Sheet'!$DH329,"")</f>
        <v/>
      </c>
    </row>
    <row r="5265" spans="25:27" x14ac:dyDescent="0.3">
      <c r="Y5265" s="48" t="str">
        <f ca="1">IF(AND('Planning Sheet'!DL330='Weeks Plan'!$D$6,'Planning Sheet'!DF330='Weeks Plan'!$G$6),'Planning Sheet'!$B330,"")</f>
        <v/>
      </c>
      <c r="Z5265" s="48" t="str">
        <f ca="1">IF(AND('Planning Sheet'!DL330='Weeks Plan'!$D$6,'Planning Sheet'!DF330='Weeks Plan'!$G$6),'Planning Sheet'!$DG330,"")</f>
        <v/>
      </c>
      <c r="AA5265" s="48" t="str">
        <f ca="1">IF(AND('Planning Sheet'!DL330='Weeks Plan'!$D$6,'Planning Sheet'!DF330='Weeks Plan'!$G$6),'Planning Sheet'!$DH330,"")</f>
        <v/>
      </c>
    </row>
    <row r="5266" spans="25:27" x14ac:dyDescent="0.3">
      <c r="Y5266" s="48" t="str">
        <f ca="1">IF(AND('Planning Sheet'!DL331='Weeks Plan'!$D$6,'Planning Sheet'!DF331='Weeks Plan'!$G$6),'Planning Sheet'!$B331,"")</f>
        <v/>
      </c>
      <c r="Z5266" s="48" t="str">
        <f ca="1">IF(AND('Planning Sheet'!DL331='Weeks Plan'!$D$6,'Planning Sheet'!DF331='Weeks Plan'!$G$6),'Planning Sheet'!$DG331,"")</f>
        <v/>
      </c>
      <c r="AA5266" s="48" t="str">
        <f ca="1">IF(AND('Planning Sheet'!DL331='Weeks Plan'!$D$6,'Planning Sheet'!DF331='Weeks Plan'!$G$6),'Planning Sheet'!$DH331,"")</f>
        <v/>
      </c>
    </row>
    <row r="5267" spans="25:27" x14ac:dyDescent="0.3">
      <c r="Y5267" s="48" t="str">
        <f ca="1">IF(AND('Planning Sheet'!DL332='Weeks Plan'!$D$6,'Planning Sheet'!DF332='Weeks Plan'!$G$6),'Planning Sheet'!$B332,"")</f>
        <v/>
      </c>
      <c r="Z5267" s="48" t="str">
        <f ca="1">IF(AND('Planning Sheet'!DL332='Weeks Plan'!$D$6,'Planning Sheet'!DF332='Weeks Plan'!$G$6),'Planning Sheet'!$DG332,"")</f>
        <v/>
      </c>
      <c r="AA5267" s="48" t="str">
        <f ca="1">IF(AND('Planning Sheet'!DL332='Weeks Plan'!$D$6,'Planning Sheet'!DF332='Weeks Plan'!$G$6),'Planning Sheet'!$DH332,"")</f>
        <v/>
      </c>
    </row>
    <row r="5268" spans="25:27" x14ac:dyDescent="0.3">
      <c r="Y5268" s="48" t="str">
        <f ca="1">IF(AND('Planning Sheet'!DL333='Weeks Plan'!$D$6,'Planning Sheet'!DF333='Weeks Plan'!$G$6),'Planning Sheet'!$B333,"")</f>
        <v/>
      </c>
      <c r="Z5268" s="48" t="str">
        <f ca="1">IF(AND('Planning Sheet'!DL333='Weeks Plan'!$D$6,'Planning Sheet'!DF333='Weeks Plan'!$G$6),'Planning Sheet'!$DG333,"")</f>
        <v/>
      </c>
      <c r="AA5268" s="48" t="str">
        <f ca="1">IF(AND('Planning Sheet'!DL333='Weeks Plan'!$D$6,'Planning Sheet'!DF333='Weeks Plan'!$G$6),'Planning Sheet'!$DH333,"")</f>
        <v/>
      </c>
    </row>
    <row r="5269" spans="25:27" x14ac:dyDescent="0.3">
      <c r="Y5269" s="48" t="str">
        <f ca="1">IF(AND('Planning Sheet'!DL334='Weeks Plan'!$D$6,'Planning Sheet'!DF334='Weeks Plan'!$G$6),'Planning Sheet'!$B334,"")</f>
        <v/>
      </c>
      <c r="Z5269" s="48" t="str">
        <f ca="1">IF(AND('Planning Sheet'!DL334='Weeks Plan'!$D$6,'Planning Sheet'!DF334='Weeks Plan'!$G$6),'Planning Sheet'!$DG334,"")</f>
        <v/>
      </c>
      <c r="AA5269" s="48" t="str">
        <f ca="1">IF(AND('Planning Sheet'!DL334='Weeks Plan'!$D$6,'Planning Sheet'!DF334='Weeks Plan'!$G$6),'Planning Sheet'!$DH334,"")</f>
        <v/>
      </c>
    </row>
    <row r="5270" spans="25:27" x14ac:dyDescent="0.3">
      <c r="Y5270" s="48" t="str">
        <f ca="1">IF(AND('Planning Sheet'!DL335='Weeks Plan'!$D$6,'Planning Sheet'!DF335='Weeks Plan'!$G$6),'Planning Sheet'!$B335,"")</f>
        <v/>
      </c>
      <c r="Z5270" s="48" t="str">
        <f ca="1">IF(AND('Planning Sheet'!DL335='Weeks Plan'!$D$6,'Planning Sheet'!DF335='Weeks Plan'!$G$6),'Planning Sheet'!$DG335,"")</f>
        <v/>
      </c>
      <c r="AA5270" s="48" t="str">
        <f ca="1">IF(AND('Planning Sheet'!DL335='Weeks Plan'!$D$6,'Planning Sheet'!DF335='Weeks Plan'!$G$6),'Planning Sheet'!$DH335,"")</f>
        <v/>
      </c>
    </row>
    <row r="5271" spans="25:27" x14ac:dyDescent="0.3">
      <c r="Y5271" s="48" t="str">
        <f ca="1">IF(AND('Planning Sheet'!DL336='Weeks Plan'!$D$6,'Planning Sheet'!DF336='Weeks Plan'!$G$6),'Planning Sheet'!$B336,"")</f>
        <v/>
      </c>
      <c r="Z5271" s="48" t="str">
        <f ca="1">IF(AND('Planning Sheet'!DL336='Weeks Plan'!$D$6,'Planning Sheet'!DF336='Weeks Plan'!$G$6),'Planning Sheet'!$DG336,"")</f>
        <v/>
      </c>
      <c r="AA5271" s="48" t="str">
        <f ca="1">IF(AND('Planning Sheet'!DL336='Weeks Plan'!$D$6,'Planning Sheet'!DF336='Weeks Plan'!$G$6),'Planning Sheet'!$DH336,"")</f>
        <v/>
      </c>
    </row>
    <row r="5272" spans="25:27" x14ac:dyDescent="0.3">
      <c r="Y5272" s="48" t="str">
        <f ca="1">IF(AND('Planning Sheet'!DL337='Weeks Plan'!$D$6,'Planning Sheet'!DF337='Weeks Plan'!$G$6),'Planning Sheet'!$B337,"")</f>
        <v/>
      </c>
      <c r="Z5272" s="48" t="str">
        <f ca="1">IF(AND('Planning Sheet'!DL337='Weeks Plan'!$D$6,'Planning Sheet'!DF337='Weeks Plan'!$G$6),'Planning Sheet'!$DG337,"")</f>
        <v/>
      </c>
      <c r="AA5272" s="48" t="str">
        <f ca="1">IF(AND('Planning Sheet'!DL337='Weeks Plan'!$D$6,'Planning Sheet'!DF337='Weeks Plan'!$G$6),'Planning Sheet'!$DH337,"")</f>
        <v/>
      </c>
    </row>
    <row r="5273" spans="25:27" x14ac:dyDescent="0.3">
      <c r="Y5273" s="48" t="str">
        <f ca="1">IF(AND('Planning Sheet'!DL338='Weeks Plan'!$D$6,'Planning Sheet'!DF338='Weeks Plan'!$G$6),'Planning Sheet'!$B338,"")</f>
        <v/>
      </c>
      <c r="Z5273" s="48" t="str">
        <f ca="1">IF(AND('Planning Sheet'!DL338='Weeks Plan'!$D$6,'Planning Sheet'!DF338='Weeks Plan'!$G$6),'Planning Sheet'!$DG338,"")</f>
        <v/>
      </c>
      <c r="AA5273" s="48" t="str">
        <f ca="1">IF(AND('Planning Sheet'!DL338='Weeks Plan'!$D$6,'Planning Sheet'!DF338='Weeks Plan'!$G$6),'Planning Sheet'!$DH338,"")</f>
        <v/>
      </c>
    </row>
    <row r="5274" spans="25:27" x14ac:dyDescent="0.3">
      <c r="Y5274" s="48" t="str">
        <f ca="1">IF(AND('Planning Sheet'!DL339='Weeks Plan'!$D$6,'Planning Sheet'!DF339='Weeks Plan'!$G$6),'Planning Sheet'!$B339,"")</f>
        <v/>
      </c>
      <c r="Z5274" s="48" t="str">
        <f ca="1">IF(AND('Planning Sheet'!DL339='Weeks Plan'!$D$6,'Planning Sheet'!DF339='Weeks Plan'!$G$6),'Planning Sheet'!$DG339,"")</f>
        <v/>
      </c>
      <c r="AA5274" s="48" t="str">
        <f ca="1">IF(AND('Planning Sheet'!DL339='Weeks Plan'!$D$6,'Planning Sheet'!DF339='Weeks Plan'!$G$6),'Planning Sheet'!$DH339,"")</f>
        <v/>
      </c>
    </row>
    <row r="5275" spans="25:27" x14ac:dyDescent="0.3">
      <c r="Y5275" s="48" t="str">
        <f ca="1">IF(AND('Planning Sheet'!DL340='Weeks Plan'!$D$6,'Planning Sheet'!DF340='Weeks Plan'!$G$6),'Planning Sheet'!$B340,"")</f>
        <v/>
      </c>
      <c r="Z5275" s="48" t="str">
        <f ca="1">IF(AND('Planning Sheet'!DL340='Weeks Plan'!$D$6,'Planning Sheet'!DF340='Weeks Plan'!$G$6),'Planning Sheet'!$DG340,"")</f>
        <v/>
      </c>
      <c r="AA5275" s="48" t="str">
        <f ca="1">IF(AND('Planning Sheet'!DL340='Weeks Plan'!$D$6,'Planning Sheet'!DF340='Weeks Plan'!$G$6),'Planning Sheet'!$DH340,"")</f>
        <v/>
      </c>
    </row>
    <row r="5276" spans="25:27" x14ac:dyDescent="0.3">
      <c r="Y5276" s="48" t="str">
        <f ca="1">IF(AND('Planning Sheet'!DL341='Weeks Plan'!$D$6,'Planning Sheet'!DF341='Weeks Plan'!$G$6),'Planning Sheet'!$B341,"")</f>
        <v/>
      </c>
      <c r="Z5276" s="48" t="str">
        <f ca="1">IF(AND('Planning Sheet'!DL341='Weeks Plan'!$D$6,'Planning Sheet'!DF341='Weeks Plan'!$G$6),'Planning Sheet'!$DG341,"")</f>
        <v/>
      </c>
      <c r="AA5276" s="48" t="str">
        <f ca="1">IF(AND('Planning Sheet'!DL341='Weeks Plan'!$D$6,'Planning Sheet'!DF341='Weeks Plan'!$G$6),'Planning Sheet'!$DH341,"")</f>
        <v/>
      </c>
    </row>
    <row r="5277" spans="25:27" x14ac:dyDescent="0.3">
      <c r="Y5277" s="48" t="str">
        <f ca="1">IF(AND('Planning Sheet'!DL342='Weeks Plan'!$D$6,'Planning Sheet'!DF342='Weeks Plan'!$G$6),'Planning Sheet'!$B342,"")</f>
        <v/>
      </c>
      <c r="Z5277" s="48" t="str">
        <f ca="1">IF(AND('Planning Sheet'!DL342='Weeks Plan'!$D$6,'Planning Sheet'!DF342='Weeks Plan'!$G$6),'Planning Sheet'!$DG342,"")</f>
        <v/>
      </c>
      <c r="AA5277" s="48" t="str">
        <f ca="1">IF(AND('Planning Sheet'!DL342='Weeks Plan'!$D$6,'Planning Sheet'!DF342='Weeks Plan'!$G$6),'Planning Sheet'!$DH342,"")</f>
        <v/>
      </c>
    </row>
    <row r="5278" spans="25:27" x14ac:dyDescent="0.3">
      <c r="Y5278" s="48" t="str">
        <f ca="1">IF(AND('Planning Sheet'!DL343='Weeks Plan'!$D$6,'Planning Sheet'!DF343='Weeks Plan'!$G$6),'Planning Sheet'!$B343,"")</f>
        <v/>
      </c>
      <c r="Z5278" s="48" t="str">
        <f ca="1">IF(AND('Planning Sheet'!DL343='Weeks Plan'!$D$6,'Planning Sheet'!DF343='Weeks Plan'!$G$6),'Planning Sheet'!$DG343,"")</f>
        <v/>
      </c>
      <c r="AA5278" s="48" t="str">
        <f ca="1">IF(AND('Planning Sheet'!DL343='Weeks Plan'!$D$6,'Planning Sheet'!DF343='Weeks Plan'!$G$6),'Planning Sheet'!$DH343,"")</f>
        <v/>
      </c>
    </row>
    <row r="5279" spans="25:27" x14ac:dyDescent="0.3">
      <c r="Y5279" s="48" t="str">
        <f ca="1">IF(AND('Planning Sheet'!DL344='Weeks Plan'!$D$6,'Planning Sheet'!DF344='Weeks Plan'!$G$6),'Planning Sheet'!$B344,"")</f>
        <v/>
      </c>
      <c r="Z5279" s="48" t="str">
        <f ca="1">IF(AND('Planning Sheet'!DL344='Weeks Plan'!$D$6,'Planning Sheet'!DF344='Weeks Plan'!$G$6),'Planning Sheet'!$DG344,"")</f>
        <v/>
      </c>
      <c r="AA5279" s="48" t="str">
        <f ca="1">IF(AND('Planning Sheet'!DL344='Weeks Plan'!$D$6,'Planning Sheet'!DF344='Weeks Plan'!$G$6),'Planning Sheet'!$DH344,"")</f>
        <v/>
      </c>
    </row>
    <row r="5280" spans="25:27" x14ac:dyDescent="0.3">
      <c r="Y5280" s="48" t="str">
        <f ca="1">IF(AND('Planning Sheet'!DL345='Weeks Plan'!$D$6,'Planning Sheet'!DF345='Weeks Plan'!$G$6),'Planning Sheet'!$B345,"")</f>
        <v/>
      </c>
      <c r="Z5280" s="48" t="str">
        <f ca="1">IF(AND('Planning Sheet'!DL345='Weeks Plan'!$D$6,'Planning Sheet'!DF345='Weeks Plan'!$G$6),'Planning Sheet'!$DG345,"")</f>
        <v/>
      </c>
      <c r="AA5280" s="48" t="str">
        <f ca="1">IF(AND('Planning Sheet'!DL345='Weeks Plan'!$D$6,'Planning Sheet'!DF345='Weeks Plan'!$G$6),'Planning Sheet'!$DH345,"")</f>
        <v/>
      </c>
    </row>
    <row r="5281" spans="25:27" x14ac:dyDescent="0.3">
      <c r="Y5281" s="48" t="str">
        <f ca="1">IF(AND('Planning Sheet'!DL346='Weeks Plan'!$D$6,'Planning Sheet'!DF346='Weeks Plan'!$G$6),'Planning Sheet'!$B346,"")</f>
        <v/>
      </c>
      <c r="Z5281" s="48" t="str">
        <f ca="1">IF(AND('Planning Sheet'!DL346='Weeks Plan'!$D$6,'Planning Sheet'!DF346='Weeks Plan'!$G$6),'Planning Sheet'!$DG346,"")</f>
        <v/>
      </c>
      <c r="AA5281" s="48" t="str">
        <f ca="1">IF(AND('Planning Sheet'!DL346='Weeks Plan'!$D$6,'Planning Sheet'!DF346='Weeks Plan'!$G$6),'Planning Sheet'!$DH346,"")</f>
        <v/>
      </c>
    </row>
    <row r="5282" spans="25:27" x14ac:dyDescent="0.3">
      <c r="Y5282" s="48" t="str">
        <f ca="1">IF(AND('Planning Sheet'!DL347='Weeks Plan'!$D$6,'Planning Sheet'!DF347='Weeks Plan'!$G$6),'Planning Sheet'!$B347,"")</f>
        <v/>
      </c>
      <c r="Z5282" s="48" t="str">
        <f ca="1">IF(AND('Planning Sheet'!DL347='Weeks Plan'!$D$6,'Planning Sheet'!DF347='Weeks Plan'!$G$6),'Planning Sheet'!$DG347,"")</f>
        <v/>
      </c>
      <c r="AA5282" s="48" t="str">
        <f ca="1">IF(AND('Planning Sheet'!DL347='Weeks Plan'!$D$6,'Planning Sheet'!DF347='Weeks Plan'!$G$6),'Planning Sheet'!$DH347,"")</f>
        <v/>
      </c>
    </row>
    <row r="5283" spans="25:27" x14ac:dyDescent="0.3">
      <c r="Y5283" s="48" t="str">
        <f ca="1">IF(AND('Planning Sheet'!DL348='Weeks Plan'!$D$6,'Planning Sheet'!DF348='Weeks Plan'!$G$6),'Planning Sheet'!$B348,"")</f>
        <v/>
      </c>
      <c r="Z5283" s="48" t="str">
        <f ca="1">IF(AND('Planning Sheet'!DL348='Weeks Plan'!$D$6,'Planning Sheet'!DF348='Weeks Plan'!$G$6),'Planning Sheet'!$DG348,"")</f>
        <v/>
      </c>
      <c r="AA5283" s="48" t="str">
        <f ca="1">IF(AND('Planning Sheet'!DL348='Weeks Plan'!$D$6,'Planning Sheet'!DF348='Weeks Plan'!$G$6),'Planning Sheet'!$DH348,"")</f>
        <v/>
      </c>
    </row>
    <row r="5284" spans="25:27" x14ac:dyDescent="0.3">
      <c r="Y5284" s="48" t="str">
        <f ca="1">IF(AND('Planning Sheet'!DL349='Weeks Plan'!$D$6,'Planning Sheet'!DF349='Weeks Plan'!$G$6),'Planning Sheet'!$B349,"")</f>
        <v/>
      </c>
      <c r="Z5284" s="48" t="str">
        <f ca="1">IF(AND('Planning Sheet'!DL349='Weeks Plan'!$D$6,'Planning Sheet'!DF349='Weeks Plan'!$G$6),'Planning Sheet'!$DG349,"")</f>
        <v/>
      </c>
      <c r="AA5284" s="48" t="str">
        <f ca="1">IF(AND('Planning Sheet'!DL349='Weeks Plan'!$D$6,'Planning Sheet'!DF349='Weeks Plan'!$G$6),'Planning Sheet'!$DH349,"")</f>
        <v/>
      </c>
    </row>
    <row r="5285" spans="25:27" x14ac:dyDescent="0.3">
      <c r="Y5285" s="48" t="str">
        <f ca="1">IF(AND('Planning Sheet'!DL350='Weeks Plan'!$D$6,'Planning Sheet'!DF350='Weeks Plan'!$G$6),'Planning Sheet'!$B350,"")</f>
        <v/>
      </c>
      <c r="Z5285" s="48" t="str">
        <f ca="1">IF(AND('Planning Sheet'!DL350='Weeks Plan'!$D$6,'Planning Sheet'!DF350='Weeks Plan'!$G$6),'Planning Sheet'!$DG350,"")</f>
        <v/>
      </c>
      <c r="AA5285" s="48" t="str">
        <f ca="1">IF(AND('Planning Sheet'!DL350='Weeks Plan'!$D$6,'Planning Sheet'!DF350='Weeks Plan'!$G$6),'Planning Sheet'!$DH350,"")</f>
        <v/>
      </c>
    </row>
    <row r="5286" spans="25:27" x14ac:dyDescent="0.3">
      <c r="Y5286" s="48" t="str">
        <f ca="1">IF(AND('Planning Sheet'!DL351='Weeks Plan'!$D$6,'Planning Sheet'!DF351='Weeks Plan'!$G$6),'Planning Sheet'!$B351,"")</f>
        <v/>
      </c>
      <c r="Z5286" s="48" t="str">
        <f ca="1">IF(AND('Planning Sheet'!DL351='Weeks Plan'!$D$6,'Planning Sheet'!DF351='Weeks Plan'!$G$6),'Planning Sheet'!$DG351,"")</f>
        <v/>
      </c>
      <c r="AA5286" s="48" t="str">
        <f ca="1">IF(AND('Planning Sheet'!DL351='Weeks Plan'!$D$6,'Planning Sheet'!DF351='Weeks Plan'!$G$6),'Planning Sheet'!$DH351,"")</f>
        <v/>
      </c>
    </row>
    <row r="5287" spans="25:27" x14ac:dyDescent="0.3">
      <c r="Y5287" s="48" t="str">
        <f ca="1">IF(AND('Planning Sheet'!DL352='Weeks Plan'!$D$6,'Planning Sheet'!DF352='Weeks Plan'!$G$6),'Planning Sheet'!$B352,"")</f>
        <v/>
      </c>
      <c r="Z5287" s="48" t="str">
        <f ca="1">IF(AND('Planning Sheet'!DL352='Weeks Plan'!$D$6,'Planning Sheet'!DF352='Weeks Plan'!$G$6),'Planning Sheet'!$DG352,"")</f>
        <v/>
      </c>
      <c r="AA5287" s="48" t="str">
        <f ca="1">IF(AND('Planning Sheet'!DL352='Weeks Plan'!$D$6,'Planning Sheet'!DF352='Weeks Plan'!$G$6),'Planning Sheet'!$DH352,"")</f>
        <v/>
      </c>
    </row>
    <row r="5288" spans="25:27" x14ac:dyDescent="0.3">
      <c r="Y5288" s="48" t="str">
        <f ca="1">IF(AND('Planning Sheet'!DL353='Weeks Plan'!$D$6,'Planning Sheet'!DF353='Weeks Plan'!$G$6),'Planning Sheet'!$B353,"")</f>
        <v/>
      </c>
      <c r="Z5288" s="48" t="str">
        <f ca="1">IF(AND('Planning Sheet'!DL353='Weeks Plan'!$D$6,'Planning Sheet'!DF353='Weeks Plan'!$G$6),'Planning Sheet'!$DG353,"")</f>
        <v/>
      </c>
      <c r="AA5288" s="48" t="str">
        <f ca="1">IF(AND('Planning Sheet'!DL353='Weeks Plan'!$D$6,'Planning Sheet'!DF353='Weeks Plan'!$G$6),'Planning Sheet'!$DH353,"")</f>
        <v/>
      </c>
    </row>
    <row r="5289" spans="25:27" x14ac:dyDescent="0.3">
      <c r="Y5289" s="48" t="str">
        <f ca="1">IF(AND('Planning Sheet'!DL354='Weeks Plan'!$D$6,'Planning Sheet'!DF354='Weeks Plan'!$G$6),'Planning Sheet'!$B354,"")</f>
        <v/>
      </c>
      <c r="Z5289" s="48" t="str">
        <f ca="1">IF(AND('Planning Sheet'!DL354='Weeks Plan'!$D$6,'Planning Sheet'!DF354='Weeks Plan'!$G$6),'Planning Sheet'!$DG354,"")</f>
        <v/>
      </c>
      <c r="AA5289" s="48" t="str">
        <f ca="1">IF(AND('Planning Sheet'!DL354='Weeks Plan'!$D$6,'Planning Sheet'!DF354='Weeks Plan'!$G$6),'Planning Sheet'!$DH354,"")</f>
        <v/>
      </c>
    </row>
    <row r="5290" spans="25:27" x14ac:dyDescent="0.3">
      <c r="Y5290" s="48" t="str">
        <f ca="1">IF(AND('Planning Sheet'!DL355='Weeks Plan'!$D$6,'Planning Sheet'!DF355='Weeks Plan'!$G$6),'Planning Sheet'!$B355,"")</f>
        <v/>
      </c>
      <c r="Z5290" s="48" t="str">
        <f ca="1">IF(AND('Planning Sheet'!DL355='Weeks Plan'!$D$6,'Planning Sheet'!DF355='Weeks Plan'!$G$6),'Planning Sheet'!$DG355,"")</f>
        <v/>
      </c>
      <c r="AA5290" s="48" t="str">
        <f ca="1">IF(AND('Planning Sheet'!DL355='Weeks Plan'!$D$6,'Planning Sheet'!DF355='Weeks Plan'!$G$6),'Planning Sheet'!$DH355,"")</f>
        <v/>
      </c>
    </row>
    <row r="5291" spans="25:27" x14ac:dyDescent="0.3">
      <c r="Y5291" s="48" t="str">
        <f ca="1">IF(AND('Planning Sheet'!DL356='Weeks Plan'!$D$6,'Planning Sheet'!DF356='Weeks Plan'!$G$6),'Planning Sheet'!$B356,"")</f>
        <v/>
      </c>
      <c r="Z5291" s="48" t="str">
        <f ca="1">IF(AND('Planning Sheet'!DL356='Weeks Plan'!$D$6,'Planning Sheet'!DF356='Weeks Plan'!$G$6),'Planning Sheet'!$DG356,"")</f>
        <v/>
      </c>
      <c r="AA5291" s="48" t="str">
        <f ca="1">IF(AND('Planning Sheet'!DL356='Weeks Plan'!$D$6,'Planning Sheet'!DF356='Weeks Plan'!$G$6),'Planning Sheet'!$DH356,"")</f>
        <v/>
      </c>
    </row>
    <row r="5292" spans="25:27" x14ac:dyDescent="0.3">
      <c r="Y5292" s="48" t="str">
        <f ca="1">IF(AND('Planning Sheet'!DL357='Weeks Plan'!$D$6,'Planning Sheet'!DF357='Weeks Plan'!$G$6),'Planning Sheet'!$B357,"")</f>
        <v/>
      </c>
      <c r="Z5292" s="48" t="str">
        <f ca="1">IF(AND('Planning Sheet'!DL357='Weeks Plan'!$D$6,'Planning Sheet'!DF357='Weeks Plan'!$G$6),'Planning Sheet'!$DG357,"")</f>
        <v/>
      </c>
      <c r="AA5292" s="48" t="str">
        <f ca="1">IF(AND('Planning Sheet'!DL357='Weeks Plan'!$D$6,'Planning Sheet'!DF357='Weeks Plan'!$G$6),'Planning Sheet'!$DH357,"")</f>
        <v/>
      </c>
    </row>
    <row r="5293" spans="25:27" x14ac:dyDescent="0.3">
      <c r="Y5293" s="48" t="str">
        <f ca="1">IF(AND('Planning Sheet'!DL358='Weeks Plan'!$D$6,'Planning Sheet'!DF358='Weeks Plan'!$G$6),'Planning Sheet'!$B358,"")</f>
        <v/>
      </c>
      <c r="Z5293" s="48" t="str">
        <f ca="1">IF(AND('Planning Sheet'!DL358='Weeks Plan'!$D$6,'Planning Sheet'!DF358='Weeks Plan'!$G$6),'Planning Sheet'!$DG358,"")</f>
        <v/>
      </c>
      <c r="AA5293" s="48" t="str">
        <f ca="1">IF(AND('Planning Sheet'!DL358='Weeks Plan'!$D$6,'Planning Sheet'!DF358='Weeks Plan'!$G$6),'Planning Sheet'!$DH358,"")</f>
        <v/>
      </c>
    </row>
    <row r="5294" spans="25:27" x14ac:dyDescent="0.3">
      <c r="Y5294" s="48" t="str">
        <f ca="1">IF(AND('Planning Sheet'!DL359='Weeks Plan'!$D$6,'Planning Sheet'!DF359='Weeks Plan'!$G$6),'Planning Sheet'!$B359,"")</f>
        <v/>
      </c>
      <c r="Z5294" s="48" t="str">
        <f ca="1">IF(AND('Planning Sheet'!DL359='Weeks Plan'!$D$6,'Planning Sheet'!DF359='Weeks Plan'!$G$6),'Planning Sheet'!$DG359,"")</f>
        <v/>
      </c>
      <c r="AA5294" s="48" t="str">
        <f ca="1">IF(AND('Planning Sheet'!DL359='Weeks Plan'!$D$6,'Planning Sheet'!DF359='Weeks Plan'!$G$6),'Planning Sheet'!$DH359,"")</f>
        <v/>
      </c>
    </row>
    <row r="5295" spans="25:27" x14ac:dyDescent="0.3">
      <c r="Y5295" s="48" t="str">
        <f ca="1">IF(AND('Planning Sheet'!DL360='Weeks Plan'!$D$6,'Planning Sheet'!DF360='Weeks Plan'!$G$6),'Planning Sheet'!$B360,"")</f>
        <v/>
      </c>
      <c r="Z5295" s="48" t="str">
        <f ca="1">IF(AND('Planning Sheet'!DL360='Weeks Plan'!$D$6,'Planning Sheet'!DF360='Weeks Plan'!$G$6),'Planning Sheet'!$DG360,"")</f>
        <v/>
      </c>
      <c r="AA5295" s="48" t="str">
        <f ca="1">IF(AND('Planning Sheet'!DL360='Weeks Plan'!$D$6,'Planning Sheet'!DF360='Weeks Plan'!$G$6),'Planning Sheet'!$DH360,"")</f>
        <v/>
      </c>
    </row>
    <row r="5296" spans="25:27" x14ac:dyDescent="0.3">
      <c r="Y5296" s="48" t="str">
        <f ca="1">IF(AND('Planning Sheet'!DL361='Weeks Plan'!$D$6,'Planning Sheet'!DF361='Weeks Plan'!$G$6),'Planning Sheet'!$B361,"")</f>
        <v/>
      </c>
      <c r="Z5296" s="48" t="str">
        <f ca="1">IF(AND('Planning Sheet'!DL361='Weeks Plan'!$D$6,'Planning Sheet'!DF361='Weeks Plan'!$G$6),'Planning Sheet'!$DG361,"")</f>
        <v/>
      </c>
      <c r="AA5296" s="48" t="str">
        <f ca="1">IF(AND('Planning Sheet'!DL361='Weeks Plan'!$D$6,'Planning Sheet'!DF361='Weeks Plan'!$G$6),'Planning Sheet'!$DH361,"")</f>
        <v/>
      </c>
    </row>
    <row r="5297" spans="25:27" x14ac:dyDescent="0.3">
      <c r="Y5297" s="48" t="str">
        <f ca="1">IF(AND('Planning Sheet'!DL362='Weeks Plan'!$D$6,'Planning Sheet'!DF362='Weeks Plan'!$G$6),'Planning Sheet'!$B362,"")</f>
        <v/>
      </c>
      <c r="Z5297" s="48" t="str">
        <f ca="1">IF(AND('Planning Sheet'!DL362='Weeks Plan'!$D$6,'Planning Sheet'!DF362='Weeks Plan'!$G$6),'Planning Sheet'!$DG362,"")</f>
        <v/>
      </c>
      <c r="AA5297" s="48" t="str">
        <f ca="1">IF(AND('Planning Sheet'!DL362='Weeks Plan'!$D$6,'Planning Sheet'!DF362='Weeks Plan'!$G$6),'Planning Sheet'!$DH362,"")</f>
        <v/>
      </c>
    </row>
    <row r="5298" spans="25:27" x14ac:dyDescent="0.3">
      <c r="Y5298" s="48" t="str">
        <f ca="1">IF(AND('Planning Sheet'!DL363='Weeks Plan'!$D$6,'Planning Sheet'!DF363='Weeks Plan'!$G$6),'Planning Sheet'!$B363,"")</f>
        <v/>
      </c>
      <c r="Z5298" s="48" t="str">
        <f ca="1">IF(AND('Planning Sheet'!DL363='Weeks Plan'!$D$6,'Planning Sheet'!DF363='Weeks Plan'!$G$6),'Planning Sheet'!$DG363,"")</f>
        <v/>
      </c>
      <c r="AA5298" s="48" t="str">
        <f ca="1">IF(AND('Planning Sheet'!DL363='Weeks Plan'!$D$6,'Planning Sheet'!DF363='Weeks Plan'!$G$6),'Planning Sheet'!$DH363,"")</f>
        <v/>
      </c>
    </row>
    <row r="5299" spans="25:27" x14ac:dyDescent="0.3">
      <c r="Y5299" s="48" t="str">
        <f ca="1">IF(AND('Planning Sheet'!DL364='Weeks Plan'!$D$6,'Planning Sheet'!DF364='Weeks Plan'!$G$6),'Planning Sheet'!$B364,"")</f>
        <v/>
      </c>
      <c r="Z5299" s="48" t="str">
        <f ca="1">IF(AND('Planning Sheet'!DL364='Weeks Plan'!$D$6,'Planning Sheet'!DF364='Weeks Plan'!$G$6),'Planning Sheet'!$DG364,"")</f>
        <v/>
      </c>
      <c r="AA5299" s="48" t="str">
        <f ca="1">IF(AND('Planning Sheet'!DL364='Weeks Plan'!$D$6,'Planning Sheet'!DF364='Weeks Plan'!$G$6),'Planning Sheet'!$DH364,"")</f>
        <v/>
      </c>
    </row>
    <row r="5300" spans="25:27" x14ac:dyDescent="0.3">
      <c r="Y5300" s="48" t="str">
        <f ca="1">IF(AND('Planning Sheet'!DL365='Weeks Plan'!$D$6,'Planning Sheet'!DF365='Weeks Plan'!$G$6),'Planning Sheet'!$B365,"")</f>
        <v/>
      </c>
      <c r="Z5300" s="48" t="str">
        <f ca="1">IF(AND('Planning Sheet'!DL365='Weeks Plan'!$D$6,'Planning Sheet'!DF365='Weeks Plan'!$G$6),'Planning Sheet'!$DG365,"")</f>
        <v/>
      </c>
      <c r="AA5300" s="48" t="str">
        <f ca="1">IF(AND('Planning Sheet'!DL365='Weeks Plan'!$D$6,'Planning Sheet'!DF365='Weeks Plan'!$G$6),'Planning Sheet'!$DH365,"")</f>
        <v/>
      </c>
    </row>
    <row r="5301" spans="25:27" x14ac:dyDescent="0.3">
      <c r="Y5301" s="48" t="str">
        <f ca="1">IF(AND('Planning Sheet'!DL366='Weeks Plan'!$D$6,'Planning Sheet'!DF366='Weeks Plan'!$G$6),'Planning Sheet'!$B366,"")</f>
        <v/>
      </c>
      <c r="Z5301" s="48" t="str">
        <f ca="1">IF(AND('Planning Sheet'!DL366='Weeks Plan'!$D$6,'Planning Sheet'!DF366='Weeks Plan'!$G$6),'Planning Sheet'!$DG366,"")</f>
        <v/>
      </c>
      <c r="AA5301" s="48" t="str">
        <f ca="1">IF(AND('Planning Sheet'!DL366='Weeks Plan'!$D$6,'Planning Sheet'!DF366='Weeks Plan'!$G$6),'Planning Sheet'!$DH366,"")</f>
        <v/>
      </c>
    </row>
    <row r="5302" spans="25:27" x14ac:dyDescent="0.3">
      <c r="Y5302" s="48" t="str">
        <f ca="1">IF(AND('Planning Sheet'!DL367='Weeks Plan'!$D$6,'Planning Sheet'!DF367='Weeks Plan'!$G$6),'Planning Sheet'!$B367,"")</f>
        <v/>
      </c>
      <c r="Z5302" s="48" t="str">
        <f ca="1">IF(AND('Planning Sheet'!DL367='Weeks Plan'!$D$6,'Planning Sheet'!DF367='Weeks Plan'!$G$6),'Planning Sheet'!$DG367,"")</f>
        <v/>
      </c>
      <c r="AA5302" s="48" t="str">
        <f ca="1">IF(AND('Planning Sheet'!DL367='Weeks Plan'!$D$6,'Planning Sheet'!DF367='Weeks Plan'!$G$6),'Planning Sheet'!$DH367,"")</f>
        <v/>
      </c>
    </row>
    <row r="5303" spans="25:27" x14ac:dyDescent="0.3">
      <c r="Y5303" s="48" t="str">
        <f ca="1">IF(AND('Planning Sheet'!DL368='Weeks Plan'!$D$6,'Planning Sheet'!DF368='Weeks Plan'!$G$6),'Planning Sheet'!$B368,"")</f>
        <v/>
      </c>
      <c r="Z5303" s="48" t="str">
        <f ca="1">IF(AND('Planning Sheet'!DL368='Weeks Plan'!$D$6,'Planning Sheet'!DF368='Weeks Plan'!$G$6),'Planning Sheet'!$DG368,"")</f>
        <v/>
      </c>
      <c r="AA5303" s="48" t="str">
        <f ca="1">IF(AND('Planning Sheet'!DL368='Weeks Plan'!$D$6,'Planning Sheet'!DF368='Weeks Plan'!$G$6),'Planning Sheet'!$DH368,"")</f>
        <v/>
      </c>
    </row>
    <row r="5304" spans="25:27" x14ac:dyDescent="0.3">
      <c r="Y5304" s="48" t="str">
        <f ca="1">IF(AND('Planning Sheet'!DL369='Weeks Plan'!$D$6,'Planning Sheet'!DF369='Weeks Plan'!$G$6),'Planning Sheet'!$B369,"")</f>
        <v/>
      </c>
      <c r="Z5304" s="48" t="str">
        <f ca="1">IF(AND('Planning Sheet'!DL369='Weeks Plan'!$D$6,'Planning Sheet'!DF369='Weeks Plan'!$G$6),'Planning Sheet'!$DG369,"")</f>
        <v/>
      </c>
      <c r="AA5304" s="48" t="str">
        <f ca="1">IF(AND('Planning Sheet'!DL369='Weeks Plan'!$D$6,'Planning Sheet'!DF369='Weeks Plan'!$G$6),'Planning Sheet'!$DH369,"")</f>
        <v/>
      </c>
    </row>
    <row r="5305" spans="25:27" x14ac:dyDescent="0.3">
      <c r="Y5305" s="48" t="str">
        <f ca="1">IF(AND('Planning Sheet'!DL370='Weeks Plan'!$D$6,'Planning Sheet'!DF370='Weeks Plan'!$G$6),'Planning Sheet'!$B370,"")</f>
        <v/>
      </c>
      <c r="Z5305" s="48" t="str">
        <f ca="1">IF(AND('Planning Sheet'!DL370='Weeks Plan'!$D$6,'Planning Sheet'!DF370='Weeks Plan'!$G$6),'Planning Sheet'!$DG370,"")</f>
        <v/>
      </c>
      <c r="AA5305" s="48" t="str">
        <f ca="1">IF(AND('Planning Sheet'!DL370='Weeks Plan'!$D$6,'Planning Sheet'!DF370='Weeks Plan'!$G$6),'Planning Sheet'!$DH370,"")</f>
        <v/>
      </c>
    </row>
    <row r="5306" spans="25:27" x14ac:dyDescent="0.3">
      <c r="Y5306" s="48" t="str">
        <f ca="1">IF(AND('Planning Sheet'!DL371='Weeks Plan'!$D$6,'Planning Sheet'!DF371='Weeks Plan'!$G$6),'Planning Sheet'!$B371,"")</f>
        <v/>
      </c>
      <c r="Z5306" s="48" t="str">
        <f ca="1">IF(AND('Planning Sheet'!DL371='Weeks Plan'!$D$6,'Planning Sheet'!DF371='Weeks Plan'!$G$6),'Planning Sheet'!$DG371,"")</f>
        <v/>
      </c>
      <c r="AA5306" s="48" t="str">
        <f ca="1">IF(AND('Planning Sheet'!DL371='Weeks Plan'!$D$6,'Planning Sheet'!DF371='Weeks Plan'!$G$6),'Planning Sheet'!$DH371,"")</f>
        <v/>
      </c>
    </row>
    <row r="5307" spans="25:27" x14ac:dyDescent="0.3">
      <c r="Y5307" s="48" t="str">
        <f ca="1">IF(AND('Planning Sheet'!DL372='Weeks Plan'!$D$6,'Planning Sheet'!DF372='Weeks Plan'!$G$6),'Planning Sheet'!$B372,"")</f>
        <v/>
      </c>
      <c r="Z5307" s="48" t="str">
        <f ca="1">IF(AND('Planning Sheet'!DL372='Weeks Plan'!$D$6,'Planning Sheet'!DF372='Weeks Plan'!$G$6),'Planning Sheet'!$DG372,"")</f>
        <v/>
      </c>
      <c r="AA5307" s="48" t="str">
        <f ca="1">IF(AND('Planning Sheet'!DL372='Weeks Plan'!$D$6,'Planning Sheet'!DF372='Weeks Plan'!$G$6),'Planning Sheet'!$DH372,"")</f>
        <v/>
      </c>
    </row>
    <row r="5308" spans="25:27" x14ac:dyDescent="0.3">
      <c r="Y5308" s="48" t="str">
        <f ca="1">IF(AND('Planning Sheet'!DL373='Weeks Plan'!$D$6,'Planning Sheet'!DF373='Weeks Plan'!$G$6),'Planning Sheet'!$B373,"")</f>
        <v/>
      </c>
      <c r="Z5308" s="48" t="str">
        <f ca="1">IF(AND('Planning Sheet'!DL373='Weeks Plan'!$D$6,'Planning Sheet'!DF373='Weeks Plan'!$G$6),'Planning Sheet'!$DG373,"")</f>
        <v/>
      </c>
      <c r="AA5308" s="48" t="str">
        <f ca="1">IF(AND('Planning Sheet'!DL373='Weeks Plan'!$D$6,'Planning Sheet'!DF373='Weeks Plan'!$G$6),'Planning Sheet'!$DH373,"")</f>
        <v/>
      </c>
    </row>
    <row r="5309" spans="25:27" x14ac:dyDescent="0.3">
      <c r="Y5309" s="48" t="str">
        <f ca="1">IF(AND('Planning Sheet'!DL374='Weeks Plan'!$D$6,'Planning Sheet'!DF374='Weeks Plan'!$G$6),'Planning Sheet'!$B374,"")</f>
        <v/>
      </c>
      <c r="Z5309" s="48" t="str">
        <f ca="1">IF(AND('Planning Sheet'!DL374='Weeks Plan'!$D$6,'Planning Sheet'!DF374='Weeks Plan'!$G$6),'Planning Sheet'!$DG374,"")</f>
        <v/>
      </c>
      <c r="AA5309" s="48" t="str">
        <f ca="1">IF(AND('Planning Sheet'!DL374='Weeks Plan'!$D$6,'Planning Sheet'!DF374='Weeks Plan'!$G$6),'Planning Sheet'!$DH374,"")</f>
        <v/>
      </c>
    </row>
    <row r="5310" spans="25:27" x14ac:dyDescent="0.3">
      <c r="Y5310" s="48" t="str">
        <f ca="1">IF(AND('Planning Sheet'!DL375='Weeks Plan'!$D$6,'Planning Sheet'!DF375='Weeks Plan'!$G$6),'Planning Sheet'!$B375,"")</f>
        <v/>
      </c>
      <c r="Z5310" s="48" t="str">
        <f ca="1">IF(AND('Planning Sheet'!DL375='Weeks Plan'!$D$6,'Planning Sheet'!DF375='Weeks Plan'!$G$6),'Planning Sheet'!$DG375,"")</f>
        <v/>
      </c>
      <c r="AA5310" s="48" t="str">
        <f ca="1">IF(AND('Planning Sheet'!DL375='Weeks Plan'!$D$6,'Planning Sheet'!DF375='Weeks Plan'!$G$6),'Planning Sheet'!$DH375,"")</f>
        <v/>
      </c>
    </row>
    <row r="5311" spans="25:27" x14ac:dyDescent="0.3">
      <c r="Y5311" s="48" t="str">
        <f ca="1">IF(AND('Planning Sheet'!DL376='Weeks Plan'!$D$6,'Planning Sheet'!DF376='Weeks Plan'!$G$6),'Planning Sheet'!$B376,"")</f>
        <v/>
      </c>
      <c r="Z5311" s="48" t="str">
        <f ca="1">IF(AND('Planning Sheet'!DL376='Weeks Plan'!$D$6,'Planning Sheet'!DF376='Weeks Plan'!$G$6),'Planning Sheet'!$DG376,"")</f>
        <v/>
      </c>
      <c r="AA5311" s="48" t="str">
        <f ca="1">IF(AND('Planning Sheet'!DL376='Weeks Plan'!$D$6,'Planning Sheet'!DF376='Weeks Plan'!$G$6),'Planning Sheet'!$DH376,"")</f>
        <v/>
      </c>
    </row>
    <row r="5312" spans="25:27" x14ac:dyDescent="0.3">
      <c r="Y5312" s="48" t="str">
        <f ca="1">IF(AND('Planning Sheet'!DL377='Weeks Plan'!$D$6,'Planning Sheet'!DF377='Weeks Plan'!$G$6),'Planning Sheet'!$B377,"")</f>
        <v/>
      </c>
      <c r="Z5312" s="48" t="str">
        <f ca="1">IF(AND('Planning Sheet'!DL377='Weeks Plan'!$D$6,'Planning Sheet'!DF377='Weeks Plan'!$G$6),'Planning Sheet'!$DG377,"")</f>
        <v/>
      </c>
      <c r="AA5312" s="48" t="str">
        <f ca="1">IF(AND('Planning Sheet'!DL377='Weeks Plan'!$D$6,'Planning Sheet'!DF377='Weeks Plan'!$G$6),'Planning Sheet'!$DH377,"")</f>
        <v/>
      </c>
    </row>
    <row r="5313" spans="25:27" x14ac:dyDescent="0.3">
      <c r="Y5313" s="48" t="str">
        <f ca="1">IF(AND('Planning Sheet'!DL378='Weeks Plan'!$D$6,'Planning Sheet'!DF378='Weeks Plan'!$G$6),'Planning Sheet'!$B378,"")</f>
        <v/>
      </c>
      <c r="Z5313" s="48" t="str">
        <f ca="1">IF(AND('Planning Sheet'!DL378='Weeks Plan'!$D$6,'Planning Sheet'!DF378='Weeks Plan'!$G$6),'Planning Sheet'!$DG378,"")</f>
        <v/>
      </c>
      <c r="AA5313" s="48" t="str">
        <f ca="1">IF(AND('Planning Sheet'!DL378='Weeks Plan'!$D$6,'Planning Sheet'!DF378='Weeks Plan'!$G$6),'Planning Sheet'!$DH378,"")</f>
        <v/>
      </c>
    </row>
    <row r="5314" spans="25:27" x14ac:dyDescent="0.3">
      <c r="Y5314" s="48" t="str">
        <f ca="1">IF(AND('Planning Sheet'!DL379='Weeks Plan'!$D$6,'Planning Sheet'!DF379='Weeks Plan'!$G$6),'Planning Sheet'!$B379,"")</f>
        <v/>
      </c>
      <c r="Z5314" s="48" t="str">
        <f ca="1">IF(AND('Planning Sheet'!DL379='Weeks Plan'!$D$6,'Planning Sheet'!DF379='Weeks Plan'!$G$6),'Planning Sheet'!$DG379,"")</f>
        <v/>
      </c>
      <c r="AA5314" s="48" t="str">
        <f ca="1">IF(AND('Planning Sheet'!DL379='Weeks Plan'!$D$6,'Planning Sheet'!DF379='Weeks Plan'!$G$6),'Planning Sheet'!$DH379,"")</f>
        <v/>
      </c>
    </row>
    <row r="5315" spans="25:27" x14ac:dyDescent="0.3">
      <c r="Y5315" s="48" t="str">
        <f ca="1">IF(AND('Planning Sheet'!DL380='Weeks Plan'!$D$6,'Planning Sheet'!DF380='Weeks Plan'!$G$6),'Planning Sheet'!$B380,"")</f>
        <v/>
      </c>
      <c r="Z5315" s="48" t="str">
        <f ca="1">IF(AND('Planning Sheet'!DL380='Weeks Plan'!$D$6,'Planning Sheet'!DF380='Weeks Plan'!$G$6),'Planning Sheet'!$DG380,"")</f>
        <v/>
      </c>
      <c r="AA5315" s="48" t="str">
        <f ca="1">IF(AND('Planning Sheet'!DL380='Weeks Plan'!$D$6,'Planning Sheet'!DF380='Weeks Plan'!$G$6),'Planning Sheet'!$DH380,"")</f>
        <v/>
      </c>
    </row>
    <row r="5316" spans="25:27" x14ac:dyDescent="0.3">
      <c r="Y5316" s="48" t="str">
        <f ca="1">IF(AND('Planning Sheet'!DL381='Weeks Plan'!$D$6,'Planning Sheet'!DF381='Weeks Plan'!$G$6),'Planning Sheet'!$B381,"")</f>
        <v/>
      </c>
      <c r="Z5316" s="48" t="str">
        <f ca="1">IF(AND('Planning Sheet'!DL381='Weeks Plan'!$D$6,'Planning Sheet'!DF381='Weeks Plan'!$G$6),'Planning Sheet'!$DG381,"")</f>
        <v/>
      </c>
      <c r="AA5316" s="48" t="str">
        <f ca="1">IF(AND('Planning Sheet'!DL381='Weeks Plan'!$D$6,'Planning Sheet'!DF381='Weeks Plan'!$G$6),'Planning Sheet'!$DH381,"")</f>
        <v/>
      </c>
    </row>
    <row r="5317" spans="25:27" x14ac:dyDescent="0.3">
      <c r="Y5317" s="48" t="str">
        <f ca="1">IF(AND('Planning Sheet'!DL382='Weeks Plan'!$D$6,'Planning Sheet'!DF382='Weeks Plan'!$G$6),'Planning Sheet'!$B382,"")</f>
        <v/>
      </c>
      <c r="Z5317" s="48" t="str">
        <f ca="1">IF(AND('Planning Sheet'!DL382='Weeks Plan'!$D$6,'Planning Sheet'!DF382='Weeks Plan'!$G$6),'Planning Sheet'!$DG382,"")</f>
        <v/>
      </c>
      <c r="AA5317" s="48" t="str">
        <f ca="1">IF(AND('Planning Sheet'!DL382='Weeks Plan'!$D$6,'Planning Sheet'!DF382='Weeks Plan'!$G$6),'Planning Sheet'!$DH382,"")</f>
        <v/>
      </c>
    </row>
    <row r="5318" spans="25:27" x14ac:dyDescent="0.3">
      <c r="Y5318" s="48" t="str">
        <f ca="1">IF(AND('Planning Sheet'!DL383='Weeks Plan'!$D$6,'Planning Sheet'!DF383='Weeks Plan'!$G$6),'Planning Sheet'!$B383,"")</f>
        <v/>
      </c>
      <c r="Z5318" s="48" t="str">
        <f ca="1">IF(AND('Planning Sheet'!DL383='Weeks Plan'!$D$6,'Planning Sheet'!DF383='Weeks Plan'!$G$6),'Planning Sheet'!$DG383,"")</f>
        <v/>
      </c>
      <c r="AA5318" s="48" t="str">
        <f ca="1">IF(AND('Planning Sheet'!DL383='Weeks Plan'!$D$6,'Planning Sheet'!DF383='Weeks Plan'!$G$6),'Planning Sheet'!$DH383,"")</f>
        <v/>
      </c>
    </row>
    <row r="5319" spans="25:27" x14ac:dyDescent="0.3">
      <c r="Y5319" s="48" t="str">
        <f ca="1">IF(AND('Planning Sheet'!DL384='Weeks Plan'!$D$6,'Planning Sheet'!DF384='Weeks Plan'!$G$6),'Planning Sheet'!$B384,"")</f>
        <v/>
      </c>
      <c r="Z5319" s="48" t="str">
        <f ca="1">IF(AND('Planning Sheet'!DL384='Weeks Plan'!$D$6,'Planning Sheet'!DF384='Weeks Plan'!$G$6),'Planning Sheet'!$DG384,"")</f>
        <v/>
      </c>
      <c r="AA5319" s="48" t="str">
        <f ca="1">IF(AND('Planning Sheet'!DL384='Weeks Plan'!$D$6,'Planning Sheet'!DF384='Weeks Plan'!$G$6),'Planning Sheet'!$DH384,"")</f>
        <v/>
      </c>
    </row>
    <row r="5320" spans="25:27" x14ac:dyDescent="0.3">
      <c r="Y5320" s="48" t="str">
        <f ca="1">IF(AND('Planning Sheet'!DL385='Weeks Plan'!$D$6,'Planning Sheet'!DF385='Weeks Plan'!$G$6),'Planning Sheet'!$B385,"")</f>
        <v/>
      </c>
      <c r="Z5320" s="48" t="str">
        <f ca="1">IF(AND('Planning Sheet'!DL385='Weeks Plan'!$D$6,'Planning Sheet'!DF385='Weeks Plan'!$G$6),'Planning Sheet'!$DG385,"")</f>
        <v/>
      </c>
      <c r="AA5320" s="48" t="str">
        <f ca="1">IF(AND('Planning Sheet'!DL385='Weeks Plan'!$D$6,'Planning Sheet'!DF385='Weeks Plan'!$G$6),'Planning Sheet'!$DH385,"")</f>
        <v/>
      </c>
    </row>
    <row r="5321" spans="25:27" x14ac:dyDescent="0.3">
      <c r="Y5321" s="48" t="str">
        <f ca="1">IF(AND('Planning Sheet'!DL386='Weeks Plan'!$D$6,'Planning Sheet'!DF386='Weeks Plan'!$G$6),'Planning Sheet'!$B386,"")</f>
        <v/>
      </c>
      <c r="Z5321" s="48" t="str">
        <f ca="1">IF(AND('Planning Sheet'!DL386='Weeks Plan'!$D$6,'Planning Sheet'!DF386='Weeks Plan'!$G$6),'Planning Sheet'!$DG386,"")</f>
        <v/>
      </c>
      <c r="AA5321" s="48" t="str">
        <f ca="1">IF(AND('Planning Sheet'!DL386='Weeks Plan'!$D$6,'Planning Sheet'!DF386='Weeks Plan'!$G$6),'Planning Sheet'!$DH386,"")</f>
        <v/>
      </c>
    </row>
    <row r="5322" spans="25:27" x14ac:dyDescent="0.3">
      <c r="Y5322" s="48" t="str">
        <f ca="1">IF(AND('Planning Sheet'!DL387='Weeks Plan'!$D$6,'Planning Sheet'!DF387='Weeks Plan'!$G$6),'Planning Sheet'!$B387,"")</f>
        <v/>
      </c>
      <c r="Z5322" s="48" t="str">
        <f ca="1">IF(AND('Planning Sheet'!DL387='Weeks Plan'!$D$6,'Planning Sheet'!DF387='Weeks Plan'!$G$6),'Planning Sheet'!$DG387,"")</f>
        <v/>
      </c>
      <c r="AA5322" s="48" t="str">
        <f ca="1">IF(AND('Planning Sheet'!DL387='Weeks Plan'!$D$6,'Planning Sheet'!DF387='Weeks Plan'!$G$6),'Planning Sheet'!$DH387,"")</f>
        <v/>
      </c>
    </row>
    <row r="5323" spans="25:27" x14ac:dyDescent="0.3">
      <c r="Y5323" s="48" t="str">
        <f ca="1">IF(AND('Planning Sheet'!DL388='Weeks Plan'!$D$6,'Planning Sheet'!DF388='Weeks Plan'!$G$6),'Planning Sheet'!$B388,"")</f>
        <v/>
      </c>
      <c r="Z5323" s="48" t="str">
        <f ca="1">IF(AND('Planning Sheet'!DL388='Weeks Plan'!$D$6,'Planning Sheet'!DF388='Weeks Plan'!$G$6),'Planning Sheet'!$DG388,"")</f>
        <v/>
      </c>
      <c r="AA5323" s="48" t="str">
        <f ca="1">IF(AND('Planning Sheet'!DL388='Weeks Plan'!$D$6,'Planning Sheet'!DF388='Weeks Plan'!$G$6),'Planning Sheet'!$DH388,"")</f>
        <v/>
      </c>
    </row>
    <row r="5324" spans="25:27" x14ac:dyDescent="0.3">
      <c r="Y5324" s="48" t="str">
        <f ca="1">IF(AND('Planning Sheet'!DL389='Weeks Plan'!$D$6,'Planning Sheet'!DF389='Weeks Plan'!$G$6),'Planning Sheet'!$B389,"")</f>
        <v/>
      </c>
      <c r="Z5324" s="48" t="str">
        <f ca="1">IF(AND('Planning Sheet'!DL389='Weeks Plan'!$D$6,'Planning Sheet'!DF389='Weeks Plan'!$G$6),'Planning Sheet'!$DG389,"")</f>
        <v/>
      </c>
      <c r="AA5324" s="48" t="str">
        <f ca="1">IF(AND('Planning Sheet'!DL389='Weeks Plan'!$D$6,'Planning Sheet'!DF389='Weeks Plan'!$G$6),'Planning Sheet'!$DH389,"")</f>
        <v/>
      </c>
    </row>
    <row r="5325" spans="25:27" x14ac:dyDescent="0.3">
      <c r="Y5325" s="48" t="str">
        <f ca="1">IF(AND('Planning Sheet'!DL390='Weeks Plan'!$D$6,'Planning Sheet'!DF390='Weeks Plan'!$G$6),'Planning Sheet'!$B390,"")</f>
        <v/>
      </c>
      <c r="Z5325" s="48" t="str">
        <f ca="1">IF(AND('Planning Sheet'!DL390='Weeks Plan'!$D$6,'Planning Sheet'!DF390='Weeks Plan'!$G$6),'Planning Sheet'!$DG390,"")</f>
        <v/>
      </c>
      <c r="AA5325" s="48" t="str">
        <f ca="1">IF(AND('Planning Sheet'!DL390='Weeks Plan'!$D$6,'Planning Sheet'!DF390='Weeks Plan'!$G$6),'Planning Sheet'!$DH390,"")</f>
        <v/>
      </c>
    </row>
    <row r="5326" spans="25:27" x14ac:dyDescent="0.3">
      <c r="Y5326" s="48" t="str">
        <f ca="1">IF(AND('Planning Sheet'!DL391='Weeks Plan'!$D$6,'Planning Sheet'!DF391='Weeks Plan'!$G$6),'Planning Sheet'!$B391,"")</f>
        <v/>
      </c>
      <c r="Z5326" s="48" t="str">
        <f ca="1">IF(AND('Planning Sheet'!DL391='Weeks Plan'!$D$6,'Planning Sheet'!DF391='Weeks Plan'!$G$6),'Planning Sheet'!$DG391,"")</f>
        <v/>
      </c>
      <c r="AA5326" s="48" t="str">
        <f ca="1">IF(AND('Planning Sheet'!DL391='Weeks Plan'!$D$6,'Planning Sheet'!DF391='Weeks Plan'!$G$6),'Planning Sheet'!$DH391,"")</f>
        <v/>
      </c>
    </row>
    <row r="5327" spans="25:27" x14ac:dyDescent="0.3">
      <c r="Y5327" s="48" t="str">
        <f ca="1">IF(AND('Planning Sheet'!DL392='Weeks Plan'!$D$6,'Planning Sheet'!DF392='Weeks Plan'!$G$6),'Planning Sheet'!$B392,"")</f>
        <v/>
      </c>
      <c r="Z5327" s="48" t="str">
        <f ca="1">IF(AND('Planning Sheet'!DL392='Weeks Plan'!$D$6,'Planning Sheet'!DF392='Weeks Plan'!$G$6),'Planning Sheet'!$DG392,"")</f>
        <v/>
      </c>
      <c r="AA5327" s="48" t="str">
        <f ca="1">IF(AND('Planning Sheet'!DL392='Weeks Plan'!$D$6,'Planning Sheet'!DF392='Weeks Plan'!$G$6),'Planning Sheet'!$DH392,"")</f>
        <v/>
      </c>
    </row>
    <row r="5328" spans="25:27" x14ac:dyDescent="0.3">
      <c r="Y5328" s="48" t="str">
        <f ca="1">IF(AND('Planning Sheet'!DL393='Weeks Plan'!$D$6,'Planning Sheet'!DF393='Weeks Plan'!$G$6),'Planning Sheet'!$B393,"")</f>
        <v/>
      </c>
      <c r="Z5328" s="48" t="str">
        <f ca="1">IF(AND('Planning Sheet'!DL393='Weeks Plan'!$D$6,'Planning Sheet'!DF393='Weeks Plan'!$G$6),'Planning Sheet'!$DG393,"")</f>
        <v/>
      </c>
      <c r="AA5328" s="48" t="str">
        <f ca="1">IF(AND('Planning Sheet'!DL393='Weeks Plan'!$D$6,'Planning Sheet'!DF393='Weeks Plan'!$G$6),'Planning Sheet'!$DH393,"")</f>
        <v/>
      </c>
    </row>
    <row r="5329" spans="25:27" x14ac:dyDescent="0.3">
      <c r="Y5329" s="48" t="str">
        <f ca="1">IF(AND('Planning Sheet'!DL394='Weeks Plan'!$D$6,'Planning Sheet'!DF394='Weeks Plan'!$G$6),'Planning Sheet'!$B394,"")</f>
        <v/>
      </c>
      <c r="Z5329" s="48" t="str">
        <f ca="1">IF(AND('Planning Sheet'!DL394='Weeks Plan'!$D$6,'Planning Sheet'!DF394='Weeks Plan'!$G$6),'Planning Sheet'!$DG394,"")</f>
        <v/>
      </c>
      <c r="AA5329" s="48" t="str">
        <f ca="1">IF(AND('Planning Sheet'!DL394='Weeks Plan'!$D$6,'Planning Sheet'!DF394='Weeks Plan'!$G$6),'Planning Sheet'!$DH394,"")</f>
        <v/>
      </c>
    </row>
    <row r="5330" spans="25:27" x14ac:dyDescent="0.3">
      <c r="Y5330" s="48" t="str">
        <f ca="1">IF(AND('Planning Sheet'!DL395='Weeks Plan'!$D$6,'Planning Sheet'!DF395='Weeks Plan'!$G$6),'Planning Sheet'!$B395,"")</f>
        <v/>
      </c>
      <c r="Z5330" s="48" t="str">
        <f ca="1">IF(AND('Planning Sheet'!DL395='Weeks Plan'!$D$6,'Planning Sheet'!DF395='Weeks Plan'!$G$6),'Planning Sheet'!$DG395,"")</f>
        <v/>
      </c>
      <c r="AA5330" s="48" t="str">
        <f ca="1">IF(AND('Planning Sheet'!DL395='Weeks Plan'!$D$6,'Planning Sheet'!DF395='Weeks Plan'!$G$6),'Planning Sheet'!$DH395,"")</f>
        <v/>
      </c>
    </row>
    <row r="5331" spans="25:27" x14ac:dyDescent="0.3">
      <c r="Y5331" s="48" t="str">
        <f ca="1">IF(AND('Planning Sheet'!DL396='Weeks Plan'!$D$6,'Planning Sheet'!DF396='Weeks Plan'!$G$6),'Planning Sheet'!$B396,"")</f>
        <v/>
      </c>
      <c r="Z5331" s="48" t="str">
        <f ca="1">IF(AND('Planning Sheet'!DL396='Weeks Plan'!$D$6,'Planning Sheet'!DF396='Weeks Plan'!$G$6),'Planning Sheet'!$DG396,"")</f>
        <v/>
      </c>
      <c r="AA5331" s="48" t="str">
        <f ca="1">IF(AND('Planning Sheet'!DL396='Weeks Plan'!$D$6,'Planning Sheet'!DF396='Weeks Plan'!$G$6),'Planning Sheet'!$DH396,"")</f>
        <v/>
      </c>
    </row>
    <row r="5332" spans="25:27" x14ac:dyDescent="0.3">
      <c r="Y5332" s="48" t="str">
        <f ca="1">IF(AND('Planning Sheet'!DL397='Weeks Plan'!$D$6,'Planning Sheet'!DF397='Weeks Plan'!$G$6),'Planning Sheet'!$B397,"")</f>
        <v/>
      </c>
      <c r="Z5332" s="48" t="str">
        <f ca="1">IF(AND('Planning Sheet'!DL397='Weeks Plan'!$D$6,'Planning Sheet'!DF397='Weeks Plan'!$G$6),'Planning Sheet'!$DG397,"")</f>
        <v/>
      </c>
      <c r="AA5332" s="48" t="str">
        <f ca="1">IF(AND('Planning Sheet'!DL397='Weeks Plan'!$D$6,'Planning Sheet'!DF397='Weeks Plan'!$G$6),'Planning Sheet'!$DH397,"")</f>
        <v/>
      </c>
    </row>
    <row r="5333" spans="25:27" x14ac:dyDescent="0.3">
      <c r="Y5333" s="48" t="str">
        <f ca="1">IF(AND('Planning Sheet'!DL398='Weeks Plan'!$D$6,'Planning Sheet'!DF398='Weeks Plan'!$G$6),'Planning Sheet'!$B398,"")</f>
        <v/>
      </c>
      <c r="Z5333" s="48" t="str">
        <f ca="1">IF(AND('Planning Sheet'!DL398='Weeks Plan'!$D$6,'Planning Sheet'!DF398='Weeks Plan'!$G$6),'Planning Sheet'!$DG398,"")</f>
        <v/>
      </c>
      <c r="AA5333" s="48" t="str">
        <f ca="1">IF(AND('Planning Sheet'!DL398='Weeks Plan'!$D$6,'Planning Sheet'!DF398='Weeks Plan'!$G$6),'Planning Sheet'!$DH398,"")</f>
        <v/>
      </c>
    </row>
    <row r="5334" spans="25:27" x14ac:dyDescent="0.3">
      <c r="Y5334" s="48" t="str">
        <f ca="1">IF(AND('Planning Sheet'!DL399='Weeks Plan'!$D$6,'Planning Sheet'!DF399='Weeks Plan'!$G$6),'Planning Sheet'!$B399,"")</f>
        <v/>
      </c>
      <c r="Z5334" s="48" t="str">
        <f ca="1">IF(AND('Planning Sheet'!DL399='Weeks Plan'!$D$6,'Planning Sheet'!DF399='Weeks Plan'!$G$6),'Planning Sheet'!$DG399,"")</f>
        <v/>
      </c>
      <c r="AA5334" s="48" t="str">
        <f ca="1">IF(AND('Planning Sheet'!DL399='Weeks Plan'!$D$6,'Planning Sheet'!DF399='Weeks Plan'!$G$6),'Planning Sheet'!$DH399,"")</f>
        <v/>
      </c>
    </row>
    <row r="5335" spans="25:27" x14ac:dyDescent="0.3">
      <c r="Y5335" s="48" t="str">
        <f ca="1">IF(AND('Planning Sheet'!DL400='Weeks Plan'!$D$6,'Planning Sheet'!DF400='Weeks Plan'!$G$6),'Planning Sheet'!$B400,"")</f>
        <v/>
      </c>
      <c r="Z5335" s="48" t="str">
        <f ca="1">IF(AND('Planning Sheet'!DL400='Weeks Plan'!$D$6,'Planning Sheet'!DF400='Weeks Plan'!$G$6),'Planning Sheet'!$DG400,"")</f>
        <v/>
      </c>
      <c r="AA5335" s="48" t="str">
        <f ca="1">IF(AND('Planning Sheet'!DL400='Weeks Plan'!$D$6,'Planning Sheet'!DF400='Weeks Plan'!$G$6),'Planning Sheet'!$DH400,"")</f>
        <v/>
      </c>
    </row>
    <row r="5336" spans="25:27" x14ac:dyDescent="0.3">
      <c r="Y5336" s="48" t="str">
        <f ca="1">IF(AND('Planning Sheet'!DL401='Weeks Plan'!$D$6,'Planning Sheet'!DF401='Weeks Plan'!$G$6),'Planning Sheet'!$B401,"")</f>
        <v/>
      </c>
      <c r="Z5336" s="48" t="str">
        <f ca="1">IF(AND('Planning Sheet'!DL401='Weeks Plan'!$D$6,'Planning Sheet'!DF401='Weeks Plan'!$G$6),'Planning Sheet'!$DG401,"")</f>
        <v/>
      </c>
      <c r="AA5336" s="48" t="str">
        <f ca="1">IF(AND('Planning Sheet'!DL401='Weeks Plan'!$D$6,'Planning Sheet'!DF401='Weeks Plan'!$G$6),'Planning Sheet'!$DH401,"")</f>
        <v/>
      </c>
    </row>
    <row r="5337" spans="25:27" x14ac:dyDescent="0.3">
      <c r="Y5337" s="48" t="str">
        <f ca="1">IF(AND('Planning Sheet'!DL402='Weeks Plan'!$D$6,'Planning Sheet'!DF402='Weeks Plan'!$G$6),'Planning Sheet'!$B402,"")</f>
        <v/>
      </c>
      <c r="Z5337" s="48" t="str">
        <f ca="1">IF(AND('Planning Sheet'!DL402='Weeks Plan'!$D$6,'Planning Sheet'!DF402='Weeks Plan'!$G$6),'Planning Sheet'!$DG402,"")</f>
        <v/>
      </c>
      <c r="AA5337" s="48" t="str">
        <f ca="1">IF(AND('Planning Sheet'!DL402='Weeks Plan'!$D$6,'Planning Sheet'!DF402='Weeks Plan'!$G$6),'Planning Sheet'!$DH402,"")</f>
        <v/>
      </c>
    </row>
    <row r="5338" spans="25:27" x14ac:dyDescent="0.3">
      <c r="Y5338" s="48" t="str">
        <f ca="1">IF(AND('Planning Sheet'!DL403='Weeks Plan'!$D$6,'Planning Sheet'!DF403='Weeks Plan'!$G$6),'Planning Sheet'!$B403,"")</f>
        <v/>
      </c>
      <c r="Z5338" s="48" t="str">
        <f ca="1">IF(AND('Planning Sheet'!DL403='Weeks Plan'!$D$6,'Planning Sheet'!DF403='Weeks Plan'!$G$6),'Planning Sheet'!$DG403,"")</f>
        <v/>
      </c>
      <c r="AA5338" s="48" t="str">
        <f ca="1">IF(AND('Planning Sheet'!DL403='Weeks Plan'!$D$6,'Planning Sheet'!DF403='Weeks Plan'!$G$6),'Planning Sheet'!$DH403,"")</f>
        <v/>
      </c>
    </row>
    <row r="5339" spans="25:27" x14ac:dyDescent="0.3">
      <c r="Y5339" s="48" t="str">
        <f ca="1">IF(AND('Planning Sheet'!DL404='Weeks Plan'!$D$6,'Planning Sheet'!DF404='Weeks Plan'!$G$6),'Planning Sheet'!$B404,"")</f>
        <v/>
      </c>
      <c r="Z5339" s="48" t="str">
        <f ca="1">IF(AND('Planning Sheet'!DL404='Weeks Plan'!$D$6,'Planning Sheet'!DF404='Weeks Plan'!$G$6),'Planning Sheet'!$DG404,"")</f>
        <v/>
      </c>
      <c r="AA5339" s="48" t="str">
        <f ca="1">IF(AND('Planning Sheet'!DL404='Weeks Plan'!$D$6,'Planning Sheet'!DF404='Weeks Plan'!$G$6),'Planning Sheet'!$DH404,"")</f>
        <v/>
      </c>
    </row>
    <row r="5340" spans="25:27" x14ac:dyDescent="0.3">
      <c r="Y5340" s="48" t="str">
        <f ca="1">IF(AND('Planning Sheet'!DL405='Weeks Plan'!$D$6,'Planning Sheet'!DF405='Weeks Plan'!$G$6),'Planning Sheet'!$B405,"")</f>
        <v/>
      </c>
      <c r="Z5340" s="48" t="str">
        <f ca="1">IF(AND('Planning Sheet'!DL405='Weeks Plan'!$D$6,'Planning Sheet'!DF405='Weeks Plan'!$G$6),'Planning Sheet'!$DG405,"")</f>
        <v/>
      </c>
      <c r="AA5340" s="48" t="str">
        <f ca="1">IF(AND('Planning Sheet'!DL405='Weeks Plan'!$D$6,'Planning Sheet'!DF405='Weeks Plan'!$G$6),'Planning Sheet'!$DH405,"")</f>
        <v/>
      </c>
    </row>
    <row r="5341" spans="25:27" x14ac:dyDescent="0.3">
      <c r="Y5341" s="48" t="str">
        <f ca="1">IF(AND('Planning Sheet'!DL406='Weeks Plan'!$D$6,'Planning Sheet'!DF406='Weeks Plan'!$G$6),'Planning Sheet'!$B406,"")</f>
        <v/>
      </c>
      <c r="Z5341" s="48" t="str">
        <f ca="1">IF(AND('Planning Sheet'!DL406='Weeks Plan'!$D$6,'Planning Sheet'!DF406='Weeks Plan'!$G$6),'Planning Sheet'!$DG406,"")</f>
        <v/>
      </c>
      <c r="AA5341" s="48" t="str">
        <f ca="1">IF(AND('Planning Sheet'!DL406='Weeks Plan'!$D$6,'Planning Sheet'!DF406='Weeks Plan'!$G$6),'Planning Sheet'!$DH406,"")</f>
        <v/>
      </c>
    </row>
    <row r="5342" spans="25:27" x14ac:dyDescent="0.3">
      <c r="Y5342" s="48" t="str">
        <f ca="1">IF(AND('Planning Sheet'!DL407='Weeks Plan'!$D$6,'Planning Sheet'!DF407='Weeks Plan'!$G$6),'Planning Sheet'!$B407,"")</f>
        <v/>
      </c>
      <c r="Z5342" s="48" t="str">
        <f ca="1">IF(AND('Planning Sheet'!DL407='Weeks Plan'!$D$6,'Planning Sheet'!DF407='Weeks Plan'!$G$6),'Planning Sheet'!$DG407,"")</f>
        <v/>
      </c>
      <c r="AA5342" s="48" t="str">
        <f ca="1">IF(AND('Planning Sheet'!DL407='Weeks Plan'!$D$6,'Planning Sheet'!DF407='Weeks Plan'!$G$6),'Planning Sheet'!$DH407,"")</f>
        <v/>
      </c>
    </row>
    <row r="5343" spans="25:27" x14ac:dyDescent="0.3">
      <c r="Y5343" s="48" t="str">
        <f ca="1">IF(AND('Planning Sheet'!DL408='Weeks Plan'!$D$6,'Planning Sheet'!DF408='Weeks Plan'!$G$6),'Planning Sheet'!$B408,"")</f>
        <v/>
      </c>
      <c r="Z5343" s="48" t="str">
        <f ca="1">IF(AND('Planning Sheet'!DL408='Weeks Plan'!$D$6,'Planning Sheet'!DF408='Weeks Plan'!$G$6),'Planning Sheet'!$DG408,"")</f>
        <v/>
      </c>
      <c r="AA5343" s="48" t="str">
        <f ca="1">IF(AND('Planning Sheet'!DL408='Weeks Plan'!$D$6,'Planning Sheet'!DF408='Weeks Plan'!$G$6),'Planning Sheet'!$DH408,"")</f>
        <v/>
      </c>
    </row>
    <row r="5344" spans="25:27" x14ac:dyDescent="0.3">
      <c r="Y5344" s="48" t="str">
        <f ca="1">IF(AND('Planning Sheet'!DL409='Weeks Plan'!$D$6,'Planning Sheet'!DF409='Weeks Plan'!$G$6),'Planning Sheet'!$B409,"")</f>
        <v/>
      </c>
      <c r="Z5344" s="48" t="str">
        <f ca="1">IF(AND('Planning Sheet'!DL409='Weeks Plan'!$D$6,'Planning Sheet'!DF409='Weeks Plan'!$G$6),'Planning Sheet'!$DG409,"")</f>
        <v/>
      </c>
      <c r="AA5344" s="48" t="str">
        <f ca="1">IF(AND('Planning Sheet'!DL409='Weeks Plan'!$D$6,'Planning Sheet'!DF409='Weeks Plan'!$G$6),'Planning Sheet'!$DH409,"")</f>
        <v/>
      </c>
    </row>
    <row r="5345" spans="25:27" x14ac:dyDescent="0.3">
      <c r="Y5345" s="48" t="str">
        <f ca="1">IF(AND('Planning Sheet'!DL410='Weeks Plan'!$D$6,'Planning Sheet'!DF410='Weeks Plan'!$G$6),'Planning Sheet'!$B410,"")</f>
        <v/>
      </c>
      <c r="Z5345" s="48" t="str">
        <f ca="1">IF(AND('Planning Sheet'!DL410='Weeks Plan'!$D$6,'Planning Sheet'!DF410='Weeks Plan'!$G$6),'Planning Sheet'!$DG410,"")</f>
        <v/>
      </c>
      <c r="AA5345" s="48" t="str">
        <f ca="1">IF(AND('Planning Sheet'!DL410='Weeks Plan'!$D$6,'Planning Sheet'!DF410='Weeks Plan'!$G$6),'Planning Sheet'!$DH410,"")</f>
        <v/>
      </c>
    </row>
    <row r="5346" spans="25:27" x14ac:dyDescent="0.3">
      <c r="Y5346" s="48" t="str">
        <f ca="1">IF(AND('Planning Sheet'!DL411='Weeks Plan'!$D$6,'Planning Sheet'!DF411='Weeks Plan'!$G$6),'Planning Sheet'!$B411,"")</f>
        <v/>
      </c>
      <c r="Z5346" s="48" t="str">
        <f ca="1">IF(AND('Planning Sheet'!DL411='Weeks Plan'!$D$6,'Planning Sheet'!DF411='Weeks Plan'!$G$6),'Planning Sheet'!$DG411,"")</f>
        <v/>
      </c>
      <c r="AA5346" s="48" t="str">
        <f ca="1">IF(AND('Planning Sheet'!DL411='Weeks Plan'!$D$6,'Planning Sheet'!DF411='Weeks Plan'!$G$6),'Planning Sheet'!$DH411,"")</f>
        <v/>
      </c>
    </row>
    <row r="5347" spans="25:27" x14ac:dyDescent="0.3">
      <c r="Y5347" s="48" t="str">
        <f ca="1">IF(AND('Planning Sheet'!DL412='Weeks Plan'!$D$6,'Planning Sheet'!DF412='Weeks Plan'!$G$6),'Planning Sheet'!$B412,"")</f>
        <v/>
      </c>
      <c r="Z5347" s="48" t="str">
        <f ca="1">IF(AND('Planning Sheet'!DL412='Weeks Plan'!$D$6,'Planning Sheet'!DF412='Weeks Plan'!$G$6),'Planning Sheet'!$DG412,"")</f>
        <v/>
      </c>
      <c r="AA5347" s="48" t="str">
        <f ca="1">IF(AND('Planning Sheet'!DL412='Weeks Plan'!$D$6,'Planning Sheet'!DF412='Weeks Plan'!$G$6),'Planning Sheet'!$DH412,"")</f>
        <v/>
      </c>
    </row>
    <row r="5348" spans="25:27" x14ac:dyDescent="0.3">
      <c r="Y5348" s="48" t="str">
        <f ca="1">IF(AND('Planning Sheet'!DL413='Weeks Plan'!$D$6,'Planning Sheet'!DF413='Weeks Plan'!$G$6),'Planning Sheet'!$B413,"")</f>
        <v/>
      </c>
      <c r="Z5348" s="48" t="str">
        <f ca="1">IF(AND('Planning Sheet'!DL413='Weeks Plan'!$D$6,'Planning Sheet'!DF413='Weeks Plan'!$G$6),'Planning Sheet'!$DG413,"")</f>
        <v/>
      </c>
      <c r="AA5348" s="48" t="str">
        <f ca="1">IF(AND('Planning Sheet'!DL413='Weeks Plan'!$D$6,'Planning Sheet'!DF413='Weeks Plan'!$G$6),'Planning Sheet'!$DH413,"")</f>
        <v/>
      </c>
    </row>
    <row r="5349" spans="25:27" x14ac:dyDescent="0.3">
      <c r="Y5349" s="48" t="str">
        <f ca="1">IF(AND('Planning Sheet'!DL414='Weeks Plan'!$D$6,'Planning Sheet'!DF414='Weeks Plan'!$G$6),'Planning Sheet'!$B414,"")</f>
        <v/>
      </c>
      <c r="Z5349" s="48" t="str">
        <f ca="1">IF(AND('Planning Sheet'!DL414='Weeks Plan'!$D$6,'Planning Sheet'!DF414='Weeks Plan'!$G$6),'Planning Sheet'!$DG414,"")</f>
        <v/>
      </c>
      <c r="AA5349" s="48" t="str">
        <f ca="1">IF(AND('Planning Sheet'!DL414='Weeks Plan'!$D$6,'Planning Sheet'!DF414='Weeks Plan'!$G$6),'Planning Sheet'!$DH414,"")</f>
        <v/>
      </c>
    </row>
    <row r="5350" spans="25:27" x14ac:dyDescent="0.3">
      <c r="Y5350" s="48" t="str">
        <f ca="1">IF(AND('Planning Sheet'!DL415='Weeks Plan'!$D$6,'Planning Sheet'!DF415='Weeks Plan'!$G$6),'Planning Sheet'!$B415,"")</f>
        <v/>
      </c>
      <c r="Z5350" s="48" t="str">
        <f ca="1">IF(AND('Planning Sheet'!DL415='Weeks Plan'!$D$6,'Planning Sheet'!DF415='Weeks Plan'!$G$6),'Planning Sheet'!$DG415,"")</f>
        <v/>
      </c>
      <c r="AA5350" s="48" t="str">
        <f ca="1">IF(AND('Planning Sheet'!DL415='Weeks Plan'!$D$6,'Planning Sheet'!DF415='Weeks Plan'!$G$6),'Planning Sheet'!$DH415,"")</f>
        <v/>
      </c>
    </row>
    <row r="5351" spans="25:27" x14ac:dyDescent="0.3">
      <c r="Y5351" s="48" t="str">
        <f ca="1">IF(AND('Planning Sheet'!DL416='Weeks Plan'!$D$6,'Planning Sheet'!DF416='Weeks Plan'!$G$6),'Planning Sheet'!$B416,"")</f>
        <v/>
      </c>
      <c r="Z5351" s="48" t="str">
        <f ca="1">IF(AND('Planning Sheet'!DL416='Weeks Plan'!$D$6,'Planning Sheet'!DF416='Weeks Plan'!$G$6),'Planning Sheet'!$DG416,"")</f>
        <v/>
      </c>
      <c r="AA5351" s="48" t="str">
        <f ca="1">IF(AND('Planning Sheet'!DL416='Weeks Plan'!$D$6,'Planning Sheet'!DF416='Weeks Plan'!$G$6),'Planning Sheet'!$DH416,"")</f>
        <v/>
      </c>
    </row>
    <row r="5352" spans="25:27" x14ac:dyDescent="0.3">
      <c r="Y5352" s="48" t="str">
        <f ca="1">IF(AND('Planning Sheet'!DL417='Weeks Plan'!$D$6,'Planning Sheet'!DF417='Weeks Plan'!$G$6),'Planning Sheet'!$B417,"")</f>
        <v/>
      </c>
      <c r="Z5352" s="48" t="str">
        <f ca="1">IF(AND('Planning Sheet'!DL417='Weeks Plan'!$D$6,'Planning Sheet'!DF417='Weeks Plan'!$G$6),'Planning Sheet'!$DG417,"")</f>
        <v/>
      </c>
      <c r="AA5352" s="48" t="str">
        <f ca="1">IF(AND('Planning Sheet'!DL417='Weeks Plan'!$D$6,'Planning Sheet'!DF417='Weeks Plan'!$G$6),'Planning Sheet'!$DH417,"")</f>
        <v/>
      </c>
    </row>
    <row r="5353" spans="25:27" x14ac:dyDescent="0.3">
      <c r="Y5353" s="48" t="str">
        <f ca="1">IF(AND('Planning Sheet'!DL418='Weeks Plan'!$D$6,'Planning Sheet'!DF418='Weeks Plan'!$G$6),'Planning Sheet'!$B418,"")</f>
        <v/>
      </c>
      <c r="Z5353" s="48" t="str">
        <f ca="1">IF(AND('Planning Sheet'!DL418='Weeks Plan'!$D$6,'Planning Sheet'!DF418='Weeks Plan'!$G$6),'Planning Sheet'!$DG418,"")</f>
        <v/>
      </c>
      <c r="AA5353" s="48" t="str">
        <f ca="1">IF(AND('Planning Sheet'!DL418='Weeks Plan'!$D$6,'Planning Sheet'!DF418='Weeks Plan'!$G$6),'Planning Sheet'!$DH418,"")</f>
        <v/>
      </c>
    </row>
    <row r="5354" spans="25:27" x14ac:dyDescent="0.3">
      <c r="Y5354" s="48" t="str">
        <f ca="1">IF(AND('Planning Sheet'!DL419='Weeks Plan'!$D$6,'Planning Sheet'!DF419='Weeks Plan'!$G$6),'Planning Sheet'!$B419,"")</f>
        <v/>
      </c>
      <c r="Z5354" s="48" t="str">
        <f ca="1">IF(AND('Planning Sheet'!DL419='Weeks Plan'!$D$6,'Planning Sheet'!DF419='Weeks Plan'!$G$6),'Planning Sheet'!$DG419,"")</f>
        <v/>
      </c>
      <c r="AA5354" s="48" t="str">
        <f ca="1">IF(AND('Planning Sheet'!DL419='Weeks Plan'!$D$6,'Planning Sheet'!DF419='Weeks Plan'!$G$6),'Planning Sheet'!$DH419,"")</f>
        <v/>
      </c>
    </row>
    <row r="5355" spans="25:27" x14ac:dyDescent="0.3">
      <c r="Y5355" s="48" t="str">
        <f ca="1">IF(AND('Planning Sheet'!DL420='Weeks Plan'!$D$6,'Planning Sheet'!DF420='Weeks Plan'!$G$6),'Planning Sheet'!$B420,"")</f>
        <v/>
      </c>
      <c r="Z5355" s="48" t="str">
        <f ca="1">IF(AND('Planning Sheet'!DL420='Weeks Plan'!$D$6,'Planning Sheet'!DF420='Weeks Plan'!$G$6),'Planning Sheet'!$DG420,"")</f>
        <v/>
      </c>
      <c r="AA5355" s="48" t="str">
        <f ca="1">IF(AND('Planning Sheet'!DL420='Weeks Plan'!$D$6,'Planning Sheet'!DF420='Weeks Plan'!$G$6),'Planning Sheet'!$DH420,"")</f>
        <v/>
      </c>
    </row>
    <row r="5356" spans="25:27" x14ac:dyDescent="0.3">
      <c r="Y5356" s="48" t="str">
        <f ca="1">IF(AND('Planning Sheet'!DL421='Weeks Plan'!$D$6,'Planning Sheet'!DF421='Weeks Plan'!$G$6),'Planning Sheet'!$B421,"")</f>
        <v/>
      </c>
      <c r="Z5356" s="48" t="str">
        <f ca="1">IF(AND('Planning Sheet'!DL421='Weeks Plan'!$D$6,'Planning Sheet'!DF421='Weeks Plan'!$G$6),'Planning Sheet'!$DG421,"")</f>
        <v/>
      </c>
      <c r="AA5356" s="48" t="str">
        <f ca="1">IF(AND('Planning Sheet'!DL421='Weeks Plan'!$D$6,'Planning Sheet'!DF421='Weeks Plan'!$G$6),'Planning Sheet'!$DH421,"")</f>
        <v/>
      </c>
    </row>
    <row r="5357" spans="25:27" x14ac:dyDescent="0.3">
      <c r="Y5357" s="48" t="str">
        <f ca="1">IF(AND('Planning Sheet'!DL422='Weeks Plan'!$D$6,'Planning Sheet'!DF422='Weeks Plan'!$G$6),'Planning Sheet'!$B422,"")</f>
        <v/>
      </c>
      <c r="Z5357" s="48" t="str">
        <f ca="1">IF(AND('Planning Sheet'!DL422='Weeks Plan'!$D$6,'Planning Sheet'!DF422='Weeks Plan'!$G$6),'Planning Sheet'!$DG422,"")</f>
        <v/>
      </c>
      <c r="AA5357" s="48" t="str">
        <f ca="1">IF(AND('Planning Sheet'!DL422='Weeks Plan'!$D$6,'Planning Sheet'!DF422='Weeks Plan'!$G$6),'Planning Sheet'!$DH422,"")</f>
        <v/>
      </c>
    </row>
    <row r="5358" spans="25:27" x14ac:dyDescent="0.3">
      <c r="Y5358" s="48" t="str">
        <f ca="1">IF(AND('Planning Sheet'!DL423='Weeks Plan'!$D$6,'Planning Sheet'!DF423='Weeks Plan'!$G$6),'Planning Sheet'!$B423,"")</f>
        <v/>
      </c>
      <c r="Z5358" s="48" t="str">
        <f ca="1">IF(AND('Planning Sheet'!DL423='Weeks Plan'!$D$6,'Planning Sheet'!DF423='Weeks Plan'!$G$6),'Planning Sheet'!$DG423,"")</f>
        <v/>
      </c>
      <c r="AA5358" s="48" t="str">
        <f ca="1">IF(AND('Planning Sheet'!DL423='Weeks Plan'!$D$6,'Planning Sheet'!DF423='Weeks Plan'!$G$6),'Planning Sheet'!$DH423,"")</f>
        <v/>
      </c>
    </row>
    <row r="5359" spans="25:27" x14ac:dyDescent="0.3">
      <c r="Y5359" s="48" t="str">
        <f ca="1">IF(AND('Planning Sheet'!DL424='Weeks Plan'!$D$6,'Planning Sheet'!DF424='Weeks Plan'!$G$6),'Planning Sheet'!$B424,"")</f>
        <v/>
      </c>
      <c r="Z5359" s="48" t="str">
        <f ca="1">IF(AND('Planning Sheet'!DL424='Weeks Plan'!$D$6,'Planning Sheet'!DF424='Weeks Plan'!$G$6),'Planning Sheet'!$DG424,"")</f>
        <v/>
      </c>
      <c r="AA5359" s="48" t="str">
        <f ca="1">IF(AND('Planning Sheet'!DL424='Weeks Plan'!$D$6,'Planning Sheet'!DF424='Weeks Plan'!$G$6),'Planning Sheet'!$DH424,"")</f>
        <v/>
      </c>
    </row>
    <row r="5360" spans="25:27" x14ac:dyDescent="0.3">
      <c r="Y5360" s="48" t="str">
        <f ca="1">IF(AND('Planning Sheet'!DL425='Weeks Plan'!$D$6,'Planning Sheet'!DF425='Weeks Plan'!$G$6),'Planning Sheet'!$B425,"")</f>
        <v/>
      </c>
      <c r="Z5360" s="48" t="str">
        <f ca="1">IF(AND('Planning Sheet'!DL425='Weeks Plan'!$D$6,'Planning Sheet'!DF425='Weeks Plan'!$G$6),'Planning Sheet'!$DG425,"")</f>
        <v/>
      </c>
      <c r="AA5360" s="48" t="str">
        <f ca="1">IF(AND('Planning Sheet'!DL425='Weeks Plan'!$D$6,'Planning Sheet'!DF425='Weeks Plan'!$G$6),'Planning Sheet'!$DH425,"")</f>
        <v/>
      </c>
    </row>
    <row r="5361" spans="25:27" x14ac:dyDescent="0.3">
      <c r="Y5361" s="48" t="str">
        <f ca="1">IF(AND('Planning Sheet'!DL426='Weeks Plan'!$D$6,'Planning Sheet'!DF426='Weeks Plan'!$G$6),'Planning Sheet'!$B426,"")</f>
        <v/>
      </c>
      <c r="Z5361" s="48" t="str">
        <f ca="1">IF(AND('Planning Sheet'!DL426='Weeks Plan'!$D$6,'Planning Sheet'!DF426='Weeks Plan'!$G$6),'Planning Sheet'!$DG426,"")</f>
        <v/>
      </c>
      <c r="AA5361" s="48" t="str">
        <f ca="1">IF(AND('Planning Sheet'!DL426='Weeks Plan'!$D$6,'Planning Sheet'!DF426='Weeks Plan'!$G$6),'Planning Sheet'!$DH426,"")</f>
        <v/>
      </c>
    </row>
    <row r="5362" spans="25:27" x14ac:dyDescent="0.3">
      <c r="Y5362" s="48" t="str">
        <f ca="1">IF(AND('Planning Sheet'!DL427='Weeks Plan'!$D$6,'Planning Sheet'!DF427='Weeks Plan'!$G$6),'Planning Sheet'!$B427,"")</f>
        <v/>
      </c>
      <c r="Z5362" s="48" t="str">
        <f ca="1">IF(AND('Planning Sheet'!DL427='Weeks Plan'!$D$6,'Planning Sheet'!DF427='Weeks Plan'!$G$6),'Planning Sheet'!$DG427,"")</f>
        <v/>
      </c>
      <c r="AA5362" s="48" t="str">
        <f ca="1">IF(AND('Planning Sheet'!DL427='Weeks Plan'!$D$6,'Planning Sheet'!DF427='Weeks Plan'!$G$6),'Planning Sheet'!$DH427,"")</f>
        <v/>
      </c>
    </row>
    <row r="5363" spans="25:27" x14ac:dyDescent="0.3">
      <c r="Y5363" s="48" t="str">
        <f ca="1">IF(AND('Planning Sheet'!DL428='Weeks Plan'!$D$6,'Planning Sheet'!DF428='Weeks Plan'!$G$6),'Planning Sheet'!$B428,"")</f>
        <v/>
      </c>
      <c r="Z5363" s="48" t="str">
        <f ca="1">IF(AND('Planning Sheet'!DL428='Weeks Plan'!$D$6,'Planning Sheet'!DF428='Weeks Plan'!$G$6),'Planning Sheet'!$DG428,"")</f>
        <v/>
      </c>
      <c r="AA5363" s="48" t="str">
        <f ca="1">IF(AND('Planning Sheet'!DL428='Weeks Plan'!$D$6,'Planning Sheet'!DF428='Weeks Plan'!$G$6),'Planning Sheet'!$DH428,"")</f>
        <v/>
      </c>
    </row>
    <row r="5364" spans="25:27" x14ac:dyDescent="0.3">
      <c r="Y5364" s="48" t="str">
        <f ca="1">IF(AND('Planning Sheet'!DL429='Weeks Plan'!$D$6,'Planning Sheet'!DF429='Weeks Plan'!$G$6),'Planning Sheet'!$B429,"")</f>
        <v/>
      </c>
      <c r="Z5364" s="48" t="str">
        <f ca="1">IF(AND('Planning Sheet'!DL429='Weeks Plan'!$D$6,'Planning Sheet'!DF429='Weeks Plan'!$G$6),'Planning Sheet'!$DG429,"")</f>
        <v/>
      </c>
      <c r="AA5364" s="48" t="str">
        <f ca="1">IF(AND('Planning Sheet'!DL429='Weeks Plan'!$D$6,'Planning Sheet'!DF429='Weeks Plan'!$G$6),'Planning Sheet'!$DH429,"")</f>
        <v/>
      </c>
    </row>
    <row r="5365" spans="25:27" x14ac:dyDescent="0.3">
      <c r="Y5365" s="48" t="str">
        <f ca="1">IF(AND('Planning Sheet'!DL430='Weeks Plan'!$D$6,'Planning Sheet'!DF430='Weeks Plan'!$G$6),'Planning Sheet'!$B430,"")</f>
        <v/>
      </c>
      <c r="Z5365" s="48" t="str">
        <f ca="1">IF(AND('Planning Sheet'!DL430='Weeks Plan'!$D$6,'Planning Sheet'!DF430='Weeks Plan'!$G$6),'Planning Sheet'!$DG430,"")</f>
        <v/>
      </c>
      <c r="AA5365" s="48" t="str">
        <f ca="1">IF(AND('Planning Sheet'!DL430='Weeks Plan'!$D$6,'Planning Sheet'!DF430='Weeks Plan'!$G$6),'Planning Sheet'!$DH430,"")</f>
        <v/>
      </c>
    </row>
    <row r="5366" spans="25:27" x14ac:dyDescent="0.3">
      <c r="Y5366" s="48" t="str">
        <f ca="1">IF(AND('Planning Sheet'!DL431='Weeks Plan'!$D$6,'Planning Sheet'!DF431='Weeks Plan'!$G$6),'Planning Sheet'!$B431,"")</f>
        <v/>
      </c>
      <c r="Z5366" s="48" t="str">
        <f ca="1">IF(AND('Planning Sheet'!DL431='Weeks Plan'!$D$6,'Planning Sheet'!DF431='Weeks Plan'!$G$6),'Planning Sheet'!$DG431,"")</f>
        <v/>
      </c>
      <c r="AA5366" s="48" t="str">
        <f ca="1">IF(AND('Planning Sheet'!DL431='Weeks Plan'!$D$6,'Planning Sheet'!DF431='Weeks Plan'!$G$6),'Planning Sheet'!$DH431,"")</f>
        <v/>
      </c>
    </row>
    <row r="5367" spans="25:27" x14ac:dyDescent="0.3">
      <c r="Y5367" s="48" t="str">
        <f ca="1">IF(AND('Planning Sheet'!DL432='Weeks Plan'!$D$6,'Planning Sheet'!DF432='Weeks Plan'!$G$6),'Planning Sheet'!$B432,"")</f>
        <v/>
      </c>
      <c r="Z5367" s="48" t="str">
        <f ca="1">IF(AND('Planning Sheet'!DL432='Weeks Plan'!$D$6,'Planning Sheet'!DF432='Weeks Plan'!$G$6),'Planning Sheet'!$DG432,"")</f>
        <v/>
      </c>
      <c r="AA5367" s="48" t="str">
        <f ca="1">IF(AND('Planning Sheet'!DL432='Weeks Plan'!$D$6,'Planning Sheet'!DF432='Weeks Plan'!$G$6),'Planning Sheet'!$DH432,"")</f>
        <v/>
      </c>
    </row>
    <row r="5368" spans="25:27" x14ac:dyDescent="0.3">
      <c r="Y5368" s="48" t="str">
        <f ca="1">IF(AND('Planning Sheet'!DL433='Weeks Plan'!$D$6,'Planning Sheet'!DF433='Weeks Plan'!$G$6),'Planning Sheet'!$B433,"")</f>
        <v/>
      </c>
      <c r="Z5368" s="48" t="str">
        <f ca="1">IF(AND('Planning Sheet'!DL433='Weeks Plan'!$D$6,'Planning Sheet'!DF433='Weeks Plan'!$G$6),'Planning Sheet'!$DG433,"")</f>
        <v/>
      </c>
      <c r="AA5368" s="48" t="str">
        <f ca="1">IF(AND('Planning Sheet'!DL433='Weeks Plan'!$D$6,'Planning Sheet'!DF433='Weeks Plan'!$G$6),'Planning Sheet'!$DH433,"")</f>
        <v/>
      </c>
    </row>
    <row r="5369" spans="25:27" x14ac:dyDescent="0.3">
      <c r="Y5369" s="48" t="str">
        <f ca="1">IF(AND('Planning Sheet'!DL434='Weeks Plan'!$D$6,'Planning Sheet'!DF434='Weeks Plan'!$G$6),'Planning Sheet'!$B434,"")</f>
        <v/>
      </c>
      <c r="Z5369" s="48" t="str">
        <f ca="1">IF(AND('Planning Sheet'!DL434='Weeks Plan'!$D$6,'Planning Sheet'!DF434='Weeks Plan'!$G$6),'Planning Sheet'!$DG434,"")</f>
        <v/>
      </c>
      <c r="AA5369" s="48" t="str">
        <f ca="1">IF(AND('Planning Sheet'!DL434='Weeks Plan'!$D$6,'Planning Sheet'!DF434='Weeks Plan'!$G$6),'Planning Sheet'!$DH434,"")</f>
        <v/>
      </c>
    </row>
    <row r="5370" spans="25:27" x14ac:dyDescent="0.3">
      <c r="Y5370" s="48" t="str">
        <f ca="1">IF(AND('Planning Sheet'!DL435='Weeks Plan'!$D$6,'Planning Sheet'!DF435='Weeks Plan'!$G$6),'Planning Sheet'!$B435,"")</f>
        <v/>
      </c>
      <c r="Z5370" s="48" t="str">
        <f ca="1">IF(AND('Planning Sheet'!DL435='Weeks Plan'!$D$6,'Planning Sheet'!DF435='Weeks Plan'!$G$6),'Planning Sheet'!$DG435,"")</f>
        <v/>
      </c>
      <c r="AA5370" s="48" t="str">
        <f ca="1">IF(AND('Planning Sheet'!DL435='Weeks Plan'!$D$6,'Planning Sheet'!DF435='Weeks Plan'!$G$6),'Planning Sheet'!$DH435,"")</f>
        <v/>
      </c>
    </row>
    <row r="5371" spans="25:27" x14ac:dyDescent="0.3">
      <c r="Y5371" s="48" t="str">
        <f ca="1">IF(AND('Planning Sheet'!DL436='Weeks Plan'!$D$6,'Planning Sheet'!DF436='Weeks Plan'!$G$6),'Planning Sheet'!$B436,"")</f>
        <v/>
      </c>
      <c r="Z5371" s="48" t="str">
        <f ca="1">IF(AND('Planning Sheet'!DL436='Weeks Plan'!$D$6,'Planning Sheet'!DF436='Weeks Plan'!$G$6),'Planning Sheet'!$DG436,"")</f>
        <v/>
      </c>
      <c r="AA5371" s="48" t="str">
        <f ca="1">IF(AND('Planning Sheet'!DL436='Weeks Plan'!$D$6,'Planning Sheet'!DF436='Weeks Plan'!$G$6),'Planning Sheet'!$DH436,"")</f>
        <v/>
      </c>
    </row>
    <row r="5372" spans="25:27" x14ac:dyDescent="0.3">
      <c r="Y5372" s="48" t="str">
        <f ca="1">IF(AND('Planning Sheet'!DL437='Weeks Plan'!$D$6,'Planning Sheet'!DF437='Weeks Plan'!$G$6),'Planning Sheet'!$B437,"")</f>
        <v/>
      </c>
      <c r="Z5372" s="48" t="str">
        <f ca="1">IF(AND('Planning Sheet'!DL437='Weeks Plan'!$D$6,'Planning Sheet'!DF437='Weeks Plan'!$G$6),'Planning Sheet'!$DG437,"")</f>
        <v/>
      </c>
      <c r="AA5372" s="48" t="str">
        <f ca="1">IF(AND('Planning Sheet'!DL437='Weeks Plan'!$D$6,'Planning Sheet'!DF437='Weeks Plan'!$G$6),'Planning Sheet'!$DH437,"")</f>
        <v/>
      </c>
    </row>
    <row r="5373" spans="25:27" x14ac:dyDescent="0.3">
      <c r="Y5373" s="48" t="str">
        <f ca="1">IF(AND('Planning Sheet'!DL438='Weeks Plan'!$D$6,'Planning Sheet'!DF438='Weeks Plan'!$G$6),'Planning Sheet'!$B438,"")</f>
        <v/>
      </c>
      <c r="Z5373" s="48" t="str">
        <f ca="1">IF(AND('Planning Sheet'!DL438='Weeks Plan'!$D$6,'Planning Sheet'!DF438='Weeks Plan'!$G$6),'Planning Sheet'!$DG438,"")</f>
        <v/>
      </c>
      <c r="AA5373" s="48" t="str">
        <f ca="1">IF(AND('Planning Sheet'!DL438='Weeks Plan'!$D$6,'Planning Sheet'!DF438='Weeks Plan'!$G$6),'Planning Sheet'!$DH438,"")</f>
        <v/>
      </c>
    </row>
    <row r="5374" spans="25:27" x14ac:dyDescent="0.3">
      <c r="Y5374" s="48" t="str">
        <f ca="1">IF(AND('Planning Sheet'!DL439='Weeks Plan'!$D$6,'Planning Sheet'!DF439='Weeks Plan'!$G$6),'Planning Sheet'!$B439,"")</f>
        <v/>
      </c>
      <c r="Z5374" s="48" t="str">
        <f ca="1">IF(AND('Planning Sheet'!DL439='Weeks Plan'!$D$6,'Planning Sheet'!DF439='Weeks Plan'!$G$6),'Planning Sheet'!$DG439,"")</f>
        <v/>
      </c>
      <c r="AA5374" s="48" t="str">
        <f ca="1">IF(AND('Planning Sheet'!DL439='Weeks Plan'!$D$6,'Planning Sheet'!DF439='Weeks Plan'!$G$6),'Planning Sheet'!$DH439,"")</f>
        <v/>
      </c>
    </row>
    <row r="5375" spans="25:27" x14ac:dyDescent="0.3">
      <c r="Y5375" s="48" t="str">
        <f ca="1">IF(AND('Planning Sheet'!DL440='Weeks Plan'!$D$6,'Planning Sheet'!DF440='Weeks Plan'!$G$6),'Planning Sheet'!$B440,"")</f>
        <v/>
      </c>
      <c r="Z5375" s="48" t="str">
        <f ca="1">IF(AND('Planning Sheet'!DL440='Weeks Plan'!$D$6,'Planning Sheet'!DF440='Weeks Plan'!$G$6),'Planning Sheet'!$DG440,"")</f>
        <v/>
      </c>
      <c r="AA5375" s="48" t="str">
        <f ca="1">IF(AND('Planning Sheet'!DL440='Weeks Plan'!$D$6,'Planning Sheet'!DF440='Weeks Plan'!$G$6),'Planning Sheet'!$DH440,"")</f>
        <v/>
      </c>
    </row>
    <row r="5376" spans="25:27" x14ac:dyDescent="0.3">
      <c r="Y5376" s="48" t="str">
        <f ca="1">IF(AND('Planning Sheet'!DL441='Weeks Plan'!$D$6,'Planning Sheet'!DF441='Weeks Plan'!$G$6),'Planning Sheet'!$B441,"")</f>
        <v/>
      </c>
      <c r="Z5376" s="48" t="str">
        <f ca="1">IF(AND('Planning Sheet'!DL441='Weeks Plan'!$D$6,'Planning Sheet'!DF441='Weeks Plan'!$G$6),'Planning Sheet'!$DG441,"")</f>
        <v/>
      </c>
      <c r="AA5376" s="48" t="str">
        <f ca="1">IF(AND('Planning Sheet'!DL441='Weeks Plan'!$D$6,'Planning Sheet'!DF441='Weeks Plan'!$G$6),'Planning Sheet'!$DH441,"")</f>
        <v/>
      </c>
    </row>
    <row r="5377" spans="25:27" x14ac:dyDescent="0.3">
      <c r="Y5377" s="48" t="str">
        <f ca="1">IF(AND('Planning Sheet'!DL442='Weeks Plan'!$D$6,'Planning Sheet'!DF442='Weeks Plan'!$G$6),'Planning Sheet'!$B442,"")</f>
        <v/>
      </c>
      <c r="Z5377" s="48" t="str">
        <f ca="1">IF(AND('Planning Sheet'!DL442='Weeks Plan'!$D$6,'Planning Sheet'!DF442='Weeks Plan'!$G$6),'Planning Sheet'!$DG442,"")</f>
        <v/>
      </c>
      <c r="AA5377" s="48" t="str">
        <f ca="1">IF(AND('Planning Sheet'!DL442='Weeks Plan'!$D$6,'Planning Sheet'!DF442='Weeks Plan'!$G$6),'Planning Sheet'!$DH442,"")</f>
        <v/>
      </c>
    </row>
    <row r="5378" spans="25:27" x14ac:dyDescent="0.3">
      <c r="Y5378" s="48" t="str">
        <f ca="1">IF(AND('Planning Sheet'!DL443='Weeks Plan'!$D$6,'Planning Sheet'!DF443='Weeks Plan'!$G$6),'Planning Sheet'!$B443,"")</f>
        <v/>
      </c>
      <c r="Z5378" s="48" t="str">
        <f ca="1">IF(AND('Planning Sheet'!DL443='Weeks Plan'!$D$6,'Planning Sheet'!DF443='Weeks Plan'!$G$6),'Planning Sheet'!$DG443,"")</f>
        <v/>
      </c>
      <c r="AA5378" s="48" t="str">
        <f ca="1">IF(AND('Planning Sheet'!DL443='Weeks Plan'!$D$6,'Planning Sheet'!DF443='Weeks Plan'!$G$6),'Planning Sheet'!$DH443,"")</f>
        <v/>
      </c>
    </row>
    <row r="5379" spans="25:27" x14ac:dyDescent="0.3">
      <c r="Y5379" s="48" t="str">
        <f ca="1">IF(AND('Planning Sheet'!DL444='Weeks Plan'!$D$6,'Planning Sheet'!DF444='Weeks Plan'!$G$6),'Planning Sheet'!$B444,"")</f>
        <v/>
      </c>
      <c r="Z5379" s="48" t="str">
        <f ca="1">IF(AND('Planning Sheet'!DL444='Weeks Plan'!$D$6,'Planning Sheet'!DF444='Weeks Plan'!$G$6),'Planning Sheet'!$DG444,"")</f>
        <v/>
      </c>
      <c r="AA5379" s="48" t="str">
        <f ca="1">IF(AND('Planning Sheet'!DL444='Weeks Plan'!$D$6,'Planning Sheet'!DF444='Weeks Plan'!$G$6),'Planning Sheet'!$DH444,"")</f>
        <v/>
      </c>
    </row>
    <row r="5380" spans="25:27" x14ac:dyDescent="0.3">
      <c r="Y5380" s="48" t="str">
        <f ca="1">IF(AND('Planning Sheet'!DL445='Weeks Plan'!$D$6,'Planning Sheet'!DF445='Weeks Plan'!$G$6),'Planning Sheet'!$B445,"")</f>
        <v/>
      </c>
      <c r="Z5380" s="48" t="str">
        <f ca="1">IF(AND('Planning Sheet'!DL445='Weeks Plan'!$D$6,'Planning Sheet'!DF445='Weeks Plan'!$G$6),'Planning Sheet'!$DG445,"")</f>
        <v/>
      </c>
      <c r="AA5380" s="48" t="str">
        <f ca="1">IF(AND('Planning Sheet'!DL445='Weeks Plan'!$D$6,'Planning Sheet'!DF445='Weeks Plan'!$G$6),'Planning Sheet'!$DH445,"")</f>
        <v/>
      </c>
    </row>
    <row r="5381" spans="25:27" x14ac:dyDescent="0.3">
      <c r="Y5381" s="48" t="str">
        <f ca="1">IF(AND('Planning Sheet'!DL446='Weeks Plan'!$D$6,'Planning Sheet'!DF446='Weeks Plan'!$G$6),'Planning Sheet'!$B446,"")</f>
        <v/>
      </c>
      <c r="Z5381" s="48" t="str">
        <f ca="1">IF(AND('Planning Sheet'!DL446='Weeks Plan'!$D$6,'Planning Sheet'!DF446='Weeks Plan'!$G$6),'Planning Sheet'!$DG446,"")</f>
        <v/>
      </c>
      <c r="AA5381" s="48" t="str">
        <f ca="1">IF(AND('Planning Sheet'!DL446='Weeks Plan'!$D$6,'Planning Sheet'!DF446='Weeks Plan'!$G$6),'Planning Sheet'!$DH446,"")</f>
        <v/>
      </c>
    </row>
    <row r="5382" spans="25:27" x14ac:dyDescent="0.3">
      <c r="Y5382" s="48" t="str">
        <f ca="1">IF(AND('Planning Sheet'!DL447='Weeks Plan'!$D$6,'Planning Sheet'!DF447='Weeks Plan'!$G$6),'Planning Sheet'!$B447,"")</f>
        <v/>
      </c>
      <c r="Z5382" s="48" t="str">
        <f ca="1">IF(AND('Planning Sheet'!DL447='Weeks Plan'!$D$6,'Planning Sheet'!DF447='Weeks Plan'!$G$6),'Planning Sheet'!$DG447,"")</f>
        <v/>
      </c>
      <c r="AA5382" s="48" t="str">
        <f ca="1">IF(AND('Planning Sheet'!DL447='Weeks Plan'!$D$6,'Planning Sheet'!DF447='Weeks Plan'!$G$6),'Planning Sheet'!$DH447,"")</f>
        <v/>
      </c>
    </row>
    <row r="5383" spans="25:27" x14ac:dyDescent="0.3">
      <c r="Y5383" s="48" t="str">
        <f ca="1">IF(AND('Planning Sheet'!DL448='Weeks Plan'!$D$6,'Planning Sheet'!DF448='Weeks Plan'!$G$6),'Planning Sheet'!$B448,"")</f>
        <v/>
      </c>
      <c r="Z5383" s="48" t="str">
        <f ca="1">IF(AND('Planning Sheet'!DL448='Weeks Plan'!$D$6,'Planning Sheet'!DF448='Weeks Plan'!$G$6),'Planning Sheet'!$DG448,"")</f>
        <v/>
      </c>
      <c r="AA5383" s="48" t="str">
        <f ca="1">IF(AND('Planning Sheet'!DL448='Weeks Plan'!$D$6,'Planning Sheet'!DF448='Weeks Plan'!$G$6),'Planning Sheet'!$DH448,"")</f>
        <v/>
      </c>
    </row>
    <row r="5384" spans="25:27" x14ac:dyDescent="0.3">
      <c r="Y5384" s="48" t="str">
        <f ca="1">IF(AND('Planning Sheet'!DL449='Weeks Plan'!$D$6,'Planning Sheet'!DF449='Weeks Plan'!$G$6),'Planning Sheet'!$B449,"")</f>
        <v/>
      </c>
      <c r="Z5384" s="48" t="str">
        <f ca="1">IF(AND('Planning Sheet'!DL449='Weeks Plan'!$D$6,'Planning Sheet'!DF449='Weeks Plan'!$G$6),'Planning Sheet'!$DG449,"")</f>
        <v/>
      </c>
      <c r="AA5384" s="48" t="str">
        <f ca="1">IF(AND('Planning Sheet'!DL449='Weeks Plan'!$D$6,'Planning Sheet'!DF449='Weeks Plan'!$G$6),'Planning Sheet'!$DH449,"")</f>
        <v/>
      </c>
    </row>
    <row r="5385" spans="25:27" x14ac:dyDescent="0.3">
      <c r="Y5385" s="48" t="str">
        <f ca="1">IF(AND('Planning Sheet'!DL450='Weeks Plan'!$D$6,'Planning Sheet'!DF450='Weeks Plan'!$G$6),'Planning Sheet'!$B450,"")</f>
        <v/>
      </c>
      <c r="Z5385" s="48" t="str">
        <f ca="1">IF(AND('Planning Sheet'!DL450='Weeks Plan'!$D$6,'Planning Sheet'!DF450='Weeks Plan'!$G$6),'Planning Sheet'!$DG450,"")</f>
        <v/>
      </c>
      <c r="AA5385" s="48" t="str">
        <f ca="1">IF(AND('Planning Sheet'!DL450='Weeks Plan'!$D$6,'Planning Sheet'!DF450='Weeks Plan'!$G$6),'Planning Sheet'!$DH450,"")</f>
        <v/>
      </c>
    </row>
    <row r="5386" spans="25:27" x14ac:dyDescent="0.3">
      <c r="Y5386" s="48" t="str">
        <f ca="1">IF(AND('Planning Sheet'!DL451='Weeks Plan'!$D$6,'Planning Sheet'!DF451='Weeks Plan'!$G$6),'Planning Sheet'!$B451,"")</f>
        <v/>
      </c>
      <c r="Z5386" s="48" t="str">
        <f ca="1">IF(AND('Planning Sheet'!DL451='Weeks Plan'!$D$6,'Planning Sheet'!DF451='Weeks Plan'!$G$6),'Planning Sheet'!$DG451,"")</f>
        <v/>
      </c>
      <c r="AA5386" s="48" t="str">
        <f ca="1">IF(AND('Planning Sheet'!DL451='Weeks Plan'!$D$6,'Planning Sheet'!DF451='Weeks Plan'!$G$6),'Planning Sheet'!$DH451,"")</f>
        <v/>
      </c>
    </row>
    <row r="5387" spans="25:27" x14ac:dyDescent="0.3">
      <c r="Y5387" s="48" t="str">
        <f ca="1">IF(AND('Planning Sheet'!DL452='Weeks Plan'!$D$6,'Planning Sheet'!DF452='Weeks Plan'!$G$6),'Planning Sheet'!$B452,"")</f>
        <v/>
      </c>
      <c r="Z5387" s="48" t="str">
        <f ca="1">IF(AND('Planning Sheet'!DL452='Weeks Plan'!$D$6,'Planning Sheet'!DF452='Weeks Plan'!$G$6),'Planning Sheet'!$DG452,"")</f>
        <v/>
      </c>
      <c r="AA5387" s="48" t="str">
        <f ca="1">IF(AND('Planning Sheet'!DL452='Weeks Plan'!$D$6,'Planning Sheet'!DF452='Weeks Plan'!$G$6),'Planning Sheet'!$DH452,"")</f>
        <v/>
      </c>
    </row>
    <row r="5388" spans="25:27" x14ac:dyDescent="0.3">
      <c r="Y5388" s="48" t="str">
        <f ca="1">IF(AND('Planning Sheet'!DL453='Weeks Plan'!$D$6,'Planning Sheet'!DF453='Weeks Plan'!$G$6),'Planning Sheet'!$B453,"")</f>
        <v/>
      </c>
      <c r="Z5388" s="48" t="str">
        <f ca="1">IF(AND('Planning Sheet'!DL453='Weeks Plan'!$D$6,'Planning Sheet'!DF453='Weeks Plan'!$G$6),'Planning Sheet'!$DG453,"")</f>
        <v/>
      </c>
      <c r="AA5388" s="48" t="str">
        <f ca="1">IF(AND('Planning Sheet'!DL453='Weeks Plan'!$D$6,'Planning Sheet'!DF453='Weeks Plan'!$G$6),'Planning Sheet'!$DH453,"")</f>
        <v/>
      </c>
    </row>
    <row r="5389" spans="25:27" x14ac:dyDescent="0.3">
      <c r="Y5389" s="48" t="str">
        <f ca="1">IF(AND('Planning Sheet'!DL454='Weeks Plan'!$D$6,'Planning Sheet'!DF454='Weeks Plan'!$G$6),'Planning Sheet'!$B454,"")</f>
        <v/>
      </c>
      <c r="Z5389" s="48" t="str">
        <f ca="1">IF(AND('Planning Sheet'!DL454='Weeks Plan'!$D$6,'Planning Sheet'!DF454='Weeks Plan'!$G$6),'Planning Sheet'!$DG454,"")</f>
        <v/>
      </c>
      <c r="AA5389" s="48" t="str">
        <f ca="1">IF(AND('Planning Sheet'!DL454='Weeks Plan'!$D$6,'Planning Sheet'!DF454='Weeks Plan'!$G$6),'Planning Sheet'!$DH454,"")</f>
        <v/>
      </c>
    </row>
    <row r="5390" spans="25:27" x14ac:dyDescent="0.3">
      <c r="Y5390" s="48" t="str">
        <f ca="1">IF(AND('Planning Sheet'!DL455='Weeks Plan'!$D$6,'Planning Sheet'!DF455='Weeks Plan'!$G$6),'Planning Sheet'!$B455,"")</f>
        <v/>
      </c>
      <c r="Z5390" s="48" t="str">
        <f ca="1">IF(AND('Planning Sheet'!DL455='Weeks Plan'!$D$6,'Planning Sheet'!DF455='Weeks Plan'!$G$6),'Planning Sheet'!$DG455,"")</f>
        <v/>
      </c>
      <c r="AA5390" s="48" t="str">
        <f ca="1">IF(AND('Planning Sheet'!DL455='Weeks Plan'!$D$6,'Planning Sheet'!DF455='Weeks Plan'!$G$6),'Planning Sheet'!$DH455,"")</f>
        <v/>
      </c>
    </row>
    <row r="5391" spans="25:27" x14ac:dyDescent="0.3">
      <c r="Y5391" s="48" t="str">
        <f ca="1">IF(AND('Planning Sheet'!DL456='Weeks Plan'!$D$6,'Planning Sheet'!DF456='Weeks Plan'!$G$6),'Planning Sheet'!$B456,"")</f>
        <v/>
      </c>
      <c r="Z5391" s="48" t="str">
        <f ca="1">IF(AND('Planning Sheet'!DL456='Weeks Plan'!$D$6,'Planning Sheet'!DF456='Weeks Plan'!$G$6),'Planning Sheet'!$DG456,"")</f>
        <v/>
      </c>
      <c r="AA5391" s="48" t="str">
        <f ca="1">IF(AND('Planning Sheet'!DL456='Weeks Plan'!$D$6,'Planning Sheet'!DF456='Weeks Plan'!$G$6),'Planning Sheet'!$DH456,"")</f>
        <v/>
      </c>
    </row>
    <row r="5392" spans="25:27" x14ac:dyDescent="0.3">
      <c r="Y5392" s="48" t="str">
        <f ca="1">IF(AND('Planning Sheet'!DL457='Weeks Plan'!$D$6,'Planning Sheet'!DF457='Weeks Plan'!$G$6),'Planning Sheet'!$B457,"")</f>
        <v/>
      </c>
      <c r="Z5392" s="48" t="str">
        <f ca="1">IF(AND('Planning Sheet'!DL457='Weeks Plan'!$D$6,'Planning Sheet'!DF457='Weeks Plan'!$G$6),'Planning Sheet'!$DG457,"")</f>
        <v/>
      </c>
      <c r="AA5392" s="48" t="str">
        <f ca="1">IF(AND('Planning Sheet'!DL457='Weeks Plan'!$D$6,'Planning Sheet'!DF457='Weeks Plan'!$G$6),'Planning Sheet'!$DH457,"")</f>
        <v/>
      </c>
    </row>
    <row r="5393" spans="25:27" x14ac:dyDescent="0.3">
      <c r="Y5393" s="48" t="str">
        <f ca="1">IF(AND('Planning Sheet'!DL458='Weeks Plan'!$D$6,'Planning Sheet'!DF458='Weeks Plan'!$G$6),'Planning Sheet'!$B458,"")</f>
        <v/>
      </c>
      <c r="Z5393" s="48" t="str">
        <f ca="1">IF(AND('Planning Sheet'!DL458='Weeks Plan'!$D$6,'Planning Sheet'!DF458='Weeks Plan'!$G$6),'Planning Sheet'!$DG458,"")</f>
        <v/>
      </c>
      <c r="AA5393" s="48" t="str">
        <f ca="1">IF(AND('Planning Sheet'!DL458='Weeks Plan'!$D$6,'Planning Sheet'!DF458='Weeks Plan'!$G$6),'Planning Sheet'!$DH458,"")</f>
        <v/>
      </c>
    </row>
    <row r="5394" spans="25:27" x14ac:dyDescent="0.3">
      <c r="Y5394" s="48" t="str">
        <f ca="1">IF(AND('Planning Sheet'!DL459='Weeks Plan'!$D$6,'Planning Sheet'!DF459='Weeks Plan'!$G$6),'Planning Sheet'!$B459,"")</f>
        <v/>
      </c>
      <c r="Z5394" s="48" t="str">
        <f ca="1">IF(AND('Planning Sheet'!DL459='Weeks Plan'!$D$6,'Planning Sheet'!DF459='Weeks Plan'!$G$6),'Planning Sheet'!$DG459,"")</f>
        <v/>
      </c>
      <c r="AA5394" s="48" t="str">
        <f ca="1">IF(AND('Planning Sheet'!DL459='Weeks Plan'!$D$6,'Planning Sheet'!DF459='Weeks Plan'!$G$6),'Planning Sheet'!$DH459,"")</f>
        <v/>
      </c>
    </row>
    <row r="5395" spans="25:27" x14ac:dyDescent="0.3">
      <c r="Y5395" s="48" t="str">
        <f ca="1">IF(AND('Planning Sheet'!DL460='Weeks Plan'!$D$6,'Planning Sheet'!DF460='Weeks Plan'!$G$6),'Planning Sheet'!$B460,"")</f>
        <v/>
      </c>
      <c r="Z5395" s="48" t="str">
        <f ca="1">IF(AND('Planning Sheet'!DL460='Weeks Plan'!$D$6,'Planning Sheet'!DF460='Weeks Plan'!$G$6),'Planning Sheet'!$DG460,"")</f>
        <v/>
      </c>
      <c r="AA5395" s="48" t="str">
        <f ca="1">IF(AND('Planning Sheet'!DL460='Weeks Plan'!$D$6,'Planning Sheet'!DF460='Weeks Plan'!$G$6),'Planning Sheet'!$DH460,"")</f>
        <v/>
      </c>
    </row>
    <row r="5396" spans="25:27" x14ac:dyDescent="0.3">
      <c r="Y5396" s="48" t="str">
        <f ca="1">IF(AND('Planning Sheet'!DL461='Weeks Plan'!$D$6,'Planning Sheet'!DF461='Weeks Plan'!$G$6),'Planning Sheet'!$B461,"")</f>
        <v/>
      </c>
      <c r="Z5396" s="48" t="str">
        <f ca="1">IF(AND('Planning Sheet'!DL461='Weeks Plan'!$D$6,'Planning Sheet'!DF461='Weeks Plan'!$G$6),'Planning Sheet'!$DG461,"")</f>
        <v/>
      </c>
      <c r="AA5396" s="48" t="str">
        <f ca="1">IF(AND('Planning Sheet'!DL461='Weeks Plan'!$D$6,'Planning Sheet'!DF461='Weeks Plan'!$G$6),'Planning Sheet'!$DH461,"")</f>
        <v/>
      </c>
    </row>
    <row r="5397" spans="25:27" x14ac:dyDescent="0.3">
      <c r="Y5397" s="48" t="str">
        <f ca="1">IF(AND('Planning Sheet'!DL462='Weeks Plan'!$D$6,'Planning Sheet'!DF462='Weeks Plan'!$G$6),'Planning Sheet'!$B462,"")</f>
        <v/>
      </c>
      <c r="Z5397" s="48" t="str">
        <f ca="1">IF(AND('Planning Sheet'!DL462='Weeks Plan'!$D$6,'Planning Sheet'!DF462='Weeks Plan'!$G$6),'Planning Sheet'!$DG462,"")</f>
        <v/>
      </c>
      <c r="AA5397" s="48" t="str">
        <f ca="1">IF(AND('Planning Sheet'!DL462='Weeks Plan'!$D$6,'Planning Sheet'!DF462='Weeks Plan'!$G$6),'Planning Sheet'!$DH462,"")</f>
        <v/>
      </c>
    </row>
    <row r="5398" spans="25:27" x14ac:dyDescent="0.3">
      <c r="Y5398" s="48" t="str">
        <f ca="1">IF(AND('Planning Sheet'!DL463='Weeks Plan'!$D$6,'Planning Sheet'!DF463='Weeks Plan'!$G$6),'Planning Sheet'!$B463,"")</f>
        <v/>
      </c>
      <c r="Z5398" s="48" t="str">
        <f ca="1">IF(AND('Planning Sheet'!DL463='Weeks Plan'!$D$6,'Planning Sheet'!DF463='Weeks Plan'!$G$6),'Planning Sheet'!$DG463,"")</f>
        <v/>
      </c>
      <c r="AA5398" s="48" t="str">
        <f ca="1">IF(AND('Planning Sheet'!DL463='Weeks Plan'!$D$6,'Planning Sheet'!DF463='Weeks Plan'!$G$6),'Planning Sheet'!$DH463,"")</f>
        <v/>
      </c>
    </row>
    <row r="5399" spans="25:27" x14ac:dyDescent="0.3">
      <c r="Y5399" s="48" t="str">
        <f ca="1">IF(AND('Planning Sheet'!DL464='Weeks Plan'!$D$6,'Planning Sheet'!DF464='Weeks Plan'!$G$6),'Planning Sheet'!$B464,"")</f>
        <v/>
      </c>
      <c r="Z5399" s="48" t="str">
        <f ca="1">IF(AND('Planning Sheet'!DL464='Weeks Plan'!$D$6,'Planning Sheet'!DF464='Weeks Plan'!$G$6),'Planning Sheet'!$DG464,"")</f>
        <v/>
      </c>
      <c r="AA5399" s="48" t="str">
        <f ca="1">IF(AND('Planning Sheet'!DL464='Weeks Plan'!$D$6,'Planning Sheet'!DF464='Weeks Plan'!$G$6),'Planning Sheet'!$DH464,"")</f>
        <v/>
      </c>
    </row>
    <row r="5400" spans="25:27" x14ac:dyDescent="0.3">
      <c r="Y5400" s="48" t="str">
        <f ca="1">IF(AND('Planning Sheet'!DL465='Weeks Plan'!$D$6,'Planning Sheet'!DF465='Weeks Plan'!$G$6),'Planning Sheet'!$B465,"")</f>
        <v/>
      </c>
      <c r="Z5400" s="48" t="str">
        <f ca="1">IF(AND('Planning Sheet'!DL465='Weeks Plan'!$D$6,'Planning Sheet'!DF465='Weeks Plan'!$G$6),'Planning Sheet'!$DG465,"")</f>
        <v/>
      </c>
      <c r="AA5400" s="48" t="str">
        <f ca="1">IF(AND('Planning Sheet'!DL465='Weeks Plan'!$D$6,'Planning Sheet'!DF465='Weeks Plan'!$G$6),'Planning Sheet'!$DH465,"")</f>
        <v/>
      </c>
    </row>
    <row r="5401" spans="25:27" x14ac:dyDescent="0.3">
      <c r="Y5401" s="48" t="str">
        <f ca="1">IF(AND('Planning Sheet'!DL466='Weeks Plan'!$D$6,'Planning Sheet'!DF466='Weeks Plan'!$G$6),'Planning Sheet'!$B466,"")</f>
        <v/>
      </c>
      <c r="Z5401" s="48" t="str">
        <f ca="1">IF(AND('Planning Sheet'!DL466='Weeks Plan'!$D$6,'Planning Sheet'!DF466='Weeks Plan'!$G$6),'Planning Sheet'!$DG466,"")</f>
        <v/>
      </c>
      <c r="AA5401" s="48" t="str">
        <f ca="1">IF(AND('Planning Sheet'!DL466='Weeks Plan'!$D$6,'Planning Sheet'!DF466='Weeks Plan'!$G$6),'Planning Sheet'!$DH466,"")</f>
        <v/>
      </c>
    </row>
    <row r="5402" spans="25:27" x14ac:dyDescent="0.3">
      <c r="Y5402" s="48" t="str">
        <f ca="1">IF(AND('Planning Sheet'!DL467='Weeks Plan'!$D$6,'Planning Sheet'!DF467='Weeks Plan'!$G$6),'Planning Sheet'!$B467,"")</f>
        <v/>
      </c>
      <c r="Z5402" s="48" t="str">
        <f ca="1">IF(AND('Planning Sheet'!DL467='Weeks Plan'!$D$6,'Planning Sheet'!DF467='Weeks Plan'!$G$6),'Planning Sheet'!$DG467,"")</f>
        <v/>
      </c>
      <c r="AA5402" s="48" t="str">
        <f ca="1">IF(AND('Planning Sheet'!DL467='Weeks Plan'!$D$6,'Planning Sheet'!DF467='Weeks Plan'!$G$6),'Planning Sheet'!$DH467,"")</f>
        <v/>
      </c>
    </row>
    <row r="5403" spans="25:27" x14ac:dyDescent="0.3">
      <c r="Y5403" s="48" t="str">
        <f ca="1">IF(AND('Planning Sheet'!DL468='Weeks Plan'!$D$6,'Planning Sheet'!DF468='Weeks Plan'!$G$6),'Planning Sheet'!$B468,"")</f>
        <v/>
      </c>
      <c r="Z5403" s="48" t="str">
        <f ca="1">IF(AND('Planning Sheet'!DL468='Weeks Plan'!$D$6,'Planning Sheet'!DF468='Weeks Plan'!$G$6),'Planning Sheet'!$DG468,"")</f>
        <v/>
      </c>
      <c r="AA5403" s="48" t="str">
        <f ca="1">IF(AND('Planning Sheet'!DL468='Weeks Plan'!$D$6,'Planning Sheet'!DF468='Weeks Plan'!$G$6),'Planning Sheet'!$DH468,"")</f>
        <v/>
      </c>
    </row>
    <row r="5404" spans="25:27" x14ac:dyDescent="0.3">
      <c r="Y5404" s="48" t="str">
        <f ca="1">IF(AND('Planning Sheet'!DL469='Weeks Plan'!$D$6,'Planning Sheet'!DF469='Weeks Plan'!$G$6),'Planning Sheet'!$B469,"")</f>
        <v/>
      </c>
      <c r="Z5404" s="48" t="str">
        <f ca="1">IF(AND('Planning Sheet'!DL469='Weeks Plan'!$D$6,'Planning Sheet'!DF469='Weeks Plan'!$G$6),'Planning Sheet'!$DG469,"")</f>
        <v/>
      </c>
      <c r="AA5404" s="48" t="str">
        <f ca="1">IF(AND('Planning Sheet'!DL469='Weeks Plan'!$D$6,'Planning Sheet'!DF469='Weeks Plan'!$G$6),'Planning Sheet'!$DH469,"")</f>
        <v/>
      </c>
    </row>
    <row r="5405" spans="25:27" x14ac:dyDescent="0.3">
      <c r="Y5405" s="48" t="str">
        <f ca="1">IF(AND('Planning Sheet'!DL470='Weeks Plan'!$D$6,'Planning Sheet'!DF470='Weeks Plan'!$G$6),'Planning Sheet'!$B470,"")</f>
        <v/>
      </c>
      <c r="Z5405" s="48" t="str">
        <f ca="1">IF(AND('Planning Sheet'!DL470='Weeks Plan'!$D$6,'Planning Sheet'!DF470='Weeks Plan'!$G$6),'Planning Sheet'!$DG470,"")</f>
        <v/>
      </c>
      <c r="AA5405" s="48" t="str">
        <f ca="1">IF(AND('Planning Sheet'!DL470='Weeks Plan'!$D$6,'Planning Sheet'!DF470='Weeks Plan'!$G$6),'Planning Sheet'!$DH470,"")</f>
        <v/>
      </c>
    </row>
    <row r="5406" spans="25:27" x14ac:dyDescent="0.3">
      <c r="Y5406" s="48" t="str">
        <f ca="1">IF(AND('Planning Sheet'!DL471='Weeks Plan'!$D$6,'Planning Sheet'!DF471='Weeks Plan'!$G$6),'Planning Sheet'!$B471,"")</f>
        <v/>
      </c>
      <c r="Z5406" s="48" t="str">
        <f ca="1">IF(AND('Planning Sheet'!DL471='Weeks Plan'!$D$6,'Planning Sheet'!DF471='Weeks Plan'!$G$6),'Planning Sheet'!$DG471,"")</f>
        <v/>
      </c>
      <c r="AA5406" s="48" t="str">
        <f ca="1">IF(AND('Planning Sheet'!DL471='Weeks Plan'!$D$6,'Planning Sheet'!DF471='Weeks Plan'!$G$6),'Planning Sheet'!$DH471,"")</f>
        <v/>
      </c>
    </row>
    <row r="5407" spans="25:27" x14ac:dyDescent="0.3">
      <c r="Y5407" s="48" t="str">
        <f ca="1">IF(AND('Planning Sheet'!DL472='Weeks Plan'!$D$6,'Planning Sheet'!DF472='Weeks Plan'!$G$6),'Planning Sheet'!$B472,"")</f>
        <v/>
      </c>
      <c r="Z5407" s="48" t="str">
        <f ca="1">IF(AND('Planning Sheet'!DL472='Weeks Plan'!$D$6,'Planning Sheet'!DF472='Weeks Plan'!$G$6),'Planning Sheet'!$DG472,"")</f>
        <v/>
      </c>
      <c r="AA5407" s="48" t="str">
        <f ca="1">IF(AND('Planning Sheet'!DL472='Weeks Plan'!$D$6,'Planning Sheet'!DF472='Weeks Plan'!$G$6),'Planning Sheet'!$DH472,"")</f>
        <v/>
      </c>
    </row>
    <row r="5408" spans="25:27" x14ac:dyDescent="0.3">
      <c r="Y5408" s="48" t="str">
        <f ca="1">IF(AND('Planning Sheet'!DL473='Weeks Plan'!$D$6,'Planning Sheet'!DF473='Weeks Plan'!$G$6),'Planning Sheet'!$B473,"")</f>
        <v/>
      </c>
      <c r="Z5408" s="48" t="str">
        <f ca="1">IF(AND('Planning Sheet'!DL473='Weeks Plan'!$D$6,'Planning Sheet'!DF473='Weeks Plan'!$G$6),'Planning Sheet'!$DG473,"")</f>
        <v/>
      </c>
      <c r="AA5408" s="48" t="str">
        <f ca="1">IF(AND('Planning Sheet'!DL473='Weeks Plan'!$D$6,'Planning Sheet'!DF473='Weeks Plan'!$G$6),'Planning Sheet'!$DH473,"")</f>
        <v/>
      </c>
    </row>
    <row r="5409" spans="25:27" x14ac:dyDescent="0.3">
      <c r="Y5409" s="48" t="str">
        <f ca="1">IF(AND('Planning Sheet'!DL474='Weeks Plan'!$D$6,'Planning Sheet'!DF474='Weeks Plan'!$G$6),'Planning Sheet'!$B474,"")</f>
        <v/>
      </c>
      <c r="Z5409" s="48" t="str">
        <f ca="1">IF(AND('Planning Sheet'!DL474='Weeks Plan'!$D$6,'Planning Sheet'!DF474='Weeks Plan'!$G$6),'Planning Sheet'!$DG474,"")</f>
        <v/>
      </c>
      <c r="AA5409" s="48" t="str">
        <f ca="1">IF(AND('Planning Sheet'!DL474='Weeks Plan'!$D$6,'Planning Sheet'!DF474='Weeks Plan'!$G$6),'Planning Sheet'!$DH474,"")</f>
        <v/>
      </c>
    </row>
    <row r="5410" spans="25:27" x14ac:dyDescent="0.3">
      <c r="Y5410" s="48" t="str">
        <f ca="1">IF(AND('Planning Sheet'!DL475='Weeks Plan'!$D$6,'Planning Sheet'!DF475='Weeks Plan'!$G$6),'Planning Sheet'!$B475,"")</f>
        <v/>
      </c>
      <c r="Z5410" s="48" t="str">
        <f ca="1">IF(AND('Planning Sheet'!DL475='Weeks Plan'!$D$6,'Planning Sheet'!DF475='Weeks Plan'!$G$6),'Planning Sheet'!$DG475,"")</f>
        <v/>
      </c>
      <c r="AA5410" s="48" t="str">
        <f ca="1">IF(AND('Planning Sheet'!DL475='Weeks Plan'!$D$6,'Planning Sheet'!DF475='Weeks Plan'!$G$6),'Planning Sheet'!$DH475,"")</f>
        <v/>
      </c>
    </row>
    <row r="5411" spans="25:27" x14ac:dyDescent="0.3">
      <c r="Y5411" s="48" t="str">
        <f ca="1">IF(AND('Planning Sheet'!DL476='Weeks Plan'!$D$6,'Planning Sheet'!DF476='Weeks Plan'!$G$6),'Planning Sheet'!$B476,"")</f>
        <v/>
      </c>
      <c r="Z5411" s="48" t="str">
        <f ca="1">IF(AND('Planning Sheet'!DL476='Weeks Plan'!$D$6,'Planning Sheet'!DF476='Weeks Plan'!$G$6),'Planning Sheet'!$DG476,"")</f>
        <v/>
      </c>
      <c r="AA5411" s="48" t="str">
        <f ca="1">IF(AND('Planning Sheet'!DL476='Weeks Plan'!$D$6,'Planning Sheet'!DF476='Weeks Plan'!$G$6),'Planning Sheet'!$DH476,"")</f>
        <v/>
      </c>
    </row>
    <row r="5412" spans="25:27" x14ac:dyDescent="0.3">
      <c r="Y5412" s="48" t="str">
        <f ca="1">IF(AND('Planning Sheet'!DL477='Weeks Plan'!$D$6,'Planning Sheet'!DF477='Weeks Plan'!$G$6),'Planning Sheet'!$B477,"")</f>
        <v/>
      </c>
      <c r="Z5412" s="48" t="str">
        <f ca="1">IF(AND('Planning Sheet'!DL477='Weeks Plan'!$D$6,'Planning Sheet'!DF477='Weeks Plan'!$G$6),'Planning Sheet'!$DG477,"")</f>
        <v/>
      </c>
      <c r="AA5412" s="48" t="str">
        <f ca="1">IF(AND('Planning Sheet'!DL477='Weeks Plan'!$D$6,'Planning Sheet'!DF477='Weeks Plan'!$G$6),'Planning Sheet'!$DH477,"")</f>
        <v/>
      </c>
    </row>
    <row r="5413" spans="25:27" x14ac:dyDescent="0.3">
      <c r="Y5413" s="48" t="str">
        <f ca="1">IF(AND('Planning Sheet'!DL478='Weeks Plan'!$D$6,'Planning Sheet'!DF478='Weeks Plan'!$G$6),'Planning Sheet'!$B478,"")</f>
        <v/>
      </c>
      <c r="Z5413" s="48" t="str">
        <f ca="1">IF(AND('Planning Sheet'!DL478='Weeks Plan'!$D$6,'Planning Sheet'!DF478='Weeks Plan'!$G$6),'Planning Sheet'!$DG478,"")</f>
        <v/>
      </c>
      <c r="AA5413" s="48" t="str">
        <f ca="1">IF(AND('Planning Sheet'!DL478='Weeks Plan'!$D$6,'Planning Sheet'!DF478='Weeks Plan'!$G$6),'Planning Sheet'!$DH478,"")</f>
        <v/>
      </c>
    </row>
    <row r="5414" spans="25:27" x14ac:dyDescent="0.3">
      <c r="Y5414" s="48" t="str">
        <f ca="1">IF(AND('Planning Sheet'!DL479='Weeks Plan'!$D$6,'Planning Sheet'!DF479='Weeks Plan'!$G$6),'Planning Sheet'!$B479,"")</f>
        <v/>
      </c>
      <c r="Z5414" s="48" t="str">
        <f ca="1">IF(AND('Planning Sheet'!DL479='Weeks Plan'!$D$6,'Planning Sheet'!DF479='Weeks Plan'!$G$6),'Planning Sheet'!$DG479,"")</f>
        <v/>
      </c>
      <c r="AA5414" s="48" t="str">
        <f ca="1">IF(AND('Planning Sheet'!DL479='Weeks Plan'!$D$6,'Planning Sheet'!DF479='Weeks Plan'!$G$6),'Planning Sheet'!$DH479,"")</f>
        <v/>
      </c>
    </row>
    <row r="5415" spans="25:27" x14ac:dyDescent="0.3">
      <c r="Y5415" s="48" t="str">
        <f ca="1">IF(AND('Planning Sheet'!DL480='Weeks Plan'!$D$6,'Planning Sheet'!DF480='Weeks Plan'!$G$6),'Planning Sheet'!$B480,"")</f>
        <v/>
      </c>
      <c r="Z5415" s="48" t="str">
        <f ca="1">IF(AND('Planning Sheet'!DL480='Weeks Plan'!$D$6,'Planning Sheet'!DF480='Weeks Plan'!$G$6),'Planning Sheet'!$DG480,"")</f>
        <v/>
      </c>
      <c r="AA5415" s="48" t="str">
        <f ca="1">IF(AND('Planning Sheet'!DL480='Weeks Plan'!$D$6,'Planning Sheet'!DF480='Weeks Plan'!$G$6),'Planning Sheet'!$DH480,"")</f>
        <v/>
      </c>
    </row>
    <row r="5416" spans="25:27" x14ac:dyDescent="0.3">
      <c r="Y5416" s="48" t="str">
        <f ca="1">IF(AND('Planning Sheet'!DL481='Weeks Plan'!$D$6,'Planning Sheet'!DF481='Weeks Plan'!$G$6),'Planning Sheet'!$B481,"")</f>
        <v/>
      </c>
      <c r="Z5416" s="48" t="str">
        <f ca="1">IF(AND('Planning Sheet'!DL481='Weeks Plan'!$D$6,'Planning Sheet'!DF481='Weeks Plan'!$G$6),'Planning Sheet'!$DG481,"")</f>
        <v/>
      </c>
      <c r="AA5416" s="48" t="str">
        <f ca="1">IF(AND('Planning Sheet'!DL481='Weeks Plan'!$D$6,'Planning Sheet'!DF481='Weeks Plan'!$G$6),'Planning Sheet'!$DH481,"")</f>
        <v/>
      </c>
    </row>
    <row r="5417" spans="25:27" x14ac:dyDescent="0.3">
      <c r="Y5417" s="48" t="str">
        <f ca="1">IF(AND('Planning Sheet'!DL482='Weeks Plan'!$D$6,'Planning Sheet'!DF482='Weeks Plan'!$G$6),'Planning Sheet'!$B482,"")</f>
        <v/>
      </c>
      <c r="Z5417" s="48" t="str">
        <f ca="1">IF(AND('Planning Sheet'!DL482='Weeks Plan'!$D$6,'Planning Sheet'!DF482='Weeks Plan'!$G$6),'Planning Sheet'!$DG482,"")</f>
        <v/>
      </c>
      <c r="AA5417" s="48" t="str">
        <f ca="1">IF(AND('Planning Sheet'!DL482='Weeks Plan'!$D$6,'Planning Sheet'!DF482='Weeks Plan'!$G$6),'Planning Sheet'!$DH482,"")</f>
        <v/>
      </c>
    </row>
    <row r="5418" spans="25:27" x14ac:dyDescent="0.3">
      <c r="Y5418" s="48" t="str">
        <f ca="1">IF(AND('Planning Sheet'!DL483='Weeks Plan'!$D$6,'Planning Sheet'!DF483='Weeks Plan'!$G$6),'Planning Sheet'!$B483,"")</f>
        <v/>
      </c>
      <c r="Z5418" s="48" t="str">
        <f ca="1">IF(AND('Planning Sheet'!DL483='Weeks Plan'!$D$6,'Planning Sheet'!DF483='Weeks Plan'!$G$6),'Planning Sheet'!$DG483,"")</f>
        <v/>
      </c>
      <c r="AA5418" s="48" t="str">
        <f ca="1">IF(AND('Planning Sheet'!DL483='Weeks Plan'!$D$6,'Planning Sheet'!DF483='Weeks Plan'!$G$6),'Planning Sheet'!$DH483,"")</f>
        <v/>
      </c>
    </row>
    <row r="5419" spans="25:27" x14ac:dyDescent="0.3">
      <c r="Y5419" s="48" t="str">
        <f ca="1">IF(AND('Planning Sheet'!DL484='Weeks Plan'!$D$6,'Planning Sheet'!DF484='Weeks Plan'!$G$6),'Planning Sheet'!$B484,"")</f>
        <v/>
      </c>
      <c r="Z5419" s="48" t="str">
        <f ca="1">IF(AND('Planning Sheet'!DL484='Weeks Plan'!$D$6,'Planning Sheet'!DF484='Weeks Plan'!$G$6),'Planning Sheet'!$DG484,"")</f>
        <v/>
      </c>
      <c r="AA5419" s="48" t="str">
        <f ca="1">IF(AND('Planning Sheet'!DL484='Weeks Plan'!$D$6,'Planning Sheet'!DF484='Weeks Plan'!$G$6),'Planning Sheet'!$DH484,"")</f>
        <v/>
      </c>
    </row>
    <row r="5420" spans="25:27" x14ac:dyDescent="0.3">
      <c r="Y5420" s="48" t="str">
        <f ca="1">IF(AND('Planning Sheet'!DL485='Weeks Plan'!$D$6,'Planning Sheet'!DF485='Weeks Plan'!$G$6),'Planning Sheet'!$B485,"")</f>
        <v/>
      </c>
      <c r="Z5420" s="48" t="str">
        <f ca="1">IF(AND('Planning Sheet'!DL485='Weeks Plan'!$D$6,'Planning Sheet'!DF485='Weeks Plan'!$G$6),'Planning Sheet'!$DG485,"")</f>
        <v/>
      </c>
      <c r="AA5420" s="48" t="str">
        <f ca="1">IF(AND('Planning Sheet'!DL485='Weeks Plan'!$D$6,'Planning Sheet'!DF485='Weeks Plan'!$G$6),'Planning Sheet'!$DH485,"")</f>
        <v/>
      </c>
    </row>
    <row r="5421" spans="25:27" x14ac:dyDescent="0.3">
      <c r="Y5421" s="48" t="str">
        <f ca="1">IF(AND('Planning Sheet'!DL486='Weeks Plan'!$D$6,'Planning Sheet'!DF486='Weeks Plan'!$G$6),'Planning Sheet'!$B486,"")</f>
        <v/>
      </c>
      <c r="Z5421" s="48" t="str">
        <f ca="1">IF(AND('Planning Sheet'!DL486='Weeks Plan'!$D$6,'Planning Sheet'!DF486='Weeks Plan'!$G$6),'Planning Sheet'!$DG486,"")</f>
        <v/>
      </c>
      <c r="AA5421" s="48" t="str">
        <f ca="1">IF(AND('Planning Sheet'!DL486='Weeks Plan'!$D$6,'Planning Sheet'!DF486='Weeks Plan'!$G$6),'Planning Sheet'!$DH486,"")</f>
        <v/>
      </c>
    </row>
    <row r="5422" spans="25:27" x14ac:dyDescent="0.3">
      <c r="Y5422" s="48" t="str">
        <f ca="1">IF(AND('Planning Sheet'!DL487='Weeks Plan'!$D$6,'Planning Sheet'!DF487='Weeks Plan'!$G$6),'Planning Sheet'!$B487,"")</f>
        <v/>
      </c>
      <c r="Z5422" s="48" t="str">
        <f ca="1">IF(AND('Planning Sheet'!DL487='Weeks Plan'!$D$6,'Planning Sheet'!DF487='Weeks Plan'!$G$6),'Planning Sheet'!$DG487,"")</f>
        <v/>
      </c>
      <c r="AA5422" s="48" t="str">
        <f ca="1">IF(AND('Planning Sheet'!DL487='Weeks Plan'!$D$6,'Planning Sheet'!DF487='Weeks Plan'!$G$6),'Planning Sheet'!$DH487,"")</f>
        <v/>
      </c>
    </row>
    <row r="5423" spans="25:27" x14ac:dyDescent="0.3">
      <c r="Y5423" s="48" t="str">
        <f ca="1">IF(AND('Planning Sheet'!DL488='Weeks Plan'!$D$6,'Planning Sheet'!DF488='Weeks Plan'!$G$6),'Planning Sheet'!$B488,"")</f>
        <v/>
      </c>
      <c r="Z5423" s="48" t="str">
        <f ca="1">IF(AND('Planning Sheet'!DL488='Weeks Plan'!$D$6,'Planning Sheet'!DF488='Weeks Plan'!$G$6),'Planning Sheet'!$DG488,"")</f>
        <v/>
      </c>
      <c r="AA5423" s="48" t="str">
        <f ca="1">IF(AND('Planning Sheet'!DL488='Weeks Plan'!$D$6,'Planning Sheet'!DF488='Weeks Plan'!$G$6),'Planning Sheet'!$DH488,"")</f>
        <v/>
      </c>
    </row>
    <row r="5424" spans="25:27" x14ac:dyDescent="0.3">
      <c r="Y5424" s="48" t="str">
        <f ca="1">IF(AND('Planning Sheet'!DL489='Weeks Plan'!$D$6,'Planning Sheet'!DF489='Weeks Plan'!$G$6),'Planning Sheet'!$B489,"")</f>
        <v/>
      </c>
      <c r="Z5424" s="48" t="str">
        <f ca="1">IF(AND('Planning Sheet'!DL489='Weeks Plan'!$D$6,'Planning Sheet'!DF489='Weeks Plan'!$G$6),'Planning Sheet'!$DG489,"")</f>
        <v/>
      </c>
      <c r="AA5424" s="48" t="str">
        <f ca="1">IF(AND('Planning Sheet'!DL489='Weeks Plan'!$D$6,'Planning Sheet'!DF489='Weeks Plan'!$G$6),'Planning Sheet'!$DH489,"")</f>
        <v/>
      </c>
    </row>
    <row r="5425" spans="25:27" x14ac:dyDescent="0.3">
      <c r="Y5425" s="48" t="str">
        <f ca="1">IF(AND('Planning Sheet'!DL490='Weeks Plan'!$D$6,'Planning Sheet'!DF490='Weeks Plan'!$G$6),'Planning Sheet'!$B490,"")</f>
        <v/>
      </c>
      <c r="Z5425" s="48" t="str">
        <f ca="1">IF(AND('Planning Sheet'!DL490='Weeks Plan'!$D$6,'Planning Sheet'!DF490='Weeks Plan'!$G$6),'Planning Sheet'!$DG490,"")</f>
        <v/>
      </c>
      <c r="AA5425" s="48" t="str">
        <f ca="1">IF(AND('Planning Sheet'!DL490='Weeks Plan'!$D$6,'Planning Sheet'!DF490='Weeks Plan'!$G$6),'Planning Sheet'!$DH490,"")</f>
        <v/>
      </c>
    </row>
    <row r="5426" spans="25:27" x14ac:dyDescent="0.3">
      <c r="Y5426" s="48" t="str">
        <f ca="1">IF(AND('Planning Sheet'!DL491='Weeks Plan'!$D$6,'Planning Sheet'!DF491='Weeks Plan'!$G$6),'Planning Sheet'!$B491,"")</f>
        <v/>
      </c>
      <c r="Z5426" s="48" t="str">
        <f ca="1">IF(AND('Planning Sheet'!DL491='Weeks Plan'!$D$6,'Planning Sheet'!DF491='Weeks Plan'!$G$6),'Planning Sheet'!$DG491,"")</f>
        <v/>
      </c>
      <c r="AA5426" s="48" t="str">
        <f ca="1">IF(AND('Planning Sheet'!DL491='Weeks Plan'!$D$6,'Planning Sheet'!DF491='Weeks Plan'!$G$6),'Planning Sheet'!$DH491,"")</f>
        <v/>
      </c>
    </row>
    <row r="5427" spans="25:27" x14ac:dyDescent="0.3">
      <c r="Y5427" s="48" t="str">
        <f ca="1">IF(AND('Planning Sheet'!DL492='Weeks Plan'!$D$6,'Planning Sheet'!DF492='Weeks Plan'!$G$6),'Planning Sheet'!$B492,"")</f>
        <v/>
      </c>
      <c r="Z5427" s="48" t="str">
        <f ca="1">IF(AND('Planning Sheet'!DL492='Weeks Plan'!$D$6,'Planning Sheet'!DF492='Weeks Plan'!$G$6),'Planning Sheet'!$DG492,"")</f>
        <v/>
      </c>
      <c r="AA5427" s="48" t="str">
        <f ca="1">IF(AND('Planning Sheet'!DL492='Weeks Plan'!$D$6,'Planning Sheet'!DF492='Weeks Plan'!$G$6),'Planning Sheet'!$DH492,"")</f>
        <v/>
      </c>
    </row>
    <row r="5428" spans="25:27" x14ac:dyDescent="0.3">
      <c r="Y5428" s="48" t="str">
        <f ca="1">IF(AND('Planning Sheet'!DL493='Weeks Plan'!$D$6,'Planning Sheet'!DF493='Weeks Plan'!$G$6),'Planning Sheet'!$B493,"")</f>
        <v/>
      </c>
      <c r="Z5428" s="48" t="str">
        <f ca="1">IF(AND('Planning Sheet'!DL493='Weeks Plan'!$D$6,'Planning Sheet'!DF493='Weeks Plan'!$G$6),'Planning Sheet'!$DG493,"")</f>
        <v/>
      </c>
      <c r="AA5428" s="48" t="str">
        <f ca="1">IF(AND('Planning Sheet'!DL493='Weeks Plan'!$D$6,'Planning Sheet'!DF493='Weeks Plan'!$G$6),'Planning Sheet'!$DH493,"")</f>
        <v/>
      </c>
    </row>
    <row r="5429" spans="25:27" x14ac:dyDescent="0.3">
      <c r="Y5429" s="48" t="str">
        <f ca="1">IF(AND('Planning Sheet'!DL494='Weeks Plan'!$D$6,'Planning Sheet'!DF494='Weeks Plan'!$G$6),'Planning Sheet'!$B494,"")</f>
        <v/>
      </c>
      <c r="Z5429" s="48" t="str">
        <f ca="1">IF(AND('Planning Sheet'!DL494='Weeks Plan'!$D$6,'Planning Sheet'!DF494='Weeks Plan'!$G$6),'Planning Sheet'!$DG494,"")</f>
        <v/>
      </c>
      <c r="AA5429" s="48" t="str">
        <f ca="1">IF(AND('Planning Sheet'!DL494='Weeks Plan'!$D$6,'Planning Sheet'!DF494='Weeks Plan'!$G$6),'Planning Sheet'!$DH494,"")</f>
        <v/>
      </c>
    </row>
    <row r="5430" spans="25:27" x14ac:dyDescent="0.3">
      <c r="Y5430" s="48" t="str">
        <f ca="1">IF(AND('Planning Sheet'!DL495='Weeks Plan'!$D$6,'Planning Sheet'!DF495='Weeks Plan'!$G$6),'Planning Sheet'!$B495,"")</f>
        <v/>
      </c>
      <c r="Z5430" s="48" t="str">
        <f ca="1">IF(AND('Planning Sheet'!DL495='Weeks Plan'!$D$6,'Planning Sheet'!DF495='Weeks Plan'!$G$6),'Planning Sheet'!$DG495,"")</f>
        <v/>
      </c>
      <c r="AA5430" s="48" t="str">
        <f ca="1">IF(AND('Planning Sheet'!DL495='Weeks Plan'!$D$6,'Planning Sheet'!DF495='Weeks Plan'!$G$6),'Planning Sheet'!$DH495,"")</f>
        <v/>
      </c>
    </row>
    <row r="5431" spans="25:27" x14ac:dyDescent="0.3">
      <c r="Y5431" s="48" t="str">
        <f ca="1">IF(AND('Planning Sheet'!DL496='Weeks Plan'!$D$6,'Planning Sheet'!DF496='Weeks Plan'!$G$6),'Planning Sheet'!$B496,"")</f>
        <v/>
      </c>
      <c r="Z5431" s="48" t="str">
        <f ca="1">IF(AND('Planning Sheet'!DL496='Weeks Plan'!$D$6,'Planning Sheet'!DF496='Weeks Plan'!$G$6),'Planning Sheet'!$DG496,"")</f>
        <v/>
      </c>
      <c r="AA5431" s="48" t="str">
        <f ca="1">IF(AND('Planning Sheet'!DL496='Weeks Plan'!$D$6,'Planning Sheet'!DF496='Weeks Plan'!$G$6),'Planning Sheet'!$DH496,"")</f>
        <v/>
      </c>
    </row>
    <row r="5432" spans="25:27" x14ac:dyDescent="0.3">
      <c r="Y5432" s="48" t="str">
        <f ca="1">IF(AND('Planning Sheet'!DL497='Weeks Plan'!$D$6,'Planning Sheet'!DF497='Weeks Plan'!$G$6),'Planning Sheet'!$B497,"")</f>
        <v/>
      </c>
      <c r="Z5432" s="48" t="str">
        <f ca="1">IF(AND('Planning Sheet'!DL497='Weeks Plan'!$D$6,'Planning Sheet'!DF497='Weeks Plan'!$G$6),'Planning Sheet'!$DG497,"")</f>
        <v/>
      </c>
      <c r="AA5432" s="48" t="str">
        <f ca="1">IF(AND('Planning Sheet'!DL497='Weeks Plan'!$D$6,'Planning Sheet'!DF497='Weeks Plan'!$G$6),'Planning Sheet'!$DH497,"")</f>
        <v/>
      </c>
    </row>
    <row r="5433" spans="25:27" x14ac:dyDescent="0.3">
      <c r="Y5433" s="48" t="str">
        <f ca="1">IF(AND('Planning Sheet'!DL498='Weeks Plan'!$D$6,'Planning Sheet'!DF498='Weeks Plan'!$G$6),'Planning Sheet'!$B498,"")</f>
        <v/>
      </c>
      <c r="Z5433" s="48" t="str">
        <f ca="1">IF(AND('Planning Sheet'!DL498='Weeks Plan'!$D$6,'Planning Sheet'!DF498='Weeks Plan'!$G$6),'Planning Sheet'!$DG498,"")</f>
        <v/>
      </c>
      <c r="AA5433" s="48" t="str">
        <f ca="1">IF(AND('Planning Sheet'!DL498='Weeks Plan'!$D$6,'Planning Sheet'!DF498='Weeks Plan'!$G$6),'Planning Sheet'!$DH498,"")</f>
        <v/>
      </c>
    </row>
    <row r="5434" spans="25:27" x14ac:dyDescent="0.3">
      <c r="Y5434" s="48" t="str">
        <f ca="1">IF(AND('Planning Sheet'!DL499='Weeks Plan'!$D$6,'Planning Sheet'!DF499='Weeks Plan'!$G$6),'Planning Sheet'!$B499,"")</f>
        <v/>
      </c>
      <c r="Z5434" s="48" t="str">
        <f ca="1">IF(AND('Planning Sheet'!DL499='Weeks Plan'!$D$6,'Planning Sheet'!DF499='Weeks Plan'!$G$6),'Planning Sheet'!$DG499,"")</f>
        <v/>
      </c>
      <c r="AA5434" s="48" t="str">
        <f ca="1">IF(AND('Planning Sheet'!DL499='Weeks Plan'!$D$6,'Planning Sheet'!DF499='Weeks Plan'!$G$6),'Planning Sheet'!$DH499,"")</f>
        <v/>
      </c>
    </row>
    <row r="5435" spans="25:27" x14ac:dyDescent="0.3">
      <c r="Y5435" s="48" t="str">
        <f ca="1">IF(AND('Planning Sheet'!DL500='Weeks Plan'!$D$6,'Planning Sheet'!DF500='Weeks Plan'!$G$6),'Planning Sheet'!$B500,"")</f>
        <v/>
      </c>
      <c r="Z5435" s="48" t="str">
        <f ca="1">IF(AND('Planning Sheet'!DL500='Weeks Plan'!$D$6,'Planning Sheet'!DF500='Weeks Plan'!$G$6),'Planning Sheet'!$DG500,"")</f>
        <v/>
      </c>
      <c r="AA5435" s="48" t="str">
        <f ca="1">IF(AND('Planning Sheet'!DL500='Weeks Plan'!$D$6,'Planning Sheet'!DF500='Weeks Plan'!$G$6),'Planning Sheet'!$DH500,"")</f>
        <v/>
      </c>
    </row>
    <row r="5437" spans="25:27" x14ac:dyDescent="0.3">
      <c r="Y5437" s="47" t="str">
        <f ca="1">IF(AND('Planning Sheet'!DS8='Weeks Plan'!$D$6,'Planning Sheet'!DM8='Weeks Plan'!$G$6),'Planning Sheet'!$B8,"")</f>
        <v/>
      </c>
      <c r="Z5437" s="47" t="str">
        <f ca="1">IF(AND('Planning Sheet'!DS8='Weeks Plan'!$D$6,'Planning Sheet'!DM8='Weeks Plan'!$G$6),'Planning Sheet'!$DN8,"")</f>
        <v/>
      </c>
      <c r="AA5437" s="47" t="str">
        <f ca="1">IF(AND('Planning Sheet'!DS8='Weeks Plan'!$D$6,'Planning Sheet'!DM8='Weeks Plan'!$G$6),'Planning Sheet'!$DO8,"")</f>
        <v/>
      </c>
    </row>
    <row r="5438" spans="25:27" x14ac:dyDescent="0.3">
      <c r="Y5438" s="48" t="str">
        <f ca="1">IF(AND('Planning Sheet'!DS9='Weeks Plan'!$D$6,'Planning Sheet'!DM9='Weeks Plan'!$G$6),'Planning Sheet'!$B9,"")</f>
        <v/>
      </c>
      <c r="Z5438" s="48" t="str">
        <f ca="1">IF(AND('Planning Sheet'!DS9='Weeks Plan'!$D$6,'Planning Sheet'!DM9='Weeks Plan'!$G$6),'Planning Sheet'!$DN9,"")</f>
        <v/>
      </c>
      <c r="AA5438" s="48" t="str">
        <f ca="1">IF(AND('Planning Sheet'!DS9='Weeks Plan'!$D$6,'Planning Sheet'!DM9='Weeks Plan'!$G$6),'Planning Sheet'!$DO9,"")</f>
        <v/>
      </c>
    </row>
    <row r="5439" spans="25:27" x14ac:dyDescent="0.3">
      <c r="Y5439" s="48" t="str">
        <f ca="1">IF(AND('Planning Sheet'!DS10='Weeks Plan'!$D$6,'Planning Sheet'!DM10='Weeks Plan'!$G$6),'Planning Sheet'!$B10,"")</f>
        <v/>
      </c>
      <c r="Z5439" s="48" t="str">
        <f ca="1">IF(AND('Planning Sheet'!DS10='Weeks Plan'!$D$6,'Planning Sheet'!DM10='Weeks Plan'!$G$6),'Planning Sheet'!$DN10,"")</f>
        <v/>
      </c>
      <c r="AA5439" s="48" t="str">
        <f ca="1">IF(AND('Planning Sheet'!DS10='Weeks Plan'!$D$6,'Planning Sheet'!DM10='Weeks Plan'!$G$6),'Planning Sheet'!$DO10,"")</f>
        <v/>
      </c>
    </row>
    <row r="5440" spans="25:27" x14ac:dyDescent="0.3">
      <c r="Y5440" s="48" t="str">
        <f ca="1">IF(AND('Planning Sheet'!DS11='Weeks Plan'!$D$6,'Planning Sheet'!DM11='Weeks Plan'!$G$6),'Planning Sheet'!$B11,"")</f>
        <v/>
      </c>
      <c r="Z5440" s="48" t="str">
        <f ca="1">IF(AND('Planning Sheet'!DS11='Weeks Plan'!$D$6,'Planning Sheet'!DM11='Weeks Plan'!$G$6),'Planning Sheet'!$DN11,"")</f>
        <v/>
      </c>
      <c r="AA5440" s="48" t="str">
        <f ca="1">IF(AND('Planning Sheet'!DS11='Weeks Plan'!$D$6,'Planning Sheet'!DM11='Weeks Plan'!$G$6),'Planning Sheet'!$DO11,"")</f>
        <v/>
      </c>
    </row>
    <row r="5441" spans="25:27" x14ac:dyDescent="0.3">
      <c r="Y5441" s="48" t="str">
        <f ca="1">IF(AND('Planning Sheet'!DS12='Weeks Plan'!$D$6,'Planning Sheet'!DM12='Weeks Plan'!$G$6),'Planning Sheet'!$B12,"")</f>
        <v/>
      </c>
      <c r="Z5441" s="48" t="str">
        <f ca="1">IF(AND('Planning Sheet'!DS12='Weeks Plan'!$D$6,'Planning Sheet'!DM12='Weeks Plan'!$G$6),'Planning Sheet'!$DN12,"")</f>
        <v/>
      </c>
      <c r="AA5441" s="48" t="str">
        <f ca="1">IF(AND('Planning Sheet'!DS12='Weeks Plan'!$D$6,'Planning Sheet'!DM12='Weeks Plan'!$G$6),'Planning Sheet'!$DO12,"")</f>
        <v/>
      </c>
    </row>
    <row r="5442" spans="25:27" x14ac:dyDescent="0.3">
      <c r="Y5442" s="48" t="str">
        <f ca="1">IF(AND('Planning Sheet'!DS13='Weeks Plan'!$D$6,'Planning Sheet'!DM13='Weeks Plan'!$G$6),'Planning Sheet'!$B13,"")</f>
        <v/>
      </c>
      <c r="Z5442" s="48" t="str">
        <f ca="1">IF(AND('Planning Sheet'!DS13='Weeks Plan'!$D$6,'Planning Sheet'!DM13='Weeks Plan'!$G$6),'Planning Sheet'!$DN13,"")</f>
        <v/>
      </c>
      <c r="AA5442" s="48" t="str">
        <f ca="1">IF(AND('Planning Sheet'!DS13='Weeks Plan'!$D$6,'Planning Sheet'!DM13='Weeks Plan'!$G$6),'Planning Sheet'!$DO13,"")</f>
        <v/>
      </c>
    </row>
    <row r="5443" spans="25:27" x14ac:dyDescent="0.3">
      <c r="Y5443" s="48" t="str">
        <f ca="1">IF(AND('Planning Sheet'!DS14='Weeks Plan'!$D$6,'Planning Sheet'!DM14='Weeks Plan'!$G$6),'Planning Sheet'!$B14,"")</f>
        <v/>
      </c>
      <c r="Z5443" s="48" t="str">
        <f ca="1">IF(AND('Planning Sheet'!DS14='Weeks Plan'!$D$6,'Planning Sheet'!DM14='Weeks Plan'!$G$6),'Planning Sheet'!$DN14,"")</f>
        <v/>
      </c>
      <c r="AA5443" s="48" t="str">
        <f ca="1">IF(AND('Planning Sheet'!DS14='Weeks Plan'!$D$6,'Planning Sheet'!DM14='Weeks Plan'!$G$6),'Planning Sheet'!$DO14,"")</f>
        <v/>
      </c>
    </row>
    <row r="5444" spans="25:27" x14ac:dyDescent="0.3">
      <c r="Y5444" s="48" t="str">
        <f ca="1">IF(AND('Planning Sheet'!DS15='Weeks Plan'!$D$6,'Planning Sheet'!DM15='Weeks Plan'!$G$6),'Planning Sheet'!$B15,"")</f>
        <v/>
      </c>
      <c r="Z5444" s="48" t="str">
        <f ca="1">IF(AND('Planning Sheet'!DS15='Weeks Plan'!$D$6,'Planning Sheet'!DM15='Weeks Plan'!$G$6),'Planning Sheet'!$DN15,"")</f>
        <v/>
      </c>
      <c r="AA5444" s="48" t="str">
        <f ca="1">IF(AND('Planning Sheet'!DS15='Weeks Plan'!$D$6,'Planning Sheet'!DM15='Weeks Plan'!$G$6),'Planning Sheet'!$DO15,"")</f>
        <v/>
      </c>
    </row>
    <row r="5445" spans="25:27" x14ac:dyDescent="0.3">
      <c r="Y5445" s="48" t="str">
        <f ca="1">IF(AND('Planning Sheet'!DS16='Weeks Plan'!$D$6,'Planning Sheet'!DM16='Weeks Plan'!$G$6),'Planning Sheet'!$B16,"")</f>
        <v/>
      </c>
      <c r="Z5445" s="48" t="str">
        <f ca="1">IF(AND('Planning Sheet'!DS16='Weeks Plan'!$D$6,'Planning Sheet'!DM16='Weeks Plan'!$G$6),'Planning Sheet'!$DN16,"")</f>
        <v/>
      </c>
      <c r="AA5445" s="48" t="str">
        <f ca="1">IF(AND('Planning Sheet'!DS16='Weeks Plan'!$D$6,'Planning Sheet'!DM16='Weeks Plan'!$G$6),'Planning Sheet'!$DO16,"")</f>
        <v/>
      </c>
    </row>
    <row r="5446" spans="25:27" x14ac:dyDescent="0.3">
      <c r="Y5446" s="48" t="str">
        <f ca="1">IF(AND('Planning Sheet'!DS17='Weeks Plan'!$D$6,'Planning Sheet'!DM17='Weeks Plan'!$G$6),'Planning Sheet'!$B17,"")</f>
        <v/>
      </c>
      <c r="Z5446" s="48" t="str">
        <f ca="1">IF(AND('Planning Sheet'!DS17='Weeks Plan'!$D$6,'Planning Sheet'!DM17='Weeks Plan'!$G$6),'Planning Sheet'!$DN17,"")</f>
        <v/>
      </c>
      <c r="AA5446" s="48" t="str">
        <f ca="1">IF(AND('Planning Sheet'!DS17='Weeks Plan'!$D$6,'Planning Sheet'!DM17='Weeks Plan'!$G$6),'Planning Sheet'!$DO17,"")</f>
        <v/>
      </c>
    </row>
    <row r="5447" spans="25:27" x14ac:dyDescent="0.3">
      <c r="Y5447" s="48" t="str">
        <f ca="1">IF(AND('Planning Sheet'!DS18='Weeks Plan'!$D$6,'Planning Sheet'!DM18='Weeks Plan'!$G$6),'Planning Sheet'!$B18,"")</f>
        <v/>
      </c>
      <c r="Z5447" s="48" t="str">
        <f ca="1">IF(AND('Planning Sheet'!DS18='Weeks Plan'!$D$6,'Planning Sheet'!DM18='Weeks Plan'!$G$6),'Planning Sheet'!$DN18,"")</f>
        <v/>
      </c>
      <c r="AA5447" s="48" t="str">
        <f ca="1">IF(AND('Planning Sheet'!DS18='Weeks Plan'!$D$6,'Planning Sheet'!DM18='Weeks Plan'!$G$6),'Planning Sheet'!$DO18,"")</f>
        <v/>
      </c>
    </row>
    <row r="5448" spans="25:27" x14ac:dyDescent="0.3">
      <c r="Y5448" s="48" t="str">
        <f ca="1">IF(AND('Planning Sheet'!DS19='Weeks Plan'!$D$6,'Planning Sheet'!DM19='Weeks Plan'!$G$6),'Planning Sheet'!$B19,"")</f>
        <v/>
      </c>
      <c r="Z5448" s="48" t="str">
        <f ca="1">IF(AND('Planning Sheet'!DS19='Weeks Plan'!$D$6,'Planning Sheet'!DM19='Weeks Plan'!$G$6),'Planning Sheet'!$DN19,"")</f>
        <v/>
      </c>
      <c r="AA5448" s="48" t="str">
        <f ca="1">IF(AND('Planning Sheet'!DS19='Weeks Plan'!$D$6,'Planning Sheet'!DM19='Weeks Plan'!$G$6),'Planning Sheet'!$DO19,"")</f>
        <v/>
      </c>
    </row>
    <row r="5449" spans="25:27" x14ac:dyDescent="0.3">
      <c r="Y5449" s="48" t="str">
        <f ca="1">IF(AND('Planning Sheet'!DS20='Weeks Plan'!$D$6,'Planning Sheet'!DM20='Weeks Plan'!$G$6),'Planning Sheet'!$B20,"")</f>
        <v/>
      </c>
      <c r="Z5449" s="48" t="str">
        <f ca="1">IF(AND('Planning Sheet'!DS20='Weeks Plan'!$D$6,'Planning Sheet'!DM20='Weeks Plan'!$G$6),'Planning Sheet'!$DN20,"")</f>
        <v/>
      </c>
      <c r="AA5449" s="48" t="str">
        <f ca="1">IF(AND('Planning Sheet'!DS20='Weeks Plan'!$D$6,'Planning Sheet'!DM20='Weeks Plan'!$G$6),'Planning Sheet'!$DO20,"")</f>
        <v/>
      </c>
    </row>
    <row r="5450" spans="25:27" x14ac:dyDescent="0.3">
      <c r="Y5450" s="48" t="str">
        <f ca="1">IF(AND('Planning Sheet'!DS21='Weeks Plan'!$D$6,'Planning Sheet'!DM21='Weeks Plan'!$G$6),'Planning Sheet'!$B21,"")</f>
        <v/>
      </c>
      <c r="Z5450" s="48" t="str">
        <f ca="1">IF(AND('Planning Sheet'!DS21='Weeks Plan'!$D$6,'Planning Sheet'!DM21='Weeks Plan'!$G$6),'Planning Sheet'!$DN21,"")</f>
        <v/>
      </c>
      <c r="AA5450" s="48" t="str">
        <f ca="1">IF(AND('Planning Sheet'!DS21='Weeks Plan'!$D$6,'Planning Sheet'!DM21='Weeks Plan'!$G$6),'Planning Sheet'!$DO21,"")</f>
        <v/>
      </c>
    </row>
    <row r="5451" spans="25:27" x14ac:dyDescent="0.3">
      <c r="Y5451" s="48" t="str">
        <f ca="1">IF(AND('Planning Sheet'!DS22='Weeks Plan'!$D$6,'Planning Sheet'!DM22='Weeks Plan'!$G$6),'Planning Sheet'!$B22,"")</f>
        <v/>
      </c>
      <c r="Z5451" s="48" t="str">
        <f ca="1">IF(AND('Planning Sheet'!DS22='Weeks Plan'!$D$6,'Planning Sheet'!DM22='Weeks Plan'!$G$6),'Planning Sheet'!$DN22,"")</f>
        <v/>
      </c>
      <c r="AA5451" s="48" t="str">
        <f ca="1">IF(AND('Planning Sheet'!DS22='Weeks Plan'!$D$6,'Planning Sheet'!DM22='Weeks Plan'!$G$6),'Planning Sheet'!$DO22,"")</f>
        <v/>
      </c>
    </row>
    <row r="5452" spans="25:27" x14ac:dyDescent="0.3">
      <c r="Y5452" s="48" t="str">
        <f ca="1">IF(AND('Planning Sheet'!DS23='Weeks Plan'!$D$6,'Planning Sheet'!DM23='Weeks Plan'!$G$6),'Planning Sheet'!$B23,"")</f>
        <v/>
      </c>
      <c r="Z5452" s="48" t="str">
        <f ca="1">IF(AND('Planning Sheet'!DS23='Weeks Plan'!$D$6,'Planning Sheet'!DM23='Weeks Plan'!$G$6),'Planning Sheet'!$DN23,"")</f>
        <v/>
      </c>
      <c r="AA5452" s="48" t="str">
        <f ca="1">IF(AND('Planning Sheet'!DS23='Weeks Plan'!$D$6,'Planning Sheet'!DM23='Weeks Plan'!$G$6),'Planning Sheet'!$DO23,"")</f>
        <v/>
      </c>
    </row>
    <row r="5453" spans="25:27" x14ac:dyDescent="0.3">
      <c r="Y5453" s="48" t="str">
        <f ca="1">IF(AND('Planning Sheet'!DS24='Weeks Plan'!$D$6,'Planning Sheet'!DM24='Weeks Plan'!$G$6),'Planning Sheet'!$B24,"")</f>
        <v/>
      </c>
      <c r="Z5453" s="48" t="str">
        <f ca="1">IF(AND('Planning Sheet'!DS24='Weeks Plan'!$D$6,'Planning Sheet'!DM24='Weeks Plan'!$G$6),'Planning Sheet'!$DN24,"")</f>
        <v/>
      </c>
      <c r="AA5453" s="48" t="str">
        <f ca="1">IF(AND('Planning Sheet'!DS24='Weeks Plan'!$D$6,'Planning Sheet'!DM24='Weeks Plan'!$G$6),'Planning Sheet'!$DO24,"")</f>
        <v/>
      </c>
    </row>
    <row r="5454" spans="25:27" x14ac:dyDescent="0.3">
      <c r="Y5454" s="48" t="str">
        <f ca="1">IF(AND('Planning Sheet'!DS25='Weeks Plan'!$D$6,'Planning Sheet'!DM25='Weeks Plan'!$G$6),'Planning Sheet'!$B25,"")</f>
        <v/>
      </c>
      <c r="Z5454" s="48" t="str">
        <f ca="1">IF(AND('Planning Sheet'!DS25='Weeks Plan'!$D$6,'Planning Sheet'!DM25='Weeks Plan'!$G$6),'Planning Sheet'!$DN25,"")</f>
        <v/>
      </c>
      <c r="AA5454" s="48" t="str">
        <f ca="1">IF(AND('Planning Sheet'!DS25='Weeks Plan'!$D$6,'Planning Sheet'!DM25='Weeks Plan'!$G$6),'Planning Sheet'!$DO25,"")</f>
        <v/>
      </c>
    </row>
    <row r="5455" spans="25:27" x14ac:dyDescent="0.3">
      <c r="Y5455" s="48" t="str">
        <f ca="1">IF(AND('Planning Sheet'!DS26='Weeks Plan'!$D$6,'Planning Sheet'!DM26='Weeks Plan'!$G$6),'Planning Sheet'!$B26,"")</f>
        <v/>
      </c>
      <c r="Z5455" s="48" t="str">
        <f ca="1">IF(AND('Planning Sheet'!DS26='Weeks Plan'!$D$6,'Planning Sheet'!DM26='Weeks Plan'!$G$6),'Planning Sheet'!$DN26,"")</f>
        <v/>
      </c>
      <c r="AA5455" s="48" t="str">
        <f ca="1">IF(AND('Planning Sheet'!DS26='Weeks Plan'!$D$6,'Planning Sheet'!DM26='Weeks Plan'!$G$6),'Planning Sheet'!$DO26,"")</f>
        <v/>
      </c>
    </row>
    <row r="5456" spans="25:27" x14ac:dyDescent="0.3">
      <c r="Y5456" s="48" t="str">
        <f ca="1">IF(AND('Planning Sheet'!DS27='Weeks Plan'!$D$6,'Planning Sheet'!DM27='Weeks Plan'!$G$6),'Planning Sheet'!$B27,"")</f>
        <v/>
      </c>
      <c r="Z5456" s="48" t="str">
        <f ca="1">IF(AND('Planning Sheet'!DS27='Weeks Plan'!$D$6,'Planning Sheet'!DM27='Weeks Plan'!$G$6),'Planning Sheet'!$DN27,"")</f>
        <v/>
      </c>
      <c r="AA5456" s="48" t="str">
        <f ca="1">IF(AND('Planning Sheet'!DS27='Weeks Plan'!$D$6,'Planning Sheet'!DM27='Weeks Plan'!$G$6),'Planning Sheet'!$DO27,"")</f>
        <v/>
      </c>
    </row>
    <row r="5457" spans="25:27" x14ac:dyDescent="0.3">
      <c r="Y5457" s="48" t="str">
        <f ca="1">IF(AND('Planning Sheet'!DS28='Weeks Plan'!$D$6,'Planning Sheet'!DM28='Weeks Plan'!$G$6),'Planning Sheet'!$B28,"")</f>
        <v/>
      </c>
      <c r="Z5457" s="48" t="str">
        <f ca="1">IF(AND('Planning Sheet'!DS28='Weeks Plan'!$D$6,'Planning Sheet'!DM28='Weeks Plan'!$G$6),'Planning Sheet'!$DN28,"")</f>
        <v/>
      </c>
      <c r="AA5457" s="48" t="str">
        <f ca="1">IF(AND('Planning Sheet'!DS28='Weeks Plan'!$D$6,'Planning Sheet'!DM28='Weeks Plan'!$G$6),'Planning Sheet'!$DO28,"")</f>
        <v/>
      </c>
    </row>
    <row r="5458" spans="25:27" x14ac:dyDescent="0.3">
      <c r="Y5458" s="48" t="str">
        <f ca="1">IF(AND('Planning Sheet'!DS29='Weeks Plan'!$D$6,'Planning Sheet'!DM29='Weeks Plan'!$G$6),'Planning Sheet'!$B29,"")</f>
        <v/>
      </c>
      <c r="Z5458" s="48" t="str">
        <f ca="1">IF(AND('Planning Sheet'!DS29='Weeks Plan'!$D$6,'Planning Sheet'!DM29='Weeks Plan'!$G$6),'Planning Sheet'!$DN29,"")</f>
        <v/>
      </c>
      <c r="AA5458" s="48" t="str">
        <f ca="1">IF(AND('Planning Sheet'!DS29='Weeks Plan'!$D$6,'Planning Sheet'!DM29='Weeks Plan'!$G$6),'Planning Sheet'!$DO29,"")</f>
        <v/>
      </c>
    </row>
    <row r="5459" spans="25:27" x14ac:dyDescent="0.3">
      <c r="Y5459" s="48" t="str">
        <f ca="1">IF(AND('Planning Sheet'!DS30='Weeks Plan'!$D$6,'Planning Sheet'!DM30='Weeks Plan'!$G$6),'Planning Sheet'!$B30,"")</f>
        <v/>
      </c>
      <c r="Z5459" s="48" t="str">
        <f ca="1">IF(AND('Planning Sheet'!DS30='Weeks Plan'!$D$6,'Planning Sheet'!DM30='Weeks Plan'!$G$6),'Planning Sheet'!$DN30,"")</f>
        <v/>
      </c>
      <c r="AA5459" s="48" t="str">
        <f ca="1">IF(AND('Planning Sheet'!DS30='Weeks Plan'!$D$6,'Planning Sheet'!DM30='Weeks Plan'!$G$6),'Planning Sheet'!$DO30,"")</f>
        <v/>
      </c>
    </row>
    <row r="5460" spans="25:27" x14ac:dyDescent="0.3">
      <c r="Y5460" s="48" t="str">
        <f ca="1">IF(AND('Planning Sheet'!DS31='Weeks Plan'!$D$6,'Planning Sheet'!DM31='Weeks Plan'!$G$6),'Planning Sheet'!$B31,"")</f>
        <v/>
      </c>
      <c r="Z5460" s="48" t="str">
        <f ca="1">IF(AND('Planning Sheet'!DS31='Weeks Plan'!$D$6,'Planning Sheet'!DM31='Weeks Plan'!$G$6),'Planning Sheet'!$DN31,"")</f>
        <v/>
      </c>
      <c r="AA5460" s="48" t="str">
        <f ca="1">IF(AND('Planning Sheet'!DS31='Weeks Plan'!$D$6,'Planning Sheet'!DM31='Weeks Plan'!$G$6),'Planning Sheet'!$DO31,"")</f>
        <v/>
      </c>
    </row>
    <row r="5461" spans="25:27" x14ac:dyDescent="0.3">
      <c r="Y5461" s="48" t="str">
        <f ca="1">IF(AND('Planning Sheet'!DS32='Weeks Plan'!$D$6,'Planning Sheet'!DM32='Weeks Plan'!$G$6),'Planning Sheet'!$B32,"")</f>
        <v/>
      </c>
      <c r="Z5461" s="48" t="str">
        <f ca="1">IF(AND('Planning Sheet'!DS32='Weeks Plan'!$D$6,'Planning Sheet'!DM32='Weeks Plan'!$G$6),'Planning Sheet'!$DN32,"")</f>
        <v/>
      </c>
      <c r="AA5461" s="48" t="str">
        <f ca="1">IF(AND('Planning Sheet'!DS32='Weeks Plan'!$D$6,'Planning Sheet'!DM32='Weeks Plan'!$G$6),'Planning Sheet'!$DO32,"")</f>
        <v/>
      </c>
    </row>
    <row r="5462" spans="25:27" x14ac:dyDescent="0.3">
      <c r="Y5462" s="48" t="str">
        <f ca="1">IF(AND('Planning Sheet'!DS33='Weeks Plan'!$D$6,'Planning Sheet'!DM33='Weeks Plan'!$G$6),'Planning Sheet'!$B33,"")</f>
        <v/>
      </c>
      <c r="Z5462" s="48" t="str">
        <f ca="1">IF(AND('Planning Sheet'!DS33='Weeks Plan'!$D$6,'Planning Sheet'!DM33='Weeks Plan'!$G$6),'Planning Sheet'!$DN33,"")</f>
        <v/>
      </c>
      <c r="AA5462" s="48" t="str">
        <f ca="1">IF(AND('Planning Sheet'!DS33='Weeks Plan'!$D$6,'Planning Sheet'!DM33='Weeks Plan'!$G$6),'Planning Sheet'!$DO33,"")</f>
        <v/>
      </c>
    </row>
    <row r="5463" spans="25:27" x14ac:dyDescent="0.3">
      <c r="Y5463" s="48" t="str">
        <f ca="1">IF(AND('Planning Sheet'!DS34='Weeks Plan'!$D$6,'Planning Sheet'!DM34='Weeks Plan'!$G$6),'Planning Sheet'!$B34,"")</f>
        <v/>
      </c>
      <c r="Z5463" s="48" t="str">
        <f ca="1">IF(AND('Planning Sheet'!DS34='Weeks Plan'!$D$6,'Planning Sheet'!DM34='Weeks Plan'!$G$6),'Planning Sheet'!$DN34,"")</f>
        <v/>
      </c>
      <c r="AA5463" s="48" t="str">
        <f ca="1">IF(AND('Planning Sheet'!DS34='Weeks Plan'!$D$6,'Planning Sheet'!DM34='Weeks Plan'!$G$6),'Planning Sheet'!$DO34,"")</f>
        <v/>
      </c>
    </row>
    <row r="5464" spans="25:27" x14ac:dyDescent="0.3">
      <c r="Y5464" s="48" t="str">
        <f ca="1">IF(AND('Planning Sheet'!DS35='Weeks Plan'!$D$6,'Planning Sheet'!DM35='Weeks Plan'!$G$6),'Planning Sheet'!$B35,"")</f>
        <v/>
      </c>
      <c r="Z5464" s="48" t="str">
        <f ca="1">IF(AND('Planning Sheet'!DS35='Weeks Plan'!$D$6,'Planning Sheet'!DM35='Weeks Plan'!$G$6),'Planning Sheet'!$DN35,"")</f>
        <v/>
      </c>
      <c r="AA5464" s="48" t="str">
        <f ca="1">IF(AND('Planning Sheet'!DS35='Weeks Plan'!$D$6,'Planning Sheet'!DM35='Weeks Plan'!$G$6),'Planning Sheet'!$DO35,"")</f>
        <v/>
      </c>
    </row>
    <row r="5465" spans="25:27" x14ac:dyDescent="0.3">
      <c r="Y5465" s="48" t="str">
        <f ca="1">IF(AND('Planning Sheet'!DS36='Weeks Plan'!$D$6,'Planning Sheet'!DM36='Weeks Plan'!$G$6),'Planning Sheet'!$B36,"")</f>
        <v/>
      </c>
      <c r="Z5465" s="48" t="str">
        <f ca="1">IF(AND('Planning Sheet'!DS36='Weeks Plan'!$D$6,'Planning Sheet'!DM36='Weeks Plan'!$G$6),'Planning Sheet'!$DN36,"")</f>
        <v/>
      </c>
      <c r="AA5465" s="48" t="str">
        <f ca="1">IF(AND('Planning Sheet'!DS36='Weeks Plan'!$D$6,'Planning Sheet'!DM36='Weeks Plan'!$G$6),'Planning Sheet'!$DO36,"")</f>
        <v/>
      </c>
    </row>
    <row r="5466" spans="25:27" x14ac:dyDescent="0.3">
      <c r="Y5466" s="48" t="str">
        <f ca="1">IF(AND('Planning Sheet'!DS37='Weeks Plan'!$D$6,'Planning Sheet'!DM37='Weeks Plan'!$G$6),'Planning Sheet'!$B37,"")</f>
        <v/>
      </c>
      <c r="Z5466" s="48" t="str">
        <f ca="1">IF(AND('Planning Sheet'!DS37='Weeks Plan'!$D$6,'Planning Sheet'!DM37='Weeks Plan'!$G$6),'Planning Sheet'!$DN37,"")</f>
        <v/>
      </c>
      <c r="AA5466" s="48" t="str">
        <f ca="1">IF(AND('Planning Sheet'!DS37='Weeks Plan'!$D$6,'Planning Sheet'!DM37='Weeks Plan'!$G$6),'Planning Sheet'!$DO37,"")</f>
        <v/>
      </c>
    </row>
    <row r="5467" spans="25:27" x14ac:dyDescent="0.3">
      <c r="Y5467" s="48" t="str">
        <f ca="1">IF(AND('Planning Sheet'!DS38='Weeks Plan'!$D$6,'Planning Sheet'!DM38='Weeks Plan'!$G$6),'Planning Sheet'!$B38,"")</f>
        <v/>
      </c>
      <c r="Z5467" s="48" t="str">
        <f ca="1">IF(AND('Planning Sheet'!DS38='Weeks Plan'!$D$6,'Planning Sheet'!DM38='Weeks Plan'!$G$6),'Planning Sheet'!$DN38,"")</f>
        <v/>
      </c>
      <c r="AA5467" s="48" t="str">
        <f ca="1">IF(AND('Planning Sheet'!DS38='Weeks Plan'!$D$6,'Planning Sheet'!DM38='Weeks Plan'!$G$6),'Planning Sheet'!$DO38,"")</f>
        <v/>
      </c>
    </row>
    <row r="5468" spans="25:27" x14ac:dyDescent="0.3">
      <c r="Y5468" s="48" t="str">
        <f ca="1">IF(AND('Planning Sheet'!DS39='Weeks Plan'!$D$6,'Planning Sheet'!DM39='Weeks Plan'!$G$6),'Planning Sheet'!$B39,"")</f>
        <v/>
      </c>
      <c r="Z5468" s="48" t="str">
        <f ca="1">IF(AND('Planning Sheet'!DS39='Weeks Plan'!$D$6,'Planning Sheet'!DM39='Weeks Plan'!$G$6),'Planning Sheet'!$DN39,"")</f>
        <v/>
      </c>
      <c r="AA5468" s="48" t="str">
        <f ca="1">IF(AND('Planning Sheet'!DS39='Weeks Plan'!$D$6,'Planning Sheet'!DM39='Weeks Plan'!$G$6),'Planning Sheet'!$DO39,"")</f>
        <v/>
      </c>
    </row>
    <row r="5469" spans="25:27" x14ac:dyDescent="0.3">
      <c r="Y5469" s="48" t="str">
        <f ca="1">IF(AND('Planning Sheet'!DS40='Weeks Plan'!$D$6,'Planning Sheet'!DM40='Weeks Plan'!$G$6),'Planning Sheet'!$B40,"")</f>
        <v/>
      </c>
      <c r="Z5469" s="48" t="str">
        <f ca="1">IF(AND('Planning Sheet'!DS40='Weeks Plan'!$D$6,'Planning Sheet'!DM40='Weeks Plan'!$G$6),'Planning Sheet'!$DN40,"")</f>
        <v/>
      </c>
      <c r="AA5469" s="48" t="str">
        <f ca="1">IF(AND('Planning Sheet'!DS40='Weeks Plan'!$D$6,'Planning Sheet'!DM40='Weeks Plan'!$G$6),'Planning Sheet'!$DO40,"")</f>
        <v/>
      </c>
    </row>
    <row r="5470" spans="25:27" x14ac:dyDescent="0.3">
      <c r="Y5470" s="48" t="str">
        <f ca="1">IF(AND('Planning Sheet'!DS41='Weeks Plan'!$D$6,'Planning Sheet'!DM41='Weeks Plan'!$G$6),'Planning Sheet'!$B41,"")</f>
        <v/>
      </c>
      <c r="Z5470" s="48" t="str">
        <f ca="1">IF(AND('Planning Sheet'!DS41='Weeks Plan'!$D$6,'Planning Sheet'!DM41='Weeks Plan'!$G$6),'Planning Sheet'!$DN41,"")</f>
        <v/>
      </c>
      <c r="AA5470" s="48" t="str">
        <f ca="1">IF(AND('Planning Sheet'!DS41='Weeks Plan'!$D$6,'Planning Sheet'!DM41='Weeks Plan'!$G$6),'Planning Sheet'!$DO41,"")</f>
        <v/>
      </c>
    </row>
    <row r="5471" spans="25:27" x14ac:dyDescent="0.3">
      <c r="Y5471" s="48" t="str">
        <f ca="1">IF(AND('Planning Sheet'!DS42='Weeks Plan'!$D$6,'Planning Sheet'!DM42='Weeks Plan'!$G$6),'Planning Sheet'!$B42,"")</f>
        <v/>
      </c>
      <c r="Z5471" s="48" t="str">
        <f ca="1">IF(AND('Planning Sheet'!DS42='Weeks Plan'!$D$6,'Planning Sheet'!DM42='Weeks Plan'!$G$6),'Planning Sheet'!$DN42,"")</f>
        <v/>
      </c>
      <c r="AA5471" s="48" t="str">
        <f ca="1">IF(AND('Planning Sheet'!DS42='Weeks Plan'!$D$6,'Planning Sheet'!DM42='Weeks Plan'!$G$6),'Planning Sheet'!$DO42,"")</f>
        <v/>
      </c>
    </row>
    <row r="5472" spans="25:27" x14ac:dyDescent="0.3">
      <c r="Y5472" s="48" t="str">
        <f ca="1">IF(AND('Planning Sheet'!DS43='Weeks Plan'!$D$6,'Planning Sheet'!DM43='Weeks Plan'!$G$6),'Planning Sheet'!$B43,"")</f>
        <v/>
      </c>
      <c r="Z5472" s="48" t="str">
        <f ca="1">IF(AND('Planning Sheet'!DS43='Weeks Plan'!$D$6,'Planning Sheet'!DM43='Weeks Plan'!$G$6),'Planning Sheet'!$DN43,"")</f>
        <v/>
      </c>
      <c r="AA5472" s="48" t="str">
        <f ca="1">IF(AND('Planning Sheet'!DS43='Weeks Plan'!$D$6,'Planning Sheet'!DM43='Weeks Plan'!$G$6),'Planning Sheet'!$DO43,"")</f>
        <v/>
      </c>
    </row>
    <row r="5473" spans="25:27" x14ac:dyDescent="0.3">
      <c r="Y5473" s="48" t="str">
        <f ca="1">IF(AND('Planning Sheet'!DS44='Weeks Plan'!$D$6,'Planning Sheet'!DM44='Weeks Plan'!$G$6),'Planning Sheet'!$B44,"")</f>
        <v/>
      </c>
      <c r="Z5473" s="48" t="str">
        <f ca="1">IF(AND('Planning Sheet'!DS44='Weeks Plan'!$D$6,'Planning Sheet'!DM44='Weeks Plan'!$G$6),'Planning Sheet'!$DN44,"")</f>
        <v/>
      </c>
      <c r="AA5473" s="48" t="str">
        <f ca="1">IF(AND('Planning Sheet'!DS44='Weeks Plan'!$D$6,'Planning Sheet'!DM44='Weeks Plan'!$G$6),'Planning Sheet'!$DO44,"")</f>
        <v/>
      </c>
    </row>
    <row r="5474" spans="25:27" x14ac:dyDescent="0.3">
      <c r="Y5474" s="48" t="str">
        <f ca="1">IF(AND('Planning Sheet'!DS45='Weeks Plan'!$D$6,'Planning Sheet'!DM45='Weeks Plan'!$G$6),'Planning Sheet'!$B45,"")</f>
        <v/>
      </c>
      <c r="Z5474" s="48" t="str">
        <f ca="1">IF(AND('Planning Sheet'!DS45='Weeks Plan'!$D$6,'Planning Sheet'!DM45='Weeks Plan'!$G$6),'Planning Sheet'!$DN45,"")</f>
        <v/>
      </c>
      <c r="AA5474" s="48" t="str">
        <f ca="1">IF(AND('Planning Sheet'!DS45='Weeks Plan'!$D$6,'Planning Sheet'!DM45='Weeks Plan'!$G$6),'Planning Sheet'!$DO45,"")</f>
        <v/>
      </c>
    </row>
    <row r="5475" spans="25:27" x14ac:dyDescent="0.3">
      <c r="Y5475" s="48" t="str">
        <f ca="1">IF(AND('Planning Sheet'!DS46='Weeks Plan'!$D$6,'Planning Sheet'!DM46='Weeks Plan'!$G$6),'Planning Sheet'!$B46,"")</f>
        <v/>
      </c>
      <c r="Z5475" s="48" t="str">
        <f ca="1">IF(AND('Planning Sheet'!DS46='Weeks Plan'!$D$6,'Planning Sheet'!DM46='Weeks Plan'!$G$6),'Planning Sheet'!$DN46,"")</f>
        <v/>
      </c>
      <c r="AA5475" s="48" t="str">
        <f ca="1">IF(AND('Planning Sheet'!DS46='Weeks Plan'!$D$6,'Planning Sheet'!DM46='Weeks Plan'!$G$6),'Planning Sheet'!$DO46,"")</f>
        <v/>
      </c>
    </row>
    <row r="5476" spans="25:27" x14ac:dyDescent="0.3">
      <c r="Y5476" s="48" t="str">
        <f ca="1">IF(AND('Planning Sheet'!DS47='Weeks Plan'!$D$6,'Planning Sheet'!DM47='Weeks Plan'!$G$6),'Planning Sheet'!$B47,"")</f>
        <v/>
      </c>
      <c r="Z5476" s="48" t="str">
        <f ca="1">IF(AND('Planning Sheet'!DS47='Weeks Plan'!$D$6,'Planning Sheet'!DM47='Weeks Plan'!$G$6),'Planning Sheet'!$DN47,"")</f>
        <v/>
      </c>
      <c r="AA5476" s="48" t="str">
        <f ca="1">IF(AND('Planning Sheet'!DS47='Weeks Plan'!$D$6,'Planning Sheet'!DM47='Weeks Plan'!$G$6),'Planning Sheet'!$DO47,"")</f>
        <v/>
      </c>
    </row>
    <row r="5477" spans="25:27" x14ac:dyDescent="0.3">
      <c r="Y5477" s="48" t="str">
        <f ca="1">IF(AND('Planning Sheet'!DS48='Weeks Plan'!$D$6,'Planning Sheet'!DM48='Weeks Plan'!$G$6),'Planning Sheet'!$B48,"")</f>
        <v/>
      </c>
      <c r="Z5477" s="48" t="str">
        <f ca="1">IF(AND('Planning Sheet'!DS48='Weeks Plan'!$D$6,'Planning Sheet'!DM48='Weeks Plan'!$G$6),'Planning Sheet'!$DN48,"")</f>
        <v/>
      </c>
      <c r="AA5477" s="48" t="str">
        <f ca="1">IF(AND('Planning Sheet'!DS48='Weeks Plan'!$D$6,'Planning Sheet'!DM48='Weeks Plan'!$G$6),'Planning Sheet'!$DO48,"")</f>
        <v/>
      </c>
    </row>
    <row r="5478" spans="25:27" x14ac:dyDescent="0.3">
      <c r="Y5478" s="48" t="str">
        <f ca="1">IF(AND('Planning Sheet'!DS49='Weeks Plan'!$D$6,'Planning Sheet'!DM49='Weeks Plan'!$G$6),'Planning Sheet'!$B49,"")</f>
        <v/>
      </c>
      <c r="Z5478" s="48" t="str">
        <f ca="1">IF(AND('Planning Sheet'!DS49='Weeks Plan'!$D$6,'Planning Sheet'!DM49='Weeks Plan'!$G$6),'Planning Sheet'!$DN49,"")</f>
        <v/>
      </c>
      <c r="AA5478" s="48" t="str">
        <f ca="1">IF(AND('Planning Sheet'!DS49='Weeks Plan'!$D$6,'Planning Sheet'!DM49='Weeks Plan'!$G$6),'Planning Sheet'!$DO49,"")</f>
        <v/>
      </c>
    </row>
    <row r="5479" spans="25:27" x14ac:dyDescent="0.3">
      <c r="Y5479" s="48" t="str">
        <f ca="1">IF(AND('Planning Sheet'!DS50='Weeks Plan'!$D$6,'Planning Sheet'!DM50='Weeks Plan'!$G$6),'Planning Sheet'!$B50,"")</f>
        <v/>
      </c>
      <c r="Z5479" s="48" t="str">
        <f ca="1">IF(AND('Planning Sheet'!DS50='Weeks Plan'!$D$6,'Planning Sheet'!DM50='Weeks Plan'!$G$6),'Planning Sheet'!$DN50,"")</f>
        <v/>
      </c>
      <c r="AA5479" s="48" t="str">
        <f ca="1">IF(AND('Planning Sheet'!DS50='Weeks Plan'!$D$6,'Planning Sheet'!DM50='Weeks Plan'!$G$6),'Planning Sheet'!$DO50,"")</f>
        <v/>
      </c>
    </row>
    <row r="5480" spans="25:27" x14ac:dyDescent="0.3">
      <c r="Y5480" s="48" t="str">
        <f ca="1">IF(AND('Planning Sheet'!DS51='Weeks Plan'!$D$6,'Planning Sheet'!DM51='Weeks Plan'!$G$6),'Planning Sheet'!$B51,"")</f>
        <v/>
      </c>
      <c r="Z5480" s="48" t="str">
        <f ca="1">IF(AND('Planning Sheet'!DS51='Weeks Plan'!$D$6,'Planning Sheet'!DM51='Weeks Plan'!$G$6),'Planning Sheet'!$DN51,"")</f>
        <v/>
      </c>
      <c r="AA5480" s="48" t="str">
        <f ca="1">IF(AND('Planning Sheet'!DS51='Weeks Plan'!$D$6,'Planning Sheet'!DM51='Weeks Plan'!$G$6),'Planning Sheet'!$DO51,"")</f>
        <v/>
      </c>
    </row>
    <row r="5481" spans="25:27" x14ac:dyDescent="0.3">
      <c r="Y5481" s="48" t="str">
        <f ca="1">IF(AND('Planning Sheet'!DS52='Weeks Plan'!$D$6,'Planning Sheet'!DM52='Weeks Plan'!$G$6),'Planning Sheet'!$B52,"")</f>
        <v/>
      </c>
      <c r="Z5481" s="48" t="str">
        <f ca="1">IF(AND('Planning Sheet'!DS52='Weeks Plan'!$D$6,'Planning Sheet'!DM52='Weeks Plan'!$G$6),'Planning Sheet'!$DN52,"")</f>
        <v/>
      </c>
      <c r="AA5481" s="48" t="str">
        <f ca="1">IF(AND('Planning Sheet'!DS52='Weeks Plan'!$D$6,'Planning Sheet'!DM52='Weeks Plan'!$G$6),'Planning Sheet'!$DO52,"")</f>
        <v/>
      </c>
    </row>
    <row r="5482" spans="25:27" x14ac:dyDescent="0.3">
      <c r="Y5482" s="48" t="str">
        <f ca="1">IF(AND('Planning Sheet'!DS53='Weeks Plan'!$D$6,'Planning Sheet'!DM53='Weeks Plan'!$G$6),'Planning Sheet'!$B53,"")</f>
        <v/>
      </c>
      <c r="Z5482" s="48" t="str">
        <f ca="1">IF(AND('Planning Sheet'!DS53='Weeks Plan'!$D$6,'Planning Sheet'!DM53='Weeks Plan'!$G$6),'Planning Sheet'!$DN53,"")</f>
        <v/>
      </c>
      <c r="AA5482" s="48" t="str">
        <f ca="1">IF(AND('Planning Sheet'!DS53='Weeks Plan'!$D$6,'Planning Sheet'!DM53='Weeks Plan'!$G$6),'Planning Sheet'!$DO53,"")</f>
        <v/>
      </c>
    </row>
    <row r="5483" spans="25:27" x14ac:dyDescent="0.3">
      <c r="Y5483" s="48" t="str">
        <f ca="1">IF(AND('Planning Sheet'!DS54='Weeks Plan'!$D$6,'Planning Sheet'!DM54='Weeks Plan'!$G$6),'Planning Sheet'!$B54,"")</f>
        <v/>
      </c>
      <c r="Z5483" s="48" t="str">
        <f ca="1">IF(AND('Planning Sheet'!DS54='Weeks Plan'!$D$6,'Planning Sheet'!DM54='Weeks Plan'!$G$6),'Planning Sheet'!$DN54,"")</f>
        <v/>
      </c>
      <c r="AA5483" s="48" t="str">
        <f ca="1">IF(AND('Planning Sheet'!DS54='Weeks Plan'!$D$6,'Planning Sheet'!DM54='Weeks Plan'!$G$6),'Planning Sheet'!$DO54,"")</f>
        <v/>
      </c>
    </row>
    <row r="5484" spans="25:27" x14ac:dyDescent="0.3">
      <c r="Y5484" s="48" t="str">
        <f ca="1">IF(AND('Planning Sheet'!DS55='Weeks Plan'!$D$6,'Planning Sheet'!DM55='Weeks Plan'!$G$6),'Planning Sheet'!$B55,"")</f>
        <v/>
      </c>
      <c r="Z5484" s="48" t="str">
        <f ca="1">IF(AND('Planning Sheet'!DS55='Weeks Plan'!$D$6,'Planning Sheet'!DM55='Weeks Plan'!$G$6),'Planning Sheet'!$DN55,"")</f>
        <v/>
      </c>
      <c r="AA5484" s="48" t="str">
        <f ca="1">IF(AND('Planning Sheet'!DS55='Weeks Plan'!$D$6,'Planning Sheet'!DM55='Weeks Plan'!$G$6),'Planning Sheet'!$DO55,"")</f>
        <v/>
      </c>
    </row>
    <row r="5485" spans="25:27" x14ac:dyDescent="0.3">
      <c r="Y5485" s="48" t="str">
        <f ca="1">IF(AND('Planning Sheet'!DS56='Weeks Plan'!$D$6,'Planning Sheet'!DM56='Weeks Plan'!$G$6),'Planning Sheet'!$B56,"")</f>
        <v/>
      </c>
      <c r="Z5485" s="48" t="str">
        <f ca="1">IF(AND('Planning Sheet'!DS56='Weeks Plan'!$D$6,'Planning Sheet'!DM56='Weeks Plan'!$G$6),'Planning Sheet'!$DN56,"")</f>
        <v/>
      </c>
      <c r="AA5485" s="48" t="str">
        <f ca="1">IF(AND('Planning Sheet'!DS56='Weeks Plan'!$D$6,'Planning Sheet'!DM56='Weeks Plan'!$G$6),'Planning Sheet'!$DO56,"")</f>
        <v/>
      </c>
    </row>
    <row r="5486" spans="25:27" x14ac:dyDescent="0.3">
      <c r="Y5486" s="48" t="str">
        <f ca="1">IF(AND('Planning Sheet'!DS57='Weeks Plan'!$D$6,'Planning Sheet'!DM57='Weeks Plan'!$G$6),'Planning Sheet'!$B57,"")</f>
        <v/>
      </c>
      <c r="Z5486" s="48" t="str">
        <f ca="1">IF(AND('Planning Sheet'!DS57='Weeks Plan'!$D$6,'Planning Sheet'!DM57='Weeks Plan'!$G$6),'Planning Sheet'!$DN57,"")</f>
        <v/>
      </c>
      <c r="AA5486" s="48" t="str">
        <f ca="1">IF(AND('Planning Sheet'!DS57='Weeks Plan'!$D$6,'Planning Sheet'!DM57='Weeks Plan'!$G$6),'Planning Sheet'!$DO57,"")</f>
        <v/>
      </c>
    </row>
    <row r="5487" spans="25:27" x14ac:dyDescent="0.3">
      <c r="Y5487" s="48" t="str">
        <f ca="1">IF(AND('Planning Sheet'!DS58='Weeks Plan'!$D$6,'Planning Sheet'!DM58='Weeks Plan'!$G$6),'Planning Sheet'!$B58,"")</f>
        <v/>
      </c>
      <c r="Z5487" s="48" t="str">
        <f ca="1">IF(AND('Planning Sheet'!DS58='Weeks Plan'!$D$6,'Planning Sheet'!DM58='Weeks Plan'!$G$6),'Planning Sheet'!$DN58,"")</f>
        <v/>
      </c>
      <c r="AA5487" s="48" t="str">
        <f ca="1">IF(AND('Planning Sheet'!DS58='Weeks Plan'!$D$6,'Planning Sheet'!DM58='Weeks Plan'!$G$6),'Planning Sheet'!$DO58,"")</f>
        <v/>
      </c>
    </row>
    <row r="5488" spans="25:27" x14ac:dyDescent="0.3">
      <c r="Y5488" s="48" t="str">
        <f ca="1">IF(AND('Planning Sheet'!DS59='Weeks Plan'!$D$6,'Planning Sheet'!DM59='Weeks Plan'!$G$6),'Planning Sheet'!$B59,"")</f>
        <v/>
      </c>
      <c r="Z5488" s="48" t="str">
        <f ca="1">IF(AND('Planning Sheet'!DS59='Weeks Plan'!$D$6,'Planning Sheet'!DM59='Weeks Plan'!$G$6),'Planning Sheet'!$DN59,"")</f>
        <v/>
      </c>
      <c r="AA5488" s="48" t="str">
        <f ca="1">IF(AND('Planning Sheet'!DS59='Weeks Plan'!$D$6,'Planning Sheet'!DM59='Weeks Plan'!$G$6),'Planning Sheet'!$DO59,"")</f>
        <v/>
      </c>
    </row>
    <row r="5489" spans="25:27" x14ac:dyDescent="0.3">
      <c r="Y5489" s="48" t="str">
        <f ca="1">IF(AND('Planning Sheet'!DS60='Weeks Plan'!$D$6,'Planning Sheet'!DM60='Weeks Plan'!$G$6),'Planning Sheet'!$B60,"")</f>
        <v/>
      </c>
      <c r="Z5489" s="48" t="str">
        <f ca="1">IF(AND('Planning Sheet'!DS60='Weeks Plan'!$D$6,'Planning Sheet'!DM60='Weeks Plan'!$G$6),'Planning Sheet'!$DN60,"")</f>
        <v/>
      </c>
      <c r="AA5489" s="48" t="str">
        <f ca="1">IF(AND('Planning Sheet'!DS60='Weeks Plan'!$D$6,'Planning Sheet'!DM60='Weeks Plan'!$G$6),'Planning Sheet'!$DO60,"")</f>
        <v/>
      </c>
    </row>
    <row r="5490" spans="25:27" x14ac:dyDescent="0.3">
      <c r="Y5490" s="48" t="str">
        <f ca="1">IF(AND('Planning Sheet'!DS61='Weeks Plan'!$D$6,'Planning Sheet'!DM61='Weeks Plan'!$G$6),'Planning Sheet'!$B61,"")</f>
        <v/>
      </c>
      <c r="Z5490" s="48" t="str">
        <f ca="1">IF(AND('Planning Sheet'!DS61='Weeks Plan'!$D$6,'Planning Sheet'!DM61='Weeks Plan'!$G$6),'Planning Sheet'!$DN61,"")</f>
        <v/>
      </c>
      <c r="AA5490" s="48" t="str">
        <f ca="1">IF(AND('Planning Sheet'!DS61='Weeks Plan'!$D$6,'Planning Sheet'!DM61='Weeks Plan'!$G$6),'Planning Sheet'!$DO61,"")</f>
        <v/>
      </c>
    </row>
    <row r="5491" spans="25:27" x14ac:dyDescent="0.3">
      <c r="Y5491" s="48" t="str">
        <f ca="1">IF(AND('Planning Sheet'!DS62='Weeks Plan'!$D$6,'Planning Sheet'!DM62='Weeks Plan'!$G$6),'Planning Sheet'!$B62,"")</f>
        <v/>
      </c>
      <c r="Z5491" s="48" t="str">
        <f ca="1">IF(AND('Planning Sheet'!DS62='Weeks Plan'!$D$6,'Planning Sheet'!DM62='Weeks Plan'!$G$6),'Planning Sheet'!$DN62,"")</f>
        <v/>
      </c>
      <c r="AA5491" s="48" t="str">
        <f ca="1">IF(AND('Planning Sheet'!DS62='Weeks Plan'!$D$6,'Planning Sheet'!DM62='Weeks Plan'!$G$6),'Planning Sheet'!$DO62,"")</f>
        <v/>
      </c>
    </row>
    <row r="5492" spans="25:27" x14ac:dyDescent="0.3">
      <c r="Y5492" s="48" t="str">
        <f ca="1">IF(AND('Planning Sheet'!DS63='Weeks Plan'!$D$6,'Planning Sheet'!DM63='Weeks Plan'!$G$6),'Planning Sheet'!$B63,"")</f>
        <v/>
      </c>
      <c r="Z5492" s="48" t="str">
        <f ca="1">IF(AND('Planning Sheet'!DS63='Weeks Plan'!$D$6,'Planning Sheet'!DM63='Weeks Plan'!$G$6),'Planning Sheet'!$DN63,"")</f>
        <v/>
      </c>
      <c r="AA5492" s="48" t="str">
        <f ca="1">IF(AND('Planning Sheet'!DS63='Weeks Plan'!$D$6,'Planning Sheet'!DM63='Weeks Plan'!$G$6),'Planning Sheet'!$DO63,"")</f>
        <v/>
      </c>
    </row>
    <row r="5493" spans="25:27" x14ac:dyDescent="0.3">
      <c r="Y5493" s="48" t="str">
        <f ca="1">IF(AND('Planning Sheet'!DS64='Weeks Plan'!$D$6,'Planning Sheet'!DM64='Weeks Plan'!$G$6),'Planning Sheet'!$B64,"")</f>
        <v/>
      </c>
      <c r="Z5493" s="48" t="str">
        <f ca="1">IF(AND('Planning Sheet'!DS64='Weeks Plan'!$D$6,'Planning Sheet'!DM64='Weeks Plan'!$G$6),'Planning Sheet'!$DN64,"")</f>
        <v/>
      </c>
      <c r="AA5493" s="48" t="str">
        <f ca="1">IF(AND('Planning Sheet'!DS64='Weeks Plan'!$D$6,'Planning Sheet'!DM64='Weeks Plan'!$G$6),'Planning Sheet'!$DO64,"")</f>
        <v/>
      </c>
    </row>
    <row r="5494" spans="25:27" x14ac:dyDescent="0.3">
      <c r="Y5494" s="48" t="str">
        <f ca="1">IF(AND('Planning Sheet'!DS65='Weeks Plan'!$D$6,'Planning Sheet'!DM65='Weeks Plan'!$G$6),'Planning Sheet'!$B65,"")</f>
        <v/>
      </c>
      <c r="Z5494" s="48" t="str">
        <f ca="1">IF(AND('Planning Sheet'!DS65='Weeks Plan'!$D$6,'Planning Sheet'!DM65='Weeks Plan'!$G$6),'Planning Sheet'!$DN65,"")</f>
        <v/>
      </c>
      <c r="AA5494" s="48" t="str">
        <f ca="1">IF(AND('Planning Sheet'!DS65='Weeks Plan'!$D$6,'Planning Sheet'!DM65='Weeks Plan'!$G$6),'Planning Sheet'!$DO65,"")</f>
        <v/>
      </c>
    </row>
    <row r="5495" spans="25:27" x14ac:dyDescent="0.3">
      <c r="Y5495" s="48" t="str">
        <f ca="1">IF(AND('Planning Sheet'!DS66='Weeks Plan'!$D$6,'Planning Sheet'!DM66='Weeks Plan'!$G$6),'Planning Sheet'!$B66,"")</f>
        <v/>
      </c>
      <c r="Z5495" s="48" t="str">
        <f ca="1">IF(AND('Planning Sheet'!DS66='Weeks Plan'!$D$6,'Planning Sheet'!DM66='Weeks Plan'!$G$6),'Planning Sheet'!$DN66,"")</f>
        <v/>
      </c>
      <c r="AA5495" s="48" t="str">
        <f ca="1">IF(AND('Planning Sheet'!DS66='Weeks Plan'!$D$6,'Planning Sheet'!DM66='Weeks Plan'!$G$6),'Planning Sheet'!$DO66,"")</f>
        <v/>
      </c>
    </row>
    <row r="5496" spans="25:27" x14ac:dyDescent="0.3">
      <c r="Y5496" s="48" t="str">
        <f ca="1">IF(AND('Planning Sheet'!DS67='Weeks Plan'!$D$6,'Planning Sheet'!DM67='Weeks Plan'!$G$6),'Planning Sheet'!$B67,"")</f>
        <v/>
      </c>
      <c r="Z5496" s="48" t="str">
        <f ca="1">IF(AND('Planning Sheet'!DS67='Weeks Plan'!$D$6,'Planning Sheet'!DM67='Weeks Plan'!$G$6),'Planning Sheet'!$DN67,"")</f>
        <v/>
      </c>
      <c r="AA5496" s="48" t="str">
        <f ca="1">IF(AND('Planning Sheet'!DS67='Weeks Plan'!$D$6,'Planning Sheet'!DM67='Weeks Plan'!$G$6),'Planning Sheet'!$DO67,"")</f>
        <v/>
      </c>
    </row>
    <row r="5497" spans="25:27" x14ac:dyDescent="0.3">
      <c r="Y5497" s="48" t="str">
        <f ca="1">IF(AND('Planning Sheet'!DS68='Weeks Plan'!$D$6,'Planning Sheet'!DM68='Weeks Plan'!$G$6),'Planning Sheet'!$B68,"")</f>
        <v/>
      </c>
      <c r="Z5497" s="48" t="str">
        <f ca="1">IF(AND('Planning Sheet'!DS68='Weeks Plan'!$D$6,'Planning Sheet'!DM68='Weeks Plan'!$G$6),'Planning Sheet'!$DN68,"")</f>
        <v/>
      </c>
      <c r="AA5497" s="48" t="str">
        <f ca="1">IF(AND('Planning Sheet'!DS68='Weeks Plan'!$D$6,'Planning Sheet'!DM68='Weeks Plan'!$G$6),'Planning Sheet'!$DO68,"")</f>
        <v/>
      </c>
    </row>
    <row r="5498" spans="25:27" x14ac:dyDescent="0.3">
      <c r="Y5498" s="48" t="str">
        <f ca="1">IF(AND('Planning Sheet'!DS69='Weeks Plan'!$D$6,'Planning Sheet'!DM69='Weeks Plan'!$G$6),'Planning Sheet'!$B69,"")</f>
        <v/>
      </c>
      <c r="Z5498" s="48" t="str">
        <f ca="1">IF(AND('Planning Sheet'!DS69='Weeks Plan'!$D$6,'Planning Sheet'!DM69='Weeks Plan'!$G$6),'Planning Sheet'!$DN69,"")</f>
        <v/>
      </c>
      <c r="AA5498" s="48" t="str">
        <f ca="1">IF(AND('Planning Sheet'!DS69='Weeks Plan'!$D$6,'Planning Sheet'!DM69='Weeks Plan'!$G$6),'Planning Sheet'!$DO69,"")</f>
        <v/>
      </c>
    </row>
    <row r="5499" spans="25:27" x14ac:dyDescent="0.3">
      <c r="Y5499" s="48" t="str">
        <f ca="1">IF(AND('Planning Sheet'!DS70='Weeks Plan'!$D$6,'Planning Sheet'!DM70='Weeks Plan'!$G$6),'Planning Sheet'!$B70,"")</f>
        <v/>
      </c>
      <c r="Z5499" s="48" t="str">
        <f ca="1">IF(AND('Planning Sheet'!DS70='Weeks Plan'!$D$6,'Planning Sheet'!DM70='Weeks Plan'!$G$6),'Planning Sheet'!$DN70,"")</f>
        <v/>
      </c>
      <c r="AA5499" s="48" t="str">
        <f ca="1">IF(AND('Planning Sheet'!DS70='Weeks Plan'!$D$6,'Planning Sheet'!DM70='Weeks Plan'!$G$6),'Planning Sheet'!$DO70,"")</f>
        <v/>
      </c>
    </row>
    <row r="5500" spans="25:27" x14ac:dyDescent="0.3">
      <c r="Y5500" s="48" t="str">
        <f ca="1">IF(AND('Planning Sheet'!DS71='Weeks Plan'!$D$6,'Planning Sheet'!DM71='Weeks Plan'!$G$6),'Planning Sheet'!$B71,"")</f>
        <v/>
      </c>
      <c r="Z5500" s="48" t="str">
        <f ca="1">IF(AND('Planning Sheet'!DS71='Weeks Plan'!$D$6,'Planning Sheet'!DM71='Weeks Plan'!$G$6),'Planning Sheet'!$DN71,"")</f>
        <v/>
      </c>
      <c r="AA5500" s="48" t="str">
        <f ca="1">IF(AND('Planning Sheet'!DS71='Weeks Plan'!$D$6,'Planning Sheet'!DM71='Weeks Plan'!$G$6),'Planning Sheet'!$DO71,"")</f>
        <v/>
      </c>
    </row>
    <row r="5501" spans="25:27" x14ac:dyDescent="0.3">
      <c r="Y5501" s="48" t="str">
        <f ca="1">IF(AND('Planning Sheet'!DS72='Weeks Plan'!$D$6,'Planning Sheet'!DM72='Weeks Plan'!$G$6),'Planning Sheet'!$B72,"")</f>
        <v/>
      </c>
      <c r="Z5501" s="48" t="str">
        <f ca="1">IF(AND('Planning Sheet'!DS72='Weeks Plan'!$D$6,'Planning Sheet'!DM72='Weeks Plan'!$G$6),'Planning Sheet'!$DN72,"")</f>
        <v/>
      </c>
      <c r="AA5501" s="48" t="str">
        <f ca="1">IF(AND('Planning Sheet'!DS72='Weeks Plan'!$D$6,'Planning Sheet'!DM72='Weeks Plan'!$G$6),'Planning Sheet'!$DO72,"")</f>
        <v/>
      </c>
    </row>
    <row r="5502" spans="25:27" x14ac:dyDescent="0.3">
      <c r="Y5502" s="48" t="str">
        <f ca="1">IF(AND('Planning Sheet'!DS73='Weeks Plan'!$D$6,'Planning Sheet'!DM73='Weeks Plan'!$G$6),'Planning Sheet'!$B73,"")</f>
        <v/>
      </c>
      <c r="Z5502" s="48" t="str">
        <f ca="1">IF(AND('Planning Sheet'!DS73='Weeks Plan'!$D$6,'Planning Sheet'!DM73='Weeks Plan'!$G$6),'Planning Sheet'!$DN73,"")</f>
        <v/>
      </c>
      <c r="AA5502" s="48" t="str">
        <f ca="1">IF(AND('Planning Sheet'!DS73='Weeks Plan'!$D$6,'Planning Sheet'!DM73='Weeks Plan'!$G$6),'Planning Sheet'!$DO73,"")</f>
        <v/>
      </c>
    </row>
    <row r="5503" spans="25:27" x14ac:dyDescent="0.3">
      <c r="Y5503" s="48" t="str">
        <f ca="1">IF(AND('Planning Sheet'!DS74='Weeks Plan'!$D$6,'Planning Sheet'!DM74='Weeks Plan'!$G$6),'Planning Sheet'!$B74,"")</f>
        <v/>
      </c>
      <c r="Z5503" s="48" t="str">
        <f ca="1">IF(AND('Planning Sheet'!DS74='Weeks Plan'!$D$6,'Planning Sheet'!DM74='Weeks Plan'!$G$6),'Planning Sheet'!$DN74,"")</f>
        <v/>
      </c>
      <c r="AA5503" s="48" t="str">
        <f ca="1">IF(AND('Planning Sheet'!DS74='Weeks Plan'!$D$6,'Planning Sheet'!DM74='Weeks Plan'!$G$6),'Planning Sheet'!$DO74,"")</f>
        <v/>
      </c>
    </row>
    <row r="5504" spans="25:27" x14ac:dyDescent="0.3">
      <c r="Y5504" s="48" t="str">
        <f ca="1">IF(AND('Planning Sheet'!DS75='Weeks Plan'!$D$6,'Planning Sheet'!DM75='Weeks Plan'!$G$6),'Planning Sheet'!$B75,"")</f>
        <v/>
      </c>
      <c r="Z5504" s="48" t="str">
        <f ca="1">IF(AND('Planning Sheet'!DS75='Weeks Plan'!$D$6,'Planning Sheet'!DM75='Weeks Plan'!$G$6),'Planning Sheet'!$DN75,"")</f>
        <v/>
      </c>
      <c r="AA5504" s="48" t="str">
        <f ca="1">IF(AND('Planning Sheet'!DS75='Weeks Plan'!$D$6,'Planning Sheet'!DM75='Weeks Plan'!$G$6),'Planning Sheet'!$DO75,"")</f>
        <v/>
      </c>
    </row>
    <row r="5505" spans="25:27" x14ac:dyDescent="0.3">
      <c r="Y5505" s="48" t="str">
        <f ca="1">IF(AND('Planning Sheet'!DS76='Weeks Plan'!$D$6,'Planning Sheet'!DM76='Weeks Plan'!$G$6),'Planning Sheet'!$B76,"")</f>
        <v/>
      </c>
      <c r="Z5505" s="48" t="str">
        <f ca="1">IF(AND('Planning Sheet'!DS76='Weeks Plan'!$D$6,'Planning Sheet'!DM76='Weeks Plan'!$G$6),'Planning Sheet'!$DN76,"")</f>
        <v/>
      </c>
      <c r="AA5505" s="48" t="str">
        <f ca="1">IF(AND('Planning Sheet'!DS76='Weeks Plan'!$D$6,'Planning Sheet'!DM76='Weeks Plan'!$G$6),'Planning Sheet'!$DO76,"")</f>
        <v/>
      </c>
    </row>
    <row r="5506" spans="25:27" x14ac:dyDescent="0.3">
      <c r="Y5506" s="48" t="str">
        <f ca="1">IF(AND('Planning Sheet'!DS77='Weeks Plan'!$D$6,'Planning Sheet'!DM77='Weeks Plan'!$G$6),'Planning Sheet'!$B77,"")</f>
        <v/>
      </c>
      <c r="Z5506" s="48" t="str">
        <f ca="1">IF(AND('Planning Sheet'!DS77='Weeks Plan'!$D$6,'Planning Sheet'!DM77='Weeks Plan'!$G$6),'Planning Sheet'!$DN77,"")</f>
        <v/>
      </c>
      <c r="AA5506" s="48" t="str">
        <f ca="1">IF(AND('Planning Sheet'!DS77='Weeks Plan'!$D$6,'Planning Sheet'!DM77='Weeks Plan'!$G$6),'Planning Sheet'!$DO77,"")</f>
        <v/>
      </c>
    </row>
    <row r="5507" spans="25:27" x14ac:dyDescent="0.3">
      <c r="Y5507" s="48" t="str">
        <f ca="1">IF(AND('Planning Sheet'!DS78='Weeks Plan'!$D$6,'Planning Sheet'!DM78='Weeks Plan'!$G$6),'Planning Sheet'!$B78,"")</f>
        <v/>
      </c>
      <c r="Z5507" s="48" t="str">
        <f ca="1">IF(AND('Planning Sheet'!DS78='Weeks Plan'!$D$6,'Planning Sheet'!DM78='Weeks Plan'!$G$6),'Planning Sheet'!$DN78,"")</f>
        <v/>
      </c>
      <c r="AA5507" s="48" t="str">
        <f ca="1">IF(AND('Planning Sheet'!DS78='Weeks Plan'!$D$6,'Planning Sheet'!DM78='Weeks Plan'!$G$6),'Planning Sheet'!$DO78,"")</f>
        <v/>
      </c>
    </row>
    <row r="5508" spans="25:27" x14ac:dyDescent="0.3">
      <c r="Y5508" s="48" t="str">
        <f ca="1">IF(AND('Planning Sheet'!DS79='Weeks Plan'!$D$6,'Planning Sheet'!DM79='Weeks Plan'!$G$6),'Planning Sheet'!$B79,"")</f>
        <v/>
      </c>
      <c r="Z5508" s="48" t="str">
        <f ca="1">IF(AND('Planning Sheet'!DS79='Weeks Plan'!$D$6,'Planning Sheet'!DM79='Weeks Plan'!$G$6),'Planning Sheet'!$DN79,"")</f>
        <v/>
      </c>
      <c r="AA5508" s="48" t="str">
        <f ca="1">IF(AND('Planning Sheet'!DS79='Weeks Plan'!$D$6,'Planning Sheet'!DM79='Weeks Plan'!$G$6),'Planning Sheet'!$DO79,"")</f>
        <v/>
      </c>
    </row>
    <row r="5509" spans="25:27" x14ac:dyDescent="0.3">
      <c r="Y5509" s="48" t="str">
        <f ca="1">IF(AND('Planning Sheet'!DS80='Weeks Plan'!$D$6,'Planning Sheet'!DM80='Weeks Plan'!$G$6),'Planning Sheet'!$B80,"")</f>
        <v/>
      </c>
      <c r="Z5509" s="48" t="str">
        <f ca="1">IF(AND('Planning Sheet'!DS80='Weeks Plan'!$D$6,'Planning Sheet'!DM80='Weeks Plan'!$G$6),'Planning Sheet'!$DN80,"")</f>
        <v/>
      </c>
      <c r="AA5509" s="48" t="str">
        <f ca="1">IF(AND('Planning Sheet'!DS80='Weeks Plan'!$D$6,'Planning Sheet'!DM80='Weeks Plan'!$G$6),'Planning Sheet'!$DO80,"")</f>
        <v/>
      </c>
    </row>
    <row r="5510" spans="25:27" x14ac:dyDescent="0.3">
      <c r="Y5510" s="48" t="str">
        <f ca="1">IF(AND('Planning Sheet'!DS81='Weeks Plan'!$D$6,'Planning Sheet'!DM81='Weeks Plan'!$G$6),'Planning Sheet'!$B81,"")</f>
        <v/>
      </c>
      <c r="Z5510" s="48" t="str">
        <f ca="1">IF(AND('Planning Sheet'!DS81='Weeks Plan'!$D$6,'Planning Sheet'!DM81='Weeks Plan'!$G$6),'Planning Sheet'!$DN81,"")</f>
        <v/>
      </c>
      <c r="AA5510" s="48" t="str">
        <f ca="1">IF(AND('Planning Sheet'!DS81='Weeks Plan'!$D$6,'Planning Sheet'!DM81='Weeks Plan'!$G$6),'Planning Sheet'!$DO81,"")</f>
        <v/>
      </c>
    </row>
    <row r="5511" spans="25:27" x14ac:dyDescent="0.3">
      <c r="Y5511" s="48" t="str">
        <f ca="1">IF(AND('Planning Sheet'!DS82='Weeks Plan'!$D$6,'Planning Sheet'!DM82='Weeks Plan'!$G$6),'Planning Sheet'!$B82,"")</f>
        <v/>
      </c>
      <c r="Z5511" s="48" t="str">
        <f ca="1">IF(AND('Planning Sheet'!DS82='Weeks Plan'!$D$6,'Planning Sheet'!DM82='Weeks Plan'!$G$6),'Planning Sheet'!$DN82,"")</f>
        <v/>
      </c>
      <c r="AA5511" s="48" t="str">
        <f ca="1">IF(AND('Planning Sheet'!DS82='Weeks Plan'!$D$6,'Planning Sheet'!DM82='Weeks Plan'!$G$6),'Planning Sheet'!$DO82,"")</f>
        <v/>
      </c>
    </row>
    <row r="5512" spans="25:27" x14ac:dyDescent="0.3">
      <c r="Y5512" s="48" t="str">
        <f ca="1">IF(AND('Planning Sheet'!DS83='Weeks Plan'!$D$6,'Planning Sheet'!DM83='Weeks Plan'!$G$6),'Planning Sheet'!$B83,"")</f>
        <v/>
      </c>
      <c r="Z5512" s="48" t="str">
        <f ca="1">IF(AND('Planning Sheet'!DS83='Weeks Plan'!$D$6,'Planning Sheet'!DM83='Weeks Plan'!$G$6),'Planning Sheet'!$DN83,"")</f>
        <v/>
      </c>
      <c r="AA5512" s="48" t="str">
        <f ca="1">IF(AND('Planning Sheet'!DS83='Weeks Plan'!$D$6,'Planning Sheet'!DM83='Weeks Plan'!$G$6),'Planning Sheet'!$DO83,"")</f>
        <v/>
      </c>
    </row>
    <row r="5513" spans="25:27" x14ac:dyDescent="0.3">
      <c r="Y5513" s="48" t="str">
        <f ca="1">IF(AND('Planning Sheet'!DS84='Weeks Plan'!$D$6,'Planning Sheet'!DM84='Weeks Plan'!$G$6),'Planning Sheet'!$B84,"")</f>
        <v/>
      </c>
      <c r="Z5513" s="48" t="str">
        <f ca="1">IF(AND('Planning Sheet'!DS84='Weeks Plan'!$D$6,'Planning Sheet'!DM84='Weeks Plan'!$G$6),'Planning Sheet'!$DN84,"")</f>
        <v/>
      </c>
      <c r="AA5513" s="48" t="str">
        <f ca="1">IF(AND('Planning Sheet'!DS84='Weeks Plan'!$D$6,'Planning Sheet'!DM84='Weeks Plan'!$G$6),'Planning Sheet'!$DO84,"")</f>
        <v/>
      </c>
    </row>
    <row r="5514" spans="25:27" x14ac:dyDescent="0.3">
      <c r="Y5514" s="48" t="str">
        <f ca="1">IF(AND('Planning Sheet'!DS85='Weeks Plan'!$D$6,'Planning Sheet'!DM85='Weeks Plan'!$G$6),'Planning Sheet'!$B85,"")</f>
        <v/>
      </c>
      <c r="Z5514" s="48" t="str">
        <f ca="1">IF(AND('Planning Sheet'!DS85='Weeks Plan'!$D$6,'Planning Sheet'!DM85='Weeks Plan'!$G$6),'Planning Sheet'!$DN85,"")</f>
        <v/>
      </c>
      <c r="AA5514" s="48" t="str">
        <f ca="1">IF(AND('Planning Sheet'!DS85='Weeks Plan'!$D$6,'Planning Sheet'!DM85='Weeks Plan'!$G$6),'Planning Sheet'!$DO85,"")</f>
        <v/>
      </c>
    </row>
    <row r="5515" spans="25:27" x14ac:dyDescent="0.3">
      <c r="Y5515" s="48" t="str">
        <f ca="1">IF(AND('Planning Sheet'!DS86='Weeks Plan'!$D$6,'Planning Sheet'!DM86='Weeks Plan'!$G$6),'Planning Sheet'!$B86,"")</f>
        <v/>
      </c>
      <c r="Z5515" s="48" t="str">
        <f ca="1">IF(AND('Planning Sheet'!DS86='Weeks Plan'!$D$6,'Planning Sheet'!DM86='Weeks Plan'!$G$6),'Planning Sheet'!$DN86,"")</f>
        <v/>
      </c>
      <c r="AA5515" s="48" t="str">
        <f ca="1">IF(AND('Planning Sheet'!DS86='Weeks Plan'!$D$6,'Planning Sheet'!DM86='Weeks Plan'!$G$6),'Planning Sheet'!$DO86,"")</f>
        <v/>
      </c>
    </row>
    <row r="5516" spans="25:27" x14ac:dyDescent="0.3">
      <c r="Y5516" s="48" t="str">
        <f ca="1">IF(AND('Planning Sheet'!DS87='Weeks Plan'!$D$6,'Planning Sheet'!DM87='Weeks Plan'!$G$6),'Planning Sheet'!$B87,"")</f>
        <v/>
      </c>
      <c r="Z5516" s="48" t="str">
        <f ca="1">IF(AND('Planning Sheet'!DS87='Weeks Plan'!$D$6,'Planning Sheet'!DM87='Weeks Plan'!$G$6),'Planning Sheet'!$DN87,"")</f>
        <v/>
      </c>
      <c r="AA5516" s="48" t="str">
        <f ca="1">IF(AND('Planning Sheet'!DS87='Weeks Plan'!$D$6,'Planning Sheet'!DM87='Weeks Plan'!$G$6),'Planning Sheet'!$DO87,"")</f>
        <v/>
      </c>
    </row>
    <row r="5517" spans="25:27" x14ac:dyDescent="0.3">
      <c r="Y5517" s="48" t="str">
        <f ca="1">IF(AND('Planning Sheet'!DS88='Weeks Plan'!$D$6,'Planning Sheet'!DM88='Weeks Plan'!$G$6),'Planning Sheet'!$B88,"")</f>
        <v/>
      </c>
      <c r="Z5517" s="48" t="str">
        <f ca="1">IF(AND('Planning Sheet'!DS88='Weeks Plan'!$D$6,'Planning Sheet'!DM88='Weeks Plan'!$G$6),'Planning Sheet'!$DN88,"")</f>
        <v/>
      </c>
      <c r="AA5517" s="48" t="str">
        <f ca="1">IF(AND('Planning Sheet'!DS88='Weeks Plan'!$D$6,'Planning Sheet'!DM88='Weeks Plan'!$G$6),'Planning Sheet'!$DO88,"")</f>
        <v/>
      </c>
    </row>
    <row r="5518" spans="25:27" x14ac:dyDescent="0.3">
      <c r="Y5518" s="48" t="str">
        <f ca="1">IF(AND('Planning Sheet'!DS89='Weeks Plan'!$D$6,'Planning Sheet'!DM89='Weeks Plan'!$G$6),'Planning Sheet'!$B89,"")</f>
        <v/>
      </c>
      <c r="Z5518" s="48" t="str">
        <f ca="1">IF(AND('Planning Sheet'!DS89='Weeks Plan'!$D$6,'Planning Sheet'!DM89='Weeks Plan'!$G$6),'Planning Sheet'!$DN89,"")</f>
        <v/>
      </c>
      <c r="AA5518" s="48" t="str">
        <f ca="1">IF(AND('Planning Sheet'!DS89='Weeks Plan'!$D$6,'Planning Sheet'!DM89='Weeks Plan'!$G$6),'Planning Sheet'!$DO89,"")</f>
        <v/>
      </c>
    </row>
    <row r="5519" spans="25:27" x14ac:dyDescent="0.3">
      <c r="Y5519" s="48" t="str">
        <f ca="1">IF(AND('Planning Sheet'!DS90='Weeks Plan'!$D$6,'Planning Sheet'!DM90='Weeks Plan'!$G$6),'Planning Sheet'!$B90,"")</f>
        <v/>
      </c>
      <c r="Z5519" s="48" t="str">
        <f ca="1">IF(AND('Planning Sheet'!DS90='Weeks Plan'!$D$6,'Planning Sheet'!DM90='Weeks Plan'!$G$6),'Planning Sheet'!$DN90,"")</f>
        <v/>
      </c>
      <c r="AA5519" s="48" t="str">
        <f ca="1">IF(AND('Planning Sheet'!DS90='Weeks Plan'!$D$6,'Planning Sheet'!DM90='Weeks Plan'!$G$6),'Planning Sheet'!$DO90,"")</f>
        <v/>
      </c>
    </row>
    <row r="5520" spans="25:27" x14ac:dyDescent="0.3">
      <c r="Y5520" s="48" t="str">
        <f ca="1">IF(AND('Planning Sheet'!DS91='Weeks Plan'!$D$6,'Planning Sheet'!DM91='Weeks Plan'!$G$6),'Planning Sheet'!$B91,"")</f>
        <v/>
      </c>
      <c r="Z5520" s="48" t="str">
        <f ca="1">IF(AND('Planning Sheet'!DS91='Weeks Plan'!$D$6,'Planning Sheet'!DM91='Weeks Plan'!$G$6),'Planning Sheet'!$DN91,"")</f>
        <v/>
      </c>
      <c r="AA5520" s="48" t="str">
        <f ca="1">IF(AND('Planning Sheet'!DS91='Weeks Plan'!$D$6,'Planning Sheet'!DM91='Weeks Plan'!$G$6),'Planning Sheet'!$DO91,"")</f>
        <v/>
      </c>
    </row>
    <row r="5521" spans="25:27" x14ac:dyDescent="0.3">
      <c r="Y5521" s="48" t="str">
        <f ca="1">IF(AND('Planning Sheet'!DS92='Weeks Plan'!$D$6,'Planning Sheet'!DM92='Weeks Plan'!$G$6),'Planning Sheet'!$B92,"")</f>
        <v/>
      </c>
      <c r="Z5521" s="48" t="str">
        <f ca="1">IF(AND('Planning Sheet'!DS92='Weeks Plan'!$D$6,'Planning Sheet'!DM92='Weeks Plan'!$G$6),'Planning Sheet'!$DN92,"")</f>
        <v/>
      </c>
      <c r="AA5521" s="48" t="str">
        <f ca="1">IF(AND('Planning Sheet'!DS92='Weeks Plan'!$D$6,'Planning Sheet'!DM92='Weeks Plan'!$G$6),'Planning Sheet'!$DO92,"")</f>
        <v/>
      </c>
    </row>
    <row r="5522" spans="25:27" x14ac:dyDescent="0.3">
      <c r="Y5522" s="48" t="str">
        <f ca="1">IF(AND('Planning Sheet'!DS93='Weeks Plan'!$D$6,'Planning Sheet'!DM93='Weeks Plan'!$G$6),'Planning Sheet'!$B93,"")</f>
        <v/>
      </c>
      <c r="Z5522" s="48" t="str">
        <f ca="1">IF(AND('Planning Sheet'!DS93='Weeks Plan'!$D$6,'Planning Sheet'!DM93='Weeks Plan'!$G$6),'Planning Sheet'!$DN93,"")</f>
        <v/>
      </c>
      <c r="AA5522" s="48" t="str">
        <f ca="1">IF(AND('Planning Sheet'!DS93='Weeks Plan'!$D$6,'Planning Sheet'!DM93='Weeks Plan'!$G$6),'Planning Sheet'!$DO93,"")</f>
        <v/>
      </c>
    </row>
    <row r="5523" spans="25:27" x14ac:dyDescent="0.3">
      <c r="Y5523" s="48" t="str">
        <f ca="1">IF(AND('Planning Sheet'!DS94='Weeks Plan'!$D$6,'Planning Sheet'!DM94='Weeks Plan'!$G$6),'Planning Sheet'!$B94,"")</f>
        <v/>
      </c>
      <c r="Z5523" s="48" t="str">
        <f ca="1">IF(AND('Planning Sheet'!DS94='Weeks Plan'!$D$6,'Planning Sheet'!DM94='Weeks Plan'!$G$6),'Planning Sheet'!$DN94,"")</f>
        <v/>
      </c>
      <c r="AA5523" s="48" t="str">
        <f ca="1">IF(AND('Planning Sheet'!DS94='Weeks Plan'!$D$6,'Planning Sheet'!DM94='Weeks Plan'!$G$6),'Planning Sheet'!$DO94,"")</f>
        <v/>
      </c>
    </row>
    <row r="5524" spans="25:27" x14ac:dyDescent="0.3">
      <c r="Y5524" s="48" t="str">
        <f ca="1">IF(AND('Planning Sheet'!DS95='Weeks Plan'!$D$6,'Planning Sheet'!DM95='Weeks Plan'!$G$6),'Planning Sheet'!$B95,"")</f>
        <v/>
      </c>
      <c r="Z5524" s="48" t="str">
        <f ca="1">IF(AND('Planning Sheet'!DS95='Weeks Plan'!$D$6,'Planning Sheet'!DM95='Weeks Plan'!$G$6),'Planning Sheet'!$DN95,"")</f>
        <v/>
      </c>
      <c r="AA5524" s="48" t="str">
        <f ca="1">IF(AND('Planning Sheet'!DS95='Weeks Plan'!$D$6,'Planning Sheet'!DM95='Weeks Plan'!$G$6),'Planning Sheet'!$DO95,"")</f>
        <v/>
      </c>
    </row>
    <row r="5525" spans="25:27" x14ac:dyDescent="0.3">
      <c r="Y5525" s="48" t="str">
        <f ca="1">IF(AND('Planning Sheet'!DS96='Weeks Plan'!$D$6,'Planning Sheet'!DM96='Weeks Plan'!$G$6),'Planning Sheet'!$B96,"")</f>
        <v/>
      </c>
      <c r="Z5525" s="48" t="str">
        <f ca="1">IF(AND('Planning Sheet'!DS96='Weeks Plan'!$D$6,'Planning Sheet'!DM96='Weeks Plan'!$G$6),'Planning Sheet'!$DN96,"")</f>
        <v/>
      </c>
      <c r="AA5525" s="48" t="str">
        <f ca="1">IF(AND('Planning Sheet'!DS96='Weeks Plan'!$D$6,'Planning Sheet'!DM96='Weeks Plan'!$G$6),'Planning Sheet'!$DO96,"")</f>
        <v/>
      </c>
    </row>
    <row r="5526" spans="25:27" x14ac:dyDescent="0.3">
      <c r="Y5526" s="48" t="str">
        <f ca="1">IF(AND('Planning Sheet'!DS97='Weeks Plan'!$D$6,'Planning Sheet'!DM97='Weeks Plan'!$G$6),'Planning Sheet'!$B97,"")</f>
        <v/>
      </c>
      <c r="Z5526" s="48" t="str">
        <f ca="1">IF(AND('Planning Sheet'!DS97='Weeks Plan'!$D$6,'Planning Sheet'!DM97='Weeks Plan'!$G$6),'Planning Sheet'!$DN97,"")</f>
        <v/>
      </c>
      <c r="AA5526" s="48" t="str">
        <f ca="1">IF(AND('Planning Sheet'!DS97='Weeks Plan'!$D$6,'Planning Sheet'!DM97='Weeks Plan'!$G$6),'Planning Sheet'!$DO97,"")</f>
        <v/>
      </c>
    </row>
    <row r="5527" spans="25:27" x14ac:dyDescent="0.3">
      <c r="Y5527" s="48" t="str">
        <f ca="1">IF(AND('Planning Sheet'!DS98='Weeks Plan'!$D$6,'Planning Sheet'!DM98='Weeks Plan'!$G$6),'Planning Sheet'!$B98,"")</f>
        <v/>
      </c>
      <c r="Z5527" s="48" t="str">
        <f ca="1">IF(AND('Planning Sheet'!DS98='Weeks Plan'!$D$6,'Planning Sheet'!DM98='Weeks Plan'!$G$6),'Planning Sheet'!$DN98,"")</f>
        <v/>
      </c>
      <c r="AA5527" s="48" t="str">
        <f ca="1">IF(AND('Planning Sheet'!DS98='Weeks Plan'!$D$6,'Planning Sheet'!DM98='Weeks Plan'!$G$6),'Planning Sheet'!$DO98,"")</f>
        <v/>
      </c>
    </row>
    <row r="5528" spans="25:27" x14ac:dyDescent="0.3">
      <c r="Y5528" s="48" t="str">
        <f ca="1">IF(AND('Planning Sheet'!DS99='Weeks Plan'!$D$6,'Planning Sheet'!DM99='Weeks Plan'!$G$6),'Planning Sheet'!$B99,"")</f>
        <v/>
      </c>
      <c r="Z5528" s="48" t="str">
        <f ca="1">IF(AND('Planning Sheet'!DS99='Weeks Plan'!$D$6,'Planning Sheet'!DM99='Weeks Plan'!$G$6),'Planning Sheet'!$DN99,"")</f>
        <v/>
      </c>
      <c r="AA5528" s="48" t="str">
        <f ca="1">IF(AND('Planning Sheet'!DS99='Weeks Plan'!$D$6,'Planning Sheet'!DM99='Weeks Plan'!$G$6),'Planning Sheet'!$DO99,"")</f>
        <v/>
      </c>
    </row>
    <row r="5529" spans="25:27" x14ac:dyDescent="0.3">
      <c r="Y5529" s="48" t="str">
        <f ca="1">IF(AND('Planning Sheet'!DS100='Weeks Plan'!$D$6,'Planning Sheet'!DM100='Weeks Plan'!$G$6),'Planning Sheet'!$B100,"")</f>
        <v/>
      </c>
      <c r="Z5529" s="48" t="str">
        <f ca="1">IF(AND('Planning Sheet'!DS100='Weeks Plan'!$D$6,'Planning Sheet'!DM100='Weeks Plan'!$G$6),'Planning Sheet'!$DN100,"")</f>
        <v/>
      </c>
      <c r="AA5529" s="48" t="str">
        <f ca="1">IF(AND('Planning Sheet'!DS100='Weeks Plan'!$D$6,'Planning Sheet'!DM100='Weeks Plan'!$G$6),'Planning Sheet'!$DO100,"")</f>
        <v/>
      </c>
    </row>
    <row r="5530" spans="25:27" x14ac:dyDescent="0.3">
      <c r="Y5530" s="48" t="str">
        <f ca="1">IF(AND('Planning Sheet'!DS101='Weeks Plan'!$D$6,'Planning Sheet'!DM101='Weeks Plan'!$G$6),'Planning Sheet'!$B101,"")</f>
        <v/>
      </c>
      <c r="Z5530" s="48" t="str">
        <f ca="1">IF(AND('Planning Sheet'!DS101='Weeks Plan'!$D$6,'Planning Sheet'!DM101='Weeks Plan'!$G$6),'Planning Sheet'!$DN101,"")</f>
        <v/>
      </c>
      <c r="AA5530" s="48" t="str">
        <f ca="1">IF(AND('Planning Sheet'!DS101='Weeks Plan'!$D$6,'Planning Sheet'!DM101='Weeks Plan'!$G$6),'Planning Sheet'!$DO101,"")</f>
        <v/>
      </c>
    </row>
    <row r="5531" spans="25:27" x14ac:dyDescent="0.3">
      <c r="Y5531" s="48" t="str">
        <f ca="1">IF(AND('Planning Sheet'!DS102='Weeks Plan'!$D$6,'Planning Sheet'!DM102='Weeks Plan'!$G$6),'Planning Sheet'!$B102,"")</f>
        <v/>
      </c>
      <c r="Z5531" s="48" t="str">
        <f ca="1">IF(AND('Planning Sheet'!DS102='Weeks Plan'!$D$6,'Planning Sheet'!DM102='Weeks Plan'!$G$6),'Planning Sheet'!$DN102,"")</f>
        <v/>
      </c>
      <c r="AA5531" s="48" t="str">
        <f ca="1">IF(AND('Planning Sheet'!DS102='Weeks Plan'!$D$6,'Planning Sheet'!DM102='Weeks Plan'!$G$6),'Planning Sheet'!$DO102,"")</f>
        <v/>
      </c>
    </row>
    <row r="5532" spans="25:27" x14ac:dyDescent="0.3">
      <c r="Y5532" s="48" t="str">
        <f ca="1">IF(AND('Planning Sheet'!DS103='Weeks Plan'!$D$6,'Planning Sheet'!DM103='Weeks Plan'!$G$6),'Planning Sheet'!$B103,"")</f>
        <v/>
      </c>
      <c r="Z5532" s="48" t="str">
        <f ca="1">IF(AND('Planning Sheet'!DS103='Weeks Plan'!$D$6,'Planning Sheet'!DM103='Weeks Plan'!$G$6),'Planning Sheet'!$DN103,"")</f>
        <v/>
      </c>
      <c r="AA5532" s="48" t="str">
        <f ca="1">IF(AND('Planning Sheet'!DS103='Weeks Plan'!$D$6,'Planning Sheet'!DM103='Weeks Plan'!$G$6),'Planning Sheet'!$DO103,"")</f>
        <v/>
      </c>
    </row>
    <row r="5533" spans="25:27" x14ac:dyDescent="0.3">
      <c r="Y5533" s="48" t="str">
        <f ca="1">IF(AND('Planning Sheet'!DS104='Weeks Plan'!$D$6,'Planning Sheet'!DM104='Weeks Plan'!$G$6),'Planning Sheet'!$B104,"")</f>
        <v/>
      </c>
      <c r="Z5533" s="48" t="str">
        <f ca="1">IF(AND('Planning Sheet'!DS104='Weeks Plan'!$D$6,'Planning Sheet'!DM104='Weeks Plan'!$G$6),'Planning Sheet'!$DN104,"")</f>
        <v/>
      </c>
      <c r="AA5533" s="48" t="str">
        <f ca="1">IF(AND('Planning Sheet'!DS104='Weeks Plan'!$D$6,'Planning Sheet'!DM104='Weeks Plan'!$G$6),'Planning Sheet'!$DO104,"")</f>
        <v/>
      </c>
    </row>
    <row r="5534" spans="25:27" x14ac:dyDescent="0.3">
      <c r="Y5534" s="48" t="str">
        <f ca="1">IF(AND('Planning Sheet'!DS105='Weeks Plan'!$D$6,'Planning Sheet'!DM105='Weeks Plan'!$G$6),'Planning Sheet'!$B105,"")</f>
        <v/>
      </c>
      <c r="Z5534" s="48" t="str">
        <f ca="1">IF(AND('Planning Sheet'!DS105='Weeks Plan'!$D$6,'Planning Sheet'!DM105='Weeks Plan'!$G$6),'Planning Sheet'!$DN105,"")</f>
        <v/>
      </c>
      <c r="AA5534" s="48" t="str">
        <f ca="1">IF(AND('Planning Sheet'!DS105='Weeks Plan'!$D$6,'Planning Sheet'!DM105='Weeks Plan'!$G$6),'Planning Sheet'!$DO105,"")</f>
        <v/>
      </c>
    </row>
    <row r="5535" spans="25:27" x14ac:dyDescent="0.3">
      <c r="Y5535" s="48" t="str">
        <f ca="1">IF(AND('Planning Sheet'!DS106='Weeks Plan'!$D$6,'Planning Sheet'!DM106='Weeks Plan'!$G$6),'Planning Sheet'!$B106,"")</f>
        <v/>
      </c>
      <c r="Z5535" s="48" t="str">
        <f ca="1">IF(AND('Planning Sheet'!DS106='Weeks Plan'!$D$6,'Planning Sheet'!DM106='Weeks Plan'!$G$6),'Planning Sheet'!$DN106,"")</f>
        <v/>
      </c>
      <c r="AA5535" s="48" t="str">
        <f ca="1">IF(AND('Planning Sheet'!DS106='Weeks Plan'!$D$6,'Planning Sheet'!DM106='Weeks Plan'!$G$6),'Planning Sheet'!$DO106,"")</f>
        <v/>
      </c>
    </row>
    <row r="5536" spans="25:27" x14ac:dyDescent="0.3">
      <c r="Y5536" s="48" t="str">
        <f ca="1">IF(AND('Planning Sheet'!DS107='Weeks Plan'!$D$6,'Planning Sheet'!DM107='Weeks Plan'!$G$6),'Planning Sheet'!$B107,"")</f>
        <v/>
      </c>
      <c r="Z5536" s="48" t="str">
        <f ca="1">IF(AND('Planning Sheet'!DS107='Weeks Plan'!$D$6,'Planning Sheet'!DM107='Weeks Plan'!$G$6),'Planning Sheet'!$DN107,"")</f>
        <v/>
      </c>
      <c r="AA5536" s="48" t="str">
        <f ca="1">IF(AND('Planning Sheet'!DS107='Weeks Plan'!$D$6,'Planning Sheet'!DM107='Weeks Plan'!$G$6),'Planning Sheet'!$DO107,"")</f>
        <v/>
      </c>
    </row>
    <row r="5537" spans="25:27" x14ac:dyDescent="0.3">
      <c r="Y5537" s="48" t="str">
        <f ca="1">IF(AND('Planning Sheet'!DS108='Weeks Plan'!$D$6,'Planning Sheet'!DM108='Weeks Plan'!$G$6),'Planning Sheet'!$B108,"")</f>
        <v/>
      </c>
      <c r="Z5537" s="48" t="str">
        <f ca="1">IF(AND('Planning Sheet'!DS108='Weeks Plan'!$D$6,'Planning Sheet'!DM108='Weeks Plan'!$G$6),'Planning Sheet'!$DN108,"")</f>
        <v/>
      </c>
      <c r="AA5537" s="48" t="str">
        <f ca="1">IF(AND('Planning Sheet'!DS108='Weeks Plan'!$D$6,'Planning Sheet'!DM108='Weeks Plan'!$G$6),'Planning Sheet'!$DO108,"")</f>
        <v/>
      </c>
    </row>
    <row r="5538" spans="25:27" x14ac:dyDescent="0.3">
      <c r="Y5538" s="48" t="str">
        <f ca="1">IF(AND('Planning Sheet'!DS109='Weeks Plan'!$D$6,'Planning Sheet'!DM109='Weeks Plan'!$G$6),'Planning Sheet'!$B109,"")</f>
        <v/>
      </c>
      <c r="Z5538" s="48" t="str">
        <f ca="1">IF(AND('Planning Sheet'!DS109='Weeks Plan'!$D$6,'Planning Sheet'!DM109='Weeks Plan'!$G$6),'Planning Sheet'!$DN109,"")</f>
        <v/>
      </c>
      <c r="AA5538" s="48" t="str">
        <f ca="1">IF(AND('Planning Sheet'!DS109='Weeks Plan'!$D$6,'Planning Sheet'!DM109='Weeks Plan'!$G$6),'Planning Sheet'!$DO109,"")</f>
        <v/>
      </c>
    </row>
    <row r="5539" spans="25:27" x14ac:dyDescent="0.3">
      <c r="Y5539" s="48" t="str">
        <f ca="1">IF(AND('Planning Sheet'!DS110='Weeks Plan'!$D$6,'Planning Sheet'!DM110='Weeks Plan'!$G$6),'Planning Sheet'!$B110,"")</f>
        <v/>
      </c>
      <c r="Z5539" s="48" t="str">
        <f ca="1">IF(AND('Planning Sheet'!DS110='Weeks Plan'!$D$6,'Planning Sheet'!DM110='Weeks Plan'!$G$6),'Planning Sheet'!$DN110,"")</f>
        <v/>
      </c>
      <c r="AA5539" s="48" t="str">
        <f ca="1">IF(AND('Planning Sheet'!DS110='Weeks Plan'!$D$6,'Planning Sheet'!DM110='Weeks Plan'!$G$6),'Planning Sheet'!$DO110,"")</f>
        <v/>
      </c>
    </row>
    <row r="5540" spans="25:27" x14ac:dyDescent="0.3">
      <c r="Y5540" s="48" t="str">
        <f ca="1">IF(AND('Planning Sheet'!DS111='Weeks Plan'!$D$6,'Planning Sheet'!DM111='Weeks Plan'!$G$6),'Planning Sheet'!$B111,"")</f>
        <v/>
      </c>
      <c r="Z5540" s="48" t="str">
        <f ca="1">IF(AND('Planning Sheet'!DS111='Weeks Plan'!$D$6,'Planning Sheet'!DM111='Weeks Plan'!$G$6),'Planning Sheet'!$DN111,"")</f>
        <v/>
      </c>
      <c r="AA5540" s="48" t="str">
        <f ca="1">IF(AND('Planning Sheet'!DS111='Weeks Plan'!$D$6,'Planning Sheet'!DM111='Weeks Plan'!$G$6),'Planning Sheet'!$DO111,"")</f>
        <v/>
      </c>
    </row>
    <row r="5541" spans="25:27" x14ac:dyDescent="0.3">
      <c r="Y5541" s="48" t="str">
        <f ca="1">IF(AND('Planning Sheet'!DS112='Weeks Plan'!$D$6,'Planning Sheet'!DM112='Weeks Plan'!$G$6),'Planning Sheet'!$B112,"")</f>
        <v/>
      </c>
      <c r="Z5541" s="48" t="str">
        <f ca="1">IF(AND('Planning Sheet'!DS112='Weeks Plan'!$D$6,'Planning Sheet'!DM112='Weeks Plan'!$G$6),'Planning Sheet'!$DN112,"")</f>
        <v/>
      </c>
      <c r="AA5541" s="48" t="str">
        <f ca="1">IF(AND('Planning Sheet'!DS112='Weeks Plan'!$D$6,'Planning Sheet'!DM112='Weeks Plan'!$G$6),'Planning Sheet'!$DO112,"")</f>
        <v/>
      </c>
    </row>
    <row r="5542" spans="25:27" x14ac:dyDescent="0.3">
      <c r="Y5542" s="48" t="str">
        <f ca="1">IF(AND('Planning Sheet'!DS113='Weeks Plan'!$D$6,'Planning Sheet'!DM113='Weeks Plan'!$G$6),'Planning Sheet'!$B113,"")</f>
        <v/>
      </c>
      <c r="Z5542" s="48" t="str">
        <f ca="1">IF(AND('Planning Sheet'!DS113='Weeks Plan'!$D$6,'Planning Sheet'!DM113='Weeks Plan'!$G$6),'Planning Sheet'!$DN113,"")</f>
        <v/>
      </c>
      <c r="AA5542" s="48" t="str">
        <f ca="1">IF(AND('Planning Sheet'!DS113='Weeks Plan'!$D$6,'Planning Sheet'!DM113='Weeks Plan'!$G$6),'Planning Sheet'!$DO113,"")</f>
        <v/>
      </c>
    </row>
    <row r="5543" spans="25:27" x14ac:dyDescent="0.3">
      <c r="Y5543" s="48" t="str">
        <f ca="1">IF(AND('Planning Sheet'!DS114='Weeks Plan'!$D$6,'Planning Sheet'!DM114='Weeks Plan'!$G$6),'Planning Sheet'!$B114,"")</f>
        <v/>
      </c>
      <c r="Z5543" s="48" t="str">
        <f ca="1">IF(AND('Planning Sheet'!DS114='Weeks Plan'!$D$6,'Planning Sheet'!DM114='Weeks Plan'!$G$6),'Planning Sheet'!$DN114,"")</f>
        <v/>
      </c>
      <c r="AA5543" s="48" t="str">
        <f ca="1">IF(AND('Planning Sheet'!DS114='Weeks Plan'!$D$6,'Planning Sheet'!DM114='Weeks Plan'!$G$6),'Planning Sheet'!$DO114,"")</f>
        <v/>
      </c>
    </row>
    <row r="5544" spans="25:27" x14ac:dyDescent="0.3">
      <c r="Y5544" s="48" t="str">
        <f ca="1">IF(AND('Planning Sheet'!DS115='Weeks Plan'!$D$6,'Planning Sheet'!DM115='Weeks Plan'!$G$6),'Planning Sheet'!$B115,"")</f>
        <v/>
      </c>
      <c r="Z5544" s="48" t="str">
        <f ca="1">IF(AND('Planning Sheet'!DS115='Weeks Plan'!$D$6,'Planning Sheet'!DM115='Weeks Plan'!$G$6),'Planning Sheet'!$DN115,"")</f>
        <v/>
      </c>
      <c r="AA5544" s="48" t="str">
        <f ca="1">IF(AND('Planning Sheet'!DS115='Weeks Plan'!$D$6,'Planning Sheet'!DM115='Weeks Plan'!$G$6),'Planning Sheet'!$DO115,"")</f>
        <v/>
      </c>
    </row>
    <row r="5545" spans="25:27" x14ac:dyDescent="0.3">
      <c r="Y5545" s="48" t="str">
        <f ca="1">IF(AND('Planning Sheet'!DS116='Weeks Plan'!$D$6,'Planning Sheet'!DM116='Weeks Plan'!$G$6),'Planning Sheet'!$B116,"")</f>
        <v/>
      </c>
      <c r="Z5545" s="48" t="str">
        <f ca="1">IF(AND('Planning Sheet'!DS116='Weeks Plan'!$D$6,'Planning Sheet'!DM116='Weeks Plan'!$G$6),'Planning Sheet'!$DN116,"")</f>
        <v/>
      </c>
      <c r="AA5545" s="48" t="str">
        <f ca="1">IF(AND('Planning Sheet'!DS116='Weeks Plan'!$D$6,'Planning Sheet'!DM116='Weeks Plan'!$G$6),'Planning Sheet'!$DO116,"")</f>
        <v/>
      </c>
    </row>
    <row r="5546" spans="25:27" x14ac:dyDescent="0.3">
      <c r="Y5546" s="48" t="str">
        <f ca="1">IF(AND('Planning Sheet'!DS117='Weeks Plan'!$D$6,'Planning Sheet'!DM117='Weeks Plan'!$G$6),'Planning Sheet'!$B117,"")</f>
        <v/>
      </c>
      <c r="Z5546" s="48" t="str">
        <f ca="1">IF(AND('Planning Sheet'!DS117='Weeks Plan'!$D$6,'Planning Sheet'!DM117='Weeks Plan'!$G$6),'Planning Sheet'!$DN117,"")</f>
        <v/>
      </c>
      <c r="AA5546" s="48" t="str">
        <f ca="1">IF(AND('Planning Sheet'!DS117='Weeks Plan'!$D$6,'Planning Sheet'!DM117='Weeks Plan'!$G$6),'Planning Sheet'!$DO117,"")</f>
        <v/>
      </c>
    </row>
    <row r="5547" spans="25:27" x14ac:dyDescent="0.3">
      <c r="Y5547" s="48" t="str">
        <f ca="1">IF(AND('Planning Sheet'!DS118='Weeks Plan'!$D$6,'Planning Sheet'!DM118='Weeks Plan'!$G$6),'Planning Sheet'!$B118,"")</f>
        <v/>
      </c>
      <c r="Z5547" s="48" t="str">
        <f ca="1">IF(AND('Planning Sheet'!DS118='Weeks Plan'!$D$6,'Planning Sheet'!DM118='Weeks Plan'!$G$6),'Planning Sheet'!$DN118,"")</f>
        <v/>
      </c>
      <c r="AA5547" s="48" t="str">
        <f ca="1">IF(AND('Planning Sheet'!DS118='Weeks Plan'!$D$6,'Planning Sheet'!DM118='Weeks Plan'!$G$6),'Planning Sheet'!$DO118,"")</f>
        <v/>
      </c>
    </row>
    <row r="5548" spans="25:27" x14ac:dyDescent="0.3">
      <c r="Y5548" s="48" t="str">
        <f ca="1">IF(AND('Planning Sheet'!DS119='Weeks Plan'!$D$6,'Planning Sheet'!DM119='Weeks Plan'!$G$6),'Planning Sheet'!$B119,"")</f>
        <v/>
      </c>
      <c r="Z5548" s="48" t="str">
        <f ca="1">IF(AND('Planning Sheet'!DS119='Weeks Plan'!$D$6,'Planning Sheet'!DM119='Weeks Plan'!$G$6),'Planning Sheet'!$DN119,"")</f>
        <v/>
      </c>
      <c r="AA5548" s="48" t="str">
        <f ca="1">IF(AND('Planning Sheet'!DS119='Weeks Plan'!$D$6,'Planning Sheet'!DM119='Weeks Plan'!$G$6),'Planning Sheet'!$DO119,"")</f>
        <v/>
      </c>
    </row>
    <row r="5549" spans="25:27" x14ac:dyDescent="0.3">
      <c r="Y5549" s="48" t="str">
        <f ca="1">IF(AND('Planning Sheet'!DS120='Weeks Plan'!$D$6,'Planning Sheet'!DM120='Weeks Plan'!$G$6),'Planning Sheet'!$B120,"")</f>
        <v/>
      </c>
      <c r="Z5549" s="48" t="str">
        <f ca="1">IF(AND('Planning Sheet'!DS120='Weeks Plan'!$D$6,'Planning Sheet'!DM120='Weeks Plan'!$G$6),'Planning Sheet'!$DN120,"")</f>
        <v/>
      </c>
      <c r="AA5549" s="48" t="str">
        <f ca="1">IF(AND('Planning Sheet'!DS120='Weeks Plan'!$D$6,'Planning Sheet'!DM120='Weeks Plan'!$G$6),'Planning Sheet'!$DO120,"")</f>
        <v/>
      </c>
    </row>
    <row r="5550" spans="25:27" x14ac:dyDescent="0.3">
      <c r="Y5550" s="48" t="str">
        <f ca="1">IF(AND('Planning Sheet'!DS121='Weeks Plan'!$D$6,'Planning Sheet'!DM121='Weeks Plan'!$G$6),'Planning Sheet'!$B121,"")</f>
        <v/>
      </c>
      <c r="Z5550" s="48" t="str">
        <f ca="1">IF(AND('Planning Sheet'!DS121='Weeks Plan'!$D$6,'Planning Sheet'!DM121='Weeks Plan'!$G$6),'Planning Sheet'!$DN121,"")</f>
        <v/>
      </c>
      <c r="AA5550" s="48" t="str">
        <f ca="1">IF(AND('Planning Sheet'!DS121='Weeks Plan'!$D$6,'Planning Sheet'!DM121='Weeks Plan'!$G$6),'Planning Sheet'!$DO121,"")</f>
        <v/>
      </c>
    </row>
    <row r="5551" spans="25:27" x14ac:dyDescent="0.3">
      <c r="Y5551" s="48" t="str">
        <f ca="1">IF(AND('Planning Sheet'!DS122='Weeks Plan'!$D$6,'Planning Sheet'!DM122='Weeks Plan'!$G$6),'Planning Sheet'!$B122,"")</f>
        <v/>
      </c>
      <c r="Z5551" s="48" t="str">
        <f ca="1">IF(AND('Planning Sheet'!DS122='Weeks Plan'!$D$6,'Planning Sheet'!DM122='Weeks Plan'!$G$6),'Planning Sheet'!$DN122,"")</f>
        <v/>
      </c>
      <c r="AA5551" s="48" t="str">
        <f ca="1">IF(AND('Planning Sheet'!DS122='Weeks Plan'!$D$6,'Planning Sheet'!DM122='Weeks Plan'!$G$6),'Planning Sheet'!$DO122,"")</f>
        <v/>
      </c>
    </row>
    <row r="5552" spans="25:27" x14ac:dyDescent="0.3">
      <c r="Y5552" s="48" t="str">
        <f ca="1">IF(AND('Planning Sheet'!DS123='Weeks Plan'!$D$6,'Planning Sheet'!DM123='Weeks Plan'!$G$6),'Planning Sheet'!$B123,"")</f>
        <v/>
      </c>
      <c r="Z5552" s="48" t="str">
        <f ca="1">IF(AND('Planning Sheet'!DS123='Weeks Plan'!$D$6,'Planning Sheet'!DM123='Weeks Plan'!$G$6),'Planning Sheet'!$DN123,"")</f>
        <v/>
      </c>
      <c r="AA5552" s="48" t="str">
        <f ca="1">IF(AND('Planning Sheet'!DS123='Weeks Plan'!$D$6,'Planning Sheet'!DM123='Weeks Plan'!$G$6),'Planning Sheet'!$DO123,"")</f>
        <v/>
      </c>
    </row>
    <row r="5553" spans="25:27" x14ac:dyDescent="0.3">
      <c r="Y5553" s="48" t="str">
        <f ca="1">IF(AND('Planning Sheet'!DS124='Weeks Plan'!$D$6,'Planning Sheet'!DM124='Weeks Plan'!$G$6),'Planning Sheet'!$B124,"")</f>
        <v/>
      </c>
      <c r="Z5553" s="48" t="str">
        <f ca="1">IF(AND('Planning Sheet'!DS124='Weeks Plan'!$D$6,'Planning Sheet'!DM124='Weeks Plan'!$G$6),'Planning Sheet'!$DN124,"")</f>
        <v/>
      </c>
      <c r="AA5553" s="48" t="str">
        <f ca="1">IF(AND('Planning Sheet'!DS124='Weeks Plan'!$D$6,'Planning Sheet'!DM124='Weeks Plan'!$G$6),'Planning Sheet'!$DO124,"")</f>
        <v/>
      </c>
    </row>
    <row r="5554" spans="25:27" x14ac:dyDescent="0.3">
      <c r="Y5554" s="48" t="str">
        <f ca="1">IF(AND('Planning Sheet'!DS125='Weeks Plan'!$D$6,'Planning Sheet'!DM125='Weeks Plan'!$G$6),'Planning Sheet'!$B125,"")</f>
        <v/>
      </c>
      <c r="Z5554" s="48" t="str">
        <f ca="1">IF(AND('Planning Sheet'!DS125='Weeks Plan'!$D$6,'Planning Sheet'!DM125='Weeks Plan'!$G$6),'Planning Sheet'!$DN125,"")</f>
        <v/>
      </c>
      <c r="AA5554" s="48" t="str">
        <f ca="1">IF(AND('Planning Sheet'!DS125='Weeks Plan'!$D$6,'Planning Sheet'!DM125='Weeks Plan'!$G$6),'Planning Sheet'!$DO125,"")</f>
        <v/>
      </c>
    </row>
    <row r="5555" spans="25:27" x14ac:dyDescent="0.3">
      <c r="Y5555" s="48" t="str">
        <f ca="1">IF(AND('Planning Sheet'!DS126='Weeks Plan'!$D$6,'Planning Sheet'!DM126='Weeks Plan'!$G$6),'Planning Sheet'!$B126,"")</f>
        <v/>
      </c>
      <c r="Z5555" s="48" t="str">
        <f ca="1">IF(AND('Planning Sheet'!DS126='Weeks Plan'!$D$6,'Planning Sheet'!DM126='Weeks Plan'!$G$6),'Planning Sheet'!$DN126,"")</f>
        <v/>
      </c>
      <c r="AA5555" s="48" t="str">
        <f ca="1">IF(AND('Planning Sheet'!DS126='Weeks Plan'!$D$6,'Planning Sheet'!DM126='Weeks Plan'!$G$6),'Planning Sheet'!$DO126,"")</f>
        <v/>
      </c>
    </row>
    <row r="5556" spans="25:27" x14ac:dyDescent="0.3">
      <c r="Y5556" s="48" t="str">
        <f ca="1">IF(AND('Planning Sheet'!DS127='Weeks Plan'!$D$6,'Planning Sheet'!DM127='Weeks Plan'!$G$6),'Planning Sheet'!$B127,"")</f>
        <v/>
      </c>
      <c r="Z5556" s="48" t="str">
        <f ca="1">IF(AND('Planning Sheet'!DS127='Weeks Plan'!$D$6,'Planning Sheet'!DM127='Weeks Plan'!$G$6),'Planning Sheet'!$DN127,"")</f>
        <v/>
      </c>
      <c r="AA5556" s="48" t="str">
        <f ca="1">IF(AND('Planning Sheet'!DS127='Weeks Plan'!$D$6,'Planning Sheet'!DM127='Weeks Plan'!$G$6),'Planning Sheet'!$DO127,"")</f>
        <v/>
      </c>
    </row>
    <row r="5557" spans="25:27" x14ac:dyDescent="0.3">
      <c r="Y5557" s="48" t="str">
        <f ca="1">IF(AND('Planning Sheet'!DS128='Weeks Plan'!$D$6,'Planning Sheet'!DM128='Weeks Plan'!$G$6),'Planning Sheet'!$B128,"")</f>
        <v/>
      </c>
      <c r="Z5557" s="48" t="str">
        <f ca="1">IF(AND('Planning Sheet'!DS128='Weeks Plan'!$D$6,'Planning Sheet'!DM128='Weeks Plan'!$G$6),'Planning Sheet'!$DN128,"")</f>
        <v/>
      </c>
      <c r="AA5557" s="48" t="str">
        <f ca="1">IF(AND('Planning Sheet'!DS128='Weeks Plan'!$D$6,'Planning Sheet'!DM128='Weeks Plan'!$G$6),'Planning Sheet'!$DO128,"")</f>
        <v/>
      </c>
    </row>
    <row r="5558" spans="25:27" x14ac:dyDescent="0.3">
      <c r="Y5558" s="48" t="str">
        <f ca="1">IF(AND('Planning Sheet'!DS129='Weeks Plan'!$D$6,'Planning Sheet'!DM129='Weeks Plan'!$G$6),'Planning Sheet'!$B129,"")</f>
        <v/>
      </c>
      <c r="Z5558" s="48" t="str">
        <f ca="1">IF(AND('Planning Sheet'!DS129='Weeks Plan'!$D$6,'Planning Sheet'!DM129='Weeks Plan'!$G$6),'Planning Sheet'!$DN129,"")</f>
        <v/>
      </c>
      <c r="AA5558" s="48" t="str">
        <f ca="1">IF(AND('Planning Sheet'!DS129='Weeks Plan'!$D$6,'Planning Sheet'!DM129='Weeks Plan'!$G$6),'Planning Sheet'!$DO129,"")</f>
        <v/>
      </c>
    </row>
    <row r="5559" spans="25:27" x14ac:dyDescent="0.3">
      <c r="Y5559" s="48" t="str">
        <f ca="1">IF(AND('Planning Sheet'!DS130='Weeks Plan'!$D$6,'Planning Sheet'!DM130='Weeks Plan'!$G$6),'Planning Sheet'!$B130,"")</f>
        <v/>
      </c>
      <c r="Z5559" s="48" t="str">
        <f ca="1">IF(AND('Planning Sheet'!DS130='Weeks Plan'!$D$6,'Planning Sheet'!DM130='Weeks Plan'!$G$6),'Planning Sheet'!$DN130,"")</f>
        <v/>
      </c>
      <c r="AA5559" s="48" t="str">
        <f ca="1">IF(AND('Planning Sheet'!DS130='Weeks Plan'!$D$6,'Planning Sheet'!DM130='Weeks Plan'!$G$6),'Planning Sheet'!$DO130,"")</f>
        <v/>
      </c>
    </row>
    <row r="5560" spans="25:27" x14ac:dyDescent="0.3">
      <c r="Y5560" s="48" t="str">
        <f ca="1">IF(AND('Planning Sheet'!DS131='Weeks Plan'!$D$6,'Planning Sheet'!DM131='Weeks Plan'!$G$6),'Planning Sheet'!$B131,"")</f>
        <v/>
      </c>
      <c r="Z5560" s="48" t="str">
        <f ca="1">IF(AND('Planning Sheet'!DS131='Weeks Plan'!$D$6,'Planning Sheet'!DM131='Weeks Plan'!$G$6),'Planning Sheet'!$DN131,"")</f>
        <v/>
      </c>
      <c r="AA5560" s="48" t="str">
        <f ca="1">IF(AND('Planning Sheet'!DS131='Weeks Plan'!$D$6,'Planning Sheet'!DM131='Weeks Plan'!$G$6),'Planning Sheet'!$DO131,"")</f>
        <v/>
      </c>
    </row>
    <row r="5561" spans="25:27" x14ac:dyDescent="0.3">
      <c r="Y5561" s="48" t="str">
        <f ca="1">IF(AND('Planning Sheet'!DS132='Weeks Plan'!$D$6,'Planning Sheet'!DM132='Weeks Plan'!$G$6),'Planning Sheet'!$B132,"")</f>
        <v/>
      </c>
      <c r="Z5561" s="48" t="str">
        <f ca="1">IF(AND('Planning Sheet'!DS132='Weeks Plan'!$D$6,'Planning Sheet'!DM132='Weeks Plan'!$G$6),'Planning Sheet'!$DN132,"")</f>
        <v/>
      </c>
      <c r="AA5561" s="48" t="str">
        <f ca="1">IF(AND('Planning Sheet'!DS132='Weeks Plan'!$D$6,'Planning Sheet'!DM132='Weeks Plan'!$G$6),'Planning Sheet'!$DO132,"")</f>
        <v/>
      </c>
    </row>
    <row r="5562" spans="25:27" x14ac:dyDescent="0.3">
      <c r="Y5562" s="48" t="str">
        <f ca="1">IF(AND('Planning Sheet'!DS133='Weeks Plan'!$D$6,'Planning Sheet'!DM133='Weeks Plan'!$G$6),'Planning Sheet'!$B133,"")</f>
        <v/>
      </c>
      <c r="Z5562" s="48" t="str">
        <f ca="1">IF(AND('Planning Sheet'!DS133='Weeks Plan'!$D$6,'Planning Sheet'!DM133='Weeks Plan'!$G$6),'Planning Sheet'!$DN133,"")</f>
        <v/>
      </c>
      <c r="AA5562" s="48" t="str">
        <f ca="1">IF(AND('Planning Sheet'!DS133='Weeks Plan'!$D$6,'Planning Sheet'!DM133='Weeks Plan'!$G$6),'Planning Sheet'!$DO133,"")</f>
        <v/>
      </c>
    </row>
    <row r="5563" spans="25:27" x14ac:dyDescent="0.3">
      <c r="Y5563" s="48" t="str">
        <f ca="1">IF(AND('Planning Sheet'!DS134='Weeks Plan'!$D$6,'Planning Sheet'!DM134='Weeks Plan'!$G$6),'Planning Sheet'!$B134,"")</f>
        <v/>
      </c>
      <c r="Z5563" s="48" t="str">
        <f ca="1">IF(AND('Planning Sheet'!DS134='Weeks Plan'!$D$6,'Planning Sheet'!DM134='Weeks Plan'!$G$6),'Planning Sheet'!$DN134,"")</f>
        <v/>
      </c>
      <c r="AA5563" s="48" t="str">
        <f ca="1">IF(AND('Planning Sheet'!DS134='Weeks Plan'!$D$6,'Planning Sheet'!DM134='Weeks Plan'!$G$6),'Planning Sheet'!$DO134,"")</f>
        <v/>
      </c>
    </row>
    <row r="5564" spans="25:27" x14ac:dyDescent="0.3">
      <c r="Y5564" s="48" t="str">
        <f ca="1">IF(AND('Planning Sheet'!DS135='Weeks Plan'!$D$6,'Planning Sheet'!DM135='Weeks Plan'!$G$6),'Planning Sheet'!$B135,"")</f>
        <v/>
      </c>
      <c r="Z5564" s="48" t="str">
        <f ca="1">IF(AND('Planning Sheet'!DS135='Weeks Plan'!$D$6,'Planning Sheet'!DM135='Weeks Plan'!$G$6),'Planning Sheet'!$DN135,"")</f>
        <v/>
      </c>
      <c r="AA5564" s="48" t="str">
        <f ca="1">IF(AND('Planning Sheet'!DS135='Weeks Plan'!$D$6,'Planning Sheet'!DM135='Weeks Plan'!$G$6),'Planning Sheet'!$DO135,"")</f>
        <v/>
      </c>
    </row>
    <row r="5565" spans="25:27" x14ac:dyDescent="0.3">
      <c r="Y5565" s="48" t="str">
        <f ca="1">IF(AND('Planning Sheet'!DS136='Weeks Plan'!$D$6,'Planning Sheet'!DM136='Weeks Plan'!$G$6),'Planning Sheet'!$B136,"")</f>
        <v/>
      </c>
      <c r="Z5565" s="48" t="str">
        <f ca="1">IF(AND('Planning Sheet'!DS136='Weeks Plan'!$D$6,'Planning Sheet'!DM136='Weeks Plan'!$G$6),'Planning Sheet'!$DN136,"")</f>
        <v/>
      </c>
      <c r="AA5565" s="48" t="str">
        <f ca="1">IF(AND('Planning Sheet'!DS136='Weeks Plan'!$D$6,'Planning Sheet'!DM136='Weeks Plan'!$G$6),'Planning Sheet'!$DO136,"")</f>
        <v/>
      </c>
    </row>
    <row r="5566" spans="25:27" x14ac:dyDescent="0.3">
      <c r="Y5566" s="48" t="str">
        <f ca="1">IF(AND('Planning Sheet'!DS137='Weeks Plan'!$D$6,'Planning Sheet'!DM137='Weeks Plan'!$G$6),'Planning Sheet'!$B137,"")</f>
        <v/>
      </c>
      <c r="Z5566" s="48" t="str">
        <f ca="1">IF(AND('Planning Sheet'!DS137='Weeks Plan'!$D$6,'Planning Sheet'!DM137='Weeks Plan'!$G$6),'Planning Sheet'!$DN137,"")</f>
        <v/>
      </c>
      <c r="AA5566" s="48" t="str">
        <f ca="1">IF(AND('Planning Sheet'!DS137='Weeks Plan'!$D$6,'Planning Sheet'!DM137='Weeks Plan'!$G$6),'Planning Sheet'!$DO137,"")</f>
        <v/>
      </c>
    </row>
    <row r="5567" spans="25:27" x14ac:dyDescent="0.3">
      <c r="Y5567" s="48" t="str">
        <f ca="1">IF(AND('Planning Sheet'!DS138='Weeks Plan'!$D$6,'Planning Sheet'!DM138='Weeks Plan'!$G$6),'Planning Sheet'!$B138,"")</f>
        <v/>
      </c>
      <c r="Z5567" s="48" t="str">
        <f ca="1">IF(AND('Planning Sheet'!DS138='Weeks Plan'!$D$6,'Planning Sheet'!DM138='Weeks Plan'!$G$6),'Planning Sheet'!$DN138,"")</f>
        <v/>
      </c>
      <c r="AA5567" s="48" t="str">
        <f ca="1">IF(AND('Planning Sheet'!DS138='Weeks Plan'!$D$6,'Planning Sheet'!DM138='Weeks Plan'!$G$6),'Planning Sheet'!$DO138,"")</f>
        <v/>
      </c>
    </row>
    <row r="5568" spans="25:27" x14ac:dyDescent="0.3">
      <c r="Y5568" s="48" t="str">
        <f ca="1">IF(AND('Planning Sheet'!DS139='Weeks Plan'!$D$6,'Planning Sheet'!DM139='Weeks Plan'!$G$6),'Planning Sheet'!$B139,"")</f>
        <v/>
      </c>
      <c r="Z5568" s="48" t="str">
        <f ca="1">IF(AND('Planning Sheet'!DS139='Weeks Plan'!$D$6,'Planning Sheet'!DM139='Weeks Plan'!$G$6),'Planning Sheet'!$DN139,"")</f>
        <v/>
      </c>
      <c r="AA5568" s="48" t="str">
        <f ca="1">IF(AND('Planning Sheet'!DS139='Weeks Plan'!$D$6,'Planning Sheet'!DM139='Weeks Plan'!$G$6),'Planning Sheet'!$DO139,"")</f>
        <v/>
      </c>
    </row>
    <row r="5569" spans="25:27" x14ac:dyDescent="0.3">
      <c r="Y5569" s="48" t="str">
        <f ca="1">IF(AND('Planning Sheet'!DS140='Weeks Plan'!$D$6,'Planning Sheet'!DM140='Weeks Plan'!$G$6),'Planning Sheet'!$B140,"")</f>
        <v/>
      </c>
      <c r="Z5569" s="48" t="str">
        <f ca="1">IF(AND('Planning Sheet'!DS140='Weeks Plan'!$D$6,'Planning Sheet'!DM140='Weeks Plan'!$G$6),'Planning Sheet'!$DN140,"")</f>
        <v/>
      </c>
      <c r="AA5569" s="48" t="str">
        <f ca="1">IF(AND('Planning Sheet'!DS140='Weeks Plan'!$D$6,'Planning Sheet'!DM140='Weeks Plan'!$G$6),'Planning Sheet'!$DO140,"")</f>
        <v/>
      </c>
    </row>
    <row r="5570" spans="25:27" x14ac:dyDescent="0.3">
      <c r="Y5570" s="48" t="str">
        <f ca="1">IF(AND('Planning Sheet'!DS141='Weeks Plan'!$D$6,'Planning Sheet'!DM141='Weeks Plan'!$G$6),'Planning Sheet'!$B141,"")</f>
        <v/>
      </c>
      <c r="Z5570" s="48" t="str">
        <f ca="1">IF(AND('Planning Sheet'!DS141='Weeks Plan'!$D$6,'Planning Sheet'!DM141='Weeks Plan'!$G$6),'Planning Sheet'!$DN141,"")</f>
        <v/>
      </c>
      <c r="AA5570" s="48" t="str">
        <f ca="1">IF(AND('Planning Sheet'!DS141='Weeks Plan'!$D$6,'Planning Sheet'!DM141='Weeks Plan'!$G$6),'Planning Sheet'!$DO141,"")</f>
        <v/>
      </c>
    </row>
    <row r="5571" spans="25:27" x14ac:dyDescent="0.3">
      <c r="Y5571" s="48" t="str">
        <f ca="1">IF(AND('Planning Sheet'!DS142='Weeks Plan'!$D$6,'Planning Sheet'!DM142='Weeks Plan'!$G$6),'Planning Sheet'!$B142,"")</f>
        <v/>
      </c>
      <c r="Z5571" s="48" t="str">
        <f ca="1">IF(AND('Planning Sheet'!DS142='Weeks Plan'!$D$6,'Planning Sheet'!DM142='Weeks Plan'!$G$6),'Planning Sheet'!$DN142,"")</f>
        <v/>
      </c>
      <c r="AA5571" s="48" t="str">
        <f ca="1">IF(AND('Planning Sheet'!DS142='Weeks Plan'!$D$6,'Planning Sheet'!DM142='Weeks Plan'!$G$6),'Planning Sheet'!$DO142,"")</f>
        <v/>
      </c>
    </row>
    <row r="5572" spans="25:27" x14ac:dyDescent="0.3">
      <c r="Y5572" s="48" t="str">
        <f ca="1">IF(AND('Planning Sheet'!DS143='Weeks Plan'!$D$6,'Planning Sheet'!DM143='Weeks Plan'!$G$6),'Planning Sheet'!$B143,"")</f>
        <v/>
      </c>
      <c r="Z5572" s="48" t="str">
        <f ca="1">IF(AND('Planning Sheet'!DS143='Weeks Plan'!$D$6,'Planning Sheet'!DM143='Weeks Plan'!$G$6),'Planning Sheet'!$DN143,"")</f>
        <v/>
      </c>
      <c r="AA5572" s="48" t="str">
        <f ca="1">IF(AND('Planning Sheet'!DS143='Weeks Plan'!$D$6,'Planning Sheet'!DM143='Weeks Plan'!$G$6),'Planning Sheet'!$DO143,"")</f>
        <v/>
      </c>
    </row>
    <row r="5573" spans="25:27" x14ac:dyDescent="0.3">
      <c r="Y5573" s="48" t="str">
        <f ca="1">IF(AND('Planning Sheet'!DS144='Weeks Plan'!$D$6,'Planning Sheet'!DM144='Weeks Plan'!$G$6),'Planning Sheet'!$B144,"")</f>
        <v/>
      </c>
      <c r="Z5573" s="48" t="str">
        <f ca="1">IF(AND('Planning Sheet'!DS144='Weeks Plan'!$D$6,'Planning Sheet'!DM144='Weeks Plan'!$G$6),'Planning Sheet'!$DN144,"")</f>
        <v/>
      </c>
      <c r="AA5573" s="48" t="str">
        <f ca="1">IF(AND('Planning Sheet'!DS144='Weeks Plan'!$D$6,'Planning Sheet'!DM144='Weeks Plan'!$G$6),'Planning Sheet'!$DO144,"")</f>
        <v/>
      </c>
    </row>
    <row r="5574" spans="25:27" x14ac:dyDescent="0.3">
      <c r="Y5574" s="48" t="str">
        <f ca="1">IF(AND('Planning Sheet'!DS145='Weeks Plan'!$D$6,'Planning Sheet'!DM145='Weeks Plan'!$G$6),'Planning Sheet'!$B145,"")</f>
        <v/>
      </c>
      <c r="Z5574" s="48" t="str">
        <f ca="1">IF(AND('Planning Sheet'!DS145='Weeks Plan'!$D$6,'Planning Sheet'!DM145='Weeks Plan'!$G$6),'Planning Sheet'!$DN145,"")</f>
        <v/>
      </c>
      <c r="AA5574" s="48" t="str">
        <f ca="1">IF(AND('Planning Sheet'!DS145='Weeks Plan'!$D$6,'Planning Sheet'!DM145='Weeks Plan'!$G$6),'Planning Sheet'!$DO145,"")</f>
        <v/>
      </c>
    </row>
    <row r="5575" spans="25:27" x14ac:dyDescent="0.3">
      <c r="Y5575" s="48" t="str">
        <f ca="1">IF(AND('Planning Sheet'!DS146='Weeks Plan'!$D$6,'Planning Sheet'!DM146='Weeks Plan'!$G$6),'Planning Sheet'!$B146,"")</f>
        <v/>
      </c>
      <c r="Z5575" s="48" t="str">
        <f ca="1">IF(AND('Planning Sheet'!DS146='Weeks Plan'!$D$6,'Planning Sheet'!DM146='Weeks Plan'!$G$6),'Planning Sheet'!$DN146,"")</f>
        <v/>
      </c>
      <c r="AA5575" s="48" t="str">
        <f ca="1">IF(AND('Planning Sheet'!DS146='Weeks Plan'!$D$6,'Planning Sheet'!DM146='Weeks Plan'!$G$6),'Planning Sheet'!$DO146,"")</f>
        <v/>
      </c>
    </row>
    <row r="5576" spans="25:27" x14ac:dyDescent="0.3">
      <c r="Y5576" s="48" t="str">
        <f ca="1">IF(AND('Planning Sheet'!DS147='Weeks Plan'!$D$6,'Planning Sheet'!DM147='Weeks Plan'!$G$6),'Planning Sheet'!$B147,"")</f>
        <v/>
      </c>
      <c r="Z5576" s="48" t="str">
        <f ca="1">IF(AND('Planning Sheet'!DS147='Weeks Plan'!$D$6,'Planning Sheet'!DM147='Weeks Plan'!$G$6),'Planning Sheet'!$DN147,"")</f>
        <v/>
      </c>
      <c r="AA5576" s="48" t="str">
        <f ca="1">IF(AND('Planning Sheet'!DS147='Weeks Plan'!$D$6,'Planning Sheet'!DM147='Weeks Plan'!$G$6),'Planning Sheet'!$DO147,"")</f>
        <v/>
      </c>
    </row>
    <row r="5577" spans="25:27" x14ac:dyDescent="0.3">
      <c r="Y5577" s="48" t="str">
        <f ca="1">IF(AND('Planning Sheet'!DS148='Weeks Plan'!$D$6,'Planning Sheet'!DM148='Weeks Plan'!$G$6),'Planning Sheet'!$B148,"")</f>
        <v/>
      </c>
      <c r="Z5577" s="48" t="str">
        <f ca="1">IF(AND('Planning Sheet'!DS148='Weeks Plan'!$D$6,'Planning Sheet'!DM148='Weeks Plan'!$G$6),'Planning Sheet'!$DN148,"")</f>
        <v/>
      </c>
      <c r="AA5577" s="48" t="str">
        <f ca="1">IF(AND('Planning Sheet'!DS148='Weeks Plan'!$D$6,'Planning Sheet'!DM148='Weeks Plan'!$G$6),'Planning Sheet'!$DO148,"")</f>
        <v/>
      </c>
    </row>
    <row r="5578" spans="25:27" x14ac:dyDescent="0.3">
      <c r="Y5578" s="48" t="str">
        <f ca="1">IF(AND('Planning Sheet'!DS149='Weeks Plan'!$D$6,'Planning Sheet'!DM149='Weeks Plan'!$G$6),'Planning Sheet'!$B149,"")</f>
        <v/>
      </c>
      <c r="Z5578" s="48" t="str">
        <f ca="1">IF(AND('Planning Sheet'!DS149='Weeks Plan'!$D$6,'Planning Sheet'!DM149='Weeks Plan'!$G$6),'Planning Sheet'!$DN149,"")</f>
        <v/>
      </c>
      <c r="AA5578" s="48" t="str">
        <f ca="1">IF(AND('Planning Sheet'!DS149='Weeks Plan'!$D$6,'Planning Sheet'!DM149='Weeks Plan'!$G$6),'Planning Sheet'!$DO149,"")</f>
        <v/>
      </c>
    </row>
    <row r="5579" spans="25:27" x14ac:dyDescent="0.3">
      <c r="Y5579" s="48" t="str">
        <f ca="1">IF(AND('Planning Sheet'!DS150='Weeks Plan'!$D$6,'Planning Sheet'!DM150='Weeks Plan'!$G$6),'Planning Sheet'!$B150,"")</f>
        <v/>
      </c>
      <c r="Z5579" s="48" t="str">
        <f ca="1">IF(AND('Planning Sheet'!DS150='Weeks Plan'!$D$6,'Planning Sheet'!DM150='Weeks Plan'!$G$6),'Planning Sheet'!$DN150,"")</f>
        <v/>
      </c>
      <c r="AA5579" s="48" t="str">
        <f ca="1">IF(AND('Planning Sheet'!DS150='Weeks Plan'!$D$6,'Planning Sheet'!DM150='Weeks Plan'!$G$6),'Planning Sheet'!$DO150,"")</f>
        <v/>
      </c>
    </row>
    <row r="5580" spans="25:27" x14ac:dyDescent="0.3">
      <c r="Y5580" s="48" t="str">
        <f ca="1">IF(AND('Planning Sheet'!DS151='Weeks Plan'!$D$6,'Planning Sheet'!DM151='Weeks Plan'!$G$6),'Planning Sheet'!$B151,"")</f>
        <v/>
      </c>
      <c r="Z5580" s="48" t="str">
        <f ca="1">IF(AND('Planning Sheet'!DS151='Weeks Plan'!$D$6,'Planning Sheet'!DM151='Weeks Plan'!$G$6),'Planning Sheet'!$DN151,"")</f>
        <v/>
      </c>
      <c r="AA5580" s="48" t="str">
        <f ca="1">IF(AND('Planning Sheet'!DS151='Weeks Plan'!$D$6,'Planning Sheet'!DM151='Weeks Plan'!$G$6),'Planning Sheet'!$DO151,"")</f>
        <v/>
      </c>
    </row>
    <row r="5581" spans="25:27" x14ac:dyDescent="0.3">
      <c r="Y5581" s="48" t="str">
        <f ca="1">IF(AND('Planning Sheet'!DS152='Weeks Plan'!$D$6,'Planning Sheet'!DM152='Weeks Plan'!$G$6),'Planning Sheet'!$B152,"")</f>
        <v/>
      </c>
      <c r="Z5581" s="48" t="str">
        <f ca="1">IF(AND('Planning Sheet'!DS152='Weeks Plan'!$D$6,'Planning Sheet'!DM152='Weeks Plan'!$G$6),'Planning Sheet'!$DN152,"")</f>
        <v/>
      </c>
      <c r="AA5581" s="48" t="str">
        <f ca="1">IF(AND('Planning Sheet'!DS152='Weeks Plan'!$D$6,'Planning Sheet'!DM152='Weeks Plan'!$G$6),'Planning Sheet'!$DO152,"")</f>
        <v/>
      </c>
    </row>
    <row r="5582" spans="25:27" x14ac:dyDescent="0.3">
      <c r="Y5582" s="48" t="str">
        <f ca="1">IF(AND('Planning Sheet'!DS153='Weeks Plan'!$D$6,'Planning Sheet'!DM153='Weeks Plan'!$G$6),'Planning Sheet'!$B153,"")</f>
        <v/>
      </c>
      <c r="Z5582" s="48" t="str">
        <f ca="1">IF(AND('Planning Sheet'!DS153='Weeks Plan'!$D$6,'Planning Sheet'!DM153='Weeks Plan'!$G$6),'Planning Sheet'!$DN153,"")</f>
        <v/>
      </c>
      <c r="AA5582" s="48" t="str">
        <f ca="1">IF(AND('Planning Sheet'!DS153='Weeks Plan'!$D$6,'Planning Sheet'!DM153='Weeks Plan'!$G$6),'Planning Sheet'!$DO153,"")</f>
        <v/>
      </c>
    </row>
    <row r="5583" spans="25:27" x14ac:dyDescent="0.3">
      <c r="Y5583" s="48" t="str">
        <f ca="1">IF(AND('Planning Sheet'!DS154='Weeks Plan'!$D$6,'Planning Sheet'!DM154='Weeks Plan'!$G$6),'Planning Sheet'!$B154,"")</f>
        <v/>
      </c>
      <c r="Z5583" s="48" t="str">
        <f ca="1">IF(AND('Planning Sheet'!DS154='Weeks Plan'!$D$6,'Planning Sheet'!DM154='Weeks Plan'!$G$6),'Planning Sheet'!$DN154,"")</f>
        <v/>
      </c>
      <c r="AA5583" s="48" t="str">
        <f ca="1">IF(AND('Planning Sheet'!DS154='Weeks Plan'!$D$6,'Planning Sheet'!DM154='Weeks Plan'!$G$6),'Planning Sheet'!$DO154,"")</f>
        <v/>
      </c>
    </row>
    <row r="5584" spans="25:27" x14ac:dyDescent="0.3">
      <c r="Y5584" s="48" t="str">
        <f ca="1">IF(AND('Planning Sheet'!DS155='Weeks Plan'!$D$6,'Planning Sheet'!DM155='Weeks Plan'!$G$6),'Planning Sheet'!$B155,"")</f>
        <v/>
      </c>
      <c r="Z5584" s="48" t="str">
        <f ca="1">IF(AND('Planning Sheet'!DS155='Weeks Plan'!$D$6,'Planning Sheet'!DM155='Weeks Plan'!$G$6),'Planning Sheet'!$DN155,"")</f>
        <v/>
      </c>
      <c r="AA5584" s="48" t="str">
        <f ca="1">IF(AND('Planning Sheet'!DS155='Weeks Plan'!$D$6,'Planning Sheet'!DM155='Weeks Plan'!$G$6),'Planning Sheet'!$DO155,"")</f>
        <v/>
      </c>
    </row>
    <row r="5585" spans="25:27" x14ac:dyDescent="0.3">
      <c r="Y5585" s="48" t="str">
        <f ca="1">IF(AND('Planning Sheet'!DS156='Weeks Plan'!$D$6,'Planning Sheet'!DM156='Weeks Plan'!$G$6),'Planning Sheet'!$B156,"")</f>
        <v/>
      </c>
      <c r="Z5585" s="48" t="str">
        <f ca="1">IF(AND('Planning Sheet'!DS156='Weeks Plan'!$D$6,'Planning Sheet'!DM156='Weeks Plan'!$G$6),'Planning Sheet'!$DN156,"")</f>
        <v/>
      </c>
      <c r="AA5585" s="48" t="str">
        <f ca="1">IF(AND('Planning Sheet'!DS156='Weeks Plan'!$D$6,'Planning Sheet'!DM156='Weeks Plan'!$G$6),'Planning Sheet'!$DO156,"")</f>
        <v/>
      </c>
    </row>
    <row r="5586" spans="25:27" x14ac:dyDescent="0.3">
      <c r="Y5586" s="48" t="str">
        <f ca="1">IF(AND('Planning Sheet'!DS157='Weeks Plan'!$D$6,'Planning Sheet'!DM157='Weeks Plan'!$G$6),'Planning Sheet'!$B157,"")</f>
        <v/>
      </c>
      <c r="Z5586" s="48" t="str">
        <f ca="1">IF(AND('Planning Sheet'!DS157='Weeks Plan'!$D$6,'Planning Sheet'!DM157='Weeks Plan'!$G$6),'Planning Sheet'!$DN157,"")</f>
        <v/>
      </c>
      <c r="AA5586" s="48" t="str">
        <f ca="1">IF(AND('Planning Sheet'!DS157='Weeks Plan'!$D$6,'Planning Sheet'!DM157='Weeks Plan'!$G$6),'Planning Sheet'!$DO157,"")</f>
        <v/>
      </c>
    </row>
    <row r="5587" spans="25:27" x14ac:dyDescent="0.3">
      <c r="Y5587" s="48" t="str">
        <f ca="1">IF(AND('Planning Sheet'!DS158='Weeks Plan'!$D$6,'Planning Sheet'!DM158='Weeks Plan'!$G$6),'Planning Sheet'!$B158,"")</f>
        <v/>
      </c>
      <c r="Z5587" s="48" t="str">
        <f ca="1">IF(AND('Planning Sheet'!DS158='Weeks Plan'!$D$6,'Planning Sheet'!DM158='Weeks Plan'!$G$6),'Planning Sheet'!$DN158,"")</f>
        <v/>
      </c>
      <c r="AA5587" s="48" t="str">
        <f ca="1">IF(AND('Planning Sheet'!DS158='Weeks Plan'!$D$6,'Planning Sheet'!DM158='Weeks Plan'!$G$6),'Planning Sheet'!$DO158,"")</f>
        <v/>
      </c>
    </row>
    <row r="5588" spans="25:27" x14ac:dyDescent="0.3">
      <c r="Y5588" s="48" t="str">
        <f ca="1">IF(AND('Planning Sheet'!DS159='Weeks Plan'!$D$6,'Planning Sheet'!DM159='Weeks Plan'!$G$6),'Planning Sheet'!$B159,"")</f>
        <v/>
      </c>
      <c r="Z5588" s="48" t="str">
        <f ca="1">IF(AND('Planning Sheet'!DS159='Weeks Plan'!$D$6,'Planning Sheet'!DM159='Weeks Plan'!$G$6),'Planning Sheet'!$DN159,"")</f>
        <v/>
      </c>
      <c r="AA5588" s="48" t="str">
        <f ca="1">IF(AND('Planning Sheet'!DS159='Weeks Plan'!$D$6,'Planning Sheet'!DM159='Weeks Plan'!$G$6),'Planning Sheet'!$DO159,"")</f>
        <v/>
      </c>
    </row>
    <row r="5589" spans="25:27" x14ac:dyDescent="0.3">
      <c r="Y5589" s="48" t="str">
        <f ca="1">IF(AND('Planning Sheet'!DS160='Weeks Plan'!$D$6,'Planning Sheet'!DM160='Weeks Plan'!$G$6),'Planning Sheet'!$B160,"")</f>
        <v/>
      </c>
      <c r="Z5589" s="48" t="str">
        <f ca="1">IF(AND('Planning Sheet'!DS160='Weeks Plan'!$D$6,'Planning Sheet'!DM160='Weeks Plan'!$G$6),'Planning Sheet'!$DN160,"")</f>
        <v/>
      </c>
      <c r="AA5589" s="48" t="str">
        <f ca="1">IF(AND('Planning Sheet'!DS160='Weeks Plan'!$D$6,'Planning Sheet'!DM160='Weeks Plan'!$G$6),'Planning Sheet'!$DO160,"")</f>
        <v/>
      </c>
    </row>
    <row r="5590" spans="25:27" x14ac:dyDescent="0.3">
      <c r="Y5590" s="48" t="str">
        <f ca="1">IF(AND('Planning Sheet'!DS161='Weeks Plan'!$D$6,'Planning Sheet'!DM161='Weeks Plan'!$G$6),'Planning Sheet'!$B161,"")</f>
        <v/>
      </c>
      <c r="Z5590" s="48" t="str">
        <f ca="1">IF(AND('Planning Sheet'!DS161='Weeks Plan'!$D$6,'Planning Sheet'!DM161='Weeks Plan'!$G$6),'Planning Sheet'!$DN161,"")</f>
        <v/>
      </c>
      <c r="AA5590" s="48" t="str">
        <f ca="1">IF(AND('Planning Sheet'!DS161='Weeks Plan'!$D$6,'Planning Sheet'!DM161='Weeks Plan'!$G$6),'Planning Sheet'!$DO161,"")</f>
        <v/>
      </c>
    </row>
    <row r="5591" spans="25:27" x14ac:dyDescent="0.3">
      <c r="Y5591" s="48" t="str">
        <f ca="1">IF(AND('Planning Sheet'!DS162='Weeks Plan'!$D$6,'Planning Sheet'!DM162='Weeks Plan'!$G$6),'Planning Sheet'!$B162,"")</f>
        <v/>
      </c>
      <c r="Z5591" s="48" t="str">
        <f ca="1">IF(AND('Planning Sheet'!DS162='Weeks Plan'!$D$6,'Planning Sheet'!DM162='Weeks Plan'!$G$6),'Planning Sheet'!$DN162,"")</f>
        <v/>
      </c>
      <c r="AA5591" s="48" t="str">
        <f ca="1">IF(AND('Planning Sheet'!DS162='Weeks Plan'!$D$6,'Planning Sheet'!DM162='Weeks Plan'!$G$6),'Planning Sheet'!$DO162,"")</f>
        <v/>
      </c>
    </row>
    <row r="5592" spans="25:27" x14ac:dyDescent="0.3">
      <c r="Y5592" s="48" t="str">
        <f ca="1">IF(AND('Planning Sheet'!DS163='Weeks Plan'!$D$6,'Planning Sheet'!DM163='Weeks Plan'!$G$6),'Planning Sheet'!$B163,"")</f>
        <v/>
      </c>
      <c r="Z5592" s="48" t="str">
        <f ca="1">IF(AND('Planning Sheet'!DS163='Weeks Plan'!$D$6,'Planning Sheet'!DM163='Weeks Plan'!$G$6),'Planning Sheet'!$DN163,"")</f>
        <v/>
      </c>
      <c r="AA5592" s="48" t="str">
        <f ca="1">IF(AND('Planning Sheet'!DS163='Weeks Plan'!$D$6,'Planning Sheet'!DM163='Weeks Plan'!$G$6),'Planning Sheet'!$DO163,"")</f>
        <v/>
      </c>
    </row>
    <row r="5593" spans="25:27" x14ac:dyDescent="0.3">
      <c r="Y5593" s="48" t="str">
        <f ca="1">IF(AND('Planning Sheet'!DS164='Weeks Plan'!$D$6,'Planning Sheet'!DM164='Weeks Plan'!$G$6),'Planning Sheet'!$B164,"")</f>
        <v/>
      </c>
      <c r="Z5593" s="48" t="str">
        <f ca="1">IF(AND('Planning Sheet'!DS164='Weeks Plan'!$D$6,'Planning Sheet'!DM164='Weeks Plan'!$G$6),'Planning Sheet'!$DN164,"")</f>
        <v/>
      </c>
      <c r="AA5593" s="48" t="str">
        <f ca="1">IF(AND('Planning Sheet'!DS164='Weeks Plan'!$D$6,'Planning Sheet'!DM164='Weeks Plan'!$G$6),'Planning Sheet'!$DO164,"")</f>
        <v/>
      </c>
    </row>
    <row r="5594" spans="25:27" x14ac:dyDescent="0.3">
      <c r="Y5594" s="48" t="str">
        <f ca="1">IF(AND('Planning Sheet'!DS165='Weeks Plan'!$D$6,'Planning Sheet'!DM165='Weeks Plan'!$G$6),'Planning Sheet'!$B165,"")</f>
        <v/>
      </c>
      <c r="Z5594" s="48" t="str">
        <f ca="1">IF(AND('Planning Sheet'!DS165='Weeks Plan'!$D$6,'Planning Sheet'!DM165='Weeks Plan'!$G$6),'Planning Sheet'!$DN165,"")</f>
        <v/>
      </c>
      <c r="AA5594" s="48" t="str">
        <f ca="1">IF(AND('Planning Sheet'!DS165='Weeks Plan'!$D$6,'Planning Sheet'!DM165='Weeks Plan'!$G$6),'Planning Sheet'!$DO165,"")</f>
        <v/>
      </c>
    </row>
    <row r="5595" spans="25:27" x14ac:dyDescent="0.3">
      <c r="Y5595" s="48" t="str">
        <f ca="1">IF(AND('Planning Sheet'!DS166='Weeks Plan'!$D$6,'Planning Sheet'!DM166='Weeks Plan'!$G$6),'Planning Sheet'!$B166,"")</f>
        <v/>
      </c>
      <c r="Z5595" s="48" t="str">
        <f ca="1">IF(AND('Planning Sheet'!DS166='Weeks Plan'!$D$6,'Planning Sheet'!DM166='Weeks Plan'!$G$6),'Planning Sheet'!$DN166,"")</f>
        <v/>
      </c>
      <c r="AA5595" s="48" t="str">
        <f ca="1">IF(AND('Planning Sheet'!DS166='Weeks Plan'!$D$6,'Planning Sheet'!DM166='Weeks Plan'!$G$6),'Planning Sheet'!$DO166,"")</f>
        <v/>
      </c>
    </row>
    <row r="5596" spans="25:27" x14ac:dyDescent="0.3">
      <c r="Y5596" s="48" t="str">
        <f ca="1">IF(AND('Planning Sheet'!DS167='Weeks Plan'!$D$6,'Planning Sheet'!DM167='Weeks Plan'!$G$6),'Planning Sheet'!$B167,"")</f>
        <v/>
      </c>
      <c r="Z5596" s="48" t="str">
        <f ca="1">IF(AND('Planning Sheet'!DS167='Weeks Plan'!$D$6,'Planning Sheet'!DM167='Weeks Plan'!$G$6),'Planning Sheet'!$DN167,"")</f>
        <v/>
      </c>
      <c r="AA5596" s="48" t="str">
        <f ca="1">IF(AND('Planning Sheet'!DS167='Weeks Plan'!$D$6,'Planning Sheet'!DM167='Weeks Plan'!$G$6),'Planning Sheet'!$DO167,"")</f>
        <v/>
      </c>
    </row>
    <row r="5597" spans="25:27" x14ac:dyDescent="0.3">
      <c r="Y5597" s="48" t="str">
        <f ca="1">IF(AND('Planning Sheet'!DS168='Weeks Plan'!$D$6,'Planning Sheet'!DM168='Weeks Plan'!$G$6),'Planning Sheet'!$B168,"")</f>
        <v/>
      </c>
      <c r="Z5597" s="48" t="str">
        <f ca="1">IF(AND('Planning Sheet'!DS168='Weeks Plan'!$D$6,'Planning Sheet'!DM168='Weeks Plan'!$G$6),'Planning Sheet'!$DN168,"")</f>
        <v/>
      </c>
      <c r="AA5597" s="48" t="str">
        <f ca="1">IF(AND('Planning Sheet'!DS168='Weeks Plan'!$D$6,'Planning Sheet'!DM168='Weeks Plan'!$G$6),'Planning Sheet'!$DO168,"")</f>
        <v/>
      </c>
    </row>
    <row r="5598" spans="25:27" x14ac:dyDescent="0.3">
      <c r="Y5598" s="48" t="str">
        <f ca="1">IF(AND('Planning Sheet'!DS169='Weeks Plan'!$D$6,'Planning Sheet'!DM169='Weeks Plan'!$G$6),'Planning Sheet'!$B169,"")</f>
        <v/>
      </c>
      <c r="Z5598" s="48" t="str">
        <f ca="1">IF(AND('Planning Sheet'!DS169='Weeks Plan'!$D$6,'Planning Sheet'!DM169='Weeks Plan'!$G$6),'Planning Sheet'!$DN169,"")</f>
        <v/>
      </c>
      <c r="AA5598" s="48" t="str">
        <f ca="1">IF(AND('Planning Sheet'!DS169='Weeks Plan'!$D$6,'Planning Sheet'!DM169='Weeks Plan'!$G$6),'Planning Sheet'!$DO169,"")</f>
        <v/>
      </c>
    </row>
    <row r="5599" spans="25:27" x14ac:dyDescent="0.3">
      <c r="Y5599" s="48" t="str">
        <f ca="1">IF(AND('Planning Sheet'!DS170='Weeks Plan'!$D$6,'Planning Sheet'!DM170='Weeks Plan'!$G$6),'Planning Sheet'!$B170,"")</f>
        <v/>
      </c>
      <c r="Z5599" s="48" t="str">
        <f ca="1">IF(AND('Planning Sheet'!DS170='Weeks Plan'!$D$6,'Planning Sheet'!DM170='Weeks Plan'!$G$6),'Planning Sheet'!$DN170,"")</f>
        <v/>
      </c>
      <c r="AA5599" s="48" t="str">
        <f ca="1">IF(AND('Planning Sheet'!DS170='Weeks Plan'!$D$6,'Planning Sheet'!DM170='Weeks Plan'!$G$6),'Planning Sheet'!$DO170,"")</f>
        <v/>
      </c>
    </row>
    <row r="5600" spans="25:27" x14ac:dyDescent="0.3">
      <c r="Y5600" s="48" t="str">
        <f ca="1">IF(AND('Planning Sheet'!DS171='Weeks Plan'!$D$6,'Planning Sheet'!DM171='Weeks Plan'!$G$6),'Planning Sheet'!$B171,"")</f>
        <v/>
      </c>
      <c r="Z5600" s="48" t="str">
        <f ca="1">IF(AND('Planning Sheet'!DS171='Weeks Plan'!$D$6,'Planning Sheet'!DM171='Weeks Plan'!$G$6),'Planning Sheet'!$DN171,"")</f>
        <v/>
      </c>
      <c r="AA5600" s="48" t="str">
        <f ca="1">IF(AND('Planning Sheet'!DS171='Weeks Plan'!$D$6,'Planning Sheet'!DM171='Weeks Plan'!$G$6),'Planning Sheet'!$DO171,"")</f>
        <v/>
      </c>
    </row>
    <row r="5601" spans="25:27" x14ac:dyDescent="0.3">
      <c r="Y5601" s="48" t="str">
        <f ca="1">IF(AND('Planning Sheet'!DS172='Weeks Plan'!$D$6,'Planning Sheet'!DM172='Weeks Plan'!$G$6),'Planning Sheet'!$B172,"")</f>
        <v/>
      </c>
      <c r="Z5601" s="48" t="str">
        <f ca="1">IF(AND('Planning Sheet'!DS172='Weeks Plan'!$D$6,'Planning Sheet'!DM172='Weeks Plan'!$G$6),'Planning Sheet'!$DN172,"")</f>
        <v/>
      </c>
      <c r="AA5601" s="48" t="str">
        <f ca="1">IF(AND('Planning Sheet'!DS172='Weeks Plan'!$D$6,'Planning Sheet'!DM172='Weeks Plan'!$G$6),'Planning Sheet'!$DO172,"")</f>
        <v/>
      </c>
    </row>
    <row r="5602" spans="25:27" x14ac:dyDescent="0.3">
      <c r="Y5602" s="48" t="str">
        <f ca="1">IF(AND('Planning Sheet'!DS173='Weeks Plan'!$D$6,'Planning Sheet'!DM173='Weeks Plan'!$G$6),'Planning Sheet'!$B173,"")</f>
        <v/>
      </c>
      <c r="Z5602" s="48" t="str">
        <f ca="1">IF(AND('Planning Sheet'!DS173='Weeks Plan'!$D$6,'Planning Sheet'!DM173='Weeks Plan'!$G$6),'Planning Sheet'!$DN173,"")</f>
        <v/>
      </c>
      <c r="AA5602" s="48" t="str">
        <f ca="1">IF(AND('Planning Sheet'!DS173='Weeks Plan'!$D$6,'Planning Sheet'!DM173='Weeks Plan'!$G$6),'Planning Sheet'!$DO173,"")</f>
        <v/>
      </c>
    </row>
    <row r="5603" spans="25:27" x14ac:dyDescent="0.3">
      <c r="Y5603" s="48" t="str">
        <f ca="1">IF(AND('Planning Sheet'!DS174='Weeks Plan'!$D$6,'Planning Sheet'!DM174='Weeks Plan'!$G$6),'Planning Sheet'!$B174,"")</f>
        <v/>
      </c>
      <c r="Z5603" s="48" t="str">
        <f ca="1">IF(AND('Planning Sheet'!DS174='Weeks Plan'!$D$6,'Planning Sheet'!DM174='Weeks Plan'!$G$6),'Planning Sheet'!$DN174,"")</f>
        <v/>
      </c>
      <c r="AA5603" s="48" t="str">
        <f ca="1">IF(AND('Planning Sheet'!DS174='Weeks Plan'!$D$6,'Planning Sheet'!DM174='Weeks Plan'!$G$6),'Planning Sheet'!$DO174,"")</f>
        <v/>
      </c>
    </row>
    <row r="5604" spans="25:27" x14ac:dyDescent="0.3">
      <c r="Y5604" s="48" t="str">
        <f ca="1">IF(AND('Planning Sheet'!DS175='Weeks Plan'!$D$6,'Planning Sheet'!DM175='Weeks Plan'!$G$6),'Planning Sheet'!$B175,"")</f>
        <v/>
      </c>
      <c r="Z5604" s="48" t="str">
        <f ca="1">IF(AND('Planning Sheet'!DS175='Weeks Plan'!$D$6,'Planning Sheet'!DM175='Weeks Plan'!$G$6),'Planning Sheet'!$DN175,"")</f>
        <v/>
      </c>
      <c r="AA5604" s="48" t="str">
        <f ca="1">IF(AND('Planning Sheet'!DS175='Weeks Plan'!$D$6,'Planning Sheet'!DM175='Weeks Plan'!$G$6),'Planning Sheet'!$DO175,"")</f>
        <v/>
      </c>
    </row>
    <row r="5605" spans="25:27" x14ac:dyDescent="0.3">
      <c r="Y5605" s="48" t="str">
        <f ca="1">IF(AND('Planning Sheet'!DS176='Weeks Plan'!$D$6,'Planning Sheet'!DM176='Weeks Plan'!$G$6),'Planning Sheet'!$B176,"")</f>
        <v/>
      </c>
      <c r="Z5605" s="48" t="str">
        <f ca="1">IF(AND('Planning Sheet'!DS176='Weeks Plan'!$D$6,'Planning Sheet'!DM176='Weeks Plan'!$G$6),'Planning Sheet'!$DN176,"")</f>
        <v/>
      </c>
      <c r="AA5605" s="48" t="str">
        <f ca="1">IF(AND('Planning Sheet'!DS176='Weeks Plan'!$D$6,'Planning Sheet'!DM176='Weeks Plan'!$G$6),'Planning Sheet'!$DO176,"")</f>
        <v/>
      </c>
    </row>
    <row r="5606" spans="25:27" x14ac:dyDescent="0.3">
      <c r="Y5606" s="48" t="str">
        <f ca="1">IF(AND('Planning Sheet'!DS177='Weeks Plan'!$D$6,'Planning Sheet'!DM177='Weeks Plan'!$G$6),'Planning Sheet'!$B177,"")</f>
        <v/>
      </c>
      <c r="Z5606" s="48" t="str">
        <f ca="1">IF(AND('Planning Sheet'!DS177='Weeks Plan'!$D$6,'Planning Sheet'!DM177='Weeks Plan'!$G$6),'Planning Sheet'!$DN177,"")</f>
        <v/>
      </c>
      <c r="AA5606" s="48" t="str">
        <f ca="1">IF(AND('Planning Sheet'!DS177='Weeks Plan'!$D$6,'Planning Sheet'!DM177='Weeks Plan'!$G$6),'Planning Sheet'!$DO177,"")</f>
        <v/>
      </c>
    </row>
    <row r="5607" spans="25:27" x14ac:dyDescent="0.3">
      <c r="Y5607" s="48" t="str">
        <f ca="1">IF(AND('Planning Sheet'!DS178='Weeks Plan'!$D$6,'Planning Sheet'!DM178='Weeks Plan'!$G$6),'Planning Sheet'!$B178,"")</f>
        <v/>
      </c>
      <c r="Z5607" s="48" t="str">
        <f ca="1">IF(AND('Planning Sheet'!DS178='Weeks Plan'!$D$6,'Planning Sheet'!DM178='Weeks Plan'!$G$6),'Planning Sheet'!$DN178,"")</f>
        <v/>
      </c>
      <c r="AA5607" s="48" t="str">
        <f ca="1">IF(AND('Planning Sheet'!DS178='Weeks Plan'!$D$6,'Planning Sheet'!DM178='Weeks Plan'!$G$6),'Planning Sheet'!$DO178,"")</f>
        <v/>
      </c>
    </row>
    <row r="5608" spans="25:27" x14ac:dyDescent="0.3">
      <c r="Y5608" s="48" t="str">
        <f ca="1">IF(AND('Planning Sheet'!DS179='Weeks Plan'!$D$6,'Planning Sheet'!DM179='Weeks Plan'!$G$6),'Planning Sheet'!$B179,"")</f>
        <v/>
      </c>
      <c r="Z5608" s="48" t="str">
        <f ca="1">IF(AND('Planning Sheet'!DS179='Weeks Plan'!$D$6,'Planning Sheet'!DM179='Weeks Plan'!$G$6),'Planning Sheet'!$DN179,"")</f>
        <v/>
      </c>
      <c r="AA5608" s="48" t="str">
        <f ca="1">IF(AND('Planning Sheet'!DS179='Weeks Plan'!$D$6,'Planning Sheet'!DM179='Weeks Plan'!$G$6),'Planning Sheet'!$DO179,"")</f>
        <v/>
      </c>
    </row>
    <row r="5609" spans="25:27" x14ac:dyDescent="0.3">
      <c r="Y5609" s="48" t="str">
        <f ca="1">IF(AND('Planning Sheet'!DS180='Weeks Plan'!$D$6,'Planning Sheet'!DM180='Weeks Plan'!$G$6),'Planning Sheet'!$B180,"")</f>
        <v/>
      </c>
      <c r="Z5609" s="48" t="str">
        <f ca="1">IF(AND('Planning Sheet'!DS180='Weeks Plan'!$D$6,'Planning Sheet'!DM180='Weeks Plan'!$G$6),'Planning Sheet'!$DN180,"")</f>
        <v/>
      </c>
      <c r="AA5609" s="48" t="str">
        <f ca="1">IF(AND('Planning Sheet'!DS180='Weeks Plan'!$D$6,'Planning Sheet'!DM180='Weeks Plan'!$G$6),'Planning Sheet'!$DO180,"")</f>
        <v/>
      </c>
    </row>
    <row r="5610" spans="25:27" x14ac:dyDescent="0.3">
      <c r="Y5610" s="48" t="str">
        <f ca="1">IF(AND('Planning Sheet'!DS181='Weeks Plan'!$D$6,'Planning Sheet'!DM181='Weeks Plan'!$G$6),'Planning Sheet'!$B181,"")</f>
        <v/>
      </c>
      <c r="Z5610" s="48" t="str">
        <f ca="1">IF(AND('Planning Sheet'!DS181='Weeks Plan'!$D$6,'Planning Sheet'!DM181='Weeks Plan'!$G$6),'Planning Sheet'!$DN181,"")</f>
        <v/>
      </c>
      <c r="AA5610" s="48" t="str">
        <f ca="1">IF(AND('Planning Sheet'!DS181='Weeks Plan'!$D$6,'Planning Sheet'!DM181='Weeks Plan'!$G$6),'Planning Sheet'!$DO181,"")</f>
        <v/>
      </c>
    </row>
    <row r="5611" spans="25:27" x14ac:dyDescent="0.3">
      <c r="Y5611" s="48" t="str">
        <f ca="1">IF(AND('Planning Sheet'!DS182='Weeks Plan'!$D$6,'Planning Sheet'!DM182='Weeks Plan'!$G$6),'Planning Sheet'!$B182,"")</f>
        <v/>
      </c>
      <c r="Z5611" s="48" t="str">
        <f ca="1">IF(AND('Planning Sheet'!DS182='Weeks Plan'!$D$6,'Planning Sheet'!DM182='Weeks Plan'!$G$6),'Planning Sheet'!$DN182,"")</f>
        <v/>
      </c>
      <c r="AA5611" s="48" t="str">
        <f ca="1">IF(AND('Planning Sheet'!DS182='Weeks Plan'!$D$6,'Planning Sheet'!DM182='Weeks Plan'!$G$6),'Planning Sheet'!$DO182,"")</f>
        <v/>
      </c>
    </row>
    <row r="5612" spans="25:27" x14ac:dyDescent="0.3">
      <c r="Y5612" s="48" t="str">
        <f ca="1">IF(AND('Planning Sheet'!DS183='Weeks Plan'!$D$6,'Planning Sheet'!DM183='Weeks Plan'!$G$6),'Planning Sheet'!$B183,"")</f>
        <v/>
      </c>
      <c r="Z5612" s="48" t="str">
        <f ca="1">IF(AND('Planning Sheet'!DS183='Weeks Plan'!$D$6,'Planning Sheet'!DM183='Weeks Plan'!$G$6),'Planning Sheet'!$DN183,"")</f>
        <v/>
      </c>
      <c r="AA5612" s="48" t="str">
        <f ca="1">IF(AND('Planning Sheet'!DS183='Weeks Plan'!$D$6,'Planning Sheet'!DM183='Weeks Plan'!$G$6),'Planning Sheet'!$DO183,"")</f>
        <v/>
      </c>
    </row>
    <row r="5613" spans="25:27" x14ac:dyDescent="0.3">
      <c r="Y5613" s="48" t="str">
        <f ca="1">IF(AND('Planning Sheet'!DS184='Weeks Plan'!$D$6,'Planning Sheet'!DM184='Weeks Plan'!$G$6),'Planning Sheet'!$B184,"")</f>
        <v/>
      </c>
      <c r="Z5613" s="48" t="str">
        <f ca="1">IF(AND('Planning Sheet'!DS184='Weeks Plan'!$D$6,'Planning Sheet'!DM184='Weeks Plan'!$G$6),'Planning Sheet'!$DN184,"")</f>
        <v/>
      </c>
      <c r="AA5613" s="48" t="str">
        <f ca="1">IF(AND('Planning Sheet'!DS184='Weeks Plan'!$D$6,'Planning Sheet'!DM184='Weeks Plan'!$G$6),'Planning Sheet'!$DO184,"")</f>
        <v/>
      </c>
    </row>
    <row r="5614" spans="25:27" x14ac:dyDescent="0.3">
      <c r="Y5614" s="48" t="str">
        <f ca="1">IF(AND('Planning Sheet'!DS185='Weeks Plan'!$D$6,'Planning Sheet'!DM185='Weeks Plan'!$G$6),'Planning Sheet'!$B185,"")</f>
        <v/>
      </c>
      <c r="Z5614" s="48" t="str">
        <f ca="1">IF(AND('Planning Sheet'!DS185='Weeks Plan'!$D$6,'Planning Sheet'!DM185='Weeks Plan'!$G$6),'Planning Sheet'!$DN185,"")</f>
        <v/>
      </c>
      <c r="AA5614" s="48" t="str">
        <f ca="1">IF(AND('Planning Sheet'!DS185='Weeks Plan'!$D$6,'Planning Sheet'!DM185='Weeks Plan'!$G$6),'Planning Sheet'!$DO185,"")</f>
        <v/>
      </c>
    </row>
    <row r="5615" spans="25:27" x14ac:dyDescent="0.3">
      <c r="Y5615" s="48" t="str">
        <f ca="1">IF(AND('Planning Sheet'!DS186='Weeks Plan'!$D$6,'Planning Sheet'!DM186='Weeks Plan'!$G$6),'Planning Sheet'!$B186,"")</f>
        <v/>
      </c>
      <c r="Z5615" s="48" t="str">
        <f ca="1">IF(AND('Planning Sheet'!DS186='Weeks Plan'!$D$6,'Planning Sheet'!DM186='Weeks Plan'!$G$6),'Planning Sheet'!$DN186,"")</f>
        <v/>
      </c>
      <c r="AA5615" s="48" t="str">
        <f ca="1">IF(AND('Planning Sheet'!DS186='Weeks Plan'!$D$6,'Planning Sheet'!DM186='Weeks Plan'!$G$6),'Planning Sheet'!$DO186,"")</f>
        <v/>
      </c>
    </row>
    <row r="5616" spans="25:27" x14ac:dyDescent="0.3">
      <c r="Y5616" s="48" t="str">
        <f ca="1">IF(AND('Planning Sheet'!DS187='Weeks Plan'!$D$6,'Planning Sheet'!DM187='Weeks Plan'!$G$6),'Planning Sheet'!$B187,"")</f>
        <v/>
      </c>
      <c r="Z5616" s="48" t="str">
        <f ca="1">IF(AND('Planning Sheet'!DS187='Weeks Plan'!$D$6,'Planning Sheet'!DM187='Weeks Plan'!$G$6),'Planning Sheet'!$DN187,"")</f>
        <v/>
      </c>
      <c r="AA5616" s="48" t="str">
        <f ca="1">IF(AND('Planning Sheet'!DS187='Weeks Plan'!$D$6,'Planning Sheet'!DM187='Weeks Plan'!$G$6),'Planning Sheet'!$DO187,"")</f>
        <v/>
      </c>
    </row>
    <row r="5617" spans="25:27" x14ac:dyDescent="0.3">
      <c r="Y5617" s="48" t="str">
        <f ca="1">IF(AND('Planning Sheet'!DS188='Weeks Plan'!$D$6,'Planning Sheet'!DM188='Weeks Plan'!$G$6),'Planning Sheet'!$B188,"")</f>
        <v/>
      </c>
      <c r="Z5617" s="48" t="str">
        <f ca="1">IF(AND('Planning Sheet'!DS188='Weeks Plan'!$D$6,'Planning Sheet'!DM188='Weeks Plan'!$G$6),'Planning Sheet'!$DN188,"")</f>
        <v/>
      </c>
      <c r="AA5617" s="48" t="str">
        <f ca="1">IF(AND('Planning Sheet'!DS188='Weeks Plan'!$D$6,'Planning Sheet'!DM188='Weeks Plan'!$G$6),'Planning Sheet'!$DO188,"")</f>
        <v/>
      </c>
    </row>
    <row r="5618" spans="25:27" x14ac:dyDescent="0.3">
      <c r="Y5618" s="48" t="str">
        <f ca="1">IF(AND('Planning Sheet'!DS189='Weeks Plan'!$D$6,'Planning Sheet'!DM189='Weeks Plan'!$G$6),'Planning Sheet'!$B189,"")</f>
        <v/>
      </c>
      <c r="Z5618" s="48" t="str">
        <f ca="1">IF(AND('Planning Sheet'!DS189='Weeks Plan'!$D$6,'Planning Sheet'!DM189='Weeks Plan'!$G$6),'Planning Sheet'!$DN189,"")</f>
        <v/>
      </c>
      <c r="AA5618" s="48" t="str">
        <f ca="1">IF(AND('Planning Sheet'!DS189='Weeks Plan'!$D$6,'Planning Sheet'!DM189='Weeks Plan'!$G$6),'Planning Sheet'!$DO189,"")</f>
        <v/>
      </c>
    </row>
    <row r="5619" spans="25:27" x14ac:dyDescent="0.3">
      <c r="Y5619" s="48" t="str">
        <f ca="1">IF(AND('Planning Sheet'!DS190='Weeks Plan'!$D$6,'Planning Sheet'!DM190='Weeks Plan'!$G$6),'Planning Sheet'!$B190,"")</f>
        <v/>
      </c>
      <c r="Z5619" s="48" t="str">
        <f ca="1">IF(AND('Planning Sheet'!DS190='Weeks Plan'!$D$6,'Planning Sheet'!DM190='Weeks Plan'!$G$6),'Planning Sheet'!$DN190,"")</f>
        <v/>
      </c>
      <c r="AA5619" s="48" t="str">
        <f ca="1">IF(AND('Planning Sheet'!DS190='Weeks Plan'!$D$6,'Planning Sheet'!DM190='Weeks Plan'!$G$6),'Planning Sheet'!$DO190,"")</f>
        <v/>
      </c>
    </row>
    <row r="5620" spans="25:27" x14ac:dyDescent="0.3">
      <c r="Y5620" s="48" t="str">
        <f ca="1">IF(AND('Planning Sheet'!DS191='Weeks Plan'!$D$6,'Planning Sheet'!DM191='Weeks Plan'!$G$6),'Planning Sheet'!$B191,"")</f>
        <v/>
      </c>
      <c r="Z5620" s="48" t="str">
        <f ca="1">IF(AND('Planning Sheet'!DS191='Weeks Plan'!$D$6,'Planning Sheet'!DM191='Weeks Plan'!$G$6),'Planning Sheet'!$DN191,"")</f>
        <v/>
      </c>
      <c r="AA5620" s="48" t="str">
        <f ca="1">IF(AND('Planning Sheet'!DS191='Weeks Plan'!$D$6,'Planning Sheet'!DM191='Weeks Plan'!$G$6),'Planning Sheet'!$DO191,"")</f>
        <v/>
      </c>
    </row>
    <row r="5621" spans="25:27" x14ac:dyDescent="0.3">
      <c r="Y5621" s="48" t="str">
        <f ca="1">IF(AND('Planning Sheet'!DS192='Weeks Plan'!$D$6,'Planning Sheet'!DM192='Weeks Plan'!$G$6),'Planning Sheet'!$B192,"")</f>
        <v/>
      </c>
      <c r="Z5621" s="48" t="str">
        <f ca="1">IF(AND('Planning Sheet'!DS192='Weeks Plan'!$D$6,'Planning Sheet'!DM192='Weeks Plan'!$G$6),'Planning Sheet'!$DN192,"")</f>
        <v/>
      </c>
      <c r="AA5621" s="48" t="str">
        <f ca="1">IF(AND('Planning Sheet'!DS192='Weeks Plan'!$D$6,'Planning Sheet'!DM192='Weeks Plan'!$G$6),'Planning Sheet'!$DO192,"")</f>
        <v/>
      </c>
    </row>
    <row r="5622" spans="25:27" x14ac:dyDescent="0.3">
      <c r="Y5622" s="48" t="str">
        <f ca="1">IF(AND('Planning Sheet'!DS193='Weeks Plan'!$D$6,'Planning Sheet'!DM193='Weeks Plan'!$G$6),'Planning Sheet'!$B193,"")</f>
        <v/>
      </c>
      <c r="Z5622" s="48" t="str">
        <f ca="1">IF(AND('Planning Sheet'!DS193='Weeks Plan'!$D$6,'Planning Sheet'!DM193='Weeks Plan'!$G$6),'Planning Sheet'!$DN193,"")</f>
        <v/>
      </c>
      <c r="AA5622" s="48" t="str">
        <f ca="1">IF(AND('Planning Sheet'!DS193='Weeks Plan'!$D$6,'Planning Sheet'!DM193='Weeks Plan'!$G$6),'Planning Sheet'!$DO193,"")</f>
        <v/>
      </c>
    </row>
    <row r="5623" spans="25:27" x14ac:dyDescent="0.3">
      <c r="Y5623" s="48" t="str">
        <f ca="1">IF(AND('Planning Sheet'!DS194='Weeks Plan'!$D$6,'Planning Sheet'!DM194='Weeks Plan'!$G$6),'Planning Sheet'!$B194,"")</f>
        <v/>
      </c>
      <c r="Z5623" s="48" t="str">
        <f ca="1">IF(AND('Planning Sheet'!DS194='Weeks Plan'!$D$6,'Planning Sheet'!DM194='Weeks Plan'!$G$6),'Planning Sheet'!$DN194,"")</f>
        <v/>
      </c>
      <c r="AA5623" s="48" t="str">
        <f ca="1">IF(AND('Planning Sheet'!DS194='Weeks Plan'!$D$6,'Planning Sheet'!DM194='Weeks Plan'!$G$6),'Planning Sheet'!$DO194,"")</f>
        <v/>
      </c>
    </row>
    <row r="5624" spans="25:27" x14ac:dyDescent="0.3">
      <c r="Y5624" s="48" t="str">
        <f ca="1">IF(AND('Planning Sheet'!DS195='Weeks Plan'!$D$6,'Planning Sheet'!DM195='Weeks Plan'!$G$6),'Planning Sheet'!$B195,"")</f>
        <v/>
      </c>
      <c r="Z5624" s="48" t="str">
        <f ca="1">IF(AND('Planning Sheet'!DS195='Weeks Plan'!$D$6,'Planning Sheet'!DM195='Weeks Plan'!$G$6),'Planning Sheet'!$DN195,"")</f>
        <v/>
      </c>
      <c r="AA5624" s="48" t="str">
        <f ca="1">IF(AND('Planning Sheet'!DS195='Weeks Plan'!$D$6,'Planning Sheet'!DM195='Weeks Plan'!$G$6),'Planning Sheet'!$DO195,"")</f>
        <v/>
      </c>
    </row>
    <row r="5625" spans="25:27" x14ac:dyDescent="0.3">
      <c r="Y5625" s="48" t="str">
        <f ca="1">IF(AND('Planning Sheet'!DS196='Weeks Plan'!$D$6,'Planning Sheet'!DM196='Weeks Plan'!$G$6),'Planning Sheet'!$B196,"")</f>
        <v/>
      </c>
      <c r="Z5625" s="48" t="str">
        <f ca="1">IF(AND('Planning Sheet'!DS196='Weeks Plan'!$D$6,'Planning Sheet'!DM196='Weeks Plan'!$G$6),'Planning Sheet'!$DN196,"")</f>
        <v/>
      </c>
      <c r="AA5625" s="48" t="str">
        <f ca="1">IF(AND('Planning Sheet'!DS196='Weeks Plan'!$D$6,'Planning Sheet'!DM196='Weeks Plan'!$G$6),'Planning Sheet'!$DO196,"")</f>
        <v/>
      </c>
    </row>
    <row r="5626" spans="25:27" x14ac:dyDescent="0.3">
      <c r="Y5626" s="48" t="str">
        <f ca="1">IF(AND('Planning Sheet'!DS197='Weeks Plan'!$D$6,'Planning Sheet'!DM197='Weeks Plan'!$G$6),'Planning Sheet'!$B197,"")</f>
        <v/>
      </c>
      <c r="Z5626" s="48" t="str">
        <f ca="1">IF(AND('Planning Sheet'!DS197='Weeks Plan'!$D$6,'Planning Sheet'!DM197='Weeks Plan'!$G$6),'Planning Sheet'!$DN197,"")</f>
        <v/>
      </c>
      <c r="AA5626" s="48" t="str">
        <f ca="1">IF(AND('Planning Sheet'!DS197='Weeks Plan'!$D$6,'Planning Sheet'!DM197='Weeks Plan'!$G$6),'Planning Sheet'!$DO197,"")</f>
        <v/>
      </c>
    </row>
    <row r="5627" spans="25:27" x14ac:dyDescent="0.3">
      <c r="Y5627" s="48" t="str">
        <f ca="1">IF(AND('Planning Sheet'!DS198='Weeks Plan'!$D$6,'Planning Sheet'!DM198='Weeks Plan'!$G$6),'Planning Sheet'!$B198,"")</f>
        <v/>
      </c>
      <c r="Z5627" s="48" t="str">
        <f ca="1">IF(AND('Planning Sheet'!DS198='Weeks Plan'!$D$6,'Planning Sheet'!DM198='Weeks Plan'!$G$6),'Planning Sheet'!$DN198,"")</f>
        <v/>
      </c>
      <c r="AA5627" s="48" t="str">
        <f ca="1">IF(AND('Planning Sheet'!DS198='Weeks Plan'!$D$6,'Planning Sheet'!DM198='Weeks Plan'!$G$6),'Planning Sheet'!$DO198,"")</f>
        <v/>
      </c>
    </row>
    <row r="5628" spans="25:27" x14ac:dyDescent="0.3">
      <c r="Y5628" s="48" t="str">
        <f ca="1">IF(AND('Planning Sheet'!DS199='Weeks Plan'!$D$6,'Planning Sheet'!DM199='Weeks Plan'!$G$6),'Planning Sheet'!$B199,"")</f>
        <v/>
      </c>
      <c r="Z5628" s="48" t="str">
        <f ca="1">IF(AND('Planning Sheet'!DS199='Weeks Plan'!$D$6,'Planning Sheet'!DM199='Weeks Plan'!$G$6),'Planning Sheet'!$DN199,"")</f>
        <v/>
      </c>
      <c r="AA5628" s="48" t="str">
        <f ca="1">IF(AND('Planning Sheet'!DS199='Weeks Plan'!$D$6,'Planning Sheet'!DM199='Weeks Plan'!$G$6),'Planning Sheet'!$DO199,"")</f>
        <v/>
      </c>
    </row>
    <row r="5629" spans="25:27" x14ac:dyDescent="0.3">
      <c r="Y5629" s="48" t="str">
        <f ca="1">IF(AND('Planning Sheet'!DS200='Weeks Plan'!$D$6,'Planning Sheet'!DM200='Weeks Plan'!$G$6),'Planning Sheet'!$B200,"")</f>
        <v/>
      </c>
      <c r="Z5629" s="48" t="str">
        <f ca="1">IF(AND('Planning Sheet'!DS200='Weeks Plan'!$D$6,'Planning Sheet'!DM200='Weeks Plan'!$G$6),'Planning Sheet'!$DN200,"")</f>
        <v/>
      </c>
      <c r="AA5629" s="48" t="str">
        <f ca="1">IF(AND('Planning Sheet'!DS200='Weeks Plan'!$D$6,'Planning Sheet'!DM200='Weeks Plan'!$G$6),'Planning Sheet'!$DO200,"")</f>
        <v/>
      </c>
    </row>
    <row r="5630" spans="25:27" x14ac:dyDescent="0.3">
      <c r="Y5630" s="48" t="str">
        <f ca="1">IF(AND('Planning Sheet'!DS201='Weeks Plan'!$D$6,'Planning Sheet'!DM201='Weeks Plan'!$G$6),'Planning Sheet'!$B201,"")</f>
        <v/>
      </c>
      <c r="Z5630" s="48" t="str">
        <f ca="1">IF(AND('Planning Sheet'!DS201='Weeks Plan'!$D$6,'Planning Sheet'!DM201='Weeks Plan'!$G$6),'Planning Sheet'!$DN201,"")</f>
        <v/>
      </c>
      <c r="AA5630" s="48" t="str">
        <f ca="1">IF(AND('Planning Sheet'!DS201='Weeks Plan'!$D$6,'Planning Sheet'!DM201='Weeks Plan'!$G$6),'Planning Sheet'!$DO201,"")</f>
        <v/>
      </c>
    </row>
    <row r="5631" spans="25:27" x14ac:dyDescent="0.3">
      <c r="Y5631" s="48" t="str">
        <f ca="1">IF(AND('Planning Sheet'!DS202='Weeks Plan'!$D$6,'Planning Sheet'!DM202='Weeks Plan'!$G$6),'Planning Sheet'!$B202,"")</f>
        <v/>
      </c>
      <c r="Z5631" s="48" t="str">
        <f ca="1">IF(AND('Planning Sheet'!DS202='Weeks Plan'!$D$6,'Planning Sheet'!DM202='Weeks Plan'!$G$6),'Planning Sheet'!$DN202,"")</f>
        <v/>
      </c>
      <c r="AA5631" s="48" t="str">
        <f ca="1">IF(AND('Planning Sheet'!DS202='Weeks Plan'!$D$6,'Planning Sheet'!DM202='Weeks Plan'!$G$6),'Planning Sheet'!$DO202,"")</f>
        <v/>
      </c>
    </row>
    <row r="5632" spans="25:27" x14ac:dyDescent="0.3">
      <c r="Y5632" s="48" t="str">
        <f ca="1">IF(AND('Planning Sheet'!DS203='Weeks Plan'!$D$6,'Planning Sheet'!DM203='Weeks Plan'!$G$6),'Planning Sheet'!$B203,"")</f>
        <v/>
      </c>
      <c r="Z5632" s="48" t="str">
        <f ca="1">IF(AND('Planning Sheet'!DS203='Weeks Plan'!$D$6,'Planning Sheet'!DM203='Weeks Plan'!$G$6),'Planning Sheet'!$DN203,"")</f>
        <v/>
      </c>
      <c r="AA5632" s="48" t="str">
        <f ca="1">IF(AND('Planning Sheet'!DS203='Weeks Plan'!$D$6,'Planning Sheet'!DM203='Weeks Plan'!$G$6),'Planning Sheet'!$DO203,"")</f>
        <v/>
      </c>
    </row>
    <row r="5633" spans="25:27" x14ac:dyDescent="0.3">
      <c r="Y5633" s="48" t="str">
        <f ca="1">IF(AND('Planning Sheet'!DS204='Weeks Plan'!$D$6,'Planning Sheet'!DM204='Weeks Plan'!$G$6),'Planning Sheet'!$B204,"")</f>
        <v/>
      </c>
      <c r="Z5633" s="48" t="str">
        <f ca="1">IF(AND('Planning Sheet'!DS204='Weeks Plan'!$D$6,'Planning Sheet'!DM204='Weeks Plan'!$G$6),'Planning Sheet'!$DN204,"")</f>
        <v/>
      </c>
      <c r="AA5633" s="48" t="str">
        <f ca="1">IF(AND('Planning Sheet'!DS204='Weeks Plan'!$D$6,'Planning Sheet'!DM204='Weeks Plan'!$G$6),'Planning Sheet'!$DO204,"")</f>
        <v/>
      </c>
    </row>
    <row r="5634" spans="25:27" x14ac:dyDescent="0.3">
      <c r="Y5634" s="48" t="str">
        <f ca="1">IF(AND('Planning Sheet'!DS205='Weeks Plan'!$D$6,'Planning Sheet'!DM205='Weeks Plan'!$G$6),'Planning Sheet'!$B205,"")</f>
        <v/>
      </c>
      <c r="Z5634" s="48" t="str">
        <f ca="1">IF(AND('Planning Sheet'!DS205='Weeks Plan'!$D$6,'Planning Sheet'!DM205='Weeks Plan'!$G$6),'Planning Sheet'!$DN205,"")</f>
        <v/>
      </c>
      <c r="AA5634" s="48" t="str">
        <f ca="1">IF(AND('Planning Sheet'!DS205='Weeks Plan'!$D$6,'Planning Sheet'!DM205='Weeks Plan'!$G$6),'Planning Sheet'!$DO205,"")</f>
        <v/>
      </c>
    </row>
    <row r="5635" spans="25:27" x14ac:dyDescent="0.3">
      <c r="Y5635" s="48" t="str">
        <f ca="1">IF(AND('Planning Sheet'!DS206='Weeks Plan'!$D$6,'Planning Sheet'!DM206='Weeks Plan'!$G$6),'Planning Sheet'!$B206,"")</f>
        <v/>
      </c>
      <c r="Z5635" s="48" t="str">
        <f ca="1">IF(AND('Planning Sheet'!DS206='Weeks Plan'!$D$6,'Planning Sheet'!DM206='Weeks Plan'!$G$6),'Planning Sheet'!$DN206,"")</f>
        <v/>
      </c>
      <c r="AA5635" s="48" t="str">
        <f ca="1">IF(AND('Planning Sheet'!DS206='Weeks Plan'!$D$6,'Planning Sheet'!DM206='Weeks Plan'!$G$6),'Planning Sheet'!$DO206,"")</f>
        <v/>
      </c>
    </row>
    <row r="5636" spans="25:27" x14ac:dyDescent="0.3">
      <c r="Y5636" s="48" t="str">
        <f ca="1">IF(AND('Planning Sheet'!DS207='Weeks Plan'!$D$6,'Planning Sheet'!DM207='Weeks Plan'!$G$6),'Planning Sheet'!$B207,"")</f>
        <v/>
      </c>
      <c r="Z5636" s="48" t="str">
        <f ca="1">IF(AND('Planning Sheet'!DS207='Weeks Plan'!$D$6,'Planning Sheet'!DM207='Weeks Plan'!$G$6),'Planning Sheet'!$DN207,"")</f>
        <v/>
      </c>
      <c r="AA5636" s="48" t="str">
        <f ca="1">IF(AND('Planning Sheet'!DS207='Weeks Plan'!$D$6,'Planning Sheet'!DM207='Weeks Plan'!$G$6),'Planning Sheet'!$DO207,"")</f>
        <v/>
      </c>
    </row>
    <row r="5637" spans="25:27" x14ac:dyDescent="0.3">
      <c r="Y5637" s="48" t="str">
        <f ca="1">IF(AND('Planning Sheet'!DS208='Weeks Plan'!$D$6,'Planning Sheet'!DM208='Weeks Plan'!$G$6),'Planning Sheet'!$B208,"")</f>
        <v/>
      </c>
      <c r="Z5637" s="48" t="str">
        <f ca="1">IF(AND('Planning Sheet'!DS208='Weeks Plan'!$D$6,'Planning Sheet'!DM208='Weeks Plan'!$G$6),'Planning Sheet'!$DN208,"")</f>
        <v/>
      </c>
      <c r="AA5637" s="48" t="str">
        <f ca="1">IF(AND('Planning Sheet'!DS208='Weeks Plan'!$D$6,'Planning Sheet'!DM208='Weeks Plan'!$G$6),'Planning Sheet'!$DO208,"")</f>
        <v/>
      </c>
    </row>
    <row r="5638" spans="25:27" x14ac:dyDescent="0.3">
      <c r="Y5638" s="48" t="str">
        <f ca="1">IF(AND('Planning Sheet'!DS209='Weeks Plan'!$D$6,'Planning Sheet'!DM209='Weeks Plan'!$G$6),'Planning Sheet'!$B209,"")</f>
        <v/>
      </c>
      <c r="Z5638" s="48" t="str">
        <f ca="1">IF(AND('Planning Sheet'!DS209='Weeks Plan'!$D$6,'Planning Sheet'!DM209='Weeks Plan'!$G$6),'Planning Sheet'!$DN209,"")</f>
        <v/>
      </c>
      <c r="AA5638" s="48" t="str">
        <f ca="1">IF(AND('Planning Sheet'!DS209='Weeks Plan'!$D$6,'Planning Sheet'!DM209='Weeks Plan'!$G$6),'Planning Sheet'!$DO209,"")</f>
        <v/>
      </c>
    </row>
    <row r="5639" spans="25:27" x14ac:dyDescent="0.3">
      <c r="Y5639" s="48" t="str">
        <f ca="1">IF(AND('Planning Sheet'!DS210='Weeks Plan'!$D$6,'Planning Sheet'!DM210='Weeks Plan'!$G$6),'Planning Sheet'!$B210,"")</f>
        <v/>
      </c>
      <c r="Z5639" s="48" t="str">
        <f ca="1">IF(AND('Planning Sheet'!DS210='Weeks Plan'!$D$6,'Planning Sheet'!DM210='Weeks Plan'!$G$6),'Planning Sheet'!$DN210,"")</f>
        <v/>
      </c>
      <c r="AA5639" s="48" t="str">
        <f ca="1">IF(AND('Planning Sheet'!DS210='Weeks Plan'!$D$6,'Planning Sheet'!DM210='Weeks Plan'!$G$6),'Planning Sheet'!$DO210,"")</f>
        <v/>
      </c>
    </row>
    <row r="5640" spans="25:27" x14ac:dyDescent="0.3">
      <c r="Y5640" s="48" t="str">
        <f ca="1">IF(AND('Planning Sheet'!DS211='Weeks Plan'!$D$6,'Planning Sheet'!DM211='Weeks Plan'!$G$6),'Planning Sheet'!$B211,"")</f>
        <v/>
      </c>
      <c r="Z5640" s="48" t="str">
        <f ca="1">IF(AND('Planning Sheet'!DS211='Weeks Plan'!$D$6,'Planning Sheet'!DM211='Weeks Plan'!$G$6),'Planning Sheet'!$DN211,"")</f>
        <v/>
      </c>
      <c r="AA5640" s="48" t="str">
        <f ca="1">IF(AND('Planning Sheet'!DS211='Weeks Plan'!$D$6,'Planning Sheet'!DM211='Weeks Plan'!$G$6),'Planning Sheet'!$DO211,"")</f>
        <v/>
      </c>
    </row>
    <row r="5641" spans="25:27" x14ac:dyDescent="0.3">
      <c r="Y5641" s="48" t="str">
        <f ca="1">IF(AND('Planning Sheet'!DS212='Weeks Plan'!$D$6,'Planning Sheet'!DM212='Weeks Plan'!$G$6),'Planning Sheet'!$B212,"")</f>
        <v/>
      </c>
      <c r="Z5641" s="48" t="str">
        <f ca="1">IF(AND('Planning Sheet'!DS212='Weeks Plan'!$D$6,'Planning Sheet'!DM212='Weeks Plan'!$G$6),'Planning Sheet'!$DN212,"")</f>
        <v/>
      </c>
      <c r="AA5641" s="48" t="str">
        <f ca="1">IF(AND('Planning Sheet'!DS212='Weeks Plan'!$D$6,'Planning Sheet'!DM212='Weeks Plan'!$G$6),'Planning Sheet'!$DO212,"")</f>
        <v/>
      </c>
    </row>
    <row r="5642" spans="25:27" x14ac:dyDescent="0.3">
      <c r="Y5642" s="48" t="str">
        <f ca="1">IF(AND('Planning Sheet'!DS213='Weeks Plan'!$D$6,'Planning Sheet'!DM213='Weeks Plan'!$G$6),'Planning Sheet'!$B213,"")</f>
        <v/>
      </c>
      <c r="Z5642" s="48" t="str">
        <f ca="1">IF(AND('Planning Sheet'!DS213='Weeks Plan'!$D$6,'Planning Sheet'!DM213='Weeks Plan'!$G$6),'Planning Sheet'!$DN213,"")</f>
        <v/>
      </c>
      <c r="AA5642" s="48" t="str">
        <f ca="1">IF(AND('Planning Sheet'!DS213='Weeks Plan'!$D$6,'Planning Sheet'!DM213='Weeks Plan'!$G$6),'Planning Sheet'!$DO213,"")</f>
        <v/>
      </c>
    </row>
    <row r="5643" spans="25:27" x14ac:dyDescent="0.3">
      <c r="Y5643" s="48" t="str">
        <f ca="1">IF(AND('Planning Sheet'!DS214='Weeks Plan'!$D$6,'Planning Sheet'!DM214='Weeks Plan'!$G$6),'Planning Sheet'!$B214,"")</f>
        <v/>
      </c>
      <c r="Z5643" s="48" t="str">
        <f ca="1">IF(AND('Planning Sheet'!DS214='Weeks Plan'!$D$6,'Planning Sheet'!DM214='Weeks Plan'!$G$6),'Planning Sheet'!$DN214,"")</f>
        <v/>
      </c>
      <c r="AA5643" s="48" t="str">
        <f ca="1">IF(AND('Planning Sheet'!DS214='Weeks Plan'!$D$6,'Planning Sheet'!DM214='Weeks Plan'!$G$6),'Planning Sheet'!$DO214,"")</f>
        <v/>
      </c>
    </row>
    <row r="5644" spans="25:27" x14ac:dyDescent="0.3">
      <c r="Y5644" s="48" t="str">
        <f ca="1">IF(AND('Planning Sheet'!DS215='Weeks Plan'!$D$6,'Planning Sheet'!DM215='Weeks Plan'!$G$6),'Planning Sheet'!$B215,"")</f>
        <v/>
      </c>
      <c r="Z5644" s="48" t="str">
        <f ca="1">IF(AND('Planning Sheet'!DS215='Weeks Plan'!$D$6,'Planning Sheet'!DM215='Weeks Plan'!$G$6),'Planning Sheet'!$DN215,"")</f>
        <v/>
      </c>
      <c r="AA5644" s="48" t="str">
        <f ca="1">IF(AND('Planning Sheet'!DS215='Weeks Plan'!$D$6,'Planning Sheet'!DM215='Weeks Plan'!$G$6),'Planning Sheet'!$DO215,"")</f>
        <v/>
      </c>
    </row>
    <row r="5645" spans="25:27" x14ac:dyDescent="0.3">
      <c r="Y5645" s="48" t="str">
        <f ca="1">IF(AND('Planning Sheet'!DS216='Weeks Plan'!$D$6,'Planning Sheet'!DM216='Weeks Plan'!$G$6),'Planning Sheet'!$B216,"")</f>
        <v/>
      </c>
      <c r="Z5645" s="48" t="str">
        <f ca="1">IF(AND('Planning Sheet'!DS216='Weeks Plan'!$D$6,'Planning Sheet'!DM216='Weeks Plan'!$G$6),'Planning Sheet'!$DN216,"")</f>
        <v/>
      </c>
      <c r="AA5645" s="48" t="str">
        <f ca="1">IF(AND('Planning Sheet'!DS216='Weeks Plan'!$D$6,'Planning Sheet'!DM216='Weeks Plan'!$G$6),'Planning Sheet'!$DO216,"")</f>
        <v/>
      </c>
    </row>
    <row r="5646" spans="25:27" x14ac:dyDescent="0.3">
      <c r="Y5646" s="48" t="str">
        <f ca="1">IF(AND('Planning Sheet'!DS217='Weeks Plan'!$D$6,'Planning Sheet'!DM217='Weeks Plan'!$G$6),'Planning Sheet'!$B217,"")</f>
        <v/>
      </c>
      <c r="Z5646" s="48" t="str">
        <f ca="1">IF(AND('Planning Sheet'!DS217='Weeks Plan'!$D$6,'Planning Sheet'!DM217='Weeks Plan'!$G$6),'Planning Sheet'!$DN217,"")</f>
        <v/>
      </c>
      <c r="AA5646" s="48" t="str">
        <f ca="1">IF(AND('Planning Sheet'!DS217='Weeks Plan'!$D$6,'Planning Sheet'!DM217='Weeks Plan'!$G$6),'Planning Sheet'!$DO217,"")</f>
        <v/>
      </c>
    </row>
    <row r="5647" spans="25:27" x14ac:dyDescent="0.3">
      <c r="Y5647" s="48" t="str">
        <f ca="1">IF(AND('Planning Sheet'!DS218='Weeks Plan'!$D$6,'Planning Sheet'!DM218='Weeks Plan'!$G$6),'Planning Sheet'!$B218,"")</f>
        <v/>
      </c>
      <c r="Z5647" s="48" t="str">
        <f ca="1">IF(AND('Planning Sheet'!DS218='Weeks Plan'!$D$6,'Planning Sheet'!DM218='Weeks Plan'!$G$6),'Planning Sheet'!$DN218,"")</f>
        <v/>
      </c>
      <c r="AA5647" s="48" t="str">
        <f ca="1">IF(AND('Planning Sheet'!DS218='Weeks Plan'!$D$6,'Planning Sheet'!DM218='Weeks Plan'!$G$6),'Planning Sheet'!$DO218,"")</f>
        <v/>
      </c>
    </row>
    <row r="5648" spans="25:27" x14ac:dyDescent="0.3">
      <c r="Y5648" s="48" t="str">
        <f ca="1">IF(AND('Planning Sheet'!DS219='Weeks Plan'!$D$6,'Planning Sheet'!DM219='Weeks Plan'!$G$6),'Planning Sheet'!$B219,"")</f>
        <v/>
      </c>
      <c r="Z5648" s="48" t="str">
        <f ca="1">IF(AND('Planning Sheet'!DS219='Weeks Plan'!$D$6,'Planning Sheet'!DM219='Weeks Plan'!$G$6),'Planning Sheet'!$DN219,"")</f>
        <v/>
      </c>
      <c r="AA5648" s="48" t="str">
        <f ca="1">IF(AND('Planning Sheet'!DS219='Weeks Plan'!$D$6,'Planning Sheet'!DM219='Weeks Plan'!$G$6),'Planning Sheet'!$DO219,"")</f>
        <v/>
      </c>
    </row>
    <row r="5649" spans="25:27" x14ac:dyDescent="0.3">
      <c r="Y5649" s="48" t="str">
        <f ca="1">IF(AND('Planning Sheet'!DS220='Weeks Plan'!$D$6,'Planning Sheet'!DM220='Weeks Plan'!$G$6),'Planning Sheet'!$B220,"")</f>
        <v/>
      </c>
      <c r="Z5649" s="48" t="str">
        <f ca="1">IF(AND('Planning Sheet'!DS220='Weeks Plan'!$D$6,'Planning Sheet'!DM220='Weeks Plan'!$G$6),'Planning Sheet'!$DN220,"")</f>
        <v/>
      </c>
      <c r="AA5649" s="48" t="str">
        <f ca="1">IF(AND('Planning Sheet'!DS220='Weeks Plan'!$D$6,'Planning Sheet'!DM220='Weeks Plan'!$G$6),'Planning Sheet'!$DO220,"")</f>
        <v/>
      </c>
    </row>
    <row r="5650" spans="25:27" x14ac:dyDescent="0.3">
      <c r="Y5650" s="48" t="str">
        <f ca="1">IF(AND('Planning Sheet'!DS221='Weeks Plan'!$D$6,'Planning Sheet'!DM221='Weeks Plan'!$G$6),'Planning Sheet'!$B221,"")</f>
        <v/>
      </c>
      <c r="Z5650" s="48" t="str">
        <f ca="1">IF(AND('Planning Sheet'!DS221='Weeks Plan'!$D$6,'Planning Sheet'!DM221='Weeks Plan'!$G$6),'Planning Sheet'!$DN221,"")</f>
        <v/>
      </c>
      <c r="AA5650" s="48" t="str">
        <f ca="1">IF(AND('Planning Sheet'!DS221='Weeks Plan'!$D$6,'Planning Sheet'!DM221='Weeks Plan'!$G$6),'Planning Sheet'!$DO221,"")</f>
        <v/>
      </c>
    </row>
    <row r="5651" spans="25:27" x14ac:dyDescent="0.3">
      <c r="Y5651" s="48" t="str">
        <f ca="1">IF(AND('Planning Sheet'!DS222='Weeks Plan'!$D$6,'Planning Sheet'!DM222='Weeks Plan'!$G$6),'Planning Sheet'!$B222,"")</f>
        <v/>
      </c>
      <c r="Z5651" s="48" t="str">
        <f ca="1">IF(AND('Planning Sheet'!DS222='Weeks Plan'!$D$6,'Planning Sheet'!DM222='Weeks Plan'!$G$6),'Planning Sheet'!$DN222,"")</f>
        <v/>
      </c>
      <c r="AA5651" s="48" t="str">
        <f ca="1">IF(AND('Planning Sheet'!DS222='Weeks Plan'!$D$6,'Planning Sheet'!DM222='Weeks Plan'!$G$6),'Planning Sheet'!$DO222,"")</f>
        <v/>
      </c>
    </row>
    <row r="5652" spans="25:27" x14ac:dyDescent="0.3">
      <c r="Y5652" s="48" t="str">
        <f ca="1">IF(AND('Planning Sheet'!DS223='Weeks Plan'!$D$6,'Planning Sheet'!DM223='Weeks Plan'!$G$6),'Planning Sheet'!$B223,"")</f>
        <v/>
      </c>
      <c r="Z5652" s="48" t="str">
        <f ca="1">IF(AND('Planning Sheet'!DS223='Weeks Plan'!$D$6,'Planning Sheet'!DM223='Weeks Plan'!$G$6),'Planning Sheet'!$DN223,"")</f>
        <v/>
      </c>
      <c r="AA5652" s="48" t="str">
        <f ca="1">IF(AND('Planning Sheet'!DS223='Weeks Plan'!$D$6,'Planning Sheet'!DM223='Weeks Plan'!$G$6),'Planning Sheet'!$DO223,"")</f>
        <v/>
      </c>
    </row>
    <row r="5653" spans="25:27" x14ac:dyDescent="0.3">
      <c r="Y5653" s="48" t="str">
        <f ca="1">IF(AND('Planning Sheet'!DS224='Weeks Plan'!$D$6,'Planning Sheet'!DM224='Weeks Plan'!$G$6),'Planning Sheet'!$B224,"")</f>
        <v/>
      </c>
      <c r="Z5653" s="48" t="str">
        <f ca="1">IF(AND('Planning Sheet'!DS224='Weeks Plan'!$D$6,'Planning Sheet'!DM224='Weeks Plan'!$G$6),'Planning Sheet'!$DN224,"")</f>
        <v/>
      </c>
      <c r="AA5653" s="48" t="str">
        <f ca="1">IF(AND('Planning Sheet'!DS224='Weeks Plan'!$D$6,'Planning Sheet'!DM224='Weeks Plan'!$G$6),'Planning Sheet'!$DO224,"")</f>
        <v/>
      </c>
    </row>
    <row r="5654" spans="25:27" x14ac:dyDescent="0.3">
      <c r="Y5654" s="48" t="str">
        <f ca="1">IF(AND('Planning Sheet'!DS225='Weeks Plan'!$D$6,'Planning Sheet'!DM225='Weeks Plan'!$G$6),'Planning Sheet'!$B225,"")</f>
        <v/>
      </c>
      <c r="Z5654" s="48" t="str">
        <f ca="1">IF(AND('Planning Sheet'!DS225='Weeks Plan'!$D$6,'Planning Sheet'!DM225='Weeks Plan'!$G$6),'Planning Sheet'!$DN225,"")</f>
        <v/>
      </c>
      <c r="AA5654" s="48" t="str">
        <f ca="1">IF(AND('Planning Sheet'!DS225='Weeks Plan'!$D$6,'Planning Sheet'!DM225='Weeks Plan'!$G$6),'Planning Sheet'!$DO225,"")</f>
        <v/>
      </c>
    </row>
    <row r="5655" spans="25:27" x14ac:dyDescent="0.3">
      <c r="Y5655" s="48" t="str">
        <f ca="1">IF(AND('Planning Sheet'!DS226='Weeks Plan'!$D$6,'Planning Sheet'!DM226='Weeks Plan'!$G$6),'Planning Sheet'!$B226,"")</f>
        <v/>
      </c>
      <c r="Z5655" s="48" t="str">
        <f ca="1">IF(AND('Planning Sheet'!DS226='Weeks Plan'!$D$6,'Planning Sheet'!DM226='Weeks Plan'!$G$6),'Planning Sheet'!$DN226,"")</f>
        <v/>
      </c>
      <c r="AA5655" s="48" t="str">
        <f ca="1">IF(AND('Planning Sheet'!DS226='Weeks Plan'!$D$6,'Planning Sheet'!DM226='Weeks Plan'!$G$6),'Planning Sheet'!$DO226,"")</f>
        <v/>
      </c>
    </row>
    <row r="5656" spans="25:27" x14ac:dyDescent="0.3">
      <c r="Y5656" s="48" t="str">
        <f ca="1">IF(AND('Planning Sheet'!DS227='Weeks Plan'!$D$6,'Planning Sheet'!DM227='Weeks Plan'!$G$6),'Planning Sheet'!$B227,"")</f>
        <v/>
      </c>
      <c r="Z5656" s="48" t="str">
        <f ca="1">IF(AND('Planning Sheet'!DS227='Weeks Plan'!$D$6,'Planning Sheet'!DM227='Weeks Plan'!$G$6),'Planning Sheet'!$DN227,"")</f>
        <v/>
      </c>
      <c r="AA5656" s="48" t="str">
        <f ca="1">IF(AND('Planning Sheet'!DS227='Weeks Plan'!$D$6,'Planning Sheet'!DM227='Weeks Plan'!$G$6),'Planning Sheet'!$DO227,"")</f>
        <v/>
      </c>
    </row>
    <row r="5657" spans="25:27" x14ac:dyDescent="0.3">
      <c r="Y5657" s="48" t="str">
        <f ca="1">IF(AND('Planning Sheet'!DS228='Weeks Plan'!$D$6,'Planning Sheet'!DM228='Weeks Plan'!$G$6),'Planning Sheet'!$B228,"")</f>
        <v/>
      </c>
      <c r="Z5657" s="48" t="str">
        <f ca="1">IF(AND('Planning Sheet'!DS228='Weeks Plan'!$D$6,'Planning Sheet'!DM228='Weeks Plan'!$G$6),'Planning Sheet'!$DN228,"")</f>
        <v/>
      </c>
      <c r="AA5657" s="48" t="str">
        <f ca="1">IF(AND('Planning Sheet'!DS228='Weeks Plan'!$D$6,'Planning Sheet'!DM228='Weeks Plan'!$G$6),'Planning Sheet'!$DO228,"")</f>
        <v/>
      </c>
    </row>
    <row r="5658" spans="25:27" x14ac:dyDescent="0.3">
      <c r="Y5658" s="48" t="str">
        <f ca="1">IF(AND('Planning Sheet'!DS229='Weeks Plan'!$D$6,'Planning Sheet'!DM229='Weeks Plan'!$G$6),'Planning Sheet'!$B229,"")</f>
        <v/>
      </c>
      <c r="Z5658" s="48" t="str">
        <f ca="1">IF(AND('Planning Sheet'!DS229='Weeks Plan'!$D$6,'Planning Sheet'!DM229='Weeks Plan'!$G$6),'Planning Sheet'!$DN229,"")</f>
        <v/>
      </c>
      <c r="AA5658" s="48" t="str">
        <f ca="1">IF(AND('Planning Sheet'!DS229='Weeks Plan'!$D$6,'Planning Sheet'!DM229='Weeks Plan'!$G$6),'Planning Sheet'!$DO229,"")</f>
        <v/>
      </c>
    </row>
    <row r="5659" spans="25:27" x14ac:dyDescent="0.3">
      <c r="Y5659" s="48" t="str">
        <f ca="1">IF(AND('Planning Sheet'!DS230='Weeks Plan'!$D$6,'Planning Sheet'!DM230='Weeks Plan'!$G$6),'Planning Sheet'!$B230,"")</f>
        <v/>
      </c>
      <c r="Z5659" s="48" t="str">
        <f ca="1">IF(AND('Planning Sheet'!DS230='Weeks Plan'!$D$6,'Planning Sheet'!DM230='Weeks Plan'!$G$6),'Planning Sheet'!$DN230,"")</f>
        <v/>
      </c>
      <c r="AA5659" s="48" t="str">
        <f ca="1">IF(AND('Planning Sheet'!DS230='Weeks Plan'!$D$6,'Planning Sheet'!DM230='Weeks Plan'!$G$6),'Planning Sheet'!$DO230,"")</f>
        <v/>
      </c>
    </row>
    <row r="5660" spans="25:27" x14ac:dyDescent="0.3">
      <c r="Y5660" s="48" t="str">
        <f ca="1">IF(AND('Planning Sheet'!DS231='Weeks Plan'!$D$6,'Planning Sheet'!DM231='Weeks Plan'!$G$6),'Planning Sheet'!$B231,"")</f>
        <v/>
      </c>
      <c r="Z5660" s="48" t="str">
        <f ca="1">IF(AND('Planning Sheet'!DS231='Weeks Plan'!$D$6,'Planning Sheet'!DM231='Weeks Plan'!$G$6),'Planning Sheet'!$DN231,"")</f>
        <v/>
      </c>
      <c r="AA5660" s="48" t="str">
        <f ca="1">IF(AND('Planning Sheet'!DS231='Weeks Plan'!$D$6,'Planning Sheet'!DM231='Weeks Plan'!$G$6),'Planning Sheet'!$DO231,"")</f>
        <v/>
      </c>
    </row>
    <row r="5661" spans="25:27" x14ac:dyDescent="0.3">
      <c r="Y5661" s="48" t="str">
        <f ca="1">IF(AND('Planning Sheet'!DS232='Weeks Plan'!$D$6,'Planning Sheet'!DM232='Weeks Plan'!$G$6),'Planning Sheet'!$B232,"")</f>
        <v/>
      </c>
      <c r="Z5661" s="48" t="str">
        <f ca="1">IF(AND('Planning Sheet'!DS232='Weeks Plan'!$D$6,'Planning Sheet'!DM232='Weeks Plan'!$G$6),'Planning Sheet'!$DN232,"")</f>
        <v/>
      </c>
      <c r="AA5661" s="48" t="str">
        <f ca="1">IF(AND('Planning Sheet'!DS232='Weeks Plan'!$D$6,'Planning Sheet'!DM232='Weeks Plan'!$G$6),'Planning Sheet'!$DO232,"")</f>
        <v/>
      </c>
    </row>
    <row r="5662" spans="25:27" x14ac:dyDescent="0.3">
      <c r="Y5662" s="48" t="str">
        <f ca="1">IF(AND('Planning Sheet'!DS233='Weeks Plan'!$D$6,'Planning Sheet'!DM233='Weeks Plan'!$G$6),'Planning Sheet'!$B233,"")</f>
        <v/>
      </c>
      <c r="Z5662" s="48" t="str">
        <f ca="1">IF(AND('Planning Sheet'!DS233='Weeks Plan'!$D$6,'Planning Sheet'!DM233='Weeks Plan'!$G$6),'Planning Sheet'!$DN233,"")</f>
        <v/>
      </c>
      <c r="AA5662" s="48" t="str">
        <f ca="1">IF(AND('Planning Sheet'!DS233='Weeks Plan'!$D$6,'Planning Sheet'!DM233='Weeks Plan'!$G$6),'Planning Sheet'!$DO233,"")</f>
        <v/>
      </c>
    </row>
    <row r="5663" spans="25:27" x14ac:dyDescent="0.3">
      <c r="Y5663" s="48" t="str">
        <f ca="1">IF(AND('Planning Sheet'!DS234='Weeks Plan'!$D$6,'Planning Sheet'!DM234='Weeks Plan'!$G$6),'Planning Sheet'!$B234,"")</f>
        <v/>
      </c>
      <c r="Z5663" s="48" t="str">
        <f ca="1">IF(AND('Planning Sheet'!DS234='Weeks Plan'!$D$6,'Planning Sheet'!DM234='Weeks Plan'!$G$6),'Planning Sheet'!$DN234,"")</f>
        <v/>
      </c>
      <c r="AA5663" s="48" t="str">
        <f ca="1">IF(AND('Planning Sheet'!DS234='Weeks Plan'!$D$6,'Planning Sheet'!DM234='Weeks Plan'!$G$6),'Planning Sheet'!$DO234,"")</f>
        <v/>
      </c>
    </row>
    <row r="5664" spans="25:27" x14ac:dyDescent="0.3">
      <c r="Y5664" s="48" t="str">
        <f ca="1">IF(AND('Planning Sheet'!DS235='Weeks Plan'!$D$6,'Planning Sheet'!DM235='Weeks Plan'!$G$6),'Planning Sheet'!$B235,"")</f>
        <v/>
      </c>
      <c r="Z5664" s="48" t="str">
        <f ca="1">IF(AND('Planning Sheet'!DS235='Weeks Plan'!$D$6,'Planning Sheet'!DM235='Weeks Plan'!$G$6),'Planning Sheet'!$DN235,"")</f>
        <v/>
      </c>
      <c r="AA5664" s="48" t="str">
        <f ca="1">IF(AND('Planning Sheet'!DS235='Weeks Plan'!$D$6,'Planning Sheet'!DM235='Weeks Plan'!$G$6),'Planning Sheet'!$DO235,"")</f>
        <v/>
      </c>
    </row>
    <row r="5665" spans="25:27" x14ac:dyDescent="0.3">
      <c r="Y5665" s="48" t="str">
        <f ca="1">IF(AND('Planning Sheet'!DS236='Weeks Plan'!$D$6,'Planning Sheet'!DM236='Weeks Plan'!$G$6),'Planning Sheet'!$B236,"")</f>
        <v/>
      </c>
      <c r="Z5665" s="48" t="str">
        <f ca="1">IF(AND('Planning Sheet'!DS236='Weeks Plan'!$D$6,'Planning Sheet'!DM236='Weeks Plan'!$G$6),'Planning Sheet'!$DN236,"")</f>
        <v/>
      </c>
      <c r="AA5665" s="48" t="str">
        <f ca="1">IF(AND('Planning Sheet'!DS236='Weeks Plan'!$D$6,'Planning Sheet'!DM236='Weeks Plan'!$G$6),'Planning Sheet'!$DO236,"")</f>
        <v/>
      </c>
    </row>
    <row r="5666" spans="25:27" x14ac:dyDescent="0.3">
      <c r="Y5666" s="48" t="str">
        <f ca="1">IF(AND('Planning Sheet'!DS237='Weeks Plan'!$D$6,'Planning Sheet'!DM237='Weeks Plan'!$G$6),'Planning Sheet'!$B237,"")</f>
        <v/>
      </c>
      <c r="Z5666" s="48" t="str">
        <f ca="1">IF(AND('Planning Sheet'!DS237='Weeks Plan'!$D$6,'Planning Sheet'!DM237='Weeks Plan'!$G$6),'Planning Sheet'!$DN237,"")</f>
        <v/>
      </c>
      <c r="AA5666" s="48" t="str">
        <f ca="1">IF(AND('Planning Sheet'!DS237='Weeks Plan'!$D$6,'Planning Sheet'!DM237='Weeks Plan'!$G$6),'Planning Sheet'!$DO237,"")</f>
        <v/>
      </c>
    </row>
    <row r="5667" spans="25:27" x14ac:dyDescent="0.3">
      <c r="Y5667" s="48" t="str">
        <f ca="1">IF(AND('Planning Sheet'!DS238='Weeks Plan'!$D$6,'Planning Sheet'!DM238='Weeks Plan'!$G$6),'Planning Sheet'!$B238,"")</f>
        <v/>
      </c>
      <c r="Z5667" s="48" t="str">
        <f ca="1">IF(AND('Planning Sheet'!DS238='Weeks Plan'!$D$6,'Planning Sheet'!DM238='Weeks Plan'!$G$6),'Planning Sheet'!$DN238,"")</f>
        <v/>
      </c>
      <c r="AA5667" s="48" t="str">
        <f ca="1">IF(AND('Planning Sheet'!DS238='Weeks Plan'!$D$6,'Planning Sheet'!DM238='Weeks Plan'!$G$6),'Planning Sheet'!$DO238,"")</f>
        <v/>
      </c>
    </row>
    <row r="5668" spans="25:27" x14ac:dyDescent="0.3">
      <c r="Y5668" s="48" t="str">
        <f ca="1">IF(AND('Planning Sheet'!DS239='Weeks Plan'!$D$6,'Planning Sheet'!DM239='Weeks Plan'!$G$6),'Planning Sheet'!$B239,"")</f>
        <v/>
      </c>
      <c r="Z5668" s="48" t="str">
        <f ca="1">IF(AND('Planning Sheet'!DS239='Weeks Plan'!$D$6,'Planning Sheet'!DM239='Weeks Plan'!$G$6),'Planning Sheet'!$DN239,"")</f>
        <v/>
      </c>
      <c r="AA5668" s="48" t="str">
        <f ca="1">IF(AND('Planning Sheet'!DS239='Weeks Plan'!$D$6,'Planning Sheet'!DM239='Weeks Plan'!$G$6),'Planning Sheet'!$DO239,"")</f>
        <v/>
      </c>
    </row>
    <row r="5669" spans="25:27" x14ac:dyDescent="0.3">
      <c r="Y5669" s="48" t="str">
        <f ca="1">IF(AND('Planning Sheet'!DS240='Weeks Plan'!$D$6,'Planning Sheet'!DM240='Weeks Plan'!$G$6),'Planning Sheet'!$B240,"")</f>
        <v/>
      </c>
      <c r="Z5669" s="48" t="str">
        <f ca="1">IF(AND('Planning Sheet'!DS240='Weeks Plan'!$D$6,'Planning Sheet'!DM240='Weeks Plan'!$G$6),'Planning Sheet'!$DN240,"")</f>
        <v/>
      </c>
      <c r="AA5669" s="48" t="str">
        <f ca="1">IF(AND('Planning Sheet'!DS240='Weeks Plan'!$D$6,'Planning Sheet'!DM240='Weeks Plan'!$G$6),'Planning Sheet'!$DO240,"")</f>
        <v/>
      </c>
    </row>
    <row r="5670" spans="25:27" x14ac:dyDescent="0.3">
      <c r="Y5670" s="48" t="str">
        <f ca="1">IF(AND('Planning Sheet'!DS241='Weeks Plan'!$D$6,'Planning Sheet'!DM241='Weeks Plan'!$G$6),'Planning Sheet'!$B241,"")</f>
        <v/>
      </c>
      <c r="Z5670" s="48" t="str">
        <f ca="1">IF(AND('Planning Sheet'!DS241='Weeks Plan'!$D$6,'Planning Sheet'!DM241='Weeks Plan'!$G$6),'Planning Sheet'!$DN241,"")</f>
        <v/>
      </c>
      <c r="AA5670" s="48" t="str">
        <f ca="1">IF(AND('Planning Sheet'!DS241='Weeks Plan'!$D$6,'Planning Sheet'!DM241='Weeks Plan'!$G$6),'Planning Sheet'!$DO241,"")</f>
        <v/>
      </c>
    </row>
    <row r="5671" spans="25:27" x14ac:dyDescent="0.3">
      <c r="Y5671" s="48" t="str">
        <f ca="1">IF(AND('Planning Sheet'!DS242='Weeks Plan'!$D$6,'Planning Sheet'!DM242='Weeks Plan'!$G$6),'Planning Sheet'!$B242,"")</f>
        <v/>
      </c>
      <c r="Z5671" s="48" t="str">
        <f ca="1">IF(AND('Planning Sheet'!DS242='Weeks Plan'!$D$6,'Planning Sheet'!DM242='Weeks Plan'!$G$6),'Planning Sheet'!$DN242,"")</f>
        <v/>
      </c>
      <c r="AA5671" s="48" t="str">
        <f ca="1">IF(AND('Planning Sheet'!DS242='Weeks Plan'!$D$6,'Planning Sheet'!DM242='Weeks Plan'!$G$6),'Planning Sheet'!$DO242,"")</f>
        <v/>
      </c>
    </row>
    <row r="5672" spans="25:27" x14ac:dyDescent="0.3">
      <c r="Y5672" s="48" t="str">
        <f ca="1">IF(AND('Planning Sheet'!DS243='Weeks Plan'!$D$6,'Planning Sheet'!DM243='Weeks Plan'!$G$6),'Planning Sheet'!$B243,"")</f>
        <v/>
      </c>
      <c r="Z5672" s="48" t="str">
        <f ca="1">IF(AND('Planning Sheet'!DS243='Weeks Plan'!$D$6,'Planning Sheet'!DM243='Weeks Plan'!$G$6),'Planning Sheet'!$DN243,"")</f>
        <v/>
      </c>
      <c r="AA5672" s="48" t="str">
        <f ca="1">IF(AND('Planning Sheet'!DS243='Weeks Plan'!$D$6,'Planning Sheet'!DM243='Weeks Plan'!$G$6),'Planning Sheet'!$DO243,"")</f>
        <v/>
      </c>
    </row>
    <row r="5673" spans="25:27" x14ac:dyDescent="0.3">
      <c r="Y5673" s="48" t="str">
        <f ca="1">IF(AND('Planning Sheet'!DS244='Weeks Plan'!$D$6,'Planning Sheet'!DM244='Weeks Plan'!$G$6),'Planning Sheet'!$B244,"")</f>
        <v/>
      </c>
      <c r="Z5673" s="48" t="str">
        <f ca="1">IF(AND('Planning Sheet'!DS244='Weeks Plan'!$D$6,'Planning Sheet'!DM244='Weeks Plan'!$G$6),'Planning Sheet'!$DN244,"")</f>
        <v/>
      </c>
      <c r="AA5673" s="48" t="str">
        <f ca="1">IF(AND('Planning Sheet'!DS244='Weeks Plan'!$D$6,'Planning Sheet'!DM244='Weeks Plan'!$G$6),'Planning Sheet'!$DO244,"")</f>
        <v/>
      </c>
    </row>
    <row r="5674" spans="25:27" x14ac:dyDescent="0.3">
      <c r="Y5674" s="48" t="str">
        <f ca="1">IF(AND('Planning Sheet'!DS245='Weeks Plan'!$D$6,'Planning Sheet'!DM245='Weeks Plan'!$G$6),'Planning Sheet'!$B245,"")</f>
        <v/>
      </c>
      <c r="Z5674" s="48" t="str">
        <f ca="1">IF(AND('Planning Sheet'!DS245='Weeks Plan'!$D$6,'Planning Sheet'!DM245='Weeks Plan'!$G$6),'Planning Sheet'!$DN245,"")</f>
        <v/>
      </c>
      <c r="AA5674" s="48" t="str">
        <f ca="1">IF(AND('Planning Sheet'!DS245='Weeks Plan'!$D$6,'Planning Sheet'!DM245='Weeks Plan'!$G$6),'Planning Sheet'!$DO245,"")</f>
        <v/>
      </c>
    </row>
    <row r="5675" spans="25:27" x14ac:dyDescent="0.3">
      <c r="Y5675" s="48" t="str">
        <f ca="1">IF(AND('Planning Sheet'!DS246='Weeks Plan'!$D$6,'Planning Sheet'!DM246='Weeks Plan'!$G$6),'Planning Sheet'!$B246,"")</f>
        <v/>
      </c>
      <c r="Z5675" s="48" t="str">
        <f ca="1">IF(AND('Planning Sheet'!DS246='Weeks Plan'!$D$6,'Planning Sheet'!DM246='Weeks Plan'!$G$6),'Planning Sheet'!$DN246,"")</f>
        <v/>
      </c>
      <c r="AA5675" s="48" t="str">
        <f ca="1">IF(AND('Planning Sheet'!DS246='Weeks Plan'!$D$6,'Planning Sheet'!DM246='Weeks Plan'!$G$6),'Planning Sheet'!$DO246,"")</f>
        <v/>
      </c>
    </row>
    <row r="5676" spans="25:27" x14ac:dyDescent="0.3">
      <c r="Y5676" s="48" t="str">
        <f ca="1">IF(AND('Planning Sheet'!DS247='Weeks Plan'!$D$6,'Planning Sheet'!DM247='Weeks Plan'!$G$6),'Planning Sheet'!$B247,"")</f>
        <v/>
      </c>
      <c r="Z5676" s="48" t="str">
        <f ca="1">IF(AND('Planning Sheet'!DS247='Weeks Plan'!$D$6,'Planning Sheet'!DM247='Weeks Plan'!$G$6),'Planning Sheet'!$DN247,"")</f>
        <v/>
      </c>
      <c r="AA5676" s="48" t="str">
        <f ca="1">IF(AND('Planning Sheet'!DS247='Weeks Plan'!$D$6,'Planning Sheet'!DM247='Weeks Plan'!$G$6),'Planning Sheet'!$DO247,"")</f>
        <v/>
      </c>
    </row>
    <row r="5677" spans="25:27" x14ac:dyDescent="0.3">
      <c r="Y5677" s="48" t="str">
        <f ca="1">IF(AND('Planning Sheet'!DS248='Weeks Plan'!$D$6,'Planning Sheet'!DM248='Weeks Plan'!$G$6),'Planning Sheet'!$B248,"")</f>
        <v/>
      </c>
      <c r="Z5677" s="48" t="str">
        <f ca="1">IF(AND('Planning Sheet'!DS248='Weeks Plan'!$D$6,'Planning Sheet'!DM248='Weeks Plan'!$G$6),'Planning Sheet'!$DN248,"")</f>
        <v/>
      </c>
      <c r="AA5677" s="48" t="str">
        <f ca="1">IF(AND('Planning Sheet'!DS248='Weeks Plan'!$D$6,'Planning Sheet'!DM248='Weeks Plan'!$G$6),'Planning Sheet'!$DO248,"")</f>
        <v/>
      </c>
    </row>
    <row r="5678" spans="25:27" x14ac:dyDescent="0.3">
      <c r="Y5678" s="48" t="str">
        <f ca="1">IF(AND('Planning Sheet'!DS249='Weeks Plan'!$D$6,'Planning Sheet'!DM249='Weeks Plan'!$G$6),'Planning Sheet'!$B249,"")</f>
        <v/>
      </c>
      <c r="Z5678" s="48" t="str">
        <f ca="1">IF(AND('Planning Sheet'!DS249='Weeks Plan'!$D$6,'Planning Sheet'!DM249='Weeks Plan'!$G$6),'Planning Sheet'!$DN249,"")</f>
        <v/>
      </c>
      <c r="AA5678" s="48" t="str">
        <f ca="1">IF(AND('Planning Sheet'!DS249='Weeks Plan'!$D$6,'Planning Sheet'!DM249='Weeks Plan'!$G$6),'Planning Sheet'!$DO249,"")</f>
        <v/>
      </c>
    </row>
    <row r="5679" spans="25:27" x14ac:dyDescent="0.3">
      <c r="Y5679" s="48" t="str">
        <f ca="1">IF(AND('Planning Sheet'!DS250='Weeks Plan'!$D$6,'Planning Sheet'!DM250='Weeks Plan'!$G$6),'Planning Sheet'!$B250,"")</f>
        <v/>
      </c>
      <c r="Z5679" s="48" t="str">
        <f ca="1">IF(AND('Planning Sheet'!DS250='Weeks Plan'!$D$6,'Planning Sheet'!DM250='Weeks Plan'!$G$6),'Planning Sheet'!$DN250,"")</f>
        <v/>
      </c>
      <c r="AA5679" s="48" t="str">
        <f ca="1">IF(AND('Planning Sheet'!DS250='Weeks Plan'!$D$6,'Planning Sheet'!DM250='Weeks Plan'!$G$6),'Planning Sheet'!$DO250,"")</f>
        <v/>
      </c>
    </row>
    <row r="5680" spans="25:27" x14ac:dyDescent="0.3">
      <c r="Y5680" s="48" t="str">
        <f ca="1">IF(AND('Planning Sheet'!DS251='Weeks Plan'!$D$6,'Planning Sheet'!DM251='Weeks Plan'!$G$6),'Planning Sheet'!$B251,"")</f>
        <v/>
      </c>
      <c r="Z5680" s="48" t="str">
        <f ca="1">IF(AND('Planning Sheet'!DS251='Weeks Plan'!$D$6,'Planning Sheet'!DM251='Weeks Plan'!$G$6),'Planning Sheet'!$DN251,"")</f>
        <v/>
      </c>
      <c r="AA5680" s="48" t="str">
        <f ca="1">IF(AND('Planning Sheet'!DS251='Weeks Plan'!$D$6,'Planning Sheet'!DM251='Weeks Plan'!$G$6),'Planning Sheet'!$DO251,"")</f>
        <v/>
      </c>
    </row>
    <row r="5681" spans="25:27" x14ac:dyDescent="0.3">
      <c r="Y5681" s="48" t="str">
        <f ca="1">IF(AND('Planning Sheet'!DS252='Weeks Plan'!$D$6,'Planning Sheet'!DM252='Weeks Plan'!$G$6),'Planning Sheet'!$B252,"")</f>
        <v/>
      </c>
      <c r="Z5681" s="48" t="str">
        <f ca="1">IF(AND('Planning Sheet'!DS252='Weeks Plan'!$D$6,'Planning Sheet'!DM252='Weeks Plan'!$G$6),'Planning Sheet'!$DN252,"")</f>
        <v/>
      </c>
      <c r="AA5681" s="48" t="str">
        <f ca="1">IF(AND('Planning Sheet'!DS252='Weeks Plan'!$D$6,'Planning Sheet'!DM252='Weeks Plan'!$G$6),'Planning Sheet'!$DO252,"")</f>
        <v/>
      </c>
    </row>
    <row r="5682" spans="25:27" x14ac:dyDescent="0.3">
      <c r="Y5682" s="48" t="str">
        <f ca="1">IF(AND('Planning Sheet'!DS253='Weeks Plan'!$D$6,'Planning Sheet'!DM253='Weeks Plan'!$G$6),'Planning Sheet'!$B253,"")</f>
        <v/>
      </c>
      <c r="Z5682" s="48" t="str">
        <f ca="1">IF(AND('Planning Sheet'!DS253='Weeks Plan'!$D$6,'Planning Sheet'!DM253='Weeks Plan'!$G$6),'Planning Sheet'!$DN253,"")</f>
        <v/>
      </c>
      <c r="AA5682" s="48" t="str">
        <f ca="1">IF(AND('Planning Sheet'!DS253='Weeks Plan'!$D$6,'Planning Sheet'!DM253='Weeks Plan'!$G$6),'Planning Sheet'!$DO253,"")</f>
        <v/>
      </c>
    </row>
    <row r="5683" spans="25:27" x14ac:dyDescent="0.3">
      <c r="Y5683" s="48" t="str">
        <f ca="1">IF(AND('Planning Sheet'!DS254='Weeks Plan'!$D$6,'Planning Sheet'!DM254='Weeks Plan'!$G$6),'Planning Sheet'!$B254,"")</f>
        <v/>
      </c>
      <c r="Z5683" s="48" t="str">
        <f ca="1">IF(AND('Planning Sheet'!DS254='Weeks Plan'!$D$6,'Planning Sheet'!DM254='Weeks Plan'!$G$6),'Planning Sheet'!$DN254,"")</f>
        <v/>
      </c>
      <c r="AA5683" s="48" t="str">
        <f ca="1">IF(AND('Planning Sheet'!DS254='Weeks Plan'!$D$6,'Planning Sheet'!DM254='Weeks Plan'!$G$6),'Planning Sheet'!$DO254,"")</f>
        <v/>
      </c>
    </row>
    <row r="5684" spans="25:27" x14ac:dyDescent="0.3">
      <c r="Y5684" s="48" t="str">
        <f ca="1">IF(AND('Planning Sheet'!DS255='Weeks Plan'!$D$6,'Planning Sheet'!DM255='Weeks Plan'!$G$6),'Planning Sheet'!$B255,"")</f>
        <v/>
      </c>
      <c r="Z5684" s="48" t="str">
        <f ca="1">IF(AND('Planning Sheet'!DS255='Weeks Plan'!$D$6,'Planning Sheet'!DM255='Weeks Plan'!$G$6),'Planning Sheet'!$DN255,"")</f>
        <v/>
      </c>
      <c r="AA5684" s="48" t="str">
        <f ca="1">IF(AND('Planning Sheet'!DS255='Weeks Plan'!$D$6,'Planning Sheet'!DM255='Weeks Plan'!$G$6),'Planning Sheet'!$DO255,"")</f>
        <v/>
      </c>
    </row>
    <row r="5685" spans="25:27" x14ac:dyDescent="0.3">
      <c r="Y5685" s="48" t="str">
        <f ca="1">IF(AND('Planning Sheet'!DS256='Weeks Plan'!$D$6,'Planning Sheet'!DM256='Weeks Plan'!$G$6),'Planning Sheet'!$B256,"")</f>
        <v/>
      </c>
      <c r="Z5685" s="48" t="str">
        <f ca="1">IF(AND('Planning Sheet'!DS256='Weeks Plan'!$D$6,'Planning Sheet'!DM256='Weeks Plan'!$G$6),'Planning Sheet'!$DN256,"")</f>
        <v/>
      </c>
      <c r="AA5685" s="48" t="str">
        <f ca="1">IF(AND('Planning Sheet'!DS256='Weeks Plan'!$D$6,'Planning Sheet'!DM256='Weeks Plan'!$G$6),'Planning Sheet'!$DO256,"")</f>
        <v/>
      </c>
    </row>
    <row r="5686" spans="25:27" x14ac:dyDescent="0.3">
      <c r="Y5686" s="48" t="str">
        <f ca="1">IF(AND('Planning Sheet'!DS257='Weeks Plan'!$D$6,'Planning Sheet'!DM257='Weeks Plan'!$G$6),'Planning Sheet'!$B257,"")</f>
        <v/>
      </c>
      <c r="Z5686" s="48" t="str">
        <f ca="1">IF(AND('Planning Sheet'!DS257='Weeks Plan'!$D$6,'Planning Sheet'!DM257='Weeks Plan'!$G$6),'Planning Sheet'!$DN257,"")</f>
        <v/>
      </c>
      <c r="AA5686" s="48" t="str">
        <f ca="1">IF(AND('Planning Sheet'!DS257='Weeks Plan'!$D$6,'Planning Sheet'!DM257='Weeks Plan'!$G$6),'Planning Sheet'!$DO257,"")</f>
        <v/>
      </c>
    </row>
    <row r="5687" spans="25:27" x14ac:dyDescent="0.3">
      <c r="Y5687" s="48" t="str">
        <f ca="1">IF(AND('Planning Sheet'!DS258='Weeks Plan'!$D$6,'Planning Sheet'!DM258='Weeks Plan'!$G$6),'Planning Sheet'!$B258,"")</f>
        <v/>
      </c>
      <c r="Z5687" s="48" t="str">
        <f ca="1">IF(AND('Planning Sheet'!DS258='Weeks Plan'!$D$6,'Planning Sheet'!DM258='Weeks Plan'!$G$6),'Planning Sheet'!$DN258,"")</f>
        <v/>
      </c>
      <c r="AA5687" s="48" t="str">
        <f ca="1">IF(AND('Planning Sheet'!DS258='Weeks Plan'!$D$6,'Planning Sheet'!DM258='Weeks Plan'!$G$6),'Planning Sheet'!$DO258,"")</f>
        <v/>
      </c>
    </row>
    <row r="5688" spans="25:27" x14ac:dyDescent="0.3">
      <c r="Y5688" s="48" t="str">
        <f ca="1">IF(AND('Planning Sheet'!DS259='Weeks Plan'!$D$6,'Planning Sheet'!DM259='Weeks Plan'!$G$6),'Planning Sheet'!$B259,"")</f>
        <v/>
      </c>
      <c r="Z5688" s="48" t="str">
        <f ca="1">IF(AND('Planning Sheet'!DS259='Weeks Plan'!$D$6,'Planning Sheet'!DM259='Weeks Plan'!$G$6),'Planning Sheet'!$DN259,"")</f>
        <v/>
      </c>
      <c r="AA5688" s="48" t="str">
        <f ca="1">IF(AND('Planning Sheet'!DS259='Weeks Plan'!$D$6,'Planning Sheet'!DM259='Weeks Plan'!$G$6),'Planning Sheet'!$DO259,"")</f>
        <v/>
      </c>
    </row>
    <row r="5689" spans="25:27" x14ac:dyDescent="0.3">
      <c r="Y5689" s="48" t="str">
        <f ca="1">IF(AND('Planning Sheet'!DS260='Weeks Plan'!$D$6,'Planning Sheet'!DM260='Weeks Plan'!$G$6),'Planning Sheet'!$B260,"")</f>
        <v/>
      </c>
      <c r="Z5689" s="48" t="str">
        <f ca="1">IF(AND('Planning Sheet'!DS260='Weeks Plan'!$D$6,'Planning Sheet'!DM260='Weeks Plan'!$G$6),'Planning Sheet'!$DN260,"")</f>
        <v/>
      </c>
      <c r="AA5689" s="48" t="str">
        <f ca="1">IF(AND('Planning Sheet'!DS260='Weeks Plan'!$D$6,'Planning Sheet'!DM260='Weeks Plan'!$G$6),'Planning Sheet'!$DO260,"")</f>
        <v/>
      </c>
    </row>
    <row r="5690" spans="25:27" x14ac:dyDescent="0.3">
      <c r="Y5690" s="48" t="str">
        <f ca="1">IF(AND('Planning Sheet'!DS261='Weeks Plan'!$D$6,'Planning Sheet'!DM261='Weeks Plan'!$G$6),'Planning Sheet'!$B261,"")</f>
        <v/>
      </c>
      <c r="Z5690" s="48" t="str">
        <f ca="1">IF(AND('Planning Sheet'!DS261='Weeks Plan'!$D$6,'Planning Sheet'!DM261='Weeks Plan'!$G$6),'Planning Sheet'!$DN261,"")</f>
        <v/>
      </c>
      <c r="AA5690" s="48" t="str">
        <f ca="1">IF(AND('Planning Sheet'!DS261='Weeks Plan'!$D$6,'Planning Sheet'!DM261='Weeks Plan'!$G$6),'Planning Sheet'!$DO261,"")</f>
        <v/>
      </c>
    </row>
    <row r="5691" spans="25:27" x14ac:dyDescent="0.3">
      <c r="Y5691" s="48" t="str">
        <f ca="1">IF(AND('Planning Sheet'!DS262='Weeks Plan'!$D$6,'Planning Sheet'!DM262='Weeks Plan'!$G$6),'Planning Sheet'!$B262,"")</f>
        <v/>
      </c>
      <c r="Z5691" s="48" t="str">
        <f ca="1">IF(AND('Planning Sheet'!DS262='Weeks Plan'!$D$6,'Planning Sheet'!DM262='Weeks Plan'!$G$6),'Planning Sheet'!$DN262,"")</f>
        <v/>
      </c>
      <c r="AA5691" s="48" t="str">
        <f ca="1">IF(AND('Planning Sheet'!DS262='Weeks Plan'!$D$6,'Planning Sheet'!DM262='Weeks Plan'!$G$6),'Planning Sheet'!$DO262,"")</f>
        <v/>
      </c>
    </row>
    <row r="5692" spans="25:27" x14ac:dyDescent="0.3">
      <c r="Y5692" s="48" t="str">
        <f ca="1">IF(AND('Planning Sheet'!DS263='Weeks Plan'!$D$6,'Planning Sheet'!DM263='Weeks Plan'!$G$6),'Planning Sheet'!$B263,"")</f>
        <v/>
      </c>
      <c r="Z5692" s="48" t="str">
        <f ca="1">IF(AND('Planning Sheet'!DS263='Weeks Plan'!$D$6,'Planning Sheet'!DM263='Weeks Plan'!$G$6),'Planning Sheet'!$DN263,"")</f>
        <v/>
      </c>
      <c r="AA5692" s="48" t="str">
        <f ca="1">IF(AND('Planning Sheet'!DS263='Weeks Plan'!$D$6,'Planning Sheet'!DM263='Weeks Plan'!$G$6),'Planning Sheet'!$DO263,"")</f>
        <v/>
      </c>
    </row>
    <row r="5693" spans="25:27" x14ac:dyDescent="0.3">
      <c r="Y5693" s="48" t="str">
        <f ca="1">IF(AND('Planning Sheet'!DS264='Weeks Plan'!$D$6,'Planning Sheet'!DM264='Weeks Plan'!$G$6),'Planning Sheet'!$B264,"")</f>
        <v/>
      </c>
      <c r="Z5693" s="48" t="str">
        <f ca="1">IF(AND('Planning Sheet'!DS264='Weeks Plan'!$D$6,'Planning Sheet'!DM264='Weeks Plan'!$G$6),'Planning Sheet'!$DN264,"")</f>
        <v/>
      </c>
      <c r="AA5693" s="48" t="str">
        <f ca="1">IF(AND('Planning Sheet'!DS264='Weeks Plan'!$D$6,'Planning Sheet'!DM264='Weeks Plan'!$G$6),'Planning Sheet'!$DO264,"")</f>
        <v/>
      </c>
    </row>
    <row r="5694" spans="25:27" x14ac:dyDescent="0.3">
      <c r="Y5694" s="48" t="str">
        <f ca="1">IF(AND('Planning Sheet'!DS265='Weeks Plan'!$D$6,'Planning Sheet'!DM265='Weeks Plan'!$G$6),'Planning Sheet'!$B265,"")</f>
        <v/>
      </c>
      <c r="Z5694" s="48" t="str">
        <f ca="1">IF(AND('Planning Sheet'!DS265='Weeks Plan'!$D$6,'Planning Sheet'!DM265='Weeks Plan'!$G$6),'Planning Sheet'!$DN265,"")</f>
        <v/>
      </c>
      <c r="AA5694" s="48" t="str">
        <f ca="1">IF(AND('Planning Sheet'!DS265='Weeks Plan'!$D$6,'Planning Sheet'!DM265='Weeks Plan'!$G$6),'Planning Sheet'!$DO265,"")</f>
        <v/>
      </c>
    </row>
    <row r="5695" spans="25:27" x14ac:dyDescent="0.3">
      <c r="Y5695" s="48" t="str">
        <f ca="1">IF(AND('Planning Sheet'!DS266='Weeks Plan'!$D$6,'Planning Sheet'!DM266='Weeks Plan'!$G$6),'Planning Sheet'!$B266,"")</f>
        <v/>
      </c>
      <c r="Z5695" s="48" t="str">
        <f ca="1">IF(AND('Planning Sheet'!DS266='Weeks Plan'!$D$6,'Planning Sheet'!DM266='Weeks Plan'!$G$6),'Planning Sheet'!$DN266,"")</f>
        <v/>
      </c>
      <c r="AA5695" s="48" t="str">
        <f ca="1">IF(AND('Planning Sheet'!DS266='Weeks Plan'!$D$6,'Planning Sheet'!DM266='Weeks Plan'!$G$6),'Planning Sheet'!$DO266,"")</f>
        <v/>
      </c>
    </row>
    <row r="5696" spans="25:27" x14ac:dyDescent="0.3">
      <c r="Y5696" s="48" t="str">
        <f ca="1">IF(AND('Planning Sheet'!DS267='Weeks Plan'!$D$6,'Planning Sheet'!DM267='Weeks Plan'!$G$6),'Planning Sheet'!$B267,"")</f>
        <v/>
      </c>
      <c r="Z5696" s="48" t="str">
        <f ca="1">IF(AND('Planning Sheet'!DS267='Weeks Plan'!$D$6,'Planning Sheet'!DM267='Weeks Plan'!$G$6),'Planning Sheet'!$DN267,"")</f>
        <v/>
      </c>
      <c r="AA5696" s="48" t="str">
        <f ca="1">IF(AND('Planning Sheet'!DS267='Weeks Plan'!$D$6,'Planning Sheet'!DM267='Weeks Plan'!$G$6),'Planning Sheet'!$DO267,"")</f>
        <v/>
      </c>
    </row>
    <row r="5697" spans="25:27" x14ac:dyDescent="0.3">
      <c r="Y5697" s="48" t="str">
        <f ca="1">IF(AND('Planning Sheet'!DS268='Weeks Plan'!$D$6,'Planning Sheet'!DM268='Weeks Plan'!$G$6),'Planning Sheet'!$B268,"")</f>
        <v/>
      </c>
      <c r="Z5697" s="48" t="str">
        <f ca="1">IF(AND('Planning Sheet'!DS268='Weeks Plan'!$D$6,'Planning Sheet'!DM268='Weeks Plan'!$G$6),'Planning Sheet'!$DN268,"")</f>
        <v/>
      </c>
      <c r="AA5697" s="48" t="str">
        <f ca="1">IF(AND('Planning Sheet'!DS268='Weeks Plan'!$D$6,'Planning Sheet'!DM268='Weeks Plan'!$G$6),'Planning Sheet'!$DO268,"")</f>
        <v/>
      </c>
    </row>
    <row r="5698" spans="25:27" x14ac:dyDescent="0.3">
      <c r="Y5698" s="48" t="str">
        <f ca="1">IF(AND('Planning Sheet'!DS269='Weeks Plan'!$D$6,'Planning Sheet'!DM269='Weeks Plan'!$G$6),'Planning Sheet'!$B269,"")</f>
        <v/>
      </c>
      <c r="Z5698" s="48" t="str">
        <f ca="1">IF(AND('Planning Sheet'!DS269='Weeks Plan'!$D$6,'Planning Sheet'!DM269='Weeks Plan'!$G$6),'Planning Sheet'!$DN269,"")</f>
        <v/>
      </c>
      <c r="AA5698" s="48" t="str">
        <f ca="1">IF(AND('Planning Sheet'!DS269='Weeks Plan'!$D$6,'Planning Sheet'!DM269='Weeks Plan'!$G$6),'Planning Sheet'!$DO269,"")</f>
        <v/>
      </c>
    </row>
    <row r="5699" spans="25:27" x14ac:dyDescent="0.3">
      <c r="Y5699" s="48" t="str">
        <f ca="1">IF(AND('Planning Sheet'!DS270='Weeks Plan'!$D$6,'Planning Sheet'!DM270='Weeks Plan'!$G$6),'Planning Sheet'!$B270,"")</f>
        <v/>
      </c>
      <c r="Z5699" s="48" t="str">
        <f ca="1">IF(AND('Planning Sheet'!DS270='Weeks Plan'!$D$6,'Planning Sheet'!DM270='Weeks Plan'!$G$6),'Planning Sheet'!$DN270,"")</f>
        <v/>
      </c>
      <c r="AA5699" s="48" t="str">
        <f ca="1">IF(AND('Planning Sheet'!DS270='Weeks Plan'!$D$6,'Planning Sheet'!DM270='Weeks Plan'!$G$6),'Planning Sheet'!$DO270,"")</f>
        <v/>
      </c>
    </row>
    <row r="5700" spans="25:27" x14ac:dyDescent="0.3">
      <c r="Y5700" s="48" t="str">
        <f ca="1">IF(AND('Planning Sheet'!DS271='Weeks Plan'!$D$6,'Planning Sheet'!DM271='Weeks Plan'!$G$6),'Planning Sheet'!$B271,"")</f>
        <v/>
      </c>
      <c r="Z5700" s="48" t="str">
        <f ca="1">IF(AND('Planning Sheet'!DS271='Weeks Plan'!$D$6,'Planning Sheet'!DM271='Weeks Plan'!$G$6),'Planning Sheet'!$DN271,"")</f>
        <v/>
      </c>
      <c r="AA5700" s="48" t="str">
        <f ca="1">IF(AND('Planning Sheet'!DS271='Weeks Plan'!$D$6,'Planning Sheet'!DM271='Weeks Plan'!$G$6),'Planning Sheet'!$DO271,"")</f>
        <v/>
      </c>
    </row>
    <row r="5701" spans="25:27" x14ac:dyDescent="0.3">
      <c r="Y5701" s="48" t="str">
        <f ca="1">IF(AND('Planning Sheet'!DS272='Weeks Plan'!$D$6,'Planning Sheet'!DM272='Weeks Plan'!$G$6),'Planning Sheet'!$B272,"")</f>
        <v/>
      </c>
      <c r="Z5701" s="48" t="str">
        <f ca="1">IF(AND('Planning Sheet'!DS272='Weeks Plan'!$D$6,'Planning Sheet'!DM272='Weeks Plan'!$G$6),'Planning Sheet'!$DN272,"")</f>
        <v/>
      </c>
      <c r="AA5701" s="48" t="str">
        <f ca="1">IF(AND('Planning Sheet'!DS272='Weeks Plan'!$D$6,'Planning Sheet'!DM272='Weeks Plan'!$G$6),'Planning Sheet'!$DO272,"")</f>
        <v/>
      </c>
    </row>
    <row r="5702" spans="25:27" x14ac:dyDescent="0.3">
      <c r="Y5702" s="48" t="str">
        <f ca="1">IF(AND('Planning Sheet'!DS273='Weeks Plan'!$D$6,'Planning Sheet'!DM273='Weeks Plan'!$G$6),'Planning Sheet'!$B273,"")</f>
        <v/>
      </c>
      <c r="Z5702" s="48" t="str">
        <f ca="1">IF(AND('Planning Sheet'!DS273='Weeks Plan'!$D$6,'Planning Sheet'!DM273='Weeks Plan'!$G$6),'Planning Sheet'!$DN273,"")</f>
        <v/>
      </c>
      <c r="AA5702" s="48" t="str">
        <f ca="1">IF(AND('Planning Sheet'!DS273='Weeks Plan'!$D$6,'Planning Sheet'!DM273='Weeks Plan'!$G$6),'Planning Sheet'!$DO273,"")</f>
        <v/>
      </c>
    </row>
    <row r="5703" spans="25:27" x14ac:dyDescent="0.3">
      <c r="Y5703" s="48" t="str">
        <f ca="1">IF(AND('Planning Sheet'!DS274='Weeks Plan'!$D$6,'Planning Sheet'!DM274='Weeks Plan'!$G$6),'Planning Sheet'!$B274,"")</f>
        <v/>
      </c>
      <c r="Z5703" s="48" t="str">
        <f ca="1">IF(AND('Planning Sheet'!DS274='Weeks Plan'!$D$6,'Planning Sheet'!DM274='Weeks Plan'!$G$6),'Planning Sheet'!$DN274,"")</f>
        <v/>
      </c>
      <c r="AA5703" s="48" t="str">
        <f ca="1">IF(AND('Planning Sheet'!DS274='Weeks Plan'!$D$6,'Planning Sheet'!DM274='Weeks Plan'!$G$6),'Planning Sheet'!$DO274,"")</f>
        <v/>
      </c>
    </row>
    <row r="5704" spans="25:27" x14ac:dyDescent="0.3">
      <c r="Y5704" s="48" t="str">
        <f ca="1">IF(AND('Planning Sheet'!DS275='Weeks Plan'!$D$6,'Planning Sheet'!DM275='Weeks Plan'!$G$6),'Planning Sheet'!$B275,"")</f>
        <v/>
      </c>
      <c r="Z5704" s="48" t="str">
        <f ca="1">IF(AND('Planning Sheet'!DS275='Weeks Plan'!$D$6,'Planning Sheet'!DM275='Weeks Plan'!$G$6),'Planning Sheet'!$DN275,"")</f>
        <v/>
      </c>
      <c r="AA5704" s="48" t="str">
        <f ca="1">IF(AND('Planning Sheet'!DS275='Weeks Plan'!$D$6,'Planning Sheet'!DM275='Weeks Plan'!$G$6),'Planning Sheet'!$DO275,"")</f>
        <v/>
      </c>
    </row>
    <row r="5705" spans="25:27" x14ac:dyDescent="0.3">
      <c r="Y5705" s="48" t="str">
        <f ca="1">IF(AND('Planning Sheet'!DS276='Weeks Plan'!$D$6,'Planning Sheet'!DM276='Weeks Plan'!$G$6),'Planning Sheet'!$B276,"")</f>
        <v/>
      </c>
      <c r="Z5705" s="48" t="str">
        <f ca="1">IF(AND('Planning Sheet'!DS276='Weeks Plan'!$D$6,'Planning Sheet'!DM276='Weeks Plan'!$G$6),'Planning Sheet'!$DN276,"")</f>
        <v/>
      </c>
      <c r="AA5705" s="48" t="str">
        <f ca="1">IF(AND('Planning Sheet'!DS276='Weeks Plan'!$D$6,'Planning Sheet'!DM276='Weeks Plan'!$G$6),'Planning Sheet'!$DO276,"")</f>
        <v/>
      </c>
    </row>
    <row r="5706" spans="25:27" x14ac:dyDescent="0.3">
      <c r="Y5706" s="48" t="str">
        <f ca="1">IF(AND('Planning Sheet'!DS277='Weeks Plan'!$D$6,'Planning Sheet'!DM277='Weeks Plan'!$G$6),'Planning Sheet'!$B277,"")</f>
        <v/>
      </c>
      <c r="Z5706" s="48" t="str">
        <f ca="1">IF(AND('Planning Sheet'!DS277='Weeks Plan'!$D$6,'Planning Sheet'!DM277='Weeks Plan'!$G$6),'Planning Sheet'!$DN277,"")</f>
        <v/>
      </c>
      <c r="AA5706" s="48" t="str">
        <f ca="1">IF(AND('Planning Sheet'!DS277='Weeks Plan'!$D$6,'Planning Sheet'!DM277='Weeks Plan'!$G$6),'Planning Sheet'!$DO277,"")</f>
        <v/>
      </c>
    </row>
    <row r="5707" spans="25:27" x14ac:dyDescent="0.3">
      <c r="Y5707" s="48" t="str">
        <f ca="1">IF(AND('Planning Sheet'!DS278='Weeks Plan'!$D$6,'Planning Sheet'!DM278='Weeks Plan'!$G$6),'Planning Sheet'!$B278,"")</f>
        <v/>
      </c>
      <c r="Z5707" s="48" t="str">
        <f ca="1">IF(AND('Planning Sheet'!DS278='Weeks Plan'!$D$6,'Planning Sheet'!DM278='Weeks Plan'!$G$6),'Planning Sheet'!$DN278,"")</f>
        <v/>
      </c>
      <c r="AA5707" s="48" t="str">
        <f ca="1">IF(AND('Planning Sheet'!DS278='Weeks Plan'!$D$6,'Planning Sheet'!DM278='Weeks Plan'!$G$6),'Planning Sheet'!$DO278,"")</f>
        <v/>
      </c>
    </row>
    <row r="5708" spans="25:27" x14ac:dyDescent="0.3">
      <c r="Y5708" s="48" t="str">
        <f ca="1">IF(AND('Planning Sheet'!DS279='Weeks Plan'!$D$6,'Planning Sheet'!DM279='Weeks Plan'!$G$6),'Planning Sheet'!$B279,"")</f>
        <v/>
      </c>
      <c r="Z5708" s="48" t="str">
        <f ca="1">IF(AND('Planning Sheet'!DS279='Weeks Plan'!$D$6,'Planning Sheet'!DM279='Weeks Plan'!$G$6),'Planning Sheet'!$DN279,"")</f>
        <v/>
      </c>
      <c r="AA5708" s="48" t="str">
        <f ca="1">IF(AND('Planning Sheet'!DS279='Weeks Plan'!$D$6,'Planning Sheet'!DM279='Weeks Plan'!$G$6),'Planning Sheet'!$DO279,"")</f>
        <v/>
      </c>
    </row>
    <row r="5709" spans="25:27" x14ac:dyDescent="0.3">
      <c r="Y5709" s="48" t="str">
        <f ca="1">IF(AND('Planning Sheet'!DS280='Weeks Plan'!$D$6,'Planning Sheet'!DM280='Weeks Plan'!$G$6),'Planning Sheet'!$B280,"")</f>
        <v/>
      </c>
      <c r="Z5709" s="48" t="str">
        <f ca="1">IF(AND('Planning Sheet'!DS280='Weeks Plan'!$D$6,'Planning Sheet'!DM280='Weeks Plan'!$G$6),'Planning Sheet'!$DN280,"")</f>
        <v/>
      </c>
      <c r="AA5709" s="48" t="str">
        <f ca="1">IF(AND('Planning Sheet'!DS280='Weeks Plan'!$D$6,'Planning Sheet'!DM280='Weeks Plan'!$G$6),'Planning Sheet'!$DO280,"")</f>
        <v/>
      </c>
    </row>
    <row r="5710" spans="25:27" x14ac:dyDescent="0.3">
      <c r="Y5710" s="48" t="str">
        <f ca="1">IF(AND('Planning Sheet'!DS281='Weeks Plan'!$D$6,'Planning Sheet'!DM281='Weeks Plan'!$G$6),'Planning Sheet'!$B281,"")</f>
        <v/>
      </c>
      <c r="Z5710" s="48" t="str">
        <f ca="1">IF(AND('Planning Sheet'!DS281='Weeks Plan'!$D$6,'Planning Sheet'!DM281='Weeks Plan'!$G$6),'Planning Sheet'!$DN281,"")</f>
        <v/>
      </c>
      <c r="AA5710" s="48" t="str">
        <f ca="1">IF(AND('Planning Sheet'!DS281='Weeks Plan'!$D$6,'Planning Sheet'!DM281='Weeks Plan'!$G$6),'Planning Sheet'!$DO281,"")</f>
        <v/>
      </c>
    </row>
    <row r="5711" spans="25:27" x14ac:dyDescent="0.3">
      <c r="Y5711" s="48" t="str">
        <f ca="1">IF(AND('Planning Sheet'!DS282='Weeks Plan'!$D$6,'Planning Sheet'!DM282='Weeks Plan'!$G$6),'Planning Sheet'!$B282,"")</f>
        <v/>
      </c>
      <c r="Z5711" s="48" t="str">
        <f ca="1">IF(AND('Planning Sheet'!DS282='Weeks Plan'!$D$6,'Planning Sheet'!DM282='Weeks Plan'!$G$6),'Planning Sheet'!$DN282,"")</f>
        <v/>
      </c>
      <c r="AA5711" s="48" t="str">
        <f ca="1">IF(AND('Planning Sheet'!DS282='Weeks Plan'!$D$6,'Planning Sheet'!DM282='Weeks Plan'!$G$6),'Planning Sheet'!$DO282,"")</f>
        <v/>
      </c>
    </row>
    <row r="5712" spans="25:27" x14ac:dyDescent="0.3">
      <c r="Y5712" s="48" t="str">
        <f ca="1">IF(AND('Planning Sheet'!DS283='Weeks Plan'!$D$6,'Planning Sheet'!DM283='Weeks Plan'!$G$6),'Planning Sheet'!$B283,"")</f>
        <v/>
      </c>
      <c r="Z5712" s="48" t="str">
        <f ca="1">IF(AND('Planning Sheet'!DS283='Weeks Plan'!$D$6,'Planning Sheet'!DM283='Weeks Plan'!$G$6),'Planning Sheet'!$DN283,"")</f>
        <v/>
      </c>
      <c r="AA5712" s="48" t="str">
        <f ca="1">IF(AND('Planning Sheet'!DS283='Weeks Plan'!$D$6,'Planning Sheet'!DM283='Weeks Plan'!$G$6),'Planning Sheet'!$DO283,"")</f>
        <v/>
      </c>
    </row>
    <row r="5713" spans="25:27" x14ac:dyDescent="0.3">
      <c r="Y5713" s="48" t="str">
        <f ca="1">IF(AND('Planning Sheet'!DS284='Weeks Plan'!$D$6,'Planning Sheet'!DM284='Weeks Plan'!$G$6),'Planning Sheet'!$B284,"")</f>
        <v/>
      </c>
      <c r="Z5713" s="48" t="str">
        <f ca="1">IF(AND('Planning Sheet'!DS284='Weeks Plan'!$D$6,'Planning Sheet'!DM284='Weeks Plan'!$G$6),'Planning Sheet'!$DN284,"")</f>
        <v/>
      </c>
      <c r="AA5713" s="48" t="str">
        <f ca="1">IF(AND('Planning Sheet'!DS284='Weeks Plan'!$D$6,'Planning Sheet'!DM284='Weeks Plan'!$G$6),'Planning Sheet'!$DO284,"")</f>
        <v/>
      </c>
    </row>
    <row r="5714" spans="25:27" x14ac:dyDescent="0.3">
      <c r="Y5714" s="48" t="str">
        <f ca="1">IF(AND('Planning Sheet'!DS285='Weeks Plan'!$D$6,'Planning Sheet'!DM285='Weeks Plan'!$G$6),'Planning Sheet'!$B285,"")</f>
        <v/>
      </c>
      <c r="Z5714" s="48" t="str">
        <f ca="1">IF(AND('Planning Sheet'!DS285='Weeks Plan'!$D$6,'Planning Sheet'!DM285='Weeks Plan'!$G$6),'Planning Sheet'!$DN285,"")</f>
        <v/>
      </c>
      <c r="AA5714" s="48" t="str">
        <f ca="1">IF(AND('Planning Sheet'!DS285='Weeks Plan'!$D$6,'Planning Sheet'!DM285='Weeks Plan'!$G$6),'Planning Sheet'!$DO285,"")</f>
        <v/>
      </c>
    </row>
    <row r="5715" spans="25:27" x14ac:dyDescent="0.3">
      <c r="Y5715" s="48" t="str">
        <f ca="1">IF(AND('Planning Sheet'!DS286='Weeks Plan'!$D$6,'Planning Sheet'!DM286='Weeks Plan'!$G$6),'Planning Sheet'!$B286,"")</f>
        <v/>
      </c>
      <c r="Z5715" s="48" t="str">
        <f ca="1">IF(AND('Planning Sheet'!DS286='Weeks Plan'!$D$6,'Planning Sheet'!DM286='Weeks Plan'!$G$6),'Planning Sheet'!$DN286,"")</f>
        <v/>
      </c>
      <c r="AA5715" s="48" t="str">
        <f ca="1">IF(AND('Planning Sheet'!DS286='Weeks Plan'!$D$6,'Planning Sheet'!DM286='Weeks Plan'!$G$6),'Planning Sheet'!$DO286,"")</f>
        <v/>
      </c>
    </row>
    <row r="5716" spans="25:27" x14ac:dyDescent="0.3">
      <c r="Y5716" s="48" t="str">
        <f ca="1">IF(AND('Planning Sheet'!DS287='Weeks Plan'!$D$6,'Planning Sheet'!DM287='Weeks Plan'!$G$6),'Planning Sheet'!$B287,"")</f>
        <v/>
      </c>
      <c r="Z5716" s="48" t="str">
        <f ca="1">IF(AND('Planning Sheet'!DS287='Weeks Plan'!$D$6,'Planning Sheet'!DM287='Weeks Plan'!$G$6),'Planning Sheet'!$DN287,"")</f>
        <v/>
      </c>
      <c r="AA5716" s="48" t="str">
        <f ca="1">IF(AND('Planning Sheet'!DS287='Weeks Plan'!$D$6,'Planning Sheet'!DM287='Weeks Plan'!$G$6),'Planning Sheet'!$DO287,"")</f>
        <v/>
      </c>
    </row>
    <row r="5717" spans="25:27" x14ac:dyDescent="0.3">
      <c r="Y5717" s="48" t="str">
        <f ca="1">IF(AND('Planning Sheet'!DS288='Weeks Plan'!$D$6,'Planning Sheet'!DM288='Weeks Plan'!$G$6),'Planning Sheet'!$B288,"")</f>
        <v/>
      </c>
      <c r="Z5717" s="48" t="str">
        <f ca="1">IF(AND('Planning Sheet'!DS288='Weeks Plan'!$D$6,'Planning Sheet'!DM288='Weeks Plan'!$G$6),'Planning Sheet'!$DN288,"")</f>
        <v/>
      </c>
      <c r="AA5717" s="48" t="str">
        <f ca="1">IF(AND('Planning Sheet'!DS288='Weeks Plan'!$D$6,'Planning Sheet'!DM288='Weeks Plan'!$G$6),'Planning Sheet'!$DO288,"")</f>
        <v/>
      </c>
    </row>
    <row r="5718" spans="25:27" x14ac:dyDescent="0.3">
      <c r="Y5718" s="48" t="str">
        <f ca="1">IF(AND('Planning Sheet'!DS289='Weeks Plan'!$D$6,'Planning Sheet'!DM289='Weeks Plan'!$G$6),'Planning Sheet'!$B289,"")</f>
        <v/>
      </c>
      <c r="Z5718" s="48" t="str">
        <f ca="1">IF(AND('Planning Sheet'!DS289='Weeks Plan'!$D$6,'Planning Sheet'!DM289='Weeks Plan'!$G$6),'Planning Sheet'!$DN289,"")</f>
        <v/>
      </c>
      <c r="AA5718" s="48" t="str">
        <f ca="1">IF(AND('Planning Sheet'!DS289='Weeks Plan'!$D$6,'Planning Sheet'!DM289='Weeks Plan'!$G$6),'Planning Sheet'!$DO289,"")</f>
        <v/>
      </c>
    </row>
    <row r="5719" spans="25:27" x14ac:dyDescent="0.3">
      <c r="Y5719" s="48" t="str">
        <f ca="1">IF(AND('Planning Sheet'!DS290='Weeks Plan'!$D$6,'Planning Sheet'!DM290='Weeks Plan'!$G$6),'Planning Sheet'!$B290,"")</f>
        <v/>
      </c>
      <c r="Z5719" s="48" t="str">
        <f ca="1">IF(AND('Planning Sheet'!DS290='Weeks Plan'!$D$6,'Planning Sheet'!DM290='Weeks Plan'!$G$6),'Planning Sheet'!$DN290,"")</f>
        <v/>
      </c>
      <c r="AA5719" s="48" t="str">
        <f ca="1">IF(AND('Planning Sheet'!DS290='Weeks Plan'!$D$6,'Planning Sheet'!DM290='Weeks Plan'!$G$6),'Planning Sheet'!$DO290,"")</f>
        <v/>
      </c>
    </row>
    <row r="5720" spans="25:27" x14ac:dyDescent="0.3">
      <c r="Y5720" s="48" t="str">
        <f ca="1">IF(AND('Planning Sheet'!DS291='Weeks Plan'!$D$6,'Planning Sheet'!DM291='Weeks Plan'!$G$6),'Planning Sheet'!$B291,"")</f>
        <v/>
      </c>
      <c r="Z5720" s="48" t="str">
        <f ca="1">IF(AND('Planning Sheet'!DS291='Weeks Plan'!$D$6,'Planning Sheet'!DM291='Weeks Plan'!$G$6),'Planning Sheet'!$DN291,"")</f>
        <v/>
      </c>
      <c r="AA5720" s="48" t="str">
        <f ca="1">IF(AND('Planning Sheet'!DS291='Weeks Plan'!$D$6,'Planning Sheet'!DM291='Weeks Plan'!$G$6),'Planning Sheet'!$DO291,"")</f>
        <v/>
      </c>
    </row>
    <row r="5721" spans="25:27" x14ac:dyDescent="0.3">
      <c r="Y5721" s="48" t="str">
        <f ca="1">IF(AND('Planning Sheet'!DS292='Weeks Plan'!$D$6,'Planning Sheet'!DM292='Weeks Plan'!$G$6),'Planning Sheet'!$B292,"")</f>
        <v/>
      </c>
      <c r="Z5721" s="48" t="str">
        <f ca="1">IF(AND('Planning Sheet'!DS292='Weeks Plan'!$D$6,'Planning Sheet'!DM292='Weeks Plan'!$G$6),'Planning Sheet'!$DN292,"")</f>
        <v/>
      </c>
      <c r="AA5721" s="48" t="str">
        <f ca="1">IF(AND('Planning Sheet'!DS292='Weeks Plan'!$D$6,'Planning Sheet'!DM292='Weeks Plan'!$G$6),'Planning Sheet'!$DO292,"")</f>
        <v/>
      </c>
    </row>
    <row r="5722" spans="25:27" x14ac:dyDescent="0.3">
      <c r="Y5722" s="48" t="str">
        <f ca="1">IF(AND('Planning Sheet'!DS293='Weeks Plan'!$D$6,'Planning Sheet'!DM293='Weeks Plan'!$G$6),'Planning Sheet'!$B293,"")</f>
        <v/>
      </c>
      <c r="Z5722" s="48" t="str">
        <f ca="1">IF(AND('Planning Sheet'!DS293='Weeks Plan'!$D$6,'Planning Sheet'!DM293='Weeks Plan'!$G$6),'Planning Sheet'!$DN293,"")</f>
        <v/>
      </c>
      <c r="AA5722" s="48" t="str">
        <f ca="1">IF(AND('Planning Sheet'!DS293='Weeks Plan'!$D$6,'Planning Sheet'!DM293='Weeks Plan'!$G$6),'Planning Sheet'!$DO293,"")</f>
        <v/>
      </c>
    </row>
    <row r="5723" spans="25:27" x14ac:dyDescent="0.3">
      <c r="Y5723" s="48" t="str">
        <f ca="1">IF(AND('Planning Sheet'!DS294='Weeks Plan'!$D$6,'Planning Sheet'!DM294='Weeks Plan'!$G$6),'Planning Sheet'!$B294,"")</f>
        <v/>
      </c>
      <c r="Z5723" s="48" t="str">
        <f ca="1">IF(AND('Planning Sheet'!DS294='Weeks Plan'!$D$6,'Planning Sheet'!DM294='Weeks Plan'!$G$6),'Planning Sheet'!$DN294,"")</f>
        <v/>
      </c>
      <c r="AA5723" s="48" t="str">
        <f ca="1">IF(AND('Planning Sheet'!DS294='Weeks Plan'!$D$6,'Planning Sheet'!DM294='Weeks Plan'!$G$6),'Planning Sheet'!$DO294,"")</f>
        <v/>
      </c>
    </row>
    <row r="5724" spans="25:27" x14ac:dyDescent="0.3">
      <c r="Y5724" s="48" t="str">
        <f ca="1">IF(AND('Planning Sheet'!DS295='Weeks Plan'!$D$6,'Planning Sheet'!DM295='Weeks Plan'!$G$6),'Planning Sheet'!$B295,"")</f>
        <v/>
      </c>
      <c r="Z5724" s="48" t="str">
        <f ca="1">IF(AND('Planning Sheet'!DS295='Weeks Plan'!$D$6,'Planning Sheet'!DM295='Weeks Plan'!$G$6),'Planning Sheet'!$DN295,"")</f>
        <v/>
      </c>
      <c r="AA5724" s="48" t="str">
        <f ca="1">IF(AND('Planning Sheet'!DS295='Weeks Plan'!$D$6,'Planning Sheet'!DM295='Weeks Plan'!$G$6),'Planning Sheet'!$DO295,"")</f>
        <v/>
      </c>
    </row>
    <row r="5725" spans="25:27" x14ac:dyDescent="0.3">
      <c r="Y5725" s="48" t="str">
        <f ca="1">IF(AND('Planning Sheet'!DS296='Weeks Plan'!$D$6,'Planning Sheet'!DM296='Weeks Plan'!$G$6),'Planning Sheet'!$B296,"")</f>
        <v/>
      </c>
      <c r="Z5725" s="48" t="str">
        <f ca="1">IF(AND('Planning Sheet'!DS296='Weeks Plan'!$D$6,'Planning Sheet'!DM296='Weeks Plan'!$G$6),'Planning Sheet'!$DN296,"")</f>
        <v/>
      </c>
      <c r="AA5725" s="48" t="str">
        <f ca="1">IF(AND('Planning Sheet'!DS296='Weeks Plan'!$D$6,'Planning Sheet'!DM296='Weeks Plan'!$G$6),'Planning Sheet'!$DO296,"")</f>
        <v/>
      </c>
    </row>
    <row r="5726" spans="25:27" x14ac:dyDescent="0.3">
      <c r="Y5726" s="48" t="str">
        <f ca="1">IF(AND('Planning Sheet'!DS297='Weeks Plan'!$D$6,'Planning Sheet'!DM297='Weeks Plan'!$G$6),'Planning Sheet'!$B297,"")</f>
        <v/>
      </c>
      <c r="Z5726" s="48" t="str">
        <f ca="1">IF(AND('Planning Sheet'!DS297='Weeks Plan'!$D$6,'Planning Sheet'!DM297='Weeks Plan'!$G$6),'Planning Sheet'!$DN297,"")</f>
        <v/>
      </c>
      <c r="AA5726" s="48" t="str">
        <f ca="1">IF(AND('Planning Sheet'!DS297='Weeks Plan'!$D$6,'Planning Sheet'!DM297='Weeks Plan'!$G$6),'Planning Sheet'!$DO297,"")</f>
        <v/>
      </c>
    </row>
    <row r="5727" spans="25:27" x14ac:dyDescent="0.3">
      <c r="Y5727" s="48" t="str">
        <f ca="1">IF(AND('Planning Sheet'!DS298='Weeks Plan'!$D$6,'Planning Sheet'!DM298='Weeks Plan'!$G$6),'Planning Sheet'!$B298,"")</f>
        <v/>
      </c>
      <c r="Z5727" s="48" t="str">
        <f ca="1">IF(AND('Planning Sheet'!DS298='Weeks Plan'!$D$6,'Planning Sheet'!DM298='Weeks Plan'!$G$6),'Planning Sheet'!$DN298,"")</f>
        <v/>
      </c>
      <c r="AA5727" s="48" t="str">
        <f ca="1">IF(AND('Planning Sheet'!DS298='Weeks Plan'!$D$6,'Planning Sheet'!DM298='Weeks Plan'!$G$6),'Planning Sheet'!$DO298,"")</f>
        <v/>
      </c>
    </row>
    <row r="5728" spans="25:27" x14ac:dyDescent="0.3">
      <c r="Y5728" s="48" t="str">
        <f ca="1">IF(AND('Planning Sheet'!DS299='Weeks Plan'!$D$6,'Planning Sheet'!DM299='Weeks Plan'!$G$6),'Planning Sheet'!$B299,"")</f>
        <v/>
      </c>
      <c r="Z5728" s="48" t="str">
        <f ca="1">IF(AND('Planning Sheet'!DS299='Weeks Plan'!$D$6,'Planning Sheet'!DM299='Weeks Plan'!$G$6),'Planning Sheet'!$DN299,"")</f>
        <v/>
      </c>
      <c r="AA5728" s="48" t="str">
        <f ca="1">IF(AND('Planning Sheet'!DS299='Weeks Plan'!$D$6,'Planning Sheet'!DM299='Weeks Plan'!$G$6),'Planning Sheet'!$DO299,"")</f>
        <v/>
      </c>
    </row>
    <row r="5729" spans="25:27" x14ac:dyDescent="0.3">
      <c r="Y5729" s="48" t="str">
        <f ca="1">IF(AND('Planning Sheet'!DS300='Weeks Plan'!$D$6,'Planning Sheet'!DM300='Weeks Plan'!$G$6),'Planning Sheet'!$B300,"")</f>
        <v/>
      </c>
      <c r="Z5729" s="48" t="str">
        <f ca="1">IF(AND('Planning Sheet'!DS300='Weeks Plan'!$D$6,'Planning Sheet'!DM300='Weeks Plan'!$G$6),'Planning Sheet'!$DN300,"")</f>
        <v/>
      </c>
      <c r="AA5729" s="48" t="str">
        <f ca="1">IF(AND('Planning Sheet'!DS300='Weeks Plan'!$D$6,'Planning Sheet'!DM300='Weeks Plan'!$G$6),'Planning Sheet'!$DO300,"")</f>
        <v/>
      </c>
    </row>
    <row r="5730" spans="25:27" x14ac:dyDescent="0.3">
      <c r="Y5730" s="48" t="str">
        <f ca="1">IF(AND('Planning Sheet'!DS301='Weeks Plan'!$D$6,'Planning Sheet'!DM301='Weeks Plan'!$G$6),'Planning Sheet'!$B301,"")</f>
        <v/>
      </c>
      <c r="Z5730" s="48" t="str">
        <f ca="1">IF(AND('Planning Sheet'!DS301='Weeks Plan'!$D$6,'Planning Sheet'!DM301='Weeks Plan'!$G$6),'Planning Sheet'!$DN301,"")</f>
        <v/>
      </c>
      <c r="AA5730" s="48" t="str">
        <f ca="1">IF(AND('Planning Sheet'!DS301='Weeks Plan'!$D$6,'Planning Sheet'!DM301='Weeks Plan'!$G$6),'Planning Sheet'!$DO301,"")</f>
        <v/>
      </c>
    </row>
    <row r="5731" spans="25:27" x14ac:dyDescent="0.3">
      <c r="Y5731" s="48" t="str">
        <f ca="1">IF(AND('Planning Sheet'!DS302='Weeks Plan'!$D$6,'Planning Sheet'!DM302='Weeks Plan'!$G$6),'Planning Sheet'!$B302,"")</f>
        <v/>
      </c>
      <c r="Z5731" s="48" t="str">
        <f ca="1">IF(AND('Planning Sheet'!DS302='Weeks Plan'!$D$6,'Planning Sheet'!DM302='Weeks Plan'!$G$6),'Planning Sheet'!$DN302,"")</f>
        <v/>
      </c>
      <c r="AA5731" s="48" t="str">
        <f ca="1">IF(AND('Planning Sheet'!DS302='Weeks Plan'!$D$6,'Planning Sheet'!DM302='Weeks Plan'!$G$6),'Planning Sheet'!$DO302,"")</f>
        <v/>
      </c>
    </row>
    <row r="5732" spans="25:27" x14ac:dyDescent="0.3">
      <c r="Y5732" s="48" t="str">
        <f ca="1">IF(AND('Planning Sheet'!DS303='Weeks Plan'!$D$6,'Planning Sheet'!DM303='Weeks Plan'!$G$6),'Planning Sheet'!$B303,"")</f>
        <v/>
      </c>
      <c r="Z5732" s="48" t="str">
        <f ca="1">IF(AND('Planning Sheet'!DS303='Weeks Plan'!$D$6,'Planning Sheet'!DM303='Weeks Plan'!$G$6),'Planning Sheet'!$DN303,"")</f>
        <v/>
      </c>
      <c r="AA5732" s="48" t="str">
        <f ca="1">IF(AND('Planning Sheet'!DS303='Weeks Plan'!$D$6,'Planning Sheet'!DM303='Weeks Plan'!$G$6),'Planning Sheet'!$DO303,"")</f>
        <v/>
      </c>
    </row>
    <row r="5733" spans="25:27" x14ac:dyDescent="0.3">
      <c r="Y5733" s="48" t="str">
        <f ca="1">IF(AND('Planning Sheet'!DS304='Weeks Plan'!$D$6,'Planning Sheet'!DM304='Weeks Plan'!$G$6),'Planning Sheet'!$B304,"")</f>
        <v/>
      </c>
      <c r="Z5733" s="48" t="str">
        <f ca="1">IF(AND('Planning Sheet'!DS304='Weeks Plan'!$D$6,'Planning Sheet'!DM304='Weeks Plan'!$G$6),'Planning Sheet'!$DN304,"")</f>
        <v/>
      </c>
      <c r="AA5733" s="48" t="str">
        <f ca="1">IF(AND('Planning Sheet'!DS304='Weeks Plan'!$D$6,'Planning Sheet'!DM304='Weeks Plan'!$G$6),'Planning Sheet'!$DO304,"")</f>
        <v/>
      </c>
    </row>
    <row r="5734" spans="25:27" x14ac:dyDescent="0.3">
      <c r="Y5734" s="48" t="str">
        <f ca="1">IF(AND('Planning Sheet'!DS305='Weeks Plan'!$D$6,'Planning Sheet'!DM305='Weeks Plan'!$G$6),'Planning Sheet'!$B305,"")</f>
        <v/>
      </c>
      <c r="Z5734" s="48" t="str">
        <f ca="1">IF(AND('Planning Sheet'!DS305='Weeks Plan'!$D$6,'Planning Sheet'!DM305='Weeks Plan'!$G$6),'Planning Sheet'!$DN305,"")</f>
        <v/>
      </c>
      <c r="AA5734" s="48" t="str">
        <f ca="1">IF(AND('Planning Sheet'!DS305='Weeks Plan'!$D$6,'Planning Sheet'!DM305='Weeks Plan'!$G$6),'Planning Sheet'!$DO305,"")</f>
        <v/>
      </c>
    </row>
    <row r="5735" spans="25:27" x14ac:dyDescent="0.3">
      <c r="Y5735" s="48" t="str">
        <f ca="1">IF(AND('Planning Sheet'!DS306='Weeks Plan'!$D$6,'Planning Sheet'!DM306='Weeks Plan'!$G$6),'Planning Sheet'!$B306,"")</f>
        <v/>
      </c>
      <c r="Z5735" s="48" t="str">
        <f ca="1">IF(AND('Planning Sheet'!DS306='Weeks Plan'!$D$6,'Planning Sheet'!DM306='Weeks Plan'!$G$6),'Planning Sheet'!$DN306,"")</f>
        <v/>
      </c>
      <c r="AA5735" s="48" t="str">
        <f ca="1">IF(AND('Planning Sheet'!DS306='Weeks Plan'!$D$6,'Planning Sheet'!DM306='Weeks Plan'!$G$6),'Planning Sheet'!$DO306,"")</f>
        <v/>
      </c>
    </row>
    <row r="5736" spans="25:27" x14ac:dyDescent="0.3">
      <c r="Y5736" s="48" t="str">
        <f ca="1">IF(AND('Planning Sheet'!DS307='Weeks Plan'!$D$6,'Planning Sheet'!DM307='Weeks Plan'!$G$6),'Planning Sheet'!$B307,"")</f>
        <v/>
      </c>
      <c r="Z5736" s="48" t="str">
        <f ca="1">IF(AND('Planning Sheet'!DS307='Weeks Plan'!$D$6,'Planning Sheet'!DM307='Weeks Plan'!$G$6),'Planning Sheet'!$DN307,"")</f>
        <v/>
      </c>
      <c r="AA5736" s="48" t="str">
        <f ca="1">IF(AND('Planning Sheet'!DS307='Weeks Plan'!$D$6,'Planning Sheet'!DM307='Weeks Plan'!$G$6),'Planning Sheet'!$DO307,"")</f>
        <v/>
      </c>
    </row>
    <row r="5737" spans="25:27" x14ac:dyDescent="0.3">
      <c r="Y5737" s="48" t="str">
        <f ca="1">IF(AND('Planning Sheet'!DS308='Weeks Plan'!$D$6,'Planning Sheet'!DM308='Weeks Plan'!$G$6),'Planning Sheet'!$B308,"")</f>
        <v/>
      </c>
      <c r="Z5737" s="48" t="str">
        <f ca="1">IF(AND('Planning Sheet'!DS308='Weeks Plan'!$D$6,'Planning Sheet'!DM308='Weeks Plan'!$G$6),'Planning Sheet'!$DN308,"")</f>
        <v/>
      </c>
      <c r="AA5737" s="48" t="str">
        <f ca="1">IF(AND('Planning Sheet'!DS308='Weeks Plan'!$D$6,'Planning Sheet'!DM308='Weeks Plan'!$G$6),'Planning Sheet'!$DO308,"")</f>
        <v/>
      </c>
    </row>
    <row r="5738" spans="25:27" x14ac:dyDescent="0.3">
      <c r="Y5738" s="48" t="str">
        <f ca="1">IF(AND('Planning Sheet'!DS309='Weeks Plan'!$D$6,'Planning Sheet'!DM309='Weeks Plan'!$G$6),'Planning Sheet'!$B309,"")</f>
        <v/>
      </c>
      <c r="Z5738" s="48" t="str">
        <f ca="1">IF(AND('Planning Sheet'!DS309='Weeks Plan'!$D$6,'Planning Sheet'!DM309='Weeks Plan'!$G$6),'Planning Sheet'!$DN309,"")</f>
        <v/>
      </c>
      <c r="AA5738" s="48" t="str">
        <f ca="1">IF(AND('Planning Sheet'!DS309='Weeks Plan'!$D$6,'Planning Sheet'!DM309='Weeks Plan'!$G$6),'Planning Sheet'!$DO309,"")</f>
        <v/>
      </c>
    </row>
    <row r="5739" spans="25:27" x14ac:dyDescent="0.3">
      <c r="Y5739" s="48" t="str">
        <f ca="1">IF(AND('Planning Sheet'!DS310='Weeks Plan'!$D$6,'Planning Sheet'!DM310='Weeks Plan'!$G$6),'Planning Sheet'!$B310,"")</f>
        <v/>
      </c>
      <c r="Z5739" s="48" t="str">
        <f ca="1">IF(AND('Planning Sheet'!DS310='Weeks Plan'!$D$6,'Planning Sheet'!DM310='Weeks Plan'!$G$6),'Planning Sheet'!$DN310,"")</f>
        <v/>
      </c>
      <c r="AA5739" s="48" t="str">
        <f ca="1">IF(AND('Planning Sheet'!DS310='Weeks Plan'!$D$6,'Planning Sheet'!DM310='Weeks Plan'!$G$6),'Planning Sheet'!$DO310,"")</f>
        <v/>
      </c>
    </row>
    <row r="5740" spans="25:27" x14ac:dyDescent="0.3">
      <c r="Y5740" s="48" t="str">
        <f ca="1">IF(AND('Planning Sheet'!DS311='Weeks Plan'!$D$6,'Planning Sheet'!DM311='Weeks Plan'!$G$6),'Planning Sheet'!$B311,"")</f>
        <v/>
      </c>
      <c r="Z5740" s="48" t="str">
        <f ca="1">IF(AND('Planning Sheet'!DS311='Weeks Plan'!$D$6,'Planning Sheet'!DM311='Weeks Plan'!$G$6),'Planning Sheet'!$DN311,"")</f>
        <v/>
      </c>
      <c r="AA5740" s="48" t="str">
        <f ca="1">IF(AND('Planning Sheet'!DS311='Weeks Plan'!$D$6,'Planning Sheet'!DM311='Weeks Plan'!$G$6),'Planning Sheet'!$DO311,"")</f>
        <v/>
      </c>
    </row>
    <row r="5741" spans="25:27" x14ac:dyDescent="0.3">
      <c r="Y5741" s="48" t="str">
        <f ca="1">IF(AND('Planning Sheet'!DS312='Weeks Plan'!$D$6,'Planning Sheet'!DM312='Weeks Plan'!$G$6),'Planning Sheet'!$B312,"")</f>
        <v/>
      </c>
      <c r="Z5741" s="48" t="str">
        <f ca="1">IF(AND('Planning Sheet'!DS312='Weeks Plan'!$D$6,'Planning Sheet'!DM312='Weeks Plan'!$G$6),'Planning Sheet'!$DN312,"")</f>
        <v/>
      </c>
      <c r="AA5741" s="48" t="str">
        <f ca="1">IF(AND('Planning Sheet'!DS312='Weeks Plan'!$D$6,'Planning Sheet'!DM312='Weeks Plan'!$G$6),'Planning Sheet'!$DO312,"")</f>
        <v/>
      </c>
    </row>
    <row r="5742" spans="25:27" x14ac:dyDescent="0.3">
      <c r="Y5742" s="48" t="str">
        <f ca="1">IF(AND('Planning Sheet'!DS313='Weeks Plan'!$D$6,'Planning Sheet'!DM313='Weeks Plan'!$G$6),'Planning Sheet'!$B313,"")</f>
        <v/>
      </c>
      <c r="Z5742" s="48" t="str">
        <f ca="1">IF(AND('Planning Sheet'!DS313='Weeks Plan'!$D$6,'Planning Sheet'!DM313='Weeks Plan'!$G$6),'Planning Sheet'!$DN313,"")</f>
        <v/>
      </c>
      <c r="AA5742" s="48" t="str">
        <f ca="1">IF(AND('Planning Sheet'!DS313='Weeks Plan'!$D$6,'Planning Sheet'!DM313='Weeks Plan'!$G$6),'Planning Sheet'!$DO313,"")</f>
        <v/>
      </c>
    </row>
    <row r="5743" spans="25:27" x14ac:dyDescent="0.3">
      <c r="Y5743" s="48" t="str">
        <f ca="1">IF(AND('Planning Sheet'!DS314='Weeks Plan'!$D$6,'Planning Sheet'!DM314='Weeks Plan'!$G$6),'Planning Sheet'!$B314,"")</f>
        <v/>
      </c>
      <c r="Z5743" s="48" t="str">
        <f ca="1">IF(AND('Planning Sheet'!DS314='Weeks Plan'!$D$6,'Planning Sheet'!DM314='Weeks Plan'!$G$6),'Planning Sheet'!$DN314,"")</f>
        <v/>
      </c>
      <c r="AA5743" s="48" t="str">
        <f ca="1">IF(AND('Planning Sheet'!DS314='Weeks Plan'!$D$6,'Planning Sheet'!DM314='Weeks Plan'!$G$6),'Planning Sheet'!$DO314,"")</f>
        <v/>
      </c>
    </row>
    <row r="5744" spans="25:27" x14ac:dyDescent="0.3">
      <c r="Y5744" s="48" t="str">
        <f ca="1">IF(AND('Planning Sheet'!DS315='Weeks Plan'!$D$6,'Planning Sheet'!DM315='Weeks Plan'!$G$6),'Planning Sheet'!$B315,"")</f>
        <v/>
      </c>
      <c r="Z5744" s="48" t="str">
        <f ca="1">IF(AND('Planning Sheet'!DS315='Weeks Plan'!$D$6,'Planning Sheet'!DM315='Weeks Plan'!$G$6),'Planning Sheet'!$DN315,"")</f>
        <v/>
      </c>
      <c r="AA5744" s="48" t="str">
        <f ca="1">IF(AND('Planning Sheet'!DS315='Weeks Plan'!$D$6,'Planning Sheet'!DM315='Weeks Plan'!$G$6),'Planning Sheet'!$DO315,"")</f>
        <v/>
      </c>
    </row>
    <row r="5745" spans="25:27" x14ac:dyDescent="0.3">
      <c r="Y5745" s="48" t="str">
        <f ca="1">IF(AND('Planning Sheet'!DS316='Weeks Plan'!$D$6,'Planning Sheet'!DM316='Weeks Plan'!$G$6),'Planning Sheet'!$B316,"")</f>
        <v/>
      </c>
      <c r="Z5745" s="48" t="str">
        <f ca="1">IF(AND('Planning Sheet'!DS316='Weeks Plan'!$D$6,'Planning Sheet'!DM316='Weeks Plan'!$G$6),'Planning Sheet'!$DN316,"")</f>
        <v/>
      </c>
      <c r="AA5745" s="48" t="str">
        <f ca="1">IF(AND('Planning Sheet'!DS316='Weeks Plan'!$D$6,'Planning Sheet'!DM316='Weeks Plan'!$G$6),'Planning Sheet'!$DO316,"")</f>
        <v/>
      </c>
    </row>
    <row r="5746" spans="25:27" x14ac:dyDescent="0.3">
      <c r="Y5746" s="48" t="str">
        <f ca="1">IF(AND('Planning Sheet'!DS317='Weeks Plan'!$D$6,'Planning Sheet'!DM317='Weeks Plan'!$G$6),'Planning Sheet'!$B317,"")</f>
        <v/>
      </c>
      <c r="Z5746" s="48" t="str">
        <f ca="1">IF(AND('Planning Sheet'!DS317='Weeks Plan'!$D$6,'Planning Sheet'!DM317='Weeks Plan'!$G$6),'Planning Sheet'!$DN317,"")</f>
        <v/>
      </c>
      <c r="AA5746" s="48" t="str">
        <f ca="1">IF(AND('Planning Sheet'!DS317='Weeks Plan'!$D$6,'Planning Sheet'!DM317='Weeks Plan'!$G$6),'Planning Sheet'!$DO317,"")</f>
        <v/>
      </c>
    </row>
    <row r="5747" spans="25:27" x14ac:dyDescent="0.3">
      <c r="Y5747" s="48" t="str">
        <f ca="1">IF(AND('Planning Sheet'!DS318='Weeks Plan'!$D$6,'Planning Sheet'!DM318='Weeks Plan'!$G$6),'Planning Sheet'!$B318,"")</f>
        <v/>
      </c>
      <c r="Z5747" s="48" t="str">
        <f ca="1">IF(AND('Planning Sheet'!DS318='Weeks Plan'!$D$6,'Planning Sheet'!DM318='Weeks Plan'!$G$6),'Planning Sheet'!$DN318,"")</f>
        <v/>
      </c>
      <c r="AA5747" s="48" t="str">
        <f ca="1">IF(AND('Planning Sheet'!DS318='Weeks Plan'!$D$6,'Planning Sheet'!DM318='Weeks Plan'!$G$6),'Planning Sheet'!$DO318,"")</f>
        <v/>
      </c>
    </row>
    <row r="5748" spans="25:27" x14ac:dyDescent="0.3">
      <c r="Y5748" s="48" t="str">
        <f ca="1">IF(AND('Planning Sheet'!DS319='Weeks Plan'!$D$6,'Planning Sheet'!DM319='Weeks Plan'!$G$6),'Planning Sheet'!$B319,"")</f>
        <v/>
      </c>
      <c r="Z5748" s="48" t="str">
        <f ca="1">IF(AND('Planning Sheet'!DS319='Weeks Plan'!$D$6,'Planning Sheet'!DM319='Weeks Plan'!$G$6),'Planning Sheet'!$DN319,"")</f>
        <v/>
      </c>
      <c r="AA5748" s="48" t="str">
        <f ca="1">IF(AND('Planning Sheet'!DS319='Weeks Plan'!$D$6,'Planning Sheet'!DM319='Weeks Plan'!$G$6),'Planning Sheet'!$DO319,"")</f>
        <v/>
      </c>
    </row>
    <row r="5749" spans="25:27" x14ac:dyDescent="0.3">
      <c r="Y5749" s="48" t="str">
        <f ca="1">IF(AND('Planning Sheet'!DS320='Weeks Plan'!$D$6,'Planning Sheet'!DM320='Weeks Plan'!$G$6),'Planning Sheet'!$B320,"")</f>
        <v/>
      </c>
      <c r="Z5749" s="48" t="str">
        <f ca="1">IF(AND('Planning Sheet'!DS320='Weeks Plan'!$D$6,'Planning Sheet'!DM320='Weeks Plan'!$G$6),'Planning Sheet'!$DN320,"")</f>
        <v/>
      </c>
      <c r="AA5749" s="48" t="str">
        <f ca="1">IF(AND('Planning Sheet'!DS320='Weeks Plan'!$D$6,'Planning Sheet'!DM320='Weeks Plan'!$G$6),'Planning Sheet'!$DO320,"")</f>
        <v/>
      </c>
    </row>
    <row r="5750" spans="25:27" x14ac:dyDescent="0.3">
      <c r="Y5750" s="48" t="str">
        <f ca="1">IF(AND('Planning Sheet'!DS321='Weeks Plan'!$D$6,'Planning Sheet'!DM321='Weeks Plan'!$G$6),'Planning Sheet'!$B321,"")</f>
        <v/>
      </c>
      <c r="Z5750" s="48" t="str">
        <f ca="1">IF(AND('Planning Sheet'!DS321='Weeks Plan'!$D$6,'Planning Sheet'!DM321='Weeks Plan'!$G$6),'Planning Sheet'!$DN321,"")</f>
        <v/>
      </c>
      <c r="AA5750" s="48" t="str">
        <f ca="1">IF(AND('Planning Sheet'!DS321='Weeks Plan'!$D$6,'Planning Sheet'!DM321='Weeks Plan'!$G$6),'Planning Sheet'!$DO321,"")</f>
        <v/>
      </c>
    </row>
    <row r="5751" spans="25:27" x14ac:dyDescent="0.3">
      <c r="Y5751" s="48" t="str">
        <f ca="1">IF(AND('Planning Sheet'!DS322='Weeks Plan'!$D$6,'Planning Sheet'!DM322='Weeks Plan'!$G$6),'Planning Sheet'!$B322,"")</f>
        <v/>
      </c>
      <c r="Z5751" s="48" t="str">
        <f ca="1">IF(AND('Planning Sheet'!DS322='Weeks Plan'!$D$6,'Planning Sheet'!DM322='Weeks Plan'!$G$6),'Planning Sheet'!$DN322,"")</f>
        <v/>
      </c>
      <c r="AA5751" s="48" t="str">
        <f ca="1">IF(AND('Planning Sheet'!DS322='Weeks Plan'!$D$6,'Planning Sheet'!DM322='Weeks Plan'!$G$6),'Planning Sheet'!$DO322,"")</f>
        <v/>
      </c>
    </row>
    <row r="5752" spans="25:27" x14ac:dyDescent="0.3">
      <c r="Y5752" s="48" t="str">
        <f ca="1">IF(AND('Planning Sheet'!DS323='Weeks Plan'!$D$6,'Planning Sheet'!DM323='Weeks Plan'!$G$6),'Planning Sheet'!$B323,"")</f>
        <v/>
      </c>
      <c r="Z5752" s="48" t="str">
        <f ca="1">IF(AND('Planning Sheet'!DS323='Weeks Plan'!$D$6,'Planning Sheet'!DM323='Weeks Plan'!$G$6),'Planning Sheet'!$DN323,"")</f>
        <v/>
      </c>
      <c r="AA5752" s="48" t="str">
        <f ca="1">IF(AND('Planning Sheet'!DS323='Weeks Plan'!$D$6,'Planning Sheet'!DM323='Weeks Plan'!$G$6),'Planning Sheet'!$DO323,"")</f>
        <v/>
      </c>
    </row>
    <row r="5753" spans="25:27" x14ac:dyDescent="0.3">
      <c r="Y5753" s="48" t="str">
        <f ca="1">IF(AND('Planning Sheet'!DS324='Weeks Plan'!$D$6,'Planning Sheet'!DM324='Weeks Plan'!$G$6),'Planning Sheet'!$B324,"")</f>
        <v/>
      </c>
      <c r="Z5753" s="48" t="str">
        <f ca="1">IF(AND('Planning Sheet'!DS324='Weeks Plan'!$D$6,'Planning Sheet'!DM324='Weeks Plan'!$G$6),'Planning Sheet'!$DN324,"")</f>
        <v/>
      </c>
      <c r="AA5753" s="48" t="str">
        <f ca="1">IF(AND('Planning Sheet'!DS324='Weeks Plan'!$D$6,'Planning Sheet'!DM324='Weeks Plan'!$G$6),'Planning Sheet'!$DO324,"")</f>
        <v/>
      </c>
    </row>
    <row r="5754" spans="25:27" x14ac:dyDescent="0.3">
      <c r="Y5754" s="48" t="str">
        <f ca="1">IF(AND('Planning Sheet'!DS325='Weeks Plan'!$D$6,'Planning Sheet'!DM325='Weeks Plan'!$G$6),'Planning Sheet'!$B325,"")</f>
        <v/>
      </c>
      <c r="Z5754" s="48" t="str">
        <f ca="1">IF(AND('Planning Sheet'!DS325='Weeks Plan'!$D$6,'Planning Sheet'!DM325='Weeks Plan'!$G$6),'Planning Sheet'!$DN325,"")</f>
        <v/>
      </c>
      <c r="AA5754" s="48" t="str">
        <f ca="1">IF(AND('Planning Sheet'!DS325='Weeks Plan'!$D$6,'Planning Sheet'!DM325='Weeks Plan'!$G$6),'Planning Sheet'!$DO325,"")</f>
        <v/>
      </c>
    </row>
    <row r="5755" spans="25:27" x14ac:dyDescent="0.3">
      <c r="Y5755" s="48" t="str">
        <f ca="1">IF(AND('Planning Sheet'!DS326='Weeks Plan'!$D$6,'Planning Sheet'!DM326='Weeks Plan'!$G$6),'Planning Sheet'!$B326,"")</f>
        <v/>
      </c>
      <c r="Z5755" s="48" t="str">
        <f ca="1">IF(AND('Planning Sheet'!DS326='Weeks Plan'!$D$6,'Planning Sheet'!DM326='Weeks Plan'!$G$6),'Planning Sheet'!$DN326,"")</f>
        <v/>
      </c>
      <c r="AA5755" s="48" t="str">
        <f ca="1">IF(AND('Planning Sheet'!DS326='Weeks Plan'!$D$6,'Planning Sheet'!DM326='Weeks Plan'!$G$6),'Planning Sheet'!$DO326,"")</f>
        <v/>
      </c>
    </row>
    <row r="5756" spans="25:27" x14ac:dyDescent="0.3">
      <c r="Y5756" s="48" t="str">
        <f ca="1">IF(AND('Planning Sheet'!DS327='Weeks Plan'!$D$6,'Planning Sheet'!DM327='Weeks Plan'!$G$6),'Planning Sheet'!$B327,"")</f>
        <v/>
      </c>
      <c r="Z5756" s="48" t="str">
        <f ca="1">IF(AND('Planning Sheet'!DS327='Weeks Plan'!$D$6,'Planning Sheet'!DM327='Weeks Plan'!$G$6),'Planning Sheet'!$DN327,"")</f>
        <v/>
      </c>
      <c r="AA5756" s="48" t="str">
        <f ca="1">IF(AND('Planning Sheet'!DS327='Weeks Plan'!$D$6,'Planning Sheet'!DM327='Weeks Plan'!$G$6),'Planning Sheet'!$DO327,"")</f>
        <v/>
      </c>
    </row>
    <row r="5757" spans="25:27" x14ac:dyDescent="0.3">
      <c r="Y5757" s="48" t="str">
        <f ca="1">IF(AND('Planning Sheet'!DS328='Weeks Plan'!$D$6,'Planning Sheet'!DM328='Weeks Plan'!$G$6),'Planning Sheet'!$B328,"")</f>
        <v/>
      </c>
      <c r="Z5757" s="48" t="str">
        <f ca="1">IF(AND('Planning Sheet'!DS328='Weeks Plan'!$D$6,'Planning Sheet'!DM328='Weeks Plan'!$G$6),'Planning Sheet'!$DN328,"")</f>
        <v/>
      </c>
      <c r="AA5757" s="48" t="str">
        <f ca="1">IF(AND('Planning Sheet'!DS328='Weeks Plan'!$D$6,'Planning Sheet'!DM328='Weeks Plan'!$G$6),'Planning Sheet'!$DO328,"")</f>
        <v/>
      </c>
    </row>
    <row r="5758" spans="25:27" x14ac:dyDescent="0.3">
      <c r="Y5758" s="48" t="str">
        <f ca="1">IF(AND('Planning Sheet'!DS329='Weeks Plan'!$D$6,'Planning Sheet'!DM329='Weeks Plan'!$G$6),'Planning Sheet'!$B329,"")</f>
        <v/>
      </c>
      <c r="Z5758" s="48" t="str">
        <f ca="1">IF(AND('Planning Sheet'!DS329='Weeks Plan'!$D$6,'Planning Sheet'!DM329='Weeks Plan'!$G$6),'Planning Sheet'!$DN329,"")</f>
        <v/>
      </c>
      <c r="AA5758" s="48" t="str">
        <f ca="1">IF(AND('Planning Sheet'!DS329='Weeks Plan'!$D$6,'Planning Sheet'!DM329='Weeks Plan'!$G$6),'Planning Sheet'!$DO329,"")</f>
        <v/>
      </c>
    </row>
    <row r="5759" spans="25:27" x14ac:dyDescent="0.3">
      <c r="Y5759" s="48" t="str">
        <f ca="1">IF(AND('Planning Sheet'!DS330='Weeks Plan'!$D$6,'Planning Sheet'!DM330='Weeks Plan'!$G$6),'Planning Sheet'!$B330,"")</f>
        <v/>
      </c>
      <c r="Z5759" s="48" t="str">
        <f ca="1">IF(AND('Planning Sheet'!DS330='Weeks Plan'!$D$6,'Planning Sheet'!DM330='Weeks Plan'!$G$6),'Planning Sheet'!$DN330,"")</f>
        <v/>
      </c>
      <c r="AA5759" s="48" t="str">
        <f ca="1">IF(AND('Planning Sheet'!DS330='Weeks Plan'!$D$6,'Planning Sheet'!DM330='Weeks Plan'!$G$6),'Planning Sheet'!$DO330,"")</f>
        <v/>
      </c>
    </row>
    <row r="5760" spans="25:27" x14ac:dyDescent="0.3">
      <c r="Y5760" s="48" t="str">
        <f ca="1">IF(AND('Planning Sheet'!DS331='Weeks Plan'!$D$6,'Planning Sheet'!DM331='Weeks Plan'!$G$6),'Planning Sheet'!$B331,"")</f>
        <v/>
      </c>
      <c r="Z5760" s="48" t="str">
        <f ca="1">IF(AND('Planning Sheet'!DS331='Weeks Plan'!$D$6,'Planning Sheet'!DM331='Weeks Plan'!$G$6),'Planning Sheet'!$DN331,"")</f>
        <v/>
      </c>
      <c r="AA5760" s="48" t="str">
        <f ca="1">IF(AND('Planning Sheet'!DS331='Weeks Plan'!$D$6,'Planning Sheet'!DM331='Weeks Plan'!$G$6),'Planning Sheet'!$DO331,"")</f>
        <v/>
      </c>
    </row>
    <row r="5761" spans="25:27" x14ac:dyDescent="0.3">
      <c r="Y5761" s="48" t="str">
        <f ca="1">IF(AND('Planning Sheet'!DS332='Weeks Plan'!$D$6,'Planning Sheet'!DM332='Weeks Plan'!$G$6),'Planning Sheet'!$B332,"")</f>
        <v/>
      </c>
      <c r="Z5761" s="48" t="str">
        <f ca="1">IF(AND('Planning Sheet'!DS332='Weeks Plan'!$D$6,'Planning Sheet'!DM332='Weeks Plan'!$G$6),'Planning Sheet'!$DN332,"")</f>
        <v/>
      </c>
      <c r="AA5761" s="48" t="str">
        <f ca="1">IF(AND('Planning Sheet'!DS332='Weeks Plan'!$D$6,'Planning Sheet'!DM332='Weeks Plan'!$G$6),'Planning Sheet'!$DO332,"")</f>
        <v/>
      </c>
    </row>
    <row r="5762" spans="25:27" x14ac:dyDescent="0.3">
      <c r="Y5762" s="48" t="str">
        <f ca="1">IF(AND('Planning Sheet'!DS333='Weeks Plan'!$D$6,'Planning Sheet'!DM333='Weeks Plan'!$G$6),'Planning Sheet'!$B333,"")</f>
        <v/>
      </c>
      <c r="Z5762" s="48" t="str">
        <f ca="1">IF(AND('Planning Sheet'!DS333='Weeks Plan'!$D$6,'Planning Sheet'!DM333='Weeks Plan'!$G$6),'Planning Sheet'!$DN333,"")</f>
        <v/>
      </c>
      <c r="AA5762" s="48" t="str">
        <f ca="1">IF(AND('Planning Sheet'!DS333='Weeks Plan'!$D$6,'Planning Sheet'!DM333='Weeks Plan'!$G$6),'Planning Sheet'!$DO333,"")</f>
        <v/>
      </c>
    </row>
    <row r="5763" spans="25:27" x14ac:dyDescent="0.3">
      <c r="Y5763" s="48" t="str">
        <f ca="1">IF(AND('Planning Sheet'!DS334='Weeks Plan'!$D$6,'Planning Sheet'!DM334='Weeks Plan'!$G$6),'Planning Sheet'!$B334,"")</f>
        <v/>
      </c>
      <c r="Z5763" s="48" t="str">
        <f ca="1">IF(AND('Planning Sheet'!DS334='Weeks Plan'!$D$6,'Planning Sheet'!DM334='Weeks Plan'!$G$6),'Planning Sheet'!$DN334,"")</f>
        <v/>
      </c>
      <c r="AA5763" s="48" t="str">
        <f ca="1">IF(AND('Planning Sheet'!DS334='Weeks Plan'!$D$6,'Planning Sheet'!DM334='Weeks Plan'!$G$6),'Planning Sheet'!$DO334,"")</f>
        <v/>
      </c>
    </row>
    <row r="5764" spans="25:27" x14ac:dyDescent="0.3">
      <c r="Y5764" s="48" t="str">
        <f ca="1">IF(AND('Planning Sheet'!DS335='Weeks Plan'!$D$6,'Planning Sheet'!DM335='Weeks Plan'!$G$6),'Planning Sheet'!$B335,"")</f>
        <v/>
      </c>
      <c r="Z5764" s="48" t="str">
        <f ca="1">IF(AND('Planning Sheet'!DS335='Weeks Plan'!$D$6,'Planning Sheet'!DM335='Weeks Plan'!$G$6),'Planning Sheet'!$DN335,"")</f>
        <v/>
      </c>
      <c r="AA5764" s="48" t="str">
        <f ca="1">IF(AND('Planning Sheet'!DS335='Weeks Plan'!$D$6,'Planning Sheet'!DM335='Weeks Plan'!$G$6),'Planning Sheet'!$DO335,"")</f>
        <v/>
      </c>
    </row>
    <row r="5765" spans="25:27" x14ac:dyDescent="0.3">
      <c r="Y5765" s="48" t="str">
        <f ca="1">IF(AND('Planning Sheet'!DS336='Weeks Plan'!$D$6,'Planning Sheet'!DM336='Weeks Plan'!$G$6),'Planning Sheet'!$B336,"")</f>
        <v/>
      </c>
      <c r="Z5765" s="48" t="str">
        <f ca="1">IF(AND('Planning Sheet'!DS336='Weeks Plan'!$D$6,'Planning Sheet'!DM336='Weeks Plan'!$G$6),'Planning Sheet'!$DN336,"")</f>
        <v/>
      </c>
      <c r="AA5765" s="48" t="str">
        <f ca="1">IF(AND('Planning Sheet'!DS336='Weeks Plan'!$D$6,'Planning Sheet'!DM336='Weeks Plan'!$G$6),'Planning Sheet'!$DO336,"")</f>
        <v/>
      </c>
    </row>
    <row r="5766" spans="25:27" x14ac:dyDescent="0.3">
      <c r="Y5766" s="48" t="str">
        <f ca="1">IF(AND('Planning Sheet'!DS337='Weeks Plan'!$D$6,'Planning Sheet'!DM337='Weeks Plan'!$G$6),'Planning Sheet'!$B337,"")</f>
        <v/>
      </c>
      <c r="Z5766" s="48" t="str">
        <f ca="1">IF(AND('Planning Sheet'!DS337='Weeks Plan'!$D$6,'Planning Sheet'!DM337='Weeks Plan'!$G$6),'Planning Sheet'!$DN337,"")</f>
        <v/>
      </c>
      <c r="AA5766" s="48" t="str">
        <f ca="1">IF(AND('Planning Sheet'!DS337='Weeks Plan'!$D$6,'Planning Sheet'!DM337='Weeks Plan'!$G$6),'Planning Sheet'!$DO337,"")</f>
        <v/>
      </c>
    </row>
    <row r="5767" spans="25:27" x14ac:dyDescent="0.3">
      <c r="Y5767" s="48" t="str">
        <f ca="1">IF(AND('Planning Sheet'!DS338='Weeks Plan'!$D$6,'Planning Sheet'!DM338='Weeks Plan'!$G$6),'Planning Sheet'!$B338,"")</f>
        <v/>
      </c>
      <c r="Z5767" s="48" t="str">
        <f ca="1">IF(AND('Planning Sheet'!DS338='Weeks Plan'!$D$6,'Planning Sheet'!DM338='Weeks Plan'!$G$6),'Planning Sheet'!$DN338,"")</f>
        <v/>
      </c>
      <c r="AA5767" s="48" t="str">
        <f ca="1">IF(AND('Planning Sheet'!DS338='Weeks Plan'!$D$6,'Planning Sheet'!DM338='Weeks Plan'!$G$6),'Planning Sheet'!$DO338,"")</f>
        <v/>
      </c>
    </row>
    <row r="5768" spans="25:27" x14ac:dyDescent="0.3">
      <c r="Y5768" s="48" t="str">
        <f ca="1">IF(AND('Planning Sheet'!DS339='Weeks Plan'!$D$6,'Planning Sheet'!DM339='Weeks Plan'!$G$6),'Planning Sheet'!$B339,"")</f>
        <v/>
      </c>
      <c r="Z5768" s="48" t="str">
        <f ca="1">IF(AND('Planning Sheet'!DS339='Weeks Plan'!$D$6,'Planning Sheet'!DM339='Weeks Plan'!$G$6),'Planning Sheet'!$DN339,"")</f>
        <v/>
      </c>
      <c r="AA5768" s="48" t="str">
        <f ca="1">IF(AND('Planning Sheet'!DS339='Weeks Plan'!$D$6,'Planning Sheet'!DM339='Weeks Plan'!$G$6),'Planning Sheet'!$DO339,"")</f>
        <v/>
      </c>
    </row>
    <row r="5769" spans="25:27" x14ac:dyDescent="0.3">
      <c r="Y5769" s="48" t="str">
        <f ca="1">IF(AND('Planning Sheet'!DS340='Weeks Plan'!$D$6,'Planning Sheet'!DM340='Weeks Plan'!$G$6),'Planning Sheet'!$B340,"")</f>
        <v/>
      </c>
      <c r="Z5769" s="48" t="str">
        <f ca="1">IF(AND('Planning Sheet'!DS340='Weeks Plan'!$D$6,'Planning Sheet'!DM340='Weeks Plan'!$G$6),'Planning Sheet'!$DN340,"")</f>
        <v/>
      </c>
      <c r="AA5769" s="48" t="str">
        <f ca="1">IF(AND('Planning Sheet'!DS340='Weeks Plan'!$D$6,'Planning Sheet'!DM340='Weeks Plan'!$G$6),'Planning Sheet'!$DO340,"")</f>
        <v/>
      </c>
    </row>
    <row r="5770" spans="25:27" x14ac:dyDescent="0.3">
      <c r="Y5770" s="48" t="str">
        <f ca="1">IF(AND('Planning Sheet'!DS341='Weeks Plan'!$D$6,'Planning Sheet'!DM341='Weeks Plan'!$G$6),'Planning Sheet'!$B341,"")</f>
        <v/>
      </c>
      <c r="Z5770" s="48" t="str">
        <f ca="1">IF(AND('Planning Sheet'!DS341='Weeks Plan'!$D$6,'Planning Sheet'!DM341='Weeks Plan'!$G$6),'Planning Sheet'!$DN341,"")</f>
        <v/>
      </c>
      <c r="AA5770" s="48" t="str">
        <f ca="1">IF(AND('Planning Sheet'!DS341='Weeks Plan'!$D$6,'Planning Sheet'!DM341='Weeks Plan'!$G$6),'Planning Sheet'!$DO341,"")</f>
        <v/>
      </c>
    </row>
    <row r="5771" spans="25:27" x14ac:dyDescent="0.3">
      <c r="Y5771" s="48" t="str">
        <f ca="1">IF(AND('Planning Sheet'!DS342='Weeks Plan'!$D$6,'Planning Sheet'!DM342='Weeks Plan'!$G$6),'Planning Sheet'!$B342,"")</f>
        <v/>
      </c>
      <c r="Z5771" s="48" t="str">
        <f ca="1">IF(AND('Planning Sheet'!DS342='Weeks Plan'!$D$6,'Planning Sheet'!DM342='Weeks Plan'!$G$6),'Planning Sheet'!$DN342,"")</f>
        <v/>
      </c>
      <c r="AA5771" s="48" t="str">
        <f ca="1">IF(AND('Planning Sheet'!DS342='Weeks Plan'!$D$6,'Planning Sheet'!DM342='Weeks Plan'!$G$6),'Planning Sheet'!$DO342,"")</f>
        <v/>
      </c>
    </row>
    <row r="5772" spans="25:27" x14ac:dyDescent="0.3">
      <c r="Y5772" s="48" t="str">
        <f ca="1">IF(AND('Planning Sheet'!DS343='Weeks Plan'!$D$6,'Planning Sheet'!DM343='Weeks Plan'!$G$6),'Planning Sheet'!$B343,"")</f>
        <v/>
      </c>
      <c r="Z5772" s="48" t="str">
        <f ca="1">IF(AND('Planning Sheet'!DS343='Weeks Plan'!$D$6,'Planning Sheet'!DM343='Weeks Plan'!$G$6),'Planning Sheet'!$DN343,"")</f>
        <v/>
      </c>
      <c r="AA5772" s="48" t="str">
        <f ca="1">IF(AND('Planning Sheet'!DS343='Weeks Plan'!$D$6,'Planning Sheet'!DM343='Weeks Plan'!$G$6),'Planning Sheet'!$DO343,"")</f>
        <v/>
      </c>
    </row>
    <row r="5773" spans="25:27" x14ac:dyDescent="0.3">
      <c r="Y5773" s="48" t="str">
        <f ca="1">IF(AND('Planning Sheet'!DS344='Weeks Plan'!$D$6,'Planning Sheet'!DM344='Weeks Plan'!$G$6),'Planning Sheet'!$B344,"")</f>
        <v/>
      </c>
      <c r="Z5773" s="48" t="str">
        <f ca="1">IF(AND('Planning Sheet'!DS344='Weeks Plan'!$D$6,'Planning Sheet'!DM344='Weeks Plan'!$G$6),'Planning Sheet'!$DN344,"")</f>
        <v/>
      </c>
      <c r="AA5773" s="48" t="str">
        <f ca="1">IF(AND('Planning Sheet'!DS344='Weeks Plan'!$D$6,'Planning Sheet'!DM344='Weeks Plan'!$G$6),'Planning Sheet'!$DO344,"")</f>
        <v/>
      </c>
    </row>
    <row r="5774" spans="25:27" x14ac:dyDescent="0.3">
      <c r="Y5774" s="48" t="str">
        <f ca="1">IF(AND('Planning Sheet'!DS345='Weeks Plan'!$D$6,'Planning Sheet'!DM345='Weeks Plan'!$G$6),'Planning Sheet'!$B345,"")</f>
        <v/>
      </c>
      <c r="Z5774" s="48" t="str">
        <f ca="1">IF(AND('Planning Sheet'!DS345='Weeks Plan'!$D$6,'Planning Sheet'!DM345='Weeks Plan'!$G$6),'Planning Sheet'!$DN345,"")</f>
        <v/>
      </c>
      <c r="AA5774" s="48" t="str">
        <f ca="1">IF(AND('Planning Sheet'!DS345='Weeks Plan'!$D$6,'Planning Sheet'!DM345='Weeks Plan'!$G$6),'Planning Sheet'!$DO345,"")</f>
        <v/>
      </c>
    </row>
    <row r="5775" spans="25:27" x14ac:dyDescent="0.3">
      <c r="Y5775" s="48" t="str">
        <f ca="1">IF(AND('Planning Sheet'!DS346='Weeks Plan'!$D$6,'Planning Sheet'!DM346='Weeks Plan'!$G$6),'Planning Sheet'!$B346,"")</f>
        <v/>
      </c>
      <c r="Z5775" s="48" t="str">
        <f ca="1">IF(AND('Planning Sheet'!DS346='Weeks Plan'!$D$6,'Planning Sheet'!DM346='Weeks Plan'!$G$6),'Planning Sheet'!$DN346,"")</f>
        <v/>
      </c>
      <c r="AA5775" s="48" t="str">
        <f ca="1">IF(AND('Planning Sheet'!DS346='Weeks Plan'!$D$6,'Planning Sheet'!DM346='Weeks Plan'!$G$6),'Planning Sheet'!$DO346,"")</f>
        <v/>
      </c>
    </row>
    <row r="5776" spans="25:27" x14ac:dyDescent="0.3">
      <c r="Y5776" s="48" t="str">
        <f ca="1">IF(AND('Planning Sheet'!DS347='Weeks Plan'!$D$6,'Planning Sheet'!DM347='Weeks Plan'!$G$6),'Planning Sheet'!$B347,"")</f>
        <v/>
      </c>
      <c r="Z5776" s="48" t="str">
        <f ca="1">IF(AND('Planning Sheet'!DS347='Weeks Plan'!$D$6,'Planning Sheet'!DM347='Weeks Plan'!$G$6),'Planning Sheet'!$DN347,"")</f>
        <v/>
      </c>
      <c r="AA5776" s="48" t="str">
        <f ca="1">IF(AND('Planning Sheet'!DS347='Weeks Plan'!$D$6,'Planning Sheet'!DM347='Weeks Plan'!$G$6),'Planning Sheet'!$DO347,"")</f>
        <v/>
      </c>
    </row>
    <row r="5777" spans="25:27" x14ac:dyDescent="0.3">
      <c r="Y5777" s="48" t="str">
        <f ca="1">IF(AND('Planning Sheet'!DS348='Weeks Plan'!$D$6,'Planning Sheet'!DM348='Weeks Plan'!$G$6),'Planning Sheet'!$B348,"")</f>
        <v/>
      </c>
      <c r="Z5777" s="48" t="str">
        <f ca="1">IF(AND('Planning Sheet'!DS348='Weeks Plan'!$D$6,'Planning Sheet'!DM348='Weeks Plan'!$G$6),'Planning Sheet'!$DN348,"")</f>
        <v/>
      </c>
      <c r="AA5777" s="48" t="str">
        <f ca="1">IF(AND('Planning Sheet'!DS348='Weeks Plan'!$D$6,'Planning Sheet'!DM348='Weeks Plan'!$G$6),'Planning Sheet'!$DO348,"")</f>
        <v/>
      </c>
    </row>
    <row r="5778" spans="25:27" x14ac:dyDescent="0.3">
      <c r="Y5778" s="48" t="str">
        <f ca="1">IF(AND('Planning Sheet'!DS349='Weeks Plan'!$D$6,'Planning Sheet'!DM349='Weeks Plan'!$G$6),'Planning Sheet'!$B349,"")</f>
        <v/>
      </c>
      <c r="Z5778" s="48" t="str">
        <f ca="1">IF(AND('Planning Sheet'!DS349='Weeks Plan'!$D$6,'Planning Sheet'!DM349='Weeks Plan'!$G$6),'Planning Sheet'!$DN349,"")</f>
        <v/>
      </c>
      <c r="AA5778" s="48" t="str">
        <f ca="1">IF(AND('Planning Sheet'!DS349='Weeks Plan'!$D$6,'Planning Sheet'!DM349='Weeks Plan'!$G$6),'Planning Sheet'!$DO349,"")</f>
        <v/>
      </c>
    </row>
    <row r="5779" spans="25:27" x14ac:dyDescent="0.3">
      <c r="Y5779" s="48" t="str">
        <f ca="1">IF(AND('Planning Sheet'!DS350='Weeks Plan'!$D$6,'Planning Sheet'!DM350='Weeks Plan'!$G$6),'Planning Sheet'!$B350,"")</f>
        <v/>
      </c>
      <c r="Z5779" s="48" t="str">
        <f ca="1">IF(AND('Planning Sheet'!DS350='Weeks Plan'!$D$6,'Planning Sheet'!DM350='Weeks Plan'!$G$6),'Planning Sheet'!$DN350,"")</f>
        <v/>
      </c>
      <c r="AA5779" s="48" t="str">
        <f ca="1">IF(AND('Planning Sheet'!DS350='Weeks Plan'!$D$6,'Planning Sheet'!DM350='Weeks Plan'!$G$6),'Planning Sheet'!$DO350,"")</f>
        <v/>
      </c>
    </row>
    <row r="5780" spans="25:27" x14ac:dyDescent="0.3">
      <c r="Y5780" s="48" t="str">
        <f ca="1">IF(AND('Planning Sheet'!DS351='Weeks Plan'!$D$6,'Planning Sheet'!DM351='Weeks Plan'!$G$6),'Planning Sheet'!$B351,"")</f>
        <v/>
      </c>
      <c r="Z5780" s="48" t="str">
        <f ca="1">IF(AND('Planning Sheet'!DS351='Weeks Plan'!$D$6,'Planning Sheet'!DM351='Weeks Plan'!$G$6),'Planning Sheet'!$DN351,"")</f>
        <v/>
      </c>
      <c r="AA5780" s="48" t="str">
        <f ca="1">IF(AND('Planning Sheet'!DS351='Weeks Plan'!$D$6,'Planning Sheet'!DM351='Weeks Plan'!$G$6),'Planning Sheet'!$DO351,"")</f>
        <v/>
      </c>
    </row>
    <row r="5781" spans="25:27" x14ac:dyDescent="0.3">
      <c r="Y5781" s="48" t="str">
        <f ca="1">IF(AND('Planning Sheet'!DS352='Weeks Plan'!$D$6,'Planning Sheet'!DM352='Weeks Plan'!$G$6),'Planning Sheet'!$B352,"")</f>
        <v/>
      </c>
      <c r="Z5781" s="48" t="str">
        <f ca="1">IF(AND('Planning Sheet'!DS352='Weeks Plan'!$D$6,'Planning Sheet'!DM352='Weeks Plan'!$G$6),'Planning Sheet'!$DN352,"")</f>
        <v/>
      </c>
      <c r="AA5781" s="48" t="str">
        <f ca="1">IF(AND('Planning Sheet'!DS352='Weeks Plan'!$D$6,'Planning Sheet'!DM352='Weeks Plan'!$G$6),'Planning Sheet'!$DO352,"")</f>
        <v/>
      </c>
    </row>
    <row r="5782" spans="25:27" x14ac:dyDescent="0.3">
      <c r="Y5782" s="48" t="str">
        <f ca="1">IF(AND('Planning Sheet'!DS353='Weeks Plan'!$D$6,'Planning Sheet'!DM353='Weeks Plan'!$G$6),'Planning Sheet'!$B353,"")</f>
        <v/>
      </c>
      <c r="Z5782" s="48" t="str">
        <f ca="1">IF(AND('Planning Sheet'!DS353='Weeks Plan'!$D$6,'Planning Sheet'!DM353='Weeks Plan'!$G$6),'Planning Sheet'!$DN353,"")</f>
        <v/>
      </c>
      <c r="AA5782" s="48" t="str">
        <f ca="1">IF(AND('Planning Sheet'!DS353='Weeks Plan'!$D$6,'Planning Sheet'!DM353='Weeks Plan'!$G$6),'Planning Sheet'!$DO353,"")</f>
        <v/>
      </c>
    </row>
    <row r="5783" spans="25:27" x14ac:dyDescent="0.3">
      <c r="Y5783" s="48" t="str">
        <f ca="1">IF(AND('Planning Sheet'!DS354='Weeks Plan'!$D$6,'Planning Sheet'!DM354='Weeks Plan'!$G$6),'Planning Sheet'!$B354,"")</f>
        <v/>
      </c>
      <c r="Z5783" s="48" t="str">
        <f ca="1">IF(AND('Planning Sheet'!DS354='Weeks Plan'!$D$6,'Planning Sheet'!DM354='Weeks Plan'!$G$6),'Planning Sheet'!$DN354,"")</f>
        <v/>
      </c>
      <c r="AA5783" s="48" t="str">
        <f ca="1">IF(AND('Planning Sheet'!DS354='Weeks Plan'!$D$6,'Planning Sheet'!DM354='Weeks Plan'!$G$6),'Planning Sheet'!$DO354,"")</f>
        <v/>
      </c>
    </row>
    <row r="5784" spans="25:27" x14ac:dyDescent="0.3">
      <c r="Y5784" s="48" t="str">
        <f ca="1">IF(AND('Planning Sheet'!DS355='Weeks Plan'!$D$6,'Planning Sheet'!DM355='Weeks Plan'!$G$6),'Planning Sheet'!$B355,"")</f>
        <v/>
      </c>
      <c r="Z5784" s="48" t="str">
        <f ca="1">IF(AND('Planning Sheet'!DS355='Weeks Plan'!$D$6,'Planning Sheet'!DM355='Weeks Plan'!$G$6),'Planning Sheet'!$DN355,"")</f>
        <v/>
      </c>
      <c r="AA5784" s="48" t="str">
        <f ca="1">IF(AND('Planning Sheet'!DS355='Weeks Plan'!$D$6,'Planning Sheet'!DM355='Weeks Plan'!$G$6),'Planning Sheet'!$DO355,"")</f>
        <v/>
      </c>
    </row>
    <row r="5785" spans="25:27" x14ac:dyDescent="0.3">
      <c r="Y5785" s="48" t="str">
        <f ca="1">IF(AND('Planning Sheet'!DS356='Weeks Plan'!$D$6,'Planning Sheet'!DM356='Weeks Plan'!$G$6),'Planning Sheet'!$B356,"")</f>
        <v/>
      </c>
      <c r="Z5785" s="48" t="str">
        <f ca="1">IF(AND('Planning Sheet'!DS356='Weeks Plan'!$D$6,'Planning Sheet'!DM356='Weeks Plan'!$G$6),'Planning Sheet'!$DN356,"")</f>
        <v/>
      </c>
      <c r="AA5785" s="48" t="str">
        <f ca="1">IF(AND('Planning Sheet'!DS356='Weeks Plan'!$D$6,'Planning Sheet'!DM356='Weeks Plan'!$G$6),'Planning Sheet'!$DO356,"")</f>
        <v/>
      </c>
    </row>
    <row r="5786" spans="25:27" x14ac:dyDescent="0.3">
      <c r="Y5786" s="48" t="str">
        <f ca="1">IF(AND('Planning Sheet'!DS357='Weeks Plan'!$D$6,'Planning Sheet'!DM357='Weeks Plan'!$G$6),'Planning Sheet'!$B357,"")</f>
        <v/>
      </c>
      <c r="Z5786" s="48" t="str">
        <f ca="1">IF(AND('Planning Sheet'!DS357='Weeks Plan'!$D$6,'Planning Sheet'!DM357='Weeks Plan'!$G$6),'Planning Sheet'!$DN357,"")</f>
        <v/>
      </c>
      <c r="AA5786" s="48" t="str">
        <f ca="1">IF(AND('Planning Sheet'!DS357='Weeks Plan'!$D$6,'Planning Sheet'!DM357='Weeks Plan'!$G$6),'Planning Sheet'!$DO357,"")</f>
        <v/>
      </c>
    </row>
    <row r="5787" spans="25:27" x14ac:dyDescent="0.3">
      <c r="Y5787" s="48" t="str">
        <f ca="1">IF(AND('Planning Sheet'!DS358='Weeks Plan'!$D$6,'Planning Sheet'!DM358='Weeks Plan'!$G$6),'Planning Sheet'!$B358,"")</f>
        <v/>
      </c>
      <c r="Z5787" s="48" t="str">
        <f ca="1">IF(AND('Planning Sheet'!DS358='Weeks Plan'!$D$6,'Planning Sheet'!DM358='Weeks Plan'!$G$6),'Planning Sheet'!$DN358,"")</f>
        <v/>
      </c>
      <c r="AA5787" s="48" t="str">
        <f ca="1">IF(AND('Planning Sheet'!DS358='Weeks Plan'!$D$6,'Planning Sheet'!DM358='Weeks Plan'!$G$6),'Planning Sheet'!$DO358,"")</f>
        <v/>
      </c>
    </row>
    <row r="5788" spans="25:27" x14ac:dyDescent="0.3">
      <c r="Y5788" s="48" t="str">
        <f ca="1">IF(AND('Planning Sheet'!DS359='Weeks Plan'!$D$6,'Planning Sheet'!DM359='Weeks Plan'!$G$6),'Planning Sheet'!$B359,"")</f>
        <v/>
      </c>
      <c r="Z5788" s="48" t="str">
        <f ca="1">IF(AND('Planning Sheet'!DS359='Weeks Plan'!$D$6,'Planning Sheet'!DM359='Weeks Plan'!$G$6),'Planning Sheet'!$DN359,"")</f>
        <v/>
      </c>
      <c r="AA5788" s="48" t="str">
        <f ca="1">IF(AND('Planning Sheet'!DS359='Weeks Plan'!$D$6,'Planning Sheet'!DM359='Weeks Plan'!$G$6),'Planning Sheet'!$DO359,"")</f>
        <v/>
      </c>
    </row>
    <row r="5789" spans="25:27" x14ac:dyDescent="0.3">
      <c r="Y5789" s="48" t="str">
        <f ca="1">IF(AND('Planning Sheet'!DS360='Weeks Plan'!$D$6,'Planning Sheet'!DM360='Weeks Plan'!$G$6),'Planning Sheet'!$B360,"")</f>
        <v/>
      </c>
      <c r="Z5789" s="48" t="str">
        <f ca="1">IF(AND('Planning Sheet'!DS360='Weeks Plan'!$D$6,'Planning Sheet'!DM360='Weeks Plan'!$G$6),'Planning Sheet'!$DN360,"")</f>
        <v/>
      </c>
      <c r="AA5789" s="48" t="str">
        <f ca="1">IF(AND('Planning Sheet'!DS360='Weeks Plan'!$D$6,'Planning Sheet'!DM360='Weeks Plan'!$G$6),'Planning Sheet'!$DO360,"")</f>
        <v/>
      </c>
    </row>
    <row r="5790" spans="25:27" x14ac:dyDescent="0.3">
      <c r="Y5790" s="48" t="str">
        <f ca="1">IF(AND('Planning Sheet'!DS361='Weeks Plan'!$D$6,'Planning Sheet'!DM361='Weeks Plan'!$G$6),'Planning Sheet'!$B361,"")</f>
        <v/>
      </c>
      <c r="Z5790" s="48" t="str">
        <f ca="1">IF(AND('Planning Sheet'!DS361='Weeks Plan'!$D$6,'Planning Sheet'!DM361='Weeks Plan'!$G$6),'Planning Sheet'!$DN361,"")</f>
        <v/>
      </c>
      <c r="AA5790" s="48" t="str">
        <f ca="1">IF(AND('Planning Sheet'!DS361='Weeks Plan'!$D$6,'Planning Sheet'!DM361='Weeks Plan'!$G$6),'Planning Sheet'!$DO361,"")</f>
        <v/>
      </c>
    </row>
    <row r="5791" spans="25:27" x14ac:dyDescent="0.3">
      <c r="Y5791" s="48" t="str">
        <f ca="1">IF(AND('Planning Sheet'!DS362='Weeks Plan'!$D$6,'Planning Sheet'!DM362='Weeks Plan'!$G$6),'Planning Sheet'!$B362,"")</f>
        <v/>
      </c>
      <c r="Z5791" s="48" t="str">
        <f ca="1">IF(AND('Planning Sheet'!DS362='Weeks Plan'!$D$6,'Planning Sheet'!DM362='Weeks Plan'!$G$6),'Planning Sheet'!$DN362,"")</f>
        <v/>
      </c>
      <c r="AA5791" s="48" t="str">
        <f ca="1">IF(AND('Planning Sheet'!DS362='Weeks Plan'!$D$6,'Planning Sheet'!DM362='Weeks Plan'!$G$6),'Planning Sheet'!$DO362,"")</f>
        <v/>
      </c>
    </row>
    <row r="5792" spans="25:27" x14ac:dyDescent="0.3">
      <c r="Y5792" s="48" t="str">
        <f ca="1">IF(AND('Planning Sheet'!DS363='Weeks Plan'!$D$6,'Planning Sheet'!DM363='Weeks Plan'!$G$6),'Planning Sheet'!$B363,"")</f>
        <v/>
      </c>
      <c r="Z5792" s="48" t="str">
        <f ca="1">IF(AND('Planning Sheet'!DS363='Weeks Plan'!$D$6,'Planning Sheet'!DM363='Weeks Plan'!$G$6),'Planning Sheet'!$DN363,"")</f>
        <v/>
      </c>
      <c r="AA5792" s="48" t="str">
        <f ca="1">IF(AND('Planning Sheet'!DS363='Weeks Plan'!$D$6,'Planning Sheet'!DM363='Weeks Plan'!$G$6),'Planning Sheet'!$DO363,"")</f>
        <v/>
      </c>
    </row>
    <row r="5793" spans="25:27" x14ac:dyDescent="0.3">
      <c r="Y5793" s="48" t="str">
        <f ca="1">IF(AND('Planning Sheet'!DS364='Weeks Plan'!$D$6,'Planning Sheet'!DM364='Weeks Plan'!$G$6),'Planning Sheet'!$B364,"")</f>
        <v/>
      </c>
      <c r="Z5793" s="48" t="str">
        <f ca="1">IF(AND('Planning Sheet'!DS364='Weeks Plan'!$D$6,'Planning Sheet'!DM364='Weeks Plan'!$G$6),'Planning Sheet'!$DN364,"")</f>
        <v/>
      </c>
      <c r="AA5793" s="48" t="str">
        <f ca="1">IF(AND('Planning Sheet'!DS364='Weeks Plan'!$D$6,'Planning Sheet'!DM364='Weeks Plan'!$G$6),'Planning Sheet'!$DO364,"")</f>
        <v/>
      </c>
    </row>
    <row r="5794" spans="25:27" x14ac:dyDescent="0.3">
      <c r="Y5794" s="48" t="str">
        <f ca="1">IF(AND('Planning Sheet'!DS365='Weeks Plan'!$D$6,'Planning Sheet'!DM365='Weeks Plan'!$G$6),'Planning Sheet'!$B365,"")</f>
        <v/>
      </c>
      <c r="Z5794" s="48" t="str">
        <f ca="1">IF(AND('Planning Sheet'!DS365='Weeks Plan'!$D$6,'Planning Sheet'!DM365='Weeks Plan'!$G$6),'Planning Sheet'!$DN365,"")</f>
        <v/>
      </c>
      <c r="AA5794" s="48" t="str">
        <f ca="1">IF(AND('Planning Sheet'!DS365='Weeks Plan'!$D$6,'Planning Sheet'!DM365='Weeks Plan'!$G$6),'Planning Sheet'!$DO365,"")</f>
        <v/>
      </c>
    </row>
    <row r="5795" spans="25:27" x14ac:dyDescent="0.3">
      <c r="Y5795" s="48" t="str">
        <f ca="1">IF(AND('Planning Sheet'!DS366='Weeks Plan'!$D$6,'Planning Sheet'!DM366='Weeks Plan'!$G$6),'Planning Sheet'!$B366,"")</f>
        <v/>
      </c>
      <c r="Z5795" s="48" t="str">
        <f ca="1">IF(AND('Planning Sheet'!DS366='Weeks Plan'!$D$6,'Planning Sheet'!DM366='Weeks Plan'!$G$6),'Planning Sheet'!$DN366,"")</f>
        <v/>
      </c>
      <c r="AA5795" s="48" t="str">
        <f ca="1">IF(AND('Planning Sheet'!DS366='Weeks Plan'!$D$6,'Planning Sheet'!DM366='Weeks Plan'!$G$6),'Planning Sheet'!$DO366,"")</f>
        <v/>
      </c>
    </row>
    <row r="5796" spans="25:27" x14ac:dyDescent="0.3">
      <c r="Y5796" s="48" t="str">
        <f ca="1">IF(AND('Planning Sheet'!DS367='Weeks Plan'!$D$6,'Planning Sheet'!DM367='Weeks Plan'!$G$6),'Planning Sheet'!$B367,"")</f>
        <v/>
      </c>
      <c r="Z5796" s="48" t="str">
        <f ca="1">IF(AND('Planning Sheet'!DS367='Weeks Plan'!$D$6,'Planning Sheet'!DM367='Weeks Plan'!$G$6),'Planning Sheet'!$DN367,"")</f>
        <v/>
      </c>
      <c r="AA5796" s="48" t="str">
        <f ca="1">IF(AND('Planning Sheet'!DS367='Weeks Plan'!$D$6,'Planning Sheet'!DM367='Weeks Plan'!$G$6),'Planning Sheet'!$DO367,"")</f>
        <v/>
      </c>
    </row>
    <row r="5797" spans="25:27" x14ac:dyDescent="0.3">
      <c r="Y5797" s="48" t="str">
        <f ca="1">IF(AND('Planning Sheet'!DS368='Weeks Plan'!$D$6,'Planning Sheet'!DM368='Weeks Plan'!$G$6),'Planning Sheet'!$B368,"")</f>
        <v/>
      </c>
      <c r="Z5797" s="48" t="str">
        <f ca="1">IF(AND('Planning Sheet'!DS368='Weeks Plan'!$D$6,'Planning Sheet'!DM368='Weeks Plan'!$G$6),'Planning Sheet'!$DN368,"")</f>
        <v/>
      </c>
      <c r="AA5797" s="48" t="str">
        <f ca="1">IF(AND('Planning Sheet'!DS368='Weeks Plan'!$D$6,'Planning Sheet'!DM368='Weeks Plan'!$G$6),'Planning Sheet'!$DO368,"")</f>
        <v/>
      </c>
    </row>
    <row r="5798" spans="25:27" x14ac:dyDescent="0.3">
      <c r="Y5798" s="48" t="str">
        <f ca="1">IF(AND('Planning Sheet'!DS369='Weeks Plan'!$D$6,'Planning Sheet'!DM369='Weeks Plan'!$G$6),'Planning Sheet'!$B369,"")</f>
        <v/>
      </c>
      <c r="Z5798" s="48" t="str">
        <f ca="1">IF(AND('Planning Sheet'!DS369='Weeks Plan'!$D$6,'Planning Sheet'!DM369='Weeks Plan'!$G$6),'Planning Sheet'!$DN369,"")</f>
        <v/>
      </c>
      <c r="AA5798" s="48" t="str">
        <f ca="1">IF(AND('Planning Sheet'!DS369='Weeks Plan'!$D$6,'Planning Sheet'!DM369='Weeks Plan'!$G$6),'Planning Sheet'!$DO369,"")</f>
        <v/>
      </c>
    </row>
    <row r="5799" spans="25:27" x14ac:dyDescent="0.3">
      <c r="Y5799" s="48" t="str">
        <f ca="1">IF(AND('Planning Sheet'!DS370='Weeks Plan'!$D$6,'Planning Sheet'!DM370='Weeks Plan'!$G$6),'Planning Sheet'!$B370,"")</f>
        <v/>
      </c>
      <c r="Z5799" s="48" t="str">
        <f ca="1">IF(AND('Planning Sheet'!DS370='Weeks Plan'!$D$6,'Planning Sheet'!DM370='Weeks Plan'!$G$6),'Planning Sheet'!$DN370,"")</f>
        <v/>
      </c>
      <c r="AA5799" s="48" t="str">
        <f ca="1">IF(AND('Planning Sheet'!DS370='Weeks Plan'!$D$6,'Planning Sheet'!DM370='Weeks Plan'!$G$6),'Planning Sheet'!$DO370,"")</f>
        <v/>
      </c>
    </row>
    <row r="5800" spans="25:27" x14ac:dyDescent="0.3">
      <c r="Y5800" s="48" t="str">
        <f ca="1">IF(AND('Planning Sheet'!DS371='Weeks Plan'!$D$6,'Planning Sheet'!DM371='Weeks Plan'!$G$6),'Planning Sheet'!$B371,"")</f>
        <v/>
      </c>
      <c r="Z5800" s="48" t="str">
        <f ca="1">IF(AND('Planning Sheet'!DS371='Weeks Plan'!$D$6,'Planning Sheet'!DM371='Weeks Plan'!$G$6),'Planning Sheet'!$DN371,"")</f>
        <v/>
      </c>
      <c r="AA5800" s="48" t="str">
        <f ca="1">IF(AND('Planning Sheet'!DS371='Weeks Plan'!$D$6,'Planning Sheet'!DM371='Weeks Plan'!$G$6),'Planning Sheet'!$DO371,"")</f>
        <v/>
      </c>
    </row>
    <row r="5801" spans="25:27" x14ac:dyDescent="0.3">
      <c r="Y5801" s="48" t="str">
        <f ca="1">IF(AND('Planning Sheet'!DS372='Weeks Plan'!$D$6,'Planning Sheet'!DM372='Weeks Plan'!$G$6),'Planning Sheet'!$B372,"")</f>
        <v/>
      </c>
      <c r="Z5801" s="48" t="str">
        <f ca="1">IF(AND('Planning Sheet'!DS372='Weeks Plan'!$D$6,'Planning Sheet'!DM372='Weeks Plan'!$G$6),'Planning Sheet'!$DN372,"")</f>
        <v/>
      </c>
      <c r="AA5801" s="48" t="str">
        <f ca="1">IF(AND('Planning Sheet'!DS372='Weeks Plan'!$D$6,'Planning Sheet'!DM372='Weeks Plan'!$G$6),'Planning Sheet'!$DO372,"")</f>
        <v/>
      </c>
    </row>
    <row r="5802" spans="25:27" x14ac:dyDescent="0.3">
      <c r="Y5802" s="48" t="str">
        <f ca="1">IF(AND('Planning Sheet'!DS373='Weeks Plan'!$D$6,'Planning Sheet'!DM373='Weeks Plan'!$G$6),'Planning Sheet'!$B373,"")</f>
        <v/>
      </c>
      <c r="Z5802" s="48" t="str">
        <f ca="1">IF(AND('Planning Sheet'!DS373='Weeks Plan'!$D$6,'Planning Sheet'!DM373='Weeks Plan'!$G$6),'Planning Sheet'!$DN373,"")</f>
        <v/>
      </c>
      <c r="AA5802" s="48" t="str">
        <f ca="1">IF(AND('Planning Sheet'!DS373='Weeks Plan'!$D$6,'Planning Sheet'!DM373='Weeks Plan'!$G$6),'Planning Sheet'!$DO373,"")</f>
        <v/>
      </c>
    </row>
    <row r="5803" spans="25:27" x14ac:dyDescent="0.3">
      <c r="Y5803" s="48" t="str">
        <f ca="1">IF(AND('Planning Sheet'!DS374='Weeks Plan'!$D$6,'Planning Sheet'!DM374='Weeks Plan'!$G$6),'Planning Sheet'!$B374,"")</f>
        <v/>
      </c>
      <c r="Z5803" s="48" t="str">
        <f ca="1">IF(AND('Planning Sheet'!DS374='Weeks Plan'!$D$6,'Planning Sheet'!DM374='Weeks Plan'!$G$6),'Planning Sheet'!$DN374,"")</f>
        <v/>
      </c>
      <c r="AA5803" s="48" t="str">
        <f ca="1">IF(AND('Planning Sheet'!DS374='Weeks Plan'!$D$6,'Planning Sheet'!DM374='Weeks Plan'!$G$6),'Planning Sheet'!$DO374,"")</f>
        <v/>
      </c>
    </row>
    <row r="5804" spans="25:27" x14ac:dyDescent="0.3">
      <c r="Y5804" s="48" t="str">
        <f ca="1">IF(AND('Planning Sheet'!DS375='Weeks Plan'!$D$6,'Planning Sheet'!DM375='Weeks Plan'!$G$6),'Planning Sheet'!$B375,"")</f>
        <v/>
      </c>
      <c r="Z5804" s="48" t="str">
        <f ca="1">IF(AND('Planning Sheet'!DS375='Weeks Plan'!$D$6,'Planning Sheet'!DM375='Weeks Plan'!$G$6),'Planning Sheet'!$DN375,"")</f>
        <v/>
      </c>
      <c r="AA5804" s="48" t="str">
        <f ca="1">IF(AND('Planning Sheet'!DS375='Weeks Plan'!$D$6,'Planning Sheet'!DM375='Weeks Plan'!$G$6),'Planning Sheet'!$DO375,"")</f>
        <v/>
      </c>
    </row>
    <row r="5805" spans="25:27" x14ac:dyDescent="0.3">
      <c r="Y5805" s="48" t="str">
        <f ca="1">IF(AND('Planning Sheet'!DS376='Weeks Plan'!$D$6,'Planning Sheet'!DM376='Weeks Plan'!$G$6),'Planning Sheet'!$B376,"")</f>
        <v/>
      </c>
      <c r="Z5805" s="48" t="str">
        <f ca="1">IF(AND('Planning Sheet'!DS376='Weeks Plan'!$D$6,'Planning Sheet'!DM376='Weeks Plan'!$G$6),'Planning Sheet'!$DN376,"")</f>
        <v/>
      </c>
      <c r="AA5805" s="48" t="str">
        <f ca="1">IF(AND('Planning Sheet'!DS376='Weeks Plan'!$D$6,'Planning Sheet'!DM376='Weeks Plan'!$G$6),'Planning Sheet'!$DO376,"")</f>
        <v/>
      </c>
    </row>
    <row r="5806" spans="25:27" x14ac:dyDescent="0.3">
      <c r="Y5806" s="48" t="str">
        <f ca="1">IF(AND('Planning Sheet'!DS377='Weeks Plan'!$D$6,'Planning Sheet'!DM377='Weeks Plan'!$G$6),'Planning Sheet'!$B377,"")</f>
        <v/>
      </c>
      <c r="Z5806" s="48" t="str">
        <f ca="1">IF(AND('Planning Sheet'!DS377='Weeks Plan'!$D$6,'Planning Sheet'!DM377='Weeks Plan'!$G$6),'Planning Sheet'!$DN377,"")</f>
        <v/>
      </c>
      <c r="AA5806" s="48" t="str">
        <f ca="1">IF(AND('Planning Sheet'!DS377='Weeks Plan'!$D$6,'Planning Sheet'!DM377='Weeks Plan'!$G$6),'Planning Sheet'!$DO377,"")</f>
        <v/>
      </c>
    </row>
    <row r="5807" spans="25:27" x14ac:dyDescent="0.3">
      <c r="Y5807" s="48" t="str">
        <f ca="1">IF(AND('Planning Sheet'!DS378='Weeks Plan'!$D$6,'Planning Sheet'!DM378='Weeks Plan'!$G$6),'Planning Sheet'!$B378,"")</f>
        <v/>
      </c>
      <c r="Z5807" s="48" t="str">
        <f ca="1">IF(AND('Planning Sheet'!DS378='Weeks Plan'!$D$6,'Planning Sheet'!DM378='Weeks Plan'!$G$6),'Planning Sheet'!$DN378,"")</f>
        <v/>
      </c>
      <c r="AA5807" s="48" t="str">
        <f ca="1">IF(AND('Planning Sheet'!DS378='Weeks Plan'!$D$6,'Planning Sheet'!DM378='Weeks Plan'!$G$6),'Planning Sheet'!$DO378,"")</f>
        <v/>
      </c>
    </row>
    <row r="5808" spans="25:27" x14ac:dyDescent="0.3">
      <c r="Y5808" s="48" t="str">
        <f ca="1">IF(AND('Planning Sheet'!DS379='Weeks Plan'!$D$6,'Planning Sheet'!DM379='Weeks Plan'!$G$6),'Planning Sheet'!$B379,"")</f>
        <v/>
      </c>
      <c r="Z5808" s="48" t="str">
        <f ca="1">IF(AND('Planning Sheet'!DS379='Weeks Plan'!$D$6,'Planning Sheet'!DM379='Weeks Plan'!$G$6),'Planning Sheet'!$DN379,"")</f>
        <v/>
      </c>
      <c r="AA5808" s="48" t="str">
        <f ca="1">IF(AND('Planning Sheet'!DS379='Weeks Plan'!$D$6,'Planning Sheet'!DM379='Weeks Plan'!$G$6),'Planning Sheet'!$DO379,"")</f>
        <v/>
      </c>
    </row>
    <row r="5809" spans="25:27" x14ac:dyDescent="0.3">
      <c r="Y5809" s="48" t="str">
        <f ca="1">IF(AND('Planning Sheet'!DS380='Weeks Plan'!$D$6,'Planning Sheet'!DM380='Weeks Plan'!$G$6),'Planning Sheet'!$B380,"")</f>
        <v/>
      </c>
      <c r="Z5809" s="48" t="str">
        <f ca="1">IF(AND('Planning Sheet'!DS380='Weeks Plan'!$D$6,'Planning Sheet'!DM380='Weeks Plan'!$G$6),'Planning Sheet'!$DN380,"")</f>
        <v/>
      </c>
      <c r="AA5809" s="48" t="str">
        <f ca="1">IF(AND('Planning Sheet'!DS380='Weeks Plan'!$D$6,'Planning Sheet'!DM380='Weeks Plan'!$G$6),'Planning Sheet'!$DO380,"")</f>
        <v/>
      </c>
    </row>
    <row r="5810" spans="25:27" x14ac:dyDescent="0.3">
      <c r="Y5810" s="48" t="str">
        <f ca="1">IF(AND('Planning Sheet'!DS381='Weeks Plan'!$D$6,'Planning Sheet'!DM381='Weeks Plan'!$G$6),'Planning Sheet'!$B381,"")</f>
        <v/>
      </c>
      <c r="Z5810" s="48" t="str">
        <f ca="1">IF(AND('Planning Sheet'!DS381='Weeks Plan'!$D$6,'Planning Sheet'!DM381='Weeks Plan'!$G$6),'Planning Sheet'!$DN381,"")</f>
        <v/>
      </c>
      <c r="AA5810" s="48" t="str">
        <f ca="1">IF(AND('Planning Sheet'!DS381='Weeks Plan'!$D$6,'Planning Sheet'!DM381='Weeks Plan'!$G$6),'Planning Sheet'!$DO381,"")</f>
        <v/>
      </c>
    </row>
    <row r="5811" spans="25:27" x14ac:dyDescent="0.3">
      <c r="Y5811" s="48" t="str">
        <f ca="1">IF(AND('Planning Sheet'!DS382='Weeks Plan'!$D$6,'Planning Sheet'!DM382='Weeks Plan'!$G$6),'Planning Sheet'!$B382,"")</f>
        <v/>
      </c>
      <c r="Z5811" s="48" t="str">
        <f ca="1">IF(AND('Planning Sheet'!DS382='Weeks Plan'!$D$6,'Planning Sheet'!DM382='Weeks Plan'!$G$6),'Planning Sheet'!$DN382,"")</f>
        <v/>
      </c>
      <c r="AA5811" s="48" t="str">
        <f ca="1">IF(AND('Planning Sheet'!DS382='Weeks Plan'!$D$6,'Planning Sheet'!DM382='Weeks Plan'!$G$6),'Planning Sheet'!$DO382,"")</f>
        <v/>
      </c>
    </row>
    <row r="5812" spans="25:27" x14ac:dyDescent="0.3">
      <c r="Y5812" s="48" t="str">
        <f ca="1">IF(AND('Planning Sheet'!DS383='Weeks Plan'!$D$6,'Planning Sheet'!DM383='Weeks Plan'!$G$6),'Planning Sheet'!$B383,"")</f>
        <v/>
      </c>
      <c r="Z5812" s="48" t="str">
        <f ca="1">IF(AND('Planning Sheet'!DS383='Weeks Plan'!$D$6,'Planning Sheet'!DM383='Weeks Plan'!$G$6),'Planning Sheet'!$DN383,"")</f>
        <v/>
      </c>
      <c r="AA5812" s="48" t="str">
        <f ca="1">IF(AND('Planning Sheet'!DS383='Weeks Plan'!$D$6,'Planning Sheet'!DM383='Weeks Plan'!$G$6),'Planning Sheet'!$DO383,"")</f>
        <v/>
      </c>
    </row>
    <row r="5813" spans="25:27" x14ac:dyDescent="0.3">
      <c r="Y5813" s="48" t="str">
        <f ca="1">IF(AND('Planning Sheet'!DS384='Weeks Plan'!$D$6,'Planning Sheet'!DM384='Weeks Plan'!$G$6),'Planning Sheet'!$B384,"")</f>
        <v/>
      </c>
      <c r="Z5813" s="48" t="str">
        <f ca="1">IF(AND('Planning Sheet'!DS384='Weeks Plan'!$D$6,'Planning Sheet'!DM384='Weeks Plan'!$G$6),'Planning Sheet'!$DN384,"")</f>
        <v/>
      </c>
      <c r="AA5813" s="48" t="str">
        <f ca="1">IF(AND('Planning Sheet'!DS384='Weeks Plan'!$D$6,'Planning Sheet'!DM384='Weeks Plan'!$G$6),'Planning Sheet'!$DO384,"")</f>
        <v/>
      </c>
    </row>
    <row r="5814" spans="25:27" x14ac:dyDescent="0.3">
      <c r="Y5814" s="48" t="str">
        <f ca="1">IF(AND('Planning Sheet'!DS385='Weeks Plan'!$D$6,'Planning Sheet'!DM385='Weeks Plan'!$G$6),'Planning Sheet'!$B385,"")</f>
        <v/>
      </c>
      <c r="Z5814" s="48" t="str">
        <f ca="1">IF(AND('Planning Sheet'!DS385='Weeks Plan'!$D$6,'Planning Sheet'!DM385='Weeks Plan'!$G$6),'Planning Sheet'!$DN385,"")</f>
        <v/>
      </c>
      <c r="AA5814" s="48" t="str">
        <f ca="1">IF(AND('Planning Sheet'!DS385='Weeks Plan'!$D$6,'Planning Sheet'!DM385='Weeks Plan'!$G$6),'Planning Sheet'!$DO385,"")</f>
        <v/>
      </c>
    </row>
    <row r="5815" spans="25:27" x14ac:dyDescent="0.3">
      <c r="Y5815" s="48" t="str">
        <f ca="1">IF(AND('Planning Sheet'!DS386='Weeks Plan'!$D$6,'Planning Sheet'!DM386='Weeks Plan'!$G$6),'Planning Sheet'!$B386,"")</f>
        <v/>
      </c>
      <c r="Z5815" s="48" t="str">
        <f ca="1">IF(AND('Planning Sheet'!DS386='Weeks Plan'!$D$6,'Planning Sheet'!DM386='Weeks Plan'!$G$6),'Planning Sheet'!$DN386,"")</f>
        <v/>
      </c>
      <c r="AA5815" s="48" t="str">
        <f ca="1">IF(AND('Planning Sheet'!DS386='Weeks Plan'!$D$6,'Planning Sheet'!DM386='Weeks Plan'!$G$6),'Planning Sheet'!$DO386,"")</f>
        <v/>
      </c>
    </row>
    <row r="5816" spans="25:27" x14ac:dyDescent="0.3">
      <c r="Y5816" s="48" t="str">
        <f ca="1">IF(AND('Planning Sheet'!DS387='Weeks Plan'!$D$6,'Planning Sheet'!DM387='Weeks Plan'!$G$6),'Planning Sheet'!$B387,"")</f>
        <v/>
      </c>
      <c r="Z5816" s="48" t="str">
        <f ca="1">IF(AND('Planning Sheet'!DS387='Weeks Plan'!$D$6,'Planning Sheet'!DM387='Weeks Plan'!$G$6),'Planning Sheet'!$DN387,"")</f>
        <v/>
      </c>
      <c r="AA5816" s="48" t="str">
        <f ca="1">IF(AND('Planning Sheet'!DS387='Weeks Plan'!$D$6,'Planning Sheet'!DM387='Weeks Plan'!$G$6),'Planning Sheet'!$DO387,"")</f>
        <v/>
      </c>
    </row>
    <row r="5817" spans="25:27" x14ac:dyDescent="0.3">
      <c r="Y5817" s="48" t="str">
        <f ca="1">IF(AND('Planning Sheet'!DS388='Weeks Plan'!$D$6,'Planning Sheet'!DM388='Weeks Plan'!$G$6),'Planning Sheet'!$B388,"")</f>
        <v/>
      </c>
      <c r="Z5817" s="48" t="str">
        <f ca="1">IF(AND('Planning Sheet'!DS388='Weeks Plan'!$D$6,'Planning Sheet'!DM388='Weeks Plan'!$G$6),'Planning Sheet'!$DN388,"")</f>
        <v/>
      </c>
      <c r="AA5817" s="48" t="str">
        <f ca="1">IF(AND('Planning Sheet'!DS388='Weeks Plan'!$D$6,'Planning Sheet'!DM388='Weeks Plan'!$G$6),'Planning Sheet'!$DO388,"")</f>
        <v/>
      </c>
    </row>
    <row r="5818" spans="25:27" x14ac:dyDescent="0.3">
      <c r="Y5818" s="48" t="str">
        <f ca="1">IF(AND('Planning Sheet'!DS389='Weeks Plan'!$D$6,'Planning Sheet'!DM389='Weeks Plan'!$G$6),'Planning Sheet'!$B389,"")</f>
        <v/>
      </c>
      <c r="Z5818" s="48" t="str">
        <f ca="1">IF(AND('Planning Sheet'!DS389='Weeks Plan'!$D$6,'Planning Sheet'!DM389='Weeks Plan'!$G$6),'Planning Sheet'!$DN389,"")</f>
        <v/>
      </c>
      <c r="AA5818" s="48" t="str">
        <f ca="1">IF(AND('Planning Sheet'!DS389='Weeks Plan'!$D$6,'Planning Sheet'!DM389='Weeks Plan'!$G$6),'Planning Sheet'!$DO389,"")</f>
        <v/>
      </c>
    </row>
    <row r="5819" spans="25:27" x14ac:dyDescent="0.3">
      <c r="Y5819" s="48" t="str">
        <f ca="1">IF(AND('Planning Sheet'!DS390='Weeks Plan'!$D$6,'Planning Sheet'!DM390='Weeks Plan'!$G$6),'Planning Sheet'!$B390,"")</f>
        <v/>
      </c>
      <c r="Z5819" s="48" t="str">
        <f ca="1">IF(AND('Planning Sheet'!DS390='Weeks Plan'!$D$6,'Planning Sheet'!DM390='Weeks Plan'!$G$6),'Planning Sheet'!$DN390,"")</f>
        <v/>
      </c>
      <c r="AA5819" s="48" t="str">
        <f ca="1">IF(AND('Planning Sheet'!DS390='Weeks Plan'!$D$6,'Planning Sheet'!DM390='Weeks Plan'!$G$6),'Planning Sheet'!$DO390,"")</f>
        <v/>
      </c>
    </row>
    <row r="5820" spans="25:27" x14ac:dyDescent="0.3">
      <c r="Y5820" s="48" t="str">
        <f ca="1">IF(AND('Planning Sheet'!DS391='Weeks Plan'!$D$6,'Planning Sheet'!DM391='Weeks Plan'!$G$6),'Planning Sheet'!$B391,"")</f>
        <v/>
      </c>
      <c r="Z5820" s="48" t="str">
        <f ca="1">IF(AND('Planning Sheet'!DS391='Weeks Plan'!$D$6,'Planning Sheet'!DM391='Weeks Plan'!$G$6),'Planning Sheet'!$DN391,"")</f>
        <v/>
      </c>
      <c r="AA5820" s="48" t="str">
        <f ca="1">IF(AND('Planning Sheet'!DS391='Weeks Plan'!$D$6,'Planning Sheet'!DM391='Weeks Plan'!$G$6),'Planning Sheet'!$DO391,"")</f>
        <v/>
      </c>
    </row>
    <row r="5821" spans="25:27" x14ac:dyDescent="0.3">
      <c r="Y5821" s="48" t="str">
        <f ca="1">IF(AND('Planning Sheet'!DS392='Weeks Plan'!$D$6,'Planning Sheet'!DM392='Weeks Plan'!$G$6),'Planning Sheet'!$B392,"")</f>
        <v/>
      </c>
      <c r="Z5821" s="48" t="str">
        <f ca="1">IF(AND('Planning Sheet'!DS392='Weeks Plan'!$D$6,'Planning Sheet'!DM392='Weeks Plan'!$G$6),'Planning Sheet'!$DN392,"")</f>
        <v/>
      </c>
      <c r="AA5821" s="48" t="str">
        <f ca="1">IF(AND('Planning Sheet'!DS392='Weeks Plan'!$D$6,'Planning Sheet'!DM392='Weeks Plan'!$G$6),'Planning Sheet'!$DO392,"")</f>
        <v/>
      </c>
    </row>
    <row r="5822" spans="25:27" x14ac:dyDescent="0.3">
      <c r="Y5822" s="48" t="str">
        <f ca="1">IF(AND('Planning Sheet'!DS393='Weeks Plan'!$D$6,'Planning Sheet'!DM393='Weeks Plan'!$G$6),'Planning Sheet'!$B393,"")</f>
        <v/>
      </c>
      <c r="Z5822" s="48" t="str">
        <f ca="1">IF(AND('Planning Sheet'!DS393='Weeks Plan'!$D$6,'Planning Sheet'!DM393='Weeks Plan'!$G$6),'Planning Sheet'!$DN393,"")</f>
        <v/>
      </c>
      <c r="AA5822" s="48" t="str">
        <f ca="1">IF(AND('Planning Sheet'!DS393='Weeks Plan'!$D$6,'Planning Sheet'!DM393='Weeks Plan'!$G$6),'Planning Sheet'!$DO393,"")</f>
        <v/>
      </c>
    </row>
    <row r="5823" spans="25:27" x14ac:dyDescent="0.3">
      <c r="Y5823" s="48" t="str">
        <f ca="1">IF(AND('Planning Sheet'!DS394='Weeks Plan'!$D$6,'Planning Sheet'!DM394='Weeks Plan'!$G$6),'Planning Sheet'!$B394,"")</f>
        <v/>
      </c>
      <c r="Z5823" s="48" t="str">
        <f ca="1">IF(AND('Planning Sheet'!DS394='Weeks Plan'!$D$6,'Planning Sheet'!DM394='Weeks Plan'!$G$6),'Planning Sheet'!$DN394,"")</f>
        <v/>
      </c>
      <c r="AA5823" s="48" t="str">
        <f ca="1">IF(AND('Planning Sheet'!DS394='Weeks Plan'!$D$6,'Planning Sheet'!DM394='Weeks Plan'!$G$6),'Planning Sheet'!$DO394,"")</f>
        <v/>
      </c>
    </row>
    <row r="5824" spans="25:27" x14ac:dyDescent="0.3">
      <c r="Y5824" s="48" t="str">
        <f ca="1">IF(AND('Planning Sheet'!DS395='Weeks Plan'!$D$6,'Planning Sheet'!DM395='Weeks Plan'!$G$6),'Planning Sheet'!$B395,"")</f>
        <v/>
      </c>
      <c r="Z5824" s="48" t="str">
        <f ca="1">IF(AND('Planning Sheet'!DS395='Weeks Plan'!$D$6,'Planning Sheet'!DM395='Weeks Plan'!$G$6),'Planning Sheet'!$DN395,"")</f>
        <v/>
      </c>
      <c r="AA5824" s="48" t="str">
        <f ca="1">IF(AND('Planning Sheet'!DS395='Weeks Plan'!$D$6,'Planning Sheet'!DM395='Weeks Plan'!$G$6),'Planning Sheet'!$DO395,"")</f>
        <v/>
      </c>
    </row>
    <row r="5825" spans="25:27" x14ac:dyDescent="0.3">
      <c r="Y5825" s="48" t="str">
        <f ca="1">IF(AND('Planning Sheet'!DS396='Weeks Plan'!$D$6,'Planning Sheet'!DM396='Weeks Plan'!$G$6),'Planning Sheet'!$B396,"")</f>
        <v/>
      </c>
      <c r="Z5825" s="48" t="str">
        <f ca="1">IF(AND('Planning Sheet'!DS396='Weeks Plan'!$D$6,'Planning Sheet'!DM396='Weeks Plan'!$G$6),'Planning Sheet'!$DN396,"")</f>
        <v/>
      </c>
      <c r="AA5825" s="48" t="str">
        <f ca="1">IF(AND('Planning Sheet'!DS396='Weeks Plan'!$D$6,'Planning Sheet'!DM396='Weeks Plan'!$G$6),'Planning Sheet'!$DO396,"")</f>
        <v/>
      </c>
    </row>
    <row r="5826" spans="25:27" x14ac:dyDescent="0.3">
      <c r="Y5826" s="48" t="str">
        <f ca="1">IF(AND('Planning Sheet'!DS397='Weeks Plan'!$D$6,'Planning Sheet'!DM397='Weeks Plan'!$G$6),'Planning Sheet'!$B397,"")</f>
        <v/>
      </c>
      <c r="Z5826" s="48" t="str">
        <f ca="1">IF(AND('Planning Sheet'!DS397='Weeks Plan'!$D$6,'Planning Sheet'!DM397='Weeks Plan'!$G$6),'Planning Sheet'!$DN397,"")</f>
        <v/>
      </c>
      <c r="AA5826" s="48" t="str">
        <f ca="1">IF(AND('Planning Sheet'!DS397='Weeks Plan'!$D$6,'Planning Sheet'!DM397='Weeks Plan'!$G$6),'Planning Sheet'!$DO397,"")</f>
        <v/>
      </c>
    </row>
    <row r="5827" spans="25:27" x14ac:dyDescent="0.3">
      <c r="Y5827" s="48" t="str">
        <f ca="1">IF(AND('Planning Sheet'!DS398='Weeks Plan'!$D$6,'Planning Sheet'!DM398='Weeks Plan'!$G$6),'Planning Sheet'!$B398,"")</f>
        <v/>
      </c>
      <c r="Z5827" s="48" t="str">
        <f ca="1">IF(AND('Planning Sheet'!DS398='Weeks Plan'!$D$6,'Planning Sheet'!DM398='Weeks Plan'!$G$6),'Planning Sheet'!$DN398,"")</f>
        <v/>
      </c>
      <c r="AA5827" s="48" t="str">
        <f ca="1">IF(AND('Planning Sheet'!DS398='Weeks Plan'!$D$6,'Planning Sheet'!DM398='Weeks Plan'!$G$6),'Planning Sheet'!$DO398,"")</f>
        <v/>
      </c>
    </row>
    <row r="5828" spans="25:27" x14ac:dyDescent="0.3">
      <c r="Y5828" s="48" t="str">
        <f ca="1">IF(AND('Planning Sheet'!DS399='Weeks Plan'!$D$6,'Planning Sheet'!DM399='Weeks Plan'!$G$6),'Planning Sheet'!$B399,"")</f>
        <v/>
      </c>
      <c r="Z5828" s="48" t="str">
        <f ca="1">IF(AND('Planning Sheet'!DS399='Weeks Plan'!$D$6,'Planning Sheet'!DM399='Weeks Plan'!$G$6),'Planning Sheet'!$DN399,"")</f>
        <v/>
      </c>
      <c r="AA5828" s="48" t="str">
        <f ca="1">IF(AND('Planning Sheet'!DS399='Weeks Plan'!$D$6,'Planning Sheet'!DM399='Weeks Plan'!$G$6),'Planning Sheet'!$DO399,"")</f>
        <v/>
      </c>
    </row>
    <row r="5829" spans="25:27" x14ac:dyDescent="0.3">
      <c r="Y5829" s="48" t="str">
        <f ca="1">IF(AND('Planning Sheet'!DS400='Weeks Plan'!$D$6,'Planning Sheet'!DM400='Weeks Plan'!$G$6),'Planning Sheet'!$B400,"")</f>
        <v/>
      </c>
      <c r="Z5829" s="48" t="str">
        <f ca="1">IF(AND('Planning Sheet'!DS400='Weeks Plan'!$D$6,'Planning Sheet'!DM400='Weeks Plan'!$G$6),'Planning Sheet'!$DN400,"")</f>
        <v/>
      </c>
      <c r="AA5829" s="48" t="str">
        <f ca="1">IF(AND('Planning Sheet'!DS400='Weeks Plan'!$D$6,'Planning Sheet'!DM400='Weeks Plan'!$G$6),'Planning Sheet'!$DO400,"")</f>
        <v/>
      </c>
    </row>
    <row r="5830" spans="25:27" x14ac:dyDescent="0.3">
      <c r="Y5830" s="48" t="str">
        <f ca="1">IF(AND('Planning Sheet'!DS401='Weeks Plan'!$D$6,'Planning Sheet'!DM401='Weeks Plan'!$G$6),'Planning Sheet'!$B401,"")</f>
        <v/>
      </c>
      <c r="Z5830" s="48" t="str">
        <f ca="1">IF(AND('Planning Sheet'!DS401='Weeks Plan'!$D$6,'Planning Sheet'!DM401='Weeks Plan'!$G$6),'Planning Sheet'!$DN401,"")</f>
        <v/>
      </c>
      <c r="AA5830" s="48" t="str">
        <f ca="1">IF(AND('Planning Sheet'!DS401='Weeks Plan'!$D$6,'Planning Sheet'!DM401='Weeks Plan'!$G$6),'Planning Sheet'!$DO401,"")</f>
        <v/>
      </c>
    </row>
    <row r="5831" spans="25:27" x14ac:dyDescent="0.3">
      <c r="Y5831" s="48" t="str">
        <f ca="1">IF(AND('Planning Sheet'!DS402='Weeks Plan'!$D$6,'Planning Sheet'!DM402='Weeks Plan'!$G$6),'Planning Sheet'!$B402,"")</f>
        <v/>
      </c>
      <c r="Z5831" s="48" t="str">
        <f ca="1">IF(AND('Planning Sheet'!DS402='Weeks Plan'!$D$6,'Planning Sheet'!DM402='Weeks Plan'!$G$6),'Planning Sheet'!$DN402,"")</f>
        <v/>
      </c>
      <c r="AA5831" s="48" t="str">
        <f ca="1">IF(AND('Planning Sheet'!DS402='Weeks Plan'!$D$6,'Planning Sheet'!DM402='Weeks Plan'!$G$6),'Planning Sheet'!$DO402,"")</f>
        <v/>
      </c>
    </row>
    <row r="5832" spans="25:27" x14ac:dyDescent="0.3">
      <c r="Y5832" s="48" t="str">
        <f ca="1">IF(AND('Planning Sheet'!DS403='Weeks Plan'!$D$6,'Planning Sheet'!DM403='Weeks Plan'!$G$6),'Planning Sheet'!$B403,"")</f>
        <v/>
      </c>
      <c r="Z5832" s="48" t="str">
        <f ca="1">IF(AND('Planning Sheet'!DS403='Weeks Plan'!$D$6,'Planning Sheet'!DM403='Weeks Plan'!$G$6),'Planning Sheet'!$DN403,"")</f>
        <v/>
      </c>
      <c r="AA5832" s="48" t="str">
        <f ca="1">IF(AND('Planning Sheet'!DS403='Weeks Plan'!$D$6,'Planning Sheet'!DM403='Weeks Plan'!$G$6),'Planning Sheet'!$DO403,"")</f>
        <v/>
      </c>
    </row>
    <row r="5833" spans="25:27" x14ac:dyDescent="0.3">
      <c r="Y5833" s="48" t="str">
        <f ca="1">IF(AND('Planning Sheet'!DS404='Weeks Plan'!$D$6,'Planning Sheet'!DM404='Weeks Plan'!$G$6),'Planning Sheet'!$B404,"")</f>
        <v/>
      </c>
      <c r="Z5833" s="48" t="str">
        <f ca="1">IF(AND('Planning Sheet'!DS404='Weeks Plan'!$D$6,'Planning Sheet'!DM404='Weeks Plan'!$G$6),'Planning Sheet'!$DN404,"")</f>
        <v/>
      </c>
      <c r="AA5833" s="48" t="str">
        <f ca="1">IF(AND('Planning Sheet'!DS404='Weeks Plan'!$D$6,'Planning Sheet'!DM404='Weeks Plan'!$G$6),'Planning Sheet'!$DO404,"")</f>
        <v/>
      </c>
    </row>
    <row r="5834" spans="25:27" x14ac:dyDescent="0.3">
      <c r="Y5834" s="48" t="str">
        <f ca="1">IF(AND('Planning Sheet'!DS405='Weeks Plan'!$D$6,'Planning Sheet'!DM405='Weeks Plan'!$G$6),'Planning Sheet'!$B405,"")</f>
        <v/>
      </c>
      <c r="Z5834" s="48" t="str">
        <f ca="1">IF(AND('Planning Sheet'!DS405='Weeks Plan'!$D$6,'Planning Sheet'!DM405='Weeks Plan'!$G$6),'Planning Sheet'!$DN405,"")</f>
        <v/>
      </c>
      <c r="AA5834" s="48" t="str">
        <f ca="1">IF(AND('Planning Sheet'!DS405='Weeks Plan'!$D$6,'Planning Sheet'!DM405='Weeks Plan'!$G$6),'Planning Sheet'!$DO405,"")</f>
        <v/>
      </c>
    </row>
    <row r="5835" spans="25:27" x14ac:dyDescent="0.3">
      <c r="Y5835" s="48" t="str">
        <f ca="1">IF(AND('Planning Sheet'!DS406='Weeks Plan'!$D$6,'Planning Sheet'!DM406='Weeks Plan'!$G$6),'Planning Sheet'!$B406,"")</f>
        <v/>
      </c>
      <c r="Z5835" s="48" t="str">
        <f ca="1">IF(AND('Planning Sheet'!DS406='Weeks Plan'!$D$6,'Planning Sheet'!DM406='Weeks Plan'!$G$6),'Planning Sheet'!$DN406,"")</f>
        <v/>
      </c>
      <c r="AA5835" s="48" t="str">
        <f ca="1">IF(AND('Planning Sheet'!DS406='Weeks Plan'!$D$6,'Planning Sheet'!DM406='Weeks Plan'!$G$6),'Planning Sheet'!$DO406,"")</f>
        <v/>
      </c>
    </row>
    <row r="5836" spans="25:27" x14ac:dyDescent="0.3">
      <c r="Y5836" s="48" t="str">
        <f ca="1">IF(AND('Planning Sheet'!DS407='Weeks Plan'!$D$6,'Planning Sheet'!DM407='Weeks Plan'!$G$6),'Planning Sheet'!$B407,"")</f>
        <v/>
      </c>
      <c r="Z5836" s="48" t="str">
        <f ca="1">IF(AND('Planning Sheet'!DS407='Weeks Plan'!$D$6,'Planning Sheet'!DM407='Weeks Plan'!$G$6),'Planning Sheet'!$DN407,"")</f>
        <v/>
      </c>
      <c r="AA5836" s="48" t="str">
        <f ca="1">IF(AND('Planning Sheet'!DS407='Weeks Plan'!$D$6,'Planning Sheet'!DM407='Weeks Plan'!$G$6),'Planning Sheet'!$DO407,"")</f>
        <v/>
      </c>
    </row>
    <row r="5837" spans="25:27" x14ac:dyDescent="0.3">
      <c r="Y5837" s="48" t="str">
        <f ca="1">IF(AND('Planning Sheet'!DS408='Weeks Plan'!$D$6,'Planning Sheet'!DM408='Weeks Plan'!$G$6),'Planning Sheet'!$B408,"")</f>
        <v/>
      </c>
      <c r="Z5837" s="48" t="str">
        <f ca="1">IF(AND('Planning Sheet'!DS408='Weeks Plan'!$D$6,'Planning Sheet'!DM408='Weeks Plan'!$G$6),'Planning Sheet'!$DN408,"")</f>
        <v/>
      </c>
      <c r="AA5837" s="48" t="str">
        <f ca="1">IF(AND('Planning Sheet'!DS408='Weeks Plan'!$D$6,'Planning Sheet'!DM408='Weeks Plan'!$G$6),'Planning Sheet'!$DO408,"")</f>
        <v/>
      </c>
    </row>
    <row r="5838" spans="25:27" x14ac:dyDescent="0.3">
      <c r="Y5838" s="48" t="str">
        <f ca="1">IF(AND('Planning Sheet'!DS409='Weeks Plan'!$D$6,'Planning Sheet'!DM409='Weeks Plan'!$G$6),'Planning Sheet'!$B409,"")</f>
        <v/>
      </c>
      <c r="Z5838" s="48" t="str">
        <f ca="1">IF(AND('Planning Sheet'!DS409='Weeks Plan'!$D$6,'Planning Sheet'!DM409='Weeks Plan'!$G$6),'Planning Sheet'!$DN409,"")</f>
        <v/>
      </c>
      <c r="AA5838" s="48" t="str">
        <f ca="1">IF(AND('Planning Sheet'!DS409='Weeks Plan'!$D$6,'Planning Sheet'!DM409='Weeks Plan'!$G$6),'Planning Sheet'!$DO409,"")</f>
        <v/>
      </c>
    </row>
    <row r="5839" spans="25:27" x14ac:dyDescent="0.3">
      <c r="Y5839" s="48" t="str">
        <f ca="1">IF(AND('Planning Sheet'!DS410='Weeks Plan'!$D$6,'Planning Sheet'!DM410='Weeks Plan'!$G$6),'Planning Sheet'!$B410,"")</f>
        <v/>
      </c>
      <c r="Z5839" s="48" t="str">
        <f ca="1">IF(AND('Planning Sheet'!DS410='Weeks Plan'!$D$6,'Planning Sheet'!DM410='Weeks Plan'!$G$6),'Planning Sheet'!$DN410,"")</f>
        <v/>
      </c>
      <c r="AA5839" s="48" t="str">
        <f ca="1">IF(AND('Planning Sheet'!DS410='Weeks Plan'!$D$6,'Planning Sheet'!DM410='Weeks Plan'!$G$6),'Planning Sheet'!$DO410,"")</f>
        <v/>
      </c>
    </row>
    <row r="5840" spans="25:27" x14ac:dyDescent="0.3">
      <c r="Y5840" s="48" t="str">
        <f ca="1">IF(AND('Planning Sheet'!DS411='Weeks Plan'!$D$6,'Planning Sheet'!DM411='Weeks Plan'!$G$6),'Planning Sheet'!$B411,"")</f>
        <v/>
      </c>
      <c r="Z5840" s="48" t="str">
        <f ca="1">IF(AND('Planning Sheet'!DS411='Weeks Plan'!$D$6,'Planning Sheet'!DM411='Weeks Plan'!$G$6),'Planning Sheet'!$DN411,"")</f>
        <v/>
      </c>
      <c r="AA5840" s="48" t="str">
        <f ca="1">IF(AND('Planning Sheet'!DS411='Weeks Plan'!$D$6,'Planning Sheet'!DM411='Weeks Plan'!$G$6),'Planning Sheet'!$DO411,"")</f>
        <v/>
      </c>
    </row>
    <row r="5841" spans="25:27" x14ac:dyDescent="0.3">
      <c r="Y5841" s="48" t="str">
        <f ca="1">IF(AND('Planning Sheet'!DS412='Weeks Plan'!$D$6,'Planning Sheet'!DM412='Weeks Plan'!$G$6),'Planning Sheet'!$B412,"")</f>
        <v/>
      </c>
      <c r="Z5841" s="48" t="str">
        <f ca="1">IF(AND('Planning Sheet'!DS412='Weeks Plan'!$D$6,'Planning Sheet'!DM412='Weeks Plan'!$G$6),'Planning Sheet'!$DN412,"")</f>
        <v/>
      </c>
      <c r="AA5841" s="48" t="str">
        <f ca="1">IF(AND('Planning Sheet'!DS412='Weeks Plan'!$D$6,'Planning Sheet'!DM412='Weeks Plan'!$G$6),'Planning Sheet'!$DO412,"")</f>
        <v/>
      </c>
    </row>
    <row r="5842" spans="25:27" x14ac:dyDescent="0.3">
      <c r="Y5842" s="48" t="str">
        <f ca="1">IF(AND('Planning Sheet'!DS413='Weeks Plan'!$D$6,'Planning Sheet'!DM413='Weeks Plan'!$G$6),'Planning Sheet'!$B413,"")</f>
        <v/>
      </c>
      <c r="Z5842" s="48" t="str">
        <f ca="1">IF(AND('Planning Sheet'!DS413='Weeks Plan'!$D$6,'Planning Sheet'!DM413='Weeks Plan'!$G$6),'Planning Sheet'!$DN413,"")</f>
        <v/>
      </c>
      <c r="AA5842" s="48" t="str">
        <f ca="1">IF(AND('Planning Sheet'!DS413='Weeks Plan'!$D$6,'Planning Sheet'!DM413='Weeks Plan'!$G$6),'Planning Sheet'!$DO413,"")</f>
        <v/>
      </c>
    </row>
    <row r="5843" spans="25:27" x14ac:dyDescent="0.3">
      <c r="Y5843" s="48" t="str">
        <f ca="1">IF(AND('Planning Sheet'!DS414='Weeks Plan'!$D$6,'Planning Sheet'!DM414='Weeks Plan'!$G$6),'Planning Sheet'!$B414,"")</f>
        <v/>
      </c>
      <c r="Z5843" s="48" t="str">
        <f ca="1">IF(AND('Planning Sheet'!DS414='Weeks Plan'!$D$6,'Planning Sheet'!DM414='Weeks Plan'!$G$6),'Planning Sheet'!$DN414,"")</f>
        <v/>
      </c>
      <c r="AA5843" s="48" t="str">
        <f ca="1">IF(AND('Planning Sheet'!DS414='Weeks Plan'!$D$6,'Planning Sheet'!DM414='Weeks Plan'!$G$6),'Planning Sheet'!$DO414,"")</f>
        <v/>
      </c>
    </row>
    <row r="5844" spans="25:27" x14ac:dyDescent="0.3">
      <c r="Y5844" s="48" t="str">
        <f ca="1">IF(AND('Planning Sheet'!DS415='Weeks Plan'!$D$6,'Planning Sheet'!DM415='Weeks Plan'!$G$6),'Planning Sheet'!$B415,"")</f>
        <v/>
      </c>
      <c r="Z5844" s="48" t="str">
        <f ca="1">IF(AND('Planning Sheet'!DS415='Weeks Plan'!$D$6,'Planning Sheet'!DM415='Weeks Plan'!$G$6),'Planning Sheet'!$DN415,"")</f>
        <v/>
      </c>
      <c r="AA5844" s="48" t="str">
        <f ca="1">IF(AND('Planning Sheet'!DS415='Weeks Plan'!$D$6,'Planning Sheet'!DM415='Weeks Plan'!$G$6),'Planning Sheet'!$DO415,"")</f>
        <v/>
      </c>
    </row>
    <row r="5845" spans="25:27" x14ac:dyDescent="0.3">
      <c r="Y5845" s="48" t="str">
        <f ca="1">IF(AND('Planning Sheet'!DS416='Weeks Plan'!$D$6,'Planning Sheet'!DM416='Weeks Plan'!$G$6),'Planning Sheet'!$B416,"")</f>
        <v/>
      </c>
      <c r="Z5845" s="48" t="str">
        <f ca="1">IF(AND('Planning Sheet'!DS416='Weeks Plan'!$D$6,'Planning Sheet'!DM416='Weeks Plan'!$G$6),'Planning Sheet'!$DN416,"")</f>
        <v/>
      </c>
      <c r="AA5845" s="48" t="str">
        <f ca="1">IF(AND('Planning Sheet'!DS416='Weeks Plan'!$D$6,'Planning Sheet'!DM416='Weeks Plan'!$G$6),'Planning Sheet'!$DO416,"")</f>
        <v/>
      </c>
    </row>
    <row r="5846" spans="25:27" x14ac:dyDescent="0.3">
      <c r="Y5846" s="48" t="str">
        <f ca="1">IF(AND('Planning Sheet'!DS417='Weeks Plan'!$D$6,'Planning Sheet'!DM417='Weeks Plan'!$G$6),'Planning Sheet'!$B417,"")</f>
        <v/>
      </c>
      <c r="Z5846" s="48" t="str">
        <f ca="1">IF(AND('Planning Sheet'!DS417='Weeks Plan'!$D$6,'Planning Sheet'!DM417='Weeks Plan'!$G$6),'Planning Sheet'!$DN417,"")</f>
        <v/>
      </c>
      <c r="AA5846" s="48" t="str">
        <f ca="1">IF(AND('Planning Sheet'!DS417='Weeks Plan'!$D$6,'Planning Sheet'!DM417='Weeks Plan'!$G$6),'Planning Sheet'!$DO417,"")</f>
        <v/>
      </c>
    </row>
    <row r="5847" spans="25:27" x14ac:dyDescent="0.3">
      <c r="Y5847" s="48" t="str">
        <f ca="1">IF(AND('Planning Sheet'!DS418='Weeks Plan'!$D$6,'Planning Sheet'!DM418='Weeks Plan'!$G$6),'Planning Sheet'!$B418,"")</f>
        <v/>
      </c>
      <c r="Z5847" s="48" t="str">
        <f ca="1">IF(AND('Planning Sheet'!DS418='Weeks Plan'!$D$6,'Planning Sheet'!DM418='Weeks Plan'!$G$6),'Planning Sheet'!$DN418,"")</f>
        <v/>
      </c>
      <c r="AA5847" s="48" t="str">
        <f ca="1">IF(AND('Planning Sheet'!DS418='Weeks Plan'!$D$6,'Planning Sheet'!DM418='Weeks Plan'!$G$6),'Planning Sheet'!$DO418,"")</f>
        <v/>
      </c>
    </row>
    <row r="5848" spans="25:27" x14ac:dyDescent="0.3">
      <c r="Y5848" s="48" t="str">
        <f ca="1">IF(AND('Planning Sheet'!DS419='Weeks Plan'!$D$6,'Planning Sheet'!DM419='Weeks Plan'!$G$6),'Planning Sheet'!$B419,"")</f>
        <v/>
      </c>
      <c r="Z5848" s="48" t="str">
        <f ca="1">IF(AND('Planning Sheet'!DS419='Weeks Plan'!$D$6,'Planning Sheet'!DM419='Weeks Plan'!$G$6),'Planning Sheet'!$DN419,"")</f>
        <v/>
      </c>
      <c r="AA5848" s="48" t="str">
        <f ca="1">IF(AND('Planning Sheet'!DS419='Weeks Plan'!$D$6,'Planning Sheet'!DM419='Weeks Plan'!$G$6),'Planning Sheet'!$DO419,"")</f>
        <v/>
      </c>
    </row>
    <row r="5849" spans="25:27" x14ac:dyDescent="0.3">
      <c r="Y5849" s="48" t="str">
        <f ca="1">IF(AND('Planning Sheet'!DS420='Weeks Plan'!$D$6,'Planning Sheet'!DM420='Weeks Plan'!$G$6),'Planning Sheet'!$B420,"")</f>
        <v/>
      </c>
      <c r="Z5849" s="48" t="str">
        <f ca="1">IF(AND('Planning Sheet'!DS420='Weeks Plan'!$D$6,'Planning Sheet'!DM420='Weeks Plan'!$G$6),'Planning Sheet'!$DN420,"")</f>
        <v/>
      </c>
      <c r="AA5849" s="48" t="str">
        <f ca="1">IF(AND('Planning Sheet'!DS420='Weeks Plan'!$D$6,'Planning Sheet'!DM420='Weeks Plan'!$G$6),'Planning Sheet'!$DO420,"")</f>
        <v/>
      </c>
    </row>
    <row r="5850" spans="25:27" x14ac:dyDescent="0.3">
      <c r="Y5850" s="48" t="str">
        <f ca="1">IF(AND('Planning Sheet'!DS421='Weeks Plan'!$D$6,'Planning Sheet'!DM421='Weeks Plan'!$G$6),'Planning Sheet'!$B421,"")</f>
        <v/>
      </c>
      <c r="Z5850" s="48" t="str">
        <f ca="1">IF(AND('Planning Sheet'!DS421='Weeks Plan'!$D$6,'Planning Sheet'!DM421='Weeks Plan'!$G$6),'Planning Sheet'!$DN421,"")</f>
        <v/>
      </c>
      <c r="AA5850" s="48" t="str">
        <f ca="1">IF(AND('Planning Sheet'!DS421='Weeks Plan'!$D$6,'Planning Sheet'!DM421='Weeks Plan'!$G$6),'Planning Sheet'!$DO421,"")</f>
        <v/>
      </c>
    </row>
    <row r="5851" spans="25:27" x14ac:dyDescent="0.3">
      <c r="Y5851" s="48" t="str">
        <f ca="1">IF(AND('Planning Sheet'!DS422='Weeks Plan'!$D$6,'Planning Sheet'!DM422='Weeks Plan'!$G$6),'Planning Sheet'!$B422,"")</f>
        <v/>
      </c>
      <c r="Z5851" s="48" t="str">
        <f ca="1">IF(AND('Planning Sheet'!DS422='Weeks Plan'!$D$6,'Planning Sheet'!DM422='Weeks Plan'!$G$6),'Planning Sheet'!$DN422,"")</f>
        <v/>
      </c>
      <c r="AA5851" s="48" t="str">
        <f ca="1">IF(AND('Planning Sheet'!DS422='Weeks Plan'!$D$6,'Planning Sheet'!DM422='Weeks Plan'!$G$6),'Planning Sheet'!$DO422,"")</f>
        <v/>
      </c>
    </row>
    <row r="5852" spans="25:27" x14ac:dyDescent="0.3">
      <c r="Y5852" s="48" t="str">
        <f ca="1">IF(AND('Planning Sheet'!DS423='Weeks Plan'!$D$6,'Planning Sheet'!DM423='Weeks Plan'!$G$6),'Planning Sheet'!$B423,"")</f>
        <v/>
      </c>
      <c r="Z5852" s="48" t="str">
        <f ca="1">IF(AND('Planning Sheet'!DS423='Weeks Plan'!$D$6,'Planning Sheet'!DM423='Weeks Plan'!$G$6),'Planning Sheet'!$DN423,"")</f>
        <v/>
      </c>
      <c r="AA5852" s="48" t="str">
        <f ca="1">IF(AND('Planning Sheet'!DS423='Weeks Plan'!$D$6,'Planning Sheet'!DM423='Weeks Plan'!$G$6),'Planning Sheet'!$DO423,"")</f>
        <v/>
      </c>
    </row>
    <row r="5853" spans="25:27" x14ac:dyDescent="0.3">
      <c r="Y5853" s="48" t="str">
        <f ca="1">IF(AND('Planning Sheet'!DS424='Weeks Plan'!$D$6,'Planning Sheet'!DM424='Weeks Plan'!$G$6),'Planning Sheet'!$B424,"")</f>
        <v/>
      </c>
      <c r="Z5853" s="48" t="str">
        <f ca="1">IF(AND('Planning Sheet'!DS424='Weeks Plan'!$D$6,'Planning Sheet'!DM424='Weeks Plan'!$G$6),'Planning Sheet'!$DN424,"")</f>
        <v/>
      </c>
      <c r="AA5853" s="48" t="str">
        <f ca="1">IF(AND('Planning Sheet'!DS424='Weeks Plan'!$D$6,'Planning Sheet'!DM424='Weeks Plan'!$G$6),'Planning Sheet'!$DO424,"")</f>
        <v/>
      </c>
    </row>
    <row r="5854" spans="25:27" x14ac:dyDescent="0.3">
      <c r="Y5854" s="48" t="str">
        <f ca="1">IF(AND('Planning Sheet'!DS425='Weeks Plan'!$D$6,'Planning Sheet'!DM425='Weeks Plan'!$G$6),'Planning Sheet'!$B425,"")</f>
        <v/>
      </c>
      <c r="Z5854" s="48" t="str">
        <f ca="1">IF(AND('Planning Sheet'!DS425='Weeks Plan'!$D$6,'Planning Sheet'!DM425='Weeks Plan'!$G$6),'Planning Sheet'!$DN425,"")</f>
        <v/>
      </c>
      <c r="AA5854" s="48" t="str">
        <f ca="1">IF(AND('Planning Sheet'!DS425='Weeks Plan'!$D$6,'Planning Sheet'!DM425='Weeks Plan'!$G$6),'Planning Sheet'!$DO425,"")</f>
        <v/>
      </c>
    </row>
    <row r="5855" spans="25:27" x14ac:dyDescent="0.3">
      <c r="Y5855" s="48" t="str">
        <f ca="1">IF(AND('Planning Sheet'!DS426='Weeks Plan'!$D$6,'Planning Sheet'!DM426='Weeks Plan'!$G$6),'Planning Sheet'!$B426,"")</f>
        <v/>
      </c>
      <c r="Z5855" s="48" t="str">
        <f ca="1">IF(AND('Planning Sheet'!DS426='Weeks Plan'!$D$6,'Planning Sheet'!DM426='Weeks Plan'!$G$6),'Planning Sheet'!$DN426,"")</f>
        <v/>
      </c>
      <c r="AA5855" s="48" t="str">
        <f ca="1">IF(AND('Planning Sheet'!DS426='Weeks Plan'!$D$6,'Planning Sheet'!DM426='Weeks Plan'!$G$6),'Planning Sheet'!$DO426,"")</f>
        <v/>
      </c>
    </row>
    <row r="5856" spans="25:27" x14ac:dyDescent="0.3">
      <c r="Y5856" s="48" t="str">
        <f ca="1">IF(AND('Planning Sheet'!DS427='Weeks Plan'!$D$6,'Planning Sheet'!DM427='Weeks Plan'!$G$6),'Planning Sheet'!$B427,"")</f>
        <v/>
      </c>
      <c r="Z5856" s="48" t="str">
        <f ca="1">IF(AND('Planning Sheet'!DS427='Weeks Plan'!$D$6,'Planning Sheet'!DM427='Weeks Plan'!$G$6),'Planning Sheet'!$DN427,"")</f>
        <v/>
      </c>
      <c r="AA5856" s="48" t="str">
        <f ca="1">IF(AND('Planning Sheet'!DS427='Weeks Plan'!$D$6,'Planning Sheet'!DM427='Weeks Plan'!$G$6),'Planning Sheet'!$DO427,"")</f>
        <v/>
      </c>
    </row>
    <row r="5857" spans="25:27" x14ac:dyDescent="0.3">
      <c r="Y5857" s="48" t="str">
        <f ca="1">IF(AND('Planning Sheet'!DS428='Weeks Plan'!$D$6,'Planning Sheet'!DM428='Weeks Plan'!$G$6),'Planning Sheet'!$B428,"")</f>
        <v/>
      </c>
      <c r="Z5857" s="48" t="str">
        <f ca="1">IF(AND('Planning Sheet'!DS428='Weeks Plan'!$D$6,'Planning Sheet'!DM428='Weeks Plan'!$G$6),'Planning Sheet'!$DN428,"")</f>
        <v/>
      </c>
      <c r="AA5857" s="48" t="str">
        <f ca="1">IF(AND('Planning Sheet'!DS428='Weeks Plan'!$D$6,'Planning Sheet'!DM428='Weeks Plan'!$G$6),'Planning Sheet'!$DO428,"")</f>
        <v/>
      </c>
    </row>
    <row r="5858" spans="25:27" x14ac:dyDescent="0.3">
      <c r="Y5858" s="48" t="str">
        <f ca="1">IF(AND('Planning Sheet'!DS429='Weeks Plan'!$D$6,'Planning Sheet'!DM429='Weeks Plan'!$G$6),'Planning Sheet'!$B429,"")</f>
        <v/>
      </c>
      <c r="Z5858" s="48" t="str">
        <f ca="1">IF(AND('Planning Sheet'!DS429='Weeks Plan'!$D$6,'Planning Sheet'!DM429='Weeks Plan'!$G$6),'Planning Sheet'!$DN429,"")</f>
        <v/>
      </c>
      <c r="AA5858" s="48" t="str">
        <f ca="1">IF(AND('Planning Sheet'!DS429='Weeks Plan'!$D$6,'Planning Sheet'!DM429='Weeks Plan'!$G$6),'Planning Sheet'!$DO429,"")</f>
        <v/>
      </c>
    </row>
    <row r="5859" spans="25:27" x14ac:dyDescent="0.3">
      <c r="Y5859" s="48" t="str">
        <f ca="1">IF(AND('Planning Sheet'!DS430='Weeks Plan'!$D$6,'Planning Sheet'!DM430='Weeks Plan'!$G$6),'Planning Sheet'!$B430,"")</f>
        <v/>
      </c>
      <c r="Z5859" s="48" t="str">
        <f ca="1">IF(AND('Planning Sheet'!DS430='Weeks Plan'!$D$6,'Planning Sheet'!DM430='Weeks Plan'!$G$6),'Planning Sheet'!$DN430,"")</f>
        <v/>
      </c>
      <c r="AA5859" s="48" t="str">
        <f ca="1">IF(AND('Planning Sheet'!DS430='Weeks Plan'!$D$6,'Planning Sheet'!DM430='Weeks Plan'!$G$6),'Planning Sheet'!$DO430,"")</f>
        <v/>
      </c>
    </row>
    <row r="5860" spans="25:27" x14ac:dyDescent="0.3">
      <c r="Y5860" s="48" t="str">
        <f ca="1">IF(AND('Planning Sheet'!DS431='Weeks Plan'!$D$6,'Planning Sheet'!DM431='Weeks Plan'!$G$6),'Planning Sheet'!$B431,"")</f>
        <v/>
      </c>
      <c r="Z5860" s="48" t="str">
        <f ca="1">IF(AND('Planning Sheet'!DS431='Weeks Plan'!$D$6,'Planning Sheet'!DM431='Weeks Plan'!$G$6),'Planning Sheet'!$DN431,"")</f>
        <v/>
      </c>
      <c r="AA5860" s="48" t="str">
        <f ca="1">IF(AND('Planning Sheet'!DS431='Weeks Plan'!$D$6,'Planning Sheet'!DM431='Weeks Plan'!$G$6),'Planning Sheet'!$DO431,"")</f>
        <v/>
      </c>
    </row>
    <row r="5861" spans="25:27" x14ac:dyDescent="0.3">
      <c r="Y5861" s="48" t="str">
        <f ca="1">IF(AND('Planning Sheet'!DS432='Weeks Plan'!$D$6,'Planning Sheet'!DM432='Weeks Plan'!$G$6),'Planning Sheet'!$B432,"")</f>
        <v/>
      </c>
      <c r="Z5861" s="48" t="str">
        <f ca="1">IF(AND('Planning Sheet'!DS432='Weeks Plan'!$D$6,'Planning Sheet'!DM432='Weeks Plan'!$G$6),'Planning Sheet'!$DN432,"")</f>
        <v/>
      </c>
      <c r="AA5861" s="48" t="str">
        <f ca="1">IF(AND('Planning Sheet'!DS432='Weeks Plan'!$D$6,'Planning Sheet'!DM432='Weeks Plan'!$G$6),'Planning Sheet'!$DO432,"")</f>
        <v/>
      </c>
    </row>
    <row r="5862" spans="25:27" x14ac:dyDescent="0.3">
      <c r="Y5862" s="48" t="str">
        <f ca="1">IF(AND('Planning Sheet'!DS433='Weeks Plan'!$D$6,'Planning Sheet'!DM433='Weeks Plan'!$G$6),'Planning Sheet'!$B433,"")</f>
        <v/>
      </c>
      <c r="Z5862" s="48" t="str">
        <f ca="1">IF(AND('Planning Sheet'!DS433='Weeks Plan'!$D$6,'Planning Sheet'!DM433='Weeks Plan'!$G$6),'Planning Sheet'!$DN433,"")</f>
        <v/>
      </c>
      <c r="AA5862" s="48" t="str">
        <f ca="1">IF(AND('Planning Sheet'!DS433='Weeks Plan'!$D$6,'Planning Sheet'!DM433='Weeks Plan'!$G$6),'Planning Sheet'!$DO433,"")</f>
        <v/>
      </c>
    </row>
    <row r="5863" spans="25:27" x14ac:dyDescent="0.3">
      <c r="Y5863" s="48" t="str">
        <f ca="1">IF(AND('Planning Sheet'!DS434='Weeks Plan'!$D$6,'Planning Sheet'!DM434='Weeks Plan'!$G$6),'Planning Sheet'!$B434,"")</f>
        <v/>
      </c>
      <c r="Z5863" s="48" t="str">
        <f ca="1">IF(AND('Planning Sheet'!DS434='Weeks Plan'!$D$6,'Planning Sheet'!DM434='Weeks Plan'!$G$6),'Planning Sheet'!$DN434,"")</f>
        <v/>
      </c>
      <c r="AA5863" s="48" t="str">
        <f ca="1">IF(AND('Planning Sheet'!DS434='Weeks Plan'!$D$6,'Planning Sheet'!DM434='Weeks Plan'!$G$6),'Planning Sheet'!$DO434,"")</f>
        <v/>
      </c>
    </row>
    <row r="5864" spans="25:27" x14ac:dyDescent="0.3">
      <c r="Y5864" s="48" t="str">
        <f ca="1">IF(AND('Planning Sheet'!DS435='Weeks Plan'!$D$6,'Planning Sheet'!DM435='Weeks Plan'!$G$6),'Planning Sheet'!$B435,"")</f>
        <v/>
      </c>
      <c r="Z5864" s="48" t="str">
        <f ca="1">IF(AND('Planning Sheet'!DS435='Weeks Plan'!$D$6,'Planning Sheet'!DM435='Weeks Plan'!$G$6),'Planning Sheet'!$DN435,"")</f>
        <v/>
      </c>
      <c r="AA5864" s="48" t="str">
        <f ca="1">IF(AND('Planning Sheet'!DS435='Weeks Plan'!$D$6,'Planning Sheet'!DM435='Weeks Plan'!$G$6),'Planning Sheet'!$DO435,"")</f>
        <v/>
      </c>
    </row>
    <row r="5865" spans="25:27" x14ac:dyDescent="0.3">
      <c r="Y5865" s="48" t="str">
        <f ca="1">IF(AND('Planning Sheet'!DS436='Weeks Plan'!$D$6,'Planning Sheet'!DM436='Weeks Plan'!$G$6),'Planning Sheet'!$B436,"")</f>
        <v/>
      </c>
      <c r="Z5865" s="48" t="str">
        <f ca="1">IF(AND('Planning Sheet'!DS436='Weeks Plan'!$D$6,'Planning Sheet'!DM436='Weeks Plan'!$G$6),'Planning Sheet'!$DN436,"")</f>
        <v/>
      </c>
      <c r="AA5865" s="48" t="str">
        <f ca="1">IF(AND('Planning Sheet'!DS436='Weeks Plan'!$D$6,'Planning Sheet'!DM436='Weeks Plan'!$G$6),'Planning Sheet'!$DO436,"")</f>
        <v/>
      </c>
    </row>
    <row r="5866" spans="25:27" x14ac:dyDescent="0.3">
      <c r="Y5866" s="48" t="str">
        <f ca="1">IF(AND('Planning Sheet'!DS437='Weeks Plan'!$D$6,'Planning Sheet'!DM437='Weeks Plan'!$G$6),'Planning Sheet'!$B437,"")</f>
        <v/>
      </c>
      <c r="Z5866" s="48" t="str">
        <f ca="1">IF(AND('Planning Sheet'!DS437='Weeks Plan'!$D$6,'Planning Sheet'!DM437='Weeks Plan'!$G$6),'Planning Sheet'!$DN437,"")</f>
        <v/>
      </c>
      <c r="AA5866" s="48" t="str">
        <f ca="1">IF(AND('Planning Sheet'!DS437='Weeks Plan'!$D$6,'Planning Sheet'!DM437='Weeks Plan'!$G$6),'Planning Sheet'!$DO437,"")</f>
        <v/>
      </c>
    </row>
    <row r="5867" spans="25:27" x14ac:dyDescent="0.3">
      <c r="Y5867" s="48" t="str">
        <f ca="1">IF(AND('Planning Sheet'!DS438='Weeks Plan'!$D$6,'Planning Sheet'!DM438='Weeks Plan'!$G$6),'Planning Sheet'!$B438,"")</f>
        <v/>
      </c>
      <c r="Z5867" s="48" t="str">
        <f ca="1">IF(AND('Planning Sheet'!DS438='Weeks Plan'!$D$6,'Planning Sheet'!DM438='Weeks Plan'!$G$6),'Planning Sheet'!$DN438,"")</f>
        <v/>
      </c>
      <c r="AA5867" s="48" t="str">
        <f ca="1">IF(AND('Planning Sheet'!DS438='Weeks Plan'!$D$6,'Planning Sheet'!DM438='Weeks Plan'!$G$6),'Planning Sheet'!$DO438,"")</f>
        <v/>
      </c>
    </row>
    <row r="5868" spans="25:27" x14ac:dyDescent="0.3">
      <c r="Y5868" s="48" t="str">
        <f ca="1">IF(AND('Planning Sheet'!DS439='Weeks Plan'!$D$6,'Planning Sheet'!DM439='Weeks Plan'!$G$6),'Planning Sheet'!$B439,"")</f>
        <v/>
      </c>
      <c r="Z5868" s="48" t="str">
        <f ca="1">IF(AND('Planning Sheet'!DS439='Weeks Plan'!$D$6,'Planning Sheet'!DM439='Weeks Plan'!$G$6),'Planning Sheet'!$DN439,"")</f>
        <v/>
      </c>
      <c r="AA5868" s="48" t="str">
        <f ca="1">IF(AND('Planning Sheet'!DS439='Weeks Plan'!$D$6,'Planning Sheet'!DM439='Weeks Plan'!$G$6),'Planning Sheet'!$DO439,"")</f>
        <v/>
      </c>
    </row>
    <row r="5869" spans="25:27" x14ac:dyDescent="0.3">
      <c r="Y5869" s="48" t="str">
        <f ca="1">IF(AND('Planning Sheet'!DS440='Weeks Plan'!$D$6,'Planning Sheet'!DM440='Weeks Plan'!$G$6),'Planning Sheet'!$B440,"")</f>
        <v/>
      </c>
      <c r="Z5869" s="48" t="str">
        <f ca="1">IF(AND('Planning Sheet'!DS440='Weeks Plan'!$D$6,'Planning Sheet'!DM440='Weeks Plan'!$G$6),'Planning Sheet'!$DN440,"")</f>
        <v/>
      </c>
      <c r="AA5869" s="48" t="str">
        <f ca="1">IF(AND('Planning Sheet'!DS440='Weeks Plan'!$D$6,'Planning Sheet'!DM440='Weeks Plan'!$G$6),'Planning Sheet'!$DO440,"")</f>
        <v/>
      </c>
    </row>
    <row r="5870" spans="25:27" x14ac:dyDescent="0.3">
      <c r="Y5870" s="48" t="str">
        <f ca="1">IF(AND('Planning Sheet'!DS441='Weeks Plan'!$D$6,'Planning Sheet'!DM441='Weeks Plan'!$G$6),'Planning Sheet'!$B441,"")</f>
        <v/>
      </c>
      <c r="Z5870" s="48" t="str">
        <f ca="1">IF(AND('Planning Sheet'!DS441='Weeks Plan'!$D$6,'Planning Sheet'!DM441='Weeks Plan'!$G$6),'Planning Sheet'!$DN441,"")</f>
        <v/>
      </c>
      <c r="AA5870" s="48" t="str">
        <f ca="1">IF(AND('Planning Sheet'!DS441='Weeks Plan'!$D$6,'Planning Sheet'!DM441='Weeks Plan'!$G$6),'Planning Sheet'!$DO441,"")</f>
        <v/>
      </c>
    </row>
    <row r="5871" spans="25:27" x14ac:dyDescent="0.3">
      <c r="Y5871" s="48" t="str">
        <f ca="1">IF(AND('Planning Sheet'!DS442='Weeks Plan'!$D$6,'Planning Sheet'!DM442='Weeks Plan'!$G$6),'Planning Sheet'!$B442,"")</f>
        <v/>
      </c>
      <c r="Z5871" s="48" t="str">
        <f ca="1">IF(AND('Planning Sheet'!DS442='Weeks Plan'!$D$6,'Planning Sheet'!DM442='Weeks Plan'!$G$6),'Planning Sheet'!$DN442,"")</f>
        <v/>
      </c>
      <c r="AA5871" s="48" t="str">
        <f ca="1">IF(AND('Planning Sheet'!DS442='Weeks Plan'!$D$6,'Planning Sheet'!DM442='Weeks Plan'!$G$6),'Planning Sheet'!$DO442,"")</f>
        <v/>
      </c>
    </row>
    <row r="5872" spans="25:27" x14ac:dyDescent="0.3">
      <c r="Y5872" s="48" t="str">
        <f ca="1">IF(AND('Planning Sheet'!DS443='Weeks Plan'!$D$6,'Planning Sheet'!DM443='Weeks Plan'!$G$6),'Planning Sheet'!$B443,"")</f>
        <v/>
      </c>
      <c r="Z5872" s="48" t="str">
        <f ca="1">IF(AND('Planning Sheet'!DS443='Weeks Plan'!$D$6,'Planning Sheet'!DM443='Weeks Plan'!$G$6),'Planning Sheet'!$DN443,"")</f>
        <v/>
      </c>
      <c r="AA5872" s="48" t="str">
        <f ca="1">IF(AND('Planning Sheet'!DS443='Weeks Plan'!$D$6,'Planning Sheet'!DM443='Weeks Plan'!$G$6),'Planning Sheet'!$DO443,"")</f>
        <v/>
      </c>
    </row>
    <row r="5873" spans="25:27" x14ac:dyDescent="0.3">
      <c r="Y5873" s="48" t="str">
        <f ca="1">IF(AND('Planning Sheet'!DS444='Weeks Plan'!$D$6,'Planning Sheet'!DM444='Weeks Plan'!$G$6),'Planning Sheet'!$B444,"")</f>
        <v/>
      </c>
      <c r="Z5873" s="48" t="str">
        <f ca="1">IF(AND('Planning Sheet'!DS444='Weeks Plan'!$D$6,'Planning Sheet'!DM444='Weeks Plan'!$G$6),'Planning Sheet'!$DN444,"")</f>
        <v/>
      </c>
      <c r="AA5873" s="48" t="str">
        <f ca="1">IF(AND('Planning Sheet'!DS444='Weeks Plan'!$D$6,'Planning Sheet'!DM444='Weeks Plan'!$G$6),'Planning Sheet'!$DO444,"")</f>
        <v/>
      </c>
    </row>
    <row r="5874" spans="25:27" x14ac:dyDescent="0.3">
      <c r="Y5874" s="48" t="str">
        <f ca="1">IF(AND('Planning Sheet'!DS445='Weeks Plan'!$D$6,'Planning Sheet'!DM445='Weeks Plan'!$G$6),'Planning Sheet'!$B445,"")</f>
        <v/>
      </c>
      <c r="Z5874" s="48" t="str">
        <f ca="1">IF(AND('Planning Sheet'!DS445='Weeks Plan'!$D$6,'Planning Sheet'!DM445='Weeks Plan'!$G$6),'Planning Sheet'!$DN445,"")</f>
        <v/>
      </c>
      <c r="AA5874" s="48" t="str">
        <f ca="1">IF(AND('Planning Sheet'!DS445='Weeks Plan'!$D$6,'Planning Sheet'!DM445='Weeks Plan'!$G$6),'Planning Sheet'!$DO445,"")</f>
        <v/>
      </c>
    </row>
    <row r="5875" spans="25:27" x14ac:dyDescent="0.3">
      <c r="Y5875" s="48" t="str">
        <f ca="1">IF(AND('Planning Sheet'!DS446='Weeks Plan'!$D$6,'Planning Sheet'!DM446='Weeks Plan'!$G$6),'Planning Sheet'!$B446,"")</f>
        <v/>
      </c>
      <c r="Z5875" s="48" t="str">
        <f ca="1">IF(AND('Planning Sheet'!DS446='Weeks Plan'!$D$6,'Planning Sheet'!DM446='Weeks Plan'!$G$6),'Planning Sheet'!$DN446,"")</f>
        <v/>
      </c>
      <c r="AA5875" s="48" t="str">
        <f ca="1">IF(AND('Planning Sheet'!DS446='Weeks Plan'!$D$6,'Planning Sheet'!DM446='Weeks Plan'!$G$6),'Planning Sheet'!$DO446,"")</f>
        <v/>
      </c>
    </row>
    <row r="5876" spans="25:27" x14ac:dyDescent="0.3">
      <c r="Y5876" s="48" t="str">
        <f ca="1">IF(AND('Planning Sheet'!DS447='Weeks Plan'!$D$6,'Planning Sheet'!DM447='Weeks Plan'!$G$6),'Planning Sheet'!$B447,"")</f>
        <v/>
      </c>
      <c r="Z5876" s="48" t="str">
        <f ca="1">IF(AND('Planning Sheet'!DS447='Weeks Plan'!$D$6,'Planning Sheet'!DM447='Weeks Plan'!$G$6),'Planning Sheet'!$DN447,"")</f>
        <v/>
      </c>
      <c r="AA5876" s="48" t="str">
        <f ca="1">IF(AND('Planning Sheet'!DS447='Weeks Plan'!$D$6,'Planning Sheet'!DM447='Weeks Plan'!$G$6),'Planning Sheet'!$DO447,"")</f>
        <v/>
      </c>
    </row>
    <row r="5877" spans="25:27" x14ac:dyDescent="0.3">
      <c r="Y5877" s="48" t="str">
        <f ca="1">IF(AND('Planning Sheet'!DS448='Weeks Plan'!$D$6,'Planning Sheet'!DM448='Weeks Plan'!$G$6),'Planning Sheet'!$B448,"")</f>
        <v/>
      </c>
      <c r="Z5877" s="48" t="str">
        <f ca="1">IF(AND('Planning Sheet'!DS448='Weeks Plan'!$D$6,'Planning Sheet'!DM448='Weeks Plan'!$G$6),'Planning Sheet'!$DN448,"")</f>
        <v/>
      </c>
      <c r="AA5877" s="48" t="str">
        <f ca="1">IF(AND('Planning Sheet'!DS448='Weeks Plan'!$D$6,'Planning Sheet'!DM448='Weeks Plan'!$G$6),'Planning Sheet'!$DO448,"")</f>
        <v/>
      </c>
    </row>
    <row r="5878" spans="25:27" x14ac:dyDescent="0.3">
      <c r="Y5878" s="48" t="str">
        <f ca="1">IF(AND('Planning Sheet'!DS449='Weeks Plan'!$D$6,'Planning Sheet'!DM449='Weeks Plan'!$G$6),'Planning Sheet'!$B449,"")</f>
        <v/>
      </c>
      <c r="Z5878" s="48" t="str">
        <f ca="1">IF(AND('Planning Sheet'!DS449='Weeks Plan'!$D$6,'Planning Sheet'!DM449='Weeks Plan'!$G$6),'Planning Sheet'!$DN449,"")</f>
        <v/>
      </c>
      <c r="AA5878" s="48" t="str">
        <f ca="1">IF(AND('Planning Sheet'!DS449='Weeks Plan'!$D$6,'Planning Sheet'!DM449='Weeks Plan'!$G$6),'Planning Sheet'!$DO449,"")</f>
        <v/>
      </c>
    </row>
    <row r="5879" spans="25:27" x14ac:dyDescent="0.3">
      <c r="Y5879" s="48" t="str">
        <f ca="1">IF(AND('Planning Sheet'!DS450='Weeks Plan'!$D$6,'Planning Sheet'!DM450='Weeks Plan'!$G$6),'Planning Sheet'!$B450,"")</f>
        <v/>
      </c>
      <c r="Z5879" s="48" t="str">
        <f ca="1">IF(AND('Planning Sheet'!DS450='Weeks Plan'!$D$6,'Planning Sheet'!DM450='Weeks Plan'!$G$6),'Planning Sheet'!$DN450,"")</f>
        <v/>
      </c>
      <c r="AA5879" s="48" t="str">
        <f ca="1">IF(AND('Planning Sheet'!DS450='Weeks Plan'!$D$6,'Planning Sheet'!DM450='Weeks Plan'!$G$6),'Planning Sheet'!$DO450,"")</f>
        <v/>
      </c>
    </row>
    <row r="5880" spans="25:27" x14ac:dyDescent="0.3">
      <c r="Y5880" s="48" t="str">
        <f ca="1">IF(AND('Planning Sheet'!DS451='Weeks Plan'!$D$6,'Planning Sheet'!DM451='Weeks Plan'!$G$6),'Planning Sheet'!$B451,"")</f>
        <v/>
      </c>
      <c r="Z5880" s="48" t="str">
        <f ca="1">IF(AND('Planning Sheet'!DS451='Weeks Plan'!$D$6,'Planning Sheet'!DM451='Weeks Plan'!$G$6),'Planning Sheet'!$DN451,"")</f>
        <v/>
      </c>
      <c r="AA5880" s="48" t="str">
        <f ca="1">IF(AND('Planning Sheet'!DS451='Weeks Plan'!$D$6,'Planning Sheet'!DM451='Weeks Plan'!$G$6),'Planning Sheet'!$DO451,"")</f>
        <v/>
      </c>
    </row>
    <row r="5881" spans="25:27" x14ac:dyDescent="0.3">
      <c r="Y5881" s="48" t="str">
        <f ca="1">IF(AND('Planning Sheet'!DS452='Weeks Plan'!$D$6,'Planning Sheet'!DM452='Weeks Plan'!$G$6),'Planning Sheet'!$B452,"")</f>
        <v/>
      </c>
      <c r="Z5881" s="48" t="str">
        <f ca="1">IF(AND('Planning Sheet'!DS452='Weeks Plan'!$D$6,'Planning Sheet'!DM452='Weeks Plan'!$G$6),'Planning Sheet'!$DN452,"")</f>
        <v/>
      </c>
      <c r="AA5881" s="48" t="str">
        <f ca="1">IF(AND('Planning Sheet'!DS452='Weeks Plan'!$D$6,'Planning Sheet'!DM452='Weeks Plan'!$G$6),'Planning Sheet'!$DO452,"")</f>
        <v/>
      </c>
    </row>
    <row r="5882" spans="25:27" x14ac:dyDescent="0.3">
      <c r="Y5882" s="48" t="str">
        <f ca="1">IF(AND('Planning Sheet'!DS453='Weeks Plan'!$D$6,'Planning Sheet'!DM453='Weeks Plan'!$G$6),'Planning Sheet'!$B453,"")</f>
        <v/>
      </c>
      <c r="Z5882" s="48" t="str">
        <f ca="1">IF(AND('Planning Sheet'!DS453='Weeks Plan'!$D$6,'Planning Sheet'!DM453='Weeks Plan'!$G$6),'Planning Sheet'!$DN453,"")</f>
        <v/>
      </c>
      <c r="AA5882" s="48" t="str">
        <f ca="1">IF(AND('Planning Sheet'!DS453='Weeks Plan'!$D$6,'Planning Sheet'!DM453='Weeks Plan'!$G$6),'Planning Sheet'!$DO453,"")</f>
        <v/>
      </c>
    </row>
    <row r="5883" spans="25:27" x14ac:dyDescent="0.3">
      <c r="Y5883" s="48" t="str">
        <f ca="1">IF(AND('Planning Sheet'!DS454='Weeks Plan'!$D$6,'Planning Sheet'!DM454='Weeks Plan'!$G$6),'Planning Sheet'!$B454,"")</f>
        <v/>
      </c>
      <c r="Z5883" s="48" t="str">
        <f ca="1">IF(AND('Planning Sheet'!DS454='Weeks Plan'!$D$6,'Planning Sheet'!DM454='Weeks Plan'!$G$6),'Planning Sheet'!$DN454,"")</f>
        <v/>
      </c>
      <c r="AA5883" s="48" t="str">
        <f ca="1">IF(AND('Planning Sheet'!DS454='Weeks Plan'!$D$6,'Planning Sheet'!DM454='Weeks Plan'!$G$6),'Planning Sheet'!$DO454,"")</f>
        <v/>
      </c>
    </row>
    <row r="5884" spans="25:27" x14ac:dyDescent="0.3">
      <c r="Y5884" s="48" t="str">
        <f ca="1">IF(AND('Planning Sheet'!DS455='Weeks Plan'!$D$6,'Planning Sheet'!DM455='Weeks Plan'!$G$6),'Planning Sheet'!$B455,"")</f>
        <v/>
      </c>
      <c r="Z5884" s="48" t="str">
        <f ca="1">IF(AND('Planning Sheet'!DS455='Weeks Plan'!$D$6,'Planning Sheet'!DM455='Weeks Plan'!$G$6),'Planning Sheet'!$DN455,"")</f>
        <v/>
      </c>
      <c r="AA5884" s="48" t="str">
        <f ca="1">IF(AND('Planning Sheet'!DS455='Weeks Plan'!$D$6,'Planning Sheet'!DM455='Weeks Plan'!$G$6),'Planning Sheet'!$DO455,"")</f>
        <v/>
      </c>
    </row>
    <row r="5885" spans="25:27" x14ac:dyDescent="0.3">
      <c r="Y5885" s="48" t="str">
        <f ca="1">IF(AND('Planning Sheet'!DS456='Weeks Plan'!$D$6,'Planning Sheet'!DM456='Weeks Plan'!$G$6),'Planning Sheet'!$B456,"")</f>
        <v/>
      </c>
      <c r="Z5885" s="48" t="str">
        <f ca="1">IF(AND('Planning Sheet'!DS456='Weeks Plan'!$D$6,'Planning Sheet'!DM456='Weeks Plan'!$G$6),'Planning Sheet'!$DN456,"")</f>
        <v/>
      </c>
      <c r="AA5885" s="48" t="str">
        <f ca="1">IF(AND('Planning Sheet'!DS456='Weeks Plan'!$D$6,'Planning Sheet'!DM456='Weeks Plan'!$G$6),'Planning Sheet'!$DO456,"")</f>
        <v/>
      </c>
    </row>
    <row r="5886" spans="25:27" x14ac:dyDescent="0.3">
      <c r="Y5886" s="48" t="str">
        <f ca="1">IF(AND('Planning Sheet'!DS457='Weeks Plan'!$D$6,'Planning Sheet'!DM457='Weeks Plan'!$G$6),'Planning Sheet'!$B457,"")</f>
        <v/>
      </c>
      <c r="Z5886" s="48" t="str">
        <f ca="1">IF(AND('Planning Sheet'!DS457='Weeks Plan'!$D$6,'Planning Sheet'!DM457='Weeks Plan'!$G$6),'Planning Sheet'!$DN457,"")</f>
        <v/>
      </c>
      <c r="AA5886" s="48" t="str">
        <f ca="1">IF(AND('Planning Sheet'!DS457='Weeks Plan'!$D$6,'Planning Sheet'!DM457='Weeks Plan'!$G$6),'Planning Sheet'!$DO457,"")</f>
        <v/>
      </c>
    </row>
    <row r="5887" spans="25:27" x14ac:dyDescent="0.3">
      <c r="Y5887" s="48" t="str">
        <f ca="1">IF(AND('Planning Sheet'!DS458='Weeks Plan'!$D$6,'Planning Sheet'!DM458='Weeks Plan'!$G$6),'Planning Sheet'!$B458,"")</f>
        <v/>
      </c>
      <c r="Z5887" s="48" t="str">
        <f ca="1">IF(AND('Planning Sheet'!DS458='Weeks Plan'!$D$6,'Planning Sheet'!DM458='Weeks Plan'!$G$6),'Planning Sheet'!$DN458,"")</f>
        <v/>
      </c>
      <c r="AA5887" s="48" t="str">
        <f ca="1">IF(AND('Planning Sheet'!DS458='Weeks Plan'!$D$6,'Planning Sheet'!DM458='Weeks Plan'!$G$6),'Planning Sheet'!$DO458,"")</f>
        <v/>
      </c>
    </row>
    <row r="5888" spans="25:27" x14ac:dyDescent="0.3">
      <c r="Y5888" s="48" t="str">
        <f ca="1">IF(AND('Planning Sheet'!DS459='Weeks Plan'!$D$6,'Planning Sheet'!DM459='Weeks Plan'!$G$6),'Planning Sheet'!$B459,"")</f>
        <v/>
      </c>
      <c r="Z5888" s="48" t="str">
        <f ca="1">IF(AND('Planning Sheet'!DS459='Weeks Plan'!$D$6,'Planning Sheet'!DM459='Weeks Plan'!$G$6),'Planning Sheet'!$DN459,"")</f>
        <v/>
      </c>
      <c r="AA5888" s="48" t="str">
        <f ca="1">IF(AND('Planning Sheet'!DS459='Weeks Plan'!$D$6,'Planning Sheet'!DM459='Weeks Plan'!$G$6),'Planning Sheet'!$DO459,"")</f>
        <v/>
      </c>
    </row>
    <row r="5889" spans="25:27" x14ac:dyDescent="0.3">
      <c r="Y5889" s="48" t="str">
        <f ca="1">IF(AND('Planning Sheet'!DS460='Weeks Plan'!$D$6,'Planning Sheet'!DM460='Weeks Plan'!$G$6),'Planning Sheet'!$B460,"")</f>
        <v/>
      </c>
      <c r="Z5889" s="48" t="str">
        <f ca="1">IF(AND('Planning Sheet'!DS460='Weeks Plan'!$D$6,'Planning Sheet'!DM460='Weeks Plan'!$G$6),'Planning Sheet'!$DN460,"")</f>
        <v/>
      </c>
      <c r="AA5889" s="48" t="str">
        <f ca="1">IF(AND('Planning Sheet'!DS460='Weeks Plan'!$D$6,'Planning Sheet'!DM460='Weeks Plan'!$G$6),'Planning Sheet'!$DO460,"")</f>
        <v/>
      </c>
    </row>
    <row r="5890" spans="25:27" x14ac:dyDescent="0.3">
      <c r="Y5890" s="48" t="str">
        <f ca="1">IF(AND('Planning Sheet'!DS461='Weeks Plan'!$D$6,'Planning Sheet'!DM461='Weeks Plan'!$G$6),'Planning Sheet'!$B461,"")</f>
        <v/>
      </c>
      <c r="Z5890" s="48" t="str">
        <f ca="1">IF(AND('Planning Sheet'!DS461='Weeks Plan'!$D$6,'Planning Sheet'!DM461='Weeks Plan'!$G$6),'Planning Sheet'!$DN461,"")</f>
        <v/>
      </c>
      <c r="AA5890" s="48" t="str">
        <f ca="1">IF(AND('Planning Sheet'!DS461='Weeks Plan'!$D$6,'Planning Sheet'!DM461='Weeks Plan'!$G$6),'Planning Sheet'!$DO461,"")</f>
        <v/>
      </c>
    </row>
    <row r="5891" spans="25:27" x14ac:dyDescent="0.3">
      <c r="Y5891" s="48" t="str">
        <f ca="1">IF(AND('Planning Sheet'!DS462='Weeks Plan'!$D$6,'Planning Sheet'!DM462='Weeks Plan'!$G$6),'Planning Sheet'!$B462,"")</f>
        <v/>
      </c>
      <c r="Z5891" s="48" t="str">
        <f ca="1">IF(AND('Planning Sheet'!DS462='Weeks Plan'!$D$6,'Planning Sheet'!DM462='Weeks Plan'!$G$6),'Planning Sheet'!$DN462,"")</f>
        <v/>
      </c>
      <c r="AA5891" s="48" t="str">
        <f ca="1">IF(AND('Planning Sheet'!DS462='Weeks Plan'!$D$6,'Planning Sheet'!DM462='Weeks Plan'!$G$6),'Planning Sheet'!$DO462,"")</f>
        <v/>
      </c>
    </row>
    <row r="5892" spans="25:27" x14ac:dyDescent="0.3">
      <c r="Y5892" s="48" t="str">
        <f ca="1">IF(AND('Planning Sheet'!DS463='Weeks Plan'!$D$6,'Planning Sheet'!DM463='Weeks Plan'!$G$6),'Planning Sheet'!$B463,"")</f>
        <v/>
      </c>
      <c r="Z5892" s="48" t="str">
        <f ca="1">IF(AND('Planning Sheet'!DS463='Weeks Plan'!$D$6,'Planning Sheet'!DM463='Weeks Plan'!$G$6),'Planning Sheet'!$DN463,"")</f>
        <v/>
      </c>
      <c r="AA5892" s="48" t="str">
        <f ca="1">IF(AND('Planning Sheet'!DS463='Weeks Plan'!$D$6,'Planning Sheet'!DM463='Weeks Plan'!$G$6),'Planning Sheet'!$DO463,"")</f>
        <v/>
      </c>
    </row>
    <row r="5893" spans="25:27" x14ac:dyDescent="0.3">
      <c r="Y5893" s="48" t="str">
        <f ca="1">IF(AND('Planning Sheet'!DS464='Weeks Plan'!$D$6,'Planning Sheet'!DM464='Weeks Plan'!$G$6),'Planning Sheet'!$B464,"")</f>
        <v/>
      </c>
      <c r="Z5893" s="48" t="str">
        <f ca="1">IF(AND('Planning Sheet'!DS464='Weeks Plan'!$D$6,'Planning Sheet'!DM464='Weeks Plan'!$G$6),'Planning Sheet'!$DN464,"")</f>
        <v/>
      </c>
      <c r="AA5893" s="48" t="str">
        <f ca="1">IF(AND('Planning Sheet'!DS464='Weeks Plan'!$D$6,'Planning Sheet'!DM464='Weeks Plan'!$G$6),'Planning Sheet'!$DO464,"")</f>
        <v/>
      </c>
    </row>
    <row r="5894" spans="25:27" x14ac:dyDescent="0.3">
      <c r="Y5894" s="48" t="str">
        <f ca="1">IF(AND('Planning Sheet'!DS465='Weeks Plan'!$D$6,'Planning Sheet'!DM465='Weeks Plan'!$G$6),'Planning Sheet'!$B465,"")</f>
        <v/>
      </c>
      <c r="Z5894" s="48" t="str">
        <f ca="1">IF(AND('Planning Sheet'!DS465='Weeks Plan'!$D$6,'Planning Sheet'!DM465='Weeks Plan'!$G$6),'Planning Sheet'!$DN465,"")</f>
        <v/>
      </c>
      <c r="AA5894" s="48" t="str">
        <f ca="1">IF(AND('Planning Sheet'!DS465='Weeks Plan'!$D$6,'Planning Sheet'!DM465='Weeks Plan'!$G$6),'Planning Sheet'!$DO465,"")</f>
        <v/>
      </c>
    </row>
    <row r="5895" spans="25:27" x14ac:dyDescent="0.3">
      <c r="Y5895" s="48" t="str">
        <f ca="1">IF(AND('Planning Sheet'!DS466='Weeks Plan'!$D$6,'Planning Sheet'!DM466='Weeks Plan'!$G$6),'Planning Sheet'!$B466,"")</f>
        <v/>
      </c>
      <c r="Z5895" s="48" t="str">
        <f ca="1">IF(AND('Planning Sheet'!DS466='Weeks Plan'!$D$6,'Planning Sheet'!DM466='Weeks Plan'!$G$6),'Planning Sheet'!$DN466,"")</f>
        <v/>
      </c>
      <c r="AA5895" s="48" t="str">
        <f ca="1">IF(AND('Planning Sheet'!DS466='Weeks Plan'!$D$6,'Planning Sheet'!DM466='Weeks Plan'!$G$6),'Planning Sheet'!$DO466,"")</f>
        <v/>
      </c>
    </row>
    <row r="5896" spans="25:27" x14ac:dyDescent="0.3">
      <c r="Y5896" s="48" t="str">
        <f ca="1">IF(AND('Planning Sheet'!DS467='Weeks Plan'!$D$6,'Planning Sheet'!DM467='Weeks Plan'!$G$6),'Planning Sheet'!$B467,"")</f>
        <v/>
      </c>
      <c r="Z5896" s="48" t="str">
        <f ca="1">IF(AND('Planning Sheet'!DS467='Weeks Plan'!$D$6,'Planning Sheet'!DM467='Weeks Plan'!$G$6),'Planning Sheet'!$DN467,"")</f>
        <v/>
      </c>
      <c r="AA5896" s="48" t="str">
        <f ca="1">IF(AND('Planning Sheet'!DS467='Weeks Plan'!$D$6,'Planning Sheet'!DM467='Weeks Plan'!$G$6),'Planning Sheet'!$DO467,"")</f>
        <v/>
      </c>
    </row>
    <row r="5897" spans="25:27" x14ac:dyDescent="0.3">
      <c r="Y5897" s="48" t="str">
        <f ca="1">IF(AND('Planning Sheet'!DS468='Weeks Plan'!$D$6,'Planning Sheet'!DM468='Weeks Plan'!$G$6),'Planning Sheet'!$B468,"")</f>
        <v/>
      </c>
      <c r="Z5897" s="48" t="str">
        <f ca="1">IF(AND('Planning Sheet'!DS468='Weeks Plan'!$D$6,'Planning Sheet'!DM468='Weeks Plan'!$G$6),'Planning Sheet'!$DN468,"")</f>
        <v/>
      </c>
      <c r="AA5897" s="48" t="str">
        <f ca="1">IF(AND('Planning Sheet'!DS468='Weeks Plan'!$D$6,'Planning Sheet'!DM468='Weeks Plan'!$G$6),'Planning Sheet'!$DO468,"")</f>
        <v/>
      </c>
    </row>
    <row r="5898" spans="25:27" x14ac:dyDescent="0.3">
      <c r="Y5898" s="48" t="str">
        <f ca="1">IF(AND('Planning Sheet'!DS469='Weeks Plan'!$D$6,'Planning Sheet'!DM469='Weeks Plan'!$G$6),'Planning Sheet'!$B469,"")</f>
        <v/>
      </c>
      <c r="Z5898" s="48" t="str">
        <f ca="1">IF(AND('Planning Sheet'!DS469='Weeks Plan'!$D$6,'Planning Sheet'!DM469='Weeks Plan'!$G$6),'Planning Sheet'!$DN469,"")</f>
        <v/>
      </c>
      <c r="AA5898" s="48" t="str">
        <f ca="1">IF(AND('Planning Sheet'!DS469='Weeks Plan'!$D$6,'Planning Sheet'!DM469='Weeks Plan'!$G$6),'Planning Sheet'!$DO469,"")</f>
        <v/>
      </c>
    </row>
    <row r="5899" spans="25:27" x14ac:dyDescent="0.3">
      <c r="Y5899" s="48" t="str">
        <f ca="1">IF(AND('Planning Sheet'!DS470='Weeks Plan'!$D$6,'Planning Sheet'!DM470='Weeks Plan'!$G$6),'Planning Sheet'!$B470,"")</f>
        <v/>
      </c>
      <c r="Z5899" s="48" t="str">
        <f ca="1">IF(AND('Planning Sheet'!DS470='Weeks Plan'!$D$6,'Planning Sheet'!DM470='Weeks Plan'!$G$6),'Planning Sheet'!$DN470,"")</f>
        <v/>
      </c>
      <c r="AA5899" s="48" t="str">
        <f ca="1">IF(AND('Planning Sheet'!DS470='Weeks Plan'!$D$6,'Planning Sheet'!DM470='Weeks Plan'!$G$6),'Planning Sheet'!$DO470,"")</f>
        <v/>
      </c>
    </row>
    <row r="5900" spans="25:27" x14ac:dyDescent="0.3">
      <c r="Y5900" s="48" t="str">
        <f ca="1">IF(AND('Planning Sheet'!DS471='Weeks Plan'!$D$6,'Planning Sheet'!DM471='Weeks Plan'!$G$6),'Planning Sheet'!$B471,"")</f>
        <v/>
      </c>
      <c r="Z5900" s="48" t="str">
        <f ca="1">IF(AND('Planning Sheet'!DS471='Weeks Plan'!$D$6,'Planning Sheet'!DM471='Weeks Plan'!$G$6),'Planning Sheet'!$DN471,"")</f>
        <v/>
      </c>
      <c r="AA5900" s="48" t="str">
        <f ca="1">IF(AND('Planning Sheet'!DS471='Weeks Plan'!$D$6,'Planning Sheet'!DM471='Weeks Plan'!$G$6),'Planning Sheet'!$DO471,"")</f>
        <v/>
      </c>
    </row>
    <row r="5901" spans="25:27" x14ac:dyDescent="0.3">
      <c r="Y5901" s="48" t="str">
        <f ca="1">IF(AND('Planning Sheet'!DS472='Weeks Plan'!$D$6,'Planning Sheet'!DM472='Weeks Plan'!$G$6),'Planning Sheet'!$B472,"")</f>
        <v/>
      </c>
      <c r="Z5901" s="48" t="str">
        <f ca="1">IF(AND('Planning Sheet'!DS472='Weeks Plan'!$D$6,'Planning Sheet'!DM472='Weeks Plan'!$G$6),'Planning Sheet'!$DN472,"")</f>
        <v/>
      </c>
      <c r="AA5901" s="48" t="str">
        <f ca="1">IF(AND('Planning Sheet'!DS472='Weeks Plan'!$D$6,'Planning Sheet'!DM472='Weeks Plan'!$G$6),'Planning Sheet'!$DO472,"")</f>
        <v/>
      </c>
    </row>
    <row r="5902" spans="25:27" x14ac:dyDescent="0.3">
      <c r="Y5902" s="48" t="str">
        <f ca="1">IF(AND('Planning Sheet'!DS473='Weeks Plan'!$D$6,'Planning Sheet'!DM473='Weeks Plan'!$G$6),'Planning Sheet'!$B473,"")</f>
        <v/>
      </c>
      <c r="Z5902" s="48" t="str">
        <f ca="1">IF(AND('Planning Sheet'!DS473='Weeks Plan'!$D$6,'Planning Sheet'!DM473='Weeks Plan'!$G$6),'Planning Sheet'!$DN473,"")</f>
        <v/>
      </c>
      <c r="AA5902" s="48" t="str">
        <f ca="1">IF(AND('Planning Sheet'!DS473='Weeks Plan'!$D$6,'Planning Sheet'!DM473='Weeks Plan'!$G$6),'Planning Sheet'!$DO473,"")</f>
        <v/>
      </c>
    </row>
    <row r="5903" spans="25:27" x14ac:dyDescent="0.3">
      <c r="Y5903" s="48" t="str">
        <f ca="1">IF(AND('Planning Sheet'!DS474='Weeks Plan'!$D$6,'Planning Sheet'!DM474='Weeks Plan'!$G$6),'Planning Sheet'!$B474,"")</f>
        <v/>
      </c>
      <c r="Z5903" s="48" t="str">
        <f ca="1">IF(AND('Planning Sheet'!DS474='Weeks Plan'!$D$6,'Planning Sheet'!DM474='Weeks Plan'!$G$6),'Planning Sheet'!$DN474,"")</f>
        <v/>
      </c>
      <c r="AA5903" s="48" t="str">
        <f ca="1">IF(AND('Planning Sheet'!DS474='Weeks Plan'!$D$6,'Planning Sheet'!DM474='Weeks Plan'!$G$6),'Planning Sheet'!$DO474,"")</f>
        <v/>
      </c>
    </row>
    <row r="5904" spans="25:27" x14ac:dyDescent="0.3">
      <c r="Y5904" s="48" t="str">
        <f ca="1">IF(AND('Planning Sheet'!DS475='Weeks Plan'!$D$6,'Planning Sheet'!DM475='Weeks Plan'!$G$6),'Planning Sheet'!$B475,"")</f>
        <v/>
      </c>
      <c r="Z5904" s="48" t="str">
        <f ca="1">IF(AND('Planning Sheet'!DS475='Weeks Plan'!$D$6,'Planning Sheet'!DM475='Weeks Plan'!$G$6),'Planning Sheet'!$DN475,"")</f>
        <v/>
      </c>
      <c r="AA5904" s="48" t="str">
        <f ca="1">IF(AND('Planning Sheet'!DS475='Weeks Plan'!$D$6,'Planning Sheet'!DM475='Weeks Plan'!$G$6),'Planning Sheet'!$DO475,"")</f>
        <v/>
      </c>
    </row>
    <row r="5905" spans="25:27" x14ac:dyDescent="0.3">
      <c r="Y5905" s="48" t="str">
        <f ca="1">IF(AND('Planning Sheet'!DS476='Weeks Plan'!$D$6,'Planning Sheet'!DM476='Weeks Plan'!$G$6),'Planning Sheet'!$B476,"")</f>
        <v/>
      </c>
      <c r="Z5905" s="48" t="str">
        <f ca="1">IF(AND('Planning Sheet'!DS476='Weeks Plan'!$D$6,'Planning Sheet'!DM476='Weeks Plan'!$G$6),'Planning Sheet'!$DN476,"")</f>
        <v/>
      </c>
      <c r="AA5905" s="48" t="str">
        <f ca="1">IF(AND('Planning Sheet'!DS476='Weeks Plan'!$D$6,'Planning Sheet'!DM476='Weeks Plan'!$G$6),'Planning Sheet'!$DO476,"")</f>
        <v/>
      </c>
    </row>
    <row r="5906" spans="25:27" x14ac:dyDescent="0.3">
      <c r="Y5906" s="48" t="str">
        <f ca="1">IF(AND('Planning Sheet'!DS477='Weeks Plan'!$D$6,'Planning Sheet'!DM477='Weeks Plan'!$G$6),'Planning Sheet'!$B477,"")</f>
        <v/>
      </c>
      <c r="Z5906" s="48" t="str">
        <f ca="1">IF(AND('Planning Sheet'!DS477='Weeks Plan'!$D$6,'Planning Sheet'!DM477='Weeks Plan'!$G$6),'Planning Sheet'!$DN477,"")</f>
        <v/>
      </c>
      <c r="AA5906" s="48" t="str">
        <f ca="1">IF(AND('Planning Sheet'!DS477='Weeks Plan'!$D$6,'Planning Sheet'!DM477='Weeks Plan'!$G$6),'Planning Sheet'!$DO477,"")</f>
        <v/>
      </c>
    </row>
    <row r="5907" spans="25:27" x14ac:dyDescent="0.3">
      <c r="Y5907" s="48" t="str">
        <f ca="1">IF(AND('Planning Sheet'!DS478='Weeks Plan'!$D$6,'Planning Sheet'!DM478='Weeks Plan'!$G$6),'Planning Sheet'!$B478,"")</f>
        <v/>
      </c>
      <c r="Z5907" s="48" t="str">
        <f ca="1">IF(AND('Planning Sheet'!DS478='Weeks Plan'!$D$6,'Planning Sheet'!DM478='Weeks Plan'!$G$6),'Planning Sheet'!$DN478,"")</f>
        <v/>
      </c>
      <c r="AA5907" s="48" t="str">
        <f ca="1">IF(AND('Planning Sheet'!DS478='Weeks Plan'!$D$6,'Planning Sheet'!DM478='Weeks Plan'!$G$6),'Planning Sheet'!$DO478,"")</f>
        <v/>
      </c>
    </row>
    <row r="5908" spans="25:27" x14ac:dyDescent="0.3">
      <c r="Y5908" s="48" t="str">
        <f ca="1">IF(AND('Planning Sheet'!DS479='Weeks Plan'!$D$6,'Planning Sheet'!DM479='Weeks Plan'!$G$6),'Planning Sheet'!$B479,"")</f>
        <v/>
      </c>
      <c r="Z5908" s="48" t="str">
        <f ca="1">IF(AND('Planning Sheet'!DS479='Weeks Plan'!$D$6,'Planning Sheet'!DM479='Weeks Plan'!$G$6),'Planning Sheet'!$DN479,"")</f>
        <v/>
      </c>
      <c r="AA5908" s="48" t="str">
        <f ca="1">IF(AND('Planning Sheet'!DS479='Weeks Plan'!$D$6,'Planning Sheet'!DM479='Weeks Plan'!$G$6),'Planning Sheet'!$DO479,"")</f>
        <v/>
      </c>
    </row>
    <row r="5909" spans="25:27" x14ac:dyDescent="0.3">
      <c r="Y5909" s="48" t="str">
        <f ca="1">IF(AND('Planning Sheet'!DS480='Weeks Plan'!$D$6,'Planning Sheet'!DM480='Weeks Plan'!$G$6),'Planning Sheet'!$B480,"")</f>
        <v/>
      </c>
      <c r="Z5909" s="48" t="str">
        <f ca="1">IF(AND('Planning Sheet'!DS480='Weeks Plan'!$D$6,'Planning Sheet'!DM480='Weeks Plan'!$G$6),'Planning Sheet'!$DN480,"")</f>
        <v/>
      </c>
      <c r="AA5909" s="48" t="str">
        <f ca="1">IF(AND('Planning Sheet'!DS480='Weeks Plan'!$D$6,'Planning Sheet'!DM480='Weeks Plan'!$G$6),'Planning Sheet'!$DO480,"")</f>
        <v/>
      </c>
    </row>
    <row r="5910" spans="25:27" x14ac:dyDescent="0.3">
      <c r="Y5910" s="48" t="str">
        <f ca="1">IF(AND('Planning Sheet'!DS481='Weeks Plan'!$D$6,'Planning Sheet'!DM481='Weeks Plan'!$G$6),'Planning Sheet'!$B481,"")</f>
        <v/>
      </c>
      <c r="Z5910" s="48" t="str">
        <f ca="1">IF(AND('Planning Sheet'!DS481='Weeks Plan'!$D$6,'Planning Sheet'!DM481='Weeks Plan'!$G$6),'Planning Sheet'!$DN481,"")</f>
        <v/>
      </c>
      <c r="AA5910" s="48" t="str">
        <f ca="1">IF(AND('Planning Sheet'!DS481='Weeks Plan'!$D$6,'Planning Sheet'!DM481='Weeks Plan'!$G$6),'Planning Sheet'!$DO481,"")</f>
        <v/>
      </c>
    </row>
    <row r="5911" spans="25:27" x14ac:dyDescent="0.3">
      <c r="Y5911" s="48" t="str">
        <f ca="1">IF(AND('Planning Sheet'!DS482='Weeks Plan'!$D$6,'Planning Sheet'!DM482='Weeks Plan'!$G$6),'Planning Sheet'!$B482,"")</f>
        <v/>
      </c>
      <c r="Z5911" s="48" t="str">
        <f ca="1">IF(AND('Planning Sheet'!DS482='Weeks Plan'!$D$6,'Planning Sheet'!DM482='Weeks Plan'!$G$6),'Planning Sheet'!$DN482,"")</f>
        <v/>
      </c>
      <c r="AA5911" s="48" t="str">
        <f ca="1">IF(AND('Planning Sheet'!DS482='Weeks Plan'!$D$6,'Planning Sheet'!DM482='Weeks Plan'!$G$6),'Planning Sheet'!$DO482,"")</f>
        <v/>
      </c>
    </row>
    <row r="5912" spans="25:27" x14ac:dyDescent="0.3">
      <c r="Y5912" s="48" t="str">
        <f ca="1">IF(AND('Planning Sheet'!DS483='Weeks Plan'!$D$6,'Planning Sheet'!DM483='Weeks Plan'!$G$6),'Planning Sheet'!$B483,"")</f>
        <v/>
      </c>
      <c r="Z5912" s="48" t="str">
        <f ca="1">IF(AND('Planning Sheet'!DS483='Weeks Plan'!$D$6,'Planning Sheet'!DM483='Weeks Plan'!$G$6),'Planning Sheet'!$DN483,"")</f>
        <v/>
      </c>
      <c r="AA5912" s="48" t="str">
        <f ca="1">IF(AND('Planning Sheet'!DS483='Weeks Plan'!$D$6,'Planning Sheet'!DM483='Weeks Plan'!$G$6),'Planning Sheet'!$DO483,"")</f>
        <v/>
      </c>
    </row>
    <row r="5913" spans="25:27" x14ac:dyDescent="0.3">
      <c r="Y5913" s="48" t="str">
        <f ca="1">IF(AND('Planning Sheet'!DS484='Weeks Plan'!$D$6,'Planning Sheet'!DM484='Weeks Plan'!$G$6),'Planning Sheet'!$B484,"")</f>
        <v/>
      </c>
      <c r="Z5913" s="48" t="str">
        <f ca="1">IF(AND('Planning Sheet'!DS484='Weeks Plan'!$D$6,'Planning Sheet'!DM484='Weeks Plan'!$G$6),'Planning Sheet'!$DN484,"")</f>
        <v/>
      </c>
      <c r="AA5913" s="48" t="str">
        <f ca="1">IF(AND('Planning Sheet'!DS484='Weeks Plan'!$D$6,'Planning Sheet'!DM484='Weeks Plan'!$G$6),'Planning Sheet'!$DO484,"")</f>
        <v/>
      </c>
    </row>
    <row r="5914" spans="25:27" x14ac:dyDescent="0.3">
      <c r="Y5914" s="48" t="str">
        <f ca="1">IF(AND('Planning Sheet'!DS485='Weeks Plan'!$D$6,'Planning Sheet'!DM485='Weeks Plan'!$G$6),'Planning Sheet'!$B485,"")</f>
        <v/>
      </c>
      <c r="Z5914" s="48" t="str">
        <f ca="1">IF(AND('Planning Sheet'!DS485='Weeks Plan'!$D$6,'Planning Sheet'!DM485='Weeks Plan'!$G$6),'Planning Sheet'!$DN485,"")</f>
        <v/>
      </c>
      <c r="AA5914" s="48" t="str">
        <f ca="1">IF(AND('Planning Sheet'!DS485='Weeks Plan'!$D$6,'Planning Sheet'!DM485='Weeks Plan'!$G$6),'Planning Sheet'!$DO485,"")</f>
        <v/>
      </c>
    </row>
    <row r="5915" spans="25:27" x14ac:dyDescent="0.3">
      <c r="Y5915" s="48" t="str">
        <f ca="1">IF(AND('Planning Sheet'!DS486='Weeks Plan'!$D$6,'Planning Sheet'!DM486='Weeks Plan'!$G$6),'Planning Sheet'!$B486,"")</f>
        <v/>
      </c>
      <c r="Z5915" s="48" t="str">
        <f ca="1">IF(AND('Planning Sheet'!DS486='Weeks Plan'!$D$6,'Planning Sheet'!DM486='Weeks Plan'!$G$6),'Planning Sheet'!$DN486,"")</f>
        <v/>
      </c>
      <c r="AA5915" s="48" t="str">
        <f ca="1">IF(AND('Planning Sheet'!DS486='Weeks Plan'!$D$6,'Planning Sheet'!DM486='Weeks Plan'!$G$6),'Planning Sheet'!$DO486,"")</f>
        <v/>
      </c>
    </row>
    <row r="5916" spans="25:27" x14ac:dyDescent="0.3">
      <c r="Y5916" s="48" t="str">
        <f ca="1">IF(AND('Planning Sheet'!DS487='Weeks Plan'!$D$6,'Planning Sheet'!DM487='Weeks Plan'!$G$6),'Planning Sheet'!$B487,"")</f>
        <v/>
      </c>
      <c r="Z5916" s="48" t="str">
        <f ca="1">IF(AND('Planning Sheet'!DS487='Weeks Plan'!$D$6,'Planning Sheet'!DM487='Weeks Plan'!$G$6),'Planning Sheet'!$DN487,"")</f>
        <v/>
      </c>
      <c r="AA5916" s="48" t="str">
        <f ca="1">IF(AND('Planning Sheet'!DS487='Weeks Plan'!$D$6,'Planning Sheet'!DM487='Weeks Plan'!$G$6),'Planning Sheet'!$DO487,"")</f>
        <v/>
      </c>
    </row>
    <row r="5917" spans="25:27" x14ac:dyDescent="0.3">
      <c r="Y5917" s="48" t="str">
        <f ca="1">IF(AND('Planning Sheet'!DS488='Weeks Plan'!$D$6,'Planning Sheet'!DM488='Weeks Plan'!$G$6),'Planning Sheet'!$B488,"")</f>
        <v/>
      </c>
      <c r="Z5917" s="48" t="str">
        <f ca="1">IF(AND('Planning Sheet'!DS488='Weeks Plan'!$D$6,'Planning Sheet'!DM488='Weeks Plan'!$G$6),'Planning Sheet'!$DN488,"")</f>
        <v/>
      </c>
      <c r="AA5917" s="48" t="str">
        <f ca="1">IF(AND('Planning Sheet'!DS488='Weeks Plan'!$D$6,'Planning Sheet'!DM488='Weeks Plan'!$G$6),'Planning Sheet'!$DO488,"")</f>
        <v/>
      </c>
    </row>
    <row r="5918" spans="25:27" x14ac:dyDescent="0.3">
      <c r="Y5918" s="48" t="str">
        <f ca="1">IF(AND('Planning Sheet'!DS489='Weeks Plan'!$D$6,'Planning Sheet'!DM489='Weeks Plan'!$G$6),'Planning Sheet'!$B489,"")</f>
        <v/>
      </c>
      <c r="Z5918" s="48" t="str">
        <f ca="1">IF(AND('Planning Sheet'!DS489='Weeks Plan'!$D$6,'Planning Sheet'!DM489='Weeks Plan'!$G$6),'Planning Sheet'!$DN489,"")</f>
        <v/>
      </c>
      <c r="AA5918" s="48" t="str">
        <f ca="1">IF(AND('Planning Sheet'!DS489='Weeks Plan'!$D$6,'Planning Sheet'!DM489='Weeks Plan'!$G$6),'Planning Sheet'!$DO489,"")</f>
        <v/>
      </c>
    </row>
    <row r="5919" spans="25:27" x14ac:dyDescent="0.3">
      <c r="Y5919" s="48" t="str">
        <f ca="1">IF(AND('Planning Sheet'!DS490='Weeks Plan'!$D$6,'Planning Sheet'!DM490='Weeks Plan'!$G$6),'Planning Sheet'!$B490,"")</f>
        <v/>
      </c>
      <c r="Z5919" s="48" t="str">
        <f ca="1">IF(AND('Planning Sheet'!DS490='Weeks Plan'!$D$6,'Planning Sheet'!DM490='Weeks Plan'!$G$6),'Planning Sheet'!$DN490,"")</f>
        <v/>
      </c>
      <c r="AA5919" s="48" t="str">
        <f ca="1">IF(AND('Planning Sheet'!DS490='Weeks Plan'!$D$6,'Planning Sheet'!DM490='Weeks Plan'!$G$6),'Planning Sheet'!$DO490,"")</f>
        <v/>
      </c>
    </row>
    <row r="5920" spans="25:27" x14ac:dyDescent="0.3">
      <c r="Y5920" s="48" t="str">
        <f ca="1">IF(AND('Planning Sheet'!DS491='Weeks Plan'!$D$6,'Planning Sheet'!DM491='Weeks Plan'!$G$6),'Planning Sheet'!$B491,"")</f>
        <v/>
      </c>
      <c r="Z5920" s="48" t="str">
        <f ca="1">IF(AND('Planning Sheet'!DS491='Weeks Plan'!$D$6,'Planning Sheet'!DM491='Weeks Plan'!$G$6),'Planning Sheet'!$DN491,"")</f>
        <v/>
      </c>
      <c r="AA5920" s="48" t="str">
        <f ca="1">IF(AND('Planning Sheet'!DS491='Weeks Plan'!$D$6,'Planning Sheet'!DM491='Weeks Plan'!$G$6),'Planning Sheet'!$DO491,"")</f>
        <v/>
      </c>
    </row>
    <row r="5921" spans="25:27" x14ac:dyDescent="0.3">
      <c r="Y5921" s="48" t="str">
        <f ca="1">IF(AND('Planning Sheet'!DS492='Weeks Plan'!$D$6,'Planning Sheet'!DM492='Weeks Plan'!$G$6),'Planning Sheet'!$B492,"")</f>
        <v/>
      </c>
      <c r="Z5921" s="48" t="str">
        <f ca="1">IF(AND('Planning Sheet'!DS492='Weeks Plan'!$D$6,'Planning Sheet'!DM492='Weeks Plan'!$G$6),'Planning Sheet'!$DN492,"")</f>
        <v/>
      </c>
      <c r="AA5921" s="48" t="str">
        <f ca="1">IF(AND('Planning Sheet'!DS492='Weeks Plan'!$D$6,'Planning Sheet'!DM492='Weeks Plan'!$G$6),'Planning Sheet'!$DO492,"")</f>
        <v/>
      </c>
    </row>
    <row r="5922" spans="25:27" x14ac:dyDescent="0.3">
      <c r="Y5922" s="48" t="str">
        <f ca="1">IF(AND('Planning Sheet'!DS493='Weeks Plan'!$D$6,'Planning Sheet'!DM493='Weeks Plan'!$G$6),'Planning Sheet'!$B493,"")</f>
        <v/>
      </c>
      <c r="Z5922" s="48" t="str">
        <f ca="1">IF(AND('Planning Sheet'!DS493='Weeks Plan'!$D$6,'Planning Sheet'!DM493='Weeks Plan'!$G$6),'Planning Sheet'!$DN493,"")</f>
        <v/>
      </c>
      <c r="AA5922" s="48" t="str">
        <f ca="1">IF(AND('Planning Sheet'!DS493='Weeks Plan'!$D$6,'Planning Sheet'!DM493='Weeks Plan'!$G$6),'Planning Sheet'!$DO493,"")</f>
        <v/>
      </c>
    </row>
    <row r="5923" spans="25:27" x14ac:dyDescent="0.3">
      <c r="Y5923" s="48" t="str">
        <f ca="1">IF(AND('Planning Sheet'!DS494='Weeks Plan'!$D$6,'Planning Sheet'!DM494='Weeks Plan'!$G$6),'Planning Sheet'!$B494,"")</f>
        <v/>
      </c>
      <c r="Z5923" s="48" t="str">
        <f ca="1">IF(AND('Planning Sheet'!DS494='Weeks Plan'!$D$6,'Planning Sheet'!DM494='Weeks Plan'!$G$6),'Planning Sheet'!$DN494,"")</f>
        <v/>
      </c>
      <c r="AA5923" s="48" t="str">
        <f ca="1">IF(AND('Planning Sheet'!DS494='Weeks Plan'!$D$6,'Planning Sheet'!DM494='Weeks Plan'!$G$6),'Planning Sheet'!$DO494,"")</f>
        <v/>
      </c>
    </row>
    <row r="5924" spans="25:27" x14ac:dyDescent="0.3">
      <c r="Y5924" s="48" t="str">
        <f ca="1">IF(AND('Planning Sheet'!DS495='Weeks Plan'!$D$6,'Planning Sheet'!DM495='Weeks Plan'!$G$6),'Planning Sheet'!$B495,"")</f>
        <v/>
      </c>
      <c r="Z5924" s="48" t="str">
        <f ca="1">IF(AND('Planning Sheet'!DS495='Weeks Plan'!$D$6,'Planning Sheet'!DM495='Weeks Plan'!$G$6),'Planning Sheet'!$DN495,"")</f>
        <v/>
      </c>
      <c r="AA5924" s="48" t="str">
        <f ca="1">IF(AND('Planning Sheet'!DS495='Weeks Plan'!$D$6,'Planning Sheet'!DM495='Weeks Plan'!$G$6),'Planning Sheet'!$DO495,"")</f>
        <v/>
      </c>
    </row>
    <row r="5925" spans="25:27" x14ac:dyDescent="0.3">
      <c r="Y5925" s="48" t="str">
        <f ca="1">IF(AND('Planning Sheet'!DS496='Weeks Plan'!$D$6,'Planning Sheet'!DM496='Weeks Plan'!$G$6),'Planning Sheet'!$B496,"")</f>
        <v/>
      </c>
      <c r="Z5925" s="48" t="str">
        <f ca="1">IF(AND('Planning Sheet'!DS496='Weeks Plan'!$D$6,'Planning Sheet'!DM496='Weeks Plan'!$G$6),'Planning Sheet'!$DN496,"")</f>
        <v/>
      </c>
      <c r="AA5925" s="48" t="str">
        <f ca="1">IF(AND('Planning Sheet'!DS496='Weeks Plan'!$D$6,'Planning Sheet'!DM496='Weeks Plan'!$G$6),'Planning Sheet'!$DO496,"")</f>
        <v/>
      </c>
    </row>
    <row r="5926" spans="25:27" x14ac:dyDescent="0.3">
      <c r="Y5926" s="48" t="str">
        <f ca="1">IF(AND('Planning Sheet'!DS497='Weeks Plan'!$D$6,'Planning Sheet'!DM497='Weeks Plan'!$G$6),'Planning Sheet'!$B497,"")</f>
        <v/>
      </c>
      <c r="Z5926" s="48" t="str">
        <f ca="1">IF(AND('Planning Sheet'!DS497='Weeks Plan'!$D$6,'Planning Sheet'!DM497='Weeks Plan'!$G$6),'Planning Sheet'!$DN497,"")</f>
        <v/>
      </c>
      <c r="AA5926" s="48" t="str">
        <f ca="1">IF(AND('Planning Sheet'!DS497='Weeks Plan'!$D$6,'Planning Sheet'!DM497='Weeks Plan'!$G$6),'Planning Sheet'!$DO497,"")</f>
        <v/>
      </c>
    </row>
    <row r="5927" spans="25:27" x14ac:dyDescent="0.3">
      <c r="Y5927" s="48" t="str">
        <f ca="1">IF(AND('Planning Sheet'!DS498='Weeks Plan'!$D$6,'Planning Sheet'!DM498='Weeks Plan'!$G$6),'Planning Sheet'!$B498,"")</f>
        <v/>
      </c>
      <c r="Z5927" s="48" t="str">
        <f ca="1">IF(AND('Planning Sheet'!DS498='Weeks Plan'!$D$6,'Planning Sheet'!DM498='Weeks Plan'!$G$6),'Planning Sheet'!$DN498,"")</f>
        <v/>
      </c>
      <c r="AA5927" s="48" t="str">
        <f ca="1">IF(AND('Planning Sheet'!DS498='Weeks Plan'!$D$6,'Planning Sheet'!DM498='Weeks Plan'!$G$6),'Planning Sheet'!$DO498,"")</f>
        <v/>
      </c>
    </row>
    <row r="5928" spans="25:27" x14ac:dyDescent="0.3">
      <c r="Y5928" s="48" t="str">
        <f ca="1">IF(AND('Planning Sheet'!DS499='Weeks Plan'!$D$6,'Planning Sheet'!DM499='Weeks Plan'!$G$6),'Planning Sheet'!$B499,"")</f>
        <v/>
      </c>
      <c r="Z5928" s="48" t="str">
        <f ca="1">IF(AND('Planning Sheet'!DS499='Weeks Plan'!$D$6,'Planning Sheet'!DM499='Weeks Plan'!$G$6),'Planning Sheet'!$DN499,"")</f>
        <v/>
      </c>
      <c r="AA5928" s="48" t="str">
        <f ca="1">IF(AND('Planning Sheet'!DS499='Weeks Plan'!$D$6,'Planning Sheet'!DM499='Weeks Plan'!$G$6),'Planning Sheet'!$DO499,"")</f>
        <v/>
      </c>
    </row>
    <row r="5929" spans="25:27" x14ac:dyDescent="0.3">
      <c r="Y5929" s="48" t="str">
        <f ca="1">IF(AND('Planning Sheet'!DS500='Weeks Plan'!$D$6,'Planning Sheet'!DM500='Weeks Plan'!$G$6),'Planning Sheet'!$B500,"")</f>
        <v/>
      </c>
      <c r="Z5929" s="48" t="str">
        <f ca="1">IF(AND('Planning Sheet'!DS500='Weeks Plan'!$D$6,'Planning Sheet'!DM500='Weeks Plan'!$G$6),'Planning Sheet'!$DN500,"")</f>
        <v/>
      </c>
      <c r="AA5929" s="48" t="str">
        <f ca="1">IF(AND('Planning Sheet'!DS500='Weeks Plan'!$D$6,'Planning Sheet'!DM500='Weeks Plan'!$G$6),'Planning Sheet'!$DO500,"")</f>
        <v/>
      </c>
    </row>
    <row r="5931" spans="25:27" x14ac:dyDescent="0.3">
      <c r="Y5931" s="47" t="str">
        <f ca="1">IFERROR(IF('Planning Sheet'!DX8='Weeks Plan'!$D$6,'Planning Sheet'!$B8,""),"")</f>
        <v/>
      </c>
      <c r="Z5931" s="47" t="str">
        <f ca="1">IFERROR(IF('Planning Sheet'!DX8='Weeks Plan'!$D$6,"RFD",""),"")</f>
        <v/>
      </c>
      <c r="AA5931" s="47" t="str">
        <f ca="1">IFERROR(IF('Planning Sheet'!DX8='Weeks Plan'!$D$6,'Planning Sheet'!DT8,""),"")</f>
        <v/>
      </c>
    </row>
    <row r="5932" spans="25:27" x14ac:dyDescent="0.3">
      <c r="Y5932" s="48" t="str">
        <f ca="1">IFERROR(IF('Planning Sheet'!DX9='Weeks Plan'!$D$6,'Planning Sheet'!$B9,""),"")</f>
        <v/>
      </c>
      <c r="Z5932" s="48" t="str">
        <f ca="1">IFERROR(IF('Planning Sheet'!DX9='Weeks Plan'!$D$6,"RFD",""),"")</f>
        <v/>
      </c>
      <c r="AA5932" s="48" t="str">
        <f ca="1">IFERROR(IF('Planning Sheet'!DX9='Weeks Plan'!$D$6,'Planning Sheet'!DT9,""),"")</f>
        <v/>
      </c>
    </row>
    <row r="5933" spans="25:27" x14ac:dyDescent="0.3">
      <c r="Y5933" s="48" t="str">
        <f ca="1">IFERROR(IF('Planning Sheet'!DX10='Weeks Plan'!$D$6,'Planning Sheet'!$B10,""),"")</f>
        <v/>
      </c>
      <c r="Z5933" s="48" t="str">
        <f ca="1">IFERROR(IF('Planning Sheet'!DX10='Weeks Plan'!$D$6,"RFD",""),"")</f>
        <v/>
      </c>
      <c r="AA5933" s="48" t="str">
        <f ca="1">IFERROR(IF('Planning Sheet'!DX10='Weeks Plan'!$D$6,'Planning Sheet'!DT10,""),"")</f>
        <v/>
      </c>
    </row>
    <row r="5934" spans="25:27" x14ac:dyDescent="0.3">
      <c r="Y5934" s="48" t="str">
        <f ca="1">IFERROR(IF('Planning Sheet'!DX11='Weeks Plan'!$D$6,'Planning Sheet'!$B11,""),"")</f>
        <v/>
      </c>
      <c r="Z5934" s="48" t="str">
        <f ca="1">IFERROR(IF('Planning Sheet'!DX11='Weeks Plan'!$D$6,"RFD",""),"")</f>
        <v/>
      </c>
      <c r="AA5934" s="48" t="str">
        <f ca="1">IFERROR(IF('Planning Sheet'!DX11='Weeks Plan'!$D$6,'Planning Sheet'!DT11,""),"")</f>
        <v/>
      </c>
    </row>
    <row r="5935" spans="25:27" x14ac:dyDescent="0.3">
      <c r="Y5935" s="48" t="str">
        <f ca="1">IFERROR(IF('Planning Sheet'!DX12='Weeks Plan'!$D$6,'Planning Sheet'!$B12,""),"")</f>
        <v/>
      </c>
      <c r="Z5935" s="48" t="str">
        <f ca="1">IFERROR(IF('Planning Sheet'!DX12='Weeks Plan'!$D$6,"RFD",""),"")</f>
        <v/>
      </c>
      <c r="AA5935" s="48" t="str">
        <f ca="1">IFERROR(IF('Planning Sheet'!DX12='Weeks Plan'!$D$6,'Planning Sheet'!DT12,""),"")</f>
        <v/>
      </c>
    </row>
    <row r="5936" spans="25:27" x14ac:dyDescent="0.3">
      <c r="Y5936" s="48" t="str">
        <f ca="1">IFERROR(IF('Planning Sheet'!DX13='Weeks Plan'!$D$6,'Planning Sheet'!$B13,""),"")</f>
        <v/>
      </c>
      <c r="Z5936" s="48" t="str">
        <f ca="1">IFERROR(IF('Planning Sheet'!DX13='Weeks Plan'!$D$6,"RFD",""),"")</f>
        <v/>
      </c>
      <c r="AA5936" s="48" t="str">
        <f ca="1">IFERROR(IF('Planning Sheet'!DX13='Weeks Plan'!$D$6,'Planning Sheet'!DT13,""),"")</f>
        <v/>
      </c>
    </row>
    <row r="5937" spans="25:27" x14ac:dyDescent="0.3">
      <c r="Y5937" s="48" t="str">
        <f ca="1">IFERROR(IF('Planning Sheet'!DX14='Weeks Plan'!$D$6,'Planning Sheet'!$B14,""),"")</f>
        <v/>
      </c>
      <c r="Z5937" s="48" t="str">
        <f ca="1">IFERROR(IF('Planning Sheet'!DX14='Weeks Plan'!$D$6,"RFD",""),"")</f>
        <v/>
      </c>
      <c r="AA5937" s="48" t="str">
        <f ca="1">IFERROR(IF('Planning Sheet'!DX14='Weeks Plan'!$D$6,'Planning Sheet'!DT14,""),"")</f>
        <v/>
      </c>
    </row>
    <row r="5938" spans="25:27" x14ac:dyDescent="0.3">
      <c r="Y5938" s="48" t="str">
        <f ca="1">IFERROR(IF('Planning Sheet'!DX15='Weeks Plan'!$D$6,'Planning Sheet'!$B15,""),"")</f>
        <v/>
      </c>
      <c r="Z5938" s="48" t="str">
        <f ca="1">IFERROR(IF('Planning Sheet'!DX15='Weeks Plan'!$D$6,"RFD",""),"")</f>
        <v/>
      </c>
      <c r="AA5938" s="48" t="str">
        <f ca="1">IFERROR(IF('Planning Sheet'!DX15='Weeks Plan'!$D$6,'Planning Sheet'!DT15,""),"")</f>
        <v/>
      </c>
    </row>
    <row r="5939" spans="25:27" x14ac:dyDescent="0.3">
      <c r="Y5939" s="48" t="str">
        <f ca="1">IFERROR(IF('Planning Sheet'!DX16='Weeks Plan'!$D$6,'Planning Sheet'!$B16,""),"")</f>
        <v/>
      </c>
      <c r="Z5939" s="48" t="str">
        <f ca="1">IFERROR(IF('Planning Sheet'!DX16='Weeks Plan'!$D$6,"RFD",""),"")</f>
        <v/>
      </c>
      <c r="AA5939" s="48" t="str">
        <f ca="1">IFERROR(IF('Planning Sheet'!DX16='Weeks Plan'!$D$6,'Planning Sheet'!DT16,""),"")</f>
        <v/>
      </c>
    </row>
    <row r="5940" spans="25:27" x14ac:dyDescent="0.3">
      <c r="Y5940" s="48" t="str">
        <f ca="1">IFERROR(IF('Planning Sheet'!DX17='Weeks Plan'!$D$6,'Planning Sheet'!$B17,""),"")</f>
        <v/>
      </c>
      <c r="Z5940" s="48" t="str">
        <f ca="1">IFERROR(IF('Planning Sheet'!DX17='Weeks Plan'!$D$6,"RFD",""),"")</f>
        <v/>
      </c>
      <c r="AA5940" s="48" t="str">
        <f ca="1">IFERROR(IF('Planning Sheet'!DX17='Weeks Plan'!$D$6,'Planning Sheet'!DT17,""),"")</f>
        <v/>
      </c>
    </row>
    <row r="5941" spans="25:27" x14ac:dyDescent="0.3">
      <c r="Y5941" s="48" t="str">
        <f ca="1">IFERROR(IF('Planning Sheet'!DX18='Weeks Plan'!$D$6,'Planning Sheet'!$B18,""),"")</f>
        <v/>
      </c>
      <c r="Z5941" s="48" t="str">
        <f ca="1">IFERROR(IF('Planning Sheet'!DX18='Weeks Plan'!$D$6,"RFD",""),"")</f>
        <v/>
      </c>
      <c r="AA5941" s="48" t="str">
        <f ca="1">IFERROR(IF('Planning Sheet'!DX18='Weeks Plan'!$D$6,'Planning Sheet'!DT18,""),"")</f>
        <v/>
      </c>
    </row>
    <row r="5942" spans="25:27" x14ac:dyDescent="0.3">
      <c r="Y5942" s="48" t="str">
        <f ca="1">IFERROR(IF('Planning Sheet'!DX19='Weeks Plan'!$D$6,'Planning Sheet'!$B19,""),"")</f>
        <v/>
      </c>
      <c r="Z5942" s="48" t="str">
        <f ca="1">IFERROR(IF('Planning Sheet'!DX19='Weeks Plan'!$D$6,"RFD",""),"")</f>
        <v/>
      </c>
      <c r="AA5942" s="48" t="str">
        <f ca="1">IFERROR(IF('Planning Sheet'!DX19='Weeks Plan'!$D$6,'Planning Sheet'!DT19,""),"")</f>
        <v/>
      </c>
    </row>
    <row r="5943" spans="25:27" x14ac:dyDescent="0.3">
      <c r="Y5943" s="48" t="str">
        <f ca="1">IFERROR(IF('Planning Sheet'!DX20='Weeks Plan'!$D$6,'Planning Sheet'!$B20,""),"")</f>
        <v/>
      </c>
      <c r="Z5943" s="48" t="str">
        <f ca="1">IFERROR(IF('Planning Sheet'!DX20='Weeks Plan'!$D$6,"RFD",""),"")</f>
        <v/>
      </c>
      <c r="AA5943" s="48" t="str">
        <f ca="1">IFERROR(IF('Planning Sheet'!DX20='Weeks Plan'!$D$6,'Planning Sheet'!DT20,""),"")</f>
        <v/>
      </c>
    </row>
    <row r="5944" spans="25:27" x14ac:dyDescent="0.3">
      <c r="Y5944" s="48" t="str">
        <f ca="1">IFERROR(IF('Planning Sheet'!DX21='Weeks Plan'!$D$6,'Planning Sheet'!$B21,""),"")</f>
        <v/>
      </c>
      <c r="Z5944" s="48" t="str">
        <f ca="1">IFERROR(IF('Planning Sheet'!DX21='Weeks Plan'!$D$6,"RFD",""),"")</f>
        <v/>
      </c>
      <c r="AA5944" s="48" t="str">
        <f ca="1">IFERROR(IF('Planning Sheet'!DX21='Weeks Plan'!$D$6,'Planning Sheet'!DT21,""),"")</f>
        <v/>
      </c>
    </row>
    <row r="5945" spans="25:27" x14ac:dyDescent="0.3">
      <c r="Y5945" s="48" t="str">
        <f ca="1">IFERROR(IF('Planning Sheet'!DX22='Weeks Plan'!$D$6,'Planning Sheet'!$B22,""),"")</f>
        <v/>
      </c>
      <c r="Z5945" s="48" t="str">
        <f ca="1">IFERROR(IF('Planning Sheet'!DX22='Weeks Plan'!$D$6,"RFD",""),"")</f>
        <v/>
      </c>
      <c r="AA5945" s="48" t="str">
        <f ca="1">IFERROR(IF('Planning Sheet'!DX22='Weeks Plan'!$D$6,'Planning Sheet'!DT22,""),"")</f>
        <v/>
      </c>
    </row>
    <row r="5946" spans="25:27" x14ac:dyDescent="0.3">
      <c r="Y5946" s="48" t="str">
        <f ca="1">IFERROR(IF('Planning Sheet'!DX23='Weeks Plan'!$D$6,'Planning Sheet'!$B23,""),"")</f>
        <v/>
      </c>
      <c r="Z5946" s="48" t="str">
        <f ca="1">IFERROR(IF('Planning Sheet'!DX23='Weeks Plan'!$D$6,"RFD",""),"")</f>
        <v/>
      </c>
      <c r="AA5946" s="48" t="str">
        <f ca="1">IFERROR(IF('Planning Sheet'!DX23='Weeks Plan'!$D$6,'Planning Sheet'!DT23,""),"")</f>
        <v/>
      </c>
    </row>
    <row r="5947" spans="25:27" x14ac:dyDescent="0.3">
      <c r="Y5947" s="48" t="str">
        <f ca="1">IFERROR(IF('Planning Sheet'!DX24='Weeks Plan'!$D$6,'Planning Sheet'!$B24,""),"")</f>
        <v/>
      </c>
      <c r="Z5947" s="48" t="str">
        <f ca="1">IFERROR(IF('Planning Sheet'!DX24='Weeks Plan'!$D$6,"RFD",""),"")</f>
        <v/>
      </c>
      <c r="AA5947" s="48" t="str">
        <f ca="1">IFERROR(IF('Planning Sheet'!DX24='Weeks Plan'!$D$6,'Planning Sheet'!DT24,""),"")</f>
        <v/>
      </c>
    </row>
    <row r="5948" spans="25:27" x14ac:dyDescent="0.3">
      <c r="Y5948" s="48" t="str">
        <f ca="1">IFERROR(IF('Planning Sheet'!DX25='Weeks Plan'!$D$6,'Planning Sheet'!$B25,""),"")</f>
        <v/>
      </c>
      <c r="Z5948" s="48" t="str">
        <f ca="1">IFERROR(IF('Planning Sheet'!DX25='Weeks Plan'!$D$6,"RFD",""),"")</f>
        <v/>
      </c>
      <c r="AA5948" s="48" t="str">
        <f ca="1">IFERROR(IF('Planning Sheet'!DX25='Weeks Plan'!$D$6,'Planning Sheet'!DT25,""),"")</f>
        <v/>
      </c>
    </row>
    <row r="5949" spans="25:27" x14ac:dyDescent="0.3">
      <c r="Y5949" s="48" t="str">
        <f ca="1">IFERROR(IF('Planning Sheet'!DX26='Weeks Plan'!$D$6,'Planning Sheet'!$B26,""),"")</f>
        <v/>
      </c>
      <c r="Z5949" s="48" t="str">
        <f ca="1">IFERROR(IF('Planning Sheet'!DX26='Weeks Plan'!$D$6,"RFD",""),"")</f>
        <v/>
      </c>
      <c r="AA5949" s="48" t="str">
        <f ca="1">IFERROR(IF('Planning Sheet'!DX26='Weeks Plan'!$D$6,'Planning Sheet'!DT26,""),"")</f>
        <v/>
      </c>
    </row>
    <row r="5950" spans="25:27" x14ac:dyDescent="0.3">
      <c r="Y5950" s="48" t="str">
        <f ca="1">IFERROR(IF('Planning Sheet'!DX27='Weeks Plan'!$D$6,'Planning Sheet'!$B27,""),"")</f>
        <v/>
      </c>
      <c r="Z5950" s="48" t="str">
        <f ca="1">IFERROR(IF('Planning Sheet'!DX27='Weeks Plan'!$D$6,"RFD",""),"")</f>
        <v/>
      </c>
      <c r="AA5950" s="48" t="str">
        <f ca="1">IFERROR(IF('Planning Sheet'!DX27='Weeks Plan'!$D$6,'Planning Sheet'!DT27,""),"")</f>
        <v/>
      </c>
    </row>
    <row r="5951" spans="25:27" x14ac:dyDescent="0.3">
      <c r="Y5951" s="48" t="str">
        <f ca="1">IFERROR(IF('Planning Sheet'!DX28='Weeks Plan'!$D$6,'Planning Sheet'!$B28,""),"")</f>
        <v/>
      </c>
      <c r="Z5951" s="48" t="str">
        <f ca="1">IFERROR(IF('Planning Sheet'!DX28='Weeks Plan'!$D$6,"RFD",""),"")</f>
        <v/>
      </c>
      <c r="AA5951" s="48" t="str">
        <f ca="1">IFERROR(IF('Planning Sheet'!DX28='Weeks Plan'!$D$6,'Planning Sheet'!DT28,""),"")</f>
        <v/>
      </c>
    </row>
    <row r="5952" spans="25:27" x14ac:dyDescent="0.3">
      <c r="Y5952" s="48" t="str">
        <f ca="1">IFERROR(IF('Planning Sheet'!DX29='Weeks Plan'!$D$6,'Planning Sheet'!$B29,""),"")</f>
        <v/>
      </c>
      <c r="Z5952" s="48" t="str">
        <f ca="1">IFERROR(IF('Planning Sheet'!DX29='Weeks Plan'!$D$6,"RFD",""),"")</f>
        <v/>
      </c>
      <c r="AA5952" s="48" t="str">
        <f ca="1">IFERROR(IF('Planning Sheet'!DX29='Weeks Plan'!$D$6,'Planning Sheet'!DT29,""),"")</f>
        <v/>
      </c>
    </row>
    <row r="5953" spans="25:27" x14ac:dyDescent="0.3">
      <c r="Y5953" s="48" t="str">
        <f ca="1">IFERROR(IF('Planning Sheet'!DX30='Weeks Plan'!$D$6,'Planning Sheet'!$B30,""),"")</f>
        <v/>
      </c>
      <c r="Z5953" s="48" t="str">
        <f ca="1">IFERROR(IF('Planning Sheet'!DX30='Weeks Plan'!$D$6,"RFD",""),"")</f>
        <v/>
      </c>
      <c r="AA5953" s="48" t="str">
        <f ca="1">IFERROR(IF('Planning Sheet'!DX30='Weeks Plan'!$D$6,'Planning Sheet'!DT30,""),"")</f>
        <v/>
      </c>
    </row>
    <row r="5954" spans="25:27" x14ac:dyDescent="0.3">
      <c r="Y5954" s="48" t="str">
        <f ca="1">IFERROR(IF('Planning Sheet'!DX31='Weeks Plan'!$D$6,'Planning Sheet'!$B31,""),"")</f>
        <v/>
      </c>
      <c r="Z5954" s="48" t="str">
        <f ca="1">IFERROR(IF('Planning Sheet'!DX31='Weeks Plan'!$D$6,"RFD",""),"")</f>
        <v/>
      </c>
      <c r="AA5954" s="48" t="str">
        <f ca="1">IFERROR(IF('Planning Sheet'!DX31='Weeks Plan'!$D$6,'Planning Sheet'!DT31,""),"")</f>
        <v/>
      </c>
    </row>
    <row r="5955" spans="25:27" x14ac:dyDescent="0.3">
      <c r="Y5955" s="48" t="str">
        <f ca="1">IFERROR(IF('Planning Sheet'!DX32='Weeks Plan'!$D$6,'Planning Sheet'!$B32,""),"")</f>
        <v/>
      </c>
      <c r="Z5955" s="48" t="str">
        <f ca="1">IFERROR(IF('Planning Sheet'!DX32='Weeks Plan'!$D$6,"RFD",""),"")</f>
        <v/>
      </c>
      <c r="AA5955" s="48" t="str">
        <f ca="1">IFERROR(IF('Planning Sheet'!DX32='Weeks Plan'!$D$6,'Planning Sheet'!DT32,""),"")</f>
        <v/>
      </c>
    </row>
    <row r="5956" spans="25:27" x14ac:dyDescent="0.3">
      <c r="Y5956" s="48" t="str">
        <f ca="1">IFERROR(IF('Planning Sheet'!DX33='Weeks Plan'!$D$6,'Planning Sheet'!$B33,""),"")</f>
        <v/>
      </c>
      <c r="Z5956" s="48" t="str">
        <f ca="1">IFERROR(IF('Planning Sheet'!DX33='Weeks Plan'!$D$6,"RFD",""),"")</f>
        <v/>
      </c>
      <c r="AA5956" s="48" t="str">
        <f ca="1">IFERROR(IF('Planning Sheet'!DX33='Weeks Plan'!$D$6,'Planning Sheet'!DT33,""),"")</f>
        <v/>
      </c>
    </row>
    <row r="5957" spans="25:27" x14ac:dyDescent="0.3">
      <c r="Y5957" s="48" t="str">
        <f ca="1">IFERROR(IF('Planning Sheet'!DX34='Weeks Plan'!$D$6,'Planning Sheet'!$B34,""),"")</f>
        <v/>
      </c>
      <c r="Z5957" s="48" t="str">
        <f ca="1">IFERROR(IF('Planning Sheet'!DX34='Weeks Plan'!$D$6,"RFD",""),"")</f>
        <v/>
      </c>
      <c r="AA5957" s="48" t="str">
        <f ca="1">IFERROR(IF('Planning Sheet'!DX34='Weeks Plan'!$D$6,'Planning Sheet'!DT34,""),"")</f>
        <v/>
      </c>
    </row>
    <row r="5958" spans="25:27" x14ac:dyDescent="0.3">
      <c r="Y5958" s="48" t="str">
        <f ca="1">IFERROR(IF('Planning Sheet'!DX35='Weeks Plan'!$D$6,'Planning Sheet'!$B35,""),"")</f>
        <v/>
      </c>
      <c r="Z5958" s="48" t="str">
        <f ca="1">IFERROR(IF('Planning Sheet'!DX35='Weeks Plan'!$D$6,"RFD",""),"")</f>
        <v/>
      </c>
      <c r="AA5958" s="48" t="str">
        <f ca="1">IFERROR(IF('Planning Sheet'!DX35='Weeks Plan'!$D$6,'Planning Sheet'!DT35,""),"")</f>
        <v/>
      </c>
    </row>
    <row r="5959" spans="25:27" x14ac:dyDescent="0.3">
      <c r="Y5959" s="48" t="str">
        <f ca="1">IFERROR(IF('Planning Sheet'!DX36='Weeks Plan'!$D$6,'Planning Sheet'!$B36,""),"")</f>
        <v/>
      </c>
      <c r="Z5959" s="48" t="str">
        <f ca="1">IFERROR(IF('Planning Sheet'!DX36='Weeks Plan'!$D$6,"RFD",""),"")</f>
        <v/>
      </c>
      <c r="AA5959" s="48" t="str">
        <f ca="1">IFERROR(IF('Planning Sheet'!DX36='Weeks Plan'!$D$6,'Planning Sheet'!DT36,""),"")</f>
        <v/>
      </c>
    </row>
    <row r="5960" spans="25:27" x14ac:dyDescent="0.3">
      <c r="Y5960" s="48" t="str">
        <f ca="1">IFERROR(IF('Planning Sheet'!DX37='Weeks Plan'!$D$6,'Planning Sheet'!$B37,""),"")</f>
        <v/>
      </c>
      <c r="Z5960" s="48" t="str">
        <f ca="1">IFERROR(IF('Planning Sheet'!DX37='Weeks Plan'!$D$6,"RFD",""),"")</f>
        <v/>
      </c>
      <c r="AA5960" s="48" t="str">
        <f ca="1">IFERROR(IF('Planning Sheet'!DX37='Weeks Plan'!$D$6,'Planning Sheet'!DT37,""),"")</f>
        <v/>
      </c>
    </row>
    <row r="5961" spans="25:27" x14ac:dyDescent="0.3">
      <c r="Y5961" s="48" t="str">
        <f ca="1">IFERROR(IF('Planning Sheet'!DX38='Weeks Plan'!$D$6,'Planning Sheet'!$B38,""),"")</f>
        <v/>
      </c>
      <c r="Z5961" s="48" t="str">
        <f ca="1">IFERROR(IF('Planning Sheet'!DX38='Weeks Plan'!$D$6,"RFD",""),"")</f>
        <v/>
      </c>
      <c r="AA5961" s="48" t="str">
        <f ca="1">IFERROR(IF('Planning Sheet'!DX38='Weeks Plan'!$D$6,'Planning Sheet'!DT38,""),"")</f>
        <v/>
      </c>
    </row>
    <row r="5962" spans="25:27" x14ac:dyDescent="0.3">
      <c r="Y5962" s="48" t="str">
        <f ca="1">IFERROR(IF('Planning Sheet'!DX39='Weeks Plan'!$D$6,'Planning Sheet'!$B39,""),"")</f>
        <v/>
      </c>
      <c r="Z5962" s="48" t="str">
        <f ca="1">IFERROR(IF('Planning Sheet'!DX39='Weeks Plan'!$D$6,"RFD",""),"")</f>
        <v/>
      </c>
      <c r="AA5962" s="48" t="str">
        <f ca="1">IFERROR(IF('Planning Sheet'!DX39='Weeks Plan'!$D$6,'Planning Sheet'!DT39,""),"")</f>
        <v/>
      </c>
    </row>
    <row r="5963" spans="25:27" x14ac:dyDescent="0.3">
      <c r="Y5963" s="48" t="str">
        <f ca="1">IFERROR(IF('Planning Sheet'!DX40='Weeks Plan'!$D$6,'Planning Sheet'!$B40,""),"")</f>
        <v/>
      </c>
      <c r="Z5963" s="48" t="str">
        <f ca="1">IFERROR(IF('Planning Sheet'!DX40='Weeks Plan'!$D$6,"RFD",""),"")</f>
        <v/>
      </c>
      <c r="AA5963" s="48" t="str">
        <f ca="1">IFERROR(IF('Planning Sheet'!DX40='Weeks Plan'!$D$6,'Planning Sheet'!DT40,""),"")</f>
        <v/>
      </c>
    </row>
    <row r="5964" spans="25:27" x14ac:dyDescent="0.3">
      <c r="Y5964" s="48" t="str">
        <f ca="1">IFERROR(IF('Planning Sheet'!DX41='Weeks Plan'!$D$6,'Planning Sheet'!$B41,""),"")</f>
        <v/>
      </c>
      <c r="Z5964" s="48" t="str">
        <f ca="1">IFERROR(IF('Planning Sheet'!DX41='Weeks Plan'!$D$6,"RFD",""),"")</f>
        <v/>
      </c>
      <c r="AA5964" s="48" t="str">
        <f ca="1">IFERROR(IF('Planning Sheet'!DX41='Weeks Plan'!$D$6,'Planning Sheet'!DT41,""),"")</f>
        <v/>
      </c>
    </row>
    <row r="5965" spans="25:27" x14ac:dyDescent="0.3">
      <c r="Y5965" s="48" t="str">
        <f ca="1">IFERROR(IF('Planning Sheet'!DX42='Weeks Plan'!$D$6,'Planning Sheet'!$B42,""),"")</f>
        <v/>
      </c>
      <c r="Z5965" s="48" t="str">
        <f ca="1">IFERROR(IF('Planning Sheet'!DX42='Weeks Plan'!$D$6,"RFD",""),"")</f>
        <v/>
      </c>
      <c r="AA5965" s="48" t="str">
        <f ca="1">IFERROR(IF('Planning Sheet'!DX42='Weeks Plan'!$D$6,'Planning Sheet'!DT42,""),"")</f>
        <v/>
      </c>
    </row>
    <row r="5966" spans="25:27" x14ac:dyDescent="0.3">
      <c r="Y5966" s="48" t="str">
        <f ca="1">IFERROR(IF('Planning Sheet'!DX43='Weeks Plan'!$D$6,'Planning Sheet'!$B43,""),"")</f>
        <v/>
      </c>
      <c r="Z5966" s="48" t="str">
        <f ca="1">IFERROR(IF('Planning Sheet'!DX43='Weeks Plan'!$D$6,"RFD",""),"")</f>
        <v/>
      </c>
      <c r="AA5966" s="48" t="str">
        <f ca="1">IFERROR(IF('Planning Sheet'!DX43='Weeks Plan'!$D$6,'Planning Sheet'!DT43,""),"")</f>
        <v/>
      </c>
    </row>
    <row r="5967" spans="25:27" x14ac:dyDescent="0.3">
      <c r="Y5967" s="48" t="str">
        <f ca="1">IFERROR(IF('Planning Sheet'!DX44='Weeks Plan'!$D$6,'Planning Sheet'!$B44,""),"")</f>
        <v/>
      </c>
      <c r="Z5967" s="48" t="str">
        <f ca="1">IFERROR(IF('Planning Sheet'!DX44='Weeks Plan'!$D$6,"RFD",""),"")</f>
        <v/>
      </c>
      <c r="AA5967" s="48" t="str">
        <f ca="1">IFERROR(IF('Planning Sheet'!DX44='Weeks Plan'!$D$6,'Planning Sheet'!DT44,""),"")</f>
        <v/>
      </c>
    </row>
    <row r="5968" spans="25:27" x14ac:dyDescent="0.3">
      <c r="Y5968" s="48" t="str">
        <f ca="1">IFERROR(IF('Planning Sheet'!DX45='Weeks Plan'!$D$6,'Planning Sheet'!$B45,""),"")</f>
        <v/>
      </c>
      <c r="Z5968" s="48" t="str">
        <f ca="1">IFERROR(IF('Planning Sheet'!DX45='Weeks Plan'!$D$6,"RFD",""),"")</f>
        <v/>
      </c>
      <c r="AA5968" s="48" t="str">
        <f ca="1">IFERROR(IF('Planning Sheet'!DX45='Weeks Plan'!$D$6,'Planning Sheet'!DT45,""),"")</f>
        <v/>
      </c>
    </row>
    <row r="5969" spans="25:27" x14ac:dyDescent="0.3">
      <c r="Y5969" s="48" t="str">
        <f ca="1">IFERROR(IF('Planning Sheet'!DX46='Weeks Plan'!$D$6,'Planning Sheet'!$B46,""),"")</f>
        <v/>
      </c>
      <c r="Z5969" s="48" t="str">
        <f ca="1">IFERROR(IF('Planning Sheet'!DX46='Weeks Plan'!$D$6,"RFD",""),"")</f>
        <v/>
      </c>
      <c r="AA5969" s="48" t="str">
        <f ca="1">IFERROR(IF('Planning Sheet'!DX46='Weeks Plan'!$D$6,'Planning Sheet'!DT46,""),"")</f>
        <v/>
      </c>
    </row>
    <row r="5970" spans="25:27" x14ac:dyDescent="0.3">
      <c r="Y5970" s="48" t="str">
        <f ca="1">IFERROR(IF('Planning Sheet'!DX47='Weeks Plan'!$D$6,'Planning Sheet'!$B47,""),"")</f>
        <v/>
      </c>
      <c r="Z5970" s="48" t="str">
        <f ca="1">IFERROR(IF('Planning Sheet'!DX47='Weeks Plan'!$D$6,"RFD",""),"")</f>
        <v/>
      </c>
      <c r="AA5970" s="48" t="str">
        <f ca="1">IFERROR(IF('Planning Sheet'!DX47='Weeks Plan'!$D$6,'Planning Sheet'!DT47,""),"")</f>
        <v/>
      </c>
    </row>
    <row r="5971" spans="25:27" x14ac:dyDescent="0.3">
      <c r="Y5971" s="48" t="str">
        <f ca="1">IFERROR(IF('Planning Sheet'!DX48='Weeks Plan'!$D$6,'Planning Sheet'!$B48,""),"")</f>
        <v/>
      </c>
      <c r="Z5971" s="48" t="str">
        <f ca="1">IFERROR(IF('Planning Sheet'!DX48='Weeks Plan'!$D$6,"RFD",""),"")</f>
        <v/>
      </c>
      <c r="AA5971" s="48" t="str">
        <f ca="1">IFERROR(IF('Planning Sheet'!DX48='Weeks Plan'!$D$6,'Planning Sheet'!DT48,""),"")</f>
        <v/>
      </c>
    </row>
    <row r="5972" spans="25:27" x14ac:dyDescent="0.3">
      <c r="Y5972" s="48" t="str">
        <f ca="1">IFERROR(IF('Planning Sheet'!DX49='Weeks Plan'!$D$6,'Planning Sheet'!$B49,""),"")</f>
        <v/>
      </c>
      <c r="Z5972" s="48" t="str">
        <f ca="1">IFERROR(IF('Planning Sheet'!DX49='Weeks Plan'!$D$6,"RFD",""),"")</f>
        <v/>
      </c>
      <c r="AA5972" s="48" t="str">
        <f ca="1">IFERROR(IF('Planning Sheet'!DX49='Weeks Plan'!$D$6,'Planning Sheet'!DT49,""),"")</f>
        <v/>
      </c>
    </row>
    <row r="5973" spans="25:27" x14ac:dyDescent="0.3">
      <c r="Y5973" s="48" t="str">
        <f ca="1">IFERROR(IF('Planning Sheet'!DX50='Weeks Plan'!$D$6,'Planning Sheet'!$B50,""),"")</f>
        <v/>
      </c>
      <c r="Z5973" s="48" t="str">
        <f ca="1">IFERROR(IF('Planning Sheet'!DX50='Weeks Plan'!$D$6,"RFD",""),"")</f>
        <v/>
      </c>
      <c r="AA5973" s="48" t="str">
        <f ca="1">IFERROR(IF('Planning Sheet'!DX50='Weeks Plan'!$D$6,'Planning Sheet'!DT50,""),"")</f>
        <v/>
      </c>
    </row>
    <row r="5974" spans="25:27" x14ac:dyDescent="0.3">
      <c r="Y5974" s="48" t="str">
        <f ca="1">IFERROR(IF('Planning Sheet'!DX51='Weeks Plan'!$D$6,'Planning Sheet'!$B51,""),"")</f>
        <v/>
      </c>
      <c r="Z5974" s="48" t="str">
        <f ca="1">IFERROR(IF('Planning Sheet'!DX51='Weeks Plan'!$D$6,"RFD",""),"")</f>
        <v/>
      </c>
      <c r="AA5974" s="48" t="str">
        <f ca="1">IFERROR(IF('Planning Sheet'!DX51='Weeks Plan'!$D$6,'Planning Sheet'!DT51,""),"")</f>
        <v/>
      </c>
    </row>
    <row r="5975" spans="25:27" x14ac:dyDescent="0.3">
      <c r="Y5975" s="48" t="str">
        <f ca="1">IFERROR(IF('Planning Sheet'!DX52='Weeks Plan'!$D$6,'Planning Sheet'!$B52,""),"")</f>
        <v/>
      </c>
      <c r="Z5975" s="48" t="str">
        <f ca="1">IFERROR(IF('Planning Sheet'!DX52='Weeks Plan'!$D$6,"RFD",""),"")</f>
        <v/>
      </c>
      <c r="AA5975" s="48" t="str">
        <f ca="1">IFERROR(IF('Planning Sheet'!DX52='Weeks Plan'!$D$6,'Planning Sheet'!DT52,""),"")</f>
        <v/>
      </c>
    </row>
    <row r="5976" spans="25:27" x14ac:dyDescent="0.3">
      <c r="Y5976" s="48" t="str">
        <f ca="1">IFERROR(IF('Planning Sheet'!DX53='Weeks Plan'!$D$6,'Planning Sheet'!$B53,""),"")</f>
        <v/>
      </c>
      <c r="Z5976" s="48" t="str">
        <f ca="1">IFERROR(IF('Planning Sheet'!DX53='Weeks Plan'!$D$6,"RFD",""),"")</f>
        <v/>
      </c>
      <c r="AA5976" s="48" t="str">
        <f ca="1">IFERROR(IF('Planning Sheet'!DX53='Weeks Plan'!$D$6,'Planning Sheet'!DT53,""),"")</f>
        <v/>
      </c>
    </row>
    <row r="5977" spans="25:27" x14ac:dyDescent="0.3">
      <c r="Y5977" s="48" t="str">
        <f ca="1">IFERROR(IF('Planning Sheet'!DX54='Weeks Plan'!$D$6,'Planning Sheet'!$B54,""),"")</f>
        <v/>
      </c>
      <c r="Z5977" s="48" t="str">
        <f ca="1">IFERROR(IF('Planning Sheet'!DX54='Weeks Plan'!$D$6,"RFD",""),"")</f>
        <v/>
      </c>
      <c r="AA5977" s="48" t="str">
        <f ca="1">IFERROR(IF('Planning Sheet'!DX54='Weeks Plan'!$D$6,'Planning Sheet'!DT54,""),"")</f>
        <v/>
      </c>
    </row>
    <row r="5978" spans="25:27" x14ac:dyDescent="0.3">
      <c r="Y5978" s="48" t="str">
        <f ca="1">IFERROR(IF('Planning Sheet'!DX55='Weeks Plan'!$D$6,'Planning Sheet'!$B55,""),"")</f>
        <v/>
      </c>
      <c r="Z5978" s="48" t="str">
        <f ca="1">IFERROR(IF('Planning Sheet'!DX55='Weeks Plan'!$D$6,"RFD",""),"")</f>
        <v/>
      </c>
      <c r="AA5978" s="48" t="str">
        <f ca="1">IFERROR(IF('Planning Sheet'!DX55='Weeks Plan'!$D$6,'Planning Sheet'!DT55,""),"")</f>
        <v/>
      </c>
    </row>
    <row r="5979" spans="25:27" x14ac:dyDescent="0.3">
      <c r="Y5979" s="48" t="str">
        <f ca="1">IFERROR(IF('Planning Sheet'!DX56='Weeks Plan'!$D$6,'Planning Sheet'!$B56,""),"")</f>
        <v/>
      </c>
      <c r="Z5979" s="48" t="str">
        <f ca="1">IFERROR(IF('Planning Sheet'!DX56='Weeks Plan'!$D$6,"RFD",""),"")</f>
        <v/>
      </c>
      <c r="AA5979" s="48" t="str">
        <f ca="1">IFERROR(IF('Planning Sheet'!DX56='Weeks Plan'!$D$6,'Planning Sheet'!DT56,""),"")</f>
        <v/>
      </c>
    </row>
    <row r="5980" spans="25:27" x14ac:dyDescent="0.3">
      <c r="Y5980" s="48" t="str">
        <f ca="1">IFERROR(IF('Planning Sheet'!DX57='Weeks Plan'!$D$6,'Planning Sheet'!$B57,""),"")</f>
        <v/>
      </c>
      <c r="Z5980" s="48" t="str">
        <f ca="1">IFERROR(IF('Planning Sheet'!DX57='Weeks Plan'!$D$6,"RFD",""),"")</f>
        <v/>
      </c>
      <c r="AA5980" s="48" t="str">
        <f ca="1">IFERROR(IF('Planning Sheet'!DX57='Weeks Plan'!$D$6,'Planning Sheet'!DT57,""),"")</f>
        <v/>
      </c>
    </row>
    <row r="5981" spans="25:27" x14ac:dyDescent="0.3">
      <c r="Y5981" s="48" t="str">
        <f ca="1">IFERROR(IF('Planning Sheet'!DX58='Weeks Plan'!$D$6,'Planning Sheet'!$B58,""),"")</f>
        <v/>
      </c>
      <c r="Z5981" s="48" t="str">
        <f ca="1">IFERROR(IF('Planning Sheet'!DX58='Weeks Plan'!$D$6,"RFD",""),"")</f>
        <v/>
      </c>
      <c r="AA5981" s="48" t="str">
        <f ca="1">IFERROR(IF('Planning Sheet'!DX58='Weeks Plan'!$D$6,'Planning Sheet'!DT58,""),"")</f>
        <v/>
      </c>
    </row>
    <row r="5982" spans="25:27" x14ac:dyDescent="0.3">
      <c r="Y5982" s="48" t="str">
        <f ca="1">IFERROR(IF('Planning Sheet'!DX59='Weeks Plan'!$D$6,'Planning Sheet'!$B59,""),"")</f>
        <v/>
      </c>
      <c r="Z5982" s="48" t="str">
        <f ca="1">IFERROR(IF('Planning Sheet'!DX59='Weeks Plan'!$D$6,"RFD",""),"")</f>
        <v/>
      </c>
      <c r="AA5982" s="48" t="str">
        <f ca="1">IFERROR(IF('Planning Sheet'!DX59='Weeks Plan'!$D$6,'Planning Sheet'!DT59,""),"")</f>
        <v/>
      </c>
    </row>
    <row r="5983" spans="25:27" x14ac:dyDescent="0.3">
      <c r="Y5983" s="48" t="str">
        <f ca="1">IFERROR(IF('Planning Sheet'!DX60='Weeks Plan'!$D$6,'Planning Sheet'!$B60,""),"")</f>
        <v/>
      </c>
      <c r="Z5983" s="48" t="str">
        <f ca="1">IFERROR(IF('Planning Sheet'!DX60='Weeks Plan'!$D$6,"RFD",""),"")</f>
        <v/>
      </c>
      <c r="AA5983" s="48" t="str">
        <f ca="1">IFERROR(IF('Planning Sheet'!DX60='Weeks Plan'!$D$6,'Planning Sheet'!DT60,""),"")</f>
        <v/>
      </c>
    </row>
    <row r="5984" spans="25:27" x14ac:dyDescent="0.3">
      <c r="Y5984" s="48" t="str">
        <f ca="1">IFERROR(IF('Planning Sheet'!DX61='Weeks Plan'!$D$6,'Planning Sheet'!$B61,""),"")</f>
        <v/>
      </c>
      <c r="Z5984" s="48" t="str">
        <f ca="1">IFERROR(IF('Planning Sheet'!DX61='Weeks Plan'!$D$6,"RFD",""),"")</f>
        <v/>
      </c>
      <c r="AA5984" s="48" t="str">
        <f ca="1">IFERROR(IF('Planning Sheet'!DX61='Weeks Plan'!$D$6,'Planning Sheet'!DT61,""),"")</f>
        <v/>
      </c>
    </row>
    <row r="5985" spans="25:27" x14ac:dyDescent="0.3">
      <c r="Y5985" s="48" t="str">
        <f ca="1">IFERROR(IF('Planning Sheet'!DX62='Weeks Plan'!$D$6,'Planning Sheet'!$B62,""),"")</f>
        <v/>
      </c>
      <c r="Z5985" s="48" t="str">
        <f ca="1">IFERROR(IF('Planning Sheet'!DX62='Weeks Plan'!$D$6,"RFD",""),"")</f>
        <v/>
      </c>
      <c r="AA5985" s="48" t="str">
        <f ca="1">IFERROR(IF('Planning Sheet'!DX62='Weeks Plan'!$D$6,'Planning Sheet'!DT62,""),"")</f>
        <v/>
      </c>
    </row>
    <row r="5986" spans="25:27" x14ac:dyDescent="0.3">
      <c r="Y5986" s="48" t="str">
        <f ca="1">IFERROR(IF('Planning Sheet'!DX63='Weeks Plan'!$D$6,'Planning Sheet'!$B63,""),"")</f>
        <v/>
      </c>
      <c r="Z5986" s="48" t="str">
        <f ca="1">IFERROR(IF('Planning Sheet'!DX63='Weeks Plan'!$D$6,"RFD",""),"")</f>
        <v/>
      </c>
      <c r="AA5986" s="48" t="str">
        <f ca="1">IFERROR(IF('Planning Sheet'!DX63='Weeks Plan'!$D$6,'Planning Sheet'!DT63,""),"")</f>
        <v/>
      </c>
    </row>
    <row r="5987" spans="25:27" x14ac:dyDescent="0.3">
      <c r="Y5987" s="48" t="str">
        <f ca="1">IFERROR(IF('Planning Sheet'!DX64='Weeks Plan'!$D$6,'Planning Sheet'!$B64,""),"")</f>
        <v/>
      </c>
      <c r="Z5987" s="48" t="str">
        <f ca="1">IFERROR(IF('Planning Sheet'!DX64='Weeks Plan'!$D$6,"RFD",""),"")</f>
        <v/>
      </c>
      <c r="AA5987" s="48" t="str">
        <f ca="1">IFERROR(IF('Planning Sheet'!DX64='Weeks Plan'!$D$6,'Planning Sheet'!DT64,""),"")</f>
        <v/>
      </c>
    </row>
    <row r="5988" spans="25:27" x14ac:dyDescent="0.3">
      <c r="Y5988" s="48" t="str">
        <f ca="1">IFERROR(IF('Planning Sheet'!DX65='Weeks Plan'!$D$6,'Planning Sheet'!$B65,""),"")</f>
        <v/>
      </c>
      <c r="Z5988" s="48" t="str">
        <f ca="1">IFERROR(IF('Planning Sheet'!DX65='Weeks Plan'!$D$6,"RFD",""),"")</f>
        <v/>
      </c>
      <c r="AA5988" s="48" t="str">
        <f ca="1">IFERROR(IF('Planning Sheet'!DX65='Weeks Plan'!$D$6,'Planning Sheet'!DT65,""),"")</f>
        <v/>
      </c>
    </row>
    <row r="5989" spans="25:27" x14ac:dyDescent="0.3">
      <c r="Y5989" s="48" t="str">
        <f ca="1">IFERROR(IF('Planning Sheet'!DX66='Weeks Plan'!$D$6,'Planning Sheet'!$B66,""),"")</f>
        <v/>
      </c>
      <c r="Z5989" s="48" t="str">
        <f ca="1">IFERROR(IF('Planning Sheet'!DX66='Weeks Plan'!$D$6,"RFD",""),"")</f>
        <v/>
      </c>
      <c r="AA5989" s="48" t="str">
        <f ca="1">IFERROR(IF('Planning Sheet'!DX66='Weeks Plan'!$D$6,'Planning Sheet'!DT66,""),"")</f>
        <v/>
      </c>
    </row>
    <row r="5990" spans="25:27" x14ac:dyDescent="0.3">
      <c r="Y5990" s="48" t="str">
        <f ca="1">IFERROR(IF('Planning Sheet'!DX67='Weeks Plan'!$D$6,'Planning Sheet'!$B67,""),"")</f>
        <v/>
      </c>
      <c r="Z5990" s="48" t="str">
        <f ca="1">IFERROR(IF('Planning Sheet'!DX67='Weeks Plan'!$D$6,"RFD",""),"")</f>
        <v/>
      </c>
      <c r="AA5990" s="48" t="str">
        <f ca="1">IFERROR(IF('Planning Sheet'!DX67='Weeks Plan'!$D$6,'Planning Sheet'!DT67,""),"")</f>
        <v/>
      </c>
    </row>
    <row r="5991" spans="25:27" x14ac:dyDescent="0.3">
      <c r="Y5991" s="48" t="str">
        <f ca="1">IFERROR(IF('Planning Sheet'!DX68='Weeks Plan'!$D$6,'Planning Sheet'!$B68,""),"")</f>
        <v/>
      </c>
      <c r="Z5991" s="48" t="str">
        <f ca="1">IFERROR(IF('Planning Sheet'!DX68='Weeks Plan'!$D$6,"RFD",""),"")</f>
        <v/>
      </c>
      <c r="AA5991" s="48" t="str">
        <f ca="1">IFERROR(IF('Planning Sheet'!DX68='Weeks Plan'!$D$6,'Planning Sheet'!DT68,""),"")</f>
        <v/>
      </c>
    </row>
    <row r="5992" spans="25:27" x14ac:dyDescent="0.3">
      <c r="Y5992" s="48" t="str">
        <f ca="1">IFERROR(IF('Planning Sheet'!DX69='Weeks Plan'!$D$6,'Planning Sheet'!$B69,""),"")</f>
        <v/>
      </c>
      <c r="Z5992" s="48" t="str">
        <f ca="1">IFERROR(IF('Planning Sheet'!DX69='Weeks Plan'!$D$6,"RFD",""),"")</f>
        <v/>
      </c>
      <c r="AA5992" s="48" t="str">
        <f ca="1">IFERROR(IF('Planning Sheet'!DX69='Weeks Plan'!$D$6,'Planning Sheet'!DT69,""),"")</f>
        <v/>
      </c>
    </row>
    <row r="5993" spans="25:27" x14ac:dyDescent="0.3">
      <c r="Y5993" s="48" t="str">
        <f ca="1">IFERROR(IF('Planning Sheet'!DX70='Weeks Plan'!$D$6,'Planning Sheet'!$B70,""),"")</f>
        <v/>
      </c>
      <c r="Z5993" s="48" t="str">
        <f ca="1">IFERROR(IF('Planning Sheet'!DX70='Weeks Plan'!$D$6,"RFD",""),"")</f>
        <v/>
      </c>
      <c r="AA5993" s="48" t="str">
        <f ca="1">IFERROR(IF('Planning Sheet'!DX70='Weeks Plan'!$D$6,'Planning Sheet'!DT70,""),"")</f>
        <v/>
      </c>
    </row>
    <row r="5994" spans="25:27" x14ac:dyDescent="0.3">
      <c r="Y5994" s="48" t="str">
        <f ca="1">IFERROR(IF('Planning Sheet'!DX71='Weeks Plan'!$D$6,'Planning Sheet'!$B71,""),"")</f>
        <v/>
      </c>
      <c r="Z5994" s="48" t="str">
        <f ca="1">IFERROR(IF('Planning Sheet'!DX71='Weeks Plan'!$D$6,"RFD",""),"")</f>
        <v/>
      </c>
      <c r="AA5994" s="48" t="str">
        <f ca="1">IFERROR(IF('Planning Sheet'!DX71='Weeks Plan'!$D$6,'Planning Sheet'!DT71,""),"")</f>
        <v/>
      </c>
    </row>
    <row r="5995" spans="25:27" x14ac:dyDescent="0.3">
      <c r="Y5995" s="48" t="str">
        <f ca="1">IFERROR(IF('Planning Sheet'!DX72='Weeks Plan'!$D$6,'Planning Sheet'!$B72,""),"")</f>
        <v/>
      </c>
      <c r="Z5995" s="48" t="str">
        <f ca="1">IFERROR(IF('Planning Sheet'!DX72='Weeks Plan'!$D$6,"RFD",""),"")</f>
        <v/>
      </c>
      <c r="AA5995" s="48" t="str">
        <f ca="1">IFERROR(IF('Planning Sheet'!DX72='Weeks Plan'!$D$6,'Planning Sheet'!DT72,""),"")</f>
        <v/>
      </c>
    </row>
    <row r="5996" spans="25:27" x14ac:dyDescent="0.3">
      <c r="Y5996" s="48" t="str">
        <f ca="1">IFERROR(IF('Planning Sheet'!DX73='Weeks Plan'!$D$6,'Planning Sheet'!$B73,""),"")</f>
        <v/>
      </c>
      <c r="Z5996" s="48" t="str">
        <f ca="1">IFERROR(IF('Planning Sheet'!DX73='Weeks Plan'!$D$6,"RFD",""),"")</f>
        <v/>
      </c>
      <c r="AA5996" s="48" t="str">
        <f ca="1">IFERROR(IF('Planning Sheet'!DX73='Weeks Plan'!$D$6,'Planning Sheet'!DT73,""),"")</f>
        <v/>
      </c>
    </row>
    <row r="5997" spans="25:27" x14ac:dyDescent="0.3">
      <c r="Y5997" s="48" t="str">
        <f ca="1">IFERROR(IF('Planning Sheet'!DX74='Weeks Plan'!$D$6,'Planning Sheet'!$B74,""),"")</f>
        <v/>
      </c>
      <c r="Z5997" s="48" t="str">
        <f ca="1">IFERROR(IF('Planning Sheet'!DX74='Weeks Plan'!$D$6,"RFD",""),"")</f>
        <v/>
      </c>
      <c r="AA5997" s="48" t="str">
        <f ca="1">IFERROR(IF('Planning Sheet'!DX74='Weeks Plan'!$D$6,'Planning Sheet'!DT74,""),"")</f>
        <v/>
      </c>
    </row>
    <row r="5998" spans="25:27" x14ac:dyDescent="0.3">
      <c r="Y5998" s="48" t="str">
        <f ca="1">IFERROR(IF('Planning Sheet'!DX75='Weeks Plan'!$D$6,'Planning Sheet'!$B75,""),"")</f>
        <v/>
      </c>
      <c r="Z5998" s="48" t="str">
        <f ca="1">IFERROR(IF('Planning Sheet'!DX75='Weeks Plan'!$D$6,"RFD",""),"")</f>
        <v/>
      </c>
      <c r="AA5998" s="48" t="str">
        <f ca="1">IFERROR(IF('Planning Sheet'!DX75='Weeks Plan'!$D$6,'Planning Sheet'!DT75,""),"")</f>
        <v/>
      </c>
    </row>
    <row r="5999" spans="25:27" x14ac:dyDescent="0.3">
      <c r="Y5999" s="48" t="str">
        <f ca="1">IFERROR(IF('Planning Sheet'!DX76='Weeks Plan'!$D$6,'Planning Sheet'!$B76,""),"")</f>
        <v/>
      </c>
      <c r="Z5999" s="48" t="str">
        <f ca="1">IFERROR(IF('Planning Sheet'!DX76='Weeks Plan'!$D$6,"RFD",""),"")</f>
        <v/>
      </c>
      <c r="AA5999" s="48" t="str">
        <f ca="1">IFERROR(IF('Planning Sheet'!DX76='Weeks Plan'!$D$6,'Planning Sheet'!DT76,""),"")</f>
        <v/>
      </c>
    </row>
    <row r="6000" spans="25:27" x14ac:dyDescent="0.3">
      <c r="Y6000" s="48" t="str">
        <f ca="1">IFERROR(IF('Planning Sheet'!DX77='Weeks Plan'!$D$6,'Planning Sheet'!$B77,""),"")</f>
        <v/>
      </c>
      <c r="Z6000" s="48" t="str">
        <f ca="1">IFERROR(IF('Planning Sheet'!DX77='Weeks Plan'!$D$6,"RFD",""),"")</f>
        <v/>
      </c>
      <c r="AA6000" s="48" t="str">
        <f ca="1">IFERROR(IF('Planning Sheet'!DX77='Weeks Plan'!$D$6,'Planning Sheet'!DT77,""),"")</f>
        <v/>
      </c>
    </row>
    <row r="6001" spans="25:27" x14ac:dyDescent="0.3">
      <c r="Y6001" s="48" t="str">
        <f ca="1">IFERROR(IF('Planning Sheet'!DX78='Weeks Plan'!$D$6,'Planning Sheet'!$B78,""),"")</f>
        <v/>
      </c>
      <c r="Z6001" s="48" t="str">
        <f ca="1">IFERROR(IF('Planning Sheet'!DX78='Weeks Plan'!$D$6,"RFD",""),"")</f>
        <v/>
      </c>
      <c r="AA6001" s="48" t="str">
        <f ca="1">IFERROR(IF('Planning Sheet'!DX78='Weeks Plan'!$D$6,'Planning Sheet'!DT78,""),"")</f>
        <v/>
      </c>
    </row>
    <row r="6002" spans="25:27" x14ac:dyDescent="0.3">
      <c r="Y6002" s="48" t="str">
        <f ca="1">IFERROR(IF('Planning Sheet'!DX79='Weeks Plan'!$D$6,'Planning Sheet'!$B79,""),"")</f>
        <v/>
      </c>
      <c r="Z6002" s="48" t="str">
        <f ca="1">IFERROR(IF('Planning Sheet'!DX79='Weeks Plan'!$D$6,"RFD",""),"")</f>
        <v/>
      </c>
      <c r="AA6002" s="48" t="str">
        <f ca="1">IFERROR(IF('Planning Sheet'!DX79='Weeks Plan'!$D$6,'Planning Sheet'!DT79,""),"")</f>
        <v/>
      </c>
    </row>
    <row r="6003" spans="25:27" x14ac:dyDescent="0.3">
      <c r="Y6003" s="48" t="str">
        <f ca="1">IFERROR(IF('Planning Sheet'!DX80='Weeks Plan'!$D$6,'Planning Sheet'!$B80,""),"")</f>
        <v/>
      </c>
      <c r="Z6003" s="48" t="str">
        <f ca="1">IFERROR(IF('Planning Sheet'!DX80='Weeks Plan'!$D$6,"RFD",""),"")</f>
        <v/>
      </c>
      <c r="AA6003" s="48" t="str">
        <f ca="1">IFERROR(IF('Planning Sheet'!DX80='Weeks Plan'!$D$6,'Planning Sheet'!DT80,""),"")</f>
        <v/>
      </c>
    </row>
    <row r="6004" spans="25:27" x14ac:dyDescent="0.3">
      <c r="Y6004" s="48" t="str">
        <f ca="1">IFERROR(IF('Planning Sheet'!DX81='Weeks Plan'!$D$6,'Planning Sheet'!$B81,""),"")</f>
        <v/>
      </c>
      <c r="Z6004" s="48" t="str">
        <f ca="1">IFERROR(IF('Planning Sheet'!DX81='Weeks Plan'!$D$6,"RFD",""),"")</f>
        <v/>
      </c>
      <c r="AA6004" s="48" t="str">
        <f ca="1">IFERROR(IF('Planning Sheet'!DX81='Weeks Plan'!$D$6,'Planning Sheet'!DT81,""),"")</f>
        <v/>
      </c>
    </row>
    <row r="6005" spans="25:27" x14ac:dyDescent="0.3">
      <c r="Y6005" s="48" t="str">
        <f ca="1">IFERROR(IF('Planning Sheet'!DX82='Weeks Plan'!$D$6,'Planning Sheet'!$B82,""),"")</f>
        <v/>
      </c>
      <c r="Z6005" s="48" t="str">
        <f ca="1">IFERROR(IF('Planning Sheet'!DX82='Weeks Plan'!$D$6,"RFD",""),"")</f>
        <v/>
      </c>
      <c r="AA6005" s="48" t="str">
        <f ca="1">IFERROR(IF('Planning Sheet'!DX82='Weeks Plan'!$D$6,'Planning Sheet'!DT82,""),"")</f>
        <v/>
      </c>
    </row>
    <row r="6006" spans="25:27" x14ac:dyDescent="0.3">
      <c r="Y6006" s="48" t="str">
        <f ca="1">IFERROR(IF('Planning Sheet'!DX83='Weeks Plan'!$D$6,'Planning Sheet'!$B83,""),"")</f>
        <v/>
      </c>
      <c r="Z6006" s="48" t="str">
        <f ca="1">IFERROR(IF('Planning Sheet'!DX83='Weeks Plan'!$D$6,"RFD",""),"")</f>
        <v/>
      </c>
      <c r="AA6006" s="48" t="str">
        <f ca="1">IFERROR(IF('Planning Sheet'!DX83='Weeks Plan'!$D$6,'Planning Sheet'!DT83,""),"")</f>
        <v/>
      </c>
    </row>
    <row r="6007" spans="25:27" x14ac:dyDescent="0.3">
      <c r="Y6007" s="48" t="str">
        <f ca="1">IFERROR(IF('Planning Sheet'!DX84='Weeks Plan'!$D$6,'Planning Sheet'!$B84,""),"")</f>
        <v/>
      </c>
      <c r="Z6007" s="48" t="str">
        <f ca="1">IFERROR(IF('Planning Sheet'!DX84='Weeks Plan'!$D$6,"RFD",""),"")</f>
        <v/>
      </c>
      <c r="AA6007" s="48" t="str">
        <f ca="1">IFERROR(IF('Planning Sheet'!DX84='Weeks Plan'!$D$6,'Planning Sheet'!DT84,""),"")</f>
        <v/>
      </c>
    </row>
    <row r="6008" spans="25:27" x14ac:dyDescent="0.3">
      <c r="Y6008" s="48" t="str">
        <f ca="1">IFERROR(IF('Planning Sheet'!DX85='Weeks Plan'!$D$6,'Planning Sheet'!$B85,""),"")</f>
        <v/>
      </c>
      <c r="Z6008" s="48" t="str">
        <f ca="1">IFERROR(IF('Planning Sheet'!DX85='Weeks Plan'!$D$6,"RFD",""),"")</f>
        <v/>
      </c>
      <c r="AA6008" s="48" t="str">
        <f ca="1">IFERROR(IF('Planning Sheet'!DX85='Weeks Plan'!$D$6,'Planning Sheet'!DT85,""),"")</f>
        <v/>
      </c>
    </row>
    <row r="6009" spans="25:27" x14ac:dyDescent="0.3">
      <c r="Y6009" s="48" t="str">
        <f ca="1">IFERROR(IF('Planning Sheet'!DX86='Weeks Plan'!$D$6,'Planning Sheet'!$B86,""),"")</f>
        <v/>
      </c>
      <c r="Z6009" s="48" t="str">
        <f ca="1">IFERROR(IF('Planning Sheet'!DX86='Weeks Plan'!$D$6,"RFD",""),"")</f>
        <v/>
      </c>
      <c r="AA6009" s="48" t="str">
        <f ca="1">IFERROR(IF('Planning Sheet'!DX86='Weeks Plan'!$D$6,'Planning Sheet'!DT86,""),"")</f>
        <v/>
      </c>
    </row>
    <row r="6010" spans="25:27" x14ac:dyDescent="0.3">
      <c r="Y6010" s="48" t="str">
        <f ca="1">IFERROR(IF('Planning Sheet'!DX87='Weeks Plan'!$D$6,'Planning Sheet'!$B87,""),"")</f>
        <v/>
      </c>
      <c r="Z6010" s="48" t="str">
        <f ca="1">IFERROR(IF('Planning Sheet'!DX87='Weeks Plan'!$D$6,"RFD",""),"")</f>
        <v/>
      </c>
      <c r="AA6010" s="48" t="str">
        <f ca="1">IFERROR(IF('Planning Sheet'!DX87='Weeks Plan'!$D$6,'Planning Sheet'!DT87,""),"")</f>
        <v/>
      </c>
    </row>
    <row r="6011" spans="25:27" x14ac:dyDescent="0.3">
      <c r="Y6011" s="48" t="str">
        <f ca="1">IFERROR(IF('Planning Sheet'!DX88='Weeks Plan'!$D$6,'Planning Sheet'!$B88,""),"")</f>
        <v/>
      </c>
      <c r="Z6011" s="48" t="str">
        <f ca="1">IFERROR(IF('Planning Sheet'!DX88='Weeks Plan'!$D$6,"RFD",""),"")</f>
        <v/>
      </c>
      <c r="AA6011" s="48" t="str">
        <f ca="1">IFERROR(IF('Planning Sheet'!DX88='Weeks Plan'!$D$6,'Planning Sheet'!DT88,""),"")</f>
        <v/>
      </c>
    </row>
    <row r="6012" spans="25:27" x14ac:dyDescent="0.3">
      <c r="Y6012" s="48" t="str">
        <f ca="1">IFERROR(IF('Planning Sheet'!DX89='Weeks Plan'!$D$6,'Planning Sheet'!$B89,""),"")</f>
        <v/>
      </c>
      <c r="Z6012" s="48" t="str">
        <f ca="1">IFERROR(IF('Planning Sheet'!DX89='Weeks Plan'!$D$6,"RFD",""),"")</f>
        <v/>
      </c>
      <c r="AA6012" s="48" t="str">
        <f ca="1">IFERROR(IF('Planning Sheet'!DX89='Weeks Plan'!$D$6,'Planning Sheet'!DT89,""),"")</f>
        <v/>
      </c>
    </row>
    <row r="6013" spans="25:27" x14ac:dyDescent="0.3">
      <c r="Y6013" s="48" t="str">
        <f ca="1">IFERROR(IF('Planning Sheet'!DX90='Weeks Plan'!$D$6,'Planning Sheet'!$B90,""),"")</f>
        <v/>
      </c>
      <c r="Z6013" s="48" t="str">
        <f ca="1">IFERROR(IF('Planning Sheet'!DX90='Weeks Plan'!$D$6,"RFD",""),"")</f>
        <v/>
      </c>
      <c r="AA6013" s="48" t="str">
        <f ca="1">IFERROR(IF('Planning Sheet'!DX90='Weeks Plan'!$D$6,'Planning Sheet'!DT90,""),"")</f>
        <v/>
      </c>
    </row>
    <row r="6014" spans="25:27" x14ac:dyDescent="0.3">
      <c r="Y6014" s="48" t="str">
        <f ca="1">IFERROR(IF('Planning Sheet'!DX91='Weeks Plan'!$D$6,'Planning Sheet'!$B91,""),"")</f>
        <v/>
      </c>
      <c r="Z6014" s="48" t="str">
        <f ca="1">IFERROR(IF('Planning Sheet'!DX91='Weeks Plan'!$D$6,"RFD",""),"")</f>
        <v/>
      </c>
      <c r="AA6014" s="48" t="str">
        <f ca="1">IFERROR(IF('Planning Sheet'!DX91='Weeks Plan'!$D$6,'Planning Sheet'!DT91,""),"")</f>
        <v/>
      </c>
    </row>
    <row r="6015" spans="25:27" x14ac:dyDescent="0.3">
      <c r="Y6015" s="48" t="str">
        <f ca="1">IFERROR(IF('Planning Sheet'!DX92='Weeks Plan'!$D$6,'Planning Sheet'!$B92,""),"")</f>
        <v/>
      </c>
      <c r="Z6015" s="48" t="str">
        <f ca="1">IFERROR(IF('Planning Sheet'!DX92='Weeks Plan'!$D$6,"RFD",""),"")</f>
        <v/>
      </c>
      <c r="AA6015" s="48" t="str">
        <f ca="1">IFERROR(IF('Planning Sheet'!DX92='Weeks Plan'!$D$6,'Planning Sheet'!DT92,""),"")</f>
        <v/>
      </c>
    </row>
    <row r="6016" spans="25:27" x14ac:dyDescent="0.3">
      <c r="Y6016" s="48" t="str">
        <f ca="1">IFERROR(IF('Planning Sheet'!DX93='Weeks Plan'!$D$6,'Planning Sheet'!$B93,""),"")</f>
        <v/>
      </c>
      <c r="Z6016" s="48" t="str">
        <f ca="1">IFERROR(IF('Planning Sheet'!DX93='Weeks Plan'!$D$6,"RFD",""),"")</f>
        <v/>
      </c>
      <c r="AA6016" s="48" t="str">
        <f ca="1">IFERROR(IF('Planning Sheet'!DX93='Weeks Plan'!$D$6,'Planning Sheet'!DT93,""),"")</f>
        <v/>
      </c>
    </row>
    <row r="6017" spans="25:27" x14ac:dyDescent="0.3">
      <c r="Y6017" s="48" t="str">
        <f ca="1">IFERROR(IF('Planning Sheet'!DX94='Weeks Plan'!$D$6,'Planning Sheet'!$B94,""),"")</f>
        <v/>
      </c>
      <c r="Z6017" s="48" t="str">
        <f ca="1">IFERROR(IF('Planning Sheet'!DX94='Weeks Plan'!$D$6,"RFD",""),"")</f>
        <v/>
      </c>
      <c r="AA6017" s="48" t="str">
        <f ca="1">IFERROR(IF('Planning Sheet'!DX94='Weeks Plan'!$D$6,'Planning Sheet'!DT94,""),"")</f>
        <v/>
      </c>
    </row>
    <row r="6018" spans="25:27" x14ac:dyDescent="0.3">
      <c r="Y6018" s="48" t="str">
        <f ca="1">IFERROR(IF('Planning Sheet'!DX95='Weeks Plan'!$D$6,'Planning Sheet'!$B95,""),"")</f>
        <v/>
      </c>
      <c r="Z6018" s="48" t="str">
        <f ca="1">IFERROR(IF('Planning Sheet'!DX95='Weeks Plan'!$D$6,"RFD",""),"")</f>
        <v/>
      </c>
      <c r="AA6018" s="48" t="str">
        <f ca="1">IFERROR(IF('Planning Sheet'!DX95='Weeks Plan'!$D$6,'Planning Sheet'!DT95,""),"")</f>
        <v/>
      </c>
    </row>
    <row r="6019" spans="25:27" x14ac:dyDescent="0.3">
      <c r="Y6019" s="48" t="str">
        <f ca="1">IFERROR(IF('Planning Sheet'!DX96='Weeks Plan'!$D$6,'Planning Sheet'!$B96,""),"")</f>
        <v/>
      </c>
      <c r="Z6019" s="48" t="str">
        <f ca="1">IFERROR(IF('Planning Sheet'!DX96='Weeks Plan'!$D$6,"RFD",""),"")</f>
        <v/>
      </c>
      <c r="AA6019" s="48" t="str">
        <f ca="1">IFERROR(IF('Planning Sheet'!DX96='Weeks Plan'!$D$6,'Planning Sheet'!DT96,""),"")</f>
        <v/>
      </c>
    </row>
    <row r="6020" spans="25:27" x14ac:dyDescent="0.3">
      <c r="Y6020" s="48" t="str">
        <f ca="1">IFERROR(IF('Planning Sheet'!DX97='Weeks Plan'!$D$6,'Planning Sheet'!$B97,""),"")</f>
        <v/>
      </c>
      <c r="Z6020" s="48" t="str">
        <f ca="1">IFERROR(IF('Planning Sheet'!DX97='Weeks Plan'!$D$6,"RFD",""),"")</f>
        <v/>
      </c>
      <c r="AA6020" s="48" t="str">
        <f ca="1">IFERROR(IF('Planning Sheet'!DX97='Weeks Plan'!$D$6,'Planning Sheet'!DT97,""),"")</f>
        <v/>
      </c>
    </row>
    <row r="6021" spans="25:27" x14ac:dyDescent="0.3">
      <c r="Y6021" s="48" t="str">
        <f ca="1">IFERROR(IF('Planning Sheet'!DX98='Weeks Plan'!$D$6,'Planning Sheet'!$B98,""),"")</f>
        <v/>
      </c>
      <c r="Z6021" s="48" t="str">
        <f ca="1">IFERROR(IF('Planning Sheet'!DX98='Weeks Plan'!$D$6,"RFD",""),"")</f>
        <v/>
      </c>
      <c r="AA6021" s="48" t="str">
        <f ca="1">IFERROR(IF('Planning Sheet'!DX98='Weeks Plan'!$D$6,'Planning Sheet'!DT98,""),"")</f>
        <v/>
      </c>
    </row>
    <row r="6022" spans="25:27" x14ac:dyDescent="0.3">
      <c r="Y6022" s="48" t="str">
        <f ca="1">IFERROR(IF('Planning Sheet'!DX99='Weeks Plan'!$D$6,'Planning Sheet'!$B99,""),"")</f>
        <v/>
      </c>
      <c r="Z6022" s="48" t="str">
        <f ca="1">IFERROR(IF('Planning Sheet'!DX99='Weeks Plan'!$D$6,"RFD",""),"")</f>
        <v/>
      </c>
      <c r="AA6022" s="48" t="str">
        <f ca="1">IFERROR(IF('Planning Sheet'!DX99='Weeks Plan'!$D$6,'Planning Sheet'!DT99,""),"")</f>
        <v/>
      </c>
    </row>
    <row r="6023" spans="25:27" x14ac:dyDescent="0.3">
      <c r="Y6023" s="48" t="str">
        <f ca="1">IFERROR(IF('Planning Sheet'!DX100='Weeks Plan'!$D$6,'Planning Sheet'!$B100,""),"")</f>
        <v/>
      </c>
      <c r="Z6023" s="48" t="str">
        <f ca="1">IFERROR(IF('Planning Sheet'!DX100='Weeks Plan'!$D$6,"RFD",""),"")</f>
        <v/>
      </c>
      <c r="AA6023" s="48" t="str">
        <f ca="1">IFERROR(IF('Planning Sheet'!DX100='Weeks Plan'!$D$6,'Planning Sheet'!DT100,""),"")</f>
        <v/>
      </c>
    </row>
    <row r="6024" spans="25:27" x14ac:dyDescent="0.3">
      <c r="Y6024" s="48" t="str">
        <f ca="1">IFERROR(IF('Planning Sheet'!DX101='Weeks Plan'!$D$6,'Planning Sheet'!$B101,""),"")</f>
        <v/>
      </c>
      <c r="Z6024" s="48" t="str">
        <f ca="1">IFERROR(IF('Planning Sheet'!DX101='Weeks Plan'!$D$6,"RFD",""),"")</f>
        <v/>
      </c>
      <c r="AA6024" s="48" t="str">
        <f ca="1">IFERROR(IF('Planning Sheet'!DX101='Weeks Plan'!$D$6,'Planning Sheet'!DT101,""),"")</f>
        <v/>
      </c>
    </row>
    <row r="6025" spans="25:27" x14ac:dyDescent="0.3">
      <c r="Y6025" s="48" t="str">
        <f ca="1">IFERROR(IF('Planning Sheet'!DX102='Weeks Plan'!$D$6,'Planning Sheet'!$B102,""),"")</f>
        <v/>
      </c>
      <c r="Z6025" s="48" t="str">
        <f ca="1">IFERROR(IF('Planning Sheet'!DX102='Weeks Plan'!$D$6,"RFD",""),"")</f>
        <v/>
      </c>
      <c r="AA6025" s="48" t="str">
        <f ca="1">IFERROR(IF('Planning Sheet'!DX102='Weeks Plan'!$D$6,'Planning Sheet'!DT102,""),"")</f>
        <v/>
      </c>
    </row>
    <row r="6026" spans="25:27" x14ac:dyDescent="0.3">
      <c r="Y6026" s="48" t="str">
        <f ca="1">IFERROR(IF('Planning Sheet'!DX103='Weeks Plan'!$D$6,'Planning Sheet'!$B103,""),"")</f>
        <v/>
      </c>
      <c r="Z6026" s="48" t="str">
        <f ca="1">IFERROR(IF('Planning Sheet'!DX103='Weeks Plan'!$D$6,"RFD",""),"")</f>
        <v/>
      </c>
      <c r="AA6026" s="48" t="str">
        <f ca="1">IFERROR(IF('Planning Sheet'!DX103='Weeks Plan'!$D$6,'Planning Sheet'!DT103,""),"")</f>
        <v/>
      </c>
    </row>
    <row r="6027" spans="25:27" x14ac:dyDescent="0.3">
      <c r="Y6027" s="48" t="str">
        <f ca="1">IFERROR(IF('Planning Sheet'!DX104='Weeks Plan'!$D$6,'Planning Sheet'!$B104,""),"")</f>
        <v/>
      </c>
      <c r="Z6027" s="48" t="str">
        <f ca="1">IFERROR(IF('Planning Sheet'!DX104='Weeks Plan'!$D$6,"RFD",""),"")</f>
        <v/>
      </c>
      <c r="AA6027" s="48" t="str">
        <f ca="1">IFERROR(IF('Planning Sheet'!DX104='Weeks Plan'!$D$6,'Planning Sheet'!DT104,""),"")</f>
        <v/>
      </c>
    </row>
    <row r="6028" spans="25:27" x14ac:dyDescent="0.3">
      <c r="Y6028" s="48" t="str">
        <f ca="1">IFERROR(IF('Planning Sheet'!DX105='Weeks Plan'!$D$6,'Planning Sheet'!$B105,""),"")</f>
        <v/>
      </c>
      <c r="Z6028" s="48" t="str">
        <f ca="1">IFERROR(IF('Planning Sheet'!DX105='Weeks Plan'!$D$6,"RFD",""),"")</f>
        <v/>
      </c>
      <c r="AA6028" s="48" t="str">
        <f ca="1">IFERROR(IF('Planning Sheet'!DX105='Weeks Plan'!$D$6,'Planning Sheet'!DT105,""),"")</f>
        <v/>
      </c>
    </row>
    <row r="6029" spans="25:27" x14ac:dyDescent="0.3">
      <c r="Y6029" s="48" t="str">
        <f ca="1">IFERROR(IF('Planning Sheet'!DX106='Weeks Plan'!$D$6,'Planning Sheet'!$B106,""),"")</f>
        <v/>
      </c>
      <c r="Z6029" s="48" t="str">
        <f ca="1">IFERROR(IF('Planning Sheet'!DX106='Weeks Plan'!$D$6,"RFD",""),"")</f>
        <v/>
      </c>
      <c r="AA6029" s="48" t="str">
        <f ca="1">IFERROR(IF('Planning Sheet'!DX106='Weeks Plan'!$D$6,'Planning Sheet'!DT106,""),"")</f>
        <v/>
      </c>
    </row>
    <row r="6030" spans="25:27" x14ac:dyDescent="0.3">
      <c r="Y6030" s="48" t="str">
        <f ca="1">IFERROR(IF('Planning Sheet'!DX107='Weeks Plan'!$D$6,'Planning Sheet'!$B107,""),"")</f>
        <v/>
      </c>
      <c r="Z6030" s="48" t="str">
        <f ca="1">IFERROR(IF('Planning Sheet'!DX107='Weeks Plan'!$D$6,"RFD",""),"")</f>
        <v/>
      </c>
      <c r="AA6030" s="48" t="str">
        <f ca="1">IFERROR(IF('Planning Sheet'!DX107='Weeks Plan'!$D$6,'Planning Sheet'!DT107,""),"")</f>
        <v/>
      </c>
    </row>
    <row r="6031" spans="25:27" x14ac:dyDescent="0.3">
      <c r="Y6031" s="48" t="str">
        <f ca="1">IFERROR(IF('Planning Sheet'!DX108='Weeks Plan'!$D$6,'Planning Sheet'!$B108,""),"")</f>
        <v/>
      </c>
      <c r="Z6031" s="48" t="str">
        <f ca="1">IFERROR(IF('Planning Sheet'!DX108='Weeks Plan'!$D$6,"RFD",""),"")</f>
        <v/>
      </c>
      <c r="AA6031" s="48" t="str">
        <f ca="1">IFERROR(IF('Planning Sheet'!DX108='Weeks Plan'!$D$6,'Planning Sheet'!DT108,""),"")</f>
        <v/>
      </c>
    </row>
    <row r="6032" spans="25:27" x14ac:dyDescent="0.3">
      <c r="Y6032" s="48" t="str">
        <f ca="1">IFERROR(IF('Planning Sheet'!DX109='Weeks Plan'!$D$6,'Planning Sheet'!$B109,""),"")</f>
        <v/>
      </c>
      <c r="Z6032" s="48" t="str">
        <f ca="1">IFERROR(IF('Planning Sheet'!DX109='Weeks Plan'!$D$6,"RFD",""),"")</f>
        <v/>
      </c>
      <c r="AA6032" s="48" t="str">
        <f ca="1">IFERROR(IF('Planning Sheet'!DX109='Weeks Plan'!$D$6,'Planning Sheet'!DT109,""),"")</f>
        <v/>
      </c>
    </row>
    <row r="6033" spans="25:27" x14ac:dyDescent="0.3">
      <c r="Y6033" s="48" t="str">
        <f ca="1">IFERROR(IF('Planning Sheet'!DX110='Weeks Plan'!$D$6,'Planning Sheet'!$B110,""),"")</f>
        <v/>
      </c>
      <c r="Z6033" s="48" t="str">
        <f ca="1">IFERROR(IF('Planning Sheet'!DX110='Weeks Plan'!$D$6,"RFD",""),"")</f>
        <v/>
      </c>
      <c r="AA6033" s="48" t="str">
        <f ca="1">IFERROR(IF('Planning Sheet'!DX110='Weeks Plan'!$D$6,'Planning Sheet'!DT110,""),"")</f>
        <v/>
      </c>
    </row>
    <row r="6034" spans="25:27" x14ac:dyDescent="0.3">
      <c r="Y6034" s="48" t="str">
        <f ca="1">IFERROR(IF('Planning Sheet'!DX111='Weeks Plan'!$D$6,'Planning Sheet'!$B111,""),"")</f>
        <v/>
      </c>
      <c r="Z6034" s="48" t="str">
        <f ca="1">IFERROR(IF('Planning Sheet'!DX111='Weeks Plan'!$D$6,"RFD",""),"")</f>
        <v/>
      </c>
      <c r="AA6034" s="48" t="str">
        <f ca="1">IFERROR(IF('Planning Sheet'!DX111='Weeks Plan'!$D$6,'Planning Sheet'!DT111,""),"")</f>
        <v/>
      </c>
    </row>
    <row r="6035" spans="25:27" x14ac:dyDescent="0.3">
      <c r="Y6035" s="48" t="str">
        <f ca="1">IFERROR(IF('Planning Sheet'!DX112='Weeks Plan'!$D$6,'Planning Sheet'!$B112,""),"")</f>
        <v/>
      </c>
      <c r="Z6035" s="48" t="str">
        <f ca="1">IFERROR(IF('Planning Sheet'!DX112='Weeks Plan'!$D$6,"RFD",""),"")</f>
        <v/>
      </c>
      <c r="AA6035" s="48" t="str">
        <f ca="1">IFERROR(IF('Planning Sheet'!DX112='Weeks Plan'!$D$6,'Planning Sheet'!DT112,""),"")</f>
        <v/>
      </c>
    </row>
    <row r="6036" spans="25:27" x14ac:dyDescent="0.3">
      <c r="Y6036" s="48" t="str">
        <f ca="1">IFERROR(IF('Planning Sheet'!DX113='Weeks Plan'!$D$6,'Planning Sheet'!$B113,""),"")</f>
        <v/>
      </c>
      <c r="Z6036" s="48" t="str">
        <f ca="1">IFERROR(IF('Planning Sheet'!DX113='Weeks Plan'!$D$6,"RFD",""),"")</f>
        <v/>
      </c>
      <c r="AA6036" s="48" t="str">
        <f ca="1">IFERROR(IF('Planning Sheet'!DX113='Weeks Plan'!$D$6,'Planning Sheet'!DT113,""),"")</f>
        <v/>
      </c>
    </row>
    <row r="6037" spans="25:27" x14ac:dyDescent="0.3">
      <c r="Y6037" s="48" t="str">
        <f ca="1">IFERROR(IF('Planning Sheet'!DX114='Weeks Plan'!$D$6,'Planning Sheet'!$B114,""),"")</f>
        <v/>
      </c>
      <c r="Z6037" s="48" t="str">
        <f ca="1">IFERROR(IF('Planning Sheet'!DX114='Weeks Plan'!$D$6,"RFD",""),"")</f>
        <v/>
      </c>
      <c r="AA6037" s="48" t="str">
        <f ca="1">IFERROR(IF('Planning Sheet'!DX114='Weeks Plan'!$D$6,'Planning Sheet'!DT114,""),"")</f>
        <v/>
      </c>
    </row>
    <row r="6038" spans="25:27" x14ac:dyDescent="0.3">
      <c r="Y6038" s="48" t="str">
        <f ca="1">IFERROR(IF('Planning Sheet'!DX115='Weeks Plan'!$D$6,'Planning Sheet'!$B115,""),"")</f>
        <v/>
      </c>
      <c r="Z6038" s="48" t="str">
        <f ca="1">IFERROR(IF('Planning Sheet'!DX115='Weeks Plan'!$D$6,"RFD",""),"")</f>
        <v/>
      </c>
      <c r="AA6038" s="48" t="str">
        <f ca="1">IFERROR(IF('Planning Sheet'!DX115='Weeks Plan'!$D$6,'Planning Sheet'!DT115,""),"")</f>
        <v/>
      </c>
    </row>
    <row r="6039" spans="25:27" x14ac:dyDescent="0.3">
      <c r="Y6039" s="48" t="str">
        <f ca="1">IFERROR(IF('Planning Sheet'!DX116='Weeks Plan'!$D$6,'Planning Sheet'!$B116,""),"")</f>
        <v/>
      </c>
      <c r="Z6039" s="48" t="str">
        <f ca="1">IFERROR(IF('Planning Sheet'!DX116='Weeks Plan'!$D$6,"RFD",""),"")</f>
        <v/>
      </c>
      <c r="AA6039" s="48" t="str">
        <f ca="1">IFERROR(IF('Planning Sheet'!DX116='Weeks Plan'!$D$6,'Planning Sheet'!DT116,""),"")</f>
        <v/>
      </c>
    </row>
    <row r="6040" spans="25:27" x14ac:dyDescent="0.3">
      <c r="Y6040" s="48" t="str">
        <f ca="1">IFERROR(IF('Planning Sheet'!DX117='Weeks Plan'!$D$6,'Planning Sheet'!$B117,""),"")</f>
        <v/>
      </c>
      <c r="Z6040" s="48" t="str">
        <f ca="1">IFERROR(IF('Planning Sheet'!DX117='Weeks Plan'!$D$6,"RFD",""),"")</f>
        <v/>
      </c>
      <c r="AA6040" s="48" t="str">
        <f ca="1">IFERROR(IF('Planning Sheet'!DX117='Weeks Plan'!$D$6,'Planning Sheet'!DT117,""),"")</f>
        <v/>
      </c>
    </row>
    <row r="6041" spans="25:27" x14ac:dyDescent="0.3">
      <c r="Y6041" s="48" t="str">
        <f ca="1">IFERROR(IF('Planning Sheet'!DX118='Weeks Plan'!$D$6,'Planning Sheet'!$B118,""),"")</f>
        <v/>
      </c>
      <c r="Z6041" s="48" t="str">
        <f ca="1">IFERROR(IF('Planning Sheet'!DX118='Weeks Plan'!$D$6,"RFD",""),"")</f>
        <v/>
      </c>
      <c r="AA6041" s="48" t="str">
        <f ca="1">IFERROR(IF('Planning Sheet'!DX118='Weeks Plan'!$D$6,'Planning Sheet'!DT118,""),"")</f>
        <v/>
      </c>
    </row>
    <row r="6042" spans="25:27" x14ac:dyDescent="0.3">
      <c r="Y6042" s="48" t="str">
        <f ca="1">IFERROR(IF('Planning Sheet'!DX119='Weeks Plan'!$D$6,'Planning Sheet'!$B119,""),"")</f>
        <v/>
      </c>
      <c r="Z6042" s="48" t="str">
        <f ca="1">IFERROR(IF('Planning Sheet'!DX119='Weeks Plan'!$D$6,"RFD",""),"")</f>
        <v/>
      </c>
      <c r="AA6042" s="48" t="str">
        <f ca="1">IFERROR(IF('Planning Sheet'!DX119='Weeks Plan'!$D$6,'Planning Sheet'!DT119,""),"")</f>
        <v/>
      </c>
    </row>
    <row r="6043" spans="25:27" x14ac:dyDescent="0.3">
      <c r="Y6043" s="48" t="str">
        <f ca="1">IFERROR(IF('Planning Sheet'!DX120='Weeks Plan'!$D$6,'Planning Sheet'!$B120,""),"")</f>
        <v/>
      </c>
      <c r="Z6043" s="48" t="str">
        <f ca="1">IFERROR(IF('Planning Sheet'!DX120='Weeks Plan'!$D$6,"RFD",""),"")</f>
        <v/>
      </c>
      <c r="AA6043" s="48" t="str">
        <f ca="1">IFERROR(IF('Planning Sheet'!DX120='Weeks Plan'!$D$6,'Planning Sheet'!DT120,""),"")</f>
        <v/>
      </c>
    </row>
    <row r="6044" spans="25:27" x14ac:dyDescent="0.3">
      <c r="Y6044" s="48" t="str">
        <f ca="1">IFERROR(IF('Planning Sheet'!DX121='Weeks Plan'!$D$6,'Planning Sheet'!$B121,""),"")</f>
        <v/>
      </c>
      <c r="Z6044" s="48" t="str">
        <f ca="1">IFERROR(IF('Planning Sheet'!DX121='Weeks Plan'!$D$6,"RFD",""),"")</f>
        <v/>
      </c>
      <c r="AA6044" s="48" t="str">
        <f ca="1">IFERROR(IF('Planning Sheet'!DX121='Weeks Plan'!$D$6,'Planning Sheet'!DT121,""),"")</f>
        <v/>
      </c>
    </row>
    <row r="6045" spans="25:27" x14ac:dyDescent="0.3">
      <c r="Y6045" s="48" t="str">
        <f ca="1">IFERROR(IF('Planning Sheet'!DX122='Weeks Plan'!$D$6,'Planning Sheet'!$B122,""),"")</f>
        <v/>
      </c>
      <c r="Z6045" s="48" t="str">
        <f ca="1">IFERROR(IF('Planning Sheet'!DX122='Weeks Plan'!$D$6,"RFD",""),"")</f>
        <v/>
      </c>
      <c r="AA6045" s="48" t="str">
        <f ca="1">IFERROR(IF('Planning Sheet'!DX122='Weeks Plan'!$D$6,'Planning Sheet'!DT122,""),"")</f>
        <v/>
      </c>
    </row>
    <row r="6046" spans="25:27" x14ac:dyDescent="0.3">
      <c r="Y6046" s="48" t="str">
        <f ca="1">IFERROR(IF('Planning Sheet'!DX123='Weeks Plan'!$D$6,'Planning Sheet'!$B123,""),"")</f>
        <v/>
      </c>
      <c r="Z6046" s="48" t="str">
        <f ca="1">IFERROR(IF('Planning Sheet'!DX123='Weeks Plan'!$D$6,"RFD",""),"")</f>
        <v/>
      </c>
      <c r="AA6046" s="48" t="str">
        <f ca="1">IFERROR(IF('Planning Sheet'!DX123='Weeks Plan'!$D$6,'Planning Sheet'!DT123,""),"")</f>
        <v/>
      </c>
    </row>
    <row r="6047" spans="25:27" x14ac:dyDescent="0.3">
      <c r="Y6047" s="48" t="str">
        <f ca="1">IFERROR(IF('Planning Sheet'!DX124='Weeks Plan'!$D$6,'Planning Sheet'!$B124,""),"")</f>
        <v/>
      </c>
      <c r="Z6047" s="48" t="str">
        <f ca="1">IFERROR(IF('Planning Sheet'!DX124='Weeks Plan'!$D$6,"RFD",""),"")</f>
        <v/>
      </c>
      <c r="AA6047" s="48" t="str">
        <f ca="1">IFERROR(IF('Planning Sheet'!DX124='Weeks Plan'!$D$6,'Planning Sheet'!DT124,""),"")</f>
        <v/>
      </c>
    </row>
    <row r="6048" spans="25:27" x14ac:dyDescent="0.3">
      <c r="Y6048" s="48" t="str">
        <f ca="1">IFERROR(IF('Planning Sheet'!DX125='Weeks Plan'!$D$6,'Planning Sheet'!$B125,""),"")</f>
        <v/>
      </c>
      <c r="Z6048" s="48" t="str">
        <f ca="1">IFERROR(IF('Planning Sheet'!DX125='Weeks Plan'!$D$6,"RFD",""),"")</f>
        <v/>
      </c>
      <c r="AA6048" s="48" t="str">
        <f ca="1">IFERROR(IF('Planning Sheet'!DX125='Weeks Plan'!$D$6,'Planning Sheet'!DT125,""),"")</f>
        <v/>
      </c>
    </row>
    <row r="6049" spans="25:27" x14ac:dyDescent="0.3">
      <c r="Y6049" s="48" t="str">
        <f ca="1">IFERROR(IF('Planning Sheet'!DX126='Weeks Plan'!$D$6,'Planning Sheet'!$B126,""),"")</f>
        <v/>
      </c>
      <c r="Z6049" s="48" t="str">
        <f ca="1">IFERROR(IF('Planning Sheet'!DX126='Weeks Plan'!$D$6,"RFD",""),"")</f>
        <v/>
      </c>
      <c r="AA6049" s="48" t="str">
        <f ca="1">IFERROR(IF('Planning Sheet'!DX126='Weeks Plan'!$D$6,'Planning Sheet'!DT126,""),"")</f>
        <v/>
      </c>
    </row>
    <row r="6050" spans="25:27" x14ac:dyDescent="0.3">
      <c r="Y6050" s="48" t="str">
        <f ca="1">IFERROR(IF('Planning Sheet'!DX127='Weeks Plan'!$D$6,'Planning Sheet'!$B127,""),"")</f>
        <v/>
      </c>
      <c r="Z6050" s="48" t="str">
        <f ca="1">IFERROR(IF('Planning Sheet'!DX127='Weeks Plan'!$D$6,"RFD",""),"")</f>
        <v/>
      </c>
      <c r="AA6050" s="48" t="str">
        <f ca="1">IFERROR(IF('Planning Sheet'!DX127='Weeks Plan'!$D$6,'Planning Sheet'!DT127,""),"")</f>
        <v/>
      </c>
    </row>
    <row r="6051" spans="25:27" x14ac:dyDescent="0.3">
      <c r="Y6051" s="48" t="str">
        <f ca="1">IFERROR(IF('Planning Sheet'!DX128='Weeks Plan'!$D$6,'Planning Sheet'!$B128,""),"")</f>
        <v/>
      </c>
      <c r="Z6051" s="48" t="str">
        <f ca="1">IFERROR(IF('Planning Sheet'!DX128='Weeks Plan'!$D$6,"RFD",""),"")</f>
        <v/>
      </c>
      <c r="AA6051" s="48" t="str">
        <f ca="1">IFERROR(IF('Planning Sheet'!DX128='Weeks Plan'!$D$6,'Planning Sheet'!DT128,""),"")</f>
        <v/>
      </c>
    </row>
    <row r="6052" spans="25:27" x14ac:dyDescent="0.3">
      <c r="Y6052" s="48" t="str">
        <f ca="1">IFERROR(IF('Planning Sheet'!DX129='Weeks Plan'!$D$6,'Planning Sheet'!$B129,""),"")</f>
        <v/>
      </c>
      <c r="Z6052" s="48" t="str">
        <f ca="1">IFERROR(IF('Planning Sheet'!DX129='Weeks Plan'!$D$6,"RFD",""),"")</f>
        <v/>
      </c>
      <c r="AA6052" s="48" t="str">
        <f ca="1">IFERROR(IF('Planning Sheet'!DX129='Weeks Plan'!$D$6,'Planning Sheet'!DT129,""),"")</f>
        <v/>
      </c>
    </row>
    <row r="6053" spans="25:27" x14ac:dyDescent="0.3">
      <c r="Y6053" s="48" t="str">
        <f ca="1">IFERROR(IF('Planning Sheet'!DX130='Weeks Plan'!$D$6,'Planning Sheet'!$B130,""),"")</f>
        <v/>
      </c>
      <c r="Z6053" s="48" t="str">
        <f ca="1">IFERROR(IF('Planning Sheet'!DX130='Weeks Plan'!$D$6,"RFD",""),"")</f>
        <v/>
      </c>
      <c r="AA6053" s="48" t="str">
        <f ca="1">IFERROR(IF('Planning Sheet'!DX130='Weeks Plan'!$D$6,'Planning Sheet'!DT130,""),"")</f>
        <v/>
      </c>
    </row>
    <row r="6054" spans="25:27" x14ac:dyDescent="0.3">
      <c r="Y6054" s="48" t="str">
        <f ca="1">IFERROR(IF('Planning Sheet'!DX131='Weeks Plan'!$D$6,'Planning Sheet'!$B131,""),"")</f>
        <v/>
      </c>
      <c r="Z6054" s="48" t="str">
        <f ca="1">IFERROR(IF('Planning Sheet'!DX131='Weeks Plan'!$D$6,"RFD",""),"")</f>
        <v/>
      </c>
      <c r="AA6054" s="48" t="str">
        <f ca="1">IFERROR(IF('Planning Sheet'!DX131='Weeks Plan'!$D$6,'Planning Sheet'!DT131,""),"")</f>
        <v/>
      </c>
    </row>
    <row r="6055" spans="25:27" x14ac:dyDescent="0.3">
      <c r="Y6055" s="48" t="str">
        <f ca="1">IFERROR(IF('Planning Sheet'!DX132='Weeks Plan'!$D$6,'Planning Sheet'!$B132,""),"")</f>
        <v/>
      </c>
      <c r="Z6055" s="48" t="str">
        <f ca="1">IFERROR(IF('Planning Sheet'!DX132='Weeks Plan'!$D$6,"RFD",""),"")</f>
        <v/>
      </c>
      <c r="AA6055" s="48" t="str">
        <f ca="1">IFERROR(IF('Planning Sheet'!DX132='Weeks Plan'!$D$6,'Planning Sheet'!DT132,""),"")</f>
        <v/>
      </c>
    </row>
    <row r="6056" spans="25:27" x14ac:dyDescent="0.3">
      <c r="Y6056" s="48" t="str">
        <f ca="1">IFERROR(IF('Planning Sheet'!DX133='Weeks Plan'!$D$6,'Planning Sheet'!$B133,""),"")</f>
        <v/>
      </c>
      <c r="Z6056" s="48" t="str">
        <f ca="1">IFERROR(IF('Planning Sheet'!DX133='Weeks Plan'!$D$6,"RFD",""),"")</f>
        <v/>
      </c>
      <c r="AA6056" s="48" t="str">
        <f ca="1">IFERROR(IF('Planning Sheet'!DX133='Weeks Plan'!$D$6,'Planning Sheet'!DT133,""),"")</f>
        <v/>
      </c>
    </row>
    <row r="6057" spans="25:27" x14ac:dyDescent="0.3">
      <c r="Y6057" s="48" t="str">
        <f ca="1">IFERROR(IF('Planning Sheet'!DX134='Weeks Plan'!$D$6,'Planning Sheet'!$B134,""),"")</f>
        <v/>
      </c>
      <c r="Z6057" s="48" t="str">
        <f ca="1">IFERROR(IF('Planning Sheet'!DX134='Weeks Plan'!$D$6,"RFD",""),"")</f>
        <v/>
      </c>
      <c r="AA6057" s="48" t="str">
        <f ca="1">IFERROR(IF('Planning Sheet'!DX134='Weeks Plan'!$D$6,'Planning Sheet'!DT134,""),"")</f>
        <v/>
      </c>
    </row>
    <row r="6058" spans="25:27" x14ac:dyDescent="0.3">
      <c r="Y6058" s="48" t="str">
        <f ca="1">IFERROR(IF('Planning Sheet'!DX135='Weeks Plan'!$D$6,'Planning Sheet'!$B135,""),"")</f>
        <v/>
      </c>
      <c r="Z6058" s="48" t="str">
        <f ca="1">IFERROR(IF('Planning Sheet'!DX135='Weeks Plan'!$D$6,"RFD",""),"")</f>
        <v/>
      </c>
      <c r="AA6058" s="48" t="str">
        <f ca="1">IFERROR(IF('Planning Sheet'!DX135='Weeks Plan'!$D$6,'Planning Sheet'!DT135,""),"")</f>
        <v/>
      </c>
    </row>
    <row r="6059" spans="25:27" x14ac:dyDescent="0.3">
      <c r="Y6059" s="48" t="str">
        <f ca="1">IFERROR(IF('Planning Sheet'!DX136='Weeks Plan'!$D$6,'Planning Sheet'!$B136,""),"")</f>
        <v/>
      </c>
      <c r="Z6059" s="48" t="str">
        <f ca="1">IFERROR(IF('Planning Sheet'!DX136='Weeks Plan'!$D$6,"RFD",""),"")</f>
        <v/>
      </c>
      <c r="AA6059" s="48" t="str">
        <f ca="1">IFERROR(IF('Planning Sheet'!DX136='Weeks Plan'!$D$6,'Planning Sheet'!DT136,""),"")</f>
        <v/>
      </c>
    </row>
    <row r="6060" spans="25:27" x14ac:dyDescent="0.3">
      <c r="Y6060" s="48" t="str">
        <f ca="1">IFERROR(IF('Planning Sheet'!DX137='Weeks Plan'!$D$6,'Planning Sheet'!$B137,""),"")</f>
        <v/>
      </c>
      <c r="Z6060" s="48" t="str">
        <f ca="1">IFERROR(IF('Planning Sheet'!DX137='Weeks Plan'!$D$6,"RFD",""),"")</f>
        <v/>
      </c>
      <c r="AA6060" s="48" t="str">
        <f ca="1">IFERROR(IF('Planning Sheet'!DX137='Weeks Plan'!$D$6,'Planning Sheet'!DT137,""),"")</f>
        <v/>
      </c>
    </row>
    <row r="6061" spans="25:27" x14ac:dyDescent="0.3">
      <c r="Y6061" s="48" t="str">
        <f ca="1">IFERROR(IF('Planning Sheet'!DX138='Weeks Plan'!$D$6,'Planning Sheet'!$B138,""),"")</f>
        <v/>
      </c>
      <c r="Z6061" s="48" t="str">
        <f ca="1">IFERROR(IF('Planning Sheet'!DX138='Weeks Plan'!$D$6,"RFD",""),"")</f>
        <v/>
      </c>
      <c r="AA6061" s="48" t="str">
        <f ca="1">IFERROR(IF('Planning Sheet'!DX138='Weeks Plan'!$D$6,'Planning Sheet'!DT138,""),"")</f>
        <v/>
      </c>
    </row>
    <row r="6062" spans="25:27" x14ac:dyDescent="0.3">
      <c r="Y6062" s="48" t="str">
        <f ca="1">IFERROR(IF('Planning Sheet'!DX139='Weeks Plan'!$D$6,'Planning Sheet'!$B139,""),"")</f>
        <v/>
      </c>
      <c r="Z6062" s="48" t="str">
        <f ca="1">IFERROR(IF('Planning Sheet'!DX139='Weeks Plan'!$D$6,"RFD",""),"")</f>
        <v/>
      </c>
      <c r="AA6062" s="48" t="str">
        <f ca="1">IFERROR(IF('Planning Sheet'!DX139='Weeks Plan'!$D$6,'Planning Sheet'!DT139,""),"")</f>
        <v/>
      </c>
    </row>
    <row r="6063" spans="25:27" x14ac:dyDescent="0.3">
      <c r="Y6063" s="48" t="str">
        <f ca="1">IFERROR(IF('Planning Sheet'!DX140='Weeks Plan'!$D$6,'Planning Sheet'!$B140,""),"")</f>
        <v/>
      </c>
      <c r="Z6063" s="48" t="str">
        <f ca="1">IFERROR(IF('Planning Sheet'!DX140='Weeks Plan'!$D$6,"RFD",""),"")</f>
        <v/>
      </c>
      <c r="AA6063" s="48" t="str">
        <f ca="1">IFERROR(IF('Planning Sheet'!DX140='Weeks Plan'!$D$6,'Planning Sheet'!DT140,""),"")</f>
        <v/>
      </c>
    </row>
    <row r="6064" spans="25:27" x14ac:dyDescent="0.3">
      <c r="Y6064" s="48" t="str">
        <f ca="1">IFERROR(IF('Planning Sheet'!DX141='Weeks Plan'!$D$6,'Planning Sheet'!$B141,""),"")</f>
        <v/>
      </c>
      <c r="Z6064" s="48" t="str">
        <f ca="1">IFERROR(IF('Planning Sheet'!DX141='Weeks Plan'!$D$6,"RFD",""),"")</f>
        <v/>
      </c>
      <c r="AA6064" s="48" t="str">
        <f ca="1">IFERROR(IF('Planning Sheet'!DX141='Weeks Plan'!$D$6,'Planning Sheet'!DT141,""),"")</f>
        <v/>
      </c>
    </row>
    <row r="6065" spans="25:27" x14ac:dyDescent="0.3">
      <c r="Y6065" s="48" t="str">
        <f ca="1">IFERROR(IF('Planning Sheet'!DX142='Weeks Plan'!$D$6,'Planning Sheet'!$B142,""),"")</f>
        <v/>
      </c>
      <c r="Z6065" s="48" t="str">
        <f ca="1">IFERROR(IF('Planning Sheet'!DX142='Weeks Plan'!$D$6,"RFD",""),"")</f>
        <v/>
      </c>
      <c r="AA6065" s="48" t="str">
        <f ca="1">IFERROR(IF('Planning Sheet'!DX142='Weeks Plan'!$D$6,'Planning Sheet'!DT142,""),"")</f>
        <v/>
      </c>
    </row>
    <row r="6066" spans="25:27" x14ac:dyDescent="0.3">
      <c r="Y6066" s="48" t="str">
        <f ca="1">IFERROR(IF('Planning Sheet'!DX143='Weeks Plan'!$D$6,'Planning Sheet'!$B143,""),"")</f>
        <v/>
      </c>
      <c r="Z6066" s="48" t="str">
        <f ca="1">IFERROR(IF('Planning Sheet'!DX143='Weeks Plan'!$D$6,"RFD",""),"")</f>
        <v/>
      </c>
      <c r="AA6066" s="48" t="str">
        <f ca="1">IFERROR(IF('Planning Sheet'!DX143='Weeks Plan'!$D$6,'Planning Sheet'!DT143,""),"")</f>
        <v/>
      </c>
    </row>
    <row r="6067" spans="25:27" x14ac:dyDescent="0.3">
      <c r="Y6067" s="48" t="str">
        <f ca="1">IFERROR(IF('Planning Sheet'!DX144='Weeks Plan'!$D$6,'Planning Sheet'!$B144,""),"")</f>
        <v/>
      </c>
      <c r="Z6067" s="48" t="str">
        <f ca="1">IFERROR(IF('Planning Sheet'!DX144='Weeks Plan'!$D$6,"RFD",""),"")</f>
        <v/>
      </c>
      <c r="AA6067" s="48" t="str">
        <f ca="1">IFERROR(IF('Planning Sheet'!DX144='Weeks Plan'!$D$6,'Planning Sheet'!DT144,""),"")</f>
        <v/>
      </c>
    </row>
    <row r="6068" spans="25:27" x14ac:dyDescent="0.3">
      <c r="Y6068" s="48" t="str">
        <f ca="1">IFERROR(IF('Planning Sheet'!DX145='Weeks Plan'!$D$6,'Planning Sheet'!$B145,""),"")</f>
        <v/>
      </c>
      <c r="Z6068" s="48" t="str">
        <f ca="1">IFERROR(IF('Planning Sheet'!DX145='Weeks Plan'!$D$6,"RFD",""),"")</f>
        <v/>
      </c>
      <c r="AA6068" s="48" t="str">
        <f ca="1">IFERROR(IF('Planning Sheet'!DX145='Weeks Plan'!$D$6,'Planning Sheet'!DT145,""),"")</f>
        <v/>
      </c>
    </row>
    <row r="6069" spans="25:27" x14ac:dyDescent="0.3">
      <c r="Y6069" s="48" t="str">
        <f ca="1">IFERROR(IF('Planning Sheet'!DX146='Weeks Plan'!$D$6,'Planning Sheet'!$B146,""),"")</f>
        <v/>
      </c>
      <c r="Z6069" s="48" t="str">
        <f ca="1">IFERROR(IF('Planning Sheet'!DX146='Weeks Plan'!$D$6,"RFD",""),"")</f>
        <v/>
      </c>
      <c r="AA6069" s="48" t="str">
        <f ca="1">IFERROR(IF('Planning Sheet'!DX146='Weeks Plan'!$D$6,'Planning Sheet'!DT146,""),"")</f>
        <v/>
      </c>
    </row>
    <row r="6070" spans="25:27" x14ac:dyDescent="0.3">
      <c r="Y6070" s="48" t="str">
        <f ca="1">IFERROR(IF('Planning Sheet'!DX147='Weeks Plan'!$D$6,'Planning Sheet'!$B147,""),"")</f>
        <v/>
      </c>
      <c r="Z6070" s="48" t="str">
        <f ca="1">IFERROR(IF('Planning Sheet'!DX147='Weeks Plan'!$D$6,"RFD",""),"")</f>
        <v/>
      </c>
      <c r="AA6070" s="48" t="str">
        <f ca="1">IFERROR(IF('Planning Sheet'!DX147='Weeks Plan'!$D$6,'Planning Sheet'!DT147,""),"")</f>
        <v/>
      </c>
    </row>
    <row r="6071" spans="25:27" x14ac:dyDescent="0.3">
      <c r="Y6071" s="48" t="str">
        <f ca="1">IFERROR(IF('Planning Sheet'!DX148='Weeks Plan'!$D$6,'Planning Sheet'!$B148,""),"")</f>
        <v/>
      </c>
      <c r="Z6071" s="48" t="str">
        <f ca="1">IFERROR(IF('Planning Sheet'!DX148='Weeks Plan'!$D$6,"RFD",""),"")</f>
        <v/>
      </c>
      <c r="AA6071" s="48" t="str">
        <f ca="1">IFERROR(IF('Planning Sheet'!DX148='Weeks Plan'!$D$6,'Planning Sheet'!DT148,""),"")</f>
        <v/>
      </c>
    </row>
    <row r="6072" spans="25:27" x14ac:dyDescent="0.3">
      <c r="Y6072" s="48" t="str">
        <f ca="1">IFERROR(IF('Planning Sheet'!DX149='Weeks Plan'!$D$6,'Planning Sheet'!$B149,""),"")</f>
        <v/>
      </c>
      <c r="Z6072" s="48" t="str">
        <f ca="1">IFERROR(IF('Planning Sheet'!DX149='Weeks Plan'!$D$6,"RFD",""),"")</f>
        <v/>
      </c>
      <c r="AA6072" s="48" t="str">
        <f ca="1">IFERROR(IF('Planning Sheet'!DX149='Weeks Plan'!$D$6,'Planning Sheet'!DT149,""),"")</f>
        <v/>
      </c>
    </row>
    <row r="6073" spans="25:27" x14ac:dyDescent="0.3">
      <c r="Y6073" s="48" t="str">
        <f ca="1">IFERROR(IF('Planning Sheet'!DX150='Weeks Plan'!$D$6,'Planning Sheet'!$B150,""),"")</f>
        <v/>
      </c>
      <c r="Z6073" s="48" t="str">
        <f ca="1">IFERROR(IF('Planning Sheet'!DX150='Weeks Plan'!$D$6,"RFD",""),"")</f>
        <v/>
      </c>
      <c r="AA6073" s="48" t="str">
        <f ca="1">IFERROR(IF('Planning Sheet'!DX150='Weeks Plan'!$D$6,'Planning Sheet'!DT150,""),"")</f>
        <v/>
      </c>
    </row>
    <row r="6074" spans="25:27" x14ac:dyDescent="0.3">
      <c r="Y6074" s="48" t="str">
        <f ca="1">IFERROR(IF('Planning Sheet'!DX151='Weeks Plan'!$D$6,'Planning Sheet'!$B151,""),"")</f>
        <v/>
      </c>
      <c r="Z6074" s="48" t="str">
        <f ca="1">IFERROR(IF('Planning Sheet'!DX151='Weeks Plan'!$D$6,"RFD",""),"")</f>
        <v/>
      </c>
      <c r="AA6074" s="48" t="str">
        <f ca="1">IFERROR(IF('Planning Sheet'!DX151='Weeks Plan'!$D$6,'Planning Sheet'!DT151,""),"")</f>
        <v/>
      </c>
    </row>
    <row r="6075" spans="25:27" x14ac:dyDescent="0.3">
      <c r="Y6075" s="48" t="str">
        <f ca="1">IFERROR(IF('Planning Sheet'!DX152='Weeks Plan'!$D$6,'Planning Sheet'!$B152,""),"")</f>
        <v/>
      </c>
      <c r="Z6075" s="48" t="str">
        <f ca="1">IFERROR(IF('Planning Sheet'!DX152='Weeks Plan'!$D$6,"RFD",""),"")</f>
        <v/>
      </c>
      <c r="AA6075" s="48" t="str">
        <f ca="1">IFERROR(IF('Planning Sheet'!DX152='Weeks Plan'!$D$6,'Planning Sheet'!DT152,""),"")</f>
        <v/>
      </c>
    </row>
    <row r="6076" spans="25:27" x14ac:dyDescent="0.3">
      <c r="Y6076" s="48" t="str">
        <f ca="1">IFERROR(IF('Planning Sheet'!DX153='Weeks Plan'!$D$6,'Planning Sheet'!$B153,""),"")</f>
        <v/>
      </c>
      <c r="Z6076" s="48" t="str">
        <f ca="1">IFERROR(IF('Planning Sheet'!DX153='Weeks Plan'!$D$6,"RFD",""),"")</f>
        <v/>
      </c>
      <c r="AA6076" s="48" t="str">
        <f ca="1">IFERROR(IF('Planning Sheet'!DX153='Weeks Plan'!$D$6,'Planning Sheet'!DT153,""),"")</f>
        <v/>
      </c>
    </row>
    <row r="6077" spans="25:27" x14ac:dyDescent="0.3">
      <c r="Y6077" s="48" t="str">
        <f ca="1">IFERROR(IF('Planning Sheet'!DX154='Weeks Plan'!$D$6,'Planning Sheet'!$B154,""),"")</f>
        <v/>
      </c>
      <c r="Z6077" s="48" t="str">
        <f ca="1">IFERROR(IF('Planning Sheet'!DX154='Weeks Plan'!$D$6,"RFD",""),"")</f>
        <v/>
      </c>
      <c r="AA6077" s="48" t="str">
        <f ca="1">IFERROR(IF('Planning Sheet'!DX154='Weeks Plan'!$D$6,'Planning Sheet'!DT154,""),"")</f>
        <v/>
      </c>
    </row>
    <row r="6078" spans="25:27" x14ac:dyDescent="0.3">
      <c r="Y6078" s="48" t="str">
        <f ca="1">IFERROR(IF('Planning Sheet'!DX155='Weeks Plan'!$D$6,'Planning Sheet'!$B155,""),"")</f>
        <v/>
      </c>
      <c r="Z6078" s="48" t="str">
        <f ca="1">IFERROR(IF('Planning Sheet'!DX155='Weeks Plan'!$D$6,"RFD",""),"")</f>
        <v/>
      </c>
      <c r="AA6078" s="48" t="str">
        <f ca="1">IFERROR(IF('Planning Sheet'!DX155='Weeks Plan'!$D$6,'Planning Sheet'!DT155,""),"")</f>
        <v/>
      </c>
    </row>
    <row r="6079" spans="25:27" x14ac:dyDescent="0.3">
      <c r="Y6079" s="48" t="str">
        <f ca="1">IFERROR(IF('Planning Sheet'!DX156='Weeks Plan'!$D$6,'Planning Sheet'!$B156,""),"")</f>
        <v/>
      </c>
      <c r="Z6079" s="48" t="str">
        <f ca="1">IFERROR(IF('Planning Sheet'!DX156='Weeks Plan'!$D$6,"RFD",""),"")</f>
        <v/>
      </c>
      <c r="AA6079" s="48" t="str">
        <f ca="1">IFERROR(IF('Planning Sheet'!DX156='Weeks Plan'!$D$6,'Planning Sheet'!DT156,""),"")</f>
        <v/>
      </c>
    </row>
    <row r="6080" spans="25:27" x14ac:dyDescent="0.3">
      <c r="Y6080" s="48" t="str">
        <f ca="1">IFERROR(IF('Planning Sheet'!DX157='Weeks Plan'!$D$6,'Planning Sheet'!$B157,""),"")</f>
        <v/>
      </c>
      <c r="Z6080" s="48" t="str">
        <f ca="1">IFERROR(IF('Planning Sheet'!DX157='Weeks Plan'!$D$6,"RFD",""),"")</f>
        <v/>
      </c>
      <c r="AA6080" s="48" t="str">
        <f ca="1">IFERROR(IF('Planning Sheet'!DX157='Weeks Plan'!$D$6,'Planning Sheet'!DT157,""),"")</f>
        <v/>
      </c>
    </row>
    <row r="6081" spans="25:27" x14ac:dyDescent="0.3">
      <c r="Y6081" s="48" t="str">
        <f ca="1">IFERROR(IF('Planning Sheet'!DX158='Weeks Plan'!$D$6,'Planning Sheet'!$B158,""),"")</f>
        <v/>
      </c>
      <c r="Z6081" s="48" t="str">
        <f ca="1">IFERROR(IF('Planning Sheet'!DX158='Weeks Plan'!$D$6,"RFD",""),"")</f>
        <v/>
      </c>
      <c r="AA6081" s="48" t="str">
        <f ca="1">IFERROR(IF('Planning Sheet'!DX158='Weeks Plan'!$D$6,'Planning Sheet'!DT158,""),"")</f>
        <v/>
      </c>
    </row>
    <row r="6082" spans="25:27" x14ac:dyDescent="0.3">
      <c r="Y6082" s="48" t="str">
        <f ca="1">IFERROR(IF('Planning Sheet'!DX159='Weeks Plan'!$D$6,'Planning Sheet'!$B159,""),"")</f>
        <v/>
      </c>
      <c r="Z6082" s="48" t="str">
        <f ca="1">IFERROR(IF('Planning Sheet'!DX159='Weeks Plan'!$D$6,"RFD",""),"")</f>
        <v/>
      </c>
      <c r="AA6082" s="48" t="str">
        <f ca="1">IFERROR(IF('Planning Sheet'!DX159='Weeks Plan'!$D$6,'Planning Sheet'!DT159,""),"")</f>
        <v/>
      </c>
    </row>
    <row r="6083" spans="25:27" x14ac:dyDescent="0.3">
      <c r="Y6083" s="48" t="str">
        <f ca="1">IFERROR(IF('Planning Sheet'!DX160='Weeks Plan'!$D$6,'Planning Sheet'!$B160,""),"")</f>
        <v/>
      </c>
      <c r="Z6083" s="48" t="str">
        <f ca="1">IFERROR(IF('Planning Sheet'!DX160='Weeks Plan'!$D$6,"RFD",""),"")</f>
        <v/>
      </c>
      <c r="AA6083" s="48" t="str">
        <f ca="1">IFERROR(IF('Planning Sheet'!DX160='Weeks Plan'!$D$6,'Planning Sheet'!DT160,""),"")</f>
        <v/>
      </c>
    </row>
    <row r="6084" spans="25:27" x14ac:dyDescent="0.3">
      <c r="Y6084" s="48" t="str">
        <f ca="1">IFERROR(IF('Planning Sheet'!DX161='Weeks Plan'!$D$6,'Planning Sheet'!$B161,""),"")</f>
        <v/>
      </c>
      <c r="Z6084" s="48" t="str">
        <f ca="1">IFERROR(IF('Planning Sheet'!DX161='Weeks Plan'!$D$6,"RFD",""),"")</f>
        <v/>
      </c>
      <c r="AA6084" s="48" t="str">
        <f ca="1">IFERROR(IF('Planning Sheet'!DX161='Weeks Plan'!$D$6,'Planning Sheet'!DT161,""),"")</f>
        <v/>
      </c>
    </row>
    <row r="6085" spans="25:27" x14ac:dyDescent="0.3">
      <c r="Y6085" s="48" t="str">
        <f ca="1">IFERROR(IF('Planning Sheet'!DX162='Weeks Plan'!$D$6,'Planning Sheet'!$B162,""),"")</f>
        <v/>
      </c>
      <c r="Z6085" s="48" t="str">
        <f ca="1">IFERROR(IF('Planning Sheet'!DX162='Weeks Plan'!$D$6,"RFD",""),"")</f>
        <v/>
      </c>
      <c r="AA6085" s="48" t="str">
        <f ca="1">IFERROR(IF('Planning Sheet'!DX162='Weeks Plan'!$D$6,'Planning Sheet'!DT162,""),"")</f>
        <v/>
      </c>
    </row>
    <row r="6086" spans="25:27" x14ac:dyDescent="0.3">
      <c r="Y6086" s="48" t="str">
        <f ca="1">IFERROR(IF('Planning Sheet'!DX163='Weeks Plan'!$D$6,'Planning Sheet'!$B163,""),"")</f>
        <v/>
      </c>
      <c r="Z6086" s="48" t="str">
        <f ca="1">IFERROR(IF('Planning Sheet'!DX163='Weeks Plan'!$D$6,"RFD",""),"")</f>
        <v/>
      </c>
      <c r="AA6086" s="48" t="str">
        <f ca="1">IFERROR(IF('Planning Sheet'!DX163='Weeks Plan'!$D$6,'Planning Sheet'!DT163,""),"")</f>
        <v/>
      </c>
    </row>
    <row r="6087" spans="25:27" x14ac:dyDescent="0.3">
      <c r="Y6087" s="48" t="str">
        <f ca="1">IFERROR(IF('Planning Sheet'!DX164='Weeks Plan'!$D$6,'Planning Sheet'!$B164,""),"")</f>
        <v/>
      </c>
      <c r="Z6087" s="48" t="str">
        <f ca="1">IFERROR(IF('Planning Sheet'!DX164='Weeks Plan'!$D$6,"RFD",""),"")</f>
        <v/>
      </c>
      <c r="AA6087" s="48" t="str">
        <f ca="1">IFERROR(IF('Planning Sheet'!DX164='Weeks Plan'!$D$6,'Planning Sheet'!DT164,""),"")</f>
        <v/>
      </c>
    </row>
    <row r="6088" spans="25:27" x14ac:dyDescent="0.3">
      <c r="Y6088" s="48" t="str">
        <f ca="1">IFERROR(IF('Planning Sheet'!DX165='Weeks Plan'!$D$6,'Planning Sheet'!$B165,""),"")</f>
        <v/>
      </c>
      <c r="Z6088" s="48" t="str">
        <f ca="1">IFERROR(IF('Planning Sheet'!DX165='Weeks Plan'!$D$6,"RFD",""),"")</f>
        <v/>
      </c>
      <c r="AA6088" s="48" t="str">
        <f ca="1">IFERROR(IF('Planning Sheet'!DX165='Weeks Plan'!$D$6,'Planning Sheet'!DT165,""),"")</f>
        <v/>
      </c>
    </row>
    <row r="6089" spans="25:27" x14ac:dyDescent="0.3">
      <c r="Y6089" s="48" t="str">
        <f ca="1">IFERROR(IF('Planning Sheet'!DX166='Weeks Plan'!$D$6,'Planning Sheet'!$B166,""),"")</f>
        <v/>
      </c>
      <c r="Z6089" s="48" t="str">
        <f ca="1">IFERROR(IF('Planning Sheet'!DX166='Weeks Plan'!$D$6,"RFD",""),"")</f>
        <v/>
      </c>
      <c r="AA6089" s="48" t="str">
        <f ca="1">IFERROR(IF('Planning Sheet'!DX166='Weeks Plan'!$D$6,'Planning Sheet'!DT166,""),"")</f>
        <v/>
      </c>
    </row>
    <row r="6090" spans="25:27" x14ac:dyDescent="0.3">
      <c r="Y6090" s="48" t="str">
        <f ca="1">IFERROR(IF('Planning Sheet'!DX167='Weeks Plan'!$D$6,'Planning Sheet'!$B167,""),"")</f>
        <v/>
      </c>
      <c r="Z6090" s="48" t="str">
        <f ca="1">IFERROR(IF('Planning Sheet'!DX167='Weeks Plan'!$D$6,"RFD",""),"")</f>
        <v/>
      </c>
      <c r="AA6090" s="48" t="str">
        <f ca="1">IFERROR(IF('Planning Sheet'!DX167='Weeks Plan'!$D$6,'Planning Sheet'!DT167,""),"")</f>
        <v/>
      </c>
    </row>
    <row r="6091" spans="25:27" x14ac:dyDescent="0.3">
      <c r="Y6091" s="48" t="str">
        <f ca="1">IFERROR(IF('Planning Sheet'!DX168='Weeks Plan'!$D$6,'Planning Sheet'!$B168,""),"")</f>
        <v/>
      </c>
      <c r="Z6091" s="48" t="str">
        <f ca="1">IFERROR(IF('Planning Sheet'!DX168='Weeks Plan'!$D$6,"RFD",""),"")</f>
        <v/>
      </c>
      <c r="AA6091" s="48" t="str">
        <f ca="1">IFERROR(IF('Planning Sheet'!DX168='Weeks Plan'!$D$6,'Planning Sheet'!DT168,""),"")</f>
        <v/>
      </c>
    </row>
    <row r="6092" spans="25:27" x14ac:dyDescent="0.3">
      <c r="Y6092" s="48" t="str">
        <f ca="1">IFERROR(IF('Planning Sheet'!DX169='Weeks Plan'!$D$6,'Planning Sheet'!$B169,""),"")</f>
        <v/>
      </c>
      <c r="Z6092" s="48" t="str">
        <f ca="1">IFERROR(IF('Planning Sheet'!DX169='Weeks Plan'!$D$6,"RFD",""),"")</f>
        <v/>
      </c>
      <c r="AA6092" s="48" t="str">
        <f ca="1">IFERROR(IF('Planning Sheet'!DX169='Weeks Plan'!$D$6,'Planning Sheet'!DT169,""),"")</f>
        <v/>
      </c>
    </row>
    <row r="6093" spans="25:27" x14ac:dyDescent="0.3">
      <c r="Y6093" s="48" t="str">
        <f ca="1">IFERROR(IF('Planning Sheet'!DX170='Weeks Plan'!$D$6,'Planning Sheet'!$B170,""),"")</f>
        <v/>
      </c>
      <c r="Z6093" s="48" t="str">
        <f ca="1">IFERROR(IF('Planning Sheet'!DX170='Weeks Plan'!$D$6,"RFD",""),"")</f>
        <v/>
      </c>
      <c r="AA6093" s="48" t="str">
        <f ca="1">IFERROR(IF('Planning Sheet'!DX170='Weeks Plan'!$D$6,'Planning Sheet'!DT170,""),"")</f>
        <v/>
      </c>
    </row>
    <row r="6094" spans="25:27" x14ac:dyDescent="0.3">
      <c r="Y6094" s="48" t="str">
        <f ca="1">IFERROR(IF('Planning Sheet'!DX171='Weeks Plan'!$D$6,'Planning Sheet'!$B171,""),"")</f>
        <v/>
      </c>
      <c r="Z6094" s="48" t="str">
        <f ca="1">IFERROR(IF('Planning Sheet'!DX171='Weeks Plan'!$D$6,"RFD",""),"")</f>
        <v/>
      </c>
      <c r="AA6094" s="48" t="str">
        <f ca="1">IFERROR(IF('Planning Sheet'!DX171='Weeks Plan'!$D$6,'Planning Sheet'!DT171,""),"")</f>
        <v/>
      </c>
    </row>
    <row r="6095" spans="25:27" x14ac:dyDescent="0.3">
      <c r="Y6095" s="48" t="str">
        <f ca="1">IFERROR(IF('Planning Sheet'!DX172='Weeks Plan'!$D$6,'Planning Sheet'!$B172,""),"")</f>
        <v/>
      </c>
      <c r="Z6095" s="48" t="str">
        <f ca="1">IFERROR(IF('Planning Sheet'!DX172='Weeks Plan'!$D$6,"RFD",""),"")</f>
        <v/>
      </c>
      <c r="AA6095" s="48" t="str">
        <f ca="1">IFERROR(IF('Planning Sheet'!DX172='Weeks Plan'!$D$6,'Planning Sheet'!DT172,""),"")</f>
        <v/>
      </c>
    </row>
    <row r="6096" spans="25:27" x14ac:dyDescent="0.3">
      <c r="Y6096" s="48" t="str">
        <f ca="1">IFERROR(IF('Planning Sheet'!DX173='Weeks Plan'!$D$6,'Planning Sheet'!$B173,""),"")</f>
        <v/>
      </c>
      <c r="Z6096" s="48" t="str">
        <f ca="1">IFERROR(IF('Planning Sheet'!DX173='Weeks Plan'!$D$6,"RFD",""),"")</f>
        <v/>
      </c>
      <c r="AA6096" s="48" t="str">
        <f ca="1">IFERROR(IF('Planning Sheet'!DX173='Weeks Plan'!$D$6,'Planning Sheet'!DT173,""),"")</f>
        <v/>
      </c>
    </row>
    <row r="6097" spans="25:27" x14ac:dyDescent="0.3">
      <c r="Y6097" s="48" t="str">
        <f ca="1">IFERROR(IF('Planning Sheet'!DX174='Weeks Plan'!$D$6,'Planning Sheet'!$B174,""),"")</f>
        <v/>
      </c>
      <c r="Z6097" s="48" t="str">
        <f ca="1">IFERROR(IF('Planning Sheet'!DX174='Weeks Plan'!$D$6,"RFD",""),"")</f>
        <v/>
      </c>
      <c r="AA6097" s="48" t="str">
        <f ca="1">IFERROR(IF('Planning Sheet'!DX174='Weeks Plan'!$D$6,'Planning Sheet'!DT174,""),"")</f>
        <v/>
      </c>
    </row>
    <row r="6098" spans="25:27" x14ac:dyDescent="0.3">
      <c r="Y6098" s="48" t="str">
        <f ca="1">IFERROR(IF('Planning Sheet'!DX175='Weeks Plan'!$D$6,'Planning Sheet'!$B175,""),"")</f>
        <v/>
      </c>
      <c r="Z6098" s="48" t="str">
        <f ca="1">IFERROR(IF('Planning Sheet'!DX175='Weeks Plan'!$D$6,"RFD",""),"")</f>
        <v/>
      </c>
      <c r="AA6098" s="48" t="str">
        <f ca="1">IFERROR(IF('Planning Sheet'!DX175='Weeks Plan'!$D$6,'Planning Sheet'!DT175,""),"")</f>
        <v/>
      </c>
    </row>
    <row r="6099" spans="25:27" x14ac:dyDescent="0.3">
      <c r="Y6099" s="48" t="str">
        <f ca="1">IFERROR(IF('Planning Sheet'!DX176='Weeks Plan'!$D$6,'Planning Sheet'!$B176,""),"")</f>
        <v/>
      </c>
      <c r="Z6099" s="48" t="str">
        <f ca="1">IFERROR(IF('Planning Sheet'!DX176='Weeks Plan'!$D$6,"RFD",""),"")</f>
        <v/>
      </c>
      <c r="AA6099" s="48" t="str">
        <f ca="1">IFERROR(IF('Planning Sheet'!DX176='Weeks Plan'!$D$6,'Planning Sheet'!DT176,""),"")</f>
        <v/>
      </c>
    </row>
    <row r="6100" spans="25:27" x14ac:dyDescent="0.3">
      <c r="Y6100" s="48" t="str">
        <f ca="1">IFERROR(IF('Planning Sheet'!DX177='Weeks Plan'!$D$6,'Planning Sheet'!$B177,""),"")</f>
        <v/>
      </c>
      <c r="Z6100" s="48" t="str">
        <f ca="1">IFERROR(IF('Planning Sheet'!DX177='Weeks Plan'!$D$6,"RFD",""),"")</f>
        <v/>
      </c>
      <c r="AA6100" s="48" t="str">
        <f ca="1">IFERROR(IF('Planning Sheet'!DX177='Weeks Plan'!$D$6,'Planning Sheet'!DT177,""),"")</f>
        <v/>
      </c>
    </row>
    <row r="6101" spans="25:27" x14ac:dyDescent="0.3">
      <c r="Y6101" s="48" t="str">
        <f ca="1">IFERROR(IF('Planning Sheet'!DX178='Weeks Plan'!$D$6,'Planning Sheet'!$B178,""),"")</f>
        <v/>
      </c>
      <c r="Z6101" s="48" t="str">
        <f ca="1">IFERROR(IF('Planning Sheet'!DX178='Weeks Plan'!$D$6,"RFD",""),"")</f>
        <v/>
      </c>
      <c r="AA6101" s="48" t="str">
        <f ca="1">IFERROR(IF('Planning Sheet'!DX178='Weeks Plan'!$D$6,'Planning Sheet'!DT178,""),"")</f>
        <v/>
      </c>
    </row>
    <row r="6102" spans="25:27" x14ac:dyDescent="0.3">
      <c r="Y6102" s="48" t="str">
        <f ca="1">IFERROR(IF('Planning Sheet'!DX179='Weeks Plan'!$D$6,'Planning Sheet'!$B179,""),"")</f>
        <v/>
      </c>
      <c r="Z6102" s="48" t="str">
        <f ca="1">IFERROR(IF('Planning Sheet'!DX179='Weeks Plan'!$D$6,"RFD",""),"")</f>
        <v/>
      </c>
      <c r="AA6102" s="48" t="str">
        <f ca="1">IFERROR(IF('Planning Sheet'!DX179='Weeks Plan'!$D$6,'Planning Sheet'!DT179,""),"")</f>
        <v/>
      </c>
    </row>
    <row r="6103" spans="25:27" x14ac:dyDescent="0.3">
      <c r="Y6103" s="48" t="str">
        <f ca="1">IFERROR(IF('Planning Sheet'!DX180='Weeks Plan'!$D$6,'Planning Sheet'!$B180,""),"")</f>
        <v/>
      </c>
      <c r="Z6103" s="48" t="str">
        <f ca="1">IFERROR(IF('Planning Sheet'!DX180='Weeks Plan'!$D$6,"RFD",""),"")</f>
        <v/>
      </c>
      <c r="AA6103" s="48" t="str">
        <f ca="1">IFERROR(IF('Planning Sheet'!DX180='Weeks Plan'!$D$6,'Planning Sheet'!DT180,""),"")</f>
        <v/>
      </c>
    </row>
    <row r="6104" spans="25:27" x14ac:dyDescent="0.3">
      <c r="Y6104" s="48" t="str">
        <f ca="1">IFERROR(IF('Planning Sheet'!DX181='Weeks Plan'!$D$6,'Planning Sheet'!$B181,""),"")</f>
        <v/>
      </c>
      <c r="Z6104" s="48" t="str">
        <f ca="1">IFERROR(IF('Planning Sheet'!DX181='Weeks Plan'!$D$6,"RFD",""),"")</f>
        <v/>
      </c>
      <c r="AA6104" s="48" t="str">
        <f ca="1">IFERROR(IF('Planning Sheet'!DX181='Weeks Plan'!$D$6,'Planning Sheet'!DT181,""),"")</f>
        <v/>
      </c>
    </row>
    <row r="6105" spans="25:27" x14ac:dyDescent="0.3">
      <c r="Y6105" s="48" t="str">
        <f ca="1">IFERROR(IF('Planning Sheet'!DX182='Weeks Plan'!$D$6,'Planning Sheet'!$B182,""),"")</f>
        <v/>
      </c>
      <c r="Z6105" s="48" t="str">
        <f ca="1">IFERROR(IF('Planning Sheet'!DX182='Weeks Plan'!$D$6,"RFD",""),"")</f>
        <v/>
      </c>
      <c r="AA6105" s="48" t="str">
        <f ca="1">IFERROR(IF('Planning Sheet'!DX182='Weeks Plan'!$D$6,'Planning Sheet'!DT182,""),"")</f>
        <v/>
      </c>
    </row>
    <row r="6106" spans="25:27" x14ac:dyDescent="0.3">
      <c r="Y6106" s="48" t="str">
        <f ca="1">IFERROR(IF('Planning Sheet'!DX183='Weeks Plan'!$D$6,'Planning Sheet'!$B183,""),"")</f>
        <v/>
      </c>
      <c r="Z6106" s="48" t="str">
        <f ca="1">IFERROR(IF('Planning Sheet'!DX183='Weeks Plan'!$D$6,"RFD",""),"")</f>
        <v/>
      </c>
      <c r="AA6106" s="48" t="str">
        <f ca="1">IFERROR(IF('Planning Sheet'!DX183='Weeks Plan'!$D$6,'Planning Sheet'!DT183,""),"")</f>
        <v/>
      </c>
    </row>
    <row r="6107" spans="25:27" x14ac:dyDescent="0.3">
      <c r="Y6107" s="48" t="str">
        <f ca="1">IFERROR(IF('Planning Sheet'!DX184='Weeks Plan'!$D$6,'Planning Sheet'!$B184,""),"")</f>
        <v/>
      </c>
      <c r="Z6107" s="48" t="str">
        <f ca="1">IFERROR(IF('Planning Sheet'!DX184='Weeks Plan'!$D$6,"RFD",""),"")</f>
        <v/>
      </c>
      <c r="AA6107" s="48" t="str">
        <f ca="1">IFERROR(IF('Planning Sheet'!DX184='Weeks Plan'!$D$6,'Planning Sheet'!DT184,""),"")</f>
        <v/>
      </c>
    </row>
    <row r="6108" spans="25:27" x14ac:dyDescent="0.3">
      <c r="Y6108" s="48" t="str">
        <f ca="1">IFERROR(IF('Planning Sheet'!DX185='Weeks Plan'!$D$6,'Planning Sheet'!$B185,""),"")</f>
        <v/>
      </c>
      <c r="Z6108" s="48" t="str">
        <f ca="1">IFERROR(IF('Planning Sheet'!DX185='Weeks Plan'!$D$6,"RFD",""),"")</f>
        <v/>
      </c>
      <c r="AA6108" s="48" t="str">
        <f ca="1">IFERROR(IF('Planning Sheet'!DX185='Weeks Plan'!$D$6,'Planning Sheet'!DT185,""),"")</f>
        <v/>
      </c>
    </row>
    <row r="6109" spans="25:27" x14ac:dyDescent="0.3">
      <c r="Y6109" s="48" t="str">
        <f ca="1">IFERROR(IF('Planning Sheet'!DX186='Weeks Plan'!$D$6,'Planning Sheet'!$B186,""),"")</f>
        <v/>
      </c>
      <c r="Z6109" s="48" t="str">
        <f ca="1">IFERROR(IF('Planning Sheet'!DX186='Weeks Plan'!$D$6,"RFD",""),"")</f>
        <v/>
      </c>
      <c r="AA6109" s="48" t="str">
        <f ca="1">IFERROR(IF('Planning Sheet'!DX186='Weeks Plan'!$D$6,'Planning Sheet'!DT186,""),"")</f>
        <v/>
      </c>
    </row>
    <row r="6110" spans="25:27" x14ac:dyDescent="0.3">
      <c r="Y6110" s="48" t="str">
        <f ca="1">IFERROR(IF('Planning Sheet'!DX187='Weeks Plan'!$D$6,'Planning Sheet'!$B187,""),"")</f>
        <v/>
      </c>
      <c r="Z6110" s="48" t="str">
        <f ca="1">IFERROR(IF('Planning Sheet'!DX187='Weeks Plan'!$D$6,"RFD",""),"")</f>
        <v/>
      </c>
      <c r="AA6110" s="48" t="str">
        <f ca="1">IFERROR(IF('Planning Sheet'!DX187='Weeks Plan'!$D$6,'Planning Sheet'!DT187,""),"")</f>
        <v/>
      </c>
    </row>
    <row r="6111" spans="25:27" x14ac:dyDescent="0.3">
      <c r="Y6111" s="48" t="str">
        <f ca="1">IFERROR(IF('Planning Sheet'!DX188='Weeks Plan'!$D$6,'Planning Sheet'!$B188,""),"")</f>
        <v/>
      </c>
      <c r="Z6111" s="48" t="str">
        <f ca="1">IFERROR(IF('Planning Sheet'!DX188='Weeks Plan'!$D$6,"RFD",""),"")</f>
        <v/>
      </c>
      <c r="AA6111" s="48" t="str">
        <f ca="1">IFERROR(IF('Planning Sheet'!DX188='Weeks Plan'!$D$6,'Planning Sheet'!DT188,""),"")</f>
        <v/>
      </c>
    </row>
    <row r="6112" spans="25:27" x14ac:dyDescent="0.3">
      <c r="Y6112" s="48" t="str">
        <f ca="1">IFERROR(IF('Planning Sheet'!DX189='Weeks Plan'!$D$6,'Planning Sheet'!$B189,""),"")</f>
        <v/>
      </c>
      <c r="Z6112" s="48" t="str">
        <f ca="1">IFERROR(IF('Planning Sheet'!DX189='Weeks Plan'!$D$6,"RFD",""),"")</f>
        <v/>
      </c>
      <c r="AA6112" s="48" t="str">
        <f ca="1">IFERROR(IF('Planning Sheet'!DX189='Weeks Plan'!$D$6,'Planning Sheet'!DT189,""),"")</f>
        <v/>
      </c>
    </row>
    <row r="6113" spans="25:27" x14ac:dyDescent="0.3">
      <c r="Y6113" s="48" t="str">
        <f ca="1">IFERROR(IF('Planning Sheet'!DX190='Weeks Plan'!$D$6,'Planning Sheet'!$B190,""),"")</f>
        <v/>
      </c>
      <c r="Z6113" s="48" t="str">
        <f ca="1">IFERROR(IF('Planning Sheet'!DX190='Weeks Plan'!$D$6,"RFD",""),"")</f>
        <v/>
      </c>
      <c r="AA6113" s="48" t="str">
        <f ca="1">IFERROR(IF('Planning Sheet'!DX190='Weeks Plan'!$D$6,'Planning Sheet'!DT190,""),"")</f>
        <v/>
      </c>
    </row>
    <row r="6114" spans="25:27" x14ac:dyDescent="0.3">
      <c r="Y6114" s="48" t="str">
        <f ca="1">IFERROR(IF('Planning Sheet'!DX191='Weeks Plan'!$D$6,'Planning Sheet'!$B191,""),"")</f>
        <v/>
      </c>
      <c r="Z6114" s="48" t="str">
        <f ca="1">IFERROR(IF('Planning Sheet'!DX191='Weeks Plan'!$D$6,"RFD",""),"")</f>
        <v/>
      </c>
      <c r="AA6114" s="48" t="str">
        <f ca="1">IFERROR(IF('Planning Sheet'!DX191='Weeks Plan'!$D$6,'Planning Sheet'!DT191,""),"")</f>
        <v/>
      </c>
    </row>
    <row r="6115" spans="25:27" x14ac:dyDescent="0.3">
      <c r="Y6115" s="48" t="str">
        <f ca="1">IFERROR(IF('Planning Sheet'!DX192='Weeks Plan'!$D$6,'Planning Sheet'!$B192,""),"")</f>
        <v/>
      </c>
      <c r="Z6115" s="48" t="str">
        <f ca="1">IFERROR(IF('Planning Sheet'!DX192='Weeks Plan'!$D$6,"RFD",""),"")</f>
        <v/>
      </c>
      <c r="AA6115" s="48" t="str">
        <f ca="1">IFERROR(IF('Planning Sheet'!DX192='Weeks Plan'!$D$6,'Planning Sheet'!DT192,""),"")</f>
        <v/>
      </c>
    </row>
    <row r="6116" spans="25:27" x14ac:dyDescent="0.3">
      <c r="Y6116" s="48" t="str">
        <f ca="1">IFERROR(IF('Planning Sheet'!DX193='Weeks Plan'!$D$6,'Planning Sheet'!$B193,""),"")</f>
        <v/>
      </c>
      <c r="Z6116" s="48" t="str">
        <f ca="1">IFERROR(IF('Planning Sheet'!DX193='Weeks Plan'!$D$6,"RFD",""),"")</f>
        <v/>
      </c>
      <c r="AA6116" s="48" t="str">
        <f ca="1">IFERROR(IF('Planning Sheet'!DX193='Weeks Plan'!$D$6,'Planning Sheet'!DT193,""),"")</f>
        <v/>
      </c>
    </row>
    <row r="6117" spans="25:27" x14ac:dyDescent="0.3">
      <c r="Y6117" s="48" t="str">
        <f ca="1">IFERROR(IF('Planning Sheet'!DX194='Weeks Plan'!$D$6,'Planning Sheet'!$B194,""),"")</f>
        <v/>
      </c>
      <c r="Z6117" s="48" t="str">
        <f ca="1">IFERROR(IF('Planning Sheet'!DX194='Weeks Plan'!$D$6,"RFD",""),"")</f>
        <v/>
      </c>
      <c r="AA6117" s="48" t="str">
        <f ca="1">IFERROR(IF('Planning Sheet'!DX194='Weeks Plan'!$D$6,'Planning Sheet'!DT194,""),"")</f>
        <v/>
      </c>
    </row>
    <row r="6118" spans="25:27" x14ac:dyDescent="0.3">
      <c r="Y6118" s="48" t="str">
        <f ca="1">IFERROR(IF('Planning Sheet'!DX195='Weeks Plan'!$D$6,'Planning Sheet'!$B195,""),"")</f>
        <v/>
      </c>
      <c r="Z6118" s="48" t="str">
        <f ca="1">IFERROR(IF('Planning Sheet'!DX195='Weeks Plan'!$D$6,"RFD",""),"")</f>
        <v/>
      </c>
      <c r="AA6118" s="48" t="str">
        <f ca="1">IFERROR(IF('Planning Sheet'!DX195='Weeks Plan'!$D$6,'Planning Sheet'!DT195,""),"")</f>
        <v/>
      </c>
    </row>
    <row r="6119" spans="25:27" x14ac:dyDescent="0.3">
      <c r="Y6119" s="48" t="str">
        <f ca="1">IFERROR(IF('Planning Sheet'!DX196='Weeks Plan'!$D$6,'Planning Sheet'!$B196,""),"")</f>
        <v/>
      </c>
      <c r="Z6119" s="48" t="str">
        <f ca="1">IFERROR(IF('Planning Sheet'!DX196='Weeks Plan'!$D$6,"RFD",""),"")</f>
        <v/>
      </c>
      <c r="AA6119" s="48" t="str">
        <f ca="1">IFERROR(IF('Planning Sheet'!DX196='Weeks Plan'!$D$6,'Planning Sheet'!DT196,""),"")</f>
        <v/>
      </c>
    </row>
    <row r="6120" spans="25:27" x14ac:dyDescent="0.3">
      <c r="Y6120" s="48" t="str">
        <f ca="1">IFERROR(IF('Planning Sheet'!DX197='Weeks Plan'!$D$6,'Planning Sheet'!$B197,""),"")</f>
        <v/>
      </c>
      <c r="Z6120" s="48" t="str">
        <f ca="1">IFERROR(IF('Planning Sheet'!DX197='Weeks Plan'!$D$6,"RFD",""),"")</f>
        <v/>
      </c>
      <c r="AA6120" s="48" t="str">
        <f ca="1">IFERROR(IF('Planning Sheet'!DX197='Weeks Plan'!$D$6,'Planning Sheet'!DT197,""),"")</f>
        <v/>
      </c>
    </row>
    <row r="6121" spans="25:27" x14ac:dyDescent="0.3">
      <c r="Y6121" s="48" t="str">
        <f ca="1">IFERROR(IF('Planning Sheet'!DX198='Weeks Plan'!$D$6,'Planning Sheet'!$B198,""),"")</f>
        <v/>
      </c>
      <c r="Z6121" s="48" t="str">
        <f ca="1">IFERROR(IF('Planning Sheet'!DX198='Weeks Plan'!$D$6,"RFD",""),"")</f>
        <v/>
      </c>
      <c r="AA6121" s="48" t="str">
        <f ca="1">IFERROR(IF('Planning Sheet'!DX198='Weeks Plan'!$D$6,'Planning Sheet'!DT198,""),"")</f>
        <v/>
      </c>
    </row>
    <row r="6122" spans="25:27" x14ac:dyDescent="0.3">
      <c r="Y6122" s="48" t="str">
        <f ca="1">IFERROR(IF('Planning Sheet'!DX199='Weeks Plan'!$D$6,'Planning Sheet'!$B199,""),"")</f>
        <v/>
      </c>
      <c r="Z6122" s="48" t="str">
        <f ca="1">IFERROR(IF('Planning Sheet'!DX199='Weeks Plan'!$D$6,"RFD",""),"")</f>
        <v/>
      </c>
      <c r="AA6122" s="48" t="str">
        <f ca="1">IFERROR(IF('Planning Sheet'!DX199='Weeks Plan'!$D$6,'Planning Sheet'!DT199,""),"")</f>
        <v/>
      </c>
    </row>
    <row r="6123" spans="25:27" x14ac:dyDescent="0.3">
      <c r="Y6123" s="48" t="str">
        <f ca="1">IFERROR(IF('Planning Sheet'!DX200='Weeks Plan'!$D$6,'Planning Sheet'!$B200,""),"")</f>
        <v/>
      </c>
      <c r="Z6123" s="48" t="str">
        <f ca="1">IFERROR(IF('Planning Sheet'!DX200='Weeks Plan'!$D$6,"RFD",""),"")</f>
        <v/>
      </c>
      <c r="AA6123" s="48" t="str">
        <f ca="1">IFERROR(IF('Planning Sheet'!DX200='Weeks Plan'!$D$6,'Planning Sheet'!DT200,""),"")</f>
        <v/>
      </c>
    </row>
    <row r="6124" spans="25:27" x14ac:dyDescent="0.3">
      <c r="Y6124" s="48" t="str">
        <f ca="1">IFERROR(IF('Planning Sheet'!DX201='Weeks Plan'!$D$6,'Planning Sheet'!$B201,""),"")</f>
        <v/>
      </c>
      <c r="Z6124" s="48" t="str">
        <f ca="1">IFERROR(IF('Planning Sheet'!DX201='Weeks Plan'!$D$6,"RFD",""),"")</f>
        <v/>
      </c>
      <c r="AA6124" s="48" t="str">
        <f ca="1">IFERROR(IF('Planning Sheet'!DX201='Weeks Plan'!$D$6,'Planning Sheet'!DT201,""),"")</f>
        <v/>
      </c>
    </row>
    <row r="6125" spans="25:27" x14ac:dyDescent="0.3">
      <c r="Y6125" s="48" t="str">
        <f ca="1">IFERROR(IF('Planning Sheet'!DX202='Weeks Plan'!$D$6,'Planning Sheet'!$B202,""),"")</f>
        <v/>
      </c>
      <c r="Z6125" s="48" t="str">
        <f ca="1">IFERROR(IF('Planning Sheet'!DX202='Weeks Plan'!$D$6,"RFD",""),"")</f>
        <v/>
      </c>
      <c r="AA6125" s="48" t="str">
        <f ca="1">IFERROR(IF('Planning Sheet'!DX202='Weeks Plan'!$D$6,'Planning Sheet'!DT202,""),"")</f>
        <v/>
      </c>
    </row>
    <row r="6126" spans="25:27" x14ac:dyDescent="0.3">
      <c r="Y6126" s="48" t="str">
        <f ca="1">IFERROR(IF('Planning Sheet'!DX203='Weeks Plan'!$D$6,'Planning Sheet'!$B203,""),"")</f>
        <v/>
      </c>
      <c r="Z6126" s="48" t="str">
        <f ca="1">IFERROR(IF('Planning Sheet'!DX203='Weeks Plan'!$D$6,"RFD",""),"")</f>
        <v/>
      </c>
      <c r="AA6126" s="48" t="str">
        <f ca="1">IFERROR(IF('Planning Sheet'!DX203='Weeks Plan'!$D$6,'Planning Sheet'!DT203,""),"")</f>
        <v/>
      </c>
    </row>
    <row r="6127" spans="25:27" x14ac:dyDescent="0.3">
      <c r="Y6127" s="48" t="str">
        <f ca="1">IFERROR(IF('Planning Sheet'!DX204='Weeks Plan'!$D$6,'Planning Sheet'!$B204,""),"")</f>
        <v/>
      </c>
      <c r="Z6127" s="48" t="str">
        <f ca="1">IFERROR(IF('Planning Sheet'!DX204='Weeks Plan'!$D$6,"RFD",""),"")</f>
        <v/>
      </c>
      <c r="AA6127" s="48" t="str">
        <f ca="1">IFERROR(IF('Planning Sheet'!DX204='Weeks Plan'!$D$6,'Planning Sheet'!DT204,""),"")</f>
        <v/>
      </c>
    </row>
    <row r="6128" spans="25:27" x14ac:dyDescent="0.3">
      <c r="Y6128" s="48" t="str">
        <f ca="1">IFERROR(IF('Planning Sheet'!DX205='Weeks Plan'!$D$6,'Planning Sheet'!$B205,""),"")</f>
        <v/>
      </c>
      <c r="Z6128" s="48" t="str">
        <f ca="1">IFERROR(IF('Planning Sheet'!DX205='Weeks Plan'!$D$6,"RFD",""),"")</f>
        <v/>
      </c>
      <c r="AA6128" s="48" t="str">
        <f ca="1">IFERROR(IF('Planning Sheet'!DX205='Weeks Plan'!$D$6,'Planning Sheet'!DT205,""),"")</f>
        <v/>
      </c>
    </row>
    <row r="6129" spans="25:27" x14ac:dyDescent="0.3">
      <c r="Y6129" s="48" t="str">
        <f ca="1">IFERROR(IF('Planning Sheet'!DX206='Weeks Plan'!$D$6,'Planning Sheet'!$B206,""),"")</f>
        <v/>
      </c>
      <c r="Z6129" s="48" t="str">
        <f ca="1">IFERROR(IF('Planning Sheet'!DX206='Weeks Plan'!$D$6,"RFD",""),"")</f>
        <v/>
      </c>
      <c r="AA6129" s="48" t="str">
        <f ca="1">IFERROR(IF('Planning Sheet'!DX206='Weeks Plan'!$D$6,'Planning Sheet'!DT206,""),"")</f>
        <v/>
      </c>
    </row>
    <row r="6130" spans="25:27" x14ac:dyDescent="0.3">
      <c r="Y6130" s="48" t="str">
        <f ca="1">IFERROR(IF('Planning Sheet'!DX207='Weeks Plan'!$D$6,'Planning Sheet'!$B207,""),"")</f>
        <v/>
      </c>
      <c r="Z6130" s="48" t="str">
        <f ca="1">IFERROR(IF('Planning Sheet'!DX207='Weeks Plan'!$D$6,"RFD",""),"")</f>
        <v/>
      </c>
      <c r="AA6130" s="48" t="str">
        <f ca="1">IFERROR(IF('Planning Sheet'!DX207='Weeks Plan'!$D$6,'Planning Sheet'!DT207,""),"")</f>
        <v/>
      </c>
    </row>
    <row r="6131" spans="25:27" x14ac:dyDescent="0.3">
      <c r="Y6131" s="48" t="str">
        <f ca="1">IFERROR(IF('Planning Sheet'!DX208='Weeks Plan'!$D$6,'Planning Sheet'!$B208,""),"")</f>
        <v/>
      </c>
      <c r="Z6131" s="48" t="str">
        <f ca="1">IFERROR(IF('Planning Sheet'!DX208='Weeks Plan'!$D$6,"RFD",""),"")</f>
        <v/>
      </c>
      <c r="AA6131" s="48" t="str">
        <f ca="1">IFERROR(IF('Planning Sheet'!DX208='Weeks Plan'!$D$6,'Planning Sheet'!DT208,""),"")</f>
        <v/>
      </c>
    </row>
    <row r="6132" spans="25:27" x14ac:dyDescent="0.3">
      <c r="Y6132" s="48" t="str">
        <f ca="1">IFERROR(IF('Planning Sheet'!DX209='Weeks Plan'!$D$6,'Planning Sheet'!$B209,""),"")</f>
        <v/>
      </c>
      <c r="Z6132" s="48" t="str">
        <f ca="1">IFERROR(IF('Planning Sheet'!DX209='Weeks Plan'!$D$6,"RFD",""),"")</f>
        <v/>
      </c>
      <c r="AA6132" s="48" t="str">
        <f ca="1">IFERROR(IF('Planning Sheet'!DX209='Weeks Plan'!$D$6,'Planning Sheet'!DT209,""),"")</f>
        <v/>
      </c>
    </row>
    <row r="6133" spans="25:27" x14ac:dyDescent="0.3">
      <c r="Y6133" s="48" t="str">
        <f ca="1">IFERROR(IF('Planning Sheet'!DX210='Weeks Plan'!$D$6,'Planning Sheet'!$B210,""),"")</f>
        <v/>
      </c>
      <c r="Z6133" s="48" t="str">
        <f ca="1">IFERROR(IF('Planning Sheet'!DX210='Weeks Plan'!$D$6,"RFD",""),"")</f>
        <v/>
      </c>
      <c r="AA6133" s="48" t="str">
        <f ca="1">IFERROR(IF('Planning Sheet'!DX210='Weeks Plan'!$D$6,'Planning Sheet'!DT210,""),"")</f>
        <v/>
      </c>
    </row>
    <row r="6134" spans="25:27" x14ac:dyDescent="0.3">
      <c r="Y6134" s="48" t="str">
        <f ca="1">IFERROR(IF('Planning Sheet'!DX211='Weeks Plan'!$D$6,'Planning Sheet'!$B211,""),"")</f>
        <v/>
      </c>
      <c r="Z6134" s="48" t="str">
        <f ca="1">IFERROR(IF('Planning Sheet'!DX211='Weeks Plan'!$D$6,"RFD",""),"")</f>
        <v/>
      </c>
      <c r="AA6134" s="48" t="str">
        <f ca="1">IFERROR(IF('Planning Sheet'!DX211='Weeks Plan'!$D$6,'Planning Sheet'!DT211,""),"")</f>
        <v/>
      </c>
    </row>
    <row r="6135" spans="25:27" x14ac:dyDescent="0.3">
      <c r="Y6135" s="48" t="str">
        <f ca="1">IFERROR(IF('Planning Sheet'!DX212='Weeks Plan'!$D$6,'Planning Sheet'!$B212,""),"")</f>
        <v/>
      </c>
      <c r="Z6135" s="48" t="str">
        <f ca="1">IFERROR(IF('Planning Sheet'!DX212='Weeks Plan'!$D$6,"RFD",""),"")</f>
        <v/>
      </c>
      <c r="AA6135" s="48" t="str">
        <f ca="1">IFERROR(IF('Planning Sheet'!DX212='Weeks Plan'!$D$6,'Planning Sheet'!DT212,""),"")</f>
        <v/>
      </c>
    </row>
    <row r="6136" spans="25:27" x14ac:dyDescent="0.3">
      <c r="Y6136" s="48" t="str">
        <f ca="1">IFERROR(IF('Planning Sheet'!DX213='Weeks Plan'!$D$6,'Planning Sheet'!$B213,""),"")</f>
        <v/>
      </c>
      <c r="Z6136" s="48" t="str">
        <f ca="1">IFERROR(IF('Planning Sheet'!DX213='Weeks Plan'!$D$6,"RFD",""),"")</f>
        <v/>
      </c>
      <c r="AA6136" s="48" t="str">
        <f ca="1">IFERROR(IF('Planning Sheet'!DX213='Weeks Plan'!$D$6,'Planning Sheet'!DT213,""),"")</f>
        <v/>
      </c>
    </row>
    <row r="6137" spans="25:27" x14ac:dyDescent="0.3">
      <c r="Y6137" s="48" t="str">
        <f ca="1">IFERROR(IF('Planning Sheet'!DX214='Weeks Plan'!$D$6,'Planning Sheet'!$B214,""),"")</f>
        <v/>
      </c>
      <c r="Z6137" s="48" t="str">
        <f ca="1">IFERROR(IF('Planning Sheet'!DX214='Weeks Plan'!$D$6,"RFD",""),"")</f>
        <v/>
      </c>
      <c r="AA6137" s="48" t="str">
        <f ca="1">IFERROR(IF('Planning Sheet'!DX214='Weeks Plan'!$D$6,'Planning Sheet'!DT214,""),"")</f>
        <v/>
      </c>
    </row>
    <row r="6138" spans="25:27" x14ac:dyDescent="0.3">
      <c r="Y6138" s="48" t="str">
        <f ca="1">IFERROR(IF('Planning Sheet'!DX215='Weeks Plan'!$D$6,'Planning Sheet'!$B215,""),"")</f>
        <v/>
      </c>
      <c r="Z6138" s="48" t="str">
        <f ca="1">IFERROR(IF('Planning Sheet'!DX215='Weeks Plan'!$D$6,"RFD",""),"")</f>
        <v/>
      </c>
      <c r="AA6138" s="48" t="str">
        <f ca="1">IFERROR(IF('Planning Sheet'!DX215='Weeks Plan'!$D$6,'Planning Sheet'!DT215,""),"")</f>
        <v/>
      </c>
    </row>
    <row r="6139" spans="25:27" x14ac:dyDescent="0.3">
      <c r="Y6139" s="48" t="str">
        <f ca="1">IFERROR(IF('Planning Sheet'!DX216='Weeks Plan'!$D$6,'Planning Sheet'!$B216,""),"")</f>
        <v/>
      </c>
      <c r="Z6139" s="48" t="str">
        <f ca="1">IFERROR(IF('Planning Sheet'!DX216='Weeks Plan'!$D$6,"RFD",""),"")</f>
        <v/>
      </c>
      <c r="AA6139" s="48" t="str">
        <f ca="1">IFERROR(IF('Planning Sheet'!DX216='Weeks Plan'!$D$6,'Planning Sheet'!DT216,""),"")</f>
        <v/>
      </c>
    </row>
    <row r="6140" spans="25:27" x14ac:dyDescent="0.3">
      <c r="Y6140" s="48" t="str">
        <f ca="1">IFERROR(IF('Planning Sheet'!DX217='Weeks Plan'!$D$6,'Planning Sheet'!$B217,""),"")</f>
        <v/>
      </c>
      <c r="Z6140" s="48" t="str">
        <f ca="1">IFERROR(IF('Planning Sheet'!DX217='Weeks Plan'!$D$6,"RFD",""),"")</f>
        <v/>
      </c>
      <c r="AA6140" s="48" t="str">
        <f ca="1">IFERROR(IF('Planning Sheet'!DX217='Weeks Plan'!$D$6,'Planning Sheet'!DT217,""),"")</f>
        <v/>
      </c>
    </row>
    <row r="6141" spans="25:27" x14ac:dyDescent="0.3">
      <c r="Y6141" s="48" t="str">
        <f ca="1">IFERROR(IF('Planning Sheet'!DX218='Weeks Plan'!$D$6,'Planning Sheet'!$B218,""),"")</f>
        <v/>
      </c>
      <c r="Z6141" s="48" t="str">
        <f ca="1">IFERROR(IF('Planning Sheet'!DX218='Weeks Plan'!$D$6,"RFD",""),"")</f>
        <v/>
      </c>
      <c r="AA6141" s="48" t="str">
        <f ca="1">IFERROR(IF('Planning Sheet'!DX218='Weeks Plan'!$D$6,'Planning Sheet'!DT218,""),"")</f>
        <v/>
      </c>
    </row>
    <row r="6142" spans="25:27" x14ac:dyDescent="0.3">
      <c r="Y6142" s="48" t="str">
        <f ca="1">IFERROR(IF('Planning Sheet'!DX219='Weeks Plan'!$D$6,'Planning Sheet'!$B219,""),"")</f>
        <v/>
      </c>
      <c r="Z6142" s="48" t="str">
        <f ca="1">IFERROR(IF('Planning Sheet'!DX219='Weeks Plan'!$D$6,"RFD",""),"")</f>
        <v/>
      </c>
      <c r="AA6142" s="48" t="str">
        <f ca="1">IFERROR(IF('Planning Sheet'!DX219='Weeks Plan'!$D$6,'Planning Sheet'!DT219,""),"")</f>
        <v/>
      </c>
    </row>
    <row r="6143" spans="25:27" x14ac:dyDescent="0.3">
      <c r="Y6143" s="48" t="str">
        <f ca="1">IFERROR(IF('Planning Sheet'!DX220='Weeks Plan'!$D$6,'Planning Sheet'!$B220,""),"")</f>
        <v/>
      </c>
      <c r="Z6143" s="48" t="str">
        <f ca="1">IFERROR(IF('Planning Sheet'!DX220='Weeks Plan'!$D$6,"RFD",""),"")</f>
        <v/>
      </c>
      <c r="AA6143" s="48" t="str">
        <f ca="1">IFERROR(IF('Planning Sheet'!DX220='Weeks Plan'!$D$6,'Planning Sheet'!DT220,""),"")</f>
        <v/>
      </c>
    </row>
    <row r="6144" spans="25:27" x14ac:dyDescent="0.3">
      <c r="Y6144" s="48" t="str">
        <f ca="1">IFERROR(IF('Planning Sheet'!DX221='Weeks Plan'!$D$6,'Planning Sheet'!$B221,""),"")</f>
        <v/>
      </c>
      <c r="Z6144" s="48" t="str">
        <f ca="1">IFERROR(IF('Planning Sheet'!DX221='Weeks Plan'!$D$6,"RFD",""),"")</f>
        <v/>
      </c>
      <c r="AA6144" s="48" t="str">
        <f ca="1">IFERROR(IF('Planning Sheet'!DX221='Weeks Plan'!$D$6,'Planning Sheet'!DT221,""),"")</f>
        <v/>
      </c>
    </row>
    <row r="6145" spans="25:27" x14ac:dyDescent="0.3">
      <c r="Y6145" s="48" t="str">
        <f ca="1">IFERROR(IF('Planning Sheet'!DX222='Weeks Plan'!$D$6,'Planning Sheet'!$B222,""),"")</f>
        <v/>
      </c>
      <c r="Z6145" s="48" t="str">
        <f ca="1">IFERROR(IF('Planning Sheet'!DX222='Weeks Plan'!$D$6,"RFD",""),"")</f>
        <v/>
      </c>
      <c r="AA6145" s="48" t="str">
        <f ca="1">IFERROR(IF('Planning Sheet'!DX222='Weeks Plan'!$D$6,'Planning Sheet'!DT222,""),"")</f>
        <v/>
      </c>
    </row>
    <row r="6146" spans="25:27" x14ac:dyDescent="0.3">
      <c r="Y6146" s="48" t="str">
        <f ca="1">IFERROR(IF('Planning Sheet'!DX223='Weeks Plan'!$D$6,'Planning Sheet'!$B223,""),"")</f>
        <v/>
      </c>
      <c r="Z6146" s="48" t="str">
        <f ca="1">IFERROR(IF('Planning Sheet'!DX223='Weeks Plan'!$D$6,"RFD",""),"")</f>
        <v/>
      </c>
      <c r="AA6146" s="48" t="str">
        <f ca="1">IFERROR(IF('Planning Sheet'!DX223='Weeks Plan'!$D$6,'Planning Sheet'!DT223,""),"")</f>
        <v/>
      </c>
    </row>
    <row r="6147" spans="25:27" x14ac:dyDescent="0.3">
      <c r="Y6147" s="48" t="str">
        <f ca="1">IFERROR(IF('Planning Sheet'!DX224='Weeks Plan'!$D$6,'Planning Sheet'!$B224,""),"")</f>
        <v/>
      </c>
      <c r="Z6147" s="48" t="str">
        <f ca="1">IFERROR(IF('Planning Sheet'!DX224='Weeks Plan'!$D$6,"RFD",""),"")</f>
        <v/>
      </c>
      <c r="AA6147" s="48" t="str">
        <f ca="1">IFERROR(IF('Planning Sheet'!DX224='Weeks Plan'!$D$6,'Planning Sheet'!DT224,""),"")</f>
        <v/>
      </c>
    </row>
    <row r="6148" spans="25:27" x14ac:dyDescent="0.3">
      <c r="Y6148" s="48" t="str">
        <f ca="1">IFERROR(IF('Planning Sheet'!DX225='Weeks Plan'!$D$6,'Planning Sheet'!$B225,""),"")</f>
        <v/>
      </c>
      <c r="Z6148" s="48" t="str">
        <f ca="1">IFERROR(IF('Planning Sheet'!DX225='Weeks Plan'!$D$6,"RFD",""),"")</f>
        <v/>
      </c>
      <c r="AA6148" s="48" t="str">
        <f ca="1">IFERROR(IF('Planning Sheet'!DX225='Weeks Plan'!$D$6,'Planning Sheet'!DT225,""),"")</f>
        <v/>
      </c>
    </row>
    <row r="6149" spans="25:27" x14ac:dyDescent="0.3">
      <c r="Y6149" s="48" t="str">
        <f ca="1">IFERROR(IF('Planning Sheet'!DX226='Weeks Plan'!$D$6,'Planning Sheet'!$B226,""),"")</f>
        <v/>
      </c>
      <c r="Z6149" s="48" t="str">
        <f ca="1">IFERROR(IF('Planning Sheet'!DX226='Weeks Plan'!$D$6,"RFD",""),"")</f>
        <v/>
      </c>
      <c r="AA6149" s="48" t="str">
        <f ca="1">IFERROR(IF('Planning Sheet'!DX226='Weeks Plan'!$D$6,'Planning Sheet'!DT226,""),"")</f>
        <v/>
      </c>
    </row>
    <row r="6150" spans="25:27" x14ac:dyDescent="0.3">
      <c r="Y6150" s="48" t="str">
        <f ca="1">IFERROR(IF('Planning Sheet'!DX227='Weeks Plan'!$D$6,'Planning Sheet'!$B227,""),"")</f>
        <v/>
      </c>
      <c r="Z6150" s="48" t="str">
        <f ca="1">IFERROR(IF('Planning Sheet'!DX227='Weeks Plan'!$D$6,"RFD",""),"")</f>
        <v/>
      </c>
      <c r="AA6150" s="48" t="str">
        <f ca="1">IFERROR(IF('Planning Sheet'!DX227='Weeks Plan'!$D$6,'Planning Sheet'!DT227,""),"")</f>
        <v/>
      </c>
    </row>
    <row r="6151" spans="25:27" x14ac:dyDescent="0.3">
      <c r="Y6151" s="48" t="str">
        <f ca="1">IFERROR(IF('Planning Sheet'!DX228='Weeks Plan'!$D$6,'Planning Sheet'!$B228,""),"")</f>
        <v/>
      </c>
      <c r="Z6151" s="48" t="str">
        <f ca="1">IFERROR(IF('Planning Sheet'!DX228='Weeks Plan'!$D$6,"RFD",""),"")</f>
        <v/>
      </c>
      <c r="AA6151" s="48" t="str">
        <f ca="1">IFERROR(IF('Planning Sheet'!DX228='Weeks Plan'!$D$6,'Planning Sheet'!DT228,""),"")</f>
        <v/>
      </c>
    </row>
    <row r="6152" spans="25:27" x14ac:dyDescent="0.3">
      <c r="Y6152" s="48" t="str">
        <f ca="1">IFERROR(IF('Planning Sheet'!DX229='Weeks Plan'!$D$6,'Planning Sheet'!$B229,""),"")</f>
        <v/>
      </c>
      <c r="Z6152" s="48" t="str">
        <f ca="1">IFERROR(IF('Planning Sheet'!DX229='Weeks Plan'!$D$6,"RFD",""),"")</f>
        <v/>
      </c>
      <c r="AA6152" s="48" t="str">
        <f ca="1">IFERROR(IF('Planning Sheet'!DX229='Weeks Plan'!$D$6,'Planning Sheet'!DT229,""),"")</f>
        <v/>
      </c>
    </row>
    <row r="6153" spans="25:27" x14ac:dyDescent="0.3">
      <c r="Y6153" s="48" t="str">
        <f ca="1">IFERROR(IF('Planning Sheet'!DX230='Weeks Plan'!$D$6,'Planning Sheet'!$B230,""),"")</f>
        <v/>
      </c>
      <c r="Z6153" s="48" t="str">
        <f ca="1">IFERROR(IF('Planning Sheet'!DX230='Weeks Plan'!$D$6,"RFD",""),"")</f>
        <v/>
      </c>
      <c r="AA6153" s="48" t="str">
        <f ca="1">IFERROR(IF('Planning Sheet'!DX230='Weeks Plan'!$D$6,'Planning Sheet'!DT230,""),"")</f>
        <v/>
      </c>
    </row>
    <row r="6154" spans="25:27" x14ac:dyDescent="0.3">
      <c r="Y6154" s="48" t="str">
        <f ca="1">IFERROR(IF('Planning Sheet'!DX231='Weeks Plan'!$D$6,'Planning Sheet'!$B231,""),"")</f>
        <v/>
      </c>
      <c r="Z6154" s="48" t="str">
        <f ca="1">IFERROR(IF('Planning Sheet'!DX231='Weeks Plan'!$D$6,"RFD",""),"")</f>
        <v/>
      </c>
      <c r="AA6154" s="48" t="str">
        <f ca="1">IFERROR(IF('Planning Sheet'!DX231='Weeks Plan'!$D$6,'Planning Sheet'!DT231,""),"")</f>
        <v/>
      </c>
    </row>
    <row r="6155" spans="25:27" x14ac:dyDescent="0.3">
      <c r="Y6155" s="48" t="str">
        <f ca="1">IFERROR(IF('Planning Sheet'!DX232='Weeks Plan'!$D$6,'Planning Sheet'!$B232,""),"")</f>
        <v/>
      </c>
      <c r="Z6155" s="48" t="str">
        <f ca="1">IFERROR(IF('Planning Sheet'!DX232='Weeks Plan'!$D$6,"RFD",""),"")</f>
        <v/>
      </c>
      <c r="AA6155" s="48" t="str">
        <f ca="1">IFERROR(IF('Planning Sheet'!DX232='Weeks Plan'!$D$6,'Planning Sheet'!DT232,""),"")</f>
        <v/>
      </c>
    </row>
    <row r="6156" spans="25:27" x14ac:dyDescent="0.3">
      <c r="Y6156" s="48" t="str">
        <f ca="1">IFERROR(IF('Planning Sheet'!DX233='Weeks Plan'!$D$6,'Planning Sheet'!$B233,""),"")</f>
        <v/>
      </c>
      <c r="Z6156" s="48" t="str">
        <f ca="1">IFERROR(IF('Planning Sheet'!DX233='Weeks Plan'!$D$6,"RFD",""),"")</f>
        <v/>
      </c>
      <c r="AA6156" s="48" t="str">
        <f ca="1">IFERROR(IF('Planning Sheet'!DX233='Weeks Plan'!$D$6,'Planning Sheet'!DT233,""),"")</f>
        <v/>
      </c>
    </row>
    <row r="6157" spans="25:27" x14ac:dyDescent="0.3">
      <c r="Y6157" s="48" t="str">
        <f ca="1">IFERROR(IF('Planning Sheet'!DX234='Weeks Plan'!$D$6,'Planning Sheet'!$B234,""),"")</f>
        <v/>
      </c>
      <c r="Z6157" s="48" t="str">
        <f ca="1">IFERROR(IF('Planning Sheet'!DX234='Weeks Plan'!$D$6,"RFD",""),"")</f>
        <v/>
      </c>
      <c r="AA6157" s="48" t="str">
        <f ca="1">IFERROR(IF('Planning Sheet'!DX234='Weeks Plan'!$D$6,'Planning Sheet'!DT234,""),"")</f>
        <v/>
      </c>
    </row>
    <row r="6158" spans="25:27" x14ac:dyDescent="0.3">
      <c r="Y6158" s="48" t="str">
        <f ca="1">IFERROR(IF('Planning Sheet'!DX235='Weeks Plan'!$D$6,'Planning Sheet'!$B235,""),"")</f>
        <v/>
      </c>
      <c r="Z6158" s="48" t="str">
        <f ca="1">IFERROR(IF('Planning Sheet'!DX235='Weeks Plan'!$D$6,"RFD",""),"")</f>
        <v/>
      </c>
      <c r="AA6158" s="48" t="str">
        <f ca="1">IFERROR(IF('Planning Sheet'!DX235='Weeks Plan'!$D$6,'Planning Sheet'!DT235,""),"")</f>
        <v/>
      </c>
    </row>
    <row r="6159" spans="25:27" x14ac:dyDescent="0.3">
      <c r="Y6159" s="48" t="str">
        <f ca="1">IFERROR(IF('Planning Sheet'!DX236='Weeks Plan'!$D$6,'Planning Sheet'!$B236,""),"")</f>
        <v/>
      </c>
      <c r="Z6159" s="48" t="str">
        <f ca="1">IFERROR(IF('Planning Sheet'!DX236='Weeks Plan'!$D$6,"RFD",""),"")</f>
        <v/>
      </c>
      <c r="AA6159" s="48" t="str">
        <f ca="1">IFERROR(IF('Planning Sheet'!DX236='Weeks Plan'!$D$6,'Planning Sheet'!DT236,""),"")</f>
        <v/>
      </c>
    </row>
    <row r="6160" spans="25:27" x14ac:dyDescent="0.3">
      <c r="Y6160" s="48" t="str">
        <f ca="1">IFERROR(IF('Planning Sheet'!DX237='Weeks Plan'!$D$6,'Planning Sheet'!$B237,""),"")</f>
        <v/>
      </c>
      <c r="Z6160" s="48" t="str">
        <f ca="1">IFERROR(IF('Planning Sheet'!DX237='Weeks Plan'!$D$6,"RFD",""),"")</f>
        <v/>
      </c>
      <c r="AA6160" s="48" t="str">
        <f ca="1">IFERROR(IF('Planning Sheet'!DX237='Weeks Plan'!$D$6,'Planning Sheet'!DT237,""),"")</f>
        <v/>
      </c>
    </row>
    <row r="6161" spans="25:27" x14ac:dyDescent="0.3">
      <c r="Y6161" s="48" t="str">
        <f ca="1">IFERROR(IF('Planning Sheet'!DX238='Weeks Plan'!$D$6,'Planning Sheet'!$B238,""),"")</f>
        <v/>
      </c>
      <c r="Z6161" s="48" t="str">
        <f ca="1">IFERROR(IF('Planning Sheet'!DX238='Weeks Plan'!$D$6,"RFD",""),"")</f>
        <v/>
      </c>
      <c r="AA6161" s="48" t="str">
        <f ca="1">IFERROR(IF('Planning Sheet'!DX238='Weeks Plan'!$D$6,'Planning Sheet'!DT238,""),"")</f>
        <v/>
      </c>
    </row>
    <row r="6162" spans="25:27" x14ac:dyDescent="0.3">
      <c r="Y6162" s="48" t="str">
        <f ca="1">IFERROR(IF('Planning Sheet'!DX239='Weeks Plan'!$D$6,'Planning Sheet'!$B239,""),"")</f>
        <v/>
      </c>
      <c r="Z6162" s="48" t="str">
        <f ca="1">IFERROR(IF('Planning Sheet'!DX239='Weeks Plan'!$D$6,"RFD",""),"")</f>
        <v/>
      </c>
      <c r="AA6162" s="48" t="str">
        <f ca="1">IFERROR(IF('Planning Sheet'!DX239='Weeks Plan'!$D$6,'Planning Sheet'!DT239,""),"")</f>
        <v/>
      </c>
    </row>
    <row r="6163" spans="25:27" x14ac:dyDescent="0.3">
      <c r="Y6163" s="48" t="str">
        <f ca="1">IFERROR(IF('Planning Sheet'!DX240='Weeks Plan'!$D$6,'Planning Sheet'!$B240,""),"")</f>
        <v/>
      </c>
      <c r="Z6163" s="48" t="str">
        <f ca="1">IFERROR(IF('Planning Sheet'!DX240='Weeks Plan'!$D$6,"RFD",""),"")</f>
        <v/>
      </c>
      <c r="AA6163" s="48" t="str">
        <f ca="1">IFERROR(IF('Planning Sheet'!DX240='Weeks Plan'!$D$6,'Planning Sheet'!DT240,""),"")</f>
        <v/>
      </c>
    </row>
    <row r="6164" spans="25:27" x14ac:dyDescent="0.3">
      <c r="Y6164" s="48" t="str">
        <f ca="1">IFERROR(IF('Planning Sheet'!DX241='Weeks Plan'!$D$6,'Planning Sheet'!$B241,""),"")</f>
        <v/>
      </c>
      <c r="Z6164" s="48" t="str">
        <f ca="1">IFERROR(IF('Planning Sheet'!DX241='Weeks Plan'!$D$6,"RFD",""),"")</f>
        <v/>
      </c>
      <c r="AA6164" s="48" t="str">
        <f ca="1">IFERROR(IF('Planning Sheet'!DX241='Weeks Plan'!$D$6,'Planning Sheet'!DT241,""),"")</f>
        <v/>
      </c>
    </row>
    <row r="6165" spans="25:27" x14ac:dyDescent="0.3">
      <c r="Y6165" s="48" t="str">
        <f ca="1">IFERROR(IF('Planning Sheet'!DX242='Weeks Plan'!$D$6,'Planning Sheet'!$B242,""),"")</f>
        <v/>
      </c>
      <c r="Z6165" s="48" t="str">
        <f ca="1">IFERROR(IF('Planning Sheet'!DX242='Weeks Plan'!$D$6,"RFD",""),"")</f>
        <v/>
      </c>
      <c r="AA6165" s="48" t="str">
        <f ca="1">IFERROR(IF('Planning Sheet'!DX242='Weeks Plan'!$D$6,'Planning Sheet'!DT242,""),"")</f>
        <v/>
      </c>
    </row>
    <row r="6166" spans="25:27" x14ac:dyDescent="0.3">
      <c r="Y6166" s="48" t="str">
        <f ca="1">IFERROR(IF('Planning Sheet'!DX243='Weeks Plan'!$D$6,'Planning Sheet'!$B243,""),"")</f>
        <v/>
      </c>
      <c r="Z6166" s="48" t="str">
        <f ca="1">IFERROR(IF('Planning Sheet'!DX243='Weeks Plan'!$D$6,"RFD",""),"")</f>
        <v/>
      </c>
      <c r="AA6166" s="48" t="str">
        <f ca="1">IFERROR(IF('Planning Sheet'!DX243='Weeks Plan'!$D$6,'Planning Sheet'!DT243,""),"")</f>
        <v/>
      </c>
    </row>
    <row r="6167" spans="25:27" x14ac:dyDescent="0.3">
      <c r="Y6167" s="48" t="str">
        <f ca="1">IFERROR(IF('Planning Sheet'!DX244='Weeks Plan'!$D$6,'Planning Sheet'!$B244,""),"")</f>
        <v/>
      </c>
      <c r="Z6167" s="48" t="str">
        <f ca="1">IFERROR(IF('Planning Sheet'!DX244='Weeks Plan'!$D$6,"RFD",""),"")</f>
        <v/>
      </c>
      <c r="AA6167" s="48" t="str">
        <f ca="1">IFERROR(IF('Planning Sheet'!DX244='Weeks Plan'!$D$6,'Planning Sheet'!DT244,""),"")</f>
        <v/>
      </c>
    </row>
    <row r="6168" spans="25:27" x14ac:dyDescent="0.3">
      <c r="Y6168" s="48" t="str">
        <f ca="1">IFERROR(IF('Planning Sheet'!DX245='Weeks Plan'!$D$6,'Planning Sheet'!$B245,""),"")</f>
        <v/>
      </c>
      <c r="Z6168" s="48" t="str">
        <f ca="1">IFERROR(IF('Planning Sheet'!DX245='Weeks Plan'!$D$6,"RFD",""),"")</f>
        <v/>
      </c>
      <c r="AA6168" s="48" t="str">
        <f ca="1">IFERROR(IF('Planning Sheet'!DX245='Weeks Plan'!$D$6,'Planning Sheet'!DT245,""),"")</f>
        <v/>
      </c>
    </row>
    <row r="6169" spans="25:27" x14ac:dyDescent="0.3">
      <c r="Y6169" s="48" t="str">
        <f ca="1">IFERROR(IF('Planning Sheet'!DX246='Weeks Plan'!$D$6,'Planning Sheet'!$B246,""),"")</f>
        <v/>
      </c>
      <c r="Z6169" s="48" t="str">
        <f ca="1">IFERROR(IF('Planning Sheet'!DX246='Weeks Plan'!$D$6,"RFD",""),"")</f>
        <v/>
      </c>
      <c r="AA6169" s="48" t="str">
        <f ca="1">IFERROR(IF('Planning Sheet'!DX246='Weeks Plan'!$D$6,'Planning Sheet'!DT246,""),"")</f>
        <v/>
      </c>
    </row>
    <row r="6170" spans="25:27" x14ac:dyDescent="0.3">
      <c r="Y6170" s="48" t="str">
        <f ca="1">IFERROR(IF('Planning Sheet'!DX247='Weeks Plan'!$D$6,'Planning Sheet'!$B247,""),"")</f>
        <v/>
      </c>
      <c r="Z6170" s="48" t="str">
        <f ca="1">IFERROR(IF('Planning Sheet'!DX247='Weeks Plan'!$D$6,"RFD",""),"")</f>
        <v/>
      </c>
      <c r="AA6170" s="48" t="str">
        <f ca="1">IFERROR(IF('Planning Sheet'!DX247='Weeks Plan'!$D$6,'Planning Sheet'!DT247,""),"")</f>
        <v/>
      </c>
    </row>
    <row r="6171" spans="25:27" x14ac:dyDescent="0.3">
      <c r="Y6171" s="48" t="str">
        <f ca="1">IFERROR(IF('Planning Sheet'!DX248='Weeks Plan'!$D$6,'Planning Sheet'!$B248,""),"")</f>
        <v/>
      </c>
      <c r="Z6171" s="48" t="str">
        <f ca="1">IFERROR(IF('Planning Sheet'!DX248='Weeks Plan'!$D$6,"RFD",""),"")</f>
        <v/>
      </c>
      <c r="AA6171" s="48" t="str">
        <f ca="1">IFERROR(IF('Planning Sheet'!DX248='Weeks Plan'!$D$6,'Planning Sheet'!DT248,""),"")</f>
        <v/>
      </c>
    </row>
    <row r="6172" spans="25:27" x14ac:dyDescent="0.3">
      <c r="Y6172" s="48" t="str">
        <f ca="1">IFERROR(IF('Planning Sheet'!DX249='Weeks Plan'!$D$6,'Planning Sheet'!$B249,""),"")</f>
        <v/>
      </c>
      <c r="Z6172" s="48" t="str">
        <f ca="1">IFERROR(IF('Planning Sheet'!DX249='Weeks Plan'!$D$6,"RFD",""),"")</f>
        <v/>
      </c>
      <c r="AA6172" s="48" t="str">
        <f ca="1">IFERROR(IF('Planning Sheet'!DX249='Weeks Plan'!$D$6,'Planning Sheet'!DT249,""),"")</f>
        <v/>
      </c>
    </row>
    <row r="6173" spans="25:27" x14ac:dyDescent="0.3">
      <c r="Y6173" s="48" t="str">
        <f ca="1">IFERROR(IF('Planning Sheet'!DX250='Weeks Plan'!$D$6,'Planning Sheet'!$B250,""),"")</f>
        <v/>
      </c>
      <c r="Z6173" s="48" t="str">
        <f ca="1">IFERROR(IF('Planning Sheet'!DX250='Weeks Plan'!$D$6,"RFD",""),"")</f>
        <v/>
      </c>
      <c r="AA6173" s="48" t="str">
        <f ca="1">IFERROR(IF('Planning Sheet'!DX250='Weeks Plan'!$D$6,'Planning Sheet'!DT250,""),"")</f>
        <v/>
      </c>
    </row>
    <row r="6174" spans="25:27" x14ac:dyDescent="0.3">
      <c r="Y6174" s="48" t="str">
        <f ca="1">IFERROR(IF('Planning Sheet'!DX251='Weeks Plan'!$D$6,'Planning Sheet'!$B251,""),"")</f>
        <v/>
      </c>
      <c r="Z6174" s="48" t="str">
        <f ca="1">IFERROR(IF('Planning Sheet'!DX251='Weeks Plan'!$D$6,"RFD",""),"")</f>
        <v/>
      </c>
      <c r="AA6174" s="48" t="str">
        <f ca="1">IFERROR(IF('Planning Sheet'!DX251='Weeks Plan'!$D$6,'Planning Sheet'!DT251,""),"")</f>
        <v/>
      </c>
    </row>
    <row r="6175" spans="25:27" x14ac:dyDescent="0.3">
      <c r="Y6175" s="48" t="str">
        <f ca="1">IFERROR(IF('Planning Sheet'!DX252='Weeks Plan'!$D$6,'Planning Sheet'!$B252,""),"")</f>
        <v/>
      </c>
      <c r="Z6175" s="48" t="str">
        <f ca="1">IFERROR(IF('Planning Sheet'!DX252='Weeks Plan'!$D$6,"RFD",""),"")</f>
        <v/>
      </c>
      <c r="AA6175" s="48" t="str">
        <f ca="1">IFERROR(IF('Planning Sheet'!DX252='Weeks Plan'!$D$6,'Planning Sheet'!DT252,""),"")</f>
        <v/>
      </c>
    </row>
    <row r="6176" spans="25:27" x14ac:dyDescent="0.3">
      <c r="Y6176" s="48" t="str">
        <f ca="1">IFERROR(IF('Planning Sheet'!DX253='Weeks Plan'!$D$6,'Planning Sheet'!$B253,""),"")</f>
        <v/>
      </c>
      <c r="Z6176" s="48" t="str">
        <f ca="1">IFERROR(IF('Planning Sheet'!DX253='Weeks Plan'!$D$6,"RFD",""),"")</f>
        <v/>
      </c>
      <c r="AA6176" s="48" t="str">
        <f ca="1">IFERROR(IF('Planning Sheet'!DX253='Weeks Plan'!$D$6,'Planning Sheet'!DT253,""),"")</f>
        <v/>
      </c>
    </row>
    <row r="6177" spans="25:27" x14ac:dyDescent="0.3">
      <c r="Y6177" s="48" t="str">
        <f ca="1">IFERROR(IF('Planning Sheet'!DX254='Weeks Plan'!$D$6,'Planning Sheet'!$B254,""),"")</f>
        <v/>
      </c>
      <c r="Z6177" s="48" t="str">
        <f ca="1">IFERROR(IF('Planning Sheet'!DX254='Weeks Plan'!$D$6,"RFD",""),"")</f>
        <v/>
      </c>
      <c r="AA6177" s="48" t="str">
        <f ca="1">IFERROR(IF('Planning Sheet'!DX254='Weeks Plan'!$D$6,'Planning Sheet'!DT254,""),"")</f>
        <v/>
      </c>
    </row>
    <row r="6178" spans="25:27" x14ac:dyDescent="0.3">
      <c r="Y6178" s="48" t="str">
        <f ca="1">IFERROR(IF('Planning Sheet'!DX255='Weeks Plan'!$D$6,'Planning Sheet'!$B255,""),"")</f>
        <v/>
      </c>
      <c r="Z6178" s="48" t="str">
        <f ca="1">IFERROR(IF('Planning Sheet'!DX255='Weeks Plan'!$D$6,"RFD",""),"")</f>
        <v/>
      </c>
      <c r="AA6178" s="48" t="str">
        <f ca="1">IFERROR(IF('Planning Sheet'!DX255='Weeks Plan'!$D$6,'Planning Sheet'!DT255,""),"")</f>
        <v/>
      </c>
    </row>
    <row r="6179" spans="25:27" x14ac:dyDescent="0.3">
      <c r="Y6179" s="48" t="str">
        <f ca="1">IFERROR(IF('Planning Sheet'!DX256='Weeks Plan'!$D$6,'Planning Sheet'!$B256,""),"")</f>
        <v/>
      </c>
      <c r="Z6179" s="48" t="str">
        <f ca="1">IFERROR(IF('Planning Sheet'!DX256='Weeks Plan'!$D$6,"RFD",""),"")</f>
        <v/>
      </c>
      <c r="AA6179" s="48" t="str">
        <f ca="1">IFERROR(IF('Planning Sheet'!DX256='Weeks Plan'!$D$6,'Planning Sheet'!DT256,""),"")</f>
        <v/>
      </c>
    </row>
    <row r="6180" spans="25:27" x14ac:dyDescent="0.3">
      <c r="Y6180" s="48" t="str">
        <f ca="1">IFERROR(IF('Planning Sheet'!DX257='Weeks Plan'!$D$6,'Planning Sheet'!$B257,""),"")</f>
        <v/>
      </c>
      <c r="Z6180" s="48" t="str">
        <f ca="1">IFERROR(IF('Planning Sheet'!DX257='Weeks Plan'!$D$6,"RFD",""),"")</f>
        <v/>
      </c>
      <c r="AA6180" s="48" t="str">
        <f ca="1">IFERROR(IF('Planning Sheet'!DX257='Weeks Plan'!$D$6,'Planning Sheet'!DT257,""),"")</f>
        <v/>
      </c>
    </row>
    <row r="6181" spans="25:27" x14ac:dyDescent="0.3">
      <c r="Y6181" s="48" t="str">
        <f ca="1">IFERROR(IF('Planning Sheet'!DX258='Weeks Plan'!$D$6,'Planning Sheet'!$B258,""),"")</f>
        <v/>
      </c>
      <c r="Z6181" s="48" t="str">
        <f ca="1">IFERROR(IF('Planning Sheet'!DX258='Weeks Plan'!$D$6,"RFD",""),"")</f>
        <v/>
      </c>
      <c r="AA6181" s="48" t="str">
        <f ca="1">IFERROR(IF('Planning Sheet'!DX258='Weeks Plan'!$D$6,'Planning Sheet'!DT258,""),"")</f>
        <v/>
      </c>
    </row>
    <row r="6182" spans="25:27" x14ac:dyDescent="0.3">
      <c r="Y6182" s="48" t="str">
        <f ca="1">IFERROR(IF('Planning Sheet'!DX259='Weeks Plan'!$D$6,'Planning Sheet'!$B259,""),"")</f>
        <v/>
      </c>
      <c r="Z6182" s="48" t="str">
        <f ca="1">IFERROR(IF('Planning Sheet'!DX259='Weeks Plan'!$D$6,"RFD",""),"")</f>
        <v/>
      </c>
      <c r="AA6182" s="48" t="str">
        <f ca="1">IFERROR(IF('Planning Sheet'!DX259='Weeks Plan'!$D$6,'Planning Sheet'!DT259,""),"")</f>
        <v/>
      </c>
    </row>
    <row r="6183" spans="25:27" x14ac:dyDescent="0.3">
      <c r="Y6183" s="48" t="str">
        <f ca="1">IFERROR(IF('Planning Sheet'!DX260='Weeks Plan'!$D$6,'Planning Sheet'!$B260,""),"")</f>
        <v/>
      </c>
      <c r="Z6183" s="48" t="str">
        <f ca="1">IFERROR(IF('Planning Sheet'!DX260='Weeks Plan'!$D$6,"RFD",""),"")</f>
        <v/>
      </c>
      <c r="AA6183" s="48" t="str">
        <f ca="1">IFERROR(IF('Planning Sheet'!DX260='Weeks Plan'!$D$6,'Planning Sheet'!DT260,""),"")</f>
        <v/>
      </c>
    </row>
    <row r="6184" spans="25:27" x14ac:dyDescent="0.3">
      <c r="Y6184" s="48" t="str">
        <f ca="1">IFERROR(IF('Planning Sheet'!DX261='Weeks Plan'!$D$6,'Planning Sheet'!$B261,""),"")</f>
        <v/>
      </c>
      <c r="Z6184" s="48" t="str">
        <f ca="1">IFERROR(IF('Planning Sheet'!DX261='Weeks Plan'!$D$6,"RFD",""),"")</f>
        <v/>
      </c>
      <c r="AA6184" s="48" t="str">
        <f ca="1">IFERROR(IF('Planning Sheet'!DX261='Weeks Plan'!$D$6,'Planning Sheet'!DT261,""),"")</f>
        <v/>
      </c>
    </row>
    <row r="6185" spans="25:27" x14ac:dyDescent="0.3">
      <c r="Y6185" s="48" t="str">
        <f ca="1">IFERROR(IF('Planning Sheet'!DX262='Weeks Plan'!$D$6,'Planning Sheet'!$B262,""),"")</f>
        <v/>
      </c>
      <c r="Z6185" s="48" t="str">
        <f ca="1">IFERROR(IF('Planning Sheet'!DX262='Weeks Plan'!$D$6,"RFD",""),"")</f>
        <v/>
      </c>
      <c r="AA6185" s="48" t="str">
        <f ca="1">IFERROR(IF('Planning Sheet'!DX262='Weeks Plan'!$D$6,'Planning Sheet'!DT262,""),"")</f>
        <v/>
      </c>
    </row>
    <row r="6186" spans="25:27" x14ac:dyDescent="0.3">
      <c r="Y6186" s="48" t="str">
        <f ca="1">IFERROR(IF('Planning Sheet'!DX263='Weeks Plan'!$D$6,'Planning Sheet'!$B263,""),"")</f>
        <v/>
      </c>
      <c r="Z6186" s="48" t="str">
        <f ca="1">IFERROR(IF('Planning Sheet'!DX263='Weeks Plan'!$D$6,"RFD",""),"")</f>
        <v/>
      </c>
      <c r="AA6186" s="48" t="str">
        <f ca="1">IFERROR(IF('Planning Sheet'!DX263='Weeks Plan'!$D$6,'Planning Sheet'!DT263,""),"")</f>
        <v/>
      </c>
    </row>
    <row r="6187" spans="25:27" x14ac:dyDescent="0.3">
      <c r="Y6187" s="48" t="str">
        <f ca="1">IFERROR(IF('Planning Sheet'!DX264='Weeks Plan'!$D$6,'Planning Sheet'!$B264,""),"")</f>
        <v/>
      </c>
      <c r="Z6187" s="48" t="str">
        <f ca="1">IFERROR(IF('Planning Sheet'!DX264='Weeks Plan'!$D$6,"RFD",""),"")</f>
        <v/>
      </c>
      <c r="AA6187" s="48" t="str">
        <f ca="1">IFERROR(IF('Planning Sheet'!DX264='Weeks Plan'!$D$6,'Planning Sheet'!DT264,""),"")</f>
        <v/>
      </c>
    </row>
    <row r="6188" spans="25:27" x14ac:dyDescent="0.3">
      <c r="Y6188" s="48" t="str">
        <f ca="1">IFERROR(IF('Planning Sheet'!DX265='Weeks Plan'!$D$6,'Planning Sheet'!$B265,""),"")</f>
        <v/>
      </c>
      <c r="Z6188" s="48" t="str">
        <f ca="1">IFERROR(IF('Planning Sheet'!DX265='Weeks Plan'!$D$6,"RFD",""),"")</f>
        <v/>
      </c>
      <c r="AA6188" s="48" t="str">
        <f ca="1">IFERROR(IF('Planning Sheet'!DX265='Weeks Plan'!$D$6,'Planning Sheet'!DT265,""),"")</f>
        <v/>
      </c>
    </row>
    <row r="6189" spans="25:27" x14ac:dyDescent="0.3">
      <c r="Y6189" s="48" t="str">
        <f ca="1">IFERROR(IF('Planning Sheet'!DX266='Weeks Plan'!$D$6,'Planning Sheet'!$B266,""),"")</f>
        <v/>
      </c>
      <c r="Z6189" s="48" t="str">
        <f ca="1">IFERROR(IF('Planning Sheet'!DX266='Weeks Plan'!$D$6,"RFD",""),"")</f>
        <v/>
      </c>
      <c r="AA6189" s="48" t="str">
        <f ca="1">IFERROR(IF('Planning Sheet'!DX266='Weeks Plan'!$D$6,'Planning Sheet'!DT266,""),"")</f>
        <v/>
      </c>
    </row>
    <row r="6190" spans="25:27" x14ac:dyDescent="0.3">
      <c r="Y6190" s="48" t="str">
        <f ca="1">IFERROR(IF('Planning Sheet'!DX267='Weeks Plan'!$D$6,'Planning Sheet'!$B267,""),"")</f>
        <v/>
      </c>
      <c r="Z6190" s="48" t="str">
        <f ca="1">IFERROR(IF('Planning Sheet'!DX267='Weeks Plan'!$D$6,"RFD",""),"")</f>
        <v/>
      </c>
      <c r="AA6190" s="48" t="str">
        <f ca="1">IFERROR(IF('Planning Sheet'!DX267='Weeks Plan'!$D$6,'Planning Sheet'!DT267,""),"")</f>
        <v/>
      </c>
    </row>
    <row r="6191" spans="25:27" x14ac:dyDescent="0.3">
      <c r="Y6191" s="48" t="str">
        <f ca="1">IFERROR(IF('Planning Sheet'!DX268='Weeks Plan'!$D$6,'Planning Sheet'!$B268,""),"")</f>
        <v/>
      </c>
      <c r="Z6191" s="48" t="str">
        <f ca="1">IFERROR(IF('Planning Sheet'!DX268='Weeks Plan'!$D$6,"RFD",""),"")</f>
        <v/>
      </c>
      <c r="AA6191" s="48" t="str">
        <f ca="1">IFERROR(IF('Planning Sheet'!DX268='Weeks Plan'!$D$6,'Planning Sheet'!DT268,""),"")</f>
        <v/>
      </c>
    </row>
    <row r="6192" spans="25:27" x14ac:dyDescent="0.3">
      <c r="Y6192" s="48" t="str">
        <f ca="1">IFERROR(IF('Planning Sheet'!DX269='Weeks Plan'!$D$6,'Planning Sheet'!$B269,""),"")</f>
        <v/>
      </c>
      <c r="Z6192" s="48" t="str">
        <f ca="1">IFERROR(IF('Planning Sheet'!DX269='Weeks Plan'!$D$6,"RFD",""),"")</f>
        <v/>
      </c>
      <c r="AA6192" s="48" t="str">
        <f ca="1">IFERROR(IF('Planning Sheet'!DX269='Weeks Plan'!$D$6,'Planning Sheet'!DT269,""),"")</f>
        <v/>
      </c>
    </row>
    <row r="6193" spans="25:27" x14ac:dyDescent="0.3">
      <c r="Y6193" s="48" t="str">
        <f ca="1">IFERROR(IF('Planning Sheet'!DX270='Weeks Plan'!$D$6,'Planning Sheet'!$B270,""),"")</f>
        <v/>
      </c>
      <c r="Z6193" s="48" t="str">
        <f ca="1">IFERROR(IF('Planning Sheet'!DX270='Weeks Plan'!$D$6,"RFD",""),"")</f>
        <v/>
      </c>
      <c r="AA6193" s="48" t="str">
        <f ca="1">IFERROR(IF('Planning Sheet'!DX270='Weeks Plan'!$D$6,'Planning Sheet'!DT270,""),"")</f>
        <v/>
      </c>
    </row>
    <row r="6194" spans="25:27" x14ac:dyDescent="0.3">
      <c r="Y6194" s="48" t="str">
        <f ca="1">IFERROR(IF('Planning Sheet'!DX271='Weeks Plan'!$D$6,'Planning Sheet'!$B271,""),"")</f>
        <v/>
      </c>
      <c r="Z6194" s="48" t="str">
        <f ca="1">IFERROR(IF('Planning Sheet'!DX271='Weeks Plan'!$D$6,"RFD",""),"")</f>
        <v/>
      </c>
      <c r="AA6194" s="48" t="str">
        <f ca="1">IFERROR(IF('Planning Sheet'!DX271='Weeks Plan'!$D$6,'Planning Sheet'!DT271,""),"")</f>
        <v/>
      </c>
    </row>
    <row r="6195" spans="25:27" x14ac:dyDescent="0.3">
      <c r="Y6195" s="48" t="str">
        <f ca="1">IFERROR(IF('Planning Sheet'!DX272='Weeks Plan'!$D$6,'Planning Sheet'!$B272,""),"")</f>
        <v/>
      </c>
      <c r="Z6195" s="48" t="str">
        <f ca="1">IFERROR(IF('Planning Sheet'!DX272='Weeks Plan'!$D$6,"RFD",""),"")</f>
        <v/>
      </c>
      <c r="AA6195" s="48" t="str">
        <f ca="1">IFERROR(IF('Planning Sheet'!DX272='Weeks Plan'!$D$6,'Planning Sheet'!DT272,""),"")</f>
        <v/>
      </c>
    </row>
    <row r="6196" spans="25:27" x14ac:dyDescent="0.3">
      <c r="Y6196" s="48" t="str">
        <f ca="1">IFERROR(IF('Planning Sheet'!DX273='Weeks Plan'!$D$6,'Planning Sheet'!$B273,""),"")</f>
        <v/>
      </c>
      <c r="Z6196" s="48" t="str">
        <f ca="1">IFERROR(IF('Planning Sheet'!DX273='Weeks Plan'!$D$6,"RFD",""),"")</f>
        <v/>
      </c>
      <c r="AA6196" s="48" t="str">
        <f ca="1">IFERROR(IF('Planning Sheet'!DX273='Weeks Plan'!$D$6,'Planning Sheet'!DT273,""),"")</f>
        <v/>
      </c>
    </row>
    <row r="6197" spans="25:27" x14ac:dyDescent="0.3">
      <c r="Y6197" s="48" t="str">
        <f ca="1">IFERROR(IF('Planning Sheet'!DX274='Weeks Plan'!$D$6,'Planning Sheet'!$B274,""),"")</f>
        <v/>
      </c>
      <c r="Z6197" s="48" t="str">
        <f ca="1">IFERROR(IF('Planning Sheet'!DX274='Weeks Plan'!$D$6,"RFD",""),"")</f>
        <v/>
      </c>
      <c r="AA6197" s="48" t="str">
        <f ca="1">IFERROR(IF('Planning Sheet'!DX274='Weeks Plan'!$D$6,'Planning Sheet'!DT274,""),"")</f>
        <v/>
      </c>
    </row>
    <row r="6198" spans="25:27" x14ac:dyDescent="0.3">
      <c r="Y6198" s="48" t="str">
        <f ca="1">IFERROR(IF('Planning Sheet'!DX275='Weeks Plan'!$D$6,'Planning Sheet'!$B275,""),"")</f>
        <v/>
      </c>
      <c r="Z6198" s="48" t="str">
        <f ca="1">IFERROR(IF('Planning Sheet'!DX275='Weeks Plan'!$D$6,"RFD",""),"")</f>
        <v/>
      </c>
      <c r="AA6198" s="48" t="str">
        <f ca="1">IFERROR(IF('Planning Sheet'!DX275='Weeks Plan'!$D$6,'Planning Sheet'!DT275,""),"")</f>
        <v/>
      </c>
    </row>
    <row r="6199" spans="25:27" x14ac:dyDescent="0.3">
      <c r="Y6199" s="48" t="str">
        <f ca="1">IFERROR(IF('Planning Sheet'!DX276='Weeks Plan'!$D$6,'Planning Sheet'!$B276,""),"")</f>
        <v/>
      </c>
      <c r="Z6199" s="48" t="str">
        <f ca="1">IFERROR(IF('Planning Sheet'!DX276='Weeks Plan'!$D$6,"RFD",""),"")</f>
        <v/>
      </c>
      <c r="AA6199" s="48" t="str">
        <f ca="1">IFERROR(IF('Planning Sheet'!DX276='Weeks Plan'!$D$6,'Planning Sheet'!DT276,""),"")</f>
        <v/>
      </c>
    </row>
    <row r="6200" spans="25:27" x14ac:dyDescent="0.3">
      <c r="Y6200" s="48" t="str">
        <f ca="1">IFERROR(IF('Planning Sheet'!DX277='Weeks Plan'!$D$6,'Planning Sheet'!$B277,""),"")</f>
        <v/>
      </c>
      <c r="Z6200" s="48" t="str">
        <f ca="1">IFERROR(IF('Planning Sheet'!DX277='Weeks Plan'!$D$6,"RFD",""),"")</f>
        <v/>
      </c>
      <c r="AA6200" s="48" t="str">
        <f ca="1">IFERROR(IF('Planning Sheet'!DX277='Weeks Plan'!$D$6,'Planning Sheet'!DT277,""),"")</f>
        <v/>
      </c>
    </row>
    <row r="6201" spans="25:27" x14ac:dyDescent="0.3">
      <c r="Y6201" s="48" t="str">
        <f ca="1">IFERROR(IF('Planning Sheet'!DX278='Weeks Plan'!$D$6,'Planning Sheet'!$B278,""),"")</f>
        <v/>
      </c>
      <c r="Z6201" s="48" t="str">
        <f ca="1">IFERROR(IF('Planning Sheet'!DX278='Weeks Plan'!$D$6,"RFD",""),"")</f>
        <v/>
      </c>
      <c r="AA6201" s="48" t="str">
        <f ca="1">IFERROR(IF('Planning Sheet'!DX278='Weeks Plan'!$D$6,'Planning Sheet'!DT278,""),"")</f>
        <v/>
      </c>
    </row>
    <row r="6202" spans="25:27" x14ac:dyDescent="0.3">
      <c r="Y6202" s="48" t="str">
        <f ca="1">IFERROR(IF('Planning Sheet'!DX279='Weeks Plan'!$D$6,'Planning Sheet'!$B279,""),"")</f>
        <v/>
      </c>
      <c r="Z6202" s="48" t="str">
        <f ca="1">IFERROR(IF('Planning Sheet'!DX279='Weeks Plan'!$D$6,"RFD",""),"")</f>
        <v/>
      </c>
      <c r="AA6202" s="48" t="str">
        <f ca="1">IFERROR(IF('Planning Sheet'!DX279='Weeks Plan'!$D$6,'Planning Sheet'!DT279,""),"")</f>
        <v/>
      </c>
    </row>
    <row r="6203" spans="25:27" x14ac:dyDescent="0.3">
      <c r="Y6203" s="48" t="str">
        <f ca="1">IFERROR(IF('Planning Sheet'!DX280='Weeks Plan'!$D$6,'Planning Sheet'!$B280,""),"")</f>
        <v/>
      </c>
      <c r="Z6203" s="48" t="str">
        <f ca="1">IFERROR(IF('Planning Sheet'!DX280='Weeks Plan'!$D$6,"RFD",""),"")</f>
        <v/>
      </c>
      <c r="AA6203" s="48" t="str">
        <f ca="1">IFERROR(IF('Planning Sheet'!DX280='Weeks Plan'!$D$6,'Planning Sheet'!DT280,""),"")</f>
        <v/>
      </c>
    </row>
    <row r="6204" spans="25:27" x14ac:dyDescent="0.3">
      <c r="Y6204" s="48" t="str">
        <f ca="1">IFERROR(IF('Planning Sheet'!DX281='Weeks Plan'!$D$6,'Planning Sheet'!$B281,""),"")</f>
        <v/>
      </c>
      <c r="Z6204" s="48" t="str">
        <f ca="1">IFERROR(IF('Planning Sheet'!DX281='Weeks Plan'!$D$6,"RFD",""),"")</f>
        <v/>
      </c>
      <c r="AA6204" s="48" t="str">
        <f ca="1">IFERROR(IF('Planning Sheet'!DX281='Weeks Plan'!$D$6,'Planning Sheet'!DT281,""),"")</f>
        <v/>
      </c>
    </row>
    <row r="6205" spans="25:27" x14ac:dyDescent="0.3">
      <c r="Y6205" s="48" t="str">
        <f ca="1">IFERROR(IF('Planning Sheet'!DX282='Weeks Plan'!$D$6,'Planning Sheet'!$B282,""),"")</f>
        <v/>
      </c>
      <c r="Z6205" s="48" t="str">
        <f ca="1">IFERROR(IF('Planning Sheet'!DX282='Weeks Plan'!$D$6,"RFD",""),"")</f>
        <v/>
      </c>
      <c r="AA6205" s="48" t="str">
        <f ca="1">IFERROR(IF('Planning Sheet'!DX282='Weeks Plan'!$D$6,'Planning Sheet'!DT282,""),"")</f>
        <v/>
      </c>
    </row>
    <row r="6206" spans="25:27" x14ac:dyDescent="0.3">
      <c r="Y6206" s="48" t="str">
        <f ca="1">IFERROR(IF('Planning Sheet'!DX283='Weeks Plan'!$D$6,'Planning Sheet'!$B283,""),"")</f>
        <v/>
      </c>
      <c r="Z6206" s="48" t="str">
        <f ca="1">IFERROR(IF('Planning Sheet'!DX283='Weeks Plan'!$D$6,"RFD",""),"")</f>
        <v/>
      </c>
      <c r="AA6206" s="48" t="str">
        <f ca="1">IFERROR(IF('Planning Sheet'!DX283='Weeks Plan'!$D$6,'Planning Sheet'!DT283,""),"")</f>
        <v/>
      </c>
    </row>
    <row r="6207" spans="25:27" x14ac:dyDescent="0.3">
      <c r="Y6207" s="48" t="str">
        <f ca="1">IFERROR(IF('Planning Sheet'!DX284='Weeks Plan'!$D$6,'Planning Sheet'!$B284,""),"")</f>
        <v/>
      </c>
      <c r="Z6207" s="48" t="str">
        <f ca="1">IFERROR(IF('Planning Sheet'!DX284='Weeks Plan'!$D$6,"RFD",""),"")</f>
        <v/>
      </c>
      <c r="AA6207" s="48" t="str">
        <f ca="1">IFERROR(IF('Planning Sheet'!DX284='Weeks Plan'!$D$6,'Planning Sheet'!DT284,""),"")</f>
        <v/>
      </c>
    </row>
    <row r="6208" spans="25:27" x14ac:dyDescent="0.3">
      <c r="Y6208" s="48" t="str">
        <f ca="1">IFERROR(IF('Planning Sheet'!DX285='Weeks Plan'!$D$6,'Planning Sheet'!$B285,""),"")</f>
        <v/>
      </c>
      <c r="Z6208" s="48" t="str">
        <f ca="1">IFERROR(IF('Planning Sheet'!DX285='Weeks Plan'!$D$6,"RFD",""),"")</f>
        <v/>
      </c>
      <c r="AA6208" s="48" t="str">
        <f ca="1">IFERROR(IF('Planning Sheet'!DX285='Weeks Plan'!$D$6,'Planning Sheet'!DT285,""),"")</f>
        <v/>
      </c>
    </row>
    <row r="6209" spans="25:27" x14ac:dyDescent="0.3">
      <c r="Y6209" s="48" t="str">
        <f ca="1">IFERROR(IF('Planning Sheet'!DX286='Weeks Plan'!$D$6,'Planning Sheet'!$B286,""),"")</f>
        <v/>
      </c>
      <c r="Z6209" s="48" t="str">
        <f ca="1">IFERROR(IF('Planning Sheet'!DX286='Weeks Plan'!$D$6,"RFD",""),"")</f>
        <v/>
      </c>
      <c r="AA6209" s="48" t="str">
        <f ca="1">IFERROR(IF('Planning Sheet'!DX286='Weeks Plan'!$D$6,'Planning Sheet'!DT286,""),"")</f>
        <v/>
      </c>
    </row>
    <row r="6210" spans="25:27" x14ac:dyDescent="0.3">
      <c r="Y6210" s="48" t="str">
        <f ca="1">IFERROR(IF('Planning Sheet'!DX287='Weeks Plan'!$D$6,'Planning Sheet'!$B287,""),"")</f>
        <v/>
      </c>
      <c r="Z6210" s="48" t="str">
        <f ca="1">IFERROR(IF('Planning Sheet'!DX287='Weeks Plan'!$D$6,"RFD",""),"")</f>
        <v/>
      </c>
      <c r="AA6210" s="48" t="str">
        <f ca="1">IFERROR(IF('Planning Sheet'!DX287='Weeks Plan'!$D$6,'Planning Sheet'!DT287,""),"")</f>
        <v/>
      </c>
    </row>
    <row r="6211" spans="25:27" x14ac:dyDescent="0.3">
      <c r="Y6211" s="48" t="str">
        <f ca="1">IFERROR(IF('Planning Sheet'!DX288='Weeks Plan'!$D$6,'Planning Sheet'!$B288,""),"")</f>
        <v/>
      </c>
      <c r="Z6211" s="48" t="str">
        <f ca="1">IFERROR(IF('Planning Sheet'!DX288='Weeks Plan'!$D$6,"RFD",""),"")</f>
        <v/>
      </c>
      <c r="AA6211" s="48" t="str">
        <f ca="1">IFERROR(IF('Planning Sheet'!DX288='Weeks Plan'!$D$6,'Planning Sheet'!DT288,""),"")</f>
        <v/>
      </c>
    </row>
    <row r="6212" spans="25:27" x14ac:dyDescent="0.3">
      <c r="Y6212" s="48" t="str">
        <f ca="1">IFERROR(IF('Planning Sheet'!DX289='Weeks Plan'!$D$6,'Planning Sheet'!$B289,""),"")</f>
        <v/>
      </c>
      <c r="Z6212" s="48" t="str">
        <f ca="1">IFERROR(IF('Planning Sheet'!DX289='Weeks Plan'!$D$6,"RFD",""),"")</f>
        <v/>
      </c>
      <c r="AA6212" s="48" t="str">
        <f ca="1">IFERROR(IF('Planning Sheet'!DX289='Weeks Plan'!$D$6,'Planning Sheet'!DT289,""),"")</f>
        <v/>
      </c>
    </row>
    <row r="6213" spans="25:27" x14ac:dyDescent="0.3">
      <c r="Y6213" s="48" t="str">
        <f ca="1">IFERROR(IF('Planning Sheet'!DX290='Weeks Plan'!$D$6,'Planning Sheet'!$B290,""),"")</f>
        <v/>
      </c>
      <c r="Z6213" s="48" t="str">
        <f ca="1">IFERROR(IF('Planning Sheet'!DX290='Weeks Plan'!$D$6,"RFD",""),"")</f>
        <v/>
      </c>
      <c r="AA6213" s="48" t="str">
        <f ca="1">IFERROR(IF('Planning Sheet'!DX290='Weeks Plan'!$D$6,'Planning Sheet'!DT290,""),"")</f>
        <v/>
      </c>
    </row>
    <row r="6214" spans="25:27" x14ac:dyDescent="0.3">
      <c r="Y6214" s="48" t="str">
        <f ca="1">IFERROR(IF('Planning Sheet'!DX291='Weeks Plan'!$D$6,'Planning Sheet'!$B291,""),"")</f>
        <v/>
      </c>
      <c r="Z6214" s="48" t="str">
        <f ca="1">IFERROR(IF('Planning Sheet'!DX291='Weeks Plan'!$D$6,"RFD",""),"")</f>
        <v/>
      </c>
      <c r="AA6214" s="48" t="str">
        <f ca="1">IFERROR(IF('Planning Sheet'!DX291='Weeks Plan'!$D$6,'Planning Sheet'!DT291,""),"")</f>
        <v/>
      </c>
    </row>
    <row r="6215" spans="25:27" x14ac:dyDescent="0.3">
      <c r="Y6215" s="48" t="str">
        <f ca="1">IFERROR(IF('Planning Sheet'!DX292='Weeks Plan'!$D$6,'Planning Sheet'!$B292,""),"")</f>
        <v/>
      </c>
      <c r="Z6215" s="48" t="str">
        <f ca="1">IFERROR(IF('Planning Sheet'!DX292='Weeks Plan'!$D$6,"RFD",""),"")</f>
        <v/>
      </c>
      <c r="AA6215" s="48" t="str">
        <f ca="1">IFERROR(IF('Planning Sheet'!DX292='Weeks Plan'!$D$6,'Planning Sheet'!DT292,""),"")</f>
        <v/>
      </c>
    </row>
    <row r="6216" spans="25:27" x14ac:dyDescent="0.3">
      <c r="Y6216" s="48" t="str">
        <f ca="1">IFERROR(IF('Planning Sheet'!DX293='Weeks Plan'!$D$6,'Planning Sheet'!$B293,""),"")</f>
        <v/>
      </c>
      <c r="Z6216" s="48" t="str">
        <f ca="1">IFERROR(IF('Planning Sheet'!DX293='Weeks Plan'!$D$6,"RFD",""),"")</f>
        <v/>
      </c>
      <c r="AA6216" s="48" t="str">
        <f ca="1">IFERROR(IF('Planning Sheet'!DX293='Weeks Plan'!$D$6,'Planning Sheet'!DT293,""),"")</f>
        <v/>
      </c>
    </row>
    <row r="6217" spans="25:27" x14ac:dyDescent="0.3">
      <c r="Y6217" s="48" t="str">
        <f ca="1">IFERROR(IF('Planning Sheet'!DX294='Weeks Plan'!$D$6,'Planning Sheet'!$B294,""),"")</f>
        <v/>
      </c>
      <c r="Z6217" s="48" t="str">
        <f ca="1">IFERROR(IF('Planning Sheet'!DX294='Weeks Plan'!$D$6,"RFD",""),"")</f>
        <v/>
      </c>
      <c r="AA6217" s="48" t="str">
        <f ca="1">IFERROR(IF('Planning Sheet'!DX294='Weeks Plan'!$D$6,'Planning Sheet'!DT294,""),"")</f>
        <v/>
      </c>
    </row>
    <row r="6218" spans="25:27" x14ac:dyDescent="0.3">
      <c r="Y6218" s="48" t="str">
        <f ca="1">IFERROR(IF('Planning Sheet'!DX295='Weeks Plan'!$D$6,'Planning Sheet'!$B295,""),"")</f>
        <v/>
      </c>
      <c r="Z6218" s="48" t="str">
        <f ca="1">IFERROR(IF('Planning Sheet'!DX295='Weeks Plan'!$D$6,"RFD",""),"")</f>
        <v/>
      </c>
      <c r="AA6218" s="48" t="str">
        <f ca="1">IFERROR(IF('Planning Sheet'!DX295='Weeks Plan'!$D$6,'Planning Sheet'!DT295,""),"")</f>
        <v/>
      </c>
    </row>
    <row r="6219" spans="25:27" x14ac:dyDescent="0.3">
      <c r="Y6219" s="48" t="str">
        <f ca="1">IFERROR(IF('Planning Sheet'!DX296='Weeks Plan'!$D$6,'Planning Sheet'!$B296,""),"")</f>
        <v/>
      </c>
      <c r="Z6219" s="48" t="str">
        <f ca="1">IFERROR(IF('Planning Sheet'!DX296='Weeks Plan'!$D$6,"RFD",""),"")</f>
        <v/>
      </c>
      <c r="AA6219" s="48" t="str">
        <f ca="1">IFERROR(IF('Planning Sheet'!DX296='Weeks Plan'!$D$6,'Planning Sheet'!DT296,""),"")</f>
        <v/>
      </c>
    </row>
    <row r="6220" spans="25:27" x14ac:dyDescent="0.3">
      <c r="Y6220" s="48" t="str">
        <f ca="1">IFERROR(IF('Planning Sheet'!DX297='Weeks Plan'!$D$6,'Planning Sheet'!$B297,""),"")</f>
        <v/>
      </c>
      <c r="Z6220" s="48" t="str">
        <f ca="1">IFERROR(IF('Planning Sheet'!DX297='Weeks Plan'!$D$6,"RFD",""),"")</f>
        <v/>
      </c>
      <c r="AA6220" s="48" t="str">
        <f ca="1">IFERROR(IF('Planning Sheet'!DX297='Weeks Plan'!$D$6,'Planning Sheet'!DT297,""),"")</f>
        <v/>
      </c>
    </row>
    <row r="6221" spans="25:27" x14ac:dyDescent="0.3">
      <c r="Y6221" s="48" t="str">
        <f ca="1">IFERROR(IF('Planning Sheet'!DX298='Weeks Plan'!$D$6,'Planning Sheet'!$B298,""),"")</f>
        <v/>
      </c>
      <c r="Z6221" s="48" t="str">
        <f ca="1">IFERROR(IF('Planning Sheet'!DX298='Weeks Plan'!$D$6,"RFD",""),"")</f>
        <v/>
      </c>
      <c r="AA6221" s="48" t="str">
        <f ca="1">IFERROR(IF('Planning Sheet'!DX298='Weeks Plan'!$D$6,'Planning Sheet'!DT298,""),"")</f>
        <v/>
      </c>
    </row>
    <row r="6222" spans="25:27" x14ac:dyDescent="0.3">
      <c r="Y6222" s="48" t="str">
        <f ca="1">IFERROR(IF('Planning Sheet'!DX299='Weeks Plan'!$D$6,'Planning Sheet'!$B299,""),"")</f>
        <v/>
      </c>
      <c r="Z6222" s="48" t="str">
        <f ca="1">IFERROR(IF('Planning Sheet'!DX299='Weeks Plan'!$D$6,"RFD",""),"")</f>
        <v/>
      </c>
      <c r="AA6222" s="48" t="str">
        <f ca="1">IFERROR(IF('Planning Sheet'!DX299='Weeks Plan'!$D$6,'Planning Sheet'!DT299,""),"")</f>
        <v/>
      </c>
    </row>
    <row r="6223" spans="25:27" x14ac:dyDescent="0.3">
      <c r="Y6223" s="48" t="str">
        <f ca="1">IFERROR(IF('Planning Sheet'!DX300='Weeks Plan'!$D$6,'Planning Sheet'!$B300,""),"")</f>
        <v/>
      </c>
      <c r="Z6223" s="48" t="str">
        <f ca="1">IFERROR(IF('Planning Sheet'!DX300='Weeks Plan'!$D$6,"RFD",""),"")</f>
        <v/>
      </c>
      <c r="AA6223" s="48" t="str">
        <f ca="1">IFERROR(IF('Planning Sheet'!DX300='Weeks Plan'!$D$6,'Planning Sheet'!DT300,""),"")</f>
        <v/>
      </c>
    </row>
    <row r="6224" spans="25:27" x14ac:dyDescent="0.3">
      <c r="Y6224" s="48" t="str">
        <f ca="1">IFERROR(IF('Planning Sheet'!DX301='Weeks Plan'!$D$6,'Planning Sheet'!$B301,""),"")</f>
        <v/>
      </c>
      <c r="Z6224" s="48" t="str">
        <f ca="1">IFERROR(IF('Planning Sheet'!DX301='Weeks Plan'!$D$6,"RFD",""),"")</f>
        <v/>
      </c>
      <c r="AA6224" s="48" t="str">
        <f ca="1">IFERROR(IF('Planning Sheet'!DX301='Weeks Plan'!$D$6,'Planning Sheet'!DT301,""),"")</f>
        <v/>
      </c>
    </row>
    <row r="6225" spans="25:27" x14ac:dyDescent="0.3">
      <c r="Y6225" s="48" t="str">
        <f ca="1">IFERROR(IF('Planning Sheet'!DX302='Weeks Plan'!$D$6,'Planning Sheet'!$B302,""),"")</f>
        <v/>
      </c>
      <c r="Z6225" s="48" t="str">
        <f ca="1">IFERROR(IF('Planning Sheet'!DX302='Weeks Plan'!$D$6,"RFD",""),"")</f>
        <v/>
      </c>
      <c r="AA6225" s="48" t="str">
        <f ca="1">IFERROR(IF('Planning Sheet'!DX302='Weeks Plan'!$D$6,'Planning Sheet'!DT302,""),"")</f>
        <v/>
      </c>
    </row>
    <row r="6226" spans="25:27" x14ac:dyDescent="0.3">
      <c r="Y6226" s="48" t="str">
        <f ca="1">IFERROR(IF('Planning Sheet'!DX303='Weeks Plan'!$D$6,'Planning Sheet'!$B303,""),"")</f>
        <v/>
      </c>
      <c r="Z6226" s="48" t="str">
        <f ca="1">IFERROR(IF('Planning Sheet'!DX303='Weeks Plan'!$D$6,"RFD",""),"")</f>
        <v/>
      </c>
      <c r="AA6226" s="48" t="str">
        <f ca="1">IFERROR(IF('Planning Sheet'!DX303='Weeks Plan'!$D$6,'Planning Sheet'!DT303,""),"")</f>
        <v/>
      </c>
    </row>
    <row r="6227" spans="25:27" x14ac:dyDescent="0.3">
      <c r="Y6227" s="48" t="str">
        <f ca="1">IFERROR(IF('Planning Sheet'!DX304='Weeks Plan'!$D$6,'Planning Sheet'!$B304,""),"")</f>
        <v/>
      </c>
      <c r="Z6227" s="48" t="str">
        <f ca="1">IFERROR(IF('Planning Sheet'!DX304='Weeks Plan'!$D$6,"RFD",""),"")</f>
        <v/>
      </c>
      <c r="AA6227" s="48" t="str">
        <f ca="1">IFERROR(IF('Planning Sheet'!DX304='Weeks Plan'!$D$6,'Planning Sheet'!DT304,""),"")</f>
        <v/>
      </c>
    </row>
    <row r="6228" spans="25:27" x14ac:dyDescent="0.3">
      <c r="Y6228" s="48" t="str">
        <f ca="1">IFERROR(IF('Planning Sheet'!DX305='Weeks Plan'!$D$6,'Planning Sheet'!$B305,""),"")</f>
        <v/>
      </c>
      <c r="Z6228" s="48" t="str">
        <f ca="1">IFERROR(IF('Planning Sheet'!DX305='Weeks Plan'!$D$6,"RFD",""),"")</f>
        <v/>
      </c>
      <c r="AA6228" s="48" t="str">
        <f ca="1">IFERROR(IF('Planning Sheet'!DX305='Weeks Plan'!$D$6,'Planning Sheet'!DT305,""),"")</f>
        <v/>
      </c>
    </row>
    <row r="6229" spans="25:27" x14ac:dyDescent="0.3">
      <c r="Y6229" s="48" t="str">
        <f ca="1">IFERROR(IF('Planning Sheet'!DX306='Weeks Plan'!$D$6,'Planning Sheet'!$B306,""),"")</f>
        <v/>
      </c>
      <c r="Z6229" s="48" t="str">
        <f ca="1">IFERROR(IF('Planning Sheet'!DX306='Weeks Plan'!$D$6,"RFD",""),"")</f>
        <v/>
      </c>
      <c r="AA6229" s="48" t="str">
        <f ca="1">IFERROR(IF('Planning Sheet'!DX306='Weeks Plan'!$D$6,'Planning Sheet'!DT306,""),"")</f>
        <v/>
      </c>
    </row>
    <row r="6230" spans="25:27" x14ac:dyDescent="0.3">
      <c r="Y6230" s="48" t="str">
        <f ca="1">IFERROR(IF('Planning Sheet'!DX307='Weeks Plan'!$D$6,'Planning Sheet'!$B307,""),"")</f>
        <v/>
      </c>
      <c r="Z6230" s="48" t="str">
        <f ca="1">IFERROR(IF('Planning Sheet'!DX307='Weeks Plan'!$D$6,"RFD",""),"")</f>
        <v/>
      </c>
      <c r="AA6230" s="48" t="str">
        <f ca="1">IFERROR(IF('Planning Sheet'!DX307='Weeks Plan'!$D$6,'Planning Sheet'!DT307,""),"")</f>
        <v/>
      </c>
    </row>
    <row r="6231" spans="25:27" x14ac:dyDescent="0.3">
      <c r="Y6231" s="48" t="str">
        <f ca="1">IFERROR(IF('Planning Sheet'!DX308='Weeks Plan'!$D$6,'Planning Sheet'!$B308,""),"")</f>
        <v/>
      </c>
      <c r="Z6231" s="48" t="str">
        <f ca="1">IFERROR(IF('Planning Sheet'!DX308='Weeks Plan'!$D$6,"RFD",""),"")</f>
        <v/>
      </c>
      <c r="AA6231" s="48" t="str">
        <f ca="1">IFERROR(IF('Planning Sheet'!DX308='Weeks Plan'!$D$6,'Planning Sheet'!DT308,""),"")</f>
        <v/>
      </c>
    </row>
    <row r="6232" spans="25:27" x14ac:dyDescent="0.3">
      <c r="Y6232" s="48" t="str">
        <f ca="1">IFERROR(IF('Planning Sheet'!DX309='Weeks Plan'!$D$6,'Planning Sheet'!$B309,""),"")</f>
        <v/>
      </c>
      <c r="Z6232" s="48" t="str">
        <f ca="1">IFERROR(IF('Planning Sheet'!DX309='Weeks Plan'!$D$6,"RFD",""),"")</f>
        <v/>
      </c>
      <c r="AA6232" s="48" t="str">
        <f ca="1">IFERROR(IF('Planning Sheet'!DX309='Weeks Plan'!$D$6,'Planning Sheet'!DT309,""),"")</f>
        <v/>
      </c>
    </row>
    <row r="6233" spans="25:27" x14ac:dyDescent="0.3">
      <c r="Y6233" s="48" t="str">
        <f ca="1">IFERROR(IF('Planning Sheet'!DX310='Weeks Plan'!$D$6,'Planning Sheet'!$B310,""),"")</f>
        <v/>
      </c>
      <c r="Z6233" s="48" t="str">
        <f ca="1">IFERROR(IF('Planning Sheet'!DX310='Weeks Plan'!$D$6,"RFD",""),"")</f>
        <v/>
      </c>
      <c r="AA6233" s="48" t="str">
        <f ca="1">IFERROR(IF('Planning Sheet'!DX310='Weeks Plan'!$D$6,'Planning Sheet'!DT310,""),"")</f>
        <v/>
      </c>
    </row>
    <row r="6234" spans="25:27" x14ac:dyDescent="0.3">
      <c r="Y6234" s="48" t="str">
        <f ca="1">IFERROR(IF('Planning Sheet'!DX311='Weeks Plan'!$D$6,'Planning Sheet'!$B311,""),"")</f>
        <v/>
      </c>
      <c r="Z6234" s="48" t="str">
        <f ca="1">IFERROR(IF('Planning Sheet'!DX311='Weeks Plan'!$D$6,"RFD",""),"")</f>
        <v/>
      </c>
      <c r="AA6234" s="48" t="str">
        <f ca="1">IFERROR(IF('Planning Sheet'!DX311='Weeks Plan'!$D$6,'Planning Sheet'!DT311,""),"")</f>
        <v/>
      </c>
    </row>
    <row r="6235" spans="25:27" x14ac:dyDescent="0.3">
      <c r="Y6235" s="48" t="str">
        <f ca="1">IFERROR(IF('Planning Sheet'!DX312='Weeks Plan'!$D$6,'Planning Sheet'!$B312,""),"")</f>
        <v/>
      </c>
      <c r="Z6235" s="48" t="str">
        <f ca="1">IFERROR(IF('Planning Sheet'!DX312='Weeks Plan'!$D$6,"RFD",""),"")</f>
        <v/>
      </c>
      <c r="AA6235" s="48" t="str">
        <f ca="1">IFERROR(IF('Planning Sheet'!DX312='Weeks Plan'!$D$6,'Planning Sheet'!DT312,""),"")</f>
        <v/>
      </c>
    </row>
    <row r="6236" spans="25:27" x14ac:dyDescent="0.3">
      <c r="Y6236" s="48" t="str">
        <f ca="1">IFERROR(IF('Planning Sheet'!DX313='Weeks Plan'!$D$6,'Planning Sheet'!$B313,""),"")</f>
        <v/>
      </c>
      <c r="Z6236" s="48" t="str">
        <f ca="1">IFERROR(IF('Planning Sheet'!DX313='Weeks Plan'!$D$6,"RFD",""),"")</f>
        <v/>
      </c>
      <c r="AA6236" s="48" t="str">
        <f ca="1">IFERROR(IF('Planning Sheet'!DX313='Weeks Plan'!$D$6,'Planning Sheet'!DT313,""),"")</f>
        <v/>
      </c>
    </row>
    <row r="6237" spans="25:27" x14ac:dyDescent="0.3">
      <c r="Y6237" s="48" t="str">
        <f ca="1">IFERROR(IF('Planning Sheet'!DX314='Weeks Plan'!$D$6,'Planning Sheet'!$B314,""),"")</f>
        <v/>
      </c>
      <c r="Z6237" s="48" t="str">
        <f ca="1">IFERROR(IF('Planning Sheet'!DX314='Weeks Plan'!$D$6,"RFD",""),"")</f>
        <v/>
      </c>
      <c r="AA6237" s="48" t="str">
        <f ca="1">IFERROR(IF('Planning Sheet'!DX314='Weeks Plan'!$D$6,'Planning Sheet'!DT314,""),"")</f>
        <v/>
      </c>
    </row>
    <row r="6238" spans="25:27" x14ac:dyDescent="0.3">
      <c r="Y6238" s="48" t="str">
        <f ca="1">IFERROR(IF('Planning Sheet'!DX315='Weeks Plan'!$D$6,'Planning Sheet'!$B315,""),"")</f>
        <v/>
      </c>
      <c r="Z6238" s="48" t="str">
        <f ca="1">IFERROR(IF('Planning Sheet'!DX315='Weeks Plan'!$D$6,"RFD",""),"")</f>
        <v/>
      </c>
      <c r="AA6238" s="48" t="str">
        <f ca="1">IFERROR(IF('Planning Sheet'!DX315='Weeks Plan'!$D$6,'Planning Sheet'!DT315,""),"")</f>
        <v/>
      </c>
    </row>
    <row r="6239" spans="25:27" x14ac:dyDescent="0.3">
      <c r="Y6239" s="48" t="str">
        <f ca="1">IFERROR(IF('Planning Sheet'!DX316='Weeks Plan'!$D$6,'Planning Sheet'!$B316,""),"")</f>
        <v/>
      </c>
      <c r="Z6239" s="48" t="str">
        <f ca="1">IFERROR(IF('Planning Sheet'!DX316='Weeks Plan'!$D$6,"RFD",""),"")</f>
        <v/>
      </c>
      <c r="AA6239" s="48" t="str">
        <f ca="1">IFERROR(IF('Planning Sheet'!DX316='Weeks Plan'!$D$6,'Planning Sheet'!DT316,""),"")</f>
        <v/>
      </c>
    </row>
    <row r="6240" spans="25:27" x14ac:dyDescent="0.3">
      <c r="Y6240" s="48" t="str">
        <f ca="1">IFERROR(IF('Planning Sheet'!DX317='Weeks Plan'!$D$6,'Planning Sheet'!$B317,""),"")</f>
        <v/>
      </c>
      <c r="Z6240" s="48" t="str">
        <f ca="1">IFERROR(IF('Planning Sheet'!DX317='Weeks Plan'!$D$6,"RFD",""),"")</f>
        <v/>
      </c>
      <c r="AA6240" s="48" t="str">
        <f ca="1">IFERROR(IF('Planning Sheet'!DX317='Weeks Plan'!$D$6,'Planning Sheet'!DT317,""),"")</f>
        <v/>
      </c>
    </row>
    <row r="6241" spans="25:27" x14ac:dyDescent="0.3">
      <c r="Y6241" s="48" t="str">
        <f ca="1">IFERROR(IF('Planning Sheet'!DX318='Weeks Plan'!$D$6,'Planning Sheet'!$B318,""),"")</f>
        <v/>
      </c>
      <c r="Z6241" s="48" t="str">
        <f ca="1">IFERROR(IF('Planning Sheet'!DX318='Weeks Plan'!$D$6,"RFD",""),"")</f>
        <v/>
      </c>
      <c r="AA6241" s="48" t="str">
        <f ca="1">IFERROR(IF('Planning Sheet'!DX318='Weeks Plan'!$D$6,'Planning Sheet'!DT318,""),"")</f>
        <v/>
      </c>
    </row>
    <row r="6242" spans="25:27" x14ac:dyDescent="0.3">
      <c r="Y6242" s="48" t="str">
        <f ca="1">IFERROR(IF('Planning Sheet'!DX319='Weeks Plan'!$D$6,'Planning Sheet'!$B319,""),"")</f>
        <v/>
      </c>
      <c r="Z6242" s="48" t="str">
        <f ca="1">IFERROR(IF('Planning Sheet'!DX319='Weeks Plan'!$D$6,"RFD",""),"")</f>
        <v/>
      </c>
      <c r="AA6242" s="48" t="str">
        <f ca="1">IFERROR(IF('Planning Sheet'!DX319='Weeks Plan'!$D$6,'Planning Sheet'!DT319,""),"")</f>
        <v/>
      </c>
    </row>
    <row r="6243" spans="25:27" x14ac:dyDescent="0.3">
      <c r="Y6243" s="48" t="str">
        <f ca="1">IFERROR(IF('Planning Sheet'!DX320='Weeks Plan'!$D$6,'Planning Sheet'!$B320,""),"")</f>
        <v/>
      </c>
      <c r="Z6243" s="48" t="str">
        <f ca="1">IFERROR(IF('Planning Sheet'!DX320='Weeks Plan'!$D$6,"RFD",""),"")</f>
        <v/>
      </c>
      <c r="AA6243" s="48" t="str">
        <f ca="1">IFERROR(IF('Planning Sheet'!DX320='Weeks Plan'!$D$6,'Planning Sheet'!DT320,""),"")</f>
        <v/>
      </c>
    </row>
    <row r="6244" spans="25:27" x14ac:dyDescent="0.3">
      <c r="Y6244" s="48" t="str">
        <f ca="1">IFERROR(IF('Planning Sheet'!DX321='Weeks Plan'!$D$6,'Planning Sheet'!$B321,""),"")</f>
        <v/>
      </c>
      <c r="Z6244" s="48" t="str">
        <f ca="1">IFERROR(IF('Planning Sheet'!DX321='Weeks Plan'!$D$6,"RFD",""),"")</f>
        <v/>
      </c>
      <c r="AA6244" s="48" t="str">
        <f ca="1">IFERROR(IF('Planning Sheet'!DX321='Weeks Plan'!$D$6,'Planning Sheet'!DT321,""),"")</f>
        <v/>
      </c>
    </row>
    <row r="6245" spans="25:27" x14ac:dyDescent="0.3">
      <c r="Y6245" s="48" t="str">
        <f ca="1">IFERROR(IF('Planning Sheet'!DX322='Weeks Plan'!$D$6,'Planning Sheet'!$B322,""),"")</f>
        <v/>
      </c>
      <c r="Z6245" s="48" t="str">
        <f ca="1">IFERROR(IF('Planning Sheet'!DX322='Weeks Plan'!$D$6,"RFD",""),"")</f>
        <v/>
      </c>
      <c r="AA6245" s="48" t="str">
        <f ca="1">IFERROR(IF('Planning Sheet'!DX322='Weeks Plan'!$D$6,'Planning Sheet'!DT322,""),"")</f>
        <v/>
      </c>
    </row>
    <row r="6246" spans="25:27" x14ac:dyDescent="0.3">
      <c r="Y6246" s="48" t="str">
        <f ca="1">IFERROR(IF('Planning Sheet'!DX323='Weeks Plan'!$D$6,'Planning Sheet'!$B323,""),"")</f>
        <v/>
      </c>
      <c r="Z6246" s="48" t="str">
        <f ca="1">IFERROR(IF('Planning Sheet'!DX323='Weeks Plan'!$D$6,"RFD",""),"")</f>
        <v/>
      </c>
      <c r="AA6246" s="48" t="str">
        <f ca="1">IFERROR(IF('Planning Sheet'!DX323='Weeks Plan'!$D$6,'Planning Sheet'!DT323,""),"")</f>
        <v/>
      </c>
    </row>
    <row r="6247" spans="25:27" x14ac:dyDescent="0.3">
      <c r="Y6247" s="48" t="str">
        <f ca="1">IFERROR(IF('Planning Sheet'!DX324='Weeks Plan'!$D$6,'Planning Sheet'!$B324,""),"")</f>
        <v/>
      </c>
      <c r="Z6247" s="48" t="str">
        <f ca="1">IFERROR(IF('Planning Sheet'!DX324='Weeks Plan'!$D$6,"RFD",""),"")</f>
        <v/>
      </c>
      <c r="AA6247" s="48" t="str">
        <f ca="1">IFERROR(IF('Planning Sheet'!DX324='Weeks Plan'!$D$6,'Planning Sheet'!DT324,""),"")</f>
        <v/>
      </c>
    </row>
    <row r="6248" spans="25:27" x14ac:dyDescent="0.3">
      <c r="Y6248" s="48" t="str">
        <f ca="1">IFERROR(IF('Planning Sheet'!DX325='Weeks Plan'!$D$6,'Planning Sheet'!$B325,""),"")</f>
        <v/>
      </c>
      <c r="Z6248" s="48" t="str">
        <f ca="1">IFERROR(IF('Planning Sheet'!DX325='Weeks Plan'!$D$6,"RFD",""),"")</f>
        <v/>
      </c>
      <c r="AA6248" s="48" t="str">
        <f ca="1">IFERROR(IF('Planning Sheet'!DX325='Weeks Plan'!$D$6,'Planning Sheet'!DT325,""),"")</f>
        <v/>
      </c>
    </row>
    <row r="6249" spans="25:27" x14ac:dyDescent="0.3">
      <c r="Y6249" s="48" t="str">
        <f ca="1">IFERROR(IF('Planning Sheet'!DX326='Weeks Plan'!$D$6,'Planning Sheet'!$B326,""),"")</f>
        <v/>
      </c>
      <c r="Z6249" s="48" t="str">
        <f ca="1">IFERROR(IF('Planning Sheet'!DX326='Weeks Plan'!$D$6,"RFD",""),"")</f>
        <v/>
      </c>
      <c r="AA6249" s="48" t="str">
        <f ca="1">IFERROR(IF('Planning Sheet'!DX326='Weeks Plan'!$D$6,'Planning Sheet'!DT326,""),"")</f>
        <v/>
      </c>
    </row>
    <row r="6250" spans="25:27" x14ac:dyDescent="0.3">
      <c r="Y6250" s="48" t="str">
        <f ca="1">IFERROR(IF('Planning Sheet'!DX327='Weeks Plan'!$D$6,'Planning Sheet'!$B327,""),"")</f>
        <v/>
      </c>
      <c r="Z6250" s="48" t="str">
        <f ca="1">IFERROR(IF('Planning Sheet'!DX327='Weeks Plan'!$D$6,"RFD",""),"")</f>
        <v/>
      </c>
      <c r="AA6250" s="48" t="str">
        <f ca="1">IFERROR(IF('Planning Sheet'!DX327='Weeks Plan'!$D$6,'Planning Sheet'!DT327,""),"")</f>
        <v/>
      </c>
    </row>
    <row r="6251" spans="25:27" x14ac:dyDescent="0.3">
      <c r="Y6251" s="48" t="str">
        <f ca="1">IFERROR(IF('Planning Sheet'!DX328='Weeks Plan'!$D$6,'Planning Sheet'!$B328,""),"")</f>
        <v/>
      </c>
      <c r="Z6251" s="48" t="str">
        <f ca="1">IFERROR(IF('Planning Sheet'!DX328='Weeks Plan'!$D$6,"RFD",""),"")</f>
        <v/>
      </c>
      <c r="AA6251" s="48" t="str">
        <f ca="1">IFERROR(IF('Planning Sheet'!DX328='Weeks Plan'!$D$6,'Planning Sheet'!DT328,""),"")</f>
        <v/>
      </c>
    </row>
    <row r="6252" spans="25:27" x14ac:dyDescent="0.3">
      <c r="Y6252" s="48" t="str">
        <f ca="1">IFERROR(IF('Planning Sheet'!DX329='Weeks Plan'!$D$6,'Planning Sheet'!$B329,""),"")</f>
        <v/>
      </c>
      <c r="Z6252" s="48" t="str">
        <f ca="1">IFERROR(IF('Planning Sheet'!DX329='Weeks Plan'!$D$6,"RFD",""),"")</f>
        <v/>
      </c>
      <c r="AA6252" s="48" t="str">
        <f ca="1">IFERROR(IF('Planning Sheet'!DX329='Weeks Plan'!$D$6,'Planning Sheet'!DT329,""),"")</f>
        <v/>
      </c>
    </row>
    <row r="6253" spans="25:27" x14ac:dyDescent="0.3">
      <c r="Y6253" s="48" t="str">
        <f ca="1">IFERROR(IF('Planning Sheet'!DX330='Weeks Plan'!$D$6,'Planning Sheet'!$B330,""),"")</f>
        <v/>
      </c>
      <c r="Z6253" s="48" t="str">
        <f ca="1">IFERROR(IF('Planning Sheet'!DX330='Weeks Plan'!$D$6,"RFD",""),"")</f>
        <v/>
      </c>
      <c r="AA6253" s="48" t="str">
        <f ca="1">IFERROR(IF('Planning Sheet'!DX330='Weeks Plan'!$D$6,'Planning Sheet'!DT330,""),"")</f>
        <v/>
      </c>
    </row>
    <row r="6254" spans="25:27" x14ac:dyDescent="0.3">
      <c r="Y6254" s="48" t="str">
        <f ca="1">IFERROR(IF('Planning Sheet'!DX331='Weeks Plan'!$D$6,'Planning Sheet'!$B331,""),"")</f>
        <v/>
      </c>
      <c r="Z6254" s="48" t="str">
        <f ca="1">IFERROR(IF('Planning Sheet'!DX331='Weeks Plan'!$D$6,"RFD",""),"")</f>
        <v/>
      </c>
      <c r="AA6254" s="48" t="str">
        <f ca="1">IFERROR(IF('Planning Sheet'!DX331='Weeks Plan'!$D$6,'Planning Sheet'!DT331,""),"")</f>
        <v/>
      </c>
    </row>
    <row r="6255" spans="25:27" x14ac:dyDescent="0.3">
      <c r="Y6255" s="48" t="str">
        <f ca="1">IFERROR(IF('Planning Sheet'!DX332='Weeks Plan'!$D$6,'Planning Sheet'!$B332,""),"")</f>
        <v/>
      </c>
      <c r="Z6255" s="48" t="str">
        <f ca="1">IFERROR(IF('Planning Sheet'!DX332='Weeks Plan'!$D$6,"RFD",""),"")</f>
        <v/>
      </c>
      <c r="AA6255" s="48" t="str">
        <f ca="1">IFERROR(IF('Planning Sheet'!DX332='Weeks Plan'!$D$6,'Planning Sheet'!DT332,""),"")</f>
        <v/>
      </c>
    </row>
    <row r="6256" spans="25:27" x14ac:dyDescent="0.3">
      <c r="Y6256" s="48" t="str">
        <f ca="1">IFERROR(IF('Planning Sheet'!DX333='Weeks Plan'!$D$6,'Planning Sheet'!$B333,""),"")</f>
        <v/>
      </c>
      <c r="Z6256" s="48" t="str">
        <f ca="1">IFERROR(IF('Planning Sheet'!DX333='Weeks Plan'!$D$6,"RFD",""),"")</f>
        <v/>
      </c>
      <c r="AA6256" s="48" t="str">
        <f ca="1">IFERROR(IF('Planning Sheet'!DX333='Weeks Plan'!$D$6,'Planning Sheet'!DT333,""),"")</f>
        <v/>
      </c>
    </row>
    <row r="6257" spans="25:27" x14ac:dyDescent="0.3">
      <c r="Y6257" s="48" t="str">
        <f ca="1">IFERROR(IF('Planning Sheet'!DX334='Weeks Plan'!$D$6,'Planning Sheet'!$B334,""),"")</f>
        <v/>
      </c>
      <c r="Z6257" s="48" t="str">
        <f ca="1">IFERROR(IF('Planning Sheet'!DX334='Weeks Plan'!$D$6,"RFD",""),"")</f>
        <v/>
      </c>
      <c r="AA6257" s="48" t="str">
        <f ca="1">IFERROR(IF('Planning Sheet'!DX334='Weeks Plan'!$D$6,'Planning Sheet'!DT334,""),"")</f>
        <v/>
      </c>
    </row>
    <row r="6258" spans="25:27" x14ac:dyDescent="0.3">
      <c r="Y6258" s="48" t="str">
        <f ca="1">IFERROR(IF('Planning Sheet'!DX335='Weeks Plan'!$D$6,'Planning Sheet'!$B335,""),"")</f>
        <v/>
      </c>
      <c r="Z6258" s="48" t="str">
        <f ca="1">IFERROR(IF('Planning Sheet'!DX335='Weeks Plan'!$D$6,"RFD",""),"")</f>
        <v/>
      </c>
      <c r="AA6258" s="48" t="str">
        <f ca="1">IFERROR(IF('Planning Sheet'!DX335='Weeks Plan'!$D$6,'Planning Sheet'!DT335,""),"")</f>
        <v/>
      </c>
    </row>
    <row r="6259" spans="25:27" x14ac:dyDescent="0.3">
      <c r="Y6259" s="48" t="str">
        <f ca="1">IFERROR(IF('Planning Sheet'!DX336='Weeks Plan'!$D$6,'Planning Sheet'!$B336,""),"")</f>
        <v/>
      </c>
      <c r="Z6259" s="48" t="str">
        <f ca="1">IFERROR(IF('Planning Sheet'!DX336='Weeks Plan'!$D$6,"RFD",""),"")</f>
        <v/>
      </c>
      <c r="AA6259" s="48" t="str">
        <f ca="1">IFERROR(IF('Planning Sheet'!DX336='Weeks Plan'!$D$6,'Planning Sheet'!DT336,""),"")</f>
        <v/>
      </c>
    </row>
    <row r="6260" spans="25:27" x14ac:dyDescent="0.3">
      <c r="Y6260" s="48" t="str">
        <f ca="1">IFERROR(IF('Planning Sheet'!DX337='Weeks Plan'!$D$6,'Planning Sheet'!$B337,""),"")</f>
        <v/>
      </c>
      <c r="Z6260" s="48" t="str">
        <f ca="1">IFERROR(IF('Planning Sheet'!DX337='Weeks Plan'!$D$6,"RFD",""),"")</f>
        <v/>
      </c>
      <c r="AA6260" s="48" t="str">
        <f ca="1">IFERROR(IF('Planning Sheet'!DX337='Weeks Plan'!$D$6,'Planning Sheet'!DT337,""),"")</f>
        <v/>
      </c>
    </row>
    <row r="6261" spans="25:27" x14ac:dyDescent="0.3">
      <c r="Y6261" s="48" t="str">
        <f ca="1">IFERROR(IF('Planning Sheet'!DX338='Weeks Plan'!$D$6,'Planning Sheet'!$B338,""),"")</f>
        <v/>
      </c>
      <c r="Z6261" s="48" t="str">
        <f ca="1">IFERROR(IF('Planning Sheet'!DX338='Weeks Plan'!$D$6,"RFD",""),"")</f>
        <v/>
      </c>
      <c r="AA6261" s="48" t="str">
        <f ca="1">IFERROR(IF('Planning Sheet'!DX338='Weeks Plan'!$D$6,'Planning Sheet'!DT338,""),"")</f>
        <v/>
      </c>
    </row>
    <row r="6262" spans="25:27" x14ac:dyDescent="0.3">
      <c r="Y6262" s="48" t="str">
        <f ca="1">IFERROR(IF('Planning Sheet'!DX339='Weeks Plan'!$D$6,'Planning Sheet'!$B339,""),"")</f>
        <v/>
      </c>
      <c r="Z6262" s="48" t="str">
        <f ca="1">IFERROR(IF('Planning Sheet'!DX339='Weeks Plan'!$D$6,"RFD",""),"")</f>
        <v/>
      </c>
      <c r="AA6262" s="48" t="str">
        <f ca="1">IFERROR(IF('Planning Sheet'!DX339='Weeks Plan'!$D$6,'Planning Sheet'!DT339,""),"")</f>
        <v/>
      </c>
    </row>
    <row r="6263" spans="25:27" x14ac:dyDescent="0.3">
      <c r="Y6263" s="48" t="str">
        <f ca="1">IFERROR(IF('Planning Sheet'!DX340='Weeks Plan'!$D$6,'Planning Sheet'!$B340,""),"")</f>
        <v/>
      </c>
      <c r="Z6263" s="48" t="str">
        <f ca="1">IFERROR(IF('Planning Sheet'!DX340='Weeks Plan'!$D$6,"RFD",""),"")</f>
        <v/>
      </c>
      <c r="AA6263" s="48" t="str">
        <f ca="1">IFERROR(IF('Planning Sheet'!DX340='Weeks Plan'!$D$6,'Planning Sheet'!DT340,""),"")</f>
        <v/>
      </c>
    </row>
    <row r="6264" spans="25:27" x14ac:dyDescent="0.3">
      <c r="Y6264" s="48" t="str">
        <f ca="1">IFERROR(IF('Planning Sheet'!DX341='Weeks Plan'!$D$6,'Planning Sheet'!$B341,""),"")</f>
        <v/>
      </c>
      <c r="Z6264" s="48" t="str">
        <f ca="1">IFERROR(IF('Planning Sheet'!DX341='Weeks Plan'!$D$6,"RFD",""),"")</f>
        <v/>
      </c>
      <c r="AA6264" s="48" t="str">
        <f ca="1">IFERROR(IF('Planning Sheet'!DX341='Weeks Plan'!$D$6,'Planning Sheet'!DT341,""),"")</f>
        <v/>
      </c>
    </row>
    <row r="6265" spans="25:27" x14ac:dyDescent="0.3">
      <c r="Y6265" s="48" t="str">
        <f ca="1">IFERROR(IF('Planning Sheet'!DX342='Weeks Plan'!$D$6,'Planning Sheet'!$B342,""),"")</f>
        <v/>
      </c>
      <c r="Z6265" s="48" t="str">
        <f ca="1">IFERROR(IF('Planning Sheet'!DX342='Weeks Plan'!$D$6,"RFD",""),"")</f>
        <v/>
      </c>
      <c r="AA6265" s="48" t="str">
        <f ca="1">IFERROR(IF('Planning Sheet'!DX342='Weeks Plan'!$D$6,'Planning Sheet'!DT342,""),"")</f>
        <v/>
      </c>
    </row>
    <row r="6266" spans="25:27" x14ac:dyDescent="0.3">
      <c r="Y6266" s="48" t="str">
        <f ca="1">IFERROR(IF('Planning Sheet'!DX343='Weeks Plan'!$D$6,'Planning Sheet'!$B343,""),"")</f>
        <v/>
      </c>
      <c r="Z6266" s="48" t="str">
        <f ca="1">IFERROR(IF('Planning Sheet'!DX343='Weeks Plan'!$D$6,"RFD",""),"")</f>
        <v/>
      </c>
      <c r="AA6266" s="48" t="str">
        <f ca="1">IFERROR(IF('Planning Sheet'!DX343='Weeks Plan'!$D$6,'Planning Sheet'!DT343,""),"")</f>
        <v/>
      </c>
    </row>
    <row r="6267" spans="25:27" x14ac:dyDescent="0.3">
      <c r="Y6267" s="48" t="str">
        <f ca="1">IFERROR(IF('Planning Sheet'!DX344='Weeks Plan'!$D$6,'Planning Sheet'!$B344,""),"")</f>
        <v/>
      </c>
      <c r="Z6267" s="48" t="str">
        <f ca="1">IFERROR(IF('Planning Sheet'!DX344='Weeks Plan'!$D$6,"RFD",""),"")</f>
        <v/>
      </c>
      <c r="AA6267" s="48" t="str">
        <f ca="1">IFERROR(IF('Planning Sheet'!DX344='Weeks Plan'!$D$6,'Planning Sheet'!DT344,""),"")</f>
        <v/>
      </c>
    </row>
    <row r="6268" spans="25:27" x14ac:dyDescent="0.3">
      <c r="Y6268" s="48" t="str">
        <f ca="1">IFERROR(IF('Planning Sheet'!DX345='Weeks Plan'!$D$6,'Planning Sheet'!$B345,""),"")</f>
        <v/>
      </c>
      <c r="Z6268" s="48" t="str">
        <f ca="1">IFERROR(IF('Planning Sheet'!DX345='Weeks Plan'!$D$6,"RFD",""),"")</f>
        <v/>
      </c>
      <c r="AA6268" s="48" t="str">
        <f ca="1">IFERROR(IF('Planning Sheet'!DX345='Weeks Plan'!$D$6,'Planning Sheet'!DT345,""),"")</f>
        <v/>
      </c>
    </row>
    <row r="6269" spans="25:27" x14ac:dyDescent="0.3">
      <c r="Y6269" s="48" t="str">
        <f ca="1">IFERROR(IF('Planning Sheet'!DX346='Weeks Plan'!$D$6,'Planning Sheet'!$B346,""),"")</f>
        <v/>
      </c>
      <c r="Z6269" s="48" t="str">
        <f ca="1">IFERROR(IF('Planning Sheet'!DX346='Weeks Plan'!$D$6,"RFD",""),"")</f>
        <v/>
      </c>
      <c r="AA6269" s="48" t="str">
        <f ca="1">IFERROR(IF('Planning Sheet'!DX346='Weeks Plan'!$D$6,'Planning Sheet'!DT346,""),"")</f>
        <v/>
      </c>
    </row>
    <row r="6270" spans="25:27" x14ac:dyDescent="0.3">
      <c r="Y6270" s="48" t="str">
        <f ca="1">IFERROR(IF('Planning Sheet'!DX347='Weeks Plan'!$D$6,'Planning Sheet'!$B347,""),"")</f>
        <v/>
      </c>
      <c r="Z6270" s="48" t="str">
        <f ca="1">IFERROR(IF('Planning Sheet'!DX347='Weeks Plan'!$D$6,"RFD",""),"")</f>
        <v/>
      </c>
      <c r="AA6270" s="48" t="str">
        <f ca="1">IFERROR(IF('Planning Sheet'!DX347='Weeks Plan'!$D$6,'Planning Sheet'!DT347,""),"")</f>
        <v/>
      </c>
    </row>
    <row r="6271" spans="25:27" x14ac:dyDescent="0.3">
      <c r="Y6271" s="48" t="str">
        <f ca="1">IFERROR(IF('Planning Sheet'!DX348='Weeks Plan'!$D$6,'Planning Sheet'!$B348,""),"")</f>
        <v/>
      </c>
      <c r="Z6271" s="48" t="str">
        <f ca="1">IFERROR(IF('Planning Sheet'!DX348='Weeks Plan'!$D$6,"RFD",""),"")</f>
        <v/>
      </c>
      <c r="AA6271" s="48" t="str">
        <f ca="1">IFERROR(IF('Planning Sheet'!DX348='Weeks Plan'!$D$6,'Planning Sheet'!DT348,""),"")</f>
        <v/>
      </c>
    </row>
    <row r="6272" spans="25:27" x14ac:dyDescent="0.3">
      <c r="Y6272" s="48" t="str">
        <f ca="1">IFERROR(IF('Planning Sheet'!DX349='Weeks Plan'!$D$6,'Planning Sheet'!$B349,""),"")</f>
        <v/>
      </c>
      <c r="Z6272" s="48" t="str">
        <f ca="1">IFERROR(IF('Planning Sheet'!DX349='Weeks Plan'!$D$6,"RFD",""),"")</f>
        <v/>
      </c>
      <c r="AA6272" s="48" t="str">
        <f ca="1">IFERROR(IF('Planning Sheet'!DX349='Weeks Plan'!$D$6,'Planning Sheet'!DT349,""),"")</f>
        <v/>
      </c>
    </row>
    <row r="6273" spans="25:27" x14ac:dyDescent="0.3">
      <c r="Y6273" s="48" t="str">
        <f ca="1">IFERROR(IF('Planning Sheet'!DX350='Weeks Plan'!$D$6,'Planning Sheet'!$B350,""),"")</f>
        <v/>
      </c>
      <c r="Z6273" s="48" t="str">
        <f ca="1">IFERROR(IF('Planning Sheet'!DX350='Weeks Plan'!$D$6,"RFD",""),"")</f>
        <v/>
      </c>
      <c r="AA6273" s="48" t="str">
        <f ca="1">IFERROR(IF('Planning Sheet'!DX350='Weeks Plan'!$D$6,'Planning Sheet'!DT350,""),"")</f>
        <v/>
      </c>
    </row>
    <row r="6274" spans="25:27" x14ac:dyDescent="0.3">
      <c r="Y6274" s="48" t="str">
        <f ca="1">IFERROR(IF('Planning Sheet'!DX351='Weeks Plan'!$D$6,'Planning Sheet'!$B351,""),"")</f>
        <v/>
      </c>
      <c r="Z6274" s="48" t="str">
        <f ca="1">IFERROR(IF('Planning Sheet'!DX351='Weeks Plan'!$D$6,"RFD",""),"")</f>
        <v/>
      </c>
      <c r="AA6274" s="48" t="str">
        <f ca="1">IFERROR(IF('Planning Sheet'!DX351='Weeks Plan'!$D$6,'Planning Sheet'!DT351,""),"")</f>
        <v/>
      </c>
    </row>
    <row r="6275" spans="25:27" x14ac:dyDescent="0.3">
      <c r="Y6275" s="48" t="str">
        <f ca="1">IFERROR(IF('Planning Sheet'!DX352='Weeks Plan'!$D$6,'Planning Sheet'!$B352,""),"")</f>
        <v/>
      </c>
      <c r="Z6275" s="48" t="str">
        <f ca="1">IFERROR(IF('Planning Sheet'!DX352='Weeks Plan'!$D$6,"RFD",""),"")</f>
        <v/>
      </c>
      <c r="AA6275" s="48" t="str">
        <f ca="1">IFERROR(IF('Planning Sheet'!DX352='Weeks Plan'!$D$6,'Planning Sheet'!DT352,""),"")</f>
        <v/>
      </c>
    </row>
    <row r="6276" spans="25:27" x14ac:dyDescent="0.3">
      <c r="Y6276" s="48" t="str">
        <f ca="1">IFERROR(IF('Planning Sheet'!DX353='Weeks Plan'!$D$6,'Planning Sheet'!$B353,""),"")</f>
        <v/>
      </c>
      <c r="Z6276" s="48" t="str">
        <f ca="1">IFERROR(IF('Planning Sheet'!DX353='Weeks Plan'!$D$6,"RFD",""),"")</f>
        <v/>
      </c>
      <c r="AA6276" s="48" t="str">
        <f ca="1">IFERROR(IF('Planning Sheet'!DX353='Weeks Plan'!$D$6,'Planning Sheet'!DT353,""),"")</f>
        <v/>
      </c>
    </row>
    <row r="6277" spans="25:27" x14ac:dyDescent="0.3">
      <c r="Y6277" s="48" t="str">
        <f ca="1">IFERROR(IF('Planning Sheet'!DX354='Weeks Plan'!$D$6,'Planning Sheet'!$B354,""),"")</f>
        <v/>
      </c>
      <c r="Z6277" s="48" t="str">
        <f ca="1">IFERROR(IF('Planning Sheet'!DX354='Weeks Plan'!$D$6,"RFD",""),"")</f>
        <v/>
      </c>
      <c r="AA6277" s="48" t="str">
        <f ca="1">IFERROR(IF('Planning Sheet'!DX354='Weeks Plan'!$D$6,'Planning Sheet'!DT354,""),"")</f>
        <v/>
      </c>
    </row>
    <row r="6278" spans="25:27" x14ac:dyDescent="0.3">
      <c r="Y6278" s="48" t="str">
        <f ca="1">IFERROR(IF('Planning Sheet'!DX355='Weeks Plan'!$D$6,'Planning Sheet'!$B355,""),"")</f>
        <v/>
      </c>
      <c r="Z6278" s="48" t="str">
        <f ca="1">IFERROR(IF('Planning Sheet'!DX355='Weeks Plan'!$D$6,"RFD",""),"")</f>
        <v/>
      </c>
      <c r="AA6278" s="48" t="str">
        <f ca="1">IFERROR(IF('Planning Sheet'!DX355='Weeks Plan'!$D$6,'Planning Sheet'!DT355,""),"")</f>
        <v/>
      </c>
    </row>
    <row r="6279" spans="25:27" x14ac:dyDescent="0.3">
      <c r="Y6279" s="48" t="str">
        <f ca="1">IFERROR(IF('Planning Sheet'!DX356='Weeks Plan'!$D$6,'Planning Sheet'!$B356,""),"")</f>
        <v/>
      </c>
      <c r="Z6279" s="48" t="str">
        <f ca="1">IFERROR(IF('Planning Sheet'!DX356='Weeks Plan'!$D$6,"RFD",""),"")</f>
        <v/>
      </c>
      <c r="AA6279" s="48" t="str">
        <f ca="1">IFERROR(IF('Planning Sheet'!DX356='Weeks Plan'!$D$6,'Planning Sheet'!DT356,""),"")</f>
        <v/>
      </c>
    </row>
    <row r="6280" spans="25:27" x14ac:dyDescent="0.3">
      <c r="Y6280" s="48" t="str">
        <f ca="1">IFERROR(IF('Planning Sheet'!DX357='Weeks Plan'!$D$6,'Planning Sheet'!$B357,""),"")</f>
        <v/>
      </c>
      <c r="Z6280" s="48" t="str">
        <f ca="1">IFERROR(IF('Planning Sheet'!DX357='Weeks Plan'!$D$6,"RFD",""),"")</f>
        <v/>
      </c>
      <c r="AA6280" s="48" t="str">
        <f ca="1">IFERROR(IF('Planning Sheet'!DX357='Weeks Plan'!$D$6,'Planning Sheet'!DT357,""),"")</f>
        <v/>
      </c>
    </row>
    <row r="6281" spans="25:27" x14ac:dyDescent="0.3">
      <c r="Y6281" s="48" t="str">
        <f ca="1">IFERROR(IF('Planning Sheet'!DX358='Weeks Plan'!$D$6,'Planning Sheet'!$B358,""),"")</f>
        <v/>
      </c>
      <c r="Z6281" s="48" t="str">
        <f ca="1">IFERROR(IF('Planning Sheet'!DX358='Weeks Plan'!$D$6,"RFD",""),"")</f>
        <v/>
      </c>
      <c r="AA6281" s="48" t="str">
        <f ca="1">IFERROR(IF('Planning Sheet'!DX358='Weeks Plan'!$D$6,'Planning Sheet'!DT358,""),"")</f>
        <v/>
      </c>
    </row>
    <row r="6282" spans="25:27" x14ac:dyDescent="0.3">
      <c r="Y6282" s="48" t="str">
        <f ca="1">IFERROR(IF('Planning Sheet'!DX359='Weeks Plan'!$D$6,'Planning Sheet'!$B359,""),"")</f>
        <v/>
      </c>
      <c r="Z6282" s="48" t="str">
        <f ca="1">IFERROR(IF('Planning Sheet'!DX359='Weeks Plan'!$D$6,"RFD",""),"")</f>
        <v/>
      </c>
      <c r="AA6282" s="48" t="str">
        <f ca="1">IFERROR(IF('Planning Sheet'!DX359='Weeks Plan'!$D$6,'Planning Sheet'!DT359,""),"")</f>
        <v/>
      </c>
    </row>
    <row r="6283" spans="25:27" x14ac:dyDescent="0.3">
      <c r="Y6283" s="48" t="str">
        <f ca="1">IFERROR(IF('Planning Sheet'!DX360='Weeks Plan'!$D$6,'Planning Sheet'!$B360,""),"")</f>
        <v/>
      </c>
      <c r="Z6283" s="48" t="str">
        <f ca="1">IFERROR(IF('Planning Sheet'!DX360='Weeks Plan'!$D$6,"RFD",""),"")</f>
        <v/>
      </c>
      <c r="AA6283" s="48" t="str">
        <f ca="1">IFERROR(IF('Planning Sheet'!DX360='Weeks Plan'!$D$6,'Planning Sheet'!DT360,""),"")</f>
        <v/>
      </c>
    </row>
    <row r="6284" spans="25:27" x14ac:dyDescent="0.3">
      <c r="Y6284" s="48" t="str">
        <f ca="1">IFERROR(IF('Planning Sheet'!DX361='Weeks Plan'!$D$6,'Planning Sheet'!$B361,""),"")</f>
        <v/>
      </c>
      <c r="Z6284" s="48" t="str">
        <f ca="1">IFERROR(IF('Planning Sheet'!DX361='Weeks Plan'!$D$6,"RFD",""),"")</f>
        <v/>
      </c>
      <c r="AA6284" s="48" t="str">
        <f ca="1">IFERROR(IF('Planning Sheet'!DX361='Weeks Plan'!$D$6,'Planning Sheet'!DT361,""),"")</f>
        <v/>
      </c>
    </row>
    <row r="6285" spans="25:27" x14ac:dyDescent="0.3">
      <c r="Y6285" s="48" t="str">
        <f ca="1">IFERROR(IF('Planning Sheet'!DX362='Weeks Plan'!$D$6,'Planning Sheet'!$B362,""),"")</f>
        <v/>
      </c>
      <c r="Z6285" s="48" t="str">
        <f ca="1">IFERROR(IF('Planning Sheet'!DX362='Weeks Plan'!$D$6,"RFD",""),"")</f>
        <v/>
      </c>
      <c r="AA6285" s="48" t="str">
        <f ca="1">IFERROR(IF('Planning Sheet'!DX362='Weeks Plan'!$D$6,'Planning Sheet'!DT362,""),"")</f>
        <v/>
      </c>
    </row>
    <row r="6286" spans="25:27" x14ac:dyDescent="0.3">
      <c r="Y6286" s="48" t="str">
        <f ca="1">IFERROR(IF('Planning Sheet'!DX363='Weeks Plan'!$D$6,'Planning Sheet'!$B363,""),"")</f>
        <v/>
      </c>
      <c r="Z6286" s="48" t="str">
        <f ca="1">IFERROR(IF('Planning Sheet'!DX363='Weeks Plan'!$D$6,"RFD",""),"")</f>
        <v/>
      </c>
      <c r="AA6286" s="48" t="str">
        <f ca="1">IFERROR(IF('Planning Sheet'!DX363='Weeks Plan'!$D$6,'Planning Sheet'!DT363,""),"")</f>
        <v/>
      </c>
    </row>
    <row r="6287" spans="25:27" x14ac:dyDescent="0.3">
      <c r="Y6287" s="48" t="str">
        <f ca="1">IFERROR(IF('Planning Sheet'!DX364='Weeks Plan'!$D$6,'Planning Sheet'!$B364,""),"")</f>
        <v/>
      </c>
      <c r="Z6287" s="48" t="str">
        <f ca="1">IFERROR(IF('Planning Sheet'!DX364='Weeks Plan'!$D$6,"RFD",""),"")</f>
        <v/>
      </c>
      <c r="AA6287" s="48" t="str">
        <f ca="1">IFERROR(IF('Planning Sheet'!DX364='Weeks Plan'!$D$6,'Planning Sheet'!DT364,""),"")</f>
        <v/>
      </c>
    </row>
    <row r="6288" spans="25:27" x14ac:dyDescent="0.3">
      <c r="Y6288" s="48" t="str">
        <f ca="1">IFERROR(IF('Planning Sheet'!DX365='Weeks Plan'!$D$6,'Planning Sheet'!$B365,""),"")</f>
        <v/>
      </c>
      <c r="Z6288" s="48" t="str">
        <f ca="1">IFERROR(IF('Planning Sheet'!DX365='Weeks Plan'!$D$6,"RFD",""),"")</f>
        <v/>
      </c>
      <c r="AA6288" s="48" t="str">
        <f ca="1">IFERROR(IF('Planning Sheet'!DX365='Weeks Plan'!$D$6,'Planning Sheet'!DT365,""),"")</f>
        <v/>
      </c>
    </row>
    <row r="6289" spans="25:27" x14ac:dyDescent="0.3">
      <c r="Y6289" s="48" t="str">
        <f ca="1">IFERROR(IF('Planning Sheet'!DX366='Weeks Plan'!$D$6,'Planning Sheet'!$B366,""),"")</f>
        <v/>
      </c>
      <c r="Z6289" s="48" t="str">
        <f ca="1">IFERROR(IF('Planning Sheet'!DX366='Weeks Plan'!$D$6,"RFD",""),"")</f>
        <v/>
      </c>
      <c r="AA6289" s="48" t="str">
        <f ca="1">IFERROR(IF('Planning Sheet'!DX366='Weeks Plan'!$D$6,'Planning Sheet'!DT366,""),"")</f>
        <v/>
      </c>
    </row>
    <row r="6290" spans="25:27" x14ac:dyDescent="0.3">
      <c r="Y6290" s="48" t="str">
        <f ca="1">IFERROR(IF('Planning Sheet'!DX367='Weeks Plan'!$D$6,'Planning Sheet'!$B367,""),"")</f>
        <v/>
      </c>
      <c r="Z6290" s="48" t="str">
        <f ca="1">IFERROR(IF('Planning Sheet'!DX367='Weeks Plan'!$D$6,"RFD",""),"")</f>
        <v/>
      </c>
      <c r="AA6290" s="48" t="str">
        <f ca="1">IFERROR(IF('Planning Sheet'!DX367='Weeks Plan'!$D$6,'Planning Sheet'!DT367,""),"")</f>
        <v/>
      </c>
    </row>
    <row r="6291" spans="25:27" x14ac:dyDescent="0.3">
      <c r="Y6291" s="48" t="str">
        <f ca="1">IFERROR(IF('Planning Sheet'!DX368='Weeks Plan'!$D$6,'Planning Sheet'!$B368,""),"")</f>
        <v/>
      </c>
      <c r="Z6291" s="48" t="str">
        <f ca="1">IFERROR(IF('Planning Sheet'!DX368='Weeks Plan'!$D$6,"RFD",""),"")</f>
        <v/>
      </c>
      <c r="AA6291" s="48" t="str">
        <f ca="1">IFERROR(IF('Planning Sheet'!DX368='Weeks Plan'!$D$6,'Planning Sheet'!DT368,""),"")</f>
        <v/>
      </c>
    </row>
    <row r="6292" spans="25:27" x14ac:dyDescent="0.3">
      <c r="Y6292" s="48" t="str">
        <f ca="1">IFERROR(IF('Planning Sheet'!DX369='Weeks Plan'!$D$6,'Planning Sheet'!$B369,""),"")</f>
        <v/>
      </c>
      <c r="Z6292" s="48" t="str">
        <f ca="1">IFERROR(IF('Planning Sheet'!DX369='Weeks Plan'!$D$6,"RFD",""),"")</f>
        <v/>
      </c>
      <c r="AA6292" s="48" t="str">
        <f ca="1">IFERROR(IF('Planning Sheet'!DX369='Weeks Plan'!$D$6,'Planning Sheet'!DT369,""),"")</f>
        <v/>
      </c>
    </row>
    <row r="6293" spans="25:27" x14ac:dyDescent="0.3">
      <c r="Y6293" s="48" t="str">
        <f ca="1">IFERROR(IF('Planning Sheet'!DX370='Weeks Plan'!$D$6,'Planning Sheet'!$B370,""),"")</f>
        <v/>
      </c>
      <c r="Z6293" s="48" t="str">
        <f ca="1">IFERROR(IF('Planning Sheet'!DX370='Weeks Plan'!$D$6,"RFD",""),"")</f>
        <v/>
      </c>
      <c r="AA6293" s="48" t="str">
        <f ca="1">IFERROR(IF('Planning Sheet'!DX370='Weeks Plan'!$D$6,'Planning Sheet'!DT370,""),"")</f>
        <v/>
      </c>
    </row>
    <row r="6294" spans="25:27" x14ac:dyDescent="0.3">
      <c r="Y6294" s="48" t="str">
        <f ca="1">IFERROR(IF('Planning Sheet'!DX371='Weeks Plan'!$D$6,'Planning Sheet'!$B371,""),"")</f>
        <v/>
      </c>
      <c r="Z6294" s="48" t="str">
        <f ca="1">IFERROR(IF('Planning Sheet'!DX371='Weeks Plan'!$D$6,"RFD",""),"")</f>
        <v/>
      </c>
      <c r="AA6294" s="48" t="str">
        <f ca="1">IFERROR(IF('Planning Sheet'!DX371='Weeks Plan'!$D$6,'Planning Sheet'!DT371,""),"")</f>
        <v/>
      </c>
    </row>
    <row r="6295" spans="25:27" x14ac:dyDescent="0.3">
      <c r="Y6295" s="48" t="str">
        <f ca="1">IFERROR(IF('Planning Sheet'!DX372='Weeks Plan'!$D$6,'Planning Sheet'!$B372,""),"")</f>
        <v/>
      </c>
      <c r="Z6295" s="48" t="str">
        <f ca="1">IFERROR(IF('Planning Sheet'!DX372='Weeks Plan'!$D$6,"RFD",""),"")</f>
        <v/>
      </c>
      <c r="AA6295" s="48" t="str">
        <f ca="1">IFERROR(IF('Planning Sheet'!DX372='Weeks Plan'!$D$6,'Planning Sheet'!DT372,""),"")</f>
        <v/>
      </c>
    </row>
    <row r="6296" spans="25:27" x14ac:dyDescent="0.3">
      <c r="Y6296" s="48" t="str">
        <f ca="1">IFERROR(IF('Planning Sheet'!DX373='Weeks Plan'!$D$6,'Planning Sheet'!$B373,""),"")</f>
        <v/>
      </c>
      <c r="Z6296" s="48" t="str">
        <f ca="1">IFERROR(IF('Planning Sheet'!DX373='Weeks Plan'!$D$6,"RFD",""),"")</f>
        <v/>
      </c>
      <c r="AA6296" s="48" t="str">
        <f ca="1">IFERROR(IF('Planning Sheet'!DX373='Weeks Plan'!$D$6,'Planning Sheet'!DT373,""),"")</f>
        <v/>
      </c>
    </row>
    <row r="6297" spans="25:27" x14ac:dyDescent="0.3">
      <c r="Y6297" s="48" t="str">
        <f ca="1">IFERROR(IF('Planning Sheet'!DX374='Weeks Plan'!$D$6,'Planning Sheet'!$B374,""),"")</f>
        <v/>
      </c>
      <c r="Z6297" s="48" t="str">
        <f ca="1">IFERROR(IF('Planning Sheet'!DX374='Weeks Plan'!$D$6,"RFD",""),"")</f>
        <v/>
      </c>
      <c r="AA6297" s="48" t="str">
        <f ca="1">IFERROR(IF('Planning Sheet'!DX374='Weeks Plan'!$D$6,'Planning Sheet'!DT374,""),"")</f>
        <v/>
      </c>
    </row>
    <row r="6298" spans="25:27" x14ac:dyDescent="0.3">
      <c r="Y6298" s="48" t="str">
        <f ca="1">IFERROR(IF('Planning Sheet'!DX375='Weeks Plan'!$D$6,'Planning Sheet'!$B375,""),"")</f>
        <v/>
      </c>
      <c r="Z6298" s="48" t="str">
        <f ca="1">IFERROR(IF('Planning Sheet'!DX375='Weeks Plan'!$D$6,"RFD",""),"")</f>
        <v/>
      </c>
      <c r="AA6298" s="48" t="str">
        <f ca="1">IFERROR(IF('Planning Sheet'!DX375='Weeks Plan'!$D$6,'Planning Sheet'!DT375,""),"")</f>
        <v/>
      </c>
    </row>
    <row r="6299" spans="25:27" x14ac:dyDescent="0.3">
      <c r="Y6299" s="48" t="str">
        <f ca="1">IFERROR(IF('Planning Sheet'!DX376='Weeks Plan'!$D$6,'Planning Sheet'!$B376,""),"")</f>
        <v/>
      </c>
      <c r="Z6299" s="48" t="str">
        <f ca="1">IFERROR(IF('Planning Sheet'!DX376='Weeks Plan'!$D$6,"RFD",""),"")</f>
        <v/>
      </c>
      <c r="AA6299" s="48" t="str">
        <f ca="1">IFERROR(IF('Planning Sheet'!DX376='Weeks Plan'!$D$6,'Planning Sheet'!DT376,""),"")</f>
        <v/>
      </c>
    </row>
    <row r="6300" spans="25:27" x14ac:dyDescent="0.3">
      <c r="Y6300" s="48" t="str">
        <f ca="1">IFERROR(IF('Planning Sheet'!DX377='Weeks Plan'!$D$6,'Planning Sheet'!$B377,""),"")</f>
        <v/>
      </c>
      <c r="Z6300" s="48" t="str">
        <f ca="1">IFERROR(IF('Planning Sheet'!DX377='Weeks Plan'!$D$6,"RFD",""),"")</f>
        <v/>
      </c>
      <c r="AA6300" s="48" t="str">
        <f ca="1">IFERROR(IF('Planning Sheet'!DX377='Weeks Plan'!$D$6,'Planning Sheet'!DT377,""),"")</f>
        <v/>
      </c>
    </row>
    <row r="6301" spans="25:27" x14ac:dyDescent="0.3">
      <c r="Y6301" s="48" t="str">
        <f ca="1">IFERROR(IF('Planning Sheet'!DX378='Weeks Plan'!$D$6,'Planning Sheet'!$B378,""),"")</f>
        <v/>
      </c>
      <c r="Z6301" s="48" t="str">
        <f ca="1">IFERROR(IF('Planning Sheet'!DX378='Weeks Plan'!$D$6,"RFD",""),"")</f>
        <v/>
      </c>
      <c r="AA6301" s="48" t="str">
        <f ca="1">IFERROR(IF('Planning Sheet'!DX378='Weeks Plan'!$D$6,'Planning Sheet'!DT378,""),"")</f>
        <v/>
      </c>
    </row>
    <row r="6302" spans="25:27" x14ac:dyDescent="0.3">
      <c r="Y6302" s="48" t="str">
        <f ca="1">IFERROR(IF('Planning Sheet'!DX379='Weeks Plan'!$D$6,'Planning Sheet'!$B379,""),"")</f>
        <v/>
      </c>
      <c r="Z6302" s="48" t="str">
        <f ca="1">IFERROR(IF('Planning Sheet'!DX379='Weeks Plan'!$D$6,"RFD",""),"")</f>
        <v/>
      </c>
      <c r="AA6302" s="48" t="str">
        <f ca="1">IFERROR(IF('Planning Sheet'!DX379='Weeks Plan'!$D$6,'Planning Sheet'!DT379,""),"")</f>
        <v/>
      </c>
    </row>
    <row r="6303" spans="25:27" x14ac:dyDescent="0.3">
      <c r="Y6303" s="48" t="str">
        <f ca="1">IFERROR(IF('Planning Sheet'!DX380='Weeks Plan'!$D$6,'Planning Sheet'!$B380,""),"")</f>
        <v/>
      </c>
      <c r="Z6303" s="48" t="str">
        <f ca="1">IFERROR(IF('Planning Sheet'!DX380='Weeks Plan'!$D$6,"RFD",""),"")</f>
        <v/>
      </c>
      <c r="AA6303" s="48" t="str">
        <f ca="1">IFERROR(IF('Planning Sheet'!DX380='Weeks Plan'!$D$6,'Planning Sheet'!DT380,""),"")</f>
        <v/>
      </c>
    </row>
    <row r="6304" spans="25:27" x14ac:dyDescent="0.3">
      <c r="Y6304" s="48" t="str">
        <f ca="1">IFERROR(IF('Planning Sheet'!DX381='Weeks Plan'!$D$6,'Planning Sheet'!$B381,""),"")</f>
        <v/>
      </c>
      <c r="Z6304" s="48" t="str">
        <f ca="1">IFERROR(IF('Planning Sheet'!DX381='Weeks Plan'!$D$6,"RFD",""),"")</f>
        <v/>
      </c>
      <c r="AA6304" s="48" t="str">
        <f ca="1">IFERROR(IF('Planning Sheet'!DX381='Weeks Plan'!$D$6,'Planning Sheet'!DT381,""),"")</f>
        <v/>
      </c>
    </row>
    <row r="6305" spans="25:27" x14ac:dyDescent="0.3">
      <c r="Y6305" s="48" t="str">
        <f ca="1">IFERROR(IF('Planning Sheet'!DX382='Weeks Plan'!$D$6,'Planning Sheet'!$B382,""),"")</f>
        <v/>
      </c>
      <c r="Z6305" s="48" t="str">
        <f ca="1">IFERROR(IF('Planning Sheet'!DX382='Weeks Plan'!$D$6,"RFD",""),"")</f>
        <v/>
      </c>
      <c r="AA6305" s="48" t="str">
        <f ca="1">IFERROR(IF('Planning Sheet'!DX382='Weeks Plan'!$D$6,'Planning Sheet'!DT382,""),"")</f>
        <v/>
      </c>
    </row>
    <row r="6306" spans="25:27" x14ac:dyDescent="0.3">
      <c r="Y6306" s="48" t="str">
        <f ca="1">IFERROR(IF('Planning Sheet'!DX383='Weeks Plan'!$D$6,'Planning Sheet'!$B383,""),"")</f>
        <v/>
      </c>
      <c r="Z6306" s="48" t="str">
        <f ca="1">IFERROR(IF('Planning Sheet'!DX383='Weeks Plan'!$D$6,"RFD",""),"")</f>
        <v/>
      </c>
      <c r="AA6306" s="48" t="str">
        <f ca="1">IFERROR(IF('Planning Sheet'!DX383='Weeks Plan'!$D$6,'Planning Sheet'!DT383,""),"")</f>
        <v/>
      </c>
    </row>
    <row r="6307" spans="25:27" x14ac:dyDescent="0.3">
      <c r="Y6307" s="48" t="str">
        <f ca="1">IFERROR(IF('Planning Sheet'!DX384='Weeks Plan'!$D$6,'Planning Sheet'!$B384,""),"")</f>
        <v/>
      </c>
      <c r="Z6307" s="48" t="str">
        <f ca="1">IFERROR(IF('Planning Sheet'!DX384='Weeks Plan'!$D$6,"RFD",""),"")</f>
        <v/>
      </c>
      <c r="AA6307" s="48" t="str">
        <f ca="1">IFERROR(IF('Planning Sheet'!DX384='Weeks Plan'!$D$6,'Planning Sheet'!DT384,""),"")</f>
        <v/>
      </c>
    </row>
    <row r="6308" spans="25:27" x14ac:dyDescent="0.3">
      <c r="Y6308" s="48" t="str">
        <f ca="1">IFERROR(IF('Planning Sheet'!DX385='Weeks Plan'!$D$6,'Planning Sheet'!$B385,""),"")</f>
        <v/>
      </c>
      <c r="Z6308" s="48" t="str">
        <f ca="1">IFERROR(IF('Planning Sheet'!DX385='Weeks Plan'!$D$6,"RFD",""),"")</f>
        <v/>
      </c>
      <c r="AA6308" s="48" t="str">
        <f ca="1">IFERROR(IF('Planning Sheet'!DX385='Weeks Plan'!$D$6,'Planning Sheet'!DT385,""),"")</f>
        <v/>
      </c>
    </row>
    <row r="6309" spans="25:27" x14ac:dyDescent="0.3">
      <c r="Y6309" s="48" t="str">
        <f ca="1">IFERROR(IF('Planning Sheet'!DX386='Weeks Plan'!$D$6,'Planning Sheet'!$B386,""),"")</f>
        <v/>
      </c>
      <c r="Z6309" s="48" t="str">
        <f ca="1">IFERROR(IF('Planning Sheet'!DX386='Weeks Plan'!$D$6,"RFD",""),"")</f>
        <v/>
      </c>
      <c r="AA6309" s="48" t="str">
        <f ca="1">IFERROR(IF('Planning Sheet'!DX386='Weeks Plan'!$D$6,'Planning Sheet'!DT386,""),"")</f>
        <v/>
      </c>
    </row>
    <row r="6310" spans="25:27" x14ac:dyDescent="0.3">
      <c r="Y6310" s="48" t="str">
        <f ca="1">IFERROR(IF('Planning Sheet'!DX387='Weeks Plan'!$D$6,'Planning Sheet'!$B387,""),"")</f>
        <v/>
      </c>
      <c r="Z6310" s="48" t="str">
        <f ca="1">IFERROR(IF('Planning Sheet'!DX387='Weeks Plan'!$D$6,"RFD",""),"")</f>
        <v/>
      </c>
      <c r="AA6310" s="48" t="str">
        <f ca="1">IFERROR(IF('Planning Sheet'!DX387='Weeks Plan'!$D$6,'Planning Sheet'!DT387,""),"")</f>
        <v/>
      </c>
    </row>
    <row r="6311" spans="25:27" x14ac:dyDescent="0.3">
      <c r="Y6311" s="48" t="str">
        <f ca="1">IFERROR(IF('Planning Sheet'!DX388='Weeks Plan'!$D$6,'Planning Sheet'!$B388,""),"")</f>
        <v/>
      </c>
      <c r="Z6311" s="48" t="str">
        <f ca="1">IFERROR(IF('Planning Sheet'!DX388='Weeks Plan'!$D$6,"RFD",""),"")</f>
        <v/>
      </c>
      <c r="AA6311" s="48" t="str">
        <f ca="1">IFERROR(IF('Planning Sheet'!DX388='Weeks Plan'!$D$6,'Planning Sheet'!DT388,""),"")</f>
        <v/>
      </c>
    </row>
    <row r="6312" spans="25:27" x14ac:dyDescent="0.3">
      <c r="Y6312" s="48" t="str">
        <f ca="1">IFERROR(IF('Planning Sheet'!DX389='Weeks Plan'!$D$6,'Planning Sheet'!$B389,""),"")</f>
        <v/>
      </c>
      <c r="Z6312" s="48" t="str">
        <f ca="1">IFERROR(IF('Planning Sheet'!DX389='Weeks Plan'!$D$6,"RFD",""),"")</f>
        <v/>
      </c>
      <c r="AA6312" s="48" t="str">
        <f ca="1">IFERROR(IF('Planning Sheet'!DX389='Weeks Plan'!$D$6,'Planning Sheet'!DT389,""),"")</f>
        <v/>
      </c>
    </row>
    <row r="6313" spans="25:27" x14ac:dyDescent="0.3">
      <c r="Y6313" s="48" t="str">
        <f ca="1">IFERROR(IF('Planning Sheet'!DX390='Weeks Plan'!$D$6,'Planning Sheet'!$B390,""),"")</f>
        <v/>
      </c>
      <c r="Z6313" s="48" t="str">
        <f ca="1">IFERROR(IF('Planning Sheet'!DX390='Weeks Plan'!$D$6,"RFD",""),"")</f>
        <v/>
      </c>
      <c r="AA6313" s="48" t="str">
        <f ca="1">IFERROR(IF('Planning Sheet'!DX390='Weeks Plan'!$D$6,'Planning Sheet'!DT390,""),"")</f>
        <v/>
      </c>
    </row>
    <row r="6314" spans="25:27" x14ac:dyDescent="0.3">
      <c r="Y6314" s="48" t="str">
        <f ca="1">IFERROR(IF('Planning Sheet'!DX391='Weeks Plan'!$D$6,'Planning Sheet'!$B391,""),"")</f>
        <v/>
      </c>
      <c r="Z6314" s="48" t="str">
        <f ca="1">IFERROR(IF('Planning Sheet'!DX391='Weeks Plan'!$D$6,"RFD",""),"")</f>
        <v/>
      </c>
      <c r="AA6314" s="48" t="str">
        <f ca="1">IFERROR(IF('Planning Sheet'!DX391='Weeks Plan'!$D$6,'Planning Sheet'!DT391,""),"")</f>
        <v/>
      </c>
    </row>
    <row r="6315" spans="25:27" x14ac:dyDescent="0.3">
      <c r="Y6315" s="48" t="str">
        <f ca="1">IFERROR(IF('Planning Sheet'!DX392='Weeks Plan'!$D$6,'Planning Sheet'!$B392,""),"")</f>
        <v/>
      </c>
      <c r="Z6315" s="48" t="str">
        <f ca="1">IFERROR(IF('Planning Sheet'!DX392='Weeks Plan'!$D$6,"RFD",""),"")</f>
        <v/>
      </c>
      <c r="AA6315" s="48" t="str">
        <f ca="1">IFERROR(IF('Planning Sheet'!DX392='Weeks Plan'!$D$6,'Planning Sheet'!DT392,""),"")</f>
        <v/>
      </c>
    </row>
    <row r="6316" spans="25:27" x14ac:dyDescent="0.3">
      <c r="Y6316" s="48" t="str">
        <f ca="1">IFERROR(IF('Planning Sheet'!DX393='Weeks Plan'!$D$6,'Planning Sheet'!$B393,""),"")</f>
        <v/>
      </c>
      <c r="Z6316" s="48" t="str">
        <f ca="1">IFERROR(IF('Planning Sheet'!DX393='Weeks Plan'!$D$6,"RFD",""),"")</f>
        <v/>
      </c>
      <c r="AA6316" s="48" t="str">
        <f ca="1">IFERROR(IF('Planning Sheet'!DX393='Weeks Plan'!$D$6,'Planning Sheet'!DT393,""),"")</f>
        <v/>
      </c>
    </row>
    <row r="6317" spans="25:27" x14ac:dyDescent="0.3">
      <c r="Y6317" s="48" t="str">
        <f ca="1">IFERROR(IF('Planning Sheet'!DX394='Weeks Plan'!$D$6,'Planning Sheet'!$B394,""),"")</f>
        <v/>
      </c>
      <c r="Z6317" s="48" t="str">
        <f ca="1">IFERROR(IF('Planning Sheet'!DX394='Weeks Plan'!$D$6,"RFD",""),"")</f>
        <v/>
      </c>
      <c r="AA6317" s="48" t="str">
        <f ca="1">IFERROR(IF('Planning Sheet'!DX394='Weeks Plan'!$D$6,'Planning Sheet'!DT394,""),"")</f>
        <v/>
      </c>
    </row>
    <row r="6318" spans="25:27" x14ac:dyDescent="0.3">
      <c r="Y6318" s="48" t="str">
        <f ca="1">IFERROR(IF('Planning Sheet'!DX395='Weeks Plan'!$D$6,'Planning Sheet'!$B395,""),"")</f>
        <v/>
      </c>
      <c r="Z6318" s="48" t="str">
        <f ca="1">IFERROR(IF('Planning Sheet'!DX395='Weeks Plan'!$D$6,"RFD",""),"")</f>
        <v/>
      </c>
      <c r="AA6318" s="48" t="str">
        <f ca="1">IFERROR(IF('Planning Sheet'!DX395='Weeks Plan'!$D$6,'Planning Sheet'!DT395,""),"")</f>
        <v/>
      </c>
    </row>
    <row r="6319" spans="25:27" x14ac:dyDescent="0.3">
      <c r="Y6319" s="48" t="str">
        <f ca="1">IFERROR(IF('Planning Sheet'!DX396='Weeks Plan'!$D$6,'Planning Sheet'!$B396,""),"")</f>
        <v/>
      </c>
      <c r="Z6319" s="48" t="str">
        <f ca="1">IFERROR(IF('Planning Sheet'!DX396='Weeks Plan'!$D$6,"RFD",""),"")</f>
        <v/>
      </c>
      <c r="AA6319" s="48" t="str">
        <f ca="1">IFERROR(IF('Planning Sheet'!DX396='Weeks Plan'!$D$6,'Planning Sheet'!DT396,""),"")</f>
        <v/>
      </c>
    </row>
    <row r="6320" spans="25:27" x14ac:dyDescent="0.3">
      <c r="Y6320" s="48" t="str">
        <f ca="1">IFERROR(IF('Planning Sheet'!DX397='Weeks Plan'!$D$6,'Planning Sheet'!$B397,""),"")</f>
        <v/>
      </c>
      <c r="Z6320" s="48" t="str">
        <f ca="1">IFERROR(IF('Planning Sheet'!DX397='Weeks Plan'!$D$6,"RFD",""),"")</f>
        <v/>
      </c>
      <c r="AA6320" s="48" t="str">
        <f ca="1">IFERROR(IF('Planning Sheet'!DX397='Weeks Plan'!$D$6,'Planning Sheet'!DT397,""),"")</f>
        <v/>
      </c>
    </row>
    <row r="6321" spans="25:27" x14ac:dyDescent="0.3">
      <c r="Y6321" s="48" t="str">
        <f ca="1">IFERROR(IF('Planning Sheet'!DX398='Weeks Plan'!$D$6,'Planning Sheet'!$B398,""),"")</f>
        <v/>
      </c>
      <c r="Z6321" s="48" t="str">
        <f ca="1">IFERROR(IF('Planning Sheet'!DX398='Weeks Plan'!$D$6,"RFD",""),"")</f>
        <v/>
      </c>
      <c r="AA6321" s="48" t="str">
        <f ca="1">IFERROR(IF('Planning Sheet'!DX398='Weeks Plan'!$D$6,'Planning Sheet'!DT398,""),"")</f>
        <v/>
      </c>
    </row>
    <row r="6322" spans="25:27" x14ac:dyDescent="0.3">
      <c r="Y6322" s="48" t="str">
        <f ca="1">IFERROR(IF('Planning Sheet'!DX399='Weeks Plan'!$D$6,'Planning Sheet'!$B399,""),"")</f>
        <v/>
      </c>
      <c r="Z6322" s="48" t="str">
        <f ca="1">IFERROR(IF('Planning Sheet'!DX399='Weeks Plan'!$D$6,"RFD",""),"")</f>
        <v/>
      </c>
      <c r="AA6322" s="48" t="str">
        <f ca="1">IFERROR(IF('Planning Sheet'!DX399='Weeks Plan'!$D$6,'Planning Sheet'!DT399,""),"")</f>
        <v/>
      </c>
    </row>
    <row r="6323" spans="25:27" x14ac:dyDescent="0.3">
      <c r="Y6323" s="48" t="str">
        <f ca="1">IFERROR(IF('Planning Sheet'!DX400='Weeks Plan'!$D$6,'Planning Sheet'!$B400,""),"")</f>
        <v/>
      </c>
      <c r="Z6323" s="48" t="str">
        <f ca="1">IFERROR(IF('Planning Sheet'!DX400='Weeks Plan'!$D$6,"RFD",""),"")</f>
        <v/>
      </c>
      <c r="AA6323" s="48" t="str">
        <f ca="1">IFERROR(IF('Planning Sheet'!DX400='Weeks Plan'!$D$6,'Planning Sheet'!DT400,""),"")</f>
        <v/>
      </c>
    </row>
    <row r="6324" spans="25:27" x14ac:dyDescent="0.3">
      <c r="Y6324" s="48" t="str">
        <f ca="1">IFERROR(IF('Planning Sheet'!DX401='Weeks Plan'!$D$6,'Planning Sheet'!$B401,""),"")</f>
        <v/>
      </c>
      <c r="Z6324" s="48" t="str">
        <f ca="1">IFERROR(IF('Planning Sheet'!DX401='Weeks Plan'!$D$6,"RFD",""),"")</f>
        <v/>
      </c>
      <c r="AA6324" s="48" t="str">
        <f ca="1">IFERROR(IF('Planning Sheet'!DX401='Weeks Plan'!$D$6,'Planning Sheet'!DT401,""),"")</f>
        <v/>
      </c>
    </row>
    <row r="6325" spans="25:27" x14ac:dyDescent="0.3">
      <c r="Y6325" s="48" t="str">
        <f ca="1">IFERROR(IF('Planning Sheet'!DX402='Weeks Plan'!$D$6,'Planning Sheet'!$B402,""),"")</f>
        <v/>
      </c>
      <c r="Z6325" s="48" t="str">
        <f ca="1">IFERROR(IF('Planning Sheet'!DX402='Weeks Plan'!$D$6,"RFD",""),"")</f>
        <v/>
      </c>
      <c r="AA6325" s="48" t="str">
        <f ca="1">IFERROR(IF('Planning Sheet'!DX402='Weeks Plan'!$D$6,'Planning Sheet'!DT402,""),"")</f>
        <v/>
      </c>
    </row>
    <row r="6326" spans="25:27" x14ac:dyDescent="0.3">
      <c r="Y6326" s="48" t="str">
        <f ca="1">IFERROR(IF('Planning Sheet'!DX403='Weeks Plan'!$D$6,'Planning Sheet'!$B403,""),"")</f>
        <v/>
      </c>
      <c r="Z6326" s="48" t="str">
        <f ca="1">IFERROR(IF('Planning Sheet'!DX403='Weeks Plan'!$D$6,"RFD",""),"")</f>
        <v/>
      </c>
      <c r="AA6326" s="48" t="str">
        <f ca="1">IFERROR(IF('Planning Sheet'!DX403='Weeks Plan'!$D$6,'Planning Sheet'!DT403,""),"")</f>
        <v/>
      </c>
    </row>
    <row r="6327" spans="25:27" x14ac:dyDescent="0.3">
      <c r="Y6327" s="48" t="str">
        <f ca="1">IFERROR(IF('Planning Sheet'!DX404='Weeks Plan'!$D$6,'Planning Sheet'!$B404,""),"")</f>
        <v/>
      </c>
      <c r="Z6327" s="48" t="str">
        <f ca="1">IFERROR(IF('Planning Sheet'!DX404='Weeks Plan'!$D$6,"RFD",""),"")</f>
        <v/>
      </c>
      <c r="AA6327" s="48" t="str">
        <f ca="1">IFERROR(IF('Planning Sheet'!DX404='Weeks Plan'!$D$6,'Planning Sheet'!DT404,""),"")</f>
        <v/>
      </c>
    </row>
    <row r="6328" spans="25:27" x14ac:dyDescent="0.3">
      <c r="Y6328" s="48" t="str">
        <f ca="1">IFERROR(IF('Planning Sheet'!DX405='Weeks Plan'!$D$6,'Planning Sheet'!$B405,""),"")</f>
        <v/>
      </c>
      <c r="Z6328" s="48" t="str">
        <f ca="1">IFERROR(IF('Planning Sheet'!DX405='Weeks Plan'!$D$6,"RFD",""),"")</f>
        <v/>
      </c>
      <c r="AA6328" s="48" t="str">
        <f ca="1">IFERROR(IF('Planning Sheet'!DX405='Weeks Plan'!$D$6,'Planning Sheet'!DT405,""),"")</f>
        <v/>
      </c>
    </row>
    <row r="6329" spans="25:27" x14ac:dyDescent="0.3">
      <c r="Y6329" s="48" t="str">
        <f ca="1">IFERROR(IF('Planning Sheet'!DX406='Weeks Plan'!$D$6,'Planning Sheet'!$B406,""),"")</f>
        <v/>
      </c>
      <c r="Z6329" s="48" t="str">
        <f ca="1">IFERROR(IF('Planning Sheet'!DX406='Weeks Plan'!$D$6,"RFD",""),"")</f>
        <v/>
      </c>
      <c r="AA6329" s="48" t="str">
        <f ca="1">IFERROR(IF('Planning Sheet'!DX406='Weeks Plan'!$D$6,'Planning Sheet'!DT406,""),"")</f>
        <v/>
      </c>
    </row>
    <row r="6330" spans="25:27" x14ac:dyDescent="0.3">
      <c r="Y6330" s="48" t="str">
        <f ca="1">IFERROR(IF('Planning Sheet'!DX407='Weeks Plan'!$D$6,'Planning Sheet'!$B407,""),"")</f>
        <v/>
      </c>
      <c r="Z6330" s="48" t="str">
        <f ca="1">IFERROR(IF('Planning Sheet'!DX407='Weeks Plan'!$D$6,"RFD",""),"")</f>
        <v/>
      </c>
      <c r="AA6330" s="48" t="str">
        <f ca="1">IFERROR(IF('Planning Sheet'!DX407='Weeks Plan'!$D$6,'Planning Sheet'!DT407,""),"")</f>
        <v/>
      </c>
    </row>
    <row r="6331" spans="25:27" x14ac:dyDescent="0.3">
      <c r="Y6331" s="48" t="str">
        <f ca="1">IFERROR(IF('Planning Sheet'!DX408='Weeks Plan'!$D$6,'Planning Sheet'!$B408,""),"")</f>
        <v/>
      </c>
      <c r="Z6331" s="48" t="str">
        <f ca="1">IFERROR(IF('Planning Sheet'!DX408='Weeks Plan'!$D$6,"RFD",""),"")</f>
        <v/>
      </c>
      <c r="AA6331" s="48" t="str">
        <f ca="1">IFERROR(IF('Planning Sheet'!DX408='Weeks Plan'!$D$6,'Planning Sheet'!DT408,""),"")</f>
        <v/>
      </c>
    </row>
    <row r="6332" spans="25:27" x14ac:dyDescent="0.3">
      <c r="Y6332" s="48" t="str">
        <f ca="1">IFERROR(IF('Planning Sheet'!DX409='Weeks Plan'!$D$6,'Planning Sheet'!$B409,""),"")</f>
        <v/>
      </c>
      <c r="Z6332" s="48" t="str">
        <f ca="1">IFERROR(IF('Planning Sheet'!DX409='Weeks Plan'!$D$6,"RFD",""),"")</f>
        <v/>
      </c>
      <c r="AA6332" s="48" t="str">
        <f ca="1">IFERROR(IF('Planning Sheet'!DX409='Weeks Plan'!$D$6,'Planning Sheet'!DT409,""),"")</f>
        <v/>
      </c>
    </row>
    <row r="6333" spans="25:27" x14ac:dyDescent="0.3">
      <c r="Y6333" s="48" t="str">
        <f ca="1">IFERROR(IF('Planning Sheet'!DX410='Weeks Plan'!$D$6,'Planning Sheet'!$B410,""),"")</f>
        <v/>
      </c>
      <c r="Z6333" s="48" t="str">
        <f ca="1">IFERROR(IF('Planning Sheet'!DX410='Weeks Plan'!$D$6,"RFD",""),"")</f>
        <v/>
      </c>
      <c r="AA6333" s="48" t="str">
        <f ca="1">IFERROR(IF('Planning Sheet'!DX410='Weeks Plan'!$D$6,'Planning Sheet'!DT410,""),"")</f>
        <v/>
      </c>
    </row>
    <row r="6334" spans="25:27" x14ac:dyDescent="0.3">
      <c r="Y6334" s="48" t="str">
        <f ca="1">IFERROR(IF('Planning Sheet'!DX411='Weeks Plan'!$D$6,'Planning Sheet'!$B411,""),"")</f>
        <v/>
      </c>
      <c r="Z6334" s="48" t="str">
        <f ca="1">IFERROR(IF('Planning Sheet'!DX411='Weeks Plan'!$D$6,"RFD",""),"")</f>
        <v/>
      </c>
      <c r="AA6334" s="48" t="str">
        <f ca="1">IFERROR(IF('Planning Sheet'!DX411='Weeks Plan'!$D$6,'Planning Sheet'!DT411,""),"")</f>
        <v/>
      </c>
    </row>
    <row r="6335" spans="25:27" x14ac:dyDescent="0.3">
      <c r="Y6335" s="48" t="str">
        <f ca="1">IFERROR(IF('Planning Sheet'!DX412='Weeks Plan'!$D$6,'Planning Sheet'!$B412,""),"")</f>
        <v/>
      </c>
      <c r="Z6335" s="48" t="str">
        <f ca="1">IFERROR(IF('Planning Sheet'!DX412='Weeks Plan'!$D$6,"RFD",""),"")</f>
        <v/>
      </c>
      <c r="AA6335" s="48" t="str">
        <f ca="1">IFERROR(IF('Planning Sheet'!DX412='Weeks Plan'!$D$6,'Planning Sheet'!DT412,""),"")</f>
        <v/>
      </c>
    </row>
    <row r="6336" spans="25:27" x14ac:dyDescent="0.3">
      <c r="Y6336" s="48" t="str">
        <f ca="1">IFERROR(IF('Planning Sheet'!DX413='Weeks Plan'!$D$6,'Planning Sheet'!$B413,""),"")</f>
        <v/>
      </c>
      <c r="Z6336" s="48" t="str">
        <f ca="1">IFERROR(IF('Planning Sheet'!DX413='Weeks Plan'!$D$6,"RFD",""),"")</f>
        <v/>
      </c>
      <c r="AA6336" s="48" t="str">
        <f ca="1">IFERROR(IF('Planning Sheet'!DX413='Weeks Plan'!$D$6,'Planning Sheet'!DT413,""),"")</f>
        <v/>
      </c>
    </row>
    <row r="6337" spans="25:27" x14ac:dyDescent="0.3">
      <c r="Y6337" s="48" t="str">
        <f ca="1">IFERROR(IF('Planning Sheet'!DX414='Weeks Plan'!$D$6,'Planning Sheet'!$B414,""),"")</f>
        <v/>
      </c>
      <c r="Z6337" s="48" t="str">
        <f ca="1">IFERROR(IF('Planning Sheet'!DX414='Weeks Plan'!$D$6,"RFD",""),"")</f>
        <v/>
      </c>
      <c r="AA6337" s="48" t="str">
        <f ca="1">IFERROR(IF('Planning Sheet'!DX414='Weeks Plan'!$D$6,'Planning Sheet'!DT414,""),"")</f>
        <v/>
      </c>
    </row>
    <row r="6338" spans="25:27" x14ac:dyDescent="0.3">
      <c r="Y6338" s="48" t="str">
        <f ca="1">IFERROR(IF('Planning Sheet'!DX415='Weeks Plan'!$D$6,'Planning Sheet'!$B415,""),"")</f>
        <v/>
      </c>
      <c r="Z6338" s="48" t="str">
        <f ca="1">IFERROR(IF('Planning Sheet'!DX415='Weeks Plan'!$D$6,"RFD",""),"")</f>
        <v/>
      </c>
      <c r="AA6338" s="48" t="str">
        <f ca="1">IFERROR(IF('Planning Sheet'!DX415='Weeks Plan'!$D$6,'Planning Sheet'!DT415,""),"")</f>
        <v/>
      </c>
    </row>
    <row r="6339" spans="25:27" x14ac:dyDescent="0.3">
      <c r="Y6339" s="48" t="str">
        <f ca="1">IFERROR(IF('Planning Sheet'!DX416='Weeks Plan'!$D$6,'Planning Sheet'!$B416,""),"")</f>
        <v/>
      </c>
      <c r="Z6339" s="48" t="str">
        <f ca="1">IFERROR(IF('Planning Sheet'!DX416='Weeks Plan'!$D$6,"RFD",""),"")</f>
        <v/>
      </c>
      <c r="AA6339" s="48" t="str">
        <f ca="1">IFERROR(IF('Planning Sheet'!DX416='Weeks Plan'!$D$6,'Planning Sheet'!DT416,""),"")</f>
        <v/>
      </c>
    </row>
    <row r="6340" spans="25:27" x14ac:dyDescent="0.3">
      <c r="Y6340" s="48" t="str">
        <f ca="1">IFERROR(IF('Planning Sheet'!DX417='Weeks Plan'!$D$6,'Planning Sheet'!$B417,""),"")</f>
        <v/>
      </c>
      <c r="Z6340" s="48" t="str">
        <f ca="1">IFERROR(IF('Planning Sheet'!DX417='Weeks Plan'!$D$6,"RFD",""),"")</f>
        <v/>
      </c>
      <c r="AA6340" s="48" t="str">
        <f ca="1">IFERROR(IF('Planning Sheet'!DX417='Weeks Plan'!$D$6,'Planning Sheet'!DT417,""),"")</f>
        <v/>
      </c>
    </row>
    <row r="6341" spans="25:27" x14ac:dyDescent="0.3">
      <c r="Y6341" s="48" t="str">
        <f ca="1">IFERROR(IF('Planning Sheet'!DX418='Weeks Plan'!$D$6,'Planning Sheet'!$B418,""),"")</f>
        <v/>
      </c>
      <c r="Z6341" s="48" t="str">
        <f ca="1">IFERROR(IF('Planning Sheet'!DX418='Weeks Plan'!$D$6,"RFD",""),"")</f>
        <v/>
      </c>
      <c r="AA6341" s="48" t="str">
        <f ca="1">IFERROR(IF('Planning Sheet'!DX418='Weeks Plan'!$D$6,'Planning Sheet'!DT418,""),"")</f>
        <v/>
      </c>
    </row>
    <row r="6342" spans="25:27" x14ac:dyDescent="0.3">
      <c r="Y6342" s="48" t="str">
        <f ca="1">IFERROR(IF('Planning Sheet'!DX419='Weeks Plan'!$D$6,'Planning Sheet'!$B419,""),"")</f>
        <v/>
      </c>
      <c r="Z6342" s="48" t="str">
        <f ca="1">IFERROR(IF('Planning Sheet'!DX419='Weeks Plan'!$D$6,"RFD",""),"")</f>
        <v/>
      </c>
      <c r="AA6342" s="48" t="str">
        <f ca="1">IFERROR(IF('Planning Sheet'!DX419='Weeks Plan'!$D$6,'Planning Sheet'!DT419,""),"")</f>
        <v/>
      </c>
    </row>
    <row r="6343" spans="25:27" x14ac:dyDescent="0.3">
      <c r="Y6343" s="48" t="str">
        <f ca="1">IFERROR(IF('Planning Sheet'!DX420='Weeks Plan'!$D$6,'Planning Sheet'!$B420,""),"")</f>
        <v/>
      </c>
      <c r="Z6343" s="48" t="str">
        <f ca="1">IFERROR(IF('Planning Sheet'!DX420='Weeks Plan'!$D$6,"RFD",""),"")</f>
        <v/>
      </c>
      <c r="AA6343" s="48" t="str">
        <f ca="1">IFERROR(IF('Planning Sheet'!DX420='Weeks Plan'!$D$6,'Planning Sheet'!DT420,""),"")</f>
        <v/>
      </c>
    </row>
    <row r="6344" spans="25:27" x14ac:dyDescent="0.3">
      <c r="Y6344" s="48" t="str">
        <f ca="1">IFERROR(IF('Planning Sheet'!DX421='Weeks Plan'!$D$6,'Planning Sheet'!$B421,""),"")</f>
        <v/>
      </c>
      <c r="Z6344" s="48" t="str">
        <f ca="1">IFERROR(IF('Planning Sheet'!DX421='Weeks Plan'!$D$6,"RFD",""),"")</f>
        <v/>
      </c>
      <c r="AA6344" s="48" t="str">
        <f ca="1">IFERROR(IF('Planning Sheet'!DX421='Weeks Plan'!$D$6,'Planning Sheet'!DT421,""),"")</f>
        <v/>
      </c>
    </row>
    <row r="6345" spans="25:27" x14ac:dyDescent="0.3">
      <c r="Y6345" s="48" t="str">
        <f ca="1">IFERROR(IF('Planning Sheet'!DX422='Weeks Plan'!$D$6,'Planning Sheet'!$B422,""),"")</f>
        <v/>
      </c>
      <c r="Z6345" s="48" t="str">
        <f ca="1">IFERROR(IF('Planning Sheet'!DX422='Weeks Plan'!$D$6,"RFD",""),"")</f>
        <v/>
      </c>
      <c r="AA6345" s="48" t="str">
        <f ca="1">IFERROR(IF('Planning Sheet'!DX422='Weeks Plan'!$D$6,'Planning Sheet'!DT422,""),"")</f>
        <v/>
      </c>
    </row>
    <row r="6346" spans="25:27" x14ac:dyDescent="0.3">
      <c r="Y6346" s="48" t="str">
        <f ca="1">IFERROR(IF('Planning Sheet'!DX423='Weeks Plan'!$D$6,'Planning Sheet'!$B423,""),"")</f>
        <v/>
      </c>
      <c r="Z6346" s="48" t="str">
        <f ca="1">IFERROR(IF('Planning Sheet'!DX423='Weeks Plan'!$D$6,"RFD",""),"")</f>
        <v/>
      </c>
      <c r="AA6346" s="48" t="str">
        <f ca="1">IFERROR(IF('Planning Sheet'!DX423='Weeks Plan'!$D$6,'Planning Sheet'!DT423,""),"")</f>
        <v/>
      </c>
    </row>
    <row r="6347" spans="25:27" x14ac:dyDescent="0.3">
      <c r="Y6347" s="48" t="str">
        <f ca="1">IFERROR(IF('Planning Sheet'!DX424='Weeks Plan'!$D$6,'Planning Sheet'!$B424,""),"")</f>
        <v/>
      </c>
      <c r="Z6347" s="48" t="str">
        <f ca="1">IFERROR(IF('Planning Sheet'!DX424='Weeks Plan'!$D$6,"RFD",""),"")</f>
        <v/>
      </c>
      <c r="AA6347" s="48" t="str">
        <f ca="1">IFERROR(IF('Planning Sheet'!DX424='Weeks Plan'!$D$6,'Planning Sheet'!DT424,""),"")</f>
        <v/>
      </c>
    </row>
    <row r="6348" spans="25:27" x14ac:dyDescent="0.3">
      <c r="Y6348" s="48" t="str">
        <f ca="1">IFERROR(IF('Planning Sheet'!DX425='Weeks Plan'!$D$6,'Planning Sheet'!$B425,""),"")</f>
        <v/>
      </c>
      <c r="Z6348" s="48" t="str">
        <f ca="1">IFERROR(IF('Planning Sheet'!DX425='Weeks Plan'!$D$6,"RFD",""),"")</f>
        <v/>
      </c>
      <c r="AA6348" s="48" t="str">
        <f ca="1">IFERROR(IF('Planning Sheet'!DX425='Weeks Plan'!$D$6,'Planning Sheet'!DT425,""),"")</f>
        <v/>
      </c>
    </row>
    <row r="6349" spans="25:27" x14ac:dyDescent="0.3">
      <c r="Y6349" s="48" t="str">
        <f ca="1">IFERROR(IF('Planning Sheet'!DX426='Weeks Plan'!$D$6,'Planning Sheet'!$B426,""),"")</f>
        <v/>
      </c>
      <c r="Z6349" s="48" t="str">
        <f ca="1">IFERROR(IF('Planning Sheet'!DX426='Weeks Plan'!$D$6,"RFD",""),"")</f>
        <v/>
      </c>
      <c r="AA6349" s="48" t="str">
        <f ca="1">IFERROR(IF('Planning Sheet'!DX426='Weeks Plan'!$D$6,'Planning Sheet'!DT426,""),"")</f>
        <v/>
      </c>
    </row>
    <row r="6350" spans="25:27" x14ac:dyDescent="0.3">
      <c r="Y6350" s="48" t="str">
        <f ca="1">IFERROR(IF('Planning Sheet'!DX427='Weeks Plan'!$D$6,'Planning Sheet'!$B427,""),"")</f>
        <v/>
      </c>
      <c r="Z6350" s="48" t="str">
        <f ca="1">IFERROR(IF('Planning Sheet'!DX427='Weeks Plan'!$D$6,"RFD",""),"")</f>
        <v/>
      </c>
      <c r="AA6350" s="48" t="str">
        <f ca="1">IFERROR(IF('Planning Sheet'!DX427='Weeks Plan'!$D$6,'Planning Sheet'!DT427,""),"")</f>
        <v/>
      </c>
    </row>
    <row r="6351" spans="25:27" x14ac:dyDescent="0.3">
      <c r="Y6351" s="48" t="str">
        <f ca="1">IFERROR(IF('Planning Sheet'!DX428='Weeks Plan'!$D$6,'Planning Sheet'!$B428,""),"")</f>
        <v/>
      </c>
      <c r="Z6351" s="48" t="str">
        <f ca="1">IFERROR(IF('Planning Sheet'!DX428='Weeks Plan'!$D$6,"RFD",""),"")</f>
        <v/>
      </c>
      <c r="AA6351" s="48" t="str">
        <f ca="1">IFERROR(IF('Planning Sheet'!DX428='Weeks Plan'!$D$6,'Planning Sheet'!DT428,""),"")</f>
        <v/>
      </c>
    </row>
    <row r="6352" spans="25:27" x14ac:dyDescent="0.3">
      <c r="Y6352" s="48" t="str">
        <f ca="1">IFERROR(IF('Planning Sheet'!DX429='Weeks Plan'!$D$6,'Planning Sheet'!$B429,""),"")</f>
        <v/>
      </c>
      <c r="Z6352" s="48" t="str">
        <f ca="1">IFERROR(IF('Planning Sheet'!DX429='Weeks Plan'!$D$6,"RFD",""),"")</f>
        <v/>
      </c>
      <c r="AA6352" s="48" t="str">
        <f ca="1">IFERROR(IF('Planning Sheet'!DX429='Weeks Plan'!$D$6,'Planning Sheet'!DT429,""),"")</f>
        <v/>
      </c>
    </row>
    <row r="6353" spans="25:27" x14ac:dyDescent="0.3">
      <c r="Y6353" s="48" t="str">
        <f ca="1">IFERROR(IF('Planning Sheet'!DX430='Weeks Plan'!$D$6,'Planning Sheet'!$B430,""),"")</f>
        <v/>
      </c>
      <c r="Z6353" s="48" t="str">
        <f ca="1">IFERROR(IF('Planning Sheet'!DX430='Weeks Plan'!$D$6,"RFD",""),"")</f>
        <v/>
      </c>
      <c r="AA6353" s="48" t="str">
        <f ca="1">IFERROR(IF('Planning Sheet'!DX430='Weeks Plan'!$D$6,'Planning Sheet'!DT430,""),"")</f>
        <v/>
      </c>
    </row>
    <row r="6354" spans="25:27" x14ac:dyDescent="0.3">
      <c r="Y6354" s="48" t="str">
        <f ca="1">IFERROR(IF('Planning Sheet'!DX431='Weeks Plan'!$D$6,'Planning Sheet'!$B431,""),"")</f>
        <v/>
      </c>
      <c r="Z6354" s="48" t="str">
        <f ca="1">IFERROR(IF('Planning Sheet'!DX431='Weeks Plan'!$D$6,"RFD",""),"")</f>
        <v/>
      </c>
      <c r="AA6354" s="48" t="str">
        <f ca="1">IFERROR(IF('Planning Sheet'!DX431='Weeks Plan'!$D$6,'Planning Sheet'!DT431,""),"")</f>
        <v/>
      </c>
    </row>
    <row r="6355" spans="25:27" x14ac:dyDescent="0.3">
      <c r="Y6355" s="48" t="str">
        <f ca="1">IFERROR(IF('Planning Sheet'!DX432='Weeks Plan'!$D$6,'Planning Sheet'!$B432,""),"")</f>
        <v/>
      </c>
      <c r="Z6355" s="48" t="str">
        <f ca="1">IFERROR(IF('Planning Sheet'!DX432='Weeks Plan'!$D$6,"RFD",""),"")</f>
        <v/>
      </c>
      <c r="AA6355" s="48" t="str">
        <f ca="1">IFERROR(IF('Planning Sheet'!DX432='Weeks Plan'!$D$6,'Planning Sheet'!DT432,""),"")</f>
        <v/>
      </c>
    </row>
    <row r="6356" spans="25:27" x14ac:dyDescent="0.3">
      <c r="Y6356" s="48" t="str">
        <f ca="1">IFERROR(IF('Planning Sheet'!DX433='Weeks Plan'!$D$6,'Planning Sheet'!$B433,""),"")</f>
        <v/>
      </c>
      <c r="Z6356" s="48" t="str">
        <f ca="1">IFERROR(IF('Planning Sheet'!DX433='Weeks Plan'!$D$6,"RFD",""),"")</f>
        <v/>
      </c>
      <c r="AA6356" s="48" t="str">
        <f ca="1">IFERROR(IF('Planning Sheet'!DX433='Weeks Plan'!$D$6,'Planning Sheet'!DT433,""),"")</f>
        <v/>
      </c>
    </row>
    <row r="6357" spans="25:27" x14ac:dyDescent="0.3">
      <c r="Y6357" s="48" t="str">
        <f ca="1">IFERROR(IF('Planning Sheet'!DX434='Weeks Plan'!$D$6,'Planning Sheet'!$B434,""),"")</f>
        <v/>
      </c>
      <c r="Z6357" s="48" t="str">
        <f ca="1">IFERROR(IF('Planning Sheet'!DX434='Weeks Plan'!$D$6,"RFD",""),"")</f>
        <v/>
      </c>
      <c r="AA6357" s="48" t="str">
        <f ca="1">IFERROR(IF('Planning Sheet'!DX434='Weeks Plan'!$D$6,'Planning Sheet'!DT434,""),"")</f>
        <v/>
      </c>
    </row>
    <row r="6358" spans="25:27" x14ac:dyDescent="0.3">
      <c r="Y6358" s="48" t="str">
        <f ca="1">IFERROR(IF('Planning Sheet'!DX435='Weeks Plan'!$D$6,'Planning Sheet'!$B435,""),"")</f>
        <v/>
      </c>
      <c r="Z6358" s="48" t="str">
        <f ca="1">IFERROR(IF('Planning Sheet'!DX435='Weeks Plan'!$D$6,"RFD",""),"")</f>
        <v/>
      </c>
      <c r="AA6358" s="48" t="str">
        <f ca="1">IFERROR(IF('Planning Sheet'!DX435='Weeks Plan'!$D$6,'Planning Sheet'!DT435,""),"")</f>
        <v/>
      </c>
    </row>
    <row r="6359" spans="25:27" x14ac:dyDescent="0.3">
      <c r="Y6359" s="48" t="str">
        <f ca="1">IFERROR(IF('Planning Sheet'!DX436='Weeks Plan'!$D$6,'Planning Sheet'!$B436,""),"")</f>
        <v/>
      </c>
      <c r="Z6359" s="48" t="str">
        <f ca="1">IFERROR(IF('Planning Sheet'!DX436='Weeks Plan'!$D$6,"RFD",""),"")</f>
        <v/>
      </c>
      <c r="AA6359" s="48" t="str">
        <f ca="1">IFERROR(IF('Planning Sheet'!DX436='Weeks Plan'!$D$6,'Planning Sheet'!DT436,""),"")</f>
        <v/>
      </c>
    </row>
    <row r="6360" spans="25:27" x14ac:dyDescent="0.3">
      <c r="Y6360" s="48" t="str">
        <f ca="1">IFERROR(IF('Planning Sheet'!DX437='Weeks Plan'!$D$6,'Planning Sheet'!$B437,""),"")</f>
        <v/>
      </c>
      <c r="Z6360" s="48" t="str">
        <f ca="1">IFERROR(IF('Planning Sheet'!DX437='Weeks Plan'!$D$6,"RFD",""),"")</f>
        <v/>
      </c>
      <c r="AA6360" s="48" t="str">
        <f ca="1">IFERROR(IF('Planning Sheet'!DX437='Weeks Plan'!$D$6,'Planning Sheet'!DT437,""),"")</f>
        <v/>
      </c>
    </row>
    <row r="6361" spans="25:27" x14ac:dyDescent="0.3">
      <c r="Y6361" s="48" t="str">
        <f ca="1">IFERROR(IF('Planning Sheet'!DX438='Weeks Plan'!$D$6,'Planning Sheet'!$B438,""),"")</f>
        <v/>
      </c>
      <c r="Z6361" s="48" t="str">
        <f ca="1">IFERROR(IF('Planning Sheet'!DX438='Weeks Plan'!$D$6,"RFD",""),"")</f>
        <v/>
      </c>
      <c r="AA6361" s="48" t="str">
        <f ca="1">IFERROR(IF('Planning Sheet'!DX438='Weeks Plan'!$D$6,'Planning Sheet'!DT438,""),"")</f>
        <v/>
      </c>
    </row>
    <row r="6362" spans="25:27" x14ac:dyDescent="0.3">
      <c r="Y6362" s="48" t="str">
        <f ca="1">IFERROR(IF('Planning Sheet'!DX439='Weeks Plan'!$D$6,'Planning Sheet'!$B439,""),"")</f>
        <v/>
      </c>
      <c r="Z6362" s="48" t="str">
        <f ca="1">IFERROR(IF('Planning Sheet'!DX439='Weeks Plan'!$D$6,"RFD",""),"")</f>
        <v/>
      </c>
      <c r="AA6362" s="48" t="str">
        <f ca="1">IFERROR(IF('Planning Sheet'!DX439='Weeks Plan'!$D$6,'Planning Sheet'!DT439,""),"")</f>
        <v/>
      </c>
    </row>
    <row r="6363" spans="25:27" x14ac:dyDescent="0.3">
      <c r="Y6363" s="48" t="str">
        <f ca="1">IFERROR(IF('Planning Sheet'!DX440='Weeks Plan'!$D$6,'Planning Sheet'!$B440,""),"")</f>
        <v/>
      </c>
      <c r="Z6363" s="48" t="str">
        <f ca="1">IFERROR(IF('Planning Sheet'!DX440='Weeks Plan'!$D$6,"RFD",""),"")</f>
        <v/>
      </c>
      <c r="AA6363" s="48" t="str">
        <f ca="1">IFERROR(IF('Planning Sheet'!DX440='Weeks Plan'!$D$6,'Planning Sheet'!DT440,""),"")</f>
        <v/>
      </c>
    </row>
    <row r="6364" spans="25:27" x14ac:dyDescent="0.3">
      <c r="Y6364" s="48" t="str">
        <f ca="1">IFERROR(IF('Planning Sheet'!DX441='Weeks Plan'!$D$6,'Planning Sheet'!$B441,""),"")</f>
        <v/>
      </c>
      <c r="Z6364" s="48" t="str">
        <f ca="1">IFERROR(IF('Planning Sheet'!DX441='Weeks Plan'!$D$6,"RFD",""),"")</f>
        <v/>
      </c>
      <c r="AA6364" s="48" t="str">
        <f ca="1">IFERROR(IF('Planning Sheet'!DX441='Weeks Plan'!$D$6,'Planning Sheet'!DT441,""),"")</f>
        <v/>
      </c>
    </row>
    <row r="6365" spans="25:27" x14ac:dyDescent="0.3">
      <c r="Y6365" s="48" t="str">
        <f ca="1">IFERROR(IF('Planning Sheet'!DX442='Weeks Plan'!$D$6,'Planning Sheet'!$B442,""),"")</f>
        <v/>
      </c>
      <c r="Z6365" s="48" t="str">
        <f ca="1">IFERROR(IF('Planning Sheet'!DX442='Weeks Plan'!$D$6,"RFD",""),"")</f>
        <v/>
      </c>
      <c r="AA6365" s="48" t="str">
        <f ca="1">IFERROR(IF('Planning Sheet'!DX442='Weeks Plan'!$D$6,'Planning Sheet'!DT442,""),"")</f>
        <v/>
      </c>
    </row>
    <row r="6366" spans="25:27" x14ac:dyDescent="0.3">
      <c r="Y6366" s="48" t="str">
        <f ca="1">IFERROR(IF('Planning Sheet'!DX443='Weeks Plan'!$D$6,'Planning Sheet'!$B443,""),"")</f>
        <v/>
      </c>
      <c r="Z6366" s="48" t="str">
        <f ca="1">IFERROR(IF('Planning Sheet'!DX443='Weeks Plan'!$D$6,"RFD",""),"")</f>
        <v/>
      </c>
      <c r="AA6366" s="48" t="str">
        <f ca="1">IFERROR(IF('Planning Sheet'!DX443='Weeks Plan'!$D$6,'Planning Sheet'!DT443,""),"")</f>
        <v/>
      </c>
    </row>
    <row r="6367" spans="25:27" x14ac:dyDescent="0.3">
      <c r="Y6367" s="48" t="str">
        <f ca="1">IFERROR(IF('Planning Sheet'!DX444='Weeks Plan'!$D$6,'Planning Sheet'!$B444,""),"")</f>
        <v/>
      </c>
      <c r="Z6367" s="48" t="str">
        <f ca="1">IFERROR(IF('Planning Sheet'!DX444='Weeks Plan'!$D$6,"RFD",""),"")</f>
        <v/>
      </c>
      <c r="AA6367" s="48" t="str">
        <f ca="1">IFERROR(IF('Planning Sheet'!DX444='Weeks Plan'!$D$6,'Planning Sheet'!DT444,""),"")</f>
        <v/>
      </c>
    </row>
    <row r="6368" spans="25:27" x14ac:dyDescent="0.3">
      <c r="Y6368" s="48" t="str">
        <f ca="1">IFERROR(IF('Planning Sheet'!DX445='Weeks Plan'!$D$6,'Planning Sheet'!$B445,""),"")</f>
        <v/>
      </c>
      <c r="Z6368" s="48" t="str">
        <f ca="1">IFERROR(IF('Planning Sheet'!DX445='Weeks Plan'!$D$6,"RFD",""),"")</f>
        <v/>
      </c>
      <c r="AA6368" s="48" t="str">
        <f ca="1">IFERROR(IF('Planning Sheet'!DX445='Weeks Plan'!$D$6,'Planning Sheet'!DT445,""),"")</f>
        <v/>
      </c>
    </row>
    <row r="6369" spans="25:27" x14ac:dyDescent="0.3">
      <c r="Y6369" s="48" t="str">
        <f ca="1">IFERROR(IF('Planning Sheet'!DX446='Weeks Plan'!$D$6,'Planning Sheet'!$B446,""),"")</f>
        <v/>
      </c>
      <c r="Z6369" s="48" t="str">
        <f ca="1">IFERROR(IF('Planning Sheet'!DX446='Weeks Plan'!$D$6,"RFD",""),"")</f>
        <v/>
      </c>
      <c r="AA6369" s="48" t="str">
        <f ca="1">IFERROR(IF('Planning Sheet'!DX446='Weeks Plan'!$D$6,'Planning Sheet'!DT446,""),"")</f>
        <v/>
      </c>
    </row>
    <row r="6370" spans="25:27" x14ac:dyDescent="0.3">
      <c r="Y6370" s="48" t="str">
        <f ca="1">IFERROR(IF('Planning Sheet'!DX447='Weeks Plan'!$D$6,'Planning Sheet'!$B447,""),"")</f>
        <v/>
      </c>
      <c r="Z6370" s="48" t="str">
        <f ca="1">IFERROR(IF('Planning Sheet'!DX447='Weeks Plan'!$D$6,"RFD",""),"")</f>
        <v/>
      </c>
      <c r="AA6370" s="48" t="str">
        <f ca="1">IFERROR(IF('Planning Sheet'!DX447='Weeks Plan'!$D$6,'Planning Sheet'!DT447,""),"")</f>
        <v/>
      </c>
    </row>
    <row r="6371" spans="25:27" x14ac:dyDescent="0.3">
      <c r="Y6371" s="48" t="str">
        <f ca="1">IFERROR(IF('Planning Sheet'!DX448='Weeks Plan'!$D$6,'Planning Sheet'!$B448,""),"")</f>
        <v/>
      </c>
      <c r="Z6371" s="48" t="str">
        <f ca="1">IFERROR(IF('Planning Sheet'!DX448='Weeks Plan'!$D$6,"RFD",""),"")</f>
        <v/>
      </c>
      <c r="AA6371" s="48" t="str">
        <f ca="1">IFERROR(IF('Planning Sheet'!DX448='Weeks Plan'!$D$6,'Planning Sheet'!DT448,""),"")</f>
        <v/>
      </c>
    </row>
    <row r="6372" spans="25:27" x14ac:dyDescent="0.3">
      <c r="Y6372" s="48" t="str">
        <f ca="1">IFERROR(IF('Planning Sheet'!DX449='Weeks Plan'!$D$6,'Planning Sheet'!$B449,""),"")</f>
        <v/>
      </c>
      <c r="Z6372" s="48" t="str">
        <f ca="1">IFERROR(IF('Planning Sheet'!DX449='Weeks Plan'!$D$6,"RFD",""),"")</f>
        <v/>
      </c>
      <c r="AA6372" s="48" t="str">
        <f ca="1">IFERROR(IF('Planning Sheet'!DX449='Weeks Plan'!$D$6,'Planning Sheet'!DT449,""),"")</f>
        <v/>
      </c>
    </row>
    <row r="6373" spans="25:27" x14ac:dyDescent="0.3">
      <c r="Y6373" s="48" t="str">
        <f ca="1">IFERROR(IF('Planning Sheet'!DX450='Weeks Plan'!$D$6,'Planning Sheet'!$B450,""),"")</f>
        <v/>
      </c>
      <c r="Z6373" s="48" t="str">
        <f ca="1">IFERROR(IF('Planning Sheet'!DX450='Weeks Plan'!$D$6,"RFD",""),"")</f>
        <v/>
      </c>
      <c r="AA6373" s="48" t="str">
        <f ca="1">IFERROR(IF('Planning Sheet'!DX450='Weeks Plan'!$D$6,'Planning Sheet'!DT450,""),"")</f>
        <v/>
      </c>
    </row>
    <row r="6374" spans="25:27" x14ac:dyDescent="0.3">
      <c r="Y6374" s="48" t="str">
        <f ca="1">IFERROR(IF('Planning Sheet'!DX451='Weeks Plan'!$D$6,'Planning Sheet'!$B451,""),"")</f>
        <v/>
      </c>
      <c r="Z6374" s="48" t="str">
        <f ca="1">IFERROR(IF('Planning Sheet'!DX451='Weeks Plan'!$D$6,"RFD",""),"")</f>
        <v/>
      </c>
      <c r="AA6374" s="48" t="str">
        <f ca="1">IFERROR(IF('Planning Sheet'!DX451='Weeks Plan'!$D$6,'Planning Sheet'!DT451,""),"")</f>
        <v/>
      </c>
    </row>
    <row r="6375" spans="25:27" x14ac:dyDescent="0.3">
      <c r="Y6375" s="48" t="str">
        <f ca="1">IFERROR(IF('Planning Sheet'!DX452='Weeks Plan'!$D$6,'Planning Sheet'!$B452,""),"")</f>
        <v/>
      </c>
      <c r="Z6375" s="48" t="str">
        <f ca="1">IFERROR(IF('Planning Sheet'!DX452='Weeks Plan'!$D$6,"RFD",""),"")</f>
        <v/>
      </c>
      <c r="AA6375" s="48" t="str">
        <f ca="1">IFERROR(IF('Planning Sheet'!DX452='Weeks Plan'!$D$6,'Planning Sheet'!DT452,""),"")</f>
        <v/>
      </c>
    </row>
    <row r="6376" spans="25:27" x14ac:dyDescent="0.3">
      <c r="Y6376" s="48" t="str">
        <f ca="1">IFERROR(IF('Planning Sheet'!DX453='Weeks Plan'!$D$6,'Planning Sheet'!$B453,""),"")</f>
        <v/>
      </c>
      <c r="Z6376" s="48" t="str">
        <f ca="1">IFERROR(IF('Planning Sheet'!DX453='Weeks Plan'!$D$6,"RFD",""),"")</f>
        <v/>
      </c>
      <c r="AA6376" s="48" t="str">
        <f ca="1">IFERROR(IF('Planning Sheet'!DX453='Weeks Plan'!$D$6,'Planning Sheet'!DT453,""),"")</f>
        <v/>
      </c>
    </row>
    <row r="6377" spans="25:27" x14ac:dyDescent="0.3">
      <c r="Y6377" s="48" t="str">
        <f ca="1">IFERROR(IF('Planning Sheet'!DX454='Weeks Plan'!$D$6,'Planning Sheet'!$B454,""),"")</f>
        <v/>
      </c>
      <c r="Z6377" s="48" t="str">
        <f ca="1">IFERROR(IF('Planning Sheet'!DX454='Weeks Plan'!$D$6,"RFD",""),"")</f>
        <v/>
      </c>
      <c r="AA6377" s="48" t="str">
        <f ca="1">IFERROR(IF('Planning Sheet'!DX454='Weeks Plan'!$D$6,'Planning Sheet'!DT454,""),"")</f>
        <v/>
      </c>
    </row>
    <row r="6378" spans="25:27" x14ac:dyDescent="0.3">
      <c r="Y6378" s="48" t="str">
        <f ca="1">IFERROR(IF('Planning Sheet'!DX455='Weeks Plan'!$D$6,'Planning Sheet'!$B455,""),"")</f>
        <v/>
      </c>
      <c r="Z6378" s="48" t="str">
        <f ca="1">IFERROR(IF('Planning Sheet'!DX455='Weeks Plan'!$D$6,"RFD",""),"")</f>
        <v/>
      </c>
      <c r="AA6378" s="48" t="str">
        <f ca="1">IFERROR(IF('Planning Sheet'!DX455='Weeks Plan'!$D$6,'Planning Sheet'!DT455,""),"")</f>
        <v/>
      </c>
    </row>
    <row r="6379" spans="25:27" x14ac:dyDescent="0.3">
      <c r="Y6379" s="48" t="str">
        <f ca="1">IFERROR(IF('Planning Sheet'!DX456='Weeks Plan'!$D$6,'Planning Sheet'!$B456,""),"")</f>
        <v/>
      </c>
      <c r="Z6379" s="48" t="str">
        <f ca="1">IFERROR(IF('Planning Sheet'!DX456='Weeks Plan'!$D$6,"RFD",""),"")</f>
        <v/>
      </c>
      <c r="AA6379" s="48" t="str">
        <f ca="1">IFERROR(IF('Planning Sheet'!DX456='Weeks Plan'!$D$6,'Planning Sheet'!DT456,""),"")</f>
        <v/>
      </c>
    </row>
    <row r="6380" spans="25:27" x14ac:dyDescent="0.3">
      <c r="Y6380" s="48" t="str">
        <f ca="1">IFERROR(IF('Planning Sheet'!DX457='Weeks Plan'!$D$6,'Planning Sheet'!$B457,""),"")</f>
        <v/>
      </c>
      <c r="Z6380" s="48" t="str">
        <f ca="1">IFERROR(IF('Planning Sheet'!DX457='Weeks Plan'!$D$6,"RFD",""),"")</f>
        <v/>
      </c>
      <c r="AA6380" s="48" t="str">
        <f ca="1">IFERROR(IF('Planning Sheet'!DX457='Weeks Plan'!$D$6,'Planning Sheet'!DT457,""),"")</f>
        <v/>
      </c>
    </row>
    <row r="6381" spans="25:27" x14ac:dyDescent="0.3">
      <c r="Y6381" s="48" t="str">
        <f ca="1">IFERROR(IF('Planning Sheet'!DX458='Weeks Plan'!$D$6,'Planning Sheet'!$B458,""),"")</f>
        <v/>
      </c>
      <c r="Z6381" s="48" t="str">
        <f ca="1">IFERROR(IF('Planning Sheet'!DX458='Weeks Plan'!$D$6,"RFD",""),"")</f>
        <v/>
      </c>
      <c r="AA6381" s="48" t="str">
        <f ca="1">IFERROR(IF('Planning Sheet'!DX458='Weeks Plan'!$D$6,'Planning Sheet'!DT458,""),"")</f>
        <v/>
      </c>
    </row>
    <row r="6382" spans="25:27" x14ac:dyDescent="0.3">
      <c r="Y6382" s="48" t="str">
        <f ca="1">IFERROR(IF('Planning Sheet'!DX459='Weeks Plan'!$D$6,'Planning Sheet'!$B459,""),"")</f>
        <v/>
      </c>
      <c r="Z6382" s="48" t="str">
        <f ca="1">IFERROR(IF('Planning Sheet'!DX459='Weeks Plan'!$D$6,"RFD",""),"")</f>
        <v/>
      </c>
      <c r="AA6382" s="48" t="str">
        <f ca="1">IFERROR(IF('Planning Sheet'!DX459='Weeks Plan'!$D$6,'Planning Sheet'!DT459,""),"")</f>
        <v/>
      </c>
    </row>
    <row r="6383" spans="25:27" x14ac:dyDescent="0.3">
      <c r="Y6383" s="48" t="str">
        <f ca="1">IFERROR(IF('Planning Sheet'!DX460='Weeks Plan'!$D$6,'Planning Sheet'!$B460,""),"")</f>
        <v/>
      </c>
      <c r="Z6383" s="48" t="str">
        <f ca="1">IFERROR(IF('Planning Sheet'!DX460='Weeks Plan'!$D$6,"RFD",""),"")</f>
        <v/>
      </c>
      <c r="AA6383" s="48" t="str">
        <f ca="1">IFERROR(IF('Planning Sheet'!DX460='Weeks Plan'!$D$6,'Planning Sheet'!DT460,""),"")</f>
        <v/>
      </c>
    </row>
    <row r="6384" spans="25:27" x14ac:dyDescent="0.3">
      <c r="Y6384" s="48" t="str">
        <f ca="1">IFERROR(IF('Planning Sheet'!DX461='Weeks Plan'!$D$6,'Planning Sheet'!$B461,""),"")</f>
        <v/>
      </c>
      <c r="Z6384" s="48" t="str">
        <f ca="1">IFERROR(IF('Planning Sheet'!DX461='Weeks Plan'!$D$6,"RFD",""),"")</f>
        <v/>
      </c>
      <c r="AA6384" s="48" t="str">
        <f ca="1">IFERROR(IF('Planning Sheet'!DX461='Weeks Plan'!$D$6,'Planning Sheet'!DT461,""),"")</f>
        <v/>
      </c>
    </row>
    <row r="6385" spans="25:27" x14ac:dyDescent="0.3">
      <c r="Y6385" s="48" t="str">
        <f ca="1">IFERROR(IF('Planning Sheet'!DX462='Weeks Plan'!$D$6,'Planning Sheet'!$B462,""),"")</f>
        <v/>
      </c>
      <c r="Z6385" s="48" t="str">
        <f ca="1">IFERROR(IF('Planning Sheet'!DX462='Weeks Plan'!$D$6,"RFD",""),"")</f>
        <v/>
      </c>
      <c r="AA6385" s="48" t="str">
        <f ca="1">IFERROR(IF('Planning Sheet'!DX462='Weeks Plan'!$D$6,'Planning Sheet'!DT462,""),"")</f>
        <v/>
      </c>
    </row>
    <row r="6386" spans="25:27" x14ac:dyDescent="0.3">
      <c r="Y6386" s="48" t="str">
        <f ca="1">IFERROR(IF('Planning Sheet'!DX463='Weeks Plan'!$D$6,'Planning Sheet'!$B463,""),"")</f>
        <v/>
      </c>
      <c r="Z6386" s="48" t="str">
        <f ca="1">IFERROR(IF('Planning Sheet'!DX463='Weeks Plan'!$D$6,"RFD",""),"")</f>
        <v/>
      </c>
      <c r="AA6386" s="48" t="str">
        <f ca="1">IFERROR(IF('Planning Sheet'!DX463='Weeks Plan'!$D$6,'Planning Sheet'!DT463,""),"")</f>
        <v/>
      </c>
    </row>
    <row r="6387" spans="25:27" x14ac:dyDescent="0.3">
      <c r="Y6387" s="48" t="str">
        <f ca="1">IFERROR(IF('Planning Sheet'!DX464='Weeks Plan'!$D$6,'Planning Sheet'!$B464,""),"")</f>
        <v/>
      </c>
      <c r="Z6387" s="48" t="str">
        <f ca="1">IFERROR(IF('Planning Sheet'!DX464='Weeks Plan'!$D$6,"RFD",""),"")</f>
        <v/>
      </c>
      <c r="AA6387" s="48" t="str">
        <f ca="1">IFERROR(IF('Planning Sheet'!DX464='Weeks Plan'!$D$6,'Planning Sheet'!DT464,""),"")</f>
        <v/>
      </c>
    </row>
    <row r="6388" spans="25:27" x14ac:dyDescent="0.3">
      <c r="Y6388" s="48" t="str">
        <f ca="1">IFERROR(IF('Planning Sheet'!DX465='Weeks Plan'!$D$6,'Planning Sheet'!$B465,""),"")</f>
        <v/>
      </c>
      <c r="Z6388" s="48" t="str">
        <f ca="1">IFERROR(IF('Planning Sheet'!DX465='Weeks Plan'!$D$6,"RFD",""),"")</f>
        <v/>
      </c>
      <c r="AA6388" s="48" t="str">
        <f ca="1">IFERROR(IF('Planning Sheet'!DX465='Weeks Plan'!$D$6,'Planning Sheet'!DT465,""),"")</f>
        <v/>
      </c>
    </row>
    <row r="6389" spans="25:27" x14ac:dyDescent="0.3">
      <c r="Y6389" s="48" t="str">
        <f ca="1">IFERROR(IF('Planning Sheet'!DX466='Weeks Plan'!$D$6,'Planning Sheet'!$B466,""),"")</f>
        <v/>
      </c>
      <c r="Z6389" s="48" t="str">
        <f ca="1">IFERROR(IF('Planning Sheet'!DX466='Weeks Plan'!$D$6,"RFD",""),"")</f>
        <v/>
      </c>
      <c r="AA6389" s="48" t="str">
        <f ca="1">IFERROR(IF('Planning Sheet'!DX466='Weeks Plan'!$D$6,'Planning Sheet'!DT466,""),"")</f>
        <v/>
      </c>
    </row>
    <row r="6390" spans="25:27" x14ac:dyDescent="0.3">
      <c r="Y6390" s="48" t="str">
        <f ca="1">IFERROR(IF('Planning Sheet'!DX467='Weeks Plan'!$D$6,'Planning Sheet'!$B467,""),"")</f>
        <v/>
      </c>
      <c r="Z6390" s="48" t="str">
        <f ca="1">IFERROR(IF('Planning Sheet'!DX467='Weeks Plan'!$D$6,"RFD",""),"")</f>
        <v/>
      </c>
      <c r="AA6390" s="48" t="str">
        <f ca="1">IFERROR(IF('Planning Sheet'!DX467='Weeks Plan'!$D$6,'Planning Sheet'!DT467,""),"")</f>
        <v/>
      </c>
    </row>
    <row r="6391" spans="25:27" x14ac:dyDescent="0.3">
      <c r="Y6391" s="48" t="str">
        <f ca="1">IFERROR(IF('Planning Sheet'!DX468='Weeks Plan'!$D$6,'Planning Sheet'!$B468,""),"")</f>
        <v/>
      </c>
      <c r="Z6391" s="48" t="str">
        <f ca="1">IFERROR(IF('Planning Sheet'!DX468='Weeks Plan'!$D$6,"RFD",""),"")</f>
        <v/>
      </c>
      <c r="AA6391" s="48" t="str">
        <f ca="1">IFERROR(IF('Planning Sheet'!DX468='Weeks Plan'!$D$6,'Planning Sheet'!DT468,""),"")</f>
        <v/>
      </c>
    </row>
    <row r="6392" spans="25:27" x14ac:dyDescent="0.3">
      <c r="Y6392" s="48" t="str">
        <f ca="1">IFERROR(IF('Planning Sheet'!DX469='Weeks Plan'!$D$6,'Planning Sheet'!$B469,""),"")</f>
        <v/>
      </c>
      <c r="Z6392" s="48" t="str">
        <f ca="1">IFERROR(IF('Planning Sheet'!DX469='Weeks Plan'!$D$6,"RFD",""),"")</f>
        <v/>
      </c>
      <c r="AA6392" s="48" t="str">
        <f ca="1">IFERROR(IF('Planning Sheet'!DX469='Weeks Plan'!$D$6,'Planning Sheet'!DT469,""),"")</f>
        <v/>
      </c>
    </row>
    <row r="6393" spans="25:27" x14ac:dyDescent="0.3">
      <c r="Y6393" s="48" t="str">
        <f ca="1">IFERROR(IF('Planning Sheet'!DX470='Weeks Plan'!$D$6,'Planning Sheet'!$B470,""),"")</f>
        <v/>
      </c>
      <c r="Z6393" s="48" t="str">
        <f ca="1">IFERROR(IF('Planning Sheet'!DX470='Weeks Plan'!$D$6,"RFD",""),"")</f>
        <v/>
      </c>
      <c r="AA6393" s="48" t="str">
        <f ca="1">IFERROR(IF('Planning Sheet'!DX470='Weeks Plan'!$D$6,'Planning Sheet'!DT470,""),"")</f>
        <v/>
      </c>
    </row>
    <row r="6394" spans="25:27" x14ac:dyDescent="0.3">
      <c r="Y6394" s="48" t="str">
        <f ca="1">IFERROR(IF('Planning Sheet'!DX471='Weeks Plan'!$D$6,'Planning Sheet'!$B471,""),"")</f>
        <v/>
      </c>
      <c r="Z6394" s="48" t="str">
        <f ca="1">IFERROR(IF('Planning Sheet'!DX471='Weeks Plan'!$D$6,"RFD",""),"")</f>
        <v/>
      </c>
      <c r="AA6394" s="48" t="str">
        <f ca="1">IFERROR(IF('Planning Sheet'!DX471='Weeks Plan'!$D$6,'Planning Sheet'!DT471,""),"")</f>
        <v/>
      </c>
    </row>
    <row r="6395" spans="25:27" x14ac:dyDescent="0.3">
      <c r="Y6395" s="48" t="str">
        <f ca="1">IFERROR(IF('Planning Sheet'!DX472='Weeks Plan'!$D$6,'Planning Sheet'!$B472,""),"")</f>
        <v/>
      </c>
      <c r="Z6395" s="48" t="str">
        <f ca="1">IFERROR(IF('Planning Sheet'!DX472='Weeks Plan'!$D$6,"RFD",""),"")</f>
        <v/>
      </c>
      <c r="AA6395" s="48" t="str">
        <f ca="1">IFERROR(IF('Planning Sheet'!DX472='Weeks Plan'!$D$6,'Planning Sheet'!DT472,""),"")</f>
        <v/>
      </c>
    </row>
    <row r="6396" spans="25:27" x14ac:dyDescent="0.3">
      <c r="Y6396" s="48" t="str">
        <f ca="1">IFERROR(IF('Planning Sheet'!DX473='Weeks Plan'!$D$6,'Planning Sheet'!$B473,""),"")</f>
        <v/>
      </c>
      <c r="Z6396" s="48" t="str">
        <f ca="1">IFERROR(IF('Planning Sheet'!DX473='Weeks Plan'!$D$6,"RFD",""),"")</f>
        <v/>
      </c>
      <c r="AA6396" s="48" t="str">
        <f ca="1">IFERROR(IF('Planning Sheet'!DX473='Weeks Plan'!$D$6,'Planning Sheet'!DT473,""),"")</f>
        <v/>
      </c>
    </row>
    <row r="6397" spans="25:27" x14ac:dyDescent="0.3">
      <c r="Y6397" s="48" t="str">
        <f ca="1">IFERROR(IF('Planning Sheet'!DX474='Weeks Plan'!$D$6,'Planning Sheet'!$B474,""),"")</f>
        <v/>
      </c>
      <c r="Z6397" s="48" t="str">
        <f ca="1">IFERROR(IF('Planning Sheet'!DX474='Weeks Plan'!$D$6,"RFD",""),"")</f>
        <v/>
      </c>
      <c r="AA6397" s="48" t="str">
        <f ca="1">IFERROR(IF('Planning Sheet'!DX474='Weeks Plan'!$D$6,'Planning Sheet'!DT474,""),"")</f>
        <v/>
      </c>
    </row>
    <row r="6398" spans="25:27" x14ac:dyDescent="0.3">
      <c r="Y6398" s="48" t="str">
        <f ca="1">IFERROR(IF('Planning Sheet'!DX475='Weeks Plan'!$D$6,'Planning Sheet'!$B475,""),"")</f>
        <v/>
      </c>
      <c r="Z6398" s="48" t="str">
        <f ca="1">IFERROR(IF('Planning Sheet'!DX475='Weeks Plan'!$D$6,"RFD",""),"")</f>
        <v/>
      </c>
      <c r="AA6398" s="48" t="str">
        <f ca="1">IFERROR(IF('Planning Sheet'!DX475='Weeks Plan'!$D$6,'Planning Sheet'!DT475,""),"")</f>
        <v/>
      </c>
    </row>
    <row r="6399" spans="25:27" x14ac:dyDescent="0.3">
      <c r="Y6399" s="48" t="str">
        <f ca="1">IFERROR(IF('Planning Sheet'!DX476='Weeks Plan'!$D$6,'Planning Sheet'!$B476,""),"")</f>
        <v/>
      </c>
      <c r="Z6399" s="48" t="str">
        <f ca="1">IFERROR(IF('Planning Sheet'!DX476='Weeks Plan'!$D$6,"RFD",""),"")</f>
        <v/>
      </c>
      <c r="AA6399" s="48" t="str">
        <f ca="1">IFERROR(IF('Planning Sheet'!DX476='Weeks Plan'!$D$6,'Planning Sheet'!DT476,""),"")</f>
        <v/>
      </c>
    </row>
    <row r="6400" spans="25:27" x14ac:dyDescent="0.3">
      <c r="Y6400" s="48" t="str">
        <f ca="1">IFERROR(IF('Planning Sheet'!DX477='Weeks Plan'!$D$6,'Planning Sheet'!$B477,""),"")</f>
        <v/>
      </c>
      <c r="Z6400" s="48" t="str">
        <f ca="1">IFERROR(IF('Planning Sheet'!DX477='Weeks Plan'!$D$6,"RFD",""),"")</f>
        <v/>
      </c>
      <c r="AA6400" s="48" t="str">
        <f ca="1">IFERROR(IF('Planning Sheet'!DX477='Weeks Plan'!$D$6,'Planning Sheet'!DT477,""),"")</f>
        <v/>
      </c>
    </row>
    <row r="6401" spans="25:27" x14ac:dyDescent="0.3">
      <c r="Y6401" s="48" t="str">
        <f ca="1">IFERROR(IF('Planning Sheet'!DX478='Weeks Plan'!$D$6,'Planning Sheet'!$B478,""),"")</f>
        <v/>
      </c>
      <c r="Z6401" s="48" t="str">
        <f ca="1">IFERROR(IF('Planning Sheet'!DX478='Weeks Plan'!$D$6,"RFD",""),"")</f>
        <v/>
      </c>
      <c r="AA6401" s="48" t="str">
        <f ca="1">IFERROR(IF('Planning Sheet'!DX478='Weeks Plan'!$D$6,'Planning Sheet'!DT478,""),"")</f>
        <v/>
      </c>
    </row>
    <row r="6402" spans="25:27" x14ac:dyDescent="0.3">
      <c r="Y6402" s="48" t="str">
        <f ca="1">IFERROR(IF('Planning Sheet'!DX479='Weeks Plan'!$D$6,'Planning Sheet'!$B479,""),"")</f>
        <v/>
      </c>
      <c r="Z6402" s="48" t="str">
        <f ca="1">IFERROR(IF('Planning Sheet'!DX479='Weeks Plan'!$D$6,"RFD",""),"")</f>
        <v/>
      </c>
      <c r="AA6402" s="48" t="str">
        <f ca="1">IFERROR(IF('Planning Sheet'!DX479='Weeks Plan'!$D$6,'Planning Sheet'!DT479,""),"")</f>
        <v/>
      </c>
    </row>
    <row r="6403" spans="25:27" x14ac:dyDescent="0.3">
      <c r="Y6403" s="48" t="str">
        <f ca="1">IFERROR(IF('Planning Sheet'!DX480='Weeks Plan'!$D$6,'Planning Sheet'!$B480,""),"")</f>
        <v/>
      </c>
      <c r="Z6403" s="48" t="str">
        <f ca="1">IFERROR(IF('Planning Sheet'!DX480='Weeks Plan'!$D$6,"RFD",""),"")</f>
        <v/>
      </c>
      <c r="AA6403" s="48" t="str">
        <f ca="1">IFERROR(IF('Planning Sheet'!DX480='Weeks Plan'!$D$6,'Planning Sheet'!DT480,""),"")</f>
        <v/>
      </c>
    </row>
    <row r="6404" spans="25:27" x14ac:dyDescent="0.3">
      <c r="Y6404" s="48" t="str">
        <f ca="1">IFERROR(IF('Planning Sheet'!DX481='Weeks Plan'!$D$6,'Planning Sheet'!$B481,""),"")</f>
        <v/>
      </c>
      <c r="Z6404" s="48" t="str">
        <f ca="1">IFERROR(IF('Planning Sheet'!DX481='Weeks Plan'!$D$6,"RFD",""),"")</f>
        <v/>
      </c>
      <c r="AA6404" s="48" t="str">
        <f ca="1">IFERROR(IF('Planning Sheet'!DX481='Weeks Plan'!$D$6,'Planning Sheet'!DT481,""),"")</f>
        <v/>
      </c>
    </row>
    <row r="6405" spans="25:27" x14ac:dyDescent="0.3">
      <c r="Y6405" s="48" t="str">
        <f ca="1">IFERROR(IF('Planning Sheet'!DX482='Weeks Plan'!$D$6,'Planning Sheet'!$B482,""),"")</f>
        <v/>
      </c>
      <c r="Z6405" s="48" t="str">
        <f ca="1">IFERROR(IF('Planning Sheet'!DX482='Weeks Plan'!$D$6,"RFD",""),"")</f>
        <v/>
      </c>
      <c r="AA6405" s="48" t="str">
        <f ca="1">IFERROR(IF('Planning Sheet'!DX482='Weeks Plan'!$D$6,'Planning Sheet'!DT482,""),"")</f>
        <v/>
      </c>
    </row>
    <row r="6406" spans="25:27" x14ac:dyDescent="0.3">
      <c r="Y6406" s="48" t="str">
        <f ca="1">IFERROR(IF('Planning Sheet'!DX483='Weeks Plan'!$D$6,'Planning Sheet'!$B483,""),"")</f>
        <v/>
      </c>
      <c r="Z6406" s="48" t="str">
        <f ca="1">IFERROR(IF('Planning Sheet'!DX483='Weeks Plan'!$D$6,"RFD",""),"")</f>
        <v/>
      </c>
      <c r="AA6406" s="48" t="str">
        <f ca="1">IFERROR(IF('Planning Sheet'!DX483='Weeks Plan'!$D$6,'Planning Sheet'!DT483,""),"")</f>
        <v/>
      </c>
    </row>
    <row r="6407" spans="25:27" x14ac:dyDescent="0.3">
      <c r="Y6407" s="48" t="str">
        <f ca="1">IFERROR(IF('Planning Sheet'!DX484='Weeks Plan'!$D$6,'Planning Sheet'!$B484,""),"")</f>
        <v/>
      </c>
      <c r="Z6407" s="48" t="str">
        <f ca="1">IFERROR(IF('Planning Sheet'!DX484='Weeks Plan'!$D$6,"RFD",""),"")</f>
        <v/>
      </c>
      <c r="AA6407" s="48" t="str">
        <f ca="1">IFERROR(IF('Planning Sheet'!DX484='Weeks Plan'!$D$6,'Planning Sheet'!DT484,""),"")</f>
        <v/>
      </c>
    </row>
    <row r="6408" spans="25:27" x14ac:dyDescent="0.3">
      <c r="Y6408" s="48" t="str">
        <f ca="1">IFERROR(IF('Planning Sheet'!DX485='Weeks Plan'!$D$6,'Planning Sheet'!$B485,""),"")</f>
        <v/>
      </c>
      <c r="Z6408" s="48" t="str">
        <f ca="1">IFERROR(IF('Planning Sheet'!DX485='Weeks Plan'!$D$6,"RFD",""),"")</f>
        <v/>
      </c>
      <c r="AA6408" s="48" t="str">
        <f ca="1">IFERROR(IF('Planning Sheet'!DX485='Weeks Plan'!$D$6,'Planning Sheet'!DT485,""),"")</f>
        <v/>
      </c>
    </row>
    <row r="6409" spans="25:27" x14ac:dyDescent="0.3">
      <c r="Y6409" s="48" t="str">
        <f ca="1">IFERROR(IF('Planning Sheet'!DX486='Weeks Plan'!$D$6,'Planning Sheet'!$B486,""),"")</f>
        <v/>
      </c>
      <c r="Z6409" s="48" t="str">
        <f ca="1">IFERROR(IF('Planning Sheet'!DX486='Weeks Plan'!$D$6,"RFD",""),"")</f>
        <v/>
      </c>
      <c r="AA6409" s="48" t="str">
        <f ca="1">IFERROR(IF('Planning Sheet'!DX486='Weeks Plan'!$D$6,'Planning Sheet'!DT486,""),"")</f>
        <v/>
      </c>
    </row>
    <row r="6410" spans="25:27" x14ac:dyDescent="0.3">
      <c r="Y6410" s="48" t="str">
        <f ca="1">IFERROR(IF('Planning Sheet'!DX487='Weeks Plan'!$D$6,'Planning Sheet'!$B487,""),"")</f>
        <v/>
      </c>
      <c r="Z6410" s="48" t="str">
        <f ca="1">IFERROR(IF('Planning Sheet'!DX487='Weeks Plan'!$D$6,"RFD",""),"")</f>
        <v/>
      </c>
      <c r="AA6410" s="48" t="str">
        <f ca="1">IFERROR(IF('Planning Sheet'!DX487='Weeks Plan'!$D$6,'Planning Sheet'!DT487,""),"")</f>
        <v/>
      </c>
    </row>
    <row r="6411" spans="25:27" x14ac:dyDescent="0.3">
      <c r="Y6411" s="48" t="str">
        <f ca="1">IFERROR(IF('Planning Sheet'!DX488='Weeks Plan'!$D$6,'Planning Sheet'!$B488,""),"")</f>
        <v/>
      </c>
      <c r="Z6411" s="48" t="str">
        <f ca="1">IFERROR(IF('Planning Sheet'!DX488='Weeks Plan'!$D$6,"RFD",""),"")</f>
        <v/>
      </c>
      <c r="AA6411" s="48" t="str">
        <f ca="1">IFERROR(IF('Planning Sheet'!DX488='Weeks Plan'!$D$6,'Planning Sheet'!DT488,""),"")</f>
        <v/>
      </c>
    </row>
    <row r="6412" spans="25:27" x14ac:dyDescent="0.3">
      <c r="Y6412" s="48" t="str">
        <f ca="1">IFERROR(IF('Planning Sheet'!DX489='Weeks Plan'!$D$6,'Planning Sheet'!$B489,""),"")</f>
        <v/>
      </c>
      <c r="Z6412" s="48" t="str">
        <f ca="1">IFERROR(IF('Planning Sheet'!DX489='Weeks Plan'!$D$6,"RFD",""),"")</f>
        <v/>
      </c>
      <c r="AA6412" s="48" t="str">
        <f ca="1">IFERROR(IF('Planning Sheet'!DX489='Weeks Plan'!$D$6,'Planning Sheet'!DT489,""),"")</f>
        <v/>
      </c>
    </row>
    <row r="6413" spans="25:27" x14ac:dyDescent="0.3">
      <c r="Y6413" s="48" t="str">
        <f ca="1">IFERROR(IF('Planning Sheet'!DX490='Weeks Plan'!$D$6,'Planning Sheet'!$B490,""),"")</f>
        <v/>
      </c>
      <c r="Z6413" s="48" t="str">
        <f ca="1">IFERROR(IF('Planning Sheet'!DX490='Weeks Plan'!$D$6,"RFD",""),"")</f>
        <v/>
      </c>
      <c r="AA6413" s="48" t="str">
        <f ca="1">IFERROR(IF('Planning Sheet'!DX490='Weeks Plan'!$D$6,'Planning Sheet'!DT490,""),"")</f>
        <v/>
      </c>
    </row>
    <row r="6414" spans="25:27" x14ac:dyDescent="0.3">
      <c r="Y6414" s="48" t="str">
        <f ca="1">IFERROR(IF('Planning Sheet'!DX491='Weeks Plan'!$D$6,'Planning Sheet'!$B491,""),"")</f>
        <v/>
      </c>
      <c r="Z6414" s="48" t="str">
        <f ca="1">IFERROR(IF('Planning Sheet'!DX491='Weeks Plan'!$D$6,"RFD",""),"")</f>
        <v/>
      </c>
      <c r="AA6414" s="48" t="str">
        <f ca="1">IFERROR(IF('Planning Sheet'!DX491='Weeks Plan'!$D$6,'Planning Sheet'!DT491,""),"")</f>
        <v/>
      </c>
    </row>
    <row r="6415" spans="25:27" x14ac:dyDescent="0.3">
      <c r="Y6415" s="48" t="str">
        <f ca="1">IFERROR(IF('Planning Sheet'!DX492='Weeks Plan'!$D$6,'Planning Sheet'!$B492,""),"")</f>
        <v/>
      </c>
      <c r="Z6415" s="48" t="str">
        <f ca="1">IFERROR(IF('Planning Sheet'!DX492='Weeks Plan'!$D$6,"RFD",""),"")</f>
        <v/>
      </c>
      <c r="AA6415" s="48" t="str">
        <f ca="1">IFERROR(IF('Planning Sheet'!DX492='Weeks Plan'!$D$6,'Planning Sheet'!DT492,""),"")</f>
        <v/>
      </c>
    </row>
    <row r="6416" spans="25:27" x14ac:dyDescent="0.3">
      <c r="Y6416" s="48" t="str">
        <f ca="1">IFERROR(IF('Planning Sheet'!DX493='Weeks Plan'!$D$6,'Planning Sheet'!$B493,""),"")</f>
        <v/>
      </c>
      <c r="Z6416" s="48" t="str">
        <f ca="1">IFERROR(IF('Planning Sheet'!DX493='Weeks Plan'!$D$6,"RFD",""),"")</f>
        <v/>
      </c>
      <c r="AA6416" s="48" t="str">
        <f ca="1">IFERROR(IF('Planning Sheet'!DX493='Weeks Plan'!$D$6,'Planning Sheet'!DT493,""),"")</f>
        <v/>
      </c>
    </row>
    <row r="6417" spans="25:27" x14ac:dyDescent="0.3">
      <c r="Y6417" s="48" t="str">
        <f ca="1">IFERROR(IF('Planning Sheet'!DX494='Weeks Plan'!$D$6,'Planning Sheet'!$B494,""),"")</f>
        <v/>
      </c>
      <c r="Z6417" s="48" t="str">
        <f ca="1">IFERROR(IF('Planning Sheet'!DX494='Weeks Plan'!$D$6,"RFD",""),"")</f>
        <v/>
      </c>
      <c r="AA6417" s="48" t="str">
        <f ca="1">IFERROR(IF('Planning Sheet'!DX494='Weeks Plan'!$D$6,'Planning Sheet'!DT494,""),"")</f>
        <v/>
      </c>
    </row>
    <row r="6418" spans="25:27" x14ac:dyDescent="0.3">
      <c r="Y6418" s="48" t="str">
        <f ca="1">IFERROR(IF('Planning Sheet'!DX495='Weeks Plan'!$D$6,'Planning Sheet'!$B495,""),"")</f>
        <v/>
      </c>
      <c r="Z6418" s="48" t="str">
        <f ca="1">IFERROR(IF('Planning Sheet'!DX495='Weeks Plan'!$D$6,"RFD",""),"")</f>
        <v/>
      </c>
      <c r="AA6418" s="48" t="str">
        <f ca="1">IFERROR(IF('Planning Sheet'!DX495='Weeks Plan'!$D$6,'Planning Sheet'!DT495,""),"")</f>
        <v/>
      </c>
    </row>
    <row r="6419" spans="25:27" x14ac:dyDescent="0.3">
      <c r="Y6419" s="48" t="str">
        <f ca="1">IFERROR(IF('Planning Sheet'!DX496='Weeks Plan'!$D$6,'Planning Sheet'!$B496,""),"")</f>
        <v/>
      </c>
      <c r="Z6419" s="48" t="str">
        <f ca="1">IFERROR(IF('Planning Sheet'!DX496='Weeks Plan'!$D$6,"RFD",""),"")</f>
        <v/>
      </c>
      <c r="AA6419" s="48" t="str">
        <f ca="1">IFERROR(IF('Planning Sheet'!DX496='Weeks Plan'!$D$6,'Planning Sheet'!DT496,""),"")</f>
        <v/>
      </c>
    </row>
    <row r="6420" spans="25:27" x14ac:dyDescent="0.3">
      <c r="Y6420" s="48" t="str">
        <f ca="1">IFERROR(IF('Planning Sheet'!DX497='Weeks Plan'!$D$6,'Planning Sheet'!$B497,""),"")</f>
        <v/>
      </c>
      <c r="Z6420" s="48" t="str">
        <f ca="1">IFERROR(IF('Planning Sheet'!DX497='Weeks Plan'!$D$6,"RFD",""),"")</f>
        <v/>
      </c>
      <c r="AA6420" s="48" t="str">
        <f ca="1">IFERROR(IF('Planning Sheet'!DX497='Weeks Plan'!$D$6,'Planning Sheet'!DT497,""),"")</f>
        <v/>
      </c>
    </row>
    <row r="6421" spans="25:27" x14ac:dyDescent="0.3">
      <c r="Y6421" s="48" t="str">
        <f ca="1">IFERROR(IF('Planning Sheet'!DX498='Weeks Plan'!$D$6,'Planning Sheet'!$B498,""),"")</f>
        <v/>
      </c>
      <c r="Z6421" s="48" t="str">
        <f ca="1">IFERROR(IF('Planning Sheet'!DX498='Weeks Plan'!$D$6,"RFD",""),"")</f>
        <v/>
      </c>
      <c r="AA6421" s="48" t="str">
        <f ca="1">IFERROR(IF('Planning Sheet'!DX498='Weeks Plan'!$D$6,'Planning Sheet'!DT498,""),"")</f>
        <v/>
      </c>
    </row>
    <row r="6422" spans="25:27" x14ac:dyDescent="0.3">
      <c r="Y6422" s="48" t="str">
        <f ca="1">IFERROR(IF('Planning Sheet'!DX499='Weeks Plan'!$D$6,'Planning Sheet'!$B499,""),"")</f>
        <v/>
      </c>
      <c r="Z6422" s="48" t="str">
        <f ca="1">IFERROR(IF('Planning Sheet'!DX499='Weeks Plan'!$D$6,"RFD",""),"")</f>
        <v/>
      </c>
      <c r="AA6422" s="48" t="str">
        <f ca="1">IFERROR(IF('Planning Sheet'!DX499='Weeks Plan'!$D$6,'Planning Sheet'!DT499,""),"")</f>
        <v/>
      </c>
    </row>
    <row r="6423" spans="25:27" x14ac:dyDescent="0.3">
      <c r="Y6423" s="48" t="str">
        <f ca="1">IFERROR(IF('Planning Sheet'!DX500='Weeks Plan'!$D$6,'Planning Sheet'!$B500,""),"")</f>
        <v/>
      </c>
      <c r="Z6423" s="48" t="str">
        <f ca="1">IFERROR(IF('Planning Sheet'!DX500='Weeks Plan'!$D$6,"RFD",""),"")</f>
        <v/>
      </c>
      <c r="AA6423" s="48" t="str">
        <f ca="1">IFERROR(IF('Planning Sheet'!DX500='Weeks Plan'!$D$6,'Planning Sheet'!DT500,""),"")</f>
        <v/>
      </c>
    </row>
    <row r="6425" spans="25:27" x14ac:dyDescent="0.3">
      <c r="Z6425" s="99"/>
      <c r="AA6425" s="99"/>
    </row>
    <row r="6426" spans="25:27" x14ac:dyDescent="0.3">
      <c r="Y6426" s="47"/>
    </row>
  </sheetData>
  <sheetProtection algorithmName="SHA-512" hashValue="+L2DwO2SbYq3sOp/mFrpYgKVoyyNG79FFBpROiZ7HUuDdcSPZgbj6B3efb0984DkCGlJ7t7JPQ7jDgSz/L6A6w==" saltValue="3m7gRoLgG6sOigfW99gBaQ==" spinCount="100000" sheet="1" selectLockedCells="1"/>
  <mergeCells count="3">
    <mergeCell ref="F2:H5"/>
    <mergeCell ref="R2:U5"/>
    <mergeCell ref="I2:Q5"/>
  </mergeCells>
  <dataValidations count="2">
    <dataValidation type="list" allowBlank="1" showInputMessage="1" showErrorMessage="1" sqref="D6" xr:uid="{01E35F03-5771-4830-AB1F-2F216EE142FF}">
      <formula1>"Previous Week, This Week, Next Week"</formula1>
    </dataValidation>
    <dataValidation type="list" allowBlank="1" showInputMessage="1" showErrorMessage="1" sqref="G6" xr:uid="{72A94F79-5B7C-4E2E-9466-9CFBB5C7642B}">
      <formula1>"Cladding, Module, Welding, Others"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37C971-9781-4D3B-95C4-76D3D79A4958}">
  <sheetPr codeName="Sheet4"/>
  <dimension ref="A1:V102"/>
  <sheetViews>
    <sheetView tabSelected="1" topLeftCell="A3" zoomScaleNormal="100" workbookViewId="0">
      <selection activeCell="H18" sqref="H18"/>
    </sheetView>
  </sheetViews>
  <sheetFormatPr defaultRowHeight="14.4" x14ac:dyDescent="0.3"/>
  <cols>
    <col min="1" max="1" width="1.77734375" style="1" customWidth="1"/>
    <col min="2" max="2" width="11.33203125" style="1" bestFit="1" customWidth="1"/>
    <col min="3" max="3" width="12.5546875" style="34" bestFit="1" customWidth="1"/>
    <col min="4" max="4" width="13.88671875" style="1" customWidth="1"/>
    <col min="5" max="5" width="13.88671875" style="1" hidden="1" customWidth="1"/>
    <col min="6" max="6" width="21.6640625" style="1" hidden="1" customWidth="1"/>
    <col min="7" max="7" width="11.33203125" style="1" bestFit="1" customWidth="1"/>
    <col min="8" max="8" width="18.88671875" style="1" customWidth="1"/>
    <col min="9" max="9" width="13.5546875" style="1" bestFit="1" customWidth="1"/>
    <col min="10" max="13" width="8.88671875" style="1"/>
    <col min="14" max="14" width="11.21875" style="1" customWidth="1"/>
    <col min="15" max="16384" width="8.88671875" style="1"/>
  </cols>
  <sheetData>
    <row r="1" spans="1:22" ht="10.050000000000001" customHeight="1" thickBot="1" x14ac:dyDescent="0.35"/>
    <row r="2" spans="1:22" ht="14.4" customHeight="1" x14ac:dyDescent="0.3">
      <c r="B2" s="21"/>
      <c r="C2" s="22"/>
      <c r="D2" s="188" t="s">
        <v>110</v>
      </c>
      <c r="E2" s="188"/>
      <c r="F2" s="188"/>
      <c r="G2" s="188"/>
      <c r="H2" s="188"/>
      <c r="I2" s="50"/>
      <c r="J2" s="50"/>
      <c r="K2" s="181"/>
      <c r="L2" s="182"/>
      <c r="M2" s="182"/>
      <c r="N2" s="182"/>
      <c r="O2" s="183"/>
      <c r="P2" s="46"/>
      <c r="Q2" s="46"/>
      <c r="R2" s="46"/>
      <c r="S2" s="46"/>
      <c r="T2" s="46"/>
      <c r="U2" s="46"/>
      <c r="V2" s="46"/>
    </row>
    <row r="3" spans="1:22" x14ac:dyDescent="0.3">
      <c r="B3" s="23"/>
      <c r="C3" s="24"/>
      <c r="D3" s="192"/>
      <c r="E3" s="192"/>
      <c r="F3" s="192"/>
      <c r="G3" s="192"/>
      <c r="H3" s="192"/>
      <c r="I3" s="51"/>
      <c r="J3" s="51"/>
      <c r="K3" s="184"/>
      <c r="L3" s="184"/>
      <c r="M3" s="184"/>
      <c r="N3" s="184"/>
      <c r="O3" s="185"/>
      <c r="P3" s="46"/>
      <c r="Q3" s="46"/>
      <c r="R3" s="46"/>
      <c r="S3" s="46"/>
      <c r="T3" s="46"/>
      <c r="U3" s="46"/>
      <c r="V3" s="46"/>
    </row>
    <row r="4" spans="1:22" x14ac:dyDescent="0.3">
      <c r="B4" s="23"/>
      <c r="C4" s="24"/>
      <c r="D4" s="192"/>
      <c r="E4" s="192"/>
      <c r="F4" s="192"/>
      <c r="G4" s="192"/>
      <c r="H4" s="192"/>
      <c r="I4" s="51"/>
      <c r="J4" s="51"/>
      <c r="K4" s="184"/>
      <c r="L4" s="184"/>
      <c r="M4" s="184"/>
      <c r="N4" s="184"/>
      <c r="O4" s="185"/>
    </row>
    <row r="5" spans="1:22" ht="15" thickBot="1" x14ac:dyDescent="0.35">
      <c r="B5" s="52"/>
      <c r="C5" s="53"/>
      <c r="D5" s="193"/>
      <c r="E5" s="193"/>
      <c r="F5" s="193"/>
      <c r="G5" s="193"/>
      <c r="H5" s="193"/>
      <c r="I5" s="54"/>
      <c r="J5" s="54"/>
      <c r="K5" s="186"/>
      <c r="L5" s="186"/>
      <c r="M5" s="186"/>
      <c r="N5" s="186"/>
      <c r="O5" s="187"/>
    </row>
    <row r="6" spans="1:22" hidden="1" x14ac:dyDescent="0.3">
      <c r="B6" s="2"/>
      <c r="C6" s="6"/>
      <c r="D6"/>
      <c r="E6"/>
      <c r="F6"/>
      <c r="G6"/>
      <c r="H6"/>
      <c r="I6"/>
      <c r="J6"/>
      <c r="K6"/>
      <c r="L6"/>
      <c r="M6"/>
      <c r="N6"/>
      <c r="O6"/>
    </row>
    <row r="7" spans="1:22" hidden="1" x14ac:dyDescent="0.3">
      <c r="B7" s="2"/>
      <c r="C7" s="6"/>
      <c r="D7"/>
      <c r="E7"/>
      <c r="F7"/>
      <c r="G7"/>
      <c r="H7"/>
      <c r="I7"/>
      <c r="J7"/>
      <c r="K7"/>
      <c r="L7"/>
      <c r="M7"/>
      <c r="N7"/>
      <c r="O7"/>
    </row>
    <row r="8" spans="1:22" hidden="1" x14ac:dyDescent="0.3">
      <c r="B8" s="2"/>
      <c r="C8" s="35"/>
      <c r="D8" s="5"/>
      <c r="E8" s="5"/>
      <c r="F8" s="5"/>
      <c r="G8" s="5"/>
      <c r="H8" s="5"/>
      <c r="I8" s="5"/>
      <c r="J8" s="5"/>
      <c r="K8"/>
      <c r="L8"/>
      <c r="M8"/>
      <c r="N8"/>
      <c r="O8"/>
    </row>
    <row r="9" spans="1:22" ht="15" hidden="1" thickBot="1" x14ac:dyDescent="0.35">
      <c r="B9" s="2"/>
      <c r="C9" s="6"/>
      <c r="D9"/>
      <c r="E9"/>
      <c r="F9"/>
      <c r="G9"/>
      <c r="H9"/>
      <c r="I9"/>
      <c r="J9"/>
      <c r="K9"/>
      <c r="L9"/>
      <c r="M9"/>
      <c r="N9"/>
      <c r="O9"/>
    </row>
    <row r="10" spans="1:22" ht="28.8" x14ac:dyDescent="0.3">
      <c r="A10" s="46"/>
      <c r="B10" s="46"/>
      <c r="C10" s="36" t="s">
        <v>1</v>
      </c>
      <c r="D10" s="37" t="s">
        <v>3</v>
      </c>
      <c r="E10" s="37" t="s">
        <v>48</v>
      </c>
      <c r="F10" s="37" t="s">
        <v>49</v>
      </c>
      <c r="G10" s="37" t="s">
        <v>46</v>
      </c>
      <c r="H10" s="37" t="s">
        <v>45</v>
      </c>
      <c r="I10" s="37" t="s">
        <v>47</v>
      </c>
      <c r="J10" s="38" t="s">
        <v>78</v>
      </c>
      <c r="N10" s="36" t="s">
        <v>3</v>
      </c>
      <c r="O10" s="38" t="s">
        <v>63</v>
      </c>
    </row>
    <row r="11" spans="1:22" hidden="1" x14ac:dyDescent="0.3">
      <c r="A11" s="46"/>
      <c r="B11" s="46"/>
      <c r="C11" s="39"/>
      <c r="D11" s="3"/>
      <c r="E11" s="3"/>
      <c r="F11" s="3"/>
      <c r="G11" s="3"/>
      <c r="H11" s="3"/>
      <c r="I11" s="3"/>
      <c r="J11" s="40"/>
      <c r="N11" s="44"/>
      <c r="O11" s="40"/>
    </row>
    <row r="12" spans="1:22" x14ac:dyDescent="0.3">
      <c r="A12" s="46"/>
      <c r="B12" s="46"/>
      <c r="C12" s="39">
        <v>1</v>
      </c>
      <c r="D12" s="3" t="s">
        <v>68</v>
      </c>
      <c r="E12" s="4" t="str">
        <f>IF(IF(D12&lt;&gt;"",D12,IF($U12&lt;&gt;"",E11,""))&lt;&gt;0,IF(D12&lt;&gt;"",D12,IF($G12&lt;&gt;"",E11,"")),"")</f>
        <v>AEGIS+</v>
      </c>
      <c r="F12" s="4" t="str">
        <f>IF(AND(E12&lt;&gt;"",G12&lt;&gt;""),E12&amp;" | "&amp;G12,"")</f>
        <v>AEGIS+ | Process T-11</v>
      </c>
      <c r="G12" s="3" t="s">
        <v>35</v>
      </c>
      <c r="H12" s="57"/>
      <c r="I12" s="57"/>
      <c r="J12" s="58"/>
      <c r="N12" s="44" t="s">
        <v>68</v>
      </c>
      <c r="O12" s="58">
        <v>10</v>
      </c>
    </row>
    <row r="13" spans="1:22" x14ac:dyDescent="0.3">
      <c r="A13" s="46"/>
      <c r="B13" s="46"/>
      <c r="C13" s="39"/>
      <c r="D13" s="3"/>
      <c r="E13" s="4" t="str">
        <f t="shared" ref="E13:E23" si="0">IF(IF(D13&lt;&gt;"",D13,IF($U13&lt;&gt;"",E12,""))&lt;&gt;0,IF(D13&lt;&gt;"",D13,IF($G13&lt;&gt;"",E12,"")),"")</f>
        <v>AEGIS+</v>
      </c>
      <c r="F13" s="4" t="str">
        <f t="shared" ref="F13:F78" si="1">IF(AND(E13&lt;&gt;"",G13&lt;&gt;""),E13&amp;" | "&amp;G13,"")</f>
        <v>AEGIS+ | Process T-10</v>
      </c>
      <c r="G13" s="3" t="s">
        <v>34</v>
      </c>
      <c r="H13" s="57"/>
      <c r="I13" s="57"/>
      <c r="J13" s="58"/>
      <c r="N13" s="44" t="s">
        <v>36</v>
      </c>
      <c r="O13" s="58">
        <v>8</v>
      </c>
    </row>
    <row r="14" spans="1:22" x14ac:dyDescent="0.3">
      <c r="A14" s="46"/>
      <c r="B14" s="46"/>
      <c r="C14" s="39"/>
      <c r="D14" s="3"/>
      <c r="E14" s="4" t="str">
        <f t="shared" si="0"/>
        <v>AEGIS+</v>
      </c>
      <c r="F14" s="4" t="str">
        <f t="shared" si="1"/>
        <v>AEGIS+ | Process T-9</v>
      </c>
      <c r="G14" s="3" t="s">
        <v>33</v>
      </c>
      <c r="H14" s="57"/>
      <c r="I14" s="57"/>
      <c r="J14" s="58"/>
      <c r="N14" s="44" t="s">
        <v>37</v>
      </c>
      <c r="O14" s="58">
        <v>7</v>
      </c>
    </row>
    <row r="15" spans="1:22" x14ac:dyDescent="0.3">
      <c r="A15" s="46"/>
      <c r="B15" s="46"/>
      <c r="C15" s="39"/>
      <c r="D15" s="3"/>
      <c r="E15" s="4" t="str">
        <f t="shared" si="0"/>
        <v>AEGIS+</v>
      </c>
      <c r="F15" s="4" t="str">
        <f t="shared" si="1"/>
        <v>AEGIS+ | Process T-8</v>
      </c>
      <c r="G15" s="3" t="s">
        <v>32</v>
      </c>
      <c r="H15" s="57"/>
      <c r="I15" s="57"/>
      <c r="J15" s="58"/>
      <c r="N15" s="44" t="s">
        <v>38</v>
      </c>
      <c r="O15" s="58">
        <v>6</v>
      </c>
    </row>
    <row r="16" spans="1:22" x14ac:dyDescent="0.3">
      <c r="A16" s="46"/>
      <c r="B16" s="46"/>
      <c r="C16" s="39"/>
      <c r="D16" s="3"/>
      <c r="E16" s="4" t="str">
        <f t="shared" si="0"/>
        <v>AEGIS+</v>
      </c>
      <c r="F16" s="4" t="str">
        <f t="shared" si="1"/>
        <v>AEGIS+ | Process T-7</v>
      </c>
      <c r="G16" s="3" t="s">
        <v>31</v>
      </c>
      <c r="H16" s="57"/>
      <c r="I16" s="57"/>
      <c r="J16" s="58"/>
      <c r="N16" s="44" t="s">
        <v>39</v>
      </c>
      <c r="O16" s="58">
        <v>5</v>
      </c>
    </row>
    <row r="17" spans="1:15" x14ac:dyDescent="0.3">
      <c r="A17" s="46"/>
      <c r="B17" s="46"/>
      <c r="C17" s="39"/>
      <c r="D17" s="3"/>
      <c r="E17" s="4" t="str">
        <f t="shared" si="0"/>
        <v>AEGIS+</v>
      </c>
      <c r="F17" s="4" t="str">
        <f t="shared" si="1"/>
        <v>AEGIS+ | Process T-6</v>
      </c>
      <c r="G17" s="3" t="s">
        <v>30</v>
      </c>
      <c r="H17" s="57" t="s">
        <v>82</v>
      </c>
      <c r="I17" s="57">
        <v>1</v>
      </c>
      <c r="J17" s="58" t="s">
        <v>83</v>
      </c>
      <c r="N17" s="44" t="s">
        <v>40</v>
      </c>
      <c r="O17" s="58">
        <v>4</v>
      </c>
    </row>
    <row r="18" spans="1:15" ht="15" thickBot="1" x14ac:dyDescent="0.35">
      <c r="A18" s="46"/>
      <c r="B18" s="46"/>
      <c r="C18" s="39"/>
      <c r="D18" s="3"/>
      <c r="E18" s="4" t="str">
        <f t="shared" si="0"/>
        <v>AEGIS+</v>
      </c>
      <c r="F18" s="4" t="str">
        <f t="shared" si="1"/>
        <v>AEGIS+ | Process T-5</v>
      </c>
      <c r="G18" s="3" t="s">
        <v>29</v>
      </c>
      <c r="H18" s="57" t="s">
        <v>50</v>
      </c>
      <c r="I18" s="57">
        <v>1</v>
      </c>
      <c r="J18" s="58" t="s">
        <v>80</v>
      </c>
      <c r="N18" s="45" t="s">
        <v>57</v>
      </c>
      <c r="O18" s="60">
        <v>13</v>
      </c>
    </row>
    <row r="19" spans="1:15" x14ac:dyDescent="0.3">
      <c r="A19" s="46"/>
      <c r="B19" s="46"/>
      <c r="C19" s="39"/>
      <c r="D19" s="3"/>
      <c r="E19" s="4" t="str">
        <f t="shared" si="0"/>
        <v>AEGIS+</v>
      </c>
      <c r="F19" s="4" t="str">
        <f t="shared" si="1"/>
        <v>AEGIS+ | Process T-4</v>
      </c>
      <c r="G19" s="3" t="s">
        <v>27</v>
      </c>
      <c r="H19" s="57" t="s">
        <v>51</v>
      </c>
      <c r="I19" s="57">
        <v>3</v>
      </c>
      <c r="J19" s="58" t="s">
        <v>80</v>
      </c>
    </row>
    <row r="20" spans="1:15" x14ac:dyDescent="0.3">
      <c r="A20" s="46"/>
      <c r="B20" s="46"/>
      <c r="C20" s="39"/>
      <c r="D20" s="3"/>
      <c r="E20" s="4" t="str">
        <f t="shared" si="0"/>
        <v>AEGIS+</v>
      </c>
      <c r="F20" s="4" t="str">
        <f t="shared" si="1"/>
        <v>AEGIS+ | Process T-3</v>
      </c>
      <c r="G20" s="3" t="s">
        <v>26</v>
      </c>
      <c r="H20" s="57" t="s">
        <v>52</v>
      </c>
      <c r="I20" s="57">
        <v>1</v>
      </c>
      <c r="J20" s="58" t="s">
        <v>80</v>
      </c>
    </row>
    <row r="21" spans="1:15" x14ac:dyDescent="0.3">
      <c r="A21" s="46"/>
      <c r="B21" s="46"/>
      <c r="C21" s="39"/>
      <c r="D21" s="3"/>
      <c r="E21" s="4" t="str">
        <f t="shared" si="0"/>
        <v>AEGIS+</v>
      </c>
      <c r="F21" s="4" t="str">
        <f t="shared" si="1"/>
        <v>AEGIS+ | Process T-2</v>
      </c>
      <c r="G21" s="3" t="s">
        <v>25</v>
      </c>
      <c r="H21" s="57" t="s">
        <v>53</v>
      </c>
      <c r="I21" s="57">
        <v>1</v>
      </c>
      <c r="J21" s="58" t="s">
        <v>81</v>
      </c>
    </row>
    <row r="22" spans="1:15" x14ac:dyDescent="0.3">
      <c r="C22" s="39"/>
      <c r="D22" s="3"/>
      <c r="E22" s="4" t="str">
        <f t="shared" si="0"/>
        <v>AEGIS+</v>
      </c>
      <c r="F22" s="4" t="str">
        <f t="shared" si="1"/>
        <v>AEGIS+ | Process T-1</v>
      </c>
      <c r="G22" s="3" t="s">
        <v>28</v>
      </c>
      <c r="H22" s="57" t="s">
        <v>54</v>
      </c>
      <c r="I22" s="57">
        <v>1</v>
      </c>
      <c r="J22" s="58" t="s">
        <v>79</v>
      </c>
    </row>
    <row r="23" spans="1:15" x14ac:dyDescent="0.3">
      <c r="C23" s="39"/>
      <c r="D23" s="3"/>
      <c r="E23" s="4" t="str">
        <f t="shared" si="0"/>
        <v>AEGIS+</v>
      </c>
      <c r="F23" s="4" t="str">
        <f t="shared" si="1"/>
        <v>AEGIS+ | Process T</v>
      </c>
      <c r="G23" s="3" t="s">
        <v>24</v>
      </c>
      <c r="H23" s="57" t="s">
        <v>55</v>
      </c>
      <c r="I23" s="57">
        <v>1</v>
      </c>
      <c r="J23" s="58" t="s">
        <v>79</v>
      </c>
    </row>
    <row r="24" spans="1:15" x14ac:dyDescent="0.3">
      <c r="C24" s="39"/>
      <c r="D24" s="3"/>
      <c r="E24" s="4" t="str">
        <f>IF(IF(D24&lt;&gt;"",D24,IF($U24&lt;&gt;"",E23,""))&lt;&gt;0,IF(D24&lt;&gt;"",D24,IF($G24&lt;&gt;"",E23,"")),"")</f>
        <v/>
      </c>
      <c r="F24" s="4" t="str">
        <f t="shared" si="1"/>
        <v/>
      </c>
      <c r="G24" s="3"/>
      <c r="H24" s="57"/>
      <c r="I24" s="57"/>
      <c r="J24" s="58"/>
    </row>
    <row r="25" spans="1:15" x14ac:dyDescent="0.3">
      <c r="C25" s="39">
        <v>2</v>
      </c>
      <c r="D25" s="3" t="s">
        <v>36</v>
      </c>
      <c r="E25" s="4" t="str">
        <f>IF(IF(D25&lt;&gt;"",D25,IF($U25&lt;&gt;"",E24,""))&lt;&gt;0,IF(D25&lt;&gt;"",D25,IF($G25&lt;&gt;"",E24,"")),"")</f>
        <v>AEGIS 12</v>
      </c>
      <c r="F25" s="4" t="str">
        <f>IF(AND(E25&lt;&gt;"",G25&lt;&gt;""),E25&amp;" | "&amp;G25,"")</f>
        <v>AEGIS 12 | Process T-11</v>
      </c>
      <c r="G25" s="3" t="s">
        <v>35</v>
      </c>
      <c r="H25" s="57" t="s">
        <v>82</v>
      </c>
      <c r="I25" s="57">
        <v>1</v>
      </c>
      <c r="J25" s="58" t="s">
        <v>83</v>
      </c>
    </row>
    <row r="26" spans="1:15" x14ac:dyDescent="0.3">
      <c r="C26" s="39"/>
      <c r="D26" s="3"/>
      <c r="E26" s="4" t="str">
        <f t="shared" ref="E26:E36" si="2">IF(IF(D26&lt;&gt;"",D26,IF($U26&lt;&gt;"",E25,""))&lt;&gt;0,IF(D26&lt;&gt;"",D26,IF($G26&lt;&gt;"",E25,"")),"")</f>
        <v>AEGIS 12</v>
      </c>
      <c r="F26" s="4" t="str">
        <f t="shared" si="1"/>
        <v>AEGIS 12 | Process T-10</v>
      </c>
      <c r="G26" s="3" t="s">
        <v>34</v>
      </c>
      <c r="H26" s="57" t="s">
        <v>51</v>
      </c>
      <c r="I26" s="57">
        <v>1</v>
      </c>
      <c r="J26" s="58" t="s">
        <v>80</v>
      </c>
    </row>
    <row r="27" spans="1:15" x14ac:dyDescent="0.3">
      <c r="C27" s="39"/>
      <c r="D27" s="3"/>
      <c r="E27" s="4" t="str">
        <f t="shared" si="2"/>
        <v>AEGIS 12</v>
      </c>
      <c r="F27" s="4" t="str">
        <f t="shared" si="1"/>
        <v>AEGIS 12 | Process T-9</v>
      </c>
      <c r="G27" s="3" t="s">
        <v>33</v>
      </c>
      <c r="H27" s="57" t="s">
        <v>52</v>
      </c>
      <c r="I27" s="57">
        <v>1</v>
      </c>
      <c r="J27" s="58" t="s">
        <v>80</v>
      </c>
    </row>
    <row r="28" spans="1:15" x14ac:dyDescent="0.3">
      <c r="C28" s="39"/>
      <c r="D28" s="3"/>
      <c r="E28" s="4" t="str">
        <f t="shared" si="2"/>
        <v>AEGIS 12</v>
      </c>
      <c r="F28" s="4" t="str">
        <f t="shared" si="1"/>
        <v>AEGIS 12 | Process T-8</v>
      </c>
      <c r="G28" s="3" t="s">
        <v>32</v>
      </c>
      <c r="H28" s="57" t="s">
        <v>53</v>
      </c>
      <c r="I28" s="57">
        <v>1</v>
      </c>
      <c r="J28" s="58" t="s">
        <v>80</v>
      </c>
    </row>
    <row r="29" spans="1:15" x14ac:dyDescent="0.3">
      <c r="C29" s="39"/>
      <c r="D29" s="3"/>
      <c r="E29" s="4" t="str">
        <f t="shared" si="2"/>
        <v>AEGIS 12</v>
      </c>
      <c r="F29" s="4" t="str">
        <f t="shared" si="1"/>
        <v>AEGIS 12 | Process T-7</v>
      </c>
      <c r="G29" s="3" t="s">
        <v>31</v>
      </c>
      <c r="H29" s="57" t="s">
        <v>54</v>
      </c>
      <c r="I29" s="57">
        <v>1</v>
      </c>
      <c r="J29" s="58" t="s">
        <v>81</v>
      </c>
    </row>
    <row r="30" spans="1:15" x14ac:dyDescent="0.3">
      <c r="C30" s="39"/>
      <c r="D30" s="3"/>
      <c r="E30" s="4" t="str">
        <f t="shared" si="2"/>
        <v>AEGIS 12</v>
      </c>
      <c r="F30" s="4" t="str">
        <f t="shared" si="1"/>
        <v>AEGIS 12 | Process T-6</v>
      </c>
      <c r="G30" s="3" t="s">
        <v>30</v>
      </c>
      <c r="H30" s="57" t="s">
        <v>55</v>
      </c>
      <c r="I30" s="57">
        <v>1</v>
      </c>
      <c r="J30" s="58" t="s">
        <v>81</v>
      </c>
    </row>
    <row r="31" spans="1:15" x14ac:dyDescent="0.3">
      <c r="C31" s="39"/>
      <c r="D31" s="3"/>
      <c r="E31" s="4" t="str">
        <f t="shared" si="2"/>
        <v>AEGIS 12</v>
      </c>
      <c r="F31" s="4" t="str">
        <f t="shared" si="1"/>
        <v>AEGIS 12 | Process T-5</v>
      </c>
      <c r="G31" s="3" t="s">
        <v>29</v>
      </c>
      <c r="H31" s="57" t="s">
        <v>56</v>
      </c>
      <c r="I31" s="57">
        <v>1</v>
      </c>
      <c r="J31" s="58" t="s">
        <v>81</v>
      </c>
    </row>
    <row r="32" spans="1:15" x14ac:dyDescent="0.3">
      <c r="C32" s="39"/>
      <c r="D32" s="3"/>
      <c r="E32" s="4" t="str">
        <f t="shared" si="2"/>
        <v>AEGIS 12</v>
      </c>
      <c r="F32" s="4" t="str">
        <f t="shared" si="1"/>
        <v>AEGIS 12 | Process T-4</v>
      </c>
      <c r="G32" s="3" t="s">
        <v>27</v>
      </c>
      <c r="H32" s="57" t="s">
        <v>58</v>
      </c>
      <c r="I32" s="57">
        <v>1</v>
      </c>
      <c r="J32" s="58" t="s">
        <v>81</v>
      </c>
    </row>
    <row r="33" spans="3:10" x14ac:dyDescent="0.3">
      <c r="C33" s="39"/>
      <c r="D33" s="3"/>
      <c r="E33" s="4" t="str">
        <f t="shared" si="2"/>
        <v>AEGIS 12</v>
      </c>
      <c r="F33" s="4" t="str">
        <f t="shared" si="1"/>
        <v>AEGIS 12 | Process T-3</v>
      </c>
      <c r="G33" s="3" t="s">
        <v>26</v>
      </c>
      <c r="H33" s="57" t="s">
        <v>59</v>
      </c>
      <c r="I33" s="57">
        <v>1</v>
      </c>
      <c r="J33" s="58" t="s">
        <v>79</v>
      </c>
    </row>
    <row r="34" spans="3:10" x14ac:dyDescent="0.3">
      <c r="C34" s="39"/>
      <c r="D34" s="3"/>
      <c r="E34" s="4" t="str">
        <f t="shared" si="2"/>
        <v>AEGIS 12</v>
      </c>
      <c r="F34" s="4" t="str">
        <f t="shared" si="1"/>
        <v>AEGIS 12 | Process T-2</v>
      </c>
      <c r="G34" s="3" t="s">
        <v>25</v>
      </c>
      <c r="H34" s="57" t="s">
        <v>60</v>
      </c>
      <c r="I34" s="57">
        <v>1</v>
      </c>
      <c r="J34" s="58" t="s">
        <v>79</v>
      </c>
    </row>
    <row r="35" spans="3:10" x14ac:dyDescent="0.3">
      <c r="C35" s="39"/>
      <c r="D35" s="3"/>
      <c r="E35" s="4" t="str">
        <f t="shared" si="2"/>
        <v>AEGIS 12</v>
      </c>
      <c r="F35" s="4" t="str">
        <f t="shared" si="1"/>
        <v>AEGIS 12 | Process T-1</v>
      </c>
      <c r="G35" s="3" t="s">
        <v>28</v>
      </c>
      <c r="H35" s="57" t="s">
        <v>61</v>
      </c>
      <c r="I35" s="57">
        <v>1</v>
      </c>
      <c r="J35" s="58" t="s">
        <v>79</v>
      </c>
    </row>
    <row r="36" spans="3:10" x14ac:dyDescent="0.3">
      <c r="C36" s="39"/>
      <c r="D36" s="3"/>
      <c r="E36" s="4" t="str">
        <f t="shared" si="2"/>
        <v>AEGIS 12</v>
      </c>
      <c r="F36" s="4" t="str">
        <f t="shared" si="1"/>
        <v>AEGIS 12 | Process T</v>
      </c>
      <c r="G36" s="3" t="s">
        <v>24</v>
      </c>
      <c r="H36" s="57" t="s">
        <v>62</v>
      </c>
      <c r="I36" s="57">
        <v>1</v>
      </c>
      <c r="J36" s="58" t="s">
        <v>79</v>
      </c>
    </row>
    <row r="37" spans="3:10" x14ac:dyDescent="0.3">
      <c r="C37" s="39"/>
      <c r="D37" s="3"/>
      <c r="E37" s="4" t="str">
        <f>IF(IF(D37&lt;&gt;"",D37,IF($U37&lt;&gt;"",E36,""))&lt;&gt;0,IF(D37&lt;&gt;"",D37,IF($G37&lt;&gt;"",E36,"")),"")</f>
        <v/>
      </c>
      <c r="F37" s="4" t="str">
        <f t="shared" si="1"/>
        <v/>
      </c>
      <c r="G37" s="3"/>
      <c r="H37" s="57"/>
      <c r="I37" s="57"/>
      <c r="J37" s="58"/>
    </row>
    <row r="38" spans="3:10" x14ac:dyDescent="0.3">
      <c r="C38" s="39">
        <v>3</v>
      </c>
      <c r="D38" s="3" t="s">
        <v>37</v>
      </c>
      <c r="E38" s="4" t="str">
        <f>IF(IF(D38&lt;&gt;"",D38,IF($U38&lt;&gt;"",E37,""))&lt;&gt;0,IF(D38&lt;&gt;"",D38,IF($G38&lt;&gt;"",E37,"")),"")</f>
        <v>AEGIS 36</v>
      </c>
      <c r="F38" s="4" t="str">
        <f>IF(AND(E38&lt;&gt;"",G38&lt;&gt;""),E38&amp;" | "&amp;G38,"")</f>
        <v>AEGIS 36 | Process T-11</v>
      </c>
      <c r="G38" s="3" t="s">
        <v>35</v>
      </c>
      <c r="H38" s="57"/>
      <c r="I38" s="57"/>
      <c r="J38" s="58"/>
    </row>
    <row r="39" spans="3:10" x14ac:dyDescent="0.3">
      <c r="C39" s="39"/>
      <c r="D39" s="3"/>
      <c r="E39" s="4" t="str">
        <f t="shared" ref="E39:E49" si="3">IF(IF(D39&lt;&gt;"",D39,IF($U39&lt;&gt;"",E38,""))&lt;&gt;0,IF(D39&lt;&gt;"",D39,IF($G39&lt;&gt;"",E38,"")),"")</f>
        <v>AEGIS 36</v>
      </c>
      <c r="F39" s="4" t="str">
        <f t="shared" si="1"/>
        <v>AEGIS 36 | Process T-10</v>
      </c>
      <c r="G39" s="3" t="s">
        <v>34</v>
      </c>
      <c r="H39" s="57"/>
      <c r="I39" s="57"/>
      <c r="J39" s="58"/>
    </row>
    <row r="40" spans="3:10" x14ac:dyDescent="0.3">
      <c r="C40" s="39"/>
      <c r="D40" s="3"/>
      <c r="E40" s="4" t="str">
        <f t="shared" si="3"/>
        <v>AEGIS 36</v>
      </c>
      <c r="F40" s="4" t="str">
        <f t="shared" si="1"/>
        <v>AEGIS 36 | Process T-9</v>
      </c>
      <c r="G40" s="3" t="s">
        <v>33</v>
      </c>
      <c r="H40" s="57"/>
      <c r="I40" s="57"/>
      <c r="J40" s="58"/>
    </row>
    <row r="41" spans="3:10" x14ac:dyDescent="0.3">
      <c r="C41" s="39"/>
      <c r="D41" s="3"/>
      <c r="E41" s="4" t="str">
        <f t="shared" si="3"/>
        <v>AEGIS 36</v>
      </c>
      <c r="F41" s="4" t="str">
        <f t="shared" si="1"/>
        <v>AEGIS 36 | Process T-8</v>
      </c>
      <c r="G41" s="3" t="s">
        <v>32</v>
      </c>
      <c r="H41" s="57"/>
      <c r="I41" s="57"/>
      <c r="J41" s="58"/>
    </row>
    <row r="42" spans="3:10" x14ac:dyDescent="0.3">
      <c r="C42" s="39"/>
      <c r="D42" s="3"/>
      <c r="E42" s="4" t="str">
        <f t="shared" si="3"/>
        <v>AEGIS 36</v>
      </c>
      <c r="F42" s="4" t="str">
        <f t="shared" si="1"/>
        <v>AEGIS 36 | Process T-7</v>
      </c>
      <c r="G42" s="3" t="s">
        <v>31</v>
      </c>
      <c r="H42" s="57"/>
      <c r="I42" s="57"/>
      <c r="J42" s="58"/>
    </row>
    <row r="43" spans="3:10" x14ac:dyDescent="0.3">
      <c r="C43" s="39"/>
      <c r="D43" s="3"/>
      <c r="E43" s="4" t="str">
        <f t="shared" si="3"/>
        <v>AEGIS 36</v>
      </c>
      <c r="F43" s="4" t="str">
        <f t="shared" si="1"/>
        <v>AEGIS 36 | Process T-6</v>
      </c>
      <c r="G43" s="3" t="s">
        <v>30</v>
      </c>
      <c r="H43" s="57"/>
      <c r="I43" s="57"/>
      <c r="J43" s="58"/>
    </row>
    <row r="44" spans="3:10" x14ac:dyDescent="0.3">
      <c r="C44" s="39"/>
      <c r="D44" s="3"/>
      <c r="E44" s="4" t="str">
        <f t="shared" si="3"/>
        <v>AEGIS 36</v>
      </c>
      <c r="F44" s="4" t="str">
        <f t="shared" si="1"/>
        <v>AEGIS 36 | Process T-5</v>
      </c>
      <c r="G44" s="3" t="s">
        <v>29</v>
      </c>
      <c r="H44" s="57" t="s">
        <v>82</v>
      </c>
      <c r="I44" s="57">
        <v>1</v>
      </c>
      <c r="J44" s="58" t="s">
        <v>83</v>
      </c>
    </row>
    <row r="45" spans="3:10" x14ac:dyDescent="0.3">
      <c r="C45" s="39"/>
      <c r="D45" s="3"/>
      <c r="E45" s="4" t="str">
        <f t="shared" si="3"/>
        <v>AEGIS 36</v>
      </c>
      <c r="F45" s="4" t="str">
        <f t="shared" si="1"/>
        <v>AEGIS 36 | Process T-4</v>
      </c>
      <c r="G45" s="3" t="s">
        <v>27</v>
      </c>
      <c r="H45" s="57" t="s">
        <v>50</v>
      </c>
      <c r="I45" s="57">
        <v>1</v>
      </c>
      <c r="J45" s="58" t="s">
        <v>80</v>
      </c>
    </row>
    <row r="46" spans="3:10" x14ac:dyDescent="0.3">
      <c r="C46" s="39"/>
      <c r="D46" s="3"/>
      <c r="E46" s="4" t="str">
        <f t="shared" si="3"/>
        <v>AEGIS 36</v>
      </c>
      <c r="F46" s="4" t="str">
        <f t="shared" si="1"/>
        <v>AEGIS 36 | Process T-3</v>
      </c>
      <c r="G46" s="3" t="s">
        <v>26</v>
      </c>
      <c r="H46" s="57" t="s">
        <v>51</v>
      </c>
      <c r="I46" s="57">
        <v>1</v>
      </c>
      <c r="J46" s="58" t="s">
        <v>81</v>
      </c>
    </row>
    <row r="47" spans="3:10" x14ac:dyDescent="0.3">
      <c r="C47" s="39"/>
      <c r="D47" s="3"/>
      <c r="E47" s="4" t="str">
        <f t="shared" si="3"/>
        <v>AEGIS 36</v>
      </c>
      <c r="F47" s="4" t="str">
        <f t="shared" si="1"/>
        <v>AEGIS 36 | Process T-2</v>
      </c>
      <c r="G47" s="3" t="s">
        <v>25</v>
      </c>
      <c r="H47" s="57" t="s">
        <v>52</v>
      </c>
      <c r="I47" s="57">
        <v>1</v>
      </c>
      <c r="J47" s="58" t="s">
        <v>81</v>
      </c>
    </row>
    <row r="48" spans="3:10" x14ac:dyDescent="0.3">
      <c r="C48" s="39"/>
      <c r="D48" s="3"/>
      <c r="E48" s="4" t="str">
        <f t="shared" si="3"/>
        <v>AEGIS 36</v>
      </c>
      <c r="F48" s="4" t="str">
        <f t="shared" si="1"/>
        <v>AEGIS 36 | Process T-1</v>
      </c>
      <c r="G48" s="3" t="s">
        <v>28</v>
      </c>
      <c r="H48" s="57" t="s">
        <v>53</v>
      </c>
      <c r="I48" s="57">
        <v>1</v>
      </c>
      <c r="J48" s="58" t="s">
        <v>79</v>
      </c>
    </row>
    <row r="49" spans="3:10" x14ac:dyDescent="0.3">
      <c r="C49" s="39"/>
      <c r="D49" s="3"/>
      <c r="E49" s="4" t="str">
        <f t="shared" si="3"/>
        <v>AEGIS 36</v>
      </c>
      <c r="F49" s="4" t="str">
        <f t="shared" si="1"/>
        <v>AEGIS 36 | Process T</v>
      </c>
      <c r="G49" s="3" t="s">
        <v>24</v>
      </c>
      <c r="H49" s="57" t="s">
        <v>54</v>
      </c>
      <c r="I49" s="57">
        <v>1</v>
      </c>
      <c r="J49" s="58" t="s">
        <v>79</v>
      </c>
    </row>
    <row r="50" spans="3:10" x14ac:dyDescent="0.3">
      <c r="C50" s="39"/>
      <c r="D50" s="3"/>
      <c r="E50" s="4" t="str">
        <f>IF(IF(D50&lt;&gt;"",D50,IF($U50&lt;&gt;"",E49,""))&lt;&gt;0,IF(D50&lt;&gt;"",D50,IF($G50&lt;&gt;"",E49,"")),"")</f>
        <v/>
      </c>
      <c r="F50" s="4" t="str">
        <f t="shared" si="1"/>
        <v/>
      </c>
      <c r="G50" s="3"/>
      <c r="H50" s="57"/>
      <c r="I50" s="57"/>
      <c r="J50" s="58"/>
    </row>
    <row r="51" spans="3:10" x14ac:dyDescent="0.3">
      <c r="C51" s="39">
        <v>4</v>
      </c>
      <c r="D51" s="3" t="s">
        <v>38</v>
      </c>
      <c r="E51" s="4" t="str">
        <f>IF(IF(D51&lt;&gt;"",D51,IF($U51&lt;&gt;"",E50,""))&lt;&gt;0,IF(D51&lt;&gt;"",D51,IF($G51&lt;&gt;"",E50,"")),"")</f>
        <v>MCR</v>
      </c>
      <c r="F51" s="4" t="str">
        <f>IF(AND(E51&lt;&gt;"",G51&lt;&gt;""),E51&amp;" | "&amp;G51,"")</f>
        <v>MCR | Process T-11</v>
      </c>
      <c r="G51" s="3" t="s">
        <v>35</v>
      </c>
      <c r="H51" s="57"/>
      <c r="I51" s="57"/>
      <c r="J51" s="58"/>
    </row>
    <row r="52" spans="3:10" x14ac:dyDescent="0.3">
      <c r="C52" s="39"/>
      <c r="D52" s="3"/>
      <c r="E52" s="4" t="str">
        <f t="shared" ref="E52:E62" si="4">IF(IF(D52&lt;&gt;"",D52,IF($U52&lt;&gt;"",E51,""))&lt;&gt;0,IF(D52&lt;&gt;"",D52,IF($G52&lt;&gt;"",E51,"")),"")</f>
        <v>MCR</v>
      </c>
      <c r="F52" s="4" t="str">
        <f t="shared" si="1"/>
        <v>MCR | Process T-10</v>
      </c>
      <c r="G52" s="3" t="s">
        <v>34</v>
      </c>
      <c r="H52" s="57" t="s">
        <v>82</v>
      </c>
      <c r="I52" s="57">
        <v>1</v>
      </c>
      <c r="J52" s="58" t="s">
        <v>83</v>
      </c>
    </row>
    <row r="53" spans="3:10" x14ac:dyDescent="0.3">
      <c r="C53" s="39"/>
      <c r="D53" s="3"/>
      <c r="E53" s="4" t="str">
        <f t="shared" si="4"/>
        <v>MCR</v>
      </c>
      <c r="F53" s="4" t="str">
        <f t="shared" si="1"/>
        <v>MCR | Process T-9</v>
      </c>
      <c r="G53" s="3" t="s">
        <v>33</v>
      </c>
      <c r="H53" s="57" t="s">
        <v>50</v>
      </c>
      <c r="I53" s="57">
        <v>1</v>
      </c>
      <c r="J53" s="58" t="s">
        <v>80</v>
      </c>
    </row>
    <row r="54" spans="3:10" x14ac:dyDescent="0.3">
      <c r="C54" s="39"/>
      <c r="D54" s="3"/>
      <c r="E54" s="4" t="str">
        <f t="shared" si="4"/>
        <v>MCR</v>
      </c>
      <c r="F54" s="4" t="str">
        <f t="shared" si="1"/>
        <v>MCR | Process T-8</v>
      </c>
      <c r="G54" s="3" t="s">
        <v>32</v>
      </c>
      <c r="H54" s="57" t="s">
        <v>51</v>
      </c>
      <c r="I54" s="57">
        <v>1</v>
      </c>
      <c r="J54" s="58" t="s">
        <v>80</v>
      </c>
    </row>
    <row r="55" spans="3:10" x14ac:dyDescent="0.3">
      <c r="C55" s="39"/>
      <c r="D55" s="3"/>
      <c r="E55" s="4" t="str">
        <f t="shared" si="4"/>
        <v>MCR</v>
      </c>
      <c r="F55" s="4" t="str">
        <f t="shared" si="1"/>
        <v>MCR | Process T-7</v>
      </c>
      <c r="G55" s="3" t="s">
        <v>31</v>
      </c>
      <c r="H55" s="57" t="s">
        <v>52</v>
      </c>
      <c r="I55" s="57">
        <v>1</v>
      </c>
      <c r="J55" s="58" t="s">
        <v>80</v>
      </c>
    </row>
    <row r="56" spans="3:10" x14ac:dyDescent="0.3">
      <c r="C56" s="39"/>
      <c r="D56" s="3"/>
      <c r="E56" s="4" t="str">
        <f t="shared" si="4"/>
        <v>MCR</v>
      </c>
      <c r="F56" s="4" t="str">
        <f t="shared" si="1"/>
        <v>MCR | Process T-6</v>
      </c>
      <c r="G56" s="3" t="s">
        <v>30</v>
      </c>
      <c r="H56" s="57" t="s">
        <v>53</v>
      </c>
      <c r="I56" s="57">
        <v>1</v>
      </c>
      <c r="J56" s="58" t="s">
        <v>80</v>
      </c>
    </row>
    <row r="57" spans="3:10" x14ac:dyDescent="0.3">
      <c r="C57" s="39"/>
      <c r="D57" s="3"/>
      <c r="E57" s="4" t="str">
        <f t="shared" si="4"/>
        <v>MCR</v>
      </c>
      <c r="F57" s="4" t="str">
        <f t="shared" si="1"/>
        <v>MCR | Process T-5</v>
      </c>
      <c r="G57" s="3" t="s">
        <v>29</v>
      </c>
      <c r="H57" s="57" t="s">
        <v>54</v>
      </c>
      <c r="I57" s="57">
        <v>1</v>
      </c>
      <c r="J57" s="58" t="s">
        <v>80</v>
      </c>
    </row>
    <row r="58" spans="3:10" x14ac:dyDescent="0.3">
      <c r="C58" s="39"/>
      <c r="D58" s="3"/>
      <c r="E58" s="4" t="str">
        <f t="shared" si="4"/>
        <v>MCR</v>
      </c>
      <c r="F58" s="4" t="str">
        <f t="shared" si="1"/>
        <v>MCR | Process T-4</v>
      </c>
      <c r="G58" s="3" t="s">
        <v>27</v>
      </c>
      <c r="H58" s="57" t="s">
        <v>55</v>
      </c>
      <c r="I58" s="57">
        <v>1</v>
      </c>
      <c r="J58" s="58" t="s">
        <v>81</v>
      </c>
    </row>
    <row r="59" spans="3:10" x14ac:dyDescent="0.3">
      <c r="C59" s="39"/>
      <c r="D59" s="3"/>
      <c r="E59" s="4" t="str">
        <f t="shared" si="4"/>
        <v>MCR</v>
      </c>
      <c r="F59" s="4" t="str">
        <f t="shared" si="1"/>
        <v>MCR | Process T-3</v>
      </c>
      <c r="G59" s="3" t="s">
        <v>26</v>
      </c>
      <c r="H59" s="57" t="s">
        <v>56</v>
      </c>
      <c r="I59" s="57">
        <v>1</v>
      </c>
      <c r="J59" s="58" t="s">
        <v>79</v>
      </c>
    </row>
    <row r="60" spans="3:10" x14ac:dyDescent="0.3">
      <c r="C60" s="39"/>
      <c r="D60" s="3"/>
      <c r="E60" s="4" t="str">
        <f t="shared" si="4"/>
        <v>MCR</v>
      </c>
      <c r="F60" s="4" t="str">
        <f t="shared" si="1"/>
        <v>MCR | Process T-2</v>
      </c>
      <c r="G60" s="3" t="s">
        <v>25</v>
      </c>
      <c r="H60" s="57" t="s">
        <v>58</v>
      </c>
      <c r="I60" s="57">
        <v>1</v>
      </c>
      <c r="J60" s="58" t="s">
        <v>79</v>
      </c>
    </row>
    <row r="61" spans="3:10" x14ac:dyDescent="0.3">
      <c r="C61" s="39"/>
      <c r="D61" s="3"/>
      <c r="E61" s="4" t="str">
        <f t="shared" si="4"/>
        <v>MCR</v>
      </c>
      <c r="F61" s="4" t="str">
        <f t="shared" si="1"/>
        <v>MCR | Process T-1</v>
      </c>
      <c r="G61" s="3" t="s">
        <v>28</v>
      </c>
      <c r="H61" s="57" t="s">
        <v>59</v>
      </c>
      <c r="I61" s="57">
        <v>1</v>
      </c>
      <c r="J61" s="58" t="s">
        <v>79</v>
      </c>
    </row>
    <row r="62" spans="3:10" x14ac:dyDescent="0.3">
      <c r="C62" s="39"/>
      <c r="D62" s="3"/>
      <c r="E62" s="4" t="str">
        <f t="shared" si="4"/>
        <v>MCR</v>
      </c>
      <c r="F62" s="4" t="str">
        <f t="shared" si="1"/>
        <v>MCR | Process T</v>
      </c>
      <c r="G62" s="3" t="s">
        <v>24</v>
      </c>
      <c r="H62" s="57" t="s">
        <v>60</v>
      </c>
      <c r="I62" s="57">
        <v>1</v>
      </c>
      <c r="J62" s="58" t="s">
        <v>79</v>
      </c>
    </row>
    <row r="63" spans="3:10" x14ac:dyDescent="0.3">
      <c r="C63" s="39"/>
      <c r="D63" s="3"/>
      <c r="E63" s="4" t="str">
        <f>IF(IF(D63&lt;&gt;"",D63,IF($U63&lt;&gt;"",E62,""))&lt;&gt;0,IF(D63&lt;&gt;"",D63,IF($G63&lt;&gt;"",E62,"")),"")</f>
        <v/>
      </c>
      <c r="F63" s="4" t="str">
        <f t="shared" si="1"/>
        <v/>
      </c>
      <c r="G63" s="3"/>
      <c r="H63" s="57"/>
      <c r="I63" s="57"/>
      <c r="J63" s="58"/>
    </row>
    <row r="64" spans="3:10" x14ac:dyDescent="0.3">
      <c r="C64" s="39">
        <v>5</v>
      </c>
      <c r="D64" s="3" t="s">
        <v>39</v>
      </c>
      <c r="E64" s="4" t="str">
        <f>IF(IF(D64&lt;&gt;"",D64,IF($U64&lt;&gt;"",E63,""))&lt;&gt;0,IF(D64&lt;&gt;"",D64,IF($G64&lt;&gt;"",E63,"")),"")</f>
        <v>OIL</v>
      </c>
      <c r="F64" s="4" t="str">
        <f>IF(AND(E64&lt;&gt;"",G64&lt;&gt;""),E64&amp;" | "&amp;G64,"")</f>
        <v>OIL | Process T-11</v>
      </c>
      <c r="G64" s="3" t="s">
        <v>35</v>
      </c>
      <c r="H64" s="57"/>
      <c r="I64" s="57"/>
      <c r="J64" s="58"/>
    </row>
    <row r="65" spans="3:10" x14ac:dyDescent="0.3">
      <c r="C65" s="39"/>
      <c r="D65" s="3"/>
      <c r="E65" s="4" t="str">
        <f t="shared" ref="E65:E75" si="5">IF(IF(D65&lt;&gt;"",D65,IF($U65&lt;&gt;"",E64,""))&lt;&gt;0,IF(D65&lt;&gt;"",D65,IF($G65&lt;&gt;"",E64,"")),"")</f>
        <v>OIL</v>
      </c>
      <c r="F65" s="4" t="str">
        <f t="shared" si="1"/>
        <v>OIL | Process T-10</v>
      </c>
      <c r="G65" s="3" t="s">
        <v>34</v>
      </c>
      <c r="H65" s="57"/>
      <c r="I65" s="57"/>
      <c r="J65" s="58"/>
    </row>
    <row r="66" spans="3:10" x14ac:dyDescent="0.3">
      <c r="C66" s="39"/>
      <c r="D66" s="3"/>
      <c r="E66" s="4" t="str">
        <f t="shared" si="5"/>
        <v>OIL</v>
      </c>
      <c r="F66" s="4" t="str">
        <f t="shared" si="1"/>
        <v>OIL | Process T-9</v>
      </c>
      <c r="G66" s="3" t="s">
        <v>33</v>
      </c>
      <c r="H66" s="57"/>
      <c r="I66" s="57"/>
      <c r="J66" s="58"/>
    </row>
    <row r="67" spans="3:10" x14ac:dyDescent="0.3">
      <c r="C67" s="39"/>
      <c r="D67" s="3"/>
      <c r="E67" s="4" t="str">
        <f t="shared" si="5"/>
        <v>OIL</v>
      </c>
      <c r="F67" s="4" t="str">
        <f t="shared" si="1"/>
        <v>OIL | Process T-8</v>
      </c>
      <c r="G67" s="3" t="s">
        <v>32</v>
      </c>
      <c r="H67" s="57"/>
      <c r="I67" s="57"/>
      <c r="J67" s="58"/>
    </row>
    <row r="68" spans="3:10" x14ac:dyDescent="0.3">
      <c r="C68" s="39"/>
      <c r="D68" s="3"/>
      <c r="E68" s="4" t="str">
        <f t="shared" si="5"/>
        <v>OIL</v>
      </c>
      <c r="F68" s="4" t="str">
        <f t="shared" si="1"/>
        <v>OIL | Process T-7</v>
      </c>
      <c r="G68" s="3" t="s">
        <v>31</v>
      </c>
      <c r="H68" s="57"/>
      <c r="I68" s="57"/>
      <c r="J68" s="58"/>
    </row>
    <row r="69" spans="3:10" x14ac:dyDescent="0.3">
      <c r="C69" s="39"/>
      <c r="D69" s="3"/>
      <c r="E69" s="4" t="str">
        <f t="shared" si="5"/>
        <v>OIL</v>
      </c>
      <c r="F69" s="4" t="str">
        <f t="shared" si="1"/>
        <v>OIL | Process T-6</v>
      </c>
      <c r="G69" s="3" t="s">
        <v>30</v>
      </c>
      <c r="H69" s="57" t="s">
        <v>82</v>
      </c>
      <c r="I69" s="57">
        <v>1</v>
      </c>
      <c r="J69" s="58" t="s">
        <v>83</v>
      </c>
    </row>
    <row r="70" spans="3:10" x14ac:dyDescent="0.3">
      <c r="C70" s="39"/>
      <c r="D70" s="3"/>
      <c r="E70" s="4" t="str">
        <f t="shared" si="5"/>
        <v>OIL</v>
      </c>
      <c r="F70" s="4" t="str">
        <f t="shared" si="1"/>
        <v>OIL | Process T-5</v>
      </c>
      <c r="G70" s="3" t="s">
        <v>29</v>
      </c>
      <c r="H70" s="57" t="s">
        <v>50</v>
      </c>
      <c r="I70" s="57">
        <v>1</v>
      </c>
      <c r="J70" s="58" t="s">
        <v>80</v>
      </c>
    </row>
    <row r="71" spans="3:10" x14ac:dyDescent="0.3">
      <c r="C71" s="39"/>
      <c r="D71" s="3"/>
      <c r="E71" s="4" t="str">
        <f t="shared" si="5"/>
        <v>OIL</v>
      </c>
      <c r="F71" s="4" t="str">
        <f t="shared" si="1"/>
        <v>OIL | Process T-4</v>
      </c>
      <c r="G71" s="3" t="s">
        <v>27</v>
      </c>
      <c r="H71" s="57" t="s">
        <v>51</v>
      </c>
      <c r="I71" s="57">
        <v>1</v>
      </c>
      <c r="J71" s="58" t="s">
        <v>81</v>
      </c>
    </row>
    <row r="72" spans="3:10" x14ac:dyDescent="0.3">
      <c r="C72" s="39"/>
      <c r="D72" s="3"/>
      <c r="E72" s="4" t="str">
        <f t="shared" si="5"/>
        <v>OIL</v>
      </c>
      <c r="F72" s="4" t="str">
        <f t="shared" si="1"/>
        <v>OIL | Process T-3</v>
      </c>
      <c r="G72" s="3" t="s">
        <v>26</v>
      </c>
      <c r="H72" s="57" t="s">
        <v>52</v>
      </c>
      <c r="I72" s="57">
        <v>1</v>
      </c>
      <c r="J72" s="58" t="s">
        <v>79</v>
      </c>
    </row>
    <row r="73" spans="3:10" x14ac:dyDescent="0.3">
      <c r="C73" s="39"/>
      <c r="D73" s="3"/>
      <c r="E73" s="4" t="str">
        <f t="shared" si="5"/>
        <v>OIL</v>
      </c>
      <c r="F73" s="4" t="str">
        <f t="shared" si="1"/>
        <v>OIL | Process T-2</v>
      </c>
      <c r="G73" s="3" t="s">
        <v>25</v>
      </c>
      <c r="H73" s="57" t="s">
        <v>53</v>
      </c>
      <c r="I73" s="57">
        <v>1</v>
      </c>
      <c r="J73" s="58" t="s">
        <v>79</v>
      </c>
    </row>
    <row r="74" spans="3:10" x14ac:dyDescent="0.3">
      <c r="C74" s="39"/>
      <c r="D74" s="3"/>
      <c r="E74" s="4" t="str">
        <f t="shared" si="5"/>
        <v>OIL</v>
      </c>
      <c r="F74" s="4" t="str">
        <f t="shared" si="1"/>
        <v>OIL | Process T-1</v>
      </c>
      <c r="G74" s="3" t="s">
        <v>28</v>
      </c>
      <c r="H74" s="57" t="s">
        <v>54</v>
      </c>
      <c r="I74" s="57">
        <v>1</v>
      </c>
      <c r="J74" s="58" t="s">
        <v>79</v>
      </c>
    </row>
    <row r="75" spans="3:10" x14ac:dyDescent="0.3">
      <c r="C75" s="39"/>
      <c r="D75" s="3"/>
      <c r="E75" s="4" t="str">
        <f t="shared" si="5"/>
        <v>OIL</v>
      </c>
      <c r="F75" s="4" t="str">
        <f t="shared" si="1"/>
        <v>OIL | Process T</v>
      </c>
      <c r="G75" s="3" t="s">
        <v>24</v>
      </c>
      <c r="H75" s="57" t="s">
        <v>55</v>
      </c>
      <c r="I75" s="57">
        <v>1</v>
      </c>
      <c r="J75" s="58" t="s">
        <v>79</v>
      </c>
    </row>
    <row r="76" spans="3:10" x14ac:dyDescent="0.3">
      <c r="C76" s="39"/>
      <c r="D76" s="3"/>
      <c r="E76" s="4" t="str">
        <f>IF(IF(D76&lt;&gt;"",D76,IF($U76&lt;&gt;"",E75,""))&lt;&gt;0,IF(D76&lt;&gt;"",D76,IF($G76&lt;&gt;"",E75,"")),"")</f>
        <v/>
      </c>
      <c r="F76" s="4" t="str">
        <f t="shared" si="1"/>
        <v/>
      </c>
      <c r="G76" s="3"/>
      <c r="H76" s="57"/>
      <c r="I76" s="57"/>
      <c r="J76" s="58"/>
    </row>
    <row r="77" spans="3:10" x14ac:dyDescent="0.3">
      <c r="C77" s="39">
        <v>6</v>
      </c>
      <c r="D77" s="3" t="s">
        <v>40</v>
      </c>
      <c r="E77" s="4" t="str">
        <f>IF(IF(D77&lt;&gt;"",D77,IF($U77&lt;&gt;"",E76,""))&lt;&gt;0,IF(D77&lt;&gt;"",D77,IF($G77&lt;&gt;"",E76,"")),"")</f>
        <v>SABRE</v>
      </c>
      <c r="F77" s="4" t="str">
        <f>IF(AND(E77&lt;&gt;"",G77&lt;&gt;""),E77&amp;" | "&amp;G77,"")</f>
        <v>SABRE | Process T-11</v>
      </c>
      <c r="G77" s="3" t="s">
        <v>35</v>
      </c>
      <c r="H77" s="57"/>
      <c r="I77" s="57"/>
      <c r="J77" s="58"/>
    </row>
    <row r="78" spans="3:10" x14ac:dyDescent="0.3">
      <c r="C78" s="39"/>
      <c r="D78" s="3"/>
      <c r="E78" s="4" t="str">
        <f t="shared" ref="E78:E88" si="6">IF(IF(D78&lt;&gt;"",D78,IF($U78&lt;&gt;"",E77,""))&lt;&gt;0,IF(D78&lt;&gt;"",D78,IF($G78&lt;&gt;"",E77,"")),"")</f>
        <v>SABRE</v>
      </c>
      <c r="F78" s="4" t="str">
        <f t="shared" si="1"/>
        <v>SABRE | Process T-10</v>
      </c>
      <c r="G78" s="3" t="s">
        <v>34</v>
      </c>
      <c r="H78" s="57"/>
      <c r="I78" s="57"/>
      <c r="J78" s="58"/>
    </row>
    <row r="79" spans="3:10" x14ac:dyDescent="0.3">
      <c r="C79" s="39"/>
      <c r="D79" s="3"/>
      <c r="E79" s="4" t="str">
        <f t="shared" si="6"/>
        <v>SABRE</v>
      </c>
      <c r="F79" s="4" t="str">
        <f t="shared" ref="F79:F89" si="7">IF(AND(E79&lt;&gt;"",G79&lt;&gt;""),E79&amp;" | "&amp;G79,"")</f>
        <v>SABRE | Process T-9</v>
      </c>
      <c r="G79" s="3" t="s">
        <v>33</v>
      </c>
      <c r="H79" s="57" t="s">
        <v>82</v>
      </c>
      <c r="I79" s="57">
        <v>1</v>
      </c>
      <c r="J79" s="58" t="s">
        <v>83</v>
      </c>
    </row>
    <row r="80" spans="3:10" x14ac:dyDescent="0.3">
      <c r="C80" s="39"/>
      <c r="D80" s="3"/>
      <c r="E80" s="4" t="str">
        <f t="shared" si="6"/>
        <v>SABRE</v>
      </c>
      <c r="F80" s="4" t="str">
        <f t="shared" si="7"/>
        <v>SABRE | Process T-8</v>
      </c>
      <c r="G80" s="3" t="s">
        <v>32</v>
      </c>
      <c r="H80" s="57" t="s">
        <v>50</v>
      </c>
      <c r="I80" s="57">
        <v>1</v>
      </c>
      <c r="J80" s="58" t="s">
        <v>80</v>
      </c>
    </row>
    <row r="81" spans="3:10" x14ac:dyDescent="0.3">
      <c r="C81" s="39"/>
      <c r="D81" s="3"/>
      <c r="E81" s="4" t="str">
        <f t="shared" si="6"/>
        <v>SABRE</v>
      </c>
      <c r="F81" s="4" t="str">
        <f t="shared" si="7"/>
        <v>SABRE | Process T-7</v>
      </c>
      <c r="G81" s="3" t="s">
        <v>31</v>
      </c>
      <c r="H81" s="57" t="s">
        <v>51</v>
      </c>
      <c r="I81" s="57">
        <v>1</v>
      </c>
      <c r="J81" s="58" t="s">
        <v>81</v>
      </c>
    </row>
    <row r="82" spans="3:10" x14ac:dyDescent="0.3">
      <c r="C82" s="39"/>
      <c r="D82" s="3"/>
      <c r="E82" s="4" t="str">
        <f t="shared" si="6"/>
        <v>SABRE</v>
      </c>
      <c r="F82" s="4" t="str">
        <f t="shared" si="7"/>
        <v>SABRE | Process T-6</v>
      </c>
      <c r="G82" s="3" t="s">
        <v>30</v>
      </c>
      <c r="H82" s="57" t="s">
        <v>52</v>
      </c>
      <c r="I82" s="57">
        <v>1</v>
      </c>
      <c r="J82" s="58" t="s">
        <v>81</v>
      </c>
    </row>
    <row r="83" spans="3:10" x14ac:dyDescent="0.3">
      <c r="C83" s="39"/>
      <c r="D83" s="3"/>
      <c r="E83" s="4" t="str">
        <f t="shared" si="6"/>
        <v>SABRE</v>
      </c>
      <c r="F83" s="4" t="str">
        <f t="shared" si="7"/>
        <v>SABRE | Process T-5</v>
      </c>
      <c r="G83" s="3" t="s">
        <v>29</v>
      </c>
      <c r="H83" s="57" t="s">
        <v>53</v>
      </c>
      <c r="I83" s="57">
        <v>1</v>
      </c>
      <c r="J83" s="58" t="s">
        <v>81</v>
      </c>
    </row>
    <row r="84" spans="3:10" x14ac:dyDescent="0.3">
      <c r="C84" s="39"/>
      <c r="D84" s="3"/>
      <c r="E84" s="4" t="str">
        <f t="shared" si="6"/>
        <v>SABRE</v>
      </c>
      <c r="F84" s="4" t="str">
        <f t="shared" si="7"/>
        <v>SABRE | Process T-4</v>
      </c>
      <c r="G84" s="3" t="s">
        <v>27</v>
      </c>
      <c r="H84" s="57" t="s">
        <v>54</v>
      </c>
      <c r="I84" s="57">
        <v>1</v>
      </c>
      <c r="J84" s="58" t="s">
        <v>81</v>
      </c>
    </row>
    <row r="85" spans="3:10" x14ac:dyDescent="0.3">
      <c r="C85" s="39"/>
      <c r="D85" s="3"/>
      <c r="E85" s="4" t="str">
        <f t="shared" si="6"/>
        <v>SABRE</v>
      </c>
      <c r="F85" s="4" t="str">
        <f t="shared" si="7"/>
        <v>SABRE | Process T-3</v>
      </c>
      <c r="G85" s="3" t="s">
        <v>26</v>
      </c>
      <c r="H85" s="57" t="s">
        <v>55</v>
      </c>
      <c r="I85" s="57">
        <v>1</v>
      </c>
      <c r="J85" s="58" t="s">
        <v>81</v>
      </c>
    </row>
    <row r="86" spans="3:10" x14ac:dyDescent="0.3">
      <c r="C86" s="39"/>
      <c r="D86" s="3"/>
      <c r="E86" s="4" t="str">
        <f t="shared" si="6"/>
        <v>SABRE</v>
      </c>
      <c r="F86" s="4" t="str">
        <f t="shared" si="7"/>
        <v>SABRE | Process T-2</v>
      </c>
      <c r="G86" s="3" t="s">
        <v>25</v>
      </c>
      <c r="H86" s="57" t="s">
        <v>56</v>
      </c>
      <c r="I86" s="57">
        <v>1</v>
      </c>
      <c r="J86" s="58" t="s">
        <v>81</v>
      </c>
    </row>
    <row r="87" spans="3:10" x14ac:dyDescent="0.3">
      <c r="C87" s="39"/>
      <c r="D87" s="3"/>
      <c r="E87" s="4" t="str">
        <f t="shared" si="6"/>
        <v>SABRE</v>
      </c>
      <c r="F87" s="4" t="str">
        <f t="shared" si="7"/>
        <v>SABRE | Process T-1</v>
      </c>
      <c r="G87" s="3" t="s">
        <v>28</v>
      </c>
      <c r="H87" s="57" t="s">
        <v>58</v>
      </c>
      <c r="I87" s="57">
        <v>1</v>
      </c>
      <c r="J87" s="58" t="s">
        <v>79</v>
      </c>
    </row>
    <row r="88" spans="3:10" x14ac:dyDescent="0.3">
      <c r="C88" s="39"/>
      <c r="D88" s="3"/>
      <c r="E88" s="4" t="str">
        <f t="shared" si="6"/>
        <v>SABRE</v>
      </c>
      <c r="F88" s="4" t="str">
        <f t="shared" si="7"/>
        <v>SABRE | Process T</v>
      </c>
      <c r="G88" s="3" t="s">
        <v>24</v>
      </c>
      <c r="H88" s="57" t="s">
        <v>59</v>
      </c>
      <c r="I88" s="57">
        <v>1</v>
      </c>
      <c r="J88" s="58" t="s">
        <v>79</v>
      </c>
    </row>
    <row r="89" spans="3:10" x14ac:dyDescent="0.3">
      <c r="C89" s="39"/>
      <c r="D89" s="3"/>
      <c r="E89" s="4" t="str">
        <f>IF(IF(D89&lt;&gt;"",D89,IF($U89&lt;&gt;"",E88,""))&lt;&gt;0,IF(D89&lt;&gt;"",D89,IF($G89&lt;&gt;"",E88,"")),"")</f>
        <v/>
      </c>
      <c r="F89" s="4" t="str">
        <f t="shared" si="7"/>
        <v/>
      </c>
      <c r="G89" s="3"/>
      <c r="H89" s="57"/>
      <c r="I89" s="57"/>
      <c r="J89" s="58"/>
    </row>
    <row r="90" spans="3:10" x14ac:dyDescent="0.3">
      <c r="C90" s="39">
        <v>7</v>
      </c>
      <c r="D90" s="3" t="s">
        <v>57</v>
      </c>
      <c r="E90" s="4" t="str">
        <f>IF(IF(D90&lt;&gt;"",D90,IF($U90&lt;&gt;"",E89,""))&lt;&gt;0,IF(D90&lt;&gt;"",D90,IF($G90&lt;&gt;"",E89,"")),"")</f>
        <v>SPARES</v>
      </c>
      <c r="F90" s="4" t="str">
        <f>IF(AND(E90&lt;&gt;"",G90&lt;&gt;""),E90&amp;" | "&amp;G90,"")</f>
        <v>SPARES | Process T-11</v>
      </c>
      <c r="G90" s="3" t="s">
        <v>35</v>
      </c>
      <c r="H90" s="57"/>
      <c r="I90" s="57"/>
      <c r="J90" s="58"/>
    </row>
    <row r="91" spans="3:10" x14ac:dyDescent="0.3">
      <c r="C91" s="39"/>
      <c r="D91" s="3"/>
      <c r="E91" s="4" t="str">
        <f t="shared" ref="E91:E101" si="8">IF(IF(D91&lt;&gt;"",D91,IF($U91&lt;&gt;"",E90,""))&lt;&gt;0,IF(D91&lt;&gt;"",D91,IF($G91&lt;&gt;"",E90,"")),"")</f>
        <v>SPARES</v>
      </c>
      <c r="F91" s="4" t="str">
        <f t="shared" ref="F91:F102" si="9">IF(AND(E91&lt;&gt;"",G91&lt;&gt;""),E91&amp;" | "&amp;G91,"")</f>
        <v>SPARES | Process T-10</v>
      </c>
      <c r="G91" s="3" t="s">
        <v>34</v>
      </c>
      <c r="H91" s="57"/>
      <c r="I91" s="57"/>
      <c r="J91" s="58"/>
    </row>
    <row r="92" spans="3:10" x14ac:dyDescent="0.3">
      <c r="C92" s="39"/>
      <c r="D92" s="3"/>
      <c r="E92" s="4" t="str">
        <f t="shared" si="8"/>
        <v>SPARES</v>
      </c>
      <c r="F92" s="4" t="str">
        <f t="shared" si="9"/>
        <v>SPARES | Process T-9</v>
      </c>
      <c r="G92" s="3" t="s">
        <v>33</v>
      </c>
      <c r="H92" s="57"/>
      <c r="I92" s="57"/>
      <c r="J92" s="58"/>
    </row>
    <row r="93" spans="3:10" x14ac:dyDescent="0.3">
      <c r="C93" s="39"/>
      <c r="D93" s="3"/>
      <c r="E93" s="4" t="str">
        <f t="shared" si="8"/>
        <v>SPARES</v>
      </c>
      <c r="F93" s="4" t="str">
        <f t="shared" si="9"/>
        <v>SPARES | Process T-8</v>
      </c>
      <c r="G93" s="3" t="s">
        <v>32</v>
      </c>
      <c r="H93" s="57" t="s">
        <v>82</v>
      </c>
      <c r="I93" s="57">
        <v>1</v>
      </c>
      <c r="J93" s="58" t="s">
        <v>83</v>
      </c>
    </row>
    <row r="94" spans="3:10" x14ac:dyDescent="0.3">
      <c r="C94" s="39"/>
      <c r="D94" s="3"/>
      <c r="E94" s="4" t="str">
        <f t="shared" si="8"/>
        <v>SPARES</v>
      </c>
      <c r="F94" s="4" t="str">
        <f t="shared" si="9"/>
        <v>SPARES | Process T-7</v>
      </c>
      <c r="G94" s="3" t="s">
        <v>31</v>
      </c>
      <c r="H94" s="57" t="s">
        <v>50</v>
      </c>
      <c r="I94" s="57">
        <v>1</v>
      </c>
      <c r="J94" s="58" t="s">
        <v>80</v>
      </c>
    </row>
    <row r="95" spans="3:10" x14ac:dyDescent="0.3">
      <c r="C95" s="39"/>
      <c r="D95" s="3"/>
      <c r="E95" s="4" t="str">
        <f t="shared" si="8"/>
        <v>SPARES</v>
      </c>
      <c r="F95" s="4" t="str">
        <f t="shared" si="9"/>
        <v>SPARES | Process T-6</v>
      </c>
      <c r="G95" s="3" t="s">
        <v>30</v>
      </c>
      <c r="H95" s="57" t="s">
        <v>51</v>
      </c>
      <c r="I95" s="57">
        <v>1</v>
      </c>
      <c r="J95" s="58" t="s">
        <v>81</v>
      </c>
    </row>
    <row r="96" spans="3:10" x14ac:dyDescent="0.3">
      <c r="C96" s="39"/>
      <c r="D96" s="3"/>
      <c r="E96" s="4" t="str">
        <f t="shared" si="8"/>
        <v>SPARES</v>
      </c>
      <c r="F96" s="4" t="str">
        <f t="shared" si="9"/>
        <v>SPARES | Process T-5</v>
      </c>
      <c r="G96" s="3" t="s">
        <v>29</v>
      </c>
      <c r="H96" s="57" t="s">
        <v>52</v>
      </c>
      <c r="I96" s="57">
        <v>1</v>
      </c>
      <c r="J96" s="58" t="s">
        <v>81</v>
      </c>
    </row>
    <row r="97" spans="3:10" x14ac:dyDescent="0.3">
      <c r="C97" s="39"/>
      <c r="D97" s="3"/>
      <c r="E97" s="4" t="str">
        <f t="shared" si="8"/>
        <v>SPARES</v>
      </c>
      <c r="F97" s="4" t="str">
        <f t="shared" si="9"/>
        <v>SPARES | Process T-4</v>
      </c>
      <c r="G97" s="3" t="s">
        <v>27</v>
      </c>
      <c r="H97" s="57" t="s">
        <v>53</v>
      </c>
      <c r="I97" s="57">
        <v>1</v>
      </c>
      <c r="J97" s="58" t="s">
        <v>81</v>
      </c>
    </row>
    <row r="98" spans="3:10" x14ac:dyDescent="0.3">
      <c r="C98" s="39"/>
      <c r="D98" s="3"/>
      <c r="E98" s="4" t="str">
        <f t="shared" si="8"/>
        <v>SPARES</v>
      </c>
      <c r="F98" s="4" t="str">
        <f t="shared" si="9"/>
        <v>SPARES | Process T-3</v>
      </c>
      <c r="G98" s="3" t="s">
        <v>26</v>
      </c>
      <c r="H98" s="57" t="s">
        <v>54</v>
      </c>
      <c r="I98" s="57">
        <v>1</v>
      </c>
      <c r="J98" s="58" t="s">
        <v>81</v>
      </c>
    </row>
    <row r="99" spans="3:10" x14ac:dyDescent="0.3">
      <c r="C99" s="39"/>
      <c r="D99" s="3"/>
      <c r="E99" s="4" t="str">
        <f t="shared" si="8"/>
        <v>SPARES</v>
      </c>
      <c r="F99" s="4" t="str">
        <f t="shared" si="9"/>
        <v>SPARES | Process T-2</v>
      </c>
      <c r="G99" s="3" t="s">
        <v>25</v>
      </c>
      <c r="H99" s="57" t="s">
        <v>55</v>
      </c>
      <c r="I99" s="57">
        <v>1</v>
      </c>
      <c r="J99" s="58" t="s">
        <v>81</v>
      </c>
    </row>
    <row r="100" spans="3:10" x14ac:dyDescent="0.3">
      <c r="C100" s="39"/>
      <c r="D100" s="3"/>
      <c r="E100" s="4" t="str">
        <f t="shared" si="8"/>
        <v>SPARES</v>
      </c>
      <c r="F100" s="4" t="str">
        <f t="shared" si="9"/>
        <v>SPARES | Process T-1</v>
      </c>
      <c r="G100" s="3" t="s">
        <v>28</v>
      </c>
      <c r="H100" s="57" t="s">
        <v>56</v>
      </c>
      <c r="I100" s="57">
        <v>1</v>
      </c>
      <c r="J100" s="58" t="s">
        <v>81</v>
      </c>
    </row>
    <row r="101" spans="3:10" x14ac:dyDescent="0.3">
      <c r="C101" s="39"/>
      <c r="D101" s="3"/>
      <c r="E101" s="4" t="str">
        <f t="shared" si="8"/>
        <v>SPARES</v>
      </c>
      <c r="F101" s="4" t="str">
        <f t="shared" si="9"/>
        <v>SPARES | Process T</v>
      </c>
      <c r="G101" s="3" t="s">
        <v>24</v>
      </c>
      <c r="H101" s="57" t="s">
        <v>58</v>
      </c>
      <c r="I101" s="57">
        <v>1</v>
      </c>
      <c r="J101" s="58" t="s">
        <v>79</v>
      </c>
    </row>
    <row r="102" spans="3:10" ht="15" thickBot="1" x14ac:dyDescent="0.35">
      <c r="C102" s="41"/>
      <c r="D102" s="42"/>
      <c r="E102" s="43" t="str">
        <f>IF(IF(D102&lt;&gt;"",D102,IF($U102&lt;&gt;"",E101,""))&lt;&gt;0,IF(D102&lt;&gt;"",D102,IF($G102&lt;&gt;"",E101,"")),"")</f>
        <v/>
      </c>
      <c r="F102" s="43" t="str">
        <f t="shared" si="9"/>
        <v/>
      </c>
      <c r="G102" s="42"/>
      <c r="H102" s="59"/>
      <c r="I102" s="59"/>
      <c r="J102" s="60"/>
    </row>
  </sheetData>
  <sheetProtection algorithmName="SHA-512" hashValue="jgXPgv6JyUTBPIS4v28buZpJ9qFi26HIKgILUv1HWmSgRPss2qHOUCBQ4z5uYbYuzopX366f4nHZwMSQRwU8Kw==" saltValue="VM8zz9GWm2mWAhZger1VNg==" spinCount="100000" sheet="1" selectLockedCells="1"/>
  <mergeCells count="2">
    <mergeCell ref="K2:O5"/>
    <mergeCell ref="D2:H5"/>
  </mergeCells>
  <phoneticPr fontId="2" type="noConversion"/>
  <dataValidations count="1">
    <dataValidation type="list" allowBlank="1" showInputMessage="1" showErrorMessage="1" sqref="J12:J102" xr:uid="{8DB9423E-2ED0-46E9-9A9B-8E28EBCE28A8}">
      <formula1>"Cladding, Module, Welding, Others"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Dashboard</vt:lpstr>
      <vt:lpstr>Planning Sheet</vt:lpstr>
      <vt:lpstr>Weeks Plan</vt:lpstr>
      <vt:lpstr>Job Master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Mayur Shrotriya</dc:creator>
  <cp:lastModifiedBy>Mayur Shrotriya</cp:lastModifiedBy>
  <dcterms:created xsi:type="dcterms:W3CDTF">2022-01-09T06:06:05Z</dcterms:created>
  <dcterms:modified xsi:type="dcterms:W3CDTF">2022-07-16T12:17:17Z</dcterms:modified>
</cp:coreProperties>
</file>